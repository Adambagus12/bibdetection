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RESULT" sheetId="1" r:id="rId5"/>
    <sheet state="visible" name="10K" sheetId="2" r:id="rId6"/>
    <sheet state="visible" name="5K" sheetId="3" r:id="rId7"/>
  </sheets>
  <definedNames/>
  <calcPr/>
</workbook>
</file>

<file path=xl/sharedStrings.xml><?xml version="1.0" encoding="utf-8"?>
<sst xmlns="http://schemas.openxmlformats.org/spreadsheetml/2006/main" count="23" uniqueCount="13">
  <si>
    <t>POS</t>
  </si>
  <si>
    <t>RACE NUMBER</t>
  </si>
  <si>
    <t>NAME</t>
  </si>
  <si>
    <t>KATEGORI</t>
  </si>
  <si>
    <t>CAT POS</t>
  </si>
  <si>
    <t>GENDER</t>
  </si>
  <si>
    <t>PACE</t>
  </si>
  <si>
    <t>START TIME</t>
  </si>
  <si>
    <t>FINISH TIME</t>
  </si>
  <si>
    <t>RACE TIME</t>
  </si>
  <si>
    <t>TIME CHECKPOINT 1</t>
  </si>
  <si>
    <t>TIME CHECKPOINT 2</t>
  </si>
  <si>
    <t>CATEGORI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</si>
</sst>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3">
    <numFmt numFmtId="164" formatCode="hh&quot;:&quot;mm&quot;:&quot;ss&quot;.&quot;000"/>
    <numFmt numFmtId="165" formatCode="mm&quot;:&quot;ss&quot; /km&quot;"/>
    <numFmt numFmtId="166" formatCode="hh&quot;:&quot;mm&quot;:&quot;ss"/>
  </numFmts>
  <fonts count="5">
    <font>
      <sz val="10.0"/>
      <color rgb="FF000000"/>
      <name val="Arial"/>
      <scheme val="minor"/>
    </font>
    <font>
      <color theme="1"/>
      <name val="Arial"/>
      <scheme val="minor"/>
    </font>
    <font>
      <u/>
      <color rgb="FF0000FF"/>
    </font>
    <font>
      <b/>
      <color theme="1"/>
      <name val="Arial"/>
      <scheme val="minor"/>
    </font>
    <font>
      <u/>
      <color rgb="FF0000FF"/>
    </font>
  </fonts>
  <fills count="3">
    <fill>
      <patternFill patternType="none"/>
    </fill>
    <fill>
      <patternFill patternType="lightGray"/>
    </fill>
    <fill>
      <patternFill patternType="solid">
        <fgColor rgb="FFFFE599"/>
        <bgColor rgb="FFFFE599"/>
      </patternFill>
    </fill>
  </fills>
  <borders count="1">
    <border/>
  </borders>
  <cellStyleXfs count="1">
    <xf borderId="0" fillId="0" fontId="0" numFmtId="0" applyAlignment="1" applyFont="1"/>
  </cellStyleXfs>
  <cellXfs count="17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/>
    </xf>
    <xf borderId="0" fillId="0" fontId="1" numFmtId="0" xfId="0" applyFont="1"/>
    <xf borderId="0" fillId="0" fontId="1" numFmtId="164" xfId="0" applyAlignment="1" applyFont="1" applyNumberFormat="1">
      <alignment horizontal="center"/>
    </xf>
    <xf borderId="0" fillId="0" fontId="1" numFmtId="164" xfId="0" applyAlignment="1" applyFont="1" applyNumberFormat="1">
      <alignment horizontal="center"/>
    </xf>
    <xf borderId="0" fillId="0" fontId="1" numFmtId="165" xfId="0" applyAlignment="1" applyFont="1" applyNumberFormat="1">
      <alignment horizontal="center"/>
    </xf>
    <xf borderId="0" fillId="0" fontId="2" numFmtId="0" xfId="0" applyFont="1"/>
    <xf borderId="0" fillId="0" fontId="1" numFmtId="49" xfId="0" applyAlignment="1" applyFont="1" applyNumberFormat="1">
      <alignment horizontal="center"/>
    </xf>
    <xf borderId="0" fillId="0" fontId="1" numFmtId="49" xfId="0" applyFont="1" applyNumberFormat="1"/>
    <xf borderId="0" fillId="2" fontId="3" numFmtId="0" xfId="0" applyAlignment="1" applyFill="1" applyFont="1">
      <alignment horizontal="center" readingOrder="0"/>
    </xf>
    <xf borderId="0" fillId="2" fontId="3" numFmtId="0" xfId="0" applyAlignment="1" applyFont="1">
      <alignment horizontal="left" readingOrder="0"/>
    </xf>
    <xf borderId="0" fillId="2" fontId="3" numFmtId="0" xfId="0" applyAlignment="1" applyFont="1">
      <alignment readingOrder="0"/>
    </xf>
    <xf borderId="0" fillId="2" fontId="3" numFmtId="0" xfId="0" applyFont="1"/>
    <xf borderId="0" fillId="0" fontId="1" numFmtId="0" xfId="0" applyAlignment="1" applyFont="1">
      <alignment horizontal="left"/>
    </xf>
    <xf borderId="0" fillId="0" fontId="1" numFmtId="166" xfId="0" applyAlignment="1" applyFont="1" applyNumberFormat="1">
      <alignment horizontal="center"/>
    </xf>
    <xf borderId="0" fillId="0" fontId="1" numFmtId="166" xfId="0" applyAlignment="1" applyFont="1" applyNumberFormat="1">
      <alignment horizontal="center"/>
    </xf>
    <xf borderId="0" fillId="0" fontId="4" numFmtId="0" xfId="0" applyAlignment="1" applyFont="1">
      <alignment horizontal="left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EA9999"/>
          <bgColor rgb="FFEA9999"/>
        </patternFill>
      </fill>
      <border/>
    </dxf>
    <dxf>
      <font/>
      <fill>
        <patternFill patternType="solid">
          <fgColor rgb="FFCCCCCC"/>
          <bgColor rgb="FFCCCCCC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Relationship Id="rId7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://will.i.am" TargetMode="External"/><Relationship Id="rId2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hyperlink" Target="http://will.i.am" TargetMode="External"/><Relationship Id="rId2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1" max="1" width="6.38"/>
    <col customWidth="1" min="2" max="2" width="9.0"/>
    <col customWidth="1" min="3" max="3" width="21.88"/>
    <col customWidth="1" min="4" max="4" width="15.38"/>
    <col customWidth="1" min="5" max="5" width="5.75"/>
    <col customWidth="1" min="6" max="6" width="6.5"/>
    <col customWidth="1" min="7" max="7" width="13.63"/>
    <col customWidth="1" min="8" max="8" width="10.13"/>
    <col hidden="1" min="13" max="13" width="12.63"/>
    <col customWidth="1" min="19" max="19" width="10.25"/>
    <col customWidth="1" min="20" max="20" width="7.38"/>
    <col hidden="1" min="25" max="26" width="12.63"/>
  </cols>
  <sheetData>
    <row r="1">
      <c r="A1" s="1" t="str">
        <f>IFERROR(__xludf.DUMMYFUNCTION("IMPORTRANGE(""https://docs.google.com/spreadsheets/d/1ZB5u6N5t6qvS8nt_rti1JWkYaS6hyc3CIjK2x7eGsuE/edit?gid=1932190276#gid=1932190276"",""RESULT!A:Z"")"),"No")</f>
        <v>No</v>
      </c>
      <c r="B1" s="1" t="str">
        <f>IFERROR(__xludf.DUMMYFUNCTION("""COMPUTED_VALUE"""),"BIB")</f>
        <v>BIB</v>
      </c>
      <c r="C1" s="2" t="str">
        <f>IFERROR(__xludf.DUMMYFUNCTION("""COMPUTED_VALUE"""),"Nama")</f>
        <v>Nama</v>
      </c>
      <c r="D1" s="2" t="str">
        <f>IFERROR(__xludf.DUMMYFUNCTION("""COMPUTED_VALUE"""),"Kategori")</f>
        <v>Kategori</v>
      </c>
      <c r="E1" s="1" t="str">
        <f>IFERROR(__xludf.DUMMYFUNCTION("""COMPUTED_VALUE"""),"WAVE")</f>
        <v>WAVE</v>
      </c>
      <c r="F1" s="1" t="str">
        <f>IFERROR(__xludf.DUMMYFUNCTION("""COMPUTED_VALUE"""),"Gender")</f>
        <v>Gender</v>
      </c>
      <c r="G1" s="1" t="str">
        <f>IFERROR(__xludf.DUMMYFUNCTION("""COMPUTED_VALUE"""),"BEFORE START")</f>
        <v>BEFORE START</v>
      </c>
      <c r="H1" s="1" t="str">
        <f>IFERROR(__xludf.DUMMYFUNCTION("""COMPUTED_VALUE"""),"START")</f>
        <v>START</v>
      </c>
      <c r="I1" s="1" t="str">
        <f>IFERROR(__xludf.DUMMYFUNCTION("""COMPUTED_VALUE"""),"Start")</f>
        <v>Start</v>
      </c>
      <c r="J1" s="1" t="str">
        <f>IFERROR(__xludf.DUMMYFUNCTION("""COMPUTED_VALUE"""),"CP 1")</f>
        <v>CP 1</v>
      </c>
      <c r="K1" s="1" t="str">
        <f>IFERROR(__xludf.DUMMYFUNCTION("""COMPUTED_VALUE"""),"CP 2")</f>
        <v>CP 2</v>
      </c>
      <c r="L1" s="1" t="str">
        <f>IFERROR(__xludf.DUMMYFUNCTION("""COMPUTED_VALUE"""),"Finish")</f>
        <v>Finish</v>
      </c>
      <c r="M1" s="1" t="str">
        <f>IFERROR(__xludf.DUMMYFUNCTION("""COMPUTED_VALUE"""),"Timing")</f>
        <v>Timing</v>
      </c>
      <c r="N1" s="1" t="str">
        <f>IFERROR(__xludf.DUMMYFUNCTION("""COMPUTED_VALUE"""),"PACE CP 1")</f>
        <v>PACE CP 1</v>
      </c>
      <c r="O1" s="1" t="str">
        <f>IFERROR(__xludf.DUMMYFUNCTION("""COMPUTED_VALUE"""),"PACE CP 2")</f>
        <v>PACE CP 2</v>
      </c>
      <c r="P1" s="1" t="str">
        <f>IFERROR(__xludf.DUMMYFUNCTION("""COMPUTED_VALUE"""),"PACE FINISH")</f>
        <v>PACE FINISH</v>
      </c>
      <c r="Q1" s="1" t="str">
        <f>IFERROR(__xludf.DUMMYFUNCTION("""COMPUTED_VALUE"""),"PACE")</f>
        <v>PACE</v>
      </c>
      <c r="R1" s="3" t="str">
        <f>IFERROR(__xludf.DUMMYFUNCTION("""COMPUTED_VALUE"""),"Duration")</f>
        <v>Duration</v>
      </c>
      <c r="S1" s="1" t="str">
        <f>IFERROR(__xludf.DUMMYFUNCTION("""COMPUTED_VALUE"""),"CP RESULT")</f>
        <v>CP RESULT</v>
      </c>
      <c r="T1" s="1" t="str">
        <f>IFERROR(__xludf.DUMMYFUNCTION("""COMPUTED_VALUE"""),"INVALID")</f>
        <v>INVALID</v>
      </c>
      <c r="U1" s="1" t="str">
        <f>IFERROR(__xludf.DUMMYFUNCTION("""COMPUTED_VALUE"""),"STATUS")</f>
        <v>STATUS</v>
      </c>
      <c r="V1" s="1" t="str">
        <f>IFERROR(__xludf.DUMMYFUNCTION("""COMPUTED_VALUE"""),"RANK CAT")</f>
        <v>RANK CAT</v>
      </c>
      <c r="W1" s="1" t="str">
        <f>IFERROR(__xludf.DUMMYFUNCTION("""COMPUTED_VALUE"""),"RANK ALL")</f>
        <v>RANK ALL</v>
      </c>
      <c r="X1" s="1" t="str">
        <f>IFERROR(__xludf.DUMMYFUNCTION("""COMPUTED_VALUE"""),"RANK GEN")</f>
        <v>RANK GEN</v>
      </c>
      <c r="Y1" s="2"/>
      <c r="Z1" s="2"/>
    </row>
    <row r="2">
      <c r="A2" s="1">
        <f>IFERROR(__xludf.DUMMYFUNCTION("""COMPUTED_VALUE"""),1.0)</f>
        <v>1</v>
      </c>
      <c r="B2" s="1">
        <f>IFERROR(__xludf.DUMMYFUNCTION("""COMPUTED_VALUE"""),12001.0)</f>
        <v>12001</v>
      </c>
      <c r="C2" s="2" t="str">
        <f>IFERROR(__xludf.DUMMYFUNCTION("""COMPUTED_VALUE"""),"Evie Lesli")</f>
        <v>Evie Lesli</v>
      </c>
      <c r="D2" s="2" t="str">
        <f>IFERROR(__xludf.DUMMYFUNCTION("""COMPUTED_VALUE"""),"10KM MASTER F")</f>
        <v>10KM MASTER F</v>
      </c>
      <c r="E2" s="1">
        <f>IFERROR(__xludf.DUMMYFUNCTION("""COMPUTED_VALUE"""),1.0)</f>
        <v>1</v>
      </c>
      <c r="F2" s="1" t="str">
        <f>IFERROR(__xludf.DUMMYFUNCTION("""COMPUTED_VALUE"""),"Female")</f>
        <v>Female</v>
      </c>
      <c r="G2" s="4" t="b">
        <f>IFERROR(__xludf.DUMMYFUNCTION("""COMPUTED_VALUE"""),TRUE)</f>
        <v>1</v>
      </c>
      <c r="H2" s="4" t="b">
        <f>IFERROR(__xludf.DUMMYFUNCTION("""COMPUTED_VALUE"""),FALSE)</f>
        <v>0</v>
      </c>
      <c r="I2" s="4">
        <f>IFERROR(__xludf.DUMMYFUNCTION("""COMPUTED_VALUE"""),0.24646185185185185)</f>
        <v>0.2464618519</v>
      </c>
      <c r="J2" s="4">
        <f>IFERROR(__xludf.DUMMYFUNCTION("""COMPUTED_VALUE"""),45949.257894803966)</f>
        <v>45949.25789</v>
      </c>
      <c r="K2" s="4">
        <f>IFERROR(__xludf.DUMMYFUNCTION("""COMPUTED_VALUE"""),45949.283877409376)</f>
        <v>45949.28388</v>
      </c>
      <c r="L2" s="4">
        <f>IFERROR(__xludf.DUMMYFUNCTION("""COMPUTED_VALUE"""),45949.290932123826)</f>
        <v>45949.29093</v>
      </c>
      <c r="M2" s="1" t="str">
        <f>IFERROR(__xludf.DUMMYFUNCTION("""COMPUTED_VALUE"""),"RFID")</f>
        <v>RFID</v>
      </c>
      <c r="N2" s="5">
        <f>IFERROR(__xludf.DUMMYFUNCTION("""COMPUTED_VALUE"""),0.004573180555555555)</f>
        <v>0.004573180556</v>
      </c>
      <c r="O2" s="5">
        <f>IFERROR(__xludf.DUMMYFUNCTION("""COMPUTED_VALUE"""),0.010393041666666667)</f>
        <v>0.01039304167</v>
      </c>
      <c r="P2" s="5">
        <f>IFERROR(__xludf.DUMMYFUNCTION("""COMPUTED_VALUE"""),0.0029031746706268038)</f>
        <v>0.002903174671</v>
      </c>
      <c r="Q2" s="5">
        <f>IFERROR(__xludf.DUMMYFUNCTION("""COMPUTED_VALUE"""),0.004447026620370371)</f>
        <v>0.00444702662</v>
      </c>
      <c r="R2" s="4">
        <f>IFERROR(__xludf.DUMMYFUNCTION("""COMPUTED_VALUE"""),45949.044470271976)</f>
        <v>45949.04447</v>
      </c>
      <c r="S2" s="1" t="b">
        <f>IFERROR(__xludf.DUMMYFUNCTION("""COMPUTED_VALUE"""),TRUE)</f>
        <v>1</v>
      </c>
      <c r="T2" s="1" t="b">
        <f>IFERROR(__xludf.DUMMYFUNCTION("""COMPUTED_VALUE"""),FALSE)</f>
        <v>0</v>
      </c>
      <c r="U2" s="1" t="str">
        <f>IFERROR(__xludf.DUMMYFUNCTION("""COMPUTED_VALUE"""),"VALID")</f>
        <v>VALID</v>
      </c>
      <c r="V2" s="1">
        <f>IFERROR(__xludf.DUMMYFUNCTION("""COMPUTED_VALUE"""),5.0)</f>
        <v>5</v>
      </c>
      <c r="W2" s="1">
        <f>IFERROR(__xludf.DUMMYFUNCTION("""COMPUTED_VALUE"""),242.0)</f>
        <v>242</v>
      </c>
      <c r="X2" s="1">
        <f>IFERROR(__xludf.DUMMYFUNCTION("""COMPUTED_VALUE"""),498.0)</f>
        <v>498</v>
      </c>
      <c r="Y2" s="2"/>
      <c r="Z2" s="2"/>
    </row>
    <row r="3">
      <c r="A3" s="1">
        <f>IFERROR(__xludf.DUMMYFUNCTION("""COMPUTED_VALUE"""),2.0)</f>
        <v>2</v>
      </c>
      <c r="B3" s="1">
        <f>IFERROR(__xludf.DUMMYFUNCTION("""COMPUTED_VALUE"""),12003.0)</f>
        <v>12003</v>
      </c>
      <c r="C3" s="2" t="str">
        <f>IFERROR(__xludf.DUMMYFUNCTION("""COMPUTED_VALUE"""),"FEBBY")</f>
        <v>FEBBY</v>
      </c>
      <c r="D3" s="2" t="str">
        <f>IFERROR(__xludf.DUMMYFUNCTION("""COMPUTED_VALUE"""),"10KM MASTER F")</f>
        <v>10KM MASTER F</v>
      </c>
      <c r="E3" s="1">
        <f>IFERROR(__xludf.DUMMYFUNCTION("""COMPUTED_VALUE"""),1.0)</f>
        <v>1</v>
      </c>
      <c r="F3" s="1" t="str">
        <f>IFERROR(__xludf.DUMMYFUNCTION("""COMPUTED_VALUE"""),"Female")</f>
        <v>Female</v>
      </c>
      <c r="G3" s="4" t="b">
        <f>IFERROR(__xludf.DUMMYFUNCTION("""COMPUTED_VALUE"""),TRUE)</f>
        <v>1</v>
      </c>
      <c r="H3" s="4" t="b">
        <f>IFERROR(__xludf.DUMMYFUNCTION("""COMPUTED_VALUE"""),TRUE)</f>
        <v>1</v>
      </c>
      <c r="I3" s="4">
        <f>IFERROR(__xludf.DUMMYFUNCTION("""COMPUTED_VALUE"""),0.24646185185185185)</f>
        <v>0.2464618519</v>
      </c>
      <c r="J3" s="4">
        <f>IFERROR(__xludf.DUMMYFUNCTION("""COMPUTED_VALUE"""),45949.25864827533)</f>
        <v>45949.25865</v>
      </c>
      <c r="K3" s="4">
        <f>IFERROR(__xludf.DUMMYFUNCTION("""COMPUTED_VALUE"""),45949.28971064815)</f>
        <v>45949.28971</v>
      </c>
      <c r="L3" s="4">
        <f>IFERROR(__xludf.DUMMYFUNCTION("""COMPUTED_VALUE"""),45949.29858490113)</f>
        <v>45949.29858</v>
      </c>
      <c r="M3" s="1" t="str">
        <f>IFERROR(__xludf.DUMMYFUNCTION("""COMPUTED_VALUE"""),"RFID")</f>
        <v>RFID</v>
      </c>
      <c r="N3" s="5">
        <f>IFERROR(__xludf.DUMMYFUNCTION("""COMPUTED_VALUE"""),0.0048745694444444435)</f>
        <v>0.004874569444</v>
      </c>
      <c r="O3" s="5">
        <f>IFERROR(__xludf.DUMMYFUNCTION("""COMPUTED_VALUE"""),0.012424949074074074)</f>
        <v>0.01242494907</v>
      </c>
      <c r="P3" s="5">
        <f>IFERROR(__xludf.DUMMYFUNCTION("""COMPUTED_VALUE"""),0.0036519559605934352)</f>
        <v>0.003651955961</v>
      </c>
      <c r="Q3" s="5">
        <f>IFERROR(__xludf.DUMMYFUNCTION("""COMPUTED_VALUE"""),0.005212304398148147)</f>
        <v>0.005212304398</v>
      </c>
      <c r="R3" s="4">
        <f>IFERROR(__xludf.DUMMYFUNCTION("""COMPUTED_VALUE"""),45949.05212304928)</f>
        <v>45949.05212</v>
      </c>
      <c r="S3" s="1" t="b">
        <f>IFERROR(__xludf.DUMMYFUNCTION("""COMPUTED_VALUE"""),TRUE)</f>
        <v>1</v>
      </c>
      <c r="T3" s="1" t="b">
        <f>IFERROR(__xludf.DUMMYFUNCTION("""COMPUTED_VALUE"""),FALSE)</f>
        <v>0</v>
      </c>
      <c r="U3" s="1" t="str">
        <f>IFERROR(__xludf.DUMMYFUNCTION("""COMPUTED_VALUE"""),"VALID")</f>
        <v>VALID</v>
      </c>
      <c r="V3" s="1">
        <f>IFERROR(__xludf.DUMMYFUNCTION("""COMPUTED_VALUE"""),7.0)</f>
        <v>7</v>
      </c>
      <c r="W3" s="1">
        <f>IFERROR(__xludf.DUMMYFUNCTION("""COMPUTED_VALUE"""),460.0)</f>
        <v>460</v>
      </c>
      <c r="X3" s="1">
        <f>IFERROR(__xludf.DUMMYFUNCTION("""COMPUTED_VALUE"""),610.0)</f>
        <v>610</v>
      </c>
      <c r="Y3" s="2"/>
      <c r="Z3" s="2"/>
    </row>
    <row r="4">
      <c r="A4" s="1">
        <f>IFERROR(__xludf.DUMMYFUNCTION("""COMPUTED_VALUE"""),3.0)</f>
        <v>3</v>
      </c>
      <c r="B4" s="1">
        <f>IFERROR(__xludf.DUMMYFUNCTION("""COMPUTED_VALUE"""),12016.0)</f>
        <v>12016</v>
      </c>
      <c r="C4" s="2" t="str">
        <f>IFERROR(__xludf.DUMMYFUNCTION("""COMPUTED_VALUE"""),"ERIKA")</f>
        <v>ERIKA</v>
      </c>
      <c r="D4" s="2" t="str">
        <f>IFERROR(__xludf.DUMMYFUNCTION("""COMPUTED_VALUE"""),"10KM MASTER F")</f>
        <v>10KM MASTER F</v>
      </c>
      <c r="E4" s="1">
        <f>IFERROR(__xludf.DUMMYFUNCTION("""COMPUTED_VALUE"""),1.0)</f>
        <v>1</v>
      </c>
      <c r="F4" s="1" t="str">
        <f>IFERROR(__xludf.DUMMYFUNCTION("""COMPUTED_VALUE"""),"Female")</f>
        <v>Female</v>
      </c>
      <c r="G4" s="4" t="b">
        <f>IFERROR(__xludf.DUMMYFUNCTION("""COMPUTED_VALUE"""),TRUE)</f>
        <v>1</v>
      </c>
      <c r="H4" s="4" t="b">
        <f>IFERROR(__xludf.DUMMYFUNCTION("""COMPUTED_VALUE"""),TRUE)</f>
        <v>1</v>
      </c>
      <c r="I4" s="4">
        <f>IFERROR(__xludf.DUMMYFUNCTION("""COMPUTED_VALUE"""),0.24646185185185185)</f>
        <v>0.2464618519</v>
      </c>
      <c r="J4" s="4">
        <f>IFERROR(__xludf.DUMMYFUNCTION("""COMPUTED_VALUE"""),45949.260068358286)</f>
        <v>45949.26007</v>
      </c>
      <c r="K4" s="4">
        <f>IFERROR(__xludf.DUMMYFUNCTION("""COMPUTED_VALUE"""),45949.293280436614)</f>
        <v>45949.29328</v>
      </c>
      <c r="L4" s="4">
        <f>IFERROR(__xludf.DUMMYFUNCTION("""COMPUTED_VALUE"""),45949.30317170141)</f>
        <v>45949.30317</v>
      </c>
      <c r="M4" s="1" t="str">
        <f>IFERROR(__xludf.DUMMYFUNCTION("""COMPUTED_VALUE"""),"RFID")</f>
        <v>RFID</v>
      </c>
      <c r="N4" s="5">
        <f>IFERROR(__xludf.DUMMYFUNCTION("""COMPUTED_VALUE"""),0.005442601851851852)</f>
        <v>0.005442601852</v>
      </c>
      <c r="O4" s="5">
        <f>IFERROR(__xludf.DUMMYFUNCTION("""COMPUTED_VALUE"""),0.013284833333333333)</f>
        <v>0.01328483333</v>
      </c>
      <c r="P4" s="5">
        <f>IFERROR(__xludf.DUMMYFUNCTION("""COMPUTED_VALUE"""),0.004070479339688112)</f>
        <v>0.00407047934</v>
      </c>
      <c r="Q4" s="5">
        <f>IFERROR(__xludf.DUMMYFUNCTION("""COMPUTED_VALUE"""),0.005670984953703703)</f>
        <v>0.005670984954</v>
      </c>
      <c r="R4" s="4">
        <f>IFERROR(__xludf.DUMMYFUNCTION("""COMPUTED_VALUE"""),45949.05670984956)</f>
        <v>45949.05671</v>
      </c>
      <c r="S4" s="1" t="b">
        <f>IFERROR(__xludf.DUMMYFUNCTION("""COMPUTED_VALUE"""),TRUE)</f>
        <v>1</v>
      </c>
      <c r="T4" s="1" t="b">
        <f>IFERROR(__xludf.DUMMYFUNCTION("""COMPUTED_VALUE"""),FALSE)</f>
        <v>0</v>
      </c>
      <c r="U4" s="1" t="str">
        <f>IFERROR(__xludf.DUMMYFUNCTION("""COMPUTED_VALUE"""),"VALID")</f>
        <v>VALID</v>
      </c>
      <c r="V4" s="1">
        <f>IFERROR(__xludf.DUMMYFUNCTION("""COMPUTED_VALUE"""),8.0)</f>
        <v>8</v>
      </c>
      <c r="W4" s="1">
        <f>IFERROR(__xludf.DUMMYFUNCTION("""COMPUTED_VALUE"""),592.0)</f>
        <v>592</v>
      </c>
      <c r="X4" s="1">
        <f>IFERROR(__xludf.DUMMYFUNCTION("""COMPUTED_VALUE"""),638.0)</f>
        <v>638</v>
      </c>
      <c r="Y4" s="2"/>
      <c r="Z4" s="2"/>
    </row>
    <row r="5">
      <c r="A5" s="1">
        <f>IFERROR(__xludf.DUMMYFUNCTION("""COMPUTED_VALUE"""),4.0)</f>
        <v>4</v>
      </c>
      <c r="B5" s="1">
        <f>IFERROR(__xludf.DUMMYFUNCTION("""COMPUTED_VALUE"""),12024.0)</f>
        <v>12024</v>
      </c>
      <c r="C5" s="2" t="str">
        <f>IFERROR(__xludf.DUMMYFUNCTION("""COMPUTED_VALUE"""),"Ria")</f>
        <v>Ria</v>
      </c>
      <c r="D5" s="2" t="str">
        <f>IFERROR(__xludf.DUMMYFUNCTION("""COMPUTED_VALUE"""),"10KM MASTER F")</f>
        <v>10KM MASTER F</v>
      </c>
      <c r="E5" s="1">
        <f>IFERROR(__xludf.DUMMYFUNCTION("""COMPUTED_VALUE"""),1.0)</f>
        <v>1</v>
      </c>
      <c r="F5" s="1" t="str">
        <f>IFERROR(__xludf.DUMMYFUNCTION("""COMPUTED_VALUE"""),"Female")</f>
        <v>Female</v>
      </c>
      <c r="G5" s="4" t="b">
        <f>IFERROR(__xludf.DUMMYFUNCTION("""COMPUTED_VALUE"""),TRUE)</f>
        <v>1</v>
      </c>
      <c r="H5" s="4" t="b">
        <f>IFERROR(__xludf.DUMMYFUNCTION("""COMPUTED_VALUE"""),FALSE)</f>
        <v>0</v>
      </c>
      <c r="I5" s="4">
        <f>IFERROR(__xludf.DUMMYFUNCTION("""COMPUTED_VALUE"""),0.24646185185185185)</f>
        <v>0.2464618519</v>
      </c>
      <c r="J5" s="4">
        <f>IFERROR(__xludf.DUMMYFUNCTION("""COMPUTED_VALUE"""),45949.254432934475)</f>
        <v>45949.25443</v>
      </c>
      <c r="K5" s="4">
        <f>IFERROR(__xludf.DUMMYFUNCTION("""COMPUTED_VALUE"""),45949.27718206723)</f>
        <v>45949.27718</v>
      </c>
      <c r="L5" s="4">
        <f>IFERROR(__xludf.DUMMYFUNCTION("""COMPUTED_VALUE"""),45949.28424114943)</f>
        <v>45949.28424</v>
      </c>
      <c r="M5" s="1" t="str">
        <f>IFERROR(__xludf.DUMMYFUNCTION("""COMPUTED_VALUE"""),"RFID")</f>
        <v>RFID</v>
      </c>
      <c r="N5" s="5">
        <f>IFERROR(__xludf.DUMMYFUNCTION("""COMPUTED_VALUE"""),0.003188435185185185)</f>
        <v>0.003188435185</v>
      </c>
      <c r="O5" s="5">
        <f>IFERROR(__xludf.DUMMYFUNCTION("""COMPUTED_VALUE"""),0.009099652777777778)</f>
        <v>0.009099652778</v>
      </c>
      <c r="P5" s="5">
        <f>IFERROR(__xludf.DUMMYFUNCTION("""COMPUTED_VALUE"""),0.002904972098643198)</f>
        <v>0.002904972099</v>
      </c>
      <c r="Q5" s="5">
        <f>IFERROR(__xludf.DUMMYFUNCTION("""COMPUTED_VALUE"""),0.003777929398148148)</f>
        <v>0.003777929398</v>
      </c>
      <c r="R5" s="4">
        <f>IFERROR(__xludf.DUMMYFUNCTION("""COMPUTED_VALUE"""),45949.03777929758)</f>
        <v>45949.03778</v>
      </c>
      <c r="S5" s="1" t="b">
        <f>IFERROR(__xludf.DUMMYFUNCTION("""COMPUTED_VALUE"""),TRUE)</f>
        <v>1</v>
      </c>
      <c r="T5" s="1" t="b">
        <f>IFERROR(__xludf.DUMMYFUNCTION("""COMPUTED_VALUE"""),FALSE)</f>
        <v>0</v>
      </c>
      <c r="U5" s="1" t="str">
        <f>IFERROR(__xludf.DUMMYFUNCTION("""COMPUTED_VALUE"""),"VALID")</f>
        <v>VALID</v>
      </c>
      <c r="V5" s="1">
        <f>IFERROR(__xludf.DUMMYFUNCTION("""COMPUTED_VALUE"""),2.0)</f>
        <v>2</v>
      </c>
      <c r="W5" s="1">
        <f>IFERROR(__xludf.DUMMYFUNCTION("""COMPUTED_VALUE"""),78.0)</f>
        <v>78</v>
      </c>
      <c r="X5" s="1">
        <f>IFERROR(__xludf.DUMMYFUNCTION("""COMPUTED_VALUE"""),303.0)</f>
        <v>303</v>
      </c>
      <c r="Y5" s="2"/>
      <c r="Z5" s="2"/>
    </row>
    <row r="6">
      <c r="A6" s="1">
        <f>IFERROR(__xludf.DUMMYFUNCTION("""COMPUTED_VALUE"""),5.0)</f>
        <v>5</v>
      </c>
      <c r="B6" s="1">
        <f>IFERROR(__xludf.DUMMYFUNCTION("""COMPUTED_VALUE"""),12029.0)</f>
        <v>12029</v>
      </c>
      <c r="C6" s="2" t="str">
        <f>IFERROR(__xludf.DUMMYFUNCTION("""COMPUTED_VALUE"""),"renaannida")</f>
        <v>renaannida</v>
      </c>
      <c r="D6" s="2" t="str">
        <f>IFERROR(__xludf.DUMMYFUNCTION("""COMPUTED_VALUE"""),"10KM MASTER F")</f>
        <v>10KM MASTER F</v>
      </c>
      <c r="E6" s="1">
        <f>IFERROR(__xludf.DUMMYFUNCTION("""COMPUTED_VALUE"""),1.0)</f>
        <v>1</v>
      </c>
      <c r="F6" s="1" t="str">
        <f>IFERROR(__xludf.DUMMYFUNCTION("""COMPUTED_VALUE"""),"Female")</f>
        <v>Female</v>
      </c>
      <c r="G6" s="4" t="b">
        <f>IFERROR(__xludf.DUMMYFUNCTION("""COMPUTED_VALUE"""),TRUE)</f>
        <v>1</v>
      </c>
      <c r="H6" s="4" t="b">
        <f>IFERROR(__xludf.DUMMYFUNCTION("""COMPUTED_VALUE"""),TRUE)</f>
        <v>1</v>
      </c>
      <c r="I6" s="4">
        <f>IFERROR(__xludf.DUMMYFUNCTION("""COMPUTED_VALUE"""),0.24646185185185185)</f>
        <v>0.2464618519</v>
      </c>
      <c r="J6" s="4">
        <f>IFERROR(__xludf.DUMMYFUNCTION("""COMPUTED_VALUE"""),45949.25560655685)</f>
        <v>45949.25561</v>
      </c>
      <c r="K6" s="4">
        <f>IFERROR(__xludf.DUMMYFUNCTION("""COMPUTED_VALUE"""),45949.281603101954)</f>
        <v>45949.2816</v>
      </c>
      <c r="L6" s="4">
        <f>IFERROR(__xludf.DUMMYFUNCTION("""COMPUTED_VALUE"""),45949.2894399896)</f>
        <v>45949.28944</v>
      </c>
      <c r="M6" s="1" t="str">
        <f>IFERROR(__xludf.DUMMYFUNCTION("""COMPUTED_VALUE"""),"RFID")</f>
        <v>RFID</v>
      </c>
      <c r="N6" s="5">
        <f>IFERROR(__xludf.DUMMYFUNCTION("""COMPUTED_VALUE"""),0.003657884259259259)</f>
        <v>0.003657884259</v>
      </c>
      <c r="O6" s="5">
        <f>IFERROR(__xludf.DUMMYFUNCTION("""COMPUTED_VALUE"""),0.010398615740740741)</f>
        <v>0.01039861574</v>
      </c>
      <c r="P6" s="5">
        <f>IFERROR(__xludf.DUMMYFUNCTION("""COMPUTED_VALUE"""),0.0032250566458101515)</f>
        <v>0.003225056646</v>
      </c>
      <c r="Q6" s="5">
        <f>IFERROR(__xludf.DUMMYFUNCTION("""COMPUTED_VALUE"""),0.004297813657407407)</f>
        <v>0.004297813657</v>
      </c>
      <c r="R6" s="4">
        <f>IFERROR(__xludf.DUMMYFUNCTION("""COMPUTED_VALUE"""),45949.04297813775)</f>
        <v>45949.04298</v>
      </c>
      <c r="S6" s="1" t="b">
        <f>IFERROR(__xludf.DUMMYFUNCTION("""COMPUTED_VALUE"""),TRUE)</f>
        <v>1</v>
      </c>
      <c r="T6" s="1" t="b">
        <f>IFERROR(__xludf.DUMMYFUNCTION("""COMPUTED_VALUE"""),TRUE)</f>
        <v>1</v>
      </c>
      <c r="U6" s="1" t="str">
        <f>IFERROR(__xludf.DUMMYFUNCTION("""COMPUTED_VALUE"""),"DSQ")</f>
        <v>DSQ</v>
      </c>
      <c r="V6" s="1" t="str">
        <f>IFERROR(__xludf.DUMMYFUNCTION("""COMPUTED_VALUE"""),"DSQ")</f>
        <v>DSQ</v>
      </c>
      <c r="W6" s="1" t="str">
        <f>IFERROR(__xludf.DUMMYFUNCTION("""COMPUTED_VALUE"""),"DSQ")</f>
        <v>DSQ</v>
      </c>
      <c r="X6" s="1" t="str">
        <f>IFERROR(__xludf.DUMMYFUNCTION("""COMPUTED_VALUE"""),"DSQ")</f>
        <v>DSQ</v>
      </c>
      <c r="Y6" s="2" t="str">
        <f>IFERROR(__xludf.DUMMYFUNCTION("""COMPUTED_VALUE"""),"dipakai cowok")</f>
        <v>dipakai cowok</v>
      </c>
      <c r="Z6" s="2"/>
    </row>
    <row r="7">
      <c r="A7" s="1">
        <f>IFERROR(__xludf.DUMMYFUNCTION("""COMPUTED_VALUE"""),6.0)</f>
        <v>6</v>
      </c>
      <c r="B7" s="1">
        <f>IFERROR(__xludf.DUMMYFUNCTION("""COMPUTED_VALUE"""),12031.0)</f>
        <v>12031</v>
      </c>
      <c r="C7" s="2" t="str">
        <f>IFERROR(__xludf.DUMMYFUNCTION("""COMPUTED_VALUE"""),"Aya")</f>
        <v>Aya</v>
      </c>
      <c r="D7" s="2" t="str">
        <f>IFERROR(__xludf.DUMMYFUNCTION("""COMPUTED_VALUE"""),"10KM MASTER F")</f>
        <v>10KM MASTER F</v>
      </c>
      <c r="E7" s="1">
        <f>IFERROR(__xludf.DUMMYFUNCTION("""COMPUTED_VALUE"""),1.0)</f>
        <v>1</v>
      </c>
      <c r="F7" s="1" t="str">
        <f>IFERROR(__xludf.DUMMYFUNCTION("""COMPUTED_VALUE"""),"Female")</f>
        <v>Female</v>
      </c>
      <c r="G7" s="4" t="b">
        <f>IFERROR(__xludf.DUMMYFUNCTION("""COMPUTED_VALUE"""),TRUE)</f>
        <v>1</v>
      </c>
      <c r="H7" s="4" t="b">
        <f>IFERROR(__xludf.DUMMYFUNCTION("""COMPUTED_VALUE"""),FALSE)</f>
        <v>0</v>
      </c>
      <c r="I7" s="4">
        <f>IFERROR(__xludf.DUMMYFUNCTION("""COMPUTED_VALUE"""),0.24646185185185185)</f>
        <v>0.2464618519</v>
      </c>
      <c r="J7" s="4">
        <f>IFERROR(__xludf.DUMMYFUNCTION("""COMPUTED_VALUE"""),45949.25558572649)</f>
        <v>45949.25559</v>
      </c>
      <c r="K7" s="4">
        <f>IFERROR(__xludf.DUMMYFUNCTION("""COMPUTED_VALUE"""),45949.28160657989)</f>
        <v>45949.28161</v>
      </c>
      <c r="L7" s="4">
        <f>IFERROR(__xludf.DUMMYFUNCTION("""COMPUTED_VALUE"""),45949.28943554648)</f>
        <v>45949.28944</v>
      </c>
      <c r="M7" s="1" t="str">
        <f>IFERROR(__xludf.DUMMYFUNCTION("""COMPUTED_VALUE"""),"RFID")</f>
        <v>RFID</v>
      </c>
      <c r="N7" s="5">
        <f>IFERROR(__xludf.DUMMYFUNCTION("""COMPUTED_VALUE"""),0.0036495509259259263)</f>
        <v>0.003649550926</v>
      </c>
      <c r="O7" s="5">
        <f>IFERROR(__xludf.DUMMYFUNCTION("""COMPUTED_VALUE"""),0.010408342592592594)</f>
        <v>0.01040834259</v>
      </c>
      <c r="P7" s="5">
        <f>IFERROR(__xludf.DUMMYFUNCTION("""COMPUTED_VALUE"""),0.0032217969509261302)</f>
        <v>0.003221796951</v>
      </c>
      <c r="Q7" s="5">
        <f>IFERROR(__xludf.DUMMYFUNCTION("""COMPUTED_VALUE"""),0.004297369212962964)</f>
        <v>0.004297369213</v>
      </c>
      <c r="R7" s="4">
        <f>IFERROR(__xludf.DUMMYFUNCTION("""COMPUTED_VALUE"""),45949.04297369463)</f>
        <v>45949.04297</v>
      </c>
      <c r="S7" s="1" t="b">
        <f>IFERROR(__xludf.DUMMYFUNCTION("""COMPUTED_VALUE"""),TRUE)</f>
        <v>1</v>
      </c>
      <c r="T7" s="1" t="b">
        <f>IFERROR(__xludf.DUMMYFUNCTION("""COMPUTED_VALUE"""),FALSE)</f>
        <v>0</v>
      </c>
      <c r="U7" s="1" t="str">
        <f>IFERROR(__xludf.DUMMYFUNCTION("""COMPUTED_VALUE"""),"VALID")</f>
        <v>VALID</v>
      </c>
      <c r="V7" s="1">
        <f>IFERROR(__xludf.DUMMYFUNCTION("""COMPUTED_VALUE"""),3.0)</f>
        <v>3</v>
      </c>
      <c r="W7" s="1">
        <f>IFERROR(__xludf.DUMMYFUNCTION("""COMPUTED_VALUE"""),198.0)</f>
        <v>198</v>
      </c>
      <c r="X7" s="1">
        <f>IFERROR(__xludf.DUMMYFUNCTION("""COMPUTED_VALUE"""),457.0)</f>
        <v>457</v>
      </c>
      <c r="Y7" s="2"/>
      <c r="Z7" s="2"/>
    </row>
    <row r="8">
      <c r="A8" s="1">
        <f>IFERROR(__xludf.DUMMYFUNCTION("""COMPUTED_VALUE"""),7.0)</f>
        <v>7</v>
      </c>
      <c r="B8" s="1">
        <f>IFERROR(__xludf.DUMMYFUNCTION("""COMPUTED_VALUE"""),12035.0)</f>
        <v>12035</v>
      </c>
      <c r="C8" s="2" t="str">
        <f>IFERROR(__xludf.DUMMYFUNCTION("""COMPUTED_VALUE"""),"FIRNA")</f>
        <v>FIRNA</v>
      </c>
      <c r="D8" s="2" t="str">
        <f>IFERROR(__xludf.DUMMYFUNCTION("""COMPUTED_VALUE"""),"10KM MASTER F")</f>
        <v>10KM MASTER F</v>
      </c>
      <c r="E8" s="1">
        <f>IFERROR(__xludf.DUMMYFUNCTION("""COMPUTED_VALUE"""),1.0)</f>
        <v>1</v>
      </c>
      <c r="F8" s="1" t="str">
        <f>IFERROR(__xludf.DUMMYFUNCTION("""COMPUTED_VALUE"""),"Female")</f>
        <v>Female</v>
      </c>
      <c r="G8" s="4" t="b">
        <f>IFERROR(__xludf.DUMMYFUNCTION("""COMPUTED_VALUE"""),TRUE)</f>
        <v>1</v>
      </c>
      <c r="H8" s="4" t="b">
        <f>IFERROR(__xludf.DUMMYFUNCTION("""COMPUTED_VALUE"""),TRUE)</f>
        <v>1</v>
      </c>
      <c r="I8" s="4">
        <f>IFERROR(__xludf.DUMMYFUNCTION("""COMPUTED_VALUE"""),0.24646185185185185)</f>
        <v>0.2464618519</v>
      </c>
      <c r="J8" s="4">
        <f>IFERROR(__xludf.DUMMYFUNCTION("""COMPUTED_VALUE"""),45949.26241906244)</f>
        <v>45949.26242</v>
      </c>
      <c r="K8" s="4">
        <f>IFERROR(__xludf.DUMMYFUNCTION("""COMPUTED_VALUE"""),45949.29663107244)</f>
        <v>45949.29663</v>
      </c>
      <c r="L8" s="4">
        <f>IFERROR(__xludf.DUMMYFUNCTION("""COMPUTED_VALUE"""),45949.306234216034)</f>
        <v>45949.30623</v>
      </c>
      <c r="M8" s="1" t="str">
        <f>IFERROR(__xludf.DUMMYFUNCTION("""COMPUTED_VALUE"""),"RFID")</f>
        <v>RFID</v>
      </c>
      <c r="N8" s="5">
        <f>IFERROR(__xludf.DUMMYFUNCTION("""COMPUTED_VALUE"""),0.00638288425925926)</f>
        <v>0.006382884259</v>
      </c>
      <c r="O8" s="5">
        <f>IFERROR(__xludf.DUMMYFUNCTION("""COMPUTED_VALUE"""),0.013684805555555558)</f>
        <v>0.01368480556</v>
      </c>
      <c r="P8" s="5">
        <f>IFERROR(__xludf.DUMMYFUNCTION("""COMPUTED_VALUE"""),0.003951910945228511)</f>
        <v>0.003951910945</v>
      </c>
      <c r="Q8" s="5">
        <f>IFERROR(__xludf.DUMMYFUNCTION("""COMPUTED_VALUE"""),0.005977236111111112)</f>
        <v>0.005977236111</v>
      </c>
      <c r="R8" s="4">
        <f>IFERROR(__xludf.DUMMYFUNCTION("""COMPUTED_VALUE"""),45949.059772364184)</f>
        <v>45949.05977</v>
      </c>
      <c r="S8" s="1" t="b">
        <f>IFERROR(__xludf.DUMMYFUNCTION("""COMPUTED_VALUE"""),TRUE)</f>
        <v>1</v>
      </c>
      <c r="T8" s="1" t="b">
        <f>IFERROR(__xludf.DUMMYFUNCTION("""COMPUTED_VALUE"""),FALSE)</f>
        <v>0</v>
      </c>
      <c r="U8" s="1" t="str">
        <f>IFERROR(__xludf.DUMMYFUNCTION("""COMPUTED_VALUE"""),"VALID")</f>
        <v>VALID</v>
      </c>
      <c r="V8" s="1">
        <f>IFERROR(__xludf.DUMMYFUNCTION("""COMPUTED_VALUE"""),13.0)</f>
        <v>13</v>
      </c>
      <c r="W8" s="1">
        <f>IFERROR(__xludf.DUMMYFUNCTION("""COMPUTED_VALUE"""),651.0)</f>
        <v>651</v>
      </c>
      <c r="X8" s="1">
        <f>IFERROR(__xludf.DUMMYFUNCTION("""COMPUTED_VALUE"""),657.0)</f>
        <v>657</v>
      </c>
      <c r="Y8" s="2"/>
      <c r="Z8" s="2"/>
    </row>
    <row r="9">
      <c r="A9" s="1">
        <f>IFERROR(__xludf.DUMMYFUNCTION("""COMPUTED_VALUE"""),8.0)</f>
        <v>8</v>
      </c>
      <c r="B9" s="1">
        <f>IFERROR(__xludf.DUMMYFUNCTION("""COMPUTED_VALUE"""),12037.0)</f>
        <v>12037</v>
      </c>
      <c r="C9" s="2" t="str">
        <f>IFERROR(__xludf.DUMMYFUNCTION("""COMPUTED_VALUE"""),"LINA INDRIYANI")</f>
        <v>LINA INDRIYANI</v>
      </c>
      <c r="D9" s="2" t="str">
        <f>IFERROR(__xludf.DUMMYFUNCTION("""COMPUTED_VALUE"""),"10KM MASTER F")</f>
        <v>10KM MASTER F</v>
      </c>
      <c r="E9" s="1">
        <f>IFERROR(__xludf.DUMMYFUNCTION("""COMPUTED_VALUE"""),1.0)</f>
        <v>1</v>
      </c>
      <c r="F9" s="1" t="str">
        <f>IFERROR(__xludf.DUMMYFUNCTION("""COMPUTED_VALUE"""),"Female")</f>
        <v>Female</v>
      </c>
      <c r="G9" s="4" t="b">
        <f>IFERROR(__xludf.DUMMYFUNCTION("""COMPUTED_VALUE"""),TRUE)</f>
        <v>1</v>
      </c>
      <c r="H9" s="4" t="b">
        <f>IFERROR(__xludf.DUMMYFUNCTION("""COMPUTED_VALUE"""),TRUE)</f>
        <v>1</v>
      </c>
      <c r="I9" s="4">
        <f>IFERROR(__xludf.DUMMYFUNCTION("""COMPUTED_VALUE"""),0.24646185185185185)</f>
        <v>0.2464618519</v>
      </c>
      <c r="J9" s="4">
        <f>IFERROR(__xludf.DUMMYFUNCTION("""COMPUTED_VALUE"""),45949.25623161737)</f>
        <v>45949.25623</v>
      </c>
      <c r="K9" s="4">
        <f>IFERROR(__xludf.DUMMYFUNCTION("""COMPUTED_VALUE"""),45949.282957293995)</f>
        <v>45949.28296</v>
      </c>
      <c r="L9" s="4">
        <f>IFERROR(__xludf.DUMMYFUNCTION("""COMPUTED_VALUE"""),45949.29080016944)</f>
        <v>45949.2908</v>
      </c>
      <c r="M9" s="1" t="str">
        <f>IFERROR(__xludf.DUMMYFUNCTION("""COMPUTED_VALUE"""),"RFID")</f>
        <v>RFID</v>
      </c>
      <c r="N9" s="5">
        <f>IFERROR(__xludf.DUMMYFUNCTION("""COMPUTED_VALUE"""),0.003907907407407407)</f>
        <v>0.003907907407</v>
      </c>
      <c r="O9" s="5">
        <f>IFERROR(__xludf.DUMMYFUNCTION("""COMPUTED_VALUE"""),0.010690268518518519)</f>
        <v>0.01069026852</v>
      </c>
      <c r="P9" s="5">
        <f>IFERROR(__xludf.DUMMYFUNCTION("""COMPUTED_VALUE"""),0.0032275207581452703)</f>
        <v>0.003227520758</v>
      </c>
      <c r="Q9" s="5">
        <f>IFERROR(__xludf.DUMMYFUNCTION("""COMPUTED_VALUE"""),0.004433832175925926)</f>
        <v>0.004433832176</v>
      </c>
      <c r="R9" s="4">
        <f>IFERROR(__xludf.DUMMYFUNCTION("""COMPUTED_VALUE"""),45949.04433831759)</f>
        <v>45949.04434</v>
      </c>
      <c r="S9" s="1" t="b">
        <f>IFERROR(__xludf.DUMMYFUNCTION("""COMPUTED_VALUE"""),TRUE)</f>
        <v>1</v>
      </c>
      <c r="T9" s="1" t="b">
        <f>IFERROR(__xludf.DUMMYFUNCTION("""COMPUTED_VALUE"""),FALSE)</f>
        <v>0</v>
      </c>
      <c r="U9" s="1" t="str">
        <f>IFERROR(__xludf.DUMMYFUNCTION("""COMPUTED_VALUE"""),"VALID")</f>
        <v>VALID</v>
      </c>
      <c r="V9" s="1">
        <f>IFERROR(__xludf.DUMMYFUNCTION("""COMPUTED_VALUE"""),4.0)</f>
        <v>4</v>
      </c>
      <c r="W9" s="1">
        <f>IFERROR(__xludf.DUMMYFUNCTION("""COMPUTED_VALUE"""),233.0)</f>
        <v>233</v>
      </c>
      <c r="X9" s="1">
        <f>IFERROR(__xludf.DUMMYFUNCTION("""COMPUTED_VALUE"""),492.0)</f>
        <v>492</v>
      </c>
      <c r="Y9" s="2"/>
      <c r="Z9" s="2"/>
    </row>
    <row r="10">
      <c r="A10" s="1">
        <f>IFERROR(__xludf.DUMMYFUNCTION("""COMPUTED_VALUE"""),9.0)</f>
        <v>9</v>
      </c>
      <c r="B10" s="1">
        <f>IFERROR(__xludf.DUMMYFUNCTION("""COMPUTED_VALUE"""),12038.0)</f>
        <v>12038</v>
      </c>
      <c r="C10" s="2" t="str">
        <f>IFERROR(__xludf.DUMMYFUNCTION("""COMPUTED_VALUE"""),"Manda")</f>
        <v>Manda</v>
      </c>
      <c r="D10" s="2" t="str">
        <f>IFERROR(__xludf.DUMMYFUNCTION("""COMPUTED_VALUE"""),"10KM MASTER F")</f>
        <v>10KM MASTER F</v>
      </c>
      <c r="E10" s="1">
        <f>IFERROR(__xludf.DUMMYFUNCTION("""COMPUTED_VALUE"""),1.0)</f>
        <v>1</v>
      </c>
      <c r="F10" s="1" t="str">
        <f>IFERROR(__xludf.DUMMYFUNCTION("""COMPUTED_VALUE"""),"Female")</f>
        <v>Female</v>
      </c>
      <c r="G10" s="4" t="b">
        <f>IFERROR(__xludf.DUMMYFUNCTION("""COMPUTED_VALUE"""),TRUE)</f>
        <v>1</v>
      </c>
      <c r="H10" s="4" t="b">
        <f>IFERROR(__xludf.DUMMYFUNCTION("""COMPUTED_VALUE"""),FALSE)</f>
        <v>0</v>
      </c>
      <c r="I10" s="4">
        <f>IFERROR(__xludf.DUMMYFUNCTION("""COMPUTED_VALUE"""),0.24646185185185185)</f>
        <v>0.2464618519</v>
      </c>
      <c r="J10" s="4">
        <f>IFERROR(__xludf.DUMMYFUNCTION("""COMPUTED_VALUE"""),45949.26003718415)</f>
        <v>45949.26004</v>
      </c>
      <c r="K10" s="4">
        <f>IFERROR(__xludf.DUMMYFUNCTION("""COMPUTED_VALUE"""),45949.29336378814)</f>
        <v>45949.29336</v>
      </c>
      <c r="L10" s="4">
        <f>IFERROR(__xludf.DUMMYFUNCTION("""COMPUTED_VALUE"""),45949.303421696575)</f>
        <v>45949.30342</v>
      </c>
      <c r="M10" s="1" t="str">
        <f>IFERROR(__xludf.DUMMYFUNCTION("""COMPUTED_VALUE"""),"RFID")</f>
        <v>RFID</v>
      </c>
      <c r="N10" s="5">
        <f>IFERROR(__xludf.DUMMYFUNCTION("""COMPUTED_VALUE"""),0.0054301342592592595)</f>
        <v>0.005430134259</v>
      </c>
      <c r="O10" s="5">
        <f>IFERROR(__xludf.DUMMYFUNCTION("""COMPUTED_VALUE"""),0.013330643518518518)</f>
        <v>0.01333064352</v>
      </c>
      <c r="P10" s="5">
        <f>IFERROR(__xludf.DUMMYFUNCTION("""COMPUTED_VALUE"""),0.004139056967867446)</f>
        <v>0.004139056968</v>
      </c>
      <c r="Q10" s="5">
        <f>IFERROR(__xludf.DUMMYFUNCTION("""COMPUTED_VALUE"""),0.005695984953703704)</f>
        <v>0.005695984954</v>
      </c>
      <c r="R10" s="4">
        <f>IFERROR(__xludf.DUMMYFUNCTION("""COMPUTED_VALUE"""),45949.056959844725)</f>
        <v>45949.05696</v>
      </c>
      <c r="S10" s="1" t="b">
        <f>IFERROR(__xludf.DUMMYFUNCTION("""COMPUTED_VALUE"""),TRUE)</f>
        <v>1</v>
      </c>
      <c r="T10" s="1" t="b">
        <f>IFERROR(__xludf.DUMMYFUNCTION("""COMPUTED_VALUE"""),FALSE)</f>
        <v>0</v>
      </c>
      <c r="U10" s="1" t="str">
        <f>IFERROR(__xludf.DUMMYFUNCTION("""COMPUTED_VALUE"""),"VALID")</f>
        <v>VALID</v>
      </c>
      <c r="V10" s="1">
        <f>IFERROR(__xludf.DUMMYFUNCTION("""COMPUTED_VALUE"""),9.0)</f>
        <v>9</v>
      </c>
      <c r="W10" s="1">
        <f>IFERROR(__xludf.DUMMYFUNCTION("""COMPUTED_VALUE"""),604.0)</f>
        <v>604</v>
      </c>
      <c r="X10" s="1">
        <f>IFERROR(__xludf.DUMMYFUNCTION("""COMPUTED_VALUE"""),641.0)</f>
        <v>641</v>
      </c>
      <c r="Y10" s="2"/>
      <c r="Z10" s="2"/>
    </row>
    <row r="11">
      <c r="A11" s="1">
        <f>IFERROR(__xludf.DUMMYFUNCTION("""COMPUTED_VALUE"""),10.0)</f>
        <v>10</v>
      </c>
      <c r="B11" s="1">
        <f>IFERROR(__xludf.DUMMYFUNCTION("""COMPUTED_VALUE"""),12041.0)</f>
        <v>12041</v>
      </c>
      <c r="C11" s="2" t="str">
        <f>IFERROR(__xludf.DUMMYFUNCTION("""COMPUTED_VALUE"""),"TANTRINARINDRA")</f>
        <v>TANTRINARINDRA</v>
      </c>
      <c r="D11" s="2" t="str">
        <f>IFERROR(__xludf.DUMMYFUNCTION("""COMPUTED_VALUE"""),"10KM MASTER F")</f>
        <v>10KM MASTER F</v>
      </c>
      <c r="E11" s="1">
        <f>IFERROR(__xludf.DUMMYFUNCTION("""COMPUTED_VALUE"""),1.0)</f>
        <v>1</v>
      </c>
      <c r="F11" s="1" t="str">
        <f>IFERROR(__xludf.DUMMYFUNCTION("""COMPUTED_VALUE"""),"Female")</f>
        <v>Female</v>
      </c>
      <c r="G11" s="4" t="b">
        <f>IFERROR(__xludf.DUMMYFUNCTION("""COMPUTED_VALUE"""),TRUE)</f>
        <v>1</v>
      </c>
      <c r="H11" s="4" t="b">
        <f>IFERROR(__xludf.DUMMYFUNCTION("""COMPUTED_VALUE"""),TRUE)</f>
        <v>1</v>
      </c>
      <c r="I11" s="4">
        <f>IFERROR(__xludf.DUMMYFUNCTION("""COMPUTED_VALUE"""),0.24646185185185185)</f>
        <v>0.2464618519</v>
      </c>
      <c r="J11" s="4">
        <f>IFERROR(__xludf.DUMMYFUNCTION("""COMPUTED_VALUE"""),45949.25790168366)</f>
        <v>45949.2579</v>
      </c>
      <c r="K11" s="4">
        <f>IFERROR(__xludf.DUMMYFUNCTION("""COMPUTED_VALUE"""),45949.29288458721)</f>
        <v>45949.29288</v>
      </c>
      <c r="L11" s="4">
        <f>IFERROR(__xludf.DUMMYFUNCTION("""COMPUTED_VALUE"""),45949.30410573339)</f>
        <v>45949.30411</v>
      </c>
      <c r="M11" s="1" t="str">
        <f>IFERROR(__xludf.DUMMYFUNCTION("""COMPUTED_VALUE"""),"RFID")</f>
        <v>RFID</v>
      </c>
      <c r="N11" s="5">
        <f>IFERROR(__xludf.DUMMYFUNCTION("""COMPUTED_VALUE"""),0.004575930555555555)</f>
        <v>0.004575930556</v>
      </c>
      <c r="O11" s="5">
        <f>IFERROR(__xludf.DUMMYFUNCTION("""COMPUTED_VALUE"""),0.013993162037037038)</f>
        <v>0.01399316204</v>
      </c>
      <c r="P11" s="5">
        <f>IFERROR(__xludf.DUMMYFUNCTION("""COMPUTED_VALUE"""),0.0046177556304215096)</f>
        <v>0.00461775563</v>
      </c>
      <c r="Q11" s="5">
        <f>IFERROR(__xludf.DUMMYFUNCTION("""COMPUTED_VALUE"""),0.005764387731481481)</f>
        <v>0.005764387731</v>
      </c>
      <c r="R11" s="4">
        <f>IFERROR(__xludf.DUMMYFUNCTION("""COMPUTED_VALUE"""),45949.05764388154)</f>
        <v>45949.05764</v>
      </c>
      <c r="S11" s="1" t="b">
        <f>IFERROR(__xludf.DUMMYFUNCTION("""COMPUTED_VALUE"""),TRUE)</f>
        <v>1</v>
      </c>
      <c r="T11" s="1" t="b">
        <f>IFERROR(__xludf.DUMMYFUNCTION("""COMPUTED_VALUE"""),FALSE)</f>
        <v>0</v>
      </c>
      <c r="U11" s="1" t="str">
        <f>IFERROR(__xludf.DUMMYFUNCTION("""COMPUTED_VALUE"""),"VALID")</f>
        <v>VALID</v>
      </c>
      <c r="V11" s="1">
        <f>IFERROR(__xludf.DUMMYFUNCTION("""COMPUTED_VALUE"""),10.0)</f>
        <v>10</v>
      </c>
      <c r="W11" s="1">
        <f>IFERROR(__xludf.DUMMYFUNCTION("""COMPUTED_VALUE"""),617.0)</f>
        <v>617</v>
      </c>
      <c r="X11" s="1">
        <f>IFERROR(__xludf.DUMMYFUNCTION("""COMPUTED_VALUE"""),645.0)</f>
        <v>645</v>
      </c>
      <c r="Y11" s="2"/>
      <c r="Z11" s="2"/>
    </row>
    <row r="12">
      <c r="A12" s="1">
        <f>IFERROR(__xludf.DUMMYFUNCTION("""COMPUTED_VALUE"""),11.0)</f>
        <v>11</v>
      </c>
      <c r="B12" s="1">
        <f>IFERROR(__xludf.DUMMYFUNCTION("""COMPUTED_VALUE"""),12043.0)</f>
        <v>12043</v>
      </c>
      <c r="C12" s="2" t="str">
        <f>IFERROR(__xludf.DUMMYFUNCTION("""COMPUTED_VALUE"""),"Nining K")</f>
        <v>Nining K</v>
      </c>
      <c r="D12" s="2" t="str">
        <f>IFERROR(__xludf.DUMMYFUNCTION("""COMPUTED_VALUE"""),"10KM MASTER F")</f>
        <v>10KM MASTER F</v>
      </c>
      <c r="E12" s="1">
        <f>IFERROR(__xludf.DUMMYFUNCTION("""COMPUTED_VALUE"""),1.0)</f>
        <v>1</v>
      </c>
      <c r="F12" s="1" t="str">
        <f>IFERROR(__xludf.DUMMYFUNCTION("""COMPUTED_VALUE"""),"Female")</f>
        <v>Female</v>
      </c>
      <c r="G12" s="4" t="b">
        <f>IFERROR(__xludf.DUMMYFUNCTION("""COMPUTED_VALUE"""),TRUE)</f>
        <v>1</v>
      </c>
      <c r="H12" s="4" t="b">
        <f>IFERROR(__xludf.DUMMYFUNCTION("""COMPUTED_VALUE"""),TRUE)</f>
        <v>1</v>
      </c>
      <c r="I12" s="4">
        <f>IFERROR(__xludf.DUMMYFUNCTION("""COMPUTED_VALUE"""),0.24646185185185185)</f>
        <v>0.2464618519</v>
      </c>
      <c r="J12" s="4">
        <f>IFERROR(__xludf.DUMMYFUNCTION("""COMPUTED_VALUE"""),45949.26036007699)</f>
        <v>45949.26036</v>
      </c>
      <c r="K12" s="4">
        <f>IFERROR(__xludf.DUMMYFUNCTION("""COMPUTED_VALUE"""),45949.29793317142)</f>
        <v>45949.29793</v>
      </c>
      <c r="L12" s="4">
        <f>IFERROR(__xludf.DUMMYFUNCTION("""COMPUTED_VALUE"""),45949.30868901379)</f>
        <v>45949.30869</v>
      </c>
      <c r="M12" s="1" t="str">
        <f>IFERROR(__xludf.DUMMYFUNCTION("""COMPUTED_VALUE"""),"RFID")</f>
        <v>RFID</v>
      </c>
      <c r="N12" s="5">
        <f>IFERROR(__xludf.DUMMYFUNCTION("""COMPUTED_VALUE"""),0.005559291666666666)</f>
        <v>0.005559291667</v>
      </c>
      <c r="O12" s="5">
        <f>IFERROR(__xludf.DUMMYFUNCTION("""COMPUTED_VALUE"""),0.015029236111111111)</f>
        <v>0.01502923611</v>
      </c>
      <c r="P12" s="5">
        <f>IFERROR(__xludf.DUMMYFUNCTION("""COMPUTED_VALUE"""),0.004426272580119371)</f>
        <v>0.00442627258</v>
      </c>
      <c r="Q12" s="5">
        <f>IFERROR(__xludf.DUMMYFUNCTION("""COMPUTED_VALUE"""),0.006222716435185184)</f>
        <v>0.006222716435</v>
      </c>
      <c r="R12" s="4">
        <f>IFERROR(__xludf.DUMMYFUNCTION("""COMPUTED_VALUE"""),45949.06222716194)</f>
        <v>45949.06223</v>
      </c>
      <c r="S12" s="1" t="b">
        <f>IFERROR(__xludf.DUMMYFUNCTION("""COMPUTED_VALUE"""),TRUE)</f>
        <v>1</v>
      </c>
      <c r="T12" s="1" t="b">
        <f>IFERROR(__xludf.DUMMYFUNCTION("""COMPUTED_VALUE"""),FALSE)</f>
        <v>0</v>
      </c>
      <c r="U12" s="1" t="str">
        <f>IFERROR(__xludf.DUMMYFUNCTION("""COMPUTED_VALUE"""),"VALID")</f>
        <v>VALID</v>
      </c>
      <c r="V12" s="1">
        <f>IFERROR(__xludf.DUMMYFUNCTION("""COMPUTED_VALUE"""),16.0)</f>
        <v>16</v>
      </c>
      <c r="W12" s="1">
        <f>IFERROR(__xludf.DUMMYFUNCTION("""COMPUTED_VALUE"""),681.0)</f>
        <v>681</v>
      </c>
      <c r="X12" s="1">
        <f>IFERROR(__xludf.DUMMYFUNCTION("""COMPUTED_VALUE"""),662.0)</f>
        <v>662</v>
      </c>
      <c r="Y12" s="2"/>
      <c r="Z12" s="2"/>
    </row>
    <row r="13">
      <c r="A13" s="1">
        <f>IFERROR(__xludf.DUMMYFUNCTION("""COMPUTED_VALUE"""),12.0)</f>
        <v>12</v>
      </c>
      <c r="B13" s="1">
        <f>IFERROR(__xludf.DUMMYFUNCTION("""COMPUTED_VALUE"""),12049.0)</f>
        <v>12049</v>
      </c>
      <c r="C13" s="2" t="str">
        <f>IFERROR(__xludf.DUMMYFUNCTION("""COMPUTED_VALUE"""),"Ida Chilla")</f>
        <v>Ida Chilla</v>
      </c>
      <c r="D13" s="2" t="str">
        <f>IFERROR(__xludf.DUMMYFUNCTION("""COMPUTED_VALUE"""),"10KM MASTER F")</f>
        <v>10KM MASTER F</v>
      </c>
      <c r="E13" s="1">
        <f>IFERROR(__xludf.DUMMYFUNCTION("""COMPUTED_VALUE"""),1.0)</f>
        <v>1</v>
      </c>
      <c r="F13" s="1" t="str">
        <f>IFERROR(__xludf.DUMMYFUNCTION("""COMPUTED_VALUE"""),"Female")</f>
        <v>Female</v>
      </c>
      <c r="G13" s="4" t="b">
        <f>IFERROR(__xludf.DUMMYFUNCTION("""COMPUTED_VALUE"""),TRUE)</f>
        <v>1</v>
      </c>
      <c r="H13" s="4" t="b">
        <f>IFERROR(__xludf.DUMMYFUNCTION("""COMPUTED_VALUE"""),TRUE)</f>
        <v>1</v>
      </c>
      <c r="I13" s="4">
        <f>IFERROR(__xludf.DUMMYFUNCTION("""COMPUTED_VALUE"""),0.24646185185185185)</f>
        <v>0.2464618519</v>
      </c>
      <c r="J13" s="4">
        <f>IFERROR(__xludf.DUMMYFUNCTION("""COMPUTED_VALUE"""),45949.258332300094)</f>
        <v>45949.25833</v>
      </c>
      <c r="K13" s="4">
        <f>IFERROR(__xludf.DUMMYFUNCTION("""COMPUTED_VALUE"""),45949.29706862724)</f>
        <v>45949.29707</v>
      </c>
      <c r="L13" s="4">
        <f>IFERROR(__xludf.DUMMYFUNCTION("""COMPUTED_VALUE"""),45949.308446007315)</f>
        <v>45949.30845</v>
      </c>
      <c r="M13" s="1" t="str">
        <f>IFERROR(__xludf.DUMMYFUNCTION("""COMPUTED_VALUE"""),"RFID")</f>
        <v>RFID</v>
      </c>
      <c r="N13" s="5">
        <f>IFERROR(__xludf.DUMMYFUNCTION("""COMPUTED_VALUE"""),0.004748180555555556)</f>
        <v>0.004748180556</v>
      </c>
      <c r="O13" s="5">
        <f>IFERROR(__xludf.DUMMYFUNCTION("""COMPUTED_VALUE"""),0.015494532407407408)</f>
        <v>0.01549453241</v>
      </c>
      <c r="P13" s="5">
        <f>IFERROR(__xludf.DUMMYFUNCTION("""COMPUTED_VALUE"""),0.004682049414295312)</f>
        <v>0.004682049414</v>
      </c>
      <c r="Q13" s="5">
        <f>IFERROR(__xludf.DUMMYFUNCTION("""COMPUTED_VALUE"""),0.0061984155092592585)</f>
        <v>0.006198415509</v>
      </c>
      <c r="R13" s="4">
        <f>IFERROR(__xludf.DUMMYFUNCTION("""COMPUTED_VALUE"""),45949.061984155465)</f>
        <v>45949.06198</v>
      </c>
      <c r="S13" s="1" t="b">
        <f>IFERROR(__xludf.DUMMYFUNCTION("""COMPUTED_VALUE"""),TRUE)</f>
        <v>1</v>
      </c>
      <c r="T13" s="1" t="b">
        <f>IFERROR(__xludf.DUMMYFUNCTION("""COMPUTED_VALUE"""),FALSE)</f>
        <v>0</v>
      </c>
      <c r="U13" s="1" t="str">
        <f>IFERROR(__xludf.DUMMYFUNCTION("""COMPUTED_VALUE"""),"VALID")</f>
        <v>VALID</v>
      </c>
      <c r="V13" s="1">
        <f>IFERROR(__xludf.DUMMYFUNCTION("""COMPUTED_VALUE"""),15.0)</f>
        <v>15</v>
      </c>
      <c r="W13" s="1">
        <f>IFERROR(__xludf.DUMMYFUNCTION("""COMPUTED_VALUE"""),679.0)</f>
        <v>679</v>
      </c>
      <c r="X13" s="1">
        <f>IFERROR(__xludf.DUMMYFUNCTION("""COMPUTED_VALUE"""),661.0)</f>
        <v>661</v>
      </c>
      <c r="Y13" s="2"/>
      <c r="Z13" s="2"/>
    </row>
    <row r="14">
      <c r="A14" s="1">
        <f>IFERROR(__xludf.DUMMYFUNCTION("""COMPUTED_VALUE"""),13.0)</f>
        <v>13</v>
      </c>
      <c r="B14" s="1">
        <f>IFERROR(__xludf.DUMMYFUNCTION("""COMPUTED_VALUE"""),12058.0)</f>
        <v>12058</v>
      </c>
      <c r="C14" s="2" t="str">
        <f>IFERROR(__xludf.DUMMYFUNCTION("""COMPUTED_VALUE"""),"Daniel Rembeth")</f>
        <v>Daniel Rembeth</v>
      </c>
      <c r="D14" s="2" t="str">
        <f>IFERROR(__xludf.DUMMYFUNCTION("""COMPUTED_VALUE"""),"10KM MASTER F")</f>
        <v>10KM MASTER F</v>
      </c>
      <c r="E14" s="1">
        <f>IFERROR(__xludf.DUMMYFUNCTION("""COMPUTED_VALUE"""),1.0)</f>
        <v>1</v>
      </c>
      <c r="F14" s="1" t="str">
        <f>IFERROR(__xludf.DUMMYFUNCTION("""COMPUTED_VALUE"""),"Female")</f>
        <v>Female</v>
      </c>
      <c r="G14" s="4" t="b">
        <f>IFERROR(__xludf.DUMMYFUNCTION("""COMPUTED_VALUE"""),TRUE)</f>
        <v>1</v>
      </c>
      <c r="H14" s="4" t="b">
        <f>IFERROR(__xludf.DUMMYFUNCTION("""COMPUTED_VALUE"""),FALSE)</f>
        <v>0</v>
      </c>
      <c r="I14" s="4">
        <f>IFERROR(__xludf.DUMMYFUNCTION("""COMPUTED_VALUE"""),0.24646185185185185)</f>
        <v>0.2464618519</v>
      </c>
      <c r="J14" s="4">
        <f>IFERROR(__xludf.DUMMYFUNCTION("""COMPUTED_VALUE"""),45949.25967251736)</f>
        <v>45949.25967</v>
      </c>
      <c r="K14" s="4">
        <f>IFERROR(__xludf.DUMMYFUNCTION("""COMPUTED_VALUE"""),45949.296756084215)</f>
        <v>45949.29676</v>
      </c>
      <c r="L14" s="4">
        <f>IFERROR(__xludf.DUMMYFUNCTION("""COMPUTED_VALUE"""),45949.30601891958)</f>
        <v>45949.30602</v>
      </c>
      <c r="M14" s="1" t="str">
        <f>IFERROR(__xludf.DUMMYFUNCTION("""COMPUTED_VALUE"""),"RFID")</f>
        <v>RFID</v>
      </c>
      <c r="N14" s="5">
        <f>IFERROR(__xludf.DUMMYFUNCTION("""COMPUTED_VALUE"""),0.005284263888888889)</f>
        <v>0.005284263889</v>
      </c>
      <c r="O14" s="5">
        <f>IFERROR(__xludf.DUMMYFUNCTION("""COMPUTED_VALUE"""),0.014833425925925925)</f>
        <v>0.01483342593</v>
      </c>
      <c r="P14" s="5">
        <f>IFERROR(__xludf.DUMMYFUNCTION("""COMPUTED_VALUE"""),0.0038118664061012504)</f>
        <v>0.003811866406</v>
      </c>
      <c r="Q14" s="5">
        <f>IFERROR(__xludf.DUMMYFUNCTION("""COMPUTED_VALUE"""),0.005955707175925926)</f>
        <v>0.005955707176</v>
      </c>
      <c r="R14" s="4">
        <f>IFERROR(__xludf.DUMMYFUNCTION("""COMPUTED_VALUE"""),45949.05955706773)</f>
        <v>45949.05956</v>
      </c>
      <c r="S14" s="1" t="b">
        <f>IFERROR(__xludf.DUMMYFUNCTION("""COMPUTED_VALUE"""),TRUE)</f>
        <v>1</v>
      </c>
      <c r="T14" s="1" t="b">
        <f>IFERROR(__xludf.DUMMYFUNCTION("""COMPUTED_VALUE"""),FALSE)</f>
        <v>0</v>
      </c>
      <c r="U14" s="1" t="str">
        <f>IFERROR(__xludf.DUMMYFUNCTION("""COMPUTED_VALUE"""),"VALID")</f>
        <v>VALID</v>
      </c>
      <c r="V14" s="1">
        <f>IFERROR(__xludf.DUMMYFUNCTION("""COMPUTED_VALUE"""),12.0)</f>
        <v>12</v>
      </c>
      <c r="W14" s="1">
        <f>IFERROR(__xludf.DUMMYFUNCTION("""COMPUTED_VALUE"""),647.0)</f>
        <v>647</v>
      </c>
      <c r="X14" s="1">
        <f>IFERROR(__xludf.DUMMYFUNCTION("""COMPUTED_VALUE"""),654.0)</f>
        <v>654</v>
      </c>
      <c r="Y14" s="2"/>
      <c r="Z14" s="2"/>
    </row>
    <row r="15">
      <c r="A15" s="1">
        <f>IFERROR(__xludf.DUMMYFUNCTION("""COMPUTED_VALUE"""),14.0)</f>
        <v>14</v>
      </c>
      <c r="B15" s="1">
        <f>IFERROR(__xludf.DUMMYFUNCTION("""COMPUTED_VALUE"""),12060.0)</f>
        <v>12060</v>
      </c>
      <c r="C15" s="2" t="str">
        <f>IFERROR(__xludf.DUMMYFUNCTION("""COMPUTED_VALUE"""),"SITI")</f>
        <v>SITI</v>
      </c>
      <c r="D15" s="2" t="str">
        <f>IFERROR(__xludf.DUMMYFUNCTION("""COMPUTED_VALUE"""),"10KM MASTER F")</f>
        <v>10KM MASTER F</v>
      </c>
      <c r="E15" s="1">
        <f>IFERROR(__xludf.DUMMYFUNCTION("""COMPUTED_VALUE"""),1.0)</f>
        <v>1</v>
      </c>
      <c r="F15" s="1" t="str">
        <f>IFERROR(__xludf.DUMMYFUNCTION("""COMPUTED_VALUE"""),"Female")</f>
        <v>Female</v>
      </c>
      <c r="G15" s="4" t="b">
        <f>IFERROR(__xludf.DUMMYFUNCTION("""COMPUTED_VALUE"""),TRUE)</f>
        <v>1</v>
      </c>
      <c r="H15" s="4" t="b">
        <f>IFERROR(__xludf.DUMMYFUNCTION("""COMPUTED_VALUE"""),FALSE)</f>
        <v>0</v>
      </c>
      <c r="I15" s="4">
        <f>IFERROR(__xludf.DUMMYFUNCTION("""COMPUTED_VALUE"""),0.24646185185185185)</f>
        <v>0.2464618519</v>
      </c>
      <c r="J15" s="4">
        <f>IFERROR(__xludf.DUMMYFUNCTION("""COMPUTED_VALUE"""),45949.25940522293)</f>
        <v>45949.25941</v>
      </c>
      <c r="K15" s="4">
        <f>IFERROR(__xludf.DUMMYFUNCTION("""COMPUTED_VALUE"""),45949.29544709063)</f>
        <v>45949.29545</v>
      </c>
      <c r="L15" s="4">
        <f>IFERROR(__xludf.DUMMYFUNCTION("""COMPUTED_VALUE"""),45949.306268882574)</f>
        <v>45949.30627</v>
      </c>
      <c r="M15" s="1" t="str">
        <f>IFERROR(__xludf.DUMMYFUNCTION("""COMPUTED_VALUE"""),"RFID")</f>
        <v>RFID</v>
      </c>
      <c r="N15" s="5">
        <f>IFERROR(__xludf.DUMMYFUNCTION("""COMPUTED_VALUE"""),0.005177347222222222)</f>
        <v>0.005177347222</v>
      </c>
      <c r="O15" s="5">
        <f>IFERROR(__xludf.DUMMYFUNCTION("""COMPUTED_VALUE"""),0.014416745370370371)</f>
        <v>0.01441674537</v>
      </c>
      <c r="P15" s="5">
        <f>IFERROR(__xludf.DUMMYFUNCTION("""COMPUTED_VALUE"""),0.004453412321211249)</f>
        <v>0.004453412321</v>
      </c>
      <c r="Q15" s="5">
        <f>IFERROR(__xludf.DUMMYFUNCTION("""COMPUTED_VALUE"""),0.0059807025462962965)</f>
        <v>0.005980702546</v>
      </c>
      <c r="R15" s="4">
        <f>IFERROR(__xludf.DUMMYFUNCTION("""COMPUTED_VALUE"""),45949.059807030724)</f>
        <v>45949.05981</v>
      </c>
      <c r="S15" s="1" t="b">
        <f>IFERROR(__xludf.DUMMYFUNCTION("""COMPUTED_VALUE"""),TRUE)</f>
        <v>1</v>
      </c>
      <c r="T15" s="1" t="b">
        <f>IFERROR(__xludf.DUMMYFUNCTION("""COMPUTED_VALUE"""),FALSE)</f>
        <v>0</v>
      </c>
      <c r="U15" s="1" t="str">
        <f>IFERROR(__xludf.DUMMYFUNCTION("""COMPUTED_VALUE"""),"VALID")</f>
        <v>VALID</v>
      </c>
      <c r="V15" s="1">
        <f>IFERROR(__xludf.DUMMYFUNCTION("""COMPUTED_VALUE"""),14.0)</f>
        <v>14</v>
      </c>
      <c r="W15" s="1">
        <f>IFERROR(__xludf.DUMMYFUNCTION("""COMPUTED_VALUE"""),652.0)</f>
        <v>652</v>
      </c>
      <c r="X15" s="1">
        <f>IFERROR(__xludf.DUMMYFUNCTION("""COMPUTED_VALUE"""),658.0)</f>
        <v>658</v>
      </c>
      <c r="Y15" s="2"/>
      <c r="Z15" s="2"/>
    </row>
    <row r="16">
      <c r="A16" s="1">
        <f>IFERROR(__xludf.DUMMYFUNCTION("""COMPUTED_VALUE"""),15.0)</f>
        <v>15</v>
      </c>
      <c r="B16" s="1">
        <f>IFERROR(__xludf.DUMMYFUNCTION("""COMPUTED_VALUE"""),12068.0)</f>
        <v>12068</v>
      </c>
      <c r="C16" s="2" t="str">
        <f>IFERROR(__xludf.DUMMYFUNCTION("""COMPUTED_VALUE"""),"sinta")</f>
        <v>sinta</v>
      </c>
      <c r="D16" s="2" t="str">
        <f>IFERROR(__xludf.DUMMYFUNCTION("""COMPUTED_VALUE"""),"10KM MASTER F")</f>
        <v>10KM MASTER F</v>
      </c>
      <c r="E16" s="1">
        <f>IFERROR(__xludf.DUMMYFUNCTION("""COMPUTED_VALUE"""),1.0)</f>
        <v>1</v>
      </c>
      <c r="F16" s="1" t="str">
        <f>IFERROR(__xludf.DUMMYFUNCTION("""COMPUTED_VALUE"""),"Female")</f>
        <v>Female</v>
      </c>
      <c r="G16" s="4" t="str">
        <f>IFERROR(__xludf.DUMMYFUNCTION("""COMPUTED_VALUE"""),"")</f>
        <v/>
      </c>
      <c r="H16" s="4" t="b">
        <f>IFERROR(__xludf.DUMMYFUNCTION("""COMPUTED_VALUE"""),FALSE)</f>
        <v>0</v>
      </c>
      <c r="I16" s="4">
        <f>IFERROR(__xludf.DUMMYFUNCTION("""COMPUTED_VALUE"""),0.24646185185185185)</f>
        <v>0.2464618519</v>
      </c>
      <c r="J16" s="4" t="str">
        <f>IFERROR(__xludf.DUMMYFUNCTION("""COMPUTED_VALUE"""),"")</f>
        <v/>
      </c>
      <c r="K16" s="4" t="str">
        <f>IFERROR(__xludf.DUMMYFUNCTION("""COMPUTED_VALUE"""),"")</f>
        <v/>
      </c>
      <c r="L16" s="4" t="str">
        <f>IFERROR(__xludf.DUMMYFUNCTION("""COMPUTED_VALUE"""),"")</f>
        <v/>
      </c>
      <c r="M16" s="1" t="str">
        <f>IFERROR(__xludf.DUMMYFUNCTION("""COMPUTED_VALUE"""),"RFID")</f>
        <v>RFID</v>
      </c>
      <c r="N16" s="5" t="str">
        <f>IFERROR(__xludf.DUMMYFUNCTION("""COMPUTED_VALUE"""),"")</f>
        <v/>
      </c>
      <c r="O16" s="5" t="str">
        <f>IFERROR(__xludf.DUMMYFUNCTION("""COMPUTED_VALUE"""),"")</f>
        <v/>
      </c>
      <c r="P16" s="5" t="str">
        <f>IFERROR(__xludf.DUMMYFUNCTION("""COMPUTED_VALUE"""),"")</f>
        <v/>
      </c>
      <c r="Q16" s="5" t="str">
        <f>IFERROR(__xludf.DUMMYFUNCTION("""COMPUTED_VALUE"""),"")</f>
        <v/>
      </c>
      <c r="R16" s="4" t="str">
        <f>IFERROR(__xludf.DUMMYFUNCTION("""COMPUTED_VALUE"""),"")</f>
        <v/>
      </c>
      <c r="S16" s="1" t="b">
        <f>IFERROR(__xludf.DUMMYFUNCTION("""COMPUTED_VALUE"""),FALSE)</f>
        <v>0</v>
      </c>
      <c r="T16" s="1" t="b">
        <f>IFERROR(__xludf.DUMMYFUNCTION("""COMPUTED_VALUE"""),FALSE)</f>
        <v>0</v>
      </c>
      <c r="U16" s="1" t="str">
        <f>IFERROR(__xludf.DUMMYFUNCTION("""COMPUTED_VALUE"""),"DSQ")</f>
        <v>DSQ</v>
      </c>
      <c r="V16" s="1" t="str">
        <f>IFERROR(__xludf.DUMMYFUNCTION("""COMPUTED_VALUE"""),"DSQ")</f>
        <v>DSQ</v>
      </c>
      <c r="W16" s="1" t="str">
        <f>IFERROR(__xludf.DUMMYFUNCTION("""COMPUTED_VALUE"""),"DSQ")</f>
        <v>DSQ</v>
      </c>
      <c r="X16" s="1" t="str">
        <f>IFERROR(__xludf.DUMMYFUNCTION("""COMPUTED_VALUE"""),"DSQ")</f>
        <v>DSQ</v>
      </c>
      <c r="Y16" s="2"/>
      <c r="Z16" s="2" t="str">
        <f>IFERROR(__xludf.DUMMYFUNCTION("""COMPUTED_VALUE"""),"")</f>
        <v/>
      </c>
    </row>
    <row r="17">
      <c r="A17" s="1">
        <f>IFERROR(__xludf.DUMMYFUNCTION("""COMPUTED_VALUE"""),16.0)</f>
        <v>16</v>
      </c>
      <c r="B17" s="1">
        <f>IFERROR(__xludf.DUMMYFUNCTION("""COMPUTED_VALUE"""),12077.0)</f>
        <v>12077</v>
      </c>
      <c r="C17" s="2" t="str">
        <f>IFERROR(__xludf.DUMMYFUNCTION("""COMPUTED_VALUE"""),"Onyah Yuyung")</f>
        <v>Onyah Yuyung</v>
      </c>
      <c r="D17" s="2" t="str">
        <f>IFERROR(__xludf.DUMMYFUNCTION("""COMPUTED_VALUE"""),"10KM MASTER F")</f>
        <v>10KM MASTER F</v>
      </c>
      <c r="E17" s="1">
        <f>IFERROR(__xludf.DUMMYFUNCTION("""COMPUTED_VALUE"""),1.0)</f>
        <v>1</v>
      </c>
      <c r="F17" s="1" t="str">
        <f>IFERROR(__xludf.DUMMYFUNCTION("""COMPUTED_VALUE"""),"Female")</f>
        <v>Female</v>
      </c>
      <c r="G17" s="4" t="b">
        <f>IFERROR(__xludf.DUMMYFUNCTION("""COMPUTED_VALUE"""),TRUE)</f>
        <v>1</v>
      </c>
      <c r="H17" s="4" t="b">
        <f>IFERROR(__xludf.DUMMYFUNCTION("""COMPUTED_VALUE"""),TRUE)</f>
        <v>1</v>
      </c>
      <c r="I17" s="4">
        <f>IFERROR(__xludf.DUMMYFUNCTION("""COMPUTED_VALUE"""),0.24646185185185185)</f>
        <v>0.2464618519</v>
      </c>
      <c r="J17" s="4">
        <f>IFERROR(__xludf.DUMMYFUNCTION("""COMPUTED_VALUE"""),45949.25450585223)</f>
        <v>45949.25451</v>
      </c>
      <c r="K17" s="4">
        <f>IFERROR(__xludf.DUMMYFUNCTION("""COMPUTED_VALUE"""),45949.27576789224)</f>
        <v>45949.27577</v>
      </c>
      <c r="L17" s="4">
        <f>IFERROR(__xludf.DUMMYFUNCTION("""COMPUTED_VALUE"""),45949.28211614838)</f>
        <v>45949.28212</v>
      </c>
      <c r="M17" s="1" t="str">
        <f>IFERROR(__xludf.DUMMYFUNCTION("""COMPUTED_VALUE"""),"RFID")</f>
        <v>RFID</v>
      </c>
      <c r="N17" s="5">
        <f>IFERROR(__xludf.DUMMYFUNCTION("""COMPUTED_VALUE"""),0.0032176018518518513)</f>
        <v>0.003217601852</v>
      </c>
      <c r="O17" s="5">
        <f>IFERROR(__xludf.DUMMYFUNCTION("""COMPUTED_VALUE"""),0.008504814814814816)</f>
        <v>0.008504814815</v>
      </c>
      <c r="P17" s="5">
        <f>IFERROR(__xludf.DUMMYFUNCTION("""COMPUTED_VALUE"""),0.0026124510856598247)</f>
        <v>0.002612451086</v>
      </c>
      <c r="Q17" s="5">
        <f>IFERROR(__xludf.DUMMYFUNCTION("""COMPUTED_VALUE"""),0.0035654293981481483)</f>
        <v>0.003565429398</v>
      </c>
      <c r="R17" s="4">
        <f>IFERROR(__xludf.DUMMYFUNCTION("""COMPUTED_VALUE"""),45949.03565429653)</f>
        <v>45949.03565</v>
      </c>
      <c r="S17" s="1" t="b">
        <f>IFERROR(__xludf.DUMMYFUNCTION("""COMPUTED_VALUE"""),TRUE)</f>
        <v>1</v>
      </c>
      <c r="T17" s="1" t="b">
        <f>IFERROR(__xludf.DUMMYFUNCTION("""COMPUTED_VALUE"""),FALSE)</f>
        <v>0</v>
      </c>
      <c r="U17" s="1" t="str">
        <f>IFERROR(__xludf.DUMMYFUNCTION("""COMPUTED_VALUE"""),"VALID")</f>
        <v>VALID</v>
      </c>
      <c r="V17" s="1">
        <f>IFERROR(__xludf.DUMMYFUNCTION("""COMPUTED_VALUE"""),1.0)</f>
        <v>1</v>
      </c>
      <c r="W17" s="1">
        <f>IFERROR(__xludf.DUMMYFUNCTION("""COMPUTED_VALUE"""),47.0)</f>
        <v>47</v>
      </c>
      <c r="X17" s="1">
        <f>IFERROR(__xludf.DUMMYFUNCTION("""COMPUTED_VALUE"""),217.0)</f>
        <v>217</v>
      </c>
      <c r="Y17" s="2"/>
      <c r="Z17" s="2"/>
    </row>
    <row r="18">
      <c r="A18" s="1">
        <f>IFERROR(__xludf.DUMMYFUNCTION("""COMPUTED_VALUE"""),17.0)</f>
        <v>17</v>
      </c>
      <c r="B18" s="1">
        <f>IFERROR(__xludf.DUMMYFUNCTION("""COMPUTED_VALUE"""),12078.0)</f>
        <v>12078</v>
      </c>
      <c r="C18" s="2" t="str">
        <f>IFERROR(__xludf.DUMMYFUNCTION("""COMPUTED_VALUE"""),"Arbaina Rahmi S")</f>
        <v>Arbaina Rahmi S</v>
      </c>
      <c r="D18" s="2" t="str">
        <f>IFERROR(__xludf.DUMMYFUNCTION("""COMPUTED_VALUE"""),"10KM MASTER F")</f>
        <v>10KM MASTER F</v>
      </c>
      <c r="E18" s="1">
        <f>IFERROR(__xludf.DUMMYFUNCTION("""COMPUTED_VALUE"""),1.0)</f>
        <v>1</v>
      </c>
      <c r="F18" s="1" t="str">
        <f>IFERROR(__xludf.DUMMYFUNCTION("""COMPUTED_VALUE"""),"Female")</f>
        <v>Female</v>
      </c>
      <c r="G18" s="4" t="b">
        <f>IFERROR(__xludf.DUMMYFUNCTION("""COMPUTED_VALUE"""),TRUE)</f>
        <v>1</v>
      </c>
      <c r="H18" s="4" t="b">
        <f>IFERROR(__xludf.DUMMYFUNCTION("""COMPUTED_VALUE"""),TRUE)</f>
        <v>1</v>
      </c>
      <c r="I18" s="4">
        <f>IFERROR(__xludf.DUMMYFUNCTION("""COMPUTED_VALUE"""),0.24646185185185185)</f>
        <v>0.2464618519</v>
      </c>
      <c r="J18" s="4">
        <f>IFERROR(__xludf.DUMMYFUNCTION("""COMPUTED_VALUE"""),45949.257009381654)</f>
        <v>45949.25701</v>
      </c>
      <c r="K18" s="4">
        <f>IFERROR(__xludf.DUMMYFUNCTION("""COMPUTED_VALUE"""),45949.28929408649)</f>
        <v>45949.28929</v>
      </c>
      <c r="L18" s="4">
        <f>IFERROR(__xludf.DUMMYFUNCTION("""COMPUTED_VALUE"""),45949.29853975237)</f>
        <v>45949.29854</v>
      </c>
      <c r="M18" s="1" t="str">
        <f>IFERROR(__xludf.DUMMYFUNCTION("""COMPUTED_VALUE"""),"RFID")</f>
        <v>RFID</v>
      </c>
      <c r="N18" s="5">
        <f>IFERROR(__xludf.DUMMYFUNCTION("""COMPUTED_VALUE"""),0.0042190138888888885)</f>
        <v>0.004219013889</v>
      </c>
      <c r="O18" s="5">
        <f>IFERROR(__xludf.DUMMYFUNCTION("""COMPUTED_VALUE"""),0.01291387962962963)</f>
        <v>0.01291387963</v>
      </c>
      <c r="P18" s="5">
        <f>IFERROR(__xludf.DUMMYFUNCTION("""COMPUTED_VALUE"""),0.003804800774563878)</f>
        <v>0.003804800775</v>
      </c>
      <c r="Q18" s="5">
        <f>IFERROR(__xludf.DUMMYFUNCTION("""COMPUTED_VALUE"""),0.005207790509259259)</f>
        <v>0.005207790509</v>
      </c>
      <c r="R18" s="4">
        <f>IFERROR(__xludf.DUMMYFUNCTION("""COMPUTED_VALUE"""),45949.052077900524)</f>
        <v>45949.05208</v>
      </c>
      <c r="S18" s="1" t="b">
        <f>IFERROR(__xludf.DUMMYFUNCTION("""COMPUTED_VALUE"""),TRUE)</f>
        <v>1</v>
      </c>
      <c r="T18" s="1" t="b">
        <f>IFERROR(__xludf.DUMMYFUNCTION("""COMPUTED_VALUE"""),FALSE)</f>
        <v>0</v>
      </c>
      <c r="U18" s="1" t="str">
        <f>IFERROR(__xludf.DUMMYFUNCTION("""COMPUTED_VALUE"""),"VALID")</f>
        <v>VALID</v>
      </c>
      <c r="V18" s="1">
        <f>IFERROR(__xludf.DUMMYFUNCTION("""COMPUTED_VALUE"""),6.0)</f>
        <v>6</v>
      </c>
      <c r="W18" s="1">
        <f>IFERROR(__xludf.DUMMYFUNCTION("""COMPUTED_VALUE"""),458.0)</f>
        <v>458</v>
      </c>
      <c r="X18" s="1">
        <f>IFERROR(__xludf.DUMMYFUNCTION("""COMPUTED_VALUE"""),609.0)</f>
        <v>609</v>
      </c>
      <c r="Y18" s="2"/>
      <c r="Z18" s="2"/>
    </row>
    <row r="19">
      <c r="A19" s="1">
        <f>IFERROR(__xludf.DUMMYFUNCTION("""COMPUTED_VALUE"""),18.0)</f>
        <v>18</v>
      </c>
      <c r="B19" s="1">
        <f>IFERROR(__xludf.DUMMYFUNCTION("""COMPUTED_VALUE"""),12082.0)</f>
        <v>12082</v>
      </c>
      <c r="C19" s="2" t="str">
        <f>IFERROR(__xludf.DUMMYFUNCTION("""COMPUTED_VALUE"""),"Andifa Alaydrus")</f>
        <v>Andifa Alaydrus</v>
      </c>
      <c r="D19" s="2" t="str">
        <f>IFERROR(__xludf.DUMMYFUNCTION("""COMPUTED_VALUE"""),"10KM MASTER F")</f>
        <v>10KM MASTER F</v>
      </c>
      <c r="E19" s="1">
        <f>IFERROR(__xludf.DUMMYFUNCTION("""COMPUTED_VALUE"""),1.0)</f>
        <v>1</v>
      </c>
      <c r="F19" s="1" t="str">
        <f>IFERROR(__xludf.DUMMYFUNCTION("""COMPUTED_VALUE"""),"Female")</f>
        <v>Female</v>
      </c>
      <c r="G19" s="4" t="b">
        <f>IFERROR(__xludf.DUMMYFUNCTION("""COMPUTED_VALUE"""),TRUE)</f>
        <v>1</v>
      </c>
      <c r="H19" s="4" t="b">
        <f>IFERROR(__xludf.DUMMYFUNCTION("""COMPUTED_VALUE"""),TRUE)</f>
        <v>1</v>
      </c>
      <c r="I19" s="4">
        <f>IFERROR(__xludf.DUMMYFUNCTION("""COMPUTED_VALUE"""),0.24646185185185185)</f>
        <v>0.2464618519</v>
      </c>
      <c r="J19" s="4">
        <f>IFERROR(__xludf.DUMMYFUNCTION("""COMPUTED_VALUE"""),45949.25571076695)</f>
        <v>45949.25571</v>
      </c>
      <c r="K19" s="4" t="str">
        <f>IFERROR(__xludf.DUMMYFUNCTION("""COMPUTED_VALUE"""),"")</f>
        <v/>
      </c>
      <c r="L19" s="4" t="str">
        <f>IFERROR(__xludf.DUMMYFUNCTION("""COMPUTED_VALUE"""),"")</f>
        <v/>
      </c>
      <c r="M19" s="1" t="str">
        <f>IFERROR(__xludf.DUMMYFUNCTION("""COMPUTED_VALUE"""),"RFID")</f>
        <v>RFID</v>
      </c>
      <c r="N19" s="5">
        <f>IFERROR(__xludf.DUMMYFUNCTION("""COMPUTED_VALUE"""),0.0036995648148148144)</f>
        <v>0.003699564815</v>
      </c>
      <c r="O19" s="5" t="str">
        <f>IFERROR(__xludf.DUMMYFUNCTION("""COMPUTED_VALUE"""),"")</f>
        <v/>
      </c>
      <c r="P19" s="5" t="str">
        <f>IFERROR(__xludf.DUMMYFUNCTION("""COMPUTED_VALUE"""),"")</f>
        <v/>
      </c>
      <c r="Q19" s="5" t="str">
        <f>IFERROR(__xludf.DUMMYFUNCTION("""COMPUTED_VALUE"""),"")</f>
        <v/>
      </c>
      <c r="R19" s="4" t="str">
        <f>IFERROR(__xludf.DUMMYFUNCTION("""COMPUTED_VALUE"""),"")</f>
        <v/>
      </c>
      <c r="S19" s="1" t="b">
        <f>IFERROR(__xludf.DUMMYFUNCTION("""COMPUTED_VALUE"""),TRUE)</f>
        <v>1</v>
      </c>
      <c r="T19" s="1" t="b">
        <f>IFERROR(__xludf.DUMMYFUNCTION("""COMPUTED_VALUE"""),FALSE)</f>
        <v>0</v>
      </c>
      <c r="U19" s="1" t="str">
        <f>IFERROR(__xludf.DUMMYFUNCTION("""COMPUTED_VALUE"""),"DNF")</f>
        <v>DNF</v>
      </c>
      <c r="V19" s="1" t="str">
        <f>IFERROR(__xludf.DUMMYFUNCTION("""COMPUTED_VALUE"""),"DNF")</f>
        <v>DNF</v>
      </c>
      <c r="W19" s="1" t="str">
        <f>IFERROR(__xludf.DUMMYFUNCTION("""COMPUTED_VALUE"""),"DNF")</f>
        <v>DNF</v>
      </c>
      <c r="X19" s="1" t="str">
        <f>IFERROR(__xludf.DUMMYFUNCTION("""COMPUTED_VALUE"""),"DNF")</f>
        <v>DNF</v>
      </c>
      <c r="Y19" s="2" t="str">
        <f>IFERROR(__xludf.DUMMYFUNCTION("""COMPUTED_VALUE"""),"tidak ada di video cp2 dan finish")</f>
        <v>tidak ada di video cp2 dan finish</v>
      </c>
      <c r="Z19" s="2"/>
    </row>
    <row r="20">
      <c r="A20" s="1">
        <f>IFERROR(__xludf.DUMMYFUNCTION("""COMPUTED_VALUE"""),19.0)</f>
        <v>19</v>
      </c>
      <c r="B20" s="1">
        <f>IFERROR(__xludf.DUMMYFUNCTION("""COMPUTED_VALUE"""),12087.0)</f>
        <v>12087</v>
      </c>
      <c r="C20" s="2" t="str">
        <f>IFERROR(__xludf.DUMMYFUNCTION("""COMPUTED_VALUE"""),"Lyza")</f>
        <v>Lyza</v>
      </c>
      <c r="D20" s="2" t="str">
        <f>IFERROR(__xludf.DUMMYFUNCTION("""COMPUTED_VALUE"""),"10KM MASTER F")</f>
        <v>10KM MASTER F</v>
      </c>
      <c r="E20" s="1">
        <f>IFERROR(__xludf.DUMMYFUNCTION("""COMPUTED_VALUE"""),1.0)</f>
        <v>1</v>
      </c>
      <c r="F20" s="1" t="str">
        <f>IFERROR(__xludf.DUMMYFUNCTION("""COMPUTED_VALUE"""),"Female")</f>
        <v>Female</v>
      </c>
      <c r="G20" s="4" t="b">
        <f>IFERROR(__xludf.DUMMYFUNCTION("""COMPUTED_VALUE"""),TRUE)</f>
        <v>1</v>
      </c>
      <c r="H20" s="4" t="b">
        <f>IFERROR(__xludf.DUMMYFUNCTION("""COMPUTED_VALUE"""),TRUE)</f>
        <v>1</v>
      </c>
      <c r="I20" s="4">
        <f>IFERROR(__xludf.DUMMYFUNCTION("""COMPUTED_VALUE"""),0.24646185185185185)</f>
        <v>0.2464618519</v>
      </c>
      <c r="J20" s="4">
        <f>IFERROR(__xludf.DUMMYFUNCTION("""COMPUTED_VALUE"""),45949.261130905994)</f>
        <v>45949.26113</v>
      </c>
      <c r="K20" s="4">
        <f>IFERROR(__xludf.DUMMYFUNCTION("""COMPUTED_VALUE"""),45949.295228322)</f>
        <v>45949.29523</v>
      </c>
      <c r="L20" s="4">
        <f>IFERROR(__xludf.DUMMYFUNCTION("""COMPUTED_VALUE"""),45949.30446683881)</f>
        <v>45949.30447</v>
      </c>
      <c r="M20" s="1" t="str">
        <f>IFERROR(__xludf.DUMMYFUNCTION("""COMPUTED_VALUE"""),"RFID")</f>
        <v>RFID</v>
      </c>
      <c r="N20" s="5">
        <f>IFERROR(__xludf.DUMMYFUNCTION("""COMPUTED_VALUE"""),0.00586762037037037)</f>
        <v>0.00586762037</v>
      </c>
      <c r="O20" s="5">
        <f>IFERROR(__xludf.DUMMYFUNCTION("""COMPUTED_VALUE"""),0.013638967592592591)</f>
        <v>0.01363896759</v>
      </c>
      <c r="P20" s="5">
        <f>IFERROR(__xludf.DUMMYFUNCTION("""COMPUTED_VALUE"""),0.0038018587695476847)</f>
        <v>0.00380185877</v>
      </c>
      <c r="Q20" s="5">
        <f>IFERROR(__xludf.DUMMYFUNCTION("""COMPUTED_VALUE"""),0.005800498842592592)</f>
        <v>0.005800498843</v>
      </c>
      <c r="R20" s="4">
        <f>IFERROR(__xludf.DUMMYFUNCTION("""COMPUTED_VALUE"""),45949.05800498696)</f>
        <v>45949.058</v>
      </c>
      <c r="S20" s="1" t="b">
        <f>IFERROR(__xludf.DUMMYFUNCTION("""COMPUTED_VALUE"""),TRUE)</f>
        <v>1</v>
      </c>
      <c r="T20" s="1" t="b">
        <f>IFERROR(__xludf.DUMMYFUNCTION("""COMPUTED_VALUE"""),FALSE)</f>
        <v>0</v>
      </c>
      <c r="U20" s="1" t="str">
        <f>IFERROR(__xludf.DUMMYFUNCTION("""COMPUTED_VALUE"""),"VALID")</f>
        <v>VALID</v>
      </c>
      <c r="V20" s="1">
        <f>IFERROR(__xludf.DUMMYFUNCTION("""COMPUTED_VALUE"""),11.0)</f>
        <v>11</v>
      </c>
      <c r="W20" s="1">
        <f>IFERROR(__xludf.DUMMYFUNCTION("""COMPUTED_VALUE"""),623.0)</f>
        <v>623</v>
      </c>
      <c r="X20" s="1">
        <f>IFERROR(__xludf.DUMMYFUNCTION("""COMPUTED_VALUE"""),647.0)</f>
        <v>647</v>
      </c>
      <c r="Y20" s="2"/>
      <c r="Z20" s="2"/>
    </row>
    <row r="21">
      <c r="A21" s="1">
        <f>IFERROR(__xludf.DUMMYFUNCTION("""COMPUTED_VALUE"""),20.0)</f>
        <v>20</v>
      </c>
      <c r="B21" s="1">
        <f>IFERROR(__xludf.DUMMYFUNCTION("""COMPUTED_VALUE"""),12088.0)</f>
        <v>12088</v>
      </c>
      <c r="C21" s="2" t="str">
        <f>IFERROR(__xludf.DUMMYFUNCTION("""COMPUTED_VALUE"""),"Yuni alfa")</f>
        <v>Yuni alfa</v>
      </c>
      <c r="D21" s="2" t="str">
        <f>IFERROR(__xludf.DUMMYFUNCTION("""COMPUTED_VALUE"""),"10KM MASTER F")</f>
        <v>10KM MASTER F</v>
      </c>
      <c r="E21" s="1">
        <f>IFERROR(__xludf.DUMMYFUNCTION("""COMPUTED_VALUE"""),1.0)</f>
        <v>1</v>
      </c>
      <c r="F21" s="1" t="str">
        <f>IFERROR(__xludf.DUMMYFUNCTION("""COMPUTED_VALUE"""),"Female")</f>
        <v>Female</v>
      </c>
      <c r="G21" s="4" t="str">
        <f>IFERROR(__xludf.DUMMYFUNCTION("""COMPUTED_VALUE"""),"")</f>
        <v/>
      </c>
      <c r="H21" s="4" t="b">
        <f>IFERROR(__xludf.DUMMYFUNCTION("""COMPUTED_VALUE"""),FALSE)</f>
        <v>0</v>
      </c>
      <c r="I21" s="4">
        <f>IFERROR(__xludf.DUMMYFUNCTION("""COMPUTED_VALUE"""),0.24646185185185185)</f>
        <v>0.2464618519</v>
      </c>
      <c r="J21" s="4" t="str">
        <f>IFERROR(__xludf.DUMMYFUNCTION("""COMPUTED_VALUE"""),"")</f>
        <v/>
      </c>
      <c r="K21" s="4" t="str">
        <f>IFERROR(__xludf.DUMMYFUNCTION("""COMPUTED_VALUE"""),"")</f>
        <v/>
      </c>
      <c r="L21" s="4" t="str">
        <f>IFERROR(__xludf.DUMMYFUNCTION("""COMPUTED_VALUE"""),"")</f>
        <v/>
      </c>
      <c r="M21" s="1" t="str">
        <f>IFERROR(__xludf.DUMMYFUNCTION("""COMPUTED_VALUE"""),"RFID")</f>
        <v>RFID</v>
      </c>
      <c r="N21" s="5" t="str">
        <f>IFERROR(__xludf.DUMMYFUNCTION("""COMPUTED_VALUE"""),"")</f>
        <v/>
      </c>
      <c r="O21" s="5" t="str">
        <f>IFERROR(__xludf.DUMMYFUNCTION("""COMPUTED_VALUE"""),"")</f>
        <v/>
      </c>
      <c r="P21" s="5" t="str">
        <f>IFERROR(__xludf.DUMMYFUNCTION("""COMPUTED_VALUE"""),"")</f>
        <v/>
      </c>
      <c r="Q21" s="5" t="str">
        <f>IFERROR(__xludf.DUMMYFUNCTION("""COMPUTED_VALUE"""),"")</f>
        <v/>
      </c>
      <c r="R21" s="4" t="str">
        <f>IFERROR(__xludf.DUMMYFUNCTION("""COMPUTED_VALUE"""),"")</f>
        <v/>
      </c>
      <c r="S21" s="1" t="b">
        <f>IFERROR(__xludf.DUMMYFUNCTION("""COMPUTED_VALUE"""),FALSE)</f>
        <v>0</v>
      </c>
      <c r="T21" s="1" t="b">
        <f>IFERROR(__xludf.DUMMYFUNCTION("""COMPUTED_VALUE"""),FALSE)</f>
        <v>0</v>
      </c>
      <c r="U21" s="1" t="str">
        <f>IFERROR(__xludf.DUMMYFUNCTION("""COMPUTED_VALUE"""),"DSQ")</f>
        <v>DSQ</v>
      </c>
      <c r="V21" s="1" t="str">
        <f>IFERROR(__xludf.DUMMYFUNCTION("""COMPUTED_VALUE"""),"DSQ")</f>
        <v>DSQ</v>
      </c>
      <c r="W21" s="1" t="str">
        <f>IFERROR(__xludf.DUMMYFUNCTION("""COMPUTED_VALUE"""),"DSQ")</f>
        <v>DSQ</v>
      </c>
      <c r="X21" s="1" t="str">
        <f>IFERROR(__xludf.DUMMYFUNCTION("""COMPUTED_VALUE"""),"DSQ")</f>
        <v>DSQ</v>
      </c>
      <c r="Y21" s="2"/>
      <c r="Z21" s="2" t="str">
        <f>IFERROR(__xludf.DUMMYFUNCTION("""COMPUTED_VALUE"""),"")</f>
        <v/>
      </c>
    </row>
    <row r="22">
      <c r="A22" s="1">
        <f>IFERROR(__xludf.DUMMYFUNCTION("""COMPUTED_VALUE"""),21.0)</f>
        <v>21</v>
      </c>
      <c r="B22" s="1">
        <f>IFERROR(__xludf.DUMMYFUNCTION("""COMPUTED_VALUE"""),12002.0)</f>
        <v>12002</v>
      </c>
      <c r="C22" s="2" t="str">
        <f>IFERROR(__xludf.DUMMYFUNCTION("""COMPUTED_VALUE"""),"amank sandi")</f>
        <v>amank sandi</v>
      </c>
      <c r="D22" s="2" t="str">
        <f>IFERROR(__xludf.DUMMYFUNCTION("""COMPUTED_VALUE"""),"10KM MASTER M")</f>
        <v>10KM MASTER M</v>
      </c>
      <c r="E22" s="1">
        <f>IFERROR(__xludf.DUMMYFUNCTION("""COMPUTED_VALUE"""),1.0)</f>
        <v>1</v>
      </c>
      <c r="F22" s="1" t="str">
        <f>IFERROR(__xludf.DUMMYFUNCTION("""COMPUTED_VALUE"""),"Male")</f>
        <v>Male</v>
      </c>
      <c r="G22" s="4" t="b">
        <f>IFERROR(__xludf.DUMMYFUNCTION("""COMPUTED_VALUE"""),TRUE)</f>
        <v>1</v>
      </c>
      <c r="H22" s="4" t="b">
        <f>IFERROR(__xludf.DUMMYFUNCTION("""COMPUTED_VALUE"""),TRUE)</f>
        <v>1</v>
      </c>
      <c r="I22" s="4">
        <f>IFERROR(__xludf.DUMMYFUNCTION("""COMPUTED_VALUE"""),0.24646185185185185)</f>
        <v>0.2464618519</v>
      </c>
      <c r="J22" s="4">
        <f>IFERROR(__xludf.DUMMYFUNCTION("""COMPUTED_VALUE"""),45949.26143642293)</f>
        <v>45949.26144</v>
      </c>
      <c r="K22" s="4">
        <f>IFERROR(__xludf.DUMMYFUNCTION("""COMPUTED_VALUE"""),45949.2975903908)</f>
        <v>45949.29759</v>
      </c>
      <c r="L22" s="4">
        <f>IFERROR(__xludf.DUMMYFUNCTION("""COMPUTED_VALUE"""),45949.30705711527)</f>
        <v>45949.30706</v>
      </c>
      <c r="M22" s="1" t="str">
        <f>IFERROR(__xludf.DUMMYFUNCTION("""COMPUTED_VALUE"""),"RFID")</f>
        <v>RFID</v>
      </c>
      <c r="N22" s="5">
        <f>IFERROR(__xludf.DUMMYFUNCTION("""COMPUTED_VALUE"""),0.005989828703703704)</f>
        <v>0.005989828704</v>
      </c>
      <c r="O22" s="5">
        <f>IFERROR(__xludf.DUMMYFUNCTION("""COMPUTED_VALUE"""),0.014461587962962963)</f>
        <v>0.01446158796</v>
      </c>
      <c r="P22" s="5">
        <f>IFERROR(__xludf.DUMMYFUNCTION("""COMPUTED_VALUE"""),0.003895771386937349)</f>
        <v>0.003895771387</v>
      </c>
      <c r="Q22" s="5">
        <f>IFERROR(__xludf.DUMMYFUNCTION("""COMPUTED_VALUE"""),0.0060595266203703705)</f>
        <v>0.00605952662</v>
      </c>
      <c r="R22" s="4">
        <f>IFERROR(__xludf.DUMMYFUNCTION("""COMPUTED_VALUE"""),45949.06059526342)</f>
        <v>45949.0606</v>
      </c>
      <c r="S22" s="1" t="b">
        <f>IFERROR(__xludf.DUMMYFUNCTION("""COMPUTED_VALUE"""),TRUE)</f>
        <v>1</v>
      </c>
      <c r="T22" s="1" t="b">
        <f>IFERROR(__xludf.DUMMYFUNCTION("""COMPUTED_VALUE"""),FALSE)</f>
        <v>0</v>
      </c>
      <c r="U22" s="1" t="str">
        <f>IFERROR(__xludf.DUMMYFUNCTION("""COMPUTED_VALUE"""),"VALID")</f>
        <v>VALID</v>
      </c>
      <c r="V22" s="1">
        <f>IFERROR(__xludf.DUMMYFUNCTION("""COMPUTED_VALUE"""),61.0)</f>
        <v>61</v>
      </c>
      <c r="W22" s="1">
        <f>IFERROR(__xludf.DUMMYFUNCTION("""COMPUTED_VALUE"""),659.0)</f>
        <v>659</v>
      </c>
      <c r="X22" s="1">
        <f>IFERROR(__xludf.DUMMYFUNCTION("""COMPUTED_VALUE"""),1610.0)</f>
        <v>1610</v>
      </c>
      <c r="Y22" s="2"/>
      <c r="Z22" s="2"/>
    </row>
    <row r="23">
      <c r="A23" s="1">
        <f>IFERROR(__xludf.DUMMYFUNCTION("""COMPUTED_VALUE"""),22.0)</f>
        <v>22</v>
      </c>
      <c r="B23" s="1">
        <f>IFERROR(__xludf.DUMMYFUNCTION("""COMPUTED_VALUE"""),12004.0)</f>
        <v>12004</v>
      </c>
      <c r="C23" s="2" t="str">
        <f>IFERROR(__xludf.DUMMYFUNCTION("""COMPUTED_VALUE"""),"arif")</f>
        <v>arif</v>
      </c>
      <c r="D23" s="2" t="str">
        <f>IFERROR(__xludf.DUMMYFUNCTION("""COMPUTED_VALUE"""),"10KM MASTER M")</f>
        <v>10KM MASTER M</v>
      </c>
      <c r="E23" s="1">
        <f>IFERROR(__xludf.DUMMYFUNCTION("""COMPUTED_VALUE"""),1.0)</f>
        <v>1</v>
      </c>
      <c r="F23" s="1" t="str">
        <f>IFERROR(__xludf.DUMMYFUNCTION("""COMPUTED_VALUE"""),"Male")</f>
        <v>Male</v>
      </c>
      <c r="G23" s="4" t="b">
        <f>IFERROR(__xludf.DUMMYFUNCTION("""COMPUTED_VALUE"""),TRUE)</f>
        <v>1</v>
      </c>
      <c r="H23" s="4" t="b">
        <f>IFERROR(__xludf.DUMMYFUNCTION("""COMPUTED_VALUE"""),FALSE)</f>
        <v>0</v>
      </c>
      <c r="I23" s="4">
        <f>IFERROR(__xludf.DUMMYFUNCTION("""COMPUTED_VALUE"""),0.24646185185185185)</f>
        <v>0.2464618519</v>
      </c>
      <c r="J23" s="4">
        <f>IFERROR(__xludf.DUMMYFUNCTION("""COMPUTED_VALUE"""),45949.257613789814)</f>
        <v>45949.25761</v>
      </c>
      <c r="K23" s="4">
        <f>IFERROR(__xludf.DUMMYFUNCTION("""COMPUTED_VALUE"""),45949.28602671877)</f>
        <v>45949.28603</v>
      </c>
      <c r="L23" s="4">
        <f>IFERROR(__xludf.DUMMYFUNCTION("""COMPUTED_VALUE"""),45949.29332100419)</f>
        <v>45949.29332</v>
      </c>
      <c r="M23" s="1" t="str">
        <f>IFERROR(__xludf.DUMMYFUNCTION("""COMPUTED_VALUE"""),"RFID")</f>
        <v>RFID</v>
      </c>
      <c r="N23" s="5">
        <f>IFERROR(__xludf.DUMMYFUNCTION("""COMPUTED_VALUE"""),0.004460773148148149)</f>
        <v>0.004460773148</v>
      </c>
      <c r="O23" s="5">
        <f>IFERROR(__xludf.DUMMYFUNCTION("""COMPUTED_VALUE"""),0.011365171296296297)</f>
        <v>0.0113651713</v>
      </c>
      <c r="P23" s="5">
        <f>IFERROR(__xludf.DUMMYFUNCTION("""COMPUTED_VALUE"""),0.0030017635459751043)</f>
        <v>0.003001763546</v>
      </c>
      <c r="Q23" s="5">
        <f>IFERROR(__xludf.DUMMYFUNCTION("""COMPUTED_VALUE"""),0.0046859155092592595)</f>
        <v>0.004685915509</v>
      </c>
      <c r="R23" s="4">
        <f>IFERROR(__xludf.DUMMYFUNCTION("""COMPUTED_VALUE"""),45949.04685915234)</f>
        <v>45949.04686</v>
      </c>
      <c r="S23" s="1" t="b">
        <f>IFERROR(__xludf.DUMMYFUNCTION("""COMPUTED_VALUE"""),TRUE)</f>
        <v>1</v>
      </c>
      <c r="T23" s="1" t="b">
        <f>IFERROR(__xludf.DUMMYFUNCTION("""COMPUTED_VALUE"""),FALSE)</f>
        <v>0</v>
      </c>
      <c r="U23" s="1" t="str">
        <f>IFERROR(__xludf.DUMMYFUNCTION("""COMPUTED_VALUE"""),"VALID")</f>
        <v>VALID</v>
      </c>
      <c r="V23" s="1">
        <f>IFERROR(__xludf.DUMMYFUNCTION("""COMPUTED_VALUE"""),30.0)</f>
        <v>30</v>
      </c>
      <c r="W23" s="1">
        <f>IFERROR(__xludf.DUMMYFUNCTION("""COMPUTED_VALUE"""),311.0)</f>
        <v>311</v>
      </c>
      <c r="X23" s="1">
        <f>IFERROR(__xludf.DUMMYFUNCTION("""COMPUTED_VALUE"""),1266.0)</f>
        <v>1266</v>
      </c>
      <c r="Y23" s="2"/>
      <c r="Z23" s="2"/>
    </row>
    <row r="24">
      <c r="A24" s="1">
        <f>IFERROR(__xludf.DUMMYFUNCTION("""COMPUTED_VALUE"""),23.0)</f>
        <v>23</v>
      </c>
      <c r="B24" s="1">
        <f>IFERROR(__xludf.DUMMYFUNCTION("""COMPUTED_VALUE"""),12005.0)</f>
        <v>12005</v>
      </c>
      <c r="C24" s="2" t="str">
        <f>IFERROR(__xludf.DUMMYFUNCTION("""COMPUTED_VALUE"""),"Sukamto")</f>
        <v>Sukamto</v>
      </c>
      <c r="D24" s="2" t="str">
        <f>IFERROR(__xludf.DUMMYFUNCTION("""COMPUTED_VALUE"""),"10KM MASTER M")</f>
        <v>10KM MASTER M</v>
      </c>
      <c r="E24" s="1">
        <f>IFERROR(__xludf.DUMMYFUNCTION("""COMPUTED_VALUE"""),1.0)</f>
        <v>1</v>
      </c>
      <c r="F24" s="1" t="str">
        <f>IFERROR(__xludf.DUMMYFUNCTION("""COMPUTED_VALUE"""),"Male")</f>
        <v>Male</v>
      </c>
      <c r="G24" s="4" t="b">
        <f>IFERROR(__xludf.DUMMYFUNCTION("""COMPUTED_VALUE"""),TRUE)</f>
        <v>1</v>
      </c>
      <c r="H24" s="4" t="b">
        <f>IFERROR(__xludf.DUMMYFUNCTION("""COMPUTED_VALUE"""),FALSE)</f>
        <v>0</v>
      </c>
      <c r="I24" s="4">
        <f>IFERROR(__xludf.DUMMYFUNCTION("""COMPUTED_VALUE"""),0.24646185185185185)</f>
        <v>0.2464618519</v>
      </c>
      <c r="J24" s="4">
        <f>IFERROR(__xludf.DUMMYFUNCTION("""COMPUTED_VALUE"""),45949.25420376726)</f>
        <v>45949.2542</v>
      </c>
      <c r="K24" s="4">
        <f>IFERROR(__xludf.DUMMYFUNCTION("""COMPUTED_VALUE"""),45949.27580610009)</f>
        <v>45949.27581</v>
      </c>
      <c r="L24" s="4">
        <f>IFERROR(__xludf.DUMMYFUNCTION("""COMPUTED_VALUE"""),45949.282376563046)</f>
        <v>45949.28238</v>
      </c>
      <c r="M24" s="1" t="str">
        <f>IFERROR(__xludf.DUMMYFUNCTION("""COMPUTED_VALUE"""),"RFID")</f>
        <v>RFID</v>
      </c>
      <c r="N24" s="5">
        <f>IFERROR(__xludf.DUMMYFUNCTION("""COMPUTED_VALUE"""),0.003096763888888889)</f>
        <v>0.003096763889</v>
      </c>
      <c r="O24" s="5">
        <f>IFERROR(__xludf.DUMMYFUNCTION("""COMPUTED_VALUE"""),0.008640935185185186)</f>
        <v>0.008640935185</v>
      </c>
      <c r="P24" s="5">
        <f>IFERROR(__xludf.DUMMYFUNCTION("""COMPUTED_VALUE"""),0.0027038942190814653)</f>
        <v>0.002703894219</v>
      </c>
      <c r="Q24" s="5">
        <f>IFERROR(__xludf.DUMMYFUNCTION("""COMPUTED_VALUE"""),0.0035914710648148147)</f>
        <v>0.003591471065</v>
      </c>
      <c r="R24" s="4">
        <f>IFERROR(__xludf.DUMMYFUNCTION("""COMPUTED_VALUE"""),45949.035914711196)</f>
        <v>45949.03591</v>
      </c>
      <c r="S24" s="1" t="b">
        <f>IFERROR(__xludf.DUMMYFUNCTION("""COMPUTED_VALUE"""),TRUE)</f>
        <v>1</v>
      </c>
      <c r="T24" s="1" t="b">
        <f>IFERROR(__xludf.DUMMYFUNCTION("""COMPUTED_VALUE"""),FALSE)</f>
        <v>0</v>
      </c>
      <c r="U24" s="1" t="str">
        <f>IFERROR(__xludf.DUMMYFUNCTION("""COMPUTED_VALUE"""),"VALID")</f>
        <v>VALID</v>
      </c>
      <c r="V24" s="1">
        <f>IFERROR(__xludf.DUMMYFUNCTION("""COMPUTED_VALUE"""),9.0)</f>
        <v>9</v>
      </c>
      <c r="W24" s="1">
        <f>IFERROR(__xludf.DUMMYFUNCTION("""COMPUTED_VALUE"""),54.0)</f>
        <v>54</v>
      </c>
      <c r="X24" s="1">
        <f>IFERROR(__xludf.DUMMYFUNCTION("""COMPUTED_VALUE"""),774.0)</f>
        <v>774</v>
      </c>
      <c r="Y24" s="2"/>
      <c r="Z24" s="2"/>
    </row>
    <row r="25">
      <c r="A25" s="1">
        <f>IFERROR(__xludf.DUMMYFUNCTION("""COMPUTED_VALUE"""),24.0)</f>
        <v>24</v>
      </c>
      <c r="B25" s="1">
        <f>IFERROR(__xludf.DUMMYFUNCTION("""COMPUTED_VALUE"""),12006.0)</f>
        <v>12006</v>
      </c>
      <c r="C25" s="2" t="str">
        <f>IFERROR(__xludf.DUMMYFUNCTION("""COMPUTED_VALUE"""),"ISDARYANTO")</f>
        <v>ISDARYANTO</v>
      </c>
      <c r="D25" s="2" t="str">
        <f>IFERROR(__xludf.DUMMYFUNCTION("""COMPUTED_VALUE"""),"10KM MASTER M")</f>
        <v>10KM MASTER M</v>
      </c>
      <c r="E25" s="1">
        <f>IFERROR(__xludf.DUMMYFUNCTION("""COMPUTED_VALUE"""),1.0)</f>
        <v>1</v>
      </c>
      <c r="F25" s="1" t="str">
        <f>IFERROR(__xludf.DUMMYFUNCTION("""COMPUTED_VALUE"""),"Male")</f>
        <v>Male</v>
      </c>
      <c r="G25" s="4" t="b">
        <f>IFERROR(__xludf.DUMMYFUNCTION("""COMPUTED_VALUE"""),TRUE)</f>
        <v>1</v>
      </c>
      <c r="H25" s="4" t="b">
        <f>IFERROR(__xludf.DUMMYFUNCTION("""COMPUTED_VALUE"""),FALSE)</f>
        <v>0</v>
      </c>
      <c r="I25" s="4">
        <f>IFERROR(__xludf.DUMMYFUNCTION("""COMPUTED_VALUE"""),0.24646185185185185)</f>
        <v>0.2464618519</v>
      </c>
      <c r="J25" s="4">
        <f>IFERROR(__xludf.DUMMYFUNCTION("""COMPUTED_VALUE"""),45949.258057945495)</f>
        <v>45949.25806</v>
      </c>
      <c r="K25" s="4">
        <f>IFERROR(__xludf.DUMMYFUNCTION("""COMPUTED_VALUE"""),45949.287870465785)</f>
        <v>45949.28787</v>
      </c>
      <c r="L25" s="4">
        <f>IFERROR(__xludf.DUMMYFUNCTION("""COMPUTED_VALUE"""),45949.296525882)</f>
        <v>45949.29653</v>
      </c>
      <c r="M25" s="1" t="str">
        <f>IFERROR(__xludf.DUMMYFUNCTION("""COMPUTED_VALUE"""),"RFID")</f>
        <v>RFID</v>
      </c>
      <c r="N25" s="5">
        <f>IFERROR(__xludf.DUMMYFUNCTION("""COMPUTED_VALUE"""),0.0046384351851851855)</f>
        <v>0.004638435185</v>
      </c>
      <c r="O25" s="5">
        <f>IFERROR(__xludf.DUMMYFUNCTION("""COMPUTED_VALUE"""),0.01192500925925926)</f>
        <v>0.01192500926</v>
      </c>
      <c r="P25" s="5">
        <f>IFERROR(__xludf.DUMMYFUNCTION("""COMPUTED_VALUE"""),0.0035618996755948187)</f>
        <v>0.003561899676</v>
      </c>
      <c r="Q25" s="5">
        <f>IFERROR(__xludf.DUMMYFUNCTION("""COMPUTED_VALUE"""),0.005006402777777778)</f>
        <v>0.005006402778</v>
      </c>
      <c r="R25" s="4">
        <f>IFERROR(__xludf.DUMMYFUNCTION("""COMPUTED_VALUE"""),45949.05006403015)</f>
        <v>45949.05006</v>
      </c>
      <c r="S25" s="1" t="b">
        <f>IFERROR(__xludf.DUMMYFUNCTION("""COMPUTED_VALUE"""),TRUE)</f>
        <v>1</v>
      </c>
      <c r="T25" s="1" t="b">
        <f>IFERROR(__xludf.DUMMYFUNCTION("""COMPUTED_VALUE"""),FALSE)</f>
        <v>0</v>
      </c>
      <c r="U25" s="1" t="str">
        <f>IFERROR(__xludf.DUMMYFUNCTION("""COMPUTED_VALUE"""),"VALID")</f>
        <v>VALID</v>
      </c>
      <c r="V25" s="1">
        <f>IFERROR(__xludf.DUMMYFUNCTION("""COMPUTED_VALUE"""),37.0)</f>
        <v>37</v>
      </c>
      <c r="W25" s="1">
        <f>IFERROR(__xludf.DUMMYFUNCTION("""COMPUTED_VALUE"""),400.0)</f>
        <v>400</v>
      </c>
      <c r="X25" s="1">
        <f>IFERROR(__xludf.DUMMYFUNCTION("""COMPUTED_VALUE"""),1378.0)</f>
        <v>1378</v>
      </c>
      <c r="Y25" s="2"/>
      <c r="Z25" s="2"/>
    </row>
    <row r="26">
      <c r="A26" s="1">
        <f>IFERROR(__xludf.DUMMYFUNCTION("""COMPUTED_VALUE"""),25.0)</f>
        <v>25</v>
      </c>
      <c r="B26" s="1">
        <f>IFERROR(__xludf.DUMMYFUNCTION("""COMPUTED_VALUE"""),12007.0)</f>
        <v>12007</v>
      </c>
      <c r="C26" s="2" t="str">
        <f>IFERROR(__xludf.DUMMYFUNCTION("""COMPUTED_VALUE"""),"arrayyan")</f>
        <v>arrayyan</v>
      </c>
      <c r="D26" s="2" t="str">
        <f>IFERROR(__xludf.DUMMYFUNCTION("""COMPUTED_VALUE"""),"10KM MASTER M")</f>
        <v>10KM MASTER M</v>
      </c>
      <c r="E26" s="1">
        <f>IFERROR(__xludf.DUMMYFUNCTION("""COMPUTED_VALUE"""),1.0)</f>
        <v>1</v>
      </c>
      <c r="F26" s="1" t="str">
        <f>IFERROR(__xludf.DUMMYFUNCTION("""COMPUTED_VALUE"""),"Male")</f>
        <v>Male</v>
      </c>
      <c r="G26" s="4" t="str">
        <f>IFERROR(__xludf.DUMMYFUNCTION("""COMPUTED_VALUE"""),"")</f>
        <v/>
      </c>
      <c r="H26" s="4" t="b">
        <f>IFERROR(__xludf.DUMMYFUNCTION("""COMPUTED_VALUE"""),FALSE)</f>
        <v>0</v>
      </c>
      <c r="I26" s="4">
        <f>IFERROR(__xludf.DUMMYFUNCTION("""COMPUTED_VALUE"""),0.24646185185185185)</f>
        <v>0.2464618519</v>
      </c>
      <c r="J26" s="4" t="str">
        <f>IFERROR(__xludf.DUMMYFUNCTION("""COMPUTED_VALUE"""),"")</f>
        <v/>
      </c>
      <c r="K26" s="4" t="str">
        <f>IFERROR(__xludf.DUMMYFUNCTION("""COMPUTED_VALUE"""),"")</f>
        <v/>
      </c>
      <c r="L26" s="4" t="str">
        <f>IFERROR(__xludf.DUMMYFUNCTION("""COMPUTED_VALUE"""),"")</f>
        <v/>
      </c>
      <c r="M26" s="1" t="str">
        <f>IFERROR(__xludf.DUMMYFUNCTION("""COMPUTED_VALUE"""),"RFID")</f>
        <v>RFID</v>
      </c>
      <c r="N26" s="5" t="str">
        <f>IFERROR(__xludf.DUMMYFUNCTION("""COMPUTED_VALUE"""),"")</f>
        <v/>
      </c>
      <c r="O26" s="5" t="str">
        <f>IFERROR(__xludf.DUMMYFUNCTION("""COMPUTED_VALUE"""),"")</f>
        <v/>
      </c>
      <c r="P26" s="5" t="str">
        <f>IFERROR(__xludf.DUMMYFUNCTION("""COMPUTED_VALUE"""),"")</f>
        <v/>
      </c>
      <c r="Q26" s="5" t="str">
        <f>IFERROR(__xludf.DUMMYFUNCTION("""COMPUTED_VALUE"""),"")</f>
        <v/>
      </c>
      <c r="R26" s="4" t="str">
        <f>IFERROR(__xludf.DUMMYFUNCTION("""COMPUTED_VALUE"""),"")</f>
        <v/>
      </c>
      <c r="S26" s="1" t="b">
        <f>IFERROR(__xludf.DUMMYFUNCTION("""COMPUTED_VALUE"""),FALSE)</f>
        <v>0</v>
      </c>
      <c r="T26" s="1" t="b">
        <f>IFERROR(__xludf.DUMMYFUNCTION("""COMPUTED_VALUE"""),FALSE)</f>
        <v>0</v>
      </c>
      <c r="U26" s="1" t="str">
        <f>IFERROR(__xludf.DUMMYFUNCTION("""COMPUTED_VALUE"""),"DSQ")</f>
        <v>DSQ</v>
      </c>
      <c r="V26" s="1" t="str">
        <f>IFERROR(__xludf.DUMMYFUNCTION("""COMPUTED_VALUE"""),"DSQ")</f>
        <v>DSQ</v>
      </c>
      <c r="W26" s="1" t="str">
        <f>IFERROR(__xludf.DUMMYFUNCTION("""COMPUTED_VALUE"""),"DSQ")</f>
        <v>DSQ</v>
      </c>
      <c r="X26" s="1" t="str">
        <f>IFERROR(__xludf.DUMMYFUNCTION("""COMPUTED_VALUE"""),"DSQ")</f>
        <v>DSQ</v>
      </c>
      <c r="Y26" s="2"/>
      <c r="Z26" s="2" t="str">
        <f>IFERROR(__xludf.DUMMYFUNCTION("""COMPUTED_VALUE"""),"")</f>
        <v/>
      </c>
    </row>
    <row r="27">
      <c r="A27" s="1">
        <f>IFERROR(__xludf.DUMMYFUNCTION("""COMPUTED_VALUE"""),26.0)</f>
        <v>26</v>
      </c>
      <c r="B27" s="1">
        <f>IFERROR(__xludf.DUMMYFUNCTION("""COMPUTED_VALUE"""),12008.0)</f>
        <v>12008</v>
      </c>
      <c r="C27" s="2" t="str">
        <f>IFERROR(__xludf.DUMMYFUNCTION("""COMPUTED_VALUE"""),"MASIANG")</f>
        <v>MASIANG</v>
      </c>
      <c r="D27" s="2" t="str">
        <f>IFERROR(__xludf.DUMMYFUNCTION("""COMPUTED_VALUE"""),"10KM MASTER M")</f>
        <v>10KM MASTER M</v>
      </c>
      <c r="E27" s="1">
        <f>IFERROR(__xludf.DUMMYFUNCTION("""COMPUTED_VALUE"""),1.0)</f>
        <v>1</v>
      </c>
      <c r="F27" s="1" t="str">
        <f>IFERROR(__xludf.DUMMYFUNCTION("""COMPUTED_VALUE"""),"Male")</f>
        <v>Male</v>
      </c>
      <c r="G27" s="4" t="str">
        <f>IFERROR(__xludf.DUMMYFUNCTION("""COMPUTED_VALUE"""),"")</f>
        <v/>
      </c>
      <c r="H27" s="4" t="b">
        <f>IFERROR(__xludf.DUMMYFUNCTION("""COMPUTED_VALUE"""),FALSE)</f>
        <v>0</v>
      </c>
      <c r="I27" s="4">
        <f>IFERROR(__xludf.DUMMYFUNCTION("""COMPUTED_VALUE"""),0.24646185185185185)</f>
        <v>0.2464618519</v>
      </c>
      <c r="J27" s="4">
        <f>IFERROR(__xludf.DUMMYFUNCTION("""COMPUTED_VALUE"""),45949.25206488353)</f>
        <v>45949.25206</v>
      </c>
      <c r="K27" s="4">
        <f>IFERROR(__xludf.DUMMYFUNCTION("""COMPUTED_VALUE"""),45949.26727136337)</f>
        <v>45949.26727</v>
      </c>
      <c r="L27" s="4">
        <f>IFERROR(__xludf.DUMMYFUNCTION("""COMPUTED_VALUE"""),45949.271661574814)</f>
        <v>45949.27166</v>
      </c>
      <c r="M27" s="1" t="str">
        <f>IFERROR(__xludf.DUMMYFUNCTION("""COMPUTED_VALUE"""),"RFID")</f>
        <v>RFID</v>
      </c>
      <c r="N27" s="5">
        <f>IFERROR(__xludf.DUMMYFUNCTION("""COMPUTED_VALUE"""),0.002241212962962963)</f>
        <v>0.002241212963</v>
      </c>
      <c r="O27" s="5">
        <f>IFERROR(__xludf.DUMMYFUNCTION("""COMPUTED_VALUE"""),0.0060825925925925926)</f>
        <v>0.006082592593</v>
      </c>
      <c r="P27" s="5">
        <f>IFERROR(__xludf.DUMMYFUNCTION("""COMPUTED_VALUE"""),0.0018066713749814332)</f>
        <v>0.001806671375</v>
      </c>
      <c r="Q27" s="5">
        <f>IFERROR(__xludf.DUMMYFUNCTION("""COMPUTED_VALUE"""),0.002519972222222222)</f>
        <v>0.002519972222</v>
      </c>
      <c r="R27" s="4">
        <f>IFERROR(__xludf.DUMMYFUNCTION("""COMPUTED_VALUE"""),45949.025199722964)</f>
        <v>45949.0252</v>
      </c>
      <c r="S27" s="1" t="b">
        <f>IFERROR(__xludf.DUMMYFUNCTION("""COMPUTED_VALUE"""),TRUE)</f>
        <v>1</v>
      </c>
      <c r="T27" s="1" t="b">
        <f>IFERROR(__xludf.DUMMYFUNCTION("""COMPUTED_VALUE"""),FALSE)</f>
        <v>0</v>
      </c>
      <c r="U27" s="1" t="str">
        <f>IFERROR(__xludf.DUMMYFUNCTION("""COMPUTED_VALUE"""),"VALID")</f>
        <v>VALID</v>
      </c>
      <c r="V27" s="1">
        <f>IFERROR(__xludf.DUMMYFUNCTION("""COMPUTED_VALUE"""),1.0)</f>
        <v>1</v>
      </c>
      <c r="W27" s="1">
        <f>IFERROR(__xludf.DUMMYFUNCTION("""COMPUTED_VALUE"""),2.0)</f>
        <v>2</v>
      </c>
      <c r="X27" s="1">
        <f>IFERROR(__xludf.DUMMYFUNCTION("""COMPUTED_VALUE"""),261.0)</f>
        <v>261</v>
      </c>
      <c r="Y27" s="2"/>
      <c r="Z27" s="2"/>
    </row>
    <row r="28">
      <c r="A28" s="1">
        <f>IFERROR(__xludf.DUMMYFUNCTION("""COMPUTED_VALUE"""),27.0)</f>
        <v>27</v>
      </c>
      <c r="B28" s="1">
        <f>IFERROR(__xludf.DUMMYFUNCTION("""COMPUTED_VALUE"""),12009.0)</f>
        <v>12009</v>
      </c>
      <c r="C28" s="2" t="str">
        <f>IFERROR(__xludf.DUMMYFUNCTION("""COMPUTED_VALUE"""),"MUJIONO")</f>
        <v>MUJIONO</v>
      </c>
      <c r="D28" s="2" t="str">
        <f>IFERROR(__xludf.DUMMYFUNCTION("""COMPUTED_VALUE"""),"10KM MASTER M")</f>
        <v>10KM MASTER M</v>
      </c>
      <c r="E28" s="1">
        <f>IFERROR(__xludf.DUMMYFUNCTION("""COMPUTED_VALUE"""),1.0)</f>
        <v>1</v>
      </c>
      <c r="F28" s="1" t="str">
        <f>IFERROR(__xludf.DUMMYFUNCTION("""COMPUTED_VALUE"""),"Male")</f>
        <v>Male</v>
      </c>
      <c r="G28" s="4" t="b">
        <f>IFERROR(__xludf.DUMMYFUNCTION("""COMPUTED_VALUE"""),TRUE)</f>
        <v>1</v>
      </c>
      <c r="H28" s="4" t="b">
        <f>IFERROR(__xludf.DUMMYFUNCTION("""COMPUTED_VALUE"""),FALSE)</f>
        <v>0</v>
      </c>
      <c r="I28" s="4">
        <f>IFERROR(__xludf.DUMMYFUNCTION("""COMPUTED_VALUE"""),0.24646185185185185)</f>
        <v>0.2464618519</v>
      </c>
      <c r="J28" s="4">
        <f>IFERROR(__xludf.DUMMYFUNCTION("""COMPUTED_VALUE"""),45949.25595377262)</f>
        <v>45949.25595</v>
      </c>
      <c r="K28" s="4">
        <f>IFERROR(__xludf.DUMMYFUNCTION("""COMPUTED_VALUE"""),45949.28290521017)</f>
        <v>45949.28291</v>
      </c>
      <c r="L28" s="4">
        <f>IFERROR(__xludf.DUMMYFUNCTION("""COMPUTED_VALUE"""),45949.2905744268)</f>
        <v>45949.29057</v>
      </c>
      <c r="M28" s="1" t="str">
        <f>IFERROR(__xludf.DUMMYFUNCTION("""COMPUTED_VALUE"""),"RFID")</f>
        <v>RFID</v>
      </c>
      <c r="N28" s="5">
        <f>IFERROR(__xludf.DUMMYFUNCTION("""COMPUTED_VALUE"""),0.003796768518518518)</f>
        <v>0.003796768519</v>
      </c>
      <c r="O28" s="5">
        <f>IFERROR(__xludf.DUMMYFUNCTION("""COMPUTED_VALUE"""),0.010780574074074073)</f>
        <v>0.01078057407</v>
      </c>
      <c r="P28" s="5">
        <f>IFERROR(__xludf.DUMMYFUNCTION("""COMPUTED_VALUE"""),0.0031560562246090084)</f>
        <v>0.003156056225</v>
      </c>
      <c r="Q28" s="5">
        <f>IFERROR(__xludf.DUMMYFUNCTION("""COMPUTED_VALUE"""),0.004411256944444444)</f>
        <v>0.004411256944</v>
      </c>
      <c r="R28" s="4">
        <f>IFERROR(__xludf.DUMMYFUNCTION("""COMPUTED_VALUE"""),45949.04411257495)</f>
        <v>45949.04411</v>
      </c>
      <c r="S28" s="1" t="b">
        <f>IFERROR(__xludf.DUMMYFUNCTION("""COMPUTED_VALUE"""),TRUE)</f>
        <v>1</v>
      </c>
      <c r="T28" s="1" t="b">
        <f>IFERROR(__xludf.DUMMYFUNCTION("""COMPUTED_VALUE"""),FALSE)</f>
        <v>0</v>
      </c>
      <c r="U28" s="1" t="str">
        <f>IFERROR(__xludf.DUMMYFUNCTION("""COMPUTED_VALUE"""),"VALID")</f>
        <v>VALID</v>
      </c>
      <c r="V28" s="1">
        <f>IFERROR(__xludf.DUMMYFUNCTION("""COMPUTED_VALUE"""),25.0)</f>
        <v>25</v>
      </c>
      <c r="W28" s="1">
        <f>IFERROR(__xludf.DUMMYFUNCTION("""COMPUTED_VALUE"""),230.0)</f>
        <v>230</v>
      </c>
      <c r="X28" s="1">
        <f>IFERROR(__xludf.DUMMYFUNCTION("""COMPUTED_VALUE"""),1154.0)</f>
        <v>1154</v>
      </c>
      <c r="Y28" s="2"/>
      <c r="Z28" s="2"/>
    </row>
    <row r="29">
      <c r="A29" s="1">
        <f>IFERROR(__xludf.DUMMYFUNCTION("""COMPUTED_VALUE"""),28.0)</f>
        <v>28</v>
      </c>
      <c r="B29" s="1">
        <f>IFERROR(__xludf.DUMMYFUNCTION("""COMPUTED_VALUE"""),12010.0)</f>
        <v>12010</v>
      </c>
      <c r="C29" s="2" t="str">
        <f>IFERROR(__xludf.DUMMYFUNCTION("""COMPUTED_VALUE"""),"Teguh")</f>
        <v>Teguh</v>
      </c>
      <c r="D29" s="2" t="str">
        <f>IFERROR(__xludf.DUMMYFUNCTION("""COMPUTED_VALUE"""),"10KM MASTER M")</f>
        <v>10KM MASTER M</v>
      </c>
      <c r="E29" s="1">
        <f>IFERROR(__xludf.DUMMYFUNCTION("""COMPUTED_VALUE"""),1.0)</f>
        <v>1</v>
      </c>
      <c r="F29" s="1" t="str">
        <f>IFERROR(__xludf.DUMMYFUNCTION("""COMPUTED_VALUE"""),"Male")</f>
        <v>Male</v>
      </c>
      <c r="G29" s="4" t="b">
        <f>IFERROR(__xludf.DUMMYFUNCTION("""COMPUTED_VALUE"""),TRUE)</f>
        <v>1</v>
      </c>
      <c r="H29" s="4" t="b">
        <f>IFERROR(__xludf.DUMMYFUNCTION("""COMPUTED_VALUE"""),FALSE)</f>
        <v>0</v>
      </c>
      <c r="I29" s="4">
        <f>IFERROR(__xludf.DUMMYFUNCTION("""COMPUTED_VALUE"""),0.24646185185185185)</f>
        <v>0.2464618519</v>
      </c>
      <c r="J29" s="4">
        <f>IFERROR(__xludf.DUMMYFUNCTION("""COMPUTED_VALUE"""),45949.256610035576)</f>
        <v>45949.25661</v>
      </c>
      <c r="K29" s="4">
        <f>IFERROR(__xludf.DUMMYFUNCTION("""COMPUTED_VALUE"""),45949.28871771246)</f>
        <v>45949.28872</v>
      </c>
      <c r="L29" s="4">
        <f>IFERROR(__xludf.DUMMYFUNCTION("""COMPUTED_VALUE"""),45949.29869601937)</f>
        <v>45949.2987</v>
      </c>
      <c r="M29" s="1" t="str">
        <f>IFERROR(__xludf.DUMMYFUNCTION("""COMPUTED_VALUE"""),"RFID")</f>
        <v>RFID</v>
      </c>
      <c r="N29" s="5">
        <f>IFERROR(__xludf.DUMMYFUNCTION("""COMPUTED_VALUE"""),0.004059273148148148)</f>
        <v>0.004059273148</v>
      </c>
      <c r="O29" s="5">
        <f>IFERROR(__xludf.DUMMYFUNCTION("""COMPUTED_VALUE"""),0.012843069444444443)</f>
        <v>0.01284306944</v>
      </c>
      <c r="P29" s="5">
        <f>IFERROR(__xludf.DUMMYFUNCTION("""COMPUTED_VALUE"""),0.004106299139519985)</f>
        <v>0.00410629914</v>
      </c>
      <c r="Q29" s="5">
        <f>IFERROR(__xludf.DUMMYFUNCTION("""COMPUTED_VALUE"""),0.005223416666666667)</f>
        <v>0.005223416667</v>
      </c>
      <c r="R29" s="4">
        <f>IFERROR(__xludf.DUMMYFUNCTION("""COMPUTED_VALUE"""),45949.05223416752)</f>
        <v>45949.05223</v>
      </c>
      <c r="S29" s="1" t="b">
        <f>IFERROR(__xludf.DUMMYFUNCTION("""COMPUTED_VALUE"""),TRUE)</f>
        <v>1</v>
      </c>
      <c r="T29" s="1" t="b">
        <f>IFERROR(__xludf.DUMMYFUNCTION("""COMPUTED_VALUE"""),FALSE)</f>
        <v>0</v>
      </c>
      <c r="U29" s="1" t="str">
        <f>IFERROR(__xludf.DUMMYFUNCTION("""COMPUTED_VALUE"""),"VALID")</f>
        <v>VALID</v>
      </c>
      <c r="V29" s="1">
        <f>IFERROR(__xludf.DUMMYFUNCTION("""COMPUTED_VALUE"""),43.0)</f>
        <v>43</v>
      </c>
      <c r="W29" s="1">
        <f>IFERROR(__xludf.DUMMYFUNCTION("""COMPUTED_VALUE"""),465.0)</f>
        <v>465</v>
      </c>
      <c r="X29" s="1">
        <f>IFERROR(__xludf.DUMMYFUNCTION("""COMPUTED_VALUE"""),1442.0)</f>
        <v>1442</v>
      </c>
      <c r="Y29" s="2"/>
      <c r="Z29" s="2"/>
    </row>
    <row r="30">
      <c r="A30" s="1">
        <f>IFERROR(__xludf.DUMMYFUNCTION("""COMPUTED_VALUE"""),29.0)</f>
        <v>29</v>
      </c>
      <c r="B30" s="1">
        <f>IFERROR(__xludf.DUMMYFUNCTION("""COMPUTED_VALUE"""),12011.0)</f>
        <v>12011</v>
      </c>
      <c r="C30" s="2" t="str">
        <f>IFERROR(__xludf.DUMMYFUNCTION("""COMPUTED_VALUE"""),"kusdinaryanto")</f>
        <v>kusdinaryanto</v>
      </c>
      <c r="D30" s="2" t="str">
        <f>IFERROR(__xludf.DUMMYFUNCTION("""COMPUTED_VALUE"""),"10KM MASTER M")</f>
        <v>10KM MASTER M</v>
      </c>
      <c r="E30" s="1">
        <f>IFERROR(__xludf.DUMMYFUNCTION("""COMPUTED_VALUE"""),1.0)</f>
        <v>1</v>
      </c>
      <c r="F30" s="1" t="str">
        <f>IFERROR(__xludf.DUMMYFUNCTION("""COMPUTED_VALUE"""),"Male")</f>
        <v>Male</v>
      </c>
      <c r="G30" s="4" t="b">
        <f>IFERROR(__xludf.DUMMYFUNCTION("""COMPUTED_VALUE"""),TRUE)</f>
        <v>1</v>
      </c>
      <c r="H30" s="4" t="b">
        <f>IFERROR(__xludf.DUMMYFUNCTION("""COMPUTED_VALUE"""),TRUE)</f>
        <v>1</v>
      </c>
      <c r="I30" s="4">
        <f>IFERROR(__xludf.DUMMYFUNCTION("""COMPUTED_VALUE"""),0.24646185185185185)</f>
        <v>0.2464618519</v>
      </c>
      <c r="J30" s="4">
        <f>IFERROR(__xludf.DUMMYFUNCTION("""COMPUTED_VALUE"""),45949.254953783486)</f>
        <v>45949.25495</v>
      </c>
      <c r="K30" s="4">
        <f>IFERROR(__xludf.DUMMYFUNCTION("""COMPUTED_VALUE"""),45949.27926631811)</f>
        <v>45949.27927</v>
      </c>
      <c r="L30" s="4">
        <f>IFERROR(__xludf.DUMMYFUNCTION("""COMPUTED_VALUE"""),45949.28656765865)</f>
        <v>45949.28657</v>
      </c>
      <c r="M30" s="1" t="str">
        <f>IFERROR(__xludf.DUMMYFUNCTION("""COMPUTED_VALUE"""),"RFID")</f>
        <v>RFID</v>
      </c>
      <c r="N30" s="5">
        <f>IFERROR(__xludf.DUMMYFUNCTION("""COMPUTED_VALUE"""),0.003396773148148148)</f>
        <v>0.003396773148</v>
      </c>
      <c r="O30" s="5">
        <f>IFERROR(__xludf.DUMMYFUNCTION("""COMPUTED_VALUE"""),0.009725013888888889)</f>
        <v>0.009725013889</v>
      </c>
      <c r="P30" s="5">
        <f>IFERROR(__xludf.DUMMYFUNCTION("""COMPUTED_VALUE"""),0.0030046668896066414)</f>
        <v>0.00300466689</v>
      </c>
      <c r="Q30" s="5">
        <f>IFERROR(__xludf.DUMMYFUNCTION("""COMPUTED_VALUE"""),0.004010581018518518)</f>
        <v>0.004010581019</v>
      </c>
      <c r="R30" s="4">
        <f>IFERROR(__xludf.DUMMYFUNCTION("""COMPUTED_VALUE"""),45949.0401058068)</f>
        <v>45949.04011</v>
      </c>
      <c r="S30" s="1" t="b">
        <f>IFERROR(__xludf.DUMMYFUNCTION("""COMPUTED_VALUE"""),TRUE)</f>
        <v>1</v>
      </c>
      <c r="T30" s="1" t="b">
        <f>IFERROR(__xludf.DUMMYFUNCTION("""COMPUTED_VALUE"""),FALSE)</f>
        <v>0</v>
      </c>
      <c r="U30" s="1" t="str">
        <f>IFERROR(__xludf.DUMMYFUNCTION("""COMPUTED_VALUE"""),"VALID")</f>
        <v>VALID</v>
      </c>
      <c r="V30" s="1">
        <f>IFERROR(__xludf.DUMMYFUNCTION("""COMPUTED_VALUE"""),14.0)</f>
        <v>14</v>
      </c>
      <c r="W30" s="1">
        <f>IFERROR(__xludf.DUMMYFUNCTION("""COMPUTED_VALUE"""),127.0)</f>
        <v>127</v>
      </c>
      <c r="X30" s="1">
        <f>IFERROR(__xludf.DUMMYFUNCTION("""COMPUTED_VALUE"""),983.0)</f>
        <v>983</v>
      </c>
      <c r="Y30" s="2"/>
      <c r="Z30" s="2"/>
    </row>
    <row r="31">
      <c r="A31" s="1">
        <f>IFERROR(__xludf.DUMMYFUNCTION("""COMPUTED_VALUE"""),30.0)</f>
        <v>30</v>
      </c>
      <c r="B31" s="1">
        <f>IFERROR(__xludf.DUMMYFUNCTION("""COMPUTED_VALUE"""),12012.0)</f>
        <v>12012</v>
      </c>
      <c r="C31" s="2" t="str">
        <f>IFERROR(__xludf.DUMMYFUNCTION("""COMPUTED_VALUE"""),"Tatay")</f>
        <v>Tatay</v>
      </c>
      <c r="D31" s="2" t="str">
        <f>IFERROR(__xludf.DUMMYFUNCTION("""COMPUTED_VALUE"""),"10KM MASTER M")</f>
        <v>10KM MASTER M</v>
      </c>
      <c r="E31" s="1">
        <f>IFERROR(__xludf.DUMMYFUNCTION("""COMPUTED_VALUE"""),1.0)</f>
        <v>1</v>
      </c>
      <c r="F31" s="1" t="str">
        <f>IFERROR(__xludf.DUMMYFUNCTION("""COMPUTED_VALUE"""),"Male")</f>
        <v>Male</v>
      </c>
      <c r="G31" s="4" t="b">
        <f>IFERROR(__xludf.DUMMYFUNCTION("""COMPUTED_VALUE"""),TRUE)</f>
        <v>1</v>
      </c>
      <c r="H31" s="4" t="b">
        <f>IFERROR(__xludf.DUMMYFUNCTION("""COMPUTED_VALUE"""),TRUE)</f>
        <v>1</v>
      </c>
      <c r="I31" s="4">
        <f>IFERROR(__xludf.DUMMYFUNCTION("""COMPUTED_VALUE"""),0.24646185185185185)</f>
        <v>0.2464618519</v>
      </c>
      <c r="J31" s="4">
        <f>IFERROR(__xludf.DUMMYFUNCTION("""COMPUTED_VALUE"""),45949.258953774326)</f>
        <v>45949.25895</v>
      </c>
      <c r="K31" s="4">
        <f>IFERROR(__xludf.DUMMYFUNCTION("""COMPUTED_VALUE"""),45949.29191238889)</f>
        <v>45949.29191</v>
      </c>
      <c r="L31" s="4">
        <f>IFERROR(__xludf.DUMMYFUNCTION("""COMPUTED_VALUE"""),45949.30102587404)</f>
        <v>45949.30103</v>
      </c>
      <c r="M31" s="1" t="str">
        <f>IFERROR(__xludf.DUMMYFUNCTION("""COMPUTED_VALUE"""),"RFID")</f>
        <v>RFID</v>
      </c>
      <c r="N31" s="5">
        <f>IFERROR(__xludf.DUMMYFUNCTION("""COMPUTED_VALUE"""),0.004996768518518518)</f>
        <v>0.004996768519</v>
      </c>
      <c r="O31" s="5">
        <f>IFERROR(__xludf.DUMMYFUNCTION("""COMPUTED_VALUE"""),0.013183444444444446)</f>
        <v>0.01318344444</v>
      </c>
      <c r="P31" s="5">
        <f>IFERROR(__xludf.DUMMYFUNCTION("""COMPUTED_VALUE"""),0.003750405410029676)</f>
        <v>0.00375040541</v>
      </c>
      <c r="Q31" s="5">
        <f>IFERROR(__xludf.DUMMYFUNCTION("""COMPUTED_VALUE"""),0.005456402777777778)</f>
        <v>0.005456402778</v>
      </c>
      <c r="R31" s="4">
        <f>IFERROR(__xludf.DUMMYFUNCTION("""COMPUTED_VALUE"""),45949.05456402219)</f>
        <v>45949.05456</v>
      </c>
      <c r="S31" s="1" t="b">
        <f>IFERROR(__xludf.DUMMYFUNCTION("""COMPUTED_VALUE"""),TRUE)</f>
        <v>1</v>
      </c>
      <c r="T31" s="1" t="b">
        <f>IFERROR(__xludf.DUMMYFUNCTION("""COMPUTED_VALUE"""),FALSE)</f>
        <v>0</v>
      </c>
      <c r="U31" s="1" t="str">
        <f>IFERROR(__xludf.DUMMYFUNCTION("""COMPUTED_VALUE"""),"VALID")</f>
        <v>VALID</v>
      </c>
      <c r="V31" s="1">
        <f>IFERROR(__xludf.DUMMYFUNCTION("""COMPUTED_VALUE"""),50.0)</f>
        <v>50</v>
      </c>
      <c r="W31" s="1">
        <f>IFERROR(__xludf.DUMMYFUNCTION("""COMPUTED_VALUE"""),535.0)</f>
        <v>535</v>
      </c>
      <c r="X31" s="1">
        <f>IFERROR(__xludf.DUMMYFUNCTION("""COMPUTED_VALUE"""),1512.0)</f>
        <v>1512</v>
      </c>
      <c r="Y31" s="2"/>
      <c r="Z31" s="2"/>
    </row>
    <row r="32">
      <c r="A32" s="1">
        <f>IFERROR(__xludf.DUMMYFUNCTION("""COMPUTED_VALUE"""),31.0)</f>
        <v>31</v>
      </c>
      <c r="B32" s="1">
        <f>IFERROR(__xludf.DUMMYFUNCTION("""COMPUTED_VALUE"""),12013.0)</f>
        <v>12013</v>
      </c>
      <c r="C32" s="2" t="str">
        <f>IFERROR(__xludf.DUMMYFUNCTION("""COMPUTED_VALUE"""),"ferry kurniawan")</f>
        <v>ferry kurniawan</v>
      </c>
      <c r="D32" s="2" t="str">
        <f>IFERROR(__xludf.DUMMYFUNCTION("""COMPUTED_VALUE"""),"10KM MASTER M")</f>
        <v>10KM MASTER M</v>
      </c>
      <c r="E32" s="1">
        <f>IFERROR(__xludf.DUMMYFUNCTION("""COMPUTED_VALUE"""),1.0)</f>
        <v>1</v>
      </c>
      <c r="F32" s="1" t="str">
        <f>IFERROR(__xludf.DUMMYFUNCTION("""COMPUTED_VALUE"""),"Male")</f>
        <v>Male</v>
      </c>
      <c r="G32" s="4" t="b">
        <f>IFERROR(__xludf.DUMMYFUNCTION("""COMPUTED_VALUE"""),TRUE)</f>
        <v>1</v>
      </c>
      <c r="H32" s="4" t="b">
        <f>IFERROR(__xludf.DUMMYFUNCTION("""COMPUTED_VALUE"""),TRUE)</f>
        <v>1</v>
      </c>
      <c r="I32" s="4">
        <f>IFERROR(__xludf.DUMMYFUNCTION("""COMPUTED_VALUE"""),0.24646185185185185)</f>
        <v>0.2464618519</v>
      </c>
      <c r="J32" s="4">
        <f>IFERROR(__xludf.DUMMYFUNCTION("""COMPUTED_VALUE"""),45949.26140517042)</f>
        <v>45949.26141</v>
      </c>
      <c r="K32" s="4">
        <f>IFERROR(__xludf.DUMMYFUNCTION("""COMPUTED_VALUE"""),45949.29409988352)</f>
        <v>45949.2941</v>
      </c>
      <c r="L32" s="4">
        <f>IFERROR(__xludf.DUMMYFUNCTION("""COMPUTED_VALUE"""),45949.30262656576)</f>
        <v>45949.30263</v>
      </c>
      <c r="M32" s="1" t="str">
        <f>IFERROR(__xludf.DUMMYFUNCTION("""COMPUTED_VALUE"""),"RFID")</f>
        <v>RFID</v>
      </c>
      <c r="N32" s="5">
        <f>IFERROR(__xludf.DUMMYFUNCTION("""COMPUTED_VALUE"""),0.005977328703703704)</f>
        <v>0.005977328704</v>
      </c>
      <c r="O32" s="5">
        <f>IFERROR(__xludf.DUMMYFUNCTION("""COMPUTED_VALUE"""),0.01307788425925926)</f>
        <v>0.01307788426</v>
      </c>
      <c r="P32" s="5">
        <f>IFERROR(__xludf.DUMMYFUNCTION("""COMPUTED_VALUE"""),0.0035089227335466217)</f>
        <v>0.003508922734</v>
      </c>
      <c r="Q32" s="5">
        <f>IFERROR(__xludf.DUMMYFUNCTION("""COMPUTED_VALUE"""),0.0056164710648148155)</f>
        <v>0.005616471065</v>
      </c>
      <c r="R32" s="4">
        <f>IFERROR(__xludf.DUMMYFUNCTION("""COMPUTED_VALUE"""),45949.05616471391)</f>
        <v>45949.05616</v>
      </c>
      <c r="S32" s="1" t="b">
        <f>IFERROR(__xludf.DUMMYFUNCTION("""COMPUTED_VALUE"""),TRUE)</f>
        <v>1</v>
      </c>
      <c r="T32" s="1" t="b">
        <f>IFERROR(__xludf.DUMMYFUNCTION("""COMPUTED_VALUE"""),FALSE)</f>
        <v>0</v>
      </c>
      <c r="U32" s="1" t="str">
        <f>IFERROR(__xludf.DUMMYFUNCTION("""COMPUTED_VALUE"""),"VALID")</f>
        <v>VALID</v>
      </c>
      <c r="V32" s="1">
        <f>IFERROR(__xludf.DUMMYFUNCTION("""COMPUTED_VALUE"""),54.0)</f>
        <v>54</v>
      </c>
      <c r="W32" s="1">
        <f>IFERROR(__xludf.DUMMYFUNCTION("""COMPUTED_VALUE"""),580.0)</f>
        <v>580</v>
      </c>
      <c r="X32" s="1">
        <f>IFERROR(__xludf.DUMMYFUNCTION("""COMPUTED_VALUE"""),1552.0)</f>
        <v>1552</v>
      </c>
      <c r="Y32" s="2"/>
      <c r="Z32" s="2"/>
    </row>
    <row r="33">
      <c r="A33" s="1">
        <f>IFERROR(__xludf.DUMMYFUNCTION("""COMPUTED_VALUE"""),32.0)</f>
        <v>32</v>
      </c>
      <c r="B33" s="1">
        <f>IFERROR(__xludf.DUMMYFUNCTION("""COMPUTED_VALUE"""),12014.0)</f>
        <v>12014</v>
      </c>
      <c r="C33" s="2" t="str">
        <f>IFERROR(__xludf.DUMMYFUNCTION("""COMPUTED_VALUE"""),"parjono")</f>
        <v>parjono</v>
      </c>
      <c r="D33" s="2" t="str">
        <f>IFERROR(__xludf.DUMMYFUNCTION("""COMPUTED_VALUE"""),"10KM MASTER M")</f>
        <v>10KM MASTER M</v>
      </c>
      <c r="E33" s="1">
        <f>IFERROR(__xludf.DUMMYFUNCTION("""COMPUTED_VALUE"""),1.0)</f>
        <v>1</v>
      </c>
      <c r="F33" s="1" t="str">
        <f>IFERROR(__xludf.DUMMYFUNCTION("""COMPUTED_VALUE"""),"Male")</f>
        <v>Male</v>
      </c>
      <c r="G33" s="4" t="b">
        <f>IFERROR(__xludf.DUMMYFUNCTION("""COMPUTED_VALUE"""),TRUE)</f>
        <v>1</v>
      </c>
      <c r="H33" s="4" t="b">
        <f>IFERROR(__xludf.DUMMYFUNCTION("""COMPUTED_VALUE"""),TRUE)</f>
        <v>1</v>
      </c>
      <c r="I33" s="4">
        <f>IFERROR(__xludf.DUMMYFUNCTION("""COMPUTED_VALUE"""),0.24646185185185185)</f>
        <v>0.2464618519</v>
      </c>
      <c r="J33" s="4">
        <f>IFERROR(__xludf.DUMMYFUNCTION("""COMPUTED_VALUE"""),45949.25874898428)</f>
        <v>45949.25875</v>
      </c>
      <c r="K33" s="4">
        <f>IFERROR(__xludf.DUMMYFUNCTION("""COMPUTED_VALUE"""),45949.28896422079)</f>
        <v>45949.28896</v>
      </c>
      <c r="L33" s="4">
        <f>IFERROR(__xludf.DUMMYFUNCTION("""COMPUTED_VALUE"""),45949.2973807854)</f>
        <v>45949.29738</v>
      </c>
      <c r="M33" s="1" t="str">
        <f>IFERROR(__xludf.DUMMYFUNCTION("""COMPUTED_VALUE"""),"RFID")</f>
        <v>RFID</v>
      </c>
      <c r="N33" s="5">
        <f>IFERROR(__xludf.DUMMYFUNCTION("""COMPUTED_VALUE"""),0.004914851851851852)</f>
        <v>0.004914851852</v>
      </c>
      <c r="O33" s="5">
        <f>IFERROR(__xludf.DUMMYFUNCTION("""COMPUTED_VALUE"""),0.012086092592592593)</f>
        <v>0.01208609259</v>
      </c>
      <c r="P33" s="5">
        <f>IFERROR(__xludf.DUMMYFUNCTION("""COMPUTED_VALUE"""),0.003463606835906336)</f>
        <v>0.003463606836</v>
      </c>
      <c r="Q33" s="5">
        <f>IFERROR(__xludf.DUMMYFUNCTION("""COMPUTED_VALUE"""),0.005091893518518518)</f>
        <v>0.005091893519</v>
      </c>
      <c r="R33" s="4">
        <f>IFERROR(__xludf.DUMMYFUNCTION("""COMPUTED_VALUE"""),45949.05091893355)</f>
        <v>45949.05092</v>
      </c>
      <c r="S33" s="1" t="b">
        <f>IFERROR(__xludf.DUMMYFUNCTION("""COMPUTED_VALUE"""),TRUE)</f>
        <v>1</v>
      </c>
      <c r="T33" s="1" t="b">
        <f>IFERROR(__xludf.DUMMYFUNCTION("""COMPUTED_VALUE"""),FALSE)</f>
        <v>0</v>
      </c>
      <c r="U33" s="1" t="str">
        <f>IFERROR(__xludf.DUMMYFUNCTION("""COMPUTED_VALUE"""),"VALID")</f>
        <v>VALID</v>
      </c>
      <c r="V33" s="1">
        <f>IFERROR(__xludf.DUMMYFUNCTION("""COMPUTED_VALUE"""),40.0)</f>
        <v>40</v>
      </c>
      <c r="W33" s="1">
        <f>IFERROR(__xludf.DUMMYFUNCTION("""COMPUTED_VALUE"""),433.0)</f>
        <v>433</v>
      </c>
      <c r="X33" s="1">
        <f>IFERROR(__xludf.DUMMYFUNCTION("""COMPUTED_VALUE"""),1412.0)</f>
        <v>1412</v>
      </c>
      <c r="Y33" s="2"/>
      <c r="Z33" s="2"/>
    </row>
    <row r="34">
      <c r="A34" s="1">
        <f>IFERROR(__xludf.DUMMYFUNCTION("""COMPUTED_VALUE"""),33.0)</f>
        <v>33</v>
      </c>
      <c r="B34" s="1">
        <f>IFERROR(__xludf.DUMMYFUNCTION("""COMPUTED_VALUE"""),12015.0)</f>
        <v>12015</v>
      </c>
      <c r="C34" s="2" t="str">
        <f>IFERROR(__xludf.DUMMYFUNCTION("""COMPUTED_VALUE"""),"Abdi Rfn")</f>
        <v>Abdi Rfn</v>
      </c>
      <c r="D34" s="2" t="str">
        <f>IFERROR(__xludf.DUMMYFUNCTION("""COMPUTED_VALUE"""),"10KM MASTER M")</f>
        <v>10KM MASTER M</v>
      </c>
      <c r="E34" s="1">
        <f>IFERROR(__xludf.DUMMYFUNCTION("""COMPUTED_VALUE"""),1.0)</f>
        <v>1</v>
      </c>
      <c r="F34" s="1" t="str">
        <f>IFERROR(__xludf.DUMMYFUNCTION("""COMPUTED_VALUE"""),"Male")</f>
        <v>Male</v>
      </c>
      <c r="G34" s="4" t="str">
        <f>IFERROR(__xludf.DUMMYFUNCTION("""COMPUTED_VALUE"""),"")</f>
        <v/>
      </c>
      <c r="H34" s="4" t="b">
        <f>IFERROR(__xludf.DUMMYFUNCTION("""COMPUTED_VALUE"""),TRUE)</f>
        <v>1</v>
      </c>
      <c r="I34" s="4">
        <f>IFERROR(__xludf.DUMMYFUNCTION("""COMPUTED_VALUE"""),0.24646185185185185)</f>
        <v>0.2464618519</v>
      </c>
      <c r="J34" s="4">
        <f>IFERROR(__xludf.DUMMYFUNCTION("""COMPUTED_VALUE"""),45949.25651982172)</f>
        <v>45949.25652</v>
      </c>
      <c r="K34" s="4">
        <f>IFERROR(__xludf.DUMMYFUNCTION("""COMPUTED_VALUE"""),45949.280953826)</f>
        <v>45949.28095</v>
      </c>
      <c r="L34" s="4">
        <f>IFERROR(__xludf.DUMMYFUNCTION("""COMPUTED_VALUE"""),45949.28781405833)</f>
        <v>45949.28781</v>
      </c>
      <c r="M34" s="1" t="str">
        <f>IFERROR(__xludf.DUMMYFUNCTION("""COMPUTED_VALUE"""),"RFID")</f>
        <v>RFID</v>
      </c>
      <c r="N34" s="5">
        <f>IFERROR(__xludf.DUMMYFUNCTION("""COMPUTED_VALUE"""),0.0040231898148148145)</f>
        <v>0.004023189815</v>
      </c>
      <c r="O34" s="5">
        <f>IFERROR(__xludf.DUMMYFUNCTION("""COMPUTED_VALUE"""),0.009773601851851851)</f>
        <v>0.009773601852</v>
      </c>
      <c r="P34" s="5">
        <f>IFERROR(__xludf.DUMMYFUNCTION("""COMPUTED_VALUE"""),0.002823140876513327)</f>
        <v>0.002823140877</v>
      </c>
      <c r="Q34" s="5">
        <f>IFERROR(__xludf.DUMMYFUNCTION("""COMPUTED_VALUE"""),0.004135221064814815)</f>
        <v>0.004135221065</v>
      </c>
      <c r="R34" s="4">
        <f>IFERROR(__xludf.DUMMYFUNCTION("""COMPUTED_VALUE"""),45949.04135220648)</f>
        <v>45949.04135</v>
      </c>
      <c r="S34" s="1" t="b">
        <f>IFERROR(__xludf.DUMMYFUNCTION("""COMPUTED_VALUE"""),TRUE)</f>
        <v>1</v>
      </c>
      <c r="T34" s="1" t="b">
        <f>IFERROR(__xludf.DUMMYFUNCTION("""COMPUTED_VALUE"""),FALSE)</f>
        <v>0</v>
      </c>
      <c r="U34" s="1" t="str">
        <f>IFERROR(__xludf.DUMMYFUNCTION("""COMPUTED_VALUE"""),"VALID")</f>
        <v>VALID</v>
      </c>
      <c r="V34" s="1">
        <f>IFERROR(__xludf.DUMMYFUNCTION("""COMPUTED_VALUE"""),16.0)</f>
        <v>16</v>
      </c>
      <c r="W34" s="1">
        <f>IFERROR(__xludf.DUMMYFUNCTION("""COMPUTED_VALUE"""),151.0)</f>
        <v>151</v>
      </c>
      <c r="X34" s="1">
        <f>IFERROR(__xludf.DUMMYFUNCTION("""COMPUTED_VALUE"""),1033.0)</f>
        <v>1033</v>
      </c>
      <c r="Y34" s="2"/>
      <c r="Z34" s="2"/>
    </row>
    <row r="35">
      <c r="A35" s="1">
        <f>IFERROR(__xludf.DUMMYFUNCTION("""COMPUTED_VALUE"""),34.0)</f>
        <v>34</v>
      </c>
      <c r="B35" s="1">
        <f>IFERROR(__xludf.DUMMYFUNCTION("""COMPUTED_VALUE"""),12017.0)</f>
        <v>12017</v>
      </c>
      <c r="C35" s="2" t="str">
        <f>IFERROR(__xludf.DUMMYFUNCTION("""COMPUTED_VALUE"""),"Didik Prasetyo")</f>
        <v>Didik Prasetyo</v>
      </c>
      <c r="D35" s="2" t="str">
        <f>IFERROR(__xludf.DUMMYFUNCTION("""COMPUTED_VALUE"""),"10KM MASTER M")</f>
        <v>10KM MASTER M</v>
      </c>
      <c r="E35" s="1">
        <f>IFERROR(__xludf.DUMMYFUNCTION("""COMPUTED_VALUE"""),1.0)</f>
        <v>1</v>
      </c>
      <c r="F35" s="1" t="str">
        <f>IFERROR(__xludf.DUMMYFUNCTION("""COMPUTED_VALUE"""),"Male")</f>
        <v>Male</v>
      </c>
      <c r="G35" s="4" t="b">
        <f>IFERROR(__xludf.DUMMYFUNCTION("""COMPUTED_VALUE"""),TRUE)</f>
        <v>1</v>
      </c>
      <c r="H35" s="4" t="b">
        <f>IFERROR(__xludf.DUMMYFUNCTION("""COMPUTED_VALUE"""),TRUE)</f>
        <v>1</v>
      </c>
      <c r="I35" s="4">
        <f>IFERROR(__xludf.DUMMYFUNCTION("""COMPUTED_VALUE"""),0.24646185185185185)</f>
        <v>0.2464618519</v>
      </c>
      <c r="J35" s="4">
        <f>IFERROR(__xludf.DUMMYFUNCTION("""COMPUTED_VALUE"""),45949.260099892555)</f>
        <v>45949.2601</v>
      </c>
      <c r="K35" s="4">
        <f>IFERROR(__xludf.DUMMYFUNCTION("""COMPUTED_VALUE"""),45949.2932977354)</f>
        <v>45949.2933</v>
      </c>
      <c r="L35" s="4">
        <f>IFERROR(__xludf.DUMMYFUNCTION("""COMPUTED_VALUE"""),45949.30318211913)</f>
        <v>45949.30318</v>
      </c>
      <c r="M35" s="1" t="str">
        <f>IFERROR(__xludf.DUMMYFUNCTION("""COMPUTED_VALUE"""),"RFID")</f>
        <v>RFID</v>
      </c>
      <c r="N35" s="5">
        <f>IFERROR(__xludf.DUMMYFUNCTION("""COMPUTED_VALUE"""),0.005455217592592593)</f>
        <v>0.005455217593</v>
      </c>
      <c r="O35" s="5">
        <f>IFERROR(__xludf.DUMMYFUNCTION("""COMPUTED_VALUE"""),0.013279138888888889)</f>
        <v>0.01327913889</v>
      </c>
      <c r="P35" s="5">
        <f>IFERROR(__xludf.DUMMYFUNCTION("""COMPUTED_VALUE"""),0.004067647626811308)</f>
        <v>0.004067647627</v>
      </c>
      <c r="Q35" s="5">
        <f>IFERROR(__xludf.DUMMYFUNCTION("""COMPUTED_VALUE"""),0.005672026620370371)</f>
        <v>0.00567202662</v>
      </c>
      <c r="R35" s="4">
        <f>IFERROR(__xludf.DUMMYFUNCTION("""COMPUTED_VALUE"""),45949.05672026728)</f>
        <v>45949.05672</v>
      </c>
      <c r="S35" s="1" t="b">
        <f>IFERROR(__xludf.DUMMYFUNCTION("""COMPUTED_VALUE"""),TRUE)</f>
        <v>1</v>
      </c>
      <c r="T35" s="1" t="b">
        <f>IFERROR(__xludf.DUMMYFUNCTION("""COMPUTED_VALUE"""),FALSE)</f>
        <v>0</v>
      </c>
      <c r="U35" s="1" t="str">
        <f>IFERROR(__xludf.DUMMYFUNCTION("""COMPUTED_VALUE"""),"VALID")</f>
        <v>VALID</v>
      </c>
      <c r="V35" s="1">
        <f>IFERROR(__xludf.DUMMYFUNCTION("""COMPUTED_VALUE"""),55.0)</f>
        <v>55</v>
      </c>
      <c r="W35" s="1">
        <f>IFERROR(__xludf.DUMMYFUNCTION("""COMPUTED_VALUE"""),593.0)</f>
        <v>593</v>
      </c>
      <c r="X35" s="1">
        <f>IFERROR(__xludf.DUMMYFUNCTION("""COMPUTED_VALUE"""),1562.0)</f>
        <v>1562</v>
      </c>
      <c r="Y35" s="2"/>
      <c r="Z35" s="2"/>
    </row>
    <row r="36">
      <c r="A36" s="1">
        <f>IFERROR(__xludf.DUMMYFUNCTION("""COMPUTED_VALUE"""),35.0)</f>
        <v>35</v>
      </c>
      <c r="B36" s="1">
        <f>IFERROR(__xludf.DUMMYFUNCTION("""COMPUTED_VALUE"""),12018.0)</f>
        <v>12018</v>
      </c>
      <c r="C36" s="2" t="str">
        <f>IFERROR(__xludf.DUMMYFUNCTION("""COMPUTED_VALUE"""),"Novi")</f>
        <v>Novi</v>
      </c>
      <c r="D36" s="2" t="str">
        <f>IFERROR(__xludf.DUMMYFUNCTION("""COMPUTED_VALUE"""),"10KM MASTER M")</f>
        <v>10KM MASTER M</v>
      </c>
      <c r="E36" s="1">
        <f>IFERROR(__xludf.DUMMYFUNCTION("""COMPUTED_VALUE"""),1.0)</f>
        <v>1</v>
      </c>
      <c r="F36" s="1" t="str">
        <f>IFERROR(__xludf.DUMMYFUNCTION("""COMPUTED_VALUE"""),"Male")</f>
        <v>Male</v>
      </c>
      <c r="G36" s="4" t="b">
        <f>IFERROR(__xludf.DUMMYFUNCTION("""COMPUTED_VALUE"""),TRUE)</f>
        <v>1</v>
      </c>
      <c r="H36" s="4" t="b">
        <f>IFERROR(__xludf.DUMMYFUNCTION("""COMPUTED_VALUE"""),FALSE)</f>
        <v>0</v>
      </c>
      <c r="I36" s="4">
        <f>IFERROR(__xludf.DUMMYFUNCTION("""COMPUTED_VALUE"""),0.24646185185185185)</f>
        <v>0.2464618519</v>
      </c>
      <c r="J36" s="4">
        <f>IFERROR(__xludf.DUMMYFUNCTION("""COMPUTED_VALUE"""),45949.25677669856)</f>
        <v>45949.25678</v>
      </c>
      <c r="K36" s="4">
        <f>IFERROR(__xludf.DUMMYFUNCTION("""COMPUTED_VALUE"""),45949.283068460616)</f>
        <v>45949.28307</v>
      </c>
      <c r="L36" s="4">
        <f>IFERROR(__xludf.DUMMYFUNCTION("""COMPUTED_VALUE"""),45949.291036232054)</f>
        <v>45949.29104</v>
      </c>
      <c r="M36" s="1" t="str">
        <f>IFERROR(__xludf.DUMMYFUNCTION("""COMPUTED_VALUE"""),"RFID")</f>
        <v>RFID</v>
      </c>
      <c r="N36" s="5">
        <f>IFERROR(__xludf.DUMMYFUNCTION("""COMPUTED_VALUE"""),0.004125939814814815)</f>
        <v>0.004125939815</v>
      </c>
      <c r="O36" s="5">
        <f>IFERROR(__xludf.DUMMYFUNCTION("""COMPUTED_VALUE"""),0.010516703703703705)</f>
        <v>0.0105167037</v>
      </c>
      <c r="P36" s="5">
        <f>IFERROR(__xludf.DUMMYFUNCTION("""COMPUTED_VALUE"""),0.00327891828741403)</f>
        <v>0.003278918287</v>
      </c>
      <c r="Q36" s="5">
        <f>IFERROR(__xludf.DUMMYFUNCTION("""COMPUTED_VALUE"""),0.0044574375)</f>
        <v>0.0044574375</v>
      </c>
      <c r="R36" s="4">
        <f>IFERROR(__xludf.DUMMYFUNCTION("""COMPUTED_VALUE"""),45949.044574380205)</f>
        <v>45949.04457</v>
      </c>
      <c r="S36" s="1" t="b">
        <f>IFERROR(__xludf.DUMMYFUNCTION("""COMPUTED_VALUE"""),TRUE)</f>
        <v>1</v>
      </c>
      <c r="T36" s="1" t="b">
        <f>IFERROR(__xludf.DUMMYFUNCTION("""COMPUTED_VALUE"""),FALSE)</f>
        <v>0</v>
      </c>
      <c r="U36" s="1" t="str">
        <f>IFERROR(__xludf.DUMMYFUNCTION("""COMPUTED_VALUE"""),"VALID")</f>
        <v>VALID</v>
      </c>
      <c r="V36" s="1">
        <f>IFERROR(__xludf.DUMMYFUNCTION("""COMPUTED_VALUE"""),26.0)</f>
        <v>26</v>
      </c>
      <c r="W36" s="1">
        <f>IFERROR(__xludf.DUMMYFUNCTION("""COMPUTED_VALUE"""),248.0)</f>
        <v>248</v>
      </c>
      <c r="X36" s="1">
        <f>IFERROR(__xludf.DUMMYFUNCTION("""COMPUTED_VALUE"""),1180.0)</f>
        <v>1180</v>
      </c>
      <c r="Y36" s="2"/>
      <c r="Z36" s="2"/>
    </row>
    <row r="37">
      <c r="A37" s="1">
        <f>IFERROR(__xludf.DUMMYFUNCTION("""COMPUTED_VALUE"""),36.0)</f>
        <v>36</v>
      </c>
      <c r="B37" s="1">
        <f>IFERROR(__xludf.DUMMYFUNCTION("""COMPUTED_VALUE"""),12019.0)</f>
        <v>12019</v>
      </c>
      <c r="C37" s="2" t="str">
        <f>IFERROR(__xludf.DUMMYFUNCTION("""COMPUTED_VALUE"""),"Rey")</f>
        <v>Rey</v>
      </c>
      <c r="D37" s="2" t="str">
        <f>IFERROR(__xludf.DUMMYFUNCTION("""COMPUTED_VALUE"""),"10KM MASTER M")</f>
        <v>10KM MASTER M</v>
      </c>
      <c r="E37" s="1">
        <f>IFERROR(__xludf.DUMMYFUNCTION("""COMPUTED_VALUE"""),1.0)</f>
        <v>1</v>
      </c>
      <c r="F37" s="1" t="str">
        <f>IFERROR(__xludf.DUMMYFUNCTION("""COMPUTED_VALUE"""),"Male")</f>
        <v>Male</v>
      </c>
      <c r="G37" s="4" t="str">
        <f>IFERROR(__xludf.DUMMYFUNCTION("""COMPUTED_VALUE"""),"")</f>
        <v/>
      </c>
      <c r="H37" s="4" t="b">
        <f>IFERROR(__xludf.DUMMYFUNCTION("""COMPUTED_VALUE"""),TRUE)</f>
        <v>1</v>
      </c>
      <c r="I37" s="4">
        <f>IFERROR(__xludf.DUMMYFUNCTION("""COMPUTED_VALUE"""),0.24646185185185185)</f>
        <v>0.2464618519</v>
      </c>
      <c r="J37" s="4">
        <f>IFERROR(__xludf.DUMMYFUNCTION("""COMPUTED_VALUE"""),45949.26040865932)</f>
        <v>45949.26041</v>
      </c>
      <c r="K37" s="4">
        <f>IFERROR(__xludf.DUMMYFUNCTION("""COMPUTED_VALUE"""),45949.33202546296)</f>
        <v>45949.33203</v>
      </c>
      <c r="L37" s="4">
        <f>IFERROR(__xludf.DUMMYFUNCTION("""COMPUTED_VALUE"""),45949.29805012343)</f>
        <v>45949.29805</v>
      </c>
      <c r="M37" s="1" t="str">
        <f>IFERROR(__xludf.DUMMYFUNCTION("""COMPUTED_VALUE"""),"RFID")</f>
        <v>RFID</v>
      </c>
      <c r="N37" s="5">
        <f>IFERROR(__xludf.DUMMYFUNCTION("""COMPUTED_VALUE"""),0.005578722222222222)</f>
        <v>0.005578722222</v>
      </c>
      <c r="O37" s="5">
        <f>IFERROR(__xludf.DUMMYFUNCTION("""COMPUTED_VALUE"""),0.02864672222222222)</f>
        <v>0.02864672222</v>
      </c>
      <c r="P37" s="5">
        <f>IFERROR(__xludf.DUMMYFUNCTION("""COMPUTED_VALUE"""),-0.013981621206183285)</f>
        <v>-0.01398162121</v>
      </c>
      <c r="Q37" s="5">
        <f>IFERROR(__xludf.DUMMYFUNCTION("""COMPUTED_VALUE"""),0.005158827546296296)</f>
        <v>0.005158827546</v>
      </c>
      <c r="R37" s="4">
        <f>IFERROR(__xludf.DUMMYFUNCTION("""COMPUTED_VALUE"""),45949.05158827158)</f>
        <v>45949.05159</v>
      </c>
      <c r="S37" s="1" t="b">
        <f>IFERROR(__xludf.DUMMYFUNCTION("""COMPUTED_VALUE"""),TRUE)</f>
        <v>1</v>
      </c>
      <c r="T37" s="1" t="b">
        <f>IFERROR(__xludf.DUMMYFUNCTION("""COMPUTED_VALUE"""),FALSE)</f>
        <v>0</v>
      </c>
      <c r="U37" s="1" t="str">
        <f>IFERROR(__xludf.DUMMYFUNCTION("""COMPUTED_VALUE"""),"VALID")</f>
        <v>VALID</v>
      </c>
      <c r="V37" s="1">
        <f>IFERROR(__xludf.DUMMYFUNCTION("""COMPUTED_VALUE"""),41.0)</f>
        <v>41</v>
      </c>
      <c r="W37" s="1">
        <f>IFERROR(__xludf.DUMMYFUNCTION("""COMPUTED_VALUE"""),446.0)</f>
        <v>446</v>
      </c>
      <c r="X37" s="1">
        <f>IFERROR(__xludf.DUMMYFUNCTION("""COMPUTED_VALUE"""),1425.0)</f>
        <v>1425</v>
      </c>
      <c r="Y37" s="2"/>
      <c r="Z37" s="2"/>
    </row>
    <row r="38">
      <c r="A38" s="1">
        <f>IFERROR(__xludf.DUMMYFUNCTION("""COMPUTED_VALUE"""),37.0)</f>
        <v>37</v>
      </c>
      <c r="B38" s="1">
        <f>IFERROR(__xludf.DUMMYFUNCTION("""COMPUTED_VALUE"""),12020.0)</f>
        <v>12020</v>
      </c>
      <c r="C38" s="2" t="str">
        <f>IFERROR(__xludf.DUMMYFUNCTION("""COMPUTED_VALUE"""),"Kainan Rasendria")</f>
        <v>Kainan Rasendria</v>
      </c>
      <c r="D38" s="2" t="str">
        <f>IFERROR(__xludf.DUMMYFUNCTION("""COMPUTED_VALUE"""),"10KM MASTER M")</f>
        <v>10KM MASTER M</v>
      </c>
      <c r="E38" s="1">
        <f>IFERROR(__xludf.DUMMYFUNCTION("""COMPUTED_VALUE"""),1.0)</f>
        <v>1</v>
      </c>
      <c r="F38" s="1" t="str">
        <f>IFERROR(__xludf.DUMMYFUNCTION("""COMPUTED_VALUE"""),"Male")</f>
        <v>Male</v>
      </c>
      <c r="G38" s="4" t="str">
        <f>IFERROR(__xludf.DUMMYFUNCTION("""COMPUTED_VALUE"""),"")</f>
        <v/>
      </c>
      <c r="H38" s="4" t="b">
        <f>IFERROR(__xludf.DUMMYFUNCTION("""COMPUTED_VALUE"""),FALSE)</f>
        <v>0</v>
      </c>
      <c r="I38" s="4">
        <f>IFERROR(__xludf.DUMMYFUNCTION("""COMPUTED_VALUE"""),0.24646185185185185)</f>
        <v>0.2464618519</v>
      </c>
      <c r="J38" s="4" t="str">
        <f>IFERROR(__xludf.DUMMYFUNCTION("""COMPUTED_VALUE"""),"")</f>
        <v/>
      </c>
      <c r="K38" s="4" t="str">
        <f>IFERROR(__xludf.DUMMYFUNCTION("""COMPUTED_VALUE"""),"")</f>
        <v/>
      </c>
      <c r="L38" s="4">
        <f>IFERROR(__xludf.DUMMYFUNCTION("""COMPUTED_VALUE"""),45949.30039450389)</f>
        <v>45949.30039</v>
      </c>
      <c r="M38" s="1" t="str">
        <f>IFERROR(__xludf.DUMMYFUNCTION("""COMPUTED_VALUE"""),"RFID")</f>
        <v>RFID</v>
      </c>
      <c r="N38" s="5" t="str">
        <f>IFERROR(__xludf.DUMMYFUNCTION("""COMPUTED_VALUE"""),"")</f>
        <v/>
      </c>
      <c r="O38" s="5" t="str">
        <f>IFERROR(__xludf.DUMMYFUNCTION("""COMPUTED_VALUE"""),"")</f>
        <v/>
      </c>
      <c r="P38" s="5" t="str">
        <f>IFERROR(__xludf.DUMMYFUNCTION("""COMPUTED_VALUE"""),"")</f>
        <v/>
      </c>
      <c r="Q38" s="5">
        <f>IFERROR(__xludf.DUMMYFUNCTION("""COMPUTED_VALUE"""),0.005393265046296296)</f>
        <v>0.005393265046</v>
      </c>
      <c r="R38" s="4">
        <f>IFERROR(__xludf.DUMMYFUNCTION("""COMPUTED_VALUE"""),45949.05393265204)</f>
        <v>45949.05393</v>
      </c>
      <c r="S38" s="1" t="b">
        <f>IFERROR(__xludf.DUMMYFUNCTION("""COMPUTED_VALUE"""),FALSE)</f>
        <v>0</v>
      </c>
      <c r="T38" s="1" t="b">
        <f>IFERROR(__xludf.DUMMYFUNCTION("""COMPUTED_VALUE"""),FALSE)</f>
        <v>0</v>
      </c>
      <c r="U38" s="1" t="str">
        <f>IFERROR(__xludf.DUMMYFUNCTION("""COMPUTED_VALUE"""),"DSQ")</f>
        <v>DSQ</v>
      </c>
      <c r="V38" s="1" t="str">
        <f>IFERROR(__xludf.DUMMYFUNCTION("""COMPUTED_VALUE"""),"DSQ")</f>
        <v>DSQ</v>
      </c>
      <c r="W38" s="1" t="str">
        <f>IFERROR(__xludf.DUMMYFUNCTION("""COMPUTED_VALUE"""),"DSQ")</f>
        <v>DSQ</v>
      </c>
      <c r="X38" s="1" t="str">
        <f>IFERROR(__xludf.DUMMYFUNCTION("""COMPUTED_VALUE"""),"DSQ")</f>
        <v>DSQ</v>
      </c>
      <c r="Y38" s="2"/>
      <c r="Z38" s="2" t="str">
        <f>IFERROR(__xludf.DUMMYFUNCTION("""COMPUTED_VALUE"""),"")</f>
        <v/>
      </c>
    </row>
    <row r="39">
      <c r="A39" s="1">
        <f>IFERROR(__xludf.DUMMYFUNCTION("""COMPUTED_VALUE"""),38.0)</f>
        <v>38</v>
      </c>
      <c r="B39" s="1">
        <f>IFERROR(__xludf.DUMMYFUNCTION("""COMPUTED_VALUE"""),12021.0)</f>
        <v>12021</v>
      </c>
      <c r="C39" s="2" t="str">
        <f>IFERROR(__xludf.DUMMYFUNCTION("""COMPUTED_VALUE"""),"Iwan")</f>
        <v>Iwan</v>
      </c>
      <c r="D39" s="2" t="str">
        <f>IFERROR(__xludf.DUMMYFUNCTION("""COMPUTED_VALUE"""),"10KM MASTER M")</f>
        <v>10KM MASTER M</v>
      </c>
      <c r="E39" s="1">
        <f>IFERROR(__xludf.DUMMYFUNCTION("""COMPUTED_VALUE"""),1.0)</f>
        <v>1</v>
      </c>
      <c r="F39" s="1" t="str">
        <f>IFERROR(__xludf.DUMMYFUNCTION("""COMPUTED_VALUE"""),"Male")</f>
        <v>Male</v>
      </c>
      <c r="G39" s="4" t="b">
        <f>IFERROR(__xludf.DUMMYFUNCTION("""COMPUTED_VALUE"""),TRUE)</f>
        <v>1</v>
      </c>
      <c r="H39" s="4" t="b">
        <f>IFERROR(__xludf.DUMMYFUNCTION("""COMPUTED_VALUE"""),TRUE)</f>
        <v>1</v>
      </c>
      <c r="I39" s="4">
        <f>IFERROR(__xludf.DUMMYFUNCTION("""COMPUTED_VALUE"""),0.24646185185185185)</f>
        <v>0.2464618519</v>
      </c>
      <c r="J39" s="4">
        <f>IFERROR(__xludf.DUMMYFUNCTION("""COMPUTED_VALUE"""),45949.25417367827)</f>
        <v>45949.25417</v>
      </c>
      <c r="K39" s="4">
        <f>IFERROR(__xludf.DUMMYFUNCTION("""COMPUTED_VALUE"""),45949.27647679711)</f>
        <v>45949.27648</v>
      </c>
      <c r="L39" s="4">
        <f>IFERROR(__xludf.DUMMYFUNCTION("""COMPUTED_VALUE"""),45949.284914770375)</f>
        <v>45949.28491</v>
      </c>
      <c r="M39" s="1" t="str">
        <f>IFERROR(__xludf.DUMMYFUNCTION("""COMPUTED_VALUE"""),"RFID")</f>
        <v>RFID</v>
      </c>
      <c r="N39" s="5">
        <f>IFERROR(__xludf.DUMMYFUNCTION("""COMPUTED_VALUE"""),0.0030847314814814817)</f>
        <v>0.003084731481</v>
      </c>
      <c r="O39" s="5">
        <f>IFERROR(__xludf.DUMMYFUNCTION("""COMPUTED_VALUE"""),0.008921245370370371)</f>
        <v>0.00892124537</v>
      </c>
      <c r="P39" s="5">
        <f>IFERROR(__xludf.DUMMYFUNCTION("""COMPUTED_VALUE"""),0.0034724169815823418)</f>
        <v>0.003472416982</v>
      </c>
      <c r="Q39" s="5">
        <f>IFERROR(__xludf.DUMMYFUNCTION("""COMPUTED_VALUE"""),0.003845291666666666)</f>
        <v>0.003845291667</v>
      </c>
      <c r="R39" s="4">
        <f>IFERROR(__xludf.DUMMYFUNCTION("""COMPUTED_VALUE"""),45949.038452918525)</f>
        <v>45949.03845</v>
      </c>
      <c r="S39" s="1" t="b">
        <f>IFERROR(__xludf.DUMMYFUNCTION("""COMPUTED_VALUE"""),TRUE)</f>
        <v>1</v>
      </c>
      <c r="T39" s="1" t="b">
        <f>IFERROR(__xludf.DUMMYFUNCTION("""COMPUTED_VALUE"""),FALSE)</f>
        <v>0</v>
      </c>
      <c r="U39" s="1" t="str">
        <f>IFERROR(__xludf.DUMMYFUNCTION("""COMPUTED_VALUE"""),"VALID")</f>
        <v>VALID</v>
      </c>
      <c r="V39" s="1">
        <f>IFERROR(__xludf.DUMMYFUNCTION("""COMPUTED_VALUE"""),11.0)</f>
        <v>11</v>
      </c>
      <c r="W39" s="1">
        <f>IFERROR(__xludf.DUMMYFUNCTION("""COMPUTED_VALUE"""),92.0)</f>
        <v>92</v>
      </c>
      <c r="X39" s="1">
        <f>IFERROR(__xludf.DUMMYFUNCTION("""COMPUTED_VALUE"""),896.0)</f>
        <v>896</v>
      </c>
      <c r="Y39" s="2"/>
      <c r="Z39" s="2"/>
    </row>
    <row r="40">
      <c r="A40" s="1">
        <f>IFERROR(__xludf.DUMMYFUNCTION("""COMPUTED_VALUE"""),39.0)</f>
        <v>39</v>
      </c>
      <c r="B40" s="1">
        <f>IFERROR(__xludf.DUMMYFUNCTION("""COMPUTED_VALUE"""),12022.0)</f>
        <v>12022</v>
      </c>
      <c r="C40" s="2" t="str">
        <f>IFERROR(__xludf.DUMMYFUNCTION("""COMPUTED_VALUE"""),"tasliem")</f>
        <v>tasliem</v>
      </c>
      <c r="D40" s="2" t="str">
        <f>IFERROR(__xludf.DUMMYFUNCTION("""COMPUTED_VALUE"""),"10KM MASTER M")</f>
        <v>10KM MASTER M</v>
      </c>
      <c r="E40" s="1">
        <f>IFERROR(__xludf.DUMMYFUNCTION("""COMPUTED_VALUE"""),1.0)</f>
        <v>1</v>
      </c>
      <c r="F40" s="1" t="str">
        <f>IFERROR(__xludf.DUMMYFUNCTION("""COMPUTED_VALUE"""),"Male")</f>
        <v>Male</v>
      </c>
      <c r="G40" s="4" t="b">
        <f>IFERROR(__xludf.DUMMYFUNCTION("""COMPUTED_VALUE"""),TRUE)</f>
        <v>1</v>
      </c>
      <c r="H40" s="4" t="b">
        <f>IFERROR(__xludf.DUMMYFUNCTION("""COMPUTED_VALUE"""),TRUE)</f>
        <v>1</v>
      </c>
      <c r="I40" s="4">
        <f>IFERROR(__xludf.DUMMYFUNCTION("""COMPUTED_VALUE"""),0.24646185185185185)</f>
        <v>0.2464618519</v>
      </c>
      <c r="J40" s="4">
        <f>IFERROR(__xludf.DUMMYFUNCTION("""COMPUTED_VALUE"""),45949.262510314016)</f>
        <v>45949.26251</v>
      </c>
      <c r="K40" s="4">
        <f>IFERROR(__xludf.DUMMYFUNCTION("""COMPUTED_VALUE"""),45949.29884638949)</f>
        <v>45949.29885</v>
      </c>
      <c r="L40" s="4">
        <f>IFERROR(__xludf.DUMMYFUNCTION("""COMPUTED_VALUE"""),45949.31029363665)</f>
        <v>45949.31029</v>
      </c>
      <c r="M40" s="1" t="str">
        <f>IFERROR(__xludf.DUMMYFUNCTION("""COMPUTED_VALUE"""),"RFID")</f>
        <v>RFID</v>
      </c>
      <c r="N40" s="5">
        <f>IFERROR(__xludf.DUMMYFUNCTION("""COMPUTED_VALUE"""),0.006419384259259258)</f>
        <v>0.006419384259</v>
      </c>
      <c r="O40" s="5">
        <f>IFERROR(__xludf.DUMMYFUNCTION("""COMPUTED_VALUE"""),0.014534430555555556)</f>
        <v>0.01453443056</v>
      </c>
      <c r="P40" s="5">
        <f>IFERROR(__xludf.DUMMYFUNCTION("""COMPUTED_VALUE"""),0.0047108013009932274)</f>
        <v>0.004710801301</v>
      </c>
      <c r="Q40" s="5">
        <f>IFERROR(__xludf.DUMMYFUNCTION("""COMPUTED_VALUE"""),0.0063831782407407405)</f>
        <v>0.006383178241</v>
      </c>
      <c r="R40" s="4">
        <f>IFERROR(__xludf.DUMMYFUNCTION("""COMPUTED_VALUE"""),45949.0638317848)</f>
        <v>45949.06383</v>
      </c>
      <c r="S40" s="1" t="b">
        <f>IFERROR(__xludf.DUMMYFUNCTION("""COMPUTED_VALUE"""),TRUE)</f>
        <v>1</v>
      </c>
      <c r="T40" s="1" t="b">
        <f>IFERROR(__xludf.DUMMYFUNCTION("""COMPUTED_VALUE"""),FALSE)</f>
        <v>0</v>
      </c>
      <c r="U40" s="1" t="str">
        <f>IFERROR(__xludf.DUMMYFUNCTION("""COMPUTED_VALUE"""),"VALID")</f>
        <v>VALID</v>
      </c>
      <c r="V40" s="1">
        <f>IFERROR(__xludf.DUMMYFUNCTION("""COMPUTED_VALUE"""),64.0)</f>
        <v>64</v>
      </c>
      <c r="W40" s="1">
        <f>IFERROR(__xludf.DUMMYFUNCTION("""COMPUTED_VALUE"""),688.0)</f>
        <v>688</v>
      </c>
      <c r="X40" s="1">
        <f>IFERROR(__xludf.DUMMYFUNCTION("""COMPUTED_VALUE"""),1635.0)</f>
        <v>1635</v>
      </c>
      <c r="Y40" s="2"/>
      <c r="Z40" s="2"/>
    </row>
    <row r="41">
      <c r="A41" s="1">
        <f>IFERROR(__xludf.DUMMYFUNCTION("""COMPUTED_VALUE"""),40.0)</f>
        <v>40</v>
      </c>
      <c r="B41" s="1">
        <f>IFERROR(__xludf.DUMMYFUNCTION("""COMPUTED_VALUE"""),12023.0)</f>
        <v>12023</v>
      </c>
      <c r="C41" s="2" t="str">
        <f>IFERROR(__xludf.DUMMYFUNCTION("""COMPUTED_VALUE"""),"Sukardi")</f>
        <v>Sukardi</v>
      </c>
      <c r="D41" s="2" t="str">
        <f>IFERROR(__xludf.DUMMYFUNCTION("""COMPUTED_VALUE"""),"10KM MASTER M")</f>
        <v>10KM MASTER M</v>
      </c>
      <c r="E41" s="1">
        <f>IFERROR(__xludf.DUMMYFUNCTION("""COMPUTED_VALUE"""),1.0)</f>
        <v>1</v>
      </c>
      <c r="F41" s="1" t="str">
        <f>IFERROR(__xludf.DUMMYFUNCTION("""COMPUTED_VALUE"""),"Male")</f>
        <v>Male</v>
      </c>
      <c r="G41" s="4" t="b">
        <f>IFERROR(__xludf.DUMMYFUNCTION("""COMPUTED_VALUE"""),TRUE)</f>
        <v>1</v>
      </c>
      <c r="H41" s="4" t="b">
        <f>IFERROR(__xludf.DUMMYFUNCTION("""COMPUTED_VALUE"""),FALSE)</f>
        <v>0</v>
      </c>
      <c r="I41" s="4">
        <f>IFERROR(__xludf.DUMMYFUNCTION("""COMPUTED_VALUE"""),0.24646185185185185)</f>
        <v>0.2464618519</v>
      </c>
      <c r="J41" s="4">
        <f>IFERROR(__xludf.DUMMYFUNCTION("""COMPUTED_VALUE"""),45949.25338780884)</f>
        <v>45949.25339</v>
      </c>
      <c r="K41" s="4">
        <f>IFERROR(__xludf.DUMMYFUNCTION("""COMPUTED_VALUE"""),45949.27292414419)</f>
        <v>45949.27292</v>
      </c>
      <c r="L41" s="4">
        <f>IFERROR(__xludf.DUMMYFUNCTION("""COMPUTED_VALUE"""),45949.27850155798)</f>
        <v>45949.2785</v>
      </c>
      <c r="M41" s="1" t="str">
        <f>IFERROR(__xludf.DUMMYFUNCTION("""COMPUTED_VALUE"""),"RFID")</f>
        <v>RFID</v>
      </c>
      <c r="N41" s="5">
        <f>IFERROR(__xludf.DUMMYFUNCTION("""COMPUTED_VALUE"""),0.0027703842592592593)</f>
        <v>0.002770384259</v>
      </c>
      <c r="O41" s="5">
        <f>IFERROR(__xludf.DUMMYFUNCTION("""COMPUTED_VALUE"""),0.007814532407407409)</f>
        <v>0.007814532407</v>
      </c>
      <c r="P41" s="5">
        <f>IFERROR(__xludf.DUMMYFUNCTION("""COMPUTED_VALUE"""),0.0022952320112141593)</f>
        <v>0.002295232011</v>
      </c>
      <c r="Q41" s="5">
        <f>IFERROR(__xludf.DUMMYFUNCTION("""COMPUTED_VALUE"""),0.0032039710648148153)</f>
        <v>0.003203971065</v>
      </c>
      <c r="R41" s="4">
        <f>IFERROR(__xludf.DUMMYFUNCTION("""COMPUTED_VALUE"""),45949.03203970613)</f>
        <v>45949.03204</v>
      </c>
      <c r="S41" s="1" t="b">
        <f>IFERROR(__xludf.DUMMYFUNCTION("""COMPUTED_VALUE"""),TRUE)</f>
        <v>1</v>
      </c>
      <c r="T41" s="1" t="b">
        <f>IFERROR(__xludf.DUMMYFUNCTION("""COMPUTED_VALUE"""),FALSE)</f>
        <v>0</v>
      </c>
      <c r="U41" s="1" t="str">
        <f>IFERROR(__xludf.DUMMYFUNCTION("""COMPUTED_VALUE"""),"VALID")</f>
        <v>VALID</v>
      </c>
      <c r="V41" s="1">
        <f>IFERROR(__xludf.DUMMYFUNCTION("""COMPUTED_VALUE"""),6.0)</f>
        <v>6</v>
      </c>
      <c r="W41" s="1">
        <f>IFERROR(__xludf.DUMMYFUNCTION("""COMPUTED_VALUE"""),23.0)</f>
        <v>23</v>
      </c>
      <c r="X41" s="1">
        <f>IFERROR(__xludf.DUMMYFUNCTION("""COMPUTED_VALUE"""),590.0)</f>
        <v>590</v>
      </c>
      <c r="Y41" s="2"/>
      <c r="Z41" s="2"/>
    </row>
    <row r="42">
      <c r="A42" s="1">
        <f>IFERROR(__xludf.DUMMYFUNCTION("""COMPUTED_VALUE"""),41.0)</f>
        <v>41</v>
      </c>
      <c r="B42" s="1">
        <f>IFERROR(__xludf.DUMMYFUNCTION("""COMPUTED_VALUE"""),12025.0)</f>
        <v>12025</v>
      </c>
      <c r="C42" s="2" t="str">
        <f>IFERROR(__xludf.DUMMYFUNCTION("""COMPUTED_VALUE"""),"Nanang")</f>
        <v>Nanang</v>
      </c>
      <c r="D42" s="2" t="str">
        <f>IFERROR(__xludf.DUMMYFUNCTION("""COMPUTED_VALUE"""),"10KM MASTER M")</f>
        <v>10KM MASTER M</v>
      </c>
      <c r="E42" s="1">
        <f>IFERROR(__xludf.DUMMYFUNCTION("""COMPUTED_VALUE"""),1.0)</f>
        <v>1</v>
      </c>
      <c r="F42" s="1" t="str">
        <f>IFERROR(__xludf.DUMMYFUNCTION("""COMPUTED_VALUE"""),"Male")</f>
        <v>Male</v>
      </c>
      <c r="G42" s="4" t="b">
        <f>IFERROR(__xludf.DUMMYFUNCTION("""COMPUTED_VALUE"""),TRUE)</f>
        <v>1</v>
      </c>
      <c r="H42" s="4" t="b">
        <f>IFERROR(__xludf.DUMMYFUNCTION("""COMPUTED_VALUE"""),TRUE)</f>
        <v>1</v>
      </c>
      <c r="I42" s="4">
        <f>IFERROR(__xludf.DUMMYFUNCTION("""COMPUTED_VALUE"""),0.24646185185185185)</f>
        <v>0.2464618519</v>
      </c>
      <c r="J42" s="4">
        <f>IFERROR(__xludf.DUMMYFUNCTION("""COMPUTED_VALUE"""),45949.25731842679)</f>
        <v>45949.25732</v>
      </c>
      <c r="K42" s="4">
        <f>IFERROR(__xludf.DUMMYFUNCTION("""COMPUTED_VALUE"""),45949.284009358336)</f>
        <v>45949.28401</v>
      </c>
      <c r="L42" s="4">
        <f>IFERROR(__xludf.DUMMYFUNCTION("""COMPUTED_VALUE"""),45949.29128282621)</f>
        <v>45949.29128</v>
      </c>
      <c r="M42" s="1" t="str">
        <f>IFERROR(__xludf.DUMMYFUNCTION("""COMPUTED_VALUE"""),"RFID")</f>
        <v>RFID</v>
      </c>
      <c r="N42" s="5">
        <f>IFERROR(__xludf.DUMMYFUNCTION("""COMPUTED_VALUE"""),0.0043426296296296294)</f>
        <v>0.00434262963</v>
      </c>
      <c r="O42" s="5">
        <f>IFERROR(__xludf.DUMMYFUNCTION("""COMPUTED_VALUE"""),0.01067637037037037)</f>
        <v>0.01067637037</v>
      </c>
      <c r="P42" s="5">
        <f>IFERROR(__xludf.DUMMYFUNCTION("""COMPUTED_VALUE"""),0.0029931966568211114)</f>
        <v>0.002993196657</v>
      </c>
      <c r="Q42" s="5">
        <f>IFERROR(__xludf.DUMMYFUNCTION("""COMPUTED_VALUE"""),0.004482097222222222)</f>
        <v>0.004482097222</v>
      </c>
      <c r="R42" s="4">
        <f>IFERROR(__xludf.DUMMYFUNCTION("""COMPUTED_VALUE"""),45949.04482097436)</f>
        <v>45949.04482</v>
      </c>
      <c r="S42" s="1" t="b">
        <f>IFERROR(__xludf.DUMMYFUNCTION("""COMPUTED_VALUE"""),TRUE)</f>
        <v>1</v>
      </c>
      <c r="T42" s="1" t="b">
        <f>IFERROR(__xludf.DUMMYFUNCTION("""COMPUTED_VALUE"""),FALSE)</f>
        <v>0</v>
      </c>
      <c r="U42" s="1" t="str">
        <f>IFERROR(__xludf.DUMMYFUNCTION("""COMPUTED_VALUE"""),"VALID")</f>
        <v>VALID</v>
      </c>
      <c r="V42" s="1">
        <f>IFERROR(__xludf.DUMMYFUNCTION("""COMPUTED_VALUE"""),27.0)</f>
        <v>27</v>
      </c>
      <c r="W42" s="1">
        <f>IFERROR(__xludf.DUMMYFUNCTION("""COMPUTED_VALUE"""),255.0)</f>
        <v>255</v>
      </c>
      <c r="X42" s="1">
        <f>IFERROR(__xludf.DUMMYFUNCTION("""COMPUTED_VALUE"""),1191.0)</f>
        <v>1191</v>
      </c>
      <c r="Y42" s="2"/>
      <c r="Z42" s="2"/>
    </row>
    <row r="43">
      <c r="A43" s="1">
        <f>IFERROR(__xludf.DUMMYFUNCTION("""COMPUTED_VALUE"""),42.0)</f>
        <v>42</v>
      </c>
      <c r="B43" s="1">
        <f>IFERROR(__xludf.DUMMYFUNCTION("""COMPUTED_VALUE"""),12026.0)</f>
        <v>12026</v>
      </c>
      <c r="C43" s="2" t="str">
        <f>IFERROR(__xludf.DUMMYFUNCTION("""COMPUTED_VALUE"""),"Mr. Yun's")</f>
        <v>Mr. Yun's</v>
      </c>
      <c r="D43" s="2" t="str">
        <f>IFERROR(__xludf.DUMMYFUNCTION("""COMPUTED_VALUE"""),"10KM MASTER M")</f>
        <v>10KM MASTER M</v>
      </c>
      <c r="E43" s="1">
        <f>IFERROR(__xludf.DUMMYFUNCTION("""COMPUTED_VALUE"""),1.0)</f>
        <v>1</v>
      </c>
      <c r="F43" s="1" t="str">
        <f>IFERROR(__xludf.DUMMYFUNCTION("""COMPUTED_VALUE"""),"Male")</f>
        <v>Male</v>
      </c>
      <c r="G43" s="4" t="b">
        <f>IFERROR(__xludf.DUMMYFUNCTION("""COMPUTED_VALUE"""),TRUE)</f>
        <v>1</v>
      </c>
      <c r="H43" s="4" t="b">
        <f>IFERROR(__xludf.DUMMYFUNCTION("""COMPUTED_VALUE"""),FALSE)</f>
        <v>0</v>
      </c>
      <c r="I43" s="4">
        <f>IFERROR(__xludf.DUMMYFUNCTION("""COMPUTED_VALUE"""),0.24646185185185185)</f>
        <v>0.2464618519</v>
      </c>
      <c r="J43" s="4">
        <f>IFERROR(__xludf.DUMMYFUNCTION("""COMPUTED_VALUE"""),45949.258748961125)</f>
        <v>45949.25875</v>
      </c>
      <c r="K43" s="4">
        <f>IFERROR(__xludf.DUMMYFUNCTION("""COMPUTED_VALUE"""),45949.29445398973)</f>
        <v>45949.29445</v>
      </c>
      <c r="L43" s="4">
        <f>IFERROR(__xludf.DUMMYFUNCTION("""COMPUTED_VALUE"""),45949.305473785214)</f>
        <v>45949.30547</v>
      </c>
      <c r="M43" s="1" t="str">
        <f>IFERROR(__xludf.DUMMYFUNCTION("""COMPUTED_VALUE"""),"RFID")</f>
        <v>RFID</v>
      </c>
      <c r="N43" s="5">
        <f>IFERROR(__xludf.DUMMYFUNCTION("""COMPUTED_VALUE"""),0.004914842592592593)</f>
        <v>0.004914842593</v>
      </c>
      <c r="O43" s="5">
        <f>IFERROR(__xludf.DUMMYFUNCTION("""COMPUTED_VALUE"""),0.01428200925925926)</f>
        <v>0.01428200926</v>
      </c>
      <c r="P43" s="5">
        <f>IFERROR(__xludf.DUMMYFUNCTION("""COMPUTED_VALUE"""),0.004534895261514878)</f>
        <v>0.004534895262</v>
      </c>
      <c r="Q43" s="5">
        <f>IFERROR(__xludf.DUMMYFUNCTION("""COMPUTED_VALUE"""),0.005901193287037037)</f>
        <v>0.005901193287</v>
      </c>
      <c r="R43" s="4">
        <f>IFERROR(__xludf.DUMMYFUNCTION("""COMPUTED_VALUE"""),45949.059011933365)</f>
        <v>45949.05901</v>
      </c>
      <c r="S43" s="1" t="b">
        <f>IFERROR(__xludf.DUMMYFUNCTION("""COMPUTED_VALUE"""),TRUE)</f>
        <v>1</v>
      </c>
      <c r="T43" s="1" t="b">
        <f>IFERROR(__xludf.DUMMYFUNCTION("""COMPUTED_VALUE"""),FALSE)</f>
        <v>0</v>
      </c>
      <c r="U43" s="1" t="str">
        <f>IFERROR(__xludf.DUMMYFUNCTION("""COMPUTED_VALUE"""),"VALID")</f>
        <v>VALID</v>
      </c>
      <c r="V43" s="1">
        <f>IFERROR(__xludf.DUMMYFUNCTION("""COMPUTED_VALUE"""),59.0)</f>
        <v>59</v>
      </c>
      <c r="W43" s="1">
        <f>IFERROR(__xludf.DUMMYFUNCTION("""COMPUTED_VALUE"""),638.0)</f>
        <v>638</v>
      </c>
      <c r="X43" s="1">
        <f>IFERROR(__xludf.DUMMYFUNCTION("""COMPUTED_VALUE"""),1598.0)</f>
        <v>1598</v>
      </c>
      <c r="Y43" s="2"/>
      <c r="Z43" s="2"/>
    </row>
    <row r="44">
      <c r="A44" s="1">
        <f>IFERROR(__xludf.DUMMYFUNCTION("""COMPUTED_VALUE"""),43.0)</f>
        <v>43</v>
      </c>
      <c r="B44" s="1">
        <f>IFERROR(__xludf.DUMMYFUNCTION("""COMPUTED_VALUE"""),12027.0)</f>
        <v>12027</v>
      </c>
      <c r="C44" s="2" t="str">
        <f>IFERROR(__xludf.DUMMYFUNCTION("""COMPUTED_VALUE"""),"UlunAa")</f>
        <v>UlunAa</v>
      </c>
      <c r="D44" s="2" t="str">
        <f>IFERROR(__xludf.DUMMYFUNCTION("""COMPUTED_VALUE"""),"10KM MASTER M")</f>
        <v>10KM MASTER M</v>
      </c>
      <c r="E44" s="1">
        <f>IFERROR(__xludf.DUMMYFUNCTION("""COMPUTED_VALUE"""),1.0)</f>
        <v>1</v>
      </c>
      <c r="F44" s="1" t="str">
        <f>IFERROR(__xludf.DUMMYFUNCTION("""COMPUTED_VALUE"""),"Male")</f>
        <v>Male</v>
      </c>
      <c r="G44" s="4" t="str">
        <f>IFERROR(__xludf.DUMMYFUNCTION("""COMPUTED_VALUE"""),"")</f>
        <v/>
      </c>
      <c r="H44" s="4" t="b">
        <f>IFERROR(__xludf.DUMMYFUNCTION("""COMPUTED_VALUE"""),FALSE)</f>
        <v>0</v>
      </c>
      <c r="I44" s="4">
        <f>IFERROR(__xludf.DUMMYFUNCTION("""COMPUTED_VALUE"""),0.24646185185185185)</f>
        <v>0.2464618519</v>
      </c>
      <c r="J44" s="4">
        <f>IFERROR(__xludf.DUMMYFUNCTION("""COMPUTED_VALUE"""),45949.25804752206)</f>
        <v>45949.25805</v>
      </c>
      <c r="K44" s="4">
        <f>IFERROR(__xludf.DUMMYFUNCTION("""COMPUTED_VALUE"""),45949.29371788498)</f>
        <v>45949.29372</v>
      </c>
      <c r="L44" s="4">
        <f>IFERROR(__xludf.DUMMYFUNCTION("""COMPUTED_VALUE"""),45949.3033418533)</f>
        <v>45949.30334</v>
      </c>
      <c r="M44" s="1" t="str">
        <f>IFERROR(__xludf.DUMMYFUNCTION("""COMPUTED_VALUE"""),"RFID")</f>
        <v>RFID</v>
      </c>
      <c r="N44" s="5">
        <f>IFERROR(__xludf.DUMMYFUNCTION("""COMPUTED_VALUE"""),0.0046342685185185185)</f>
        <v>0.004634268519</v>
      </c>
      <c r="O44" s="5">
        <f>IFERROR(__xludf.DUMMYFUNCTION("""COMPUTED_VALUE"""),0.014268143518518517)</f>
        <v>0.01426814352</v>
      </c>
      <c r="P44" s="5">
        <f>IFERROR(__xludf.DUMMYFUNCTION("""COMPUTED_VALUE"""),0.003960480789678869)</f>
        <v>0.00396048079</v>
      </c>
      <c r="Q44" s="5">
        <f>IFERROR(__xludf.DUMMYFUNCTION("""COMPUTED_VALUE"""),0.005688)</f>
        <v>0.005688</v>
      </c>
      <c r="R44" s="4">
        <f>IFERROR(__xludf.DUMMYFUNCTION("""COMPUTED_VALUE"""),45949.05688000145)</f>
        <v>45949.05688</v>
      </c>
      <c r="S44" s="1" t="b">
        <f>IFERROR(__xludf.DUMMYFUNCTION("""COMPUTED_VALUE"""),TRUE)</f>
        <v>1</v>
      </c>
      <c r="T44" s="1" t="b">
        <f>IFERROR(__xludf.DUMMYFUNCTION("""COMPUTED_VALUE"""),FALSE)</f>
        <v>0</v>
      </c>
      <c r="U44" s="1" t="str">
        <f>IFERROR(__xludf.DUMMYFUNCTION("""COMPUTED_VALUE"""),"VALID")</f>
        <v>VALID</v>
      </c>
      <c r="V44" s="1">
        <f>IFERROR(__xludf.DUMMYFUNCTION("""COMPUTED_VALUE"""),57.0)</f>
        <v>57</v>
      </c>
      <c r="W44" s="1">
        <f>IFERROR(__xludf.DUMMYFUNCTION("""COMPUTED_VALUE"""),602.0)</f>
        <v>602</v>
      </c>
      <c r="X44" s="1">
        <f>IFERROR(__xludf.DUMMYFUNCTION("""COMPUTED_VALUE"""),1569.0)</f>
        <v>1569</v>
      </c>
      <c r="Y44" s="2"/>
      <c r="Z44" s="2"/>
    </row>
    <row r="45">
      <c r="A45" s="1">
        <f>IFERROR(__xludf.DUMMYFUNCTION("""COMPUTED_VALUE"""),44.0)</f>
        <v>44</v>
      </c>
      <c r="B45" s="1">
        <f>IFERROR(__xludf.DUMMYFUNCTION("""COMPUTED_VALUE"""),12028.0)</f>
        <v>12028</v>
      </c>
      <c r="C45" s="2" t="str">
        <f>IFERROR(__xludf.DUMMYFUNCTION("""COMPUTED_VALUE"""),"Yudha")</f>
        <v>Yudha</v>
      </c>
      <c r="D45" s="2" t="str">
        <f>IFERROR(__xludf.DUMMYFUNCTION("""COMPUTED_VALUE"""),"10KM MASTER M")</f>
        <v>10KM MASTER M</v>
      </c>
      <c r="E45" s="1">
        <f>IFERROR(__xludf.DUMMYFUNCTION("""COMPUTED_VALUE"""),1.0)</f>
        <v>1</v>
      </c>
      <c r="F45" s="1" t="str">
        <f>IFERROR(__xludf.DUMMYFUNCTION("""COMPUTED_VALUE"""),"Male")</f>
        <v>Male</v>
      </c>
      <c r="G45" s="4" t="b">
        <f>IFERROR(__xludf.DUMMYFUNCTION("""COMPUTED_VALUE"""),TRUE)</f>
        <v>1</v>
      </c>
      <c r="H45" s="4" t="b">
        <f>IFERROR(__xludf.DUMMYFUNCTION("""COMPUTED_VALUE"""),FALSE)</f>
        <v>0</v>
      </c>
      <c r="I45" s="4">
        <f>IFERROR(__xludf.DUMMYFUNCTION("""COMPUTED_VALUE"""),0.24646185185185185)</f>
        <v>0.2464618519</v>
      </c>
      <c r="J45" s="4">
        <f>IFERROR(__xludf.DUMMYFUNCTION("""COMPUTED_VALUE"""),45949.2570996194)</f>
        <v>45949.2571</v>
      </c>
      <c r="K45" s="4">
        <f>IFERROR(__xludf.DUMMYFUNCTION("""COMPUTED_VALUE"""),45949.28803021154)</f>
        <v>45949.28803</v>
      </c>
      <c r="L45" s="4">
        <f>IFERROR(__xludf.DUMMYFUNCTION("""COMPUTED_VALUE"""),45949.296845318335)</f>
        <v>45949.29685</v>
      </c>
      <c r="M45" s="1" t="str">
        <f>IFERROR(__xludf.DUMMYFUNCTION("""COMPUTED_VALUE"""),"RFID")</f>
        <v>RFID</v>
      </c>
      <c r="N45" s="5">
        <f>IFERROR(__xludf.DUMMYFUNCTION("""COMPUTED_VALUE"""),0.004255106481481481)</f>
        <v>0.004255106481</v>
      </c>
      <c r="O45" s="5">
        <f>IFERROR(__xludf.DUMMYFUNCTION("""COMPUTED_VALUE"""),0.01237223611111111)</f>
        <v>0.01237223611</v>
      </c>
      <c r="P45" s="5">
        <f>IFERROR(__xludf.DUMMYFUNCTION("""COMPUTED_VALUE"""),0.0036276159660723977)</f>
        <v>0.003627615966</v>
      </c>
      <c r="Q45" s="5">
        <f>IFERROR(__xludf.DUMMYFUNCTION("""COMPUTED_VALUE"""),0.005038347222222222)</f>
        <v>0.005038347222</v>
      </c>
      <c r="R45" s="4">
        <f>IFERROR(__xludf.DUMMYFUNCTION("""COMPUTED_VALUE"""),45949.050383466485)</f>
        <v>45949.05038</v>
      </c>
      <c r="S45" s="1" t="b">
        <f>IFERROR(__xludf.DUMMYFUNCTION("""COMPUTED_VALUE"""),TRUE)</f>
        <v>1</v>
      </c>
      <c r="T45" s="1" t="b">
        <f>IFERROR(__xludf.DUMMYFUNCTION("""COMPUTED_VALUE"""),FALSE)</f>
        <v>0</v>
      </c>
      <c r="U45" s="1" t="str">
        <f>IFERROR(__xludf.DUMMYFUNCTION("""COMPUTED_VALUE"""),"VALID")</f>
        <v>VALID</v>
      </c>
      <c r="V45" s="1">
        <f>IFERROR(__xludf.DUMMYFUNCTION("""COMPUTED_VALUE"""),38.0)</f>
        <v>38</v>
      </c>
      <c r="W45" s="1">
        <f>IFERROR(__xludf.DUMMYFUNCTION("""COMPUTED_VALUE"""),412.0)</f>
        <v>412</v>
      </c>
      <c r="X45" s="1">
        <f>IFERROR(__xludf.DUMMYFUNCTION("""COMPUTED_VALUE"""),1392.0)</f>
        <v>1392</v>
      </c>
      <c r="Y45" s="2"/>
      <c r="Z45" s="2"/>
    </row>
    <row r="46">
      <c r="A46" s="1">
        <f>IFERROR(__xludf.DUMMYFUNCTION("""COMPUTED_VALUE"""),45.0)</f>
        <v>45</v>
      </c>
      <c r="B46" s="1">
        <f>IFERROR(__xludf.DUMMYFUNCTION("""COMPUTED_VALUE"""),12030.0)</f>
        <v>12030</v>
      </c>
      <c r="C46" s="2" t="str">
        <f>IFERROR(__xludf.DUMMYFUNCTION("""COMPUTED_VALUE"""),"KaiRun")</f>
        <v>KaiRun</v>
      </c>
      <c r="D46" s="2" t="str">
        <f>IFERROR(__xludf.DUMMYFUNCTION("""COMPUTED_VALUE"""),"10KM MASTER M")</f>
        <v>10KM MASTER M</v>
      </c>
      <c r="E46" s="1">
        <f>IFERROR(__xludf.DUMMYFUNCTION("""COMPUTED_VALUE"""),1.0)</f>
        <v>1</v>
      </c>
      <c r="F46" s="1" t="str">
        <f>IFERROR(__xludf.DUMMYFUNCTION("""COMPUTED_VALUE"""),"Male")</f>
        <v>Male</v>
      </c>
      <c r="G46" s="4" t="b">
        <f>IFERROR(__xludf.DUMMYFUNCTION("""COMPUTED_VALUE"""),TRUE)</f>
        <v>1</v>
      </c>
      <c r="H46" s="4" t="b">
        <f>IFERROR(__xludf.DUMMYFUNCTION("""COMPUTED_VALUE"""),TRUE)</f>
        <v>1</v>
      </c>
      <c r="I46" s="4">
        <f>IFERROR(__xludf.DUMMYFUNCTION("""COMPUTED_VALUE"""),0.24646185185185185)</f>
        <v>0.2464618519</v>
      </c>
      <c r="J46" s="4">
        <f>IFERROR(__xludf.DUMMYFUNCTION("""COMPUTED_VALUE"""),45949.257047517334)</f>
        <v>45949.25705</v>
      </c>
      <c r="K46" s="4">
        <f>IFERROR(__xludf.DUMMYFUNCTION("""COMPUTED_VALUE"""),45949.28248157741)</f>
        <v>45949.28248</v>
      </c>
      <c r="L46" s="4">
        <f>IFERROR(__xludf.DUMMYFUNCTION("""COMPUTED_VALUE"""),45949.289952960906)</f>
        <v>45949.28995</v>
      </c>
      <c r="M46" s="1" t="str">
        <f>IFERROR(__xludf.DUMMYFUNCTION("""COMPUTED_VALUE"""),"RFID")</f>
        <v>RFID</v>
      </c>
      <c r="N46" s="5">
        <f>IFERROR(__xludf.DUMMYFUNCTION("""COMPUTED_VALUE"""),0.004234263888888889)</f>
        <v>0.004234263889</v>
      </c>
      <c r="O46" s="5">
        <f>IFERROR(__xludf.DUMMYFUNCTION("""COMPUTED_VALUE"""),0.010173625000000002)</f>
        <v>0.010173625</v>
      </c>
      <c r="P46" s="5">
        <f>IFERROR(__xludf.DUMMYFUNCTION("""COMPUTED_VALUE"""),0.0030746434149552717)</f>
        <v>0.003074643415</v>
      </c>
      <c r="Q46" s="5">
        <f>IFERROR(__xludf.DUMMYFUNCTION("""COMPUTED_VALUE"""),0.004349111111111111)</f>
        <v>0.004349111111</v>
      </c>
      <c r="R46" s="4">
        <f>IFERROR(__xludf.DUMMYFUNCTION("""COMPUTED_VALUE"""),45949.043491109056)</f>
        <v>45949.04349</v>
      </c>
      <c r="S46" s="1" t="b">
        <f>IFERROR(__xludf.DUMMYFUNCTION("""COMPUTED_VALUE"""),TRUE)</f>
        <v>1</v>
      </c>
      <c r="T46" s="1" t="b">
        <f>IFERROR(__xludf.DUMMYFUNCTION("""COMPUTED_VALUE"""),FALSE)</f>
        <v>0</v>
      </c>
      <c r="U46" s="1" t="str">
        <f>IFERROR(__xludf.DUMMYFUNCTION("""COMPUTED_VALUE"""),"VALID")</f>
        <v>VALID</v>
      </c>
      <c r="V46" s="1">
        <f>IFERROR(__xludf.DUMMYFUNCTION("""COMPUTED_VALUE"""),20.0)</f>
        <v>20</v>
      </c>
      <c r="W46" s="1">
        <f>IFERROR(__xludf.DUMMYFUNCTION("""COMPUTED_VALUE"""),205.0)</f>
        <v>205</v>
      </c>
      <c r="X46" s="1">
        <f>IFERROR(__xludf.DUMMYFUNCTION("""COMPUTED_VALUE"""),1113.0)</f>
        <v>1113</v>
      </c>
      <c r="Y46" s="2"/>
      <c r="Z46" s="2"/>
    </row>
    <row r="47">
      <c r="A47" s="1">
        <f>IFERROR(__xludf.DUMMYFUNCTION("""COMPUTED_VALUE"""),46.0)</f>
        <v>46</v>
      </c>
      <c r="B47" s="1">
        <f>IFERROR(__xludf.DUMMYFUNCTION("""COMPUTED_VALUE"""),12032.0)</f>
        <v>12032</v>
      </c>
      <c r="C47" s="2" t="str">
        <f>IFERROR(__xludf.DUMMYFUNCTION("""COMPUTED_VALUE"""),"M.Syafaat")</f>
        <v>M.Syafaat</v>
      </c>
      <c r="D47" s="2" t="str">
        <f>IFERROR(__xludf.DUMMYFUNCTION("""COMPUTED_VALUE"""),"10KM MASTER M")</f>
        <v>10KM MASTER M</v>
      </c>
      <c r="E47" s="1">
        <f>IFERROR(__xludf.DUMMYFUNCTION("""COMPUTED_VALUE"""),1.0)</f>
        <v>1</v>
      </c>
      <c r="F47" s="1" t="str">
        <f>IFERROR(__xludf.DUMMYFUNCTION("""COMPUTED_VALUE"""),"Male")</f>
        <v>Male</v>
      </c>
      <c r="G47" s="4" t="str">
        <f>IFERROR(__xludf.DUMMYFUNCTION("""COMPUTED_VALUE"""),"")</f>
        <v/>
      </c>
      <c r="H47" s="4" t="b">
        <f>IFERROR(__xludf.DUMMYFUNCTION("""COMPUTED_VALUE"""),FALSE)</f>
        <v>0</v>
      </c>
      <c r="I47" s="4">
        <f>IFERROR(__xludf.DUMMYFUNCTION("""COMPUTED_VALUE"""),0.24646185185185185)</f>
        <v>0.2464618519</v>
      </c>
      <c r="J47" s="4">
        <f>IFERROR(__xludf.DUMMYFUNCTION("""COMPUTED_VALUE"""),45949.25780803575)</f>
        <v>45949.25781</v>
      </c>
      <c r="K47" s="4">
        <f>IFERROR(__xludf.DUMMYFUNCTION("""COMPUTED_VALUE"""),45949.287905214325)</f>
        <v>45949.28791</v>
      </c>
      <c r="L47" s="4">
        <f>IFERROR(__xludf.DUMMYFUNCTION("""COMPUTED_VALUE"""),45949.29710919761)</f>
        <v>45949.29711</v>
      </c>
      <c r="M47" s="1" t="str">
        <f>IFERROR(__xludf.DUMMYFUNCTION("""COMPUTED_VALUE"""),"RFID")</f>
        <v>RFID</v>
      </c>
      <c r="N47" s="5">
        <f>IFERROR(__xludf.DUMMYFUNCTION("""COMPUTED_VALUE"""),0.004538472222222222)</f>
        <v>0.004538472222</v>
      </c>
      <c r="O47" s="5">
        <f>IFERROR(__xludf.DUMMYFUNCTION("""COMPUTED_VALUE"""),0.01203887037037037)</f>
        <v>0.01203887037</v>
      </c>
      <c r="P47" s="5">
        <f>IFERROR(__xludf.DUMMYFUNCTION("""COMPUTED_VALUE"""),0.0037876474409969715)</f>
        <v>0.003787647441</v>
      </c>
      <c r="Q47" s="5">
        <f>IFERROR(__xludf.DUMMYFUNCTION("""COMPUTED_VALUE"""),0.005064734953703703)</f>
        <v>0.005064734954</v>
      </c>
      <c r="R47" s="4">
        <f>IFERROR(__xludf.DUMMYFUNCTION("""COMPUTED_VALUE"""),45949.05064734576)</f>
        <v>45949.05065</v>
      </c>
      <c r="S47" s="1" t="b">
        <f>IFERROR(__xludf.DUMMYFUNCTION("""COMPUTED_VALUE"""),TRUE)</f>
        <v>1</v>
      </c>
      <c r="T47" s="1" t="b">
        <f>IFERROR(__xludf.DUMMYFUNCTION("""COMPUTED_VALUE"""),FALSE)</f>
        <v>0</v>
      </c>
      <c r="U47" s="1" t="str">
        <f>IFERROR(__xludf.DUMMYFUNCTION("""COMPUTED_VALUE"""),"VALID")</f>
        <v>VALID</v>
      </c>
      <c r="V47" s="1">
        <f>IFERROR(__xludf.DUMMYFUNCTION("""COMPUTED_VALUE"""),39.0)</f>
        <v>39</v>
      </c>
      <c r="W47" s="1">
        <f>IFERROR(__xludf.DUMMYFUNCTION("""COMPUTED_VALUE"""),425.0)</f>
        <v>425</v>
      </c>
      <c r="X47" s="1">
        <f>IFERROR(__xludf.DUMMYFUNCTION("""COMPUTED_VALUE"""),1405.0)</f>
        <v>1405</v>
      </c>
      <c r="Y47" s="2"/>
      <c r="Z47" s="2"/>
    </row>
    <row r="48">
      <c r="A48" s="1">
        <f>IFERROR(__xludf.DUMMYFUNCTION("""COMPUTED_VALUE"""),47.0)</f>
        <v>47</v>
      </c>
      <c r="B48" s="1">
        <f>IFERROR(__xludf.DUMMYFUNCTION("""COMPUTED_VALUE"""),12033.0)</f>
        <v>12033</v>
      </c>
      <c r="C48" s="2" t="str">
        <f>IFERROR(__xludf.DUMMYFUNCTION("""COMPUTED_VALUE"""),"DEVIL SLAYER")</f>
        <v>DEVIL SLAYER</v>
      </c>
      <c r="D48" s="2" t="str">
        <f>IFERROR(__xludf.DUMMYFUNCTION("""COMPUTED_VALUE"""),"10KM MASTER M")</f>
        <v>10KM MASTER M</v>
      </c>
      <c r="E48" s="1">
        <f>IFERROR(__xludf.DUMMYFUNCTION("""COMPUTED_VALUE"""),1.0)</f>
        <v>1</v>
      </c>
      <c r="F48" s="1" t="str">
        <f>IFERROR(__xludf.DUMMYFUNCTION("""COMPUTED_VALUE"""),"Male")</f>
        <v>Male</v>
      </c>
      <c r="G48" s="4" t="b">
        <f>IFERROR(__xludf.DUMMYFUNCTION("""COMPUTED_VALUE"""),TRUE)</f>
        <v>1</v>
      </c>
      <c r="H48" s="4" t="b">
        <f>IFERROR(__xludf.DUMMYFUNCTION("""COMPUTED_VALUE"""),FALSE)</f>
        <v>0</v>
      </c>
      <c r="I48" s="4">
        <f>IFERROR(__xludf.DUMMYFUNCTION("""COMPUTED_VALUE"""),0.24646185185185185)</f>
        <v>0.2464618519</v>
      </c>
      <c r="J48" s="4">
        <f>IFERROR(__xludf.DUMMYFUNCTION("""COMPUTED_VALUE"""),45949.25896072637)</f>
        <v>45949.25896</v>
      </c>
      <c r="K48" s="4">
        <f>IFERROR(__xludf.DUMMYFUNCTION("""COMPUTED_VALUE"""),45949.289768518516)</f>
        <v>45949.28977</v>
      </c>
      <c r="L48" s="4">
        <f>IFERROR(__xludf.DUMMYFUNCTION("""COMPUTED_VALUE"""),45949.29885921917)</f>
        <v>45949.29886</v>
      </c>
      <c r="M48" s="1" t="str">
        <f>IFERROR(__xludf.DUMMYFUNCTION("""COMPUTED_VALUE"""),"RFID")</f>
        <v>RFID</v>
      </c>
      <c r="N48" s="5">
        <f>IFERROR(__xludf.DUMMYFUNCTION("""COMPUTED_VALUE"""),0.004999550925925926)</f>
        <v>0.004999550926</v>
      </c>
      <c r="O48" s="5">
        <f>IFERROR(__xludf.DUMMYFUNCTION("""COMPUTED_VALUE"""),0.01232311574074074)</f>
        <v>0.01232311574</v>
      </c>
      <c r="P48" s="5">
        <f>IFERROR(__xludf.DUMMYFUNCTION("""COMPUTED_VALUE"""),0.003741029075082437)</f>
        <v>0.003741029075</v>
      </c>
      <c r="Q48" s="5">
        <f>IFERROR(__xludf.DUMMYFUNCTION("""COMPUTED_VALUE"""),0.005239737268518519)</f>
        <v>0.005239737269</v>
      </c>
      <c r="R48" s="4">
        <f>IFERROR(__xludf.DUMMYFUNCTION("""COMPUTED_VALUE"""),45949.05239736732)</f>
        <v>45949.0524</v>
      </c>
      <c r="S48" s="1" t="b">
        <f>IFERROR(__xludf.DUMMYFUNCTION("""COMPUTED_VALUE"""),TRUE)</f>
        <v>1</v>
      </c>
      <c r="T48" s="1" t="b">
        <f>IFERROR(__xludf.DUMMYFUNCTION("""COMPUTED_VALUE"""),FALSE)</f>
        <v>0</v>
      </c>
      <c r="U48" s="1" t="str">
        <f>IFERROR(__xludf.DUMMYFUNCTION("""COMPUTED_VALUE"""),"VALID")</f>
        <v>VALID</v>
      </c>
      <c r="V48" s="1">
        <f>IFERROR(__xludf.DUMMYFUNCTION("""COMPUTED_VALUE"""),44.0)</f>
        <v>44</v>
      </c>
      <c r="W48" s="1">
        <f>IFERROR(__xludf.DUMMYFUNCTION("""COMPUTED_VALUE"""),469.0)</f>
        <v>469</v>
      </c>
      <c r="X48" s="1">
        <f>IFERROR(__xludf.DUMMYFUNCTION("""COMPUTED_VALUE"""),1446.0)</f>
        <v>1446</v>
      </c>
      <c r="Y48" s="2"/>
      <c r="Z48" s="2"/>
    </row>
    <row r="49">
      <c r="A49" s="1">
        <f>IFERROR(__xludf.DUMMYFUNCTION("""COMPUTED_VALUE"""),48.0)</f>
        <v>48</v>
      </c>
      <c r="B49" s="1">
        <f>IFERROR(__xludf.DUMMYFUNCTION("""COMPUTED_VALUE"""),12034.0)</f>
        <v>12034</v>
      </c>
      <c r="C49" s="2" t="str">
        <f>IFERROR(__xludf.DUMMYFUNCTION("""COMPUTED_VALUE"""),"MULYADI")</f>
        <v>MULYADI</v>
      </c>
      <c r="D49" s="2" t="str">
        <f>IFERROR(__xludf.DUMMYFUNCTION("""COMPUTED_VALUE"""),"10KM MASTER M")</f>
        <v>10KM MASTER M</v>
      </c>
      <c r="E49" s="1">
        <f>IFERROR(__xludf.DUMMYFUNCTION("""COMPUTED_VALUE"""),1.0)</f>
        <v>1</v>
      </c>
      <c r="F49" s="1" t="str">
        <f>IFERROR(__xludf.DUMMYFUNCTION("""COMPUTED_VALUE"""),"Male")</f>
        <v>Male</v>
      </c>
      <c r="G49" s="4" t="str">
        <f>IFERROR(__xludf.DUMMYFUNCTION("""COMPUTED_VALUE"""),"")</f>
        <v/>
      </c>
      <c r="H49" s="4" t="b">
        <f>IFERROR(__xludf.DUMMYFUNCTION("""COMPUTED_VALUE"""),TRUE)</f>
        <v>1</v>
      </c>
      <c r="I49" s="4">
        <f>IFERROR(__xludf.DUMMYFUNCTION("""COMPUTED_VALUE"""),0.24646185185185185)</f>
        <v>0.2464618519</v>
      </c>
      <c r="J49" s="4">
        <f>IFERROR(__xludf.DUMMYFUNCTION("""COMPUTED_VALUE"""),45949.25733234483)</f>
        <v>45949.25733</v>
      </c>
      <c r="K49" s="4">
        <f>IFERROR(__xludf.DUMMYFUNCTION("""COMPUTED_VALUE"""),45949.29338455744)</f>
        <v>45949.29338</v>
      </c>
      <c r="L49" s="4">
        <f>IFERROR(__xludf.DUMMYFUNCTION("""COMPUTED_VALUE"""),45949.3033418416)</f>
        <v>45949.30334</v>
      </c>
      <c r="M49" s="1" t="str">
        <f>IFERROR(__xludf.DUMMYFUNCTION("""COMPUTED_VALUE"""),"RFID")</f>
        <v>RFID</v>
      </c>
      <c r="N49" s="5">
        <f>IFERROR(__xludf.DUMMYFUNCTION("""COMPUTED_VALUE"""),0.004348199074074075)</f>
        <v>0.004348199074</v>
      </c>
      <c r="O49" s="5">
        <f>IFERROR(__xludf.DUMMYFUNCTION("""COMPUTED_VALUE"""),0.014420884259259258)</f>
        <v>0.01442088426</v>
      </c>
      <c r="P49" s="5">
        <f>IFERROR(__xludf.DUMMYFUNCTION("""COMPUTED_VALUE"""),0.004097647804344348)</f>
        <v>0.004097647804</v>
      </c>
      <c r="Q49" s="5">
        <f>IFERROR(__xludf.DUMMYFUNCTION("""COMPUTED_VALUE"""),0.005687998842592592)</f>
        <v>0.005687998843</v>
      </c>
      <c r="R49" s="4">
        <f>IFERROR(__xludf.DUMMYFUNCTION("""COMPUTED_VALUE"""),45949.05687998975)</f>
        <v>45949.05688</v>
      </c>
      <c r="S49" s="1" t="b">
        <f>IFERROR(__xludf.DUMMYFUNCTION("""COMPUTED_VALUE"""),TRUE)</f>
        <v>1</v>
      </c>
      <c r="T49" s="1" t="b">
        <f>IFERROR(__xludf.DUMMYFUNCTION("""COMPUTED_VALUE"""),FALSE)</f>
        <v>0</v>
      </c>
      <c r="U49" s="1" t="str">
        <f>IFERROR(__xludf.DUMMYFUNCTION("""COMPUTED_VALUE"""),"VALID")</f>
        <v>VALID</v>
      </c>
      <c r="V49" s="1">
        <f>IFERROR(__xludf.DUMMYFUNCTION("""COMPUTED_VALUE"""),56.0)</f>
        <v>56</v>
      </c>
      <c r="W49" s="1">
        <f>IFERROR(__xludf.DUMMYFUNCTION("""COMPUTED_VALUE"""),601.0)</f>
        <v>601</v>
      </c>
      <c r="X49" s="1">
        <f>IFERROR(__xludf.DUMMYFUNCTION("""COMPUTED_VALUE"""),1568.0)</f>
        <v>1568</v>
      </c>
      <c r="Y49" s="2"/>
      <c r="Z49" s="2"/>
    </row>
    <row r="50">
      <c r="A50" s="1">
        <f>IFERROR(__xludf.DUMMYFUNCTION("""COMPUTED_VALUE"""),49.0)</f>
        <v>49</v>
      </c>
      <c r="B50" s="1">
        <f>IFERROR(__xludf.DUMMYFUNCTION("""COMPUTED_VALUE"""),12036.0)</f>
        <v>12036</v>
      </c>
      <c r="C50" s="2" t="str">
        <f>IFERROR(__xludf.DUMMYFUNCTION("""COMPUTED_VALUE"""),"Hadi")</f>
        <v>Hadi</v>
      </c>
      <c r="D50" s="2" t="str">
        <f>IFERROR(__xludf.DUMMYFUNCTION("""COMPUTED_VALUE"""),"10KM MASTER M")</f>
        <v>10KM MASTER M</v>
      </c>
      <c r="E50" s="1">
        <f>IFERROR(__xludf.DUMMYFUNCTION("""COMPUTED_VALUE"""),1.0)</f>
        <v>1</v>
      </c>
      <c r="F50" s="1" t="str">
        <f>IFERROR(__xludf.DUMMYFUNCTION("""COMPUTED_VALUE"""),"Male")</f>
        <v>Male</v>
      </c>
      <c r="G50" s="4" t="str">
        <f>IFERROR(__xludf.DUMMYFUNCTION("""COMPUTED_VALUE"""),"")</f>
        <v/>
      </c>
      <c r="H50" s="4" t="b">
        <f>IFERROR(__xludf.DUMMYFUNCTION("""COMPUTED_VALUE"""),FALSE)</f>
        <v>0</v>
      </c>
      <c r="I50" s="4">
        <f>IFERROR(__xludf.DUMMYFUNCTION("""COMPUTED_VALUE"""),0.24646185185185185)</f>
        <v>0.2464618519</v>
      </c>
      <c r="J50" s="4" t="str">
        <f>IFERROR(__xludf.DUMMYFUNCTION("""COMPUTED_VALUE"""),"")</f>
        <v/>
      </c>
      <c r="K50" s="4" t="str">
        <f>IFERROR(__xludf.DUMMYFUNCTION("""COMPUTED_VALUE"""),"")</f>
        <v/>
      </c>
      <c r="L50" s="4" t="str">
        <f>IFERROR(__xludf.DUMMYFUNCTION("""COMPUTED_VALUE"""),"")</f>
        <v/>
      </c>
      <c r="M50" s="1" t="str">
        <f>IFERROR(__xludf.DUMMYFUNCTION("""COMPUTED_VALUE"""),"RFID")</f>
        <v>RFID</v>
      </c>
      <c r="N50" s="5" t="str">
        <f>IFERROR(__xludf.DUMMYFUNCTION("""COMPUTED_VALUE"""),"")</f>
        <v/>
      </c>
      <c r="O50" s="5" t="str">
        <f>IFERROR(__xludf.DUMMYFUNCTION("""COMPUTED_VALUE"""),"")</f>
        <v/>
      </c>
      <c r="P50" s="5" t="str">
        <f>IFERROR(__xludf.DUMMYFUNCTION("""COMPUTED_VALUE"""),"")</f>
        <v/>
      </c>
      <c r="Q50" s="5" t="str">
        <f>IFERROR(__xludf.DUMMYFUNCTION("""COMPUTED_VALUE"""),"")</f>
        <v/>
      </c>
      <c r="R50" s="4" t="str">
        <f>IFERROR(__xludf.DUMMYFUNCTION("""COMPUTED_VALUE"""),"")</f>
        <v/>
      </c>
      <c r="S50" s="1" t="b">
        <f>IFERROR(__xludf.DUMMYFUNCTION("""COMPUTED_VALUE"""),FALSE)</f>
        <v>0</v>
      </c>
      <c r="T50" s="1" t="b">
        <f>IFERROR(__xludf.DUMMYFUNCTION("""COMPUTED_VALUE"""),FALSE)</f>
        <v>0</v>
      </c>
      <c r="U50" s="1" t="str">
        <f>IFERROR(__xludf.DUMMYFUNCTION("""COMPUTED_VALUE"""),"DSQ")</f>
        <v>DSQ</v>
      </c>
      <c r="V50" s="1" t="str">
        <f>IFERROR(__xludf.DUMMYFUNCTION("""COMPUTED_VALUE"""),"DSQ")</f>
        <v>DSQ</v>
      </c>
      <c r="W50" s="1" t="str">
        <f>IFERROR(__xludf.DUMMYFUNCTION("""COMPUTED_VALUE"""),"DSQ")</f>
        <v>DSQ</v>
      </c>
      <c r="X50" s="1" t="str">
        <f>IFERROR(__xludf.DUMMYFUNCTION("""COMPUTED_VALUE"""),"DSQ")</f>
        <v>DSQ</v>
      </c>
      <c r="Y50" s="2"/>
      <c r="Z50" s="2" t="str">
        <f>IFERROR(__xludf.DUMMYFUNCTION("""COMPUTED_VALUE"""),"")</f>
        <v/>
      </c>
    </row>
    <row r="51">
      <c r="A51" s="1">
        <f>IFERROR(__xludf.DUMMYFUNCTION("""COMPUTED_VALUE"""),50.0)</f>
        <v>50</v>
      </c>
      <c r="B51" s="1">
        <f>IFERROR(__xludf.DUMMYFUNCTION("""COMPUTED_VALUE"""),12039.0)</f>
        <v>12039</v>
      </c>
      <c r="C51" s="2" t="str">
        <f>IFERROR(__xludf.DUMMYFUNCTION("""COMPUTED_VALUE"""),"Supriadi")</f>
        <v>Supriadi</v>
      </c>
      <c r="D51" s="2" t="str">
        <f>IFERROR(__xludf.DUMMYFUNCTION("""COMPUTED_VALUE"""),"10KM MASTER M")</f>
        <v>10KM MASTER M</v>
      </c>
      <c r="E51" s="1">
        <f>IFERROR(__xludf.DUMMYFUNCTION("""COMPUTED_VALUE"""),1.0)</f>
        <v>1</v>
      </c>
      <c r="F51" s="1" t="str">
        <f>IFERROR(__xludf.DUMMYFUNCTION("""COMPUTED_VALUE"""),"Male")</f>
        <v>Male</v>
      </c>
      <c r="G51" s="4" t="b">
        <f>IFERROR(__xludf.DUMMYFUNCTION("""COMPUTED_VALUE"""),TRUE)</f>
        <v>1</v>
      </c>
      <c r="H51" s="4" t="b">
        <f>IFERROR(__xludf.DUMMYFUNCTION("""COMPUTED_VALUE"""),FALSE)</f>
        <v>0</v>
      </c>
      <c r="I51" s="4">
        <f>IFERROR(__xludf.DUMMYFUNCTION("""COMPUTED_VALUE"""),0.24646185185185185)</f>
        <v>0.2464618519</v>
      </c>
      <c r="J51" s="4">
        <f>IFERROR(__xludf.DUMMYFUNCTION("""COMPUTED_VALUE"""),45949.25545031026)</f>
        <v>45949.25545</v>
      </c>
      <c r="K51" s="4">
        <f>IFERROR(__xludf.DUMMYFUNCTION("""COMPUTED_VALUE"""),45949.281193384595)</f>
        <v>45949.28119</v>
      </c>
      <c r="L51" s="4">
        <f>IFERROR(__xludf.DUMMYFUNCTION("""COMPUTED_VALUE"""),45949.289348784485)</f>
        <v>45949.28935</v>
      </c>
      <c r="M51" s="1" t="str">
        <f>IFERROR(__xludf.DUMMYFUNCTION("""COMPUTED_VALUE"""),"RFID")</f>
        <v>RFID</v>
      </c>
      <c r="N51" s="5">
        <f>IFERROR(__xludf.DUMMYFUNCTION("""COMPUTED_VALUE"""),0.003595384259259259)</f>
        <v>0.003595384259</v>
      </c>
      <c r="O51" s="5">
        <f>IFERROR(__xludf.DUMMYFUNCTION("""COMPUTED_VALUE"""),0.010297231481481482)</f>
        <v>0.01029723148</v>
      </c>
      <c r="P51" s="5">
        <f>IFERROR(__xludf.DUMMYFUNCTION("""COMPUTED_VALUE"""),0.003356131641893674)</f>
        <v>0.003356131642</v>
      </c>
      <c r="Q51" s="5">
        <f>IFERROR(__xludf.DUMMYFUNCTION("""COMPUTED_VALUE"""),0.004288693287037037)</f>
        <v>0.004288693287</v>
      </c>
      <c r="R51" s="4">
        <f>IFERROR(__xludf.DUMMYFUNCTION("""COMPUTED_VALUE"""),45949.042886932635)</f>
        <v>45949.04289</v>
      </c>
      <c r="S51" s="1" t="b">
        <f>IFERROR(__xludf.DUMMYFUNCTION("""COMPUTED_VALUE"""),TRUE)</f>
        <v>1</v>
      </c>
      <c r="T51" s="1" t="b">
        <f>IFERROR(__xludf.DUMMYFUNCTION("""COMPUTED_VALUE"""),FALSE)</f>
        <v>0</v>
      </c>
      <c r="U51" s="1" t="str">
        <f>IFERROR(__xludf.DUMMYFUNCTION("""COMPUTED_VALUE"""),"VALID")</f>
        <v>VALID</v>
      </c>
      <c r="V51" s="1">
        <f>IFERROR(__xludf.DUMMYFUNCTION("""COMPUTED_VALUE"""),18.0)</f>
        <v>18</v>
      </c>
      <c r="W51" s="1">
        <f>IFERROR(__xludf.DUMMYFUNCTION("""COMPUTED_VALUE"""),192.0)</f>
        <v>192</v>
      </c>
      <c r="X51" s="1">
        <f>IFERROR(__xludf.DUMMYFUNCTION("""COMPUTED_VALUE"""),1099.0)</f>
        <v>1099</v>
      </c>
      <c r="Y51" s="2"/>
      <c r="Z51" s="2"/>
    </row>
    <row r="52">
      <c r="A52" s="1">
        <f>IFERROR(__xludf.DUMMYFUNCTION("""COMPUTED_VALUE"""),51.0)</f>
        <v>51</v>
      </c>
      <c r="B52" s="1">
        <f>IFERROR(__xludf.DUMMYFUNCTION("""COMPUTED_VALUE"""),12040.0)</f>
        <v>12040</v>
      </c>
      <c r="C52" s="2" t="str">
        <f>IFERROR(__xludf.DUMMYFUNCTION("""COMPUTED_VALUE"""),"Asrori")</f>
        <v>Asrori</v>
      </c>
      <c r="D52" s="2" t="str">
        <f>IFERROR(__xludf.DUMMYFUNCTION("""COMPUTED_VALUE"""),"10KM MASTER M")</f>
        <v>10KM MASTER M</v>
      </c>
      <c r="E52" s="1">
        <f>IFERROR(__xludf.DUMMYFUNCTION("""COMPUTED_VALUE"""),1.0)</f>
        <v>1</v>
      </c>
      <c r="F52" s="1" t="str">
        <f>IFERROR(__xludf.DUMMYFUNCTION("""COMPUTED_VALUE"""),"Male")</f>
        <v>Male</v>
      </c>
      <c r="G52" s="4" t="b">
        <f>IFERROR(__xludf.DUMMYFUNCTION("""COMPUTED_VALUE"""),TRUE)</f>
        <v>1</v>
      </c>
      <c r="H52" s="4" t="b">
        <f>IFERROR(__xludf.DUMMYFUNCTION("""COMPUTED_VALUE"""),TRUE)</f>
        <v>1</v>
      </c>
      <c r="I52" s="4">
        <f>IFERROR(__xludf.DUMMYFUNCTION("""COMPUTED_VALUE"""),0.24646185185185185)</f>
        <v>0.2464618519</v>
      </c>
      <c r="J52" s="4">
        <f>IFERROR(__xludf.DUMMYFUNCTION("""COMPUTED_VALUE"""),45949.27626630314)</f>
        <v>45949.27627</v>
      </c>
      <c r="K52" s="4" t="str">
        <f>IFERROR(__xludf.DUMMYFUNCTION("""COMPUTED_VALUE"""),"")</f>
        <v/>
      </c>
      <c r="L52" s="4">
        <f>IFERROR(__xludf.DUMMYFUNCTION("""COMPUTED_VALUE"""),45949.29553282629)</f>
        <v>45949.29553</v>
      </c>
      <c r="M52" s="1" t="str">
        <f>IFERROR(__xludf.DUMMYFUNCTION("""COMPUTED_VALUE"""),"RFID")</f>
        <v>RFID</v>
      </c>
      <c r="N52" s="5">
        <f>IFERROR(__xludf.DUMMYFUNCTION("""COMPUTED_VALUE"""),0.011921782407407409)</f>
        <v>0.01192178241</v>
      </c>
      <c r="O52" s="5" t="str">
        <f>IFERROR(__xludf.DUMMYFUNCTION("""COMPUTED_VALUE"""),"")</f>
        <v/>
      </c>
      <c r="P52" s="5" t="str">
        <f>IFERROR(__xludf.DUMMYFUNCTION("""COMPUTED_VALUE"""),"")</f>
        <v/>
      </c>
      <c r="Q52" s="5">
        <f>IFERROR(__xludf.DUMMYFUNCTION("""COMPUTED_VALUE"""),0.004907097222222222)</f>
        <v>0.004907097222</v>
      </c>
      <c r="R52" s="4">
        <f>IFERROR(__xludf.DUMMYFUNCTION("""COMPUTED_VALUE"""),45949.04907097444)</f>
        <v>45949.04907</v>
      </c>
      <c r="S52" s="1" t="b">
        <f>IFERROR(__xludf.DUMMYFUNCTION("""COMPUTED_VALUE"""),TRUE)</f>
        <v>1</v>
      </c>
      <c r="T52" s="1" t="b">
        <f>IFERROR(__xludf.DUMMYFUNCTION("""COMPUTED_VALUE"""),FALSE)</f>
        <v>0</v>
      </c>
      <c r="U52" s="1" t="str">
        <f>IFERROR(__xludf.DUMMYFUNCTION("""COMPUTED_VALUE"""),"VALID")</f>
        <v>VALID</v>
      </c>
      <c r="V52" s="1">
        <f>IFERROR(__xludf.DUMMYFUNCTION("""COMPUTED_VALUE"""),35.0)</f>
        <v>35</v>
      </c>
      <c r="W52" s="1">
        <f>IFERROR(__xludf.DUMMYFUNCTION("""COMPUTED_VALUE"""),374.0)</f>
        <v>374</v>
      </c>
      <c r="X52" s="1">
        <f>IFERROR(__xludf.DUMMYFUNCTION("""COMPUTED_VALUE"""),1348.0)</f>
        <v>1348</v>
      </c>
      <c r="Y52" s="2"/>
      <c r="Z52" s="2"/>
    </row>
    <row r="53">
      <c r="A53" s="1">
        <f>IFERROR(__xludf.DUMMYFUNCTION("""COMPUTED_VALUE"""),52.0)</f>
        <v>52</v>
      </c>
      <c r="B53" s="1">
        <f>IFERROR(__xludf.DUMMYFUNCTION("""COMPUTED_VALUE"""),12042.0)</f>
        <v>12042</v>
      </c>
      <c r="C53" s="2" t="str">
        <f>IFERROR(__xludf.DUMMYFUNCTION("""COMPUTED_VALUE"""),"Dian Keren")</f>
        <v>Dian Keren</v>
      </c>
      <c r="D53" s="2" t="str">
        <f>IFERROR(__xludf.DUMMYFUNCTION("""COMPUTED_VALUE"""),"10KM MASTER M")</f>
        <v>10KM MASTER M</v>
      </c>
      <c r="E53" s="1">
        <f>IFERROR(__xludf.DUMMYFUNCTION("""COMPUTED_VALUE"""),1.0)</f>
        <v>1</v>
      </c>
      <c r="F53" s="1" t="str">
        <f>IFERROR(__xludf.DUMMYFUNCTION("""COMPUTED_VALUE"""),"Male")</f>
        <v>Male</v>
      </c>
      <c r="G53" s="4" t="b">
        <f>IFERROR(__xludf.DUMMYFUNCTION("""COMPUTED_VALUE"""),TRUE)</f>
        <v>1</v>
      </c>
      <c r="H53" s="4" t="b">
        <f>IFERROR(__xludf.DUMMYFUNCTION("""COMPUTED_VALUE"""),TRUE)</f>
        <v>1</v>
      </c>
      <c r="I53" s="4">
        <f>IFERROR(__xludf.DUMMYFUNCTION("""COMPUTED_VALUE"""),0.24646185185185185)</f>
        <v>0.2464618519</v>
      </c>
      <c r="J53" s="4">
        <f>IFERROR(__xludf.DUMMYFUNCTION("""COMPUTED_VALUE"""),45949.25971076813)</f>
        <v>45949.25971</v>
      </c>
      <c r="K53" s="4">
        <f>IFERROR(__xludf.DUMMYFUNCTION("""COMPUTED_VALUE"""),45949.29925688823)</f>
        <v>45949.29926</v>
      </c>
      <c r="L53" s="4">
        <f>IFERROR(__xludf.DUMMYFUNCTION("""COMPUTED_VALUE"""),45949.310112616695)</f>
        <v>45949.31011</v>
      </c>
      <c r="M53" s="1" t="str">
        <f>IFERROR(__xludf.DUMMYFUNCTION("""COMPUTED_VALUE"""),"RFID")</f>
        <v>RFID</v>
      </c>
      <c r="N53" s="5">
        <f>IFERROR(__xludf.DUMMYFUNCTION("""COMPUTED_VALUE"""),0.005299564814814814)</f>
        <v>0.005299564815</v>
      </c>
      <c r="O53" s="5">
        <f>IFERROR(__xludf.DUMMYFUNCTION("""COMPUTED_VALUE"""),0.01581844907407407)</f>
        <v>0.01581844907</v>
      </c>
      <c r="P53" s="5">
        <f>IFERROR(__xludf.DUMMYFUNCTION("""COMPUTED_VALUE"""),0.004467377967920744)</f>
        <v>0.004467377968</v>
      </c>
      <c r="Q53" s="5">
        <f>IFERROR(__xludf.DUMMYFUNCTION("""COMPUTED_VALUE"""),0.006365076388888889)</f>
        <v>0.006365076389</v>
      </c>
      <c r="R53" s="4">
        <f>IFERROR(__xludf.DUMMYFUNCTION("""COMPUTED_VALUE"""),45949.063650764845)</f>
        <v>45949.06365</v>
      </c>
      <c r="S53" s="1" t="b">
        <f>IFERROR(__xludf.DUMMYFUNCTION("""COMPUTED_VALUE"""),TRUE)</f>
        <v>1</v>
      </c>
      <c r="T53" s="1" t="b">
        <f>IFERROR(__xludf.DUMMYFUNCTION("""COMPUTED_VALUE"""),FALSE)</f>
        <v>0</v>
      </c>
      <c r="U53" s="1" t="str">
        <f>IFERROR(__xludf.DUMMYFUNCTION("""COMPUTED_VALUE"""),"VALID")</f>
        <v>VALID</v>
      </c>
      <c r="V53" s="1">
        <f>IFERROR(__xludf.DUMMYFUNCTION("""COMPUTED_VALUE"""),63.0)</f>
        <v>63</v>
      </c>
      <c r="W53" s="1">
        <f>IFERROR(__xludf.DUMMYFUNCTION("""COMPUTED_VALUE"""),685.0)</f>
        <v>685</v>
      </c>
      <c r="X53" s="1">
        <f>IFERROR(__xludf.DUMMYFUNCTION("""COMPUTED_VALUE"""),1633.0)</f>
        <v>1633</v>
      </c>
      <c r="Y53" s="2"/>
      <c r="Z53" s="2"/>
    </row>
    <row r="54">
      <c r="A54" s="1">
        <f>IFERROR(__xludf.DUMMYFUNCTION("""COMPUTED_VALUE"""),53.0)</f>
        <v>53</v>
      </c>
      <c r="B54" s="1">
        <f>IFERROR(__xludf.DUMMYFUNCTION("""COMPUTED_VALUE"""),12044.0)</f>
        <v>12044</v>
      </c>
      <c r="C54" s="2" t="str">
        <f>IFERROR(__xludf.DUMMYFUNCTION("""COMPUTED_VALUE"""),"THE LITTLE GIANT")</f>
        <v>THE LITTLE GIANT</v>
      </c>
      <c r="D54" s="2" t="str">
        <f>IFERROR(__xludf.DUMMYFUNCTION("""COMPUTED_VALUE"""),"10KM MASTER M")</f>
        <v>10KM MASTER M</v>
      </c>
      <c r="E54" s="1">
        <f>IFERROR(__xludf.DUMMYFUNCTION("""COMPUTED_VALUE"""),1.0)</f>
        <v>1</v>
      </c>
      <c r="F54" s="1" t="str">
        <f>IFERROR(__xludf.DUMMYFUNCTION("""COMPUTED_VALUE"""),"Male")</f>
        <v>Male</v>
      </c>
      <c r="G54" s="4" t="b">
        <f>IFERROR(__xludf.DUMMYFUNCTION("""COMPUTED_VALUE"""),TRUE)</f>
        <v>1</v>
      </c>
      <c r="H54" s="4" t="b">
        <f>IFERROR(__xludf.DUMMYFUNCTION("""COMPUTED_VALUE"""),FALSE)</f>
        <v>0</v>
      </c>
      <c r="I54" s="4">
        <f>IFERROR(__xludf.DUMMYFUNCTION("""COMPUTED_VALUE"""),0.24646185185185185)</f>
        <v>0.2464618519</v>
      </c>
      <c r="J54" s="4">
        <f>IFERROR(__xludf.DUMMYFUNCTION("""COMPUTED_VALUE"""),45949.25661696571)</f>
        <v>45949.25662</v>
      </c>
      <c r="K54" s="4">
        <f>IFERROR(__xludf.DUMMYFUNCTION("""COMPUTED_VALUE"""),45949.28491557422)</f>
        <v>45949.28492</v>
      </c>
      <c r="L54" s="4">
        <f>IFERROR(__xludf.DUMMYFUNCTION("""COMPUTED_VALUE"""),45949.29383140693)</f>
        <v>45949.29383</v>
      </c>
      <c r="M54" s="1" t="str">
        <f>IFERROR(__xludf.DUMMYFUNCTION("""COMPUTED_VALUE"""),"RFID")</f>
        <v>RFID</v>
      </c>
      <c r="N54" s="5">
        <f>IFERROR(__xludf.DUMMYFUNCTION("""COMPUTED_VALUE"""),0.004062046296296296)</f>
        <v>0.004062046296</v>
      </c>
      <c r="O54" s="5">
        <f>IFERROR(__xludf.DUMMYFUNCTION("""COMPUTED_VALUE"""),0.011319444444444444)</f>
        <v>0.01131944444</v>
      </c>
      <c r="P54" s="5">
        <f>IFERROR(__xludf.DUMMYFUNCTION("""COMPUTED_VALUE"""),0.0036690669588662237)</f>
        <v>0.003669066959</v>
      </c>
      <c r="Q54" s="5">
        <f>IFERROR(__xludf.DUMMYFUNCTION("""COMPUTED_VALUE"""),0.004736956018518519)</f>
        <v>0.004736956019</v>
      </c>
      <c r="R54" s="4">
        <f>IFERROR(__xludf.DUMMYFUNCTION("""COMPUTED_VALUE"""),45949.04736955508)</f>
        <v>45949.04737</v>
      </c>
      <c r="S54" s="1" t="b">
        <f>IFERROR(__xludf.DUMMYFUNCTION("""COMPUTED_VALUE"""),TRUE)</f>
        <v>1</v>
      </c>
      <c r="T54" s="1" t="b">
        <f>IFERROR(__xludf.DUMMYFUNCTION("""COMPUTED_VALUE"""),FALSE)</f>
        <v>0</v>
      </c>
      <c r="U54" s="1" t="str">
        <f>IFERROR(__xludf.DUMMYFUNCTION("""COMPUTED_VALUE"""),"VALID")</f>
        <v>VALID</v>
      </c>
      <c r="V54" s="1">
        <f>IFERROR(__xludf.DUMMYFUNCTION("""COMPUTED_VALUE"""),31.0)</f>
        <v>31</v>
      </c>
      <c r="W54" s="1">
        <f>IFERROR(__xludf.DUMMYFUNCTION("""COMPUTED_VALUE"""),322.0)</f>
        <v>322</v>
      </c>
      <c r="X54" s="1">
        <f>IFERROR(__xludf.DUMMYFUNCTION("""COMPUTED_VALUE"""),1280.0)</f>
        <v>1280</v>
      </c>
      <c r="Y54" s="2"/>
      <c r="Z54" s="2"/>
    </row>
    <row r="55">
      <c r="A55" s="1">
        <f>IFERROR(__xludf.DUMMYFUNCTION("""COMPUTED_VALUE"""),54.0)</f>
        <v>54</v>
      </c>
      <c r="B55" s="1">
        <f>IFERROR(__xludf.DUMMYFUNCTION("""COMPUTED_VALUE"""),12045.0)</f>
        <v>12045</v>
      </c>
      <c r="C55" s="2" t="str">
        <f>IFERROR(__xludf.DUMMYFUNCTION("""COMPUTED_VALUE"""),"YADI")</f>
        <v>YADI</v>
      </c>
      <c r="D55" s="2" t="str">
        <f>IFERROR(__xludf.DUMMYFUNCTION("""COMPUTED_VALUE"""),"10KM MASTER M")</f>
        <v>10KM MASTER M</v>
      </c>
      <c r="E55" s="1">
        <f>IFERROR(__xludf.DUMMYFUNCTION("""COMPUTED_VALUE"""),1.0)</f>
        <v>1</v>
      </c>
      <c r="F55" s="1" t="str">
        <f>IFERROR(__xludf.DUMMYFUNCTION("""COMPUTED_VALUE"""),"Male")</f>
        <v>Male</v>
      </c>
      <c r="G55" s="4" t="str">
        <f>IFERROR(__xludf.DUMMYFUNCTION("""COMPUTED_VALUE"""),"")</f>
        <v/>
      </c>
      <c r="H55" s="4" t="b">
        <f>IFERROR(__xludf.DUMMYFUNCTION("""COMPUTED_VALUE"""),FALSE)</f>
        <v>0</v>
      </c>
      <c r="I55" s="4">
        <f>IFERROR(__xludf.DUMMYFUNCTION("""COMPUTED_VALUE"""),0.24646185185185185)</f>
        <v>0.2464618519</v>
      </c>
      <c r="J55" s="4">
        <f>IFERROR(__xludf.DUMMYFUNCTION("""COMPUTED_VALUE"""),45949.25879406373)</f>
        <v>45949.25879</v>
      </c>
      <c r="K55" s="4">
        <f>IFERROR(__xludf.DUMMYFUNCTION("""COMPUTED_VALUE"""),45949.294037370426)</f>
        <v>45949.29404</v>
      </c>
      <c r="L55" s="4">
        <f>IFERROR(__xludf.DUMMYFUNCTION("""COMPUTED_VALUE"""),45949.304404289695)</f>
        <v>45949.3044</v>
      </c>
      <c r="M55" s="1" t="str">
        <f>IFERROR(__xludf.DUMMYFUNCTION("""COMPUTED_VALUE"""),"RFID")</f>
        <v>RFID</v>
      </c>
      <c r="N55" s="5">
        <f>IFERROR(__xludf.DUMMYFUNCTION("""COMPUTED_VALUE"""),0.004932884259259259)</f>
        <v>0.004932884259</v>
      </c>
      <c r="O55" s="5">
        <f>IFERROR(__xludf.DUMMYFUNCTION("""COMPUTED_VALUE"""),0.014097324074074075)</f>
        <v>0.01409732407</v>
      </c>
      <c r="P55" s="5">
        <f>IFERROR(__xludf.DUMMYFUNCTION("""COMPUTED_VALUE"""),0.00426622192121931)</f>
        <v>0.004266221921</v>
      </c>
      <c r="Q55" s="5">
        <f>IFERROR(__xludf.DUMMYFUNCTION("""COMPUTED_VALUE"""),0.005794244212962963)</f>
        <v>0.005794244213</v>
      </c>
      <c r="R55" s="4">
        <f>IFERROR(__xludf.DUMMYFUNCTION("""COMPUTED_VALUE"""),45949.057942437845)</f>
        <v>45949.05794</v>
      </c>
      <c r="S55" s="1" t="b">
        <f>IFERROR(__xludf.DUMMYFUNCTION("""COMPUTED_VALUE"""),TRUE)</f>
        <v>1</v>
      </c>
      <c r="T55" s="1" t="b">
        <f>IFERROR(__xludf.DUMMYFUNCTION("""COMPUTED_VALUE"""),FALSE)</f>
        <v>0</v>
      </c>
      <c r="U55" s="1" t="str">
        <f>IFERROR(__xludf.DUMMYFUNCTION("""COMPUTED_VALUE"""),"VALID")</f>
        <v>VALID</v>
      </c>
      <c r="V55" s="1">
        <f>IFERROR(__xludf.DUMMYFUNCTION("""COMPUTED_VALUE"""),58.0)</f>
        <v>58</v>
      </c>
      <c r="W55" s="1">
        <f>IFERROR(__xludf.DUMMYFUNCTION("""COMPUTED_VALUE"""),622.0)</f>
        <v>622</v>
      </c>
      <c r="X55" s="1">
        <f>IFERROR(__xludf.DUMMYFUNCTION("""COMPUTED_VALUE"""),1586.0)</f>
        <v>1586</v>
      </c>
      <c r="Y55" s="2"/>
      <c r="Z55" s="2"/>
    </row>
    <row r="56">
      <c r="A56" s="1">
        <f>IFERROR(__xludf.DUMMYFUNCTION("""COMPUTED_VALUE"""),55.0)</f>
        <v>55</v>
      </c>
      <c r="B56" s="1">
        <f>IFERROR(__xludf.DUMMYFUNCTION("""COMPUTED_VALUE"""),12046.0)</f>
        <v>12046</v>
      </c>
      <c r="C56" s="2" t="str">
        <f>IFERROR(__xludf.DUMMYFUNCTION("""COMPUTED_VALUE"""),"EN")</f>
        <v>EN</v>
      </c>
      <c r="D56" s="2" t="str">
        <f>IFERROR(__xludf.DUMMYFUNCTION("""COMPUTED_VALUE"""),"10KM MASTER M")</f>
        <v>10KM MASTER M</v>
      </c>
      <c r="E56" s="1">
        <f>IFERROR(__xludf.DUMMYFUNCTION("""COMPUTED_VALUE"""),1.0)</f>
        <v>1</v>
      </c>
      <c r="F56" s="1" t="str">
        <f>IFERROR(__xludf.DUMMYFUNCTION("""COMPUTED_VALUE"""),"Male")</f>
        <v>Male</v>
      </c>
      <c r="G56" s="4" t="b">
        <f>IFERROR(__xludf.DUMMYFUNCTION("""COMPUTED_VALUE"""),TRUE)</f>
        <v>1</v>
      </c>
      <c r="H56" s="4" t="b">
        <f>IFERROR(__xludf.DUMMYFUNCTION("""COMPUTED_VALUE"""),TRUE)</f>
        <v>1</v>
      </c>
      <c r="I56" s="4">
        <f>IFERROR(__xludf.DUMMYFUNCTION("""COMPUTED_VALUE"""),0.24646185185185185)</f>
        <v>0.2464618519</v>
      </c>
      <c r="J56" s="4">
        <f>IFERROR(__xludf.DUMMYFUNCTION("""COMPUTED_VALUE"""),45949.25778016865)</f>
        <v>45949.25778</v>
      </c>
      <c r="K56" s="4">
        <f>IFERROR(__xludf.DUMMYFUNCTION("""COMPUTED_VALUE"""),45949.2826031166)</f>
        <v>45949.2826</v>
      </c>
      <c r="L56" s="4">
        <f>IFERROR(__xludf.DUMMYFUNCTION("""COMPUTED_VALUE"""),45949.290053640914)</f>
        <v>45949.29005</v>
      </c>
      <c r="M56" s="1" t="str">
        <f>IFERROR(__xludf.DUMMYFUNCTION("""COMPUTED_VALUE"""),"RFID")</f>
        <v>RFID</v>
      </c>
      <c r="N56" s="5">
        <f>IFERROR(__xludf.DUMMYFUNCTION("""COMPUTED_VALUE"""),0.0045273287037037035)</f>
        <v>0.004527328704</v>
      </c>
      <c r="O56" s="5">
        <f>IFERROR(__xludf.DUMMYFUNCTION("""COMPUTED_VALUE"""),0.009929180555555556)</f>
        <v>0.009929180556</v>
      </c>
      <c r="P56" s="5">
        <f>IFERROR(__xludf.DUMMYFUNCTION("""COMPUTED_VALUE"""),0.0030660593898731202)</f>
        <v>0.00306605939</v>
      </c>
      <c r="Q56" s="5">
        <f>IFERROR(__xludf.DUMMYFUNCTION("""COMPUTED_VALUE"""),0.0043591793981481485)</f>
        <v>0.004359179398</v>
      </c>
      <c r="R56" s="4">
        <f>IFERROR(__xludf.DUMMYFUNCTION("""COMPUTED_VALUE"""),45949.043591789065)</f>
        <v>45949.04359</v>
      </c>
      <c r="S56" s="1" t="b">
        <f>IFERROR(__xludf.DUMMYFUNCTION("""COMPUTED_VALUE"""),TRUE)</f>
        <v>1</v>
      </c>
      <c r="T56" s="1" t="b">
        <f>IFERROR(__xludf.DUMMYFUNCTION("""COMPUTED_VALUE"""),FALSE)</f>
        <v>0</v>
      </c>
      <c r="U56" s="1" t="str">
        <f>IFERROR(__xludf.DUMMYFUNCTION("""COMPUTED_VALUE"""),"VALID")</f>
        <v>VALID</v>
      </c>
      <c r="V56" s="1">
        <f>IFERROR(__xludf.DUMMYFUNCTION("""COMPUTED_VALUE"""),22.0)</f>
        <v>22</v>
      </c>
      <c r="W56" s="1">
        <f>IFERROR(__xludf.DUMMYFUNCTION("""COMPUTED_VALUE"""),208.0)</f>
        <v>208</v>
      </c>
      <c r="X56" s="1">
        <f>IFERROR(__xludf.DUMMYFUNCTION("""COMPUTED_VALUE"""),1119.0)</f>
        <v>1119</v>
      </c>
      <c r="Y56" s="2"/>
      <c r="Z56" s="2"/>
    </row>
    <row r="57">
      <c r="A57" s="1">
        <f>IFERROR(__xludf.DUMMYFUNCTION("""COMPUTED_VALUE"""),56.0)</f>
        <v>56</v>
      </c>
      <c r="B57" s="1">
        <f>IFERROR(__xludf.DUMMYFUNCTION("""COMPUTED_VALUE"""),12047.0)</f>
        <v>12047</v>
      </c>
      <c r="C57" s="2" t="str">
        <f>IFERROR(__xludf.DUMMYFUNCTION("""COMPUTED_VALUE"""),"HF 423 R1")</f>
        <v>HF 423 R1</v>
      </c>
      <c r="D57" s="2" t="str">
        <f>IFERROR(__xludf.DUMMYFUNCTION("""COMPUTED_VALUE"""),"10KM MASTER M")</f>
        <v>10KM MASTER M</v>
      </c>
      <c r="E57" s="1">
        <f>IFERROR(__xludf.DUMMYFUNCTION("""COMPUTED_VALUE"""),1.0)</f>
        <v>1</v>
      </c>
      <c r="F57" s="1" t="str">
        <f>IFERROR(__xludf.DUMMYFUNCTION("""COMPUTED_VALUE"""),"Male")</f>
        <v>Male</v>
      </c>
      <c r="G57" s="4" t="b">
        <f>IFERROR(__xludf.DUMMYFUNCTION("""COMPUTED_VALUE"""),TRUE)</f>
        <v>1</v>
      </c>
      <c r="H57" s="4" t="b">
        <f>IFERROR(__xludf.DUMMYFUNCTION("""COMPUTED_VALUE"""),FALSE)</f>
        <v>0</v>
      </c>
      <c r="I57" s="4">
        <f>IFERROR(__xludf.DUMMYFUNCTION("""COMPUTED_VALUE"""),0.24646185185185185)</f>
        <v>0.2464618519</v>
      </c>
      <c r="J57" s="4">
        <f>IFERROR(__xludf.DUMMYFUNCTION("""COMPUTED_VALUE"""),45949.25478715953)</f>
        <v>45949.25479</v>
      </c>
      <c r="K57" s="4">
        <f>IFERROR(__xludf.DUMMYFUNCTION("""COMPUTED_VALUE"""),45949.28200936785)</f>
        <v>45949.28201</v>
      </c>
      <c r="L57" s="4">
        <f>IFERROR(__xludf.DUMMYFUNCTION("""COMPUTED_VALUE"""),45949.28991823115)</f>
        <v>45949.28992</v>
      </c>
      <c r="M57" s="1" t="str">
        <f>IFERROR(__xludf.DUMMYFUNCTION("""COMPUTED_VALUE"""),"RFID")</f>
        <v>RFID</v>
      </c>
      <c r="N57" s="5">
        <f>IFERROR(__xludf.DUMMYFUNCTION("""COMPUTED_VALUE"""),0.0033301249999999998)</f>
        <v>0.003330125</v>
      </c>
      <c r="O57" s="5">
        <f>IFERROR(__xludf.DUMMYFUNCTION("""COMPUTED_VALUE"""),0.010888884259259258)</f>
        <v>0.01088888426</v>
      </c>
      <c r="P57" s="5">
        <f>IFERROR(__xludf.DUMMYFUNCTION("""COMPUTED_VALUE"""),0.003254676254829315)</f>
        <v>0.003254676255</v>
      </c>
      <c r="Q57" s="5">
        <f>IFERROR(__xludf.DUMMYFUNCTION("""COMPUTED_VALUE"""),0.004345637731481481)</f>
        <v>0.004345637731</v>
      </c>
      <c r="R57" s="4">
        <f>IFERROR(__xludf.DUMMYFUNCTION("""COMPUTED_VALUE"""),45949.0434563793)</f>
        <v>45949.04346</v>
      </c>
      <c r="S57" s="1" t="b">
        <f>IFERROR(__xludf.DUMMYFUNCTION("""COMPUTED_VALUE"""),TRUE)</f>
        <v>1</v>
      </c>
      <c r="T57" s="1" t="b">
        <f>IFERROR(__xludf.DUMMYFUNCTION("""COMPUTED_VALUE"""),FALSE)</f>
        <v>0</v>
      </c>
      <c r="U57" s="1" t="str">
        <f>IFERROR(__xludf.DUMMYFUNCTION("""COMPUTED_VALUE"""),"VALID")</f>
        <v>VALID</v>
      </c>
      <c r="V57" s="1">
        <f>IFERROR(__xludf.DUMMYFUNCTION("""COMPUTED_VALUE"""),19.0)</f>
        <v>19</v>
      </c>
      <c r="W57" s="1">
        <f>IFERROR(__xludf.DUMMYFUNCTION("""COMPUTED_VALUE"""),202.0)</f>
        <v>202</v>
      </c>
      <c r="X57" s="1">
        <f>IFERROR(__xludf.DUMMYFUNCTION("""COMPUTED_VALUE"""),1110.0)</f>
        <v>1110</v>
      </c>
      <c r="Y57" s="2"/>
      <c r="Z57" s="2"/>
    </row>
    <row r="58">
      <c r="A58" s="1">
        <f>IFERROR(__xludf.DUMMYFUNCTION("""COMPUTED_VALUE"""),57.0)</f>
        <v>57</v>
      </c>
      <c r="B58" s="1">
        <f>IFERROR(__xludf.DUMMYFUNCTION("""COMPUTED_VALUE"""),12048.0)</f>
        <v>12048</v>
      </c>
      <c r="C58" s="2" t="str">
        <f>IFERROR(__xludf.DUMMYFUNCTION("""COMPUTED_VALUE"""),"R FAHMI")</f>
        <v>R FAHMI</v>
      </c>
      <c r="D58" s="2" t="str">
        <f>IFERROR(__xludf.DUMMYFUNCTION("""COMPUTED_VALUE"""),"10KM MASTER M")</f>
        <v>10KM MASTER M</v>
      </c>
      <c r="E58" s="1">
        <f>IFERROR(__xludf.DUMMYFUNCTION("""COMPUTED_VALUE"""),1.0)</f>
        <v>1</v>
      </c>
      <c r="F58" s="1" t="str">
        <f>IFERROR(__xludf.DUMMYFUNCTION("""COMPUTED_VALUE"""),"Male")</f>
        <v>Male</v>
      </c>
      <c r="G58" s="4" t="b">
        <f>IFERROR(__xludf.DUMMYFUNCTION("""COMPUTED_VALUE"""),TRUE)</f>
        <v>1</v>
      </c>
      <c r="H58" s="4" t="b">
        <f>IFERROR(__xludf.DUMMYFUNCTION("""COMPUTED_VALUE"""),TRUE)</f>
        <v>1</v>
      </c>
      <c r="I58" s="4">
        <f>IFERROR(__xludf.DUMMYFUNCTION("""COMPUTED_VALUE"""),0.24646185185185185)</f>
        <v>0.2464618519</v>
      </c>
      <c r="J58" s="4">
        <f>IFERROR(__xludf.DUMMYFUNCTION("""COMPUTED_VALUE"""),45949.25932535006)</f>
        <v>45949.25933</v>
      </c>
      <c r="K58" s="4">
        <f>IFERROR(__xludf.DUMMYFUNCTION("""COMPUTED_VALUE"""),45949.297339407975)</f>
        <v>45949.29734</v>
      </c>
      <c r="L58" s="4">
        <f>IFERROR(__xludf.DUMMYFUNCTION("""COMPUTED_VALUE"""),45949.30784976687)</f>
        <v>45949.30785</v>
      </c>
      <c r="M58" s="1" t="str">
        <f>IFERROR(__xludf.DUMMYFUNCTION("""COMPUTED_VALUE"""),"RFID")</f>
        <v>RFID</v>
      </c>
      <c r="N58" s="5">
        <f>IFERROR(__xludf.DUMMYFUNCTION("""COMPUTED_VALUE"""),0.005145398148148148)</f>
        <v>0.005145398148</v>
      </c>
      <c r="O58" s="5">
        <f>IFERROR(__xludf.DUMMYFUNCTION("""COMPUTED_VALUE"""),0.015205625)</f>
        <v>0.015205625</v>
      </c>
      <c r="P58" s="5">
        <f>IFERROR(__xludf.DUMMYFUNCTION("""COMPUTED_VALUE"""),0.004325250573643126)</f>
        <v>0.004325250574</v>
      </c>
      <c r="Q58" s="5">
        <f>IFERROR(__xludf.DUMMYFUNCTION("""COMPUTED_VALUE"""),0.0061387916666666665)</f>
        <v>0.006138791667</v>
      </c>
      <c r="R58" s="4">
        <f>IFERROR(__xludf.DUMMYFUNCTION("""COMPUTED_VALUE"""),45949.06138791502)</f>
        <v>45949.06139</v>
      </c>
      <c r="S58" s="1" t="b">
        <f>IFERROR(__xludf.DUMMYFUNCTION("""COMPUTED_VALUE"""),TRUE)</f>
        <v>1</v>
      </c>
      <c r="T58" s="1" t="b">
        <f>IFERROR(__xludf.DUMMYFUNCTION("""COMPUTED_VALUE"""),FALSE)</f>
        <v>0</v>
      </c>
      <c r="U58" s="1" t="str">
        <f>IFERROR(__xludf.DUMMYFUNCTION("""COMPUTED_VALUE"""),"VALID")</f>
        <v>VALID</v>
      </c>
      <c r="V58" s="1">
        <f>IFERROR(__xludf.DUMMYFUNCTION("""COMPUTED_VALUE"""),62.0)</f>
        <v>62</v>
      </c>
      <c r="W58" s="1">
        <f>IFERROR(__xludf.DUMMYFUNCTION("""COMPUTED_VALUE"""),671.0)</f>
        <v>671</v>
      </c>
      <c r="X58" s="1">
        <f>IFERROR(__xludf.DUMMYFUNCTION("""COMPUTED_VALUE"""),1622.0)</f>
        <v>1622</v>
      </c>
      <c r="Y58" s="2"/>
      <c r="Z58" s="2"/>
    </row>
    <row r="59">
      <c r="A59" s="1">
        <f>IFERROR(__xludf.DUMMYFUNCTION("""COMPUTED_VALUE"""),58.0)</f>
        <v>58</v>
      </c>
      <c r="B59" s="1">
        <f>IFERROR(__xludf.DUMMYFUNCTION("""COMPUTED_VALUE"""),12050.0)</f>
        <v>12050</v>
      </c>
      <c r="C59" s="2" t="str">
        <f>IFERROR(__xludf.DUMMYFUNCTION("""COMPUTED_VALUE"""),"DWAN")</f>
        <v>DWAN</v>
      </c>
      <c r="D59" s="2" t="str">
        <f>IFERROR(__xludf.DUMMYFUNCTION("""COMPUTED_VALUE"""),"10KM MASTER M")</f>
        <v>10KM MASTER M</v>
      </c>
      <c r="E59" s="1">
        <f>IFERROR(__xludf.DUMMYFUNCTION("""COMPUTED_VALUE"""),1.0)</f>
        <v>1</v>
      </c>
      <c r="F59" s="1" t="str">
        <f>IFERROR(__xludf.DUMMYFUNCTION("""COMPUTED_VALUE"""),"Male")</f>
        <v>Male</v>
      </c>
      <c r="G59" s="4" t="str">
        <f>IFERROR(__xludf.DUMMYFUNCTION("""COMPUTED_VALUE"""),"")</f>
        <v/>
      </c>
      <c r="H59" s="4" t="b">
        <f>IFERROR(__xludf.DUMMYFUNCTION("""COMPUTED_VALUE"""),FALSE)</f>
        <v>0</v>
      </c>
      <c r="I59" s="4">
        <f>IFERROR(__xludf.DUMMYFUNCTION("""COMPUTED_VALUE"""),0.24646185185185185)</f>
        <v>0.2464618519</v>
      </c>
      <c r="J59" s="4" t="str">
        <f>IFERROR(__xludf.DUMMYFUNCTION("""COMPUTED_VALUE"""),"")</f>
        <v/>
      </c>
      <c r="K59" s="4" t="str">
        <f>IFERROR(__xludf.DUMMYFUNCTION("""COMPUTED_VALUE"""),"")</f>
        <v/>
      </c>
      <c r="L59" s="4" t="str">
        <f>IFERROR(__xludf.DUMMYFUNCTION("""COMPUTED_VALUE"""),"")</f>
        <v/>
      </c>
      <c r="M59" s="1" t="str">
        <f>IFERROR(__xludf.DUMMYFUNCTION("""COMPUTED_VALUE"""),"RFID")</f>
        <v>RFID</v>
      </c>
      <c r="N59" s="5" t="str">
        <f>IFERROR(__xludf.DUMMYFUNCTION("""COMPUTED_VALUE"""),"")</f>
        <v/>
      </c>
      <c r="O59" s="5" t="str">
        <f>IFERROR(__xludf.DUMMYFUNCTION("""COMPUTED_VALUE"""),"")</f>
        <v/>
      </c>
      <c r="P59" s="5" t="str">
        <f>IFERROR(__xludf.DUMMYFUNCTION("""COMPUTED_VALUE"""),"")</f>
        <v/>
      </c>
      <c r="Q59" s="5" t="str">
        <f>IFERROR(__xludf.DUMMYFUNCTION("""COMPUTED_VALUE"""),"")</f>
        <v/>
      </c>
      <c r="R59" s="4" t="str">
        <f>IFERROR(__xludf.DUMMYFUNCTION("""COMPUTED_VALUE"""),"")</f>
        <v/>
      </c>
      <c r="S59" s="1" t="b">
        <f>IFERROR(__xludf.DUMMYFUNCTION("""COMPUTED_VALUE"""),FALSE)</f>
        <v>0</v>
      </c>
      <c r="T59" s="1" t="b">
        <f>IFERROR(__xludf.DUMMYFUNCTION("""COMPUTED_VALUE"""),FALSE)</f>
        <v>0</v>
      </c>
      <c r="U59" s="1" t="str">
        <f>IFERROR(__xludf.DUMMYFUNCTION("""COMPUTED_VALUE"""),"DSQ")</f>
        <v>DSQ</v>
      </c>
      <c r="V59" s="1" t="str">
        <f>IFERROR(__xludf.DUMMYFUNCTION("""COMPUTED_VALUE"""),"DSQ")</f>
        <v>DSQ</v>
      </c>
      <c r="W59" s="1" t="str">
        <f>IFERROR(__xludf.DUMMYFUNCTION("""COMPUTED_VALUE"""),"DSQ")</f>
        <v>DSQ</v>
      </c>
      <c r="X59" s="1" t="str">
        <f>IFERROR(__xludf.DUMMYFUNCTION("""COMPUTED_VALUE"""),"DSQ")</f>
        <v>DSQ</v>
      </c>
      <c r="Y59" s="2"/>
      <c r="Z59" s="2" t="str">
        <f>IFERROR(__xludf.DUMMYFUNCTION("""COMPUTED_VALUE"""),"")</f>
        <v/>
      </c>
    </row>
    <row r="60">
      <c r="A60" s="1">
        <f>IFERROR(__xludf.DUMMYFUNCTION("""COMPUTED_VALUE"""),59.0)</f>
        <v>59</v>
      </c>
      <c r="B60" s="1">
        <f>IFERROR(__xludf.DUMMYFUNCTION("""COMPUTED_VALUE"""),12051.0)</f>
        <v>12051</v>
      </c>
      <c r="C60" s="2" t="str">
        <f>IFERROR(__xludf.DUMMYFUNCTION("""COMPUTED_VALUE"""),"rton")</f>
        <v>rton</v>
      </c>
      <c r="D60" s="2" t="str">
        <f>IFERROR(__xludf.DUMMYFUNCTION("""COMPUTED_VALUE"""),"10KM MASTER M")</f>
        <v>10KM MASTER M</v>
      </c>
      <c r="E60" s="1">
        <f>IFERROR(__xludf.DUMMYFUNCTION("""COMPUTED_VALUE"""),1.0)</f>
        <v>1</v>
      </c>
      <c r="F60" s="1" t="str">
        <f>IFERROR(__xludf.DUMMYFUNCTION("""COMPUTED_VALUE"""),"Male")</f>
        <v>Male</v>
      </c>
      <c r="G60" s="4" t="str">
        <f>IFERROR(__xludf.DUMMYFUNCTION("""COMPUTED_VALUE"""),"")</f>
        <v/>
      </c>
      <c r="H60" s="4" t="b">
        <f>IFERROR(__xludf.DUMMYFUNCTION("""COMPUTED_VALUE"""),FALSE)</f>
        <v>0</v>
      </c>
      <c r="I60" s="4">
        <f>IFERROR(__xludf.DUMMYFUNCTION("""COMPUTED_VALUE"""),0.24646185185185185)</f>
        <v>0.2464618519</v>
      </c>
      <c r="J60" s="4" t="str">
        <f>IFERROR(__xludf.DUMMYFUNCTION("""COMPUTED_VALUE"""),"")</f>
        <v/>
      </c>
      <c r="K60" s="4" t="str">
        <f>IFERROR(__xludf.DUMMYFUNCTION("""COMPUTED_VALUE"""),"")</f>
        <v/>
      </c>
      <c r="L60" s="4" t="str">
        <f>IFERROR(__xludf.DUMMYFUNCTION("""COMPUTED_VALUE"""),"")</f>
        <v/>
      </c>
      <c r="M60" s="1" t="str">
        <f>IFERROR(__xludf.DUMMYFUNCTION("""COMPUTED_VALUE"""),"RFID")</f>
        <v>RFID</v>
      </c>
      <c r="N60" s="5" t="str">
        <f>IFERROR(__xludf.DUMMYFUNCTION("""COMPUTED_VALUE"""),"")</f>
        <v/>
      </c>
      <c r="O60" s="5" t="str">
        <f>IFERROR(__xludf.DUMMYFUNCTION("""COMPUTED_VALUE"""),"")</f>
        <v/>
      </c>
      <c r="P60" s="5" t="str">
        <f>IFERROR(__xludf.DUMMYFUNCTION("""COMPUTED_VALUE"""),"")</f>
        <v/>
      </c>
      <c r="Q60" s="5" t="str">
        <f>IFERROR(__xludf.DUMMYFUNCTION("""COMPUTED_VALUE"""),"")</f>
        <v/>
      </c>
      <c r="R60" s="4" t="str">
        <f>IFERROR(__xludf.DUMMYFUNCTION("""COMPUTED_VALUE"""),"")</f>
        <v/>
      </c>
      <c r="S60" s="1" t="b">
        <f>IFERROR(__xludf.DUMMYFUNCTION("""COMPUTED_VALUE"""),FALSE)</f>
        <v>0</v>
      </c>
      <c r="T60" s="1" t="b">
        <f>IFERROR(__xludf.DUMMYFUNCTION("""COMPUTED_VALUE"""),FALSE)</f>
        <v>0</v>
      </c>
      <c r="U60" s="1" t="str">
        <f>IFERROR(__xludf.DUMMYFUNCTION("""COMPUTED_VALUE"""),"DSQ")</f>
        <v>DSQ</v>
      </c>
      <c r="V60" s="1" t="str">
        <f>IFERROR(__xludf.DUMMYFUNCTION("""COMPUTED_VALUE"""),"DSQ")</f>
        <v>DSQ</v>
      </c>
      <c r="W60" s="1" t="str">
        <f>IFERROR(__xludf.DUMMYFUNCTION("""COMPUTED_VALUE"""),"DSQ")</f>
        <v>DSQ</v>
      </c>
      <c r="X60" s="1" t="str">
        <f>IFERROR(__xludf.DUMMYFUNCTION("""COMPUTED_VALUE"""),"DSQ")</f>
        <v>DSQ</v>
      </c>
      <c r="Y60" s="2"/>
      <c r="Z60" s="2" t="str">
        <f>IFERROR(__xludf.DUMMYFUNCTION("""COMPUTED_VALUE"""),"")</f>
        <v/>
      </c>
    </row>
    <row r="61">
      <c r="A61" s="1">
        <f>IFERROR(__xludf.DUMMYFUNCTION("""COMPUTED_VALUE"""),60.0)</f>
        <v>60</v>
      </c>
      <c r="B61" s="1">
        <f>IFERROR(__xludf.DUMMYFUNCTION("""COMPUTED_VALUE"""),12052.0)</f>
        <v>12052</v>
      </c>
      <c r="C61" s="2" t="str">
        <f>IFERROR(__xludf.DUMMYFUNCTION("""COMPUTED_VALUE"""),"Tatahadi Prayitno")</f>
        <v>Tatahadi Prayitno</v>
      </c>
      <c r="D61" s="2" t="str">
        <f>IFERROR(__xludf.DUMMYFUNCTION("""COMPUTED_VALUE"""),"10KM MASTER M")</f>
        <v>10KM MASTER M</v>
      </c>
      <c r="E61" s="1">
        <f>IFERROR(__xludf.DUMMYFUNCTION("""COMPUTED_VALUE"""),1.0)</f>
        <v>1</v>
      </c>
      <c r="F61" s="1" t="str">
        <f>IFERROR(__xludf.DUMMYFUNCTION("""COMPUTED_VALUE"""),"Male")</f>
        <v>Male</v>
      </c>
      <c r="G61" s="4" t="str">
        <f>IFERROR(__xludf.DUMMYFUNCTION("""COMPUTED_VALUE"""),"")</f>
        <v/>
      </c>
      <c r="H61" s="4" t="b">
        <f>IFERROR(__xludf.DUMMYFUNCTION("""COMPUTED_VALUE"""),FALSE)</f>
        <v>0</v>
      </c>
      <c r="I61" s="4">
        <f>IFERROR(__xludf.DUMMYFUNCTION("""COMPUTED_VALUE"""),0.24646185185185185)</f>
        <v>0.2464618519</v>
      </c>
      <c r="J61" s="4">
        <f>IFERROR(__xludf.DUMMYFUNCTION("""COMPUTED_VALUE"""),45949.2524265227)</f>
        <v>45949.25243</v>
      </c>
      <c r="K61" s="4">
        <f>IFERROR(__xludf.DUMMYFUNCTION("""COMPUTED_VALUE"""),45949.26991019422)</f>
        <v>45949.26991</v>
      </c>
      <c r="L61" s="4">
        <f>IFERROR(__xludf.DUMMYFUNCTION("""COMPUTED_VALUE"""),45949.27518211597)</f>
        <v>45949.27518</v>
      </c>
      <c r="M61" s="1" t="str">
        <f>IFERROR(__xludf.DUMMYFUNCTION("""COMPUTED_VALUE"""),"RFID")</f>
        <v>RFID</v>
      </c>
      <c r="N61" s="5">
        <f>IFERROR(__xludf.DUMMYFUNCTION("""COMPUTED_VALUE"""),0.0023858703703703702)</f>
        <v>0.00238587037</v>
      </c>
      <c r="O61" s="5">
        <f>IFERROR(__xludf.DUMMYFUNCTION("""COMPUTED_VALUE"""),0.006993467592592592)</f>
        <v>0.006993467593</v>
      </c>
      <c r="P61" s="5">
        <f>IFERROR(__xludf.DUMMYFUNCTION("""COMPUTED_VALUE"""),0.0021695151231385795)</f>
        <v>0.002169515123</v>
      </c>
      <c r="Q61" s="5">
        <f>IFERROR(__xludf.DUMMYFUNCTION("""COMPUTED_VALUE"""),0.0028720266203703703)</f>
        <v>0.00287202662</v>
      </c>
      <c r="R61" s="4">
        <f>IFERROR(__xludf.DUMMYFUNCTION("""COMPUTED_VALUE"""),45949.02872026412)</f>
        <v>45949.02872</v>
      </c>
      <c r="S61" s="1" t="b">
        <f>IFERROR(__xludf.DUMMYFUNCTION("""COMPUTED_VALUE"""),TRUE)</f>
        <v>1</v>
      </c>
      <c r="T61" s="1" t="b">
        <f>IFERROR(__xludf.DUMMYFUNCTION("""COMPUTED_VALUE"""),FALSE)</f>
        <v>0</v>
      </c>
      <c r="U61" s="1" t="str">
        <f>IFERROR(__xludf.DUMMYFUNCTION("""COMPUTED_VALUE"""),"VALID")</f>
        <v>VALID</v>
      </c>
      <c r="V61" s="1">
        <f>IFERROR(__xludf.DUMMYFUNCTION("""COMPUTED_VALUE"""),2.0)</f>
        <v>2</v>
      </c>
      <c r="W61" s="1">
        <f>IFERROR(__xludf.DUMMYFUNCTION("""COMPUTED_VALUE"""),7.0)</f>
        <v>7</v>
      </c>
      <c r="X61" s="1">
        <f>IFERROR(__xludf.DUMMYFUNCTION("""COMPUTED_VALUE"""),409.0)</f>
        <v>409</v>
      </c>
      <c r="Y61" s="2"/>
      <c r="Z61" s="2"/>
    </row>
    <row r="62">
      <c r="A62" s="1">
        <f>IFERROR(__xludf.DUMMYFUNCTION("""COMPUTED_VALUE"""),61.0)</f>
        <v>61</v>
      </c>
      <c r="B62" s="1">
        <f>IFERROR(__xludf.DUMMYFUNCTION("""COMPUTED_VALUE"""),12053.0)</f>
        <v>12053</v>
      </c>
      <c r="C62" s="2" t="str">
        <f>IFERROR(__xludf.DUMMYFUNCTION("""COMPUTED_VALUE"""),"aliem")</f>
        <v>aliem</v>
      </c>
      <c r="D62" s="2" t="str">
        <f>IFERROR(__xludf.DUMMYFUNCTION("""COMPUTED_VALUE"""),"10KM MASTER M")</f>
        <v>10KM MASTER M</v>
      </c>
      <c r="E62" s="1">
        <f>IFERROR(__xludf.DUMMYFUNCTION("""COMPUTED_VALUE"""),1.0)</f>
        <v>1</v>
      </c>
      <c r="F62" s="1" t="str">
        <f>IFERROR(__xludf.DUMMYFUNCTION("""COMPUTED_VALUE"""),"Male")</f>
        <v>Male</v>
      </c>
      <c r="G62" s="4" t="b">
        <f>IFERROR(__xludf.DUMMYFUNCTION("""COMPUTED_VALUE"""),TRUE)</f>
        <v>1</v>
      </c>
      <c r="H62" s="4" t="b">
        <f>IFERROR(__xludf.DUMMYFUNCTION("""COMPUTED_VALUE"""),FALSE)</f>
        <v>0</v>
      </c>
      <c r="I62" s="4">
        <f>IFERROR(__xludf.DUMMYFUNCTION("""COMPUTED_VALUE"""),0.24646185185185185)</f>
        <v>0.2464618519</v>
      </c>
      <c r="J62" s="4">
        <f>IFERROR(__xludf.DUMMYFUNCTION("""COMPUTED_VALUE"""),45949.261321835314)</f>
        <v>45949.26132</v>
      </c>
      <c r="K62" s="4">
        <f>IFERROR(__xludf.DUMMYFUNCTION("""COMPUTED_VALUE"""),45949.29162760357)</f>
        <v>45949.29163</v>
      </c>
      <c r="L62" s="4">
        <f>IFERROR(__xludf.DUMMYFUNCTION("""COMPUTED_VALUE"""),45949.30073067365)</f>
        <v>45949.30073</v>
      </c>
      <c r="M62" s="1" t="str">
        <f>IFERROR(__xludf.DUMMYFUNCTION("""COMPUTED_VALUE"""),"RFID")</f>
        <v>RFID</v>
      </c>
      <c r="N62" s="5">
        <f>IFERROR(__xludf.DUMMYFUNCTION("""COMPUTED_VALUE"""),0.00594399537037037)</f>
        <v>0.00594399537</v>
      </c>
      <c r="O62" s="5">
        <f>IFERROR(__xludf.DUMMYFUNCTION("""COMPUTED_VALUE"""),0.012122305555555556)</f>
        <v>0.01212230556</v>
      </c>
      <c r="P62" s="5">
        <f>IFERROR(__xludf.DUMMYFUNCTION("""COMPUTED_VALUE"""),0.003746119373954196)</f>
        <v>0.003746119374</v>
      </c>
      <c r="Q62" s="5">
        <f>IFERROR(__xludf.DUMMYFUNCTION("""COMPUTED_VALUE"""),0.005426881944444444)</f>
        <v>0.005426881944</v>
      </c>
      <c r="R62" s="4">
        <f>IFERROR(__xludf.DUMMYFUNCTION("""COMPUTED_VALUE"""),45949.0542688218)</f>
        <v>45949.05427</v>
      </c>
      <c r="S62" s="1" t="b">
        <f>IFERROR(__xludf.DUMMYFUNCTION("""COMPUTED_VALUE"""),TRUE)</f>
        <v>1</v>
      </c>
      <c r="T62" s="1" t="b">
        <f>IFERROR(__xludf.DUMMYFUNCTION("""COMPUTED_VALUE"""),FALSE)</f>
        <v>0</v>
      </c>
      <c r="U62" s="1" t="str">
        <f>IFERROR(__xludf.DUMMYFUNCTION("""COMPUTED_VALUE"""),"VALID")</f>
        <v>VALID</v>
      </c>
      <c r="V62" s="1">
        <f>IFERROR(__xludf.DUMMYFUNCTION("""COMPUTED_VALUE"""),49.0)</f>
        <v>49</v>
      </c>
      <c r="W62" s="1">
        <f>IFERROR(__xludf.DUMMYFUNCTION("""COMPUTED_VALUE"""),521.0)</f>
        <v>521</v>
      </c>
      <c r="X62" s="1">
        <f>IFERROR(__xludf.DUMMYFUNCTION("""COMPUTED_VALUE"""),1499.0)</f>
        <v>1499</v>
      </c>
      <c r="Y62" s="2"/>
      <c r="Z62" s="2"/>
    </row>
    <row r="63">
      <c r="A63" s="1">
        <f>IFERROR(__xludf.DUMMYFUNCTION("""COMPUTED_VALUE"""),62.0)</f>
        <v>62</v>
      </c>
      <c r="B63" s="1">
        <f>IFERROR(__xludf.DUMMYFUNCTION("""COMPUTED_VALUE"""),12054.0)</f>
        <v>12054</v>
      </c>
      <c r="C63" s="2" t="str">
        <f>IFERROR(__xludf.DUMMYFUNCTION("""COMPUTED_VALUE"""),"Nugraha")</f>
        <v>Nugraha</v>
      </c>
      <c r="D63" s="2" t="str">
        <f>IFERROR(__xludf.DUMMYFUNCTION("""COMPUTED_VALUE"""),"10KM MASTER M")</f>
        <v>10KM MASTER M</v>
      </c>
      <c r="E63" s="1">
        <f>IFERROR(__xludf.DUMMYFUNCTION("""COMPUTED_VALUE"""),1.0)</f>
        <v>1</v>
      </c>
      <c r="F63" s="1" t="str">
        <f>IFERROR(__xludf.DUMMYFUNCTION("""COMPUTED_VALUE"""),"Male")</f>
        <v>Male</v>
      </c>
      <c r="G63" s="4" t="b">
        <f>IFERROR(__xludf.DUMMYFUNCTION("""COMPUTED_VALUE"""),TRUE)</f>
        <v>1</v>
      </c>
      <c r="H63" s="4" t="b">
        <f>IFERROR(__xludf.DUMMYFUNCTION("""COMPUTED_VALUE"""),FALSE)</f>
        <v>0</v>
      </c>
      <c r="I63" s="4">
        <f>IFERROR(__xludf.DUMMYFUNCTION("""COMPUTED_VALUE"""),0.24646185185185185)</f>
        <v>0.2464618519</v>
      </c>
      <c r="J63" s="4">
        <f>IFERROR(__xludf.DUMMYFUNCTION("""COMPUTED_VALUE"""),45949.26099544991)</f>
        <v>45949.261</v>
      </c>
      <c r="K63" s="4">
        <f>IFERROR(__xludf.DUMMYFUNCTION("""COMPUTED_VALUE"""),45949.29259009744)</f>
        <v>45949.29259</v>
      </c>
      <c r="L63" s="4">
        <f>IFERROR(__xludf.DUMMYFUNCTION("""COMPUTED_VALUE"""),45949.30114039433)</f>
        <v>45949.30114</v>
      </c>
      <c r="M63" s="1" t="str">
        <f>IFERROR(__xludf.DUMMYFUNCTION("""COMPUTED_VALUE"""),"RFID")</f>
        <v>RFID</v>
      </c>
      <c r="N63" s="5">
        <f>IFERROR(__xludf.DUMMYFUNCTION("""COMPUTED_VALUE"""),0.005813439814814815)</f>
        <v>0.005813439815</v>
      </c>
      <c r="O63" s="5">
        <f>IFERROR(__xludf.DUMMYFUNCTION("""COMPUTED_VALUE"""),0.01263786111111111)</f>
        <v>0.01263786111</v>
      </c>
      <c r="P63" s="5">
        <f>IFERROR(__xludf.DUMMYFUNCTION("""COMPUTED_VALUE"""),0.0035186406971605055)</f>
        <v>0.003518640697</v>
      </c>
      <c r="Q63" s="5">
        <f>IFERROR(__xludf.DUMMYFUNCTION("""COMPUTED_VALUE"""),0.005467854166666666)</f>
        <v>0.005467854167</v>
      </c>
      <c r="R63" s="4">
        <f>IFERROR(__xludf.DUMMYFUNCTION("""COMPUTED_VALUE"""),45949.05467854248)</f>
        <v>45949.05468</v>
      </c>
      <c r="S63" s="1" t="b">
        <f>IFERROR(__xludf.DUMMYFUNCTION("""COMPUTED_VALUE"""),TRUE)</f>
        <v>1</v>
      </c>
      <c r="T63" s="1" t="b">
        <f>IFERROR(__xludf.DUMMYFUNCTION("""COMPUTED_VALUE"""),FALSE)</f>
        <v>0</v>
      </c>
      <c r="U63" s="1" t="str">
        <f>IFERROR(__xludf.DUMMYFUNCTION("""COMPUTED_VALUE"""),"VALID")</f>
        <v>VALID</v>
      </c>
      <c r="V63" s="1">
        <f>IFERROR(__xludf.DUMMYFUNCTION("""COMPUTED_VALUE"""),51.0)</f>
        <v>51</v>
      </c>
      <c r="W63" s="1">
        <f>IFERROR(__xludf.DUMMYFUNCTION("""COMPUTED_VALUE"""),543.0)</f>
        <v>543</v>
      </c>
      <c r="X63" s="1">
        <f>IFERROR(__xludf.DUMMYFUNCTION("""COMPUTED_VALUE"""),1517.0)</f>
        <v>1517</v>
      </c>
      <c r="Y63" s="2"/>
      <c r="Z63" s="2"/>
    </row>
    <row r="64">
      <c r="A64" s="1">
        <f>IFERROR(__xludf.DUMMYFUNCTION("""COMPUTED_VALUE"""),63.0)</f>
        <v>63</v>
      </c>
      <c r="B64" s="1">
        <f>IFERROR(__xludf.DUMMYFUNCTION("""COMPUTED_VALUE"""),12055.0)</f>
        <v>12055</v>
      </c>
      <c r="C64" s="2" t="str">
        <f>IFERROR(__xludf.DUMMYFUNCTION("""COMPUTED_VALUE"""),"AWI")</f>
        <v>AWI</v>
      </c>
      <c r="D64" s="2" t="str">
        <f>IFERROR(__xludf.DUMMYFUNCTION("""COMPUTED_VALUE"""),"10KM MASTER M")</f>
        <v>10KM MASTER M</v>
      </c>
      <c r="E64" s="1">
        <f>IFERROR(__xludf.DUMMYFUNCTION("""COMPUTED_VALUE"""),1.0)</f>
        <v>1</v>
      </c>
      <c r="F64" s="1" t="str">
        <f>IFERROR(__xludf.DUMMYFUNCTION("""COMPUTED_VALUE"""),"Male")</f>
        <v>Male</v>
      </c>
      <c r="G64" s="4" t="b">
        <f>IFERROR(__xludf.DUMMYFUNCTION("""COMPUTED_VALUE"""),TRUE)</f>
        <v>1</v>
      </c>
      <c r="H64" s="4" t="b">
        <f>IFERROR(__xludf.DUMMYFUNCTION("""COMPUTED_VALUE"""),TRUE)</f>
        <v>1</v>
      </c>
      <c r="I64" s="4">
        <f>IFERROR(__xludf.DUMMYFUNCTION("""COMPUTED_VALUE"""),0.24646185185185185)</f>
        <v>0.2464618519</v>
      </c>
      <c r="J64" s="4">
        <f>IFERROR(__xludf.DUMMYFUNCTION("""COMPUTED_VALUE"""),45949.25722118332)</f>
        <v>45949.25722</v>
      </c>
      <c r="K64" s="4">
        <f>IFERROR(__xludf.DUMMYFUNCTION("""COMPUTED_VALUE"""),45949.284002415094)</f>
        <v>45949.284</v>
      </c>
      <c r="L64" s="4">
        <f>IFERROR(__xludf.DUMMYFUNCTION("""COMPUTED_VALUE"""),45949.29186268121)</f>
        <v>45949.29186</v>
      </c>
      <c r="M64" s="1" t="str">
        <f>IFERROR(__xludf.DUMMYFUNCTION("""COMPUTED_VALUE"""),"RFID")</f>
        <v>RFID</v>
      </c>
      <c r="N64" s="5">
        <f>IFERROR(__xludf.DUMMYFUNCTION("""COMPUTED_VALUE"""),0.004303731481481481)</f>
        <v>0.004303731481</v>
      </c>
      <c r="O64" s="5">
        <f>IFERROR(__xludf.DUMMYFUNCTION("""COMPUTED_VALUE"""),0.010712490740740741)</f>
        <v>0.01071249074</v>
      </c>
      <c r="P64" s="5">
        <f>IFERROR(__xludf.DUMMYFUNCTION("""COMPUTED_VALUE"""),0.003234677414008351)</f>
        <v>0.003234677414</v>
      </c>
      <c r="Q64" s="5">
        <f>IFERROR(__xludf.DUMMYFUNCTION("""COMPUTED_VALUE"""),0.0045400833333333335)</f>
        <v>0.004540083333</v>
      </c>
      <c r="R64" s="4">
        <f>IFERROR(__xludf.DUMMYFUNCTION("""COMPUTED_VALUE"""),45949.04540082936)</f>
        <v>45949.0454</v>
      </c>
      <c r="S64" s="1" t="b">
        <f>IFERROR(__xludf.DUMMYFUNCTION("""COMPUTED_VALUE"""),TRUE)</f>
        <v>1</v>
      </c>
      <c r="T64" s="1" t="b">
        <f>IFERROR(__xludf.DUMMYFUNCTION("""COMPUTED_VALUE"""),FALSE)</f>
        <v>0</v>
      </c>
      <c r="U64" s="1" t="str">
        <f>IFERROR(__xludf.DUMMYFUNCTION("""COMPUTED_VALUE"""),"VALID")</f>
        <v>VALID</v>
      </c>
      <c r="V64" s="1">
        <f>IFERROR(__xludf.DUMMYFUNCTION("""COMPUTED_VALUE"""),29.0)</f>
        <v>29</v>
      </c>
      <c r="W64" s="1">
        <f>IFERROR(__xludf.DUMMYFUNCTION("""COMPUTED_VALUE"""),273.0)</f>
        <v>273</v>
      </c>
      <c r="X64" s="1">
        <f>IFERROR(__xludf.DUMMYFUNCTION("""COMPUTED_VALUE"""),1214.0)</f>
        <v>1214</v>
      </c>
      <c r="Y64" s="2"/>
      <c r="Z64" s="2"/>
    </row>
    <row r="65">
      <c r="A65" s="1">
        <f>IFERROR(__xludf.DUMMYFUNCTION("""COMPUTED_VALUE"""),64.0)</f>
        <v>64</v>
      </c>
      <c r="B65" s="1">
        <f>IFERROR(__xludf.DUMMYFUNCTION("""COMPUTED_VALUE"""),12056.0)</f>
        <v>12056</v>
      </c>
      <c r="C65" s="2" t="str">
        <f>IFERROR(__xludf.DUMMYFUNCTION("""COMPUTED_VALUE"""),"Bakuh")</f>
        <v>Bakuh</v>
      </c>
      <c r="D65" s="2" t="str">
        <f>IFERROR(__xludf.DUMMYFUNCTION("""COMPUTED_VALUE"""),"10KM MASTER M")</f>
        <v>10KM MASTER M</v>
      </c>
      <c r="E65" s="1">
        <f>IFERROR(__xludf.DUMMYFUNCTION("""COMPUTED_VALUE"""),1.0)</f>
        <v>1</v>
      </c>
      <c r="F65" s="1" t="str">
        <f>IFERROR(__xludf.DUMMYFUNCTION("""COMPUTED_VALUE"""),"Male")</f>
        <v>Male</v>
      </c>
      <c r="G65" s="4" t="str">
        <f>IFERROR(__xludf.DUMMYFUNCTION("""COMPUTED_VALUE"""),"")</f>
        <v/>
      </c>
      <c r="H65" s="4" t="b">
        <f>IFERROR(__xludf.DUMMYFUNCTION("""COMPUTED_VALUE"""),TRUE)</f>
        <v>1</v>
      </c>
      <c r="I65" s="4">
        <f>IFERROR(__xludf.DUMMYFUNCTION("""COMPUTED_VALUE"""),0.24646185185185185)</f>
        <v>0.2464618519</v>
      </c>
      <c r="J65" s="4">
        <f>IFERROR(__xludf.DUMMYFUNCTION("""COMPUTED_VALUE"""),45949.25639128955)</f>
        <v>45949.25639</v>
      </c>
      <c r="K65" s="4">
        <f>IFERROR(__xludf.DUMMYFUNCTION("""COMPUTED_VALUE"""),45949.28134964396)</f>
        <v>45949.28135</v>
      </c>
      <c r="L65" s="4">
        <f>IFERROR(__xludf.DUMMYFUNCTION("""COMPUTED_VALUE"""),45949.28876892503)</f>
        <v>45949.28877</v>
      </c>
      <c r="M65" s="1" t="str">
        <f>IFERROR(__xludf.DUMMYFUNCTION("""COMPUTED_VALUE"""),"RFID")</f>
        <v>RFID</v>
      </c>
      <c r="N65" s="5">
        <f>IFERROR(__xludf.DUMMYFUNCTION("""COMPUTED_VALUE"""),0.003971773148148149)</f>
        <v>0.003971773148</v>
      </c>
      <c r="O65" s="5">
        <f>IFERROR(__xludf.DUMMYFUNCTION("""COMPUTED_VALUE"""),0.009983342592592592)</f>
        <v>0.009983342593</v>
      </c>
      <c r="P65" s="5">
        <f>IFERROR(__xludf.DUMMYFUNCTION("""COMPUTED_VALUE"""),0.0030532020840979726)</f>
        <v>0.003053202084</v>
      </c>
      <c r="Q65" s="5">
        <f>IFERROR(__xludf.DUMMYFUNCTION("""COMPUTED_VALUE"""),0.004230707175925926)</f>
        <v>0.004230707176</v>
      </c>
      <c r="R65" s="4">
        <f>IFERROR(__xludf.DUMMYFUNCTION("""COMPUTED_VALUE"""),45949.04230707318)</f>
        <v>45949.04231</v>
      </c>
      <c r="S65" s="1" t="b">
        <f>IFERROR(__xludf.DUMMYFUNCTION("""COMPUTED_VALUE"""),TRUE)</f>
        <v>1</v>
      </c>
      <c r="T65" s="1" t="b">
        <f>IFERROR(__xludf.DUMMYFUNCTION("""COMPUTED_VALUE"""),FALSE)</f>
        <v>0</v>
      </c>
      <c r="U65" s="1" t="str">
        <f>IFERROR(__xludf.DUMMYFUNCTION("""COMPUTED_VALUE"""),"VALID")</f>
        <v>VALID</v>
      </c>
      <c r="V65" s="1">
        <f>IFERROR(__xludf.DUMMYFUNCTION("""COMPUTED_VALUE"""),17.0)</f>
        <v>17</v>
      </c>
      <c r="W65" s="1">
        <f>IFERROR(__xludf.DUMMYFUNCTION("""COMPUTED_VALUE"""),177.0)</f>
        <v>177</v>
      </c>
      <c r="X65" s="1">
        <f>IFERROR(__xludf.DUMMYFUNCTION("""COMPUTED_VALUE"""),1077.0)</f>
        <v>1077</v>
      </c>
      <c r="Y65" s="2"/>
      <c r="Z65" s="2"/>
    </row>
    <row r="66">
      <c r="A66" s="1">
        <f>IFERROR(__xludf.DUMMYFUNCTION("""COMPUTED_VALUE"""),65.0)</f>
        <v>65</v>
      </c>
      <c r="B66" s="1">
        <f>IFERROR(__xludf.DUMMYFUNCTION("""COMPUTED_VALUE"""),12057.0)</f>
        <v>12057</v>
      </c>
      <c r="C66" s="2" t="str">
        <f>IFERROR(__xludf.DUMMYFUNCTION("""COMPUTED_VALUE"""),"Kholiq")</f>
        <v>Kholiq</v>
      </c>
      <c r="D66" s="2" t="str">
        <f>IFERROR(__xludf.DUMMYFUNCTION("""COMPUTED_VALUE"""),"10KM MASTER M")</f>
        <v>10KM MASTER M</v>
      </c>
      <c r="E66" s="1">
        <f>IFERROR(__xludf.DUMMYFUNCTION("""COMPUTED_VALUE"""),1.0)</f>
        <v>1</v>
      </c>
      <c r="F66" s="1" t="str">
        <f>IFERROR(__xludf.DUMMYFUNCTION("""COMPUTED_VALUE"""),"Male")</f>
        <v>Male</v>
      </c>
      <c r="G66" s="4" t="str">
        <f>IFERROR(__xludf.DUMMYFUNCTION("""COMPUTED_VALUE"""),"")</f>
        <v/>
      </c>
      <c r="H66" s="4" t="b">
        <f>IFERROR(__xludf.DUMMYFUNCTION("""COMPUTED_VALUE"""),FALSE)</f>
        <v>0</v>
      </c>
      <c r="I66" s="4">
        <f>IFERROR(__xludf.DUMMYFUNCTION("""COMPUTED_VALUE"""),0.24646185185185185)</f>
        <v>0.2464618519</v>
      </c>
      <c r="J66" s="4">
        <f>IFERROR(__xludf.DUMMYFUNCTION("""COMPUTED_VALUE"""),45949.256512849555)</f>
        <v>45949.25651</v>
      </c>
      <c r="K66" s="4">
        <f>IFERROR(__xludf.DUMMYFUNCTION("""COMPUTED_VALUE"""),45949.28911699792)</f>
        <v>45949.28912</v>
      </c>
      <c r="L66" s="4">
        <f>IFERROR(__xludf.DUMMYFUNCTION("""COMPUTED_VALUE"""),45949.29850156482)</f>
        <v>45949.2985</v>
      </c>
      <c r="M66" s="1" t="str">
        <f>IFERROR(__xludf.DUMMYFUNCTION("""COMPUTED_VALUE"""),"RFID")</f>
        <v>RFID</v>
      </c>
      <c r="N66" s="5">
        <f>IFERROR(__xludf.DUMMYFUNCTION("""COMPUTED_VALUE"""),0.004020398148148148)</f>
        <v>0.004020398148</v>
      </c>
      <c r="O66" s="5">
        <f>IFERROR(__xludf.DUMMYFUNCTION("""COMPUTED_VALUE"""),0.013041657407407408)</f>
        <v>0.01304165741</v>
      </c>
      <c r="P66" s="5">
        <f>IFERROR(__xludf.DUMMYFUNCTION("""COMPUTED_VALUE"""),0.0038619616886681335)</f>
        <v>0.003861961689</v>
      </c>
      <c r="Q66" s="5">
        <f>IFERROR(__xludf.DUMMYFUNCTION("""COMPUTED_VALUE"""),0.005203971064814814)</f>
        <v>0.005203971065</v>
      </c>
      <c r="R66" s="4">
        <f>IFERROR(__xludf.DUMMYFUNCTION("""COMPUTED_VALUE"""),45949.05203971297)</f>
        <v>45949.05204</v>
      </c>
      <c r="S66" s="1" t="b">
        <f>IFERROR(__xludf.DUMMYFUNCTION("""COMPUTED_VALUE"""),TRUE)</f>
        <v>1</v>
      </c>
      <c r="T66" s="1" t="b">
        <f>IFERROR(__xludf.DUMMYFUNCTION("""COMPUTED_VALUE"""),FALSE)</f>
        <v>0</v>
      </c>
      <c r="U66" s="1" t="str">
        <f>IFERROR(__xludf.DUMMYFUNCTION("""COMPUTED_VALUE"""),"VALID")</f>
        <v>VALID</v>
      </c>
      <c r="V66" s="1">
        <f>IFERROR(__xludf.DUMMYFUNCTION("""COMPUTED_VALUE"""),42.0)</f>
        <v>42</v>
      </c>
      <c r="W66" s="1">
        <f>IFERROR(__xludf.DUMMYFUNCTION("""COMPUTED_VALUE"""),457.0)</f>
        <v>457</v>
      </c>
      <c r="X66" s="1">
        <f>IFERROR(__xludf.DUMMYFUNCTION("""COMPUTED_VALUE"""),1435.0)</f>
        <v>1435</v>
      </c>
      <c r="Y66" s="2"/>
      <c r="Z66" s="2"/>
    </row>
    <row r="67">
      <c r="A67" s="1">
        <f>IFERROR(__xludf.DUMMYFUNCTION("""COMPUTED_VALUE"""),66.0)</f>
        <v>66</v>
      </c>
      <c r="B67" s="1">
        <f>IFERROR(__xludf.DUMMYFUNCTION("""COMPUTED_VALUE"""),12059.0)</f>
        <v>12059</v>
      </c>
      <c r="C67" s="2" t="str">
        <f>IFERROR(__xludf.DUMMYFUNCTION("""COMPUTED_VALUE"""),"joko yulistiono")</f>
        <v>joko yulistiono</v>
      </c>
      <c r="D67" s="2" t="str">
        <f>IFERROR(__xludf.DUMMYFUNCTION("""COMPUTED_VALUE"""),"10KM MASTER M")</f>
        <v>10KM MASTER M</v>
      </c>
      <c r="E67" s="1">
        <f>IFERROR(__xludf.DUMMYFUNCTION("""COMPUTED_VALUE"""),1.0)</f>
        <v>1</v>
      </c>
      <c r="F67" s="1" t="str">
        <f>IFERROR(__xludf.DUMMYFUNCTION("""COMPUTED_VALUE"""),"Male")</f>
        <v>Male</v>
      </c>
      <c r="G67" s="4" t="b">
        <f>IFERROR(__xludf.DUMMYFUNCTION("""COMPUTED_VALUE"""),TRUE)</f>
        <v>1</v>
      </c>
      <c r="H67" s="4" t="b">
        <f>IFERROR(__xludf.DUMMYFUNCTION("""COMPUTED_VALUE"""),FALSE)</f>
        <v>0</v>
      </c>
      <c r="I67" s="4">
        <f>IFERROR(__xludf.DUMMYFUNCTION("""COMPUTED_VALUE"""),0.24646185185185185)</f>
        <v>0.2464618519</v>
      </c>
      <c r="J67" s="4">
        <f>IFERROR(__xludf.DUMMYFUNCTION("""COMPUTED_VALUE"""),45949.255373960834)</f>
        <v>45949.25537</v>
      </c>
      <c r="K67" s="4">
        <f>IFERROR(__xludf.DUMMYFUNCTION("""COMPUTED_VALUE"""),45949.31983796296)</f>
        <v>45949.31984</v>
      </c>
      <c r="L67" s="4">
        <f>IFERROR(__xludf.DUMMYFUNCTION("""COMPUTED_VALUE"""),45949.284845312905)</f>
        <v>45949.28485</v>
      </c>
      <c r="M67" s="1" t="str">
        <f>IFERROR(__xludf.DUMMYFUNCTION("""COMPUTED_VALUE"""),"RFID")</f>
        <v>RFID</v>
      </c>
      <c r="N67" s="5">
        <f>IFERROR(__xludf.DUMMYFUNCTION("""COMPUTED_VALUE"""),0.0035648425925925925)</f>
        <v>0.003564842593</v>
      </c>
      <c r="O67" s="5">
        <f>IFERROR(__xludf.DUMMYFUNCTION("""COMPUTED_VALUE"""),0.02578560185185185)</f>
        <v>0.02578560185</v>
      </c>
      <c r="P67" s="5">
        <f>IFERROR(__xludf.DUMMYFUNCTION("""COMPUTED_VALUE"""),-0.014400267513030985)</f>
        <v>-0.01440026751</v>
      </c>
      <c r="Q67" s="5">
        <f>IFERROR(__xludf.DUMMYFUNCTION("""COMPUTED_VALUE"""),0.003838346064814815)</f>
        <v>0.003838346065</v>
      </c>
      <c r="R67" s="4">
        <f>IFERROR(__xludf.DUMMYFUNCTION("""COMPUTED_VALUE"""),45949.038383461055)</f>
        <v>45949.03838</v>
      </c>
      <c r="S67" s="1" t="b">
        <f>IFERROR(__xludf.DUMMYFUNCTION("""COMPUTED_VALUE"""),TRUE)</f>
        <v>1</v>
      </c>
      <c r="T67" s="1" t="b">
        <f>IFERROR(__xludf.DUMMYFUNCTION("""COMPUTED_VALUE"""),FALSE)</f>
        <v>0</v>
      </c>
      <c r="U67" s="1" t="str">
        <f>IFERROR(__xludf.DUMMYFUNCTION("""COMPUTED_VALUE"""),"VALID")</f>
        <v>VALID</v>
      </c>
      <c r="V67" s="1">
        <f>IFERROR(__xludf.DUMMYFUNCTION("""COMPUTED_VALUE"""),10.0)</f>
        <v>10</v>
      </c>
      <c r="W67" s="1">
        <f>IFERROR(__xludf.DUMMYFUNCTION("""COMPUTED_VALUE"""),90.0)</f>
        <v>90</v>
      </c>
      <c r="X67" s="1">
        <f>IFERROR(__xludf.DUMMYFUNCTION("""COMPUTED_VALUE"""),893.0)</f>
        <v>893</v>
      </c>
      <c r="Y67" s="2"/>
      <c r="Z67" s="2"/>
    </row>
    <row r="68">
      <c r="A68" s="1">
        <f>IFERROR(__xludf.DUMMYFUNCTION("""COMPUTED_VALUE"""),67.0)</f>
        <v>67</v>
      </c>
      <c r="B68" s="1">
        <f>IFERROR(__xludf.DUMMYFUNCTION("""COMPUTED_VALUE"""),12061.0)</f>
        <v>12061</v>
      </c>
      <c r="C68" s="2" t="str">
        <f>IFERROR(__xludf.DUMMYFUNCTION("""COMPUTED_VALUE"""),"SYAHRANI TALA")</f>
        <v>SYAHRANI TALA</v>
      </c>
      <c r="D68" s="2" t="str">
        <f>IFERROR(__xludf.DUMMYFUNCTION("""COMPUTED_VALUE"""),"10KM MASTER M")</f>
        <v>10KM MASTER M</v>
      </c>
      <c r="E68" s="1">
        <f>IFERROR(__xludf.DUMMYFUNCTION("""COMPUTED_VALUE"""),1.0)</f>
        <v>1</v>
      </c>
      <c r="F68" s="1" t="str">
        <f>IFERROR(__xludf.DUMMYFUNCTION("""COMPUTED_VALUE"""),"Male")</f>
        <v>Male</v>
      </c>
      <c r="G68" s="4" t="b">
        <f>IFERROR(__xludf.DUMMYFUNCTION("""COMPUTED_VALUE"""),TRUE)</f>
        <v>1</v>
      </c>
      <c r="H68" s="4" t="b">
        <f>IFERROR(__xludf.DUMMYFUNCTION("""COMPUTED_VALUE"""),TRUE)</f>
        <v>1</v>
      </c>
      <c r="I68" s="4">
        <f>IFERROR(__xludf.DUMMYFUNCTION("""COMPUTED_VALUE"""),0.24646185185185185)</f>
        <v>0.2464618519</v>
      </c>
      <c r="J68" s="4">
        <f>IFERROR(__xludf.DUMMYFUNCTION("""COMPUTED_VALUE"""),45949.25968987895)</f>
        <v>45949.25969</v>
      </c>
      <c r="K68" s="4">
        <f>IFERROR(__xludf.DUMMYFUNCTION("""COMPUTED_VALUE"""),45949.29093323409)</f>
        <v>45949.29093</v>
      </c>
      <c r="L68" s="4">
        <f>IFERROR(__xludf.DUMMYFUNCTION("""COMPUTED_VALUE"""),45949.29993206704)</f>
        <v>45949.29993</v>
      </c>
      <c r="M68" s="1" t="str">
        <f>IFERROR(__xludf.DUMMYFUNCTION("""COMPUTED_VALUE"""),"RFID")</f>
        <v>RFID</v>
      </c>
      <c r="N68" s="5">
        <f>IFERROR(__xludf.DUMMYFUNCTION("""COMPUTED_VALUE"""),0.005291212962962963)</f>
        <v>0.005291212963</v>
      </c>
      <c r="O68" s="5">
        <f>IFERROR(__xludf.DUMMYFUNCTION("""COMPUTED_VALUE"""),0.012497342592592591)</f>
        <v>0.01249734259</v>
      </c>
      <c r="P68" s="5">
        <f>IFERROR(__xludf.DUMMYFUNCTION("""COMPUTED_VALUE"""),0.003703223435862618)</f>
        <v>0.003703223436</v>
      </c>
      <c r="Q68" s="5">
        <f>IFERROR(__xludf.DUMMYFUNCTION("""COMPUTED_VALUE"""),0.005347021990740742)</f>
        <v>0.005347021991</v>
      </c>
      <c r="R68" s="4">
        <f>IFERROR(__xludf.DUMMYFUNCTION("""COMPUTED_VALUE"""),45949.05347021519)</f>
        <v>45949.05347</v>
      </c>
      <c r="S68" s="1" t="b">
        <f>IFERROR(__xludf.DUMMYFUNCTION("""COMPUTED_VALUE"""),TRUE)</f>
        <v>1</v>
      </c>
      <c r="T68" s="1" t="b">
        <f>IFERROR(__xludf.DUMMYFUNCTION("""COMPUTED_VALUE"""),FALSE)</f>
        <v>0</v>
      </c>
      <c r="U68" s="1" t="str">
        <f>IFERROR(__xludf.DUMMYFUNCTION("""COMPUTED_VALUE"""),"VALID")</f>
        <v>VALID</v>
      </c>
      <c r="V68" s="1">
        <f>IFERROR(__xludf.DUMMYFUNCTION("""COMPUTED_VALUE"""),46.0)</f>
        <v>46</v>
      </c>
      <c r="W68" s="1">
        <f>IFERROR(__xludf.DUMMYFUNCTION("""COMPUTED_VALUE"""),490.0)</f>
        <v>490</v>
      </c>
      <c r="X68" s="1">
        <f>IFERROR(__xludf.DUMMYFUNCTION("""COMPUTED_VALUE"""),1466.0)</f>
        <v>1466</v>
      </c>
      <c r="Y68" s="2"/>
      <c r="Z68" s="2"/>
    </row>
    <row r="69">
      <c r="A69" s="1">
        <f>IFERROR(__xludf.DUMMYFUNCTION("""COMPUTED_VALUE"""),68.0)</f>
        <v>68</v>
      </c>
      <c r="B69" s="1">
        <f>IFERROR(__xludf.DUMMYFUNCTION("""COMPUTED_VALUE"""),12062.0)</f>
        <v>12062</v>
      </c>
      <c r="C69" s="2" t="str">
        <f>IFERROR(__xludf.DUMMYFUNCTION("""COMPUTED_VALUE"""),"MARGO")</f>
        <v>MARGO</v>
      </c>
      <c r="D69" s="2" t="str">
        <f>IFERROR(__xludf.DUMMYFUNCTION("""COMPUTED_VALUE"""),"10KM MASTER M")</f>
        <v>10KM MASTER M</v>
      </c>
      <c r="E69" s="1">
        <f>IFERROR(__xludf.DUMMYFUNCTION("""COMPUTED_VALUE"""),1.0)</f>
        <v>1</v>
      </c>
      <c r="F69" s="1" t="str">
        <f>IFERROR(__xludf.DUMMYFUNCTION("""COMPUTED_VALUE"""),"Male")</f>
        <v>Male</v>
      </c>
      <c r="G69" s="4" t="b">
        <f>IFERROR(__xludf.DUMMYFUNCTION("""COMPUTED_VALUE"""),TRUE)</f>
        <v>1</v>
      </c>
      <c r="H69" s="4" t="b">
        <f>IFERROR(__xludf.DUMMYFUNCTION("""COMPUTED_VALUE"""),TRUE)</f>
        <v>1</v>
      </c>
      <c r="I69" s="4">
        <f>IFERROR(__xludf.DUMMYFUNCTION("""COMPUTED_VALUE"""),0.24646185185185185)</f>
        <v>0.2464618519</v>
      </c>
      <c r="J69" s="4">
        <f>IFERROR(__xludf.DUMMYFUNCTION("""COMPUTED_VALUE"""),45949.257731606245)</f>
        <v>45949.25773</v>
      </c>
      <c r="K69" s="4">
        <f>IFERROR(__xludf.DUMMYFUNCTION("""COMPUTED_VALUE"""),45949.284346172644)</f>
        <v>45949.28435</v>
      </c>
      <c r="L69" s="4">
        <f>IFERROR(__xludf.DUMMYFUNCTION("""COMPUTED_VALUE"""),45949.2918313954)</f>
        <v>45949.29183</v>
      </c>
      <c r="M69" s="1" t="str">
        <f>IFERROR(__xludf.DUMMYFUNCTION("""COMPUTED_VALUE"""),"RFID")</f>
        <v>RFID</v>
      </c>
      <c r="N69" s="5">
        <f>IFERROR(__xludf.DUMMYFUNCTION("""COMPUTED_VALUE"""),0.004507902777777778)</f>
        <v>0.004507902778</v>
      </c>
      <c r="O69" s="5">
        <f>IFERROR(__xludf.DUMMYFUNCTION("""COMPUTED_VALUE"""),0.010645828703703702)</f>
        <v>0.0106458287</v>
      </c>
      <c r="P69" s="5">
        <f>IFERROR(__xludf.DUMMYFUNCTION("""COMPUTED_VALUE"""),0.0030803385824482474)</f>
        <v>0.003080338582</v>
      </c>
      <c r="Q69" s="5">
        <f>IFERROR(__xludf.DUMMYFUNCTION("""COMPUTED_VALUE"""),0.0045369548611111105)</f>
        <v>0.004536954861</v>
      </c>
      <c r="R69" s="4">
        <f>IFERROR(__xludf.DUMMYFUNCTION("""COMPUTED_VALUE"""),45949.04536954355)</f>
        <v>45949.04537</v>
      </c>
      <c r="S69" s="1" t="b">
        <f>IFERROR(__xludf.DUMMYFUNCTION("""COMPUTED_VALUE"""),TRUE)</f>
        <v>1</v>
      </c>
      <c r="T69" s="1" t="b">
        <f>IFERROR(__xludf.DUMMYFUNCTION("""COMPUTED_VALUE"""),FALSE)</f>
        <v>0</v>
      </c>
      <c r="U69" s="1" t="str">
        <f>IFERROR(__xludf.DUMMYFUNCTION("""COMPUTED_VALUE"""),"VALID")</f>
        <v>VALID</v>
      </c>
      <c r="V69" s="1">
        <f>IFERROR(__xludf.DUMMYFUNCTION("""COMPUTED_VALUE"""),28.0)</f>
        <v>28</v>
      </c>
      <c r="W69" s="1">
        <f>IFERROR(__xludf.DUMMYFUNCTION("""COMPUTED_VALUE"""),272.0)</f>
        <v>272</v>
      </c>
      <c r="X69" s="1">
        <f>IFERROR(__xludf.DUMMYFUNCTION("""COMPUTED_VALUE"""),1213.0)</f>
        <v>1213</v>
      </c>
      <c r="Y69" s="2"/>
      <c r="Z69" s="2"/>
    </row>
    <row r="70">
      <c r="A70" s="1">
        <f>IFERROR(__xludf.DUMMYFUNCTION("""COMPUTED_VALUE"""),69.0)</f>
        <v>69</v>
      </c>
      <c r="B70" s="1">
        <f>IFERROR(__xludf.DUMMYFUNCTION("""COMPUTED_VALUE"""),12063.0)</f>
        <v>12063</v>
      </c>
      <c r="C70" s="2" t="str">
        <f>IFERROR(__xludf.DUMMYFUNCTION("""COMPUTED_VALUE"""),"NOODHY SMITH S")</f>
        <v>NOODHY SMITH S</v>
      </c>
      <c r="D70" s="2" t="str">
        <f>IFERROR(__xludf.DUMMYFUNCTION("""COMPUTED_VALUE"""),"10KM MASTER M")</f>
        <v>10KM MASTER M</v>
      </c>
      <c r="E70" s="1">
        <f>IFERROR(__xludf.DUMMYFUNCTION("""COMPUTED_VALUE"""),1.0)</f>
        <v>1</v>
      </c>
      <c r="F70" s="1" t="str">
        <f>IFERROR(__xludf.DUMMYFUNCTION("""COMPUTED_VALUE"""),"Male")</f>
        <v>Male</v>
      </c>
      <c r="G70" s="4" t="b">
        <f>IFERROR(__xludf.DUMMYFUNCTION("""COMPUTED_VALUE"""),TRUE)</f>
        <v>1</v>
      </c>
      <c r="H70" s="4" t="b">
        <f>IFERROR(__xludf.DUMMYFUNCTION("""COMPUTED_VALUE"""),TRUE)</f>
        <v>1</v>
      </c>
      <c r="I70" s="4">
        <f>IFERROR(__xludf.DUMMYFUNCTION("""COMPUTED_VALUE"""),0.24646185185185185)</f>
        <v>0.2464618519</v>
      </c>
      <c r="J70" s="4">
        <f>IFERROR(__xludf.DUMMYFUNCTION("""COMPUTED_VALUE"""),45949.259241962434)</f>
        <v>45949.25924</v>
      </c>
      <c r="K70" s="4">
        <f>IFERROR(__xludf.DUMMYFUNCTION("""COMPUTED_VALUE"""),45949.29164854744)</f>
        <v>45949.29165</v>
      </c>
      <c r="L70" s="4">
        <f>IFERROR(__xludf.DUMMYFUNCTION("""COMPUTED_VALUE"""),45949.30172720033)</f>
        <v>45949.30173</v>
      </c>
      <c r="M70" s="1" t="str">
        <f>IFERROR(__xludf.DUMMYFUNCTION("""COMPUTED_VALUE"""),"RFID")</f>
        <v>RFID</v>
      </c>
      <c r="N70" s="5">
        <f>IFERROR(__xludf.DUMMYFUNCTION("""COMPUTED_VALUE"""),0.005112046296296297)</f>
        <v>0.005112046296</v>
      </c>
      <c r="O70" s="5">
        <f>IFERROR(__xludf.DUMMYFUNCTION("""COMPUTED_VALUE"""),0.012962634259259259)</f>
        <v>0.01296263426</v>
      </c>
      <c r="P70" s="5">
        <f>IFERROR(__xludf.DUMMYFUNCTION("""COMPUTED_VALUE"""),0.0041475937800690785)</f>
        <v>0.00414759378</v>
      </c>
      <c r="Q70" s="5">
        <f>IFERROR(__xludf.DUMMYFUNCTION("""COMPUTED_VALUE"""),0.005526534722222223)</f>
        <v>0.005526534722</v>
      </c>
      <c r="R70" s="4">
        <f>IFERROR(__xludf.DUMMYFUNCTION("""COMPUTED_VALUE"""),45949.05526534848)</f>
        <v>45949.05527</v>
      </c>
      <c r="S70" s="1" t="b">
        <f>IFERROR(__xludf.DUMMYFUNCTION("""COMPUTED_VALUE"""),TRUE)</f>
        <v>1</v>
      </c>
      <c r="T70" s="1" t="b">
        <f>IFERROR(__xludf.DUMMYFUNCTION("""COMPUTED_VALUE"""),FALSE)</f>
        <v>0</v>
      </c>
      <c r="U70" s="1" t="str">
        <f>IFERROR(__xludf.DUMMYFUNCTION("""COMPUTED_VALUE"""),"VALID")</f>
        <v>VALID</v>
      </c>
      <c r="V70" s="1">
        <f>IFERROR(__xludf.DUMMYFUNCTION("""COMPUTED_VALUE"""),53.0)</f>
        <v>53</v>
      </c>
      <c r="W70" s="1">
        <f>IFERROR(__xludf.DUMMYFUNCTION("""COMPUTED_VALUE"""),556.0)</f>
        <v>556</v>
      </c>
      <c r="X70" s="1">
        <f>IFERROR(__xludf.DUMMYFUNCTION("""COMPUTED_VALUE"""),1529.0)</f>
        <v>1529</v>
      </c>
      <c r="Y70" s="2"/>
      <c r="Z70" s="2"/>
    </row>
    <row r="71">
      <c r="A71" s="1">
        <f>IFERROR(__xludf.DUMMYFUNCTION("""COMPUTED_VALUE"""),70.0)</f>
        <v>70</v>
      </c>
      <c r="B71" s="1">
        <f>IFERROR(__xludf.DUMMYFUNCTION("""COMPUTED_VALUE"""),12064.0)</f>
        <v>12064</v>
      </c>
      <c r="C71" s="2" t="str">
        <f>IFERROR(__xludf.DUMMYFUNCTION("""COMPUTED_VALUE"""),"Ellif")</f>
        <v>Ellif</v>
      </c>
      <c r="D71" s="2" t="str">
        <f>IFERROR(__xludf.DUMMYFUNCTION("""COMPUTED_VALUE"""),"10KM MASTER M")</f>
        <v>10KM MASTER M</v>
      </c>
      <c r="E71" s="1">
        <f>IFERROR(__xludf.DUMMYFUNCTION("""COMPUTED_VALUE"""),1.0)</f>
        <v>1</v>
      </c>
      <c r="F71" s="1" t="str">
        <f>IFERROR(__xludf.DUMMYFUNCTION("""COMPUTED_VALUE"""),"Male")</f>
        <v>Male</v>
      </c>
      <c r="G71" s="4" t="b">
        <f>IFERROR(__xludf.DUMMYFUNCTION("""COMPUTED_VALUE"""),TRUE)</f>
        <v>1</v>
      </c>
      <c r="H71" s="4" t="b">
        <f>IFERROR(__xludf.DUMMYFUNCTION("""COMPUTED_VALUE"""),TRUE)</f>
        <v>1</v>
      </c>
      <c r="I71" s="4">
        <f>IFERROR(__xludf.DUMMYFUNCTION("""COMPUTED_VALUE"""),0.24646185185185185)</f>
        <v>0.2464618519</v>
      </c>
      <c r="J71" s="4">
        <f>IFERROR(__xludf.DUMMYFUNCTION("""COMPUTED_VALUE"""),45949.25634265927)</f>
        <v>45949.25634</v>
      </c>
      <c r="K71" s="4">
        <f>IFERROR(__xludf.DUMMYFUNCTION("""COMPUTED_VALUE"""),45949.27977323989)</f>
        <v>45949.27977</v>
      </c>
      <c r="L71" s="4">
        <f>IFERROR(__xludf.DUMMYFUNCTION("""COMPUTED_VALUE"""),45949.28637656753)</f>
        <v>45949.28638</v>
      </c>
      <c r="M71" s="1" t="str">
        <f>IFERROR(__xludf.DUMMYFUNCTION("""COMPUTED_VALUE"""),"RFID")</f>
        <v>RFID</v>
      </c>
      <c r="N71" s="5">
        <f>IFERROR(__xludf.DUMMYFUNCTION("""COMPUTED_VALUE"""),0.003952324074074074)</f>
        <v>0.003952324074</v>
      </c>
      <c r="O71" s="5">
        <f>IFERROR(__xludf.DUMMYFUNCTION("""COMPUTED_VALUE"""),0.009372231481481481)</f>
        <v>0.009372231481</v>
      </c>
      <c r="P71" s="5">
        <f>IFERROR(__xludf.DUMMYFUNCTION("""COMPUTED_VALUE"""),0.0027174187810715946)</f>
        <v>0.002717418781</v>
      </c>
      <c r="Q71" s="5">
        <f>IFERROR(__xludf.DUMMYFUNCTION("""COMPUTED_VALUE"""),0.003991471064814815)</f>
        <v>0.003991471065</v>
      </c>
      <c r="R71" s="4">
        <f>IFERROR(__xludf.DUMMYFUNCTION("""COMPUTED_VALUE"""),45949.03991471568)</f>
        <v>45949.03991</v>
      </c>
      <c r="S71" s="1" t="b">
        <f>IFERROR(__xludf.DUMMYFUNCTION("""COMPUTED_VALUE"""),TRUE)</f>
        <v>1</v>
      </c>
      <c r="T71" s="1" t="b">
        <f>IFERROR(__xludf.DUMMYFUNCTION("""COMPUTED_VALUE"""),FALSE)</f>
        <v>0</v>
      </c>
      <c r="U71" s="1" t="str">
        <f>IFERROR(__xludf.DUMMYFUNCTION("""COMPUTED_VALUE"""),"VALID")</f>
        <v>VALID</v>
      </c>
      <c r="V71" s="1">
        <f>IFERROR(__xludf.DUMMYFUNCTION("""COMPUTED_VALUE"""),13.0)</f>
        <v>13</v>
      </c>
      <c r="W71" s="1">
        <f>IFERROR(__xludf.DUMMYFUNCTION("""COMPUTED_VALUE"""),121.0)</f>
        <v>121</v>
      </c>
      <c r="X71" s="1">
        <f>IFERROR(__xludf.DUMMYFUNCTION("""COMPUTED_VALUE"""),976.0)</f>
        <v>976</v>
      </c>
      <c r="Y71" s="2"/>
      <c r="Z71" s="2"/>
    </row>
    <row r="72">
      <c r="A72" s="1">
        <f>IFERROR(__xludf.DUMMYFUNCTION("""COMPUTED_VALUE"""),71.0)</f>
        <v>71</v>
      </c>
      <c r="B72" s="1">
        <f>IFERROR(__xludf.DUMMYFUNCTION("""COMPUTED_VALUE"""),12065.0)</f>
        <v>12065</v>
      </c>
      <c r="C72" s="2" t="str">
        <f>IFERROR(__xludf.DUMMYFUNCTION("""COMPUTED_VALUE"""),"Yusri")</f>
        <v>Yusri</v>
      </c>
      <c r="D72" s="2" t="str">
        <f>IFERROR(__xludf.DUMMYFUNCTION("""COMPUTED_VALUE"""),"10KM MASTER M")</f>
        <v>10KM MASTER M</v>
      </c>
      <c r="E72" s="1">
        <f>IFERROR(__xludf.DUMMYFUNCTION("""COMPUTED_VALUE"""),1.0)</f>
        <v>1</v>
      </c>
      <c r="F72" s="1" t="str">
        <f>IFERROR(__xludf.DUMMYFUNCTION("""COMPUTED_VALUE"""),"Male")</f>
        <v>Male</v>
      </c>
      <c r="G72" s="4" t="b">
        <f>IFERROR(__xludf.DUMMYFUNCTION("""COMPUTED_VALUE"""),TRUE)</f>
        <v>1</v>
      </c>
      <c r="H72" s="4" t="b">
        <f>IFERROR(__xludf.DUMMYFUNCTION("""COMPUTED_VALUE"""),FALSE)</f>
        <v>0</v>
      </c>
      <c r="I72" s="4">
        <f>IFERROR(__xludf.DUMMYFUNCTION("""COMPUTED_VALUE"""),0.24646185185185185)</f>
        <v>0.2464618519</v>
      </c>
      <c r="J72" s="4">
        <f>IFERROR(__xludf.DUMMYFUNCTION("""COMPUTED_VALUE"""),45949.25566563864)</f>
        <v>45949.25567</v>
      </c>
      <c r="K72" s="4">
        <f>IFERROR(__xludf.DUMMYFUNCTION("""COMPUTED_VALUE"""),45949.282030234404)</f>
        <v>45949.28203</v>
      </c>
      <c r="L72" s="4">
        <f>IFERROR(__xludf.DUMMYFUNCTION("""COMPUTED_VALUE"""),45949.29025156335)</f>
        <v>45949.29025</v>
      </c>
      <c r="M72" s="1" t="str">
        <f>IFERROR(__xludf.DUMMYFUNCTION("""COMPUTED_VALUE"""),"RFID")</f>
        <v>RFID</v>
      </c>
      <c r="N72" s="5">
        <f>IFERROR(__xludf.DUMMYFUNCTION("""COMPUTED_VALUE"""),0.003681513888888889)</f>
        <v>0.003681513889</v>
      </c>
      <c r="O72" s="5">
        <f>IFERROR(__xludf.DUMMYFUNCTION("""COMPUTED_VALUE"""),0.010545837962962962)</f>
        <v>0.01054583796</v>
      </c>
      <c r="P72" s="5">
        <f>IFERROR(__xludf.DUMMYFUNCTION("""COMPUTED_VALUE"""),0.003383262939281654)</f>
        <v>0.003383262939</v>
      </c>
      <c r="Q72" s="5">
        <f>IFERROR(__xludf.DUMMYFUNCTION("""COMPUTED_VALUE"""),0.004378971064814815)</f>
        <v>0.004378971065</v>
      </c>
      <c r="R72" s="4">
        <f>IFERROR(__xludf.DUMMYFUNCTION("""COMPUTED_VALUE"""),45949.0437897115)</f>
        <v>45949.04379</v>
      </c>
      <c r="S72" s="1" t="b">
        <f>IFERROR(__xludf.DUMMYFUNCTION("""COMPUTED_VALUE"""),TRUE)</f>
        <v>1</v>
      </c>
      <c r="T72" s="1" t="b">
        <f>IFERROR(__xludf.DUMMYFUNCTION("""COMPUTED_VALUE"""),FALSE)</f>
        <v>0</v>
      </c>
      <c r="U72" s="1" t="str">
        <f>IFERROR(__xludf.DUMMYFUNCTION("""COMPUTED_VALUE"""),"VALID")</f>
        <v>VALID</v>
      </c>
      <c r="V72" s="1">
        <f>IFERROR(__xludf.DUMMYFUNCTION("""COMPUTED_VALUE"""),24.0)</f>
        <v>24</v>
      </c>
      <c r="W72" s="1">
        <f>IFERROR(__xludf.DUMMYFUNCTION("""COMPUTED_VALUE"""),218.0)</f>
        <v>218</v>
      </c>
      <c r="X72" s="1">
        <f>IFERROR(__xludf.DUMMYFUNCTION("""COMPUTED_VALUE"""),1138.0)</f>
        <v>1138</v>
      </c>
      <c r="Y72" s="2"/>
      <c r="Z72" s="2"/>
    </row>
    <row r="73">
      <c r="A73" s="1">
        <f>IFERROR(__xludf.DUMMYFUNCTION("""COMPUTED_VALUE"""),72.0)</f>
        <v>72</v>
      </c>
      <c r="B73" s="1">
        <f>IFERROR(__xludf.DUMMYFUNCTION("""COMPUTED_VALUE"""),12066.0)</f>
        <v>12066</v>
      </c>
      <c r="C73" s="2" t="str">
        <f>IFERROR(__xludf.DUMMYFUNCTION("""COMPUTED_VALUE"""),"I A M")</f>
        <v>I A M</v>
      </c>
      <c r="D73" s="2" t="str">
        <f>IFERROR(__xludf.DUMMYFUNCTION("""COMPUTED_VALUE"""),"10KM MASTER M")</f>
        <v>10KM MASTER M</v>
      </c>
      <c r="E73" s="1">
        <f>IFERROR(__xludf.DUMMYFUNCTION("""COMPUTED_VALUE"""),1.0)</f>
        <v>1</v>
      </c>
      <c r="F73" s="1" t="str">
        <f>IFERROR(__xludf.DUMMYFUNCTION("""COMPUTED_VALUE"""),"Male")</f>
        <v>Male</v>
      </c>
      <c r="G73" s="4" t="b">
        <f>IFERROR(__xludf.DUMMYFUNCTION("""COMPUTED_VALUE"""),TRUE)</f>
        <v>1</v>
      </c>
      <c r="H73" s="4" t="b">
        <f>IFERROR(__xludf.DUMMYFUNCTION("""COMPUTED_VALUE"""),TRUE)</f>
        <v>1</v>
      </c>
      <c r="I73" s="4">
        <f>IFERROR(__xludf.DUMMYFUNCTION("""COMPUTED_VALUE"""),0.24646185185185185)</f>
        <v>0.2464618519</v>
      </c>
      <c r="J73" s="4">
        <f>IFERROR(__xludf.DUMMYFUNCTION("""COMPUTED_VALUE"""),45949.259596359356)</f>
        <v>45949.2596</v>
      </c>
      <c r="K73" s="4">
        <f>IFERROR(__xludf.DUMMYFUNCTION("""COMPUTED_VALUE"""),45949.29147829793)</f>
        <v>45949.29148</v>
      </c>
      <c r="L73" s="4">
        <f>IFERROR(__xludf.DUMMYFUNCTION("""COMPUTED_VALUE"""),45949.300491547096)</f>
        <v>45949.30049</v>
      </c>
      <c r="M73" s="1" t="str">
        <f>IFERROR(__xludf.DUMMYFUNCTION("""COMPUTED_VALUE"""),"RFID")</f>
        <v>RFID</v>
      </c>
      <c r="N73" s="5">
        <f>IFERROR(__xludf.DUMMYFUNCTION("""COMPUTED_VALUE"""),0.005253800925925926)</f>
        <v>0.005253800926</v>
      </c>
      <c r="O73" s="5">
        <f>IFERROR(__xludf.DUMMYFUNCTION("""COMPUTED_VALUE"""),0.01275277314814815)</f>
        <v>0.01275277315</v>
      </c>
      <c r="P73" s="5">
        <f>IFERROR(__xludf.DUMMYFUNCTION("""COMPUTED_VALUE"""),0.003709156036117294)</f>
        <v>0.003709156036</v>
      </c>
      <c r="Q73" s="5">
        <f>IFERROR(__xludf.DUMMYFUNCTION("""COMPUTED_VALUE"""),0.0054029699074074075)</f>
        <v>0.005402969907</v>
      </c>
      <c r="R73" s="4">
        <f>IFERROR(__xludf.DUMMYFUNCTION("""COMPUTED_VALUE"""),45949.054029695246)</f>
        <v>45949.05403</v>
      </c>
      <c r="S73" s="1" t="b">
        <f>IFERROR(__xludf.DUMMYFUNCTION("""COMPUTED_VALUE"""),TRUE)</f>
        <v>1</v>
      </c>
      <c r="T73" s="1" t="b">
        <f>IFERROR(__xludf.DUMMYFUNCTION("""COMPUTED_VALUE"""),FALSE)</f>
        <v>0</v>
      </c>
      <c r="U73" s="1" t="str">
        <f>IFERROR(__xludf.DUMMYFUNCTION("""COMPUTED_VALUE"""),"VALID")</f>
        <v>VALID</v>
      </c>
      <c r="V73" s="1">
        <f>IFERROR(__xludf.DUMMYFUNCTION("""COMPUTED_VALUE"""),48.0)</f>
        <v>48</v>
      </c>
      <c r="W73" s="1">
        <f>IFERROR(__xludf.DUMMYFUNCTION("""COMPUTED_VALUE"""),507.0)</f>
        <v>507</v>
      </c>
      <c r="X73" s="1">
        <f>IFERROR(__xludf.DUMMYFUNCTION("""COMPUTED_VALUE"""),1485.0)</f>
        <v>1485</v>
      </c>
      <c r="Y73" s="2"/>
      <c r="Z73" s="2"/>
    </row>
    <row r="74">
      <c r="A74" s="1">
        <f>IFERROR(__xludf.DUMMYFUNCTION("""COMPUTED_VALUE"""),73.0)</f>
        <v>73</v>
      </c>
      <c r="B74" s="1">
        <f>IFERROR(__xludf.DUMMYFUNCTION("""COMPUTED_VALUE"""),12067.0)</f>
        <v>12067</v>
      </c>
      <c r="C74" s="2" t="str">
        <f>IFERROR(__xludf.DUMMYFUNCTION("""COMPUTED_VALUE"""),"Ancha")</f>
        <v>Ancha</v>
      </c>
      <c r="D74" s="2" t="str">
        <f>IFERROR(__xludf.DUMMYFUNCTION("""COMPUTED_VALUE"""),"10KM MASTER M")</f>
        <v>10KM MASTER M</v>
      </c>
      <c r="E74" s="1">
        <f>IFERROR(__xludf.DUMMYFUNCTION("""COMPUTED_VALUE"""),1.0)</f>
        <v>1</v>
      </c>
      <c r="F74" s="1" t="str">
        <f>IFERROR(__xludf.DUMMYFUNCTION("""COMPUTED_VALUE"""),"Male")</f>
        <v>Male</v>
      </c>
      <c r="G74" s="4" t="b">
        <f>IFERROR(__xludf.DUMMYFUNCTION("""COMPUTED_VALUE"""),TRUE)</f>
        <v>1</v>
      </c>
      <c r="H74" s="4" t="b">
        <f>IFERROR(__xludf.DUMMYFUNCTION("""COMPUTED_VALUE"""),TRUE)</f>
        <v>1</v>
      </c>
      <c r="I74" s="4">
        <f>IFERROR(__xludf.DUMMYFUNCTION("""COMPUTED_VALUE"""),0.24646185185185185)</f>
        <v>0.2464618519</v>
      </c>
      <c r="J74" s="4">
        <f>IFERROR(__xludf.DUMMYFUNCTION("""COMPUTED_VALUE"""),45949.25382876531)</f>
        <v>45949.25383</v>
      </c>
      <c r="K74" s="4">
        <f>IFERROR(__xludf.DUMMYFUNCTION("""COMPUTED_VALUE"""),45949.273785239995)</f>
        <v>45949.27379</v>
      </c>
      <c r="L74" s="4">
        <f>IFERROR(__xludf.DUMMYFUNCTION("""COMPUTED_VALUE"""),45949.27954368983)</f>
        <v>45949.27954</v>
      </c>
      <c r="M74" s="1" t="str">
        <f>IFERROR(__xludf.DUMMYFUNCTION("""COMPUTED_VALUE"""),"RFID")</f>
        <v>RFID</v>
      </c>
      <c r="N74" s="5">
        <f>IFERROR(__xludf.DUMMYFUNCTION("""COMPUTED_VALUE"""),0.0029467638888888885)</f>
        <v>0.002946763889</v>
      </c>
      <c r="O74" s="5">
        <f>IFERROR(__xludf.DUMMYFUNCTION("""COMPUTED_VALUE"""),0.007982587962962962)</f>
        <v>0.007982587963</v>
      </c>
      <c r="P74" s="5">
        <f>IFERROR(__xludf.DUMMYFUNCTION("""COMPUTED_VALUE"""),0.002369732442556271)</f>
        <v>0.002369732443</v>
      </c>
      <c r="Q74" s="5">
        <f>IFERROR(__xludf.DUMMYFUNCTION("""COMPUTED_VALUE"""),0.003308184027777778)</f>
        <v>0.003308184028</v>
      </c>
      <c r="R74" s="4">
        <f>IFERROR(__xludf.DUMMYFUNCTION("""COMPUTED_VALUE"""),45949.03308183798)</f>
        <v>45949.03308</v>
      </c>
      <c r="S74" s="1" t="b">
        <f>IFERROR(__xludf.DUMMYFUNCTION("""COMPUTED_VALUE"""),TRUE)</f>
        <v>1</v>
      </c>
      <c r="T74" s="1" t="b">
        <f>IFERROR(__xludf.DUMMYFUNCTION("""COMPUTED_VALUE"""),FALSE)</f>
        <v>0</v>
      </c>
      <c r="U74" s="1" t="str">
        <f>IFERROR(__xludf.DUMMYFUNCTION("""COMPUTED_VALUE"""),"VALID")</f>
        <v>VALID</v>
      </c>
      <c r="V74" s="1">
        <f>IFERROR(__xludf.DUMMYFUNCTION("""COMPUTED_VALUE"""),7.0)</f>
        <v>7</v>
      </c>
      <c r="W74" s="1">
        <f>IFERROR(__xludf.DUMMYFUNCTION("""COMPUTED_VALUE"""),27.0)</f>
        <v>27</v>
      </c>
      <c r="X74" s="1">
        <f>IFERROR(__xludf.DUMMYFUNCTION("""COMPUTED_VALUE"""),646.0)</f>
        <v>646</v>
      </c>
      <c r="Y74" s="2"/>
      <c r="Z74" s="2"/>
    </row>
    <row r="75">
      <c r="A75" s="1">
        <f>IFERROR(__xludf.DUMMYFUNCTION("""COMPUTED_VALUE"""),74.0)</f>
        <v>74</v>
      </c>
      <c r="B75" s="1">
        <f>IFERROR(__xludf.DUMMYFUNCTION("""COMPUTED_VALUE"""),12069.0)</f>
        <v>12069</v>
      </c>
      <c r="C75" s="2" t="str">
        <f>IFERROR(__xludf.DUMMYFUNCTION("""COMPUTED_VALUE"""),"Simon WM")</f>
        <v>Simon WM</v>
      </c>
      <c r="D75" s="2" t="str">
        <f>IFERROR(__xludf.DUMMYFUNCTION("""COMPUTED_VALUE"""),"10KM MASTER M")</f>
        <v>10KM MASTER M</v>
      </c>
      <c r="E75" s="1">
        <f>IFERROR(__xludf.DUMMYFUNCTION("""COMPUTED_VALUE"""),1.0)</f>
        <v>1</v>
      </c>
      <c r="F75" s="1" t="str">
        <f>IFERROR(__xludf.DUMMYFUNCTION("""COMPUTED_VALUE"""),"Male")</f>
        <v>Male</v>
      </c>
      <c r="G75" s="4" t="b">
        <f>IFERROR(__xludf.DUMMYFUNCTION("""COMPUTED_VALUE"""),TRUE)</f>
        <v>1</v>
      </c>
      <c r="H75" s="4" t="b">
        <f>IFERROR(__xludf.DUMMYFUNCTION("""COMPUTED_VALUE"""),TRUE)</f>
        <v>1</v>
      </c>
      <c r="I75" s="4">
        <f>IFERROR(__xludf.DUMMYFUNCTION("""COMPUTED_VALUE"""),0.24646185185185185)</f>
        <v>0.2464618519</v>
      </c>
      <c r="J75" s="4">
        <f>IFERROR(__xludf.DUMMYFUNCTION("""COMPUTED_VALUE"""),45949.25584265585)</f>
        <v>45949.25584</v>
      </c>
      <c r="K75" s="4">
        <f>IFERROR(__xludf.DUMMYFUNCTION("""COMPUTED_VALUE"""),45949.280040620666)</f>
        <v>45949.28004</v>
      </c>
      <c r="L75" s="4">
        <f>IFERROR(__xludf.DUMMYFUNCTION("""COMPUTED_VALUE"""),45949.28704322547)</f>
        <v>45949.28704</v>
      </c>
      <c r="M75" s="1" t="str">
        <f>IFERROR(__xludf.DUMMYFUNCTION("""COMPUTED_VALUE"""),"RFID")</f>
        <v>RFID</v>
      </c>
      <c r="N75" s="5">
        <f>IFERROR(__xludf.DUMMYFUNCTION("""COMPUTED_VALUE"""),0.0037523194444444444)</f>
        <v>0.003752319444</v>
      </c>
      <c r="O75" s="5">
        <f>IFERROR(__xludf.DUMMYFUNCTION("""COMPUTED_VALUE"""),0.009679185185185187)</f>
        <v>0.009679185185</v>
      </c>
      <c r="P75" s="5">
        <f>IFERROR(__xludf.DUMMYFUNCTION("""COMPUTED_VALUE"""),0.0028817303724962555)</f>
        <v>0.002881730372</v>
      </c>
      <c r="Q75" s="5">
        <f>IFERROR(__xludf.DUMMYFUNCTION("""COMPUTED_VALUE"""),0.004058137731481481)</f>
        <v>0.004058137731</v>
      </c>
      <c r="R75" s="4">
        <f>IFERROR(__xludf.DUMMYFUNCTION("""COMPUTED_VALUE"""),45949.04058137362)</f>
        <v>45949.04058</v>
      </c>
      <c r="S75" s="1" t="b">
        <f>IFERROR(__xludf.DUMMYFUNCTION("""COMPUTED_VALUE"""),TRUE)</f>
        <v>1</v>
      </c>
      <c r="T75" s="1" t="b">
        <f>IFERROR(__xludf.DUMMYFUNCTION("""COMPUTED_VALUE"""),FALSE)</f>
        <v>0</v>
      </c>
      <c r="U75" s="1" t="str">
        <f>IFERROR(__xludf.DUMMYFUNCTION("""COMPUTED_VALUE"""),"VALID")</f>
        <v>VALID</v>
      </c>
      <c r="V75" s="1">
        <f>IFERROR(__xludf.DUMMYFUNCTION("""COMPUTED_VALUE"""),15.0)</f>
        <v>15</v>
      </c>
      <c r="W75" s="1">
        <f>IFERROR(__xludf.DUMMYFUNCTION("""COMPUTED_VALUE"""),135.0)</f>
        <v>135</v>
      </c>
      <c r="X75" s="1">
        <f>IFERROR(__xludf.DUMMYFUNCTION("""COMPUTED_VALUE"""),1006.0)</f>
        <v>1006</v>
      </c>
      <c r="Y75" s="2"/>
      <c r="Z75" s="2"/>
    </row>
    <row r="76">
      <c r="A76" s="1">
        <f>IFERROR(__xludf.DUMMYFUNCTION("""COMPUTED_VALUE"""),75.0)</f>
        <v>75</v>
      </c>
      <c r="B76" s="1">
        <f>IFERROR(__xludf.DUMMYFUNCTION("""COMPUTED_VALUE"""),12070.0)</f>
        <v>12070</v>
      </c>
      <c r="C76" s="2" t="str">
        <f>IFERROR(__xludf.DUMMYFUNCTION("""COMPUTED_VALUE"""),"BONDAN KU")</f>
        <v>BONDAN KU</v>
      </c>
      <c r="D76" s="2" t="str">
        <f>IFERROR(__xludf.DUMMYFUNCTION("""COMPUTED_VALUE"""),"10KM MASTER M")</f>
        <v>10KM MASTER M</v>
      </c>
      <c r="E76" s="1">
        <f>IFERROR(__xludf.DUMMYFUNCTION("""COMPUTED_VALUE"""),1.0)</f>
        <v>1</v>
      </c>
      <c r="F76" s="1" t="str">
        <f>IFERROR(__xludf.DUMMYFUNCTION("""COMPUTED_VALUE"""),"Male")</f>
        <v>Male</v>
      </c>
      <c r="G76" s="4" t="b">
        <f>IFERROR(__xludf.DUMMYFUNCTION("""COMPUTED_VALUE"""),TRUE)</f>
        <v>1</v>
      </c>
      <c r="H76" s="4" t="b">
        <f>IFERROR(__xludf.DUMMYFUNCTION("""COMPUTED_VALUE"""),TRUE)</f>
        <v>1</v>
      </c>
      <c r="I76" s="4">
        <f>IFERROR(__xludf.DUMMYFUNCTION("""COMPUTED_VALUE"""),0.24646185185185185)</f>
        <v>0.2464618519</v>
      </c>
      <c r="J76" s="4">
        <f>IFERROR(__xludf.DUMMYFUNCTION("""COMPUTED_VALUE"""),45949.25682188974)</f>
        <v>45949.25682</v>
      </c>
      <c r="K76" s="4">
        <f>IFERROR(__xludf.DUMMYFUNCTION("""COMPUTED_VALUE"""),45949.28573159411)</f>
        <v>45949.28573</v>
      </c>
      <c r="L76" s="4">
        <f>IFERROR(__xludf.DUMMYFUNCTION("""COMPUTED_VALUE"""),45949.294786286046)</f>
        <v>45949.29479</v>
      </c>
      <c r="M76" s="1" t="str">
        <f>IFERROR(__xludf.DUMMYFUNCTION("""COMPUTED_VALUE"""),"RFID")</f>
        <v>RFID</v>
      </c>
      <c r="N76" s="5">
        <f>IFERROR(__xludf.DUMMYFUNCTION("""COMPUTED_VALUE"""),0.004144013888888889)</f>
        <v>0.004144013889</v>
      </c>
      <c r="O76" s="5">
        <f>IFERROR(__xludf.DUMMYFUNCTION("""COMPUTED_VALUE"""),0.011563879629629629)</f>
        <v>0.01156387963</v>
      </c>
      <c r="P76" s="5">
        <f>IFERROR(__xludf.DUMMYFUNCTION("""COMPUTED_VALUE"""),0.0037262106741636743)</f>
        <v>0.003726210674</v>
      </c>
      <c r="Q76" s="5">
        <f>IFERROR(__xludf.DUMMYFUNCTION("""COMPUTED_VALUE"""),0.004832443287037037)</f>
        <v>0.004832443287</v>
      </c>
      <c r="R76" s="4">
        <f>IFERROR(__xludf.DUMMYFUNCTION("""COMPUTED_VALUE"""),45949.048324434196)</f>
        <v>45949.04832</v>
      </c>
      <c r="S76" s="1" t="b">
        <f>IFERROR(__xludf.DUMMYFUNCTION("""COMPUTED_VALUE"""),TRUE)</f>
        <v>1</v>
      </c>
      <c r="T76" s="1" t="b">
        <f>IFERROR(__xludf.DUMMYFUNCTION("""COMPUTED_VALUE"""),FALSE)</f>
        <v>0</v>
      </c>
      <c r="U76" s="1" t="str">
        <f>IFERROR(__xludf.DUMMYFUNCTION("""COMPUTED_VALUE"""),"VALID")</f>
        <v>VALID</v>
      </c>
      <c r="V76" s="1">
        <f>IFERROR(__xludf.DUMMYFUNCTION("""COMPUTED_VALUE"""),32.0)</f>
        <v>32</v>
      </c>
      <c r="W76" s="1">
        <f>IFERROR(__xludf.DUMMYFUNCTION("""COMPUTED_VALUE"""),348.0)</f>
        <v>348</v>
      </c>
      <c r="X76" s="1">
        <f>IFERROR(__xludf.DUMMYFUNCTION("""COMPUTED_VALUE"""),1322.0)</f>
        <v>1322</v>
      </c>
      <c r="Y76" s="2"/>
      <c r="Z76" s="2"/>
    </row>
    <row r="77">
      <c r="A77" s="1">
        <f>IFERROR(__xludf.DUMMYFUNCTION("""COMPUTED_VALUE"""),76.0)</f>
        <v>76</v>
      </c>
      <c r="B77" s="1">
        <f>IFERROR(__xludf.DUMMYFUNCTION("""COMPUTED_VALUE"""),12071.0)</f>
        <v>12071</v>
      </c>
      <c r="C77" s="2" t="str">
        <f>IFERROR(__xludf.DUMMYFUNCTION("""COMPUTED_VALUE"""),"APRI")</f>
        <v>APRI</v>
      </c>
      <c r="D77" s="2" t="str">
        <f>IFERROR(__xludf.DUMMYFUNCTION("""COMPUTED_VALUE"""),"10KM MASTER M")</f>
        <v>10KM MASTER M</v>
      </c>
      <c r="E77" s="1">
        <f>IFERROR(__xludf.DUMMYFUNCTION("""COMPUTED_VALUE"""),1.0)</f>
        <v>1</v>
      </c>
      <c r="F77" s="1" t="str">
        <f>IFERROR(__xludf.DUMMYFUNCTION("""COMPUTED_VALUE"""),"Male")</f>
        <v>Male</v>
      </c>
      <c r="G77" s="4" t="b">
        <f>IFERROR(__xludf.DUMMYFUNCTION("""COMPUTED_VALUE"""),TRUE)</f>
        <v>1</v>
      </c>
      <c r="H77" s="4" t="b">
        <f>IFERROR(__xludf.DUMMYFUNCTION("""COMPUTED_VALUE"""),TRUE)</f>
        <v>1</v>
      </c>
      <c r="I77" s="4">
        <f>IFERROR(__xludf.DUMMYFUNCTION("""COMPUTED_VALUE"""),0.24646185185185185)</f>
        <v>0.2464618519</v>
      </c>
      <c r="J77" s="4">
        <f>IFERROR(__xludf.DUMMYFUNCTION("""COMPUTED_VALUE"""),45949.26268641332)</f>
        <v>45949.26269</v>
      </c>
      <c r="K77" s="4">
        <f>IFERROR(__xludf.DUMMYFUNCTION("""COMPUTED_VALUE"""),45949.292683200845)</f>
        <v>45949.29268</v>
      </c>
      <c r="L77" s="4">
        <f>IFERROR(__xludf.DUMMYFUNCTION("""COMPUTED_VALUE"""),45949.30153628334)</f>
        <v>45949.30154</v>
      </c>
      <c r="M77" s="1" t="str">
        <f>IFERROR(__xludf.DUMMYFUNCTION("""COMPUTED_VALUE"""),"RFID")</f>
        <v>RFID</v>
      </c>
      <c r="N77" s="5">
        <f>IFERROR(__xludf.DUMMYFUNCTION("""COMPUTED_VALUE"""),0.006489824074074074)</f>
        <v>0.006489824074</v>
      </c>
      <c r="O77" s="5">
        <f>IFERROR(__xludf.DUMMYFUNCTION("""COMPUTED_VALUE"""),0.011998712962962964)</f>
        <v>0.01199871296</v>
      </c>
      <c r="P77" s="5">
        <f>IFERROR(__xludf.DUMMYFUNCTION("""COMPUTED_VALUE"""),0.003643243824761292)</f>
        <v>0.003643243825</v>
      </c>
      <c r="Q77" s="5">
        <f>IFERROR(__xludf.DUMMYFUNCTION("""COMPUTED_VALUE"""),0.005507443287037036)</f>
        <v>0.005507443287</v>
      </c>
      <c r="R77" s="4">
        <f>IFERROR(__xludf.DUMMYFUNCTION("""COMPUTED_VALUE"""),45949.05507443149)</f>
        <v>45949.05507</v>
      </c>
      <c r="S77" s="1" t="b">
        <f>IFERROR(__xludf.DUMMYFUNCTION("""COMPUTED_VALUE"""),TRUE)</f>
        <v>1</v>
      </c>
      <c r="T77" s="1" t="b">
        <f>IFERROR(__xludf.DUMMYFUNCTION("""COMPUTED_VALUE"""),FALSE)</f>
        <v>0</v>
      </c>
      <c r="U77" s="1" t="str">
        <f>IFERROR(__xludf.DUMMYFUNCTION("""COMPUTED_VALUE"""),"VALID")</f>
        <v>VALID</v>
      </c>
      <c r="V77" s="1">
        <f>IFERROR(__xludf.DUMMYFUNCTION("""COMPUTED_VALUE"""),52.0)</f>
        <v>52</v>
      </c>
      <c r="W77" s="1">
        <f>IFERROR(__xludf.DUMMYFUNCTION("""COMPUTED_VALUE"""),551.0)</f>
        <v>551</v>
      </c>
      <c r="X77" s="1">
        <f>IFERROR(__xludf.DUMMYFUNCTION("""COMPUTED_VALUE"""),1524.0)</f>
        <v>1524</v>
      </c>
      <c r="Y77" s="2"/>
      <c r="Z77" s="2"/>
    </row>
    <row r="78">
      <c r="A78" s="1">
        <f>IFERROR(__xludf.DUMMYFUNCTION("""COMPUTED_VALUE"""),77.0)</f>
        <v>77</v>
      </c>
      <c r="B78" s="1">
        <f>IFERROR(__xludf.DUMMYFUNCTION("""COMPUTED_VALUE"""),12072.0)</f>
        <v>12072</v>
      </c>
      <c r="C78" s="2" t="str">
        <f>IFERROR(__xludf.DUMMYFUNCTION("""COMPUTED_VALUE"""),"Muhammad Wisnu")</f>
        <v>Muhammad Wisnu</v>
      </c>
      <c r="D78" s="2" t="str">
        <f>IFERROR(__xludf.DUMMYFUNCTION("""COMPUTED_VALUE"""),"10KM MASTER M")</f>
        <v>10KM MASTER M</v>
      </c>
      <c r="E78" s="1">
        <f>IFERROR(__xludf.DUMMYFUNCTION("""COMPUTED_VALUE"""),1.0)</f>
        <v>1</v>
      </c>
      <c r="F78" s="1" t="str">
        <f>IFERROR(__xludf.DUMMYFUNCTION("""COMPUTED_VALUE"""),"Male")</f>
        <v>Male</v>
      </c>
      <c r="G78" s="4" t="b">
        <f>IFERROR(__xludf.DUMMYFUNCTION("""COMPUTED_VALUE"""),TRUE)</f>
        <v>1</v>
      </c>
      <c r="H78" s="4" t="b">
        <f>IFERROR(__xludf.DUMMYFUNCTION("""COMPUTED_VALUE"""),FALSE)</f>
        <v>0</v>
      </c>
      <c r="I78" s="4">
        <f>IFERROR(__xludf.DUMMYFUNCTION("""COMPUTED_VALUE"""),0.24646185185185185)</f>
        <v>0.2464618519</v>
      </c>
      <c r="J78" s="4">
        <f>IFERROR(__xludf.DUMMYFUNCTION("""COMPUTED_VALUE"""),45949.25536008205)</f>
        <v>45949.25536</v>
      </c>
      <c r="K78" s="4">
        <f>IFERROR(__xludf.DUMMYFUNCTION("""COMPUTED_VALUE"""),45949.28261005277)</f>
        <v>45949.28261</v>
      </c>
      <c r="L78" s="4">
        <f>IFERROR(__xludf.DUMMYFUNCTION("""COMPUTED_VALUE"""),45949.29007100745)</f>
        <v>45949.29007</v>
      </c>
      <c r="M78" s="1" t="str">
        <f>IFERROR(__xludf.DUMMYFUNCTION("""COMPUTED_VALUE"""),"RFID")</f>
        <v>RFID</v>
      </c>
      <c r="N78" s="5">
        <f>IFERROR(__xludf.DUMMYFUNCTION("""COMPUTED_VALUE"""),0.0035592916666666668)</f>
        <v>0.003559291667</v>
      </c>
      <c r="O78" s="5">
        <f>IFERROR(__xludf.DUMMYFUNCTION("""COMPUTED_VALUE"""),0.01089998611111111)</f>
        <v>0.01089998611</v>
      </c>
      <c r="P78" s="5">
        <f>IFERROR(__xludf.DUMMYFUNCTION("""COMPUTED_VALUE"""),0.0030703517198016473)</f>
        <v>0.00307035172</v>
      </c>
      <c r="Q78" s="5">
        <f>IFERROR(__xludf.DUMMYFUNCTION("""COMPUTED_VALUE"""),0.00436091550925926)</f>
        <v>0.004360915509</v>
      </c>
      <c r="R78" s="4">
        <f>IFERROR(__xludf.DUMMYFUNCTION("""COMPUTED_VALUE"""),45949.0436091556)</f>
        <v>45949.04361</v>
      </c>
      <c r="S78" s="1" t="b">
        <f>IFERROR(__xludf.DUMMYFUNCTION("""COMPUTED_VALUE"""),TRUE)</f>
        <v>1</v>
      </c>
      <c r="T78" s="1" t="b">
        <f>IFERROR(__xludf.DUMMYFUNCTION("""COMPUTED_VALUE"""),FALSE)</f>
        <v>0</v>
      </c>
      <c r="U78" s="1" t="str">
        <f>IFERROR(__xludf.DUMMYFUNCTION("""COMPUTED_VALUE"""),"VALID")</f>
        <v>VALID</v>
      </c>
      <c r="V78" s="1">
        <f>IFERROR(__xludf.DUMMYFUNCTION("""COMPUTED_VALUE"""),23.0)</f>
        <v>23</v>
      </c>
      <c r="W78" s="1">
        <f>IFERROR(__xludf.DUMMYFUNCTION("""COMPUTED_VALUE"""),210.0)</f>
        <v>210</v>
      </c>
      <c r="X78" s="1">
        <f>IFERROR(__xludf.DUMMYFUNCTION("""COMPUTED_VALUE"""),1122.0)</f>
        <v>1122</v>
      </c>
      <c r="Y78" s="2"/>
      <c r="Z78" s="2"/>
    </row>
    <row r="79">
      <c r="A79" s="1">
        <f>IFERROR(__xludf.DUMMYFUNCTION("""COMPUTED_VALUE"""),78.0)</f>
        <v>78</v>
      </c>
      <c r="B79" s="1">
        <f>IFERROR(__xludf.DUMMYFUNCTION("""COMPUTED_VALUE"""),12073.0)</f>
        <v>12073</v>
      </c>
      <c r="C79" s="2" t="str">
        <f>IFERROR(__xludf.DUMMYFUNCTION("""COMPUTED_VALUE"""),"jasman")</f>
        <v>jasman</v>
      </c>
      <c r="D79" s="2" t="str">
        <f>IFERROR(__xludf.DUMMYFUNCTION("""COMPUTED_VALUE"""),"10KM MASTER M")</f>
        <v>10KM MASTER M</v>
      </c>
      <c r="E79" s="1">
        <f>IFERROR(__xludf.DUMMYFUNCTION("""COMPUTED_VALUE"""),1.0)</f>
        <v>1</v>
      </c>
      <c r="F79" s="1" t="str">
        <f>IFERROR(__xludf.DUMMYFUNCTION("""COMPUTED_VALUE"""),"Male")</f>
        <v>Male</v>
      </c>
      <c r="G79" s="4" t="b">
        <f>IFERROR(__xludf.DUMMYFUNCTION("""COMPUTED_VALUE"""),TRUE)</f>
        <v>1</v>
      </c>
      <c r="H79" s="4" t="b">
        <f>IFERROR(__xludf.DUMMYFUNCTION("""COMPUTED_VALUE"""),TRUE)</f>
        <v>1</v>
      </c>
      <c r="I79" s="4">
        <f>IFERROR(__xludf.DUMMYFUNCTION("""COMPUTED_VALUE"""),0.24646185185185185)</f>
        <v>0.2464618519</v>
      </c>
      <c r="J79" s="4">
        <f>IFERROR(__xludf.DUMMYFUNCTION("""COMPUTED_VALUE"""),45949.252752445376)</f>
        <v>45949.25275</v>
      </c>
      <c r="K79" s="4">
        <f>IFERROR(__xludf.DUMMYFUNCTION("""COMPUTED_VALUE"""),45949.27097274249)</f>
        <v>45949.27097</v>
      </c>
      <c r="L79" s="4">
        <f>IFERROR(__xludf.DUMMYFUNCTION("""COMPUTED_VALUE"""),45949.2761509849)</f>
        <v>45949.27615</v>
      </c>
      <c r="M79" s="1" t="str">
        <f>IFERROR(__xludf.DUMMYFUNCTION("""COMPUTED_VALUE"""),"RFID")</f>
        <v>RFID</v>
      </c>
      <c r="N79" s="5">
        <f>IFERROR(__xludf.DUMMYFUNCTION("""COMPUTED_VALUE"""),0.0025162361111111106)</f>
        <v>0.002516236111</v>
      </c>
      <c r="O79" s="5">
        <f>IFERROR(__xludf.DUMMYFUNCTION("""COMPUTED_VALUE"""),0.00728812037037037)</f>
        <v>0.00728812037</v>
      </c>
      <c r="P79" s="5">
        <f>IFERROR(__xludf.DUMMYFUNCTION("""COMPUTED_VALUE"""),0.0021309639557663333)</f>
        <v>0.002130963956</v>
      </c>
      <c r="Q79" s="5">
        <f>IFERROR(__xludf.DUMMYFUNCTION("""COMPUTED_VALUE"""),0.0029689131944444446)</f>
        <v>0.002968913194</v>
      </c>
      <c r="R79" s="4">
        <f>IFERROR(__xludf.DUMMYFUNCTION("""COMPUTED_VALUE"""),45949.02968913305)</f>
        <v>45949.02969</v>
      </c>
      <c r="S79" s="1" t="b">
        <f>IFERROR(__xludf.DUMMYFUNCTION("""COMPUTED_VALUE"""),TRUE)</f>
        <v>1</v>
      </c>
      <c r="T79" s="1" t="b">
        <f>IFERROR(__xludf.DUMMYFUNCTION("""COMPUTED_VALUE"""),FALSE)</f>
        <v>0</v>
      </c>
      <c r="U79" s="1" t="str">
        <f>IFERROR(__xludf.DUMMYFUNCTION("""COMPUTED_VALUE"""),"VALID")</f>
        <v>VALID</v>
      </c>
      <c r="V79" s="1">
        <f>IFERROR(__xludf.DUMMYFUNCTION("""COMPUTED_VALUE"""),4.0)</f>
        <v>4</v>
      </c>
      <c r="W79" s="1">
        <f>IFERROR(__xludf.DUMMYFUNCTION("""COMPUTED_VALUE"""),10.0)</f>
        <v>10</v>
      </c>
      <c r="X79" s="1">
        <f>IFERROR(__xludf.DUMMYFUNCTION("""COMPUTED_VALUE"""),472.0)</f>
        <v>472</v>
      </c>
      <c r="Y79" s="2"/>
      <c r="Z79" s="2"/>
    </row>
    <row r="80">
      <c r="A80" s="1">
        <f>IFERROR(__xludf.DUMMYFUNCTION("""COMPUTED_VALUE"""),79.0)</f>
        <v>79</v>
      </c>
      <c r="B80" s="1">
        <f>IFERROR(__xludf.DUMMYFUNCTION("""COMPUTED_VALUE"""),12074.0)</f>
        <v>12074</v>
      </c>
      <c r="C80" s="2" t="str">
        <f>IFERROR(__xludf.DUMMYFUNCTION("""COMPUTED_VALUE"""),"Doddy Indrawan")</f>
        <v>Doddy Indrawan</v>
      </c>
      <c r="D80" s="2" t="str">
        <f>IFERROR(__xludf.DUMMYFUNCTION("""COMPUTED_VALUE"""),"10KM MASTER M")</f>
        <v>10KM MASTER M</v>
      </c>
      <c r="E80" s="1">
        <f>IFERROR(__xludf.DUMMYFUNCTION("""COMPUTED_VALUE"""),1.0)</f>
        <v>1</v>
      </c>
      <c r="F80" s="1" t="str">
        <f>IFERROR(__xludf.DUMMYFUNCTION("""COMPUTED_VALUE"""),"Male")</f>
        <v>Male</v>
      </c>
      <c r="G80" s="4" t="b">
        <f>IFERROR(__xludf.DUMMYFUNCTION("""COMPUTED_VALUE"""),TRUE)</f>
        <v>1</v>
      </c>
      <c r="H80" s="4" t="b">
        <f>IFERROR(__xludf.DUMMYFUNCTION("""COMPUTED_VALUE"""),TRUE)</f>
        <v>1</v>
      </c>
      <c r="I80" s="4">
        <f>IFERROR(__xludf.DUMMYFUNCTION("""COMPUTED_VALUE"""),0.24646185185185185)</f>
        <v>0.2464618519</v>
      </c>
      <c r="J80" s="4">
        <f>IFERROR(__xludf.DUMMYFUNCTION("""COMPUTED_VALUE"""),45949.25922465861)</f>
        <v>45949.25922</v>
      </c>
      <c r="K80" s="4">
        <f>IFERROR(__xludf.DUMMYFUNCTION("""COMPUTED_VALUE"""),45949.28726978055)</f>
        <v>45949.28727</v>
      </c>
      <c r="L80" s="4">
        <f>IFERROR(__xludf.DUMMYFUNCTION("""COMPUTED_VALUE"""),45949.294796707596)</f>
        <v>45949.2948</v>
      </c>
      <c r="M80" s="1" t="str">
        <f>IFERROR(__xludf.DUMMYFUNCTION("""COMPUTED_VALUE"""),"RFID")</f>
        <v>RFID</v>
      </c>
      <c r="N80" s="5">
        <f>IFERROR(__xludf.DUMMYFUNCTION("""COMPUTED_VALUE"""),0.005105125)</f>
        <v>0.005105125</v>
      </c>
      <c r="O80" s="5">
        <f>IFERROR(__xludf.DUMMYFUNCTION("""COMPUTED_VALUE"""),0.011218050925925926)</f>
        <v>0.01121805093</v>
      </c>
      <c r="P80" s="5">
        <f>IFERROR(__xludf.DUMMYFUNCTION("""COMPUTED_VALUE"""),0.0030975008417886713)</f>
        <v>0.003097500842</v>
      </c>
      <c r="Q80" s="5">
        <f>IFERROR(__xludf.DUMMYFUNCTION("""COMPUTED_VALUE"""),0.0048334861111111104)</f>
        <v>0.004833486111</v>
      </c>
      <c r="R80" s="4">
        <f>IFERROR(__xludf.DUMMYFUNCTION("""COMPUTED_VALUE"""),45949.048334855746)</f>
        <v>45949.04833</v>
      </c>
      <c r="S80" s="1" t="b">
        <f>IFERROR(__xludf.DUMMYFUNCTION("""COMPUTED_VALUE"""),TRUE)</f>
        <v>1</v>
      </c>
      <c r="T80" s="1" t="b">
        <f>IFERROR(__xludf.DUMMYFUNCTION("""COMPUTED_VALUE"""),FALSE)</f>
        <v>0</v>
      </c>
      <c r="U80" s="1" t="str">
        <f>IFERROR(__xludf.DUMMYFUNCTION("""COMPUTED_VALUE"""),"VALID")</f>
        <v>VALID</v>
      </c>
      <c r="V80" s="1">
        <f>IFERROR(__xludf.DUMMYFUNCTION("""COMPUTED_VALUE"""),33.0)</f>
        <v>33</v>
      </c>
      <c r="W80" s="1">
        <f>IFERROR(__xludf.DUMMYFUNCTION("""COMPUTED_VALUE"""),349.0)</f>
        <v>349</v>
      </c>
      <c r="X80" s="1">
        <f>IFERROR(__xludf.DUMMYFUNCTION("""COMPUTED_VALUE"""),1323.0)</f>
        <v>1323</v>
      </c>
      <c r="Y80" s="2"/>
      <c r="Z80" s="2"/>
    </row>
    <row r="81">
      <c r="A81" s="1">
        <f>IFERROR(__xludf.DUMMYFUNCTION("""COMPUTED_VALUE"""),80.0)</f>
        <v>80</v>
      </c>
      <c r="B81" s="1">
        <f>IFERROR(__xludf.DUMMYFUNCTION("""COMPUTED_VALUE"""),12075.0)</f>
        <v>12075</v>
      </c>
      <c r="C81" s="2" t="str">
        <f>IFERROR(__xludf.DUMMYFUNCTION("""COMPUTED_VALUE"""),"GUNAWAN")</f>
        <v>GUNAWAN</v>
      </c>
      <c r="D81" s="2" t="str">
        <f>IFERROR(__xludf.DUMMYFUNCTION("""COMPUTED_VALUE"""),"10KM MASTER M")</f>
        <v>10KM MASTER M</v>
      </c>
      <c r="E81" s="1">
        <f>IFERROR(__xludf.DUMMYFUNCTION("""COMPUTED_VALUE"""),1.0)</f>
        <v>1</v>
      </c>
      <c r="F81" s="1" t="str">
        <f>IFERROR(__xludf.DUMMYFUNCTION("""COMPUTED_VALUE"""),"Male")</f>
        <v>Male</v>
      </c>
      <c r="G81" s="4" t="b">
        <f>IFERROR(__xludf.DUMMYFUNCTION("""COMPUTED_VALUE"""),TRUE)</f>
        <v>1</v>
      </c>
      <c r="H81" s="4" t="b">
        <f>IFERROR(__xludf.DUMMYFUNCTION("""COMPUTED_VALUE"""),TRUE)</f>
        <v>1</v>
      </c>
      <c r="I81" s="4">
        <f>IFERROR(__xludf.DUMMYFUNCTION("""COMPUTED_VALUE"""),0.24646185185185185)</f>
        <v>0.2464618519</v>
      </c>
      <c r="J81" s="4">
        <f>IFERROR(__xludf.DUMMYFUNCTION("""COMPUTED_VALUE"""),45949.261169680154)</f>
        <v>45949.26117</v>
      </c>
      <c r="K81" s="4">
        <f>IFERROR(__xludf.DUMMYFUNCTION("""COMPUTED_VALUE"""),45949.28798933521)</f>
        <v>45949.28799</v>
      </c>
      <c r="L81" s="4">
        <f>IFERROR(__xludf.DUMMYFUNCTION("""COMPUTED_VALUE"""),45949.295463383896)</f>
        <v>45949.29546</v>
      </c>
      <c r="M81" s="1" t="str">
        <f>IFERROR(__xludf.DUMMYFUNCTION("""COMPUTED_VALUE"""),"RFID")</f>
        <v>RFID</v>
      </c>
      <c r="N81" s="5">
        <f>IFERROR(__xludf.DUMMYFUNCTION("""COMPUTED_VALUE"""),0.00588312962962963)</f>
        <v>0.00588312963</v>
      </c>
      <c r="O81" s="5">
        <f>IFERROR(__xludf.DUMMYFUNCTION("""COMPUTED_VALUE"""),0.01072786111111111)</f>
        <v>0.01072786111</v>
      </c>
      <c r="P81" s="5">
        <f>IFERROR(__xludf.DUMMYFUNCTION("""COMPUTED_VALUE"""),0.0030757402011898534)</f>
        <v>0.003075740201</v>
      </c>
      <c r="Q81" s="5">
        <f>IFERROR(__xludf.DUMMYFUNCTION("""COMPUTED_VALUE"""),0.004900152777777778)</f>
        <v>0.004900152778</v>
      </c>
      <c r="R81" s="4">
        <f>IFERROR(__xludf.DUMMYFUNCTION("""COMPUTED_VALUE"""),45949.04900153205)</f>
        <v>45949.049</v>
      </c>
      <c r="S81" s="1" t="b">
        <f>IFERROR(__xludf.DUMMYFUNCTION("""COMPUTED_VALUE"""),TRUE)</f>
        <v>1</v>
      </c>
      <c r="T81" s="1" t="b">
        <f>IFERROR(__xludf.DUMMYFUNCTION("""COMPUTED_VALUE"""),FALSE)</f>
        <v>0</v>
      </c>
      <c r="U81" s="1" t="str">
        <f>IFERROR(__xludf.DUMMYFUNCTION("""COMPUTED_VALUE"""),"VALID")</f>
        <v>VALID</v>
      </c>
      <c r="V81" s="1">
        <f>IFERROR(__xludf.DUMMYFUNCTION("""COMPUTED_VALUE"""),34.0)</f>
        <v>34</v>
      </c>
      <c r="W81" s="1">
        <f>IFERROR(__xludf.DUMMYFUNCTION("""COMPUTED_VALUE"""),370.0)</f>
        <v>370</v>
      </c>
      <c r="X81" s="1">
        <f>IFERROR(__xludf.DUMMYFUNCTION("""COMPUTED_VALUE"""),1343.0)</f>
        <v>1343</v>
      </c>
      <c r="Y81" s="2"/>
      <c r="Z81" s="2"/>
    </row>
    <row r="82">
      <c r="A82" s="1">
        <f>IFERROR(__xludf.DUMMYFUNCTION("""COMPUTED_VALUE"""),81.0)</f>
        <v>81</v>
      </c>
      <c r="B82" s="1">
        <f>IFERROR(__xludf.DUMMYFUNCTION("""COMPUTED_VALUE"""),12076.0)</f>
        <v>12076</v>
      </c>
      <c r="C82" s="2" t="str">
        <f>IFERROR(__xludf.DUMMYFUNCTION("""COMPUTED_VALUE"""),"Erpani")</f>
        <v>Erpani</v>
      </c>
      <c r="D82" s="2" t="str">
        <f>IFERROR(__xludf.DUMMYFUNCTION("""COMPUTED_VALUE"""),"10KM MASTER M")</f>
        <v>10KM MASTER M</v>
      </c>
      <c r="E82" s="1">
        <f>IFERROR(__xludf.DUMMYFUNCTION("""COMPUTED_VALUE"""),1.0)</f>
        <v>1</v>
      </c>
      <c r="F82" s="1" t="str">
        <f>IFERROR(__xludf.DUMMYFUNCTION("""COMPUTED_VALUE"""),"Male")</f>
        <v>Male</v>
      </c>
      <c r="G82" s="4" t="b">
        <f>IFERROR(__xludf.DUMMYFUNCTION("""COMPUTED_VALUE"""),TRUE)</f>
        <v>1</v>
      </c>
      <c r="H82" s="4" t="b">
        <f>IFERROR(__xludf.DUMMYFUNCTION("""COMPUTED_VALUE"""),FALSE)</f>
        <v>0</v>
      </c>
      <c r="I82" s="4">
        <f>IFERROR(__xludf.DUMMYFUNCTION("""COMPUTED_VALUE"""),0.24646185185185185)</f>
        <v>0.2464618519</v>
      </c>
      <c r="J82" s="4">
        <f>IFERROR(__xludf.DUMMYFUNCTION("""COMPUTED_VALUE"""),45949.256985071734)</f>
        <v>45949.25699</v>
      </c>
      <c r="K82" s="4" t="str">
        <f>IFERROR(__xludf.DUMMYFUNCTION("""COMPUTED_VALUE"""),"")</f>
        <v/>
      </c>
      <c r="L82" s="4">
        <f>IFERROR(__xludf.DUMMYFUNCTION("""COMPUTED_VALUE"""),45949.299123100034)</f>
        <v>45949.29912</v>
      </c>
      <c r="M82" s="1" t="str">
        <f>IFERROR(__xludf.DUMMYFUNCTION("""COMPUTED_VALUE"""),"RFID")</f>
        <v>RFID</v>
      </c>
      <c r="N82" s="5">
        <f>IFERROR(__xludf.DUMMYFUNCTION("""COMPUTED_VALUE"""),0.004209287037037037)</f>
        <v>0.004209287037</v>
      </c>
      <c r="O82" s="5" t="str">
        <f>IFERROR(__xludf.DUMMYFUNCTION("""COMPUTED_VALUE"""),"")</f>
        <v/>
      </c>
      <c r="P82" s="5" t="str">
        <f>IFERROR(__xludf.DUMMYFUNCTION("""COMPUTED_VALUE"""),"")</f>
        <v/>
      </c>
      <c r="Q82" s="5">
        <f>IFERROR(__xludf.DUMMYFUNCTION("""COMPUTED_VALUE"""),0.005266125)</f>
        <v>0.005266125</v>
      </c>
      <c r="R82" s="4">
        <f>IFERROR(__xludf.DUMMYFUNCTION("""COMPUTED_VALUE"""),45949.052661248184)</f>
        <v>45949.05266</v>
      </c>
      <c r="S82" s="1" t="b">
        <f>IFERROR(__xludf.DUMMYFUNCTION("""COMPUTED_VALUE"""),TRUE)</f>
        <v>1</v>
      </c>
      <c r="T82" s="1" t="b">
        <f>IFERROR(__xludf.DUMMYFUNCTION("""COMPUTED_VALUE"""),FALSE)</f>
        <v>0</v>
      </c>
      <c r="U82" s="1" t="str">
        <f>IFERROR(__xludf.DUMMYFUNCTION("""COMPUTED_VALUE"""),"VALID")</f>
        <v>VALID</v>
      </c>
      <c r="V82" s="1">
        <f>IFERROR(__xludf.DUMMYFUNCTION("""COMPUTED_VALUE"""),45.0)</f>
        <v>45</v>
      </c>
      <c r="W82" s="1">
        <f>IFERROR(__xludf.DUMMYFUNCTION("""COMPUTED_VALUE"""),470.0)</f>
        <v>470</v>
      </c>
      <c r="X82" s="1">
        <f>IFERROR(__xludf.DUMMYFUNCTION("""COMPUTED_VALUE"""),1448.0)</f>
        <v>1448</v>
      </c>
      <c r="Y82" s="2"/>
      <c r="Z82" s="2"/>
    </row>
    <row r="83">
      <c r="A83" s="1">
        <f>IFERROR(__xludf.DUMMYFUNCTION("""COMPUTED_VALUE"""),82.0)</f>
        <v>82</v>
      </c>
      <c r="B83" s="1">
        <f>IFERROR(__xludf.DUMMYFUNCTION("""COMPUTED_VALUE"""),12079.0)</f>
        <v>12079</v>
      </c>
      <c r="C83" s="2" t="str">
        <f>IFERROR(__xludf.DUMMYFUNCTION("""COMPUTED_VALUE"""),"Hendry J")</f>
        <v>Hendry J</v>
      </c>
      <c r="D83" s="2" t="str">
        <f>IFERROR(__xludf.DUMMYFUNCTION("""COMPUTED_VALUE"""),"10KM MASTER M")</f>
        <v>10KM MASTER M</v>
      </c>
      <c r="E83" s="1">
        <f>IFERROR(__xludf.DUMMYFUNCTION("""COMPUTED_VALUE"""),1.0)</f>
        <v>1</v>
      </c>
      <c r="F83" s="1" t="str">
        <f>IFERROR(__xludf.DUMMYFUNCTION("""COMPUTED_VALUE"""),"Male")</f>
        <v>Male</v>
      </c>
      <c r="G83" s="4" t="b">
        <f>IFERROR(__xludf.DUMMYFUNCTION("""COMPUTED_VALUE"""),TRUE)</f>
        <v>1</v>
      </c>
      <c r="H83" s="4" t="b">
        <f>IFERROR(__xludf.DUMMYFUNCTION("""COMPUTED_VALUE"""),TRUE)</f>
        <v>1</v>
      </c>
      <c r="I83" s="4">
        <f>IFERROR(__xludf.DUMMYFUNCTION("""COMPUTED_VALUE"""),0.24646185185185185)</f>
        <v>0.2464618519</v>
      </c>
      <c r="J83" s="4">
        <f>IFERROR(__xludf.DUMMYFUNCTION("""COMPUTED_VALUE"""),45949.257755858845)</f>
        <v>45949.25776</v>
      </c>
      <c r="K83" s="4">
        <f>IFERROR(__xludf.DUMMYFUNCTION("""COMPUTED_VALUE"""),45949.290846399825)</f>
        <v>45949.29085</v>
      </c>
      <c r="L83" s="4">
        <f>IFERROR(__xludf.DUMMYFUNCTION("""COMPUTED_VALUE"""),45949.30015087973)</f>
        <v>45949.30015</v>
      </c>
      <c r="M83" s="1" t="str">
        <f>IFERROR(__xludf.DUMMYFUNCTION("""COMPUTED_VALUE"""),"RFID")</f>
        <v>RFID</v>
      </c>
      <c r="N83" s="5">
        <f>IFERROR(__xludf.DUMMYFUNCTION("""COMPUTED_VALUE"""),0.004517601851851852)</f>
        <v>0.004517601852</v>
      </c>
      <c r="O83" s="5">
        <f>IFERROR(__xludf.DUMMYFUNCTION("""COMPUTED_VALUE"""),0.013236217592592595)</f>
        <v>0.01323621759</v>
      </c>
      <c r="P83" s="5">
        <f>IFERROR(__xludf.DUMMYFUNCTION("""COMPUTED_VALUE"""),0.0038290040768968483)</f>
        <v>0.003829004077</v>
      </c>
      <c r="Q83" s="5">
        <f>IFERROR(__xludf.DUMMYFUNCTION("""COMPUTED_VALUE"""),0.005368902777777778)</f>
        <v>0.005368902778</v>
      </c>
      <c r="R83" s="4">
        <f>IFERROR(__xludf.DUMMYFUNCTION("""COMPUTED_VALUE"""),45949.05368902788)</f>
        <v>45949.05369</v>
      </c>
      <c r="S83" s="1" t="b">
        <f>IFERROR(__xludf.DUMMYFUNCTION("""COMPUTED_VALUE"""),TRUE)</f>
        <v>1</v>
      </c>
      <c r="T83" s="1" t="b">
        <f>IFERROR(__xludf.DUMMYFUNCTION("""COMPUTED_VALUE"""),FALSE)</f>
        <v>0</v>
      </c>
      <c r="U83" s="1" t="str">
        <f>IFERROR(__xludf.DUMMYFUNCTION("""COMPUTED_VALUE"""),"VALID")</f>
        <v>VALID</v>
      </c>
      <c r="V83" s="1">
        <f>IFERROR(__xludf.DUMMYFUNCTION("""COMPUTED_VALUE"""),47.0)</f>
        <v>47</v>
      </c>
      <c r="W83" s="1">
        <f>IFERROR(__xludf.DUMMYFUNCTION("""COMPUTED_VALUE"""),500.0)</f>
        <v>500</v>
      </c>
      <c r="X83" s="1">
        <f>IFERROR(__xludf.DUMMYFUNCTION("""COMPUTED_VALUE"""),1476.0)</f>
        <v>1476</v>
      </c>
      <c r="Y83" s="2"/>
      <c r="Z83" s="2"/>
    </row>
    <row r="84">
      <c r="A84" s="1">
        <f>IFERROR(__xludf.DUMMYFUNCTION("""COMPUTED_VALUE"""),83.0)</f>
        <v>83</v>
      </c>
      <c r="B84" s="1">
        <f>IFERROR(__xludf.DUMMYFUNCTION("""COMPUTED_VALUE"""),12080.0)</f>
        <v>12080</v>
      </c>
      <c r="C84" s="2" t="str">
        <f>IFERROR(__xludf.DUMMYFUNCTION("""COMPUTED_VALUE"""),"Akhyar Rifani")</f>
        <v>Akhyar Rifani</v>
      </c>
      <c r="D84" s="2" t="str">
        <f>IFERROR(__xludf.DUMMYFUNCTION("""COMPUTED_VALUE"""),"10KM MASTER M")</f>
        <v>10KM MASTER M</v>
      </c>
      <c r="E84" s="1">
        <f>IFERROR(__xludf.DUMMYFUNCTION("""COMPUTED_VALUE"""),1.0)</f>
        <v>1</v>
      </c>
      <c r="F84" s="1" t="str">
        <f>IFERROR(__xludf.DUMMYFUNCTION("""COMPUTED_VALUE"""),"Male")</f>
        <v>Male</v>
      </c>
      <c r="G84" s="4" t="b">
        <f>IFERROR(__xludf.DUMMYFUNCTION("""COMPUTED_VALUE"""),TRUE)</f>
        <v>1</v>
      </c>
      <c r="H84" s="4" t="b">
        <f>IFERROR(__xludf.DUMMYFUNCTION("""COMPUTED_VALUE"""),TRUE)</f>
        <v>1</v>
      </c>
      <c r="I84" s="4">
        <f>IFERROR(__xludf.DUMMYFUNCTION("""COMPUTED_VALUE"""),0.24646185185185185)</f>
        <v>0.2464618519</v>
      </c>
      <c r="J84" s="4">
        <f>IFERROR(__xludf.DUMMYFUNCTION("""COMPUTED_VALUE"""),45949.25815170281)</f>
        <v>45949.25815</v>
      </c>
      <c r="K84" s="4">
        <f>IFERROR(__xludf.DUMMYFUNCTION("""COMPUTED_VALUE"""),45949.29512760928)</f>
        <v>45949.29513</v>
      </c>
      <c r="L84" s="4">
        <f>IFERROR(__xludf.DUMMYFUNCTION("""COMPUTED_VALUE"""),45949.305832010905)</f>
        <v>45949.30583</v>
      </c>
      <c r="M84" s="1" t="str">
        <f>IFERROR(__xludf.DUMMYFUNCTION("""COMPUTED_VALUE"""),"RFID")</f>
        <v>RFID</v>
      </c>
      <c r="N84" s="5">
        <f>IFERROR(__xludf.DUMMYFUNCTION("""COMPUTED_VALUE"""),0.004675939814814815)</f>
        <v>0.004675939815</v>
      </c>
      <c r="O84" s="5">
        <f>IFERROR(__xludf.DUMMYFUNCTION("""COMPUTED_VALUE"""),0.014790361111111112)</f>
        <v>0.01479036111</v>
      </c>
      <c r="P84" s="5">
        <f>IFERROR(__xludf.DUMMYFUNCTION("""COMPUTED_VALUE"""),0.004405103549730117)</f>
        <v>0.00440510355</v>
      </c>
      <c r="Q84" s="5">
        <f>IFERROR(__xludf.DUMMYFUNCTION("""COMPUTED_VALUE"""),0.005937016203703705)</f>
        <v>0.005937016204</v>
      </c>
      <c r="R84" s="4">
        <f>IFERROR(__xludf.DUMMYFUNCTION("""COMPUTED_VALUE"""),45949.059370159055)</f>
        <v>45949.05937</v>
      </c>
      <c r="S84" s="1" t="b">
        <f>IFERROR(__xludf.DUMMYFUNCTION("""COMPUTED_VALUE"""),TRUE)</f>
        <v>1</v>
      </c>
      <c r="T84" s="1" t="b">
        <f>IFERROR(__xludf.DUMMYFUNCTION("""COMPUTED_VALUE"""),FALSE)</f>
        <v>0</v>
      </c>
      <c r="U84" s="1" t="str">
        <f>IFERROR(__xludf.DUMMYFUNCTION("""COMPUTED_VALUE"""),"VALID")</f>
        <v>VALID</v>
      </c>
      <c r="V84" s="1">
        <f>IFERROR(__xludf.DUMMYFUNCTION("""COMPUTED_VALUE"""),60.0)</f>
        <v>60</v>
      </c>
      <c r="W84" s="1">
        <f>IFERROR(__xludf.DUMMYFUNCTION("""COMPUTED_VALUE"""),643.0)</f>
        <v>643</v>
      </c>
      <c r="X84" s="1">
        <f>IFERROR(__xludf.DUMMYFUNCTION("""COMPUTED_VALUE"""),1601.0)</f>
        <v>1601</v>
      </c>
      <c r="Y84" s="2"/>
      <c r="Z84" s="2"/>
    </row>
    <row r="85">
      <c r="A85" s="1">
        <f>IFERROR(__xludf.DUMMYFUNCTION("""COMPUTED_VALUE"""),84.0)</f>
        <v>84</v>
      </c>
      <c r="B85" s="1">
        <f>IFERROR(__xludf.DUMMYFUNCTION("""COMPUTED_VALUE"""),12081.0)</f>
        <v>12081</v>
      </c>
      <c r="C85" s="2" t="str">
        <f>IFERROR(__xludf.DUMMYFUNCTION("""COMPUTED_VALUE"""),"MAHYUDIN")</f>
        <v>MAHYUDIN</v>
      </c>
      <c r="D85" s="2" t="str">
        <f>IFERROR(__xludf.DUMMYFUNCTION("""COMPUTED_VALUE"""),"10KM MASTER M")</f>
        <v>10KM MASTER M</v>
      </c>
      <c r="E85" s="1">
        <f>IFERROR(__xludf.DUMMYFUNCTION("""COMPUTED_VALUE"""),1.0)</f>
        <v>1</v>
      </c>
      <c r="F85" s="1" t="str">
        <f>IFERROR(__xludf.DUMMYFUNCTION("""COMPUTED_VALUE"""),"Male")</f>
        <v>Male</v>
      </c>
      <c r="G85" s="4" t="b">
        <f>IFERROR(__xludf.DUMMYFUNCTION("""COMPUTED_VALUE"""),TRUE)</f>
        <v>1</v>
      </c>
      <c r="H85" s="4" t="b">
        <f>IFERROR(__xludf.DUMMYFUNCTION("""COMPUTED_VALUE"""),FALSE)</f>
        <v>0</v>
      </c>
      <c r="I85" s="4">
        <f>IFERROR(__xludf.DUMMYFUNCTION("""COMPUTED_VALUE"""),0.24646185185185185)</f>
        <v>0.2464618519</v>
      </c>
      <c r="J85" s="4">
        <f>IFERROR(__xludf.DUMMYFUNCTION("""COMPUTED_VALUE"""),45949.25315908829)</f>
        <v>45949.25316</v>
      </c>
      <c r="K85" s="4">
        <f>IFERROR(__xludf.DUMMYFUNCTION("""COMPUTED_VALUE"""),45949.27227829547)</f>
        <v>45949.27228</v>
      </c>
      <c r="L85" s="4">
        <f>IFERROR(__xludf.DUMMYFUNCTION("""COMPUTED_VALUE"""),45949.2777203251)</f>
        <v>45949.27772</v>
      </c>
      <c r="M85" s="1" t="str">
        <f>IFERROR(__xludf.DUMMYFUNCTION("""COMPUTED_VALUE"""),"RFID")</f>
        <v>RFID</v>
      </c>
      <c r="N85" s="5">
        <f>IFERROR(__xludf.DUMMYFUNCTION("""COMPUTED_VALUE"""),0.0026788935185185184)</f>
        <v>0.002678893519</v>
      </c>
      <c r="O85" s="5">
        <f>IFERROR(__xludf.DUMMYFUNCTION("""COMPUTED_VALUE"""),0.007647685185185185)</f>
        <v>0.007647685185</v>
      </c>
      <c r="P85" s="5">
        <f>IFERROR(__xludf.DUMMYFUNCTION("""COMPUTED_VALUE"""),0.0022395183659233383)</f>
        <v>0.002239518366</v>
      </c>
      <c r="Q85" s="5">
        <f>IFERROR(__xludf.DUMMYFUNCTION("""COMPUTED_VALUE"""),0.003125847222222222)</f>
        <v>0.003125847222</v>
      </c>
      <c r="R85" s="4">
        <f>IFERROR(__xludf.DUMMYFUNCTION("""COMPUTED_VALUE"""),45949.03125847325)</f>
        <v>45949.03126</v>
      </c>
      <c r="S85" s="1" t="b">
        <f>IFERROR(__xludf.DUMMYFUNCTION("""COMPUTED_VALUE"""),TRUE)</f>
        <v>1</v>
      </c>
      <c r="T85" s="1" t="b">
        <f>IFERROR(__xludf.DUMMYFUNCTION("""COMPUTED_VALUE"""),FALSE)</f>
        <v>0</v>
      </c>
      <c r="U85" s="1" t="str">
        <f>IFERROR(__xludf.DUMMYFUNCTION("""COMPUTED_VALUE"""),"VALID")</f>
        <v>VALID</v>
      </c>
      <c r="V85" s="1">
        <f>IFERROR(__xludf.DUMMYFUNCTION("""COMPUTED_VALUE"""),5.0)</f>
        <v>5</v>
      </c>
      <c r="W85" s="1">
        <f>IFERROR(__xludf.DUMMYFUNCTION("""COMPUTED_VALUE"""),16.0)</f>
        <v>16</v>
      </c>
      <c r="X85" s="1">
        <f>IFERROR(__xludf.DUMMYFUNCTION("""COMPUTED_VALUE"""),541.0)</f>
        <v>541</v>
      </c>
      <c r="Y85" s="2"/>
      <c r="Z85" s="2"/>
    </row>
    <row r="86">
      <c r="A86" s="1">
        <f>IFERROR(__xludf.DUMMYFUNCTION("""COMPUTED_VALUE"""),85.0)</f>
        <v>85</v>
      </c>
      <c r="B86" s="1">
        <f>IFERROR(__xludf.DUMMYFUNCTION("""COMPUTED_VALUE"""),12083.0)</f>
        <v>12083</v>
      </c>
      <c r="C86" s="2" t="str">
        <f>IFERROR(__xludf.DUMMYFUNCTION("""COMPUTED_VALUE"""),"Diansyah Rasyidi")</f>
        <v>Diansyah Rasyidi</v>
      </c>
      <c r="D86" s="2" t="str">
        <f>IFERROR(__xludf.DUMMYFUNCTION("""COMPUTED_VALUE"""),"10KM MASTER M")</f>
        <v>10KM MASTER M</v>
      </c>
      <c r="E86" s="1">
        <f>IFERROR(__xludf.DUMMYFUNCTION("""COMPUTED_VALUE"""),1.0)</f>
        <v>1</v>
      </c>
      <c r="F86" s="1" t="str">
        <f>IFERROR(__xludf.DUMMYFUNCTION("""COMPUTED_VALUE"""),"Male")</f>
        <v>Male</v>
      </c>
      <c r="G86" s="4" t="str">
        <f>IFERROR(__xludf.DUMMYFUNCTION("""COMPUTED_VALUE"""),"")</f>
        <v/>
      </c>
      <c r="H86" s="4" t="b">
        <f>IFERROR(__xludf.DUMMYFUNCTION("""COMPUTED_VALUE"""),FALSE)</f>
        <v>0</v>
      </c>
      <c r="I86" s="4">
        <f>IFERROR(__xludf.DUMMYFUNCTION("""COMPUTED_VALUE"""),0.24646185185185185)</f>
        <v>0.2464618519</v>
      </c>
      <c r="J86" s="4" t="str">
        <f>IFERROR(__xludf.DUMMYFUNCTION("""COMPUTED_VALUE"""),"")</f>
        <v/>
      </c>
      <c r="K86" s="4" t="str">
        <f>IFERROR(__xludf.DUMMYFUNCTION("""COMPUTED_VALUE"""),"")</f>
        <v/>
      </c>
      <c r="L86" s="4" t="str">
        <f>IFERROR(__xludf.DUMMYFUNCTION("""COMPUTED_VALUE"""),"")</f>
        <v/>
      </c>
      <c r="M86" s="1" t="str">
        <f>IFERROR(__xludf.DUMMYFUNCTION("""COMPUTED_VALUE"""),"RFID")</f>
        <v>RFID</v>
      </c>
      <c r="N86" s="5" t="str">
        <f>IFERROR(__xludf.DUMMYFUNCTION("""COMPUTED_VALUE"""),"")</f>
        <v/>
      </c>
      <c r="O86" s="5" t="str">
        <f>IFERROR(__xludf.DUMMYFUNCTION("""COMPUTED_VALUE"""),"")</f>
        <v/>
      </c>
      <c r="P86" s="5" t="str">
        <f>IFERROR(__xludf.DUMMYFUNCTION("""COMPUTED_VALUE"""),"")</f>
        <v/>
      </c>
      <c r="Q86" s="5" t="str">
        <f>IFERROR(__xludf.DUMMYFUNCTION("""COMPUTED_VALUE"""),"")</f>
        <v/>
      </c>
      <c r="R86" s="4" t="str">
        <f>IFERROR(__xludf.DUMMYFUNCTION("""COMPUTED_VALUE"""),"")</f>
        <v/>
      </c>
      <c r="S86" s="1" t="b">
        <f>IFERROR(__xludf.DUMMYFUNCTION("""COMPUTED_VALUE"""),FALSE)</f>
        <v>0</v>
      </c>
      <c r="T86" s="1" t="b">
        <f>IFERROR(__xludf.DUMMYFUNCTION("""COMPUTED_VALUE"""),FALSE)</f>
        <v>0</v>
      </c>
      <c r="U86" s="1" t="str">
        <f>IFERROR(__xludf.DUMMYFUNCTION("""COMPUTED_VALUE"""),"DSQ")</f>
        <v>DSQ</v>
      </c>
      <c r="V86" s="1" t="str">
        <f>IFERROR(__xludf.DUMMYFUNCTION("""COMPUTED_VALUE"""),"DSQ")</f>
        <v>DSQ</v>
      </c>
      <c r="W86" s="1" t="str">
        <f>IFERROR(__xludf.DUMMYFUNCTION("""COMPUTED_VALUE"""),"DSQ")</f>
        <v>DSQ</v>
      </c>
      <c r="X86" s="1" t="str">
        <f>IFERROR(__xludf.DUMMYFUNCTION("""COMPUTED_VALUE"""),"DSQ")</f>
        <v>DSQ</v>
      </c>
      <c r="Y86" s="2"/>
      <c r="Z86" s="2" t="str">
        <f>IFERROR(__xludf.DUMMYFUNCTION("""COMPUTED_VALUE"""),"")</f>
        <v/>
      </c>
    </row>
    <row r="87">
      <c r="A87" s="1">
        <f>IFERROR(__xludf.DUMMYFUNCTION("""COMPUTED_VALUE"""),86.0)</f>
        <v>86</v>
      </c>
      <c r="B87" s="1">
        <f>IFERROR(__xludf.DUMMYFUNCTION("""COMPUTED_VALUE"""),12084.0)</f>
        <v>12084</v>
      </c>
      <c r="C87" s="2" t="str">
        <f>IFERROR(__xludf.DUMMYFUNCTION("""COMPUTED_VALUE"""),"Suyono")</f>
        <v>Suyono</v>
      </c>
      <c r="D87" s="2" t="str">
        <f>IFERROR(__xludf.DUMMYFUNCTION("""COMPUTED_VALUE"""),"10KM MASTER M")</f>
        <v>10KM MASTER M</v>
      </c>
      <c r="E87" s="1">
        <f>IFERROR(__xludf.DUMMYFUNCTION("""COMPUTED_VALUE"""),1.0)</f>
        <v>1</v>
      </c>
      <c r="F87" s="1" t="str">
        <f>IFERROR(__xludf.DUMMYFUNCTION("""COMPUTED_VALUE"""),"Male")</f>
        <v>Male</v>
      </c>
      <c r="G87" s="4" t="b">
        <f>IFERROR(__xludf.DUMMYFUNCTION("""COMPUTED_VALUE"""),TRUE)</f>
        <v>1</v>
      </c>
      <c r="H87" s="4" t="b">
        <f>IFERROR(__xludf.DUMMYFUNCTION("""COMPUTED_VALUE"""),FALSE)</f>
        <v>0</v>
      </c>
      <c r="I87" s="4">
        <f>IFERROR(__xludf.DUMMYFUNCTION("""COMPUTED_VALUE"""),0.24646185185185185)</f>
        <v>0.2464618519</v>
      </c>
      <c r="J87" s="4">
        <f>IFERROR(__xludf.DUMMYFUNCTION("""COMPUTED_VALUE"""),45949.25651979866)</f>
        <v>45949.25652</v>
      </c>
      <c r="K87" s="4">
        <f>IFERROR(__xludf.DUMMYFUNCTION("""COMPUTED_VALUE"""),45949.28210313167)</f>
        <v>45949.2821</v>
      </c>
      <c r="L87" s="4">
        <f>IFERROR(__xludf.DUMMYFUNCTION("""COMPUTED_VALUE"""),45949.28996706992)</f>
        <v>45949.28997</v>
      </c>
      <c r="M87" s="1" t="str">
        <f>IFERROR(__xludf.DUMMYFUNCTION("""COMPUTED_VALUE"""),"RFID")</f>
        <v>RFID</v>
      </c>
      <c r="N87" s="5">
        <f>IFERROR(__xludf.DUMMYFUNCTION("""COMPUTED_VALUE"""),0.004023180555555556)</f>
        <v>0.004023180556</v>
      </c>
      <c r="O87" s="5">
        <f>IFERROR(__xludf.DUMMYFUNCTION("""COMPUTED_VALUE"""),0.010233333333333334)</f>
        <v>0.01023333333</v>
      </c>
      <c r="P87" s="5">
        <f>IFERROR(__xludf.DUMMYFUNCTION("""COMPUTED_VALUE"""),0.003236188579503056)</f>
        <v>0.00323618858</v>
      </c>
      <c r="Q87" s="5">
        <f>IFERROR(__xludf.DUMMYFUNCTION("""COMPUTED_VALUE"""),0.004350521990740741)</f>
        <v>0.004350521991</v>
      </c>
      <c r="R87" s="4">
        <f>IFERROR(__xludf.DUMMYFUNCTION("""COMPUTED_VALUE"""),45949.04350521807)</f>
        <v>45949.04351</v>
      </c>
      <c r="S87" s="1" t="b">
        <f>IFERROR(__xludf.DUMMYFUNCTION("""COMPUTED_VALUE"""),TRUE)</f>
        <v>1</v>
      </c>
      <c r="T87" s="1" t="b">
        <f>IFERROR(__xludf.DUMMYFUNCTION("""COMPUTED_VALUE"""),FALSE)</f>
        <v>0</v>
      </c>
      <c r="U87" s="1" t="str">
        <f>IFERROR(__xludf.DUMMYFUNCTION("""COMPUTED_VALUE"""),"VALID")</f>
        <v>VALID</v>
      </c>
      <c r="V87" s="1">
        <f>IFERROR(__xludf.DUMMYFUNCTION("""COMPUTED_VALUE"""),21.0)</f>
        <v>21</v>
      </c>
      <c r="W87" s="1">
        <f>IFERROR(__xludf.DUMMYFUNCTION("""COMPUTED_VALUE"""),206.0)</f>
        <v>206</v>
      </c>
      <c r="X87" s="1">
        <f>IFERROR(__xludf.DUMMYFUNCTION("""COMPUTED_VALUE"""),1114.0)</f>
        <v>1114</v>
      </c>
      <c r="Y87" s="2"/>
      <c r="Z87" s="2"/>
    </row>
    <row r="88">
      <c r="A88" s="1">
        <f>IFERROR(__xludf.DUMMYFUNCTION("""COMPUTED_VALUE"""),87.0)</f>
        <v>87</v>
      </c>
      <c r="B88" s="1">
        <f>IFERROR(__xludf.DUMMYFUNCTION("""COMPUTED_VALUE"""),12085.0)</f>
        <v>12085</v>
      </c>
      <c r="C88" s="2" t="str">
        <f>IFERROR(__xludf.DUMMYFUNCTION("""COMPUTED_VALUE"""),"abd XXV")</f>
        <v>abd XXV</v>
      </c>
      <c r="D88" s="2" t="str">
        <f>IFERROR(__xludf.DUMMYFUNCTION("""COMPUTED_VALUE"""),"10KM MASTER M")</f>
        <v>10KM MASTER M</v>
      </c>
      <c r="E88" s="1">
        <f>IFERROR(__xludf.DUMMYFUNCTION("""COMPUTED_VALUE"""),1.0)</f>
        <v>1</v>
      </c>
      <c r="F88" s="1" t="str">
        <f>IFERROR(__xludf.DUMMYFUNCTION("""COMPUTED_VALUE"""),"Male")</f>
        <v>Male</v>
      </c>
      <c r="G88" s="4" t="b">
        <f>IFERROR(__xludf.DUMMYFUNCTION("""COMPUTED_VALUE"""),TRUE)</f>
        <v>1</v>
      </c>
      <c r="H88" s="4" t="b">
        <f>IFERROR(__xludf.DUMMYFUNCTION("""COMPUTED_VALUE"""),FALSE)</f>
        <v>0</v>
      </c>
      <c r="I88" s="4">
        <f>IFERROR(__xludf.DUMMYFUNCTION("""COMPUTED_VALUE"""),0.24646185185185185)</f>
        <v>0.2464618519</v>
      </c>
      <c r="J88" s="4">
        <f>IFERROR(__xludf.DUMMYFUNCTION("""COMPUTED_VALUE"""),45949.256922536064)</f>
        <v>45949.25692</v>
      </c>
      <c r="K88" s="4">
        <f>IFERROR(__xludf.DUMMYFUNCTION("""COMPUTED_VALUE"""),45949.28660311392)</f>
        <v>45949.2866</v>
      </c>
      <c r="L88" s="4">
        <f>IFERROR(__xludf.DUMMYFUNCTION("""COMPUTED_VALUE"""),45949.295807072725)</f>
        <v>45949.29581</v>
      </c>
      <c r="M88" s="1" t="str">
        <f>IFERROR(__xludf.DUMMYFUNCTION("""COMPUTED_VALUE"""),"RFID")</f>
        <v>RFID</v>
      </c>
      <c r="N88" s="5">
        <f>IFERROR(__xludf.DUMMYFUNCTION("""COMPUTED_VALUE"""),0.004184273148148148)</f>
        <v>0.004184273148</v>
      </c>
      <c r="O88" s="5">
        <f>IFERROR(__xludf.DUMMYFUNCTION("""COMPUTED_VALUE"""),0.011872231481481482)</f>
        <v>0.01187223148</v>
      </c>
      <c r="P88" s="5">
        <f>IFERROR(__xludf.DUMMYFUNCTION("""COMPUTED_VALUE"""),0.0037876373684367186)</f>
        <v>0.003787637368</v>
      </c>
      <c r="Q88" s="5">
        <f>IFERROR(__xludf.DUMMYFUNCTION("""COMPUTED_VALUE"""),0.00493452199074074)</f>
        <v>0.004934521991</v>
      </c>
      <c r="R88" s="4">
        <f>IFERROR(__xludf.DUMMYFUNCTION("""COMPUTED_VALUE"""),45949.049345220876)</f>
        <v>45949.04935</v>
      </c>
      <c r="S88" s="1" t="b">
        <f>IFERROR(__xludf.DUMMYFUNCTION("""COMPUTED_VALUE"""),TRUE)</f>
        <v>1</v>
      </c>
      <c r="T88" s="1" t="b">
        <f>IFERROR(__xludf.DUMMYFUNCTION("""COMPUTED_VALUE"""),FALSE)</f>
        <v>0</v>
      </c>
      <c r="U88" s="1" t="str">
        <f>IFERROR(__xludf.DUMMYFUNCTION("""COMPUTED_VALUE"""),"VALID")</f>
        <v>VALID</v>
      </c>
      <c r="V88" s="1">
        <f>IFERROR(__xludf.DUMMYFUNCTION("""COMPUTED_VALUE"""),36.0)</f>
        <v>36</v>
      </c>
      <c r="W88" s="1">
        <f>IFERROR(__xludf.DUMMYFUNCTION("""COMPUTED_VALUE"""),382.0)</f>
        <v>382</v>
      </c>
      <c r="X88" s="1">
        <f>IFERROR(__xludf.DUMMYFUNCTION("""COMPUTED_VALUE"""),1355.0)</f>
        <v>1355</v>
      </c>
      <c r="Y88" s="2"/>
      <c r="Z88" s="2"/>
    </row>
    <row r="89">
      <c r="A89" s="1">
        <f>IFERROR(__xludf.DUMMYFUNCTION("""COMPUTED_VALUE"""),88.0)</f>
        <v>88</v>
      </c>
      <c r="B89" s="1">
        <f>IFERROR(__xludf.DUMMYFUNCTION("""COMPUTED_VALUE"""),12086.0)</f>
        <v>12086</v>
      </c>
      <c r="C89" s="2" t="str">
        <f>IFERROR(__xludf.DUMMYFUNCTION("""COMPUTED_VALUE"""),"jimmy lee")</f>
        <v>jimmy lee</v>
      </c>
      <c r="D89" s="2" t="str">
        <f>IFERROR(__xludf.DUMMYFUNCTION("""COMPUTED_VALUE"""),"10KM MASTER M")</f>
        <v>10KM MASTER M</v>
      </c>
      <c r="E89" s="1">
        <f>IFERROR(__xludf.DUMMYFUNCTION("""COMPUTED_VALUE"""),1.0)</f>
        <v>1</v>
      </c>
      <c r="F89" s="1" t="str">
        <f>IFERROR(__xludf.DUMMYFUNCTION("""COMPUTED_VALUE"""),"Male")</f>
        <v>Male</v>
      </c>
      <c r="G89" s="4" t="str">
        <f>IFERROR(__xludf.DUMMYFUNCTION("""COMPUTED_VALUE"""),"")</f>
        <v/>
      </c>
      <c r="H89" s="4" t="b">
        <f>IFERROR(__xludf.DUMMYFUNCTION("""COMPUTED_VALUE"""),FALSE)</f>
        <v>0</v>
      </c>
      <c r="I89" s="4">
        <f>IFERROR(__xludf.DUMMYFUNCTION("""COMPUTED_VALUE"""),0.24646185185185185)</f>
        <v>0.2464618519</v>
      </c>
      <c r="J89" s="4">
        <f>IFERROR(__xludf.DUMMYFUNCTION("""COMPUTED_VALUE"""),45949.25269341818)</f>
        <v>45949.25269</v>
      </c>
      <c r="K89" s="4">
        <f>IFERROR(__xludf.DUMMYFUNCTION("""COMPUTED_VALUE"""),45949.27045300836)</f>
        <v>45949.27045</v>
      </c>
      <c r="L89" s="4">
        <f>IFERROR(__xludf.DUMMYFUNCTION("""COMPUTED_VALUE"""),45949.27583489813)</f>
        <v>45949.27583</v>
      </c>
      <c r="M89" s="1" t="str">
        <f>IFERROR(__xludf.DUMMYFUNCTION("""COMPUTED_VALUE"""),"RFID")</f>
        <v>RFID</v>
      </c>
      <c r="N89" s="5">
        <f>IFERROR(__xludf.DUMMYFUNCTION("""COMPUTED_VALUE"""),0.002492625)</f>
        <v>0.002492625</v>
      </c>
      <c r="O89" s="5">
        <f>IFERROR(__xludf.DUMMYFUNCTION("""COMPUTED_VALUE"""),0.007103837962962964)</f>
        <v>0.007103837963</v>
      </c>
      <c r="P89" s="5">
        <f>IFERROR(__xludf.DUMMYFUNCTION("""COMPUTED_VALUE"""),0.00221476945360172)</f>
        <v>0.002214769454</v>
      </c>
      <c r="Q89" s="5">
        <f>IFERROR(__xludf.DUMMYFUNCTION("""COMPUTED_VALUE"""),0.0029373043981481485)</f>
        <v>0.002937304398</v>
      </c>
      <c r="R89" s="4">
        <f>IFERROR(__xludf.DUMMYFUNCTION("""COMPUTED_VALUE"""),45949.02937304628)</f>
        <v>45949.02937</v>
      </c>
      <c r="S89" s="1" t="b">
        <f>IFERROR(__xludf.DUMMYFUNCTION("""COMPUTED_VALUE"""),TRUE)</f>
        <v>1</v>
      </c>
      <c r="T89" s="1" t="b">
        <f>IFERROR(__xludf.DUMMYFUNCTION("""COMPUTED_VALUE"""),FALSE)</f>
        <v>0</v>
      </c>
      <c r="U89" s="1" t="str">
        <f>IFERROR(__xludf.DUMMYFUNCTION("""COMPUTED_VALUE"""),"VALID")</f>
        <v>VALID</v>
      </c>
      <c r="V89" s="1">
        <f>IFERROR(__xludf.DUMMYFUNCTION("""COMPUTED_VALUE"""),3.0)</f>
        <v>3</v>
      </c>
      <c r="W89" s="1">
        <f>IFERROR(__xludf.DUMMYFUNCTION("""COMPUTED_VALUE"""),9.0)</f>
        <v>9</v>
      </c>
      <c r="X89" s="1">
        <f>IFERROR(__xludf.DUMMYFUNCTION("""COMPUTED_VALUE"""),453.0)</f>
        <v>453</v>
      </c>
      <c r="Y89" s="2"/>
      <c r="Z89" s="2"/>
    </row>
    <row r="90">
      <c r="A90" s="1">
        <f>IFERROR(__xludf.DUMMYFUNCTION("""COMPUTED_VALUE"""),89.0)</f>
        <v>89</v>
      </c>
      <c r="B90" s="1">
        <f>IFERROR(__xludf.DUMMYFUNCTION("""COMPUTED_VALUE"""),12089.0)</f>
        <v>12089</v>
      </c>
      <c r="C90" s="2" t="str">
        <f>IFERROR(__xludf.DUMMYFUNCTION("""COMPUTED_VALUE"""),"hasnul")</f>
        <v>hasnul</v>
      </c>
      <c r="D90" s="2" t="str">
        <f>IFERROR(__xludf.DUMMYFUNCTION("""COMPUTED_VALUE"""),"10KM MASTER M")</f>
        <v>10KM MASTER M</v>
      </c>
      <c r="E90" s="1">
        <f>IFERROR(__xludf.DUMMYFUNCTION("""COMPUTED_VALUE"""),1.0)</f>
        <v>1</v>
      </c>
      <c r="F90" s="1" t="str">
        <f>IFERROR(__xludf.DUMMYFUNCTION("""COMPUTED_VALUE"""),"Male")</f>
        <v>Male</v>
      </c>
      <c r="G90" s="4" t="str">
        <f>IFERROR(__xludf.DUMMYFUNCTION("""COMPUTED_VALUE"""),"")</f>
        <v/>
      </c>
      <c r="H90" s="4" t="b">
        <f>IFERROR(__xludf.DUMMYFUNCTION("""COMPUTED_VALUE"""),FALSE)</f>
        <v>0</v>
      </c>
      <c r="I90" s="4">
        <f>IFERROR(__xludf.DUMMYFUNCTION("""COMPUTED_VALUE"""),0.24646185185185185)</f>
        <v>0.2464618519</v>
      </c>
      <c r="J90" s="4" t="str">
        <f>IFERROR(__xludf.DUMMYFUNCTION("""COMPUTED_VALUE"""),"")</f>
        <v/>
      </c>
      <c r="K90" s="4" t="str">
        <f>IFERROR(__xludf.DUMMYFUNCTION("""COMPUTED_VALUE"""),"")</f>
        <v/>
      </c>
      <c r="L90" s="4" t="str">
        <f>IFERROR(__xludf.DUMMYFUNCTION("""COMPUTED_VALUE"""),"")</f>
        <v/>
      </c>
      <c r="M90" s="1" t="str">
        <f>IFERROR(__xludf.DUMMYFUNCTION("""COMPUTED_VALUE"""),"RFID")</f>
        <v>RFID</v>
      </c>
      <c r="N90" s="5" t="str">
        <f>IFERROR(__xludf.DUMMYFUNCTION("""COMPUTED_VALUE"""),"")</f>
        <v/>
      </c>
      <c r="O90" s="5" t="str">
        <f>IFERROR(__xludf.DUMMYFUNCTION("""COMPUTED_VALUE"""),"")</f>
        <v/>
      </c>
      <c r="P90" s="5" t="str">
        <f>IFERROR(__xludf.DUMMYFUNCTION("""COMPUTED_VALUE"""),"")</f>
        <v/>
      </c>
      <c r="Q90" s="5" t="str">
        <f>IFERROR(__xludf.DUMMYFUNCTION("""COMPUTED_VALUE"""),"")</f>
        <v/>
      </c>
      <c r="R90" s="4" t="str">
        <f>IFERROR(__xludf.DUMMYFUNCTION("""COMPUTED_VALUE"""),"")</f>
        <v/>
      </c>
      <c r="S90" s="1" t="b">
        <f>IFERROR(__xludf.DUMMYFUNCTION("""COMPUTED_VALUE"""),FALSE)</f>
        <v>0</v>
      </c>
      <c r="T90" s="1" t="b">
        <f>IFERROR(__xludf.DUMMYFUNCTION("""COMPUTED_VALUE"""),FALSE)</f>
        <v>0</v>
      </c>
      <c r="U90" s="1" t="str">
        <f>IFERROR(__xludf.DUMMYFUNCTION("""COMPUTED_VALUE"""),"DSQ")</f>
        <v>DSQ</v>
      </c>
      <c r="V90" s="1" t="str">
        <f>IFERROR(__xludf.DUMMYFUNCTION("""COMPUTED_VALUE"""),"DSQ")</f>
        <v>DSQ</v>
      </c>
      <c r="W90" s="1" t="str">
        <f>IFERROR(__xludf.DUMMYFUNCTION("""COMPUTED_VALUE"""),"DSQ")</f>
        <v>DSQ</v>
      </c>
      <c r="X90" s="1" t="str">
        <f>IFERROR(__xludf.DUMMYFUNCTION("""COMPUTED_VALUE"""),"DSQ")</f>
        <v>DSQ</v>
      </c>
      <c r="Y90" s="2"/>
      <c r="Z90" s="2" t="str">
        <f>IFERROR(__xludf.DUMMYFUNCTION("""COMPUTED_VALUE"""),"")</f>
        <v/>
      </c>
    </row>
    <row r="91">
      <c r="A91" s="1">
        <f>IFERROR(__xludf.DUMMYFUNCTION("""COMPUTED_VALUE"""),90.0)</f>
        <v>90</v>
      </c>
      <c r="B91" s="1">
        <f>IFERROR(__xludf.DUMMYFUNCTION("""COMPUTED_VALUE"""),12090.0)</f>
        <v>12090</v>
      </c>
      <c r="C91" s="2" t="str">
        <f>IFERROR(__xludf.DUMMYFUNCTION("""COMPUTED_VALUE"""),"fakhru")</f>
        <v>fakhru</v>
      </c>
      <c r="D91" s="2" t="str">
        <f>IFERROR(__xludf.DUMMYFUNCTION("""COMPUTED_VALUE"""),"10KM MASTER M")</f>
        <v>10KM MASTER M</v>
      </c>
      <c r="E91" s="1">
        <f>IFERROR(__xludf.DUMMYFUNCTION("""COMPUTED_VALUE"""),1.0)</f>
        <v>1</v>
      </c>
      <c r="F91" s="1" t="str">
        <f>IFERROR(__xludf.DUMMYFUNCTION("""COMPUTED_VALUE"""),"Male")</f>
        <v>Male</v>
      </c>
      <c r="G91" s="4" t="b">
        <f>IFERROR(__xludf.DUMMYFUNCTION("""COMPUTED_VALUE"""),TRUE)</f>
        <v>1</v>
      </c>
      <c r="H91" s="4" t="b">
        <f>IFERROR(__xludf.DUMMYFUNCTION("""COMPUTED_VALUE"""),TRUE)</f>
        <v>1</v>
      </c>
      <c r="I91" s="4">
        <f>IFERROR(__xludf.DUMMYFUNCTION("""COMPUTED_VALUE"""),0.24646185185185185)</f>
        <v>0.2464618519</v>
      </c>
      <c r="J91" s="4">
        <f>IFERROR(__xludf.DUMMYFUNCTION("""COMPUTED_VALUE"""),45949.25442952552)</f>
        <v>45949.25443</v>
      </c>
      <c r="K91" s="4">
        <f>IFERROR(__xludf.DUMMYFUNCTION("""COMPUTED_VALUE"""),45949.32017361111)</f>
        <v>45949.32017</v>
      </c>
      <c r="L91" s="4">
        <f>IFERROR(__xludf.DUMMYFUNCTION("""COMPUTED_VALUE"""),45949.28536268343)</f>
        <v>45949.28536</v>
      </c>
      <c r="M91" s="1" t="str">
        <f>IFERROR(__xludf.DUMMYFUNCTION("""COMPUTED_VALUE"""),"RFID")</f>
        <v>RFID</v>
      </c>
      <c r="N91" s="5">
        <f>IFERROR(__xludf.DUMMYFUNCTION("""COMPUTED_VALUE"""),0.0031870694444444446)</f>
        <v>0.003187069444</v>
      </c>
      <c r="O91" s="5">
        <f>IFERROR(__xludf.DUMMYFUNCTION("""COMPUTED_VALUE"""),0.026297634259259257)</f>
        <v>0.02629763426</v>
      </c>
      <c r="P91" s="5">
        <f>IFERROR(__xludf.DUMMYFUNCTION("""COMPUTED_VALUE"""),-0.014325484639793488)</f>
        <v>-0.01432548464</v>
      </c>
      <c r="Q91" s="5">
        <f>IFERROR(__xludf.DUMMYFUNCTION("""COMPUTED_VALUE"""),0.0038900833333333335)</f>
        <v>0.003890083333</v>
      </c>
      <c r="R91" s="4">
        <f>IFERROR(__xludf.DUMMYFUNCTION("""COMPUTED_VALUE"""),45949.03890083158)</f>
        <v>45949.0389</v>
      </c>
      <c r="S91" s="1" t="b">
        <f>IFERROR(__xludf.DUMMYFUNCTION("""COMPUTED_VALUE"""),TRUE)</f>
        <v>1</v>
      </c>
      <c r="T91" s="1" t="b">
        <f>IFERROR(__xludf.DUMMYFUNCTION("""COMPUTED_VALUE"""),FALSE)</f>
        <v>0</v>
      </c>
      <c r="U91" s="1" t="str">
        <f>IFERROR(__xludf.DUMMYFUNCTION("""COMPUTED_VALUE"""),"VALID")</f>
        <v>VALID</v>
      </c>
      <c r="V91" s="1">
        <f>IFERROR(__xludf.DUMMYFUNCTION("""COMPUTED_VALUE"""),12.0)</f>
        <v>12</v>
      </c>
      <c r="W91" s="1">
        <f>IFERROR(__xludf.DUMMYFUNCTION("""COMPUTED_VALUE"""),98.0)</f>
        <v>98</v>
      </c>
      <c r="X91" s="1">
        <f>IFERROR(__xludf.DUMMYFUNCTION("""COMPUTED_VALUE"""),920.0)</f>
        <v>920</v>
      </c>
      <c r="Y91" s="2"/>
      <c r="Z91" s="2"/>
    </row>
    <row r="92">
      <c r="A92" s="1">
        <f>IFERROR(__xludf.DUMMYFUNCTION("""COMPUTED_VALUE"""),91.0)</f>
        <v>91</v>
      </c>
      <c r="B92" s="1">
        <f>IFERROR(__xludf.DUMMYFUNCTION("""COMPUTED_VALUE"""),12091.0)</f>
        <v>12091</v>
      </c>
      <c r="C92" s="2" t="str">
        <f>IFERROR(__xludf.DUMMYFUNCTION("""COMPUTED_VALUE"""),"ANWARI DELMO")</f>
        <v>ANWARI DELMO</v>
      </c>
      <c r="D92" s="2" t="str">
        <f>IFERROR(__xludf.DUMMYFUNCTION("""COMPUTED_VALUE"""),"10KM MASTER M")</f>
        <v>10KM MASTER M</v>
      </c>
      <c r="E92" s="1">
        <f>IFERROR(__xludf.DUMMYFUNCTION("""COMPUTED_VALUE"""),1.0)</f>
        <v>1</v>
      </c>
      <c r="F92" s="1" t="str">
        <f>IFERROR(__xludf.DUMMYFUNCTION("""COMPUTED_VALUE"""),"Male")</f>
        <v>Male</v>
      </c>
      <c r="G92" s="4" t="b">
        <f>IFERROR(__xludf.DUMMYFUNCTION("""COMPUTED_VALUE"""),TRUE)</f>
        <v>1</v>
      </c>
      <c r="H92" s="4" t="b">
        <f>IFERROR(__xludf.DUMMYFUNCTION("""COMPUTED_VALUE"""),TRUE)</f>
        <v>1</v>
      </c>
      <c r="I92" s="4">
        <f>IFERROR(__xludf.DUMMYFUNCTION("""COMPUTED_VALUE"""),0.24646185185185185)</f>
        <v>0.2464618519</v>
      </c>
      <c r="J92" s="4">
        <f>IFERROR(__xludf.DUMMYFUNCTION("""COMPUTED_VALUE"""),45949.25443295759)</f>
        <v>45949.25443</v>
      </c>
      <c r="K92" s="4">
        <f>IFERROR(__xludf.DUMMYFUNCTION("""COMPUTED_VALUE"""),45949.27587902794)</f>
        <v>45949.27588</v>
      </c>
      <c r="L92" s="4">
        <f>IFERROR(__xludf.DUMMYFUNCTION("""COMPUTED_VALUE"""),45949.28209878489)</f>
        <v>45949.2821</v>
      </c>
      <c r="M92" s="1" t="str">
        <f>IFERROR(__xludf.DUMMYFUNCTION("""COMPUTED_VALUE"""),"RFID")</f>
        <v>RFID</v>
      </c>
      <c r="N92" s="5">
        <f>IFERROR(__xludf.DUMMYFUNCTION("""COMPUTED_VALUE"""),0.0031884444444444443)</f>
        <v>0.003188444444</v>
      </c>
      <c r="O92" s="5">
        <f>IFERROR(__xludf.DUMMYFUNCTION("""COMPUTED_VALUE"""),0.008578425925925927)</f>
        <v>0.008578425926</v>
      </c>
      <c r="P92" s="5">
        <f>IFERROR(__xludf.DUMMYFUNCTION("""COMPUTED_VALUE"""),0.0025595707611426126)</f>
        <v>0.002559570761</v>
      </c>
      <c r="Q92" s="5">
        <f>IFERROR(__xludf.DUMMYFUNCTION("""COMPUTED_VALUE"""),0.003563693287037037)</f>
        <v>0.003563693287</v>
      </c>
      <c r="R92" s="4">
        <f>IFERROR(__xludf.DUMMYFUNCTION("""COMPUTED_VALUE"""),45949.03563693304)</f>
        <v>45949.03564</v>
      </c>
      <c r="S92" s="1" t="b">
        <f>IFERROR(__xludf.DUMMYFUNCTION("""COMPUTED_VALUE"""),TRUE)</f>
        <v>1</v>
      </c>
      <c r="T92" s="1" t="b">
        <f>IFERROR(__xludf.DUMMYFUNCTION("""COMPUTED_VALUE"""),FALSE)</f>
        <v>0</v>
      </c>
      <c r="U92" s="1" t="str">
        <f>IFERROR(__xludf.DUMMYFUNCTION("""COMPUTED_VALUE"""),"VALID")</f>
        <v>VALID</v>
      </c>
      <c r="V92" s="1">
        <f>IFERROR(__xludf.DUMMYFUNCTION("""COMPUTED_VALUE"""),8.0)</f>
        <v>8</v>
      </c>
      <c r="W92" s="1">
        <f>IFERROR(__xludf.DUMMYFUNCTION("""COMPUTED_VALUE"""),46.0)</f>
        <v>46</v>
      </c>
      <c r="X92" s="1">
        <f>IFERROR(__xludf.DUMMYFUNCTION("""COMPUTED_VALUE"""),756.0)</f>
        <v>756</v>
      </c>
      <c r="Y92" s="2"/>
      <c r="Z92" s="2"/>
    </row>
    <row r="93">
      <c r="A93" s="1">
        <f>IFERROR(__xludf.DUMMYFUNCTION("""COMPUTED_VALUE"""),92.0)</f>
        <v>92</v>
      </c>
      <c r="B93" s="1">
        <f>IFERROR(__xludf.DUMMYFUNCTION("""COMPUTED_VALUE"""),10004.0)</f>
        <v>10004</v>
      </c>
      <c r="C93" s="2" t="str">
        <f>IFERROR(__xludf.DUMMYFUNCTION("""COMPUTED_VALUE"""),"Sulistiyana")</f>
        <v>Sulistiyana</v>
      </c>
      <c r="D93" s="2" t="str">
        <f>IFERROR(__xludf.DUMMYFUNCTION("""COMPUTED_VALUE"""),"10KM OVERALL F")</f>
        <v>10KM OVERALL F</v>
      </c>
      <c r="E93" s="1">
        <f>IFERROR(__xludf.DUMMYFUNCTION("""COMPUTED_VALUE"""),1.0)</f>
        <v>1</v>
      </c>
      <c r="F93" s="1" t="str">
        <f>IFERROR(__xludf.DUMMYFUNCTION("""COMPUTED_VALUE"""),"Female")</f>
        <v>Female</v>
      </c>
      <c r="G93" s="4" t="b">
        <f>IFERROR(__xludf.DUMMYFUNCTION("""COMPUTED_VALUE"""),TRUE)</f>
        <v>1</v>
      </c>
      <c r="H93" s="4" t="b">
        <f>IFERROR(__xludf.DUMMYFUNCTION("""COMPUTED_VALUE"""),TRUE)</f>
        <v>1</v>
      </c>
      <c r="I93" s="4">
        <f>IFERROR(__xludf.DUMMYFUNCTION("""COMPUTED_VALUE"""),0.24646185185185185)</f>
        <v>0.2464618519</v>
      </c>
      <c r="J93" s="4">
        <f>IFERROR(__xludf.DUMMYFUNCTION("""COMPUTED_VALUE"""),45949.2796933506)</f>
        <v>45949.27969</v>
      </c>
      <c r="K93" s="4">
        <f>IFERROR(__xludf.DUMMYFUNCTION("""COMPUTED_VALUE"""),45949.32506166909)</f>
        <v>45949.32506</v>
      </c>
      <c r="L93" s="4">
        <f>IFERROR(__xludf.DUMMYFUNCTION("""COMPUTED_VALUE"""),45949.3384595691)</f>
        <v>45949.33846</v>
      </c>
      <c r="M93" s="1" t="str">
        <f>IFERROR(__xludf.DUMMYFUNCTION("""COMPUTED_VALUE"""),"RFID")</f>
        <v>RFID</v>
      </c>
      <c r="N93" s="5">
        <f>IFERROR(__xludf.DUMMYFUNCTION("""COMPUTED_VALUE"""),0.013292597222222221)</f>
        <v>0.01329259722</v>
      </c>
      <c r="O93" s="5">
        <f>IFERROR(__xludf.DUMMYFUNCTION("""COMPUTED_VALUE"""),0.018147328703703704)</f>
        <v>0.0181473287</v>
      </c>
      <c r="P93" s="5">
        <f>IFERROR(__xludf.DUMMYFUNCTION("""COMPUTED_VALUE"""),0.005513539098475297)</f>
        <v>0.005513539098</v>
      </c>
      <c r="Q93" s="5">
        <f>IFERROR(__xludf.DUMMYFUNCTION("""COMPUTED_VALUE"""),0.00919977199074074)</f>
        <v>0.009199771991</v>
      </c>
      <c r="R93" s="4">
        <f>IFERROR(__xludf.DUMMYFUNCTION("""COMPUTED_VALUE"""),45949.09199771725)</f>
        <v>45949.092</v>
      </c>
      <c r="S93" s="1" t="b">
        <f>IFERROR(__xludf.DUMMYFUNCTION("""COMPUTED_VALUE"""),TRUE)</f>
        <v>1</v>
      </c>
      <c r="T93" s="1" t="b">
        <f>IFERROR(__xludf.DUMMYFUNCTION("""COMPUTED_VALUE"""),FALSE)</f>
        <v>0</v>
      </c>
      <c r="U93" s="1" t="str">
        <f>IFERROR(__xludf.DUMMYFUNCTION("""COMPUTED_VALUE"""),"VALID")</f>
        <v>VALID</v>
      </c>
      <c r="V93" s="1">
        <f>IFERROR(__xludf.DUMMYFUNCTION("""COMPUTED_VALUE"""),72.0)</f>
        <v>72</v>
      </c>
      <c r="W93" s="1">
        <f>IFERROR(__xludf.DUMMYFUNCTION("""COMPUTED_VALUE"""),759.0)</f>
        <v>759</v>
      </c>
      <c r="X93" s="1">
        <f>IFERROR(__xludf.DUMMYFUNCTION("""COMPUTED_VALUE"""),688.0)</f>
        <v>688</v>
      </c>
      <c r="Y93" s="2"/>
      <c r="Z93" s="2"/>
    </row>
    <row r="94">
      <c r="A94" s="1">
        <f>IFERROR(__xludf.DUMMYFUNCTION("""COMPUTED_VALUE"""),93.0)</f>
        <v>93</v>
      </c>
      <c r="B94" s="1">
        <f>IFERROR(__xludf.DUMMYFUNCTION("""COMPUTED_VALUE"""),10014.0)</f>
        <v>10014</v>
      </c>
      <c r="C94" s="2" t="str">
        <f>IFERROR(__xludf.DUMMYFUNCTION("""COMPUTED_VALUE"""),"mahesi")</f>
        <v>mahesi</v>
      </c>
      <c r="D94" s="2" t="str">
        <f>IFERROR(__xludf.DUMMYFUNCTION("""COMPUTED_VALUE"""),"10KM OVERALL F")</f>
        <v>10KM OVERALL F</v>
      </c>
      <c r="E94" s="1">
        <f>IFERROR(__xludf.DUMMYFUNCTION("""COMPUTED_VALUE"""),1.0)</f>
        <v>1</v>
      </c>
      <c r="F94" s="1" t="str">
        <f>IFERROR(__xludf.DUMMYFUNCTION("""COMPUTED_VALUE"""),"Female")</f>
        <v>Female</v>
      </c>
      <c r="G94" s="4" t="b">
        <f>IFERROR(__xludf.DUMMYFUNCTION("""COMPUTED_VALUE"""),TRUE)</f>
        <v>1</v>
      </c>
      <c r="H94" s="4" t="b">
        <f>IFERROR(__xludf.DUMMYFUNCTION("""COMPUTED_VALUE"""),TRUE)</f>
        <v>1</v>
      </c>
      <c r="I94" s="4">
        <f>IFERROR(__xludf.DUMMYFUNCTION("""COMPUTED_VALUE"""),0.24646185185185185)</f>
        <v>0.2464618519</v>
      </c>
      <c r="J94" s="4">
        <f>IFERROR(__xludf.DUMMYFUNCTION("""COMPUTED_VALUE"""),45949.257783635956)</f>
        <v>45949.25778</v>
      </c>
      <c r="K94" s="4">
        <f>IFERROR(__xludf.DUMMYFUNCTION("""COMPUTED_VALUE"""),45949.288287102885)</f>
        <v>45949.28829</v>
      </c>
      <c r="L94" s="4">
        <f>IFERROR(__xludf.DUMMYFUNCTION("""COMPUTED_VALUE"""),45949.29716476558)</f>
        <v>45949.29716</v>
      </c>
      <c r="M94" s="1" t="str">
        <f>IFERROR(__xludf.DUMMYFUNCTION("""COMPUTED_VALUE"""),"RFID")</f>
        <v>RFID</v>
      </c>
      <c r="N94" s="5">
        <f>IFERROR(__xludf.DUMMYFUNCTION("""COMPUTED_VALUE"""),0.004528712962962963)</f>
        <v>0.004528712963</v>
      </c>
      <c r="O94" s="5">
        <f>IFERROR(__xludf.DUMMYFUNCTION("""COMPUTED_VALUE"""),0.01220138888888889)</f>
        <v>0.01220138889</v>
      </c>
      <c r="P94" s="5">
        <f>IFERROR(__xludf.DUMMYFUNCTION("""COMPUTED_VALUE"""),0.0036533591335106623)</f>
        <v>0.003653359134</v>
      </c>
      <c r="Q94" s="5">
        <f>IFERROR(__xludf.DUMMYFUNCTION("""COMPUTED_VALUE"""),0.0050702916666666665)</f>
        <v>0.005070291667</v>
      </c>
      <c r="R94" s="4">
        <f>IFERROR(__xludf.DUMMYFUNCTION("""COMPUTED_VALUE"""),45949.05070291373)</f>
        <v>45949.0507</v>
      </c>
      <c r="S94" s="1" t="b">
        <f>IFERROR(__xludf.DUMMYFUNCTION("""COMPUTED_VALUE"""),TRUE)</f>
        <v>1</v>
      </c>
      <c r="T94" s="1" t="b">
        <f>IFERROR(__xludf.DUMMYFUNCTION("""COMPUTED_VALUE"""),FALSE)</f>
        <v>0</v>
      </c>
      <c r="U94" s="1" t="str">
        <f>IFERROR(__xludf.DUMMYFUNCTION("""COMPUTED_VALUE"""),"VALID")</f>
        <v>VALID</v>
      </c>
      <c r="V94" s="1">
        <f>IFERROR(__xludf.DUMMYFUNCTION("""COMPUTED_VALUE"""),22.0)</f>
        <v>22</v>
      </c>
      <c r="W94" s="1">
        <f>IFERROR(__xludf.DUMMYFUNCTION("""COMPUTED_VALUE"""),427.0)</f>
        <v>427</v>
      </c>
      <c r="X94" s="1">
        <f>IFERROR(__xludf.DUMMYFUNCTION("""COMPUTED_VALUE"""),602.0)</f>
        <v>602</v>
      </c>
      <c r="Y94" s="2"/>
      <c r="Z94" s="2"/>
    </row>
    <row r="95">
      <c r="A95" s="1">
        <f>IFERROR(__xludf.DUMMYFUNCTION("""COMPUTED_VALUE"""),94.0)</f>
        <v>94</v>
      </c>
      <c r="B95" s="1">
        <f>IFERROR(__xludf.DUMMYFUNCTION("""COMPUTED_VALUE"""),10017.0)</f>
        <v>10017</v>
      </c>
      <c r="C95" s="2" t="str">
        <f>IFERROR(__xludf.DUMMYFUNCTION("""COMPUTED_VALUE"""),"Diyank Atie o9")</f>
        <v>Diyank Atie o9</v>
      </c>
      <c r="D95" s="2" t="str">
        <f>IFERROR(__xludf.DUMMYFUNCTION("""COMPUTED_VALUE"""),"10KM OVERALL F")</f>
        <v>10KM OVERALL F</v>
      </c>
      <c r="E95" s="1">
        <f>IFERROR(__xludf.DUMMYFUNCTION("""COMPUTED_VALUE"""),1.0)</f>
        <v>1</v>
      </c>
      <c r="F95" s="1" t="str">
        <f>IFERROR(__xludf.DUMMYFUNCTION("""COMPUTED_VALUE"""),"Female")</f>
        <v>Female</v>
      </c>
      <c r="G95" s="4" t="b">
        <f>IFERROR(__xludf.DUMMYFUNCTION("""COMPUTED_VALUE"""),TRUE)</f>
        <v>1</v>
      </c>
      <c r="H95" s="4" t="b">
        <f>IFERROR(__xludf.DUMMYFUNCTION("""COMPUTED_VALUE"""),TRUE)</f>
        <v>1</v>
      </c>
      <c r="I95" s="4">
        <f>IFERROR(__xludf.DUMMYFUNCTION("""COMPUTED_VALUE"""),0.24646185185185185)</f>
        <v>0.2464618519</v>
      </c>
      <c r="J95" s="4">
        <f>IFERROR(__xludf.DUMMYFUNCTION("""COMPUTED_VALUE"""),45949.259432933475)</f>
        <v>45949.25943</v>
      </c>
      <c r="K95" s="4">
        <f>IFERROR(__xludf.DUMMYFUNCTION("""COMPUTED_VALUE"""),45949.29357897248)</f>
        <v>45949.29358</v>
      </c>
      <c r="L95" s="4">
        <f>IFERROR(__xludf.DUMMYFUNCTION("""COMPUTED_VALUE"""),45949.303289762975)</f>
        <v>45949.30329</v>
      </c>
      <c r="M95" s="1" t="str">
        <f>IFERROR(__xludf.DUMMYFUNCTION("""COMPUTED_VALUE"""),"RFID")</f>
        <v>RFID</v>
      </c>
      <c r="N95" s="5">
        <f>IFERROR(__xludf.DUMMYFUNCTION("""COMPUTED_VALUE"""),0.0051884305555555555)</f>
        <v>0.005188430556</v>
      </c>
      <c r="O95" s="5">
        <f>IFERROR(__xludf.DUMMYFUNCTION("""COMPUTED_VALUE"""),0.013658416666666668)</f>
        <v>0.01365841667</v>
      </c>
      <c r="P95" s="5">
        <f>IFERROR(__xludf.DUMMYFUNCTION("""COMPUTED_VALUE"""),0.0039962100801910865)</f>
        <v>0.00399621008</v>
      </c>
      <c r="Q95" s="5">
        <f>IFERROR(__xludf.DUMMYFUNCTION("""COMPUTED_VALUE"""),0.005682791666666667)</f>
        <v>0.005682791667</v>
      </c>
      <c r="R95" s="4">
        <f>IFERROR(__xludf.DUMMYFUNCTION("""COMPUTED_VALUE"""),45949.056827911125)</f>
        <v>45949.05683</v>
      </c>
      <c r="S95" s="1" t="b">
        <f>IFERROR(__xludf.DUMMYFUNCTION("""COMPUTED_VALUE"""),TRUE)</f>
        <v>1</v>
      </c>
      <c r="T95" s="1" t="b">
        <f>IFERROR(__xludf.DUMMYFUNCTION("""COMPUTED_VALUE"""),FALSE)</f>
        <v>0</v>
      </c>
      <c r="U95" s="1" t="str">
        <f>IFERROR(__xludf.DUMMYFUNCTION("""COMPUTED_VALUE"""),"VALID")</f>
        <v>VALID</v>
      </c>
      <c r="V95" s="1">
        <f>IFERROR(__xludf.DUMMYFUNCTION("""COMPUTED_VALUE"""),39.0)</f>
        <v>39</v>
      </c>
      <c r="W95" s="1">
        <f>IFERROR(__xludf.DUMMYFUNCTION("""COMPUTED_VALUE"""),598.0)</f>
        <v>598</v>
      </c>
      <c r="X95" s="1">
        <f>IFERROR(__xludf.DUMMYFUNCTION("""COMPUTED_VALUE"""),640.0)</f>
        <v>640</v>
      </c>
      <c r="Y95" s="2"/>
      <c r="Z95" s="2"/>
    </row>
    <row r="96">
      <c r="A96" s="1">
        <f>IFERROR(__xludf.DUMMYFUNCTION("""COMPUTED_VALUE"""),95.0)</f>
        <v>95</v>
      </c>
      <c r="B96" s="1">
        <f>IFERROR(__xludf.DUMMYFUNCTION("""COMPUTED_VALUE"""),10018.0)</f>
        <v>10018</v>
      </c>
      <c r="C96" s="2" t="str">
        <f>IFERROR(__xludf.DUMMYFUNCTION("""COMPUTED_VALUE"""),"Indah_Feter")</f>
        <v>Indah_Feter</v>
      </c>
      <c r="D96" s="2" t="str">
        <f>IFERROR(__xludf.DUMMYFUNCTION("""COMPUTED_VALUE"""),"10KM OVERALL F")</f>
        <v>10KM OVERALL F</v>
      </c>
      <c r="E96" s="1">
        <f>IFERROR(__xludf.DUMMYFUNCTION("""COMPUTED_VALUE"""),1.0)</f>
        <v>1</v>
      </c>
      <c r="F96" s="1" t="str">
        <f>IFERROR(__xludf.DUMMYFUNCTION("""COMPUTED_VALUE"""),"Female")</f>
        <v>Female</v>
      </c>
      <c r="G96" s="4" t="b">
        <f>IFERROR(__xludf.DUMMYFUNCTION("""COMPUTED_VALUE"""),TRUE)</f>
        <v>1</v>
      </c>
      <c r="H96" s="4" t="b">
        <f>IFERROR(__xludf.DUMMYFUNCTION("""COMPUTED_VALUE"""),TRUE)</f>
        <v>1</v>
      </c>
      <c r="I96" s="4">
        <f>IFERROR(__xludf.DUMMYFUNCTION("""COMPUTED_VALUE"""),0.24646185185185185)</f>
        <v>0.2464618519</v>
      </c>
      <c r="J96" s="4">
        <f>IFERROR(__xludf.DUMMYFUNCTION("""COMPUTED_VALUE"""),45949.25722807381)</f>
        <v>45949.25723</v>
      </c>
      <c r="K96" s="4">
        <f>IFERROR(__xludf.DUMMYFUNCTION("""COMPUTED_VALUE"""),45949.28865172411)</f>
        <v>45949.28865</v>
      </c>
      <c r="L96" s="4">
        <f>IFERROR(__xludf.DUMMYFUNCTION("""COMPUTED_VALUE"""),45949.29848067283)</f>
        <v>45949.29848</v>
      </c>
      <c r="M96" s="1" t="str">
        <f>IFERROR(__xludf.DUMMYFUNCTION("""COMPUTED_VALUE"""),"RFID")</f>
        <v>RFID</v>
      </c>
      <c r="N96" s="5">
        <f>IFERROR(__xludf.DUMMYFUNCTION("""COMPUTED_VALUE"""),0.004306490740740741)</f>
        <v>0.004306490741</v>
      </c>
      <c r="O96" s="5">
        <f>IFERROR(__xludf.DUMMYFUNCTION("""COMPUTED_VALUE"""),0.012569458333333334)</f>
        <v>0.01256945833</v>
      </c>
      <c r="P96" s="5">
        <f>IFERROR(__xludf.DUMMYFUNCTION("""COMPUTED_VALUE"""),0.004044834861781931)</f>
        <v>0.004044834862</v>
      </c>
      <c r="Q96" s="5">
        <f>IFERROR(__xludf.DUMMYFUNCTION("""COMPUTED_VALUE"""),0.005201881944444445)</f>
        <v>0.005201881944</v>
      </c>
      <c r="R96" s="4">
        <f>IFERROR(__xludf.DUMMYFUNCTION("""COMPUTED_VALUE"""),45949.05201882098)</f>
        <v>45949.05202</v>
      </c>
      <c r="S96" s="1" t="b">
        <f>IFERROR(__xludf.DUMMYFUNCTION("""COMPUTED_VALUE"""),TRUE)</f>
        <v>1</v>
      </c>
      <c r="T96" s="1" t="b">
        <f>IFERROR(__xludf.DUMMYFUNCTION("""COMPUTED_VALUE"""),FALSE)</f>
        <v>0</v>
      </c>
      <c r="U96" s="1" t="str">
        <f>IFERROR(__xludf.DUMMYFUNCTION("""COMPUTED_VALUE"""),"VALID")</f>
        <v>VALID</v>
      </c>
      <c r="V96" s="1">
        <f>IFERROR(__xludf.DUMMYFUNCTION("""COMPUTED_VALUE"""),24.0)</f>
        <v>24</v>
      </c>
      <c r="W96" s="1">
        <f>IFERROR(__xludf.DUMMYFUNCTION("""COMPUTED_VALUE"""),453.0)</f>
        <v>453</v>
      </c>
      <c r="X96" s="1">
        <f>IFERROR(__xludf.DUMMYFUNCTION("""COMPUTED_VALUE"""),607.0)</f>
        <v>607</v>
      </c>
      <c r="Y96" s="2"/>
      <c r="Z96" s="2"/>
    </row>
    <row r="97">
      <c r="A97" s="1">
        <f>IFERROR(__xludf.DUMMYFUNCTION("""COMPUTED_VALUE"""),96.0)</f>
        <v>96</v>
      </c>
      <c r="B97" s="1">
        <f>IFERROR(__xludf.DUMMYFUNCTION("""COMPUTED_VALUE"""),10026.0)</f>
        <v>10026</v>
      </c>
      <c r="C97" s="2" t="str">
        <f>IFERROR(__xludf.DUMMYFUNCTION("""COMPUTED_VALUE"""),"novi meta")</f>
        <v>novi meta</v>
      </c>
      <c r="D97" s="2" t="str">
        <f>IFERROR(__xludf.DUMMYFUNCTION("""COMPUTED_VALUE"""),"10KM OVERALL F")</f>
        <v>10KM OVERALL F</v>
      </c>
      <c r="E97" s="1">
        <f>IFERROR(__xludf.DUMMYFUNCTION("""COMPUTED_VALUE"""),1.0)</f>
        <v>1</v>
      </c>
      <c r="F97" s="1" t="str">
        <f>IFERROR(__xludf.DUMMYFUNCTION("""COMPUTED_VALUE"""),"Female")</f>
        <v>Female</v>
      </c>
      <c r="G97" s="4" t="b">
        <f>IFERROR(__xludf.DUMMYFUNCTION("""COMPUTED_VALUE"""),TRUE)</f>
        <v>1</v>
      </c>
      <c r="H97" s="4" t="b">
        <f>IFERROR(__xludf.DUMMYFUNCTION("""COMPUTED_VALUE"""),TRUE)</f>
        <v>1</v>
      </c>
      <c r="I97" s="4">
        <f>IFERROR(__xludf.DUMMYFUNCTION("""COMPUTED_VALUE"""),0.24646185185185185)</f>
        <v>0.2464618519</v>
      </c>
      <c r="J97" s="4">
        <f>IFERROR(__xludf.DUMMYFUNCTION("""COMPUTED_VALUE"""),45949.2608149345)</f>
        <v>45949.26081</v>
      </c>
      <c r="K97" s="4">
        <f>IFERROR(__xludf.DUMMYFUNCTION("""COMPUTED_VALUE"""),45949.300474861404)</f>
        <v>45949.30047</v>
      </c>
      <c r="L97" s="4">
        <f>IFERROR(__xludf.DUMMYFUNCTION("""COMPUTED_VALUE"""),45949.312025872576)</f>
        <v>45949.31203</v>
      </c>
      <c r="M97" s="1" t="str">
        <f>IFERROR(__xludf.DUMMYFUNCTION("""COMPUTED_VALUE"""),"RFID")</f>
        <v>RFID</v>
      </c>
      <c r="N97" s="5">
        <f>IFERROR(__xludf.DUMMYFUNCTION("""COMPUTED_VALUE"""),0.005741231481481481)</f>
        <v>0.005741231481</v>
      </c>
      <c r="O97" s="5">
        <f>IFERROR(__xludf.DUMMYFUNCTION("""COMPUTED_VALUE"""),0.015863972222222224)</f>
        <v>0.01586397222</v>
      </c>
      <c r="P97" s="5">
        <f>IFERROR(__xludf.DUMMYFUNCTION("""COMPUTED_VALUE"""),0.004753502539848648)</f>
        <v>0.00475350254</v>
      </c>
      <c r="Q97" s="5">
        <f>IFERROR(__xludf.DUMMYFUNCTION("""COMPUTED_VALUE"""),0.0065564016203703696)</f>
        <v>0.00655640162</v>
      </c>
      <c r="R97" s="4">
        <f>IFERROR(__xludf.DUMMYFUNCTION("""COMPUTED_VALUE"""),45949.065564020726)</f>
        <v>45949.06556</v>
      </c>
      <c r="S97" s="1" t="b">
        <f>IFERROR(__xludf.DUMMYFUNCTION("""COMPUTED_VALUE"""),TRUE)</f>
        <v>1</v>
      </c>
      <c r="T97" s="1" t="b">
        <f>IFERROR(__xludf.DUMMYFUNCTION("""COMPUTED_VALUE"""),FALSE)</f>
        <v>0</v>
      </c>
      <c r="U97" s="1" t="str">
        <f>IFERROR(__xludf.DUMMYFUNCTION("""COMPUTED_VALUE"""),"VALID")</f>
        <v>VALID</v>
      </c>
      <c r="V97" s="1">
        <f>IFERROR(__xludf.DUMMYFUNCTION("""COMPUTED_VALUE"""),54.0)</f>
        <v>54</v>
      </c>
      <c r="W97" s="1">
        <f>IFERROR(__xludf.DUMMYFUNCTION("""COMPUTED_VALUE"""),704.0)</f>
        <v>704</v>
      </c>
      <c r="X97" s="1">
        <f>IFERROR(__xludf.DUMMYFUNCTION("""COMPUTED_VALUE"""),667.0)</f>
        <v>667</v>
      </c>
      <c r="Y97" s="2"/>
      <c r="Z97" s="2"/>
    </row>
    <row r="98">
      <c r="A98" s="1">
        <f>IFERROR(__xludf.DUMMYFUNCTION("""COMPUTED_VALUE"""),97.0)</f>
        <v>97</v>
      </c>
      <c r="B98" s="1">
        <f>IFERROR(__xludf.DUMMYFUNCTION("""COMPUTED_VALUE"""),10050.0)</f>
        <v>10050</v>
      </c>
      <c r="C98" s="2" t="str">
        <f>IFERROR(__xludf.DUMMYFUNCTION("""COMPUTED_VALUE"""),"LISA KHAIRUNNISA")</f>
        <v>LISA KHAIRUNNISA</v>
      </c>
      <c r="D98" s="2" t="str">
        <f>IFERROR(__xludf.DUMMYFUNCTION("""COMPUTED_VALUE"""),"10KM OVERALL F")</f>
        <v>10KM OVERALL F</v>
      </c>
      <c r="E98" s="1">
        <f>IFERROR(__xludf.DUMMYFUNCTION("""COMPUTED_VALUE"""),1.0)</f>
        <v>1</v>
      </c>
      <c r="F98" s="1" t="str">
        <f>IFERROR(__xludf.DUMMYFUNCTION("""COMPUTED_VALUE"""),"Female")</f>
        <v>Female</v>
      </c>
      <c r="G98" s="4" t="b">
        <f>IFERROR(__xludf.DUMMYFUNCTION("""COMPUTED_VALUE"""),TRUE)</f>
        <v>1</v>
      </c>
      <c r="H98" s="4" t="b">
        <f>IFERROR(__xludf.DUMMYFUNCTION("""COMPUTED_VALUE"""),FALSE)</f>
        <v>0</v>
      </c>
      <c r="I98" s="4">
        <f>IFERROR(__xludf.DUMMYFUNCTION("""COMPUTED_VALUE"""),0.24646185185185185)</f>
        <v>0.2464618519</v>
      </c>
      <c r="J98" s="4">
        <f>IFERROR(__xludf.DUMMYFUNCTION("""COMPUTED_VALUE"""),45949.25775932721)</f>
        <v>45949.25776</v>
      </c>
      <c r="K98" s="4">
        <f>IFERROR(__xludf.DUMMYFUNCTION("""COMPUTED_VALUE"""),45949.285224641026)</f>
        <v>45949.28522</v>
      </c>
      <c r="L98" s="4">
        <f>IFERROR(__xludf.DUMMYFUNCTION("""COMPUTED_VALUE"""),45949.2929045806)</f>
        <v>45949.2929</v>
      </c>
      <c r="M98" s="1" t="str">
        <f>IFERROR(__xludf.DUMMYFUNCTION("""COMPUTED_VALUE"""),"RFID")</f>
        <v>RFID</v>
      </c>
      <c r="N98" s="5">
        <f>IFERROR(__xludf.DUMMYFUNCTION("""COMPUTED_VALUE"""),0.004518990740740741)</f>
        <v>0.004518990741</v>
      </c>
      <c r="O98" s="5">
        <f>IFERROR(__xludf.DUMMYFUNCTION("""COMPUTED_VALUE"""),0.010986125000000001)</f>
        <v>0.010986125</v>
      </c>
      <c r="P98" s="5">
        <f>IFERROR(__xludf.DUMMYFUNCTION("""COMPUTED_VALUE"""),0.003160468961156276)</f>
        <v>0.003160468961</v>
      </c>
      <c r="Q98" s="5">
        <f>IFERROR(__xludf.DUMMYFUNCTION("""COMPUTED_VALUE"""),0.004644273148148148)</f>
        <v>0.004644273148</v>
      </c>
      <c r="R98" s="4">
        <f>IFERROR(__xludf.DUMMYFUNCTION("""COMPUTED_VALUE"""),45949.04644272875)</f>
        <v>45949.04644</v>
      </c>
      <c r="S98" s="1" t="b">
        <f>IFERROR(__xludf.DUMMYFUNCTION("""COMPUTED_VALUE"""),TRUE)</f>
        <v>1</v>
      </c>
      <c r="T98" s="1" t="b">
        <f>IFERROR(__xludf.DUMMYFUNCTION("""COMPUTED_VALUE"""),FALSE)</f>
        <v>0</v>
      </c>
      <c r="U98" s="1" t="str">
        <f>IFERROR(__xludf.DUMMYFUNCTION("""COMPUTED_VALUE"""),"VALID")</f>
        <v>VALID</v>
      </c>
      <c r="V98" s="1">
        <f>IFERROR(__xludf.DUMMYFUNCTION("""COMPUTED_VALUE"""),16.0)</f>
        <v>16</v>
      </c>
      <c r="W98" s="1">
        <f>IFERROR(__xludf.DUMMYFUNCTION("""COMPUTED_VALUE"""),305.0)</f>
        <v>305</v>
      </c>
      <c r="X98" s="1">
        <f>IFERROR(__xludf.DUMMYFUNCTION("""COMPUTED_VALUE"""),552.0)</f>
        <v>552</v>
      </c>
      <c r="Y98" s="2"/>
      <c r="Z98" s="2"/>
    </row>
    <row r="99">
      <c r="A99" s="1">
        <f>IFERROR(__xludf.DUMMYFUNCTION("""COMPUTED_VALUE"""),98.0)</f>
        <v>98</v>
      </c>
      <c r="B99" s="1">
        <f>IFERROR(__xludf.DUMMYFUNCTION("""COMPUTED_VALUE"""),10052.0)</f>
        <v>10052</v>
      </c>
      <c r="C99" s="2" t="str">
        <f>IFERROR(__xludf.DUMMYFUNCTION("""COMPUTED_VALUE"""),"Mery")</f>
        <v>Mery</v>
      </c>
      <c r="D99" s="2" t="str">
        <f>IFERROR(__xludf.DUMMYFUNCTION("""COMPUTED_VALUE"""),"10KM OVERALL F")</f>
        <v>10KM OVERALL F</v>
      </c>
      <c r="E99" s="1">
        <f>IFERROR(__xludf.DUMMYFUNCTION("""COMPUTED_VALUE"""),1.0)</f>
        <v>1</v>
      </c>
      <c r="F99" s="1" t="str">
        <f>IFERROR(__xludf.DUMMYFUNCTION("""COMPUTED_VALUE"""),"Female")</f>
        <v>Female</v>
      </c>
      <c r="G99" s="4" t="b">
        <f>IFERROR(__xludf.DUMMYFUNCTION("""COMPUTED_VALUE"""),TRUE)</f>
        <v>1</v>
      </c>
      <c r="H99" s="4" t="b">
        <f>IFERROR(__xludf.DUMMYFUNCTION("""COMPUTED_VALUE"""),FALSE)</f>
        <v>0</v>
      </c>
      <c r="I99" s="4">
        <f>IFERROR(__xludf.DUMMYFUNCTION("""COMPUTED_VALUE"""),0.24646185185185185)</f>
        <v>0.2464618519</v>
      </c>
      <c r="J99" s="4">
        <f>IFERROR(__xludf.DUMMYFUNCTION("""COMPUTED_VALUE"""),45949.266703786736)</f>
        <v>45949.2667</v>
      </c>
      <c r="K99" s="4">
        <f>IFERROR(__xludf.DUMMYFUNCTION("""COMPUTED_VALUE"""),45949.30704802772)</f>
        <v>45949.30705</v>
      </c>
      <c r="L99" s="4">
        <f>IFERROR(__xludf.DUMMYFUNCTION("""COMPUTED_VALUE"""),45949.318494614636)</f>
        <v>45949.31849</v>
      </c>
      <c r="M99" s="1" t="str">
        <f>IFERROR(__xludf.DUMMYFUNCTION("""COMPUTED_VALUE"""),"RFID")</f>
        <v>RFID</v>
      </c>
      <c r="N99" s="5">
        <f>IFERROR(__xludf.DUMMYFUNCTION("""COMPUTED_VALUE"""),0.008096773148148148)</f>
        <v>0.008096773148</v>
      </c>
      <c r="O99" s="5">
        <f>IFERROR(__xludf.DUMMYFUNCTION("""COMPUTED_VALUE"""),0.016137694444444444)</f>
        <v>0.01613769444</v>
      </c>
      <c r="P99" s="5">
        <f>IFERROR(__xludf.DUMMYFUNCTION("""COMPUTED_VALUE"""),0.004710529596375209)</f>
        <v>0.004710529596</v>
      </c>
      <c r="Q99" s="5">
        <f>IFERROR(__xludf.DUMMYFUNCTION("""COMPUTED_VALUE"""),0.00720327662037037)</f>
        <v>0.00720327662</v>
      </c>
      <c r="R99" s="4">
        <f>IFERROR(__xludf.DUMMYFUNCTION("""COMPUTED_VALUE"""),45949.072032762786)</f>
        <v>45949.07203</v>
      </c>
      <c r="S99" s="1" t="b">
        <f>IFERROR(__xludf.DUMMYFUNCTION("""COMPUTED_VALUE"""),TRUE)</f>
        <v>1</v>
      </c>
      <c r="T99" s="1" t="b">
        <f>IFERROR(__xludf.DUMMYFUNCTION("""COMPUTED_VALUE"""),FALSE)</f>
        <v>0</v>
      </c>
      <c r="U99" s="1" t="str">
        <f>IFERROR(__xludf.DUMMYFUNCTION("""COMPUTED_VALUE"""),"VALID")</f>
        <v>VALID</v>
      </c>
      <c r="V99" s="1">
        <f>IFERROR(__xludf.DUMMYFUNCTION("""COMPUTED_VALUE"""),68.0)</f>
        <v>68</v>
      </c>
      <c r="W99" s="1">
        <f>IFERROR(__xludf.DUMMYFUNCTION("""COMPUTED_VALUE"""),745.0)</f>
        <v>745</v>
      </c>
      <c r="X99" s="1">
        <f>IFERROR(__xludf.DUMMYFUNCTION("""COMPUTED_VALUE"""),684.0)</f>
        <v>684</v>
      </c>
      <c r="Y99" s="2"/>
      <c r="Z99" s="2"/>
    </row>
    <row r="100">
      <c r="A100" s="1">
        <f>IFERROR(__xludf.DUMMYFUNCTION("""COMPUTED_VALUE"""),99.0)</f>
        <v>99</v>
      </c>
      <c r="B100" s="1">
        <f>IFERROR(__xludf.DUMMYFUNCTION("""COMPUTED_VALUE"""),10069.0)</f>
        <v>10069</v>
      </c>
      <c r="C100" s="2" t="str">
        <f>IFERROR(__xludf.DUMMYFUNCTION("""COMPUTED_VALUE"""),"Putri Hadiati")</f>
        <v>Putri Hadiati</v>
      </c>
      <c r="D100" s="2" t="str">
        <f>IFERROR(__xludf.DUMMYFUNCTION("""COMPUTED_VALUE"""),"10KM OVERALL F")</f>
        <v>10KM OVERALL F</v>
      </c>
      <c r="E100" s="1">
        <f>IFERROR(__xludf.DUMMYFUNCTION("""COMPUTED_VALUE"""),1.0)</f>
        <v>1</v>
      </c>
      <c r="F100" s="1" t="str">
        <f>IFERROR(__xludf.DUMMYFUNCTION("""COMPUTED_VALUE"""),"Female")</f>
        <v>Female</v>
      </c>
      <c r="G100" s="4" t="str">
        <f>IFERROR(__xludf.DUMMYFUNCTION("""COMPUTED_VALUE"""),"")</f>
        <v/>
      </c>
      <c r="H100" s="4" t="b">
        <f>IFERROR(__xludf.DUMMYFUNCTION("""COMPUTED_VALUE"""),FALSE)</f>
        <v>0</v>
      </c>
      <c r="I100" s="4">
        <f>IFERROR(__xludf.DUMMYFUNCTION("""COMPUTED_VALUE"""),0.24646185185185185)</f>
        <v>0.2464618519</v>
      </c>
      <c r="J100" s="4">
        <f>IFERROR(__xludf.DUMMYFUNCTION("""COMPUTED_VALUE"""),45949.25528099501)</f>
        <v>45949.25528</v>
      </c>
      <c r="K100" s="4">
        <f>IFERROR(__xludf.DUMMYFUNCTION("""COMPUTED_VALUE"""),45949.28168991107)</f>
        <v>45949.28169</v>
      </c>
      <c r="L100" s="4">
        <f>IFERROR(__xludf.DUMMYFUNCTION("""COMPUTED_VALUE"""),45949.2893523989)</f>
        <v>45949.28935</v>
      </c>
      <c r="M100" s="1" t="str">
        <f>IFERROR(__xludf.DUMMYFUNCTION("""COMPUTED_VALUE"""),"RFID")</f>
        <v>RFID</v>
      </c>
      <c r="N100" s="5">
        <f>IFERROR(__xludf.DUMMYFUNCTION("""COMPUTED_VALUE"""),0.0035276574074074077)</f>
        <v>0.003527657407</v>
      </c>
      <c r="O100" s="5">
        <f>IFERROR(__xludf.DUMMYFUNCTION("""COMPUTED_VALUE"""),0.010563564814814814)</f>
        <v>0.01056356481</v>
      </c>
      <c r="P100" s="5">
        <f>IFERROR(__xludf.DUMMYFUNCTION("""COMPUTED_VALUE"""),0.003153287171800103)</f>
        <v>0.003153287172</v>
      </c>
      <c r="Q100" s="5">
        <f>IFERROR(__xludf.DUMMYFUNCTION("""COMPUTED_VALUE"""),0.004289054398148149)</f>
        <v>0.004289054398</v>
      </c>
      <c r="R100" s="4">
        <f>IFERROR(__xludf.DUMMYFUNCTION("""COMPUTED_VALUE"""),45949.04289054705)</f>
        <v>45949.04289</v>
      </c>
      <c r="S100" s="1" t="b">
        <f>IFERROR(__xludf.DUMMYFUNCTION("""COMPUTED_VALUE"""),TRUE)</f>
        <v>1</v>
      </c>
      <c r="T100" s="1" t="b">
        <f>IFERROR(__xludf.DUMMYFUNCTION("""COMPUTED_VALUE"""),FALSE)</f>
        <v>0</v>
      </c>
      <c r="U100" s="1" t="str">
        <f>IFERROR(__xludf.DUMMYFUNCTION("""COMPUTED_VALUE"""),"VALID")</f>
        <v>VALID</v>
      </c>
      <c r="V100" s="1">
        <f>IFERROR(__xludf.DUMMYFUNCTION("""COMPUTED_VALUE"""),9.0)</f>
        <v>9</v>
      </c>
      <c r="W100" s="1">
        <f>IFERROR(__xludf.DUMMYFUNCTION("""COMPUTED_VALUE"""),193.0)</f>
        <v>193</v>
      </c>
      <c r="X100" s="1">
        <f>IFERROR(__xludf.DUMMYFUNCTION("""COMPUTED_VALUE"""),454.0)</f>
        <v>454</v>
      </c>
      <c r="Y100" s="2"/>
      <c r="Z100" s="2"/>
    </row>
    <row r="101">
      <c r="A101" s="1">
        <f>IFERROR(__xludf.DUMMYFUNCTION("""COMPUTED_VALUE"""),100.0)</f>
        <v>100</v>
      </c>
      <c r="B101" s="1">
        <f>IFERROR(__xludf.DUMMYFUNCTION("""COMPUTED_VALUE"""),10105.0)</f>
        <v>10105</v>
      </c>
      <c r="C101" s="2" t="str">
        <f>IFERROR(__xludf.DUMMYFUNCTION("""COMPUTED_VALUE"""),"Merny")</f>
        <v>Merny</v>
      </c>
      <c r="D101" s="2" t="str">
        <f>IFERROR(__xludf.DUMMYFUNCTION("""COMPUTED_VALUE"""),"10KM OVERALL F")</f>
        <v>10KM OVERALL F</v>
      </c>
      <c r="E101" s="1">
        <f>IFERROR(__xludf.DUMMYFUNCTION("""COMPUTED_VALUE"""),1.0)</f>
        <v>1</v>
      </c>
      <c r="F101" s="1" t="str">
        <f>IFERROR(__xludf.DUMMYFUNCTION("""COMPUTED_VALUE"""),"Female")</f>
        <v>Female</v>
      </c>
      <c r="G101" s="4" t="b">
        <f>IFERROR(__xludf.DUMMYFUNCTION("""COMPUTED_VALUE"""),TRUE)</f>
        <v>1</v>
      </c>
      <c r="H101" s="4" t="b">
        <f>IFERROR(__xludf.DUMMYFUNCTION("""COMPUTED_VALUE"""),FALSE)</f>
        <v>0</v>
      </c>
      <c r="I101" s="4">
        <f>IFERROR(__xludf.DUMMYFUNCTION("""COMPUTED_VALUE"""),0.24646185185185185)</f>
        <v>0.2464618519</v>
      </c>
      <c r="J101" s="4">
        <f>IFERROR(__xludf.DUMMYFUNCTION("""COMPUTED_VALUE"""),45949.25877674017)</f>
        <v>45949.25878</v>
      </c>
      <c r="K101" s="4">
        <f>IFERROR(__xludf.DUMMYFUNCTION("""COMPUTED_VALUE"""),45949.290138888886)</f>
        <v>45949.29014</v>
      </c>
      <c r="L101" s="4">
        <f>IFERROR(__xludf.DUMMYFUNCTION("""COMPUTED_VALUE"""),45949.29938003753)</f>
        <v>45949.29938</v>
      </c>
      <c r="M101" s="1" t="str">
        <f>IFERROR(__xludf.DUMMYFUNCTION("""COMPUTED_VALUE"""),"RFID")</f>
        <v>RFID</v>
      </c>
      <c r="N101" s="5">
        <f>IFERROR(__xludf.DUMMYFUNCTION("""COMPUTED_VALUE"""),0.004925953703703704)</f>
        <v>0.004925953704</v>
      </c>
      <c r="O101" s="5">
        <f>IFERROR(__xludf.DUMMYFUNCTION("""COMPUTED_VALUE"""),0.01254486111111111)</f>
        <v>0.01254486111</v>
      </c>
      <c r="P101" s="5">
        <f>IFERROR(__xludf.DUMMYFUNCTION("""COMPUTED_VALUE"""),0.0038029418302721)</f>
        <v>0.00380294183</v>
      </c>
      <c r="Q101" s="5">
        <f>IFERROR(__xludf.DUMMYFUNCTION("""COMPUTED_VALUE"""),0.005291818287037038)</f>
        <v>0.005291818287</v>
      </c>
      <c r="R101" s="4">
        <f>IFERROR(__xludf.DUMMYFUNCTION("""COMPUTED_VALUE"""),45949.052918185684)</f>
        <v>45949.05292</v>
      </c>
      <c r="S101" s="1" t="b">
        <f>IFERROR(__xludf.DUMMYFUNCTION("""COMPUTED_VALUE"""),TRUE)</f>
        <v>1</v>
      </c>
      <c r="T101" s="1" t="b">
        <f>IFERROR(__xludf.DUMMYFUNCTION("""COMPUTED_VALUE"""),FALSE)</f>
        <v>0</v>
      </c>
      <c r="U101" s="1" t="str">
        <f>IFERROR(__xludf.DUMMYFUNCTION("""COMPUTED_VALUE"""),"VALID")</f>
        <v>VALID</v>
      </c>
      <c r="V101" s="1">
        <f>IFERROR(__xludf.DUMMYFUNCTION("""COMPUTED_VALUE"""),26.0)</f>
        <v>26</v>
      </c>
      <c r="W101" s="1">
        <f>IFERROR(__xludf.DUMMYFUNCTION("""COMPUTED_VALUE"""),476.0)</f>
        <v>476</v>
      </c>
      <c r="X101" s="1">
        <f>IFERROR(__xludf.DUMMYFUNCTION("""COMPUTED_VALUE"""),612.0)</f>
        <v>612</v>
      </c>
      <c r="Y101" s="2"/>
      <c r="Z101" s="2"/>
    </row>
    <row r="102">
      <c r="A102" s="1">
        <f>IFERROR(__xludf.DUMMYFUNCTION("""COMPUTED_VALUE"""),101.0)</f>
        <v>101</v>
      </c>
      <c r="B102" s="1">
        <f>IFERROR(__xludf.DUMMYFUNCTION("""COMPUTED_VALUE"""),10106.0)</f>
        <v>10106</v>
      </c>
      <c r="C102" s="2" t="str">
        <f>IFERROR(__xludf.DUMMYFUNCTION("""COMPUTED_VALUE"""),"Yunan")</f>
        <v>Yunan</v>
      </c>
      <c r="D102" s="2" t="str">
        <f>IFERROR(__xludf.DUMMYFUNCTION("""COMPUTED_VALUE"""),"10KM OVERALL F")</f>
        <v>10KM OVERALL F</v>
      </c>
      <c r="E102" s="1">
        <f>IFERROR(__xludf.DUMMYFUNCTION("""COMPUTED_VALUE"""),1.0)</f>
        <v>1</v>
      </c>
      <c r="F102" s="1" t="str">
        <f>IFERROR(__xludf.DUMMYFUNCTION("""COMPUTED_VALUE"""),"Female")</f>
        <v>Female</v>
      </c>
      <c r="G102" s="4" t="b">
        <f>IFERROR(__xludf.DUMMYFUNCTION("""COMPUTED_VALUE"""),TRUE)</f>
        <v>1</v>
      </c>
      <c r="H102" s="4" t="b">
        <f>IFERROR(__xludf.DUMMYFUNCTION("""COMPUTED_VALUE"""),FALSE)</f>
        <v>0</v>
      </c>
      <c r="I102" s="4">
        <f>IFERROR(__xludf.DUMMYFUNCTION("""COMPUTED_VALUE"""),0.24646185185185185)</f>
        <v>0.2464618519</v>
      </c>
      <c r="J102" s="4">
        <f>IFERROR(__xludf.DUMMYFUNCTION("""COMPUTED_VALUE"""),45949.25424196184)</f>
        <v>45949.25424</v>
      </c>
      <c r="K102" s="4">
        <f>IFERROR(__xludf.DUMMYFUNCTION("""COMPUTED_VALUE"""),45949.27589978513)</f>
        <v>45949.2759</v>
      </c>
      <c r="L102" s="4">
        <f>IFERROR(__xludf.DUMMYFUNCTION("""COMPUTED_VALUE"""),45949.28233142897)</f>
        <v>45949.28233</v>
      </c>
      <c r="M102" s="1" t="str">
        <f>IFERROR(__xludf.DUMMYFUNCTION("""COMPUTED_VALUE"""),"RFID")</f>
        <v>RFID</v>
      </c>
      <c r="N102" s="5">
        <f>IFERROR(__xludf.DUMMYFUNCTION("""COMPUTED_VALUE"""),0.0031120462962962963)</f>
        <v>0.003112046296</v>
      </c>
      <c r="O102" s="5">
        <f>IFERROR(__xludf.DUMMYFUNCTION("""COMPUTED_VALUE"""),0.00866312962962963)</f>
        <v>0.00866312963</v>
      </c>
      <c r="P102" s="5">
        <f>IFERROR(__xludf.DUMMYFUNCTION("""COMPUTED_VALUE"""),0.002646767013919934)</f>
        <v>0.002646767014</v>
      </c>
      <c r="Q102" s="5">
        <f>IFERROR(__xludf.DUMMYFUNCTION("""COMPUTED_VALUE"""),0.0035869571759259257)</f>
        <v>0.003586957176</v>
      </c>
      <c r="R102" s="4">
        <f>IFERROR(__xludf.DUMMYFUNCTION("""COMPUTED_VALUE"""),45949.03586957712)</f>
        <v>45949.03587</v>
      </c>
      <c r="S102" s="1" t="b">
        <f>IFERROR(__xludf.DUMMYFUNCTION("""COMPUTED_VALUE"""),TRUE)</f>
        <v>1</v>
      </c>
      <c r="T102" s="1" t="b">
        <f>IFERROR(__xludf.DUMMYFUNCTION("""COMPUTED_VALUE"""),FALSE)</f>
        <v>0</v>
      </c>
      <c r="U102" s="1" t="str">
        <f>IFERROR(__xludf.DUMMYFUNCTION("""COMPUTED_VALUE"""),"VALID")</f>
        <v>VALID</v>
      </c>
      <c r="V102" s="1">
        <f>IFERROR(__xludf.DUMMYFUNCTION("""COMPUTED_VALUE"""),2.0)</f>
        <v>2</v>
      </c>
      <c r="W102" s="1">
        <f>IFERROR(__xludf.DUMMYFUNCTION("""COMPUTED_VALUE"""),53.0)</f>
        <v>53</v>
      </c>
      <c r="X102" s="1">
        <f>IFERROR(__xludf.DUMMYFUNCTION("""COMPUTED_VALUE"""),230.0)</f>
        <v>230</v>
      </c>
      <c r="Y102" s="2"/>
      <c r="Z102" s="2"/>
    </row>
    <row r="103">
      <c r="A103" s="1">
        <f>IFERROR(__xludf.DUMMYFUNCTION("""COMPUTED_VALUE"""),102.0)</f>
        <v>102</v>
      </c>
      <c r="B103" s="1">
        <f>IFERROR(__xludf.DUMMYFUNCTION("""COMPUTED_VALUE"""),10107.0)</f>
        <v>10107</v>
      </c>
      <c r="C103" s="2" t="str">
        <f>IFERROR(__xludf.DUMMYFUNCTION("""COMPUTED_VALUE"""),"Rizki Nur Hidayah")</f>
        <v>Rizki Nur Hidayah</v>
      </c>
      <c r="D103" s="2" t="str">
        <f>IFERROR(__xludf.DUMMYFUNCTION("""COMPUTED_VALUE"""),"10KM OVERALL F")</f>
        <v>10KM OVERALL F</v>
      </c>
      <c r="E103" s="1">
        <f>IFERROR(__xludf.DUMMYFUNCTION("""COMPUTED_VALUE"""),1.0)</f>
        <v>1</v>
      </c>
      <c r="F103" s="1" t="str">
        <f>IFERROR(__xludf.DUMMYFUNCTION("""COMPUTED_VALUE"""),"Female")</f>
        <v>Female</v>
      </c>
      <c r="G103" s="4" t="b">
        <f>IFERROR(__xludf.DUMMYFUNCTION("""COMPUTED_VALUE"""),TRUE)</f>
        <v>1</v>
      </c>
      <c r="H103" s="4" t="b">
        <f>IFERROR(__xludf.DUMMYFUNCTION("""COMPUTED_VALUE"""),TRUE)</f>
        <v>1</v>
      </c>
      <c r="I103" s="4">
        <f>IFERROR(__xludf.DUMMYFUNCTION("""COMPUTED_VALUE"""),0.24646185185185185)</f>
        <v>0.2464618519</v>
      </c>
      <c r="J103" s="4">
        <f>IFERROR(__xludf.DUMMYFUNCTION("""COMPUTED_VALUE"""),45949.257894838694)</f>
        <v>45949.25789</v>
      </c>
      <c r="K103" s="4">
        <f>IFERROR(__xludf.DUMMYFUNCTION("""COMPUTED_VALUE"""),45949.29365542927)</f>
        <v>45949.29366</v>
      </c>
      <c r="L103" s="4">
        <f>IFERROR(__xludf.DUMMYFUNCTION("""COMPUTED_VALUE"""),45949.303276921775)</f>
        <v>45949.30328</v>
      </c>
      <c r="M103" s="1" t="str">
        <f>IFERROR(__xludf.DUMMYFUNCTION("""COMPUTED_VALUE"""),"RFID")</f>
        <v>RFID</v>
      </c>
      <c r="N103" s="5">
        <f>IFERROR(__xludf.DUMMYFUNCTION("""COMPUTED_VALUE"""),0.004573194444444444)</f>
        <v>0.004573194444</v>
      </c>
      <c r="O103" s="5">
        <f>IFERROR(__xludf.DUMMYFUNCTION("""COMPUTED_VALUE"""),0.014304236111111113)</f>
        <v>0.01430423611</v>
      </c>
      <c r="P103" s="5">
        <f>IFERROR(__xludf.DUMMYFUNCTION("""COMPUTED_VALUE"""),0.003959461937034732)</f>
        <v>0.003959461937</v>
      </c>
      <c r="Q103" s="5">
        <f>IFERROR(__xludf.DUMMYFUNCTION("""COMPUTED_VALUE"""),0.005681506944444444)</f>
        <v>0.005681506944</v>
      </c>
      <c r="R103" s="4">
        <f>IFERROR(__xludf.DUMMYFUNCTION("""COMPUTED_VALUE"""),45949.056815069926)</f>
        <v>45949.05682</v>
      </c>
      <c r="S103" s="1" t="b">
        <f>IFERROR(__xludf.DUMMYFUNCTION("""COMPUTED_VALUE"""),TRUE)</f>
        <v>1</v>
      </c>
      <c r="T103" s="1" t="b">
        <f>IFERROR(__xludf.DUMMYFUNCTION("""COMPUTED_VALUE"""),FALSE)</f>
        <v>0</v>
      </c>
      <c r="U103" s="1" t="str">
        <f>IFERROR(__xludf.DUMMYFUNCTION("""COMPUTED_VALUE"""),"VALID")</f>
        <v>VALID</v>
      </c>
      <c r="V103" s="1">
        <f>IFERROR(__xludf.DUMMYFUNCTION("""COMPUTED_VALUE"""),38.0)</f>
        <v>38</v>
      </c>
      <c r="W103" s="1">
        <f>IFERROR(__xludf.DUMMYFUNCTION("""COMPUTED_VALUE"""),597.0)</f>
        <v>597</v>
      </c>
      <c r="X103" s="1">
        <f>IFERROR(__xludf.DUMMYFUNCTION("""COMPUTED_VALUE"""),639.0)</f>
        <v>639</v>
      </c>
      <c r="Y103" s="2"/>
      <c r="Z103" s="2"/>
    </row>
    <row r="104">
      <c r="A104" s="1">
        <f>IFERROR(__xludf.DUMMYFUNCTION("""COMPUTED_VALUE"""),103.0)</f>
        <v>103</v>
      </c>
      <c r="B104" s="1">
        <f>IFERROR(__xludf.DUMMYFUNCTION("""COMPUTED_VALUE"""),10112.0)</f>
        <v>10112</v>
      </c>
      <c r="C104" s="2" t="str">
        <f>IFERROR(__xludf.DUMMYFUNCTION("""COMPUTED_VALUE"""),"ELSA KEMALA")</f>
        <v>ELSA KEMALA</v>
      </c>
      <c r="D104" s="2" t="str">
        <f>IFERROR(__xludf.DUMMYFUNCTION("""COMPUTED_VALUE"""),"10KM OVERALL F")</f>
        <v>10KM OVERALL F</v>
      </c>
      <c r="E104" s="1">
        <f>IFERROR(__xludf.DUMMYFUNCTION("""COMPUTED_VALUE"""),1.0)</f>
        <v>1</v>
      </c>
      <c r="F104" s="1" t="str">
        <f>IFERROR(__xludf.DUMMYFUNCTION("""COMPUTED_VALUE"""),"Female")</f>
        <v>Female</v>
      </c>
      <c r="G104" s="4" t="b">
        <f>IFERROR(__xludf.DUMMYFUNCTION("""COMPUTED_VALUE"""),TRUE)</f>
        <v>1</v>
      </c>
      <c r="H104" s="4" t="b">
        <f>IFERROR(__xludf.DUMMYFUNCTION("""COMPUTED_VALUE"""),FALSE)</f>
        <v>0</v>
      </c>
      <c r="I104" s="4">
        <f>IFERROR(__xludf.DUMMYFUNCTION("""COMPUTED_VALUE"""),0.24646185185185185)</f>
        <v>0.2464618519</v>
      </c>
      <c r="J104" s="4">
        <f>IFERROR(__xludf.DUMMYFUNCTION("""COMPUTED_VALUE"""),45949.2622594374)</f>
        <v>45949.26226</v>
      </c>
      <c r="K104" s="4">
        <f>IFERROR(__xludf.DUMMYFUNCTION("""COMPUTED_VALUE"""),45949.31166932389)</f>
        <v>45949.31167</v>
      </c>
      <c r="L104" s="4">
        <f>IFERROR(__xludf.DUMMYFUNCTION("""COMPUTED_VALUE"""),45949.325536293865)</f>
        <v>45949.32554</v>
      </c>
      <c r="M104" s="1" t="str">
        <f>IFERROR(__xludf.DUMMYFUNCTION("""COMPUTED_VALUE"""),"RFID")</f>
        <v>RFID</v>
      </c>
      <c r="N104" s="5">
        <f>IFERROR(__xludf.DUMMYFUNCTION("""COMPUTED_VALUE"""),0.006319032407407407)</f>
        <v>0.006319032407</v>
      </c>
      <c r="O104" s="5">
        <f>IFERROR(__xludf.DUMMYFUNCTION("""COMPUTED_VALUE"""),0.019763953703703704)</f>
        <v>0.0197639537</v>
      </c>
      <c r="P104" s="5">
        <f>IFERROR(__xludf.DUMMYFUNCTION("""COMPUTED_VALUE"""),0.005706572005599008)</f>
        <v>0.005706572006</v>
      </c>
      <c r="Q104" s="5">
        <f>IFERROR(__xludf.DUMMYFUNCTION("""COMPUTED_VALUE"""),0.007907444444444444)</f>
        <v>0.007907444444</v>
      </c>
      <c r="R104" s="4">
        <f>IFERROR(__xludf.DUMMYFUNCTION("""COMPUTED_VALUE"""),45949.079074442016)</f>
        <v>45949.07907</v>
      </c>
      <c r="S104" s="1" t="b">
        <f>IFERROR(__xludf.DUMMYFUNCTION("""COMPUTED_VALUE"""),TRUE)</f>
        <v>1</v>
      </c>
      <c r="T104" s="1" t="b">
        <f>IFERROR(__xludf.DUMMYFUNCTION("""COMPUTED_VALUE"""),FALSE)</f>
        <v>0</v>
      </c>
      <c r="U104" s="1" t="str">
        <f>IFERROR(__xludf.DUMMYFUNCTION("""COMPUTED_VALUE"""),"VALID")</f>
        <v>VALID</v>
      </c>
      <c r="V104" s="1">
        <f>IFERROR(__xludf.DUMMYFUNCTION("""COMPUTED_VALUE"""),71.0)</f>
        <v>71</v>
      </c>
      <c r="W104" s="1">
        <f>IFERROR(__xludf.DUMMYFUNCTION("""COMPUTED_VALUE"""),757.0)</f>
        <v>757</v>
      </c>
      <c r="X104" s="1">
        <f>IFERROR(__xludf.DUMMYFUNCTION("""COMPUTED_VALUE"""),687.0)</f>
        <v>687</v>
      </c>
      <c r="Y104" s="2"/>
      <c r="Z104" s="2"/>
    </row>
    <row r="105">
      <c r="A105" s="1">
        <f>IFERROR(__xludf.DUMMYFUNCTION("""COMPUTED_VALUE"""),104.0)</f>
        <v>104</v>
      </c>
      <c r="B105" s="1">
        <f>IFERROR(__xludf.DUMMYFUNCTION("""COMPUTED_VALUE"""),10113.0)</f>
        <v>10113</v>
      </c>
      <c r="C105" s="2" t="str">
        <f>IFERROR(__xludf.DUMMYFUNCTION("""COMPUTED_VALUE"""),"CAHYA KAMILA")</f>
        <v>CAHYA KAMILA</v>
      </c>
      <c r="D105" s="2" t="str">
        <f>IFERROR(__xludf.DUMMYFUNCTION("""COMPUTED_VALUE"""),"10KM OVERALL F")</f>
        <v>10KM OVERALL F</v>
      </c>
      <c r="E105" s="1">
        <f>IFERROR(__xludf.DUMMYFUNCTION("""COMPUTED_VALUE"""),1.0)</f>
        <v>1</v>
      </c>
      <c r="F105" s="1" t="str">
        <f>IFERROR(__xludf.DUMMYFUNCTION("""COMPUTED_VALUE"""),"Female")</f>
        <v>Female</v>
      </c>
      <c r="G105" s="4" t="b">
        <f>IFERROR(__xludf.DUMMYFUNCTION("""COMPUTED_VALUE"""),TRUE)</f>
        <v>1</v>
      </c>
      <c r="H105" s="4" t="b">
        <f>IFERROR(__xludf.DUMMYFUNCTION("""COMPUTED_VALUE"""),TRUE)</f>
        <v>1</v>
      </c>
      <c r="I105" s="4">
        <f>IFERROR(__xludf.DUMMYFUNCTION("""COMPUTED_VALUE"""),0.24646185185185185)</f>
        <v>0.2464618519</v>
      </c>
      <c r="J105" s="4">
        <f>IFERROR(__xludf.DUMMYFUNCTION("""COMPUTED_VALUE"""),45949.262169046815)</f>
        <v>45949.26217</v>
      </c>
      <c r="K105" s="4">
        <f>IFERROR(__xludf.DUMMYFUNCTION("""COMPUTED_VALUE"""),45949.308301660276)</f>
        <v>45949.3083</v>
      </c>
      <c r="L105" s="4">
        <f>IFERROR(__xludf.DUMMYFUNCTION("""COMPUTED_VALUE"""),45949.32091470399)</f>
        <v>45949.32091</v>
      </c>
      <c r="M105" s="1" t="str">
        <f>IFERROR(__xludf.DUMMYFUNCTION("""COMPUTED_VALUE"""),"RFID")</f>
        <v>RFID</v>
      </c>
      <c r="N105" s="5">
        <f>IFERROR(__xludf.DUMMYFUNCTION("""COMPUTED_VALUE"""),0.00628287962962963)</f>
        <v>0.00628287963</v>
      </c>
      <c r="O105" s="5">
        <f>IFERROR(__xludf.DUMMYFUNCTION("""COMPUTED_VALUE"""),0.018453046296296297)</f>
        <v>0.0184530463</v>
      </c>
      <c r="P105" s="5">
        <f>IFERROR(__xludf.DUMMYFUNCTION("""COMPUTED_VALUE"""),0.005190552968278895)</f>
        <v>0.005190552968</v>
      </c>
      <c r="Q105" s="5">
        <f>IFERROR(__xludf.DUMMYFUNCTION("""COMPUTED_VALUE"""),0.007445284722222221)</f>
        <v>0.007445284722</v>
      </c>
      <c r="R105" s="4">
        <f>IFERROR(__xludf.DUMMYFUNCTION("""COMPUTED_VALUE"""),45949.07445285214)</f>
        <v>45949.07445</v>
      </c>
      <c r="S105" s="1" t="b">
        <f>IFERROR(__xludf.DUMMYFUNCTION("""COMPUTED_VALUE"""),TRUE)</f>
        <v>1</v>
      </c>
      <c r="T105" s="1" t="b">
        <f>IFERROR(__xludf.DUMMYFUNCTION("""COMPUTED_VALUE"""),FALSE)</f>
        <v>0</v>
      </c>
      <c r="U105" s="1" t="str">
        <f>IFERROR(__xludf.DUMMYFUNCTION("""COMPUTED_VALUE"""),"VALID")</f>
        <v>VALID</v>
      </c>
      <c r="V105" s="1">
        <f>IFERROR(__xludf.DUMMYFUNCTION("""COMPUTED_VALUE"""),69.0)</f>
        <v>69</v>
      </c>
      <c r="W105" s="1">
        <f>IFERROR(__xludf.DUMMYFUNCTION("""COMPUTED_VALUE"""),752.0)</f>
        <v>752</v>
      </c>
      <c r="X105" s="1">
        <f>IFERROR(__xludf.DUMMYFUNCTION("""COMPUTED_VALUE"""),685.0)</f>
        <v>685</v>
      </c>
      <c r="Y105" s="2"/>
      <c r="Z105" s="2"/>
    </row>
    <row r="106">
      <c r="A106" s="1">
        <f>IFERROR(__xludf.DUMMYFUNCTION("""COMPUTED_VALUE"""),105.0)</f>
        <v>105</v>
      </c>
      <c r="B106" s="1">
        <f>IFERROR(__xludf.DUMMYFUNCTION("""COMPUTED_VALUE"""),10132.0)</f>
        <v>10132</v>
      </c>
      <c r="C106" s="2" t="str">
        <f>IFERROR(__xludf.DUMMYFUNCTION("""COMPUTED_VALUE"""),"BILLAHMAR")</f>
        <v>BILLAHMAR</v>
      </c>
      <c r="D106" s="2" t="str">
        <f>IFERROR(__xludf.DUMMYFUNCTION("""COMPUTED_VALUE"""),"10KM OVERALL F")</f>
        <v>10KM OVERALL F</v>
      </c>
      <c r="E106" s="1">
        <f>IFERROR(__xludf.DUMMYFUNCTION("""COMPUTED_VALUE"""),1.0)</f>
        <v>1</v>
      </c>
      <c r="F106" s="1" t="str">
        <f>IFERROR(__xludf.DUMMYFUNCTION("""COMPUTED_VALUE"""),"Female")</f>
        <v>Female</v>
      </c>
      <c r="G106" s="4" t="str">
        <f>IFERROR(__xludf.DUMMYFUNCTION("""COMPUTED_VALUE"""),"")</f>
        <v/>
      </c>
      <c r="H106" s="4" t="b">
        <f>IFERROR(__xludf.DUMMYFUNCTION("""COMPUTED_VALUE"""),TRUE)</f>
        <v>1</v>
      </c>
      <c r="I106" s="4">
        <f>IFERROR(__xludf.DUMMYFUNCTION("""COMPUTED_VALUE"""),0.24646185185185185)</f>
        <v>0.2464618519</v>
      </c>
      <c r="J106" s="4">
        <f>IFERROR(__xludf.DUMMYFUNCTION("""COMPUTED_VALUE"""),45949.26725934223)</f>
        <v>45949.26726</v>
      </c>
      <c r="K106" s="4">
        <f>IFERROR(__xludf.DUMMYFUNCTION("""COMPUTED_VALUE"""),45949.30123220956)</f>
        <v>45949.30123</v>
      </c>
      <c r="L106" s="4">
        <f>IFERROR(__xludf.DUMMYFUNCTION("""COMPUTED_VALUE"""),45949.31213692879)</f>
        <v>45949.31214</v>
      </c>
      <c r="M106" s="1" t="str">
        <f>IFERROR(__xludf.DUMMYFUNCTION("""COMPUTED_VALUE"""),"RFID")</f>
        <v>RFID</v>
      </c>
      <c r="N106" s="5">
        <f>IFERROR(__xludf.DUMMYFUNCTION("""COMPUTED_VALUE"""),0.00831899537037037)</f>
        <v>0.00831899537</v>
      </c>
      <c r="O106" s="5">
        <f>IFERROR(__xludf.DUMMYFUNCTION("""COMPUTED_VALUE"""),0.013589148148148147)</f>
        <v>0.01358914815</v>
      </c>
      <c r="P106" s="5">
        <f>IFERROR(__xludf.DUMMYFUNCTION("""COMPUTED_VALUE"""),0.0044875387781454865)</f>
        <v>0.004487538778</v>
      </c>
      <c r="Q106" s="5">
        <f>IFERROR(__xludf.DUMMYFUNCTION("""COMPUTED_VALUE"""),0.006567508101851851)</f>
        <v>0.006567508102</v>
      </c>
      <c r="R106" s="4">
        <f>IFERROR(__xludf.DUMMYFUNCTION("""COMPUTED_VALUE"""),45949.06567507694)</f>
        <v>45949.06568</v>
      </c>
      <c r="S106" s="1" t="b">
        <f>IFERROR(__xludf.DUMMYFUNCTION("""COMPUTED_VALUE"""),TRUE)</f>
        <v>1</v>
      </c>
      <c r="T106" s="1" t="b">
        <f>IFERROR(__xludf.DUMMYFUNCTION("""COMPUTED_VALUE"""),FALSE)</f>
        <v>0</v>
      </c>
      <c r="U106" s="1" t="str">
        <f>IFERROR(__xludf.DUMMYFUNCTION("""COMPUTED_VALUE"""),"VALID")</f>
        <v>VALID</v>
      </c>
      <c r="V106" s="1">
        <f>IFERROR(__xludf.DUMMYFUNCTION("""COMPUTED_VALUE"""),55.0)</f>
        <v>55</v>
      </c>
      <c r="W106" s="1">
        <f>IFERROR(__xludf.DUMMYFUNCTION("""COMPUTED_VALUE"""),705.0)</f>
        <v>705</v>
      </c>
      <c r="X106" s="1">
        <f>IFERROR(__xludf.DUMMYFUNCTION("""COMPUTED_VALUE"""),668.0)</f>
        <v>668</v>
      </c>
      <c r="Y106" s="2"/>
      <c r="Z106" s="2"/>
    </row>
    <row r="107">
      <c r="A107" s="1">
        <f>IFERROR(__xludf.DUMMYFUNCTION("""COMPUTED_VALUE"""),106.0)</f>
        <v>106</v>
      </c>
      <c r="B107" s="1">
        <f>IFERROR(__xludf.DUMMYFUNCTION("""COMPUTED_VALUE"""),10135.0)</f>
        <v>10135</v>
      </c>
      <c r="C107" s="2" t="str">
        <f>IFERROR(__xludf.DUMMYFUNCTION("""COMPUTED_VALUE"""),"Muza")</f>
        <v>Muza</v>
      </c>
      <c r="D107" s="2" t="str">
        <f>IFERROR(__xludf.DUMMYFUNCTION("""COMPUTED_VALUE"""),"10KM OVERALL F")</f>
        <v>10KM OVERALL F</v>
      </c>
      <c r="E107" s="1">
        <f>IFERROR(__xludf.DUMMYFUNCTION("""COMPUTED_VALUE"""),1.0)</f>
        <v>1</v>
      </c>
      <c r="F107" s="1" t="str">
        <f>IFERROR(__xludf.DUMMYFUNCTION("""COMPUTED_VALUE"""),"Female")</f>
        <v>Female</v>
      </c>
      <c r="G107" s="4" t="b">
        <f>IFERROR(__xludf.DUMMYFUNCTION("""COMPUTED_VALUE"""),TRUE)</f>
        <v>1</v>
      </c>
      <c r="H107" s="4" t="b">
        <f>IFERROR(__xludf.DUMMYFUNCTION("""COMPUTED_VALUE"""),TRUE)</f>
        <v>1</v>
      </c>
      <c r="I107" s="4">
        <f>IFERROR(__xludf.DUMMYFUNCTION("""COMPUTED_VALUE"""),0.24646185185185185)</f>
        <v>0.2464618519</v>
      </c>
      <c r="J107" s="4">
        <f>IFERROR(__xludf.DUMMYFUNCTION("""COMPUTED_VALUE"""),45949.2583947475)</f>
        <v>45949.25839</v>
      </c>
      <c r="K107" s="4">
        <f>IFERROR(__xludf.DUMMYFUNCTION("""COMPUTED_VALUE"""),45949.290950555616)</f>
        <v>45949.29095</v>
      </c>
      <c r="L107" s="4">
        <f>IFERROR(__xludf.DUMMYFUNCTION("""COMPUTED_VALUE"""),45949.301209927435)</f>
        <v>45949.30121</v>
      </c>
      <c r="M107" s="1" t="str">
        <f>IFERROR(__xludf.DUMMYFUNCTION("""COMPUTED_VALUE"""),"RFID")</f>
        <v>RFID</v>
      </c>
      <c r="N107" s="5">
        <f>IFERROR(__xludf.DUMMYFUNCTION("""COMPUTED_VALUE"""),0.004773157407407407)</f>
        <v>0.004773157407</v>
      </c>
      <c r="O107" s="5">
        <f>IFERROR(__xludf.DUMMYFUNCTION("""COMPUTED_VALUE"""),0.013022324074074073)</f>
        <v>0.01302232407</v>
      </c>
      <c r="P107" s="5">
        <f>IFERROR(__xludf.DUMMYFUNCTION("""COMPUTED_VALUE"""),0.004221963711272649)</f>
        <v>0.004221963711</v>
      </c>
      <c r="Q107" s="5">
        <f>IFERROR(__xludf.DUMMYFUNCTION("""COMPUTED_VALUE"""),0.00547480787037037)</f>
        <v>0.00547480787</v>
      </c>
      <c r="R107" s="4">
        <f>IFERROR(__xludf.DUMMYFUNCTION("""COMPUTED_VALUE"""),45949.054748075585)</f>
        <v>45949.05475</v>
      </c>
      <c r="S107" s="1" t="b">
        <f>IFERROR(__xludf.DUMMYFUNCTION("""COMPUTED_VALUE"""),TRUE)</f>
        <v>1</v>
      </c>
      <c r="T107" s="1" t="b">
        <f>IFERROR(__xludf.DUMMYFUNCTION("""COMPUTED_VALUE"""),FALSE)</f>
        <v>0</v>
      </c>
      <c r="U107" s="1" t="str">
        <f>IFERROR(__xludf.DUMMYFUNCTION("""COMPUTED_VALUE"""),"VALID")</f>
        <v>VALID</v>
      </c>
      <c r="V107" s="1">
        <f>IFERROR(__xludf.DUMMYFUNCTION("""COMPUTED_VALUE"""),32.0)</f>
        <v>32</v>
      </c>
      <c r="W107" s="1">
        <f>IFERROR(__xludf.DUMMYFUNCTION("""COMPUTED_VALUE"""),547.0)</f>
        <v>547</v>
      </c>
      <c r="X107" s="1">
        <f>IFERROR(__xludf.DUMMYFUNCTION("""COMPUTED_VALUE"""),630.0)</f>
        <v>630</v>
      </c>
      <c r="Y107" s="2"/>
      <c r="Z107" s="2"/>
    </row>
    <row r="108">
      <c r="A108" s="1">
        <f>IFERROR(__xludf.DUMMYFUNCTION("""COMPUTED_VALUE"""),107.0)</f>
        <v>107</v>
      </c>
      <c r="B108" s="1">
        <f>IFERROR(__xludf.DUMMYFUNCTION("""COMPUTED_VALUE"""),10137.0)</f>
        <v>10137</v>
      </c>
      <c r="C108" s="2" t="str">
        <f>IFERROR(__xludf.DUMMYFUNCTION("""COMPUTED_VALUE"""),"Rismayanti")</f>
        <v>Rismayanti</v>
      </c>
      <c r="D108" s="2" t="str">
        <f>IFERROR(__xludf.DUMMYFUNCTION("""COMPUTED_VALUE"""),"10KM OVERALL F")</f>
        <v>10KM OVERALL F</v>
      </c>
      <c r="E108" s="1">
        <f>IFERROR(__xludf.DUMMYFUNCTION("""COMPUTED_VALUE"""),1.0)</f>
        <v>1</v>
      </c>
      <c r="F108" s="1" t="str">
        <f>IFERROR(__xludf.DUMMYFUNCTION("""COMPUTED_VALUE"""),"Female")</f>
        <v>Female</v>
      </c>
      <c r="G108" s="4" t="b">
        <f>IFERROR(__xludf.DUMMYFUNCTION("""COMPUTED_VALUE"""),TRUE)</f>
        <v>1</v>
      </c>
      <c r="H108" s="4" t="b">
        <f>IFERROR(__xludf.DUMMYFUNCTION("""COMPUTED_VALUE"""),TRUE)</f>
        <v>1</v>
      </c>
      <c r="I108" s="4">
        <f>IFERROR(__xludf.DUMMYFUNCTION("""COMPUTED_VALUE"""),0.24646185185185185)</f>
        <v>0.2464618519</v>
      </c>
      <c r="J108" s="4">
        <f>IFERROR(__xludf.DUMMYFUNCTION("""COMPUTED_VALUE"""),45949.25783920094)</f>
        <v>45949.25784</v>
      </c>
      <c r="K108" s="4">
        <f>IFERROR(__xludf.DUMMYFUNCTION("""COMPUTED_VALUE"""),45949.287054501605)</f>
        <v>45949.28705</v>
      </c>
      <c r="L108" s="4">
        <f>IFERROR(__xludf.DUMMYFUNCTION("""COMPUTED_VALUE"""),45949.295432525054)</f>
        <v>45949.29543</v>
      </c>
      <c r="M108" s="1" t="str">
        <f>IFERROR(__xludf.DUMMYFUNCTION("""COMPUTED_VALUE"""),"RFID")</f>
        <v>RFID</v>
      </c>
      <c r="N108" s="5">
        <f>IFERROR(__xludf.DUMMYFUNCTION("""COMPUTED_VALUE"""),0.004550939814814815)</f>
        <v>0.004550939815</v>
      </c>
      <c r="O108" s="5">
        <f>IFERROR(__xludf.DUMMYFUNCTION("""COMPUTED_VALUE"""),0.011686120370370371)</f>
        <v>0.01168612037</v>
      </c>
      <c r="P108" s="5">
        <f>IFERROR(__xludf.DUMMYFUNCTION("""COMPUTED_VALUE"""),0.003447746275325302)</f>
        <v>0.003447746275</v>
      </c>
      <c r="Q108" s="5">
        <f>IFERROR(__xludf.DUMMYFUNCTION("""COMPUTED_VALUE"""),0.00489706712962963)</f>
        <v>0.00489706713</v>
      </c>
      <c r="R108" s="4">
        <f>IFERROR(__xludf.DUMMYFUNCTION("""COMPUTED_VALUE"""),45949.048970673204)</f>
        <v>45949.04897</v>
      </c>
      <c r="S108" s="1" t="b">
        <f>IFERROR(__xludf.DUMMYFUNCTION("""COMPUTED_VALUE"""),TRUE)</f>
        <v>1</v>
      </c>
      <c r="T108" s="1" t="b">
        <f>IFERROR(__xludf.DUMMYFUNCTION("""COMPUTED_VALUE"""),FALSE)</f>
        <v>0</v>
      </c>
      <c r="U108" s="1" t="str">
        <f>IFERROR(__xludf.DUMMYFUNCTION("""COMPUTED_VALUE"""),"VALID")</f>
        <v>VALID</v>
      </c>
      <c r="V108" s="1">
        <f>IFERROR(__xludf.DUMMYFUNCTION("""COMPUTED_VALUE"""),19.0)</f>
        <v>19</v>
      </c>
      <c r="W108" s="1">
        <f>IFERROR(__xludf.DUMMYFUNCTION("""COMPUTED_VALUE"""),368.0)</f>
        <v>368</v>
      </c>
      <c r="X108" s="1">
        <f>IFERROR(__xludf.DUMMYFUNCTION("""COMPUTED_VALUE"""),589.0)</f>
        <v>589</v>
      </c>
      <c r="Y108" s="2"/>
      <c r="Z108" s="2"/>
    </row>
    <row r="109">
      <c r="A109" s="1">
        <f>IFERROR(__xludf.DUMMYFUNCTION("""COMPUTED_VALUE"""),108.0)</f>
        <v>108</v>
      </c>
      <c r="B109" s="1">
        <f>IFERROR(__xludf.DUMMYFUNCTION("""COMPUTED_VALUE"""),10139.0)</f>
        <v>10139</v>
      </c>
      <c r="C109" s="2" t="str">
        <f>IFERROR(__xludf.DUMMYFUNCTION("""COMPUTED_VALUE"""),"Nyan")</f>
        <v>Nyan</v>
      </c>
      <c r="D109" s="2" t="str">
        <f>IFERROR(__xludf.DUMMYFUNCTION("""COMPUTED_VALUE"""),"10KM OVERALL F")</f>
        <v>10KM OVERALL F</v>
      </c>
      <c r="E109" s="1">
        <f>IFERROR(__xludf.DUMMYFUNCTION("""COMPUTED_VALUE"""),1.0)</f>
        <v>1</v>
      </c>
      <c r="F109" s="1" t="str">
        <f>IFERROR(__xludf.DUMMYFUNCTION("""COMPUTED_VALUE"""),"Female")</f>
        <v>Female</v>
      </c>
      <c r="G109" s="4" t="b">
        <f>IFERROR(__xludf.DUMMYFUNCTION("""COMPUTED_VALUE"""),TRUE)</f>
        <v>1</v>
      </c>
      <c r="H109" s="4" t="b">
        <f>IFERROR(__xludf.DUMMYFUNCTION("""COMPUTED_VALUE"""),TRUE)</f>
        <v>1</v>
      </c>
      <c r="I109" s="4">
        <f>IFERROR(__xludf.DUMMYFUNCTION("""COMPUTED_VALUE"""),0.24646185185185185)</f>
        <v>0.2464618519</v>
      </c>
      <c r="J109" s="4">
        <f>IFERROR(__xludf.DUMMYFUNCTION("""COMPUTED_VALUE"""),45949.260342675385)</f>
        <v>45949.26034</v>
      </c>
      <c r="K109" s="4">
        <f>IFERROR(__xludf.DUMMYFUNCTION("""COMPUTED_VALUE"""),45949.299246697105)</f>
        <v>45949.29925</v>
      </c>
      <c r="L109" s="4">
        <f>IFERROR(__xludf.DUMMYFUNCTION("""COMPUTED_VALUE"""),45949.31032101775)</f>
        <v>45949.31032</v>
      </c>
      <c r="M109" s="1" t="str">
        <f>IFERROR(__xludf.DUMMYFUNCTION("""COMPUTED_VALUE"""),"RFID")</f>
        <v>RFID</v>
      </c>
      <c r="N109" s="5">
        <f>IFERROR(__xludf.DUMMYFUNCTION("""COMPUTED_VALUE"""),0.005552328703703703)</f>
        <v>0.005552328704</v>
      </c>
      <c r="O109" s="5">
        <f>IFERROR(__xludf.DUMMYFUNCTION("""COMPUTED_VALUE"""),0.01556160648148148)</f>
        <v>0.01556160648</v>
      </c>
      <c r="P109" s="5">
        <f>IFERROR(__xludf.DUMMYFUNCTION("""COMPUTED_VALUE"""),0.004557333599178143)</f>
        <v>0.004557333599</v>
      </c>
      <c r="Q109" s="5">
        <f>IFERROR(__xludf.DUMMYFUNCTION("""COMPUTED_VALUE"""),0.0063859166666666665)</f>
        <v>0.006385916667</v>
      </c>
      <c r="R109" s="4">
        <f>IFERROR(__xludf.DUMMYFUNCTION("""COMPUTED_VALUE"""),45949.0638591659)</f>
        <v>45949.06386</v>
      </c>
      <c r="S109" s="1" t="b">
        <f>IFERROR(__xludf.DUMMYFUNCTION("""COMPUTED_VALUE"""),TRUE)</f>
        <v>1</v>
      </c>
      <c r="T109" s="1" t="b">
        <f>IFERROR(__xludf.DUMMYFUNCTION("""COMPUTED_VALUE"""),FALSE)</f>
        <v>0</v>
      </c>
      <c r="U109" s="1" t="str">
        <f>IFERROR(__xludf.DUMMYFUNCTION("""COMPUTED_VALUE"""),"VALID")</f>
        <v>VALID</v>
      </c>
      <c r="V109" s="1">
        <f>IFERROR(__xludf.DUMMYFUNCTION("""COMPUTED_VALUE"""),52.0)</f>
        <v>52</v>
      </c>
      <c r="W109" s="1">
        <f>IFERROR(__xludf.DUMMYFUNCTION("""COMPUTED_VALUE"""),694.0)</f>
        <v>694</v>
      </c>
      <c r="X109" s="1">
        <f>IFERROR(__xludf.DUMMYFUNCTION("""COMPUTED_VALUE"""),664.0)</f>
        <v>664</v>
      </c>
      <c r="Y109" s="2"/>
      <c r="Z109" s="2"/>
    </row>
    <row r="110">
      <c r="A110" s="1">
        <f>IFERROR(__xludf.DUMMYFUNCTION("""COMPUTED_VALUE"""),109.0)</f>
        <v>109</v>
      </c>
      <c r="B110" s="1">
        <f>IFERROR(__xludf.DUMMYFUNCTION("""COMPUTED_VALUE"""),10143.0)</f>
        <v>10143</v>
      </c>
      <c r="C110" s="2" t="str">
        <f>IFERROR(__xludf.DUMMYFUNCTION("""COMPUTED_VALUE"""),"Dina")</f>
        <v>Dina</v>
      </c>
      <c r="D110" s="2" t="str">
        <f>IFERROR(__xludf.DUMMYFUNCTION("""COMPUTED_VALUE"""),"10KM OVERALL F")</f>
        <v>10KM OVERALL F</v>
      </c>
      <c r="E110" s="1">
        <f>IFERROR(__xludf.DUMMYFUNCTION("""COMPUTED_VALUE"""),1.0)</f>
        <v>1</v>
      </c>
      <c r="F110" s="1" t="str">
        <f>IFERROR(__xludf.DUMMYFUNCTION("""COMPUTED_VALUE"""),"Female")</f>
        <v>Female</v>
      </c>
      <c r="G110" s="4" t="b">
        <f>IFERROR(__xludf.DUMMYFUNCTION("""COMPUTED_VALUE"""),TRUE)</f>
        <v>1</v>
      </c>
      <c r="H110" s="4" t="b">
        <f>IFERROR(__xludf.DUMMYFUNCTION("""COMPUTED_VALUE"""),TRUE)</f>
        <v>1</v>
      </c>
      <c r="I110" s="4">
        <f>IFERROR(__xludf.DUMMYFUNCTION("""COMPUTED_VALUE"""),0.24646185185185185)</f>
        <v>0.2464618519</v>
      </c>
      <c r="J110" s="4">
        <f>IFERROR(__xludf.DUMMYFUNCTION("""COMPUTED_VALUE"""),45949.262505923296)</f>
        <v>45949.26251</v>
      </c>
      <c r="K110" s="4">
        <f>IFERROR(__xludf.DUMMYFUNCTION("""COMPUTED_VALUE"""),45949.298826092745)</f>
        <v>45949.29883</v>
      </c>
      <c r="L110" s="4">
        <f>IFERROR(__xludf.DUMMYFUNCTION("""COMPUTED_VALUE"""),45949.310276505596)</f>
        <v>45949.31028</v>
      </c>
      <c r="M110" s="1" t="str">
        <f>IFERROR(__xludf.DUMMYFUNCTION("""COMPUTED_VALUE"""),"RFID")</f>
        <v>RFID</v>
      </c>
      <c r="N110" s="5">
        <f>IFERROR(__xludf.DUMMYFUNCTION("""COMPUTED_VALUE"""),0.00641762962962963)</f>
        <v>0.00641762963</v>
      </c>
      <c r="O110" s="5">
        <f>IFERROR(__xludf.DUMMYFUNCTION("""COMPUTED_VALUE"""),0.014528069444444444)</f>
        <v>0.01452806944</v>
      </c>
      <c r="P110" s="5">
        <f>IFERROR(__xludf.DUMMYFUNCTION("""COMPUTED_VALUE"""),0.004712104053718494)</f>
        <v>0.004712104054</v>
      </c>
      <c r="Q110" s="5">
        <f>IFERROR(__xludf.DUMMYFUNCTION("""COMPUTED_VALUE"""),0.0063814652777777784)</f>
        <v>0.006381465278</v>
      </c>
      <c r="R110" s="4">
        <f>IFERROR(__xludf.DUMMYFUNCTION("""COMPUTED_VALUE"""),45949.063814653746)</f>
        <v>45949.06381</v>
      </c>
      <c r="S110" s="1" t="b">
        <f>IFERROR(__xludf.DUMMYFUNCTION("""COMPUTED_VALUE"""),TRUE)</f>
        <v>1</v>
      </c>
      <c r="T110" s="1" t="b">
        <f>IFERROR(__xludf.DUMMYFUNCTION("""COMPUTED_VALUE"""),FALSE)</f>
        <v>0</v>
      </c>
      <c r="U110" s="1" t="str">
        <f>IFERROR(__xludf.DUMMYFUNCTION("""COMPUTED_VALUE"""),"VALID")</f>
        <v>VALID</v>
      </c>
      <c r="V110" s="1">
        <f>IFERROR(__xludf.DUMMYFUNCTION("""COMPUTED_VALUE"""),51.0)</f>
        <v>51</v>
      </c>
      <c r="W110" s="1">
        <f>IFERROR(__xludf.DUMMYFUNCTION("""COMPUTED_VALUE"""),687.0)</f>
        <v>687</v>
      </c>
      <c r="X110" s="1">
        <f>IFERROR(__xludf.DUMMYFUNCTION("""COMPUTED_VALUE"""),663.0)</f>
        <v>663</v>
      </c>
      <c r="Y110" s="2"/>
      <c r="Z110" s="2"/>
    </row>
    <row r="111">
      <c r="A111" s="1">
        <f>IFERROR(__xludf.DUMMYFUNCTION("""COMPUTED_VALUE"""),110.0)</f>
        <v>110</v>
      </c>
      <c r="B111" s="1">
        <f>IFERROR(__xludf.DUMMYFUNCTION("""COMPUTED_VALUE"""),10148.0)</f>
        <v>10148</v>
      </c>
      <c r="C111" s="2" t="str">
        <f>IFERROR(__xludf.DUMMYFUNCTION("""COMPUTED_VALUE"""),"Dhanty")</f>
        <v>Dhanty</v>
      </c>
      <c r="D111" s="2" t="str">
        <f>IFERROR(__xludf.DUMMYFUNCTION("""COMPUTED_VALUE"""),"10KM OVERALL F")</f>
        <v>10KM OVERALL F</v>
      </c>
      <c r="E111" s="1">
        <f>IFERROR(__xludf.DUMMYFUNCTION("""COMPUTED_VALUE"""),1.0)</f>
        <v>1</v>
      </c>
      <c r="F111" s="1" t="str">
        <f>IFERROR(__xludf.DUMMYFUNCTION("""COMPUTED_VALUE"""),"Female")</f>
        <v>Female</v>
      </c>
      <c r="G111" s="4" t="b">
        <f>IFERROR(__xludf.DUMMYFUNCTION("""COMPUTED_VALUE"""),TRUE)</f>
        <v>1</v>
      </c>
      <c r="H111" s="4" t="b">
        <f>IFERROR(__xludf.DUMMYFUNCTION("""COMPUTED_VALUE"""),TRUE)</f>
        <v>1</v>
      </c>
      <c r="I111" s="4">
        <f>IFERROR(__xludf.DUMMYFUNCTION("""COMPUTED_VALUE"""),0.24646185185185185)</f>
        <v>0.2464618519</v>
      </c>
      <c r="J111" s="4">
        <f>IFERROR(__xludf.DUMMYFUNCTION("""COMPUTED_VALUE"""),45949.25859268168)</f>
        <v>45949.25859</v>
      </c>
      <c r="K111" s="4">
        <f>IFERROR(__xludf.DUMMYFUNCTION("""COMPUTED_VALUE"""),45949.2880822724)</f>
        <v>45949.28808</v>
      </c>
      <c r="L111" s="4">
        <f>IFERROR(__xludf.DUMMYFUNCTION("""COMPUTED_VALUE"""),45949.29689740282)</f>
        <v>45949.2969</v>
      </c>
      <c r="M111" s="1" t="str">
        <f>IFERROR(__xludf.DUMMYFUNCTION("""COMPUTED_VALUE"""),"RFID")</f>
        <v>RFID</v>
      </c>
      <c r="N111" s="5">
        <f>IFERROR(__xludf.DUMMYFUNCTION("""COMPUTED_VALUE"""),0.0048523333333333335)</f>
        <v>0.004852333333</v>
      </c>
      <c r="O111" s="5">
        <f>IFERROR(__xludf.DUMMYFUNCTION("""COMPUTED_VALUE"""),0.011795837962962963)</f>
        <v>0.01179583796</v>
      </c>
      <c r="P111" s="5">
        <f>IFERROR(__xludf.DUMMYFUNCTION("""COMPUTED_VALUE"""),0.0036276256883087652)</f>
        <v>0.003627625688</v>
      </c>
      <c r="Q111" s="5">
        <f>IFERROR(__xludf.DUMMYFUNCTION("""COMPUTED_VALUE"""),0.0050435555555555555)</f>
        <v>0.005043555556</v>
      </c>
      <c r="R111" s="4">
        <f>IFERROR(__xludf.DUMMYFUNCTION("""COMPUTED_VALUE"""),45949.05043555097)</f>
        <v>45949.05044</v>
      </c>
      <c r="S111" s="1" t="b">
        <f>IFERROR(__xludf.DUMMYFUNCTION("""COMPUTED_VALUE"""),TRUE)</f>
        <v>1</v>
      </c>
      <c r="T111" s="1" t="b">
        <f>IFERROR(__xludf.DUMMYFUNCTION("""COMPUTED_VALUE"""),FALSE)</f>
        <v>0</v>
      </c>
      <c r="U111" s="1" t="str">
        <f>IFERROR(__xludf.DUMMYFUNCTION("""COMPUTED_VALUE"""),"VALID")</f>
        <v>VALID</v>
      </c>
      <c r="V111" s="1">
        <f>IFERROR(__xludf.DUMMYFUNCTION("""COMPUTED_VALUE"""),21.0)</f>
        <v>21</v>
      </c>
      <c r="W111" s="1">
        <f>IFERROR(__xludf.DUMMYFUNCTION("""COMPUTED_VALUE"""),414.0)</f>
        <v>414</v>
      </c>
      <c r="X111" s="1">
        <f>IFERROR(__xludf.DUMMYFUNCTION("""COMPUTED_VALUE"""),600.0)</f>
        <v>600</v>
      </c>
      <c r="Y111" s="2"/>
      <c r="Z111" s="2"/>
    </row>
    <row r="112">
      <c r="A112" s="1">
        <f>IFERROR(__xludf.DUMMYFUNCTION("""COMPUTED_VALUE"""),111.0)</f>
        <v>111</v>
      </c>
      <c r="B112" s="1">
        <f>IFERROR(__xludf.DUMMYFUNCTION("""COMPUTED_VALUE"""),10152.0)</f>
        <v>10152</v>
      </c>
      <c r="C112" s="2" t="str">
        <f>IFERROR(__xludf.DUMMYFUNCTION("""COMPUTED_VALUE"""),"mitha")</f>
        <v>mitha</v>
      </c>
      <c r="D112" s="2" t="str">
        <f>IFERROR(__xludf.DUMMYFUNCTION("""COMPUTED_VALUE"""),"10KM OVERALL F")</f>
        <v>10KM OVERALL F</v>
      </c>
      <c r="E112" s="1">
        <f>IFERROR(__xludf.DUMMYFUNCTION("""COMPUTED_VALUE"""),1.0)</f>
        <v>1</v>
      </c>
      <c r="F112" s="1" t="str">
        <f>IFERROR(__xludf.DUMMYFUNCTION("""COMPUTED_VALUE"""),"Female")</f>
        <v>Female</v>
      </c>
      <c r="G112" s="4" t="str">
        <f>IFERROR(__xludf.DUMMYFUNCTION("""COMPUTED_VALUE"""),"")</f>
        <v/>
      </c>
      <c r="H112" s="4" t="b">
        <f>IFERROR(__xludf.DUMMYFUNCTION("""COMPUTED_VALUE"""),TRUE)</f>
        <v>1</v>
      </c>
      <c r="I112" s="4">
        <f>IFERROR(__xludf.DUMMYFUNCTION("""COMPUTED_VALUE"""),0.24646185185185185)</f>
        <v>0.2464618519</v>
      </c>
      <c r="J112" s="4">
        <f>IFERROR(__xludf.DUMMYFUNCTION("""COMPUTED_VALUE"""),45949.25992258098)</f>
        <v>45949.25992</v>
      </c>
      <c r="K112" s="4">
        <f>IFERROR(__xludf.DUMMYFUNCTION("""COMPUTED_VALUE"""),45949.300107928626)</f>
        <v>45949.30011</v>
      </c>
      <c r="L112" s="4">
        <f>IFERROR(__xludf.DUMMYFUNCTION("""COMPUTED_VALUE"""),45949.31233489868)</f>
        <v>45949.31233</v>
      </c>
      <c r="M112" s="1" t="str">
        <f>IFERROR(__xludf.DUMMYFUNCTION("""COMPUTED_VALUE"""),"RFID")</f>
        <v>RFID</v>
      </c>
      <c r="N112" s="5">
        <f>IFERROR(__xludf.DUMMYFUNCTION("""COMPUTED_VALUE"""),0.005384291666666667)</f>
        <v>0.005384291667</v>
      </c>
      <c r="O112" s="5">
        <f>IFERROR(__xludf.DUMMYFUNCTION("""COMPUTED_VALUE"""),0.016074138888888888)</f>
        <v>0.01607413889</v>
      </c>
      <c r="P112" s="5">
        <f>IFERROR(__xludf.DUMMYFUNCTION("""COMPUTED_VALUE"""),0.005031674918277887)</f>
        <v>0.005031674918</v>
      </c>
      <c r="Q112" s="5">
        <f>IFERROR(__xludf.DUMMYFUNCTION("""COMPUTED_VALUE"""),0.006587304398148147)</f>
        <v>0.006587304398</v>
      </c>
      <c r="R112" s="4">
        <f>IFERROR(__xludf.DUMMYFUNCTION("""COMPUTED_VALUE"""),45949.06587304683)</f>
        <v>45949.06587</v>
      </c>
      <c r="S112" s="1" t="b">
        <f>IFERROR(__xludf.DUMMYFUNCTION("""COMPUTED_VALUE"""),TRUE)</f>
        <v>1</v>
      </c>
      <c r="T112" s="1" t="b">
        <f>IFERROR(__xludf.DUMMYFUNCTION("""COMPUTED_VALUE"""),FALSE)</f>
        <v>0</v>
      </c>
      <c r="U112" s="1" t="str">
        <f>IFERROR(__xludf.DUMMYFUNCTION("""COMPUTED_VALUE"""),"VALID")</f>
        <v>VALID</v>
      </c>
      <c r="V112" s="1">
        <f>IFERROR(__xludf.DUMMYFUNCTION("""COMPUTED_VALUE"""),58.0)</f>
        <v>58</v>
      </c>
      <c r="W112" s="1">
        <f>IFERROR(__xludf.DUMMYFUNCTION("""COMPUTED_VALUE"""),710.0)</f>
        <v>710</v>
      </c>
      <c r="X112" s="1">
        <f>IFERROR(__xludf.DUMMYFUNCTION("""COMPUTED_VALUE"""),671.0)</f>
        <v>671</v>
      </c>
      <c r="Y112" s="2"/>
      <c r="Z112" s="2"/>
    </row>
    <row r="113">
      <c r="A113" s="1">
        <f>IFERROR(__xludf.DUMMYFUNCTION("""COMPUTED_VALUE"""),112.0)</f>
        <v>112</v>
      </c>
      <c r="B113" s="1">
        <f>IFERROR(__xludf.DUMMYFUNCTION("""COMPUTED_VALUE"""),10155.0)</f>
        <v>10155</v>
      </c>
      <c r="C113" s="2" t="str">
        <f>IFERROR(__xludf.DUMMYFUNCTION("""COMPUTED_VALUE"""),"Annisa")</f>
        <v>Annisa</v>
      </c>
      <c r="D113" s="2" t="str">
        <f>IFERROR(__xludf.DUMMYFUNCTION("""COMPUTED_VALUE"""),"10KM OVERALL F")</f>
        <v>10KM OVERALL F</v>
      </c>
      <c r="E113" s="1">
        <f>IFERROR(__xludf.DUMMYFUNCTION("""COMPUTED_VALUE"""),1.0)</f>
        <v>1</v>
      </c>
      <c r="F113" s="1" t="str">
        <f>IFERROR(__xludf.DUMMYFUNCTION("""COMPUTED_VALUE"""),"Female")</f>
        <v>Female</v>
      </c>
      <c r="G113" s="4" t="b">
        <f>IFERROR(__xludf.DUMMYFUNCTION("""COMPUTED_VALUE"""),TRUE)</f>
        <v>1</v>
      </c>
      <c r="H113" s="4" t="b">
        <f>IFERROR(__xludf.DUMMYFUNCTION("""COMPUTED_VALUE"""),TRUE)</f>
        <v>1</v>
      </c>
      <c r="I113" s="4">
        <f>IFERROR(__xludf.DUMMYFUNCTION("""COMPUTED_VALUE"""),0.24646185185185185)</f>
        <v>0.2464618519</v>
      </c>
      <c r="J113" s="4">
        <f>IFERROR(__xludf.DUMMYFUNCTION("""COMPUTED_VALUE"""),45949.256210956526)</f>
        <v>45949.25621</v>
      </c>
      <c r="K113" s="4">
        <f>IFERROR(__xludf.DUMMYFUNCTION("""COMPUTED_VALUE"""),45949.280665629776)</f>
        <v>45949.28067</v>
      </c>
      <c r="L113" s="4">
        <f>IFERROR(__xludf.DUMMYFUNCTION("""COMPUTED_VALUE"""),45949.288466845916)</f>
        <v>45949.28847</v>
      </c>
      <c r="M113" s="1" t="str">
        <f>IFERROR(__xludf.DUMMYFUNCTION("""COMPUTED_VALUE"""),"RFID")</f>
        <v>RFID</v>
      </c>
      <c r="N113" s="5">
        <f>IFERROR(__xludf.DUMMYFUNCTION("""COMPUTED_VALUE"""),0.0038996435185185184)</f>
        <v>0.003899643519</v>
      </c>
      <c r="O113" s="5">
        <f>IFERROR(__xludf.DUMMYFUNCTION("""COMPUTED_VALUE"""),0.00978187037037037)</f>
        <v>0.00978187037</v>
      </c>
      <c r="P113" s="5">
        <f>IFERROR(__xludf.DUMMYFUNCTION("""COMPUTED_VALUE"""),0.003210377012074775)</f>
        <v>0.003210377012</v>
      </c>
      <c r="Q113" s="5">
        <f>IFERROR(__xludf.DUMMYFUNCTION("""COMPUTED_VALUE"""),0.0042004988425925925)</f>
        <v>0.004200498843</v>
      </c>
      <c r="R113" s="4">
        <f>IFERROR(__xludf.DUMMYFUNCTION("""COMPUTED_VALUE"""),45949.042004994066)</f>
        <v>45949.042</v>
      </c>
      <c r="S113" s="1" t="b">
        <f>IFERROR(__xludf.DUMMYFUNCTION("""COMPUTED_VALUE"""),TRUE)</f>
        <v>1</v>
      </c>
      <c r="T113" s="1" t="b">
        <f>IFERROR(__xludf.DUMMYFUNCTION("""COMPUTED_VALUE"""),FALSE)</f>
        <v>0</v>
      </c>
      <c r="U113" s="1" t="str">
        <f>IFERROR(__xludf.DUMMYFUNCTION("""COMPUTED_VALUE"""),"VALID")</f>
        <v>VALID</v>
      </c>
      <c r="V113" s="1">
        <f>IFERROR(__xludf.DUMMYFUNCTION("""COMPUTED_VALUE"""),8.0)</f>
        <v>8</v>
      </c>
      <c r="W113" s="1">
        <f>IFERROR(__xludf.DUMMYFUNCTION("""COMPUTED_VALUE"""),167.0)</f>
        <v>167</v>
      </c>
      <c r="X113" s="1">
        <f>IFERROR(__xludf.DUMMYFUNCTION("""COMPUTED_VALUE"""),433.0)</f>
        <v>433</v>
      </c>
      <c r="Y113" s="2"/>
      <c r="Z113" s="2"/>
    </row>
    <row r="114">
      <c r="A114" s="1">
        <f>IFERROR(__xludf.DUMMYFUNCTION("""COMPUTED_VALUE"""),113.0)</f>
        <v>113</v>
      </c>
      <c r="B114" s="1">
        <f>IFERROR(__xludf.DUMMYFUNCTION("""COMPUTED_VALUE"""),10204.0)</f>
        <v>10204</v>
      </c>
      <c r="C114" s="2" t="str">
        <f>IFERROR(__xludf.DUMMYFUNCTION("""COMPUTED_VALUE"""),"Fida")</f>
        <v>Fida</v>
      </c>
      <c r="D114" s="2" t="str">
        <f>IFERROR(__xludf.DUMMYFUNCTION("""COMPUTED_VALUE"""),"10KM OVERALL F")</f>
        <v>10KM OVERALL F</v>
      </c>
      <c r="E114" s="1">
        <f>IFERROR(__xludf.DUMMYFUNCTION("""COMPUTED_VALUE"""),1.0)</f>
        <v>1</v>
      </c>
      <c r="F114" s="1" t="str">
        <f>IFERROR(__xludf.DUMMYFUNCTION("""COMPUTED_VALUE"""),"Female")</f>
        <v>Female</v>
      </c>
      <c r="G114" s="4" t="b">
        <f>IFERROR(__xludf.DUMMYFUNCTION("""COMPUTED_VALUE"""),TRUE)</f>
        <v>1</v>
      </c>
      <c r="H114" s="4" t="b">
        <f>IFERROR(__xludf.DUMMYFUNCTION("""COMPUTED_VALUE"""),TRUE)</f>
        <v>1</v>
      </c>
      <c r="I114" s="4">
        <f>IFERROR(__xludf.DUMMYFUNCTION("""COMPUTED_VALUE"""),0.24646185185185185)</f>
        <v>0.2464618519</v>
      </c>
      <c r="J114" s="4">
        <f>IFERROR(__xludf.DUMMYFUNCTION("""COMPUTED_VALUE"""),45949.26098507194)</f>
        <v>45949.26099</v>
      </c>
      <c r="K114" s="4">
        <f>IFERROR(__xludf.DUMMYFUNCTION("""COMPUTED_VALUE"""),45949.30214149337)</f>
        <v>45949.30214</v>
      </c>
      <c r="L114" s="4">
        <f>IFERROR(__xludf.DUMMYFUNCTION("""COMPUTED_VALUE"""),45949.31450850428)</f>
        <v>45949.31451</v>
      </c>
      <c r="M114" s="1" t="str">
        <f>IFERROR(__xludf.DUMMYFUNCTION("""COMPUTED_VALUE"""),"RFID")</f>
        <v>RFID</v>
      </c>
      <c r="N114" s="5">
        <f>IFERROR(__xludf.DUMMYFUNCTION("""COMPUTED_VALUE"""),0.005809287037037037)</f>
        <v>0.005809287037</v>
      </c>
      <c r="O114" s="5">
        <f>IFERROR(__xludf.DUMMYFUNCTION("""COMPUTED_VALUE"""),0.016462569444444443)</f>
        <v>0.01646256944</v>
      </c>
      <c r="P114" s="5">
        <f>IFERROR(__xludf.DUMMYFUNCTION("""COMPUTED_VALUE"""),0.005089304901093221)</f>
        <v>0.005089304901</v>
      </c>
      <c r="Q114" s="5">
        <f>IFERROR(__xludf.DUMMYFUNCTION("""COMPUTED_VALUE"""),0.006804665509259259)</f>
        <v>0.006804665509</v>
      </c>
      <c r="R114" s="4">
        <f>IFERROR(__xludf.DUMMYFUNCTION("""COMPUTED_VALUE"""),45949.06804665243)</f>
        <v>45949.06805</v>
      </c>
      <c r="S114" s="1" t="b">
        <f>IFERROR(__xludf.DUMMYFUNCTION("""COMPUTED_VALUE"""),TRUE)</f>
        <v>1</v>
      </c>
      <c r="T114" s="1" t="b">
        <f>IFERROR(__xludf.DUMMYFUNCTION("""COMPUTED_VALUE"""),FALSE)</f>
        <v>0</v>
      </c>
      <c r="U114" s="1" t="str">
        <f>IFERROR(__xludf.DUMMYFUNCTION("""COMPUTED_VALUE"""),"VALID")</f>
        <v>VALID</v>
      </c>
      <c r="V114" s="1">
        <f>IFERROR(__xludf.DUMMYFUNCTION("""COMPUTED_VALUE"""),63.0)</f>
        <v>63</v>
      </c>
      <c r="W114" s="1">
        <f>IFERROR(__xludf.DUMMYFUNCTION("""COMPUTED_VALUE"""),729.0)</f>
        <v>729</v>
      </c>
      <c r="X114" s="1">
        <f>IFERROR(__xludf.DUMMYFUNCTION("""COMPUTED_VALUE"""),678.0)</f>
        <v>678</v>
      </c>
      <c r="Y114" s="2"/>
      <c r="Z114" s="2"/>
    </row>
    <row r="115">
      <c r="A115" s="1">
        <f>IFERROR(__xludf.DUMMYFUNCTION("""COMPUTED_VALUE"""),114.0)</f>
        <v>114</v>
      </c>
      <c r="B115" s="1">
        <f>IFERROR(__xludf.DUMMYFUNCTION("""COMPUTED_VALUE"""),10217.0)</f>
        <v>10217</v>
      </c>
      <c r="C115" s="2" t="str">
        <f>IFERROR(__xludf.DUMMYFUNCTION("""COMPUTED_VALUE"""),"SYIFA YASMIN")</f>
        <v>SYIFA YASMIN</v>
      </c>
      <c r="D115" s="2" t="str">
        <f>IFERROR(__xludf.DUMMYFUNCTION("""COMPUTED_VALUE"""),"10KM OVERALL F")</f>
        <v>10KM OVERALL F</v>
      </c>
      <c r="E115" s="1">
        <f>IFERROR(__xludf.DUMMYFUNCTION("""COMPUTED_VALUE"""),1.0)</f>
        <v>1</v>
      </c>
      <c r="F115" s="1" t="str">
        <f>IFERROR(__xludf.DUMMYFUNCTION("""COMPUTED_VALUE"""),"Female")</f>
        <v>Female</v>
      </c>
      <c r="G115" s="4" t="str">
        <f>IFERROR(__xludf.DUMMYFUNCTION("""COMPUTED_VALUE"""),"")</f>
        <v/>
      </c>
      <c r="H115" s="4" t="b">
        <f>IFERROR(__xludf.DUMMYFUNCTION("""COMPUTED_VALUE"""),TRUE)</f>
        <v>1</v>
      </c>
      <c r="I115" s="4">
        <f>IFERROR(__xludf.DUMMYFUNCTION("""COMPUTED_VALUE"""),0.24646185185185185)</f>
        <v>0.2464618519</v>
      </c>
      <c r="J115" s="4">
        <f>IFERROR(__xludf.DUMMYFUNCTION("""COMPUTED_VALUE"""),45949.26186349809)</f>
        <v>45949.26186</v>
      </c>
      <c r="K115" s="4">
        <f>IFERROR(__xludf.DUMMYFUNCTION("""COMPUTED_VALUE"""),45949.30397187414)</f>
        <v>45949.30397</v>
      </c>
      <c r="L115" s="4">
        <f>IFERROR(__xludf.DUMMYFUNCTION("""COMPUTED_VALUE"""),45949.31573790731)</f>
        <v>45949.31574</v>
      </c>
      <c r="M115" s="1" t="str">
        <f>IFERROR(__xludf.DUMMYFUNCTION("""COMPUTED_VALUE"""),"RFID")</f>
        <v>RFID</v>
      </c>
      <c r="N115" s="5">
        <f>IFERROR(__xludf.DUMMYFUNCTION("""COMPUTED_VALUE"""),0.006160657407407407)</f>
        <v>0.006160657407</v>
      </c>
      <c r="O115" s="5">
        <f>IFERROR(__xludf.DUMMYFUNCTION("""COMPUTED_VALUE"""),0.016843351851851852)</f>
        <v>0.01684335185</v>
      </c>
      <c r="P115" s="5">
        <f>IFERROR(__xludf.DUMMYFUNCTION("""COMPUTED_VALUE"""),0.004841988957645141)</f>
        <v>0.004841988958</v>
      </c>
      <c r="Q115" s="5">
        <f>IFERROR(__xludf.DUMMYFUNCTION("""COMPUTED_VALUE"""),0.006927605324074074)</f>
        <v>0.006927605324</v>
      </c>
      <c r="R115" s="4">
        <f>IFERROR(__xludf.DUMMYFUNCTION("""COMPUTED_VALUE"""),45949.06927605546)</f>
        <v>45949.06928</v>
      </c>
      <c r="S115" s="1" t="b">
        <f>IFERROR(__xludf.DUMMYFUNCTION("""COMPUTED_VALUE"""),TRUE)</f>
        <v>1</v>
      </c>
      <c r="T115" s="1" t="b">
        <f>IFERROR(__xludf.DUMMYFUNCTION("""COMPUTED_VALUE"""),FALSE)</f>
        <v>0</v>
      </c>
      <c r="U115" s="1" t="str">
        <f>IFERROR(__xludf.DUMMYFUNCTION("""COMPUTED_VALUE"""),"VALID")</f>
        <v>VALID</v>
      </c>
      <c r="V115" s="1">
        <f>IFERROR(__xludf.DUMMYFUNCTION("""COMPUTED_VALUE"""),65.0)</f>
        <v>65</v>
      </c>
      <c r="W115" s="1">
        <f>IFERROR(__xludf.DUMMYFUNCTION("""COMPUTED_VALUE"""),735.0)</f>
        <v>735</v>
      </c>
      <c r="X115" s="1">
        <f>IFERROR(__xludf.DUMMYFUNCTION("""COMPUTED_VALUE"""),680.0)</f>
        <v>680</v>
      </c>
      <c r="Y115" s="2"/>
      <c r="Z115" s="2"/>
    </row>
    <row r="116">
      <c r="A116" s="1">
        <f>IFERROR(__xludf.DUMMYFUNCTION("""COMPUTED_VALUE"""),115.0)</f>
        <v>115</v>
      </c>
      <c r="B116" s="1">
        <f>IFERROR(__xludf.DUMMYFUNCTION("""COMPUTED_VALUE"""),10223.0)</f>
        <v>10223</v>
      </c>
      <c r="C116" s="2" t="str">
        <f>IFERROR(__xludf.DUMMYFUNCTION("""COMPUTED_VALUE"""),"Riska WN")</f>
        <v>Riska WN</v>
      </c>
      <c r="D116" s="2" t="str">
        <f>IFERROR(__xludf.DUMMYFUNCTION("""COMPUTED_VALUE"""),"10KM OVERALL F")</f>
        <v>10KM OVERALL F</v>
      </c>
      <c r="E116" s="1">
        <f>IFERROR(__xludf.DUMMYFUNCTION("""COMPUTED_VALUE"""),1.0)</f>
        <v>1</v>
      </c>
      <c r="F116" s="1" t="str">
        <f>IFERROR(__xludf.DUMMYFUNCTION("""COMPUTED_VALUE"""),"Female")</f>
        <v>Female</v>
      </c>
      <c r="G116" s="4" t="b">
        <f>IFERROR(__xludf.DUMMYFUNCTION("""COMPUTED_VALUE"""),TRUE)</f>
        <v>1</v>
      </c>
      <c r="H116" s="4" t="b">
        <f>IFERROR(__xludf.DUMMYFUNCTION("""COMPUTED_VALUE"""),TRUE)</f>
        <v>1</v>
      </c>
      <c r="I116" s="4">
        <f>IFERROR(__xludf.DUMMYFUNCTION("""COMPUTED_VALUE"""),0.24646185185185185)</f>
        <v>0.2464618519</v>
      </c>
      <c r="J116" s="4">
        <f>IFERROR(__xludf.DUMMYFUNCTION("""COMPUTED_VALUE"""),45949.25910307229)</f>
        <v>45949.2591</v>
      </c>
      <c r="K116" s="4">
        <f>IFERROR(__xludf.DUMMYFUNCTION("""COMPUTED_VALUE"""),45949.29542973058)</f>
        <v>45949.29543</v>
      </c>
      <c r="L116" s="4">
        <f>IFERROR(__xludf.DUMMYFUNCTION("""COMPUTED_VALUE"""),45949.30618558553)</f>
        <v>45949.30619</v>
      </c>
      <c r="M116" s="1" t="str">
        <f>IFERROR(__xludf.DUMMYFUNCTION("""COMPUTED_VALUE"""),"RFID")</f>
        <v>RFID</v>
      </c>
      <c r="N116" s="5">
        <f>IFERROR(__xludf.DUMMYFUNCTION("""COMPUTED_VALUE"""),0.0050564861111111106)</f>
        <v>0.005056486111</v>
      </c>
      <c r="O116" s="5">
        <f>IFERROR(__xludf.DUMMYFUNCTION("""COMPUTED_VALUE"""),0.014530662037037036)</f>
        <v>0.01453066204</v>
      </c>
      <c r="P116" s="5">
        <f>IFERROR(__xludf.DUMMYFUNCTION("""COMPUTED_VALUE"""),0.004426277757127895)</f>
        <v>0.004426277757</v>
      </c>
      <c r="Q116" s="5">
        <f>IFERROR(__xludf.DUMMYFUNCTION("""COMPUTED_VALUE"""),0.005972373842592593)</f>
        <v>0.005972373843</v>
      </c>
      <c r="R116" s="4">
        <f>IFERROR(__xludf.DUMMYFUNCTION("""COMPUTED_VALUE"""),45949.05972373368)</f>
        <v>45949.05972</v>
      </c>
      <c r="S116" s="1" t="b">
        <f>IFERROR(__xludf.DUMMYFUNCTION("""COMPUTED_VALUE"""),TRUE)</f>
        <v>1</v>
      </c>
      <c r="T116" s="1" t="b">
        <f>IFERROR(__xludf.DUMMYFUNCTION("""COMPUTED_VALUE"""),FALSE)</f>
        <v>0</v>
      </c>
      <c r="U116" s="1" t="str">
        <f>IFERROR(__xludf.DUMMYFUNCTION("""COMPUTED_VALUE"""),"VALID")</f>
        <v>VALID</v>
      </c>
      <c r="V116" s="1">
        <f>IFERROR(__xludf.DUMMYFUNCTION("""COMPUTED_VALUE"""),48.0)</f>
        <v>48</v>
      </c>
      <c r="W116" s="1">
        <f>IFERROR(__xludf.DUMMYFUNCTION("""COMPUTED_VALUE"""),648.0)</f>
        <v>648</v>
      </c>
      <c r="X116" s="1">
        <f>IFERROR(__xludf.DUMMYFUNCTION("""COMPUTED_VALUE"""),655.0)</f>
        <v>655</v>
      </c>
      <c r="Y116" s="2"/>
      <c r="Z116" s="2"/>
    </row>
    <row r="117">
      <c r="A117" s="1">
        <f>IFERROR(__xludf.DUMMYFUNCTION("""COMPUTED_VALUE"""),116.0)</f>
        <v>116</v>
      </c>
      <c r="B117" s="1">
        <f>IFERROR(__xludf.DUMMYFUNCTION("""COMPUTED_VALUE"""),10226.0)</f>
        <v>10226</v>
      </c>
      <c r="C117" s="2" t="str">
        <f>IFERROR(__xludf.DUMMYFUNCTION("""COMPUTED_VALUE"""),"Mella")</f>
        <v>Mella</v>
      </c>
      <c r="D117" s="2" t="str">
        <f>IFERROR(__xludf.DUMMYFUNCTION("""COMPUTED_VALUE"""),"10KM OVERALL F")</f>
        <v>10KM OVERALL F</v>
      </c>
      <c r="E117" s="1">
        <f>IFERROR(__xludf.DUMMYFUNCTION("""COMPUTED_VALUE"""),1.0)</f>
        <v>1</v>
      </c>
      <c r="F117" s="1" t="str">
        <f>IFERROR(__xludf.DUMMYFUNCTION("""COMPUTED_VALUE"""),"Female")</f>
        <v>Female</v>
      </c>
      <c r="G117" s="4" t="b">
        <f>IFERROR(__xludf.DUMMYFUNCTION("""COMPUTED_VALUE"""),TRUE)</f>
        <v>1</v>
      </c>
      <c r="H117" s="4" t="b">
        <f>IFERROR(__xludf.DUMMYFUNCTION("""COMPUTED_VALUE"""),TRUE)</f>
        <v>1</v>
      </c>
      <c r="I117" s="4">
        <f>IFERROR(__xludf.DUMMYFUNCTION("""COMPUTED_VALUE"""),0.24646185185185185)</f>
        <v>0.2464618519</v>
      </c>
      <c r="J117" s="4">
        <f>IFERROR(__xludf.DUMMYFUNCTION("""COMPUTED_VALUE"""),45949.258516268965)</f>
        <v>45949.25852</v>
      </c>
      <c r="K117" s="4">
        <f>IFERROR(__xludf.DUMMYFUNCTION("""COMPUTED_VALUE"""),45949.29123182434)</f>
        <v>45949.29123</v>
      </c>
      <c r="L117" s="4">
        <f>IFERROR(__xludf.DUMMYFUNCTION("""COMPUTED_VALUE"""),45949.30087670326)</f>
        <v>45949.30088</v>
      </c>
      <c r="M117" s="1" t="str">
        <f>IFERROR(__xludf.DUMMYFUNCTION("""COMPUTED_VALUE"""),"RFID")</f>
        <v>RFID</v>
      </c>
      <c r="N117" s="5">
        <f>IFERROR(__xludf.DUMMYFUNCTION("""COMPUTED_VALUE"""),0.004821768518518519)</f>
        <v>0.004821768519</v>
      </c>
      <c r="O117" s="5">
        <f>IFERROR(__xludf.DUMMYFUNCTION("""COMPUTED_VALUE"""),0.013086222222222221)</f>
        <v>0.01308622222</v>
      </c>
      <c r="P117" s="5">
        <f>IFERROR(__xludf.DUMMYFUNCTION("""COMPUTED_VALUE"""),0.003969085974922526)</f>
        <v>0.003969085975</v>
      </c>
      <c r="Q117" s="5">
        <f>IFERROR(__xludf.DUMMYFUNCTION("""COMPUTED_VALUE"""),0.0054414849537037045)</f>
        <v>0.005441484954</v>
      </c>
      <c r="R117" s="4">
        <f>IFERROR(__xludf.DUMMYFUNCTION("""COMPUTED_VALUE"""),45949.05441485141)</f>
        <v>45949.05441</v>
      </c>
      <c r="S117" s="1" t="b">
        <f>IFERROR(__xludf.DUMMYFUNCTION("""COMPUTED_VALUE"""),TRUE)</f>
        <v>1</v>
      </c>
      <c r="T117" s="1" t="b">
        <f>IFERROR(__xludf.DUMMYFUNCTION("""COMPUTED_VALUE"""),FALSE)</f>
        <v>0</v>
      </c>
      <c r="U117" s="1" t="str">
        <f>IFERROR(__xludf.DUMMYFUNCTION("""COMPUTED_VALUE"""),"VALID")</f>
        <v>VALID</v>
      </c>
      <c r="V117" s="1">
        <f>IFERROR(__xludf.DUMMYFUNCTION("""COMPUTED_VALUE"""),28.0)</f>
        <v>28</v>
      </c>
      <c r="W117" s="1">
        <f>IFERROR(__xludf.DUMMYFUNCTION("""COMPUTED_VALUE"""),531.0)</f>
        <v>531</v>
      </c>
      <c r="X117" s="1">
        <f>IFERROR(__xludf.DUMMYFUNCTION("""COMPUTED_VALUE"""),623.0)</f>
        <v>623</v>
      </c>
      <c r="Y117" s="2"/>
      <c r="Z117" s="2"/>
    </row>
    <row r="118">
      <c r="A118" s="1">
        <f>IFERROR(__xludf.DUMMYFUNCTION("""COMPUTED_VALUE"""),117.0)</f>
        <v>117</v>
      </c>
      <c r="B118" s="1">
        <f>IFERROR(__xludf.DUMMYFUNCTION("""COMPUTED_VALUE"""),10243.0)</f>
        <v>10243</v>
      </c>
      <c r="C118" s="2" t="str">
        <f>IFERROR(__xludf.DUMMYFUNCTION("""COMPUTED_VALUE"""),"Nita")</f>
        <v>Nita</v>
      </c>
      <c r="D118" s="2" t="str">
        <f>IFERROR(__xludf.DUMMYFUNCTION("""COMPUTED_VALUE"""),"10KM OVERALL F")</f>
        <v>10KM OVERALL F</v>
      </c>
      <c r="E118" s="1">
        <f>IFERROR(__xludf.DUMMYFUNCTION("""COMPUTED_VALUE"""),1.0)</f>
        <v>1</v>
      </c>
      <c r="F118" s="1" t="str">
        <f>IFERROR(__xludf.DUMMYFUNCTION("""COMPUTED_VALUE"""),"Female")</f>
        <v>Female</v>
      </c>
      <c r="G118" s="4" t="str">
        <f>IFERROR(__xludf.DUMMYFUNCTION("""COMPUTED_VALUE"""),"")</f>
        <v/>
      </c>
      <c r="H118" s="4" t="b">
        <f>IFERROR(__xludf.DUMMYFUNCTION("""COMPUTED_VALUE"""),FALSE)</f>
        <v>0</v>
      </c>
      <c r="I118" s="4">
        <f>IFERROR(__xludf.DUMMYFUNCTION("""COMPUTED_VALUE"""),0.24646185185185185)</f>
        <v>0.2464618519</v>
      </c>
      <c r="J118" s="4">
        <f>IFERROR(__xludf.DUMMYFUNCTION("""COMPUTED_VALUE"""),45949.29324897189)</f>
        <v>45949.29325</v>
      </c>
      <c r="K118" s="4">
        <f>IFERROR(__xludf.DUMMYFUNCTION("""COMPUTED_VALUE"""),45949.32452035547)</f>
        <v>45949.32452</v>
      </c>
      <c r="L118" s="4">
        <f>IFERROR(__xludf.DUMMYFUNCTION("""COMPUTED_VALUE"""),45949.28292865581)</f>
        <v>45949.28293</v>
      </c>
      <c r="M118" s="1" t="str">
        <f>IFERROR(__xludf.DUMMYFUNCTION("""COMPUTED_VALUE"""),"RFID")</f>
        <v>RFID</v>
      </c>
      <c r="N118" s="5">
        <f>IFERROR(__xludf.DUMMYFUNCTION("""COMPUTED_VALUE"""),0.018714847222222223)</f>
        <v>0.01871484722</v>
      </c>
      <c r="O118" s="5">
        <f>IFERROR(__xludf.DUMMYFUNCTION("""COMPUTED_VALUE"""),0.012508555555555556)</f>
        <v>0.01250855556</v>
      </c>
      <c r="P118" s="5">
        <f>IFERROR(__xludf.DUMMYFUNCTION("""COMPUTED_VALUE"""),-0.01711592578483408)</f>
        <v>-0.01711592578</v>
      </c>
      <c r="Q118" s="5">
        <f>IFERROR(__xludf.DUMMYFUNCTION("""COMPUTED_VALUE"""),0.003646680555555556)</f>
        <v>0.003646680556</v>
      </c>
      <c r="R118" s="4">
        <f>IFERROR(__xludf.DUMMYFUNCTION("""COMPUTED_VALUE"""),45949.03646680396)</f>
        <v>45949.03647</v>
      </c>
      <c r="S118" s="1" t="b">
        <f>IFERROR(__xludf.DUMMYFUNCTION("""COMPUTED_VALUE"""),TRUE)</f>
        <v>1</v>
      </c>
      <c r="T118" s="1" t="b">
        <f>IFERROR(__xludf.DUMMYFUNCTION("""COMPUTED_VALUE"""),TRUE)</f>
        <v>1</v>
      </c>
      <c r="U118" s="1" t="str">
        <f>IFERROR(__xludf.DUMMYFUNCTION("""COMPUTED_VALUE"""),"DSQ")</f>
        <v>DSQ</v>
      </c>
      <c r="V118" s="1" t="str">
        <f>IFERROR(__xludf.DUMMYFUNCTION("""COMPUTED_VALUE"""),"DSQ")</f>
        <v>DSQ</v>
      </c>
      <c r="W118" s="1" t="str">
        <f>IFERROR(__xludf.DUMMYFUNCTION("""COMPUTED_VALUE"""),"DSQ")</f>
        <v>DSQ</v>
      </c>
      <c r="X118" s="1" t="str">
        <f>IFERROR(__xludf.DUMMYFUNCTION("""COMPUTED_VALUE"""),"DSQ")</f>
        <v>DSQ</v>
      </c>
      <c r="Y118" s="2" t="str">
        <f>IFERROR(__xludf.DUMMYFUNCTION("""COMPUTED_VALUE"""),"start setelah batas waktu")</f>
        <v>start setelah batas waktu</v>
      </c>
      <c r="Z118" s="2"/>
    </row>
    <row r="119">
      <c r="A119" s="1">
        <f>IFERROR(__xludf.DUMMYFUNCTION("""COMPUTED_VALUE"""),118.0)</f>
        <v>118</v>
      </c>
      <c r="B119" s="1">
        <f>IFERROR(__xludf.DUMMYFUNCTION("""COMPUTED_VALUE"""),10273.0)</f>
        <v>10273</v>
      </c>
      <c r="C119" s="2" t="str">
        <f>IFERROR(__xludf.DUMMYFUNCTION("""COMPUTED_VALUE"""),"Mama Anggur")</f>
        <v>Mama Anggur</v>
      </c>
      <c r="D119" s="2" t="str">
        <f>IFERROR(__xludf.DUMMYFUNCTION("""COMPUTED_VALUE"""),"10KM OVERALL F")</f>
        <v>10KM OVERALL F</v>
      </c>
      <c r="E119" s="1">
        <f>IFERROR(__xludf.DUMMYFUNCTION("""COMPUTED_VALUE"""),1.0)</f>
        <v>1</v>
      </c>
      <c r="F119" s="1" t="str">
        <f>IFERROR(__xludf.DUMMYFUNCTION("""COMPUTED_VALUE"""),"Female")</f>
        <v>Female</v>
      </c>
      <c r="G119" s="4" t="b">
        <f>IFERROR(__xludf.DUMMYFUNCTION("""COMPUTED_VALUE"""),TRUE)</f>
        <v>1</v>
      </c>
      <c r="H119" s="4" t="b">
        <f>IFERROR(__xludf.DUMMYFUNCTION("""COMPUTED_VALUE"""),TRUE)</f>
        <v>1</v>
      </c>
      <c r="I119" s="4">
        <f>IFERROR(__xludf.DUMMYFUNCTION("""COMPUTED_VALUE"""),0.24646185185185185)</f>
        <v>0.2464618519</v>
      </c>
      <c r="J119" s="4">
        <f>IFERROR(__xludf.DUMMYFUNCTION("""COMPUTED_VALUE"""),45949.25575932432)</f>
        <v>45949.25576</v>
      </c>
      <c r="K119" s="4">
        <f>IFERROR(__xludf.DUMMYFUNCTION("""COMPUTED_VALUE"""),45949.28262741552)</f>
        <v>45949.28263</v>
      </c>
      <c r="L119" s="4">
        <f>IFERROR(__xludf.DUMMYFUNCTION("""COMPUTED_VALUE"""),45949.29045989633)</f>
        <v>45949.29046</v>
      </c>
      <c r="M119" s="1" t="str">
        <f>IFERROR(__xludf.DUMMYFUNCTION("""COMPUTED_VALUE"""),"RFID")</f>
        <v>RFID</v>
      </c>
      <c r="N119" s="5">
        <f>IFERROR(__xludf.DUMMYFUNCTION("""COMPUTED_VALUE"""),0.0037189907407407406)</f>
        <v>0.003718990741</v>
      </c>
      <c r="O119" s="5">
        <f>IFERROR(__xludf.DUMMYFUNCTION("""COMPUTED_VALUE"""),0.01074723611111111)</f>
        <v>0.01074723611</v>
      </c>
      <c r="P119" s="5">
        <f>IFERROR(__xludf.DUMMYFUNCTION("""COMPUTED_VALUE"""),0.0032232431298430332)</f>
        <v>0.00322324313</v>
      </c>
      <c r="Q119" s="5">
        <f>IFERROR(__xludf.DUMMYFUNCTION("""COMPUTED_VALUE"""),0.004399804398148148)</f>
        <v>0.004399804398</v>
      </c>
      <c r="R119" s="4">
        <f>IFERROR(__xludf.DUMMYFUNCTION("""COMPUTED_VALUE"""),45949.04399804448)</f>
        <v>45949.044</v>
      </c>
      <c r="S119" s="1" t="b">
        <f>IFERROR(__xludf.DUMMYFUNCTION("""COMPUTED_VALUE"""),TRUE)</f>
        <v>1</v>
      </c>
      <c r="T119" s="1" t="b">
        <f>IFERROR(__xludf.DUMMYFUNCTION("""COMPUTED_VALUE"""),FALSE)</f>
        <v>0</v>
      </c>
      <c r="U119" s="1" t="str">
        <f>IFERROR(__xludf.DUMMYFUNCTION("""COMPUTED_VALUE"""),"VALID")</f>
        <v>VALID</v>
      </c>
      <c r="V119" s="1">
        <f>IFERROR(__xludf.DUMMYFUNCTION("""COMPUTED_VALUE"""),10.0)</f>
        <v>10</v>
      </c>
      <c r="W119" s="1">
        <f>IFERROR(__xludf.DUMMYFUNCTION("""COMPUTED_VALUE"""),226.0)</f>
        <v>226</v>
      </c>
      <c r="X119" s="1">
        <f>IFERROR(__xludf.DUMMYFUNCTION("""COMPUTED_VALUE"""),485.0)</f>
        <v>485</v>
      </c>
      <c r="Y119" s="2"/>
      <c r="Z119" s="2"/>
    </row>
    <row r="120">
      <c r="A120" s="1">
        <f>IFERROR(__xludf.DUMMYFUNCTION("""COMPUTED_VALUE"""),119.0)</f>
        <v>119</v>
      </c>
      <c r="B120" s="1">
        <f>IFERROR(__xludf.DUMMYFUNCTION("""COMPUTED_VALUE"""),10288.0)</f>
        <v>10288</v>
      </c>
      <c r="C120" s="2" t="str">
        <f>IFERROR(__xludf.DUMMYFUNCTION("""COMPUTED_VALUE"""),"Sintha MN")</f>
        <v>Sintha MN</v>
      </c>
      <c r="D120" s="2" t="str">
        <f>IFERROR(__xludf.DUMMYFUNCTION("""COMPUTED_VALUE"""),"10KM OVERALL F")</f>
        <v>10KM OVERALL F</v>
      </c>
      <c r="E120" s="1">
        <f>IFERROR(__xludf.DUMMYFUNCTION("""COMPUTED_VALUE"""),1.0)</f>
        <v>1</v>
      </c>
      <c r="F120" s="1" t="str">
        <f>IFERROR(__xludf.DUMMYFUNCTION("""COMPUTED_VALUE"""),"Female")</f>
        <v>Female</v>
      </c>
      <c r="G120" s="4" t="b">
        <f>IFERROR(__xludf.DUMMYFUNCTION("""COMPUTED_VALUE"""),TRUE)</f>
        <v>1</v>
      </c>
      <c r="H120" s="4" t="b">
        <f>IFERROR(__xludf.DUMMYFUNCTION("""COMPUTED_VALUE"""),FALSE)</f>
        <v>0</v>
      </c>
      <c r="I120" s="4">
        <f>IFERROR(__xludf.DUMMYFUNCTION("""COMPUTED_VALUE"""),0.24646185185185185)</f>
        <v>0.2464618519</v>
      </c>
      <c r="J120" s="4">
        <f>IFERROR(__xludf.DUMMYFUNCTION("""COMPUTED_VALUE"""),45949.25937396741)</f>
        <v>45949.25937</v>
      </c>
      <c r="K120" s="4">
        <f>IFERROR(__xludf.DUMMYFUNCTION("""COMPUTED_VALUE"""),45949.29340544507)</f>
        <v>45949.29341</v>
      </c>
      <c r="L120" s="4">
        <f>IFERROR(__xludf.DUMMYFUNCTION("""COMPUTED_VALUE"""),45949.30353281598)</f>
        <v>45949.30353</v>
      </c>
      <c r="M120" s="1" t="str">
        <f>IFERROR(__xludf.DUMMYFUNCTION("""COMPUTED_VALUE"""),"RFID")</f>
        <v>RFID</v>
      </c>
      <c r="N120" s="5">
        <f>IFERROR(__xludf.DUMMYFUNCTION("""COMPUTED_VALUE"""),0.005164847222222222)</f>
        <v>0.005164847222</v>
      </c>
      <c r="O120" s="5">
        <f>IFERROR(__xludf.DUMMYFUNCTION("""COMPUTED_VALUE"""),0.013612592592592593)</f>
        <v>0.01361259259</v>
      </c>
      <c r="P120" s="5">
        <f>IFERROR(__xludf.DUMMYFUNCTION("""COMPUTED_VALUE"""),0.004167642351910625)</f>
        <v>0.004167642352</v>
      </c>
      <c r="Q120" s="5">
        <f>IFERROR(__xludf.DUMMYFUNCTION("""COMPUTED_VALUE"""),0.005707096064814814)</f>
        <v>0.005707096065</v>
      </c>
      <c r="R120" s="4">
        <f>IFERROR(__xludf.DUMMYFUNCTION("""COMPUTED_VALUE"""),45949.05707096413)</f>
        <v>45949.05707</v>
      </c>
      <c r="S120" s="1" t="b">
        <f>IFERROR(__xludf.DUMMYFUNCTION("""COMPUTED_VALUE"""),TRUE)</f>
        <v>1</v>
      </c>
      <c r="T120" s="1" t="b">
        <f>IFERROR(__xludf.DUMMYFUNCTION("""COMPUTED_VALUE"""),FALSE)</f>
        <v>0</v>
      </c>
      <c r="U120" s="1" t="str">
        <f>IFERROR(__xludf.DUMMYFUNCTION("""COMPUTED_VALUE"""),"VALID")</f>
        <v>VALID</v>
      </c>
      <c r="V120" s="1">
        <f>IFERROR(__xludf.DUMMYFUNCTION("""COMPUTED_VALUE"""),40.0)</f>
        <v>40</v>
      </c>
      <c r="W120" s="1">
        <f>IFERROR(__xludf.DUMMYFUNCTION("""COMPUTED_VALUE"""),607.0)</f>
        <v>607</v>
      </c>
      <c r="X120" s="1">
        <f>IFERROR(__xludf.DUMMYFUNCTION("""COMPUTED_VALUE"""),642.0)</f>
        <v>642</v>
      </c>
      <c r="Y120" s="2"/>
      <c r="Z120" s="2"/>
    </row>
    <row r="121">
      <c r="A121" s="1">
        <f>IFERROR(__xludf.DUMMYFUNCTION("""COMPUTED_VALUE"""),120.0)</f>
        <v>120</v>
      </c>
      <c r="B121" s="1">
        <f>IFERROR(__xludf.DUMMYFUNCTION("""COMPUTED_VALUE"""),10302.0)</f>
        <v>10302</v>
      </c>
      <c r="C121" s="2" t="str">
        <f>IFERROR(__xludf.DUMMYFUNCTION("""COMPUTED_VALUE"""),"Ema Moy")</f>
        <v>Ema Moy</v>
      </c>
      <c r="D121" s="2" t="str">
        <f>IFERROR(__xludf.DUMMYFUNCTION("""COMPUTED_VALUE"""),"10KM OVERALL F")</f>
        <v>10KM OVERALL F</v>
      </c>
      <c r="E121" s="1">
        <f>IFERROR(__xludf.DUMMYFUNCTION("""COMPUTED_VALUE"""),1.0)</f>
        <v>1</v>
      </c>
      <c r="F121" s="1" t="str">
        <f>IFERROR(__xludf.DUMMYFUNCTION("""COMPUTED_VALUE"""),"Female")</f>
        <v>Female</v>
      </c>
      <c r="G121" s="4" t="b">
        <f>IFERROR(__xludf.DUMMYFUNCTION("""COMPUTED_VALUE"""),TRUE)</f>
        <v>1</v>
      </c>
      <c r="H121" s="4" t="b">
        <f>IFERROR(__xludf.DUMMYFUNCTION("""COMPUTED_VALUE"""),TRUE)</f>
        <v>1</v>
      </c>
      <c r="I121" s="4">
        <f>IFERROR(__xludf.DUMMYFUNCTION("""COMPUTED_VALUE"""),0.24646185185185185)</f>
        <v>0.2464618519</v>
      </c>
      <c r="J121" s="4">
        <f>IFERROR(__xludf.DUMMYFUNCTION("""COMPUTED_VALUE"""),45949.25789831885)</f>
        <v>45949.2579</v>
      </c>
      <c r="K121" s="4">
        <f>IFERROR(__xludf.DUMMYFUNCTION("""COMPUTED_VALUE"""),45949.29224571748)</f>
        <v>45949.29225</v>
      </c>
      <c r="L121" s="4">
        <f>IFERROR(__xludf.DUMMYFUNCTION("""COMPUTED_VALUE"""),45949.302925173964)</f>
        <v>45949.30293</v>
      </c>
      <c r="M121" s="1" t="str">
        <f>IFERROR(__xludf.DUMMYFUNCTION("""COMPUTED_VALUE"""),"RFID")</f>
        <v>RFID</v>
      </c>
      <c r="N121" s="5">
        <f>IFERROR(__xludf.DUMMYFUNCTION("""COMPUTED_VALUE"""),0.004574587962962963)</f>
        <v>0.004574587963</v>
      </c>
      <c r="O121" s="5">
        <f>IFERROR(__xludf.DUMMYFUNCTION("""COMPUTED_VALUE"""),0.013738958333333332)</f>
        <v>0.01373895833</v>
      </c>
      <c r="P121" s="5">
        <f>IFERROR(__xludf.DUMMYFUNCTION("""COMPUTED_VALUE"""),0.004394838059825991)</f>
        <v>0.00439483806</v>
      </c>
      <c r="Q121" s="5">
        <f>IFERROR(__xludf.DUMMYFUNCTION("""COMPUTED_VALUE"""),0.005646332175925925)</f>
        <v>0.005646332176</v>
      </c>
      <c r="R121" s="4">
        <f>IFERROR(__xludf.DUMMYFUNCTION("""COMPUTED_VALUE"""),45949.056463322115)</f>
        <v>45949.05646</v>
      </c>
      <c r="S121" s="1" t="b">
        <f>IFERROR(__xludf.DUMMYFUNCTION("""COMPUTED_VALUE"""),TRUE)</f>
        <v>1</v>
      </c>
      <c r="T121" s="1" t="b">
        <f>IFERROR(__xludf.DUMMYFUNCTION("""COMPUTED_VALUE"""),FALSE)</f>
        <v>0</v>
      </c>
      <c r="U121" s="1" t="str">
        <f>IFERROR(__xludf.DUMMYFUNCTION("""COMPUTED_VALUE"""),"VALID")</f>
        <v>VALID</v>
      </c>
      <c r="V121" s="1">
        <f>IFERROR(__xludf.DUMMYFUNCTION("""COMPUTED_VALUE"""),36.0)</f>
        <v>36</v>
      </c>
      <c r="W121" s="1">
        <f>IFERROR(__xludf.DUMMYFUNCTION("""COMPUTED_VALUE"""),584.0)</f>
        <v>584</v>
      </c>
      <c r="X121" s="1">
        <f>IFERROR(__xludf.DUMMYFUNCTION("""COMPUTED_VALUE"""),636.0)</f>
        <v>636</v>
      </c>
      <c r="Y121" s="2"/>
      <c r="Z121" s="2"/>
    </row>
    <row r="122">
      <c r="A122" s="1">
        <f>IFERROR(__xludf.DUMMYFUNCTION("""COMPUTED_VALUE"""),121.0)</f>
        <v>121</v>
      </c>
      <c r="B122" s="1">
        <f>IFERROR(__xludf.DUMMYFUNCTION("""COMPUTED_VALUE"""),10303.0)</f>
        <v>10303</v>
      </c>
      <c r="C122" s="2" t="str">
        <f>IFERROR(__xludf.DUMMYFUNCTION("""COMPUTED_VALUE"""),"Sari")</f>
        <v>Sari</v>
      </c>
      <c r="D122" s="2" t="str">
        <f>IFERROR(__xludf.DUMMYFUNCTION("""COMPUTED_VALUE"""),"10KM OVERALL F")</f>
        <v>10KM OVERALL F</v>
      </c>
      <c r="E122" s="1">
        <f>IFERROR(__xludf.DUMMYFUNCTION("""COMPUTED_VALUE"""),1.0)</f>
        <v>1</v>
      </c>
      <c r="F122" s="1" t="str">
        <f>IFERROR(__xludf.DUMMYFUNCTION("""COMPUTED_VALUE"""),"Female")</f>
        <v>Female</v>
      </c>
      <c r="G122" s="4" t="b">
        <f>IFERROR(__xludf.DUMMYFUNCTION("""COMPUTED_VALUE"""),TRUE)</f>
        <v>1</v>
      </c>
      <c r="H122" s="4" t="b">
        <f>IFERROR(__xludf.DUMMYFUNCTION("""COMPUTED_VALUE"""),TRUE)</f>
        <v>1</v>
      </c>
      <c r="I122" s="4">
        <f>IFERROR(__xludf.DUMMYFUNCTION("""COMPUTED_VALUE"""),0.24646185185185185)</f>
        <v>0.2464618519</v>
      </c>
      <c r="J122" s="4">
        <f>IFERROR(__xludf.DUMMYFUNCTION("""COMPUTED_VALUE"""),45949.26561002493)</f>
        <v>45949.26561</v>
      </c>
      <c r="K122" s="4">
        <f>IFERROR(__xludf.DUMMYFUNCTION("""COMPUTED_VALUE"""),45949.31237759382)</f>
        <v>45949.31238</v>
      </c>
      <c r="L122" s="4">
        <f>IFERROR(__xludf.DUMMYFUNCTION("""COMPUTED_VALUE"""),45949.32543918358)</f>
        <v>45949.32544</v>
      </c>
      <c r="M122" s="1" t="str">
        <f>IFERROR(__xludf.DUMMYFUNCTION("""COMPUTED_VALUE"""),"RFID")</f>
        <v>RFID</v>
      </c>
      <c r="N122" s="5">
        <f>IFERROR(__xludf.DUMMYFUNCTION("""COMPUTED_VALUE"""),0.007659268518518518)</f>
        <v>0.007659268519</v>
      </c>
      <c r="O122" s="5">
        <f>IFERROR(__xludf.DUMMYFUNCTION("""COMPUTED_VALUE"""),0.018707027777777777)</f>
        <v>0.01870702778</v>
      </c>
      <c r="P122" s="5">
        <f>IFERROR(__xludf.DUMMYFUNCTION("""COMPUTED_VALUE"""),0.00537513981804677)</f>
        <v>0.005375139818</v>
      </c>
      <c r="Q122" s="5">
        <f>IFERROR(__xludf.DUMMYFUNCTION("""COMPUTED_VALUE"""),0.007897732638888887)</f>
        <v>0.007897732639</v>
      </c>
      <c r="R122" s="4">
        <f>IFERROR(__xludf.DUMMYFUNCTION("""COMPUTED_VALUE"""),45949.07897733173)</f>
        <v>45949.07898</v>
      </c>
      <c r="S122" s="1" t="b">
        <f>IFERROR(__xludf.DUMMYFUNCTION("""COMPUTED_VALUE"""),TRUE)</f>
        <v>1</v>
      </c>
      <c r="T122" s="1" t="b">
        <f>IFERROR(__xludf.DUMMYFUNCTION("""COMPUTED_VALUE"""),FALSE)</f>
        <v>0</v>
      </c>
      <c r="U122" s="1" t="str">
        <f>IFERROR(__xludf.DUMMYFUNCTION("""COMPUTED_VALUE"""),"VALID")</f>
        <v>VALID</v>
      </c>
      <c r="V122" s="1">
        <f>IFERROR(__xludf.DUMMYFUNCTION("""COMPUTED_VALUE"""),70.0)</f>
        <v>70</v>
      </c>
      <c r="W122" s="1">
        <f>IFERROR(__xludf.DUMMYFUNCTION("""COMPUTED_VALUE"""),756.0)</f>
        <v>756</v>
      </c>
      <c r="X122" s="1">
        <f>IFERROR(__xludf.DUMMYFUNCTION("""COMPUTED_VALUE"""),686.0)</f>
        <v>686</v>
      </c>
      <c r="Y122" s="2"/>
      <c r="Z122" s="2"/>
    </row>
    <row r="123">
      <c r="A123" s="1">
        <f>IFERROR(__xludf.DUMMYFUNCTION("""COMPUTED_VALUE"""),122.0)</f>
        <v>122</v>
      </c>
      <c r="B123" s="1">
        <f>IFERROR(__xludf.DUMMYFUNCTION("""COMPUTED_VALUE"""),10327.0)</f>
        <v>10327</v>
      </c>
      <c r="C123" s="2" t="str">
        <f>IFERROR(__xludf.DUMMYFUNCTION("""COMPUTED_VALUE"""),"Adinda")</f>
        <v>Adinda</v>
      </c>
      <c r="D123" s="2" t="str">
        <f>IFERROR(__xludf.DUMMYFUNCTION("""COMPUTED_VALUE"""),"10KM OVERALL F")</f>
        <v>10KM OVERALL F</v>
      </c>
      <c r="E123" s="1">
        <f>IFERROR(__xludf.DUMMYFUNCTION("""COMPUTED_VALUE"""),1.0)</f>
        <v>1</v>
      </c>
      <c r="F123" s="1" t="str">
        <f>IFERROR(__xludf.DUMMYFUNCTION("""COMPUTED_VALUE"""),"Female")</f>
        <v>Female</v>
      </c>
      <c r="G123" s="4" t="b">
        <f>IFERROR(__xludf.DUMMYFUNCTION("""COMPUTED_VALUE"""),TRUE)</f>
        <v>1</v>
      </c>
      <c r="H123" s="4" t="b">
        <f>IFERROR(__xludf.DUMMYFUNCTION("""COMPUTED_VALUE"""),TRUE)</f>
        <v>1</v>
      </c>
      <c r="I123" s="4">
        <f>IFERROR(__xludf.DUMMYFUNCTION("""COMPUTED_VALUE"""),0.24646185185185185)</f>
        <v>0.2464618519</v>
      </c>
      <c r="J123" s="4">
        <f>IFERROR(__xludf.DUMMYFUNCTION("""COMPUTED_VALUE"""),45949.258627391224)</f>
        <v>45949.25863</v>
      </c>
      <c r="K123" s="4">
        <f>IFERROR(__xludf.DUMMYFUNCTION("""COMPUTED_VALUE"""),45949.29581862389)</f>
        <v>45949.29582</v>
      </c>
      <c r="L123" s="4">
        <f>IFERROR(__xludf.DUMMYFUNCTION("""COMPUTED_VALUE"""),45949.30570294667)</f>
        <v>45949.3057</v>
      </c>
      <c r="M123" s="1" t="str">
        <f>IFERROR(__xludf.DUMMYFUNCTION("""COMPUTED_VALUE"""),"RFID")</f>
        <v>RFID</v>
      </c>
      <c r="N123" s="5">
        <f>IFERROR(__xludf.DUMMYFUNCTION("""COMPUTED_VALUE"""),0.004866217592592593)</f>
        <v>0.004866217593</v>
      </c>
      <c r="O123" s="5">
        <f>IFERROR(__xludf.DUMMYFUNCTION("""COMPUTED_VALUE"""),0.014876495370370368)</f>
        <v>0.01487649537</v>
      </c>
      <c r="P123" s="5">
        <f>IFERROR(__xludf.DUMMYFUNCTION("""COMPUTED_VALUE"""),0.004067622544219978)</f>
        <v>0.004067622544</v>
      </c>
      <c r="Q123" s="5">
        <f>IFERROR(__xludf.DUMMYFUNCTION("""COMPUTED_VALUE"""),0.005924109953703703)</f>
        <v>0.005924109954</v>
      </c>
      <c r="R123" s="4">
        <f>IFERROR(__xludf.DUMMYFUNCTION("""COMPUTED_VALUE"""),45949.05924109482)</f>
        <v>45949.05924</v>
      </c>
      <c r="S123" s="1" t="b">
        <f>IFERROR(__xludf.DUMMYFUNCTION("""COMPUTED_VALUE"""),TRUE)</f>
        <v>1</v>
      </c>
      <c r="T123" s="1" t="b">
        <f>IFERROR(__xludf.DUMMYFUNCTION("""COMPUTED_VALUE"""),FALSE)</f>
        <v>0</v>
      </c>
      <c r="U123" s="1" t="str">
        <f>IFERROR(__xludf.DUMMYFUNCTION("""COMPUTED_VALUE"""),"VALID")</f>
        <v>VALID</v>
      </c>
      <c r="V123" s="1">
        <f>IFERROR(__xludf.DUMMYFUNCTION("""COMPUTED_VALUE"""),45.0)</f>
        <v>45</v>
      </c>
      <c r="W123" s="1">
        <f>IFERROR(__xludf.DUMMYFUNCTION("""COMPUTED_VALUE"""),640.0)</f>
        <v>640</v>
      </c>
      <c r="X123" s="1">
        <f>IFERROR(__xludf.DUMMYFUNCTION("""COMPUTED_VALUE"""),651.0)</f>
        <v>651</v>
      </c>
      <c r="Y123" s="2"/>
      <c r="Z123" s="2"/>
    </row>
    <row r="124">
      <c r="A124" s="1">
        <f>IFERROR(__xludf.DUMMYFUNCTION("""COMPUTED_VALUE"""),123.0)</f>
        <v>123</v>
      </c>
      <c r="B124" s="1">
        <f>IFERROR(__xludf.DUMMYFUNCTION("""COMPUTED_VALUE"""),10328.0)</f>
        <v>10328</v>
      </c>
      <c r="C124" s="2" t="str">
        <f>IFERROR(__xludf.DUMMYFUNCTION("""COMPUTED_VALUE"""),"Annisa Adila")</f>
        <v>Annisa Adila</v>
      </c>
      <c r="D124" s="2" t="str">
        <f>IFERROR(__xludf.DUMMYFUNCTION("""COMPUTED_VALUE"""),"10KM OVERALL F")</f>
        <v>10KM OVERALL F</v>
      </c>
      <c r="E124" s="1">
        <f>IFERROR(__xludf.DUMMYFUNCTION("""COMPUTED_VALUE"""),1.0)</f>
        <v>1</v>
      </c>
      <c r="F124" s="1" t="str">
        <f>IFERROR(__xludf.DUMMYFUNCTION("""COMPUTED_VALUE"""),"Female")</f>
        <v>Female</v>
      </c>
      <c r="G124" s="4" t="str">
        <f>IFERROR(__xludf.DUMMYFUNCTION("""COMPUTED_VALUE"""),"")</f>
        <v/>
      </c>
      <c r="H124" s="4" t="b">
        <f>IFERROR(__xludf.DUMMYFUNCTION("""COMPUTED_VALUE"""),FALSE)</f>
        <v>0</v>
      </c>
      <c r="I124" s="4">
        <f>IFERROR(__xludf.DUMMYFUNCTION("""COMPUTED_VALUE"""),0.24646185185185185)</f>
        <v>0.2464618519</v>
      </c>
      <c r="J124" s="4">
        <f>IFERROR(__xludf.DUMMYFUNCTION("""COMPUTED_VALUE"""),45949.260269774255)</f>
        <v>45949.26027</v>
      </c>
      <c r="K124" s="4">
        <f>IFERROR(__xludf.DUMMYFUNCTION("""COMPUTED_VALUE"""),45949.30060676527)</f>
        <v>45949.30061</v>
      </c>
      <c r="L124" s="4">
        <f>IFERROR(__xludf.DUMMYFUNCTION("""COMPUTED_VALUE"""),45949.31215434416)</f>
        <v>45949.31215</v>
      </c>
      <c r="M124" s="1" t="str">
        <f>IFERROR(__xludf.DUMMYFUNCTION("""COMPUTED_VALUE"""),"RFID")</f>
        <v>RFID</v>
      </c>
      <c r="N124" s="5">
        <f>IFERROR(__xludf.DUMMYFUNCTION("""COMPUTED_VALUE"""),0.005523166666666667)</f>
        <v>0.005523166667</v>
      </c>
      <c r="O124" s="5">
        <f>IFERROR(__xludf.DUMMYFUNCTION("""COMPUTED_VALUE"""),0.016134796296296296)</f>
        <v>0.0161347963</v>
      </c>
      <c r="P124" s="5">
        <f>IFERROR(__xludf.DUMMYFUNCTION("""COMPUTED_VALUE"""),0.004752090078857133)</f>
        <v>0.004752090079</v>
      </c>
      <c r="Q124" s="5">
        <f>IFERROR(__xludf.DUMMYFUNCTION("""COMPUTED_VALUE"""),0.006569248842592593)</f>
        <v>0.006569248843</v>
      </c>
      <c r="R124" s="4">
        <f>IFERROR(__xludf.DUMMYFUNCTION("""COMPUTED_VALUE"""),45949.06569249231)</f>
        <v>45949.06569</v>
      </c>
      <c r="S124" s="1" t="b">
        <f>IFERROR(__xludf.DUMMYFUNCTION("""COMPUTED_VALUE"""),TRUE)</f>
        <v>1</v>
      </c>
      <c r="T124" s="1" t="b">
        <f>IFERROR(__xludf.DUMMYFUNCTION("""COMPUTED_VALUE"""),FALSE)</f>
        <v>0</v>
      </c>
      <c r="U124" s="1" t="str">
        <f>IFERROR(__xludf.DUMMYFUNCTION("""COMPUTED_VALUE"""),"VALID")</f>
        <v>VALID</v>
      </c>
      <c r="V124" s="1">
        <f>IFERROR(__xludf.DUMMYFUNCTION("""COMPUTED_VALUE"""),56.0)</f>
        <v>56</v>
      </c>
      <c r="W124" s="1">
        <f>IFERROR(__xludf.DUMMYFUNCTION("""COMPUTED_VALUE"""),706.0)</f>
        <v>706</v>
      </c>
      <c r="X124" s="1">
        <f>IFERROR(__xludf.DUMMYFUNCTION("""COMPUTED_VALUE"""),669.0)</f>
        <v>669</v>
      </c>
      <c r="Y124" s="2"/>
      <c r="Z124" s="2"/>
    </row>
    <row r="125">
      <c r="A125" s="1">
        <f>IFERROR(__xludf.DUMMYFUNCTION("""COMPUTED_VALUE"""),124.0)</f>
        <v>124</v>
      </c>
      <c r="B125" s="1">
        <f>IFERROR(__xludf.DUMMYFUNCTION("""COMPUTED_VALUE"""),10333.0)</f>
        <v>10333</v>
      </c>
      <c r="C125" s="2" t="str">
        <f>IFERROR(__xludf.DUMMYFUNCTION("""COMPUTED_VALUE"""),"Acil Pondasi")</f>
        <v>Acil Pondasi</v>
      </c>
      <c r="D125" s="2" t="str">
        <f>IFERROR(__xludf.DUMMYFUNCTION("""COMPUTED_VALUE"""),"10KM OVERALL F")</f>
        <v>10KM OVERALL F</v>
      </c>
      <c r="E125" s="1">
        <f>IFERROR(__xludf.DUMMYFUNCTION("""COMPUTED_VALUE"""),1.0)</f>
        <v>1</v>
      </c>
      <c r="F125" s="1" t="str">
        <f>IFERROR(__xludf.DUMMYFUNCTION("""COMPUTED_VALUE"""),"Female")</f>
        <v>Female</v>
      </c>
      <c r="G125" s="4" t="b">
        <f>IFERROR(__xludf.DUMMYFUNCTION("""COMPUTED_VALUE"""),TRUE)</f>
        <v>1</v>
      </c>
      <c r="H125" s="4" t="b">
        <f>IFERROR(__xludf.DUMMYFUNCTION("""COMPUTED_VALUE"""),TRUE)</f>
        <v>1</v>
      </c>
      <c r="I125" s="4">
        <f>IFERROR(__xludf.DUMMYFUNCTION("""COMPUTED_VALUE"""),0.24646185185185185)</f>
        <v>0.2464618519</v>
      </c>
      <c r="J125" s="4">
        <f>IFERROR(__xludf.DUMMYFUNCTION("""COMPUTED_VALUE"""),45949.258103081665)</f>
        <v>45949.2581</v>
      </c>
      <c r="K125" s="4">
        <f>IFERROR(__xludf.DUMMYFUNCTION("""COMPUTED_VALUE"""),45949.28565519895)</f>
        <v>45949.28566</v>
      </c>
      <c r="L125" s="4">
        <f>IFERROR(__xludf.DUMMYFUNCTION("""COMPUTED_VALUE"""),45949.292463368496)</f>
        <v>45949.29246</v>
      </c>
      <c r="M125" s="1" t="str">
        <f>IFERROR(__xludf.DUMMYFUNCTION("""COMPUTED_VALUE"""),"RFID")</f>
        <v>RFID</v>
      </c>
      <c r="N125" s="5">
        <f>IFERROR(__xludf.DUMMYFUNCTION("""COMPUTED_VALUE"""),0.0046564907407407406)</f>
        <v>0.004656490741</v>
      </c>
      <c r="O125" s="5">
        <f>IFERROR(__xludf.DUMMYFUNCTION("""COMPUTED_VALUE"""),0.011020847222222224)</f>
        <v>0.01102084722</v>
      </c>
      <c r="P125" s="5">
        <f>IFERROR(__xludf.DUMMYFUNCTION("""COMPUTED_VALUE"""),0.0028017158611675667)</f>
        <v>0.002801715861</v>
      </c>
      <c r="Q125" s="5">
        <f>IFERROR(__xludf.DUMMYFUNCTION("""COMPUTED_VALUE"""),0.004600151620370371)</f>
        <v>0.00460015162</v>
      </c>
      <c r="R125" s="4">
        <f>IFERROR(__xludf.DUMMYFUNCTION("""COMPUTED_VALUE"""),45949.046001516646)</f>
        <v>45949.046</v>
      </c>
      <c r="S125" s="1" t="b">
        <f>IFERROR(__xludf.DUMMYFUNCTION("""COMPUTED_VALUE"""),TRUE)</f>
        <v>1</v>
      </c>
      <c r="T125" s="1" t="b">
        <f>IFERROR(__xludf.DUMMYFUNCTION("""COMPUTED_VALUE"""),FALSE)</f>
        <v>0</v>
      </c>
      <c r="U125" s="1" t="str">
        <f>IFERROR(__xludf.DUMMYFUNCTION("""COMPUTED_VALUE"""),"VALID")</f>
        <v>VALID</v>
      </c>
      <c r="V125" s="1">
        <f>IFERROR(__xludf.DUMMYFUNCTION("""COMPUTED_VALUE"""),15.0)</f>
        <v>15</v>
      </c>
      <c r="W125" s="1">
        <f>IFERROR(__xludf.DUMMYFUNCTION("""COMPUTED_VALUE"""),288.0)</f>
        <v>288</v>
      </c>
      <c r="X125" s="1">
        <f>IFERROR(__xludf.DUMMYFUNCTION("""COMPUTED_VALUE"""),537.0)</f>
        <v>537</v>
      </c>
      <c r="Y125" s="2"/>
      <c r="Z125" s="2"/>
    </row>
    <row r="126">
      <c r="A126" s="1">
        <f>IFERROR(__xludf.DUMMYFUNCTION("""COMPUTED_VALUE"""),125.0)</f>
        <v>125</v>
      </c>
      <c r="B126" s="1">
        <f>IFERROR(__xludf.DUMMYFUNCTION("""COMPUTED_VALUE"""),10336.0)</f>
        <v>10336</v>
      </c>
      <c r="C126" s="2" t="str">
        <f>IFERROR(__xludf.DUMMYFUNCTION("""COMPUTED_VALUE"""),"maulidah")</f>
        <v>maulidah</v>
      </c>
      <c r="D126" s="2" t="str">
        <f>IFERROR(__xludf.DUMMYFUNCTION("""COMPUTED_VALUE"""),"10KM OVERALL F")</f>
        <v>10KM OVERALL F</v>
      </c>
      <c r="E126" s="1">
        <f>IFERROR(__xludf.DUMMYFUNCTION("""COMPUTED_VALUE"""),1.0)</f>
        <v>1</v>
      </c>
      <c r="F126" s="1" t="str">
        <f>IFERROR(__xludf.DUMMYFUNCTION("""COMPUTED_VALUE"""),"Female")</f>
        <v>Female</v>
      </c>
      <c r="G126" s="4" t="b">
        <f>IFERROR(__xludf.DUMMYFUNCTION("""COMPUTED_VALUE"""),TRUE)</f>
        <v>1</v>
      </c>
      <c r="H126" s="4" t="b">
        <f>IFERROR(__xludf.DUMMYFUNCTION("""COMPUTED_VALUE"""),FALSE)</f>
        <v>0</v>
      </c>
      <c r="I126" s="4">
        <f>IFERROR(__xludf.DUMMYFUNCTION("""COMPUTED_VALUE"""),0.24646185185185185)</f>
        <v>0.2464618519</v>
      </c>
      <c r="J126" s="4">
        <f>IFERROR(__xludf.DUMMYFUNCTION("""COMPUTED_VALUE"""),45949.257346131075)</f>
        <v>45949.25735</v>
      </c>
      <c r="K126" s="4">
        <f>IFERROR(__xludf.DUMMYFUNCTION("""COMPUTED_VALUE"""),45949.28598504679)</f>
        <v>45949.28599</v>
      </c>
      <c r="L126" s="4">
        <f>IFERROR(__xludf.DUMMYFUNCTION("""COMPUTED_VALUE"""),45949.295005497814)</f>
        <v>45949.29501</v>
      </c>
      <c r="M126" s="1" t="str">
        <f>IFERROR(__xludf.DUMMYFUNCTION("""COMPUTED_VALUE"""),"RFID")</f>
        <v>RFID</v>
      </c>
      <c r="N126" s="5">
        <f>IFERROR(__xludf.DUMMYFUNCTION("""COMPUTED_VALUE"""),0.004353712962962964)</f>
        <v>0.004353712963</v>
      </c>
      <c r="O126" s="5">
        <f>IFERROR(__xludf.DUMMYFUNCTION("""COMPUTED_VALUE"""),0.011455564814814816)</f>
        <v>0.01145556481</v>
      </c>
      <c r="P126" s="5">
        <f>IFERROR(__xludf.DUMMYFUNCTION("""COMPUTED_VALUE"""),0.0037121197642085864)</f>
        <v>0.003712119764</v>
      </c>
      <c r="Q126" s="5">
        <f>IFERROR(__xludf.DUMMYFUNCTION("""COMPUTED_VALUE"""),0.004854364583333334)</f>
        <v>0.004854364583</v>
      </c>
      <c r="R126" s="4">
        <f>IFERROR(__xludf.DUMMYFUNCTION("""COMPUTED_VALUE"""),45949.048543645964)</f>
        <v>45949.04854</v>
      </c>
      <c r="S126" s="1" t="b">
        <f>IFERROR(__xludf.DUMMYFUNCTION("""COMPUTED_VALUE"""),TRUE)</f>
        <v>1</v>
      </c>
      <c r="T126" s="1" t="b">
        <f>IFERROR(__xludf.DUMMYFUNCTION("""COMPUTED_VALUE"""),FALSE)</f>
        <v>0</v>
      </c>
      <c r="U126" s="1" t="str">
        <f>IFERROR(__xludf.DUMMYFUNCTION("""COMPUTED_VALUE"""),"VALID")</f>
        <v>VALID</v>
      </c>
      <c r="V126" s="1">
        <f>IFERROR(__xludf.DUMMYFUNCTION("""COMPUTED_VALUE"""),18.0)</f>
        <v>18</v>
      </c>
      <c r="W126" s="1">
        <f>IFERROR(__xludf.DUMMYFUNCTION("""COMPUTED_VALUE"""),353.0)</f>
        <v>353</v>
      </c>
      <c r="X126" s="1">
        <f>IFERROR(__xludf.DUMMYFUNCTION("""COMPUTED_VALUE"""),585.0)</f>
        <v>585</v>
      </c>
      <c r="Y126" s="2"/>
      <c r="Z126" s="2"/>
    </row>
    <row r="127">
      <c r="A127" s="1">
        <f>IFERROR(__xludf.DUMMYFUNCTION("""COMPUTED_VALUE"""),126.0)</f>
        <v>126</v>
      </c>
      <c r="B127" s="1">
        <f>IFERROR(__xludf.DUMMYFUNCTION("""COMPUTED_VALUE"""),10338.0)</f>
        <v>10338</v>
      </c>
      <c r="C127" s="2" t="str">
        <f>IFERROR(__xludf.DUMMYFUNCTION("""COMPUTED_VALUE"""),"Diana S")</f>
        <v>Diana S</v>
      </c>
      <c r="D127" s="2" t="str">
        <f>IFERROR(__xludf.DUMMYFUNCTION("""COMPUTED_VALUE"""),"10KM OVERALL F")</f>
        <v>10KM OVERALL F</v>
      </c>
      <c r="E127" s="1">
        <f>IFERROR(__xludf.DUMMYFUNCTION("""COMPUTED_VALUE"""),1.0)</f>
        <v>1</v>
      </c>
      <c r="F127" s="1" t="str">
        <f>IFERROR(__xludf.DUMMYFUNCTION("""COMPUTED_VALUE"""),"Female")</f>
        <v>Female</v>
      </c>
      <c r="G127" s="4" t="b">
        <f>IFERROR(__xludf.DUMMYFUNCTION("""COMPUTED_VALUE"""),TRUE)</f>
        <v>1</v>
      </c>
      <c r="H127" s="4" t="b">
        <f>IFERROR(__xludf.DUMMYFUNCTION("""COMPUTED_VALUE"""),TRUE)</f>
        <v>1</v>
      </c>
      <c r="I127" s="4">
        <f>IFERROR(__xludf.DUMMYFUNCTION("""COMPUTED_VALUE"""),0.24646185185185185)</f>
        <v>0.2464618519</v>
      </c>
      <c r="J127" s="4">
        <f>IFERROR(__xludf.DUMMYFUNCTION("""COMPUTED_VALUE"""),45949.26117947618)</f>
        <v>45949.26118</v>
      </c>
      <c r="K127" s="4">
        <f>IFERROR(__xludf.DUMMYFUNCTION("""COMPUTED_VALUE"""),45949.30185676151)</f>
        <v>45949.30186</v>
      </c>
      <c r="L127" s="4">
        <f>IFERROR(__xludf.DUMMYFUNCTION("""COMPUTED_VALUE"""),45949.313991140414)</f>
        <v>45949.31399</v>
      </c>
      <c r="M127" s="1" t="str">
        <f>IFERROR(__xludf.DUMMYFUNCTION("""COMPUTED_VALUE"""),"RFID")</f>
        <v>RFID</v>
      </c>
      <c r="N127" s="5">
        <f>IFERROR(__xludf.DUMMYFUNCTION("""COMPUTED_VALUE"""),0.005887050925925926)</f>
        <v>0.005887050926</v>
      </c>
      <c r="O127" s="5">
        <f>IFERROR(__xludf.DUMMYFUNCTION("""COMPUTED_VALUE"""),0.016270912037037035)</f>
        <v>0.01627091204</v>
      </c>
      <c r="P127" s="5">
        <f>IFERROR(__xludf.DUMMYFUNCTION("""COMPUTED_VALUE"""),0.004993571566634355)</f>
        <v>0.004993571567</v>
      </c>
      <c r="Q127" s="5">
        <f>IFERROR(__xludf.DUMMYFUNCTION("""COMPUTED_VALUE"""),0.0067529293981481485)</f>
        <v>0.006752929398</v>
      </c>
      <c r="R127" s="4">
        <f>IFERROR(__xludf.DUMMYFUNCTION("""COMPUTED_VALUE"""),45949.067529288564)</f>
        <v>45949.06753</v>
      </c>
      <c r="S127" s="1" t="b">
        <f>IFERROR(__xludf.DUMMYFUNCTION("""COMPUTED_VALUE"""),TRUE)</f>
        <v>1</v>
      </c>
      <c r="T127" s="1" t="b">
        <f>IFERROR(__xludf.DUMMYFUNCTION("""COMPUTED_VALUE"""),FALSE)</f>
        <v>0</v>
      </c>
      <c r="U127" s="1" t="str">
        <f>IFERROR(__xludf.DUMMYFUNCTION("""COMPUTED_VALUE"""),"VALID")</f>
        <v>VALID</v>
      </c>
      <c r="V127" s="1">
        <f>IFERROR(__xludf.DUMMYFUNCTION("""COMPUTED_VALUE"""),61.0)</f>
        <v>61</v>
      </c>
      <c r="W127" s="1">
        <f>IFERROR(__xludf.DUMMYFUNCTION("""COMPUTED_VALUE"""),726.0)</f>
        <v>726</v>
      </c>
      <c r="X127" s="1">
        <f>IFERROR(__xludf.DUMMYFUNCTION("""COMPUTED_VALUE"""),676.0)</f>
        <v>676</v>
      </c>
      <c r="Y127" s="2"/>
      <c r="Z127" s="2"/>
    </row>
    <row r="128">
      <c r="A128" s="1">
        <f>IFERROR(__xludf.DUMMYFUNCTION("""COMPUTED_VALUE"""),127.0)</f>
        <v>127</v>
      </c>
      <c r="B128" s="1">
        <f>IFERROR(__xludf.DUMMYFUNCTION("""COMPUTED_VALUE"""),10351.0)</f>
        <v>10351</v>
      </c>
      <c r="C128" s="2" t="str">
        <f>IFERROR(__xludf.DUMMYFUNCTION("""COMPUTED_VALUE"""),"Nanda")</f>
        <v>Nanda</v>
      </c>
      <c r="D128" s="2" t="str">
        <f>IFERROR(__xludf.DUMMYFUNCTION("""COMPUTED_VALUE"""),"10KM OVERALL F")</f>
        <v>10KM OVERALL F</v>
      </c>
      <c r="E128" s="1">
        <f>IFERROR(__xludf.DUMMYFUNCTION("""COMPUTED_VALUE"""),1.0)</f>
        <v>1</v>
      </c>
      <c r="F128" s="1" t="str">
        <f>IFERROR(__xludf.DUMMYFUNCTION("""COMPUTED_VALUE"""),"Female")</f>
        <v>Female</v>
      </c>
      <c r="G128" s="4" t="b">
        <f>IFERROR(__xludf.DUMMYFUNCTION("""COMPUTED_VALUE"""),TRUE)</f>
        <v>1</v>
      </c>
      <c r="H128" s="4" t="b">
        <f>IFERROR(__xludf.DUMMYFUNCTION("""COMPUTED_VALUE"""),TRUE)</f>
        <v>1</v>
      </c>
      <c r="I128" s="4">
        <f>IFERROR(__xludf.DUMMYFUNCTION("""COMPUTED_VALUE"""),0.24646185185185185)</f>
        <v>0.2464618519</v>
      </c>
      <c r="J128" s="4">
        <f>IFERROR(__xludf.DUMMYFUNCTION("""COMPUTED_VALUE"""),45949.25553021743)</f>
        <v>45949.25553</v>
      </c>
      <c r="K128" s="4">
        <f>IFERROR(__xludf.DUMMYFUNCTION("""COMPUTED_VALUE"""),45949.2826864943)</f>
        <v>45949.28269</v>
      </c>
      <c r="L128" s="4">
        <f>IFERROR(__xludf.DUMMYFUNCTION("""COMPUTED_VALUE"""),45949.291494632154)</f>
        <v>45949.29149</v>
      </c>
      <c r="M128" s="1" t="str">
        <f>IFERROR(__xludf.DUMMYFUNCTION("""COMPUTED_VALUE"""),"RFID")</f>
        <v>RFID</v>
      </c>
      <c r="N128" s="5">
        <f>IFERROR(__xludf.DUMMYFUNCTION("""COMPUTED_VALUE"""),0.003627347222222222)</f>
        <v>0.003627347222</v>
      </c>
      <c r="O128" s="5">
        <f>IFERROR(__xludf.DUMMYFUNCTION("""COMPUTED_VALUE"""),0.01086250925925926)</f>
        <v>0.01086250926</v>
      </c>
      <c r="P128" s="5">
        <f>IFERROR(__xludf.DUMMYFUNCTION("""COMPUTED_VALUE"""),0.003624748088991453)</f>
        <v>0.003624748089</v>
      </c>
      <c r="Q128" s="5">
        <f>IFERROR(__xludf.DUMMYFUNCTION("""COMPUTED_VALUE"""),0.004503277777777778)</f>
        <v>0.004503277778</v>
      </c>
      <c r="R128" s="4">
        <f>IFERROR(__xludf.DUMMYFUNCTION("""COMPUTED_VALUE"""),45949.045032780305)</f>
        <v>45949.04503</v>
      </c>
      <c r="S128" s="1" t="b">
        <f>IFERROR(__xludf.DUMMYFUNCTION("""COMPUTED_VALUE"""),TRUE)</f>
        <v>1</v>
      </c>
      <c r="T128" s="1" t="b">
        <f>IFERROR(__xludf.DUMMYFUNCTION("""COMPUTED_VALUE"""),FALSE)</f>
        <v>0</v>
      </c>
      <c r="U128" s="1" t="str">
        <f>IFERROR(__xludf.DUMMYFUNCTION("""COMPUTED_VALUE"""),"VALID")</f>
        <v>VALID</v>
      </c>
      <c r="V128" s="1">
        <f>IFERROR(__xludf.DUMMYFUNCTION("""COMPUTED_VALUE"""),13.0)</f>
        <v>13</v>
      </c>
      <c r="W128" s="1">
        <f>IFERROR(__xludf.DUMMYFUNCTION("""COMPUTED_VALUE"""),261.0)</f>
        <v>261</v>
      </c>
      <c r="X128" s="1">
        <f>IFERROR(__xludf.DUMMYFUNCTION("""COMPUTED_VALUE"""),509.0)</f>
        <v>509</v>
      </c>
      <c r="Y128" s="2"/>
      <c r="Z128" s="2"/>
    </row>
    <row r="129">
      <c r="A129" s="1">
        <f>IFERROR(__xludf.DUMMYFUNCTION("""COMPUTED_VALUE"""),128.0)</f>
        <v>128</v>
      </c>
      <c r="B129" s="1">
        <f>IFERROR(__xludf.DUMMYFUNCTION("""COMPUTED_VALUE"""),10358.0)</f>
        <v>10358</v>
      </c>
      <c r="C129" s="2" t="str">
        <f>IFERROR(__xludf.DUMMYFUNCTION("""COMPUTED_VALUE"""),"Dia Ayu Lestari")</f>
        <v>Dia Ayu Lestari</v>
      </c>
      <c r="D129" s="2" t="str">
        <f>IFERROR(__xludf.DUMMYFUNCTION("""COMPUTED_VALUE"""),"10KM OVERALL F")</f>
        <v>10KM OVERALL F</v>
      </c>
      <c r="E129" s="1">
        <f>IFERROR(__xludf.DUMMYFUNCTION("""COMPUTED_VALUE"""),1.0)</f>
        <v>1</v>
      </c>
      <c r="F129" s="1" t="str">
        <f>IFERROR(__xludf.DUMMYFUNCTION("""COMPUTED_VALUE"""),"Female")</f>
        <v>Female</v>
      </c>
      <c r="G129" s="4" t="b">
        <f>IFERROR(__xludf.DUMMYFUNCTION("""COMPUTED_VALUE"""),TRUE)</f>
        <v>1</v>
      </c>
      <c r="H129" s="4" t="b">
        <f>IFERROR(__xludf.DUMMYFUNCTION("""COMPUTED_VALUE"""),TRUE)</f>
        <v>1</v>
      </c>
      <c r="I129" s="4">
        <f>IFERROR(__xludf.DUMMYFUNCTION("""COMPUTED_VALUE"""),0.24646185185185185)</f>
        <v>0.2464618519</v>
      </c>
      <c r="J129" s="4">
        <f>IFERROR(__xludf.DUMMYFUNCTION("""COMPUTED_VALUE"""),45949.26001974653)</f>
        <v>45949.26002</v>
      </c>
      <c r="K129" s="4">
        <f>IFERROR(__xludf.DUMMYFUNCTION("""COMPUTED_VALUE"""),45949.294349870695)</f>
        <v>45949.29435</v>
      </c>
      <c r="L129" s="4">
        <f>IFERROR(__xludf.DUMMYFUNCTION("""COMPUTED_VALUE"""),45949.3053730375)</f>
        <v>45949.30537</v>
      </c>
      <c r="M129" s="1" t="str">
        <f>IFERROR(__xludf.DUMMYFUNCTION("""COMPUTED_VALUE"""),"RFID")</f>
        <v>RFID</v>
      </c>
      <c r="N129" s="5">
        <f>IFERROR(__xludf.DUMMYFUNCTION("""COMPUTED_VALUE"""),0.005423157407407408)</f>
        <v>0.005423157407</v>
      </c>
      <c r="O129" s="5">
        <f>IFERROR(__xludf.DUMMYFUNCTION("""COMPUTED_VALUE"""),0.013732050925925925)</f>
        <v>0.01373205093</v>
      </c>
      <c r="P129" s="5">
        <f>IFERROR(__xludf.DUMMYFUNCTION("""COMPUTED_VALUE"""),0.004536282636920841)</f>
        <v>0.004536282637</v>
      </c>
      <c r="Q129" s="5">
        <f>IFERROR(__xludf.DUMMYFUNCTION("""COMPUTED_VALUE"""),0.005891118055555556)</f>
        <v>0.005891118056</v>
      </c>
      <c r="R129" s="4">
        <f>IFERROR(__xludf.DUMMYFUNCTION("""COMPUTED_VALUE"""),45949.05891118565)</f>
        <v>45949.05891</v>
      </c>
      <c r="S129" s="1" t="b">
        <f>IFERROR(__xludf.DUMMYFUNCTION("""COMPUTED_VALUE"""),TRUE)</f>
        <v>1</v>
      </c>
      <c r="T129" s="1" t="b">
        <f>IFERROR(__xludf.DUMMYFUNCTION("""COMPUTED_VALUE"""),FALSE)</f>
        <v>0</v>
      </c>
      <c r="U129" s="1" t="str">
        <f>IFERROR(__xludf.DUMMYFUNCTION("""COMPUTED_VALUE"""),"VALID")</f>
        <v>VALID</v>
      </c>
      <c r="V129" s="1">
        <f>IFERROR(__xludf.DUMMYFUNCTION("""COMPUTED_VALUE"""),44.0)</f>
        <v>44</v>
      </c>
      <c r="W129" s="1">
        <f>IFERROR(__xludf.DUMMYFUNCTION("""COMPUTED_VALUE"""),633.0)</f>
        <v>633</v>
      </c>
      <c r="X129" s="1">
        <f>IFERROR(__xludf.DUMMYFUNCTION("""COMPUTED_VALUE"""),649.0)</f>
        <v>649</v>
      </c>
      <c r="Y129" s="2"/>
      <c r="Z129" s="2"/>
    </row>
    <row r="130">
      <c r="A130" s="1">
        <f>IFERROR(__xludf.DUMMYFUNCTION("""COMPUTED_VALUE"""),129.0)</f>
        <v>129</v>
      </c>
      <c r="B130" s="1">
        <f>IFERROR(__xludf.DUMMYFUNCTION("""COMPUTED_VALUE"""),10365.0)</f>
        <v>10365</v>
      </c>
      <c r="C130" s="2" t="str">
        <f>IFERROR(__xludf.DUMMYFUNCTION("""COMPUTED_VALUE"""),"Eka F R")</f>
        <v>Eka F R</v>
      </c>
      <c r="D130" s="2" t="str">
        <f>IFERROR(__xludf.DUMMYFUNCTION("""COMPUTED_VALUE"""),"10KM OVERALL F")</f>
        <v>10KM OVERALL F</v>
      </c>
      <c r="E130" s="1">
        <f>IFERROR(__xludf.DUMMYFUNCTION("""COMPUTED_VALUE"""),1.0)</f>
        <v>1</v>
      </c>
      <c r="F130" s="1" t="str">
        <f>IFERROR(__xludf.DUMMYFUNCTION("""COMPUTED_VALUE"""),"Female")</f>
        <v>Female</v>
      </c>
      <c r="G130" s="4" t="str">
        <f>IFERROR(__xludf.DUMMYFUNCTION("""COMPUTED_VALUE"""),"")</f>
        <v/>
      </c>
      <c r="H130" s="4" t="b">
        <f>IFERROR(__xludf.DUMMYFUNCTION("""COMPUTED_VALUE"""),TRUE)</f>
        <v>1</v>
      </c>
      <c r="I130" s="4">
        <f>IFERROR(__xludf.DUMMYFUNCTION("""COMPUTED_VALUE"""),0.24646185185185185)</f>
        <v>0.2464618519</v>
      </c>
      <c r="J130" s="4">
        <f>IFERROR(__xludf.DUMMYFUNCTION("""COMPUTED_VALUE"""),45949.27089128208)</f>
        <v>45949.27089</v>
      </c>
      <c r="K130" s="4">
        <f>IFERROR(__xludf.DUMMYFUNCTION("""COMPUTED_VALUE"""),45949.31122136472)</f>
        <v>45949.31122</v>
      </c>
      <c r="L130" s="4" t="str">
        <f>IFERROR(__xludf.DUMMYFUNCTION("""COMPUTED_VALUE"""),"")</f>
        <v/>
      </c>
      <c r="M130" s="1" t="str">
        <f>IFERROR(__xludf.DUMMYFUNCTION("""COMPUTED_VALUE"""),"RFID")</f>
        <v>RFID</v>
      </c>
      <c r="N130" s="5">
        <f>IFERROR(__xludf.DUMMYFUNCTION("""COMPUTED_VALUE"""),0.009771773148148147)</f>
        <v>0.009771773148</v>
      </c>
      <c r="O130" s="5">
        <f>IFERROR(__xludf.DUMMYFUNCTION("""COMPUTED_VALUE"""),0.016132032407407407)</f>
        <v>0.01613203241</v>
      </c>
      <c r="P130" s="5" t="str">
        <f>IFERROR(__xludf.DUMMYFUNCTION("""COMPUTED_VALUE"""),"")</f>
        <v/>
      </c>
      <c r="Q130" s="5" t="str">
        <f>IFERROR(__xludf.DUMMYFUNCTION("""COMPUTED_VALUE"""),"")</f>
        <v/>
      </c>
      <c r="R130" s="4" t="str">
        <f>IFERROR(__xludf.DUMMYFUNCTION("""COMPUTED_VALUE"""),"")</f>
        <v/>
      </c>
      <c r="S130" s="1" t="b">
        <f>IFERROR(__xludf.DUMMYFUNCTION("""COMPUTED_VALUE"""),TRUE)</f>
        <v>1</v>
      </c>
      <c r="T130" s="1" t="b">
        <f>IFERROR(__xludf.DUMMYFUNCTION("""COMPUTED_VALUE"""),FALSE)</f>
        <v>0</v>
      </c>
      <c r="U130" s="1" t="str">
        <f>IFERROR(__xludf.DUMMYFUNCTION("""COMPUTED_VALUE"""),"DNF")</f>
        <v>DNF</v>
      </c>
      <c r="V130" s="1" t="str">
        <f>IFERROR(__xludf.DUMMYFUNCTION("""COMPUTED_VALUE"""),"DNF")</f>
        <v>DNF</v>
      </c>
      <c r="W130" s="1" t="str">
        <f>IFERROR(__xludf.DUMMYFUNCTION("""COMPUTED_VALUE"""),"DNF")</f>
        <v>DNF</v>
      </c>
      <c r="X130" s="1" t="str">
        <f>IFERROR(__xludf.DUMMYFUNCTION("""COMPUTED_VALUE"""),"DNF")</f>
        <v>DNF</v>
      </c>
      <c r="Y130" s="2"/>
      <c r="Z130" s="2"/>
    </row>
    <row r="131">
      <c r="A131" s="1">
        <f>IFERROR(__xludf.DUMMYFUNCTION("""COMPUTED_VALUE"""),130.0)</f>
        <v>130</v>
      </c>
      <c r="B131" s="1">
        <f>IFERROR(__xludf.DUMMYFUNCTION("""COMPUTED_VALUE"""),10370.0)</f>
        <v>10370</v>
      </c>
      <c r="C131" s="2" t="str">
        <f>IFERROR(__xludf.DUMMYFUNCTION("""COMPUTED_VALUE"""),"Ghina")</f>
        <v>Ghina</v>
      </c>
      <c r="D131" s="2" t="str">
        <f>IFERROR(__xludf.DUMMYFUNCTION("""COMPUTED_VALUE"""),"10KM OVERALL F")</f>
        <v>10KM OVERALL F</v>
      </c>
      <c r="E131" s="1">
        <f>IFERROR(__xludf.DUMMYFUNCTION("""COMPUTED_VALUE"""),1.0)</f>
        <v>1</v>
      </c>
      <c r="F131" s="1" t="str">
        <f>IFERROR(__xludf.DUMMYFUNCTION("""COMPUTED_VALUE"""),"Female")</f>
        <v>Female</v>
      </c>
      <c r="G131" s="4" t="b">
        <f>IFERROR(__xludf.DUMMYFUNCTION("""COMPUTED_VALUE"""),TRUE)</f>
        <v>1</v>
      </c>
      <c r="H131" s="4" t="b">
        <f>IFERROR(__xludf.DUMMYFUNCTION("""COMPUTED_VALUE"""),FALSE)</f>
        <v>0</v>
      </c>
      <c r="I131" s="4">
        <f>IFERROR(__xludf.DUMMYFUNCTION("""COMPUTED_VALUE"""),0.24646185185185185)</f>
        <v>0.2464618519</v>
      </c>
      <c r="J131" s="4">
        <f>IFERROR(__xludf.DUMMYFUNCTION("""COMPUTED_VALUE"""),45949.25964478654)</f>
        <v>45949.25964</v>
      </c>
      <c r="K131" s="4">
        <f>IFERROR(__xludf.DUMMYFUNCTION("""COMPUTED_VALUE"""),45949.300773434)</f>
        <v>45949.30077</v>
      </c>
      <c r="L131" s="4">
        <f>IFERROR(__xludf.DUMMYFUNCTION("""COMPUTED_VALUE"""),45949.31249571518)</f>
        <v>45949.3125</v>
      </c>
      <c r="M131" s="1" t="str">
        <f>IFERROR(__xludf.DUMMYFUNCTION("""COMPUTED_VALUE"""),"RFID")</f>
        <v>RFID</v>
      </c>
      <c r="N131" s="5">
        <f>IFERROR(__xludf.DUMMYFUNCTION("""COMPUTED_VALUE"""),0.005273175925925926)</f>
        <v>0.005273175926</v>
      </c>
      <c r="O131" s="5">
        <f>IFERROR(__xludf.DUMMYFUNCTION("""COMPUTED_VALUE"""),0.016451458333333332)</f>
        <v>0.01645145833</v>
      </c>
      <c r="P131" s="5">
        <f>IFERROR(__xludf.DUMMYFUNCTION("""COMPUTED_VALUE"""),0.004823984025638366)</f>
        <v>0.004823984026</v>
      </c>
      <c r="Q131" s="5">
        <f>IFERROR(__xludf.DUMMYFUNCTION("""COMPUTED_VALUE"""),0.006603386574074074)</f>
        <v>0.006603386574</v>
      </c>
      <c r="R131" s="4">
        <f>IFERROR(__xludf.DUMMYFUNCTION("""COMPUTED_VALUE"""),45949.06603386333)</f>
        <v>45949.06603</v>
      </c>
      <c r="S131" s="1" t="b">
        <f>IFERROR(__xludf.DUMMYFUNCTION("""COMPUTED_VALUE"""),TRUE)</f>
        <v>1</v>
      </c>
      <c r="T131" s="1" t="b">
        <f>IFERROR(__xludf.DUMMYFUNCTION("""COMPUTED_VALUE"""),FALSE)</f>
        <v>0</v>
      </c>
      <c r="U131" s="1" t="str">
        <f>IFERROR(__xludf.DUMMYFUNCTION("""COMPUTED_VALUE"""),"VALID")</f>
        <v>VALID</v>
      </c>
      <c r="V131" s="1">
        <f>IFERROR(__xludf.DUMMYFUNCTION("""COMPUTED_VALUE"""),59.0)</f>
        <v>59</v>
      </c>
      <c r="W131" s="1">
        <f>IFERROR(__xludf.DUMMYFUNCTION("""COMPUTED_VALUE"""),711.0)</f>
        <v>711</v>
      </c>
      <c r="X131" s="1">
        <f>IFERROR(__xludf.DUMMYFUNCTION("""COMPUTED_VALUE"""),672.0)</f>
        <v>672</v>
      </c>
      <c r="Y131" s="2"/>
      <c r="Z131" s="2"/>
    </row>
    <row r="132">
      <c r="A132" s="1">
        <f>IFERROR(__xludf.DUMMYFUNCTION("""COMPUTED_VALUE"""),131.0)</f>
        <v>131</v>
      </c>
      <c r="B132" s="1">
        <f>IFERROR(__xludf.DUMMYFUNCTION("""COMPUTED_VALUE"""),10372.0)</f>
        <v>10372</v>
      </c>
      <c r="C132" s="2" t="str">
        <f>IFERROR(__xludf.DUMMYFUNCTION("""COMPUTED_VALUE"""),"Gina")</f>
        <v>Gina</v>
      </c>
      <c r="D132" s="2" t="str">
        <f>IFERROR(__xludf.DUMMYFUNCTION("""COMPUTED_VALUE"""),"10KM OVERALL F")</f>
        <v>10KM OVERALL F</v>
      </c>
      <c r="E132" s="1">
        <f>IFERROR(__xludf.DUMMYFUNCTION("""COMPUTED_VALUE"""),1.0)</f>
        <v>1</v>
      </c>
      <c r="F132" s="1" t="str">
        <f>IFERROR(__xludf.DUMMYFUNCTION("""COMPUTED_VALUE"""),"Female")</f>
        <v>Female</v>
      </c>
      <c r="G132" s="4" t="b">
        <f>IFERROR(__xludf.DUMMYFUNCTION("""COMPUTED_VALUE"""),TRUE)</f>
        <v>1</v>
      </c>
      <c r="H132" s="4" t="b">
        <f>IFERROR(__xludf.DUMMYFUNCTION("""COMPUTED_VALUE"""),TRUE)</f>
        <v>1</v>
      </c>
      <c r="I132" s="4">
        <f>IFERROR(__xludf.DUMMYFUNCTION("""COMPUTED_VALUE"""),0.24646185185185185)</f>
        <v>0.2464618519</v>
      </c>
      <c r="J132" s="4">
        <f>IFERROR(__xludf.DUMMYFUNCTION("""COMPUTED_VALUE"""),45949.26045031417)</f>
        <v>45949.26045</v>
      </c>
      <c r="K132" s="4">
        <f>IFERROR(__xludf.DUMMYFUNCTION("""COMPUTED_VALUE"""),45949.302068743775)</f>
        <v>45949.30207</v>
      </c>
      <c r="L132" s="4">
        <f>IFERROR(__xludf.DUMMYFUNCTION("""COMPUTED_VALUE"""),45949.314387445615)</f>
        <v>45949.31439</v>
      </c>
      <c r="M132" s="1" t="str">
        <f>IFERROR(__xludf.DUMMYFUNCTION("""COMPUTED_VALUE"""),"RFID")</f>
        <v>RFID</v>
      </c>
      <c r="N132" s="5">
        <f>IFERROR(__xludf.DUMMYFUNCTION("""COMPUTED_VALUE"""),0.00559538425925926)</f>
        <v>0.005595384259</v>
      </c>
      <c r="O132" s="5">
        <f>IFERROR(__xludf.DUMMYFUNCTION("""COMPUTED_VALUE"""),0.01664737037037037)</f>
        <v>0.01664737037</v>
      </c>
      <c r="P132" s="5">
        <f>IFERROR(__xludf.DUMMYFUNCTION("""COMPUTED_VALUE"""),0.005069424625444935)</f>
        <v>0.005069424625</v>
      </c>
      <c r="Q132" s="5">
        <f>IFERROR(__xludf.DUMMYFUNCTION("""COMPUTED_VALUE"""),0.0067925590277777784)</f>
        <v>0.006792559028</v>
      </c>
      <c r="R132" s="4">
        <f>IFERROR(__xludf.DUMMYFUNCTION("""COMPUTED_VALUE"""),45949.067925593765)</f>
        <v>45949.06793</v>
      </c>
      <c r="S132" s="1" t="b">
        <f>IFERROR(__xludf.DUMMYFUNCTION("""COMPUTED_VALUE"""),TRUE)</f>
        <v>1</v>
      </c>
      <c r="T132" s="1" t="b">
        <f>IFERROR(__xludf.DUMMYFUNCTION("""COMPUTED_VALUE"""),FALSE)</f>
        <v>0</v>
      </c>
      <c r="U132" s="1" t="str">
        <f>IFERROR(__xludf.DUMMYFUNCTION("""COMPUTED_VALUE"""),"VALID")</f>
        <v>VALID</v>
      </c>
      <c r="V132" s="1">
        <f>IFERROR(__xludf.DUMMYFUNCTION("""COMPUTED_VALUE"""),62.0)</f>
        <v>62</v>
      </c>
      <c r="W132" s="1">
        <f>IFERROR(__xludf.DUMMYFUNCTION("""COMPUTED_VALUE"""),728.0)</f>
        <v>728</v>
      </c>
      <c r="X132" s="1">
        <f>IFERROR(__xludf.DUMMYFUNCTION("""COMPUTED_VALUE"""),677.0)</f>
        <v>677</v>
      </c>
      <c r="Y132" s="2"/>
      <c r="Z132" s="2"/>
    </row>
    <row r="133">
      <c r="A133" s="1">
        <f>IFERROR(__xludf.DUMMYFUNCTION("""COMPUTED_VALUE"""),132.0)</f>
        <v>132</v>
      </c>
      <c r="B133" s="1">
        <f>IFERROR(__xludf.DUMMYFUNCTION("""COMPUTED_VALUE"""),10379.0)</f>
        <v>10379</v>
      </c>
      <c r="C133" s="2" t="str">
        <f>IFERROR(__xludf.DUMMYFUNCTION("""COMPUTED_VALUE"""),"Icha Irza")</f>
        <v>Icha Irza</v>
      </c>
      <c r="D133" s="2" t="str">
        <f>IFERROR(__xludf.DUMMYFUNCTION("""COMPUTED_VALUE"""),"10KM OVERALL F")</f>
        <v>10KM OVERALL F</v>
      </c>
      <c r="E133" s="1">
        <f>IFERROR(__xludf.DUMMYFUNCTION("""COMPUTED_VALUE"""),1.0)</f>
        <v>1</v>
      </c>
      <c r="F133" s="1" t="str">
        <f>IFERROR(__xludf.DUMMYFUNCTION("""COMPUTED_VALUE"""),"Female")</f>
        <v>Female</v>
      </c>
      <c r="G133" s="4" t="b">
        <f>IFERROR(__xludf.DUMMYFUNCTION("""COMPUTED_VALUE"""),TRUE)</f>
        <v>1</v>
      </c>
      <c r="H133" s="4" t="b">
        <f>IFERROR(__xludf.DUMMYFUNCTION("""COMPUTED_VALUE"""),TRUE)</f>
        <v>1</v>
      </c>
      <c r="I133" s="4">
        <f>IFERROR(__xludf.DUMMYFUNCTION("""COMPUTED_VALUE"""),0.24646185185185185)</f>
        <v>0.2464618519</v>
      </c>
      <c r="J133" s="4">
        <f>IFERROR(__xludf.DUMMYFUNCTION("""COMPUTED_VALUE"""),45949.261123913566)</f>
        <v>45949.26112</v>
      </c>
      <c r="K133" s="4">
        <f>IFERROR(__xludf.DUMMYFUNCTION("""COMPUTED_VALUE"""),45949.301540849265)</f>
        <v>45949.30154</v>
      </c>
      <c r="L133" s="4">
        <f>IFERROR(__xludf.DUMMYFUNCTION("""COMPUTED_VALUE"""),45949.31185573216)</f>
        <v>45949.31186</v>
      </c>
      <c r="M133" s="1" t="str">
        <f>IFERROR(__xludf.DUMMYFUNCTION("""COMPUTED_VALUE"""),"RFID")</f>
        <v>RFID</v>
      </c>
      <c r="N133" s="5">
        <f>IFERROR(__xludf.DUMMYFUNCTION("""COMPUTED_VALUE"""),0.0058648240740740735)</f>
        <v>0.005864824074</v>
      </c>
      <c r="O133" s="5">
        <f>IFERROR(__xludf.DUMMYFUNCTION("""COMPUTED_VALUE"""),0.01616677314814815)</f>
        <v>0.01616677315</v>
      </c>
      <c r="P133" s="5">
        <f>IFERROR(__xludf.DUMMYFUNCTION("""COMPUTED_VALUE"""),0.004244807774896653)</f>
        <v>0.004244807775</v>
      </c>
      <c r="Q133" s="5">
        <f>IFERROR(__xludf.DUMMYFUNCTION("""COMPUTED_VALUE"""),0.006539387731481482)</f>
        <v>0.006539387731</v>
      </c>
      <c r="R133" s="4">
        <f>IFERROR(__xludf.DUMMYFUNCTION("""COMPUTED_VALUE"""),45949.06539388031)</f>
        <v>45949.06539</v>
      </c>
      <c r="S133" s="1" t="b">
        <f>IFERROR(__xludf.DUMMYFUNCTION("""COMPUTED_VALUE"""),TRUE)</f>
        <v>1</v>
      </c>
      <c r="T133" s="1" t="b">
        <f>IFERROR(__xludf.DUMMYFUNCTION("""COMPUTED_VALUE"""),FALSE)</f>
        <v>0</v>
      </c>
      <c r="U133" s="1" t="str">
        <f>IFERROR(__xludf.DUMMYFUNCTION("""COMPUTED_VALUE"""),"VALID")</f>
        <v>VALID</v>
      </c>
      <c r="V133" s="1">
        <f>IFERROR(__xludf.DUMMYFUNCTION("""COMPUTED_VALUE"""),53.0)</f>
        <v>53</v>
      </c>
      <c r="W133" s="1">
        <f>IFERROR(__xludf.DUMMYFUNCTION("""COMPUTED_VALUE"""),703.0)</f>
        <v>703</v>
      </c>
      <c r="X133" s="1">
        <f>IFERROR(__xludf.DUMMYFUNCTION("""COMPUTED_VALUE"""),666.0)</f>
        <v>666</v>
      </c>
      <c r="Y133" s="2"/>
      <c r="Z133" s="2"/>
    </row>
    <row r="134">
      <c r="A134" s="1">
        <f>IFERROR(__xludf.DUMMYFUNCTION("""COMPUTED_VALUE"""),133.0)</f>
        <v>133</v>
      </c>
      <c r="B134" s="1">
        <f>IFERROR(__xludf.DUMMYFUNCTION("""COMPUTED_VALUE"""),10382.0)</f>
        <v>10382</v>
      </c>
      <c r="C134" s="2" t="str">
        <f>IFERROR(__xludf.DUMMYFUNCTION("""COMPUTED_VALUE"""),"RAHMA")</f>
        <v>RAHMA</v>
      </c>
      <c r="D134" s="2" t="str">
        <f>IFERROR(__xludf.DUMMYFUNCTION("""COMPUTED_VALUE"""),"10KM OVERALL F")</f>
        <v>10KM OVERALL F</v>
      </c>
      <c r="E134" s="1">
        <f>IFERROR(__xludf.DUMMYFUNCTION("""COMPUTED_VALUE"""),1.0)</f>
        <v>1</v>
      </c>
      <c r="F134" s="1" t="str">
        <f>IFERROR(__xludf.DUMMYFUNCTION("""COMPUTED_VALUE"""),"Female")</f>
        <v>Female</v>
      </c>
      <c r="G134" s="4" t="b">
        <f>IFERROR(__xludf.DUMMYFUNCTION("""COMPUTED_VALUE"""),TRUE)</f>
        <v>1</v>
      </c>
      <c r="H134" s="4" t="b">
        <f>IFERROR(__xludf.DUMMYFUNCTION("""COMPUTED_VALUE"""),FALSE)</f>
        <v>0</v>
      </c>
      <c r="I134" s="4">
        <f>IFERROR(__xludf.DUMMYFUNCTION("""COMPUTED_VALUE"""),0.24646185185185185)</f>
        <v>0.2464618519</v>
      </c>
      <c r="J134" s="4">
        <f>IFERROR(__xludf.DUMMYFUNCTION("""COMPUTED_VALUE"""),45949.25434619335)</f>
        <v>45949.25435</v>
      </c>
      <c r="K134" s="4">
        <f>IFERROR(__xludf.DUMMYFUNCTION("""COMPUTED_VALUE"""),45949.277760949895)</f>
        <v>45949.27776</v>
      </c>
      <c r="L134" s="4">
        <f>IFERROR(__xludf.DUMMYFUNCTION("""COMPUTED_VALUE"""),45949.28476197377)</f>
        <v>45949.28476</v>
      </c>
      <c r="M134" s="1" t="str">
        <f>IFERROR(__xludf.DUMMYFUNCTION("""COMPUTED_VALUE"""),"RFID")</f>
        <v>RFID</v>
      </c>
      <c r="N134" s="5">
        <f>IFERROR(__xludf.DUMMYFUNCTION("""COMPUTED_VALUE"""),0.0031537361111111115)</f>
        <v>0.003153736111</v>
      </c>
      <c r="O134" s="5">
        <f>IFERROR(__xludf.DUMMYFUNCTION("""COMPUTED_VALUE"""),0.009365902777777779)</f>
        <v>0.009365902778</v>
      </c>
      <c r="P134" s="5">
        <f>IFERROR(__xludf.DUMMYFUNCTION("""COMPUTED_VALUE"""),0.0028810797851109194)</f>
        <v>0.002881079785</v>
      </c>
      <c r="Q134" s="5">
        <f>IFERROR(__xludf.DUMMYFUNCTION("""COMPUTED_VALUE"""),0.0038300127314814815)</f>
        <v>0.003830012731</v>
      </c>
      <c r="R134" s="4">
        <f>IFERROR(__xludf.DUMMYFUNCTION("""COMPUTED_VALUE"""),45949.03830012192)</f>
        <v>45949.0383</v>
      </c>
      <c r="S134" s="1" t="b">
        <f>IFERROR(__xludf.DUMMYFUNCTION("""COMPUTED_VALUE"""),TRUE)</f>
        <v>1</v>
      </c>
      <c r="T134" s="1" t="b">
        <f>IFERROR(__xludf.DUMMYFUNCTION("""COMPUTED_VALUE"""),FALSE)</f>
        <v>0</v>
      </c>
      <c r="U134" s="1" t="str">
        <f>IFERROR(__xludf.DUMMYFUNCTION("""COMPUTED_VALUE"""),"VALID")</f>
        <v>VALID</v>
      </c>
      <c r="V134" s="1">
        <f>IFERROR(__xludf.DUMMYFUNCTION("""COMPUTED_VALUE"""),4.0)</f>
        <v>4</v>
      </c>
      <c r="W134" s="1">
        <f>IFERROR(__xludf.DUMMYFUNCTION("""COMPUTED_VALUE"""),89.0)</f>
        <v>89</v>
      </c>
      <c r="X134" s="1">
        <f>IFERROR(__xludf.DUMMYFUNCTION("""COMPUTED_VALUE"""),320.0)</f>
        <v>320</v>
      </c>
      <c r="Y134" s="2"/>
      <c r="Z134" s="2"/>
    </row>
    <row r="135">
      <c r="A135" s="1">
        <f>IFERROR(__xludf.DUMMYFUNCTION("""COMPUTED_VALUE"""),134.0)</f>
        <v>134</v>
      </c>
      <c r="B135" s="1">
        <f>IFERROR(__xludf.DUMMYFUNCTION("""COMPUTED_VALUE"""),10391.0)</f>
        <v>10391</v>
      </c>
      <c r="C135" s="2" t="str">
        <f>IFERROR(__xludf.DUMMYFUNCTION("""COMPUTED_VALUE"""),"dian ayu")</f>
        <v>dian ayu</v>
      </c>
      <c r="D135" s="2" t="str">
        <f>IFERROR(__xludf.DUMMYFUNCTION("""COMPUTED_VALUE"""),"10KM OVERALL F")</f>
        <v>10KM OVERALL F</v>
      </c>
      <c r="E135" s="1">
        <f>IFERROR(__xludf.DUMMYFUNCTION("""COMPUTED_VALUE"""),1.0)</f>
        <v>1</v>
      </c>
      <c r="F135" s="1" t="str">
        <f>IFERROR(__xludf.DUMMYFUNCTION("""COMPUTED_VALUE"""),"Female")</f>
        <v>Female</v>
      </c>
      <c r="G135" s="4" t="str">
        <f>IFERROR(__xludf.DUMMYFUNCTION("""COMPUTED_VALUE"""),"")</f>
        <v/>
      </c>
      <c r="H135" s="4" t="b">
        <f>IFERROR(__xludf.DUMMYFUNCTION("""COMPUTED_VALUE"""),FALSE)</f>
        <v>0</v>
      </c>
      <c r="I135" s="4">
        <f>IFERROR(__xludf.DUMMYFUNCTION("""COMPUTED_VALUE"""),0.24646185185185185)</f>
        <v>0.2464618519</v>
      </c>
      <c r="J135" s="4" t="str">
        <f>IFERROR(__xludf.DUMMYFUNCTION("""COMPUTED_VALUE"""),"")</f>
        <v/>
      </c>
      <c r="K135" s="4" t="str">
        <f>IFERROR(__xludf.DUMMYFUNCTION("""COMPUTED_VALUE"""),"")</f>
        <v/>
      </c>
      <c r="L135" s="4" t="str">
        <f>IFERROR(__xludf.DUMMYFUNCTION("""COMPUTED_VALUE"""),"")</f>
        <v/>
      </c>
      <c r="M135" s="1" t="str">
        <f>IFERROR(__xludf.DUMMYFUNCTION("""COMPUTED_VALUE"""),"RFID")</f>
        <v>RFID</v>
      </c>
      <c r="N135" s="5" t="str">
        <f>IFERROR(__xludf.DUMMYFUNCTION("""COMPUTED_VALUE"""),"")</f>
        <v/>
      </c>
      <c r="O135" s="5" t="str">
        <f>IFERROR(__xludf.DUMMYFUNCTION("""COMPUTED_VALUE"""),"")</f>
        <v/>
      </c>
      <c r="P135" s="5" t="str">
        <f>IFERROR(__xludf.DUMMYFUNCTION("""COMPUTED_VALUE"""),"")</f>
        <v/>
      </c>
      <c r="Q135" s="5" t="str">
        <f>IFERROR(__xludf.DUMMYFUNCTION("""COMPUTED_VALUE"""),"")</f>
        <v/>
      </c>
      <c r="R135" s="4" t="str">
        <f>IFERROR(__xludf.DUMMYFUNCTION("""COMPUTED_VALUE"""),"")</f>
        <v/>
      </c>
      <c r="S135" s="1" t="b">
        <f>IFERROR(__xludf.DUMMYFUNCTION("""COMPUTED_VALUE"""),FALSE)</f>
        <v>0</v>
      </c>
      <c r="T135" s="1" t="b">
        <f>IFERROR(__xludf.DUMMYFUNCTION("""COMPUTED_VALUE"""),FALSE)</f>
        <v>0</v>
      </c>
      <c r="U135" s="1" t="str">
        <f>IFERROR(__xludf.DUMMYFUNCTION("""COMPUTED_VALUE"""),"DSQ")</f>
        <v>DSQ</v>
      </c>
      <c r="V135" s="1" t="str">
        <f>IFERROR(__xludf.DUMMYFUNCTION("""COMPUTED_VALUE"""),"DSQ")</f>
        <v>DSQ</v>
      </c>
      <c r="W135" s="1" t="str">
        <f>IFERROR(__xludf.DUMMYFUNCTION("""COMPUTED_VALUE"""),"DSQ")</f>
        <v>DSQ</v>
      </c>
      <c r="X135" s="1" t="str">
        <f>IFERROR(__xludf.DUMMYFUNCTION("""COMPUTED_VALUE"""),"DSQ")</f>
        <v>DSQ</v>
      </c>
      <c r="Y135" s="2"/>
      <c r="Z135" s="2" t="str">
        <f>IFERROR(__xludf.DUMMYFUNCTION("""COMPUTED_VALUE"""),"")</f>
        <v/>
      </c>
    </row>
    <row r="136">
      <c r="A136" s="1">
        <f>IFERROR(__xludf.DUMMYFUNCTION("""COMPUTED_VALUE"""),135.0)</f>
        <v>135</v>
      </c>
      <c r="B136" s="1">
        <f>IFERROR(__xludf.DUMMYFUNCTION("""COMPUTED_VALUE"""),10404.0)</f>
        <v>10404</v>
      </c>
      <c r="C136" s="2" t="str">
        <f>IFERROR(__xludf.DUMMYFUNCTION("""COMPUTED_VALUE"""),"Danita Thirza")</f>
        <v>Danita Thirza</v>
      </c>
      <c r="D136" s="2" t="str">
        <f>IFERROR(__xludf.DUMMYFUNCTION("""COMPUTED_VALUE"""),"10KM OVERALL F")</f>
        <v>10KM OVERALL F</v>
      </c>
      <c r="E136" s="1">
        <f>IFERROR(__xludf.DUMMYFUNCTION("""COMPUTED_VALUE"""),1.0)</f>
        <v>1</v>
      </c>
      <c r="F136" s="1" t="str">
        <f>IFERROR(__xludf.DUMMYFUNCTION("""COMPUTED_VALUE"""),"Female")</f>
        <v>Female</v>
      </c>
      <c r="G136" s="4" t="b">
        <f>IFERROR(__xludf.DUMMYFUNCTION("""COMPUTED_VALUE"""),TRUE)</f>
        <v>1</v>
      </c>
      <c r="H136" s="4" t="b">
        <f>IFERROR(__xludf.DUMMYFUNCTION("""COMPUTED_VALUE"""),FALSE)</f>
        <v>0</v>
      </c>
      <c r="I136" s="4">
        <f>IFERROR(__xludf.DUMMYFUNCTION("""COMPUTED_VALUE"""),0.24646185185185185)</f>
        <v>0.2464618519</v>
      </c>
      <c r="J136" s="4">
        <f>IFERROR(__xludf.DUMMYFUNCTION("""COMPUTED_VALUE"""),45949.259648276595)</f>
        <v>45949.25965</v>
      </c>
      <c r="K136" s="4">
        <f>IFERROR(__xludf.DUMMYFUNCTION("""COMPUTED_VALUE"""),45949.296714446755)</f>
        <v>45949.29671</v>
      </c>
      <c r="L136" s="4">
        <f>IFERROR(__xludf.DUMMYFUNCTION("""COMPUTED_VALUE"""),45949.30599137924)</f>
        <v>45949.30599</v>
      </c>
      <c r="M136" s="1" t="str">
        <f>IFERROR(__xludf.DUMMYFUNCTION("""COMPUTED_VALUE"""),"RFID")</f>
        <v>RFID</v>
      </c>
      <c r="N136" s="5">
        <f>IFERROR(__xludf.DUMMYFUNCTION("""COMPUTED_VALUE"""),0.005274569444444445)</f>
        <v>0.005274569444</v>
      </c>
      <c r="O136" s="5">
        <f>IFERROR(__xludf.DUMMYFUNCTION("""COMPUTED_VALUE"""),0.014826467592592592)</f>
        <v>0.01482646759</v>
      </c>
      <c r="P136" s="5">
        <f>IFERROR(__xludf.DUMMYFUNCTION("""COMPUTED_VALUE"""),0.0038176676887949857)</f>
        <v>0.003817667689</v>
      </c>
      <c r="Q136" s="5">
        <f>IFERROR(__xludf.DUMMYFUNCTION("""COMPUTED_VALUE"""),0.005952952546296296)</f>
        <v>0.005952952546</v>
      </c>
      <c r="R136" s="4">
        <f>IFERROR(__xludf.DUMMYFUNCTION("""COMPUTED_VALUE"""),45949.05952952739)</f>
        <v>45949.05953</v>
      </c>
      <c r="S136" s="1" t="b">
        <f>IFERROR(__xludf.DUMMYFUNCTION("""COMPUTED_VALUE"""),TRUE)</f>
        <v>1</v>
      </c>
      <c r="T136" s="1" t="b">
        <f>IFERROR(__xludf.DUMMYFUNCTION("""COMPUTED_VALUE"""),FALSE)</f>
        <v>0</v>
      </c>
      <c r="U136" s="1" t="str">
        <f>IFERROR(__xludf.DUMMYFUNCTION("""COMPUTED_VALUE"""),"VALID")</f>
        <v>VALID</v>
      </c>
      <c r="V136" s="1">
        <f>IFERROR(__xludf.DUMMYFUNCTION("""COMPUTED_VALUE"""),47.0)</f>
        <v>47</v>
      </c>
      <c r="W136" s="1">
        <f>IFERROR(__xludf.DUMMYFUNCTION("""COMPUTED_VALUE"""),646.0)</f>
        <v>646</v>
      </c>
      <c r="X136" s="1">
        <f>IFERROR(__xludf.DUMMYFUNCTION("""COMPUTED_VALUE"""),653.0)</f>
        <v>653</v>
      </c>
      <c r="Y136" s="2"/>
      <c r="Z136" s="2"/>
    </row>
    <row r="137">
      <c r="A137" s="1">
        <f>IFERROR(__xludf.DUMMYFUNCTION("""COMPUTED_VALUE"""),136.0)</f>
        <v>136</v>
      </c>
      <c r="B137" s="1">
        <f>IFERROR(__xludf.DUMMYFUNCTION("""COMPUTED_VALUE"""),10413.0)</f>
        <v>10413</v>
      </c>
      <c r="C137" s="2" t="str">
        <f>IFERROR(__xludf.DUMMYFUNCTION("""COMPUTED_VALUE"""),"Apriyanto")</f>
        <v>Apriyanto</v>
      </c>
      <c r="D137" s="2" t="str">
        <f>IFERROR(__xludf.DUMMYFUNCTION("""COMPUTED_VALUE"""),"10KM OVERALL F")</f>
        <v>10KM OVERALL F</v>
      </c>
      <c r="E137" s="1">
        <f>IFERROR(__xludf.DUMMYFUNCTION("""COMPUTED_VALUE"""),1.0)</f>
        <v>1</v>
      </c>
      <c r="F137" s="1" t="str">
        <f>IFERROR(__xludf.DUMMYFUNCTION("""COMPUTED_VALUE"""),"Female")</f>
        <v>Female</v>
      </c>
      <c r="G137" s="4" t="b">
        <f>IFERROR(__xludf.DUMMYFUNCTION("""COMPUTED_VALUE"""),TRUE)</f>
        <v>1</v>
      </c>
      <c r="H137" s="4" t="b">
        <f>IFERROR(__xludf.DUMMYFUNCTION("""COMPUTED_VALUE"""),FALSE)</f>
        <v>0</v>
      </c>
      <c r="I137" s="4">
        <f>IFERROR(__xludf.DUMMYFUNCTION("""COMPUTED_VALUE"""),0.24646185185185185)</f>
        <v>0.2464618519</v>
      </c>
      <c r="J137" s="4">
        <f>IFERROR(__xludf.DUMMYFUNCTION("""COMPUTED_VALUE"""),45949.25578372671)</f>
        <v>45949.25578</v>
      </c>
      <c r="K137" s="4">
        <f>IFERROR(__xludf.DUMMYFUNCTION("""COMPUTED_VALUE"""),45949.28263785247)</f>
        <v>45949.28264</v>
      </c>
      <c r="L137" s="4">
        <f>IFERROR(__xludf.DUMMYFUNCTION("""COMPUTED_VALUE"""),45949.29049809049)</f>
        <v>45949.2905</v>
      </c>
      <c r="M137" s="1" t="str">
        <f>IFERROR(__xludf.DUMMYFUNCTION("""COMPUTED_VALUE"""),"RFID")</f>
        <v>RFID</v>
      </c>
      <c r="N137" s="5">
        <f>IFERROR(__xludf.DUMMYFUNCTION("""COMPUTED_VALUE"""),0.0037287500000000003)</f>
        <v>0.00372875</v>
      </c>
      <c r="O137" s="5">
        <f>IFERROR(__xludf.DUMMYFUNCTION("""COMPUTED_VALUE"""),0.010741648148148148)</f>
        <v>0.01074164815</v>
      </c>
      <c r="P137" s="5">
        <f>IFERROR(__xludf.DUMMYFUNCTION("""COMPUTED_VALUE"""),0.003234665853320142)</f>
        <v>0.003234665853</v>
      </c>
      <c r="Q137" s="5">
        <f>IFERROR(__xludf.DUMMYFUNCTION("""COMPUTED_VALUE"""),0.0044036238425925935)</f>
        <v>0.004403623843</v>
      </c>
      <c r="R137" s="4">
        <f>IFERROR(__xludf.DUMMYFUNCTION("""COMPUTED_VALUE"""),45949.04403623864)</f>
        <v>45949.04404</v>
      </c>
      <c r="S137" s="1" t="b">
        <f>IFERROR(__xludf.DUMMYFUNCTION("""COMPUTED_VALUE"""),TRUE)</f>
        <v>1</v>
      </c>
      <c r="T137" s="1" t="b">
        <f>IFERROR(__xludf.DUMMYFUNCTION("""COMPUTED_VALUE"""),FALSE)</f>
        <v>0</v>
      </c>
      <c r="U137" s="1" t="str">
        <f>IFERROR(__xludf.DUMMYFUNCTION("""COMPUTED_VALUE"""),"VALID")</f>
        <v>VALID</v>
      </c>
      <c r="V137" s="1">
        <f>IFERROR(__xludf.DUMMYFUNCTION("""COMPUTED_VALUE"""),11.0)</f>
        <v>11</v>
      </c>
      <c r="W137" s="1">
        <f>IFERROR(__xludf.DUMMYFUNCTION("""COMPUTED_VALUE"""),227.0)</f>
        <v>227</v>
      </c>
      <c r="X137" s="1">
        <f>IFERROR(__xludf.DUMMYFUNCTION("""COMPUTED_VALUE"""),486.0)</f>
        <v>486</v>
      </c>
      <c r="Y137" s="2"/>
      <c r="Z137" s="2"/>
    </row>
    <row r="138">
      <c r="A138" s="1">
        <f>IFERROR(__xludf.DUMMYFUNCTION("""COMPUTED_VALUE"""),137.0)</f>
        <v>137</v>
      </c>
      <c r="B138" s="1">
        <f>IFERROR(__xludf.DUMMYFUNCTION("""COMPUTED_VALUE"""),10421.0)</f>
        <v>10421</v>
      </c>
      <c r="C138" s="2" t="str">
        <f>IFERROR(__xludf.DUMMYFUNCTION("""COMPUTED_VALUE"""),"lisda mookss")</f>
        <v>lisda mookss</v>
      </c>
      <c r="D138" s="2" t="str">
        <f>IFERROR(__xludf.DUMMYFUNCTION("""COMPUTED_VALUE"""),"10KM OVERALL F")</f>
        <v>10KM OVERALL F</v>
      </c>
      <c r="E138" s="1">
        <f>IFERROR(__xludf.DUMMYFUNCTION("""COMPUTED_VALUE"""),1.0)</f>
        <v>1</v>
      </c>
      <c r="F138" s="1" t="str">
        <f>IFERROR(__xludf.DUMMYFUNCTION("""COMPUTED_VALUE"""),"Female")</f>
        <v>Female</v>
      </c>
      <c r="G138" s="4" t="b">
        <f>IFERROR(__xludf.DUMMYFUNCTION("""COMPUTED_VALUE"""),TRUE)</f>
        <v>1</v>
      </c>
      <c r="H138" s="4" t="b">
        <f>IFERROR(__xludf.DUMMYFUNCTION("""COMPUTED_VALUE"""),FALSE)</f>
        <v>0</v>
      </c>
      <c r="I138" s="4">
        <f>IFERROR(__xludf.DUMMYFUNCTION("""COMPUTED_VALUE"""),0.24646185185185185)</f>
        <v>0.2464618519</v>
      </c>
      <c r="J138" s="4">
        <f>IFERROR(__xludf.DUMMYFUNCTION("""COMPUTED_VALUE"""),45949.25464129626)</f>
        <v>45949.25464</v>
      </c>
      <c r="K138" s="4">
        <f>IFERROR(__xludf.DUMMYFUNCTION("""COMPUTED_VALUE"""),45949.27857028755)</f>
        <v>45949.27857</v>
      </c>
      <c r="L138" s="4">
        <f>IFERROR(__xludf.DUMMYFUNCTION("""COMPUTED_VALUE"""),45949.28573419962)</f>
        <v>45949.28573</v>
      </c>
      <c r="M138" s="1" t="str">
        <f>IFERROR(__xludf.DUMMYFUNCTION("""COMPUTED_VALUE"""),"RFID")</f>
        <v>RFID</v>
      </c>
      <c r="N138" s="5">
        <f>IFERROR(__xludf.DUMMYFUNCTION("""COMPUTED_VALUE"""),0.0032717777777777775)</f>
        <v>0.003271777778</v>
      </c>
      <c r="O138" s="5">
        <f>IFERROR(__xludf.DUMMYFUNCTION("""COMPUTED_VALUE"""),0.009571597222222223)</f>
        <v>0.009571597222</v>
      </c>
      <c r="P138" s="5">
        <f>IFERROR(__xludf.DUMMYFUNCTION("""COMPUTED_VALUE"""),0.0029481119639623464)</f>
        <v>0.002948111964</v>
      </c>
      <c r="Q138" s="5">
        <f>IFERROR(__xludf.DUMMYFUNCTION("""COMPUTED_VALUE"""),0.003927234953703704)</f>
        <v>0.003927234954</v>
      </c>
      <c r="R138" s="4">
        <f>IFERROR(__xludf.DUMMYFUNCTION("""COMPUTED_VALUE"""),45949.03927234777)</f>
        <v>45949.03927</v>
      </c>
      <c r="S138" s="1" t="b">
        <f>IFERROR(__xludf.DUMMYFUNCTION("""COMPUTED_VALUE"""),TRUE)</f>
        <v>1</v>
      </c>
      <c r="T138" s="1" t="b">
        <f>IFERROR(__xludf.DUMMYFUNCTION("""COMPUTED_VALUE"""),FALSE)</f>
        <v>0</v>
      </c>
      <c r="U138" s="1" t="str">
        <f>IFERROR(__xludf.DUMMYFUNCTION("""COMPUTED_VALUE"""),"VALID")</f>
        <v>VALID</v>
      </c>
      <c r="V138" s="1">
        <f>IFERROR(__xludf.DUMMYFUNCTION("""COMPUTED_VALUE"""),5.0)</f>
        <v>5</v>
      </c>
      <c r="W138" s="1">
        <f>IFERROR(__xludf.DUMMYFUNCTION("""COMPUTED_VALUE"""),103.0)</f>
        <v>103</v>
      </c>
      <c r="X138" s="1">
        <f>IFERROR(__xludf.DUMMYFUNCTION("""COMPUTED_VALUE"""),357.0)</f>
        <v>357</v>
      </c>
      <c r="Y138" s="2"/>
      <c r="Z138" s="2"/>
    </row>
    <row r="139">
      <c r="A139" s="1">
        <f>IFERROR(__xludf.DUMMYFUNCTION("""COMPUTED_VALUE"""),138.0)</f>
        <v>138</v>
      </c>
      <c r="B139" s="1">
        <f>IFERROR(__xludf.DUMMYFUNCTION("""COMPUTED_VALUE"""),10425.0)</f>
        <v>10425</v>
      </c>
      <c r="C139" s="2" t="str">
        <f>IFERROR(__xludf.DUMMYFUNCTION("""COMPUTED_VALUE"""),"W I W I")</f>
        <v>W I W I</v>
      </c>
      <c r="D139" s="2" t="str">
        <f>IFERROR(__xludf.DUMMYFUNCTION("""COMPUTED_VALUE"""),"10KM OVERALL F")</f>
        <v>10KM OVERALL F</v>
      </c>
      <c r="E139" s="1">
        <f>IFERROR(__xludf.DUMMYFUNCTION("""COMPUTED_VALUE"""),1.0)</f>
        <v>1</v>
      </c>
      <c r="F139" s="1" t="str">
        <f>IFERROR(__xludf.DUMMYFUNCTION("""COMPUTED_VALUE"""),"Female")</f>
        <v>Female</v>
      </c>
      <c r="G139" s="4" t="str">
        <f>IFERROR(__xludf.DUMMYFUNCTION("""COMPUTED_VALUE"""),"")</f>
        <v/>
      </c>
      <c r="H139" s="4" t="b">
        <f>IFERROR(__xludf.DUMMYFUNCTION("""COMPUTED_VALUE"""),FALSE)</f>
        <v>0</v>
      </c>
      <c r="I139" s="4">
        <f>IFERROR(__xludf.DUMMYFUNCTION("""COMPUTED_VALUE"""),0.24646185185185185)</f>
        <v>0.2464618519</v>
      </c>
      <c r="J139" s="4" t="str">
        <f>IFERROR(__xludf.DUMMYFUNCTION("""COMPUTED_VALUE"""),"")</f>
        <v/>
      </c>
      <c r="K139" s="4" t="str">
        <f>IFERROR(__xludf.DUMMYFUNCTION("""COMPUTED_VALUE"""),"")</f>
        <v/>
      </c>
      <c r="L139" s="4" t="str">
        <f>IFERROR(__xludf.DUMMYFUNCTION("""COMPUTED_VALUE"""),"")</f>
        <v/>
      </c>
      <c r="M139" s="1" t="str">
        <f>IFERROR(__xludf.DUMMYFUNCTION("""COMPUTED_VALUE"""),"RFID")</f>
        <v>RFID</v>
      </c>
      <c r="N139" s="5" t="str">
        <f>IFERROR(__xludf.DUMMYFUNCTION("""COMPUTED_VALUE"""),"")</f>
        <v/>
      </c>
      <c r="O139" s="5" t="str">
        <f>IFERROR(__xludf.DUMMYFUNCTION("""COMPUTED_VALUE"""),"")</f>
        <v/>
      </c>
      <c r="P139" s="5" t="str">
        <f>IFERROR(__xludf.DUMMYFUNCTION("""COMPUTED_VALUE"""),"")</f>
        <v/>
      </c>
      <c r="Q139" s="5" t="str">
        <f>IFERROR(__xludf.DUMMYFUNCTION("""COMPUTED_VALUE"""),"")</f>
        <v/>
      </c>
      <c r="R139" s="4" t="str">
        <f>IFERROR(__xludf.DUMMYFUNCTION("""COMPUTED_VALUE"""),"")</f>
        <v/>
      </c>
      <c r="S139" s="1" t="b">
        <f>IFERROR(__xludf.DUMMYFUNCTION("""COMPUTED_VALUE"""),FALSE)</f>
        <v>0</v>
      </c>
      <c r="T139" s="1" t="b">
        <f>IFERROR(__xludf.DUMMYFUNCTION("""COMPUTED_VALUE"""),FALSE)</f>
        <v>0</v>
      </c>
      <c r="U139" s="1" t="str">
        <f>IFERROR(__xludf.DUMMYFUNCTION("""COMPUTED_VALUE"""),"DSQ")</f>
        <v>DSQ</v>
      </c>
      <c r="V139" s="1" t="str">
        <f>IFERROR(__xludf.DUMMYFUNCTION("""COMPUTED_VALUE"""),"DSQ")</f>
        <v>DSQ</v>
      </c>
      <c r="W139" s="1" t="str">
        <f>IFERROR(__xludf.DUMMYFUNCTION("""COMPUTED_VALUE"""),"DSQ")</f>
        <v>DSQ</v>
      </c>
      <c r="X139" s="1" t="str">
        <f>IFERROR(__xludf.DUMMYFUNCTION("""COMPUTED_VALUE"""),"DSQ")</f>
        <v>DSQ</v>
      </c>
      <c r="Y139" s="2"/>
      <c r="Z139" s="2" t="str">
        <f>IFERROR(__xludf.DUMMYFUNCTION("""COMPUTED_VALUE"""),"")</f>
        <v/>
      </c>
    </row>
    <row r="140">
      <c r="A140" s="1">
        <f>IFERROR(__xludf.DUMMYFUNCTION("""COMPUTED_VALUE"""),139.0)</f>
        <v>139</v>
      </c>
      <c r="B140" s="1">
        <f>IFERROR(__xludf.DUMMYFUNCTION("""COMPUTED_VALUE"""),10429.0)</f>
        <v>10429</v>
      </c>
      <c r="C140" s="2" t="str">
        <f>IFERROR(__xludf.DUMMYFUNCTION("""COMPUTED_VALUE"""),"Dini Yuliana")</f>
        <v>Dini Yuliana</v>
      </c>
      <c r="D140" s="2" t="str">
        <f>IFERROR(__xludf.DUMMYFUNCTION("""COMPUTED_VALUE"""),"10KM OVERALL F")</f>
        <v>10KM OVERALL F</v>
      </c>
      <c r="E140" s="1">
        <f>IFERROR(__xludf.DUMMYFUNCTION("""COMPUTED_VALUE"""),1.0)</f>
        <v>1</v>
      </c>
      <c r="F140" s="1" t="str">
        <f>IFERROR(__xludf.DUMMYFUNCTION("""COMPUTED_VALUE"""),"Female")</f>
        <v>Female</v>
      </c>
      <c r="G140" s="4" t="b">
        <f>IFERROR(__xludf.DUMMYFUNCTION("""COMPUTED_VALUE"""),TRUE)</f>
        <v>1</v>
      </c>
      <c r="H140" s="4" t="b">
        <f>IFERROR(__xludf.DUMMYFUNCTION("""COMPUTED_VALUE"""),TRUE)</f>
        <v>1</v>
      </c>
      <c r="I140" s="4">
        <f>IFERROR(__xludf.DUMMYFUNCTION("""COMPUTED_VALUE"""),0.24646185185185185)</f>
        <v>0.2464618519</v>
      </c>
      <c r="J140" s="4">
        <f>IFERROR(__xludf.DUMMYFUNCTION("""COMPUTED_VALUE"""),45949.25837396065)</f>
        <v>45949.25837</v>
      </c>
      <c r="K140" s="4">
        <f>IFERROR(__xludf.DUMMYFUNCTION("""COMPUTED_VALUE"""),45949.2928776477)</f>
        <v>45949.29288</v>
      </c>
      <c r="L140" s="4">
        <f>IFERROR(__xludf.DUMMYFUNCTION("""COMPUTED_VALUE"""),45949.30300150737)</f>
        <v>45949.303</v>
      </c>
      <c r="M140" s="1" t="str">
        <f>IFERROR(__xludf.DUMMYFUNCTION("""COMPUTED_VALUE"""),"RFID")</f>
        <v>RFID</v>
      </c>
      <c r="N140" s="5">
        <f>IFERROR(__xludf.DUMMYFUNCTION("""COMPUTED_VALUE"""),0.004764842592592592)</f>
        <v>0.004764842593</v>
      </c>
      <c r="O140" s="5">
        <f>IFERROR(__xludf.DUMMYFUNCTION("""COMPUTED_VALUE"""),0.013801476851851851)</f>
        <v>0.01380147685</v>
      </c>
      <c r="P140" s="5">
        <f>IFERROR(__xludf.DUMMYFUNCTION("""COMPUTED_VALUE"""),0.004166197394635988)</f>
        <v>0.004166197395</v>
      </c>
      <c r="Q140" s="5">
        <f>IFERROR(__xludf.DUMMYFUNCTION("""COMPUTED_VALUE"""),0.005653965277777778)</f>
        <v>0.005653965278</v>
      </c>
      <c r="R140" s="4">
        <f>IFERROR(__xludf.DUMMYFUNCTION("""COMPUTED_VALUE"""),45949.05653965552)</f>
        <v>45949.05654</v>
      </c>
      <c r="S140" s="1" t="b">
        <f>IFERROR(__xludf.DUMMYFUNCTION("""COMPUTED_VALUE"""),TRUE)</f>
        <v>1</v>
      </c>
      <c r="T140" s="1" t="b">
        <f>IFERROR(__xludf.DUMMYFUNCTION("""COMPUTED_VALUE"""),FALSE)</f>
        <v>0</v>
      </c>
      <c r="U140" s="1" t="str">
        <f>IFERROR(__xludf.DUMMYFUNCTION("""COMPUTED_VALUE"""),"VALID")</f>
        <v>VALID</v>
      </c>
      <c r="V140" s="1">
        <f>IFERROR(__xludf.DUMMYFUNCTION("""COMPUTED_VALUE"""),37.0)</f>
        <v>37</v>
      </c>
      <c r="W140" s="1">
        <f>IFERROR(__xludf.DUMMYFUNCTION("""COMPUTED_VALUE"""),585.0)</f>
        <v>585</v>
      </c>
      <c r="X140" s="1">
        <f>IFERROR(__xludf.DUMMYFUNCTION("""COMPUTED_VALUE"""),637.0)</f>
        <v>637</v>
      </c>
      <c r="Y140" s="2"/>
      <c r="Z140" s="2"/>
    </row>
    <row r="141">
      <c r="A141" s="1">
        <f>IFERROR(__xludf.DUMMYFUNCTION("""COMPUTED_VALUE"""),140.0)</f>
        <v>140</v>
      </c>
      <c r="B141" s="1">
        <f>IFERROR(__xludf.DUMMYFUNCTION("""COMPUTED_VALUE"""),10445.0)</f>
        <v>10445</v>
      </c>
      <c r="C141" s="2" t="str">
        <f>IFERROR(__xludf.DUMMYFUNCTION("""COMPUTED_VALUE"""),"Selvi Lolowang")</f>
        <v>Selvi Lolowang</v>
      </c>
      <c r="D141" s="2" t="str">
        <f>IFERROR(__xludf.DUMMYFUNCTION("""COMPUTED_VALUE"""),"10KM OVERALL F")</f>
        <v>10KM OVERALL F</v>
      </c>
      <c r="E141" s="1">
        <f>IFERROR(__xludf.DUMMYFUNCTION("""COMPUTED_VALUE"""),1.0)</f>
        <v>1</v>
      </c>
      <c r="F141" s="1" t="str">
        <f>IFERROR(__xludf.DUMMYFUNCTION("""COMPUTED_VALUE"""),"Female")</f>
        <v>Female</v>
      </c>
      <c r="G141" s="4" t="b">
        <f>IFERROR(__xludf.DUMMYFUNCTION("""COMPUTED_VALUE"""),TRUE)</f>
        <v>1</v>
      </c>
      <c r="H141" s="4" t="b">
        <f>IFERROR(__xludf.DUMMYFUNCTION("""COMPUTED_VALUE"""),TRUE)</f>
        <v>1</v>
      </c>
      <c r="I141" s="4">
        <f>IFERROR(__xludf.DUMMYFUNCTION("""COMPUTED_VALUE"""),0.24646185185185185)</f>
        <v>0.2464618519</v>
      </c>
      <c r="J141" s="4">
        <f>IFERROR(__xludf.DUMMYFUNCTION("""COMPUTED_VALUE"""),45949.25849543699)</f>
        <v>45949.2585</v>
      </c>
      <c r="K141" s="4">
        <f>IFERROR(__xludf.DUMMYFUNCTION("""COMPUTED_VALUE"""),45949.29001157407)</f>
        <v>45949.29001</v>
      </c>
      <c r="L141" s="4">
        <f>IFERROR(__xludf.DUMMYFUNCTION("""COMPUTED_VALUE"""),45949.299363838225)</f>
        <v>45949.29936</v>
      </c>
      <c r="M141" s="1" t="str">
        <f>IFERROR(__xludf.DUMMYFUNCTION("""COMPUTED_VALUE"""),"RFID")</f>
        <v>RFID</v>
      </c>
      <c r="N141" s="5">
        <f>IFERROR(__xludf.DUMMYFUNCTION("""COMPUTED_VALUE"""),0.004813435185185185)</f>
        <v>0.004813435185</v>
      </c>
      <c r="O141" s="5">
        <f>IFERROR(__xludf.DUMMYFUNCTION("""COMPUTED_VALUE"""),0.012606453703703705)</f>
        <v>0.0126064537</v>
      </c>
      <c r="P141" s="5">
        <f>IFERROR(__xludf.DUMMYFUNCTION("""COMPUTED_VALUE"""),0.0038486683763728434)</f>
        <v>0.003848668376</v>
      </c>
      <c r="Q141" s="5">
        <f>IFERROR(__xludf.DUMMYFUNCTION("""COMPUTED_VALUE"""),0.005290199074074074)</f>
        <v>0.005290199074</v>
      </c>
      <c r="R141" s="4">
        <f>IFERROR(__xludf.DUMMYFUNCTION("""COMPUTED_VALUE"""),45949.052901986375)</f>
        <v>45949.0529</v>
      </c>
      <c r="S141" s="1" t="b">
        <f>IFERROR(__xludf.DUMMYFUNCTION("""COMPUTED_VALUE"""),TRUE)</f>
        <v>1</v>
      </c>
      <c r="T141" s="1" t="b">
        <f>IFERROR(__xludf.DUMMYFUNCTION("""COMPUTED_VALUE"""),FALSE)</f>
        <v>0</v>
      </c>
      <c r="U141" s="1" t="str">
        <f>IFERROR(__xludf.DUMMYFUNCTION("""COMPUTED_VALUE"""),"VALID")</f>
        <v>VALID</v>
      </c>
      <c r="V141" s="1">
        <f>IFERROR(__xludf.DUMMYFUNCTION("""COMPUTED_VALUE"""),25.0)</f>
        <v>25</v>
      </c>
      <c r="W141" s="1">
        <f>IFERROR(__xludf.DUMMYFUNCTION("""COMPUTED_VALUE"""),475.0)</f>
        <v>475</v>
      </c>
      <c r="X141" s="1">
        <f>IFERROR(__xludf.DUMMYFUNCTION("""COMPUTED_VALUE"""),611.0)</f>
        <v>611</v>
      </c>
      <c r="Y141" s="2"/>
      <c r="Z141" s="2"/>
    </row>
    <row r="142">
      <c r="A142" s="1">
        <f>IFERROR(__xludf.DUMMYFUNCTION("""COMPUTED_VALUE"""),141.0)</f>
        <v>141</v>
      </c>
      <c r="B142" s="1">
        <f>IFERROR(__xludf.DUMMYFUNCTION("""COMPUTED_VALUE"""),10446.0)</f>
        <v>10446</v>
      </c>
      <c r="C142" s="2" t="str">
        <f>IFERROR(__xludf.DUMMYFUNCTION("""COMPUTED_VALUE"""),"MARDIANA ROSYIDA")</f>
        <v>MARDIANA ROSYIDA</v>
      </c>
      <c r="D142" s="2" t="str">
        <f>IFERROR(__xludf.DUMMYFUNCTION("""COMPUTED_VALUE"""),"10KM OVERALL F")</f>
        <v>10KM OVERALL F</v>
      </c>
      <c r="E142" s="1">
        <f>IFERROR(__xludf.DUMMYFUNCTION("""COMPUTED_VALUE"""),1.0)</f>
        <v>1</v>
      </c>
      <c r="F142" s="1" t="str">
        <f>IFERROR(__xludf.DUMMYFUNCTION("""COMPUTED_VALUE"""),"Female")</f>
        <v>Female</v>
      </c>
      <c r="G142" s="4" t="b">
        <f>IFERROR(__xludf.DUMMYFUNCTION("""COMPUTED_VALUE"""),TRUE)</f>
        <v>1</v>
      </c>
      <c r="H142" s="4" t="b">
        <f>IFERROR(__xludf.DUMMYFUNCTION("""COMPUTED_VALUE"""),TRUE)</f>
        <v>1</v>
      </c>
      <c r="I142" s="4">
        <f>IFERROR(__xludf.DUMMYFUNCTION("""COMPUTED_VALUE"""),0.24646185185185185)</f>
        <v>0.2464618519</v>
      </c>
      <c r="J142" s="4">
        <f>IFERROR(__xludf.DUMMYFUNCTION("""COMPUTED_VALUE"""),45949.25845382961)</f>
        <v>45949.25845</v>
      </c>
      <c r="K142" s="4">
        <f>IFERROR(__xludf.DUMMYFUNCTION("""COMPUTED_VALUE"""),45949.28855450625)</f>
        <v>45949.28855</v>
      </c>
      <c r="L142" s="4">
        <f>IFERROR(__xludf.DUMMYFUNCTION("""COMPUTED_VALUE"""),45949.29723524415)</f>
        <v>45949.29724</v>
      </c>
      <c r="M142" s="1" t="str">
        <f>IFERROR(__xludf.DUMMYFUNCTION("""COMPUTED_VALUE"""),"RFID")</f>
        <v>RFID</v>
      </c>
      <c r="N142" s="5">
        <f>IFERROR(__xludf.DUMMYFUNCTION("""COMPUTED_VALUE"""),0.004796791666666666)</f>
        <v>0.004796791667</v>
      </c>
      <c r="O142" s="5">
        <f>IFERROR(__xludf.DUMMYFUNCTION("""COMPUTED_VALUE"""),0.012040268518518518)</f>
        <v>0.01204026852</v>
      </c>
      <c r="P142" s="5">
        <f>IFERROR(__xludf.DUMMYFUNCTION("""COMPUTED_VALUE"""),0.0035723201224365777)</f>
        <v>0.003572320122</v>
      </c>
      <c r="Q142" s="5">
        <f>IFERROR(__xludf.DUMMYFUNCTION("""COMPUTED_VALUE"""),0.00507733912037037)</f>
        <v>0.00507733912</v>
      </c>
      <c r="R142" s="4">
        <f>IFERROR(__xludf.DUMMYFUNCTION("""COMPUTED_VALUE"""),45949.0507733923)</f>
        <v>45949.05077</v>
      </c>
      <c r="S142" s="1" t="b">
        <f>IFERROR(__xludf.DUMMYFUNCTION("""COMPUTED_VALUE"""),TRUE)</f>
        <v>1</v>
      </c>
      <c r="T142" s="1" t="b">
        <f>IFERROR(__xludf.DUMMYFUNCTION("""COMPUTED_VALUE"""),FALSE)</f>
        <v>0</v>
      </c>
      <c r="U142" s="1" t="str">
        <f>IFERROR(__xludf.DUMMYFUNCTION("""COMPUTED_VALUE"""),"VALID")</f>
        <v>VALID</v>
      </c>
      <c r="V142" s="1">
        <f>IFERROR(__xludf.DUMMYFUNCTION("""COMPUTED_VALUE"""),23.0)</f>
        <v>23</v>
      </c>
      <c r="W142" s="1">
        <f>IFERROR(__xludf.DUMMYFUNCTION("""COMPUTED_VALUE"""),429.0)</f>
        <v>429</v>
      </c>
      <c r="X142" s="1">
        <f>IFERROR(__xludf.DUMMYFUNCTION("""COMPUTED_VALUE"""),603.0)</f>
        <v>603</v>
      </c>
      <c r="Y142" s="2"/>
      <c r="Z142" s="2"/>
    </row>
    <row r="143">
      <c r="A143" s="1">
        <f>IFERROR(__xludf.DUMMYFUNCTION("""COMPUTED_VALUE"""),142.0)</f>
        <v>142</v>
      </c>
      <c r="B143" s="1">
        <f>IFERROR(__xludf.DUMMYFUNCTION("""COMPUTED_VALUE"""),10455.0)</f>
        <v>10455</v>
      </c>
      <c r="C143" s="2" t="str">
        <f>IFERROR(__xludf.DUMMYFUNCTION("""COMPUTED_VALUE"""),"ELIYA")</f>
        <v>ELIYA</v>
      </c>
      <c r="D143" s="2" t="str">
        <f>IFERROR(__xludf.DUMMYFUNCTION("""COMPUTED_VALUE"""),"10KM OVERALL F")</f>
        <v>10KM OVERALL F</v>
      </c>
      <c r="E143" s="1">
        <f>IFERROR(__xludf.DUMMYFUNCTION("""COMPUTED_VALUE"""),1.0)</f>
        <v>1</v>
      </c>
      <c r="F143" s="1" t="str">
        <f>IFERROR(__xludf.DUMMYFUNCTION("""COMPUTED_VALUE"""),"Female")</f>
        <v>Female</v>
      </c>
      <c r="G143" s="4" t="b">
        <f>IFERROR(__xludf.DUMMYFUNCTION("""COMPUTED_VALUE"""),TRUE)</f>
        <v>1</v>
      </c>
      <c r="H143" s="4" t="b">
        <f>IFERROR(__xludf.DUMMYFUNCTION("""COMPUTED_VALUE"""),TRUE)</f>
        <v>1</v>
      </c>
      <c r="I143" s="4">
        <f>IFERROR(__xludf.DUMMYFUNCTION("""COMPUTED_VALUE"""),0.24646185185185185)</f>
        <v>0.2464618519</v>
      </c>
      <c r="J143" s="4">
        <f>IFERROR(__xludf.DUMMYFUNCTION("""COMPUTED_VALUE"""),45949.25798503156)</f>
        <v>45949.25799</v>
      </c>
      <c r="K143" s="4">
        <f>IFERROR(__xludf.DUMMYFUNCTION("""COMPUTED_VALUE"""),45949.28718992069)</f>
        <v>45949.28719</v>
      </c>
      <c r="L143" s="4">
        <f>IFERROR(__xludf.DUMMYFUNCTION("""COMPUTED_VALUE"""),45949.29574461763)</f>
        <v>45949.29574</v>
      </c>
      <c r="M143" s="1" t="str">
        <f>IFERROR(__xludf.DUMMYFUNCTION("""COMPUTED_VALUE"""),"RFID")</f>
        <v>RFID</v>
      </c>
      <c r="N143" s="5">
        <f>IFERROR(__xludf.DUMMYFUNCTION("""COMPUTED_VALUE"""),0.004609273148148148)</f>
        <v>0.004609273148</v>
      </c>
      <c r="O143" s="5">
        <f>IFERROR(__xludf.DUMMYFUNCTION("""COMPUTED_VALUE"""),0.011681953703703705)</f>
        <v>0.0116819537</v>
      </c>
      <c r="P143" s="5">
        <f>IFERROR(__xludf.DUMMYFUNCTION("""COMPUTED_VALUE"""),0.0035204514165249855)</f>
        <v>0.003520451417</v>
      </c>
      <c r="Q143" s="5">
        <f>IFERROR(__xludf.DUMMYFUNCTION("""COMPUTED_VALUE"""),0.00492827662037037)</f>
        <v>0.00492827662</v>
      </c>
      <c r="R143" s="4">
        <f>IFERROR(__xludf.DUMMYFUNCTION("""COMPUTED_VALUE"""),45949.04928276578)</f>
        <v>45949.04928</v>
      </c>
      <c r="S143" s="1" t="b">
        <f>IFERROR(__xludf.DUMMYFUNCTION("""COMPUTED_VALUE"""),TRUE)</f>
        <v>1</v>
      </c>
      <c r="T143" s="1" t="b">
        <f>IFERROR(__xludf.DUMMYFUNCTION("""COMPUTED_VALUE"""),FALSE)</f>
        <v>0</v>
      </c>
      <c r="U143" s="1" t="str">
        <f>IFERROR(__xludf.DUMMYFUNCTION("""COMPUTED_VALUE"""),"VALID")</f>
        <v>VALID</v>
      </c>
      <c r="V143" s="1">
        <f>IFERROR(__xludf.DUMMYFUNCTION("""COMPUTED_VALUE"""),20.0)</f>
        <v>20</v>
      </c>
      <c r="W143" s="1">
        <f>IFERROR(__xludf.DUMMYFUNCTION("""COMPUTED_VALUE"""),380.0)</f>
        <v>380</v>
      </c>
      <c r="X143" s="1">
        <f>IFERROR(__xludf.DUMMYFUNCTION("""COMPUTED_VALUE"""),591.0)</f>
        <v>591</v>
      </c>
      <c r="Y143" s="2"/>
      <c r="Z143" s="2"/>
    </row>
    <row r="144">
      <c r="A144" s="1">
        <f>IFERROR(__xludf.DUMMYFUNCTION("""COMPUTED_VALUE"""),143.0)</f>
        <v>143</v>
      </c>
      <c r="B144" s="1">
        <f>IFERROR(__xludf.DUMMYFUNCTION("""COMPUTED_VALUE"""),10462.0)</f>
        <v>10462</v>
      </c>
      <c r="C144" s="2" t="str">
        <f>IFERROR(__xludf.DUMMYFUNCTION("""COMPUTED_VALUE"""),"Alfi Saffa Ramadhan")</f>
        <v>Alfi Saffa Ramadhan</v>
      </c>
      <c r="D144" s="2" t="str">
        <f>IFERROR(__xludf.DUMMYFUNCTION("""COMPUTED_VALUE"""),"10KM OVERALL F")</f>
        <v>10KM OVERALL F</v>
      </c>
      <c r="E144" s="1">
        <f>IFERROR(__xludf.DUMMYFUNCTION("""COMPUTED_VALUE"""),1.0)</f>
        <v>1</v>
      </c>
      <c r="F144" s="1" t="str">
        <f>IFERROR(__xludf.DUMMYFUNCTION("""COMPUTED_VALUE"""),"Female")</f>
        <v>Female</v>
      </c>
      <c r="G144" s="4" t="b">
        <f>IFERROR(__xludf.DUMMYFUNCTION("""COMPUTED_VALUE"""),TRUE)</f>
        <v>1</v>
      </c>
      <c r="H144" s="4" t="b">
        <f>IFERROR(__xludf.DUMMYFUNCTION("""COMPUTED_VALUE"""),FALSE)</f>
        <v>0</v>
      </c>
      <c r="I144" s="4">
        <f>IFERROR(__xludf.DUMMYFUNCTION("""COMPUTED_VALUE"""),0.24646185185185185)</f>
        <v>0.2464618519</v>
      </c>
      <c r="J144" s="4">
        <f>IFERROR(__xludf.DUMMYFUNCTION("""COMPUTED_VALUE"""),45949.25446767754)</f>
        <v>45949.25447</v>
      </c>
      <c r="K144" s="4">
        <f>IFERROR(__xludf.DUMMYFUNCTION("""COMPUTED_VALUE"""),45949.277703074105)</f>
        <v>45949.2777</v>
      </c>
      <c r="L144" s="4">
        <f>IFERROR(__xludf.DUMMYFUNCTION("""COMPUTED_VALUE"""),45949.28467865733)</f>
        <v>45949.28468</v>
      </c>
      <c r="M144" s="1" t="str">
        <f>IFERROR(__xludf.DUMMYFUNCTION("""COMPUTED_VALUE"""),"RFID")</f>
        <v>RFID</v>
      </c>
      <c r="N144" s="5">
        <f>IFERROR(__xludf.DUMMYFUNCTION("""COMPUTED_VALUE"""),0.0032023287037037038)</f>
        <v>0.003202328704</v>
      </c>
      <c r="O144" s="5">
        <f>IFERROR(__xludf.DUMMYFUNCTION("""COMPUTED_VALUE"""),0.009294157407407407)</f>
        <v>0.009294157407</v>
      </c>
      <c r="P144" s="5">
        <f>IFERROR(__xludf.DUMMYFUNCTION("""COMPUTED_VALUE"""),0.0028706103797576585)</f>
        <v>0.00287061038</v>
      </c>
      <c r="Q144" s="5">
        <f>IFERROR(__xludf.DUMMYFUNCTION("""COMPUTED_VALUE"""),0.003821680555555555)</f>
        <v>0.003821680556</v>
      </c>
      <c r="R144" s="4">
        <f>IFERROR(__xludf.DUMMYFUNCTION("""COMPUTED_VALUE"""),45949.03821680548)</f>
        <v>45949.03822</v>
      </c>
      <c r="S144" s="1" t="b">
        <f>IFERROR(__xludf.DUMMYFUNCTION("""COMPUTED_VALUE"""),TRUE)</f>
        <v>1</v>
      </c>
      <c r="T144" s="1" t="b">
        <f>IFERROR(__xludf.DUMMYFUNCTION("""COMPUTED_VALUE"""),FALSE)</f>
        <v>0</v>
      </c>
      <c r="U144" s="1" t="str">
        <f>IFERROR(__xludf.DUMMYFUNCTION("""COMPUTED_VALUE"""),"VALID")</f>
        <v>VALID</v>
      </c>
      <c r="V144" s="1">
        <f>IFERROR(__xludf.DUMMYFUNCTION("""COMPUTED_VALUE"""),3.0)</f>
        <v>3</v>
      </c>
      <c r="W144" s="1">
        <f>IFERROR(__xludf.DUMMYFUNCTION("""COMPUTED_VALUE"""),87.0)</f>
        <v>87</v>
      </c>
      <c r="X144" s="1">
        <f>IFERROR(__xludf.DUMMYFUNCTION("""COMPUTED_VALUE"""),316.0)</f>
        <v>316</v>
      </c>
      <c r="Y144" s="2"/>
      <c r="Z144" s="2"/>
    </row>
    <row r="145">
      <c r="A145" s="1">
        <f>IFERROR(__xludf.DUMMYFUNCTION("""COMPUTED_VALUE"""),144.0)</f>
        <v>144</v>
      </c>
      <c r="B145" s="1">
        <f>IFERROR(__xludf.DUMMYFUNCTION("""COMPUTED_VALUE"""),10467.0)</f>
        <v>10467</v>
      </c>
      <c r="C145" s="2" t="str">
        <f>IFERROR(__xludf.DUMMYFUNCTION("""COMPUTED_VALUE"""),"Sasmita")</f>
        <v>Sasmita</v>
      </c>
      <c r="D145" s="2" t="str">
        <f>IFERROR(__xludf.DUMMYFUNCTION("""COMPUTED_VALUE"""),"10KM OVERALL F")</f>
        <v>10KM OVERALL F</v>
      </c>
      <c r="E145" s="1">
        <f>IFERROR(__xludf.DUMMYFUNCTION("""COMPUTED_VALUE"""),1.0)</f>
        <v>1</v>
      </c>
      <c r="F145" s="1" t="str">
        <f>IFERROR(__xludf.DUMMYFUNCTION("""COMPUTED_VALUE"""),"Female")</f>
        <v>Female</v>
      </c>
      <c r="G145" s="4" t="b">
        <f>IFERROR(__xludf.DUMMYFUNCTION("""COMPUTED_VALUE"""),TRUE)</f>
        <v>1</v>
      </c>
      <c r="H145" s="4" t="b">
        <f>IFERROR(__xludf.DUMMYFUNCTION("""COMPUTED_VALUE"""),FALSE)</f>
        <v>0</v>
      </c>
      <c r="I145" s="4">
        <f>IFERROR(__xludf.DUMMYFUNCTION("""COMPUTED_VALUE"""),0.24646185185185185)</f>
        <v>0.2464618519</v>
      </c>
      <c r="J145" s="4">
        <f>IFERROR(__xludf.DUMMYFUNCTION("""COMPUTED_VALUE"""),45949.26117600855)</f>
        <v>45949.26118</v>
      </c>
      <c r="K145" s="4">
        <f>IFERROR(__xludf.DUMMYFUNCTION("""COMPUTED_VALUE"""),45949.293384545745)</f>
        <v>45949.29338</v>
      </c>
      <c r="L145" s="4">
        <f>IFERROR(__xludf.DUMMYFUNCTION("""COMPUTED_VALUE"""),45949.30242859655)</f>
        <v>45949.30243</v>
      </c>
      <c r="M145" s="1" t="str">
        <f>IFERROR(__xludf.DUMMYFUNCTION("""COMPUTED_VALUE"""),"RFID")</f>
        <v>RFID</v>
      </c>
      <c r="N145" s="5">
        <f>IFERROR(__xludf.DUMMYFUNCTION("""COMPUTED_VALUE"""),0.005885662037037038)</f>
        <v>0.005885662037</v>
      </c>
      <c r="O145" s="5">
        <f>IFERROR(__xludf.DUMMYFUNCTION("""COMPUTED_VALUE"""),0.012883416666666666)</f>
        <v>0.01288341667</v>
      </c>
      <c r="P145" s="5">
        <f>IFERROR(__xludf.DUMMYFUNCTION("""COMPUTED_VALUE"""),0.003721831607634255)</f>
        <v>0.003721831608</v>
      </c>
      <c r="Q145" s="5">
        <f>IFERROR(__xludf.DUMMYFUNCTION("""COMPUTED_VALUE"""),0.005596674768518518)</f>
        <v>0.005596674769</v>
      </c>
      <c r="R145" s="4">
        <f>IFERROR(__xludf.DUMMYFUNCTION("""COMPUTED_VALUE"""),45949.0559667447)</f>
        <v>45949.05597</v>
      </c>
      <c r="S145" s="1" t="b">
        <f>IFERROR(__xludf.DUMMYFUNCTION("""COMPUTED_VALUE"""),TRUE)</f>
        <v>1</v>
      </c>
      <c r="T145" s="1" t="b">
        <f>IFERROR(__xludf.DUMMYFUNCTION("""COMPUTED_VALUE"""),FALSE)</f>
        <v>0</v>
      </c>
      <c r="U145" s="1" t="str">
        <f>IFERROR(__xludf.DUMMYFUNCTION("""COMPUTED_VALUE"""),"VALID")</f>
        <v>VALID</v>
      </c>
      <c r="V145" s="1">
        <f>IFERROR(__xludf.DUMMYFUNCTION("""COMPUTED_VALUE"""),35.0)</f>
        <v>35</v>
      </c>
      <c r="W145" s="1">
        <f>IFERROR(__xludf.DUMMYFUNCTION("""COMPUTED_VALUE"""),575.0)</f>
        <v>575</v>
      </c>
      <c r="X145" s="1">
        <f>IFERROR(__xludf.DUMMYFUNCTION("""COMPUTED_VALUE"""),635.0)</f>
        <v>635</v>
      </c>
      <c r="Y145" s="2"/>
      <c r="Z145" s="2"/>
    </row>
    <row r="146">
      <c r="A146" s="1">
        <f>IFERROR(__xludf.DUMMYFUNCTION("""COMPUTED_VALUE"""),145.0)</f>
        <v>145</v>
      </c>
      <c r="B146" s="1">
        <f>IFERROR(__xludf.DUMMYFUNCTION("""COMPUTED_VALUE"""),10480.0)</f>
        <v>10480</v>
      </c>
      <c r="C146" s="2" t="str">
        <f>IFERROR(__xludf.DUMMYFUNCTION("""COMPUTED_VALUE"""),"bytebabe")</f>
        <v>bytebabe</v>
      </c>
      <c r="D146" s="2" t="str">
        <f>IFERROR(__xludf.DUMMYFUNCTION("""COMPUTED_VALUE"""),"10KM OVERALL F")</f>
        <v>10KM OVERALL F</v>
      </c>
      <c r="E146" s="1">
        <f>IFERROR(__xludf.DUMMYFUNCTION("""COMPUTED_VALUE"""),1.0)</f>
        <v>1</v>
      </c>
      <c r="F146" s="1" t="str">
        <f>IFERROR(__xludf.DUMMYFUNCTION("""COMPUTED_VALUE"""),"Female")</f>
        <v>Female</v>
      </c>
      <c r="G146" s="4" t="b">
        <f>IFERROR(__xludf.DUMMYFUNCTION("""COMPUTED_VALUE"""),TRUE)</f>
        <v>1</v>
      </c>
      <c r="H146" s="4" t="b">
        <f>IFERROR(__xludf.DUMMYFUNCTION("""COMPUTED_VALUE"""),TRUE)</f>
        <v>1</v>
      </c>
      <c r="I146" s="4">
        <f>IFERROR(__xludf.DUMMYFUNCTION("""COMPUTED_VALUE"""),0.24646185185185185)</f>
        <v>0.2464618519</v>
      </c>
      <c r="J146" s="4">
        <f>IFERROR(__xludf.DUMMYFUNCTION("""COMPUTED_VALUE"""),45949.258857122964)</f>
        <v>45949.25886</v>
      </c>
      <c r="K146" s="4">
        <f>IFERROR(__xludf.DUMMYFUNCTION("""COMPUTED_VALUE"""),45949.29499572436)</f>
        <v>45949.295</v>
      </c>
      <c r="L146" s="4">
        <f>IFERROR(__xludf.DUMMYFUNCTION("""COMPUTED_VALUE"""),45949.30504369657)</f>
        <v>45949.30504</v>
      </c>
      <c r="M146" s="1" t="str">
        <f>IFERROR(__xludf.DUMMYFUNCTION("""COMPUTED_VALUE"""),"RFID")</f>
        <v>RFID</v>
      </c>
      <c r="N146" s="5">
        <f>IFERROR(__xludf.DUMMYFUNCTION("""COMPUTED_VALUE"""),0.004958106481481482)</f>
        <v>0.004958106481</v>
      </c>
      <c r="O146" s="5">
        <f>IFERROR(__xludf.DUMMYFUNCTION("""COMPUTED_VALUE"""),0.014455439814814817)</f>
        <v>0.01445543981</v>
      </c>
      <c r="P146" s="5">
        <f>IFERROR(__xludf.DUMMYFUNCTION("""COMPUTED_VALUE"""),0.00413496798748024)</f>
        <v>0.004134967987</v>
      </c>
      <c r="Q146" s="5">
        <f>IFERROR(__xludf.DUMMYFUNCTION("""COMPUTED_VALUE"""),0.005858184027777777)</f>
        <v>0.005858184028</v>
      </c>
      <c r="R146" s="4">
        <f>IFERROR(__xludf.DUMMYFUNCTION("""COMPUTED_VALUE"""),45949.05858184472)</f>
        <v>45949.05858</v>
      </c>
      <c r="S146" s="1" t="b">
        <f>IFERROR(__xludf.DUMMYFUNCTION("""COMPUTED_VALUE"""),TRUE)</f>
        <v>1</v>
      </c>
      <c r="T146" s="1" t="b">
        <f>IFERROR(__xludf.DUMMYFUNCTION("""COMPUTED_VALUE"""),FALSE)</f>
        <v>0</v>
      </c>
      <c r="U146" s="1" t="str">
        <f>IFERROR(__xludf.DUMMYFUNCTION("""COMPUTED_VALUE"""),"VALID")</f>
        <v>VALID</v>
      </c>
      <c r="V146" s="1">
        <f>IFERROR(__xludf.DUMMYFUNCTION("""COMPUTED_VALUE"""),43.0)</f>
        <v>43</v>
      </c>
      <c r="W146" s="1">
        <f>IFERROR(__xludf.DUMMYFUNCTION("""COMPUTED_VALUE"""),629.0)</f>
        <v>629</v>
      </c>
      <c r="X146" s="1">
        <f>IFERROR(__xludf.DUMMYFUNCTION("""COMPUTED_VALUE"""),648.0)</f>
        <v>648</v>
      </c>
      <c r="Y146" s="2"/>
      <c r="Z146" s="2"/>
    </row>
    <row r="147">
      <c r="A147" s="1">
        <f>IFERROR(__xludf.DUMMYFUNCTION("""COMPUTED_VALUE"""),146.0)</f>
        <v>146</v>
      </c>
      <c r="B147" s="1">
        <f>IFERROR(__xludf.DUMMYFUNCTION("""COMPUTED_VALUE"""),10482.0)</f>
        <v>10482</v>
      </c>
      <c r="C147" s="2" t="str">
        <f>IFERROR(__xludf.DUMMYFUNCTION("""COMPUTED_VALUE"""),"Vianne")</f>
        <v>Vianne</v>
      </c>
      <c r="D147" s="2" t="str">
        <f>IFERROR(__xludf.DUMMYFUNCTION("""COMPUTED_VALUE"""),"10KM OVERALL F")</f>
        <v>10KM OVERALL F</v>
      </c>
      <c r="E147" s="1">
        <f>IFERROR(__xludf.DUMMYFUNCTION("""COMPUTED_VALUE"""),1.0)</f>
        <v>1</v>
      </c>
      <c r="F147" s="1" t="str">
        <f>IFERROR(__xludf.DUMMYFUNCTION("""COMPUTED_VALUE"""),"Female")</f>
        <v>Female</v>
      </c>
      <c r="G147" s="4" t="str">
        <f>IFERROR(__xludf.DUMMYFUNCTION("""COMPUTED_VALUE"""),"")</f>
        <v/>
      </c>
      <c r="H147" s="4" t="b">
        <f>IFERROR(__xludf.DUMMYFUNCTION("""COMPUTED_VALUE"""),TRUE)</f>
        <v>1</v>
      </c>
      <c r="I147" s="4">
        <f>IFERROR(__xludf.DUMMYFUNCTION("""COMPUTED_VALUE"""),0.24646185185185185)</f>
        <v>0.2464618519</v>
      </c>
      <c r="J147" s="4">
        <f>IFERROR(__xludf.DUMMYFUNCTION("""COMPUTED_VALUE"""),45949.27208918249)</f>
        <v>45949.27209</v>
      </c>
      <c r="K147" s="4" t="str">
        <f>IFERROR(__xludf.DUMMYFUNCTION("""COMPUTED_VALUE"""),"")</f>
        <v/>
      </c>
      <c r="L147" s="4">
        <f>IFERROR(__xludf.DUMMYFUNCTION("""COMPUTED_VALUE"""),45949.29094948108)</f>
        <v>45949.29095</v>
      </c>
      <c r="M147" s="1" t="str">
        <f>IFERROR(__xludf.DUMMYFUNCTION("""COMPUTED_VALUE"""),"RFID")</f>
        <v>RFID</v>
      </c>
      <c r="N147" s="5">
        <f>IFERROR(__xludf.DUMMYFUNCTION("""COMPUTED_VALUE"""),0.010250930555555555)</f>
        <v>0.01025093056</v>
      </c>
      <c r="O147" s="5" t="str">
        <f>IFERROR(__xludf.DUMMYFUNCTION("""COMPUTED_VALUE"""),"")</f>
        <v/>
      </c>
      <c r="P147" s="5" t="str">
        <f>IFERROR(__xludf.DUMMYFUNCTION("""COMPUTED_VALUE"""),"")</f>
        <v/>
      </c>
      <c r="Q147" s="5">
        <f>IFERROR(__xludf.DUMMYFUNCTION("""COMPUTED_VALUE"""),0.0044487627314814815)</f>
        <v>0.004448762731</v>
      </c>
      <c r="R147" s="4">
        <f>IFERROR(__xludf.DUMMYFUNCTION("""COMPUTED_VALUE"""),45949.04448762923)</f>
        <v>45949.04449</v>
      </c>
      <c r="S147" s="1" t="b">
        <f>IFERROR(__xludf.DUMMYFUNCTION("""COMPUTED_VALUE"""),TRUE)</f>
        <v>1</v>
      </c>
      <c r="T147" s="1" t="b">
        <f>IFERROR(__xludf.DUMMYFUNCTION("""COMPUTED_VALUE"""),FALSE)</f>
        <v>0</v>
      </c>
      <c r="U147" s="1" t="str">
        <f>IFERROR(__xludf.DUMMYFUNCTION("""COMPUTED_VALUE"""),"VALID")</f>
        <v>VALID</v>
      </c>
      <c r="V147" s="1">
        <f>IFERROR(__xludf.DUMMYFUNCTION("""COMPUTED_VALUE"""),12.0)</f>
        <v>12</v>
      </c>
      <c r="W147" s="1">
        <f>IFERROR(__xludf.DUMMYFUNCTION("""COMPUTED_VALUE"""),243.0)</f>
        <v>243</v>
      </c>
      <c r="X147" s="1">
        <f>IFERROR(__xludf.DUMMYFUNCTION("""COMPUTED_VALUE"""),499.0)</f>
        <v>499</v>
      </c>
      <c r="Y147" s="2"/>
      <c r="Z147" s="2"/>
    </row>
    <row r="148">
      <c r="A148" s="1">
        <f>IFERROR(__xludf.DUMMYFUNCTION("""COMPUTED_VALUE"""),147.0)</f>
        <v>147</v>
      </c>
      <c r="B148" s="1">
        <f>IFERROR(__xludf.DUMMYFUNCTION("""COMPUTED_VALUE"""),10500.0)</f>
        <v>10500</v>
      </c>
      <c r="C148" s="2" t="str">
        <f>IFERROR(__xludf.DUMMYFUNCTION("""COMPUTED_VALUE"""),"Fau")</f>
        <v>Fau</v>
      </c>
      <c r="D148" s="2" t="str">
        <f>IFERROR(__xludf.DUMMYFUNCTION("""COMPUTED_VALUE"""),"10KM OVERALL F")</f>
        <v>10KM OVERALL F</v>
      </c>
      <c r="E148" s="1">
        <f>IFERROR(__xludf.DUMMYFUNCTION("""COMPUTED_VALUE"""),1.0)</f>
        <v>1</v>
      </c>
      <c r="F148" s="1" t="str">
        <f>IFERROR(__xludf.DUMMYFUNCTION("""COMPUTED_VALUE"""),"Female")</f>
        <v>Female</v>
      </c>
      <c r="G148" s="4" t="b">
        <f>IFERROR(__xludf.DUMMYFUNCTION("""COMPUTED_VALUE"""),TRUE)</f>
        <v>1</v>
      </c>
      <c r="H148" s="4" t="b">
        <f>IFERROR(__xludf.DUMMYFUNCTION("""COMPUTED_VALUE"""),TRUE)</f>
        <v>1</v>
      </c>
      <c r="I148" s="4">
        <f>IFERROR(__xludf.DUMMYFUNCTION("""COMPUTED_VALUE"""),0.24646185185185185)</f>
        <v>0.2464618519</v>
      </c>
      <c r="J148" s="4">
        <f>IFERROR(__xludf.DUMMYFUNCTION("""COMPUTED_VALUE"""),45949.25941210137)</f>
        <v>45949.25941</v>
      </c>
      <c r="K148" s="4">
        <f>IFERROR(__xludf.DUMMYFUNCTION("""COMPUTED_VALUE"""),45949.29505815786)</f>
        <v>45949.29506</v>
      </c>
      <c r="L148" s="4">
        <f>IFERROR(__xludf.DUMMYFUNCTION("""COMPUTED_VALUE"""),45949.305730740445)</f>
        <v>45949.30573</v>
      </c>
      <c r="M148" s="1" t="str">
        <f>IFERROR(__xludf.DUMMYFUNCTION("""COMPUTED_VALUE"""),"RFID")</f>
        <v>RFID</v>
      </c>
      <c r="N148" s="5">
        <f>IFERROR(__xludf.DUMMYFUNCTION("""COMPUTED_VALUE"""),0.0051801018518518515)</f>
        <v>0.005180101852</v>
      </c>
      <c r="O148" s="5">
        <f>IFERROR(__xludf.DUMMYFUNCTION("""COMPUTED_VALUE"""),0.014258421296296295)</f>
        <v>0.0142584213</v>
      </c>
      <c r="P148" s="5">
        <f>IFERROR(__xludf.DUMMYFUNCTION("""COMPUTED_VALUE"""),0.0043920092932628885)</f>
        <v>0.004392009293</v>
      </c>
      <c r="Q148" s="5">
        <f>IFERROR(__xludf.DUMMYFUNCTION("""COMPUTED_VALUE"""),0.0059268888888888895)</f>
        <v>0.005926888889</v>
      </c>
      <c r="R148" s="4">
        <f>IFERROR(__xludf.DUMMYFUNCTION("""COMPUTED_VALUE"""),45949.059268888595)</f>
        <v>45949.05927</v>
      </c>
      <c r="S148" s="1" t="b">
        <f>IFERROR(__xludf.DUMMYFUNCTION("""COMPUTED_VALUE"""),TRUE)</f>
        <v>1</v>
      </c>
      <c r="T148" s="1" t="b">
        <f>IFERROR(__xludf.DUMMYFUNCTION("""COMPUTED_VALUE"""),FALSE)</f>
        <v>0</v>
      </c>
      <c r="U148" s="1" t="str">
        <f>IFERROR(__xludf.DUMMYFUNCTION("""COMPUTED_VALUE"""),"VALID")</f>
        <v>VALID</v>
      </c>
      <c r="V148" s="1">
        <f>IFERROR(__xludf.DUMMYFUNCTION("""COMPUTED_VALUE"""),46.0)</f>
        <v>46</v>
      </c>
      <c r="W148" s="1">
        <f>IFERROR(__xludf.DUMMYFUNCTION("""COMPUTED_VALUE"""),641.0)</f>
        <v>641</v>
      </c>
      <c r="X148" s="1">
        <f>IFERROR(__xludf.DUMMYFUNCTION("""COMPUTED_VALUE"""),652.0)</f>
        <v>652</v>
      </c>
      <c r="Y148" s="2"/>
      <c r="Z148" s="2"/>
    </row>
    <row r="149">
      <c r="A149" s="1">
        <f>IFERROR(__xludf.DUMMYFUNCTION("""COMPUTED_VALUE"""),148.0)</f>
        <v>148</v>
      </c>
      <c r="B149" s="1">
        <f>IFERROR(__xludf.DUMMYFUNCTION("""COMPUTED_VALUE"""),10514.0)</f>
        <v>10514</v>
      </c>
      <c r="C149" s="2" t="str">
        <f>IFERROR(__xludf.DUMMYFUNCTION("""COMPUTED_VALUE"""),"Rafi")</f>
        <v>Rafi</v>
      </c>
      <c r="D149" s="2" t="str">
        <f>IFERROR(__xludf.DUMMYFUNCTION("""COMPUTED_VALUE"""),"10KM OVERALL F")</f>
        <v>10KM OVERALL F</v>
      </c>
      <c r="E149" s="1">
        <f>IFERROR(__xludf.DUMMYFUNCTION("""COMPUTED_VALUE"""),1.0)</f>
        <v>1</v>
      </c>
      <c r="F149" s="1" t="str">
        <f>IFERROR(__xludf.DUMMYFUNCTION("""COMPUTED_VALUE"""),"Female")</f>
        <v>Female</v>
      </c>
      <c r="G149" s="4" t="b">
        <f>IFERROR(__xludf.DUMMYFUNCTION("""COMPUTED_VALUE"""),TRUE)</f>
        <v>1</v>
      </c>
      <c r="H149" s="4" t="b">
        <f>IFERROR(__xludf.DUMMYFUNCTION("""COMPUTED_VALUE"""),FALSE)</f>
        <v>0</v>
      </c>
      <c r="I149" s="4">
        <f>IFERROR(__xludf.DUMMYFUNCTION("""COMPUTED_VALUE"""),0.24646185185185185)</f>
        <v>0.2464618519</v>
      </c>
      <c r="J149" s="4">
        <f>IFERROR(__xludf.DUMMYFUNCTION("""COMPUTED_VALUE"""),45949.25983223948)</f>
        <v>45949.25983</v>
      </c>
      <c r="K149" s="4">
        <f>IFERROR(__xludf.DUMMYFUNCTION("""COMPUTED_VALUE"""),45949.29234984076)</f>
        <v>45949.29235</v>
      </c>
      <c r="L149" s="4">
        <f>IFERROR(__xludf.DUMMYFUNCTION("""COMPUTED_VALUE"""),45949.30130017801)</f>
        <v>45949.3013</v>
      </c>
      <c r="M149" s="1" t="str">
        <f>IFERROR(__xludf.DUMMYFUNCTION("""COMPUTED_VALUE"""),"RFID")</f>
        <v>RFID</v>
      </c>
      <c r="N149" s="5">
        <f>IFERROR(__xludf.DUMMYFUNCTION("""COMPUTED_VALUE"""),0.005348152777777778)</f>
        <v>0.005348152778</v>
      </c>
      <c r="O149" s="5">
        <f>IFERROR(__xludf.DUMMYFUNCTION("""COMPUTED_VALUE"""),0.013007041666666668)</f>
        <v>0.01300704167</v>
      </c>
      <c r="P149" s="5">
        <f>IFERROR(__xludf.DUMMYFUNCTION("""COMPUTED_VALUE"""),0.003683266358439515)</f>
        <v>0.003683266358</v>
      </c>
      <c r="Q149" s="5">
        <f>IFERROR(__xludf.DUMMYFUNCTION("""COMPUTED_VALUE"""),0.005483832175925926)</f>
        <v>0.005483832176</v>
      </c>
      <c r="R149" s="4">
        <f>IFERROR(__xludf.DUMMYFUNCTION("""COMPUTED_VALUE"""),45949.05483832616)</f>
        <v>45949.05484</v>
      </c>
      <c r="S149" s="1" t="b">
        <f>IFERROR(__xludf.DUMMYFUNCTION("""COMPUTED_VALUE"""),TRUE)</f>
        <v>1</v>
      </c>
      <c r="T149" s="1" t="b">
        <f>IFERROR(__xludf.DUMMYFUNCTION("""COMPUTED_VALUE"""),FALSE)</f>
        <v>0</v>
      </c>
      <c r="U149" s="1" t="str">
        <f>IFERROR(__xludf.DUMMYFUNCTION("""COMPUTED_VALUE"""),"VALID")</f>
        <v>VALID</v>
      </c>
      <c r="V149" s="1">
        <f>IFERROR(__xludf.DUMMYFUNCTION("""COMPUTED_VALUE"""),33.0)</f>
        <v>33</v>
      </c>
      <c r="W149" s="1">
        <f>IFERROR(__xludf.DUMMYFUNCTION("""COMPUTED_VALUE"""),548.0)</f>
        <v>548</v>
      </c>
      <c r="X149" s="1">
        <f>IFERROR(__xludf.DUMMYFUNCTION("""COMPUTED_VALUE"""),631.0)</f>
        <v>631</v>
      </c>
      <c r="Y149" s="2"/>
      <c r="Z149" s="2"/>
    </row>
    <row r="150">
      <c r="A150" s="1">
        <f>IFERROR(__xludf.DUMMYFUNCTION("""COMPUTED_VALUE"""),149.0)</f>
        <v>149</v>
      </c>
      <c r="B150" s="1">
        <f>IFERROR(__xludf.DUMMYFUNCTION("""COMPUTED_VALUE"""),10533.0)</f>
        <v>10533</v>
      </c>
      <c r="C150" s="2" t="str">
        <f>IFERROR(__xludf.DUMMYFUNCTION("""COMPUTED_VALUE"""),"Mila")</f>
        <v>Mila</v>
      </c>
      <c r="D150" s="2" t="str">
        <f>IFERROR(__xludf.DUMMYFUNCTION("""COMPUTED_VALUE"""),"10KM OVERALL F")</f>
        <v>10KM OVERALL F</v>
      </c>
      <c r="E150" s="1">
        <f>IFERROR(__xludf.DUMMYFUNCTION("""COMPUTED_VALUE"""),1.0)</f>
        <v>1</v>
      </c>
      <c r="F150" s="1" t="str">
        <f>IFERROR(__xludf.DUMMYFUNCTION("""COMPUTED_VALUE"""),"Female")</f>
        <v>Female</v>
      </c>
      <c r="G150" s="4" t="b">
        <f>IFERROR(__xludf.DUMMYFUNCTION("""COMPUTED_VALUE"""),TRUE)</f>
        <v>1</v>
      </c>
      <c r="H150" s="4" t="b">
        <f>IFERROR(__xludf.DUMMYFUNCTION("""COMPUTED_VALUE"""),TRUE)</f>
        <v>1</v>
      </c>
      <c r="I150" s="4">
        <f>IFERROR(__xludf.DUMMYFUNCTION("""COMPUTED_VALUE"""),0.24646185185185185)</f>
        <v>0.2464618519</v>
      </c>
      <c r="J150" s="4">
        <f>IFERROR(__xludf.DUMMYFUNCTION("""COMPUTED_VALUE"""),45949.25982883161)</f>
        <v>45949.25983</v>
      </c>
      <c r="K150" s="4">
        <f>IFERROR(__xludf.DUMMYFUNCTION("""COMPUTED_VALUE"""),45949.2941068117)</f>
        <v>45949.29411</v>
      </c>
      <c r="L150" s="4">
        <f>IFERROR(__xludf.DUMMYFUNCTION("""COMPUTED_VALUE"""),45949.30407794869)</f>
        <v>45949.30408</v>
      </c>
      <c r="M150" s="1" t="str">
        <f>IFERROR(__xludf.DUMMYFUNCTION("""COMPUTED_VALUE"""),"RFID")</f>
        <v>RFID</v>
      </c>
      <c r="N150" s="5">
        <f>IFERROR(__xludf.DUMMYFUNCTION("""COMPUTED_VALUE"""),0.005346791666666666)</f>
        <v>0.005346791667</v>
      </c>
      <c r="O150" s="5">
        <f>IFERROR(__xludf.DUMMYFUNCTION("""COMPUTED_VALUE"""),0.013711189814814817)</f>
        <v>0.01371118981</v>
      </c>
      <c r="P150" s="5">
        <f>IFERROR(__xludf.DUMMYFUNCTION("""COMPUTED_VALUE"""),0.004103348556059937)</f>
        <v>0.004103348556</v>
      </c>
      <c r="Q150" s="5">
        <f>IFERROR(__xludf.DUMMYFUNCTION("""COMPUTED_VALUE"""),0.005761609953703704)</f>
        <v>0.005761609954</v>
      </c>
      <c r="R150" s="4">
        <f>IFERROR(__xludf.DUMMYFUNCTION("""COMPUTED_VALUE"""),45949.05761609684)</f>
        <v>45949.05762</v>
      </c>
      <c r="S150" s="1" t="b">
        <f>IFERROR(__xludf.DUMMYFUNCTION("""COMPUTED_VALUE"""),TRUE)</f>
        <v>1</v>
      </c>
      <c r="T150" s="1" t="b">
        <f>IFERROR(__xludf.DUMMYFUNCTION("""COMPUTED_VALUE"""),FALSE)</f>
        <v>0</v>
      </c>
      <c r="U150" s="1" t="str">
        <f>IFERROR(__xludf.DUMMYFUNCTION("""COMPUTED_VALUE"""),"VALID")</f>
        <v>VALID</v>
      </c>
      <c r="V150" s="1">
        <f>IFERROR(__xludf.DUMMYFUNCTION("""COMPUTED_VALUE"""),41.0)</f>
        <v>41</v>
      </c>
      <c r="W150" s="1">
        <f>IFERROR(__xludf.DUMMYFUNCTION("""COMPUTED_VALUE"""),615.0)</f>
        <v>615</v>
      </c>
      <c r="X150" s="1">
        <f>IFERROR(__xludf.DUMMYFUNCTION("""COMPUTED_VALUE"""),644.0)</f>
        <v>644</v>
      </c>
      <c r="Y150" s="2"/>
      <c r="Z150" s="2"/>
    </row>
    <row r="151">
      <c r="A151" s="1">
        <f>IFERROR(__xludf.DUMMYFUNCTION("""COMPUTED_VALUE"""),150.0)</f>
        <v>150</v>
      </c>
      <c r="B151" s="1">
        <f>IFERROR(__xludf.DUMMYFUNCTION("""COMPUTED_VALUE"""),10549.0)</f>
        <v>10549</v>
      </c>
      <c r="C151" s="2" t="str">
        <f>IFERROR(__xludf.DUMMYFUNCTION("""COMPUTED_VALUE"""),"MIA")</f>
        <v>MIA</v>
      </c>
      <c r="D151" s="2" t="str">
        <f>IFERROR(__xludf.DUMMYFUNCTION("""COMPUTED_VALUE"""),"10KM OVERALL F")</f>
        <v>10KM OVERALL F</v>
      </c>
      <c r="E151" s="1">
        <f>IFERROR(__xludf.DUMMYFUNCTION("""COMPUTED_VALUE"""),1.0)</f>
        <v>1</v>
      </c>
      <c r="F151" s="1" t="str">
        <f>IFERROR(__xludf.DUMMYFUNCTION("""COMPUTED_VALUE"""),"Female")</f>
        <v>Female</v>
      </c>
      <c r="G151" s="4" t="b">
        <f>IFERROR(__xludf.DUMMYFUNCTION("""COMPUTED_VALUE"""),TRUE)</f>
        <v>1</v>
      </c>
      <c r="H151" s="4" t="b">
        <f>IFERROR(__xludf.DUMMYFUNCTION("""COMPUTED_VALUE"""),TRUE)</f>
        <v>1</v>
      </c>
      <c r="I151" s="4">
        <f>IFERROR(__xludf.DUMMYFUNCTION("""COMPUTED_VALUE"""),0.24646185185185185)</f>
        <v>0.2464618519</v>
      </c>
      <c r="J151" s="4">
        <f>IFERROR(__xludf.DUMMYFUNCTION("""COMPUTED_VALUE"""),45949.26330793699)</f>
        <v>45949.26331</v>
      </c>
      <c r="K151" s="4">
        <f>IFERROR(__xludf.DUMMYFUNCTION("""COMPUTED_VALUE"""),45949.30458940418)</f>
        <v>45949.30459</v>
      </c>
      <c r="L151" s="4">
        <f>IFERROR(__xludf.DUMMYFUNCTION("""COMPUTED_VALUE"""),45949.31689391954)</f>
        <v>45949.31689</v>
      </c>
      <c r="M151" s="1" t="str">
        <f>IFERROR(__xludf.DUMMYFUNCTION("""COMPUTED_VALUE"""),"RFID")</f>
        <v>RFID</v>
      </c>
      <c r="N151" s="5">
        <f>IFERROR(__xludf.DUMMYFUNCTION("""COMPUTED_VALUE"""),0.006738435185185185)</f>
        <v>0.006738435185</v>
      </c>
      <c r="O151" s="5">
        <f>IFERROR(__xludf.DUMMYFUNCTION("""COMPUTED_VALUE"""),0.01651258796296296)</f>
        <v>0.01651258796</v>
      </c>
      <c r="P151" s="5">
        <f>IFERROR(__xludf.DUMMYFUNCTION("""COMPUTED_VALUE"""),0.0050635865677259246)</f>
        <v>0.005063586568</v>
      </c>
      <c r="Q151" s="5">
        <f>IFERROR(__xludf.DUMMYFUNCTION("""COMPUTED_VALUE"""),0.007043207175925927)</f>
        <v>0.007043207176</v>
      </c>
      <c r="R151" s="4">
        <f>IFERROR(__xludf.DUMMYFUNCTION("""COMPUTED_VALUE"""),45949.07043206769)</f>
        <v>45949.07043</v>
      </c>
      <c r="S151" s="1" t="b">
        <f>IFERROR(__xludf.DUMMYFUNCTION("""COMPUTED_VALUE"""),TRUE)</f>
        <v>1</v>
      </c>
      <c r="T151" s="1" t="b">
        <f>IFERROR(__xludf.DUMMYFUNCTION("""COMPUTED_VALUE"""),FALSE)</f>
        <v>0</v>
      </c>
      <c r="U151" s="1" t="str">
        <f>IFERROR(__xludf.DUMMYFUNCTION("""COMPUTED_VALUE"""),"VALID")</f>
        <v>VALID</v>
      </c>
      <c r="V151" s="1">
        <f>IFERROR(__xludf.DUMMYFUNCTION("""COMPUTED_VALUE"""),67.0)</f>
        <v>67</v>
      </c>
      <c r="W151" s="1">
        <f>IFERROR(__xludf.DUMMYFUNCTION("""COMPUTED_VALUE"""),742.0)</f>
        <v>742</v>
      </c>
      <c r="X151" s="1">
        <f>IFERROR(__xludf.DUMMYFUNCTION("""COMPUTED_VALUE"""),683.0)</f>
        <v>683</v>
      </c>
      <c r="Y151" s="2"/>
      <c r="Z151" s="2"/>
    </row>
    <row r="152">
      <c r="A152" s="1">
        <f>IFERROR(__xludf.DUMMYFUNCTION("""COMPUTED_VALUE"""),151.0)</f>
        <v>151</v>
      </c>
      <c r="B152" s="1">
        <f>IFERROR(__xludf.DUMMYFUNCTION("""COMPUTED_VALUE"""),10559.0)</f>
        <v>10559</v>
      </c>
      <c r="C152" s="2" t="str">
        <f>IFERROR(__xludf.DUMMYFUNCTION("""COMPUTED_VALUE"""),"ibunya maya fiya")</f>
        <v>ibunya maya fiya</v>
      </c>
      <c r="D152" s="2" t="str">
        <f>IFERROR(__xludf.DUMMYFUNCTION("""COMPUTED_VALUE"""),"10KM OVERALL F")</f>
        <v>10KM OVERALL F</v>
      </c>
      <c r="E152" s="1">
        <f>IFERROR(__xludf.DUMMYFUNCTION("""COMPUTED_VALUE"""),1.0)</f>
        <v>1</v>
      </c>
      <c r="F152" s="1" t="str">
        <f>IFERROR(__xludf.DUMMYFUNCTION("""COMPUTED_VALUE"""),"Female")</f>
        <v>Female</v>
      </c>
      <c r="G152" s="4" t="b">
        <f>IFERROR(__xludf.DUMMYFUNCTION("""COMPUTED_VALUE"""),TRUE)</f>
        <v>1</v>
      </c>
      <c r="H152" s="4" t="b">
        <f>IFERROR(__xludf.DUMMYFUNCTION("""COMPUTED_VALUE"""),TRUE)</f>
        <v>1</v>
      </c>
      <c r="I152" s="4">
        <f>IFERROR(__xludf.DUMMYFUNCTION("""COMPUTED_VALUE"""),0.24646185185185185)</f>
        <v>0.2464618519</v>
      </c>
      <c r="J152" s="4">
        <f>IFERROR(__xludf.DUMMYFUNCTION("""COMPUTED_VALUE"""),45949.264943369446)</f>
        <v>45949.26494</v>
      </c>
      <c r="K152" s="4">
        <f>IFERROR(__xludf.DUMMYFUNCTION("""COMPUTED_VALUE"""),45949.30547591699)</f>
        <v>45949.30548</v>
      </c>
      <c r="L152" s="4">
        <f>IFERROR(__xludf.DUMMYFUNCTION("""COMPUTED_VALUE"""),45949.31593206781)</f>
        <v>45949.31593</v>
      </c>
      <c r="M152" s="1" t="str">
        <f>IFERROR(__xludf.DUMMYFUNCTION("""COMPUTED_VALUE"""),"RFID")</f>
        <v>RFID</v>
      </c>
      <c r="N152" s="5">
        <f>IFERROR(__xludf.DUMMYFUNCTION("""COMPUTED_VALUE"""),0.007392606481481481)</f>
        <v>0.007392606481</v>
      </c>
      <c r="O152" s="5">
        <f>IFERROR(__xludf.DUMMYFUNCTION("""COMPUTED_VALUE"""),0.01621301851851852)</f>
        <v>0.01621301852</v>
      </c>
      <c r="P152" s="5">
        <f>IFERROR(__xludf.DUMMYFUNCTION("""COMPUTED_VALUE"""),0.004302942724141518)</f>
        <v>0.004302942724</v>
      </c>
      <c r="Q152" s="5">
        <f>IFERROR(__xludf.DUMMYFUNCTION("""COMPUTED_VALUE"""),0.00694702199074074)</f>
        <v>0.006947021991</v>
      </c>
      <c r="R152" s="4">
        <f>IFERROR(__xludf.DUMMYFUNCTION("""COMPUTED_VALUE"""),45949.06947021596)</f>
        <v>45949.06947</v>
      </c>
      <c r="S152" s="1" t="b">
        <f>IFERROR(__xludf.DUMMYFUNCTION("""COMPUTED_VALUE"""),TRUE)</f>
        <v>1</v>
      </c>
      <c r="T152" s="1" t="b">
        <f>IFERROR(__xludf.DUMMYFUNCTION("""COMPUTED_VALUE"""),FALSE)</f>
        <v>0</v>
      </c>
      <c r="U152" s="1" t="str">
        <f>IFERROR(__xludf.DUMMYFUNCTION("""COMPUTED_VALUE"""),"VALID")</f>
        <v>VALID</v>
      </c>
      <c r="V152" s="1">
        <f>IFERROR(__xludf.DUMMYFUNCTION("""COMPUTED_VALUE"""),66.0)</f>
        <v>66</v>
      </c>
      <c r="W152" s="1">
        <f>IFERROR(__xludf.DUMMYFUNCTION("""COMPUTED_VALUE"""),738.0)</f>
        <v>738</v>
      </c>
      <c r="X152" s="1">
        <f>IFERROR(__xludf.DUMMYFUNCTION("""COMPUTED_VALUE"""),682.0)</f>
        <v>682</v>
      </c>
      <c r="Y152" s="2"/>
      <c r="Z152" s="2"/>
    </row>
    <row r="153">
      <c r="A153" s="1">
        <f>IFERROR(__xludf.DUMMYFUNCTION("""COMPUTED_VALUE"""),152.0)</f>
        <v>152</v>
      </c>
      <c r="B153" s="1">
        <f>IFERROR(__xludf.DUMMYFUNCTION("""COMPUTED_VALUE"""),10562.0)</f>
        <v>10562</v>
      </c>
      <c r="C153" s="2" t="str">
        <f>IFERROR(__xludf.DUMMYFUNCTION("""COMPUTED_VALUE"""),"Anagram")</f>
        <v>Anagram</v>
      </c>
      <c r="D153" s="2" t="str">
        <f>IFERROR(__xludf.DUMMYFUNCTION("""COMPUTED_VALUE"""),"10KM OVERALL F")</f>
        <v>10KM OVERALL F</v>
      </c>
      <c r="E153" s="1">
        <f>IFERROR(__xludf.DUMMYFUNCTION("""COMPUTED_VALUE"""),1.0)</f>
        <v>1</v>
      </c>
      <c r="F153" s="1" t="str">
        <f>IFERROR(__xludf.DUMMYFUNCTION("""COMPUTED_VALUE"""),"Female")</f>
        <v>Female</v>
      </c>
      <c r="G153" s="4" t="b">
        <f>IFERROR(__xludf.DUMMYFUNCTION("""COMPUTED_VALUE"""),TRUE)</f>
        <v>1</v>
      </c>
      <c r="H153" s="4" t="b">
        <f>IFERROR(__xludf.DUMMYFUNCTION("""COMPUTED_VALUE"""),FALSE)</f>
        <v>0</v>
      </c>
      <c r="I153" s="4">
        <f>IFERROR(__xludf.DUMMYFUNCTION("""COMPUTED_VALUE"""),0.24646185185185185)</f>
        <v>0.2464618519</v>
      </c>
      <c r="J153" s="4">
        <f>IFERROR(__xludf.DUMMYFUNCTION("""COMPUTED_VALUE"""),45949.253725004804)</f>
        <v>45949.25373</v>
      </c>
      <c r="K153" s="4">
        <f>IFERROR(__xludf.DUMMYFUNCTION("""COMPUTED_VALUE"""),45949.273309553304)</f>
        <v>45949.27331</v>
      </c>
      <c r="L153" s="4">
        <f>IFERROR(__xludf.DUMMYFUNCTION("""COMPUTED_VALUE"""),45949.27907795577)</f>
        <v>45949.27908</v>
      </c>
      <c r="M153" s="1" t="str">
        <f>IFERROR(__xludf.DUMMYFUNCTION("""COMPUTED_VALUE"""),"RFID")</f>
        <v>RFID</v>
      </c>
      <c r="N153" s="5">
        <f>IFERROR(__xludf.DUMMYFUNCTION("""COMPUTED_VALUE"""),0.0029052592592592593)</f>
        <v>0.002905259259</v>
      </c>
      <c r="O153" s="5">
        <f>IFERROR(__xludf.DUMMYFUNCTION("""COMPUTED_VALUE"""),0.007833819444444444)</f>
        <v>0.007833819444</v>
      </c>
      <c r="P153" s="5">
        <f>IFERROR(__xludf.DUMMYFUNCTION("""COMPUTED_VALUE"""),0.0023738281749123742)</f>
        <v>0.002373828175</v>
      </c>
      <c r="Q153" s="5">
        <f>IFERROR(__xludf.DUMMYFUNCTION("""COMPUTED_VALUE"""),0.0032616099537037036)</f>
        <v>0.003261609954</v>
      </c>
      <c r="R153" s="4">
        <f>IFERROR(__xludf.DUMMYFUNCTION("""COMPUTED_VALUE"""),45949.03261610392)</f>
        <v>45949.03262</v>
      </c>
      <c r="S153" s="1" t="b">
        <f>IFERROR(__xludf.DUMMYFUNCTION("""COMPUTED_VALUE"""),TRUE)</f>
        <v>1</v>
      </c>
      <c r="T153" s="1" t="b">
        <f>IFERROR(__xludf.DUMMYFUNCTION("""COMPUTED_VALUE"""),FALSE)</f>
        <v>0</v>
      </c>
      <c r="U153" s="1" t="str">
        <f>IFERROR(__xludf.DUMMYFUNCTION("""COMPUTED_VALUE"""),"VALID")</f>
        <v>VALID</v>
      </c>
      <c r="V153" s="1">
        <f>IFERROR(__xludf.DUMMYFUNCTION("""COMPUTED_VALUE"""),1.0)</f>
        <v>1</v>
      </c>
      <c r="W153" s="1">
        <f>IFERROR(__xludf.DUMMYFUNCTION("""COMPUTED_VALUE"""),25.0)</f>
        <v>25</v>
      </c>
      <c r="X153" s="1">
        <f>IFERROR(__xludf.DUMMYFUNCTION("""COMPUTED_VALUE"""),149.0)</f>
        <v>149</v>
      </c>
      <c r="Y153" s="2"/>
      <c r="Z153" s="2"/>
    </row>
    <row r="154">
      <c r="A154" s="1">
        <f>IFERROR(__xludf.DUMMYFUNCTION("""COMPUTED_VALUE"""),153.0)</f>
        <v>153</v>
      </c>
      <c r="B154" s="1">
        <f>IFERROR(__xludf.DUMMYFUNCTION("""COMPUTED_VALUE"""),10571.0)</f>
        <v>10571</v>
      </c>
      <c r="C154" s="2" t="str">
        <f>IFERROR(__xludf.DUMMYFUNCTION("""COMPUTED_VALUE"""),"Nagita")</f>
        <v>Nagita</v>
      </c>
      <c r="D154" s="2" t="str">
        <f>IFERROR(__xludf.DUMMYFUNCTION("""COMPUTED_VALUE"""),"10KM OVERALL F")</f>
        <v>10KM OVERALL F</v>
      </c>
      <c r="E154" s="1">
        <f>IFERROR(__xludf.DUMMYFUNCTION("""COMPUTED_VALUE"""),1.0)</f>
        <v>1</v>
      </c>
      <c r="F154" s="1" t="str">
        <f>IFERROR(__xludf.DUMMYFUNCTION("""COMPUTED_VALUE"""),"Female")</f>
        <v>Female</v>
      </c>
      <c r="G154" s="4" t="b">
        <f>IFERROR(__xludf.DUMMYFUNCTION("""COMPUTED_VALUE"""),TRUE)</f>
        <v>1</v>
      </c>
      <c r="H154" s="4" t="b">
        <f>IFERROR(__xludf.DUMMYFUNCTION("""COMPUTED_VALUE"""),FALSE)</f>
        <v>0</v>
      </c>
      <c r="I154" s="4">
        <f>IFERROR(__xludf.DUMMYFUNCTION("""COMPUTED_VALUE"""),0.24646185185185185)</f>
        <v>0.2464618519</v>
      </c>
      <c r="J154" s="4">
        <f>IFERROR(__xludf.DUMMYFUNCTION("""COMPUTED_VALUE"""),45949.25773854526)</f>
        <v>45949.25774</v>
      </c>
      <c r="K154" s="4">
        <f>IFERROR(__xludf.DUMMYFUNCTION("""COMPUTED_VALUE"""),45949.291811718926)</f>
        <v>45949.29181</v>
      </c>
      <c r="L154" s="4">
        <f>IFERROR(__xludf.DUMMYFUNCTION("""COMPUTED_VALUE"""),45949.3010640798)</f>
        <v>45949.30106</v>
      </c>
      <c r="M154" s="1" t="str">
        <f>IFERROR(__xludf.DUMMYFUNCTION("""COMPUTED_VALUE"""),"RFID")</f>
        <v>RFID</v>
      </c>
      <c r="N154" s="5">
        <f>IFERROR(__xludf.DUMMYFUNCTION("""COMPUTED_VALUE"""),0.004510675925925927)</f>
        <v>0.004510675926</v>
      </c>
      <c r="O154" s="5">
        <f>IFERROR(__xludf.DUMMYFUNCTION("""COMPUTED_VALUE"""),0.01362926851851852)</f>
        <v>0.01362926852</v>
      </c>
      <c r="P154" s="5">
        <f>IFERROR(__xludf.DUMMYFUNCTION("""COMPUTED_VALUE"""),0.0038075559162209)</f>
        <v>0.003807555916</v>
      </c>
      <c r="Q154" s="5">
        <f>IFERROR(__xludf.DUMMYFUNCTION("""COMPUTED_VALUE"""),0.005460222222222222)</f>
        <v>0.005460222222</v>
      </c>
      <c r="R154" s="4">
        <f>IFERROR(__xludf.DUMMYFUNCTION("""COMPUTED_VALUE"""),45949.05460222795)</f>
        <v>45949.0546</v>
      </c>
      <c r="S154" s="1" t="b">
        <f>IFERROR(__xludf.DUMMYFUNCTION("""COMPUTED_VALUE"""),TRUE)</f>
        <v>1</v>
      </c>
      <c r="T154" s="1" t="b">
        <f>IFERROR(__xludf.DUMMYFUNCTION("""COMPUTED_VALUE"""),FALSE)</f>
        <v>0</v>
      </c>
      <c r="U154" s="1" t="str">
        <f>IFERROR(__xludf.DUMMYFUNCTION("""COMPUTED_VALUE"""),"VALID")</f>
        <v>VALID</v>
      </c>
      <c r="V154" s="1">
        <f>IFERROR(__xludf.DUMMYFUNCTION("""COMPUTED_VALUE"""),29.0)</f>
        <v>29</v>
      </c>
      <c r="W154" s="1">
        <f>IFERROR(__xludf.DUMMYFUNCTION("""COMPUTED_VALUE"""),537.0)</f>
        <v>537</v>
      </c>
      <c r="X154" s="1">
        <f>IFERROR(__xludf.DUMMYFUNCTION("""COMPUTED_VALUE"""),626.0)</f>
        <v>626</v>
      </c>
      <c r="Y154" s="2"/>
      <c r="Z154" s="2"/>
    </row>
    <row r="155">
      <c r="A155" s="1">
        <f>IFERROR(__xludf.DUMMYFUNCTION("""COMPUTED_VALUE"""),154.0)</f>
        <v>154</v>
      </c>
      <c r="B155" s="1">
        <f>IFERROR(__xludf.DUMMYFUNCTION("""COMPUTED_VALUE"""),10577.0)</f>
        <v>10577</v>
      </c>
      <c r="C155" s="2" t="str">
        <f>IFERROR(__xludf.DUMMYFUNCTION("""COMPUTED_VALUE"""),"PUTRIOKTIPRATIWI")</f>
        <v>PUTRIOKTIPRATIWI</v>
      </c>
      <c r="D155" s="2" t="str">
        <f>IFERROR(__xludf.DUMMYFUNCTION("""COMPUTED_VALUE"""),"10KM OVERALL F")</f>
        <v>10KM OVERALL F</v>
      </c>
      <c r="E155" s="1">
        <f>IFERROR(__xludf.DUMMYFUNCTION("""COMPUTED_VALUE"""),1.0)</f>
        <v>1</v>
      </c>
      <c r="F155" s="1" t="str">
        <f>IFERROR(__xludf.DUMMYFUNCTION("""COMPUTED_VALUE"""),"Female")</f>
        <v>Female</v>
      </c>
      <c r="G155" s="4" t="str">
        <f>IFERROR(__xludf.DUMMYFUNCTION("""COMPUTED_VALUE"""),"")</f>
        <v/>
      </c>
      <c r="H155" s="4" t="b">
        <f>IFERROR(__xludf.DUMMYFUNCTION("""COMPUTED_VALUE"""),FALSE)</f>
        <v>0</v>
      </c>
      <c r="I155" s="4">
        <f>IFERROR(__xludf.DUMMYFUNCTION("""COMPUTED_VALUE"""),0.24646185185185185)</f>
        <v>0.2464618519</v>
      </c>
      <c r="J155" s="4" t="str">
        <f>IFERROR(__xludf.DUMMYFUNCTION("""COMPUTED_VALUE"""),"")</f>
        <v/>
      </c>
      <c r="K155" s="4" t="str">
        <f>IFERROR(__xludf.DUMMYFUNCTION("""COMPUTED_VALUE"""),"")</f>
        <v/>
      </c>
      <c r="L155" s="4" t="str">
        <f>IFERROR(__xludf.DUMMYFUNCTION("""COMPUTED_VALUE"""),"")</f>
        <v/>
      </c>
      <c r="M155" s="1" t="str">
        <f>IFERROR(__xludf.DUMMYFUNCTION("""COMPUTED_VALUE"""),"RFID")</f>
        <v>RFID</v>
      </c>
      <c r="N155" s="5" t="str">
        <f>IFERROR(__xludf.DUMMYFUNCTION("""COMPUTED_VALUE"""),"")</f>
        <v/>
      </c>
      <c r="O155" s="5" t="str">
        <f>IFERROR(__xludf.DUMMYFUNCTION("""COMPUTED_VALUE"""),"")</f>
        <v/>
      </c>
      <c r="P155" s="5" t="str">
        <f>IFERROR(__xludf.DUMMYFUNCTION("""COMPUTED_VALUE"""),"")</f>
        <v/>
      </c>
      <c r="Q155" s="5" t="str">
        <f>IFERROR(__xludf.DUMMYFUNCTION("""COMPUTED_VALUE"""),"")</f>
        <v/>
      </c>
      <c r="R155" s="4" t="str">
        <f>IFERROR(__xludf.DUMMYFUNCTION("""COMPUTED_VALUE"""),"")</f>
        <v/>
      </c>
      <c r="S155" s="1" t="b">
        <f>IFERROR(__xludf.DUMMYFUNCTION("""COMPUTED_VALUE"""),FALSE)</f>
        <v>0</v>
      </c>
      <c r="T155" s="1" t="b">
        <f>IFERROR(__xludf.DUMMYFUNCTION("""COMPUTED_VALUE"""),FALSE)</f>
        <v>0</v>
      </c>
      <c r="U155" s="1" t="str">
        <f>IFERROR(__xludf.DUMMYFUNCTION("""COMPUTED_VALUE"""),"DSQ")</f>
        <v>DSQ</v>
      </c>
      <c r="V155" s="1" t="str">
        <f>IFERROR(__xludf.DUMMYFUNCTION("""COMPUTED_VALUE"""),"DSQ")</f>
        <v>DSQ</v>
      </c>
      <c r="W155" s="1" t="str">
        <f>IFERROR(__xludf.DUMMYFUNCTION("""COMPUTED_VALUE"""),"DSQ")</f>
        <v>DSQ</v>
      </c>
      <c r="X155" s="1" t="str">
        <f>IFERROR(__xludf.DUMMYFUNCTION("""COMPUTED_VALUE"""),"DSQ")</f>
        <v>DSQ</v>
      </c>
      <c r="Y155" s="2"/>
      <c r="Z155" s="2" t="str">
        <f>IFERROR(__xludf.DUMMYFUNCTION("""COMPUTED_VALUE"""),"")</f>
        <v/>
      </c>
    </row>
    <row r="156">
      <c r="A156" s="1">
        <f>IFERROR(__xludf.DUMMYFUNCTION("""COMPUTED_VALUE"""),155.0)</f>
        <v>155</v>
      </c>
      <c r="B156" s="1">
        <f>IFERROR(__xludf.DUMMYFUNCTION("""COMPUTED_VALUE"""),10592.0)</f>
        <v>10592</v>
      </c>
      <c r="C156" s="2" t="str">
        <f>IFERROR(__xludf.DUMMYFUNCTION("""COMPUTED_VALUE"""),"Weka Novita Sari")</f>
        <v>Weka Novita Sari</v>
      </c>
      <c r="D156" s="2" t="str">
        <f>IFERROR(__xludf.DUMMYFUNCTION("""COMPUTED_VALUE"""),"10KM OVERALL F")</f>
        <v>10KM OVERALL F</v>
      </c>
      <c r="E156" s="1">
        <f>IFERROR(__xludf.DUMMYFUNCTION("""COMPUTED_VALUE"""),1.0)</f>
        <v>1</v>
      </c>
      <c r="F156" s="1" t="str">
        <f>IFERROR(__xludf.DUMMYFUNCTION("""COMPUTED_VALUE"""),"Female")</f>
        <v>Female</v>
      </c>
      <c r="G156" s="4" t="b">
        <f>IFERROR(__xludf.DUMMYFUNCTION("""COMPUTED_VALUE"""),TRUE)</f>
        <v>1</v>
      </c>
      <c r="H156" s="4" t="b">
        <f>IFERROR(__xludf.DUMMYFUNCTION("""COMPUTED_VALUE"""),FALSE)</f>
        <v>0</v>
      </c>
      <c r="I156" s="4">
        <f>IFERROR(__xludf.DUMMYFUNCTION("""COMPUTED_VALUE"""),0.24646185185185185)</f>
        <v>0.2464618519</v>
      </c>
      <c r="J156" s="4">
        <f>IFERROR(__xludf.DUMMYFUNCTION("""COMPUTED_VALUE"""),45949.260906318996)</f>
        <v>45949.26091</v>
      </c>
      <c r="K156" s="4">
        <f>IFERROR(__xludf.DUMMYFUNCTION("""COMPUTED_VALUE"""),45949.30277348439)</f>
        <v>45949.30277</v>
      </c>
      <c r="L156" s="4">
        <f>IFERROR(__xludf.DUMMYFUNCTION("""COMPUTED_VALUE"""),45949.31475851814)</f>
        <v>45949.31476</v>
      </c>
      <c r="M156" s="1" t="str">
        <f>IFERROR(__xludf.DUMMYFUNCTION("""COMPUTED_VALUE"""),"RFID")</f>
        <v>RFID</v>
      </c>
      <c r="N156" s="5">
        <f>IFERROR(__xludf.DUMMYFUNCTION("""COMPUTED_VALUE"""),0.005777787037037037)</f>
        <v>0.005777787037</v>
      </c>
      <c r="O156" s="5">
        <f>IFERROR(__xludf.DUMMYFUNCTION("""COMPUTED_VALUE"""),0.01674686574074074)</f>
        <v>0.01674686574</v>
      </c>
      <c r="P156" s="5">
        <f>IFERROR(__xludf.DUMMYFUNCTION("""COMPUTED_VALUE"""),0.004932112654540764)</f>
        <v>0.004932112655</v>
      </c>
      <c r="Q156" s="5">
        <f>IFERROR(__xludf.DUMMYFUNCTION("""COMPUTED_VALUE"""),0.006829666666666667)</f>
        <v>0.006829666667</v>
      </c>
      <c r="R156" s="4">
        <f>IFERROR(__xludf.DUMMYFUNCTION("""COMPUTED_VALUE"""),45949.06829666629)</f>
        <v>45949.0683</v>
      </c>
      <c r="S156" s="1" t="b">
        <f>IFERROR(__xludf.DUMMYFUNCTION("""COMPUTED_VALUE"""),TRUE)</f>
        <v>1</v>
      </c>
      <c r="T156" s="1" t="b">
        <f>IFERROR(__xludf.DUMMYFUNCTION("""COMPUTED_VALUE"""),FALSE)</f>
        <v>0</v>
      </c>
      <c r="U156" s="1" t="str">
        <f>IFERROR(__xludf.DUMMYFUNCTION("""COMPUTED_VALUE"""),"VALID")</f>
        <v>VALID</v>
      </c>
      <c r="V156" s="1">
        <f>IFERROR(__xludf.DUMMYFUNCTION("""COMPUTED_VALUE"""),64.0)</f>
        <v>64</v>
      </c>
      <c r="W156" s="1">
        <f>IFERROR(__xludf.DUMMYFUNCTION("""COMPUTED_VALUE"""),732.0)</f>
        <v>732</v>
      </c>
      <c r="X156" s="1">
        <f>IFERROR(__xludf.DUMMYFUNCTION("""COMPUTED_VALUE"""),679.0)</f>
        <v>679</v>
      </c>
      <c r="Y156" s="2"/>
      <c r="Z156" s="2"/>
    </row>
    <row r="157">
      <c r="A157" s="1">
        <f>IFERROR(__xludf.DUMMYFUNCTION("""COMPUTED_VALUE"""),156.0)</f>
        <v>156</v>
      </c>
      <c r="B157" s="1">
        <f>IFERROR(__xludf.DUMMYFUNCTION("""COMPUTED_VALUE"""),10595.0)</f>
        <v>10595</v>
      </c>
      <c r="C157" s="2" t="str">
        <f>IFERROR(__xludf.DUMMYFUNCTION("""COMPUTED_VALUE"""),"Putri Tamaro")</f>
        <v>Putri Tamaro</v>
      </c>
      <c r="D157" s="2" t="str">
        <f>IFERROR(__xludf.DUMMYFUNCTION("""COMPUTED_VALUE"""),"10KM OVERALL F")</f>
        <v>10KM OVERALL F</v>
      </c>
      <c r="E157" s="1">
        <f>IFERROR(__xludf.DUMMYFUNCTION("""COMPUTED_VALUE"""),1.0)</f>
        <v>1</v>
      </c>
      <c r="F157" s="1" t="str">
        <f>IFERROR(__xludf.DUMMYFUNCTION("""COMPUTED_VALUE"""),"Female")</f>
        <v>Female</v>
      </c>
      <c r="G157" s="4" t="b">
        <f>IFERROR(__xludf.DUMMYFUNCTION("""COMPUTED_VALUE"""),TRUE)</f>
        <v>1</v>
      </c>
      <c r="H157" s="4" t="b">
        <f>IFERROR(__xludf.DUMMYFUNCTION("""COMPUTED_VALUE"""),FALSE)</f>
        <v>0</v>
      </c>
      <c r="I157" s="4">
        <f>IFERROR(__xludf.DUMMYFUNCTION("""COMPUTED_VALUE"""),0.24646185185185185)</f>
        <v>0.2464618519</v>
      </c>
      <c r="J157" s="4">
        <f>IFERROR(__xludf.DUMMYFUNCTION("""COMPUTED_VALUE"""),45949.25877061622)</f>
        <v>45949.25877</v>
      </c>
      <c r="K157" s="4">
        <f>IFERROR(__xludf.DUMMYFUNCTION("""COMPUTED_VALUE"""),45949.29591237372)</f>
        <v>45949.29591</v>
      </c>
      <c r="L157" s="4">
        <f>IFERROR(__xludf.DUMMYFUNCTION("""COMPUTED_VALUE"""),45949.30681754037)</f>
        <v>45949.30682</v>
      </c>
      <c r="M157" s="1" t="str">
        <f>IFERROR(__xludf.DUMMYFUNCTION("""COMPUTED_VALUE"""),"RFID")</f>
        <v>RFID</v>
      </c>
      <c r="N157" s="5">
        <f>IFERROR(__xludf.DUMMYFUNCTION("""COMPUTED_VALUE"""),0.00492350462962963)</f>
        <v>0.00492350463</v>
      </c>
      <c r="O157" s="5">
        <f>IFERROR(__xludf.DUMMYFUNCTION("""COMPUTED_VALUE"""),0.014856703703703702)</f>
        <v>0.0148567037</v>
      </c>
      <c r="P157" s="5">
        <f>IFERROR(__xludf.DUMMYFUNCTION("""COMPUTED_VALUE"""),0.004487722901792223)</f>
        <v>0.004487722902</v>
      </c>
      <c r="Q157" s="5">
        <f>IFERROR(__xludf.DUMMYFUNCTION("""COMPUTED_VALUE"""),0.006035568287037036)</f>
        <v>0.006035568287</v>
      </c>
      <c r="R157" s="4">
        <f>IFERROR(__xludf.DUMMYFUNCTION("""COMPUTED_VALUE"""),45949.06035568852)</f>
        <v>45949.06036</v>
      </c>
      <c r="S157" s="1" t="b">
        <f>IFERROR(__xludf.DUMMYFUNCTION("""COMPUTED_VALUE"""),TRUE)</f>
        <v>1</v>
      </c>
      <c r="T157" s="1" t="b">
        <f>IFERROR(__xludf.DUMMYFUNCTION("""COMPUTED_VALUE"""),FALSE)</f>
        <v>0</v>
      </c>
      <c r="U157" s="1" t="str">
        <f>IFERROR(__xludf.DUMMYFUNCTION("""COMPUTED_VALUE"""),"VALID")</f>
        <v>VALID</v>
      </c>
      <c r="V157" s="1">
        <f>IFERROR(__xludf.DUMMYFUNCTION("""COMPUTED_VALUE"""),49.0)</f>
        <v>49</v>
      </c>
      <c r="W157" s="1">
        <f>IFERROR(__xludf.DUMMYFUNCTION("""COMPUTED_VALUE"""),657.0)</f>
        <v>657</v>
      </c>
      <c r="X157" s="1">
        <f>IFERROR(__xludf.DUMMYFUNCTION("""COMPUTED_VALUE"""),659.0)</f>
        <v>659</v>
      </c>
      <c r="Y157" s="2"/>
      <c r="Z157" s="2"/>
    </row>
    <row r="158">
      <c r="A158" s="1">
        <f>IFERROR(__xludf.DUMMYFUNCTION("""COMPUTED_VALUE"""),157.0)</f>
        <v>157</v>
      </c>
      <c r="B158" s="1">
        <f>IFERROR(__xludf.DUMMYFUNCTION("""COMPUTED_VALUE"""),10605.0)</f>
        <v>10605</v>
      </c>
      <c r="C158" s="2" t="str">
        <f>IFERROR(__xludf.DUMMYFUNCTION("""COMPUTED_VALUE"""),"Tiara")</f>
        <v>Tiara</v>
      </c>
      <c r="D158" s="2" t="str">
        <f>IFERROR(__xludf.DUMMYFUNCTION("""COMPUTED_VALUE"""),"10KM OVERALL F")</f>
        <v>10KM OVERALL F</v>
      </c>
      <c r="E158" s="1">
        <f>IFERROR(__xludf.DUMMYFUNCTION("""COMPUTED_VALUE"""),1.0)</f>
        <v>1</v>
      </c>
      <c r="F158" s="1" t="str">
        <f>IFERROR(__xludf.DUMMYFUNCTION("""COMPUTED_VALUE"""),"Female")</f>
        <v>Female</v>
      </c>
      <c r="G158" s="4" t="b">
        <f>IFERROR(__xludf.DUMMYFUNCTION("""COMPUTED_VALUE"""),TRUE)</f>
        <v>1</v>
      </c>
      <c r="H158" s="4" t="b">
        <f>IFERROR(__xludf.DUMMYFUNCTION("""COMPUTED_VALUE"""),TRUE)</f>
        <v>1</v>
      </c>
      <c r="I158" s="4">
        <f>IFERROR(__xludf.DUMMYFUNCTION("""COMPUTED_VALUE"""),0.24646185185185185)</f>
        <v>0.2464618519</v>
      </c>
      <c r="J158" s="4">
        <f>IFERROR(__xludf.DUMMYFUNCTION("""COMPUTED_VALUE"""),45949.26136390662)</f>
        <v>45949.26136</v>
      </c>
      <c r="K158" s="4">
        <f>IFERROR(__xludf.DUMMYFUNCTION("""COMPUTED_VALUE"""),45949.301187272686)</f>
        <v>45949.30119</v>
      </c>
      <c r="L158" s="4">
        <f>IFERROR(__xludf.DUMMYFUNCTION("""COMPUTED_VALUE"""),45949.3122064267)</f>
        <v>45949.31221</v>
      </c>
      <c r="M158" s="1" t="str">
        <f>IFERROR(__xludf.DUMMYFUNCTION("""COMPUTED_VALUE"""),"RFID")</f>
        <v>RFID</v>
      </c>
      <c r="N158" s="5">
        <f>IFERROR(__xludf.DUMMYFUNCTION("""COMPUTED_VALUE"""),0.005960824074074074)</f>
        <v>0.005960824074</v>
      </c>
      <c r="O158" s="5">
        <f>IFERROR(__xludf.DUMMYFUNCTION("""COMPUTED_VALUE"""),0.015929347222222223)</f>
        <v>0.01592934722</v>
      </c>
      <c r="P158" s="5">
        <f>IFERROR(__xludf.DUMMYFUNCTION("""COMPUTED_VALUE"""),0.0045346312819876606)</f>
        <v>0.004534631282</v>
      </c>
      <c r="Q158" s="5">
        <f>IFERROR(__xludf.DUMMYFUNCTION("""COMPUTED_VALUE"""),0.0065744571759259254)</f>
        <v>0.006574457176</v>
      </c>
      <c r="R158" s="4">
        <f>IFERROR(__xludf.DUMMYFUNCTION("""COMPUTED_VALUE"""),45949.06574457485)</f>
        <v>45949.06574</v>
      </c>
      <c r="S158" s="1" t="b">
        <f>IFERROR(__xludf.DUMMYFUNCTION("""COMPUTED_VALUE"""),TRUE)</f>
        <v>1</v>
      </c>
      <c r="T158" s="1" t="b">
        <f>IFERROR(__xludf.DUMMYFUNCTION("""COMPUTED_VALUE"""),FALSE)</f>
        <v>0</v>
      </c>
      <c r="U158" s="1" t="str">
        <f>IFERROR(__xludf.DUMMYFUNCTION("""COMPUTED_VALUE"""),"VALID")</f>
        <v>VALID</v>
      </c>
      <c r="V158" s="1">
        <f>IFERROR(__xludf.DUMMYFUNCTION("""COMPUTED_VALUE"""),57.0)</f>
        <v>57</v>
      </c>
      <c r="W158" s="1">
        <f>IFERROR(__xludf.DUMMYFUNCTION("""COMPUTED_VALUE"""),708.0)</f>
        <v>708</v>
      </c>
      <c r="X158" s="1">
        <f>IFERROR(__xludf.DUMMYFUNCTION("""COMPUTED_VALUE"""),670.0)</f>
        <v>670</v>
      </c>
      <c r="Y158" s="2"/>
      <c r="Z158" s="2"/>
    </row>
    <row r="159">
      <c r="A159" s="1">
        <f>IFERROR(__xludf.DUMMYFUNCTION("""COMPUTED_VALUE"""),158.0)</f>
        <v>158</v>
      </c>
      <c r="B159" s="1">
        <f>IFERROR(__xludf.DUMMYFUNCTION("""COMPUTED_VALUE"""),10608.0)</f>
        <v>10608</v>
      </c>
      <c r="C159" s="2" t="str">
        <f>IFERROR(__xludf.DUMMYFUNCTION("""COMPUTED_VALUE"""),"GANE")</f>
        <v>GANE</v>
      </c>
      <c r="D159" s="2" t="str">
        <f>IFERROR(__xludf.DUMMYFUNCTION("""COMPUTED_VALUE"""),"10KM OVERALL F")</f>
        <v>10KM OVERALL F</v>
      </c>
      <c r="E159" s="1">
        <f>IFERROR(__xludf.DUMMYFUNCTION("""COMPUTED_VALUE"""),1.0)</f>
        <v>1</v>
      </c>
      <c r="F159" s="1" t="str">
        <f>IFERROR(__xludf.DUMMYFUNCTION("""COMPUTED_VALUE"""),"Female")</f>
        <v>Female</v>
      </c>
      <c r="G159" s="4" t="b">
        <f>IFERROR(__xludf.DUMMYFUNCTION("""COMPUTED_VALUE"""),TRUE)</f>
        <v>1</v>
      </c>
      <c r="H159" s="4" t="b">
        <f>IFERROR(__xludf.DUMMYFUNCTION("""COMPUTED_VALUE"""),TRUE)</f>
        <v>1</v>
      </c>
      <c r="I159" s="4">
        <f>IFERROR(__xludf.DUMMYFUNCTION("""COMPUTED_VALUE"""),0.24646185185185185)</f>
        <v>0.2464618519</v>
      </c>
      <c r="J159" s="4">
        <f>IFERROR(__xludf.DUMMYFUNCTION("""COMPUTED_VALUE"""),45949.26061001833)</f>
        <v>45949.26061</v>
      </c>
      <c r="K159" s="4">
        <f>IFERROR(__xludf.DUMMYFUNCTION("""COMPUTED_VALUE"""),45949.29089500669)</f>
        <v>45949.2909</v>
      </c>
      <c r="L159" s="4">
        <f>IFERROR(__xludf.DUMMYFUNCTION("""COMPUTED_VALUE"""),45949.29964039173)</f>
        <v>45949.29964</v>
      </c>
      <c r="M159" s="1" t="str">
        <f>IFERROR(__xludf.DUMMYFUNCTION("""COMPUTED_VALUE"""),"RFID")</f>
        <v>RFID</v>
      </c>
      <c r="N159" s="5">
        <f>IFERROR(__xludf.DUMMYFUNCTION("""COMPUTED_VALUE"""),0.005659268518518519)</f>
        <v>0.005659268519</v>
      </c>
      <c r="O159" s="5">
        <f>IFERROR(__xludf.DUMMYFUNCTION("""COMPUTED_VALUE"""),0.01211399537037037)</f>
        <v>0.01211399537</v>
      </c>
      <c r="P159" s="5">
        <f>IFERROR(__xludf.DUMMYFUNCTION("""COMPUTED_VALUE"""),0.003598923882955317)</f>
        <v>0.003598923883</v>
      </c>
      <c r="Q159" s="5">
        <f>IFERROR(__xludf.DUMMYFUNCTION("""COMPUTED_VALUE"""),0.005317854166666667)</f>
        <v>0.005317854167</v>
      </c>
      <c r="R159" s="4">
        <f>IFERROR(__xludf.DUMMYFUNCTION("""COMPUTED_VALUE"""),45949.05317853988)</f>
        <v>45949.05318</v>
      </c>
      <c r="S159" s="1" t="b">
        <f>IFERROR(__xludf.DUMMYFUNCTION("""COMPUTED_VALUE"""),TRUE)</f>
        <v>1</v>
      </c>
      <c r="T159" s="1" t="b">
        <f>IFERROR(__xludf.DUMMYFUNCTION("""COMPUTED_VALUE"""),FALSE)</f>
        <v>0</v>
      </c>
      <c r="U159" s="1" t="str">
        <f>IFERROR(__xludf.DUMMYFUNCTION("""COMPUTED_VALUE"""),"VALID")</f>
        <v>VALID</v>
      </c>
      <c r="V159" s="1">
        <f>IFERROR(__xludf.DUMMYFUNCTION("""COMPUTED_VALUE"""),27.0)</f>
        <v>27</v>
      </c>
      <c r="W159" s="1">
        <f>IFERROR(__xludf.DUMMYFUNCTION("""COMPUTED_VALUE"""),481.0)</f>
        <v>481</v>
      </c>
      <c r="X159" s="1">
        <f>IFERROR(__xludf.DUMMYFUNCTION("""COMPUTED_VALUE"""),613.0)</f>
        <v>613</v>
      </c>
      <c r="Y159" s="2"/>
      <c r="Z159" s="2"/>
    </row>
    <row r="160">
      <c r="A160" s="1">
        <f>IFERROR(__xludf.DUMMYFUNCTION("""COMPUTED_VALUE"""),159.0)</f>
        <v>159</v>
      </c>
      <c r="B160" s="1">
        <f>IFERROR(__xludf.DUMMYFUNCTION("""COMPUTED_VALUE"""),10616.0)</f>
        <v>10616</v>
      </c>
      <c r="C160" s="2" t="str">
        <f>IFERROR(__xludf.DUMMYFUNCTION("""COMPUTED_VALUE"""),"Liya")</f>
        <v>Liya</v>
      </c>
      <c r="D160" s="2" t="str">
        <f>IFERROR(__xludf.DUMMYFUNCTION("""COMPUTED_VALUE"""),"10KM OVERALL F")</f>
        <v>10KM OVERALL F</v>
      </c>
      <c r="E160" s="1">
        <f>IFERROR(__xludf.DUMMYFUNCTION("""COMPUTED_VALUE"""),1.0)</f>
        <v>1</v>
      </c>
      <c r="F160" s="1" t="str">
        <f>IFERROR(__xludf.DUMMYFUNCTION("""COMPUTED_VALUE"""),"Female")</f>
        <v>Female</v>
      </c>
      <c r="G160" s="4" t="b">
        <f>IFERROR(__xludf.DUMMYFUNCTION("""COMPUTED_VALUE"""),TRUE)</f>
        <v>1</v>
      </c>
      <c r="H160" s="4" t="b">
        <f>IFERROR(__xludf.DUMMYFUNCTION("""COMPUTED_VALUE"""),TRUE)</f>
        <v>1</v>
      </c>
      <c r="I160" s="4">
        <f>IFERROR(__xludf.DUMMYFUNCTION("""COMPUTED_VALUE"""),0.24646185185185185)</f>
        <v>0.2464618519</v>
      </c>
      <c r="J160" s="4">
        <f>IFERROR(__xludf.DUMMYFUNCTION("""COMPUTED_VALUE"""),45949.25527327207)</f>
        <v>45949.25527</v>
      </c>
      <c r="K160" s="4">
        <f>IFERROR(__xludf.DUMMYFUNCTION("""COMPUTED_VALUE"""),45949.279321886715)</f>
        <v>45949.27932</v>
      </c>
      <c r="L160" s="4">
        <f>IFERROR(__xludf.DUMMYFUNCTION("""COMPUTED_VALUE"""),45949.2865189235)</f>
        <v>45949.28652</v>
      </c>
      <c r="M160" s="1" t="str">
        <f>IFERROR(__xludf.DUMMYFUNCTION("""COMPUTED_VALUE"""),"RFID")</f>
        <v>RFID</v>
      </c>
      <c r="N160" s="5">
        <f>IFERROR(__xludf.DUMMYFUNCTION("""COMPUTED_VALUE"""),0.0035245694444444448)</f>
        <v>0.003524569444</v>
      </c>
      <c r="O160" s="5">
        <f>IFERROR(__xludf.DUMMYFUNCTION("""COMPUTED_VALUE"""),0.009619444444444446)</f>
        <v>0.009619444444</v>
      </c>
      <c r="P160" s="5">
        <f>IFERROR(__xludf.DUMMYFUNCTION("""COMPUTED_VALUE"""),0.002961743533431165)</f>
        <v>0.002961743533</v>
      </c>
      <c r="Q160" s="5">
        <f>IFERROR(__xludf.DUMMYFUNCTION("""COMPUTED_VALUE"""),0.004005707175925926)</f>
        <v>0.004005707176</v>
      </c>
      <c r="R160" s="4">
        <f>IFERROR(__xludf.DUMMYFUNCTION("""COMPUTED_VALUE"""),45949.04005707165)</f>
        <v>45949.04006</v>
      </c>
      <c r="S160" s="1" t="b">
        <f>IFERROR(__xludf.DUMMYFUNCTION("""COMPUTED_VALUE"""),TRUE)</f>
        <v>1</v>
      </c>
      <c r="T160" s="1" t="b">
        <f>IFERROR(__xludf.DUMMYFUNCTION("""COMPUTED_VALUE"""),FALSE)</f>
        <v>0</v>
      </c>
      <c r="U160" s="1" t="str">
        <f>IFERROR(__xludf.DUMMYFUNCTION("""COMPUTED_VALUE"""),"VALID")</f>
        <v>VALID</v>
      </c>
      <c r="V160" s="1">
        <f>IFERROR(__xludf.DUMMYFUNCTION("""COMPUTED_VALUE"""),6.0)</f>
        <v>6</v>
      </c>
      <c r="W160" s="1">
        <f>IFERROR(__xludf.DUMMYFUNCTION("""COMPUTED_VALUE"""),124.0)</f>
        <v>124</v>
      </c>
      <c r="X160" s="1">
        <f>IFERROR(__xludf.DUMMYFUNCTION("""COMPUTED_VALUE"""),388.0)</f>
        <v>388</v>
      </c>
      <c r="Y160" s="2"/>
      <c r="Z160" s="2"/>
    </row>
    <row r="161">
      <c r="A161" s="1">
        <f>IFERROR(__xludf.DUMMYFUNCTION("""COMPUTED_VALUE"""),160.0)</f>
        <v>160</v>
      </c>
      <c r="B161" s="1">
        <f>IFERROR(__xludf.DUMMYFUNCTION("""COMPUTED_VALUE"""),10618.0)</f>
        <v>10618</v>
      </c>
      <c r="C161" s="2" t="str">
        <f>IFERROR(__xludf.DUMMYFUNCTION("""COMPUTED_VALUE"""),"chaca")</f>
        <v>chaca</v>
      </c>
      <c r="D161" s="2" t="str">
        <f>IFERROR(__xludf.DUMMYFUNCTION("""COMPUTED_VALUE"""),"10KM OVERALL F")</f>
        <v>10KM OVERALL F</v>
      </c>
      <c r="E161" s="1">
        <f>IFERROR(__xludf.DUMMYFUNCTION("""COMPUTED_VALUE"""),1.0)</f>
        <v>1</v>
      </c>
      <c r="F161" s="1" t="str">
        <f>IFERROR(__xludf.DUMMYFUNCTION("""COMPUTED_VALUE"""),"Female")</f>
        <v>Female</v>
      </c>
      <c r="G161" s="4" t="b">
        <f>IFERROR(__xludf.DUMMYFUNCTION("""COMPUTED_VALUE"""),TRUE)</f>
        <v>1</v>
      </c>
      <c r="H161" s="4" t="b">
        <f>IFERROR(__xludf.DUMMYFUNCTION("""COMPUTED_VALUE"""),TRUE)</f>
        <v>1</v>
      </c>
      <c r="I161" s="4">
        <f>IFERROR(__xludf.DUMMYFUNCTION("""COMPUTED_VALUE"""),0.24646185185185185)</f>
        <v>0.2464618519</v>
      </c>
      <c r="J161" s="4">
        <f>IFERROR(__xludf.DUMMYFUNCTION("""COMPUTED_VALUE"""),45949.25931494374)</f>
        <v>45949.25931</v>
      </c>
      <c r="K161" s="4">
        <f>IFERROR(__xludf.DUMMYFUNCTION("""COMPUTED_VALUE"""),45949.294589445235)</f>
        <v>45949.29459</v>
      </c>
      <c r="L161" s="4">
        <f>IFERROR(__xludf.DUMMYFUNCTION("""COMPUTED_VALUE"""),45949.30434184886)</f>
        <v>45949.30434</v>
      </c>
      <c r="M161" s="1" t="str">
        <f>IFERROR(__xludf.DUMMYFUNCTION("""COMPUTED_VALUE"""),"RFID")</f>
        <v>RFID</v>
      </c>
      <c r="N161" s="5">
        <f>IFERROR(__xludf.DUMMYFUNCTION("""COMPUTED_VALUE"""),0.005141236111111112)</f>
        <v>0.005141236111</v>
      </c>
      <c r="O161" s="5">
        <f>IFERROR(__xludf.DUMMYFUNCTION("""COMPUTED_VALUE"""),0.014109800925925928)</f>
        <v>0.01410980093</v>
      </c>
      <c r="P161" s="5">
        <f>IFERROR(__xludf.DUMMYFUNCTION("""COMPUTED_VALUE"""),0.00401333482493359)</f>
        <v>0.004013334825</v>
      </c>
      <c r="Q161" s="5">
        <f>IFERROR(__xludf.DUMMYFUNCTION("""COMPUTED_VALUE"""),0.005788)</f>
        <v>0.005788</v>
      </c>
      <c r="R161" s="4">
        <f>IFERROR(__xludf.DUMMYFUNCTION("""COMPUTED_VALUE"""),45949.05787999701)</f>
        <v>45949.05788</v>
      </c>
      <c r="S161" s="1" t="b">
        <f>IFERROR(__xludf.DUMMYFUNCTION("""COMPUTED_VALUE"""),TRUE)</f>
        <v>1</v>
      </c>
      <c r="T161" s="1" t="b">
        <f>IFERROR(__xludf.DUMMYFUNCTION("""COMPUTED_VALUE"""),FALSE)</f>
        <v>0</v>
      </c>
      <c r="U161" s="1" t="str">
        <f>IFERROR(__xludf.DUMMYFUNCTION("""COMPUTED_VALUE"""),"VALID")</f>
        <v>VALID</v>
      </c>
      <c r="V161" s="1">
        <f>IFERROR(__xludf.DUMMYFUNCTION("""COMPUTED_VALUE"""),42.0)</f>
        <v>42</v>
      </c>
      <c r="W161" s="1">
        <f>IFERROR(__xludf.DUMMYFUNCTION("""COMPUTED_VALUE"""),619.0)</f>
        <v>619</v>
      </c>
      <c r="X161" s="1">
        <f>IFERROR(__xludf.DUMMYFUNCTION("""COMPUTED_VALUE"""),646.0)</f>
        <v>646</v>
      </c>
      <c r="Y161" s="2"/>
      <c r="Z161" s="2"/>
    </row>
    <row r="162">
      <c r="A162" s="1">
        <f>IFERROR(__xludf.DUMMYFUNCTION("""COMPUTED_VALUE"""),161.0)</f>
        <v>161</v>
      </c>
      <c r="B162" s="1">
        <f>IFERROR(__xludf.DUMMYFUNCTION("""COMPUTED_VALUE"""),10624.0)</f>
        <v>10624</v>
      </c>
      <c r="C162" s="2" t="str">
        <f>IFERROR(__xludf.DUMMYFUNCTION("""COMPUTED_VALUE"""),"Nur Hikmah Risqi Khasanah")</f>
        <v>Nur Hikmah Risqi Khasanah</v>
      </c>
      <c r="D162" s="2" t="str">
        <f>IFERROR(__xludf.DUMMYFUNCTION("""COMPUTED_VALUE"""),"10KM OVERALL F")</f>
        <v>10KM OVERALL F</v>
      </c>
      <c r="E162" s="1">
        <f>IFERROR(__xludf.DUMMYFUNCTION("""COMPUTED_VALUE"""),1.0)</f>
        <v>1</v>
      </c>
      <c r="F162" s="1" t="str">
        <f>IFERROR(__xludf.DUMMYFUNCTION("""COMPUTED_VALUE"""),"Female")</f>
        <v>Female</v>
      </c>
      <c r="G162" s="4" t="b">
        <f>IFERROR(__xludf.DUMMYFUNCTION("""COMPUTED_VALUE"""),TRUE)</f>
        <v>1</v>
      </c>
      <c r="H162" s="4" t="b">
        <f>IFERROR(__xludf.DUMMYFUNCTION("""COMPUTED_VALUE"""),TRUE)</f>
        <v>1</v>
      </c>
      <c r="I162" s="4">
        <f>IFERROR(__xludf.DUMMYFUNCTION("""COMPUTED_VALUE"""),0.24646185185185185)</f>
        <v>0.2464618519</v>
      </c>
      <c r="J162" s="4">
        <f>IFERROR(__xludf.DUMMYFUNCTION("""COMPUTED_VALUE"""),45949.26486702976)</f>
        <v>45949.26487</v>
      </c>
      <c r="K162" s="4">
        <f>IFERROR(__xludf.DUMMYFUNCTION("""COMPUTED_VALUE"""),45949.29913801582)</f>
        <v>45949.29914</v>
      </c>
      <c r="L162" s="4">
        <f>IFERROR(__xludf.DUMMYFUNCTION("""COMPUTED_VALUE"""),45949.308436164254)</f>
        <v>45949.30844</v>
      </c>
      <c r="M162" s="1" t="str">
        <f>IFERROR(__xludf.DUMMYFUNCTION("""COMPUTED_VALUE"""),"RFID")</f>
        <v>RFID</v>
      </c>
      <c r="N162" s="5">
        <f>IFERROR(__xludf.DUMMYFUNCTION("""COMPUTED_VALUE"""),0.007362069444444445)</f>
        <v>0.007362069444</v>
      </c>
      <c r="O162" s="5">
        <f>IFERROR(__xludf.DUMMYFUNCTION("""COMPUTED_VALUE"""),0.013708393518518519)</f>
        <v>0.01370839352</v>
      </c>
      <c r="P162" s="5">
        <f>IFERROR(__xludf.DUMMYFUNCTION("""COMPUTED_VALUE"""),0.0038263985325214392)</f>
        <v>0.003826398533</v>
      </c>
      <c r="Q162" s="5">
        <f>IFERROR(__xludf.DUMMYFUNCTION("""COMPUTED_VALUE"""),0.006197431712962964)</f>
        <v>0.006197431713</v>
      </c>
      <c r="R162" s="4">
        <f>IFERROR(__xludf.DUMMYFUNCTION("""COMPUTED_VALUE"""),45949.061974312404)</f>
        <v>45949.06197</v>
      </c>
      <c r="S162" s="1" t="b">
        <f>IFERROR(__xludf.DUMMYFUNCTION("""COMPUTED_VALUE"""),TRUE)</f>
        <v>1</v>
      </c>
      <c r="T162" s="1" t="b">
        <f>IFERROR(__xludf.DUMMYFUNCTION("""COMPUTED_VALUE"""),FALSE)</f>
        <v>0</v>
      </c>
      <c r="U162" s="1" t="str">
        <f>IFERROR(__xludf.DUMMYFUNCTION("""COMPUTED_VALUE"""),"VALID")</f>
        <v>VALID</v>
      </c>
      <c r="V162" s="1">
        <f>IFERROR(__xludf.DUMMYFUNCTION("""COMPUTED_VALUE"""),50.0)</f>
        <v>50</v>
      </c>
      <c r="W162" s="1">
        <f>IFERROR(__xludf.DUMMYFUNCTION("""COMPUTED_VALUE"""),678.0)</f>
        <v>678</v>
      </c>
      <c r="X162" s="1">
        <f>IFERROR(__xludf.DUMMYFUNCTION("""COMPUTED_VALUE"""),660.0)</f>
        <v>660</v>
      </c>
      <c r="Y162" s="2"/>
      <c r="Z162" s="2"/>
    </row>
    <row r="163">
      <c r="A163" s="1">
        <f>IFERROR(__xludf.DUMMYFUNCTION("""COMPUTED_VALUE"""),162.0)</f>
        <v>162</v>
      </c>
      <c r="B163" s="1">
        <f>IFERROR(__xludf.DUMMYFUNCTION("""COMPUTED_VALUE"""),10631.0)</f>
        <v>10631</v>
      </c>
      <c r="C163" s="2" t="str">
        <f>IFERROR(__xludf.DUMMYFUNCTION("""COMPUTED_VALUE"""),"JJWT")</f>
        <v>JJWT</v>
      </c>
      <c r="D163" s="2" t="str">
        <f>IFERROR(__xludf.DUMMYFUNCTION("""COMPUTED_VALUE"""),"10KM OVERALL F")</f>
        <v>10KM OVERALL F</v>
      </c>
      <c r="E163" s="1">
        <f>IFERROR(__xludf.DUMMYFUNCTION("""COMPUTED_VALUE"""),1.0)</f>
        <v>1</v>
      </c>
      <c r="F163" s="1" t="str">
        <f>IFERROR(__xludf.DUMMYFUNCTION("""COMPUTED_VALUE"""),"Female")</f>
        <v>Female</v>
      </c>
      <c r="G163" s="4" t="b">
        <f>IFERROR(__xludf.DUMMYFUNCTION("""COMPUTED_VALUE"""),TRUE)</f>
        <v>1</v>
      </c>
      <c r="H163" s="4" t="b">
        <f>IFERROR(__xludf.DUMMYFUNCTION("""COMPUTED_VALUE"""),TRUE)</f>
        <v>1</v>
      </c>
      <c r="I163" s="4">
        <f>IFERROR(__xludf.DUMMYFUNCTION("""COMPUTED_VALUE"""),0.24646185185185185)</f>
        <v>0.2464618519</v>
      </c>
      <c r="J163" s="4">
        <f>IFERROR(__xludf.DUMMYFUNCTION("""COMPUTED_VALUE"""),45949.259314967945)</f>
        <v>45949.25931</v>
      </c>
      <c r="K163" s="4">
        <f>IFERROR(__xludf.DUMMYFUNCTION("""COMPUTED_VALUE"""),45949.29265196735)</f>
        <v>45949.29265</v>
      </c>
      <c r="L163" s="4">
        <f>IFERROR(__xludf.DUMMYFUNCTION("""COMPUTED_VALUE"""),45949.302140446096)</f>
        <v>45949.30214</v>
      </c>
      <c r="M163" s="1" t="str">
        <f>IFERROR(__xludf.DUMMYFUNCTION("""COMPUTED_VALUE"""),"RFID")</f>
        <v>RFID</v>
      </c>
      <c r="N163" s="5">
        <f>IFERROR(__xludf.DUMMYFUNCTION("""COMPUTED_VALUE"""),0.005141245370370371)</f>
        <v>0.00514124537</v>
      </c>
      <c r="O163" s="5">
        <f>IFERROR(__xludf.DUMMYFUNCTION("""COMPUTED_VALUE"""),0.013334800925925927)</f>
        <v>0.01333480093</v>
      </c>
      <c r="P163" s="5">
        <f>IFERROR(__xludf.DUMMYFUNCTION("""COMPUTED_VALUE"""),0.0039047237641107167)</f>
        <v>0.003904723764</v>
      </c>
      <c r="Q163" s="5">
        <f>IFERROR(__xludf.DUMMYFUNCTION("""COMPUTED_VALUE"""),0.005567859953703704)</f>
        <v>0.005567859954</v>
      </c>
      <c r="R163" s="4">
        <f>IFERROR(__xludf.DUMMYFUNCTION("""COMPUTED_VALUE"""),45949.055678594246)</f>
        <v>45949.05568</v>
      </c>
      <c r="S163" s="1" t="b">
        <f>IFERROR(__xludf.DUMMYFUNCTION("""COMPUTED_VALUE"""),TRUE)</f>
        <v>1</v>
      </c>
      <c r="T163" s="1" t="b">
        <f>IFERROR(__xludf.DUMMYFUNCTION("""COMPUTED_VALUE"""),FALSE)</f>
        <v>0</v>
      </c>
      <c r="U163" s="1" t="str">
        <f>IFERROR(__xludf.DUMMYFUNCTION("""COMPUTED_VALUE"""),"VALID")</f>
        <v>VALID</v>
      </c>
      <c r="V163" s="1">
        <f>IFERROR(__xludf.DUMMYFUNCTION("""COMPUTED_VALUE"""),34.0)</f>
        <v>34</v>
      </c>
      <c r="W163" s="1">
        <f>IFERROR(__xludf.DUMMYFUNCTION("""COMPUTED_VALUE"""),567.0)</f>
        <v>567</v>
      </c>
      <c r="X163" s="1">
        <f>IFERROR(__xludf.DUMMYFUNCTION("""COMPUTED_VALUE"""),632.0)</f>
        <v>632</v>
      </c>
      <c r="Y163" s="2"/>
      <c r="Z163" s="2"/>
    </row>
    <row r="164">
      <c r="A164" s="1">
        <f>IFERROR(__xludf.DUMMYFUNCTION("""COMPUTED_VALUE"""),163.0)</f>
        <v>163</v>
      </c>
      <c r="B164" s="1">
        <f>IFERROR(__xludf.DUMMYFUNCTION("""COMPUTED_VALUE"""),10660.0)</f>
        <v>10660</v>
      </c>
      <c r="C164" s="2" t="str">
        <f>IFERROR(__xludf.DUMMYFUNCTION("""COMPUTED_VALUE"""),"Adenia")</f>
        <v>Adenia</v>
      </c>
      <c r="D164" s="2" t="str">
        <f>IFERROR(__xludf.DUMMYFUNCTION("""COMPUTED_VALUE"""),"10KM OVERALL F")</f>
        <v>10KM OVERALL F</v>
      </c>
      <c r="E164" s="1">
        <f>IFERROR(__xludf.DUMMYFUNCTION("""COMPUTED_VALUE"""),1.0)</f>
        <v>1</v>
      </c>
      <c r="F164" s="1" t="str">
        <f>IFERROR(__xludf.DUMMYFUNCTION("""COMPUTED_VALUE"""),"Female")</f>
        <v>Female</v>
      </c>
      <c r="G164" s="4" t="b">
        <f>IFERROR(__xludf.DUMMYFUNCTION("""COMPUTED_VALUE"""),TRUE)</f>
        <v>1</v>
      </c>
      <c r="H164" s="4" t="b">
        <f>IFERROR(__xludf.DUMMYFUNCTION("""COMPUTED_VALUE"""),FALSE)</f>
        <v>0</v>
      </c>
      <c r="I164" s="4">
        <f>IFERROR(__xludf.DUMMYFUNCTION("""COMPUTED_VALUE"""),0.24646185185185185)</f>
        <v>0.2464618519</v>
      </c>
      <c r="J164" s="4">
        <f>IFERROR(__xludf.DUMMYFUNCTION("""COMPUTED_VALUE"""),45949.256474597416)</f>
        <v>45949.25647</v>
      </c>
      <c r="K164" s="4">
        <f>IFERROR(__xludf.DUMMYFUNCTION("""COMPUTED_VALUE"""),45949.28587395381)</f>
        <v>45949.28587</v>
      </c>
      <c r="L164" s="4">
        <f>IFERROR(__xludf.DUMMYFUNCTION("""COMPUTED_VALUE"""),45949.29458491007)</f>
        <v>45949.29458</v>
      </c>
      <c r="M164" s="1" t="str">
        <f>IFERROR(__xludf.DUMMYFUNCTION("""COMPUTED_VALUE"""),"RFID")</f>
        <v>RFID</v>
      </c>
      <c r="N164" s="5">
        <f>IFERROR(__xludf.DUMMYFUNCTION("""COMPUTED_VALUE"""),0.004005097222222222)</f>
        <v>0.004005097222</v>
      </c>
      <c r="O164" s="5">
        <f>IFERROR(__xludf.DUMMYFUNCTION("""COMPUTED_VALUE"""),0.01175974074074074)</f>
        <v>0.01175974074</v>
      </c>
      <c r="P164" s="5">
        <f>IFERROR(__xludf.DUMMYFUNCTION("""COMPUTED_VALUE"""),0.003584755662207802)</f>
        <v>0.003584755662</v>
      </c>
      <c r="Q164" s="5">
        <f>IFERROR(__xludf.DUMMYFUNCTION("""COMPUTED_VALUE"""),0.004812305555555556)</f>
        <v>0.004812305556</v>
      </c>
      <c r="R164" s="4">
        <f>IFERROR(__xludf.DUMMYFUNCTION("""COMPUTED_VALUE"""),45949.04812305822)</f>
        <v>45949.04812</v>
      </c>
      <c r="S164" s="1" t="b">
        <f>IFERROR(__xludf.DUMMYFUNCTION("""COMPUTED_VALUE"""),TRUE)</f>
        <v>1</v>
      </c>
      <c r="T164" s="1" t="b">
        <f>IFERROR(__xludf.DUMMYFUNCTION("""COMPUTED_VALUE"""),FALSE)</f>
        <v>0</v>
      </c>
      <c r="U164" s="1" t="str">
        <f>IFERROR(__xludf.DUMMYFUNCTION("""COMPUTED_VALUE"""),"VALID")</f>
        <v>VALID</v>
      </c>
      <c r="V164" s="1">
        <f>IFERROR(__xludf.DUMMYFUNCTION("""COMPUTED_VALUE"""),17.0)</f>
        <v>17</v>
      </c>
      <c r="W164" s="1">
        <f>IFERROR(__xludf.DUMMYFUNCTION("""COMPUTED_VALUE"""),342.0)</f>
        <v>342</v>
      </c>
      <c r="X164" s="1">
        <f>IFERROR(__xludf.DUMMYFUNCTION("""COMPUTED_VALUE"""),582.0)</f>
        <v>582</v>
      </c>
      <c r="Y164" s="2"/>
      <c r="Z164" s="2"/>
    </row>
    <row r="165">
      <c r="A165" s="1">
        <f>IFERROR(__xludf.DUMMYFUNCTION("""COMPUTED_VALUE"""),164.0)</f>
        <v>164</v>
      </c>
      <c r="B165" s="1">
        <f>IFERROR(__xludf.DUMMYFUNCTION("""COMPUTED_VALUE"""),10676.0)</f>
        <v>10676</v>
      </c>
      <c r="C165" s="2" t="str">
        <f>IFERROR(__xludf.DUMMYFUNCTION("""COMPUTED_VALUE"""),"TOKO KOPI MELAYU")</f>
        <v>TOKO KOPI MELAYU</v>
      </c>
      <c r="D165" s="2" t="str">
        <f>IFERROR(__xludf.DUMMYFUNCTION("""COMPUTED_VALUE"""),"10KM OVERALL F")</f>
        <v>10KM OVERALL F</v>
      </c>
      <c r="E165" s="1">
        <f>IFERROR(__xludf.DUMMYFUNCTION("""COMPUTED_VALUE"""),1.0)</f>
        <v>1</v>
      </c>
      <c r="F165" s="1" t="str">
        <f>IFERROR(__xludf.DUMMYFUNCTION("""COMPUTED_VALUE"""),"Female")</f>
        <v>Female</v>
      </c>
      <c r="G165" s="4" t="str">
        <f>IFERROR(__xludf.DUMMYFUNCTION("""COMPUTED_VALUE"""),"")</f>
        <v/>
      </c>
      <c r="H165" s="4" t="b">
        <f>IFERROR(__xludf.DUMMYFUNCTION("""COMPUTED_VALUE"""),FALSE)</f>
        <v>0</v>
      </c>
      <c r="I165" s="4">
        <f>IFERROR(__xludf.DUMMYFUNCTION("""COMPUTED_VALUE"""),0.24646185185185185)</f>
        <v>0.2464618519</v>
      </c>
      <c r="J165" s="4" t="str">
        <f>IFERROR(__xludf.DUMMYFUNCTION("""COMPUTED_VALUE"""),"")</f>
        <v/>
      </c>
      <c r="K165" s="4" t="str">
        <f>IFERROR(__xludf.DUMMYFUNCTION("""COMPUTED_VALUE"""),"")</f>
        <v/>
      </c>
      <c r="L165" s="4" t="str">
        <f>IFERROR(__xludf.DUMMYFUNCTION("""COMPUTED_VALUE"""),"")</f>
        <v/>
      </c>
      <c r="M165" s="1" t="str">
        <f>IFERROR(__xludf.DUMMYFUNCTION("""COMPUTED_VALUE"""),"RFID")</f>
        <v>RFID</v>
      </c>
      <c r="N165" s="5" t="str">
        <f>IFERROR(__xludf.DUMMYFUNCTION("""COMPUTED_VALUE"""),"")</f>
        <v/>
      </c>
      <c r="O165" s="5" t="str">
        <f>IFERROR(__xludf.DUMMYFUNCTION("""COMPUTED_VALUE"""),"")</f>
        <v/>
      </c>
      <c r="P165" s="5" t="str">
        <f>IFERROR(__xludf.DUMMYFUNCTION("""COMPUTED_VALUE"""),"")</f>
        <v/>
      </c>
      <c r="Q165" s="5" t="str">
        <f>IFERROR(__xludf.DUMMYFUNCTION("""COMPUTED_VALUE"""),"")</f>
        <v/>
      </c>
      <c r="R165" s="4" t="str">
        <f>IFERROR(__xludf.DUMMYFUNCTION("""COMPUTED_VALUE"""),"")</f>
        <v/>
      </c>
      <c r="S165" s="1" t="b">
        <f>IFERROR(__xludf.DUMMYFUNCTION("""COMPUTED_VALUE"""),FALSE)</f>
        <v>0</v>
      </c>
      <c r="T165" s="1" t="b">
        <f>IFERROR(__xludf.DUMMYFUNCTION("""COMPUTED_VALUE"""),FALSE)</f>
        <v>0</v>
      </c>
      <c r="U165" s="1" t="str">
        <f>IFERROR(__xludf.DUMMYFUNCTION("""COMPUTED_VALUE"""),"DSQ")</f>
        <v>DSQ</v>
      </c>
      <c r="V165" s="1" t="str">
        <f>IFERROR(__xludf.DUMMYFUNCTION("""COMPUTED_VALUE"""),"DSQ")</f>
        <v>DSQ</v>
      </c>
      <c r="W165" s="1" t="str">
        <f>IFERROR(__xludf.DUMMYFUNCTION("""COMPUTED_VALUE"""),"DSQ")</f>
        <v>DSQ</v>
      </c>
      <c r="X165" s="1" t="str">
        <f>IFERROR(__xludf.DUMMYFUNCTION("""COMPUTED_VALUE"""),"DSQ")</f>
        <v>DSQ</v>
      </c>
      <c r="Y165" s="2"/>
      <c r="Z165" s="2" t="str">
        <f>IFERROR(__xludf.DUMMYFUNCTION("""COMPUTED_VALUE"""),"")</f>
        <v/>
      </c>
    </row>
    <row r="166">
      <c r="A166" s="1">
        <f>IFERROR(__xludf.DUMMYFUNCTION("""COMPUTED_VALUE"""),165.0)</f>
        <v>165</v>
      </c>
      <c r="B166" s="1">
        <f>IFERROR(__xludf.DUMMYFUNCTION("""COMPUTED_VALUE"""),10680.0)</f>
        <v>10680</v>
      </c>
      <c r="C166" s="2" t="str">
        <f>IFERROR(__xludf.DUMMYFUNCTION("""COMPUTED_VALUE"""),"Aleshaka")</f>
        <v>Aleshaka</v>
      </c>
      <c r="D166" s="2" t="str">
        <f>IFERROR(__xludf.DUMMYFUNCTION("""COMPUTED_VALUE"""),"10KM OVERALL F")</f>
        <v>10KM OVERALL F</v>
      </c>
      <c r="E166" s="1">
        <f>IFERROR(__xludf.DUMMYFUNCTION("""COMPUTED_VALUE"""),1.0)</f>
        <v>1</v>
      </c>
      <c r="F166" s="1" t="str">
        <f>IFERROR(__xludf.DUMMYFUNCTION("""COMPUTED_VALUE"""),"Female")</f>
        <v>Female</v>
      </c>
      <c r="G166" s="4" t="b">
        <f>IFERROR(__xludf.DUMMYFUNCTION("""COMPUTED_VALUE"""),TRUE)</f>
        <v>1</v>
      </c>
      <c r="H166" s="4" t="b">
        <f>IFERROR(__xludf.DUMMYFUNCTION("""COMPUTED_VALUE"""),FALSE)</f>
        <v>0</v>
      </c>
      <c r="I166" s="4">
        <f>IFERROR(__xludf.DUMMYFUNCTION("""COMPUTED_VALUE"""),0.24646185185185185)</f>
        <v>0.2464618519</v>
      </c>
      <c r="J166" s="4">
        <f>IFERROR(__xludf.DUMMYFUNCTION("""COMPUTED_VALUE"""),45949.25646418606)</f>
        <v>45949.25646</v>
      </c>
      <c r="K166" s="4">
        <f>IFERROR(__xludf.DUMMYFUNCTION("""COMPUTED_VALUE"""),45949.283887835096)</f>
        <v>45949.28389</v>
      </c>
      <c r="L166" s="4">
        <f>IFERROR(__xludf.DUMMYFUNCTION("""COMPUTED_VALUE"""),45949.29225155815)</f>
        <v>45949.29225</v>
      </c>
      <c r="M166" s="1" t="str">
        <f>IFERROR(__xludf.DUMMYFUNCTION("""COMPUTED_VALUE"""),"RFID")</f>
        <v>RFID</v>
      </c>
      <c r="N166" s="5">
        <f>IFERROR(__xludf.DUMMYFUNCTION("""COMPUTED_VALUE"""),0.0040009351851851855)</f>
        <v>0.004000935185</v>
      </c>
      <c r="O166" s="5">
        <f>IFERROR(__xludf.DUMMYFUNCTION("""COMPUTED_VALUE"""),0.010969458333333331)</f>
        <v>0.01096945833</v>
      </c>
      <c r="P166" s="5">
        <f>IFERROR(__xludf.DUMMYFUNCTION("""COMPUTED_VALUE"""),0.0034418613400785517)</f>
        <v>0.00344186134</v>
      </c>
      <c r="Q166" s="5">
        <f>IFERROR(__xludf.DUMMYFUNCTION("""COMPUTED_VALUE"""),0.004578971064814815)</f>
        <v>0.004578971065</v>
      </c>
      <c r="R166" s="4">
        <f>IFERROR(__xludf.DUMMYFUNCTION("""COMPUTED_VALUE"""),45949.0457897063)</f>
        <v>45949.04579</v>
      </c>
      <c r="S166" s="1" t="b">
        <f>IFERROR(__xludf.DUMMYFUNCTION("""COMPUTED_VALUE"""),TRUE)</f>
        <v>1</v>
      </c>
      <c r="T166" s="1" t="b">
        <f>IFERROR(__xludf.DUMMYFUNCTION("""COMPUTED_VALUE"""),FALSE)</f>
        <v>0</v>
      </c>
      <c r="U166" s="1" t="str">
        <f>IFERROR(__xludf.DUMMYFUNCTION("""COMPUTED_VALUE"""),"VALID")</f>
        <v>VALID</v>
      </c>
      <c r="V166" s="1">
        <f>IFERROR(__xludf.DUMMYFUNCTION("""COMPUTED_VALUE"""),14.0)</f>
        <v>14</v>
      </c>
      <c r="W166" s="1">
        <f>IFERROR(__xludf.DUMMYFUNCTION("""COMPUTED_VALUE"""),284.0)</f>
        <v>284</v>
      </c>
      <c r="X166" s="1">
        <f>IFERROR(__xludf.DUMMYFUNCTION("""COMPUTED_VALUE"""),532.0)</f>
        <v>532</v>
      </c>
      <c r="Y166" s="2"/>
      <c r="Z166" s="2"/>
    </row>
    <row r="167">
      <c r="A167" s="1">
        <f>IFERROR(__xludf.DUMMYFUNCTION("""COMPUTED_VALUE"""),166.0)</f>
        <v>166</v>
      </c>
      <c r="B167" s="1">
        <f>IFERROR(__xludf.DUMMYFUNCTION("""COMPUTED_VALUE"""),10686.0)</f>
        <v>10686</v>
      </c>
      <c r="C167" s="2" t="str">
        <f>IFERROR(__xludf.DUMMYFUNCTION("""COMPUTED_VALUE"""),"Sari Astuti")</f>
        <v>Sari Astuti</v>
      </c>
      <c r="D167" s="2" t="str">
        <f>IFERROR(__xludf.DUMMYFUNCTION("""COMPUTED_VALUE"""),"10KM OVERALL F")</f>
        <v>10KM OVERALL F</v>
      </c>
      <c r="E167" s="1">
        <f>IFERROR(__xludf.DUMMYFUNCTION("""COMPUTED_VALUE"""),1.0)</f>
        <v>1</v>
      </c>
      <c r="F167" s="1" t="str">
        <f>IFERROR(__xludf.DUMMYFUNCTION("""COMPUTED_VALUE"""),"Female")</f>
        <v>Female</v>
      </c>
      <c r="G167" s="4" t="b">
        <f>IFERROR(__xludf.DUMMYFUNCTION("""COMPUTED_VALUE"""),TRUE)</f>
        <v>1</v>
      </c>
      <c r="H167" s="4" t="b">
        <f>IFERROR(__xludf.DUMMYFUNCTION("""COMPUTED_VALUE"""),TRUE)</f>
        <v>1</v>
      </c>
      <c r="I167" s="4">
        <f>IFERROR(__xludf.DUMMYFUNCTION("""COMPUTED_VALUE"""),0.24646185185185185)</f>
        <v>0.2464618519</v>
      </c>
      <c r="J167" s="4">
        <f>IFERROR(__xludf.DUMMYFUNCTION("""COMPUTED_VALUE"""),45949.26123208192)</f>
        <v>45949.26123</v>
      </c>
      <c r="K167" s="4">
        <f>IFERROR(__xludf.DUMMYFUNCTION("""COMPUTED_VALUE"""),45949.301568574745)</f>
        <v>45949.30157</v>
      </c>
      <c r="L167" s="4">
        <f>IFERROR(__xludf.DUMMYFUNCTION("""COMPUTED_VALUE"""),45949.313300176145)</f>
        <v>45949.3133</v>
      </c>
      <c r="M167" s="1" t="str">
        <f>IFERROR(__xludf.DUMMYFUNCTION("""COMPUTED_VALUE"""),"RFID")</f>
        <v>RFID</v>
      </c>
      <c r="N167" s="5">
        <f>IFERROR(__xludf.DUMMYFUNCTION("""COMPUTED_VALUE"""),0.0059080925925925915)</f>
        <v>0.005908092593</v>
      </c>
      <c r="O167" s="5">
        <f>IFERROR(__xludf.DUMMYFUNCTION("""COMPUTED_VALUE"""),0.01613459722222222)</f>
        <v>0.01613459722</v>
      </c>
      <c r="P167" s="5">
        <f>IFERROR(__xludf.DUMMYFUNCTION("""COMPUTED_VALUE"""),0.004827819506272696)</f>
        <v>0.004827819506</v>
      </c>
      <c r="Q167" s="5">
        <f>IFERROR(__xludf.DUMMYFUNCTION("""COMPUTED_VALUE"""),0.0066838321759259255)</f>
        <v>0.006683832176</v>
      </c>
      <c r="R167" s="4">
        <f>IFERROR(__xludf.DUMMYFUNCTION("""COMPUTED_VALUE"""),45949.066838324296)</f>
        <v>45949.06684</v>
      </c>
      <c r="S167" s="1" t="b">
        <f>IFERROR(__xludf.DUMMYFUNCTION("""COMPUTED_VALUE"""),TRUE)</f>
        <v>1</v>
      </c>
      <c r="T167" s="1" t="b">
        <f>IFERROR(__xludf.DUMMYFUNCTION("""COMPUTED_VALUE"""),FALSE)</f>
        <v>0</v>
      </c>
      <c r="U167" s="1" t="str">
        <f>IFERROR(__xludf.DUMMYFUNCTION("""COMPUTED_VALUE"""),"VALID")</f>
        <v>VALID</v>
      </c>
      <c r="V167" s="1">
        <f>IFERROR(__xludf.DUMMYFUNCTION("""COMPUTED_VALUE"""),60.0)</f>
        <v>60</v>
      </c>
      <c r="W167" s="1">
        <f>IFERROR(__xludf.DUMMYFUNCTION("""COMPUTED_VALUE"""),717.0)</f>
        <v>717</v>
      </c>
      <c r="X167" s="1">
        <f>IFERROR(__xludf.DUMMYFUNCTION("""COMPUTED_VALUE"""),673.0)</f>
        <v>673</v>
      </c>
      <c r="Y167" s="2"/>
      <c r="Z167" s="2"/>
    </row>
    <row r="168">
      <c r="A168" s="1">
        <f>IFERROR(__xludf.DUMMYFUNCTION("""COMPUTED_VALUE"""),167.0)</f>
        <v>167</v>
      </c>
      <c r="B168" s="1">
        <f>IFERROR(__xludf.DUMMYFUNCTION("""COMPUTED_VALUE"""),10688.0)</f>
        <v>10688</v>
      </c>
      <c r="C168" s="2" t="str">
        <f>IFERROR(__xludf.DUMMYFUNCTION("""COMPUTED_VALUE"""),"ika")</f>
        <v>ika</v>
      </c>
      <c r="D168" s="2" t="str">
        <f>IFERROR(__xludf.DUMMYFUNCTION("""COMPUTED_VALUE"""),"10KM OVERALL F")</f>
        <v>10KM OVERALL F</v>
      </c>
      <c r="E168" s="1">
        <f>IFERROR(__xludf.DUMMYFUNCTION("""COMPUTED_VALUE"""),1.0)</f>
        <v>1</v>
      </c>
      <c r="F168" s="1" t="str">
        <f>IFERROR(__xludf.DUMMYFUNCTION("""COMPUTED_VALUE"""),"Female")</f>
        <v>Female</v>
      </c>
      <c r="G168" s="4" t="str">
        <f>IFERROR(__xludf.DUMMYFUNCTION("""COMPUTED_VALUE"""),"")</f>
        <v/>
      </c>
      <c r="H168" s="4" t="b">
        <f>IFERROR(__xludf.DUMMYFUNCTION("""COMPUTED_VALUE"""),TRUE)</f>
        <v>1</v>
      </c>
      <c r="I168" s="4">
        <f>IFERROR(__xludf.DUMMYFUNCTION("""COMPUTED_VALUE"""),0.24646185185185185)</f>
        <v>0.2464618519</v>
      </c>
      <c r="J168" s="4">
        <f>IFERROR(__xludf.DUMMYFUNCTION("""COMPUTED_VALUE"""),45949.27357901535)</f>
        <v>45949.27358</v>
      </c>
      <c r="K168" s="4" t="str">
        <f>IFERROR(__xludf.DUMMYFUNCTION("""COMPUTED_VALUE"""),"")</f>
        <v/>
      </c>
      <c r="L168" s="4">
        <f>IFERROR(__xludf.DUMMYFUNCTION("""COMPUTED_VALUE"""),45949.28810226163)</f>
        <v>45949.2881</v>
      </c>
      <c r="M168" s="1" t="str">
        <f>IFERROR(__xludf.DUMMYFUNCTION("""COMPUTED_VALUE"""),"RFID")</f>
        <v>RFID</v>
      </c>
      <c r="N168" s="5">
        <f>IFERROR(__xludf.DUMMYFUNCTION("""COMPUTED_VALUE"""),0.01084686574074074)</f>
        <v>0.01084686574</v>
      </c>
      <c r="O168" s="5" t="str">
        <f>IFERROR(__xludf.DUMMYFUNCTION("""COMPUTED_VALUE"""),"")</f>
        <v/>
      </c>
      <c r="P168" s="5" t="str">
        <f>IFERROR(__xludf.DUMMYFUNCTION("""COMPUTED_VALUE"""),"")</f>
        <v/>
      </c>
      <c r="Q168" s="5">
        <f>IFERROR(__xludf.DUMMYFUNCTION("""COMPUTED_VALUE"""),0.004164040509259259)</f>
        <v>0.004164040509</v>
      </c>
      <c r="R168" s="4">
        <f>IFERROR(__xludf.DUMMYFUNCTION("""COMPUTED_VALUE"""),45949.04164040978)</f>
        <v>45949.04164</v>
      </c>
      <c r="S168" s="1" t="b">
        <f>IFERROR(__xludf.DUMMYFUNCTION("""COMPUTED_VALUE"""),TRUE)</f>
        <v>1</v>
      </c>
      <c r="T168" s="1" t="b">
        <f>IFERROR(__xludf.DUMMYFUNCTION("""COMPUTED_VALUE"""),FALSE)</f>
        <v>0</v>
      </c>
      <c r="U168" s="1" t="str">
        <f>IFERROR(__xludf.DUMMYFUNCTION("""COMPUTED_VALUE"""),"VALID")</f>
        <v>VALID</v>
      </c>
      <c r="V168" s="1">
        <f>IFERROR(__xludf.DUMMYFUNCTION("""COMPUTED_VALUE"""),7.0)</f>
        <v>7</v>
      </c>
      <c r="W168" s="1">
        <f>IFERROR(__xludf.DUMMYFUNCTION("""COMPUTED_VALUE"""),159.0)</f>
        <v>159</v>
      </c>
      <c r="X168" s="1">
        <f>IFERROR(__xludf.DUMMYFUNCTION("""COMPUTED_VALUE"""),426.0)</f>
        <v>426</v>
      </c>
      <c r="Y168" s="2"/>
      <c r="Z168" s="2"/>
    </row>
    <row r="169">
      <c r="A169" s="1">
        <f>IFERROR(__xludf.DUMMYFUNCTION("""COMPUTED_VALUE"""),168.0)</f>
        <v>168</v>
      </c>
      <c r="B169" s="1">
        <f>IFERROR(__xludf.DUMMYFUNCTION("""COMPUTED_VALUE"""),10701.0)</f>
        <v>10701</v>
      </c>
      <c r="C169" s="2" t="str">
        <f>IFERROR(__xludf.DUMMYFUNCTION("""COMPUTED_VALUE"""),"Icha")</f>
        <v>Icha</v>
      </c>
      <c r="D169" s="2" t="str">
        <f>IFERROR(__xludf.DUMMYFUNCTION("""COMPUTED_VALUE"""),"10KM OVERALL F")</f>
        <v>10KM OVERALL F</v>
      </c>
      <c r="E169" s="1">
        <f>IFERROR(__xludf.DUMMYFUNCTION("""COMPUTED_VALUE"""),1.0)</f>
        <v>1</v>
      </c>
      <c r="F169" s="1" t="str">
        <f>IFERROR(__xludf.DUMMYFUNCTION("""COMPUTED_VALUE"""),"Female")</f>
        <v>Female</v>
      </c>
      <c r="G169" s="4" t="str">
        <f>IFERROR(__xludf.DUMMYFUNCTION("""COMPUTED_VALUE"""),"")</f>
        <v/>
      </c>
      <c r="H169" s="4" t="b">
        <f>IFERROR(__xludf.DUMMYFUNCTION("""COMPUTED_VALUE"""),FALSE)</f>
        <v>0</v>
      </c>
      <c r="I169" s="4">
        <f>IFERROR(__xludf.DUMMYFUNCTION("""COMPUTED_VALUE"""),0.24646185185185185)</f>
        <v>0.2464618519</v>
      </c>
      <c r="J169" s="4" t="str">
        <f>IFERROR(__xludf.DUMMYFUNCTION("""COMPUTED_VALUE"""),"")</f>
        <v/>
      </c>
      <c r="K169" s="4" t="str">
        <f>IFERROR(__xludf.DUMMYFUNCTION("""COMPUTED_VALUE"""),"")</f>
        <v/>
      </c>
      <c r="L169" s="4" t="str">
        <f>IFERROR(__xludf.DUMMYFUNCTION("""COMPUTED_VALUE"""),"")</f>
        <v/>
      </c>
      <c r="M169" s="1" t="str">
        <f>IFERROR(__xludf.DUMMYFUNCTION("""COMPUTED_VALUE"""),"RFID")</f>
        <v>RFID</v>
      </c>
      <c r="N169" s="5" t="str">
        <f>IFERROR(__xludf.DUMMYFUNCTION("""COMPUTED_VALUE"""),"")</f>
        <v/>
      </c>
      <c r="O169" s="5" t="str">
        <f>IFERROR(__xludf.DUMMYFUNCTION("""COMPUTED_VALUE"""),"")</f>
        <v/>
      </c>
      <c r="P169" s="5" t="str">
        <f>IFERROR(__xludf.DUMMYFUNCTION("""COMPUTED_VALUE"""),"")</f>
        <v/>
      </c>
      <c r="Q169" s="5" t="str">
        <f>IFERROR(__xludf.DUMMYFUNCTION("""COMPUTED_VALUE"""),"")</f>
        <v/>
      </c>
      <c r="R169" s="4" t="str">
        <f>IFERROR(__xludf.DUMMYFUNCTION("""COMPUTED_VALUE"""),"")</f>
        <v/>
      </c>
      <c r="S169" s="1" t="b">
        <f>IFERROR(__xludf.DUMMYFUNCTION("""COMPUTED_VALUE"""),FALSE)</f>
        <v>0</v>
      </c>
      <c r="T169" s="1" t="b">
        <f>IFERROR(__xludf.DUMMYFUNCTION("""COMPUTED_VALUE"""),FALSE)</f>
        <v>0</v>
      </c>
      <c r="U169" s="1" t="str">
        <f>IFERROR(__xludf.DUMMYFUNCTION("""COMPUTED_VALUE"""),"DSQ")</f>
        <v>DSQ</v>
      </c>
      <c r="V169" s="1" t="str">
        <f>IFERROR(__xludf.DUMMYFUNCTION("""COMPUTED_VALUE"""),"DSQ")</f>
        <v>DSQ</v>
      </c>
      <c r="W169" s="1" t="str">
        <f>IFERROR(__xludf.DUMMYFUNCTION("""COMPUTED_VALUE"""),"DSQ")</f>
        <v>DSQ</v>
      </c>
      <c r="X169" s="1" t="str">
        <f>IFERROR(__xludf.DUMMYFUNCTION("""COMPUTED_VALUE"""),"DSQ")</f>
        <v>DSQ</v>
      </c>
      <c r="Y169" s="2"/>
      <c r="Z169" s="2" t="str">
        <f>IFERROR(__xludf.DUMMYFUNCTION("""COMPUTED_VALUE"""),"")</f>
        <v/>
      </c>
    </row>
    <row r="170">
      <c r="A170" s="1">
        <f>IFERROR(__xludf.DUMMYFUNCTION("""COMPUTED_VALUE"""),169.0)</f>
        <v>169</v>
      </c>
      <c r="B170" s="1">
        <f>IFERROR(__xludf.DUMMYFUNCTION("""COMPUTED_VALUE"""),10702.0)</f>
        <v>10702</v>
      </c>
      <c r="C170" s="2" t="str">
        <f>IFERROR(__xludf.DUMMYFUNCTION("""COMPUTED_VALUE"""),"TOKO KOPI MELAYU")</f>
        <v>TOKO KOPI MELAYU</v>
      </c>
      <c r="D170" s="2" t="str">
        <f>IFERROR(__xludf.DUMMYFUNCTION("""COMPUTED_VALUE"""),"10KM OVERALL F")</f>
        <v>10KM OVERALL F</v>
      </c>
      <c r="E170" s="1">
        <f>IFERROR(__xludf.DUMMYFUNCTION("""COMPUTED_VALUE"""),1.0)</f>
        <v>1</v>
      </c>
      <c r="F170" s="1" t="str">
        <f>IFERROR(__xludf.DUMMYFUNCTION("""COMPUTED_VALUE"""),"Female")</f>
        <v>Female</v>
      </c>
      <c r="G170" s="4" t="str">
        <f>IFERROR(__xludf.DUMMYFUNCTION("""COMPUTED_VALUE"""),"")</f>
        <v/>
      </c>
      <c r="H170" s="4" t="b">
        <f>IFERROR(__xludf.DUMMYFUNCTION("""COMPUTED_VALUE"""),FALSE)</f>
        <v>0</v>
      </c>
      <c r="I170" s="4">
        <f>IFERROR(__xludf.DUMMYFUNCTION("""COMPUTED_VALUE"""),0.24646185185185185)</f>
        <v>0.2464618519</v>
      </c>
      <c r="J170" s="4" t="str">
        <f>IFERROR(__xludf.DUMMYFUNCTION("""COMPUTED_VALUE"""),"")</f>
        <v/>
      </c>
      <c r="K170" s="4" t="str">
        <f>IFERROR(__xludf.DUMMYFUNCTION("""COMPUTED_VALUE"""),"")</f>
        <v/>
      </c>
      <c r="L170" s="4" t="str">
        <f>IFERROR(__xludf.DUMMYFUNCTION("""COMPUTED_VALUE"""),"")</f>
        <v/>
      </c>
      <c r="M170" s="1" t="str">
        <f>IFERROR(__xludf.DUMMYFUNCTION("""COMPUTED_VALUE"""),"RFID")</f>
        <v>RFID</v>
      </c>
      <c r="N170" s="5" t="str">
        <f>IFERROR(__xludf.DUMMYFUNCTION("""COMPUTED_VALUE"""),"")</f>
        <v/>
      </c>
      <c r="O170" s="5" t="str">
        <f>IFERROR(__xludf.DUMMYFUNCTION("""COMPUTED_VALUE"""),"")</f>
        <v/>
      </c>
      <c r="P170" s="5" t="str">
        <f>IFERROR(__xludf.DUMMYFUNCTION("""COMPUTED_VALUE"""),"")</f>
        <v/>
      </c>
      <c r="Q170" s="5" t="str">
        <f>IFERROR(__xludf.DUMMYFUNCTION("""COMPUTED_VALUE"""),"")</f>
        <v/>
      </c>
      <c r="R170" s="4" t="str">
        <f>IFERROR(__xludf.DUMMYFUNCTION("""COMPUTED_VALUE"""),"")</f>
        <v/>
      </c>
      <c r="S170" s="1" t="b">
        <f>IFERROR(__xludf.DUMMYFUNCTION("""COMPUTED_VALUE"""),FALSE)</f>
        <v>0</v>
      </c>
      <c r="T170" s="1" t="b">
        <f>IFERROR(__xludf.DUMMYFUNCTION("""COMPUTED_VALUE"""),FALSE)</f>
        <v>0</v>
      </c>
      <c r="U170" s="1" t="str">
        <f>IFERROR(__xludf.DUMMYFUNCTION("""COMPUTED_VALUE"""),"DSQ")</f>
        <v>DSQ</v>
      </c>
      <c r="V170" s="1" t="str">
        <f>IFERROR(__xludf.DUMMYFUNCTION("""COMPUTED_VALUE"""),"DSQ")</f>
        <v>DSQ</v>
      </c>
      <c r="W170" s="1" t="str">
        <f>IFERROR(__xludf.DUMMYFUNCTION("""COMPUTED_VALUE"""),"DSQ")</f>
        <v>DSQ</v>
      </c>
      <c r="X170" s="1" t="str">
        <f>IFERROR(__xludf.DUMMYFUNCTION("""COMPUTED_VALUE"""),"DSQ")</f>
        <v>DSQ</v>
      </c>
      <c r="Y170" s="2"/>
      <c r="Z170" s="2" t="str">
        <f>IFERROR(__xludf.DUMMYFUNCTION("""COMPUTED_VALUE"""),"")</f>
        <v/>
      </c>
    </row>
    <row r="171">
      <c r="A171" s="1">
        <f>IFERROR(__xludf.DUMMYFUNCTION("""COMPUTED_VALUE"""),170.0)</f>
        <v>170</v>
      </c>
      <c r="B171" s="1">
        <f>IFERROR(__xludf.DUMMYFUNCTION("""COMPUTED_VALUE"""),10704.0)</f>
        <v>10704</v>
      </c>
      <c r="C171" s="2" t="str">
        <f>IFERROR(__xludf.DUMMYFUNCTION("""COMPUTED_VALUE"""),"POLRES")</f>
        <v>POLRES</v>
      </c>
      <c r="D171" s="2" t="str">
        <f>IFERROR(__xludf.DUMMYFUNCTION("""COMPUTED_VALUE"""),"10KM OVERALL F")</f>
        <v>10KM OVERALL F</v>
      </c>
      <c r="E171" s="1">
        <f>IFERROR(__xludf.DUMMYFUNCTION("""COMPUTED_VALUE"""),1.0)</f>
        <v>1</v>
      </c>
      <c r="F171" s="1" t="str">
        <f>IFERROR(__xludf.DUMMYFUNCTION("""COMPUTED_VALUE"""),"Female")</f>
        <v>Female</v>
      </c>
      <c r="G171" s="4" t="str">
        <f>IFERROR(__xludf.DUMMYFUNCTION("""COMPUTED_VALUE"""),"")</f>
        <v/>
      </c>
      <c r="H171" s="4" t="b">
        <f>IFERROR(__xludf.DUMMYFUNCTION("""COMPUTED_VALUE"""),FALSE)</f>
        <v>0</v>
      </c>
      <c r="I171" s="4">
        <f>IFERROR(__xludf.DUMMYFUNCTION("""COMPUTED_VALUE"""),0.24646185185185185)</f>
        <v>0.2464618519</v>
      </c>
      <c r="J171" s="4" t="str">
        <f>IFERROR(__xludf.DUMMYFUNCTION("""COMPUTED_VALUE"""),"")</f>
        <v/>
      </c>
      <c r="K171" s="4" t="str">
        <f>IFERROR(__xludf.DUMMYFUNCTION("""COMPUTED_VALUE"""),"")</f>
        <v/>
      </c>
      <c r="L171" s="4" t="str">
        <f>IFERROR(__xludf.DUMMYFUNCTION("""COMPUTED_VALUE"""),"")</f>
        <v/>
      </c>
      <c r="M171" s="1" t="str">
        <f>IFERROR(__xludf.DUMMYFUNCTION("""COMPUTED_VALUE"""),"RFID")</f>
        <v>RFID</v>
      </c>
      <c r="N171" s="5" t="str">
        <f>IFERROR(__xludf.DUMMYFUNCTION("""COMPUTED_VALUE"""),"")</f>
        <v/>
      </c>
      <c r="O171" s="5" t="str">
        <f>IFERROR(__xludf.DUMMYFUNCTION("""COMPUTED_VALUE"""),"")</f>
        <v/>
      </c>
      <c r="P171" s="5" t="str">
        <f>IFERROR(__xludf.DUMMYFUNCTION("""COMPUTED_VALUE"""),"")</f>
        <v/>
      </c>
      <c r="Q171" s="5" t="str">
        <f>IFERROR(__xludf.DUMMYFUNCTION("""COMPUTED_VALUE"""),"")</f>
        <v/>
      </c>
      <c r="R171" s="4" t="str">
        <f>IFERROR(__xludf.DUMMYFUNCTION("""COMPUTED_VALUE"""),"")</f>
        <v/>
      </c>
      <c r="S171" s="1" t="b">
        <f>IFERROR(__xludf.DUMMYFUNCTION("""COMPUTED_VALUE"""),FALSE)</f>
        <v>0</v>
      </c>
      <c r="T171" s="1" t="b">
        <f>IFERROR(__xludf.DUMMYFUNCTION("""COMPUTED_VALUE"""),FALSE)</f>
        <v>0</v>
      </c>
      <c r="U171" s="1" t="str">
        <f>IFERROR(__xludf.DUMMYFUNCTION("""COMPUTED_VALUE"""),"DSQ")</f>
        <v>DSQ</v>
      </c>
      <c r="V171" s="1" t="str">
        <f>IFERROR(__xludf.DUMMYFUNCTION("""COMPUTED_VALUE"""),"DSQ")</f>
        <v>DSQ</v>
      </c>
      <c r="W171" s="1" t="str">
        <f>IFERROR(__xludf.DUMMYFUNCTION("""COMPUTED_VALUE"""),"DSQ")</f>
        <v>DSQ</v>
      </c>
      <c r="X171" s="1" t="str">
        <f>IFERROR(__xludf.DUMMYFUNCTION("""COMPUTED_VALUE"""),"DSQ")</f>
        <v>DSQ</v>
      </c>
      <c r="Y171" s="2"/>
      <c r="Z171" s="2" t="str">
        <f>IFERROR(__xludf.DUMMYFUNCTION("""COMPUTED_VALUE"""),"")</f>
        <v/>
      </c>
    </row>
    <row r="172">
      <c r="A172" s="1">
        <f>IFERROR(__xludf.DUMMYFUNCTION("""COMPUTED_VALUE"""),171.0)</f>
        <v>171</v>
      </c>
      <c r="B172" s="1">
        <f>IFERROR(__xludf.DUMMYFUNCTION("""COMPUTED_VALUE"""),10705.0)</f>
        <v>10705</v>
      </c>
      <c r="C172" s="2" t="str">
        <f>IFERROR(__xludf.DUMMYFUNCTION("""COMPUTED_VALUE"""),"POLRES")</f>
        <v>POLRES</v>
      </c>
      <c r="D172" s="2" t="str">
        <f>IFERROR(__xludf.DUMMYFUNCTION("""COMPUTED_VALUE"""),"10KM OVERALL F")</f>
        <v>10KM OVERALL F</v>
      </c>
      <c r="E172" s="1">
        <f>IFERROR(__xludf.DUMMYFUNCTION("""COMPUTED_VALUE"""),1.0)</f>
        <v>1</v>
      </c>
      <c r="F172" s="1" t="str">
        <f>IFERROR(__xludf.DUMMYFUNCTION("""COMPUTED_VALUE"""),"Female")</f>
        <v>Female</v>
      </c>
      <c r="G172" s="4" t="str">
        <f>IFERROR(__xludf.DUMMYFUNCTION("""COMPUTED_VALUE"""),"")</f>
        <v/>
      </c>
      <c r="H172" s="4" t="b">
        <f>IFERROR(__xludf.DUMMYFUNCTION("""COMPUTED_VALUE"""),FALSE)</f>
        <v>0</v>
      </c>
      <c r="I172" s="4">
        <f>IFERROR(__xludf.DUMMYFUNCTION("""COMPUTED_VALUE"""),0.24646185185185185)</f>
        <v>0.2464618519</v>
      </c>
      <c r="J172" s="4" t="str">
        <f>IFERROR(__xludf.DUMMYFUNCTION("""COMPUTED_VALUE"""),"")</f>
        <v/>
      </c>
      <c r="K172" s="4" t="str">
        <f>IFERROR(__xludf.DUMMYFUNCTION("""COMPUTED_VALUE"""),"")</f>
        <v/>
      </c>
      <c r="L172" s="4" t="str">
        <f>IFERROR(__xludf.DUMMYFUNCTION("""COMPUTED_VALUE"""),"")</f>
        <v/>
      </c>
      <c r="M172" s="1" t="str">
        <f>IFERROR(__xludf.DUMMYFUNCTION("""COMPUTED_VALUE"""),"RFID")</f>
        <v>RFID</v>
      </c>
      <c r="N172" s="5" t="str">
        <f>IFERROR(__xludf.DUMMYFUNCTION("""COMPUTED_VALUE"""),"")</f>
        <v/>
      </c>
      <c r="O172" s="5" t="str">
        <f>IFERROR(__xludf.DUMMYFUNCTION("""COMPUTED_VALUE"""),"")</f>
        <v/>
      </c>
      <c r="P172" s="5" t="str">
        <f>IFERROR(__xludf.DUMMYFUNCTION("""COMPUTED_VALUE"""),"")</f>
        <v/>
      </c>
      <c r="Q172" s="5" t="str">
        <f>IFERROR(__xludf.DUMMYFUNCTION("""COMPUTED_VALUE"""),"")</f>
        <v/>
      </c>
      <c r="R172" s="4" t="str">
        <f>IFERROR(__xludf.DUMMYFUNCTION("""COMPUTED_VALUE"""),"")</f>
        <v/>
      </c>
      <c r="S172" s="1" t="b">
        <f>IFERROR(__xludf.DUMMYFUNCTION("""COMPUTED_VALUE"""),FALSE)</f>
        <v>0</v>
      </c>
      <c r="T172" s="1" t="b">
        <f>IFERROR(__xludf.DUMMYFUNCTION("""COMPUTED_VALUE"""),FALSE)</f>
        <v>0</v>
      </c>
      <c r="U172" s="1" t="str">
        <f>IFERROR(__xludf.DUMMYFUNCTION("""COMPUTED_VALUE"""),"DSQ")</f>
        <v>DSQ</v>
      </c>
      <c r="V172" s="1" t="str">
        <f>IFERROR(__xludf.DUMMYFUNCTION("""COMPUTED_VALUE"""),"DSQ")</f>
        <v>DSQ</v>
      </c>
      <c r="W172" s="1" t="str">
        <f>IFERROR(__xludf.DUMMYFUNCTION("""COMPUTED_VALUE"""),"DSQ")</f>
        <v>DSQ</v>
      </c>
      <c r="X172" s="1" t="str">
        <f>IFERROR(__xludf.DUMMYFUNCTION("""COMPUTED_VALUE"""),"DSQ")</f>
        <v>DSQ</v>
      </c>
      <c r="Y172" s="2"/>
      <c r="Z172" s="2" t="str">
        <f>IFERROR(__xludf.DUMMYFUNCTION("""COMPUTED_VALUE"""),"")</f>
        <v/>
      </c>
    </row>
    <row r="173">
      <c r="A173" s="1">
        <f>IFERROR(__xludf.DUMMYFUNCTION("""COMPUTED_VALUE"""),172.0)</f>
        <v>172</v>
      </c>
      <c r="B173" s="1">
        <f>IFERROR(__xludf.DUMMYFUNCTION("""COMPUTED_VALUE"""),10706.0)</f>
        <v>10706</v>
      </c>
      <c r="C173" s="2" t="str">
        <f>IFERROR(__xludf.DUMMYFUNCTION("""COMPUTED_VALUE"""),"POLRES")</f>
        <v>POLRES</v>
      </c>
      <c r="D173" s="2" t="str">
        <f>IFERROR(__xludf.DUMMYFUNCTION("""COMPUTED_VALUE"""),"10KM OVERALL F")</f>
        <v>10KM OVERALL F</v>
      </c>
      <c r="E173" s="1">
        <f>IFERROR(__xludf.DUMMYFUNCTION("""COMPUTED_VALUE"""),1.0)</f>
        <v>1</v>
      </c>
      <c r="F173" s="1" t="str">
        <f>IFERROR(__xludf.DUMMYFUNCTION("""COMPUTED_VALUE"""),"Female")</f>
        <v>Female</v>
      </c>
      <c r="G173" s="4" t="str">
        <f>IFERROR(__xludf.DUMMYFUNCTION("""COMPUTED_VALUE"""),"")</f>
        <v/>
      </c>
      <c r="H173" s="4" t="b">
        <f>IFERROR(__xludf.DUMMYFUNCTION("""COMPUTED_VALUE"""),FALSE)</f>
        <v>0</v>
      </c>
      <c r="I173" s="4">
        <f>IFERROR(__xludf.DUMMYFUNCTION("""COMPUTED_VALUE"""),0.24646185185185185)</f>
        <v>0.2464618519</v>
      </c>
      <c r="J173" s="4" t="str">
        <f>IFERROR(__xludf.DUMMYFUNCTION("""COMPUTED_VALUE"""),"")</f>
        <v/>
      </c>
      <c r="K173" s="4" t="str">
        <f>IFERROR(__xludf.DUMMYFUNCTION("""COMPUTED_VALUE"""),"")</f>
        <v/>
      </c>
      <c r="L173" s="4" t="str">
        <f>IFERROR(__xludf.DUMMYFUNCTION("""COMPUTED_VALUE"""),"")</f>
        <v/>
      </c>
      <c r="M173" s="1" t="str">
        <f>IFERROR(__xludf.DUMMYFUNCTION("""COMPUTED_VALUE"""),"RFID")</f>
        <v>RFID</v>
      </c>
      <c r="N173" s="5" t="str">
        <f>IFERROR(__xludf.DUMMYFUNCTION("""COMPUTED_VALUE"""),"")</f>
        <v/>
      </c>
      <c r="O173" s="5" t="str">
        <f>IFERROR(__xludf.DUMMYFUNCTION("""COMPUTED_VALUE"""),"")</f>
        <v/>
      </c>
      <c r="P173" s="5" t="str">
        <f>IFERROR(__xludf.DUMMYFUNCTION("""COMPUTED_VALUE"""),"")</f>
        <v/>
      </c>
      <c r="Q173" s="5" t="str">
        <f>IFERROR(__xludf.DUMMYFUNCTION("""COMPUTED_VALUE"""),"")</f>
        <v/>
      </c>
      <c r="R173" s="4" t="str">
        <f>IFERROR(__xludf.DUMMYFUNCTION("""COMPUTED_VALUE"""),"")</f>
        <v/>
      </c>
      <c r="S173" s="1" t="b">
        <f>IFERROR(__xludf.DUMMYFUNCTION("""COMPUTED_VALUE"""),FALSE)</f>
        <v>0</v>
      </c>
      <c r="T173" s="1" t="b">
        <f>IFERROR(__xludf.DUMMYFUNCTION("""COMPUTED_VALUE"""),FALSE)</f>
        <v>0</v>
      </c>
      <c r="U173" s="1" t="str">
        <f>IFERROR(__xludf.DUMMYFUNCTION("""COMPUTED_VALUE"""),"DSQ")</f>
        <v>DSQ</v>
      </c>
      <c r="V173" s="1" t="str">
        <f>IFERROR(__xludf.DUMMYFUNCTION("""COMPUTED_VALUE"""),"DSQ")</f>
        <v>DSQ</v>
      </c>
      <c r="W173" s="1" t="str">
        <f>IFERROR(__xludf.DUMMYFUNCTION("""COMPUTED_VALUE"""),"DSQ")</f>
        <v>DSQ</v>
      </c>
      <c r="X173" s="1" t="str">
        <f>IFERROR(__xludf.DUMMYFUNCTION("""COMPUTED_VALUE"""),"DSQ")</f>
        <v>DSQ</v>
      </c>
      <c r="Y173" s="2"/>
      <c r="Z173" s="2" t="str">
        <f>IFERROR(__xludf.DUMMYFUNCTION("""COMPUTED_VALUE"""),"")</f>
        <v/>
      </c>
    </row>
    <row r="174">
      <c r="A174" s="1">
        <f>IFERROR(__xludf.DUMMYFUNCTION("""COMPUTED_VALUE"""),173.0)</f>
        <v>173</v>
      </c>
      <c r="B174" s="1">
        <f>IFERROR(__xludf.DUMMYFUNCTION("""COMPUTED_VALUE"""),10707.0)</f>
        <v>10707</v>
      </c>
      <c r="C174" s="2" t="str">
        <f>IFERROR(__xludf.DUMMYFUNCTION("""COMPUTED_VALUE"""),"POLRES")</f>
        <v>POLRES</v>
      </c>
      <c r="D174" s="2" t="str">
        <f>IFERROR(__xludf.DUMMYFUNCTION("""COMPUTED_VALUE"""),"10KM OVERALL F")</f>
        <v>10KM OVERALL F</v>
      </c>
      <c r="E174" s="1">
        <f>IFERROR(__xludf.DUMMYFUNCTION("""COMPUTED_VALUE"""),1.0)</f>
        <v>1</v>
      </c>
      <c r="F174" s="1" t="str">
        <f>IFERROR(__xludf.DUMMYFUNCTION("""COMPUTED_VALUE"""),"Female")</f>
        <v>Female</v>
      </c>
      <c r="G174" s="4" t="str">
        <f>IFERROR(__xludf.DUMMYFUNCTION("""COMPUTED_VALUE"""),"")</f>
        <v/>
      </c>
      <c r="H174" s="4" t="b">
        <f>IFERROR(__xludf.DUMMYFUNCTION("""COMPUTED_VALUE"""),FALSE)</f>
        <v>0</v>
      </c>
      <c r="I174" s="4">
        <f>IFERROR(__xludf.DUMMYFUNCTION("""COMPUTED_VALUE"""),0.24646185185185185)</f>
        <v>0.2464618519</v>
      </c>
      <c r="J174" s="4" t="str">
        <f>IFERROR(__xludf.DUMMYFUNCTION("""COMPUTED_VALUE"""),"")</f>
        <v/>
      </c>
      <c r="K174" s="4" t="str">
        <f>IFERROR(__xludf.DUMMYFUNCTION("""COMPUTED_VALUE"""),"")</f>
        <v/>
      </c>
      <c r="L174" s="4" t="str">
        <f>IFERROR(__xludf.DUMMYFUNCTION("""COMPUTED_VALUE"""),"")</f>
        <v/>
      </c>
      <c r="M174" s="1" t="str">
        <f>IFERROR(__xludf.DUMMYFUNCTION("""COMPUTED_VALUE"""),"RFID")</f>
        <v>RFID</v>
      </c>
      <c r="N174" s="5" t="str">
        <f>IFERROR(__xludf.DUMMYFUNCTION("""COMPUTED_VALUE"""),"")</f>
        <v/>
      </c>
      <c r="O174" s="5" t="str">
        <f>IFERROR(__xludf.DUMMYFUNCTION("""COMPUTED_VALUE"""),"")</f>
        <v/>
      </c>
      <c r="P174" s="5" t="str">
        <f>IFERROR(__xludf.DUMMYFUNCTION("""COMPUTED_VALUE"""),"")</f>
        <v/>
      </c>
      <c r="Q174" s="5" t="str">
        <f>IFERROR(__xludf.DUMMYFUNCTION("""COMPUTED_VALUE"""),"")</f>
        <v/>
      </c>
      <c r="R174" s="4" t="str">
        <f>IFERROR(__xludf.DUMMYFUNCTION("""COMPUTED_VALUE"""),"")</f>
        <v/>
      </c>
      <c r="S174" s="1" t="b">
        <f>IFERROR(__xludf.DUMMYFUNCTION("""COMPUTED_VALUE"""),FALSE)</f>
        <v>0</v>
      </c>
      <c r="T174" s="1" t="b">
        <f>IFERROR(__xludf.DUMMYFUNCTION("""COMPUTED_VALUE"""),FALSE)</f>
        <v>0</v>
      </c>
      <c r="U174" s="1" t="str">
        <f>IFERROR(__xludf.DUMMYFUNCTION("""COMPUTED_VALUE"""),"DSQ")</f>
        <v>DSQ</v>
      </c>
      <c r="V174" s="1" t="str">
        <f>IFERROR(__xludf.DUMMYFUNCTION("""COMPUTED_VALUE"""),"DSQ")</f>
        <v>DSQ</v>
      </c>
      <c r="W174" s="1" t="str">
        <f>IFERROR(__xludf.DUMMYFUNCTION("""COMPUTED_VALUE"""),"DSQ")</f>
        <v>DSQ</v>
      </c>
      <c r="X174" s="1" t="str">
        <f>IFERROR(__xludf.DUMMYFUNCTION("""COMPUTED_VALUE"""),"DSQ")</f>
        <v>DSQ</v>
      </c>
      <c r="Y174" s="2"/>
      <c r="Z174" s="2" t="str">
        <f>IFERROR(__xludf.DUMMYFUNCTION("""COMPUTED_VALUE"""),"")</f>
        <v/>
      </c>
    </row>
    <row r="175">
      <c r="A175" s="1">
        <f>IFERROR(__xludf.DUMMYFUNCTION("""COMPUTED_VALUE"""),174.0)</f>
        <v>174</v>
      </c>
      <c r="B175" s="1">
        <f>IFERROR(__xludf.DUMMYFUNCTION("""COMPUTED_VALUE"""),10709.0)</f>
        <v>10709</v>
      </c>
      <c r="C175" s="2" t="str">
        <f>IFERROR(__xludf.DUMMYFUNCTION("""COMPUTED_VALUE"""),"POLRES")</f>
        <v>POLRES</v>
      </c>
      <c r="D175" s="2" t="str">
        <f>IFERROR(__xludf.DUMMYFUNCTION("""COMPUTED_VALUE"""),"10KM OVERALL F")</f>
        <v>10KM OVERALL F</v>
      </c>
      <c r="E175" s="1">
        <f>IFERROR(__xludf.DUMMYFUNCTION("""COMPUTED_VALUE"""),1.0)</f>
        <v>1</v>
      </c>
      <c r="F175" s="1" t="str">
        <f>IFERROR(__xludf.DUMMYFUNCTION("""COMPUTED_VALUE"""),"Female")</f>
        <v>Female</v>
      </c>
      <c r="G175" s="4" t="str">
        <f>IFERROR(__xludf.DUMMYFUNCTION("""COMPUTED_VALUE"""),"")</f>
        <v/>
      </c>
      <c r="H175" s="4" t="b">
        <f>IFERROR(__xludf.DUMMYFUNCTION("""COMPUTED_VALUE"""),FALSE)</f>
        <v>0</v>
      </c>
      <c r="I175" s="4">
        <f>IFERROR(__xludf.DUMMYFUNCTION("""COMPUTED_VALUE"""),0.24646185185185185)</f>
        <v>0.2464618519</v>
      </c>
      <c r="J175" s="4" t="str">
        <f>IFERROR(__xludf.DUMMYFUNCTION("""COMPUTED_VALUE"""),"")</f>
        <v/>
      </c>
      <c r="K175" s="4" t="str">
        <f>IFERROR(__xludf.DUMMYFUNCTION("""COMPUTED_VALUE"""),"")</f>
        <v/>
      </c>
      <c r="L175" s="4" t="str">
        <f>IFERROR(__xludf.DUMMYFUNCTION("""COMPUTED_VALUE"""),"")</f>
        <v/>
      </c>
      <c r="M175" s="1" t="str">
        <f>IFERROR(__xludf.DUMMYFUNCTION("""COMPUTED_VALUE"""),"RFID")</f>
        <v>RFID</v>
      </c>
      <c r="N175" s="5" t="str">
        <f>IFERROR(__xludf.DUMMYFUNCTION("""COMPUTED_VALUE"""),"")</f>
        <v/>
      </c>
      <c r="O175" s="5" t="str">
        <f>IFERROR(__xludf.DUMMYFUNCTION("""COMPUTED_VALUE"""),"")</f>
        <v/>
      </c>
      <c r="P175" s="5" t="str">
        <f>IFERROR(__xludf.DUMMYFUNCTION("""COMPUTED_VALUE"""),"")</f>
        <v/>
      </c>
      <c r="Q175" s="5" t="str">
        <f>IFERROR(__xludf.DUMMYFUNCTION("""COMPUTED_VALUE"""),"")</f>
        <v/>
      </c>
      <c r="R175" s="4" t="str">
        <f>IFERROR(__xludf.DUMMYFUNCTION("""COMPUTED_VALUE"""),"")</f>
        <v/>
      </c>
      <c r="S175" s="1" t="b">
        <f>IFERROR(__xludf.DUMMYFUNCTION("""COMPUTED_VALUE"""),FALSE)</f>
        <v>0</v>
      </c>
      <c r="T175" s="1" t="b">
        <f>IFERROR(__xludf.DUMMYFUNCTION("""COMPUTED_VALUE"""),FALSE)</f>
        <v>0</v>
      </c>
      <c r="U175" s="1" t="str">
        <f>IFERROR(__xludf.DUMMYFUNCTION("""COMPUTED_VALUE"""),"DSQ")</f>
        <v>DSQ</v>
      </c>
      <c r="V175" s="1" t="str">
        <f>IFERROR(__xludf.DUMMYFUNCTION("""COMPUTED_VALUE"""),"DSQ")</f>
        <v>DSQ</v>
      </c>
      <c r="W175" s="1" t="str">
        <f>IFERROR(__xludf.DUMMYFUNCTION("""COMPUTED_VALUE"""),"DSQ")</f>
        <v>DSQ</v>
      </c>
      <c r="X175" s="1" t="str">
        <f>IFERROR(__xludf.DUMMYFUNCTION("""COMPUTED_VALUE"""),"DSQ")</f>
        <v>DSQ</v>
      </c>
      <c r="Y175" s="2"/>
      <c r="Z175" s="2" t="str">
        <f>IFERROR(__xludf.DUMMYFUNCTION("""COMPUTED_VALUE"""),"")</f>
        <v/>
      </c>
    </row>
    <row r="176">
      <c r="A176" s="1">
        <f>IFERROR(__xludf.DUMMYFUNCTION("""COMPUTED_VALUE"""),175.0)</f>
        <v>175</v>
      </c>
      <c r="B176" s="1">
        <f>IFERROR(__xludf.DUMMYFUNCTION("""COMPUTED_VALUE"""),10743.0)</f>
        <v>10743</v>
      </c>
      <c r="C176" s="2" t="str">
        <f>IFERROR(__xludf.DUMMYFUNCTION("""COMPUTED_VALUE"""),"PACER - ADISHA")</f>
        <v>PACER - ADISHA</v>
      </c>
      <c r="D176" s="2" t="str">
        <f>IFERROR(__xludf.DUMMYFUNCTION("""COMPUTED_VALUE"""),"10KM OVERALL F")</f>
        <v>10KM OVERALL F</v>
      </c>
      <c r="E176" s="1">
        <f>IFERROR(__xludf.DUMMYFUNCTION("""COMPUTED_VALUE"""),1.0)</f>
        <v>1</v>
      </c>
      <c r="F176" s="1" t="str">
        <f>IFERROR(__xludf.DUMMYFUNCTION("""COMPUTED_VALUE"""),"Female")</f>
        <v>Female</v>
      </c>
      <c r="G176" s="4" t="str">
        <f>IFERROR(__xludf.DUMMYFUNCTION("""COMPUTED_VALUE"""),"")</f>
        <v/>
      </c>
      <c r="H176" s="4" t="b">
        <f>IFERROR(__xludf.DUMMYFUNCTION("""COMPUTED_VALUE"""),TRUE)</f>
        <v>1</v>
      </c>
      <c r="I176" s="4">
        <f>IFERROR(__xludf.DUMMYFUNCTION("""COMPUTED_VALUE"""),0.24646185185185185)</f>
        <v>0.2464618519</v>
      </c>
      <c r="J176" s="4">
        <f>IFERROR(__xludf.DUMMYFUNCTION("""COMPUTED_VALUE"""),45949.25932184183)</f>
        <v>45949.25932</v>
      </c>
      <c r="K176" s="4">
        <f>IFERROR(__xludf.DUMMYFUNCTION("""COMPUTED_VALUE"""),45949.29173870683)</f>
        <v>45949.29174</v>
      </c>
      <c r="L176" s="4">
        <f>IFERROR(__xludf.DUMMYFUNCTION("""COMPUTED_VALUE"""),45949.30110920698)</f>
        <v>45949.30111</v>
      </c>
      <c r="M176" s="1" t="str">
        <f>IFERROR(__xludf.DUMMYFUNCTION("""COMPUTED_VALUE"""),"RFID")</f>
        <v>RFID</v>
      </c>
      <c r="N176" s="5">
        <f>IFERROR(__xludf.DUMMYFUNCTION("""COMPUTED_VALUE"""),0.005143995370370371)</f>
        <v>0.00514399537</v>
      </c>
      <c r="O176" s="5">
        <f>IFERROR(__xludf.DUMMYFUNCTION("""COMPUTED_VALUE"""),0.01296674537037037)</f>
        <v>0.01296674537</v>
      </c>
      <c r="P176" s="5">
        <f>IFERROR(__xludf.DUMMYFUNCTION("""COMPUTED_VALUE"""),0.003856172900859634)</f>
        <v>0.003856172901</v>
      </c>
      <c r="Q176" s="5">
        <f>IFERROR(__xludf.DUMMYFUNCTION("""COMPUTED_VALUE"""),0.005464734953703703)</f>
        <v>0.005464734954</v>
      </c>
      <c r="R176" s="4">
        <f>IFERROR(__xludf.DUMMYFUNCTION("""COMPUTED_VALUE"""),45949.05464735513)</f>
        <v>45949.05465</v>
      </c>
      <c r="S176" s="1" t="b">
        <f>IFERROR(__xludf.DUMMYFUNCTION("""COMPUTED_VALUE"""),TRUE)</f>
        <v>1</v>
      </c>
      <c r="T176" s="1" t="b">
        <f>IFERROR(__xludf.DUMMYFUNCTION("""COMPUTED_VALUE"""),FALSE)</f>
        <v>0</v>
      </c>
      <c r="U176" s="1" t="str">
        <f>IFERROR(__xludf.DUMMYFUNCTION("""COMPUTED_VALUE"""),"VALID")</f>
        <v>VALID</v>
      </c>
      <c r="V176" s="1">
        <f>IFERROR(__xludf.DUMMYFUNCTION("""COMPUTED_VALUE"""),30.0)</f>
        <v>30</v>
      </c>
      <c r="W176" s="1">
        <f>IFERROR(__xludf.DUMMYFUNCTION("""COMPUTED_VALUE"""),538.0)</f>
        <v>538</v>
      </c>
      <c r="X176" s="1">
        <f>IFERROR(__xludf.DUMMYFUNCTION("""COMPUTED_VALUE"""),628.0)</f>
        <v>628</v>
      </c>
      <c r="Y176" s="2"/>
      <c r="Z176" s="2"/>
    </row>
    <row r="177">
      <c r="A177" s="1">
        <f>IFERROR(__xludf.DUMMYFUNCTION("""COMPUTED_VALUE"""),176.0)</f>
        <v>176</v>
      </c>
      <c r="B177" s="1">
        <f>IFERROR(__xludf.DUMMYFUNCTION("""COMPUTED_VALUE"""),10744.0)</f>
        <v>10744</v>
      </c>
      <c r="C177" s="2" t="str">
        <f>IFERROR(__xludf.DUMMYFUNCTION("""COMPUTED_VALUE"""),"PACER - RICHA")</f>
        <v>PACER - RICHA</v>
      </c>
      <c r="D177" s="2" t="str">
        <f>IFERROR(__xludf.DUMMYFUNCTION("""COMPUTED_VALUE"""),"10KM OVERALL F")</f>
        <v>10KM OVERALL F</v>
      </c>
      <c r="E177" s="1">
        <f>IFERROR(__xludf.DUMMYFUNCTION("""COMPUTED_VALUE"""),1.0)</f>
        <v>1</v>
      </c>
      <c r="F177" s="1" t="str">
        <f>IFERROR(__xludf.DUMMYFUNCTION("""COMPUTED_VALUE"""),"Female")</f>
        <v>Female</v>
      </c>
      <c r="G177" s="4" t="b">
        <f>IFERROR(__xludf.DUMMYFUNCTION("""COMPUTED_VALUE"""),TRUE)</f>
        <v>1</v>
      </c>
      <c r="H177" s="4" t="b">
        <f>IFERROR(__xludf.DUMMYFUNCTION("""COMPUTED_VALUE"""),TRUE)</f>
        <v>1</v>
      </c>
      <c r="I177" s="4">
        <f>IFERROR(__xludf.DUMMYFUNCTION("""COMPUTED_VALUE"""),0.24646185185185185)</f>
        <v>0.2464618519</v>
      </c>
      <c r="J177" s="4">
        <f>IFERROR(__xludf.DUMMYFUNCTION("""COMPUTED_VALUE"""),45949.259339190095)</f>
        <v>45949.25934</v>
      </c>
      <c r="K177" s="4">
        <f>IFERROR(__xludf.DUMMYFUNCTION("""COMPUTED_VALUE"""),45949.291721410416)</f>
        <v>45949.29172</v>
      </c>
      <c r="L177" s="4">
        <f>IFERROR(__xludf.DUMMYFUNCTION("""COMPUTED_VALUE"""),45949.301112619934)</f>
        <v>45949.30111</v>
      </c>
      <c r="M177" s="1" t="str">
        <f>IFERROR(__xludf.DUMMYFUNCTION("""COMPUTED_VALUE"""),"RFID")</f>
        <v>RFID</v>
      </c>
      <c r="N177" s="5">
        <f>IFERROR(__xludf.DUMMYFUNCTION("""COMPUTED_VALUE"""),0.0051509351851851855)</f>
        <v>0.005150935185</v>
      </c>
      <c r="O177" s="5">
        <f>IFERROR(__xludf.DUMMYFUNCTION("""COMPUTED_VALUE"""),0.012952888888888889)</f>
        <v>0.01295288889</v>
      </c>
      <c r="P177" s="5">
        <f>IFERROR(__xludf.DUMMYFUNCTION("""COMPUTED_VALUE"""),0.0038646952749264458)</f>
        <v>0.003864695275</v>
      </c>
      <c r="Q177" s="5">
        <f>IFERROR(__xludf.DUMMYFUNCTION("""COMPUTED_VALUE"""),0.005465076388888889)</f>
        <v>0.005465076389</v>
      </c>
      <c r="R177" s="4">
        <f>IFERROR(__xludf.DUMMYFUNCTION("""COMPUTED_VALUE"""),45949.054650768085)</f>
        <v>45949.05465</v>
      </c>
      <c r="S177" s="1" t="b">
        <f>IFERROR(__xludf.DUMMYFUNCTION("""COMPUTED_VALUE"""),TRUE)</f>
        <v>1</v>
      </c>
      <c r="T177" s="1" t="b">
        <f>IFERROR(__xludf.DUMMYFUNCTION("""COMPUTED_VALUE"""),FALSE)</f>
        <v>0</v>
      </c>
      <c r="U177" s="1" t="str">
        <f>IFERROR(__xludf.DUMMYFUNCTION("""COMPUTED_VALUE"""),"VALID")</f>
        <v>VALID</v>
      </c>
      <c r="V177" s="1">
        <f>IFERROR(__xludf.DUMMYFUNCTION("""COMPUTED_VALUE"""),31.0)</f>
        <v>31</v>
      </c>
      <c r="W177" s="1">
        <f>IFERROR(__xludf.DUMMYFUNCTION("""COMPUTED_VALUE"""),539.0)</f>
        <v>539</v>
      </c>
      <c r="X177" s="1">
        <f>IFERROR(__xludf.DUMMYFUNCTION("""COMPUTED_VALUE"""),629.0)</f>
        <v>629</v>
      </c>
      <c r="Y177" s="2"/>
      <c r="Z177" s="2"/>
    </row>
    <row r="178">
      <c r="A178" s="1">
        <f>IFERROR(__xludf.DUMMYFUNCTION("""COMPUTED_VALUE"""),177.0)</f>
        <v>177</v>
      </c>
      <c r="B178" s="1">
        <f>IFERROR(__xludf.DUMMYFUNCTION("""COMPUTED_VALUE"""),10001.0)</f>
        <v>10001</v>
      </c>
      <c r="C178" s="2" t="str">
        <f>IFERROR(__xludf.DUMMYFUNCTION("""COMPUTED_VALUE"""),"Angga Y")</f>
        <v>Angga Y</v>
      </c>
      <c r="D178" s="2" t="str">
        <f>IFERROR(__xludf.DUMMYFUNCTION("""COMPUTED_VALUE"""),"10KM OVERALL M")</f>
        <v>10KM OVERALL M</v>
      </c>
      <c r="E178" s="1">
        <f>IFERROR(__xludf.DUMMYFUNCTION("""COMPUTED_VALUE"""),1.0)</f>
        <v>1</v>
      </c>
      <c r="F178" s="1" t="str">
        <f>IFERROR(__xludf.DUMMYFUNCTION("""COMPUTED_VALUE"""),"Male")</f>
        <v>Male</v>
      </c>
      <c r="G178" s="4" t="b">
        <f>IFERROR(__xludf.DUMMYFUNCTION("""COMPUTED_VALUE"""),TRUE)</f>
        <v>1</v>
      </c>
      <c r="H178" s="4" t="b">
        <f>IFERROR(__xludf.DUMMYFUNCTION("""COMPUTED_VALUE"""),FALSE)</f>
        <v>0</v>
      </c>
      <c r="I178" s="4">
        <f>IFERROR(__xludf.DUMMYFUNCTION("""COMPUTED_VALUE"""),0.24646185185185185)</f>
        <v>0.2464618519</v>
      </c>
      <c r="J178" s="4">
        <f>IFERROR(__xludf.DUMMYFUNCTION("""COMPUTED_VALUE"""),45949.25916557531)</f>
        <v>45949.25917</v>
      </c>
      <c r="K178" s="4">
        <f>IFERROR(__xludf.DUMMYFUNCTION("""COMPUTED_VALUE"""),45949.29452689335)</f>
        <v>45949.29453</v>
      </c>
      <c r="L178" s="4">
        <f>IFERROR(__xludf.DUMMYFUNCTION("""COMPUTED_VALUE"""),45949.30524809089)</f>
        <v>45949.30525</v>
      </c>
      <c r="M178" s="1" t="str">
        <f>IFERROR(__xludf.DUMMYFUNCTION("""COMPUTED_VALUE"""),"RFID")</f>
        <v>RFID</v>
      </c>
      <c r="N178" s="5">
        <f>IFERROR(__xludf.DUMMYFUNCTION("""COMPUTED_VALUE"""),0.0050814907407407415)</f>
        <v>0.005081490741</v>
      </c>
      <c r="O178" s="5">
        <f>IFERROR(__xludf.DUMMYFUNCTION("""COMPUTED_VALUE"""),0.014144527777777777)</f>
        <v>0.01414452778</v>
      </c>
      <c r="P178" s="5">
        <f>IFERROR(__xludf.DUMMYFUNCTION("""COMPUTED_VALUE"""),0.004412015448966343)</f>
        <v>0.004412015449</v>
      </c>
      <c r="Q178" s="5">
        <f>IFERROR(__xludf.DUMMYFUNCTION("""COMPUTED_VALUE"""),0.005878623842592593)</f>
        <v>0.005878623843</v>
      </c>
      <c r="R178" s="4">
        <f>IFERROR(__xludf.DUMMYFUNCTION("""COMPUTED_VALUE"""),45949.05878623904)</f>
        <v>45949.05879</v>
      </c>
      <c r="S178" s="1" t="b">
        <f>IFERROR(__xludf.DUMMYFUNCTION("""COMPUTED_VALUE"""),TRUE)</f>
        <v>1</v>
      </c>
      <c r="T178" s="1" t="b">
        <f>IFERROR(__xludf.DUMMYFUNCTION("""COMPUTED_VALUE"""),FALSE)</f>
        <v>0</v>
      </c>
      <c r="U178" s="1" t="str">
        <f>IFERROR(__xludf.DUMMYFUNCTION("""COMPUTED_VALUE"""),"VALID")</f>
        <v>VALID</v>
      </c>
      <c r="V178" s="1">
        <f>IFERROR(__xludf.DUMMYFUNCTION("""COMPUTED_VALUE"""),520.0)</f>
        <v>520</v>
      </c>
      <c r="W178" s="1">
        <f>IFERROR(__xludf.DUMMYFUNCTION("""COMPUTED_VALUE"""),632.0)</f>
        <v>632</v>
      </c>
      <c r="X178" s="1">
        <f>IFERROR(__xludf.DUMMYFUNCTION("""COMPUTED_VALUE"""),1594.0)</f>
        <v>1594</v>
      </c>
      <c r="Y178" s="2"/>
      <c r="Z178" s="2"/>
    </row>
    <row r="179">
      <c r="A179" s="1">
        <f>IFERROR(__xludf.DUMMYFUNCTION("""COMPUTED_VALUE"""),178.0)</f>
        <v>178</v>
      </c>
      <c r="B179" s="1">
        <f>IFERROR(__xludf.DUMMYFUNCTION("""COMPUTED_VALUE"""),10002.0)</f>
        <v>10002</v>
      </c>
      <c r="C179" s="2" t="str">
        <f>IFERROR(__xludf.DUMMYFUNCTION("""COMPUTED_VALUE"""),"Feter_Indah")</f>
        <v>Feter_Indah</v>
      </c>
      <c r="D179" s="2" t="str">
        <f>IFERROR(__xludf.DUMMYFUNCTION("""COMPUTED_VALUE"""),"10KM OVERALL M")</f>
        <v>10KM OVERALL M</v>
      </c>
      <c r="E179" s="1">
        <f>IFERROR(__xludf.DUMMYFUNCTION("""COMPUTED_VALUE"""),1.0)</f>
        <v>1</v>
      </c>
      <c r="F179" s="1" t="str">
        <f>IFERROR(__xludf.DUMMYFUNCTION("""COMPUTED_VALUE"""),"Male")</f>
        <v>Male</v>
      </c>
      <c r="G179" s="4" t="str">
        <f>IFERROR(__xludf.DUMMYFUNCTION("""COMPUTED_VALUE"""),"")</f>
        <v/>
      </c>
      <c r="H179" s="4" t="b">
        <f>IFERROR(__xludf.DUMMYFUNCTION("""COMPUTED_VALUE"""),FALSE)</f>
        <v>0</v>
      </c>
      <c r="I179" s="4">
        <f>IFERROR(__xludf.DUMMYFUNCTION("""COMPUTED_VALUE"""),0.24646185185185185)</f>
        <v>0.2464618519</v>
      </c>
      <c r="J179" s="4">
        <f>IFERROR(__xludf.DUMMYFUNCTION("""COMPUTED_VALUE"""),45949.25726289536)</f>
        <v>45949.25726</v>
      </c>
      <c r="K179" s="4">
        <f>IFERROR(__xludf.DUMMYFUNCTION("""COMPUTED_VALUE"""),45949.28864477863)</f>
        <v>45949.28864</v>
      </c>
      <c r="L179" s="4">
        <f>IFERROR(__xludf.DUMMYFUNCTION("""COMPUTED_VALUE"""),45949.29848415484)</f>
        <v>45949.29848</v>
      </c>
      <c r="M179" s="1" t="str">
        <f>IFERROR(__xludf.DUMMYFUNCTION("""COMPUTED_VALUE"""),"RFID")</f>
        <v>RFID</v>
      </c>
      <c r="N179" s="5">
        <f>IFERROR(__xludf.DUMMYFUNCTION("""COMPUTED_VALUE"""),0.004320416666666667)</f>
        <v>0.004320416667</v>
      </c>
      <c r="O179" s="5">
        <f>IFERROR(__xludf.DUMMYFUNCTION("""COMPUTED_VALUE"""),0.012552754629629629)</f>
        <v>0.01255275463</v>
      </c>
      <c r="P179" s="5">
        <f>IFERROR(__xludf.DUMMYFUNCTION("""COMPUTED_VALUE"""),0.00404912601198729)</f>
        <v>0.004049126012</v>
      </c>
      <c r="Q179" s="5">
        <f>IFERROR(__xludf.DUMMYFUNCTION("""COMPUTED_VALUE"""),0.0052022303240740735)</f>
        <v>0.005202230324</v>
      </c>
      <c r="R179" s="4">
        <f>IFERROR(__xludf.DUMMYFUNCTION("""COMPUTED_VALUE"""),45949.05202230299)</f>
        <v>45949.05202</v>
      </c>
      <c r="S179" s="1" t="b">
        <f>IFERROR(__xludf.DUMMYFUNCTION("""COMPUTED_VALUE"""),TRUE)</f>
        <v>1</v>
      </c>
      <c r="T179" s="1" t="b">
        <f>IFERROR(__xludf.DUMMYFUNCTION("""COMPUTED_VALUE"""),FALSE)</f>
        <v>0</v>
      </c>
      <c r="U179" s="1" t="str">
        <f>IFERROR(__xludf.DUMMYFUNCTION("""COMPUTED_VALUE"""),"VALID")</f>
        <v>VALID</v>
      </c>
      <c r="V179" s="1">
        <f>IFERROR(__xludf.DUMMYFUNCTION("""COMPUTED_VALUE"""),384.0)</f>
        <v>384</v>
      </c>
      <c r="W179" s="1">
        <f>IFERROR(__xludf.DUMMYFUNCTION("""COMPUTED_VALUE"""),454.0)</f>
        <v>454</v>
      </c>
      <c r="X179" s="1">
        <f>IFERROR(__xludf.DUMMYFUNCTION("""COMPUTED_VALUE"""),1432.0)</f>
        <v>1432</v>
      </c>
      <c r="Y179" s="2"/>
      <c r="Z179" s="2"/>
    </row>
    <row r="180">
      <c r="A180" s="1">
        <f>IFERROR(__xludf.DUMMYFUNCTION("""COMPUTED_VALUE"""),179.0)</f>
        <v>179</v>
      </c>
      <c r="B180" s="1">
        <f>IFERROR(__xludf.DUMMYFUNCTION("""COMPUTED_VALUE"""),10003.0)</f>
        <v>10003</v>
      </c>
      <c r="C180" s="2" t="str">
        <f>IFERROR(__xludf.DUMMYFUNCTION("""COMPUTED_VALUE"""),"amnndn")</f>
        <v>amnndn</v>
      </c>
      <c r="D180" s="2" t="str">
        <f>IFERROR(__xludf.DUMMYFUNCTION("""COMPUTED_VALUE"""),"10KM OVERALL M")</f>
        <v>10KM OVERALL M</v>
      </c>
      <c r="E180" s="1">
        <f>IFERROR(__xludf.DUMMYFUNCTION("""COMPUTED_VALUE"""),1.0)</f>
        <v>1</v>
      </c>
      <c r="F180" s="1" t="str">
        <f>IFERROR(__xludf.DUMMYFUNCTION("""COMPUTED_VALUE"""),"Male")</f>
        <v>Male</v>
      </c>
      <c r="G180" s="4" t="b">
        <f>IFERROR(__xludf.DUMMYFUNCTION("""COMPUTED_VALUE"""),TRUE)</f>
        <v>1</v>
      </c>
      <c r="H180" s="4" t="b">
        <f>IFERROR(__xludf.DUMMYFUNCTION("""COMPUTED_VALUE"""),TRUE)</f>
        <v>1</v>
      </c>
      <c r="I180" s="4">
        <f>IFERROR(__xludf.DUMMYFUNCTION("""COMPUTED_VALUE"""),0.24646185185185185)</f>
        <v>0.2464618519</v>
      </c>
      <c r="J180" s="4">
        <f>IFERROR(__xludf.DUMMYFUNCTION("""COMPUTED_VALUE"""),45949.255745528906)</f>
        <v>45949.25575</v>
      </c>
      <c r="K180" s="4">
        <f>IFERROR(__xludf.DUMMYFUNCTION("""COMPUTED_VALUE"""),45949.280248944575)</f>
        <v>45949.28025</v>
      </c>
      <c r="L180" s="4">
        <f>IFERROR(__xludf.DUMMYFUNCTION("""COMPUTED_VALUE"""),45949.287397398475)</f>
        <v>45949.2874</v>
      </c>
      <c r="M180" s="1" t="str">
        <f>IFERROR(__xludf.DUMMYFUNCTION("""COMPUTED_VALUE"""),"RFID")</f>
        <v>RFID</v>
      </c>
      <c r="N180" s="5">
        <f>IFERROR(__xludf.DUMMYFUNCTION("""COMPUTED_VALUE"""),0.003713472222222222)</f>
        <v>0.003713472222</v>
      </c>
      <c r="O180" s="5">
        <f>IFERROR(__xludf.DUMMYFUNCTION("""COMPUTED_VALUE"""),0.00980136574074074)</f>
        <v>0.009801365741</v>
      </c>
      <c r="P180" s="5">
        <f>IFERROR(__xludf.DUMMYFUNCTION("""COMPUTED_VALUE"""),0.0029417505762549382)</f>
        <v>0.002941750576</v>
      </c>
      <c r="Q180" s="5">
        <f>IFERROR(__xludf.DUMMYFUNCTION("""COMPUTED_VALUE"""),0.004093554398148148)</f>
        <v>0.004093554398</v>
      </c>
      <c r="R180" s="4">
        <f>IFERROR(__xludf.DUMMYFUNCTION("""COMPUTED_VALUE"""),45949.040935546625)</f>
        <v>45949.04094</v>
      </c>
      <c r="S180" s="1" t="b">
        <f>IFERROR(__xludf.DUMMYFUNCTION("""COMPUTED_VALUE"""),TRUE)</f>
        <v>1</v>
      </c>
      <c r="T180" s="1" t="b">
        <f>IFERROR(__xludf.DUMMYFUNCTION("""COMPUTED_VALUE"""),FALSE)</f>
        <v>0</v>
      </c>
      <c r="U180" s="1" t="str">
        <f>IFERROR(__xludf.DUMMYFUNCTION("""COMPUTED_VALUE"""),"VALID")</f>
        <v>VALID</v>
      </c>
      <c r="V180" s="1">
        <f>IFERROR(__xludf.DUMMYFUNCTION("""COMPUTED_VALUE"""),121.0)</f>
        <v>121</v>
      </c>
      <c r="W180" s="1">
        <f>IFERROR(__xludf.DUMMYFUNCTION("""COMPUTED_VALUE"""),144.0)</f>
        <v>144</v>
      </c>
      <c r="X180" s="1">
        <f>IFERROR(__xludf.DUMMYFUNCTION("""COMPUTED_VALUE"""),1017.0)</f>
        <v>1017</v>
      </c>
      <c r="Y180" s="2"/>
      <c r="Z180" s="2"/>
    </row>
    <row r="181">
      <c r="A181" s="1">
        <f>IFERROR(__xludf.DUMMYFUNCTION("""COMPUTED_VALUE"""),180.0)</f>
        <v>180</v>
      </c>
      <c r="B181" s="1">
        <f>IFERROR(__xludf.DUMMYFUNCTION("""COMPUTED_VALUE"""),10005.0)</f>
        <v>10005</v>
      </c>
      <c r="C181" s="2" t="str">
        <f>IFERROR(__xludf.DUMMYFUNCTION("""COMPUTED_VALUE"""),"Maidin.R")</f>
        <v>Maidin.R</v>
      </c>
      <c r="D181" s="2" t="str">
        <f>IFERROR(__xludf.DUMMYFUNCTION("""COMPUTED_VALUE"""),"10KM OVERALL M")</f>
        <v>10KM OVERALL M</v>
      </c>
      <c r="E181" s="1">
        <f>IFERROR(__xludf.DUMMYFUNCTION("""COMPUTED_VALUE"""),1.0)</f>
        <v>1</v>
      </c>
      <c r="F181" s="1" t="str">
        <f>IFERROR(__xludf.DUMMYFUNCTION("""COMPUTED_VALUE"""),"Male")</f>
        <v>Male</v>
      </c>
      <c r="G181" s="4" t="b">
        <f>IFERROR(__xludf.DUMMYFUNCTION("""COMPUTED_VALUE"""),TRUE)</f>
        <v>1</v>
      </c>
      <c r="H181" s="4" t="b">
        <f>IFERROR(__xludf.DUMMYFUNCTION("""COMPUTED_VALUE"""),TRUE)</f>
        <v>1</v>
      </c>
      <c r="I181" s="4">
        <f>IFERROR(__xludf.DUMMYFUNCTION("""COMPUTED_VALUE"""),0.24646185185185185)</f>
        <v>0.2464618519</v>
      </c>
      <c r="J181" s="4">
        <f>IFERROR(__xludf.DUMMYFUNCTION("""COMPUTED_VALUE"""),45949.257714182444)</f>
        <v>45949.25771</v>
      </c>
      <c r="K181" s="4">
        <f>IFERROR(__xludf.DUMMYFUNCTION("""COMPUTED_VALUE"""),45949.288439968295)</f>
        <v>45949.28844</v>
      </c>
      <c r="L181" s="4">
        <f>IFERROR(__xludf.DUMMYFUNCTION("""COMPUTED_VALUE"""),45949.297963370016)</f>
        <v>45949.29796</v>
      </c>
      <c r="M181" s="1" t="str">
        <f>IFERROR(__xludf.DUMMYFUNCTION("""COMPUTED_VALUE"""),"RFID")</f>
        <v>RFID</v>
      </c>
      <c r="N181" s="5">
        <f>IFERROR(__xludf.DUMMYFUNCTION("""COMPUTED_VALUE"""),0.004500930555555556)</f>
        <v>0.004500930556</v>
      </c>
      <c r="O181" s="5">
        <f>IFERROR(__xludf.DUMMYFUNCTION("""COMPUTED_VALUE"""),0.012290314814814815)</f>
        <v>0.01229031481</v>
      </c>
      <c r="P181" s="5">
        <f>IFERROR(__xludf.DUMMYFUNCTION("""COMPUTED_VALUE"""),0.003919095358353323)</f>
        <v>0.003919095358</v>
      </c>
      <c r="Q181" s="5">
        <f>IFERROR(__xludf.DUMMYFUNCTION("""COMPUTED_VALUE"""),0.00515015162037037)</f>
        <v>0.00515015162</v>
      </c>
      <c r="R181" s="4">
        <f>IFERROR(__xludf.DUMMYFUNCTION("""COMPUTED_VALUE"""),45949.051501518166)</f>
        <v>45949.0515</v>
      </c>
      <c r="S181" s="1" t="b">
        <f>IFERROR(__xludf.DUMMYFUNCTION("""COMPUTED_VALUE"""),TRUE)</f>
        <v>1</v>
      </c>
      <c r="T181" s="1" t="b">
        <f>IFERROR(__xludf.DUMMYFUNCTION("""COMPUTED_VALUE"""),FALSE)</f>
        <v>0</v>
      </c>
      <c r="U181" s="1" t="str">
        <f>IFERROR(__xludf.DUMMYFUNCTION("""COMPUTED_VALUE"""),"VALID")</f>
        <v>VALID</v>
      </c>
      <c r="V181" s="1">
        <f>IFERROR(__xludf.DUMMYFUNCTION("""COMPUTED_VALUE"""),376.0)</f>
        <v>376</v>
      </c>
      <c r="W181" s="1">
        <f>IFERROR(__xludf.DUMMYFUNCTION("""COMPUTED_VALUE"""),444.0)</f>
        <v>444</v>
      </c>
      <c r="X181" s="1">
        <f>IFERROR(__xludf.DUMMYFUNCTION("""COMPUTED_VALUE"""),1423.0)</f>
        <v>1423</v>
      </c>
      <c r="Y181" s="2"/>
      <c r="Z181" s="2"/>
    </row>
    <row r="182">
      <c r="A182" s="1">
        <f>IFERROR(__xludf.DUMMYFUNCTION("""COMPUTED_VALUE"""),181.0)</f>
        <v>181</v>
      </c>
      <c r="B182" s="1">
        <f>IFERROR(__xludf.DUMMYFUNCTION("""COMPUTED_VALUE"""),10006.0)</f>
        <v>10006</v>
      </c>
      <c r="C182" s="2" t="str">
        <f>IFERROR(__xludf.DUMMYFUNCTION("""COMPUTED_VALUE"""),"DEJAY")</f>
        <v>DEJAY</v>
      </c>
      <c r="D182" s="2" t="str">
        <f>IFERROR(__xludf.DUMMYFUNCTION("""COMPUTED_VALUE"""),"10KM OVERALL M")</f>
        <v>10KM OVERALL M</v>
      </c>
      <c r="E182" s="1">
        <f>IFERROR(__xludf.DUMMYFUNCTION("""COMPUTED_VALUE"""),1.0)</f>
        <v>1</v>
      </c>
      <c r="F182" s="1" t="str">
        <f>IFERROR(__xludf.DUMMYFUNCTION("""COMPUTED_VALUE"""),"Male")</f>
        <v>Male</v>
      </c>
      <c r="G182" s="4" t="str">
        <f>IFERROR(__xludf.DUMMYFUNCTION("""COMPUTED_VALUE"""),"")</f>
        <v/>
      </c>
      <c r="H182" s="4" t="b">
        <f>IFERROR(__xludf.DUMMYFUNCTION("""COMPUTED_VALUE"""),FALSE)</f>
        <v>0</v>
      </c>
      <c r="I182" s="4">
        <f>IFERROR(__xludf.DUMMYFUNCTION("""COMPUTED_VALUE"""),0.24646185185185185)</f>
        <v>0.2464618519</v>
      </c>
      <c r="J182" s="4">
        <f>IFERROR(__xludf.DUMMYFUNCTION("""COMPUTED_VALUE"""),45949.28298849946)</f>
        <v>45949.28299</v>
      </c>
      <c r="K182" s="4">
        <f>IFERROR(__xludf.DUMMYFUNCTION("""COMPUTED_VALUE"""),45949.31744710307)</f>
        <v>45949.31745</v>
      </c>
      <c r="L182" s="4">
        <f>IFERROR(__xludf.DUMMYFUNCTION("""COMPUTED_VALUE"""),45949.27058141706)</f>
        <v>45949.27058</v>
      </c>
      <c r="M182" s="1" t="str">
        <f>IFERROR(__xludf.DUMMYFUNCTION("""COMPUTED_VALUE"""),"RFID")</f>
        <v>RFID</v>
      </c>
      <c r="N182" s="5">
        <f>IFERROR(__xludf.DUMMYFUNCTION("""COMPUTED_VALUE"""),0.014610657407407407)</f>
        <v>0.01461065741</v>
      </c>
      <c r="O182" s="5">
        <f>IFERROR(__xludf.DUMMYFUNCTION("""COMPUTED_VALUE"""),0.013783439814814816)</f>
        <v>0.01378343981</v>
      </c>
      <c r="P182" s="5">
        <f>IFERROR(__xludf.DUMMYFUNCTION("""COMPUTED_VALUE"""),-0.019286290539209175)</f>
        <v>-0.01928629054</v>
      </c>
      <c r="Q182" s="5">
        <f>IFERROR(__xludf.DUMMYFUNCTION("""COMPUTED_VALUE"""),0.0024119560185185186)</f>
        <v>0.002411956019</v>
      </c>
      <c r="R182" s="4">
        <f>IFERROR(__xludf.DUMMYFUNCTION("""COMPUTED_VALUE"""),45949.02411956521)</f>
        <v>45949.02412</v>
      </c>
      <c r="S182" s="1" t="b">
        <f>IFERROR(__xludf.DUMMYFUNCTION("""COMPUTED_VALUE"""),TRUE)</f>
        <v>1</v>
      </c>
      <c r="T182" s="1" t="b">
        <f>IFERROR(__xludf.DUMMYFUNCTION("""COMPUTED_VALUE"""),TRUE)</f>
        <v>1</v>
      </c>
      <c r="U182" s="1" t="str">
        <f>IFERROR(__xludf.DUMMYFUNCTION("""COMPUTED_VALUE"""),"DSQ")</f>
        <v>DSQ</v>
      </c>
      <c r="V182" s="1" t="str">
        <f>IFERROR(__xludf.DUMMYFUNCTION("""COMPUTED_VALUE"""),"DSQ")</f>
        <v>DSQ</v>
      </c>
      <c r="W182" s="1" t="str">
        <f>IFERROR(__xludf.DUMMYFUNCTION("""COMPUTED_VALUE"""),"DSQ")</f>
        <v>DSQ</v>
      </c>
      <c r="X182" s="1" t="str">
        <f>IFERROR(__xludf.DUMMYFUNCTION("""COMPUTED_VALUE"""),"DSQ")</f>
        <v>DSQ</v>
      </c>
      <c r="Y182" s="2" t="str">
        <f>IFERROR(__xludf.DUMMYFUNCTION("""COMPUTED_VALUE"""),"start setelah batas waktu")</f>
        <v>start setelah batas waktu</v>
      </c>
      <c r="Z182" s="2"/>
    </row>
    <row r="183">
      <c r="A183" s="1">
        <f>IFERROR(__xludf.DUMMYFUNCTION("""COMPUTED_VALUE"""),182.0)</f>
        <v>182</v>
      </c>
      <c r="B183" s="1">
        <f>IFERROR(__xludf.DUMMYFUNCTION("""COMPUTED_VALUE"""),10007.0)</f>
        <v>10007</v>
      </c>
      <c r="C183" s="2" t="str">
        <f>IFERROR(__xludf.DUMMYFUNCTION("""COMPUTED_VALUE"""),"Regatta")</f>
        <v>Regatta</v>
      </c>
      <c r="D183" s="2" t="str">
        <f>IFERROR(__xludf.DUMMYFUNCTION("""COMPUTED_VALUE"""),"10KM OVERALL M")</f>
        <v>10KM OVERALL M</v>
      </c>
      <c r="E183" s="1">
        <f>IFERROR(__xludf.DUMMYFUNCTION("""COMPUTED_VALUE"""),1.0)</f>
        <v>1</v>
      </c>
      <c r="F183" s="1" t="str">
        <f>IFERROR(__xludf.DUMMYFUNCTION("""COMPUTED_VALUE"""),"Male")</f>
        <v>Male</v>
      </c>
      <c r="G183" s="4" t="b">
        <f>IFERROR(__xludf.DUMMYFUNCTION("""COMPUTED_VALUE"""),TRUE)</f>
        <v>1</v>
      </c>
      <c r="H183" s="4" t="b">
        <f>IFERROR(__xludf.DUMMYFUNCTION("""COMPUTED_VALUE"""),TRUE)</f>
        <v>1</v>
      </c>
      <c r="I183" s="4">
        <f>IFERROR(__xludf.DUMMYFUNCTION("""COMPUTED_VALUE"""),0.24646185185185185)</f>
        <v>0.2464618519</v>
      </c>
      <c r="J183" s="4">
        <f>IFERROR(__xludf.DUMMYFUNCTION("""COMPUTED_VALUE"""),45949.25915186367)</f>
        <v>45949.25915</v>
      </c>
      <c r="K183" s="4">
        <f>IFERROR(__xludf.DUMMYFUNCTION("""COMPUTED_VALUE"""),45949.2927526726)</f>
        <v>45949.29275</v>
      </c>
      <c r="L183" s="4">
        <f>IFERROR(__xludf.DUMMYFUNCTION("""COMPUTED_VALUE"""),45949.301494624815)</f>
        <v>45949.30149</v>
      </c>
      <c r="M183" s="1" t="str">
        <f>IFERROR(__xludf.DUMMYFUNCTION("""COMPUTED_VALUE"""),"RFID")</f>
        <v>RFID</v>
      </c>
      <c r="N183" s="5">
        <f>IFERROR(__xludf.DUMMYFUNCTION("""COMPUTED_VALUE"""),0.005076004629629629)</f>
        <v>0.00507600463</v>
      </c>
      <c r="O183" s="5">
        <f>IFERROR(__xludf.DUMMYFUNCTION("""COMPUTED_VALUE"""),0.013440324074074075)</f>
        <v>0.01344032407</v>
      </c>
      <c r="P183" s="5">
        <f>IFERROR(__xludf.DUMMYFUNCTION("""COMPUTED_VALUE"""),0.0035975112003914303)</f>
        <v>0.0035975112</v>
      </c>
      <c r="Q183" s="5">
        <f>IFERROR(__xludf.DUMMYFUNCTION("""COMPUTED_VALUE"""),0.005503277777777779)</f>
        <v>0.005503277778</v>
      </c>
      <c r="R183" s="4">
        <f>IFERROR(__xludf.DUMMYFUNCTION("""COMPUTED_VALUE"""),45949.055032772965)</f>
        <v>45949.05503</v>
      </c>
      <c r="S183" s="1" t="b">
        <f>IFERROR(__xludf.DUMMYFUNCTION("""COMPUTED_VALUE"""),TRUE)</f>
        <v>1</v>
      </c>
      <c r="T183" s="1" t="b">
        <f>IFERROR(__xludf.DUMMYFUNCTION("""COMPUTED_VALUE"""),FALSE)</f>
        <v>0</v>
      </c>
      <c r="U183" s="1" t="str">
        <f>IFERROR(__xludf.DUMMYFUNCTION("""COMPUTED_VALUE"""),"VALID")</f>
        <v>VALID</v>
      </c>
      <c r="V183" s="1">
        <f>IFERROR(__xludf.DUMMYFUNCTION("""COMPUTED_VALUE"""),458.0)</f>
        <v>458</v>
      </c>
      <c r="W183" s="1">
        <f>IFERROR(__xludf.DUMMYFUNCTION("""COMPUTED_VALUE"""),549.0)</f>
        <v>549</v>
      </c>
      <c r="X183" s="1">
        <f>IFERROR(__xludf.DUMMYFUNCTION("""COMPUTED_VALUE"""),1522.0)</f>
        <v>1522</v>
      </c>
      <c r="Y183" s="2"/>
      <c r="Z183" s="2"/>
    </row>
    <row r="184">
      <c r="A184" s="1">
        <f>IFERROR(__xludf.DUMMYFUNCTION("""COMPUTED_VALUE"""),183.0)</f>
        <v>183</v>
      </c>
      <c r="B184" s="1">
        <f>IFERROR(__xludf.DUMMYFUNCTION("""COMPUTED_VALUE"""),10008.0)</f>
        <v>10008</v>
      </c>
      <c r="C184" s="2" t="str">
        <f>IFERROR(__xludf.DUMMYFUNCTION("""COMPUTED_VALUE"""),"Rilo DB")</f>
        <v>Rilo DB</v>
      </c>
      <c r="D184" s="2" t="str">
        <f>IFERROR(__xludf.DUMMYFUNCTION("""COMPUTED_VALUE"""),"10KM OVERALL M")</f>
        <v>10KM OVERALL M</v>
      </c>
      <c r="E184" s="1">
        <f>IFERROR(__xludf.DUMMYFUNCTION("""COMPUTED_VALUE"""),1.0)</f>
        <v>1</v>
      </c>
      <c r="F184" s="1" t="str">
        <f>IFERROR(__xludf.DUMMYFUNCTION("""COMPUTED_VALUE"""),"Male")</f>
        <v>Male</v>
      </c>
      <c r="G184" s="4" t="b">
        <f>IFERROR(__xludf.DUMMYFUNCTION("""COMPUTED_VALUE"""),TRUE)</f>
        <v>1</v>
      </c>
      <c r="H184" s="4" t="b">
        <f>IFERROR(__xludf.DUMMYFUNCTION("""COMPUTED_VALUE"""),TRUE)</f>
        <v>1</v>
      </c>
      <c r="I184" s="4">
        <f>IFERROR(__xludf.DUMMYFUNCTION("""COMPUTED_VALUE"""),0.24646185185185185)</f>
        <v>0.2464618519</v>
      </c>
      <c r="J184" s="4">
        <f>IFERROR(__xludf.DUMMYFUNCTION("""COMPUTED_VALUE"""),45949.25903711974)</f>
        <v>45949.25904</v>
      </c>
      <c r="K184" s="4">
        <f>IFERROR(__xludf.DUMMYFUNCTION("""COMPUTED_VALUE"""),45949.28877325183)</f>
        <v>45949.28877</v>
      </c>
      <c r="L184" s="4">
        <f>IFERROR(__xludf.DUMMYFUNCTION("""COMPUTED_VALUE"""),45949.296481481484)</f>
        <v>45949.29648</v>
      </c>
      <c r="M184" s="1" t="str">
        <f>IFERROR(__xludf.DUMMYFUNCTION("""COMPUTED_VALUE"""),"RFID")</f>
        <v>RFID</v>
      </c>
      <c r="N184" s="5">
        <f>IFERROR(__xludf.DUMMYFUNCTION("""COMPUTED_VALUE"""),0.005030106481481481)</f>
        <v>0.005030106481</v>
      </c>
      <c r="O184" s="5">
        <f>IFERROR(__xludf.DUMMYFUNCTION("""COMPUTED_VALUE"""),0.011894453703703704)</f>
        <v>0.0118944537</v>
      </c>
      <c r="P184" s="5">
        <f>IFERROR(__xludf.DUMMYFUNCTION("""COMPUTED_VALUE"""),0.0031721109694201467)</f>
        <v>0.003172110969</v>
      </c>
      <c r="Q184" s="5">
        <f>IFERROR(__xludf.DUMMYFUNCTION("""COMPUTED_VALUE"""),0.005001962962962963)</f>
        <v>0.005001962963</v>
      </c>
      <c r="R184" s="4">
        <f>IFERROR(__xludf.DUMMYFUNCTION("""COMPUTED_VALUE"""),45949.050019629634)</f>
        <v>45949.05002</v>
      </c>
      <c r="S184" s="1" t="b">
        <f>IFERROR(__xludf.DUMMYFUNCTION("""COMPUTED_VALUE"""),TRUE)</f>
        <v>1</v>
      </c>
      <c r="T184" s="1" t="b">
        <f>IFERROR(__xludf.DUMMYFUNCTION("""COMPUTED_VALUE"""),FALSE)</f>
        <v>0</v>
      </c>
      <c r="U184" s="1" t="str">
        <f>IFERROR(__xludf.DUMMYFUNCTION("""COMPUTED_VALUE"""),"VALID")</f>
        <v>VALID</v>
      </c>
      <c r="V184" s="1">
        <f>IFERROR(__xludf.DUMMYFUNCTION("""COMPUTED_VALUE"""),337.0)</f>
        <v>337</v>
      </c>
      <c r="W184" s="1">
        <f>IFERROR(__xludf.DUMMYFUNCTION("""COMPUTED_VALUE"""),398.0)</f>
        <v>398</v>
      </c>
      <c r="X184" s="1">
        <f>IFERROR(__xludf.DUMMYFUNCTION("""COMPUTED_VALUE"""),1376.0)</f>
        <v>1376</v>
      </c>
      <c r="Y184" s="2"/>
      <c r="Z184" s="2"/>
    </row>
    <row r="185">
      <c r="A185" s="1">
        <f>IFERROR(__xludf.DUMMYFUNCTION("""COMPUTED_VALUE"""),184.0)</f>
        <v>184</v>
      </c>
      <c r="B185" s="1">
        <f>IFERROR(__xludf.DUMMYFUNCTION("""COMPUTED_VALUE"""),10009.0)</f>
        <v>10009</v>
      </c>
      <c r="C185" s="2" t="str">
        <f>IFERROR(__xludf.DUMMYFUNCTION("""COMPUTED_VALUE"""),"HASBI")</f>
        <v>HASBI</v>
      </c>
      <c r="D185" s="2" t="str">
        <f>IFERROR(__xludf.DUMMYFUNCTION("""COMPUTED_VALUE"""),"10KM OVERALL M")</f>
        <v>10KM OVERALL M</v>
      </c>
      <c r="E185" s="1">
        <f>IFERROR(__xludf.DUMMYFUNCTION("""COMPUTED_VALUE"""),1.0)</f>
        <v>1</v>
      </c>
      <c r="F185" s="1" t="str">
        <f>IFERROR(__xludf.DUMMYFUNCTION("""COMPUTED_VALUE"""),"Male")</f>
        <v>Male</v>
      </c>
      <c r="G185" s="4" t="b">
        <f>IFERROR(__xludf.DUMMYFUNCTION("""COMPUTED_VALUE"""),TRUE)</f>
        <v>1</v>
      </c>
      <c r="H185" s="4" t="b">
        <f>IFERROR(__xludf.DUMMYFUNCTION("""COMPUTED_VALUE"""),FALSE)</f>
        <v>0</v>
      </c>
      <c r="I185" s="4">
        <f>IFERROR(__xludf.DUMMYFUNCTION("""COMPUTED_VALUE"""),0.24646185185185185)</f>
        <v>0.2464618519</v>
      </c>
      <c r="J185" s="4">
        <f>IFERROR(__xludf.DUMMYFUNCTION("""COMPUTED_VALUE"""),45949.25558224395)</f>
        <v>45949.25558</v>
      </c>
      <c r="K185" s="4">
        <f>IFERROR(__xludf.DUMMYFUNCTION("""COMPUTED_VALUE"""),45949.279797963805)</f>
        <v>45949.2798</v>
      </c>
      <c r="L185" s="4">
        <f>IFERROR(__xludf.DUMMYFUNCTION("""COMPUTED_VALUE"""),45949.28735926934)</f>
        <v>45949.28736</v>
      </c>
      <c r="M185" s="1" t="str">
        <f>IFERROR(__xludf.DUMMYFUNCTION("""COMPUTED_VALUE"""),"RFID")</f>
        <v>RFID</v>
      </c>
      <c r="N185" s="5">
        <f>IFERROR(__xludf.DUMMYFUNCTION("""COMPUTED_VALUE"""),0.003648157407407407)</f>
        <v>0.003648157407</v>
      </c>
      <c r="O185" s="5">
        <f>IFERROR(__xludf.DUMMYFUNCTION("""COMPUTED_VALUE"""),0.009686287037037037)</f>
        <v>0.009686287037</v>
      </c>
      <c r="P185" s="5">
        <f>IFERROR(__xludf.DUMMYFUNCTION("""COMPUTED_VALUE"""),0.003111648369473194)</f>
        <v>0.003111648369</v>
      </c>
      <c r="Q185" s="5">
        <f>IFERROR(__xludf.DUMMYFUNCTION("""COMPUTED_VALUE"""),0.004089741898148148)</f>
        <v>0.004089741898</v>
      </c>
      <c r="R185" s="4">
        <f>IFERROR(__xludf.DUMMYFUNCTION("""COMPUTED_VALUE"""),45949.04089741749)</f>
        <v>45949.0409</v>
      </c>
      <c r="S185" s="1" t="b">
        <f>IFERROR(__xludf.DUMMYFUNCTION("""COMPUTED_VALUE"""),TRUE)</f>
        <v>1</v>
      </c>
      <c r="T185" s="1" t="b">
        <f>IFERROR(__xludf.DUMMYFUNCTION("""COMPUTED_VALUE"""),FALSE)</f>
        <v>0</v>
      </c>
      <c r="U185" s="1" t="str">
        <f>IFERROR(__xludf.DUMMYFUNCTION("""COMPUTED_VALUE"""),"VALID")</f>
        <v>VALID</v>
      </c>
      <c r="V185" s="1">
        <f>IFERROR(__xludf.DUMMYFUNCTION("""COMPUTED_VALUE"""),119.0)</f>
        <v>119</v>
      </c>
      <c r="W185" s="1">
        <f>IFERROR(__xludf.DUMMYFUNCTION("""COMPUTED_VALUE"""),142.0)</f>
        <v>142</v>
      </c>
      <c r="X185" s="1">
        <f>IFERROR(__xludf.DUMMYFUNCTION("""COMPUTED_VALUE"""),1016.0)</f>
        <v>1016</v>
      </c>
      <c r="Y185" s="2"/>
      <c r="Z185" s="2"/>
    </row>
    <row r="186">
      <c r="A186" s="1">
        <f>IFERROR(__xludf.DUMMYFUNCTION("""COMPUTED_VALUE"""),185.0)</f>
        <v>185</v>
      </c>
      <c r="B186" s="1">
        <f>IFERROR(__xludf.DUMMYFUNCTION("""COMPUTED_VALUE"""),10010.0)</f>
        <v>10010</v>
      </c>
      <c r="C186" s="2" t="str">
        <f>IFERROR(__xludf.DUMMYFUNCTION("""COMPUTED_VALUE"""),"Ikbal")</f>
        <v>Ikbal</v>
      </c>
      <c r="D186" s="2" t="str">
        <f>IFERROR(__xludf.DUMMYFUNCTION("""COMPUTED_VALUE"""),"10KM OVERALL M")</f>
        <v>10KM OVERALL M</v>
      </c>
      <c r="E186" s="1">
        <f>IFERROR(__xludf.DUMMYFUNCTION("""COMPUTED_VALUE"""),1.0)</f>
        <v>1</v>
      </c>
      <c r="F186" s="1" t="str">
        <f>IFERROR(__xludf.DUMMYFUNCTION("""COMPUTED_VALUE"""),"Male")</f>
        <v>Male</v>
      </c>
      <c r="G186" s="4" t="b">
        <f>IFERROR(__xludf.DUMMYFUNCTION("""COMPUTED_VALUE"""),TRUE)</f>
        <v>1</v>
      </c>
      <c r="H186" s="4" t="b">
        <f>IFERROR(__xludf.DUMMYFUNCTION("""COMPUTED_VALUE"""),TRUE)</f>
        <v>1</v>
      </c>
      <c r="I186" s="4">
        <f>IFERROR(__xludf.DUMMYFUNCTION("""COMPUTED_VALUE"""),0.24646185185185185)</f>
        <v>0.2464618519</v>
      </c>
      <c r="J186" s="4">
        <f>IFERROR(__xludf.DUMMYFUNCTION("""COMPUTED_VALUE"""),45949.260141322375)</f>
        <v>45949.26014</v>
      </c>
      <c r="K186" s="4">
        <f>IFERROR(__xludf.DUMMYFUNCTION("""COMPUTED_VALUE"""),45949.29478731451)</f>
        <v>45949.29479</v>
      </c>
      <c r="L186" s="4">
        <f>IFERROR(__xludf.DUMMYFUNCTION("""COMPUTED_VALUE"""),45949.30497725167)</f>
        <v>45949.30498</v>
      </c>
      <c r="M186" s="1" t="str">
        <f>IFERROR(__xludf.DUMMYFUNCTION("""COMPUTED_VALUE"""),"RFID")</f>
        <v>RFID</v>
      </c>
      <c r="N186" s="5">
        <f>IFERROR(__xludf.DUMMYFUNCTION("""COMPUTED_VALUE"""),0.005471787037037037)</f>
        <v>0.005471787037</v>
      </c>
      <c r="O186" s="5">
        <f>IFERROR(__xludf.DUMMYFUNCTION("""COMPUTED_VALUE"""),0.01385839814814815)</f>
        <v>0.01385839815</v>
      </c>
      <c r="P186" s="5">
        <f>IFERROR(__xludf.DUMMYFUNCTION("""COMPUTED_VALUE"""),0.004193389777131493)</f>
        <v>0.004193389777</v>
      </c>
      <c r="Q186" s="5">
        <f>IFERROR(__xludf.DUMMYFUNCTION("""COMPUTED_VALUE"""),0.0058515405092592595)</f>
        <v>0.005851540509</v>
      </c>
      <c r="R186" s="4">
        <f>IFERROR(__xludf.DUMMYFUNCTION("""COMPUTED_VALUE"""),45949.05851539982)</f>
        <v>45949.05852</v>
      </c>
      <c r="S186" s="1" t="b">
        <f>IFERROR(__xludf.DUMMYFUNCTION("""COMPUTED_VALUE"""),TRUE)</f>
        <v>1</v>
      </c>
      <c r="T186" s="1" t="b">
        <f>IFERROR(__xludf.DUMMYFUNCTION("""COMPUTED_VALUE"""),FALSE)</f>
        <v>0</v>
      </c>
      <c r="U186" s="1" t="str">
        <f>IFERROR(__xludf.DUMMYFUNCTION("""COMPUTED_VALUE"""),"VALID")</f>
        <v>VALID</v>
      </c>
      <c r="V186" s="1">
        <f>IFERROR(__xludf.DUMMYFUNCTION("""COMPUTED_VALUE"""),516.0)</f>
        <v>516</v>
      </c>
      <c r="W186" s="1">
        <f>IFERROR(__xludf.DUMMYFUNCTION("""COMPUTED_VALUE"""),627.0)</f>
        <v>627</v>
      </c>
      <c r="X186" s="1">
        <f>IFERROR(__xludf.DUMMYFUNCTION("""COMPUTED_VALUE"""),1590.0)</f>
        <v>1590</v>
      </c>
      <c r="Y186" s="2"/>
      <c r="Z186" s="2"/>
    </row>
    <row r="187">
      <c r="A187" s="1">
        <f>IFERROR(__xludf.DUMMYFUNCTION("""COMPUTED_VALUE"""),186.0)</f>
        <v>186</v>
      </c>
      <c r="B187" s="1">
        <f>IFERROR(__xludf.DUMMYFUNCTION("""COMPUTED_VALUE"""),10011.0)</f>
        <v>10011</v>
      </c>
      <c r="C187" s="2" t="str">
        <f>IFERROR(__xludf.DUMMYFUNCTION("""COMPUTED_VALUE"""),"Jhony Maulana")</f>
        <v>Jhony Maulana</v>
      </c>
      <c r="D187" s="2" t="str">
        <f>IFERROR(__xludf.DUMMYFUNCTION("""COMPUTED_VALUE"""),"10KM OVERALL M")</f>
        <v>10KM OVERALL M</v>
      </c>
      <c r="E187" s="1">
        <f>IFERROR(__xludf.DUMMYFUNCTION("""COMPUTED_VALUE"""),1.0)</f>
        <v>1</v>
      </c>
      <c r="F187" s="1" t="str">
        <f>IFERROR(__xludf.DUMMYFUNCTION("""COMPUTED_VALUE"""),"Male")</f>
        <v>Male</v>
      </c>
      <c r="G187" s="4" t="b">
        <f>IFERROR(__xludf.DUMMYFUNCTION("""COMPUTED_VALUE"""),TRUE)</f>
        <v>1</v>
      </c>
      <c r="H187" s="4" t="b">
        <f>IFERROR(__xludf.DUMMYFUNCTION("""COMPUTED_VALUE"""),TRUE)</f>
        <v>1</v>
      </c>
      <c r="I187" s="4">
        <f>IFERROR(__xludf.DUMMYFUNCTION("""COMPUTED_VALUE"""),0.24646185185185185)</f>
        <v>0.2464618519</v>
      </c>
      <c r="J187" s="4">
        <f>IFERROR(__xludf.DUMMYFUNCTION("""COMPUTED_VALUE"""),45949.26137043741)</f>
        <v>45949.26137</v>
      </c>
      <c r="K187" s="4">
        <f>IFERROR(__xludf.DUMMYFUNCTION("""COMPUTED_VALUE"""),45949.289456018516)</f>
        <v>45949.28946</v>
      </c>
      <c r="L187" s="4">
        <f>IFERROR(__xludf.DUMMYFUNCTION("""COMPUTED_VALUE"""),45949.297393622684)</f>
        <v>45949.29739</v>
      </c>
      <c r="M187" s="1" t="str">
        <f>IFERROR(__xludf.DUMMYFUNCTION("""COMPUTED_VALUE"""),"RFID")</f>
        <v>RFID</v>
      </c>
      <c r="N187" s="5">
        <f>IFERROR(__xludf.DUMMYFUNCTION("""COMPUTED_VALUE"""),0.005963435185185185)</f>
        <v>0.005963435185</v>
      </c>
      <c r="O187" s="5">
        <f>IFERROR(__xludf.DUMMYFUNCTION("""COMPUTED_VALUE"""),0.01123423148148148)</f>
        <v>0.01123423148</v>
      </c>
      <c r="P187" s="5">
        <f>IFERROR(__xludf.DUMMYFUNCTION("""COMPUTED_VALUE"""),0.003266503773064356)</f>
        <v>0.003266503773</v>
      </c>
      <c r="Q187" s="5">
        <f>IFERROR(__xludf.DUMMYFUNCTION("""COMPUTED_VALUE"""),0.005093177083333333)</f>
        <v>0.005093177083</v>
      </c>
      <c r="R187" s="4">
        <f>IFERROR(__xludf.DUMMYFUNCTION("""COMPUTED_VALUE"""),45949.050931770835)</f>
        <v>45949.05093</v>
      </c>
      <c r="S187" s="1" t="b">
        <f>IFERROR(__xludf.DUMMYFUNCTION("""COMPUTED_VALUE"""),TRUE)</f>
        <v>1</v>
      </c>
      <c r="T187" s="1" t="b">
        <f>IFERROR(__xludf.DUMMYFUNCTION("""COMPUTED_VALUE"""),FALSE)</f>
        <v>0</v>
      </c>
      <c r="U187" s="1" t="str">
        <f>IFERROR(__xludf.DUMMYFUNCTION("""COMPUTED_VALUE"""),"VALID")</f>
        <v>VALID</v>
      </c>
      <c r="V187" s="1">
        <f>IFERROR(__xludf.DUMMYFUNCTION("""COMPUTED_VALUE"""),366.0)</f>
        <v>366</v>
      </c>
      <c r="W187" s="1">
        <f>IFERROR(__xludf.DUMMYFUNCTION("""COMPUTED_VALUE"""),434.0)</f>
        <v>434</v>
      </c>
      <c r="X187" s="1">
        <f>IFERROR(__xludf.DUMMYFUNCTION("""COMPUTED_VALUE"""),1413.0)</f>
        <v>1413</v>
      </c>
      <c r="Y187" s="2"/>
      <c r="Z187" s="2"/>
    </row>
    <row r="188">
      <c r="A188" s="1">
        <f>IFERROR(__xludf.DUMMYFUNCTION("""COMPUTED_VALUE"""),187.0)</f>
        <v>187</v>
      </c>
      <c r="B188" s="1">
        <f>IFERROR(__xludf.DUMMYFUNCTION("""COMPUTED_VALUE"""),10012.0)</f>
        <v>10012</v>
      </c>
      <c r="C188" s="2" t="str">
        <f>IFERROR(__xludf.DUMMYFUNCTION("""COMPUTED_VALUE"""),"Shuri")</f>
        <v>Shuri</v>
      </c>
      <c r="D188" s="2" t="str">
        <f>IFERROR(__xludf.DUMMYFUNCTION("""COMPUTED_VALUE"""),"10KM OVERALL M")</f>
        <v>10KM OVERALL M</v>
      </c>
      <c r="E188" s="1">
        <f>IFERROR(__xludf.DUMMYFUNCTION("""COMPUTED_VALUE"""),1.0)</f>
        <v>1</v>
      </c>
      <c r="F188" s="1" t="str">
        <f>IFERROR(__xludf.DUMMYFUNCTION("""COMPUTED_VALUE"""),"Male")</f>
        <v>Male</v>
      </c>
      <c r="G188" s="4" t="b">
        <f>IFERROR(__xludf.DUMMYFUNCTION("""COMPUTED_VALUE"""),TRUE)</f>
        <v>1</v>
      </c>
      <c r="H188" s="4" t="b">
        <f>IFERROR(__xludf.DUMMYFUNCTION("""COMPUTED_VALUE"""),TRUE)</f>
        <v>1</v>
      </c>
      <c r="I188" s="4">
        <f>IFERROR(__xludf.DUMMYFUNCTION("""COMPUTED_VALUE"""),0.24646185185185185)</f>
        <v>0.2464618519</v>
      </c>
      <c r="J188" s="4">
        <f>IFERROR(__xludf.DUMMYFUNCTION("""COMPUTED_VALUE"""),45949.258252388405)</f>
        <v>45949.25825</v>
      </c>
      <c r="K188" s="4">
        <f>IFERROR(__xludf.DUMMYFUNCTION("""COMPUTED_VALUE"""),45949.285620518305)</f>
        <v>45949.28562</v>
      </c>
      <c r="L188" s="4">
        <f>IFERROR(__xludf.DUMMYFUNCTION("""COMPUTED_VALUE"""),45949.29481407624)</f>
        <v>45949.29481</v>
      </c>
      <c r="M188" s="1" t="str">
        <f>IFERROR(__xludf.DUMMYFUNCTION("""COMPUTED_VALUE"""),"RFID")</f>
        <v>RFID</v>
      </c>
      <c r="N188" s="5">
        <f>IFERROR(__xludf.DUMMYFUNCTION("""COMPUTED_VALUE"""),0.004716212962962963)</f>
        <v>0.004716212963</v>
      </c>
      <c r="O188" s="5">
        <f>IFERROR(__xludf.DUMMYFUNCTION("""COMPUTED_VALUE"""),0.010947250000000002)</f>
        <v>0.01094725</v>
      </c>
      <c r="P188" s="5">
        <f>IFERROR(__xludf.DUMMYFUNCTION("""COMPUTED_VALUE"""),0.003783357174086879)</f>
        <v>0.003783357174</v>
      </c>
      <c r="Q188" s="5">
        <f>IFERROR(__xludf.DUMMYFUNCTION("""COMPUTED_VALUE"""),0.004835222222222222)</f>
        <v>0.004835222222</v>
      </c>
      <c r="R188" s="4">
        <f>IFERROR(__xludf.DUMMYFUNCTION("""COMPUTED_VALUE"""),45949.04835222439)</f>
        <v>45949.04835</v>
      </c>
      <c r="S188" s="1" t="b">
        <f>IFERROR(__xludf.DUMMYFUNCTION("""COMPUTED_VALUE"""),TRUE)</f>
        <v>1</v>
      </c>
      <c r="T188" s="1" t="b">
        <f>IFERROR(__xludf.DUMMYFUNCTION("""COMPUTED_VALUE"""),FALSE)</f>
        <v>0</v>
      </c>
      <c r="U188" s="1" t="str">
        <f>IFERROR(__xludf.DUMMYFUNCTION("""COMPUTED_VALUE"""),"VALID")</f>
        <v>VALID</v>
      </c>
      <c r="V188" s="1">
        <f>IFERROR(__xludf.DUMMYFUNCTION("""COMPUTED_VALUE"""),296.0)</f>
        <v>296</v>
      </c>
      <c r="W188" s="1">
        <f>IFERROR(__xludf.DUMMYFUNCTION("""COMPUTED_VALUE"""),351.0)</f>
        <v>351</v>
      </c>
      <c r="X188" s="1">
        <f>IFERROR(__xludf.DUMMYFUNCTION("""COMPUTED_VALUE"""),1325.0)</f>
        <v>1325</v>
      </c>
      <c r="Y188" s="2"/>
      <c r="Z188" s="2"/>
    </row>
    <row r="189">
      <c r="A189" s="1">
        <f>IFERROR(__xludf.DUMMYFUNCTION("""COMPUTED_VALUE"""),188.0)</f>
        <v>188</v>
      </c>
      <c r="B189" s="1">
        <f>IFERROR(__xludf.DUMMYFUNCTION("""COMPUTED_VALUE"""),10013.0)</f>
        <v>10013</v>
      </c>
      <c r="C189" s="2" t="str">
        <f>IFERROR(__xludf.DUMMYFUNCTION("""COMPUTED_VALUE"""),"Adi Saputra")</f>
        <v>Adi Saputra</v>
      </c>
      <c r="D189" s="2" t="str">
        <f>IFERROR(__xludf.DUMMYFUNCTION("""COMPUTED_VALUE"""),"10KM OVERALL M")</f>
        <v>10KM OVERALL M</v>
      </c>
      <c r="E189" s="1">
        <f>IFERROR(__xludf.DUMMYFUNCTION("""COMPUTED_VALUE"""),1.0)</f>
        <v>1</v>
      </c>
      <c r="F189" s="1" t="str">
        <f>IFERROR(__xludf.DUMMYFUNCTION("""COMPUTED_VALUE"""),"Male")</f>
        <v>Male</v>
      </c>
      <c r="G189" s="4" t="b">
        <f>IFERROR(__xludf.DUMMYFUNCTION("""COMPUTED_VALUE"""),TRUE)</f>
        <v>1</v>
      </c>
      <c r="H189" s="4" t="b">
        <f>IFERROR(__xludf.DUMMYFUNCTION("""COMPUTED_VALUE"""),FALSE)</f>
        <v>0</v>
      </c>
      <c r="I189" s="4">
        <f>IFERROR(__xludf.DUMMYFUNCTION("""COMPUTED_VALUE"""),0.24646185185185185)</f>
        <v>0.2464618519</v>
      </c>
      <c r="J189" s="4">
        <f>IFERROR(__xludf.DUMMYFUNCTION("""COMPUTED_VALUE"""),45949.256367384085)</f>
        <v>45949.25637</v>
      </c>
      <c r="K189" s="4">
        <f>IFERROR(__xludf.DUMMYFUNCTION("""COMPUTED_VALUE"""),45949.28089129463)</f>
        <v>45949.28089</v>
      </c>
      <c r="L189" s="4">
        <f>IFERROR(__xludf.DUMMYFUNCTION("""COMPUTED_VALUE"""),45949.28828280901)</f>
        <v>45949.28828</v>
      </c>
      <c r="M189" s="1" t="str">
        <f>IFERROR(__xludf.DUMMYFUNCTION("""COMPUTED_VALUE"""),"RFID")</f>
        <v>RFID</v>
      </c>
      <c r="N189" s="5">
        <f>IFERROR(__xludf.DUMMYFUNCTION("""COMPUTED_VALUE"""),0.0039622129629629625)</f>
        <v>0.003962212963</v>
      </c>
      <c r="O189" s="5">
        <f>IFERROR(__xludf.DUMMYFUNCTION("""COMPUTED_VALUE"""),0.009809564814814816)</f>
        <v>0.009809564815</v>
      </c>
      <c r="P189" s="5">
        <f>IFERROR(__xludf.DUMMYFUNCTION("""COMPUTED_VALUE"""),0.0030417754651390306)</f>
        <v>0.003041775465</v>
      </c>
      <c r="Q189" s="5">
        <f>IFERROR(__xludf.DUMMYFUNCTION("""COMPUTED_VALUE"""),0.004182096064814815)</f>
        <v>0.004182096065</v>
      </c>
      <c r="R189" s="4">
        <f>IFERROR(__xludf.DUMMYFUNCTION("""COMPUTED_VALUE"""),45949.04182095716)</f>
        <v>45949.04182</v>
      </c>
      <c r="S189" s="1" t="b">
        <f>IFERROR(__xludf.DUMMYFUNCTION("""COMPUTED_VALUE"""),TRUE)</f>
        <v>1</v>
      </c>
      <c r="T189" s="1" t="b">
        <f>IFERROR(__xludf.DUMMYFUNCTION("""COMPUTED_VALUE"""),FALSE)</f>
        <v>0</v>
      </c>
      <c r="U189" s="1" t="str">
        <f>IFERROR(__xludf.DUMMYFUNCTION("""COMPUTED_VALUE"""),"VALID")</f>
        <v>VALID</v>
      </c>
      <c r="V189" s="1">
        <f>IFERROR(__xludf.DUMMYFUNCTION("""COMPUTED_VALUE"""),138.0)</f>
        <v>138</v>
      </c>
      <c r="W189" s="1">
        <f>IFERROR(__xludf.DUMMYFUNCTION("""COMPUTED_VALUE"""),163.0)</f>
        <v>163</v>
      </c>
      <c r="X189" s="1">
        <f>IFERROR(__xludf.DUMMYFUNCTION("""COMPUTED_VALUE"""),1059.0)</f>
        <v>1059</v>
      </c>
      <c r="Y189" s="2"/>
      <c r="Z189" s="2"/>
    </row>
    <row r="190">
      <c r="A190" s="1">
        <f>IFERROR(__xludf.DUMMYFUNCTION("""COMPUTED_VALUE"""),189.0)</f>
        <v>189</v>
      </c>
      <c r="B190" s="1">
        <f>IFERROR(__xludf.DUMMYFUNCTION("""COMPUTED_VALUE"""),10015.0)</f>
        <v>10015</v>
      </c>
      <c r="C190" s="2" t="str">
        <f>IFERROR(__xludf.DUMMYFUNCTION("""COMPUTED_VALUE"""),"Khalid")</f>
        <v>Khalid</v>
      </c>
      <c r="D190" s="2" t="str">
        <f>IFERROR(__xludf.DUMMYFUNCTION("""COMPUTED_VALUE"""),"10KM OVERALL M")</f>
        <v>10KM OVERALL M</v>
      </c>
      <c r="E190" s="1">
        <f>IFERROR(__xludf.DUMMYFUNCTION("""COMPUTED_VALUE"""),1.0)</f>
        <v>1</v>
      </c>
      <c r="F190" s="1" t="str">
        <f>IFERROR(__xludf.DUMMYFUNCTION("""COMPUTED_VALUE"""),"Male")</f>
        <v>Male</v>
      </c>
      <c r="G190" s="4" t="b">
        <f>IFERROR(__xludf.DUMMYFUNCTION("""COMPUTED_VALUE"""),TRUE)</f>
        <v>1</v>
      </c>
      <c r="H190" s="4" t="b">
        <f>IFERROR(__xludf.DUMMYFUNCTION("""COMPUTED_VALUE"""),TRUE)</f>
        <v>1</v>
      </c>
      <c r="I190" s="4">
        <f>IFERROR(__xludf.DUMMYFUNCTION("""COMPUTED_VALUE"""),0.24646185185185185)</f>
        <v>0.2464618519</v>
      </c>
      <c r="J190" s="4">
        <f>IFERROR(__xludf.DUMMYFUNCTION("""COMPUTED_VALUE"""),45949.257287114044)</f>
        <v>45949.25729</v>
      </c>
      <c r="K190" s="4">
        <f>IFERROR(__xludf.DUMMYFUNCTION("""COMPUTED_VALUE"""),45949.287905214325)</f>
        <v>45949.28791</v>
      </c>
      <c r="L190" s="4">
        <f>IFERROR(__xludf.DUMMYFUNCTION("""COMPUTED_VALUE"""),45949.296623200426)</f>
        <v>45949.29662</v>
      </c>
      <c r="M190" s="1" t="str">
        <f>IFERROR(__xludf.DUMMYFUNCTION("""COMPUTED_VALUE"""),"RFID")</f>
        <v>RFID</v>
      </c>
      <c r="N190" s="5">
        <f>IFERROR(__xludf.DUMMYFUNCTION("""COMPUTED_VALUE"""),0.004330106481481482)</f>
        <v>0.004330106481</v>
      </c>
      <c r="O190" s="5">
        <f>IFERROR(__xludf.DUMMYFUNCTION("""COMPUTED_VALUE"""),0.01224724074074074)</f>
        <v>0.01224724074</v>
      </c>
      <c r="P190" s="5">
        <f>IFERROR(__xludf.DUMMYFUNCTION("""COMPUTED_VALUE"""),0.0035876486009205288)</f>
        <v>0.003587648601</v>
      </c>
      <c r="Q190" s="5">
        <f>IFERROR(__xludf.DUMMYFUNCTION("""COMPUTED_VALUE"""),0.005016135416666666)</f>
        <v>0.005016135417</v>
      </c>
      <c r="R190" s="4">
        <f>IFERROR(__xludf.DUMMYFUNCTION("""COMPUTED_VALUE"""),45949.050161348576)</f>
        <v>45949.05016</v>
      </c>
      <c r="S190" s="1" t="b">
        <f>IFERROR(__xludf.DUMMYFUNCTION("""COMPUTED_VALUE"""),TRUE)</f>
        <v>1</v>
      </c>
      <c r="T190" s="1" t="b">
        <f>IFERROR(__xludf.DUMMYFUNCTION("""COMPUTED_VALUE"""),FALSE)</f>
        <v>0</v>
      </c>
      <c r="U190" s="1" t="str">
        <f>IFERROR(__xludf.DUMMYFUNCTION("""COMPUTED_VALUE"""),"VALID")</f>
        <v>VALID</v>
      </c>
      <c r="V190" s="1">
        <f>IFERROR(__xludf.DUMMYFUNCTION("""COMPUTED_VALUE"""),346.0)</f>
        <v>346</v>
      </c>
      <c r="W190" s="1">
        <f>IFERROR(__xludf.DUMMYFUNCTION("""COMPUTED_VALUE"""),408.0)</f>
        <v>408</v>
      </c>
      <c r="X190" s="1">
        <f>IFERROR(__xludf.DUMMYFUNCTION("""COMPUTED_VALUE"""),1386.0)</f>
        <v>1386</v>
      </c>
      <c r="Y190" s="2"/>
      <c r="Z190" s="2"/>
    </row>
    <row r="191">
      <c r="A191" s="1">
        <f>IFERROR(__xludf.DUMMYFUNCTION("""COMPUTED_VALUE"""),190.0)</f>
        <v>190</v>
      </c>
      <c r="B191" s="1">
        <f>IFERROR(__xludf.DUMMYFUNCTION("""COMPUTED_VALUE"""),10016.0)</f>
        <v>10016</v>
      </c>
      <c r="C191" s="2" t="str">
        <f>IFERROR(__xludf.DUMMYFUNCTION("""COMPUTED_VALUE"""),"ranggadrecht")</f>
        <v>ranggadrecht</v>
      </c>
      <c r="D191" s="2" t="str">
        <f>IFERROR(__xludf.DUMMYFUNCTION("""COMPUTED_VALUE"""),"10KM OVERALL M")</f>
        <v>10KM OVERALL M</v>
      </c>
      <c r="E191" s="1">
        <f>IFERROR(__xludf.DUMMYFUNCTION("""COMPUTED_VALUE"""),1.0)</f>
        <v>1</v>
      </c>
      <c r="F191" s="1" t="str">
        <f>IFERROR(__xludf.DUMMYFUNCTION("""COMPUTED_VALUE"""),"Male")</f>
        <v>Male</v>
      </c>
      <c r="G191" s="4" t="str">
        <f>IFERROR(__xludf.DUMMYFUNCTION("""COMPUTED_VALUE"""),"")</f>
        <v/>
      </c>
      <c r="H191" s="4" t="b">
        <f>IFERROR(__xludf.DUMMYFUNCTION("""COMPUTED_VALUE"""),FALSE)</f>
        <v>0</v>
      </c>
      <c r="I191" s="4">
        <f>IFERROR(__xludf.DUMMYFUNCTION("""COMPUTED_VALUE"""),0.24646185185185185)</f>
        <v>0.2464618519</v>
      </c>
      <c r="J191" s="4" t="str">
        <f>IFERROR(__xludf.DUMMYFUNCTION("""COMPUTED_VALUE"""),"")</f>
        <v/>
      </c>
      <c r="K191" s="4" t="str">
        <f>IFERROR(__xludf.DUMMYFUNCTION("""COMPUTED_VALUE"""),"")</f>
        <v/>
      </c>
      <c r="L191" s="4" t="str">
        <f>IFERROR(__xludf.DUMMYFUNCTION("""COMPUTED_VALUE"""),"")</f>
        <v/>
      </c>
      <c r="M191" s="1" t="str">
        <f>IFERROR(__xludf.DUMMYFUNCTION("""COMPUTED_VALUE"""),"RFID")</f>
        <v>RFID</v>
      </c>
      <c r="N191" s="5" t="str">
        <f>IFERROR(__xludf.DUMMYFUNCTION("""COMPUTED_VALUE"""),"")</f>
        <v/>
      </c>
      <c r="O191" s="5" t="str">
        <f>IFERROR(__xludf.DUMMYFUNCTION("""COMPUTED_VALUE"""),"")</f>
        <v/>
      </c>
      <c r="P191" s="5" t="str">
        <f>IFERROR(__xludf.DUMMYFUNCTION("""COMPUTED_VALUE"""),"")</f>
        <v/>
      </c>
      <c r="Q191" s="5" t="str">
        <f>IFERROR(__xludf.DUMMYFUNCTION("""COMPUTED_VALUE"""),"")</f>
        <v/>
      </c>
      <c r="R191" s="4" t="str">
        <f>IFERROR(__xludf.DUMMYFUNCTION("""COMPUTED_VALUE"""),"")</f>
        <v/>
      </c>
      <c r="S191" s="1" t="b">
        <f>IFERROR(__xludf.DUMMYFUNCTION("""COMPUTED_VALUE"""),FALSE)</f>
        <v>0</v>
      </c>
      <c r="T191" s="1" t="b">
        <f>IFERROR(__xludf.DUMMYFUNCTION("""COMPUTED_VALUE"""),FALSE)</f>
        <v>0</v>
      </c>
      <c r="U191" s="1" t="str">
        <f>IFERROR(__xludf.DUMMYFUNCTION("""COMPUTED_VALUE"""),"DSQ")</f>
        <v>DSQ</v>
      </c>
      <c r="V191" s="1" t="str">
        <f>IFERROR(__xludf.DUMMYFUNCTION("""COMPUTED_VALUE"""),"DSQ")</f>
        <v>DSQ</v>
      </c>
      <c r="W191" s="1" t="str">
        <f>IFERROR(__xludf.DUMMYFUNCTION("""COMPUTED_VALUE"""),"DSQ")</f>
        <v>DSQ</v>
      </c>
      <c r="X191" s="1" t="str">
        <f>IFERROR(__xludf.DUMMYFUNCTION("""COMPUTED_VALUE"""),"DSQ")</f>
        <v>DSQ</v>
      </c>
      <c r="Y191" s="2"/>
      <c r="Z191" s="2" t="str">
        <f>IFERROR(__xludf.DUMMYFUNCTION("""COMPUTED_VALUE"""),"")</f>
        <v/>
      </c>
    </row>
    <row r="192">
      <c r="A192" s="1">
        <f>IFERROR(__xludf.DUMMYFUNCTION("""COMPUTED_VALUE"""),191.0)</f>
        <v>191</v>
      </c>
      <c r="B192" s="1">
        <f>IFERROR(__xludf.DUMMYFUNCTION("""COMPUTED_VALUE"""),10019.0)</f>
        <v>10019</v>
      </c>
      <c r="C192" s="2" t="str">
        <f>IFERROR(__xludf.DUMMYFUNCTION("""COMPUTED_VALUE"""),"Reza")</f>
        <v>Reza</v>
      </c>
      <c r="D192" s="2" t="str">
        <f>IFERROR(__xludf.DUMMYFUNCTION("""COMPUTED_VALUE"""),"10KM OVERALL M")</f>
        <v>10KM OVERALL M</v>
      </c>
      <c r="E192" s="1">
        <f>IFERROR(__xludf.DUMMYFUNCTION("""COMPUTED_VALUE"""),1.0)</f>
        <v>1</v>
      </c>
      <c r="F192" s="1" t="str">
        <f>IFERROR(__xludf.DUMMYFUNCTION("""COMPUTED_VALUE"""),"Male")</f>
        <v>Male</v>
      </c>
      <c r="G192" s="4" t="b">
        <f>IFERROR(__xludf.DUMMYFUNCTION("""COMPUTED_VALUE"""),TRUE)</f>
        <v>1</v>
      </c>
      <c r="H192" s="4" t="b">
        <f>IFERROR(__xludf.DUMMYFUNCTION("""COMPUTED_VALUE"""),FALSE)</f>
        <v>0</v>
      </c>
      <c r="I192" s="4">
        <f>IFERROR(__xludf.DUMMYFUNCTION("""COMPUTED_VALUE"""),0.24646185185185185)</f>
        <v>0.2464618519</v>
      </c>
      <c r="J192" s="4">
        <f>IFERROR(__xludf.DUMMYFUNCTION("""COMPUTED_VALUE"""),45949.26308918622)</f>
        <v>45949.26309</v>
      </c>
      <c r="K192" s="4">
        <f>IFERROR(__xludf.DUMMYFUNCTION("""COMPUTED_VALUE"""),45949.29683944727)</f>
        <v>45949.29684</v>
      </c>
      <c r="L192" s="4">
        <f>IFERROR(__xludf.DUMMYFUNCTION("""COMPUTED_VALUE"""),45949.30751545347)</f>
        <v>45949.30752</v>
      </c>
      <c r="M192" s="1" t="str">
        <f>IFERROR(__xludf.DUMMYFUNCTION("""COMPUTED_VALUE"""),"RFID")</f>
        <v>RFID</v>
      </c>
      <c r="N192" s="5">
        <f>IFERROR(__xludf.DUMMYFUNCTION("""COMPUTED_VALUE"""),0.006650935185185186)</f>
        <v>0.006650935185</v>
      </c>
      <c r="O192" s="5">
        <f>IFERROR(__xludf.DUMMYFUNCTION("""COMPUTED_VALUE"""),0.013500106481481483)</f>
        <v>0.01350010648</v>
      </c>
      <c r="P192" s="5">
        <f>IFERROR(__xludf.DUMMYFUNCTION("""COMPUTED_VALUE"""),0.004393418188136906)</f>
        <v>0.004393418188</v>
      </c>
      <c r="Q192" s="5">
        <f>IFERROR(__xludf.DUMMYFUNCTION("""COMPUTED_VALUE"""),0.006105359953703704)</f>
        <v>0.006105359954</v>
      </c>
      <c r="R192" s="4">
        <f>IFERROR(__xludf.DUMMYFUNCTION("""COMPUTED_VALUE"""),45949.06105360162)</f>
        <v>45949.06105</v>
      </c>
      <c r="S192" s="1" t="b">
        <f>IFERROR(__xludf.DUMMYFUNCTION("""COMPUTED_VALUE"""),TRUE)</f>
        <v>1</v>
      </c>
      <c r="T192" s="1" t="b">
        <f>IFERROR(__xludf.DUMMYFUNCTION("""COMPUTED_VALUE"""),FALSE)</f>
        <v>0</v>
      </c>
      <c r="U192" s="1" t="str">
        <f>IFERROR(__xludf.DUMMYFUNCTION("""COMPUTED_VALUE"""),"VALID")</f>
        <v>VALID</v>
      </c>
      <c r="V192" s="1">
        <f>IFERROR(__xludf.DUMMYFUNCTION("""COMPUTED_VALUE"""),542.0)</f>
        <v>542</v>
      </c>
      <c r="W192" s="1">
        <f>IFERROR(__xludf.DUMMYFUNCTION("""COMPUTED_VALUE"""),666.0)</f>
        <v>666</v>
      </c>
      <c r="X192" s="1">
        <f>IFERROR(__xludf.DUMMYFUNCTION("""COMPUTED_VALUE"""),1617.0)</f>
        <v>1617</v>
      </c>
      <c r="Y192" s="2"/>
      <c r="Z192" s="2"/>
    </row>
    <row r="193">
      <c r="A193" s="1">
        <f>IFERROR(__xludf.DUMMYFUNCTION("""COMPUTED_VALUE"""),192.0)</f>
        <v>192</v>
      </c>
      <c r="B193" s="1">
        <f>IFERROR(__xludf.DUMMYFUNCTION("""COMPUTED_VALUE"""),10020.0)</f>
        <v>10020</v>
      </c>
      <c r="C193" s="2" t="str">
        <f>IFERROR(__xludf.DUMMYFUNCTION("""COMPUTED_VALUE"""),"Rahmat JP")</f>
        <v>Rahmat JP</v>
      </c>
      <c r="D193" s="2" t="str">
        <f>IFERROR(__xludf.DUMMYFUNCTION("""COMPUTED_VALUE"""),"10KM OVERALL M")</f>
        <v>10KM OVERALL M</v>
      </c>
      <c r="E193" s="1">
        <f>IFERROR(__xludf.DUMMYFUNCTION("""COMPUTED_VALUE"""),1.0)</f>
        <v>1</v>
      </c>
      <c r="F193" s="1" t="str">
        <f>IFERROR(__xludf.DUMMYFUNCTION("""COMPUTED_VALUE"""),"Male")</f>
        <v>Male</v>
      </c>
      <c r="G193" s="4" t="b">
        <f>IFERROR(__xludf.DUMMYFUNCTION("""COMPUTED_VALUE"""),TRUE)</f>
        <v>1</v>
      </c>
      <c r="H193" s="4" t="b">
        <f>IFERROR(__xludf.DUMMYFUNCTION("""COMPUTED_VALUE"""),TRUE)</f>
        <v>1</v>
      </c>
      <c r="I193" s="4">
        <f>IFERROR(__xludf.DUMMYFUNCTION("""COMPUTED_VALUE"""),0.24646185185185185)</f>
        <v>0.2464618519</v>
      </c>
      <c r="J193" s="4">
        <f>IFERROR(__xludf.DUMMYFUNCTION("""COMPUTED_VALUE"""),45949.25606487948)</f>
        <v>45949.25606</v>
      </c>
      <c r="K193" s="4">
        <f>IFERROR(__xludf.DUMMYFUNCTION("""COMPUTED_VALUE"""),45949.283228106324)</f>
        <v>45949.28323</v>
      </c>
      <c r="L193" s="4">
        <f>IFERROR(__xludf.DUMMYFUNCTION("""COMPUTED_VALUE"""),45949.292015456645)</f>
        <v>45949.29202</v>
      </c>
      <c r="M193" s="1" t="str">
        <f>IFERROR(__xludf.DUMMYFUNCTION("""COMPUTED_VALUE"""),"RFID")</f>
        <v>RFID</v>
      </c>
      <c r="N193" s="5">
        <f>IFERROR(__xludf.DUMMYFUNCTION("""COMPUTED_VALUE"""),0.003841212962962963)</f>
        <v>0.003841212963</v>
      </c>
      <c r="O193" s="5">
        <f>IFERROR(__xludf.DUMMYFUNCTION("""COMPUTED_VALUE"""),0.010865291666666665)</f>
        <v>0.01086529167</v>
      </c>
      <c r="P193" s="5">
        <f>IFERROR(__xludf.DUMMYFUNCTION("""COMPUTED_VALUE"""),0.0036161935480058557)</f>
        <v>0.003616193548</v>
      </c>
      <c r="Q193" s="5">
        <f>IFERROR(__xludf.DUMMYFUNCTION("""COMPUTED_VALUE"""),0.004555359953703704)</f>
        <v>0.004555359954</v>
      </c>
      <c r="R193" s="4">
        <f>IFERROR(__xludf.DUMMYFUNCTION("""COMPUTED_VALUE"""),45949.045553604796)</f>
        <v>45949.04555</v>
      </c>
      <c r="S193" s="1" t="b">
        <f>IFERROR(__xludf.DUMMYFUNCTION("""COMPUTED_VALUE"""),TRUE)</f>
        <v>1</v>
      </c>
      <c r="T193" s="1" t="b">
        <f>IFERROR(__xludf.DUMMYFUNCTION("""COMPUTED_VALUE"""),FALSE)</f>
        <v>0</v>
      </c>
      <c r="U193" s="1" t="str">
        <f>IFERROR(__xludf.DUMMYFUNCTION("""COMPUTED_VALUE"""),"VALID")</f>
        <v>VALID</v>
      </c>
      <c r="V193" s="1">
        <f>IFERROR(__xludf.DUMMYFUNCTION("""COMPUTED_VALUE"""),228.0)</f>
        <v>228</v>
      </c>
      <c r="W193" s="1">
        <f>IFERROR(__xludf.DUMMYFUNCTION("""COMPUTED_VALUE"""),275.0)</f>
        <v>275</v>
      </c>
      <c r="X193" s="1">
        <f>IFERROR(__xludf.DUMMYFUNCTION("""COMPUTED_VALUE"""),1219.0)</f>
        <v>1219</v>
      </c>
      <c r="Y193" s="2"/>
      <c r="Z193" s="2"/>
    </row>
    <row r="194">
      <c r="A194" s="1">
        <f>IFERROR(__xludf.DUMMYFUNCTION("""COMPUTED_VALUE"""),193.0)</f>
        <v>193</v>
      </c>
      <c r="B194" s="1">
        <f>IFERROR(__xludf.DUMMYFUNCTION("""COMPUTED_VALUE"""),10021.0)</f>
        <v>10021</v>
      </c>
      <c r="C194" s="2" t="str">
        <f>IFERROR(__xludf.DUMMYFUNCTION("""COMPUTED_VALUE"""),"Rohmad Isnaeni A.")</f>
        <v>Rohmad Isnaeni A.</v>
      </c>
      <c r="D194" s="2" t="str">
        <f>IFERROR(__xludf.DUMMYFUNCTION("""COMPUTED_VALUE"""),"10KM OVERALL M")</f>
        <v>10KM OVERALL M</v>
      </c>
      <c r="E194" s="1">
        <f>IFERROR(__xludf.DUMMYFUNCTION("""COMPUTED_VALUE"""),1.0)</f>
        <v>1</v>
      </c>
      <c r="F194" s="1" t="str">
        <f>IFERROR(__xludf.DUMMYFUNCTION("""COMPUTED_VALUE"""),"Male")</f>
        <v>Male</v>
      </c>
      <c r="G194" s="4" t="b">
        <f>IFERROR(__xludf.DUMMYFUNCTION("""COMPUTED_VALUE"""),TRUE)</f>
        <v>1</v>
      </c>
      <c r="H194" s="4" t="b">
        <f>IFERROR(__xludf.DUMMYFUNCTION("""COMPUTED_VALUE"""),FALSE)</f>
        <v>0</v>
      </c>
      <c r="I194" s="4">
        <f>IFERROR(__xludf.DUMMYFUNCTION("""COMPUTED_VALUE"""),0.24646185185185185)</f>
        <v>0.2464618519</v>
      </c>
      <c r="J194" s="4">
        <f>IFERROR(__xludf.DUMMYFUNCTION("""COMPUTED_VALUE"""),45949.255745505754)</f>
        <v>45949.25575</v>
      </c>
      <c r="K194" s="4">
        <f>IFERROR(__xludf.DUMMYFUNCTION("""COMPUTED_VALUE"""),45949.28564824142)</f>
        <v>45949.28565</v>
      </c>
      <c r="L194" s="4">
        <f>IFERROR(__xludf.DUMMYFUNCTION("""COMPUTED_VALUE"""),45949.29382095336)</f>
        <v>45949.29382</v>
      </c>
      <c r="M194" s="1" t="str">
        <f>IFERROR(__xludf.DUMMYFUNCTION("""COMPUTED_VALUE"""),"RFID")</f>
        <v>RFID</v>
      </c>
      <c r="N194" s="5">
        <f>IFERROR(__xludf.DUMMYFUNCTION("""COMPUTED_VALUE"""),0.0037134629629629627)</f>
        <v>0.003713462963</v>
      </c>
      <c r="O194" s="5">
        <f>IFERROR(__xludf.DUMMYFUNCTION("""COMPUTED_VALUE"""),0.011961092592592593)</f>
        <v>0.01196109259</v>
      </c>
      <c r="P194" s="5">
        <f>IFERROR(__xludf.DUMMYFUNCTION("""COMPUTED_VALUE"""),0.003363255942202031)</f>
        <v>0.003363255942</v>
      </c>
      <c r="Q194" s="5">
        <f>IFERROR(__xludf.DUMMYFUNCTION("""COMPUTED_VALUE"""),0.004735909722222222)</f>
        <v>0.004735909722</v>
      </c>
      <c r="R194" s="4">
        <f>IFERROR(__xludf.DUMMYFUNCTION("""COMPUTED_VALUE"""),45949.04735910151)</f>
        <v>45949.04736</v>
      </c>
      <c r="S194" s="1" t="b">
        <f>IFERROR(__xludf.DUMMYFUNCTION("""COMPUTED_VALUE"""),TRUE)</f>
        <v>1</v>
      </c>
      <c r="T194" s="1" t="b">
        <f>IFERROR(__xludf.DUMMYFUNCTION("""COMPUTED_VALUE"""),FALSE)</f>
        <v>0</v>
      </c>
      <c r="U194" s="1" t="str">
        <f>IFERROR(__xludf.DUMMYFUNCTION("""COMPUTED_VALUE"""),"VALID")</f>
        <v>VALID</v>
      </c>
      <c r="V194" s="1">
        <f>IFERROR(__xludf.DUMMYFUNCTION("""COMPUTED_VALUE"""),270.0)</f>
        <v>270</v>
      </c>
      <c r="W194" s="1">
        <f>IFERROR(__xludf.DUMMYFUNCTION("""COMPUTED_VALUE"""),321.0)</f>
        <v>321</v>
      </c>
      <c r="X194" s="1">
        <f>IFERROR(__xludf.DUMMYFUNCTION("""COMPUTED_VALUE"""),1279.0)</f>
        <v>1279</v>
      </c>
      <c r="Y194" s="2"/>
      <c r="Z194" s="2"/>
    </row>
    <row r="195">
      <c r="A195" s="1">
        <f>IFERROR(__xludf.DUMMYFUNCTION("""COMPUTED_VALUE"""),194.0)</f>
        <v>194</v>
      </c>
      <c r="B195" s="1">
        <f>IFERROR(__xludf.DUMMYFUNCTION("""COMPUTED_VALUE"""),10022.0)</f>
        <v>10022</v>
      </c>
      <c r="C195" s="2" t="str">
        <f>IFERROR(__xludf.DUMMYFUNCTION("""COMPUTED_VALUE"""),"Danang Cahyadi")</f>
        <v>Danang Cahyadi</v>
      </c>
      <c r="D195" s="2" t="str">
        <f>IFERROR(__xludf.DUMMYFUNCTION("""COMPUTED_VALUE"""),"10KM OVERALL M")</f>
        <v>10KM OVERALL M</v>
      </c>
      <c r="E195" s="1">
        <f>IFERROR(__xludf.DUMMYFUNCTION("""COMPUTED_VALUE"""),1.0)</f>
        <v>1</v>
      </c>
      <c r="F195" s="1" t="str">
        <f>IFERROR(__xludf.DUMMYFUNCTION("""COMPUTED_VALUE"""),"Male")</f>
        <v>Male</v>
      </c>
      <c r="G195" s="4" t="str">
        <f>IFERROR(__xludf.DUMMYFUNCTION("""COMPUTED_VALUE"""),"")</f>
        <v/>
      </c>
      <c r="H195" s="4" t="b">
        <f>IFERROR(__xludf.DUMMYFUNCTION("""COMPUTED_VALUE"""),TRUE)</f>
        <v>1</v>
      </c>
      <c r="I195" s="4">
        <f>IFERROR(__xludf.DUMMYFUNCTION("""COMPUTED_VALUE"""),0.24646185185185185)</f>
        <v>0.2464618519</v>
      </c>
      <c r="J195" s="4">
        <f>IFERROR(__xludf.DUMMYFUNCTION("""COMPUTED_VALUE"""),45949.25709616231)</f>
        <v>45949.2571</v>
      </c>
      <c r="K195" s="4">
        <f>IFERROR(__xludf.DUMMYFUNCTION("""COMPUTED_VALUE"""),45949.28202672162)</f>
        <v>45949.28203</v>
      </c>
      <c r="L195" s="4">
        <f>IFERROR(__xludf.DUMMYFUNCTION("""COMPUTED_VALUE"""),45949.28855022755)</f>
        <v>45949.28855</v>
      </c>
      <c r="M195" s="1" t="str">
        <f>IFERROR(__xludf.DUMMYFUNCTION("""COMPUTED_VALUE"""),"RFID")</f>
        <v>RFID</v>
      </c>
      <c r="N195" s="5">
        <f>IFERROR(__xludf.DUMMYFUNCTION("""COMPUTED_VALUE"""),0.004253722222222222)</f>
        <v>0.004253722222</v>
      </c>
      <c r="O195" s="5">
        <f>IFERROR(__xludf.DUMMYFUNCTION("""COMPUTED_VALUE"""),0.009972222222222223)</f>
        <v>0.009972222222</v>
      </c>
      <c r="P195" s="5">
        <f>IFERROR(__xludf.DUMMYFUNCTION("""COMPUTED_VALUE"""),0.0026845703416009557)</f>
        <v>0.002684570342</v>
      </c>
      <c r="Q195" s="5">
        <f>IFERROR(__xludf.DUMMYFUNCTION("""COMPUTED_VALUE"""),0.004208837962962963)</f>
        <v>0.004208837963</v>
      </c>
      <c r="R195" s="4">
        <f>IFERROR(__xludf.DUMMYFUNCTION("""COMPUTED_VALUE"""),45949.0420883757)</f>
        <v>45949.04209</v>
      </c>
      <c r="S195" s="1" t="b">
        <f>IFERROR(__xludf.DUMMYFUNCTION("""COMPUTED_VALUE"""),TRUE)</f>
        <v>1</v>
      </c>
      <c r="T195" s="1" t="b">
        <f>IFERROR(__xludf.DUMMYFUNCTION("""COMPUTED_VALUE"""),FALSE)</f>
        <v>0</v>
      </c>
      <c r="U195" s="1" t="str">
        <f>IFERROR(__xludf.DUMMYFUNCTION("""COMPUTED_VALUE"""),"VALID")</f>
        <v>VALID</v>
      </c>
      <c r="V195" s="1">
        <f>IFERROR(__xludf.DUMMYFUNCTION("""COMPUTED_VALUE"""),145.0)</f>
        <v>145</v>
      </c>
      <c r="W195" s="1">
        <f>IFERROR(__xludf.DUMMYFUNCTION("""COMPUTED_VALUE"""),171.0)</f>
        <v>171</v>
      </c>
      <c r="X195" s="1">
        <f>IFERROR(__xludf.DUMMYFUNCTION("""COMPUTED_VALUE"""),1068.0)</f>
        <v>1068</v>
      </c>
      <c r="Y195" s="2"/>
      <c r="Z195" s="2"/>
    </row>
    <row r="196">
      <c r="A196" s="1">
        <f>IFERROR(__xludf.DUMMYFUNCTION("""COMPUTED_VALUE"""),195.0)</f>
        <v>195</v>
      </c>
      <c r="B196" s="1">
        <f>IFERROR(__xludf.DUMMYFUNCTION("""COMPUTED_VALUE"""),10023.0)</f>
        <v>10023</v>
      </c>
      <c r="C196" s="2" t="str">
        <f>IFERROR(__xludf.DUMMYFUNCTION("""COMPUTED_VALUE"""),"Robinson")</f>
        <v>Robinson</v>
      </c>
      <c r="D196" s="2" t="str">
        <f>IFERROR(__xludf.DUMMYFUNCTION("""COMPUTED_VALUE"""),"10KM OVERALL M")</f>
        <v>10KM OVERALL M</v>
      </c>
      <c r="E196" s="1">
        <f>IFERROR(__xludf.DUMMYFUNCTION("""COMPUTED_VALUE"""),1.0)</f>
        <v>1</v>
      </c>
      <c r="F196" s="1" t="str">
        <f>IFERROR(__xludf.DUMMYFUNCTION("""COMPUTED_VALUE"""),"Male")</f>
        <v>Male</v>
      </c>
      <c r="G196" s="4" t="b">
        <f>IFERROR(__xludf.DUMMYFUNCTION("""COMPUTED_VALUE"""),TRUE)</f>
        <v>1</v>
      </c>
      <c r="H196" s="4" t="b">
        <f>IFERROR(__xludf.DUMMYFUNCTION("""COMPUTED_VALUE"""),FALSE)</f>
        <v>0</v>
      </c>
      <c r="I196" s="4">
        <f>IFERROR(__xludf.DUMMYFUNCTION("""COMPUTED_VALUE"""),0.24646185185185185)</f>
        <v>0.2464618519</v>
      </c>
      <c r="J196" s="4">
        <f>IFERROR(__xludf.DUMMYFUNCTION("""COMPUTED_VALUE"""),45949.25532880218)</f>
        <v>45949.25533</v>
      </c>
      <c r="K196" s="4">
        <f>IFERROR(__xludf.DUMMYFUNCTION("""COMPUTED_VALUE"""),45949.28618644537)</f>
        <v>45949.28619</v>
      </c>
      <c r="L196" s="4">
        <f>IFERROR(__xludf.DUMMYFUNCTION("""COMPUTED_VALUE"""),45949.29409526951)</f>
        <v>45949.2941</v>
      </c>
      <c r="M196" s="1" t="str">
        <f>IFERROR(__xludf.DUMMYFUNCTION("""COMPUTED_VALUE"""),"RFID")</f>
        <v>RFID</v>
      </c>
      <c r="N196" s="5">
        <f>IFERROR(__xludf.DUMMYFUNCTION("""COMPUTED_VALUE"""),0.0035467824074074073)</f>
        <v>0.003546782407</v>
      </c>
      <c r="O196" s="5">
        <f>IFERROR(__xludf.DUMMYFUNCTION("""COMPUTED_VALUE"""),0.012343055555555555)</f>
        <v>0.01234305556</v>
      </c>
      <c r="P196" s="5">
        <f>IFERROR(__xludf.DUMMYFUNCTION("""COMPUTED_VALUE"""),0.003254660139930599)</f>
        <v>0.00325466014</v>
      </c>
      <c r="Q196" s="5">
        <f>IFERROR(__xludf.DUMMYFUNCTION("""COMPUTED_VALUE"""),0.0047633414351851856)</f>
        <v>0.004763341435</v>
      </c>
      <c r="R196" s="4">
        <f>IFERROR(__xludf.DUMMYFUNCTION("""COMPUTED_VALUE"""),45949.047633417664)</f>
        <v>45949.04763</v>
      </c>
      <c r="S196" s="1" t="b">
        <f>IFERROR(__xludf.DUMMYFUNCTION("""COMPUTED_VALUE"""),TRUE)</f>
        <v>1</v>
      </c>
      <c r="T196" s="1" t="b">
        <f>IFERROR(__xludf.DUMMYFUNCTION("""COMPUTED_VALUE"""),FALSE)</f>
        <v>0</v>
      </c>
      <c r="U196" s="1" t="str">
        <f>IFERROR(__xludf.DUMMYFUNCTION("""COMPUTED_VALUE"""),"VALID")</f>
        <v>VALID</v>
      </c>
      <c r="V196" s="1">
        <f>IFERROR(__xludf.DUMMYFUNCTION("""COMPUTED_VALUE"""),278.0)</f>
        <v>278</v>
      </c>
      <c r="W196" s="1">
        <f>IFERROR(__xludf.DUMMYFUNCTION("""COMPUTED_VALUE"""),330.0)</f>
        <v>330</v>
      </c>
      <c r="X196" s="1">
        <f>IFERROR(__xludf.DUMMYFUNCTION("""COMPUTED_VALUE"""),1290.0)</f>
        <v>1290</v>
      </c>
      <c r="Y196" s="2"/>
      <c r="Z196" s="2"/>
    </row>
    <row r="197">
      <c r="A197" s="1">
        <f>IFERROR(__xludf.DUMMYFUNCTION("""COMPUTED_VALUE"""),196.0)</f>
        <v>196</v>
      </c>
      <c r="B197" s="1">
        <f>IFERROR(__xludf.DUMMYFUNCTION("""COMPUTED_VALUE"""),10024.0)</f>
        <v>10024</v>
      </c>
      <c r="C197" s="2" t="str">
        <f>IFERROR(__xludf.DUMMYFUNCTION("""COMPUTED_VALUE"""),"Fadil")</f>
        <v>Fadil</v>
      </c>
      <c r="D197" s="2" t="str">
        <f>IFERROR(__xludf.DUMMYFUNCTION("""COMPUTED_VALUE"""),"10KM OVERALL M")</f>
        <v>10KM OVERALL M</v>
      </c>
      <c r="E197" s="1">
        <f>IFERROR(__xludf.DUMMYFUNCTION("""COMPUTED_VALUE"""),1.0)</f>
        <v>1</v>
      </c>
      <c r="F197" s="1" t="str">
        <f>IFERROR(__xludf.DUMMYFUNCTION("""COMPUTED_VALUE"""),"Male")</f>
        <v>Male</v>
      </c>
      <c r="G197" s="4" t="b">
        <f>IFERROR(__xludf.DUMMYFUNCTION("""COMPUTED_VALUE"""),TRUE)</f>
        <v>1</v>
      </c>
      <c r="H197" s="4" t="b">
        <f>IFERROR(__xludf.DUMMYFUNCTION("""COMPUTED_VALUE"""),FALSE)</f>
        <v>0</v>
      </c>
      <c r="I197" s="4">
        <f>IFERROR(__xludf.DUMMYFUNCTION("""COMPUTED_VALUE"""),0.24646185185185185)</f>
        <v>0.2464618519</v>
      </c>
      <c r="J197" s="4">
        <f>IFERROR(__xludf.DUMMYFUNCTION("""COMPUTED_VALUE"""),45949.255248973066)</f>
        <v>45949.25525</v>
      </c>
      <c r="K197" s="4">
        <f>IFERROR(__xludf.DUMMYFUNCTION("""COMPUTED_VALUE"""),45949.28036000594)</f>
        <v>45949.28036</v>
      </c>
      <c r="L197" s="4">
        <f>IFERROR(__xludf.DUMMYFUNCTION("""COMPUTED_VALUE"""),45949.287567556086)</f>
        <v>45949.28757</v>
      </c>
      <c r="M197" s="1" t="str">
        <f>IFERROR(__xludf.DUMMYFUNCTION("""COMPUTED_VALUE"""),"RFID")</f>
        <v>RFID</v>
      </c>
      <c r="N197" s="5">
        <f>IFERROR(__xludf.DUMMYFUNCTION("""COMPUTED_VALUE"""),0.003514847222222222)</f>
        <v>0.003514847222</v>
      </c>
      <c r="O197" s="5">
        <f>IFERROR(__xludf.DUMMYFUNCTION("""COMPUTED_VALUE"""),0.010044412037037036)</f>
        <v>0.01004441204</v>
      </c>
      <c r="P197" s="5">
        <f>IFERROR(__xludf.DUMMYFUNCTION("""COMPUTED_VALUE"""),0.0029660700184413816)</f>
        <v>0.002966070018</v>
      </c>
      <c r="Q197" s="5">
        <f>IFERROR(__xludf.DUMMYFUNCTION("""COMPUTED_VALUE"""),0.004110570601851852)</f>
        <v>0.004110570602</v>
      </c>
      <c r="R197" s="4">
        <f>IFERROR(__xludf.DUMMYFUNCTION("""COMPUTED_VALUE"""),45949.04110570424)</f>
        <v>45949.04111</v>
      </c>
      <c r="S197" s="1" t="b">
        <f>IFERROR(__xludf.DUMMYFUNCTION("""COMPUTED_VALUE"""),TRUE)</f>
        <v>1</v>
      </c>
      <c r="T197" s="1" t="b">
        <f>IFERROR(__xludf.DUMMYFUNCTION("""COMPUTED_VALUE"""),FALSE)</f>
        <v>0</v>
      </c>
      <c r="U197" s="1" t="str">
        <f>IFERROR(__xludf.DUMMYFUNCTION("""COMPUTED_VALUE"""),"VALID")</f>
        <v>VALID</v>
      </c>
      <c r="V197" s="1">
        <f>IFERROR(__xludf.DUMMYFUNCTION("""COMPUTED_VALUE"""),123.0)</f>
        <v>123</v>
      </c>
      <c r="W197" s="1">
        <f>IFERROR(__xludf.DUMMYFUNCTION("""COMPUTED_VALUE"""),146.0)</f>
        <v>146</v>
      </c>
      <c r="X197" s="1">
        <f>IFERROR(__xludf.DUMMYFUNCTION("""COMPUTED_VALUE"""),1023.0)</f>
        <v>1023</v>
      </c>
      <c r="Y197" s="2"/>
      <c r="Z197" s="2"/>
    </row>
    <row r="198">
      <c r="A198" s="1">
        <f>IFERROR(__xludf.DUMMYFUNCTION("""COMPUTED_VALUE"""),197.0)</f>
        <v>197</v>
      </c>
      <c r="B198" s="1">
        <f>IFERROR(__xludf.DUMMYFUNCTION("""COMPUTED_VALUE"""),10025.0)</f>
        <v>10025</v>
      </c>
      <c r="C198" s="2" t="str">
        <f>IFERROR(__xludf.DUMMYFUNCTION("""COMPUTED_VALUE"""),"KAISERRR")</f>
        <v>KAISERRR</v>
      </c>
      <c r="D198" s="2" t="str">
        <f>IFERROR(__xludf.DUMMYFUNCTION("""COMPUTED_VALUE"""),"10KM OVERALL M")</f>
        <v>10KM OVERALL M</v>
      </c>
      <c r="E198" s="1">
        <f>IFERROR(__xludf.DUMMYFUNCTION("""COMPUTED_VALUE"""),1.0)</f>
        <v>1</v>
      </c>
      <c r="F198" s="1" t="str">
        <f>IFERROR(__xludf.DUMMYFUNCTION("""COMPUTED_VALUE"""),"Male")</f>
        <v>Male</v>
      </c>
      <c r="G198" s="4" t="b">
        <f>IFERROR(__xludf.DUMMYFUNCTION("""COMPUTED_VALUE"""),TRUE)</f>
        <v>1</v>
      </c>
      <c r="H198" s="4" t="b">
        <f>IFERROR(__xludf.DUMMYFUNCTION("""COMPUTED_VALUE"""),TRUE)</f>
        <v>1</v>
      </c>
      <c r="I198" s="4">
        <f>IFERROR(__xludf.DUMMYFUNCTION("""COMPUTED_VALUE"""),0.24646185185185185)</f>
        <v>0.2464618519</v>
      </c>
      <c r="J198" s="4">
        <f>IFERROR(__xludf.DUMMYFUNCTION("""COMPUTED_VALUE"""),45949.25886698449)</f>
        <v>45949.25887</v>
      </c>
      <c r="K198" s="4">
        <f>IFERROR(__xludf.DUMMYFUNCTION("""COMPUTED_VALUE"""),45949.29391947906)</f>
        <v>45949.29392</v>
      </c>
      <c r="L198" s="4">
        <f>IFERROR(__xludf.DUMMYFUNCTION("""COMPUTED_VALUE"""),45949.30326892643)</f>
        <v>45949.30327</v>
      </c>
      <c r="M198" s="1" t="str">
        <f>IFERROR(__xludf.DUMMYFUNCTION("""COMPUTED_VALUE"""),"RFID")</f>
        <v>RFID</v>
      </c>
      <c r="N198" s="5">
        <f>IFERROR(__xludf.DUMMYFUNCTION("""COMPUTED_VALUE"""),0.004962050925925925)</f>
        <v>0.004962050926</v>
      </c>
      <c r="O198" s="5">
        <f>IFERROR(__xludf.DUMMYFUNCTION("""COMPUTED_VALUE"""),0.014021)</f>
        <v>0.014021</v>
      </c>
      <c r="P198" s="5">
        <f>IFERROR(__xludf.DUMMYFUNCTION("""COMPUTED_VALUE"""),0.003847509205538718)</f>
        <v>0.003847509206</v>
      </c>
      <c r="Q198" s="5">
        <f>IFERROR(__xludf.DUMMYFUNCTION("""COMPUTED_VALUE"""),0.005680707175925926)</f>
        <v>0.005680707176</v>
      </c>
      <c r="R198" s="4">
        <f>IFERROR(__xludf.DUMMYFUNCTION("""COMPUTED_VALUE"""),45949.05680707458)</f>
        <v>45949.05681</v>
      </c>
      <c r="S198" s="1" t="b">
        <f>IFERROR(__xludf.DUMMYFUNCTION("""COMPUTED_VALUE"""),TRUE)</f>
        <v>1</v>
      </c>
      <c r="T198" s="1" t="b">
        <f>IFERROR(__xludf.DUMMYFUNCTION("""COMPUTED_VALUE"""),FALSE)</f>
        <v>0</v>
      </c>
      <c r="U198" s="1" t="str">
        <f>IFERROR(__xludf.DUMMYFUNCTION("""COMPUTED_VALUE"""),"VALID")</f>
        <v>VALID</v>
      </c>
      <c r="V198" s="1">
        <f>IFERROR(__xludf.DUMMYFUNCTION("""COMPUTED_VALUE"""),496.0)</f>
        <v>496</v>
      </c>
      <c r="W198" s="1">
        <f>IFERROR(__xludf.DUMMYFUNCTION("""COMPUTED_VALUE"""),596.0)</f>
        <v>596</v>
      </c>
      <c r="X198" s="1">
        <f>IFERROR(__xludf.DUMMYFUNCTION("""COMPUTED_VALUE"""),1565.0)</f>
        <v>1565</v>
      </c>
      <c r="Y198" s="2"/>
      <c r="Z198" s="2"/>
    </row>
    <row r="199">
      <c r="A199" s="1">
        <f>IFERROR(__xludf.DUMMYFUNCTION("""COMPUTED_VALUE"""),198.0)</f>
        <v>198</v>
      </c>
      <c r="B199" s="1">
        <f>IFERROR(__xludf.DUMMYFUNCTION("""COMPUTED_VALUE"""),10027.0)</f>
        <v>10027</v>
      </c>
      <c r="C199" s="2" t="str">
        <f>IFERROR(__xludf.DUMMYFUNCTION("""COMPUTED_VALUE"""),"Barkah Muhammad")</f>
        <v>Barkah Muhammad</v>
      </c>
      <c r="D199" s="2" t="str">
        <f>IFERROR(__xludf.DUMMYFUNCTION("""COMPUTED_VALUE"""),"10KM OVERALL M")</f>
        <v>10KM OVERALL M</v>
      </c>
      <c r="E199" s="1">
        <f>IFERROR(__xludf.DUMMYFUNCTION("""COMPUTED_VALUE"""),1.0)</f>
        <v>1</v>
      </c>
      <c r="F199" s="1" t="str">
        <f>IFERROR(__xludf.DUMMYFUNCTION("""COMPUTED_VALUE"""),"Male")</f>
        <v>Male</v>
      </c>
      <c r="G199" s="4" t="b">
        <f>IFERROR(__xludf.DUMMYFUNCTION("""COMPUTED_VALUE"""),TRUE)</f>
        <v>1</v>
      </c>
      <c r="H199" s="4" t="b">
        <f>IFERROR(__xludf.DUMMYFUNCTION("""COMPUTED_VALUE"""),TRUE)</f>
        <v>1</v>
      </c>
      <c r="I199" s="4">
        <f>IFERROR(__xludf.DUMMYFUNCTION("""COMPUTED_VALUE"""),0.24646185185185185)</f>
        <v>0.2464618519</v>
      </c>
      <c r="J199" s="4">
        <f>IFERROR(__xludf.DUMMYFUNCTION("""COMPUTED_VALUE"""),45949.25811007784)</f>
        <v>45949.25811</v>
      </c>
      <c r="K199" s="4">
        <f>IFERROR(__xludf.DUMMYFUNCTION("""COMPUTED_VALUE"""),45949.287162148685)</f>
        <v>45949.28716</v>
      </c>
      <c r="L199" s="4">
        <f>IFERROR(__xludf.DUMMYFUNCTION("""COMPUTED_VALUE"""),45949.295067534724)</f>
        <v>45949.29507</v>
      </c>
      <c r="M199" s="1" t="str">
        <f>IFERROR(__xludf.DUMMYFUNCTION("""COMPUTED_VALUE"""),"RFID")</f>
        <v>RFID</v>
      </c>
      <c r="N199" s="5">
        <f>IFERROR(__xludf.DUMMYFUNCTION("""COMPUTED_VALUE"""),0.0046592916666666675)</f>
        <v>0.004659291667</v>
      </c>
      <c r="O199" s="5">
        <f>IFERROR(__xludf.DUMMYFUNCTION("""COMPUTED_VALUE"""),0.011620828703703704)</f>
        <v>0.0116208287</v>
      </c>
      <c r="P199" s="5">
        <f>IFERROR(__xludf.DUMMYFUNCTION("""COMPUTED_VALUE"""),0.003253245283562092)</f>
        <v>0.003253245284</v>
      </c>
      <c r="Q199" s="5">
        <f>IFERROR(__xludf.DUMMYFUNCTION("""COMPUTED_VALUE"""),0.004860568287037037)</f>
        <v>0.004860568287</v>
      </c>
      <c r="R199" s="4">
        <f>IFERROR(__xludf.DUMMYFUNCTION("""COMPUTED_VALUE"""),45949.048605682874)</f>
        <v>45949.04861</v>
      </c>
      <c r="S199" s="1" t="b">
        <f>IFERROR(__xludf.DUMMYFUNCTION("""COMPUTED_VALUE"""),TRUE)</f>
        <v>1</v>
      </c>
      <c r="T199" s="1" t="b">
        <f>IFERROR(__xludf.DUMMYFUNCTION("""COMPUTED_VALUE"""),FALSE)</f>
        <v>0</v>
      </c>
      <c r="U199" s="1" t="str">
        <f>IFERROR(__xludf.DUMMYFUNCTION("""COMPUTED_VALUE"""),"VALID")</f>
        <v>VALID</v>
      </c>
      <c r="V199" s="1">
        <f>IFERROR(__xludf.DUMMYFUNCTION("""COMPUTED_VALUE"""),300.0)</f>
        <v>300</v>
      </c>
      <c r="W199" s="1">
        <f>IFERROR(__xludf.DUMMYFUNCTION("""COMPUTED_VALUE"""),356.0)</f>
        <v>356</v>
      </c>
      <c r="X199" s="1">
        <f>IFERROR(__xludf.DUMMYFUNCTION("""COMPUTED_VALUE"""),1328.0)</f>
        <v>1328</v>
      </c>
      <c r="Y199" s="2"/>
      <c r="Z199" s="2"/>
    </row>
    <row r="200">
      <c r="A200" s="1">
        <f>IFERROR(__xludf.DUMMYFUNCTION("""COMPUTED_VALUE"""),199.0)</f>
        <v>199</v>
      </c>
      <c r="B200" s="1">
        <f>IFERROR(__xludf.DUMMYFUNCTION("""COMPUTED_VALUE"""),10028.0)</f>
        <v>10028</v>
      </c>
      <c r="C200" s="2" t="str">
        <f>IFERROR(__xludf.DUMMYFUNCTION("""COMPUTED_VALUE"""),"Karim")</f>
        <v>Karim</v>
      </c>
      <c r="D200" s="2" t="str">
        <f>IFERROR(__xludf.DUMMYFUNCTION("""COMPUTED_VALUE"""),"10KM OVERALL M")</f>
        <v>10KM OVERALL M</v>
      </c>
      <c r="E200" s="1">
        <f>IFERROR(__xludf.DUMMYFUNCTION("""COMPUTED_VALUE"""),1.0)</f>
        <v>1</v>
      </c>
      <c r="F200" s="1" t="str">
        <f>IFERROR(__xludf.DUMMYFUNCTION("""COMPUTED_VALUE"""),"Male")</f>
        <v>Male</v>
      </c>
      <c r="G200" s="4" t="b">
        <f>IFERROR(__xludf.DUMMYFUNCTION("""COMPUTED_VALUE"""),TRUE)</f>
        <v>1</v>
      </c>
      <c r="H200" s="4" t="b">
        <f>IFERROR(__xludf.DUMMYFUNCTION("""COMPUTED_VALUE"""),TRUE)</f>
        <v>1</v>
      </c>
      <c r="I200" s="4">
        <f>IFERROR(__xludf.DUMMYFUNCTION("""COMPUTED_VALUE"""),0.24646185185185185)</f>
        <v>0.2464618519</v>
      </c>
      <c r="J200" s="4">
        <f>IFERROR(__xludf.DUMMYFUNCTION("""COMPUTED_VALUE"""),45949.25751628565)</f>
        <v>45949.25752</v>
      </c>
      <c r="K200" s="4">
        <f>IFERROR(__xludf.DUMMYFUNCTION("""COMPUTED_VALUE"""),45949.284312489755)</f>
        <v>45949.28431</v>
      </c>
      <c r="L200" s="4">
        <f>IFERROR(__xludf.DUMMYFUNCTION("""COMPUTED_VALUE"""),45949.29165520991)</f>
        <v>45949.29166</v>
      </c>
      <c r="M200" s="1" t="str">
        <f>IFERROR(__xludf.DUMMYFUNCTION("""COMPUTED_VALUE"""),"RFID")</f>
        <v>RFID</v>
      </c>
      <c r="N200" s="5">
        <f>IFERROR(__xludf.DUMMYFUNCTION("""COMPUTED_VALUE"""),0.004421773148148148)</f>
        <v>0.004421773148</v>
      </c>
      <c r="O200" s="5">
        <f>IFERROR(__xludf.DUMMYFUNCTION("""COMPUTED_VALUE"""),0.010718481481481482)</f>
        <v>0.01071848148</v>
      </c>
      <c r="P200" s="5">
        <f>IFERROR(__xludf.DUMMYFUNCTION("""COMPUTED_VALUE"""),0.003021695537812655)</f>
        <v>0.003021695538</v>
      </c>
      <c r="Q200" s="5">
        <f>IFERROR(__xludf.DUMMYFUNCTION("""COMPUTED_VALUE"""),0.004519335648148148)</f>
        <v>0.004519335648</v>
      </c>
      <c r="R200" s="4">
        <f>IFERROR(__xludf.DUMMYFUNCTION("""COMPUTED_VALUE"""),45949.04519335806)</f>
        <v>45949.04519</v>
      </c>
      <c r="S200" s="1" t="b">
        <f>IFERROR(__xludf.DUMMYFUNCTION("""COMPUTED_VALUE"""),TRUE)</f>
        <v>1</v>
      </c>
      <c r="T200" s="1" t="b">
        <f>IFERROR(__xludf.DUMMYFUNCTION("""COMPUTED_VALUE"""),FALSE)</f>
        <v>0</v>
      </c>
      <c r="U200" s="1" t="str">
        <f>IFERROR(__xludf.DUMMYFUNCTION("""COMPUTED_VALUE"""),"VALID")</f>
        <v>VALID</v>
      </c>
      <c r="V200" s="1">
        <f>IFERROR(__xludf.DUMMYFUNCTION("""COMPUTED_VALUE"""),221.0)</f>
        <v>221</v>
      </c>
      <c r="W200" s="1">
        <f>IFERROR(__xludf.DUMMYFUNCTION("""COMPUTED_VALUE"""),266.0)</f>
        <v>266</v>
      </c>
      <c r="X200" s="1">
        <f>IFERROR(__xludf.DUMMYFUNCTION("""COMPUTED_VALUE"""),1206.0)</f>
        <v>1206</v>
      </c>
      <c r="Y200" s="2"/>
      <c r="Z200" s="2"/>
    </row>
    <row r="201">
      <c r="A201" s="1">
        <f>IFERROR(__xludf.DUMMYFUNCTION("""COMPUTED_VALUE"""),200.0)</f>
        <v>200</v>
      </c>
      <c r="B201" s="1">
        <f>IFERROR(__xludf.DUMMYFUNCTION("""COMPUTED_VALUE"""),10029.0)</f>
        <v>10029</v>
      </c>
      <c r="C201" s="2" t="str">
        <f>IFERROR(__xludf.DUMMYFUNCTION("""COMPUTED_VALUE"""),"GUSTI RUDI")</f>
        <v>GUSTI RUDI</v>
      </c>
      <c r="D201" s="2" t="str">
        <f>IFERROR(__xludf.DUMMYFUNCTION("""COMPUTED_VALUE"""),"10KM OVERALL M")</f>
        <v>10KM OVERALL M</v>
      </c>
      <c r="E201" s="1">
        <f>IFERROR(__xludf.DUMMYFUNCTION("""COMPUTED_VALUE"""),1.0)</f>
        <v>1</v>
      </c>
      <c r="F201" s="1" t="str">
        <f>IFERROR(__xludf.DUMMYFUNCTION("""COMPUTED_VALUE"""),"Male")</f>
        <v>Male</v>
      </c>
      <c r="G201" s="4" t="b">
        <f>IFERROR(__xludf.DUMMYFUNCTION("""COMPUTED_VALUE"""),TRUE)</f>
        <v>1</v>
      </c>
      <c r="H201" s="4" t="b">
        <f>IFERROR(__xludf.DUMMYFUNCTION("""COMPUTED_VALUE"""),FALSE)</f>
        <v>0</v>
      </c>
      <c r="I201" s="4">
        <f>IFERROR(__xludf.DUMMYFUNCTION("""COMPUTED_VALUE"""),0.24646185185185185)</f>
        <v>0.2464618519</v>
      </c>
      <c r="J201" s="4">
        <f>IFERROR(__xludf.DUMMYFUNCTION("""COMPUTED_VALUE"""),45949.25595098932)</f>
        <v>45949.25595</v>
      </c>
      <c r="K201" s="4">
        <f>IFERROR(__xludf.DUMMYFUNCTION("""COMPUTED_VALUE"""),45949.287099637)</f>
        <v>45949.2871</v>
      </c>
      <c r="L201" s="4">
        <f>IFERROR(__xludf.DUMMYFUNCTION("""COMPUTED_VALUE"""),45949.29620643845)</f>
        <v>45949.29621</v>
      </c>
      <c r="M201" s="1" t="str">
        <f>IFERROR(__xludf.DUMMYFUNCTION("""COMPUTED_VALUE"""),"RFID")</f>
        <v>RFID</v>
      </c>
      <c r="N201" s="5">
        <f>IFERROR(__xludf.DUMMYFUNCTION("""COMPUTED_VALUE"""),0.0037956527777777776)</f>
        <v>0.003795652778</v>
      </c>
      <c r="O201" s="5">
        <f>IFERROR(__xludf.DUMMYFUNCTION("""COMPUTED_VALUE"""),0.012459458333333333)</f>
        <v>0.01245945833</v>
      </c>
      <c r="P201" s="5">
        <f>IFERROR(__xludf.DUMMYFUNCTION("""COMPUTED_VALUE"""),0.0037476549183982403)</f>
        <v>0.003747654918</v>
      </c>
      <c r="Q201" s="5">
        <f>IFERROR(__xludf.DUMMYFUNCTION("""COMPUTED_VALUE"""),0.0049744583333333325)</f>
        <v>0.004974458333</v>
      </c>
      <c r="R201" s="4">
        <f>IFERROR(__xludf.DUMMYFUNCTION("""COMPUTED_VALUE"""),45949.0497445866)</f>
        <v>45949.04974</v>
      </c>
      <c r="S201" s="1" t="b">
        <f>IFERROR(__xludf.DUMMYFUNCTION("""COMPUTED_VALUE"""),TRUE)</f>
        <v>1</v>
      </c>
      <c r="T201" s="1" t="b">
        <f>IFERROR(__xludf.DUMMYFUNCTION("""COMPUTED_VALUE"""),FALSE)</f>
        <v>0</v>
      </c>
      <c r="U201" s="1" t="str">
        <f>IFERROR(__xludf.DUMMYFUNCTION("""COMPUTED_VALUE"""),"VALID")</f>
        <v>VALID</v>
      </c>
      <c r="V201" s="1">
        <f>IFERROR(__xludf.DUMMYFUNCTION("""COMPUTED_VALUE"""),333.0)</f>
        <v>333</v>
      </c>
      <c r="W201" s="1">
        <f>IFERROR(__xludf.DUMMYFUNCTION("""COMPUTED_VALUE"""),394.0)</f>
        <v>394</v>
      </c>
      <c r="X201" s="1">
        <f>IFERROR(__xludf.DUMMYFUNCTION("""COMPUTED_VALUE"""),1370.0)</f>
        <v>1370</v>
      </c>
      <c r="Y201" s="2"/>
      <c r="Z201" s="2"/>
    </row>
    <row r="202">
      <c r="A202" s="1">
        <f>IFERROR(__xludf.DUMMYFUNCTION("""COMPUTED_VALUE"""),201.0)</f>
        <v>201</v>
      </c>
      <c r="B202" s="1">
        <f>IFERROR(__xludf.DUMMYFUNCTION("""COMPUTED_VALUE"""),10030.0)</f>
        <v>10030</v>
      </c>
      <c r="C202" s="2" t="str">
        <f>IFERROR(__xludf.DUMMYFUNCTION("""COMPUTED_VALUE"""),"Syaifu.17")</f>
        <v>Syaifu.17</v>
      </c>
      <c r="D202" s="2" t="str">
        <f>IFERROR(__xludf.DUMMYFUNCTION("""COMPUTED_VALUE"""),"10KM OVERALL M")</f>
        <v>10KM OVERALL M</v>
      </c>
      <c r="E202" s="1">
        <f>IFERROR(__xludf.DUMMYFUNCTION("""COMPUTED_VALUE"""),1.0)</f>
        <v>1</v>
      </c>
      <c r="F202" s="1" t="str">
        <f>IFERROR(__xludf.DUMMYFUNCTION("""COMPUTED_VALUE"""),"Male")</f>
        <v>Male</v>
      </c>
      <c r="G202" s="4" t="str">
        <f>IFERROR(__xludf.DUMMYFUNCTION("""COMPUTED_VALUE"""),"")</f>
        <v/>
      </c>
      <c r="H202" s="4" t="b">
        <f>IFERROR(__xludf.DUMMYFUNCTION("""COMPUTED_VALUE"""),TRUE)</f>
        <v>1</v>
      </c>
      <c r="I202" s="4">
        <f>IFERROR(__xludf.DUMMYFUNCTION("""COMPUTED_VALUE"""),0.24646185185185185)</f>
        <v>0.2464618519</v>
      </c>
      <c r="J202" s="4">
        <f>IFERROR(__xludf.DUMMYFUNCTION("""COMPUTED_VALUE"""),45949.25583252692)</f>
        <v>45949.25583</v>
      </c>
      <c r="K202" s="4">
        <f>IFERROR(__xludf.DUMMYFUNCTION("""COMPUTED_VALUE"""),45949.28064131035)</f>
        <v>45949.28064</v>
      </c>
      <c r="L202" s="4">
        <f>IFERROR(__xludf.DUMMYFUNCTION("""COMPUTED_VALUE"""),45949.287782818)</f>
        <v>45949.28778</v>
      </c>
      <c r="M202" s="1" t="str">
        <f>IFERROR(__xludf.DUMMYFUNCTION("""COMPUTED_VALUE"""),"RFID")</f>
        <v>RFID</v>
      </c>
      <c r="N202" s="5">
        <f>IFERROR(__xludf.DUMMYFUNCTION("""COMPUTED_VALUE"""),0.003748268518518518)</f>
        <v>0.003748268519</v>
      </c>
      <c r="O202" s="5">
        <f>IFERROR(__xludf.DUMMYFUNCTION("""COMPUTED_VALUE"""),0.009923513888888888)</f>
        <v>0.009923513889</v>
      </c>
      <c r="P202" s="5">
        <f>IFERROR(__xludf.DUMMYFUNCTION("""COMPUTED_VALUE"""),0.002938892035155821)</f>
        <v>0.002938892035</v>
      </c>
      <c r="Q202" s="5">
        <f>IFERROR(__xludf.DUMMYFUNCTION("""COMPUTED_VALUE"""),0.004132096064814814)</f>
        <v>0.004132096065</v>
      </c>
      <c r="R202" s="4">
        <f>IFERROR(__xludf.DUMMYFUNCTION("""COMPUTED_VALUE"""),45949.04132096615)</f>
        <v>45949.04132</v>
      </c>
      <c r="S202" s="1" t="b">
        <f>IFERROR(__xludf.DUMMYFUNCTION("""COMPUTED_VALUE"""),TRUE)</f>
        <v>1</v>
      </c>
      <c r="T202" s="1" t="b">
        <f>IFERROR(__xludf.DUMMYFUNCTION("""COMPUTED_VALUE"""),FALSE)</f>
        <v>0</v>
      </c>
      <c r="U202" s="1" t="str">
        <f>IFERROR(__xludf.DUMMYFUNCTION("""COMPUTED_VALUE"""),"VALID")</f>
        <v>VALID</v>
      </c>
      <c r="V202" s="1">
        <f>IFERROR(__xludf.DUMMYFUNCTION("""COMPUTED_VALUE"""),127.0)</f>
        <v>127</v>
      </c>
      <c r="W202" s="1">
        <f>IFERROR(__xludf.DUMMYFUNCTION("""COMPUTED_VALUE"""),150.0)</f>
        <v>150</v>
      </c>
      <c r="X202" s="1">
        <f>IFERROR(__xludf.DUMMYFUNCTION("""COMPUTED_VALUE"""),1032.0)</f>
        <v>1032</v>
      </c>
      <c r="Y202" s="2"/>
      <c r="Z202" s="2"/>
    </row>
    <row r="203">
      <c r="A203" s="1">
        <f>IFERROR(__xludf.DUMMYFUNCTION("""COMPUTED_VALUE"""),202.0)</f>
        <v>202</v>
      </c>
      <c r="B203" s="1">
        <f>IFERROR(__xludf.DUMMYFUNCTION("""COMPUTED_VALUE"""),10031.0)</f>
        <v>10031</v>
      </c>
      <c r="C203" s="2" t="str">
        <f>IFERROR(__xludf.DUMMYFUNCTION("""COMPUTED_VALUE"""),"Fathan")</f>
        <v>Fathan</v>
      </c>
      <c r="D203" s="2" t="str">
        <f>IFERROR(__xludf.DUMMYFUNCTION("""COMPUTED_VALUE"""),"10KM OVERALL M")</f>
        <v>10KM OVERALL M</v>
      </c>
      <c r="E203" s="1">
        <f>IFERROR(__xludf.DUMMYFUNCTION("""COMPUTED_VALUE"""),1.0)</f>
        <v>1</v>
      </c>
      <c r="F203" s="1" t="str">
        <f>IFERROR(__xludf.DUMMYFUNCTION("""COMPUTED_VALUE"""),"Male")</f>
        <v>Male</v>
      </c>
      <c r="G203" s="4" t="str">
        <f>IFERROR(__xludf.DUMMYFUNCTION("""COMPUTED_VALUE"""),"")</f>
        <v/>
      </c>
      <c r="H203" s="4" t="b">
        <f>IFERROR(__xludf.DUMMYFUNCTION("""COMPUTED_VALUE"""),TRUE)</f>
        <v>1</v>
      </c>
      <c r="I203" s="4">
        <f>IFERROR(__xludf.DUMMYFUNCTION("""COMPUTED_VALUE"""),0.24646185185185185)</f>
        <v>0.2464618519</v>
      </c>
      <c r="J203" s="4">
        <f>IFERROR(__xludf.DUMMYFUNCTION("""COMPUTED_VALUE"""),45949.2576030792)</f>
        <v>45949.2576</v>
      </c>
      <c r="K203" s="4">
        <f>IFERROR(__xludf.DUMMYFUNCTION("""COMPUTED_VALUE"""),45949.28634623077)</f>
        <v>45949.28635</v>
      </c>
      <c r="L203" s="4">
        <f>IFERROR(__xludf.DUMMYFUNCTION("""COMPUTED_VALUE"""),45949.295043227736)</f>
        <v>45949.29504</v>
      </c>
      <c r="M203" s="1" t="str">
        <f>IFERROR(__xludf.DUMMYFUNCTION("""COMPUTED_VALUE"""),"RFID")</f>
        <v>RFID</v>
      </c>
      <c r="N203" s="5">
        <f>IFERROR(__xludf.DUMMYFUNCTION("""COMPUTED_VALUE"""),0.004456490740740741)</f>
        <v>0.004456490741</v>
      </c>
      <c r="O203" s="5">
        <f>IFERROR(__xludf.DUMMYFUNCTION("""COMPUTED_VALUE"""),0.01149725925925926)</f>
        <v>0.01149725926</v>
      </c>
      <c r="P203" s="5">
        <f>IFERROR(__xludf.DUMMYFUNCTION("""COMPUTED_VALUE"""),0.0035790110960528024)</f>
        <v>0.003579011096</v>
      </c>
      <c r="Q203" s="5">
        <f>IFERROR(__xludf.DUMMYFUNCTION("""COMPUTED_VALUE"""),0.004858137731481481)</f>
        <v>0.004858137731</v>
      </c>
      <c r="R203" s="4">
        <f>IFERROR(__xludf.DUMMYFUNCTION("""COMPUTED_VALUE"""),45949.048581375886)</f>
        <v>45949.04858</v>
      </c>
      <c r="S203" s="1" t="b">
        <f>IFERROR(__xludf.DUMMYFUNCTION("""COMPUTED_VALUE"""),TRUE)</f>
        <v>1</v>
      </c>
      <c r="T203" s="1" t="b">
        <f>IFERROR(__xludf.DUMMYFUNCTION("""COMPUTED_VALUE"""),FALSE)</f>
        <v>0</v>
      </c>
      <c r="U203" s="1" t="str">
        <f>IFERROR(__xludf.DUMMYFUNCTION("""COMPUTED_VALUE"""),"VALID")</f>
        <v>VALID</v>
      </c>
      <c r="V203" s="1">
        <f>IFERROR(__xludf.DUMMYFUNCTION("""COMPUTED_VALUE"""),298.0)</f>
        <v>298</v>
      </c>
      <c r="W203" s="1">
        <f>IFERROR(__xludf.DUMMYFUNCTION("""COMPUTED_VALUE"""),354.0)</f>
        <v>354</v>
      </c>
      <c r="X203" s="1">
        <f>IFERROR(__xludf.DUMMYFUNCTION("""COMPUTED_VALUE"""),1326.0)</f>
        <v>1326</v>
      </c>
      <c r="Y203" s="2"/>
      <c r="Z203" s="2"/>
    </row>
    <row r="204">
      <c r="A204" s="1">
        <f>IFERROR(__xludf.DUMMYFUNCTION("""COMPUTED_VALUE"""),203.0)</f>
        <v>203</v>
      </c>
      <c r="B204" s="1">
        <f>IFERROR(__xludf.DUMMYFUNCTION("""COMPUTED_VALUE"""),10032.0)</f>
        <v>10032</v>
      </c>
      <c r="C204" s="2" t="str">
        <f>IFERROR(__xludf.DUMMYFUNCTION("""COMPUTED_VALUE"""),"Lukman")</f>
        <v>Lukman</v>
      </c>
      <c r="D204" s="2" t="str">
        <f>IFERROR(__xludf.DUMMYFUNCTION("""COMPUTED_VALUE"""),"10KM OVERALL M")</f>
        <v>10KM OVERALL M</v>
      </c>
      <c r="E204" s="1">
        <f>IFERROR(__xludf.DUMMYFUNCTION("""COMPUTED_VALUE"""),1.0)</f>
        <v>1</v>
      </c>
      <c r="F204" s="1" t="str">
        <f>IFERROR(__xludf.DUMMYFUNCTION("""COMPUTED_VALUE"""),"Male")</f>
        <v>Male</v>
      </c>
      <c r="G204" s="4" t="b">
        <f>IFERROR(__xludf.DUMMYFUNCTION("""COMPUTED_VALUE"""),TRUE)</f>
        <v>1</v>
      </c>
      <c r="H204" s="4" t="b">
        <f>IFERROR(__xludf.DUMMYFUNCTION("""COMPUTED_VALUE"""),TRUE)</f>
        <v>1</v>
      </c>
      <c r="I204" s="4">
        <f>IFERROR(__xludf.DUMMYFUNCTION("""COMPUTED_VALUE"""),0.24646185185185185)</f>
        <v>0.2464618519</v>
      </c>
      <c r="J204" s="4">
        <f>IFERROR(__xludf.DUMMYFUNCTION("""COMPUTED_VALUE"""),45949.259644763406)</f>
        <v>45949.25964</v>
      </c>
      <c r="K204" s="4">
        <f>IFERROR(__xludf.DUMMYFUNCTION("""COMPUTED_VALUE"""),45949.291124171876)</f>
        <v>45949.29112</v>
      </c>
      <c r="L204" s="4">
        <f>IFERROR(__xludf.DUMMYFUNCTION("""COMPUTED_VALUE"""),45949.29849115621)</f>
        <v>45949.29849</v>
      </c>
      <c r="M204" s="1" t="str">
        <f>IFERROR(__xludf.DUMMYFUNCTION("""COMPUTED_VALUE"""),"RFID")</f>
        <v>RFID</v>
      </c>
      <c r="N204" s="5">
        <f>IFERROR(__xludf.DUMMYFUNCTION("""COMPUTED_VALUE"""),0.0052731666666666665)</f>
        <v>0.005273166667</v>
      </c>
      <c r="O204" s="5">
        <f>IFERROR(__xludf.DUMMYFUNCTION("""COMPUTED_VALUE"""),0.012591763888888888)</f>
        <v>0.01259176389</v>
      </c>
      <c r="P204" s="5">
        <f>IFERROR(__xludf.DUMMYFUNCTION("""COMPUTED_VALUE"""),0.00303168079555667)</f>
        <v>0.003031680796</v>
      </c>
      <c r="Q204" s="5">
        <f>IFERROR(__xludf.DUMMYFUNCTION("""COMPUTED_VALUE"""),0.005202930555555556)</f>
        <v>0.005202930556</v>
      </c>
      <c r="R204" s="4">
        <f>IFERROR(__xludf.DUMMYFUNCTION("""COMPUTED_VALUE"""),45949.05202930436)</f>
        <v>45949.05203</v>
      </c>
      <c r="S204" s="1" t="b">
        <f>IFERROR(__xludf.DUMMYFUNCTION("""COMPUTED_VALUE"""),TRUE)</f>
        <v>1</v>
      </c>
      <c r="T204" s="1" t="b">
        <f>IFERROR(__xludf.DUMMYFUNCTION("""COMPUTED_VALUE"""),FALSE)</f>
        <v>0</v>
      </c>
      <c r="U204" s="1" t="str">
        <f>IFERROR(__xludf.DUMMYFUNCTION("""COMPUTED_VALUE"""),"VALID")</f>
        <v>VALID</v>
      </c>
      <c r="V204" s="1">
        <f>IFERROR(__xludf.DUMMYFUNCTION("""COMPUTED_VALUE"""),386.0)</f>
        <v>386</v>
      </c>
      <c r="W204" s="1">
        <f>IFERROR(__xludf.DUMMYFUNCTION("""COMPUTED_VALUE"""),456.0)</f>
        <v>456</v>
      </c>
      <c r="X204" s="1">
        <f>IFERROR(__xludf.DUMMYFUNCTION("""COMPUTED_VALUE"""),1434.0)</f>
        <v>1434</v>
      </c>
      <c r="Y204" s="2"/>
      <c r="Z204" s="2"/>
    </row>
    <row r="205">
      <c r="A205" s="1">
        <f>IFERROR(__xludf.DUMMYFUNCTION("""COMPUTED_VALUE"""),204.0)</f>
        <v>204</v>
      </c>
      <c r="B205" s="1">
        <f>IFERROR(__xludf.DUMMYFUNCTION("""COMPUTED_VALUE"""),10033.0)</f>
        <v>10033</v>
      </c>
      <c r="C205" s="2" t="str">
        <f>IFERROR(__xludf.DUMMYFUNCTION("""COMPUTED_VALUE"""),"RIDHO DINTA")</f>
        <v>RIDHO DINTA</v>
      </c>
      <c r="D205" s="2" t="str">
        <f>IFERROR(__xludf.DUMMYFUNCTION("""COMPUTED_VALUE"""),"10KM OVERALL M")</f>
        <v>10KM OVERALL M</v>
      </c>
      <c r="E205" s="1">
        <f>IFERROR(__xludf.DUMMYFUNCTION("""COMPUTED_VALUE"""),1.0)</f>
        <v>1</v>
      </c>
      <c r="F205" s="1" t="str">
        <f>IFERROR(__xludf.DUMMYFUNCTION("""COMPUTED_VALUE"""),"Male")</f>
        <v>Male</v>
      </c>
      <c r="G205" s="4" t="b">
        <f>IFERROR(__xludf.DUMMYFUNCTION("""COMPUTED_VALUE"""),TRUE)</f>
        <v>1</v>
      </c>
      <c r="H205" s="4" t="b">
        <f>IFERROR(__xludf.DUMMYFUNCTION("""COMPUTED_VALUE"""),FALSE)</f>
        <v>0</v>
      </c>
      <c r="I205" s="4">
        <f>IFERROR(__xludf.DUMMYFUNCTION("""COMPUTED_VALUE"""),0.24646185185185185)</f>
        <v>0.2464618519</v>
      </c>
      <c r="J205" s="4">
        <f>IFERROR(__xludf.DUMMYFUNCTION("""COMPUTED_VALUE"""),45949.25774196327)</f>
        <v>45949.25774</v>
      </c>
      <c r="K205" s="4">
        <f>IFERROR(__xludf.DUMMYFUNCTION("""COMPUTED_VALUE"""),45949.28520032595)</f>
        <v>45949.2852</v>
      </c>
      <c r="L205" s="4">
        <f>IFERROR(__xludf.DUMMYFUNCTION("""COMPUTED_VALUE"""),45949.29265781653)</f>
        <v>45949.29266</v>
      </c>
      <c r="M205" s="1" t="str">
        <f>IFERROR(__xludf.DUMMYFUNCTION("""COMPUTED_VALUE"""),"RFID")</f>
        <v>RFID</v>
      </c>
      <c r="N205" s="5">
        <f>IFERROR(__xludf.DUMMYFUNCTION("""COMPUTED_VALUE"""),0.004512046296296296)</f>
        <v>0.004512046296</v>
      </c>
      <c r="O205" s="5">
        <f>IFERROR(__xludf.DUMMYFUNCTION("""COMPUTED_VALUE"""),0.01098334722222222)</f>
        <v>0.01098334722</v>
      </c>
      <c r="P205" s="5">
        <f>IFERROR(__xludf.DUMMYFUNCTION("""COMPUTED_VALUE"""),0.0030689261650806484)</f>
        <v>0.003068926165</v>
      </c>
      <c r="Q205" s="5">
        <f>IFERROR(__xludf.DUMMYFUNCTION("""COMPUTED_VALUE"""),0.004619596064814815)</f>
        <v>0.004619596065</v>
      </c>
      <c r="R205" s="4">
        <f>IFERROR(__xludf.DUMMYFUNCTION("""COMPUTED_VALUE"""),45949.04619596468)</f>
        <v>45949.0462</v>
      </c>
      <c r="S205" s="1" t="b">
        <f>IFERROR(__xludf.DUMMYFUNCTION("""COMPUTED_VALUE"""),TRUE)</f>
        <v>1</v>
      </c>
      <c r="T205" s="1" t="b">
        <f>IFERROR(__xludf.DUMMYFUNCTION("""COMPUTED_VALUE"""),FALSE)</f>
        <v>0</v>
      </c>
      <c r="U205" s="1" t="str">
        <f>IFERROR(__xludf.DUMMYFUNCTION("""COMPUTED_VALUE"""),"VALID")</f>
        <v>VALID</v>
      </c>
      <c r="V205" s="1">
        <f>IFERROR(__xludf.DUMMYFUNCTION("""COMPUTED_VALUE"""),249.0)</f>
        <v>249</v>
      </c>
      <c r="W205" s="1">
        <f>IFERROR(__xludf.DUMMYFUNCTION("""COMPUTED_VALUE"""),298.0)</f>
        <v>298</v>
      </c>
      <c r="X205" s="1">
        <f>IFERROR(__xludf.DUMMYFUNCTION("""COMPUTED_VALUE"""),1248.0)</f>
        <v>1248</v>
      </c>
      <c r="Y205" s="2"/>
      <c r="Z205" s="2"/>
    </row>
    <row r="206">
      <c r="A206" s="1">
        <f>IFERROR(__xludf.DUMMYFUNCTION("""COMPUTED_VALUE"""),205.0)</f>
        <v>205</v>
      </c>
      <c r="B206" s="1">
        <f>IFERROR(__xludf.DUMMYFUNCTION("""COMPUTED_VALUE"""),10034.0)</f>
        <v>10034</v>
      </c>
      <c r="C206" s="2" t="str">
        <f>IFERROR(__xludf.DUMMYFUNCTION("""COMPUTED_VALUE"""),"YAZID")</f>
        <v>YAZID</v>
      </c>
      <c r="D206" s="2" t="str">
        <f>IFERROR(__xludf.DUMMYFUNCTION("""COMPUTED_VALUE"""),"10KM OVERALL M")</f>
        <v>10KM OVERALL M</v>
      </c>
      <c r="E206" s="1">
        <f>IFERROR(__xludf.DUMMYFUNCTION("""COMPUTED_VALUE"""),1.0)</f>
        <v>1</v>
      </c>
      <c r="F206" s="1" t="str">
        <f>IFERROR(__xludf.DUMMYFUNCTION("""COMPUTED_VALUE"""),"Male")</f>
        <v>Male</v>
      </c>
      <c r="G206" s="4" t="b">
        <f>IFERROR(__xludf.DUMMYFUNCTION("""COMPUTED_VALUE"""),TRUE)</f>
        <v>1</v>
      </c>
      <c r="H206" s="4" t="b">
        <f>IFERROR(__xludf.DUMMYFUNCTION("""COMPUTED_VALUE"""),FALSE)</f>
        <v>0</v>
      </c>
      <c r="I206" s="4">
        <f>IFERROR(__xludf.DUMMYFUNCTION("""COMPUTED_VALUE"""),0.24646185185185185)</f>
        <v>0.2464618519</v>
      </c>
      <c r="J206" s="4">
        <f>IFERROR(__xludf.DUMMYFUNCTION("""COMPUTED_VALUE"""),45949.25713092361)</f>
        <v>45949.25713</v>
      </c>
      <c r="K206" s="4">
        <f>IFERROR(__xludf.DUMMYFUNCTION("""COMPUTED_VALUE"""),45949.28289129654)</f>
        <v>45949.28289</v>
      </c>
      <c r="L206" s="4">
        <f>IFERROR(__xludf.DUMMYFUNCTION("""COMPUTED_VALUE"""),45949.29029324358)</f>
        <v>45949.29029</v>
      </c>
      <c r="M206" s="1" t="str">
        <f>IFERROR(__xludf.DUMMYFUNCTION("""COMPUTED_VALUE"""),"RFID")</f>
        <v>RFID</v>
      </c>
      <c r="N206" s="5">
        <f>IFERROR(__xludf.DUMMYFUNCTION("""COMPUTED_VALUE"""),0.00426762962962963)</f>
        <v>0.00426762963</v>
      </c>
      <c r="O206" s="5">
        <f>IFERROR(__xludf.DUMMYFUNCTION("""COMPUTED_VALUE"""),0.010304148148148149)</f>
        <v>0.01030414815</v>
      </c>
      <c r="P206" s="5">
        <f>IFERROR(__xludf.DUMMYFUNCTION("""COMPUTED_VALUE"""),0.00304606874124147)</f>
        <v>0.003046068741</v>
      </c>
      <c r="Q206" s="5">
        <f>IFERROR(__xludf.DUMMYFUNCTION("""COMPUTED_VALUE"""),0.0043831388888888895)</f>
        <v>0.004383138889</v>
      </c>
      <c r="R206" s="4">
        <f>IFERROR(__xludf.DUMMYFUNCTION("""COMPUTED_VALUE"""),45949.04383139173)</f>
        <v>45949.04383</v>
      </c>
      <c r="S206" s="1" t="b">
        <f>IFERROR(__xludf.DUMMYFUNCTION("""COMPUTED_VALUE"""),TRUE)</f>
        <v>1</v>
      </c>
      <c r="T206" s="1" t="b">
        <f>IFERROR(__xludf.DUMMYFUNCTION("""COMPUTED_VALUE"""),FALSE)</f>
        <v>0</v>
      </c>
      <c r="U206" s="1" t="str">
        <f>IFERROR(__xludf.DUMMYFUNCTION("""COMPUTED_VALUE"""),"VALID")</f>
        <v>VALID</v>
      </c>
      <c r="V206" s="1">
        <f>IFERROR(__xludf.DUMMYFUNCTION("""COMPUTED_VALUE"""),185.0)</f>
        <v>185</v>
      </c>
      <c r="W206" s="1">
        <f>IFERROR(__xludf.DUMMYFUNCTION("""COMPUTED_VALUE"""),221.0)</f>
        <v>221</v>
      </c>
      <c r="X206" s="1">
        <f>IFERROR(__xludf.DUMMYFUNCTION("""COMPUTED_VALUE"""),1141.0)</f>
        <v>1141</v>
      </c>
      <c r="Y206" s="2"/>
      <c r="Z206" s="2"/>
    </row>
    <row r="207">
      <c r="A207" s="1">
        <f>IFERROR(__xludf.DUMMYFUNCTION("""COMPUTED_VALUE"""),206.0)</f>
        <v>206</v>
      </c>
      <c r="B207" s="1">
        <f>IFERROR(__xludf.DUMMYFUNCTION("""COMPUTED_VALUE"""),10035.0)</f>
        <v>10035</v>
      </c>
      <c r="C207" s="2" t="str">
        <f>IFERROR(__xludf.DUMMYFUNCTION("""COMPUTED_VALUE"""),"Amrullah")</f>
        <v>Amrullah</v>
      </c>
      <c r="D207" s="2" t="str">
        <f>IFERROR(__xludf.DUMMYFUNCTION("""COMPUTED_VALUE"""),"10KM OVERALL M")</f>
        <v>10KM OVERALL M</v>
      </c>
      <c r="E207" s="1">
        <f>IFERROR(__xludf.DUMMYFUNCTION("""COMPUTED_VALUE"""),1.0)</f>
        <v>1</v>
      </c>
      <c r="F207" s="1" t="str">
        <f>IFERROR(__xludf.DUMMYFUNCTION("""COMPUTED_VALUE"""),"Male")</f>
        <v>Male</v>
      </c>
      <c r="G207" s="4" t="b">
        <f>IFERROR(__xludf.DUMMYFUNCTION("""COMPUTED_VALUE"""),TRUE)</f>
        <v>1</v>
      </c>
      <c r="H207" s="4" t="b">
        <f>IFERROR(__xludf.DUMMYFUNCTION("""COMPUTED_VALUE"""),TRUE)</f>
        <v>1</v>
      </c>
      <c r="I207" s="4">
        <f>IFERROR(__xludf.DUMMYFUNCTION("""COMPUTED_VALUE"""),0.24646185185185185)</f>
        <v>0.2464618519</v>
      </c>
      <c r="J207" s="4">
        <f>IFERROR(__xludf.DUMMYFUNCTION("""COMPUTED_VALUE"""),45949.253811477785)</f>
        <v>45949.25381</v>
      </c>
      <c r="K207" s="4">
        <f>IFERROR(__xludf.DUMMYFUNCTION("""COMPUTED_VALUE"""),45949.27252477901)</f>
        <v>45949.27252</v>
      </c>
      <c r="L207" s="4">
        <f>IFERROR(__xludf.DUMMYFUNCTION("""COMPUTED_VALUE"""),45949.27795722864)</f>
        <v>45949.27796</v>
      </c>
      <c r="M207" s="1" t="str">
        <f>IFERROR(__xludf.DUMMYFUNCTION("""COMPUTED_VALUE"""),"RFID")</f>
        <v>RFID</v>
      </c>
      <c r="N207" s="5">
        <f>IFERROR(__xludf.DUMMYFUNCTION("""COMPUTED_VALUE"""),0.0029398518518518523)</f>
        <v>0.002939851852</v>
      </c>
      <c r="O207" s="5">
        <f>IFERROR(__xludf.DUMMYFUNCTION("""COMPUTED_VALUE"""),0.007485319444444444)</f>
        <v>0.007485319444</v>
      </c>
      <c r="P207" s="5">
        <f>IFERROR(__xludf.DUMMYFUNCTION("""COMPUTED_VALUE"""),0.0022355759796138406)</f>
        <v>0.00223557598</v>
      </c>
      <c r="Q207" s="5">
        <f>IFERROR(__xludf.DUMMYFUNCTION("""COMPUTED_VALUE"""),0.0031495381944444444)</f>
        <v>0.003149538194</v>
      </c>
      <c r="R207" s="4">
        <f>IFERROR(__xludf.DUMMYFUNCTION("""COMPUTED_VALUE"""),45949.03149537679)</f>
        <v>45949.0315</v>
      </c>
      <c r="S207" s="1" t="b">
        <f>IFERROR(__xludf.DUMMYFUNCTION("""COMPUTED_VALUE"""),TRUE)</f>
        <v>1</v>
      </c>
      <c r="T207" s="1" t="b">
        <f>IFERROR(__xludf.DUMMYFUNCTION("""COMPUTED_VALUE"""),FALSE)</f>
        <v>0</v>
      </c>
      <c r="U207" s="1" t="str">
        <f>IFERROR(__xludf.DUMMYFUNCTION("""COMPUTED_VALUE"""),"VALID")</f>
        <v>VALID</v>
      </c>
      <c r="V207" s="1">
        <f>IFERROR(__xludf.DUMMYFUNCTION("""COMPUTED_VALUE"""),13.0)</f>
        <v>13</v>
      </c>
      <c r="W207" s="1">
        <f>IFERROR(__xludf.DUMMYFUNCTION("""COMPUTED_VALUE"""),18.0)</f>
        <v>18</v>
      </c>
      <c r="X207" s="1">
        <f>IFERROR(__xludf.DUMMYFUNCTION("""COMPUTED_VALUE"""),554.0)</f>
        <v>554</v>
      </c>
      <c r="Y207" s="2"/>
      <c r="Z207" s="2"/>
    </row>
    <row r="208">
      <c r="A208" s="1">
        <f>IFERROR(__xludf.DUMMYFUNCTION("""COMPUTED_VALUE"""),207.0)</f>
        <v>207</v>
      </c>
      <c r="B208" s="1">
        <f>IFERROR(__xludf.DUMMYFUNCTION("""COMPUTED_VALUE"""),10036.0)</f>
        <v>10036</v>
      </c>
      <c r="C208" s="2" t="str">
        <f>IFERROR(__xludf.DUMMYFUNCTION("""COMPUTED_VALUE"""),"Gusti.P")</f>
        <v>Gusti.P</v>
      </c>
      <c r="D208" s="2" t="str">
        <f>IFERROR(__xludf.DUMMYFUNCTION("""COMPUTED_VALUE"""),"10KM OVERALL M")</f>
        <v>10KM OVERALL M</v>
      </c>
      <c r="E208" s="1">
        <f>IFERROR(__xludf.DUMMYFUNCTION("""COMPUTED_VALUE"""),1.0)</f>
        <v>1</v>
      </c>
      <c r="F208" s="1" t="str">
        <f>IFERROR(__xludf.DUMMYFUNCTION("""COMPUTED_VALUE"""),"Male")</f>
        <v>Male</v>
      </c>
      <c r="G208" s="4" t="b">
        <f>IFERROR(__xludf.DUMMYFUNCTION("""COMPUTED_VALUE"""),TRUE)</f>
        <v>1</v>
      </c>
      <c r="H208" s="4" t="b">
        <f>IFERROR(__xludf.DUMMYFUNCTION("""COMPUTED_VALUE"""),TRUE)</f>
        <v>1</v>
      </c>
      <c r="I208" s="4">
        <f>IFERROR(__xludf.DUMMYFUNCTION("""COMPUTED_VALUE"""),0.24646185185185185)</f>
        <v>0.2464618519</v>
      </c>
      <c r="J208" s="4">
        <f>IFERROR(__xludf.DUMMYFUNCTION("""COMPUTED_VALUE"""),45949.254561471105)</f>
        <v>45949.25456</v>
      </c>
      <c r="K208" s="4">
        <f>IFERROR(__xludf.DUMMYFUNCTION("""COMPUTED_VALUE"""),45949.275903321075)</f>
        <v>45949.2759</v>
      </c>
      <c r="L208" s="4">
        <f>IFERROR(__xludf.DUMMYFUNCTION("""COMPUTED_VALUE"""),45949.28212344068)</f>
        <v>45949.28212</v>
      </c>
      <c r="M208" s="1" t="str">
        <f>IFERROR(__xludf.DUMMYFUNCTION("""COMPUTED_VALUE"""),"RFID")</f>
        <v>RFID</v>
      </c>
      <c r="N208" s="5">
        <f>IFERROR(__xludf.DUMMYFUNCTION("""COMPUTED_VALUE"""),0.0032398472222222225)</f>
        <v>0.003239847222</v>
      </c>
      <c r="O208" s="5">
        <f>IFERROR(__xludf.DUMMYFUNCTION("""COMPUTED_VALUE"""),0.00853674074074074)</f>
        <v>0.008536740741</v>
      </c>
      <c r="P208" s="5">
        <f>IFERROR(__xludf.DUMMYFUNCTION("""COMPUTED_VALUE"""),0.002559720002111898)</f>
        <v>0.002559720002</v>
      </c>
      <c r="Q208" s="5">
        <f>IFERROR(__xludf.DUMMYFUNCTION("""COMPUTED_VALUE"""),0.003566158564814815)</f>
        <v>0.003566158565</v>
      </c>
      <c r="R208" s="4">
        <f>IFERROR(__xludf.DUMMYFUNCTION("""COMPUTED_VALUE"""),45949.03566158883)</f>
        <v>45949.03566</v>
      </c>
      <c r="S208" s="1" t="b">
        <f>IFERROR(__xludf.DUMMYFUNCTION("""COMPUTED_VALUE"""),TRUE)</f>
        <v>1</v>
      </c>
      <c r="T208" s="1" t="b">
        <f>IFERROR(__xludf.DUMMYFUNCTION("""COMPUTED_VALUE"""),FALSE)</f>
        <v>0</v>
      </c>
      <c r="U208" s="1" t="str">
        <f>IFERROR(__xludf.DUMMYFUNCTION("""COMPUTED_VALUE"""),"VALID")</f>
        <v>VALID</v>
      </c>
      <c r="V208" s="1">
        <f>IFERROR(__xludf.DUMMYFUNCTION("""COMPUTED_VALUE"""),38.0)</f>
        <v>38</v>
      </c>
      <c r="W208" s="1">
        <f>IFERROR(__xludf.DUMMYFUNCTION("""COMPUTED_VALUE"""),48.0)</f>
        <v>48</v>
      </c>
      <c r="X208" s="1">
        <f>IFERROR(__xludf.DUMMYFUNCTION("""COMPUTED_VALUE"""),759.0)</f>
        <v>759</v>
      </c>
      <c r="Y208" s="2"/>
      <c r="Z208" s="2"/>
    </row>
    <row r="209">
      <c r="A209" s="1">
        <f>IFERROR(__xludf.DUMMYFUNCTION("""COMPUTED_VALUE"""),208.0)</f>
        <v>208</v>
      </c>
      <c r="B209" s="1">
        <f>IFERROR(__xludf.DUMMYFUNCTION("""COMPUTED_VALUE"""),10037.0)</f>
        <v>10037</v>
      </c>
      <c r="C209" s="2" t="str">
        <f>IFERROR(__xludf.DUMMYFUNCTION("""COMPUTED_VALUE"""),"Azmi")</f>
        <v>Azmi</v>
      </c>
      <c r="D209" s="2" t="str">
        <f>IFERROR(__xludf.DUMMYFUNCTION("""COMPUTED_VALUE"""),"10KM OVERALL M")</f>
        <v>10KM OVERALL M</v>
      </c>
      <c r="E209" s="1">
        <f>IFERROR(__xludf.DUMMYFUNCTION("""COMPUTED_VALUE"""),1.0)</f>
        <v>1</v>
      </c>
      <c r="F209" s="1" t="str">
        <f>IFERROR(__xludf.DUMMYFUNCTION("""COMPUTED_VALUE"""),"Male")</f>
        <v>Male</v>
      </c>
      <c r="G209" s="4" t="str">
        <f>IFERROR(__xludf.DUMMYFUNCTION("""COMPUTED_VALUE"""),"")</f>
        <v/>
      </c>
      <c r="H209" s="4" t="b">
        <f>IFERROR(__xludf.DUMMYFUNCTION("""COMPUTED_VALUE"""),TRUE)</f>
        <v>1</v>
      </c>
      <c r="I209" s="4">
        <f>IFERROR(__xludf.DUMMYFUNCTION("""COMPUTED_VALUE"""),0.24646185185185185)</f>
        <v>0.2464618519</v>
      </c>
      <c r="J209" s="4">
        <f>IFERROR(__xludf.DUMMYFUNCTION("""COMPUTED_VALUE"""),45949.259432956846)</f>
        <v>45949.25943</v>
      </c>
      <c r="K209" s="4">
        <f>IFERROR(__xludf.DUMMYFUNCTION("""COMPUTED_VALUE"""),45949.29273530152)</f>
        <v>45949.29274</v>
      </c>
      <c r="L209" s="4">
        <f>IFERROR(__xludf.DUMMYFUNCTION("""COMPUTED_VALUE"""),45949.30219253912)</f>
        <v>45949.30219</v>
      </c>
      <c r="M209" s="1" t="str">
        <f>IFERROR(__xludf.DUMMYFUNCTION("""COMPUTED_VALUE"""),"RFID")</f>
        <v>RFID</v>
      </c>
      <c r="N209" s="5">
        <f>IFERROR(__xludf.DUMMYFUNCTION("""COMPUTED_VALUE"""),0.005188439814814814)</f>
        <v>0.005188439815</v>
      </c>
      <c r="O209" s="5">
        <f>IFERROR(__xludf.DUMMYFUNCTION("""COMPUTED_VALUE"""),0.013320939814814813)</f>
        <v>0.01332093981</v>
      </c>
      <c r="P209" s="5">
        <f>IFERROR(__xludf.DUMMYFUNCTION("""COMPUTED_VALUE"""),0.003891867326659729)</f>
        <v>0.003891867327</v>
      </c>
      <c r="Q209" s="5">
        <f>IFERROR(__xludf.DUMMYFUNCTION("""COMPUTED_VALUE"""),0.005573068287037038)</f>
        <v>0.005573068287</v>
      </c>
      <c r="R209" s="4">
        <f>IFERROR(__xludf.DUMMYFUNCTION("""COMPUTED_VALUE"""),45949.05573068727)</f>
        <v>45949.05573</v>
      </c>
      <c r="S209" s="1" t="b">
        <f>IFERROR(__xludf.DUMMYFUNCTION("""COMPUTED_VALUE"""),TRUE)</f>
        <v>1</v>
      </c>
      <c r="T209" s="1" t="b">
        <f>IFERROR(__xludf.DUMMYFUNCTION("""COMPUTED_VALUE"""),FALSE)</f>
        <v>0</v>
      </c>
      <c r="U209" s="1" t="str">
        <f>IFERROR(__xludf.DUMMYFUNCTION("""COMPUTED_VALUE"""),"VALID")</f>
        <v>VALID</v>
      </c>
      <c r="V209" s="1">
        <f>IFERROR(__xludf.DUMMYFUNCTION("""COMPUTED_VALUE"""),476.0)</f>
        <v>476</v>
      </c>
      <c r="W209" s="1">
        <f>IFERROR(__xludf.DUMMYFUNCTION("""COMPUTED_VALUE"""),570.0)</f>
        <v>570</v>
      </c>
      <c r="X209" s="1">
        <f>IFERROR(__xludf.DUMMYFUNCTION("""COMPUTED_VALUE"""),1542.0)</f>
        <v>1542</v>
      </c>
      <c r="Y209" s="2"/>
      <c r="Z209" s="2"/>
    </row>
    <row r="210">
      <c r="A210" s="1">
        <f>IFERROR(__xludf.DUMMYFUNCTION("""COMPUTED_VALUE"""),209.0)</f>
        <v>209</v>
      </c>
      <c r="B210" s="1">
        <f>IFERROR(__xludf.DUMMYFUNCTION("""COMPUTED_VALUE"""),10038.0)</f>
        <v>10038</v>
      </c>
      <c r="C210" s="2" t="str">
        <f>IFERROR(__xludf.DUMMYFUNCTION("""COMPUTED_VALUE"""),"Shobar N.A.A")</f>
        <v>Shobar N.A.A</v>
      </c>
      <c r="D210" s="2" t="str">
        <f>IFERROR(__xludf.DUMMYFUNCTION("""COMPUTED_VALUE"""),"10KM OVERALL M")</f>
        <v>10KM OVERALL M</v>
      </c>
      <c r="E210" s="1">
        <f>IFERROR(__xludf.DUMMYFUNCTION("""COMPUTED_VALUE"""),1.0)</f>
        <v>1</v>
      </c>
      <c r="F210" s="1" t="str">
        <f>IFERROR(__xludf.DUMMYFUNCTION("""COMPUTED_VALUE"""),"Male")</f>
        <v>Male</v>
      </c>
      <c r="G210" s="4" t="str">
        <f>IFERROR(__xludf.DUMMYFUNCTION("""COMPUTED_VALUE"""),"")</f>
        <v/>
      </c>
      <c r="H210" s="4" t="b">
        <f>IFERROR(__xludf.DUMMYFUNCTION("""COMPUTED_VALUE"""),FALSE)</f>
        <v>0</v>
      </c>
      <c r="I210" s="4">
        <f>IFERROR(__xludf.DUMMYFUNCTION("""COMPUTED_VALUE"""),0.24646185185185185)</f>
        <v>0.2464618519</v>
      </c>
      <c r="J210" s="4" t="str">
        <f>IFERROR(__xludf.DUMMYFUNCTION("""COMPUTED_VALUE"""),"")</f>
        <v/>
      </c>
      <c r="K210" s="4" t="str">
        <f>IFERROR(__xludf.DUMMYFUNCTION("""COMPUTED_VALUE"""),"")</f>
        <v/>
      </c>
      <c r="L210" s="4" t="str">
        <f>IFERROR(__xludf.DUMMYFUNCTION("""COMPUTED_VALUE"""),"")</f>
        <v/>
      </c>
      <c r="M210" s="1" t="str">
        <f>IFERROR(__xludf.DUMMYFUNCTION("""COMPUTED_VALUE"""),"RFID")</f>
        <v>RFID</v>
      </c>
      <c r="N210" s="5" t="str">
        <f>IFERROR(__xludf.DUMMYFUNCTION("""COMPUTED_VALUE"""),"")</f>
        <v/>
      </c>
      <c r="O210" s="5" t="str">
        <f>IFERROR(__xludf.DUMMYFUNCTION("""COMPUTED_VALUE"""),"")</f>
        <v/>
      </c>
      <c r="P210" s="5" t="str">
        <f>IFERROR(__xludf.DUMMYFUNCTION("""COMPUTED_VALUE"""),"")</f>
        <v/>
      </c>
      <c r="Q210" s="5" t="str">
        <f>IFERROR(__xludf.DUMMYFUNCTION("""COMPUTED_VALUE"""),"")</f>
        <v/>
      </c>
      <c r="R210" s="4" t="str">
        <f>IFERROR(__xludf.DUMMYFUNCTION("""COMPUTED_VALUE"""),"")</f>
        <v/>
      </c>
      <c r="S210" s="1" t="b">
        <f>IFERROR(__xludf.DUMMYFUNCTION("""COMPUTED_VALUE"""),FALSE)</f>
        <v>0</v>
      </c>
      <c r="T210" s="1" t="b">
        <f>IFERROR(__xludf.DUMMYFUNCTION("""COMPUTED_VALUE"""),FALSE)</f>
        <v>0</v>
      </c>
      <c r="U210" s="1" t="str">
        <f>IFERROR(__xludf.DUMMYFUNCTION("""COMPUTED_VALUE"""),"DSQ")</f>
        <v>DSQ</v>
      </c>
      <c r="V210" s="1" t="str">
        <f>IFERROR(__xludf.DUMMYFUNCTION("""COMPUTED_VALUE"""),"DSQ")</f>
        <v>DSQ</v>
      </c>
      <c r="W210" s="1" t="str">
        <f>IFERROR(__xludf.DUMMYFUNCTION("""COMPUTED_VALUE"""),"DSQ")</f>
        <v>DSQ</v>
      </c>
      <c r="X210" s="1" t="str">
        <f>IFERROR(__xludf.DUMMYFUNCTION("""COMPUTED_VALUE"""),"DSQ")</f>
        <v>DSQ</v>
      </c>
      <c r="Y210" s="2"/>
      <c r="Z210" s="2" t="str">
        <f>IFERROR(__xludf.DUMMYFUNCTION("""COMPUTED_VALUE"""),"")</f>
        <v/>
      </c>
    </row>
    <row r="211">
      <c r="A211" s="1">
        <f>IFERROR(__xludf.DUMMYFUNCTION("""COMPUTED_VALUE"""),210.0)</f>
        <v>210</v>
      </c>
      <c r="B211" s="1">
        <f>IFERROR(__xludf.DUMMYFUNCTION("""COMPUTED_VALUE"""),10039.0)</f>
        <v>10039</v>
      </c>
      <c r="C211" s="2" t="str">
        <f>IFERROR(__xludf.DUMMYFUNCTION("""COMPUTED_VALUE"""),"Mei Rida Jaya")</f>
        <v>Mei Rida Jaya</v>
      </c>
      <c r="D211" s="2" t="str">
        <f>IFERROR(__xludf.DUMMYFUNCTION("""COMPUTED_VALUE"""),"10KM OVERALL M")</f>
        <v>10KM OVERALL M</v>
      </c>
      <c r="E211" s="1">
        <f>IFERROR(__xludf.DUMMYFUNCTION("""COMPUTED_VALUE"""),1.0)</f>
        <v>1</v>
      </c>
      <c r="F211" s="1" t="str">
        <f>IFERROR(__xludf.DUMMYFUNCTION("""COMPUTED_VALUE"""),"Male")</f>
        <v>Male</v>
      </c>
      <c r="G211" s="4" t="str">
        <f>IFERROR(__xludf.DUMMYFUNCTION("""COMPUTED_VALUE"""),"")</f>
        <v/>
      </c>
      <c r="H211" s="4" t="b">
        <f>IFERROR(__xludf.DUMMYFUNCTION("""COMPUTED_VALUE"""),TRUE)</f>
        <v>1</v>
      </c>
      <c r="I211" s="4">
        <f>IFERROR(__xludf.DUMMYFUNCTION("""COMPUTED_VALUE"""),0.24646185185185185)</f>
        <v>0.2464618519</v>
      </c>
      <c r="J211" s="4">
        <f>IFERROR(__xludf.DUMMYFUNCTION("""COMPUTED_VALUE"""),45949.255151758894)</f>
        <v>45949.25515</v>
      </c>
      <c r="K211" s="4">
        <f>IFERROR(__xludf.DUMMYFUNCTION("""COMPUTED_VALUE"""),45949.27955109686)</f>
        <v>45949.27955</v>
      </c>
      <c r="L211" s="4">
        <f>IFERROR(__xludf.DUMMYFUNCTION("""COMPUTED_VALUE"""),45949.28684526291)</f>
        <v>45949.28685</v>
      </c>
      <c r="M211" s="1" t="str">
        <f>IFERROR(__xludf.DUMMYFUNCTION("""COMPUTED_VALUE"""),"RFID")</f>
        <v>RFID</v>
      </c>
      <c r="N211" s="5">
        <f>IFERROR(__xludf.DUMMYFUNCTION("""COMPUTED_VALUE"""),0.003475962962962963)</f>
        <v>0.003475962963</v>
      </c>
      <c r="O211" s="5">
        <f>IFERROR(__xludf.DUMMYFUNCTION("""COMPUTED_VALUE"""),0.009759736111111111)</f>
        <v>0.009759736111</v>
      </c>
      <c r="P211" s="5">
        <f>IFERROR(__xludf.DUMMYFUNCTION("""COMPUTED_VALUE"""),0.0030017144257756556)</f>
        <v>0.003001714426</v>
      </c>
      <c r="Q211" s="5">
        <f>IFERROR(__xludf.DUMMYFUNCTION("""COMPUTED_VALUE"""),0.004038341435185186)</f>
        <v>0.004038341435</v>
      </c>
      <c r="R211" s="4">
        <f>IFERROR(__xludf.DUMMYFUNCTION("""COMPUTED_VALUE"""),45949.04038341106)</f>
        <v>45949.04038</v>
      </c>
      <c r="S211" s="1" t="b">
        <f>IFERROR(__xludf.DUMMYFUNCTION("""COMPUTED_VALUE"""),TRUE)</f>
        <v>1</v>
      </c>
      <c r="T211" s="1" t="b">
        <f>IFERROR(__xludf.DUMMYFUNCTION("""COMPUTED_VALUE"""),FALSE)</f>
        <v>0</v>
      </c>
      <c r="U211" s="1" t="str">
        <f>IFERROR(__xludf.DUMMYFUNCTION("""COMPUTED_VALUE"""),"VALID")</f>
        <v>VALID</v>
      </c>
      <c r="V211" s="1">
        <f>IFERROR(__xludf.DUMMYFUNCTION("""COMPUTED_VALUE"""),109.0)</f>
        <v>109</v>
      </c>
      <c r="W211" s="1">
        <f>IFERROR(__xludf.DUMMYFUNCTION("""COMPUTED_VALUE"""),131.0)</f>
        <v>131</v>
      </c>
      <c r="X211" s="1">
        <f>IFERROR(__xludf.DUMMYFUNCTION("""COMPUTED_VALUE"""),998.0)</f>
        <v>998</v>
      </c>
      <c r="Y211" s="2"/>
      <c r="Z211" s="2"/>
    </row>
    <row r="212">
      <c r="A212" s="1">
        <f>IFERROR(__xludf.DUMMYFUNCTION("""COMPUTED_VALUE"""),211.0)</f>
        <v>211</v>
      </c>
      <c r="B212" s="1">
        <f>IFERROR(__xludf.DUMMYFUNCTION("""COMPUTED_VALUE"""),10040.0)</f>
        <v>10040</v>
      </c>
      <c r="C212" s="2" t="str">
        <f>IFERROR(__xludf.DUMMYFUNCTION("""COMPUTED_VALUE"""),"MUHAMMAD ERWIN JUARDI")</f>
        <v>MUHAMMAD ERWIN JUARDI</v>
      </c>
      <c r="D212" s="2" t="str">
        <f>IFERROR(__xludf.DUMMYFUNCTION("""COMPUTED_VALUE"""),"10KM OVERALL M")</f>
        <v>10KM OVERALL M</v>
      </c>
      <c r="E212" s="1">
        <f>IFERROR(__xludf.DUMMYFUNCTION("""COMPUTED_VALUE"""),1.0)</f>
        <v>1</v>
      </c>
      <c r="F212" s="1" t="str">
        <f>IFERROR(__xludf.DUMMYFUNCTION("""COMPUTED_VALUE"""),"Male")</f>
        <v>Male</v>
      </c>
      <c r="G212" s="4" t="b">
        <f>IFERROR(__xludf.DUMMYFUNCTION("""COMPUTED_VALUE"""),TRUE)</f>
        <v>1</v>
      </c>
      <c r="H212" s="4" t="b">
        <f>IFERROR(__xludf.DUMMYFUNCTION("""COMPUTED_VALUE"""),TRUE)</f>
        <v>1</v>
      </c>
      <c r="I212" s="4">
        <f>IFERROR(__xludf.DUMMYFUNCTION("""COMPUTED_VALUE"""),0.24646185185185185)</f>
        <v>0.2464618519</v>
      </c>
      <c r="J212" s="4">
        <f>IFERROR(__xludf.DUMMYFUNCTION("""COMPUTED_VALUE"""),45949.26066557643)</f>
        <v>45949.26067</v>
      </c>
      <c r="K212" s="4">
        <f>IFERROR(__xludf.DUMMYFUNCTION("""COMPUTED_VALUE"""),45949.30145750736)</f>
        <v>45949.30146</v>
      </c>
      <c r="L212" s="4">
        <f>IFERROR(__xludf.DUMMYFUNCTION("""COMPUTED_VALUE"""),45949.31250853234)</f>
        <v>45949.31251</v>
      </c>
      <c r="M212" s="1" t="str">
        <f>IFERROR(__xludf.DUMMYFUNCTION("""COMPUTED_VALUE"""),"RFID")</f>
        <v>RFID</v>
      </c>
      <c r="N212" s="5">
        <f>IFERROR(__xludf.DUMMYFUNCTION("""COMPUTED_VALUE"""),0.00568149074074074)</f>
        <v>0.005681490741</v>
      </c>
      <c r="O212" s="5">
        <f>IFERROR(__xludf.DUMMYFUNCTION("""COMPUTED_VALUE"""),0.016316773148148146)</f>
        <v>0.01631677315</v>
      </c>
      <c r="P212" s="5">
        <f>IFERROR(__xludf.DUMMYFUNCTION("""COMPUTED_VALUE"""),0.00454774690521766)</f>
        <v>0.004547746905</v>
      </c>
      <c r="Q212" s="5">
        <f>IFERROR(__xludf.DUMMYFUNCTION("""COMPUTED_VALUE"""),0.006604667824074074)</f>
        <v>0.006604667824</v>
      </c>
      <c r="R212" s="4">
        <f>IFERROR(__xludf.DUMMYFUNCTION("""COMPUTED_VALUE"""),45949.06604668049)</f>
        <v>45949.06605</v>
      </c>
      <c r="S212" s="1" t="b">
        <f>IFERROR(__xludf.DUMMYFUNCTION("""COMPUTED_VALUE"""),TRUE)</f>
        <v>1</v>
      </c>
      <c r="T212" s="1" t="b">
        <f>IFERROR(__xludf.DUMMYFUNCTION("""COMPUTED_VALUE"""),FALSE)</f>
        <v>0</v>
      </c>
      <c r="U212" s="1" t="str">
        <f>IFERROR(__xludf.DUMMYFUNCTION("""COMPUTED_VALUE"""),"VALID")</f>
        <v>VALID</v>
      </c>
      <c r="V212" s="1">
        <f>IFERROR(__xludf.DUMMYFUNCTION("""COMPUTED_VALUE"""),573.0)</f>
        <v>573</v>
      </c>
      <c r="W212" s="1">
        <f>IFERROR(__xludf.DUMMYFUNCTION("""COMPUTED_VALUE"""),712.0)</f>
        <v>712</v>
      </c>
      <c r="X212" s="1">
        <f>IFERROR(__xludf.DUMMYFUNCTION("""COMPUTED_VALUE"""),1650.0)</f>
        <v>1650</v>
      </c>
      <c r="Y212" s="2"/>
      <c r="Z212" s="2"/>
    </row>
    <row r="213">
      <c r="A213" s="1">
        <f>IFERROR(__xludf.DUMMYFUNCTION("""COMPUTED_VALUE"""),212.0)</f>
        <v>212</v>
      </c>
      <c r="B213" s="1">
        <f>IFERROR(__xludf.DUMMYFUNCTION("""COMPUTED_VALUE"""),10041.0)</f>
        <v>10041</v>
      </c>
      <c r="C213" s="2" t="str">
        <f>IFERROR(__xludf.DUMMYFUNCTION("""COMPUTED_VALUE"""),"Pattimura Muda")</f>
        <v>Pattimura Muda</v>
      </c>
      <c r="D213" s="2" t="str">
        <f>IFERROR(__xludf.DUMMYFUNCTION("""COMPUTED_VALUE"""),"10KM OVERALL M")</f>
        <v>10KM OVERALL M</v>
      </c>
      <c r="E213" s="1">
        <f>IFERROR(__xludf.DUMMYFUNCTION("""COMPUTED_VALUE"""),1.0)</f>
        <v>1</v>
      </c>
      <c r="F213" s="1" t="str">
        <f>IFERROR(__xludf.DUMMYFUNCTION("""COMPUTED_VALUE"""),"Male")</f>
        <v>Male</v>
      </c>
      <c r="G213" s="4" t="b">
        <f>IFERROR(__xludf.DUMMYFUNCTION("""COMPUTED_VALUE"""),TRUE)</f>
        <v>1</v>
      </c>
      <c r="H213" s="4" t="b">
        <f>IFERROR(__xludf.DUMMYFUNCTION("""COMPUTED_VALUE"""),FALSE)</f>
        <v>0</v>
      </c>
      <c r="I213" s="4">
        <f>IFERROR(__xludf.DUMMYFUNCTION("""COMPUTED_VALUE"""),0.24646185185185185)</f>
        <v>0.2464618519</v>
      </c>
      <c r="J213" s="4">
        <f>IFERROR(__xludf.DUMMYFUNCTION("""COMPUTED_VALUE"""),45949.25690170579)</f>
        <v>45949.2569</v>
      </c>
      <c r="K213" s="4">
        <f>IFERROR(__xludf.DUMMYFUNCTION("""COMPUTED_VALUE"""),45949.28189478354)</f>
        <v>45949.28189</v>
      </c>
      <c r="L213" s="4">
        <f>IFERROR(__xludf.DUMMYFUNCTION("""COMPUTED_VALUE"""),45949.28890782126)</f>
        <v>45949.28891</v>
      </c>
      <c r="M213" s="1" t="str">
        <f>IFERROR(__xludf.DUMMYFUNCTION("""COMPUTED_VALUE"""),"RFID")</f>
        <v>RFID</v>
      </c>
      <c r="N213" s="5">
        <f>IFERROR(__xludf.DUMMYFUNCTION("""COMPUTED_VALUE"""),0.004175939814814815)</f>
        <v>0.004175939815</v>
      </c>
      <c r="O213" s="5">
        <f>IFERROR(__xludf.DUMMYFUNCTION("""COMPUTED_VALUE"""),0.009997231481481482)</f>
        <v>0.009997231481</v>
      </c>
      <c r="P213" s="5">
        <f>IFERROR(__xludf.DUMMYFUNCTION("""COMPUTED_VALUE"""),0.0028860237533964383)</f>
        <v>0.002886023753</v>
      </c>
      <c r="Q213" s="5">
        <f>IFERROR(__xludf.DUMMYFUNCTION("""COMPUTED_VALUE"""),0.004244597222222222)</f>
        <v>0.004244597222</v>
      </c>
      <c r="R213" s="4">
        <f>IFERROR(__xludf.DUMMYFUNCTION("""COMPUTED_VALUE"""),45949.04244596941)</f>
        <v>45949.04245</v>
      </c>
      <c r="S213" s="1" t="b">
        <f>IFERROR(__xludf.DUMMYFUNCTION("""COMPUTED_VALUE"""),TRUE)</f>
        <v>1</v>
      </c>
      <c r="T213" s="1" t="b">
        <f>IFERROR(__xludf.DUMMYFUNCTION("""COMPUTED_VALUE"""),FALSE)</f>
        <v>0</v>
      </c>
      <c r="U213" s="1" t="str">
        <f>IFERROR(__xludf.DUMMYFUNCTION("""COMPUTED_VALUE"""),"VALID")</f>
        <v>VALID</v>
      </c>
      <c r="V213" s="1">
        <f>IFERROR(__xludf.DUMMYFUNCTION("""COMPUTED_VALUE"""),155.0)</f>
        <v>155</v>
      </c>
      <c r="W213" s="1">
        <f>IFERROR(__xludf.DUMMYFUNCTION("""COMPUTED_VALUE"""),182.0)</f>
        <v>182</v>
      </c>
      <c r="X213" s="1">
        <f>IFERROR(__xludf.DUMMYFUNCTION("""COMPUTED_VALUE"""),1084.0)</f>
        <v>1084</v>
      </c>
      <c r="Y213" s="2"/>
      <c r="Z213" s="2"/>
    </row>
    <row r="214">
      <c r="A214" s="1">
        <f>IFERROR(__xludf.DUMMYFUNCTION("""COMPUTED_VALUE"""),213.0)</f>
        <v>213</v>
      </c>
      <c r="B214" s="1">
        <f>IFERROR(__xludf.DUMMYFUNCTION("""COMPUTED_VALUE"""),10042.0)</f>
        <v>10042</v>
      </c>
      <c r="C214" s="2" t="str">
        <f>IFERROR(__xludf.DUMMYFUNCTION("""COMPUTED_VALUE"""),"JOSE REFOR WAN")</f>
        <v>JOSE REFOR WAN</v>
      </c>
      <c r="D214" s="2" t="str">
        <f>IFERROR(__xludf.DUMMYFUNCTION("""COMPUTED_VALUE"""),"10KM OVERALL M")</f>
        <v>10KM OVERALL M</v>
      </c>
      <c r="E214" s="1">
        <f>IFERROR(__xludf.DUMMYFUNCTION("""COMPUTED_VALUE"""),1.0)</f>
        <v>1</v>
      </c>
      <c r="F214" s="1" t="str">
        <f>IFERROR(__xludf.DUMMYFUNCTION("""COMPUTED_VALUE"""),"Male")</f>
        <v>Male</v>
      </c>
      <c r="G214" s="4" t="b">
        <f>IFERROR(__xludf.DUMMYFUNCTION("""COMPUTED_VALUE"""),TRUE)</f>
        <v>1</v>
      </c>
      <c r="H214" s="4" t="b">
        <f>IFERROR(__xludf.DUMMYFUNCTION("""COMPUTED_VALUE"""),TRUE)</f>
        <v>1</v>
      </c>
      <c r="I214" s="4">
        <f>IFERROR(__xludf.DUMMYFUNCTION("""COMPUTED_VALUE"""),0.24646185185185185)</f>
        <v>0.2464618519</v>
      </c>
      <c r="J214" s="4">
        <f>IFERROR(__xludf.DUMMYFUNCTION("""COMPUTED_VALUE"""),45949.26077668653)</f>
        <v>45949.26078</v>
      </c>
      <c r="K214" s="4">
        <f>IFERROR(__xludf.DUMMYFUNCTION("""COMPUTED_VALUE"""),45949.2899537037)</f>
        <v>45949.28995</v>
      </c>
      <c r="L214" s="4">
        <f>IFERROR(__xludf.DUMMYFUNCTION("""COMPUTED_VALUE"""),45949.297074499904)</f>
        <v>45949.29707</v>
      </c>
      <c r="M214" s="1" t="str">
        <f>IFERROR(__xludf.DUMMYFUNCTION("""COMPUTED_VALUE"""),"RFID")</f>
        <v>RFID</v>
      </c>
      <c r="N214" s="5">
        <f>IFERROR(__xludf.DUMMYFUNCTION("""COMPUTED_VALUE"""),0.005725935185185185)</f>
        <v>0.005725935185</v>
      </c>
      <c r="O214" s="5">
        <f>IFERROR(__xludf.DUMMYFUNCTION("""COMPUTED_VALUE"""),0.011670805555555556)</f>
        <v>0.01167080556</v>
      </c>
      <c r="P214" s="5">
        <f>IFERROR(__xludf.DUMMYFUNCTION("""COMPUTED_VALUE"""),0.0029303688077359563)</f>
        <v>0.002930368808</v>
      </c>
      <c r="Q214" s="5">
        <f>IFERROR(__xludf.DUMMYFUNCTION("""COMPUTED_VALUE"""),0.005061265046296296)</f>
        <v>0.005061265046</v>
      </c>
      <c r="R214" s="4">
        <f>IFERROR(__xludf.DUMMYFUNCTION("""COMPUTED_VALUE"""),45949.050612648054)</f>
        <v>45949.05061</v>
      </c>
      <c r="S214" s="1" t="b">
        <f>IFERROR(__xludf.DUMMYFUNCTION("""COMPUTED_VALUE"""),TRUE)</f>
        <v>1</v>
      </c>
      <c r="T214" s="1" t="b">
        <f>IFERROR(__xludf.DUMMYFUNCTION("""COMPUTED_VALUE"""),FALSE)</f>
        <v>0</v>
      </c>
      <c r="U214" s="1" t="str">
        <f>IFERROR(__xludf.DUMMYFUNCTION("""COMPUTED_VALUE"""),"VALID")</f>
        <v>VALID</v>
      </c>
      <c r="V214" s="1">
        <f>IFERROR(__xludf.DUMMYFUNCTION("""COMPUTED_VALUE"""),358.0)</f>
        <v>358</v>
      </c>
      <c r="W214" s="1">
        <f>IFERROR(__xludf.DUMMYFUNCTION("""COMPUTED_VALUE"""),422.0)</f>
        <v>422</v>
      </c>
      <c r="X214" s="1">
        <f>IFERROR(__xludf.DUMMYFUNCTION("""COMPUTED_VALUE"""),1402.0)</f>
        <v>1402</v>
      </c>
      <c r="Y214" s="2"/>
      <c r="Z214" s="2"/>
    </row>
    <row r="215">
      <c r="A215" s="1">
        <f>IFERROR(__xludf.DUMMYFUNCTION("""COMPUTED_VALUE"""),214.0)</f>
        <v>214</v>
      </c>
      <c r="B215" s="1">
        <f>IFERROR(__xludf.DUMMYFUNCTION("""COMPUTED_VALUE"""),10043.0)</f>
        <v>10043</v>
      </c>
      <c r="C215" s="2" t="str">
        <f>IFERROR(__xludf.DUMMYFUNCTION("""COMPUTED_VALUE"""),"Shah Reza")</f>
        <v>Shah Reza</v>
      </c>
      <c r="D215" s="2" t="str">
        <f>IFERROR(__xludf.DUMMYFUNCTION("""COMPUTED_VALUE"""),"10KM OVERALL M")</f>
        <v>10KM OVERALL M</v>
      </c>
      <c r="E215" s="1">
        <f>IFERROR(__xludf.DUMMYFUNCTION("""COMPUTED_VALUE"""),1.0)</f>
        <v>1</v>
      </c>
      <c r="F215" s="1" t="str">
        <f>IFERROR(__xludf.DUMMYFUNCTION("""COMPUTED_VALUE"""),"Male")</f>
        <v>Male</v>
      </c>
      <c r="G215" s="4" t="b">
        <f>IFERROR(__xludf.DUMMYFUNCTION("""COMPUTED_VALUE"""),TRUE)</f>
        <v>1</v>
      </c>
      <c r="H215" s="4" t="b">
        <f>IFERROR(__xludf.DUMMYFUNCTION("""COMPUTED_VALUE"""),FALSE)</f>
        <v>0</v>
      </c>
      <c r="I215" s="4">
        <f>IFERROR(__xludf.DUMMYFUNCTION("""COMPUTED_VALUE"""),0.24646185185185185)</f>
        <v>0.2464618519</v>
      </c>
      <c r="J215" s="4">
        <f>IFERROR(__xludf.DUMMYFUNCTION("""COMPUTED_VALUE"""),45949.25546071619)</f>
        <v>45949.25546</v>
      </c>
      <c r="K215" s="4">
        <f>IFERROR(__xludf.DUMMYFUNCTION("""COMPUTED_VALUE"""),45949.2796482397)</f>
        <v>45949.27965</v>
      </c>
      <c r="L215" s="4">
        <f>IFERROR(__xludf.DUMMYFUNCTION("""COMPUTED_VALUE"""),45949.28700850452)</f>
        <v>45949.28701</v>
      </c>
      <c r="M215" s="1" t="str">
        <f>IFERROR(__xludf.DUMMYFUNCTION("""COMPUTED_VALUE"""),"RFID")</f>
        <v>RFID</v>
      </c>
      <c r="N215" s="5">
        <f>IFERROR(__xludf.DUMMYFUNCTION("""COMPUTED_VALUE"""),0.003599546296296296)</f>
        <v>0.003599546296</v>
      </c>
      <c r="O215" s="5">
        <f>IFERROR(__xludf.DUMMYFUNCTION("""COMPUTED_VALUE"""),0.00967500925925926)</f>
        <v>0.009675009259</v>
      </c>
      <c r="P215" s="5">
        <f>IFERROR(__xludf.DUMMYFUNCTION("""COMPUTED_VALUE"""),0.0030289155633740675)</f>
        <v>0.003028915563</v>
      </c>
      <c r="Q215" s="5">
        <f>IFERROR(__xludf.DUMMYFUNCTION("""COMPUTED_VALUE"""),0.00405466550925926)</f>
        <v>0.004054665509</v>
      </c>
      <c r="R215" s="4">
        <f>IFERROR(__xludf.DUMMYFUNCTION("""COMPUTED_VALUE"""),45949.04054665267)</f>
        <v>45949.04055</v>
      </c>
      <c r="S215" s="1" t="b">
        <f>IFERROR(__xludf.DUMMYFUNCTION("""COMPUTED_VALUE"""),TRUE)</f>
        <v>1</v>
      </c>
      <c r="T215" s="1" t="b">
        <f>IFERROR(__xludf.DUMMYFUNCTION("""COMPUTED_VALUE"""),FALSE)</f>
        <v>0</v>
      </c>
      <c r="U215" s="1" t="str">
        <f>IFERROR(__xludf.DUMMYFUNCTION("""COMPUTED_VALUE"""),"VALID")</f>
        <v>VALID</v>
      </c>
      <c r="V215" s="1">
        <f>IFERROR(__xludf.DUMMYFUNCTION("""COMPUTED_VALUE"""),112.0)</f>
        <v>112</v>
      </c>
      <c r="W215" s="1">
        <f>IFERROR(__xludf.DUMMYFUNCTION("""COMPUTED_VALUE"""),134.0)</f>
        <v>134</v>
      </c>
      <c r="X215" s="1">
        <f>IFERROR(__xludf.DUMMYFUNCTION("""COMPUTED_VALUE"""),1005.0)</f>
        <v>1005</v>
      </c>
      <c r="Y215" s="2"/>
      <c r="Z215" s="2"/>
    </row>
    <row r="216">
      <c r="A216" s="1">
        <f>IFERROR(__xludf.DUMMYFUNCTION("""COMPUTED_VALUE"""),215.0)</f>
        <v>215</v>
      </c>
      <c r="B216" s="1">
        <f>IFERROR(__xludf.DUMMYFUNCTION("""COMPUTED_VALUE"""),10044.0)</f>
        <v>10044</v>
      </c>
      <c r="C216" s="2" t="str">
        <f>IFERROR(__xludf.DUMMYFUNCTION("""COMPUTED_VALUE"""),"Diky Abdillah")</f>
        <v>Diky Abdillah</v>
      </c>
      <c r="D216" s="2" t="str">
        <f>IFERROR(__xludf.DUMMYFUNCTION("""COMPUTED_VALUE"""),"10KM OVERALL M")</f>
        <v>10KM OVERALL M</v>
      </c>
      <c r="E216" s="1">
        <f>IFERROR(__xludf.DUMMYFUNCTION("""COMPUTED_VALUE"""),1.0)</f>
        <v>1</v>
      </c>
      <c r="F216" s="1" t="str">
        <f>IFERROR(__xludf.DUMMYFUNCTION("""COMPUTED_VALUE"""),"Male")</f>
        <v>Male</v>
      </c>
      <c r="G216" s="4" t="b">
        <f>IFERROR(__xludf.DUMMYFUNCTION("""COMPUTED_VALUE"""),TRUE)</f>
        <v>1</v>
      </c>
      <c r="H216" s="4" t="b">
        <f>IFERROR(__xludf.DUMMYFUNCTION("""COMPUTED_VALUE"""),TRUE)</f>
        <v>1</v>
      </c>
      <c r="I216" s="4">
        <f>IFERROR(__xludf.DUMMYFUNCTION("""COMPUTED_VALUE"""),0.24646185185185185)</f>
        <v>0.2464618519</v>
      </c>
      <c r="J216" s="4">
        <f>IFERROR(__xludf.DUMMYFUNCTION("""COMPUTED_VALUE"""),45949.26018642479)</f>
        <v>45949.26019</v>
      </c>
      <c r="K216" s="4">
        <f>IFERROR(__xludf.DUMMYFUNCTION("""COMPUTED_VALUE"""),45949.30096793773)</f>
        <v>45949.30097</v>
      </c>
      <c r="L216" s="4">
        <f>IFERROR(__xludf.DUMMYFUNCTION("""COMPUTED_VALUE"""),45949.31220985343)</f>
        <v>45949.31221</v>
      </c>
      <c r="M216" s="1" t="str">
        <f>IFERROR(__xludf.DUMMYFUNCTION("""COMPUTED_VALUE"""),"RFID")</f>
        <v>RFID</v>
      </c>
      <c r="N216" s="5">
        <f>IFERROR(__xludf.DUMMYFUNCTION("""COMPUTED_VALUE"""),0.005489828703703703)</f>
        <v>0.005489828704</v>
      </c>
      <c r="O216" s="5">
        <f>IFERROR(__xludf.DUMMYFUNCTION("""COMPUTED_VALUE"""),0.01631260648148148)</f>
        <v>0.01631260648</v>
      </c>
      <c r="P216" s="5">
        <f>IFERROR(__xludf.DUMMYFUNCTION("""COMPUTED_VALUE"""),0.0046263027577153155)</f>
        <v>0.004626302758</v>
      </c>
      <c r="Q216" s="5">
        <f>IFERROR(__xludf.DUMMYFUNCTION("""COMPUTED_VALUE"""),0.006574799768518519)</f>
        <v>0.006574799769</v>
      </c>
      <c r="R216" s="4">
        <f>IFERROR(__xludf.DUMMYFUNCTION("""COMPUTED_VALUE"""),45949.06574800158)</f>
        <v>45949.06575</v>
      </c>
      <c r="S216" s="1" t="b">
        <f>IFERROR(__xludf.DUMMYFUNCTION("""COMPUTED_VALUE"""),TRUE)</f>
        <v>1</v>
      </c>
      <c r="T216" s="1" t="b">
        <f>IFERROR(__xludf.DUMMYFUNCTION("""COMPUTED_VALUE"""),FALSE)</f>
        <v>0</v>
      </c>
      <c r="U216" s="1" t="str">
        <f>IFERROR(__xludf.DUMMYFUNCTION("""COMPUTED_VALUE"""),"VALID")</f>
        <v>VALID</v>
      </c>
      <c r="V216" s="1">
        <f>IFERROR(__xludf.DUMMYFUNCTION("""COMPUTED_VALUE"""),572.0)</f>
        <v>572</v>
      </c>
      <c r="W216" s="1">
        <f>IFERROR(__xludf.DUMMYFUNCTION("""COMPUTED_VALUE"""),709.0)</f>
        <v>709</v>
      </c>
      <c r="X216" s="1">
        <f>IFERROR(__xludf.DUMMYFUNCTION("""COMPUTED_VALUE"""),1649.0)</f>
        <v>1649</v>
      </c>
      <c r="Y216" s="2"/>
      <c r="Z216" s="2"/>
    </row>
    <row r="217">
      <c r="A217" s="1">
        <f>IFERROR(__xludf.DUMMYFUNCTION("""COMPUTED_VALUE"""),216.0)</f>
        <v>216</v>
      </c>
      <c r="B217" s="1">
        <f>IFERROR(__xludf.DUMMYFUNCTION("""COMPUTED_VALUE"""),10045.0)</f>
        <v>10045</v>
      </c>
      <c r="C217" s="2" t="str">
        <f>IFERROR(__xludf.DUMMYFUNCTION("""COMPUTED_VALUE"""),"Arif")</f>
        <v>Arif</v>
      </c>
      <c r="D217" s="2" t="str">
        <f>IFERROR(__xludf.DUMMYFUNCTION("""COMPUTED_VALUE"""),"10KM OVERALL M")</f>
        <v>10KM OVERALL M</v>
      </c>
      <c r="E217" s="1">
        <f>IFERROR(__xludf.DUMMYFUNCTION("""COMPUTED_VALUE"""),1.0)</f>
        <v>1</v>
      </c>
      <c r="F217" s="1" t="str">
        <f>IFERROR(__xludf.DUMMYFUNCTION("""COMPUTED_VALUE"""),"Male")</f>
        <v>Male</v>
      </c>
      <c r="G217" s="4" t="str">
        <f>IFERROR(__xludf.DUMMYFUNCTION("""COMPUTED_VALUE"""),"")</f>
        <v/>
      </c>
      <c r="H217" s="4" t="b">
        <f>IFERROR(__xludf.DUMMYFUNCTION("""COMPUTED_VALUE"""),FALSE)</f>
        <v>0</v>
      </c>
      <c r="I217" s="4">
        <f>IFERROR(__xludf.DUMMYFUNCTION("""COMPUTED_VALUE"""),0.24646185185185185)</f>
        <v>0.2464618519</v>
      </c>
      <c r="J217" s="4">
        <f>IFERROR(__xludf.DUMMYFUNCTION("""COMPUTED_VALUE"""),45949.25792602825)</f>
        <v>45949.25793</v>
      </c>
      <c r="K217" s="4">
        <f>IFERROR(__xludf.DUMMYFUNCTION("""COMPUTED_VALUE"""),45949.2853114387)</f>
        <v>45949.28531</v>
      </c>
      <c r="L217" s="4">
        <f>IFERROR(__xludf.DUMMYFUNCTION("""COMPUTED_VALUE"""),45949.2930605869)</f>
        <v>45949.29306</v>
      </c>
      <c r="M217" s="1" t="str">
        <f>IFERROR(__xludf.DUMMYFUNCTION("""COMPUTED_VALUE"""),"RFID")</f>
        <v>RFID</v>
      </c>
      <c r="N217" s="5">
        <f>IFERROR(__xludf.DUMMYFUNCTION("""COMPUTED_VALUE"""),0.004585671296296296)</f>
        <v>0.004585671296</v>
      </c>
      <c r="O217" s="5">
        <f>IFERROR(__xludf.DUMMYFUNCTION("""COMPUTED_VALUE"""),0.010954162037037038)</f>
        <v>0.01095416204</v>
      </c>
      <c r="P217" s="5">
        <f>IFERROR(__xludf.DUMMYFUNCTION("""COMPUTED_VALUE"""),0.003188949873826156)</f>
        <v>0.003188949874</v>
      </c>
      <c r="Q217" s="5">
        <f>IFERROR(__xludf.DUMMYFUNCTION("""COMPUTED_VALUE"""),0.004659873842592593)</f>
        <v>0.004659873843</v>
      </c>
      <c r="R217" s="4">
        <f>IFERROR(__xludf.DUMMYFUNCTION("""COMPUTED_VALUE"""),45949.04659873505)</f>
        <v>45949.0466</v>
      </c>
      <c r="S217" s="1" t="b">
        <f>IFERROR(__xludf.DUMMYFUNCTION("""COMPUTED_VALUE"""),TRUE)</f>
        <v>1</v>
      </c>
      <c r="T217" s="1" t="b">
        <f>IFERROR(__xludf.DUMMYFUNCTION("""COMPUTED_VALUE"""),FALSE)</f>
        <v>0</v>
      </c>
      <c r="U217" s="1" t="str">
        <f>IFERROR(__xludf.DUMMYFUNCTION("""COMPUTED_VALUE"""),"VALID")</f>
        <v>VALID</v>
      </c>
      <c r="V217" s="1">
        <f>IFERROR(__xludf.DUMMYFUNCTION("""COMPUTED_VALUE"""),257.0)</f>
        <v>257</v>
      </c>
      <c r="W217" s="1">
        <f>IFERROR(__xludf.DUMMYFUNCTION("""COMPUTED_VALUE"""),307.0)</f>
        <v>307</v>
      </c>
      <c r="X217" s="1">
        <f>IFERROR(__xludf.DUMMYFUNCTION("""COMPUTED_VALUE"""),1262.0)</f>
        <v>1262</v>
      </c>
      <c r="Y217" s="2"/>
      <c r="Z217" s="2"/>
    </row>
    <row r="218">
      <c r="A218" s="1">
        <f>IFERROR(__xludf.DUMMYFUNCTION("""COMPUTED_VALUE"""),217.0)</f>
        <v>217</v>
      </c>
      <c r="B218" s="1">
        <f>IFERROR(__xludf.DUMMYFUNCTION("""COMPUTED_VALUE"""),10046.0)</f>
        <v>10046</v>
      </c>
      <c r="C218" s="2" t="str">
        <f>IFERROR(__xludf.DUMMYFUNCTION("""COMPUTED_VALUE"""),"Hamli")</f>
        <v>Hamli</v>
      </c>
      <c r="D218" s="2" t="str">
        <f>IFERROR(__xludf.DUMMYFUNCTION("""COMPUTED_VALUE"""),"10KM OVERALL M")</f>
        <v>10KM OVERALL M</v>
      </c>
      <c r="E218" s="1">
        <f>IFERROR(__xludf.DUMMYFUNCTION("""COMPUTED_VALUE"""),1.0)</f>
        <v>1</v>
      </c>
      <c r="F218" s="1" t="str">
        <f>IFERROR(__xludf.DUMMYFUNCTION("""COMPUTED_VALUE"""),"Male")</f>
        <v>Male</v>
      </c>
      <c r="G218" s="4" t="b">
        <f>IFERROR(__xludf.DUMMYFUNCTION("""COMPUTED_VALUE"""),TRUE)</f>
        <v>1</v>
      </c>
      <c r="H218" s="4" t="b">
        <f>IFERROR(__xludf.DUMMYFUNCTION("""COMPUTED_VALUE"""),FALSE)</f>
        <v>0</v>
      </c>
      <c r="I218" s="4">
        <f>IFERROR(__xludf.DUMMYFUNCTION("""COMPUTED_VALUE"""),0.24646185185185185)</f>
        <v>0.2464618519</v>
      </c>
      <c r="J218" s="4">
        <f>IFERROR(__xludf.DUMMYFUNCTION("""COMPUTED_VALUE"""),45949.25327669009)</f>
        <v>45949.25328</v>
      </c>
      <c r="K218" s="4">
        <f>IFERROR(__xludf.DUMMYFUNCTION("""COMPUTED_VALUE"""),45949.27254217863)</f>
        <v>45949.27254</v>
      </c>
      <c r="L218" s="4">
        <f>IFERROR(__xludf.DUMMYFUNCTION("""COMPUTED_VALUE"""),45949.278095311296)</f>
        <v>45949.2781</v>
      </c>
      <c r="M218" s="1" t="str">
        <f>IFERROR(__xludf.DUMMYFUNCTION("""COMPUTED_VALUE"""),"RFID")</f>
        <v>RFID</v>
      </c>
      <c r="N218" s="5">
        <f>IFERROR(__xludf.DUMMYFUNCTION("""COMPUTED_VALUE"""),0.0027259351851851854)</f>
        <v>0.002725935185</v>
      </c>
      <c r="O218" s="5">
        <f>IFERROR(__xludf.DUMMYFUNCTION("""COMPUTED_VALUE"""),0.007706194444444444)</f>
        <v>0.007706194444</v>
      </c>
      <c r="P218" s="5">
        <f>IFERROR(__xludf.DUMMYFUNCTION("""COMPUTED_VALUE"""),0.0022852397799288755)</f>
        <v>0.00228523978</v>
      </c>
      <c r="Q218" s="5">
        <f>IFERROR(__xludf.DUMMYFUNCTION("""COMPUTED_VALUE"""),0.003163346064814815)</f>
        <v>0.003163346065</v>
      </c>
      <c r="R218" s="4">
        <f>IFERROR(__xludf.DUMMYFUNCTION("""COMPUTED_VALUE"""),45949.031633459446)</f>
        <v>45949.03163</v>
      </c>
      <c r="S218" s="1" t="b">
        <f>IFERROR(__xludf.DUMMYFUNCTION("""COMPUTED_VALUE"""),TRUE)</f>
        <v>1</v>
      </c>
      <c r="T218" s="1" t="b">
        <f>IFERROR(__xludf.DUMMYFUNCTION("""COMPUTED_VALUE"""),FALSE)</f>
        <v>0</v>
      </c>
      <c r="U218" s="1" t="str">
        <f>IFERROR(__xludf.DUMMYFUNCTION("""COMPUTED_VALUE"""),"VALID")</f>
        <v>VALID</v>
      </c>
      <c r="V218" s="1">
        <f>IFERROR(__xludf.DUMMYFUNCTION("""COMPUTED_VALUE"""),15.0)</f>
        <v>15</v>
      </c>
      <c r="W218" s="1">
        <f>IFERROR(__xludf.DUMMYFUNCTION("""COMPUTED_VALUE"""),20.0)</f>
        <v>20</v>
      </c>
      <c r="X218" s="1">
        <f>IFERROR(__xludf.DUMMYFUNCTION("""COMPUTED_VALUE"""),563.0)</f>
        <v>563</v>
      </c>
      <c r="Y218" s="2"/>
      <c r="Z218" s="2"/>
    </row>
    <row r="219">
      <c r="A219" s="1">
        <f>IFERROR(__xludf.DUMMYFUNCTION("""COMPUTED_VALUE"""),218.0)</f>
        <v>218</v>
      </c>
      <c r="B219" s="1">
        <f>IFERROR(__xludf.DUMMYFUNCTION("""COMPUTED_VALUE"""),10047.0)</f>
        <v>10047</v>
      </c>
      <c r="C219" s="2" t="str">
        <f>IFERROR(__xludf.DUMMYFUNCTION("""COMPUTED_VALUE"""),"IKIPIYUL28")</f>
        <v>IKIPIYUL28</v>
      </c>
      <c r="D219" s="2" t="str">
        <f>IFERROR(__xludf.DUMMYFUNCTION("""COMPUTED_VALUE"""),"10KM OVERALL M")</f>
        <v>10KM OVERALL M</v>
      </c>
      <c r="E219" s="1">
        <f>IFERROR(__xludf.DUMMYFUNCTION("""COMPUTED_VALUE"""),1.0)</f>
        <v>1</v>
      </c>
      <c r="F219" s="1" t="str">
        <f>IFERROR(__xludf.DUMMYFUNCTION("""COMPUTED_VALUE"""),"Male")</f>
        <v>Male</v>
      </c>
      <c r="G219" s="4" t="str">
        <f>IFERROR(__xludf.DUMMYFUNCTION("""COMPUTED_VALUE"""),"")</f>
        <v/>
      </c>
      <c r="H219" s="4" t="b">
        <f>IFERROR(__xludf.DUMMYFUNCTION("""COMPUTED_VALUE"""),FALSE)</f>
        <v>0</v>
      </c>
      <c r="I219" s="4">
        <f>IFERROR(__xludf.DUMMYFUNCTION("""COMPUTED_VALUE"""),0.24646185185185185)</f>
        <v>0.2464618519</v>
      </c>
      <c r="J219" s="4">
        <f>IFERROR(__xludf.DUMMYFUNCTION("""COMPUTED_VALUE"""),45949.25529146171)</f>
        <v>45949.25529</v>
      </c>
      <c r="K219" s="4">
        <f>IFERROR(__xludf.DUMMYFUNCTION("""COMPUTED_VALUE"""),45949.277715774966)</f>
        <v>45949.27772</v>
      </c>
      <c r="L219" s="4">
        <f>IFERROR(__xludf.DUMMYFUNCTION("""COMPUTED_VALUE"""),45949.28414045009)</f>
        <v>45949.28414</v>
      </c>
      <c r="M219" s="1" t="str">
        <f>IFERROR(__xludf.DUMMYFUNCTION("""COMPUTED_VALUE"""),"RFID")</f>
        <v>RFID</v>
      </c>
      <c r="N219" s="5">
        <f>IFERROR(__xludf.DUMMYFUNCTION("""COMPUTED_VALUE"""),0.0035318425925925925)</f>
        <v>0.003531842593</v>
      </c>
      <c r="O219" s="5">
        <f>IFERROR(__xludf.DUMMYFUNCTION("""COMPUTED_VALUE"""),0.008969726851851852)</f>
        <v>0.008969726852</v>
      </c>
      <c r="P219" s="5">
        <f>IFERROR(__xludf.DUMMYFUNCTION("""COMPUTED_VALUE"""),0.002643899226665627)</f>
        <v>0.002643899227</v>
      </c>
      <c r="Q219" s="5">
        <f>IFERROR(__xludf.DUMMYFUNCTION("""COMPUTED_VALUE"""),0.003767859953703704)</f>
        <v>0.003767859954</v>
      </c>
      <c r="R219" s="4">
        <f>IFERROR(__xludf.DUMMYFUNCTION("""COMPUTED_VALUE"""),45949.03767859824)</f>
        <v>45949.03768</v>
      </c>
      <c r="S219" s="1" t="b">
        <f>IFERROR(__xludf.DUMMYFUNCTION("""COMPUTED_VALUE"""),TRUE)</f>
        <v>1</v>
      </c>
      <c r="T219" s="1" t="b">
        <f>IFERROR(__xludf.DUMMYFUNCTION("""COMPUTED_VALUE"""),FALSE)</f>
        <v>0</v>
      </c>
      <c r="U219" s="1" t="str">
        <f>IFERROR(__xludf.DUMMYFUNCTION("""COMPUTED_VALUE"""),"VALID")</f>
        <v>VALID</v>
      </c>
      <c r="V219" s="1">
        <f>IFERROR(__xludf.DUMMYFUNCTION("""COMPUTED_VALUE"""),64.0)</f>
        <v>64</v>
      </c>
      <c r="W219" s="1">
        <f>IFERROR(__xludf.DUMMYFUNCTION("""COMPUTED_VALUE"""),76.0)</f>
        <v>76</v>
      </c>
      <c r="X219" s="1">
        <f>IFERROR(__xludf.DUMMYFUNCTION("""COMPUTED_VALUE"""),857.0)</f>
        <v>857</v>
      </c>
      <c r="Y219" s="2"/>
      <c r="Z219" s="2"/>
    </row>
    <row r="220">
      <c r="A220" s="1">
        <f>IFERROR(__xludf.DUMMYFUNCTION("""COMPUTED_VALUE"""),219.0)</f>
        <v>219</v>
      </c>
      <c r="B220" s="1">
        <f>IFERROR(__xludf.DUMMYFUNCTION("""COMPUTED_VALUE"""),10048.0)</f>
        <v>10048</v>
      </c>
      <c r="C220" s="2" t="str">
        <f>IFERROR(__xludf.DUMMYFUNCTION("""COMPUTED_VALUE"""),"RICKY")</f>
        <v>RICKY</v>
      </c>
      <c r="D220" s="2" t="str">
        <f>IFERROR(__xludf.DUMMYFUNCTION("""COMPUTED_VALUE"""),"10KM OVERALL M")</f>
        <v>10KM OVERALL M</v>
      </c>
      <c r="E220" s="1">
        <f>IFERROR(__xludf.DUMMYFUNCTION("""COMPUTED_VALUE"""),1.0)</f>
        <v>1</v>
      </c>
      <c r="F220" s="1" t="str">
        <f>IFERROR(__xludf.DUMMYFUNCTION("""COMPUTED_VALUE"""),"Male")</f>
        <v>Male</v>
      </c>
      <c r="G220" s="4" t="b">
        <f>IFERROR(__xludf.DUMMYFUNCTION("""COMPUTED_VALUE"""),TRUE)</f>
        <v>1</v>
      </c>
      <c r="H220" s="4" t="b">
        <f>IFERROR(__xludf.DUMMYFUNCTION("""COMPUTED_VALUE"""),TRUE)</f>
        <v>1</v>
      </c>
      <c r="I220" s="4">
        <f>IFERROR(__xludf.DUMMYFUNCTION("""COMPUTED_VALUE"""),0.24646185185185185)</f>
        <v>0.2464618519</v>
      </c>
      <c r="J220" s="4">
        <f>IFERROR(__xludf.DUMMYFUNCTION("""COMPUTED_VALUE"""),45949.25625240173)</f>
        <v>45949.25625</v>
      </c>
      <c r="K220" s="4">
        <f>IFERROR(__xludf.DUMMYFUNCTION("""COMPUTED_VALUE"""),45949.28000935547)</f>
        <v>45949.28001</v>
      </c>
      <c r="L220" s="4">
        <f>IFERROR(__xludf.DUMMYFUNCTION("""COMPUTED_VALUE"""),45949.286952967544)</f>
        <v>45949.28695</v>
      </c>
      <c r="M220" s="1" t="str">
        <f>IFERROR(__xludf.DUMMYFUNCTION("""COMPUTED_VALUE"""),"RFID")</f>
        <v>RFID</v>
      </c>
      <c r="N220" s="5">
        <f>IFERROR(__xludf.DUMMYFUNCTION("""COMPUTED_VALUE"""),0.003916222222222222)</f>
        <v>0.003916222222</v>
      </c>
      <c r="O220" s="5">
        <f>IFERROR(__xludf.DUMMYFUNCTION("""COMPUTED_VALUE"""),0.009502782407407408)</f>
        <v>0.009502782407</v>
      </c>
      <c r="P220" s="5">
        <f>IFERROR(__xludf.DUMMYFUNCTION("""COMPUTED_VALUE"""),0.0028574535290953997)</f>
        <v>0.002857453529</v>
      </c>
      <c r="Q220" s="5">
        <f>IFERROR(__xludf.DUMMYFUNCTION("""COMPUTED_VALUE"""),0.004049111111111111)</f>
        <v>0.004049111111</v>
      </c>
      <c r="R220" s="4">
        <f>IFERROR(__xludf.DUMMYFUNCTION("""COMPUTED_VALUE"""),45949.040491115695)</f>
        <v>45949.04049</v>
      </c>
      <c r="S220" s="1" t="b">
        <f>IFERROR(__xludf.DUMMYFUNCTION("""COMPUTED_VALUE"""),TRUE)</f>
        <v>1</v>
      </c>
      <c r="T220" s="1" t="b">
        <f>IFERROR(__xludf.DUMMYFUNCTION("""COMPUTED_VALUE"""),FALSE)</f>
        <v>0</v>
      </c>
      <c r="U220" s="1" t="str">
        <f>IFERROR(__xludf.DUMMYFUNCTION("""COMPUTED_VALUE"""),"VALID")</f>
        <v>VALID</v>
      </c>
      <c r="V220" s="1">
        <f>IFERROR(__xludf.DUMMYFUNCTION("""COMPUTED_VALUE"""),111.0)</f>
        <v>111</v>
      </c>
      <c r="W220" s="1">
        <f>IFERROR(__xludf.DUMMYFUNCTION("""COMPUTED_VALUE"""),133.0)</f>
        <v>133</v>
      </c>
      <c r="X220" s="1">
        <f>IFERROR(__xludf.DUMMYFUNCTION("""COMPUTED_VALUE"""),1004.0)</f>
        <v>1004</v>
      </c>
      <c r="Y220" s="2"/>
      <c r="Z220" s="2"/>
    </row>
    <row r="221">
      <c r="A221" s="1">
        <f>IFERROR(__xludf.DUMMYFUNCTION("""COMPUTED_VALUE"""),220.0)</f>
        <v>220</v>
      </c>
      <c r="B221" s="1">
        <f>IFERROR(__xludf.DUMMYFUNCTION("""COMPUTED_VALUE"""),10049.0)</f>
        <v>10049</v>
      </c>
      <c r="C221" s="2" t="str">
        <f>IFERROR(__xludf.DUMMYFUNCTION("""COMPUTED_VALUE"""),"Kresno")</f>
        <v>Kresno</v>
      </c>
      <c r="D221" s="2" t="str">
        <f>IFERROR(__xludf.DUMMYFUNCTION("""COMPUTED_VALUE"""),"10KM OVERALL M")</f>
        <v>10KM OVERALL M</v>
      </c>
      <c r="E221" s="1">
        <f>IFERROR(__xludf.DUMMYFUNCTION("""COMPUTED_VALUE"""),1.0)</f>
        <v>1</v>
      </c>
      <c r="F221" s="1" t="str">
        <f>IFERROR(__xludf.DUMMYFUNCTION("""COMPUTED_VALUE"""),"Male")</f>
        <v>Male</v>
      </c>
      <c r="G221" s="4" t="b">
        <f>IFERROR(__xludf.DUMMYFUNCTION("""COMPUTED_VALUE"""),TRUE)</f>
        <v>1</v>
      </c>
      <c r="H221" s="4" t="b">
        <f>IFERROR(__xludf.DUMMYFUNCTION("""COMPUTED_VALUE"""),FALSE)</f>
        <v>0</v>
      </c>
      <c r="I221" s="4">
        <f>IFERROR(__xludf.DUMMYFUNCTION("""COMPUTED_VALUE"""),0.24646185185185185)</f>
        <v>0.2464618519</v>
      </c>
      <c r="J221" s="4">
        <f>IFERROR(__xludf.DUMMYFUNCTION("""COMPUTED_VALUE"""),45949.25520477023)</f>
        <v>45949.2552</v>
      </c>
      <c r="K221" s="4">
        <f>IFERROR(__xludf.DUMMYFUNCTION("""COMPUTED_VALUE"""),45949.28264478233)</f>
        <v>45949.28264</v>
      </c>
      <c r="L221" s="4">
        <f>IFERROR(__xludf.DUMMYFUNCTION("""COMPUTED_VALUE"""),45949.29012657505)</f>
        <v>45949.29013</v>
      </c>
      <c r="M221" s="1" t="str">
        <f>IFERROR(__xludf.DUMMYFUNCTION("""COMPUTED_VALUE"""),"RFID")</f>
        <v>RFID</v>
      </c>
      <c r="N221" s="5">
        <f>IFERROR(__xludf.DUMMYFUNCTION("""COMPUTED_VALUE"""),0.0034971666666666667)</f>
        <v>0.003497166667</v>
      </c>
      <c r="O221" s="5">
        <f>IFERROR(__xludf.DUMMYFUNCTION("""COMPUTED_VALUE"""),0.010976004629629629)</f>
        <v>0.01097600463</v>
      </c>
      <c r="P221" s="5">
        <f>IFERROR(__xludf.DUMMYFUNCTION("""COMPUTED_VALUE"""),0.0030789270436768746)</f>
        <v>0.003078927044</v>
      </c>
      <c r="Q221" s="5">
        <f>IFERROR(__xludf.DUMMYFUNCTION("""COMPUTED_VALUE"""),0.004366472222222222)</f>
        <v>0.004366472222</v>
      </c>
      <c r="R221" s="4">
        <f>IFERROR(__xludf.DUMMYFUNCTION("""COMPUTED_VALUE"""),45949.0436647232)</f>
        <v>45949.04366</v>
      </c>
      <c r="S221" s="1" t="b">
        <f>IFERROR(__xludf.DUMMYFUNCTION("""COMPUTED_VALUE"""),TRUE)</f>
        <v>1</v>
      </c>
      <c r="T221" s="1" t="b">
        <f>IFERROR(__xludf.DUMMYFUNCTION("""COMPUTED_VALUE"""),FALSE)</f>
        <v>0</v>
      </c>
      <c r="U221" s="1" t="str">
        <f>IFERROR(__xludf.DUMMYFUNCTION("""COMPUTED_VALUE"""),"VALID")</f>
        <v>VALID</v>
      </c>
      <c r="V221" s="1">
        <f>IFERROR(__xludf.DUMMYFUNCTION("""COMPUTED_VALUE"""),178.0)</f>
        <v>178</v>
      </c>
      <c r="W221" s="1">
        <f>IFERROR(__xludf.DUMMYFUNCTION("""COMPUTED_VALUE"""),213.0)</f>
        <v>213</v>
      </c>
      <c r="X221" s="1">
        <f>IFERROR(__xludf.DUMMYFUNCTION("""COMPUTED_VALUE"""),1127.0)</f>
        <v>1127</v>
      </c>
      <c r="Y221" s="2"/>
      <c r="Z221" s="2"/>
    </row>
    <row r="222">
      <c r="A222" s="1">
        <f>IFERROR(__xludf.DUMMYFUNCTION("""COMPUTED_VALUE"""),221.0)</f>
        <v>221</v>
      </c>
      <c r="B222" s="1">
        <f>IFERROR(__xludf.DUMMYFUNCTION("""COMPUTED_VALUE"""),10051.0)</f>
        <v>10051</v>
      </c>
      <c r="C222" s="2" t="str">
        <f>IFERROR(__xludf.DUMMYFUNCTION("""COMPUTED_VALUE"""),"Feri Rahmadani")</f>
        <v>Feri Rahmadani</v>
      </c>
      <c r="D222" s="2" t="str">
        <f>IFERROR(__xludf.DUMMYFUNCTION("""COMPUTED_VALUE"""),"10KM OVERALL M")</f>
        <v>10KM OVERALL M</v>
      </c>
      <c r="E222" s="1">
        <f>IFERROR(__xludf.DUMMYFUNCTION("""COMPUTED_VALUE"""),1.0)</f>
        <v>1</v>
      </c>
      <c r="F222" s="1" t="str">
        <f>IFERROR(__xludf.DUMMYFUNCTION("""COMPUTED_VALUE"""),"Male")</f>
        <v>Male</v>
      </c>
      <c r="G222" s="4" t="str">
        <f>IFERROR(__xludf.DUMMYFUNCTION("""COMPUTED_VALUE"""),"")</f>
        <v/>
      </c>
      <c r="H222" s="4" t="b">
        <f>IFERROR(__xludf.DUMMYFUNCTION("""COMPUTED_VALUE"""),FALSE)</f>
        <v>0</v>
      </c>
      <c r="I222" s="4">
        <f>IFERROR(__xludf.DUMMYFUNCTION("""COMPUTED_VALUE"""),0.24646185185185185)</f>
        <v>0.2464618519</v>
      </c>
      <c r="J222" s="4">
        <f>IFERROR(__xludf.DUMMYFUNCTION("""COMPUTED_VALUE"""),45949.25496425401)</f>
        <v>45949.25496</v>
      </c>
      <c r="K222" s="4">
        <f>IFERROR(__xludf.DUMMYFUNCTION("""COMPUTED_VALUE"""),45949.277417225545)</f>
        <v>45949.27742</v>
      </c>
      <c r="L222" s="4">
        <f>IFERROR(__xludf.DUMMYFUNCTION("""COMPUTED_VALUE"""),45949.28364739225)</f>
        <v>45949.28365</v>
      </c>
      <c r="M222" s="1" t="str">
        <f>IFERROR(__xludf.DUMMYFUNCTION("""COMPUTED_VALUE"""),"RFID")</f>
        <v>RFID</v>
      </c>
      <c r="N222" s="5">
        <f>IFERROR(__xludf.DUMMYFUNCTION("""COMPUTED_VALUE"""),0.0034009629629629624)</f>
        <v>0.003400962963</v>
      </c>
      <c r="O222" s="5">
        <f>IFERROR(__xludf.DUMMYFUNCTION("""COMPUTED_VALUE"""),0.008981189814814815)</f>
        <v>0.008981189815</v>
      </c>
      <c r="P222" s="5">
        <f>IFERROR(__xludf.DUMMYFUNCTION("""COMPUTED_VALUE"""),0.002563854611436587)</f>
        <v>0.002563854611</v>
      </c>
      <c r="Q222" s="5">
        <f>IFERROR(__xludf.DUMMYFUNCTION("""COMPUTED_VALUE"""),0.003718554398148148)</f>
        <v>0.003718554398</v>
      </c>
      <c r="R222" s="4">
        <f>IFERROR(__xludf.DUMMYFUNCTION("""COMPUTED_VALUE"""),45949.0371855404)</f>
        <v>45949.03719</v>
      </c>
      <c r="S222" s="1" t="b">
        <f>IFERROR(__xludf.DUMMYFUNCTION("""COMPUTED_VALUE"""),TRUE)</f>
        <v>1</v>
      </c>
      <c r="T222" s="1" t="b">
        <f>IFERROR(__xludf.DUMMYFUNCTION("""COMPUTED_VALUE"""),FALSE)</f>
        <v>0</v>
      </c>
      <c r="U222" s="1" t="str">
        <f>IFERROR(__xludf.DUMMYFUNCTION("""COMPUTED_VALUE"""),"VALID")</f>
        <v>VALID</v>
      </c>
      <c r="V222" s="1">
        <f>IFERROR(__xludf.DUMMYFUNCTION("""COMPUTED_VALUE"""),56.0)</f>
        <v>56</v>
      </c>
      <c r="W222" s="1">
        <f>IFERROR(__xludf.DUMMYFUNCTION("""COMPUTED_VALUE"""),68.0)</f>
        <v>68</v>
      </c>
      <c r="X222" s="1">
        <f>IFERROR(__xludf.DUMMYFUNCTION("""COMPUTED_VALUE"""),829.0)</f>
        <v>829</v>
      </c>
      <c r="Y222" s="2"/>
      <c r="Z222" s="2"/>
    </row>
    <row r="223">
      <c r="A223" s="1">
        <f>IFERROR(__xludf.DUMMYFUNCTION("""COMPUTED_VALUE"""),222.0)</f>
        <v>222</v>
      </c>
      <c r="B223" s="1">
        <f>IFERROR(__xludf.DUMMYFUNCTION("""COMPUTED_VALUE"""),10053.0)</f>
        <v>10053</v>
      </c>
      <c r="C223" s="2" t="str">
        <f>IFERROR(__xludf.DUMMYFUNCTION("""COMPUTED_VALUE"""),"Seno NB")</f>
        <v>Seno NB</v>
      </c>
      <c r="D223" s="2" t="str">
        <f>IFERROR(__xludf.DUMMYFUNCTION("""COMPUTED_VALUE"""),"10KM OVERALL M")</f>
        <v>10KM OVERALL M</v>
      </c>
      <c r="E223" s="1">
        <f>IFERROR(__xludf.DUMMYFUNCTION("""COMPUTED_VALUE"""),1.0)</f>
        <v>1</v>
      </c>
      <c r="F223" s="1" t="str">
        <f>IFERROR(__xludf.DUMMYFUNCTION("""COMPUTED_VALUE"""),"Male")</f>
        <v>Male</v>
      </c>
      <c r="G223" s="4" t="b">
        <f>IFERROR(__xludf.DUMMYFUNCTION("""COMPUTED_VALUE"""),TRUE)</f>
        <v>1</v>
      </c>
      <c r="H223" s="4" t="b">
        <f>IFERROR(__xludf.DUMMYFUNCTION("""COMPUTED_VALUE"""),TRUE)</f>
        <v>1</v>
      </c>
      <c r="I223" s="4">
        <f>IFERROR(__xludf.DUMMYFUNCTION("""COMPUTED_VALUE"""),0.24646185185185185)</f>
        <v>0.2464618519</v>
      </c>
      <c r="J223" s="4">
        <f>IFERROR(__xludf.DUMMYFUNCTION("""COMPUTED_VALUE"""),45949.259214201775)</f>
        <v>45949.25921</v>
      </c>
      <c r="K223" s="4">
        <f>IFERROR(__xludf.DUMMYFUNCTION("""COMPUTED_VALUE"""),45949.29055826738)</f>
        <v>45949.29056</v>
      </c>
      <c r="L223" s="4">
        <f>IFERROR(__xludf.DUMMYFUNCTION("""COMPUTED_VALUE"""),45949.299196011154)</f>
        <v>45949.2992</v>
      </c>
      <c r="M223" s="1" t="str">
        <f>IFERROR(__xludf.DUMMYFUNCTION("""COMPUTED_VALUE"""),"RFID")</f>
        <v>RFID</v>
      </c>
      <c r="N223" s="5">
        <f>IFERROR(__xludf.DUMMYFUNCTION("""COMPUTED_VALUE"""),0.005100939814814815)</f>
        <v>0.005100939815</v>
      </c>
      <c r="O223" s="5">
        <f>IFERROR(__xludf.DUMMYFUNCTION("""COMPUTED_VALUE"""),0.012537625)</f>
        <v>0.012537625</v>
      </c>
      <c r="P223" s="5">
        <f>IFERROR(__xludf.DUMMYFUNCTION("""COMPUTED_VALUE"""),0.0035546270685142033)</f>
        <v>0.003554627069</v>
      </c>
      <c r="Q223" s="5">
        <f>IFERROR(__xludf.DUMMYFUNCTION("""COMPUTED_VALUE"""),0.005273415509259259)</f>
        <v>0.005273415509</v>
      </c>
      <c r="R223" s="4">
        <f>IFERROR(__xludf.DUMMYFUNCTION("""COMPUTED_VALUE"""),45949.052734159304)</f>
        <v>45949.05273</v>
      </c>
      <c r="S223" s="1" t="b">
        <f>IFERROR(__xludf.DUMMYFUNCTION("""COMPUTED_VALUE"""),TRUE)</f>
        <v>1</v>
      </c>
      <c r="T223" s="1" t="b">
        <f>IFERROR(__xludf.DUMMYFUNCTION("""COMPUTED_VALUE"""),FALSE)</f>
        <v>0</v>
      </c>
      <c r="U223" s="1" t="str">
        <f>IFERROR(__xludf.DUMMYFUNCTION("""COMPUTED_VALUE"""),"VALID")</f>
        <v>VALID</v>
      </c>
      <c r="V223" s="1">
        <f>IFERROR(__xludf.DUMMYFUNCTION("""COMPUTED_VALUE"""),397.0)</f>
        <v>397</v>
      </c>
      <c r="W223" s="1">
        <f>IFERROR(__xludf.DUMMYFUNCTION("""COMPUTED_VALUE"""),473.0)</f>
        <v>473</v>
      </c>
      <c r="X223" s="1">
        <f>IFERROR(__xludf.DUMMYFUNCTION("""COMPUTED_VALUE"""),1451.0)</f>
        <v>1451</v>
      </c>
      <c r="Y223" s="2"/>
      <c r="Z223" s="2"/>
    </row>
    <row r="224">
      <c r="A224" s="1">
        <f>IFERROR(__xludf.DUMMYFUNCTION("""COMPUTED_VALUE"""),223.0)</f>
        <v>223</v>
      </c>
      <c r="B224" s="1">
        <f>IFERROR(__xludf.DUMMYFUNCTION("""COMPUTED_VALUE"""),10054.0)</f>
        <v>10054</v>
      </c>
      <c r="C224" s="2" t="str">
        <f>IFERROR(__xludf.DUMMYFUNCTION("""COMPUTED_VALUE"""),"F.R SIHOMBING")</f>
        <v>F.R SIHOMBING</v>
      </c>
      <c r="D224" s="2" t="str">
        <f>IFERROR(__xludf.DUMMYFUNCTION("""COMPUTED_VALUE"""),"10KM OVERALL M")</f>
        <v>10KM OVERALL M</v>
      </c>
      <c r="E224" s="1">
        <f>IFERROR(__xludf.DUMMYFUNCTION("""COMPUTED_VALUE"""),1.0)</f>
        <v>1</v>
      </c>
      <c r="F224" s="1" t="str">
        <f>IFERROR(__xludf.DUMMYFUNCTION("""COMPUTED_VALUE"""),"Male")</f>
        <v>Male</v>
      </c>
      <c r="G224" s="4" t="str">
        <f>IFERROR(__xludf.DUMMYFUNCTION("""COMPUTED_VALUE"""),"")</f>
        <v/>
      </c>
      <c r="H224" s="4" t="b">
        <f>IFERROR(__xludf.DUMMYFUNCTION("""COMPUTED_VALUE"""),FALSE)</f>
        <v>0</v>
      </c>
      <c r="I224" s="4">
        <f>IFERROR(__xludf.DUMMYFUNCTION("""COMPUTED_VALUE"""),0.24646185185185185)</f>
        <v>0.2464618519</v>
      </c>
      <c r="J224" s="4" t="str">
        <f>IFERROR(__xludf.DUMMYFUNCTION("""COMPUTED_VALUE"""),"")</f>
        <v/>
      </c>
      <c r="K224" s="4" t="str">
        <f>IFERROR(__xludf.DUMMYFUNCTION("""COMPUTED_VALUE"""),"")</f>
        <v/>
      </c>
      <c r="L224" s="4" t="str">
        <f>IFERROR(__xludf.DUMMYFUNCTION("""COMPUTED_VALUE"""),"")</f>
        <v/>
      </c>
      <c r="M224" s="1" t="str">
        <f>IFERROR(__xludf.DUMMYFUNCTION("""COMPUTED_VALUE"""),"RFID")</f>
        <v>RFID</v>
      </c>
      <c r="N224" s="5" t="str">
        <f>IFERROR(__xludf.DUMMYFUNCTION("""COMPUTED_VALUE"""),"")</f>
        <v/>
      </c>
      <c r="O224" s="5" t="str">
        <f>IFERROR(__xludf.DUMMYFUNCTION("""COMPUTED_VALUE"""),"")</f>
        <v/>
      </c>
      <c r="P224" s="5" t="str">
        <f>IFERROR(__xludf.DUMMYFUNCTION("""COMPUTED_VALUE"""),"")</f>
        <v/>
      </c>
      <c r="Q224" s="5" t="str">
        <f>IFERROR(__xludf.DUMMYFUNCTION("""COMPUTED_VALUE"""),"")</f>
        <v/>
      </c>
      <c r="R224" s="4" t="str">
        <f>IFERROR(__xludf.DUMMYFUNCTION("""COMPUTED_VALUE"""),"")</f>
        <v/>
      </c>
      <c r="S224" s="1" t="b">
        <f>IFERROR(__xludf.DUMMYFUNCTION("""COMPUTED_VALUE"""),FALSE)</f>
        <v>0</v>
      </c>
      <c r="T224" s="1" t="b">
        <f>IFERROR(__xludf.DUMMYFUNCTION("""COMPUTED_VALUE"""),FALSE)</f>
        <v>0</v>
      </c>
      <c r="U224" s="1" t="str">
        <f>IFERROR(__xludf.DUMMYFUNCTION("""COMPUTED_VALUE"""),"DSQ")</f>
        <v>DSQ</v>
      </c>
      <c r="V224" s="1" t="str">
        <f>IFERROR(__xludf.DUMMYFUNCTION("""COMPUTED_VALUE"""),"DSQ")</f>
        <v>DSQ</v>
      </c>
      <c r="W224" s="1" t="str">
        <f>IFERROR(__xludf.DUMMYFUNCTION("""COMPUTED_VALUE"""),"DSQ")</f>
        <v>DSQ</v>
      </c>
      <c r="X224" s="1" t="str">
        <f>IFERROR(__xludf.DUMMYFUNCTION("""COMPUTED_VALUE"""),"DSQ")</f>
        <v>DSQ</v>
      </c>
      <c r="Y224" s="2"/>
      <c r="Z224" s="2" t="str">
        <f>IFERROR(__xludf.DUMMYFUNCTION("""COMPUTED_VALUE"""),"")</f>
        <v/>
      </c>
    </row>
    <row r="225">
      <c r="A225" s="1">
        <f>IFERROR(__xludf.DUMMYFUNCTION("""COMPUTED_VALUE"""),224.0)</f>
        <v>224</v>
      </c>
      <c r="B225" s="1">
        <f>IFERROR(__xludf.DUMMYFUNCTION("""COMPUTED_VALUE"""),10055.0)</f>
        <v>10055</v>
      </c>
      <c r="C225" s="2" t="str">
        <f>IFERROR(__xludf.DUMMYFUNCTION("""COMPUTED_VALUE"""),"Muhammad Hasanul Basri")</f>
        <v>Muhammad Hasanul Basri</v>
      </c>
      <c r="D225" s="2" t="str">
        <f>IFERROR(__xludf.DUMMYFUNCTION("""COMPUTED_VALUE"""),"10KM OVERALL M")</f>
        <v>10KM OVERALL M</v>
      </c>
      <c r="E225" s="1">
        <f>IFERROR(__xludf.DUMMYFUNCTION("""COMPUTED_VALUE"""),1.0)</f>
        <v>1</v>
      </c>
      <c r="F225" s="1" t="str">
        <f>IFERROR(__xludf.DUMMYFUNCTION("""COMPUTED_VALUE"""),"Male")</f>
        <v>Male</v>
      </c>
      <c r="G225" s="4" t="b">
        <f>IFERROR(__xludf.DUMMYFUNCTION("""COMPUTED_VALUE"""),TRUE)</f>
        <v>1</v>
      </c>
      <c r="H225" s="4" t="b">
        <f>IFERROR(__xludf.DUMMYFUNCTION("""COMPUTED_VALUE"""),FALSE)</f>
        <v>0</v>
      </c>
      <c r="I225" s="4">
        <f>IFERROR(__xludf.DUMMYFUNCTION("""COMPUTED_VALUE"""),0.24646185185185185)</f>
        <v>0.2464618519</v>
      </c>
      <c r="J225" s="4">
        <f>IFERROR(__xludf.DUMMYFUNCTION("""COMPUTED_VALUE"""),45949.2600371611)</f>
        <v>45949.26004</v>
      </c>
      <c r="K225" s="4">
        <f>IFERROR(__xludf.DUMMYFUNCTION("""COMPUTED_VALUE"""),45949.28816562944)</f>
        <v>45949.28817</v>
      </c>
      <c r="L225" s="4">
        <f>IFERROR(__xludf.DUMMYFUNCTION("""COMPUTED_VALUE"""),45949.29642552027)</f>
        <v>45949.29643</v>
      </c>
      <c r="M225" s="1" t="str">
        <f>IFERROR(__xludf.DUMMYFUNCTION("""COMPUTED_VALUE"""),"RFID")</f>
        <v>RFID</v>
      </c>
      <c r="N225" s="5">
        <f>IFERROR(__xludf.DUMMYFUNCTION("""COMPUTED_VALUE"""),0.005430124999999999)</f>
        <v>0.005430125</v>
      </c>
      <c r="O225" s="5">
        <f>IFERROR(__xludf.DUMMYFUNCTION("""COMPUTED_VALUE"""),0.01125138888888889)</f>
        <v>0.01125138889</v>
      </c>
      <c r="P225" s="5">
        <f>IFERROR(__xludf.DUMMYFUNCTION("""COMPUTED_VALUE"""),0.003399132027404781)</f>
        <v>0.003399132027</v>
      </c>
      <c r="Q225" s="5">
        <f>IFERROR(__xludf.DUMMYFUNCTION("""COMPUTED_VALUE"""),0.004996366898148148)</f>
        <v>0.004996366898</v>
      </c>
      <c r="R225" s="4">
        <f>IFERROR(__xludf.DUMMYFUNCTION("""COMPUTED_VALUE"""),45949.04996366842)</f>
        <v>45949.04996</v>
      </c>
      <c r="S225" s="1" t="b">
        <f>IFERROR(__xludf.DUMMYFUNCTION("""COMPUTED_VALUE"""),TRUE)</f>
        <v>1</v>
      </c>
      <c r="T225" s="1" t="b">
        <f>IFERROR(__xludf.DUMMYFUNCTION("""COMPUTED_VALUE"""),FALSE)</f>
        <v>0</v>
      </c>
      <c r="U225" s="1" t="str">
        <f>IFERROR(__xludf.DUMMYFUNCTION("""COMPUTED_VALUE"""),"VALID")</f>
        <v>VALID</v>
      </c>
      <c r="V225" s="1">
        <f>IFERROR(__xludf.DUMMYFUNCTION("""COMPUTED_VALUE"""),336.0)</f>
        <v>336</v>
      </c>
      <c r="W225" s="1">
        <f>IFERROR(__xludf.DUMMYFUNCTION("""COMPUTED_VALUE"""),397.0)</f>
        <v>397</v>
      </c>
      <c r="X225" s="1">
        <f>IFERROR(__xludf.DUMMYFUNCTION("""COMPUTED_VALUE"""),1375.0)</f>
        <v>1375</v>
      </c>
      <c r="Y225" s="2"/>
      <c r="Z225" s="2"/>
    </row>
    <row r="226">
      <c r="A226" s="1">
        <f>IFERROR(__xludf.DUMMYFUNCTION("""COMPUTED_VALUE"""),225.0)</f>
        <v>225</v>
      </c>
      <c r="B226" s="1">
        <f>IFERROR(__xludf.DUMMYFUNCTION("""COMPUTED_VALUE"""),10056.0)</f>
        <v>10056</v>
      </c>
      <c r="C226" s="2" t="str">
        <f>IFERROR(__xludf.DUMMYFUNCTION("""COMPUTED_VALUE"""),"Toni Rusady")</f>
        <v>Toni Rusady</v>
      </c>
      <c r="D226" s="2" t="str">
        <f>IFERROR(__xludf.DUMMYFUNCTION("""COMPUTED_VALUE"""),"10KM OVERALL M")</f>
        <v>10KM OVERALL M</v>
      </c>
      <c r="E226" s="1">
        <f>IFERROR(__xludf.DUMMYFUNCTION("""COMPUTED_VALUE"""),1.0)</f>
        <v>1</v>
      </c>
      <c r="F226" s="1" t="str">
        <f>IFERROR(__xludf.DUMMYFUNCTION("""COMPUTED_VALUE"""),"Male")</f>
        <v>Male</v>
      </c>
      <c r="G226" s="4" t="b">
        <f>IFERROR(__xludf.DUMMYFUNCTION("""COMPUTED_VALUE"""),TRUE)</f>
        <v>1</v>
      </c>
      <c r="H226" s="4" t="b">
        <f>IFERROR(__xludf.DUMMYFUNCTION("""COMPUTED_VALUE"""),TRUE)</f>
        <v>1</v>
      </c>
      <c r="I226" s="4">
        <f>IFERROR(__xludf.DUMMYFUNCTION("""COMPUTED_VALUE"""),0.24646185185185185)</f>
        <v>0.2464618519</v>
      </c>
      <c r="J226" s="4">
        <f>IFERROR(__xludf.DUMMYFUNCTION("""COMPUTED_VALUE"""),45949.26006838154)</f>
        <v>45949.26007</v>
      </c>
      <c r="K226" s="4">
        <f>IFERROR(__xludf.DUMMYFUNCTION("""COMPUTED_VALUE"""),45949.29167622607)</f>
        <v>45949.29168</v>
      </c>
      <c r="L226" s="4">
        <f>IFERROR(__xludf.DUMMYFUNCTION("""COMPUTED_VALUE"""),45949.30149809239)</f>
        <v>45949.3015</v>
      </c>
      <c r="M226" s="1" t="str">
        <f>IFERROR(__xludf.DUMMYFUNCTION("""COMPUTED_VALUE"""),"RFID")</f>
        <v>RFID</v>
      </c>
      <c r="N226" s="5">
        <f>IFERROR(__xludf.DUMMYFUNCTION("""COMPUTED_VALUE"""),0.005442611111111112)</f>
        <v>0.005442611111</v>
      </c>
      <c r="O226" s="5">
        <f>IFERROR(__xludf.DUMMYFUNCTION("""COMPUTED_VALUE"""),0.012643138888888888)</f>
        <v>0.01264313889</v>
      </c>
      <c r="P226" s="5">
        <f>IFERROR(__xludf.DUMMYFUNCTION("""COMPUTED_VALUE"""),0.0040419202958091845)</f>
        <v>0.004041920296</v>
      </c>
      <c r="Q226" s="5">
        <f>IFERROR(__xludf.DUMMYFUNCTION("""COMPUTED_VALUE"""),0.005503623842592593)</f>
        <v>0.005503623843</v>
      </c>
      <c r="R226" s="4">
        <f>IFERROR(__xludf.DUMMYFUNCTION("""COMPUTED_VALUE"""),45949.05503624054)</f>
        <v>45949.05504</v>
      </c>
      <c r="S226" s="1" t="b">
        <f>IFERROR(__xludf.DUMMYFUNCTION("""COMPUTED_VALUE"""),TRUE)</f>
        <v>1</v>
      </c>
      <c r="T226" s="1" t="b">
        <f>IFERROR(__xludf.DUMMYFUNCTION("""COMPUTED_VALUE"""),FALSE)</f>
        <v>0</v>
      </c>
      <c r="U226" s="1" t="str">
        <f>IFERROR(__xludf.DUMMYFUNCTION("""COMPUTED_VALUE"""),"VALID")</f>
        <v>VALID</v>
      </c>
      <c r="V226" s="1">
        <f>IFERROR(__xludf.DUMMYFUNCTION("""COMPUTED_VALUE"""),459.0)</f>
        <v>459</v>
      </c>
      <c r="W226" s="1">
        <f>IFERROR(__xludf.DUMMYFUNCTION("""COMPUTED_VALUE"""),550.0)</f>
        <v>550</v>
      </c>
      <c r="X226" s="1">
        <f>IFERROR(__xludf.DUMMYFUNCTION("""COMPUTED_VALUE"""),1523.0)</f>
        <v>1523</v>
      </c>
      <c r="Y226" s="2"/>
      <c r="Z226" s="2"/>
    </row>
    <row r="227">
      <c r="A227" s="1">
        <f>IFERROR(__xludf.DUMMYFUNCTION("""COMPUTED_VALUE"""),226.0)</f>
        <v>226</v>
      </c>
      <c r="B227" s="1">
        <f>IFERROR(__xludf.DUMMYFUNCTION("""COMPUTED_VALUE"""),10057.0)</f>
        <v>10057</v>
      </c>
      <c r="C227" s="2" t="str">
        <f>IFERROR(__xludf.DUMMYFUNCTION("""COMPUTED_VALUE"""),"RIANGG")</f>
        <v>RIANGG</v>
      </c>
      <c r="D227" s="2" t="str">
        <f>IFERROR(__xludf.DUMMYFUNCTION("""COMPUTED_VALUE"""),"10KM OVERALL M")</f>
        <v>10KM OVERALL M</v>
      </c>
      <c r="E227" s="1">
        <f>IFERROR(__xludf.DUMMYFUNCTION("""COMPUTED_VALUE"""),1.0)</f>
        <v>1</v>
      </c>
      <c r="F227" s="1" t="str">
        <f>IFERROR(__xludf.DUMMYFUNCTION("""COMPUTED_VALUE"""),"Male")</f>
        <v>Male</v>
      </c>
      <c r="G227" s="4" t="b">
        <f>IFERROR(__xludf.DUMMYFUNCTION("""COMPUTED_VALUE"""),TRUE)</f>
        <v>1</v>
      </c>
      <c r="H227" s="4" t="b">
        <f>IFERROR(__xludf.DUMMYFUNCTION("""COMPUTED_VALUE"""),FALSE)</f>
        <v>0</v>
      </c>
      <c r="I227" s="4">
        <f>IFERROR(__xludf.DUMMYFUNCTION("""COMPUTED_VALUE"""),0.24646185185185185)</f>
        <v>0.2464618519</v>
      </c>
      <c r="J227" s="4">
        <f>IFERROR(__xludf.DUMMYFUNCTION("""COMPUTED_VALUE"""),45949.25659271106)</f>
        <v>45949.25659</v>
      </c>
      <c r="K227" s="4">
        <f>IFERROR(__xludf.DUMMYFUNCTION("""COMPUTED_VALUE"""),45949.2829503291)</f>
        <v>45949.28295</v>
      </c>
      <c r="L227" s="4">
        <f>IFERROR(__xludf.DUMMYFUNCTION("""COMPUTED_VALUE"""),45949.29084531404)</f>
        <v>45949.29085</v>
      </c>
      <c r="M227" s="1" t="str">
        <f>IFERROR(__xludf.DUMMYFUNCTION("""COMPUTED_VALUE"""),"RFID")</f>
        <v>RFID</v>
      </c>
      <c r="N227" s="5">
        <f>IFERROR(__xludf.DUMMYFUNCTION("""COMPUTED_VALUE"""),0.004052342592592593)</f>
        <v>0.004052342593</v>
      </c>
      <c r="O227" s="5">
        <f>IFERROR(__xludf.DUMMYFUNCTION("""COMPUTED_VALUE"""),0.010543046296296295)</f>
        <v>0.0105430463</v>
      </c>
      <c r="P227" s="5">
        <f>IFERROR(__xludf.DUMMYFUNCTION("""COMPUTED_VALUE"""),0.0032489649963913935)</f>
        <v>0.003248964996</v>
      </c>
      <c r="Q227" s="5">
        <f>IFERROR(__xludf.DUMMYFUNCTION("""COMPUTED_VALUE"""),0.004438346064814815)</f>
        <v>0.004438346065</v>
      </c>
      <c r="R227" s="4">
        <f>IFERROR(__xludf.DUMMYFUNCTION("""COMPUTED_VALUE"""),45949.04438346219)</f>
        <v>45949.04438</v>
      </c>
      <c r="S227" s="1" t="b">
        <f>IFERROR(__xludf.DUMMYFUNCTION("""COMPUTED_VALUE"""),TRUE)</f>
        <v>1</v>
      </c>
      <c r="T227" s="1" t="b">
        <f>IFERROR(__xludf.DUMMYFUNCTION("""COMPUTED_VALUE"""),FALSE)</f>
        <v>0</v>
      </c>
      <c r="U227" s="1" t="str">
        <f>IFERROR(__xludf.DUMMYFUNCTION("""COMPUTED_VALUE"""),"VALID")</f>
        <v>VALID</v>
      </c>
      <c r="V227" s="1">
        <f>IFERROR(__xludf.DUMMYFUNCTION("""COMPUTED_VALUE"""),198.0)</f>
        <v>198</v>
      </c>
      <c r="W227" s="1">
        <f>IFERROR(__xludf.DUMMYFUNCTION("""COMPUTED_VALUE"""),238.0)</f>
        <v>238</v>
      </c>
      <c r="X227" s="1">
        <f>IFERROR(__xludf.DUMMYFUNCTION("""COMPUTED_VALUE"""),1165.0)</f>
        <v>1165</v>
      </c>
      <c r="Y227" s="2"/>
      <c r="Z227" s="2"/>
    </row>
    <row r="228">
      <c r="A228" s="1">
        <f>IFERROR(__xludf.DUMMYFUNCTION("""COMPUTED_VALUE"""),227.0)</f>
        <v>227</v>
      </c>
      <c r="B228" s="1">
        <f>IFERROR(__xludf.DUMMYFUNCTION("""COMPUTED_VALUE"""),10058.0)</f>
        <v>10058</v>
      </c>
      <c r="C228" s="2" t="str">
        <f>IFERROR(__xludf.DUMMYFUNCTION("""COMPUTED_VALUE"""),"Fazrin Rizaldy")</f>
        <v>Fazrin Rizaldy</v>
      </c>
      <c r="D228" s="2" t="str">
        <f>IFERROR(__xludf.DUMMYFUNCTION("""COMPUTED_VALUE"""),"10KM OVERALL M")</f>
        <v>10KM OVERALL M</v>
      </c>
      <c r="E228" s="1">
        <f>IFERROR(__xludf.DUMMYFUNCTION("""COMPUTED_VALUE"""),1.0)</f>
        <v>1</v>
      </c>
      <c r="F228" s="1" t="str">
        <f>IFERROR(__xludf.DUMMYFUNCTION("""COMPUTED_VALUE"""),"Male")</f>
        <v>Male</v>
      </c>
      <c r="G228" s="4" t="b">
        <f>IFERROR(__xludf.DUMMYFUNCTION("""COMPUTED_VALUE"""),TRUE)</f>
        <v>1</v>
      </c>
      <c r="H228" s="4" t="b">
        <f>IFERROR(__xludf.DUMMYFUNCTION("""COMPUTED_VALUE"""),TRUE)</f>
        <v>1</v>
      </c>
      <c r="I228" s="4">
        <f>IFERROR(__xludf.DUMMYFUNCTION("""COMPUTED_VALUE"""),0.24646185185185185)</f>
        <v>0.2464618519</v>
      </c>
      <c r="J228" s="4">
        <f>IFERROR(__xludf.DUMMYFUNCTION("""COMPUTED_VALUE"""),45949.256353155724)</f>
        <v>45949.25635</v>
      </c>
      <c r="K228" s="4">
        <f>IFERROR(__xludf.DUMMYFUNCTION("""COMPUTED_VALUE"""),45949.286235045096)</f>
        <v>45949.28624</v>
      </c>
      <c r="L228" s="4">
        <f>IFERROR(__xludf.DUMMYFUNCTION("""COMPUTED_VALUE"""),45949.29477586494)</f>
        <v>45949.29478</v>
      </c>
      <c r="M228" s="1" t="str">
        <f>IFERROR(__xludf.DUMMYFUNCTION("""COMPUTED_VALUE"""),"RFID")</f>
        <v>RFID</v>
      </c>
      <c r="N228" s="5">
        <f>IFERROR(__xludf.DUMMYFUNCTION("""COMPUTED_VALUE"""),0.003956523148148148)</f>
        <v>0.003956523148</v>
      </c>
      <c r="O228" s="5">
        <f>IFERROR(__xludf.DUMMYFUNCTION("""COMPUTED_VALUE"""),0.011952754629629631)</f>
        <v>0.01195275463</v>
      </c>
      <c r="P228" s="5">
        <f>IFERROR(__xludf.DUMMYFUNCTION("""COMPUTED_VALUE"""),0.0035147406760873386)</f>
        <v>0.003514740676</v>
      </c>
      <c r="Q228" s="5">
        <f>IFERROR(__xludf.DUMMYFUNCTION("""COMPUTED_VALUE"""),0.0048314016203703705)</f>
        <v>0.00483140162</v>
      </c>
      <c r="R228" s="4">
        <f>IFERROR(__xludf.DUMMYFUNCTION("""COMPUTED_VALUE"""),45949.04831401309)</f>
        <v>45949.04831</v>
      </c>
      <c r="S228" s="1" t="b">
        <f>IFERROR(__xludf.DUMMYFUNCTION("""COMPUTED_VALUE"""),TRUE)</f>
        <v>1</v>
      </c>
      <c r="T228" s="1" t="b">
        <f>IFERROR(__xludf.DUMMYFUNCTION("""COMPUTED_VALUE"""),FALSE)</f>
        <v>0</v>
      </c>
      <c r="U228" s="1" t="str">
        <f>IFERROR(__xludf.DUMMYFUNCTION("""COMPUTED_VALUE"""),"VALID")</f>
        <v>VALID</v>
      </c>
      <c r="V228" s="1">
        <f>IFERROR(__xludf.DUMMYFUNCTION("""COMPUTED_VALUE"""),294.0)</f>
        <v>294</v>
      </c>
      <c r="W228" s="1">
        <f>IFERROR(__xludf.DUMMYFUNCTION("""COMPUTED_VALUE"""),347.0)</f>
        <v>347</v>
      </c>
      <c r="X228" s="1">
        <f>IFERROR(__xludf.DUMMYFUNCTION("""COMPUTED_VALUE"""),1321.0)</f>
        <v>1321</v>
      </c>
      <c r="Y228" s="2"/>
      <c r="Z228" s="2"/>
    </row>
    <row r="229">
      <c r="A229" s="1">
        <f>IFERROR(__xludf.DUMMYFUNCTION("""COMPUTED_VALUE"""),228.0)</f>
        <v>228</v>
      </c>
      <c r="B229" s="1">
        <f>IFERROR(__xludf.DUMMYFUNCTION("""COMPUTED_VALUE"""),10059.0)</f>
        <v>10059</v>
      </c>
      <c r="C229" s="2" t="str">
        <f>IFERROR(__xludf.DUMMYFUNCTION("""COMPUTED_VALUE"""),"Jo")</f>
        <v>Jo</v>
      </c>
      <c r="D229" s="2" t="str">
        <f>IFERROR(__xludf.DUMMYFUNCTION("""COMPUTED_VALUE"""),"10KM OVERALL M")</f>
        <v>10KM OVERALL M</v>
      </c>
      <c r="E229" s="1">
        <f>IFERROR(__xludf.DUMMYFUNCTION("""COMPUTED_VALUE"""),1.0)</f>
        <v>1</v>
      </c>
      <c r="F229" s="1" t="str">
        <f>IFERROR(__xludf.DUMMYFUNCTION("""COMPUTED_VALUE"""),"Male")</f>
        <v>Male</v>
      </c>
      <c r="G229" s="4" t="b">
        <f>IFERROR(__xludf.DUMMYFUNCTION("""COMPUTED_VALUE"""),TRUE)</f>
        <v>1</v>
      </c>
      <c r="H229" s="4" t="b">
        <f>IFERROR(__xludf.DUMMYFUNCTION("""COMPUTED_VALUE"""),TRUE)</f>
        <v>1</v>
      </c>
      <c r="I229" s="4">
        <f>IFERROR(__xludf.DUMMYFUNCTION("""COMPUTED_VALUE"""),0.24646185185185185)</f>
        <v>0.2464618519</v>
      </c>
      <c r="J229" s="4">
        <f>IFERROR(__xludf.DUMMYFUNCTION("""COMPUTED_VALUE"""),45949.25654752717)</f>
        <v>45949.25655</v>
      </c>
      <c r="K229" s="4">
        <f>IFERROR(__xludf.DUMMYFUNCTION("""COMPUTED_VALUE"""),45949.28332885945)</f>
        <v>45949.28333</v>
      </c>
      <c r="L229" s="4">
        <f>IFERROR(__xludf.DUMMYFUNCTION("""COMPUTED_VALUE"""),45949.291067530634)</f>
        <v>45949.29107</v>
      </c>
      <c r="M229" s="1" t="str">
        <f>IFERROR(__xludf.DUMMYFUNCTION("""COMPUTED_VALUE"""),"RFID")</f>
        <v>RFID</v>
      </c>
      <c r="N229" s="5">
        <f>IFERROR(__xludf.DUMMYFUNCTION("""COMPUTED_VALUE"""),0.004034268518518519)</f>
        <v>0.004034268519</v>
      </c>
      <c r="O229" s="5">
        <f>IFERROR(__xludf.DUMMYFUNCTION("""COMPUTED_VALUE"""),0.010712532407407408)</f>
        <v>0.01071253241</v>
      </c>
      <c r="P229" s="5">
        <f>IFERROR(__xludf.DUMMYFUNCTION("""COMPUTED_VALUE"""),0.0031846383479452564)</f>
        <v>0.003184638348</v>
      </c>
      <c r="Q229" s="5">
        <f>IFERROR(__xludf.DUMMYFUNCTION("""COMPUTED_VALUE"""),0.004460568287037037)</f>
        <v>0.004460568287</v>
      </c>
      <c r="R229" s="4">
        <f>IFERROR(__xludf.DUMMYFUNCTION("""COMPUTED_VALUE"""),45949.044605678784)</f>
        <v>45949.04461</v>
      </c>
      <c r="S229" s="1" t="b">
        <f>IFERROR(__xludf.DUMMYFUNCTION("""COMPUTED_VALUE"""),TRUE)</f>
        <v>1</v>
      </c>
      <c r="T229" s="1" t="b">
        <f>IFERROR(__xludf.DUMMYFUNCTION("""COMPUTED_VALUE"""),FALSE)</f>
        <v>0</v>
      </c>
      <c r="U229" s="1" t="str">
        <f>IFERROR(__xludf.DUMMYFUNCTION("""COMPUTED_VALUE"""),"VALID")</f>
        <v>VALID</v>
      </c>
      <c r="V229" s="1">
        <f>IFERROR(__xludf.DUMMYFUNCTION("""COMPUTED_VALUE"""),207.0)</f>
        <v>207</v>
      </c>
      <c r="W229" s="1">
        <f>IFERROR(__xludf.DUMMYFUNCTION("""COMPUTED_VALUE"""),250.0)</f>
        <v>250</v>
      </c>
      <c r="X229" s="1">
        <f>IFERROR(__xludf.DUMMYFUNCTION("""COMPUTED_VALUE"""),1184.0)</f>
        <v>1184</v>
      </c>
      <c r="Y229" s="2"/>
      <c r="Z229" s="2"/>
    </row>
    <row r="230">
      <c r="A230" s="1">
        <f>IFERROR(__xludf.DUMMYFUNCTION("""COMPUTED_VALUE"""),229.0)</f>
        <v>229</v>
      </c>
      <c r="B230" s="1">
        <f>IFERROR(__xludf.DUMMYFUNCTION("""COMPUTED_VALUE"""),10060.0)</f>
        <v>10060</v>
      </c>
      <c r="C230" s="2" t="str">
        <f>IFERROR(__xludf.DUMMYFUNCTION("""COMPUTED_VALUE"""),"@ahmadrzal_")</f>
        <v>@ahmadrzal_</v>
      </c>
      <c r="D230" s="2" t="str">
        <f>IFERROR(__xludf.DUMMYFUNCTION("""COMPUTED_VALUE"""),"10KM OVERALL M")</f>
        <v>10KM OVERALL M</v>
      </c>
      <c r="E230" s="1">
        <f>IFERROR(__xludf.DUMMYFUNCTION("""COMPUTED_VALUE"""),1.0)</f>
        <v>1</v>
      </c>
      <c r="F230" s="1" t="str">
        <f>IFERROR(__xludf.DUMMYFUNCTION("""COMPUTED_VALUE"""),"Male")</f>
        <v>Male</v>
      </c>
      <c r="G230" s="4" t="b">
        <f>IFERROR(__xludf.DUMMYFUNCTION("""COMPUTED_VALUE"""),TRUE)</f>
        <v>1</v>
      </c>
      <c r="H230" s="4" t="b">
        <f>IFERROR(__xludf.DUMMYFUNCTION("""COMPUTED_VALUE"""),TRUE)</f>
        <v>1</v>
      </c>
      <c r="I230" s="4">
        <f>IFERROR(__xludf.DUMMYFUNCTION("""COMPUTED_VALUE"""),0.24646185185185185)</f>
        <v>0.2464618519</v>
      </c>
      <c r="J230" s="4">
        <f>IFERROR(__xludf.DUMMYFUNCTION("""COMPUTED_VALUE"""),45949.25572575436)</f>
        <v>45949.25573</v>
      </c>
      <c r="K230" s="4">
        <f>IFERROR(__xludf.DUMMYFUNCTION("""COMPUTED_VALUE"""),45949.279978104925)</f>
        <v>45949.27998</v>
      </c>
      <c r="L230" s="4">
        <f>IFERROR(__xludf.DUMMYFUNCTION("""COMPUTED_VALUE"""),45949.2877480868)</f>
        <v>45949.28775</v>
      </c>
      <c r="M230" s="1" t="str">
        <f>IFERROR(__xludf.DUMMYFUNCTION("""COMPUTED_VALUE"""),"RFID")</f>
        <v>RFID</v>
      </c>
      <c r="N230" s="5">
        <f>IFERROR(__xludf.DUMMYFUNCTION("""COMPUTED_VALUE"""),0.0037055601851851846)</f>
        <v>0.003705560185</v>
      </c>
      <c r="O230" s="5">
        <f>IFERROR(__xludf.DUMMYFUNCTION("""COMPUTED_VALUE"""),0.009700939814814815)</f>
        <v>0.009700939815</v>
      </c>
      <c r="P230" s="5">
        <f>IFERROR(__xludf.DUMMYFUNCTION("""COMPUTED_VALUE"""),0.0031975234041628597)</f>
        <v>0.003197523404</v>
      </c>
      <c r="Q230" s="5">
        <f>IFERROR(__xludf.DUMMYFUNCTION("""COMPUTED_VALUE"""),0.004128623842592593)</f>
        <v>0.004128623843</v>
      </c>
      <c r="R230" s="4">
        <f>IFERROR(__xludf.DUMMYFUNCTION("""COMPUTED_VALUE"""),45949.04128623495)</f>
        <v>45949.04129</v>
      </c>
      <c r="S230" s="1" t="b">
        <f>IFERROR(__xludf.DUMMYFUNCTION("""COMPUTED_VALUE"""),TRUE)</f>
        <v>1</v>
      </c>
      <c r="T230" s="1" t="b">
        <f>IFERROR(__xludf.DUMMYFUNCTION("""COMPUTED_VALUE"""),FALSE)</f>
        <v>0</v>
      </c>
      <c r="U230" s="1" t="str">
        <f>IFERROR(__xludf.DUMMYFUNCTION("""COMPUTED_VALUE"""),"VALID")</f>
        <v>VALID</v>
      </c>
      <c r="V230" s="1">
        <f>IFERROR(__xludf.DUMMYFUNCTION("""COMPUTED_VALUE"""),126.0)</f>
        <v>126</v>
      </c>
      <c r="W230" s="1">
        <f>IFERROR(__xludf.DUMMYFUNCTION("""COMPUTED_VALUE"""),149.0)</f>
        <v>149</v>
      </c>
      <c r="X230" s="1">
        <f>IFERROR(__xludf.DUMMYFUNCTION("""COMPUTED_VALUE"""),1031.0)</f>
        <v>1031</v>
      </c>
      <c r="Y230" s="2"/>
      <c r="Z230" s="2"/>
    </row>
    <row r="231">
      <c r="A231" s="1">
        <f>IFERROR(__xludf.DUMMYFUNCTION("""COMPUTED_VALUE"""),230.0)</f>
        <v>230</v>
      </c>
      <c r="B231" s="1">
        <f>IFERROR(__xludf.DUMMYFUNCTION("""COMPUTED_VALUE"""),10061.0)</f>
        <v>10061</v>
      </c>
      <c r="C231" s="2" t="str">
        <f>IFERROR(__xludf.DUMMYFUNCTION("""COMPUTED_VALUE"""),"Adi Putra")</f>
        <v>Adi Putra</v>
      </c>
      <c r="D231" s="2" t="str">
        <f>IFERROR(__xludf.DUMMYFUNCTION("""COMPUTED_VALUE"""),"10KM OVERALL M")</f>
        <v>10KM OVERALL M</v>
      </c>
      <c r="E231" s="1">
        <f>IFERROR(__xludf.DUMMYFUNCTION("""COMPUTED_VALUE"""),1.0)</f>
        <v>1</v>
      </c>
      <c r="F231" s="1" t="str">
        <f>IFERROR(__xludf.DUMMYFUNCTION("""COMPUTED_VALUE"""),"Male")</f>
        <v>Male</v>
      </c>
      <c r="G231" s="4" t="str">
        <f>IFERROR(__xludf.DUMMYFUNCTION("""COMPUTED_VALUE"""),"")</f>
        <v/>
      </c>
      <c r="H231" s="4" t="b">
        <f>IFERROR(__xludf.DUMMYFUNCTION("""COMPUTED_VALUE"""),FALSE)</f>
        <v>0</v>
      </c>
      <c r="I231" s="4">
        <f>IFERROR(__xludf.DUMMYFUNCTION("""COMPUTED_VALUE"""),0.24646185185185185)</f>
        <v>0.2464618519</v>
      </c>
      <c r="J231" s="4">
        <f>IFERROR(__xludf.DUMMYFUNCTION("""COMPUTED_VALUE"""),45949.26139826755)</f>
        <v>45949.2614</v>
      </c>
      <c r="K231" s="4">
        <f>IFERROR(__xludf.DUMMYFUNCTION("""COMPUTED_VALUE"""),45949.30056510283)</f>
        <v>45949.30057</v>
      </c>
      <c r="L231" s="4">
        <f>IFERROR(__xludf.DUMMYFUNCTION("""COMPUTED_VALUE"""),45949.31162656407)</f>
        <v>45949.31163</v>
      </c>
      <c r="M231" s="1" t="str">
        <f>IFERROR(__xludf.DUMMYFUNCTION("""COMPUTED_VALUE"""),"RFID")</f>
        <v>RFID</v>
      </c>
      <c r="N231" s="5">
        <f>IFERROR(__xludf.DUMMYFUNCTION("""COMPUTED_VALUE"""),0.005974564814814815)</f>
        <v>0.005974564815</v>
      </c>
      <c r="O231" s="5">
        <f>IFERROR(__xludf.DUMMYFUNCTION("""COMPUTED_VALUE"""),0.01566673611111111)</f>
        <v>0.01566673611</v>
      </c>
      <c r="P231" s="5">
        <f>IFERROR(__xludf.DUMMYFUNCTION("""COMPUTED_VALUE"""),0.004552041663459613)</f>
        <v>0.004552041663</v>
      </c>
      <c r="Q231" s="5">
        <f>IFERROR(__xludf.DUMMYFUNCTION("""COMPUTED_VALUE"""),0.006516471064814814)</f>
        <v>0.006516471065</v>
      </c>
      <c r="R231" s="4">
        <f>IFERROR(__xludf.DUMMYFUNCTION("""COMPUTED_VALUE"""),45949.06516471222)</f>
        <v>45949.06516</v>
      </c>
      <c r="S231" s="1" t="b">
        <f>IFERROR(__xludf.DUMMYFUNCTION("""COMPUTED_VALUE"""),TRUE)</f>
        <v>1</v>
      </c>
      <c r="T231" s="1" t="b">
        <f>IFERROR(__xludf.DUMMYFUNCTION("""COMPUTED_VALUE"""),FALSE)</f>
        <v>0</v>
      </c>
      <c r="U231" s="1" t="str">
        <f>IFERROR(__xludf.DUMMYFUNCTION("""COMPUTED_VALUE"""),"VALID")</f>
        <v>VALID</v>
      </c>
      <c r="V231" s="1">
        <f>IFERROR(__xludf.DUMMYFUNCTION("""COMPUTED_VALUE"""),568.0)</f>
        <v>568</v>
      </c>
      <c r="W231" s="1">
        <f>IFERROR(__xludf.DUMMYFUNCTION("""COMPUTED_VALUE"""),700.0)</f>
        <v>700</v>
      </c>
      <c r="X231" s="1">
        <f>IFERROR(__xludf.DUMMYFUNCTION("""COMPUTED_VALUE"""),1645.0)</f>
        <v>1645</v>
      </c>
      <c r="Y231" s="2"/>
      <c r="Z231" s="2"/>
    </row>
    <row r="232">
      <c r="A232" s="1">
        <f>IFERROR(__xludf.DUMMYFUNCTION("""COMPUTED_VALUE"""),231.0)</f>
        <v>231</v>
      </c>
      <c r="B232" s="1">
        <f>IFERROR(__xludf.DUMMYFUNCTION("""COMPUTED_VALUE"""),10062.0)</f>
        <v>10062</v>
      </c>
      <c r="C232" s="2" t="str">
        <f>IFERROR(__xludf.DUMMYFUNCTION("""COMPUTED_VALUE"""),"Indra Aditya")</f>
        <v>Indra Aditya</v>
      </c>
      <c r="D232" s="2" t="str">
        <f>IFERROR(__xludf.DUMMYFUNCTION("""COMPUTED_VALUE"""),"10KM OVERALL M")</f>
        <v>10KM OVERALL M</v>
      </c>
      <c r="E232" s="1">
        <f>IFERROR(__xludf.DUMMYFUNCTION("""COMPUTED_VALUE"""),1.0)</f>
        <v>1</v>
      </c>
      <c r="F232" s="1" t="str">
        <f>IFERROR(__xludf.DUMMYFUNCTION("""COMPUTED_VALUE"""),"Male")</f>
        <v>Male</v>
      </c>
      <c r="G232" s="4" t="str">
        <f>IFERROR(__xludf.DUMMYFUNCTION("""COMPUTED_VALUE"""),"")</f>
        <v/>
      </c>
      <c r="H232" s="4" t="b">
        <f>IFERROR(__xludf.DUMMYFUNCTION("""COMPUTED_VALUE"""),TRUE)</f>
        <v>1</v>
      </c>
      <c r="I232" s="4">
        <f>IFERROR(__xludf.DUMMYFUNCTION("""COMPUTED_VALUE"""),0.24646185185185185)</f>
        <v>0.2464618519</v>
      </c>
      <c r="J232" s="4">
        <f>IFERROR(__xludf.DUMMYFUNCTION("""COMPUTED_VALUE"""),45949.256589238576)</f>
        <v>45949.25659</v>
      </c>
      <c r="K232" s="4">
        <f>IFERROR(__xludf.DUMMYFUNCTION("""COMPUTED_VALUE"""),45949.28562395202)</f>
        <v>45949.28562</v>
      </c>
      <c r="L232" s="4">
        <f>IFERROR(__xludf.DUMMYFUNCTION("""COMPUTED_VALUE"""),45949.2937585236)</f>
        <v>45949.29376</v>
      </c>
      <c r="M232" s="1" t="str">
        <f>IFERROR(__xludf.DUMMYFUNCTION("""COMPUTED_VALUE"""),"RFID")</f>
        <v>RFID</v>
      </c>
      <c r="N232" s="5">
        <f>IFERROR(__xludf.DUMMYFUNCTION("""COMPUTED_VALUE"""),0.004050953703703704)</f>
        <v>0.004050953704</v>
      </c>
      <c r="O232" s="5">
        <f>IFERROR(__xludf.DUMMYFUNCTION("""COMPUTED_VALUE"""),0.011613884259259261)</f>
        <v>0.01161388426</v>
      </c>
      <c r="P232" s="5">
        <f>IFERROR(__xludf.DUMMYFUNCTION("""COMPUTED_VALUE"""),0.0033475603212922457)</f>
        <v>0.003347560321</v>
      </c>
      <c r="Q232" s="5">
        <f>IFERROR(__xludf.DUMMYFUNCTION("""COMPUTED_VALUE"""),0.004729666666666667)</f>
        <v>0.004729666667</v>
      </c>
      <c r="R232" s="4">
        <f>IFERROR(__xludf.DUMMYFUNCTION("""COMPUTED_VALUE"""),45949.04729667175)</f>
        <v>45949.0473</v>
      </c>
      <c r="S232" s="1" t="b">
        <f>IFERROR(__xludf.DUMMYFUNCTION("""COMPUTED_VALUE"""),TRUE)</f>
        <v>1</v>
      </c>
      <c r="T232" s="1" t="b">
        <f>IFERROR(__xludf.DUMMYFUNCTION("""COMPUTED_VALUE"""),FALSE)</f>
        <v>0</v>
      </c>
      <c r="U232" s="1" t="str">
        <f>IFERROR(__xludf.DUMMYFUNCTION("""COMPUTED_VALUE"""),"VALID")</f>
        <v>VALID</v>
      </c>
      <c r="V232" s="1">
        <f>IFERROR(__xludf.DUMMYFUNCTION("""COMPUTED_VALUE"""),267.0)</f>
        <v>267</v>
      </c>
      <c r="W232" s="1">
        <f>IFERROR(__xludf.DUMMYFUNCTION("""COMPUTED_VALUE"""),318.0)</f>
        <v>318</v>
      </c>
      <c r="X232" s="1">
        <f>IFERROR(__xludf.DUMMYFUNCTION("""COMPUTED_VALUE"""),1276.0)</f>
        <v>1276</v>
      </c>
      <c r="Y232" s="2"/>
      <c r="Z232" s="2"/>
    </row>
    <row r="233">
      <c r="A233" s="1">
        <f>IFERROR(__xludf.DUMMYFUNCTION("""COMPUTED_VALUE"""),232.0)</f>
        <v>232</v>
      </c>
      <c r="B233" s="1">
        <f>IFERROR(__xludf.DUMMYFUNCTION("""COMPUTED_VALUE"""),10063.0)</f>
        <v>10063</v>
      </c>
      <c r="C233" s="2" t="str">
        <f>IFERROR(__xludf.DUMMYFUNCTION("""COMPUTED_VALUE"""),"Fahmi")</f>
        <v>Fahmi</v>
      </c>
      <c r="D233" s="2" t="str">
        <f>IFERROR(__xludf.DUMMYFUNCTION("""COMPUTED_VALUE"""),"10KM OVERALL M")</f>
        <v>10KM OVERALL M</v>
      </c>
      <c r="E233" s="1">
        <f>IFERROR(__xludf.DUMMYFUNCTION("""COMPUTED_VALUE"""),1.0)</f>
        <v>1</v>
      </c>
      <c r="F233" s="1" t="str">
        <f>IFERROR(__xludf.DUMMYFUNCTION("""COMPUTED_VALUE"""),"Male")</f>
        <v>Male</v>
      </c>
      <c r="G233" s="4" t="b">
        <f>IFERROR(__xludf.DUMMYFUNCTION("""COMPUTED_VALUE"""),TRUE)</f>
        <v>1</v>
      </c>
      <c r="H233" s="4" t="b">
        <f>IFERROR(__xludf.DUMMYFUNCTION("""COMPUTED_VALUE"""),FALSE)</f>
        <v>0</v>
      </c>
      <c r="I233" s="4">
        <f>IFERROR(__xludf.DUMMYFUNCTION("""COMPUTED_VALUE"""),0.24646185185185185)</f>
        <v>0.2464618519</v>
      </c>
      <c r="J233" s="4">
        <f>IFERROR(__xludf.DUMMYFUNCTION("""COMPUTED_VALUE"""),45949.259349618915)</f>
        <v>45949.25935</v>
      </c>
      <c r="K233" s="4">
        <f>IFERROR(__xludf.DUMMYFUNCTION("""COMPUTED_VALUE"""),45949.293026946965)</f>
        <v>45949.29303</v>
      </c>
      <c r="L233" s="4">
        <f>IFERROR(__xludf.DUMMYFUNCTION("""COMPUTED_VALUE"""),45949.303209900514)</f>
        <v>45949.30321</v>
      </c>
      <c r="M233" s="1" t="str">
        <f>IFERROR(__xludf.DUMMYFUNCTION("""COMPUTED_VALUE"""),"RFID")</f>
        <v>RFID</v>
      </c>
      <c r="N233" s="5">
        <f>IFERROR(__xludf.DUMMYFUNCTION("""COMPUTED_VALUE"""),0.005155106481481481)</f>
        <v>0.005155106481</v>
      </c>
      <c r="O233" s="5">
        <f>IFERROR(__xludf.DUMMYFUNCTION("""COMPUTED_VALUE"""),0.013470930555555555)</f>
        <v>0.01347093056</v>
      </c>
      <c r="P233" s="5">
        <f>IFERROR(__xludf.DUMMYFUNCTION("""COMPUTED_VALUE"""),0.004190515863700528)</f>
        <v>0.004190515864</v>
      </c>
      <c r="Q233" s="5">
        <f>IFERROR(__xludf.DUMMYFUNCTION("""COMPUTED_VALUE"""),0.005674804398148148)</f>
        <v>0.005674804398</v>
      </c>
      <c r="R233" s="4">
        <f>IFERROR(__xludf.DUMMYFUNCTION("""COMPUTED_VALUE"""),45949.056748048664)</f>
        <v>45949.05675</v>
      </c>
      <c r="S233" s="1" t="b">
        <f>IFERROR(__xludf.DUMMYFUNCTION("""COMPUTED_VALUE"""),TRUE)</f>
        <v>1</v>
      </c>
      <c r="T233" s="1" t="b">
        <f>IFERROR(__xludf.DUMMYFUNCTION("""COMPUTED_VALUE"""),FALSE)</f>
        <v>0</v>
      </c>
      <c r="U233" s="1" t="str">
        <f>IFERROR(__xludf.DUMMYFUNCTION("""COMPUTED_VALUE"""),"VALID")</f>
        <v>VALID</v>
      </c>
      <c r="V233" s="1">
        <f>IFERROR(__xludf.DUMMYFUNCTION("""COMPUTED_VALUE"""),494.0)</f>
        <v>494</v>
      </c>
      <c r="W233" s="1">
        <f>IFERROR(__xludf.DUMMYFUNCTION("""COMPUTED_VALUE"""),594.0)</f>
        <v>594</v>
      </c>
      <c r="X233" s="1">
        <f>IFERROR(__xludf.DUMMYFUNCTION("""COMPUTED_VALUE"""),1563.0)</f>
        <v>1563</v>
      </c>
      <c r="Y233" s="2"/>
      <c r="Z233" s="2"/>
    </row>
    <row r="234">
      <c r="A234" s="1">
        <f>IFERROR(__xludf.DUMMYFUNCTION("""COMPUTED_VALUE"""),233.0)</f>
        <v>233</v>
      </c>
      <c r="B234" s="1">
        <f>IFERROR(__xludf.DUMMYFUNCTION("""COMPUTED_VALUE"""),10064.0)</f>
        <v>10064</v>
      </c>
      <c r="C234" s="2" t="str">
        <f>IFERROR(__xludf.DUMMYFUNCTION("""COMPUTED_VALUE"""),"Dicky")</f>
        <v>Dicky</v>
      </c>
      <c r="D234" s="2" t="str">
        <f>IFERROR(__xludf.DUMMYFUNCTION("""COMPUTED_VALUE"""),"10KM OVERALL M")</f>
        <v>10KM OVERALL M</v>
      </c>
      <c r="E234" s="1">
        <f>IFERROR(__xludf.DUMMYFUNCTION("""COMPUTED_VALUE"""),1.0)</f>
        <v>1</v>
      </c>
      <c r="F234" s="1" t="str">
        <f>IFERROR(__xludf.DUMMYFUNCTION("""COMPUTED_VALUE"""),"Male")</f>
        <v>Male</v>
      </c>
      <c r="G234" s="4" t="b">
        <f>IFERROR(__xludf.DUMMYFUNCTION("""COMPUTED_VALUE"""),TRUE)</f>
        <v>1</v>
      </c>
      <c r="H234" s="4" t="b">
        <f>IFERROR(__xludf.DUMMYFUNCTION("""COMPUTED_VALUE"""),FALSE)</f>
        <v>0</v>
      </c>
      <c r="I234" s="4">
        <f>IFERROR(__xludf.DUMMYFUNCTION("""COMPUTED_VALUE"""),0.24646185185185185)</f>
        <v>0.2464618519</v>
      </c>
      <c r="J234" s="4">
        <f>IFERROR(__xludf.DUMMYFUNCTION("""COMPUTED_VALUE"""),45949.252707997075)</f>
        <v>45949.25271</v>
      </c>
      <c r="K234" s="4">
        <f>IFERROR(__xludf.DUMMYFUNCTION("""COMPUTED_VALUE"""),45949.27112898732)</f>
        <v>45949.27113</v>
      </c>
      <c r="L234" s="4">
        <f>IFERROR(__xludf.DUMMYFUNCTION("""COMPUTED_VALUE"""),45949.2764598903)</f>
        <v>45949.27646</v>
      </c>
      <c r="M234" s="1" t="str">
        <f>IFERROR(__xludf.DUMMYFUNCTION("""COMPUTED_VALUE"""),"RFID")</f>
        <v>RFID</v>
      </c>
      <c r="N234" s="5">
        <f>IFERROR(__xludf.DUMMYFUNCTION("""COMPUTED_VALUE"""),0.0024984583333333334)</f>
        <v>0.002498458333</v>
      </c>
      <c r="O234" s="5">
        <f>IFERROR(__xludf.DUMMYFUNCTION("""COMPUTED_VALUE"""),0.007368398148148149)</f>
        <v>0.007368398148</v>
      </c>
      <c r="P234" s="5">
        <f>IFERROR(__xludf.DUMMYFUNCTION("""COMPUTED_VALUE"""),0.002193787235669876)</f>
        <v>0.002193787236</v>
      </c>
      <c r="Q234" s="5">
        <f>IFERROR(__xludf.DUMMYFUNCTION("""COMPUTED_VALUE"""),0.002999804398148148)</f>
        <v>0.002999804398</v>
      </c>
      <c r="R234" s="4">
        <f>IFERROR(__xludf.DUMMYFUNCTION("""COMPUTED_VALUE"""),45949.02999803845)</f>
        <v>45949.03</v>
      </c>
      <c r="S234" s="1" t="b">
        <f>IFERROR(__xludf.DUMMYFUNCTION("""COMPUTED_VALUE"""),TRUE)</f>
        <v>1</v>
      </c>
      <c r="T234" s="1" t="b">
        <f>IFERROR(__xludf.DUMMYFUNCTION("""COMPUTED_VALUE"""),FALSE)</f>
        <v>0</v>
      </c>
      <c r="U234" s="1" t="str">
        <f>IFERROR(__xludf.DUMMYFUNCTION("""COMPUTED_VALUE"""),"VALID")</f>
        <v>VALID</v>
      </c>
      <c r="V234" s="1">
        <f>IFERROR(__xludf.DUMMYFUNCTION("""COMPUTED_VALUE"""),7.0)</f>
        <v>7</v>
      </c>
      <c r="W234" s="1">
        <f>IFERROR(__xludf.DUMMYFUNCTION("""COMPUTED_VALUE"""),11.0)</f>
        <v>11</v>
      </c>
      <c r="X234" s="1">
        <f>IFERROR(__xludf.DUMMYFUNCTION("""COMPUTED_VALUE"""),485.0)</f>
        <v>485</v>
      </c>
      <c r="Y234" s="2" t="str">
        <f>IFERROR(__xludf.DUMMYFUNCTION("""COMPUTED_VALUE"""),"gk terdetect di start")</f>
        <v>gk terdetect di start</v>
      </c>
      <c r="Z234" s="2"/>
    </row>
    <row r="235">
      <c r="A235" s="1">
        <f>IFERROR(__xludf.DUMMYFUNCTION("""COMPUTED_VALUE"""),234.0)</f>
        <v>234</v>
      </c>
      <c r="B235" s="1">
        <f>IFERROR(__xludf.DUMMYFUNCTION("""COMPUTED_VALUE"""),10065.0)</f>
        <v>10065</v>
      </c>
      <c r="C235" s="2" t="str">
        <f>IFERROR(__xludf.DUMMYFUNCTION("""COMPUTED_VALUE"""),"BERLAN")</f>
        <v>BERLAN</v>
      </c>
      <c r="D235" s="2" t="str">
        <f>IFERROR(__xludf.DUMMYFUNCTION("""COMPUTED_VALUE"""),"10KM OVERALL M")</f>
        <v>10KM OVERALL M</v>
      </c>
      <c r="E235" s="1">
        <f>IFERROR(__xludf.DUMMYFUNCTION("""COMPUTED_VALUE"""),1.0)</f>
        <v>1</v>
      </c>
      <c r="F235" s="1" t="str">
        <f>IFERROR(__xludf.DUMMYFUNCTION("""COMPUTED_VALUE"""),"Male")</f>
        <v>Male</v>
      </c>
      <c r="G235" s="4" t="b">
        <f>IFERROR(__xludf.DUMMYFUNCTION("""COMPUTED_VALUE"""),TRUE)</f>
        <v>1</v>
      </c>
      <c r="H235" s="4" t="b">
        <f>IFERROR(__xludf.DUMMYFUNCTION("""COMPUTED_VALUE"""),FALSE)</f>
        <v>0</v>
      </c>
      <c r="I235" s="4">
        <f>IFERROR(__xludf.DUMMYFUNCTION("""COMPUTED_VALUE"""),0.24646185185185185)</f>
        <v>0.2464618519</v>
      </c>
      <c r="J235" s="4">
        <f>IFERROR(__xludf.DUMMYFUNCTION("""COMPUTED_VALUE"""),45949.26041559161)</f>
        <v>45949.26042</v>
      </c>
      <c r="K235" s="4">
        <f>IFERROR(__xludf.DUMMYFUNCTION("""COMPUTED_VALUE"""),45949.30489518194)</f>
        <v>45949.3049</v>
      </c>
      <c r="L235" s="4">
        <f>IFERROR(__xludf.DUMMYFUNCTION("""COMPUTED_VALUE"""),45949.317397397666)</f>
        <v>45949.3174</v>
      </c>
      <c r="M235" s="1" t="str">
        <f>IFERROR(__xludf.DUMMYFUNCTION("""COMPUTED_VALUE"""),"RFID")</f>
        <v>RFID</v>
      </c>
      <c r="N235" s="5">
        <f>IFERROR(__xludf.DUMMYFUNCTION("""COMPUTED_VALUE"""),0.00558149537037037)</f>
        <v>0.00558149537</v>
      </c>
      <c r="O235" s="5">
        <f>IFERROR(__xludf.DUMMYFUNCTION("""COMPUTED_VALUE"""),0.01779183796296296)</f>
        <v>0.01779183796</v>
      </c>
      <c r="P235" s="5">
        <f>IFERROR(__xludf.DUMMYFUNCTION("""COMPUTED_VALUE"""),0.005144944744818909)</f>
        <v>0.005144944745</v>
      </c>
      <c r="Q235" s="5">
        <f>IFERROR(__xludf.DUMMYFUNCTION("""COMPUTED_VALUE"""),0.007093554398148148)</f>
        <v>0.007093554398</v>
      </c>
      <c r="R235" s="4">
        <f>IFERROR(__xludf.DUMMYFUNCTION("""COMPUTED_VALUE"""),45949.07093554582)</f>
        <v>45949.07094</v>
      </c>
      <c r="S235" s="1" t="b">
        <f>IFERROR(__xludf.DUMMYFUNCTION("""COMPUTED_VALUE"""),TRUE)</f>
        <v>1</v>
      </c>
      <c r="T235" s="1" t="b">
        <f>IFERROR(__xludf.DUMMYFUNCTION("""COMPUTED_VALUE"""),FALSE)</f>
        <v>0</v>
      </c>
      <c r="U235" s="1" t="str">
        <f>IFERROR(__xludf.DUMMYFUNCTION("""COMPUTED_VALUE"""),"VALID")</f>
        <v>VALID</v>
      </c>
      <c r="V235" s="1">
        <f>IFERROR(__xludf.DUMMYFUNCTION("""COMPUTED_VALUE"""),596.0)</f>
        <v>596</v>
      </c>
      <c r="W235" s="1">
        <f>IFERROR(__xludf.DUMMYFUNCTION("""COMPUTED_VALUE"""),743.0)</f>
        <v>743</v>
      </c>
      <c r="X235" s="1">
        <f>IFERROR(__xludf.DUMMYFUNCTION("""COMPUTED_VALUE"""),1670.0)</f>
        <v>1670</v>
      </c>
      <c r="Y235" s="2"/>
      <c r="Z235" s="2"/>
    </row>
    <row r="236">
      <c r="A236" s="1">
        <f>IFERROR(__xludf.DUMMYFUNCTION("""COMPUTED_VALUE"""),235.0)</f>
        <v>235</v>
      </c>
      <c r="B236" s="1">
        <f>IFERROR(__xludf.DUMMYFUNCTION("""COMPUTED_VALUE"""),10066.0)</f>
        <v>10066</v>
      </c>
      <c r="C236" s="2" t="str">
        <f>IFERROR(__xludf.DUMMYFUNCTION("""COMPUTED_VALUE"""),"Dextra")</f>
        <v>Dextra</v>
      </c>
      <c r="D236" s="2" t="str">
        <f>IFERROR(__xludf.DUMMYFUNCTION("""COMPUTED_VALUE"""),"10KM OVERALL M")</f>
        <v>10KM OVERALL M</v>
      </c>
      <c r="E236" s="1">
        <f>IFERROR(__xludf.DUMMYFUNCTION("""COMPUTED_VALUE"""),1.0)</f>
        <v>1</v>
      </c>
      <c r="F236" s="1" t="str">
        <f>IFERROR(__xludf.DUMMYFUNCTION("""COMPUTED_VALUE"""),"Male")</f>
        <v>Male</v>
      </c>
      <c r="G236" s="4" t="b">
        <f>IFERROR(__xludf.DUMMYFUNCTION("""COMPUTED_VALUE"""),TRUE)</f>
        <v>1</v>
      </c>
      <c r="H236" s="4" t="b">
        <f>IFERROR(__xludf.DUMMYFUNCTION("""COMPUTED_VALUE"""),TRUE)</f>
        <v>1</v>
      </c>
      <c r="I236" s="4">
        <f>IFERROR(__xludf.DUMMYFUNCTION("""COMPUTED_VALUE"""),0.24646185185185185)</f>
        <v>0.2464618519</v>
      </c>
      <c r="J236" s="4">
        <f>IFERROR(__xludf.DUMMYFUNCTION("""COMPUTED_VALUE"""),45949.25658925002)</f>
        <v>45949.25659</v>
      </c>
      <c r="K236" s="4">
        <f>IFERROR(__xludf.DUMMYFUNCTION("""COMPUTED_VALUE"""),45949.28372465789)</f>
        <v>45949.28372</v>
      </c>
      <c r="L236" s="4">
        <f>IFERROR(__xludf.DUMMYFUNCTION("""COMPUTED_VALUE"""),45949.29137656173)</f>
        <v>45949.29138</v>
      </c>
      <c r="M236" s="1" t="str">
        <f>IFERROR(__xludf.DUMMYFUNCTION("""COMPUTED_VALUE"""),"RFID")</f>
        <v>RFID</v>
      </c>
      <c r="N236" s="5">
        <f>IFERROR(__xludf.DUMMYFUNCTION("""COMPUTED_VALUE"""),0.004050958333333333)</f>
        <v>0.004050958333</v>
      </c>
      <c r="O236" s="5">
        <f>IFERROR(__xludf.DUMMYFUNCTION("""COMPUTED_VALUE"""),0.010854162037037037)</f>
        <v>0.01085416204</v>
      </c>
      <c r="P236" s="5">
        <f>IFERROR(__xludf.DUMMYFUNCTION("""COMPUTED_VALUE"""),0.003148931618890085)</f>
        <v>0.003148931619</v>
      </c>
      <c r="Q236" s="5">
        <f>IFERROR(__xludf.DUMMYFUNCTION("""COMPUTED_VALUE"""),0.004491471064814815)</f>
        <v>0.004491471065</v>
      </c>
      <c r="R236" s="4">
        <f>IFERROR(__xludf.DUMMYFUNCTION("""COMPUTED_VALUE"""),45949.04491470988)</f>
        <v>45949.04491</v>
      </c>
      <c r="S236" s="1" t="b">
        <f>IFERROR(__xludf.DUMMYFUNCTION("""COMPUTED_VALUE"""),TRUE)</f>
        <v>1</v>
      </c>
      <c r="T236" s="1" t="b">
        <f>IFERROR(__xludf.DUMMYFUNCTION("""COMPUTED_VALUE"""),FALSE)</f>
        <v>0</v>
      </c>
      <c r="U236" s="1" t="str">
        <f>IFERROR(__xludf.DUMMYFUNCTION("""COMPUTED_VALUE"""),"VALID")</f>
        <v>VALID</v>
      </c>
      <c r="V236" s="1">
        <f>IFERROR(__xludf.DUMMYFUNCTION("""COMPUTED_VALUE"""),215.0)</f>
        <v>215</v>
      </c>
      <c r="W236" s="1">
        <f>IFERROR(__xludf.DUMMYFUNCTION("""COMPUTED_VALUE"""),259.0)</f>
        <v>259</v>
      </c>
      <c r="X236" s="1">
        <f>IFERROR(__xludf.DUMMYFUNCTION("""COMPUTED_VALUE"""),1196.0)</f>
        <v>1196</v>
      </c>
      <c r="Y236" s="2"/>
      <c r="Z236" s="2"/>
    </row>
    <row r="237">
      <c r="A237" s="1">
        <f>IFERROR(__xludf.DUMMYFUNCTION("""COMPUTED_VALUE"""),236.0)</f>
        <v>236</v>
      </c>
      <c r="B237" s="1">
        <f>IFERROR(__xludf.DUMMYFUNCTION("""COMPUTED_VALUE"""),10067.0)</f>
        <v>10067</v>
      </c>
      <c r="C237" s="2" t="str">
        <f>IFERROR(__xludf.DUMMYFUNCTION("""COMPUTED_VALUE"""),"A175")</f>
        <v>A175</v>
      </c>
      <c r="D237" s="2" t="str">
        <f>IFERROR(__xludf.DUMMYFUNCTION("""COMPUTED_VALUE"""),"10KM OVERALL M")</f>
        <v>10KM OVERALL M</v>
      </c>
      <c r="E237" s="1">
        <f>IFERROR(__xludf.DUMMYFUNCTION("""COMPUTED_VALUE"""),1.0)</f>
        <v>1</v>
      </c>
      <c r="F237" s="1" t="str">
        <f>IFERROR(__xludf.DUMMYFUNCTION("""COMPUTED_VALUE"""),"Male")</f>
        <v>Male</v>
      </c>
      <c r="G237" s="4" t="b">
        <f>IFERROR(__xludf.DUMMYFUNCTION("""COMPUTED_VALUE"""),TRUE)</f>
        <v>1</v>
      </c>
      <c r="H237" s="4" t="b">
        <f>IFERROR(__xludf.DUMMYFUNCTION("""COMPUTED_VALUE"""),TRUE)</f>
        <v>1</v>
      </c>
      <c r="I237" s="4">
        <f>IFERROR(__xludf.DUMMYFUNCTION("""COMPUTED_VALUE"""),0.24646185185185185)</f>
        <v>0.2464618519</v>
      </c>
      <c r="J237" s="4">
        <f>IFERROR(__xludf.DUMMYFUNCTION("""COMPUTED_VALUE"""),45949.256353132674)</f>
        <v>45949.25635</v>
      </c>
      <c r="K237" s="4">
        <f>IFERROR(__xludf.DUMMYFUNCTION("""COMPUTED_VALUE"""),45949.28099200999)</f>
        <v>45949.28099</v>
      </c>
      <c r="L237" s="4">
        <f>IFERROR(__xludf.DUMMYFUNCTION("""COMPUTED_VALUE"""),45949.28857795613)</f>
        <v>45949.28858</v>
      </c>
      <c r="M237" s="1" t="str">
        <f>IFERROR(__xludf.DUMMYFUNCTION("""COMPUTED_VALUE"""),"RFID")</f>
        <v>RFID</v>
      </c>
      <c r="N237" s="5">
        <f>IFERROR(__xludf.DUMMYFUNCTION("""COMPUTED_VALUE"""),0.003956513888888889)</f>
        <v>0.003956513889</v>
      </c>
      <c r="O237" s="5">
        <f>IFERROR(__xludf.DUMMYFUNCTION("""COMPUTED_VALUE"""),0.009855550925925926)</f>
        <v>0.009855550926</v>
      </c>
      <c r="P237" s="5">
        <f>IFERROR(__xludf.DUMMYFUNCTION("""COMPUTED_VALUE"""),0.0031217885362473025)</f>
        <v>0.003121788536</v>
      </c>
      <c r="Q237" s="5">
        <f>IFERROR(__xludf.DUMMYFUNCTION("""COMPUTED_VALUE"""),0.0042116099537037035)</f>
        <v>0.004211609954</v>
      </c>
      <c r="R237" s="4">
        <f>IFERROR(__xludf.DUMMYFUNCTION("""COMPUTED_VALUE"""),45949.04211610428)</f>
        <v>45949.04212</v>
      </c>
      <c r="S237" s="1" t="b">
        <f>IFERROR(__xludf.DUMMYFUNCTION("""COMPUTED_VALUE"""),TRUE)</f>
        <v>1</v>
      </c>
      <c r="T237" s="1" t="b">
        <f>IFERROR(__xludf.DUMMYFUNCTION("""COMPUTED_VALUE"""),FALSE)</f>
        <v>0</v>
      </c>
      <c r="U237" s="1" t="str">
        <f>IFERROR(__xludf.DUMMYFUNCTION("""COMPUTED_VALUE"""),"VALID")</f>
        <v>VALID</v>
      </c>
      <c r="V237" s="1">
        <f>IFERROR(__xludf.DUMMYFUNCTION("""COMPUTED_VALUE"""),147.0)</f>
        <v>147</v>
      </c>
      <c r="W237" s="1">
        <f>IFERROR(__xludf.DUMMYFUNCTION("""COMPUTED_VALUE"""),173.0)</f>
        <v>173</v>
      </c>
      <c r="X237" s="1">
        <f>IFERROR(__xludf.DUMMYFUNCTION("""COMPUTED_VALUE"""),1070.0)</f>
        <v>1070</v>
      </c>
      <c r="Y237" s="2"/>
      <c r="Z237" s="2"/>
    </row>
    <row r="238">
      <c r="A238" s="1">
        <f>IFERROR(__xludf.DUMMYFUNCTION("""COMPUTED_VALUE"""),237.0)</f>
        <v>237</v>
      </c>
      <c r="B238" s="1">
        <f>IFERROR(__xludf.DUMMYFUNCTION("""COMPUTED_VALUE"""),10068.0)</f>
        <v>10068</v>
      </c>
      <c r="C238" s="2" t="str">
        <f>IFERROR(__xludf.DUMMYFUNCTION("""COMPUTED_VALUE"""),"RYAN NOOR FAHREZA")</f>
        <v>RYAN NOOR FAHREZA</v>
      </c>
      <c r="D238" s="2" t="str">
        <f>IFERROR(__xludf.DUMMYFUNCTION("""COMPUTED_VALUE"""),"10KM OVERALL M")</f>
        <v>10KM OVERALL M</v>
      </c>
      <c r="E238" s="1">
        <f>IFERROR(__xludf.DUMMYFUNCTION("""COMPUTED_VALUE"""),1.0)</f>
        <v>1</v>
      </c>
      <c r="F238" s="1" t="str">
        <f>IFERROR(__xludf.DUMMYFUNCTION("""COMPUTED_VALUE"""),"Male")</f>
        <v>Male</v>
      </c>
      <c r="G238" s="4" t="b">
        <f>IFERROR(__xludf.DUMMYFUNCTION("""COMPUTED_VALUE"""),TRUE)</f>
        <v>1</v>
      </c>
      <c r="H238" s="4" t="b">
        <f>IFERROR(__xludf.DUMMYFUNCTION("""COMPUTED_VALUE"""),FALSE)</f>
        <v>0</v>
      </c>
      <c r="I238" s="4">
        <f>IFERROR(__xludf.DUMMYFUNCTION("""COMPUTED_VALUE"""),0.24646185185185185)</f>
        <v>0.2464618519</v>
      </c>
      <c r="J238" s="4">
        <f>IFERROR(__xludf.DUMMYFUNCTION("""COMPUTED_VALUE"""),45949.25442251774)</f>
        <v>45949.25442</v>
      </c>
      <c r="K238" s="4">
        <f>IFERROR(__xludf.DUMMYFUNCTION("""COMPUTED_VALUE"""),45949.27587555118)</f>
        <v>45949.27588</v>
      </c>
      <c r="L238" s="4">
        <f>IFERROR(__xludf.DUMMYFUNCTION("""COMPUTED_VALUE"""),45949.28168212343)</f>
        <v>45949.28168</v>
      </c>
      <c r="M238" s="1" t="str">
        <f>IFERROR(__xludf.DUMMYFUNCTION("""COMPUTED_VALUE"""),"RFID")</f>
        <v>RFID</v>
      </c>
      <c r="N238" s="5">
        <f>IFERROR(__xludf.DUMMYFUNCTION("""COMPUTED_VALUE"""),0.003184268518518519)</f>
        <v>0.003184268519</v>
      </c>
      <c r="O238" s="5">
        <f>IFERROR(__xludf.DUMMYFUNCTION("""COMPUTED_VALUE"""),0.008581212962962962)</f>
        <v>0.008581212963</v>
      </c>
      <c r="P238" s="5">
        <f>IFERROR(__xludf.DUMMYFUNCTION("""COMPUTED_VALUE"""),0.0023895359044528563)</f>
        <v>0.002389535904</v>
      </c>
      <c r="Q238" s="5">
        <f>IFERROR(__xludf.DUMMYFUNCTION("""COMPUTED_VALUE"""),0.00352202662037037)</f>
        <v>0.00352202662</v>
      </c>
      <c r="R238" s="4">
        <f>IFERROR(__xludf.DUMMYFUNCTION("""COMPUTED_VALUE"""),45949.03522027158)</f>
        <v>45949.03522</v>
      </c>
      <c r="S238" s="1" t="b">
        <f>IFERROR(__xludf.DUMMYFUNCTION("""COMPUTED_VALUE"""),TRUE)</f>
        <v>1</v>
      </c>
      <c r="T238" s="1" t="b">
        <f>IFERROR(__xludf.DUMMYFUNCTION("""COMPUTED_VALUE"""),FALSE)</f>
        <v>0</v>
      </c>
      <c r="U238" s="1" t="str">
        <f>IFERROR(__xludf.DUMMYFUNCTION("""COMPUTED_VALUE"""),"VALID")</f>
        <v>VALID</v>
      </c>
      <c r="V238" s="1">
        <f>IFERROR(__xludf.DUMMYFUNCTION("""COMPUTED_VALUE"""),35.0)</f>
        <v>35</v>
      </c>
      <c r="W238" s="1">
        <f>IFERROR(__xludf.DUMMYFUNCTION("""COMPUTED_VALUE"""),43.0)</f>
        <v>43</v>
      </c>
      <c r="X238" s="1">
        <f>IFERROR(__xludf.DUMMYFUNCTION("""COMPUTED_VALUE"""),734.0)</f>
        <v>734</v>
      </c>
      <c r="Y238" s="2"/>
      <c r="Z238" s="2"/>
    </row>
    <row r="239">
      <c r="A239" s="1">
        <f>IFERROR(__xludf.DUMMYFUNCTION("""COMPUTED_VALUE"""),238.0)</f>
        <v>238</v>
      </c>
      <c r="B239" s="1">
        <f>IFERROR(__xludf.DUMMYFUNCTION("""COMPUTED_VALUE"""),10070.0)</f>
        <v>10070</v>
      </c>
      <c r="C239" s="2" t="str">
        <f>IFERROR(__xludf.DUMMYFUNCTION("""COMPUTED_VALUE"""),"Abdul Halim Bimamahesa")</f>
        <v>Abdul Halim Bimamahesa</v>
      </c>
      <c r="D239" s="2" t="str">
        <f>IFERROR(__xludf.DUMMYFUNCTION("""COMPUTED_VALUE"""),"10KM OVERALL M")</f>
        <v>10KM OVERALL M</v>
      </c>
      <c r="E239" s="1">
        <f>IFERROR(__xludf.DUMMYFUNCTION("""COMPUTED_VALUE"""),1.0)</f>
        <v>1</v>
      </c>
      <c r="F239" s="1" t="str">
        <f>IFERROR(__xludf.DUMMYFUNCTION("""COMPUTED_VALUE"""),"Male")</f>
        <v>Male</v>
      </c>
      <c r="G239" s="4" t="str">
        <f>IFERROR(__xludf.DUMMYFUNCTION("""COMPUTED_VALUE"""),"")</f>
        <v/>
      </c>
      <c r="H239" s="4" t="b">
        <f>IFERROR(__xludf.DUMMYFUNCTION("""COMPUTED_VALUE"""),FALSE)</f>
        <v>0</v>
      </c>
      <c r="I239" s="4">
        <f>IFERROR(__xludf.DUMMYFUNCTION("""COMPUTED_VALUE"""),0.24646185185185185)</f>
        <v>0.2464618519</v>
      </c>
      <c r="J239" s="4">
        <f>IFERROR(__xludf.DUMMYFUNCTION("""COMPUTED_VALUE"""),45949.25441210813)</f>
        <v>45949.25441</v>
      </c>
      <c r="K239" s="4">
        <f>IFERROR(__xludf.DUMMYFUNCTION("""COMPUTED_VALUE"""),45949.32010416666)</f>
        <v>45949.3201</v>
      </c>
      <c r="L239" s="4">
        <f>IFERROR(__xludf.DUMMYFUNCTION("""COMPUTED_VALUE"""),45949.28640087954)</f>
        <v>45949.2864</v>
      </c>
      <c r="M239" s="1" t="str">
        <f>IFERROR(__xludf.DUMMYFUNCTION("""COMPUTED_VALUE"""),"RFID")</f>
        <v>RFID</v>
      </c>
      <c r="N239" s="5">
        <f>IFERROR(__xludf.DUMMYFUNCTION("""COMPUTED_VALUE"""),0.003180101851851852)</f>
        <v>0.003180101852</v>
      </c>
      <c r="O239" s="5">
        <f>IFERROR(__xludf.DUMMYFUNCTION("""COMPUTED_VALUE"""),0.026276824074074074)</f>
        <v>0.02627682407</v>
      </c>
      <c r="P239" s="5">
        <f>IFERROR(__xludf.DUMMYFUNCTION("""COMPUTED_VALUE"""),-0.01386966548346025)</f>
        <v>-0.01386966548</v>
      </c>
      <c r="Q239" s="5">
        <f>IFERROR(__xludf.DUMMYFUNCTION("""COMPUTED_VALUE"""),0.003993902777777778)</f>
        <v>0.003993902778</v>
      </c>
      <c r="R239" s="4">
        <f>IFERROR(__xludf.DUMMYFUNCTION("""COMPUTED_VALUE"""),45949.03993902769)</f>
        <v>45949.03994</v>
      </c>
      <c r="S239" s="1" t="b">
        <f>IFERROR(__xludf.DUMMYFUNCTION("""COMPUTED_VALUE"""),TRUE)</f>
        <v>1</v>
      </c>
      <c r="T239" s="1" t="b">
        <f>IFERROR(__xludf.DUMMYFUNCTION("""COMPUTED_VALUE"""),FALSE)</f>
        <v>0</v>
      </c>
      <c r="U239" s="1" t="str">
        <f>IFERROR(__xludf.DUMMYFUNCTION("""COMPUTED_VALUE"""),"VALID")</f>
        <v>VALID</v>
      </c>
      <c r="V239" s="1">
        <f>IFERROR(__xludf.DUMMYFUNCTION("""COMPUTED_VALUE"""),102.0)</f>
        <v>102</v>
      </c>
      <c r="W239" s="1">
        <f>IFERROR(__xludf.DUMMYFUNCTION("""COMPUTED_VALUE"""),122.0)</f>
        <v>122</v>
      </c>
      <c r="X239" s="1">
        <f>IFERROR(__xludf.DUMMYFUNCTION("""COMPUTED_VALUE"""),977.0)</f>
        <v>977</v>
      </c>
      <c r="Y239" s="2"/>
      <c r="Z239" s="2"/>
    </row>
    <row r="240">
      <c r="A240" s="1">
        <f>IFERROR(__xludf.DUMMYFUNCTION("""COMPUTED_VALUE"""),239.0)</f>
        <v>239</v>
      </c>
      <c r="B240" s="1">
        <f>IFERROR(__xludf.DUMMYFUNCTION("""COMPUTED_VALUE"""),10071.0)</f>
        <v>10071</v>
      </c>
      <c r="C240" s="2" t="str">
        <f>IFERROR(__xludf.DUMMYFUNCTION("""COMPUTED_VALUE"""),"RASYID AAN")</f>
        <v>RASYID AAN</v>
      </c>
      <c r="D240" s="2" t="str">
        <f>IFERROR(__xludf.DUMMYFUNCTION("""COMPUTED_VALUE"""),"10KM OVERALL M")</f>
        <v>10KM OVERALL M</v>
      </c>
      <c r="E240" s="1">
        <f>IFERROR(__xludf.DUMMYFUNCTION("""COMPUTED_VALUE"""),1.0)</f>
        <v>1</v>
      </c>
      <c r="F240" s="1" t="str">
        <f>IFERROR(__xludf.DUMMYFUNCTION("""COMPUTED_VALUE"""),"Male")</f>
        <v>Male</v>
      </c>
      <c r="G240" s="4" t="b">
        <f>IFERROR(__xludf.DUMMYFUNCTION("""COMPUTED_VALUE"""),TRUE)</f>
        <v>1</v>
      </c>
      <c r="H240" s="4" t="b">
        <f>IFERROR(__xludf.DUMMYFUNCTION("""COMPUTED_VALUE"""),TRUE)</f>
        <v>1</v>
      </c>
      <c r="I240" s="4">
        <f>IFERROR(__xludf.DUMMYFUNCTION("""COMPUTED_VALUE"""),0.24646185185185185)</f>
        <v>0.2464618519</v>
      </c>
      <c r="J240" s="4">
        <f>IFERROR(__xludf.DUMMYFUNCTION("""COMPUTED_VALUE"""),45949.253665579534)</f>
        <v>45949.25367</v>
      </c>
      <c r="K240" s="4">
        <f>IFERROR(__xludf.DUMMYFUNCTION("""COMPUTED_VALUE"""),45949.272462329915)</f>
        <v>45949.27246</v>
      </c>
      <c r="L240" s="4">
        <f>IFERROR(__xludf.DUMMYFUNCTION("""COMPUTED_VALUE"""),45949.27801198457)</f>
        <v>45949.27801</v>
      </c>
      <c r="M240" s="1" t="str">
        <f>IFERROR(__xludf.DUMMYFUNCTION("""COMPUTED_VALUE"""),"RFID")</f>
        <v>RFID</v>
      </c>
      <c r="N240" s="5">
        <f>IFERROR(__xludf.DUMMYFUNCTION("""COMPUTED_VALUE"""),0.002881490740740741)</f>
        <v>0.002881490741</v>
      </c>
      <c r="O240" s="5">
        <f>IFERROR(__xludf.DUMMYFUNCTION("""COMPUTED_VALUE"""),0.007518699074074074)</f>
        <v>0.007518699074</v>
      </c>
      <c r="P240" s="5">
        <f>IFERROR(__xludf.DUMMYFUNCTION("""COMPUTED_VALUE"""),0.0022838085002568646)</f>
        <v>0.0022838085</v>
      </c>
      <c r="Q240" s="5">
        <f>IFERROR(__xludf.DUMMYFUNCTION("""COMPUTED_VALUE"""),0.0031550127314814817)</f>
        <v>0.003155012731</v>
      </c>
      <c r="R240" s="4">
        <f>IFERROR(__xludf.DUMMYFUNCTION("""COMPUTED_VALUE"""),45949.03155013272)</f>
        <v>45949.03155</v>
      </c>
      <c r="S240" s="1" t="b">
        <f>IFERROR(__xludf.DUMMYFUNCTION("""COMPUTED_VALUE"""),TRUE)</f>
        <v>1</v>
      </c>
      <c r="T240" s="1" t="b">
        <f>IFERROR(__xludf.DUMMYFUNCTION("""COMPUTED_VALUE"""),FALSE)</f>
        <v>0</v>
      </c>
      <c r="U240" s="1" t="str">
        <f>IFERROR(__xludf.DUMMYFUNCTION("""COMPUTED_VALUE"""),"VALID")</f>
        <v>VALID</v>
      </c>
      <c r="V240" s="1">
        <f>IFERROR(__xludf.DUMMYFUNCTION("""COMPUTED_VALUE"""),14.0)</f>
        <v>14</v>
      </c>
      <c r="W240" s="1">
        <f>IFERROR(__xludf.DUMMYFUNCTION("""COMPUTED_VALUE"""),19.0)</f>
        <v>19</v>
      </c>
      <c r="X240" s="1">
        <f>IFERROR(__xludf.DUMMYFUNCTION("""COMPUTED_VALUE"""),558.0)</f>
        <v>558</v>
      </c>
      <c r="Y240" s="2"/>
      <c r="Z240" s="2"/>
    </row>
    <row r="241">
      <c r="A241" s="1">
        <f>IFERROR(__xludf.DUMMYFUNCTION("""COMPUTED_VALUE"""),240.0)</f>
        <v>240</v>
      </c>
      <c r="B241" s="1">
        <f>IFERROR(__xludf.DUMMYFUNCTION("""COMPUTED_VALUE"""),10072.0)</f>
        <v>10072</v>
      </c>
      <c r="C241" s="2" t="str">
        <f>IFERROR(__xludf.DUMMYFUNCTION("""COMPUTED_VALUE"""),"M.DONI RAHMADI")</f>
        <v>M.DONI RAHMADI</v>
      </c>
      <c r="D241" s="2" t="str">
        <f>IFERROR(__xludf.DUMMYFUNCTION("""COMPUTED_VALUE"""),"10KM OVERALL M")</f>
        <v>10KM OVERALL M</v>
      </c>
      <c r="E241" s="1">
        <f>IFERROR(__xludf.DUMMYFUNCTION("""COMPUTED_VALUE"""),1.0)</f>
        <v>1</v>
      </c>
      <c r="F241" s="1" t="str">
        <f>IFERROR(__xludf.DUMMYFUNCTION("""COMPUTED_VALUE"""),"Male")</f>
        <v>Male</v>
      </c>
      <c r="G241" s="4" t="str">
        <f>IFERROR(__xludf.DUMMYFUNCTION("""COMPUTED_VALUE"""),"")</f>
        <v/>
      </c>
      <c r="H241" s="4" t="b">
        <f>IFERROR(__xludf.DUMMYFUNCTION("""COMPUTED_VALUE"""),TRUE)</f>
        <v>1</v>
      </c>
      <c r="I241" s="4">
        <f>IFERROR(__xludf.DUMMYFUNCTION("""COMPUTED_VALUE"""),0.24646185185185185)</f>
        <v>0.2464618519</v>
      </c>
      <c r="J241" s="4">
        <f>IFERROR(__xludf.DUMMYFUNCTION("""COMPUTED_VALUE"""),45949.26137738424)</f>
        <v>45949.26138</v>
      </c>
      <c r="K241" s="4">
        <f>IFERROR(__xludf.DUMMYFUNCTION("""COMPUTED_VALUE"""),45949.30058598039)</f>
        <v>45949.30059</v>
      </c>
      <c r="L241" s="4">
        <f>IFERROR(__xludf.DUMMYFUNCTION("""COMPUTED_VALUE"""),45949.31162656407)</f>
        <v>45949.31163</v>
      </c>
      <c r="M241" s="1" t="str">
        <f>IFERROR(__xludf.DUMMYFUNCTION("""COMPUTED_VALUE"""),"RFID")</f>
        <v>RFID</v>
      </c>
      <c r="N241" s="5">
        <f>IFERROR(__xludf.DUMMYFUNCTION("""COMPUTED_VALUE"""),0.005966212962962963)</f>
        <v>0.005966212963</v>
      </c>
      <c r="O241" s="5">
        <f>IFERROR(__xludf.DUMMYFUNCTION("""COMPUTED_VALUE"""),0.015683439814814813)</f>
        <v>0.01568343981</v>
      </c>
      <c r="P241" s="5">
        <f>IFERROR(__xludf.DUMMYFUNCTION("""COMPUTED_VALUE"""),0.004543450074974608)</f>
        <v>0.004543450075</v>
      </c>
      <c r="Q241" s="5">
        <f>IFERROR(__xludf.DUMMYFUNCTION("""COMPUTED_VALUE"""),0.006516471064814814)</f>
        <v>0.006516471065</v>
      </c>
      <c r="R241" s="4">
        <f>IFERROR(__xludf.DUMMYFUNCTION("""COMPUTED_VALUE"""),45949.06516471222)</f>
        <v>45949.06516</v>
      </c>
      <c r="S241" s="1" t="b">
        <f>IFERROR(__xludf.DUMMYFUNCTION("""COMPUTED_VALUE"""),TRUE)</f>
        <v>1</v>
      </c>
      <c r="T241" s="1" t="b">
        <f>IFERROR(__xludf.DUMMYFUNCTION("""COMPUTED_VALUE"""),FALSE)</f>
        <v>0</v>
      </c>
      <c r="U241" s="1" t="str">
        <f>IFERROR(__xludf.DUMMYFUNCTION("""COMPUTED_VALUE"""),"VALID")</f>
        <v>VALID</v>
      </c>
      <c r="V241" s="1">
        <f>IFERROR(__xludf.DUMMYFUNCTION("""COMPUTED_VALUE"""),567.0)</f>
        <v>567</v>
      </c>
      <c r="W241" s="1">
        <f>IFERROR(__xludf.DUMMYFUNCTION("""COMPUTED_VALUE"""),699.0)</f>
        <v>699</v>
      </c>
      <c r="X241" s="1">
        <f>IFERROR(__xludf.DUMMYFUNCTION("""COMPUTED_VALUE"""),1644.0)</f>
        <v>1644</v>
      </c>
      <c r="Y241" s="2"/>
      <c r="Z241" s="2"/>
    </row>
    <row r="242">
      <c r="A242" s="1">
        <f>IFERROR(__xludf.DUMMYFUNCTION("""COMPUTED_VALUE"""),241.0)</f>
        <v>241</v>
      </c>
      <c r="B242" s="1">
        <f>IFERROR(__xludf.DUMMYFUNCTION("""COMPUTED_VALUE"""),10073.0)</f>
        <v>10073</v>
      </c>
      <c r="C242" s="2" t="str">
        <f>IFERROR(__xludf.DUMMYFUNCTION("""COMPUTED_VALUE"""),"Irfan")</f>
        <v>Irfan</v>
      </c>
      <c r="D242" s="2" t="str">
        <f>IFERROR(__xludf.DUMMYFUNCTION("""COMPUTED_VALUE"""),"10KM OVERALL M")</f>
        <v>10KM OVERALL M</v>
      </c>
      <c r="E242" s="1">
        <f>IFERROR(__xludf.DUMMYFUNCTION("""COMPUTED_VALUE"""),1.0)</f>
        <v>1</v>
      </c>
      <c r="F242" s="1" t="str">
        <f>IFERROR(__xludf.DUMMYFUNCTION("""COMPUTED_VALUE"""),"Male")</f>
        <v>Male</v>
      </c>
      <c r="G242" s="4" t="b">
        <f>IFERROR(__xludf.DUMMYFUNCTION("""COMPUTED_VALUE"""),TRUE)</f>
        <v>1</v>
      </c>
      <c r="H242" s="4" t="b">
        <f>IFERROR(__xludf.DUMMYFUNCTION("""COMPUTED_VALUE"""),TRUE)</f>
        <v>1</v>
      </c>
      <c r="I242" s="4">
        <f>IFERROR(__xludf.DUMMYFUNCTION("""COMPUTED_VALUE"""),0.24646185185185185)</f>
        <v>0.2464618519</v>
      </c>
      <c r="J242" s="4">
        <f>IFERROR(__xludf.DUMMYFUNCTION("""COMPUTED_VALUE"""),45949.25768989346)</f>
        <v>45949.25769</v>
      </c>
      <c r="K242" s="4">
        <f>IFERROR(__xludf.DUMMYFUNCTION("""COMPUTED_VALUE"""),45949.288210756196)</f>
        <v>45949.28821</v>
      </c>
      <c r="L242" s="4">
        <f>IFERROR(__xludf.DUMMYFUNCTION("""COMPUTED_VALUE"""),45949.29709184235)</f>
        <v>45949.29709</v>
      </c>
      <c r="M242" s="1" t="str">
        <f>IFERROR(__xludf.DUMMYFUNCTION("""COMPUTED_VALUE"""),"RFID")</f>
        <v>RFID</v>
      </c>
      <c r="N242" s="5">
        <f>IFERROR(__xludf.DUMMYFUNCTION("""COMPUTED_VALUE"""),0.004491217592592593)</f>
        <v>0.004491217593</v>
      </c>
      <c r="O242" s="5">
        <f>IFERROR(__xludf.DUMMYFUNCTION("""COMPUTED_VALUE"""),0.012208347222222223)</f>
        <v>0.01220834722</v>
      </c>
      <c r="P242" s="5">
        <f>IFERROR(__xludf.DUMMYFUNCTION("""COMPUTED_VALUE"""),0.003654767965506034)</f>
        <v>0.003654767966</v>
      </c>
      <c r="Q242" s="5">
        <f>IFERROR(__xludf.DUMMYFUNCTION("""COMPUTED_VALUE"""),0.005062998842592592)</f>
        <v>0.005062998843</v>
      </c>
      <c r="R242" s="4">
        <f>IFERROR(__xludf.DUMMYFUNCTION("""COMPUTED_VALUE"""),45949.0506299905)</f>
        <v>45949.05063</v>
      </c>
      <c r="S242" s="1" t="b">
        <f>IFERROR(__xludf.DUMMYFUNCTION("""COMPUTED_VALUE"""),TRUE)</f>
        <v>1</v>
      </c>
      <c r="T242" s="1" t="b">
        <f>IFERROR(__xludf.DUMMYFUNCTION("""COMPUTED_VALUE"""),FALSE)</f>
        <v>0</v>
      </c>
      <c r="U242" s="1" t="str">
        <f>IFERROR(__xludf.DUMMYFUNCTION("""COMPUTED_VALUE"""),"VALID")</f>
        <v>VALID</v>
      </c>
      <c r="V242" s="1">
        <f>IFERROR(__xludf.DUMMYFUNCTION("""COMPUTED_VALUE"""),359.0)</f>
        <v>359</v>
      </c>
      <c r="W242" s="1">
        <f>IFERROR(__xludf.DUMMYFUNCTION("""COMPUTED_VALUE"""),423.0)</f>
        <v>423</v>
      </c>
      <c r="X242" s="1">
        <f>IFERROR(__xludf.DUMMYFUNCTION("""COMPUTED_VALUE"""),1403.0)</f>
        <v>1403</v>
      </c>
      <c r="Y242" s="2"/>
      <c r="Z242" s="2"/>
    </row>
    <row r="243">
      <c r="A243" s="1">
        <f>IFERROR(__xludf.DUMMYFUNCTION("""COMPUTED_VALUE"""),242.0)</f>
        <v>242</v>
      </c>
      <c r="B243" s="1">
        <f>IFERROR(__xludf.DUMMYFUNCTION("""COMPUTED_VALUE"""),10074.0)</f>
        <v>10074</v>
      </c>
      <c r="C243" s="2" t="str">
        <f>IFERROR(__xludf.DUMMYFUNCTION("""COMPUTED_VALUE"""),"Antasena")</f>
        <v>Antasena</v>
      </c>
      <c r="D243" s="2" t="str">
        <f>IFERROR(__xludf.DUMMYFUNCTION("""COMPUTED_VALUE"""),"10KM OVERALL M")</f>
        <v>10KM OVERALL M</v>
      </c>
      <c r="E243" s="1">
        <f>IFERROR(__xludf.DUMMYFUNCTION("""COMPUTED_VALUE"""),1.0)</f>
        <v>1</v>
      </c>
      <c r="F243" s="1" t="str">
        <f>IFERROR(__xludf.DUMMYFUNCTION("""COMPUTED_VALUE"""),"Male")</f>
        <v>Male</v>
      </c>
      <c r="G243" s="4" t="str">
        <f>IFERROR(__xludf.DUMMYFUNCTION("""COMPUTED_VALUE"""),"")</f>
        <v/>
      </c>
      <c r="H243" s="4" t="b">
        <f>IFERROR(__xludf.DUMMYFUNCTION("""COMPUTED_VALUE"""),FALSE)</f>
        <v>0</v>
      </c>
      <c r="I243" s="4">
        <f>IFERROR(__xludf.DUMMYFUNCTION("""COMPUTED_VALUE"""),0.24646185185185185)</f>
        <v>0.2464618519</v>
      </c>
      <c r="J243" s="4" t="str">
        <f>IFERROR(__xludf.DUMMYFUNCTION("""COMPUTED_VALUE"""),"")</f>
        <v/>
      </c>
      <c r="K243" s="4" t="str">
        <f>IFERROR(__xludf.DUMMYFUNCTION("""COMPUTED_VALUE"""),"")</f>
        <v/>
      </c>
      <c r="L243" s="4" t="str">
        <f>IFERROR(__xludf.DUMMYFUNCTION("""COMPUTED_VALUE"""),"")</f>
        <v/>
      </c>
      <c r="M243" s="1" t="str">
        <f>IFERROR(__xludf.DUMMYFUNCTION("""COMPUTED_VALUE"""),"RFID")</f>
        <v>RFID</v>
      </c>
      <c r="N243" s="5" t="str">
        <f>IFERROR(__xludf.DUMMYFUNCTION("""COMPUTED_VALUE"""),"")</f>
        <v/>
      </c>
      <c r="O243" s="5" t="str">
        <f>IFERROR(__xludf.DUMMYFUNCTION("""COMPUTED_VALUE"""),"")</f>
        <v/>
      </c>
      <c r="P243" s="5" t="str">
        <f>IFERROR(__xludf.DUMMYFUNCTION("""COMPUTED_VALUE"""),"")</f>
        <v/>
      </c>
      <c r="Q243" s="5" t="str">
        <f>IFERROR(__xludf.DUMMYFUNCTION("""COMPUTED_VALUE"""),"")</f>
        <v/>
      </c>
      <c r="R243" s="4" t="str">
        <f>IFERROR(__xludf.DUMMYFUNCTION("""COMPUTED_VALUE"""),"")</f>
        <v/>
      </c>
      <c r="S243" s="1" t="b">
        <f>IFERROR(__xludf.DUMMYFUNCTION("""COMPUTED_VALUE"""),FALSE)</f>
        <v>0</v>
      </c>
      <c r="T243" s="1" t="b">
        <f>IFERROR(__xludf.DUMMYFUNCTION("""COMPUTED_VALUE"""),FALSE)</f>
        <v>0</v>
      </c>
      <c r="U243" s="1" t="str">
        <f>IFERROR(__xludf.DUMMYFUNCTION("""COMPUTED_VALUE"""),"DSQ")</f>
        <v>DSQ</v>
      </c>
      <c r="V243" s="1" t="str">
        <f>IFERROR(__xludf.DUMMYFUNCTION("""COMPUTED_VALUE"""),"DSQ")</f>
        <v>DSQ</v>
      </c>
      <c r="W243" s="1" t="str">
        <f>IFERROR(__xludf.DUMMYFUNCTION("""COMPUTED_VALUE"""),"DSQ")</f>
        <v>DSQ</v>
      </c>
      <c r="X243" s="1" t="str">
        <f>IFERROR(__xludf.DUMMYFUNCTION("""COMPUTED_VALUE"""),"DSQ")</f>
        <v>DSQ</v>
      </c>
      <c r="Y243" s="2"/>
      <c r="Z243" s="2" t="str">
        <f>IFERROR(__xludf.DUMMYFUNCTION("""COMPUTED_VALUE"""),"")</f>
        <v/>
      </c>
    </row>
    <row r="244">
      <c r="A244" s="1">
        <f>IFERROR(__xludf.DUMMYFUNCTION("""COMPUTED_VALUE"""),243.0)</f>
        <v>243</v>
      </c>
      <c r="B244" s="1">
        <f>IFERROR(__xludf.DUMMYFUNCTION("""COMPUTED_VALUE"""),10075.0)</f>
        <v>10075</v>
      </c>
      <c r="C244" s="2" t="str">
        <f>IFERROR(__xludf.DUMMYFUNCTION("""COMPUTED_VALUE"""),"hairani")</f>
        <v>hairani</v>
      </c>
      <c r="D244" s="2" t="str">
        <f>IFERROR(__xludf.DUMMYFUNCTION("""COMPUTED_VALUE"""),"10KM OVERALL M")</f>
        <v>10KM OVERALL M</v>
      </c>
      <c r="E244" s="1">
        <f>IFERROR(__xludf.DUMMYFUNCTION("""COMPUTED_VALUE"""),1.0)</f>
        <v>1</v>
      </c>
      <c r="F244" s="1" t="str">
        <f>IFERROR(__xludf.DUMMYFUNCTION("""COMPUTED_VALUE"""),"Male")</f>
        <v>Male</v>
      </c>
      <c r="G244" s="4" t="b">
        <f>IFERROR(__xludf.DUMMYFUNCTION("""COMPUTED_VALUE"""),TRUE)</f>
        <v>1</v>
      </c>
      <c r="H244" s="4" t="b">
        <f>IFERROR(__xludf.DUMMYFUNCTION("""COMPUTED_VALUE"""),FALSE)</f>
        <v>0</v>
      </c>
      <c r="I244" s="4">
        <f>IFERROR(__xludf.DUMMYFUNCTION("""COMPUTED_VALUE"""),0.24646185185185185)</f>
        <v>0.2464618519</v>
      </c>
      <c r="J244" s="4">
        <f>IFERROR(__xludf.DUMMYFUNCTION("""COMPUTED_VALUE"""),45949.25323507689)</f>
        <v>45949.25324</v>
      </c>
      <c r="K244" s="4">
        <f>IFERROR(__xludf.DUMMYFUNCTION("""COMPUTED_VALUE"""),45949.27477135672)</f>
        <v>45949.27477</v>
      </c>
      <c r="L244" s="4">
        <f>IFERROR(__xludf.DUMMYFUNCTION("""COMPUTED_VALUE"""),45949.280848783856)</f>
        <v>45949.28085</v>
      </c>
      <c r="M244" s="1" t="str">
        <f>IFERROR(__xludf.DUMMYFUNCTION("""COMPUTED_VALUE"""),"RFID")</f>
        <v>RFID</v>
      </c>
      <c r="N244" s="5">
        <f>IFERROR(__xludf.DUMMYFUNCTION("""COMPUTED_VALUE"""),0.0027092916666666667)</f>
        <v>0.002709291667</v>
      </c>
      <c r="O244" s="5">
        <f>IFERROR(__xludf.DUMMYFUNCTION("""COMPUTED_VALUE"""),0.008614513888888889)</f>
        <v>0.008614513889</v>
      </c>
      <c r="P244" s="5">
        <f>IFERROR(__xludf.DUMMYFUNCTION("""COMPUTED_VALUE"""),0.0025009988202788166)</f>
        <v>0.00250099882</v>
      </c>
      <c r="Q244" s="5">
        <f>IFERROR(__xludf.DUMMYFUNCTION("""COMPUTED_VALUE"""),0.003438693287037037)</f>
        <v>0.003438693287</v>
      </c>
      <c r="R244" s="4">
        <f>IFERROR(__xludf.DUMMYFUNCTION("""COMPUTED_VALUE"""),45949.034386932006)</f>
        <v>45949.03439</v>
      </c>
      <c r="S244" s="1" t="b">
        <f>IFERROR(__xludf.DUMMYFUNCTION("""COMPUTED_VALUE"""),TRUE)</f>
        <v>1</v>
      </c>
      <c r="T244" s="1" t="b">
        <f>IFERROR(__xludf.DUMMYFUNCTION("""COMPUTED_VALUE"""),FALSE)</f>
        <v>0</v>
      </c>
      <c r="U244" s="1" t="str">
        <f>IFERROR(__xludf.DUMMYFUNCTION("""COMPUTED_VALUE"""),"VALID")</f>
        <v>VALID</v>
      </c>
      <c r="V244" s="1">
        <f>IFERROR(__xludf.DUMMYFUNCTION("""COMPUTED_VALUE"""),26.0)</f>
        <v>26</v>
      </c>
      <c r="W244" s="1">
        <f>IFERROR(__xludf.DUMMYFUNCTION("""COMPUTED_VALUE"""),34.0)</f>
        <v>34</v>
      </c>
      <c r="X244" s="1">
        <f>IFERROR(__xludf.DUMMYFUNCTION("""COMPUTED_VALUE"""),704.0)</f>
        <v>704</v>
      </c>
      <c r="Y244" s="2"/>
      <c r="Z244" s="2"/>
    </row>
    <row r="245">
      <c r="A245" s="1">
        <f>IFERROR(__xludf.DUMMYFUNCTION("""COMPUTED_VALUE"""),244.0)</f>
        <v>244</v>
      </c>
      <c r="B245" s="1">
        <f>IFERROR(__xludf.DUMMYFUNCTION("""COMPUTED_VALUE"""),10076.0)</f>
        <v>10076</v>
      </c>
      <c r="C245" s="2" t="str">
        <f>IFERROR(__xludf.DUMMYFUNCTION("""COMPUTED_VALUE"""),"andri")</f>
        <v>andri</v>
      </c>
      <c r="D245" s="2" t="str">
        <f>IFERROR(__xludf.DUMMYFUNCTION("""COMPUTED_VALUE"""),"10KM OVERALL M")</f>
        <v>10KM OVERALL M</v>
      </c>
      <c r="E245" s="1">
        <f>IFERROR(__xludf.DUMMYFUNCTION("""COMPUTED_VALUE"""),1.0)</f>
        <v>1</v>
      </c>
      <c r="F245" s="1" t="str">
        <f>IFERROR(__xludf.DUMMYFUNCTION("""COMPUTED_VALUE"""),"Male")</f>
        <v>Male</v>
      </c>
      <c r="G245" s="4" t="b">
        <f>IFERROR(__xludf.DUMMYFUNCTION("""COMPUTED_VALUE"""),TRUE)</f>
        <v>1</v>
      </c>
      <c r="H245" s="4" t="b">
        <f>IFERROR(__xludf.DUMMYFUNCTION("""COMPUTED_VALUE"""),FALSE)</f>
        <v>0</v>
      </c>
      <c r="I245" s="4">
        <f>IFERROR(__xludf.DUMMYFUNCTION("""COMPUTED_VALUE"""),0.24646185185185185)</f>
        <v>0.2464618519</v>
      </c>
      <c r="J245" s="4">
        <f>IFERROR(__xludf.DUMMYFUNCTION("""COMPUTED_VALUE"""),45949.26197460372)</f>
        <v>45949.26197</v>
      </c>
      <c r="K245" s="4">
        <f>IFERROR(__xludf.DUMMYFUNCTION("""COMPUTED_VALUE"""),45949.29261029411)</f>
        <v>45949.29261</v>
      </c>
      <c r="L245" s="4">
        <f>IFERROR(__xludf.DUMMYFUNCTION("""COMPUTED_VALUE"""),45949.302168235925)</f>
        <v>45949.30217</v>
      </c>
      <c r="M245" s="1" t="str">
        <f>IFERROR(__xludf.DUMMYFUNCTION("""COMPUTED_VALUE"""),"RFID")</f>
        <v>RFID</v>
      </c>
      <c r="N245" s="5">
        <f>IFERROR(__xludf.DUMMYFUNCTION("""COMPUTED_VALUE"""),0.006205101851851851)</f>
        <v>0.006205101852</v>
      </c>
      <c r="O245" s="5">
        <f>IFERROR(__xludf.DUMMYFUNCTION("""COMPUTED_VALUE"""),0.012254277777777777)</f>
        <v>0.01225427778</v>
      </c>
      <c r="P245" s="5">
        <f>IFERROR(__xludf.DUMMYFUNCTION("""COMPUTED_VALUE"""),0.003933309387691594)</f>
        <v>0.003933309388</v>
      </c>
      <c r="Q245" s="5">
        <f>IFERROR(__xludf.DUMMYFUNCTION("""COMPUTED_VALUE"""),0.005570638888888889)</f>
        <v>0.005570638889</v>
      </c>
      <c r="R245" s="4">
        <f>IFERROR(__xludf.DUMMYFUNCTION("""COMPUTED_VALUE"""),45949.055706384075)</f>
        <v>45949.05571</v>
      </c>
      <c r="S245" s="1" t="b">
        <f>IFERROR(__xludf.DUMMYFUNCTION("""COMPUTED_VALUE"""),TRUE)</f>
        <v>1</v>
      </c>
      <c r="T245" s="1" t="b">
        <f>IFERROR(__xludf.DUMMYFUNCTION("""COMPUTED_VALUE"""),FALSE)</f>
        <v>0</v>
      </c>
      <c r="U245" s="1" t="str">
        <f>IFERROR(__xludf.DUMMYFUNCTION("""COMPUTED_VALUE"""),"VALID")</f>
        <v>VALID</v>
      </c>
      <c r="V245" s="1">
        <f>IFERROR(__xludf.DUMMYFUNCTION("""COMPUTED_VALUE"""),474.0)</f>
        <v>474</v>
      </c>
      <c r="W245" s="1">
        <f>IFERROR(__xludf.DUMMYFUNCTION("""COMPUTED_VALUE"""),568.0)</f>
        <v>568</v>
      </c>
      <c r="X245" s="1">
        <f>IFERROR(__xludf.DUMMYFUNCTION("""COMPUTED_VALUE"""),1540.0)</f>
        <v>1540</v>
      </c>
      <c r="Y245" s="2"/>
      <c r="Z245" s="2"/>
    </row>
    <row r="246">
      <c r="A246" s="1">
        <f>IFERROR(__xludf.DUMMYFUNCTION("""COMPUTED_VALUE"""),245.0)</f>
        <v>245</v>
      </c>
      <c r="B246" s="1">
        <f>IFERROR(__xludf.DUMMYFUNCTION("""COMPUTED_VALUE"""),10077.0)</f>
        <v>10077</v>
      </c>
      <c r="C246" s="2" t="str">
        <f>IFERROR(__xludf.DUMMYFUNCTION("""COMPUTED_VALUE"""),"AGUNG ARYA")</f>
        <v>AGUNG ARYA</v>
      </c>
      <c r="D246" s="2" t="str">
        <f>IFERROR(__xludf.DUMMYFUNCTION("""COMPUTED_VALUE"""),"10KM OVERALL M")</f>
        <v>10KM OVERALL M</v>
      </c>
      <c r="E246" s="1">
        <f>IFERROR(__xludf.DUMMYFUNCTION("""COMPUTED_VALUE"""),1.0)</f>
        <v>1</v>
      </c>
      <c r="F246" s="1" t="str">
        <f>IFERROR(__xludf.DUMMYFUNCTION("""COMPUTED_VALUE"""),"Male")</f>
        <v>Male</v>
      </c>
      <c r="G246" s="4" t="b">
        <f>IFERROR(__xludf.DUMMYFUNCTION("""COMPUTED_VALUE"""),TRUE)</f>
        <v>1</v>
      </c>
      <c r="H246" s="4" t="b">
        <f>IFERROR(__xludf.DUMMYFUNCTION("""COMPUTED_VALUE"""),FALSE)</f>
        <v>0</v>
      </c>
      <c r="I246" s="4">
        <f>IFERROR(__xludf.DUMMYFUNCTION("""COMPUTED_VALUE"""),0.24646185185185185)</f>
        <v>0.2464618519</v>
      </c>
      <c r="J246" s="4">
        <f>IFERROR(__xludf.DUMMYFUNCTION("""COMPUTED_VALUE"""),45949.25351280822)</f>
        <v>45949.25351</v>
      </c>
      <c r="K246" s="4">
        <f>IFERROR(__xludf.DUMMYFUNCTION("""COMPUTED_VALUE"""),45949.27917954819)</f>
        <v>45949.27918</v>
      </c>
      <c r="L246" s="4">
        <f>IFERROR(__xludf.DUMMYFUNCTION("""COMPUTED_VALUE"""),45949.285432065466)</f>
        <v>45949.28543</v>
      </c>
      <c r="M246" s="1" t="str">
        <f>IFERROR(__xludf.DUMMYFUNCTION("""COMPUTED_VALUE"""),"RFID")</f>
        <v>RFID</v>
      </c>
      <c r="N246" s="5">
        <f>IFERROR(__xludf.DUMMYFUNCTION("""COMPUTED_VALUE"""),0.0028203842592592595)</f>
        <v>0.002820384259</v>
      </c>
      <c r="O246" s="5">
        <f>IFERROR(__xludf.DUMMYFUNCTION("""COMPUTED_VALUE"""),0.010266694444444445)</f>
        <v>0.01026669444</v>
      </c>
      <c r="P246" s="5">
        <f>IFERROR(__xludf.DUMMYFUNCTION("""COMPUTED_VALUE"""),0.0025730523770174907)</f>
        <v>0.002573052377</v>
      </c>
      <c r="Q246" s="5">
        <f>IFERROR(__xludf.DUMMYFUNCTION("""COMPUTED_VALUE"""),0.003897020833333333)</f>
        <v>0.003897020833</v>
      </c>
      <c r="R246" s="4">
        <f>IFERROR(__xludf.DUMMYFUNCTION("""COMPUTED_VALUE"""),45949.038970213616)</f>
        <v>45949.03897</v>
      </c>
      <c r="S246" s="1" t="b">
        <f>IFERROR(__xludf.DUMMYFUNCTION("""COMPUTED_VALUE"""),TRUE)</f>
        <v>1</v>
      </c>
      <c r="T246" s="1" t="b">
        <f>IFERROR(__xludf.DUMMYFUNCTION("""COMPUTED_VALUE"""),FALSE)</f>
        <v>0</v>
      </c>
      <c r="U246" s="1" t="str">
        <f>IFERROR(__xludf.DUMMYFUNCTION("""COMPUTED_VALUE"""),"VALID")</f>
        <v>VALID</v>
      </c>
      <c r="V246" s="1">
        <f>IFERROR(__xludf.DUMMYFUNCTION("""COMPUTED_VALUE"""),81.0)</f>
        <v>81</v>
      </c>
      <c r="W246" s="1">
        <f>IFERROR(__xludf.DUMMYFUNCTION("""COMPUTED_VALUE"""),99.0)</f>
        <v>99</v>
      </c>
      <c r="X246" s="1">
        <f>IFERROR(__xludf.DUMMYFUNCTION("""COMPUTED_VALUE"""),924.0)</f>
        <v>924</v>
      </c>
      <c r="Y246" s="2"/>
      <c r="Z246" s="2"/>
    </row>
    <row r="247">
      <c r="A247" s="1">
        <f>IFERROR(__xludf.DUMMYFUNCTION("""COMPUTED_VALUE"""),246.0)</f>
        <v>246</v>
      </c>
      <c r="B247" s="1">
        <f>IFERROR(__xludf.DUMMYFUNCTION("""COMPUTED_VALUE"""),10078.0)</f>
        <v>10078</v>
      </c>
      <c r="C247" s="2" t="str">
        <f>IFERROR(__xludf.DUMMYFUNCTION("""COMPUTED_VALUE"""),"MATA ELANG 20KV")</f>
        <v>MATA ELANG 20KV</v>
      </c>
      <c r="D247" s="2" t="str">
        <f>IFERROR(__xludf.DUMMYFUNCTION("""COMPUTED_VALUE"""),"10KM OVERALL M")</f>
        <v>10KM OVERALL M</v>
      </c>
      <c r="E247" s="1">
        <f>IFERROR(__xludf.DUMMYFUNCTION("""COMPUTED_VALUE"""),1.0)</f>
        <v>1</v>
      </c>
      <c r="F247" s="1" t="str">
        <f>IFERROR(__xludf.DUMMYFUNCTION("""COMPUTED_VALUE"""),"Male")</f>
        <v>Male</v>
      </c>
      <c r="G247" s="4" t="b">
        <f>IFERROR(__xludf.DUMMYFUNCTION("""COMPUTED_VALUE"""),TRUE)</f>
        <v>1</v>
      </c>
      <c r="H247" s="4" t="b">
        <f>IFERROR(__xludf.DUMMYFUNCTION("""COMPUTED_VALUE"""),TRUE)</f>
        <v>1</v>
      </c>
      <c r="I247" s="4">
        <f>IFERROR(__xludf.DUMMYFUNCTION("""COMPUTED_VALUE"""),0.24646185185185185)</f>
        <v>0.2464618519</v>
      </c>
      <c r="J247" s="4">
        <f>IFERROR(__xludf.DUMMYFUNCTION("""COMPUTED_VALUE"""),45949.257814947225)</f>
        <v>45949.25781</v>
      </c>
      <c r="K247" s="4">
        <f>IFERROR(__xludf.DUMMYFUNCTION("""COMPUTED_VALUE"""),45949.29178389023)</f>
        <v>45949.29178</v>
      </c>
      <c r="L247" s="4">
        <f>IFERROR(__xludf.DUMMYFUNCTION("""COMPUTED_VALUE"""),45949.30116128253)</f>
        <v>45949.30116</v>
      </c>
      <c r="M247" s="1" t="str">
        <f>IFERROR(__xludf.DUMMYFUNCTION("""COMPUTED_VALUE"""),"RFID")</f>
        <v>RFID</v>
      </c>
      <c r="N247" s="5">
        <f>IFERROR(__xludf.DUMMYFUNCTION("""COMPUTED_VALUE"""),0.004541236111111111)</f>
        <v>0.004541236111</v>
      </c>
      <c r="O247" s="5">
        <f>IFERROR(__xludf.DUMMYFUNCTION("""COMPUTED_VALUE"""),0.013587578703703704)</f>
        <v>0.0135875787</v>
      </c>
      <c r="P247" s="5">
        <f>IFERROR(__xludf.DUMMYFUNCTION("""COMPUTED_VALUE"""),0.0038590091769296077)</f>
        <v>0.003859009177</v>
      </c>
      <c r="Q247" s="5">
        <f>IFERROR(__xludf.DUMMYFUNCTION("""COMPUTED_VALUE"""),0.005469943287037037)</f>
        <v>0.005469943287</v>
      </c>
      <c r="R247" s="4">
        <f>IFERROR(__xludf.DUMMYFUNCTION("""COMPUTED_VALUE"""),45949.05469943068)</f>
        <v>45949.0547</v>
      </c>
      <c r="S247" s="1" t="b">
        <f>IFERROR(__xludf.DUMMYFUNCTION("""COMPUTED_VALUE"""),TRUE)</f>
        <v>1</v>
      </c>
      <c r="T247" s="1" t="b">
        <f>IFERROR(__xludf.DUMMYFUNCTION("""COMPUTED_VALUE"""),FALSE)</f>
        <v>0</v>
      </c>
      <c r="U247" s="1" t="str">
        <f>IFERROR(__xludf.DUMMYFUNCTION("""COMPUTED_VALUE"""),"VALID")</f>
        <v>VALID</v>
      </c>
      <c r="V247" s="1">
        <f>IFERROR(__xludf.DUMMYFUNCTION("""COMPUTED_VALUE"""),456.0)</f>
        <v>456</v>
      </c>
      <c r="W247" s="1">
        <f>IFERROR(__xludf.DUMMYFUNCTION("""COMPUTED_VALUE"""),545.0)</f>
        <v>545</v>
      </c>
      <c r="X247" s="1">
        <f>IFERROR(__xludf.DUMMYFUNCTION("""COMPUTED_VALUE"""),1519.0)</f>
        <v>1519</v>
      </c>
      <c r="Y247" s="2"/>
      <c r="Z247" s="2"/>
    </row>
    <row r="248">
      <c r="A248" s="1">
        <f>IFERROR(__xludf.DUMMYFUNCTION("""COMPUTED_VALUE"""),247.0)</f>
        <v>247</v>
      </c>
      <c r="B248" s="1">
        <f>IFERROR(__xludf.DUMMYFUNCTION("""COMPUTED_VALUE"""),10079.0)</f>
        <v>10079</v>
      </c>
      <c r="C248" s="2" t="str">
        <f>IFERROR(__xludf.DUMMYFUNCTION("""COMPUTED_VALUE"""),"Ahmadin")</f>
        <v>Ahmadin</v>
      </c>
      <c r="D248" s="2" t="str">
        <f>IFERROR(__xludf.DUMMYFUNCTION("""COMPUTED_VALUE"""),"10KM OVERALL M")</f>
        <v>10KM OVERALL M</v>
      </c>
      <c r="E248" s="1">
        <f>IFERROR(__xludf.DUMMYFUNCTION("""COMPUTED_VALUE"""),1.0)</f>
        <v>1</v>
      </c>
      <c r="F248" s="1" t="str">
        <f>IFERROR(__xludf.DUMMYFUNCTION("""COMPUTED_VALUE"""),"Male")</f>
        <v>Male</v>
      </c>
      <c r="G248" s="4" t="b">
        <f>IFERROR(__xludf.DUMMYFUNCTION("""COMPUTED_VALUE"""),TRUE)</f>
        <v>1</v>
      </c>
      <c r="H248" s="4" t="b">
        <f>IFERROR(__xludf.DUMMYFUNCTION("""COMPUTED_VALUE"""),FALSE)</f>
        <v>0</v>
      </c>
      <c r="I248" s="4">
        <f>IFERROR(__xludf.DUMMYFUNCTION("""COMPUTED_VALUE"""),0.24646185185185185)</f>
        <v>0.2464618519</v>
      </c>
      <c r="J248" s="4">
        <f>IFERROR(__xludf.DUMMYFUNCTION("""COMPUTED_VALUE"""),45949.26285656328)</f>
        <v>45949.26286</v>
      </c>
      <c r="K248" s="4">
        <f>IFERROR(__xludf.DUMMYFUNCTION("""COMPUTED_VALUE"""),45949.29868413224)</f>
        <v>45949.29868</v>
      </c>
      <c r="L248" s="4">
        <f>IFERROR(__xludf.DUMMYFUNCTION("""COMPUTED_VALUE"""),45949.3107932326)</f>
        <v>45949.31079</v>
      </c>
      <c r="M248" s="1" t="str">
        <f>IFERROR(__xludf.DUMMYFUNCTION("""COMPUTED_VALUE"""),"RFID")</f>
        <v>RFID</v>
      </c>
      <c r="N248" s="5">
        <f>IFERROR(__xludf.DUMMYFUNCTION("""COMPUTED_VALUE"""),0.006557884259259258)</f>
        <v>0.006557884259</v>
      </c>
      <c r="O248" s="5">
        <f>IFERROR(__xludf.DUMMYFUNCTION("""COMPUTED_VALUE"""),0.014331027777777778)</f>
        <v>0.01433102778</v>
      </c>
      <c r="P248" s="5">
        <f>IFERROR(__xludf.DUMMYFUNCTION("""COMPUTED_VALUE"""),0.004983168872530331)</f>
        <v>0.004983168873</v>
      </c>
      <c r="Q248" s="5">
        <f>IFERROR(__xludf.DUMMYFUNCTION("""COMPUTED_VALUE"""),0.006433137731481481)</f>
        <v>0.006433137731</v>
      </c>
      <c r="R248" s="4">
        <f>IFERROR(__xludf.DUMMYFUNCTION("""COMPUTED_VALUE"""),45949.06433138075)</f>
        <v>45949.06433</v>
      </c>
      <c r="S248" s="1" t="b">
        <f>IFERROR(__xludf.DUMMYFUNCTION("""COMPUTED_VALUE"""),TRUE)</f>
        <v>1</v>
      </c>
      <c r="T248" s="1" t="b">
        <f>IFERROR(__xludf.DUMMYFUNCTION("""COMPUTED_VALUE"""),FALSE)</f>
        <v>0</v>
      </c>
      <c r="U248" s="1" t="str">
        <f>IFERROR(__xludf.DUMMYFUNCTION("""COMPUTED_VALUE"""),"VALID")</f>
        <v>VALID</v>
      </c>
      <c r="V248" s="1">
        <f>IFERROR(__xludf.DUMMYFUNCTION("""COMPUTED_VALUE"""),564.0)</f>
        <v>564</v>
      </c>
      <c r="W248" s="1">
        <f>IFERROR(__xludf.DUMMYFUNCTION("""COMPUTED_VALUE"""),696.0)</f>
        <v>696</v>
      </c>
      <c r="X248" s="1">
        <f>IFERROR(__xludf.DUMMYFUNCTION("""COMPUTED_VALUE"""),1642.0)</f>
        <v>1642</v>
      </c>
      <c r="Y248" s="2"/>
      <c r="Z248" s="2"/>
    </row>
    <row r="249">
      <c r="A249" s="1">
        <f>IFERROR(__xludf.DUMMYFUNCTION("""COMPUTED_VALUE"""),248.0)</f>
        <v>248</v>
      </c>
      <c r="B249" s="1">
        <f>IFERROR(__xludf.DUMMYFUNCTION("""COMPUTED_VALUE"""),10080.0)</f>
        <v>10080</v>
      </c>
      <c r="C249" s="2" t="str">
        <f>IFERROR(__xludf.DUMMYFUNCTION("""COMPUTED_VALUE"""),"Ilham Nazza")</f>
        <v>Ilham Nazza</v>
      </c>
      <c r="D249" s="2" t="str">
        <f>IFERROR(__xludf.DUMMYFUNCTION("""COMPUTED_VALUE"""),"10KM OVERALL M")</f>
        <v>10KM OVERALL M</v>
      </c>
      <c r="E249" s="1">
        <f>IFERROR(__xludf.DUMMYFUNCTION("""COMPUTED_VALUE"""),1.0)</f>
        <v>1</v>
      </c>
      <c r="F249" s="1" t="str">
        <f>IFERROR(__xludf.DUMMYFUNCTION("""COMPUTED_VALUE"""),"Male")</f>
        <v>Male</v>
      </c>
      <c r="G249" s="4" t="str">
        <f>IFERROR(__xludf.DUMMYFUNCTION("""COMPUTED_VALUE"""),"")</f>
        <v/>
      </c>
      <c r="H249" s="4" t="b">
        <f>IFERROR(__xludf.DUMMYFUNCTION("""COMPUTED_VALUE"""),TRUE)</f>
        <v>1</v>
      </c>
      <c r="I249" s="4">
        <f>IFERROR(__xludf.DUMMYFUNCTION("""COMPUTED_VALUE"""),0.24646185185185185)</f>
        <v>0.2464618519</v>
      </c>
      <c r="J249" s="4">
        <f>IFERROR(__xludf.DUMMYFUNCTION("""COMPUTED_VALUE"""),45949.259353073845)</f>
        <v>45949.25935</v>
      </c>
      <c r="K249" s="4">
        <f>IFERROR(__xludf.DUMMYFUNCTION("""COMPUTED_VALUE"""),45949.29178732066)</f>
        <v>45949.29179</v>
      </c>
      <c r="L249" s="4">
        <f>IFERROR(__xludf.DUMMYFUNCTION("""COMPUTED_VALUE"""),45949.30015086774)</f>
        <v>45949.30015</v>
      </c>
      <c r="M249" s="1" t="str">
        <f>IFERROR(__xludf.DUMMYFUNCTION("""COMPUTED_VALUE"""),"RFID")</f>
        <v>RFID</v>
      </c>
      <c r="N249" s="5">
        <f>IFERROR(__xludf.DUMMYFUNCTION("""COMPUTED_VALUE"""),0.005156490740740741)</f>
        <v>0.005156490741</v>
      </c>
      <c r="O249" s="5">
        <f>IFERROR(__xludf.DUMMYFUNCTION("""COMPUTED_VALUE"""),0.012973699074074075)</f>
        <v>0.01297369907</v>
      </c>
      <c r="P249" s="5">
        <f>IFERROR(__xludf.DUMMYFUNCTION("""COMPUTED_VALUE"""),0.0034417889218436313)</f>
        <v>0.003441788922</v>
      </c>
      <c r="Q249" s="5">
        <f>IFERROR(__xludf.DUMMYFUNCTION("""COMPUTED_VALUE"""),0.00536890162037037)</f>
        <v>0.00536890162</v>
      </c>
      <c r="R249" s="4">
        <f>IFERROR(__xludf.DUMMYFUNCTION("""COMPUTED_VALUE"""),45949.05368901589)</f>
        <v>45949.05369</v>
      </c>
      <c r="S249" s="1" t="b">
        <f>IFERROR(__xludf.DUMMYFUNCTION("""COMPUTED_VALUE"""),TRUE)</f>
        <v>1</v>
      </c>
      <c r="T249" s="1" t="b">
        <f>IFERROR(__xludf.DUMMYFUNCTION("""COMPUTED_VALUE"""),FALSE)</f>
        <v>0</v>
      </c>
      <c r="U249" s="1" t="str">
        <f>IFERROR(__xludf.DUMMYFUNCTION("""COMPUTED_VALUE"""),"VALID")</f>
        <v>VALID</v>
      </c>
      <c r="V249" s="1">
        <f>IFERROR(__xludf.DUMMYFUNCTION("""COMPUTED_VALUE"""),419.0)</f>
        <v>419</v>
      </c>
      <c r="W249" s="1">
        <f>IFERROR(__xludf.DUMMYFUNCTION("""COMPUTED_VALUE"""),499.0)</f>
        <v>499</v>
      </c>
      <c r="X249" s="1">
        <f>IFERROR(__xludf.DUMMYFUNCTION("""COMPUTED_VALUE"""),1475.0)</f>
        <v>1475</v>
      </c>
      <c r="Y249" s="2"/>
      <c r="Z249" s="2"/>
    </row>
    <row r="250">
      <c r="A250" s="1">
        <f>IFERROR(__xludf.DUMMYFUNCTION("""COMPUTED_VALUE"""),249.0)</f>
        <v>249</v>
      </c>
      <c r="B250" s="1">
        <f>IFERROR(__xludf.DUMMYFUNCTION("""COMPUTED_VALUE"""),10081.0)</f>
        <v>10081</v>
      </c>
      <c r="C250" s="2" t="str">
        <f>IFERROR(__xludf.DUMMYFUNCTION("""COMPUTED_VALUE"""),"MAHROS")</f>
        <v>MAHROS</v>
      </c>
      <c r="D250" s="2" t="str">
        <f>IFERROR(__xludf.DUMMYFUNCTION("""COMPUTED_VALUE"""),"10KM OVERALL M")</f>
        <v>10KM OVERALL M</v>
      </c>
      <c r="E250" s="1">
        <f>IFERROR(__xludf.DUMMYFUNCTION("""COMPUTED_VALUE"""),1.0)</f>
        <v>1</v>
      </c>
      <c r="F250" s="1" t="str">
        <f>IFERROR(__xludf.DUMMYFUNCTION("""COMPUTED_VALUE"""),"Male")</f>
        <v>Male</v>
      </c>
      <c r="G250" s="4" t="b">
        <f>IFERROR(__xludf.DUMMYFUNCTION("""COMPUTED_VALUE"""),TRUE)</f>
        <v>1</v>
      </c>
      <c r="H250" s="4" t="b">
        <f>IFERROR(__xludf.DUMMYFUNCTION("""COMPUTED_VALUE"""),TRUE)</f>
        <v>1</v>
      </c>
      <c r="I250" s="4">
        <f>IFERROR(__xludf.DUMMYFUNCTION("""COMPUTED_VALUE"""),0.24646185185185185)</f>
        <v>0.2464618519</v>
      </c>
      <c r="J250" s="4">
        <f>IFERROR(__xludf.DUMMYFUNCTION("""COMPUTED_VALUE"""),45949.25905801642)</f>
        <v>45949.25906</v>
      </c>
      <c r="K250" s="4">
        <f>IFERROR(__xludf.DUMMYFUNCTION("""COMPUTED_VALUE"""),45949.29204779115)</f>
        <v>45949.29205</v>
      </c>
      <c r="L250" s="4">
        <f>IFERROR(__xludf.DUMMYFUNCTION("""COMPUTED_VALUE"""),45949.301956374846)</f>
        <v>45949.30196</v>
      </c>
      <c r="M250" s="1" t="str">
        <f>IFERROR(__xludf.DUMMYFUNCTION("""COMPUTED_VALUE"""),"RFID")</f>
        <v>RFID</v>
      </c>
      <c r="N250" s="5">
        <f>IFERROR(__xludf.DUMMYFUNCTION("""COMPUTED_VALUE"""),0.005038467592592593)</f>
        <v>0.005038467593</v>
      </c>
      <c r="O250" s="5">
        <f>IFERROR(__xludf.DUMMYFUNCTION("""COMPUTED_VALUE"""),0.013195912037037036)</f>
        <v>0.01319591204</v>
      </c>
      <c r="P250" s="5">
        <f>IFERROR(__xludf.DUMMYFUNCTION("""COMPUTED_VALUE"""),0.004077606460552877)</f>
        <v>0.004077606461</v>
      </c>
      <c r="Q250" s="5">
        <f>IFERROR(__xludf.DUMMYFUNCTION("""COMPUTED_VALUE"""),0.005549452546296296)</f>
        <v>0.005549452546</v>
      </c>
      <c r="R250" s="4">
        <f>IFERROR(__xludf.DUMMYFUNCTION("""COMPUTED_VALUE"""),45949.055494522996)</f>
        <v>45949.05549</v>
      </c>
      <c r="S250" s="1" t="b">
        <f>IFERROR(__xludf.DUMMYFUNCTION("""COMPUTED_VALUE"""),TRUE)</f>
        <v>1</v>
      </c>
      <c r="T250" s="1" t="b">
        <f>IFERROR(__xludf.DUMMYFUNCTION("""COMPUTED_VALUE"""),FALSE)</f>
        <v>0</v>
      </c>
      <c r="U250" s="1" t="str">
        <f>IFERROR(__xludf.DUMMYFUNCTION("""COMPUTED_VALUE"""),"VALID")</f>
        <v>VALID</v>
      </c>
      <c r="V250" s="1">
        <f>IFERROR(__xludf.DUMMYFUNCTION("""COMPUTED_VALUE"""),469.0)</f>
        <v>469</v>
      </c>
      <c r="W250" s="1">
        <f>IFERROR(__xludf.DUMMYFUNCTION("""COMPUTED_VALUE"""),562.0)</f>
        <v>562</v>
      </c>
      <c r="X250" s="1">
        <f>IFERROR(__xludf.DUMMYFUNCTION("""COMPUTED_VALUE"""),1535.0)</f>
        <v>1535</v>
      </c>
      <c r="Y250" s="2"/>
      <c r="Z250" s="2"/>
    </row>
    <row r="251">
      <c r="A251" s="1">
        <f>IFERROR(__xludf.DUMMYFUNCTION("""COMPUTED_VALUE"""),250.0)</f>
        <v>250</v>
      </c>
      <c r="B251" s="1">
        <f>IFERROR(__xludf.DUMMYFUNCTION("""COMPUTED_VALUE"""),10082.0)</f>
        <v>10082</v>
      </c>
      <c r="C251" s="2" t="str">
        <f>IFERROR(__xludf.DUMMYFUNCTION("""COMPUTED_VALUE"""),"Mr.Sablon")</f>
        <v>Mr.Sablon</v>
      </c>
      <c r="D251" s="2" t="str">
        <f>IFERROR(__xludf.DUMMYFUNCTION("""COMPUTED_VALUE"""),"10KM OVERALL M")</f>
        <v>10KM OVERALL M</v>
      </c>
      <c r="E251" s="1">
        <f>IFERROR(__xludf.DUMMYFUNCTION("""COMPUTED_VALUE"""),1.0)</f>
        <v>1</v>
      </c>
      <c r="F251" s="1" t="str">
        <f>IFERROR(__xludf.DUMMYFUNCTION("""COMPUTED_VALUE"""),"Male")</f>
        <v>Male</v>
      </c>
      <c r="G251" s="4" t="b">
        <f>IFERROR(__xludf.DUMMYFUNCTION("""COMPUTED_VALUE"""),TRUE)</f>
        <v>1</v>
      </c>
      <c r="H251" s="4" t="b">
        <f>IFERROR(__xludf.DUMMYFUNCTION("""COMPUTED_VALUE"""),TRUE)</f>
        <v>1</v>
      </c>
      <c r="I251" s="4">
        <f>IFERROR(__xludf.DUMMYFUNCTION("""COMPUTED_VALUE"""),0.24646185185185185)</f>
        <v>0.2464618519</v>
      </c>
      <c r="J251" s="4">
        <f>IFERROR(__xludf.DUMMYFUNCTION("""COMPUTED_VALUE"""),45949.25861702552)</f>
        <v>45949.25862</v>
      </c>
      <c r="K251" s="4">
        <f>IFERROR(__xludf.DUMMYFUNCTION("""COMPUTED_VALUE"""),45949.288127424195)</f>
        <v>45949.28813</v>
      </c>
      <c r="L251" s="4">
        <f>IFERROR(__xludf.DUMMYFUNCTION("""COMPUTED_VALUE"""),45949.30323188161)</f>
        <v>45949.30323</v>
      </c>
      <c r="M251" s="1" t="str">
        <f>IFERROR(__xludf.DUMMYFUNCTION("""COMPUTED_VALUE"""),"RFID")</f>
        <v>RFID</v>
      </c>
      <c r="N251" s="5">
        <f>IFERROR(__xludf.DUMMYFUNCTION("""COMPUTED_VALUE"""),0.004862069444444445)</f>
        <v>0.004862069444</v>
      </c>
      <c r="O251" s="5">
        <f>IFERROR(__xludf.DUMMYFUNCTION("""COMPUTED_VALUE"""),0.011804157407407406)</f>
        <v>0.01180415741</v>
      </c>
      <c r="P251" s="5">
        <f>IFERROR(__xludf.DUMMYFUNCTION("""COMPUTED_VALUE"""),0.006215826097067154)</f>
        <v>0.006215826097</v>
      </c>
      <c r="Q251" s="5">
        <f>IFERROR(__xludf.DUMMYFUNCTION("""COMPUTED_VALUE"""),0.005677003472222221)</f>
        <v>0.005677003472</v>
      </c>
      <c r="R251" s="4">
        <f>IFERROR(__xludf.DUMMYFUNCTION("""COMPUTED_VALUE"""),45949.05677002976)</f>
        <v>45949.05677</v>
      </c>
      <c r="S251" s="1" t="b">
        <f>IFERROR(__xludf.DUMMYFUNCTION("""COMPUTED_VALUE"""),TRUE)</f>
        <v>1</v>
      </c>
      <c r="T251" s="1" t="b">
        <f>IFERROR(__xludf.DUMMYFUNCTION("""COMPUTED_VALUE"""),FALSE)</f>
        <v>0</v>
      </c>
      <c r="U251" s="1" t="str">
        <f>IFERROR(__xludf.DUMMYFUNCTION("""COMPUTED_VALUE"""),"VALID")</f>
        <v>VALID</v>
      </c>
      <c r="V251" s="1">
        <f>IFERROR(__xludf.DUMMYFUNCTION("""COMPUTED_VALUE"""),495.0)</f>
        <v>495</v>
      </c>
      <c r="W251" s="1">
        <f>IFERROR(__xludf.DUMMYFUNCTION("""COMPUTED_VALUE"""),595.0)</f>
        <v>595</v>
      </c>
      <c r="X251" s="1">
        <f>IFERROR(__xludf.DUMMYFUNCTION("""COMPUTED_VALUE"""),1564.0)</f>
        <v>1564</v>
      </c>
      <c r="Y251" s="2"/>
      <c r="Z251" s="2"/>
    </row>
    <row r="252">
      <c r="A252" s="1">
        <f>IFERROR(__xludf.DUMMYFUNCTION("""COMPUTED_VALUE"""),251.0)</f>
        <v>251</v>
      </c>
      <c r="B252" s="1">
        <f>IFERROR(__xludf.DUMMYFUNCTION("""COMPUTED_VALUE"""),10083.0)</f>
        <v>10083</v>
      </c>
      <c r="C252" s="2" t="str">
        <f>IFERROR(__xludf.DUMMYFUNCTION("""COMPUTED_VALUE"""),"FIDO")</f>
        <v>FIDO</v>
      </c>
      <c r="D252" s="2" t="str">
        <f>IFERROR(__xludf.DUMMYFUNCTION("""COMPUTED_VALUE"""),"10KM OVERALL M")</f>
        <v>10KM OVERALL M</v>
      </c>
      <c r="E252" s="1">
        <f>IFERROR(__xludf.DUMMYFUNCTION("""COMPUTED_VALUE"""),1.0)</f>
        <v>1</v>
      </c>
      <c r="F252" s="1" t="str">
        <f>IFERROR(__xludf.DUMMYFUNCTION("""COMPUTED_VALUE"""),"Male")</f>
        <v>Male</v>
      </c>
      <c r="G252" s="4" t="b">
        <f>IFERROR(__xludf.DUMMYFUNCTION("""COMPUTED_VALUE"""),TRUE)</f>
        <v>1</v>
      </c>
      <c r="H252" s="4" t="b">
        <f>IFERROR(__xludf.DUMMYFUNCTION("""COMPUTED_VALUE"""),FALSE)</f>
        <v>0</v>
      </c>
      <c r="I252" s="4">
        <f>IFERROR(__xludf.DUMMYFUNCTION("""COMPUTED_VALUE"""),0.24646185185185185)</f>
        <v>0.2464618519</v>
      </c>
      <c r="J252" s="4">
        <f>IFERROR(__xludf.DUMMYFUNCTION("""COMPUTED_VALUE"""),45949.256512872606)</f>
        <v>45949.25651</v>
      </c>
      <c r="K252" s="4">
        <f>IFERROR(__xludf.DUMMYFUNCTION("""COMPUTED_VALUE"""),45949.279196914526)</f>
        <v>45949.2792</v>
      </c>
      <c r="L252" s="4">
        <f>IFERROR(__xludf.DUMMYFUNCTION("""COMPUTED_VALUE"""),45949.28551198819)</f>
        <v>45949.28551</v>
      </c>
      <c r="M252" s="1" t="str">
        <f>IFERROR(__xludf.DUMMYFUNCTION("""COMPUTED_VALUE"""),"RFID")</f>
        <v>RFID</v>
      </c>
      <c r="N252" s="5">
        <f>IFERROR(__xludf.DUMMYFUNCTION("""COMPUTED_VALUE"""),0.0040204074074074074)</f>
        <v>0.004020407407</v>
      </c>
      <c r="O252" s="5">
        <f>IFERROR(__xludf.DUMMYFUNCTION("""COMPUTED_VALUE"""),0.009073615740740741)</f>
        <v>0.009073615741</v>
      </c>
      <c r="P252" s="5">
        <f>IFERROR(__xludf.DUMMYFUNCTION("""COMPUTED_VALUE"""),0.0025987957480627997)</f>
        <v>0.002598795748</v>
      </c>
      <c r="Q252" s="5">
        <f>IFERROR(__xludf.DUMMYFUNCTION("""COMPUTED_VALUE"""),0.0039050138888888884)</f>
        <v>0.003905013889</v>
      </c>
      <c r="R252" s="4">
        <f>IFERROR(__xludf.DUMMYFUNCTION("""COMPUTED_VALUE"""),45949.03905013634)</f>
        <v>45949.03905</v>
      </c>
      <c r="S252" s="1" t="b">
        <f>IFERROR(__xludf.DUMMYFUNCTION("""COMPUTED_VALUE"""),TRUE)</f>
        <v>1</v>
      </c>
      <c r="T252" s="1" t="b">
        <f>IFERROR(__xludf.DUMMYFUNCTION("""COMPUTED_VALUE"""),FALSE)</f>
        <v>0</v>
      </c>
      <c r="U252" s="1" t="str">
        <f>IFERROR(__xludf.DUMMYFUNCTION("""COMPUTED_VALUE"""),"VALID")</f>
        <v>VALID</v>
      </c>
      <c r="V252" s="1">
        <f>IFERROR(__xludf.DUMMYFUNCTION("""COMPUTED_VALUE"""),82.0)</f>
        <v>82</v>
      </c>
      <c r="W252" s="1">
        <f>IFERROR(__xludf.DUMMYFUNCTION("""COMPUTED_VALUE"""),100.0)</f>
        <v>100</v>
      </c>
      <c r="X252" s="1">
        <f>IFERROR(__xludf.DUMMYFUNCTION("""COMPUTED_VALUE"""),929.0)</f>
        <v>929</v>
      </c>
      <c r="Y252" s="2"/>
      <c r="Z252" s="2"/>
    </row>
    <row r="253">
      <c r="A253" s="1">
        <f>IFERROR(__xludf.DUMMYFUNCTION("""COMPUTED_VALUE"""),252.0)</f>
        <v>252</v>
      </c>
      <c r="B253" s="1">
        <f>IFERROR(__xludf.DUMMYFUNCTION("""COMPUTED_VALUE"""),10084.0)</f>
        <v>10084</v>
      </c>
      <c r="C253" s="2" t="str">
        <f>IFERROR(__xludf.DUMMYFUNCTION("""COMPUTED_VALUE"""),"MUHAMMAD REZA")</f>
        <v>MUHAMMAD REZA</v>
      </c>
      <c r="D253" s="2" t="str">
        <f>IFERROR(__xludf.DUMMYFUNCTION("""COMPUTED_VALUE"""),"10KM OVERALL M")</f>
        <v>10KM OVERALL M</v>
      </c>
      <c r="E253" s="1">
        <f>IFERROR(__xludf.DUMMYFUNCTION("""COMPUTED_VALUE"""),1.0)</f>
        <v>1</v>
      </c>
      <c r="F253" s="1" t="str">
        <f>IFERROR(__xludf.DUMMYFUNCTION("""COMPUTED_VALUE"""),"Male")</f>
        <v>Male</v>
      </c>
      <c r="G253" s="4" t="b">
        <f>IFERROR(__xludf.DUMMYFUNCTION("""COMPUTED_VALUE"""),TRUE)</f>
        <v>1</v>
      </c>
      <c r="H253" s="4" t="b">
        <f>IFERROR(__xludf.DUMMYFUNCTION("""COMPUTED_VALUE"""),TRUE)</f>
        <v>1</v>
      </c>
      <c r="I253" s="4">
        <f>IFERROR(__xludf.DUMMYFUNCTION("""COMPUTED_VALUE"""),0.24646185185185185)</f>
        <v>0.2464618519</v>
      </c>
      <c r="J253" s="4">
        <f>IFERROR(__xludf.DUMMYFUNCTION("""COMPUTED_VALUE"""),45949.25458230202)</f>
        <v>45949.25458</v>
      </c>
      <c r="K253" s="4">
        <f>IFERROR(__xludf.DUMMYFUNCTION("""COMPUTED_VALUE"""),45949.27647969065)</f>
        <v>45949.27648</v>
      </c>
      <c r="L253" s="4">
        <f>IFERROR(__xludf.DUMMYFUNCTION("""COMPUTED_VALUE"""),45949.28267171933)</f>
        <v>45949.28267</v>
      </c>
      <c r="M253" s="1" t="str">
        <f>IFERROR(__xludf.DUMMYFUNCTION("""COMPUTED_VALUE"""),"RFID")</f>
        <v>RFID</v>
      </c>
      <c r="N253" s="5">
        <f>IFERROR(__xludf.DUMMYFUNCTION("""COMPUTED_VALUE"""),0.0032481805555555554)</f>
        <v>0.003248180556</v>
      </c>
      <c r="O253" s="5">
        <f>IFERROR(__xludf.DUMMYFUNCTION("""COMPUTED_VALUE"""),0.008758953703703703)</f>
        <v>0.008758953704</v>
      </c>
      <c r="P253" s="5">
        <f>IFERROR(__xludf.DUMMYFUNCTION("""COMPUTED_VALUE"""),0.00254815995167182)</f>
        <v>0.002548159952</v>
      </c>
      <c r="Q253" s="5">
        <f>IFERROR(__xludf.DUMMYFUNCTION("""COMPUTED_VALUE"""),0.003620987268518518)</f>
        <v>0.003620987269</v>
      </c>
      <c r="R253" s="4">
        <f>IFERROR(__xludf.DUMMYFUNCTION("""COMPUTED_VALUE"""),45949.03620986748)</f>
        <v>45949.03621</v>
      </c>
      <c r="S253" s="1" t="b">
        <f>IFERROR(__xludf.DUMMYFUNCTION("""COMPUTED_VALUE"""),TRUE)</f>
        <v>1</v>
      </c>
      <c r="T253" s="1" t="b">
        <f>IFERROR(__xludf.DUMMYFUNCTION("""COMPUTED_VALUE"""),FALSE)</f>
        <v>0</v>
      </c>
      <c r="U253" s="1" t="str">
        <f>IFERROR(__xludf.DUMMYFUNCTION("""COMPUTED_VALUE"""),"VALID")</f>
        <v>VALID</v>
      </c>
      <c r="V253" s="1">
        <f>IFERROR(__xludf.DUMMYFUNCTION("""COMPUTED_VALUE"""),46.0)</f>
        <v>46</v>
      </c>
      <c r="W253" s="1">
        <f>IFERROR(__xludf.DUMMYFUNCTION("""COMPUTED_VALUE"""),58.0)</f>
        <v>58</v>
      </c>
      <c r="X253" s="1">
        <f>IFERROR(__xludf.DUMMYFUNCTION("""COMPUTED_VALUE"""),787.0)</f>
        <v>787</v>
      </c>
      <c r="Y253" s="2"/>
      <c r="Z253" s="2"/>
    </row>
    <row r="254">
      <c r="A254" s="1">
        <f>IFERROR(__xludf.DUMMYFUNCTION("""COMPUTED_VALUE"""),253.0)</f>
        <v>253</v>
      </c>
      <c r="B254" s="1">
        <f>IFERROR(__xludf.DUMMYFUNCTION("""COMPUTED_VALUE"""),10085.0)</f>
        <v>10085</v>
      </c>
      <c r="C254" s="2" t="str">
        <f>IFERROR(__xludf.DUMMYFUNCTION("""COMPUTED_VALUE"""),"Rizki Wahyu")</f>
        <v>Rizki Wahyu</v>
      </c>
      <c r="D254" s="2" t="str">
        <f>IFERROR(__xludf.DUMMYFUNCTION("""COMPUTED_VALUE"""),"10KM OVERALL M")</f>
        <v>10KM OVERALL M</v>
      </c>
      <c r="E254" s="1">
        <f>IFERROR(__xludf.DUMMYFUNCTION("""COMPUTED_VALUE"""),1.0)</f>
        <v>1</v>
      </c>
      <c r="F254" s="1" t="str">
        <f>IFERROR(__xludf.DUMMYFUNCTION("""COMPUTED_VALUE"""),"Male")</f>
        <v>Male</v>
      </c>
      <c r="G254" s="4" t="b">
        <f>IFERROR(__xludf.DUMMYFUNCTION("""COMPUTED_VALUE"""),TRUE)</f>
        <v>1</v>
      </c>
      <c r="H254" s="4" t="b">
        <f>IFERROR(__xludf.DUMMYFUNCTION("""COMPUTED_VALUE"""),TRUE)</f>
        <v>1</v>
      </c>
      <c r="I254" s="4">
        <f>IFERROR(__xludf.DUMMYFUNCTION("""COMPUTED_VALUE"""),0.24646185185185185)</f>
        <v>0.2464618519</v>
      </c>
      <c r="J254" s="4">
        <f>IFERROR(__xludf.DUMMYFUNCTION("""COMPUTED_VALUE"""),45949.259544045424)</f>
        <v>45949.25954</v>
      </c>
      <c r="K254" s="4">
        <f>IFERROR(__xludf.DUMMYFUNCTION("""COMPUTED_VALUE"""),45949.29179436579)</f>
        <v>45949.29179</v>
      </c>
      <c r="L254" s="4">
        <f>IFERROR(__xludf.DUMMYFUNCTION("""COMPUTED_VALUE"""),45949.301578650724)</f>
        <v>45949.30158</v>
      </c>
      <c r="M254" s="1" t="str">
        <f>IFERROR(__xludf.DUMMYFUNCTION("""COMPUTED_VALUE"""),"RFID")</f>
        <v>RFID</v>
      </c>
      <c r="N254" s="5">
        <f>IFERROR(__xludf.DUMMYFUNCTION("""COMPUTED_VALUE"""),0.005232879629629629)</f>
        <v>0.00523287963</v>
      </c>
      <c r="O254" s="5">
        <f>IFERROR(__xludf.DUMMYFUNCTION("""COMPUTED_VALUE"""),0.012900129629629628)</f>
        <v>0.01290012963</v>
      </c>
      <c r="P254" s="5">
        <f>IFERROR(__xludf.DUMMYFUNCTION("""COMPUTED_VALUE"""),0.0040264547059461935)</f>
        <v>0.004026454706</v>
      </c>
      <c r="Q254" s="5">
        <f>IFERROR(__xludf.DUMMYFUNCTION("""COMPUTED_VALUE"""),0.005511679398148148)</f>
        <v>0.005511679398</v>
      </c>
      <c r="R254" s="4">
        <f>IFERROR(__xludf.DUMMYFUNCTION("""COMPUTED_VALUE"""),45949.055116798874)</f>
        <v>45949.05512</v>
      </c>
      <c r="S254" s="1" t="b">
        <f>IFERROR(__xludf.DUMMYFUNCTION("""COMPUTED_VALUE"""),TRUE)</f>
        <v>1</v>
      </c>
      <c r="T254" s="1" t="b">
        <f>IFERROR(__xludf.DUMMYFUNCTION("""COMPUTED_VALUE"""),FALSE)</f>
        <v>0</v>
      </c>
      <c r="U254" s="1" t="str">
        <f>IFERROR(__xludf.DUMMYFUNCTION("""COMPUTED_VALUE"""),"VALID")</f>
        <v>VALID</v>
      </c>
      <c r="V254" s="1">
        <f>IFERROR(__xludf.DUMMYFUNCTION("""COMPUTED_VALUE"""),461.0)</f>
        <v>461</v>
      </c>
      <c r="W254" s="1">
        <f>IFERROR(__xludf.DUMMYFUNCTION("""COMPUTED_VALUE"""),553.0)</f>
        <v>553</v>
      </c>
      <c r="X254" s="1">
        <f>IFERROR(__xludf.DUMMYFUNCTION("""COMPUTED_VALUE"""),1526.0)</f>
        <v>1526</v>
      </c>
      <c r="Y254" s="2"/>
      <c r="Z254" s="2"/>
    </row>
    <row r="255">
      <c r="A255" s="1">
        <f>IFERROR(__xludf.DUMMYFUNCTION("""COMPUTED_VALUE"""),254.0)</f>
        <v>254</v>
      </c>
      <c r="B255" s="1">
        <f>IFERROR(__xludf.DUMMYFUNCTION("""COMPUTED_VALUE"""),10086.0)</f>
        <v>10086</v>
      </c>
      <c r="C255" s="2" t="str">
        <f>IFERROR(__xludf.DUMMYFUNCTION("""COMPUTED_VALUE"""),"TUTEK")</f>
        <v>TUTEK</v>
      </c>
      <c r="D255" s="2" t="str">
        <f>IFERROR(__xludf.DUMMYFUNCTION("""COMPUTED_VALUE"""),"10KM OVERALL M")</f>
        <v>10KM OVERALL M</v>
      </c>
      <c r="E255" s="1">
        <f>IFERROR(__xludf.DUMMYFUNCTION("""COMPUTED_VALUE"""),1.0)</f>
        <v>1</v>
      </c>
      <c r="F255" s="1" t="str">
        <f>IFERROR(__xludf.DUMMYFUNCTION("""COMPUTED_VALUE"""),"Male")</f>
        <v>Male</v>
      </c>
      <c r="G255" s="4" t="b">
        <f>IFERROR(__xludf.DUMMYFUNCTION("""COMPUTED_VALUE"""),TRUE)</f>
        <v>1</v>
      </c>
      <c r="H255" s="4" t="b">
        <f>IFERROR(__xludf.DUMMYFUNCTION("""COMPUTED_VALUE"""),TRUE)</f>
        <v>1</v>
      </c>
      <c r="I255" s="4">
        <f>IFERROR(__xludf.DUMMYFUNCTION("""COMPUTED_VALUE"""),0.24646185185185185)</f>
        <v>0.2464618519</v>
      </c>
      <c r="J255" s="4">
        <f>IFERROR(__xludf.DUMMYFUNCTION("""COMPUTED_VALUE"""),45949.25930793807)</f>
        <v>45949.25931</v>
      </c>
      <c r="K255" s="4">
        <f>IFERROR(__xludf.DUMMYFUNCTION("""COMPUTED_VALUE"""),45949.291578992365)</f>
        <v>45949.29158</v>
      </c>
      <c r="L255" s="4">
        <f>IFERROR(__xludf.DUMMYFUNCTION("""COMPUTED_VALUE"""),45949.301140406336)</f>
        <v>45949.30114</v>
      </c>
      <c r="M255" s="1" t="str">
        <f>IFERROR(__xludf.DUMMYFUNCTION("""COMPUTED_VALUE"""),"RFID")</f>
        <v>RFID</v>
      </c>
      <c r="N255" s="5">
        <f>IFERROR(__xludf.DUMMYFUNCTION("""COMPUTED_VALUE"""),0.005138435185185185)</f>
        <v>0.005138435185</v>
      </c>
      <c r="O255" s="5">
        <f>IFERROR(__xludf.DUMMYFUNCTION("""COMPUTED_VALUE"""),0.012908421296296296)</f>
        <v>0.0129084213</v>
      </c>
      <c r="P255" s="5">
        <f>IFERROR(__xludf.DUMMYFUNCTION("""COMPUTED_VALUE"""),0.003934738260009728)</f>
        <v>0.00393473826</v>
      </c>
      <c r="Q255" s="5">
        <f>IFERROR(__xludf.DUMMYFUNCTION("""COMPUTED_VALUE"""),0.005467855324074074)</f>
        <v>0.005467855324</v>
      </c>
      <c r="R255" s="4">
        <f>IFERROR(__xludf.DUMMYFUNCTION("""COMPUTED_VALUE"""),45949.05467855449)</f>
        <v>45949.05468</v>
      </c>
      <c r="S255" s="1" t="b">
        <f>IFERROR(__xludf.DUMMYFUNCTION("""COMPUTED_VALUE"""),TRUE)</f>
        <v>1</v>
      </c>
      <c r="T255" s="1" t="b">
        <f>IFERROR(__xludf.DUMMYFUNCTION("""COMPUTED_VALUE"""),FALSE)</f>
        <v>0</v>
      </c>
      <c r="U255" s="1" t="str">
        <f>IFERROR(__xludf.DUMMYFUNCTION("""COMPUTED_VALUE"""),"VALID")</f>
        <v>VALID</v>
      </c>
      <c r="V255" s="1">
        <f>IFERROR(__xludf.DUMMYFUNCTION("""COMPUTED_VALUE"""),455.0)</f>
        <v>455</v>
      </c>
      <c r="W255" s="1">
        <f>IFERROR(__xludf.DUMMYFUNCTION("""COMPUTED_VALUE"""),544.0)</f>
        <v>544</v>
      </c>
      <c r="X255" s="1">
        <f>IFERROR(__xludf.DUMMYFUNCTION("""COMPUTED_VALUE"""),1518.0)</f>
        <v>1518</v>
      </c>
      <c r="Y255" s="2"/>
      <c r="Z255" s="2"/>
    </row>
    <row r="256">
      <c r="A256" s="1">
        <f>IFERROR(__xludf.DUMMYFUNCTION("""COMPUTED_VALUE"""),255.0)</f>
        <v>255</v>
      </c>
      <c r="B256" s="1">
        <f>IFERROR(__xludf.DUMMYFUNCTION("""COMPUTED_VALUE"""),10087.0)</f>
        <v>10087</v>
      </c>
      <c r="C256" s="2" t="str">
        <f>IFERROR(__xludf.DUMMYFUNCTION("""COMPUTED_VALUE"""),"FITRIYADI")</f>
        <v>FITRIYADI</v>
      </c>
      <c r="D256" s="2" t="str">
        <f>IFERROR(__xludf.DUMMYFUNCTION("""COMPUTED_VALUE"""),"10KM OVERALL M")</f>
        <v>10KM OVERALL M</v>
      </c>
      <c r="E256" s="1">
        <f>IFERROR(__xludf.DUMMYFUNCTION("""COMPUTED_VALUE"""),1.0)</f>
        <v>1</v>
      </c>
      <c r="F256" s="1" t="str">
        <f>IFERROR(__xludf.DUMMYFUNCTION("""COMPUTED_VALUE"""),"Male")</f>
        <v>Male</v>
      </c>
      <c r="G256" s="4" t="str">
        <f>IFERROR(__xludf.DUMMYFUNCTION("""COMPUTED_VALUE"""),"")</f>
        <v/>
      </c>
      <c r="H256" s="4" t="b">
        <f>IFERROR(__xludf.DUMMYFUNCTION("""COMPUTED_VALUE"""),TRUE)</f>
        <v>1</v>
      </c>
      <c r="I256" s="4">
        <f>IFERROR(__xludf.DUMMYFUNCTION("""COMPUTED_VALUE"""),0.24646185185185185)</f>
        <v>0.2464618519</v>
      </c>
      <c r="J256" s="4">
        <f>IFERROR(__xludf.DUMMYFUNCTION("""COMPUTED_VALUE"""),45949.25800238278)</f>
        <v>45949.258</v>
      </c>
      <c r="K256" s="4">
        <f>IFERROR(__xludf.DUMMYFUNCTION("""COMPUTED_VALUE"""),45949.28792952076)</f>
        <v>45949.28793</v>
      </c>
      <c r="L256" s="4">
        <f>IFERROR(__xludf.DUMMYFUNCTION("""COMPUTED_VALUE"""),45949.29650156949)</f>
        <v>45949.2965</v>
      </c>
      <c r="M256" s="1" t="str">
        <f>IFERROR(__xludf.DUMMYFUNCTION("""COMPUTED_VALUE"""),"RFID")</f>
        <v>RFID</v>
      </c>
      <c r="N256" s="5">
        <f>IFERROR(__xludf.DUMMYFUNCTION("""COMPUTED_VALUE"""),0.004616212962962963)</f>
        <v>0.004616212963</v>
      </c>
      <c r="O256" s="5">
        <f>IFERROR(__xludf.DUMMYFUNCTION("""COMPUTED_VALUE"""),0.011970856481481482)</f>
        <v>0.01197085648</v>
      </c>
      <c r="P256" s="5">
        <f>IFERROR(__xludf.DUMMYFUNCTION("""COMPUTED_VALUE"""),0.0035275920712697574)</f>
        <v>0.003527592071</v>
      </c>
      <c r="Q256" s="5">
        <f>IFERROR(__xludf.DUMMYFUNCTION("""COMPUTED_VALUE"""),0.005003972222222222)</f>
        <v>0.005003972222</v>
      </c>
      <c r="R256" s="4">
        <f>IFERROR(__xludf.DUMMYFUNCTION("""COMPUTED_VALUE"""),45949.050039717644)</f>
        <v>45949.05004</v>
      </c>
      <c r="S256" s="1" t="b">
        <f>IFERROR(__xludf.DUMMYFUNCTION("""COMPUTED_VALUE"""),TRUE)</f>
        <v>1</v>
      </c>
      <c r="T256" s="1" t="b">
        <f>IFERROR(__xludf.DUMMYFUNCTION("""COMPUTED_VALUE"""),FALSE)</f>
        <v>0</v>
      </c>
      <c r="U256" s="1" t="str">
        <f>IFERROR(__xludf.DUMMYFUNCTION("""COMPUTED_VALUE"""),"VALID")</f>
        <v>VALID</v>
      </c>
      <c r="V256" s="1">
        <f>IFERROR(__xludf.DUMMYFUNCTION("""COMPUTED_VALUE"""),338.0)</f>
        <v>338</v>
      </c>
      <c r="W256" s="1">
        <f>IFERROR(__xludf.DUMMYFUNCTION("""COMPUTED_VALUE"""),399.0)</f>
        <v>399</v>
      </c>
      <c r="X256" s="1">
        <f>IFERROR(__xludf.DUMMYFUNCTION("""COMPUTED_VALUE"""),1377.0)</f>
        <v>1377</v>
      </c>
      <c r="Y256" s="2"/>
      <c r="Z256" s="2"/>
    </row>
    <row r="257">
      <c r="A257" s="1">
        <f>IFERROR(__xludf.DUMMYFUNCTION("""COMPUTED_VALUE"""),256.0)</f>
        <v>256</v>
      </c>
      <c r="B257" s="1">
        <f>IFERROR(__xludf.DUMMYFUNCTION("""COMPUTED_VALUE"""),10088.0)</f>
        <v>10088</v>
      </c>
      <c r="C257" s="2" t="str">
        <f>IFERROR(__xludf.DUMMYFUNCTION("""COMPUTED_VALUE"""),"Griembell")</f>
        <v>Griembell</v>
      </c>
      <c r="D257" s="2" t="str">
        <f>IFERROR(__xludf.DUMMYFUNCTION("""COMPUTED_VALUE"""),"10KM OVERALL M")</f>
        <v>10KM OVERALL M</v>
      </c>
      <c r="E257" s="1">
        <f>IFERROR(__xludf.DUMMYFUNCTION("""COMPUTED_VALUE"""),1.0)</f>
        <v>1</v>
      </c>
      <c r="F257" s="1" t="str">
        <f>IFERROR(__xludf.DUMMYFUNCTION("""COMPUTED_VALUE"""),"Male")</f>
        <v>Male</v>
      </c>
      <c r="G257" s="4" t="b">
        <f>IFERROR(__xludf.DUMMYFUNCTION("""COMPUTED_VALUE"""),TRUE)</f>
        <v>1</v>
      </c>
      <c r="H257" s="4" t="b">
        <f>IFERROR(__xludf.DUMMYFUNCTION("""COMPUTED_VALUE"""),TRUE)</f>
        <v>1</v>
      </c>
      <c r="I257" s="4">
        <f>IFERROR(__xludf.DUMMYFUNCTION("""COMPUTED_VALUE"""),0.24646185185185185)</f>
        <v>0.2464618519</v>
      </c>
      <c r="J257" s="4">
        <f>IFERROR(__xludf.DUMMYFUNCTION("""COMPUTED_VALUE"""),45949.257026698775)</f>
        <v>45949.25703</v>
      </c>
      <c r="K257" s="4">
        <f>IFERROR(__xludf.DUMMYFUNCTION("""COMPUTED_VALUE"""),45949.28096422714)</f>
        <v>45949.28096</v>
      </c>
      <c r="L257" s="4">
        <f>IFERROR(__xludf.DUMMYFUNCTION("""COMPUTED_VALUE"""),45949.288011985096)</f>
        <v>45949.28801</v>
      </c>
      <c r="M257" s="1" t="str">
        <f>IFERROR(__xludf.DUMMYFUNCTION("""COMPUTED_VALUE"""),"RFID")</f>
        <v>RFID</v>
      </c>
      <c r="N257" s="5">
        <f>IFERROR(__xludf.DUMMYFUNCTION("""COMPUTED_VALUE"""),0.004225939814814815)</f>
        <v>0.004225939815</v>
      </c>
      <c r="O257" s="5">
        <f>IFERROR(__xludf.DUMMYFUNCTION("""COMPUTED_VALUE"""),0.00957500925925926)</f>
        <v>0.009575009259</v>
      </c>
      <c r="P257" s="5">
        <f>IFERROR(__xludf.DUMMYFUNCTION("""COMPUTED_VALUE"""),0.0029003119166584016)</f>
        <v>0.002900311917</v>
      </c>
      <c r="Q257" s="5">
        <f>IFERROR(__xludf.DUMMYFUNCTION("""COMPUTED_VALUE"""),0.004155013888888889)</f>
        <v>0.004155013889</v>
      </c>
      <c r="R257" s="4">
        <f>IFERROR(__xludf.DUMMYFUNCTION("""COMPUTED_VALUE"""),45949.041550133246)</f>
        <v>45949.04155</v>
      </c>
      <c r="S257" s="1" t="b">
        <f>IFERROR(__xludf.DUMMYFUNCTION("""COMPUTED_VALUE"""),TRUE)</f>
        <v>1</v>
      </c>
      <c r="T257" s="1" t="b">
        <f>IFERROR(__xludf.DUMMYFUNCTION("""COMPUTED_VALUE"""),FALSE)</f>
        <v>0</v>
      </c>
      <c r="U257" s="1" t="str">
        <f>IFERROR(__xludf.DUMMYFUNCTION("""COMPUTED_VALUE"""),"VALID")</f>
        <v>VALID</v>
      </c>
      <c r="V257" s="1">
        <f>IFERROR(__xludf.DUMMYFUNCTION("""COMPUTED_VALUE"""),132.0)</f>
        <v>132</v>
      </c>
      <c r="W257" s="1">
        <f>IFERROR(__xludf.DUMMYFUNCTION("""COMPUTED_VALUE"""),156.0)</f>
        <v>156</v>
      </c>
      <c r="X257" s="1">
        <f>IFERROR(__xludf.DUMMYFUNCTION("""COMPUTED_VALUE"""),1047.0)</f>
        <v>1047</v>
      </c>
      <c r="Y257" s="2"/>
      <c r="Z257" s="2"/>
    </row>
    <row r="258">
      <c r="A258" s="1">
        <f>IFERROR(__xludf.DUMMYFUNCTION("""COMPUTED_VALUE"""),257.0)</f>
        <v>257</v>
      </c>
      <c r="B258" s="1">
        <f>IFERROR(__xludf.DUMMYFUNCTION("""COMPUTED_VALUE"""),10089.0)</f>
        <v>10089</v>
      </c>
      <c r="C258" s="2" t="str">
        <f>IFERROR(__xludf.DUMMYFUNCTION("""COMPUTED_VALUE"""),"Oca")</f>
        <v>Oca</v>
      </c>
      <c r="D258" s="2" t="str">
        <f>IFERROR(__xludf.DUMMYFUNCTION("""COMPUTED_VALUE"""),"10KM OVERALL M")</f>
        <v>10KM OVERALL M</v>
      </c>
      <c r="E258" s="1">
        <f>IFERROR(__xludf.DUMMYFUNCTION("""COMPUTED_VALUE"""),1.0)</f>
        <v>1</v>
      </c>
      <c r="F258" s="1" t="str">
        <f>IFERROR(__xludf.DUMMYFUNCTION("""COMPUTED_VALUE"""),"Male")</f>
        <v>Male</v>
      </c>
      <c r="G258" s="4" t="b">
        <f>IFERROR(__xludf.DUMMYFUNCTION("""COMPUTED_VALUE"""),TRUE)</f>
        <v>1</v>
      </c>
      <c r="H258" s="4" t="b">
        <f>IFERROR(__xludf.DUMMYFUNCTION("""COMPUTED_VALUE"""),FALSE)</f>
        <v>0</v>
      </c>
      <c r="I258" s="4">
        <f>IFERROR(__xludf.DUMMYFUNCTION("""COMPUTED_VALUE"""),0.24646185185185185)</f>
        <v>0.2464618519</v>
      </c>
      <c r="J258" s="4">
        <f>IFERROR(__xludf.DUMMYFUNCTION("""COMPUTED_VALUE"""),45949.25491910169)</f>
        <v>45949.25492</v>
      </c>
      <c r="K258" s="4">
        <f>IFERROR(__xludf.DUMMYFUNCTION("""COMPUTED_VALUE"""),45949.277703074105)</f>
        <v>45949.2777</v>
      </c>
      <c r="L258" s="4">
        <f>IFERROR(__xludf.DUMMYFUNCTION("""COMPUTED_VALUE"""),45949.28467864549)</f>
        <v>45949.28468</v>
      </c>
      <c r="M258" s="1" t="str">
        <f>IFERROR(__xludf.DUMMYFUNCTION("""COMPUTED_VALUE"""),"RFID")</f>
        <v>RFID</v>
      </c>
      <c r="N258" s="5">
        <f>IFERROR(__xludf.DUMMYFUNCTION("""COMPUTED_VALUE"""),0.003382898148148148)</f>
        <v>0.003382898148</v>
      </c>
      <c r="O258" s="5">
        <f>IFERROR(__xludf.DUMMYFUNCTION("""COMPUTED_VALUE"""),0.009113587962962962)</f>
        <v>0.009113587963</v>
      </c>
      <c r="P258" s="5">
        <f>IFERROR(__xludf.DUMMYFUNCTION("""COMPUTED_VALUE"""),0.0028706055081597)</f>
        <v>0.002870605508</v>
      </c>
      <c r="Q258" s="5">
        <f>IFERROR(__xludf.DUMMYFUNCTION("""COMPUTED_VALUE"""),0.0038216793981481487)</f>
        <v>0.003821679398</v>
      </c>
      <c r="R258" s="4">
        <f>IFERROR(__xludf.DUMMYFUNCTION("""COMPUTED_VALUE"""),45949.03821679364)</f>
        <v>45949.03822</v>
      </c>
      <c r="S258" s="1" t="b">
        <f>IFERROR(__xludf.DUMMYFUNCTION("""COMPUTED_VALUE"""),TRUE)</f>
        <v>1</v>
      </c>
      <c r="T258" s="1" t="b">
        <f>IFERROR(__xludf.DUMMYFUNCTION("""COMPUTED_VALUE"""),FALSE)</f>
        <v>0</v>
      </c>
      <c r="U258" s="1" t="str">
        <f>IFERROR(__xludf.DUMMYFUNCTION("""COMPUTED_VALUE"""),"VALID")</f>
        <v>VALID</v>
      </c>
      <c r="V258" s="1">
        <f>IFERROR(__xludf.DUMMYFUNCTION("""COMPUTED_VALUE"""),73.0)</f>
        <v>73</v>
      </c>
      <c r="W258" s="1">
        <f>IFERROR(__xludf.DUMMYFUNCTION("""COMPUTED_VALUE"""),86.0)</f>
        <v>86</v>
      </c>
      <c r="X258" s="1">
        <f>IFERROR(__xludf.DUMMYFUNCTION("""COMPUTED_VALUE"""),886.0)</f>
        <v>886</v>
      </c>
      <c r="Y258" s="2"/>
      <c r="Z258" s="2"/>
    </row>
    <row r="259">
      <c r="A259" s="1">
        <f>IFERROR(__xludf.DUMMYFUNCTION("""COMPUTED_VALUE"""),258.0)</f>
        <v>258</v>
      </c>
      <c r="B259" s="1">
        <f>IFERROR(__xludf.DUMMYFUNCTION("""COMPUTED_VALUE"""),10090.0)</f>
        <v>10090</v>
      </c>
      <c r="C259" s="2" t="str">
        <f>IFERROR(__xludf.DUMMYFUNCTION("""COMPUTED_VALUE"""),"Helmi")</f>
        <v>Helmi</v>
      </c>
      <c r="D259" s="2" t="str">
        <f>IFERROR(__xludf.DUMMYFUNCTION("""COMPUTED_VALUE"""),"10KM OVERALL M")</f>
        <v>10KM OVERALL M</v>
      </c>
      <c r="E259" s="1">
        <f>IFERROR(__xludf.DUMMYFUNCTION("""COMPUTED_VALUE"""),1.0)</f>
        <v>1</v>
      </c>
      <c r="F259" s="1" t="str">
        <f>IFERROR(__xludf.DUMMYFUNCTION("""COMPUTED_VALUE"""),"Male")</f>
        <v>Male</v>
      </c>
      <c r="G259" s="4" t="b">
        <f>IFERROR(__xludf.DUMMYFUNCTION("""COMPUTED_VALUE"""),TRUE)</f>
        <v>1</v>
      </c>
      <c r="H259" s="4" t="b">
        <f>IFERROR(__xludf.DUMMYFUNCTION("""COMPUTED_VALUE"""),TRUE)</f>
        <v>1</v>
      </c>
      <c r="I259" s="4">
        <f>IFERROR(__xludf.DUMMYFUNCTION("""COMPUTED_VALUE"""),0.24646185185185185)</f>
        <v>0.2464618519</v>
      </c>
      <c r="J259" s="4">
        <f>IFERROR(__xludf.DUMMYFUNCTION("""COMPUTED_VALUE"""),45949.25704058298)</f>
        <v>45949.25704</v>
      </c>
      <c r="K259" s="4">
        <f>IFERROR(__xludf.DUMMYFUNCTION("""COMPUTED_VALUE"""),45949.28761699815)</f>
        <v>45949.28762</v>
      </c>
      <c r="L259" s="4">
        <f>IFERROR(__xludf.DUMMYFUNCTION("""COMPUTED_VALUE"""),45949.29658837647)</f>
        <v>45949.29659</v>
      </c>
      <c r="M259" s="1" t="str">
        <f>IFERROR(__xludf.DUMMYFUNCTION("""COMPUTED_VALUE"""),"RFID")</f>
        <v>RFID</v>
      </c>
      <c r="N259" s="5">
        <f>IFERROR(__xludf.DUMMYFUNCTION("""COMPUTED_VALUE"""),0.0042314907407407405)</f>
        <v>0.004231490741</v>
      </c>
      <c r="O259" s="5">
        <f>IFERROR(__xludf.DUMMYFUNCTION("""COMPUTED_VALUE"""),0.012230564814814816)</f>
        <v>0.01223056481</v>
      </c>
      <c r="P259" s="5">
        <f>IFERROR(__xludf.DUMMYFUNCTION("""COMPUTED_VALUE"""),0.0036919252360584557)</f>
        <v>0.003691925236</v>
      </c>
      <c r="Q259" s="5">
        <f>IFERROR(__xludf.DUMMYFUNCTION("""COMPUTED_VALUE"""),0.005012652777777777)</f>
        <v>0.005012652778</v>
      </c>
      <c r="R259" s="4">
        <f>IFERROR(__xludf.DUMMYFUNCTION("""COMPUTED_VALUE"""),45949.05012652462)</f>
        <v>45949.05013</v>
      </c>
      <c r="S259" s="1" t="b">
        <f>IFERROR(__xludf.DUMMYFUNCTION("""COMPUTED_VALUE"""),TRUE)</f>
        <v>1</v>
      </c>
      <c r="T259" s="1" t="b">
        <f>IFERROR(__xludf.DUMMYFUNCTION("""COMPUTED_VALUE"""),FALSE)</f>
        <v>0</v>
      </c>
      <c r="U259" s="1" t="str">
        <f>IFERROR(__xludf.DUMMYFUNCTION("""COMPUTED_VALUE"""),"VALID")</f>
        <v>VALID</v>
      </c>
      <c r="V259" s="1">
        <f>IFERROR(__xludf.DUMMYFUNCTION("""COMPUTED_VALUE"""),345.0)</f>
        <v>345</v>
      </c>
      <c r="W259" s="1">
        <f>IFERROR(__xludf.DUMMYFUNCTION("""COMPUTED_VALUE"""),407.0)</f>
        <v>407</v>
      </c>
      <c r="X259" s="1">
        <f>IFERROR(__xludf.DUMMYFUNCTION("""COMPUTED_VALUE"""),1385.0)</f>
        <v>1385</v>
      </c>
      <c r="Y259" s="2"/>
      <c r="Z259" s="2"/>
    </row>
    <row r="260">
      <c r="A260" s="1">
        <f>IFERROR(__xludf.DUMMYFUNCTION("""COMPUTED_VALUE"""),259.0)</f>
        <v>259</v>
      </c>
      <c r="B260" s="1">
        <f>IFERROR(__xludf.DUMMYFUNCTION("""COMPUTED_VALUE"""),10091.0)</f>
        <v>10091</v>
      </c>
      <c r="C260" s="2" t="str">
        <f>IFERROR(__xludf.DUMMYFUNCTION("""COMPUTED_VALUE"""),"ABAH AHZA &amp; YUSUF")</f>
        <v>ABAH AHZA &amp; YUSUF</v>
      </c>
      <c r="D260" s="2" t="str">
        <f>IFERROR(__xludf.DUMMYFUNCTION("""COMPUTED_VALUE"""),"10KM OVERALL M")</f>
        <v>10KM OVERALL M</v>
      </c>
      <c r="E260" s="1">
        <f>IFERROR(__xludf.DUMMYFUNCTION("""COMPUTED_VALUE"""),1.0)</f>
        <v>1</v>
      </c>
      <c r="F260" s="1" t="str">
        <f>IFERROR(__xludf.DUMMYFUNCTION("""COMPUTED_VALUE"""),"Male")</f>
        <v>Male</v>
      </c>
      <c r="G260" s="4" t="b">
        <f>IFERROR(__xludf.DUMMYFUNCTION("""COMPUTED_VALUE"""),TRUE)</f>
        <v>1</v>
      </c>
      <c r="H260" s="4" t="b">
        <f>IFERROR(__xludf.DUMMYFUNCTION("""COMPUTED_VALUE"""),TRUE)</f>
        <v>1</v>
      </c>
      <c r="I260" s="4">
        <f>IFERROR(__xludf.DUMMYFUNCTION("""COMPUTED_VALUE"""),0.24646185185185185)</f>
        <v>0.2464618519</v>
      </c>
      <c r="J260" s="4">
        <f>IFERROR(__xludf.DUMMYFUNCTION("""COMPUTED_VALUE"""),45949.255887861356)</f>
        <v>45949.25589</v>
      </c>
      <c r="K260" s="4">
        <f>IFERROR(__xludf.DUMMYFUNCTION("""COMPUTED_VALUE"""),45949.31993055555)</f>
        <v>45949.31993</v>
      </c>
      <c r="L260" s="4">
        <f>IFERROR(__xludf.DUMMYFUNCTION("""COMPUTED_VALUE"""),45949.28435919711)</f>
        <v>45949.28436</v>
      </c>
      <c r="M260" s="1" t="str">
        <f>IFERROR(__xludf.DUMMYFUNCTION("""COMPUTED_VALUE"""),"RFID")</f>
        <v>RFID</v>
      </c>
      <c r="N260" s="5">
        <f>IFERROR(__xludf.DUMMYFUNCTION("""COMPUTED_VALUE"""),0.003770402777777778)</f>
        <v>0.003770402778</v>
      </c>
      <c r="O260" s="5">
        <f>IFERROR(__xludf.DUMMYFUNCTION("""COMPUTED_VALUE"""),0.025617078703703704)</f>
        <v>0.0256170787</v>
      </c>
      <c r="P260" s="5">
        <f>IFERROR(__xludf.DUMMYFUNCTION("""COMPUTED_VALUE"""),-0.014638419112395648)</f>
        <v>-0.01463841911</v>
      </c>
      <c r="Q260" s="5">
        <f>IFERROR(__xludf.DUMMYFUNCTION("""COMPUTED_VALUE"""),0.0037897349537037036)</f>
        <v>0.003789734954</v>
      </c>
      <c r="R260" s="4">
        <f>IFERROR(__xludf.DUMMYFUNCTION("""COMPUTED_VALUE"""),45949.03789734526)</f>
        <v>45949.0379</v>
      </c>
      <c r="S260" s="1" t="b">
        <f>IFERROR(__xludf.DUMMYFUNCTION("""COMPUTED_VALUE"""),TRUE)</f>
        <v>1</v>
      </c>
      <c r="T260" s="1" t="b">
        <f>IFERROR(__xludf.DUMMYFUNCTION("""COMPUTED_VALUE"""),FALSE)</f>
        <v>0</v>
      </c>
      <c r="U260" s="1" t="str">
        <f>IFERROR(__xludf.DUMMYFUNCTION("""COMPUTED_VALUE"""),"VALID")</f>
        <v>VALID</v>
      </c>
      <c r="V260" s="1">
        <f>IFERROR(__xludf.DUMMYFUNCTION("""COMPUTED_VALUE"""),69.0)</f>
        <v>69</v>
      </c>
      <c r="W260" s="1">
        <f>IFERROR(__xludf.DUMMYFUNCTION("""COMPUTED_VALUE"""),82.0)</f>
        <v>82</v>
      </c>
      <c r="X260" s="1">
        <f>IFERROR(__xludf.DUMMYFUNCTION("""COMPUTED_VALUE"""),870.0)</f>
        <v>870</v>
      </c>
      <c r="Y260" s="2"/>
      <c r="Z260" s="2"/>
    </row>
    <row r="261">
      <c r="A261" s="1">
        <f>IFERROR(__xludf.DUMMYFUNCTION("""COMPUTED_VALUE"""),260.0)</f>
        <v>260</v>
      </c>
      <c r="B261" s="1">
        <f>IFERROR(__xludf.DUMMYFUNCTION("""COMPUTED_VALUE"""),10092.0)</f>
        <v>10092</v>
      </c>
      <c r="C261" s="2" t="str">
        <f>IFERROR(__xludf.DUMMYFUNCTION("""COMPUTED_VALUE"""),"Mas As")</f>
        <v>Mas As</v>
      </c>
      <c r="D261" s="2" t="str">
        <f>IFERROR(__xludf.DUMMYFUNCTION("""COMPUTED_VALUE"""),"10KM OVERALL M")</f>
        <v>10KM OVERALL M</v>
      </c>
      <c r="E261" s="1">
        <f>IFERROR(__xludf.DUMMYFUNCTION("""COMPUTED_VALUE"""),1.0)</f>
        <v>1</v>
      </c>
      <c r="F261" s="1" t="str">
        <f>IFERROR(__xludf.DUMMYFUNCTION("""COMPUTED_VALUE"""),"Male")</f>
        <v>Male</v>
      </c>
      <c r="G261" s="4" t="b">
        <f>IFERROR(__xludf.DUMMYFUNCTION("""COMPUTED_VALUE"""),TRUE)</f>
        <v>1</v>
      </c>
      <c r="H261" s="4" t="b">
        <f>IFERROR(__xludf.DUMMYFUNCTION("""COMPUTED_VALUE"""),TRUE)</f>
        <v>1</v>
      </c>
      <c r="I261" s="4">
        <f>IFERROR(__xludf.DUMMYFUNCTION("""COMPUTED_VALUE"""),0.24646185185185185)</f>
        <v>0.2464618519</v>
      </c>
      <c r="J261" s="4">
        <f>IFERROR(__xludf.DUMMYFUNCTION("""COMPUTED_VALUE"""),45949.256724602776)</f>
        <v>45949.25672</v>
      </c>
      <c r="K261" s="4">
        <f>IFERROR(__xludf.DUMMYFUNCTION("""COMPUTED_VALUE"""),45949.28290521017)</f>
        <v>45949.28291</v>
      </c>
      <c r="L261" s="4" t="str">
        <f>IFERROR(__xludf.DUMMYFUNCTION("""COMPUTED_VALUE"""),"")</f>
        <v/>
      </c>
      <c r="M261" s="1" t="str">
        <f>IFERROR(__xludf.DUMMYFUNCTION("""COMPUTED_VALUE"""),"RFID")</f>
        <v>RFID</v>
      </c>
      <c r="N261" s="5">
        <f>IFERROR(__xludf.DUMMYFUNCTION("""COMPUTED_VALUE"""),0.004105101851851852)</f>
        <v>0.004105101852</v>
      </c>
      <c r="O261" s="5">
        <f>IFERROR(__xludf.DUMMYFUNCTION("""COMPUTED_VALUE"""),0.01047224074074074)</f>
        <v>0.01047224074</v>
      </c>
      <c r="P261" s="5" t="str">
        <f>IFERROR(__xludf.DUMMYFUNCTION("""COMPUTED_VALUE"""),"")</f>
        <v/>
      </c>
      <c r="Q261" s="5" t="str">
        <f>IFERROR(__xludf.DUMMYFUNCTION("""COMPUTED_VALUE"""),"")</f>
        <v/>
      </c>
      <c r="R261" s="4" t="str">
        <f>IFERROR(__xludf.DUMMYFUNCTION("""COMPUTED_VALUE"""),"")</f>
        <v/>
      </c>
      <c r="S261" s="1" t="b">
        <f>IFERROR(__xludf.DUMMYFUNCTION("""COMPUTED_VALUE"""),TRUE)</f>
        <v>1</v>
      </c>
      <c r="T261" s="1" t="b">
        <f>IFERROR(__xludf.DUMMYFUNCTION("""COMPUTED_VALUE"""),FALSE)</f>
        <v>0</v>
      </c>
      <c r="U261" s="1" t="str">
        <f>IFERROR(__xludf.DUMMYFUNCTION("""COMPUTED_VALUE"""),"DNF")</f>
        <v>DNF</v>
      </c>
      <c r="V261" s="1" t="str">
        <f>IFERROR(__xludf.DUMMYFUNCTION("""COMPUTED_VALUE"""),"DNF")</f>
        <v>DNF</v>
      </c>
      <c r="W261" s="1" t="str">
        <f>IFERROR(__xludf.DUMMYFUNCTION("""COMPUTED_VALUE"""),"DNF")</f>
        <v>DNF</v>
      </c>
      <c r="X261" s="1" t="str">
        <f>IFERROR(__xludf.DUMMYFUNCTION("""COMPUTED_VALUE"""),"DNF")</f>
        <v>DNF</v>
      </c>
      <c r="Y261" s="2" t="str">
        <f>IFERROR(__xludf.DUMMYFUNCTION("""COMPUTED_VALUE"""),"tidak terlihat di finish")</f>
        <v>tidak terlihat di finish</v>
      </c>
      <c r="Z261" s="2"/>
    </row>
    <row r="262">
      <c r="A262" s="1">
        <f>IFERROR(__xludf.DUMMYFUNCTION("""COMPUTED_VALUE"""),261.0)</f>
        <v>261</v>
      </c>
      <c r="B262" s="1">
        <f>IFERROR(__xludf.DUMMYFUNCTION("""COMPUTED_VALUE"""),10093.0)</f>
        <v>10093</v>
      </c>
      <c r="C262" s="2" t="str">
        <f>IFERROR(__xludf.DUMMYFUNCTION("""COMPUTED_VALUE"""),"HALLY LAZWARD")</f>
        <v>HALLY LAZWARD</v>
      </c>
      <c r="D262" s="2" t="str">
        <f>IFERROR(__xludf.DUMMYFUNCTION("""COMPUTED_VALUE"""),"10KM OVERALL M")</f>
        <v>10KM OVERALL M</v>
      </c>
      <c r="E262" s="1">
        <f>IFERROR(__xludf.DUMMYFUNCTION("""COMPUTED_VALUE"""),1.0)</f>
        <v>1</v>
      </c>
      <c r="F262" s="1" t="str">
        <f>IFERROR(__xludf.DUMMYFUNCTION("""COMPUTED_VALUE"""),"Male")</f>
        <v>Male</v>
      </c>
      <c r="G262" s="4" t="b">
        <f>IFERROR(__xludf.DUMMYFUNCTION("""COMPUTED_VALUE"""),TRUE)</f>
        <v>1</v>
      </c>
      <c r="H262" s="4" t="b">
        <f>IFERROR(__xludf.DUMMYFUNCTION("""COMPUTED_VALUE"""),FALSE)</f>
        <v>0</v>
      </c>
      <c r="I262" s="4">
        <f>IFERROR(__xludf.DUMMYFUNCTION("""COMPUTED_VALUE"""),0.24646185185185185)</f>
        <v>0.2464618519</v>
      </c>
      <c r="J262" s="4">
        <f>IFERROR(__xludf.DUMMYFUNCTION("""COMPUTED_VALUE"""),45949.254832254526)</f>
        <v>45949.25483</v>
      </c>
      <c r="K262" s="4">
        <f>IFERROR(__xludf.DUMMYFUNCTION("""COMPUTED_VALUE"""),45949.274424137904)</f>
        <v>45949.27442</v>
      </c>
      <c r="L262" s="4">
        <f>IFERROR(__xludf.DUMMYFUNCTION("""COMPUTED_VALUE"""),45949.28017520722)</f>
        <v>45949.28018</v>
      </c>
      <c r="M262" s="1" t="str">
        <f>IFERROR(__xludf.DUMMYFUNCTION("""COMPUTED_VALUE"""),"RFID")</f>
        <v>RFID</v>
      </c>
      <c r="N262" s="5">
        <f>IFERROR(__xludf.DUMMYFUNCTION("""COMPUTED_VALUE"""),0.003348162037037037)</f>
        <v>0.003348162037</v>
      </c>
      <c r="O262" s="5">
        <f>IFERROR(__xludf.DUMMYFUNCTION("""COMPUTED_VALUE"""),0.007836754629629631)</f>
        <v>0.00783675463</v>
      </c>
      <c r="P262" s="5">
        <f>IFERROR(__xludf.DUMMYFUNCTION("""COMPUTED_VALUE"""),0.0023666951913624205)</f>
        <v>0.002366695191</v>
      </c>
      <c r="Q262" s="5">
        <f>IFERROR(__xludf.DUMMYFUNCTION("""COMPUTED_VALUE"""),0.003371335648148148)</f>
        <v>0.003371335648</v>
      </c>
      <c r="R262" s="4">
        <f>IFERROR(__xludf.DUMMYFUNCTION("""COMPUTED_VALUE"""),45949.03371335537)</f>
        <v>45949.03371</v>
      </c>
      <c r="S262" s="1" t="b">
        <f>IFERROR(__xludf.DUMMYFUNCTION("""COMPUTED_VALUE"""),TRUE)</f>
        <v>1</v>
      </c>
      <c r="T262" s="1" t="b">
        <f>IFERROR(__xludf.DUMMYFUNCTION("""COMPUTED_VALUE"""),FALSE)</f>
        <v>0</v>
      </c>
      <c r="U262" s="1" t="str">
        <f>IFERROR(__xludf.DUMMYFUNCTION("""COMPUTED_VALUE"""),"VALID")</f>
        <v>VALID</v>
      </c>
      <c r="V262" s="1">
        <f>IFERROR(__xludf.DUMMYFUNCTION("""COMPUTED_VALUE"""),23.0)</f>
        <v>23</v>
      </c>
      <c r="W262" s="1">
        <f>IFERROR(__xludf.DUMMYFUNCTION("""COMPUTED_VALUE"""),31.0)</f>
        <v>31</v>
      </c>
      <c r="X262" s="1">
        <f>IFERROR(__xludf.DUMMYFUNCTION("""COMPUTED_VALUE"""),672.0)</f>
        <v>672</v>
      </c>
      <c r="Y262" s="2"/>
      <c r="Z262" s="2"/>
    </row>
    <row r="263">
      <c r="A263" s="1">
        <f>IFERROR(__xludf.DUMMYFUNCTION("""COMPUTED_VALUE"""),262.0)</f>
        <v>262</v>
      </c>
      <c r="B263" s="1">
        <f>IFERROR(__xludf.DUMMYFUNCTION("""COMPUTED_VALUE"""),10094.0)</f>
        <v>10094</v>
      </c>
      <c r="C263" s="2" t="str">
        <f>IFERROR(__xludf.DUMMYFUNCTION("""COMPUTED_VALUE"""),"KELVIN KIPTUM")</f>
        <v>KELVIN KIPTUM</v>
      </c>
      <c r="D263" s="2" t="str">
        <f>IFERROR(__xludf.DUMMYFUNCTION("""COMPUTED_VALUE"""),"10KM OVERALL M")</f>
        <v>10KM OVERALL M</v>
      </c>
      <c r="E263" s="1">
        <f>IFERROR(__xludf.DUMMYFUNCTION("""COMPUTED_VALUE"""),1.0)</f>
        <v>1</v>
      </c>
      <c r="F263" s="1" t="str">
        <f>IFERROR(__xludf.DUMMYFUNCTION("""COMPUTED_VALUE"""),"Male")</f>
        <v>Male</v>
      </c>
      <c r="G263" s="4" t="b">
        <f>IFERROR(__xludf.DUMMYFUNCTION("""COMPUTED_VALUE"""),TRUE)</f>
        <v>1</v>
      </c>
      <c r="H263" s="4" t="b">
        <f>IFERROR(__xludf.DUMMYFUNCTION("""COMPUTED_VALUE"""),TRUE)</f>
        <v>1</v>
      </c>
      <c r="I263" s="4">
        <f>IFERROR(__xludf.DUMMYFUNCTION("""COMPUTED_VALUE"""),0.24646185185185185)</f>
        <v>0.2464618519</v>
      </c>
      <c r="J263" s="4">
        <f>IFERROR(__xludf.DUMMYFUNCTION("""COMPUTED_VALUE"""),45949.25818298842)</f>
        <v>45949.25818</v>
      </c>
      <c r="K263" s="4">
        <f>IFERROR(__xludf.DUMMYFUNCTION("""COMPUTED_VALUE"""),45949.288464218145)</f>
        <v>45949.28846</v>
      </c>
      <c r="L263" s="4">
        <f>IFERROR(__xludf.DUMMYFUNCTION("""COMPUTED_VALUE"""),45949.298140449384)</f>
        <v>45949.29814</v>
      </c>
      <c r="M263" s="1" t="str">
        <f>IFERROR(__xludf.DUMMYFUNCTION("""COMPUTED_VALUE"""),"RFID")</f>
        <v>RFID</v>
      </c>
      <c r="N263" s="5">
        <f>IFERROR(__xludf.DUMMYFUNCTION("""COMPUTED_VALUE"""),0.004688453703703703)</f>
        <v>0.004688453704</v>
      </c>
      <c r="O263" s="5">
        <f>IFERROR(__xludf.DUMMYFUNCTION("""COMPUTED_VALUE"""),0.01211249074074074)</f>
        <v>0.01211249074</v>
      </c>
      <c r="P263" s="5">
        <f>IFERROR(__xludf.DUMMYFUNCTION("""COMPUTED_VALUE"""),0.003981988164074067)</f>
        <v>0.003981988164</v>
      </c>
      <c r="Q263" s="5">
        <f>IFERROR(__xludf.DUMMYFUNCTION("""COMPUTED_VALUE"""),0.005167859953703704)</f>
        <v>0.005167859954</v>
      </c>
      <c r="R263" s="4">
        <f>IFERROR(__xludf.DUMMYFUNCTION("""COMPUTED_VALUE"""),45949.051678597534)</f>
        <v>45949.05168</v>
      </c>
      <c r="S263" s="1" t="b">
        <f>IFERROR(__xludf.DUMMYFUNCTION("""COMPUTED_VALUE"""),TRUE)</f>
        <v>1</v>
      </c>
      <c r="T263" s="1" t="b">
        <f>IFERROR(__xludf.DUMMYFUNCTION("""COMPUTED_VALUE"""),FALSE)</f>
        <v>0</v>
      </c>
      <c r="U263" s="1" t="str">
        <f>IFERROR(__xludf.DUMMYFUNCTION("""COMPUTED_VALUE"""),"VALID")</f>
        <v>VALID</v>
      </c>
      <c r="V263" s="1">
        <f>IFERROR(__xludf.DUMMYFUNCTION("""COMPUTED_VALUE"""),381.0)</f>
        <v>381</v>
      </c>
      <c r="W263" s="1">
        <f>IFERROR(__xludf.DUMMYFUNCTION("""COMPUTED_VALUE"""),450.0)</f>
        <v>450</v>
      </c>
      <c r="X263" s="1">
        <f>IFERROR(__xludf.DUMMYFUNCTION("""COMPUTED_VALUE"""),1429.0)</f>
        <v>1429</v>
      </c>
      <c r="Y263" s="2"/>
      <c r="Z263" s="2"/>
    </row>
    <row r="264">
      <c r="A264" s="1">
        <f>IFERROR(__xludf.DUMMYFUNCTION("""COMPUTED_VALUE"""),263.0)</f>
        <v>263</v>
      </c>
      <c r="B264" s="1">
        <f>IFERROR(__xludf.DUMMYFUNCTION("""COMPUTED_VALUE"""),10095.0)</f>
        <v>10095</v>
      </c>
      <c r="C264" s="2" t="str">
        <f>IFERROR(__xludf.DUMMYFUNCTION("""COMPUTED_VALUE"""),"Ariyanto")</f>
        <v>Ariyanto</v>
      </c>
      <c r="D264" s="2" t="str">
        <f>IFERROR(__xludf.DUMMYFUNCTION("""COMPUTED_VALUE"""),"10KM OVERALL M")</f>
        <v>10KM OVERALL M</v>
      </c>
      <c r="E264" s="1">
        <f>IFERROR(__xludf.DUMMYFUNCTION("""COMPUTED_VALUE"""),1.0)</f>
        <v>1</v>
      </c>
      <c r="F264" s="1" t="str">
        <f>IFERROR(__xludf.DUMMYFUNCTION("""COMPUTED_VALUE"""),"Male")</f>
        <v>Male</v>
      </c>
      <c r="G264" s="4" t="b">
        <f>IFERROR(__xludf.DUMMYFUNCTION("""COMPUTED_VALUE"""),TRUE)</f>
        <v>1</v>
      </c>
      <c r="H264" s="4" t="b">
        <f>IFERROR(__xludf.DUMMYFUNCTION("""COMPUTED_VALUE"""),TRUE)</f>
        <v>1</v>
      </c>
      <c r="I264" s="4">
        <f>IFERROR(__xludf.DUMMYFUNCTION("""COMPUTED_VALUE"""),0.24646185185185185)</f>
        <v>0.2464618519</v>
      </c>
      <c r="J264" s="4">
        <f>IFERROR(__xludf.DUMMYFUNCTION("""COMPUTED_VALUE"""),45949.25840522973)</f>
        <v>45949.25841</v>
      </c>
      <c r="K264" s="4">
        <f>IFERROR(__xludf.DUMMYFUNCTION("""COMPUTED_VALUE"""),45949.291460946624)</f>
        <v>45949.29146</v>
      </c>
      <c r="L264" s="4">
        <f>IFERROR(__xludf.DUMMYFUNCTION("""COMPUTED_VALUE"""),45949.30075851897)</f>
        <v>45949.30076</v>
      </c>
      <c r="M264" s="1" t="str">
        <f>IFERROR(__xludf.DUMMYFUNCTION("""COMPUTED_VALUE"""),"RFID")</f>
        <v>RFID</v>
      </c>
      <c r="N264" s="5">
        <f>IFERROR(__xludf.DUMMYFUNCTION("""COMPUTED_VALUE"""),0.004777351851851851)</f>
        <v>0.004777351852</v>
      </c>
      <c r="O264" s="5">
        <f>IFERROR(__xludf.DUMMYFUNCTION("""COMPUTED_VALUE"""),0.013222287037037036)</f>
        <v>0.01322228704</v>
      </c>
      <c r="P264" s="5">
        <f>IFERROR(__xludf.DUMMYFUNCTION("""COMPUTED_VALUE"""),0.003826161459066288)</f>
        <v>0.003826161459</v>
      </c>
      <c r="Q264" s="5">
        <f>IFERROR(__xludf.DUMMYFUNCTION("""COMPUTED_VALUE"""),0.005429666666666667)</f>
        <v>0.005429666667</v>
      </c>
      <c r="R264" s="4">
        <f>IFERROR(__xludf.DUMMYFUNCTION("""COMPUTED_VALUE"""),45949.05429666712)</f>
        <v>45949.0543</v>
      </c>
      <c r="S264" s="1" t="b">
        <f>IFERROR(__xludf.DUMMYFUNCTION("""COMPUTED_VALUE"""),TRUE)</f>
        <v>1</v>
      </c>
      <c r="T264" s="1" t="b">
        <f>IFERROR(__xludf.DUMMYFUNCTION("""COMPUTED_VALUE"""),FALSE)</f>
        <v>0</v>
      </c>
      <c r="U264" s="1" t="str">
        <f>IFERROR(__xludf.DUMMYFUNCTION("""COMPUTED_VALUE"""),"VALID")</f>
        <v>VALID</v>
      </c>
      <c r="V264" s="1">
        <f>IFERROR(__xludf.DUMMYFUNCTION("""COMPUTED_VALUE"""),441.0)</f>
        <v>441</v>
      </c>
      <c r="W264" s="1">
        <f>IFERROR(__xludf.DUMMYFUNCTION("""COMPUTED_VALUE"""),524.0)</f>
        <v>524</v>
      </c>
      <c r="X264" s="1">
        <f>IFERROR(__xludf.DUMMYFUNCTION("""COMPUTED_VALUE"""),1502.0)</f>
        <v>1502</v>
      </c>
      <c r="Y264" s="2"/>
      <c r="Z264" s="2"/>
    </row>
    <row r="265">
      <c r="A265" s="1">
        <f>IFERROR(__xludf.DUMMYFUNCTION("""COMPUTED_VALUE"""),264.0)</f>
        <v>264</v>
      </c>
      <c r="B265" s="1">
        <f>IFERROR(__xludf.DUMMYFUNCTION("""COMPUTED_VALUE"""),10096.0)</f>
        <v>10096</v>
      </c>
      <c r="C265" s="2">
        <f>IFERROR(__xludf.DUMMYFUNCTION("""COMPUTED_VALUE"""),595.0)</f>
        <v>595</v>
      </c>
      <c r="D265" s="2" t="str">
        <f>IFERROR(__xludf.DUMMYFUNCTION("""COMPUTED_VALUE"""),"10KM OVERALL M")</f>
        <v>10KM OVERALL M</v>
      </c>
      <c r="E265" s="1">
        <f>IFERROR(__xludf.DUMMYFUNCTION("""COMPUTED_VALUE"""),1.0)</f>
        <v>1</v>
      </c>
      <c r="F265" s="1" t="str">
        <f>IFERROR(__xludf.DUMMYFUNCTION("""COMPUTED_VALUE"""),"Male")</f>
        <v>Male</v>
      </c>
      <c r="G265" s="4" t="b">
        <f>IFERROR(__xludf.DUMMYFUNCTION("""COMPUTED_VALUE"""),TRUE)</f>
        <v>1</v>
      </c>
      <c r="H265" s="4" t="b">
        <f>IFERROR(__xludf.DUMMYFUNCTION("""COMPUTED_VALUE"""),TRUE)</f>
        <v>1</v>
      </c>
      <c r="I265" s="4">
        <f>IFERROR(__xludf.DUMMYFUNCTION("""COMPUTED_VALUE"""),0.24646185185185185)</f>
        <v>0.2464618519</v>
      </c>
      <c r="J265" s="4">
        <f>IFERROR(__xludf.DUMMYFUNCTION("""COMPUTED_VALUE"""),45949.25515178197)</f>
        <v>45949.25515</v>
      </c>
      <c r="K265" s="4">
        <f>IFERROR(__xludf.DUMMYFUNCTION("""COMPUTED_VALUE"""),45949.279113556164)</f>
        <v>45949.27911</v>
      </c>
      <c r="L265" s="4">
        <f>IFERROR(__xludf.DUMMYFUNCTION("""COMPUTED_VALUE"""),45949.28606754045)</f>
        <v>45949.28607</v>
      </c>
      <c r="M265" s="1" t="str">
        <f>IFERROR(__xludf.DUMMYFUNCTION("""COMPUTED_VALUE"""),"RFID")</f>
        <v>RFID</v>
      </c>
      <c r="N265" s="5">
        <f>IFERROR(__xludf.DUMMYFUNCTION("""COMPUTED_VALUE"""),0.003475972222222222)</f>
        <v>0.003475972222</v>
      </c>
      <c r="O265" s="5">
        <f>IFERROR(__xludf.DUMMYFUNCTION("""COMPUTED_VALUE"""),0.009584708333333334)</f>
        <v>0.009584708333</v>
      </c>
      <c r="P265" s="5">
        <f>IFERROR(__xludf.DUMMYFUNCTION("""COMPUTED_VALUE"""),0.0028617219292077735)</f>
        <v>0.002861721929</v>
      </c>
      <c r="Q265" s="5">
        <f>IFERROR(__xludf.DUMMYFUNCTION("""COMPUTED_VALUE"""),0.003960568287037037)</f>
        <v>0.003960568287</v>
      </c>
      <c r="R265" s="4">
        <f>IFERROR(__xludf.DUMMYFUNCTION("""COMPUTED_VALUE"""),45949.0396056886)</f>
        <v>45949.03961</v>
      </c>
      <c r="S265" s="1" t="b">
        <f>IFERROR(__xludf.DUMMYFUNCTION("""COMPUTED_VALUE"""),TRUE)</f>
        <v>1</v>
      </c>
      <c r="T265" s="1" t="b">
        <f>IFERROR(__xludf.DUMMYFUNCTION("""COMPUTED_VALUE"""),FALSE)</f>
        <v>0</v>
      </c>
      <c r="U265" s="1" t="str">
        <f>IFERROR(__xludf.DUMMYFUNCTION("""COMPUTED_VALUE"""),"VALID")</f>
        <v>VALID</v>
      </c>
      <c r="V265" s="1">
        <f>IFERROR(__xludf.DUMMYFUNCTION("""COMPUTED_VALUE"""),92.0)</f>
        <v>92</v>
      </c>
      <c r="W265" s="1">
        <f>IFERROR(__xludf.DUMMYFUNCTION("""COMPUTED_VALUE"""),111.0)</f>
        <v>111</v>
      </c>
      <c r="X265" s="1">
        <f>IFERROR(__xludf.DUMMYFUNCTION("""COMPUTED_VALUE"""),961.0)</f>
        <v>961</v>
      </c>
      <c r="Y265" s="2"/>
      <c r="Z265" s="2"/>
    </row>
    <row r="266">
      <c r="A266" s="1">
        <f>IFERROR(__xludf.DUMMYFUNCTION("""COMPUTED_VALUE"""),265.0)</f>
        <v>265</v>
      </c>
      <c r="B266" s="1">
        <f>IFERROR(__xludf.DUMMYFUNCTION("""COMPUTED_VALUE"""),10097.0)</f>
        <v>10097</v>
      </c>
      <c r="C266" s="2" t="str">
        <f>IFERROR(__xludf.DUMMYFUNCTION("""COMPUTED_VALUE"""),"Ismail Saleh")</f>
        <v>Ismail Saleh</v>
      </c>
      <c r="D266" s="2" t="str">
        <f>IFERROR(__xludf.DUMMYFUNCTION("""COMPUTED_VALUE"""),"10KM OVERALL M")</f>
        <v>10KM OVERALL M</v>
      </c>
      <c r="E266" s="1">
        <f>IFERROR(__xludf.DUMMYFUNCTION("""COMPUTED_VALUE"""),1.0)</f>
        <v>1</v>
      </c>
      <c r="F266" s="1" t="str">
        <f>IFERROR(__xludf.DUMMYFUNCTION("""COMPUTED_VALUE"""),"Male")</f>
        <v>Male</v>
      </c>
      <c r="G266" s="4" t="b">
        <f>IFERROR(__xludf.DUMMYFUNCTION("""COMPUTED_VALUE"""),TRUE)</f>
        <v>1</v>
      </c>
      <c r="H266" s="4" t="b">
        <f>IFERROR(__xludf.DUMMYFUNCTION("""COMPUTED_VALUE"""),TRUE)</f>
        <v>1</v>
      </c>
      <c r="I266" s="4">
        <f>IFERROR(__xludf.DUMMYFUNCTION("""COMPUTED_VALUE"""),0.24646185185185185)</f>
        <v>0.2464618519</v>
      </c>
      <c r="J266" s="4">
        <f>IFERROR(__xludf.DUMMYFUNCTION("""COMPUTED_VALUE"""),45949.25950937916)</f>
        <v>45949.25951</v>
      </c>
      <c r="K266" s="4">
        <f>IFERROR(__xludf.DUMMYFUNCTION("""COMPUTED_VALUE"""),45949.28825588492)</f>
        <v>45949.28826</v>
      </c>
      <c r="L266" s="4">
        <f>IFERROR(__xludf.DUMMYFUNCTION("""COMPUTED_VALUE"""),45949.29541477808)</f>
        <v>45949.29541</v>
      </c>
      <c r="M266" s="1" t="str">
        <f>IFERROR(__xludf.DUMMYFUNCTION("""COMPUTED_VALUE"""),"RFID")</f>
        <v>RFID</v>
      </c>
      <c r="N266" s="5">
        <f>IFERROR(__xludf.DUMMYFUNCTION("""COMPUTED_VALUE"""),0.005219009259259259)</f>
        <v>0.005219009259</v>
      </c>
      <c r="O266" s="5">
        <f>IFERROR(__xludf.DUMMYFUNCTION("""COMPUTED_VALUE"""),0.011498601851851852)</f>
        <v>0.01149860185</v>
      </c>
      <c r="P266" s="5">
        <f>IFERROR(__xludf.DUMMYFUNCTION("""COMPUTED_VALUE"""),0.002946046565121821)</f>
        <v>0.002946046565</v>
      </c>
      <c r="Q266" s="5">
        <f>IFERROR(__xludf.DUMMYFUNCTION("""COMPUTED_VALUE"""),0.0048952928240740745)</f>
        <v>0.004895292824</v>
      </c>
      <c r="R266" s="4">
        <f>IFERROR(__xludf.DUMMYFUNCTION("""COMPUTED_VALUE"""),45949.04895292623)</f>
        <v>45949.04895</v>
      </c>
      <c r="S266" s="1" t="b">
        <f>IFERROR(__xludf.DUMMYFUNCTION("""COMPUTED_VALUE"""),TRUE)</f>
        <v>1</v>
      </c>
      <c r="T266" s="1" t="b">
        <f>IFERROR(__xludf.DUMMYFUNCTION("""COMPUTED_VALUE"""),FALSE)</f>
        <v>0</v>
      </c>
      <c r="U266" s="1" t="str">
        <f>IFERROR(__xludf.DUMMYFUNCTION("""COMPUTED_VALUE"""),"VALID")</f>
        <v>VALID</v>
      </c>
      <c r="V266" s="1">
        <f>IFERROR(__xludf.DUMMYFUNCTION("""COMPUTED_VALUE"""),310.0)</f>
        <v>310</v>
      </c>
      <c r="W266" s="1">
        <f>IFERROR(__xludf.DUMMYFUNCTION("""COMPUTED_VALUE"""),366.0)</f>
        <v>366</v>
      </c>
      <c r="X266" s="1">
        <f>IFERROR(__xludf.DUMMYFUNCTION("""COMPUTED_VALUE"""),1339.0)</f>
        <v>1339</v>
      </c>
      <c r="Y266" s="2"/>
      <c r="Z266" s="2"/>
    </row>
    <row r="267">
      <c r="A267" s="1">
        <f>IFERROR(__xludf.DUMMYFUNCTION("""COMPUTED_VALUE"""),266.0)</f>
        <v>266</v>
      </c>
      <c r="B267" s="1">
        <f>IFERROR(__xludf.DUMMYFUNCTION("""COMPUTED_VALUE"""),10098.0)</f>
        <v>10098</v>
      </c>
      <c r="C267" s="2" t="str">
        <f>IFERROR(__xludf.DUMMYFUNCTION("""COMPUTED_VALUE"""),"Arifin F. Lubis")</f>
        <v>Arifin F. Lubis</v>
      </c>
      <c r="D267" s="2" t="str">
        <f>IFERROR(__xludf.DUMMYFUNCTION("""COMPUTED_VALUE"""),"10KM OVERALL M")</f>
        <v>10KM OVERALL M</v>
      </c>
      <c r="E267" s="1">
        <f>IFERROR(__xludf.DUMMYFUNCTION("""COMPUTED_VALUE"""),1.0)</f>
        <v>1</v>
      </c>
      <c r="F267" s="1" t="str">
        <f>IFERROR(__xludf.DUMMYFUNCTION("""COMPUTED_VALUE"""),"Male")</f>
        <v>Male</v>
      </c>
      <c r="G267" s="4" t="b">
        <f>IFERROR(__xludf.DUMMYFUNCTION("""COMPUTED_VALUE"""),TRUE)</f>
        <v>1</v>
      </c>
      <c r="H267" s="4" t="b">
        <f>IFERROR(__xludf.DUMMYFUNCTION("""COMPUTED_VALUE"""),TRUE)</f>
        <v>1</v>
      </c>
      <c r="I267" s="4">
        <f>IFERROR(__xludf.DUMMYFUNCTION("""COMPUTED_VALUE"""),0.24646185185185185)</f>
        <v>0.2464618519</v>
      </c>
      <c r="J267" s="4">
        <f>IFERROR(__xludf.DUMMYFUNCTION("""COMPUTED_VALUE"""),45949.26120030504)</f>
        <v>45949.2612</v>
      </c>
      <c r="K267" s="4">
        <f>IFERROR(__xludf.DUMMYFUNCTION("""COMPUTED_VALUE"""),45949.30230473499)</f>
        <v>45949.3023</v>
      </c>
      <c r="L267" s="4">
        <f>IFERROR(__xludf.DUMMYFUNCTION("""COMPUTED_VALUE"""),45949.314053660804)</f>
        <v>45949.31405</v>
      </c>
      <c r="M267" s="1" t="str">
        <f>IFERROR(__xludf.DUMMYFUNCTION("""COMPUTED_VALUE"""),"RFID")</f>
        <v>RFID</v>
      </c>
      <c r="N267" s="5">
        <f>IFERROR(__xludf.DUMMYFUNCTION("""COMPUTED_VALUE"""),0.00589537962962963)</f>
        <v>0.00589537963</v>
      </c>
      <c r="O267" s="5">
        <f>IFERROR(__xludf.DUMMYFUNCTION("""COMPUTED_VALUE"""),0.016441773148148146)</f>
        <v>0.01644177315</v>
      </c>
      <c r="P267" s="5">
        <f>IFERROR(__xludf.DUMMYFUNCTION("""COMPUTED_VALUE"""),0.004834948893762941)</f>
        <v>0.004834948894</v>
      </c>
      <c r="Q267" s="5">
        <f>IFERROR(__xludf.DUMMYFUNCTION("""COMPUTED_VALUE"""),0.006759180555555555)</f>
        <v>0.006759180556</v>
      </c>
      <c r="R267" s="4">
        <f>IFERROR(__xludf.DUMMYFUNCTION("""COMPUTED_VALUE"""),45949.067591808955)</f>
        <v>45949.06759</v>
      </c>
      <c r="S267" s="1" t="b">
        <f>IFERROR(__xludf.DUMMYFUNCTION("""COMPUTED_VALUE"""),TRUE)</f>
        <v>1</v>
      </c>
      <c r="T267" s="1" t="b">
        <f>IFERROR(__xludf.DUMMYFUNCTION("""COMPUTED_VALUE"""),FALSE)</f>
        <v>0</v>
      </c>
      <c r="U267" s="1" t="str">
        <f>IFERROR(__xludf.DUMMYFUNCTION("""COMPUTED_VALUE"""),"VALID")</f>
        <v>VALID</v>
      </c>
      <c r="V267" s="1">
        <f>IFERROR(__xludf.DUMMYFUNCTION("""COMPUTED_VALUE"""),586.0)</f>
        <v>586</v>
      </c>
      <c r="W267" s="1">
        <f>IFERROR(__xludf.DUMMYFUNCTION("""COMPUTED_VALUE"""),727.0)</f>
        <v>727</v>
      </c>
      <c r="X267" s="1">
        <f>IFERROR(__xludf.DUMMYFUNCTION("""COMPUTED_VALUE"""),1661.0)</f>
        <v>1661</v>
      </c>
      <c r="Y267" s="2"/>
      <c r="Z267" s="2"/>
    </row>
    <row r="268">
      <c r="A268" s="1">
        <f>IFERROR(__xludf.DUMMYFUNCTION("""COMPUTED_VALUE"""),267.0)</f>
        <v>267</v>
      </c>
      <c r="B268" s="1">
        <f>IFERROR(__xludf.DUMMYFUNCTION("""COMPUTED_VALUE"""),10099.0)</f>
        <v>10099</v>
      </c>
      <c r="C268" s="2" t="str">
        <f>IFERROR(__xludf.DUMMYFUNCTION("""COMPUTED_VALUE"""),"among09")</f>
        <v>among09</v>
      </c>
      <c r="D268" s="2" t="str">
        <f>IFERROR(__xludf.DUMMYFUNCTION("""COMPUTED_VALUE"""),"10KM OVERALL M")</f>
        <v>10KM OVERALL M</v>
      </c>
      <c r="E268" s="1">
        <f>IFERROR(__xludf.DUMMYFUNCTION("""COMPUTED_VALUE"""),1.0)</f>
        <v>1</v>
      </c>
      <c r="F268" s="1" t="str">
        <f>IFERROR(__xludf.DUMMYFUNCTION("""COMPUTED_VALUE"""),"Male")</f>
        <v>Male</v>
      </c>
      <c r="G268" s="4" t="b">
        <f>IFERROR(__xludf.DUMMYFUNCTION("""COMPUTED_VALUE"""),TRUE)</f>
        <v>1</v>
      </c>
      <c r="H268" s="4" t="b">
        <f>IFERROR(__xludf.DUMMYFUNCTION("""COMPUTED_VALUE"""),TRUE)</f>
        <v>1</v>
      </c>
      <c r="I268" s="4">
        <f>IFERROR(__xludf.DUMMYFUNCTION("""COMPUTED_VALUE"""),0.24646185185185185)</f>
        <v>0.2464618519</v>
      </c>
      <c r="J268" s="4">
        <f>IFERROR(__xludf.DUMMYFUNCTION("""COMPUTED_VALUE"""),45949.25786003351)</f>
        <v>45949.25786</v>
      </c>
      <c r="K268" s="4">
        <f>IFERROR(__xludf.DUMMYFUNCTION("""COMPUTED_VALUE"""),45949.28703366349)</f>
        <v>45949.28703</v>
      </c>
      <c r="L268" s="4">
        <f>IFERROR(__xludf.DUMMYFUNCTION("""COMPUTED_VALUE"""),45949.29531406423)</f>
        <v>45949.29531</v>
      </c>
      <c r="M268" s="1" t="str">
        <f>IFERROR(__xludf.DUMMYFUNCTION("""COMPUTED_VALUE"""),"RFID")</f>
        <v>RFID</v>
      </c>
      <c r="N268" s="5">
        <f>IFERROR(__xludf.DUMMYFUNCTION("""COMPUTED_VALUE"""),0.004559273148148148)</f>
        <v>0.004559273148</v>
      </c>
      <c r="O268" s="5">
        <f>IFERROR(__xludf.DUMMYFUNCTION("""COMPUTED_VALUE"""),0.011669453703703703)</f>
        <v>0.0116694537</v>
      </c>
      <c r="P268" s="5">
        <f>IFERROR(__xludf.DUMMYFUNCTION("""COMPUTED_VALUE"""),0.0034075723208847296)</f>
        <v>0.003407572321</v>
      </c>
      <c r="Q268" s="5">
        <f>IFERROR(__xludf.DUMMYFUNCTION("""COMPUTED_VALUE"""),0.0048852210648148145)</f>
        <v>0.004885221065</v>
      </c>
      <c r="R268" s="4">
        <f>IFERROR(__xludf.DUMMYFUNCTION("""COMPUTED_VALUE"""),45949.04885221238)</f>
        <v>45949.04885</v>
      </c>
      <c r="S268" s="1" t="b">
        <f>IFERROR(__xludf.DUMMYFUNCTION("""COMPUTED_VALUE"""),TRUE)</f>
        <v>1</v>
      </c>
      <c r="T268" s="1" t="b">
        <f>IFERROR(__xludf.DUMMYFUNCTION("""COMPUTED_VALUE"""),FALSE)</f>
        <v>0</v>
      </c>
      <c r="U268" s="1" t="str">
        <f>IFERROR(__xludf.DUMMYFUNCTION("""COMPUTED_VALUE"""),"VALID")</f>
        <v>VALID</v>
      </c>
      <c r="V268" s="1">
        <f>IFERROR(__xludf.DUMMYFUNCTION("""COMPUTED_VALUE"""),303.0)</f>
        <v>303</v>
      </c>
      <c r="W268" s="1">
        <f>IFERROR(__xludf.DUMMYFUNCTION("""COMPUTED_VALUE"""),359.0)</f>
        <v>359</v>
      </c>
      <c r="X268" s="1">
        <f>IFERROR(__xludf.DUMMYFUNCTION("""COMPUTED_VALUE"""),1332.0)</f>
        <v>1332</v>
      </c>
      <c r="Y268" s="2"/>
      <c r="Z268" s="2"/>
    </row>
    <row r="269">
      <c r="A269" s="1">
        <f>IFERROR(__xludf.DUMMYFUNCTION("""COMPUTED_VALUE"""),268.0)</f>
        <v>268</v>
      </c>
      <c r="B269" s="1">
        <f>IFERROR(__xludf.DUMMYFUNCTION("""COMPUTED_VALUE"""),10100.0)</f>
        <v>10100</v>
      </c>
      <c r="C269" s="2" t="str">
        <f>IFERROR(__xludf.DUMMYFUNCTION("""COMPUTED_VALUE"""),"Fathinirwana")</f>
        <v>Fathinirwana</v>
      </c>
      <c r="D269" s="2" t="str">
        <f>IFERROR(__xludf.DUMMYFUNCTION("""COMPUTED_VALUE"""),"10KM OVERALL M")</f>
        <v>10KM OVERALL M</v>
      </c>
      <c r="E269" s="1">
        <f>IFERROR(__xludf.DUMMYFUNCTION("""COMPUTED_VALUE"""),1.0)</f>
        <v>1</v>
      </c>
      <c r="F269" s="1" t="str">
        <f>IFERROR(__xludf.DUMMYFUNCTION("""COMPUTED_VALUE"""),"Male")</f>
        <v>Male</v>
      </c>
      <c r="G269" s="4" t="b">
        <f>IFERROR(__xludf.DUMMYFUNCTION("""COMPUTED_VALUE"""),TRUE)</f>
        <v>1</v>
      </c>
      <c r="H269" s="4" t="b">
        <f>IFERROR(__xludf.DUMMYFUNCTION("""COMPUTED_VALUE"""),FALSE)</f>
        <v>0</v>
      </c>
      <c r="I269" s="4">
        <f>IFERROR(__xludf.DUMMYFUNCTION("""COMPUTED_VALUE"""),0.24646185185185185)</f>
        <v>0.2464618519</v>
      </c>
      <c r="J269" s="4">
        <f>IFERROR(__xludf.DUMMYFUNCTION("""COMPUTED_VALUE"""),45949.254672583666)</f>
        <v>45949.25467</v>
      </c>
      <c r="K269" s="4">
        <f>IFERROR(__xludf.DUMMYFUNCTION("""COMPUTED_VALUE"""),45949.27691024814)</f>
        <v>45949.27691</v>
      </c>
      <c r="L269" s="4">
        <f>IFERROR(__xludf.DUMMYFUNCTION("""COMPUTED_VALUE"""),45949.282987679115)</f>
        <v>45949.28299</v>
      </c>
      <c r="M269" s="1" t="str">
        <f>IFERROR(__xludf.DUMMYFUNCTION("""COMPUTED_VALUE"""),"RFID")</f>
        <v>RFID</v>
      </c>
      <c r="N269" s="5">
        <f>IFERROR(__xludf.DUMMYFUNCTION("""COMPUTED_VALUE"""),0.0032842916666666667)</f>
        <v>0.003284291667</v>
      </c>
      <c r="O269" s="5">
        <f>IFERROR(__xludf.DUMMYFUNCTION("""COMPUTED_VALUE"""),0.008895064814814816)</f>
        <v>0.008895064815</v>
      </c>
      <c r="P269" s="5">
        <f>IFERROR(__xludf.DUMMYFUNCTION("""COMPUTED_VALUE"""),0.002501000401227631)</f>
        <v>0.002501000401</v>
      </c>
      <c r="Q269" s="5">
        <f>IFERROR(__xludf.DUMMYFUNCTION("""COMPUTED_VALUE"""),0.003652582175925926)</f>
        <v>0.003652582176</v>
      </c>
      <c r="R269" s="4">
        <f>IFERROR(__xludf.DUMMYFUNCTION("""COMPUTED_VALUE"""),45949.036525827265)</f>
        <v>45949.03653</v>
      </c>
      <c r="S269" s="1" t="b">
        <f>IFERROR(__xludf.DUMMYFUNCTION("""COMPUTED_VALUE"""),TRUE)</f>
        <v>1</v>
      </c>
      <c r="T269" s="1" t="b">
        <f>IFERROR(__xludf.DUMMYFUNCTION("""COMPUTED_VALUE"""),FALSE)</f>
        <v>0</v>
      </c>
      <c r="U269" s="1" t="str">
        <f>IFERROR(__xludf.DUMMYFUNCTION("""COMPUTED_VALUE"""),"VALID")</f>
        <v>VALID</v>
      </c>
      <c r="V269" s="1">
        <f>IFERROR(__xludf.DUMMYFUNCTION("""COMPUTED_VALUE"""),51.0)</f>
        <v>51</v>
      </c>
      <c r="W269" s="1">
        <f>IFERROR(__xludf.DUMMYFUNCTION("""COMPUTED_VALUE"""),63.0)</f>
        <v>63</v>
      </c>
      <c r="X269" s="1">
        <f>IFERROR(__xludf.DUMMYFUNCTION("""COMPUTED_VALUE"""),805.0)</f>
        <v>805</v>
      </c>
      <c r="Y269" s="2"/>
      <c r="Z269" s="2"/>
    </row>
    <row r="270">
      <c r="A270" s="1">
        <f>IFERROR(__xludf.DUMMYFUNCTION("""COMPUTED_VALUE"""),269.0)</f>
        <v>269</v>
      </c>
      <c r="B270" s="1">
        <f>IFERROR(__xludf.DUMMYFUNCTION("""COMPUTED_VALUE"""),10101.0)</f>
        <v>10101</v>
      </c>
      <c r="C270" s="2" t="str">
        <f>IFERROR(__xludf.DUMMYFUNCTION("""COMPUTED_VALUE"""),"Iqbal AbdulQutni")</f>
        <v>Iqbal AbdulQutni</v>
      </c>
      <c r="D270" s="2" t="str">
        <f>IFERROR(__xludf.DUMMYFUNCTION("""COMPUTED_VALUE"""),"10KM OVERALL M")</f>
        <v>10KM OVERALL M</v>
      </c>
      <c r="E270" s="1">
        <f>IFERROR(__xludf.DUMMYFUNCTION("""COMPUTED_VALUE"""),1.0)</f>
        <v>1</v>
      </c>
      <c r="F270" s="1" t="str">
        <f>IFERROR(__xludf.DUMMYFUNCTION("""COMPUTED_VALUE"""),"Male")</f>
        <v>Male</v>
      </c>
      <c r="G270" s="4" t="b">
        <f>IFERROR(__xludf.DUMMYFUNCTION("""COMPUTED_VALUE"""),TRUE)</f>
        <v>1</v>
      </c>
      <c r="H270" s="4" t="b">
        <f>IFERROR(__xludf.DUMMYFUNCTION("""COMPUTED_VALUE"""),TRUE)</f>
        <v>1</v>
      </c>
      <c r="I270" s="4">
        <f>IFERROR(__xludf.DUMMYFUNCTION("""COMPUTED_VALUE"""),0.24646185185185185)</f>
        <v>0.2464618519</v>
      </c>
      <c r="J270" s="4">
        <f>IFERROR(__xludf.DUMMYFUNCTION("""COMPUTED_VALUE"""),45949.25336701726)</f>
        <v>45949.25337</v>
      </c>
      <c r="K270" s="4">
        <f>IFERROR(__xludf.DUMMYFUNCTION("""COMPUTED_VALUE"""),45949.272115343556)</f>
        <v>45949.27212</v>
      </c>
      <c r="L270" s="4">
        <f>IFERROR(__xludf.DUMMYFUNCTION("""COMPUTED_VALUE"""),45949.2776994264)</f>
        <v>45949.2777</v>
      </c>
      <c r="M270" s="1" t="str">
        <f>IFERROR(__xludf.DUMMYFUNCTION("""COMPUTED_VALUE"""),"RFID")</f>
        <v>RFID</v>
      </c>
      <c r="N270" s="5">
        <f>IFERROR(__xludf.DUMMYFUNCTION("""COMPUTED_VALUE"""),0.002762064814814815)</f>
        <v>0.002762064815</v>
      </c>
      <c r="O270" s="5">
        <f>IFERROR(__xludf.DUMMYFUNCTION("""COMPUTED_VALUE"""),0.007499328703703703)</f>
        <v>0.007499328704</v>
      </c>
      <c r="P270" s="5">
        <f>IFERROR(__xludf.DUMMYFUNCTION("""COMPUTED_VALUE"""),0.0022979764784724593)</f>
        <v>0.002297976478</v>
      </c>
      <c r="Q270" s="5">
        <f>IFERROR(__xludf.DUMMYFUNCTION("""COMPUTED_VALUE"""),0.003123756944444444)</f>
        <v>0.003123756944</v>
      </c>
      <c r="R270" s="4">
        <f>IFERROR(__xludf.DUMMYFUNCTION("""COMPUTED_VALUE"""),45949.03123757455)</f>
        <v>45949.03124</v>
      </c>
      <c r="S270" s="1" t="b">
        <f>IFERROR(__xludf.DUMMYFUNCTION("""COMPUTED_VALUE"""),TRUE)</f>
        <v>1</v>
      </c>
      <c r="T270" s="1" t="b">
        <f>IFERROR(__xludf.DUMMYFUNCTION("""COMPUTED_VALUE"""),FALSE)</f>
        <v>0</v>
      </c>
      <c r="U270" s="1" t="str">
        <f>IFERROR(__xludf.DUMMYFUNCTION("""COMPUTED_VALUE"""),"VALID")</f>
        <v>VALID</v>
      </c>
      <c r="V270" s="1">
        <f>IFERROR(__xludf.DUMMYFUNCTION("""COMPUTED_VALUE"""),11.0)</f>
        <v>11</v>
      </c>
      <c r="W270" s="1">
        <f>IFERROR(__xludf.DUMMYFUNCTION("""COMPUTED_VALUE"""),15.0)</f>
        <v>15</v>
      </c>
      <c r="X270" s="1">
        <f>IFERROR(__xludf.DUMMYFUNCTION("""COMPUTED_VALUE"""),540.0)</f>
        <v>540</v>
      </c>
      <c r="Y270" s="2"/>
      <c r="Z270" s="2"/>
    </row>
    <row r="271">
      <c r="A271" s="1">
        <f>IFERROR(__xludf.DUMMYFUNCTION("""COMPUTED_VALUE"""),270.0)</f>
        <v>270</v>
      </c>
      <c r="B271" s="1">
        <f>IFERROR(__xludf.DUMMYFUNCTION("""COMPUTED_VALUE"""),10102.0)</f>
        <v>10102</v>
      </c>
      <c r="C271" s="2" t="str">
        <f>IFERROR(__xludf.DUMMYFUNCTION("""COMPUTED_VALUE"""),"Naufal Shidqi")</f>
        <v>Naufal Shidqi</v>
      </c>
      <c r="D271" s="2" t="str">
        <f>IFERROR(__xludf.DUMMYFUNCTION("""COMPUTED_VALUE"""),"10KM OVERALL M")</f>
        <v>10KM OVERALL M</v>
      </c>
      <c r="E271" s="1">
        <f>IFERROR(__xludf.DUMMYFUNCTION("""COMPUTED_VALUE"""),1.0)</f>
        <v>1</v>
      </c>
      <c r="F271" s="1" t="str">
        <f>IFERROR(__xludf.DUMMYFUNCTION("""COMPUTED_VALUE"""),"Male")</f>
        <v>Male</v>
      </c>
      <c r="G271" s="4" t="b">
        <f>IFERROR(__xludf.DUMMYFUNCTION("""COMPUTED_VALUE"""),TRUE)</f>
        <v>1</v>
      </c>
      <c r="H271" s="4" t="b">
        <f>IFERROR(__xludf.DUMMYFUNCTION("""COMPUTED_VALUE"""),TRUE)</f>
        <v>1</v>
      </c>
      <c r="I271" s="4">
        <f>IFERROR(__xludf.DUMMYFUNCTION("""COMPUTED_VALUE"""),0.24646185185185185)</f>
        <v>0.2464618519</v>
      </c>
      <c r="J271" s="4">
        <f>IFERROR(__xludf.DUMMYFUNCTION("""COMPUTED_VALUE"""),45949.25497460556)</f>
        <v>45949.25497</v>
      </c>
      <c r="K271" s="4">
        <f>IFERROR(__xludf.DUMMYFUNCTION("""COMPUTED_VALUE"""),45949.277917217965)</f>
        <v>45949.27792</v>
      </c>
      <c r="L271" s="4">
        <f>IFERROR(__xludf.DUMMYFUNCTION("""COMPUTED_VALUE"""),45949.28432794755)</f>
        <v>45949.28433</v>
      </c>
      <c r="M271" s="1" t="str">
        <f>IFERROR(__xludf.DUMMYFUNCTION("""COMPUTED_VALUE"""),"RFID")</f>
        <v>RFID</v>
      </c>
      <c r="N271" s="5">
        <f>IFERROR(__xludf.DUMMYFUNCTION("""COMPUTED_VALUE"""),0.0034051018518518514)</f>
        <v>0.003405101852</v>
      </c>
      <c r="O271" s="5">
        <f>IFERROR(__xludf.DUMMYFUNCTION("""COMPUTED_VALUE"""),0.009177046296296296)</f>
        <v>0.009177046296</v>
      </c>
      <c r="P271" s="5">
        <f>IFERROR(__xludf.DUMMYFUNCTION("""COMPUTED_VALUE"""),0.002638160322582993)</f>
        <v>0.002638160323</v>
      </c>
      <c r="Q271" s="5">
        <f>IFERROR(__xludf.DUMMYFUNCTION("""COMPUTED_VALUE"""),0.0037866099537037035)</f>
        <v>0.003786609954</v>
      </c>
      <c r="R271" s="4">
        <f>IFERROR(__xludf.DUMMYFUNCTION("""COMPUTED_VALUE"""),45949.0378660957)</f>
        <v>45949.03787</v>
      </c>
      <c r="S271" s="1" t="b">
        <f>IFERROR(__xludf.DUMMYFUNCTION("""COMPUTED_VALUE"""),TRUE)</f>
        <v>1</v>
      </c>
      <c r="T271" s="1" t="b">
        <f>IFERROR(__xludf.DUMMYFUNCTION("""COMPUTED_VALUE"""),FALSE)</f>
        <v>0</v>
      </c>
      <c r="U271" s="1" t="str">
        <f>IFERROR(__xludf.DUMMYFUNCTION("""COMPUTED_VALUE"""),"VALID")</f>
        <v>VALID</v>
      </c>
      <c r="V271" s="1">
        <f>IFERROR(__xludf.DUMMYFUNCTION("""COMPUTED_VALUE"""),68.0)</f>
        <v>68</v>
      </c>
      <c r="W271" s="1">
        <f>IFERROR(__xludf.DUMMYFUNCTION("""COMPUTED_VALUE"""),81.0)</f>
        <v>81</v>
      </c>
      <c r="X271" s="1">
        <f>IFERROR(__xludf.DUMMYFUNCTION("""COMPUTED_VALUE"""),867.0)</f>
        <v>867</v>
      </c>
      <c r="Y271" s="2"/>
      <c r="Z271" s="2"/>
    </row>
    <row r="272">
      <c r="A272" s="1">
        <f>IFERROR(__xludf.DUMMYFUNCTION("""COMPUTED_VALUE"""),271.0)</f>
        <v>271</v>
      </c>
      <c r="B272" s="1">
        <f>IFERROR(__xludf.DUMMYFUNCTION("""COMPUTED_VALUE"""),10103.0)</f>
        <v>10103</v>
      </c>
      <c r="C272" s="2" t="str">
        <f>IFERROR(__xludf.DUMMYFUNCTION("""COMPUTED_VALUE"""),"Trian")</f>
        <v>Trian</v>
      </c>
      <c r="D272" s="2" t="str">
        <f>IFERROR(__xludf.DUMMYFUNCTION("""COMPUTED_VALUE"""),"10KM OVERALL M")</f>
        <v>10KM OVERALL M</v>
      </c>
      <c r="E272" s="1">
        <f>IFERROR(__xludf.DUMMYFUNCTION("""COMPUTED_VALUE"""),1.0)</f>
        <v>1</v>
      </c>
      <c r="F272" s="1" t="str">
        <f>IFERROR(__xludf.DUMMYFUNCTION("""COMPUTED_VALUE"""),"Male")</f>
        <v>Male</v>
      </c>
      <c r="G272" s="4" t="b">
        <f>IFERROR(__xludf.DUMMYFUNCTION("""COMPUTED_VALUE"""),TRUE)</f>
        <v>1</v>
      </c>
      <c r="H272" s="4" t="b">
        <f>IFERROR(__xludf.DUMMYFUNCTION("""COMPUTED_VALUE"""),TRUE)</f>
        <v>1</v>
      </c>
      <c r="I272" s="4">
        <f>IFERROR(__xludf.DUMMYFUNCTION("""COMPUTED_VALUE"""),0.24646185185185185)</f>
        <v>0.2464618519</v>
      </c>
      <c r="J272" s="4">
        <f>IFERROR(__xludf.DUMMYFUNCTION("""COMPUTED_VALUE"""),45949.258800997595)</f>
        <v>45949.2588</v>
      </c>
      <c r="K272" s="4">
        <f>IFERROR(__xludf.DUMMYFUNCTION("""COMPUTED_VALUE"""),45949.290138888886)</f>
        <v>45949.29014</v>
      </c>
      <c r="L272" s="4">
        <f>IFERROR(__xludf.DUMMYFUNCTION("""COMPUTED_VALUE"""),45949.299393928726)</f>
        <v>45949.29939</v>
      </c>
      <c r="M272" s="1" t="str">
        <f>IFERROR(__xludf.DUMMYFUNCTION("""COMPUTED_VALUE"""),"RFID")</f>
        <v>RFID</v>
      </c>
      <c r="N272" s="5">
        <f>IFERROR(__xludf.DUMMYFUNCTION("""COMPUTED_VALUE"""),0.004935657407407408)</f>
        <v>0.004935657407</v>
      </c>
      <c r="O272" s="5">
        <f>IFERROR(__xludf.DUMMYFUNCTION("""COMPUTED_VALUE"""),0.012535157407407408)</f>
        <v>0.01253515741</v>
      </c>
      <c r="P272" s="5">
        <f>IFERROR(__xludf.DUMMYFUNCTION("""COMPUTED_VALUE"""),0.0038086583705162894)</f>
        <v>0.003808658371</v>
      </c>
      <c r="Q272" s="5">
        <f>IFERROR(__xludf.DUMMYFUNCTION("""COMPUTED_VALUE"""),0.005293207175925926)</f>
        <v>0.005293207176</v>
      </c>
      <c r="R272" s="4">
        <f>IFERROR(__xludf.DUMMYFUNCTION("""COMPUTED_VALUE"""),45949.05293207688)</f>
        <v>45949.05293</v>
      </c>
      <c r="S272" s="1" t="b">
        <f>IFERROR(__xludf.DUMMYFUNCTION("""COMPUTED_VALUE"""),TRUE)</f>
        <v>1</v>
      </c>
      <c r="T272" s="1" t="b">
        <f>IFERROR(__xludf.DUMMYFUNCTION("""COMPUTED_VALUE"""),FALSE)</f>
        <v>0</v>
      </c>
      <c r="U272" s="1" t="str">
        <f>IFERROR(__xludf.DUMMYFUNCTION("""COMPUTED_VALUE"""),"VALID")</f>
        <v>VALID</v>
      </c>
      <c r="V272" s="1">
        <f>IFERROR(__xludf.DUMMYFUNCTION("""COMPUTED_VALUE"""),399.0)</f>
        <v>399</v>
      </c>
      <c r="W272" s="1">
        <f>IFERROR(__xludf.DUMMYFUNCTION("""COMPUTED_VALUE"""),477.0)</f>
        <v>477</v>
      </c>
      <c r="X272" s="1">
        <f>IFERROR(__xludf.DUMMYFUNCTION("""COMPUTED_VALUE"""),1453.0)</f>
        <v>1453</v>
      </c>
      <c r="Y272" s="2"/>
      <c r="Z272" s="2"/>
    </row>
    <row r="273">
      <c r="A273" s="1">
        <f>IFERROR(__xludf.DUMMYFUNCTION("""COMPUTED_VALUE"""),272.0)</f>
        <v>272</v>
      </c>
      <c r="B273" s="1">
        <f>IFERROR(__xludf.DUMMYFUNCTION("""COMPUTED_VALUE"""),10104.0)</f>
        <v>10104</v>
      </c>
      <c r="C273" s="2" t="str">
        <f>IFERROR(__xludf.DUMMYFUNCTION("""COMPUTED_VALUE"""),"Zibran")</f>
        <v>Zibran</v>
      </c>
      <c r="D273" s="2" t="str">
        <f>IFERROR(__xludf.DUMMYFUNCTION("""COMPUTED_VALUE"""),"10KM OVERALL M")</f>
        <v>10KM OVERALL M</v>
      </c>
      <c r="E273" s="1">
        <f>IFERROR(__xludf.DUMMYFUNCTION("""COMPUTED_VALUE"""),1.0)</f>
        <v>1</v>
      </c>
      <c r="F273" s="1" t="str">
        <f>IFERROR(__xludf.DUMMYFUNCTION("""COMPUTED_VALUE"""),"Male")</f>
        <v>Male</v>
      </c>
      <c r="G273" s="4" t="b">
        <f>IFERROR(__xludf.DUMMYFUNCTION("""COMPUTED_VALUE"""),TRUE)</f>
        <v>1</v>
      </c>
      <c r="H273" s="4" t="b">
        <f>IFERROR(__xludf.DUMMYFUNCTION("""COMPUTED_VALUE"""),TRUE)</f>
        <v>1</v>
      </c>
      <c r="I273" s="4">
        <f>IFERROR(__xludf.DUMMYFUNCTION("""COMPUTED_VALUE"""),0.24646185185185185)</f>
        <v>0.2464618519</v>
      </c>
      <c r="J273" s="4">
        <f>IFERROR(__xludf.DUMMYFUNCTION("""COMPUTED_VALUE"""),45949.254576178544)</f>
        <v>45949.25458</v>
      </c>
      <c r="K273" s="4">
        <f>IFERROR(__xludf.DUMMYFUNCTION("""COMPUTED_VALUE"""),45949.28040176)</f>
        <v>45949.2804</v>
      </c>
      <c r="L273" s="4">
        <f>IFERROR(__xludf.DUMMYFUNCTION("""COMPUTED_VALUE"""),45949.28806755089)</f>
        <v>45949.28807</v>
      </c>
      <c r="M273" s="1" t="str">
        <f>IFERROR(__xludf.DUMMYFUNCTION("""COMPUTED_VALUE"""),"RFID")</f>
        <v>RFID</v>
      </c>
      <c r="N273" s="5">
        <f>IFERROR(__xludf.DUMMYFUNCTION("""COMPUTED_VALUE"""),0.0032457314814814814)</f>
        <v>0.003245731481</v>
      </c>
      <c r="O273" s="5">
        <f>IFERROR(__xludf.DUMMYFUNCTION("""COMPUTED_VALUE"""),0.01033023148148148)</f>
        <v>0.01033023148</v>
      </c>
      <c r="P273" s="5">
        <f>IFERROR(__xludf.DUMMYFUNCTION("""COMPUTED_VALUE"""),0.00315464645841661)</f>
        <v>0.003154646458</v>
      </c>
      <c r="Q273" s="5">
        <f>IFERROR(__xludf.DUMMYFUNCTION("""COMPUTED_VALUE"""),0.004160569444444444)</f>
        <v>0.004160569444</v>
      </c>
      <c r="R273" s="4">
        <f>IFERROR(__xludf.DUMMYFUNCTION("""COMPUTED_VALUE"""),45949.04160569904)</f>
        <v>45949.04161</v>
      </c>
      <c r="S273" s="1" t="b">
        <f>IFERROR(__xludf.DUMMYFUNCTION("""COMPUTED_VALUE"""),TRUE)</f>
        <v>1</v>
      </c>
      <c r="T273" s="1" t="b">
        <f>IFERROR(__xludf.DUMMYFUNCTION("""COMPUTED_VALUE"""),FALSE)</f>
        <v>0</v>
      </c>
      <c r="U273" s="1" t="str">
        <f>IFERROR(__xludf.DUMMYFUNCTION("""COMPUTED_VALUE"""),"VALID")</f>
        <v>VALID</v>
      </c>
      <c r="V273" s="1">
        <f>IFERROR(__xludf.DUMMYFUNCTION("""COMPUTED_VALUE"""),134.0)</f>
        <v>134</v>
      </c>
      <c r="W273" s="1">
        <f>IFERROR(__xludf.DUMMYFUNCTION("""COMPUTED_VALUE"""),158.0)</f>
        <v>158</v>
      </c>
      <c r="X273" s="1">
        <f>IFERROR(__xludf.DUMMYFUNCTION("""COMPUTED_VALUE"""),1051.0)</f>
        <v>1051</v>
      </c>
      <c r="Y273" s="2"/>
      <c r="Z273" s="2"/>
    </row>
    <row r="274">
      <c r="A274" s="1">
        <f>IFERROR(__xludf.DUMMYFUNCTION("""COMPUTED_VALUE"""),273.0)</f>
        <v>273</v>
      </c>
      <c r="B274" s="1">
        <f>IFERROR(__xludf.DUMMYFUNCTION("""COMPUTED_VALUE"""),10108.0)</f>
        <v>10108</v>
      </c>
      <c r="C274" s="2" t="str">
        <f>IFERROR(__xludf.DUMMYFUNCTION("""COMPUTED_VALUE"""),"Hendra Mahriady")</f>
        <v>Hendra Mahriady</v>
      </c>
      <c r="D274" s="2" t="str">
        <f>IFERROR(__xludf.DUMMYFUNCTION("""COMPUTED_VALUE"""),"10KM OVERALL M")</f>
        <v>10KM OVERALL M</v>
      </c>
      <c r="E274" s="1">
        <f>IFERROR(__xludf.DUMMYFUNCTION("""COMPUTED_VALUE"""),1.0)</f>
        <v>1</v>
      </c>
      <c r="F274" s="1" t="str">
        <f>IFERROR(__xludf.DUMMYFUNCTION("""COMPUTED_VALUE"""),"Male")</f>
        <v>Male</v>
      </c>
      <c r="G274" s="4" t="b">
        <f>IFERROR(__xludf.DUMMYFUNCTION("""COMPUTED_VALUE"""),TRUE)</f>
        <v>1</v>
      </c>
      <c r="H274" s="4" t="b">
        <f>IFERROR(__xludf.DUMMYFUNCTION("""COMPUTED_VALUE"""),TRUE)</f>
        <v>1</v>
      </c>
      <c r="I274" s="4">
        <f>IFERROR(__xludf.DUMMYFUNCTION("""COMPUTED_VALUE"""),0.24646185185185185)</f>
        <v>0.2464618519</v>
      </c>
      <c r="J274" s="4">
        <f>IFERROR(__xludf.DUMMYFUNCTION("""COMPUTED_VALUE"""),45949.258106562906)</f>
        <v>45949.25811</v>
      </c>
      <c r="K274" s="4">
        <f>IFERROR(__xludf.DUMMYFUNCTION("""COMPUTED_VALUE"""),45949.28565172832)</f>
        <v>45949.28565</v>
      </c>
      <c r="L274" s="4">
        <f>IFERROR(__xludf.DUMMYFUNCTION("""COMPUTED_VALUE"""),45949.29246684417)</f>
        <v>45949.29247</v>
      </c>
      <c r="M274" s="1" t="str">
        <f>IFERROR(__xludf.DUMMYFUNCTION("""COMPUTED_VALUE"""),"RFID")</f>
        <v>RFID</v>
      </c>
      <c r="N274" s="5">
        <f>IFERROR(__xludf.DUMMYFUNCTION("""COMPUTED_VALUE"""),0.004657884259259259)</f>
        <v>0.004657884259</v>
      </c>
      <c r="O274" s="5">
        <f>IFERROR(__xludf.DUMMYFUNCTION("""COMPUTED_VALUE"""),0.011018064814814816)</f>
        <v>0.01101806481</v>
      </c>
      <c r="P274" s="5">
        <f>IFERROR(__xludf.DUMMYFUNCTION("""COMPUTED_VALUE"""),0.0028045744232262325)</f>
        <v>0.002804574423</v>
      </c>
      <c r="Q274" s="5">
        <f>IFERROR(__xludf.DUMMYFUNCTION("""COMPUTED_VALUE"""),0.004600498842592593)</f>
        <v>0.004600498843</v>
      </c>
      <c r="R274" s="4">
        <f>IFERROR(__xludf.DUMMYFUNCTION("""COMPUTED_VALUE"""),45949.04600499232)</f>
        <v>45949.046</v>
      </c>
      <c r="S274" s="1" t="b">
        <f>IFERROR(__xludf.DUMMYFUNCTION("""COMPUTED_VALUE"""),TRUE)</f>
        <v>1</v>
      </c>
      <c r="T274" s="1" t="b">
        <f>IFERROR(__xludf.DUMMYFUNCTION("""COMPUTED_VALUE"""),FALSE)</f>
        <v>0</v>
      </c>
      <c r="U274" s="1" t="str">
        <f>IFERROR(__xludf.DUMMYFUNCTION("""COMPUTED_VALUE"""),"VALID")</f>
        <v>VALID</v>
      </c>
      <c r="V274" s="1">
        <f>IFERROR(__xludf.DUMMYFUNCTION("""COMPUTED_VALUE"""),240.0)</f>
        <v>240</v>
      </c>
      <c r="W274" s="1">
        <f>IFERROR(__xludf.DUMMYFUNCTION("""COMPUTED_VALUE"""),289.0)</f>
        <v>289</v>
      </c>
      <c r="X274" s="1">
        <f>IFERROR(__xludf.DUMMYFUNCTION("""COMPUTED_VALUE"""),1235.0)</f>
        <v>1235</v>
      </c>
      <c r="Y274" s="2"/>
      <c r="Z274" s="2"/>
    </row>
    <row r="275">
      <c r="A275" s="1">
        <f>IFERROR(__xludf.DUMMYFUNCTION("""COMPUTED_VALUE"""),274.0)</f>
        <v>274</v>
      </c>
      <c r="B275" s="1">
        <f>IFERROR(__xludf.DUMMYFUNCTION("""COMPUTED_VALUE"""),10109.0)</f>
        <v>10109</v>
      </c>
      <c r="C275" s="2" t="str">
        <f>IFERROR(__xludf.DUMMYFUNCTION("""COMPUTED_VALUE"""),"Bambang Wahyudi")</f>
        <v>Bambang Wahyudi</v>
      </c>
      <c r="D275" s="2" t="str">
        <f>IFERROR(__xludf.DUMMYFUNCTION("""COMPUTED_VALUE"""),"10KM OVERALL M")</f>
        <v>10KM OVERALL M</v>
      </c>
      <c r="E275" s="1">
        <f>IFERROR(__xludf.DUMMYFUNCTION("""COMPUTED_VALUE"""),1.0)</f>
        <v>1</v>
      </c>
      <c r="F275" s="1" t="str">
        <f>IFERROR(__xludf.DUMMYFUNCTION("""COMPUTED_VALUE"""),"Male")</f>
        <v>Male</v>
      </c>
      <c r="G275" s="4" t="b">
        <f>IFERROR(__xludf.DUMMYFUNCTION("""COMPUTED_VALUE"""),TRUE)</f>
        <v>1</v>
      </c>
      <c r="H275" s="4" t="b">
        <f>IFERROR(__xludf.DUMMYFUNCTION("""COMPUTED_VALUE"""),TRUE)</f>
        <v>1</v>
      </c>
      <c r="I275" s="4">
        <f>IFERROR(__xludf.DUMMYFUNCTION("""COMPUTED_VALUE"""),0.24646185185185185)</f>
        <v>0.2464618519</v>
      </c>
      <c r="J275" s="4">
        <f>IFERROR(__xludf.DUMMYFUNCTION("""COMPUTED_VALUE"""),45949.25668294885)</f>
        <v>45949.25668</v>
      </c>
      <c r="K275" s="4">
        <f>IFERROR(__xludf.DUMMYFUNCTION("""COMPUTED_VALUE"""),45949.281394773876)</f>
        <v>45949.28139</v>
      </c>
      <c r="L275" s="4">
        <f>IFERROR(__xludf.DUMMYFUNCTION("""COMPUTED_VALUE"""),45949.28908837231)</f>
        <v>45949.28909</v>
      </c>
      <c r="M275" s="1" t="str">
        <f>IFERROR(__xludf.DUMMYFUNCTION("""COMPUTED_VALUE"""),"RFID")</f>
        <v>RFID</v>
      </c>
      <c r="N275" s="5">
        <f>IFERROR(__xludf.DUMMYFUNCTION("""COMPUTED_VALUE"""),0.004088439814814815)</f>
        <v>0.004088439815</v>
      </c>
      <c r="O275" s="5">
        <f>IFERROR(__xludf.DUMMYFUNCTION("""COMPUTED_VALUE"""),0.00988473148148148)</f>
        <v>0.009884731481</v>
      </c>
      <c r="P275" s="5">
        <f>IFERROR(__xludf.DUMMYFUNCTION("""COMPUTED_VALUE"""),0.0031660898899278167)</f>
        <v>0.00316608989</v>
      </c>
      <c r="Q275" s="5">
        <f>IFERROR(__xludf.DUMMYFUNCTION("""COMPUTED_VALUE"""),0.004262651620370371)</f>
        <v>0.00426265162</v>
      </c>
      <c r="R275" s="4">
        <f>IFERROR(__xludf.DUMMYFUNCTION("""COMPUTED_VALUE"""),45949.04262652046)</f>
        <v>45949.04263</v>
      </c>
      <c r="S275" s="1" t="b">
        <f>IFERROR(__xludf.DUMMYFUNCTION("""COMPUTED_VALUE"""),TRUE)</f>
        <v>1</v>
      </c>
      <c r="T275" s="1" t="b">
        <f>IFERROR(__xludf.DUMMYFUNCTION("""COMPUTED_VALUE"""),FALSE)</f>
        <v>0</v>
      </c>
      <c r="U275" s="1" t="str">
        <f>IFERROR(__xludf.DUMMYFUNCTION("""COMPUTED_VALUE"""),"VALID")</f>
        <v>VALID</v>
      </c>
      <c r="V275" s="1">
        <f>IFERROR(__xludf.DUMMYFUNCTION("""COMPUTED_VALUE"""),162.0)</f>
        <v>162</v>
      </c>
      <c r="W275" s="1">
        <f>IFERROR(__xludf.DUMMYFUNCTION("""COMPUTED_VALUE"""),189.0)</f>
        <v>189</v>
      </c>
      <c r="X275" s="1">
        <f>IFERROR(__xludf.DUMMYFUNCTION("""COMPUTED_VALUE"""),1090.0)</f>
        <v>1090</v>
      </c>
      <c r="Y275" s="2"/>
      <c r="Z275" s="2"/>
    </row>
    <row r="276">
      <c r="A276" s="1">
        <f>IFERROR(__xludf.DUMMYFUNCTION("""COMPUTED_VALUE"""),275.0)</f>
        <v>275</v>
      </c>
      <c r="B276" s="1">
        <f>IFERROR(__xludf.DUMMYFUNCTION("""COMPUTED_VALUE"""),10110.0)</f>
        <v>10110</v>
      </c>
      <c r="C276" s="2" t="str">
        <f>IFERROR(__xludf.DUMMYFUNCTION("""COMPUTED_VALUE"""),"Yivon")</f>
        <v>Yivon</v>
      </c>
      <c r="D276" s="2" t="str">
        <f>IFERROR(__xludf.DUMMYFUNCTION("""COMPUTED_VALUE"""),"10KM OVERALL M")</f>
        <v>10KM OVERALL M</v>
      </c>
      <c r="E276" s="1">
        <f>IFERROR(__xludf.DUMMYFUNCTION("""COMPUTED_VALUE"""),1.0)</f>
        <v>1</v>
      </c>
      <c r="F276" s="1" t="str">
        <f>IFERROR(__xludf.DUMMYFUNCTION("""COMPUTED_VALUE"""),"Male")</f>
        <v>Male</v>
      </c>
      <c r="G276" s="4" t="b">
        <f>IFERROR(__xludf.DUMMYFUNCTION("""COMPUTED_VALUE"""),TRUE)</f>
        <v>1</v>
      </c>
      <c r="H276" s="4" t="b">
        <f>IFERROR(__xludf.DUMMYFUNCTION("""COMPUTED_VALUE"""),TRUE)</f>
        <v>1</v>
      </c>
      <c r="I276" s="4">
        <f>IFERROR(__xludf.DUMMYFUNCTION("""COMPUTED_VALUE"""),0.24646185185185185)</f>
        <v>0.2464618519</v>
      </c>
      <c r="J276" s="4">
        <f>IFERROR(__xludf.DUMMYFUNCTION("""COMPUTED_VALUE"""),45949.26261003637)</f>
        <v>45949.26261</v>
      </c>
      <c r="K276" s="4">
        <f>IFERROR(__xludf.DUMMYFUNCTION("""COMPUTED_VALUE"""),45949.291495664525)</f>
        <v>45949.2915</v>
      </c>
      <c r="L276" s="4">
        <f>IFERROR(__xludf.DUMMYFUNCTION("""COMPUTED_VALUE"""),45949.29995989124)</f>
        <v>45949.29996</v>
      </c>
      <c r="M276" s="1" t="str">
        <f>IFERROR(__xludf.DUMMYFUNCTION("""COMPUTED_VALUE"""),"RFID")</f>
        <v>RFID</v>
      </c>
      <c r="N276" s="5">
        <f>IFERROR(__xludf.DUMMYFUNCTION("""COMPUTED_VALUE"""),0.006459273148148148)</f>
        <v>0.006459273148</v>
      </c>
      <c r="O276" s="5">
        <f>IFERROR(__xludf.DUMMYFUNCTION("""COMPUTED_VALUE"""),0.011554249999999999)</f>
        <v>0.01155425</v>
      </c>
      <c r="P276" s="5">
        <f>IFERROR(__xludf.DUMMYFUNCTION("""COMPUTED_VALUE"""),0.0034832208713903683)</f>
        <v>0.003483220871</v>
      </c>
      <c r="Q276" s="5">
        <f>IFERROR(__xludf.DUMMYFUNCTION("""COMPUTED_VALUE"""),0.005349804398148148)</f>
        <v>0.005349804398</v>
      </c>
      <c r="R276" s="4">
        <f>IFERROR(__xludf.DUMMYFUNCTION("""COMPUTED_VALUE"""),45949.05349803939)</f>
        <v>45949.0535</v>
      </c>
      <c r="S276" s="1" t="b">
        <f>IFERROR(__xludf.DUMMYFUNCTION("""COMPUTED_VALUE"""),TRUE)</f>
        <v>1</v>
      </c>
      <c r="T276" s="1" t="b">
        <f>IFERROR(__xludf.DUMMYFUNCTION("""COMPUTED_VALUE"""),FALSE)</f>
        <v>0</v>
      </c>
      <c r="U276" s="1" t="str">
        <f>IFERROR(__xludf.DUMMYFUNCTION("""COMPUTED_VALUE"""),"VALID")</f>
        <v>VALID</v>
      </c>
      <c r="V276" s="1">
        <f>IFERROR(__xludf.DUMMYFUNCTION("""COMPUTED_VALUE"""),412.0)</f>
        <v>412</v>
      </c>
      <c r="W276" s="1">
        <f>IFERROR(__xludf.DUMMYFUNCTION("""COMPUTED_VALUE"""),492.0)</f>
        <v>492</v>
      </c>
      <c r="X276" s="1">
        <f>IFERROR(__xludf.DUMMYFUNCTION("""COMPUTED_VALUE"""),1468.0)</f>
        <v>1468</v>
      </c>
      <c r="Y276" s="2"/>
      <c r="Z276" s="2"/>
    </row>
    <row r="277">
      <c r="A277" s="1">
        <f>IFERROR(__xludf.DUMMYFUNCTION("""COMPUTED_VALUE"""),276.0)</f>
        <v>276</v>
      </c>
      <c r="B277" s="1">
        <f>IFERROR(__xludf.DUMMYFUNCTION("""COMPUTED_VALUE"""),10111.0)</f>
        <v>10111</v>
      </c>
      <c r="C277" s="2" t="str">
        <f>IFERROR(__xludf.DUMMYFUNCTION("""COMPUTED_VALUE"""),"Yudha Pratama")</f>
        <v>Yudha Pratama</v>
      </c>
      <c r="D277" s="2" t="str">
        <f>IFERROR(__xludf.DUMMYFUNCTION("""COMPUTED_VALUE"""),"10KM OVERALL M")</f>
        <v>10KM OVERALL M</v>
      </c>
      <c r="E277" s="1">
        <f>IFERROR(__xludf.DUMMYFUNCTION("""COMPUTED_VALUE"""),1.0)</f>
        <v>1</v>
      </c>
      <c r="F277" s="1" t="str">
        <f>IFERROR(__xludf.DUMMYFUNCTION("""COMPUTED_VALUE"""),"Male")</f>
        <v>Male</v>
      </c>
      <c r="G277" s="4" t="b">
        <f>IFERROR(__xludf.DUMMYFUNCTION("""COMPUTED_VALUE"""),TRUE)</f>
        <v>1</v>
      </c>
      <c r="H277" s="4" t="b">
        <f>IFERROR(__xludf.DUMMYFUNCTION("""COMPUTED_VALUE"""),FALSE)</f>
        <v>0</v>
      </c>
      <c r="I277" s="4">
        <f>IFERROR(__xludf.DUMMYFUNCTION("""COMPUTED_VALUE"""),0.24646185185185185)</f>
        <v>0.2464618519</v>
      </c>
      <c r="J277" s="4">
        <f>IFERROR(__xludf.DUMMYFUNCTION("""COMPUTED_VALUE"""),45949.25458571739)</f>
        <v>45949.25459</v>
      </c>
      <c r="K277" s="4">
        <f>IFERROR(__xludf.DUMMYFUNCTION("""COMPUTED_VALUE"""),45949.27736891766)</f>
        <v>45949.27737</v>
      </c>
      <c r="L277" s="4">
        <f>IFERROR(__xludf.DUMMYFUNCTION("""COMPUTED_VALUE"""),45949.28383832871)</f>
        <v>45949.28384</v>
      </c>
      <c r="M277" s="1" t="str">
        <f>IFERROR(__xludf.DUMMYFUNCTION("""COMPUTED_VALUE"""),"RFID")</f>
        <v>RFID</v>
      </c>
      <c r="N277" s="5">
        <f>IFERROR(__xludf.DUMMYFUNCTION("""COMPUTED_VALUE"""),0.0032495462962962964)</f>
        <v>0.003249546296</v>
      </c>
      <c r="O277" s="5">
        <f>IFERROR(__xludf.DUMMYFUNCTION("""COMPUTED_VALUE"""),0.009113282407407408)</f>
        <v>0.009113282407</v>
      </c>
      <c r="P277" s="5">
        <f>IFERROR(__xludf.DUMMYFUNCTION("""COMPUTED_VALUE"""),0.0026623090731991844)</f>
        <v>0.002662309073</v>
      </c>
      <c r="Q277" s="5">
        <f>IFERROR(__xludf.DUMMYFUNCTION("""COMPUTED_VALUE"""),0.0037376481481481484)</f>
        <v>0.003737648148</v>
      </c>
      <c r="R277" s="4">
        <f>IFERROR(__xludf.DUMMYFUNCTION("""COMPUTED_VALUE"""),45949.03737647686)</f>
        <v>45949.03738</v>
      </c>
      <c r="S277" s="1" t="b">
        <f>IFERROR(__xludf.DUMMYFUNCTION("""COMPUTED_VALUE"""),TRUE)</f>
        <v>1</v>
      </c>
      <c r="T277" s="1" t="b">
        <f>IFERROR(__xludf.DUMMYFUNCTION("""COMPUTED_VALUE"""),FALSE)</f>
        <v>0</v>
      </c>
      <c r="U277" s="1" t="str">
        <f>IFERROR(__xludf.DUMMYFUNCTION("""COMPUTED_VALUE"""),"VALID")</f>
        <v>VALID</v>
      </c>
      <c r="V277" s="1">
        <f>IFERROR(__xludf.DUMMYFUNCTION("""COMPUTED_VALUE"""),58.0)</f>
        <v>58</v>
      </c>
      <c r="W277" s="1">
        <f>IFERROR(__xludf.DUMMYFUNCTION("""COMPUTED_VALUE"""),70.0)</f>
        <v>70</v>
      </c>
      <c r="X277" s="1">
        <f>IFERROR(__xludf.DUMMYFUNCTION("""COMPUTED_VALUE"""),839.0)</f>
        <v>839</v>
      </c>
      <c r="Y277" s="2"/>
      <c r="Z277" s="2"/>
    </row>
    <row r="278">
      <c r="A278" s="1">
        <f>IFERROR(__xludf.DUMMYFUNCTION("""COMPUTED_VALUE"""),277.0)</f>
        <v>277</v>
      </c>
      <c r="B278" s="1">
        <f>IFERROR(__xludf.DUMMYFUNCTION("""COMPUTED_VALUE"""),10114.0)</f>
        <v>10114</v>
      </c>
      <c r="C278" s="2" t="str">
        <f>IFERROR(__xludf.DUMMYFUNCTION("""COMPUTED_VALUE"""),"hafizh anshary")</f>
        <v>hafizh anshary</v>
      </c>
      <c r="D278" s="2" t="str">
        <f>IFERROR(__xludf.DUMMYFUNCTION("""COMPUTED_VALUE"""),"10KM OVERALL M")</f>
        <v>10KM OVERALL M</v>
      </c>
      <c r="E278" s="1">
        <f>IFERROR(__xludf.DUMMYFUNCTION("""COMPUTED_VALUE"""),1.0)</f>
        <v>1</v>
      </c>
      <c r="F278" s="1" t="str">
        <f>IFERROR(__xludf.DUMMYFUNCTION("""COMPUTED_VALUE"""),"Male")</f>
        <v>Male</v>
      </c>
      <c r="G278" s="4" t="b">
        <f>IFERROR(__xludf.DUMMYFUNCTION("""COMPUTED_VALUE"""),TRUE)</f>
        <v>1</v>
      </c>
      <c r="H278" s="4" t="b">
        <f>IFERROR(__xludf.DUMMYFUNCTION("""COMPUTED_VALUE"""),TRUE)</f>
        <v>1</v>
      </c>
      <c r="I278" s="4">
        <f>IFERROR(__xludf.DUMMYFUNCTION("""COMPUTED_VALUE"""),0.24646185185185185)</f>
        <v>0.2464618519</v>
      </c>
      <c r="J278" s="4">
        <f>IFERROR(__xludf.DUMMYFUNCTION("""COMPUTED_VALUE"""),45949.25728017176)</f>
        <v>45949.25728</v>
      </c>
      <c r="K278" s="4">
        <f>IFERROR(__xludf.DUMMYFUNCTION("""COMPUTED_VALUE"""),45949.285482690015)</f>
        <v>45949.28548</v>
      </c>
      <c r="L278" s="4">
        <f>IFERROR(__xludf.DUMMYFUNCTION("""COMPUTED_VALUE"""),45949.2915293439)</f>
        <v>45949.29153</v>
      </c>
      <c r="M278" s="1" t="str">
        <f>IFERROR(__xludf.DUMMYFUNCTION("""COMPUTED_VALUE"""),"RFID")</f>
        <v>RFID</v>
      </c>
      <c r="N278" s="5">
        <f>IFERROR(__xludf.DUMMYFUNCTION("""COMPUTED_VALUE"""),0.004327328703703703)</f>
        <v>0.004327328704</v>
      </c>
      <c r="O278" s="5">
        <f>IFERROR(__xludf.DUMMYFUNCTION("""COMPUTED_VALUE"""),0.011281009259259258)</f>
        <v>0.01128100926</v>
      </c>
      <c r="P278" s="5">
        <f>IFERROR(__xludf.DUMMYFUNCTION("""COMPUTED_VALUE"""),0.0024883349322131353)</f>
        <v>0.002488334932</v>
      </c>
      <c r="Q278" s="5">
        <f>IFERROR(__xludf.DUMMYFUNCTION("""COMPUTED_VALUE"""),0.004506748842592593)</f>
        <v>0.004506748843</v>
      </c>
      <c r="R278" s="4">
        <f>IFERROR(__xludf.DUMMYFUNCTION("""COMPUTED_VALUE"""),45949.04506749205)</f>
        <v>45949.04507</v>
      </c>
      <c r="S278" s="1" t="b">
        <f>IFERROR(__xludf.DUMMYFUNCTION("""COMPUTED_VALUE"""),TRUE)</f>
        <v>1</v>
      </c>
      <c r="T278" s="1" t="b">
        <f>IFERROR(__xludf.DUMMYFUNCTION("""COMPUTED_VALUE"""),FALSE)</f>
        <v>0</v>
      </c>
      <c r="U278" s="1" t="str">
        <f>IFERROR(__xludf.DUMMYFUNCTION("""COMPUTED_VALUE"""),"VALID")</f>
        <v>VALID</v>
      </c>
      <c r="V278" s="1">
        <f>IFERROR(__xludf.DUMMYFUNCTION("""COMPUTED_VALUE"""),217.0)</f>
        <v>217</v>
      </c>
      <c r="W278" s="1">
        <f>IFERROR(__xludf.DUMMYFUNCTION("""COMPUTED_VALUE"""),262.0)</f>
        <v>262</v>
      </c>
      <c r="X278" s="1">
        <f>IFERROR(__xludf.DUMMYFUNCTION("""COMPUTED_VALUE"""),1200.0)</f>
        <v>1200</v>
      </c>
      <c r="Y278" s="2"/>
      <c r="Z278" s="2"/>
    </row>
    <row r="279">
      <c r="A279" s="1">
        <f>IFERROR(__xludf.DUMMYFUNCTION("""COMPUTED_VALUE"""),278.0)</f>
        <v>278</v>
      </c>
      <c r="B279" s="1">
        <f>IFERROR(__xludf.DUMMYFUNCTION("""COMPUTED_VALUE"""),10115.0)</f>
        <v>10115</v>
      </c>
      <c r="C279" s="2" t="str">
        <f>IFERROR(__xludf.DUMMYFUNCTION("""COMPUTED_VALUE"""),"Rudy Harmawan")</f>
        <v>Rudy Harmawan</v>
      </c>
      <c r="D279" s="2" t="str">
        <f>IFERROR(__xludf.DUMMYFUNCTION("""COMPUTED_VALUE"""),"10KM OVERALL M")</f>
        <v>10KM OVERALL M</v>
      </c>
      <c r="E279" s="1">
        <f>IFERROR(__xludf.DUMMYFUNCTION("""COMPUTED_VALUE"""),1.0)</f>
        <v>1</v>
      </c>
      <c r="F279" s="1" t="str">
        <f>IFERROR(__xludf.DUMMYFUNCTION("""COMPUTED_VALUE"""),"Male")</f>
        <v>Male</v>
      </c>
      <c r="G279" s="4" t="b">
        <f>IFERROR(__xludf.DUMMYFUNCTION("""COMPUTED_VALUE"""),TRUE)</f>
        <v>1</v>
      </c>
      <c r="H279" s="4" t="b">
        <f>IFERROR(__xludf.DUMMYFUNCTION("""COMPUTED_VALUE"""),TRUE)</f>
        <v>1</v>
      </c>
      <c r="I279" s="4">
        <f>IFERROR(__xludf.DUMMYFUNCTION("""COMPUTED_VALUE"""),0.24646185185185185)</f>
        <v>0.2464618519</v>
      </c>
      <c r="J279" s="4">
        <f>IFERROR(__xludf.DUMMYFUNCTION("""COMPUTED_VALUE"""),45949.25704059449)</f>
        <v>45949.25704</v>
      </c>
      <c r="K279" s="4">
        <f>IFERROR(__xludf.DUMMYFUNCTION("""COMPUTED_VALUE"""),45949.28064132194)</f>
        <v>45949.28064</v>
      </c>
      <c r="L279" s="4">
        <f>IFERROR(__xludf.DUMMYFUNCTION("""COMPUTED_VALUE"""),45949.28732448034)</f>
        <v>45949.28732</v>
      </c>
      <c r="M279" s="1" t="str">
        <f>IFERROR(__xludf.DUMMYFUNCTION("""COMPUTED_VALUE"""),"RFID")</f>
        <v>RFID</v>
      </c>
      <c r="N279" s="5">
        <f>IFERROR(__xludf.DUMMYFUNCTION("""COMPUTED_VALUE"""),0.004231495370370371)</f>
        <v>0.00423149537</v>
      </c>
      <c r="O279" s="5">
        <f>IFERROR(__xludf.DUMMYFUNCTION("""COMPUTED_VALUE"""),0.009440291666666666)</f>
        <v>0.009440291667</v>
      </c>
      <c r="P279" s="5">
        <f>IFERROR(__xludf.DUMMYFUNCTION("""COMPUTED_VALUE"""),0.0027502709483476777)</f>
        <v>0.002750270948</v>
      </c>
      <c r="Q279" s="5">
        <f>IFERROR(__xludf.DUMMYFUNCTION("""COMPUTED_VALUE"""),0.0040862627314814815)</f>
        <v>0.004086262731</v>
      </c>
      <c r="R279" s="4">
        <f>IFERROR(__xludf.DUMMYFUNCTION("""COMPUTED_VALUE"""),45949.04086262849)</f>
        <v>45949.04086</v>
      </c>
      <c r="S279" s="1" t="b">
        <f>IFERROR(__xludf.DUMMYFUNCTION("""COMPUTED_VALUE"""),TRUE)</f>
        <v>1</v>
      </c>
      <c r="T279" s="1" t="b">
        <f>IFERROR(__xludf.DUMMYFUNCTION("""COMPUTED_VALUE"""),FALSE)</f>
        <v>0</v>
      </c>
      <c r="U279" s="1" t="str">
        <f>IFERROR(__xludf.DUMMYFUNCTION("""COMPUTED_VALUE"""),"VALID")</f>
        <v>VALID</v>
      </c>
      <c r="V279" s="1">
        <f>IFERROR(__xludf.DUMMYFUNCTION("""COMPUTED_VALUE"""),117.0)</f>
        <v>117</v>
      </c>
      <c r="W279" s="1">
        <f>IFERROR(__xludf.DUMMYFUNCTION("""COMPUTED_VALUE"""),140.0)</f>
        <v>140</v>
      </c>
      <c r="X279" s="1">
        <f>IFERROR(__xludf.DUMMYFUNCTION("""COMPUTED_VALUE"""),1014.0)</f>
        <v>1014</v>
      </c>
      <c r="Y279" s="2"/>
      <c r="Z279" s="2"/>
    </row>
    <row r="280">
      <c r="A280" s="1">
        <f>IFERROR(__xludf.DUMMYFUNCTION("""COMPUTED_VALUE"""),279.0)</f>
        <v>279</v>
      </c>
      <c r="B280" s="1">
        <f>IFERROR(__xludf.DUMMYFUNCTION("""COMPUTED_VALUE"""),10116.0)</f>
        <v>10116</v>
      </c>
      <c r="C280" s="2" t="str">
        <f>IFERROR(__xludf.DUMMYFUNCTION("""COMPUTED_VALUE"""),"Bisepta Prayogi")</f>
        <v>Bisepta Prayogi</v>
      </c>
      <c r="D280" s="2" t="str">
        <f>IFERROR(__xludf.DUMMYFUNCTION("""COMPUTED_VALUE"""),"10KM OVERALL M")</f>
        <v>10KM OVERALL M</v>
      </c>
      <c r="E280" s="1">
        <f>IFERROR(__xludf.DUMMYFUNCTION("""COMPUTED_VALUE"""),1.0)</f>
        <v>1</v>
      </c>
      <c r="F280" s="1" t="str">
        <f>IFERROR(__xludf.DUMMYFUNCTION("""COMPUTED_VALUE"""),"Male")</f>
        <v>Male</v>
      </c>
      <c r="G280" s="4" t="b">
        <f>IFERROR(__xludf.DUMMYFUNCTION("""COMPUTED_VALUE"""),TRUE)</f>
        <v>1</v>
      </c>
      <c r="H280" s="4" t="b">
        <f>IFERROR(__xludf.DUMMYFUNCTION("""COMPUTED_VALUE"""),TRUE)</f>
        <v>1</v>
      </c>
      <c r="I280" s="4">
        <f>IFERROR(__xludf.DUMMYFUNCTION("""COMPUTED_VALUE"""),0.24646185185185185)</f>
        <v>0.2464618519</v>
      </c>
      <c r="J280" s="4">
        <f>IFERROR(__xludf.DUMMYFUNCTION("""COMPUTED_VALUE"""),45949.25853021229)</f>
        <v>45949.25853</v>
      </c>
      <c r="K280" s="4">
        <f>IFERROR(__xludf.DUMMYFUNCTION("""COMPUTED_VALUE"""),45949.29159635206)</f>
        <v>45949.2916</v>
      </c>
      <c r="L280" s="4">
        <f>IFERROR(__xludf.DUMMYFUNCTION("""COMPUTED_VALUE"""),45949.30073767131)</f>
        <v>45949.30074</v>
      </c>
      <c r="M280" s="1" t="str">
        <f>IFERROR(__xludf.DUMMYFUNCTION("""COMPUTED_VALUE"""),"RFID")</f>
        <v>RFID</v>
      </c>
      <c r="N280" s="5">
        <f>IFERROR(__xludf.DUMMYFUNCTION("""COMPUTED_VALUE"""),0.004827342592592592)</f>
        <v>0.004827342593</v>
      </c>
      <c r="O280" s="5">
        <f>IFERROR(__xludf.DUMMYFUNCTION("""COMPUTED_VALUE"""),0.013226453703703706)</f>
        <v>0.0132264537</v>
      </c>
      <c r="P280" s="5">
        <f>IFERROR(__xludf.DUMMYFUNCTION("""COMPUTED_VALUE"""),0.0037618597734426318)</f>
        <v>0.003761859773</v>
      </c>
      <c r="Q280" s="5">
        <f>IFERROR(__xludf.DUMMYFUNCTION("""COMPUTED_VALUE"""),0.005427582175925925)</f>
        <v>0.005427582176</v>
      </c>
      <c r="R280" s="4">
        <f>IFERROR(__xludf.DUMMYFUNCTION("""COMPUTED_VALUE"""),45949.05427581946)</f>
        <v>45949.05428</v>
      </c>
      <c r="S280" s="1" t="b">
        <f>IFERROR(__xludf.DUMMYFUNCTION("""COMPUTED_VALUE"""),TRUE)</f>
        <v>1</v>
      </c>
      <c r="T280" s="1" t="b">
        <f>IFERROR(__xludf.DUMMYFUNCTION("""COMPUTED_VALUE"""),FALSE)</f>
        <v>0</v>
      </c>
      <c r="U280" s="1" t="str">
        <f>IFERROR(__xludf.DUMMYFUNCTION("""COMPUTED_VALUE"""),"VALID")</f>
        <v>VALID</v>
      </c>
      <c r="V280" s="1">
        <f>IFERROR(__xludf.DUMMYFUNCTION("""COMPUTED_VALUE"""),439.0)</f>
        <v>439</v>
      </c>
      <c r="W280" s="1">
        <f>IFERROR(__xludf.DUMMYFUNCTION("""COMPUTED_VALUE"""),522.0)</f>
        <v>522</v>
      </c>
      <c r="X280" s="1">
        <f>IFERROR(__xludf.DUMMYFUNCTION("""COMPUTED_VALUE"""),1500.0)</f>
        <v>1500</v>
      </c>
      <c r="Y280" s="2"/>
      <c r="Z280" s="2"/>
    </row>
    <row r="281">
      <c r="A281" s="1">
        <f>IFERROR(__xludf.DUMMYFUNCTION("""COMPUTED_VALUE"""),280.0)</f>
        <v>280</v>
      </c>
      <c r="B281" s="1">
        <f>IFERROR(__xludf.DUMMYFUNCTION("""COMPUTED_VALUE"""),10117.0)</f>
        <v>10117</v>
      </c>
      <c r="C281" s="2" t="str">
        <f>IFERROR(__xludf.DUMMYFUNCTION("""COMPUTED_VALUE"""),"Kinza")</f>
        <v>Kinza</v>
      </c>
      <c r="D281" s="2" t="str">
        <f>IFERROR(__xludf.DUMMYFUNCTION("""COMPUTED_VALUE"""),"10KM OVERALL M")</f>
        <v>10KM OVERALL M</v>
      </c>
      <c r="E281" s="1">
        <f>IFERROR(__xludf.DUMMYFUNCTION("""COMPUTED_VALUE"""),1.0)</f>
        <v>1</v>
      </c>
      <c r="F281" s="1" t="str">
        <f>IFERROR(__xludf.DUMMYFUNCTION("""COMPUTED_VALUE"""),"Male")</f>
        <v>Male</v>
      </c>
      <c r="G281" s="4" t="b">
        <f>IFERROR(__xludf.DUMMYFUNCTION("""COMPUTED_VALUE"""),TRUE)</f>
        <v>1</v>
      </c>
      <c r="H281" s="4" t="b">
        <f>IFERROR(__xludf.DUMMYFUNCTION("""COMPUTED_VALUE"""),FALSE)</f>
        <v>0</v>
      </c>
      <c r="I281" s="4">
        <f>IFERROR(__xludf.DUMMYFUNCTION("""COMPUTED_VALUE"""),0.24646185185185185)</f>
        <v>0.2464618519</v>
      </c>
      <c r="J281" s="4">
        <f>IFERROR(__xludf.DUMMYFUNCTION("""COMPUTED_VALUE"""),45949.25798501996)</f>
        <v>45949.25799</v>
      </c>
      <c r="K281" s="4">
        <f>IFERROR(__xludf.DUMMYFUNCTION("""COMPUTED_VALUE"""),45949.28787394243)</f>
        <v>45949.28787</v>
      </c>
      <c r="L281" s="4">
        <f>IFERROR(__xludf.DUMMYFUNCTION("""COMPUTED_VALUE"""),45949.29585226044)</f>
        <v>45949.29585</v>
      </c>
      <c r="M281" s="1" t="str">
        <f>IFERROR(__xludf.DUMMYFUNCTION("""COMPUTED_VALUE"""),"RFID")</f>
        <v>RFID</v>
      </c>
      <c r="N281" s="5">
        <f>IFERROR(__xludf.DUMMYFUNCTION("""COMPUTED_VALUE"""),0.004609268518518518)</f>
        <v>0.004609268519</v>
      </c>
      <c r="O281" s="5">
        <f>IFERROR(__xludf.DUMMYFUNCTION("""COMPUTED_VALUE"""),0.011955569444444442)</f>
        <v>0.01195556944</v>
      </c>
      <c r="P281" s="5">
        <f>IFERROR(__xludf.DUMMYFUNCTION("""COMPUTED_VALUE"""),0.0032832584410442092)</f>
        <v>0.003283258441</v>
      </c>
      <c r="Q281" s="5">
        <f>IFERROR(__xludf.DUMMYFUNCTION("""COMPUTED_VALUE"""),0.004939040509259259)</f>
        <v>0.004939040509</v>
      </c>
      <c r="R281" s="4">
        <f>IFERROR(__xludf.DUMMYFUNCTION("""COMPUTED_VALUE"""),45949.04939040859)</f>
        <v>45949.04939</v>
      </c>
      <c r="S281" s="1" t="b">
        <f>IFERROR(__xludf.DUMMYFUNCTION("""COMPUTED_VALUE"""),TRUE)</f>
        <v>1</v>
      </c>
      <c r="T281" s="1" t="b">
        <f>IFERROR(__xludf.DUMMYFUNCTION("""COMPUTED_VALUE"""),FALSE)</f>
        <v>0</v>
      </c>
      <c r="U281" s="1" t="str">
        <f>IFERROR(__xludf.DUMMYFUNCTION("""COMPUTED_VALUE"""),"VALID")</f>
        <v>VALID</v>
      </c>
      <c r="V281" s="1">
        <f>IFERROR(__xludf.DUMMYFUNCTION("""COMPUTED_VALUE"""),323.0)</f>
        <v>323</v>
      </c>
      <c r="W281" s="1">
        <f>IFERROR(__xludf.DUMMYFUNCTION("""COMPUTED_VALUE"""),384.0)</f>
        <v>384</v>
      </c>
      <c r="X281" s="1">
        <f>IFERROR(__xludf.DUMMYFUNCTION("""COMPUTED_VALUE"""),1358.0)</f>
        <v>1358</v>
      </c>
      <c r="Y281" s="2"/>
      <c r="Z281" s="2"/>
    </row>
    <row r="282">
      <c r="A282" s="1">
        <f>IFERROR(__xludf.DUMMYFUNCTION("""COMPUTED_VALUE"""),281.0)</f>
        <v>281</v>
      </c>
      <c r="B282" s="1">
        <f>IFERROR(__xludf.DUMMYFUNCTION("""COMPUTED_VALUE"""),10118.0)</f>
        <v>10118</v>
      </c>
      <c r="C282" s="2" t="str">
        <f>IFERROR(__xludf.DUMMYFUNCTION("""COMPUTED_VALUE"""),"Adha")</f>
        <v>Adha</v>
      </c>
      <c r="D282" s="2" t="str">
        <f>IFERROR(__xludf.DUMMYFUNCTION("""COMPUTED_VALUE"""),"10KM OVERALL M")</f>
        <v>10KM OVERALL M</v>
      </c>
      <c r="E282" s="1">
        <f>IFERROR(__xludf.DUMMYFUNCTION("""COMPUTED_VALUE"""),1.0)</f>
        <v>1</v>
      </c>
      <c r="F282" s="1" t="str">
        <f>IFERROR(__xludf.DUMMYFUNCTION("""COMPUTED_VALUE"""),"Male")</f>
        <v>Male</v>
      </c>
      <c r="G282" s="4" t="b">
        <f>IFERROR(__xludf.DUMMYFUNCTION("""COMPUTED_VALUE"""),TRUE)</f>
        <v>1</v>
      </c>
      <c r="H282" s="4" t="b">
        <f>IFERROR(__xludf.DUMMYFUNCTION("""COMPUTED_VALUE"""),FALSE)</f>
        <v>0</v>
      </c>
      <c r="I282" s="4">
        <f>IFERROR(__xludf.DUMMYFUNCTION("""COMPUTED_VALUE"""),0.24646185185185185)</f>
        <v>0.2464618519</v>
      </c>
      <c r="J282" s="4">
        <f>IFERROR(__xludf.DUMMYFUNCTION("""COMPUTED_VALUE"""),45949.25759961516)</f>
        <v>45949.2576</v>
      </c>
      <c r="K282" s="4">
        <f>IFERROR(__xludf.DUMMYFUNCTION("""COMPUTED_VALUE"""),45949.28894338654)</f>
        <v>45949.28894</v>
      </c>
      <c r="L282" s="4">
        <f>IFERROR(__xludf.DUMMYFUNCTION("""COMPUTED_VALUE"""),45949.298022399176)</f>
        <v>45949.29802</v>
      </c>
      <c r="M282" s="1" t="str">
        <f>IFERROR(__xludf.DUMMYFUNCTION("""COMPUTED_VALUE"""),"RFID")</f>
        <v>RFID</v>
      </c>
      <c r="N282" s="5">
        <f>IFERROR(__xludf.DUMMYFUNCTION("""COMPUTED_VALUE"""),0.004455106481481482)</f>
        <v>0.004455106481</v>
      </c>
      <c r="O282" s="5">
        <f>IFERROR(__xludf.DUMMYFUNCTION("""COMPUTED_VALUE"""),0.012537509259259259)</f>
        <v>0.01253750926</v>
      </c>
      <c r="P282" s="5">
        <f>IFERROR(__xludf.DUMMYFUNCTION("""COMPUTED_VALUE"""),0.0037362191910182848)</f>
        <v>0.003736219191</v>
      </c>
      <c r="Q282" s="5">
        <f>IFERROR(__xludf.DUMMYFUNCTION("""COMPUTED_VALUE"""),0.005156054398148148)</f>
        <v>0.005156054398</v>
      </c>
      <c r="R282" s="4">
        <f>IFERROR(__xludf.DUMMYFUNCTION("""COMPUTED_VALUE"""),45949.05156054733)</f>
        <v>45949.05156</v>
      </c>
      <c r="S282" s="1" t="b">
        <f>IFERROR(__xludf.DUMMYFUNCTION("""COMPUTED_VALUE"""),TRUE)</f>
        <v>1</v>
      </c>
      <c r="T282" s="1" t="b">
        <f>IFERROR(__xludf.DUMMYFUNCTION("""COMPUTED_VALUE"""),FALSE)</f>
        <v>0</v>
      </c>
      <c r="U282" s="1" t="str">
        <f>IFERROR(__xludf.DUMMYFUNCTION("""COMPUTED_VALUE"""),"VALID")</f>
        <v>VALID</v>
      </c>
      <c r="V282" s="1">
        <f>IFERROR(__xludf.DUMMYFUNCTION("""COMPUTED_VALUE"""),377.0)</f>
        <v>377</v>
      </c>
      <c r="W282" s="1">
        <f>IFERROR(__xludf.DUMMYFUNCTION("""COMPUTED_VALUE"""),445.0)</f>
        <v>445</v>
      </c>
      <c r="X282" s="1">
        <f>IFERROR(__xludf.DUMMYFUNCTION("""COMPUTED_VALUE"""),1424.0)</f>
        <v>1424</v>
      </c>
      <c r="Y282" s="2"/>
      <c r="Z282" s="2"/>
    </row>
    <row r="283">
      <c r="A283" s="1">
        <f>IFERROR(__xludf.DUMMYFUNCTION("""COMPUTED_VALUE"""),282.0)</f>
        <v>282</v>
      </c>
      <c r="B283" s="1">
        <f>IFERROR(__xludf.DUMMYFUNCTION("""COMPUTED_VALUE"""),10119.0)</f>
        <v>10119</v>
      </c>
      <c r="C283" s="2" t="str">
        <f>IFERROR(__xludf.DUMMYFUNCTION("""COMPUTED_VALUE"""),"Muhammad Ikbal")</f>
        <v>Muhammad Ikbal</v>
      </c>
      <c r="D283" s="2" t="str">
        <f>IFERROR(__xludf.DUMMYFUNCTION("""COMPUTED_VALUE"""),"10KM OVERALL M")</f>
        <v>10KM OVERALL M</v>
      </c>
      <c r="E283" s="1">
        <f>IFERROR(__xludf.DUMMYFUNCTION("""COMPUTED_VALUE"""),1.0)</f>
        <v>1</v>
      </c>
      <c r="F283" s="1" t="str">
        <f>IFERROR(__xludf.DUMMYFUNCTION("""COMPUTED_VALUE"""),"Male")</f>
        <v>Male</v>
      </c>
      <c r="G283" s="4" t="b">
        <f>IFERROR(__xludf.DUMMYFUNCTION("""COMPUTED_VALUE"""),TRUE)</f>
        <v>1</v>
      </c>
      <c r="H283" s="4" t="b">
        <f>IFERROR(__xludf.DUMMYFUNCTION("""COMPUTED_VALUE"""),TRUE)</f>
        <v>1</v>
      </c>
      <c r="I283" s="4">
        <f>IFERROR(__xludf.DUMMYFUNCTION("""COMPUTED_VALUE"""),0.24646185185185185)</f>
        <v>0.2464618519</v>
      </c>
      <c r="J283" s="4">
        <f>IFERROR(__xludf.DUMMYFUNCTION("""COMPUTED_VALUE"""),45949.255776703154)</f>
        <v>45949.25578</v>
      </c>
      <c r="K283" s="4">
        <f>IFERROR(__xludf.DUMMYFUNCTION("""COMPUTED_VALUE"""),45949.2817732403)</f>
        <v>45949.28177</v>
      </c>
      <c r="L283" s="4">
        <f>IFERROR(__xludf.DUMMYFUNCTION("""COMPUTED_VALUE"""),45949.28883142479)</f>
        <v>45949.28883</v>
      </c>
      <c r="M283" s="1" t="str">
        <f>IFERROR(__xludf.DUMMYFUNCTION("""COMPUTED_VALUE"""),"RFID")</f>
        <v>RFID</v>
      </c>
      <c r="N283" s="5">
        <f>IFERROR(__xludf.DUMMYFUNCTION("""COMPUTED_VALUE"""),0.0037259398148148147)</f>
        <v>0.003725939815</v>
      </c>
      <c r="O283" s="5">
        <f>IFERROR(__xludf.DUMMYFUNCTION("""COMPUTED_VALUE"""),0.010398615740740741)</f>
        <v>0.01039861574</v>
      </c>
      <c r="P283" s="5">
        <f>IFERROR(__xludf.DUMMYFUNCTION("""COMPUTED_VALUE"""),0.0029046026716265565)</f>
        <v>0.002904602672</v>
      </c>
      <c r="Q283" s="5">
        <f>IFERROR(__xludf.DUMMYFUNCTION("""COMPUTED_VALUE"""),0.004236957175925926)</f>
        <v>0.004236957176</v>
      </c>
      <c r="R283" s="4">
        <f>IFERROR(__xludf.DUMMYFUNCTION("""COMPUTED_VALUE"""),45949.04236957294)</f>
        <v>45949.04237</v>
      </c>
      <c r="S283" s="1" t="b">
        <f>IFERROR(__xludf.DUMMYFUNCTION("""COMPUTED_VALUE"""),TRUE)</f>
        <v>1</v>
      </c>
      <c r="T283" s="1" t="b">
        <f>IFERROR(__xludf.DUMMYFUNCTION("""COMPUTED_VALUE"""),FALSE)</f>
        <v>0</v>
      </c>
      <c r="U283" s="1" t="str">
        <f>IFERROR(__xludf.DUMMYFUNCTION("""COMPUTED_VALUE"""),"VALID")</f>
        <v>VALID</v>
      </c>
      <c r="V283" s="1">
        <f>IFERROR(__xludf.DUMMYFUNCTION("""COMPUTED_VALUE"""),153.0)</f>
        <v>153</v>
      </c>
      <c r="W283" s="1">
        <f>IFERROR(__xludf.DUMMYFUNCTION("""COMPUTED_VALUE"""),180.0)</f>
        <v>180</v>
      </c>
      <c r="X283" s="1">
        <f>IFERROR(__xludf.DUMMYFUNCTION("""COMPUTED_VALUE"""),1081.0)</f>
        <v>1081</v>
      </c>
      <c r="Y283" s="2"/>
      <c r="Z283" s="2"/>
    </row>
    <row r="284">
      <c r="A284" s="1">
        <f>IFERROR(__xludf.DUMMYFUNCTION("""COMPUTED_VALUE"""),283.0)</f>
        <v>283</v>
      </c>
      <c r="B284" s="1">
        <f>IFERROR(__xludf.DUMMYFUNCTION("""COMPUTED_VALUE"""),10120.0)</f>
        <v>10120</v>
      </c>
      <c r="C284" s="2" t="str">
        <f>IFERROR(__xludf.DUMMYFUNCTION("""COMPUTED_VALUE"""),"Rahman Handsome")</f>
        <v>Rahman Handsome</v>
      </c>
      <c r="D284" s="2" t="str">
        <f>IFERROR(__xludf.DUMMYFUNCTION("""COMPUTED_VALUE"""),"10KM OVERALL M")</f>
        <v>10KM OVERALL M</v>
      </c>
      <c r="E284" s="1">
        <f>IFERROR(__xludf.DUMMYFUNCTION("""COMPUTED_VALUE"""),1.0)</f>
        <v>1</v>
      </c>
      <c r="F284" s="1" t="str">
        <f>IFERROR(__xludf.DUMMYFUNCTION("""COMPUTED_VALUE"""),"Male")</f>
        <v>Male</v>
      </c>
      <c r="G284" s="4" t="b">
        <f>IFERROR(__xludf.DUMMYFUNCTION("""COMPUTED_VALUE"""),TRUE)</f>
        <v>1</v>
      </c>
      <c r="H284" s="4" t="b">
        <f>IFERROR(__xludf.DUMMYFUNCTION("""COMPUTED_VALUE"""),FALSE)</f>
        <v>0</v>
      </c>
      <c r="I284" s="4">
        <f>IFERROR(__xludf.DUMMYFUNCTION("""COMPUTED_VALUE"""),0.24646185185185185)</f>
        <v>0.2464618519</v>
      </c>
      <c r="J284" s="4">
        <f>IFERROR(__xludf.DUMMYFUNCTION("""COMPUTED_VALUE"""),45949.258245434925)</f>
        <v>45949.25825</v>
      </c>
      <c r="K284" s="4">
        <f>IFERROR(__xludf.DUMMYFUNCTION("""COMPUTED_VALUE"""),45949.29144010174)</f>
        <v>45949.29144</v>
      </c>
      <c r="L284" s="4">
        <f>IFERROR(__xludf.DUMMYFUNCTION("""COMPUTED_VALUE"""),45949.30097030761)</f>
        <v>45949.30097</v>
      </c>
      <c r="M284" s="1" t="str">
        <f>IFERROR(__xludf.DUMMYFUNCTION("""COMPUTED_VALUE"""),"RFID")</f>
        <v>RFID</v>
      </c>
      <c r="N284" s="5">
        <f>IFERROR(__xludf.DUMMYFUNCTION("""COMPUTED_VALUE"""),0.004713435185185185)</f>
        <v>0.004713435185</v>
      </c>
      <c r="O284" s="5">
        <f>IFERROR(__xludf.DUMMYFUNCTION("""COMPUTED_VALUE"""),0.013277865740740741)</f>
        <v>0.01327786574</v>
      </c>
      <c r="P284" s="5">
        <f>IFERROR(__xludf.DUMMYFUNCTION("""COMPUTED_VALUE"""),0.003921895419317393)</f>
        <v>0.003921895419</v>
      </c>
      <c r="Q284" s="5">
        <f>IFERROR(__xludf.DUMMYFUNCTION("""COMPUTED_VALUE"""),0.005450846064814815)</f>
        <v>0.005450846065</v>
      </c>
      <c r="R284" s="4">
        <f>IFERROR(__xludf.DUMMYFUNCTION("""COMPUTED_VALUE"""),45949.05450845576)</f>
        <v>45949.05451</v>
      </c>
      <c r="S284" s="1" t="b">
        <f>IFERROR(__xludf.DUMMYFUNCTION("""COMPUTED_VALUE"""),TRUE)</f>
        <v>1</v>
      </c>
      <c r="T284" s="1" t="b">
        <f>IFERROR(__xludf.DUMMYFUNCTION("""COMPUTED_VALUE"""),FALSE)</f>
        <v>0</v>
      </c>
      <c r="U284" s="1" t="str">
        <f>IFERROR(__xludf.DUMMYFUNCTION("""COMPUTED_VALUE"""),"VALID")</f>
        <v>VALID</v>
      </c>
      <c r="V284" s="1">
        <f>IFERROR(__xludf.DUMMYFUNCTION("""COMPUTED_VALUE"""),449.0)</f>
        <v>449</v>
      </c>
      <c r="W284" s="1">
        <f>IFERROR(__xludf.DUMMYFUNCTION("""COMPUTED_VALUE"""),533.0)</f>
        <v>533</v>
      </c>
      <c r="X284" s="1">
        <f>IFERROR(__xludf.DUMMYFUNCTION("""COMPUTED_VALUE"""),1510.0)</f>
        <v>1510</v>
      </c>
      <c r="Y284" s="2"/>
      <c r="Z284" s="2"/>
    </row>
    <row r="285">
      <c r="A285" s="1">
        <f>IFERROR(__xludf.DUMMYFUNCTION("""COMPUTED_VALUE"""),284.0)</f>
        <v>284</v>
      </c>
      <c r="B285" s="1">
        <f>IFERROR(__xludf.DUMMYFUNCTION("""COMPUTED_VALUE"""),10121.0)</f>
        <v>10121</v>
      </c>
      <c r="C285" s="2" t="str">
        <f>IFERROR(__xludf.DUMMYFUNCTION("""COMPUTED_VALUE"""),"Hakiem")</f>
        <v>Hakiem</v>
      </c>
      <c r="D285" s="2" t="str">
        <f>IFERROR(__xludf.DUMMYFUNCTION("""COMPUTED_VALUE"""),"10KM OVERALL M")</f>
        <v>10KM OVERALL M</v>
      </c>
      <c r="E285" s="1">
        <f>IFERROR(__xludf.DUMMYFUNCTION("""COMPUTED_VALUE"""),1.0)</f>
        <v>1</v>
      </c>
      <c r="F285" s="1" t="str">
        <f>IFERROR(__xludf.DUMMYFUNCTION("""COMPUTED_VALUE"""),"Male")</f>
        <v>Male</v>
      </c>
      <c r="G285" s="4" t="b">
        <f>IFERROR(__xludf.DUMMYFUNCTION("""COMPUTED_VALUE"""),TRUE)</f>
        <v>1</v>
      </c>
      <c r="H285" s="4" t="b">
        <f>IFERROR(__xludf.DUMMYFUNCTION("""COMPUTED_VALUE"""),TRUE)</f>
        <v>1</v>
      </c>
      <c r="I285" s="4">
        <f>IFERROR(__xludf.DUMMYFUNCTION("""COMPUTED_VALUE"""),0.24646185185185185)</f>
        <v>0.2464618519</v>
      </c>
      <c r="J285" s="4">
        <f>IFERROR(__xludf.DUMMYFUNCTION("""COMPUTED_VALUE"""),45949.257773282625)</f>
        <v>45949.25777</v>
      </c>
      <c r="K285" s="4">
        <f>IFERROR(__xludf.DUMMYFUNCTION("""COMPUTED_VALUE"""),45949.28632883506)</f>
        <v>45949.28633</v>
      </c>
      <c r="L285" s="4">
        <f>IFERROR(__xludf.DUMMYFUNCTION("""COMPUTED_VALUE"""),45949.294751572466)</f>
        <v>45949.29475</v>
      </c>
      <c r="M285" s="1" t="str">
        <f>IFERROR(__xludf.DUMMYFUNCTION("""COMPUTED_VALUE"""),"RFID")</f>
        <v>RFID</v>
      </c>
      <c r="N285" s="5">
        <f>IFERROR(__xludf.DUMMYFUNCTION("""COMPUTED_VALUE"""),0.004524574074074074)</f>
        <v>0.004524574074</v>
      </c>
      <c r="O285" s="5">
        <f>IFERROR(__xludf.DUMMYFUNCTION("""COMPUTED_VALUE"""),0.01142222222222222)</f>
        <v>0.01142222222</v>
      </c>
      <c r="P285" s="5">
        <f>IFERROR(__xludf.DUMMYFUNCTION("""COMPUTED_VALUE"""),0.003466147079310713)</f>
        <v>0.003466147079</v>
      </c>
      <c r="Q285" s="5">
        <f>IFERROR(__xludf.DUMMYFUNCTION("""COMPUTED_VALUE"""),0.004828972222222222)</f>
        <v>0.004828972222</v>
      </c>
      <c r="R285" s="4">
        <f>IFERROR(__xludf.DUMMYFUNCTION("""COMPUTED_VALUE"""),45949.04828972062)</f>
        <v>45949.04829</v>
      </c>
      <c r="S285" s="1" t="b">
        <f>IFERROR(__xludf.DUMMYFUNCTION("""COMPUTED_VALUE"""),TRUE)</f>
        <v>1</v>
      </c>
      <c r="T285" s="1" t="b">
        <f>IFERROR(__xludf.DUMMYFUNCTION("""COMPUTED_VALUE"""),FALSE)</f>
        <v>0</v>
      </c>
      <c r="U285" s="1" t="str">
        <f>IFERROR(__xludf.DUMMYFUNCTION("""COMPUTED_VALUE"""),"VALID")</f>
        <v>VALID</v>
      </c>
      <c r="V285" s="1">
        <f>IFERROR(__xludf.DUMMYFUNCTION("""COMPUTED_VALUE"""),293.0)</f>
        <v>293</v>
      </c>
      <c r="W285" s="1">
        <f>IFERROR(__xludf.DUMMYFUNCTION("""COMPUTED_VALUE"""),346.0)</f>
        <v>346</v>
      </c>
      <c r="X285" s="1">
        <f>IFERROR(__xludf.DUMMYFUNCTION("""COMPUTED_VALUE"""),1320.0)</f>
        <v>1320</v>
      </c>
      <c r="Y285" s="2"/>
      <c r="Z285" s="2"/>
    </row>
    <row r="286">
      <c r="A286" s="1">
        <f>IFERROR(__xludf.DUMMYFUNCTION("""COMPUTED_VALUE"""),285.0)</f>
        <v>285</v>
      </c>
      <c r="B286" s="1">
        <f>IFERROR(__xludf.DUMMYFUNCTION("""COMPUTED_VALUE"""),10122.0)</f>
        <v>10122</v>
      </c>
      <c r="C286" s="6" t="str">
        <f>IFERROR(__xludf.DUMMYFUNCTION("""COMPUTED_VALUE"""),"Will.I.Am")</f>
        <v>Will.I.Am</v>
      </c>
      <c r="D286" s="2" t="str">
        <f>IFERROR(__xludf.DUMMYFUNCTION("""COMPUTED_VALUE"""),"10KM OVERALL M")</f>
        <v>10KM OVERALL M</v>
      </c>
      <c r="E286" s="1">
        <f>IFERROR(__xludf.DUMMYFUNCTION("""COMPUTED_VALUE"""),1.0)</f>
        <v>1</v>
      </c>
      <c r="F286" s="1" t="str">
        <f>IFERROR(__xludf.DUMMYFUNCTION("""COMPUTED_VALUE"""),"Male")</f>
        <v>Male</v>
      </c>
      <c r="G286" s="4" t="b">
        <f>IFERROR(__xludf.DUMMYFUNCTION("""COMPUTED_VALUE"""),TRUE)</f>
        <v>1</v>
      </c>
      <c r="H286" s="4" t="b">
        <f>IFERROR(__xludf.DUMMYFUNCTION("""COMPUTED_VALUE"""),TRUE)</f>
        <v>1</v>
      </c>
      <c r="I286" s="4">
        <f>IFERROR(__xludf.DUMMYFUNCTION("""COMPUTED_VALUE"""),0.24646185185185185)</f>
        <v>0.2464618519</v>
      </c>
      <c r="J286" s="4">
        <f>IFERROR(__xludf.DUMMYFUNCTION("""COMPUTED_VALUE"""),45949.26211697158)</f>
        <v>45949.26212</v>
      </c>
      <c r="K286" s="4">
        <f>IFERROR(__xludf.DUMMYFUNCTION("""COMPUTED_VALUE"""),45949.28476282811)</f>
        <v>45949.28476</v>
      </c>
      <c r="L286" s="4">
        <f>IFERROR(__xludf.DUMMYFUNCTION("""COMPUTED_VALUE"""),45949.29115087067)</f>
        <v>45949.29115</v>
      </c>
      <c r="M286" s="1" t="str">
        <f>IFERROR(__xludf.DUMMYFUNCTION("""COMPUTED_VALUE"""),"RFID")</f>
        <v>RFID</v>
      </c>
      <c r="N286" s="5">
        <f>IFERROR(__xludf.DUMMYFUNCTION("""COMPUTED_VALUE"""),0.006262046296296296)</f>
        <v>0.006262046296</v>
      </c>
      <c r="O286" s="5">
        <f>IFERROR(__xludf.DUMMYFUNCTION("""COMPUTED_VALUE"""),0.009058342592592594)</f>
        <v>0.009058342593</v>
      </c>
      <c r="P286" s="5">
        <f>IFERROR(__xludf.DUMMYFUNCTION("""COMPUTED_VALUE"""),0.0026288240982234906)</f>
        <v>0.002628824098</v>
      </c>
      <c r="Q286" s="5">
        <f>IFERROR(__xludf.DUMMYFUNCTION("""COMPUTED_VALUE"""),0.0044689016203703705)</f>
        <v>0.00446890162</v>
      </c>
      <c r="R286" s="4">
        <f>IFERROR(__xludf.DUMMYFUNCTION("""COMPUTED_VALUE"""),45949.04468901882)</f>
        <v>45949.04469</v>
      </c>
      <c r="S286" s="1" t="b">
        <f>IFERROR(__xludf.DUMMYFUNCTION("""COMPUTED_VALUE"""),TRUE)</f>
        <v>1</v>
      </c>
      <c r="T286" s="1" t="b">
        <f>IFERROR(__xludf.DUMMYFUNCTION("""COMPUTED_VALUE"""),FALSE)</f>
        <v>0</v>
      </c>
      <c r="U286" s="1" t="str">
        <f>IFERROR(__xludf.DUMMYFUNCTION("""COMPUTED_VALUE"""),"VALID")</f>
        <v>VALID</v>
      </c>
      <c r="V286" s="1">
        <f>IFERROR(__xludf.DUMMYFUNCTION("""COMPUTED_VALUE"""),210.0)</f>
        <v>210</v>
      </c>
      <c r="W286" s="1">
        <f>IFERROR(__xludf.DUMMYFUNCTION("""COMPUTED_VALUE"""),253.0)</f>
        <v>253</v>
      </c>
      <c r="X286" s="1">
        <f>IFERROR(__xludf.DUMMYFUNCTION("""COMPUTED_VALUE"""),1188.0)</f>
        <v>1188</v>
      </c>
      <c r="Y286" s="2"/>
      <c r="Z286" s="2"/>
    </row>
    <row r="287">
      <c r="A287" s="1">
        <f>IFERROR(__xludf.DUMMYFUNCTION("""COMPUTED_VALUE"""),286.0)</f>
        <v>286</v>
      </c>
      <c r="B287" s="1">
        <f>IFERROR(__xludf.DUMMYFUNCTION("""COMPUTED_VALUE"""),10123.0)</f>
        <v>10123</v>
      </c>
      <c r="C287" s="2" t="str">
        <f>IFERROR(__xludf.DUMMYFUNCTION("""COMPUTED_VALUE"""),"Sambadeny")</f>
        <v>Sambadeny</v>
      </c>
      <c r="D287" s="2" t="str">
        <f>IFERROR(__xludf.DUMMYFUNCTION("""COMPUTED_VALUE"""),"10KM OVERALL M")</f>
        <v>10KM OVERALL M</v>
      </c>
      <c r="E287" s="1">
        <f>IFERROR(__xludf.DUMMYFUNCTION("""COMPUTED_VALUE"""),1.0)</f>
        <v>1</v>
      </c>
      <c r="F287" s="1" t="str">
        <f>IFERROR(__xludf.DUMMYFUNCTION("""COMPUTED_VALUE"""),"Male")</f>
        <v>Male</v>
      </c>
      <c r="G287" s="4" t="str">
        <f>IFERROR(__xludf.DUMMYFUNCTION("""COMPUTED_VALUE"""),"")</f>
        <v/>
      </c>
      <c r="H287" s="4" t="b">
        <f>IFERROR(__xludf.DUMMYFUNCTION("""COMPUTED_VALUE"""),FALSE)</f>
        <v>0</v>
      </c>
      <c r="I287" s="4">
        <f>IFERROR(__xludf.DUMMYFUNCTION("""COMPUTED_VALUE"""),0.24646185185185185)</f>
        <v>0.2464618519</v>
      </c>
      <c r="J287" s="4" t="str">
        <f>IFERROR(__xludf.DUMMYFUNCTION("""COMPUTED_VALUE"""),"")</f>
        <v/>
      </c>
      <c r="K287" s="4" t="str">
        <f>IFERROR(__xludf.DUMMYFUNCTION("""COMPUTED_VALUE"""),"")</f>
        <v/>
      </c>
      <c r="L287" s="4" t="str">
        <f>IFERROR(__xludf.DUMMYFUNCTION("""COMPUTED_VALUE"""),"")</f>
        <v/>
      </c>
      <c r="M287" s="1" t="str">
        <f>IFERROR(__xludf.DUMMYFUNCTION("""COMPUTED_VALUE"""),"RFID")</f>
        <v>RFID</v>
      </c>
      <c r="N287" s="5" t="str">
        <f>IFERROR(__xludf.DUMMYFUNCTION("""COMPUTED_VALUE"""),"")</f>
        <v/>
      </c>
      <c r="O287" s="5" t="str">
        <f>IFERROR(__xludf.DUMMYFUNCTION("""COMPUTED_VALUE"""),"")</f>
        <v/>
      </c>
      <c r="P287" s="5" t="str">
        <f>IFERROR(__xludf.DUMMYFUNCTION("""COMPUTED_VALUE"""),"")</f>
        <v/>
      </c>
      <c r="Q287" s="5" t="str">
        <f>IFERROR(__xludf.DUMMYFUNCTION("""COMPUTED_VALUE"""),"")</f>
        <v/>
      </c>
      <c r="R287" s="4" t="str">
        <f>IFERROR(__xludf.DUMMYFUNCTION("""COMPUTED_VALUE"""),"")</f>
        <v/>
      </c>
      <c r="S287" s="1" t="b">
        <f>IFERROR(__xludf.DUMMYFUNCTION("""COMPUTED_VALUE"""),FALSE)</f>
        <v>0</v>
      </c>
      <c r="T287" s="1" t="b">
        <f>IFERROR(__xludf.DUMMYFUNCTION("""COMPUTED_VALUE"""),FALSE)</f>
        <v>0</v>
      </c>
      <c r="U287" s="1" t="str">
        <f>IFERROR(__xludf.DUMMYFUNCTION("""COMPUTED_VALUE"""),"DSQ")</f>
        <v>DSQ</v>
      </c>
      <c r="V287" s="1" t="str">
        <f>IFERROR(__xludf.DUMMYFUNCTION("""COMPUTED_VALUE"""),"DSQ")</f>
        <v>DSQ</v>
      </c>
      <c r="W287" s="1" t="str">
        <f>IFERROR(__xludf.DUMMYFUNCTION("""COMPUTED_VALUE"""),"DSQ")</f>
        <v>DSQ</v>
      </c>
      <c r="X287" s="1" t="str">
        <f>IFERROR(__xludf.DUMMYFUNCTION("""COMPUTED_VALUE"""),"DSQ")</f>
        <v>DSQ</v>
      </c>
      <c r="Y287" s="2"/>
      <c r="Z287" s="2" t="str">
        <f>IFERROR(__xludf.DUMMYFUNCTION("""COMPUTED_VALUE"""),"")</f>
        <v/>
      </c>
    </row>
    <row r="288">
      <c r="A288" s="1">
        <f>IFERROR(__xludf.DUMMYFUNCTION("""COMPUTED_VALUE"""),287.0)</f>
        <v>287</v>
      </c>
      <c r="B288" s="1">
        <f>IFERROR(__xludf.DUMMYFUNCTION("""COMPUTED_VALUE"""),10124.0)</f>
        <v>10124</v>
      </c>
      <c r="C288" s="2" t="str">
        <f>IFERROR(__xludf.DUMMYFUNCTION("""COMPUTED_VALUE"""),"IHSAN AHMAD")</f>
        <v>IHSAN AHMAD</v>
      </c>
      <c r="D288" s="2" t="str">
        <f>IFERROR(__xludf.DUMMYFUNCTION("""COMPUTED_VALUE"""),"10KM OVERALL M")</f>
        <v>10KM OVERALL M</v>
      </c>
      <c r="E288" s="1">
        <f>IFERROR(__xludf.DUMMYFUNCTION("""COMPUTED_VALUE"""),1.0)</f>
        <v>1</v>
      </c>
      <c r="F288" s="1" t="str">
        <f>IFERROR(__xludf.DUMMYFUNCTION("""COMPUTED_VALUE"""),"Male")</f>
        <v>Male</v>
      </c>
      <c r="G288" s="4" t="b">
        <f>IFERROR(__xludf.DUMMYFUNCTION("""COMPUTED_VALUE"""),TRUE)</f>
        <v>1</v>
      </c>
      <c r="H288" s="4" t="b">
        <f>IFERROR(__xludf.DUMMYFUNCTION("""COMPUTED_VALUE"""),FALSE)</f>
        <v>0</v>
      </c>
      <c r="I288" s="4">
        <f>IFERROR(__xludf.DUMMYFUNCTION("""COMPUTED_VALUE"""),0.24646185185185185)</f>
        <v>0.2464618519</v>
      </c>
      <c r="J288" s="4">
        <f>IFERROR(__xludf.DUMMYFUNCTION("""COMPUTED_VALUE"""),45949.257252445874)</f>
        <v>45949.25725</v>
      </c>
      <c r="K288" s="4">
        <f>IFERROR(__xludf.DUMMYFUNCTION("""COMPUTED_VALUE"""),45949.28537048288)</f>
        <v>45949.28537</v>
      </c>
      <c r="L288" s="4">
        <f>IFERROR(__xludf.DUMMYFUNCTION("""COMPUTED_VALUE"""),45949.29215086638)</f>
        <v>45949.29215</v>
      </c>
      <c r="M288" s="1" t="str">
        <f>IFERROR(__xludf.DUMMYFUNCTION("""COMPUTED_VALUE"""),"RFID")</f>
        <v>RFID</v>
      </c>
      <c r="N288" s="5">
        <f>IFERROR(__xludf.DUMMYFUNCTION("""COMPUTED_VALUE"""),0.004316236111111111)</f>
        <v>0.004316236111</v>
      </c>
      <c r="O288" s="5">
        <f>IFERROR(__xludf.DUMMYFUNCTION("""COMPUTED_VALUE"""),0.011247212962962962)</f>
        <v>0.01124721296</v>
      </c>
      <c r="P288" s="5">
        <f>IFERROR(__xludf.DUMMYFUNCTION("""COMPUTED_VALUE"""),0.002790281274585904)</f>
        <v>0.002790281275</v>
      </c>
      <c r="Q288" s="5">
        <f>IFERROR(__xludf.DUMMYFUNCTION("""COMPUTED_VALUE"""),0.004568901620370371)</f>
        <v>0.00456890162</v>
      </c>
      <c r="R288" s="4">
        <f>IFERROR(__xludf.DUMMYFUNCTION("""COMPUTED_VALUE"""),45949.04568901453)</f>
        <v>45949.04569</v>
      </c>
      <c r="S288" s="1" t="b">
        <f>IFERROR(__xludf.DUMMYFUNCTION("""COMPUTED_VALUE"""),TRUE)</f>
        <v>1</v>
      </c>
      <c r="T288" s="1" t="b">
        <f>IFERROR(__xludf.DUMMYFUNCTION("""COMPUTED_VALUE"""),FALSE)</f>
        <v>0</v>
      </c>
      <c r="U288" s="1" t="str">
        <f>IFERROR(__xludf.DUMMYFUNCTION("""COMPUTED_VALUE"""),"VALID")</f>
        <v>VALID</v>
      </c>
      <c r="V288" s="1">
        <f>IFERROR(__xludf.DUMMYFUNCTION("""COMPUTED_VALUE"""),231.0)</f>
        <v>231</v>
      </c>
      <c r="W288" s="1">
        <f>IFERROR(__xludf.DUMMYFUNCTION("""COMPUTED_VALUE"""),278.0)</f>
        <v>278</v>
      </c>
      <c r="X288" s="1">
        <f>IFERROR(__xludf.DUMMYFUNCTION("""COMPUTED_VALUE"""),1224.0)</f>
        <v>1224</v>
      </c>
      <c r="Y288" s="2"/>
      <c r="Z288" s="2"/>
    </row>
    <row r="289">
      <c r="A289" s="1">
        <f>IFERROR(__xludf.DUMMYFUNCTION("""COMPUTED_VALUE"""),288.0)</f>
        <v>288</v>
      </c>
      <c r="B289" s="1">
        <f>IFERROR(__xludf.DUMMYFUNCTION("""COMPUTED_VALUE"""),10125.0)</f>
        <v>10125</v>
      </c>
      <c r="C289" s="2" t="str">
        <f>IFERROR(__xludf.DUMMYFUNCTION("""COMPUTED_VALUE"""),"ADIB")</f>
        <v>ADIB</v>
      </c>
      <c r="D289" s="2" t="str">
        <f>IFERROR(__xludf.DUMMYFUNCTION("""COMPUTED_VALUE"""),"10KM OVERALL M")</f>
        <v>10KM OVERALL M</v>
      </c>
      <c r="E289" s="1">
        <f>IFERROR(__xludf.DUMMYFUNCTION("""COMPUTED_VALUE"""),1.0)</f>
        <v>1</v>
      </c>
      <c r="F289" s="1" t="str">
        <f>IFERROR(__xludf.DUMMYFUNCTION("""COMPUTED_VALUE"""),"Male")</f>
        <v>Male</v>
      </c>
      <c r="G289" s="4" t="b">
        <f>IFERROR(__xludf.DUMMYFUNCTION("""COMPUTED_VALUE"""),TRUE)</f>
        <v>1</v>
      </c>
      <c r="H289" s="4" t="b">
        <f>IFERROR(__xludf.DUMMYFUNCTION("""COMPUTED_VALUE"""),TRUE)</f>
        <v>1</v>
      </c>
      <c r="I289" s="4">
        <f>IFERROR(__xludf.DUMMYFUNCTION("""COMPUTED_VALUE"""),0.24646185185185185)</f>
        <v>0.2464618519</v>
      </c>
      <c r="J289" s="4">
        <f>IFERROR(__xludf.DUMMYFUNCTION("""COMPUTED_VALUE"""),45949.25578369206)</f>
        <v>45949.25578</v>
      </c>
      <c r="K289" s="4">
        <f>IFERROR(__xludf.DUMMYFUNCTION("""COMPUTED_VALUE"""),45949.27898854309)</f>
        <v>45949.27899</v>
      </c>
      <c r="L289" s="4">
        <f>IFERROR(__xludf.DUMMYFUNCTION("""COMPUTED_VALUE"""),45949.28594948846)</f>
        <v>45949.28595</v>
      </c>
      <c r="M289" s="1" t="str">
        <f>IFERROR(__xludf.DUMMYFUNCTION("""COMPUTED_VALUE"""),"RFID")</f>
        <v>RFID</v>
      </c>
      <c r="N289" s="5">
        <f>IFERROR(__xludf.DUMMYFUNCTION("""COMPUTED_VALUE"""),0.003728736111111111)</f>
        <v>0.003728736111</v>
      </c>
      <c r="O289" s="5">
        <f>IFERROR(__xludf.DUMMYFUNCTION("""COMPUTED_VALUE"""),0.009281939814814814)</f>
        <v>0.009281939815</v>
      </c>
      <c r="P289" s="5">
        <f>IFERROR(__xludf.DUMMYFUNCTION("""COMPUTED_VALUE"""),0.0028645865725297785)</f>
        <v>0.002864586573</v>
      </c>
      <c r="Q289" s="5">
        <f>IFERROR(__xludf.DUMMYFUNCTION("""COMPUTED_VALUE"""),0.003948763888888889)</f>
        <v>0.003948763889</v>
      </c>
      <c r="R289" s="4">
        <f>IFERROR(__xludf.DUMMYFUNCTION("""COMPUTED_VALUE"""),45949.03948763661)</f>
        <v>45949.03949</v>
      </c>
      <c r="S289" s="1" t="b">
        <f>IFERROR(__xludf.DUMMYFUNCTION("""COMPUTED_VALUE"""),TRUE)</f>
        <v>1</v>
      </c>
      <c r="T289" s="1" t="b">
        <f>IFERROR(__xludf.DUMMYFUNCTION("""COMPUTED_VALUE"""),FALSE)</f>
        <v>0</v>
      </c>
      <c r="U289" s="1" t="str">
        <f>IFERROR(__xludf.DUMMYFUNCTION("""COMPUTED_VALUE"""),"VALID")</f>
        <v>VALID</v>
      </c>
      <c r="V289" s="1">
        <f>IFERROR(__xludf.DUMMYFUNCTION("""COMPUTED_VALUE"""),86.0)</f>
        <v>86</v>
      </c>
      <c r="W289" s="1">
        <f>IFERROR(__xludf.DUMMYFUNCTION("""COMPUTED_VALUE"""),105.0)</f>
        <v>105</v>
      </c>
      <c r="X289" s="1">
        <f>IFERROR(__xludf.DUMMYFUNCTION("""COMPUTED_VALUE"""),949.0)</f>
        <v>949</v>
      </c>
      <c r="Y289" s="2"/>
      <c r="Z289" s="2"/>
    </row>
    <row r="290">
      <c r="A290" s="1">
        <f>IFERROR(__xludf.DUMMYFUNCTION("""COMPUTED_VALUE"""),289.0)</f>
        <v>289</v>
      </c>
      <c r="B290" s="1">
        <f>IFERROR(__xludf.DUMMYFUNCTION("""COMPUTED_VALUE"""),10126.0)</f>
        <v>10126</v>
      </c>
      <c r="C290" s="2" t="str">
        <f>IFERROR(__xludf.DUMMYFUNCTION("""COMPUTED_VALUE"""),"B 123 WOK")</f>
        <v>B 123 WOK</v>
      </c>
      <c r="D290" s="2" t="str">
        <f>IFERROR(__xludf.DUMMYFUNCTION("""COMPUTED_VALUE"""),"10KM OVERALL M")</f>
        <v>10KM OVERALL M</v>
      </c>
      <c r="E290" s="1">
        <f>IFERROR(__xludf.DUMMYFUNCTION("""COMPUTED_VALUE"""),1.0)</f>
        <v>1</v>
      </c>
      <c r="F290" s="1" t="str">
        <f>IFERROR(__xludf.DUMMYFUNCTION("""COMPUTED_VALUE"""),"Male")</f>
        <v>Male</v>
      </c>
      <c r="G290" s="4" t="str">
        <f>IFERROR(__xludf.DUMMYFUNCTION("""COMPUTED_VALUE"""),"")</f>
        <v/>
      </c>
      <c r="H290" s="4" t="b">
        <f>IFERROR(__xludf.DUMMYFUNCTION("""COMPUTED_VALUE"""),TRUE)</f>
        <v>1</v>
      </c>
      <c r="I290" s="4">
        <f>IFERROR(__xludf.DUMMYFUNCTION("""COMPUTED_VALUE"""),0.24646185185185185)</f>
        <v>0.2464618519</v>
      </c>
      <c r="J290" s="4">
        <f>IFERROR(__xludf.DUMMYFUNCTION("""COMPUTED_VALUE"""),45949.26728711648)</f>
        <v>45949.26729</v>
      </c>
      <c r="K290" s="4">
        <f>IFERROR(__xludf.DUMMYFUNCTION("""COMPUTED_VALUE"""),45949.29888112377)</f>
        <v>45949.29888</v>
      </c>
      <c r="L290" s="4">
        <f>IFERROR(__xludf.DUMMYFUNCTION("""COMPUTED_VALUE"""),45949.307393926785)</f>
        <v>45949.30739</v>
      </c>
      <c r="M290" s="1" t="str">
        <f>IFERROR(__xludf.DUMMYFUNCTION("""COMPUTED_VALUE"""),"RFID")</f>
        <v>RFID</v>
      </c>
      <c r="N290" s="5">
        <f>IFERROR(__xludf.DUMMYFUNCTION("""COMPUTED_VALUE"""),0.00833010648148148)</f>
        <v>0.008330106481</v>
      </c>
      <c r="O290" s="5">
        <f>IFERROR(__xludf.DUMMYFUNCTION("""COMPUTED_VALUE"""),0.012637601851851855)</f>
        <v>0.01263760185</v>
      </c>
      <c r="P290" s="5">
        <f>IFERROR(__xludf.DUMMYFUNCTION("""COMPUTED_VALUE"""),0.0035032111187963725)</f>
        <v>0.003503211119</v>
      </c>
      <c r="Q290" s="5">
        <f>IFERROR(__xludf.DUMMYFUNCTION("""COMPUTED_VALUE"""),0.0060932071759259255)</f>
        <v>0.006093207176</v>
      </c>
      <c r="R290" s="4">
        <f>IFERROR(__xludf.DUMMYFUNCTION("""COMPUTED_VALUE"""),45949.060932074935)</f>
        <v>45949.06093</v>
      </c>
      <c r="S290" s="1" t="b">
        <f>IFERROR(__xludf.DUMMYFUNCTION("""COMPUTED_VALUE"""),TRUE)</f>
        <v>1</v>
      </c>
      <c r="T290" s="1" t="b">
        <f>IFERROR(__xludf.DUMMYFUNCTION("""COMPUTED_VALUE"""),FALSE)</f>
        <v>0</v>
      </c>
      <c r="U290" s="1" t="str">
        <f>IFERROR(__xludf.DUMMYFUNCTION("""COMPUTED_VALUE"""),"VALID")</f>
        <v>VALID</v>
      </c>
      <c r="V290" s="1">
        <f>IFERROR(__xludf.DUMMYFUNCTION("""COMPUTED_VALUE"""),539.0)</f>
        <v>539</v>
      </c>
      <c r="W290" s="1">
        <f>IFERROR(__xludf.DUMMYFUNCTION("""COMPUTED_VALUE"""),663.0)</f>
        <v>663</v>
      </c>
      <c r="X290" s="1">
        <f>IFERROR(__xludf.DUMMYFUNCTION("""COMPUTED_VALUE"""),1614.0)</f>
        <v>1614</v>
      </c>
      <c r="Y290" s="2"/>
      <c r="Z290" s="2"/>
    </row>
    <row r="291">
      <c r="A291" s="1">
        <f>IFERROR(__xludf.DUMMYFUNCTION("""COMPUTED_VALUE"""),290.0)</f>
        <v>290</v>
      </c>
      <c r="B291" s="1">
        <f>IFERROR(__xludf.DUMMYFUNCTION("""COMPUTED_VALUE"""),10127.0)</f>
        <v>10127</v>
      </c>
      <c r="C291" s="2" t="str">
        <f>IFERROR(__xludf.DUMMYFUNCTION("""COMPUTED_VALUE"""),"SAIPULLAH")</f>
        <v>SAIPULLAH</v>
      </c>
      <c r="D291" s="2" t="str">
        <f>IFERROR(__xludf.DUMMYFUNCTION("""COMPUTED_VALUE"""),"10KM OVERALL M")</f>
        <v>10KM OVERALL M</v>
      </c>
      <c r="E291" s="1">
        <f>IFERROR(__xludf.DUMMYFUNCTION("""COMPUTED_VALUE"""),1.0)</f>
        <v>1</v>
      </c>
      <c r="F291" s="1" t="str">
        <f>IFERROR(__xludf.DUMMYFUNCTION("""COMPUTED_VALUE"""),"Male")</f>
        <v>Male</v>
      </c>
      <c r="G291" s="4" t="b">
        <f>IFERROR(__xludf.DUMMYFUNCTION("""COMPUTED_VALUE"""),TRUE)</f>
        <v>1</v>
      </c>
      <c r="H291" s="4" t="b">
        <f>IFERROR(__xludf.DUMMYFUNCTION("""COMPUTED_VALUE"""),TRUE)</f>
        <v>1</v>
      </c>
      <c r="I291" s="4">
        <f>IFERROR(__xludf.DUMMYFUNCTION("""COMPUTED_VALUE"""),0.24646185185185185)</f>
        <v>0.2464618519</v>
      </c>
      <c r="J291" s="4">
        <f>IFERROR(__xludf.DUMMYFUNCTION("""COMPUTED_VALUE"""),45949.25821424964)</f>
        <v>45949.25821</v>
      </c>
      <c r="K291" s="4">
        <f>IFERROR(__xludf.DUMMYFUNCTION("""COMPUTED_VALUE"""),45949.2815128338)</f>
        <v>45949.28151</v>
      </c>
      <c r="L291" s="4">
        <f>IFERROR(__xludf.DUMMYFUNCTION("""COMPUTED_VALUE"""),45949.287737688464)</f>
        <v>45949.28774</v>
      </c>
      <c r="M291" s="1" t="str">
        <f>IFERROR(__xludf.DUMMYFUNCTION("""COMPUTED_VALUE"""),"RFID")</f>
        <v>RFID</v>
      </c>
      <c r="N291" s="5">
        <f>IFERROR(__xludf.DUMMYFUNCTION("""COMPUTED_VALUE"""),0.004700958333333333)</f>
        <v>0.004700958333</v>
      </c>
      <c r="O291" s="5">
        <f>IFERROR(__xludf.DUMMYFUNCTION("""COMPUTED_VALUE"""),0.009319435185185184)</f>
        <v>0.009319435185</v>
      </c>
      <c r="P291" s="5">
        <f>IFERROR(__xludf.DUMMYFUNCTION("""COMPUTED_VALUE"""),0.0025616685873991714)</f>
        <v>0.002561668587</v>
      </c>
      <c r="Q291" s="5">
        <f>IFERROR(__xludf.DUMMYFUNCTION("""COMPUTED_VALUE"""),0.004127583333333333)</f>
        <v>0.004127583333</v>
      </c>
      <c r="R291" s="4">
        <f>IFERROR(__xludf.DUMMYFUNCTION("""COMPUTED_VALUE"""),45949.041275836615)</f>
        <v>45949.04128</v>
      </c>
      <c r="S291" s="1" t="b">
        <f>IFERROR(__xludf.DUMMYFUNCTION("""COMPUTED_VALUE"""),TRUE)</f>
        <v>1</v>
      </c>
      <c r="T291" s="1" t="b">
        <f>IFERROR(__xludf.DUMMYFUNCTION("""COMPUTED_VALUE"""),FALSE)</f>
        <v>0</v>
      </c>
      <c r="U291" s="1" t="str">
        <f>IFERROR(__xludf.DUMMYFUNCTION("""COMPUTED_VALUE"""),"VALID")</f>
        <v>VALID</v>
      </c>
      <c r="V291" s="1">
        <f>IFERROR(__xludf.DUMMYFUNCTION("""COMPUTED_VALUE"""),125.0)</f>
        <v>125</v>
      </c>
      <c r="W291" s="1">
        <f>IFERROR(__xludf.DUMMYFUNCTION("""COMPUTED_VALUE"""),148.0)</f>
        <v>148</v>
      </c>
      <c r="X291" s="1">
        <f>IFERROR(__xludf.DUMMYFUNCTION("""COMPUTED_VALUE"""),1030.0)</f>
        <v>1030</v>
      </c>
      <c r="Y291" s="2"/>
      <c r="Z291" s="2"/>
    </row>
    <row r="292">
      <c r="A292" s="1">
        <f>IFERROR(__xludf.DUMMYFUNCTION("""COMPUTED_VALUE"""),291.0)</f>
        <v>291</v>
      </c>
      <c r="B292" s="1">
        <f>IFERROR(__xludf.DUMMYFUNCTION("""COMPUTED_VALUE"""),10128.0)</f>
        <v>10128</v>
      </c>
      <c r="C292" s="2" t="str">
        <f>IFERROR(__xludf.DUMMYFUNCTION("""COMPUTED_VALUE"""),"Sanz10")</f>
        <v>Sanz10</v>
      </c>
      <c r="D292" s="2" t="str">
        <f>IFERROR(__xludf.DUMMYFUNCTION("""COMPUTED_VALUE"""),"10KM OVERALL M")</f>
        <v>10KM OVERALL M</v>
      </c>
      <c r="E292" s="1">
        <f>IFERROR(__xludf.DUMMYFUNCTION("""COMPUTED_VALUE"""),1.0)</f>
        <v>1</v>
      </c>
      <c r="F292" s="1" t="str">
        <f>IFERROR(__xludf.DUMMYFUNCTION("""COMPUTED_VALUE"""),"Male")</f>
        <v>Male</v>
      </c>
      <c r="G292" s="4" t="b">
        <f>IFERROR(__xludf.DUMMYFUNCTION("""COMPUTED_VALUE"""),TRUE)</f>
        <v>1</v>
      </c>
      <c r="H292" s="4" t="b">
        <f>IFERROR(__xludf.DUMMYFUNCTION("""COMPUTED_VALUE"""),TRUE)</f>
        <v>1</v>
      </c>
      <c r="I292" s="4">
        <f>IFERROR(__xludf.DUMMYFUNCTION("""COMPUTED_VALUE"""),0.24646185185185185)</f>
        <v>0.2464618519</v>
      </c>
      <c r="J292" s="4">
        <f>IFERROR(__xludf.DUMMYFUNCTION("""COMPUTED_VALUE"""),45949.25850585172)</f>
        <v>45949.25851</v>
      </c>
      <c r="K292" s="4">
        <f>IFERROR(__xludf.DUMMYFUNCTION("""COMPUTED_VALUE"""),45949.29122489865)</f>
        <v>45949.29122</v>
      </c>
      <c r="L292" s="4">
        <f>IFERROR(__xludf.DUMMYFUNCTION("""COMPUTED_VALUE"""),45949.30168211425)</f>
        <v>45949.30168</v>
      </c>
      <c r="M292" s="1" t="str">
        <f>IFERROR(__xludf.DUMMYFUNCTION("""COMPUTED_VALUE"""),"RFID")</f>
        <v>RFID</v>
      </c>
      <c r="N292" s="5">
        <f>IFERROR(__xludf.DUMMYFUNCTION("""COMPUTED_VALUE"""),0.004817601851851852)</f>
        <v>0.004817601852</v>
      </c>
      <c r="O292" s="5">
        <f>IFERROR(__xludf.DUMMYFUNCTION("""COMPUTED_VALUE"""),0.013087620370370371)</f>
        <v>0.01308762037</v>
      </c>
      <c r="P292" s="5">
        <f>IFERROR(__xludf.DUMMYFUNCTION("""COMPUTED_VALUE"""),0.0043033809074605025)</f>
        <v>0.004303380907</v>
      </c>
      <c r="Q292" s="5">
        <f>IFERROR(__xludf.DUMMYFUNCTION("""COMPUTED_VALUE"""),0.005522026620370371)</f>
        <v>0.00552202662</v>
      </c>
      <c r="R292" s="4">
        <f>IFERROR(__xludf.DUMMYFUNCTION("""COMPUTED_VALUE"""),45949.0552202624)</f>
        <v>45949.05522</v>
      </c>
      <c r="S292" s="1" t="b">
        <f>IFERROR(__xludf.DUMMYFUNCTION("""COMPUTED_VALUE"""),TRUE)</f>
        <v>1</v>
      </c>
      <c r="T292" s="1" t="b">
        <f>IFERROR(__xludf.DUMMYFUNCTION("""COMPUTED_VALUE"""),FALSE)</f>
        <v>0</v>
      </c>
      <c r="U292" s="1" t="str">
        <f>IFERROR(__xludf.DUMMYFUNCTION("""COMPUTED_VALUE"""),"VALID")</f>
        <v>VALID</v>
      </c>
      <c r="V292" s="1">
        <f>IFERROR(__xludf.DUMMYFUNCTION("""COMPUTED_VALUE"""),463.0)</f>
        <v>463</v>
      </c>
      <c r="W292" s="1">
        <f>IFERROR(__xludf.DUMMYFUNCTION("""COMPUTED_VALUE"""),555.0)</f>
        <v>555</v>
      </c>
      <c r="X292" s="1">
        <f>IFERROR(__xludf.DUMMYFUNCTION("""COMPUTED_VALUE"""),1528.0)</f>
        <v>1528</v>
      </c>
      <c r="Y292" s="2"/>
      <c r="Z292" s="2"/>
    </row>
    <row r="293">
      <c r="A293" s="1">
        <f>IFERROR(__xludf.DUMMYFUNCTION("""COMPUTED_VALUE"""),292.0)</f>
        <v>292</v>
      </c>
      <c r="B293" s="1">
        <f>IFERROR(__xludf.DUMMYFUNCTION("""COMPUTED_VALUE"""),10129.0)</f>
        <v>10129</v>
      </c>
      <c r="C293" s="2" t="str">
        <f>IFERROR(__xludf.DUMMYFUNCTION("""COMPUTED_VALUE"""),"Z. Rezza Maulidin")</f>
        <v>Z. Rezza Maulidin</v>
      </c>
      <c r="D293" s="2" t="str">
        <f>IFERROR(__xludf.DUMMYFUNCTION("""COMPUTED_VALUE"""),"10KM OVERALL M")</f>
        <v>10KM OVERALL M</v>
      </c>
      <c r="E293" s="1">
        <f>IFERROR(__xludf.DUMMYFUNCTION("""COMPUTED_VALUE"""),1.0)</f>
        <v>1</v>
      </c>
      <c r="F293" s="1" t="str">
        <f>IFERROR(__xludf.DUMMYFUNCTION("""COMPUTED_VALUE"""),"Male")</f>
        <v>Male</v>
      </c>
      <c r="G293" s="4" t="b">
        <f>IFERROR(__xludf.DUMMYFUNCTION("""COMPUTED_VALUE"""),TRUE)</f>
        <v>1</v>
      </c>
      <c r="H293" s="4" t="b">
        <f>IFERROR(__xludf.DUMMYFUNCTION("""COMPUTED_VALUE"""),FALSE)</f>
        <v>0</v>
      </c>
      <c r="I293" s="4">
        <f>IFERROR(__xludf.DUMMYFUNCTION("""COMPUTED_VALUE"""),0.24646185185185185)</f>
        <v>0.2464618519</v>
      </c>
      <c r="J293" s="4">
        <f>IFERROR(__xludf.DUMMYFUNCTION("""COMPUTED_VALUE"""),45949.259235082005)</f>
        <v>45949.25924</v>
      </c>
      <c r="K293" s="4">
        <f>IFERROR(__xludf.DUMMYFUNCTION("""COMPUTED_VALUE"""),45949.29474218781)</f>
        <v>45949.29474</v>
      </c>
      <c r="L293" s="4">
        <f>IFERROR(__xludf.DUMMYFUNCTION("""COMPUTED_VALUE"""),45949.305932123214)</f>
        <v>45949.30593</v>
      </c>
      <c r="M293" s="1" t="str">
        <f>IFERROR(__xludf.DUMMYFUNCTION("""COMPUTED_VALUE"""),"RFID")</f>
        <v>RFID</v>
      </c>
      <c r="N293" s="5">
        <f>IFERROR(__xludf.DUMMYFUNCTION("""COMPUTED_VALUE"""),0.0051092916666666665)</f>
        <v>0.005109291667</v>
      </c>
      <c r="O293" s="5">
        <f>IFERROR(__xludf.DUMMYFUNCTION("""COMPUTED_VALUE"""),0.01420284259259259)</f>
        <v>0.01420284259</v>
      </c>
      <c r="P293" s="5">
        <f>IFERROR(__xludf.DUMMYFUNCTION("""COMPUTED_VALUE"""),0.004604911687855758)</f>
        <v>0.004604911688</v>
      </c>
      <c r="Q293" s="5">
        <f>IFERROR(__xludf.DUMMYFUNCTION("""COMPUTED_VALUE"""),0.00594702662037037)</f>
        <v>0.00594702662</v>
      </c>
      <c r="R293" s="4">
        <f>IFERROR(__xludf.DUMMYFUNCTION("""COMPUTED_VALUE"""),45949.059470271364)</f>
        <v>45949.05947</v>
      </c>
      <c r="S293" s="1" t="b">
        <f>IFERROR(__xludf.DUMMYFUNCTION("""COMPUTED_VALUE"""),TRUE)</f>
        <v>1</v>
      </c>
      <c r="T293" s="1" t="b">
        <f>IFERROR(__xludf.DUMMYFUNCTION("""COMPUTED_VALUE"""),FALSE)</f>
        <v>0</v>
      </c>
      <c r="U293" s="1" t="str">
        <f>IFERROR(__xludf.DUMMYFUNCTION("""COMPUTED_VALUE"""),"VALID")</f>
        <v>VALID</v>
      </c>
      <c r="V293" s="1">
        <f>IFERROR(__xludf.DUMMYFUNCTION("""COMPUTED_VALUE"""),527.0)</f>
        <v>527</v>
      </c>
      <c r="W293" s="1">
        <f>IFERROR(__xludf.DUMMYFUNCTION("""COMPUTED_VALUE"""),644.0)</f>
        <v>644</v>
      </c>
      <c r="X293" s="1">
        <f>IFERROR(__xludf.DUMMYFUNCTION("""COMPUTED_VALUE"""),1602.0)</f>
        <v>1602</v>
      </c>
      <c r="Y293" s="2"/>
      <c r="Z293" s="2"/>
    </row>
    <row r="294">
      <c r="A294" s="1">
        <f>IFERROR(__xludf.DUMMYFUNCTION("""COMPUTED_VALUE"""),293.0)</f>
        <v>293</v>
      </c>
      <c r="B294" s="1">
        <f>IFERROR(__xludf.DUMMYFUNCTION("""COMPUTED_VALUE"""),10130.0)</f>
        <v>10130</v>
      </c>
      <c r="C294" s="2" t="str">
        <f>IFERROR(__xludf.DUMMYFUNCTION("""COMPUTED_VALUE"""),"Althaf")</f>
        <v>Althaf</v>
      </c>
      <c r="D294" s="2" t="str">
        <f>IFERROR(__xludf.DUMMYFUNCTION("""COMPUTED_VALUE"""),"10KM OVERALL M")</f>
        <v>10KM OVERALL M</v>
      </c>
      <c r="E294" s="1">
        <f>IFERROR(__xludf.DUMMYFUNCTION("""COMPUTED_VALUE"""),1.0)</f>
        <v>1</v>
      </c>
      <c r="F294" s="1" t="str">
        <f>IFERROR(__xludf.DUMMYFUNCTION("""COMPUTED_VALUE"""),"Male")</f>
        <v>Male</v>
      </c>
      <c r="G294" s="4" t="str">
        <f>IFERROR(__xludf.DUMMYFUNCTION("""COMPUTED_VALUE"""),"")</f>
        <v/>
      </c>
      <c r="H294" s="4" t="b">
        <f>IFERROR(__xludf.DUMMYFUNCTION("""COMPUTED_VALUE"""),FALSE)</f>
        <v>0</v>
      </c>
      <c r="I294" s="4">
        <f>IFERROR(__xludf.DUMMYFUNCTION("""COMPUTED_VALUE"""),0.24646185185185185)</f>
        <v>0.2464618519</v>
      </c>
      <c r="J294" s="4" t="str">
        <f>IFERROR(__xludf.DUMMYFUNCTION("""COMPUTED_VALUE"""),"")</f>
        <v/>
      </c>
      <c r="K294" s="4" t="str">
        <f>IFERROR(__xludf.DUMMYFUNCTION("""COMPUTED_VALUE"""),"")</f>
        <v/>
      </c>
      <c r="L294" s="4" t="str">
        <f>IFERROR(__xludf.DUMMYFUNCTION("""COMPUTED_VALUE"""),"")</f>
        <v/>
      </c>
      <c r="M294" s="1" t="str">
        <f>IFERROR(__xludf.DUMMYFUNCTION("""COMPUTED_VALUE"""),"RFID")</f>
        <v>RFID</v>
      </c>
      <c r="N294" s="5" t="str">
        <f>IFERROR(__xludf.DUMMYFUNCTION("""COMPUTED_VALUE"""),"")</f>
        <v/>
      </c>
      <c r="O294" s="5" t="str">
        <f>IFERROR(__xludf.DUMMYFUNCTION("""COMPUTED_VALUE"""),"")</f>
        <v/>
      </c>
      <c r="P294" s="5" t="str">
        <f>IFERROR(__xludf.DUMMYFUNCTION("""COMPUTED_VALUE"""),"")</f>
        <v/>
      </c>
      <c r="Q294" s="5" t="str">
        <f>IFERROR(__xludf.DUMMYFUNCTION("""COMPUTED_VALUE"""),"")</f>
        <v/>
      </c>
      <c r="R294" s="4" t="str">
        <f>IFERROR(__xludf.DUMMYFUNCTION("""COMPUTED_VALUE"""),"")</f>
        <v/>
      </c>
      <c r="S294" s="1" t="b">
        <f>IFERROR(__xludf.DUMMYFUNCTION("""COMPUTED_VALUE"""),FALSE)</f>
        <v>0</v>
      </c>
      <c r="T294" s="1" t="b">
        <f>IFERROR(__xludf.DUMMYFUNCTION("""COMPUTED_VALUE"""),FALSE)</f>
        <v>0</v>
      </c>
      <c r="U294" s="1" t="str">
        <f>IFERROR(__xludf.DUMMYFUNCTION("""COMPUTED_VALUE"""),"DSQ")</f>
        <v>DSQ</v>
      </c>
      <c r="V294" s="1" t="str">
        <f>IFERROR(__xludf.DUMMYFUNCTION("""COMPUTED_VALUE"""),"DSQ")</f>
        <v>DSQ</v>
      </c>
      <c r="W294" s="1" t="str">
        <f>IFERROR(__xludf.DUMMYFUNCTION("""COMPUTED_VALUE"""),"DSQ")</f>
        <v>DSQ</v>
      </c>
      <c r="X294" s="1" t="str">
        <f>IFERROR(__xludf.DUMMYFUNCTION("""COMPUTED_VALUE"""),"DSQ")</f>
        <v>DSQ</v>
      </c>
      <c r="Y294" s="2"/>
      <c r="Z294" s="2" t="str">
        <f>IFERROR(__xludf.DUMMYFUNCTION("""COMPUTED_VALUE"""),"")</f>
        <v/>
      </c>
    </row>
    <row r="295">
      <c r="A295" s="1">
        <f>IFERROR(__xludf.DUMMYFUNCTION("""COMPUTED_VALUE"""),294.0)</f>
        <v>294</v>
      </c>
      <c r="B295" s="1">
        <f>IFERROR(__xludf.DUMMYFUNCTION("""COMPUTED_VALUE"""),10131.0)</f>
        <v>10131</v>
      </c>
      <c r="C295" s="2" t="str">
        <f>IFERROR(__xludf.DUMMYFUNCTION("""COMPUTED_VALUE"""),"Arief SA")</f>
        <v>Arief SA</v>
      </c>
      <c r="D295" s="2" t="str">
        <f>IFERROR(__xludf.DUMMYFUNCTION("""COMPUTED_VALUE"""),"10KM OVERALL M")</f>
        <v>10KM OVERALL M</v>
      </c>
      <c r="E295" s="1">
        <f>IFERROR(__xludf.DUMMYFUNCTION("""COMPUTED_VALUE"""),1.0)</f>
        <v>1</v>
      </c>
      <c r="F295" s="1" t="str">
        <f>IFERROR(__xludf.DUMMYFUNCTION("""COMPUTED_VALUE"""),"Male")</f>
        <v>Male</v>
      </c>
      <c r="G295" s="4" t="b">
        <f>IFERROR(__xludf.DUMMYFUNCTION("""COMPUTED_VALUE"""),TRUE)</f>
        <v>1</v>
      </c>
      <c r="H295" s="4" t="b">
        <f>IFERROR(__xludf.DUMMYFUNCTION("""COMPUTED_VALUE"""),TRUE)</f>
        <v>1</v>
      </c>
      <c r="I295" s="4">
        <f>IFERROR(__xludf.DUMMYFUNCTION("""COMPUTED_VALUE"""),0.24646185185185185)</f>
        <v>0.2464618519</v>
      </c>
      <c r="J295" s="4">
        <f>IFERROR(__xludf.DUMMYFUNCTION("""COMPUTED_VALUE"""),45949.25724203252)</f>
        <v>45949.25724</v>
      </c>
      <c r="K295" s="4">
        <f>IFERROR(__xludf.DUMMYFUNCTION("""COMPUTED_VALUE"""),45949.28449199679)</f>
        <v>45949.28449</v>
      </c>
      <c r="L295" s="4">
        <f>IFERROR(__xludf.DUMMYFUNCTION("""COMPUTED_VALUE"""),45949.29256407742)</f>
        <v>45949.29256</v>
      </c>
      <c r="M295" s="1" t="str">
        <f>IFERROR(__xludf.DUMMYFUNCTION("""COMPUTED_VALUE"""),"RFID")</f>
        <v>RFID</v>
      </c>
      <c r="N295" s="5">
        <f>IFERROR(__xludf.DUMMYFUNCTION("""COMPUTED_VALUE"""),0.004312074074074074)</f>
        <v>0.004312074074</v>
      </c>
      <c r="O295" s="5">
        <f>IFERROR(__xludf.DUMMYFUNCTION("""COMPUTED_VALUE"""),0.01089998611111111)</f>
        <v>0.01089998611</v>
      </c>
      <c r="P295" s="5">
        <f>IFERROR(__xludf.DUMMYFUNCTION("""COMPUTED_VALUE"""),0.003321843880272773)</f>
        <v>0.00332184388</v>
      </c>
      <c r="Q295" s="5">
        <f>IFERROR(__xludf.DUMMYFUNCTION("""COMPUTED_VALUE"""),0.004610222222222222)</f>
        <v>0.004610222222</v>
      </c>
      <c r="R295" s="4">
        <f>IFERROR(__xludf.DUMMYFUNCTION("""COMPUTED_VALUE"""),45949.04610222557)</f>
        <v>45949.0461</v>
      </c>
      <c r="S295" s="1" t="b">
        <f>IFERROR(__xludf.DUMMYFUNCTION("""COMPUTED_VALUE"""),TRUE)</f>
        <v>1</v>
      </c>
      <c r="T295" s="1" t="b">
        <f>IFERROR(__xludf.DUMMYFUNCTION("""COMPUTED_VALUE"""),FALSE)</f>
        <v>0</v>
      </c>
      <c r="U295" s="1" t="str">
        <f>IFERROR(__xludf.DUMMYFUNCTION("""COMPUTED_VALUE"""),"VALID")</f>
        <v>VALID</v>
      </c>
      <c r="V295" s="1">
        <f>IFERROR(__xludf.DUMMYFUNCTION("""COMPUTED_VALUE"""),247.0)</f>
        <v>247</v>
      </c>
      <c r="W295" s="1">
        <f>IFERROR(__xludf.DUMMYFUNCTION("""COMPUTED_VALUE"""),296.0)</f>
        <v>296</v>
      </c>
      <c r="X295" s="1">
        <f>IFERROR(__xludf.DUMMYFUNCTION("""COMPUTED_VALUE"""),1244.0)</f>
        <v>1244</v>
      </c>
      <c r="Y295" s="2"/>
      <c r="Z295" s="2"/>
    </row>
    <row r="296">
      <c r="A296" s="1">
        <f>IFERROR(__xludf.DUMMYFUNCTION("""COMPUTED_VALUE"""),295.0)</f>
        <v>295</v>
      </c>
      <c r="B296" s="1">
        <f>IFERROR(__xludf.DUMMYFUNCTION("""COMPUTED_VALUE"""),10133.0)</f>
        <v>10133</v>
      </c>
      <c r="C296" s="2" t="str">
        <f>IFERROR(__xludf.DUMMYFUNCTION("""COMPUTED_VALUE"""),"FEBGG")</f>
        <v>FEBGG</v>
      </c>
      <c r="D296" s="2" t="str">
        <f>IFERROR(__xludf.DUMMYFUNCTION("""COMPUTED_VALUE"""),"10KM OVERALL M")</f>
        <v>10KM OVERALL M</v>
      </c>
      <c r="E296" s="1">
        <f>IFERROR(__xludf.DUMMYFUNCTION("""COMPUTED_VALUE"""),1.0)</f>
        <v>1</v>
      </c>
      <c r="F296" s="1" t="str">
        <f>IFERROR(__xludf.DUMMYFUNCTION("""COMPUTED_VALUE"""),"Male")</f>
        <v>Male</v>
      </c>
      <c r="G296" s="4" t="b">
        <f>IFERROR(__xludf.DUMMYFUNCTION("""COMPUTED_VALUE"""),TRUE)</f>
        <v>1</v>
      </c>
      <c r="H296" s="4" t="b">
        <f>IFERROR(__xludf.DUMMYFUNCTION("""COMPUTED_VALUE"""),TRUE)</f>
        <v>1</v>
      </c>
      <c r="I296" s="4">
        <f>IFERROR(__xludf.DUMMYFUNCTION("""COMPUTED_VALUE"""),0.24646185185185185)</f>
        <v>0.2464618519</v>
      </c>
      <c r="J296" s="4">
        <f>IFERROR(__xludf.DUMMYFUNCTION("""COMPUTED_VALUE"""),45949.25851332221)</f>
        <v>45949.25851</v>
      </c>
      <c r="K296" s="4">
        <f>IFERROR(__xludf.DUMMYFUNCTION("""COMPUTED_VALUE"""),45949.2911345476)</f>
        <v>45949.29113</v>
      </c>
      <c r="L296" s="4">
        <f>IFERROR(__xludf.DUMMYFUNCTION("""COMPUTED_VALUE"""),45949.30027586898)</f>
        <v>45949.30028</v>
      </c>
      <c r="M296" s="1" t="str">
        <f>IFERROR(__xludf.DUMMYFUNCTION("""COMPUTED_VALUE"""),"RFID")</f>
        <v>RFID</v>
      </c>
      <c r="N296" s="5">
        <f>IFERROR(__xludf.DUMMYFUNCTION("""COMPUTED_VALUE"""),0.004820587962962963)</f>
        <v>0.004820587963</v>
      </c>
      <c r="O296" s="5">
        <f>IFERROR(__xludf.DUMMYFUNCTION("""COMPUTED_VALUE"""),0.013048490740740742)</f>
        <v>0.01304849074</v>
      </c>
      <c r="P296" s="5">
        <f>IFERROR(__xludf.DUMMYFUNCTION("""COMPUTED_VALUE"""),0.0037618606507494553)</f>
        <v>0.003761860651</v>
      </c>
      <c r="Q296" s="5">
        <f>IFERROR(__xludf.DUMMYFUNCTION("""COMPUTED_VALUE"""),0.005381401620370371)</f>
        <v>0.00538140162</v>
      </c>
      <c r="R296" s="4">
        <f>IFERROR(__xludf.DUMMYFUNCTION("""COMPUTED_VALUE"""),45949.053814017134)</f>
        <v>45949.05381</v>
      </c>
      <c r="S296" s="1" t="b">
        <f>IFERROR(__xludf.DUMMYFUNCTION("""COMPUTED_VALUE"""),TRUE)</f>
        <v>1</v>
      </c>
      <c r="T296" s="1" t="b">
        <f>IFERROR(__xludf.DUMMYFUNCTION("""COMPUTED_VALUE"""),FALSE)</f>
        <v>0</v>
      </c>
      <c r="U296" s="1" t="str">
        <f>IFERROR(__xludf.DUMMYFUNCTION("""COMPUTED_VALUE"""),"VALID")</f>
        <v>VALID</v>
      </c>
      <c r="V296" s="1">
        <f>IFERROR(__xludf.DUMMYFUNCTION("""COMPUTED_VALUE"""),422.0)</f>
        <v>422</v>
      </c>
      <c r="W296" s="1">
        <f>IFERROR(__xludf.DUMMYFUNCTION("""COMPUTED_VALUE"""),503.0)</f>
        <v>503</v>
      </c>
      <c r="X296" s="1">
        <f>IFERROR(__xludf.DUMMYFUNCTION("""COMPUTED_VALUE"""),1481.0)</f>
        <v>1481</v>
      </c>
      <c r="Y296" s="2"/>
      <c r="Z296" s="2"/>
    </row>
    <row r="297">
      <c r="A297" s="1">
        <f>IFERROR(__xludf.DUMMYFUNCTION("""COMPUTED_VALUE"""),296.0)</f>
        <v>296</v>
      </c>
      <c r="B297" s="1">
        <f>IFERROR(__xludf.DUMMYFUNCTION("""COMPUTED_VALUE"""),10134.0)</f>
        <v>10134</v>
      </c>
      <c r="C297" s="2" t="str">
        <f>IFERROR(__xludf.DUMMYFUNCTION("""COMPUTED_VALUE"""),"Nasirinnn")</f>
        <v>Nasirinnn</v>
      </c>
      <c r="D297" s="2" t="str">
        <f>IFERROR(__xludf.DUMMYFUNCTION("""COMPUTED_VALUE"""),"10KM OVERALL M")</f>
        <v>10KM OVERALL M</v>
      </c>
      <c r="E297" s="1">
        <f>IFERROR(__xludf.DUMMYFUNCTION("""COMPUTED_VALUE"""),1.0)</f>
        <v>1</v>
      </c>
      <c r="F297" s="1" t="str">
        <f>IFERROR(__xludf.DUMMYFUNCTION("""COMPUTED_VALUE"""),"Male")</f>
        <v>Male</v>
      </c>
      <c r="G297" s="4" t="b">
        <f>IFERROR(__xludf.DUMMYFUNCTION("""COMPUTED_VALUE"""),TRUE)</f>
        <v>1</v>
      </c>
      <c r="H297" s="4" t="b">
        <f>IFERROR(__xludf.DUMMYFUNCTION("""COMPUTED_VALUE"""),TRUE)</f>
        <v>1</v>
      </c>
      <c r="I297" s="4">
        <f>IFERROR(__xludf.DUMMYFUNCTION("""COMPUTED_VALUE"""),0.24646185185185185)</f>
        <v>0.2464618519</v>
      </c>
      <c r="J297" s="4" t="str">
        <f>IFERROR(__xludf.DUMMYFUNCTION("""COMPUTED_VALUE"""),"")</f>
        <v/>
      </c>
      <c r="K297" s="4">
        <f>IFERROR(__xludf.DUMMYFUNCTION("""COMPUTED_VALUE"""),45949.29183948987)</f>
        <v>45949.29184</v>
      </c>
      <c r="L297" s="4">
        <f>IFERROR(__xludf.DUMMYFUNCTION("""COMPUTED_VALUE"""),45949.3004563846)</f>
        <v>45949.30046</v>
      </c>
      <c r="M297" s="1" t="str">
        <f>IFERROR(__xludf.DUMMYFUNCTION("""COMPUTED_VALUE"""),"RFID")</f>
        <v>RFID</v>
      </c>
      <c r="N297" s="5" t="str">
        <f>IFERROR(__xludf.DUMMYFUNCTION("""COMPUTED_VALUE"""),"")</f>
        <v/>
      </c>
      <c r="O297" s="5" t="str">
        <f>IFERROR(__xludf.DUMMYFUNCTION("""COMPUTED_VALUE"""),"")</f>
        <v/>
      </c>
      <c r="P297" s="5">
        <f>IFERROR(__xludf.DUMMYFUNCTION("""COMPUTED_VALUE"""),0.0035460472113880183)</f>
        <v>0.003546047211</v>
      </c>
      <c r="Q297" s="5">
        <f>IFERROR(__xludf.DUMMYFUNCTION("""COMPUTED_VALUE"""),0.005399453703703703)</f>
        <v>0.005399453704</v>
      </c>
      <c r="R297" s="4">
        <f>IFERROR(__xludf.DUMMYFUNCTION("""COMPUTED_VALUE"""),45949.05399453275)</f>
        <v>45949.05399</v>
      </c>
      <c r="S297" s="1" t="b">
        <f>IFERROR(__xludf.DUMMYFUNCTION("""COMPUTED_VALUE"""),TRUE)</f>
        <v>1</v>
      </c>
      <c r="T297" s="1" t="b">
        <f>IFERROR(__xludf.DUMMYFUNCTION("""COMPUTED_VALUE"""),FALSE)</f>
        <v>0</v>
      </c>
      <c r="U297" s="1" t="str">
        <f>IFERROR(__xludf.DUMMYFUNCTION("""COMPUTED_VALUE"""),"VALID")</f>
        <v>VALID</v>
      </c>
      <c r="V297" s="1">
        <f>IFERROR(__xludf.DUMMYFUNCTION("""COMPUTED_VALUE"""),425.0)</f>
        <v>425</v>
      </c>
      <c r="W297" s="1">
        <f>IFERROR(__xludf.DUMMYFUNCTION("""COMPUTED_VALUE"""),506.0)</f>
        <v>506</v>
      </c>
      <c r="X297" s="1">
        <f>IFERROR(__xludf.DUMMYFUNCTION("""COMPUTED_VALUE"""),1484.0)</f>
        <v>1484</v>
      </c>
      <c r="Y297" s="2"/>
      <c r="Z297" s="2" t="str">
        <f>IFERROR(__xludf.DUMMYFUNCTION("""COMPUTED_VALUE"""),"")</f>
        <v/>
      </c>
    </row>
    <row r="298">
      <c r="A298" s="1">
        <f>IFERROR(__xludf.DUMMYFUNCTION("""COMPUTED_VALUE"""),297.0)</f>
        <v>297</v>
      </c>
      <c r="B298" s="1">
        <f>IFERROR(__xludf.DUMMYFUNCTION("""COMPUTED_VALUE"""),10136.0)</f>
        <v>10136</v>
      </c>
      <c r="C298" s="2" t="str">
        <f>IFERROR(__xludf.DUMMYFUNCTION("""COMPUTED_VALUE"""),"Padly")</f>
        <v>Padly</v>
      </c>
      <c r="D298" s="2" t="str">
        <f>IFERROR(__xludf.DUMMYFUNCTION("""COMPUTED_VALUE"""),"10KM OVERALL M")</f>
        <v>10KM OVERALL M</v>
      </c>
      <c r="E298" s="1">
        <f>IFERROR(__xludf.DUMMYFUNCTION("""COMPUTED_VALUE"""),1.0)</f>
        <v>1</v>
      </c>
      <c r="F298" s="1" t="str">
        <f>IFERROR(__xludf.DUMMYFUNCTION("""COMPUTED_VALUE"""),"Male")</f>
        <v>Male</v>
      </c>
      <c r="G298" s="4" t="b">
        <f>IFERROR(__xludf.DUMMYFUNCTION("""COMPUTED_VALUE"""),TRUE)</f>
        <v>1</v>
      </c>
      <c r="H298" s="4" t="b">
        <f>IFERROR(__xludf.DUMMYFUNCTION("""COMPUTED_VALUE"""),TRUE)</f>
        <v>1</v>
      </c>
      <c r="I298" s="4">
        <f>IFERROR(__xludf.DUMMYFUNCTION("""COMPUTED_VALUE"""),0.24646185185185185)</f>
        <v>0.2464618519</v>
      </c>
      <c r="J298" s="4">
        <f>IFERROR(__xludf.DUMMYFUNCTION("""COMPUTED_VALUE"""),45949.259766286435)</f>
        <v>45949.25977</v>
      </c>
      <c r="K298" s="4">
        <f>IFERROR(__xludf.DUMMYFUNCTION("""COMPUTED_VALUE"""),45949.29387066618)</f>
        <v>45949.29387</v>
      </c>
      <c r="L298" s="4">
        <f>IFERROR(__xludf.DUMMYFUNCTION("""COMPUTED_VALUE"""),45949.303880283434)</f>
        <v>45949.30388</v>
      </c>
      <c r="M298" s="1" t="str">
        <f>IFERROR(__xludf.DUMMYFUNCTION("""COMPUTED_VALUE"""),"RFID")</f>
        <v>RFID</v>
      </c>
      <c r="N298" s="5">
        <f>IFERROR(__xludf.DUMMYFUNCTION("""COMPUTED_VALUE"""),0.0053217731481481475)</f>
        <v>0.005321773148</v>
      </c>
      <c r="O298" s="5">
        <f>IFERROR(__xludf.DUMMYFUNCTION("""COMPUTED_VALUE"""),0.01364175)</f>
        <v>0.01364175</v>
      </c>
      <c r="P298" s="5">
        <f>IFERROR(__xludf.DUMMYFUNCTION("""COMPUTED_VALUE"""),0.00411918405500919)</f>
        <v>0.004119184055</v>
      </c>
      <c r="Q298" s="5">
        <f>IFERROR(__xludf.DUMMYFUNCTION("""COMPUTED_VALUE"""),0.005741842592592593)</f>
        <v>0.005741842593</v>
      </c>
      <c r="R298" s="4">
        <f>IFERROR(__xludf.DUMMYFUNCTION("""COMPUTED_VALUE"""),45949.057418431585)</f>
        <v>45949.05742</v>
      </c>
      <c r="S298" s="1" t="b">
        <f>IFERROR(__xludf.DUMMYFUNCTION("""COMPUTED_VALUE"""),TRUE)</f>
        <v>1</v>
      </c>
      <c r="T298" s="1" t="b">
        <f>IFERROR(__xludf.DUMMYFUNCTION("""COMPUTED_VALUE"""),FALSE)</f>
        <v>0</v>
      </c>
      <c r="U298" s="1" t="str">
        <f>IFERROR(__xludf.DUMMYFUNCTION("""COMPUTED_VALUE"""),"VALID")</f>
        <v>VALID</v>
      </c>
      <c r="V298" s="1">
        <f>IFERROR(__xludf.DUMMYFUNCTION("""COMPUTED_VALUE"""),506.0)</f>
        <v>506</v>
      </c>
      <c r="W298" s="1">
        <f>IFERROR(__xludf.DUMMYFUNCTION("""COMPUTED_VALUE"""),612.0)</f>
        <v>612</v>
      </c>
      <c r="X298" s="1">
        <f>IFERROR(__xludf.DUMMYFUNCTION("""COMPUTED_VALUE"""),1578.0)</f>
        <v>1578</v>
      </c>
      <c r="Y298" s="2"/>
      <c r="Z298" s="2"/>
    </row>
    <row r="299">
      <c r="A299" s="1">
        <f>IFERROR(__xludf.DUMMYFUNCTION("""COMPUTED_VALUE"""),298.0)</f>
        <v>298</v>
      </c>
      <c r="B299" s="1">
        <f>IFERROR(__xludf.DUMMYFUNCTION("""COMPUTED_VALUE"""),10138.0)</f>
        <v>10138</v>
      </c>
      <c r="C299" s="2" t="str">
        <f>IFERROR(__xludf.DUMMYFUNCTION("""COMPUTED_VALUE"""),"Muhammad Sholihin")</f>
        <v>Muhammad Sholihin</v>
      </c>
      <c r="D299" s="2" t="str">
        <f>IFERROR(__xludf.DUMMYFUNCTION("""COMPUTED_VALUE"""),"10KM OVERALL M")</f>
        <v>10KM OVERALL M</v>
      </c>
      <c r="E299" s="1">
        <f>IFERROR(__xludf.DUMMYFUNCTION("""COMPUTED_VALUE"""),1.0)</f>
        <v>1</v>
      </c>
      <c r="F299" s="1" t="str">
        <f>IFERROR(__xludf.DUMMYFUNCTION("""COMPUTED_VALUE"""),"Male")</f>
        <v>Male</v>
      </c>
      <c r="G299" s="4" t="b">
        <f>IFERROR(__xludf.DUMMYFUNCTION("""COMPUTED_VALUE"""),TRUE)</f>
        <v>1</v>
      </c>
      <c r="H299" s="4" t="b">
        <f>IFERROR(__xludf.DUMMYFUNCTION("""COMPUTED_VALUE"""),TRUE)</f>
        <v>1</v>
      </c>
      <c r="I299" s="4">
        <f>IFERROR(__xludf.DUMMYFUNCTION("""COMPUTED_VALUE"""),0.24646185185185185)</f>
        <v>0.2464618519</v>
      </c>
      <c r="J299" s="4">
        <f>IFERROR(__xludf.DUMMYFUNCTION("""COMPUTED_VALUE"""),45949.25368299606)</f>
        <v>45949.25368</v>
      </c>
      <c r="K299" s="4">
        <f>IFERROR(__xludf.DUMMYFUNCTION("""COMPUTED_VALUE"""),45949.27475398799)</f>
        <v>45949.27475</v>
      </c>
      <c r="L299" s="4">
        <f>IFERROR(__xludf.DUMMYFUNCTION("""COMPUTED_VALUE"""),45949.28073421488)</f>
        <v>45949.28073</v>
      </c>
      <c r="M299" s="1" t="str">
        <f>IFERROR(__xludf.DUMMYFUNCTION("""COMPUTED_VALUE"""),"RFID")</f>
        <v>RFID</v>
      </c>
      <c r="N299" s="5">
        <f>IFERROR(__xludf.DUMMYFUNCTION("""COMPUTED_VALUE"""),0.0028884583333333336)</f>
        <v>0.002888458333</v>
      </c>
      <c r="O299" s="5">
        <f>IFERROR(__xludf.DUMMYFUNCTION("""COMPUTED_VALUE"""),0.008428398148148148)</f>
        <v>0.008428398148</v>
      </c>
      <c r="P299" s="5">
        <f>IFERROR(__xludf.DUMMYFUNCTION("""COMPUTED_VALUE"""),0.0024609987193061258)</f>
        <v>0.002460998719</v>
      </c>
      <c r="Q299" s="5">
        <f>IFERROR(__xludf.DUMMYFUNCTION("""COMPUTED_VALUE"""),0.0034272361111111114)</f>
        <v>0.003427236111</v>
      </c>
      <c r="R299" s="4">
        <f>IFERROR(__xludf.DUMMYFUNCTION("""COMPUTED_VALUE"""),45949.03427236303)</f>
        <v>45949.03427</v>
      </c>
      <c r="S299" s="1" t="b">
        <f>IFERROR(__xludf.DUMMYFUNCTION("""COMPUTED_VALUE"""),TRUE)</f>
        <v>1</v>
      </c>
      <c r="T299" s="1" t="b">
        <f>IFERROR(__xludf.DUMMYFUNCTION("""COMPUTED_VALUE"""),FALSE)</f>
        <v>0</v>
      </c>
      <c r="U299" s="1" t="str">
        <f>IFERROR(__xludf.DUMMYFUNCTION("""COMPUTED_VALUE"""),"VALID")</f>
        <v>VALID</v>
      </c>
      <c r="V299" s="1">
        <f>IFERROR(__xludf.DUMMYFUNCTION("""COMPUTED_VALUE"""),25.0)</f>
        <v>25</v>
      </c>
      <c r="W299" s="1">
        <f>IFERROR(__xludf.DUMMYFUNCTION("""COMPUTED_VALUE"""),33.0)</f>
        <v>33</v>
      </c>
      <c r="X299" s="1">
        <f>IFERROR(__xludf.DUMMYFUNCTION("""COMPUTED_VALUE"""),698.0)</f>
        <v>698</v>
      </c>
      <c r="Y299" s="2"/>
      <c r="Z299" s="2"/>
    </row>
    <row r="300">
      <c r="A300" s="1">
        <f>IFERROR(__xludf.DUMMYFUNCTION("""COMPUTED_VALUE"""),299.0)</f>
        <v>299</v>
      </c>
      <c r="B300" s="1">
        <f>IFERROR(__xludf.DUMMYFUNCTION("""COMPUTED_VALUE"""),10140.0)</f>
        <v>10140</v>
      </c>
      <c r="C300" s="2" t="str">
        <f>IFERROR(__xludf.DUMMYFUNCTION("""COMPUTED_VALUE"""),"Rakha")</f>
        <v>Rakha</v>
      </c>
      <c r="D300" s="2" t="str">
        <f>IFERROR(__xludf.DUMMYFUNCTION("""COMPUTED_VALUE"""),"10KM OVERALL M")</f>
        <v>10KM OVERALL M</v>
      </c>
      <c r="E300" s="1">
        <f>IFERROR(__xludf.DUMMYFUNCTION("""COMPUTED_VALUE"""),1.0)</f>
        <v>1</v>
      </c>
      <c r="F300" s="1" t="str">
        <f>IFERROR(__xludf.DUMMYFUNCTION("""COMPUTED_VALUE"""),"Male")</f>
        <v>Male</v>
      </c>
      <c r="G300" s="4" t="b">
        <f>IFERROR(__xludf.DUMMYFUNCTION("""COMPUTED_VALUE"""),TRUE)</f>
        <v>1</v>
      </c>
      <c r="H300" s="4" t="b">
        <f>IFERROR(__xludf.DUMMYFUNCTION("""COMPUTED_VALUE"""),FALSE)</f>
        <v>0</v>
      </c>
      <c r="I300" s="4">
        <f>IFERROR(__xludf.DUMMYFUNCTION("""COMPUTED_VALUE"""),0.24646185185185185)</f>
        <v>0.2464618519</v>
      </c>
      <c r="J300" s="4">
        <f>IFERROR(__xludf.DUMMYFUNCTION("""COMPUTED_VALUE"""),45949.25686007777)</f>
        <v>45949.25686</v>
      </c>
      <c r="K300" s="4">
        <f>IFERROR(__xludf.DUMMYFUNCTION("""COMPUTED_VALUE"""),45949.28283573991)</f>
        <v>45949.28284</v>
      </c>
      <c r="L300" s="4">
        <f>IFERROR(__xludf.DUMMYFUNCTION("""COMPUTED_VALUE"""),45949.289744618836)</f>
        <v>45949.28974</v>
      </c>
      <c r="M300" s="1" t="str">
        <f>IFERROR(__xludf.DUMMYFUNCTION("""COMPUTED_VALUE"""),"RFID")</f>
        <v>RFID</v>
      </c>
      <c r="N300" s="5">
        <f>IFERROR(__xludf.DUMMYFUNCTION("""COMPUTED_VALUE"""),0.004159291666666667)</f>
        <v>0.004159291667</v>
      </c>
      <c r="O300" s="5">
        <f>IFERROR(__xludf.DUMMYFUNCTION("""COMPUTED_VALUE"""),0.010390263888888888)</f>
        <v>0.01039026389</v>
      </c>
      <c r="P300" s="5">
        <f>IFERROR(__xludf.DUMMYFUNCTION("""COMPUTED_VALUE"""),0.0028431600510907345)</f>
        <v>0.002843160051</v>
      </c>
      <c r="Q300" s="5">
        <f>IFERROR(__xludf.DUMMYFUNCTION("""COMPUTED_VALUE"""),0.00432827662037037)</f>
        <v>0.00432827662</v>
      </c>
      <c r="R300" s="4">
        <f>IFERROR(__xludf.DUMMYFUNCTION("""COMPUTED_VALUE"""),45949.04328276699)</f>
        <v>45949.04328</v>
      </c>
      <c r="S300" s="1" t="b">
        <f>IFERROR(__xludf.DUMMYFUNCTION("""COMPUTED_VALUE"""),TRUE)</f>
        <v>1</v>
      </c>
      <c r="T300" s="1" t="b">
        <f>IFERROR(__xludf.DUMMYFUNCTION("""COMPUTED_VALUE"""),FALSE)</f>
        <v>0</v>
      </c>
      <c r="U300" s="1" t="str">
        <f>IFERROR(__xludf.DUMMYFUNCTION("""COMPUTED_VALUE"""),"VALID")</f>
        <v>VALID</v>
      </c>
      <c r="V300" s="1">
        <f>IFERROR(__xludf.DUMMYFUNCTION("""COMPUTED_VALUE"""),170.0)</f>
        <v>170</v>
      </c>
      <c r="W300" s="1">
        <f>IFERROR(__xludf.DUMMYFUNCTION("""COMPUTED_VALUE"""),200.0)</f>
        <v>200</v>
      </c>
      <c r="X300" s="1">
        <f>IFERROR(__xludf.DUMMYFUNCTION("""COMPUTED_VALUE"""),1107.0)</f>
        <v>1107</v>
      </c>
      <c r="Y300" s="2"/>
      <c r="Z300" s="2"/>
    </row>
    <row r="301">
      <c r="A301" s="1">
        <f>IFERROR(__xludf.DUMMYFUNCTION("""COMPUTED_VALUE"""),300.0)</f>
        <v>300</v>
      </c>
      <c r="B301" s="1">
        <f>IFERROR(__xludf.DUMMYFUNCTION("""COMPUTED_VALUE"""),10141.0)</f>
        <v>10141</v>
      </c>
      <c r="C301" s="2" t="str">
        <f>IFERROR(__xludf.DUMMYFUNCTION("""COMPUTED_VALUE"""),"FATHURRAHMAN AZHARI")</f>
        <v>FATHURRAHMAN AZHARI</v>
      </c>
      <c r="D301" s="2" t="str">
        <f>IFERROR(__xludf.DUMMYFUNCTION("""COMPUTED_VALUE"""),"10KM OVERALL M")</f>
        <v>10KM OVERALL M</v>
      </c>
      <c r="E301" s="1">
        <f>IFERROR(__xludf.DUMMYFUNCTION("""COMPUTED_VALUE"""),1.0)</f>
        <v>1</v>
      </c>
      <c r="F301" s="1" t="str">
        <f>IFERROR(__xludf.DUMMYFUNCTION("""COMPUTED_VALUE"""),"Male")</f>
        <v>Male</v>
      </c>
      <c r="G301" s="4" t="b">
        <f>IFERROR(__xludf.DUMMYFUNCTION("""COMPUTED_VALUE"""),TRUE)</f>
        <v>1</v>
      </c>
      <c r="H301" s="4" t="b">
        <f>IFERROR(__xludf.DUMMYFUNCTION("""COMPUTED_VALUE"""),FALSE)</f>
        <v>0</v>
      </c>
      <c r="I301" s="4">
        <f>IFERROR(__xludf.DUMMYFUNCTION("""COMPUTED_VALUE"""),0.24646185185185185)</f>
        <v>0.2464618519</v>
      </c>
      <c r="J301" s="4">
        <f>IFERROR(__xludf.DUMMYFUNCTION("""COMPUTED_VALUE"""),45949.25926280529)</f>
        <v>45949.25926</v>
      </c>
      <c r="K301" s="4">
        <f>IFERROR(__xludf.DUMMYFUNCTION("""COMPUTED_VALUE"""),45949.290243055555)</f>
        <v>45949.29024</v>
      </c>
      <c r="L301" s="4">
        <f>IFERROR(__xludf.DUMMYFUNCTION("""COMPUTED_VALUE"""),45949.300029627266)</f>
        <v>45949.30003</v>
      </c>
      <c r="M301" s="1" t="str">
        <f>IFERROR(__xludf.DUMMYFUNCTION("""COMPUTED_VALUE"""),"RFID")</f>
        <v>RFID</v>
      </c>
      <c r="N301" s="5">
        <f>IFERROR(__xludf.DUMMYFUNCTION("""COMPUTED_VALUE"""),0.005120379629629629)</f>
        <v>0.00512037963</v>
      </c>
      <c r="O301" s="5">
        <f>IFERROR(__xludf.DUMMYFUNCTION("""COMPUTED_VALUE"""),0.012392101851851852)</f>
        <v>0.01239210185</v>
      </c>
      <c r="P301" s="5">
        <f>IFERROR(__xludf.DUMMYFUNCTION("""COMPUTED_VALUE"""),0.0040273957657282825)</f>
        <v>0.004027395766</v>
      </c>
      <c r="Q301" s="5">
        <f>IFERROR(__xludf.DUMMYFUNCTION("""COMPUTED_VALUE"""),0.005356777777777778)</f>
        <v>0.005356777778</v>
      </c>
      <c r="R301" s="4">
        <f>IFERROR(__xludf.DUMMYFUNCTION("""COMPUTED_VALUE"""),45949.053567775416)</f>
        <v>45949.05357</v>
      </c>
      <c r="S301" s="1" t="b">
        <f>IFERROR(__xludf.DUMMYFUNCTION("""COMPUTED_VALUE"""),TRUE)</f>
        <v>1</v>
      </c>
      <c r="T301" s="1" t="b">
        <f>IFERROR(__xludf.DUMMYFUNCTION("""COMPUTED_VALUE"""),FALSE)</f>
        <v>0</v>
      </c>
      <c r="U301" s="1" t="str">
        <f>IFERROR(__xludf.DUMMYFUNCTION("""COMPUTED_VALUE"""),"VALID")</f>
        <v>VALID</v>
      </c>
      <c r="V301" s="1">
        <f>IFERROR(__xludf.DUMMYFUNCTION("""COMPUTED_VALUE"""),415.0)</f>
        <v>415</v>
      </c>
      <c r="W301" s="1">
        <f>IFERROR(__xludf.DUMMYFUNCTION("""COMPUTED_VALUE"""),495.0)</f>
        <v>495</v>
      </c>
      <c r="X301" s="1">
        <f>IFERROR(__xludf.DUMMYFUNCTION("""COMPUTED_VALUE"""),1471.0)</f>
        <v>1471</v>
      </c>
      <c r="Y301" s="2"/>
      <c r="Z301" s="2"/>
    </row>
    <row r="302">
      <c r="A302" s="1">
        <f>IFERROR(__xludf.DUMMYFUNCTION("""COMPUTED_VALUE"""),301.0)</f>
        <v>301</v>
      </c>
      <c r="B302" s="1">
        <f>IFERROR(__xludf.DUMMYFUNCTION("""COMPUTED_VALUE"""),10142.0)</f>
        <v>10142</v>
      </c>
      <c r="C302" s="2" t="str">
        <f>IFERROR(__xludf.DUMMYFUNCTION("""COMPUTED_VALUE"""),"ROBBY")</f>
        <v>ROBBY</v>
      </c>
      <c r="D302" s="2" t="str">
        <f>IFERROR(__xludf.DUMMYFUNCTION("""COMPUTED_VALUE"""),"10KM OVERALL M")</f>
        <v>10KM OVERALL M</v>
      </c>
      <c r="E302" s="1">
        <f>IFERROR(__xludf.DUMMYFUNCTION("""COMPUTED_VALUE"""),1.0)</f>
        <v>1</v>
      </c>
      <c r="F302" s="1" t="str">
        <f>IFERROR(__xludf.DUMMYFUNCTION("""COMPUTED_VALUE"""),"Male")</f>
        <v>Male</v>
      </c>
      <c r="G302" s="4" t="b">
        <f>IFERROR(__xludf.DUMMYFUNCTION("""COMPUTED_VALUE"""),TRUE)</f>
        <v>1</v>
      </c>
      <c r="H302" s="4" t="b">
        <f>IFERROR(__xludf.DUMMYFUNCTION("""COMPUTED_VALUE"""),FALSE)</f>
        <v>0</v>
      </c>
      <c r="I302" s="4">
        <f>IFERROR(__xludf.DUMMYFUNCTION("""COMPUTED_VALUE"""),0.24646185185185185)</f>
        <v>0.2464618519</v>
      </c>
      <c r="J302" s="4">
        <f>IFERROR(__xludf.DUMMYFUNCTION("""COMPUTED_VALUE"""),45949.258485018225)</f>
        <v>45949.25849</v>
      </c>
      <c r="K302" s="4">
        <f>IFERROR(__xludf.DUMMYFUNCTION("""COMPUTED_VALUE"""),45949.284946857086)</f>
        <v>45949.28495</v>
      </c>
      <c r="L302" s="4">
        <f>IFERROR(__xludf.DUMMYFUNCTION("""COMPUTED_VALUE"""),45949.29247032724)</f>
        <v>45949.29247</v>
      </c>
      <c r="M302" s="1" t="str">
        <f>IFERROR(__xludf.DUMMYFUNCTION("""COMPUTED_VALUE"""),"RFID")</f>
        <v>RFID</v>
      </c>
      <c r="N302" s="5">
        <f>IFERROR(__xludf.DUMMYFUNCTION("""COMPUTED_VALUE"""),0.004809268518518518)</f>
        <v>0.004809268519</v>
      </c>
      <c r="O302" s="5">
        <f>IFERROR(__xludf.DUMMYFUNCTION("""COMPUTED_VALUE"""),0.01058473611111111)</f>
        <v>0.01058473611</v>
      </c>
      <c r="P302" s="5">
        <f>IFERROR(__xludf.DUMMYFUNCTION("""COMPUTED_VALUE"""),0.0030960782513467003)</f>
        <v>0.003096078251</v>
      </c>
      <c r="Q302" s="5">
        <f>IFERROR(__xludf.DUMMYFUNCTION("""COMPUTED_VALUE"""),0.004600847222222222)</f>
        <v>0.004600847222</v>
      </c>
      <c r="R302" s="4">
        <f>IFERROR(__xludf.DUMMYFUNCTION("""COMPUTED_VALUE"""),45949.04600847539)</f>
        <v>45949.04601</v>
      </c>
      <c r="S302" s="1" t="b">
        <f>IFERROR(__xludf.DUMMYFUNCTION("""COMPUTED_VALUE"""),TRUE)</f>
        <v>1</v>
      </c>
      <c r="T302" s="1" t="b">
        <f>IFERROR(__xludf.DUMMYFUNCTION("""COMPUTED_VALUE"""),FALSE)</f>
        <v>0</v>
      </c>
      <c r="U302" s="1" t="str">
        <f>IFERROR(__xludf.DUMMYFUNCTION("""COMPUTED_VALUE"""),"VALID")</f>
        <v>VALID</v>
      </c>
      <c r="V302" s="1">
        <f>IFERROR(__xludf.DUMMYFUNCTION("""COMPUTED_VALUE"""),242.0)</f>
        <v>242</v>
      </c>
      <c r="W302" s="1">
        <f>IFERROR(__xludf.DUMMYFUNCTION("""COMPUTED_VALUE"""),291.0)</f>
        <v>291</v>
      </c>
      <c r="X302" s="1">
        <f>IFERROR(__xludf.DUMMYFUNCTION("""COMPUTED_VALUE"""),1237.0)</f>
        <v>1237</v>
      </c>
      <c r="Y302" s="2"/>
      <c r="Z302" s="2"/>
    </row>
    <row r="303">
      <c r="A303" s="1">
        <f>IFERROR(__xludf.DUMMYFUNCTION("""COMPUTED_VALUE"""),302.0)</f>
        <v>302</v>
      </c>
      <c r="B303" s="1">
        <f>IFERROR(__xludf.DUMMYFUNCTION("""COMPUTED_VALUE"""),10144.0)</f>
        <v>10144</v>
      </c>
      <c r="C303" s="2" t="str">
        <f>IFERROR(__xludf.DUMMYFUNCTION("""COMPUTED_VALUE"""),"M hapiji")</f>
        <v>M hapiji</v>
      </c>
      <c r="D303" s="2" t="str">
        <f>IFERROR(__xludf.DUMMYFUNCTION("""COMPUTED_VALUE"""),"10KM OVERALL M")</f>
        <v>10KM OVERALL M</v>
      </c>
      <c r="E303" s="1">
        <f>IFERROR(__xludf.DUMMYFUNCTION("""COMPUTED_VALUE"""),1.0)</f>
        <v>1</v>
      </c>
      <c r="F303" s="1" t="str">
        <f>IFERROR(__xludf.DUMMYFUNCTION("""COMPUTED_VALUE"""),"Male")</f>
        <v>Male</v>
      </c>
      <c r="G303" s="4" t="b">
        <f>IFERROR(__xludf.DUMMYFUNCTION("""COMPUTED_VALUE"""),TRUE)</f>
        <v>1</v>
      </c>
      <c r="H303" s="4" t="b">
        <f>IFERROR(__xludf.DUMMYFUNCTION("""COMPUTED_VALUE"""),TRUE)</f>
        <v>1</v>
      </c>
      <c r="I303" s="4">
        <f>IFERROR(__xludf.DUMMYFUNCTION("""COMPUTED_VALUE"""),0.24646185185185185)</f>
        <v>0.2464618519</v>
      </c>
      <c r="J303" s="4">
        <f>IFERROR(__xludf.DUMMYFUNCTION("""COMPUTED_VALUE"""),45949.25717950306)</f>
        <v>45949.25718</v>
      </c>
      <c r="K303" s="4">
        <f>IFERROR(__xludf.DUMMYFUNCTION("""COMPUTED_VALUE"""),45949.285051033425)</f>
        <v>45949.28505</v>
      </c>
      <c r="L303" s="4">
        <f>IFERROR(__xludf.DUMMYFUNCTION("""COMPUTED_VALUE"""),45949.29441471528)</f>
        <v>45949.29441</v>
      </c>
      <c r="M303" s="1" t="str">
        <f>IFERROR(__xludf.DUMMYFUNCTION("""COMPUTED_VALUE"""),"RFID")</f>
        <v>RFID</v>
      </c>
      <c r="N303" s="5">
        <f>IFERROR(__xludf.DUMMYFUNCTION("""COMPUTED_VALUE"""),0.004287060185185185)</f>
        <v>0.004287060185</v>
      </c>
      <c r="O303" s="5">
        <f>IFERROR(__xludf.DUMMYFUNCTION("""COMPUTED_VALUE"""),0.011148611111111111)</f>
        <v>0.01114861111</v>
      </c>
      <c r="P303" s="5">
        <f>IFERROR(__xludf.DUMMYFUNCTION("""COMPUTED_VALUE"""),0.003853367019129472)</f>
        <v>0.003853367019</v>
      </c>
      <c r="Q303" s="5">
        <f>IFERROR(__xludf.DUMMYFUNCTION("""COMPUTED_VALUE"""),0.00479528587962963)</f>
        <v>0.00479528588</v>
      </c>
      <c r="R303" s="4">
        <f>IFERROR(__xludf.DUMMYFUNCTION("""COMPUTED_VALUE"""),45949.04795286343)</f>
        <v>45949.04795</v>
      </c>
      <c r="S303" s="1" t="b">
        <f>IFERROR(__xludf.DUMMYFUNCTION("""COMPUTED_VALUE"""),TRUE)</f>
        <v>1</v>
      </c>
      <c r="T303" s="1" t="b">
        <f>IFERROR(__xludf.DUMMYFUNCTION("""COMPUTED_VALUE"""),FALSE)</f>
        <v>0</v>
      </c>
      <c r="U303" s="1" t="str">
        <f>IFERROR(__xludf.DUMMYFUNCTION("""COMPUTED_VALUE"""),"VALID")</f>
        <v>VALID</v>
      </c>
      <c r="V303" s="1">
        <f>IFERROR(__xludf.DUMMYFUNCTION("""COMPUTED_VALUE"""),288.0)</f>
        <v>288</v>
      </c>
      <c r="W303" s="1">
        <f>IFERROR(__xludf.DUMMYFUNCTION("""COMPUTED_VALUE"""),340.0)</f>
        <v>340</v>
      </c>
      <c r="X303" s="1">
        <f>IFERROR(__xludf.DUMMYFUNCTION("""COMPUTED_VALUE"""),1305.0)</f>
        <v>1305</v>
      </c>
      <c r="Y303" s="2"/>
      <c r="Z303" s="2"/>
    </row>
    <row r="304">
      <c r="A304" s="1">
        <f>IFERROR(__xludf.DUMMYFUNCTION("""COMPUTED_VALUE"""),303.0)</f>
        <v>303</v>
      </c>
      <c r="B304" s="1">
        <f>IFERROR(__xludf.DUMMYFUNCTION("""COMPUTED_VALUE"""),10145.0)</f>
        <v>10145</v>
      </c>
      <c r="C304" s="2" t="str">
        <f>IFERROR(__xludf.DUMMYFUNCTION("""COMPUTED_VALUE"""),"NAUFAL I R")</f>
        <v>NAUFAL I R</v>
      </c>
      <c r="D304" s="2" t="str">
        <f>IFERROR(__xludf.DUMMYFUNCTION("""COMPUTED_VALUE"""),"10KM OVERALL M")</f>
        <v>10KM OVERALL M</v>
      </c>
      <c r="E304" s="1">
        <f>IFERROR(__xludf.DUMMYFUNCTION("""COMPUTED_VALUE"""),1.0)</f>
        <v>1</v>
      </c>
      <c r="F304" s="1" t="str">
        <f>IFERROR(__xludf.DUMMYFUNCTION("""COMPUTED_VALUE"""),"Male")</f>
        <v>Male</v>
      </c>
      <c r="G304" s="4" t="b">
        <f>IFERROR(__xludf.DUMMYFUNCTION("""COMPUTED_VALUE"""),TRUE)</f>
        <v>1</v>
      </c>
      <c r="H304" s="4" t="b">
        <f>IFERROR(__xludf.DUMMYFUNCTION("""COMPUTED_VALUE"""),FALSE)</f>
        <v>0</v>
      </c>
      <c r="I304" s="4">
        <f>IFERROR(__xludf.DUMMYFUNCTION("""COMPUTED_VALUE"""),0.24646185185185185)</f>
        <v>0.2464618519</v>
      </c>
      <c r="J304" s="4">
        <f>IFERROR(__xludf.DUMMYFUNCTION("""COMPUTED_VALUE"""),45949.265321833984)</f>
        <v>45949.26532</v>
      </c>
      <c r="K304" s="4">
        <f>IFERROR(__xludf.DUMMYFUNCTION("""COMPUTED_VALUE"""),45949.304315959555)</f>
        <v>45949.30432</v>
      </c>
      <c r="L304" s="4">
        <f>IFERROR(__xludf.DUMMYFUNCTION("""COMPUTED_VALUE"""),45949.31514392255)</f>
        <v>45949.31514</v>
      </c>
      <c r="M304" s="1" t="str">
        <f>IFERROR(__xludf.DUMMYFUNCTION("""COMPUTED_VALUE"""),"RFID")</f>
        <v>RFID</v>
      </c>
      <c r="N304" s="5">
        <f>IFERROR(__xludf.DUMMYFUNCTION("""COMPUTED_VALUE"""),0.00754399074074074)</f>
        <v>0.007543990741</v>
      </c>
      <c r="O304" s="5">
        <f>IFERROR(__xludf.DUMMYFUNCTION("""COMPUTED_VALUE"""),0.015597648148148149)</f>
        <v>0.01559764815</v>
      </c>
      <c r="P304" s="5">
        <f>IFERROR(__xludf.DUMMYFUNCTION("""COMPUTED_VALUE"""),0.004455951848996749)</f>
        <v>0.004455951849</v>
      </c>
      <c r="Q304" s="5">
        <f>IFERROR(__xludf.DUMMYFUNCTION("""COMPUTED_VALUE"""),0.006868207175925926)</f>
        <v>0.006868207176</v>
      </c>
      <c r="R304" s="4">
        <f>IFERROR(__xludf.DUMMYFUNCTION("""COMPUTED_VALUE"""),45949.0686820707)</f>
        <v>45949.06868</v>
      </c>
      <c r="S304" s="1" t="b">
        <f>IFERROR(__xludf.DUMMYFUNCTION("""COMPUTED_VALUE"""),TRUE)</f>
        <v>1</v>
      </c>
      <c r="T304" s="1" t="b">
        <f>IFERROR(__xludf.DUMMYFUNCTION("""COMPUTED_VALUE"""),FALSE)</f>
        <v>0</v>
      </c>
      <c r="U304" s="1" t="str">
        <f>IFERROR(__xludf.DUMMYFUNCTION("""COMPUTED_VALUE"""),"VALID")</f>
        <v>VALID</v>
      </c>
      <c r="V304" s="1">
        <f>IFERROR(__xludf.DUMMYFUNCTION("""COMPUTED_VALUE"""),590.0)</f>
        <v>590</v>
      </c>
      <c r="W304" s="1">
        <f>IFERROR(__xludf.DUMMYFUNCTION("""COMPUTED_VALUE"""),734.0)</f>
        <v>734</v>
      </c>
      <c r="X304" s="1">
        <f>IFERROR(__xludf.DUMMYFUNCTION("""COMPUTED_VALUE"""),1665.0)</f>
        <v>1665</v>
      </c>
      <c r="Y304" s="2"/>
      <c r="Z304" s="2"/>
    </row>
    <row r="305">
      <c r="A305" s="1">
        <f>IFERROR(__xludf.DUMMYFUNCTION("""COMPUTED_VALUE"""),304.0)</f>
        <v>304</v>
      </c>
      <c r="B305" s="1">
        <f>IFERROR(__xludf.DUMMYFUNCTION("""COMPUTED_VALUE"""),10146.0)</f>
        <v>10146</v>
      </c>
      <c r="C305" s="2" t="str">
        <f>IFERROR(__xludf.DUMMYFUNCTION("""COMPUTED_VALUE"""),"AKBR")</f>
        <v>AKBR</v>
      </c>
      <c r="D305" s="2" t="str">
        <f>IFERROR(__xludf.DUMMYFUNCTION("""COMPUTED_VALUE"""),"10KM OVERALL M")</f>
        <v>10KM OVERALL M</v>
      </c>
      <c r="E305" s="1">
        <f>IFERROR(__xludf.DUMMYFUNCTION("""COMPUTED_VALUE"""),1.0)</f>
        <v>1</v>
      </c>
      <c r="F305" s="1" t="str">
        <f>IFERROR(__xludf.DUMMYFUNCTION("""COMPUTED_VALUE"""),"Male")</f>
        <v>Male</v>
      </c>
      <c r="G305" s="4" t="b">
        <f>IFERROR(__xludf.DUMMYFUNCTION("""COMPUTED_VALUE"""),TRUE)</f>
        <v>1</v>
      </c>
      <c r="H305" s="4" t="b">
        <f>IFERROR(__xludf.DUMMYFUNCTION("""COMPUTED_VALUE"""),TRUE)</f>
        <v>1</v>
      </c>
      <c r="I305" s="4">
        <f>IFERROR(__xludf.DUMMYFUNCTION("""COMPUTED_VALUE"""),0.24646185185185185)</f>
        <v>0.2464618519</v>
      </c>
      <c r="J305" s="4">
        <f>IFERROR(__xludf.DUMMYFUNCTION("""COMPUTED_VALUE"""),45949.25622464109)</f>
        <v>45949.25622</v>
      </c>
      <c r="K305" s="4">
        <f>IFERROR(__xludf.DUMMYFUNCTION("""COMPUTED_VALUE"""),45949.286582291126)</f>
        <v>45949.28658</v>
      </c>
      <c r="L305" s="4">
        <f>IFERROR(__xludf.DUMMYFUNCTION("""COMPUTED_VALUE"""),45949.29561961872)</f>
        <v>45949.29562</v>
      </c>
      <c r="M305" s="1" t="str">
        <f>IFERROR(__xludf.DUMMYFUNCTION("""COMPUTED_VALUE"""),"RFID")</f>
        <v>RFID</v>
      </c>
      <c r="N305" s="5">
        <f>IFERROR(__xludf.DUMMYFUNCTION("""COMPUTED_VALUE"""),0.003905115740740741)</f>
        <v>0.003905115741</v>
      </c>
      <c r="O305" s="5">
        <f>IFERROR(__xludf.DUMMYFUNCTION("""COMPUTED_VALUE"""),0.012143060185185184)</f>
        <v>0.01214306019</v>
      </c>
      <c r="P305" s="5">
        <f>IFERROR(__xludf.DUMMYFUNCTION("""COMPUTED_VALUE"""),0.0037190648543872626)</f>
        <v>0.003719064854</v>
      </c>
      <c r="Q305" s="5">
        <f>IFERROR(__xludf.DUMMYFUNCTION("""COMPUTED_VALUE"""),0.00491577662037037)</f>
        <v>0.00491577662</v>
      </c>
      <c r="R305" s="4">
        <f>IFERROR(__xludf.DUMMYFUNCTION("""COMPUTED_VALUE"""),45949.04915776687)</f>
        <v>45949.04916</v>
      </c>
      <c r="S305" s="1" t="b">
        <f>IFERROR(__xludf.DUMMYFUNCTION("""COMPUTED_VALUE"""),TRUE)</f>
        <v>1</v>
      </c>
      <c r="T305" s="1" t="b">
        <f>IFERROR(__xludf.DUMMYFUNCTION("""COMPUTED_VALUE"""),FALSE)</f>
        <v>0</v>
      </c>
      <c r="U305" s="1" t="str">
        <f>IFERROR(__xludf.DUMMYFUNCTION("""COMPUTED_VALUE"""),"VALID")</f>
        <v>VALID</v>
      </c>
      <c r="V305" s="1">
        <f>IFERROR(__xludf.DUMMYFUNCTION("""COMPUTED_VALUE"""),318.0)</f>
        <v>318</v>
      </c>
      <c r="W305" s="1">
        <f>IFERROR(__xludf.DUMMYFUNCTION("""COMPUTED_VALUE"""),377.0)</f>
        <v>377</v>
      </c>
      <c r="X305" s="1">
        <f>IFERROR(__xludf.DUMMYFUNCTION("""COMPUTED_VALUE"""),1351.0)</f>
        <v>1351</v>
      </c>
      <c r="Y305" s="2"/>
      <c r="Z305" s="2"/>
    </row>
    <row r="306">
      <c r="A306" s="1">
        <f>IFERROR(__xludf.DUMMYFUNCTION("""COMPUTED_VALUE"""),305.0)</f>
        <v>305</v>
      </c>
      <c r="B306" s="1">
        <f>IFERROR(__xludf.DUMMYFUNCTION("""COMPUTED_VALUE"""),10147.0)</f>
        <v>10147</v>
      </c>
      <c r="C306" s="2" t="str">
        <f>IFERROR(__xludf.DUMMYFUNCTION("""COMPUTED_VALUE"""),"Andi Masduki")</f>
        <v>Andi Masduki</v>
      </c>
      <c r="D306" s="2" t="str">
        <f>IFERROR(__xludf.DUMMYFUNCTION("""COMPUTED_VALUE"""),"10KM OVERALL M")</f>
        <v>10KM OVERALL M</v>
      </c>
      <c r="E306" s="1">
        <f>IFERROR(__xludf.DUMMYFUNCTION("""COMPUTED_VALUE"""),1.0)</f>
        <v>1</v>
      </c>
      <c r="F306" s="1" t="str">
        <f>IFERROR(__xludf.DUMMYFUNCTION("""COMPUTED_VALUE"""),"Male")</f>
        <v>Male</v>
      </c>
      <c r="G306" s="4" t="b">
        <f>IFERROR(__xludf.DUMMYFUNCTION("""COMPUTED_VALUE"""),TRUE)</f>
        <v>1</v>
      </c>
      <c r="H306" s="4" t="b">
        <f>IFERROR(__xludf.DUMMYFUNCTION("""COMPUTED_VALUE"""),TRUE)</f>
        <v>1</v>
      </c>
      <c r="I306" s="4">
        <f>IFERROR(__xludf.DUMMYFUNCTION("""COMPUTED_VALUE"""),0.24646185185185185)</f>
        <v>0.2464618519</v>
      </c>
      <c r="J306" s="4">
        <f>IFERROR(__xludf.DUMMYFUNCTION("""COMPUTED_VALUE"""),45949.25679752636)</f>
        <v>45949.2568</v>
      </c>
      <c r="K306" s="4">
        <f>IFERROR(__xludf.DUMMYFUNCTION("""COMPUTED_VALUE"""),45949.28231491751)</f>
        <v>45949.28231</v>
      </c>
      <c r="L306" s="4">
        <f>IFERROR(__xludf.DUMMYFUNCTION("""COMPUTED_VALUE"""),45949.28897789012)</f>
        <v>45949.28898</v>
      </c>
      <c r="M306" s="1" t="str">
        <f>IFERROR(__xludf.DUMMYFUNCTION("""COMPUTED_VALUE"""),"RFID")</f>
        <v>RFID</v>
      </c>
      <c r="N306" s="5">
        <f>IFERROR(__xludf.DUMMYFUNCTION("""COMPUTED_VALUE"""),0.004134268518518518)</f>
        <v>0.004134268519</v>
      </c>
      <c r="O306" s="5">
        <f>IFERROR(__xludf.DUMMYFUNCTION("""COMPUTED_VALUE"""),0.010206958333333334)</f>
        <v>0.01020695833</v>
      </c>
      <c r="P306" s="5">
        <f>IFERROR(__xludf.DUMMYFUNCTION("""COMPUTED_VALUE"""),0.0027419640384413256)</f>
        <v>0.002741964038</v>
      </c>
      <c r="Q306" s="5">
        <f>IFERROR(__xludf.DUMMYFUNCTION("""COMPUTED_VALUE"""),0.0042516041666666666)</f>
        <v>0.004251604167</v>
      </c>
      <c r="R306" s="4">
        <f>IFERROR(__xludf.DUMMYFUNCTION("""COMPUTED_VALUE"""),45949.04251603827)</f>
        <v>45949.04252</v>
      </c>
      <c r="S306" s="1" t="b">
        <f>IFERROR(__xludf.DUMMYFUNCTION("""COMPUTED_VALUE"""),TRUE)</f>
        <v>1</v>
      </c>
      <c r="T306" s="1" t="b">
        <f>IFERROR(__xludf.DUMMYFUNCTION("""COMPUTED_VALUE"""),FALSE)</f>
        <v>0</v>
      </c>
      <c r="U306" s="1" t="str">
        <f>IFERROR(__xludf.DUMMYFUNCTION("""COMPUTED_VALUE"""),"VALID")</f>
        <v>VALID</v>
      </c>
      <c r="V306" s="1">
        <f>IFERROR(__xludf.DUMMYFUNCTION("""COMPUTED_VALUE"""),160.0)</f>
        <v>160</v>
      </c>
      <c r="W306" s="1">
        <f>IFERROR(__xludf.DUMMYFUNCTION("""COMPUTED_VALUE"""),187.0)</f>
        <v>187</v>
      </c>
      <c r="X306" s="1">
        <f>IFERROR(__xludf.DUMMYFUNCTION("""COMPUTED_VALUE"""),1088.0)</f>
        <v>1088</v>
      </c>
      <c r="Y306" s="2"/>
      <c r="Z306" s="2"/>
    </row>
    <row r="307">
      <c r="A307" s="1">
        <f>IFERROR(__xludf.DUMMYFUNCTION("""COMPUTED_VALUE"""),306.0)</f>
        <v>306</v>
      </c>
      <c r="B307" s="1">
        <f>IFERROR(__xludf.DUMMYFUNCTION("""COMPUTED_VALUE"""),10149.0)</f>
        <v>10149</v>
      </c>
      <c r="C307" s="2" t="str">
        <f>IFERROR(__xludf.DUMMYFUNCTION("""COMPUTED_VALUE"""),"Ahmad Abdul Aziz")</f>
        <v>Ahmad Abdul Aziz</v>
      </c>
      <c r="D307" s="2" t="str">
        <f>IFERROR(__xludf.DUMMYFUNCTION("""COMPUTED_VALUE"""),"10KM OVERALL M")</f>
        <v>10KM OVERALL M</v>
      </c>
      <c r="E307" s="1">
        <f>IFERROR(__xludf.DUMMYFUNCTION("""COMPUTED_VALUE"""),1.0)</f>
        <v>1</v>
      </c>
      <c r="F307" s="1" t="str">
        <f>IFERROR(__xludf.DUMMYFUNCTION("""COMPUTED_VALUE"""),"Male")</f>
        <v>Male</v>
      </c>
      <c r="G307" s="4" t="b">
        <f>IFERROR(__xludf.DUMMYFUNCTION("""COMPUTED_VALUE"""),TRUE)</f>
        <v>1</v>
      </c>
      <c r="H307" s="4" t="b">
        <f>IFERROR(__xludf.DUMMYFUNCTION("""COMPUTED_VALUE"""),TRUE)</f>
        <v>1</v>
      </c>
      <c r="I307" s="4">
        <f>IFERROR(__xludf.DUMMYFUNCTION("""COMPUTED_VALUE"""),0.24646185185185185)</f>
        <v>0.2464618519</v>
      </c>
      <c r="J307" s="4">
        <f>IFERROR(__xludf.DUMMYFUNCTION("""COMPUTED_VALUE"""),45949.26454404765)</f>
        <v>45949.26454</v>
      </c>
      <c r="K307" s="4">
        <f>IFERROR(__xludf.DUMMYFUNCTION("""COMPUTED_VALUE"""),45949.30937065931)</f>
        <v>45949.30937</v>
      </c>
      <c r="L307" s="4">
        <f>IFERROR(__xludf.DUMMYFUNCTION("""COMPUTED_VALUE"""),45949.320668224515)</f>
        <v>45949.32067</v>
      </c>
      <c r="M307" s="1" t="str">
        <f>IFERROR(__xludf.DUMMYFUNCTION("""COMPUTED_VALUE"""),"RFID")</f>
        <v>RFID</v>
      </c>
      <c r="N307" s="5">
        <f>IFERROR(__xludf.DUMMYFUNCTION("""COMPUTED_VALUE"""),0.007232879629629629)</f>
        <v>0.00723287963</v>
      </c>
      <c r="O307" s="5">
        <f>IFERROR(__xludf.DUMMYFUNCTION("""COMPUTED_VALUE"""),0.01793064351851852)</f>
        <v>0.01793064352</v>
      </c>
      <c r="P307" s="5">
        <f>IFERROR(__xludf.DUMMYFUNCTION("""COMPUTED_VALUE"""),0.004649203786398418)</f>
        <v>0.004649203786</v>
      </c>
      <c r="Q307" s="5">
        <f>IFERROR(__xludf.DUMMYFUNCTION("""COMPUTED_VALUE"""),0.00742063773148148)</f>
        <v>0.007420637731</v>
      </c>
      <c r="R307" s="4">
        <f>IFERROR(__xludf.DUMMYFUNCTION("""COMPUTED_VALUE"""),45949.074206372665)</f>
        <v>45949.07421</v>
      </c>
      <c r="S307" s="1" t="b">
        <f>IFERROR(__xludf.DUMMYFUNCTION("""COMPUTED_VALUE"""),TRUE)</f>
        <v>1</v>
      </c>
      <c r="T307" s="1" t="b">
        <f>IFERROR(__xludf.DUMMYFUNCTION("""COMPUTED_VALUE"""),FALSE)</f>
        <v>0</v>
      </c>
      <c r="U307" s="1" t="str">
        <f>IFERROR(__xludf.DUMMYFUNCTION("""COMPUTED_VALUE"""),"VALID")</f>
        <v>VALID</v>
      </c>
      <c r="V307" s="1">
        <f>IFERROR(__xludf.DUMMYFUNCTION("""COMPUTED_VALUE"""),603.0)</f>
        <v>603</v>
      </c>
      <c r="W307" s="1">
        <f>IFERROR(__xludf.DUMMYFUNCTION("""COMPUTED_VALUE"""),751.0)</f>
        <v>751</v>
      </c>
      <c r="X307" s="1">
        <f>IFERROR(__xludf.DUMMYFUNCTION("""COMPUTED_VALUE"""),1677.0)</f>
        <v>1677</v>
      </c>
      <c r="Y307" s="2"/>
      <c r="Z307" s="2"/>
    </row>
    <row r="308">
      <c r="A308" s="1">
        <f>IFERROR(__xludf.DUMMYFUNCTION("""COMPUTED_VALUE"""),307.0)</f>
        <v>307</v>
      </c>
      <c r="B308" s="1">
        <f>IFERROR(__xludf.DUMMYFUNCTION("""COMPUTED_VALUE"""),10150.0)</f>
        <v>10150</v>
      </c>
      <c r="C308" s="2" t="str">
        <f>IFERROR(__xludf.DUMMYFUNCTION("""COMPUTED_VALUE"""),"Taufiq A")</f>
        <v>Taufiq A</v>
      </c>
      <c r="D308" s="2" t="str">
        <f>IFERROR(__xludf.DUMMYFUNCTION("""COMPUTED_VALUE"""),"10KM OVERALL M")</f>
        <v>10KM OVERALL M</v>
      </c>
      <c r="E308" s="1">
        <f>IFERROR(__xludf.DUMMYFUNCTION("""COMPUTED_VALUE"""),1.0)</f>
        <v>1</v>
      </c>
      <c r="F308" s="1" t="str">
        <f>IFERROR(__xludf.DUMMYFUNCTION("""COMPUTED_VALUE"""),"Male")</f>
        <v>Male</v>
      </c>
      <c r="G308" s="4" t="b">
        <f>IFERROR(__xludf.DUMMYFUNCTION("""COMPUTED_VALUE"""),TRUE)</f>
        <v>1</v>
      </c>
      <c r="H308" s="4" t="b">
        <f>IFERROR(__xludf.DUMMYFUNCTION("""COMPUTED_VALUE"""),TRUE)</f>
        <v>1</v>
      </c>
      <c r="I308" s="4">
        <f>IFERROR(__xludf.DUMMYFUNCTION("""COMPUTED_VALUE"""),0.24646185185185185)</f>
        <v>0.2464618519</v>
      </c>
      <c r="J308" s="4">
        <f>IFERROR(__xludf.DUMMYFUNCTION("""COMPUTED_VALUE"""),45949.25574551734)</f>
        <v>45949.25575</v>
      </c>
      <c r="K308" s="4">
        <f>IFERROR(__xludf.DUMMYFUNCTION("""COMPUTED_VALUE"""),45949.279120501524)</f>
        <v>45949.27912</v>
      </c>
      <c r="L308" s="4">
        <f>IFERROR(__xludf.DUMMYFUNCTION("""COMPUTED_VALUE"""),45949.2861404666)</f>
        <v>45949.28614</v>
      </c>
      <c r="M308" s="1" t="str">
        <f>IFERROR(__xludf.DUMMYFUNCTION("""COMPUTED_VALUE"""),"RFID")</f>
        <v>RFID</v>
      </c>
      <c r="N308" s="5">
        <f>IFERROR(__xludf.DUMMYFUNCTION("""COMPUTED_VALUE"""),0.0037134675925925924)</f>
        <v>0.003713467593</v>
      </c>
      <c r="O308" s="5">
        <f>IFERROR(__xludf.DUMMYFUNCTION("""COMPUTED_VALUE"""),0.00934999537037037)</f>
        <v>0.00934999537</v>
      </c>
      <c r="P308" s="5">
        <f>IFERROR(__xludf.DUMMYFUNCTION("""COMPUTED_VALUE"""),0.002888874515508773)</f>
        <v>0.002888874516</v>
      </c>
      <c r="Q308" s="5">
        <f>IFERROR(__xludf.DUMMYFUNCTION("""COMPUTED_VALUE"""),0.003967861111111111)</f>
        <v>0.003967861111</v>
      </c>
      <c r="R308" s="4">
        <f>IFERROR(__xludf.DUMMYFUNCTION("""COMPUTED_VALUE"""),45949.03967861475)</f>
        <v>45949.03968</v>
      </c>
      <c r="S308" s="1" t="b">
        <f>IFERROR(__xludf.DUMMYFUNCTION("""COMPUTED_VALUE"""),TRUE)</f>
        <v>1</v>
      </c>
      <c r="T308" s="1" t="b">
        <f>IFERROR(__xludf.DUMMYFUNCTION("""COMPUTED_VALUE"""),FALSE)</f>
        <v>0</v>
      </c>
      <c r="U308" s="1" t="str">
        <f>IFERROR(__xludf.DUMMYFUNCTION("""COMPUTED_VALUE"""),"VALID")</f>
        <v>VALID</v>
      </c>
      <c r="V308" s="1">
        <f>IFERROR(__xludf.DUMMYFUNCTION("""COMPUTED_VALUE"""),96.0)</f>
        <v>96</v>
      </c>
      <c r="W308" s="1">
        <f>IFERROR(__xludf.DUMMYFUNCTION("""COMPUTED_VALUE"""),115.0)</f>
        <v>115</v>
      </c>
      <c r="X308" s="1">
        <f>IFERROR(__xludf.DUMMYFUNCTION("""COMPUTED_VALUE"""),965.0)</f>
        <v>965</v>
      </c>
      <c r="Y308" s="2"/>
      <c r="Z308" s="2"/>
    </row>
    <row r="309">
      <c r="A309" s="1">
        <f>IFERROR(__xludf.DUMMYFUNCTION("""COMPUTED_VALUE"""),308.0)</f>
        <v>308</v>
      </c>
      <c r="B309" s="1">
        <f>IFERROR(__xludf.DUMMYFUNCTION("""COMPUTED_VALUE"""),10151.0)</f>
        <v>10151</v>
      </c>
      <c r="C309" s="2" t="str">
        <f>IFERROR(__xludf.DUMMYFUNCTION("""COMPUTED_VALUE"""),"Fahmi Arif")</f>
        <v>Fahmi Arif</v>
      </c>
      <c r="D309" s="2" t="str">
        <f>IFERROR(__xludf.DUMMYFUNCTION("""COMPUTED_VALUE"""),"10KM OVERALL M")</f>
        <v>10KM OVERALL M</v>
      </c>
      <c r="E309" s="1">
        <f>IFERROR(__xludf.DUMMYFUNCTION("""COMPUTED_VALUE"""),1.0)</f>
        <v>1</v>
      </c>
      <c r="F309" s="1" t="str">
        <f>IFERROR(__xludf.DUMMYFUNCTION("""COMPUTED_VALUE"""),"Male")</f>
        <v>Male</v>
      </c>
      <c r="G309" s="4" t="b">
        <f>IFERROR(__xludf.DUMMYFUNCTION("""COMPUTED_VALUE"""),TRUE)</f>
        <v>1</v>
      </c>
      <c r="H309" s="4" t="b">
        <f>IFERROR(__xludf.DUMMYFUNCTION("""COMPUTED_VALUE"""),TRUE)</f>
        <v>1</v>
      </c>
      <c r="I309" s="4">
        <f>IFERROR(__xludf.DUMMYFUNCTION("""COMPUTED_VALUE"""),0.24646185185185185)</f>
        <v>0.2464618519</v>
      </c>
      <c r="J309" s="4">
        <f>IFERROR(__xludf.DUMMYFUNCTION("""COMPUTED_VALUE"""),45949.2564850793)</f>
        <v>45949.25649</v>
      </c>
      <c r="K309" s="4">
        <f>IFERROR(__xludf.DUMMYFUNCTION("""COMPUTED_VALUE"""),45949.28319338106)</f>
        <v>45949.28319</v>
      </c>
      <c r="L309" s="4">
        <f>IFERROR(__xludf.DUMMYFUNCTION("""COMPUTED_VALUE"""),45949.29069603566)</f>
        <v>45949.2907</v>
      </c>
      <c r="M309" s="1" t="str">
        <f>IFERROR(__xludf.DUMMYFUNCTION("""COMPUTED_VALUE"""),"RFID")</f>
        <v>RFID</v>
      </c>
      <c r="N309" s="5">
        <f>IFERROR(__xludf.DUMMYFUNCTION("""COMPUTED_VALUE"""),0.004009291666666666)</f>
        <v>0.004009291667</v>
      </c>
      <c r="O309" s="5">
        <f>IFERROR(__xludf.DUMMYFUNCTION("""COMPUTED_VALUE"""),0.010683319444444447)</f>
        <v>0.01068331944</v>
      </c>
      <c r="P309" s="5">
        <f>IFERROR(__xludf.DUMMYFUNCTION("""COMPUTED_VALUE"""),0.0030875121826093276)</f>
        <v>0.003087512183</v>
      </c>
      <c r="Q309" s="5">
        <f>IFERROR(__xludf.DUMMYFUNCTION("""COMPUTED_VALUE"""),0.0044234178240740735)</f>
        <v>0.004423417824</v>
      </c>
      <c r="R309" s="4">
        <f>IFERROR(__xludf.DUMMYFUNCTION("""COMPUTED_VALUE"""),45949.04423418381)</f>
        <v>45949.04423</v>
      </c>
      <c r="S309" s="1" t="b">
        <f>IFERROR(__xludf.DUMMYFUNCTION("""COMPUTED_VALUE"""),TRUE)</f>
        <v>1</v>
      </c>
      <c r="T309" s="1" t="b">
        <f>IFERROR(__xludf.DUMMYFUNCTION("""COMPUTED_VALUE"""),FALSE)</f>
        <v>0</v>
      </c>
      <c r="U309" s="1" t="str">
        <f>IFERROR(__xludf.DUMMYFUNCTION("""COMPUTED_VALUE"""),"VALID")</f>
        <v>VALID</v>
      </c>
      <c r="V309" s="1">
        <f>IFERROR(__xludf.DUMMYFUNCTION("""COMPUTED_VALUE"""),193.0)</f>
        <v>193</v>
      </c>
      <c r="W309" s="1">
        <f>IFERROR(__xludf.DUMMYFUNCTION("""COMPUTED_VALUE"""),232.0)</f>
        <v>232</v>
      </c>
      <c r="X309" s="1">
        <f>IFERROR(__xludf.DUMMYFUNCTION("""COMPUTED_VALUE"""),1158.0)</f>
        <v>1158</v>
      </c>
      <c r="Y309" s="2"/>
      <c r="Z309" s="2"/>
    </row>
    <row r="310">
      <c r="A310" s="1">
        <f>IFERROR(__xludf.DUMMYFUNCTION("""COMPUTED_VALUE"""),309.0)</f>
        <v>309</v>
      </c>
      <c r="B310" s="1">
        <f>IFERROR(__xludf.DUMMYFUNCTION("""COMPUTED_VALUE"""),10153.0)</f>
        <v>10153</v>
      </c>
      <c r="C310" s="2" t="str">
        <f>IFERROR(__xludf.DUMMYFUNCTION("""COMPUTED_VALUE"""),"Muhammad Haddad")</f>
        <v>Muhammad Haddad</v>
      </c>
      <c r="D310" s="2" t="str">
        <f>IFERROR(__xludf.DUMMYFUNCTION("""COMPUTED_VALUE"""),"10KM OVERALL M")</f>
        <v>10KM OVERALL M</v>
      </c>
      <c r="E310" s="1">
        <f>IFERROR(__xludf.DUMMYFUNCTION("""COMPUTED_VALUE"""),1.0)</f>
        <v>1</v>
      </c>
      <c r="F310" s="1" t="str">
        <f>IFERROR(__xludf.DUMMYFUNCTION("""COMPUTED_VALUE"""),"Male")</f>
        <v>Male</v>
      </c>
      <c r="G310" s="4" t="b">
        <f>IFERROR(__xludf.DUMMYFUNCTION("""COMPUTED_VALUE"""),TRUE)</f>
        <v>1</v>
      </c>
      <c r="H310" s="4" t="b">
        <f>IFERROR(__xludf.DUMMYFUNCTION("""COMPUTED_VALUE"""),FALSE)</f>
        <v>0</v>
      </c>
      <c r="I310" s="4">
        <f>IFERROR(__xludf.DUMMYFUNCTION("""COMPUTED_VALUE"""),0.24646185185185185)</f>
        <v>0.2464618519</v>
      </c>
      <c r="J310" s="4">
        <f>IFERROR(__xludf.DUMMYFUNCTION("""COMPUTED_VALUE"""),45949.25825241156)</f>
        <v>45949.25825</v>
      </c>
      <c r="K310" s="4">
        <f>IFERROR(__xludf.DUMMYFUNCTION("""COMPUTED_VALUE"""),45949.28575240724)</f>
        <v>45949.28575</v>
      </c>
      <c r="L310" s="4">
        <f>IFERROR(__xludf.DUMMYFUNCTION("""COMPUTED_VALUE"""),45949.29418901078)</f>
        <v>45949.29419</v>
      </c>
      <c r="M310" s="1" t="str">
        <f>IFERROR(__xludf.DUMMYFUNCTION("""COMPUTED_VALUE"""),"RFID")</f>
        <v>RFID</v>
      </c>
      <c r="N310" s="5">
        <f>IFERROR(__xludf.DUMMYFUNCTION("""COMPUTED_VALUE"""),0.0047162222222222215)</f>
        <v>0.004716222222</v>
      </c>
      <c r="O310" s="5">
        <f>IFERROR(__xludf.DUMMYFUNCTION("""COMPUTED_VALUE"""),0.011)</f>
        <v>0.011</v>
      </c>
      <c r="P310" s="5">
        <f>IFERROR(__xludf.DUMMYFUNCTION("""COMPUTED_VALUE"""),0.0034718533104511717)</f>
        <v>0.00347185331</v>
      </c>
      <c r="Q310" s="5">
        <f>IFERROR(__xludf.DUMMYFUNCTION("""COMPUTED_VALUE"""),0.004772716435185185)</f>
        <v>0.004772716435</v>
      </c>
      <c r="R310" s="4">
        <f>IFERROR(__xludf.DUMMYFUNCTION("""COMPUTED_VALUE"""),45949.04772715893)</f>
        <v>45949.04773</v>
      </c>
      <c r="S310" s="1" t="b">
        <f>IFERROR(__xludf.DUMMYFUNCTION("""COMPUTED_VALUE"""),TRUE)</f>
        <v>1</v>
      </c>
      <c r="T310" s="1" t="b">
        <f>IFERROR(__xludf.DUMMYFUNCTION("""COMPUTED_VALUE"""),FALSE)</f>
        <v>0</v>
      </c>
      <c r="U310" s="1" t="str">
        <f>IFERROR(__xludf.DUMMYFUNCTION("""COMPUTED_VALUE"""),"VALID")</f>
        <v>VALID</v>
      </c>
      <c r="V310" s="1">
        <f>IFERROR(__xludf.DUMMYFUNCTION("""COMPUTED_VALUE"""),281.0)</f>
        <v>281</v>
      </c>
      <c r="W310" s="1">
        <f>IFERROR(__xludf.DUMMYFUNCTION("""COMPUTED_VALUE"""),333.0)</f>
        <v>333</v>
      </c>
      <c r="X310" s="1">
        <f>IFERROR(__xludf.DUMMYFUNCTION("""COMPUTED_VALUE"""),1295.0)</f>
        <v>1295</v>
      </c>
      <c r="Y310" s="2"/>
      <c r="Z310" s="2"/>
    </row>
    <row r="311">
      <c r="A311" s="1">
        <f>IFERROR(__xludf.DUMMYFUNCTION("""COMPUTED_VALUE"""),310.0)</f>
        <v>310</v>
      </c>
      <c r="B311" s="1">
        <f>IFERROR(__xludf.DUMMYFUNCTION("""COMPUTED_VALUE"""),10154.0)</f>
        <v>10154</v>
      </c>
      <c r="C311" s="2" t="str">
        <f>IFERROR(__xludf.DUMMYFUNCTION("""COMPUTED_VALUE"""),"Hilmi")</f>
        <v>Hilmi</v>
      </c>
      <c r="D311" s="2" t="str">
        <f>IFERROR(__xludf.DUMMYFUNCTION("""COMPUTED_VALUE"""),"10KM OVERALL M")</f>
        <v>10KM OVERALL M</v>
      </c>
      <c r="E311" s="1">
        <f>IFERROR(__xludf.DUMMYFUNCTION("""COMPUTED_VALUE"""),1.0)</f>
        <v>1</v>
      </c>
      <c r="F311" s="1" t="str">
        <f>IFERROR(__xludf.DUMMYFUNCTION("""COMPUTED_VALUE"""),"Male")</f>
        <v>Male</v>
      </c>
      <c r="G311" s="4" t="b">
        <f>IFERROR(__xludf.DUMMYFUNCTION("""COMPUTED_VALUE"""),TRUE)</f>
        <v>1</v>
      </c>
      <c r="H311" s="4" t="b">
        <f>IFERROR(__xludf.DUMMYFUNCTION("""COMPUTED_VALUE"""),TRUE)</f>
        <v>1</v>
      </c>
      <c r="I311" s="4">
        <f>IFERROR(__xludf.DUMMYFUNCTION("""COMPUTED_VALUE"""),0.24646185185185185)</f>
        <v>0.2464618519</v>
      </c>
      <c r="J311" s="4">
        <f>IFERROR(__xludf.DUMMYFUNCTION("""COMPUTED_VALUE"""),45949.257002405124)</f>
        <v>45949.257</v>
      </c>
      <c r="K311" s="4">
        <f>IFERROR(__xludf.DUMMYFUNCTION("""COMPUTED_VALUE"""),45949.28399893718)</f>
        <v>45949.284</v>
      </c>
      <c r="L311" s="4">
        <f>IFERROR(__xludf.DUMMYFUNCTION("""COMPUTED_VALUE"""),45949.29135573002)</f>
        <v>45949.29136</v>
      </c>
      <c r="M311" s="1" t="str">
        <f>IFERROR(__xludf.DUMMYFUNCTION("""COMPUTED_VALUE"""),"RFID")</f>
        <v>RFID</v>
      </c>
      <c r="N311" s="5">
        <f>IFERROR(__xludf.DUMMYFUNCTION("""COMPUTED_VALUE"""),0.004216222222222222)</f>
        <v>0.004216222222</v>
      </c>
      <c r="O311" s="5">
        <f>IFERROR(__xludf.DUMMYFUNCTION("""COMPUTED_VALUE"""),0.010798611111111111)</f>
        <v>0.01079861111</v>
      </c>
      <c r="P311" s="5">
        <f>IFERROR(__xludf.DUMMYFUNCTION("""COMPUTED_VALUE"""),0.003027486765911465)</f>
        <v>0.003027486766</v>
      </c>
      <c r="Q311" s="5">
        <f>IFERROR(__xludf.DUMMYFUNCTION("""COMPUTED_VALUE"""),0.004489387731481482)</f>
        <v>0.004489387731</v>
      </c>
      <c r="R311" s="4">
        <f>IFERROR(__xludf.DUMMYFUNCTION("""COMPUTED_VALUE"""),45949.04489387817)</f>
        <v>45949.04489</v>
      </c>
      <c r="S311" s="1" t="b">
        <f>IFERROR(__xludf.DUMMYFUNCTION("""COMPUTED_VALUE"""),TRUE)</f>
        <v>1</v>
      </c>
      <c r="T311" s="1" t="b">
        <f>IFERROR(__xludf.DUMMYFUNCTION("""COMPUTED_VALUE"""),FALSE)</f>
        <v>0</v>
      </c>
      <c r="U311" s="1" t="str">
        <f>IFERROR(__xludf.DUMMYFUNCTION("""COMPUTED_VALUE"""),"VALID")</f>
        <v>VALID</v>
      </c>
      <c r="V311" s="1">
        <f>IFERROR(__xludf.DUMMYFUNCTION("""COMPUTED_VALUE"""),214.0)</f>
        <v>214</v>
      </c>
      <c r="W311" s="1">
        <f>IFERROR(__xludf.DUMMYFUNCTION("""COMPUTED_VALUE"""),258.0)</f>
        <v>258</v>
      </c>
      <c r="X311" s="1">
        <f>IFERROR(__xludf.DUMMYFUNCTION("""COMPUTED_VALUE"""),1195.0)</f>
        <v>1195</v>
      </c>
      <c r="Y311" s="2"/>
      <c r="Z311" s="2"/>
    </row>
    <row r="312">
      <c r="A312" s="1">
        <f>IFERROR(__xludf.DUMMYFUNCTION("""COMPUTED_VALUE"""),311.0)</f>
        <v>311</v>
      </c>
      <c r="B312" s="1">
        <f>IFERROR(__xludf.DUMMYFUNCTION("""COMPUTED_VALUE"""),10156.0)</f>
        <v>10156</v>
      </c>
      <c r="C312" s="2" t="str">
        <f>IFERROR(__xludf.DUMMYFUNCTION("""COMPUTED_VALUE"""),"Bustanul")</f>
        <v>Bustanul</v>
      </c>
      <c r="D312" s="2" t="str">
        <f>IFERROR(__xludf.DUMMYFUNCTION("""COMPUTED_VALUE"""),"10KM OVERALL M")</f>
        <v>10KM OVERALL M</v>
      </c>
      <c r="E312" s="1">
        <f>IFERROR(__xludf.DUMMYFUNCTION("""COMPUTED_VALUE"""),1.0)</f>
        <v>1</v>
      </c>
      <c r="F312" s="1" t="str">
        <f>IFERROR(__xludf.DUMMYFUNCTION("""COMPUTED_VALUE"""),"Male")</f>
        <v>Male</v>
      </c>
      <c r="G312" s="4" t="b">
        <f>IFERROR(__xludf.DUMMYFUNCTION("""COMPUTED_VALUE"""),TRUE)</f>
        <v>1</v>
      </c>
      <c r="H312" s="4" t="b">
        <f>IFERROR(__xludf.DUMMYFUNCTION("""COMPUTED_VALUE"""),TRUE)</f>
        <v>1</v>
      </c>
      <c r="I312" s="4">
        <f>IFERROR(__xludf.DUMMYFUNCTION("""COMPUTED_VALUE"""),0.24646185185185185)</f>
        <v>0.2464618519</v>
      </c>
      <c r="J312" s="4">
        <f>IFERROR(__xludf.DUMMYFUNCTION("""COMPUTED_VALUE"""),45949.257130946746)</f>
        <v>45949.25713</v>
      </c>
      <c r="K312" s="4">
        <f>IFERROR(__xludf.DUMMYFUNCTION("""COMPUTED_VALUE"""),45949.29259639261)</f>
        <v>45949.2926</v>
      </c>
      <c r="L312" s="4">
        <f>IFERROR(__xludf.DUMMYFUNCTION("""COMPUTED_VALUE"""),45949.30315434503)</f>
        <v>45949.30315</v>
      </c>
      <c r="M312" s="1" t="str">
        <f>IFERROR(__xludf.DUMMYFUNCTION("""COMPUTED_VALUE"""),"RFID")</f>
        <v>RFID</v>
      </c>
      <c r="N312" s="5">
        <f>IFERROR(__xludf.DUMMYFUNCTION("""COMPUTED_VALUE"""),0.0042676388888888885)</f>
        <v>0.004267638889</v>
      </c>
      <c r="O312" s="5">
        <f>IFERROR(__xludf.DUMMYFUNCTION("""COMPUTED_VALUE"""),0.014186180555555556)</f>
        <v>0.01418618056</v>
      </c>
      <c r="P312" s="5">
        <f>IFERROR(__xludf.DUMMYFUNCTION("""COMPUTED_VALUE"""),0.004344836385597747)</f>
        <v>0.004344836386</v>
      </c>
      <c r="Q312" s="5">
        <f>IFERROR(__xludf.DUMMYFUNCTION("""COMPUTED_VALUE"""),0.005669248842592593)</f>
        <v>0.005669248843</v>
      </c>
      <c r="R312" s="4">
        <f>IFERROR(__xludf.DUMMYFUNCTION("""COMPUTED_VALUE"""),45949.05669249318)</f>
        <v>45949.05669</v>
      </c>
      <c r="S312" s="1" t="b">
        <f>IFERROR(__xludf.DUMMYFUNCTION("""COMPUTED_VALUE"""),TRUE)</f>
        <v>1</v>
      </c>
      <c r="T312" s="1" t="b">
        <f>IFERROR(__xludf.DUMMYFUNCTION("""COMPUTED_VALUE"""),FALSE)</f>
        <v>0</v>
      </c>
      <c r="U312" s="1" t="str">
        <f>IFERROR(__xludf.DUMMYFUNCTION("""COMPUTED_VALUE"""),"VALID")</f>
        <v>VALID</v>
      </c>
      <c r="V312" s="1">
        <f>IFERROR(__xludf.DUMMYFUNCTION("""COMPUTED_VALUE"""),493.0)</f>
        <v>493</v>
      </c>
      <c r="W312" s="1">
        <f>IFERROR(__xludf.DUMMYFUNCTION("""COMPUTED_VALUE"""),591.0)</f>
        <v>591</v>
      </c>
      <c r="X312" s="1">
        <f>IFERROR(__xludf.DUMMYFUNCTION("""COMPUTED_VALUE"""),1561.0)</f>
        <v>1561</v>
      </c>
      <c r="Y312" s="2"/>
      <c r="Z312" s="2"/>
    </row>
    <row r="313">
      <c r="A313" s="1">
        <f>IFERROR(__xludf.DUMMYFUNCTION("""COMPUTED_VALUE"""),312.0)</f>
        <v>312</v>
      </c>
      <c r="B313" s="1">
        <f>IFERROR(__xludf.DUMMYFUNCTION("""COMPUTED_VALUE"""),10157.0)</f>
        <v>10157</v>
      </c>
      <c r="C313" s="2" t="str">
        <f>IFERROR(__xludf.DUMMYFUNCTION("""COMPUTED_VALUE"""),"SEG4RA")</f>
        <v>SEG4RA</v>
      </c>
      <c r="D313" s="2" t="str">
        <f>IFERROR(__xludf.DUMMYFUNCTION("""COMPUTED_VALUE"""),"10KM OVERALL M")</f>
        <v>10KM OVERALL M</v>
      </c>
      <c r="E313" s="1">
        <f>IFERROR(__xludf.DUMMYFUNCTION("""COMPUTED_VALUE"""),1.0)</f>
        <v>1</v>
      </c>
      <c r="F313" s="1" t="str">
        <f>IFERROR(__xludf.DUMMYFUNCTION("""COMPUTED_VALUE"""),"Male")</f>
        <v>Male</v>
      </c>
      <c r="G313" s="4" t="b">
        <f>IFERROR(__xludf.DUMMYFUNCTION("""COMPUTED_VALUE"""),TRUE)</f>
        <v>1</v>
      </c>
      <c r="H313" s="4" t="b">
        <f>IFERROR(__xludf.DUMMYFUNCTION("""COMPUTED_VALUE"""),FALSE)</f>
        <v>0</v>
      </c>
      <c r="I313" s="4">
        <f>IFERROR(__xludf.DUMMYFUNCTION("""COMPUTED_VALUE"""),0.24646185185185185)</f>
        <v>0.2464618519</v>
      </c>
      <c r="J313" s="4">
        <f>IFERROR(__xludf.DUMMYFUNCTION("""COMPUTED_VALUE"""),45949.25889536219)</f>
        <v>45949.2589</v>
      </c>
      <c r="K313" s="4">
        <f>IFERROR(__xludf.DUMMYFUNCTION("""COMPUTED_VALUE"""),45949.291697036475)</f>
        <v>45949.2917</v>
      </c>
      <c r="L313" s="4">
        <f>IFERROR(__xludf.DUMMYFUNCTION("""COMPUTED_VALUE"""),45949.30060225905)</f>
        <v>45949.3006</v>
      </c>
      <c r="M313" s="1" t="str">
        <f>IFERROR(__xludf.DUMMYFUNCTION("""COMPUTED_VALUE"""),"RFID")</f>
        <v>RFID</v>
      </c>
      <c r="N313" s="5">
        <f>IFERROR(__xludf.DUMMYFUNCTION("""COMPUTED_VALUE"""),0.004973402777777778)</f>
        <v>0.004973402778</v>
      </c>
      <c r="O313" s="5">
        <f>IFERROR(__xludf.DUMMYFUNCTION("""COMPUTED_VALUE"""),0.013120671296296297)</f>
        <v>0.0131206713</v>
      </c>
      <c r="P313" s="5">
        <f>IFERROR(__xludf.DUMMYFUNCTION("""COMPUTED_VALUE"""),0.0036647006477192887)</f>
        <v>0.003664700648</v>
      </c>
      <c r="Q313" s="5">
        <f>IFERROR(__xludf.DUMMYFUNCTION("""COMPUTED_VALUE"""),0.005414040509259259)</f>
        <v>0.005414040509</v>
      </c>
      <c r="R313" s="4">
        <f>IFERROR(__xludf.DUMMYFUNCTION("""COMPUTED_VALUE"""),45949.0541404072)</f>
        <v>45949.05414</v>
      </c>
      <c r="S313" s="1" t="b">
        <f>IFERROR(__xludf.DUMMYFUNCTION("""COMPUTED_VALUE"""),TRUE)</f>
        <v>1</v>
      </c>
      <c r="T313" s="1" t="b">
        <f>IFERROR(__xludf.DUMMYFUNCTION("""COMPUTED_VALUE"""),FALSE)</f>
        <v>0</v>
      </c>
      <c r="U313" s="1" t="str">
        <f>IFERROR(__xludf.DUMMYFUNCTION("""COMPUTED_VALUE"""),"VALID")</f>
        <v>VALID</v>
      </c>
      <c r="V313" s="1">
        <f>IFERROR(__xludf.DUMMYFUNCTION("""COMPUTED_VALUE"""),429.0)</f>
        <v>429</v>
      </c>
      <c r="W313" s="1">
        <f>IFERROR(__xludf.DUMMYFUNCTION("""COMPUTED_VALUE"""),511.0)</f>
        <v>511</v>
      </c>
      <c r="X313" s="1">
        <f>IFERROR(__xludf.DUMMYFUNCTION("""COMPUTED_VALUE"""),1489.0)</f>
        <v>1489</v>
      </c>
      <c r="Y313" s="2"/>
      <c r="Z313" s="2"/>
    </row>
    <row r="314">
      <c r="A314" s="1">
        <f>IFERROR(__xludf.DUMMYFUNCTION("""COMPUTED_VALUE"""),313.0)</f>
        <v>313</v>
      </c>
      <c r="B314" s="1">
        <f>IFERROR(__xludf.DUMMYFUNCTION("""COMPUTED_VALUE"""),10158.0)</f>
        <v>10158</v>
      </c>
      <c r="C314" s="2" t="str">
        <f>IFERROR(__xludf.DUMMYFUNCTION("""COMPUTED_VALUE"""),"bagus")</f>
        <v>bagus</v>
      </c>
      <c r="D314" s="2" t="str">
        <f>IFERROR(__xludf.DUMMYFUNCTION("""COMPUTED_VALUE"""),"10KM OVERALL M")</f>
        <v>10KM OVERALL M</v>
      </c>
      <c r="E314" s="1">
        <f>IFERROR(__xludf.DUMMYFUNCTION("""COMPUTED_VALUE"""),1.0)</f>
        <v>1</v>
      </c>
      <c r="F314" s="1" t="str">
        <f>IFERROR(__xludf.DUMMYFUNCTION("""COMPUTED_VALUE"""),"Male")</f>
        <v>Male</v>
      </c>
      <c r="G314" s="4" t="b">
        <f>IFERROR(__xludf.DUMMYFUNCTION("""COMPUTED_VALUE"""),TRUE)</f>
        <v>1</v>
      </c>
      <c r="H314" s="4" t="b">
        <f>IFERROR(__xludf.DUMMYFUNCTION("""COMPUTED_VALUE"""),FALSE)</f>
        <v>0</v>
      </c>
      <c r="I314" s="4">
        <f>IFERROR(__xludf.DUMMYFUNCTION("""COMPUTED_VALUE"""),0.24646185185185185)</f>
        <v>0.2464618519</v>
      </c>
      <c r="J314" s="4">
        <f>IFERROR(__xludf.DUMMYFUNCTION("""COMPUTED_VALUE"""),45949.25645724473)</f>
        <v>45949.25646</v>
      </c>
      <c r="K314" s="4">
        <f>IFERROR(__xludf.DUMMYFUNCTION("""COMPUTED_VALUE"""),45949.28122464937)</f>
        <v>45949.28122</v>
      </c>
      <c r="L314" s="4">
        <f>IFERROR(__xludf.DUMMYFUNCTION("""COMPUTED_VALUE"""),45949.28815783035)</f>
        <v>45949.28816</v>
      </c>
      <c r="M314" s="1" t="str">
        <f>IFERROR(__xludf.DUMMYFUNCTION("""COMPUTED_VALUE"""),"RFID")</f>
        <v>RFID</v>
      </c>
      <c r="N314" s="5">
        <f>IFERROR(__xludf.DUMMYFUNCTION("""COMPUTED_VALUE"""),0.003998157407407407)</f>
        <v>0.003998157407</v>
      </c>
      <c r="O314" s="5">
        <f>IFERROR(__xludf.DUMMYFUNCTION("""COMPUTED_VALUE"""),0.009906962962962963)</f>
        <v>0.009906962963</v>
      </c>
      <c r="P314" s="5">
        <f>IFERROR(__xludf.DUMMYFUNCTION("""COMPUTED_VALUE"""),0.002853160896750527)</f>
        <v>0.002853160897</v>
      </c>
      <c r="Q314" s="5">
        <f>IFERROR(__xludf.DUMMYFUNCTION("""COMPUTED_VALUE"""),0.004169598379629629)</f>
        <v>0.00416959838</v>
      </c>
      <c r="R314" s="4">
        <f>IFERROR(__xludf.DUMMYFUNCTION("""COMPUTED_VALUE"""),45949.0416959785)</f>
        <v>45949.0417</v>
      </c>
      <c r="S314" s="1" t="b">
        <f>IFERROR(__xludf.DUMMYFUNCTION("""COMPUTED_VALUE"""),TRUE)</f>
        <v>1</v>
      </c>
      <c r="T314" s="1" t="b">
        <f>IFERROR(__xludf.DUMMYFUNCTION("""COMPUTED_VALUE"""),FALSE)</f>
        <v>0</v>
      </c>
      <c r="U314" s="1" t="str">
        <f>IFERROR(__xludf.DUMMYFUNCTION("""COMPUTED_VALUE"""),"VALID")</f>
        <v>VALID</v>
      </c>
      <c r="V314" s="1">
        <f>IFERROR(__xludf.DUMMYFUNCTION("""COMPUTED_VALUE"""),137.0)</f>
        <v>137</v>
      </c>
      <c r="W314" s="1">
        <f>IFERROR(__xludf.DUMMYFUNCTION("""COMPUTED_VALUE"""),162.0)</f>
        <v>162</v>
      </c>
      <c r="X314" s="1">
        <f>IFERROR(__xludf.DUMMYFUNCTION("""COMPUTED_VALUE"""),1054.0)</f>
        <v>1054</v>
      </c>
      <c r="Y314" s="2"/>
      <c r="Z314" s="2"/>
    </row>
    <row r="315">
      <c r="A315" s="1">
        <f>IFERROR(__xludf.DUMMYFUNCTION("""COMPUTED_VALUE"""),314.0)</f>
        <v>314</v>
      </c>
      <c r="B315" s="1">
        <f>IFERROR(__xludf.DUMMYFUNCTION("""COMPUTED_VALUE"""),10159.0)</f>
        <v>10159</v>
      </c>
      <c r="C315" s="2" t="str">
        <f>IFERROR(__xludf.DUMMYFUNCTION("""COMPUTED_VALUE"""),"hendri")</f>
        <v>hendri</v>
      </c>
      <c r="D315" s="2" t="str">
        <f>IFERROR(__xludf.DUMMYFUNCTION("""COMPUTED_VALUE"""),"10KM OVERALL M")</f>
        <v>10KM OVERALL M</v>
      </c>
      <c r="E315" s="1">
        <f>IFERROR(__xludf.DUMMYFUNCTION("""COMPUTED_VALUE"""),1.0)</f>
        <v>1</v>
      </c>
      <c r="F315" s="1" t="str">
        <f>IFERROR(__xludf.DUMMYFUNCTION("""COMPUTED_VALUE"""),"Male")</f>
        <v>Male</v>
      </c>
      <c r="G315" s="4" t="str">
        <f>IFERROR(__xludf.DUMMYFUNCTION("""COMPUTED_VALUE"""),"")</f>
        <v/>
      </c>
      <c r="H315" s="4" t="b">
        <f>IFERROR(__xludf.DUMMYFUNCTION("""COMPUTED_VALUE"""),TRUE)</f>
        <v>1</v>
      </c>
      <c r="I315" s="4">
        <f>IFERROR(__xludf.DUMMYFUNCTION("""COMPUTED_VALUE"""),0.24646185185185185)</f>
        <v>0.2464618519</v>
      </c>
      <c r="J315" s="4">
        <f>IFERROR(__xludf.DUMMYFUNCTION("""COMPUTED_VALUE"""),45949.25440545441)</f>
        <v>45949.25441</v>
      </c>
      <c r="K315" s="4">
        <f>IFERROR(__xludf.DUMMYFUNCTION("""COMPUTED_VALUE"""),45949.275667145455)</f>
        <v>45949.27567</v>
      </c>
      <c r="L315" s="4">
        <f>IFERROR(__xludf.DUMMYFUNCTION("""COMPUTED_VALUE"""),45949.28162656989)</f>
        <v>45949.28163</v>
      </c>
      <c r="M315" s="1" t="str">
        <f>IFERROR(__xludf.DUMMYFUNCTION("""COMPUTED_VALUE"""),"RFID")</f>
        <v>RFID</v>
      </c>
      <c r="N315" s="5">
        <f>IFERROR(__xludf.DUMMYFUNCTION("""COMPUTED_VALUE"""),0.003177439814814815)</f>
        <v>0.003177439815</v>
      </c>
      <c r="O315" s="5">
        <f>IFERROR(__xludf.DUMMYFUNCTION("""COMPUTED_VALUE"""),0.008504675925925926)</f>
        <v>0.008504675926</v>
      </c>
      <c r="P315" s="5">
        <f>IFERROR(__xludf.DUMMYFUNCTION("""COMPUTED_VALUE"""),0.002452438040166986)</f>
        <v>0.00245243804</v>
      </c>
      <c r="Q315" s="5">
        <f>IFERROR(__xludf.DUMMYFUNCTION("""COMPUTED_VALUE"""),0.003516472222222222)</f>
        <v>0.003516472222</v>
      </c>
      <c r="R315" s="4">
        <f>IFERROR(__xludf.DUMMYFUNCTION("""COMPUTED_VALUE"""),45949.03516471804)</f>
        <v>45949.03516</v>
      </c>
      <c r="S315" s="1" t="b">
        <f>IFERROR(__xludf.DUMMYFUNCTION("""COMPUTED_VALUE"""),TRUE)</f>
        <v>1</v>
      </c>
      <c r="T315" s="1" t="b">
        <f>IFERROR(__xludf.DUMMYFUNCTION("""COMPUTED_VALUE"""),FALSE)</f>
        <v>0</v>
      </c>
      <c r="U315" s="1" t="str">
        <f>IFERROR(__xludf.DUMMYFUNCTION("""COMPUTED_VALUE"""),"VALID")</f>
        <v>VALID</v>
      </c>
      <c r="V315" s="1">
        <f>IFERROR(__xludf.DUMMYFUNCTION("""COMPUTED_VALUE"""),34.0)</f>
        <v>34</v>
      </c>
      <c r="W315" s="1">
        <f>IFERROR(__xludf.DUMMYFUNCTION("""COMPUTED_VALUE"""),42.0)</f>
        <v>42</v>
      </c>
      <c r="X315" s="1">
        <f>IFERROR(__xludf.DUMMYFUNCTION("""COMPUTED_VALUE"""),732.0)</f>
        <v>732</v>
      </c>
      <c r="Y315" s="2"/>
      <c r="Z315" s="2"/>
    </row>
    <row r="316">
      <c r="A316" s="1">
        <f>IFERROR(__xludf.DUMMYFUNCTION("""COMPUTED_VALUE"""),315.0)</f>
        <v>315</v>
      </c>
      <c r="B316" s="1">
        <f>IFERROR(__xludf.DUMMYFUNCTION("""COMPUTED_VALUE"""),10160.0)</f>
        <v>10160</v>
      </c>
      <c r="C316" s="2" t="str">
        <f>IFERROR(__xludf.DUMMYFUNCTION("""COMPUTED_VALUE"""),"APIP")</f>
        <v>APIP</v>
      </c>
      <c r="D316" s="2" t="str">
        <f>IFERROR(__xludf.DUMMYFUNCTION("""COMPUTED_VALUE"""),"10KM OVERALL M")</f>
        <v>10KM OVERALL M</v>
      </c>
      <c r="E316" s="1">
        <f>IFERROR(__xludf.DUMMYFUNCTION("""COMPUTED_VALUE"""),1.0)</f>
        <v>1</v>
      </c>
      <c r="F316" s="1" t="str">
        <f>IFERROR(__xludf.DUMMYFUNCTION("""COMPUTED_VALUE"""),"Male")</f>
        <v>Male</v>
      </c>
      <c r="G316" s="4" t="b">
        <f>IFERROR(__xludf.DUMMYFUNCTION("""COMPUTED_VALUE"""),TRUE)</f>
        <v>1</v>
      </c>
      <c r="H316" s="4" t="b">
        <f>IFERROR(__xludf.DUMMYFUNCTION("""COMPUTED_VALUE"""),TRUE)</f>
        <v>1</v>
      </c>
      <c r="I316" s="4">
        <f>IFERROR(__xludf.DUMMYFUNCTION("""COMPUTED_VALUE"""),0.24646185185185185)</f>
        <v>0.2464618519</v>
      </c>
      <c r="J316" s="4">
        <f>IFERROR(__xludf.DUMMYFUNCTION("""COMPUTED_VALUE"""),45949.25529145014)</f>
        <v>45949.25529</v>
      </c>
      <c r="K316" s="4">
        <f>IFERROR(__xludf.DUMMYFUNCTION("""COMPUTED_VALUE"""),45949.28118297342)</f>
        <v>45949.28118</v>
      </c>
      <c r="L316" s="4">
        <f>IFERROR(__xludf.DUMMYFUNCTION("""COMPUTED_VALUE"""),45949.28841475919)</f>
        <v>45949.28841</v>
      </c>
      <c r="M316" s="1" t="str">
        <f>IFERROR(__xludf.DUMMYFUNCTION("""COMPUTED_VALUE"""),"RFID")</f>
        <v>RFID</v>
      </c>
      <c r="N316" s="5">
        <f>IFERROR(__xludf.DUMMYFUNCTION("""COMPUTED_VALUE"""),0.003531837962962963)</f>
        <v>0.003531837963</v>
      </c>
      <c r="O316" s="5">
        <f>IFERROR(__xludf.DUMMYFUNCTION("""COMPUTED_VALUE"""),0.01035661111111111)</f>
        <v>0.01035661111</v>
      </c>
      <c r="P316" s="5">
        <f>IFERROR(__xludf.DUMMYFUNCTION("""COMPUTED_VALUE"""),0.0029760435268612493)</f>
        <v>0.002976043527</v>
      </c>
      <c r="Q316" s="5">
        <f>IFERROR(__xludf.DUMMYFUNCTION("""COMPUTED_VALUE"""),0.004195290509259259)</f>
        <v>0.004195290509</v>
      </c>
      <c r="R316" s="4">
        <f>IFERROR(__xludf.DUMMYFUNCTION("""COMPUTED_VALUE"""),45949.04195290734)</f>
        <v>45949.04195</v>
      </c>
      <c r="S316" s="1" t="b">
        <f>IFERROR(__xludf.DUMMYFUNCTION("""COMPUTED_VALUE"""),TRUE)</f>
        <v>1</v>
      </c>
      <c r="T316" s="1" t="b">
        <f>IFERROR(__xludf.DUMMYFUNCTION("""COMPUTED_VALUE"""),FALSE)</f>
        <v>0</v>
      </c>
      <c r="U316" s="1" t="str">
        <f>IFERROR(__xludf.DUMMYFUNCTION("""COMPUTED_VALUE"""),"VALID")</f>
        <v>VALID</v>
      </c>
      <c r="V316" s="1">
        <f>IFERROR(__xludf.DUMMYFUNCTION("""COMPUTED_VALUE"""),141.0)</f>
        <v>141</v>
      </c>
      <c r="W316" s="1">
        <f>IFERROR(__xludf.DUMMYFUNCTION("""COMPUTED_VALUE"""),166.0)</f>
        <v>166</v>
      </c>
      <c r="X316" s="1">
        <f>IFERROR(__xludf.DUMMYFUNCTION("""COMPUTED_VALUE"""),1063.0)</f>
        <v>1063</v>
      </c>
      <c r="Y316" s="2"/>
      <c r="Z316" s="2"/>
    </row>
    <row r="317">
      <c r="A317" s="1">
        <f>IFERROR(__xludf.DUMMYFUNCTION("""COMPUTED_VALUE"""),316.0)</f>
        <v>316</v>
      </c>
      <c r="B317" s="1">
        <f>IFERROR(__xludf.DUMMYFUNCTION("""COMPUTED_VALUE"""),10161.0)</f>
        <v>10161</v>
      </c>
      <c r="C317" s="2" t="str">
        <f>IFERROR(__xludf.DUMMYFUNCTION("""COMPUTED_VALUE"""),"AndRe")</f>
        <v>AndRe</v>
      </c>
      <c r="D317" s="2" t="str">
        <f>IFERROR(__xludf.DUMMYFUNCTION("""COMPUTED_VALUE"""),"10KM OVERALL M")</f>
        <v>10KM OVERALL M</v>
      </c>
      <c r="E317" s="1">
        <f>IFERROR(__xludf.DUMMYFUNCTION("""COMPUTED_VALUE"""),1.0)</f>
        <v>1</v>
      </c>
      <c r="F317" s="1" t="str">
        <f>IFERROR(__xludf.DUMMYFUNCTION("""COMPUTED_VALUE"""),"Male")</f>
        <v>Male</v>
      </c>
      <c r="G317" s="4" t="b">
        <f>IFERROR(__xludf.DUMMYFUNCTION("""COMPUTED_VALUE"""),TRUE)</f>
        <v>1</v>
      </c>
      <c r="H317" s="4" t="b">
        <f>IFERROR(__xludf.DUMMYFUNCTION("""COMPUTED_VALUE"""),FALSE)</f>
        <v>0</v>
      </c>
      <c r="I317" s="4">
        <f>IFERROR(__xludf.DUMMYFUNCTION("""COMPUTED_VALUE"""),0.24646185185185185)</f>
        <v>0.2464618519</v>
      </c>
      <c r="J317" s="4">
        <f>IFERROR(__xludf.DUMMYFUNCTION("""COMPUTED_VALUE"""),45949.25886696133)</f>
        <v>45949.25887</v>
      </c>
      <c r="K317" s="4">
        <f>IFERROR(__xludf.DUMMYFUNCTION("""COMPUTED_VALUE"""),45949.288155185306)</f>
        <v>45949.28816</v>
      </c>
      <c r="L317" s="4">
        <f>IFERROR(__xludf.DUMMYFUNCTION("""COMPUTED_VALUE"""),45949.29578975777)</f>
        <v>45949.29579</v>
      </c>
      <c r="M317" s="1" t="str">
        <f>IFERROR(__xludf.DUMMYFUNCTION("""COMPUTED_VALUE"""),"RFID")</f>
        <v>RFID</v>
      </c>
      <c r="N317" s="5">
        <f>IFERROR(__xludf.DUMMYFUNCTION("""COMPUTED_VALUE"""),0.004962041666666667)</f>
        <v>0.004962041667</v>
      </c>
      <c r="O317" s="5">
        <f>IFERROR(__xludf.DUMMYFUNCTION("""COMPUTED_VALUE"""),0.011715291666666667)</f>
        <v>0.01171529167</v>
      </c>
      <c r="P317" s="5">
        <f>IFERROR(__xludf.DUMMYFUNCTION("""COMPUTED_VALUE"""),0.0031417993689243345)</f>
        <v>0.003141799369</v>
      </c>
      <c r="Q317" s="5">
        <f>IFERROR(__xludf.DUMMYFUNCTION("""COMPUTED_VALUE"""),0.004932790509259258)</f>
        <v>0.004932790509</v>
      </c>
      <c r="R317" s="4">
        <f>IFERROR(__xludf.DUMMYFUNCTION("""COMPUTED_VALUE"""),45949.04932790592)</f>
        <v>45949.04933</v>
      </c>
      <c r="S317" s="1" t="b">
        <f>IFERROR(__xludf.DUMMYFUNCTION("""COMPUTED_VALUE"""),TRUE)</f>
        <v>1</v>
      </c>
      <c r="T317" s="1" t="b">
        <f>IFERROR(__xludf.DUMMYFUNCTION("""COMPUTED_VALUE"""),FALSE)</f>
        <v>0</v>
      </c>
      <c r="U317" s="1" t="str">
        <f>IFERROR(__xludf.DUMMYFUNCTION("""COMPUTED_VALUE"""),"VALID")</f>
        <v>VALID</v>
      </c>
      <c r="V317" s="1">
        <f>IFERROR(__xludf.DUMMYFUNCTION("""COMPUTED_VALUE"""),321.0)</f>
        <v>321</v>
      </c>
      <c r="W317" s="1">
        <f>IFERROR(__xludf.DUMMYFUNCTION("""COMPUTED_VALUE"""),381.0)</f>
        <v>381</v>
      </c>
      <c r="X317" s="1">
        <f>IFERROR(__xludf.DUMMYFUNCTION("""COMPUTED_VALUE"""),1354.0)</f>
        <v>1354</v>
      </c>
      <c r="Y317" s="2"/>
      <c r="Z317" s="2"/>
    </row>
    <row r="318">
      <c r="A318" s="1">
        <f>IFERROR(__xludf.DUMMYFUNCTION("""COMPUTED_VALUE"""),317.0)</f>
        <v>317</v>
      </c>
      <c r="B318" s="1">
        <f>IFERROR(__xludf.DUMMYFUNCTION("""COMPUTED_VALUE"""),10162.0)</f>
        <v>10162</v>
      </c>
      <c r="C318" s="2" t="str">
        <f>IFERROR(__xludf.DUMMYFUNCTION("""COMPUTED_VALUE"""),"Riqi_R")</f>
        <v>Riqi_R</v>
      </c>
      <c r="D318" s="2" t="str">
        <f>IFERROR(__xludf.DUMMYFUNCTION("""COMPUTED_VALUE"""),"10KM OVERALL M")</f>
        <v>10KM OVERALL M</v>
      </c>
      <c r="E318" s="1">
        <f>IFERROR(__xludf.DUMMYFUNCTION("""COMPUTED_VALUE"""),1.0)</f>
        <v>1</v>
      </c>
      <c r="F318" s="1" t="str">
        <f>IFERROR(__xludf.DUMMYFUNCTION("""COMPUTED_VALUE"""),"Male")</f>
        <v>Male</v>
      </c>
      <c r="G318" s="4" t="b">
        <f>IFERROR(__xludf.DUMMYFUNCTION("""COMPUTED_VALUE"""),TRUE)</f>
        <v>1</v>
      </c>
      <c r="H318" s="4" t="b">
        <f>IFERROR(__xludf.DUMMYFUNCTION("""COMPUTED_VALUE"""),FALSE)</f>
        <v>0</v>
      </c>
      <c r="I318" s="4">
        <f>IFERROR(__xludf.DUMMYFUNCTION("""COMPUTED_VALUE"""),0.24646185185185185)</f>
        <v>0.2464618519</v>
      </c>
      <c r="J318" s="4">
        <f>IFERROR(__xludf.DUMMYFUNCTION("""COMPUTED_VALUE"""),45949.25715870209)</f>
        <v>45949.25716</v>
      </c>
      <c r="K318" s="4">
        <f>IFERROR(__xludf.DUMMYFUNCTION("""COMPUTED_VALUE"""),45949.29005787037)</f>
        <v>45949.29006</v>
      </c>
      <c r="L318" s="4">
        <f>IFERROR(__xludf.DUMMYFUNCTION("""COMPUTED_VALUE"""),45949.30001545538)</f>
        <v>45949.30002</v>
      </c>
      <c r="M318" s="1" t="str">
        <f>IFERROR(__xludf.DUMMYFUNCTION("""COMPUTED_VALUE"""),"RFID")</f>
        <v>RFID</v>
      </c>
      <c r="N318" s="5">
        <f>IFERROR(__xludf.DUMMYFUNCTION("""COMPUTED_VALUE"""),0.004278740740740741)</f>
        <v>0.004278740741</v>
      </c>
      <c r="O318" s="5">
        <f>IFERROR(__xludf.DUMMYFUNCTION("""COMPUTED_VALUE"""),0.013159666666666667)</f>
        <v>0.01315966667</v>
      </c>
      <c r="P318" s="5">
        <f>IFERROR(__xludf.DUMMYFUNCTION("""COMPUTED_VALUE"""),0.004097771609404197)</f>
        <v>0.004097771609</v>
      </c>
      <c r="Q318" s="5">
        <f>IFERROR(__xludf.DUMMYFUNCTION("""COMPUTED_VALUE"""),0.005355359953703703)</f>
        <v>0.005355359954</v>
      </c>
      <c r="R318" s="4">
        <f>IFERROR(__xludf.DUMMYFUNCTION("""COMPUTED_VALUE"""),45949.05355360353)</f>
        <v>45949.05355</v>
      </c>
      <c r="S318" s="1" t="b">
        <f>IFERROR(__xludf.DUMMYFUNCTION("""COMPUTED_VALUE"""),TRUE)</f>
        <v>1</v>
      </c>
      <c r="T318" s="1" t="b">
        <f>IFERROR(__xludf.DUMMYFUNCTION("""COMPUTED_VALUE"""),FALSE)</f>
        <v>0</v>
      </c>
      <c r="U318" s="1" t="str">
        <f>IFERROR(__xludf.DUMMYFUNCTION("""COMPUTED_VALUE"""),"VALID")</f>
        <v>VALID</v>
      </c>
      <c r="V318" s="1">
        <f>IFERROR(__xludf.DUMMYFUNCTION("""COMPUTED_VALUE"""),414.0)</f>
        <v>414</v>
      </c>
      <c r="W318" s="1">
        <f>IFERROR(__xludf.DUMMYFUNCTION("""COMPUTED_VALUE"""),494.0)</f>
        <v>494</v>
      </c>
      <c r="X318" s="1">
        <f>IFERROR(__xludf.DUMMYFUNCTION("""COMPUTED_VALUE"""),1470.0)</f>
        <v>1470</v>
      </c>
      <c r="Y318" s="2"/>
      <c r="Z318" s="2"/>
    </row>
    <row r="319">
      <c r="A319" s="1">
        <f>IFERROR(__xludf.DUMMYFUNCTION("""COMPUTED_VALUE"""),318.0)</f>
        <v>318</v>
      </c>
      <c r="B319" s="1">
        <f>IFERROR(__xludf.DUMMYFUNCTION("""COMPUTED_VALUE"""),10163.0)</f>
        <v>10163</v>
      </c>
      <c r="C319" s="2" t="str">
        <f>IFERROR(__xludf.DUMMYFUNCTION("""COMPUTED_VALUE"""),"m. fiqri j")</f>
        <v>m. fiqri j</v>
      </c>
      <c r="D319" s="2" t="str">
        <f>IFERROR(__xludf.DUMMYFUNCTION("""COMPUTED_VALUE"""),"10KM OVERALL M")</f>
        <v>10KM OVERALL M</v>
      </c>
      <c r="E319" s="1">
        <f>IFERROR(__xludf.DUMMYFUNCTION("""COMPUTED_VALUE"""),1.0)</f>
        <v>1</v>
      </c>
      <c r="F319" s="1" t="str">
        <f>IFERROR(__xludf.DUMMYFUNCTION("""COMPUTED_VALUE"""),"Male")</f>
        <v>Male</v>
      </c>
      <c r="G319" s="4" t="str">
        <f>IFERROR(__xludf.DUMMYFUNCTION("""COMPUTED_VALUE"""),"")</f>
        <v/>
      </c>
      <c r="H319" s="4" t="b">
        <f>IFERROR(__xludf.DUMMYFUNCTION("""COMPUTED_VALUE"""),FALSE)</f>
        <v>0</v>
      </c>
      <c r="I319" s="4">
        <f>IFERROR(__xludf.DUMMYFUNCTION("""COMPUTED_VALUE"""),0.24646185185185185)</f>
        <v>0.2464618519</v>
      </c>
      <c r="J319" s="4">
        <f>IFERROR(__xludf.DUMMYFUNCTION("""COMPUTED_VALUE"""),45949.257557934485)</f>
        <v>45949.25756</v>
      </c>
      <c r="K319" s="4">
        <f>IFERROR(__xludf.DUMMYFUNCTION("""COMPUTED_VALUE"""),45949.283634366104)</f>
        <v>45949.28363</v>
      </c>
      <c r="L319" s="4">
        <f>IFERROR(__xludf.DUMMYFUNCTION("""COMPUTED_VALUE"""),45949.29098460971)</f>
        <v>45949.29098</v>
      </c>
      <c r="M319" s="1" t="str">
        <f>IFERROR(__xludf.DUMMYFUNCTION("""COMPUTED_VALUE"""),"RFID")</f>
        <v>RFID</v>
      </c>
      <c r="N319" s="5">
        <f>IFERROR(__xludf.DUMMYFUNCTION("""COMPUTED_VALUE"""),0.004438435185185185)</f>
        <v>0.004438435185</v>
      </c>
      <c r="O319" s="5">
        <f>IFERROR(__xludf.DUMMYFUNCTION("""COMPUTED_VALUE"""),0.010430574074074075)</f>
        <v>0.01043057407</v>
      </c>
      <c r="P319" s="5">
        <f>IFERROR(__xludf.DUMMYFUNCTION("""COMPUTED_VALUE"""),0.0030247916074885523)</f>
        <v>0.003024791607</v>
      </c>
      <c r="Q319" s="5">
        <f>IFERROR(__xludf.DUMMYFUNCTION("""COMPUTED_VALUE"""),0.0044522754629629634)</f>
        <v>0.004452275463</v>
      </c>
      <c r="R319" s="4">
        <f>IFERROR(__xludf.DUMMYFUNCTION("""COMPUTED_VALUE"""),45949.04452275786)</f>
        <v>45949.04452</v>
      </c>
      <c r="S319" s="1" t="b">
        <f>IFERROR(__xludf.DUMMYFUNCTION("""COMPUTED_VALUE"""),TRUE)</f>
        <v>1</v>
      </c>
      <c r="T319" s="1" t="b">
        <f>IFERROR(__xludf.DUMMYFUNCTION("""COMPUTED_VALUE"""),FALSE)</f>
        <v>0</v>
      </c>
      <c r="U319" s="1" t="str">
        <f>IFERROR(__xludf.DUMMYFUNCTION("""COMPUTED_VALUE"""),"VALID")</f>
        <v>VALID</v>
      </c>
      <c r="V319" s="1">
        <f>IFERROR(__xludf.DUMMYFUNCTION("""COMPUTED_VALUE"""),204.0)</f>
        <v>204</v>
      </c>
      <c r="W319" s="1">
        <f>IFERROR(__xludf.DUMMYFUNCTION("""COMPUTED_VALUE"""),246.0)</f>
        <v>246</v>
      </c>
      <c r="X319" s="1">
        <f>IFERROR(__xludf.DUMMYFUNCTION("""COMPUTED_VALUE"""),1176.0)</f>
        <v>1176</v>
      </c>
      <c r="Y319" s="2"/>
      <c r="Z319" s="2"/>
    </row>
    <row r="320">
      <c r="A320" s="1">
        <f>IFERROR(__xludf.DUMMYFUNCTION("""COMPUTED_VALUE"""),319.0)</f>
        <v>319</v>
      </c>
      <c r="B320" s="1">
        <f>IFERROR(__xludf.DUMMYFUNCTION("""COMPUTED_VALUE"""),10164.0)</f>
        <v>10164</v>
      </c>
      <c r="C320" s="2" t="str">
        <f>IFERROR(__xludf.DUMMYFUNCTION("""COMPUTED_VALUE"""),"Aldyyosh")</f>
        <v>Aldyyosh</v>
      </c>
      <c r="D320" s="2" t="str">
        <f>IFERROR(__xludf.DUMMYFUNCTION("""COMPUTED_VALUE"""),"10KM OVERALL M")</f>
        <v>10KM OVERALL M</v>
      </c>
      <c r="E320" s="1">
        <f>IFERROR(__xludf.DUMMYFUNCTION("""COMPUTED_VALUE"""),1.0)</f>
        <v>1</v>
      </c>
      <c r="F320" s="1" t="str">
        <f>IFERROR(__xludf.DUMMYFUNCTION("""COMPUTED_VALUE"""),"Male")</f>
        <v>Male</v>
      </c>
      <c r="G320" s="4" t="b">
        <f>IFERROR(__xludf.DUMMYFUNCTION("""COMPUTED_VALUE"""),TRUE)</f>
        <v>1</v>
      </c>
      <c r="H320" s="4" t="b">
        <f>IFERROR(__xludf.DUMMYFUNCTION("""COMPUTED_VALUE"""),FALSE)</f>
        <v>0</v>
      </c>
      <c r="I320" s="4">
        <f>IFERROR(__xludf.DUMMYFUNCTION("""COMPUTED_VALUE"""),0.24646185185185185)</f>
        <v>0.2464618519</v>
      </c>
      <c r="J320" s="4">
        <f>IFERROR(__xludf.DUMMYFUNCTION("""COMPUTED_VALUE"""),45949.25670035582)</f>
        <v>45949.2567</v>
      </c>
      <c r="K320" s="4">
        <f>IFERROR(__xludf.DUMMYFUNCTION("""COMPUTED_VALUE"""),45949.28213436396)</f>
        <v>45949.28213</v>
      </c>
      <c r="L320" s="4">
        <f>IFERROR(__xludf.DUMMYFUNCTION("""COMPUTED_VALUE"""),45949.28982448594)</f>
        <v>45949.28982</v>
      </c>
      <c r="M320" s="1" t="str">
        <f>IFERROR(__xludf.DUMMYFUNCTION("""COMPUTED_VALUE"""),"RFID")</f>
        <v>RFID</v>
      </c>
      <c r="N320" s="5">
        <f>IFERROR(__xludf.DUMMYFUNCTION("""COMPUTED_VALUE"""),0.004095402777777778)</f>
        <v>0.004095402778</v>
      </c>
      <c r="O320" s="5">
        <f>IFERROR(__xludf.DUMMYFUNCTION("""COMPUTED_VALUE"""),0.010173601851851852)</f>
        <v>0.01017360185</v>
      </c>
      <c r="P320" s="5">
        <f>IFERROR(__xludf.DUMMYFUNCTION("""COMPUTED_VALUE"""),0.0031646592510191514)</f>
        <v>0.003164659251</v>
      </c>
      <c r="Q320" s="5">
        <f>IFERROR(__xludf.DUMMYFUNCTION("""COMPUTED_VALUE"""),0.004336263888888889)</f>
        <v>0.004336263889</v>
      </c>
      <c r="R320" s="4">
        <f>IFERROR(__xludf.DUMMYFUNCTION("""COMPUTED_VALUE"""),45949.04336263409)</f>
        <v>45949.04336</v>
      </c>
      <c r="S320" s="1" t="b">
        <f>IFERROR(__xludf.DUMMYFUNCTION("""COMPUTED_VALUE"""),TRUE)</f>
        <v>1</v>
      </c>
      <c r="T320" s="1" t="b">
        <f>IFERROR(__xludf.DUMMYFUNCTION("""COMPUTED_VALUE"""),FALSE)</f>
        <v>0</v>
      </c>
      <c r="U320" s="1" t="str">
        <f>IFERROR(__xludf.DUMMYFUNCTION("""COMPUTED_VALUE"""),"VALID")</f>
        <v>VALID</v>
      </c>
      <c r="V320" s="1">
        <f>IFERROR(__xludf.DUMMYFUNCTION("""COMPUTED_VALUE"""),171.0)</f>
        <v>171</v>
      </c>
      <c r="W320" s="1">
        <f>IFERROR(__xludf.DUMMYFUNCTION("""COMPUTED_VALUE"""),201.0)</f>
        <v>201</v>
      </c>
      <c r="X320" s="1">
        <f>IFERROR(__xludf.DUMMYFUNCTION("""COMPUTED_VALUE"""),1108.0)</f>
        <v>1108</v>
      </c>
      <c r="Y320" s="2"/>
      <c r="Z320" s="2"/>
    </row>
    <row r="321">
      <c r="A321" s="1">
        <f>IFERROR(__xludf.DUMMYFUNCTION("""COMPUTED_VALUE"""),320.0)</f>
        <v>320</v>
      </c>
      <c r="B321" s="1">
        <f>IFERROR(__xludf.DUMMYFUNCTION("""COMPUTED_VALUE"""),10165.0)</f>
        <v>10165</v>
      </c>
      <c r="C321" s="2" t="str">
        <f>IFERROR(__xludf.DUMMYFUNCTION("""COMPUTED_VALUE"""),"Budimansyah")</f>
        <v>Budimansyah</v>
      </c>
      <c r="D321" s="2" t="str">
        <f>IFERROR(__xludf.DUMMYFUNCTION("""COMPUTED_VALUE"""),"10KM OVERALL M")</f>
        <v>10KM OVERALL M</v>
      </c>
      <c r="E321" s="1">
        <f>IFERROR(__xludf.DUMMYFUNCTION("""COMPUTED_VALUE"""),1.0)</f>
        <v>1</v>
      </c>
      <c r="F321" s="1" t="str">
        <f>IFERROR(__xludf.DUMMYFUNCTION("""COMPUTED_VALUE"""),"Male")</f>
        <v>Male</v>
      </c>
      <c r="G321" s="4" t="b">
        <f>IFERROR(__xludf.DUMMYFUNCTION("""COMPUTED_VALUE"""),TRUE)</f>
        <v>1</v>
      </c>
      <c r="H321" s="4" t="b">
        <f>IFERROR(__xludf.DUMMYFUNCTION("""COMPUTED_VALUE"""),FALSE)</f>
        <v>0</v>
      </c>
      <c r="I321" s="4">
        <f>IFERROR(__xludf.DUMMYFUNCTION("""COMPUTED_VALUE"""),0.24646185185185185)</f>
        <v>0.2464618519</v>
      </c>
      <c r="J321" s="4">
        <f>IFERROR(__xludf.DUMMYFUNCTION("""COMPUTED_VALUE"""),45949.25970030921)</f>
        <v>45949.2597</v>
      </c>
      <c r="K321" s="4">
        <f>IFERROR(__xludf.DUMMYFUNCTION("""COMPUTED_VALUE"""),45949.298551379616)</f>
        <v>45949.29855</v>
      </c>
      <c r="L321" s="4">
        <f>IFERROR(__xludf.DUMMYFUNCTION("""COMPUTED_VALUE"""),45949.30937997774)</f>
        <v>45949.30938</v>
      </c>
      <c r="M321" s="1" t="str">
        <f>IFERROR(__xludf.DUMMYFUNCTION("""COMPUTED_VALUE"""),"RFID")</f>
        <v>RFID</v>
      </c>
      <c r="N321" s="5">
        <f>IFERROR(__xludf.DUMMYFUNCTION("""COMPUTED_VALUE"""),0.00529538425925926)</f>
        <v>0.005295384259</v>
      </c>
      <c r="O321" s="5">
        <f>IFERROR(__xludf.DUMMYFUNCTION("""COMPUTED_VALUE"""),0.015540425925925926)</f>
        <v>0.01554042593</v>
      </c>
      <c r="P321" s="5">
        <f>IFERROR(__xludf.DUMMYFUNCTION("""COMPUTED_VALUE"""),0.0044562132205572666)</f>
        <v>0.004456213221</v>
      </c>
      <c r="Q321" s="5">
        <f>IFERROR(__xludf.DUMMYFUNCTION("""COMPUTED_VALUE"""),0.0062918125000000005)</f>
        <v>0.0062918125</v>
      </c>
      <c r="R321" s="4">
        <f>IFERROR(__xludf.DUMMYFUNCTION("""COMPUTED_VALUE"""),45949.06291812589)</f>
        <v>45949.06292</v>
      </c>
      <c r="S321" s="1" t="b">
        <f>IFERROR(__xludf.DUMMYFUNCTION("""COMPUTED_VALUE"""),TRUE)</f>
        <v>1</v>
      </c>
      <c r="T321" s="1" t="b">
        <f>IFERROR(__xludf.DUMMYFUNCTION("""COMPUTED_VALUE"""),FALSE)</f>
        <v>0</v>
      </c>
      <c r="U321" s="1" t="str">
        <f>IFERROR(__xludf.DUMMYFUNCTION("""COMPUTED_VALUE"""),"VALID")</f>
        <v>VALID</v>
      </c>
      <c r="V321" s="1">
        <f>IFERROR(__xludf.DUMMYFUNCTION("""COMPUTED_VALUE"""),554.0)</f>
        <v>554</v>
      </c>
      <c r="W321" s="1">
        <f>IFERROR(__xludf.DUMMYFUNCTION("""COMPUTED_VALUE"""),682.0)</f>
        <v>682</v>
      </c>
      <c r="X321" s="1">
        <f>IFERROR(__xludf.DUMMYFUNCTION("""COMPUTED_VALUE"""),1630.0)</f>
        <v>1630</v>
      </c>
      <c r="Y321" s="2"/>
      <c r="Z321" s="2"/>
    </row>
    <row r="322">
      <c r="A322" s="1">
        <f>IFERROR(__xludf.DUMMYFUNCTION("""COMPUTED_VALUE"""),321.0)</f>
        <v>321</v>
      </c>
      <c r="B322" s="1">
        <f>IFERROR(__xludf.DUMMYFUNCTION("""COMPUTED_VALUE"""),10166.0)</f>
        <v>10166</v>
      </c>
      <c r="C322" s="2" t="str">
        <f>IFERROR(__xludf.DUMMYFUNCTION("""COMPUTED_VALUE"""),"Tiyas Sudjarwan")</f>
        <v>Tiyas Sudjarwan</v>
      </c>
      <c r="D322" s="2" t="str">
        <f>IFERROR(__xludf.DUMMYFUNCTION("""COMPUTED_VALUE"""),"10KM OVERALL M")</f>
        <v>10KM OVERALL M</v>
      </c>
      <c r="E322" s="1">
        <f>IFERROR(__xludf.DUMMYFUNCTION("""COMPUTED_VALUE"""),1.0)</f>
        <v>1</v>
      </c>
      <c r="F322" s="1" t="str">
        <f>IFERROR(__xludf.DUMMYFUNCTION("""COMPUTED_VALUE"""),"Male")</f>
        <v>Male</v>
      </c>
      <c r="G322" s="4" t="b">
        <f>IFERROR(__xludf.DUMMYFUNCTION("""COMPUTED_VALUE"""),TRUE)</f>
        <v>1</v>
      </c>
      <c r="H322" s="4" t="b">
        <f>IFERROR(__xludf.DUMMYFUNCTION("""COMPUTED_VALUE"""),TRUE)</f>
        <v>1</v>
      </c>
      <c r="I322" s="4">
        <f>IFERROR(__xludf.DUMMYFUNCTION("""COMPUTED_VALUE"""),0.24646185185185185)</f>
        <v>0.2464618519</v>
      </c>
      <c r="J322" s="4">
        <f>IFERROR(__xludf.DUMMYFUNCTION("""COMPUTED_VALUE"""),45949.25924198562)</f>
        <v>45949.25924</v>
      </c>
      <c r="K322" s="4">
        <f>IFERROR(__xludf.DUMMYFUNCTION("""COMPUTED_VALUE"""),45949.29055134294)</f>
        <v>45949.29055</v>
      </c>
      <c r="L322" s="4">
        <f>IFERROR(__xludf.DUMMYFUNCTION("""COMPUTED_VALUE"""),45949.300647410826)</f>
        <v>45949.30065</v>
      </c>
      <c r="M322" s="1" t="str">
        <f>IFERROR(__xludf.DUMMYFUNCTION("""COMPUTED_VALUE"""),"RFID")</f>
        <v>RFID</v>
      </c>
      <c r="N322" s="5">
        <f>IFERROR(__xludf.DUMMYFUNCTION("""COMPUTED_VALUE"""),0.0051120555555555554)</f>
        <v>0.005112055556</v>
      </c>
      <c r="O322" s="5">
        <f>IFERROR(__xludf.DUMMYFUNCTION("""COMPUTED_VALUE"""),0.012523740740740742)</f>
        <v>0.01252374074</v>
      </c>
      <c r="P322" s="5">
        <f>IFERROR(__xludf.DUMMYFUNCTION("""COMPUTED_VALUE"""),0.004154760445613767)</f>
        <v>0.004154760446</v>
      </c>
      <c r="Q322" s="5">
        <f>IFERROR(__xludf.DUMMYFUNCTION("""COMPUTED_VALUE"""),0.005418555555555555)</f>
        <v>0.005418555556</v>
      </c>
      <c r="R322" s="4">
        <f>IFERROR(__xludf.DUMMYFUNCTION("""COMPUTED_VALUE"""),45949.054185558976)</f>
        <v>45949.05419</v>
      </c>
      <c r="S322" s="1" t="b">
        <f>IFERROR(__xludf.DUMMYFUNCTION("""COMPUTED_VALUE"""),TRUE)</f>
        <v>1</v>
      </c>
      <c r="T322" s="1" t="b">
        <f>IFERROR(__xludf.DUMMYFUNCTION("""COMPUTED_VALUE"""),FALSE)</f>
        <v>0</v>
      </c>
      <c r="U322" s="1" t="str">
        <f>IFERROR(__xludf.DUMMYFUNCTION("""COMPUTED_VALUE"""),"VALID")</f>
        <v>VALID</v>
      </c>
      <c r="V322" s="1">
        <f>IFERROR(__xludf.DUMMYFUNCTION("""COMPUTED_VALUE"""),434.0)</f>
        <v>434</v>
      </c>
      <c r="W322" s="1">
        <f>IFERROR(__xludf.DUMMYFUNCTION("""COMPUTED_VALUE"""),516.0)</f>
        <v>516</v>
      </c>
      <c r="X322" s="1">
        <f>IFERROR(__xludf.DUMMYFUNCTION("""COMPUTED_VALUE"""),1494.0)</f>
        <v>1494</v>
      </c>
      <c r="Y322" s="2"/>
      <c r="Z322" s="2"/>
    </row>
    <row r="323">
      <c r="A323" s="1">
        <f>IFERROR(__xludf.DUMMYFUNCTION("""COMPUTED_VALUE"""),322.0)</f>
        <v>322</v>
      </c>
      <c r="B323" s="1">
        <f>IFERROR(__xludf.DUMMYFUNCTION("""COMPUTED_VALUE"""),10167.0)</f>
        <v>10167</v>
      </c>
      <c r="C323" s="2" t="str">
        <f>IFERROR(__xludf.DUMMYFUNCTION("""COMPUTED_VALUE"""),"robbyons")</f>
        <v>robbyons</v>
      </c>
      <c r="D323" s="2" t="str">
        <f>IFERROR(__xludf.DUMMYFUNCTION("""COMPUTED_VALUE"""),"10KM OVERALL M")</f>
        <v>10KM OVERALL M</v>
      </c>
      <c r="E323" s="1">
        <f>IFERROR(__xludf.DUMMYFUNCTION("""COMPUTED_VALUE"""),1.0)</f>
        <v>1</v>
      </c>
      <c r="F323" s="1" t="str">
        <f>IFERROR(__xludf.DUMMYFUNCTION("""COMPUTED_VALUE"""),"Male")</f>
        <v>Male</v>
      </c>
      <c r="G323" s="4" t="b">
        <f>IFERROR(__xludf.DUMMYFUNCTION("""COMPUTED_VALUE"""),TRUE)</f>
        <v>1</v>
      </c>
      <c r="H323" s="4" t="b">
        <f>IFERROR(__xludf.DUMMYFUNCTION("""COMPUTED_VALUE"""),FALSE)</f>
        <v>0</v>
      </c>
      <c r="I323" s="4">
        <f>IFERROR(__xludf.DUMMYFUNCTION("""COMPUTED_VALUE"""),0.24646185185185185)</f>
        <v>0.2464618519</v>
      </c>
      <c r="J323" s="4">
        <f>IFERROR(__xludf.DUMMYFUNCTION("""COMPUTED_VALUE"""),45949.258300996094)</f>
        <v>45949.2583</v>
      </c>
      <c r="K323" s="4">
        <f>IFERROR(__xludf.DUMMYFUNCTION("""COMPUTED_VALUE"""),45949.287610070656)</f>
        <v>45949.28761</v>
      </c>
      <c r="L323" s="4">
        <f>IFERROR(__xludf.DUMMYFUNCTION("""COMPUTED_VALUE"""),45949.29538698322)</f>
        <v>45949.29539</v>
      </c>
      <c r="M323" s="1" t="str">
        <f>IFERROR(__xludf.DUMMYFUNCTION("""COMPUTED_VALUE"""),"RFID")</f>
        <v>RFID</v>
      </c>
      <c r="N323" s="5">
        <f>IFERROR(__xludf.DUMMYFUNCTION("""COMPUTED_VALUE"""),0.004735657407407408)</f>
        <v>0.004735657407</v>
      </c>
      <c r="O323" s="5">
        <f>IFERROR(__xludf.DUMMYFUNCTION("""COMPUTED_VALUE"""),0.011723629629629629)</f>
        <v>0.01172362963</v>
      </c>
      <c r="P323" s="5">
        <f>IFERROR(__xludf.DUMMYFUNCTION("""COMPUTED_VALUE"""),0.0032003755406227437)</f>
        <v>0.003200375541</v>
      </c>
      <c r="Q323" s="5">
        <f>IFERROR(__xludf.DUMMYFUNCTION("""COMPUTED_VALUE"""),0.004892512731481482)</f>
        <v>0.004892512731</v>
      </c>
      <c r="R323" s="4">
        <f>IFERROR(__xludf.DUMMYFUNCTION("""COMPUTED_VALUE"""),45949.04892513137)</f>
        <v>45949.04893</v>
      </c>
      <c r="S323" s="1" t="b">
        <f>IFERROR(__xludf.DUMMYFUNCTION("""COMPUTED_VALUE"""),TRUE)</f>
        <v>1</v>
      </c>
      <c r="T323" s="1" t="b">
        <f>IFERROR(__xludf.DUMMYFUNCTION("""COMPUTED_VALUE"""),FALSE)</f>
        <v>0</v>
      </c>
      <c r="U323" s="1" t="str">
        <f>IFERROR(__xludf.DUMMYFUNCTION("""COMPUTED_VALUE"""),"VALID")</f>
        <v>VALID</v>
      </c>
      <c r="V323" s="1">
        <f>IFERROR(__xludf.DUMMYFUNCTION("""COMPUTED_VALUE"""),307.0)</f>
        <v>307</v>
      </c>
      <c r="W323" s="1">
        <f>IFERROR(__xludf.DUMMYFUNCTION("""COMPUTED_VALUE"""),363.0)</f>
        <v>363</v>
      </c>
      <c r="X323" s="1">
        <f>IFERROR(__xludf.DUMMYFUNCTION("""COMPUTED_VALUE"""),1336.0)</f>
        <v>1336</v>
      </c>
      <c r="Y323" s="2"/>
      <c r="Z323" s="2"/>
    </row>
    <row r="324">
      <c r="A324" s="1">
        <f>IFERROR(__xludf.DUMMYFUNCTION("""COMPUTED_VALUE"""),323.0)</f>
        <v>323</v>
      </c>
      <c r="B324" s="1">
        <f>IFERROR(__xludf.DUMMYFUNCTION("""COMPUTED_VALUE"""),10168.0)</f>
        <v>10168</v>
      </c>
      <c r="C324" s="2" t="str">
        <f>IFERROR(__xludf.DUMMYFUNCTION("""COMPUTED_VALUE"""),"Viviani Hifni")</f>
        <v>Viviani Hifni</v>
      </c>
      <c r="D324" s="2" t="str">
        <f>IFERROR(__xludf.DUMMYFUNCTION("""COMPUTED_VALUE"""),"10KM OVERALL M")</f>
        <v>10KM OVERALL M</v>
      </c>
      <c r="E324" s="1">
        <f>IFERROR(__xludf.DUMMYFUNCTION("""COMPUTED_VALUE"""),1.0)</f>
        <v>1</v>
      </c>
      <c r="F324" s="1" t="str">
        <f>IFERROR(__xludf.DUMMYFUNCTION("""COMPUTED_VALUE"""),"Male")</f>
        <v>Male</v>
      </c>
      <c r="G324" s="4" t="b">
        <f>IFERROR(__xludf.DUMMYFUNCTION("""COMPUTED_VALUE"""),TRUE)</f>
        <v>1</v>
      </c>
      <c r="H324" s="4" t="b">
        <f>IFERROR(__xludf.DUMMYFUNCTION("""COMPUTED_VALUE"""),TRUE)</f>
        <v>1</v>
      </c>
      <c r="I324" s="4">
        <f>IFERROR(__xludf.DUMMYFUNCTION("""COMPUTED_VALUE"""),0.24646185185185185)</f>
        <v>0.2464618519</v>
      </c>
      <c r="J324" s="4">
        <f>IFERROR(__xludf.DUMMYFUNCTION("""COMPUTED_VALUE"""),45949.2581551546)</f>
        <v>45949.25816</v>
      </c>
      <c r="K324" s="4">
        <f>IFERROR(__xludf.DUMMYFUNCTION("""COMPUTED_VALUE"""),45949.28333578663)</f>
        <v>45949.28334</v>
      </c>
      <c r="L324" s="4">
        <f>IFERROR(__xludf.DUMMYFUNCTION("""COMPUTED_VALUE"""),45949.2901751869)</f>
        <v>45949.29018</v>
      </c>
      <c r="M324" s="1" t="str">
        <f>IFERROR(__xludf.DUMMYFUNCTION("""COMPUTED_VALUE"""),"RFID")</f>
        <v>RFID</v>
      </c>
      <c r="N324" s="5">
        <f>IFERROR(__xludf.DUMMYFUNCTION("""COMPUTED_VALUE"""),0.004677319444444444)</f>
        <v>0.004677319444</v>
      </c>
      <c r="O324" s="5">
        <f>IFERROR(__xludf.DUMMYFUNCTION("""COMPUTED_VALUE"""),0.010072254629629629)</f>
        <v>0.01007225463</v>
      </c>
      <c r="P324" s="5">
        <f>IFERROR(__xludf.DUMMYFUNCTION("""COMPUTED_VALUE"""),0.0028145680108937385)</f>
        <v>0.002814568011</v>
      </c>
      <c r="Q324" s="5">
        <f>IFERROR(__xludf.DUMMYFUNCTION("""COMPUTED_VALUE"""),0.004371333333333333)</f>
        <v>0.004371333333</v>
      </c>
      <c r="R324" s="4">
        <f>IFERROR(__xludf.DUMMYFUNCTION("""COMPUTED_VALUE"""),45949.04371333505)</f>
        <v>45949.04371</v>
      </c>
      <c r="S324" s="1" t="b">
        <f>IFERROR(__xludf.DUMMYFUNCTION("""COMPUTED_VALUE"""),TRUE)</f>
        <v>1</v>
      </c>
      <c r="T324" s="1" t="b">
        <f>IFERROR(__xludf.DUMMYFUNCTION("""COMPUTED_VALUE"""),FALSE)</f>
        <v>0</v>
      </c>
      <c r="U324" s="1" t="str">
        <f>IFERROR(__xludf.DUMMYFUNCTION("""COMPUTED_VALUE"""),"VALID")</f>
        <v>VALID</v>
      </c>
      <c r="V324" s="1">
        <f>IFERROR(__xludf.DUMMYFUNCTION("""COMPUTED_VALUE"""),179.0)</f>
        <v>179</v>
      </c>
      <c r="W324" s="1">
        <f>IFERROR(__xludf.DUMMYFUNCTION("""COMPUTED_VALUE"""),214.0)</f>
        <v>214</v>
      </c>
      <c r="X324" s="1">
        <f>IFERROR(__xludf.DUMMYFUNCTION("""COMPUTED_VALUE"""),1132.0)</f>
        <v>1132</v>
      </c>
      <c r="Y324" s="2"/>
      <c r="Z324" s="2"/>
    </row>
    <row r="325">
      <c r="A325" s="1">
        <f>IFERROR(__xludf.DUMMYFUNCTION("""COMPUTED_VALUE"""),324.0)</f>
        <v>324</v>
      </c>
      <c r="B325" s="1">
        <f>IFERROR(__xludf.DUMMYFUNCTION("""COMPUTED_VALUE"""),10169.0)</f>
        <v>10169</v>
      </c>
      <c r="C325" s="2" t="str">
        <f>IFERROR(__xludf.DUMMYFUNCTION("""COMPUTED_VALUE"""),"Syarief")</f>
        <v>Syarief</v>
      </c>
      <c r="D325" s="2" t="str">
        <f>IFERROR(__xludf.DUMMYFUNCTION("""COMPUTED_VALUE"""),"10KM OVERALL M")</f>
        <v>10KM OVERALL M</v>
      </c>
      <c r="E325" s="1">
        <f>IFERROR(__xludf.DUMMYFUNCTION("""COMPUTED_VALUE"""),1.0)</f>
        <v>1</v>
      </c>
      <c r="F325" s="1" t="str">
        <f>IFERROR(__xludf.DUMMYFUNCTION("""COMPUTED_VALUE"""),"Male")</f>
        <v>Male</v>
      </c>
      <c r="G325" s="4" t="b">
        <f>IFERROR(__xludf.DUMMYFUNCTION("""COMPUTED_VALUE"""),TRUE)</f>
        <v>1</v>
      </c>
      <c r="H325" s="4" t="b">
        <f>IFERROR(__xludf.DUMMYFUNCTION("""COMPUTED_VALUE"""),TRUE)</f>
        <v>1</v>
      </c>
      <c r="I325" s="4">
        <f>IFERROR(__xludf.DUMMYFUNCTION("""COMPUTED_VALUE"""),0.24646185185185185)</f>
        <v>0.2464618519</v>
      </c>
      <c r="J325" s="4">
        <f>IFERROR(__xludf.DUMMYFUNCTION("""COMPUTED_VALUE"""),45949.25781497044)</f>
        <v>45949.25781</v>
      </c>
      <c r="K325" s="4">
        <f>IFERROR(__xludf.DUMMYFUNCTION("""COMPUTED_VALUE"""),45949.28203368523)</f>
        <v>45949.28203</v>
      </c>
      <c r="L325" s="4">
        <f>IFERROR(__xludf.DUMMYFUNCTION("""COMPUTED_VALUE"""),45949.28882905576)</f>
        <v>45949.28883</v>
      </c>
      <c r="M325" s="1" t="str">
        <f>IFERROR(__xludf.DUMMYFUNCTION("""COMPUTED_VALUE"""),"RFID")</f>
        <v>RFID</v>
      </c>
      <c r="N325" s="5">
        <f>IFERROR(__xludf.DUMMYFUNCTION("""COMPUTED_VALUE"""),0.004541245370370371)</f>
        <v>0.00454124537</v>
      </c>
      <c r="O325" s="5">
        <f>IFERROR(__xludf.DUMMYFUNCTION("""COMPUTED_VALUE"""),0.00968748611111111)</f>
        <v>0.009687486111</v>
      </c>
      <c r="P325" s="5">
        <f>IFERROR(__xludf.DUMMYFUNCTION("""COMPUTED_VALUE"""),0.002796448777485332)</f>
        <v>0.002796448777</v>
      </c>
      <c r="Q325" s="5">
        <f>IFERROR(__xludf.DUMMYFUNCTION("""COMPUTED_VALUE"""),0.004236719907407408)</f>
        <v>0.004236719907</v>
      </c>
      <c r="R325" s="4">
        <f>IFERROR(__xludf.DUMMYFUNCTION("""COMPUTED_VALUE"""),45949.04236720391)</f>
        <v>45949.04237</v>
      </c>
      <c r="S325" s="1" t="b">
        <f>IFERROR(__xludf.DUMMYFUNCTION("""COMPUTED_VALUE"""),TRUE)</f>
        <v>1</v>
      </c>
      <c r="T325" s="1" t="b">
        <f>IFERROR(__xludf.DUMMYFUNCTION("""COMPUTED_VALUE"""),FALSE)</f>
        <v>0</v>
      </c>
      <c r="U325" s="1" t="str">
        <f>IFERROR(__xludf.DUMMYFUNCTION("""COMPUTED_VALUE"""),"VALID")</f>
        <v>VALID</v>
      </c>
      <c r="V325" s="1">
        <f>IFERROR(__xludf.DUMMYFUNCTION("""COMPUTED_VALUE"""),152.0)</f>
        <v>152</v>
      </c>
      <c r="W325" s="1">
        <f>IFERROR(__xludf.DUMMYFUNCTION("""COMPUTED_VALUE"""),179.0)</f>
        <v>179</v>
      </c>
      <c r="X325" s="1">
        <f>IFERROR(__xludf.DUMMYFUNCTION("""COMPUTED_VALUE"""),1080.0)</f>
        <v>1080</v>
      </c>
      <c r="Y325" s="2"/>
      <c r="Z325" s="2"/>
    </row>
    <row r="326">
      <c r="A326" s="1">
        <f>IFERROR(__xludf.DUMMYFUNCTION("""COMPUTED_VALUE"""),325.0)</f>
        <v>325</v>
      </c>
      <c r="B326" s="1">
        <f>IFERROR(__xludf.DUMMYFUNCTION("""COMPUTED_VALUE"""),10170.0)</f>
        <v>10170</v>
      </c>
      <c r="C326" s="2" t="str">
        <f>IFERROR(__xludf.DUMMYFUNCTION("""COMPUTED_VALUE"""),"Yusdiana")</f>
        <v>Yusdiana</v>
      </c>
      <c r="D326" s="2" t="str">
        <f>IFERROR(__xludf.DUMMYFUNCTION("""COMPUTED_VALUE"""),"10KM OVERALL M")</f>
        <v>10KM OVERALL M</v>
      </c>
      <c r="E326" s="1">
        <f>IFERROR(__xludf.DUMMYFUNCTION("""COMPUTED_VALUE"""),1.0)</f>
        <v>1</v>
      </c>
      <c r="F326" s="1" t="str">
        <f>IFERROR(__xludf.DUMMYFUNCTION("""COMPUTED_VALUE"""),"Male")</f>
        <v>Male</v>
      </c>
      <c r="G326" s="4" t="b">
        <f>IFERROR(__xludf.DUMMYFUNCTION("""COMPUTED_VALUE"""),TRUE)</f>
        <v>1</v>
      </c>
      <c r="H326" s="4" t="b">
        <f>IFERROR(__xludf.DUMMYFUNCTION("""COMPUTED_VALUE"""),TRUE)</f>
        <v>1</v>
      </c>
      <c r="I326" s="4">
        <f>IFERROR(__xludf.DUMMYFUNCTION("""COMPUTED_VALUE"""),0.24646185185185185)</f>
        <v>0.2464618519</v>
      </c>
      <c r="J326" s="4">
        <f>IFERROR(__xludf.DUMMYFUNCTION("""COMPUTED_VALUE"""),45949.25654058537)</f>
        <v>45949.25654</v>
      </c>
      <c r="K326" s="4">
        <f>IFERROR(__xludf.DUMMYFUNCTION("""COMPUTED_VALUE"""),45949.28065175156)</f>
        <v>45949.28065</v>
      </c>
      <c r="L326" s="4">
        <f>IFERROR(__xludf.DUMMYFUNCTION("""COMPUTED_VALUE"""),45949.287980672474)</f>
        <v>45949.28798</v>
      </c>
      <c r="M326" s="1" t="str">
        <f>IFERROR(__xludf.DUMMYFUNCTION("""COMPUTED_VALUE"""),"RFID")</f>
        <v>RFID</v>
      </c>
      <c r="N326" s="5">
        <f>IFERROR(__xludf.DUMMYFUNCTION("""COMPUTED_VALUE"""),0.004031495370370371)</f>
        <v>0.00403149537</v>
      </c>
      <c r="O326" s="5">
        <f>IFERROR(__xludf.DUMMYFUNCTION("""COMPUTED_VALUE"""),0.009644467592592593)</f>
        <v>0.009644467593</v>
      </c>
      <c r="P326" s="5">
        <f>IFERROR(__xludf.DUMMYFUNCTION("""COMPUTED_VALUE"""),0.003016016838536502)</f>
        <v>0.003016016839</v>
      </c>
      <c r="Q326" s="5">
        <f>IFERROR(__xludf.DUMMYFUNCTION("""COMPUTED_VALUE"""),0.004151881944444444)</f>
        <v>0.004151881944</v>
      </c>
      <c r="R326" s="4">
        <f>IFERROR(__xludf.DUMMYFUNCTION("""COMPUTED_VALUE"""),45949.041518820624)</f>
        <v>45949.04152</v>
      </c>
      <c r="S326" s="1" t="b">
        <f>IFERROR(__xludf.DUMMYFUNCTION("""COMPUTED_VALUE"""),TRUE)</f>
        <v>1</v>
      </c>
      <c r="T326" s="1" t="b">
        <f>IFERROR(__xludf.DUMMYFUNCTION("""COMPUTED_VALUE"""),FALSE)</f>
        <v>0</v>
      </c>
      <c r="U326" s="1" t="str">
        <f>IFERROR(__xludf.DUMMYFUNCTION("""COMPUTED_VALUE"""),"VALID")</f>
        <v>VALID</v>
      </c>
      <c r="V326" s="1">
        <f>IFERROR(__xludf.DUMMYFUNCTION("""COMPUTED_VALUE"""),129.0)</f>
        <v>129</v>
      </c>
      <c r="W326" s="1">
        <f>IFERROR(__xludf.DUMMYFUNCTION("""COMPUTED_VALUE"""),153.0)</f>
        <v>153</v>
      </c>
      <c r="X326" s="1">
        <f>IFERROR(__xludf.DUMMYFUNCTION("""COMPUTED_VALUE"""),1043.0)</f>
        <v>1043</v>
      </c>
      <c r="Y326" s="2"/>
      <c r="Z326" s="2"/>
    </row>
    <row r="327">
      <c r="A327" s="1">
        <f>IFERROR(__xludf.DUMMYFUNCTION("""COMPUTED_VALUE"""),326.0)</f>
        <v>326</v>
      </c>
      <c r="B327" s="1">
        <f>IFERROR(__xludf.DUMMYFUNCTION("""COMPUTED_VALUE"""),10171.0)</f>
        <v>10171</v>
      </c>
      <c r="C327" s="2" t="str">
        <f>IFERROR(__xludf.DUMMYFUNCTION("""COMPUTED_VALUE"""),"IKHSAN SURYA ILHAM")</f>
        <v>IKHSAN SURYA ILHAM</v>
      </c>
      <c r="D327" s="2" t="str">
        <f>IFERROR(__xludf.DUMMYFUNCTION("""COMPUTED_VALUE"""),"10KM OVERALL M")</f>
        <v>10KM OVERALL M</v>
      </c>
      <c r="E327" s="1">
        <f>IFERROR(__xludf.DUMMYFUNCTION("""COMPUTED_VALUE"""),1.0)</f>
        <v>1</v>
      </c>
      <c r="F327" s="1" t="str">
        <f>IFERROR(__xludf.DUMMYFUNCTION("""COMPUTED_VALUE"""),"Male")</f>
        <v>Male</v>
      </c>
      <c r="G327" s="4" t="str">
        <f>IFERROR(__xludf.DUMMYFUNCTION("""COMPUTED_VALUE"""),"")</f>
        <v/>
      </c>
      <c r="H327" s="4" t="b">
        <f>IFERROR(__xludf.DUMMYFUNCTION("""COMPUTED_VALUE"""),TRUE)</f>
        <v>1</v>
      </c>
      <c r="I327" s="4">
        <f>IFERROR(__xludf.DUMMYFUNCTION("""COMPUTED_VALUE"""),0.24646185185185185)</f>
        <v>0.2464618519</v>
      </c>
      <c r="J327" s="4">
        <f>IFERROR(__xludf.DUMMYFUNCTION("""COMPUTED_VALUE"""),45949.25598848824)</f>
        <v>45949.25599</v>
      </c>
      <c r="K327" s="4" t="str">
        <f>IFERROR(__xludf.DUMMYFUNCTION("""COMPUTED_VALUE"""),"")</f>
        <v/>
      </c>
      <c r="L327" s="4" t="str">
        <f>IFERROR(__xludf.DUMMYFUNCTION("""COMPUTED_VALUE"""),"")</f>
        <v/>
      </c>
      <c r="M327" s="1" t="str">
        <f>IFERROR(__xludf.DUMMYFUNCTION("""COMPUTED_VALUE"""),"RFID")</f>
        <v>RFID</v>
      </c>
      <c r="N327" s="5">
        <f>IFERROR(__xludf.DUMMYFUNCTION("""COMPUTED_VALUE"""),0.0038106527777777783)</f>
        <v>0.003810652778</v>
      </c>
      <c r="O327" s="5" t="str">
        <f>IFERROR(__xludf.DUMMYFUNCTION("""COMPUTED_VALUE"""),"")</f>
        <v/>
      </c>
      <c r="P327" s="5" t="str">
        <f>IFERROR(__xludf.DUMMYFUNCTION("""COMPUTED_VALUE"""),"")</f>
        <v/>
      </c>
      <c r="Q327" s="5" t="str">
        <f>IFERROR(__xludf.DUMMYFUNCTION("""COMPUTED_VALUE"""),"")</f>
        <v/>
      </c>
      <c r="R327" s="4" t="str">
        <f>IFERROR(__xludf.DUMMYFUNCTION("""COMPUTED_VALUE"""),"")</f>
        <v/>
      </c>
      <c r="S327" s="1" t="b">
        <f>IFERROR(__xludf.DUMMYFUNCTION("""COMPUTED_VALUE"""),TRUE)</f>
        <v>1</v>
      </c>
      <c r="T327" s="1" t="b">
        <f>IFERROR(__xludf.DUMMYFUNCTION("""COMPUTED_VALUE"""),FALSE)</f>
        <v>0</v>
      </c>
      <c r="U327" s="1" t="str">
        <f>IFERROR(__xludf.DUMMYFUNCTION("""COMPUTED_VALUE"""),"DNF")</f>
        <v>DNF</v>
      </c>
      <c r="V327" s="1" t="str">
        <f>IFERROR(__xludf.DUMMYFUNCTION("""COMPUTED_VALUE"""),"DNF")</f>
        <v>DNF</v>
      </c>
      <c r="W327" s="1" t="str">
        <f>IFERROR(__xludf.DUMMYFUNCTION("""COMPUTED_VALUE"""),"DNF")</f>
        <v>DNF</v>
      </c>
      <c r="X327" s="1" t="str">
        <f>IFERROR(__xludf.DUMMYFUNCTION("""COMPUTED_VALUE"""),"DNF")</f>
        <v>DNF</v>
      </c>
      <c r="Y327" s="2"/>
      <c r="Z327" s="2"/>
    </row>
    <row r="328">
      <c r="A328" s="1">
        <f>IFERROR(__xludf.DUMMYFUNCTION("""COMPUTED_VALUE"""),327.0)</f>
        <v>327</v>
      </c>
      <c r="B328" s="1">
        <f>IFERROR(__xludf.DUMMYFUNCTION("""COMPUTED_VALUE"""),10172.0)</f>
        <v>10172</v>
      </c>
      <c r="C328" s="2" t="str">
        <f>IFERROR(__xludf.DUMMYFUNCTION("""COMPUTED_VALUE"""),"Iqbal AP")</f>
        <v>Iqbal AP</v>
      </c>
      <c r="D328" s="2" t="str">
        <f>IFERROR(__xludf.DUMMYFUNCTION("""COMPUTED_VALUE"""),"10KM OVERALL M")</f>
        <v>10KM OVERALL M</v>
      </c>
      <c r="E328" s="1">
        <f>IFERROR(__xludf.DUMMYFUNCTION("""COMPUTED_VALUE"""),1.0)</f>
        <v>1</v>
      </c>
      <c r="F328" s="1" t="str">
        <f>IFERROR(__xludf.DUMMYFUNCTION("""COMPUTED_VALUE"""),"Male")</f>
        <v>Male</v>
      </c>
      <c r="G328" s="4" t="b">
        <f>IFERROR(__xludf.DUMMYFUNCTION("""COMPUTED_VALUE"""),TRUE)</f>
        <v>1</v>
      </c>
      <c r="H328" s="4" t="b">
        <f>IFERROR(__xludf.DUMMYFUNCTION("""COMPUTED_VALUE"""),FALSE)</f>
        <v>0</v>
      </c>
      <c r="I328" s="4">
        <f>IFERROR(__xludf.DUMMYFUNCTION("""COMPUTED_VALUE"""),0.24646185185185185)</f>
        <v>0.2464618519</v>
      </c>
      <c r="J328" s="4">
        <f>IFERROR(__xludf.DUMMYFUNCTION("""COMPUTED_VALUE"""),45949.259005858745)</f>
        <v>45949.25901</v>
      </c>
      <c r="K328" s="4">
        <f>IFERROR(__xludf.DUMMYFUNCTION("""COMPUTED_VALUE"""),45949.29106163295)</f>
        <v>45949.29106</v>
      </c>
      <c r="L328" s="4">
        <f>IFERROR(__xludf.DUMMYFUNCTION("""COMPUTED_VALUE"""),45949.30069444444)</f>
        <v>45949.30069</v>
      </c>
      <c r="M328" s="1" t="str">
        <f>IFERROR(__xludf.DUMMYFUNCTION("""COMPUTED_VALUE"""),"RFID")</f>
        <v>RFID</v>
      </c>
      <c r="N328" s="5">
        <f>IFERROR(__xludf.DUMMYFUNCTION("""COMPUTED_VALUE"""),0.005017601851851851)</f>
        <v>0.005017601852</v>
      </c>
      <c r="O328" s="5">
        <f>IFERROR(__xludf.DUMMYFUNCTION("""COMPUTED_VALUE"""),0.012822310185185185)</f>
        <v>0.01282231019</v>
      </c>
      <c r="P328" s="5">
        <f>IFERROR(__xludf.DUMMYFUNCTION("""COMPUTED_VALUE"""),0.003964119957191792)</f>
        <v>0.003964119957</v>
      </c>
      <c r="Q328" s="5">
        <f>IFERROR(__xludf.DUMMYFUNCTION("""COMPUTED_VALUE"""),0.005423259259259259)</f>
        <v>0.005423259259</v>
      </c>
      <c r="R328" s="4">
        <f>IFERROR(__xludf.DUMMYFUNCTION("""COMPUTED_VALUE"""),45949.05423259259)</f>
        <v>45949.05423</v>
      </c>
      <c r="S328" s="1" t="b">
        <f>IFERROR(__xludf.DUMMYFUNCTION("""COMPUTED_VALUE"""),TRUE)</f>
        <v>1</v>
      </c>
      <c r="T328" s="1" t="b">
        <f>IFERROR(__xludf.DUMMYFUNCTION("""COMPUTED_VALUE"""),FALSE)</f>
        <v>0</v>
      </c>
      <c r="U328" s="1" t="str">
        <f>IFERROR(__xludf.DUMMYFUNCTION("""COMPUTED_VALUE"""),"VALID")</f>
        <v>VALID</v>
      </c>
      <c r="V328" s="1">
        <f>IFERROR(__xludf.DUMMYFUNCTION("""COMPUTED_VALUE"""),438.0)</f>
        <v>438</v>
      </c>
      <c r="W328" s="1">
        <f>IFERROR(__xludf.DUMMYFUNCTION("""COMPUTED_VALUE"""),520.0)</f>
        <v>520</v>
      </c>
      <c r="X328" s="1">
        <f>IFERROR(__xludf.DUMMYFUNCTION("""COMPUTED_VALUE"""),1498.0)</f>
        <v>1498</v>
      </c>
      <c r="Y328" s="2"/>
      <c r="Z328" s="2"/>
    </row>
    <row r="329">
      <c r="A329" s="1">
        <f>IFERROR(__xludf.DUMMYFUNCTION("""COMPUTED_VALUE"""),328.0)</f>
        <v>328</v>
      </c>
      <c r="B329" s="1">
        <f>IFERROR(__xludf.DUMMYFUNCTION("""COMPUTED_VALUE"""),10173.0)</f>
        <v>10173</v>
      </c>
      <c r="C329" s="2" t="str">
        <f>IFERROR(__xludf.DUMMYFUNCTION("""COMPUTED_VALUE"""),"Dika Fahrianor Syafi'e")</f>
        <v>Dika Fahrianor Syafi'e</v>
      </c>
      <c r="D329" s="2" t="str">
        <f>IFERROR(__xludf.DUMMYFUNCTION("""COMPUTED_VALUE"""),"10KM OVERALL M")</f>
        <v>10KM OVERALL M</v>
      </c>
      <c r="E329" s="1">
        <f>IFERROR(__xludf.DUMMYFUNCTION("""COMPUTED_VALUE"""),1.0)</f>
        <v>1</v>
      </c>
      <c r="F329" s="1" t="str">
        <f>IFERROR(__xludf.DUMMYFUNCTION("""COMPUTED_VALUE"""),"Male")</f>
        <v>Male</v>
      </c>
      <c r="G329" s="4" t="str">
        <f>IFERROR(__xludf.DUMMYFUNCTION("""COMPUTED_VALUE"""),"")</f>
        <v/>
      </c>
      <c r="H329" s="4" t="b">
        <f>IFERROR(__xludf.DUMMYFUNCTION("""COMPUTED_VALUE"""),TRUE)</f>
        <v>1</v>
      </c>
      <c r="I329" s="4">
        <f>IFERROR(__xludf.DUMMYFUNCTION("""COMPUTED_VALUE"""),0.24646185185185185)</f>
        <v>0.2464618519</v>
      </c>
      <c r="J329" s="4">
        <f>IFERROR(__xludf.DUMMYFUNCTION("""COMPUTED_VALUE"""),45949.25938779462)</f>
        <v>45949.25939</v>
      </c>
      <c r="K329" s="4">
        <f>IFERROR(__xludf.DUMMYFUNCTION("""COMPUTED_VALUE"""),45949.29181519352)</f>
        <v>45949.29182</v>
      </c>
      <c r="L329" s="4">
        <f>IFERROR(__xludf.DUMMYFUNCTION("""COMPUTED_VALUE"""),45949.3004563846)</f>
        <v>45949.30046</v>
      </c>
      <c r="M329" s="1" t="str">
        <f>IFERROR(__xludf.DUMMYFUNCTION("""COMPUTED_VALUE"""),"RFID")</f>
        <v>RFID</v>
      </c>
      <c r="N329" s="5">
        <f>IFERROR(__xludf.DUMMYFUNCTION("""COMPUTED_VALUE"""),0.005170375)</f>
        <v>0.005170375</v>
      </c>
      <c r="O329" s="5">
        <f>IFERROR(__xludf.DUMMYFUNCTION("""COMPUTED_VALUE"""),0.012970958333333333)</f>
        <v>0.01297095833</v>
      </c>
      <c r="P329" s="5">
        <f>IFERROR(__xludf.DUMMYFUNCTION("""COMPUTED_VALUE"""),0.0035560457095783586)</f>
        <v>0.00355604571</v>
      </c>
      <c r="Q329" s="5">
        <f>IFERROR(__xludf.DUMMYFUNCTION("""COMPUTED_VALUE"""),0.005399453703703703)</f>
        <v>0.005399453704</v>
      </c>
      <c r="R329" s="4">
        <f>IFERROR(__xludf.DUMMYFUNCTION("""COMPUTED_VALUE"""),45949.05399453275)</f>
        <v>45949.05399</v>
      </c>
      <c r="S329" s="1" t="b">
        <f>IFERROR(__xludf.DUMMYFUNCTION("""COMPUTED_VALUE"""),TRUE)</f>
        <v>1</v>
      </c>
      <c r="T329" s="1" t="b">
        <f>IFERROR(__xludf.DUMMYFUNCTION("""COMPUTED_VALUE"""),FALSE)</f>
        <v>0</v>
      </c>
      <c r="U329" s="1" t="str">
        <f>IFERROR(__xludf.DUMMYFUNCTION("""COMPUTED_VALUE"""),"VALID")</f>
        <v>VALID</v>
      </c>
      <c r="V329" s="1">
        <f>IFERROR(__xludf.DUMMYFUNCTION("""COMPUTED_VALUE"""),424.0)</f>
        <v>424</v>
      </c>
      <c r="W329" s="1">
        <f>IFERROR(__xludf.DUMMYFUNCTION("""COMPUTED_VALUE"""),505.0)</f>
        <v>505</v>
      </c>
      <c r="X329" s="1">
        <f>IFERROR(__xludf.DUMMYFUNCTION("""COMPUTED_VALUE"""),1483.0)</f>
        <v>1483</v>
      </c>
      <c r="Y329" s="2"/>
      <c r="Z329" s="2"/>
    </row>
    <row r="330">
      <c r="A330" s="1">
        <f>IFERROR(__xludf.DUMMYFUNCTION("""COMPUTED_VALUE"""),329.0)</f>
        <v>329</v>
      </c>
      <c r="B330" s="1">
        <f>IFERROR(__xludf.DUMMYFUNCTION("""COMPUTED_VALUE"""),10174.0)</f>
        <v>10174</v>
      </c>
      <c r="C330" s="2" t="str">
        <f>IFERROR(__xludf.DUMMYFUNCTION("""COMPUTED_VALUE"""),"rizqi wonk")</f>
        <v>rizqi wonk</v>
      </c>
      <c r="D330" s="2" t="str">
        <f>IFERROR(__xludf.DUMMYFUNCTION("""COMPUTED_VALUE"""),"10KM OVERALL M")</f>
        <v>10KM OVERALL M</v>
      </c>
      <c r="E330" s="1">
        <f>IFERROR(__xludf.DUMMYFUNCTION("""COMPUTED_VALUE"""),1.0)</f>
        <v>1</v>
      </c>
      <c r="F330" s="1" t="str">
        <f>IFERROR(__xludf.DUMMYFUNCTION("""COMPUTED_VALUE"""),"Male")</f>
        <v>Male</v>
      </c>
      <c r="G330" s="4" t="b">
        <f>IFERROR(__xludf.DUMMYFUNCTION("""COMPUTED_VALUE"""),TRUE)</f>
        <v>1</v>
      </c>
      <c r="H330" s="4" t="b">
        <f>IFERROR(__xludf.DUMMYFUNCTION("""COMPUTED_VALUE"""),TRUE)</f>
        <v>1</v>
      </c>
      <c r="I330" s="4">
        <f>IFERROR(__xludf.DUMMYFUNCTION("""COMPUTED_VALUE"""),0.24646185185185185)</f>
        <v>0.2464618519</v>
      </c>
      <c r="J330" s="4">
        <f>IFERROR(__xludf.DUMMYFUNCTION("""COMPUTED_VALUE"""),45949.25656910084)</f>
        <v>45949.25657</v>
      </c>
      <c r="K330" s="4">
        <f>IFERROR(__xludf.DUMMYFUNCTION("""COMPUTED_VALUE"""),45949.2806174075)</f>
        <v>45949.28062</v>
      </c>
      <c r="L330" s="4">
        <f>IFERROR(__xludf.DUMMYFUNCTION("""COMPUTED_VALUE"""),45949.286810594545)</f>
        <v>45949.28681</v>
      </c>
      <c r="M330" s="1" t="str">
        <f>IFERROR(__xludf.DUMMYFUNCTION("""COMPUTED_VALUE"""),"RFID")</f>
        <v>RFID</v>
      </c>
      <c r="N330" s="5">
        <f>IFERROR(__xludf.DUMMYFUNCTION("""COMPUTED_VALUE"""),0.004042898148148148)</f>
        <v>0.004042898148</v>
      </c>
      <c r="O330" s="5">
        <f>IFERROR(__xludf.DUMMYFUNCTION("""COMPUTED_VALUE"""),0.009619324074074074)</f>
        <v>0.009619324074</v>
      </c>
      <c r="P330" s="5">
        <f>IFERROR(__xludf.DUMMYFUNCTION("""COMPUTED_VALUE"""),0.002548636643670177)</f>
        <v>0.002548636644</v>
      </c>
      <c r="Q330" s="5">
        <f>IFERROR(__xludf.DUMMYFUNCTION("""COMPUTED_VALUE"""),0.0040348738425925925)</f>
        <v>0.004034873843</v>
      </c>
      <c r="R330" s="4">
        <f>IFERROR(__xludf.DUMMYFUNCTION("""COMPUTED_VALUE"""),45949.040348742696)</f>
        <v>45949.04035</v>
      </c>
      <c r="S330" s="1" t="b">
        <f>IFERROR(__xludf.DUMMYFUNCTION("""COMPUTED_VALUE"""),TRUE)</f>
        <v>1</v>
      </c>
      <c r="T330" s="1" t="b">
        <f>IFERROR(__xludf.DUMMYFUNCTION("""COMPUTED_VALUE"""),FALSE)</f>
        <v>0</v>
      </c>
      <c r="U330" s="1" t="str">
        <f>IFERROR(__xludf.DUMMYFUNCTION("""COMPUTED_VALUE"""),"VALID")</f>
        <v>VALID</v>
      </c>
      <c r="V330" s="1">
        <f>IFERROR(__xludf.DUMMYFUNCTION("""COMPUTED_VALUE"""),108.0)</f>
        <v>108</v>
      </c>
      <c r="W330" s="1">
        <f>IFERROR(__xludf.DUMMYFUNCTION("""COMPUTED_VALUE"""),130.0)</f>
        <v>130</v>
      </c>
      <c r="X330" s="1">
        <f>IFERROR(__xludf.DUMMYFUNCTION("""COMPUTED_VALUE"""),992.0)</f>
        <v>992</v>
      </c>
      <c r="Y330" s="2"/>
      <c r="Z330" s="2"/>
    </row>
    <row r="331">
      <c r="A331" s="1">
        <f>IFERROR(__xludf.DUMMYFUNCTION("""COMPUTED_VALUE"""),330.0)</f>
        <v>330</v>
      </c>
      <c r="B331" s="1">
        <f>IFERROR(__xludf.DUMMYFUNCTION("""COMPUTED_VALUE"""),10175.0)</f>
        <v>10175</v>
      </c>
      <c r="C331" s="2" t="str">
        <f>IFERROR(__xludf.DUMMYFUNCTION("""COMPUTED_VALUE"""),"Alvaro Shaquille")</f>
        <v>Alvaro Shaquille</v>
      </c>
      <c r="D331" s="2" t="str">
        <f>IFERROR(__xludf.DUMMYFUNCTION("""COMPUTED_VALUE"""),"10KM OVERALL M")</f>
        <v>10KM OVERALL M</v>
      </c>
      <c r="E331" s="1">
        <f>IFERROR(__xludf.DUMMYFUNCTION("""COMPUTED_VALUE"""),1.0)</f>
        <v>1</v>
      </c>
      <c r="F331" s="1" t="str">
        <f>IFERROR(__xludf.DUMMYFUNCTION("""COMPUTED_VALUE"""),"Male")</f>
        <v>Male</v>
      </c>
      <c r="G331" s="4" t="b">
        <f>IFERROR(__xludf.DUMMYFUNCTION("""COMPUTED_VALUE"""),TRUE)</f>
        <v>1</v>
      </c>
      <c r="H331" s="4" t="b">
        <f>IFERROR(__xludf.DUMMYFUNCTION("""COMPUTED_VALUE"""),FALSE)</f>
        <v>0</v>
      </c>
      <c r="I331" s="4">
        <f>IFERROR(__xludf.DUMMYFUNCTION("""COMPUTED_VALUE"""),0.24646185185185185)</f>
        <v>0.2464618519</v>
      </c>
      <c r="J331" s="4">
        <f>IFERROR(__xludf.DUMMYFUNCTION("""COMPUTED_VALUE"""),45949.256384324755)</f>
        <v>45949.25638</v>
      </c>
      <c r="K331" s="4">
        <f>IFERROR(__xludf.DUMMYFUNCTION("""COMPUTED_VALUE"""),45949.28489141343)</f>
        <v>45949.28489</v>
      </c>
      <c r="L331" s="4">
        <f>IFERROR(__xludf.DUMMYFUNCTION("""COMPUTED_VALUE"""),45949.29281053528)</f>
        <v>45949.29281</v>
      </c>
      <c r="M331" s="1" t="str">
        <f>IFERROR(__xludf.DUMMYFUNCTION("""COMPUTED_VALUE"""),"RFID")</f>
        <v>RFID</v>
      </c>
      <c r="N331" s="5">
        <f>IFERROR(__xludf.DUMMYFUNCTION("""COMPUTED_VALUE"""),0.003968990740740741)</f>
        <v>0.003968990741</v>
      </c>
      <c r="O331" s="5">
        <f>IFERROR(__xludf.DUMMYFUNCTION("""COMPUTED_VALUE"""),0.011402833333333334)</f>
        <v>0.01140283333</v>
      </c>
      <c r="P331" s="5">
        <f>IFERROR(__xludf.DUMMYFUNCTION("""COMPUTED_VALUE"""),0.003258897879217471)</f>
        <v>0.003258897879</v>
      </c>
      <c r="Q331" s="5">
        <f>IFERROR(__xludf.DUMMYFUNCTION("""COMPUTED_VALUE"""),0.004634868055555555)</f>
        <v>0.004634868056</v>
      </c>
      <c r="R331" s="4">
        <f>IFERROR(__xludf.DUMMYFUNCTION("""COMPUTED_VALUE"""),45949.04634868343)</f>
        <v>45949.04635</v>
      </c>
      <c r="S331" s="1" t="b">
        <f>IFERROR(__xludf.DUMMYFUNCTION("""COMPUTED_VALUE"""),TRUE)</f>
        <v>1</v>
      </c>
      <c r="T331" s="1" t="b">
        <f>IFERROR(__xludf.DUMMYFUNCTION("""COMPUTED_VALUE"""),FALSE)</f>
        <v>0</v>
      </c>
      <c r="U331" s="1" t="str">
        <f>IFERROR(__xludf.DUMMYFUNCTION("""COMPUTED_VALUE"""),"VALID")</f>
        <v>VALID</v>
      </c>
      <c r="V331" s="1">
        <f>IFERROR(__xludf.DUMMYFUNCTION("""COMPUTED_VALUE"""),252.0)</f>
        <v>252</v>
      </c>
      <c r="W331" s="1">
        <f>IFERROR(__xludf.DUMMYFUNCTION("""COMPUTED_VALUE"""),301.0)</f>
        <v>301</v>
      </c>
      <c r="X331" s="1">
        <f>IFERROR(__xludf.DUMMYFUNCTION("""COMPUTED_VALUE"""),1257.0)</f>
        <v>1257</v>
      </c>
      <c r="Y331" s="2"/>
      <c r="Z331" s="2"/>
    </row>
    <row r="332">
      <c r="A332" s="1">
        <f>IFERROR(__xludf.DUMMYFUNCTION("""COMPUTED_VALUE"""),331.0)</f>
        <v>331</v>
      </c>
      <c r="B332" s="1">
        <f>IFERROR(__xludf.DUMMYFUNCTION("""COMPUTED_VALUE"""),10176.0)</f>
        <v>10176</v>
      </c>
      <c r="C332" s="2" t="str">
        <f>IFERROR(__xludf.DUMMYFUNCTION("""COMPUTED_VALUE"""),"Anank_Ballers")</f>
        <v>Anank_Ballers</v>
      </c>
      <c r="D332" s="2" t="str">
        <f>IFERROR(__xludf.DUMMYFUNCTION("""COMPUTED_VALUE"""),"10KM OVERALL M")</f>
        <v>10KM OVERALL M</v>
      </c>
      <c r="E332" s="1">
        <f>IFERROR(__xludf.DUMMYFUNCTION("""COMPUTED_VALUE"""),1.0)</f>
        <v>1</v>
      </c>
      <c r="F332" s="1" t="str">
        <f>IFERROR(__xludf.DUMMYFUNCTION("""COMPUTED_VALUE"""),"Male")</f>
        <v>Male</v>
      </c>
      <c r="G332" s="4" t="b">
        <f>IFERROR(__xludf.DUMMYFUNCTION("""COMPUTED_VALUE"""),TRUE)</f>
        <v>1</v>
      </c>
      <c r="H332" s="4" t="b">
        <f>IFERROR(__xludf.DUMMYFUNCTION("""COMPUTED_VALUE"""),FALSE)</f>
        <v>0</v>
      </c>
      <c r="I332" s="4">
        <f>IFERROR(__xludf.DUMMYFUNCTION("""COMPUTED_VALUE"""),0.24646185185185185)</f>
        <v>0.2464618519</v>
      </c>
      <c r="J332" s="4">
        <f>IFERROR(__xludf.DUMMYFUNCTION("""COMPUTED_VALUE"""),45949.260117950864)</f>
        <v>45949.26012</v>
      </c>
      <c r="K332" s="4">
        <f>IFERROR(__xludf.DUMMYFUNCTION("""COMPUTED_VALUE"""),45949.302384593866)</f>
        <v>45949.30238</v>
      </c>
      <c r="L332" s="4">
        <f>IFERROR(__xludf.DUMMYFUNCTION("""COMPUTED_VALUE"""),45949.31283200714)</f>
        <v>45949.31283</v>
      </c>
      <c r="M332" s="1" t="str">
        <f>IFERROR(__xludf.DUMMYFUNCTION("""COMPUTED_VALUE"""),"RFID")</f>
        <v>RFID</v>
      </c>
      <c r="N332" s="5">
        <f>IFERROR(__xludf.DUMMYFUNCTION("""COMPUTED_VALUE"""),0.005462439814814814)</f>
        <v>0.005462439815</v>
      </c>
      <c r="O332" s="5">
        <f>IFERROR(__xludf.DUMMYFUNCTION("""COMPUTED_VALUE"""),0.01690665740740741)</f>
        <v>0.01690665741</v>
      </c>
      <c r="P332" s="5">
        <f>IFERROR(__xludf.DUMMYFUNCTION("""COMPUTED_VALUE"""),0.004299347026732563)</f>
        <v>0.004299347027</v>
      </c>
      <c r="Q332" s="5">
        <f>IFERROR(__xludf.DUMMYFUNCTION("""COMPUTED_VALUE"""),0.006637015046296296)</f>
        <v>0.006637015046</v>
      </c>
      <c r="R332" s="4">
        <f>IFERROR(__xludf.DUMMYFUNCTION("""COMPUTED_VALUE"""),45949.06637015529)</f>
        <v>45949.06637</v>
      </c>
      <c r="S332" s="1" t="b">
        <f>IFERROR(__xludf.DUMMYFUNCTION("""COMPUTED_VALUE"""),TRUE)</f>
        <v>1</v>
      </c>
      <c r="T332" s="1" t="b">
        <f>IFERROR(__xludf.DUMMYFUNCTION("""COMPUTED_VALUE"""),FALSE)</f>
        <v>0</v>
      </c>
      <c r="U332" s="1" t="str">
        <f>IFERROR(__xludf.DUMMYFUNCTION("""COMPUTED_VALUE"""),"VALID")</f>
        <v>VALID</v>
      </c>
      <c r="V332" s="1">
        <f>IFERROR(__xludf.DUMMYFUNCTION("""COMPUTED_VALUE"""),575.0)</f>
        <v>575</v>
      </c>
      <c r="W332" s="1">
        <f>IFERROR(__xludf.DUMMYFUNCTION("""COMPUTED_VALUE"""),714.0)</f>
        <v>714</v>
      </c>
      <c r="X332" s="1">
        <f>IFERROR(__xludf.DUMMYFUNCTION("""COMPUTED_VALUE"""),1652.0)</f>
        <v>1652</v>
      </c>
      <c r="Y332" s="2"/>
      <c r="Z332" s="2"/>
    </row>
    <row r="333">
      <c r="A333" s="1">
        <f>IFERROR(__xludf.DUMMYFUNCTION("""COMPUTED_VALUE"""),332.0)</f>
        <v>332</v>
      </c>
      <c r="B333" s="1">
        <f>IFERROR(__xludf.DUMMYFUNCTION("""COMPUTED_VALUE"""),10177.0)</f>
        <v>10177</v>
      </c>
      <c r="C333" s="2" t="str">
        <f>IFERROR(__xludf.DUMMYFUNCTION("""COMPUTED_VALUE"""),"Rizki")</f>
        <v>Rizki</v>
      </c>
      <c r="D333" s="2" t="str">
        <f>IFERROR(__xludf.DUMMYFUNCTION("""COMPUTED_VALUE"""),"10KM OVERALL M")</f>
        <v>10KM OVERALL M</v>
      </c>
      <c r="E333" s="1">
        <f>IFERROR(__xludf.DUMMYFUNCTION("""COMPUTED_VALUE"""),1.0)</f>
        <v>1</v>
      </c>
      <c r="F333" s="1" t="str">
        <f>IFERROR(__xludf.DUMMYFUNCTION("""COMPUTED_VALUE"""),"Male")</f>
        <v>Male</v>
      </c>
      <c r="G333" s="4" t="str">
        <f>IFERROR(__xludf.DUMMYFUNCTION("""COMPUTED_VALUE"""),"")</f>
        <v/>
      </c>
      <c r="H333" s="4" t="b">
        <f>IFERROR(__xludf.DUMMYFUNCTION("""COMPUTED_VALUE"""),FALSE)</f>
        <v>0</v>
      </c>
      <c r="I333" s="4">
        <f>IFERROR(__xludf.DUMMYFUNCTION("""COMPUTED_VALUE"""),0.24646185185185185)</f>
        <v>0.2464618519</v>
      </c>
      <c r="J333" s="4" t="str">
        <f>IFERROR(__xludf.DUMMYFUNCTION("""COMPUTED_VALUE"""),"")</f>
        <v/>
      </c>
      <c r="K333" s="4" t="str">
        <f>IFERROR(__xludf.DUMMYFUNCTION("""COMPUTED_VALUE"""),"")</f>
        <v/>
      </c>
      <c r="L333" s="4" t="str">
        <f>IFERROR(__xludf.DUMMYFUNCTION("""COMPUTED_VALUE"""),"")</f>
        <v/>
      </c>
      <c r="M333" s="1" t="str">
        <f>IFERROR(__xludf.DUMMYFUNCTION("""COMPUTED_VALUE"""),"RFID")</f>
        <v>RFID</v>
      </c>
      <c r="N333" s="5" t="str">
        <f>IFERROR(__xludf.DUMMYFUNCTION("""COMPUTED_VALUE"""),"")</f>
        <v/>
      </c>
      <c r="O333" s="5" t="str">
        <f>IFERROR(__xludf.DUMMYFUNCTION("""COMPUTED_VALUE"""),"")</f>
        <v/>
      </c>
      <c r="P333" s="5" t="str">
        <f>IFERROR(__xludf.DUMMYFUNCTION("""COMPUTED_VALUE"""),"")</f>
        <v/>
      </c>
      <c r="Q333" s="5" t="str">
        <f>IFERROR(__xludf.DUMMYFUNCTION("""COMPUTED_VALUE"""),"")</f>
        <v/>
      </c>
      <c r="R333" s="4" t="str">
        <f>IFERROR(__xludf.DUMMYFUNCTION("""COMPUTED_VALUE"""),"")</f>
        <v/>
      </c>
      <c r="S333" s="1" t="b">
        <f>IFERROR(__xludf.DUMMYFUNCTION("""COMPUTED_VALUE"""),FALSE)</f>
        <v>0</v>
      </c>
      <c r="T333" s="1" t="b">
        <f>IFERROR(__xludf.DUMMYFUNCTION("""COMPUTED_VALUE"""),FALSE)</f>
        <v>0</v>
      </c>
      <c r="U333" s="1" t="str">
        <f>IFERROR(__xludf.DUMMYFUNCTION("""COMPUTED_VALUE"""),"DSQ")</f>
        <v>DSQ</v>
      </c>
      <c r="V333" s="1" t="str">
        <f>IFERROR(__xludf.DUMMYFUNCTION("""COMPUTED_VALUE"""),"DSQ")</f>
        <v>DSQ</v>
      </c>
      <c r="W333" s="1" t="str">
        <f>IFERROR(__xludf.DUMMYFUNCTION("""COMPUTED_VALUE"""),"DSQ")</f>
        <v>DSQ</v>
      </c>
      <c r="X333" s="1" t="str">
        <f>IFERROR(__xludf.DUMMYFUNCTION("""COMPUTED_VALUE"""),"DSQ")</f>
        <v>DSQ</v>
      </c>
      <c r="Y333" s="2"/>
      <c r="Z333" s="2" t="str">
        <f>IFERROR(__xludf.DUMMYFUNCTION("""COMPUTED_VALUE"""),"")</f>
        <v/>
      </c>
    </row>
    <row r="334">
      <c r="A334" s="1">
        <f>IFERROR(__xludf.DUMMYFUNCTION("""COMPUTED_VALUE"""),333.0)</f>
        <v>333</v>
      </c>
      <c r="B334" s="1">
        <f>IFERROR(__xludf.DUMMYFUNCTION("""COMPUTED_VALUE"""),10178.0)</f>
        <v>10178</v>
      </c>
      <c r="C334" s="2" t="str">
        <f>IFERROR(__xludf.DUMMYFUNCTION("""COMPUTED_VALUE"""),"Randy Saputra")</f>
        <v>Randy Saputra</v>
      </c>
      <c r="D334" s="2" t="str">
        <f>IFERROR(__xludf.DUMMYFUNCTION("""COMPUTED_VALUE"""),"10KM OVERALL M")</f>
        <v>10KM OVERALL M</v>
      </c>
      <c r="E334" s="1">
        <f>IFERROR(__xludf.DUMMYFUNCTION("""COMPUTED_VALUE"""),1.0)</f>
        <v>1</v>
      </c>
      <c r="F334" s="1" t="str">
        <f>IFERROR(__xludf.DUMMYFUNCTION("""COMPUTED_VALUE"""),"Male")</f>
        <v>Male</v>
      </c>
      <c r="G334" s="4" t="b">
        <f>IFERROR(__xludf.DUMMYFUNCTION("""COMPUTED_VALUE"""),TRUE)</f>
        <v>1</v>
      </c>
      <c r="H334" s="4" t="b">
        <f>IFERROR(__xludf.DUMMYFUNCTION("""COMPUTED_VALUE"""),FALSE)</f>
        <v>0</v>
      </c>
      <c r="I334" s="4">
        <f>IFERROR(__xludf.DUMMYFUNCTION("""COMPUTED_VALUE"""),0.24646185185185185)</f>
        <v>0.2464618519</v>
      </c>
      <c r="J334" s="4">
        <f>IFERROR(__xludf.DUMMYFUNCTION("""COMPUTED_VALUE"""),45949.257089255)</f>
        <v>45949.25709</v>
      </c>
      <c r="K334" s="4">
        <f>IFERROR(__xludf.DUMMYFUNCTION("""COMPUTED_VALUE"""),45949.28602671877)</f>
        <v>45949.28603</v>
      </c>
      <c r="L334" s="4">
        <f>IFERROR(__xludf.DUMMYFUNCTION("""COMPUTED_VALUE"""),45949.29437656306)</f>
        <v>45949.29438</v>
      </c>
      <c r="M334" s="1" t="str">
        <f>IFERROR(__xludf.DUMMYFUNCTION("""COMPUTED_VALUE"""),"RFID")</f>
        <v>RFID</v>
      </c>
      <c r="N334" s="5">
        <f>IFERROR(__xludf.DUMMYFUNCTION("""COMPUTED_VALUE"""),0.0042509629629629625)</f>
        <v>0.004250962963</v>
      </c>
      <c r="O334" s="5">
        <f>IFERROR(__xludf.DUMMYFUNCTION("""COMPUTED_VALUE"""),0.011574986111111112)</f>
        <v>0.01157498611</v>
      </c>
      <c r="P334" s="5">
        <f>IFERROR(__xludf.DUMMYFUNCTION("""COMPUTED_VALUE"""),0.003436149913964241)</f>
        <v>0.003436149914</v>
      </c>
      <c r="Q334" s="5">
        <f>IFERROR(__xludf.DUMMYFUNCTION("""COMPUTED_VALUE"""),0.004791471064814815)</f>
        <v>0.004791471065</v>
      </c>
      <c r="R334" s="4">
        <f>IFERROR(__xludf.DUMMYFUNCTION("""COMPUTED_VALUE"""),45949.04791471121)</f>
        <v>45949.04791</v>
      </c>
      <c r="S334" s="1" t="b">
        <f>IFERROR(__xludf.DUMMYFUNCTION("""COMPUTED_VALUE"""),TRUE)</f>
        <v>1</v>
      </c>
      <c r="T334" s="1" t="b">
        <f>IFERROR(__xludf.DUMMYFUNCTION("""COMPUTED_VALUE"""),FALSE)</f>
        <v>0</v>
      </c>
      <c r="U334" s="1" t="str">
        <f>IFERROR(__xludf.DUMMYFUNCTION("""COMPUTED_VALUE"""),"VALID")</f>
        <v>VALID</v>
      </c>
      <c r="V334" s="1">
        <f>IFERROR(__xludf.DUMMYFUNCTION("""COMPUTED_VALUE"""),287.0)</f>
        <v>287</v>
      </c>
      <c r="W334" s="1">
        <f>IFERROR(__xludf.DUMMYFUNCTION("""COMPUTED_VALUE"""),339.0)</f>
        <v>339</v>
      </c>
      <c r="X334" s="1">
        <f>IFERROR(__xludf.DUMMYFUNCTION("""COMPUTED_VALUE"""),1304.0)</f>
        <v>1304</v>
      </c>
      <c r="Y334" s="2"/>
      <c r="Z334" s="2"/>
    </row>
    <row r="335">
      <c r="A335" s="1">
        <f>IFERROR(__xludf.DUMMYFUNCTION("""COMPUTED_VALUE"""),334.0)</f>
        <v>334</v>
      </c>
      <c r="B335" s="1">
        <f>IFERROR(__xludf.DUMMYFUNCTION("""COMPUTED_VALUE"""),10179.0)</f>
        <v>10179</v>
      </c>
      <c r="C335" s="2" t="str">
        <f>IFERROR(__xludf.DUMMYFUNCTION("""COMPUTED_VALUE"""),"WAN")</f>
        <v>WAN</v>
      </c>
      <c r="D335" s="2" t="str">
        <f>IFERROR(__xludf.DUMMYFUNCTION("""COMPUTED_VALUE"""),"10KM OVERALL M")</f>
        <v>10KM OVERALL M</v>
      </c>
      <c r="E335" s="1">
        <f>IFERROR(__xludf.DUMMYFUNCTION("""COMPUTED_VALUE"""),1.0)</f>
        <v>1</v>
      </c>
      <c r="F335" s="1" t="str">
        <f>IFERROR(__xludf.DUMMYFUNCTION("""COMPUTED_VALUE"""),"Male")</f>
        <v>Male</v>
      </c>
      <c r="G335" s="4" t="b">
        <f>IFERROR(__xludf.DUMMYFUNCTION("""COMPUTED_VALUE"""),TRUE)</f>
        <v>1</v>
      </c>
      <c r="H335" s="4" t="b">
        <f>IFERROR(__xludf.DUMMYFUNCTION("""COMPUTED_VALUE"""),TRUE)</f>
        <v>1</v>
      </c>
      <c r="I335" s="4">
        <f>IFERROR(__xludf.DUMMYFUNCTION("""COMPUTED_VALUE"""),0.24646185185185185)</f>
        <v>0.2464618519</v>
      </c>
      <c r="J335" s="4">
        <f>IFERROR(__xludf.DUMMYFUNCTION("""COMPUTED_VALUE"""),45949.25542252515)</f>
        <v>45949.25542</v>
      </c>
      <c r="K335" s="4">
        <f>IFERROR(__xludf.DUMMYFUNCTION("""COMPUTED_VALUE"""),45949.2791517395)</f>
        <v>45949.27915</v>
      </c>
      <c r="L335" s="4">
        <f>IFERROR(__xludf.DUMMYFUNCTION("""COMPUTED_VALUE"""),45949.28609178584)</f>
        <v>45949.28609</v>
      </c>
      <c r="M335" s="1" t="str">
        <f>IFERROR(__xludf.DUMMYFUNCTION("""COMPUTED_VALUE"""),"RFID")</f>
        <v>RFID</v>
      </c>
      <c r="N335" s="5">
        <f>IFERROR(__xludf.DUMMYFUNCTION("""COMPUTED_VALUE"""),0.0035842685185185187)</f>
        <v>0.003584268519</v>
      </c>
      <c r="O335" s="5">
        <f>IFERROR(__xludf.DUMMYFUNCTION("""COMPUTED_VALUE"""),0.009491685185185186)</f>
        <v>0.009491685185</v>
      </c>
      <c r="P335" s="5">
        <f>IFERROR(__xludf.DUMMYFUNCTION("""COMPUTED_VALUE"""),0.0028559861480978934)</f>
        <v>0.002855986148</v>
      </c>
      <c r="Q335" s="5">
        <f>IFERROR(__xludf.DUMMYFUNCTION("""COMPUTED_VALUE"""),0.0039629930555555555)</f>
        <v>0.003962993056</v>
      </c>
      <c r="R335" s="4">
        <f>IFERROR(__xludf.DUMMYFUNCTION("""COMPUTED_VALUE"""),45949.03962993399)</f>
        <v>45949.03963</v>
      </c>
      <c r="S335" s="1" t="b">
        <f>IFERROR(__xludf.DUMMYFUNCTION("""COMPUTED_VALUE"""),TRUE)</f>
        <v>1</v>
      </c>
      <c r="T335" s="1" t="b">
        <f>IFERROR(__xludf.DUMMYFUNCTION("""COMPUTED_VALUE"""),FALSE)</f>
        <v>0</v>
      </c>
      <c r="U335" s="1" t="str">
        <f>IFERROR(__xludf.DUMMYFUNCTION("""COMPUTED_VALUE"""),"VALID")</f>
        <v>VALID</v>
      </c>
      <c r="V335" s="1">
        <f>IFERROR(__xludf.DUMMYFUNCTION("""COMPUTED_VALUE"""),95.0)</f>
        <v>95</v>
      </c>
      <c r="W335" s="1">
        <f>IFERROR(__xludf.DUMMYFUNCTION("""COMPUTED_VALUE"""),114.0)</f>
        <v>114</v>
      </c>
      <c r="X335" s="1">
        <f>IFERROR(__xludf.DUMMYFUNCTION("""COMPUTED_VALUE"""),964.0)</f>
        <v>964</v>
      </c>
      <c r="Y335" s="2"/>
      <c r="Z335" s="2"/>
    </row>
    <row r="336">
      <c r="A336" s="1">
        <f>IFERROR(__xludf.DUMMYFUNCTION("""COMPUTED_VALUE"""),335.0)</f>
        <v>335</v>
      </c>
      <c r="B336" s="1">
        <f>IFERROR(__xludf.DUMMYFUNCTION("""COMPUTED_VALUE"""),10180.0)</f>
        <v>10180</v>
      </c>
      <c r="C336" s="2" t="str">
        <f>IFERROR(__xludf.DUMMYFUNCTION("""COMPUTED_VALUE"""),"pesall")</f>
        <v>pesall</v>
      </c>
      <c r="D336" s="2" t="str">
        <f>IFERROR(__xludf.DUMMYFUNCTION("""COMPUTED_VALUE"""),"10KM OVERALL M")</f>
        <v>10KM OVERALL M</v>
      </c>
      <c r="E336" s="1">
        <f>IFERROR(__xludf.DUMMYFUNCTION("""COMPUTED_VALUE"""),1.0)</f>
        <v>1</v>
      </c>
      <c r="F336" s="1" t="str">
        <f>IFERROR(__xludf.DUMMYFUNCTION("""COMPUTED_VALUE"""),"Male")</f>
        <v>Male</v>
      </c>
      <c r="G336" s="4" t="b">
        <f>IFERROR(__xludf.DUMMYFUNCTION("""COMPUTED_VALUE"""),TRUE)</f>
        <v>1</v>
      </c>
      <c r="H336" s="4" t="b">
        <f>IFERROR(__xludf.DUMMYFUNCTION("""COMPUTED_VALUE"""),TRUE)</f>
        <v>1</v>
      </c>
      <c r="I336" s="4">
        <f>IFERROR(__xludf.DUMMYFUNCTION("""COMPUTED_VALUE"""),0.24646185185185185)</f>
        <v>0.2464618519</v>
      </c>
      <c r="J336" s="4">
        <f>IFERROR(__xludf.DUMMYFUNCTION("""COMPUTED_VALUE"""),45949.25834613161)</f>
        <v>45949.25835</v>
      </c>
      <c r="K336" s="4">
        <f>IFERROR(__xludf.DUMMYFUNCTION("""COMPUTED_VALUE"""),45949.27996421401)</f>
        <v>45949.27996</v>
      </c>
      <c r="L336" s="4">
        <f>IFERROR(__xludf.DUMMYFUNCTION("""COMPUTED_VALUE"""),45949.28669943839)</f>
        <v>45949.2867</v>
      </c>
      <c r="M336" s="1" t="str">
        <f>IFERROR(__xludf.DUMMYFUNCTION("""COMPUTED_VALUE"""),"RFID")</f>
        <v>RFID</v>
      </c>
      <c r="N336" s="5">
        <f>IFERROR(__xludf.DUMMYFUNCTION("""COMPUTED_VALUE"""),0.004753712962962962)</f>
        <v>0.004753712963</v>
      </c>
      <c r="O336" s="5">
        <f>IFERROR(__xludf.DUMMYFUNCTION("""COMPUTED_VALUE"""),0.008647231481481481)</f>
        <v>0.008647231481</v>
      </c>
      <c r="P336" s="5">
        <f>IFERROR(__xludf.DUMMYFUNCTION("""COMPUTED_VALUE"""),0.002771697275162341)</f>
        <v>0.002771697275</v>
      </c>
      <c r="Q336" s="5">
        <f>IFERROR(__xludf.DUMMYFUNCTION("""COMPUTED_VALUE"""),0.004023758101851852)</f>
        <v>0.004023758102</v>
      </c>
      <c r="R336" s="4">
        <f>IFERROR(__xludf.DUMMYFUNCTION("""COMPUTED_VALUE"""),45949.04023758654)</f>
        <v>45949.04024</v>
      </c>
      <c r="S336" s="1" t="b">
        <f>IFERROR(__xludf.DUMMYFUNCTION("""COMPUTED_VALUE"""),TRUE)</f>
        <v>1</v>
      </c>
      <c r="T336" s="1" t="b">
        <f>IFERROR(__xludf.DUMMYFUNCTION("""COMPUTED_VALUE"""),FALSE)</f>
        <v>0</v>
      </c>
      <c r="U336" s="1" t="str">
        <f>IFERROR(__xludf.DUMMYFUNCTION("""COMPUTED_VALUE"""),"VALID")</f>
        <v>VALID</v>
      </c>
      <c r="V336" s="1">
        <f>IFERROR(__xludf.DUMMYFUNCTION("""COMPUTED_VALUE"""),107.0)</f>
        <v>107</v>
      </c>
      <c r="W336" s="1">
        <f>IFERROR(__xludf.DUMMYFUNCTION("""COMPUTED_VALUE"""),129.0)</f>
        <v>129</v>
      </c>
      <c r="X336" s="1">
        <f>IFERROR(__xludf.DUMMYFUNCTION("""COMPUTED_VALUE"""),988.0)</f>
        <v>988</v>
      </c>
      <c r="Y336" s="2"/>
      <c r="Z336" s="2"/>
    </row>
    <row r="337">
      <c r="A337" s="1">
        <f>IFERROR(__xludf.DUMMYFUNCTION("""COMPUTED_VALUE"""),336.0)</f>
        <v>336</v>
      </c>
      <c r="B337" s="1">
        <f>IFERROR(__xludf.DUMMYFUNCTION("""COMPUTED_VALUE"""),10181.0)</f>
        <v>10181</v>
      </c>
      <c r="C337" s="2" t="str">
        <f>IFERROR(__xludf.DUMMYFUNCTION("""COMPUTED_VALUE"""),"Ardea")</f>
        <v>Ardea</v>
      </c>
      <c r="D337" s="2" t="str">
        <f>IFERROR(__xludf.DUMMYFUNCTION("""COMPUTED_VALUE"""),"10KM OVERALL M")</f>
        <v>10KM OVERALL M</v>
      </c>
      <c r="E337" s="1">
        <f>IFERROR(__xludf.DUMMYFUNCTION("""COMPUTED_VALUE"""),1.0)</f>
        <v>1</v>
      </c>
      <c r="F337" s="1" t="str">
        <f>IFERROR(__xludf.DUMMYFUNCTION("""COMPUTED_VALUE"""),"Male")</f>
        <v>Male</v>
      </c>
      <c r="G337" s="4" t="b">
        <f>IFERROR(__xludf.DUMMYFUNCTION("""COMPUTED_VALUE"""),TRUE)</f>
        <v>1</v>
      </c>
      <c r="H337" s="4" t="b">
        <f>IFERROR(__xludf.DUMMYFUNCTION("""COMPUTED_VALUE"""),TRUE)</f>
        <v>1</v>
      </c>
      <c r="I337" s="4">
        <f>IFERROR(__xludf.DUMMYFUNCTION("""COMPUTED_VALUE"""),0.24646185185185185)</f>
        <v>0.2464618519</v>
      </c>
      <c r="J337" s="4">
        <f>IFERROR(__xludf.DUMMYFUNCTION("""COMPUTED_VALUE"""),45949.25577327387)</f>
        <v>45949.25577</v>
      </c>
      <c r="K337" s="4">
        <f>IFERROR(__xludf.DUMMYFUNCTION("""COMPUTED_VALUE"""),45949.281078880944)</f>
        <v>45949.28108</v>
      </c>
      <c r="L337" s="4">
        <f>IFERROR(__xludf.DUMMYFUNCTION("""COMPUTED_VALUE"""),45949.28940781506)</f>
        <v>45949.28941</v>
      </c>
      <c r="M337" s="1" t="str">
        <f>IFERROR(__xludf.DUMMYFUNCTION("""COMPUTED_VALUE"""),"RFID")</f>
        <v>RFID</v>
      </c>
      <c r="N337" s="5">
        <f>IFERROR(__xludf.DUMMYFUNCTION("""COMPUTED_VALUE"""),0.0037245694444444444)</f>
        <v>0.003724569444</v>
      </c>
      <c r="O337" s="5">
        <f>IFERROR(__xludf.DUMMYFUNCTION("""COMPUTED_VALUE"""),0.01012224074074074)</f>
        <v>0.01012224074</v>
      </c>
      <c r="P337" s="5">
        <f>IFERROR(__xludf.DUMMYFUNCTION("""COMPUTED_VALUE"""),0.0034275449023854153)</f>
        <v>0.003427544902</v>
      </c>
      <c r="Q337" s="5">
        <f>IFERROR(__xludf.DUMMYFUNCTION("""COMPUTED_VALUE"""),0.0042945960648148145)</f>
        <v>0.004294596065</v>
      </c>
      <c r="R337" s="4">
        <f>IFERROR(__xludf.DUMMYFUNCTION("""COMPUTED_VALUE"""),45949.04294596321)</f>
        <v>45949.04295</v>
      </c>
      <c r="S337" s="1" t="b">
        <f>IFERROR(__xludf.DUMMYFUNCTION("""COMPUTED_VALUE"""),TRUE)</f>
        <v>1</v>
      </c>
      <c r="T337" s="1" t="b">
        <f>IFERROR(__xludf.DUMMYFUNCTION("""COMPUTED_VALUE"""),FALSE)</f>
        <v>0</v>
      </c>
      <c r="U337" s="1" t="str">
        <f>IFERROR(__xludf.DUMMYFUNCTION("""COMPUTED_VALUE"""),"VALID")</f>
        <v>VALID</v>
      </c>
      <c r="V337" s="1">
        <f>IFERROR(__xludf.DUMMYFUNCTION("""COMPUTED_VALUE"""),167.0)</f>
        <v>167</v>
      </c>
      <c r="W337" s="1">
        <f>IFERROR(__xludf.DUMMYFUNCTION("""COMPUTED_VALUE"""),196.0)</f>
        <v>196</v>
      </c>
      <c r="X337" s="1">
        <f>IFERROR(__xludf.DUMMYFUNCTION("""COMPUTED_VALUE"""),1102.0)</f>
        <v>1102</v>
      </c>
      <c r="Y337" s="2"/>
      <c r="Z337" s="2"/>
    </row>
    <row r="338">
      <c r="A338" s="1">
        <f>IFERROR(__xludf.DUMMYFUNCTION("""COMPUTED_VALUE"""),337.0)</f>
        <v>337</v>
      </c>
      <c r="B338" s="1">
        <f>IFERROR(__xludf.DUMMYFUNCTION("""COMPUTED_VALUE"""),10182.0)</f>
        <v>10182</v>
      </c>
      <c r="C338" s="2" t="str">
        <f>IFERROR(__xludf.DUMMYFUNCTION("""COMPUTED_VALUE"""),"adhidwian")</f>
        <v>adhidwian</v>
      </c>
      <c r="D338" s="2" t="str">
        <f>IFERROR(__xludf.DUMMYFUNCTION("""COMPUTED_VALUE"""),"10KM OVERALL M")</f>
        <v>10KM OVERALL M</v>
      </c>
      <c r="E338" s="1">
        <f>IFERROR(__xludf.DUMMYFUNCTION("""COMPUTED_VALUE"""),1.0)</f>
        <v>1</v>
      </c>
      <c r="F338" s="1" t="str">
        <f>IFERROR(__xludf.DUMMYFUNCTION("""COMPUTED_VALUE"""),"Male")</f>
        <v>Male</v>
      </c>
      <c r="G338" s="4" t="b">
        <f>IFERROR(__xludf.DUMMYFUNCTION("""COMPUTED_VALUE"""),TRUE)</f>
        <v>1</v>
      </c>
      <c r="H338" s="4" t="b">
        <f>IFERROR(__xludf.DUMMYFUNCTION("""COMPUTED_VALUE"""),TRUE)</f>
        <v>1</v>
      </c>
      <c r="I338" s="4">
        <f>IFERROR(__xludf.DUMMYFUNCTION("""COMPUTED_VALUE"""),0.24646185185185185)</f>
        <v>0.2464618519</v>
      </c>
      <c r="J338" s="4">
        <f>IFERROR(__xludf.DUMMYFUNCTION("""COMPUTED_VALUE"""),45949.25700241663)</f>
        <v>45949.257</v>
      </c>
      <c r="K338" s="4">
        <f>IFERROR(__xludf.DUMMYFUNCTION("""COMPUTED_VALUE"""),45949.28334273229)</f>
        <v>45949.28334</v>
      </c>
      <c r="L338" s="4">
        <f>IFERROR(__xludf.DUMMYFUNCTION("""COMPUTED_VALUE"""),45949.29086610597)</f>
        <v>45949.29087</v>
      </c>
      <c r="M338" s="1" t="str">
        <f>IFERROR(__xludf.DUMMYFUNCTION("""COMPUTED_VALUE"""),"RFID")</f>
        <v>RFID</v>
      </c>
      <c r="N338" s="5">
        <f>IFERROR(__xludf.DUMMYFUNCTION("""COMPUTED_VALUE"""),0.004216226851851852)</f>
        <v>0.004216226852</v>
      </c>
      <c r="O338" s="5">
        <f>IFERROR(__xludf.DUMMYFUNCTION("""COMPUTED_VALUE"""),0.010536124999999999)</f>
        <v>0.010536125</v>
      </c>
      <c r="P338" s="5">
        <f>IFERROR(__xludf.DUMMYFUNCTION("""COMPUTED_VALUE"""),0.0030960385509672737)</f>
        <v>0.003096038551</v>
      </c>
      <c r="Q338" s="5">
        <f>IFERROR(__xludf.DUMMYFUNCTION("""COMPUTED_VALUE"""),0.004440425925925926)</f>
        <v>0.004440425926</v>
      </c>
      <c r="R338" s="4">
        <f>IFERROR(__xludf.DUMMYFUNCTION("""COMPUTED_VALUE"""),45949.04440425412)</f>
        <v>45949.0444</v>
      </c>
      <c r="S338" s="1" t="b">
        <f>IFERROR(__xludf.DUMMYFUNCTION("""COMPUTED_VALUE"""),TRUE)</f>
        <v>1</v>
      </c>
      <c r="T338" s="1" t="b">
        <f>IFERROR(__xludf.DUMMYFUNCTION("""COMPUTED_VALUE"""),FALSE)</f>
        <v>0</v>
      </c>
      <c r="U338" s="1" t="str">
        <f>IFERROR(__xludf.DUMMYFUNCTION("""COMPUTED_VALUE"""),"VALID")</f>
        <v>VALID</v>
      </c>
      <c r="V338" s="1">
        <f>IFERROR(__xludf.DUMMYFUNCTION("""COMPUTED_VALUE"""),200.0)</f>
        <v>200</v>
      </c>
      <c r="W338" s="1">
        <f>IFERROR(__xludf.DUMMYFUNCTION("""COMPUTED_VALUE"""),240.0)</f>
        <v>240</v>
      </c>
      <c r="X338" s="1">
        <f>IFERROR(__xludf.DUMMYFUNCTION("""COMPUTED_VALUE"""),1169.0)</f>
        <v>1169</v>
      </c>
      <c r="Y338" s="2"/>
      <c r="Z338" s="2"/>
    </row>
    <row r="339">
      <c r="A339" s="1">
        <f>IFERROR(__xludf.DUMMYFUNCTION("""COMPUTED_VALUE"""),338.0)</f>
        <v>338</v>
      </c>
      <c r="B339" s="1">
        <f>IFERROR(__xludf.DUMMYFUNCTION("""COMPUTED_VALUE"""),10183.0)</f>
        <v>10183</v>
      </c>
      <c r="C339" s="2" t="str">
        <f>IFERROR(__xludf.DUMMYFUNCTION("""COMPUTED_VALUE"""),"edy purnomo")</f>
        <v>edy purnomo</v>
      </c>
      <c r="D339" s="2" t="str">
        <f>IFERROR(__xludf.DUMMYFUNCTION("""COMPUTED_VALUE"""),"10KM OVERALL M")</f>
        <v>10KM OVERALL M</v>
      </c>
      <c r="E339" s="1">
        <f>IFERROR(__xludf.DUMMYFUNCTION("""COMPUTED_VALUE"""),1.0)</f>
        <v>1</v>
      </c>
      <c r="F339" s="1" t="str">
        <f>IFERROR(__xludf.DUMMYFUNCTION("""COMPUTED_VALUE"""),"Male")</f>
        <v>Male</v>
      </c>
      <c r="G339" s="4" t="str">
        <f>IFERROR(__xludf.DUMMYFUNCTION("""COMPUTED_VALUE"""),"")</f>
        <v/>
      </c>
      <c r="H339" s="4" t="b">
        <f>IFERROR(__xludf.DUMMYFUNCTION("""COMPUTED_VALUE"""),TRUE)</f>
        <v>1</v>
      </c>
      <c r="I339" s="4">
        <f>IFERROR(__xludf.DUMMYFUNCTION("""COMPUTED_VALUE"""),0.24646185185185185)</f>
        <v>0.2464618519</v>
      </c>
      <c r="J339" s="4" t="str">
        <f>IFERROR(__xludf.DUMMYFUNCTION("""COMPUTED_VALUE"""),"")</f>
        <v/>
      </c>
      <c r="K339" s="4">
        <f>IFERROR(__xludf.DUMMYFUNCTION("""COMPUTED_VALUE"""),45949.28809965681)</f>
        <v>45949.2881</v>
      </c>
      <c r="L339" s="4">
        <f>IFERROR(__xludf.DUMMYFUNCTION("""COMPUTED_VALUE"""),45949.29745989459)</f>
        <v>45949.29746</v>
      </c>
      <c r="M339" s="1" t="str">
        <f>IFERROR(__xludf.DUMMYFUNCTION("""COMPUTED_VALUE"""),"RFID")</f>
        <v>RFID</v>
      </c>
      <c r="N339" s="5" t="str">
        <f>IFERROR(__xludf.DUMMYFUNCTION("""COMPUTED_VALUE"""),"")</f>
        <v/>
      </c>
      <c r="O339" s="5" t="str">
        <f>IFERROR(__xludf.DUMMYFUNCTION("""COMPUTED_VALUE"""),"")</f>
        <v/>
      </c>
      <c r="P339" s="5">
        <f>IFERROR(__xludf.DUMMYFUNCTION("""COMPUTED_VALUE"""),0.003851949701511105)</f>
        <v>0.003851949702</v>
      </c>
      <c r="Q339" s="5">
        <f>IFERROR(__xludf.DUMMYFUNCTION("""COMPUTED_VALUE"""),0.005099804398148148)</f>
        <v>0.005099804398</v>
      </c>
      <c r="R339" s="4">
        <f>IFERROR(__xludf.DUMMYFUNCTION("""COMPUTED_VALUE"""),45949.05099804274)</f>
        <v>45949.051</v>
      </c>
      <c r="S339" s="1" t="b">
        <f>IFERROR(__xludf.DUMMYFUNCTION("""COMPUTED_VALUE"""),TRUE)</f>
        <v>1</v>
      </c>
      <c r="T339" s="1" t="b">
        <f>IFERROR(__xludf.DUMMYFUNCTION("""COMPUTED_VALUE"""),FALSE)</f>
        <v>0</v>
      </c>
      <c r="U339" s="1" t="str">
        <f>IFERROR(__xludf.DUMMYFUNCTION("""COMPUTED_VALUE"""),"VALID")</f>
        <v>VALID</v>
      </c>
      <c r="V339" s="1">
        <f>IFERROR(__xludf.DUMMYFUNCTION("""COMPUTED_VALUE"""),367.0)</f>
        <v>367</v>
      </c>
      <c r="W339" s="1">
        <f>IFERROR(__xludf.DUMMYFUNCTION("""COMPUTED_VALUE"""),435.0)</f>
        <v>435</v>
      </c>
      <c r="X339" s="1">
        <f>IFERROR(__xludf.DUMMYFUNCTION("""COMPUTED_VALUE"""),1414.0)</f>
        <v>1414</v>
      </c>
      <c r="Y339" s="2"/>
      <c r="Z339" s="2" t="str">
        <f>IFERROR(__xludf.DUMMYFUNCTION("""COMPUTED_VALUE"""),"")</f>
        <v/>
      </c>
    </row>
    <row r="340">
      <c r="A340" s="1">
        <f>IFERROR(__xludf.DUMMYFUNCTION("""COMPUTED_VALUE"""),339.0)</f>
        <v>339</v>
      </c>
      <c r="B340" s="1">
        <f>IFERROR(__xludf.DUMMYFUNCTION("""COMPUTED_VALUE"""),10184.0)</f>
        <v>10184</v>
      </c>
      <c r="C340" s="2" t="str">
        <f>IFERROR(__xludf.DUMMYFUNCTION("""COMPUTED_VALUE"""),"Dedy")</f>
        <v>Dedy</v>
      </c>
      <c r="D340" s="2" t="str">
        <f>IFERROR(__xludf.DUMMYFUNCTION("""COMPUTED_VALUE"""),"10KM OVERALL M")</f>
        <v>10KM OVERALL M</v>
      </c>
      <c r="E340" s="1">
        <f>IFERROR(__xludf.DUMMYFUNCTION("""COMPUTED_VALUE"""),1.0)</f>
        <v>1</v>
      </c>
      <c r="F340" s="1" t="str">
        <f>IFERROR(__xludf.DUMMYFUNCTION("""COMPUTED_VALUE"""),"Male")</f>
        <v>Male</v>
      </c>
      <c r="G340" s="4" t="b">
        <f>IFERROR(__xludf.DUMMYFUNCTION("""COMPUTED_VALUE"""),TRUE)</f>
        <v>1</v>
      </c>
      <c r="H340" s="4" t="b">
        <f>IFERROR(__xludf.DUMMYFUNCTION("""COMPUTED_VALUE"""),FALSE)</f>
        <v>0</v>
      </c>
      <c r="I340" s="4">
        <f>IFERROR(__xludf.DUMMYFUNCTION("""COMPUTED_VALUE"""),0.24646185185185185)</f>
        <v>0.2464618519</v>
      </c>
      <c r="J340" s="4">
        <f>IFERROR(__xludf.DUMMYFUNCTION("""COMPUTED_VALUE"""),45949.25632530259)</f>
        <v>45949.25633</v>
      </c>
      <c r="K340" s="4">
        <f>IFERROR(__xludf.DUMMYFUNCTION("""COMPUTED_VALUE"""),45949.28746074826)</f>
        <v>45949.28746</v>
      </c>
      <c r="L340" s="4">
        <f>IFERROR(__xludf.DUMMYFUNCTION("""COMPUTED_VALUE"""),45949.296845318335)</f>
        <v>45949.29685</v>
      </c>
      <c r="M340" s="1" t="str">
        <f>IFERROR(__xludf.DUMMYFUNCTION("""COMPUTED_VALUE"""),"RFID")</f>
        <v>RFID</v>
      </c>
      <c r="N340" s="5">
        <f>IFERROR(__xludf.DUMMYFUNCTION("""COMPUTED_VALUE"""),0.00394537962962963)</f>
        <v>0.00394537963</v>
      </c>
      <c r="O340" s="5">
        <f>IFERROR(__xludf.DUMMYFUNCTION("""COMPUTED_VALUE"""),0.012454180555555557)</f>
        <v>0.01245418056</v>
      </c>
      <c r="P340" s="5">
        <f>IFERROR(__xludf.DUMMYFUNCTION("""COMPUTED_VALUE"""),0.003861962994148594)</f>
        <v>0.003861962994</v>
      </c>
      <c r="Q340" s="5">
        <f>IFERROR(__xludf.DUMMYFUNCTION("""COMPUTED_VALUE"""),0.005038347222222222)</f>
        <v>0.005038347222</v>
      </c>
      <c r="R340" s="4">
        <f>IFERROR(__xludf.DUMMYFUNCTION("""COMPUTED_VALUE"""),45949.050383466485)</f>
        <v>45949.05038</v>
      </c>
      <c r="S340" s="1" t="b">
        <f>IFERROR(__xludf.DUMMYFUNCTION("""COMPUTED_VALUE"""),TRUE)</f>
        <v>1</v>
      </c>
      <c r="T340" s="1" t="b">
        <f>IFERROR(__xludf.DUMMYFUNCTION("""COMPUTED_VALUE"""),FALSE)</f>
        <v>0</v>
      </c>
      <c r="U340" s="1" t="str">
        <f>IFERROR(__xludf.DUMMYFUNCTION("""COMPUTED_VALUE"""),"VALID")</f>
        <v>VALID</v>
      </c>
      <c r="V340" s="1">
        <f>IFERROR(__xludf.DUMMYFUNCTION("""COMPUTED_VALUE"""),350.0)</f>
        <v>350</v>
      </c>
      <c r="W340" s="1">
        <f>IFERROR(__xludf.DUMMYFUNCTION("""COMPUTED_VALUE"""),413.0)</f>
        <v>413</v>
      </c>
      <c r="X340" s="1">
        <f>IFERROR(__xludf.DUMMYFUNCTION("""COMPUTED_VALUE"""),1393.0)</f>
        <v>1393</v>
      </c>
      <c r="Y340" s="2"/>
      <c r="Z340" s="2"/>
    </row>
    <row r="341">
      <c r="A341" s="1">
        <f>IFERROR(__xludf.DUMMYFUNCTION("""COMPUTED_VALUE"""),340.0)</f>
        <v>340</v>
      </c>
      <c r="B341" s="1">
        <f>IFERROR(__xludf.DUMMYFUNCTION("""COMPUTED_VALUE"""),10185.0)</f>
        <v>10185</v>
      </c>
      <c r="C341" s="2" t="str">
        <f>IFERROR(__xludf.DUMMYFUNCTION("""COMPUTED_VALUE"""),"alfianrzki")</f>
        <v>alfianrzki</v>
      </c>
      <c r="D341" s="2" t="str">
        <f>IFERROR(__xludf.DUMMYFUNCTION("""COMPUTED_VALUE"""),"10KM OVERALL M")</f>
        <v>10KM OVERALL M</v>
      </c>
      <c r="E341" s="1">
        <f>IFERROR(__xludf.DUMMYFUNCTION("""COMPUTED_VALUE"""),1.0)</f>
        <v>1</v>
      </c>
      <c r="F341" s="1" t="str">
        <f>IFERROR(__xludf.DUMMYFUNCTION("""COMPUTED_VALUE"""),"Male")</f>
        <v>Male</v>
      </c>
      <c r="G341" s="4" t="b">
        <f>IFERROR(__xludf.DUMMYFUNCTION("""COMPUTED_VALUE"""),TRUE)</f>
        <v>1</v>
      </c>
      <c r="H341" s="4" t="b">
        <f>IFERROR(__xludf.DUMMYFUNCTION("""COMPUTED_VALUE"""),TRUE)</f>
        <v>1</v>
      </c>
      <c r="I341" s="4">
        <f>IFERROR(__xludf.DUMMYFUNCTION("""COMPUTED_VALUE"""),0.24646185185185185)</f>
        <v>0.2464618519</v>
      </c>
      <c r="J341" s="4">
        <f>IFERROR(__xludf.DUMMYFUNCTION("""COMPUTED_VALUE"""),45949.2550822389)</f>
        <v>45949.25508</v>
      </c>
      <c r="K341" s="4">
        <f>IFERROR(__xludf.DUMMYFUNCTION("""COMPUTED_VALUE"""),45949.27649042579)</f>
        <v>45949.27649</v>
      </c>
      <c r="L341" s="4">
        <f>IFERROR(__xludf.DUMMYFUNCTION("""COMPUTED_VALUE"""),45949.28299810016)</f>
        <v>45949.283</v>
      </c>
      <c r="M341" s="1" t="str">
        <f>IFERROR(__xludf.DUMMYFUNCTION("""COMPUTED_VALUE"""),"RFID")</f>
        <v>RFID</v>
      </c>
      <c r="N341" s="5">
        <f>IFERROR(__xludf.DUMMYFUNCTION("""COMPUTED_VALUE"""),0.003448152777777778)</f>
        <v>0.003448152778</v>
      </c>
      <c r="O341" s="5">
        <f>IFERROR(__xludf.DUMMYFUNCTION("""COMPUTED_VALUE"""),0.008563273148148148)</f>
        <v>0.008563273148</v>
      </c>
      <c r="P341" s="5">
        <f>IFERROR(__xludf.DUMMYFUNCTION("""COMPUTED_VALUE"""),0.0026780552964479325)</f>
        <v>0.002678055296</v>
      </c>
      <c r="Q341" s="5">
        <f>IFERROR(__xludf.DUMMYFUNCTION("""COMPUTED_VALUE"""),0.0036536249999999998)</f>
        <v>0.003653625</v>
      </c>
      <c r="R341" s="4">
        <f>IFERROR(__xludf.DUMMYFUNCTION("""COMPUTED_VALUE"""),45949.03653624831)</f>
        <v>45949.03654</v>
      </c>
      <c r="S341" s="1" t="b">
        <f>IFERROR(__xludf.DUMMYFUNCTION("""COMPUTED_VALUE"""),TRUE)</f>
        <v>1</v>
      </c>
      <c r="T341" s="1" t="b">
        <f>IFERROR(__xludf.DUMMYFUNCTION("""COMPUTED_VALUE"""),FALSE)</f>
        <v>0</v>
      </c>
      <c r="U341" s="1" t="str">
        <f>IFERROR(__xludf.DUMMYFUNCTION("""COMPUTED_VALUE"""),"VALID")</f>
        <v>VALID</v>
      </c>
      <c r="V341" s="1">
        <f>IFERROR(__xludf.DUMMYFUNCTION("""COMPUTED_VALUE"""),52.0)</f>
        <v>52</v>
      </c>
      <c r="W341" s="1">
        <f>IFERROR(__xludf.DUMMYFUNCTION("""COMPUTED_VALUE"""),64.0)</f>
        <v>64</v>
      </c>
      <c r="X341" s="1">
        <f>IFERROR(__xludf.DUMMYFUNCTION("""COMPUTED_VALUE"""),807.0)</f>
        <v>807</v>
      </c>
      <c r="Y341" s="2"/>
      <c r="Z341" s="2"/>
    </row>
    <row r="342">
      <c r="A342" s="1">
        <f>IFERROR(__xludf.DUMMYFUNCTION("""COMPUTED_VALUE"""),341.0)</f>
        <v>341</v>
      </c>
      <c r="B342" s="1">
        <f>IFERROR(__xludf.DUMMYFUNCTION("""COMPUTED_VALUE"""),10186.0)</f>
        <v>10186</v>
      </c>
      <c r="C342" s="2" t="str">
        <f>IFERROR(__xludf.DUMMYFUNCTION("""COMPUTED_VALUE"""),"MIFTAH HADI")</f>
        <v>MIFTAH HADI</v>
      </c>
      <c r="D342" s="2" t="str">
        <f>IFERROR(__xludf.DUMMYFUNCTION("""COMPUTED_VALUE"""),"10KM OVERALL M")</f>
        <v>10KM OVERALL M</v>
      </c>
      <c r="E342" s="1">
        <f>IFERROR(__xludf.DUMMYFUNCTION("""COMPUTED_VALUE"""),1.0)</f>
        <v>1</v>
      </c>
      <c r="F342" s="1" t="str">
        <f>IFERROR(__xludf.DUMMYFUNCTION("""COMPUTED_VALUE"""),"Male")</f>
        <v>Male</v>
      </c>
      <c r="G342" s="4" t="str">
        <f>IFERROR(__xludf.DUMMYFUNCTION("""COMPUTED_VALUE"""),"")</f>
        <v/>
      </c>
      <c r="H342" s="4" t="b">
        <f>IFERROR(__xludf.DUMMYFUNCTION("""COMPUTED_VALUE"""),FALSE)</f>
        <v>0</v>
      </c>
      <c r="I342" s="4">
        <f>IFERROR(__xludf.DUMMYFUNCTION("""COMPUTED_VALUE"""),0.24646185185185185)</f>
        <v>0.2464618519</v>
      </c>
      <c r="J342" s="4" t="str">
        <f>IFERROR(__xludf.DUMMYFUNCTION("""COMPUTED_VALUE"""),"")</f>
        <v/>
      </c>
      <c r="K342" s="4" t="str">
        <f>IFERROR(__xludf.DUMMYFUNCTION("""COMPUTED_VALUE"""),"")</f>
        <v/>
      </c>
      <c r="L342" s="4" t="str">
        <f>IFERROR(__xludf.DUMMYFUNCTION("""COMPUTED_VALUE"""),"")</f>
        <v/>
      </c>
      <c r="M342" s="1" t="str">
        <f>IFERROR(__xludf.DUMMYFUNCTION("""COMPUTED_VALUE"""),"RFID")</f>
        <v>RFID</v>
      </c>
      <c r="N342" s="5" t="str">
        <f>IFERROR(__xludf.DUMMYFUNCTION("""COMPUTED_VALUE"""),"")</f>
        <v/>
      </c>
      <c r="O342" s="5" t="str">
        <f>IFERROR(__xludf.DUMMYFUNCTION("""COMPUTED_VALUE"""),"")</f>
        <v/>
      </c>
      <c r="P342" s="5" t="str">
        <f>IFERROR(__xludf.DUMMYFUNCTION("""COMPUTED_VALUE"""),"")</f>
        <v/>
      </c>
      <c r="Q342" s="5" t="str">
        <f>IFERROR(__xludf.DUMMYFUNCTION("""COMPUTED_VALUE"""),"")</f>
        <v/>
      </c>
      <c r="R342" s="4" t="str">
        <f>IFERROR(__xludf.DUMMYFUNCTION("""COMPUTED_VALUE"""),"")</f>
        <v/>
      </c>
      <c r="S342" s="1" t="b">
        <f>IFERROR(__xludf.DUMMYFUNCTION("""COMPUTED_VALUE"""),FALSE)</f>
        <v>0</v>
      </c>
      <c r="T342" s="1" t="b">
        <f>IFERROR(__xludf.DUMMYFUNCTION("""COMPUTED_VALUE"""),FALSE)</f>
        <v>0</v>
      </c>
      <c r="U342" s="1" t="str">
        <f>IFERROR(__xludf.DUMMYFUNCTION("""COMPUTED_VALUE"""),"DSQ")</f>
        <v>DSQ</v>
      </c>
      <c r="V342" s="1" t="str">
        <f>IFERROR(__xludf.DUMMYFUNCTION("""COMPUTED_VALUE"""),"DSQ")</f>
        <v>DSQ</v>
      </c>
      <c r="W342" s="1" t="str">
        <f>IFERROR(__xludf.DUMMYFUNCTION("""COMPUTED_VALUE"""),"DSQ")</f>
        <v>DSQ</v>
      </c>
      <c r="X342" s="1" t="str">
        <f>IFERROR(__xludf.DUMMYFUNCTION("""COMPUTED_VALUE"""),"DSQ")</f>
        <v>DSQ</v>
      </c>
      <c r="Y342" s="2"/>
      <c r="Z342" s="2" t="str">
        <f>IFERROR(__xludf.DUMMYFUNCTION("""COMPUTED_VALUE"""),"")</f>
        <v/>
      </c>
    </row>
    <row r="343">
      <c r="A343" s="1">
        <f>IFERROR(__xludf.DUMMYFUNCTION("""COMPUTED_VALUE"""),342.0)</f>
        <v>342</v>
      </c>
      <c r="B343" s="1">
        <f>IFERROR(__xludf.DUMMYFUNCTION("""COMPUTED_VALUE"""),10187.0)</f>
        <v>10187</v>
      </c>
      <c r="C343" s="2" t="str">
        <f>IFERROR(__xludf.DUMMYFUNCTION("""COMPUTED_VALUE"""),"ABID")</f>
        <v>ABID</v>
      </c>
      <c r="D343" s="2" t="str">
        <f>IFERROR(__xludf.DUMMYFUNCTION("""COMPUTED_VALUE"""),"10KM OVERALL M")</f>
        <v>10KM OVERALL M</v>
      </c>
      <c r="E343" s="1">
        <f>IFERROR(__xludf.DUMMYFUNCTION("""COMPUTED_VALUE"""),1.0)</f>
        <v>1</v>
      </c>
      <c r="F343" s="1" t="str">
        <f>IFERROR(__xludf.DUMMYFUNCTION("""COMPUTED_VALUE"""),"Male")</f>
        <v>Male</v>
      </c>
      <c r="G343" s="4" t="b">
        <f>IFERROR(__xludf.DUMMYFUNCTION("""COMPUTED_VALUE"""),TRUE)</f>
        <v>1</v>
      </c>
      <c r="H343" s="4" t="b">
        <f>IFERROR(__xludf.DUMMYFUNCTION("""COMPUTED_VALUE"""),FALSE)</f>
        <v>0</v>
      </c>
      <c r="I343" s="4">
        <f>IFERROR(__xludf.DUMMYFUNCTION("""COMPUTED_VALUE"""),0.24646185185185185)</f>
        <v>0.2464618519</v>
      </c>
      <c r="J343" s="4">
        <f>IFERROR(__xludf.DUMMYFUNCTION("""COMPUTED_VALUE"""),45949.25583989604)</f>
        <v>45949.25584</v>
      </c>
      <c r="K343" s="4">
        <f>IFERROR(__xludf.DUMMYFUNCTION("""COMPUTED_VALUE"""),45949.2790337218)</f>
        <v>45949.27903</v>
      </c>
      <c r="L343" s="4">
        <f>IFERROR(__xludf.DUMMYFUNCTION("""COMPUTED_VALUE"""),45949.28595990883)</f>
        <v>45949.28596</v>
      </c>
      <c r="M343" s="1" t="str">
        <f>IFERROR(__xludf.DUMMYFUNCTION("""COMPUTED_VALUE"""),"RFID")</f>
        <v>RFID</v>
      </c>
      <c r="N343" s="5">
        <f>IFERROR(__xludf.DUMMYFUNCTION("""COMPUTED_VALUE"""),0.003751217592592593)</f>
        <v>0.003751217593</v>
      </c>
      <c r="O343" s="5">
        <f>IFERROR(__xludf.DUMMYFUNCTION("""COMPUTED_VALUE"""),0.009277532407407408)</f>
        <v>0.009277532407</v>
      </c>
      <c r="P343" s="5">
        <f>IFERROR(__xludf.DUMMYFUNCTION("""COMPUTED_VALUE"""),0.0028502827285311794)</f>
        <v>0.002850282729</v>
      </c>
      <c r="Q343" s="5">
        <f>IFERROR(__xludf.DUMMYFUNCTION("""COMPUTED_VALUE"""),0.003949805555555555)</f>
        <v>0.003949805556</v>
      </c>
      <c r="R343" s="4">
        <f>IFERROR(__xludf.DUMMYFUNCTION("""COMPUTED_VALUE"""),45949.03949805698)</f>
        <v>45949.0395</v>
      </c>
      <c r="S343" s="1" t="b">
        <f>IFERROR(__xludf.DUMMYFUNCTION("""COMPUTED_VALUE"""),TRUE)</f>
        <v>1</v>
      </c>
      <c r="T343" s="1" t="b">
        <f>IFERROR(__xludf.DUMMYFUNCTION("""COMPUTED_VALUE"""),FALSE)</f>
        <v>0</v>
      </c>
      <c r="U343" s="1" t="str">
        <f>IFERROR(__xludf.DUMMYFUNCTION("""COMPUTED_VALUE"""),"VALID")</f>
        <v>VALID</v>
      </c>
      <c r="V343" s="1">
        <f>IFERROR(__xludf.DUMMYFUNCTION("""COMPUTED_VALUE"""),88.0)</f>
        <v>88</v>
      </c>
      <c r="W343" s="1">
        <f>IFERROR(__xludf.DUMMYFUNCTION("""COMPUTED_VALUE"""),107.0)</f>
        <v>107</v>
      </c>
      <c r="X343" s="1">
        <f>IFERROR(__xludf.DUMMYFUNCTION("""COMPUTED_VALUE"""),952.0)</f>
        <v>952</v>
      </c>
      <c r="Y343" s="2"/>
      <c r="Z343" s="2"/>
    </row>
    <row r="344">
      <c r="A344" s="1">
        <f>IFERROR(__xludf.DUMMYFUNCTION("""COMPUTED_VALUE"""),343.0)</f>
        <v>343</v>
      </c>
      <c r="B344" s="1">
        <f>IFERROR(__xludf.DUMMYFUNCTION("""COMPUTED_VALUE"""),10188.0)</f>
        <v>10188</v>
      </c>
      <c r="C344" s="2" t="str">
        <f>IFERROR(__xludf.DUMMYFUNCTION("""COMPUTED_VALUE"""),"ariagfa")</f>
        <v>ariagfa</v>
      </c>
      <c r="D344" s="2" t="str">
        <f>IFERROR(__xludf.DUMMYFUNCTION("""COMPUTED_VALUE"""),"10KM OVERALL M")</f>
        <v>10KM OVERALL M</v>
      </c>
      <c r="E344" s="1">
        <f>IFERROR(__xludf.DUMMYFUNCTION("""COMPUTED_VALUE"""),1.0)</f>
        <v>1</v>
      </c>
      <c r="F344" s="1" t="str">
        <f>IFERROR(__xludf.DUMMYFUNCTION("""COMPUTED_VALUE"""),"Male")</f>
        <v>Male</v>
      </c>
      <c r="G344" s="4" t="b">
        <f>IFERROR(__xludf.DUMMYFUNCTION("""COMPUTED_VALUE"""),TRUE)</f>
        <v>1</v>
      </c>
      <c r="H344" s="4" t="b">
        <f>IFERROR(__xludf.DUMMYFUNCTION("""COMPUTED_VALUE"""),TRUE)</f>
        <v>1</v>
      </c>
      <c r="I344" s="4">
        <f>IFERROR(__xludf.DUMMYFUNCTION("""COMPUTED_VALUE"""),0.24646185185185185)</f>
        <v>0.2464618519</v>
      </c>
      <c r="J344" s="4">
        <f>IFERROR(__xludf.DUMMYFUNCTION("""COMPUTED_VALUE"""),45949.26026975112)</f>
        <v>45949.26027</v>
      </c>
      <c r="K344" s="4">
        <f>IFERROR(__xludf.DUMMYFUNCTION("""COMPUTED_VALUE"""),45949.30092272861)</f>
        <v>45949.30092</v>
      </c>
      <c r="L344" s="4">
        <f>IFERROR(__xludf.DUMMYFUNCTION("""COMPUTED_VALUE"""),45949.31299109475)</f>
        <v>45949.31299</v>
      </c>
      <c r="M344" s="1" t="str">
        <f>IFERROR(__xludf.DUMMYFUNCTION("""COMPUTED_VALUE"""),"RFID")</f>
        <v>RFID</v>
      </c>
      <c r="N344" s="5">
        <f>IFERROR(__xludf.DUMMYFUNCTION("""COMPUTED_VALUE"""),0.005523157407407407)</f>
        <v>0.005523157407</v>
      </c>
      <c r="O344" s="5">
        <f>IFERROR(__xludf.DUMMYFUNCTION("""COMPUTED_VALUE"""),0.016261189814814815)</f>
        <v>0.01626118981</v>
      </c>
      <c r="P344" s="5">
        <f>IFERROR(__xludf.DUMMYFUNCTION("""COMPUTED_VALUE"""),0.004966405817736783)</f>
        <v>0.004966405818</v>
      </c>
      <c r="Q344" s="5">
        <f>IFERROR(__xludf.DUMMYFUNCTION("""COMPUTED_VALUE"""),0.006652924768518519)</f>
        <v>0.006652924769</v>
      </c>
      <c r="R344" s="4">
        <f>IFERROR(__xludf.DUMMYFUNCTION("""COMPUTED_VALUE"""),45949.0665292429)</f>
        <v>45949.06653</v>
      </c>
      <c r="S344" s="1" t="b">
        <f>IFERROR(__xludf.DUMMYFUNCTION("""COMPUTED_VALUE"""),TRUE)</f>
        <v>1</v>
      </c>
      <c r="T344" s="1" t="b">
        <f>IFERROR(__xludf.DUMMYFUNCTION("""COMPUTED_VALUE"""),FALSE)</f>
        <v>0</v>
      </c>
      <c r="U344" s="1" t="str">
        <f>IFERROR(__xludf.DUMMYFUNCTION("""COMPUTED_VALUE"""),"VALID")</f>
        <v>VALID</v>
      </c>
      <c r="V344" s="1">
        <f>IFERROR(__xludf.DUMMYFUNCTION("""COMPUTED_VALUE"""),577.0)</f>
        <v>577</v>
      </c>
      <c r="W344" s="1">
        <f>IFERROR(__xludf.DUMMYFUNCTION("""COMPUTED_VALUE"""),716.0)</f>
        <v>716</v>
      </c>
      <c r="X344" s="1">
        <f>IFERROR(__xludf.DUMMYFUNCTION("""COMPUTED_VALUE"""),1654.0)</f>
        <v>1654</v>
      </c>
      <c r="Y344" s="2"/>
      <c r="Z344" s="2"/>
    </row>
    <row r="345">
      <c r="A345" s="1">
        <f>IFERROR(__xludf.DUMMYFUNCTION("""COMPUTED_VALUE"""),344.0)</f>
        <v>344</v>
      </c>
      <c r="B345" s="1">
        <f>IFERROR(__xludf.DUMMYFUNCTION("""COMPUTED_VALUE"""),10189.0)</f>
        <v>10189</v>
      </c>
      <c r="C345" s="2" t="str">
        <f>IFERROR(__xludf.DUMMYFUNCTION("""COMPUTED_VALUE"""),"ASRO MAILANDO ISPANDIAR")</f>
        <v>ASRO MAILANDO ISPANDIAR</v>
      </c>
      <c r="D345" s="2" t="str">
        <f>IFERROR(__xludf.DUMMYFUNCTION("""COMPUTED_VALUE"""),"10KM OVERALL M")</f>
        <v>10KM OVERALL M</v>
      </c>
      <c r="E345" s="1">
        <f>IFERROR(__xludf.DUMMYFUNCTION("""COMPUTED_VALUE"""),1.0)</f>
        <v>1</v>
      </c>
      <c r="F345" s="1" t="str">
        <f>IFERROR(__xludf.DUMMYFUNCTION("""COMPUTED_VALUE"""),"Male")</f>
        <v>Male</v>
      </c>
      <c r="G345" s="4" t="b">
        <f>IFERROR(__xludf.DUMMYFUNCTION("""COMPUTED_VALUE"""),TRUE)</f>
        <v>1</v>
      </c>
      <c r="H345" s="4" t="b">
        <f>IFERROR(__xludf.DUMMYFUNCTION("""COMPUTED_VALUE"""),TRUE)</f>
        <v>1</v>
      </c>
      <c r="I345" s="4">
        <f>IFERROR(__xludf.DUMMYFUNCTION("""COMPUTED_VALUE"""),0.24646185185185185)</f>
        <v>0.2464618519</v>
      </c>
      <c r="J345" s="4">
        <f>IFERROR(__xludf.DUMMYFUNCTION("""COMPUTED_VALUE"""),45949.25814480073)</f>
        <v>45949.25814</v>
      </c>
      <c r="K345" s="4">
        <f>IFERROR(__xludf.DUMMYFUNCTION("""COMPUTED_VALUE"""),45949.289560185185)</f>
        <v>45949.28956</v>
      </c>
      <c r="L345" s="4">
        <f>IFERROR(__xludf.DUMMYFUNCTION("""COMPUTED_VALUE"""),45949.29774115444)</f>
        <v>45949.29774</v>
      </c>
      <c r="M345" s="1" t="str">
        <f>IFERROR(__xludf.DUMMYFUNCTION("""COMPUTED_VALUE"""),"RFID")</f>
        <v>RFID</v>
      </c>
      <c r="N345" s="5">
        <f>IFERROR(__xludf.DUMMYFUNCTION("""COMPUTED_VALUE"""),0.004673180555555555)</f>
        <v>0.004673180556</v>
      </c>
      <c r="O345" s="5">
        <f>IFERROR(__xludf.DUMMYFUNCTION("""COMPUTED_VALUE"""),0.012566152777777779)</f>
        <v>0.01256615278</v>
      </c>
      <c r="P345" s="5">
        <f>IFERROR(__xludf.DUMMYFUNCTION("""COMPUTED_VALUE"""),0.003366654015020678)</f>
        <v>0.003366654015</v>
      </c>
      <c r="Q345" s="5">
        <f>IFERROR(__xludf.DUMMYFUNCTION("""COMPUTED_VALUE"""),0.005127930555555556)</f>
        <v>0.005127930556</v>
      </c>
      <c r="R345" s="4">
        <f>IFERROR(__xludf.DUMMYFUNCTION("""COMPUTED_VALUE"""),45949.05127930259)</f>
        <v>45949.05128</v>
      </c>
      <c r="S345" s="1" t="b">
        <f>IFERROR(__xludf.DUMMYFUNCTION("""COMPUTED_VALUE"""),TRUE)</f>
        <v>1</v>
      </c>
      <c r="T345" s="1" t="b">
        <f>IFERROR(__xludf.DUMMYFUNCTION("""COMPUTED_VALUE"""),FALSE)</f>
        <v>0</v>
      </c>
      <c r="U345" s="1" t="str">
        <f>IFERROR(__xludf.DUMMYFUNCTION("""COMPUTED_VALUE"""),"VALID")</f>
        <v>VALID</v>
      </c>
      <c r="V345" s="1">
        <f>IFERROR(__xludf.DUMMYFUNCTION("""COMPUTED_VALUE"""),371.0)</f>
        <v>371</v>
      </c>
      <c r="W345" s="1">
        <f>IFERROR(__xludf.DUMMYFUNCTION("""COMPUTED_VALUE"""),439.0)</f>
        <v>439</v>
      </c>
      <c r="X345" s="1">
        <f>IFERROR(__xludf.DUMMYFUNCTION("""COMPUTED_VALUE"""),1418.0)</f>
        <v>1418</v>
      </c>
      <c r="Y345" s="2"/>
      <c r="Z345" s="2"/>
    </row>
    <row r="346">
      <c r="A346" s="1">
        <f>IFERROR(__xludf.DUMMYFUNCTION("""COMPUTED_VALUE"""),345.0)</f>
        <v>345</v>
      </c>
      <c r="B346" s="1">
        <f>IFERROR(__xludf.DUMMYFUNCTION("""COMPUTED_VALUE"""),10190.0)</f>
        <v>10190</v>
      </c>
      <c r="C346" s="2" t="str">
        <f>IFERROR(__xludf.DUMMYFUNCTION("""COMPUTED_VALUE"""),"Ahmad D.S")</f>
        <v>Ahmad D.S</v>
      </c>
      <c r="D346" s="2" t="str">
        <f>IFERROR(__xludf.DUMMYFUNCTION("""COMPUTED_VALUE"""),"10KM OVERALL M")</f>
        <v>10KM OVERALL M</v>
      </c>
      <c r="E346" s="1">
        <f>IFERROR(__xludf.DUMMYFUNCTION("""COMPUTED_VALUE"""),1.0)</f>
        <v>1</v>
      </c>
      <c r="F346" s="1" t="str">
        <f>IFERROR(__xludf.DUMMYFUNCTION("""COMPUTED_VALUE"""),"Male")</f>
        <v>Male</v>
      </c>
      <c r="G346" s="4" t="b">
        <f>IFERROR(__xludf.DUMMYFUNCTION("""COMPUTED_VALUE"""),TRUE)</f>
        <v>1</v>
      </c>
      <c r="H346" s="4" t="b">
        <f>IFERROR(__xludf.DUMMYFUNCTION("""COMPUTED_VALUE"""),FALSE)</f>
        <v>0</v>
      </c>
      <c r="I346" s="4">
        <f>IFERROR(__xludf.DUMMYFUNCTION("""COMPUTED_VALUE"""),0.24646185185185185)</f>
        <v>0.2464618519</v>
      </c>
      <c r="J346" s="4" t="str">
        <f>IFERROR(__xludf.DUMMYFUNCTION("""COMPUTED_VALUE"""),"")</f>
        <v/>
      </c>
      <c r="K346" s="4">
        <f>IFERROR(__xludf.DUMMYFUNCTION("""COMPUTED_VALUE"""),45949.29235332429)</f>
        <v>45949.29235</v>
      </c>
      <c r="L346" s="4">
        <f>IFERROR(__xludf.DUMMYFUNCTION("""COMPUTED_VALUE"""),45949.30284532868)</f>
        <v>45949.30285</v>
      </c>
      <c r="M346" s="1" t="str">
        <f>IFERROR(__xludf.DUMMYFUNCTION("""COMPUTED_VALUE"""),"RFID")</f>
        <v>RFID</v>
      </c>
      <c r="N346" s="5" t="str">
        <f>IFERROR(__xludf.DUMMYFUNCTION("""COMPUTED_VALUE"""),"")</f>
        <v/>
      </c>
      <c r="O346" s="5" t="str">
        <f>IFERROR(__xludf.DUMMYFUNCTION("""COMPUTED_VALUE"""),"")</f>
        <v/>
      </c>
      <c r="P346" s="5">
        <f>IFERROR(__xludf.DUMMYFUNCTION("""COMPUTED_VALUE"""),0.004317697282274993)</f>
        <v>0.004317697282</v>
      </c>
      <c r="Q346" s="5">
        <f>IFERROR(__xludf.DUMMYFUNCTION("""COMPUTED_VALUE"""),0.0056383472222222225)</f>
        <v>0.005638347222</v>
      </c>
      <c r="R346" s="4">
        <f>IFERROR(__xludf.DUMMYFUNCTION("""COMPUTED_VALUE"""),45949.05638347683)</f>
        <v>45949.05638</v>
      </c>
      <c r="S346" s="1" t="b">
        <f>IFERROR(__xludf.DUMMYFUNCTION("""COMPUTED_VALUE"""),TRUE)</f>
        <v>1</v>
      </c>
      <c r="T346" s="1" t="b">
        <f>IFERROR(__xludf.DUMMYFUNCTION("""COMPUTED_VALUE"""),FALSE)</f>
        <v>0</v>
      </c>
      <c r="U346" s="1" t="str">
        <f>IFERROR(__xludf.DUMMYFUNCTION("""COMPUTED_VALUE"""),"VALID")</f>
        <v>VALID</v>
      </c>
      <c r="V346" s="1">
        <f>IFERROR(__xludf.DUMMYFUNCTION("""COMPUTED_VALUE"""),486.0)</f>
        <v>486</v>
      </c>
      <c r="W346" s="1">
        <f>IFERROR(__xludf.DUMMYFUNCTION("""COMPUTED_VALUE"""),582.0)</f>
        <v>582</v>
      </c>
      <c r="X346" s="1">
        <f>IFERROR(__xludf.DUMMYFUNCTION("""COMPUTED_VALUE"""),1554.0)</f>
        <v>1554</v>
      </c>
      <c r="Y346" s="2"/>
      <c r="Z346" s="2" t="str">
        <f>IFERROR(__xludf.DUMMYFUNCTION("""COMPUTED_VALUE"""),"")</f>
        <v/>
      </c>
    </row>
    <row r="347">
      <c r="A347" s="1">
        <f>IFERROR(__xludf.DUMMYFUNCTION("""COMPUTED_VALUE"""),346.0)</f>
        <v>346</v>
      </c>
      <c r="B347" s="1">
        <f>IFERROR(__xludf.DUMMYFUNCTION("""COMPUTED_VALUE"""),10191.0)</f>
        <v>10191</v>
      </c>
      <c r="C347" s="2" t="str">
        <f>IFERROR(__xludf.DUMMYFUNCTION("""COMPUTED_VALUE"""),"M. Noor P.")</f>
        <v>M. Noor P.</v>
      </c>
      <c r="D347" s="2" t="str">
        <f>IFERROR(__xludf.DUMMYFUNCTION("""COMPUTED_VALUE"""),"10KM OVERALL M")</f>
        <v>10KM OVERALL M</v>
      </c>
      <c r="E347" s="1">
        <f>IFERROR(__xludf.DUMMYFUNCTION("""COMPUTED_VALUE"""),1.0)</f>
        <v>1</v>
      </c>
      <c r="F347" s="1" t="str">
        <f>IFERROR(__xludf.DUMMYFUNCTION("""COMPUTED_VALUE"""),"Male")</f>
        <v>Male</v>
      </c>
      <c r="G347" s="4" t="str">
        <f>IFERROR(__xludf.DUMMYFUNCTION("""COMPUTED_VALUE"""),"")</f>
        <v/>
      </c>
      <c r="H347" s="4" t="b">
        <f>IFERROR(__xludf.DUMMYFUNCTION("""COMPUTED_VALUE"""),TRUE)</f>
        <v>1</v>
      </c>
      <c r="I347" s="4">
        <f>IFERROR(__xludf.DUMMYFUNCTION("""COMPUTED_VALUE"""),0.24646185185185185)</f>
        <v>0.2464618519</v>
      </c>
      <c r="J347" s="4">
        <f>IFERROR(__xludf.DUMMYFUNCTION("""COMPUTED_VALUE"""),45949.26558663622)</f>
        <v>45949.26559</v>
      </c>
      <c r="K347" s="4">
        <f>IFERROR(__xludf.DUMMYFUNCTION("""COMPUTED_VALUE"""),45949.29158593287)</f>
        <v>45949.29159</v>
      </c>
      <c r="L347" s="4">
        <f>IFERROR(__xludf.DUMMYFUNCTION("""COMPUTED_VALUE"""),45949.299761923125)</f>
        <v>45949.29976</v>
      </c>
      <c r="M347" s="1" t="str">
        <f>IFERROR(__xludf.DUMMYFUNCTION("""COMPUTED_VALUE"""),"RFID")</f>
        <v>RFID</v>
      </c>
      <c r="N347" s="5">
        <f>IFERROR(__xludf.DUMMYFUNCTION("""COMPUTED_VALUE"""),0.0076499120370370375)</f>
        <v>0.007649912037</v>
      </c>
      <c r="O347" s="5">
        <f>IFERROR(__xludf.DUMMYFUNCTION("""COMPUTED_VALUE"""),0.010399717592592592)</f>
        <v>0.01039971759</v>
      </c>
      <c r="P347" s="5">
        <f>IFERROR(__xludf.DUMMYFUNCTION("""COMPUTED_VALUE"""),0.0033646050424778777)</f>
        <v>0.003364605042</v>
      </c>
      <c r="Q347" s="5">
        <f>IFERROR(__xludf.DUMMYFUNCTION("""COMPUTED_VALUE"""),0.0053300069444444445)</f>
        <v>0.005330006944</v>
      </c>
      <c r="R347" s="4">
        <f>IFERROR(__xludf.DUMMYFUNCTION("""COMPUTED_VALUE"""),45949.053300071275)</f>
        <v>45949.0533</v>
      </c>
      <c r="S347" s="1" t="b">
        <f>IFERROR(__xludf.DUMMYFUNCTION("""COMPUTED_VALUE"""),TRUE)</f>
        <v>1</v>
      </c>
      <c r="T347" s="1" t="b">
        <f>IFERROR(__xludf.DUMMYFUNCTION("""COMPUTED_VALUE"""),FALSE)</f>
        <v>0</v>
      </c>
      <c r="U347" s="1" t="str">
        <f>IFERROR(__xludf.DUMMYFUNCTION("""COMPUTED_VALUE"""),"VALID")</f>
        <v>VALID</v>
      </c>
      <c r="V347" s="1">
        <f>IFERROR(__xludf.DUMMYFUNCTION("""COMPUTED_VALUE"""),405.0)</f>
        <v>405</v>
      </c>
      <c r="W347" s="1">
        <f>IFERROR(__xludf.DUMMYFUNCTION("""COMPUTED_VALUE"""),484.0)</f>
        <v>484</v>
      </c>
      <c r="X347" s="1">
        <f>IFERROR(__xludf.DUMMYFUNCTION("""COMPUTED_VALUE"""),1460.0)</f>
        <v>1460</v>
      </c>
      <c r="Y347" s="2"/>
      <c r="Z347" s="2"/>
    </row>
    <row r="348">
      <c r="A348" s="1">
        <f>IFERROR(__xludf.DUMMYFUNCTION("""COMPUTED_VALUE"""),347.0)</f>
        <v>347</v>
      </c>
      <c r="B348" s="1">
        <f>IFERROR(__xludf.DUMMYFUNCTION("""COMPUTED_VALUE"""),10192.0)</f>
        <v>10192</v>
      </c>
      <c r="C348" s="2" t="str">
        <f>IFERROR(__xludf.DUMMYFUNCTION("""COMPUTED_VALUE"""),"I K Y")</f>
        <v>I K Y</v>
      </c>
      <c r="D348" s="2" t="str">
        <f>IFERROR(__xludf.DUMMYFUNCTION("""COMPUTED_VALUE"""),"10KM OVERALL M")</f>
        <v>10KM OVERALL M</v>
      </c>
      <c r="E348" s="1">
        <f>IFERROR(__xludf.DUMMYFUNCTION("""COMPUTED_VALUE"""),1.0)</f>
        <v>1</v>
      </c>
      <c r="F348" s="1" t="str">
        <f>IFERROR(__xludf.DUMMYFUNCTION("""COMPUTED_VALUE"""),"Male")</f>
        <v>Male</v>
      </c>
      <c r="G348" s="4" t="b">
        <f>IFERROR(__xludf.DUMMYFUNCTION("""COMPUTED_VALUE"""),TRUE)</f>
        <v>1</v>
      </c>
      <c r="H348" s="4" t="b">
        <f>IFERROR(__xludf.DUMMYFUNCTION("""COMPUTED_VALUE"""),TRUE)</f>
        <v>1</v>
      </c>
      <c r="I348" s="4">
        <f>IFERROR(__xludf.DUMMYFUNCTION("""COMPUTED_VALUE"""),0.24646185185185185)</f>
        <v>0.2464618519</v>
      </c>
      <c r="J348" s="4">
        <f>IFERROR(__xludf.DUMMYFUNCTION("""COMPUTED_VALUE"""),45949.25965168937)</f>
        <v>45949.25965</v>
      </c>
      <c r="K348" s="4">
        <f>IFERROR(__xludf.DUMMYFUNCTION("""COMPUTED_VALUE"""),45949.28417601961)</f>
        <v>45949.28418</v>
      </c>
      <c r="L348" s="4">
        <f>IFERROR(__xludf.DUMMYFUNCTION("""COMPUTED_VALUE"""),45949.29128975842)</f>
        <v>45949.29129</v>
      </c>
      <c r="M348" s="1" t="str">
        <f>IFERROR(__xludf.DUMMYFUNCTION("""COMPUTED_VALUE"""),"RFID")</f>
        <v>RFID</v>
      </c>
      <c r="N348" s="5">
        <f>IFERROR(__xludf.DUMMYFUNCTION("""COMPUTED_VALUE"""),0.005275935185185186)</f>
        <v>0.005275935185</v>
      </c>
      <c r="O348" s="5">
        <f>IFERROR(__xludf.DUMMYFUNCTION("""COMPUTED_VALUE"""),0.009809731481481482)</f>
        <v>0.009809731481</v>
      </c>
      <c r="P348" s="5">
        <f>IFERROR(__xludf.DUMMYFUNCTION("""COMPUTED_VALUE"""),0.002927464529907392)</f>
        <v>0.00292746453</v>
      </c>
      <c r="Q348" s="5">
        <f>IFERROR(__xludf.DUMMYFUNCTION("""COMPUTED_VALUE"""),0.004482790509259258)</f>
        <v>0.004482790509</v>
      </c>
      <c r="R348" s="4">
        <f>IFERROR(__xludf.DUMMYFUNCTION("""COMPUTED_VALUE"""),45949.04482790657)</f>
        <v>45949.04483</v>
      </c>
      <c r="S348" s="1" t="b">
        <f>IFERROR(__xludf.DUMMYFUNCTION("""COMPUTED_VALUE"""),TRUE)</f>
        <v>1</v>
      </c>
      <c r="T348" s="1" t="b">
        <f>IFERROR(__xludf.DUMMYFUNCTION("""COMPUTED_VALUE"""),FALSE)</f>
        <v>0</v>
      </c>
      <c r="U348" s="1" t="str">
        <f>IFERROR(__xludf.DUMMYFUNCTION("""COMPUTED_VALUE"""),"VALID")</f>
        <v>VALID</v>
      </c>
      <c r="V348" s="1">
        <f>IFERROR(__xludf.DUMMYFUNCTION("""COMPUTED_VALUE"""),212.0)</f>
        <v>212</v>
      </c>
      <c r="W348" s="1">
        <f>IFERROR(__xludf.DUMMYFUNCTION("""COMPUTED_VALUE"""),256.0)</f>
        <v>256</v>
      </c>
      <c r="X348" s="1">
        <f>IFERROR(__xludf.DUMMYFUNCTION("""COMPUTED_VALUE"""),1192.0)</f>
        <v>1192</v>
      </c>
      <c r="Y348" s="2"/>
      <c r="Z348" s="2"/>
    </row>
    <row r="349">
      <c r="A349" s="1">
        <f>IFERROR(__xludf.DUMMYFUNCTION("""COMPUTED_VALUE"""),348.0)</f>
        <v>348</v>
      </c>
      <c r="B349" s="1">
        <f>IFERROR(__xludf.DUMMYFUNCTION("""COMPUTED_VALUE"""),10193.0)</f>
        <v>10193</v>
      </c>
      <c r="C349" s="2" t="str">
        <f>IFERROR(__xludf.DUMMYFUNCTION("""COMPUTED_VALUE"""),"Pah Y.A.E.")</f>
        <v>Pah Y.A.E.</v>
      </c>
      <c r="D349" s="2" t="str">
        <f>IFERROR(__xludf.DUMMYFUNCTION("""COMPUTED_VALUE"""),"10KM OVERALL M")</f>
        <v>10KM OVERALL M</v>
      </c>
      <c r="E349" s="1">
        <f>IFERROR(__xludf.DUMMYFUNCTION("""COMPUTED_VALUE"""),1.0)</f>
        <v>1</v>
      </c>
      <c r="F349" s="1" t="str">
        <f>IFERROR(__xludf.DUMMYFUNCTION("""COMPUTED_VALUE"""),"Male")</f>
        <v>Male</v>
      </c>
      <c r="G349" s="4" t="b">
        <f>IFERROR(__xludf.DUMMYFUNCTION("""COMPUTED_VALUE"""),TRUE)</f>
        <v>1</v>
      </c>
      <c r="H349" s="4" t="b">
        <f>IFERROR(__xludf.DUMMYFUNCTION("""COMPUTED_VALUE"""),TRUE)</f>
        <v>1</v>
      </c>
      <c r="I349" s="4">
        <f>IFERROR(__xludf.DUMMYFUNCTION("""COMPUTED_VALUE"""),0.24646185185185185)</f>
        <v>0.2464618519</v>
      </c>
      <c r="J349" s="4">
        <f>IFERROR(__xludf.DUMMYFUNCTION("""COMPUTED_VALUE"""),45949.25769685849)</f>
        <v>45949.2577</v>
      </c>
      <c r="K349" s="4">
        <f>IFERROR(__xludf.DUMMYFUNCTION("""COMPUTED_VALUE"""),45949.29256613044)</f>
        <v>45949.29257</v>
      </c>
      <c r="L349" s="4">
        <f>IFERROR(__xludf.DUMMYFUNCTION("""COMPUTED_VALUE"""),45949.30362656238)</f>
        <v>45949.30363</v>
      </c>
      <c r="M349" s="1" t="str">
        <f>IFERROR(__xludf.DUMMYFUNCTION("""COMPUTED_VALUE"""),"RFID")</f>
        <v>RFID</v>
      </c>
      <c r="N349" s="5">
        <f>IFERROR(__xludf.DUMMYFUNCTION("""COMPUTED_VALUE"""),0.00449400462962963)</f>
        <v>0.00449400463</v>
      </c>
      <c r="O349" s="5">
        <f>IFERROR(__xludf.DUMMYFUNCTION("""COMPUTED_VALUE"""),0.013947708333333333)</f>
        <v>0.01394770833</v>
      </c>
      <c r="P349" s="5">
        <f>IFERROR(__xludf.DUMMYFUNCTION("""COMPUTED_VALUE"""),0.004551618082957618)</f>
        <v>0.004551618083</v>
      </c>
      <c r="Q349" s="5">
        <f>IFERROR(__xludf.DUMMYFUNCTION("""COMPUTED_VALUE"""),0.005716471064814815)</f>
        <v>0.005716471065</v>
      </c>
      <c r="R349" s="4">
        <f>IFERROR(__xludf.DUMMYFUNCTION("""COMPUTED_VALUE"""),45949.05716471053)</f>
        <v>45949.05716</v>
      </c>
      <c r="S349" s="1" t="b">
        <f>IFERROR(__xludf.DUMMYFUNCTION("""COMPUTED_VALUE"""),TRUE)</f>
        <v>1</v>
      </c>
      <c r="T349" s="1" t="b">
        <f>IFERROR(__xludf.DUMMYFUNCTION("""COMPUTED_VALUE"""),FALSE)</f>
        <v>0</v>
      </c>
      <c r="U349" s="1" t="str">
        <f>IFERROR(__xludf.DUMMYFUNCTION("""COMPUTED_VALUE"""),"VALID")</f>
        <v>VALID</v>
      </c>
      <c r="V349" s="1">
        <f>IFERROR(__xludf.DUMMYFUNCTION("""COMPUTED_VALUE"""),503.0)</f>
        <v>503</v>
      </c>
      <c r="W349" s="1">
        <f>IFERROR(__xludf.DUMMYFUNCTION("""COMPUTED_VALUE"""),609.0)</f>
        <v>609</v>
      </c>
      <c r="X349" s="1">
        <f>IFERROR(__xludf.DUMMYFUNCTION("""COMPUTED_VALUE"""),1574.0)</f>
        <v>1574</v>
      </c>
      <c r="Y349" s="2"/>
      <c r="Z349" s="2"/>
    </row>
    <row r="350">
      <c r="A350" s="1">
        <f>IFERROR(__xludf.DUMMYFUNCTION("""COMPUTED_VALUE"""),349.0)</f>
        <v>349</v>
      </c>
      <c r="B350" s="1">
        <f>IFERROR(__xludf.DUMMYFUNCTION("""COMPUTED_VALUE"""),10194.0)</f>
        <v>10194</v>
      </c>
      <c r="C350" s="2" t="str">
        <f>IFERROR(__xludf.DUMMYFUNCTION("""COMPUTED_VALUE"""),"Rainer Oner")</f>
        <v>Rainer Oner</v>
      </c>
      <c r="D350" s="2" t="str">
        <f>IFERROR(__xludf.DUMMYFUNCTION("""COMPUTED_VALUE"""),"10KM OVERALL M")</f>
        <v>10KM OVERALL M</v>
      </c>
      <c r="E350" s="1">
        <f>IFERROR(__xludf.DUMMYFUNCTION("""COMPUTED_VALUE"""),1.0)</f>
        <v>1</v>
      </c>
      <c r="F350" s="1" t="str">
        <f>IFERROR(__xludf.DUMMYFUNCTION("""COMPUTED_VALUE"""),"Male")</f>
        <v>Male</v>
      </c>
      <c r="G350" s="4" t="b">
        <f>IFERROR(__xludf.DUMMYFUNCTION("""COMPUTED_VALUE"""),TRUE)</f>
        <v>1</v>
      </c>
      <c r="H350" s="4" t="b">
        <f>IFERROR(__xludf.DUMMYFUNCTION("""COMPUTED_VALUE"""),TRUE)</f>
        <v>1</v>
      </c>
      <c r="I350" s="4">
        <f>IFERROR(__xludf.DUMMYFUNCTION("""COMPUTED_VALUE"""),0.24646185185185185)</f>
        <v>0.2464618519</v>
      </c>
      <c r="J350" s="4">
        <f>IFERROR(__xludf.DUMMYFUNCTION("""COMPUTED_VALUE"""),45949.25951629285)</f>
        <v>45949.25952</v>
      </c>
      <c r="K350" s="4">
        <f>IFERROR(__xludf.DUMMYFUNCTION("""COMPUTED_VALUE"""),45949.29180477464)</f>
        <v>45949.2918</v>
      </c>
      <c r="L350" s="4">
        <f>IFERROR(__xludf.DUMMYFUNCTION("""COMPUTED_VALUE"""),45949.30064739543)</f>
        <v>45949.30065</v>
      </c>
      <c r="M350" s="1" t="str">
        <f>IFERROR(__xludf.DUMMYFUNCTION("""COMPUTED_VALUE"""),"RFID")</f>
        <v>RFID</v>
      </c>
      <c r="N350" s="5">
        <f>IFERROR(__xludf.DUMMYFUNCTION("""COMPUTED_VALUE"""),0.005221777777777778)</f>
        <v>0.005221777778</v>
      </c>
      <c r="O350" s="5">
        <f>IFERROR(__xludf.DUMMYFUNCTION("""COMPUTED_VALUE"""),0.012915393518518517)</f>
        <v>0.01291539352</v>
      </c>
      <c r="P350" s="5">
        <f>IFERROR(__xludf.DUMMYFUNCTION("""COMPUTED_VALUE"""),0.0036389385957276608)</f>
        <v>0.003638938596</v>
      </c>
      <c r="Q350" s="5">
        <f>IFERROR(__xludf.DUMMYFUNCTION("""COMPUTED_VALUE"""),0.005418554398148148)</f>
        <v>0.005418554398</v>
      </c>
      <c r="R350" s="4">
        <f>IFERROR(__xludf.DUMMYFUNCTION("""COMPUTED_VALUE"""),45949.05418554358)</f>
        <v>45949.05419</v>
      </c>
      <c r="S350" s="1" t="b">
        <f>IFERROR(__xludf.DUMMYFUNCTION("""COMPUTED_VALUE"""),TRUE)</f>
        <v>1</v>
      </c>
      <c r="T350" s="1" t="b">
        <f>IFERROR(__xludf.DUMMYFUNCTION("""COMPUTED_VALUE"""),FALSE)</f>
        <v>0</v>
      </c>
      <c r="U350" s="1" t="str">
        <f>IFERROR(__xludf.DUMMYFUNCTION("""COMPUTED_VALUE"""),"VALID")</f>
        <v>VALID</v>
      </c>
      <c r="V350" s="1">
        <f>IFERROR(__xludf.DUMMYFUNCTION("""COMPUTED_VALUE"""),433.0)</f>
        <v>433</v>
      </c>
      <c r="W350" s="1">
        <f>IFERROR(__xludf.DUMMYFUNCTION("""COMPUTED_VALUE"""),515.0)</f>
        <v>515</v>
      </c>
      <c r="X350" s="1">
        <f>IFERROR(__xludf.DUMMYFUNCTION("""COMPUTED_VALUE"""),1493.0)</f>
        <v>1493</v>
      </c>
      <c r="Y350" s="2"/>
      <c r="Z350" s="2"/>
    </row>
    <row r="351">
      <c r="A351" s="1">
        <f>IFERROR(__xludf.DUMMYFUNCTION("""COMPUTED_VALUE"""),350.0)</f>
        <v>350</v>
      </c>
      <c r="B351" s="1">
        <f>IFERROR(__xludf.DUMMYFUNCTION("""COMPUTED_VALUE"""),10195.0)</f>
        <v>10195</v>
      </c>
      <c r="C351" s="2" t="str">
        <f>IFERROR(__xludf.DUMMYFUNCTION("""COMPUTED_VALUE"""),"Erwin Gunawan")</f>
        <v>Erwin Gunawan</v>
      </c>
      <c r="D351" s="2" t="str">
        <f>IFERROR(__xludf.DUMMYFUNCTION("""COMPUTED_VALUE"""),"10KM OVERALL M")</f>
        <v>10KM OVERALL M</v>
      </c>
      <c r="E351" s="1">
        <f>IFERROR(__xludf.DUMMYFUNCTION("""COMPUTED_VALUE"""),1.0)</f>
        <v>1</v>
      </c>
      <c r="F351" s="1" t="str">
        <f>IFERROR(__xludf.DUMMYFUNCTION("""COMPUTED_VALUE"""),"Male")</f>
        <v>Male</v>
      </c>
      <c r="G351" s="4" t="b">
        <f>IFERROR(__xludf.DUMMYFUNCTION("""COMPUTED_VALUE"""),TRUE)</f>
        <v>1</v>
      </c>
      <c r="H351" s="4" t="b">
        <f>IFERROR(__xludf.DUMMYFUNCTION("""COMPUTED_VALUE"""),TRUE)</f>
        <v>1</v>
      </c>
      <c r="I351" s="4">
        <f>IFERROR(__xludf.DUMMYFUNCTION("""COMPUTED_VALUE"""),0.24646185185185185)</f>
        <v>0.2464618519</v>
      </c>
      <c r="J351" s="4">
        <f>IFERROR(__xludf.DUMMYFUNCTION("""COMPUTED_VALUE"""),45949.25622461794)</f>
        <v>45949.25622</v>
      </c>
      <c r="K351" s="4">
        <f>IFERROR(__xludf.DUMMYFUNCTION("""COMPUTED_VALUE"""),45949.283995523736)</f>
        <v>45949.284</v>
      </c>
      <c r="L351" s="4">
        <f>IFERROR(__xludf.DUMMYFUNCTION("""COMPUTED_VALUE"""),45949.29200850479)</f>
        <v>45949.29201</v>
      </c>
      <c r="M351" s="1" t="str">
        <f>IFERROR(__xludf.DUMMYFUNCTION("""COMPUTED_VALUE"""),"RFID")</f>
        <v>RFID</v>
      </c>
      <c r="N351" s="5">
        <f>IFERROR(__xludf.DUMMYFUNCTION("""COMPUTED_VALUE"""),0.0039051064814814816)</f>
        <v>0.003905106481</v>
      </c>
      <c r="O351" s="5">
        <f>IFERROR(__xludf.DUMMYFUNCTION("""COMPUTED_VALUE"""),0.01110836111111111)</f>
        <v>0.01110836111</v>
      </c>
      <c r="P351" s="5">
        <f>IFERROR(__xludf.DUMMYFUNCTION("""COMPUTED_VALUE"""),0.0032975230667330016)</f>
        <v>0.003297523067</v>
      </c>
      <c r="Q351" s="5">
        <f>IFERROR(__xludf.DUMMYFUNCTION("""COMPUTED_VALUE"""),0.004554665509259259)</f>
        <v>0.004554665509</v>
      </c>
      <c r="R351" s="4">
        <f>IFERROR(__xludf.DUMMYFUNCTION("""COMPUTED_VALUE"""),45949.04554665294)</f>
        <v>45949.04555</v>
      </c>
      <c r="S351" s="1" t="b">
        <f>IFERROR(__xludf.DUMMYFUNCTION("""COMPUTED_VALUE"""),TRUE)</f>
        <v>1</v>
      </c>
      <c r="T351" s="1" t="b">
        <f>IFERROR(__xludf.DUMMYFUNCTION("""COMPUTED_VALUE"""),FALSE)</f>
        <v>0</v>
      </c>
      <c r="U351" s="1" t="str">
        <f>IFERROR(__xludf.DUMMYFUNCTION("""COMPUTED_VALUE"""),"VALID")</f>
        <v>VALID</v>
      </c>
      <c r="V351" s="1">
        <f>IFERROR(__xludf.DUMMYFUNCTION("""COMPUTED_VALUE"""),227.0)</f>
        <v>227</v>
      </c>
      <c r="W351" s="1">
        <f>IFERROR(__xludf.DUMMYFUNCTION("""COMPUTED_VALUE"""),274.0)</f>
        <v>274</v>
      </c>
      <c r="X351" s="1">
        <f>IFERROR(__xludf.DUMMYFUNCTION("""COMPUTED_VALUE"""),1218.0)</f>
        <v>1218</v>
      </c>
      <c r="Y351" s="2"/>
      <c r="Z351" s="2"/>
    </row>
    <row r="352">
      <c r="A352" s="1">
        <f>IFERROR(__xludf.DUMMYFUNCTION("""COMPUTED_VALUE"""),351.0)</f>
        <v>351</v>
      </c>
      <c r="B352" s="1">
        <f>IFERROR(__xludf.DUMMYFUNCTION("""COMPUTED_VALUE"""),10196.0)</f>
        <v>10196</v>
      </c>
      <c r="C352" s="2" t="str">
        <f>IFERROR(__xludf.DUMMYFUNCTION("""COMPUTED_VALUE"""),"rizal wahyudi")</f>
        <v>rizal wahyudi</v>
      </c>
      <c r="D352" s="2" t="str">
        <f>IFERROR(__xludf.DUMMYFUNCTION("""COMPUTED_VALUE"""),"10KM OVERALL M")</f>
        <v>10KM OVERALL M</v>
      </c>
      <c r="E352" s="1">
        <f>IFERROR(__xludf.DUMMYFUNCTION("""COMPUTED_VALUE"""),1.0)</f>
        <v>1</v>
      </c>
      <c r="F352" s="1" t="str">
        <f>IFERROR(__xludf.DUMMYFUNCTION("""COMPUTED_VALUE"""),"Male")</f>
        <v>Male</v>
      </c>
      <c r="G352" s="4" t="b">
        <f>IFERROR(__xludf.DUMMYFUNCTION("""COMPUTED_VALUE"""),TRUE)</f>
        <v>1</v>
      </c>
      <c r="H352" s="4" t="b">
        <f>IFERROR(__xludf.DUMMYFUNCTION("""COMPUTED_VALUE"""),TRUE)</f>
        <v>1</v>
      </c>
      <c r="I352" s="4">
        <f>IFERROR(__xludf.DUMMYFUNCTION("""COMPUTED_VALUE"""),0.24646185185185185)</f>
        <v>0.2464618519</v>
      </c>
      <c r="J352" s="4">
        <f>IFERROR(__xludf.DUMMYFUNCTION("""COMPUTED_VALUE"""),45949.2580544795)</f>
        <v>45949.25805</v>
      </c>
      <c r="K352" s="4">
        <f>IFERROR(__xludf.DUMMYFUNCTION("""COMPUTED_VALUE"""),45949.28546831173)</f>
        <v>45949.28547</v>
      </c>
      <c r="L352" s="4">
        <f>IFERROR(__xludf.DUMMYFUNCTION("""COMPUTED_VALUE"""),45949.29332100419)</f>
        <v>45949.29332</v>
      </c>
      <c r="M352" s="1" t="str">
        <f>IFERROR(__xludf.DUMMYFUNCTION("""COMPUTED_VALUE"""),"RFID")</f>
        <v>RFID</v>
      </c>
      <c r="N352" s="5">
        <f>IFERROR(__xludf.DUMMYFUNCTION("""COMPUTED_VALUE"""),0.0046370509259259255)</f>
        <v>0.004637050926</v>
      </c>
      <c r="O352" s="5">
        <f>IFERROR(__xludf.DUMMYFUNCTION("""COMPUTED_VALUE"""),0.010965532407407406)</f>
        <v>0.01096553241</v>
      </c>
      <c r="P352" s="5">
        <f>IFERROR(__xludf.DUMMYFUNCTION("""COMPUTED_VALUE"""),0.003231560681211674)</f>
        <v>0.003231560681</v>
      </c>
      <c r="Q352" s="5">
        <f>IFERROR(__xludf.DUMMYFUNCTION("""COMPUTED_VALUE"""),0.0046859155092592595)</f>
        <v>0.004685915509</v>
      </c>
      <c r="R352" s="4">
        <f>IFERROR(__xludf.DUMMYFUNCTION("""COMPUTED_VALUE"""),45949.04685915234)</f>
        <v>45949.04686</v>
      </c>
      <c r="S352" s="1" t="b">
        <f>IFERROR(__xludf.DUMMYFUNCTION("""COMPUTED_VALUE"""),TRUE)</f>
        <v>1</v>
      </c>
      <c r="T352" s="1" t="b">
        <f>IFERROR(__xludf.DUMMYFUNCTION("""COMPUTED_VALUE"""),FALSE)</f>
        <v>0</v>
      </c>
      <c r="U352" s="1" t="str">
        <f>IFERROR(__xludf.DUMMYFUNCTION("""COMPUTED_VALUE"""),"VALID")</f>
        <v>VALID</v>
      </c>
      <c r="V352" s="1">
        <f>IFERROR(__xludf.DUMMYFUNCTION("""COMPUTED_VALUE"""),261.0)</f>
        <v>261</v>
      </c>
      <c r="W352" s="1">
        <f>IFERROR(__xludf.DUMMYFUNCTION("""COMPUTED_VALUE"""),312.0)</f>
        <v>312</v>
      </c>
      <c r="X352" s="1">
        <f>IFERROR(__xludf.DUMMYFUNCTION("""COMPUTED_VALUE"""),1267.0)</f>
        <v>1267</v>
      </c>
      <c r="Y352" s="2"/>
      <c r="Z352" s="2"/>
    </row>
    <row r="353">
      <c r="A353" s="1">
        <f>IFERROR(__xludf.DUMMYFUNCTION("""COMPUTED_VALUE"""),352.0)</f>
        <v>352</v>
      </c>
      <c r="B353" s="1">
        <f>IFERROR(__xludf.DUMMYFUNCTION("""COMPUTED_VALUE"""),10197.0)</f>
        <v>10197</v>
      </c>
      <c r="C353" s="2" t="str">
        <f>IFERROR(__xludf.DUMMYFUNCTION("""COMPUTED_VALUE"""),"AHMAD BAKRI")</f>
        <v>AHMAD BAKRI</v>
      </c>
      <c r="D353" s="2" t="str">
        <f>IFERROR(__xludf.DUMMYFUNCTION("""COMPUTED_VALUE"""),"10KM OVERALL M")</f>
        <v>10KM OVERALL M</v>
      </c>
      <c r="E353" s="1">
        <f>IFERROR(__xludf.DUMMYFUNCTION("""COMPUTED_VALUE"""),1.0)</f>
        <v>1</v>
      </c>
      <c r="F353" s="1" t="str">
        <f>IFERROR(__xludf.DUMMYFUNCTION("""COMPUTED_VALUE"""),"Male")</f>
        <v>Male</v>
      </c>
      <c r="G353" s="4" t="b">
        <f>IFERROR(__xludf.DUMMYFUNCTION("""COMPUTED_VALUE"""),TRUE)</f>
        <v>1</v>
      </c>
      <c r="H353" s="4" t="b">
        <f>IFERROR(__xludf.DUMMYFUNCTION("""COMPUTED_VALUE"""),FALSE)</f>
        <v>0</v>
      </c>
      <c r="I353" s="4">
        <f>IFERROR(__xludf.DUMMYFUNCTION("""COMPUTED_VALUE"""),0.24646185185185185)</f>
        <v>0.2464618519</v>
      </c>
      <c r="J353" s="4">
        <f>IFERROR(__xludf.DUMMYFUNCTION("""COMPUTED_VALUE"""),45949.25186696956)</f>
        <v>45949.25187</v>
      </c>
      <c r="K353" s="4">
        <f>IFERROR(__xludf.DUMMYFUNCTION("""COMPUTED_VALUE"""),45949.267476221255)</f>
        <v>45949.26748</v>
      </c>
      <c r="L353" s="4">
        <f>IFERROR(__xludf.DUMMYFUNCTION("""COMPUTED_VALUE"""),45949.2721059073)</f>
        <v>45949.27211</v>
      </c>
      <c r="M353" s="1" t="str">
        <f>IFERROR(__xludf.DUMMYFUNCTION("""COMPUTED_VALUE"""),"RFID")</f>
        <v>RFID</v>
      </c>
      <c r="N353" s="5">
        <f>IFERROR(__xludf.DUMMYFUNCTION("""COMPUTED_VALUE"""),0.0021620462962962965)</f>
        <v>0.002162046296</v>
      </c>
      <c r="O353" s="5">
        <f>IFERROR(__xludf.DUMMYFUNCTION("""COMPUTED_VALUE"""),0.006243699074074073)</f>
        <v>0.006243699074</v>
      </c>
      <c r="P353" s="5">
        <f>IFERROR(__xludf.DUMMYFUNCTION("""COMPUTED_VALUE"""),0.0019052205948636256)</f>
        <v>0.001905220595</v>
      </c>
      <c r="Q353" s="5">
        <f>IFERROR(__xludf.DUMMYFUNCTION("""COMPUTED_VALUE"""),0.002564405092592593)</f>
        <v>0.002564405093</v>
      </c>
      <c r="R353" s="4">
        <f>IFERROR(__xludf.DUMMYFUNCTION("""COMPUTED_VALUE"""),45949.02564405545)</f>
        <v>45949.02564</v>
      </c>
      <c r="S353" s="1" t="b">
        <f>IFERROR(__xludf.DUMMYFUNCTION("""COMPUTED_VALUE"""),TRUE)</f>
        <v>1</v>
      </c>
      <c r="T353" s="1" t="b">
        <f>IFERROR(__xludf.DUMMYFUNCTION("""COMPUTED_VALUE"""),FALSE)</f>
        <v>0</v>
      </c>
      <c r="U353" s="1" t="str">
        <f>IFERROR(__xludf.DUMMYFUNCTION("""COMPUTED_VALUE"""),"VALID")</f>
        <v>VALID</v>
      </c>
      <c r="V353" s="1">
        <f>IFERROR(__xludf.DUMMYFUNCTION("""COMPUTED_VALUE"""),2.0)</f>
        <v>2</v>
      </c>
      <c r="W353" s="1">
        <f>IFERROR(__xludf.DUMMYFUNCTION("""COMPUTED_VALUE"""),3.0)</f>
        <v>3</v>
      </c>
      <c r="X353" s="1">
        <f>IFERROR(__xludf.DUMMYFUNCTION("""COMPUTED_VALUE"""),280.0)</f>
        <v>280</v>
      </c>
      <c r="Y353" s="2"/>
      <c r="Z353" s="2"/>
    </row>
    <row r="354">
      <c r="A354" s="1">
        <f>IFERROR(__xludf.DUMMYFUNCTION("""COMPUTED_VALUE"""),353.0)</f>
        <v>353</v>
      </c>
      <c r="B354" s="1">
        <f>IFERROR(__xludf.DUMMYFUNCTION("""COMPUTED_VALUE"""),10198.0)</f>
        <v>10198</v>
      </c>
      <c r="C354" s="2" t="str">
        <f>IFERROR(__xludf.DUMMYFUNCTION("""COMPUTED_VALUE"""),"Alfabet")</f>
        <v>Alfabet</v>
      </c>
      <c r="D354" s="2" t="str">
        <f>IFERROR(__xludf.DUMMYFUNCTION("""COMPUTED_VALUE"""),"10KM OVERALL M")</f>
        <v>10KM OVERALL M</v>
      </c>
      <c r="E354" s="1">
        <f>IFERROR(__xludf.DUMMYFUNCTION("""COMPUTED_VALUE"""),1.0)</f>
        <v>1</v>
      </c>
      <c r="F354" s="1" t="str">
        <f>IFERROR(__xludf.DUMMYFUNCTION("""COMPUTED_VALUE"""),"Male")</f>
        <v>Male</v>
      </c>
      <c r="G354" s="4" t="b">
        <f>IFERROR(__xludf.DUMMYFUNCTION("""COMPUTED_VALUE"""),TRUE)</f>
        <v>1</v>
      </c>
      <c r="H354" s="4" t="b">
        <f>IFERROR(__xludf.DUMMYFUNCTION("""COMPUTED_VALUE"""),TRUE)</f>
        <v>1</v>
      </c>
      <c r="I354" s="4">
        <f>IFERROR(__xludf.DUMMYFUNCTION("""COMPUTED_VALUE"""),0.24646185185185185)</f>
        <v>0.2464618519</v>
      </c>
      <c r="J354" s="4">
        <f>IFERROR(__xludf.DUMMYFUNCTION("""COMPUTED_VALUE"""),45949.256637794235)</f>
        <v>45949.25664</v>
      </c>
      <c r="K354" s="4">
        <f>IFERROR(__xludf.DUMMYFUNCTION("""COMPUTED_VALUE"""),45949.28166907344)</f>
        <v>45949.28167</v>
      </c>
      <c r="L354" s="4">
        <f>IFERROR(__xludf.DUMMYFUNCTION("""COMPUTED_VALUE"""),45949.28890433817)</f>
        <v>45949.2889</v>
      </c>
      <c r="M354" s="1" t="str">
        <f>IFERROR(__xludf.DUMMYFUNCTION("""COMPUTED_VALUE"""),"RFID")</f>
        <v>RFID</v>
      </c>
      <c r="N354" s="5">
        <f>IFERROR(__xludf.DUMMYFUNCTION("""COMPUTED_VALUE"""),0.004070375)</f>
        <v>0.004070375</v>
      </c>
      <c r="O354" s="5">
        <f>IFERROR(__xludf.DUMMYFUNCTION("""COMPUTED_VALUE"""),0.010012513888888889)</f>
        <v>0.01001251389</v>
      </c>
      <c r="P354" s="5">
        <f>IFERROR(__xludf.DUMMYFUNCTION("""COMPUTED_VALUE"""),0.0029774751987762427)</f>
        <v>0.002977475199</v>
      </c>
      <c r="Q354" s="5">
        <f>IFERROR(__xludf.DUMMYFUNCTION("""COMPUTED_VALUE"""),0.004244248842592593)</f>
        <v>0.004244248843</v>
      </c>
      <c r="R354" s="4">
        <f>IFERROR(__xludf.DUMMYFUNCTION("""COMPUTED_VALUE"""),45949.04244248632)</f>
        <v>45949.04244</v>
      </c>
      <c r="S354" s="1" t="b">
        <f>IFERROR(__xludf.DUMMYFUNCTION("""COMPUTED_VALUE"""),TRUE)</f>
        <v>1</v>
      </c>
      <c r="T354" s="1" t="b">
        <f>IFERROR(__xludf.DUMMYFUNCTION("""COMPUTED_VALUE"""),FALSE)</f>
        <v>0</v>
      </c>
      <c r="U354" s="1" t="str">
        <f>IFERROR(__xludf.DUMMYFUNCTION("""COMPUTED_VALUE"""),"VALID")</f>
        <v>VALID</v>
      </c>
      <c r="V354" s="1">
        <f>IFERROR(__xludf.DUMMYFUNCTION("""COMPUTED_VALUE"""),154.0)</f>
        <v>154</v>
      </c>
      <c r="W354" s="1">
        <f>IFERROR(__xludf.DUMMYFUNCTION("""COMPUTED_VALUE"""),181.0)</f>
        <v>181</v>
      </c>
      <c r="X354" s="1">
        <f>IFERROR(__xludf.DUMMYFUNCTION("""COMPUTED_VALUE"""),1083.0)</f>
        <v>1083</v>
      </c>
      <c r="Y354" s="2"/>
      <c r="Z354" s="2"/>
    </row>
    <row r="355">
      <c r="A355" s="1">
        <f>IFERROR(__xludf.DUMMYFUNCTION("""COMPUTED_VALUE"""),354.0)</f>
        <v>354</v>
      </c>
      <c r="B355" s="1">
        <f>IFERROR(__xludf.DUMMYFUNCTION("""COMPUTED_VALUE"""),10199.0)</f>
        <v>10199</v>
      </c>
      <c r="C355" s="2" t="str">
        <f>IFERROR(__xludf.DUMMYFUNCTION("""COMPUTED_VALUE"""),"Bagas Dwi Noprianto")</f>
        <v>Bagas Dwi Noprianto</v>
      </c>
      <c r="D355" s="2" t="str">
        <f>IFERROR(__xludf.DUMMYFUNCTION("""COMPUTED_VALUE"""),"10KM OVERALL M")</f>
        <v>10KM OVERALL M</v>
      </c>
      <c r="E355" s="1">
        <f>IFERROR(__xludf.DUMMYFUNCTION("""COMPUTED_VALUE"""),1.0)</f>
        <v>1</v>
      </c>
      <c r="F355" s="1" t="str">
        <f>IFERROR(__xludf.DUMMYFUNCTION("""COMPUTED_VALUE"""),"Male")</f>
        <v>Male</v>
      </c>
      <c r="G355" s="4" t="str">
        <f>IFERROR(__xludf.DUMMYFUNCTION("""COMPUTED_VALUE"""),"")</f>
        <v/>
      </c>
      <c r="H355" s="4" t="b">
        <f>IFERROR(__xludf.DUMMYFUNCTION("""COMPUTED_VALUE"""),TRUE)</f>
        <v>1</v>
      </c>
      <c r="I355" s="4">
        <f>IFERROR(__xludf.DUMMYFUNCTION("""COMPUTED_VALUE"""),0.24646185185185185)</f>
        <v>0.2464618519</v>
      </c>
      <c r="J355" s="4">
        <f>IFERROR(__xludf.DUMMYFUNCTION("""COMPUTED_VALUE"""),45949.25431148528)</f>
        <v>45949.25431</v>
      </c>
      <c r="K355" s="4">
        <f>IFERROR(__xludf.DUMMYFUNCTION("""COMPUTED_VALUE"""),45949.2790059422)</f>
        <v>45949.27901</v>
      </c>
      <c r="L355" s="4">
        <f>IFERROR(__xludf.DUMMYFUNCTION("""COMPUTED_VALUE"""),45949.28692864968)</f>
        <v>45949.28693</v>
      </c>
      <c r="M355" s="1" t="str">
        <f>IFERROR(__xludf.DUMMYFUNCTION("""COMPUTED_VALUE"""),"RFID")</f>
        <v>RFID</v>
      </c>
      <c r="N355" s="5">
        <f>IFERROR(__xludf.DUMMYFUNCTION("""COMPUTED_VALUE"""),0.003139851851851852)</f>
        <v>0.003139851852</v>
      </c>
      <c r="O355" s="5">
        <f>IFERROR(__xludf.DUMMYFUNCTION("""COMPUTED_VALUE"""),0.009877782407407408)</f>
        <v>0.009877782407</v>
      </c>
      <c r="P355" s="5">
        <f>IFERROR(__xludf.DUMMYFUNCTION("""COMPUTED_VALUE"""),0.0032603734494100704)</f>
        <v>0.003260373449</v>
      </c>
      <c r="Q355" s="5">
        <f>IFERROR(__xludf.DUMMYFUNCTION("""COMPUTED_VALUE"""),0.004046679398148148)</f>
        <v>0.004046679398</v>
      </c>
      <c r="R355" s="4">
        <f>IFERROR(__xludf.DUMMYFUNCTION("""COMPUTED_VALUE"""),45949.04046679783)</f>
        <v>45949.04047</v>
      </c>
      <c r="S355" s="1" t="b">
        <f>IFERROR(__xludf.DUMMYFUNCTION("""COMPUTED_VALUE"""),TRUE)</f>
        <v>1</v>
      </c>
      <c r="T355" s="1" t="b">
        <f>IFERROR(__xludf.DUMMYFUNCTION("""COMPUTED_VALUE"""),FALSE)</f>
        <v>0</v>
      </c>
      <c r="U355" s="1" t="str">
        <f>IFERROR(__xludf.DUMMYFUNCTION("""COMPUTED_VALUE"""),"VALID")</f>
        <v>VALID</v>
      </c>
      <c r="V355" s="1">
        <f>IFERROR(__xludf.DUMMYFUNCTION("""COMPUTED_VALUE"""),110.0)</f>
        <v>110</v>
      </c>
      <c r="W355" s="1">
        <f>IFERROR(__xludf.DUMMYFUNCTION("""COMPUTED_VALUE"""),132.0)</f>
        <v>132</v>
      </c>
      <c r="X355" s="1">
        <f>IFERROR(__xludf.DUMMYFUNCTION("""COMPUTED_VALUE"""),1003.0)</f>
        <v>1003</v>
      </c>
      <c r="Y355" s="2"/>
      <c r="Z355" s="2"/>
    </row>
    <row r="356">
      <c r="A356" s="1">
        <f>IFERROR(__xludf.DUMMYFUNCTION("""COMPUTED_VALUE"""),355.0)</f>
        <v>355</v>
      </c>
      <c r="B356" s="1">
        <f>IFERROR(__xludf.DUMMYFUNCTION("""COMPUTED_VALUE"""),10200.0)</f>
        <v>10200</v>
      </c>
      <c r="C356" s="2" t="str">
        <f>IFERROR(__xludf.DUMMYFUNCTION("""COMPUTED_VALUE"""),"ridho juniardie")</f>
        <v>ridho juniardie</v>
      </c>
      <c r="D356" s="2" t="str">
        <f>IFERROR(__xludf.DUMMYFUNCTION("""COMPUTED_VALUE"""),"10KM OVERALL M")</f>
        <v>10KM OVERALL M</v>
      </c>
      <c r="E356" s="1">
        <f>IFERROR(__xludf.DUMMYFUNCTION("""COMPUTED_VALUE"""),1.0)</f>
        <v>1</v>
      </c>
      <c r="F356" s="1" t="str">
        <f>IFERROR(__xludf.DUMMYFUNCTION("""COMPUTED_VALUE"""),"Male")</f>
        <v>Male</v>
      </c>
      <c r="G356" s="4" t="b">
        <f>IFERROR(__xludf.DUMMYFUNCTION("""COMPUTED_VALUE"""),TRUE)</f>
        <v>1</v>
      </c>
      <c r="H356" s="4" t="b">
        <f>IFERROR(__xludf.DUMMYFUNCTION("""COMPUTED_VALUE"""),TRUE)</f>
        <v>1</v>
      </c>
      <c r="I356" s="4">
        <f>IFERROR(__xludf.DUMMYFUNCTION("""COMPUTED_VALUE"""),0.24646185185185185)</f>
        <v>0.2464618519</v>
      </c>
      <c r="J356" s="4">
        <f>IFERROR(__xludf.DUMMYFUNCTION("""COMPUTED_VALUE"""),45949.255790577765)</f>
        <v>45949.25579</v>
      </c>
      <c r="K356" s="4">
        <f>IFERROR(__xludf.DUMMYFUNCTION("""COMPUTED_VALUE"""),45949.279092737735)</f>
        <v>45949.27909</v>
      </c>
      <c r="L356" s="4">
        <f>IFERROR(__xludf.DUMMYFUNCTION("""COMPUTED_VALUE"""),45949.28629322513)</f>
        <v>45949.28629</v>
      </c>
      <c r="M356" s="1" t="str">
        <f>IFERROR(__xludf.DUMMYFUNCTION("""COMPUTED_VALUE"""),"RFID")</f>
        <v>RFID</v>
      </c>
      <c r="N356" s="5">
        <f>IFERROR(__xludf.DUMMYFUNCTION("""COMPUTED_VALUE"""),0.003731490740740741)</f>
        <v>0.003731490741</v>
      </c>
      <c r="O356" s="5">
        <f>IFERROR(__xludf.DUMMYFUNCTION("""COMPUTED_VALUE"""),0.00932086574074074)</f>
        <v>0.009320865741</v>
      </c>
      <c r="P356" s="5">
        <f>IFERROR(__xludf.DUMMYFUNCTION("""COMPUTED_VALUE"""),0.0029631635368659844)</f>
        <v>0.002963163537</v>
      </c>
      <c r="Q356" s="5">
        <f>IFERROR(__xludf.DUMMYFUNCTION("""COMPUTED_VALUE"""),0.003983137731481482)</f>
        <v>0.003983137731</v>
      </c>
      <c r="R356" s="4">
        <f>IFERROR(__xludf.DUMMYFUNCTION("""COMPUTED_VALUE"""),45949.03983137328)</f>
        <v>45949.03983</v>
      </c>
      <c r="S356" s="1" t="b">
        <f>IFERROR(__xludf.DUMMYFUNCTION("""COMPUTED_VALUE"""),TRUE)</f>
        <v>1</v>
      </c>
      <c r="T356" s="1" t="b">
        <f>IFERROR(__xludf.DUMMYFUNCTION("""COMPUTED_VALUE"""),FALSE)</f>
        <v>0</v>
      </c>
      <c r="U356" s="1" t="str">
        <f>IFERROR(__xludf.DUMMYFUNCTION("""COMPUTED_VALUE"""),"VALID")</f>
        <v>VALID</v>
      </c>
      <c r="V356" s="1">
        <f>IFERROR(__xludf.DUMMYFUNCTION("""COMPUTED_VALUE"""),99.0)</f>
        <v>99</v>
      </c>
      <c r="W356" s="1">
        <f>IFERROR(__xludf.DUMMYFUNCTION("""COMPUTED_VALUE"""),118.0)</f>
        <v>118</v>
      </c>
      <c r="X356" s="1">
        <f>IFERROR(__xludf.DUMMYFUNCTION("""COMPUTED_VALUE"""),972.0)</f>
        <v>972</v>
      </c>
      <c r="Y356" s="2"/>
      <c r="Z356" s="2"/>
    </row>
    <row r="357">
      <c r="A357" s="1">
        <f>IFERROR(__xludf.DUMMYFUNCTION("""COMPUTED_VALUE"""),356.0)</f>
        <v>356</v>
      </c>
      <c r="B357" s="1">
        <f>IFERROR(__xludf.DUMMYFUNCTION("""COMPUTED_VALUE"""),10201.0)</f>
        <v>10201</v>
      </c>
      <c r="C357" s="2" t="str">
        <f>IFERROR(__xludf.DUMMYFUNCTION("""COMPUTED_VALUE"""),"ITQAN")</f>
        <v>ITQAN</v>
      </c>
      <c r="D357" s="2" t="str">
        <f>IFERROR(__xludf.DUMMYFUNCTION("""COMPUTED_VALUE"""),"10KM OVERALL M")</f>
        <v>10KM OVERALL M</v>
      </c>
      <c r="E357" s="1">
        <f>IFERROR(__xludf.DUMMYFUNCTION("""COMPUTED_VALUE"""),1.0)</f>
        <v>1</v>
      </c>
      <c r="F357" s="1" t="str">
        <f>IFERROR(__xludf.DUMMYFUNCTION("""COMPUTED_VALUE"""),"Male")</f>
        <v>Male</v>
      </c>
      <c r="G357" s="4" t="b">
        <f>IFERROR(__xludf.DUMMYFUNCTION("""COMPUTED_VALUE"""),TRUE)</f>
        <v>1</v>
      </c>
      <c r="H357" s="4" t="b">
        <f>IFERROR(__xludf.DUMMYFUNCTION("""COMPUTED_VALUE"""),TRUE)</f>
        <v>1</v>
      </c>
      <c r="I357" s="4">
        <f>IFERROR(__xludf.DUMMYFUNCTION("""COMPUTED_VALUE"""),0.24646185185185185)</f>
        <v>0.2464618519</v>
      </c>
      <c r="J357" s="4">
        <f>IFERROR(__xludf.DUMMYFUNCTION("""COMPUTED_VALUE"""),45949.25962049165)</f>
        <v>45949.25962</v>
      </c>
      <c r="K357" s="4">
        <f>IFERROR(__xludf.DUMMYFUNCTION("""COMPUTED_VALUE"""),45949.29042824074)</f>
        <v>45949.29043</v>
      </c>
      <c r="L357" s="4">
        <f>IFERROR(__xludf.DUMMYFUNCTION("""COMPUTED_VALUE"""),45949.29876198276)</f>
        <v>45949.29876</v>
      </c>
      <c r="M357" s="1" t="str">
        <f>IFERROR(__xludf.DUMMYFUNCTION("""COMPUTED_VALUE"""),"RFID")</f>
        <v>RFID</v>
      </c>
      <c r="N357" s="5">
        <f>IFERROR(__xludf.DUMMYFUNCTION("""COMPUTED_VALUE"""),0.005263453703703703)</f>
        <v>0.005263453704</v>
      </c>
      <c r="O357" s="5">
        <f>IFERROR(__xludf.DUMMYFUNCTION("""COMPUTED_VALUE"""),0.012323101851851852)</f>
        <v>0.01232310185</v>
      </c>
      <c r="P357" s="5">
        <f>IFERROR(__xludf.DUMMYFUNCTION("""COMPUTED_VALUE"""),0.0034295234658157474)</f>
        <v>0.003429523466</v>
      </c>
      <c r="Q357" s="5">
        <f>IFERROR(__xludf.DUMMYFUNCTION("""COMPUTED_VALUE"""),0.005230012731481481)</f>
        <v>0.005230012731</v>
      </c>
      <c r="R357" s="4">
        <f>IFERROR(__xludf.DUMMYFUNCTION("""COMPUTED_VALUE"""),45949.05230013091)</f>
        <v>45949.0523</v>
      </c>
      <c r="S357" s="1" t="b">
        <f>IFERROR(__xludf.DUMMYFUNCTION("""COMPUTED_VALUE"""),TRUE)</f>
        <v>1</v>
      </c>
      <c r="T357" s="1" t="b">
        <f>IFERROR(__xludf.DUMMYFUNCTION("""COMPUTED_VALUE"""),FALSE)</f>
        <v>0</v>
      </c>
      <c r="U357" s="1" t="str">
        <f>IFERROR(__xludf.DUMMYFUNCTION("""COMPUTED_VALUE"""),"VALID")</f>
        <v>VALID</v>
      </c>
      <c r="V357" s="1">
        <f>IFERROR(__xludf.DUMMYFUNCTION("""COMPUTED_VALUE"""),394.0)</f>
        <v>394</v>
      </c>
      <c r="W357" s="1">
        <f>IFERROR(__xludf.DUMMYFUNCTION("""COMPUTED_VALUE"""),468.0)</f>
        <v>468</v>
      </c>
      <c r="X357" s="1">
        <f>IFERROR(__xludf.DUMMYFUNCTION("""COMPUTED_VALUE"""),1445.0)</f>
        <v>1445</v>
      </c>
      <c r="Y357" s="2"/>
      <c r="Z357" s="2"/>
    </row>
    <row r="358">
      <c r="A358" s="1">
        <f>IFERROR(__xludf.DUMMYFUNCTION("""COMPUTED_VALUE"""),357.0)</f>
        <v>357</v>
      </c>
      <c r="B358" s="1">
        <f>IFERROR(__xludf.DUMMYFUNCTION("""COMPUTED_VALUE"""),10202.0)</f>
        <v>10202</v>
      </c>
      <c r="C358" s="2" t="str">
        <f>IFERROR(__xludf.DUMMYFUNCTION("""COMPUTED_VALUE"""),"Achmad Ramadani")</f>
        <v>Achmad Ramadani</v>
      </c>
      <c r="D358" s="2" t="str">
        <f>IFERROR(__xludf.DUMMYFUNCTION("""COMPUTED_VALUE"""),"10KM OVERALL M")</f>
        <v>10KM OVERALL M</v>
      </c>
      <c r="E358" s="1">
        <f>IFERROR(__xludf.DUMMYFUNCTION("""COMPUTED_VALUE"""),1.0)</f>
        <v>1</v>
      </c>
      <c r="F358" s="1" t="str">
        <f>IFERROR(__xludf.DUMMYFUNCTION("""COMPUTED_VALUE"""),"Male")</f>
        <v>Male</v>
      </c>
      <c r="G358" s="4" t="b">
        <f>IFERROR(__xludf.DUMMYFUNCTION("""COMPUTED_VALUE"""),TRUE)</f>
        <v>1</v>
      </c>
      <c r="H358" s="4" t="b">
        <f>IFERROR(__xludf.DUMMYFUNCTION("""COMPUTED_VALUE"""),FALSE)</f>
        <v>0</v>
      </c>
      <c r="I358" s="4">
        <f>IFERROR(__xludf.DUMMYFUNCTION("""COMPUTED_VALUE"""),0.24646185185185185)</f>
        <v>0.2464618519</v>
      </c>
      <c r="J358" s="4">
        <f>IFERROR(__xludf.DUMMYFUNCTION("""COMPUTED_VALUE"""),45949.26122465611)</f>
        <v>45949.26122</v>
      </c>
      <c r="K358" s="4">
        <f>IFERROR(__xludf.DUMMYFUNCTION("""COMPUTED_VALUE"""),45949.29204425213)</f>
        <v>45949.29204</v>
      </c>
      <c r="L358" s="4">
        <f>IFERROR(__xludf.DUMMYFUNCTION("""COMPUTED_VALUE"""),45949.299834894264)</f>
        <v>45949.29983</v>
      </c>
      <c r="M358" s="1" t="str">
        <f>IFERROR(__xludf.DUMMYFUNCTION("""COMPUTED_VALUE"""),"RFID")</f>
        <v>RFID</v>
      </c>
      <c r="N358" s="5">
        <f>IFERROR(__xludf.DUMMYFUNCTION("""COMPUTED_VALUE"""),0.005905120370370371)</f>
        <v>0.00590512037</v>
      </c>
      <c r="O358" s="5">
        <f>IFERROR(__xludf.DUMMYFUNCTION("""COMPUTED_VALUE"""),0.012327837962962964)</f>
        <v>0.01232783796</v>
      </c>
      <c r="P358" s="5">
        <f>IFERROR(__xludf.DUMMYFUNCTION("""COMPUTED_VALUE"""),0.00320602557023052)</f>
        <v>0.00320602557</v>
      </c>
      <c r="Q358" s="5">
        <f>IFERROR(__xludf.DUMMYFUNCTION("""COMPUTED_VALUE"""),0.0053373043981481474)</f>
        <v>0.005337304398</v>
      </c>
      <c r="R358" s="4">
        <f>IFERROR(__xludf.DUMMYFUNCTION("""COMPUTED_VALUE"""),45949.053373042414)</f>
        <v>45949.05337</v>
      </c>
      <c r="S358" s="1" t="b">
        <f>IFERROR(__xludf.DUMMYFUNCTION("""COMPUTED_VALUE"""),TRUE)</f>
        <v>1</v>
      </c>
      <c r="T358" s="1" t="b">
        <f>IFERROR(__xludf.DUMMYFUNCTION("""COMPUTED_VALUE"""),FALSE)</f>
        <v>0</v>
      </c>
      <c r="U358" s="1" t="str">
        <f>IFERROR(__xludf.DUMMYFUNCTION("""COMPUTED_VALUE"""),"VALID")</f>
        <v>VALID</v>
      </c>
      <c r="V358" s="1">
        <f>IFERROR(__xludf.DUMMYFUNCTION("""COMPUTED_VALUE"""),408.0)</f>
        <v>408</v>
      </c>
      <c r="W358" s="1">
        <f>IFERROR(__xludf.DUMMYFUNCTION("""COMPUTED_VALUE"""),487.0)</f>
        <v>487</v>
      </c>
      <c r="X358" s="1">
        <f>IFERROR(__xludf.DUMMYFUNCTION("""COMPUTED_VALUE"""),1463.0)</f>
        <v>1463</v>
      </c>
      <c r="Y358" s="2"/>
      <c r="Z358" s="2"/>
    </row>
    <row r="359">
      <c r="A359" s="1">
        <f>IFERROR(__xludf.DUMMYFUNCTION("""COMPUTED_VALUE"""),358.0)</f>
        <v>358</v>
      </c>
      <c r="B359" s="1">
        <f>IFERROR(__xludf.DUMMYFUNCTION("""COMPUTED_VALUE"""),10203.0)</f>
        <v>10203</v>
      </c>
      <c r="C359" s="2" t="str">
        <f>IFERROR(__xludf.DUMMYFUNCTION("""COMPUTED_VALUE"""),"GALIH")</f>
        <v>GALIH</v>
      </c>
      <c r="D359" s="2" t="str">
        <f>IFERROR(__xludf.DUMMYFUNCTION("""COMPUTED_VALUE"""),"10KM OVERALL M")</f>
        <v>10KM OVERALL M</v>
      </c>
      <c r="E359" s="1">
        <f>IFERROR(__xludf.DUMMYFUNCTION("""COMPUTED_VALUE"""),1.0)</f>
        <v>1</v>
      </c>
      <c r="F359" s="1" t="str">
        <f>IFERROR(__xludf.DUMMYFUNCTION("""COMPUTED_VALUE"""),"Male")</f>
        <v>Male</v>
      </c>
      <c r="G359" s="4" t="b">
        <f>IFERROR(__xludf.DUMMYFUNCTION("""COMPUTED_VALUE"""),TRUE)</f>
        <v>1</v>
      </c>
      <c r="H359" s="4" t="b">
        <f>IFERROR(__xludf.DUMMYFUNCTION("""COMPUTED_VALUE"""),TRUE)</f>
        <v>1</v>
      </c>
      <c r="I359" s="4">
        <f>IFERROR(__xludf.DUMMYFUNCTION("""COMPUTED_VALUE"""),0.24646185185185185)</f>
        <v>0.2464618519</v>
      </c>
      <c r="J359" s="4">
        <f>IFERROR(__xludf.DUMMYFUNCTION("""COMPUTED_VALUE"""),45949.25662079839)</f>
        <v>45949.25662</v>
      </c>
      <c r="K359" s="4">
        <f>IFERROR(__xludf.DUMMYFUNCTION("""COMPUTED_VALUE"""),45949.28506839648)</f>
        <v>45949.28507</v>
      </c>
      <c r="L359" s="4">
        <f>IFERROR(__xludf.DUMMYFUNCTION("""COMPUTED_VALUE"""),45949.29337656695)</f>
        <v>45949.29338</v>
      </c>
      <c r="M359" s="1" t="str">
        <f>IFERROR(__xludf.DUMMYFUNCTION("""COMPUTED_VALUE"""),"RFID")</f>
        <v>RFID</v>
      </c>
      <c r="N359" s="5">
        <f>IFERROR(__xludf.DUMMYFUNCTION("""COMPUTED_VALUE"""),0.004063578703703703)</f>
        <v>0.004063578704</v>
      </c>
      <c r="O359" s="5">
        <f>IFERROR(__xludf.DUMMYFUNCTION("""COMPUTED_VALUE"""),0.011379037037037036)</f>
        <v>0.01137903704</v>
      </c>
      <c r="P359" s="5">
        <f>IFERROR(__xludf.DUMMYFUNCTION("""COMPUTED_VALUE"""),0.0034190001944223716)</f>
        <v>0.003419000194</v>
      </c>
      <c r="Q359" s="5">
        <f>IFERROR(__xludf.DUMMYFUNCTION("""COMPUTED_VALUE"""),0.004691471064814815)</f>
        <v>0.004691471065</v>
      </c>
      <c r="R359" s="4">
        <f>IFERROR(__xludf.DUMMYFUNCTION("""COMPUTED_VALUE"""),45949.0469147151)</f>
        <v>45949.04691</v>
      </c>
      <c r="S359" s="1" t="b">
        <f>IFERROR(__xludf.DUMMYFUNCTION("""COMPUTED_VALUE"""),TRUE)</f>
        <v>1</v>
      </c>
      <c r="T359" s="1" t="b">
        <f>IFERROR(__xludf.DUMMYFUNCTION("""COMPUTED_VALUE"""),FALSE)</f>
        <v>0</v>
      </c>
      <c r="U359" s="1" t="str">
        <f>IFERROR(__xludf.DUMMYFUNCTION("""COMPUTED_VALUE"""),"VALID")</f>
        <v>VALID</v>
      </c>
      <c r="V359" s="1">
        <f>IFERROR(__xludf.DUMMYFUNCTION("""COMPUTED_VALUE"""),262.0)</f>
        <v>262</v>
      </c>
      <c r="W359" s="1">
        <f>IFERROR(__xludf.DUMMYFUNCTION("""COMPUTED_VALUE"""),313.0)</f>
        <v>313</v>
      </c>
      <c r="X359" s="1">
        <f>IFERROR(__xludf.DUMMYFUNCTION("""COMPUTED_VALUE"""),1268.0)</f>
        <v>1268</v>
      </c>
      <c r="Y359" s="2"/>
      <c r="Z359" s="2"/>
    </row>
    <row r="360">
      <c r="A360" s="1">
        <f>IFERROR(__xludf.DUMMYFUNCTION("""COMPUTED_VALUE"""),359.0)</f>
        <v>359</v>
      </c>
      <c r="B360" s="1">
        <f>IFERROR(__xludf.DUMMYFUNCTION("""COMPUTED_VALUE"""),10205.0)</f>
        <v>10205</v>
      </c>
      <c r="C360" s="2" t="str">
        <f>IFERROR(__xludf.DUMMYFUNCTION("""COMPUTED_VALUE"""),"Galuh Sri Gunawan")</f>
        <v>Galuh Sri Gunawan</v>
      </c>
      <c r="D360" s="2" t="str">
        <f>IFERROR(__xludf.DUMMYFUNCTION("""COMPUTED_VALUE"""),"10KM OVERALL M")</f>
        <v>10KM OVERALL M</v>
      </c>
      <c r="E360" s="1">
        <f>IFERROR(__xludf.DUMMYFUNCTION("""COMPUTED_VALUE"""),1.0)</f>
        <v>1</v>
      </c>
      <c r="F360" s="1" t="str">
        <f>IFERROR(__xludf.DUMMYFUNCTION("""COMPUTED_VALUE"""),"Male")</f>
        <v>Male</v>
      </c>
      <c r="G360" s="4" t="b">
        <f>IFERROR(__xludf.DUMMYFUNCTION("""COMPUTED_VALUE"""),TRUE)</f>
        <v>1</v>
      </c>
      <c r="H360" s="4" t="b">
        <f>IFERROR(__xludf.DUMMYFUNCTION("""COMPUTED_VALUE"""),TRUE)</f>
        <v>1</v>
      </c>
      <c r="I360" s="4">
        <f>IFERROR(__xludf.DUMMYFUNCTION("""COMPUTED_VALUE"""),0.24646185185185185)</f>
        <v>0.2464618519</v>
      </c>
      <c r="J360" s="4">
        <f>IFERROR(__xludf.DUMMYFUNCTION("""COMPUTED_VALUE"""),45949.25916559837)</f>
        <v>45949.25917</v>
      </c>
      <c r="K360" s="4">
        <f>IFERROR(__xludf.DUMMYFUNCTION("""COMPUTED_VALUE"""),45949.28953703703)</f>
        <v>45949.28954</v>
      </c>
      <c r="L360" s="4">
        <f>IFERROR(__xludf.DUMMYFUNCTION("""COMPUTED_VALUE"""),45949.29811267403)</f>
        <v>45949.29811</v>
      </c>
      <c r="M360" s="1" t="str">
        <f>IFERROR(__xludf.DUMMYFUNCTION("""COMPUTED_VALUE"""),"RFID")</f>
        <v>RFID</v>
      </c>
      <c r="N360" s="5">
        <f>IFERROR(__xludf.DUMMYFUNCTION("""COMPUTED_VALUE"""),0.0050815)</f>
        <v>0.0050815</v>
      </c>
      <c r="O360" s="5">
        <f>IFERROR(__xludf.DUMMYFUNCTION("""COMPUTED_VALUE"""),0.012148574074074074)</f>
        <v>0.01214857407</v>
      </c>
      <c r="P360" s="5">
        <f>IFERROR(__xludf.DUMMYFUNCTION("""COMPUTED_VALUE"""),0.003529068722376224)</f>
        <v>0.003529068722</v>
      </c>
      <c r="Q360" s="5">
        <f>IFERROR(__xludf.DUMMYFUNCTION("""COMPUTED_VALUE"""),0.005165082175925926)</f>
        <v>0.005165082176</v>
      </c>
      <c r="R360" s="4">
        <f>IFERROR(__xludf.DUMMYFUNCTION("""COMPUTED_VALUE"""),45949.05165082218)</f>
        <v>45949.05165</v>
      </c>
      <c r="S360" s="1" t="b">
        <f>IFERROR(__xludf.DUMMYFUNCTION("""COMPUTED_VALUE"""),TRUE)</f>
        <v>1</v>
      </c>
      <c r="T360" s="1" t="b">
        <f>IFERROR(__xludf.DUMMYFUNCTION("""COMPUTED_VALUE"""),FALSE)</f>
        <v>0</v>
      </c>
      <c r="U360" s="1" t="str">
        <f>IFERROR(__xludf.DUMMYFUNCTION("""COMPUTED_VALUE"""),"VALID")</f>
        <v>VALID</v>
      </c>
      <c r="V360" s="1">
        <f>IFERROR(__xludf.DUMMYFUNCTION("""COMPUTED_VALUE"""),380.0)</f>
        <v>380</v>
      </c>
      <c r="W360" s="1">
        <f>IFERROR(__xludf.DUMMYFUNCTION("""COMPUTED_VALUE"""),449.0)</f>
        <v>449</v>
      </c>
      <c r="X360" s="1">
        <f>IFERROR(__xludf.DUMMYFUNCTION("""COMPUTED_VALUE"""),1428.0)</f>
        <v>1428</v>
      </c>
      <c r="Y360" s="2"/>
      <c r="Z360" s="2"/>
    </row>
    <row r="361">
      <c r="A361" s="1">
        <f>IFERROR(__xludf.DUMMYFUNCTION("""COMPUTED_VALUE"""),360.0)</f>
        <v>360</v>
      </c>
      <c r="B361" s="1">
        <f>IFERROR(__xludf.DUMMYFUNCTION("""COMPUTED_VALUE"""),10206.0)</f>
        <v>10206</v>
      </c>
      <c r="C361" s="2" t="str">
        <f>IFERROR(__xludf.DUMMYFUNCTION("""COMPUTED_VALUE"""),"Najib")</f>
        <v>Najib</v>
      </c>
      <c r="D361" s="2" t="str">
        <f>IFERROR(__xludf.DUMMYFUNCTION("""COMPUTED_VALUE"""),"10KM OVERALL M")</f>
        <v>10KM OVERALL M</v>
      </c>
      <c r="E361" s="1">
        <f>IFERROR(__xludf.DUMMYFUNCTION("""COMPUTED_VALUE"""),1.0)</f>
        <v>1</v>
      </c>
      <c r="F361" s="1" t="str">
        <f>IFERROR(__xludf.DUMMYFUNCTION("""COMPUTED_VALUE"""),"Male")</f>
        <v>Male</v>
      </c>
      <c r="G361" s="4" t="b">
        <f>IFERROR(__xludf.DUMMYFUNCTION("""COMPUTED_VALUE"""),TRUE)</f>
        <v>1</v>
      </c>
      <c r="H361" s="4" t="b">
        <f>IFERROR(__xludf.DUMMYFUNCTION("""COMPUTED_VALUE"""),FALSE)</f>
        <v>0</v>
      </c>
      <c r="I361" s="4">
        <f>IFERROR(__xludf.DUMMYFUNCTION("""COMPUTED_VALUE"""),0.24646185185185185)</f>
        <v>0.2464618519</v>
      </c>
      <c r="J361" s="4">
        <f>IFERROR(__xludf.DUMMYFUNCTION("""COMPUTED_VALUE"""),45949.256325314025)</f>
        <v>45949.25633</v>
      </c>
      <c r="K361" s="4">
        <f>IFERROR(__xludf.DUMMYFUNCTION("""COMPUTED_VALUE"""),45949.28102674167)</f>
        <v>45949.28103</v>
      </c>
      <c r="L361" s="4">
        <f>IFERROR(__xludf.DUMMYFUNCTION("""COMPUTED_VALUE"""),45949.28815783035)</f>
        <v>45949.28816</v>
      </c>
      <c r="M361" s="1" t="str">
        <f>IFERROR(__xludf.DUMMYFUNCTION("""COMPUTED_VALUE"""),"RFID")</f>
        <v>RFID</v>
      </c>
      <c r="N361" s="5">
        <f>IFERROR(__xludf.DUMMYFUNCTION("""COMPUTED_VALUE"""),0.003945384259259259)</f>
        <v>0.003945384259</v>
      </c>
      <c r="O361" s="5">
        <f>IFERROR(__xludf.DUMMYFUNCTION("""COMPUTED_VALUE"""),0.009880569444444444)</f>
        <v>0.009880569444</v>
      </c>
      <c r="P361" s="5">
        <f>IFERROR(__xludf.DUMMYFUNCTION("""COMPUTED_VALUE"""),0.0029346043941777564)</f>
        <v>0.002934604394</v>
      </c>
      <c r="Q361" s="5">
        <f>IFERROR(__xludf.DUMMYFUNCTION("""COMPUTED_VALUE"""),0.004169598379629629)</f>
        <v>0.00416959838</v>
      </c>
      <c r="R361" s="4">
        <f>IFERROR(__xludf.DUMMYFUNCTION("""COMPUTED_VALUE"""),45949.0416959785)</f>
        <v>45949.0417</v>
      </c>
      <c r="S361" s="1" t="b">
        <f>IFERROR(__xludf.DUMMYFUNCTION("""COMPUTED_VALUE"""),TRUE)</f>
        <v>1</v>
      </c>
      <c r="T361" s="1" t="b">
        <f>IFERROR(__xludf.DUMMYFUNCTION("""COMPUTED_VALUE"""),FALSE)</f>
        <v>0</v>
      </c>
      <c r="U361" s="1" t="str">
        <f>IFERROR(__xludf.DUMMYFUNCTION("""COMPUTED_VALUE"""),"VALID")</f>
        <v>VALID</v>
      </c>
      <c r="V361" s="1">
        <f>IFERROR(__xludf.DUMMYFUNCTION("""COMPUTED_VALUE"""),136.0)</f>
        <v>136</v>
      </c>
      <c r="W361" s="1">
        <f>IFERROR(__xludf.DUMMYFUNCTION("""COMPUTED_VALUE"""),161.0)</f>
        <v>161</v>
      </c>
      <c r="X361" s="1">
        <f>IFERROR(__xludf.DUMMYFUNCTION("""COMPUTED_VALUE"""),1053.0)</f>
        <v>1053</v>
      </c>
      <c r="Y361" s="2"/>
      <c r="Z361" s="2"/>
    </row>
    <row r="362">
      <c r="A362" s="1">
        <f>IFERROR(__xludf.DUMMYFUNCTION("""COMPUTED_VALUE"""),361.0)</f>
        <v>361</v>
      </c>
      <c r="B362" s="1">
        <f>IFERROR(__xludf.DUMMYFUNCTION("""COMPUTED_VALUE"""),10207.0)</f>
        <v>10207</v>
      </c>
      <c r="C362" s="2" t="str">
        <f>IFERROR(__xludf.DUMMYFUNCTION("""COMPUTED_VALUE"""),"eitinzyx")</f>
        <v>eitinzyx</v>
      </c>
      <c r="D362" s="2" t="str">
        <f>IFERROR(__xludf.DUMMYFUNCTION("""COMPUTED_VALUE"""),"10KM OVERALL M")</f>
        <v>10KM OVERALL M</v>
      </c>
      <c r="E362" s="1">
        <f>IFERROR(__xludf.DUMMYFUNCTION("""COMPUTED_VALUE"""),1.0)</f>
        <v>1</v>
      </c>
      <c r="F362" s="1" t="str">
        <f>IFERROR(__xludf.DUMMYFUNCTION("""COMPUTED_VALUE"""),"Male")</f>
        <v>Male</v>
      </c>
      <c r="G362" s="4" t="b">
        <f>IFERROR(__xludf.DUMMYFUNCTION("""COMPUTED_VALUE"""),TRUE)</f>
        <v>1</v>
      </c>
      <c r="H362" s="4" t="b">
        <f>IFERROR(__xludf.DUMMYFUNCTION("""COMPUTED_VALUE"""),FALSE)</f>
        <v>0</v>
      </c>
      <c r="I362" s="4">
        <f>IFERROR(__xludf.DUMMYFUNCTION("""COMPUTED_VALUE"""),0.24646185185185185)</f>
        <v>0.2464618519</v>
      </c>
      <c r="J362" s="4">
        <f>IFERROR(__xludf.DUMMYFUNCTION("""COMPUTED_VALUE"""),45949.25463433406)</f>
        <v>45949.25463</v>
      </c>
      <c r="K362" s="4">
        <f>IFERROR(__xludf.DUMMYFUNCTION("""COMPUTED_VALUE"""),45949.27587211133)</f>
        <v>45949.27587</v>
      </c>
      <c r="L362" s="4">
        <f>IFERROR(__xludf.DUMMYFUNCTION("""COMPUTED_VALUE"""),45949.28227929817)</f>
        <v>45949.28228</v>
      </c>
      <c r="M362" s="1" t="str">
        <f>IFERROR(__xludf.DUMMYFUNCTION("""COMPUTED_VALUE"""),"RFID")</f>
        <v>RFID</v>
      </c>
      <c r="N362" s="5">
        <f>IFERROR(__xludf.DUMMYFUNCTION("""COMPUTED_VALUE"""),0.0032689907407407403)</f>
        <v>0.003268990741</v>
      </c>
      <c r="O362" s="5">
        <f>IFERROR(__xludf.DUMMYFUNCTION("""COMPUTED_VALUE"""),0.008495111111111111)</f>
        <v>0.008495111111</v>
      </c>
      <c r="P362" s="5">
        <f>IFERROR(__xludf.DUMMYFUNCTION("""COMPUTED_VALUE"""),0.0026367024033246062)</f>
        <v>0.002636702403</v>
      </c>
      <c r="Q362" s="5">
        <f>IFERROR(__xludf.DUMMYFUNCTION("""COMPUTED_VALUE"""),0.0035817442129629632)</f>
        <v>0.003581744213</v>
      </c>
      <c r="R362" s="4">
        <f>IFERROR(__xludf.DUMMYFUNCTION("""COMPUTED_VALUE"""),45949.03581744632)</f>
        <v>45949.03582</v>
      </c>
      <c r="S362" s="1" t="b">
        <f>IFERROR(__xludf.DUMMYFUNCTION("""COMPUTED_VALUE"""),TRUE)</f>
        <v>1</v>
      </c>
      <c r="T362" s="1" t="b">
        <f>IFERROR(__xludf.DUMMYFUNCTION("""COMPUTED_VALUE"""),FALSE)</f>
        <v>0</v>
      </c>
      <c r="U362" s="1" t="str">
        <f>IFERROR(__xludf.DUMMYFUNCTION("""COMPUTED_VALUE"""),"VALID")</f>
        <v>VALID</v>
      </c>
      <c r="V362" s="1">
        <f>IFERROR(__xludf.DUMMYFUNCTION("""COMPUTED_VALUE"""),40.0)</f>
        <v>40</v>
      </c>
      <c r="W362" s="1">
        <f>IFERROR(__xludf.DUMMYFUNCTION("""COMPUTED_VALUE"""),50.0)</f>
        <v>50</v>
      </c>
      <c r="X362" s="1">
        <f>IFERROR(__xludf.DUMMYFUNCTION("""COMPUTED_VALUE"""),771.0)</f>
        <v>771</v>
      </c>
      <c r="Y362" s="2"/>
      <c r="Z362" s="2"/>
    </row>
    <row r="363">
      <c r="A363" s="1">
        <f>IFERROR(__xludf.DUMMYFUNCTION("""COMPUTED_VALUE"""),362.0)</f>
        <v>362</v>
      </c>
      <c r="B363" s="1">
        <f>IFERROR(__xludf.DUMMYFUNCTION("""COMPUTED_VALUE"""),10208.0)</f>
        <v>10208</v>
      </c>
      <c r="C363" s="2" t="str">
        <f>IFERROR(__xludf.DUMMYFUNCTION("""COMPUTED_VALUE"""),"M Yudha prawira")</f>
        <v>M Yudha prawira</v>
      </c>
      <c r="D363" s="2" t="str">
        <f>IFERROR(__xludf.DUMMYFUNCTION("""COMPUTED_VALUE"""),"10KM OVERALL M")</f>
        <v>10KM OVERALL M</v>
      </c>
      <c r="E363" s="1">
        <f>IFERROR(__xludf.DUMMYFUNCTION("""COMPUTED_VALUE"""),1.0)</f>
        <v>1</v>
      </c>
      <c r="F363" s="1" t="str">
        <f>IFERROR(__xludf.DUMMYFUNCTION("""COMPUTED_VALUE"""),"Male")</f>
        <v>Male</v>
      </c>
      <c r="G363" s="4" t="b">
        <f>IFERROR(__xludf.DUMMYFUNCTION("""COMPUTED_VALUE"""),TRUE)</f>
        <v>1</v>
      </c>
      <c r="H363" s="4" t="b">
        <f>IFERROR(__xludf.DUMMYFUNCTION("""COMPUTED_VALUE"""),FALSE)</f>
        <v>0</v>
      </c>
      <c r="I363" s="4">
        <f>IFERROR(__xludf.DUMMYFUNCTION("""COMPUTED_VALUE"""),0.24646185185185185)</f>
        <v>0.2464618519</v>
      </c>
      <c r="J363" s="4">
        <f>IFERROR(__xludf.DUMMYFUNCTION("""COMPUTED_VALUE"""),45949.25739481199)</f>
        <v>45949.25739</v>
      </c>
      <c r="K363" s="4">
        <f>IFERROR(__xludf.DUMMYFUNCTION("""COMPUTED_VALUE"""),45949.2840163137)</f>
        <v>45949.28402</v>
      </c>
      <c r="L363" s="4">
        <f>IFERROR(__xludf.DUMMYFUNCTION("""COMPUTED_VALUE"""),45949.291796711754)</f>
        <v>45949.2918</v>
      </c>
      <c r="M363" s="1" t="str">
        <f>IFERROR(__xludf.DUMMYFUNCTION("""COMPUTED_VALUE"""),"RFID")</f>
        <v>RFID</v>
      </c>
      <c r="N363" s="5">
        <f>IFERROR(__xludf.DUMMYFUNCTION("""COMPUTED_VALUE"""),0.004373185185185185)</f>
        <v>0.004373185185</v>
      </c>
      <c r="O363" s="5">
        <f>IFERROR(__xludf.DUMMYFUNCTION("""COMPUTED_VALUE"""),0.010648601851851852)</f>
        <v>0.01064860185</v>
      </c>
      <c r="P363" s="5">
        <f>IFERROR(__xludf.DUMMYFUNCTION("""COMPUTED_VALUE"""),0.0032018098983541896)</f>
        <v>0.003201809898</v>
      </c>
      <c r="Q363" s="5">
        <f>IFERROR(__xludf.DUMMYFUNCTION("""COMPUTED_VALUE"""),0.004533486111111111)</f>
        <v>0.004533486111</v>
      </c>
      <c r="R363" s="4">
        <f>IFERROR(__xludf.DUMMYFUNCTION("""COMPUTED_VALUE"""),45949.045334859904)</f>
        <v>45949.04533</v>
      </c>
      <c r="S363" s="1" t="b">
        <f>IFERROR(__xludf.DUMMYFUNCTION("""COMPUTED_VALUE"""),TRUE)</f>
        <v>1</v>
      </c>
      <c r="T363" s="1" t="b">
        <f>IFERROR(__xludf.DUMMYFUNCTION("""COMPUTED_VALUE"""),FALSE)</f>
        <v>0</v>
      </c>
      <c r="U363" s="1" t="str">
        <f>IFERROR(__xludf.DUMMYFUNCTION("""COMPUTED_VALUE"""),"VALID")</f>
        <v>VALID</v>
      </c>
      <c r="V363" s="1">
        <f>IFERROR(__xludf.DUMMYFUNCTION("""COMPUTED_VALUE"""),225.0)</f>
        <v>225</v>
      </c>
      <c r="W363" s="1">
        <f>IFERROR(__xludf.DUMMYFUNCTION("""COMPUTED_VALUE"""),270.0)</f>
        <v>270</v>
      </c>
      <c r="X363" s="1">
        <f>IFERROR(__xludf.DUMMYFUNCTION("""COMPUTED_VALUE"""),1210.0)</f>
        <v>1210</v>
      </c>
      <c r="Y363" s="2"/>
      <c r="Z363" s="2"/>
    </row>
    <row r="364">
      <c r="A364" s="1">
        <f>IFERROR(__xludf.DUMMYFUNCTION("""COMPUTED_VALUE"""),363.0)</f>
        <v>363</v>
      </c>
      <c r="B364" s="1">
        <f>IFERROR(__xludf.DUMMYFUNCTION("""COMPUTED_VALUE"""),10209.0)</f>
        <v>10209</v>
      </c>
      <c r="C364" s="2" t="str">
        <f>IFERROR(__xludf.DUMMYFUNCTION("""COMPUTED_VALUE"""),"Shayne Pattynama")</f>
        <v>Shayne Pattynama</v>
      </c>
      <c r="D364" s="2" t="str">
        <f>IFERROR(__xludf.DUMMYFUNCTION("""COMPUTED_VALUE"""),"10KM OVERALL M")</f>
        <v>10KM OVERALL M</v>
      </c>
      <c r="E364" s="1">
        <f>IFERROR(__xludf.DUMMYFUNCTION("""COMPUTED_VALUE"""),1.0)</f>
        <v>1</v>
      </c>
      <c r="F364" s="1" t="str">
        <f>IFERROR(__xludf.DUMMYFUNCTION("""COMPUTED_VALUE"""),"Male")</f>
        <v>Male</v>
      </c>
      <c r="G364" s="4" t="str">
        <f>IFERROR(__xludf.DUMMYFUNCTION("""COMPUTED_VALUE"""),"")</f>
        <v/>
      </c>
      <c r="H364" s="4" t="b">
        <f>IFERROR(__xludf.DUMMYFUNCTION("""COMPUTED_VALUE"""),FALSE)</f>
        <v>0</v>
      </c>
      <c r="I364" s="4">
        <f>IFERROR(__xludf.DUMMYFUNCTION("""COMPUTED_VALUE"""),0.24646185185185185)</f>
        <v>0.2464618519</v>
      </c>
      <c r="J364" s="4">
        <f>IFERROR(__xludf.DUMMYFUNCTION("""COMPUTED_VALUE"""),45949.258012863465)</f>
        <v>45949.25801</v>
      </c>
      <c r="K364" s="4">
        <f>IFERROR(__xludf.DUMMYFUNCTION("""COMPUTED_VALUE"""),45949.28504755465)</f>
        <v>45949.28505</v>
      </c>
      <c r="L364" s="4">
        <f>IFERROR(__xludf.DUMMYFUNCTION("""COMPUTED_VALUE"""),45949.29255712299)</f>
        <v>45949.29256</v>
      </c>
      <c r="M364" s="1" t="str">
        <f>IFERROR(__xludf.DUMMYFUNCTION("""COMPUTED_VALUE"""),"RFID")</f>
        <v>RFID</v>
      </c>
      <c r="N364" s="5">
        <f>IFERROR(__xludf.DUMMYFUNCTION("""COMPUTED_VALUE"""),0.004620402777777777)</f>
        <v>0.004620402778</v>
      </c>
      <c r="O364" s="5">
        <f>IFERROR(__xludf.DUMMYFUNCTION("""COMPUTED_VALUE"""),0.010813875)</f>
        <v>0.010813875</v>
      </c>
      <c r="P364" s="5">
        <f>IFERROR(__xludf.DUMMYFUNCTION("""COMPUTED_VALUE"""),0.003090357342533721)</f>
        <v>0.003090357343</v>
      </c>
      <c r="Q364" s="5">
        <f>IFERROR(__xludf.DUMMYFUNCTION("""COMPUTED_VALUE"""),0.004609526620370371)</f>
        <v>0.00460952662</v>
      </c>
      <c r="R364" s="4">
        <f>IFERROR(__xludf.DUMMYFUNCTION("""COMPUTED_VALUE"""),45949.046095271144)</f>
        <v>45949.0461</v>
      </c>
      <c r="S364" s="1" t="b">
        <f>IFERROR(__xludf.DUMMYFUNCTION("""COMPUTED_VALUE"""),TRUE)</f>
        <v>1</v>
      </c>
      <c r="T364" s="1" t="b">
        <f>IFERROR(__xludf.DUMMYFUNCTION("""COMPUTED_VALUE"""),FALSE)</f>
        <v>0</v>
      </c>
      <c r="U364" s="1" t="str">
        <f>IFERROR(__xludf.DUMMYFUNCTION("""COMPUTED_VALUE"""),"VALID")</f>
        <v>VALID</v>
      </c>
      <c r="V364" s="1">
        <f>IFERROR(__xludf.DUMMYFUNCTION("""COMPUTED_VALUE"""),246.0)</f>
        <v>246</v>
      </c>
      <c r="W364" s="1">
        <f>IFERROR(__xludf.DUMMYFUNCTION("""COMPUTED_VALUE"""),295.0)</f>
        <v>295</v>
      </c>
      <c r="X364" s="1">
        <f>IFERROR(__xludf.DUMMYFUNCTION("""COMPUTED_VALUE"""),1243.0)</f>
        <v>1243</v>
      </c>
      <c r="Y364" s="2"/>
      <c r="Z364" s="2"/>
    </row>
    <row r="365">
      <c r="A365" s="1">
        <f>IFERROR(__xludf.DUMMYFUNCTION("""COMPUTED_VALUE"""),364.0)</f>
        <v>364</v>
      </c>
      <c r="B365" s="1">
        <f>IFERROR(__xludf.DUMMYFUNCTION("""COMPUTED_VALUE"""),10210.0)</f>
        <v>10210</v>
      </c>
      <c r="C365" s="2" t="str">
        <f>IFERROR(__xludf.DUMMYFUNCTION("""COMPUTED_VALUE"""),"Ihsan")</f>
        <v>Ihsan</v>
      </c>
      <c r="D365" s="2" t="str">
        <f>IFERROR(__xludf.DUMMYFUNCTION("""COMPUTED_VALUE"""),"10KM OVERALL M")</f>
        <v>10KM OVERALL M</v>
      </c>
      <c r="E365" s="1">
        <f>IFERROR(__xludf.DUMMYFUNCTION("""COMPUTED_VALUE"""),1.0)</f>
        <v>1</v>
      </c>
      <c r="F365" s="1" t="str">
        <f>IFERROR(__xludf.DUMMYFUNCTION("""COMPUTED_VALUE"""),"Male")</f>
        <v>Male</v>
      </c>
      <c r="G365" s="4" t="str">
        <f>IFERROR(__xludf.DUMMYFUNCTION("""COMPUTED_VALUE"""),"")</f>
        <v/>
      </c>
      <c r="H365" s="4" t="b">
        <f>IFERROR(__xludf.DUMMYFUNCTION("""COMPUTED_VALUE"""),FALSE)</f>
        <v>0</v>
      </c>
      <c r="I365" s="4">
        <f>IFERROR(__xludf.DUMMYFUNCTION("""COMPUTED_VALUE"""),0.24646185185185185)</f>
        <v>0.2464618519</v>
      </c>
      <c r="J365" s="4" t="str">
        <f>IFERROR(__xludf.DUMMYFUNCTION("""COMPUTED_VALUE"""),"")</f>
        <v/>
      </c>
      <c r="K365" s="4" t="str">
        <f>IFERROR(__xludf.DUMMYFUNCTION("""COMPUTED_VALUE"""),"")</f>
        <v/>
      </c>
      <c r="L365" s="4" t="str">
        <f>IFERROR(__xludf.DUMMYFUNCTION("""COMPUTED_VALUE"""),"")</f>
        <v/>
      </c>
      <c r="M365" s="1" t="str">
        <f>IFERROR(__xludf.DUMMYFUNCTION("""COMPUTED_VALUE"""),"RFID")</f>
        <v>RFID</v>
      </c>
      <c r="N365" s="5" t="str">
        <f>IFERROR(__xludf.DUMMYFUNCTION("""COMPUTED_VALUE"""),"")</f>
        <v/>
      </c>
      <c r="O365" s="5" t="str">
        <f>IFERROR(__xludf.DUMMYFUNCTION("""COMPUTED_VALUE"""),"")</f>
        <v/>
      </c>
      <c r="P365" s="5" t="str">
        <f>IFERROR(__xludf.DUMMYFUNCTION("""COMPUTED_VALUE"""),"")</f>
        <v/>
      </c>
      <c r="Q365" s="5" t="str">
        <f>IFERROR(__xludf.DUMMYFUNCTION("""COMPUTED_VALUE"""),"")</f>
        <v/>
      </c>
      <c r="R365" s="4" t="str">
        <f>IFERROR(__xludf.DUMMYFUNCTION("""COMPUTED_VALUE"""),"")</f>
        <v/>
      </c>
      <c r="S365" s="1" t="b">
        <f>IFERROR(__xludf.DUMMYFUNCTION("""COMPUTED_VALUE"""),FALSE)</f>
        <v>0</v>
      </c>
      <c r="T365" s="1" t="b">
        <f>IFERROR(__xludf.DUMMYFUNCTION("""COMPUTED_VALUE"""),FALSE)</f>
        <v>0</v>
      </c>
      <c r="U365" s="1" t="str">
        <f>IFERROR(__xludf.DUMMYFUNCTION("""COMPUTED_VALUE"""),"DSQ")</f>
        <v>DSQ</v>
      </c>
      <c r="V365" s="1" t="str">
        <f>IFERROR(__xludf.DUMMYFUNCTION("""COMPUTED_VALUE"""),"DSQ")</f>
        <v>DSQ</v>
      </c>
      <c r="W365" s="1" t="str">
        <f>IFERROR(__xludf.DUMMYFUNCTION("""COMPUTED_VALUE"""),"DSQ")</f>
        <v>DSQ</v>
      </c>
      <c r="X365" s="1" t="str">
        <f>IFERROR(__xludf.DUMMYFUNCTION("""COMPUTED_VALUE"""),"DSQ")</f>
        <v>DSQ</v>
      </c>
      <c r="Y365" s="2"/>
      <c r="Z365" s="2" t="str">
        <f>IFERROR(__xludf.DUMMYFUNCTION("""COMPUTED_VALUE"""),"")</f>
        <v/>
      </c>
    </row>
    <row r="366">
      <c r="A366" s="1">
        <f>IFERROR(__xludf.DUMMYFUNCTION("""COMPUTED_VALUE"""),365.0)</f>
        <v>365</v>
      </c>
      <c r="B366" s="1">
        <f>IFERROR(__xludf.DUMMYFUNCTION("""COMPUTED_VALUE"""),10211.0)</f>
        <v>10211</v>
      </c>
      <c r="C366" s="2" t="str">
        <f>IFERROR(__xludf.DUMMYFUNCTION("""COMPUTED_VALUE"""),"PARADISOO__")</f>
        <v>PARADISOO__</v>
      </c>
      <c r="D366" s="2" t="str">
        <f>IFERROR(__xludf.DUMMYFUNCTION("""COMPUTED_VALUE"""),"10KM OVERALL M")</f>
        <v>10KM OVERALL M</v>
      </c>
      <c r="E366" s="1">
        <f>IFERROR(__xludf.DUMMYFUNCTION("""COMPUTED_VALUE"""),1.0)</f>
        <v>1</v>
      </c>
      <c r="F366" s="1" t="str">
        <f>IFERROR(__xludf.DUMMYFUNCTION("""COMPUTED_VALUE"""),"Male")</f>
        <v>Male</v>
      </c>
      <c r="G366" s="4" t="b">
        <f>IFERROR(__xludf.DUMMYFUNCTION("""COMPUTED_VALUE"""),TRUE)</f>
        <v>1</v>
      </c>
      <c r="H366" s="4" t="b">
        <f>IFERROR(__xludf.DUMMYFUNCTION("""COMPUTED_VALUE"""),TRUE)</f>
        <v>1</v>
      </c>
      <c r="I366" s="4">
        <f>IFERROR(__xludf.DUMMYFUNCTION("""COMPUTED_VALUE"""),0.24646185185185185)</f>
        <v>0.2464618519</v>
      </c>
      <c r="J366" s="4">
        <f>IFERROR(__xludf.DUMMYFUNCTION("""COMPUTED_VALUE"""),45949.26190868428)</f>
        <v>45949.26191</v>
      </c>
      <c r="K366" s="4">
        <f>IFERROR(__xludf.DUMMYFUNCTION("""COMPUTED_VALUE"""),45949.304009597676)</f>
        <v>45949.30401</v>
      </c>
      <c r="L366" s="4">
        <f>IFERROR(__xludf.DUMMYFUNCTION("""COMPUTED_VALUE"""),45949.31579056238)</f>
        <v>45949.31579</v>
      </c>
      <c r="M366" s="1" t="str">
        <f>IFERROR(__xludf.DUMMYFUNCTION("""COMPUTED_VALUE"""),"RFID")</f>
        <v>RFID</v>
      </c>
      <c r="N366" s="5">
        <f>IFERROR(__xludf.DUMMYFUNCTION("""COMPUTED_VALUE"""),0.006178731481481481)</f>
        <v>0.006178731481</v>
      </c>
      <c r="O366" s="5">
        <f>IFERROR(__xludf.DUMMYFUNCTION("""COMPUTED_VALUE"""),0.01684036574074074)</f>
        <v>0.01684036574</v>
      </c>
      <c r="P366" s="5">
        <f>IFERROR(__xludf.DUMMYFUNCTION("""COMPUTED_VALUE"""),0.004848133623619169)</f>
        <v>0.004848133624</v>
      </c>
      <c r="Q366" s="5">
        <f>IFERROR(__xludf.DUMMYFUNCTION("""COMPUTED_VALUE"""),0.006932871527777778)</f>
        <v>0.006932871528</v>
      </c>
      <c r="R366" s="4">
        <f>IFERROR(__xludf.DUMMYFUNCTION("""COMPUTED_VALUE"""),45949.06932871053)</f>
        <v>45949.06933</v>
      </c>
      <c r="S366" s="1" t="b">
        <f>IFERROR(__xludf.DUMMYFUNCTION("""COMPUTED_VALUE"""),TRUE)</f>
        <v>1</v>
      </c>
      <c r="T366" s="1" t="b">
        <f>IFERROR(__xludf.DUMMYFUNCTION("""COMPUTED_VALUE"""),FALSE)</f>
        <v>0</v>
      </c>
      <c r="U366" s="1" t="str">
        <f>IFERROR(__xludf.DUMMYFUNCTION("""COMPUTED_VALUE"""),"VALID")</f>
        <v>VALID</v>
      </c>
      <c r="V366" s="1">
        <f>IFERROR(__xludf.DUMMYFUNCTION("""COMPUTED_VALUE"""),591.0)</f>
        <v>591</v>
      </c>
      <c r="W366" s="1">
        <f>IFERROR(__xludf.DUMMYFUNCTION("""COMPUTED_VALUE"""),736.0)</f>
        <v>736</v>
      </c>
      <c r="X366" s="1">
        <f>IFERROR(__xludf.DUMMYFUNCTION("""COMPUTED_VALUE"""),1666.0)</f>
        <v>1666</v>
      </c>
      <c r="Y366" s="2"/>
      <c r="Z366" s="2"/>
    </row>
    <row r="367">
      <c r="A367" s="1">
        <f>IFERROR(__xludf.DUMMYFUNCTION("""COMPUTED_VALUE"""),366.0)</f>
        <v>366</v>
      </c>
      <c r="B367" s="1">
        <f>IFERROR(__xludf.DUMMYFUNCTION("""COMPUTED_VALUE"""),10212.0)</f>
        <v>10212</v>
      </c>
      <c r="C367" s="2" t="str">
        <f>IFERROR(__xludf.DUMMYFUNCTION("""COMPUTED_VALUE"""),"Yoggy")</f>
        <v>Yoggy</v>
      </c>
      <c r="D367" s="2" t="str">
        <f>IFERROR(__xludf.DUMMYFUNCTION("""COMPUTED_VALUE"""),"10KM OVERALL M")</f>
        <v>10KM OVERALL M</v>
      </c>
      <c r="E367" s="1">
        <f>IFERROR(__xludf.DUMMYFUNCTION("""COMPUTED_VALUE"""),1.0)</f>
        <v>1</v>
      </c>
      <c r="F367" s="1" t="str">
        <f>IFERROR(__xludf.DUMMYFUNCTION("""COMPUTED_VALUE"""),"Male")</f>
        <v>Male</v>
      </c>
      <c r="G367" s="4" t="b">
        <f>IFERROR(__xludf.DUMMYFUNCTION("""COMPUTED_VALUE"""),TRUE)</f>
        <v>1</v>
      </c>
      <c r="H367" s="4" t="b">
        <f>IFERROR(__xludf.DUMMYFUNCTION("""COMPUTED_VALUE"""),TRUE)</f>
        <v>1</v>
      </c>
      <c r="I367" s="4">
        <f>IFERROR(__xludf.DUMMYFUNCTION("""COMPUTED_VALUE"""),0.24646185185185185)</f>
        <v>0.2464618519</v>
      </c>
      <c r="J367" s="4">
        <f>IFERROR(__xludf.DUMMYFUNCTION("""COMPUTED_VALUE"""),45949.254780161755)</f>
        <v>45949.25478</v>
      </c>
      <c r="K367" s="4">
        <f>IFERROR(__xludf.DUMMYFUNCTION("""COMPUTED_VALUE"""),45949.27441804722)</f>
        <v>45949.27442</v>
      </c>
      <c r="L367" s="4">
        <f>IFERROR(__xludf.DUMMYFUNCTION("""COMPUTED_VALUE"""),45949.28001539826)</f>
        <v>45949.28002</v>
      </c>
      <c r="M367" s="1" t="str">
        <f>IFERROR(__xludf.DUMMYFUNCTION("""COMPUTED_VALUE"""),"RFID")</f>
        <v>RFID</v>
      </c>
      <c r="N367" s="5">
        <f>IFERROR(__xludf.DUMMYFUNCTION("""COMPUTED_VALUE"""),0.003327324074074074)</f>
        <v>0.003327324074</v>
      </c>
      <c r="O367" s="5">
        <f>IFERROR(__xludf.DUMMYFUNCTION("""COMPUTED_VALUE"""),0.007855152777777779)</f>
        <v>0.007855152778</v>
      </c>
      <c r="P367" s="5">
        <f>IFERROR(__xludf.DUMMYFUNCTION("""COMPUTED_VALUE"""),0.0023034366415171604)</f>
        <v>0.002303436642</v>
      </c>
      <c r="Q367" s="5">
        <f>IFERROR(__xludf.DUMMYFUNCTION("""COMPUTED_VALUE"""),0.0033553541666666666)</f>
        <v>0.003355354167</v>
      </c>
      <c r="R367" s="4">
        <f>IFERROR(__xludf.DUMMYFUNCTION("""COMPUTED_VALUE"""),45949.03355354641)</f>
        <v>45949.03355</v>
      </c>
      <c r="S367" s="1" t="b">
        <f>IFERROR(__xludf.DUMMYFUNCTION("""COMPUTED_VALUE"""),TRUE)</f>
        <v>1</v>
      </c>
      <c r="T367" s="1" t="b">
        <f>IFERROR(__xludf.DUMMYFUNCTION("""COMPUTED_VALUE"""),FALSE)</f>
        <v>0</v>
      </c>
      <c r="U367" s="1" t="str">
        <f>IFERROR(__xludf.DUMMYFUNCTION("""COMPUTED_VALUE"""),"VALID")</f>
        <v>VALID</v>
      </c>
      <c r="V367" s="1">
        <f>IFERROR(__xludf.DUMMYFUNCTION("""COMPUTED_VALUE"""),22.0)</f>
        <v>22</v>
      </c>
      <c r="W367" s="1">
        <f>IFERROR(__xludf.DUMMYFUNCTION("""COMPUTED_VALUE"""),30.0)</f>
        <v>30</v>
      </c>
      <c r="X367" s="1">
        <f>IFERROR(__xludf.DUMMYFUNCTION("""COMPUTED_VALUE"""),667.0)</f>
        <v>667</v>
      </c>
      <c r="Y367" s="2"/>
      <c r="Z367" s="2"/>
    </row>
    <row r="368">
      <c r="A368" s="1">
        <f>IFERROR(__xludf.DUMMYFUNCTION("""COMPUTED_VALUE"""),367.0)</f>
        <v>367</v>
      </c>
      <c r="B368" s="1">
        <f>IFERROR(__xludf.DUMMYFUNCTION("""COMPUTED_VALUE"""),10213.0)</f>
        <v>10213</v>
      </c>
      <c r="C368" s="2" t="str">
        <f>IFERROR(__xludf.DUMMYFUNCTION("""COMPUTED_VALUE"""),"ade")</f>
        <v>ade</v>
      </c>
      <c r="D368" s="2" t="str">
        <f>IFERROR(__xludf.DUMMYFUNCTION("""COMPUTED_VALUE"""),"10KM OVERALL M")</f>
        <v>10KM OVERALL M</v>
      </c>
      <c r="E368" s="1">
        <f>IFERROR(__xludf.DUMMYFUNCTION("""COMPUTED_VALUE"""),1.0)</f>
        <v>1</v>
      </c>
      <c r="F368" s="1" t="str">
        <f>IFERROR(__xludf.DUMMYFUNCTION("""COMPUTED_VALUE"""),"Male")</f>
        <v>Male</v>
      </c>
      <c r="G368" s="4" t="str">
        <f>IFERROR(__xludf.DUMMYFUNCTION("""COMPUTED_VALUE"""),"")</f>
        <v/>
      </c>
      <c r="H368" s="4" t="b">
        <f>IFERROR(__xludf.DUMMYFUNCTION("""COMPUTED_VALUE"""),FALSE)</f>
        <v>0</v>
      </c>
      <c r="I368" s="4">
        <f>IFERROR(__xludf.DUMMYFUNCTION("""COMPUTED_VALUE"""),0.24646185185185185)</f>
        <v>0.2464618519</v>
      </c>
      <c r="J368" s="4" t="str">
        <f>IFERROR(__xludf.DUMMYFUNCTION("""COMPUTED_VALUE"""),"")</f>
        <v/>
      </c>
      <c r="K368" s="4" t="str">
        <f>IFERROR(__xludf.DUMMYFUNCTION("""COMPUTED_VALUE"""),"")</f>
        <v/>
      </c>
      <c r="L368" s="4" t="str">
        <f>IFERROR(__xludf.DUMMYFUNCTION("""COMPUTED_VALUE"""),"")</f>
        <v/>
      </c>
      <c r="M368" s="1" t="str">
        <f>IFERROR(__xludf.DUMMYFUNCTION("""COMPUTED_VALUE"""),"RFID")</f>
        <v>RFID</v>
      </c>
      <c r="N368" s="5" t="str">
        <f>IFERROR(__xludf.DUMMYFUNCTION("""COMPUTED_VALUE"""),"")</f>
        <v/>
      </c>
      <c r="O368" s="5" t="str">
        <f>IFERROR(__xludf.DUMMYFUNCTION("""COMPUTED_VALUE"""),"")</f>
        <v/>
      </c>
      <c r="P368" s="5" t="str">
        <f>IFERROR(__xludf.DUMMYFUNCTION("""COMPUTED_VALUE"""),"")</f>
        <v/>
      </c>
      <c r="Q368" s="5" t="str">
        <f>IFERROR(__xludf.DUMMYFUNCTION("""COMPUTED_VALUE"""),"")</f>
        <v/>
      </c>
      <c r="R368" s="4" t="str">
        <f>IFERROR(__xludf.DUMMYFUNCTION("""COMPUTED_VALUE"""),"")</f>
        <v/>
      </c>
      <c r="S368" s="1" t="b">
        <f>IFERROR(__xludf.DUMMYFUNCTION("""COMPUTED_VALUE"""),FALSE)</f>
        <v>0</v>
      </c>
      <c r="T368" s="1" t="b">
        <f>IFERROR(__xludf.DUMMYFUNCTION("""COMPUTED_VALUE"""),FALSE)</f>
        <v>0</v>
      </c>
      <c r="U368" s="1" t="str">
        <f>IFERROR(__xludf.DUMMYFUNCTION("""COMPUTED_VALUE"""),"DSQ")</f>
        <v>DSQ</v>
      </c>
      <c r="V368" s="1" t="str">
        <f>IFERROR(__xludf.DUMMYFUNCTION("""COMPUTED_VALUE"""),"DSQ")</f>
        <v>DSQ</v>
      </c>
      <c r="W368" s="1" t="str">
        <f>IFERROR(__xludf.DUMMYFUNCTION("""COMPUTED_VALUE"""),"DSQ")</f>
        <v>DSQ</v>
      </c>
      <c r="X368" s="1" t="str">
        <f>IFERROR(__xludf.DUMMYFUNCTION("""COMPUTED_VALUE"""),"DSQ")</f>
        <v>DSQ</v>
      </c>
      <c r="Y368" s="2"/>
      <c r="Z368" s="2" t="str">
        <f>IFERROR(__xludf.DUMMYFUNCTION("""COMPUTED_VALUE"""),"")</f>
        <v/>
      </c>
    </row>
    <row r="369">
      <c r="A369" s="1">
        <f>IFERROR(__xludf.DUMMYFUNCTION("""COMPUTED_VALUE"""),368.0)</f>
        <v>368</v>
      </c>
      <c r="B369" s="1">
        <f>IFERROR(__xludf.DUMMYFUNCTION("""COMPUTED_VALUE"""),10214.0)</f>
        <v>10214</v>
      </c>
      <c r="C369" s="2" t="str">
        <f>IFERROR(__xludf.DUMMYFUNCTION("""COMPUTED_VALUE"""),"Saufi.A")</f>
        <v>Saufi.A</v>
      </c>
      <c r="D369" s="2" t="str">
        <f>IFERROR(__xludf.DUMMYFUNCTION("""COMPUTED_VALUE"""),"10KM OVERALL M")</f>
        <v>10KM OVERALL M</v>
      </c>
      <c r="E369" s="1">
        <f>IFERROR(__xludf.DUMMYFUNCTION("""COMPUTED_VALUE"""),1.0)</f>
        <v>1</v>
      </c>
      <c r="F369" s="1" t="str">
        <f>IFERROR(__xludf.DUMMYFUNCTION("""COMPUTED_VALUE"""),"Male")</f>
        <v>Male</v>
      </c>
      <c r="G369" s="4" t="b">
        <f>IFERROR(__xludf.DUMMYFUNCTION("""COMPUTED_VALUE"""),TRUE)</f>
        <v>1</v>
      </c>
      <c r="H369" s="4" t="b">
        <f>IFERROR(__xludf.DUMMYFUNCTION("""COMPUTED_VALUE"""),TRUE)</f>
        <v>1</v>
      </c>
      <c r="I369" s="4">
        <f>IFERROR(__xludf.DUMMYFUNCTION("""COMPUTED_VALUE"""),0.24646185185185185)</f>
        <v>0.2464618519</v>
      </c>
      <c r="J369" s="4">
        <f>IFERROR(__xludf.DUMMYFUNCTION("""COMPUTED_VALUE"""),45949.256610047145)</f>
        <v>45949.25661</v>
      </c>
      <c r="K369" s="4">
        <f>IFERROR(__xludf.DUMMYFUNCTION("""COMPUTED_VALUE"""),45949.2823183905)</f>
        <v>45949.28232</v>
      </c>
      <c r="L369" s="4">
        <f>IFERROR(__xludf.DUMMYFUNCTION("""COMPUTED_VALUE"""),45949.288484216675)</f>
        <v>45949.28848</v>
      </c>
      <c r="M369" s="1" t="str">
        <f>IFERROR(__xludf.DUMMYFUNCTION("""COMPUTED_VALUE"""),"RFID")</f>
        <v>RFID</v>
      </c>
      <c r="N369" s="5">
        <f>IFERROR(__xludf.DUMMYFUNCTION("""COMPUTED_VALUE"""),0.004059277777777778)</f>
        <v>0.004059277778</v>
      </c>
      <c r="O369" s="5">
        <f>IFERROR(__xludf.DUMMYFUNCTION("""COMPUTED_VALUE"""),0.010283337962962963)</f>
        <v>0.01028333796</v>
      </c>
      <c r="P369" s="5">
        <f>IFERROR(__xludf.DUMMYFUNCTION("""COMPUTED_VALUE"""),0.0025373770274009187)</f>
        <v>0.002537377027</v>
      </c>
      <c r="Q369" s="5">
        <f>IFERROR(__xludf.DUMMYFUNCTION("""COMPUTED_VALUE"""),0.004202236111111111)</f>
        <v>0.004202236111</v>
      </c>
      <c r="R369" s="4">
        <f>IFERROR(__xludf.DUMMYFUNCTION("""COMPUTED_VALUE"""),45949.042022364825)</f>
        <v>45949.04202</v>
      </c>
      <c r="S369" s="1" t="b">
        <f>IFERROR(__xludf.DUMMYFUNCTION("""COMPUTED_VALUE"""),TRUE)</f>
        <v>1</v>
      </c>
      <c r="T369" s="1" t="b">
        <f>IFERROR(__xludf.DUMMYFUNCTION("""COMPUTED_VALUE"""),FALSE)</f>
        <v>0</v>
      </c>
      <c r="U369" s="1" t="str">
        <f>IFERROR(__xludf.DUMMYFUNCTION("""COMPUTED_VALUE"""),"VALID")</f>
        <v>VALID</v>
      </c>
      <c r="V369" s="1">
        <f>IFERROR(__xludf.DUMMYFUNCTION("""COMPUTED_VALUE"""),143.0)</f>
        <v>143</v>
      </c>
      <c r="W369" s="1">
        <f>IFERROR(__xludf.DUMMYFUNCTION("""COMPUTED_VALUE"""),169.0)</f>
        <v>169</v>
      </c>
      <c r="X369" s="1">
        <f>IFERROR(__xludf.DUMMYFUNCTION("""COMPUTED_VALUE"""),1066.0)</f>
        <v>1066</v>
      </c>
      <c r="Y369" s="2"/>
      <c r="Z369" s="2"/>
    </row>
    <row r="370">
      <c r="A370" s="1">
        <f>IFERROR(__xludf.DUMMYFUNCTION("""COMPUTED_VALUE"""),369.0)</f>
        <v>369</v>
      </c>
      <c r="B370" s="1">
        <f>IFERROR(__xludf.DUMMYFUNCTION("""COMPUTED_VALUE"""),10215.0)</f>
        <v>10215</v>
      </c>
      <c r="C370" s="2" t="str">
        <f>IFERROR(__xludf.DUMMYFUNCTION("""COMPUTED_VALUE"""),"ALDY CAHYADY")</f>
        <v>ALDY CAHYADY</v>
      </c>
      <c r="D370" s="2" t="str">
        <f>IFERROR(__xludf.DUMMYFUNCTION("""COMPUTED_VALUE"""),"10KM OVERALL M")</f>
        <v>10KM OVERALL M</v>
      </c>
      <c r="E370" s="1">
        <f>IFERROR(__xludf.DUMMYFUNCTION("""COMPUTED_VALUE"""),1.0)</f>
        <v>1</v>
      </c>
      <c r="F370" s="1" t="str">
        <f>IFERROR(__xludf.DUMMYFUNCTION("""COMPUTED_VALUE"""),"Male")</f>
        <v>Male</v>
      </c>
      <c r="G370" s="4" t="b">
        <f>IFERROR(__xludf.DUMMYFUNCTION("""COMPUTED_VALUE"""),TRUE)</f>
        <v>1</v>
      </c>
      <c r="H370" s="4" t="b">
        <f>IFERROR(__xludf.DUMMYFUNCTION("""COMPUTED_VALUE"""),TRUE)</f>
        <v>1</v>
      </c>
      <c r="I370" s="4">
        <f>IFERROR(__xludf.DUMMYFUNCTION("""COMPUTED_VALUE"""),0.24646185185185185)</f>
        <v>0.2464618519</v>
      </c>
      <c r="J370" s="4">
        <f>IFERROR(__xludf.DUMMYFUNCTION("""COMPUTED_VALUE"""),45949.25764475828)</f>
        <v>45949.25764</v>
      </c>
      <c r="K370" s="4">
        <f>IFERROR(__xludf.DUMMYFUNCTION("""COMPUTED_VALUE"""),45949.28707185172)</f>
        <v>45949.28707</v>
      </c>
      <c r="L370" s="4">
        <f>IFERROR(__xludf.DUMMYFUNCTION("""COMPUTED_VALUE"""),45949.29697727002)</f>
        <v>45949.29698</v>
      </c>
      <c r="M370" s="1" t="str">
        <f>IFERROR(__xludf.DUMMYFUNCTION("""COMPUTED_VALUE"""),"RFID")</f>
        <v>RFID</v>
      </c>
      <c r="N370" s="5">
        <f>IFERROR(__xludf.DUMMYFUNCTION("""COMPUTED_VALUE"""),0.004473162037037037)</f>
        <v>0.004473162037</v>
      </c>
      <c r="O370" s="5">
        <f>IFERROR(__xludf.DUMMYFUNCTION("""COMPUTED_VALUE"""),0.011770837962962964)</f>
        <v>0.01177083796</v>
      </c>
      <c r="P370" s="5">
        <f>IFERROR(__xludf.DUMMYFUNCTION("""COMPUTED_VALUE"""),0.00407630382759646)</f>
        <v>0.004076303828</v>
      </c>
      <c r="Q370" s="5">
        <f>IFERROR(__xludf.DUMMYFUNCTION("""COMPUTED_VALUE"""),0.005051541666666667)</f>
        <v>0.005051541667</v>
      </c>
      <c r="R370" s="4">
        <f>IFERROR(__xludf.DUMMYFUNCTION("""COMPUTED_VALUE"""),45949.050515418174)</f>
        <v>45949.05052</v>
      </c>
      <c r="S370" s="1" t="b">
        <f>IFERROR(__xludf.DUMMYFUNCTION("""COMPUTED_VALUE"""),TRUE)</f>
        <v>1</v>
      </c>
      <c r="T370" s="1" t="b">
        <f>IFERROR(__xludf.DUMMYFUNCTION("""COMPUTED_VALUE"""),FALSE)</f>
        <v>0</v>
      </c>
      <c r="U370" s="1" t="str">
        <f>IFERROR(__xludf.DUMMYFUNCTION("""COMPUTED_VALUE"""),"VALID")</f>
        <v>VALID</v>
      </c>
      <c r="V370" s="1">
        <f>IFERROR(__xludf.DUMMYFUNCTION("""COMPUTED_VALUE"""),355.0)</f>
        <v>355</v>
      </c>
      <c r="W370" s="1">
        <f>IFERROR(__xludf.DUMMYFUNCTION("""COMPUTED_VALUE"""),419.0)</f>
        <v>419</v>
      </c>
      <c r="X370" s="1">
        <f>IFERROR(__xludf.DUMMYFUNCTION("""COMPUTED_VALUE"""),1399.0)</f>
        <v>1399</v>
      </c>
      <c r="Y370" s="2"/>
      <c r="Z370" s="2"/>
    </row>
    <row r="371">
      <c r="A371" s="1">
        <f>IFERROR(__xludf.DUMMYFUNCTION("""COMPUTED_VALUE"""),370.0)</f>
        <v>370</v>
      </c>
      <c r="B371" s="1">
        <f>IFERROR(__xludf.DUMMYFUNCTION("""COMPUTED_VALUE"""),10216.0)</f>
        <v>10216</v>
      </c>
      <c r="C371" s="2" t="str">
        <f>IFERROR(__xludf.DUMMYFUNCTION("""COMPUTED_VALUE"""),"makiah")</f>
        <v>makiah</v>
      </c>
      <c r="D371" s="2" t="str">
        <f>IFERROR(__xludf.DUMMYFUNCTION("""COMPUTED_VALUE"""),"10KM OVERALL M")</f>
        <v>10KM OVERALL M</v>
      </c>
      <c r="E371" s="1">
        <f>IFERROR(__xludf.DUMMYFUNCTION("""COMPUTED_VALUE"""),1.0)</f>
        <v>1</v>
      </c>
      <c r="F371" s="1" t="str">
        <f>IFERROR(__xludf.DUMMYFUNCTION("""COMPUTED_VALUE"""),"Male")</f>
        <v>Male</v>
      </c>
      <c r="G371" s="4" t="b">
        <f>IFERROR(__xludf.DUMMYFUNCTION("""COMPUTED_VALUE"""),TRUE)</f>
        <v>1</v>
      </c>
      <c r="H371" s="4" t="b">
        <f>IFERROR(__xludf.DUMMYFUNCTION("""COMPUTED_VALUE"""),FALSE)</f>
        <v>0</v>
      </c>
      <c r="I371" s="4">
        <f>IFERROR(__xludf.DUMMYFUNCTION("""COMPUTED_VALUE"""),0.24646185185185185)</f>
        <v>0.2464618519</v>
      </c>
      <c r="J371" s="4">
        <f>IFERROR(__xludf.DUMMYFUNCTION("""COMPUTED_VALUE"""),45949.2516422496)</f>
        <v>45949.25164</v>
      </c>
      <c r="K371" s="4">
        <f>IFERROR(__xludf.DUMMYFUNCTION("""COMPUTED_VALUE"""),45949.26614636432)</f>
        <v>45949.26615</v>
      </c>
      <c r="L371" s="4">
        <f>IFERROR(__xludf.DUMMYFUNCTION("""COMPUTED_VALUE"""),45949.270474075274)</f>
        <v>45949.27047</v>
      </c>
      <c r="M371" s="1" t="str">
        <f>IFERROR(__xludf.DUMMYFUNCTION("""COMPUTED_VALUE"""),"RFID")</f>
        <v>RFID</v>
      </c>
      <c r="N371" s="5">
        <f>IFERROR(__xludf.DUMMYFUNCTION("""COMPUTED_VALUE"""),0.0020721574074074075)</f>
        <v>0.002072157407</v>
      </c>
      <c r="O371" s="5">
        <f>IFERROR(__xludf.DUMMYFUNCTION("""COMPUTED_VALUE"""),0.005801648148148148)</f>
        <v>0.005801648148</v>
      </c>
      <c r="P371" s="5">
        <f>IFERROR(__xludf.DUMMYFUNCTION("""COMPUTED_VALUE"""),0.0017809510085379143)</f>
        <v>0.001780951009</v>
      </c>
      <c r="Q371" s="5">
        <f>IFERROR(__xludf.DUMMYFUNCTION("""COMPUTED_VALUE"""),0.002401222222222222)</f>
        <v>0.002401222222</v>
      </c>
      <c r="R371" s="4">
        <f>IFERROR(__xludf.DUMMYFUNCTION("""COMPUTED_VALUE"""),45949.024012223425)</f>
        <v>45949.02401</v>
      </c>
      <c r="S371" s="1" t="b">
        <f>IFERROR(__xludf.DUMMYFUNCTION("""COMPUTED_VALUE"""),TRUE)</f>
        <v>1</v>
      </c>
      <c r="T371" s="1" t="b">
        <f>IFERROR(__xludf.DUMMYFUNCTION("""COMPUTED_VALUE"""),FALSE)</f>
        <v>0</v>
      </c>
      <c r="U371" s="1" t="str">
        <f>IFERROR(__xludf.DUMMYFUNCTION("""COMPUTED_VALUE"""),"VALID")</f>
        <v>VALID</v>
      </c>
      <c r="V371" s="1">
        <f>IFERROR(__xludf.DUMMYFUNCTION("""COMPUTED_VALUE"""),1.0)</f>
        <v>1</v>
      </c>
      <c r="W371" s="1">
        <f>IFERROR(__xludf.DUMMYFUNCTION("""COMPUTED_VALUE"""),1.0)</f>
        <v>1</v>
      </c>
      <c r="X371" s="1">
        <f>IFERROR(__xludf.DUMMYFUNCTION("""COMPUTED_VALUE"""),218.0)</f>
        <v>218</v>
      </c>
      <c r="Y371" s="2"/>
      <c r="Z371" s="2"/>
    </row>
    <row r="372">
      <c r="A372" s="1">
        <f>IFERROR(__xludf.DUMMYFUNCTION("""COMPUTED_VALUE"""),371.0)</f>
        <v>371</v>
      </c>
      <c r="B372" s="1">
        <f>IFERROR(__xludf.DUMMYFUNCTION("""COMPUTED_VALUE"""),10218.0)</f>
        <v>10218</v>
      </c>
      <c r="C372" s="2" t="str">
        <f>IFERROR(__xludf.DUMMYFUNCTION("""COMPUTED_VALUE"""),"Ahmad Nawawi")</f>
        <v>Ahmad Nawawi</v>
      </c>
      <c r="D372" s="2" t="str">
        <f>IFERROR(__xludf.DUMMYFUNCTION("""COMPUTED_VALUE"""),"10KM OVERALL M")</f>
        <v>10KM OVERALL M</v>
      </c>
      <c r="E372" s="1">
        <f>IFERROR(__xludf.DUMMYFUNCTION("""COMPUTED_VALUE"""),1.0)</f>
        <v>1</v>
      </c>
      <c r="F372" s="1" t="str">
        <f>IFERROR(__xludf.DUMMYFUNCTION("""COMPUTED_VALUE"""),"Male")</f>
        <v>Male</v>
      </c>
      <c r="G372" s="4" t="b">
        <f>IFERROR(__xludf.DUMMYFUNCTION("""COMPUTED_VALUE"""),TRUE)</f>
        <v>1</v>
      </c>
      <c r="H372" s="4" t="b">
        <f>IFERROR(__xludf.DUMMYFUNCTION("""COMPUTED_VALUE"""),FALSE)</f>
        <v>0</v>
      </c>
      <c r="I372" s="4">
        <f>IFERROR(__xludf.DUMMYFUNCTION("""COMPUTED_VALUE"""),0.24646185185185185)</f>
        <v>0.2464618519</v>
      </c>
      <c r="J372" s="4">
        <f>IFERROR(__xludf.DUMMYFUNCTION("""COMPUTED_VALUE"""),45949.25688792264)</f>
        <v>45949.25689</v>
      </c>
      <c r="K372" s="4">
        <f>IFERROR(__xludf.DUMMYFUNCTION("""COMPUTED_VALUE"""),45949.28175588563)</f>
        <v>45949.28176</v>
      </c>
      <c r="L372" s="4">
        <f>IFERROR(__xludf.DUMMYFUNCTION("""COMPUTED_VALUE"""),45949.28934530989)</f>
        <v>45949.28935</v>
      </c>
      <c r="M372" s="1" t="str">
        <f>IFERROR(__xludf.DUMMYFUNCTION("""COMPUTED_VALUE"""),"RFID")</f>
        <v>RFID</v>
      </c>
      <c r="N372" s="5">
        <f>IFERROR(__xludf.DUMMYFUNCTION("""COMPUTED_VALUE"""),0.004170430555555556)</f>
        <v>0.004170430556</v>
      </c>
      <c r="O372" s="5">
        <f>IFERROR(__xludf.DUMMYFUNCTION("""COMPUTED_VALUE"""),0.009947185185185186)</f>
        <v>0.009947185185</v>
      </c>
      <c r="P372" s="5">
        <f>IFERROR(__xludf.DUMMYFUNCTION("""COMPUTED_VALUE"""),0.003123219857838411)</f>
        <v>0.003123219858</v>
      </c>
      <c r="Q372" s="5">
        <f>IFERROR(__xludf.DUMMYFUNCTION("""COMPUTED_VALUE"""),0.004288346064814814)</f>
        <v>0.004288346065</v>
      </c>
      <c r="R372" s="4">
        <f>IFERROR(__xludf.DUMMYFUNCTION("""COMPUTED_VALUE"""),45949.04288345804)</f>
        <v>45949.04288</v>
      </c>
      <c r="S372" s="1" t="b">
        <f>IFERROR(__xludf.DUMMYFUNCTION("""COMPUTED_VALUE"""),TRUE)</f>
        <v>1</v>
      </c>
      <c r="T372" s="1" t="b">
        <f>IFERROR(__xludf.DUMMYFUNCTION("""COMPUTED_VALUE"""),FALSE)</f>
        <v>0</v>
      </c>
      <c r="U372" s="1" t="str">
        <f>IFERROR(__xludf.DUMMYFUNCTION("""COMPUTED_VALUE"""),"VALID")</f>
        <v>VALID</v>
      </c>
      <c r="V372" s="1">
        <f>IFERROR(__xludf.DUMMYFUNCTION("""COMPUTED_VALUE"""),164.0)</f>
        <v>164</v>
      </c>
      <c r="W372" s="1">
        <f>IFERROR(__xludf.DUMMYFUNCTION("""COMPUTED_VALUE"""),191.0)</f>
        <v>191</v>
      </c>
      <c r="X372" s="1">
        <f>IFERROR(__xludf.DUMMYFUNCTION("""COMPUTED_VALUE"""),1098.0)</f>
        <v>1098</v>
      </c>
      <c r="Y372" s="2"/>
      <c r="Z372" s="2"/>
    </row>
    <row r="373">
      <c r="A373" s="1">
        <f>IFERROR(__xludf.DUMMYFUNCTION("""COMPUTED_VALUE"""),372.0)</f>
        <v>372</v>
      </c>
      <c r="B373" s="1">
        <f>IFERROR(__xludf.DUMMYFUNCTION("""COMPUTED_VALUE"""),10219.0)</f>
        <v>10219</v>
      </c>
      <c r="C373" s="2" t="str">
        <f>IFERROR(__xludf.DUMMYFUNCTION("""COMPUTED_VALUE"""),"MEKKA")</f>
        <v>MEKKA</v>
      </c>
      <c r="D373" s="2" t="str">
        <f>IFERROR(__xludf.DUMMYFUNCTION("""COMPUTED_VALUE"""),"10KM OVERALL M")</f>
        <v>10KM OVERALL M</v>
      </c>
      <c r="E373" s="1">
        <f>IFERROR(__xludf.DUMMYFUNCTION("""COMPUTED_VALUE"""),1.0)</f>
        <v>1</v>
      </c>
      <c r="F373" s="1" t="str">
        <f>IFERROR(__xludf.DUMMYFUNCTION("""COMPUTED_VALUE"""),"Male")</f>
        <v>Male</v>
      </c>
      <c r="G373" s="4" t="b">
        <f>IFERROR(__xludf.DUMMYFUNCTION("""COMPUTED_VALUE"""),TRUE)</f>
        <v>1</v>
      </c>
      <c r="H373" s="4" t="b">
        <f>IFERROR(__xludf.DUMMYFUNCTION("""COMPUTED_VALUE"""),TRUE)</f>
        <v>1</v>
      </c>
      <c r="I373" s="4">
        <f>IFERROR(__xludf.DUMMYFUNCTION("""COMPUTED_VALUE"""),0.24646185185185185)</f>
        <v>0.2464618519</v>
      </c>
      <c r="J373" s="4">
        <f>IFERROR(__xludf.DUMMYFUNCTION("""COMPUTED_VALUE"""),45949.26178369051)</f>
        <v>45949.26178</v>
      </c>
      <c r="K373" s="4">
        <f>IFERROR(__xludf.DUMMYFUNCTION("""COMPUTED_VALUE"""),45949.29008101852)</f>
        <v>45949.29008</v>
      </c>
      <c r="L373" s="4">
        <f>IFERROR(__xludf.DUMMYFUNCTION("""COMPUTED_VALUE"""),45949.30061962585)</f>
        <v>45949.30062</v>
      </c>
      <c r="M373" s="1" t="str">
        <f>IFERROR(__xludf.DUMMYFUNCTION("""COMPUTED_VALUE"""),"RFID")</f>
        <v>RFID</v>
      </c>
      <c r="N373" s="5">
        <f>IFERROR(__xludf.DUMMYFUNCTION("""COMPUTED_VALUE"""),0.006128736111111111)</f>
        <v>0.006128736111</v>
      </c>
      <c r="O373" s="5">
        <f>IFERROR(__xludf.DUMMYFUNCTION("""COMPUTED_VALUE"""),0.011318930555555556)</f>
        <v>0.01131893056</v>
      </c>
      <c r="P373" s="5">
        <f>IFERROR(__xludf.DUMMYFUNCTION("""COMPUTED_VALUE"""),0.0043368754459788385)</f>
        <v>0.004336875446</v>
      </c>
      <c r="Q373" s="5">
        <f>IFERROR(__xludf.DUMMYFUNCTION("""COMPUTED_VALUE"""),0.005415777777777778)</f>
        <v>0.005415777778</v>
      </c>
      <c r="R373" s="4">
        <f>IFERROR(__xludf.DUMMYFUNCTION("""COMPUTED_VALUE"""),45949.054157774)</f>
        <v>45949.05416</v>
      </c>
      <c r="S373" s="1" t="b">
        <f>IFERROR(__xludf.DUMMYFUNCTION("""COMPUTED_VALUE"""),TRUE)</f>
        <v>1</v>
      </c>
      <c r="T373" s="1" t="b">
        <f>IFERROR(__xludf.DUMMYFUNCTION("""COMPUTED_VALUE"""),FALSE)</f>
        <v>0</v>
      </c>
      <c r="U373" s="1" t="str">
        <f>IFERROR(__xludf.DUMMYFUNCTION("""COMPUTED_VALUE"""),"VALID")</f>
        <v>VALID</v>
      </c>
      <c r="V373" s="1">
        <f>IFERROR(__xludf.DUMMYFUNCTION("""COMPUTED_VALUE"""),431.0)</f>
        <v>431</v>
      </c>
      <c r="W373" s="1">
        <f>IFERROR(__xludf.DUMMYFUNCTION("""COMPUTED_VALUE"""),513.0)</f>
        <v>513</v>
      </c>
      <c r="X373" s="1">
        <f>IFERROR(__xludf.DUMMYFUNCTION("""COMPUTED_VALUE"""),1491.0)</f>
        <v>1491</v>
      </c>
      <c r="Y373" s="2"/>
      <c r="Z373" s="2"/>
    </row>
    <row r="374">
      <c r="A374" s="1">
        <f>IFERROR(__xludf.DUMMYFUNCTION("""COMPUTED_VALUE"""),373.0)</f>
        <v>373</v>
      </c>
      <c r="B374" s="1">
        <f>IFERROR(__xludf.DUMMYFUNCTION("""COMPUTED_VALUE"""),10220.0)</f>
        <v>10220</v>
      </c>
      <c r="C374" s="2" t="str">
        <f>IFERROR(__xludf.DUMMYFUNCTION("""COMPUTED_VALUE"""),"Clau")</f>
        <v>Clau</v>
      </c>
      <c r="D374" s="2" t="str">
        <f>IFERROR(__xludf.DUMMYFUNCTION("""COMPUTED_VALUE"""),"10KM OVERALL M")</f>
        <v>10KM OVERALL M</v>
      </c>
      <c r="E374" s="1">
        <f>IFERROR(__xludf.DUMMYFUNCTION("""COMPUTED_VALUE"""),1.0)</f>
        <v>1</v>
      </c>
      <c r="F374" s="1" t="str">
        <f>IFERROR(__xludf.DUMMYFUNCTION("""COMPUTED_VALUE"""),"Male")</f>
        <v>Male</v>
      </c>
      <c r="G374" s="4" t="str">
        <f>IFERROR(__xludf.DUMMYFUNCTION("""COMPUTED_VALUE"""),"")</f>
        <v/>
      </c>
      <c r="H374" s="4" t="b">
        <f>IFERROR(__xludf.DUMMYFUNCTION("""COMPUTED_VALUE"""),FALSE)</f>
        <v>0</v>
      </c>
      <c r="I374" s="4">
        <f>IFERROR(__xludf.DUMMYFUNCTION("""COMPUTED_VALUE"""),0.24646185185185185)</f>
        <v>0.2464618519</v>
      </c>
      <c r="J374" s="4">
        <f>IFERROR(__xludf.DUMMYFUNCTION("""COMPUTED_VALUE"""),45949.25698510645)</f>
        <v>45949.25699</v>
      </c>
      <c r="K374" s="4">
        <f>IFERROR(__xludf.DUMMYFUNCTION("""COMPUTED_VALUE"""),45949.285262841244)</f>
        <v>45949.28526</v>
      </c>
      <c r="L374" s="4">
        <f>IFERROR(__xludf.DUMMYFUNCTION("""COMPUTED_VALUE"""),45949.29349463322)</f>
        <v>45949.29349</v>
      </c>
      <c r="M374" s="1" t="str">
        <f>IFERROR(__xludf.DUMMYFUNCTION("""COMPUTED_VALUE"""),"RFID")</f>
        <v>RFID</v>
      </c>
      <c r="N374" s="5">
        <f>IFERROR(__xludf.DUMMYFUNCTION("""COMPUTED_VALUE"""),0.004209300925925925)</f>
        <v>0.004209300926</v>
      </c>
      <c r="O374" s="5">
        <f>IFERROR(__xludf.DUMMYFUNCTION("""COMPUTED_VALUE"""),0.011311092592592591)</f>
        <v>0.01131109259</v>
      </c>
      <c r="P374" s="5">
        <f>IFERROR(__xludf.DUMMYFUNCTION("""COMPUTED_VALUE"""),0.0033875687132635507)</f>
        <v>0.003387568713</v>
      </c>
      <c r="Q374" s="5">
        <f>IFERROR(__xludf.DUMMYFUNCTION("""COMPUTED_VALUE"""),0.004703277777777778)</f>
        <v>0.004703277778</v>
      </c>
      <c r="R374" s="4">
        <f>IFERROR(__xludf.DUMMYFUNCTION("""COMPUTED_VALUE"""),45949.04703278137)</f>
        <v>45949.04703</v>
      </c>
      <c r="S374" s="1" t="b">
        <f>IFERROR(__xludf.DUMMYFUNCTION("""COMPUTED_VALUE"""),TRUE)</f>
        <v>1</v>
      </c>
      <c r="T374" s="1" t="b">
        <f>IFERROR(__xludf.DUMMYFUNCTION("""COMPUTED_VALUE"""),FALSE)</f>
        <v>0</v>
      </c>
      <c r="U374" s="1" t="str">
        <f>IFERROR(__xludf.DUMMYFUNCTION("""COMPUTED_VALUE"""),"VALID")</f>
        <v>VALID</v>
      </c>
      <c r="V374" s="1">
        <f>IFERROR(__xludf.DUMMYFUNCTION("""COMPUTED_VALUE"""),264.0)</f>
        <v>264</v>
      </c>
      <c r="W374" s="1">
        <f>IFERROR(__xludf.DUMMYFUNCTION("""COMPUTED_VALUE"""),315.0)</f>
        <v>315</v>
      </c>
      <c r="X374" s="1">
        <f>IFERROR(__xludf.DUMMYFUNCTION("""COMPUTED_VALUE"""),1271.0)</f>
        <v>1271</v>
      </c>
      <c r="Y374" s="2"/>
      <c r="Z374" s="2"/>
    </row>
    <row r="375">
      <c r="A375" s="1">
        <f>IFERROR(__xludf.DUMMYFUNCTION("""COMPUTED_VALUE"""),374.0)</f>
        <v>374</v>
      </c>
      <c r="B375" s="1">
        <f>IFERROR(__xludf.DUMMYFUNCTION("""COMPUTED_VALUE"""),10221.0)</f>
        <v>10221</v>
      </c>
      <c r="C375" s="2" t="str">
        <f>IFERROR(__xludf.DUMMYFUNCTION("""COMPUTED_VALUE"""),"Joo")</f>
        <v>Joo</v>
      </c>
      <c r="D375" s="2" t="str">
        <f>IFERROR(__xludf.DUMMYFUNCTION("""COMPUTED_VALUE"""),"10KM OVERALL M")</f>
        <v>10KM OVERALL M</v>
      </c>
      <c r="E375" s="1">
        <f>IFERROR(__xludf.DUMMYFUNCTION("""COMPUTED_VALUE"""),1.0)</f>
        <v>1</v>
      </c>
      <c r="F375" s="1" t="str">
        <f>IFERROR(__xludf.DUMMYFUNCTION("""COMPUTED_VALUE"""),"Male")</f>
        <v>Male</v>
      </c>
      <c r="G375" s="4" t="b">
        <f>IFERROR(__xludf.DUMMYFUNCTION("""COMPUTED_VALUE"""),TRUE)</f>
        <v>1</v>
      </c>
      <c r="H375" s="4" t="b">
        <f>IFERROR(__xludf.DUMMYFUNCTION("""COMPUTED_VALUE"""),TRUE)</f>
        <v>1</v>
      </c>
      <c r="I375" s="4">
        <f>IFERROR(__xludf.DUMMYFUNCTION("""COMPUTED_VALUE"""),0.24646185185185185)</f>
        <v>0.2464618519</v>
      </c>
      <c r="J375" s="4">
        <f>IFERROR(__xludf.DUMMYFUNCTION("""COMPUTED_VALUE"""),45949.2633392404)</f>
        <v>45949.26334</v>
      </c>
      <c r="K375" s="4">
        <f>IFERROR(__xludf.DUMMYFUNCTION("""COMPUTED_VALUE"""),45949.311114154676)</f>
        <v>45949.31111</v>
      </c>
      <c r="L375" s="4">
        <f>IFERROR(__xludf.DUMMYFUNCTION("""COMPUTED_VALUE"""),45949.324668629124)</f>
        <v>45949.32467</v>
      </c>
      <c r="M375" s="1" t="str">
        <f>IFERROR(__xludf.DUMMYFUNCTION("""COMPUTED_VALUE"""),"RFID")</f>
        <v>RFID</v>
      </c>
      <c r="N375" s="5">
        <f>IFERROR(__xludf.DUMMYFUNCTION("""COMPUTED_VALUE"""),0.0067509537037037035)</f>
        <v>0.006750953704</v>
      </c>
      <c r="O375" s="5">
        <f>IFERROR(__xludf.DUMMYFUNCTION("""COMPUTED_VALUE"""),0.01910996759259259)</f>
        <v>0.01910996759</v>
      </c>
      <c r="P375" s="5">
        <f>IFERROR(__xludf.DUMMYFUNCTION("""COMPUTED_VALUE"""),0.005577973023880035)</f>
        <v>0.005577973024</v>
      </c>
      <c r="Q375" s="5">
        <f>IFERROR(__xludf.DUMMYFUNCTION("""COMPUTED_VALUE"""),0.007820678240740741)</f>
        <v>0.007820678241</v>
      </c>
      <c r="R375" s="4">
        <f>IFERROR(__xludf.DUMMYFUNCTION("""COMPUTED_VALUE"""),45949.078206777274)</f>
        <v>45949.07821</v>
      </c>
      <c r="S375" s="1" t="b">
        <f>IFERROR(__xludf.DUMMYFUNCTION("""COMPUTED_VALUE"""),TRUE)</f>
        <v>1</v>
      </c>
      <c r="T375" s="1" t="b">
        <f>IFERROR(__xludf.DUMMYFUNCTION("""COMPUTED_VALUE"""),FALSE)</f>
        <v>0</v>
      </c>
      <c r="U375" s="1" t="str">
        <f>IFERROR(__xludf.DUMMYFUNCTION("""COMPUTED_VALUE"""),"VALID")</f>
        <v>VALID</v>
      </c>
      <c r="V375" s="1">
        <f>IFERROR(__xludf.DUMMYFUNCTION("""COMPUTED_VALUE"""),606.0)</f>
        <v>606</v>
      </c>
      <c r="W375" s="1">
        <f>IFERROR(__xludf.DUMMYFUNCTION("""COMPUTED_VALUE"""),755.0)</f>
        <v>755</v>
      </c>
      <c r="X375" s="1">
        <f>IFERROR(__xludf.DUMMYFUNCTION("""COMPUTED_VALUE"""),1680.0)</f>
        <v>1680</v>
      </c>
      <c r="Y375" s="2"/>
      <c r="Z375" s="2"/>
    </row>
    <row r="376">
      <c r="A376" s="1">
        <f>IFERROR(__xludf.DUMMYFUNCTION("""COMPUTED_VALUE"""),375.0)</f>
        <v>375</v>
      </c>
      <c r="B376" s="1">
        <f>IFERROR(__xludf.DUMMYFUNCTION("""COMPUTED_VALUE"""),10222.0)</f>
        <v>10222</v>
      </c>
      <c r="C376" s="2" t="str">
        <f>IFERROR(__xludf.DUMMYFUNCTION("""COMPUTED_VALUE"""),"Samiaji Santoso")</f>
        <v>Samiaji Santoso</v>
      </c>
      <c r="D376" s="2" t="str">
        <f>IFERROR(__xludf.DUMMYFUNCTION("""COMPUTED_VALUE"""),"10KM OVERALL M")</f>
        <v>10KM OVERALL M</v>
      </c>
      <c r="E376" s="1">
        <f>IFERROR(__xludf.DUMMYFUNCTION("""COMPUTED_VALUE"""),1.0)</f>
        <v>1</v>
      </c>
      <c r="F376" s="1" t="str">
        <f>IFERROR(__xludf.DUMMYFUNCTION("""COMPUTED_VALUE"""),"Male")</f>
        <v>Male</v>
      </c>
      <c r="G376" s="4" t="str">
        <f>IFERROR(__xludf.DUMMYFUNCTION("""COMPUTED_VALUE"""),"")</f>
        <v/>
      </c>
      <c r="H376" s="4" t="b">
        <f>IFERROR(__xludf.DUMMYFUNCTION("""COMPUTED_VALUE"""),FALSE)</f>
        <v>0</v>
      </c>
      <c r="I376" s="4">
        <f>IFERROR(__xludf.DUMMYFUNCTION("""COMPUTED_VALUE"""),0.24646185185185185)</f>
        <v>0.2464618519</v>
      </c>
      <c r="J376" s="4">
        <f>IFERROR(__xludf.DUMMYFUNCTION("""COMPUTED_VALUE"""),45949.25881581085)</f>
        <v>45949.25882</v>
      </c>
      <c r="K376" s="4">
        <f>IFERROR(__xludf.DUMMYFUNCTION("""COMPUTED_VALUE"""),45949.29782210578)</f>
        <v>45949.29782</v>
      </c>
      <c r="L376" s="4">
        <f>IFERROR(__xludf.DUMMYFUNCTION("""COMPUTED_VALUE"""),45949.30859959679)</f>
        <v>45949.3086</v>
      </c>
      <c r="M376" s="1" t="str">
        <f>IFERROR(__xludf.DUMMYFUNCTION("""COMPUTED_VALUE"""),"RFID")</f>
        <v>RFID</v>
      </c>
      <c r="N376" s="5">
        <f>IFERROR(__xludf.DUMMYFUNCTION("""COMPUTED_VALUE"""),0.004941583333333334)</f>
        <v>0.004941583333</v>
      </c>
      <c r="O376" s="5">
        <f>IFERROR(__xludf.DUMMYFUNCTION("""COMPUTED_VALUE"""),0.015602518518518519)</f>
        <v>0.01560251852</v>
      </c>
      <c r="P376" s="5">
        <f>IFERROR(__xludf.DUMMYFUNCTION("""COMPUTED_VALUE"""),0.00443518148718877)</f>
        <v>0.004435181487</v>
      </c>
      <c r="Q376" s="5">
        <f>IFERROR(__xludf.DUMMYFUNCTION("""COMPUTED_VALUE"""),0.006213774305555556)</f>
        <v>0.006213774306</v>
      </c>
      <c r="R376" s="4">
        <f>IFERROR(__xludf.DUMMYFUNCTION("""COMPUTED_VALUE"""),45949.06213774494)</f>
        <v>45949.06214</v>
      </c>
      <c r="S376" s="1" t="b">
        <f>IFERROR(__xludf.DUMMYFUNCTION("""COMPUTED_VALUE"""),TRUE)</f>
        <v>1</v>
      </c>
      <c r="T376" s="1" t="b">
        <f>IFERROR(__xludf.DUMMYFUNCTION("""COMPUTED_VALUE"""),FALSE)</f>
        <v>0</v>
      </c>
      <c r="U376" s="1" t="str">
        <f>IFERROR(__xludf.DUMMYFUNCTION("""COMPUTED_VALUE"""),"VALID")</f>
        <v>VALID</v>
      </c>
      <c r="V376" s="1">
        <f>IFERROR(__xludf.DUMMYFUNCTION("""COMPUTED_VALUE"""),553.0)</f>
        <v>553</v>
      </c>
      <c r="W376" s="1">
        <f>IFERROR(__xludf.DUMMYFUNCTION("""COMPUTED_VALUE"""),680.0)</f>
        <v>680</v>
      </c>
      <c r="X376" s="1">
        <f>IFERROR(__xludf.DUMMYFUNCTION("""COMPUTED_VALUE"""),1629.0)</f>
        <v>1629</v>
      </c>
      <c r="Y376" s="2"/>
      <c r="Z376" s="2"/>
    </row>
    <row r="377">
      <c r="A377" s="1">
        <f>IFERROR(__xludf.DUMMYFUNCTION("""COMPUTED_VALUE"""),376.0)</f>
        <v>376</v>
      </c>
      <c r="B377" s="1">
        <f>IFERROR(__xludf.DUMMYFUNCTION("""COMPUTED_VALUE"""),10224.0)</f>
        <v>10224</v>
      </c>
      <c r="C377" s="2" t="str">
        <f>IFERROR(__xludf.DUMMYFUNCTION("""COMPUTED_VALUE"""),"IYAN")</f>
        <v>IYAN</v>
      </c>
      <c r="D377" s="2" t="str">
        <f>IFERROR(__xludf.DUMMYFUNCTION("""COMPUTED_VALUE"""),"10KM OVERALL M")</f>
        <v>10KM OVERALL M</v>
      </c>
      <c r="E377" s="1">
        <f>IFERROR(__xludf.DUMMYFUNCTION("""COMPUTED_VALUE"""),1.0)</f>
        <v>1</v>
      </c>
      <c r="F377" s="1" t="str">
        <f>IFERROR(__xludf.DUMMYFUNCTION("""COMPUTED_VALUE"""),"Male")</f>
        <v>Male</v>
      </c>
      <c r="G377" s="4" t="b">
        <f>IFERROR(__xludf.DUMMYFUNCTION("""COMPUTED_VALUE"""),TRUE)</f>
        <v>1</v>
      </c>
      <c r="H377" s="4" t="b">
        <f>IFERROR(__xludf.DUMMYFUNCTION("""COMPUTED_VALUE"""),FALSE)</f>
        <v>0</v>
      </c>
      <c r="I377" s="4">
        <f>IFERROR(__xludf.DUMMYFUNCTION("""COMPUTED_VALUE"""),0.24646185185185185)</f>
        <v>0.2464618519</v>
      </c>
      <c r="J377" s="4">
        <f>IFERROR(__xludf.DUMMYFUNCTION("""COMPUTED_VALUE"""),45949.255179467895)</f>
        <v>45949.25518</v>
      </c>
      <c r="K377" s="4">
        <f>IFERROR(__xludf.DUMMYFUNCTION("""COMPUTED_VALUE"""),45949.279721187006)</f>
        <v>45949.27972</v>
      </c>
      <c r="L377" s="4">
        <f>IFERROR(__xludf.DUMMYFUNCTION("""COMPUTED_VALUE"""),45949.28706060505)</f>
        <v>45949.28706</v>
      </c>
      <c r="M377" s="1" t="str">
        <f>IFERROR(__xludf.DUMMYFUNCTION("""COMPUTED_VALUE"""),"RFID")</f>
        <v>RFID</v>
      </c>
      <c r="N377" s="5">
        <f>IFERROR(__xludf.DUMMYFUNCTION("""COMPUTED_VALUE"""),0.0034870462962962962)</f>
        <v>0.003487046296</v>
      </c>
      <c r="O377" s="5">
        <f>IFERROR(__xludf.DUMMYFUNCTION("""COMPUTED_VALUE"""),0.009816689814814816)</f>
        <v>0.009816689815</v>
      </c>
      <c r="P377" s="5">
        <f>IFERROR(__xludf.DUMMYFUNCTION("""COMPUTED_VALUE"""),0.003020336643439131)</f>
        <v>0.003020336643</v>
      </c>
      <c r="Q377" s="5">
        <f>IFERROR(__xludf.DUMMYFUNCTION("""COMPUTED_VALUE"""),0.004059875)</f>
        <v>0.004059875</v>
      </c>
      <c r="R377" s="4">
        <f>IFERROR(__xludf.DUMMYFUNCTION("""COMPUTED_VALUE"""),45949.0405987532)</f>
        <v>45949.0406</v>
      </c>
      <c r="S377" s="1" t="b">
        <f>IFERROR(__xludf.DUMMYFUNCTION("""COMPUTED_VALUE"""),TRUE)</f>
        <v>1</v>
      </c>
      <c r="T377" s="1" t="b">
        <f>IFERROR(__xludf.DUMMYFUNCTION("""COMPUTED_VALUE"""),FALSE)</f>
        <v>0</v>
      </c>
      <c r="U377" s="1" t="str">
        <f>IFERROR(__xludf.DUMMYFUNCTION("""COMPUTED_VALUE"""),"VALID")</f>
        <v>VALID</v>
      </c>
      <c r="V377" s="1">
        <f>IFERROR(__xludf.DUMMYFUNCTION("""COMPUTED_VALUE"""),113.0)</f>
        <v>113</v>
      </c>
      <c r="W377" s="1">
        <f>IFERROR(__xludf.DUMMYFUNCTION("""COMPUTED_VALUE"""),136.0)</f>
        <v>136</v>
      </c>
      <c r="X377" s="1">
        <f>IFERROR(__xludf.DUMMYFUNCTION("""COMPUTED_VALUE"""),1008.0)</f>
        <v>1008</v>
      </c>
      <c r="Y377" s="2"/>
      <c r="Z377" s="2"/>
    </row>
    <row r="378">
      <c r="A378" s="1">
        <f>IFERROR(__xludf.DUMMYFUNCTION("""COMPUTED_VALUE"""),377.0)</f>
        <v>377</v>
      </c>
      <c r="B378" s="1">
        <f>IFERROR(__xludf.DUMMYFUNCTION("""COMPUTED_VALUE"""),10225.0)</f>
        <v>10225</v>
      </c>
      <c r="C378" s="2" t="str">
        <f>IFERROR(__xludf.DUMMYFUNCTION("""COMPUTED_VALUE"""),"Wahyu")</f>
        <v>Wahyu</v>
      </c>
      <c r="D378" s="2" t="str">
        <f>IFERROR(__xludf.DUMMYFUNCTION("""COMPUTED_VALUE"""),"10KM OVERALL M")</f>
        <v>10KM OVERALL M</v>
      </c>
      <c r="E378" s="1">
        <f>IFERROR(__xludf.DUMMYFUNCTION("""COMPUTED_VALUE"""),1.0)</f>
        <v>1</v>
      </c>
      <c r="F378" s="1" t="str">
        <f>IFERROR(__xludf.DUMMYFUNCTION("""COMPUTED_VALUE"""),"Male")</f>
        <v>Male</v>
      </c>
      <c r="G378" s="4" t="b">
        <f>IFERROR(__xludf.DUMMYFUNCTION("""COMPUTED_VALUE"""),TRUE)</f>
        <v>1</v>
      </c>
      <c r="H378" s="4" t="b">
        <f>IFERROR(__xludf.DUMMYFUNCTION("""COMPUTED_VALUE"""),TRUE)</f>
        <v>1</v>
      </c>
      <c r="I378" s="4">
        <f>IFERROR(__xludf.DUMMYFUNCTION("""COMPUTED_VALUE"""),0.24646185185185185)</f>
        <v>0.2464618519</v>
      </c>
      <c r="J378" s="4">
        <f>IFERROR(__xludf.DUMMYFUNCTION("""COMPUTED_VALUE"""),45949.25765517189)</f>
        <v>45949.25766</v>
      </c>
      <c r="K378" s="4">
        <f>IFERROR(__xludf.DUMMYFUNCTION("""COMPUTED_VALUE"""),45949.287273238595)</f>
        <v>45949.28727</v>
      </c>
      <c r="L378" s="4">
        <f>IFERROR(__xludf.DUMMYFUNCTION("""COMPUTED_VALUE"""),45949.29615087696)</f>
        <v>45949.29615</v>
      </c>
      <c r="M378" s="1" t="str">
        <f>IFERROR(__xludf.DUMMYFUNCTION("""COMPUTED_VALUE"""),"RFID")</f>
        <v>RFID</v>
      </c>
      <c r="N378" s="5">
        <f>IFERROR(__xludf.DUMMYFUNCTION("""COMPUTED_VALUE"""),0.004477328703703704)</f>
        <v>0.004477328704</v>
      </c>
      <c r="O378" s="5">
        <f>IFERROR(__xludf.DUMMYFUNCTION("""COMPUTED_VALUE"""),0.011847226851851852)</f>
        <v>0.01184722685</v>
      </c>
      <c r="P378" s="5">
        <f>IFERROR(__xludf.DUMMYFUNCTION("""COMPUTED_VALUE"""),0.0036533491208348345)</f>
        <v>0.003653349121</v>
      </c>
      <c r="Q378" s="5">
        <f>IFERROR(__xludf.DUMMYFUNCTION("""COMPUTED_VALUE"""),0.004968902777777778)</f>
        <v>0.004968902778</v>
      </c>
      <c r="R378" s="4">
        <f>IFERROR(__xludf.DUMMYFUNCTION("""COMPUTED_VALUE"""),45949.04968902511)</f>
        <v>45949.04969</v>
      </c>
      <c r="S378" s="1" t="b">
        <f>IFERROR(__xludf.DUMMYFUNCTION("""COMPUTED_VALUE"""),TRUE)</f>
        <v>1</v>
      </c>
      <c r="T378" s="1" t="b">
        <f>IFERROR(__xludf.DUMMYFUNCTION("""COMPUTED_VALUE"""),FALSE)</f>
        <v>0</v>
      </c>
      <c r="U378" s="1" t="str">
        <f>IFERROR(__xludf.DUMMYFUNCTION("""COMPUTED_VALUE"""),"VALID")</f>
        <v>VALID</v>
      </c>
      <c r="V378" s="1">
        <f>IFERROR(__xludf.DUMMYFUNCTION("""COMPUTED_VALUE"""),330.0)</f>
        <v>330</v>
      </c>
      <c r="W378" s="1">
        <f>IFERROR(__xludf.DUMMYFUNCTION("""COMPUTED_VALUE"""),391.0)</f>
        <v>391</v>
      </c>
      <c r="X378" s="1">
        <f>IFERROR(__xludf.DUMMYFUNCTION("""COMPUTED_VALUE"""),1367.0)</f>
        <v>1367</v>
      </c>
      <c r="Y378" s="2"/>
      <c r="Z378" s="2"/>
    </row>
    <row r="379">
      <c r="A379" s="1">
        <f>IFERROR(__xludf.DUMMYFUNCTION("""COMPUTED_VALUE"""),378.0)</f>
        <v>378</v>
      </c>
      <c r="B379" s="1">
        <f>IFERROR(__xludf.DUMMYFUNCTION("""COMPUTED_VALUE"""),10227.0)</f>
        <v>10227</v>
      </c>
      <c r="C379" s="2" t="str">
        <f>IFERROR(__xludf.DUMMYFUNCTION("""COMPUTED_VALUE"""),"RIOWICAK")</f>
        <v>RIOWICAK</v>
      </c>
      <c r="D379" s="2" t="str">
        <f>IFERROR(__xludf.DUMMYFUNCTION("""COMPUTED_VALUE"""),"10KM OVERALL M")</f>
        <v>10KM OVERALL M</v>
      </c>
      <c r="E379" s="1">
        <f>IFERROR(__xludf.DUMMYFUNCTION("""COMPUTED_VALUE"""),1.0)</f>
        <v>1</v>
      </c>
      <c r="F379" s="1" t="str">
        <f>IFERROR(__xludf.DUMMYFUNCTION("""COMPUTED_VALUE"""),"Male")</f>
        <v>Male</v>
      </c>
      <c r="G379" s="4" t="b">
        <f>IFERROR(__xludf.DUMMYFUNCTION("""COMPUTED_VALUE"""),TRUE)</f>
        <v>1</v>
      </c>
      <c r="H379" s="4" t="b">
        <f>IFERROR(__xludf.DUMMYFUNCTION("""COMPUTED_VALUE"""),TRUE)</f>
        <v>1</v>
      </c>
      <c r="I379" s="4">
        <f>IFERROR(__xludf.DUMMYFUNCTION("""COMPUTED_VALUE"""),0.24646185185185185)</f>
        <v>0.2464618519</v>
      </c>
      <c r="J379" s="4">
        <f>IFERROR(__xludf.DUMMYFUNCTION("""COMPUTED_VALUE"""),45949.261821831475)</f>
        <v>45949.26182</v>
      </c>
      <c r="K379" s="4">
        <f>IFERROR(__xludf.DUMMYFUNCTION("""COMPUTED_VALUE"""),45949.2994470911)</f>
        <v>45949.29945</v>
      </c>
      <c r="L379" s="4">
        <f>IFERROR(__xludf.DUMMYFUNCTION("""COMPUTED_VALUE"""),45949.310216848695)</f>
        <v>45949.31022</v>
      </c>
      <c r="M379" s="1" t="str">
        <f>IFERROR(__xludf.DUMMYFUNCTION("""COMPUTED_VALUE"""),"RFID")</f>
        <v>RFID</v>
      </c>
      <c r="N379" s="5">
        <f>IFERROR(__xludf.DUMMYFUNCTION("""COMPUTED_VALUE"""),0.006143990740740741)</f>
        <v>0.006143990741</v>
      </c>
      <c r="O379" s="5">
        <f>IFERROR(__xludf.DUMMYFUNCTION("""COMPUTED_VALUE"""),0.015050101851851853)</f>
        <v>0.01505010185</v>
      </c>
      <c r="P379" s="5">
        <f>IFERROR(__xludf.DUMMYFUNCTION("""COMPUTED_VALUE"""),0.004431999010276317)</f>
        <v>0.00443199901</v>
      </c>
      <c r="Q379" s="5">
        <f>IFERROR(__xludf.DUMMYFUNCTION("""COMPUTED_VALUE"""),0.006375499999999999)</f>
        <v>0.0063755</v>
      </c>
      <c r="R379" s="4">
        <f>IFERROR(__xludf.DUMMYFUNCTION("""COMPUTED_VALUE"""),45949.063754996845)</f>
        <v>45949.06375</v>
      </c>
      <c r="S379" s="1" t="b">
        <f>IFERROR(__xludf.DUMMYFUNCTION("""COMPUTED_VALUE"""),TRUE)</f>
        <v>1</v>
      </c>
      <c r="T379" s="1" t="b">
        <f>IFERROR(__xludf.DUMMYFUNCTION("""COMPUTED_VALUE"""),FALSE)</f>
        <v>0</v>
      </c>
      <c r="U379" s="1" t="str">
        <f>IFERROR(__xludf.DUMMYFUNCTION("""COMPUTED_VALUE"""),"VALID")</f>
        <v>VALID</v>
      </c>
      <c r="V379" s="1">
        <f>IFERROR(__xludf.DUMMYFUNCTION("""COMPUTED_VALUE"""),557.0)</f>
        <v>557</v>
      </c>
      <c r="W379" s="1">
        <f>IFERROR(__xludf.DUMMYFUNCTION("""COMPUTED_VALUE"""),686.0)</f>
        <v>686</v>
      </c>
      <c r="X379" s="1">
        <f>IFERROR(__xludf.DUMMYFUNCTION("""COMPUTED_VALUE"""),1634.0)</f>
        <v>1634</v>
      </c>
      <c r="Y379" s="2"/>
      <c r="Z379" s="2"/>
    </row>
    <row r="380">
      <c r="A380" s="1">
        <f>IFERROR(__xludf.DUMMYFUNCTION("""COMPUTED_VALUE"""),379.0)</f>
        <v>379</v>
      </c>
      <c r="B380" s="1">
        <f>IFERROR(__xludf.DUMMYFUNCTION("""COMPUTED_VALUE"""),10228.0)</f>
        <v>10228</v>
      </c>
      <c r="C380" s="2" t="str">
        <f>IFERROR(__xludf.DUMMYFUNCTION("""COMPUTED_VALUE"""),"Ahlun")</f>
        <v>Ahlun</v>
      </c>
      <c r="D380" s="2" t="str">
        <f>IFERROR(__xludf.DUMMYFUNCTION("""COMPUTED_VALUE"""),"10KM OVERALL M")</f>
        <v>10KM OVERALL M</v>
      </c>
      <c r="E380" s="1">
        <f>IFERROR(__xludf.DUMMYFUNCTION("""COMPUTED_VALUE"""),1.0)</f>
        <v>1</v>
      </c>
      <c r="F380" s="1" t="str">
        <f>IFERROR(__xludf.DUMMYFUNCTION("""COMPUTED_VALUE"""),"Male")</f>
        <v>Male</v>
      </c>
      <c r="G380" s="4" t="b">
        <f>IFERROR(__xludf.DUMMYFUNCTION("""COMPUTED_VALUE"""),TRUE)</f>
        <v>1</v>
      </c>
      <c r="H380" s="4" t="b">
        <f>IFERROR(__xludf.DUMMYFUNCTION("""COMPUTED_VALUE"""),TRUE)</f>
        <v>1</v>
      </c>
      <c r="I380" s="4">
        <f>IFERROR(__xludf.DUMMYFUNCTION("""COMPUTED_VALUE"""),0.24646185185185185)</f>
        <v>0.2464618519</v>
      </c>
      <c r="J380" s="4">
        <f>IFERROR(__xludf.DUMMYFUNCTION("""COMPUTED_VALUE"""),45949.25938119922)</f>
        <v>45949.25938</v>
      </c>
      <c r="K380" s="4">
        <f>IFERROR(__xludf.DUMMYFUNCTION("""COMPUTED_VALUE"""),45949.29271792469)</f>
        <v>45949.29272</v>
      </c>
      <c r="L380" s="4">
        <f>IFERROR(__xludf.DUMMYFUNCTION("""COMPUTED_VALUE"""),45949.30217512093)</f>
        <v>45949.30218</v>
      </c>
      <c r="M380" s="1" t="str">
        <f>IFERROR(__xludf.DUMMYFUNCTION("""COMPUTED_VALUE"""),"RFID")</f>
        <v>RFID</v>
      </c>
      <c r="N380" s="5">
        <f>IFERROR(__xludf.DUMMYFUNCTION("""COMPUTED_VALUE"""),0.005167740740740741)</f>
        <v>0.005167740741</v>
      </c>
      <c r="O380" s="5">
        <f>IFERROR(__xludf.DUMMYFUNCTION("""COMPUTED_VALUE"""),0.013334689814814815)</f>
        <v>0.01333468981</v>
      </c>
      <c r="P380" s="5">
        <f>IFERROR(__xludf.DUMMYFUNCTION("""COMPUTED_VALUE"""),0.0038918503045119773)</f>
        <v>0.003891850305</v>
      </c>
      <c r="Q380" s="5">
        <f>IFERROR(__xludf.DUMMYFUNCTION("""COMPUTED_VALUE"""),0.0055713263888888895)</f>
        <v>0.005571326389</v>
      </c>
      <c r="R380" s="4">
        <f>IFERROR(__xludf.DUMMYFUNCTION("""COMPUTED_VALUE"""),45949.05571326908)</f>
        <v>45949.05571</v>
      </c>
      <c r="S380" s="1" t="b">
        <f>IFERROR(__xludf.DUMMYFUNCTION("""COMPUTED_VALUE"""),TRUE)</f>
        <v>1</v>
      </c>
      <c r="T380" s="1" t="b">
        <f>IFERROR(__xludf.DUMMYFUNCTION("""COMPUTED_VALUE"""),FALSE)</f>
        <v>0</v>
      </c>
      <c r="U380" s="1" t="str">
        <f>IFERROR(__xludf.DUMMYFUNCTION("""COMPUTED_VALUE"""),"VALID")</f>
        <v>VALID</v>
      </c>
      <c r="V380" s="1">
        <f>IFERROR(__xludf.DUMMYFUNCTION("""COMPUTED_VALUE"""),475.0)</f>
        <v>475</v>
      </c>
      <c r="W380" s="1">
        <f>IFERROR(__xludf.DUMMYFUNCTION("""COMPUTED_VALUE"""),569.0)</f>
        <v>569</v>
      </c>
      <c r="X380" s="1">
        <f>IFERROR(__xludf.DUMMYFUNCTION("""COMPUTED_VALUE"""),1541.0)</f>
        <v>1541</v>
      </c>
      <c r="Y380" s="2"/>
      <c r="Z380" s="2"/>
    </row>
    <row r="381">
      <c r="A381" s="1">
        <f>IFERROR(__xludf.DUMMYFUNCTION("""COMPUTED_VALUE"""),380.0)</f>
        <v>380</v>
      </c>
      <c r="B381" s="1">
        <f>IFERROR(__xludf.DUMMYFUNCTION("""COMPUTED_VALUE"""),10229.0)</f>
        <v>10229</v>
      </c>
      <c r="C381" s="2" t="str">
        <f>IFERROR(__xludf.DUMMYFUNCTION("""COMPUTED_VALUE"""),"Rizal Ariyadi")</f>
        <v>Rizal Ariyadi</v>
      </c>
      <c r="D381" s="2" t="str">
        <f>IFERROR(__xludf.DUMMYFUNCTION("""COMPUTED_VALUE"""),"10KM OVERALL M")</f>
        <v>10KM OVERALL M</v>
      </c>
      <c r="E381" s="1">
        <f>IFERROR(__xludf.DUMMYFUNCTION("""COMPUTED_VALUE"""),1.0)</f>
        <v>1</v>
      </c>
      <c r="F381" s="1" t="str">
        <f>IFERROR(__xludf.DUMMYFUNCTION("""COMPUTED_VALUE"""),"Male")</f>
        <v>Male</v>
      </c>
      <c r="G381" s="4" t="b">
        <f>IFERROR(__xludf.DUMMYFUNCTION("""COMPUTED_VALUE"""),TRUE)</f>
        <v>1</v>
      </c>
      <c r="H381" s="4" t="b">
        <f>IFERROR(__xludf.DUMMYFUNCTION("""COMPUTED_VALUE"""),TRUE)</f>
        <v>1</v>
      </c>
      <c r="I381" s="4">
        <f>IFERROR(__xludf.DUMMYFUNCTION("""COMPUTED_VALUE"""),0.24646185185185185)</f>
        <v>0.2464618519</v>
      </c>
      <c r="J381" s="4">
        <f>IFERROR(__xludf.DUMMYFUNCTION("""COMPUTED_VALUE"""),45949.25955795275)</f>
        <v>45949.25956</v>
      </c>
      <c r="K381" s="4">
        <f>IFERROR(__xludf.DUMMYFUNCTION("""COMPUTED_VALUE"""),45949.29099220813)</f>
        <v>45949.29099</v>
      </c>
      <c r="L381" s="4">
        <f>IFERROR(__xludf.DUMMYFUNCTION("""COMPUTED_VALUE"""),45949.300102259804)</f>
        <v>45949.3001</v>
      </c>
      <c r="M381" s="1" t="str">
        <f>IFERROR(__xludf.DUMMYFUNCTION("""COMPUTED_VALUE"""),"RFID")</f>
        <v>RFID</v>
      </c>
      <c r="N381" s="5">
        <f>IFERROR(__xludf.DUMMYFUNCTION("""COMPUTED_VALUE"""),0.005238439814814815)</f>
        <v>0.005238439815</v>
      </c>
      <c r="O381" s="5">
        <f>IFERROR(__xludf.DUMMYFUNCTION("""COMPUTED_VALUE"""),0.012573703703703703)</f>
        <v>0.0125737037</v>
      </c>
      <c r="P381" s="5">
        <f>IFERROR(__xludf.DUMMYFUNCTION("""COMPUTED_VALUE"""),0.0037489924579858776)</f>
        <v>0.003748992458</v>
      </c>
      <c r="Q381" s="5">
        <f>IFERROR(__xludf.DUMMYFUNCTION("""COMPUTED_VALUE"""),0.005364040509259259)</f>
        <v>0.005364040509</v>
      </c>
      <c r="R381" s="4">
        <f>IFERROR(__xludf.DUMMYFUNCTION("""COMPUTED_VALUE"""),45949.053640407954)</f>
        <v>45949.05364</v>
      </c>
      <c r="S381" s="1" t="b">
        <f>IFERROR(__xludf.DUMMYFUNCTION("""COMPUTED_VALUE"""),TRUE)</f>
        <v>1</v>
      </c>
      <c r="T381" s="1" t="b">
        <f>IFERROR(__xludf.DUMMYFUNCTION("""COMPUTED_VALUE"""),FALSE)</f>
        <v>0</v>
      </c>
      <c r="U381" s="1" t="str">
        <f>IFERROR(__xludf.DUMMYFUNCTION("""COMPUTED_VALUE"""),"VALID")</f>
        <v>VALID</v>
      </c>
      <c r="V381" s="1">
        <f>IFERROR(__xludf.DUMMYFUNCTION("""COMPUTED_VALUE"""),416.0)</f>
        <v>416</v>
      </c>
      <c r="W381" s="1">
        <f>IFERROR(__xludf.DUMMYFUNCTION("""COMPUTED_VALUE"""),496.0)</f>
        <v>496</v>
      </c>
      <c r="X381" s="1">
        <f>IFERROR(__xludf.DUMMYFUNCTION("""COMPUTED_VALUE"""),1472.0)</f>
        <v>1472</v>
      </c>
      <c r="Y381" s="2"/>
      <c r="Z381" s="2"/>
    </row>
    <row r="382">
      <c r="A382" s="1">
        <f>IFERROR(__xludf.DUMMYFUNCTION("""COMPUTED_VALUE"""),381.0)</f>
        <v>381</v>
      </c>
      <c r="B382" s="1">
        <f>IFERROR(__xludf.DUMMYFUNCTION("""COMPUTED_VALUE"""),10230.0)</f>
        <v>10230</v>
      </c>
      <c r="C382" s="2" t="str">
        <f>IFERROR(__xludf.DUMMYFUNCTION("""COMPUTED_VALUE"""),"Ade")</f>
        <v>Ade</v>
      </c>
      <c r="D382" s="2" t="str">
        <f>IFERROR(__xludf.DUMMYFUNCTION("""COMPUTED_VALUE"""),"10KM OVERALL M")</f>
        <v>10KM OVERALL M</v>
      </c>
      <c r="E382" s="1">
        <f>IFERROR(__xludf.DUMMYFUNCTION("""COMPUTED_VALUE"""),1.0)</f>
        <v>1</v>
      </c>
      <c r="F382" s="1" t="str">
        <f>IFERROR(__xludf.DUMMYFUNCTION("""COMPUTED_VALUE"""),"Male")</f>
        <v>Male</v>
      </c>
      <c r="G382" s="4" t="b">
        <f>IFERROR(__xludf.DUMMYFUNCTION("""COMPUTED_VALUE"""),TRUE)</f>
        <v>1</v>
      </c>
      <c r="H382" s="4" t="b">
        <f>IFERROR(__xludf.DUMMYFUNCTION("""COMPUTED_VALUE"""),TRUE)</f>
        <v>1</v>
      </c>
      <c r="I382" s="4">
        <f>IFERROR(__xludf.DUMMYFUNCTION("""COMPUTED_VALUE"""),0.24646185185185185)</f>
        <v>0.2464618519</v>
      </c>
      <c r="J382" s="4">
        <f>IFERROR(__xludf.DUMMYFUNCTION("""COMPUTED_VALUE"""),45949.25886355561)</f>
        <v>45949.25886</v>
      </c>
      <c r="K382" s="4">
        <f>IFERROR(__xludf.DUMMYFUNCTION("""COMPUTED_VALUE"""),45949.29020833333)</f>
        <v>45949.29021</v>
      </c>
      <c r="L382" s="4">
        <f>IFERROR(__xludf.DUMMYFUNCTION("""COMPUTED_VALUE"""),45949.29870645121)</f>
        <v>45949.29871</v>
      </c>
      <c r="M382" s="1" t="str">
        <f>IFERROR(__xludf.DUMMYFUNCTION("""COMPUTED_VALUE"""),"RFID")</f>
        <v>RFID</v>
      </c>
      <c r="N382" s="5">
        <f>IFERROR(__xludf.DUMMYFUNCTION("""COMPUTED_VALUE"""),0.004960680555555556)</f>
        <v>0.004960680556</v>
      </c>
      <c r="O382" s="5">
        <f>IFERROR(__xludf.DUMMYFUNCTION("""COMPUTED_VALUE"""),0.012537912037037035)</f>
        <v>0.01253791204</v>
      </c>
      <c r="P382" s="5">
        <f>IFERROR(__xludf.DUMMYFUNCTION("""COMPUTED_VALUE"""),0.0034971678521246515)</f>
        <v>0.003497167852</v>
      </c>
      <c r="Q382" s="5">
        <f>IFERROR(__xludf.DUMMYFUNCTION("""COMPUTED_VALUE"""),0.0052244594907407405)</f>
        <v>0.005224459491</v>
      </c>
      <c r="R382" s="4">
        <f>IFERROR(__xludf.DUMMYFUNCTION("""COMPUTED_VALUE"""),45949.05224459936)</f>
        <v>45949.05224</v>
      </c>
      <c r="S382" s="1" t="b">
        <f>IFERROR(__xludf.DUMMYFUNCTION("""COMPUTED_VALUE"""),TRUE)</f>
        <v>1</v>
      </c>
      <c r="T382" s="1" t="b">
        <f>IFERROR(__xludf.DUMMYFUNCTION("""COMPUTED_VALUE"""),FALSE)</f>
        <v>0</v>
      </c>
      <c r="U382" s="1" t="str">
        <f>IFERROR(__xludf.DUMMYFUNCTION("""COMPUTED_VALUE"""),"VALID")</f>
        <v>VALID</v>
      </c>
      <c r="V382" s="1">
        <f>IFERROR(__xludf.DUMMYFUNCTION("""COMPUTED_VALUE"""),392.0)</f>
        <v>392</v>
      </c>
      <c r="W382" s="1">
        <f>IFERROR(__xludf.DUMMYFUNCTION("""COMPUTED_VALUE"""),466.0)</f>
        <v>466</v>
      </c>
      <c r="X382" s="1">
        <f>IFERROR(__xludf.DUMMYFUNCTION("""COMPUTED_VALUE"""),1443.0)</f>
        <v>1443</v>
      </c>
      <c r="Y382" s="2"/>
      <c r="Z382" s="2"/>
    </row>
    <row r="383">
      <c r="A383" s="1">
        <f>IFERROR(__xludf.DUMMYFUNCTION("""COMPUTED_VALUE"""),382.0)</f>
        <v>382</v>
      </c>
      <c r="B383" s="1">
        <f>IFERROR(__xludf.DUMMYFUNCTION("""COMPUTED_VALUE"""),10231.0)</f>
        <v>10231</v>
      </c>
      <c r="C383" s="2" t="str">
        <f>IFERROR(__xludf.DUMMYFUNCTION("""COMPUTED_VALUE"""),"Gusti Aspianur")</f>
        <v>Gusti Aspianur</v>
      </c>
      <c r="D383" s="2" t="str">
        <f>IFERROR(__xludf.DUMMYFUNCTION("""COMPUTED_VALUE"""),"10KM OVERALL M")</f>
        <v>10KM OVERALL M</v>
      </c>
      <c r="E383" s="1">
        <f>IFERROR(__xludf.DUMMYFUNCTION("""COMPUTED_VALUE"""),1.0)</f>
        <v>1</v>
      </c>
      <c r="F383" s="1" t="str">
        <f>IFERROR(__xludf.DUMMYFUNCTION("""COMPUTED_VALUE"""),"Male")</f>
        <v>Male</v>
      </c>
      <c r="G383" s="4" t="b">
        <f>IFERROR(__xludf.DUMMYFUNCTION("""COMPUTED_VALUE"""),TRUE)</f>
        <v>1</v>
      </c>
      <c r="H383" s="4" t="b">
        <f>IFERROR(__xludf.DUMMYFUNCTION("""COMPUTED_VALUE"""),FALSE)</f>
        <v>0</v>
      </c>
      <c r="I383" s="4">
        <f>IFERROR(__xludf.DUMMYFUNCTION("""COMPUTED_VALUE"""),0.24646185185185185)</f>
        <v>0.2464618519</v>
      </c>
      <c r="J383" s="4">
        <f>IFERROR(__xludf.DUMMYFUNCTION("""COMPUTED_VALUE"""),45949.2570961276)</f>
        <v>45949.2571</v>
      </c>
      <c r="K383" s="4">
        <f>IFERROR(__xludf.DUMMYFUNCTION("""COMPUTED_VALUE"""),45949.28674893592)</f>
        <v>45949.28675</v>
      </c>
      <c r="L383" s="4">
        <f>IFERROR(__xludf.DUMMYFUNCTION("""COMPUTED_VALUE"""),45949.29631788463)</f>
        <v>45949.29632</v>
      </c>
      <c r="M383" s="1" t="str">
        <f>IFERROR(__xludf.DUMMYFUNCTION("""COMPUTED_VALUE"""),"RFID")</f>
        <v>RFID</v>
      </c>
      <c r="N383" s="5">
        <f>IFERROR(__xludf.DUMMYFUNCTION("""COMPUTED_VALUE"""),0.004253708333333333)</f>
        <v>0.004253708333</v>
      </c>
      <c r="O383" s="5">
        <f>IFERROR(__xludf.DUMMYFUNCTION("""COMPUTED_VALUE"""),0.011861125)</f>
        <v>0.011861125</v>
      </c>
      <c r="P383" s="5">
        <f>IFERROR(__xludf.DUMMYFUNCTION("""COMPUTED_VALUE"""),0.00393783897671699)</f>
        <v>0.003937838977</v>
      </c>
      <c r="Q383" s="5">
        <f>IFERROR(__xludf.DUMMYFUNCTION("""COMPUTED_VALUE"""),0.004985603009259259)</f>
        <v>0.004985603009</v>
      </c>
      <c r="R383" s="4">
        <f>IFERROR(__xludf.DUMMYFUNCTION("""COMPUTED_VALUE"""),45949.04985603278)</f>
        <v>45949.04986</v>
      </c>
      <c r="S383" s="1" t="b">
        <f>IFERROR(__xludf.DUMMYFUNCTION("""COMPUTED_VALUE"""),TRUE)</f>
        <v>1</v>
      </c>
      <c r="T383" s="1" t="b">
        <f>IFERROR(__xludf.DUMMYFUNCTION("""COMPUTED_VALUE"""),FALSE)</f>
        <v>0</v>
      </c>
      <c r="U383" s="1" t="str">
        <f>IFERROR(__xludf.DUMMYFUNCTION("""COMPUTED_VALUE"""),"VALID")</f>
        <v>VALID</v>
      </c>
      <c r="V383" s="1">
        <f>IFERROR(__xludf.DUMMYFUNCTION("""COMPUTED_VALUE"""),335.0)</f>
        <v>335</v>
      </c>
      <c r="W383" s="1">
        <f>IFERROR(__xludf.DUMMYFUNCTION("""COMPUTED_VALUE"""),396.0)</f>
        <v>396</v>
      </c>
      <c r="X383" s="1">
        <f>IFERROR(__xludf.DUMMYFUNCTION("""COMPUTED_VALUE"""),1372.0)</f>
        <v>1372</v>
      </c>
      <c r="Y383" s="2"/>
      <c r="Z383" s="2"/>
    </row>
    <row r="384">
      <c r="A384" s="1">
        <f>IFERROR(__xludf.DUMMYFUNCTION("""COMPUTED_VALUE"""),383.0)</f>
        <v>383</v>
      </c>
      <c r="B384" s="1">
        <f>IFERROR(__xludf.DUMMYFUNCTION("""COMPUTED_VALUE"""),10232.0)</f>
        <v>10232</v>
      </c>
      <c r="C384" s="2" t="str">
        <f>IFERROR(__xludf.DUMMYFUNCTION("""COMPUTED_VALUE"""),"murthado")</f>
        <v>murthado</v>
      </c>
      <c r="D384" s="2" t="str">
        <f>IFERROR(__xludf.DUMMYFUNCTION("""COMPUTED_VALUE"""),"10KM OVERALL M")</f>
        <v>10KM OVERALL M</v>
      </c>
      <c r="E384" s="1">
        <f>IFERROR(__xludf.DUMMYFUNCTION("""COMPUTED_VALUE"""),1.0)</f>
        <v>1</v>
      </c>
      <c r="F384" s="1" t="str">
        <f>IFERROR(__xludf.DUMMYFUNCTION("""COMPUTED_VALUE"""),"Male")</f>
        <v>Male</v>
      </c>
      <c r="G384" s="4" t="b">
        <f>IFERROR(__xludf.DUMMYFUNCTION("""COMPUTED_VALUE"""),TRUE)</f>
        <v>1</v>
      </c>
      <c r="H384" s="4" t="b">
        <f>IFERROR(__xludf.DUMMYFUNCTION("""COMPUTED_VALUE"""),FALSE)</f>
        <v>0</v>
      </c>
      <c r="I384" s="4">
        <f>IFERROR(__xludf.DUMMYFUNCTION("""COMPUTED_VALUE"""),0.24646185185185185)</f>
        <v>0.2464618519</v>
      </c>
      <c r="J384" s="4">
        <f>IFERROR(__xludf.DUMMYFUNCTION("""COMPUTED_VALUE"""),45949.257780191656)</f>
        <v>45949.25778</v>
      </c>
      <c r="K384" s="4">
        <f>IFERROR(__xludf.DUMMYFUNCTION("""COMPUTED_VALUE"""),45949.28449199679)</f>
        <v>45949.28449</v>
      </c>
      <c r="L384" s="4">
        <f>IFERROR(__xludf.DUMMYFUNCTION("""COMPUTED_VALUE"""),45949.29218906091)</f>
        <v>45949.29219</v>
      </c>
      <c r="M384" s="1" t="str">
        <f>IFERROR(__xludf.DUMMYFUNCTION("""COMPUTED_VALUE"""),"RFID")</f>
        <v>RFID</v>
      </c>
      <c r="N384" s="5">
        <f>IFERROR(__xludf.DUMMYFUNCTION("""COMPUTED_VALUE"""),0.004527337962962963)</f>
        <v>0.004527337963</v>
      </c>
      <c r="O384" s="5">
        <f>IFERROR(__xludf.DUMMYFUNCTION("""COMPUTED_VALUE"""),0.010684722222222224)</f>
        <v>0.01068472222</v>
      </c>
      <c r="P384" s="5">
        <f>IFERROR(__xludf.DUMMYFUNCTION("""COMPUTED_VALUE"""),0.0031675160973890465)</f>
        <v>0.003167516097</v>
      </c>
      <c r="Q384" s="5">
        <f>IFERROR(__xludf.DUMMYFUNCTION("""COMPUTED_VALUE"""),0.004572721064814815)</f>
        <v>0.004572721065</v>
      </c>
      <c r="R384" s="4">
        <f>IFERROR(__xludf.DUMMYFUNCTION("""COMPUTED_VALUE"""),45949.04572720906)</f>
        <v>45949.04573</v>
      </c>
      <c r="S384" s="1" t="b">
        <f>IFERROR(__xludf.DUMMYFUNCTION("""COMPUTED_VALUE"""),TRUE)</f>
        <v>1</v>
      </c>
      <c r="T384" s="1" t="b">
        <f>IFERROR(__xludf.DUMMYFUNCTION("""COMPUTED_VALUE"""),FALSE)</f>
        <v>0</v>
      </c>
      <c r="U384" s="1" t="str">
        <f>IFERROR(__xludf.DUMMYFUNCTION("""COMPUTED_VALUE"""),"VALID")</f>
        <v>VALID</v>
      </c>
      <c r="V384" s="1">
        <f>IFERROR(__xludf.DUMMYFUNCTION("""COMPUTED_VALUE"""),233.0)</f>
        <v>233</v>
      </c>
      <c r="W384" s="1">
        <f>IFERROR(__xludf.DUMMYFUNCTION("""COMPUTED_VALUE"""),280.0)</f>
        <v>280</v>
      </c>
      <c r="X384" s="1">
        <f>IFERROR(__xludf.DUMMYFUNCTION("""COMPUTED_VALUE"""),1226.0)</f>
        <v>1226</v>
      </c>
      <c r="Y384" s="2"/>
      <c r="Z384" s="2"/>
    </row>
    <row r="385">
      <c r="A385" s="1">
        <f>IFERROR(__xludf.DUMMYFUNCTION("""COMPUTED_VALUE"""),384.0)</f>
        <v>384</v>
      </c>
      <c r="B385" s="1">
        <f>IFERROR(__xludf.DUMMYFUNCTION("""COMPUTED_VALUE"""),10233.0)</f>
        <v>10233</v>
      </c>
      <c r="C385" s="2" t="str">
        <f>IFERROR(__xludf.DUMMYFUNCTION("""COMPUTED_VALUE"""),"Pur Wa Zhi")</f>
        <v>Pur Wa Zhi</v>
      </c>
      <c r="D385" s="2" t="str">
        <f>IFERROR(__xludf.DUMMYFUNCTION("""COMPUTED_VALUE"""),"10KM OVERALL M")</f>
        <v>10KM OVERALL M</v>
      </c>
      <c r="E385" s="1">
        <f>IFERROR(__xludf.DUMMYFUNCTION("""COMPUTED_VALUE"""),1.0)</f>
        <v>1</v>
      </c>
      <c r="F385" s="1" t="str">
        <f>IFERROR(__xludf.DUMMYFUNCTION("""COMPUTED_VALUE"""),"Male")</f>
        <v>Male</v>
      </c>
      <c r="G385" s="4" t="b">
        <f>IFERROR(__xludf.DUMMYFUNCTION("""COMPUTED_VALUE"""),TRUE)</f>
        <v>1</v>
      </c>
      <c r="H385" s="4" t="b">
        <f>IFERROR(__xludf.DUMMYFUNCTION("""COMPUTED_VALUE"""),TRUE)</f>
        <v>1</v>
      </c>
      <c r="I385" s="4">
        <f>IFERROR(__xludf.DUMMYFUNCTION("""COMPUTED_VALUE"""),0.24646185185185185)</f>
        <v>0.2464618519</v>
      </c>
      <c r="J385" s="4">
        <f>IFERROR(__xludf.DUMMYFUNCTION("""COMPUTED_VALUE"""),45949.258332323254)</f>
        <v>45949.25833</v>
      </c>
      <c r="K385" s="4">
        <f>IFERROR(__xludf.DUMMYFUNCTION("""COMPUTED_VALUE"""),45949.29118319819)</f>
        <v>45949.29118</v>
      </c>
      <c r="L385" s="4">
        <f>IFERROR(__xludf.DUMMYFUNCTION("""COMPUTED_VALUE"""),45949.30044949171)</f>
        <v>45949.30045</v>
      </c>
      <c r="M385" s="1" t="str">
        <f>IFERROR(__xludf.DUMMYFUNCTION("""COMPUTED_VALUE"""),"RFID")</f>
        <v>RFID</v>
      </c>
      <c r="N385" s="5">
        <f>IFERROR(__xludf.DUMMYFUNCTION("""COMPUTED_VALUE"""),0.0047481898148148145)</f>
        <v>0.004748189815</v>
      </c>
      <c r="O385" s="5">
        <f>IFERROR(__xludf.DUMMYFUNCTION("""COMPUTED_VALUE"""),0.013140351851851851)</f>
        <v>0.01314035185</v>
      </c>
      <c r="P385" s="5">
        <f>IFERROR(__xludf.DUMMYFUNCTION("""COMPUTED_VALUE"""),0.003813289514543496)</f>
        <v>0.003813289515</v>
      </c>
      <c r="Q385" s="5">
        <f>IFERROR(__xludf.DUMMYFUNCTION("""COMPUTED_VALUE"""),0.005398763888888889)</f>
        <v>0.005398763889</v>
      </c>
      <c r="R385" s="4">
        <f>IFERROR(__xludf.DUMMYFUNCTION("""COMPUTED_VALUE"""),45949.05398763986)</f>
        <v>45949.05399</v>
      </c>
      <c r="S385" s="1" t="b">
        <f>IFERROR(__xludf.DUMMYFUNCTION("""COMPUTED_VALUE"""),TRUE)</f>
        <v>1</v>
      </c>
      <c r="T385" s="1" t="b">
        <f>IFERROR(__xludf.DUMMYFUNCTION("""COMPUTED_VALUE"""),FALSE)</f>
        <v>0</v>
      </c>
      <c r="U385" s="1" t="str">
        <f>IFERROR(__xludf.DUMMYFUNCTION("""COMPUTED_VALUE"""),"VALID")</f>
        <v>VALID</v>
      </c>
      <c r="V385" s="1">
        <f>IFERROR(__xludf.DUMMYFUNCTION("""COMPUTED_VALUE"""),423.0)</f>
        <v>423</v>
      </c>
      <c r="W385" s="1">
        <f>IFERROR(__xludf.DUMMYFUNCTION("""COMPUTED_VALUE"""),504.0)</f>
        <v>504</v>
      </c>
      <c r="X385" s="1">
        <f>IFERROR(__xludf.DUMMYFUNCTION("""COMPUTED_VALUE"""),1482.0)</f>
        <v>1482</v>
      </c>
      <c r="Y385" s="2"/>
      <c r="Z385" s="2"/>
    </row>
    <row r="386">
      <c r="A386" s="1">
        <f>IFERROR(__xludf.DUMMYFUNCTION("""COMPUTED_VALUE"""),385.0)</f>
        <v>385</v>
      </c>
      <c r="B386" s="1">
        <f>IFERROR(__xludf.DUMMYFUNCTION("""COMPUTED_VALUE"""),10234.0)</f>
        <v>10234</v>
      </c>
      <c r="C386" s="2" t="str">
        <f>IFERROR(__xludf.DUMMYFUNCTION("""COMPUTED_VALUE"""),"ABDUL MALIK")</f>
        <v>ABDUL MALIK</v>
      </c>
      <c r="D386" s="2" t="str">
        <f>IFERROR(__xludf.DUMMYFUNCTION("""COMPUTED_VALUE"""),"10KM OVERALL M")</f>
        <v>10KM OVERALL M</v>
      </c>
      <c r="E386" s="1">
        <f>IFERROR(__xludf.DUMMYFUNCTION("""COMPUTED_VALUE"""),1.0)</f>
        <v>1</v>
      </c>
      <c r="F386" s="1" t="str">
        <f>IFERROR(__xludf.DUMMYFUNCTION("""COMPUTED_VALUE"""),"Male")</f>
        <v>Male</v>
      </c>
      <c r="G386" s="4" t="b">
        <f>IFERROR(__xludf.DUMMYFUNCTION("""COMPUTED_VALUE"""),TRUE)</f>
        <v>1</v>
      </c>
      <c r="H386" s="4" t="b">
        <f>IFERROR(__xludf.DUMMYFUNCTION("""COMPUTED_VALUE"""),TRUE)</f>
        <v>1</v>
      </c>
      <c r="I386" s="4">
        <f>IFERROR(__xludf.DUMMYFUNCTION("""COMPUTED_VALUE"""),0.24646185185185185)</f>
        <v>0.2464618519</v>
      </c>
      <c r="J386" s="4">
        <f>IFERROR(__xludf.DUMMYFUNCTION("""COMPUTED_VALUE"""),45949.258370495256)</f>
        <v>45949.25837</v>
      </c>
      <c r="K386" s="4">
        <f>IFERROR(__xludf.DUMMYFUNCTION("""COMPUTED_VALUE"""),45949.28537393692)</f>
        <v>45949.28537</v>
      </c>
      <c r="L386" s="4">
        <f>IFERROR(__xludf.DUMMYFUNCTION("""COMPUTED_VALUE"""),45949.29254671301)</f>
        <v>45949.29255</v>
      </c>
      <c r="M386" s="1" t="str">
        <f>IFERROR(__xludf.DUMMYFUNCTION("""COMPUTED_VALUE"""),"RFID")</f>
        <v>RFID</v>
      </c>
      <c r="N386" s="5">
        <f>IFERROR(__xludf.DUMMYFUNCTION("""COMPUTED_VALUE"""),0.004763458333333333)</f>
        <v>0.004763458333</v>
      </c>
      <c r="O386" s="5">
        <f>IFERROR(__xludf.DUMMYFUNCTION("""COMPUTED_VALUE"""),0.010801375)</f>
        <v>0.010801375</v>
      </c>
      <c r="P386" s="5">
        <f>IFERROR(__xludf.DUMMYFUNCTION("""COMPUTED_VALUE"""),0.0029517597099191243)</f>
        <v>0.00295175971</v>
      </c>
      <c r="Q386" s="5">
        <f>IFERROR(__xludf.DUMMYFUNCTION("""COMPUTED_VALUE"""),0.004608486111111111)</f>
        <v>0.004608486111</v>
      </c>
      <c r="R386" s="4">
        <f>IFERROR(__xludf.DUMMYFUNCTION("""COMPUTED_VALUE"""),45949.04608486116)</f>
        <v>45949.04608</v>
      </c>
      <c r="S386" s="1" t="b">
        <f>IFERROR(__xludf.DUMMYFUNCTION("""COMPUTED_VALUE"""),TRUE)</f>
        <v>1</v>
      </c>
      <c r="T386" s="1" t="b">
        <f>IFERROR(__xludf.DUMMYFUNCTION("""COMPUTED_VALUE"""),FALSE)</f>
        <v>0</v>
      </c>
      <c r="U386" s="1" t="str">
        <f>IFERROR(__xludf.DUMMYFUNCTION("""COMPUTED_VALUE"""),"VALID")</f>
        <v>VALID</v>
      </c>
      <c r="V386" s="1">
        <f>IFERROR(__xludf.DUMMYFUNCTION("""COMPUTED_VALUE"""),245.0)</f>
        <v>245</v>
      </c>
      <c r="W386" s="1">
        <f>IFERROR(__xludf.DUMMYFUNCTION("""COMPUTED_VALUE"""),294.0)</f>
        <v>294</v>
      </c>
      <c r="X386" s="1">
        <f>IFERROR(__xludf.DUMMYFUNCTION("""COMPUTED_VALUE"""),1242.0)</f>
        <v>1242</v>
      </c>
      <c r="Y386" s="2"/>
      <c r="Z386" s="2"/>
    </row>
    <row r="387">
      <c r="A387" s="1">
        <f>IFERROR(__xludf.DUMMYFUNCTION("""COMPUTED_VALUE"""),386.0)</f>
        <v>386</v>
      </c>
      <c r="B387" s="1">
        <f>IFERROR(__xludf.DUMMYFUNCTION("""COMPUTED_VALUE"""),10235.0)</f>
        <v>10235</v>
      </c>
      <c r="C387" s="2" t="str">
        <f>IFERROR(__xludf.DUMMYFUNCTION("""COMPUTED_VALUE"""),"MAULANA")</f>
        <v>MAULANA</v>
      </c>
      <c r="D387" s="2" t="str">
        <f>IFERROR(__xludf.DUMMYFUNCTION("""COMPUTED_VALUE"""),"10KM OVERALL M")</f>
        <v>10KM OVERALL M</v>
      </c>
      <c r="E387" s="1">
        <f>IFERROR(__xludf.DUMMYFUNCTION("""COMPUTED_VALUE"""),1.0)</f>
        <v>1</v>
      </c>
      <c r="F387" s="1" t="str">
        <f>IFERROR(__xludf.DUMMYFUNCTION("""COMPUTED_VALUE"""),"Male")</f>
        <v>Male</v>
      </c>
      <c r="G387" s="4" t="b">
        <f>IFERROR(__xludf.DUMMYFUNCTION("""COMPUTED_VALUE"""),TRUE)</f>
        <v>1</v>
      </c>
      <c r="H387" s="4" t="b">
        <f>IFERROR(__xludf.DUMMYFUNCTION("""COMPUTED_VALUE"""),TRUE)</f>
        <v>1</v>
      </c>
      <c r="I387" s="4">
        <f>IFERROR(__xludf.DUMMYFUNCTION("""COMPUTED_VALUE"""),0.24646185185185185)</f>
        <v>0.2464618519</v>
      </c>
      <c r="J387" s="4">
        <f>IFERROR(__xludf.DUMMYFUNCTION("""COMPUTED_VALUE"""),45949.258863543924)</f>
        <v>45949.25886</v>
      </c>
      <c r="K387" s="4">
        <f>IFERROR(__xludf.DUMMYFUNCTION("""COMPUTED_VALUE"""),45949.291335979215)</f>
        <v>45949.29134</v>
      </c>
      <c r="L387" s="4">
        <f>IFERROR(__xludf.DUMMYFUNCTION("""COMPUTED_VALUE"""),45949.30193562398)</f>
        <v>45949.30194</v>
      </c>
      <c r="M387" s="1" t="str">
        <f>IFERROR(__xludf.DUMMYFUNCTION("""COMPUTED_VALUE"""),"RFID")</f>
        <v>RFID</v>
      </c>
      <c r="N387" s="5">
        <f>IFERROR(__xludf.DUMMYFUNCTION("""COMPUTED_VALUE"""),0.004960675925925926)</f>
        <v>0.004960675926</v>
      </c>
      <c r="O387" s="5">
        <f>IFERROR(__xludf.DUMMYFUNCTION("""COMPUTED_VALUE"""),0.012988972222222223)</f>
        <v>0.01298897222</v>
      </c>
      <c r="P387" s="5">
        <f>IFERROR(__xludf.DUMMYFUNCTION("""COMPUTED_VALUE"""),0.004361993731421115)</f>
        <v>0.004361993731</v>
      </c>
      <c r="Q387" s="5">
        <f>IFERROR(__xludf.DUMMYFUNCTION("""COMPUTED_VALUE"""),0.005547377314814815)</f>
        <v>0.005547377315</v>
      </c>
      <c r="R387" s="4">
        <f>IFERROR(__xludf.DUMMYFUNCTION("""COMPUTED_VALUE"""),45949.05547377213)</f>
        <v>45949.05547</v>
      </c>
      <c r="S387" s="1" t="b">
        <f>IFERROR(__xludf.DUMMYFUNCTION("""COMPUTED_VALUE"""),TRUE)</f>
        <v>1</v>
      </c>
      <c r="T387" s="1" t="b">
        <f>IFERROR(__xludf.DUMMYFUNCTION("""COMPUTED_VALUE"""),FALSE)</f>
        <v>0</v>
      </c>
      <c r="U387" s="1" t="str">
        <f>IFERROR(__xludf.DUMMYFUNCTION("""COMPUTED_VALUE"""),"VALID")</f>
        <v>VALID</v>
      </c>
      <c r="V387" s="1">
        <f>IFERROR(__xludf.DUMMYFUNCTION("""COMPUTED_VALUE"""),468.0)</f>
        <v>468</v>
      </c>
      <c r="W387" s="1">
        <f>IFERROR(__xludf.DUMMYFUNCTION("""COMPUTED_VALUE"""),561.0)</f>
        <v>561</v>
      </c>
      <c r="X387" s="1">
        <f>IFERROR(__xludf.DUMMYFUNCTION("""COMPUTED_VALUE"""),1534.0)</f>
        <v>1534</v>
      </c>
      <c r="Y387" s="2"/>
      <c r="Z387" s="2"/>
    </row>
    <row r="388">
      <c r="A388" s="1">
        <f>IFERROR(__xludf.DUMMYFUNCTION("""COMPUTED_VALUE"""),387.0)</f>
        <v>387</v>
      </c>
      <c r="B388" s="1">
        <f>IFERROR(__xludf.DUMMYFUNCTION("""COMPUTED_VALUE"""),10236.0)</f>
        <v>10236</v>
      </c>
      <c r="C388" s="2" t="str">
        <f>IFERROR(__xludf.DUMMYFUNCTION("""COMPUTED_VALUE"""),"HMZ Arifin")</f>
        <v>HMZ Arifin</v>
      </c>
      <c r="D388" s="2" t="str">
        <f>IFERROR(__xludf.DUMMYFUNCTION("""COMPUTED_VALUE"""),"10KM OVERALL M")</f>
        <v>10KM OVERALL M</v>
      </c>
      <c r="E388" s="1">
        <f>IFERROR(__xludf.DUMMYFUNCTION("""COMPUTED_VALUE"""),1.0)</f>
        <v>1</v>
      </c>
      <c r="F388" s="1" t="str">
        <f>IFERROR(__xludf.DUMMYFUNCTION("""COMPUTED_VALUE"""),"Male")</f>
        <v>Male</v>
      </c>
      <c r="G388" s="4" t="str">
        <f>IFERROR(__xludf.DUMMYFUNCTION("""COMPUTED_VALUE"""),"")</f>
        <v/>
      </c>
      <c r="H388" s="4" t="b">
        <f>IFERROR(__xludf.DUMMYFUNCTION("""COMPUTED_VALUE"""),TRUE)</f>
        <v>1</v>
      </c>
      <c r="I388" s="4">
        <f>IFERROR(__xludf.DUMMYFUNCTION("""COMPUTED_VALUE"""),0.24646185185185185)</f>
        <v>0.2464618519</v>
      </c>
      <c r="J388" s="4">
        <f>IFERROR(__xludf.DUMMYFUNCTION("""COMPUTED_VALUE"""),45949.267617017096)</f>
        <v>45949.26762</v>
      </c>
      <c r="K388" s="4">
        <f>IFERROR(__xludf.DUMMYFUNCTION("""COMPUTED_VALUE"""),45949.30844362068)</f>
        <v>45949.30844</v>
      </c>
      <c r="L388" s="4">
        <f>IFERROR(__xludf.DUMMYFUNCTION("""COMPUTED_VALUE"""),45949.31976579574)</f>
        <v>45949.31977</v>
      </c>
      <c r="M388" s="1" t="str">
        <f>IFERROR(__xludf.DUMMYFUNCTION("""COMPUTED_VALUE"""),"RFID")</f>
        <v>RFID</v>
      </c>
      <c r="N388" s="5">
        <f>IFERROR(__xludf.DUMMYFUNCTION("""COMPUTED_VALUE"""),0.008462064814814815)</f>
        <v>0.008462064815</v>
      </c>
      <c r="O388" s="5">
        <f>IFERROR(__xludf.DUMMYFUNCTION("""COMPUTED_VALUE"""),0.01633064351851852)</f>
        <v>0.01633064352</v>
      </c>
      <c r="P388" s="5">
        <f>IFERROR(__xludf.DUMMYFUNCTION("""COMPUTED_VALUE"""),0.004659331302587786)</f>
        <v>0.004659331303</v>
      </c>
      <c r="Q388" s="5">
        <f>IFERROR(__xludf.DUMMYFUNCTION("""COMPUTED_VALUE"""),0.007330394675925926)</f>
        <v>0.007330394676</v>
      </c>
      <c r="R388" s="4">
        <f>IFERROR(__xludf.DUMMYFUNCTION("""COMPUTED_VALUE"""),45949.07330394389)</f>
        <v>45949.0733</v>
      </c>
      <c r="S388" s="1" t="b">
        <f>IFERROR(__xludf.DUMMYFUNCTION("""COMPUTED_VALUE"""),TRUE)</f>
        <v>1</v>
      </c>
      <c r="T388" s="1" t="b">
        <f>IFERROR(__xludf.DUMMYFUNCTION("""COMPUTED_VALUE"""),FALSE)</f>
        <v>0</v>
      </c>
      <c r="U388" s="1" t="str">
        <f>IFERROR(__xludf.DUMMYFUNCTION("""COMPUTED_VALUE"""),"VALID")</f>
        <v>VALID</v>
      </c>
      <c r="V388" s="1">
        <f>IFERROR(__xludf.DUMMYFUNCTION("""COMPUTED_VALUE"""),599.0)</f>
        <v>599</v>
      </c>
      <c r="W388" s="1">
        <f>IFERROR(__xludf.DUMMYFUNCTION("""COMPUTED_VALUE"""),747.0)</f>
        <v>747</v>
      </c>
      <c r="X388" s="1">
        <f>IFERROR(__xludf.DUMMYFUNCTION("""COMPUTED_VALUE"""),1673.0)</f>
        <v>1673</v>
      </c>
      <c r="Y388" s="2"/>
      <c r="Z388" s="2"/>
    </row>
    <row r="389">
      <c r="A389" s="1">
        <f>IFERROR(__xludf.DUMMYFUNCTION("""COMPUTED_VALUE"""),388.0)</f>
        <v>388</v>
      </c>
      <c r="B389" s="1">
        <f>IFERROR(__xludf.DUMMYFUNCTION("""COMPUTED_VALUE"""),10237.0)</f>
        <v>10237</v>
      </c>
      <c r="C389" s="2" t="str">
        <f>IFERROR(__xludf.DUMMYFUNCTION("""COMPUTED_VALUE"""),"D.RIZKY")</f>
        <v>D.RIZKY</v>
      </c>
      <c r="D389" s="2" t="str">
        <f>IFERROR(__xludf.DUMMYFUNCTION("""COMPUTED_VALUE"""),"10KM OVERALL M")</f>
        <v>10KM OVERALL M</v>
      </c>
      <c r="E389" s="1">
        <f>IFERROR(__xludf.DUMMYFUNCTION("""COMPUTED_VALUE"""),1.0)</f>
        <v>1</v>
      </c>
      <c r="F389" s="1" t="str">
        <f>IFERROR(__xludf.DUMMYFUNCTION("""COMPUTED_VALUE"""),"Male")</f>
        <v>Male</v>
      </c>
      <c r="G389" s="4" t="str">
        <f>IFERROR(__xludf.DUMMYFUNCTION("""COMPUTED_VALUE"""),"")</f>
        <v/>
      </c>
      <c r="H389" s="4" t="b">
        <f>IFERROR(__xludf.DUMMYFUNCTION("""COMPUTED_VALUE"""),TRUE)</f>
        <v>1</v>
      </c>
      <c r="I389" s="4">
        <f>IFERROR(__xludf.DUMMYFUNCTION("""COMPUTED_VALUE"""),0.24646185185185185)</f>
        <v>0.2464618519</v>
      </c>
      <c r="J389" s="4">
        <f>IFERROR(__xludf.DUMMYFUNCTION("""COMPUTED_VALUE"""),45949.258366962466)</f>
        <v>45949.25837</v>
      </c>
      <c r="K389" s="4">
        <f>IFERROR(__xludf.DUMMYFUNCTION("""COMPUTED_VALUE"""),45949.28600936619)</f>
        <v>45949.28601</v>
      </c>
      <c r="L389" s="4">
        <f>IFERROR(__xludf.DUMMYFUNCTION("""COMPUTED_VALUE"""),45949.293991144164)</f>
        <v>45949.29399</v>
      </c>
      <c r="M389" s="1" t="str">
        <f>IFERROR(__xludf.DUMMYFUNCTION("""COMPUTED_VALUE"""),"RFID")</f>
        <v>RFID</v>
      </c>
      <c r="N389" s="5">
        <f>IFERROR(__xludf.DUMMYFUNCTION("""COMPUTED_VALUE"""),0.004762046296296297)</f>
        <v>0.004762046296</v>
      </c>
      <c r="O389" s="5">
        <f>IFERROR(__xludf.DUMMYFUNCTION("""COMPUTED_VALUE"""),0.011056962962962963)</f>
        <v>0.01105696296</v>
      </c>
      <c r="P389" s="5">
        <f>IFERROR(__xludf.DUMMYFUNCTION("""COMPUTED_VALUE"""),0.003284682295047544)</f>
        <v>0.003284682295</v>
      </c>
      <c r="Q389" s="5">
        <f>IFERROR(__xludf.DUMMYFUNCTION("""COMPUTED_VALUE"""),0.004752929398148148)</f>
        <v>0.004752929398</v>
      </c>
      <c r="R389" s="4">
        <f>IFERROR(__xludf.DUMMYFUNCTION("""COMPUTED_VALUE"""),45949.047529292315)</f>
        <v>45949.04753</v>
      </c>
      <c r="S389" s="1" t="b">
        <f>IFERROR(__xludf.DUMMYFUNCTION("""COMPUTED_VALUE"""),TRUE)</f>
        <v>1</v>
      </c>
      <c r="T389" s="1" t="b">
        <f>IFERROR(__xludf.DUMMYFUNCTION("""COMPUTED_VALUE"""),FALSE)</f>
        <v>0</v>
      </c>
      <c r="U389" s="1" t="str">
        <f>IFERROR(__xludf.DUMMYFUNCTION("""COMPUTED_VALUE"""),"VALID")</f>
        <v>VALID</v>
      </c>
      <c r="V389" s="1">
        <f>IFERROR(__xludf.DUMMYFUNCTION("""COMPUTED_VALUE"""),274.0)</f>
        <v>274</v>
      </c>
      <c r="W389" s="1">
        <f>IFERROR(__xludf.DUMMYFUNCTION("""COMPUTED_VALUE"""),326.0)</f>
        <v>326</v>
      </c>
      <c r="X389" s="1">
        <f>IFERROR(__xludf.DUMMYFUNCTION("""COMPUTED_VALUE"""),1286.0)</f>
        <v>1286</v>
      </c>
      <c r="Y389" s="2"/>
      <c r="Z389" s="2"/>
    </row>
    <row r="390">
      <c r="A390" s="1">
        <f>IFERROR(__xludf.DUMMYFUNCTION("""COMPUTED_VALUE"""),389.0)</f>
        <v>389</v>
      </c>
      <c r="B390" s="1">
        <f>IFERROR(__xludf.DUMMYFUNCTION("""COMPUTED_VALUE"""),10238.0)</f>
        <v>10238</v>
      </c>
      <c r="C390" s="2" t="str">
        <f>IFERROR(__xludf.DUMMYFUNCTION("""COMPUTED_VALUE"""),"M. Fairuz Furjatullah")</f>
        <v>M. Fairuz Furjatullah</v>
      </c>
      <c r="D390" s="2" t="str">
        <f>IFERROR(__xludf.DUMMYFUNCTION("""COMPUTED_VALUE"""),"10KM OVERALL M")</f>
        <v>10KM OVERALL M</v>
      </c>
      <c r="E390" s="1">
        <f>IFERROR(__xludf.DUMMYFUNCTION("""COMPUTED_VALUE"""),1.0)</f>
        <v>1</v>
      </c>
      <c r="F390" s="1" t="str">
        <f>IFERROR(__xludf.DUMMYFUNCTION("""COMPUTED_VALUE"""),"Male")</f>
        <v>Male</v>
      </c>
      <c r="G390" s="4" t="b">
        <f>IFERROR(__xludf.DUMMYFUNCTION("""COMPUTED_VALUE"""),TRUE)</f>
        <v>1</v>
      </c>
      <c r="H390" s="4" t="b">
        <f>IFERROR(__xludf.DUMMYFUNCTION("""COMPUTED_VALUE"""),TRUE)</f>
        <v>1</v>
      </c>
      <c r="I390" s="4">
        <f>IFERROR(__xludf.DUMMYFUNCTION("""COMPUTED_VALUE"""),0.24646185185185185)</f>
        <v>0.2464618519</v>
      </c>
      <c r="J390" s="4">
        <f>IFERROR(__xludf.DUMMYFUNCTION("""COMPUTED_VALUE"""),45949.25818987911)</f>
        <v>45949.25819</v>
      </c>
      <c r="K390" s="4">
        <f>IFERROR(__xludf.DUMMYFUNCTION("""COMPUTED_VALUE"""),45949.28334617822)</f>
        <v>45949.28335</v>
      </c>
      <c r="L390" s="4">
        <f>IFERROR(__xludf.DUMMYFUNCTION("""COMPUTED_VALUE"""),45949.29043211267)</f>
        <v>45949.29043</v>
      </c>
      <c r="M390" s="1" t="str">
        <f>IFERROR(__xludf.DUMMYFUNCTION("""COMPUTED_VALUE"""),"RFID")</f>
        <v>RFID</v>
      </c>
      <c r="N390" s="5">
        <f>IFERROR(__xludf.DUMMYFUNCTION("""COMPUTED_VALUE"""),0.004691212962962963)</f>
        <v>0.004691212963</v>
      </c>
      <c r="O390" s="5">
        <f>IFERROR(__xludf.DUMMYFUNCTION("""COMPUTED_VALUE"""),0.010062518518518518)</f>
        <v>0.01006251852</v>
      </c>
      <c r="P390" s="5">
        <f>IFERROR(__xludf.DUMMYFUNCTION("""COMPUTED_VALUE"""),0.002916022406870867)</f>
        <v>0.002916022407</v>
      </c>
      <c r="Q390" s="5">
        <f>IFERROR(__xludf.DUMMYFUNCTION("""COMPUTED_VALUE"""),0.00439702662037037)</f>
        <v>0.00439702662</v>
      </c>
      <c r="R390" s="4">
        <f>IFERROR(__xludf.DUMMYFUNCTION("""COMPUTED_VALUE"""),45949.04397026082)</f>
        <v>45949.04397</v>
      </c>
      <c r="S390" s="1" t="b">
        <f>IFERROR(__xludf.DUMMYFUNCTION("""COMPUTED_VALUE"""),TRUE)</f>
        <v>1</v>
      </c>
      <c r="T390" s="1" t="b">
        <f>IFERROR(__xludf.DUMMYFUNCTION("""COMPUTED_VALUE"""),FALSE)</f>
        <v>0</v>
      </c>
      <c r="U390" s="1" t="str">
        <f>IFERROR(__xludf.DUMMYFUNCTION("""COMPUTED_VALUE"""),"VALID")</f>
        <v>VALID</v>
      </c>
      <c r="V390" s="1">
        <f>IFERROR(__xludf.DUMMYFUNCTION("""COMPUTED_VALUE"""),188.0)</f>
        <v>188</v>
      </c>
      <c r="W390" s="1">
        <f>IFERROR(__xludf.DUMMYFUNCTION("""COMPUTED_VALUE"""),224.0)</f>
        <v>224</v>
      </c>
      <c r="X390" s="1">
        <f>IFERROR(__xludf.DUMMYFUNCTION("""COMPUTED_VALUE"""),1146.0)</f>
        <v>1146</v>
      </c>
      <c r="Y390" s="2"/>
      <c r="Z390" s="2"/>
    </row>
    <row r="391">
      <c r="A391" s="1">
        <f>IFERROR(__xludf.DUMMYFUNCTION("""COMPUTED_VALUE"""),390.0)</f>
        <v>390</v>
      </c>
      <c r="B391" s="1">
        <f>IFERROR(__xludf.DUMMYFUNCTION("""COMPUTED_VALUE"""),10239.0)</f>
        <v>10239</v>
      </c>
      <c r="C391" s="2" t="str">
        <f>IFERROR(__xludf.DUMMYFUNCTION("""COMPUTED_VALUE"""),"DAN")</f>
        <v>DAN</v>
      </c>
      <c r="D391" s="2" t="str">
        <f>IFERROR(__xludf.DUMMYFUNCTION("""COMPUTED_VALUE"""),"10KM OVERALL M")</f>
        <v>10KM OVERALL M</v>
      </c>
      <c r="E391" s="1">
        <f>IFERROR(__xludf.DUMMYFUNCTION("""COMPUTED_VALUE"""),1.0)</f>
        <v>1</v>
      </c>
      <c r="F391" s="1" t="str">
        <f>IFERROR(__xludf.DUMMYFUNCTION("""COMPUTED_VALUE"""),"Male")</f>
        <v>Male</v>
      </c>
      <c r="G391" s="4" t="b">
        <f>IFERROR(__xludf.DUMMYFUNCTION("""COMPUTED_VALUE"""),TRUE)</f>
        <v>1</v>
      </c>
      <c r="H391" s="4" t="b">
        <f>IFERROR(__xludf.DUMMYFUNCTION("""COMPUTED_VALUE"""),TRUE)</f>
        <v>1</v>
      </c>
      <c r="I391" s="4">
        <f>IFERROR(__xludf.DUMMYFUNCTION("""COMPUTED_VALUE"""),0.24646185185185185)</f>
        <v>0.2464618519</v>
      </c>
      <c r="J391" s="4">
        <f>IFERROR(__xludf.DUMMYFUNCTION("""COMPUTED_VALUE"""),45949.25971772934)</f>
        <v>45949.25972</v>
      </c>
      <c r="K391" s="4">
        <f>IFERROR(__xludf.DUMMYFUNCTION("""COMPUTED_VALUE"""),45949.29188810835)</f>
        <v>45949.29189</v>
      </c>
      <c r="L391" s="4">
        <f>IFERROR(__xludf.DUMMYFUNCTION("""COMPUTED_VALUE"""),45949.30079323401)</f>
        <v>45949.30079</v>
      </c>
      <c r="M391" s="1" t="str">
        <f>IFERROR(__xludf.DUMMYFUNCTION("""COMPUTED_VALUE"""),"RFID")</f>
        <v>RFID</v>
      </c>
      <c r="N391" s="5">
        <f>IFERROR(__xludf.DUMMYFUNCTION("""COMPUTED_VALUE"""),0.0053023518518518515)</f>
        <v>0.005302351852</v>
      </c>
      <c r="O391" s="5">
        <f>IFERROR(__xludf.DUMMYFUNCTION("""COMPUTED_VALUE"""),0.012868152777777777)</f>
        <v>0.01286815278</v>
      </c>
      <c r="P391" s="5">
        <f>IFERROR(__xludf.DUMMYFUNCTION("""COMPUTED_VALUE"""),0.0036646607646923664)</f>
        <v>0.003664660765</v>
      </c>
      <c r="Q391" s="5">
        <f>IFERROR(__xludf.DUMMYFUNCTION("""COMPUTED_VALUE"""),0.0054331377314814815)</f>
        <v>0.005433137731</v>
      </c>
      <c r="R391" s="4">
        <f>IFERROR(__xludf.DUMMYFUNCTION("""COMPUTED_VALUE"""),45949.05433138216)</f>
        <v>45949.05433</v>
      </c>
      <c r="S391" s="1" t="b">
        <f>IFERROR(__xludf.DUMMYFUNCTION("""COMPUTED_VALUE"""),TRUE)</f>
        <v>1</v>
      </c>
      <c r="T391" s="1" t="b">
        <f>IFERROR(__xludf.DUMMYFUNCTION("""COMPUTED_VALUE"""),FALSE)</f>
        <v>0</v>
      </c>
      <c r="U391" s="1" t="str">
        <f>IFERROR(__xludf.DUMMYFUNCTION("""COMPUTED_VALUE"""),"VALID")</f>
        <v>VALID</v>
      </c>
      <c r="V391" s="1">
        <f>IFERROR(__xludf.DUMMYFUNCTION("""COMPUTED_VALUE"""),445.0)</f>
        <v>445</v>
      </c>
      <c r="W391" s="1">
        <f>IFERROR(__xludf.DUMMYFUNCTION("""COMPUTED_VALUE"""),528.0)</f>
        <v>528</v>
      </c>
      <c r="X391" s="1">
        <f>IFERROR(__xludf.DUMMYFUNCTION("""COMPUTED_VALUE"""),1506.0)</f>
        <v>1506</v>
      </c>
      <c r="Y391" s="2"/>
      <c r="Z391" s="2"/>
    </row>
    <row r="392">
      <c r="A392" s="1">
        <f>IFERROR(__xludf.DUMMYFUNCTION("""COMPUTED_VALUE"""),391.0)</f>
        <v>391</v>
      </c>
      <c r="B392" s="1">
        <f>IFERROR(__xludf.DUMMYFUNCTION("""COMPUTED_VALUE"""),10240.0)</f>
        <v>10240</v>
      </c>
      <c r="C392" s="2" t="str">
        <f>IFERROR(__xludf.DUMMYFUNCTION("""COMPUTED_VALUE"""),"deddy rizky")</f>
        <v>deddy rizky</v>
      </c>
      <c r="D392" s="2" t="str">
        <f>IFERROR(__xludf.DUMMYFUNCTION("""COMPUTED_VALUE"""),"10KM OVERALL M")</f>
        <v>10KM OVERALL M</v>
      </c>
      <c r="E392" s="1">
        <f>IFERROR(__xludf.DUMMYFUNCTION("""COMPUTED_VALUE"""),1.0)</f>
        <v>1</v>
      </c>
      <c r="F392" s="1" t="str">
        <f>IFERROR(__xludf.DUMMYFUNCTION("""COMPUTED_VALUE"""),"Male")</f>
        <v>Male</v>
      </c>
      <c r="G392" s="4" t="b">
        <f>IFERROR(__xludf.DUMMYFUNCTION("""COMPUTED_VALUE"""),TRUE)</f>
        <v>1</v>
      </c>
      <c r="H392" s="4" t="b">
        <f>IFERROR(__xludf.DUMMYFUNCTION("""COMPUTED_VALUE"""),FALSE)</f>
        <v>0</v>
      </c>
      <c r="I392" s="4">
        <f>IFERROR(__xludf.DUMMYFUNCTION("""COMPUTED_VALUE"""),0.24646185185185185)</f>
        <v>0.2464618519</v>
      </c>
      <c r="J392" s="4">
        <f>IFERROR(__xludf.DUMMYFUNCTION("""COMPUTED_VALUE"""),45949.257113554275)</f>
        <v>45949.25711</v>
      </c>
      <c r="K392" s="4">
        <f>IFERROR(__xludf.DUMMYFUNCTION("""COMPUTED_VALUE"""),45949.29251307059)</f>
        <v>45949.29251</v>
      </c>
      <c r="L392" s="4">
        <f>IFERROR(__xludf.DUMMYFUNCTION("""COMPUTED_VALUE"""),45949.302615740744)</f>
        <v>45949.30262</v>
      </c>
      <c r="M392" s="1" t="str">
        <f>IFERROR(__xludf.DUMMYFUNCTION("""COMPUTED_VALUE"""),"RFID")</f>
        <v>RFID</v>
      </c>
      <c r="N392" s="5">
        <f>IFERROR(__xludf.DUMMYFUNCTION("""COMPUTED_VALUE"""),0.004260680555555556)</f>
        <v>0.004260680556</v>
      </c>
      <c r="O392" s="5">
        <f>IFERROR(__xludf.DUMMYFUNCTION("""COMPUTED_VALUE"""),0.014159805555555554)</f>
        <v>0.01415980556</v>
      </c>
      <c r="P392" s="5">
        <f>IFERROR(__xludf.DUMMYFUNCTION("""COMPUTED_VALUE"""),0.0041574774289153005)</f>
        <v>0.004157477429</v>
      </c>
      <c r="Q392" s="5">
        <f>IFERROR(__xludf.DUMMYFUNCTION("""COMPUTED_VALUE"""),0.0056153888888888885)</f>
        <v>0.005615388889</v>
      </c>
      <c r="R392" s="4">
        <f>IFERROR(__xludf.DUMMYFUNCTION("""COMPUTED_VALUE"""),45949.056153888894)</f>
        <v>45949.05615</v>
      </c>
      <c r="S392" s="1" t="b">
        <f>IFERROR(__xludf.DUMMYFUNCTION("""COMPUTED_VALUE"""),TRUE)</f>
        <v>1</v>
      </c>
      <c r="T392" s="1" t="b">
        <f>IFERROR(__xludf.DUMMYFUNCTION("""COMPUTED_VALUE"""),FALSE)</f>
        <v>0</v>
      </c>
      <c r="U392" s="1" t="str">
        <f>IFERROR(__xludf.DUMMYFUNCTION("""COMPUTED_VALUE"""),"VALID")</f>
        <v>VALID</v>
      </c>
      <c r="V392" s="1">
        <f>IFERROR(__xludf.DUMMYFUNCTION("""COMPUTED_VALUE"""),484.0)</f>
        <v>484</v>
      </c>
      <c r="W392" s="1">
        <f>IFERROR(__xludf.DUMMYFUNCTION("""COMPUTED_VALUE"""),579.0)</f>
        <v>579</v>
      </c>
      <c r="X392" s="1">
        <f>IFERROR(__xludf.DUMMYFUNCTION("""COMPUTED_VALUE"""),1551.0)</f>
        <v>1551</v>
      </c>
      <c r="Y392" s="2"/>
      <c r="Z392" s="2"/>
    </row>
    <row r="393">
      <c r="A393" s="1">
        <f>IFERROR(__xludf.DUMMYFUNCTION("""COMPUTED_VALUE"""),392.0)</f>
        <v>392</v>
      </c>
      <c r="B393" s="1">
        <f>IFERROR(__xludf.DUMMYFUNCTION("""COMPUTED_VALUE"""),10241.0)</f>
        <v>10241</v>
      </c>
      <c r="C393" s="2" t="str">
        <f>IFERROR(__xludf.DUMMYFUNCTION("""COMPUTED_VALUE"""),"NDN")</f>
        <v>NDN</v>
      </c>
      <c r="D393" s="2" t="str">
        <f>IFERROR(__xludf.DUMMYFUNCTION("""COMPUTED_VALUE"""),"10KM OVERALL M")</f>
        <v>10KM OVERALL M</v>
      </c>
      <c r="E393" s="1">
        <f>IFERROR(__xludf.DUMMYFUNCTION("""COMPUTED_VALUE"""),1.0)</f>
        <v>1</v>
      </c>
      <c r="F393" s="1" t="str">
        <f>IFERROR(__xludf.DUMMYFUNCTION("""COMPUTED_VALUE"""),"Male")</f>
        <v>Male</v>
      </c>
      <c r="G393" s="4" t="b">
        <f>IFERROR(__xludf.DUMMYFUNCTION("""COMPUTED_VALUE"""),TRUE)</f>
        <v>1</v>
      </c>
      <c r="H393" s="4" t="b">
        <f>IFERROR(__xludf.DUMMYFUNCTION("""COMPUTED_VALUE"""),TRUE)</f>
        <v>1</v>
      </c>
      <c r="I393" s="4">
        <f>IFERROR(__xludf.DUMMYFUNCTION("""COMPUTED_VALUE"""),0.24646185185185185)</f>
        <v>0.2464618519</v>
      </c>
      <c r="J393" s="4">
        <f>IFERROR(__xludf.DUMMYFUNCTION("""COMPUTED_VALUE"""),45949.26056141021)</f>
        <v>45949.26056</v>
      </c>
      <c r="K393" s="4">
        <f>IFERROR(__xludf.DUMMYFUNCTION("""COMPUTED_VALUE"""),45949.29308940437)</f>
        <v>45949.29309</v>
      </c>
      <c r="L393" s="4">
        <f>IFERROR(__xludf.DUMMYFUNCTION("""COMPUTED_VALUE"""),45949.30187372629)</f>
        <v>45949.30187</v>
      </c>
      <c r="M393" s="1" t="str">
        <f>IFERROR(__xludf.DUMMYFUNCTION("""COMPUTED_VALUE"""),"RFID")</f>
        <v>RFID</v>
      </c>
      <c r="N393" s="5">
        <f>IFERROR(__xludf.DUMMYFUNCTION("""COMPUTED_VALUE"""),0.005639824074074074)</f>
        <v>0.005639824074</v>
      </c>
      <c r="O393" s="5">
        <f>IFERROR(__xludf.DUMMYFUNCTION("""COMPUTED_VALUE"""),0.013011199074074073)</f>
        <v>0.01301119907</v>
      </c>
      <c r="P393" s="5">
        <f>IFERROR(__xludf.DUMMYFUNCTION("""COMPUTED_VALUE"""),0.0036149472932411747)</f>
        <v>0.003614947293</v>
      </c>
      <c r="Q393" s="5">
        <f>IFERROR(__xludf.DUMMYFUNCTION("""COMPUTED_VALUE"""),0.0055411875)</f>
        <v>0.0055411875</v>
      </c>
      <c r="R393" s="4">
        <f>IFERROR(__xludf.DUMMYFUNCTION("""COMPUTED_VALUE"""),45949.05541187444)</f>
        <v>45949.05541</v>
      </c>
      <c r="S393" s="1" t="b">
        <f>IFERROR(__xludf.DUMMYFUNCTION("""COMPUTED_VALUE"""),TRUE)</f>
        <v>1</v>
      </c>
      <c r="T393" s="1" t="b">
        <f>IFERROR(__xludf.DUMMYFUNCTION("""COMPUTED_VALUE"""),FALSE)</f>
        <v>0</v>
      </c>
      <c r="U393" s="1" t="str">
        <f>IFERROR(__xludf.DUMMYFUNCTION("""COMPUTED_VALUE"""),"VALID")</f>
        <v>VALID</v>
      </c>
      <c r="V393" s="1">
        <f>IFERROR(__xludf.DUMMYFUNCTION("""COMPUTED_VALUE"""),467.0)</f>
        <v>467</v>
      </c>
      <c r="W393" s="1">
        <f>IFERROR(__xludf.DUMMYFUNCTION("""COMPUTED_VALUE"""),560.0)</f>
        <v>560</v>
      </c>
      <c r="X393" s="1">
        <f>IFERROR(__xludf.DUMMYFUNCTION("""COMPUTED_VALUE"""),1533.0)</f>
        <v>1533</v>
      </c>
      <c r="Y393" s="2"/>
      <c r="Z393" s="2"/>
    </row>
    <row r="394">
      <c r="A394" s="1">
        <f>IFERROR(__xludf.DUMMYFUNCTION("""COMPUTED_VALUE"""),393.0)</f>
        <v>393</v>
      </c>
      <c r="B394" s="1">
        <f>IFERROR(__xludf.DUMMYFUNCTION("""COMPUTED_VALUE"""),10242.0)</f>
        <v>10242</v>
      </c>
      <c r="C394" s="2" t="str">
        <f>IFERROR(__xludf.DUMMYFUNCTION("""COMPUTED_VALUE"""),"Mika")</f>
        <v>Mika</v>
      </c>
      <c r="D394" s="2" t="str">
        <f>IFERROR(__xludf.DUMMYFUNCTION("""COMPUTED_VALUE"""),"10KM OVERALL M")</f>
        <v>10KM OVERALL M</v>
      </c>
      <c r="E394" s="1">
        <f>IFERROR(__xludf.DUMMYFUNCTION("""COMPUTED_VALUE"""),1.0)</f>
        <v>1</v>
      </c>
      <c r="F394" s="1" t="str">
        <f>IFERROR(__xludf.DUMMYFUNCTION("""COMPUTED_VALUE"""),"Male")</f>
        <v>Male</v>
      </c>
      <c r="G394" s="4" t="b">
        <f>IFERROR(__xludf.DUMMYFUNCTION("""COMPUTED_VALUE"""),TRUE)</f>
        <v>1</v>
      </c>
      <c r="H394" s="4" t="b">
        <f>IFERROR(__xludf.DUMMYFUNCTION("""COMPUTED_VALUE"""),TRUE)</f>
        <v>1</v>
      </c>
      <c r="I394" s="4">
        <f>IFERROR(__xludf.DUMMYFUNCTION("""COMPUTED_VALUE"""),0.24646185185185185)</f>
        <v>0.2464618519</v>
      </c>
      <c r="J394" s="4">
        <f>IFERROR(__xludf.DUMMYFUNCTION("""COMPUTED_VALUE"""),45949.25579752129)</f>
        <v>45949.2558</v>
      </c>
      <c r="K394" s="4">
        <f>IFERROR(__xludf.DUMMYFUNCTION("""COMPUTED_VALUE"""),45949.27779912855)</f>
        <v>45949.2778</v>
      </c>
      <c r="L394" s="4">
        <f>IFERROR(__xludf.DUMMYFUNCTION("""COMPUTED_VALUE"""),45949.284251565725)</f>
        <v>45949.28425</v>
      </c>
      <c r="M394" s="1" t="str">
        <f>IFERROR(__xludf.DUMMYFUNCTION("""COMPUTED_VALUE"""),"RFID")</f>
        <v>RFID</v>
      </c>
      <c r="N394" s="5">
        <f>IFERROR(__xludf.DUMMYFUNCTION("""COMPUTED_VALUE"""),0.0037342685185185187)</f>
        <v>0.003734268519</v>
      </c>
      <c r="O394" s="5">
        <f>IFERROR(__xludf.DUMMYFUNCTION("""COMPUTED_VALUE"""),0.00880064351851852)</f>
        <v>0.008800643519</v>
      </c>
      <c r="P394" s="5">
        <f>IFERROR(__xludf.DUMMYFUNCTION("""COMPUTED_VALUE"""),0.0026553239412998603)</f>
        <v>0.002655323941</v>
      </c>
      <c r="Q394" s="5">
        <f>IFERROR(__xludf.DUMMYFUNCTION("""COMPUTED_VALUE"""),0.003778971064814815)</f>
        <v>0.003778971065</v>
      </c>
      <c r="R394" s="4">
        <f>IFERROR(__xludf.DUMMYFUNCTION("""COMPUTED_VALUE"""),45949.037789713875)</f>
        <v>45949.03779</v>
      </c>
      <c r="S394" s="1" t="b">
        <f>IFERROR(__xludf.DUMMYFUNCTION("""COMPUTED_VALUE"""),TRUE)</f>
        <v>1</v>
      </c>
      <c r="T394" s="1" t="b">
        <f>IFERROR(__xludf.DUMMYFUNCTION("""COMPUTED_VALUE"""),FALSE)</f>
        <v>0</v>
      </c>
      <c r="U394" s="1" t="str">
        <f>IFERROR(__xludf.DUMMYFUNCTION("""COMPUTED_VALUE"""),"VALID")</f>
        <v>VALID</v>
      </c>
      <c r="V394" s="1">
        <f>IFERROR(__xludf.DUMMYFUNCTION("""COMPUTED_VALUE"""),67.0)</f>
        <v>67</v>
      </c>
      <c r="W394" s="1">
        <f>IFERROR(__xludf.DUMMYFUNCTION("""COMPUTED_VALUE"""),80.0)</f>
        <v>80</v>
      </c>
      <c r="X394" s="1">
        <f>IFERROR(__xludf.DUMMYFUNCTION("""COMPUTED_VALUE"""),864.0)</f>
        <v>864</v>
      </c>
      <c r="Y394" s="2"/>
      <c r="Z394" s="2"/>
    </row>
    <row r="395">
      <c r="A395" s="1">
        <f>IFERROR(__xludf.DUMMYFUNCTION("""COMPUTED_VALUE"""),394.0)</f>
        <v>394</v>
      </c>
      <c r="B395" s="1">
        <f>IFERROR(__xludf.DUMMYFUNCTION("""COMPUTED_VALUE"""),10244.0)</f>
        <v>10244</v>
      </c>
      <c r="C395" s="2" t="str">
        <f>IFERROR(__xludf.DUMMYFUNCTION("""COMPUTED_VALUE"""),"YUSRIL")</f>
        <v>YUSRIL</v>
      </c>
      <c r="D395" s="2" t="str">
        <f>IFERROR(__xludf.DUMMYFUNCTION("""COMPUTED_VALUE"""),"10KM OVERALL M")</f>
        <v>10KM OVERALL M</v>
      </c>
      <c r="E395" s="1">
        <f>IFERROR(__xludf.DUMMYFUNCTION("""COMPUTED_VALUE"""),1.0)</f>
        <v>1</v>
      </c>
      <c r="F395" s="1" t="str">
        <f>IFERROR(__xludf.DUMMYFUNCTION("""COMPUTED_VALUE"""),"Male")</f>
        <v>Male</v>
      </c>
      <c r="G395" s="4" t="b">
        <f>IFERROR(__xludf.DUMMYFUNCTION("""COMPUTED_VALUE"""),TRUE)</f>
        <v>1</v>
      </c>
      <c r="H395" s="4" t="b">
        <f>IFERROR(__xludf.DUMMYFUNCTION("""COMPUTED_VALUE"""),TRUE)</f>
        <v>1</v>
      </c>
      <c r="I395" s="4">
        <f>IFERROR(__xludf.DUMMYFUNCTION("""COMPUTED_VALUE"""),0.24646185185185185)</f>
        <v>0.2464618519</v>
      </c>
      <c r="J395" s="4">
        <f>IFERROR(__xludf.DUMMYFUNCTION("""COMPUTED_VALUE"""),45949.25956488341)</f>
        <v>45949.25956</v>
      </c>
      <c r="K395" s="4">
        <f>IFERROR(__xludf.DUMMYFUNCTION("""COMPUTED_VALUE"""),45949.291575557705)</f>
        <v>45949.29158</v>
      </c>
      <c r="L395" s="4">
        <f>IFERROR(__xludf.DUMMYFUNCTION("""COMPUTED_VALUE"""),45949.30055712811)</f>
        <v>45949.30056</v>
      </c>
      <c r="M395" s="1" t="str">
        <f>IFERROR(__xludf.DUMMYFUNCTION("""COMPUTED_VALUE"""),"RFID")</f>
        <v>RFID</v>
      </c>
      <c r="N395" s="5">
        <f>IFERROR(__xludf.DUMMYFUNCTION("""COMPUTED_VALUE"""),0.005241212962962963)</f>
        <v>0.005241212963</v>
      </c>
      <c r="O395" s="5">
        <f>IFERROR(__xludf.DUMMYFUNCTION("""COMPUTED_VALUE"""),0.012804268518518519)</f>
        <v>0.01280426852</v>
      </c>
      <c r="P395" s="5">
        <f>IFERROR(__xludf.DUMMYFUNCTION("""COMPUTED_VALUE"""),0.003696119508235581)</f>
        <v>0.003696119508</v>
      </c>
      <c r="Q395" s="5">
        <f>IFERROR(__xludf.DUMMYFUNCTION("""COMPUTED_VALUE"""),0.005409527777777779)</f>
        <v>0.005409527778</v>
      </c>
      <c r="R395" s="4">
        <f>IFERROR(__xludf.DUMMYFUNCTION("""COMPUTED_VALUE"""),45949.05409527626)</f>
        <v>45949.0541</v>
      </c>
      <c r="S395" s="1" t="b">
        <f>IFERROR(__xludf.DUMMYFUNCTION("""COMPUTED_VALUE"""),TRUE)</f>
        <v>1</v>
      </c>
      <c r="T395" s="1" t="b">
        <f>IFERROR(__xludf.DUMMYFUNCTION("""COMPUTED_VALUE"""),FALSE)</f>
        <v>0</v>
      </c>
      <c r="U395" s="1" t="str">
        <f>IFERROR(__xludf.DUMMYFUNCTION("""COMPUTED_VALUE"""),"VALID")</f>
        <v>VALID</v>
      </c>
      <c r="V395" s="1">
        <f>IFERROR(__xludf.DUMMYFUNCTION("""COMPUTED_VALUE"""),427.0)</f>
        <v>427</v>
      </c>
      <c r="W395" s="1">
        <f>IFERROR(__xludf.DUMMYFUNCTION("""COMPUTED_VALUE"""),509.0)</f>
        <v>509</v>
      </c>
      <c r="X395" s="1">
        <f>IFERROR(__xludf.DUMMYFUNCTION("""COMPUTED_VALUE"""),1487.0)</f>
        <v>1487</v>
      </c>
      <c r="Y395" s="2"/>
      <c r="Z395" s="2"/>
    </row>
    <row r="396">
      <c r="A396" s="1">
        <f>IFERROR(__xludf.DUMMYFUNCTION("""COMPUTED_VALUE"""),395.0)</f>
        <v>395</v>
      </c>
      <c r="B396" s="1">
        <f>IFERROR(__xludf.DUMMYFUNCTION("""COMPUTED_VALUE"""),10245.0)</f>
        <v>10245</v>
      </c>
      <c r="C396" s="2" t="str">
        <f>IFERROR(__xludf.DUMMYFUNCTION("""COMPUTED_VALUE"""),"AMI")</f>
        <v>AMI</v>
      </c>
      <c r="D396" s="2" t="str">
        <f>IFERROR(__xludf.DUMMYFUNCTION("""COMPUTED_VALUE"""),"10KM OVERALL M")</f>
        <v>10KM OVERALL M</v>
      </c>
      <c r="E396" s="1">
        <f>IFERROR(__xludf.DUMMYFUNCTION("""COMPUTED_VALUE"""),1.0)</f>
        <v>1</v>
      </c>
      <c r="F396" s="1" t="str">
        <f>IFERROR(__xludf.DUMMYFUNCTION("""COMPUTED_VALUE"""),"Male")</f>
        <v>Male</v>
      </c>
      <c r="G396" s="4" t="str">
        <f>IFERROR(__xludf.DUMMYFUNCTION("""COMPUTED_VALUE"""),"")</f>
        <v/>
      </c>
      <c r="H396" s="4" t="b">
        <f>IFERROR(__xludf.DUMMYFUNCTION("""COMPUTED_VALUE"""),FALSE)</f>
        <v>0</v>
      </c>
      <c r="I396" s="4">
        <f>IFERROR(__xludf.DUMMYFUNCTION("""COMPUTED_VALUE"""),0.24646185185185185)</f>
        <v>0.2464618519</v>
      </c>
      <c r="J396" s="4" t="str">
        <f>IFERROR(__xludf.DUMMYFUNCTION("""COMPUTED_VALUE"""),"")</f>
        <v/>
      </c>
      <c r="K396" s="4" t="str">
        <f>IFERROR(__xludf.DUMMYFUNCTION("""COMPUTED_VALUE"""),"")</f>
        <v/>
      </c>
      <c r="L396" s="4" t="str">
        <f>IFERROR(__xludf.DUMMYFUNCTION("""COMPUTED_VALUE"""),"")</f>
        <v/>
      </c>
      <c r="M396" s="1" t="str">
        <f>IFERROR(__xludf.DUMMYFUNCTION("""COMPUTED_VALUE"""),"RFID")</f>
        <v>RFID</v>
      </c>
      <c r="N396" s="5" t="str">
        <f>IFERROR(__xludf.DUMMYFUNCTION("""COMPUTED_VALUE"""),"")</f>
        <v/>
      </c>
      <c r="O396" s="5" t="str">
        <f>IFERROR(__xludf.DUMMYFUNCTION("""COMPUTED_VALUE"""),"")</f>
        <v/>
      </c>
      <c r="P396" s="5" t="str">
        <f>IFERROR(__xludf.DUMMYFUNCTION("""COMPUTED_VALUE"""),"")</f>
        <v/>
      </c>
      <c r="Q396" s="5" t="str">
        <f>IFERROR(__xludf.DUMMYFUNCTION("""COMPUTED_VALUE"""),"")</f>
        <v/>
      </c>
      <c r="R396" s="4" t="str">
        <f>IFERROR(__xludf.DUMMYFUNCTION("""COMPUTED_VALUE"""),"")</f>
        <v/>
      </c>
      <c r="S396" s="1" t="b">
        <f>IFERROR(__xludf.DUMMYFUNCTION("""COMPUTED_VALUE"""),FALSE)</f>
        <v>0</v>
      </c>
      <c r="T396" s="1" t="b">
        <f>IFERROR(__xludf.DUMMYFUNCTION("""COMPUTED_VALUE"""),FALSE)</f>
        <v>0</v>
      </c>
      <c r="U396" s="1" t="str">
        <f>IFERROR(__xludf.DUMMYFUNCTION("""COMPUTED_VALUE"""),"DSQ")</f>
        <v>DSQ</v>
      </c>
      <c r="V396" s="1" t="str">
        <f>IFERROR(__xludf.DUMMYFUNCTION("""COMPUTED_VALUE"""),"DSQ")</f>
        <v>DSQ</v>
      </c>
      <c r="W396" s="1" t="str">
        <f>IFERROR(__xludf.DUMMYFUNCTION("""COMPUTED_VALUE"""),"DSQ")</f>
        <v>DSQ</v>
      </c>
      <c r="X396" s="1" t="str">
        <f>IFERROR(__xludf.DUMMYFUNCTION("""COMPUTED_VALUE"""),"DSQ")</f>
        <v>DSQ</v>
      </c>
      <c r="Y396" s="2"/>
      <c r="Z396" s="2" t="str">
        <f>IFERROR(__xludf.DUMMYFUNCTION("""COMPUTED_VALUE"""),"")</f>
        <v/>
      </c>
    </row>
    <row r="397">
      <c r="A397" s="1">
        <f>IFERROR(__xludf.DUMMYFUNCTION("""COMPUTED_VALUE"""),396.0)</f>
        <v>396</v>
      </c>
      <c r="B397" s="1">
        <f>IFERROR(__xludf.DUMMYFUNCTION("""COMPUTED_VALUE"""),10246.0)</f>
        <v>10246</v>
      </c>
      <c r="C397" s="2" t="str">
        <f>IFERROR(__xludf.DUMMYFUNCTION("""COMPUTED_VALUE"""),"Dewa junior")</f>
        <v>Dewa junior</v>
      </c>
      <c r="D397" s="2" t="str">
        <f>IFERROR(__xludf.DUMMYFUNCTION("""COMPUTED_VALUE"""),"10KM OVERALL M")</f>
        <v>10KM OVERALL M</v>
      </c>
      <c r="E397" s="1">
        <f>IFERROR(__xludf.DUMMYFUNCTION("""COMPUTED_VALUE"""),1.0)</f>
        <v>1</v>
      </c>
      <c r="F397" s="1" t="str">
        <f>IFERROR(__xludf.DUMMYFUNCTION("""COMPUTED_VALUE"""),"Male")</f>
        <v>Male</v>
      </c>
      <c r="G397" s="4" t="b">
        <f>IFERROR(__xludf.DUMMYFUNCTION("""COMPUTED_VALUE"""),TRUE)</f>
        <v>1</v>
      </c>
      <c r="H397" s="4" t="b">
        <f>IFERROR(__xludf.DUMMYFUNCTION("""COMPUTED_VALUE"""),FALSE)</f>
        <v>0</v>
      </c>
      <c r="I397" s="4">
        <f>IFERROR(__xludf.DUMMYFUNCTION("""COMPUTED_VALUE"""),0.24646185185185185)</f>
        <v>0.2464618519</v>
      </c>
      <c r="J397" s="4">
        <f>IFERROR(__xludf.DUMMYFUNCTION("""COMPUTED_VALUE"""),45949.25366560269)</f>
        <v>45949.25367</v>
      </c>
      <c r="K397" s="4">
        <f>IFERROR(__xludf.DUMMYFUNCTION("""COMPUTED_VALUE"""),45949.27391024997)</f>
        <v>45949.27391</v>
      </c>
      <c r="L397" s="4">
        <f>IFERROR(__xludf.DUMMYFUNCTION("""COMPUTED_VALUE"""),45949.27983490083)</f>
        <v>45949.27983</v>
      </c>
      <c r="M397" s="1" t="str">
        <f>IFERROR(__xludf.DUMMYFUNCTION("""COMPUTED_VALUE"""),"RFID")</f>
        <v>RFID</v>
      </c>
      <c r="N397" s="5">
        <f>IFERROR(__xludf.DUMMYFUNCTION("""COMPUTED_VALUE"""),0.0028815)</f>
        <v>0.0028815</v>
      </c>
      <c r="O397" s="5">
        <f>IFERROR(__xludf.DUMMYFUNCTION("""COMPUTED_VALUE"""),0.008097861111111111)</f>
        <v>0.008097861111</v>
      </c>
      <c r="P397" s="5">
        <f>IFERROR(__xludf.DUMMYFUNCTION("""COMPUTED_VALUE"""),0.002438127926269109)</f>
        <v>0.002438127926</v>
      </c>
      <c r="Q397" s="5">
        <f>IFERROR(__xludf.DUMMYFUNCTION("""COMPUTED_VALUE"""),0.0033373043981481483)</f>
        <v>0.003337304398</v>
      </c>
      <c r="R397" s="4">
        <f>IFERROR(__xludf.DUMMYFUNCTION("""COMPUTED_VALUE"""),45949.03337304898)</f>
        <v>45949.03337</v>
      </c>
      <c r="S397" s="1" t="b">
        <f>IFERROR(__xludf.DUMMYFUNCTION("""COMPUTED_VALUE"""),TRUE)</f>
        <v>1</v>
      </c>
      <c r="T397" s="1" t="b">
        <f>IFERROR(__xludf.DUMMYFUNCTION("""COMPUTED_VALUE"""),FALSE)</f>
        <v>0</v>
      </c>
      <c r="U397" s="1" t="str">
        <f>IFERROR(__xludf.DUMMYFUNCTION("""COMPUTED_VALUE"""),"VALID")</f>
        <v>VALID</v>
      </c>
      <c r="V397" s="1">
        <f>IFERROR(__xludf.DUMMYFUNCTION("""COMPUTED_VALUE"""),21.0)</f>
        <v>21</v>
      </c>
      <c r="W397" s="1">
        <f>IFERROR(__xludf.DUMMYFUNCTION("""COMPUTED_VALUE"""),29.0)</f>
        <v>29</v>
      </c>
      <c r="X397" s="1">
        <f>IFERROR(__xludf.DUMMYFUNCTION("""COMPUTED_VALUE"""),660.0)</f>
        <v>660</v>
      </c>
      <c r="Y397" s="2"/>
      <c r="Z397" s="2"/>
    </row>
    <row r="398">
      <c r="A398" s="1">
        <f>IFERROR(__xludf.DUMMYFUNCTION("""COMPUTED_VALUE"""),397.0)</f>
        <v>397</v>
      </c>
      <c r="B398" s="1">
        <f>IFERROR(__xludf.DUMMYFUNCTION("""COMPUTED_VALUE"""),10247.0)</f>
        <v>10247</v>
      </c>
      <c r="C398" s="2" t="str">
        <f>IFERROR(__xludf.DUMMYFUNCTION("""COMPUTED_VALUE"""),"Fizai")</f>
        <v>Fizai</v>
      </c>
      <c r="D398" s="2" t="str">
        <f>IFERROR(__xludf.DUMMYFUNCTION("""COMPUTED_VALUE"""),"10KM OVERALL M")</f>
        <v>10KM OVERALL M</v>
      </c>
      <c r="E398" s="1">
        <f>IFERROR(__xludf.DUMMYFUNCTION("""COMPUTED_VALUE"""),1.0)</f>
        <v>1</v>
      </c>
      <c r="F398" s="1" t="str">
        <f>IFERROR(__xludf.DUMMYFUNCTION("""COMPUTED_VALUE"""),"Male")</f>
        <v>Male</v>
      </c>
      <c r="G398" s="4" t="str">
        <f>IFERROR(__xludf.DUMMYFUNCTION("""COMPUTED_VALUE"""),"")</f>
        <v/>
      </c>
      <c r="H398" s="4" t="b">
        <f>IFERROR(__xludf.DUMMYFUNCTION("""COMPUTED_VALUE"""),FALSE)</f>
        <v>0</v>
      </c>
      <c r="I398" s="4">
        <f>IFERROR(__xludf.DUMMYFUNCTION("""COMPUTED_VALUE"""),0.24646185185185185)</f>
        <v>0.2464618519</v>
      </c>
      <c r="J398" s="4">
        <f>IFERROR(__xludf.DUMMYFUNCTION("""COMPUTED_VALUE"""),45949.28590869137)</f>
        <v>45949.28591</v>
      </c>
      <c r="K398" s="4">
        <f>IFERROR(__xludf.DUMMYFUNCTION("""COMPUTED_VALUE"""),45949.2896412037)</f>
        <v>45949.28964</v>
      </c>
      <c r="L398" s="4">
        <f>IFERROR(__xludf.DUMMYFUNCTION("""COMPUTED_VALUE"""),45949.307136978976)</f>
        <v>45949.30714</v>
      </c>
      <c r="M398" s="1" t="str">
        <f>IFERROR(__xludf.DUMMYFUNCTION("""COMPUTED_VALUE"""),"RFID")</f>
        <v>RFID</v>
      </c>
      <c r="N398" s="5">
        <f>IFERROR(__xludf.DUMMYFUNCTION("""COMPUTED_VALUE"""),0.01577873611111111)</f>
        <v>0.01577873611</v>
      </c>
      <c r="O398" s="5">
        <f>IFERROR(__xludf.DUMMYFUNCTION("""COMPUTED_VALUE"""),0.0014930046296296295)</f>
        <v>0.00149300463</v>
      </c>
      <c r="P398" s="5">
        <f>IFERROR(__xludf.DUMMYFUNCTION("""COMPUTED_VALUE"""),0.007199907520644121)</f>
        <v>0.007199907521</v>
      </c>
      <c r="Q398" s="5">
        <f>IFERROR(__xludf.DUMMYFUNCTION("""COMPUTED_VALUE"""),0.006067512731481482)</f>
        <v>0.006067512731</v>
      </c>
      <c r="R398" s="4">
        <f>IFERROR(__xludf.DUMMYFUNCTION("""COMPUTED_VALUE"""),45949.060675127126)</f>
        <v>45949.06068</v>
      </c>
      <c r="S398" s="1" t="b">
        <f>IFERROR(__xludf.DUMMYFUNCTION("""COMPUTED_VALUE"""),TRUE)</f>
        <v>1</v>
      </c>
      <c r="T398" s="1" t="b">
        <f>IFERROR(__xludf.DUMMYFUNCTION("""COMPUTED_VALUE"""),FALSE)</f>
        <v>0</v>
      </c>
      <c r="U398" s="1" t="str">
        <f>IFERROR(__xludf.DUMMYFUNCTION("""COMPUTED_VALUE"""),"VALID")</f>
        <v>VALID</v>
      </c>
      <c r="V398" s="1">
        <f>IFERROR(__xludf.DUMMYFUNCTION("""COMPUTED_VALUE"""),536.0)</f>
        <v>536</v>
      </c>
      <c r="W398" s="1">
        <f>IFERROR(__xludf.DUMMYFUNCTION("""COMPUTED_VALUE"""),660.0)</f>
        <v>660</v>
      </c>
      <c r="X398" s="1">
        <f>IFERROR(__xludf.DUMMYFUNCTION("""COMPUTED_VALUE"""),1611.0)</f>
        <v>1611</v>
      </c>
      <c r="Y398" s="2"/>
      <c r="Z398" s="2"/>
    </row>
    <row r="399">
      <c r="A399" s="1">
        <f>IFERROR(__xludf.DUMMYFUNCTION("""COMPUTED_VALUE"""),398.0)</f>
        <v>398</v>
      </c>
      <c r="B399" s="1">
        <f>IFERROR(__xludf.DUMMYFUNCTION("""COMPUTED_VALUE"""),10248.0)</f>
        <v>10248</v>
      </c>
      <c r="C399" s="2" t="str">
        <f>IFERROR(__xludf.DUMMYFUNCTION("""COMPUTED_VALUE"""),"Afrizal")</f>
        <v>Afrizal</v>
      </c>
      <c r="D399" s="2" t="str">
        <f>IFERROR(__xludf.DUMMYFUNCTION("""COMPUTED_VALUE"""),"10KM OVERALL M")</f>
        <v>10KM OVERALL M</v>
      </c>
      <c r="E399" s="1">
        <f>IFERROR(__xludf.DUMMYFUNCTION("""COMPUTED_VALUE"""),1.0)</f>
        <v>1</v>
      </c>
      <c r="F399" s="1" t="str">
        <f>IFERROR(__xludf.DUMMYFUNCTION("""COMPUTED_VALUE"""),"Male")</f>
        <v>Male</v>
      </c>
      <c r="G399" s="4" t="b">
        <f>IFERROR(__xludf.DUMMYFUNCTION("""COMPUTED_VALUE"""),TRUE)</f>
        <v>1</v>
      </c>
      <c r="H399" s="4" t="b">
        <f>IFERROR(__xludf.DUMMYFUNCTION("""COMPUTED_VALUE"""),TRUE)</f>
        <v>1</v>
      </c>
      <c r="I399" s="4">
        <f>IFERROR(__xludf.DUMMYFUNCTION("""COMPUTED_VALUE"""),0.24646185185185185)</f>
        <v>0.2464618519</v>
      </c>
      <c r="J399" s="4">
        <f>IFERROR(__xludf.DUMMYFUNCTION("""COMPUTED_VALUE"""),45949.25759266866)</f>
        <v>45949.25759</v>
      </c>
      <c r="K399" s="4">
        <f>IFERROR(__xludf.DUMMYFUNCTION("""COMPUTED_VALUE"""),45949.286363547806)</f>
        <v>45949.28636</v>
      </c>
      <c r="L399" s="4">
        <f>IFERROR(__xludf.DUMMYFUNCTION("""COMPUTED_VALUE"""),45949.2954182244)</f>
        <v>45949.29542</v>
      </c>
      <c r="M399" s="1" t="str">
        <f>IFERROR(__xludf.DUMMYFUNCTION("""COMPUTED_VALUE"""),"RFID")</f>
        <v>RFID</v>
      </c>
      <c r="N399" s="5">
        <f>IFERROR(__xludf.DUMMYFUNCTION("""COMPUTED_VALUE"""),0.004452328703703703)</f>
        <v>0.004452328704</v>
      </c>
      <c r="O399" s="5">
        <f>IFERROR(__xludf.DUMMYFUNCTION("""COMPUTED_VALUE"""),0.011508351851851853)</f>
        <v>0.01150835185</v>
      </c>
      <c r="P399" s="5">
        <f>IFERROR(__xludf.DUMMYFUNCTION("""COMPUTED_VALUE"""),0.0037262043593510783)</f>
        <v>0.003726204359</v>
      </c>
      <c r="Q399" s="5">
        <f>IFERROR(__xludf.DUMMYFUNCTION("""COMPUTED_VALUE"""),0.004895637731481482)</f>
        <v>0.004895637731</v>
      </c>
      <c r="R399" s="4">
        <f>IFERROR(__xludf.DUMMYFUNCTION("""COMPUTED_VALUE"""),45949.04895637255)</f>
        <v>45949.04896</v>
      </c>
      <c r="S399" s="1" t="b">
        <f>IFERROR(__xludf.DUMMYFUNCTION("""COMPUTED_VALUE"""),TRUE)</f>
        <v>1</v>
      </c>
      <c r="T399" s="1" t="b">
        <f>IFERROR(__xludf.DUMMYFUNCTION("""COMPUTED_VALUE"""),FALSE)</f>
        <v>0</v>
      </c>
      <c r="U399" s="1" t="str">
        <f>IFERROR(__xludf.DUMMYFUNCTION("""COMPUTED_VALUE"""),"VALID")</f>
        <v>VALID</v>
      </c>
      <c r="V399" s="1">
        <f>IFERROR(__xludf.DUMMYFUNCTION("""COMPUTED_VALUE"""),311.0)</f>
        <v>311</v>
      </c>
      <c r="W399" s="1">
        <f>IFERROR(__xludf.DUMMYFUNCTION("""COMPUTED_VALUE"""),367.0)</f>
        <v>367</v>
      </c>
      <c r="X399" s="1">
        <f>IFERROR(__xludf.DUMMYFUNCTION("""COMPUTED_VALUE"""),1340.0)</f>
        <v>1340</v>
      </c>
      <c r="Y399" s="2"/>
      <c r="Z399" s="2"/>
    </row>
    <row r="400">
      <c r="A400" s="1">
        <f>IFERROR(__xludf.DUMMYFUNCTION("""COMPUTED_VALUE"""),399.0)</f>
        <v>399</v>
      </c>
      <c r="B400" s="1">
        <f>IFERROR(__xludf.DUMMYFUNCTION("""COMPUTED_VALUE"""),10249.0)</f>
        <v>10249</v>
      </c>
      <c r="C400" s="2" t="str">
        <f>IFERROR(__xludf.DUMMYFUNCTION("""COMPUTED_VALUE"""),"DEDY")</f>
        <v>DEDY</v>
      </c>
      <c r="D400" s="2" t="str">
        <f>IFERROR(__xludf.DUMMYFUNCTION("""COMPUTED_VALUE"""),"10KM OVERALL M")</f>
        <v>10KM OVERALL M</v>
      </c>
      <c r="E400" s="1">
        <f>IFERROR(__xludf.DUMMYFUNCTION("""COMPUTED_VALUE"""),1.0)</f>
        <v>1</v>
      </c>
      <c r="F400" s="1" t="str">
        <f>IFERROR(__xludf.DUMMYFUNCTION("""COMPUTED_VALUE"""),"Male")</f>
        <v>Male</v>
      </c>
      <c r="G400" s="4" t="str">
        <f>IFERROR(__xludf.DUMMYFUNCTION("""COMPUTED_VALUE"""),"")</f>
        <v/>
      </c>
      <c r="H400" s="4" t="b">
        <f>IFERROR(__xludf.DUMMYFUNCTION("""COMPUTED_VALUE"""),TRUE)</f>
        <v>1</v>
      </c>
      <c r="I400" s="4">
        <f>IFERROR(__xludf.DUMMYFUNCTION("""COMPUTED_VALUE"""),0.24646185185185185)</f>
        <v>0.2464618519</v>
      </c>
      <c r="J400" s="4">
        <f>IFERROR(__xludf.DUMMYFUNCTION("""COMPUTED_VALUE"""),45949.25666210416)</f>
        <v>45949.25666</v>
      </c>
      <c r="K400" s="4">
        <f>IFERROR(__xludf.DUMMYFUNCTION("""COMPUTED_VALUE"""),45949.28394685609)</f>
        <v>45949.28395</v>
      </c>
      <c r="L400" s="4">
        <f>IFERROR(__xludf.DUMMYFUNCTION("""COMPUTED_VALUE"""),45949.29165780729)</f>
        <v>45949.29166</v>
      </c>
      <c r="M400" s="1" t="str">
        <f>IFERROR(__xludf.DUMMYFUNCTION("""COMPUTED_VALUE"""),"RFID")</f>
        <v>RFID</v>
      </c>
      <c r="N400" s="5">
        <f>IFERROR(__xludf.DUMMYFUNCTION("""COMPUTED_VALUE"""),0.004080101851851852)</f>
        <v>0.004080101852</v>
      </c>
      <c r="O400" s="5">
        <f>IFERROR(__xludf.DUMMYFUNCTION("""COMPUTED_VALUE"""),0.010913902777777778)</f>
        <v>0.01091390278</v>
      </c>
      <c r="P400" s="5">
        <f>IFERROR(__xludf.DUMMYFUNCTION("""COMPUTED_VALUE"""),0.003173230945898235)</f>
        <v>0.003173230946</v>
      </c>
      <c r="Q400" s="5">
        <f>IFERROR(__xludf.DUMMYFUNCTION("""COMPUTED_VALUE"""),0.004519596064814815)</f>
        <v>0.004519596065</v>
      </c>
      <c r="R400" s="4">
        <f>IFERROR(__xludf.DUMMYFUNCTION("""COMPUTED_VALUE"""),45949.04519595544)</f>
        <v>45949.0452</v>
      </c>
      <c r="S400" s="1" t="b">
        <f>IFERROR(__xludf.DUMMYFUNCTION("""COMPUTED_VALUE"""),TRUE)</f>
        <v>1</v>
      </c>
      <c r="T400" s="1" t="b">
        <f>IFERROR(__xludf.DUMMYFUNCTION("""COMPUTED_VALUE"""),FALSE)</f>
        <v>0</v>
      </c>
      <c r="U400" s="1" t="str">
        <f>IFERROR(__xludf.DUMMYFUNCTION("""COMPUTED_VALUE"""),"VALID")</f>
        <v>VALID</v>
      </c>
      <c r="V400" s="1">
        <f>IFERROR(__xludf.DUMMYFUNCTION("""COMPUTED_VALUE"""),222.0)</f>
        <v>222</v>
      </c>
      <c r="W400" s="1">
        <f>IFERROR(__xludf.DUMMYFUNCTION("""COMPUTED_VALUE"""),267.0)</f>
        <v>267</v>
      </c>
      <c r="X400" s="1">
        <f>IFERROR(__xludf.DUMMYFUNCTION("""COMPUTED_VALUE"""),1207.0)</f>
        <v>1207</v>
      </c>
      <c r="Y400" s="2"/>
      <c r="Z400" s="2"/>
    </row>
    <row r="401">
      <c r="A401" s="1">
        <f>IFERROR(__xludf.DUMMYFUNCTION("""COMPUTED_VALUE"""),400.0)</f>
        <v>400</v>
      </c>
      <c r="B401" s="1">
        <f>IFERROR(__xludf.DUMMYFUNCTION("""COMPUTED_VALUE"""),10250.0)</f>
        <v>10250</v>
      </c>
      <c r="C401" s="2" t="str">
        <f>IFERROR(__xludf.DUMMYFUNCTION("""COMPUTED_VALUE"""),"Riyadi Ahmad")</f>
        <v>Riyadi Ahmad</v>
      </c>
      <c r="D401" s="2" t="str">
        <f>IFERROR(__xludf.DUMMYFUNCTION("""COMPUTED_VALUE"""),"10KM OVERALL M")</f>
        <v>10KM OVERALL M</v>
      </c>
      <c r="E401" s="1">
        <f>IFERROR(__xludf.DUMMYFUNCTION("""COMPUTED_VALUE"""),1.0)</f>
        <v>1</v>
      </c>
      <c r="F401" s="1" t="str">
        <f>IFERROR(__xludf.DUMMYFUNCTION("""COMPUTED_VALUE"""),"Male")</f>
        <v>Male</v>
      </c>
      <c r="G401" s="4" t="b">
        <f>IFERROR(__xludf.DUMMYFUNCTION("""COMPUTED_VALUE"""),TRUE)</f>
        <v>1</v>
      </c>
      <c r="H401" s="4" t="b">
        <f>IFERROR(__xludf.DUMMYFUNCTION("""COMPUTED_VALUE"""),TRUE)</f>
        <v>1</v>
      </c>
      <c r="I401" s="4">
        <f>IFERROR(__xludf.DUMMYFUNCTION("""COMPUTED_VALUE"""),0.24646185185185185)</f>
        <v>0.2464618519</v>
      </c>
      <c r="J401" s="4">
        <f>IFERROR(__xludf.DUMMYFUNCTION("""COMPUTED_VALUE"""),45949.25491215752)</f>
        <v>45949.25491</v>
      </c>
      <c r="K401" s="4">
        <f>IFERROR(__xludf.DUMMYFUNCTION("""COMPUTED_VALUE"""),45949.27784424123)</f>
        <v>45949.27784</v>
      </c>
      <c r="L401" s="4">
        <f>IFERROR(__xludf.DUMMYFUNCTION("""COMPUTED_VALUE"""),45949.28424812109)</f>
        <v>45949.28425</v>
      </c>
      <c r="M401" s="1" t="str">
        <f>IFERROR(__xludf.DUMMYFUNCTION("""COMPUTED_VALUE"""),"RFID")</f>
        <v>RFID</v>
      </c>
      <c r="N401" s="5">
        <f>IFERROR(__xludf.DUMMYFUNCTION("""COMPUTED_VALUE"""),0.00338012037037037)</f>
        <v>0.00338012037</v>
      </c>
      <c r="O401" s="5">
        <f>IFERROR(__xludf.DUMMYFUNCTION("""COMPUTED_VALUE"""),0.009172833333333335)</f>
        <v>0.009172833333</v>
      </c>
      <c r="P401" s="5">
        <f>IFERROR(__xludf.DUMMYFUNCTION("""COMPUTED_VALUE"""),0.0026353415058170725)</f>
        <v>0.002635341506</v>
      </c>
      <c r="Q401" s="5">
        <f>IFERROR(__xludf.DUMMYFUNCTION("""COMPUTED_VALUE"""),0.003778627314814815)</f>
        <v>0.003778627315</v>
      </c>
      <c r="R401" s="4">
        <f>IFERROR(__xludf.DUMMYFUNCTION("""COMPUTED_VALUE"""),45949.03778626924)</f>
        <v>45949.03779</v>
      </c>
      <c r="S401" s="1" t="b">
        <f>IFERROR(__xludf.DUMMYFUNCTION("""COMPUTED_VALUE"""),TRUE)</f>
        <v>1</v>
      </c>
      <c r="T401" s="1" t="b">
        <f>IFERROR(__xludf.DUMMYFUNCTION("""COMPUTED_VALUE"""),FALSE)</f>
        <v>0</v>
      </c>
      <c r="U401" s="1" t="str">
        <f>IFERROR(__xludf.DUMMYFUNCTION("""COMPUTED_VALUE"""),"VALID")</f>
        <v>VALID</v>
      </c>
      <c r="V401" s="1">
        <f>IFERROR(__xludf.DUMMYFUNCTION("""COMPUTED_VALUE"""),66.0)</f>
        <v>66</v>
      </c>
      <c r="W401" s="1">
        <f>IFERROR(__xludf.DUMMYFUNCTION("""COMPUTED_VALUE"""),79.0)</f>
        <v>79</v>
      </c>
      <c r="X401" s="1">
        <f>IFERROR(__xludf.DUMMYFUNCTION("""COMPUTED_VALUE"""),862.0)</f>
        <v>862</v>
      </c>
      <c r="Y401" s="2"/>
      <c r="Z401" s="2"/>
    </row>
    <row r="402">
      <c r="A402" s="1">
        <f>IFERROR(__xludf.DUMMYFUNCTION("""COMPUTED_VALUE"""),401.0)</f>
        <v>401</v>
      </c>
      <c r="B402" s="1">
        <f>IFERROR(__xludf.DUMMYFUNCTION("""COMPUTED_VALUE"""),10251.0)</f>
        <v>10251</v>
      </c>
      <c r="C402" s="2" t="str">
        <f>IFERROR(__xludf.DUMMYFUNCTION("""COMPUTED_VALUE"""),"Haziki Abduh")</f>
        <v>Haziki Abduh</v>
      </c>
      <c r="D402" s="2" t="str">
        <f>IFERROR(__xludf.DUMMYFUNCTION("""COMPUTED_VALUE"""),"10KM OVERALL M")</f>
        <v>10KM OVERALL M</v>
      </c>
      <c r="E402" s="1">
        <f>IFERROR(__xludf.DUMMYFUNCTION("""COMPUTED_VALUE"""),1.0)</f>
        <v>1</v>
      </c>
      <c r="F402" s="1" t="str">
        <f>IFERROR(__xludf.DUMMYFUNCTION("""COMPUTED_VALUE"""),"Male")</f>
        <v>Male</v>
      </c>
      <c r="G402" s="4" t="b">
        <f>IFERROR(__xludf.DUMMYFUNCTION("""COMPUTED_VALUE"""),TRUE)</f>
        <v>1</v>
      </c>
      <c r="H402" s="4" t="b">
        <f>IFERROR(__xludf.DUMMYFUNCTION("""COMPUTED_VALUE"""),FALSE)</f>
        <v>0</v>
      </c>
      <c r="I402" s="4">
        <f>IFERROR(__xludf.DUMMYFUNCTION("""COMPUTED_VALUE"""),0.24646185185185185)</f>
        <v>0.2464618519</v>
      </c>
      <c r="J402" s="4">
        <f>IFERROR(__xludf.DUMMYFUNCTION("""COMPUTED_VALUE"""),45949.25937743972)</f>
        <v>45949.25938</v>
      </c>
      <c r="K402" s="4">
        <f>IFERROR(__xludf.DUMMYFUNCTION("""COMPUTED_VALUE"""),45949.29164148637)</f>
        <v>45949.29164</v>
      </c>
      <c r="L402" s="4">
        <f>IFERROR(__xludf.DUMMYFUNCTION("""COMPUTED_VALUE"""),45949.30078628926)</f>
        <v>45949.30079</v>
      </c>
      <c r="M402" s="1" t="str">
        <f>IFERROR(__xludf.DUMMYFUNCTION("""COMPUTED_VALUE"""),"RFID")</f>
        <v>RFID</v>
      </c>
      <c r="N402" s="5">
        <f>IFERROR(__xludf.DUMMYFUNCTION("""COMPUTED_VALUE"""),0.005166236111111111)</f>
        <v>0.005166236111</v>
      </c>
      <c r="O402" s="5">
        <f>IFERROR(__xludf.DUMMYFUNCTION("""COMPUTED_VALUE"""),0.012905620370370371)</f>
        <v>0.01290562037</v>
      </c>
      <c r="P402" s="5">
        <f>IFERROR(__xludf.DUMMYFUNCTION("""COMPUTED_VALUE"""),0.0037632933706418827)</f>
        <v>0.003763293371</v>
      </c>
      <c r="Q402" s="5">
        <f>IFERROR(__xludf.DUMMYFUNCTION("""COMPUTED_VALUE"""),0.005432443287037037)</f>
        <v>0.005432443287</v>
      </c>
      <c r="R402" s="4">
        <f>IFERROR(__xludf.DUMMYFUNCTION("""COMPUTED_VALUE"""),45949.05432443741)</f>
        <v>45949.05432</v>
      </c>
      <c r="S402" s="1" t="b">
        <f>IFERROR(__xludf.DUMMYFUNCTION("""COMPUTED_VALUE"""),TRUE)</f>
        <v>1</v>
      </c>
      <c r="T402" s="1" t="b">
        <f>IFERROR(__xludf.DUMMYFUNCTION("""COMPUTED_VALUE"""),FALSE)</f>
        <v>0</v>
      </c>
      <c r="U402" s="1" t="str">
        <f>IFERROR(__xludf.DUMMYFUNCTION("""COMPUTED_VALUE"""),"VALID")</f>
        <v>VALID</v>
      </c>
      <c r="V402" s="1">
        <f>IFERROR(__xludf.DUMMYFUNCTION("""COMPUTED_VALUE"""),444.0)</f>
        <v>444</v>
      </c>
      <c r="W402" s="1">
        <f>IFERROR(__xludf.DUMMYFUNCTION("""COMPUTED_VALUE"""),527.0)</f>
        <v>527</v>
      </c>
      <c r="X402" s="1">
        <f>IFERROR(__xludf.DUMMYFUNCTION("""COMPUTED_VALUE"""),1505.0)</f>
        <v>1505</v>
      </c>
      <c r="Y402" s="2"/>
      <c r="Z402" s="2"/>
    </row>
    <row r="403">
      <c r="A403" s="1">
        <f>IFERROR(__xludf.DUMMYFUNCTION("""COMPUTED_VALUE"""),402.0)</f>
        <v>402</v>
      </c>
      <c r="B403" s="1">
        <f>IFERROR(__xludf.DUMMYFUNCTION("""COMPUTED_VALUE"""),10252.0)</f>
        <v>10252</v>
      </c>
      <c r="C403" s="2" t="str">
        <f>IFERROR(__xludf.DUMMYFUNCTION("""COMPUTED_VALUE"""),"Bimo Seno Santoso")</f>
        <v>Bimo Seno Santoso</v>
      </c>
      <c r="D403" s="2" t="str">
        <f>IFERROR(__xludf.DUMMYFUNCTION("""COMPUTED_VALUE"""),"10KM OVERALL M")</f>
        <v>10KM OVERALL M</v>
      </c>
      <c r="E403" s="1">
        <f>IFERROR(__xludf.DUMMYFUNCTION("""COMPUTED_VALUE"""),1.0)</f>
        <v>1</v>
      </c>
      <c r="F403" s="1" t="str">
        <f>IFERROR(__xludf.DUMMYFUNCTION("""COMPUTED_VALUE"""),"Male")</f>
        <v>Male</v>
      </c>
      <c r="G403" s="4" t="b">
        <f>IFERROR(__xludf.DUMMYFUNCTION("""COMPUTED_VALUE"""),TRUE)</f>
        <v>1</v>
      </c>
      <c r="H403" s="4" t="b">
        <f>IFERROR(__xludf.DUMMYFUNCTION("""COMPUTED_VALUE"""),TRUE)</f>
        <v>1</v>
      </c>
      <c r="I403" s="4">
        <f>IFERROR(__xludf.DUMMYFUNCTION("""COMPUTED_VALUE"""),0.24646185185185185)</f>
        <v>0.2464618519</v>
      </c>
      <c r="J403" s="4">
        <f>IFERROR(__xludf.DUMMYFUNCTION("""COMPUTED_VALUE"""),45949.25788437052)</f>
        <v>45949.25788</v>
      </c>
      <c r="K403" s="4">
        <f>IFERROR(__xludf.DUMMYFUNCTION("""COMPUTED_VALUE"""),45949.28475286831)</f>
        <v>45949.28475</v>
      </c>
      <c r="L403" s="4">
        <f>IFERROR(__xludf.DUMMYFUNCTION("""COMPUTED_VALUE"""),45949.29220642187)</f>
        <v>45949.29221</v>
      </c>
      <c r="M403" s="1" t="str">
        <f>IFERROR(__xludf.DUMMYFUNCTION("""COMPUTED_VALUE"""),"RFID")</f>
        <v>RFID</v>
      </c>
      <c r="N403" s="5">
        <f>IFERROR(__xludf.DUMMYFUNCTION("""COMPUTED_VALUE"""),0.004569009259259259)</f>
        <v>0.004569009259</v>
      </c>
      <c r="O403" s="5">
        <f>IFERROR(__xludf.DUMMYFUNCTION("""COMPUTED_VALUE"""),0.010747398148148148)</f>
        <v>0.01074739815</v>
      </c>
      <c r="P403" s="5">
        <f>IFERROR(__xludf.DUMMYFUNCTION("""COMPUTED_VALUE"""),0.0030673059919674654)</f>
        <v>0.003067305992</v>
      </c>
      <c r="Q403" s="5">
        <f>IFERROR(__xludf.DUMMYFUNCTION("""COMPUTED_VALUE"""),0.004574457175925925)</f>
        <v>0.004574457176</v>
      </c>
      <c r="R403" s="4">
        <f>IFERROR(__xludf.DUMMYFUNCTION("""COMPUTED_VALUE"""),45949.04574457002)</f>
        <v>45949.04574</v>
      </c>
      <c r="S403" s="1" t="b">
        <f>IFERROR(__xludf.DUMMYFUNCTION("""COMPUTED_VALUE"""),TRUE)</f>
        <v>1</v>
      </c>
      <c r="T403" s="1" t="b">
        <f>IFERROR(__xludf.DUMMYFUNCTION("""COMPUTED_VALUE"""),FALSE)</f>
        <v>0</v>
      </c>
      <c r="U403" s="1" t="str">
        <f>IFERROR(__xludf.DUMMYFUNCTION("""COMPUTED_VALUE"""),"VALID")</f>
        <v>VALID</v>
      </c>
      <c r="V403" s="1">
        <f>IFERROR(__xludf.DUMMYFUNCTION("""COMPUTED_VALUE"""),234.0)</f>
        <v>234</v>
      </c>
      <c r="W403" s="1">
        <f>IFERROR(__xludf.DUMMYFUNCTION("""COMPUTED_VALUE"""),281.0)</f>
        <v>281</v>
      </c>
      <c r="X403" s="1">
        <f>IFERROR(__xludf.DUMMYFUNCTION("""COMPUTED_VALUE"""),1227.0)</f>
        <v>1227</v>
      </c>
      <c r="Y403" s="2"/>
      <c r="Z403" s="2"/>
    </row>
    <row r="404">
      <c r="A404" s="1">
        <f>IFERROR(__xludf.DUMMYFUNCTION("""COMPUTED_VALUE"""),403.0)</f>
        <v>403</v>
      </c>
      <c r="B404" s="1">
        <f>IFERROR(__xludf.DUMMYFUNCTION("""COMPUTED_VALUE"""),10253.0)</f>
        <v>10253</v>
      </c>
      <c r="C404" s="2" t="str">
        <f>IFERROR(__xludf.DUMMYFUNCTION("""COMPUTED_VALUE"""),"HANS NUBATONIS")</f>
        <v>HANS NUBATONIS</v>
      </c>
      <c r="D404" s="2" t="str">
        <f>IFERROR(__xludf.DUMMYFUNCTION("""COMPUTED_VALUE"""),"10KM OVERALL M")</f>
        <v>10KM OVERALL M</v>
      </c>
      <c r="E404" s="1">
        <f>IFERROR(__xludf.DUMMYFUNCTION("""COMPUTED_VALUE"""),1.0)</f>
        <v>1</v>
      </c>
      <c r="F404" s="1" t="str">
        <f>IFERROR(__xludf.DUMMYFUNCTION("""COMPUTED_VALUE"""),"Male")</f>
        <v>Male</v>
      </c>
      <c r="G404" s="4" t="b">
        <f>IFERROR(__xludf.DUMMYFUNCTION("""COMPUTED_VALUE"""),TRUE)</f>
        <v>1</v>
      </c>
      <c r="H404" s="4" t="b">
        <f>IFERROR(__xludf.DUMMYFUNCTION("""COMPUTED_VALUE"""),FALSE)</f>
        <v>0</v>
      </c>
      <c r="I404" s="4">
        <f>IFERROR(__xludf.DUMMYFUNCTION("""COMPUTED_VALUE"""),0.24646185185185185)</f>
        <v>0.2464618519</v>
      </c>
      <c r="J404" s="4">
        <f>IFERROR(__xludf.DUMMYFUNCTION("""COMPUTED_VALUE"""),45949.259214190315)</f>
        <v>45949.25921</v>
      </c>
      <c r="K404" s="4">
        <f>IFERROR(__xludf.DUMMYFUNCTION("""COMPUTED_VALUE"""),45949.28848157819)</f>
        <v>45949.28848</v>
      </c>
      <c r="L404" s="4">
        <f>IFERROR(__xludf.DUMMYFUNCTION("""COMPUTED_VALUE"""),45949.29676545355)</f>
        <v>45949.29677</v>
      </c>
      <c r="M404" s="1" t="str">
        <f>IFERROR(__xludf.DUMMYFUNCTION("""COMPUTED_VALUE"""),"RFID")</f>
        <v>RFID</v>
      </c>
      <c r="N404" s="5">
        <f>IFERROR(__xludf.DUMMYFUNCTION("""COMPUTED_VALUE"""),0.005100935185185185)</f>
        <v>0.005100935185</v>
      </c>
      <c r="O404" s="5">
        <f>IFERROR(__xludf.DUMMYFUNCTION("""COMPUTED_VALUE"""),0.011706953703703704)</f>
        <v>0.0117069537</v>
      </c>
      <c r="P404" s="5">
        <f>IFERROR(__xludf.DUMMYFUNCTION("""COMPUTED_VALUE"""),0.0034090022082438635)</f>
        <v>0.003409002208</v>
      </c>
      <c r="Q404" s="5">
        <f>IFERROR(__xludf.DUMMYFUNCTION("""COMPUTED_VALUE"""),0.0050303599537037036)</f>
        <v>0.005030359954</v>
      </c>
      <c r="R404" s="4">
        <f>IFERROR(__xludf.DUMMYFUNCTION("""COMPUTED_VALUE"""),45949.0503036017)</f>
        <v>45949.0503</v>
      </c>
      <c r="S404" s="1" t="b">
        <f>IFERROR(__xludf.DUMMYFUNCTION("""COMPUTED_VALUE"""),TRUE)</f>
        <v>1</v>
      </c>
      <c r="T404" s="1" t="b">
        <f>IFERROR(__xludf.DUMMYFUNCTION("""COMPUTED_VALUE"""),FALSE)</f>
        <v>0</v>
      </c>
      <c r="U404" s="1" t="str">
        <f>IFERROR(__xludf.DUMMYFUNCTION("""COMPUTED_VALUE"""),"VALID")</f>
        <v>VALID</v>
      </c>
      <c r="V404" s="1">
        <f>IFERROR(__xludf.DUMMYFUNCTION("""COMPUTED_VALUE"""),349.0)</f>
        <v>349</v>
      </c>
      <c r="W404" s="1">
        <f>IFERROR(__xludf.DUMMYFUNCTION("""COMPUTED_VALUE"""),411.0)</f>
        <v>411</v>
      </c>
      <c r="X404" s="1">
        <f>IFERROR(__xludf.DUMMYFUNCTION("""COMPUTED_VALUE"""),1390.0)</f>
        <v>1390</v>
      </c>
      <c r="Y404" s="2"/>
      <c r="Z404" s="2"/>
    </row>
    <row r="405">
      <c r="A405" s="1">
        <f>IFERROR(__xludf.DUMMYFUNCTION("""COMPUTED_VALUE"""),404.0)</f>
        <v>404</v>
      </c>
      <c r="B405" s="1">
        <f>IFERROR(__xludf.DUMMYFUNCTION("""COMPUTED_VALUE"""),10254.0)</f>
        <v>10254</v>
      </c>
      <c r="C405" s="2" t="str">
        <f>IFERROR(__xludf.DUMMYFUNCTION("""COMPUTED_VALUE"""),"chandra")</f>
        <v>chandra</v>
      </c>
      <c r="D405" s="2" t="str">
        <f>IFERROR(__xludf.DUMMYFUNCTION("""COMPUTED_VALUE"""),"10KM OVERALL M")</f>
        <v>10KM OVERALL M</v>
      </c>
      <c r="E405" s="1">
        <f>IFERROR(__xludf.DUMMYFUNCTION("""COMPUTED_VALUE"""),1.0)</f>
        <v>1</v>
      </c>
      <c r="F405" s="1" t="str">
        <f>IFERROR(__xludf.DUMMYFUNCTION("""COMPUTED_VALUE"""),"Male")</f>
        <v>Male</v>
      </c>
      <c r="G405" s="4" t="b">
        <f>IFERROR(__xludf.DUMMYFUNCTION("""COMPUTED_VALUE"""),TRUE)</f>
        <v>1</v>
      </c>
      <c r="H405" s="4" t="b">
        <f>IFERROR(__xludf.DUMMYFUNCTION("""COMPUTED_VALUE"""),TRUE)</f>
        <v>1</v>
      </c>
      <c r="I405" s="4">
        <f>IFERROR(__xludf.DUMMYFUNCTION("""COMPUTED_VALUE"""),0.24646185185185185)</f>
        <v>0.2464618519</v>
      </c>
      <c r="J405" s="4">
        <f>IFERROR(__xludf.DUMMYFUNCTION("""COMPUTED_VALUE"""),45949.259422519826)</f>
        <v>45949.25942</v>
      </c>
      <c r="K405" s="4">
        <f>IFERROR(__xludf.DUMMYFUNCTION("""COMPUTED_VALUE"""),45949.29542973058)</f>
        <v>45949.29543</v>
      </c>
      <c r="L405" s="4">
        <f>IFERROR(__xludf.DUMMYFUNCTION("""COMPUTED_VALUE"""),45949.30543906631)</f>
        <v>45949.30544</v>
      </c>
      <c r="M405" s="1" t="str">
        <f>IFERROR(__xludf.DUMMYFUNCTION("""COMPUTED_VALUE"""),"RFID")</f>
        <v>RFID</v>
      </c>
      <c r="N405" s="5">
        <f>IFERROR(__xludf.DUMMYFUNCTION("""COMPUTED_VALUE"""),0.005184268518518518)</f>
        <v>0.005184268519</v>
      </c>
      <c r="O405" s="5">
        <f>IFERROR(__xludf.DUMMYFUNCTION("""COMPUTED_VALUE"""),0.014402884259259261)</f>
        <v>0.01440288426</v>
      </c>
      <c r="P405" s="5">
        <f>IFERROR(__xludf.DUMMYFUNCTION("""COMPUTED_VALUE"""),0.004119068202600956)</f>
        <v>0.004119068203</v>
      </c>
      <c r="Q405" s="5">
        <f>IFERROR(__xludf.DUMMYFUNCTION("""COMPUTED_VALUE"""),0.005897721064814815)</f>
        <v>0.005897721065</v>
      </c>
      <c r="R405" s="4">
        <f>IFERROR(__xludf.DUMMYFUNCTION("""COMPUTED_VALUE"""),45949.05897721446)</f>
        <v>45949.05898</v>
      </c>
      <c r="S405" s="1" t="b">
        <f>IFERROR(__xludf.DUMMYFUNCTION("""COMPUTED_VALUE"""),TRUE)</f>
        <v>1</v>
      </c>
      <c r="T405" s="1" t="b">
        <f>IFERROR(__xludf.DUMMYFUNCTION("""COMPUTED_VALUE"""),FALSE)</f>
        <v>0</v>
      </c>
      <c r="U405" s="1" t="str">
        <f>IFERROR(__xludf.DUMMYFUNCTION("""COMPUTED_VALUE"""),"VALID")</f>
        <v>VALID</v>
      </c>
      <c r="V405" s="1">
        <f>IFERROR(__xludf.DUMMYFUNCTION("""COMPUTED_VALUE"""),524.0)</f>
        <v>524</v>
      </c>
      <c r="W405" s="1">
        <f>IFERROR(__xludf.DUMMYFUNCTION("""COMPUTED_VALUE"""),637.0)</f>
        <v>637</v>
      </c>
      <c r="X405" s="1">
        <f>IFERROR(__xludf.DUMMYFUNCTION("""COMPUTED_VALUE"""),1597.0)</f>
        <v>1597</v>
      </c>
      <c r="Y405" s="2"/>
      <c r="Z405" s="2"/>
    </row>
    <row r="406">
      <c r="A406" s="1">
        <f>IFERROR(__xludf.DUMMYFUNCTION("""COMPUTED_VALUE"""),405.0)</f>
        <v>405</v>
      </c>
      <c r="B406" s="1">
        <f>IFERROR(__xludf.DUMMYFUNCTION("""COMPUTED_VALUE"""),10255.0)</f>
        <v>10255</v>
      </c>
      <c r="C406" s="2" t="str">
        <f>IFERROR(__xludf.DUMMYFUNCTION("""COMPUTED_VALUE"""),"Doctor")</f>
        <v>Doctor</v>
      </c>
      <c r="D406" s="2" t="str">
        <f>IFERROR(__xludf.DUMMYFUNCTION("""COMPUTED_VALUE"""),"10KM OVERALL M")</f>
        <v>10KM OVERALL M</v>
      </c>
      <c r="E406" s="1">
        <f>IFERROR(__xludf.DUMMYFUNCTION("""COMPUTED_VALUE"""),1.0)</f>
        <v>1</v>
      </c>
      <c r="F406" s="1" t="str">
        <f>IFERROR(__xludf.DUMMYFUNCTION("""COMPUTED_VALUE"""),"Male")</f>
        <v>Male</v>
      </c>
      <c r="G406" s="4" t="str">
        <f>IFERROR(__xludf.DUMMYFUNCTION("""COMPUTED_VALUE"""),"")</f>
        <v/>
      </c>
      <c r="H406" s="4" t="b">
        <f>IFERROR(__xludf.DUMMYFUNCTION("""COMPUTED_VALUE"""),FALSE)</f>
        <v>0</v>
      </c>
      <c r="I406" s="4">
        <f>IFERROR(__xludf.DUMMYFUNCTION("""COMPUTED_VALUE"""),0.24646185185185185)</f>
        <v>0.2464618519</v>
      </c>
      <c r="J406" s="4" t="str">
        <f>IFERROR(__xludf.DUMMYFUNCTION("""COMPUTED_VALUE"""),"")</f>
        <v/>
      </c>
      <c r="K406" s="4" t="str">
        <f>IFERROR(__xludf.DUMMYFUNCTION("""COMPUTED_VALUE"""),"")</f>
        <v/>
      </c>
      <c r="L406" s="4" t="str">
        <f>IFERROR(__xludf.DUMMYFUNCTION("""COMPUTED_VALUE"""),"")</f>
        <v/>
      </c>
      <c r="M406" s="1" t="str">
        <f>IFERROR(__xludf.DUMMYFUNCTION("""COMPUTED_VALUE"""),"RFID")</f>
        <v>RFID</v>
      </c>
      <c r="N406" s="5" t="str">
        <f>IFERROR(__xludf.DUMMYFUNCTION("""COMPUTED_VALUE"""),"")</f>
        <v/>
      </c>
      <c r="O406" s="5" t="str">
        <f>IFERROR(__xludf.DUMMYFUNCTION("""COMPUTED_VALUE"""),"")</f>
        <v/>
      </c>
      <c r="P406" s="5" t="str">
        <f>IFERROR(__xludf.DUMMYFUNCTION("""COMPUTED_VALUE"""),"")</f>
        <v/>
      </c>
      <c r="Q406" s="5" t="str">
        <f>IFERROR(__xludf.DUMMYFUNCTION("""COMPUTED_VALUE"""),"")</f>
        <v/>
      </c>
      <c r="R406" s="4" t="str">
        <f>IFERROR(__xludf.DUMMYFUNCTION("""COMPUTED_VALUE"""),"")</f>
        <v/>
      </c>
      <c r="S406" s="1" t="b">
        <f>IFERROR(__xludf.DUMMYFUNCTION("""COMPUTED_VALUE"""),FALSE)</f>
        <v>0</v>
      </c>
      <c r="T406" s="1" t="b">
        <f>IFERROR(__xludf.DUMMYFUNCTION("""COMPUTED_VALUE"""),FALSE)</f>
        <v>0</v>
      </c>
      <c r="U406" s="1" t="str">
        <f>IFERROR(__xludf.DUMMYFUNCTION("""COMPUTED_VALUE"""),"DSQ")</f>
        <v>DSQ</v>
      </c>
      <c r="V406" s="1" t="str">
        <f>IFERROR(__xludf.DUMMYFUNCTION("""COMPUTED_VALUE"""),"DSQ")</f>
        <v>DSQ</v>
      </c>
      <c r="W406" s="1" t="str">
        <f>IFERROR(__xludf.DUMMYFUNCTION("""COMPUTED_VALUE"""),"DSQ")</f>
        <v>DSQ</v>
      </c>
      <c r="X406" s="1" t="str">
        <f>IFERROR(__xludf.DUMMYFUNCTION("""COMPUTED_VALUE"""),"DSQ")</f>
        <v>DSQ</v>
      </c>
      <c r="Y406" s="2"/>
      <c r="Z406" s="2" t="str">
        <f>IFERROR(__xludf.DUMMYFUNCTION("""COMPUTED_VALUE"""),"")</f>
        <v/>
      </c>
    </row>
    <row r="407">
      <c r="A407" s="1">
        <f>IFERROR(__xludf.DUMMYFUNCTION("""COMPUTED_VALUE"""),406.0)</f>
        <v>406</v>
      </c>
      <c r="B407" s="1">
        <f>IFERROR(__xludf.DUMMYFUNCTION("""COMPUTED_VALUE"""),10256.0)</f>
        <v>10256</v>
      </c>
      <c r="C407" s="2" t="str">
        <f>IFERROR(__xludf.DUMMYFUNCTION("""COMPUTED_VALUE"""),"Bapak Aris")</f>
        <v>Bapak Aris</v>
      </c>
      <c r="D407" s="2" t="str">
        <f>IFERROR(__xludf.DUMMYFUNCTION("""COMPUTED_VALUE"""),"10KM OVERALL M")</f>
        <v>10KM OVERALL M</v>
      </c>
      <c r="E407" s="1">
        <f>IFERROR(__xludf.DUMMYFUNCTION("""COMPUTED_VALUE"""),1.0)</f>
        <v>1</v>
      </c>
      <c r="F407" s="1" t="str">
        <f>IFERROR(__xludf.DUMMYFUNCTION("""COMPUTED_VALUE"""),"Male")</f>
        <v>Male</v>
      </c>
      <c r="G407" s="4" t="str">
        <f>IFERROR(__xludf.DUMMYFUNCTION("""COMPUTED_VALUE"""),"")</f>
        <v/>
      </c>
      <c r="H407" s="4" t="b">
        <f>IFERROR(__xludf.DUMMYFUNCTION("""COMPUTED_VALUE"""),FALSE)</f>
        <v>0</v>
      </c>
      <c r="I407" s="4">
        <f>IFERROR(__xludf.DUMMYFUNCTION("""COMPUTED_VALUE"""),0.24646185185185185)</f>
        <v>0.2464618519</v>
      </c>
      <c r="J407" s="4" t="str">
        <f>IFERROR(__xludf.DUMMYFUNCTION("""COMPUTED_VALUE"""),"")</f>
        <v/>
      </c>
      <c r="K407" s="4" t="str">
        <f>IFERROR(__xludf.DUMMYFUNCTION("""COMPUTED_VALUE"""),"")</f>
        <v/>
      </c>
      <c r="L407" s="4" t="str">
        <f>IFERROR(__xludf.DUMMYFUNCTION("""COMPUTED_VALUE"""),"")</f>
        <v/>
      </c>
      <c r="M407" s="1" t="str">
        <f>IFERROR(__xludf.DUMMYFUNCTION("""COMPUTED_VALUE"""),"RFID")</f>
        <v>RFID</v>
      </c>
      <c r="N407" s="5" t="str">
        <f>IFERROR(__xludf.DUMMYFUNCTION("""COMPUTED_VALUE"""),"")</f>
        <v/>
      </c>
      <c r="O407" s="5" t="str">
        <f>IFERROR(__xludf.DUMMYFUNCTION("""COMPUTED_VALUE"""),"")</f>
        <v/>
      </c>
      <c r="P407" s="5" t="str">
        <f>IFERROR(__xludf.DUMMYFUNCTION("""COMPUTED_VALUE"""),"")</f>
        <v/>
      </c>
      <c r="Q407" s="5" t="str">
        <f>IFERROR(__xludf.DUMMYFUNCTION("""COMPUTED_VALUE"""),"")</f>
        <v/>
      </c>
      <c r="R407" s="4" t="str">
        <f>IFERROR(__xludf.DUMMYFUNCTION("""COMPUTED_VALUE"""),"")</f>
        <v/>
      </c>
      <c r="S407" s="1" t="b">
        <f>IFERROR(__xludf.DUMMYFUNCTION("""COMPUTED_VALUE"""),FALSE)</f>
        <v>0</v>
      </c>
      <c r="T407" s="1" t="b">
        <f>IFERROR(__xludf.DUMMYFUNCTION("""COMPUTED_VALUE"""),FALSE)</f>
        <v>0</v>
      </c>
      <c r="U407" s="1" t="str">
        <f>IFERROR(__xludf.DUMMYFUNCTION("""COMPUTED_VALUE"""),"DSQ")</f>
        <v>DSQ</v>
      </c>
      <c r="V407" s="1" t="str">
        <f>IFERROR(__xludf.DUMMYFUNCTION("""COMPUTED_VALUE"""),"DSQ")</f>
        <v>DSQ</v>
      </c>
      <c r="W407" s="1" t="str">
        <f>IFERROR(__xludf.DUMMYFUNCTION("""COMPUTED_VALUE"""),"DSQ")</f>
        <v>DSQ</v>
      </c>
      <c r="X407" s="1" t="str">
        <f>IFERROR(__xludf.DUMMYFUNCTION("""COMPUTED_VALUE"""),"DSQ")</f>
        <v>DSQ</v>
      </c>
      <c r="Y407" s="2"/>
      <c r="Z407" s="2" t="str">
        <f>IFERROR(__xludf.DUMMYFUNCTION("""COMPUTED_VALUE"""),"")</f>
        <v/>
      </c>
    </row>
    <row r="408">
      <c r="A408" s="1">
        <f>IFERROR(__xludf.DUMMYFUNCTION("""COMPUTED_VALUE"""),407.0)</f>
        <v>407</v>
      </c>
      <c r="B408" s="1">
        <f>IFERROR(__xludf.DUMMYFUNCTION("""COMPUTED_VALUE"""),10257.0)</f>
        <v>10257</v>
      </c>
      <c r="C408" s="2" t="str">
        <f>IFERROR(__xludf.DUMMYFUNCTION("""COMPUTED_VALUE"""),"Ahmad Rizky")</f>
        <v>Ahmad Rizky</v>
      </c>
      <c r="D408" s="2" t="str">
        <f>IFERROR(__xludf.DUMMYFUNCTION("""COMPUTED_VALUE"""),"10KM OVERALL M")</f>
        <v>10KM OVERALL M</v>
      </c>
      <c r="E408" s="1">
        <f>IFERROR(__xludf.DUMMYFUNCTION("""COMPUTED_VALUE"""),1.0)</f>
        <v>1</v>
      </c>
      <c r="F408" s="1" t="str">
        <f>IFERROR(__xludf.DUMMYFUNCTION("""COMPUTED_VALUE"""),"Male")</f>
        <v>Male</v>
      </c>
      <c r="G408" s="4" t="b">
        <f>IFERROR(__xludf.DUMMYFUNCTION("""COMPUTED_VALUE"""),TRUE)</f>
        <v>1</v>
      </c>
      <c r="H408" s="4" t="b">
        <f>IFERROR(__xludf.DUMMYFUNCTION("""COMPUTED_VALUE"""),FALSE)</f>
        <v>0</v>
      </c>
      <c r="I408" s="4">
        <f>IFERROR(__xludf.DUMMYFUNCTION("""COMPUTED_VALUE"""),0.24646185185185185)</f>
        <v>0.2464618519</v>
      </c>
      <c r="J408" s="4">
        <f>IFERROR(__xludf.DUMMYFUNCTION("""COMPUTED_VALUE"""),45949.255578767006)</f>
        <v>45949.25558</v>
      </c>
      <c r="K408" s="4">
        <f>IFERROR(__xludf.DUMMYFUNCTION("""COMPUTED_VALUE"""),45949.28236358757)</f>
        <v>45949.28236</v>
      </c>
      <c r="L408" s="4">
        <f>IFERROR(__xludf.DUMMYFUNCTION("""COMPUTED_VALUE"""),45949.290515420296)</f>
        <v>45949.29052</v>
      </c>
      <c r="M408" s="1" t="str">
        <f>IFERROR(__xludf.DUMMYFUNCTION("""COMPUTED_VALUE"""),"RFID")</f>
        <v>RFID</v>
      </c>
      <c r="N408" s="5">
        <f>IFERROR(__xludf.DUMMYFUNCTION("""COMPUTED_VALUE"""),0.003646763888888889)</f>
        <v>0.003646763889</v>
      </c>
      <c r="O408" s="5">
        <f>IFERROR(__xludf.DUMMYFUNCTION("""COMPUTED_VALUE"""),0.010713925925925927)</f>
        <v>0.01071392593</v>
      </c>
      <c r="P408" s="5">
        <f>IFERROR(__xludf.DUMMYFUNCTION("""COMPUTED_VALUE"""),0.003354663674028805)</f>
        <v>0.003354663674</v>
      </c>
      <c r="Q408" s="5">
        <f>IFERROR(__xludf.DUMMYFUNCTION("""COMPUTED_VALUE"""),0.0044053564814814814)</f>
        <v>0.004405356481</v>
      </c>
      <c r="R408" s="4">
        <f>IFERROR(__xludf.DUMMYFUNCTION("""COMPUTED_VALUE"""),45949.04405356845)</f>
        <v>45949.04405</v>
      </c>
      <c r="S408" s="1" t="b">
        <f>IFERROR(__xludf.DUMMYFUNCTION("""COMPUTED_VALUE"""),TRUE)</f>
        <v>1</v>
      </c>
      <c r="T408" s="1" t="b">
        <f>IFERROR(__xludf.DUMMYFUNCTION("""COMPUTED_VALUE"""),FALSE)</f>
        <v>0</v>
      </c>
      <c r="U408" s="1" t="str">
        <f>IFERROR(__xludf.DUMMYFUNCTION("""COMPUTED_VALUE"""),"VALID")</f>
        <v>VALID</v>
      </c>
      <c r="V408" s="1">
        <f>IFERROR(__xludf.DUMMYFUNCTION("""COMPUTED_VALUE"""),190.0)</f>
        <v>190</v>
      </c>
      <c r="W408" s="1">
        <f>IFERROR(__xludf.DUMMYFUNCTION("""COMPUTED_VALUE"""),228.0)</f>
        <v>228</v>
      </c>
      <c r="X408" s="1">
        <f>IFERROR(__xludf.DUMMYFUNCTION("""COMPUTED_VALUE"""),1152.0)</f>
        <v>1152</v>
      </c>
      <c r="Y408" s="2"/>
      <c r="Z408" s="2"/>
    </row>
    <row r="409">
      <c r="A409" s="1">
        <f>IFERROR(__xludf.DUMMYFUNCTION("""COMPUTED_VALUE"""),408.0)</f>
        <v>408</v>
      </c>
      <c r="B409" s="1">
        <f>IFERROR(__xludf.DUMMYFUNCTION("""COMPUTED_VALUE"""),10258.0)</f>
        <v>10258</v>
      </c>
      <c r="C409" s="2" t="str">
        <f>IFERROR(__xludf.DUMMYFUNCTION("""COMPUTED_VALUE"""),"Dhani AM")</f>
        <v>Dhani AM</v>
      </c>
      <c r="D409" s="2" t="str">
        <f>IFERROR(__xludf.DUMMYFUNCTION("""COMPUTED_VALUE"""),"10KM OVERALL M")</f>
        <v>10KM OVERALL M</v>
      </c>
      <c r="E409" s="1">
        <f>IFERROR(__xludf.DUMMYFUNCTION("""COMPUTED_VALUE"""),1.0)</f>
        <v>1</v>
      </c>
      <c r="F409" s="1" t="str">
        <f>IFERROR(__xludf.DUMMYFUNCTION("""COMPUTED_VALUE"""),"Male")</f>
        <v>Male</v>
      </c>
      <c r="G409" s="4" t="b">
        <f>IFERROR(__xludf.DUMMYFUNCTION("""COMPUTED_VALUE"""),TRUE)</f>
        <v>1</v>
      </c>
      <c r="H409" s="4" t="b">
        <f>IFERROR(__xludf.DUMMYFUNCTION("""COMPUTED_VALUE"""),TRUE)</f>
        <v>1</v>
      </c>
      <c r="I409" s="4">
        <f>IFERROR(__xludf.DUMMYFUNCTION("""COMPUTED_VALUE"""),0.24646185185185185)</f>
        <v>0.2464618519</v>
      </c>
      <c r="J409" s="4">
        <f>IFERROR(__xludf.DUMMYFUNCTION("""COMPUTED_VALUE"""),45949.25999545002)</f>
        <v>45949.26</v>
      </c>
      <c r="K409" s="4">
        <f>IFERROR(__xludf.DUMMYFUNCTION("""COMPUTED_VALUE"""),45949.29332212439)</f>
        <v>45949.29332</v>
      </c>
      <c r="L409" s="4">
        <f>IFERROR(__xludf.DUMMYFUNCTION("""COMPUTED_VALUE"""),45949.30339386994)</f>
        <v>45949.30339</v>
      </c>
      <c r="M409" s="1" t="str">
        <f>IFERROR(__xludf.DUMMYFUNCTION("""COMPUTED_VALUE"""),"RFID")</f>
        <v>RFID</v>
      </c>
      <c r="N409" s="5">
        <f>IFERROR(__xludf.DUMMYFUNCTION("""COMPUTED_VALUE"""),0.005413439814814815)</f>
        <v>0.005413439815</v>
      </c>
      <c r="O409" s="5">
        <f>IFERROR(__xludf.DUMMYFUNCTION("""COMPUTED_VALUE"""),0.013330671296296299)</f>
        <v>0.0133306713</v>
      </c>
      <c r="P409" s="5">
        <f>IFERROR(__xludf.DUMMYFUNCTION("""COMPUTED_VALUE"""),0.004144751255059377)</f>
        <v>0.004144751255</v>
      </c>
      <c r="Q409" s="5">
        <f>IFERROR(__xludf.DUMMYFUNCTION("""COMPUTED_VALUE"""),0.00569320138888889)</f>
        <v>0.005693201389</v>
      </c>
      <c r="R409" s="4">
        <f>IFERROR(__xludf.DUMMYFUNCTION("""COMPUTED_VALUE"""),45949.05693201809)</f>
        <v>45949.05693</v>
      </c>
      <c r="S409" s="1" t="b">
        <f>IFERROR(__xludf.DUMMYFUNCTION("""COMPUTED_VALUE"""),TRUE)</f>
        <v>1</v>
      </c>
      <c r="T409" s="1" t="b">
        <f>IFERROR(__xludf.DUMMYFUNCTION("""COMPUTED_VALUE"""),FALSE)</f>
        <v>0</v>
      </c>
      <c r="U409" s="1" t="str">
        <f>IFERROR(__xludf.DUMMYFUNCTION("""COMPUTED_VALUE"""),"VALID")</f>
        <v>VALID</v>
      </c>
      <c r="V409" s="1">
        <f>IFERROR(__xludf.DUMMYFUNCTION("""COMPUTED_VALUE"""),499.0)</f>
        <v>499</v>
      </c>
      <c r="W409" s="1">
        <f>IFERROR(__xludf.DUMMYFUNCTION("""COMPUTED_VALUE"""),603.0)</f>
        <v>603</v>
      </c>
      <c r="X409" s="1">
        <f>IFERROR(__xludf.DUMMYFUNCTION("""COMPUTED_VALUE"""),1570.0)</f>
        <v>1570</v>
      </c>
      <c r="Y409" s="2"/>
      <c r="Z409" s="2"/>
    </row>
    <row r="410">
      <c r="A410" s="1">
        <f>IFERROR(__xludf.DUMMYFUNCTION("""COMPUTED_VALUE"""),409.0)</f>
        <v>409</v>
      </c>
      <c r="B410" s="1">
        <f>IFERROR(__xludf.DUMMYFUNCTION("""COMPUTED_VALUE"""),10259.0)</f>
        <v>10259</v>
      </c>
      <c r="C410" s="2" t="str">
        <f>IFERROR(__xludf.DUMMYFUNCTION("""COMPUTED_VALUE"""),"rezkys")</f>
        <v>rezkys</v>
      </c>
      <c r="D410" s="2" t="str">
        <f>IFERROR(__xludf.DUMMYFUNCTION("""COMPUTED_VALUE"""),"10KM OVERALL M")</f>
        <v>10KM OVERALL M</v>
      </c>
      <c r="E410" s="1">
        <f>IFERROR(__xludf.DUMMYFUNCTION("""COMPUTED_VALUE"""),1.0)</f>
        <v>1</v>
      </c>
      <c r="F410" s="1" t="str">
        <f>IFERROR(__xludf.DUMMYFUNCTION("""COMPUTED_VALUE"""),"Male")</f>
        <v>Male</v>
      </c>
      <c r="G410" s="4" t="b">
        <f>IFERROR(__xludf.DUMMYFUNCTION("""COMPUTED_VALUE"""),TRUE)</f>
        <v>1</v>
      </c>
      <c r="H410" s="4" t="b">
        <f>IFERROR(__xludf.DUMMYFUNCTION("""COMPUTED_VALUE"""),TRUE)</f>
        <v>1</v>
      </c>
      <c r="I410" s="4">
        <f>IFERROR(__xludf.DUMMYFUNCTION("""COMPUTED_VALUE"""),0.24646185185185185)</f>
        <v>0.2464618519</v>
      </c>
      <c r="J410" s="4">
        <f>IFERROR(__xludf.DUMMYFUNCTION("""COMPUTED_VALUE"""),45949.2586516943)</f>
        <v>45949.25865</v>
      </c>
      <c r="K410" s="4">
        <f>IFERROR(__xludf.DUMMYFUNCTION("""COMPUTED_VALUE"""),45949.29534634846)</f>
        <v>45949.29535</v>
      </c>
      <c r="L410" s="4">
        <f>IFERROR(__xludf.DUMMYFUNCTION("""COMPUTED_VALUE"""),45949.30492518413)</f>
        <v>45949.30493</v>
      </c>
      <c r="M410" s="1" t="str">
        <f>IFERROR(__xludf.DUMMYFUNCTION("""COMPUTED_VALUE"""),"RFID")</f>
        <v>RFID</v>
      </c>
      <c r="N410" s="5">
        <f>IFERROR(__xludf.DUMMYFUNCTION("""COMPUTED_VALUE"""),0.004875935185185185)</f>
        <v>0.004875935185</v>
      </c>
      <c r="O410" s="5">
        <f>IFERROR(__xludf.DUMMYFUNCTION("""COMPUTED_VALUE"""),0.014677861111111112)</f>
        <v>0.01467786111</v>
      </c>
      <c r="P410" s="5">
        <f>IFERROR(__xludf.DUMMYFUNCTION("""COMPUTED_VALUE"""),0.003941907683232178)</f>
        <v>0.003941907683</v>
      </c>
      <c r="Q410" s="5">
        <f>IFERROR(__xludf.DUMMYFUNCTION("""COMPUTED_VALUE"""),0.005846333333333334)</f>
        <v>0.005846333333</v>
      </c>
      <c r="R410" s="4">
        <f>IFERROR(__xludf.DUMMYFUNCTION("""COMPUTED_VALUE"""),45949.05846333228)</f>
        <v>45949.05846</v>
      </c>
      <c r="S410" s="1" t="b">
        <f>IFERROR(__xludf.DUMMYFUNCTION("""COMPUTED_VALUE"""),TRUE)</f>
        <v>1</v>
      </c>
      <c r="T410" s="1" t="b">
        <f>IFERROR(__xludf.DUMMYFUNCTION("""COMPUTED_VALUE"""),FALSE)</f>
        <v>0</v>
      </c>
      <c r="U410" s="1" t="str">
        <f>IFERROR(__xludf.DUMMYFUNCTION("""COMPUTED_VALUE"""),"VALID")</f>
        <v>VALID</v>
      </c>
      <c r="V410" s="1">
        <f>IFERROR(__xludf.DUMMYFUNCTION("""COMPUTED_VALUE"""),515.0)</f>
        <v>515</v>
      </c>
      <c r="W410" s="1">
        <f>IFERROR(__xludf.DUMMYFUNCTION("""COMPUTED_VALUE"""),626.0)</f>
        <v>626</v>
      </c>
      <c r="X410" s="1">
        <f>IFERROR(__xludf.DUMMYFUNCTION("""COMPUTED_VALUE"""),1589.0)</f>
        <v>1589</v>
      </c>
      <c r="Y410" s="2"/>
      <c r="Z410" s="2"/>
    </row>
    <row r="411">
      <c r="A411" s="1">
        <f>IFERROR(__xludf.DUMMYFUNCTION("""COMPUTED_VALUE"""),410.0)</f>
        <v>410</v>
      </c>
      <c r="B411" s="1">
        <f>IFERROR(__xludf.DUMMYFUNCTION("""COMPUTED_VALUE"""),10260.0)</f>
        <v>10260</v>
      </c>
      <c r="C411" s="2" t="str">
        <f>IFERROR(__xludf.DUMMYFUNCTION("""COMPUTED_VALUE"""),"Uncle Joe")</f>
        <v>Uncle Joe</v>
      </c>
      <c r="D411" s="2" t="str">
        <f>IFERROR(__xludf.DUMMYFUNCTION("""COMPUTED_VALUE"""),"10KM OVERALL M")</f>
        <v>10KM OVERALL M</v>
      </c>
      <c r="E411" s="1">
        <f>IFERROR(__xludf.DUMMYFUNCTION("""COMPUTED_VALUE"""),1.0)</f>
        <v>1</v>
      </c>
      <c r="F411" s="1" t="str">
        <f>IFERROR(__xludf.DUMMYFUNCTION("""COMPUTED_VALUE"""),"Male")</f>
        <v>Male</v>
      </c>
      <c r="G411" s="4" t="str">
        <f>IFERROR(__xludf.DUMMYFUNCTION("""COMPUTED_VALUE"""),"")</f>
        <v/>
      </c>
      <c r="H411" s="4" t="b">
        <f>IFERROR(__xludf.DUMMYFUNCTION("""COMPUTED_VALUE"""),FALSE)</f>
        <v>0</v>
      </c>
      <c r="I411" s="4">
        <f>IFERROR(__xludf.DUMMYFUNCTION("""COMPUTED_VALUE"""),0.24646185185185185)</f>
        <v>0.2464618519</v>
      </c>
      <c r="J411" s="4" t="str">
        <f>IFERROR(__xludf.DUMMYFUNCTION("""COMPUTED_VALUE"""),"")</f>
        <v/>
      </c>
      <c r="K411" s="4" t="str">
        <f>IFERROR(__xludf.DUMMYFUNCTION("""COMPUTED_VALUE"""),"")</f>
        <v/>
      </c>
      <c r="L411" s="4" t="str">
        <f>IFERROR(__xludf.DUMMYFUNCTION("""COMPUTED_VALUE"""),"")</f>
        <v/>
      </c>
      <c r="M411" s="1" t="str">
        <f>IFERROR(__xludf.DUMMYFUNCTION("""COMPUTED_VALUE"""),"RFID")</f>
        <v>RFID</v>
      </c>
      <c r="N411" s="5" t="str">
        <f>IFERROR(__xludf.DUMMYFUNCTION("""COMPUTED_VALUE"""),"")</f>
        <v/>
      </c>
      <c r="O411" s="5" t="str">
        <f>IFERROR(__xludf.DUMMYFUNCTION("""COMPUTED_VALUE"""),"")</f>
        <v/>
      </c>
      <c r="P411" s="5" t="str">
        <f>IFERROR(__xludf.DUMMYFUNCTION("""COMPUTED_VALUE"""),"")</f>
        <v/>
      </c>
      <c r="Q411" s="5" t="str">
        <f>IFERROR(__xludf.DUMMYFUNCTION("""COMPUTED_VALUE"""),"")</f>
        <v/>
      </c>
      <c r="R411" s="4" t="str">
        <f>IFERROR(__xludf.DUMMYFUNCTION("""COMPUTED_VALUE"""),"")</f>
        <v/>
      </c>
      <c r="S411" s="1" t="b">
        <f>IFERROR(__xludf.DUMMYFUNCTION("""COMPUTED_VALUE"""),FALSE)</f>
        <v>0</v>
      </c>
      <c r="T411" s="1" t="b">
        <f>IFERROR(__xludf.DUMMYFUNCTION("""COMPUTED_VALUE"""),FALSE)</f>
        <v>0</v>
      </c>
      <c r="U411" s="1" t="str">
        <f>IFERROR(__xludf.DUMMYFUNCTION("""COMPUTED_VALUE"""),"DSQ")</f>
        <v>DSQ</v>
      </c>
      <c r="V411" s="1" t="str">
        <f>IFERROR(__xludf.DUMMYFUNCTION("""COMPUTED_VALUE"""),"DSQ")</f>
        <v>DSQ</v>
      </c>
      <c r="W411" s="1" t="str">
        <f>IFERROR(__xludf.DUMMYFUNCTION("""COMPUTED_VALUE"""),"DSQ")</f>
        <v>DSQ</v>
      </c>
      <c r="X411" s="1" t="str">
        <f>IFERROR(__xludf.DUMMYFUNCTION("""COMPUTED_VALUE"""),"DSQ")</f>
        <v>DSQ</v>
      </c>
      <c r="Y411" s="2"/>
      <c r="Z411" s="2" t="str">
        <f>IFERROR(__xludf.DUMMYFUNCTION("""COMPUTED_VALUE"""),"")</f>
        <v/>
      </c>
    </row>
    <row r="412">
      <c r="A412" s="1">
        <f>IFERROR(__xludf.DUMMYFUNCTION("""COMPUTED_VALUE"""),411.0)</f>
        <v>411</v>
      </c>
      <c r="B412" s="1">
        <f>IFERROR(__xludf.DUMMYFUNCTION("""COMPUTED_VALUE"""),10261.0)</f>
        <v>10261</v>
      </c>
      <c r="C412" s="2" t="str">
        <f>IFERROR(__xludf.DUMMYFUNCTION("""COMPUTED_VALUE"""),"Sibumatus")</f>
        <v>Sibumatus</v>
      </c>
      <c r="D412" s="2" t="str">
        <f>IFERROR(__xludf.DUMMYFUNCTION("""COMPUTED_VALUE"""),"10KM OVERALL M")</f>
        <v>10KM OVERALL M</v>
      </c>
      <c r="E412" s="1">
        <f>IFERROR(__xludf.DUMMYFUNCTION("""COMPUTED_VALUE"""),1.0)</f>
        <v>1</v>
      </c>
      <c r="F412" s="1" t="str">
        <f>IFERROR(__xludf.DUMMYFUNCTION("""COMPUTED_VALUE"""),"Male")</f>
        <v>Male</v>
      </c>
      <c r="G412" s="4" t="b">
        <f>IFERROR(__xludf.DUMMYFUNCTION("""COMPUTED_VALUE"""),TRUE)</f>
        <v>1</v>
      </c>
      <c r="H412" s="4" t="b">
        <f>IFERROR(__xludf.DUMMYFUNCTION("""COMPUTED_VALUE"""),TRUE)</f>
        <v>1</v>
      </c>
      <c r="I412" s="4">
        <f>IFERROR(__xludf.DUMMYFUNCTION("""COMPUTED_VALUE"""),0.24646185185185185)</f>
        <v>0.2464618519</v>
      </c>
      <c r="J412" s="4">
        <f>IFERROR(__xludf.DUMMYFUNCTION("""COMPUTED_VALUE"""),45949.25762747738)</f>
        <v>45949.25763</v>
      </c>
      <c r="K412" s="4">
        <f>IFERROR(__xludf.DUMMYFUNCTION("""COMPUTED_VALUE"""),45949.290138888886)</f>
        <v>45949.29014</v>
      </c>
      <c r="L412" s="4">
        <f>IFERROR(__xludf.DUMMYFUNCTION("""COMPUTED_VALUE"""),45949.30242860858)</f>
        <v>45949.30243</v>
      </c>
      <c r="M412" s="1" t="str">
        <f>IFERROR(__xludf.DUMMYFUNCTION("""COMPUTED_VALUE"""),"RFID")</f>
        <v>RFID</v>
      </c>
      <c r="N412" s="5">
        <f>IFERROR(__xludf.DUMMYFUNCTION("""COMPUTED_VALUE"""),0.00446625)</f>
        <v>0.00446625</v>
      </c>
      <c r="O412" s="5">
        <f>IFERROR(__xludf.DUMMYFUNCTION("""COMPUTED_VALUE"""),0.013004564814814814)</f>
        <v>0.01300456481</v>
      </c>
      <c r="P412" s="5">
        <f>IFERROR(__xludf.DUMMYFUNCTION("""COMPUTED_VALUE"""),0.005057497815839341)</f>
        <v>0.005057497816</v>
      </c>
      <c r="Q412" s="5">
        <f>IFERROR(__xludf.DUMMYFUNCTION("""COMPUTED_VALUE"""),0.005596675925925927)</f>
        <v>0.005596675926</v>
      </c>
      <c r="R412" s="4">
        <f>IFERROR(__xludf.DUMMYFUNCTION("""COMPUTED_VALUE"""),45949.05596675673)</f>
        <v>45949.05597</v>
      </c>
      <c r="S412" s="1" t="b">
        <f>IFERROR(__xludf.DUMMYFUNCTION("""COMPUTED_VALUE"""),TRUE)</f>
        <v>1</v>
      </c>
      <c r="T412" s="1" t="b">
        <f>IFERROR(__xludf.DUMMYFUNCTION("""COMPUTED_VALUE"""),FALSE)</f>
        <v>0</v>
      </c>
      <c r="U412" s="1" t="str">
        <f>IFERROR(__xludf.DUMMYFUNCTION("""COMPUTED_VALUE"""),"VALID")</f>
        <v>VALID</v>
      </c>
      <c r="V412" s="1">
        <f>IFERROR(__xludf.DUMMYFUNCTION("""COMPUTED_VALUE"""),481.0)</f>
        <v>481</v>
      </c>
      <c r="W412" s="1">
        <f>IFERROR(__xludf.DUMMYFUNCTION("""COMPUTED_VALUE"""),576.0)</f>
        <v>576</v>
      </c>
      <c r="X412" s="1">
        <f>IFERROR(__xludf.DUMMYFUNCTION("""COMPUTED_VALUE"""),1547.0)</f>
        <v>1547</v>
      </c>
      <c r="Y412" s="2"/>
      <c r="Z412" s="2"/>
    </row>
    <row r="413">
      <c r="A413" s="1">
        <f>IFERROR(__xludf.DUMMYFUNCTION("""COMPUTED_VALUE"""),412.0)</f>
        <v>412</v>
      </c>
      <c r="B413" s="1">
        <f>IFERROR(__xludf.DUMMYFUNCTION("""COMPUTED_VALUE"""),10262.0)</f>
        <v>10262</v>
      </c>
      <c r="C413" s="2" t="str">
        <f>IFERROR(__xludf.DUMMYFUNCTION("""COMPUTED_VALUE"""),"Doni Martien Laksono")</f>
        <v>Doni Martien Laksono</v>
      </c>
      <c r="D413" s="2" t="str">
        <f>IFERROR(__xludf.DUMMYFUNCTION("""COMPUTED_VALUE"""),"10KM OVERALL M")</f>
        <v>10KM OVERALL M</v>
      </c>
      <c r="E413" s="1">
        <f>IFERROR(__xludf.DUMMYFUNCTION("""COMPUTED_VALUE"""),1.0)</f>
        <v>1</v>
      </c>
      <c r="F413" s="1" t="str">
        <f>IFERROR(__xludf.DUMMYFUNCTION("""COMPUTED_VALUE"""),"Male")</f>
        <v>Male</v>
      </c>
      <c r="G413" s="4" t="str">
        <f>IFERROR(__xludf.DUMMYFUNCTION("""COMPUTED_VALUE"""),"")</f>
        <v/>
      </c>
      <c r="H413" s="4" t="b">
        <f>IFERROR(__xludf.DUMMYFUNCTION("""COMPUTED_VALUE"""),TRUE)</f>
        <v>1</v>
      </c>
      <c r="I413" s="4">
        <f>IFERROR(__xludf.DUMMYFUNCTION("""COMPUTED_VALUE"""),0.24646185185185185)</f>
        <v>0.2464618519</v>
      </c>
      <c r="J413" s="4">
        <f>IFERROR(__xludf.DUMMYFUNCTION("""COMPUTED_VALUE"""),45949.26335655929)</f>
        <v>45949.26336</v>
      </c>
      <c r="K413" s="4">
        <f>IFERROR(__xludf.DUMMYFUNCTION("""COMPUTED_VALUE"""),45949.31112765098)</f>
        <v>45949.31113</v>
      </c>
      <c r="L413" s="4">
        <f>IFERROR(__xludf.DUMMYFUNCTION("""COMPUTED_VALUE"""),45949.32466128128)</f>
        <v>45949.32466</v>
      </c>
      <c r="M413" s="1" t="str">
        <f>IFERROR(__xludf.DUMMYFUNCTION("""COMPUTED_VALUE"""),"RFID")</f>
        <v>RFID</v>
      </c>
      <c r="N413" s="5">
        <f>IFERROR(__xludf.DUMMYFUNCTION("""COMPUTED_VALUE"""),0.006757884259259259)</f>
        <v>0.006757884259</v>
      </c>
      <c r="O413" s="5">
        <f>IFERROR(__xludf.DUMMYFUNCTION("""COMPUTED_VALUE"""),0.019108435185185183)</f>
        <v>0.01910843519</v>
      </c>
      <c r="P413" s="5">
        <f>IFERROR(__xludf.DUMMYFUNCTION("""COMPUTED_VALUE"""),0.005569395184858966)</f>
        <v>0.005569395185</v>
      </c>
      <c r="Q413" s="5">
        <f>IFERROR(__xludf.DUMMYFUNCTION("""COMPUTED_VALUE"""),0.007819943287037038)</f>
        <v>0.007819943287</v>
      </c>
      <c r="R413" s="4">
        <f>IFERROR(__xludf.DUMMYFUNCTION("""COMPUTED_VALUE"""),45949.07819942943)</f>
        <v>45949.0782</v>
      </c>
      <c r="S413" s="1" t="b">
        <f>IFERROR(__xludf.DUMMYFUNCTION("""COMPUTED_VALUE"""),TRUE)</f>
        <v>1</v>
      </c>
      <c r="T413" s="1" t="b">
        <f>IFERROR(__xludf.DUMMYFUNCTION("""COMPUTED_VALUE"""),FALSE)</f>
        <v>0</v>
      </c>
      <c r="U413" s="1" t="str">
        <f>IFERROR(__xludf.DUMMYFUNCTION("""COMPUTED_VALUE"""),"VALID")</f>
        <v>VALID</v>
      </c>
      <c r="V413" s="1">
        <f>IFERROR(__xludf.DUMMYFUNCTION("""COMPUTED_VALUE"""),605.0)</f>
        <v>605</v>
      </c>
      <c r="W413" s="1">
        <f>IFERROR(__xludf.DUMMYFUNCTION("""COMPUTED_VALUE"""),754.0)</f>
        <v>754</v>
      </c>
      <c r="X413" s="1">
        <f>IFERROR(__xludf.DUMMYFUNCTION("""COMPUTED_VALUE"""),1679.0)</f>
        <v>1679</v>
      </c>
      <c r="Y413" s="2"/>
      <c r="Z413" s="2"/>
    </row>
    <row r="414">
      <c r="A414" s="1">
        <f>IFERROR(__xludf.DUMMYFUNCTION("""COMPUTED_VALUE"""),413.0)</f>
        <v>413</v>
      </c>
      <c r="B414" s="1">
        <f>IFERROR(__xludf.DUMMYFUNCTION("""COMPUTED_VALUE"""),10263.0)</f>
        <v>10263</v>
      </c>
      <c r="C414" s="2" t="str">
        <f>IFERROR(__xludf.DUMMYFUNCTION("""COMPUTED_VALUE"""),"Kucing Loreng")</f>
        <v>Kucing Loreng</v>
      </c>
      <c r="D414" s="2" t="str">
        <f>IFERROR(__xludf.DUMMYFUNCTION("""COMPUTED_VALUE"""),"10KM OVERALL M")</f>
        <v>10KM OVERALL M</v>
      </c>
      <c r="E414" s="1">
        <f>IFERROR(__xludf.DUMMYFUNCTION("""COMPUTED_VALUE"""),1.0)</f>
        <v>1</v>
      </c>
      <c r="F414" s="1" t="str">
        <f>IFERROR(__xludf.DUMMYFUNCTION("""COMPUTED_VALUE"""),"Male")</f>
        <v>Male</v>
      </c>
      <c r="G414" s="4" t="b">
        <f>IFERROR(__xludf.DUMMYFUNCTION("""COMPUTED_VALUE"""),TRUE)</f>
        <v>1</v>
      </c>
      <c r="H414" s="4" t="b">
        <f>IFERROR(__xludf.DUMMYFUNCTION("""COMPUTED_VALUE"""),TRUE)</f>
        <v>1</v>
      </c>
      <c r="I414" s="4">
        <f>IFERROR(__xludf.DUMMYFUNCTION("""COMPUTED_VALUE"""),0.24646185185185185)</f>
        <v>0.2464618519</v>
      </c>
      <c r="J414" s="4">
        <f>IFERROR(__xludf.DUMMYFUNCTION("""COMPUTED_VALUE"""),45949.25439133108)</f>
        <v>45949.25439</v>
      </c>
      <c r="K414" s="4">
        <f>IFERROR(__xludf.DUMMYFUNCTION("""COMPUTED_VALUE"""),45949.27530261271)</f>
        <v>45949.2753</v>
      </c>
      <c r="L414" s="4">
        <f>IFERROR(__xludf.DUMMYFUNCTION("""COMPUTED_VALUE"""),45949.28136614935)</f>
        <v>45949.28137</v>
      </c>
      <c r="M414" s="1" t="str">
        <f>IFERROR(__xludf.DUMMYFUNCTION("""COMPUTED_VALUE"""),"RFID")</f>
        <v>RFID</v>
      </c>
      <c r="N414" s="5">
        <f>IFERROR(__xludf.DUMMYFUNCTION("""COMPUTED_VALUE"""),0.0031717916666666665)</f>
        <v>0.003171791667</v>
      </c>
      <c r="O414" s="5">
        <f>IFERROR(__xludf.DUMMYFUNCTION("""COMPUTED_VALUE"""),0.008364513888888888)</f>
        <v>0.008364513889</v>
      </c>
      <c r="P414" s="5">
        <f>IFERROR(__xludf.DUMMYFUNCTION("""COMPUTED_VALUE"""),0.002495282567479866)</f>
        <v>0.002495282567</v>
      </c>
      <c r="Q414" s="5">
        <f>IFERROR(__xludf.DUMMYFUNCTION("""COMPUTED_VALUE"""),0.0034904293981481483)</f>
        <v>0.003490429398</v>
      </c>
      <c r="R414" s="4">
        <f>IFERROR(__xludf.DUMMYFUNCTION("""COMPUTED_VALUE"""),45949.0349042975)</f>
        <v>45949.0349</v>
      </c>
      <c r="S414" s="1" t="b">
        <f>IFERROR(__xludf.DUMMYFUNCTION("""COMPUTED_VALUE"""),TRUE)</f>
        <v>1</v>
      </c>
      <c r="T414" s="1" t="b">
        <f>IFERROR(__xludf.DUMMYFUNCTION("""COMPUTED_VALUE"""),FALSE)</f>
        <v>0</v>
      </c>
      <c r="U414" s="1" t="str">
        <f>IFERROR(__xludf.DUMMYFUNCTION("""COMPUTED_VALUE"""),"VALID")</f>
        <v>VALID</v>
      </c>
      <c r="V414" s="1">
        <f>IFERROR(__xludf.DUMMYFUNCTION("""COMPUTED_VALUE"""),27.0)</f>
        <v>27</v>
      </c>
      <c r="W414" s="1">
        <f>IFERROR(__xludf.DUMMYFUNCTION("""COMPUTED_VALUE"""),35.0)</f>
        <v>35</v>
      </c>
      <c r="X414" s="1">
        <f>IFERROR(__xludf.DUMMYFUNCTION("""COMPUTED_VALUE"""),719.0)</f>
        <v>719</v>
      </c>
      <c r="Y414" s="2"/>
      <c r="Z414" s="2"/>
    </row>
    <row r="415">
      <c r="A415" s="1">
        <f>IFERROR(__xludf.DUMMYFUNCTION("""COMPUTED_VALUE"""),414.0)</f>
        <v>414</v>
      </c>
      <c r="B415" s="1">
        <f>IFERROR(__xludf.DUMMYFUNCTION("""COMPUTED_VALUE"""),10264.0)</f>
        <v>10264</v>
      </c>
      <c r="C415" s="2" t="str">
        <f>IFERROR(__xludf.DUMMYFUNCTION("""COMPUTED_VALUE"""),"RIZAL ANUGRAH SUSANDHIE")</f>
        <v>RIZAL ANUGRAH SUSANDHIE</v>
      </c>
      <c r="D415" s="2" t="str">
        <f>IFERROR(__xludf.DUMMYFUNCTION("""COMPUTED_VALUE"""),"10KM OVERALL M")</f>
        <v>10KM OVERALL M</v>
      </c>
      <c r="E415" s="1">
        <f>IFERROR(__xludf.DUMMYFUNCTION("""COMPUTED_VALUE"""),1.0)</f>
        <v>1</v>
      </c>
      <c r="F415" s="1" t="str">
        <f>IFERROR(__xludf.DUMMYFUNCTION("""COMPUTED_VALUE"""),"Male")</f>
        <v>Male</v>
      </c>
      <c r="G415" s="4" t="b">
        <f>IFERROR(__xludf.DUMMYFUNCTION("""COMPUTED_VALUE"""),TRUE)</f>
        <v>1</v>
      </c>
      <c r="H415" s="4" t="b">
        <f>IFERROR(__xludf.DUMMYFUNCTION("""COMPUTED_VALUE"""),TRUE)</f>
        <v>1</v>
      </c>
      <c r="I415" s="4">
        <f>IFERROR(__xludf.DUMMYFUNCTION("""COMPUTED_VALUE"""),0.24646185185185185)</f>
        <v>0.2464618519</v>
      </c>
      <c r="J415" s="4">
        <f>IFERROR(__xludf.DUMMYFUNCTION("""COMPUTED_VALUE"""),45949.25580099165)</f>
        <v>45949.2558</v>
      </c>
      <c r="K415" s="4">
        <f>IFERROR(__xludf.DUMMYFUNCTION("""COMPUTED_VALUE"""),45949.27636857795)</f>
        <v>45949.27637</v>
      </c>
      <c r="L415" s="4">
        <f>IFERROR(__xludf.DUMMYFUNCTION("""COMPUTED_VALUE"""),45949.282147394675)</f>
        <v>45949.28215</v>
      </c>
      <c r="M415" s="1" t="str">
        <f>IFERROR(__xludf.DUMMYFUNCTION("""COMPUTED_VALUE"""),"RFID")</f>
        <v>RFID</v>
      </c>
      <c r="N415" s="5">
        <f>IFERROR(__xludf.DUMMYFUNCTION("""COMPUTED_VALUE"""),0.0037356574074074076)</f>
        <v>0.003735657407</v>
      </c>
      <c r="O415" s="5">
        <f>IFERROR(__xludf.DUMMYFUNCTION("""COMPUTED_VALUE"""),0.008227032407407407)</f>
        <v>0.008227032407</v>
      </c>
      <c r="P415" s="5">
        <f>IFERROR(__xludf.DUMMYFUNCTION("""COMPUTED_VALUE"""),0.0023781138786292968)</f>
        <v>0.002378113879</v>
      </c>
      <c r="Q415" s="5">
        <f>IFERROR(__xludf.DUMMYFUNCTION("""COMPUTED_VALUE"""),0.003568554398148149)</f>
        <v>0.003568554398</v>
      </c>
      <c r="R415" s="4">
        <f>IFERROR(__xludf.DUMMYFUNCTION("""COMPUTED_VALUE"""),45949.035685542825)</f>
        <v>45949.03569</v>
      </c>
      <c r="S415" s="1" t="b">
        <f>IFERROR(__xludf.DUMMYFUNCTION("""COMPUTED_VALUE"""),TRUE)</f>
        <v>1</v>
      </c>
      <c r="T415" s="1" t="b">
        <f>IFERROR(__xludf.DUMMYFUNCTION("""COMPUTED_VALUE"""),FALSE)</f>
        <v>0</v>
      </c>
      <c r="U415" s="1" t="str">
        <f>IFERROR(__xludf.DUMMYFUNCTION("""COMPUTED_VALUE"""),"VALID")</f>
        <v>VALID</v>
      </c>
      <c r="V415" s="1">
        <f>IFERROR(__xludf.DUMMYFUNCTION("""COMPUTED_VALUE"""),39.0)</f>
        <v>39</v>
      </c>
      <c r="W415" s="1">
        <f>IFERROR(__xludf.DUMMYFUNCTION("""COMPUTED_VALUE"""),49.0)</f>
        <v>49</v>
      </c>
      <c r="X415" s="1">
        <f>IFERROR(__xludf.DUMMYFUNCTION("""COMPUTED_VALUE"""),761.0)</f>
        <v>761</v>
      </c>
      <c r="Y415" s="2"/>
      <c r="Z415" s="2"/>
    </row>
    <row r="416">
      <c r="A416" s="1">
        <f>IFERROR(__xludf.DUMMYFUNCTION("""COMPUTED_VALUE"""),415.0)</f>
        <v>415</v>
      </c>
      <c r="B416" s="1">
        <f>IFERROR(__xludf.DUMMYFUNCTION("""COMPUTED_VALUE"""),10265.0)</f>
        <v>10265</v>
      </c>
      <c r="C416" s="2" t="str">
        <f>IFERROR(__xludf.DUMMYFUNCTION("""COMPUTED_VALUE"""),"TopanS")</f>
        <v>TopanS</v>
      </c>
      <c r="D416" s="2" t="str">
        <f>IFERROR(__xludf.DUMMYFUNCTION("""COMPUTED_VALUE"""),"10KM OVERALL M")</f>
        <v>10KM OVERALL M</v>
      </c>
      <c r="E416" s="1">
        <f>IFERROR(__xludf.DUMMYFUNCTION("""COMPUTED_VALUE"""),1.0)</f>
        <v>1</v>
      </c>
      <c r="F416" s="1" t="str">
        <f>IFERROR(__xludf.DUMMYFUNCTION("""COMPUTED_VALUE"""),"Male")</f>
        <v>Male</v>
      </c>
      <c r="G416" s="4" t="b">
        <f>IFERROR(__xludf.DUMMYFUNCTION("""COMPUTED_VALUE"""),TRUE)</f>
        <v>1</v>
      </c>
      <c r="H416" s="4" t="b">
        <f>IFERROR(__xludf.DUMMYFUNCTION("""COMPUTED_VALUE"""),TRUE)</f>
        <v>1</v>
      </c>
      <c r="I416" s="4">
        <f>IFERROR(__xludf.DUMMYFUNCTION("""COMPUTED_VALUE"""),0.24646185185185185)</f>
        <v>0.2464618519</v>
      </c>
      <c r="J416" s="4">
        <f>IFERROR(__xludf.DUMMYFUNCTION("""COMPUTED_VALUE"""),45949.25731488186)</f>
        <v>45949.25731</v>
      </c>
      <c r="K416" s="4">
        <f>IFERROR(__xludf.DUMMYFUNCTION("""COMPUTED_VALUE"""),45949.290818598536)</f>
        <v>45949.29082</v>
      </c>
      <c r="L416" s="4">
        <f>IFERROR(__xludf.DUMMYFUNCTION("""COMPUTED_VALUE"""),45949.300605726945)</f>
        <v>45949.30061</v>
      </c>
      <c r="M416" s="1" t="str">
        <f>IFERROR(__xludf.DUMMYFUNCTION("""COMPUTED_VALUE"""),"RFID")</f>
        <v>RFID</v>
      </c>
      <c r="N416" s="5">
        <f>IFERROR(__xludf.DUMMYFUNCTION("""COMPUTED_VALUE"""),0.0043412129629629625)</f>
        <v>0.004341212963</v>
      </c>
      <c r="O416" s="5">
        <f>IFERROR(__xludf.DUMMYFUNCTION("""COMPUTED_VALUE"""),0.01340148611111111)</f>
        <v>0.01340148611</v>
      </c>
      <c r="P416" s="5">
        <f>IFERROR(__xludf.DUMMYFUNCTION("""COMPUTED_VALUE"""),0.004027624859583828)</f>
        <v>0.00402762486</v>
      </c>
      <c r="Q416" s="5">
        <f>IFERROR(__xludf.DUMMYFUNCTION("""COMPUTED_VALUE"""),0.005414387731481481)</f>
        <v>0.005414387731</v>
      </c>
      <c r="R416" s="4">
        <f>IFERROR(__xludf.DUMMYFUNCTION("""COMPUTED_VALUE"""),45949.054143875095)</f>
        <v>45949.05414</v>
      </c>
      <c r="S416" s="1" t="b">
        <f>IFERROR(__xludf.DUMMYFUNCTION("""COMPUTED_VALUE"""),TRUE)</f>
        <v>1</v>
      </c>
      <c r="T416" s="1" t="b">
        <f>IFERROR(__xludf.DUMMYFUNCTION("""COMPUTED_VALUE"""),FALSE)</f>
        <v>0</v>
      </c>
      <c r="U416" s="1" t="str">
        <f>IFERROR(__xludf.DUMMYFUNCTION("""COMPUTED_VALUE"""),"VALID")</f>
        <v>VALID</v>
      </c>
      <c r="V416" s="1">
        <f>IFERROR(__xludf.DUMMYFUNCTION("""COMPUTED_VALUE"""),430.0)</f>
        <v>430</v>
      </c>
      <c r="W416" s="1">
        <f>IFERROR(__xludf.DUMMYFUNCTION("""COMPUTED_VALUE"""),512.0)</f>
        <v>512</v>
      </c>
      <c r="X416" s="1">
        <f>IFERROR(__xludf.DUMMYFUNCTION("""COMPUTED_VALUE"""),1490.0)</f>
        <v>1490</v>
      </c>
      <c r="Y416" s="2"/>
      <c r="Z416" s="2"/>
    </row>
    <row r="417">
      <c r="A417" s="1">
        <f>IFERROR(__xludf.DUMMYFUNCTION("""COMPUTED_VALUE"""),416.0)</f>
        <v>416</v>
      </c>
      <c r="B417" s="1">
        <f>IFERROR(__xludf.DUMMYFUNCTION("""COMPUTED_VALUE"""),10266.0)</f>
        <v>10266</v>
      </c>
      <c r="C417" s="2" t="str">
        <f>IFERROR(__xludf.DUMMYFUNCTION("""COMPUTED_VALUE"""),"Medi")</f>
        <v>Medi</v>
      </c>
      <c r="D417" s="2" t="str">
        <f>IFERROR(__xludf.DUMMYFUNCTION("""COMPUTED_VALUE"""),"10KM OVERALL M")</f>
        <v>10KM OVERALL M</v>
      </c>
      <c r="E417" s="1">
        <f>IFERROR(__xludf.DUMMYFUNCTION("""COMPUTED_VALUE"""),1.0)</f>
        <v>1</v>
      </c>
      <c r="F417" s="1" t="str">
        <f>IFERROR(__xludf.DUMMYFUNCTION("""COMPUTED_VALUE"""),"Male")</f>
        <v>Male</v>
      </c>
      <c r="G417" s="4" t="str">
        <f>IFERROR(__xludf.DUMMYFUNCTION("""COMPUTED_VALUE"""),"")</f>
        <v/>
      </c>
      <c r="H417" s="4" t="b">
        <f>IFERROR(__xludf.DUMMYFUNCTION("""COMPUTED_VALUE"""),FALSE)</f>
        <v>0</v>
      </c>
      <c r="I417" s="4">
        <f>IFERROR(__xludf.DUMMYFUNCTION("""COMPUTED_VALUE"""),0.24646185185185185)</f>
        <v>0.2464618519</v>
      </c>
      <c r="J417" s="4">
        <f>IFERROR(__xludf.DUMMYFUNCTION("""COMPUTED_VALUE"""),45949.293248983464)</f>
        <v>45949.29325</v>
      </c>
      <c r="K417" s="4">
        <f>IFERROR(__xludf.DUMMYFUNCTION("""COMPUTED_VALUE"""),45949.32232897891)</f>
        <v>45949.32233</v>
      </c>
      <c r="L417" s="4">
        <f>IFERROR(__xludf.DUMMYFUNCTION("""COMPUTED_VALUE"""),45949.28299811234)</f>
        <v>45949.283</v>
      </c>
      <c r="M417" s="1" t="str">
        <f>IFERROR(__xludf.DUMMYFUNCTION("""COMPUTED_VALUE"""),"RFID")</f>
        <v>RFID</v>
      </c>
      <c r="N417" s="5">
        <f>IFERROR(__xludf.DUMMYFUNCTION("""COMPUTED_VALUE"""),0.01871485185185185)</f>
        <v>0.01871485185</v>
      </c>
      <c r="O417" s="5">
        <f>IFERROR(__xludf.DUMMYFUNCTION("""COMPUTED_VALUE"""),0.011632)</f>
        <v>0.011632</v>
      </c>
      <c r="P417" s="5">
        <f>IFERROR(__xludf.DUMMYFUNCTION("""COMPUTED_VALUE"""),-0.016185541796773947)</f>
        <v>-0.0161855418</v>
      </c>
      <c r="Q417" s="5">
        <f>IFERROR(__xludf.DUMMYFUNCTION("""COMPUTED_VALUE"""),0.0036536261574074075)</f>
        <v>0.003653626157</v>
      </c>
      <c r="R417" s="4">
        <f>IFERROR(__xludf.DUMMYFUNCTION("""COMPUTED_VALUE"""),45949.03653626049)</f>
        <v>45949.03654</v>
      </c>
      <c r="S417" s="1" t="b">
        <f>IFERROR(__xludf.DUMMYFUNCTION("""COMPUTED_VALUE"""),TRUE)</f>
        <v>1</v>
      </c>
      <c r="T417" s="1" t="b">
        <f>IFERROR(__xludf.DUMMYFUNCTION("""COMPUTED_VALUE"""),FALSE)</f>
        <v>0</v>
      </c>
      <c r="U417" s="1" t="str">
        <f>IFERROR(__xludf.DUMMYFUNCTION("""COMPUTED_VALUE"""),"VALID")</f>
        <v>VALID</v>
      </c>
      <c r="V417" s="1">
        <f>IFERROR(__xludf.DUMMYFUNCTION("""COMPUTED_VALUE"""),53.0)</f>
        <v>53</v>
      </c>
      <c r="W417" s="1">
        <f>IFERROR(__xludf.DUMMYFUNCTION("""COMPUTED_VALUE"""),65.0)</f>
        <v>65</v>
      </c>
      <c r="X417" s="1">
        <f>IFERROR(__xludf.DUMMYFUNCTION("""COMPUTED_VALUE"""),808.0)</f>
        <v>808</v>
      </c>
      <c r="Y417" s="2"/>
      <c r="Z417" s="2"/>
    </row>
    <row r="418">
      <c r="A418" s="1">
        <f>IFERROR(__xludf.DUMMYFUNCTION("""COMPUTED_VALUE"""),417.0)</f>
        <v>417</v>
      </c>
      <c r="B418" s="1">
        <f>IFERROR(__xludf.DUMMYFUNCTION("""COMPUTED_VALUE"""),10267.0)</f>
        <v>10267</v>
      </c>
      <c r="C418" s="2" t="str">
        <f>IFERROR(__xludf.DUMMYFUNCTION("""COMPUTED_VALUE"""),"Royan Pratama")</f>
        <v>Royan Pratama</v>
      </c>
      <c r="D418" s="2" t="str">
        <f>IFERROR(__xludf.DUMMYFUNCTION("""COMPUTED_VALUE"""),"10KM OVERALL M")</f>
        <v>10KM OVERALL M</v>
      </c>
      <c r="E418" s="1">
        <f>IFERROR(__xludf.DUMMYFUNCTION("""COMPUTED_VALUE"""),1.0)</f>
        <v>1</v>
      </c>
      <c r="F418" s="1" t="str">
        <f>IFERROR(__xludf.DUMMYFUNCTION("""COMPUTED_VALUE"""),"Male")</f>
        <v>Male</v>
      </c>
      <c r="G418" s="4" t="b">
        <f>IFERROR(__xludf.DUMMYFUNCTION("""COMPUTED_VALUE"""),TRUE)</f>
        <v>1</v>
      </c>
      <c r="H418" s="4" t="b">
        <f>IFERROR(__xludf.DUMMYFUNCTION("""COMPUTED_VALUE"""),TRUE)</f>
        <v>1</v>
      </c>
      <c r="I418" s="4">
        <f>IFERROR(__xludf.DUMMYFUNCTION("""COMPUTED_VALUE"""),0.24646185185185185)</f>
        <v>0.2464618519</v>
      </c>
      <c r="J418" s="4">
        <f>IFERROR(__xludf.DUMMYFUNCTION("""COMPUTED_VALUE"""),45949.25463434563)</f>
        <v>45949.25463</v>
      </c>
      <c r="K418" s="4">
        <f>IFERROR(__xludf.DUMMYFUNCTION("""COMPUTED_VALUE"""),45949.27589290574)</f>
        <v>45949.27589</v>
      </c>
      <c r="L418" s="4">
        <f>IFERROR(__xludf.DUMMYFUNCTION("""COMPUTED_VALUE"""),45949.28196683127)</f>
        <v>45949.28197</v>
      </c>
      <c r="M418" s="1" t="str">
        <f>IFERROR(__xludf.DUMMYFUNCTION("""COMPUTED_VALUE"""),"RFID")</f>
        <v>RFID</v>
      </c>
      <c r="N418" s="5">
        <f>IFERROR(__xludf.DUMMYFUNCTION("""COMPUTED_VALUE"""),0.00326899537037037)</f>
        <v>0.00326899537</v>
      </c>
      <c r="O418" s="5">
        <f>IFERROR(__xludf.DUMMYFUNCTION("""COMPUTED_VALUE"""),0.008503425925925925)</f>
        <v>0.008503425926</v>
      </c>
      <c r="P418" s="5">
        <f>IFERROR(__xludf.DUMMYFUNCTION("""COMPUTED_VALUE"""),0.002499557833341544)</f>
        <v>0.002499557833</v>
      </c>
      <c r="Q418" s="5">
        <f>IFERROR(__xludf.DUMMYFUNCTION("""COMPUTED_VALUE"""),0.003550497685185185)</f>
        <v>0.003550497685</v>
      </c>
      <c r="R418" s="4">
        <f>IFERROR(__xludf.DUMMYFUNCTION("""COMPUTED_VALUE"""),45949.03550497942)</f>
        <v>45949.0355</v>
      </c>
      <c r="S418" s="1" t="b">
        <f>IFERROR(__xludf.DUMMYFUNCTION("""COMPUTED_VALUE"""),TRUE)</f>
        <v>1</v>
      </c>
      <c r="T418" s="1" t="b">
        <f>IFERROR(__xludf.DUMMYFUNCTION("""COMPUTED_VALUE"""),FALSE)</f>
        <v>0</v>
      </c>
      <c r="U418" s="1" t="str">
        <f>IFERROR(__xludf.DUMMYFUNCTION("""COMPUTED_VALUE"""),"VALID")</f>
        <v>VALID</v>
      </c>
      <c r="V418" s="1">
        <f>IFERROR(__xludf.DUMMYFUNCTION("""COMPUTED_VALUE"""),37.0)</f>
        <v>37</v>
      </c>
      <c r="W418" s="1">
        <f>IFERROR(__xludf.DUMMYFUNCTION("""COMPUTED_VALUE"""),45.0)</f>
        <v>45</v>
      </c>
      <c r="X418" s="1">
        <f>IFERROR(__xludf.DUMMYFUNCTION("""COMPUTED_VALUE"""),750.0)</f>
        <v>750</v>
      </c>
      <c r="Y418" s="2"/>
      <c r="Z418" s="2"/>
    </row>
    <row r="419">
      <c r="A419" s="1">
        <f>IFERROR(__xludf.DUMMYFUNCTION("""COMPUTED_VALUE"""),418.0)</f>
        <v>418</v>
      </c>
      <c r="B419" s="1">
        <f>IFERROR(__xludf.DUMMYFUNCTION("""COMPUTED_VALUE"""),10268.0)</f>
        <v>10268</v>
      </c>
      <c r="C419" s="2" t="str">
        <f>IFERROR(__xludf.DUMMYFUNCTION("""COMPUTED_VALUE"""),"derry`")</f>
        <v>derry`</v>
      </c>
      <c r="D419" s="2" t="str">
        <f>IFERROR(__xludf.DUMMYFUNCTION("""COMPUTED_VALUE"""),"10KM OVERALL M")</f>
        <v>10KM OVERALL M</v>
      </c>
      <c r="E419" s="1">
        <f>IFERROR(__xludf.DUMMYFUNCTION("""COMPUTED_VALUE"""),1.0)</f>
        <v>1</v>
      </c>
      <c r="F419" s="1" t="str">
        <f>IFERROR(__xludf.DUMMYFUNCTION("""COMPUTED_VALUE"""),"Male")</f>
        <v>Male</v>
      </c>
      <c r="G419" s="4" t="b">
        <f>IFERROR(__xludf.DUMMYFUNCTION("""COMPUTED_VALUE"""),TRUE)</f>
        <v>1</v>
      </c>
      <c r="H419" s="4" t="b">
        <f>IFERROR(__xludf.DUMMYFUNCTION("""COMPUTED_VALUE"""),TRUE)</f>
        <v>1</v>
      </c>
      <c r="I419" s="4">
        <f>IFERROR(__xludf.DUMMYFUNCTION("""COMPUTED_VALUE"""),0.24646185185185185)</f>
        <v>0.2464618519</v>
      </c>
      <c r="J419" s="4">
        <f>IFERROR(__xludf.DUMMYFUNCTION("""COMPUTED_VALUE"""),45949.25886699605)</f>
        <v>45949.25887</v>
      </c>
      <c r="K419" s="4">
        <f>IFERROR(__xludf.DUMMYFUNCTION("""COMPUTED_VALUE"""),45949.28527322541)</f>
        <v>45949.28527</v>
      </c>
      <c r="L419" s="4">
        <f>IFERROR(__xludf.DUMMYFUNCTION("""COMPUTED_VALUE"""),45949.293643925186)</f>
        <v>45949.29364</v>
      </c>
      <c r="M419" s="1" t="str">
        <f>IFERROR(__xludf.DUMMYFUNCTION("""COMPUTED_VALUE"""),"RFID")</f>
        <v>RFID</v>
      </c>
      <c r="N419" s="5">
        <f>IFERROR(__xludf.DUMMYFUNCTION("""COMPUTED_VALUE"""),0.0049620555555555555)</f>
        <v>0.004962055556</v>
      </c>
      <c r="O419" s="5">
        <f>IFERROR(__xludf.DUMMYFUNCTION("""COMPUTED_VALUE"""),0.01056249074074074)</f>
        <v>0.01056249074</v>
      </c>
      <c r="P419" s="5">
        <f>IFERROR(__xludf.DUMMYFUNCTION("""COMPUTED_VALUE"""),0.0034447324179820026)</f>
        <v>0.003444732418</v>
      </c>
      <c r="Q419" s="5">
        <f>IFERROR(__xludf.DUMMYFUNCTION("""COMPUTED_VALUE"""),0.004718207175925926)</f>
        <v>0.004718207176</v>
      </c>
      <c r="R419" s="4">
        <f>IFERROR(__xludf.DUMMYFUNCTION("""COMPUTED_VALUE"""),45949.04718207334)</f>
        <v>45949.04718</v>
      </c>
      <c r="S419" s="1" t="b">
        <f>IFERROR(__xludf.DUMMYFUNCTION("""COMPUTED_VALUE"""),TRUE)</f>
        <v>1</v>
      </c>
      <c r="T419" s="1" t="b">
        <f>IFERROR(__xludf.DUMMYFUNCTION("""COMPUTED_VALUE"""),FALSE)</f>
        <v>0</v>
      </c>
      <c r="U419" s="1" t="str">
        <f>IFERROR(__xludf.DUMMYFUNCTION("""COMPUTED_VALUE"""),"VALID")</f>
        <v>VALID</v>
      </c>
      <c r="V419" s="1">
        <f>IFERROR(__xludf.DUMMYFUNCTION("""COMPUTED_VALUE"""),265.0)</f>
        <v>265</v>
      </c>
      <c r="W419" s="1">
        <f>IFERROR(__xludf.DUMMYFUNCTION("""COMPUTED_VALUE"""),316.0)</f>
        <v>316</v>
      </c>
      <c r="X419" s="1">
        <f>IFERROR(__xludf.DUMMYFUNCTION("""COMPUTED_VALUE"""),1274.0)</f>
        <v>1274</v>
      </c>
      <c r="Y419" s="2"/>
      <c r="Z419" s="2"/>
    </row>
    <row r="420">
      <c r="A420" s="1">
        <f>IFERROR(__xludf.DUMMYFUNCTION("""COMPUTED_VALUE"""),419.0)</f>
        <v>419</v>
      </c>
      <c r="B420" s="1">
        <f>IFERROR(__xludf.DUMMYFUNCTION("""COMPUTED_VALUE"""),10269.0)</f>
        <v>10269</v>
      </c>
      <c r="C420" s="2" t="str">
        <f>IFERROR(__xludf.DUMMYFUNCTION("""COMPUTED_VALUE"""),"HENDRA")</f>
        <v>HENDRA</v>
      </c>
      <c r="D420" s="2" t="str">
        <f>IFERROR(__xludf.DUMMYFUNCTION("""COMPUTED_VALUE"""),"10KM OVERALL M")</f>
        <v>10KM OVERALL M</v>
      </c>
      <c r="E420" s="1">
        <f>IFERROR(__xludf.DUMMYFUNCTION("""COMPUTED_VALUE"""),1.0)</f>
        <v>1</v>
      </c>
      <c r="F420" s="1" t="str">
        <f>IFERROR(__xludf.DUMMYFUNCTION("""COMPUTED_VALUE"""),"Male")</f>
        <v>Male</v>
      </c>
      <c r="G420" s="4" t="str">
        <f>IFERROR(__xludf.DUMMYFUNCTION("""COMPUTED_VALUE"""),"")</f>
        <v/>
      </c>
      <c r="H420" s="4" t="b">
        <f>IFERROR(__xludf.DUMMYFUNCTION("""COMPUTED_VALUE"""),FALSE)</f>
        <v>0</v>
      </c>
      <c r="I420" s="4">
        <f>IFERROR(__xludf.DUMMYFUNCTION("""COMPUTED_VALUE"""),0.24646185185185185)</f>
        <v>0.2464618519</v>
      </c>
      <c r="J420" s="4" t="str">
        <f>IFERROR(__xludf.DUMMYFUNCTION("""COMPUTED_VALUE"""),"")</f>
        <v/>
      </c>
      <c r="K420" s="4" t="str">
        <f>IFERROR(__xludf.DUMMYFUNCTION("""COMPUTED_VALUE"""),"")</f>
        <v/>
      </c>
      <c r="L420" s="4" t="str">
        <f>IFERROR(__xludf.DUMMYFUNCTION("""COMPUTED_VALUE"""),"")</f>
        <v/>
      </c>
      <c r="M420" s="1" t="str">
        <f>IFERROR(__xludf.DUMMYFUNCTION("""COMPUTED_VALUE"""),"RFID")</f>
        <v>RFID</v>
      </c>
      <c r="N420" s="5" t="str">
        <f>IFERROR(__xludf.DUMMYFUNCTION("""COMPUTED_VALUE"""),"")</f>
        <v/>
      </c>
      <c r="O420" s="5" t="str">
        <f>IFERROR(__xludf.DUMMYFUNCTION("""COMPUTED_VALUE"""),"")</f>
        <v/>
      </c>
      <c r="P420" s="5" t="str">
        <f>IFERROR(__xludf.DUMMYFUNCTION("""COMPUTED_VALUE"""),"")</f>
        <v/>
      </c>
      <c r="Q420" s="5" t="str">
        <f>IFERROR(__xludf.DUMMYFUNCTION("""COMPUTED_VALUE"""),"")</f>
        <v/>
      </c>
      <c r="R420" s="4" t="str">
        <f>IFERROR(__xludf.DUMMYFUNCTION("""COMPUTED_VALUE"""),"")</f>
        <v/>
      </c>
      <c r="S420" s="1" t="b">
        <f>IFERROR(__xludf.DUMMYFUNCTION("""COMPUTED_VALUE"""),FALSE)</f>
        <v>0</v>
      </c>
      <c r="T420" s="1" t="b">
        <f>IFERROR(__xludf.DUMMYFUNCTION("""COMPUTED_VALUE"""),FALSE)</f>
        <v>0</v>
      </c>
      <c r="U420" s="1" t="str">
        <f>IFERROR(__xludf.DUMMYFUNCTION("""COMPUTED_VALUE"""),"DSQ")</f>
        <v>DSQ</v>
      </c>
      <c r="V420" s="1" t="str">
        <f>IFERROR(__xludf.DUMMYFUNCTION("""COMPUTED_VALUE"""),"DSQ")</f>
        <v>DSQ</v>
      </c>
      <c r="W420" s="1" t="str">
        <f>IFERROR(__xludf.DUMMYFUNCTION("""COMPUTED_VALUE"""),"DSQ")</f>
        <v>DSQ</v>
      </c>
      <c r="X420" s="1" t="str">
        <f>IFERROR(__xludf.DUMMYFUNCTION("""COMPUTED_VALUE"""),"DSQ")</f>
        <v>DSQ</v>
      </c>
      <c r="Y420" s="2"/>
      <c r="Z420" s="2" t="str">
        <f>IFERROR(__xludf.DUMMYFUNCTION("""COMPUTED_VALUE"""),"")</f>
        <v/>
      </c>
    </row>
    <row r="421">
      <c r="A421" s="1">
        <f>IFERROR(__xludf.DUMMYFUNCTION("""COMPUTED_VALUE"""),420.0)</f>
        <v>420</v>
      </c>
      <c r="B421" s="1">
        <f>IFERROR(__xludf.DUMMYFUNCTION("""COMPUTED_VALUE"""),10270.0)</f>
        <v>10270</v>
      </c>
      <c r="C421" s="2" t="str">
        <f>IFERROR(__xludf.DUMMYFUNCTION("""COMPUTED_VALUE"""),"wibowo")</f>
        <v>wibowo</v>
      </c>
      <c r="D421" s="2" t="str">
        <f>IFERROR(__xludf.DUMMYFUNCTION("""COMPUTED_VALUE"""),"10KM OVERALL M")</f>
        <v>10KM OVERALL M</v>
      </c>
      <c r="E421" s="1">
        <f>IFERROR(__xludf.DUMMYFUNCTION("""COMPUTED_VALUE"""),1.0)</f>
        <v>1</v>
      </c>
      <c r="F421" s="1" t="str">
        <f>IFERROR(__xludf.DUMMYFUNCTION("""COMPUTED_VALUE"""),"Male")</f>
        <v>Male</v>
      </c>
      <c r="G421" s="4" t="b">
        <f>IFERROR(__xludf.DUMMYFUNCTION("""COMPUTED_VALUE"""),TRUE)</f>
        <v>1</v>
      </c>
      <c r="H421" s="4" t="b">
        <f>IFERROR(__xludf.DUMMYFUNCTION("""COMPUTED_VALUE"""),TRUE)</f>
        <v>1</v>
      </c>
      <c r="I421" s="4">
        <f>IFERROR(__xludf.DUMMYFUNCTION("""COMPUTED_VALUE"""),0.24646185185185185)</f>
        <v>0.2464618519</v>
      </c>
      <c r="J421" s="4">
        <f>IFERROR(__xludf.DUMMYFUNCTION("""COMPUTED_VALUE"""),45949.25796772483)</f>
        <v>45949.25797</v>
      </c>
      <c r="K421" s="4">
        <f>IFERROR(__xludf.DUMMYFUNCTION("""COMPUTED_VALUE"""),45949.28626282823)</f>
        <v>45949.28626</v>
      </c>
      <c r="L421" s="4">
        <f>IFERROR(__xludf.DUMMYFUNCTION("""COMPUTED_VALUE"""),45949.29456753584)</f>
        <v>45949.29457</v>
      </c>
      <c r="M421" s="1" t="str">
        <f>IFERROR(__xludf.DUMMYFUNCTION("""COMPUTED_VALUE"""),"RFID")</f>
        <v>RFID</v>
      </c>
      <c r="N421" s="5">
        <f>IFERROR(__xludf.DUMMYFUNCTION("""COMPUTED_VALUE"""),0.004602347222222222)</f>
        <v>0.004602347222</v>
      </c>
      <c r="O421" s="5">
        <f>IFERROR(__xludf.DUMMYFUNCTION("""COMPUTED_VALUE"""),0.011318041666666667)</f>
        <v>0.01131804167</v>
      </c>
      <c r="P421" s="5">
        <f>IFERROR(__xludf.DUMMYFUNCTION("""COMPUTED_VALUE"""),0.0034175751487189833)</f>
        <v>0.003417575149</v>
      </c>
      <c r="Q421" s="5">
        <f>IFERROR(__xludf.DUMMYFUNCTION("""COMPUTED_VALUE"""),0.004810568287037037)</f>
        <v>0.004810568287</v>
      </c>
      <c r="R421" s="4">
        <f>IFERROR(__xludf.DUMMYFUNCTION("""COMPUTED_VALUE"""),45949.04810568399)</f>
        <v>45949.04811</v>
      </c>
      <c r="S421" s="1" t="b">
        <f>IFERROR(__xludf.DUMMYFUNCTION("""COMPUTED_VALUE"""),TRUE)</f>
        <v>1</v>
      </c>
      <c r="T421" s="1" t="b">
        <f>IFERROR(__xludf.DUMMYFUNCTION("""COMPUTED_VALUE"""),FALSE)</f>
        <v>0</v>
      </c>
      <c r="U421" s="1" t="str">
        <f>IFERROR(__xludf.DUMMYFUNCTION("""COMPUTED_VALUE"""),"VALID")</f>
        <v>VALID</v>
      </c>
      <c r="V421" s="1">
        <f>IFERROR(__xludf.DUMMYFUNCTION("""COMPUTED_VALUE"""),289.0)</f>
        <v>289</v>
      </c>
      <c r="W421" s="1">
        <f>IFERROR(__xludf.DUMMYFUNCTION("""COMPUTED_VALUE"""),341.0)</f>
        <v>341</v>
      </c>
      <c r="X421" s="1">
        <f>IFERROR(__xludf.DUMMYFUNCTION("""COMPUTED_VALUE"""),1314.0)</f>
        <v>1314</v>
      </c>
      <c r="Y421" s="2"/>
      <c r="Z421" s="2"/>
    </row>
    <row r="422">
      <c r="A422" s="1">
        <f>IFERROR(__xludf.DUMMYFUNCTION("""COMPUTED_VALUE"""),421.0)</f>
        <v>421</v>
      </c>
      <c r="B422" s="1">
        <f>IFERROR(__xludf.DUMMYFUNCTION("""COMPUTED_VALUE"""),10271.0)</f>
        <v>10271</v>
      </c>
      <c r="C422" s="2" t="str">
        <f>IFERROR(__xludf.DUMMYFUNCTION("""COMPUTED_VALUE"""),"M.Fikri Haikall")</f>
        <v>M.Fikri Haikall</v>
      </c>
      <c r="D422" s="2" t="str">
        <f>IFERROR(__xludf.DUMMYFUNCTION("""COMPUTED_VALUE"""),"10KM OVERALL M")</f>
        <v>10KM OVERALL M</v>
      </c>
      <c r="E422" s="1">
        <f>IFERROR(__xludf.DUMMYFUNCTION("""COMPUTED_VALUE"""),1.0)</f>
        <v>1</v>
      </c>
      <c r="F422" s="1" t="str">
        <f>IFERROR(__xludf.DUMMYFUNCTION("""COMPUTED_VALUE"""),"Male")</f>
        <v>Male</v>
      </c>
      <c r="G422" s="4" t="b">
        <f>IFERROR(__xludf.DUMMYFUNCTION("""COMPUTED_VALUE"""),TRUE)</f>
        <v>1</v>
      </c>
      <c r="H422" s="4" t="b">
        <f>IFERROR(__xludf.DUMMYFUNCTION("""COMPUTED_VALUE"""),TRUE)</f>
        <v>1</v>
      </c>
      <c r="I422" s="4">
        <f>IFERROR(__xludf.DUMMYFUNCTION("""COMPUTED_VALUE"""),0.24646185185185185)</f>
        <v>0.2464618519</v>
      </c>
      <c r="J422" s="4">
        <f>IFERROR(__xludf.DUMMYFUNCTION("""COMPUTED_VALUE"""),45949.25922814493)</f>
        <v>45949.25923</v>
      </c>
      <c r="K422" s="4">
        <f>IFERROR(__xludf.DUMMYFUNCTION("""COMPUTED_VALUE"""),45949.28625939225)</f>
        <v>45949.28626</v>
      </c>
      <c r="L422" s="4">
        <f>IFERROR(__xludf.DUMMYFUNCTION("""COMPUTED_VALUE"""),45949.29395289621)</f>
        <v>45949.29395</v>
      </c>
      <c r="M422" s="1" t="str">
        <f>IFERROR(__xludf.DUMMYFUNCTION("""COMPUTED_VALUE"""),"RFID")</f>
        <v>RFID</v>
      </c>
      <c r="N422" s="5">
        <f>IFERROR(__xludf.DUMMYFUNCTION("""COMPUTED_VALUE"""),0.005106518518518519)</f>
        <v>0.005106518519</v>
      </c>
      <c r="O422" s="5">
        <f>IFERROR(__xludf.DUMMYFUNCTION("""COMPUTED_VALUE"""),0.0108125)</f>
        <v>0.0108125</v>
      </c>
      <c r="P422" s="5">
        <f>IFERROR(__xludf.DUMMYFUNCTION("""COMPUTED_VALUE"""),0.0031660510129592314)</f>
        <v>0.003166051013</v>
      </c>
      <c r="Q422" s="5">
        <f>IFERROR(__xludf.DUMMYFUNCTION("""COMPUTED_VALUE"""),0.004749104166666666)</f>
        <v>0.004749104167</v>
      </c>
      <c r="R422" s="4">
        <f>IFERROR(__xludf.DUMMYFUNCTION("""COMPUTED_VALUE"""),45949.04749104436)</f>
        <v>45949.04749</v>
      </c>
      <c r="S422" s="1" t="b">
        <f>IFERROR(__xludf.DUMMYFUNCTION("""COMPUTED_VALUE"""),TRUE)</f>
        <v>1</v>
      </c>
      <c r="T422" s="1" t="b">
        <f>IFERROR(__xludf.DUMMYFUNCTION("""COMPUTED_VALUE"""),FALSE)</f>
        <v>0</v>
      </c>
      <c r="U422" s="1" t="str">
        <f>IFERROR(__xludf.DUMMYFUNCTION("""COMPUTED_VALUE"""),"VALID")</f>
        <v>VALID</v>
      </c>
      <c r="V422" s="1">
        <f>IFERROR(__xludf.DUMMYFUNCTION("""COMPUTED_VALUE"""),273.0)</f>
        <v>273</v>
      </c>
      <c r="W422" s="1">
        <f>IFERROR(__xludf.DUMMYFUNCTION("""COMPUTED_VALUE"""),325.0)</f>
        <v>325</v>
      </c>
      <c r="X422" s="1">
        <f>IFERROR(__xludf.DUMMYFUNCTION("""COMPUTED_VALUE"""),1284.0)</f>
        <v>1284</v>
      </c>
      <c r="Y422" s="2"/>
      <c r="Z422" s="2"/>
    </row>
    <row r="423">
      <c r="A423" s="1">
        <f>IFERROR(__xludf.DUMMYFUNCTION("""COMPUTED_VALUE"""),422.0)</f>
        <v>422</v>
      </c>
      <c r="B423" s="1">
        <f>IFERROR(__xludf.DUMMYFUNCTION("""COMPUTED_VALUE"""),10272.0)</f>
        <v>10272</v>
      </c>
      <c r="C423" s="2" t="str">
        <f>IFERROR(__xludf.DUMMYFUNCTION("""COMPUTED_VALUE"""),"Rahman")</f>
        <v>Rahman</v>
      </c>
      <c r="D423" s="2" t="str">
        <f>IFERROR(__xludf.DUMMYFUNCTION("""COMPUTED_VALUE"""),"10KM OVERALL M")</f>
        <v>10KM OVERALL M</v>
      </c>
      <c r="E423" s="1">
        <f>IFERROR(__xludf.DUMMYFUNCTION("""COMPUTED_VALUE"""),1.0)</f>
        <v>1</v>
      </c>
      <c r="F423" s="1" t="str">
        <f>IFERROR(__xludf.DUMMYFUNCTION("""COMPUTED_VALUE"""),"Male")</f>
        <v>Male</v>
      </c>
      <c r="G423" s="4" t="b">
        <f>IFERROR(__xludf.DUMMYFUNCTION("""COMPUTED_VALUE"""),TRUE)</f>
        <v>1</v>
      </c>
      <c r="H423" s="4" t="b">
        <f>IFERROR(__xludf.DUMMYFUNCTION("""COMPUTED_VALUE"""),TRUE)</f>
        <v>1</v>
      </c>
      <c r="I423" s="4">
        <f>IFERROR(__xludf.DUMMYFUNCTION("""COMPUTED_VALUE"""),0.24646185185185185)</f>
        <v>0.2464618519</v>
      </c>
      <c r="J423" s="4">
        <f>IFERROR(__xludf.DUMMYFUNCTION("""COMPUTED_VALUE"""),45949.259717752495)</f>
        <v>45949.25972</v>
      </c>
      <c r="K423" s="4">
        <f>IFERROR(__xludf.DUMMYFUNCTION("""COMPUTED_VALUE"""),45949.29066584558)</f>
        <v>45949.29067</v>
      </c>
      <c r="L423" s="4">
        <f>IFERROR(__xludf.DUMMYFUNCTION("""COMPUTED_VALUE"""),45949.29993206704)</f>
        <v>45949.29993</v>
      </c>
      <c r="M423" s="1" t="str">
        <f>IFERROR(__xludf.DUMMYFUNCTION("""COMPUTED_VALUE"""),"RFID")</f>
        <v>RFID</v>
      </c>
      <c r="N423" s="5">
        <f>IFERROR(__xludf.DUMMYFUNCTION("""COMPUTED_VALUE"""),0.005302361111111111)</f>
        <v>0.005302361111</v>
      </c>
      <c r="O423" s="5">
        <f>IFERROR(__xludf.DUMMYFUNCTION("""COMPUTED_VALUE"""),0.012379236111111112)</f>
        <v>0.01237923611</v>
      </c>
      <c r="P423" s="5">
        <f>IFERROR(__xludf.DUMMYFUNCTION("""COMPUTED_VALUE"""),0.003813259859776331)</f>
        <v>0.00381325986</v>
      </c>
      <c r="Q423" s="5">
        <f>IFERROR(__xludf.DUMMYFUNCTION("""COMPUTED_VALUE"""),0.005347021990740742)</f>
        <v>0.005347021991</v>
      </c>
      <c r="R423" s="4">
        <f>IFERROR(__xludf.DUMMYFUNCTION("""COMPUTED_VALUE"""),45949.05347021519)</f>
        <v>45949.05347</v>
      </c>
      <c r="S423" s="1" t="b">
        <f>IFERROR(__xludf.DUMMYFUNCTION("""COMPUTED_VALUE"""),TRUE)</f>
        <v>1</v>
      </c>
      <c r="T423" s="1" t="b">
        <f>IFERROR(__xludf.DUMMYFUNCTION("""COMPUTED_VALUE"""),FALSE)</f>
        <v>0</v>
      </c>
      <c r="U423" s="1" t="str">
        <f>IFERROR(__xludf.DUMMYFUNCTION("""COMPUTED_VALUE"""),"VALID")</f>
        <v>VALID</v>
      </c>
      <c r="V423" s="1">
        <f>IFERROR(__xludf.DUMMYFUNCTION("""COMPUTED_VALUE"""),411.0)</f>
        <v>411</v>
      </c>
      <c r="W423" s="1">
        <f>IFERROR(__xludf.DUMMYFUNCTION("""COMPUTED_VALUE"""),491.0)</f>
        <v>491</v>
      </c>
      <c r="X423" s="1">
        <f>IFERROR(__xludf.DUMMYFUNCTION("""COMPUTED_VALUE"""),1467.0)</f>
        <v>1467</v>
      </c>
      <c r="Y423" s="2"/>
      <c r="Z423" s="2"/>
    </row>
    <row r="424">
      <c r="A424" s="1">
        <f>IFERROR(__xludf.DUMMYFUNCTION("""COMPUTED_VALUE"""),423.0)</f>
        <v>423</v>
      </c>
      <c r="B424" s="1">
        <f>IFERROR(__xludf.DUMMYFUNCTION("""COMPUTED_VALUE"""),10274.0)</f>
        <v>10274</v>
      </c>
      <c r="C424" s="2" t="str">
        <f>IFERROR(__xludf.DUMMYFUNCTION("""COMPUTED_VALUE"""),"Momo")</f>
        <v>Momo</v>
      </c>
      <c r="D424" s="2" t="str">
        <f>IFERROR(__xludf.DUMMYFUNCTION("""COMPUTED_VALUE"""),"10KM OVERALL M")</f>
        <v>10KM OVERALL M</v>
      </c>
      <c r="E424" s="1">
        <f>IFERROR(__xludf.DUMMYFUNCTION("""COMPUTED_VALUE"""),1.0)</f>
        <v>1</v>
      </c>
      <c r="F424" s="1" t="str">
        <f>IFERROR(__xludf.DUMMYFUNCTION("""COMPUTED_VALUE"""),"Male")</f>
        <v>Male</v>
      </c>
      <c r="G424" s="4" t="b">
        <f>IFERROR(__xludf.DUMMYFUNCTION("""COMPUTED_VALUE"""),TRUE)</f>
        <v>1</v>
      </c>
      <c r="H424" s="4" t="b">
        <f>IFERROR(__xludf.DUMMYFUNCTION("""COMPUTED_VALUE"""),FALSE)</f>
        <v>0</v>
      </c>
      <c r="I424" s="4">
        <f>IFERROR(__xludf.DUMMYFUNCTION("""COMPUTED_VALUE"""),0.24646185185185185)</f>
        <v>0.2464618519</v>
      </c>
      <c r="J424" s="4">
        <f>IFERROR(__xludf.DUMMYFUNCTION("""COMPUTED_VALUE"""),45949.257262930085)</f>
        <v>45949.25726</v>
      </c>
      <c r="K424" s="4">
        <f>IFERROR(__xludf.DUMMYFUNCTION("""COMPUTED_VALUE"""),45949.28078019145)</f>
        <v>45949.28078</v>
      </c>
      <c r="L424" s="4">
        <f>IFERROR(__xludf.DUMMYFUNCTION("""COMPUTED_VALUE"""),45949.32875)</f>
        <v>45949.32875</v>
      </c>
      <c r="M424" s="1" t="str">
        <f>IFERROR(__xludf.DUMMYFUNCTION("""COMPUTED_VALUE"""),"RFID")</f>
        <v>RFID</v>
      </c>
      <c r="N424" s="5">
        <f>IFERROR(__xludf.DUMMYFUNCTION("""COMPUTED_VALUE"""),0.004320430555555555)</f>
        <v>0.004320430556</v>
      </c>
      <c r="O424" s="5">
        <f>IFERROR(__xludf.DUMMYFUNCTION("""COMPUTED_VALUE"""),0.009406902777777778)</f>
        <v>0.009406902778</v>
      </c>
      <c r="P424" s="5">
        <f>IFERROR(__xludf.DUMMYFUNCTION("""COMPUTED_VALUE"""),0.01974066195364202)</f>
        <v>0.01974066195</v>
      </c>
      <c r="Q424" s="5">
        <f>IFERROR(__xludf.DUMMYFUNCTION("""COMPUTED_VALUE"""),0.008228814814814816)</f>
        <v>0.008228814815</v>
      </c>
      <c r="R424" s="4">
        <f>IFERROR(__xludf.DUMMYFUNCTION("""COMPUTED_VALUE"""),45949.08228814815)</f>
        <v>45949.08229</v>
      </c>
      <c r="S424" s="1" t="b">
        <f>IFERROR(__xludf.DUMMYFUNCTION("""COMPUTED_VALUE"""),TRUE)</f>
        <v>1</v>
      </c>
      <c r="T424" s="1" t="b">
        <f>IFERROR(__xludf.DUMMYFUNCTION("""COMPUTED_VALUE"""),FALSE)</f>
        <v>0</v>
      </c>
      <c r="U424" s="1" t="str">
        <f>IFERROR(__xludf.DUMMYFUNCTION("""COMPUTED_VALUE"""),"VALID")</f>
        <v>VALID</v>
      </c>
      <c r="V424" s="1">
        <f>IFERROR(__xludf.DUMMYFUNCTION("""COMPUTED_VALUE"""),607.0)</f>
        <v>607</v>
      </c>
      <c r="W424" s="1">
        <f>IFERROR(__xludf.DUMMYFUNCTION("""COMPUTED_VALUE"""),758.0)</f>
        <v>758</v>
      </c>
      <c r="X424" s="1">
        <f>IFERROR(__xludf.DUMMYFUNCTION("""COMPUTED_VALUE"""),1682.0)</f>
        <v>1682</v>
      </c>
      <c r="Y424" s="2"/>
      <c r="Z424" s="2"/>
    </row>
    <row r="425">
      <c r="A425" s="1">
        <f>IFERROR(__xludf.DUMMYFUNCTION("""COMPUTED_VALUE"""),424.0)</f>
        <v>424</v>
      </c>
      <c r="B425" s="1">
        <f>IFERROR(__xludf.DUMMYFUNCTION("""COMPUTED_VALUE"""),10275.0)</f>
        <v>10275</v>
      </c>
      <c r="C425" s="2" t="str">
        <f>IFERROR(__xludf.DUMMYFUNCTION("""COMPUTED_VALUE"""),"NAZHARRR")</f>
        <v>NAZHARRR</v>
      </c>
      <c r="D425" s="2" t="str">
        <f>IFERROR(__xludf.DUMMYFUNCTION("""COMPUTED_VALUE"""),"10KM OVERALL M")</f>
        <v>10KM OVERALL M</v>
      </c>
      <c r="E425" s="1">
        <f>IFERROR(__xludf.DUMMYFUNCTION("""COMPUTED_VALUE"""),1.0)</f>
        <v>1</v>
      </c>
      <c r="F425" s="1" t="str">
        <f>IFERROR(__xludf.DUMMYFUNCTION("""COMPUTED_VALUE"""),"Male")</f>
        <v>Male</v>
      </c>
      <c r="G425" s="4" t="b">
        <f>IFERROR(__xludf.DUMMYFUNCTION("""COMPUTED_VALUE"""),TRUE)</f>
        <v>1</v>
      </c>
      <c r="H425" s="4" t="b">
        <f>IFERROR(__xludf.DUMMYFUNCTION("""COMPUTED_VALUE"""),TRUE)</f>
        <v>1</v>
      </c>
      <c r="I425" s="4">
        <f>IFERROR(__xludf.DUMMYFUNCTION("""COMPUTED_VALUE"""),0.24646185185185185)</f>
        <v>0.2464618519</v>
      </c>
      <c r="J425" s="4">
        <f>IFERROR(__xludf.DUMMYFUNCTION("""COMPUTED_VALUE"""),45949.25671771225)</f>
        <v>45949.25672</v>
      </c>
      <c r="K425" s="4">
        <f>IFERROR(__xludf.DUMMYFUNCTION("""COMPUTED_VALUE"""),45949.28213437554)</f>
        <v>45949.28213</v>
      </c>
      <c r="L425" s="4">
        <f>IFERROR(__xludf.DUMMYFUNCTION("""COMPUTED_VALUE"""),45949.2893626682)</f>
        <v>45949.28936</v>
      </c>
      <c r="M425" s="1" t="str">
        <f>IFERROR(__xludf.DUMMYFUNCTION("""COMPUTED_VALUE"""),"RFID")</f>
        <v>RFID</v>
      </c>
      <c r="N425" s="5">
        <f>IFERROR(__xludf.DUMMYFUNCTION("""COMPUTED_VALUE"""),0.004102342592592593)</f>
        <v>0.004102342593</v>
      </c>
      <c r="O425" s="5">
        <f>IFERROR(__xludf.DUMMYFUNCTION("""COMPUTED_VALUE"""),0.010166666666666668)</f>
        <v>0.01016666667</v>
      </c>
      <c r="P425" s="5">
        <f>IFERROR(__xludf.DUMMYFUNCTION("""COMPUTED_VALUE"""),0.0029746060311859434)</f>
        <v>0.002974606031</v>
      </c>
      <c r="Q425" s="5">
        <f>IFERROR(__xludf.DUMMYFUNCTION("""COMPUTED_VALUE"""),0.0042900821759259255)</f>
        <v>0.004290082176</v>
      </c>
      <c r="R425" s="4">
        <f>IFERROR(__xludf.DUMMYFUNCTION("""COMPUTED_VALUE"""),45949.04290081635)</f>
        <v>45949.0429</v>
      </c>
      <c r="S425" s="1" t="b">
        <f>IFERROR(__xludf.DUMMYFUNCTION("""COMPUTED_VALUE"""),TRUE)</f>
        <v>1</v>
      </c>
      <c r="T425" s="1" t="b">
        <f>IFERROR(__xludf.DUMMYFUNCTION("""COMPUTED_VALUE"""),FALSE)</f>
        <v>0</v>
      </c>
      <c r="U425" s="1" t="str">
        <f>IFERROR(__xludf.DUMMYFUNCTION("""COMPUTED_VALUE"""),"VALID")</f>
        <v>VALID</v>
      </c>
      <c r="V425" s="1">
        <f>IFERROR(__xludf.DUMMYFUNCTION("""COMPUTED_VALUE"""),166.0)</f>
        <v>166</v>
      </c>
      <c r="W425" s="1">
        <f>IFERROR(__xludf.DUMMYFUNCTION("""COMPUTED_VALUE"""),195.0)</f>
        <v>195</v>
      </c>
      <c r="X425" s="1">
        <f>IFERROR(__xludf.DUMMYFUNCTION("""COMPUTED_VALUE"""),1101.0)</f>
        <v>1101</v>
      </c>
      <c r="Y425" s="2"/>
      <c r="Z425" s="2"/>
    </row>
    <row r="426">
      <c r="A426" s="1">
        <f>IFERROR(__xludf.DUMMYFUNCTION("""COMPUTED_VALUE"""),425.0)</f>
        <v>425</v>
      </c>
      <c r="B426" s="1">
        <f>IFERROR(__xludf.DUMMYFUNCTION("""COMPUTED_VALUE"""),10276.0)</f>
        <v>10276</v>
      </c>
      <c r="C426" s="2" t="str">
        <f>IFERROR(__xludf.DUMMYFUNCTION("""COMPUTED_VALUE"""),"Zai")</f>
        <v>Zai</v>
      </c>
      <c r="D426" s="2" t="str">
        <f>IFERROR(__xludf.DUMMYFUNCTION("""COMPUTED_VALUE"""),"10KM OVERALL M")</f>
        <v>10KM OVERALL M</v>
      </c>
      <c r="E426" s="1">
        <f>IFERROR(__xludf.DUMMYFUNCTION("""COMPUTED_VALUE"""),1.0)</f>
        <v>1</v>
      </c>
      <c r="F426" s="1" t="str">
        <f>IFERROR(__xludf.DUMMYFUNCTION("""COMPUTED_VALUE"""),"Male")</f>
        <v>Male</v>
      </c>
      <c r="G426" s="4" t="str">
        <f>IFERROR(__xludf.DUMMYFUNCTION("""COMPUTED_VALUE"""),"")</f>
        <v/>
      </c>
      <c r="H426" s="4" t="b">
        <f>IFERROR(__xludf.DUMMYFUNCTION("""COMPUTED_VALUE"""),FALSE)</f>
        <v>0</v>
      </c>
      <c r="I426" s="4">
        <f>IFERROR(__xludf.DUMMYFUNCTION("""COMPUTED_VALUE"""),0.24646185185185185)</f>
        <v>0.2464618519</v>
      </c>
      <c r="J426" s="4" t="str">
        <f>IFERROR(__xludf.DUMMYFUNCTION("""COMPUTED_VALUE"""),"")</f>
        <v/>
      </c>
      <c r="K426" s="4" t="str">
        <f>IFERROR(__xludf.DUMMYFUNCTION("""COMPUTED_VALUE"""),"")</f>
        <v/>
      </c>
      <c r="L426" s="4" t="str">
        <f>IFERROR(__xludf.DUMMYFUNCTION("""COMPUTED_VALUE"""),"")</f>
        <v/>
      </c>
      <c r="M426" s="1" t="str">
        <f>IFERROR(__xludf.DUMMYFUNCTION("""COMPUTED_VALUE"""),"RFID")</f>
        <v>RFID</v>
      </c>
      <c r="N426" s="5" t="str">
        <f>IFERROR(__xludf.DUMMYFUNCTION("""COMPUTED_VALUE"""),"")</f>
        <v/>
      </c>
      <c r="O426" s="5" t="str">
        <f>IFERROR(__xludf.DUMMYFUNCTION("""COMPUTED_VALUE"""),"")</f>
        <v/>
      </c>
      <c r="P426" s="5" t="str">
        <f>IFERROR(__xludf.DUMMYFUNCTION("""COMPUTED_VALUE"""),"")</f>
        <v/>
      </c>
      <c r="Q426" s="5" t="str">
        <f>IFERROR(__xludf.DUMMYFUNCTION("""COMPUTED_VALUE"""),"")</f>
        <v/>
      </c>
      <c r="R426" s="4" t="str">
        <f>IFERROR(__xludf.DUMMYFUNCTION("""COMPUTED_VALUE"""),"")</f>
        <v/>
      </c>
      <c r="S426" s="1" t="b">
        <f>IFERROR(__xludf.DUMMYFUNCTION("""COMPUTED_VALUE"""),FALSE)</f>
        <v>0</v>
      </c>
      <c r="T426" s="1" t="b">
        <f>IFERROR(__xludf.DUMMYFUNCTION("""COMPUTED_VALUE"""),FALSE)</f>
        <v>0</v>
      </c>
      <c r="U426" s="1" t="str">
        <f>IFERROR(__xludf.DUMMYFUNCTION("""COMPUTED_VALUE"""),"DSQ")</f>
        <v>DSQ</v>
      </c>
      <c r="V426" s="1" t="str">
        <f>IFERROR(__xludf.DUMMYFUNCTION("""COMPUTED_VALUE"""),"DSQ")</f>
        <v>DSQ</v>
      </c>
      <c r="W426" s="1" t="str">
        <f>IFERROR(__xludf.DUMMYFUNCTION("""COMPUTED_VALUE"""),"DSQ")</f>
        <v>DSQ</v>
      </c>
      <c r="X426" s="1" t="str">
        <f>IFERROR(__xludf.DUMMYFUNCTION("""COMPUTED_VALUE"""),"DSQ")</f>
        <v>DSQ</v>
      </c>
      <c r="Y426" s="2"/>
      <c r="Z426" s="2" t="str">
        <f>IFERROR(__xludf.DUMMYFUNCTION("""COMPUTED_VALUE"""),"")</f>
        <v/>
      </c>
    </row>
    <row r="427">
      <c r="A427" s="1">
        <f>IFERROR(__xludf.DUMMYFUNCTION("""COMPUTED_VALUE"""),426.0)</f>
        <v>426</v>
      </c>
      <c r="B427" s="1">
        <f>IFERROR(__xludf.DUMMYFUNCTION("""COMPUTED_VALUE"""),10277.0)</f>
        <v>10277</v>
      </c>
      <c r="C427" s="2" t="str">
        <f>IFERROR(__xludf.DUMMYFUNCTION("""COMPUTED_VALUE"""),"frans")</f>
        <v>frans</v>
      </c>
      <c r="D427" s="2" t="str">
        <f>IFERROR(__xludf.DUMMYFUNCTION("""COMPUTED_VALUE"""),"10KM OVERALL M")</f>
        <v>10KM OVERALL M</v>
      </c>
      <c r="E427" s="1">
        <f>IFERROR(__xludf.DUMMYFUNCTION("""COMPUTED_VALUE"""),1.0)</f>
        <v>1</v>
      </c>
      <c r="F427" s="1" t="str">
        <f>IFERROR(__xludf.DUMMYFUNCTION("""COMPUTED_VALUE"""),"Male")</f>
        <v>Male</v>
      </c>
      <c r="G427" s="4" t="b">
        <f>IFERROR(__xludf.DUMMYFUNCTION("""COMPUTED_VALUE"""),TRUE)</f>
        <v>1</v>
      </c>
      <c r="H427" s="4" t="b">
        <f>IFERROR(__xludf.DUMMYFUNCTION("""COMPUTED_VALUE"""),TRUE)</f>
        <v>1</v>
      </c>
      <c r="I427" s="4">
        <f>IFERROR(__xludf.DUMMYFUNCTION("""COMPUTED_VALUE"""),0.24646185185185185)</f>
        <v>0.2464618519</v>
      </c>
      <c r="J427" s="4">
        <f>IFERROR(__xludf.DUMMYFUNCTION("""COMPUTED_VALUE"""),45949.25884612791)</f>
        <v>45949.25885</v>
      </c>
      <c r="K427" s="4">
        <f>IFERROR(__xludf.DUMMYFUNCTION("""COMPUTED_VALUE"""),45949.28667603506)</f>
        <v>45949.28668</v>
      </c>
      <c r="L427" s="4">
        <f>IFERROR(__xludf.DUMMYFUNCTION("""COMPUTED_VALUE"""),45949.295261981715)</f>
        <v>45949.29526</v>
      </c>
      <c r="M427" s="1" t="str">
        <f>IFERROR(__xludf.DUMMYFUNCTION("""COMPUTED_VALUE"""),"RFID")</f>
        <v>RFID</v>
      </c>
      <c r="N427" s="5">
        <f>IFERROR(__xludf.DUMMYFUNCTION("""COMPUTED_VALUE"""),0.0049537083333333325)</f>
        <v>0.004953708333</v>
      </c>
      <c r="O427" s="5">
        <f>IFERROR(__xludf.DUMMYFUNCTION("""COMPUTED_VALUE"""),0.011131962962962963)</f>
        <v>0.01113196296</v>
      </c>
      <c r="P427" s="5">
        <f>IFERROR(__xludf.DUMMYFUNCTION("""COMPUTED_VALUE"""),0.0035333113811685944)</f>
        <v>0.003533311381</v>
      </c>
      <c r="Q427" s="5">
        <f>IFERROR(__xludf.DUMMYFUNCTION("""COMPUTED_VALUE"""),0.004880012731481482)</f>
        <v>0.004880012731</v>
      </c>
      <c r="R427" s="4">
        <f>IFERROR(__xludf.DUMMYFUNCTION("""COMPUTED_VALUE"""),45949.048800129865)</f>
        <v>45949.0488</v>
      </c>
      <c r="S427" s="1" t="b">
        <f>IFERROR(__xludf.DUMMYFUNCTION("""COMPUTED_VALUE"""),TRUE)</f>
        <v>1</v>
      </c>
      <c r="T427" s="1" t="b">
        <f>IFERROR(__xludf.DUMMYFUNCTION("""COMPUTED_VALUE"""),FALSE)</f>
        <v>0</v>
      </c>
      <c r="U427" s="1" t="str">
        <f>IFERROR(__xludf.DUMMYFUNCTION("""COMPUTED_VALUE"""),"VALID")</f>
        <v>VALID</v>
      </c>
      <c r="V427" s="1">
        <f>IFERROR(__xludf.DUMMYFUNCTION("""COMPUTED_VALUE"""),302.0)</f>
        <v>302</v>
      </c>
      <c r="W427" s="1">
        <f>IFERROR(__xludf.DUMMYFUNCTION("""COMPUTED_VALUE"""),358.0)</f>
        <v>358</v>
      </c>
      <c r="X427" s="1">
        <f>IFERROR(__xludf.DUMMYFUNCTION("""COMPUTED_VALUE"""),1330.0)</f>
        <v>1330</v>
      </c>
      <c r="Y427" s="2"/>
      <c r="Z427" s="2"/>
    </row>
    <row r="428">
      <c r="A428" s="1">
        <f>IFERROR(__xludf.DUMMYFUNCTION("""COMPUTED_VALUE"""),427.0)</f>
        <v>427</v>
      </c>
      <c r="B428" s="1">
        <f>IFERROR(__xludf.DUMMYFUNCTION("""COMPUTED_VALUE"""),10278.0)</f>
        <v>10278</v>
      </c>
      <c r="C428" s="2" t="str">
        <f>IFERROR(__xludf.DUMMYFUNCTION("""COMPUTED_VALUE"""),"Bagas PS")</f>
        <v>Bagas PS</v>
      </c>
      <c r="D428" s="2" t="str">
        <f>IFERROR(__xludf.DUMMYFUNCTION("""COMPUTED_VALUE"""),"10KM OVERALL M")</f>
        <v>10KM OVERALL M</v>
      </c>
      <c r="E428" s="1">
        <f>IFERROR(__xludf.DUMMYFUNCTION("""COMPUTED_VALUE"""),1.0)</f>
        <v>1</v>
      </c>
      <c r="F428" s="1" t="str">
        <f>IFERROR(__xludf.DUMMYFUNCTION("""COMPUTED_VALUE"""),"Male")</f>
        <v>Male</v>
      </c>
      <c r="G428" s="4" t="str">
        <f>IFERROR(__xludf.DUMMYFUNCTION("""COMPUTED_VALUE"""),"")</f>
        <v/>
      </c>
      <c r="H428" s="4" t="b">
        <f>IFERROR(__xludf.DUMMYFUNCTION("""COMPUTED_VALUE"""),FALSE)</f>
        <v>0</v>
      </c>
      <c r="I428" s="4">
        <f>IFERROR(__xludf.DUMMYFUNCTION("""COMPUTED_VALUE"""),0.24646185185185185)</f>
        <v>0.2464618519</v>
      </c>
      <c r="J428" s="4" t="str">
        <f>IFERROR(__xludf.DUMMYFUNCTION("""COMPUTED_VALUE"""),"")</f>
        <v/>
      </c>
      <c r="K428" s="4" t="str">
        <f>IFERROR(__xludf.DUMMYFUNCTION("""COMPUTED_VALUE"""),"")</f>
        <v/>
      </c>
      <c r="L428" s="4" t="str">
        <f>IFERROR(__xludf.DUMMYFUNCTION("""COMPUTED_VALUE"""),"")</f>
        <v/>
      </c>
      <c r="M428" s="1" t="str">
        <f>IFERROR(__xludf.DUMMYFUNCTION("""COMPUTED_VALUE"""),"RFID")</f>
        <v>RFID</v>
      </c>
      <c r="N428" s="5" t="str">
        <f>IFERROR(__xludf.DUMMYFUNCTION("""COMPUTED_VALUE"""),"")</f>
        <v/>
      </c>
      <c r="O428" s="5" t="str">
        <f>IFERROR(__xludf.DUMMYFUNCTION("""COMPUTED_VALUE"""),"")</f>
        <v/>
      </c>
      <c r="P428" s="5" t="str">
        <f>IFERROR(__xludf.DUMMYFUNCTION("""COMPUTED_VALUE"""),"")</f>
        <v/>
      </c>
      <c r="Q428" s="5" t="str">
        <f>IFERROR(__xludf.DUMMYFUNCTION("""COMPUTED_VALUE"""),"")</f>
        <v/>
      </c>
      <c r="R428" s="4" t="str">
        <f>IFERROR(__xludf.DUMMYFUNCTION("""COMPUTED_VALUE"""),"")</f>
        <v/>
      </c>
      <c r="S428" s="1" t="b">
        <f>IFERROR(__xludf.DUMMYFUNCTION("""COMPUTED_VALUE"""),FALSE)</f>
        <v>0</v>
      </c>
      <c r="T428" s="1" t="b">
        <f>IFERROR(__xludf.DUMMYFUNCTION("""COMPUTED_VALUE"""),FALSE)</f>
        <v>0</v>
      </c>
      <c r="U428" s="1" t="str">
        <f>IFERROR(__xludf.DUMMYFUNCTION("""COMPUTED_VALUE"""),"DSQ")</f>
        <v>DSQ</v>
      </c>
      <c r="V428" s="1" t="str">
        <f>IFERROR(__xludf.DUMMYFUNCTION("""COMPUTED_VALUE"""),"DSQ")</f>
        <v>DSQ</v>
      </c>
      <c r="W428" s="1" t="str">
        <f>IFERROR(__xludf.DUMMYFUNCTION("""COMPUTED_VALUE"""),"DSQ")</f>
        <v>DSQ</v>
      </c>
      <c r="X428" s="1" t="str">
        <f>IFERROR(__xludf.DUMMYFUNCTION("""COMPUTED_VALUE"""),"DSQ")</f>
        <v>DSQ</v>
      </c>
      <c r="Y428" s="2"/>
      <c r="Z428" s="2" t="str">
        <f>IFERROR(__xludf.DUMMYFUNCTION("""COMPUTED_VALUE"""),"")</f>
        <v/>
      </c>
    </row>
    <row r="429">
      <c r="A429" s="1">
        <f>IFERROR(__xludf.DUMMYFUNCTION("""COMPUTED_VALUE"""),428.0)</f>
        <v>428</v>
      </c>
      <c r="B429" s="1">
        <f>IFERROR(__xludf.DUMMYFUNCTION("""COMPUTED_VALUE"""),10279.0)</f>
        <v>10279</v>
      </c>
      <c r="C429" s="2" t="str">
        <f>IFERROR(__xludf.DUMMYFUNCTION("""COMPUTED_VALUE"""),"JIEBEX")</f>
        <v>JIEBEX</v>
      </c>
      <c r="D429" s="2" t="str">
        <f>IFERROR(__xludf.DUMMYFUNCTION("""COMPUTED_VALUE"""),"10KM OVERALL M")</f>
        <v>10KM OVERALL M</v>
      </c>
      <c r="E429" s="1">
        <f>IFERROR(__xludf.DUMMYFUNCTION("""COMPUTED_VALUE"""),1.0)</f>
        <v>1</v>
      </c>
      <c r="F429" s="1" t="str">
        <f>IFERROR(__xludf.DUMMYFUNCTION("""COMPUTED_VALUE"""),"Male")</f>
        <v>Male</v>
      </c>
      <c r="G429" s="4" t="b">
        <f>IFERROR(__xludf.DUMMYFUNCTION("""COMPUTED_VALUE"""),TRUE)</f>
        <v>1</v>
      </c>
      <c r="H429" s="4" t="b">
        <f>IFERROR(__xludf.DUMMYFUNCTION("""COMPUTED_VALUE"""),TRUE)</f>
        <v>1</v>
      </c>
      <c r="I429" s="4">
        <f>IFERROR(__xludf.DUMMYFUNCTION("""COMPUTED_VALUE"""),0.24646185185185185)</f>
        <v>0.2464618519</v>
      </c>
      <c r="J429" s="4">
        <f>IFERROR(__xludf.DUMMYFUNCTION("""COMPUTED_VALUE"""),45949.256901694214)</f>
        <v>45949.2569</v>
      </c>
      <c r="K429" s="4">
        <f>IFERROR(__xludf.DUMMYFUNCTION("""COMPUTED_VALUE"""),45949.28256839568)</f>
        <v>45949.28257</v>
      </c>
      <c r="L429" s="4">
        <f>IFERROR(__xludf.DUMMYFUNCTION("""COMPUTED_VALUE"""),45949.290105739885)</f>
        <v>45949.29011</v>
      </c>
      <c r="M429" s="1" t="str">
        <f>IFERROR(__xludf.DUMMYFUNCTION("""COMPUTED_VALUE"""),"RFID")</f>
        <v>RFID</v>
      </c>
      <c r="N429" s="5">
        <f>IFERROR(__xludf.DUMMYFUNCTION("""COMPUTED_VALUE"""),0.004175935185185185)</f>
        <v>0.004175935185</v>
      </c>
      <c r="O429" s="5">
        <f>IFERROR(__xludf.DUMMYFUNCTION("""COMPUTED_VALUE"""),0.010266680555555557)</f>
        <v>0.01026668056</v>
      </c>
      <c r="P429" s="5">
        <f>IFERROR(__xludf.DUMMYFUNCTION("""COMPUTED_VALUE"""),0.003101787737205647)</f>
        <v>0.003101787737</v>
      </c>
      <c r="Q429" s="5">
        <f>IFERROR(__xludf.DUMMYFUNCTION("""COMPUTED_VALUE"""),0.004364388888888888)</f>
        <v>0.004364388889</v>
      </c>
      <c r="R429" s="4">
        <f>IFERROR(__xludf.DUMMYFUNCTION("""COMPUTED_VALUE"""),45949.043643888035)</f>
        <v>45949.04364</v>
      </c>
      <c r="S429" s="1" t="b">
        <f>IFERROR(__xludf.DUMMYFUNCTION("""COMPUTED_VALUE"""),TRUE)</f>
        <v>1</v>
      </c>
      <c r="T429" s="1" t="b">
        <f>IFERROR(__xludf.DUMMYFUNCTION("""COMPUTED_VALUE"""),FALSE)</f>
        <v>0</v>
      </c>
      <c r="U429" s="1" t="str">
        <f>IFERROR(__xludf.DUMMYFUNCTION("""COMPUTED_VALUE"""),"VALID")</f>
        <v>VALID</v>
      </c>
      <c r="V429" s="1">
        <f>IFERROR(__xludf.DUMMYFUNCTION("""COMPUTED_VALUE"""),177.0)</f>
        <v>177</v>
      </c>
      <c r="W429" s="1">
        <f>IFERROR(__xludf.DUMMYFUNCTION("""COMPUTED_VALUE"""),212.0)</f>
        <v>212</v>
      </c>
      <c r="X429" s="1">
        <f>IFERROR(__xludf.DUMMYFUNCTION("""COMPUTED_VALUE"""),1126.0)</f>
        <v>1126</v>
      </c>
      <c r="Y429" s="2"/>
      <c r="Z429" s="2"/>
    </row>
    <row r="430">
      <c r="A430" s="1">
        <f>IFERROR(__xludf.DUMMYFUNCTION("""COMPUTED_VALUE"""),429.0)</f>
        <v>429</v>
      </c>
      <c r="B430" s="1">
        <f>IFERROR(__xludf.DUMMYFUNCTION("""COMPUTED_VALUE"""),10280.0)</f>
        <v>10280</v>
      </c>
      <c r="C430" s="2" t="str">
        <f>IFERROR(__xludf.DUMMYFUNCTION("""COMPUTED_VALUE"""),"KHAIRIL AMAN")</f>
        <v>KHAIRIL AMAN</v>
      </c>
      <c r="D430" s="2" t="str">
        <f>IFERROR(__xludf.DUMMYFUNCTION("""COMPUTED_VALUE"""),"10KM OVERALL M")</f>
        <v>10KM OVERALL M</v>
      </c>
      <c r="E430" s="1">
        <f>IFERROR(__xludf.DUMMYFUNCTION("""COMPUTED_VALUE"""),1.0)</f>
        <v>1</v>
      </c>
      <c r="F430" s="1" t="str">
        <f>IFERROR(__xludf.DUMMYFUNCTION("""COMPUTED_VALUE"""),"Male")</f>
        <v>Male</v>
      </c>
      <c r="G430" s="4" t="str">
        <f>IFERROR(__xludf.DUMMYFUNCTION("""COMPUTED_VALUE"""),"")</f>
        <v/>
      </c>
      <c r="H430" s="4" t="b">
        <f>IFERROR(__xludf.DUMMYFUNCTION("""COMPUTED_VALUE"""),TRUE)</f>
        <v>1</v>
      </c>
      <c r="I430" s="4">
        <f>IFERROR(__xludf.DUMMYFUNCTION("""COMPUTED_VALUE"""),0.24646185185185185)</f>
        <v>0.2464618519</v>
      </c>
      <c r="J430" s="4">
        <f>IFERROR(__xludf.DUMMYFUNCTION("""COMPUTED_VALUE"""),45949.25819692102)</f>
        <v>45949.2582</v>
      </c>
      <c r="K430" s="4">
        <f>IFERROR(__xludf.DUMMYFUNCTION("""COMPUTED_VALUE"""),45949.28132532966)</f>
        <v>45949.28133</v>
      </c>
      <c r="L430" s="4">
        <f>IFERROR(__xludf.DUMMYFUNCTION("""COMPUTED_VALUE"""),45949.28798420141)</f>
        <v>45949.28798</v>
      </c>
      <c r="M430" s="1" t="str">
        <f>IFERROR(__xludf.DUMMYFUNCTION("""COMPUTED_VALUE"""),"RFID")</f>
        <v>RFID</v>
      </c>
      <c r="N430" s="5">
        <f>IFERROR(__xludf.DUMMYFUNCTION("""COMPUTED_VALUE"""),0.004694027777777778)</f>
        <v>0.004694027778</v>
      </c>
      <c r="O430" s="5">
        <f>IFERROR(__xludf.DUMMYFUNCTION("""COMPUTED_VALUE"""),0.00925136574074074)</f>
        <v>0.009251365741</v>
      </c>
      <c r="P430" s="5">
        <f>IFERROR(__xludf.DUMMYFUNCTION("""COMPUTED_VALUE"""),0.00274027643846003)</f>
        <v>0.002740276438</v>
      </c>
      <c r="Q430" s="5">
        <f>IFERROR(__xludf.DUMMYFUNCTION("""COMPUTED_VALUE"""),0.004152234953703704)</f>
        <v>0.004152234954</v>
      </c>
      <c r="R430" s="4">
        <f>IFERROR(__xludf.DUMMYFUNCTION("""COMPUTED_VALUE"""),45949.04152234956)</f>
        <v>45949.04152</v>
      </c>
      <c r="S430" s="1" t="b">
        <f>IFERROR(__xludf.DUMMYFUNCTION("""COMPUTED_VALUE"""),TRUE)</f>
        <v>1</v>
      </c>
      <c r="T430" s="1" t="b">
        <f>IFERROR(__xludf.DUMMYFUNCTION("""COMPUTED_VALUE"""),FALSE)</f>
        <v>0</v>
      </c>
      <c r="U430" s="1" t="str">
        <f>IFERROR(__xludf.DUMMYFUNCTION("""COMPUTED_VALUE"""),"VALID")</f>
        <v>VALID</v>
      </c>
      <c r="V430" s="1">
        <f>IFERROR(__xludf.DUMMYFUNCTION("""COMPUTED_VALUE"""),130.0)</f>
        <v>130</v>
      </c>
      <c r="W430" s="1">
        <f>IFERROR(__xludf.DUMMYFUNCTION("""COMPUTED_VALUE"""),154.0)</f>
        <v>154</v>
      </c>
      <c r="X430" s="1">
        <f>IFERROR(__xludf.DUMMYFUNCTION("""COMPUTED_VALUE"""),1044.0)</f>
        <v>1044</v>
      </c>
      <c r="Y430" s="2"/>
      <c r="Z430" s="2"/>
    </row>
    <row r="431">
      <c r="A431" s="1">
        <f>IFERROR(__xludf.DUMMYFUNCTION("""COMPUTED_VALUE"""),430.0)</f>
        <v>430</v>
      </c>
      <c r="B431" s="1">
        <f>IFERROR(__xludf.DUMMYFUNCTION("""COMPUTED_VALUE"""),10281.0)</f>
        <v>10281</v>
      </c>
      <c r="C431" s="2" t="str">
        <f>IFERROR(__xludf.DUMMYFUNCTION("""COMPUTED_VALUE"""),"YOGI")</f>
        <v>YOGI</v>
      </c>
      <c r="D431" s="2" t="str">
        <f>IFERROR(__xludf.DUMMYFUNCTION("""COMPUTED_VALUE"""),"10KM OVERALL M")</f>
        <v>10KM OVERALL M</v>
      </c>
      <c r="E431" s="1">
        <f>IFERROR(__xludf.DUMMYFUNCTION("""COMPUTED_VALUE"""),1.0)</f>
        <v>1</v>
      </c>
      <c r="F431" s="1" t="str">
        <f>IFERROR(__xludf.DUMMYFUNCTION("""COMPUTED_VALUE"""),"Male")</f>
        <v>Male</v>
      </c>
      <c r="G431" s="4" t="str">
        <f>IFERROR(__xludf.DUMMYFUNCTION("""COMPUTED_VALUE"""),"")</f>
        <v/>
      </c>
      <c r="H431" s="4" t="b">
        <f>IFERROR(__xludf.DUMMYFUNCTION("""COMPUTED_VALUE"""),FALSE)</f>
        <v>0</v>
      </c>
      <c r="I431" s="4">
        <f>IFERROR(__xludf.DUMMYFUNCTION("""COMPUTED_VALUE"""),0.24646185185185185)</f>
        <v>0.2464618519</v>
      </c>
      <c r="J431" s="4" t="str">
        <f>IFERROR(__xludf.DUMMYFUNCTION("""COMPUTED_VALUE"""),"")</f>
        <v/>
      </c>
      <c r="K431" s="4" t="str">
        <f>IFERROR(__xludf.DUMMYFUNCTION("""COMPUTED_VALUE"""),"")</f>
        <v/>
      </c>
      <c r="L431" s="4" t="str">
        <f>IFERROR(__xludf.DUMMYFUNCTION("""COMPUTED_VALUE"""),"")</f>
        <v/>
      </c>
      <c r="M431" s="1" t="str">
        <f>IFERROR(__xludf.DUMMYFUNCTION("""COMPUTED_VALUE"""),"RFID")</f>
        <v>RFID</v>
      </c>
      <c r="N431" s="5" t="str">
        <f>IFERROR(__xludf.DUMMYFUNCTION("""COMPUTED_VALUE"""),"")</f>
        <v/>
      </c>
      <c r="O431" s="5" t="str">
        <f>IFERROR(__xludf.DUMMYFUNCTION("""COMPUTED_VALUE"""),"")</f>
        <v/>
      </c>
      <c r="P431" s="5" t="str">
        <f>IFERROR(__xludf.DUMMYFUNCTION("""COMPUTED_VALUE"""),"")</f>
        <v/>
      </c>
      <c r="Q431" s="5" t="str">
        <f>IFERROR(__xludf.DUMMYFUNCTION("""COMPUTED_VALUE"""),"")</f>
        <v/>
      </c>
      <c r="R431" s="4" t="str">
        <f>IFERROR(__xludf.DUMMYFUNCTION("""COMPUTED_VALUE"""),"")</f>
        <v/>
      </c>
      <c r="S431" s="1" t="b">
        <f>IFERROR(__xludf.DUMMYFUNCTION("""COMPUTED_VALUE"""),FALSE)</f>
        <v>0</v>
      </c>
      <c r="T431" s="1" t="b">
        <f>IFERROR(__xludf.DUMMYFUNCTION("""COMPUTED_VALUE"""),FALSE)</f>
        <v>0</v>
      </c>
      <c r="U431" s="1" t="str">
        <f>IFERROR(__xludf.DUMMYFUNCTION("""COMPUTED_VALUE"""),"DSQ")</f>
        <v>DSQ</v>
      </c>
      <c r="V431" s="1" t="str">
        <f>IFERROR(__xludf.DUMMYFUNCTION("""COMPUTED_VALUE"""),"DSQ")</f>
        <v>DSQ</v>
      </c>
      <c r="W431" s="1" t="str">
        <f>IFERROR(__xludf.DUMMYFUNCTION("""COMPUTED_VALUE"""),"DSQ")</f>
        <v>DSQ</v>
      </c>
      <c r="X431" s="1" t="str">
        <f>IFERROR(__xludf.DUMMYFUNCTION("""COMPUTED_VALUE"""),"DSQ")</f>
        <v>DSQ</v>
      </c>
      <c r="Y431" s="2"/>
      <c r="Z431" s="2" t="str">
        <f>IFERROR(__xludf.DUMMYFUNCTION("""COMPUTED_VALUE"""),"")</f>
        <v/>
      </c>
    </row>
    <row r="432">
      <c r="A432" s="1">
        <f>IFERROR(__xludf.DUMMYFUNCTION("""COMPUTED_VALUE"""),431.0)</f>
        <v>431</v>
      </c>
      <c r="B432" s="1">
        <f>IFERROR(__xludf.DUMMYFUNCTION("""COMPUTED_VALUE"""),10282.0)</f>
        <v>10282</v>
      </c>
      <c r="C432" s="2" t="str">
        <f>IFERROR(__xludf.DUMMYFUNCTION("""COMPUTED_VALUE"""),"Syahrul GM")</f>
        <v>Syahrul GM</v>
      </c>
      <c r="D432" s="2" t="str">
        <f>IFERROR(__xludf.DUMMYFUNCTION("""COMPUTED_VALUE"""),"10KM OVERALL M")</f>
        <v>10KM OVERALL M</v>
      </c>
      <c r="E432" s="1">
        <f>IFERROR(__xludf.DUMMYFUNCTION("""COMPUTED_VALUE"""),1.0)</f>
        <v>1</v>
      </c>
      <c r="F432" s="1" t="str">
        <f>IFERROR(__xludf.DUMMYFUNCTION("""COMPUTED_VALUE"""),"Male")</f>
        <v>Male</v>
      </c>
      <c r="G432" s="4" t="b">
        <f>IFERROR(__xludf.DUMMYFUNCTION("""COMPUTED_VALUE"""),TRUE)</f>
        <v>1</v>
      </c>
      <c r="H432" s="4" t="b">
        <f>IFERROR(__xludf.DUMMYFUNCTION("""COMPUTED_VALUE"""),FALSE)</f>
        <v>0</v>
      </c>
      <c r="I432" s="4">
        <f>IFERROR(__xludf.DUMMYFUNCTION("""COMPUTED_VALUE"""),0.24646185185185185)</f>
        <v>0.2464618519</v>
      </c>
      <c r="J432" s="4">
        <f>IFERROR(__xludf.DUMMYFUNCTION("""COMPUTED_VALUE"""),45949.25456523167)</f>
        <v>45949.25457</v>
      </c>
      <c r="K432" s="4">
        <f>IFERROR(__xludf.DUMMYFUNCTION("""COMPUTED_VALUE"""),45949.279252414504)</f>
        <v>45949.27925</v>
      </c>
      <c r="L432" s="4">
        <f>IFERROR(__xludf.DUMMYFUNCTION("""COMPUTED_VALUE"""),45949.28609178584)</f>
        <v>45949.28609</v>
      </c>
      <c r="M432" s="1" t="str">
        <f>IFERROR(__xludf.DUMMYFUNCTION("""COMPUTED_VALUE"""),"RFID")</f>
        <v>RFID</v>
      </c>
      <c r="N432" s="5">
        <f>IFERROR(__xludf.DUMMYFUNCTION("""COMPUTED_VALUE"""),0.0032413518518518516)</f>
        <v>0.003241351852</v>
      </c>
      <c r="O432" s="5">
        <f>IFERROR(__xludf.DUMMYFUNCTION("""COMPUTED_VALUE"""),0.009874875)</f>
        <v>0.009874875</v>
      </c>
      <c r="P432" s="5">
        <f>IFERROR(__xludf.DUMMYFUNCTION("""COMPUTED_VALUE"""),0.0028145561058700863)</f>
        <v>0.002814556106</v>
      </c>
      <c r="Q432" s="5">
        <f>IFERROR(__xludf.DUMMYFUNCTION("""COMPUTED_VALUE"""),0.0039629930555555555)</f>
        <v>0.003962993056</v>
      </c>
      <c r="R432" s="4">
        <f>IFERROR(__xludf.DUMMYFUNCTION("""COMPUTED_VALUE"""),45949.03962993399)</f>
        <v>45949.03963</v>
      </c>
      <c r="S432" s="1" t="b">
        <f>IFERROR(__xludf.DUMMYFUNCTION("""COMPUTED_VALUE"""),TRUE)</f>
        <v>1</v>
      </c>
      <c r="T432" s="1" t="b">
        <f>IFERROR(__xludf.DUMMYFUNCTION("""COMPUTED_VALUE"""),FALSE)</f>
        <v>0</v>
      </c>
      <c r="U432" s="1" t="str">
        <f>IFERROR(__xludf.DUMMYFUNCTION("""COMPUTED_VALUE"""),"VALID")</f>
        <v>VALID</v>
      </c>
      <c r="V432" s="1">
        <f>IFERROR(__xludf.DUMMYFUNCTION("""COMPUTED_VALUE"""),94.0)</f>
        <v>94</v>
      </c>
      <c r="W432" s="1">
        <f>IFERROR(__xludf.DUMMYFUNCTION("""COMPUTED_VALUE"""),113.0)</f>
        <v>113</v>
      </c>
      <c r="X432" s="1">
        <f>IFERROR(__xludf.DUMMYFUNCTION("""COMPUTED_VALUE"""),963.0)</f>
        <v>963</v>
      </c>
      <c r="Y432" s="2"/>
      <c r="Z432" s="2"/>
    </row>
    <row r="433">
      <c r="A433" s="1">
        <f>IFERROR(__xludf.DUMMYFUNCTION("""COMPUTED_VALUE"""),432.0)</f>
        <v>432</v>
      </c>
      <c r="B433" s="1">
        <f>IFERROR(__xludf.DUMMYFUNCTION("""COMPUTED_VALUE"""),10283.0)</f>
        <v>10283</v>
      </c>
      <c r="C433" s="2" t="str">
        <f>IFERROR(__xludf.DUMMYFUNCTION("""COMPUTED_VALUE"""),"khairi fadli")</f>
        <v>khairi fadli</v>
      </c>
      <c r="D433" s="2" t="str">
        <f>IFERROR(__xludf.DUMMYFUNCTION("""COMPUTED_VALUE"""),"10KM OVERALL M")</f>
        <v>10KM OVERALL M</v>
      </c>
      <c r="E433" s="1">
        <f>IFERROR(__xludf.DUMMYFUNCTION("""COMPUTED_VALUE"""),1.0)</f>
        <v>1</v>
      </c>
      <c r="F433" s="1" t="str">
        <f>IFERROR(__xludf.DUMMYFUNCTION("""COMPUTED_VALUE"""),"Male")</f>
        <v>Male</v>
      </c>
      <c r="G433" s="4" t="b">
        <f>IFERROR(__xludf.DUMMYFUNCTION("""COMPUTED_VALUE"""),TRUE)</f>
        <v>1</v>
      </c>
      <c r="H433" s="4" t="b">
        <f>IFERROR(__xludf.DUMMYFUNCTION("""COMPUTED_VALUE"""),TRUE)</f>
        <v>1</v>
      </c>
      <c r="I433" s="4">
        <f>IFERROR(__xludf.DUMMYFUNCTION("""COMPUTED_VALUE"""),0.24646185185185185)</f>
        <v>0.2464618519</v>
      </c>
      <c r="J433" s="4">
        <f>IFERROR(__xludf.DUMMYFUNCTION("""COMPUTED_VALUE"""),45949.256835716194)</f>
        <v>45949.25684</v>
      </c>
      <c r="K433" s="4">
        <f>IFERROR(__xludf.DUMMYFUNCTION("""COMPUTED_VALUE"""),45949.284384352664)</f>
        <v>45949.28438</v>
      </c>
      <c r="L433" s="4">
        <f>IFERROR(__xludf.DUMMYFUNCTION("""COMPUTED_VALUE"""),45949.29254670095)</f>
        <v>45949.29255</v>
      </c>
      <c r="M433" s="1" t="str">
        <f>IFERROR(__xludf.DUMMYFUNCTION("""COMPUTED_VALUE"""),"RFID")</f>
        <v>RFID</v>
      </c>
      <c r="N433" s="5">
        <f>IFERROR(__xludf.DUMMYFUNCTION("""COMPUTED_VALUE"""),0.004149546296296296)</f>
        <v>0.004149546296</v>
      </c>
      <c r="O433" s="5">
        <f>IFERROR(__xludf.DUMMYFUNCTION("""COMPUTED_VALUE"""),0.011019453703703705)</f>
        <v>0.0110194537</v>
      </c>
      <c r="P433" s="5">
        <f>IFERROR(__xludf.DUMMYFUNCTION("""COMPUTED_VALUE"""),0.003358991063293836)</f>
        <v>0.003358991063</v>
      </c>
      <c r="Q433" s="5">
        <f>IFERROR(__xludf.DUMMYFUNCTION("""COMPUTED_VALUE"""),0.004608484953703704)</f>
        <v>0.004608484954</v>
      </c>
      <c r="R433" s="4">
        <f>IFERROR(__xludf.DUMMYFUNCTION("""COMPUTED_VALUE"""),45949.0460848491)</f>
        <v>45949.04608</v>
      </c>
      <c r="S433" s="1" t="b">
        <f>IFERROR(__xludf.DUMMYFUNCTION("""COMPUTED_VALUE"""),TRUE)</f>
        <v>1</v>
      </c>
      <c r="T433" s="1" t="b">
        <f>IFERROR(__xludf.DUMMYFUNCTION("""COMPUTED_VALUE"""),FALSE)</f>
        <v>0</v>
      </c>
      <c r="U433" s="1" t="str">
        <f>IFERROR(__xludf.DUMMYFUNCTION("""COMPUTED_VALUE"""),"VALID")</f>
        <v>VALID</v>
      </c>
      <c r="V433" s="1">
        <f>IFERROR(__xludf.DUMMYFUNCTION("""COMPUTED_VALUE"""),244.0)</f>
        <v>244</v>
      </c>
      <c r="W433" s="1">
        <f>IFERROR(__xludf.DUMMYFUNCTION("""COMPUTED_VALUE"""),293.0)</f>
        <v>293</v>
      </c>
      <c r="X433" s="1">
        <f>IFERROR(__xludf.DUMMYFUNCTION("""COMPUTED_VALUE"""),1241.0)</f>
        <v>1241</v>
      </c>
      <c r="Y433" s="2"/>
      <c r="Z433" s="2"/>
    </row>
    <row r="434">
      <c r="A434" s="1">
        <f>IFERROR(__xludf.DUMMYFUNCTION("""COMPUTED_VALUE"""),433.0)</f>
        <v>433</v>
      </c>
      <c r="B434" s="1">
        <f>IFERROR(__xludf.DUMMYFUNCTION("""COMPUTED_VALUE"""),10284.0)</f>
        <v>10284</v>
      </c>
      <c r="C434" s="2" t="str">
        <f>IFERROR(__xludf.DUMMYFUNCTION("""COMPUTED_VALUE"""),"ZAENUDDIN")</f>
        <v>ZAENUDDIN</v>
      </c>
      <c r="D434" s="2" t="str">
        <f>IFERROR(__xludf.DUMMYFUNCTION("""COMPUTED_VALUE"""),"10KM OVERALL M")</f>
        <v>10KM OVERALL M</v>
      </c>
      <c r="E434" s="1">
        <f>IFERROR(__xludf.DUMMYFUNCTION("""COMPUTED_VALUE"""),1.0)</f>
        <v>1</v>
      </c>
      <c r="F434" s="1" t="str">
        <f>IFERROR(__xludf.DUMMYFUNCTION("""COMPUTED_VALUE"""),"Male")</f>
        <v>Male</v>
      </c>
      <c r="G434" s="4" t="b">
        <f>IFERROR(__xludf.DUMMYFUNCTION("""COMPUTED_VALUE"""),TRUE)</f>
        <v>1</v>
      </c>
      <c r="H434" s="4" t="b">
        <f>IFERROR(__xludf.DUMMYFUNCTION("""COMPUTED_VALUE"""),FALSE)</f>
        <v>0</v>
      </c>
      <c r="I434" s="4">
        <f>IFERROR(__xludf.DUMMYFUNCTION("""COMPUTED_VALUE"""),0.24646185185185185)</f>
        <v>0.2464618519</v>
      </c>
      <c r="J434" s="4">
        <f>IFERROR(__xludf.DUMMYFUNCTION("""COMPUTED_VALUE"""),45949.256707265304)</f>
        <v>45949.25671</v>
      </c>
      <c r="K434" s="4">
        <f>IFERROR(__xludf.DUMMYFUNCTION("""COMPUTED_VALUE"""),45949.290254629625)</f>
        <v>45949.29025</v>
      </c>
      <c r="L434" s="4">
        <f>IFERROR(__xludf.DUMMYFUNCTION("""COMPUTED_VALUE"""),45949.299907759225)</f>
        <v>45949.29991</v>
      </c>
      <c r="M434" s="1" t="str">
        <f>IFERROR(__xludf.DUMMYFUNCTION("""COMPUTED_VALUE"""),"RFID")</f>
        <v>RFID</v>
      </c>
      <c r="N434" s="5">
        <f>IFERROR(__xludf.DUMMYFUNCTION("""COMPUTED_VALUE"""),0.004098166666666667)</f>
        <v>0.004098166667</v>
      </c>
      <c r="O434" s="5">
        <f>IFERROR(__xludf.DUMMYFUNCTION("""COMPUTED_VALUE"""),0.013418944444444445)</f>
        <v>0.01341894444</v>
      </c>
      <c r="P434" s="5">
        <f>IFERROR(__xludf.DUMMYFUNCTION("""COMPUTED_VALUE"""),0.003972481317011401)</f>
        <v>0.003972481317</v>
      </c>
      <c r="Q434" s="5">
        <f>IFERROR(__xludf.DUMMYFUNCTION("""COMPUTED_VALUE"""),0.005344590277777778)</f>
        <v>0.005344590278</v>
      </c>
      <c r="R434" s="4">
        <f>IFERROR(__xludf.DUMMYFUNCTION("""COMPUTED_VALUE"""),45949.053445907375)</f>
        <v>45949.05345</v>
      </c>
      <c r="S434" s="1" t="b">
        <f>IFERROR(__xludf.DUMMYFUNCTION("""COMPUTED_VALUE"""),TRUE)</f>
        <v>1</v>
      </c>
      <c r="T434" s="1" t="b">
        <f>IFERROR(__xludf.DUMMYFUNCTION("""COMPUTED_VALUE"""),FALSE)</f>
        <v>0</v>
      </c>
      <c r="U434" s="1" t="str">
        <f>IFERROR(__xludf.DUMMYFUNCTION("""COMPUTED_VALUE"""),"VALID")</f>
        <v>VALID</v>
      </c>
      <c r="V434" s="1">
        <f>IFERROR(__xludf.DUMMYFUNCTION("""COMPUTED_VALUE"""),410.0)</f>
        <v>410</v>
      </c>
      <c r="W434" s="1">
        <f>IFERROR(__xludf.DUMMYFUNCTION("""COMPUTED_VALUE"""),489.0)</f>
        <v>489</v>
      </c>
      <c r="X434" s="1">
        <f>IFERROR(__xludf.DUMMYFUNCTION("""COMPUTED_VALUE"""),1465.0)</f>
        <v>1465</v>
      </c>
      <c r="Y434" s="2"/>
      <c r="Z434" s="2"/>
    </row>
    <row r="435">
      <c r="A435" s="1">
        <f>IFERROR(__xludf.DUMMYFUNCTION("""COMPUTED_VALUE"""),434.0)</f>
        <v>434</v>
      </c>
      <c r="B435" s="1">
        <f>IFERROR(__xludf.DUMMYFUNCTION("""COMPUTED_VALUE"""),10285.0)</f>
        <v>10285</v>
      </c>
      <c r="C435" s="2" t="str">
        <f>IFERROR(__xludf.DUMMYFUNCTION("""COMPUTED_VALUE"""),"Afdhal")</f>
        <v>Afdhal</v>
      </c>
      <c r="D435" s="2" t="str">
        <f>IFERROR(__xludf.DUMMYFUNCTION("""COMPUTED_VALUE"""),"10KM OVERALL M")</f>
        <v>10KM OVERALL M</v>
      </c>
      <c r="E435" s="1">
        <f>IFERROR(__xludf.DUMMYFUNCTION("""COMPUTED_VALUE"""),1.0)</f>
        <v>1</v>
      </c>
      <c r="F435" s="1" t="str">
        <f>IFERROR(__xludf.DUMMYFUNCTION("""COMPUTED_VALUE"""),"Male")</f>
        <v>Male</v>
      </c>
      <c r="G435" s="4" t="str">
        <f>IFERROR(__xludf.DUMMYFUNCTION("""COMPUTED_VALUE"""),"")</f>
        <v/>
      </c>
      <c r="H435" s="4" t="b">
        <f>IFERROR(__xludf.DUMMYFUNCTION("""COMPUTED_VALUE"""),FALSE)</f>
        <v>0</v>
      </c>
      <c r="I435" s="4">
        <f>IFERROR(__xludf.DUMMYFUNCTION("""COMPUTED_VALUE"""),0.24646185185185185)</f>
        <v>0.2464618519</v>
      </c>
      <c r="J435" s="4" t="str">
        <f>IFERROR(__xludf.DUMMYFUNCTION("""COMPUTED_VALUE"""),"")</f>
        <v/>
      </c>
      <c r="K435" s="4" t="str">
        <f>IFERROR(__xludf.DUMMYFUNCTION("""COMPUTED_VALUE"""),"")</f>
        <v/>
      </c>
      <c r="L435" s="4">
        <f>IFERROR(__xludf.DUMMYFUNCTION("""COMPUTED_VALUE"""),45949.30744600466)</f>
        <v>45949.30745</v>
      </c>
      <c r="M435" s="1" t="str">
        <f>IFERROR(__xludf.DUMMYFUNCTION("""COMPUTED_VALUE"""),"RFID")</f>
        <v>RFID</v>
      </c>
      <c r="N435" s="5" t="str">
        <f>IFERROR(__xludf.DUMMYFUNCTION("""COMPUTED_VALUE"""),"")</f>
        <v/>
      </c>
      <c r="O435" s="5" t="str">
        <f>IFERROR(__xludf.DUMMYFUNCTION("""COMPUTED_VALUE"""),"")</f>
        <v/>
      </c>
      <c r="P435" s="5" t="str">
        <f>IFERROR(__xludf.DUMMYFUNCTION("""COMPUTED_VALUE"""),"")</f>
        <v/>
      </c>
      <c r="Q435" s="5">
        <f>IFERROR(__xludf.DUMMYFUNCTION("""COMPUTED_VALUE"""),0.006098415509259259)</f>
        <v>0.006098415509</v>
      </c>
      <c r="R435" s="4">
        <f>IFERROR(__xludf.DUMMYFUNCTION("""COMPUTED_VALUE"""),45949.06098415281)</f>
        <v>45949.06098</v>
      </c>
      <c r="S435" s="1" t="b">
        <f>IFERROR(__xludf.DUMMYFUNCTION("""COMPUTED_VALUE"""),FALSE)</f>
        <v>0</v>
      </c>
      <c r="T435" s="1" t="b">
        <f>IFERROR(__xludf.DUMMYFUNCTION("""COMPUTED_VALUE"""),FALSE)</f>
        <v>0</v>
      </c>
      <c r="U435" s="1" t="str">
        <f>IFERROR(__xludf.DUMMYFUNCTION("""COMPUTED_VALUE"""),"DSQ")</f>
        <v>DSQ</v>
      </c>
      <c r="V435" s="1" t="str">
        <f>IFERROR(__xludf.DUMMYFUNCTION("""COMPUTED_VALUE"""),"DSQ")</f>
        <v>DSQ</v>
      </c>
      <c r="W435" s="1" t="str">
        <f>IFERROR(__xludf.DUMMYFUNCTION("""COMPUTED_VALUE"""),"DSQ")</f>
        <v>DSQ</v>
      </c>
      <c r="X435" s="1" t="str">
        <f>IFERROR(__xludf.DUMMYFUNCTION("""COMPUTED_VALUE"""),"DSQ")</f>
        <v>DSQ</v>
      </c>
      <c r="Y435" s="2"/>
      <c r="Z435" s="2" t="str">
        <f>IFERROR(__xludf.DUMMYFUNCTION("""COMPUTED_VALUE"""),"")</f>
        <v/>
      </c>
    </row>
    <row r="436">
      <c r="A436" s="1">
        <f>IFERROR(__xludf.DUMMYFUNCTION("""COMPUTED_VALUE"""),435.0)</f>
        <v>435</v>
      </c>
      <c r="B436" s="1">
        <f>IFERROR(__xludf.DUMMYFUNCTION("""COMPUTED_VALUE"""),10286.0)</f>
        <v>10286</v>
      </c>
      <c r="C436" s="2" t="str">
        <f>IFERROR(__xludf.DUMMYFUNCTION("""COMPUTED_VALUE"""),"Ihsan Ramdhani")</f>
        <v>Ihsan Ramdhani</v>
      </c>
      <c r="D436" s="2" t="str">
        <f>IFERROR(__xludf.DUMMYFUNCTION("""COMPUTED_VALUE"""),"10KM OVERALL M")</f>
        <v>10KM OVERALL M</v>
      </c>
      <c r="E436" s="1">
        <f>IFERROR(__xludf.DUMMYFUNCTION("""COMPUTED_VALUE"""),1.0)</f>
        <v>1</v>
      </c>
      <c r="F436" s="1" t="str">
        <f>IFERROR(__xludf.DUMMYFUNCTION("""COMPUTED_VALUE"""),"Male")</f>
        <v>Male</v>
      </c>
      <c r="G436" s="4" t="b">
        <f>IFERROR(__xludf.DUMMYFUNCTION("""COMPUTED_VALUE"""),TRUE)</f>
        <v>1</v>
      </c>
      <c r="H436" s="4" t="b">
        <f>IFERROR(__xludf.DUMMYFUNCTION("""COMPUTED_VALUE"""),FALSE)</f>
        <v>0</v>
      </c>
      <c r="I436" s="4">
        <f>IFERROR(__xludf.DUMMYFUNCTION("""COMPUTED_VALUE"""),0.24646185185185185)</f>
        <v>0.2464618519</v>
      </c>
      <c r="J436" s="4">
        <f>IFERROR(__xludf.DUMMYFUNCTION("""COMPUTED_VALUE"""),45949.25787743319)</f>
        <v>45949.25788</v>
      </c>
      <c r="K436" s="4">
        <f>IFERROR(__xludf.DUMMYFUNCTION("""COMPUTED_VALUE"""),45949.28902667728)</f>
        <v>45949.28903</v>
      </c>
      <c r="L436" s="4">
        <f>IFERROR(__xludf.DUMMYFUNCTION("""COMPUTED_VALUE"""),45949.29932795188)</f>
        <v>45949.29933</v>
      </c>
      <c r="M436" s="1" t="str">
        <f>IFERROR(__xludf.DUMMYFUNCTION("""COMPUTED_VALUE"""),"RFID")</f>
        <v>RFID</v>
      </c>
      <c r="N436" s="5">
        <f>IFERROR(__xludf.DUMMYFUNCTION("""COMPUTED_VALUE"""),0.004566231481481482)</f>
        <v>0.004566231481</v>
      </c>
      <c r="O436" s="5">
        <f>IFERROR(__xludf.DUMMYFUNCTION("""COMPUTED_VALUE"""),0.012459699074074074)</f>
        <v>0.01245969907</v>
      </c>
      <c r="P436" s="5">
        <f>IFERROR(__xludf.DUMMYFUNCTION("""COMPUTED_VALUE"""),0.004239207652968512)</f>
        <v>0.004239207653</v>
      </c>
      <c r="Q436" s="5">
        <f>IFERROR(__xludf.DUMMYFUNCTION("""COMPUTED_VALUE"""),0.005286609953703704)</f>
        <v>0.005286609954</v>
      </c>
      <c r="R436" s="4">
        <f>IFERROR(__xludf.DUMMYFUNCTION("""COMPUTED_VALUE"""),45949.05286610003)</f>
        <v>45949.05287</v>
      </c>
      <c r="S436" s="1" t="b">
        <f>IFERROR(__xludf.DUMMYFUNCTION("""COMPUTED_VALUE"""),TRUE)</f>
        <v>1</v>
      </c>
      <c r="T436" s="1" t="b">
        <f>IFERROR(__xludf.DUMMYFUNCTION("""COMPUTED_VALUE"""),FALSE)</f>
        <v>0</v>
      </c>
      <c r="U436" s="1" t="str">
        <f>IFERROR(__xludf.DUMMYFUNCTION("""COMPUTED_VALUE"""),"VALID")</f>
        <v>VALID</v>
      </c>
      <c r="V436" s="1">
        <f>IFERROR(__xludf.DUMMYFUNCTION("""COMPUTED_VALUE"""),398.0)</f>
        <v>398</v>
      </c>
      <c r="W436" s="1">
        <f>IFERROR(__xludf.DUMMYFUNCTION("""COMPUTED_VALUE"""),474.0)</f>
        <v>474</v>
      </c>
      <c r="X436" s="1">
        <f>IFERROR(__xludf.DUMMYFUNCTION("""COMPUTED_VALUE"""),1452.0)</f>
        <v>1452</v>
      </c>
      <c r="Y436" s="2"/>
      <c r="Z436" s="2"/>
    </row>
    <row r="437">
      <c r="A437" s="1">
        <f>IFERROR(__xludf.DUMMYFUNCTION("""COMPUTED_VALUE"""),436.0)</f>
        <v>436</v>
      </c>
      <c r="B437" s="1">
        <f>IFERROR(__xludf.DUMMYFUNCTION("""COMPUTED_VALUE"""),10287.0)</f>
        <v>10287</v>
      </c>
      <c r="C437" s="2" t="str">
        <f>IFERROR(__xludf.DUMMYFUNCTION("""COMPUTED_VALUE"""),"Lekting")</f>
        <v>Lekting</v>
      </c>
      <c r="D437" s="2" t="str">
        <f>IFERROR(__xludf.DUMMYFUNCTION("""COMPUTED_VALUE"""),"10KM OVERALL M")</f>
        <v>10KM OVERALL M</v>
      </c>
      <c r="E437" s="1">
        <f>IFERROR(__xludf.DUMMYFUNCTION("""COMPUTED_VALUE"""),1.0)</f>
        <v>1</v>
      </c>
      <c r="F437" s="1" t="str">
        <f>IFERROR(__xludf.DUMMYFUNCTION("""COMPUTED_VALUE"""),"Male")</f>
        <v>Male</v>
      </c>
      <c r="G437" s="4" t="b">
        <f>IFERROR(__xludf.DUMMYFUNCTION("""COMPUTED_VALUE"""),TRUE)</f>
        <v>1</v>
      </c>
      <c r="H437" s="4" t="b">
        <f>IFERROR(__xludf.DUMMYFUNCTION("""COMPUTED_VALUE"""),TRUE)</f>
        <v>1</v>
      </c>
      <c r="I437" s="4">
        <f>IFERROR(__xludf.DUMMYFUNCTION("""COMPUTED_VALUE"""),0.24646185185185185)</f>
        <v>0.2464618519</v>
      </c>
      <c r="J437" s="4">
        <f>IFERROR(__xludf.DUMMYFUNCTION("""COMPUTED_VALUE"""),45949.25448848992)</f>
        <v>45949.25449</v>
      </c>
      <c r="K437" s="4">
        <f>IFERROR(__xludf.DUMMYFUNCTION("""COMPUTED_VALUE"""),45949.27872116074)</f>
        <v>45949.27872</v>
      </c>
      <c r="L437" s="4">
        <f>IFERROR(__xludf.DUMMYFUNCTION("""COMPUTED_VALUE"""),45949.28553975572)</f>
        <v>45949.28554</v>
      </c>
      <c r="M437" s="1" t="str">
        <f>IFERROR(__xludf.DUMMYFUNCTION("""COMPUTED_VALUE"""),"RFID")</f>
        <v>RFID</v>
      </c>
      <c r="N437" s="5">
        <f>IFERROR(__xludf.DUMMYFUNCTION("""COMPUTED_VALUE"""),0.0032106574074074073)</f>
        <v>0.003210657407</v>
      </c>
      <c r="O437" s="5">
        <f>IFERROR(__xludf.DUMMYFUNCTION("""COMPUTED_VALUE"""),0.009693069444444443)</f>
        <v>0.009693069444</v>
      </c>
      <c r="P437" s="5">
        <f>IFERROR(__xludf.DUMMYFUNCTION("""COMPUTED_VALUE"""),0.0028060061640083145)</f>
        <v>0.002806006164</v>
      </c>
      <c r="Q437" s="5">
        <f>IFERROR(__xludf.DUMMYFUNCTION("""COMPUTED_VALUE"""),0.003907790509259259)</f>
        <v>0.003907790509</v>
      </c>
      <c r="R437" s="4">
        <f>IFERROR(__xludf.DUMMYFUNCTION("""COMPUTED_VALUE"""),45949.03907790387)</f>
        <v>45949.03908</v>
      </c>
      <c r="S437" s="1" t="b">
        <f>IFERROR(__xludf.DUMMYFUNCTION("""COMPUTED_VALUE"""),TRUE)</f>
        <v>1</v>
      </c>
      <c r="T437" s="1" t="b">
        <f>IFERROR(__xludf.DUMMYFUNCTION("""COMPUTED_VALUE"""),FALSE)</f>
        <v>0</v>
      </c>
      <c r="U437" s="1" t="str">
        <f>IFERROR(__xludf.DUMMYFUNCTION("""COMPUTED_VALUE"""),"VALID")</f>
        <v>VALID</v>
      </c>
      <c r="V437" s="1">
        <f>IFERROR(__xludf.DUMMYFUNCTION("""COMPUTED_VALUE"""),83.0)</f>
        <v>83</v>
      </c>
      <c r="W437" s="1">
        <f>IFERROR(__xludf.DUMMYFUNCTION("""COMPUTED_VALUE"""),101.0)</f>
        <v>101</v>
      </c>
      <c r="X437" s="1">
        <f>IFERROR(__xludf.DUMMYFUNCTION("""COMPUTED_VALUE"""),931.0)</f>
        <v>931</v>
      </c>
      <c r="Y437" s="2"/>
      <c r="Z437" s="2"/>
    </row>
    <row r="438">
      <c r="A438" s="1">
        <f>IFERROR(__xludf.DUMMYFUNCTION("""COMPUTED_VALUE"""),437.0)</f>
        <v>437</v>
      </c>
      <c r="B438" s="1">
        <f>IFERROR(__xludf.DUMMYFUNCTION("""COMPUTED_VALUE"""),10289.0)</f>
        <v>10289</v>
      </c>
      <c r="C438" s="2" t="str">
        <f>IFERROR(__xludf.DUMMYFUNCTION("""COMPUTED_VALUE"""),"AaGin")</f>
        <v>AaGin</v>
      </c>
      <c r="D438" s="2" t="str">
        <f>IFERROR(__xludf.DUMMYFUNCTION("""COMPUTED_VALUE"""),"10KM OVERALL M")</f>
        <v>10KM OVERALL M</v>
      </c>
      <c r="E438" s="1">
        <f>IFERROR(__xludf.DUMMYFUNCTION("""COMPUTED_VALUE"""),1.0)</f>
        <v>1</v>
      </c>
      <c r="F438" s="1" t="str">
        <f>IFERROR(__xludf.DUMMYFUNCTION("""COMPUTED_VALUE"""),"Male")</f>
        <v>Male</v>
      </c>
      <c r="G438" s="4" t="str">
        <f>IFERROR(__xludf.DUMMYFUNCTION("""COMPUTED_VALUE"""),"")</f>
        <v/>
      </c>
      <c r="H438" s="4" t="b">
        <f>IFERROR(__xludf.DUMMYFUNCTION("""COMPUTED_VALUE"""),FALSE)</f>
        <v>0</v>
      </c>
      <c r="I438" s="4">
        <f>IFERROR(__xludf.DUMMYFUNCTION("""COMPUTED_VALUE"""),0.24646185185185185)</f>
        <v>0.2464618519</v>
      </c>
      <c r="J438" s="4" t="str">
        <f>IFERROR(__xludf.DUMMYFUNCTION("""COMPUTED_VALUE"""),"")</f>
        <v/>
      </c>
      <c r="K438" s="4" t="str">
        <f>IFERROR(__xludf.DUMMYFUNCTION("""COMPUTED_VALUE"""),"")</f>
        <v/>
      </c>
      <c r="L438" s="4" t="str">
        <f>IFERROR(__xludf.DUMMYFUNCTION("""COMPUTED_VALUE"""),"")</f>
        <v/>
      </c>
      <c r="M438" s="1" t="str">
        <f>IFERROR(__xludf.DUMMYFUNCTION("""COMPUTED_VALUE"""),"RFID")</f>
        <v>RFID</v>
      </c>
      <c r="N438" s="5" t="str">
        <f>IFERROR(__xludf.DUMMYFUNCTION("""COMPUTED_VALUE"""),"")</f>
        <v/>
      </c>
      <c r="O438" s="5" t="str">
        <f>IFERROR(__xludf.DUMMYFUNCTION("""COMPUTED_VALUE"""),"")</f>
        <v/>
      </c>
      <c r="P438" s="5" t="str">
        <f>IFERROR(__xludf.DUMMYFUNCTION("""COMPUTED_VALUE"""),"")</f>
        <v/>
      </c>
      <c r="Q438" s="5" t="str">
        <f>IFERROR(__xludf.DUMMYFUNCTION("""COMPUTED_VALUE"""),"")</f>
        <v/>
      </c>
      <c r="R438" s="4" t="str">
        <f>IFERROR(__xludf.DUMMYFUNCTION("""COMPUTED_VALUE"""),"")</f>
        <v/>
      </c>
      <c r="S438" s="1" t="b">
        <f>IFERROR(__xludf.DUMMYFUNCTION("""COMPUTED_VALUE"""),FALSE)</f>
        <v>0</v>
      </c>
      <c r="T438" s="1" t="b">
        <f>IFERROR(__xludf.DUMMYFUNCTION("""COMPUTED_VALUE"""),FALSE)</f>
        <v>0</v>
      </c>
      <c r="U438" s="1" t="str">
        <f>IFERROR(__xludf.DUMMYFUNCTION("""COMPUTED_VALUE"""),"DSQ")</f>
        <v>DSQ</v>
      </c>
      <c r="V438" s="1" t="str">
        <f>IFERROR(__xludf.DUMMYFUNCTION("""COMPUTED_VALUE"""),"DSQ")</f>
        <v>DSQ</v>
      </c>
      <c r="W438" s="1" t="str">
        <f>IFERROR(__xludf.DUMMYFUNCTION("""COMPUTED_VALUE"""),"DSQ")</f>
        <v>DSQ</v>
      </c>
      <c r="X438" s="1" t="str">
        <f>IFERROR(__xludf.DUMMYFUNCTION("""COMPUTED_VALUE"""),"DSQ")</f>
        <v>DSQ</v>
      </c>
      <c r="Y438" s="2"/>
      <c r="Z438" s="2" t="str">
        <f>IFERROR(__xludf.DUMMYFUNCTION("""COMPUTED_VALUE"""),"")</f>
        <v/>
      </c>
    </row>
    <row r="439">
      <c r="A439" s="1">
        <f>IFERROR(__xludf.DUMMYFUNCTION("""COMPUTED_VALUE"""),438.0)</f>
        <v>438</v>
      </c>
      <c r="B439" s="1">
        <f>IFERROR(__xludf.DUMMYFUNCTION("""COMPUTED_VALUE"""),10290.0)</f>
        <v>10290</v>
      </c>
      <c r="C439" s="2" t="str">
        <f>IFERROR(__xludf.DUMMYFUNCTION("""COMPUTED_VALUE"""),"MEANK")</f>
        <v>MEANK</v>
      </c>
      <c r="D439" s="2" t="str">
        <f>IFERROR(__xludf.DUMMYFUNCTION("""COMPUTED_VALUE"""),"10KM OVERALL M")</f>
        <v>10KM OVERALL M</v>
      </c>
      <c r="E439" s="1">
        <f>IFERROR(__xludf.DUMMYFUNCTION("""COMPUTED_VALUE"""),1.0)</f>
        <v>1</v>
      </c>
      <c r="F439" s="1" t="str">
        <f>IFERROR(__xludf.DUMMYFUNCTION("""COMPUTED_VALUE"""),"Male")</f>
        <v>Male</v>
      </c>
      <c r="G439" s="4" t="str">
        <f>IFERROR(__xludf.DUMMYFUNCTION("""COMPUTED_VALUE"""),"")</f>
        <v/>
      </c>
      <c r="H439" s="4" t="b">
        <f>IFERROR(__xludf.DUMMYFUNCTION("""COMPUTED_VALUE"""),FALSE)</f>
        <v>0</v>
      </c>
      <c r="I439" s="4">
        <f>IFERROR(__xludf.DUMMYFUNCTION("""COMPUTED_VALUE"""),0.24646185185185185)</f>
        <v>0.2464618519</v>
      </c>
      <c r="J439" s="4" t="str">
        <f>IFERROR(__xludf.DUMMYFUNCTION("""COMPUTED_VALUE"""),"")</f>
        <v/>
      </c>
      <c r="K439" s="4" t="str">
        <f>IFERROR(__xludf.DUMMYFUNCTION("""COMPUTED_VALUE"""),"")</f>
        <v/>
      </c>
      <c r="L439" s="4" t="str">
        <f>IFERROR(__xludf.DUMMYFUNCTION("""COMPUTED_VALUE"""),"")</f>
        <v/>
      </c>
      <c r="M439" s="1" t="str">
        <f>IFERROR(__xludf.DUMMYFUNCTION("""COMPUTED_VALUE"""),"RFID")</f>
        <v>RFID</v>
      </c>
      <c r="N439" s="5" t="str">
        <f>IFERROR(__xludf.DUMMYFUNCTION("""COMPUTED_VALUE"""),"")</f>
        <v/>
      </c>
      <c r="O439" s="5" t="str">
        <f>IFERROR(__xludf.DUMMYFUNCTION("""COMPUTED_VALUE"""),"")</f>
        <v/>
      </c>
      <c r="P439" s="5" t="str">
        <f>IFERROR(__xludf.DUMMYFUNCTION("""COMPUTED_VALUE"""),"")</f>
        <v/>
      </c>
      <c r="Q439" s="5" t="str">
        <f>IFERROR(__xludf.DUMMYFUNCTION("""COMPUTED_VALUE"""),"")</f>
        <v/>
      </c>
      <c r="R439" s="4" t="str">
        <f>IFERROR(__xludf.DUMMYFUNCTION("""COMPUTED_VALUE"""),"")</f>
        <v/>
      </c>
      <c r="S439" s="1" t="b">
        <f>IFERROR(__xludf.DUMMYFUNCTION("""COMPUTED_VALUE"""),FALSE)</f>
        <v>0</v>
      </c>
      <c r="T439" s="1" t="b">
        <f>IFERROR(__xludf.DUMMYFUNCTION("""COMPUTED_VALUE"""),FALSE)</f>
        <v>0</v>
      </c>
      <c r="U439" s="1" t="str">
        <f>IFERROR(__xludf.DUMMYFUNCTION("""COMPUTED_VALUE"""),"DSQ")</f>
        <v>DSQ</v>
      </c>
      <c r="V439" s="1" t="str">
        <f>IFERROR(__xludf.DUMMYFUNCTION("""COMPUTED_VALUE"""),"DSQ")</f>
        <v>DSQ</v>
      </c>
      <c r="W439" s="1" t="str">
        <f>IFERROR(__xludf.DUMMYFUNCTION("""COMPUTED_VALUE"""),"DSQ")</f>
        <v>DSQ</v>
      </c>
      <c r="X439" s="1" t="str">
        <f>IFERROR(__xludf.DUMMYFUNCTION("""COMPUTED_VALUE"""),"DSQ")</f>
        <v>DSQ</v>
      </c>
      <c r="Y439" s="2"/>
      <c r="Z439" s="2" t="str">
        <f>IFERROR(__xludf.DUMMYFUNCTION("""COMPUTED_VALUE"""),"")</f>
        <v/>
      </c>
    </row>
    <row r="440">
      <c r="A440" s="1">
        <f>IFERROR(__xludf.DUMMYFUNCTION("""COMPUTED_VALUE"""),439.0)</f>
        <v>439</v>
      </c>
      <c r="B440" s="1">
        <f>IFERROR(__xludf.DUMMYFUNCTION("""COMPUTED_VALUE"""),10291.0)</f>
        <v>10291</v>
      </c>
      <c r="C440" s="2" t="str">
        <f>IFERROR(__xludf.DUMMYFUNCTION("""COMPUTED_VALUE"""),"Aulia Shay")</f>
        <v>Aulia Shay</v>
      </c>
      <c r="D440" s="2" t="str">
        <f>IFERROR(__xludf.DUMMYFUNCTION("""COMPUTED_VALUE"""),"10KM OVERALL M")</f>
        <v>10KM OVERALL M</v>
      </c>
      <c r="E440" s="1">
        <f>IFERROR(__xludf.DUMMYFUNCTION("""COMPUTED_VALUE"""),1.0)</f>
        <v>1</v>
      </c>
      <c r="F440" s="1" t="str">
        <f>IFERROR(__xludf.DUMMYFUNCTION("""COMPUTED_VALUE"""),"Male")</f>
        <v>Male</v>
      </c>
      <c r="G440" s="4" t="b">
        <f>IFERROR(__xludf.DUMMYFUNCTION("""COMPUTED_VALUE"""),TRUE)</f>
        <v>1</v>
      </c>
      <c r="H440" s="4" t="b">
        <f>IFERROR(__xludf.DUMMYFUNCTION("""COMPUTED_VALUE"""),TRUE)</f>
        <v>1</v>
      </c>
      <c r="I440" s="4">
        <f>IFERROR(__xludf.DUMMYFUNCTION("""COMPUTED_VALUE"""),0.24646185185185185)</f>
        <v>0.2464618519</v>
      </c>
      <c r="J440" s="4">
        <f>IFERROR(__xludf.DUMMYFUNCTION("""COMPUTED_VALUE"""),45949.258877434484)</f>
        <v>45949.25888</v>
      </c>
      <c r="K440" s="4">
        <f>IFERROR(__xludf.DUMMYFUNCTION("""COMPUTED_VALUE"""),45949.2877698191)</f>
        <v>45949.28777</v>
      </c>
      <c r="L440" s="4">
        <f>IFERROR(__xludf.DUMMYFUNCTION("""COMPUTED_VALUE"""),45949.295831494295)</f>
        <v>45949.29583</v>
      </c>
      <c r="M440" s="1" t="str">
        <f>IFERROR(__xludf.DUMMYFUNCTION("""COMPUTED_VALUE"""),"RFID")</f>
        <v>RFID</v>
      </c>
      <c r="N440" s="5">
        <f>IFERROR(__xludf.DUMMYFUNCTION("""COMPUTED_VALUE"""),0.004966231481481481)</f>
        <v>0.004966231481</v>
      </c>
      <c r="O440" s="5">
        <f>IFERROR(__xludf.DUMMYFUNCTION("""COMPUTED_VALUE"""),0.011556953703703705)</f>
        <v>0.0115569537</v>
      </c>
      <c r="P440" s="5">
        <f>IFERROR(__xludf.DUMMYFUNCTION("""COMPUTED_VALUE"""),0.0033175618085462153)</f>
        <v>0.003317561809</v>
      </c>
      <c r="Q440" s="5">
        <f>IFERROR(__xludf.DUMMYFUNCTION("""COMPUTED_VALUE"""),0.00493696412037037)</f>
        <v>0.00493696412</v>
      </c>
      <c r="R440" s="4">
        <f>IFERROR(__xludf.DUMMYFUNCTION("""COMPUTED_VALUE"""),45949.049369642446)</f>
        <v>45949.04937</v>
      </c>
      <c r="S440" s="1" t="b">
        <f>IFERROR(__xludf.DUMMYFUNCTION("""COMPUTED_VALUE"""),TRUE)</f>
        <v>1</v>
      </c>
      <c r="T440" s="1" t="b">
        <f>IFERROR(__xludf.DUMMYFUNCTION("""COMPUTED_VALUE"""),FALSE)</f>
        <v>0</v>
      </c>
      <c r="U440" s="1" t="str">
        <f>IFERROR(__xludf.DUMMYFUNCTION("""COMPUTED_VALUE"""),"VALID")</f>
        <v>VALID</v>
      </c>
      <c r="V440" s="1">
        <f>IFERROR(__xludf.DUMMYFUNCTION("""COMPUTED_VALUE"""),322.0)</f>
        <v>322</v>
      </c>
      <c r="W440" s="1">
        <f>IFERROR(__xludf.DUMMYFUNCTION("""COMPUTED_VALUE"""),383.0)</f>
        <v>383</v>
      </c>
      <c r="X440" s="1">
        <f>IFERROR(__xludf.DUMMYFUNCTION("""COMPUTED_VALUE"""),1356.0)</f>
        <v>1356</v>
      </c>
      <c r="Y440" s="2"/>
      <c r="Z440" s="2"/>
    </row>
    <row r="441">
      <c r="A441" s="1">
        <f>IFERROR(__xludf.DUMMYFUNCTION("""COMPUTED_VALUE"""),440.0)</f>
        <v>440</v>
      </c>
      <c r="B441" s="1">
        <f>IFERROR(__xludf.DUMMYFUNCTION("""COMPUTED_VALUE"""),10292.0)</f>
        <v>10292</v>
      </c>
      <c r="C441" s="2" t="str">
        <f>IFERROR(__xludf.DUMMYFUNCTION("""COMPUTED_VALUE"""),"Mustofa")</f>
        <v>Mustofa</v>
      </c>
      <c r="D441" s="2" t="str">
        <f>IFERROR(__xludf.DUMMYFUNCTION("""COMPUTED_VALUE"""),"10KM OVERALL M")</f>
        <v>10KM OVERALL M</v>
      </c>
      <c r="E441" s="1">
        <f>IFERROR(__xludf.DUMMYFUNCTION("""COMPUTED_VALUE"""),1.0)</f>
        <v>1</v>
      </c>
      <c r="F441" s="1" t="str">
        <f>IFERROR(__xludf.DUMMYFUNCTION("""COMPUTED_VALUE"""),"Male")</f>
        <v>Male</v>
      </c>
      <c r="G441" s="4" t="b">
        <f>IFERROR(__xludf.DUMMYFUNCTION("""COMPUTED_VALUE"""),TRUE)</f>
        <v>1</v>
      </c>
      <c r="H441" s="4" t="b">
        <f>IFERROR(__xludf.DUMMYFUNCTION("""COMPUTED_VALUE"""),FALSE)</f>
        <v>0</v>
      </c>
      <c r="I441" s="4">
        <f>IFERROR(__xludf.DUMMYFUNCTION("""COMPUTED_VALUE"""),0.24646185185185185)</f>
        <v>0.2464618519</v>
      </c>
      <c r="J441" s="4">
        <f>IFERROR(__xludf.DUMMYFUNCTION("""COMPUTED_VALUE"""),45949.26153363807)</f>
        <v>45949.26153</v>
      </c>
      <c r="K441" s="4">
        <f>IFERROR(__xludf.DUMMYFUNCTION("""COMPUTED_VALUE"""),45949.30235369722)</f>
        <v>45949.30235</v>
      </c>
      <c r="L441" s="4">
        <f>IFERROR(__xludf.DUMMYFUNCTION("""COMPUTED_VALUE"""),45949.31372378384)</f>
        <v>45949.31372</v>
      </c>
      <c r="M441" s="1" t="str">
        <f>IFERROR(__xludf.DUMMYFUNCTION("""COMPUTED_VALUE"""),"RFID")</f>
        <v>RFID</v>
      </c>
      <c r="N441" s="5">
        <f>IFERROR(__xludf.DUMMYFUNCTION("""COMPUTED_VALUE"""),0.006028712962962963)</f>
        <v>0.006028712963</v>
      </c>
      <c r="O441" s="5">
        <f>IFERROR(__xludf.DUMMYFUNCTION("""COMPUTED_VALUE"""),0.01632802314814815)</f>
        <v>0.01632802315</v>
      </c>
      <c r="P441" s="5">
        <f>IFERROR(__xludf.DUMMYFUNCTION("""COMPUTED_VALUE"""),0.004679047991952824)</f>
        <v>0.004679047992</v>
      </c>
      <c r="Q441" s="5">
        <f>IFERROR(__xludf.DUMMYFUNCTION("""COMPUTED_VALUE"""),0.006726193287037037)</f>
        <v>0.006726193287</v>
      </c>
      <c r="R441" s="4">
        <f>IFERROR(__xludf.DUMMYFUNCTION("""COMPUTED_VALUE"""),45949.06726193199)</f>
        <v>45949.06726</v>
      </c>
      <c r="S441" s="1" t="b">
        <f>IFERROR(__xludf.DUMMYFUNCTION("""COMPUTED_VALUE"""),TRUE)</f>
        <v>1</v>
      </c>
      <c r="T441" s="1" t="b">
        <f>IFERROR(__xludf.DUMMYFUNCTION("""COMPUTED_VALUE"""),FALSE)</f>
        <v>0</v>
      </c>
      <c r="U441" s="1" t="str">
        <f>IFERROR(__xludf.DUMMYFUNCTION("""COMPUTED_VALUE"""),"VALID")</f>
        <v>VALID</v>
      </c>
      <c r="V441" s="1">
        <f>IFERROR(__xludf.DUMMYFUNCTION("""COMPUTED_VALUE"""),581.0)</f>
        <v>581</v>
      </c>
      <c r="W441" s="1">
        <f>IFERROR(__xludf.DUMMYFUNCTION("""COMPUTED_VALUE"""),721.0)</f>
        <v>721</v>
      </c>
      <c r="X441" s="1">
        <f>IFERROR(__xludf.DUMMYFUNCTION("""COMPUTED_VALUE"""),1657.0)</f>
        <v>1657</v>
      </c>
      <c r="Y441" s="2"/>
      <c r="Z441" s="2"/>
    </row>
    <row r="442">
      <c r="A442" s="1">
        <f>IFERROR(__xludf.DUMMYFUNCTION("""COMPUTED_VALUE"""),441.0)</f>
        <v>441</v>
      </c>
      <c r="B442" s="1">
        <f>IFERROR(__xludf.DUMMYFUNCTION("""COMPUTED_VALUE"""),10293.0)</f>
        <v>10293</v>
      </c>
      <c r="C442" s="2" t="str">
        <f>IFERROR(__xludf.DUMMYFUNCTION("""COMPUTED_VALUE"""),"RUDI")</f>
        <v>RUDI</v>
      </c>
      <c r="D442" s="2" t="str">
        <f>IFERROR(__xludf.DUMMYFUNCTION("""COMPUTED_VALUE"""),"10KM OVERALL M")</f>
        <v>10KM OVERALL M</v>
      </c>
      <c r="E442" s="1">
        <f>IFERROR(__xludf.DUMMYFUNCTION("""COMPUTED_VALUE"""),1.0)</f>
        <v>1</v>
      </c>
      <c r="F442" s="1" t="str">
        <f>IFERROR(__xludf.DUMMYFUNCTION("""COMPUTED_VALUE"""),"Male")</f>
        <v>Male</v>
      </c>
      <c r="G442" s="4" t="b">
        <f>IFERROR(__xludf.DUMMYFUNCTION("""COMPUTED_VALUE"""),TRUE)</f>
        <v>1</v>
      </c>
      <c r="H442" s="4" t="b">
        <f>IFERROR(__xludf.DUMMYFUNCTION("""COMPUTED_VALUE"""),TRUE)</f>
        <v>1</v>
      </c>
      <c r="I442" s="4">
        <f>IFERROR(__xludf.DUMMYFUNCTION("""COMPUTED_VALUE"""),0.24646185185185185)</f>
        <v>0.2464618519</v>
      </c>
      <c r="J442" s="4">
        <f>IFERROR(__xludf.DUMMYFUNCTION("""COMPUTED_VALUE"""),45949.26010307081)</f>
        <v>45949.2601</v>
      </c>
      <c r="K442" s="4">
        <f>IFERROR(__xludf.DUMMYFUNCTION("""COMPUTED_VALUE"""),45949.29303733106)</f>
        <v>45949.29304</v>
      </c>
      <c r="L442" s="4">
        <f>IFERROR(__xludf.DUMMYFUNCTION("""COMPUTED_VALUE"""),45949.303064078136)</f>
        <v>45949.30306</v>
      </c>
      <c r="M442" s="1" t="str">
        <f>IFERROR(__xludf.DUMMYFUNCTION("""COMPUTED_VALUE"""),"RFID")</f>
        <v>RFID</v>
      </c>
      <c r="N442" s="5">
        <f>IFERROR(__xludf.DUMMYFUNCTION("""COMPUTED_VALUE"""),0.005456486111111112)</f>
        <v>0.005456486111</v>
      </c>
      <c r="O442" s="5">
        <f>IFERROR(__xludf.DUMMYFUNCTION("""COMPUTED_VALUE"""),0.013173703703703705)</f>
        <v>0.0131737037</v>
      </c>
      <c r="P442" s="5">
        <f>IFERROR(__xludf.DUMMYFUNCTION("""COMPUTED_VALUE"""),0.004126233365046581)</f>
        <v>0.004126233365</v>
      </c>
      <c r="Q442" s="5">
        <f>IFERROR(__xludf.DUMMYFUNCTION("""COMPUTED_VALUE"""),0.005660222222222222)</f>
        <v>0.005660222222</v>
      </c>
      <c r="R442" s="4">
        <f>IFERROR(__xludf.DUMMYFUNCTION("""COMPUTED_VALUE"""),45949.05660222629)</f>
        <v>45949.0566</v>
      </c>
      <c r="S442" s="1" t="b">
        <f>IFERROR(__xludf.DUMMYFUNCTION("""COMPUTED_VALUE"""),TRUE)</f>
        <v>1</v>
      </c>
      <c r="T442" s="1" t="b">
        <f>IFERROR(__xludf.DUMMYFUNCTION("""COMPUTED_VALUE"""),FALSE)</f>
        <v>0</v>
      </c>
      <c r="U442" s="1" t="str">
        <f>IFERROR(__xludf.DUMMYFUNCTION("""COMPUTED_VALUE"""),"VALID")</f>
        <v>VALID</v>
      </c>
      <c r="V442" s="1">
        <f>IFERROR(__xludf.DUMMYFUNCTION("""COMPUTED_VALUE"""),491.0)</f>
        <v>491</v>
      </c>
      <c r="W442" s="1">
        <f>IFERROR(__xludf.DUMMYFUNCTION("""COMPUTED_VALUE"""),589.0)</f>
        <v>589</v>
      </c>
      <c r="X442" s="1">
        <f>IFERROR(__xludf.DUMMYFUNCTION("""COMPUTED_VALUE"""),1559.0)</f>
        <v>1559</v>
      </c>
      <c r="Y442" s="2"/>
      <c r="Z442" s="2"/>
    </row>
    <row r="443">
      <c r="A443" s="1">
        <f>IFERROR(__xludf.DUMMYFUNCTION("""COMPUTED_VALUE"""),442.0)</f>
        <v>442</v>
      </c>
      <c r="B443" s="1">
        <f>IFERROR(__xludf.DUMMYFUNCTION("""COMPUTED_VALUE"""),10294.0)</f>
        <v>10294</v>
      </c>
      <c r="C443" s="2" t="str">
        <f>IFERROR(__xludf.DUMMYFUNCTION("""COMPUTED_VALUE"""),"ROMI")</f>
        <v>ROMI</v>
      </c>
      <c r="D443" s="2" t="str">
        <f>IFERROR(__xludf.DUMMYFUNCTION("""COMPUTED_VALUE"""),"10KM OVERALL M")</f>
        <v>10KM OVERALL M</v>
      </c>
      <c r="E443" s="1">
        <f>IFERROR(__xludf.DUMMYFUNCTION("""COMPUTED_VALUE"""),1.0)</f>
        <v>1</v>
      </c>
      <c r="F443" s="1" t="str">
        <f>IFERROR(__xludf.DUMMYFUNCTION("""COMPUTED_VALUE"""),"Male")</f>
        <v>Male</v>
      </c>
      <c r="G443" s="4" t="b">
        <f>IFERROR(__xludf.DUMMYFUNCTION("""COMPUTED_VALUE"""),TRUE)</f>
        <v>1</v>
      </c>
      <c r="H443" s="4" t="b">
        <f>IFERROR(__xludf.DUMMYFUNCTION("""COMPUTED_VALUE"""),TRUE)</f>
        <v>1</v>
      </c>
      <c r="I443" s="4">
        <f>IFERROR(__xludf.DUMMYFUNCTION("""COMPUTED_VALUE"""),0.24646185185185185)</f>
        <v>0.2464618519</v>
      </c>
      <c r="J443" s="4">
        <f>IFERROR(__xludf.DUMMYFUNCTION("""COMPUTED_VALUE"""),45949.25873161779)</f>
        <v>45949.25873</v>
      </c>
      <c r="K443" s="4">
        <f>IFERROR(__xludf.DUMMYFUNCTION("""COMPUTED_VALUE"""),45949.293354031455)</f>
        <v>45949.29335</v>
      </c>
      <c r="L443" s="4">
        <f>IFERROR(__xludf.DUMMYFUNCTION("""COMPUTED_VALUE"""),45949.30400850344)</f>
        <v>45949.30401</v>
      </c>
      <c r="M443" s="1" t="str">
        <f>IFERROR(__xludf.DUMMYFUNCTION("""COMPUTED_VALUE"""),"RFID")</f>
        <v>RFID</v>
      </c>
      <c r="N443" s="5">
        <f>IFERROR(__xludf.DUMMYFUNCTION("""COMPUTED_VALUE"""),0.004907907407407408)</f>
        <v>0.004907907407</v>
      </c>
      <c r="O443" s="5">
        <f>IFERROR(__xludf.DUMMYFUNCTION("""COMPUTED_VALUE"""),0.013848967592592593)</f>
        <v>0.01384896759</v>
      </c>
      <c r="P443" s="5">
        <f>IFERROR(__xludf.DUMMYFUNCTION("""COMPUTED_VALUE"""),0.004384556371184955)</f>
        <v>0.004384556371</v>
      </c>
      <c r="Q443" s="5">
        <f>IFERROR(__xludf.DUMMYFUNCTION("""COMPUTED_VALUE"""),0.00575466550925926)</f>
        <v>0.005754665509</v>
      </c>
      <c r="R443" s="4">
        <f>IFERROR(__xludf.DUMMYFUNCTION("""COMPUTED_VALUE"""),45949.05754665159)</f>
        <v>45949.05755</v>
      </c>
      <c r="S443" s="1" t="b">
        <f>IFERROR(__xludf.DUMMYFUNCTION("""COMPUTED_VALUE"""),TRUE)</f>
        <v>1</v>
      </c>
      <c r="T443" s="1" t="b">
        <f>IFERROR(__xludf.DUMMYFUNCTION("""COMPUTED_VALUE"""),FALSE)</f>
        <v>0</v>
      </c>
      <c r="U443" s="1" t="str">
        <f>IFERROR(__xludf.DUMMYFUNCTION("""COMPUTED_VALUE"""),"VALID")</f>
        <v>VALID</v>
      </c>
      <c r="V443" s="1">
        <f>IFERROR(__xludf.DUMMYFUNCTION("""COMPUTED_VALUE"""),507.0)</f>
        <v>507</v>
      </c>
      <c r="W443" s="1">
        <f>IFERROR(__xludf.DUMMYFUNCTION("""COMPUTED_VALUE"""),613.0)</f>
        <v>613</v>
      </c>
      <c r="X443" s="1">
        <f>IFERROR(__xludf.DUMMYFUNCTION("""COMPUTED_VALUE"""),1579.0)</f>
        <v>1579</v>
      </c>
      <c r="Y443" s="2"/>
      <c r="Z443" s="2"/>
    </row>
    <row r="444">
      <c r="A444" s="1">
        <f>IFERROR(__xludf.DUMMYFUNCTION("""COMPUTED_VALUE"""),443.0)</f>
        <v>443</v>
      </c>
      <c r="B444" s="1">
        <f>IFERROR(__xludf.DUMMYFUNCTION("""COMPUTED_VALUE"""),10295.0)</f>
        <v>10295</v>
      </c>
      <c r="C444" s="2" t="str">
        <f>IFERROR(__xludf.DUMMYFUNCTION("""COMPUTED_VALUE"""),"cacane")</f>
        <v>cacane</v>
      </c>
      <c r="D444" s="2" t="str">
        <f>IFERROR(__xludf.DUMMYFUNCTION("""COMPUTED_VALUE"""),"10KM OVERALL M")</f>
        <v>10KM OVERALL M</v>
      </c>
      <c r="E444" s="1">
        <f>IFERROR(__xludf.DUMMYFUNCTION("""COMPUTED_VALUE"""),1.0)</f>
        <v>1</v>
      </c>
      <c r="F444" s="1" t="str">
        <f>IFERROR(__xludf.DUMMYFUNCTION("""COMPUTED_VALUE"""),"Male")</f>
        <v>Male</v>
      </c>
      <c r="G444" s="4" t="str">
        <f>IFERROR(__xludf.DUMMYFUNCTION("""COMPUTED_VALUE"""),"")</f>
        <v/>
      </c>
      <c r="H444" s="4" t="b">
        <f>IFERROR(__xludf.DUMMYFUNCTION("""COMPUTED_VALUE"""),TRUE)</f>
        <v>1</v>
      </c>
      <c r="I444" s="4">
        <f>IFERROR(__xludf.DUMMYFUNCTION("""COMPUTED_VALUE"""),0.24646185185185185)</f>
        <v>0.2464618519</v>
      </c>
      <c r="J444" s="4">
        <f>IFERROR(__xludf.DUMMYFUNCTION("""COMPUTED_VALUE"""),45949.26557535688)</f>
        <v>45949.26558</v>
      </c>
      <c r="K444" s="4">
        <f>IFERROR(__xludf.DUMMYFUNCTION("""COMPUTED_VALUE"""),45949.29632211058)</f>
        <v>45949.29632</v>
      </c>
      <c r="L444" s="4">
        <f>IFERROR(__xludf.DUMMYFUNCTION("""COMPUTED_VALUE"""),45949.305772343054)</f>
        <v>45949.30577</v>
      </c>
      <c r="M444" s="1" t="str">
        <f>IFERROR(__xludf.DUMMYFUNCTION("""COMPUTED_VALUE"""),"RFID")</f>
        <v>RFID</v>
      </c>
      <c r="N444" s="5">
        <f>IFERROR(__xludf.DUMMYFUNCTION("""COMPUTED_VALUE"""),0.007645402777777778)</f>
        <v>0.007645402778</v>
      </c>
      <c r="O444" s="5">
        <f>IFERROR(__xludf.DUMMYFUNCTION("""COMPUTED_VALUE"""),0.012298703703703704)</f>
        <v>0.0122987037</v>
      </c>
      <c r="P444" s="5">
        <f>IFERROR(__xludf.DUMMYFUNCTION("""COMPUTED_VALUE"""),0.0038889845563223344)</f>
        <v>0.003888984556</v>
      </c>
      <c r="Q444" s="5">
        <f>IFERROR(__xludf.DUMMYFUNCTION("""COMPUTED_VALUE"""),0.005931048611111112)</f>
        <v>0.005931048611</v>
      </c>
      <c r="R444" s="4">
        <f>IFERROR(__xludf.DUMMYFUNCTION("""COMPUTED_VALUE"""),45949.059310491204)</f>
        <v>45949.05931</v>
      </c>
      <c r="S444" s="1" t="b">
        <f>IFERROR(__xludf.DUMMYFUNCTION("""COMPUTED_VALUE"""),TRUE)</f>
        <v>1</v>
      </c>
      <c r="T444" s="1" t="b">
        <f>IFERROR(__xludf.DUMMYFUNCTION("""COMPUTED_VALUE"""),FALSE)</f>
        <v>0</v>
      </c>
      <c r="U444" s="1" t="str">
        <f>IFERROR(__xludf.DUMMYFUNCTION("""COMPUTED_VALUE"""),"VALID")</f>
        <v>VALID</v>
      </c>
      <c r="V444" s="1">
        <f>IFERROR(__xludf.DUMMYFUNCTION("""COMPUTED_VALUE"""),526.0)</f>
        <v>526</v>
      </c>
      <c r="W444" s="1">
        <f>IFERROR(__xludf.DUMMYFUNCTION("""COMPUTED_VALUE"""),642.0)</f>
        <v>642</v>
      </c>
      <c r="X444" s="1">
        <f>IFERROR(__xludf.DUMMYFUNCTION("""COMPUTED_VALUE"""),1600.0)</f>
        <v>1600</v>
      </c>
      <c r="Y444" s="2"/>
      <c r="Z444" s="2"/>
    </row>
    <row r="445">
      <c r="A445" s="1">
        <f>IFERROR(__xludf.DUMMYFUNCTION("""COMPUTED_VALUE"""),444.0)</f>
        <v>444</v>
      </c>
      <c r="B445" s="1">
        <f>IFERROR(__xludf.DUMMYFUNCTION("""COMPUTED_VALUE"""),10296.0)</f>
        <v>10296</v>
      </c>
      <c r="C445" s="2" t="str">
        <f>IFERROR(__xludf.DUMMYFUNCTION("""COMPUTED_VALUE"""),"MAHATIR")</f>
        <v>MAHATIR</v>
      </c>
      <c r="D445" s="2" t="str">
        <f>IFERROR(__xludf.DUMMYFUNCTION("""COMPUTED_VALUE"""),"10KM OVERALL M")</f>
        <v>10KM OVERALL M</v>
      </c>
      <c r="E445" s="1">
        <f>IFERROR(__xludf.DUMMYFUNCTION("""COMPUTED_VALUE"""),1.0)</f>
        <v>1</v>
      </c>
      <c r="F445" s="1" t="str">
        <f>IFERROR(__xludf.DUMMYFUNCTION("""COMPUTED_VALUE"""),"Male")</f>
        <v>Male</v>
      </c>
      <c r="G445" s="4" t="b">
        <f>IFERROR(__xludf.DUMMYFUNCTION("""COMPUTED_VALUE"""),TRUE)</f>
        <v>1</v>
      </c>
      <c r="H445" s="4" t="b">
        <f>IFERROR(__xludf.DUMMYFUNCTION("""COMPUTED_VALUE"""),TRUE)</f>
        <v>1</v>
      </c>
      <c r="I445" s="4">
        <f>IFERROR(__xludf.DUMMYFUNCTION("""COMPUTED_VALUE"""),0.24646185185185185)</f>
        <v>0.2464618519</v>
      </c>
      <c r="J445" s="4">
        <f>IFERROR(__xludf.DUMMYFUNCTION("""COMPUTED_VALUE"""),45949.26270029654)</f>
        <v>45949.2627</v>
      </c>
      <c r="K445" s="4">
        <f>IFERROR(__xludf.DUMMYFUNCTION("""COMPUTED_VALUE"""),45949.306263059676)</f>
        <v>45949.30626</v>
      </c>
      <c r="L445" s="4">
        <f>IFERROR(__xludf.DUMMYFUNCTION("""COMPUTED_VALUE"""),45949.31857442542)</f>
        <v>45949.31857</v>
      </c>
      <c r="M445" s="1" t="str">
        <f>IFERROR(__xludf.DUMMYFUNCTION("""COMPUTED_VALUE"""),"RFID")</f>
        <v>RFID</v>
      </c>
      <c r="N445" s="5">
        <f>IFERROR(__xludf.DUMMYFUNCTION("""COMPUTED_VALUE"""),0.006495379629629629)</f>
        <v>0.00649537963</v>
      </c>
      <c r="O445" s="5">
        <f>IFERROR(__xludf.DUMMYFUNCTION("""COMPUTED_VALUE"""),0.017425106481481482)</f>
        <v>0.01742510648</v>
      </c>
      <c r="P445" s="5">
        <f>IFERROR(__xludf.DUMMYFUNCTION("""COMPUTED_VALUE"""),0.005066405656965978)</f>
        <v>0.005066405657</v>
      </c>
      <c r="Q445" s="5">
        <f>IFERROR(__xludf.DUMMYFUNCTION("""COMPUTED_VALUE"""),0.007211256944444444)</f>
        <v>0.007211256944</v>
      </c>
      <c r="R445" s="4">
        <f>IFERROR(__xludf.DUMMYFUNCTION("""COMPUTED_VALUE"""),45949.07211257357)</f>
        <v>45949.07211</v>
      </c>
      <c r="S445" s="1" t="b">
        <f>IFERROR(__xludf.DUMMYFUNCTION("""COMPUTED_VALUE"""),TRUE)</f>
        <v>1</v>
      </c>
      <c r="T445" s="1" t="b">
        <f>IFERROR(__xludf.DUMMYFUNCTION("""COMPUTED_VALUE"""),FALSE)</f>
        <v>0</v>
      </c>
      <c r="U445" s="1" t="str">
        <f>IFERROR(__xludf.DUMMYFUNCTION("""COMPUTED_VALUE"""),"VALID")</f>
        <v>VALID</v>
      </c>
      <c r="V445" s="1">
        <f>IFERROR(__xludf.DUMMYFUNCTION("""COMPUTED_VALUE"""),598.0)</f>
        <v>598</v>
      </c>
      <c r="W445" s="1">
        <f>IFERROR(__xludf.DUMMYFUNCTION("""COMPUTED_VALUE"""),746.0)</f>
        <v>746</v>
      </c>
      <c r="X445" s="1">
        <f>IFERROR(__xludf.DUMMYFUNCTION("""COMPUTED_VALUE"""),1672.0)</f>
        <v>1672</v>
      </c>
      <c r="Y445" s="2"/>
      <c r="Z445" s="2"/>
    </row>
    <row r="446">
      <c r="A446" s="1">
        <f>IFERROR(__xludf.DUMMYFUNCTION("""COMPUTED_VALUE"""),445.0)</f>
        <v>445</v>
      </c>
      <c r="B446" s="1">
        <f>IFERROR(__xludf.DUMMYFUNCTION("""COMPUTED_VALUE"""),10297.0)</f>
        <v>10297</v>
      </c>
      <c r="C446" s="2" t="str">
        <f>IFERROR(__xludf.DUMMYFUNCTION("""COMPUTED_VALUE"""),"RHERA M.A")</f>
        <v>RHERA M.A</v>
      </c>
      <c r="D446" s="2" t="str">
        <f>IFERROR(__xludf.DUMMYFUNCTION("""COMPUTED_VALUE"""),"10KM OVERALL M")</f>
        <v>10KM OVERALL M</v>
      </c>
      <c r="E446" s="1">
        <f>IFERROR(__xludf.DUMMYFUNCTION("""COMPUTED_VALUE"""),1.0)</f>
        <v>1</v>
      </c>
      <c r="F446" s="1" t="str">
        <f>IFERROR(__xludf.DUMMYFUNCTION("""COMPUTED_VALUE"""),"Male")</f>
        <v>Male</v>
      </c>
      <c r="G446" s="4" t="b">
        <f>IFERROR(__xludf.DUMMYFUNCTION("""COMPUTED_VALUE"""),TRUE)</f>
        <v>1</v>
      </c>
      <c r="H446" s="4" t="b">
        <f>IFERROR(__xludf.DUMMYFUNCTION("""COMPUTED_VALUE"""),TRUE)</f>
        <v>1</v>
      </c>
      <c r="I446" s="4">
        <f>IFERROR(__xludf.DUMMYFUNCTION("""COMPUTED_VALUE"""),0.24646185185185185)</f>
        <v>0.2464618519</v>
      </c>
      <c r="J446" s="4">
        <f>IFERROR(__xludf.DUMMYFUNCTION("""COMPUTED_VALUE"""),45949.258571837185)</f>
        <v>45949.25857</v>
      </c>
      <c r="K446" s="4">
        <f>IFERROR(__xludf.DUMMYFUNCTION("""COMPUTED_VALUE"""),45949.28861004454)</f>
        <v>45949.28861</v>
      </c>
      <c r="L446" s="4">
        <f>IFERROR(__xludf.DUMMYFUNCTION("""COMPUTED_VALUE"""),45949.29714046949)</f>
        <v>45949.29714</v>
      </c>
      <c r="M446" s="1" t="str">
        <f>IFERROR(__xludf.DUMMYFUNCTION("""COMPUTED_VALUE"""),"RFID")</f>
        <v>RFID</v>
      </c>
      <c r="N446" s="5">
        <f>IFERROR(__xludf.DUMMYFUNCTION("""COMPUTED_VALUE"""),0.004843995370370371)</f>
        <v>0.00484399537</v>
      </c>
      <c r="O446" s="5">
        <f>IFERROR(__xludf.DUMMYFUNCTION("""COMPUTED_VALUE"""),0.012015282407407407)</f>
        <v>0.01201528241</v>
      </c>
      <c r="P446" s="5">
        <f>IFERROR(__xludf.DUMMYFUNCTION("""COMPUTED_VALUE"""),0.003510462942987358)</f>
        <v>0.003510462943</v>
      </c>
      <c r="Q446" s="5">
        <f>IFERROR(__xludf.DUMMYFUNCTION("""COMPUTED_VALUE"""),0.005067862268518518)</f>
        <v>0.005067862269</v>
      </c>
      <c r="R446" s="4">
        <f>IFERROR(__xludf.DUMMYFUNCTION("""COMPUTED_VALUE"""),45949.05067861764)</f>
        <v>45949.05068</v>
      </c>
      <c r="S446" s="1" t="b">
        <f>IFERROR(__xludf.DUMMYFUNCTION("""COMPUTED_VALUE"""),TRUE)</f>
        <v>1</v>
      </c>
      <c r="T446" s="1" t="b">
        <f>IFERROR(__xludf.DUMMYFUNCTION("""COMPUTED_VALUE"""),FALSE)</f>
        <v>0</v>
      </c>
      <c r="U446" s="1" t="str">
        <f>IFERROR(__xludf.DUMMYFUNCTION("""COMPUTED_VALUE"""),"VALID")</f>
        <v>VALID</v>
      </c>
      <c r="V446" s="1">
        <f>IFERROR(__xludf.DUMMYFUNCTION("""COMPUTED_VALUE"""),361.0)</f>
        <v>361</v>
      </c>
      <c r="W446" s="1">
        <f>IFERROR(__xludf.DUMMYFUNCTION("""COMPUTED_VALUE"""),426.0)</f>
        <v>426</v>
      </c>
      <c r="X446" s="1">
        <f>IFERROR(__xludf.DUMMYFUNCTION("""COMPUTED_VALUE"""),1407.0)</f>
        <v>1407</v>
      </c>
      <c r="Y446" s="2"/>
      <c r="Z446" s="2"/>
    </row>
    <row r="447">
      <c r="A447" s="1">
        <f>IFERROR(__xludf.DUMMYFUNCTION("""COMPUTED_VALUE"""),446.0)</f>
        <v>446</v>
      </c>
      <c r="B447" s="1">
        <f>IFERROR(__xludf.DUMMYFUNCTION("""COMPUTED_VALUE"""),10298.0)</f>
        <v>10298</v>
      </c>
      <c r="C447" s="2" t="str">
        <f>IFERROR(__xludf.DUMMYFUNCTION("""COMPUTED_VALUE"""),"Noel Pakpahan")</f>
        <v>Noel Pakpahan</v>
      </c>
      <c r="D447" s="2" t="str">
        <f>IFERROR(__xludf.DUMMYFUNCTION("""COMPUTED_VALUE"""),"10KM OVERALL M")</f>
        <v>10KM OVERALL M</v>
      </c>
      <c r="E447" s="1">
        <f>IFERROR(__xludf.DUMMYFUNCTION("""COMPUTED_VALUE"""),1.0)</f>
        <v>1</v>
      </c>
      <c r="F447" s="1" t="str">
        <f>IFERROR(__xludf.DUMMYFUNCTION("""COMPUTED_VALUE"""),"Male")</f>
        <v>Male</v>
      </c>
      <c r="G447" s="4" t="str">
        <f>IFERROR(__xludf.DUMMYFUNCTION("""COMPUTED_VALUE"""),"")</f>
        <v/>
      </c>
      <c r="H447" s="4" t="b">
        <f>IFERROR(__xludf.DUMMYFUNCTION("""COMPUTED_VALUE"""),FALSE)</f>
        <v>0</v>
      </c>
      <c r="I447" s="4">
        <f>IFERROR(__xludf.DUMMYFUNCTION("""COMPUTED_VALUE"""),0.24646185185185185)</f>
        <v>0.2464618519</v>
      </c>
      <c r="J447" s="4" t="str">
        <f>IFERROR(__xludf.DUMMYFUNCTION("""COMPUTED_VALUE"""),"")</f>
        <v/>
      </c>
      <c r="K447" s="4" t="str">
        <f>IFERROR(__xludf.DUMMYFUNCTION("""COMPUTED_VALUE"""),"")</f>
        <v/>
      </c>
      <c r="L447" s="4" t="str">
        <f>IFERROR(__xludf.DUMMYFUNCTION("""COMPUTED_VALUE"""),"")</f>
        <v/>
      </c>
      <c r="M447" s="1" t="str">
        <f>IFERROR(__xludf.DUMMYFUNCTION("""COMPUTED_VALUE"""),"RFID")</f>
        <v>RFID</v>
      </c>
      <c r="N447" s="5" t="str">
        <f>IFERROR(__xludf.DUMMYFUNCTION("""COMPUTED_VALUE"""),"")</f>
        <v/>
      </c>
      <c r="O447" s="5" t="str">
        <f>IFERROR(__xludf.DUMMYFUNCTION("""COMPUTED_VALUE"""),"")</f>
        <v/>
      </c>
      <c r="P447" s="5" t="str">
        <f>IFERROR(__xludf.DUMMYFUNCTION("""COMPUTED_VALUE"""),"")</f>
        <v/>
      </c>
      <c r="Q447" s="5" t="str">
        <f>IFERROR(__xludf.DUMMYFUNCTION("""COMPUTED_VALUE"""),"")</f>
        <v/>
      </c>
      <c r="R447" s="4" t="str">
        <f>IFERROR(__xludf.DUMMYFUNCTION("""COMPUTED_VALUE"""),"")</f>
        <v/>
      </c>
      <c r="S447" s="1" t="b">
        <f>IFERROR(__xludf.DUMMYFUNCTION("""COMPUTED_VALUE"""),FALSE)</f>
        <v>0</v>
      </c>
      <c r="T447" s="1" t="b">
        <f>IFERROR(__xludf.DUMMYFUNCTION("""COMPUTED_VALUE"""),FALSE)</f>
        <v>0</v>
      </c>
      <c r="U447" s="1" t="str">
        <f>IFERROR(__xludf.DUMMYFUNCTION("""COMPUTED_VALUE"""),"DSQ")</f>
        <v>DSQ</v>
      </c>
      <c r="V447" s="1" t="str">
        <f>IFERROR(__xludf.DUMMYFUNCTION("""COMPUTED_VALUE"""),"DSQ")</f>
        <v>DSQ</v>
      </c>
      <c r="W447" s="1" t="str">
        <f>IFERROR(__xludf.DUMMYFUNCTION("""COMPUTED_VALUE"""),"DSQ")</f>
        <v>DSQ</v>
      </c>
      <c r="X447" s="1" t="str">
        <f>IFERROR(__xludf.DUMMYFUNCTION("""COMPUTED_VALUE"""),"DSQ")</f>
        <v>DSQ</v>
      </c>
      <c r="Y447" s="2"/>
      <c r="Z447" s="2" t="str">
        <f>IFERROR(__xludf.DUMMYFUNCTION("""COMPUTED_VALUE"""),"")</f>
        <v/>
      </c>
    </row>
    <row r="448">
      <c r="A448" s="1">
        <f>IFERROR(__xludf.DUMMYFUNCTION("""COMPUTED_VALUE"""),447.0)</f>
        <v>447</v>
      </c>
      <c r="B448" s="1">
        <f>IFERROR(__xludf.DUMMYFUNCTION("""COMPUTED_VALUE"""),10299.0)</f>
        <v>10299</v>
      </c>
      <c r="C448" s="2" t="str">
        <f>IFERROR(__xludf.DUMMYFUNCTION("""COMPUTED_VALUE"""),"Muhammad Parhani")</f>
        <v>Muhammad Parhani</v>
      </c>
      <c r="D448" s="2" t="str">
        <f>IFERROR(__xludf.DUMMYFUNCTION("""COMPUTED_VALUE"""),"10KM OVERALL M")</f>
        <v>10KM OVERALL M</v>
      </c>
      <c r="E448" s="1">
        <f>IFERROR(__xludf.DUMMYFUNCTION("""COMPUTED_VALUE"""),1.0)</f>
        <v>1</v>
      </c>
      <c r="F448" s="1" t="str">
        <f>IFERROR(__xludf.DUMMYFUNCTION("""COMPUTED_VALUE"""),"Male")</f>
        <v>Male</v>
      </c>
      <c r="G448" s="4" t="b">
        <f>IFERROR(__xludf.DUMMYFUNCTION("""COMPUTED_VALUE"""),TRUE)</f>
        <v>1</v>
      </c>
      <c r="H448" s="4" t="b">
        <f>IFERROR(__xludf.DUMMYFUNCTION("""COMPUTED_VALUE"""),TRUE)</f>
        <v>1</v>
      </c>
      <c r="I448" s="4">
        <f>IFERROR(__xludf.DUMMYFUNCTION("""COMPUTED_VALUE"""),0.24646185185185185)</f>
        <v>0.2464618519</v>
      </c>
      <c r="J448" s="4">
        <f>IFERROR(__xludf.DUMMYFUNCTION("""COMPUTED_VALUE"""),45949.25757182944)</f>
        <v>45949.25757</v>
      </c>
      <c r="K448" s="4">
        <f>IFERROR(__xludf.DUMMYFUNCTION("""COMPUTED_VALUE"""),45949.291811718926)</f>
        <v>45949.29181</v>
      </c>
      <c r="L448" s="4">
        <f>IFERROR(__xludf.DUMMYFUNCTION("""COMPUTED_VALUE"""),45949.30111962993)</f>
        <v>45949.30112</v>
      </c>
      <c r="M448" s="1" t="str">
        <f>IFERROR(__xludf.DUMMYFUNCTION("""COMPUTED_VALUE"""),"RFID")</f>
        <v>RFID</v>
      </c>
      <c r="N448" s="5">
        <f>IFERROR(__xludf.DUMMYFUNCTION("""COMPUTED_VALUE"""),0.0044439907407407405)</f>
        <v>0.004443990741</v>
      </c>
      <c r="O448" s="5">
        <f>IFERROR(__xludf.DUMMYFUNCTION("""COMPUTED_VALUE"""),0.013695953703703703)</f>
        <v>0.0136959537</v>
      </c>
      <c r="P448" s="5">
        <f>IFERROR(__xludf.DUMMYFUNCTION("""COMPUTED_VALUE"""),0.003830416049830301)</f>
        <v>0.00383041605</v>
      </c>
      <c r="Q448" s="5">
        <f>IFERROR(__xludf.DUMMYFUNCTION("""COMPUTED_VALUE"""),0.005465777777777778)</f>
        <v>0.005465777778</v>
      </c>
      <c r="R448" s="4">
        <f>IFERROR(__xludf.DUMMYFUNCTION("""COMPUTED_VALUE"""),45949.05465777808)</f>
        <v>45949.05466</v>
      </c>
      <c r="S448" s="1" t="b">
        <f>IFERROR(__xludf.DUMMYFUNCTION("""COMPUTED_VALUE"""),TRUE)</f>
        <v>1</v>
      </c>
      <c r="T448" s="1" t="b">
        <f>IFERROR(__xludf.DUMMYFUNCTION("""COMPUTED_VALUE"""),FALSE)</f>
        <v>0</v>
      </c>
      <c r="U448" s="1" t="str">
        <f>IFERROR(__xludf.DUMMYFUNCTION("""COMPUTED_VALUE"""),"VALID")</f>
        <v>VALID</v>
      </c>
      <c r="V448" s="1">
        <f>IFERROR(__xludf.DUMMYFUNCTION("""COMPUTED_VALUE"""),454.0)</f>
        <v>454</v>
      </c>
      <c r="W448" s="1">
        <f>IFERROR(__xludf.DUMMYFUNCTION("""COMPUTED_VALUE"""),542.0)</f>
        <v>542</v>
      </c>
      <c r="X448" s="1">
        <f>IFERROR(__xludf.DUMMYFUNCTION("""COMPUTED_VALUE"""),1516.0)</f>
        <v>1516</v>
      </c>
      <c r="Y448" s="2"/>
      <c r="Z448" s="2"/>
    </row>
    <row r="449">
      <c r="A449" s="1">
        <f>IFERROR(__xludf.DUMMYFUNCTION("""COMPUTED_VALUE"""),448.0)</f>
        <v>448</v>
      </c>
      <c r="B449" s="1">
        <f>IFERROR(__xludf.DUMMYFUNCTION("""COMPUTED_VALUE"""),10300.0)</f>
        <v>10300</v>
      </c>
      <c r="C449" s="2" t="str">
        <f>IFERROR(__xludf.DUMMYFUNCTION("""COMPUTED_VALUE"""),"Primelana")</f>
        <v>Primelana</v>
      </c>
      <c r="D449" s="2" t="str">
        <f>IFERROR(__xludf.DUMMYFUNCTION("""COMPUTED_VALUE"""),"10KM OVERALL M")</f>
        <v>10KM OVERALL M</v>
      </c>
      <c r="E449" s="1">
        <f>IFERROR(__xludf.DUMMYFUNCTION("""COMPUTED_VALUE"""),1.0)</f>
        <v>1</v>
      </c>
      <c r="F449" s="1" t="str">
        <f>IFERROR(__xludf.DUMMYFUNCTION("""COMPUTED_VALUE"""),"Male")</f>
        <v>Male</v>
      </c>
      <c r="G449" s="4" t="b">
        <f>IFERROR(__xludf.DUMMYFUNCTION("""COMPUTED_VALUE"""),TRUE)</f>
        <v>1</v>
      </c>
      <c r="H449" s="4" t="b">
        <f>IFERROR(__xludf.DUMMYFUNCTION("""COMPUTED_VALUE"""),FALSE)</f>
        <v>0</v>
      </c>
      <c r="I449" s="4">
        <f>IFERROR(__xludf.DUMMYFUNCTION("""COMPUTED_VALUE"""),0.24646185185185185)</f>
        <v>0.2464618519</v>
      </c>
      <c r="J449" s="4">
        <f>IFERROR(__xludf.DUMMYFUNCTION("""COMPUTED_VALUE"""),45949.25689821597)</f>
        <v>45949.2569</v>
      </c>
      <c r="K449" s="4">
        <f>IFERROR(__xludf.DUMMYFUNCTION("""COMPUTED_VALUE"""),45949.281839218624)</f>
        <v>45949.28184</v>
      </c>
      <c r="L449" s="4">
        <f>IFERROR(__xludf.DUMMYFUNCTION("""COMPUTED_VALUE"""),45949.28856058953)</f>
        <v>45949.28856</v>
      </c>
      <c r="M449" s="1" t="str">
        <f>IFERROR(__xludf.DUMMYFUNCTION("""COMPUTED_VALUE"""),"RFID")</f>
        <v>RFID</v>
      </c>
      <c r="N449" s="5">
        <f>IFERROR(__xludf.DUMMYFUNCTION("""COMPUTED_VALUE"""),0.004174546296296296)</f>
        <v>0.004174546296</v>
      </c>
      <c r="O449" s="5">
        <f>IFERROR(__xludf.DUMMYFUNCTION("""COMPUTED_VALUE"""),0.009976402777777777)</f>
        <v>0.009976402778</v>
      </c>
      <c r="P449" s="5">
        <f>IFERROR(__xludf.DUMMYFUNCTION("""COMPUTED_VALUE"""),0.0027659962569610615)</f>
        <v>0.002765996257</v>
      </c>
      <c r="Q449" s="5">
        <f>IFERROR(__xludf.DUMMYFUNCTION("""COMPUTED_VALUE"""),0.004209873842592593)</f>
        <v>0.004209873843</v>
      </c>
      <c r="R449" s="4">
        <f>IFERROR(__xludf.DUMMYFUNCTION("""COMPUTED_VALUE"""),45949.04209873768)</f>
        <v>45949.0421</v>
      </c>
      <c r="S449" s="1" t="b">
        <f>IFERROR(__xludf.DUMMYFUNCTION("""COMPUTED_VALUE"""),TRUE)</f>
        <v>1</v>
      </c>
      <c r="T449" s="1" t="b">
        <f>IFERROR(__xludf.DUMMYFUNCTION("""COMPUTED_VALUE"""),FALSE)</f>
        <v>0</v>
      </c>
      <c r="U449" s="1" t="str">
        <f>IFERROR(__xludf.DUMMYFUNCTION("""COMPUTED_VALUE"""),"VALID")</f>
        <v>VALID</v>
      </c>
      <c r="V449" s="1">
        <f>IFERROR(__xludf.DUMMYFUNCTION("""COMPUTED_VALUE"""),146.0)</f>
        <v>146</v>
      </c>
      <c r="W449" s="1">
        <f>IFERROR(__xludf.DUMMYFUNCTION("""COMPUTED_VALUE"""),172.0)</f>
        <v>172</v>
      </c>
      <c r="X449" s="1">
        <f>IFERROR(__xludf.DUMMYFUNCTION("""COMPUTED_VALUE"""),1069.0)</f>
        <v>1069</v>
      </c>
      <c r="Y449" s="2"/>
      <c r="Z449" s="2"/>
    </row>
    <row r="450">
      <c r="A450" s="1">
        <f>IFERROR(__xludf.DUMMYFUNCTION("""COMPUTED_VALUE"""),449.0)</f>
        <v>449</v>
      </c>
      <c r="B450" s="1">
        <f>IFERROR(__xludf.DUMMYFUNCTION("""COMPUTED_VALUE"""),10301.0)</f>
        <v>10301</v>
      </c>
      <c r="C450" s="2" t="str">
        <f>IFERROR(__xludf.DUMMYFUNCTION("""COMPUTED_VALUE"""),"KEDOKTERUNN")</f>
        <v>KEDOKTERUNN</v>
      </c>
      <c r="D450" s="2" t="str">
        <f>IFERROR(__xludf.DUMMYFUNCTION("""COMPUTED_VALUE"""),"10KM OVERALL M")</f>
        <v>10KM OVERALL M</v>
      </c>
      <c r="E450" s="1">
        <f>IFERROR(__xludf.DUMMYFUNCTION("""COMPUTED_VALUE"""),1.0)</f>
        <v>1</v>
      </c>
      <c r="F450" s="1" t="str">
        <f>IFERROR(__xludf.DUMMYFUNCTION("""COMPUTED_VALUE"""),"Male")</f>
        <v>Male</v>
      </c>
      <c r="G450" s="4" t="b">
        <f>IFERROR(__xludf.DUMMYFUNCTION("""COMPUTED_VALUE"""),TRUE)</f>
        <v>1</v>
      </c>
      <c r="H450" s="4" t="b">
        <f>IFERROR(__xludf.DUMMYFUNCTION("""COMPUTED_VALUE"""),TRUE)</f>
        <v>1</v>
      </c>
      <c r="I450" s="4">
        <f>IFERROR(__xludf.DUMMYFUNCTION("""COMPUTED_VALUE"""),0.24646185185185185)</f>
        <v>0.2464618519</v>
      </c>
      <c r="J450" s="4">
        <f>IFERROR(__xludf.DUMMYFUNCTION("""COMPUTED_VALUE"""),45949.25652672347)</f>
        <v>45949.25653</v>
      </c>
      <c r="K450" s="4">
        <f>IFERROR(__xludf.DUMMYFUNCTION("""COMPUTED_VALUE"""),45949.27890867595)</f>
        <v>45949.27891</v>
      </c>
      <c r="L450" s="4">
        <f>IFERROR(__xludf.DUMMYFUNCTION("""COMPUTED_VALUE"""),45949.285307931794)</f>
        <v>45949.28531</v>
      </c>
      <c r="M450" s="1" t="str">
        <f>IFERROR(__xludf.DUMMYFUNCTION("""COMPUTED_VALUE"""),"RFID")</f>
        <v>RFID</v>
      </c>
      <c r="N450" s="5">
        <f>IFERROR(__xludf.DUMMYFUNCTION("""COMPUTED_VALUE"""),0.004025949074074074)</f>
        <v>0.004025949074</v>
      </c>
      <c r="O450" s="5">
        <f>IFERROR(__xludf.DUMMYFUNCTION("""COMPUTED_VALUE"""),0.008952782407407408)</f>
        <v>0.008952782407</v>
      </c>
      <c r="P450" s="5">
        <f>IFERROR(__xludf.DUMMYFUNCTION("""COMPUTED_VALUE"""),0.0026334386183343703)</f>
        <v>0.002633438618</v>
      </c>
      <c r="Q450" s="5">
        <f>IFERROR(__xludf.DUMMYFUNCTION("""COMPUTED_VALUE"""),0.003884607638888889)</f>
        <v>0.003884607639</v>
      </c>
      <c r="R450" s="4">
        <f>IFERROR(__xludf.DUMMYFUNCTION("""COMPUTED_VALUE"""),45949.038846079944)</f>
        <v>45949.03885</v>
      </c>
      <c r="S450" s="1" t="b">
        <f>IFERROR(__xludf.DUMMYFUNCTION("""COMPUTED_VALUE"""),TRUE)</f>
        <v>1</v>
      </c>
      <c r="T450" s="1" t="b">
        <f>IFERROR(__xludf.DUMMYFUNCTION("""COMPUTED_VALUE"""),FALSE)</f>
        <v>0</v>
      </c>
      <c r="U450" s="1" t="str">
        <f>IFERROR(__xludf.DUMMYFUNCTION("""COMPUTED_VALUE"""),"VALID")</f>
        <v>VALID</v>
      </c>
      <c r="V450" s="1">
        <f>IFERROR(__xludf.DUMMYFUNCTION("""COMPUTED_VALUE"""),80.0)</f>
        <v>80</v>
      </c>
      <c r="W450" s="1">
        <f>IFERROR(__xludf.DUMMYFUNCTION("""COMPUTED_VALUE"""),97.0)</f>
        <v>97</v>
      </c>
      <c r="X450" s="1">
        <f>IFERROR(__xludf.DUMMYFUNCTION("""COMPUTED_VALUE"""),919.0)</f>
        <v>919</v>
      </c>
      <c r="Y450" s="2"/>
      <c r="Z450" s="2"/>
    </row>
    <row r="451">
      <c r="A451" s="1">
        <f>IFERROR(__xludf.DUMMYFUNCTION("""COMPUTED_VALUE"""),450.0)</f>
        <v>450</v>
      </c>
      <c r="B451" s="1">
        <f>IFERROR(__xludf.DUMMYFUNCTION("""COMPUTED_VALUE"""),10304.0)</f>
        <v>10304</v>
      </c>
      <c r="C451" s="2" t="str">
        <f>IFERROR(__xludf.DUMMYFUNCTION("""COMPUTED_VALUE"""),"Adi M")</f>
        <v>Adi M</v>
      </c>
      <c r="D451" s="2" t="str">
        <f>IFERROR(__xludf.DUMMYFUNCTION("""COMPUTED_VALUE"""),"10KM OVERALL M")</f>
        <v>10KM OVERALL M</v>
      </c>
      <c r="E451" s="1">
        <f>IFERROR(__xludf.DUMMYFUNCTION("""COMPUTED_VALUE"""),1.0)</f>
        <v>1</v>
      </c>
      <c r="F451" s="1" t="str">
        <f>IFERROR(__xludf.DUMMYFUNCTION("""COMPUTED_VALUE"""),"Male")</f>
        <v>Male</v>
      </c>
      <c r="G451" s="4" t="str">
        <f>IFERROR(__xludf.DUMMYFUNCTION("""COMPUTED_VALUE"""),"")</f>
        <v/>
      </c>
      <c r="H451" s="4" t="b">
        <f>IFERROR(__xludf.DUMMYFUNCTION("""COMPUTED_VALUE"""),FALSE)</f>
        <v>0</v>
      </c>
      <c r="I451" s="4">
        <f>IFERROR(__xludf.DUMMYFUNCTION("""COMPUTED_VALUE"""),0.24646185185185185)</f>
        <v>0.2464618519</v>
      </c>
      <c r="J451" s="4" t="str">
        <f>IFERROR(__xludf.DUMMYFUNCTION("""COMPUTED_VALUE"""),"")</f>
        <v/>
      </c>
      <c r="K451" s="4" t="str">
        <f>IFERROR(__xludf.DUMMYFUNCTION("""COMPUTED_VALUE"""),"")</f>
        <v/>
      </c>
      <c r="L451" s="4" t="str">
        <f>IFERROR(__xludf.DUMMYFUNCTION("""COMPUTED_VALUE"""),"")</f>
        <v/>
      </c>
      <c r="M451" s="1" t="str">
        <f>IFERROR(__xludf.DUMMYFUNCTION("""COMPUTED_VALUE"""),"RFID")</f>
        <v>RFID</v>
      </c>
      <c r="N451" s="5" t="str">
        <f>IFERROR(__xludf.DUMMYFUNCTION("""COMPUTED_VALUE"""),"")</f>
        <v/>
      </c>
      <c r="O451" s="5" t="str">
        <f>IFERROR(__xludf.DUMMYFUNCTION("""COMPUTED_VALUE"""),"")</f>
        <v/>
      </c>
      <c r="P451" s="5" t="str">
        <f>IFERROR(__xludf.DUMMYFUNCTION("""COMPUTED_VALUE"""),"")</f>
        <v/>
      </c>
      <c r="Q451" s="5" t="str">
        <f>IFERROR(__xludf.DUMMYFUNCTION("""COMPUTED_VALUE"""),"")</f>
        <v/>
      </c>
      <c r="R451" s="4" t="str">
        <f>IFERROR(__xludf.DUMMYFUNCTION("""COMPUTED_VALUE"""),"")</f>
        <v/>
      </c>
      <c r="S451" s="1" t="b">
        <f>IFERROR(__xludf.DUMMYFUNCTION("""COMPUTED_VALUE"""),FALSE)</f>
        <v>0</v>
      </c>
      <c r="T451" s="1" t="b">
        <f>IFERROR(__xludf.DUMMYFUNCTION("""COMPUTED_VALUE"""),FALSE)</f>
        <v>0</v>
      </c>
      <c r="U451" s="1" t="str">
        <f>IFERROR(__xludf.DUMMYFUNCTION("""COMPUTED_VALUE"""),"DSQ")</f>
        <v>DSQ</v>
      </c>
      <c r="V451" s="1" t="str">
        <f>IFERROR(__xludf.DUMMYFUNCTION("""COMPUTED_VALUE"""),"DSQ")</f>
        <v>DSQ</v>
      </c>
      <c r="W451" s="1" t="str">
        <f>IFERROR(__xludf.DUMMYFUNCTION("""COMPUTED_VALUE"""),"DSQ")</f>
        <v>DSQ</v>
      </c>
      <c r="X451" s="1" t="str">
        <f>IFERROR(__xludf.DUMMYFUNCTION("""COMPUTED_VALUE"""),"DSQ")</f>
        <v>DSQ</v>
      </c>
      <c r="Y451" s="2"/>
      <c r="Z451" s="2" t="str">
        <f>IFERROR(__xludf.DUMMYFUNCTION("""COMPUTED_VALUE"""),"")</f>
        <v/>
      </c>
    </row>
    <row r="452">
      <c r="A452" s="1">
        <f>IFERROR(__xludf.DUMMYFUNCTION("""COMPUTED_VALUE"""),451.0)</f>
        <v>451</v>
      </c>
      <c r="B452" s="1">
        <f>IFERROR(__xludf.DUMMYFUNCTION("""COMPUTED_VALUE"""),10305.0)</f>
        <v>10305</v>
      </c>
      <c r="C452" s="2" t="str">
        <f>IFERROR(__xludf.DUMMYFUNCTION("""COMPUTED_VALUE"""),"trikun")</f>
        <v>trikun</v>
      </c>
      <c r="D452" s="2" t="str">
        <f>IFERROR(__xludf.DUMMYFUNCTION("""COMPUTED_VALUE"""),"10KM OVERALL M")</f>
        <v>10KM OVERALL M</v>
      </c>
      <c r="E452" s="1">
        <f>IFERROR(__xludf.DUMMYFUNCTION("""COMPUTED_VALUE"""),1.0)</f>
        <v>1</v>
      </c>
      <c r="F452" s="1" t="str">
        <f>IFERROR(__xludf.DUMMYFUNCTION("""COMPUTED_VALUE"""),"Male")</f>
        <v>Male</v>
      </c>
      <c r="G452" s="4" t="b">
        <f>IFERROR(__xludf.DUMMYFUNCTION("""COMPUTED_VALUE"""),TRUE)</f>
        <v>1</v>
      </c>
      <c r="H452" s="4" t="b">
        <f>IFERROR(__xludf.DUMMYFUNCTION("""COMPUTED_VALUE"""),TRUE)</f>
        <v>1</v>
      </c>
      <c r="I452" s="4">
        <f>IFERROR(__xludf.DUMMYFUNCTION("""COMPUTED_VALUE"""),0.24646185185185185)</f>
        <v>0.2464618519</v>
      </c>
      <c r="J452" s="4">
        <f>IFERROR(__xludf.DUMMYFUNCTION("""COMPUTED_VALUE"""),45949.26034960736)</f>
        <v>45949.26035</v>
      </c>
      <c r="K452" s="4">
        <f>IFERROR(__xludf.DUMMYFUNCTION("""COMPUTED_VALUE"""),45949.29507900309)</f>
        <v>45949.29508</v>
      </c>
      <c r="L452" s="4">
        <f>IFERROR(__xludf.DUMMYFUNCTION("""COMPUTED_VALUE"""),45949.30509879068)</f>
        <v>45949.3051</v>
      </c>
      <c r="M452" s="1" t="str">
        <f>IFERROR(__xludf.DUMMYFUNCTION("""COMPUTED_VALUE"""),"RFID")</f>
        <v>RFID</v>
      </c>
      <c r="N452" s="5">
        <f>IFERROR(__xludf.DUMMYFUNCTION("""COMPUTED_VALUE"""),0.005555101851851852)</f>
        <v>0.005555101852</v>
      </c>
      <c r="O452" s="5">
        <f>IFERROR(__xludf.DUMMYFUNCTION("""COMPUTED_VALUE"""),0.01389175925925926)</f>
        <v>0.01389175926</v>
      </c>
      <c r="P452" s="5">
        <f>IFERROR(__xludf.DUMMYFUNCTION("""COMPUTED_VALUE"""),0.004123369380453249)</f>
        <v>0.00412336938</v>
      </c>
      <c r="Q452" s="5">
        <f>IFERROR(__xludf.DUMMYFUNCTION("""COMPUTED_VALUE"""),0.005863694444444444)</f>
        <v>0.005863694444</v>
      </c>
      <c r="R452" s="4">
        <f>IFERROR(__xludf.DUMMYFUNCTION("""COMPUTED_VALUE"""),45949.05863693883)</f>
        <v>45949.05864</v>
      </c>
      <c r="S452" s="1" t="b">
        <f>IFERROR(__xludf.DUMMYFUNCTION("""COMPUTED_VALUE"""),TRUE)</f>
        <v>1</v>
      </c>
      <c r="T452" s="1" t="b">
        <f>IFERROR(__xludf.DUMMYFUNCTION("""COMPUTED_VALUE"""),FALSE)</f>
        <v>0</v>
      </c>
      <c r="U452" s="1" t="str">
        <f>IFERROR(__xludf.DUMMYFUNCTION("""COMPUTED_VALUE"""),"VALID")</f>
        <v>VALID</v>
      </c>
      <c r="V452" s="1">
        <f>IFERROR(__xludf.DUMMYFUNCTION("""COMPUTED_VALUE"""),519.0)</f>
        <v>519</v>
      </c>
      <c r="W452" s="1">
        <f>IFERROR(__xludf.DUMMYFUNCTION("""COMPUTED_VALUE"""),631.0)</f>
        <v>631</v>
      </c>
      <c r="X452" s="1">
        <f>IFERROR(__xludf.DUMMYFUNCTION("""COMPUTED_VALUE"""),1593.0)</f>
        <v>1593</v>
      </c>
      <c r="Y452" s="2"/>
      <c r="Z452" s="2"/>
    </row>
    <row r="453">
      <c r="A453" s="1">
        <f>IFERROR(__xludf.DUMMYFUNCTION("""COMPUTED_VALUE"""),452.0)</f>
        <v>452</v>
      </c>
      <c r="B453" s="1">
        <f>IFERROR(__xludf.DUMMYFUNCTION("""COMPUTED_VALUE"""),10306.0)</f>
        <v>10306</v>
      </c>
      <c r="C453" s="2" t="str">
        <f>IFERROR(__xludf.DUMMYFUNCTION("""COMPUTED_VALUE"""),"Fahh")</f>
        <v>Fahh</v>
      </c>
      <c r="D453" s="2" t="str">
        <f>IFERROR(__xludf.DUMMYFUNCTION("""COMPUTED_VALUE"""),"10KM OVERALL M")</f>
        <v>10KM OVERALL M</v>
      </c>
      <c r="E453" s="1">
        <f>IFERROR(__xludf.DUMMYFUNCTION("""COMPUTED_VALUE"""),1.0)</f>
        <v>1</v>
      </c>
      <c r="F453" s="1" t="str">
        <f>IFERROR(__xludf.DUMMYFUNCTION("""COMPUTED_VALUE"""),"Male")</f>
        <v>Male</v>
      </c>
      <c r="G453" s="4" t="str">
        <f>IFERROR(__xludf.DUMMYFUNCTION("""COMPUTED_VALUE"""),"")</f>
        <v/>
      </c>
      <c r="H453" s="4" t="b">
        <f>IFERROR(__xludf.DUMMYFUNCTION("""COMPUTED_VALUE"""),TRUE)</f>
        <v>1</v>
      </c>
      <c r="I453" s="4">
        <f>IFERROR(__xludf.DUMMYFUNCTION("""COMPUTED_VALUE"""),0.24646185185185185)</f>
        <v>0.2464618519</v>
      </c>
      <c r="J453" s="4">
        <f>IFERROR(__xludf.DUMMYFUNCTION("""COMPUTED_VALUE"""),45949.26834619023)</f>
        <v>45949.26835</v>
      </c>
      <c r="K453" s="4">
        <f>IFERROR(__xludf.DUMMYFUNCTION("""COMPUTED_VALUE"""),45949.29333986734)</f>
        <v>45949.29334</v>
      </c>
      <c r="L453" s="4">
        <f>IFERROR(__xludf.DUMMYFUNCTION("""COMPUTED_VALUE"""),45949.300577948095)</f>
        <v>45949.30058</v>
      </c>
      <c r="M453" s="1" t="str">
        <f>IFERROR(__xludf.DUMMYFUNCTION("""COMPUTED_VALUE"""),"RFID")</f>
        <v>RFID</v>
      </c>
      <c r="N453" s="5">
        <f>IFERROR(__xludf.DUMMYFUNCTION("""COMPUTED_VALUE"""),0.008753736111111111)</f>
        <v>0.008753736111</v>
      </c>
      <c r="O453" s="5">
        <f>IFERROR(__xludf.DUMMYFUNCTION("""COMPUTED_VALUE"""),0.009997472222222224)</f>
        <v>0.009997472222</v>
      </c>
      <c r="P453" s="5">
        <f>IFERROR(__xludf.DUMMYFUNCTION("""COMPUTED_VALUE"""),0.0029786340552171377)</f>
        <v>0.002978634055</v>
      </c>
      <c r="Q453" s="5">
        <f>IFERROR(__xludf.DUMMYFUNCTION("""COMPUTED_VALUE"""),0.005411609953703704)</f>
        <v>0.005411609954</v>
      </c>
      <c r="R453" s="4">
        <f>IFERROR(__xludf.DUMMYFUNCTION("""COMPUTED_VALUE"""),45949.054116096246)</f>
        <v>45949.05412</v>
      </c>
      <c r="S453" s="1" t="b">
        <f>IFERROR(__xludf.DUMMYFUNCTION("""COMPUTED_VALUE"""),TRUE)</f>
        <v>1</v>
      </c>
      <c r="T453" s="1" t="b">
        <f>IFERROR(__xludf.DUMMYFUNCTION("""COMPUTED_VALUE"""),FALSE)</f>
        <v>0</v>
      </c>
      <c r="U453" s="1" t="str">
        <f>IFERROR(__xludf.DUMMYFUNCTION("""COMPUTED_VALUE"""),"VALID")</f>
        <v>VALID</v>
      </c>
      <c r="V453" s="1">
        <f>IFERROR(__xludf.DUMMYFUNCTION("""COMPUTED_VALUE"""),428.0)</f>
        <v>428</v>
      </c>
      <c r="W453" s="1">
        <f>IFERROR(__xludf.DUMMYFUNCTION("""COMPUTED_VALUE"""),510.0)</f>
        <v>510</v>
      </c>
      <c r="X453" s="1">
        <f>IFERROR(__xludf.DUMMYFUNCTION("""COMPUTED_VALUE"""),1488.0)</f>
        <v>1488</v>
      </c>
      <c r="Y453" s="2"/>
      <c r="Z453" s="2"/>
    </row>
    <row r="454">
      <c r="A454" s="1">
        <f>IFERROR(__xludf.DUMMYFUNCTION("""COMPUTED_VALUE"""),453.0)</f>
        <v>453</v>
      </c>
      <c r="B454" s="1">
        <f>IFERROR(__xludf.DUMMYFUNCTION("""COMPUTED_VALUE"""),10307.0)</f>
        <v>10307</v>
      </c>
      <c r="C454" s="2" t="str">
        <f>IFERROR(__xludf.DUMMYFUNCTION("""COMPUTED_VALUE"""),"Yohanes Poalam")</f>
        <v>Yohanes Poalam</v>
      </c>
      <c r="D454" s="2" t="str">
        <f>IFERROR(__xludf.DUMMYFUNCTION("""COMPUTED_VALUE"""),"10KM OVERALL M")</f>
        <v>10KM OVERALL M</v>
      </c>
      <c r="E454" s="1">
        <f>IFERROR(__xludf.DUMMYFUNCTION("""COMPUTED_VALUE"""),1.0)</f>
        <v>1</v>
      </c>
      <c r="F454" s="1" t="str">
        <f>IFERROR(__xludf.DUMMYFUNCTION("""COMPUTED_VALUE"""),"Male")</f>
        <v>Male</v>
      </c>
      <c r="G454" s="4" t="b">
        <f>IFERROR(__xludf.DUMMYFUNCTION("""COMPUTED_VALUE"""),TRUE)</f>
        <v>1</v>
      </c>
      <c r="H454" s="4" t="b">
        <f>IFERROR(__xludf.DUMMYFUNCTION("""COMPUTED_VALUE"""),FALSE)</f>
        <v>0</v>
      </c>
      <c r="I454" s="4">
        <f>IFERROR(__xludf.DUMMYFUNCTION("""COMPUTED_VALUE"""),0.24646185185185185)</f>
        <v>0.2464618519</v>
      </c>
      <c r="J454" s="4">
        <f>IFERROR(__xludf.DUMMYFUNCTION("""COMPUTED_VALUE"""),45949.25471765849)</f>
        <v>45949.25472</v>
      </c>
      <c r="K454" s="4">
        <f>IFERROR(__xludf.DUMMYFUNCTION("""COMPUTED_VALUE"""),45949.27489342209)</f>
        <v>45949.27489</v>
      </c>
      <c r="L454" s="4">
        <f>IFERROR(__xludf.DUMMYFUNCTION("""COMPUTED_VALUE"""),45949.28310920193)</f>
        <v>45949.28311</v>
      </c>
      <c r="M454" s="1" t="str">
        <f>IFERROR(__xludf.DUMMYFUNCTION("""COMPUTED_VALUE"""),"RFID")</f>
        <v>RFID</v>
      </c>
      <c r="N454" s="5">
        <f>IFERROR(__xludf.DUMMYFUNCTION("""COMPUTED_VALUE"""),0.0033023240740740743)</f>
        <v>0.003302324074</v>
      </c>
      <c r="O454" s="5">
        <f>IFERROR(__xludf.DUMMYFUNCTION("""COMPUTED_VALUE"""),0.008070305555555556)</f>
        <v>0.008070305556</v>
      </c>
      <c r="P454" s="5">
        <f>IFERROR(__xludf.DUMMYFUNCTION("""COMPUTED_VALUE"""),0.0033809793605220047)</f>
        <v>0.003380979361</v>
      </c>
      <c r="Q454" s="5">
        <f>IFERROR(__xludf.DUMMYFUNCTION("""COMPUTED_VALUE"""),0.0036647349537037035)</f>
        <v>0.003664734954</v>
      </c>
      <c r="R454" s="4">
        <f>IFERROR(__xludf.DUMMYFUNCTION("""COMPUTED_VALUE"""),45949.03664735008)</f>
        <v>45949.03665</v>
      </c>
      <c r="S454" s="1" t="b">
        <f>IFERROR(__xludf.DUMMYFUNCTION("""COMPUTED_VALUE"""),TRUE)</f>
        <v>1</v>
      </c>
      <c r="T454" s="1" t="b">
        <f>IFERROR(__xludf.DUMMYFUNCTION("""COMPUTED_VALUE"""),FALSE)</f>
        <v>0</v>
      </c>
      <c r="U454" s="1" t="str">
        <f>IFERROR(__xludf.DUMMYFUNCTION("""COMPUTED_VALUE"""),"VALID")</f>
        <v>VALID</v>
      </c>
      <c r="V454" s="1">
        <f>IFERROR(__xludf.DUMMYFUNCTION("""COMPUTED_VALUE"""),54.0)</f>
        <v>54</v>
      </c>
      <c r="W454" s="1">
        <f>IFERROR(__xludf.DUMMYFUNCTION("""COMPUTED_VALUE"""),66.0)</f>
        <v>66</v>
      </c>
      <c r="X454" s="1">
        <f>IFERROR(__xludf.DUMMYFUNCTION("""COMPUTED_VALUE"""),811.0)</f>
        <v>811</v>
      </c>
      <c r="Y454" s="2"/>
      <c r="Z454" s="2"/>
    </row>
    <row r="455">
      <c r="A455" s="1">
        <f>IFERROR(__xludf.DUMMYFUNCTION("""COMPUTED_VALUE"""),454.0)</f>
        <v>454</v>
      </c>
      <c r="B455" s="1">
        <f>IFERROR(__xludf.DUMMYFUNCTION("""COMPUTED_VALUE"""),10308.0)</f>
        <v>10308</v>
      </c>
      <c r="C455" s="2" t="str">
        <f>IFERROR(__xludf.DUMMYFUNCTION("""COMPUTED_VALUE"""),"husnul yakin")</f>
        <v>husnul yakin</v>
      </c>
      <c r="D455" s="2" t="str">
        <f>IFERROR(__xludf.DUMMYFUNCTION("""COMPUTED_VALUE"""),"10KM OVERALL M")</f>
        <v>10KM OVERALL M</v>
      </c>
      <c r="E455" s="1">
        <f>IFERROR(__xludf.DUMMYFUNCTION("""COMPUTED_VALUE"""),1.0)</f>
        <v>1</v>
      </c>
      <c r="F455" s="1" t="str">
        <f>IFERROR(__xludf.DUMMYFUNCTION("""COMPUTED_VALUE"""),"Male")</f>
        <v>Male</v>
      </c>
      <c r="G455" s="4" t="b">
        <f>IFERROR(__xludf.DUMMYFUNCTION("""COMPUTED_VALUE"""),TRUE)</f>
        <v>1</v>
      </c>
      <c r="H455" s="4" t="b">
        <f>IFERROR(__xludf.DUMMYFUNCTION("""COMPUTED_VALUE"""),TRUE)</f>
        <v>1</v>
      </c>
      <c r="I455" s="4">
        <f>IFERROR(__xludf.DUMMYFUNCTION("""COMPUTED_VALUE"""),0.24646185185185185)</f>
        <v>0.2464618519</v>
      </c>
      <c r="J455" s="4">
        <f>IFERROR(__xludf.DUMMYFUNCTION("""COMPUTED_VALUE"""),45949.258235056695)</f>
        <v>45949.25824</v>
      </c>
      <c r="K455" s="4">
        <f>IFERROR(__xludf.DUMMYFUNCTION("""COMPUTED_VALUE"""),45949.2805927179)</f>
        <v>45949.28059</v>
      </c>
      <c r="L455" s="4">
        <f>IFERROR(__xludf.DUMMYFUNCTION("""COMPUTED_VALUE"""),45949.28655711455)</f>
        <v>45949.28656</v>
      </c>
      <c r="M455" s="1" t="str">
        <f>IFERROR(__xludf.DUMMYFUNCTION("""COMPUTED_VALUE"""),"RFID")</f>
        <v>RFID</v>
      </c>
      <c r="N455" s="5">
        <f>IFERROR(__xludf.DUMMYFUNCTION("""COMPUTED_VALUE"""),0.004709282407407408)</f>
        <v>0.004709282407</v>
      </c>
      <c r="O455" s="5">
        <f>IFERROR(__xludf.DUMMYFUNCTION("""COMPUTED_VALUE"""),0.008943064814814815)</f>
        <v>0.008943064815</v>
      </c>
      <c r="P455" s="5">
        <f>IFERROR(__xludf.DUMMYFUNCTION("""COMPUTED_VALUE"""),0.0024544842191013684)</f>
        <v>0.002454484219</v>
      </c>
      <c r="Q455" s="5">
        <f>IFERROR(__xludf.DUMMYFUNCTION("""COMPUTED_VALUE"""),0.004009526620370371)</f>
        <v>0.00400952662</v>
      </c>
      <c r="R455" s="4">
        <f>IFERROR(__xludf.DUMMYFUNCTION("""COMPUTED_VALUE"""),45949.0400952627)</f>
        <v>45949.0401</v>
      </c>
      <c r="S455" s="1" t="b">
        <f>IFERROR(__xludf.DUMMYFUNCTION("""COMPUTED_VALUE"""),TRUE)</f>
        <v>1</v>
      </c>
      <c r="T455" s="1" t="b">
        <f>IFERROR(__xludf.DUMMYFUNCTION("""COMPUTED_VALUE"""),FALSE)</f>
        <v>0</v>
      </c>
      <c r="U455" s="1" t="str">
        <f>IFERROR(__xludf.DUMMYFUNCTION("""COMPUTED_VALUE"""),"VALID")</f>
        <v>VALID</v>
      </c>
      <c r="V455" s="1">
        <f>IFERROR(__xludf.DUMMYFUNCTION("""COMPUTED_VALUE"""),105.0)</f>
        <v>105</v>
      </c>
      <c r="W455" s="1">
        <f>IFERROR(__xludf.DUMMYFUNCTION("""COMPUTED_VALUE"""),126.0)</f>
        <v>126</v>
      </c>
      <c r="X455" s="1">
        <f>IFERROR(__xludf.DUMMYFUNCTION("""COMPUTED_VALUE"""),982.0)</f>
        <v>982</v>
      </c>
      <c r="Y455" s="2"/>
      <c r="Z455" s="2"/>
    </row>
    <row r="456">
      <c r="A456" s="1">
        <f>IFERROR(__xludf.DUMMYFUNCTION("""COMPUTED_VALUE"""),455.0)</f>
        <v>455</v>
      </c>
      <c r="B456" s="1">
        <f>IFERROR(__xludf.DUMMYFUNCTION("""COMPUTED_VALUE"""),10309.0)</f>
        <v>10309</v>
      </c>
      <c r="C456" s="2" t="str">
        <f>IFERROR(__xludf.DUMMYFUNCTION("""COMPUTED_VALUE"""),"Ikyy")</f>
        <v>Ikyy</v>
      </c>
      <c r="D456" s="2" t="str">
        <f>IFERROR(__xludf.DUMMYFUNCTION("""COMPUTED_VALUE"""),"10KM OVERALL M")</f>
        <v>10KM OVERALL M</v>
      </c>
      <c r="E456" s="1">
        <f>IFERROR(__xludf.DUMMYFUNCTION("""COMPUTED_VALUE"""),1.0)</f>
        <v>1</v>
      </c>
      <c r="F456" s="1" t="str">
        <f>IFERROR(__xludf.DUMMYFUNCTION("""COMPUTED_VALUE"""),"Male")</f>
        <v>Male</v>
      </c>
      <c r="G456" s="4" t="b">
        <f>IFERROR(__xludf.DUMMYFUNCTION("""COMPUTED_VALUE"""),TRUE)</f>
        <v>1</v>
      </c>
      <c r="H456" s="4" t="b">
        <f>IFERROR(__xludf.DUMMYFUNCTION("""COMPUTED_VALUE"""),TRUE)</f>
        <v>1</v>
      </c>
      <c r="I456" s="4">
        <f>IFERROR(__xludf.DUMMYFUNCTION("""COMPUTED_VALUE"""),0.24646185185185185)</f>
        <v>0.2464618519</v>
      </c>
      <c r="J456" s="4">
        <f>IFERROR(__xludf.DUMMYFUNCTION("""COMPUTED_VALUE"""),45949.257832244846)</f>
        <v>45949.25783</v>
      </c>
      <c r="K456" s="4">
        <f>IFERROR(__xludf.DUMMYFUNCTION("""COMPUTED_VALUE"""),45949.28415519424)</f>
        <v>45949.28416</v>
      </c>
      <c r="L456" s="4">
        <f>IFERROR(__xludf.DUMMYFUNCTION("""COMPUTED_VALUE"""),45949.2911786469)</f>
        <v>45949.29118</v>
      </c>
      <c r="M456" s="1" t="str">
        <f>IFERROR(__xludf.DUMMYFUNCTION("""COMPUTED_VALUE"""),"RFID")</f>
        <v>RFID</v>
      </c>
      <c r="N456" s="5">
        <f>IFERROR(__xludf.DUMMYFUNCTION("""COMPUTED_VALUE"""),0.004548157407407408)</f>
        <v>0.004548157407</v>
      </c>
      <c r="O456" s="5">
        <f>IFERROR(__xludf.DUMMYFUNCTION("""COMPUTED_VALUE"""),0.010529180555555556)</f>
        <v>0.01052918056</v>
      </c>
      <c r="P456" s="5">
        <f>IFERROR(__xludf.DUMMYFUNCTION("""COMPUTED_VALUE"""),0.002890309735575936)</f>
        <v>0.002890309736</v>
      </c>
      <c r="Q456" s="5">
        <f>IFERROR(__xludf.DUMMYFUNCTION("""COMPUTED_VALUE"""),0.004471679398148148)</f>
        <v>0.004471679398</v>
      </c>
      <c r="R456" s="4">
        <f>IFERROR(__xludf.DUMMYFUNCTION("""COMPUTED_VALUE"""),45949.04471679505)</f>
        <v>45949.04472</v>
      </c>
      <c r="S456" s="1" t="b">
        <f>IFERROR(__xludf.DUMMYFUNCTION("""COMPUTED_VALUE"""),TRUE)</f>
        <v>1</v>
      </c>
      <c r="T456" s="1" t="b">
        <f>IFERROR(__xludf.DUMMYFUNCTION("""COMPUTED_VALUE"""),FALSE)</f>
        <v>0</v>
      </c>
      <c r="U456" s="1" t="str">
        <f>IFERROR(__xludf.DUMMYFUNCTION("""COMPUTED_VALUE"""),"VALID")</f>
        <v>VALID</v>
      </c>
      <c r="V456" s="1">
        <f>IFERROR(__xludf.DUMMYFUNCTION("""COMPUTED_VALUE"""),211.0)</f>
        <v>211</v>
      </c>
      <c r="W456" s="1">
        <f>IFERROR(__xludf.DUMMYFUNCTION("""COMPUTED_VALUE"""),254.0)</f>
        <v>254</v>
      </c>
      <c r="X456" s="1">
        <f>IFERROR(__xludf.DUMMYFUNCTION("""COMPUTED_VALUE"""),1189.0)</f>
        <v>1189</v>
      </c>
      <c r="Y456" s="2"/>
      <c r="Z456" s="2"/>
    </row>
    <row r="457">
      <c r="A457" s="1">
        <f>IFERROR(__xludf.DUMMYFUNCTION("""COMPUTED_VALUE"""),456.0)</f>
        <v>456</v>
      </c>
      <c r="B457" s="1">
        <f>IFERROR(__xludf.DUMMYFUNCTION("""COMPUTED_VALUE"""),10310.0)</f>
        <v>10310</v>
      </c>
      <c r="C457" s="2" t="str">
        <f>IFERROR(__xludf.DUMMYFUNCTION("""COMPUTED_VALUE"""),"Rendy Pramana")</f>
        <v>Rendy Pramana</v>
      </c>
      <c r="D457" s="2" t="str">
        <f>IFERROR(__xludf.DUMMYFUNCTION("""COMPUTED_VALUE"""),"10KM OVERALL M")</f>
        <v>10KM OVERALL M</v>
      </c>
      <c r="E457" s="1">
        <f>IFERROR(__xludf.DUMMYFUNCTION("""COMPUTED_VALUE"""),1.0)</f>
        <v>1</v>
      </c>
      <c r="F457" s="1" t="str">
        <f>IFERROR(__xludf.DUMMYFUNCTION("""COMPUTED_VALUE"""),"Male")</f>
        <v>Male</v>
      </c>
      <c r="G457" s="4" t="b">
        <f>IFERROR(__xludf.DUMMYFUNCTION("""COMPUTED_VALUE"""),TRUE)</f>
        <v>1</v>
      </c>
      <c r="H457" s="4" t="b">
        <f>IFERROR(__xludf.DUMMYFUNCTION("""COMPUTED_VALUE"""),TRUE)</f>
        <v>1</v>
      </c>
      <c r="I457" s="4">
        <f>IFERROR(__xludf.DUMMYFUNCTION("""COMPUTED_VALUE"""),0.24646185185185185)</f>
        <v>0.2464618519</v>
      </c>
      <c r="J457" s="4">
        <f>IFERROR(__xludf.DUMMYFUNCTION("""COMPUTED_VALUE"""),45949.259273214346)</f>
        <v>45949.25927</v>
      </c>
      <c r="K457" s="4">
        <f>IFERROR(__xludf.DUMMYFUNCTION("""COMPUTED_VALUE"""),45949.28928716269)</f>
        <v>45949.28929</v>
      </c>
      <c r="L457" s="4">
        <f>IFERROR(__xludf.DUMMYFUNCTION("""COMPUTED_VALUE"""),45949.29861962329)</f>
        <v>45949.29862</v>
      </c>
      <c r="M457" s="1" t="str">
        <f>IFERROR(__xludf.DUMMYFUNCTION("""COMPUTED_VALUE"""),"RFID")</f>
        <v>RFID</v>
      </c>
      <c r="N457" s="5">
        <f>IFERROR(__xludf.DUMMYFUNCTION("""COMPUTED_VALUE"""),0.005124546296296296)</f>
        <v>0.005124546296</v>
      </c>
      <c r="O457" s="5">
        <f>IFERROR(__xludf.DUMMYFUNCTION("""COMPUTED_VALUE"""),0.012005578703703704)</f>
        <v>0.0120055787</v>
      </c>
      <c r="P457" s="5">
        <f>IFERROR(__xludf.DUMMYFUNCTION("""COMPUTED_VALUE"""),0.0038405187648851346)</f>
        <v>0.003840518765</v>
      </c>
      <c r="Q457" s="5">
        <f>IFERROR(__xludf.DUMMYFUNCTION("""COMPUTED_VALUE"""),0.00521577662037037)</f>
        <v>0.00521577662</v>
      </c>
      <c r="R457" s="4">
        <f>IFERROR(__xludf.DUMMYFUNCTION("""COMPUTED_VALUE"""),45949.05215777144)</f>
        <v>45949.05216</v>
      </c>
      <c r="S457" s="1" t="b">
        <f>IFERROR(__xludf.DUMMYFUNCTION("""COMPUTED_VALUE"""),TRUE)</f>
        <v>1</v>
      </c>
      <c r="T457" s="1" t="b">
        <f>IFERROR(__xludf.DUMMYFUNCTION("""COMPUTED_VALUE"""),FALSE)</f>
        <v>0</v>
      </c>
      <c r="U457" s="1" t="str">
        <f>IFERROR(__xludf.DUMMYFUNCTION("""COMPUTED_VALUE"""),"VALID")</f>
        <v>VALID</v>
      </c>
      <c r="V457" s="1">
        <f>IFERROR(__xludf.DUMMYFUNCTION("""COMPUTED_VALUE"""),389.0)</f>
        <v>389</v>
      </c>
      <c r="W457" s="1">
        <f>IFERROR(__xludf.DUMMYFUNCTION("""COMPUTED_VALUE"""),462.0)</f>
        <v>462</v>
      </c>
      <c r="X457" s="1">
        <f>IFERROR(__xludf.DUMMYFUNCTION("""COMPUTED_VALUE"""),1439.0)</f>
        <v>1439</v>
      </c>
      <c r="Y457" s="2"/>
      <c r="Z457" s="2"/>
    </row>
    <row r="458">
      <c r="A458" s="1">
        <f>IFERROR(__xludf.DUMMYFUNCTION("""COMPUTED_VALUE"""),457.0)</f>
        <v>457</v>
      </c>
      <c r="B458" s="1">
        <f>IFERROR(__xludf.DUMMYFUNCTION("""COMPUTED_VALUE"""),10311.0)</f>
        <v>10311</v>
      </c>
      <c r="C458" s="2" t="str">
        <f>IFERROR(__xludf.DUMMYFUNCTION("""COMPUTED_VALUE"""),"Muhammad Hendra Firmadi")</f>
        <v>Muhammad Hendra Firmadi</v>
      </c>
      <c r="D458" s="2" t="str">
        <f>IFERROR(__xludf.DUMMYFUNCTION("""COMPUTED_VALUE"""),"10KM OVERALL M")</f>
        <v>10KM OVERALL M</v>
      </c>
      <c r="E458" s="1">
        <f>IFERROR(__xludf.DUMMYFUNCTION("""COMPUTED_VALUE"""),1.0)</f>
        <v>1</v>
      </c>
      <c r="F458" s="1" t="str">
        <f>IFERROR(__xludf.DUMMYFUNCTION("""COMPUTED_VALUE"""),"Male")</f>
        <v>Male</v>
      </c>
      <c r="G458" s="4" t="b">
        <f>IFERROR(__xludf.DUMMYFUNCTION("""COMPUTED_VALUE"""),TRUE)</f>
        <v>1</v>
      </c>
      <c r="H458" s="4" t="b">
        <f>IFERROR(__xludf.DUMMYFUNCTION("""COMPUTED_VALUE"""),FALSE)</f>
        <v>0</v>
      </c>
      <c r="I458" s="4">
        <f>IFERROR(__xludf.DUMMYFUNCTION("""COMPUTED_VALUE"""),0.24646185185185185)</f>
        <v>0.2464618519</v>
      </c>
      <c r="J458" s="4">
        <f>IFERROR(__xludf.DUMMYFUNCTION("""COMPUTED_VALUE"""),45949.25490869435)</f>
        <v>45949.25491</v>
      </c>
      <c r="K458" s="4">
        <f>IFERROR(__xludf.DUMMYFUNCTION("""COMPUTED_VALUE"""),45949.27587553981)</f>
        <v>45949.27588</v>
      </c>
      <c r="L458" s="4">
        <f>IFERROR(__xludf.DUMMYFUNCTION("""COMPUTED_VALUE"""),45949.281480726626)</f>
        <v>45949.28148</v>
      </c>
      <c r="M458" s="1" t="str">
        <f>IFERROR(__xludf.DUMMYFUNCTION("""COMPUTED_VALUE"""),"RFID")</f>
        <v>RFID</v>
      </c>
      <c r="N458" s="5">
        <f>IFERROR(__xludf.DUMMYFUNCTION("""COMPUTED_VALUE"""),0.0033787361111111114)</f>
        <v>0.003378736111</v>
      </c>
      <c r="O458" s="5">
        <f>IFERROR(__xludf.DUMMYFUNCTION("""COMPUTED_VALUE"""),0.008386736111111112)</f>
        <v>0.008386736111</v>
      </c>
      <c r="P458" s="5">
        <f>IFERROR(__xludf.DUMMYFUNCTION("""COMPUTED_VALUE"""),0.002306661241134023)</f>
        <v>0.002306661241</v>
      </c>
      <c r="Q458" s="5">
        <f>IFERROR(__xludf.DUMMYFUNCTION("""COMPUTED_VALUE"""),0.003501887731481481)</f>
        <v>0.003501887731</v>
      </c>
      <c r="R458" s="4">
        <f>IFERROR(__xludf.DUMMYFUNCTION("""COMPUTED_VALUE"""),45949.035018874776)</f>
        <v>45949.03502</v>
      </c>
      <c r="S458" s="1" t="b">
        <f>IFERROR(__xludf.DUMMYFUNCTION("""COMPUTED_VALUE"""),TRUE)</f>
        <v>1</v>
      </c>
      <c r="T458" s="1" t="b">
        <f>IFERROR(__xludf.DUMMYFUNCTION("""COMPUTED_VALUE"""),FALSE)</f>
        <v>0</v>
      </c>
      <c r="U458" s="1" t="str">
        <f>IFERROR(__xludf.DUMMYFUNCTION("""COMPUTED_VALUE"""),"VALID")</f>
        <v>VALID</v>
      </c>
      <c r="V458" s="1">
        <f>IFERROR(__xludf.DUMMYFUNCTION("""COMPUTED_VALUE"""),30.0)</f>
        <v>30</v>
      </c>
      <c r="W458" s="1">
        <f>IFERROR(__xludf.DUMMYFUNCTION("""COMPUTED_VALUE"""),38.0)</f>
        <v>38</v>
      </c>
      <c r="X458" s="1">
        <f>IFERROR(__xludf.DUMMYFUNCTION("""COMPUTED_VALUE"""),725.0)</f>
        <v>725</v>
      </c>
      <c r="Y458" s="2"/>
      <c r="Z458" s="2"/>
    </row>
    <row r="459">
      <c r="A459" s="1">
        <f>IFERROR(__xludf.DUMMYFUNCTION("""COMPUTED_VALUE"""),458.0)</f>
        <v>458</v>
      </c>
      <c r="B459" s="1">
        <f>IFERROR(__xludf.DUMMYFUNCTION("""COMPUTED_VALUE"""),10312.0)</f>
        <v>10312</v>
      </c>
      <c r="C459" s="2" t="str">
        <f>IFERROR(__xludf.DUMMYFUNCTION("""COMPUTED_VALUE"""),"Ical faisal")</f>
        <v>Ical faisal</v>
      </c>
      <c r="D459" s="2" t="str">
        <f>IFERROR(__xludf.DUMMYFUNCTION("""COMPUTED_VALUE"""),"10KM OVERALL M")</f>
        <v>10KM OVERALL M</v>
      </c>
      <c r="E459" s="1">
        <f>IFERROR(__xludf.DUMMYFUNCTION("""COMPUTED_VALUE"""),1.0)</f>
        <v>1</v>
      </c>
      <c r="F459" s="1" t="str">
        <f>IFERROR(__xludf.DUMMYFUNCTION("""COMPUTED_VALUE"""),"Male")</f>
        <v>Male</v>
      </c>
      <c r="G459" s="4" t="b">
        <f>IFERROR(__xludf.DUMMYFUNCTION("""COMPUTED_VALUE"""),TRUE)</f>
        <v>1</v>
      </c>
      <c r="H459" s="4" t="b">
        <f>IFERROR(__xludf.DUMMYFUNCTION("""COMPUTED_VALUE"""),TRUE)</f>
        <v>1</v>
      </c>
      <c r="I459" s="4">
        <f>IFERROR(__xludf.DUMMYFUNCTION("""COMPUTED_VALUE"""),0.24646185185185185)</f>
        <v>0.2464618519</v>
      </c>
      <c r="J459" s="4">
        <f>IFERROR(__xludf.DUMMYFUNCTION("""COMPUTED_VALUE"""),45949.2574815485)</f>
        <v>45949.25748</v>
      </c>
      <c r="K459" s="4">
        <f>IFERROR(__xludf.DUMMYFUNCTION("""COMPUTED_VALUE"""),45949.28299893747)</f>
        <v>45949.283</v>
      </c>
      <c r="L459" s="4">
        <f>IFERROR(__xludf.DUMMYFUNCTION("""COMPUTED_VALUE"""),45949.29056059513)</f>
        <v>45949.29056</v>
      </c>
      <c r="M459" s="1" t="str">
        <f>IFERROR(__xludf.DUMMYFUNCTION("""COMPUTED_VALUE"""),"RFID")</f>
        <v>RFID</v>
      </c>
      <c r="N459" s="5">
        <f>IFERROR(__xludf.DUMMYFUNCTION("""COMPUTED_VALUE"""),0.00440787962962963)</f>
        <v>0.00440787963</v>
      </c>
      <c r="O459" s="5">
        <f>IFERROR(__xludf.DUMMYFUNCTION("""COMPUTED_VALUE"""),0.010206953703703704)</f>
        <v>0.0102069537</v>
      </c>
      <c r="P459" s="5">
        <f>IFERROR(__xludf.DUMMYFUNCTION("""COMPUTED_VALUE"""),0.0031117932748101237)</f>
        <v>0.003111793275</v>
      </c>
      <c r="Q459" s="5">
        <f>IFERROR(__xludf.DUMMYFUNCTION("""COMPUTED_VALUE"""),0.004409873842592593)</f>
        <v>0.004409873843</v>
      </c>
      <c r="R459" s="4">
        <f>IFERROR(__xludf.DUMMYFUNCTION("""COMPUTED_VALUE"""),45949.04409874328)</f>
        <v>45949.0441</v>
      </c>
      <c r="S459" s="1" t="b">
        <f>IFERROR(__xludf.DUMMYFUNCTION("""COMPUTED_VALUE"""),TRUE)</f>
        <v>1</v>
      </c>
      <c r="T459" s="1" t="b">
        <f>IFERROR(__xludf.DUMMYFUNCTION("""COMPUTED_VALUE"""),FALSE)</f>
        <v>0</v>
      </c>
      <c r="U459" s="1" t="str">
        <f>IFERROR(__xludf.DUMMYFUNCTION("""COMPUTED_VALUE"""),"VALID")</f>
        <v>VALID</v>
      </c>
      <c r="V459" s="1">
        <f>IFERROR(__xludf.DUMMYFUNCTION("""COMPUTED_VALUE"""),191.0)</f>
        <v>191</v>
      </c>
      <c r="W459" s="1">
        <f>IFERROR(__xludf.DUMMYFUNCTION("""COMPUTED_VALUE"""),229.0)</f>
        <v>229</v>
      </c>
      <c r="X459" s="1">
        <f>IFERROR(__xludf.DUMMYFUNCTION("""COMPUTED_VALUE"""),1153.0)</f>
        <v>1153</v>
      </c>
      <c r="Y459" s="2"/>
      <c r="Z459" s="2"/>
    </row>
    <row r="460">
      <c r="A460" s="1">
        <f>IFERROR(__xludf.DUMMYFUNCTION("""COMPUTED_VALUE"""),459.0)</f>
        <v>459</v>
      </c>
      <c r="B460" s="1">
        <f>IFERROR(__xludf.DUMMYFUNCTION("""COMPUTED_VALUE"""),10313.0)</f>
        <v>10313</v>
      </c>
      <c r="C460" s="2" t="str">
        <f>IFERROR(__xludf.DUMMYFUNCTION("""COMPUTED_VALUE"""),"Muhammad Noor Zaini")</f>
        <v>Muhammad Noor Zaini</v>
      </c>
      <c r="D460" s="2" t="str">
        <f>IFERROR(__xludf.DUMMYFUNCTION("""COMPUTED_VALUE"""),"10KM OVERALL M")</f>
        <v>10KM OVERALL M</v>
      </c>
      <c r="E460" s="1">
        <f>IFERROR(__xludf.DUMMYFUNCTION("""COMPUTED_VALUE"""),1.0)</f>
        <v>1</v>
      </c>
      <c r="F460" s="1" t="str">
        <f>IFERROR(__xludf.DUMMYFUNCTION("""COMPUTED_VALUE"""),"Male")</f>
        <v>Male</v>
      </c>
      <c r="G460" s="4" t="b">
        <f>IFERROR(__xludf.DUMMYFUNCTION("""COMPUTED_VALUE"""),TRUE)</f>
        <v>1</v>
      </c>
      <c r="H460" s="4" t="b">
        <f>IFERROR(__xludf.DUMMYFUNCTION("""COMPUTED_VALUE"""),TRUE)</f>
        <v>1</v>
      </c>
      <c r="I460" s="4">
        <f>IFERROR(__xludf.DUMMYFUNCTION("""COMPUTED_VALUE"""),0.24646185185185185)</f>
        <v>0.2464618519</v>
      </c>
      <c r="J460" s="4">
        <f>IFERROR(__xludf.DUMMYFUNCTION("""COMPUTED_VALUE"""),45949.25932186486)</f>
        <v>45949.25932</v>
      </c>
      <c r="K460" s="4">
        <f>IFERROR(__xludf.DUMMYFUNCTION("""COMPUTED_VALUE"""),45949.29184982846)</f>
        <v>45949.29185</v>
      </c>
      <c r="L460" s="4">
        <f>IFERROR(__xludf.DUMMYFUNCTION("""COMPUTED_VALUE"""),45949.30184878331)</f>
        <v>45949.30185</v>
      </c>
      <c r="M460" s="1" t="str">
        <f>IFERROR(__xludf.DUMMYFUNCTION("""COMPUTED_VALUE"""),"RFID")</f>
        <v>RFID</v>
      </c>
      <c r="N460" s="5">
        <f>IFERROR(__xludf.DUMMYFUNCTION("""COMPUTED_VALUE"""),0.0051440046296296294)</f>
        <v>0.00514400463</v>
      </c>
      <c r="O460" s="5">
        <f>IFERROR(__xludf.DUMMYFUNCTION("""COMPUTED_VALUE"""),0.013011185185185186)</f>
        <v>0.01301118519</v>
      </c>
      <c r="P460" s="5">
        <f>IFERROR(__xludf.DUMMYFUNCTION("""COMPUTED_VALUE"""),0.004114796233376863)</f>
        <v>0.004114796233</v>
      </c>
      <c r="Q460" s="5">
        <f>IFERROR(__xludf.DUMMYFUNCTION("""COMPUTED_VALUE"""),0.005538693287037036)</f>
        <v>0.005538693287</v>
      </c>
      <c r="R460" s="4">
        <f>IFERROR(__xludf.DUMMYFUNCTION("""COMPUTED_VALUE"""),45949.05538693146)</f>
        <v>45949.05539</v>
      </c>
      <c r="S460" s="1" t="b">
        <f>IFERROR(__xludf.DUMMYFUNCTION("""COMPUTED_VALUE"""),TRUE)</f>
        <v>1</v>
      </c>
      <c r="T460" s="1" t="b">
        <f>IFERROR(__xludf.DUMMYFUNCTION("""COMPUTED_VALUE"""),FALSE)</f>
        <v>0</v>
      </c>
      <c r="U460" s="1" t="str">
        <f>IFERROR(__xludf.DUMMYFUNCTION("""COMPUTED_VALUE"""),"VALID")</f>
        <v>VALID</v>
      </c>
      <c r="V460" s="1">
        <f>IFERROR(__xludf.DUMMYFUNCTION("""COMPUTED_VALUE"""),466.0)</f>
        <v>466</v>
      </c>
      <c r="W460" s="1">
        <f>IFERROR(__xludf.DUMMYFUNCTION("""COMPUTED_VALUE"""),559.0)</f>
        <v>559</v>
      </c>
      <c r="X460" s="1">
        <f>IFERROR(__xludf.DUMMYFUNCTION("""COMPUTED_VALUE"""),1532.0)</f>
        <v>1532</v>
      </c>
      <c r="Y460" s="2"/>
      <c r="Z460" s="2"/>
    </row>
    <row r="461">
      <c r="A461" s="1">
        <f>IFERROR(__xludf.DUMMYFUNCTION("""COMPUTED_VALUE"""),460.0)</f>
        <v>460</v>
      </c>
      <c r="B461" s="1">
        <f>IFERROR(__xludf.DUMMYFUNCTION("""COMPUTED_VALUE"""),10314.0)</f>
        <v>10314</v>
      </c>
      <c r="C461" s="2" t="str">
        <f>IFERROR(__xludf.DUMMYFUNCTION("""COMPUTED_VALUE"""),"Fikri")</f>
        <v>Fikri</v>
      </c>
      <c r="D461" s="2" t="str">
        <f>IFERROR(__xludf.DUMMYFUNCTION("""COMPUTED_VALUE"""),"10KM OVERALL M")</f>
        <v>10KM OVERALL M</v>
      </c>
      <c r="E461" s="1">
        <f>IFERROR(__xludf.DUMMYFUNCTION("""COMPUTED_VALUE"""),1.0)</f>
        <v>1</v>
      </c>
      <c r="F461" s="1" t="str">
        <f>IFERROR(__xludf.DUMMYFUNCTION("""COMPUTED_VALUE"""),"Male")</f>
        <v>Male</v>
      </c>
      <c r="G461" s="4" t="b">
        <f>IFERROR(__xludf.DUMMYFUNCTION("""COMPUTED_VALUE"""),TRUE)</f>
        <v>1</v>
      </c>
      <c r="H461" s="4" t="b">
        <f>IFERROR(__xludf.DUMMYFUNCTION("""COMPUTED_VALUE"""),TRUE)</f>
        <v>1</v>
      </c>
      <c r="I461" s="4">
        <f>IFERROR(__xludf.DUMMYFUNCTION("""COMPUTED_VALUE"""),0.24646185185185185)</f>
        <v>0.2464618519</v>
      </c>
      <c r="J461" s="4">
        <f>IFERROR(__xludf.DUMMYFUNCTION("""COMPUTED_VALUE"""),45949.25730100061)</f>
        <v>45949.2573</v>
      </c>
      <c r="K461" s="4">
        <f>IFERROR(__xludf.DUMMYFUNCTION("""COMPUTED_VALUE"""),45949.28328367274)</f>
        <v>45949.28328</v>
      </c>
      <c r="L461" s="4">
        <f>IFERROR(__xludf.DUMMYFUNCTION("""COMPUTED_VALUE"""),45949.29086609366)</f>
        <v>45949.29087</v>
      </c>
      <c r="M461" s="1" t="str">
        <f>IFERROR(__xludf.DUMMYFUNCTION("""COMPUTED_VALUE"""),"RFID")</f>
        <v>RFID</v>
      </c>
      <c r="N461" s="5">
        <f>IFERROR(__xludf.DUMMYFUNCTION("""COMPUTED_VALUE"""),0.004335657407407408)</f>
        <v>0.004335657407</v>
      </c>
      <c r="O461" s="5">
        <f>IFERROR(__xludf.DUMMYFUNCTION("""COMPUTED_VALUE"""),0.010393069444444443)</f>
        <v>0.01039306944</v>
      </c>
      <c r="P461" s="5">
        <f>IFERROR(__xludf.DUMMYFUNCTION("""COMPUTED_VALUE"""),0.003120337827073663)</f>
        <v>0.003120337827</v>
      </c>
      <c r="Q461" s="5">
        <f>IFERROR(__xludf.DUMMYFUNCTION("""COMPUTED_VALUE"""),0.00444042361111111)</f>
        <v>0.004440423611</v>
      </c>
      <c r="R461" s="4">
        <f>IFERROR(__xludf.DUMMYFUNCTION("""COMPUTED_VALUE"""),45949.04440424181)</f>
        <v>45949.0444</v>
      </c>
      <c r="S461" s="1" t="b">
        <f>IFERROR(__xludf.DUMMYFUNCTION("""COMPUTED_VALUE"""),TRUE)</f>
        <v>1</v>
      </c>
      <c r="T461" s="1" t="b">
        <f>IFERROR(__xludf.DUMMYFUNCTION("""COMPUTED_VALUE"""),FALSE)</f>
        <v>0</v>
      </c>
      <c r="U461" s="1" t="str">
        <f>IFERROR(__xludf.DUMMYFUNCTION("""COMPUTED_VALUE"""),"VALID")</f>
        <v>VALID</v>
      </c>
      <c r="V461" s="1">
        <f>IFERROR(__xludf.DUMMYFUNCTION("""COMPUTED_VALUE"""),199.0)</f>
        <v>199</v>
      </c>
      <c r="W461" s="1">
        <f>IFERROR(__xludf.DUMMYFUNCTION("""COMPUTED_VALUE"""),239.0)</f>
        <v>239</v>
      </c>
      <c r="X461" s="1">
        <f>IFERROR(__xludf.DUMMYFUNCTION("""COMPUTED_VALUE"""),1168.0)</f>
        <v>1168</v>
      </c>
      <c r="Y461" s="2"/>
      <c r="Z461" s="2"/>
    </row>
    <row r="462">
      <c r="A462" s="1">
        <f>IFERROR(__xludf.DUMMYFUNCTION("""COMPUTED_VALUE"""),461.0)</f>
        <v>461</v>
      </c>
      <c r="B462" s="1">
        <f>IFERROR(__xludf.DUMMYFUNCTION("""COMPUTED_VALUE"""),10315.0)</f>
        <v>10315</v>
      </c>
      <c r="C462" s="2" t="str">
        <f>IFERROR(__xludf.DUMMYFUNCTION("""COMPUTED_VALUE"""),"Papahnya Dela Nindy")</f>
        <v>Papahnya Dela Nindy</v>
      </c>
      <c r="D462" s="2" t="str">
        <f>IFERROR(__xludf.DUMMYFUNCTION("""COMPUTED_VALUE"""),"10KM OVERALL M")</f>
        <v>10KM OVERALL M</v>
      </c>
      <c r="E462" s="1">
        <f>IFERROR(__xludf.DUMMYFUNCTION("""COMPUTED_VALUE"""),1.0)</f>
        <v>1</v>
      </c>
      <c r="F462" s="1" t="str">
        <f>IFERROR(__xludf.DUMMYFUNCTION("""COMPUTED_VALUE"""),"Male")</f>
        <v>Male</v>
      </c>
      <c r="G462" s="4" t="b">
        <f>IFERROR(__xludf.DUMMYFUNCTION("""COMPUTED_VALUE"""),TRUE)</f>
        <v>1</v>
      </c>
      <c r="H462" s="4" t="b">
        <f>IFERROR(__xludf.DUMMYFUNCTION("""COMPUTED_VALUE"""),FALSE)</f>
        <v>0</v>
      </c>
      <c r="I462" s="4">
        <f>IFERROR(__xludf.DUMMYFUNCTION("""COMPUTED_VALUE"""),0.24646185185185185)</f>
        <v>0.2464618519</v>
      </c>
      <c r="J462" s="4">
        <f>IFERROR(__xludf.DUMMYFUNCTION("""COMPUTED_VALUE"""),45949.25554410272)</f>
        <v>45949.25554</v>
      </c>
      <c r="K462" s="4">
        <f>IFERROR(__xludf.DUMMYFUNCTION("""COMPUTED_VALUE"""),45949.27897115521)</f>
        <v>45949.27897</v>
      </c>
      <c r="L462" s="4">
        <f>IFERROR(__xludf.DUMMYFUNCTION("""COMPUTED_VALUE"""),45949.28582170387)</f>
        <v>45949.28582</v>
      </c>
      <c r="M462" s="1" t="str">
        <f>IFERROR(__xludf.DUMMYFUNCTION("""COMPUTED_VALUE"""),"RFID")</f>
        <v>RFID</v>
      </c>
      <c r="N462" s="5">
        <f>IFERROR(__xludf.DUMMYFUNCTION("""COMPUTED_VALUE"""),0.003632898148148148)</f>
        <v>0.003632898148</v>
      </c>
      <c r="O462" s="5">
        <f>IFERROR(__xludf.DUMMYFUNCTION("""COMPUTED_VALUE"""),0.009370819444444446)</f>
        <v>0.009370819444</v>
      </c>
      <c r="P462" s="5">
        <f>IFERROR(__xludf.DUMMYFUNCTION("""COMPUTED_VALUE"""),0.002819155825545375)</f>
        <v>0.002819155826</v>
      </c>
      <c r="Q462" s="5">
        <f>IFERROR(__xludf.DUMMYFUNCTION("""COMPUTED_VALUE"""),0.003935984953703704)</f>
        <v>0.003935984954</v>
      </c>
      <c r="R462" s="4">
        <f>IFERROR(__xludf.DUMMYFUNCTION("""COMPUTED_VALUE"""),45949.03935985202)</f>
        <v>45949.03936</v>
      </c>
      <c r="S462" s="1" t="b">
        <f>IFERROR(__xludf.DUMMYFUNCTION("""COMPUTED_VALUE"""),TRUE)</f>
        <v>1</v>
      </c>
      <c r="T462" s="1" t="b">
        <f>IFERROR(__xludf.DUMMYFUNCTION("""COMPUTED_VALUE"""),FALSE)</f>
        <v>0</v>
      </c>
      <c r="U462" s="1" t="str">
        <f>IFERROR(__xludf.DUMMYFUNCTION("""COMPUTED_VALUE"""),"VALID")</f>
        <v>VALID</v>
      </c>
      <c r="V462" s="1">
        <f>IFERROR(__xludf.DUMMYFUNCTION("""COMPUTED_VALUE"""),85.0)</f>
        <v>85</v>
      </c>
      <c r="W462" s="1">
        <f>IFERROR(__xludf.DUMMYFUNCTION("""COMPUTED_VALUE"""),104.0)</f>
        <v>104</v>
      </c>
      <c r="X462" s="1">
        <f>IFERROR(__xludf.DUMMYFUNCTION("""COMPUTED_VALUE"""),942.0)</f>
        <v>942</v>
      </c>
      <c r="Y462" s="2"/>
      <c r="Z462" s="2"/>
    </row>
    <row r="463">
      <c r="A463" s="1">
        <f>IFERROR(__xludf.DUMMYFUNCTION("""COMPUTED_VALUE"""),462.0)</f>
        <v>462</v>
      </c>
      <c r="B463" s="1">
        <f>IFERROR(__xludf.DUMMYFUNCTION("""COMPUTED_VALUE"""),10316.0)</f>
        <v>10316</v>
      </c>
      <c r="C463" s="2" t="str">
        <f>IFERROR(__xludf.DUMMYFUNCTION("""COMPUTED_VALUE"""),"Ewaldo Josantio")</f>
        <v>Ewaldo Josantio</v>
      </c>
      <c r="D463" s="2" t="str">
        <f>IFERROR(__xludf.DUMMYFUNCTION("""COMPUTED_VALUE"""),"10KM OVERALL M")</f>
        <v>10KM OVERALL M</v>
      </c>
      <c r="E463" s="1">
        <f>IFERROR(__xludf.DUMMYFUNCTION("""COMPUTED_VALUE"""),1.0)</f>
        <v>1</v>
      </c>
      <c r="F463" s="1" t="str">
        <f>IFERROR(__xludf.DUMMYFUNCTION("""COMPUTED_VALUE"""),"Male")</f>
        <v>Male</v>
      </c>
      <c r="G463" s="4" t="b">
        <f>IFERROR(__xludf.DUMMYFUNCTION("""COMPUTED_VALUE"""),TRUE)</f>
        <v>1</v>
      </c>
      <c r="H463" s="4" t="b">
        <f>IFERROR(__xludf.DUMMYFUNCTION("""COMPUTED_VALUE"""),TRUE)</f>
        <v>1</v>
      </c>
      <c r="I463" s="4">
        <f>IFERROR(__xludf.DUMMYFUNCTION("""COMPUTED_VALUE"""),0.24646185185185185)</f>
        <v>0.2464618519</v>
      </c>
      <c r="J463" s="4">
        <f>IFERROR(__xludf.DUMMYFUNCTION("""COMPUTED_VALUE"""),45949.25759268023)</f>
        <v>45949.25759</v>
      </c>
      <c r="K463" s="4">
        <f>IFERROR(__xludf.DUMMYFUNCTION("""COMPUTED_VALUE"""),45949.28448158455)</f>
        <v>45949.28448</v>
      </c>
      <c r="L463" s="4">
        <f>IFERROR(__xludf.DUMMYFUNCTION("""COMPUTED_VALUE"""),45949.29216129563)</f>
        <v>45949.29216</v>
      </c>
      <c r="M463" s="1" t="str">
        <f>IFERROR(__xludf.DUMMYFUNCTION("""COMPUTED_VALUE"""),"RFID")</f>
        <v>RFID</v>
      </c>
      <c r="N463" s="5">
        <f>IFERROR(__xludf.DUMMYFUNCTION("""COMPUTED_VALUE"""),0.004452333333333333)</f>
        <v>0.004452333333</v>
      </c>
      <c r="O463" s="5">
        <f>IFERROR(__xludf.DUMMYFUNCTION("""COMPUTED_VALUE"""),0.010755560185185186)</f>
        <v>0.01075556019</v>
      </c>
      <c r="P463" s="5">
        <f>IFERROR(__xludf.DUMMYFUNCTION("""COMPUTED_VALUE"""),0.003160374927638221)</f>
        <v>0.003160374928</v>
      </c>
      <c r="Q463" s="5">
        <f>IFERROR(__xludf.DUMMYFUNCTION("""COMPUTED_VALUE"""),0.004569944444444444)</f>
        <v>0.004569944444</v>
      </c>
      <c r="R463" s="4">
        <f>IFERROR(__xludf.DUMMYFUNCTION("""COMPUTED_VALUE"""),45949.04569944378)</f>
        <v>45949.0457</v>
      </c>
      <c r="S463" s="1" t="b">
        <f>IFERROR(__xludf.DUMMYFUNCTION("""COMPUTED_VALUE"""),TRUE)</f>
        <v>1</v>
      </c>
      <c r="T463" s="1" t="b">
        <f>IFERROR(__xludf.DUMMYFUNCTION("""COMPUTED_VALUE"""),FALSE)</f>
        <v>0</v>
      </c>
      <c r="U463" s="1" t="str">
        <f>IFERROR(__xludf.DUMMYFUNCTION("""COMPUTED_VALUE"""),"VALID")</f>
        <v>VALID</v>
      </c>
      <c r="V463" s="1">
        <f>IFERROR(__xludf.DUMMYFUNCTION("""COMPUTED_VALUE"""),232.0)</f>
        <v>232</v>
      </c>
      <c r="W463" s="1">
        <f>IFERROR(__xludf.DUMMYFUNCTION("""COMPUTED_VALUE"""),279.0)</f>
        <v>279</v>
      </c>
      <c r="X463" s="1">
        <f>IFERROR(__xludf.DUMMYFUNCTION("""COMPUTED_VALUE"""),1225.0)</f>
        <v>1225</v>
      </c>
      <c r="Y463" s="2"/>
      <c r="Z463" s="2"/>
    </row>
    <row r="464">
      <c r="A464" s="1">
        <f>IFERROR(__xludf.DUMMYFUNCTION("""COMPUTED_VALUE"""),463.0)</f>
        <v>463</v>
      </c>
      <c r="B464" s="1">
        <f>IFERROR(__xludf.DUMMYFUNCTION("""COMPUTED_VALUE"""),10317.0)</f>
        <v>10317</v>
      </c>
      <c r="C464" s="2" t="str">
        <f>IFERROR(__xludf.DUMMYFUNCTION("""COMPUTED_VALUE"""),"rifqi")</f>
        <v>rifqi</v>
      </c>
      <c r="D464" s="2" t="str">
        <f>IFERROR(__xludf.DUMMYFUNCTION("""COMPUTED_VALUE"""),"10KM OVERALL M")</f>
        <v>10KM OVERALL M</v>
      </c>
      <c r="E464" s="1">
        <f>IFERROR(__xludf.DUMMYFUNCTION("""COMPUTED_VALUE"""),1.0)</f>
        <v>1</v>
      </c>
      <c r="F464" s="1" t="str">
        <f>IFERROR(__xludf.DUMMYFUNCTION("""COMPUTED_VALUE"""),"Male")</f>
        <v>Male</v>
      </c>
      <c r="G464" s="4" t="b">
        <f>IFERROR(__xludf.DUMMYFUNCTION("""COMPUTED_VALUE"""),TRUE)</f>
        <v>1</v>
      </c>
      <c r="H464" s="4" t="b">
        <f>IFERROR(__xludf.DUMMYFUNCTION("""COMPUTED_VALUE"""),FALSE)</f>
        <v>0</v>
      </c>
      <c r="I464" s="4">
        <f>IFERROR(__xludf.DUMMYFUNCTION("""COMPUTED_VALUE"""),0.24646185185185185)</f>
        <v>0.2464618519</v>
      </c>
      <c r="J464" s="4">
        <f>IFERROR(__xludf.DUMMYFUNCTION("""COMPUTED_VALUE"""),45949.263245501934)</f>
        <v>45949.26325</v>
      </c>
      <c r="K464" s="4">
        <f>IFERROR(__xludf.DUMMYFUNCTION("""COMPUTED_VALUE"""),45949.30146098518)</f>
        <v>45949.30146</v>
      </c>
      <c r="L464" s="4">
        <f>IFERROR(__xludf.DUMMYFUNCTION("""COMPUTED_VALUE"""),45949.3125922472)</f>
        <v>45949.31259</v>
      </c>
      <c r="M464" s="1" t="str">
        <f>IFERROR(__xludf.DUMMYFUNCTION("""COMPUTED_VALUE"""),"RFID")</f>
        <v>RFID</v>
      </c>
      <c r="N464" s="5">
        <f>IFERROR(__xludf.DUMMYFUNCTION("""COMPUTED_VALUE"""),0.006713458333333333)</f>
        <v>0.006713458333</v>
      </c>
      <c r="O464" s="5">
        <f>IFERROR(__xludf.DUMMYFUNCTION("""COMPUTED_VALUE"""),0.015286194444444446)</f>
        <v>0.01528619444</v>
      </c>
      <c r="P464" s="5">
        <f>IFERROR(__xludf.DUMMYFUNCTION("""COMPUTED_VALUE"""),0.004580766263819365)</f>
        <v>0.004580766264</v>
      </c>
      <c r="Q464" s="5">
        <f>IFERROR(__xludf.DUMMYFUNCTION("""COMPUTED_VALUE"""),0.006613039351851852)</f>
        <v>0.006613039352</v>
      </c>
      <c r="R464" s="4">
        <f>IFERROR(__xludf.DUMMYFUNCTION("""COMPUTED_VALUE"""),45949.06613039535)</f>
        <v>45949.06613</v>
      </c>
      <c r="S464" s="1" t="b">
        <f>IFERROR(__xludf.DUMMYFUNCTION("""COMPUTED_VALUE"""),TRUE)</f>
        <v>1</v>
      </c>
      <c r="T464" s="1" t="b">
        <f>IFERROR(__xludf.DUMMYFUNCTION("""COMPUTED_VALUE"""),FALSE)</f>
        <v>0</v>
      </c>
      <c r="U464" s="1" t="str">
        <f>IFERROR(__xludf.DUMMYFUNCTION("""COMPUTED_VALUE"""),"VALID")</f>
        <v>VALID</v>
      </c>
      <c r="V464" s="1">
        <f>IFERROR(__xludf.DUMMYFUNCTION("""COMPUTED_VALUE"""),574.0)</f>
        <v>574</v>
      </c>
      <c r="W464" s="1">
        <f>IFERROR(__xludf.DUMMYFUNCTION("""COMPUTED_VALUE"""),713.0)</f>
        <v>713</v>
      </c>
      <c r="X464" s="1">
        <f>IFERROR(__xludf.DUMMYFUNCTION("""COMPUTED_VALUE"""),1651.0)</f>
        <v>1651</v>
      </c>
      <c r="Y464" s="2"/>
      <c r="Z464" s="2"/>
    </row>
    <row r="465">
      <c r="A465" s="1">
        <f>IFERROR(__xludf.DUMMYFUNCTION("""COMPUTED_VALUE"""),464.0)</f>
        <v>464</v>
      </c>
      <c r="B465" s="1">
        <f>IFERROR(__xludf.DUMMYFUNCTION("""COMPUTED_VALUE"""),10318.0)</f>
        <v>10318</v>
      </c>
      <c r="C465" s="2" t="str">
        <f>IFERROR(__xludf.DUMMYFUNCTION("""COMPUTED_VALUE"""),"AFRI")</f>
        <v>AFRI</v>
      </c>
      <c r="D465" s="2" t="str">
        <f>IFERROR(__xludf.DUMMYFUNCTION("""COMPUTED_VALUE"""),"10KM OVERALL M")</f>
        <v>10KM OVERALL M</v>
      </c>
      <c r="E465" s="1">
        <f>IFERROR(__xludf.DUMMYFUNCTION("""COMPUTED_VALUE"""),1.0)</f>
        <v>1</v>
      </c>
      <c r="F465" s="1" t="str">
        <f>IFERROR(__xludf.DUMMYFUNCTION("""COMPUTED_VALUE"""),"Male")</f>
        <v>Male</v>
      </c>
      <c r="G465" s="4" t="str">
        <f>IFERROR(__xludf.DUMMYFUNCTION("""COMPUTED_VALUE"""),"")</f>
        <v/>
      </c>
      <c r="H465" s="4" t="b">
        <f>IFERROR(__xludf.DUMMYFUNCTION("""COMPUTED_VALUE"""),TRUE)</f>
        <v>1</v>
      </c>
      <c r="I465" s="4">
        <f>IFERROR(__xludf.DUMMYFUNCTION("""COMPUTED_VALUE"""),0.24646185185185185)</f>
        <v>0.2464618519</v>
      </c>
      <c r="J465" s="4">
        <f>IFERROR(__xludf.DUMMYFUNCTION("""COMPUTED_VALUE"""),45949.25762747738)</f>
        <v>45949.25763</v>
      </c>
      <c r="K465" s="4">
        <f>IFERROR(__xludf.DUMMYFUNCTION("""COMPUTED_VALUE"""),45949.290912354656)</f>
        <v>45949.29091</v>
      </c>
      <c r="L465" s="4">
        <f>IFERROR(__xludf.DUMMYFUNCTION("""COMPUTED_VALUE"""),45949.30076540941)</f>
        <v>45949.30077</v>
      </c>
      <c r="M465" s="1" t="str">
        <f>IFERROR(__xludf.DUMMYFUNCTION("""COMPUTED_VALUE"""),"RFID")</f>
        <v>RFID</v>
      </c>
      <c r="N465" s="5">
        <f>IFERROR(__xludf.DUMMYFUNCTION("""COMPUTED_VALUE"""),0.00446625)</f>
        <v>0.00446625</v>
      </c>
      <c r="O465" s="5">
        <f>IFERROR(__xludf.DUMMYFUNCTION("""COMPUTED_VALUE"""),0.013313949074074075)</f>
        <v>0.01331394907</v>
      </c>
      <c r="P465" s="5">
        <f>IFERROR(__xludf.DUMMYFUNCTION("""COMPUTED_VALUE"""),0.0040547550431215065)</f>
        <v>0.004054755043</v>
      </c>
      <c r="Q465" s="5">
        <f>IFERROR(__xludf.DUMMYFUNCTION("""COMPUTED_VALUE"""),0.005430355324074074)</f>
        <v>0.005430355324</v>
      </c>
      <c r="R465" s="4">
        <f>IFERROR(__xludf.DUMMYFUNCTION("""COMPUTED_VALUE"""),45949.05430355756)</f>
        <v>45949.0543</v>
      </c>
      <c r="S465" s="1" t="b">
        <f>IFERROR(__xludf.DUMMYFUNCTION("""COMPUTED_VALUE"""),TRUE)</f>
        <v>1</v>
      </c>
      <c r="T465" s="1" t="b">
        <f>IFERROR(__xludf.DUMMYFUNCTION("""COMPUTED_VALUE"""),FALSE)</f>
        <v>0</v>
      </c>
      <c r="U465" s="1" t="str">
        <f>IFERROR(__xludf.DUMMYFUNCTION("""COMPUTED_VALUE"""),"VALID")</f>
        <v>VALID</v>
      </c>
      <c r="V465" s="1">
        <f>IFERROR(__xludf.DUMMYFUNCTION("""COMPUTED_VALUE"""),443.0)</f>
        <v>443</v>
      </c>
      <c r="W465" s="1">
        <f>IFERROR(__xludf.DUMMYFUNCTION("""COMPUTED_VALUE"""),526.0)</f>
        <v>526</v>
      </c>
      <c r="X465" s="1">
        <f>IFERROR(__xludf.DUMMYFUNCTION("""COMPUTED_VALUE"""),1504.0)</f>
        <v>1504</v>
      </c>
      <c r="Y465" s="2"/>
      <c r="Z465" s="2"/>
    </row>
    <row r="466">
      <c r="A466" s="1">
        <f>IFERROR(__xludf.DUMMYFUNCTION("""COMPUTED_VALUE"""),465.0)</f>
        <v>465</v>
      </c>
      <c r="B466" s="1">
        <f>IFERROR(__xludf.DUMMYFUNCTION("""COMPUTED_VALUE"""),10319.0)</f>
        <v>10319</v>
      </c>
      <c r="C466" s="2" t="str">
        <f>IFERROR(__xludf.DUMMYFUNCTION("""COMPUTED_VALUE"""),"NAO")</f>
        <v>NAO</v>
      </c>
      <c r="D466" s="2" t="str">
        <f>IFERROR(__xludf.DUMMYFUNCTION("""COMPUTED_VALUE"""),"10KM OVERALL M")</f>
        <v>10KM OVERALL M</v>
      </c>
      <c r="E466" s="1">
        <f>IFERROR(__xludf.DUMMYFUNCTION("""COMPUTED_VALUE"""),1.0)</f>
        <v>1</v>
      </c>
      <c r="F466" s="1" t="str">
        <f>IFERROR(__xludf.DUMMYFUNCTION("""COMPUTED_VALUE"""),"Male")</f>
        <v>Male</v>
      </c>
      <c r="G466" s="4" t="b">
        <f>IFERROR(__xludf.DUMMYFUNCTION("""COMPUTED_VALUE"""),TRUE)</f>
        <v>1</v>
      </c>
      <c r="H466" s="4" t="b">
        <f>IFERROR(__xludf.DUMMYFUNCTION("""COMPUTED_VALUE"""),TRUE)</f>
        <v>1</v>
      </c>
      <c r="I466" s="4">
        <f>IFERROR(__xludf.DUMMYFUNCTION("""COMPUTED_VALUE"""),0.24646185185185185)</f>
        <v>0.2464618519</v>
      </c>
      <c r="J466" s="4">
        <f>IFERROR(__xludf.DUMMYFUNCTION("""COMPUTED_VALUE"""),45949.25841909955)</f>
        <v>45949.25842</v>
      </c>
      <c r="K466" s="4">
        <f>IFERROR(__xludf.DUMMYFUNCTION("""COMPUTED_VALUE"""),45949.28852671555)</f>
        <v>45949.28853</v>
      </c>
      <c r="L466" s="4">
        <f>IFERROR(__xludf.DUMMYFUNCTION("""COMPUTED_VALUE"""),45949.29697727002)</f>
        <v>45949.29698</v>
      </c>
      <c r="M466" s="1" t="str">
        <f>IFERROR(__xludf.DUMMYFUNCTION("""COMPUTED_VALUE"""),"RFID")</f>
        <v>RFID</v>
      </c>
      <c r="N466" s="5">
        <f>IFERROR(__xludf.DUMMYFUNCTION("""COMPUTED_VALUE"""),0.004782898148148148)</f>
        <v>0.004782898148</v>
      </c>
      <c r="O466" s="5">
        <f>IFERROR(__xludf.DUMMYFUNCTION("""COMPUTED_VALUE"""),0.012043046296296295)</f>
        <v>0.0120430463</v>
      </c>
      <c r="P466" s="5">
        <f>IFERROR(__xludf.DUMMYFUNCTION("""COMPUTED_VALUE"""),0.0034775944332517453)</f>
        <v>0.003477594433</v>
      </c>
      <c r="Q466" s="5">
        <f>IFERROR(__xludf.DUMMYFUNCTION("""COMPUTED_VALUE"""),0.005051541666666667)</f>
        <v>0.005051541667</v>
      </c>
      <c r="R466" s="4">
        <f>IFERROR(__xludf.DUMMYFUNCTION("""COMPUTED_VALUE"""),45949.050515418174)</f>
        <v>45949.05052</v>
      </c>
      <c r="S466" s="1" t="b">
        <f>IFERROR(__xludf.DUMMYFUNCTION("""COMPUTED_VALUE"""),TRUE)</f>
        <v>1</v>
      </c>
      <c r="T466" s="1" t="b">
        <f>IFERROR(__xludf.DUMMYFUNCTION("""COMPUTED_VALUE"""),FALSE)</f>
        <v>0</v>
      </c>
      <c r="U466" s="1" t="str">
        <f>IFERROR(__xludf.DUMMYFUNCTION("""COMPUTED_VALUE"""),"VALID")</f>
        <v>VALID</v>
      </c>
      <c r="V466" s="1">
        <f>IFERROR(__xludf.DUMMYFUNCTION("""COMPUTED_VALUE"""),354.0)</f>
        <v>354</v>
      </c>
      <c r="W466" s="1">
        <f>IFERROR(__xludf.DUMMYFUNCTION("""COMPUTED_VALUE"""),418.0)</f>
        <v>418</v>
      </c>
      <c r="X466" s="1">
        <f>IFERROR(__xludf.DUMMYFUNCTION("""COMPUTED_VALUE"""),1398.0)</f>
        <v>1398</v>
      </c>
      <c r="Y466" s="2"/>
      <c r="Z466" s="2"/>
    </row>
    <row r="467">
      <c r="A467" s="1">
        <f>IFERROR(__xludf.DUMMYFUNCTION("""COMPUTED_VALUE"""),466.0)</f>
        <v>466</v>
      </c>
      <c r="B467" s="1">
        <f>IFERROR(__xludf.DUMMYFUNCTION("""COMPUTED_VALUE"""),10320.0)</f>
        <v>10320</v>
      </c>
      <c r="C467" s="2" t="str">
        <f>IFERROR(__xludf.DUMMYFUNCTION("""COMPUTED_VALUE"""),"NICOLLLL")</f>
        <v>NICOLLLL</v>
      </c>
      <c r="D467" s="2" t="str">
        <f>IFERROR(__xludf.DUMMYFUNCTION("""COMPUTED_VALUE"""),"10KM OVERALL M")</f>
        <v>10KM OVERALL M</v>
      </c>
      <c r="E467" s="1">
        <f>IFERROR(__xludf.DUMMYFUNCTION("""COMPUTED_VALUE"""),1.0)</f>
        <v>1</v>
      </c>
      <c r="F467" s="1" t="str">
        <f>IFERROR(__xludf.DUMMYFUNCTION("""COMPUTED_VALUE"""),"Male")</f>
        <v>Male</v>
      </c>
      <c r="G467" s="4" t="b">
        <f>IFERROR(__xludf.DUMMYFUNCTION("""COMPUTED_VALUE"""),TRUE)</f>
        <v>1</v>
      </c>
      <c r="H467" s="4" t="b">
        <f>IFERROR(__xludf.DUMMYFUNCTION("""COMPUTED_VALUE"""),FALSE)</f>
        <v>0</v>
      </c>
      <c r="I467" s="4">
        <f>IFERROR(__xludf.DUMMYFUNCTION("""COMPUTED_VALUE"""),0.24646185185185185)</f>
        <v>0.2464618519</v>
      </c>
      <c r="J467" s="4">
        <f>IFERROR(__xludf.DUMMYFUNCTION("""COMPUTED_VALUE"""),45949.259384397024)</f>
        <v>45949.25938</v>
      </c>
      <c r="K467" s="4">
        <f>IFERROR(__xludf.DUMMYFUNCTION("""COMPUTED_VALUE"""),45949.291686617726)</f>
        <v>45949.29169</v>
      </c>
      <c r="L467" s="4" t="str">
        <f>IFERROR(__xludf.DUMMYFUNCTION("""COMPUTED_VALUE"""),"")</f>
        <v/>
      </c>
      <c r="M467" s="1" t="str">
        <f>IFERROR(__xludf.DUMMYFUNCTION("""COMPUTED_VALUE"""),"RFID")</f>
        <v>RFID</v>
      </c>
      <c r="N467" s="5">
        <f>IFERROR(__xludf.DUMMYFUNCTION("""COMPUTED_VALUE"""),0.005169018518518519)</f>
        <v>0.005169018519</v>
      </c>
      <c r="O467" s="5">
        <f>IFERROR(__xludf.DUMMYFUNCTION("""COMPUTED_VALUE"""),0.012920888888888888)</f>
        <v>0.01292088889</v>
      </c>
      <c r="P467" s="5" t="str">
        <f>IFERROR(__xludf.DUMMYFUNCTION("""COMPUTED_VALUE"""),"")</f>
        <v/>
      </c>
      <c r="Q467" s="5" t="str">
        <f>IFERROR(__xludf.DUMMYFUNCTION("""COMPUTED_VALUE"""),"")</f>
        <v/>
      </c>
      <c r="R467" s="4" t="str">
        <f>IFERROR(__xludf.DUMMYFUNCTION("""COMPUTED_VALUE"""),"")</f>
        <v/>
      </c>
      <c r="S467" s="1" t="b">
        <f>IFERROR(__xludf.DUMMYFUNCTION("""COMPUTED_VALUE"""),TRUE)</f>
        <v>1</v>
      </c>
      <c r="T467" s="1" t="b">
        <f>IFERROR(__xludf.DUMMYFUNCTION("""COMPUTED_VALUE"""),FALSE)</f>
        <v>0</v>
      </c>
      <c r="U467" s="1" t="str">
        <f>IFERROR(__xludf.DUMMYFUNCTION("""COMPUTED_VALUE"""),"DNF")</f>
        <v>DNF</v>
      </c>
      <c r="V467" s="1" t="str">
        <f>IFERROR(__xludf.DUMMYFUNCTION("""COMPUTED_VALUE"""),"DNF")</f>
        <v>DNF</v>
      </c>
      <c r="W467" s="1" t="str">
        <f>IFERROR(__xludf.DUMMYFUNCTION("""COMPUTED_VALUE"""),"DNF")</f>
        <v>DNF</v>
      </c>
      <c r="X467" s="1" t="str">
        <f>IFERROR(__xludf.DUMMYFUNCTION("""COMPUTED_VALUE"""),"DNF")</f>
        <v>DNF</v>
      </c>
      <c r="Y467" s="2" t="str">
        <f>IFERROR(__xludf.DUMMYFUNCTION("""COMPUTED_VALUE"""),"tidak terlihat di finish")</f>
        <v>tidak terlihat di finish</v>
      </c>
      <c r="Z467" s="2"/>
    </row>
    <row r="468">
      <c r="A468" s="1">
        <f>IFERROR(__xludf.DUMMYFUNCTION("""COMPUTED_VALUE"""),467.0)</f>
        <v>467</v>
      </c>
      <c r="B468" s="1">
        <f>IFERROR(__xludf.DUMMYFUNCTION("""COMPUTED_VALUE"""),10321.0)</f>
        <v>10321</v>
      </c>
      <c r="C468" s="2" t="str">
        <f>IFERROR(__xludf.DUMMYFUNCTION("""COMPUTED_VALUE"""),"Dony Irawan")</f>
        <v>Dony Irawan</v>
      </c>
      <c r="D468" s="2" t="str">
        <f>IFERROR(__xludf.DUMMYFUNCTION("""COMPUTED_VALUE"""),"10KM OVERALL M")</f>
        <v>10KM OVERALL M</v>
      </c>
      <c r="E468" s="1">
        <f>IFERROR(__xludf.DUMMYFUNCTION("""COMPUTED_VALUE"""),1.0)</f>
        <v>1</v>
      </c>
      <c r="F468" s="1" t="str">
        <f>IFERROR(__xludf.DUMMYFUNCTION("""COMPUTED_VALUE"""),"Male")</f>
        <v>Male</v>
      </c>
      <c r="G468" s="4" t="b">
        <f>IFERROR(__xludf.DUMMYFUNCTION("""COMPUTED_VALUE"""),TRUE)</f>
        <v>1</v>
      </c>
      <c r="H468" s="4" t="b">
        <f>IFERROR(__xludf.DUMMYFUNCTION("""COMPUTED_VALUE"""),TRUE)</f>
        <v>1</v>
      </c>
      <c r="I468" s="4">
        <f>IFERROR(__xludf.DUMMYFUNCTION("""COMPUTED_VALUE"""),0.24646185185185185)</f>
        <v>0.2464618519</v>
      </c>
      <c r="J468" s="4">
        <f>IFERROR(__xludf.DUMMYFUNCTION("""COMPUTED_VALUE"""),45949.25662473547)</f>
        <v>45949.25662</v>
      </c>
      <c r="K468" s="4">
        <f>IFERROR(__xludf.DUMMYFUNCTION("""COMPUTED_VALUE"""),45949.285849814005)</f>
        <v>45949.28585</v>
      </c>
      <c r="L468" s="4">
        <f>IFERROR(__xludf.DUMMYFUNCTION("""COMPUTED_VALUE"""),45949.2941994917)</f>
        <v>45949.2942</v>
      </c>
      <c r="M468" s="1" t="str">
        <f>IFERROR(__xludf.DUMMYFUNCTION("""COMPUTED_VALUE"""),"RFID")</f>
        <v>RFID</v>
      </c>
      <c r="N468" s="5">
        <f>IFERROR(__xludf.DUMMYFUNCTION("""COMPUTED_VALUE"""),0.004065152777777778)</f>
        <v>0.004065152778</v>
      </c>
      <c r="O468" s="5">
        <f>IFERROR(__xludf.DUMMYFUNCTION("""COMPUTED_VALUE"""),0.011690032407407408)</f>
        <v>0.01169003241</v>
      </c>
      <c r="P468" s="5">
        <f>IFERROR(__xludf.DUMMYFUNCTION("""COMPUTED_VALUE"""),0.0034360813552804996)</f>
        <v>0.003436081355</v>
      </c>
      <c r="Q468" s="5">
        <f>IFERROR(__xludf.DUMMYFUNCTION("""COMPUTED_VALUE"""),0.004773763888888889)</f>
        <v>0.004773763889</v>
      </c>
      <c r="R468" s="4">
        <f>IFERROR(__xludf.DUMMYFUNCTION("""COMPUTED_VALUE"""),45949.04773763985)</f>
        <v>45949.04774</v>
      </c>
      <c r="S468" s="1" t="b">
        <f>IFERROR(__xludf.DUMMYFUNCTION("""COMPUTED_VALUE"""),TRUE)</f>
        <v>1</v>
      </c>
      <c r="T468" s="1" t="b">
        <f>IFERROR(__xludf.DUMMYFUNCTION("""COMPUTED_VALUE"""),FALSE)</f>
        <v>0</v>
      </c>
      <c r="U468" s="1" t="str">
        <f>IFERROR(__xludf.DUMMYFUNCTION("""COMPUTED_VALUE"""),"VALID")</f>
        <v>VALID</v>
      </c>
      <c r="V468" s="1">
        <f>IFERROR(__xludf.DUMMYFUNCTION("""COMPUTED_VALUE"""),282.0)</f>
        <v>282</v>
      </c>
      <c r="W468" s="1">
        <f>IFERROR(__xludf.DUMMYFUNCTION("""COMPUTED_VALUE"""),334.0)</f>
        <v>334</v>
      </c>
      <c r="X468" s="1">
        <f>IFERROR(__xludf.DUMMYFUNCTION("""COMPUTED_VALUE"""),1296.0)</f>
        <v>1296</v>
      </c>
      <c r="Y468" s="2"/>
      <c r="Z468" s="2"/>
    </row>
    <row r="469">
      <c r="A469" s="1">
        <f>IFERROR(__xludf.DUMMYFUNCTION("""COMPUTED_VALUE"""),468.0)</f>
        <v>468</v>
      </c>
      <c r="B469" s="1">
        <f>IFERROR(__xludf.DUMMYFUNCTION("""COMPUTED_VALUE"""),10322.0)</f>
        <v>10322</v>
      </c>
      <c r="C469" s="2" t="str">
        <f>IFERROR(__xludf.DUMMYFUNCTION("""COMPUTED_VALUE"""),"M. Amin Badali")</f>
        <v>M. Amin Badali</v>
      </c>
      <c r="D469" s="2" t="str">
        <f>IFERROR(__xludf.DUMMYFUNCTION("""COMPUTED_VALUE"""),"10KM OVERALL M")</f>
        <v>10KM OVERALL M</v>
      </c>
      <c r="E469" s="1">
        <f>IFERROR(__xludf.DUMMYFUNCTION("""COMPUTED_VALUE"""),1.0)</f>
        <v>1</v>
      </c>
      <c r="F469" s="1" t="str">
        <f>IFERROR(__xludf.DUMMYFUNCTION("""COMPUTED_VALUE"""),"Male")</f>
        <v>Male</v>
      </c>
      <c r="G469" s="4" t="b">
        <f>IFERROR(__xludf.DUMMYFUNCTION("""COMPUTED_VALUE"""),TRUE)</f>
        <v>1</v>
      </c>
      <c r="H469" s="4" t="b">
        <f>IFERROR(__xludf.DUMMYFUNCTION("""COMPUTED_VALUE"""),TRUE)</f>
        <v>1</v>
      </c>
      <c r="I469" s="4">
        <f>IFERROR(__xludf.DUMMYFUNCTION("""COMPUTED_VALUE"""),0.24646185185185185)</f>
        <v>0.2464618519</v>
      </c>
      <c r="J469" s="4">
        <f>IFERROR(__xludf.DUMMYFUNCTION("""COMPUTED_VALUE"""),45949.26151308237)</f>
        <v>45949.26151</v>
      </c>
      <c r="K469" s="4">
        <f>IFERROR(__xludf.DUMMYFUNCTION("""COMPUTED_VALUE"""),45949.295724868665)</f>
        <v>45949.29572</v>
      </c>
      <c r="L469" s="4">
        <f>IFERROR(__xludf.DUMMYFUNCTION("""COMPUTED_VALUE"""),45949.30695989918)</f>
        <v>45949.30696</v>
      </c>
      <c r="M469" s="1" t="str">
        <f>IFERROR(__xludf.DUMMYFUNCTION("""COMPUTED_VALUE"""),"RFID")</f>
        <v>RFID</v>
      </c>
      <c r="N469" s="5">
        <f>IFERROR(__xludf.DUMMYFUNCTION("""COMPUTED_VALUE"""),0.00602049074074074)</f>
        <v>0.006020490741</v>
      </c>
      <c r="O469" s="5">
        <f>IFERROR(__xludf.DUMMYFUNCTION("""COMPUTED_VALUE"""),0.013684712962962964)</f>
        <v>0.01368471296</v>
      </c>
      <c r="P469" s="5">
        <f>IFERROR(__xludf.DUMMYFUNCTION("""COMPUTED_VALUE"""),0.004623469347115069)</f>
        <v>0.004623469347</v>
      </c>
      <c r="Q469" s="5">
        <f>IFERROR(__xludf.DUMMYFUNCTION("""COMPUTED_VALUE"""),0.006049804398148148)</f>
        <v>0.006049804398</v>
      </c>
      <c r="R469" s="4">
        <f>IFERROR(__xludf.DUMMYFUNCTION("""COMPUTED_VALUE"""),45949.06049804733)</f>
        <v>45949.0605</v>
      </c>
      <c r="S469" s="1" t="b">
        <f>IFERROR(__xludf.DUMMYFUNCTION("""COMPUTED_VALUE"""),TRUE)</f>
        <v>1</v>
      </c>
      <c r="T469" s="1" t="b">
        <f>IFERROR(__xludf.DUMMYFUNCTION("""COMPUTED_VALUE"""),FALSE)</f>
        <v>0</v>
      </c>
      <c r="U469" s="1" t="str">
        <f>IFERROR(__xludf.DUMMYFUNCTION("""COMPUTED_VALUE"""),"VALID")</f>
        <v>VALID</v>
      </c>
      <c r="V469" s="1">
        <f>IFERROR(__xludf.DUMMYFUNCTION("""COMPUTED_VALUE"""),535.0)</f>
        <v>535</v>
      </c>
      <c r="W469" s="1">
        <f>IFERROR(__xludf.DUMMYFUNCTION("""COMPUTED_VALUE"""),658.0)</f>
        <v>658</v>
      </c>
      <c r="X469" s="1">
        <f>IFERROR(__xludf.DUMMYFUNCTION("""COMPUTED_VALUE"""),1609.0)</f>
        <v>1609</v>
      </c>
      <c r="Y469" s="2"/>
      <c r="Z469" s="2"/>
    </row>
    <row r="470">
      <c r="A470" s="1">
        <f>IFERROR(__xludf.DUMMYFUNCTION("""COMPUTED_VALUE"""),469.0)</f>
        <v>469</v>
      </c>
      <c r="B470" s="1">
        <f>IFERROR(__xludf.DUMMYFUNCTION("""COMPUTED_VALUE"""),10323.0)</f>
        <v>10323</v>
      </c>
      <c r="C470" s="2" t="str">
        <f>IFERROR(__xludf.DUMMYFUNCTION("""COMPUTED_VALUE"""),"Jasli")</f>
        <v>Jasli</v>
      </c>
      <c r="D470" s="2" t="str">
        <f>IFERROR(__xludf.DUMMYFUNCTION("""COMPUTED_VALUE"""),"10KM OVERALL M")</f>
        <v>10KM OVERALL M</v>
      </c>
      <c r="E470" s="1">
        <f>IFERROR(__xludf.DUMMYFUNCTION("""COMPUTED_VALUE"""),1.0)</f>
        <v>1</v>
      </c>
      <c r="F470" s="1" t="str">
        <f>IFERROR(__xludf.DUMMYFUNCTION("""COMPUTED_VALUE"""),"Male")</f>
        <v>Male</v>
      </c>
      <c r="G470" s="4" t="b">
        <f>IFERROR(__xludf.DUMMYFUNCTION("""COMPUTED_VALUE"""),TRUE)</f>
        <v>1</v>
      </c>
      <c r="H470" s="4" t="b">
        <f>IFERROR(__xludf.DUMMYFUNCTION("""COMPUTED_VALUE"""),FALSE)</f>
        <v>0</v>
      </c>
      <c r="I470" s="4">
        <f>IFERROR(__xludf.DUMMYFUNCTION("""COMPUTED_VALUE"""),0.24646185185185185)</f>
        <v>0.2464618519</v>
      </c>
      <c r="J470" s="4">
        <f>IFERROR(__xludf.DUMMYFUNCTION("""COMPUTED_VALUE"""),45949.25268298964)</f>
        <v>45949.25268</v>
      </c>
      <c r="K470" s="4">
        <f>IFERROR(__xludf.DUMMYFUNCTION("""COMPUTED_VALUE"""),45949.26971927725)</f>
        <v>45949.26972</v>
      </c>
      <c r="L470" s="4">
        <f>IFERROR(__xludf.DUMMYFUNCTION("""COMPUTED_VALUE"""),45949.274935821995)</f>
        <v>45949.27494</v>
      </c>
      <c r="M470" s="1" t="str">
        <f>IFERROR(__xludf.DUMMYFUNCTION("""COMPUTED_VALUE"""),"RFID")</f>
        <v>RFID</v>
      </c>
      <c r="N470" s="5">
        <f>IFERROR(__xludf.DUMMYFUNCTION("""COMPUTED_VALUE"""),0.0024884537037037037)</f>
        <v>0.002488453704</v>
      </c>
      <c r="O470" s="5">
        <f>IFERROR(__xludf.DUMMYFUNCTION("""COMPUTED_VALUE"""),0.006814513888888889)</f>
        <v>0.006814513889</v>
      </c>
      <c r="P470" s="5">
        <f>IFERROR(__xludf.DUMMYFUNCTION("""COMPUTED_VALUE"""),0.002146726234029373)</f>
        <v>0.002146726234</v>
      </c>
      <c r="Q470" s="5">
        <f>IFERROR(__xludf.DUMMYFUNCTION("""COMPUTED_VALUE"""),0.0028473969907407406)</f>
        <v>0.002847396991</v>
      </c>
      <c r="R470" s="4">
        <f>IFERROR(__xludf.DUMMYFUNCTION("""COMPUTED_VALUE"""),45949.028473970146)</f>
        <v>45949.02847</v>
      </c>
      <c r="S470" s="1" t="b">
        <f>IFERROR(__xludf.DUMMYFUNCTION("""COMPUTED_VALUE"""),TRUE)</f>
        <v>1</v>
      </c>
      <c r="T470" s="1" t="b">
        <f>IFERROR(__xludf.DUMMYFUNCTION("""COMPUTED_VALUE"""),FALSE)</f>
        <v>0</v>
      </c>
      <c r="U470" s="1" t="str">
        <f>IFERROR(__xludf.DUMMYFUNCTION("""COMPUTED_VALUE"""),"VALID")</f>
        <v>VALID</v>
      </c>
      <c r="V470" s="1">
        <f>IFERROR(__xludf.DUMMYFUNCTION("""COMPUTED_VALUE"""),5.0)</f>
        <v>5</v>
      </c>
      <c r="W470" s="1">
        <f>IFERROR(__xludf.DUMMYFUNCTION("""COMPUTED_VALUE"""),6.0)</f>
        <v>6</v>
      </c>
      <c r="X470" s="1">
        <f>IFERROR(__xludf.DUMMYFUNCTION("""COMPUTED_VALUE"""),399.0)</f>
        <v>399</v>
      </c>
      <c r="Y470" s="2"/>
      <c r="Z470" s="2"/>
    </row>
    <row r="471">
      <c r="A471" s="1">
        <f>IFERROR(__xludf.DUMMYFUNCTION("""COMPUTED_VALUE"""),470.0)</f>
        <v>470</v>
      </c>
      <c r="B471" s="1">
        <f>IFERROR(__xludf.DUMMYFUNCTION("""COMPUTED_VALUE"""),10324.0)</f>
        <v>10324</v>
      </c>
      <c r="C471" s="2" t="str">
        <f>IFERROR(__xludf.DUMMYFUNCTION("""COMPUTED_VALUE"""),"ASSALAMUALAIKUM NS")</f>
        <v>ASSALAMUALAIKUM NS</v>
      </c>
      <c r="D471" s="2" t="str">
        <f>IFERROR(__xludf.DUMMYFUNCTION("""COMPUTED_VALUE"""),"10KM OVERALL M")</f>
        <v>10KM OVERALL M</v>
      </c>
      <c r="E471" s="1">
        <f>IFERROR(__xludf.DUMMYFUNCTION("""COMPUTED_VALUE"""),1.0)</f>
        <v>1</v>
      </c>
      <c r="F471" s="1" t="str">
        <f>IFERROR(__xludf.DUMMYFUNCTION("""COMPUTED_VALUE"""),"Male")</f>
        <v>Male</v>
      </c>
      <c r="G471" s="4" t="b">
        <f>IFERROR(__xludf.DUMMYFUNCTION("""COMPUTED_VALUE"""),TRUE)</f>
        <v>1</v>
      </c>
      <c r="H471" s="4" t="b">
        <f>IFERROR(__xludf.DUMMYFUNCTION("""COMPUTED_VALUE"""),TRUE)</f>
        <v>1</v>
      </c>
      <c r="I471" s="4">
        <f>IFERROR(__xludf.DUMMYFUNCTION("""COMPUTED_VALUE"""),0.24646185185185185)</f>
        <v>0.2464618519</v>
      </c>
      <c r="J471" s="4">
        <f>IFERROR(__xludf.DUMMYFUNCTION("""COMPUTED_VALUE"""),45949.259429476006)</f>
        <v>45949.25943</v>
      </c>
      <c r="K471" s="4">
        <f>IFERROR(__xludf.DUMMYFUNCTION("""COMPUTED_VALUE"""),45949.29357552255)</f>
        <v>45949.29358</v>
      </c>
      <c r="L471" s="4">
        <f>IFERROR(__xludf.DUMMYFUNCTION("""COMPUTED_VALUE"""),45949.3033070622)</f>
        <v>45949.30331</v>
      </c>
      <c r="M471" s="1" t="str">
        <f>IFERROR(__xludf.DUMMYFUNCTION("""COMPUTED_VALUE"""),"RFID")</f>
        <v>RFID</v>
      </c>
      <c r="N471" s="5">
        <f>IFERROR(__xludf.DUMMYFUNCTION("""COMPUTED_VALUE"""),0.0051870509259259266)</f>
        <v>0.005187050926</v>
      </c>
      <c r="O471" s="5">
        <f>IFERROR(__xludf.DUMMYFUNCTION("""COMPUTED_VALUE"""),0.013658416666666668)</f>
        <v>0.01365841667</v>
      </c>
      <c r="P471" s="5">
        <f>IFERROR(__xludf.DUMMYFUNCTION("""COMPUTED_VALUE"""),0.004004748826659641)</f>
        <v>0.004004748827</v>
      </c>
      <c r="Q471" s="5">
        <f>IFERROR(__xludf.DUMMYFUNCTION("""COMPUTED_VALUE"""),0.005684520833333333)</f>
        <v>0.005684520833</v>
      </c>
      <c r="R471" s="4">
        <f>IFERROR(__xludf.DUMMYFUNCTION("""COMPUTED_VALUE"""),45949.05684521035)</f>
        <v>45949.05685</v>
      </c>
      <c r="S471" s="1" t="b">
        <f>IFERROR(__xludf.DUMMYFUNCTION("""COMPUTED_VALUE"""),TRUE)</f>
        <v>1</v>
      </c>
      <c r="T471" s="1" t="b">
        <f>IFERROR(__xludf.DUMMYFUNCTION("""COMPUTED_VALUE"""),FALSE)</f>
        <v>0</v>
      </c>
      <c r="U471" s="1" t="str">
        <f>IFERROR(__xludf.DUMMYFUNCTION("""COMPUTED_VALUE"""),"VALID")</f>
        <v>VALID</v>
      </c>
      <c r="V471" s="1">
        <f>IFERROR(__xludf.DUMMYFUNCTION("""COMPUTED_VALUE"""),497.0)</f>
        <v>497</v>
      </c>
      <c r="W471" s="1">
        <f>IFERROR(__xludf.DUMMYFUNCTION("""COMPUTED_VALUE"""),599.0)</f>
        <v>599</v>
      </c>
      <c r="X471" s="1">
        <f>IFERROR(__xludf.DUMMYFUNCTION("""COMPUTED_VALUE"""),1566.0)</f>
        <v>1566</v>
      </c>
      <c r="Y471" s="2"/>
      <c r="Z471" s="2"/>
    </row>
    <row r="472">
      <c r="A472" s="1">
        <f>IFERROR(__xludf.DUMMYFUNCTION("""COMPUTED_VALUE"""),471.0)</f>
        <v>471</v>
      </c>
      <c r="B472" s="1">
        <f>IFERROR(__xludf.DUMMYFUNCTION("""COMPUTED_VALUE"""),10325.0)</f>
        <v>10325</v>
      </c>
      <c r="C472" s="2" t="str">
        <f>IFERROR(__xludf.DUMMYFUNCTION("""COMPUTED_VALUE"""),"Hamba Allah")</f>
        <v>Hamba Allah</v>
      </c>
      <c r="D472" s="2" t="str">
        <f>IFERROR(__xludf.DUMMYFUNCTION("""COMPUTED_VALUE"""),"10KM OVERALL M")</f>
        <v>10KM OVERALL M</v>
      </c>
      <c r="E472" s="1">
        <f>IFERROR(__xludf.DUMMYFUNCTION("""COMPUTED_VALUE"""),1.0)</f>
        <v>1</v>
      </c>
      <c r="F472" s="1" t="str">
        <f>IFERROR(__xludf.DUMMYFUNCTION("""COMPUTED_VALUE"""),"Male")</f>
        <v>Male</v>
      </c>
      <c r="G472" s="4" t="str">
        <f>IFERROR(__xludf.DUMMYFUNCTION("""COMPUTED_VALUE"""),"")</f>
        <v/>
      </c>
      <c r="H472" s="4" t="b">
        <f>IFERROR(__xludf.DUMMYFUNCTION("""COMPUTED_VALUE"""),TRUE)</f>
        <v>1</v>
      </c>
      <c r="I472" s="4">
        <f>IFERROR(__xludf.DUMMYFUNCTION("""COMPUTED_VALUE"""),0.24646185185185185)</f>
        <v>0.2464618519</v>
      </c>
      <c r="J472" s="4">
        <f>IFERROR(__xludf.DUMMYFUNCTION("""COMPUTED_VALUE"""),45949.26010654877)</f>
        <v>45949.26011</v>
      </c>
      <c r="K472" s="4">
        <f>IFERROR(__xludf.DUMMYFUNCTION("""COMPUTED_VALUE"""),45949.29592659209)</f>
        <v>45949.29593</v>
      </c>
      <c r="L472" s="4">
        <f>IFERROR(__xludf.DUMMYFUNCTION("""COMPUTED_VALUE"""),45949.30596360517)</f>
        <v>45949.30596</v>
      </c>
      <c r="M472" s="1" t="str">
        <f>IFERROR(__xludf.DUMMYFUNCTION("""COMPUTED_VALUE"""),"RFID")</f>
        <v>RFID</v>
      </c>
      <c r="N472" s="5">
        <f>IFERROR(__xludf.DUMMYFUNCTION("""COMPUTED_VALUE"""),0.00545787962962963)</f>
        <v>0.00545787963</v>
      </c>
      <c r="O472" s="5">
        <f>IFERROR(__xludf.DUMMYFUNCTION("""COMPUTED_VALUE"""),0.014328018518518518)</f>
        <v>0.01432801852</v>
      </c>
      <c r="P472" s="5">
        <f>IFERROR(__xludf.DUMMYFUNCTION("""COMPUTED_VALUE"""),0.004130458058511508)</f>
        <v>0.004130458059</v>
      </c>
      <c r="Q472" s="5">
        <f>IFERROR(__xludf.DUMMYFUNCTION("""COMPUTED_VALUE"""),0.005950174768518519)</f>
        <v>0.005950174769</v>
      </c>
      <c r="R472" s="4">
        <f>IFERROR(__xludf.DUMMYFUNCTION("""COMPUTED_VALUE"""),45949.05950175332)</f>
        <v>45949.0595</v>
      </c>
      <c r="S472" s="1" t="b">
        <f>IFERROR(__xludf.DUMMYFUNCTION("""COMPUTED_VALUE"""),TRUE)</f>
        <v>1</v>
      </c>
      <c r="T472" s="1" t="b">
        <f>IFERROR(__xludf.DUMMYFUNCTION("""COMPUTED_VALUE"""),FALSE)</f>
        <v>0</v>
      </c>
      <c r="U472" s="1" t="str">
        <f>IFERROR(__xludf.DUMMYFUNCTION("""COMPUTED_VALUE"""),"VALID")</f>
        <v>VALID</v>
      </c>
      <c r="V472" s="1">
        <f>IFERROR(__xludf.DUMMYFUNCTION("""COMPUTED_VALUE"""),528.0)</f>
        <v>528</v>
      </c>
      <c r="W472" s="1">
        <f>IFERROR(__xludf.DUMMYFUNCTION("""COMPUTED_VALUE"""),645.0)</f>
        <v>645</v>
      </c>
      <c r="X472" s="1">
        <f>IFERROR(__xludf.DUMMYFUNCTION("""COMPUTED_VALUE"""),1603.0)</f>
        <v>1603</v>
      </c>
      <c r="Y472" s="2"/>
      <c r="Z472" s="2"/>
    </row>
    <row r="473">
      <c r="A473" s="1">
        <f>IFERROR(__xludf.DUMMYFUNCTION("""COMPUTED_VALUE"""),472.0)</f>
        <v>472</v>
      </c>
      <c r="B473" s="1">
        <f>IFERROR(__xludf.DUMMYFUNCTION("""COMPUTED_VALUE"""),10326.0)</f>
        <v>10326</v>
      </c>
      <c r="C473" s="2" t="str">
        <f>IFERROR(__xludf.DUMMYFUNCTION("""COMPUTED_VALUE"""),"Zainalll")</f>
        <v>Zainalll</v>
      </c>
      <c r="D473" s="2" t="str">
        <f>IFERROR(__xludf.DUMMYFUNCTION("""COMPUTED_VALUE"""),"10KM OVERALL M")</f>
        <v>10KM OVERALL M</v>
      </c>
      <c r="E473" s="1">
        <f>IFERROR(__xludf.DUMMYFUNCTION("""COMPUTED_VALUE"""),1.0)</f>
        <v>1</v>
      </c>
      <c r="F473" s="1" t="str">
        <f>IFERROR(__xludf.DUMMYFUNCTION("""COMPUTED_VALUE"""),"Male")</f>
        <v>Male</v>
      </c>
      <c r="G473" s="4" t="b">
        <f>IFERROR(__xludf.DUMMYFUNCTION("""COMPUTED_VALUE"""),TRUE)</f>
        <v>1</v>
      </c>
      <c r="H473" s="4" t="b">
        <f>IFERROR(__xludf.DUMMYFUNCTION("""COMPUTED_VALUE"""),FALSE)</f>
        <v>0</v>
      </c>
      <c r="I473" s="4">
        <f>IFERROR(__xludf.DUMMYFUNCTION("""COMPUTED_VALUE"""),0.24646185185185185)</f>
        <v>0.2464618519</v>
      </c>
      <c r="J473" s="4">
        <f>IFERROR(__xludf.DUMMYFUNCTION("""COMPUTED_VALUE"""),45949.25819688639)</f>
        <v>45949.2582</v>
      </c>
      <c r="K473" s="4">
        <f>IFERROR(__xludf.DUMMYFUNCTION("""COMPUTED_VALUE"""),45949.28809271896)</f>
        <v>45949.28809</v>
      </c>
      <c r="L473" s="4">
        <f>IFERROR(__xludf.DUMMYFUNCTION("""COMPUTED_VALUE"""),45949.297487678654)</f>
        <v>45949.29749</v>
      </c>
      <c r="M473" s="1" t="str">
        <f>IFERROR(__xludf.DUMMYFUNCTION("""COMPUTED_VALUE"""),"RFID")</f>
        <v>RFID</v>
      </c>
      <c r="N473" s="5">
        <f>IFERROR(__xludf.DUMMYFUNCTION("""COMPUTED_VALUE"""),0.004694013888888889)</f>
        <v>0.004694013889</v>
      </c>
      <c r="O473" s="5">
        <f>IFERROR(__xludf.DUMMYFUNCTION("""COMPUTED_VALUE"""),0.011958333333333333)</f>
        <v>0.01195833333</v>
      </c>
      <c r="P473" s="5">
        <f>IFERROR(__xludf.DUMMYFUNCTION("""COMPUTED_VALUE"""),0.003866238556438175)</f>
        <v>0.003866238556</v>
      </c>
      <c r="Q473" s="5">
        <f>IFERROR(__xludf.DUMMYFUNCTION("""COMPUTED_VALUE"""),0.005102582175925926)</f>
        <v>0.005102582176</v>
      </c>
      <c r="R473" s="4">
        <f>IFERROR(__xludf.DUMMYFUNCTION("""COMPUTED_VALUE"""),45949.051025826804)</f>
        <v>45949.05103</v>
      </c>
      <c r="S473" s="1" t="b">
        <f>IFERROR(__xludf.DUMMYFUNCTION("""COMPUTED_VALUE"""),TRUE)</f>
        <v>1</v>
      </c>
      <c r="T473" s="1" t="b">
        <f>IFERROR(__xludf.DUMMYFUNCTION("""COMPUTED_VALUE"""),FALSE)</f>
        <v>0</v>
      </c>
      <c r="U473" s="1" t="str">
        <f>IFERROR(__xludf.DUMMYFUNCTION("""COMPUTED_VALUE"""),"VALID")</f>
        <v>VALID</v>
      </c>
      <c r="V473" s="1">
        <f>IFERROR(__xludf.DUMMYFUNCTION("""COMPUTED_VALUE"""),368.0)</f>
        <v>368</v>
      </c>
      <c r="W473" s="1">
        <f>IFERROR(__xludf.DUMMYFUNCTION("""COMPUTED_VALUE"""),436.0)</f>
        <v>436</v>
      </c>
      <c r="X473" s="1">
        <f>IFERROR(__xludf.DUMMYFUNCTION("""COMPUTED_VALUE"""),1415.0)</f>
        <v>1415</v>
      </c>
      <c r="Y473" s="2"/>
      <c r="Z473" s="2"/>
    </row>
    <row r="474">
      <c r="A474" s="1">
        <f>IFERROR(__xludf.DUMMYFUNCTION("""COMPUTED_VALUE"""),473.0)</f>
        <v>473</v>
      </c>
      <c r="B474" s="1">
        <f>IFERROR(__xludf.DUMMYFUNCTION("""COMPUTED_VALUE"""),10329.0)</f>
        <v>10329</v>
      </c>
      <c r="C474" s="2" t="str">
        <f>IFERROR(__xludf.DUMMYFUNCTION("""COMPUTED_VALUE"""),"Fajar Agung")</f>
        <v>Fajar Agung</v>
      </c>
      <c r="D474" s="2" t="str">
        <f>IFERROR(__xludf.DUMMYFUNCTION("""COMPUTED_VALUE"""),"10KM OVERALL M")</f>
        <v>10KM OVERALL M</v>
      </c>
      <c r="E474" s="1">
        <f>IFERROR(__xludf.DUMMYFUNCTION("""COMPUTED_VALUE"""),1.0)</f>
        <v>1</v>
      </c>
      <c r="F474" s="1" t="str">
        <f>IFERROR(__xludf.DUMMYFUNCTION("""COMPUTED_VALUE"""),"Male")</f>
        <v>Male</v>
      </c>
      <c r="G474" s="4" t="b">
        <f>IFERROR(__xludf.DUMMYFUNCTION("""COMPUTED_VALUE"""),TRUE)</f>
        <v>1</v>
      </c>
      <c r="H474" s="4" t="b">
        <f>IFERROR(__xludf.DUMMYFUNCTION("""COMPUTED_VALUE"""),TRUE)</f>
        <v>1</v>
      </c>
      <c r="I474" s="4">
        <f>IFERROR(__xludf.DUMMYFUNCTION("""COMPUTED_VALUE"""),0.24646185185185185)</f>
        <v>0.2464618519</v>
      </c>
      <c r="J474" s="4">
        <f>IFERROR(__xludf.DUMMYFUNCTION("""COMPUTED_VALUE"""),45949.25797814221)</f>
        <v>45949.25798</v>
      </c>
      <c r="K474" s="4">
        <f>IFERROR(__xludf.DUMMYFUNCTION("""COMPUTED_VALUE"""),45949.29054328855)</f>
        <v>45949.29054</v>
      </c>
      <c r="L474" s="4">
        <f>IFERROR(__xludf.DUMMYFUNCTION("""COMPUTED_VALUE"""),45949.299855724836)</f>
        <v>45949.29986</v>
      </c>
      <c r="M474" s="1" t="str">
        <f>IFERROR(__xludf.DUMMYFUNCTION("""COMPUTED_VALUE"""),"RFID")</f>
        <v>RFID</v>
      </c>
      <c r="N474" s="5">
        <f>IFERROR(__xludf.DUMMYFUNCTION("""COMPUTED_VALUE"""),0.004606513888888888)</f>
        <v>0.004606513889</v>
      </c>
      <c r="O474" s="5">
        <f>IFERROR(__xludf.DUMMYFUNCTION("""COMPUTED_VALUE"""),0.013026060185185184)</f>
        <v>0.01302606019</v>
      </c>
      <c r="P474" s="5">
        <f>IFERROR(__xludf.DUMMYFUNCTION("""COMPUTED_VALUE"""),0.0038322783057307707)</f>
        <v>0.003832278306</v>
      </c>
      <c r="Q474" s="5">
        <f>IFERROR(__xludf.DUMMYFUNCTION("""COMPUTED_VALUE"""),0.005339387731481481)</f>
        <v>0.005339387731</v>
      </c>
      <c r="R474" s="4">
        <f>IFERROR(__xludf.DUMMYFUNCTION("""COMPUTED_VALUE"""),45949.053393872986)</f>
        <v>45949.05339</v>
      </c>
      <c r="S474" s="1" t="b">
        <f>IFERROR(__xludf.DUMMYFUNCTION("""COMPUTED_VALUE"""),TRUE)</f>
        <v>1</v>
      </c>
      <c r="T474" s="1" t="b">
        <f>IFERROR(__xludf.DUMMYFUNCTION("""COMPUTED_VALUE"""),FALSE)</f>
        <v>0</v>
      </c>
      <c r="U474" s="1" t="str">
        <f>IFERROR(__xludf.DUMMYFUNCTION("""COMPUTED_VALUE"""),"VALID")</f>
        <v>VALID</v>
      </c>
      <c r="V474" s="1">
        <f>IFERROR(__xludf.DUMMYFUNCTION("""COMPUTED_VALUE"""),409.0)</f>
        <v>409</v>
      </c>
      <c r="W474" s="1">
        <f>IFERROR(__xludf.DUMMYFUNCTION("""COMPUTED_VALUE"""),488.0)</f>
        <v>488</v>
      </c>
      <c r="X474" s="1">
        <f>IFERROR(__xludf.DUMMYFUNCTION("""COMPUTED_VALUE"""),1464.0)</f>
        <v>1464</v>
      </c>
      <c r="Y474" s="2"/>
      <c r="Z474" s="2"/>
    </row>
    <row r="475">
      <c r="A475" s="1">
        <f>IFERROR(__xludf.DUMMYFUNCTION("""COMPUTED_VALUE"""),474.0)</f>
        <v>474</v>
      </c>
      <c r="B475" s="1">
        <f>IFERROR(__xludf.DUMMYFUNCTION("""COMPUTED_VALUE"""),10330.0)</f>
        <v>10330</v>
      </c>
      <c r="C475" s="2" t="str">
        <f>IFERROR(__xludf.DUMMYFUNCTION("""COMPUTED_VALUE"""),"Anjarvratama")</f>
        <v>Anjarvratama</v>
      </c>
      <c r="D475" s="2" t="str">
        <f>IFERROR(__xludf.DUMMYFUNCTION("""COMPUTED_VALUE"""),"10KM OVERALL M")</f>
        <v>10KM OVERALL M</v>
      </c>
      <c r="E475" s="1">
        <f>IFERROR(__xludf.DUMMYFUNCTION("""COMPUTED_VALUE"""),1.0)</f>
        <v>1</v>
      </c>
      <c r="F475" s="1" t="str">
        <f>IFERROR(__xludf.DUMMYFUNCTION("""COMPUTED_VALUE"""),"Male")</f>
        <v>Male</v>
      </c>
      <c r="G475" s="4" t="b">
        <f>IFERROR(__xludf.DUMMYFUNCTION("""COMPUTED_VALUE"""),TRUE)</f>
        <v>1</v>
      </c>
      <c r="H475" s="4" t="b">
        <f>IFERROR(__xludf.DUMMYFUNCTION("""COMPUTED_VALUE"""),FALSE)</f>
        <v>0</v>
      </c>
      <c r="I475" s="4">
        <f>IFERROR(__xludf.DUMMYFUNCTION("""COMPUTED_VALUE"""),0.24646185185185185)</f>
        <v>0.2464618519</v>
      </c>
      <c r="J475" s="4">
        <f>IFERROR(__xludf.DUMMYFUNCTION("""COMPUTED_VALUE"""),45949.256301175454)</f>
        <v>45949.2563</v>
      </c>
      <c r="K475" s="4">
        <f>IFERROR(__xludf.DUMMYFUNCTION("""COMPUTED_VALUE"""),45949.28276977972)</f>
        <v>45949.28277</v>
      </c>
      <c r="L475" s="4">
        <f>IFERROR(__xludf.DUMMYFUNCTION("""COMPUTED_VALUE"""),45949.29024114901)</f>
        <v>45949.29024</v>
      </c>
      <c r="M475" s="1" t="str">
        <f>IFERROR(__xludf.DUMMYFUNCTION("""COMPUTED_VALUE"""),"RFID")</f>
        <v>RFID</v>
      </c>
      <c r="N475" s="5">
        <f>IFERROR(__xludf.DUMMYFUNCTION("""COMPUTED_VALUE"""),0.003935731481481482)</f>
        <v>0.003935731481</v>
      </c>
      <c r="O475" s="5">
        <f>IFERROR(__xludf.DUMMYFUNCTION("""COMPUTED_VALUE"""),0.010587439814814815)</f>
        <v>0.01058743981</v>
      </c>
      <c r="P475" s="5">
        <f>IFERROR(__xludf.DUMMYFUNCTION("""COMPUTED_VALUE"""),0.003074637567241189)</f>
        <v>0.003074637567</v>
      </c>
      <c r="Q475" s="5">
        <f>IFERROR(__xludf.DUMMYFUNCTION("""COMPUTED_VALUE"""),0.004377929398148148)</f>
        <v>0.004377929398</v>
      </c>
      <c r="R475" s="4">
        <f>IFERROR(__xludf.DUMMYFUNCTION("""COMPUTED_VALUE"""),45949.04377929716)</f>
        <v>45949.04378</v>
      </c>
      <c r="S475" s="1" t="b">
        <f>IFERROR(__xludf.DUMMYFUNCTION("""COMPUTED_VALUE"""),TRUE)</f>
        <v>1</v>
      </c>
      <c r="T475" s="1" t="b">
        <f>IFERROR(__xludf.DUMMYFUNCTION("""COMPUTED_VALUE"""),FALSE)</f>
        <v>0</v>
      </c>
      <c r="U475" s="1" t="str">
        <f>IFERROR(__xludf.DUMMYFUNCTION("""COMPUTED_VALUE"""),"VALID")</f>
        <v>VALID</v>
      </c>
      <c r="V475" s="1">
        <f>IFERROR(__xludf.DUMMYFUNCTION("""COMPUTED_VALUE"""),182.0)</f>
        <v>182</v>
      </c>
      <c r="W475" s="1">
        <f>IFERROR(__xludf.DUMMYFUNCTION("""COMPUTED_VALUE"""),217.0)</f>
        <v>217</v>
      </c>
      <c r="X475" s="1">
        <f>IFERROR(__xludf.DUMMYFUNCTION("""COMPUTED_VALUE"""),1137.0)</f>
        <v>1137</v>
      </c>
      <c r="Y475" s="2"/>
      <c r="Z475" s="2"/>
    </row>
    <row r="476">
      <c r="A476" s="1">
        <f>IFERROR(__xludf.DUMMYFUNCTION("""COMPUTED_VALUE"""),475.0)</f>
        <v>475</v>
      </c>
      <c r="B476" s="1">
        <f>IFERROR(__xludf.DUMMYFUNCTION("""COMPUTED_VALUE"""),10331.0)</f>
        <v>10331</v>
      </c>
      <c r="C476" s="2" t="str">
        <f>IFERROR(__xludf.DUMMYFUNCTION("""COMPUTED_VALUE"""),"MEKAS")</f>
        <v>MEKAS</v>
      </c>
      <c r="D476" s="2" t="str">
        <f>IFERROR(__xludf.DUMMYFUNCTION("""COMPUTED_VALUE"""),"10KM OVERALL M")</f>
        <v>10KM OVERALL M</v>
      </c>
      <c r="E476" s="1">
        <f>IFERROR(__xludf.DUMMYFUNCTION("""COMPUTED_VALUE"""),1.0)</f>
        <v>1</v>
      </c>
      <c r="F476" s="1" t="str">
        <f>IFERROR(__xludf.DUMMYFUNCTION("""COMPUTED_VALUE"""),"Male")</f>
        <v>Male</v>
      </c>
      <c r="G476" s="4" t="str">
        <f>IFERROR(__xludf.DUMMYFUNCTION("""COMPUTED_VALUE"""),"")</f>
        <v/>
      </c>
      <c r="H476" s="4" t="b">
        <f>IFERROR(__xludf.DUMMYFUNCTION("""COMPUTED_VALUE"""),FALSE)</f>
        <v>0</v>
      </c>
      <c r="I476" s="4">
        <f>IFERROR(__xludf.DUMMYFUNCTION("""COMPUTED_VALUE"""),0.24646185185185185)</f>
        <v>0.2464618519</v>
      </c>
      <c r="J476" s="4" t="str">
        <f>IFERROR(__xludf.DUMMYFUNCTION("""COMPUTED_VALUE"""),"")</f>
        <v/>
      </c>
      <c r="K476" s="4" t="str">
        <f>IFERROR(__xludf.DUMMYFUNCTION("""COMPUTED_VALUE"""),"")</f>
        <v/>
      </c>
      <c r="L476" s="4" t="str">
        <f>IFERROR(__xludf.DUMMYFUNCTION("""COMPUTED_VALUE"""),"")</f>
        <v/>
      </c>
      <c r="M476" s="1" t="str">
        <f>IFERROR(__xludf.DUMMYFUNCTION("""COMPUTED_VALUE"""),"RFID")</f>
        <v>RFID</v>
      </c>
      <c r="N476" s="5" t="str">
        <f>IFERROR(__xludf.DUMMYFUNCTION("""COMPUTED_VALUE"""),"")</f>
        <v/>
      </c>
      <c r="O476" s="5" t="str">
        <f>IFERROR(__xludf.DUMMYFUNCTION("""COMPUTED_VALUE"""),"")</f>
        <v/>
      </c>
      <c r="P476" s="5" t="str">
        <f>IFERROR(__xludf.DUMMYFUNCTION("""COMPUTED_VALUE"""),"")</f>
        <v/>
      </c>
      <c r="Q476" s="5" t="str">
        <f>IFERROR(__xludf.DUMMYFUNCTION("""COMPUTED_VALUE"""),"")</f>
        <v/>
      </c>
      <c r="R476" s="4" t="str">
        <f>IFERROR(__xludf.DUMMYFUNCTION("""COMPUTED_VALUE"""),"")</f>
        <v/>
      </c>
      <c r="S476" s="1" t="b">
        <f>IFERROR(__xludf.DUMMYFUNCTION("""COMPUTED_VALUE"""),FALSE)</f>
        <v>0</v>
      </c>
      <c r="T476" s="1" t="b">
        <f>IFERROR(__xludf.DUMMYFUNCTION("""COMPUTED_VALUE"""),FALSE)</f>
        <v>0</v>
      </c>
      <c r="U476" s="1" t="str">
        <f>IFERROR(__xludf.DUMMYFUNCTION("""COMPUTED_VALUE"""),"DSQ")</f>
        <v>DSQ</v>
      </c>
      <c r="V476" s="1" t="str">
        <f>IFERROR(__xludf.DUMMYFUNCTION("""COMPUTED_VALUE"""),"DSQ")</f>
        <v>DSQ</v>
      </c>
      <c r="W476" s="1" t="str">
        <f>IFERROR(__xludf.DUMMYFUNCTION("""COMPUTED_VALUE"""),"DSQ")</f>
        <v>DSQ</v>
      </c>
      <c r="X476" s="1" t="str">
        <f>IFERROR(__xludf.DUMMYFUNCTION("""COMPUTED_VALUE"""),"DSQ")</f>
        <v>DSQ</v>
      </c>
      <c r="Y476" s="2"/>
      <c r="Z476" s="2" t="str">
        <f>IFERROR(__xludf.DUMMYFUNCTION("""COMPUTED_VALUE"""),"")</f>
        <v/>
      </c>
    </row>
    <row r="477">
      <c r="A477" s="1">
        <f>IFERROR(__xludf.DUMMYFUNCTION("""COMPUTED_VALUE"""),476.0)</f>
        <v>476</v>
      </c>
      <c r="B477" s="1">
        <f>IFERROR(__xludf.DUMMYFUNCTION("""COMPUTED_VALUE"""),10332.0)</f>
        <v>10332</v>
      </c>
      <c r="C477" s="2" t="str">
        <f>IFERROR(__xludf.DUMMYFUNCTION("""COMPUTED_VALUE"""),"Yogi")</f>
        <v>Yogi</v>
      </c>
      <c r="D477" s="2" t="str">
        <f>IFERROR(__xludf.DUMMYFUNCTION("""COMPUTED_VALUE"""),"10KM OVERALL M")</f>
        <v>10KM OVERALL M</v>
      </c>
      <c r="E477" s="1">
        <f>IFERROR(__xludf.DUMMYFUNCTION("""COMPUTED_VALUE"""),1.0)</f>
        <v>1</v>
      </c>
      <c r="F477" s="1" t="str">
        <f>IFERROR(__xludf.DUMMYFUNCTION("""COMPUTED_VALUE"""),"Male")</f>
        <v>Male</v>
      </c>
      <c r="G477" s="4" t="b">
        <f>IFERROR(__xludf.DUMMYFUNCTION("""COMPUTED_VALUE"""),TRUE)</f>
        <v>1</v>
      </c>
      <c r="H477" s="4" t="b">
        <f>IFERROR(__xludf.DUMMYFUNCTION("""COMPUTED_VALUE"""),FALSE)</f>
        <v>0</v>
      </c>
      <c r="I477" s="4">
        <f>IFERROR(__xludf.DUMMYFUNCTION("""COMPUTED_VALUE"""),0.24646185185185185)</f>
        <v>0.2464618519</v>
      </c>
      <c r="J477" s="4">
        <f>IFERROR(__xludf.DUMMYFUNCTION("""COMPUTED_VALUE"""),45949.256741960475)</f>
        <v>45949.25674</v>
      </c>
      <c r="K477" s="4">
        <f>IFERROR(__xludf.DUMMYFUNCTION("""COMPUTED_VALUE"""),45949.282860044084)</f>
        <v>45949.28286</v>
      </c>
      <c r="L477" s="4">
        <f>IFERROR(__xludf.DUMMYFUNCTION("""COMPUTED_VALUE"""),45949.29027587017)</f>
        <v>45949.29028</v>
      </c>
      <c r="M477" s="1" t="str">
        <f>IFERROR(__xludf.DUMMYFUNCTION("""COMPUTED_VALUE"""),"RFID")</f>
        <v>RFID</v>
      </c>
      <c r="N477" s="5">
        <f>IFERROR(__xludf.DUMMYFUNCTION("""COMPUTED_VALUE"""),0.004112041666666667)</f>
        <v>0.004112041667</v>
      </c>
      <c r="O477" s="5">
        <f>IFERROR(__xludf.DUMMYFUNCTION("""COMPUTED_VALUE"""),0.010447231481481481)</f>
        <v>0.01044723148</v>
      </c>
      <c r="P477" s="5">
        <f>IFERROR(__xludf.DUMMYFUNCTION("""COMPUTED_VALUE"""),0.0030517802811361877)</f>
        <v>0.003051780281</v>
      </c>
      <c r="Q477" s="5">
        <f>IFERROR(__xludf.DUMMYFUNCTION("""COMPUTED_VALUE"""),0.004381401620370371)</f>
        <v>0.00438140162</v>
      </c>
      <c r="R477" s="4">
        <f>IFERROR(__xludf.DUMMYFUNCTION("""COMPUTED_VALUE"""),45949.04381401832)</f>
        <v>45949.04381</v>
      </c>
      <c r="S477" s="1" t="b">
        <f>IFERROR(__xludf.DUMMYFUNCTION("""COMPUTED_VALUE"""),TRUE)</f>
        <v>1</v>
      </c>
      <c r="T477" s="1" t="b">
        <f>IFERROR(__xludf.DUMMYFUNCTION("""COMPUTED_VALUE"""),FALSE)</f>
        <v>0</v>
      </c>
      <c r="U477" s="1" t="str">
        <f>IFERROR(__xludf.DUMMYFUNCTION("""COMPUTED_VALUE"""),"VALID")</f>
        <v>VALID</v>
      </c>
      <c r="V477" s="1">
        <f>IFERROR(__xludf.DUMMYFUNCTION("""COMPUTED_VALUE"""),183.0)</f>
        <v>183</v>
      </c>
      <c r="W477" s="1">
        <f>IFERROR(__xludf.DUMMYFUNCTION("""COMPUTED_VALUE"""),219.0)</f>
        <v>219</v>
      </c>
      <c r="X477" s="1">
        <f>IFERROR(__xludf.DUMMYFUNCTION("""COMPUTED_VALUE"""),1139.0)</f>
        <v>1139</v>
      </c>
      <c r="Y477" s="2"/>
      <c r="Z477" s="2"/>
    </row>
    <row r="478">
      <c r="A478" s="1">
        <f>IFERROR(__xludf.DUMMYFUNCTION("""COMPUTED_VALUE"""),477.0)</f>
        <v>477</v>
      </c>
      <c r="B478" s="1">
        <f>IFERROR(__xludf.DUMMYFUNCTION("""COMPUTED_VALUE"""),10334.0)</f>
        <v>10334</v>
      </c>
      <c r="C478" s="2" t="str">
        <f>IFERROR(__xludf.DUMMYFUNCTION("""COMPUTED_VALUE"""),"rezky")</f>
        <v>rezky</v>
      </c>
      <c r="D478" s="2" t="str">
        <f>IFERROR(__xludf.DUMMYFUNCTION("""COMPUTED_VALUE"""),"10KM OVERALL M")</f>
        <v>10KM OVERALL M</v>
      </c>
      <c r="E478" s="1">
        <f>IFERROR(__xludf.DUMMYFUNCTION("""COMPUTED_VALUE"""),1.0)</f>
        <v>1</v>
      </c>
      <c r="F478" s="1" t="str">
        <f>IFERROR(__xludf.DUMMYFUNCTION("""COMPUTED_VALUE"""),"Male")</f>
        <v>Male</v>
      </c>
      <c r="G478" s="4" t="b">
        <f>IFERROR(__xludf.DUMMYFUNCTION("""COMPUTED_VALUE"""),TRUE)</f>
        <v>1</v>
      </c>
      <c r="H478" s="4" t="b">
        <f>IFERROR(__xludf.DUMMYFUNCTION("""COMPUTED_VALUE"""),TRUE)</f>
        <v>1</v>
      </c>
      <c r="I478" s="4">
        <f>IFERROR(__xludf.DUMMYFUNCTION("""COMPUTED_VALUE"""),0.24646185185185185)</f>
        <v>0.2464618519</v>
      </c>
      <c r="J478" s="4">
        <f>IFERROR(__xludf.DUMMYFUNCTION("""COMPUTED_VALUE"""),45949.25890869201)</f>
        <v>45949.25891</v>
      </c>
      <c r="K478" s="4">
        <f>IFERROR(__xludf.DUMMYFUNCTION("""COMPUTED_VALUE"""),45949.28816909704)</f>
        <v>45949.28817</v>
      </c>
      <c r="L478" s="4">
        <f>IFERROR(__xludf.DUMMYFUNCTION("""COMPUTED_VALUE"""),45949.297175173866)</f>
        <v>45949.29718</v>
      </c>
      <c r="M478" s="1" t="str">
        <f>IFERROR(__xludf.DUMMYFUNCTION("""COMPUTED_VALUE"""),"RFID")</f>
        <v>RFID</v>
      </c>
      <c r="N478" s="5">
        <f>IFERROR(__xludf.DUMMYFUNCTION("""COMPUTED_VALUE"""),0.004978736111111111)</f>
        <v>0.004978736111</v>
      </c>
      <c r="O478" s="5">
        <f>IFERROR(__xludf.DUMMYFUNCTION("""COMPUTED_VALUE"""),0.011704162037037037)</f>
        <v>0.01170416204</v>
      </c>
      <c r="P478" s="5">
        <f>IFERROR(__xludf.DUMMYFUNCTION("""COMPUTED_VALUE"""),0.003706204455581574)</f>
        <v>0.003706204456</v>
      </c>
      <c r="Q478" s="5">
        <f>IFERROR(__xludf.DUMMYFUNCTION("""COMPUTED_VALUE"""),0.005071332175925926)</f>
        <v>0.005071332176</v>
      </c>
      <c r="R478" s="4">
        <f>IFERROR(__xludf.DUMMYFUNCTION("""COMPUTED_VALUE"""),45949.050713322016)</f>
        <v>45949.05071</v>
      </c>
      <c r="S478" s="1" t="b">
        <f>IFERROR(__xludf.DUMMYFUNCTION("""COMPUTED_VALUE"""),TRUE)</f>
        <v>1</v>
      </c>
      <c r="T478" s="1" t="b">
        <f>IFERROR(__xludf.DUMMYFUNCTION("""COMPUTED_VALUE"""),FALSE)</f>
        <v>0</v>
      </c>
      <c r="U478" s="1" t="str">
        <f>IFERROR(__xludf.DUMMYFUNCTION("""COMPUTED_VALUE"""),"VALID")</f>
        <v>VALID</v>
      </c>
      <c r="V478" s="1">
        <f>IFERROR(__xludf.DUMMYFUNCTION("""COMPUTED_VALUE"""),362.0)</f>
        <v>362</v>
      </c>
      <c r="W478" s="1">
        <f>IFERROR(__xludf.DUMMYFUNCTION("""COMPUTED_VALUE"""),428.0)</f>
        <v>428</v>
      </c>
      <c r="X478" s="1">
        <f>IFERROR(__xludf.DUMMYFUNCTION("""COMPUTED_VALUE"""),1408.0)</f>
        <v>1408</v>
      </c>
      <c r="Y478" s="2"/>
      <c r="Z478" s="2"/>
    </row>
    <row r="479">
      <c r="A479" s="1">
        <f>IFERROR(__xludf.DUMMYFUNCTION("""COMPUTED_VALUE"""),478.0)</f>
        <v>478</v>
      </c>
      <c r="B479" s="1">
        <f>IFERROR(__xludf.DUMMYFUNCTION("""COMPUTED_VALUE"""),10335.0)</f>
        <v>10335</v>
      </c>
      <c r="C479" s="2" t="str">
        <f>IFERROR(__xludf.DUMMYFUNCTION("""COMPUTED_VALUE"""),"Asrori")</f>
        <v>Asrori</v>
      </c>
      <c r="D479" s="2" t="str">
        <f>IFERROR(__xludf.DUMMYFUNCTION("""COMPUTED_VALUE"""),"10KM OVERALL M")</f>
        <v>10KM OVERALL M</v>
      </c>
      <c r="E479" s="1">
        <f>IFERROR(__xludf.DUMMYFUNCTION("""COMPUTED_VALUE"""),1.0)</f>
        <v>1</v>
      </c>
      <c r="F479" s="1" t="str">
        <f>IFERROR(__xludf.DUMMYFUNCTION("""COMPUTED_VALUE"""),"Male")</f>
        <v>Male</v>
      </c>
      <c r="G479" s="4" t="b">
        <f>IFERROR(__xludf.DUMMYFUNCTION("""COMPUTED_VALUE"""),TRUE)</f>
        <v>1</v>
      </c>
      <c r="H479" s="4" t="b">
        <f>IFERROR(__xludf.DUMMYFUNCTION("""COMPUTED_VALUE"""),FALSE)</f>
        <v>0</v>
      </c>
      <c r="I479" s="4">
        <f>IFERROR(__xludf.DUMMYFUNCTION("""COMPUTED_VALUE"""),0.24646185185185185)</f>
        <v>0.2464618519</v>
      </c>
      <c r="J479" s="4">
        <f>IFERROR(__xludf.DUMMYFUNCTION("""COMPUTED_VALUE"""),45949.258214272646)</f>
        <v>45949.25821</v>
      </c>
      <c r="K479" s="4">
        <f>IFERROR(__xludf.DUMMYFUNCTION("""COMPUTED_VALUE"""),45949.28927757988)</f>
        <v>45949.28928</v>
      </c>
      <c r="L479" s="4">
        <f>IFERROR(__xludf.DUMMYFUNCTION("""COMPUTED_VALUE"""),45949.29789044719)</f>
        <v>45949.29789</v>
      </c>
      <c r="M479" s="1" t="str">
        <f>IFERROR(__xludf.DUMMYFUNCTION("""COMPUTED_VALUE"""),"RFID")</f>
        <v>RFID</v>
      </c>
      <c r="N479" s="5">
        <f>IFERROR(__xludf.DUMMYFUNCTION("""COMPUTED_VALUE"""),0.0047009675925925925)</f>
        <v>0.004700967593</v>
      </c>
      <c r="O479" s="5">
        <f>IFERROR(__xludf.DUMMYFUNCTION("""COMPUTED_VALUE"""),0.012425324074074073)</f>
        <v>0.01242532407</v>
      </c>
      <c r="P479" s="5">
        <f>IFERROR(__xludf.DUMMYFUNCTION("""COMPUTED_VALUE"""),0.0035443898380701448)</f>
        <v>0.003544389838</v>
      </c>
      <c r="Q479" s="5">
        <f>IFERROR(__xludf.DUMMYFUNCTION("""COMPUTED_VALUE"""),0.005142859953703703)</f>
        <v>0.005142859954</v>
      </c>
      <c r="R479" s="4">
        <f>IFERROR(__xludf.DUMMYFUNCTION("""COMPUTED_VALUE"""),45949.05142859534)</f>
        <v>45949.05143</v>
      </c>
      <c r="S479" s="1" t="b">
        <f>IFERROR(__xludf.DUMMYFUNCTION("""COMPUTED_VALUE"""),TRUE)</f>
        <v>1</v>
      </c>
      <c r="T479" s="1" t="b">
        <f>IFERROR(__xludf.DUMMYFUNCTION("""COMPUTED_VALUE"""),FALSE)</f>
        <v>0</v>
      </c>
      <c r="U479" s="1" t="str">
        <f>IFERROR(__xludf.DUMMYFUNCTION("""COMPUTED_VALUE"""),"VALID")</f>
        <v>VALID</v>
      </c>
      <c r="V479" s="1">
        <f>IFERROR(__xludf.DUMMYFUNCTION("""COMPUTED_VALUE"""),373.0)</f>
        <v>373</v>
      </c>
      <c r="W479" s="1">
        <f>IFERROR(__xludf.DUMMYFUNCTION("""COMPUTED_VALUE"""),441.0)</f>
        <v>441</v>
      </c>
      <c r="X479" s="1">
        <f>IFERROR(__xludf.DUMMYFUNCTION("""COMPUTED_VALUE"""),1420.0)</f>
        <v>1420</v>
      </c>
      <c r="Y479" s="2"/>
      <c r="Z479" s="2"/>
    </row>
    <row r="480">
      <c r="A480" s="1">
        <f>IFERROR(__xludf.DUMMYFUNCTION("""COMPUTED_VALUE"""),479.0)</f>
        <v>479</v>
      </c>
      <c r="B480" s="1">
        <f>IFERROR(__xludf.DUMMYFUNCTION("""COMPUTED_VALUE"""),10337.0)</f>
        <v>10337</v>
      </c>
      <c r="C480" s="2" t="str">
        <f>IFERROR(__xludf.DUMMYFUNCTION("""COMPUTED_VALUE"""),"Abdul Ghaffaar")</f>
        <v>Abdul Ghaffaar</v>
      </c>
      <c r="D480" s="2" t="str">
        <f>IFERROR(__xludf.DUMMYFUNCTION("""COMPUTED_VALUE"""),"10KM OVERALL M")</f>
        <v>10KM OVERALL M</v>
      </c>
      <c r="E480" s="1">
        <f>IFERROR(__xludf.DUMMYFUNCTION("""COMPUTED_VALUE"""),1.0)</f>
        <v>1</v>
      </c>
      <c r="F480" s="1" t="str">
        <f>IFERROR(__xludf.DUMMYFUNCTION("""COMPUTED_VALUE"""),"Male")</f>
        <v>Male</v>
      </c>
      <c r="G480" s="4" t="b">
        <f>IFERROR(__xludf.DUMMYFUNCTION("""COMPUTED_VALUE"""),TRUE)</f>
        <v>1</v>
      </c>
      <c r="H480" s="4" t="b">
        <f>IFERROR(__xludf.DUMMYFUNCTION("""COMPUTED_VALUE"""),FALSE)</f>
        <v>0</v>
      </c>
      <c r="I480" s="4">
        <f>IFERROR(__xludf.DUMMYFUNCTION("""COMPUTED_VALUE"""),0.24646185185185185)</f>
        <v>0.2464618519</v>
      </c>
      <c r="J480" s="4">
        <f>IFERROR(__xludf.DUMMYFUNCTION("""COMPUTED_VALUE"""),45949.25733233324)</f>
        <v>45949.25733</v>
      </c>
      <c r="K480" s="4">
        <f>IFERROR(__xludf.DUMMYFUNCTION("""COMPUTED_VALUE"""),45949.29404083832)</f>
        <v>45949.29404</v>
      </c>
      <c r="L480" s="4">
        <f>IFERROR(__xludf.DUMMYFUNCTION("""COMPUTED_VALUE"""),45949.30439391784)</f>
        <v>45949.30439</v>
      </c>
      <c r="M480" s="1" t="str">
        <f>IFERROR(__xludf.DUMMYFUNCTION("""COMPUTED_VALUE"""),"RFID")</f>
        <v>RFID</v>
      </c>
      <c r="N480" s="5">
        <f>IFERROR(__xludf.DUMMYFUNCTION("""COMPUTED_VALUE"""),0.0043481944444444445)</f>
        <v>0.004348194444</v>
      </c>
      <c r="O480" s="5">
        <f>IFERROR(__xludf.DUMMYFUNCTION("""COMPUTED_VALUE"""),0.014683402777777776)</f>
        <v>0.01468340278</v>
      </c>
      <c r="P480" s="5">
        <f>IFERROR(__xludf.DUMMYFUNCTION("""COMPUTED_VALUE"""),0.00426052655011929)</f>
        <v>0.00426052655</v>
      </c>
      <c r="Q480" s="5">
        <f>IFERROR(__xludf.DUMMYFUNCTION("""COMPUTED_VALUE"""),0.0057932071759259265)</f>
        <v>0.005793207176</v>
      </c>
      <c r="R480" s="4">
        <f>IFERROR(__xludf.DUMMYFUNCTION("""COMPUTED_VALUE"""),45949.05793206599)</f>
        <v>45949.05793</v>
      </c>
      <c r="S480" s="1" t="b">
        <f>IFERROR(__xludf.DUMMYFUNCTION("""COMPUTED_VALUE"""),TRUE)</f>
        <v>1</v>
      </c>
      <c r="T480" s="1" t="b">
        <f>IFERROR(__xludf.DUMMYFUNCTION("""COMPUTED_VALUE"""),FALSE)</f>
        <v>0</v>
      </c>
      <c r="U480" s="1" t="str">
        <f>IFERROR(__xludf.DUMMYFUNCTION("""COMPUTED_VALUE"""),"VALID")</f>
        <v>VALID</v>
      </c>
      <c r="V480" s="1">
        <f>IFERROR(__xludf.DUMMYFUNCTION("""COMPUTED_VALUE"""),512.0)</f>
        <v>512</v>
      </c>
      <c r="W480" s="1">
        <f>IFERROR(__xludf.DUMMYFUNCTION("""COMPUTED_VALUE"""),621.0)</f>
        <v>621</v>
      </c>
      <c r="X480" s="1">
        <f>IFERROR(__xludf.DUMMYFUNCTION("""COMPUTED_VALUE"""),1585.0)</f>
        <v>1585</v>
      </c>
      <c r="Y480" s="2"/>
      <c r="Z480" s="2"/>
    </row>
    <row r="481">
      <c r="A481" s="1">
        <f>IFERROR(__xludf.DUMMYFUNCTION("""COMPUTED_VALUE"""),480.0)</f>
        <v>480</v>
      </c>
      <c r="B481" s="1">
        <f>IFERROR(__xludf.DUMMYFUNCTION("""COMPUTED_VALUE"""),10339.0)</f>
        <v>10339</v>
      </c>
      <c r="C481" s="2" t="str">
        <f>IFERROR(__xludf.DUMMYFUNCTION("""COMPUTED_VALUE"""),"Bayu Setiyawan S")</f>
        <v>Bayu Setiyawan S</v>
      </c>
      <c r="D481" s="2" t="str">
        <f>IFERROR(__xludf.DUMMYFUNCTION("""COMPUTED_VALUE"""),"10KM OVERALL M")</f>
        <v>10KM OVERALL M</v>
      </c>
      <c r="E481" s="1">
        <f>IFERROR(__xludf.DUMMYFUNCTION("""COMPUTED_VALUE"""),1.0)</f>
        <v>1</v>
      </c>
      <c r="F481" s="1" t="str">
        <f>IFERROR(__xludf.DUMMYFUNCTION("""COMPUTED_VALUE"""),"Male")</f>
        <v>Male</v>
      </c>
      <c r="G481" s="4" t="b">
        <f>IFERROR(__xludf.DUMMYFUNCTION("""COMPUTED_VALUE"""),TRUE)</f>
        <v>1</v>
      </c>
      <c r="H481" s="4" t="b">
        <f>IFERROR(__xludf.DUMMYFUNCTION("""COMPUTED_VALUE"""),TRUE)</f>
        <v>1</v>
      </c>
      <c r="I481" s="4">
        <f>IFERROR(__xludf.DUMMYFUNCTION("""COMPUTED_VALUE"""),0.24646185185185185)</f>
        <v>0.2464618519</v>
      </c>
      <c r="J481" s="4">
        <f>IFERROR(__xludf.DUMMYFUNCTION("""COMPUTED_VALUE"""),45949.256151750065)</f>
        <v>45949.25615</v>
      </c>
      <c r="K481" s="4">
        <f>IFERROR(__xludf.DUMMYFUNCTION("""COMPUTED_VALUE"""),45949.28064826682)</f>
        <v>45949.28065</v>
      </c>
      <c r="L481" s="4">
        <f>IFERROR(__xludf.DUMMYFUNCTION("""COMPUTED_VALUE"""),45949.287630899125)</f>
        <v>45949.28763</v>
      </c>
      <c r="M481" s="1" t="str">
        <f>IFERROR(__xludf.DUMMYFUNCTION("""COMPUTED_VALUE"""),"RFID")</f>
        <v>RFID</v>
      </c>
      <c r="N481" s="5">
        <f>IFERROR(__xludf.DUMMYFUNCTION("""COMPUTED_VALUE"""),0.0038759583333333333)</f>
        <v>0.003875958333</v>
      </c>
      <c r="O481" s="5">
        <f>IFERROR(__xludf.DUMMYFUNCTION("""COMPUTED_VALUE"""),0.009798606481481481)</f>
        <v>0.009798606481</v>
      </c>
      <c r="P481" s="5">
        <f>IFERROR(__xludf.DUMMYFUNCTION("""COMPUTED_VALUE"""),0.002873511238185566)</f>
        <v>0.002873511238</v>
      </c>
      <c r="Q481" s="5">
        <f>IFERROR(__xludf.DUMMYFUNCTION("""COMPUTED_VALUE"""),0.004116905092592592)</f>
        <v>0.004116905093</v>
      </c>
      <c r="R481" s="4">
        <f>IFERROR(__xludf.DUMMYFUNCTION("""COMPUTED_VALUE"""),45949.041169047276)</f>
        <v>45949.04117</v>
      </c>
      <c r="S481" s="1" t="b">
        <f>IFERROR(__xludf.DUMMYFUNCTION("""COMPUTED_VALUE"""),TRUE)</f>
        <v>1</v>
      </c>
      <c r="T481" s="1" t="b">
        <f>IFERROR(__xludf.DUMMYFUNCTION("""COMPUTED_VALUE"""),FALSE)</f>
        <v>0</v>
      </c>
      <c r="U481" s="1" t="str">
        <f>IFERROR(__xludf.DUMMYFUNCTION("""COMPUTED_VALUE"""),"VALID")</f>
        <v>VALID</v>
      </c>
      <c r="V481" s="1">
        <f>IFERROR(__xludf.DUMMYFUNCTION("""COMPUTED_VALUE"""),124.0)</f>
        <v>124</v>
      </c>
      <c r="W481" s="1">
        <f>IFERROR(__xludf.DUMMYFUNCTION("""COMPUTED_VALUE"""),147.0)</f>
        <v>147</v>
      </c>
      <c r="X481" s="1">
        <f>IFERROR(__xludf.DUMMYFUNCTION("""COMPUTED_VALUE"""),1025.0)</f>
        <v>1025</v>
      </c>
      <c r="Y481" s="2"/>
      <c r="Z481" s="2"/>
    </row>
    <row r="482">
      <c r="A482" s="1">
        <f>IFERROR(__xludf.DUMMYFUNCTION("""COMPUTED_VALUE"""),481.0)</f>
        <v>481</v>
      </c>
      <c r="B482" s="1">
        <f>IFERROR(__xludf.DUMMYFUNCTION("""COMPUTED_VALUE"""),10340.0)</f>
        <v>10340</v>
      </c>
      <c r="C482" s="2" t="str">
        <f>IFERROR(__xludf.DUMMYFUNCTION("""COMPUTED_VALUE"""),"MWH")</f>
        <v>MWH</v>
      </c>
      <c r="D482" s="2" t="str">
        <f>IFERROR(__xludf.DUMMYFUNCTION("""COMPUTED_VALUE"""),"10KM OVERALL M")</f>
        <v>10KM OVERALL M</v>
      </c>
      <c r="E482" s="1">
        <f>IFERROR(__xludf.DUMMYFUNCTION("""COMPUTED_VALUE"""),1.0)</f>
        <v>1</v>
      </c>
      <c r="F482" s="1" t="str">
        <f>IFERROR(__xludf.DUMMYFUNCTION("""COMPUTED_VALUE"""),"Male")</f>
        <v>Male</v>
      </c>
      <c r="G482" s="4" t="b">
        <f>IFERROR(__xludf.DUMMYFUNCTION("""COMPUTED_VALUE"""),TRUE)</f>
        <v>1</v>
      </c>
      <c r="H482" s="4" t="b">
        <f>IFERROR(__xludf.DUMMYFUNCTION("""COMPUTED_VALUE"""),TRUE)</f>
        <v>1</v>
      </c>
      <c r="I482" s="4">
        <f>IFERROR(__xludf.DUMMYFUNCTION("""COMPUTED_VALUE"""),0.24646185185185185)</f>
        <v>0.2464618519</v>
      </c>
      <c r="J482" s="4">
        <f>IFERROR(__xludf.DUMMYFUNCTION("""COMPUTED_VALUE"""),45949.26113779263)</f>
        <v>45949.26114</v>
      </c>
      <c r="K482" s="4">
        <f>IFERROR(__xludf.DUMMYFUNCTION("""COMPUTED_VALUE"""),45949.30181162189)</f>
        <v>45949.30181</v>
      </c>
      <c r="L482" s="4">
        <f>IFERROR(__xludf.DUMMYFUNCTION("""COMPUTED_VALUE"""),45949.31394688217)</f>
        <v>45949.31395</v>
      </c>
      <c r="M482" s="1" t="str">
        <f>IFERROR(__xludf.DUMMYFUNCTION("""COMPUTED_VALUE"""),"RFID")</f>
        <v>RFID</v>
      </c>
      <c r="N482" s="5">
        <f>IFERROR(__xludf.DUMMYFUNCTION("""COMPUTED_VALUE"""),0.005870375)</f>
        <v>0.005870375</v>
      </c>
      <c r="O482" s="5">
        <f>IFERROR(__xludf.DUMMYFUNCTION("""COMPUTED_VALUE"""),0.01626953240740741)</f>
        <v>0.01626953241</v>
      </c>
      <c r="P482" s="5">
        <f>IFERROR(__xludf.DUMMYFUNCTION("""COMPUTED_VALUE"""),0.004993934271624312)</f>
        <v>0.004993934272</v>
      </c>
      <c r="Q482" s="5">
        <f>IFERROR(__xludf.DUMMYFUNCTION("""COMPUTED_VALUE"""),0.006748503472222223)</f>
        <v>0.006748503472</v>
      </c>
      <c r="R482" s="4">
        <f>IFERROR(__xludf.DUMMYFUNCTION("""COMPUTED_VALUE"""),45949.06748503032)</f>
        <v>45949.06749</v>
      </c>
      <c r="S482" s="1" t="b">
        <f>IFERROR(__xludf.DUMMYFUNCTION("""COMPUTED_VALUE"""),TRUE)</f>
        <v>1</v>
      </c>
      <c r="T482" s="1" t="b">
        <f>IFERROR(__xludf.DUMMYFUNCTION("""COMPUTED_VALUE"""),FALSE)</f>
        <v>0</v>
      </c>
      <c r="U482" s="1" t="str">
        <f>IFERROR(__xludf.DUMMYFUNCTION("""COMPUTED_VALUE"""),"VALID")</f>
        <v>VALID</v>
      </c>
      <c r="V482" s="1">
        <f>IFERROR(__xludf.DUMMYFUNCTION("""COMPUTED_VALUE"""),585.0)</f>
        <v>585</v>
      </c>
      <c r="W482" s="1">
        <f>IFERROR(__xludf.DUMMYFUNCTION("""COMPUTED_VALUE"""),725.0)</f>
        <v>725</v>
      </c>
      <c r="X482" s="1">
        <f>IFERROR(__xludf.DUMMYFUNCTION("""COMPUTED_VALUE"""),1660.0)</f>
        <v>1660</v>
      </c>
      <c r="Y482" s="2"/>
      <c r="Z482" s="2"/>
    </row>
    <row r="483">
      <c r="A483" s="1">
        <f>IFERROR(__xludf.DUMMYFUNCTION("""COMPUTED_VALUE"""),482.0)</f>
        <v>482</v>
      </c>
      <c r="B483" s="1">
        <f>IFERROR(__xludf.DUMMYFUNCTION("""COMPUTED_VALUE"""),10341.0)</f>
        <v>10341</v>
      </c>
      <c r="C483" s="2" t="str">
        <f>IFERROR(__xludf.DUMMYFUNCTION("""COMPUTED_VALUE"""),"Zaky Fahmi")</f>
        <v>Zaky Fahmi</v>
      </c>
      <c r="D483" s="2" t="str">
        <f>IFERROR(__xludf.DUMMYFUNCTION("""COMPUTED_VALUE"""),"10KM OVERALL M")</f>
        <v>10KM OVERALL M</v>
      </c>
      <c r="E483" s="1">
        <f>IFERROR(__xludf.DUMMYFUNCTION("""COMPUTED_VALUE"""),1.0)</f>
        <v>1</v>
      </c>
      <c r="F483" s="1" t="str">
        <f>IFERROR(__xludf.DUMMYFUNCTION("""COMPUTED_VALUE"""),"Male")</f>
        <v>Male</v>
      </c>
      <c r="G483" s="4" t="b">
        <f>IFERROR(__xludf.DUMMYFUNCTION("""COMPUTED_VALUE"""),TRUE)</f>
        <v>1</v>
      </c>
      <c r="H483" s="4" t="b">
        <f>IFERROR(__xludf.DUMMYFUNCTION("""COMPUTED_VALUE"""),TRUE)</f>
        <v>1</v>
      </c>
      <c r="I483" s="4">
        <f>IFERROR(__xludf.DUMMYFUNCTION("""COMPUTED_VALUE"""),0.24646185185185185)</f>
        <v>0.2464618519</v>
      </c>
      <c r="J483" s="4">
        <f>IFERROR(__xludf.DUMMYFUNCTION("""COMPUTED_VALUE"""),45949.25834614315)</f>
        <v>45949.25835</v>
      </c>
      <c r="K483" s="4" t="str">
        <f>IFERROR(__xludf.DUMMYFUNCTION("""COMPUTED_VALUE"""),"")</f>
        <v/>
      </c>
      <c r="L483" s="4">
        <f>IFERROR(__xludf.DUMMYFUNCTION("""COMPUTED_VALUE"""),45949.29730366393)</f>
        <v>45949.2973</v>
      </c>
      <c r="M483" s="1" t="str">
        <f>IFERROR(__xludf.DUMMYFUNCTION("""COMPUTED_VALUE"""),"RFID")</f>
        <v>RFID</v>
      </c>
      <c r="N483" s="5">
        <f>IFERROR(__xludf.DUMMYFUNCTION("""COMPUTED_VALUE"""),0.004753717592592593)</f>
        <v>0.004753717593</v>
      </c>
      <c r="O483" s="5" t="str">
        <f>IFERROR(__xludf.DUMMYFUNCTION("""COMPUTED_VALUE"""),"")</f>
        <v/>
      </c>
      <c r="P483" s="5" t="str">
        <f>IFERROR(__xludf.DUMMYFUNCTION("""COMPUTED_VALUE"""),"")</f>
        <v/>
      </c>
      <c r="Q483" s="5">
        <f>IFERROR(__xludf.DUMMYFUNCTION("""COMPUTED_VALUE"""),0.005084181712962963)</f>
        <v>0.005084181713</v>
      </c>
      <c r="R483" s="4">
        <f>IFERROR(__xludf.DUMMYFUNCTION("""COMPUTED_VALUE"""),45949.05084181208)</f>
        <v>45949.05084</v>
      </c>
      <c r="S483" s="1" t="b">
        <f>IFERROR(__xludf.DUMMYFUNCTION("""COMPUTED_VALUE"""),TRUE)</f>
        <v>1</v>
      </c>
      <c r="T483" s="1" t="b">
        <f>IFERROR(__xludf.DUMMYFUNCTION("""COMPUTED_VALUE"""),FALSE)</f>
        <v>0</v>
      </c>
      <c r="U483" s="1" t="str">
        <f>IFERROR(__xludf.DUMMYFUNCTION("""COMPUTED_VALUE"""),"VALID")</f>
        <v>VALID</v>
      </c>
      <c r="V483" s="1">
        <f>IFERROR(__xludf.DUMMYFUNCTION("""COMPUTED_VALUE"""),364.0)</f>
        <v>364</v>
      </c>
      <c r="W483" s="1">
        <f>IFERROR(__xludf.DUMMYFUNCTION("""COMPUTED_VALUE"""),431.0)</f>
        <v>431</v>
      </c>
      <c r="X483" s="1">
        <f>IFERROR(__xludf.DUMMYFUNCTION("""COMPUTED_VALUE"""),1410.0)</f>
        <v>1410</v>
      </c>
      <c r="Y483" s="2"/>
      <c r="Z483" s="2"/>
    </row>
    <row r="484">
      <c r="A484" s="1">
        <f>IFERROR(__xludf.DUMMYFUNCTION("""COMPUTED_VALUE"""),483.0)</f>
        <v>483</v>
      </c>
      <c r="B484" s="1">
        <f>IFERROR(__xludf.DUMMYFUNCTION("""COMPUTED_VALUE"""),10342.0)</f>
        <v>10342</v>
      </c>
      <c r="C484" s="2" t="str">
        <f>IFERROR(__xludf.DUMMYFUNCTION("""COMPUTED_VALUE"""),"Huda GS")</f>
        <v>Huda GS</v>
      </c>
      <c r="D484" s="2" t="str">
        <f>IFERROR(__xludf.DUMMYFUNCTION("""COMPUTED_VALUE"""),"10KM OVERALL M")</f>
        <v>10KM OVERALL M</v>
      </c>
      <c r="E484" s="1">
        <f>IFERROR(__xludf.DUMMYFUNCTION("""COMPUTED_VALUE"""),1.0)</f>
        <v>1</v>
      </c>
      <c r="F484" s="1" t="str">
        <f>IFERROR(__xludf.DUMMYFUNCTION("""COMPUTED_VALUE"""),"Male")</f>
        <v>Male</v>
      </c>
      <c r="G484" s="4" t="b">
        <f>IFERROR(__xludf.DUMMYFUNCTION("""COMPUTED_VALUE"""),TRUE)</f>
        <v>1</v>
      </c>
      <c r="H484" s="4" t="b">
        <f>IFERROR(__xludf.DUMMYFUNCTION("""COMPUTED_VALUE"""),TRUE)</f>
        <v>1</v>
      </c>
      <c r="I484" s="4">
        <f>IFERROR(__xludf.DUMMYFUNCTION("""COMPUTED_VALUE"""),0.24646185185185185)</f>
        <v>0.2464618519</v>
      </c>
      <c r="J484" s="4">
        <f>IFERROR(__xludf.DUMMYFUNCTION("""COMPUTED_VALUE"""),45949.25802670251)</f>
        <v>45949.25803</v>
      </c>
      <c r="K484" s="4">
        <f>IFERROR(__xludf.DUMMYFUNCTION("""COMPUTED_VALUE"""),45949.290451388886)</f>
        <v>45949.29045</v>
      </c>
      <c r="L484" s="4">
        <f>IFERROR(__xludf.DUMMYFUNCTION("""COMPUTED_VALUE"""),45949.300623098956)</f>
        <v>45949.30062</v>
      </c>
      <c r="M484" s="1" t="str">
        <f>IFERROR(__xludf.DUMMYFUNCTION("""COMPUTED_VALUE"""),"RFID")</f>
        <v>RFID</v>
      </c>
      <c r="N484" s="5">
        <f>IFERROR(__xludf.DUMMYFUNCTION("""COMPUTED_VALUE"""),0.0046259398148148145)</f>
        <v>0.004625939815</v>
      </c>
      <c r="O484" s="5">
        <f>IFERROR(__xludf.DUMMYFUNCTION("""COMPUTED_VALUE"""),0.012969875)</f>
        <v>0.012969875</v>
      </c>
      <c r="P484" s="5">
        <f>IFERROR(__xludf.DUMMYFUNCTION("""COMPUTED_VALUE"""),0.004185888917571501)</f>
        <v>0.004185888918</v>
      </c>
      <c r="Q484" s="5">
        <f>IFERROR(__xludf.DUMMYFUNCTION("""COMPUTED_VALUE"""),0.005416125)</f>
        <v>0.005416125</v>
      </c>
      <c r="R484" s="4">
        <f>IFERROR(__xludf.DUMMYFUNCTION("""COMPUTED_VALUE"""),45949.054161247106)</f>
        <v>45949.05416</v>
      </c>
      <c r="S484" s="1" t="b">
        <f>IFERROR(__xludf.DUMMYFUNCTION("""COMPUTED_VALUE"""),TRUE)</f>
        <v>1</v>
      </c>
      <c r="T484" s="1" t="b">
        <f>IFERROR(__xludf.DUMMYFUNCTION("""COMPUTED_VALUE"""),FALSE)</f>
        <v>0</v>
      </c>
      <c r="U484" s="1" t="str">
        <f>IFERROR(__xludf.DUMMYFUNCTION("""COMPUTED_VALUE"""),"VALID")</f>
        <v>VALID</v>
      </c>
      <c r="V484" s="1">
        <f>IFERROR(__xludf.DUMMYFUNCTION("""COMPUTED_VALUE"""),432.0)</f>
        <v>432</v>
      </c>
      <c r="W484" s="1">
        <f>IFERROR(__xludf.DUMMYFUNCTION("""COMPUTED_VALUE"""),514.0)</f>
        <v>514</v>
      </c>
      <c r="X484" s="1">
        <f>IFERROR(__xludf.DUMMYFUNCTION("""COMPUTED_VALUE"""),1492.0)</f>
        <v>1492</v>
      </c>
      <c r="Y484" s="2"/>
      <c r="Z484" s="2"/>
    </row>
    <row r="485">
      <c r="A485" s="1">
        <f>IFERROR(__xludf.DUMMYFUNCTION("""COMPUTED_VALUE"""),484.0)</f>
        <v>484</v>
      </c>
      <c r="B485" s="1">
        <f>IFERROR(__xludf.DUMMYFUNCTION("""COMPUTED_VALUE"""),10343.0)</f>
        <v>10343</v>
      </c>
      <c r="C485" s="2" t="str">
        <f>IFERROR(__xludf.DUMMYFUNCTION("""COMPUTED_VALUE"""),"hadi")</f>
        <v>hadi</v>
      </c>
      <c r="D485" s="2" t="str">
        <f>IFERROR(__xludf.DUMMYFUNCTION("""COMPUTED_VALUE"""),"10KM OVERALL M")</f>
        <v>10KM OVERALL M</v>
      </c>
      <c r="E485" s="1">
        <f>IFERROR(__xludf.DUMMYFUNCTION("""COMPUTED_VALUE"""),1.0)</f>
        <v>1</v>
      </c>
      <c r="F485" s="1" t="str">
        <f>IFERROR(__xludf.DUMMYFUNCTION("""COMPUTED_VALUE"""),"Male")</f>
        <v>Male</v>
      </c>
      <c r="G485" s="4" t="str">
        <f>IFERROR(__xludf.DUMMYFUNCTION("""COMPUTED_VALUE"""),"")</f>
        <v/>
      </c>
      <c r="H485" s="4" t="b">
        <f>IFERROR(__xludf.DUMMYFUNCTION("""COMPUTED_VALUE"""),FALSE)</f>
        <v>0</v>
      </c>
      <c r="I485" s="4">
        <f>IFERROR(__xludf.DUMMYFUNCTION("""COMPUTED_VALUE"""),0.24646185185185185)</f>
        <v>0.2464618519</v>
      </c>
      <c r="J485" s="4">
        <f>IFERROR(__xludf.DUMMYFUNCTION("""COMPUTED_VALUE"""),45949.25459613787)</f>
        <v>45949.2546</v>
      </c>
      <c r="K485" s="4">
        <f>IFERROR(__xludf.DUMMYFUNCTION("""COMPUTED_VALUE"""),45949.28290900728)</f>
        <v>45949.28291</v>
      </c>
      <c r="L485" s="4">
        <f>IFERROR(__xludf.DUMMYFUNCTION("""COMPUTED_VALUE"""),45949.289935550136)</f>
        <v>45949.28994</v>
      </c>
      <c r="M485" s="1" t="str">
        <f>IFERROR(__xludf.DUMMYFUNCTION("""COMPUTED_VALUE"""),"RFID")</f>
        <v>RFID</v>
      </c>
      <c r="N485" s="5">
        <f>IFERROR(__xludf.DUMMYFUNCTION("""COMPUTED_VALUE"""),0.003253712962962963)</f>
        <v>0.003253712963</v>
      </c>
      <c r="O485" s="5">
        <f>IFERROR(__xludf.DUMMYFUNCTION("""COMPUTED_VALUE"""),0.011325148148148148)</f>
        <v>0.01132514815</v>
      </c>
      <c r="P485" s="5">
        <f>IFERROR(__xludf.DUMMYFUNCTION("""COMPUTED_VALUE"""),0.002891581423255833)</f>
        <v>0.002891581423</v>
      </c>
      <c r="Q485" s="5">
        <f>IFERROR(__xludf.DUMMYFUNCTION("""COMPUTED_VALUE"""),0.004347370370370371)</f>
        <v>0.00434737037</v>
      </c>
      <c r="R485" s="4">
        <f>IFERROR(__xludf.DUMMYFUNCTION("""COMPUTED_VALUE"""),45949.043473698286)</f>
        <v>45949.04347</v>
      </c>
      <c r="S485" s="1" t="b">
        <f>IFERROR(__xludf.DUMMYFUNCTION("""COMPUTED_VALUE"""),TRUE)</f>
        <v>1</v>
      </c>
      <c r="T485" s="1" t="b">
        <f>IFERROR(__xludf.DUMMYFUNCTION("""COMPUTED_VALUE"""),FALSE)</f>
        <v>0</v>
      </c>
      <c r="U485" s="1" t="str">
        <f>IFERROR(__xludf.DUMMYFUNCTION("""COMPUTED_VALUE"""),"VALID")</f>
        <v>VALID</v>
      </c>
      <c r="V485" s="1">
        <f>IFERROR(__xludf.DUMMYFUNCTION("""COMPUTED_VALUE"""),173.0)</f>
        <v>173</v>
      </c>
      <c r="W485" s="1">
        <f>IFERROR(__xludf.DUMMYFUNCTION("""COMPUTED_VALUE"""),204.0)</f>
        <v>204</v>
      </c>
      <c r="X485" s="1">
        <f>IFERROR(__xludf.DUMMYFUNCTION("""COMPUTED_VALUE"""),1112.0)</f>
        <v>1112</v>
      </c>
      <c r="Y485" s="2"/>
      <c r="Z485" s="2"/>
    </row>
    <row r="486">
      <c r="A486" s="1">
        <f>IFERROR(__xludf.DUMMYFUNCTION("""COMPUTED_VALUE"""),485.0)</f>
        <v>485</v>
      </c>
      <c r="B486" s="1">
        <f>IFERROR(__xludf.DUMMYFUNCTION("""COMPUTED_VALUE"""),10344.0)</f>
        <v>10344</v>
      </c>
      <c r="C486" s="2" t="str">
        <f>IFERROR(__xludf.DUMMYFUNCTION("""COMPUTED_VALUE"""),"TAMA")</f>
        <v>TAMA</v>
      </c>
      <c r="D486" s="2" t="str">
        <f>IFERROR(__xludf.DUMMYFUNCTION("""COMPUTED_VALUE"""),"10KM OVERALL M")</f>
        <v>10KM OVERALL M</v>
      </c>
      <c r="E486" s="1">
        <f>IFERROR(__xludf.DUMMYFUNCTION("""COMPUTED_VALUE"""),1.0)</f>
        <v>1</v>
      </c>
      <c r="F486" s="1" t="str">
        <f>IFERROR(__xludf.DUMMYFUNCTION("""COMPUTED_VALUE"""),"Male")</f>
        <v>Male</v>
      </c>
      <c r="G486" s="4" t="b">
        <f>IFERROR(__xludf.DUMMYFUNCTION("""COMPUTED_VALUE"""),TRUE)</f>
        <v>1</v>
      </c>
      <c r="H486" s="4" t="b">
        <f>IFERROR(__xludf.DUMMYFUNCTION("""COMPUTED_VALUE"""),TRUE)</f>
        <v>1</v>
      </c>
      <c r="I486" s="4">
        <f>IFERROR(__xludf.DUMMYFUNCTION("""COMPUTED_VALUE"""),0.24646185185185185)</f>
        <v>0.2464618519</v>
      </c>
      <c r="J486" s="4">
        <f>IFERROR(__xludf.DUMMYFUNCTION("""COMPUTED_VALUE"""),45949.25623501489)</f>
        <v>45949.25624</v>
      </c>
      <c r="K486" s="4">
        <f>IFERROR(__xludf.DUMMYFUNCTION("""COMPUTED_VALUE"""),45949.28330102147)</f>
        <v>45949.2833</v>
      </c>
      <c r="L486" s="4">
        <f>IFERROR(__xludf.DUMMYFUNCTION("""COMPUTED_VALUE"""),45949.29083837171)</f>
        <v>45949.29084</v>
      </c>
      <c r="M486" s="1" t="str">
        <f>IFERROR(__xludf.DUMMYFUNCTION("""COMPUTED_VALUE"""),"RFID")</f>
        <v>RFID</v>
      </c>
      <c r="N486" s="5">
        <f>IFERROR(__xludf.DUMMYFUNCTION("""COMPUTED_VALUE"""),0.003909263888888888)</f>
        <v>0.003909263889</v>
      </c>
      <c r="O486" s="5">
        <f>IFERROR(__xludf.DUMMYFUNCTION("""COMPUTED_VALUE"""),0.010826402777777779)</f>
        <v>0.01082640278</v>
      </c>
      <c r="P486" s="5">
        <f>IFERROR(__xludf.DUMMYFUNCTION("""COMPUTED_VALUE"""),0.003101790222409277)</f>
        <v>0.003101790222</v>
      </c>
      <c r="Q486" s="5">
        <f>IFERROR(__xludf.DUMMYFUNCTION("""COMPUTED_VALUE"""),0.0044376516203703704)</f>
        <v>0.00443765162</v>
      </c>
      <c r="R486" s="4">
        <f>IFERROR(__xludf.DUMMYFUNCTION("""COMPUTED_VALUE"""),45949.04437651986)</f>
        <v>45949.04438</v>
      </c>
      <c r="S486" s="1" t="b">
        <f>IFERROR(__xludf.DUMMYFUNCTION("""COMPUTED_VALUE"""),TRUE)</f>
        <v>1</v>
      </c>
      <c r="T486" s="1" t="b">
        <f>IFERROR(__xludf.DUMMYFUNCTION("""COMPUTED_VALUE"""),FALSE)</f>
        <v>0</v>
      </c>
      <c r="U486" s="1" t="str">
        <f>IFERROR(__xludf.DUMMYFUNCTION("""COMPUTED_VALUE"""),"VALID")</f>
        <v>VALID</v>
      </c>
      <c r="V486" s="1">
        <f>IFERROR(__xludf.DUMMYFUNCTION("""COMPUTED_VALUE"""),197.0)</f>
        <v>197</v>
      </c>
      <c r="W486" s="1">
        <f>IFERROR(__xludf.DUMMYFUNCTION("""COMPUTED_VALUE"""),237.0)</f>
        <v>237</v>
      </c>
      <c r="X486" s="1">
        <f>IFERROR(__xludf.DUMMYFUNCTION("""COMPUTED_VALUE"""),1164.0)</f>
        <v>1164</v>
      </c>
      <c r="Y486" s="2"/>
      <c r="Z486" s="2"/>
    </row>
    <row r="487">
      <c r="A487" s="1">
        <f>IFERROR(__xludf.DUMMYFUNCTION("""COMPUTED_VALUE"""),486.0)</f>
        <v>486</v>
      </c>
      <c r="B487" s="1">
        <f>IFERROR(__xludf.DUMMYFUNCTION("""COMPUTED_VALUE"""),10345.0)</f>
        <v>10345</v>
      </c>
      <c r="C487" s="2" t="str">
        <f>IFERROR(__xludf.DUMMYFUNCTION("""COMPUTED_VALUE"""),"Alif Nur Fadhilah")</f>
        <v>Alif Nur Fadhilah</v>
      </c>
      <c r="D487" s="2" t="str">
        <f>IFERROR(__xludf.DUMMYFUNCTION("""COMPUTED_VALUE"""),"10KM OVERALL M")</f>
        <v>10KM OVERALL M</v>
      </c>
      <c r="E487" s="1">
        <f>IFERROR(__xludf.DUMMYFUNCTION("""COMPUTED_VALUE"""),1.0)</f>
        <v>1</v>
      </c>
      <c r="F487" s="1" t="str">
        <f>IFERROR(__xludf.DUMMYFUNCTION("""COMPUTED_VALUE"""),"Male")</f>
        <v>Male</v>
      </c>
      <c r="G487" s="4" t="b">
        <f>IFERROR(__xludf.DUMMYFUNCTION("""COMPUTED_VALUE"""),TRUE)</f>
        <v>1</v>
      </c>
      <c r="H487" s="4" t="b">
        <f>IFERROR(__xludf.DUMMYFUNCTION("""COMPUTED_VALUE"""),FALSE)</f>
        <v>0</v>
      </c>
      <c r="I487" s="4">
        <f>IFERROR(__xludf.DUMMYFUNCTION("""COMPUTED_VALUE"""),0.24646185185185185)</f>
        <v>0.2464618519</v>
      </c>
      <c r="J487" s="4">
        <f>IFERROR(__xludf.DUMMYFUNCTION("""COMPUTED_VALUE"""),45949.256915638245)</f>
        <v>45949.25692</v>
      </c>
      <c r="K487" s="4">
        <f>IFERROR(__xludf.DUMMYFUNCTION("""COMPUTED_VALUE"""),45949.28475931212)</f>
        <v>45949.28476</v>
      </c>
      <c r="L487" s="4">
        <f>IFERROR(__xludf.DUMMYFUNCTION("""COMPUTED_VALUE"""),45949.292077960155)</f>
        <v>45949.29208</v>
      </c>
      <c r="M487" s="1" t="str">
        <f>IFERROR(__xludf.DUMMYFUNCTION("""COMPUTED_VALUE"""),"RFID")</f>
        <v>RFID</v>
      </c>
      <c r="N487" s="5">
        <f>IFERROR(__xludf.DUMMYFUNCTION("""COMPUTED_VALUE"""),0.004181513888888889)</f>
        <v>0.004181513889</v>
      </c>
      <c r="O487" s="5">
        <f>IFERROR(__xludf.DUMMYFUNCTION("""COMPUTED_VALUE"""),0.011137467592592595)</f>
        <v>0.01113746759</v>
      </c>
      <c r="P487" s="5">
        <f>IFERROR(__xludf.DUMMYFUNCTION("""COMPUTED_VALUE"""),0.003011789315532502)</f>
        <v>0.003011789316</v>
      </c>
      <c r="Q487" s="5">
        <f>IFERROR(__xludf.DUMMYFUNCTION("""COMPUTED_VALUE"""),0.004561611111111112)</f>
        <v>0.004561611111</v>
      </c>
      <c r="R487" s="4">
        <f>IFERROR(__xludf.DUMMYFUNCTION("""COMPUTED_VALUE"""),45949.045616108306)</f>
        <v>45949.04562</v>
      </c>
      <c r="S487" s="1" t="b">
        <f>IFERROR(__xludf.DUMMYFUNCTION("""COMPUTED_VALUE"""),TRUE)</f>
        <v>1</v>
      </c>
      <c r="T487" s="1" t="b">
        <f>IFERROR(__xludf.DUMMYFUNCTION("""COMPUTED_VALUE"""),FALSE)</f>
        <v>0</v>
      </c>
      <c r="U487" s="1" t="str">
        <f>IFERROR(__xludf.DUMMYFUNCTION("""COMPUTED_VALUE"""),"VALID")</f>
        <v>VALID</v>
      </c>
      <c r="V487" s="1">
        <f>IFERROR(__xludf.DUMMYFUNCTION("""COMPUTED_VALUE"""),230.0)</f>
        <v>230</v>
      </c>
      <c r="W487" s="1">
        <f>IFERROR(__xludf.DUMMYFUNCTION("""COMPUTED_VALUE"""),277.0)</f>
        <v>277</v>
      </c>
      <c r="X487" s="1">
        <f>IFERROR(__xludf.DUMMYFUNCTION("""COMPUTED_VALUE"""),1222.0)</f>
        <v>1222</v>
      </c>
      <c r="Y487" s="2"/>
      <c r="Z487" s="2"/>
    </row>
    <row r="488">
      <c r="A488" s="1">
        <f>IFERROR(__xludf.DUMMYFUNCTION("""COMPUTED_VALUE"""),487.0)</f>
        <v>487</v>
      </c>
      <c r="B488" s="1">
        <f>IFERROR(__xludf.DUMMYFUNCTION("""COMPUTED_VALUE"""),10346.0)</f>
        <v>10346</v>
      </c>
      <c r="C488" s="2" t="str">
        <f>IFERROR(__xludf.DUMMYFUNCTION("""COMPUTED_VALUE"""),"algi_physio")</f>
        <v>algi_physio</v>
      </c>
      <c r="D488" s="2" t="str">
        <f>IFERROR(__xludf.DUMMYFUNCTION("""COMPUTED_VALUE"""),"10KM OVERALL M")</f>
        <v>10KM OVERALL M</v>
      </c>
      <c r="E488" s="1">
        <f>IFERROR(__xludf.DUMMYFUNCTION("""COMPUTED_VALUE"""),1.0)</f>
        <v>1</v>
      </c>
      <c r="F488" s="1" t="str">
        <f>IFERROR(__xludf.DUMMYFUNCTION("""COMPUTED_VALUE"""),"Male")</f>
        <v>Male</v>
      </c>
      <c r="G488" s="4" t="b">
        <f>IFERROR(__xludf.DUMMYFUNCTION("""COMPUTED_VALUE"""),TRUE)</f>
        <v>1</v>
      </c>
      <c r="H488" s="4" t="b">
        <f>IFERROR(__xludf.DUMMYFUNCTION("""COMPUTED_VALUE"""),TRUE)</f>
        <v>1</v>
      </c>
      <c r="I488" s="4">
        <f>IFERROR(__xludf.DUMMYFUNCTION("""COMPUTED_VALUE"""),0.24646185185185185)</f>
        <v>0.2464618519</v>
      </c>
      <c r="J488" s="4">
        <f>IFERROR(__xludf.DUMMYFUNCTION("""COMPUTED_VALUE"""),45949.25937045679)</f>
        <v>45949.25937</v>
      </c>
      <c r="K488" s="4">
        <f>IFERROR(__xludf.DUMMYFUNCTION("""COMPUTED_VALUE"""),45949.29380127201)</f>
        <v>45949.2938</v>
      </c>
      <c r="L488" s="4">
        <f>IFERROR(__xludf.DUMMYFUNCTION("""COMPUTED_VALUE"""),45949.303574773454)</f>
        <v>45949.30357</v>
      </c>
      <c r="M488" s="1" t="str">
        <f>IFERROR(__xludf.DUMMYFUNCTION("""COMPUTED_VALUE"""),"RFID")</f>
        <v>RFID</v>
      </c>
      <c r="N488" s="5">
        <f>IFERROR(__xludf.DUMMYFUNCTION("""COMPUTED_VALUE"""),0.005163439814814814)</f>
        <v>0.005163439815</v>
      </c>
      <c r="O488" s="5">
        <f>IFERROR(__xludf.DUMMYFUNCTION("""COMPUTED_VALUE"""),0.013772324074074074)</f>
        <v>0.01377232407</v>
      </c>
      <c r="P488" s="5">
        <f>IFERROR(__xludf.DUMMYFUNCTION("""COMPUTED_VALUE"""),0.004022017054483984)</f>
        <v>0.004022017054</v>
      </c>
      <c r="Q488" s="5">
        <f>IFERROR(__xludf.DUMMYFUNCTION("""COMPUTED_VALUE"""),0.005711291666666666)</f>
        <v>0.005711291667</v>
      </c>
      <c r="R488" s="4">
        <f>IFERROR(__xludf.DUMMYFUNCTION("""COMPUTED_VALUE"""),45949.057112921604)</f>
        <v>45949.05711</v>
      </c>
      <c r="S488" s="1" t="b">
        <f>IFERROR(__xludf.DUMMYFUNCTION("""COMPUTED_VALUE"""),TRUE)</f>
        <v>1</v>
      </c>
      <c r="T488" s="1" t="b">
        <f>IFERROR(__xludf.DUMMYFUNCTION("""COMPUTED_VALUE"""),FALSE)</f>
        <v>0</v>
      </c>
      <c r="U488" s="1" t="str">
        <f>IFERROR(__xludf.DUMMYFUNCTION("""COMPUTED_VALUE"""),"VALID")</f>
        <v>VALID</v>
      </c>
      <c r="V488" s="1">
        <f>IFERROR(__xludf.DUMMYFUNCTION("""COMPUTED_VALUE"""),502.0)</f>
        <v>502</v>
      </c>
      <c r="W488" s="1">
        <f>IFERROR(__xludf.DUMMYFUNCTION("""COMPUTED_VALUE"""),608.0)</f>
        <v>608</v>
      </c>
      <c r="X488" s="1">
        <f>IFERROR(__xludf.DUMMYFUNCTION("""COMPUTED_VALUE"""),1573.0)</f>
        <v>1573</v>
      </c>
      <c r="Y488" s="2"/>
      <c r="Z488" s="2"/>
    </row>
    <row r="489">
      <c r="A489" s="1">
        <f>IFERROR(__xludf.DUMMYFUNCTION("""COMPUTED_VALUE"""),488.0)</f>
        <v>488</v>
      </c>
      <c r="B489" s="1">
        <f>IFERROR(__xludf.DUMMYFUNCTION("""COMPUTED_VALUE"""),10347.0)</f>
        <v>10347</v>
      </c>
      <c r="C489" s="2">
        <f>IFERROR(__xludf.DUMMYFUNCTION("""COMPUTED_VALUE"""),44.0)</f>
        <v>44</v>
      </c>
      <c r="D489" s="2" t="str">
        <f>IFERROR(__xludf.DUMMYFUNCTION("""COMPUTED_VALUE"""),"10KM OVERALL M")</f>
        <v>10KM OVERALL M</v>
      </c>
      <c r="E489" s="1">
        <f>IFERROR(__xludf.DUMMYFUNCTION("""COMPUTED_VALUE"""),1.0)</f>
        <v>1</v>
      </c>
      <c r="F489" s="1" t="str">
        <f>IFERROR(__xludf.DUMMYFUNCTION("""COMPUTED_VALUE"""),"Male")</f>
        <v>Male</v>
      </c>
      <c r="G489" s="4" t="b">
        <f>IFERROR(__xludf.DUMMYFUNCTION("""COMPUTED_VALUE"""),TRUE)</f>
        <v>1</v>
      </c>
      <c r="H489" s="4" t="b">
        <f>IFERROR(__xludf.DUMMYFUNCTION("""COMPUTED_VALUE"""),FALSE)</f>
        <v>0</v>
      </c>
      <c r="I489" s="4">
        <f>IFERROR(__xludf.DUMMYFUNCTION("""COMPUTED_VALUE"""),0.24646185185185185)</f>
        <v>0.2464618519</v>
      </c>
      <c r="J489" s="4">
        <f>IFERROR(__xludf.DUMMYFUNCTION("""COMPUTED_VALUE"""),45949.25533919902)</f>
        <v>45949.25534</v>
      </c>
      <c r="K489" s="4">
        <f>IFERROR(__xludf.DUMMYFUNCTION("""COMPUTED_VALUE"""),45949.27748316512)</f>
        <v>45949.27748</v>
      </c>
      <c r="L489" s="4">
        <f>IFERROR(__xludf.DUMMYFUNCTION("""COMPUTED_VALUE"""),45949.28388352221)</f>
        <v>45949.28388</v>
      </c>
      <c r="M489" s="1" t="str">
        <f>IFERROR(__xludf.DUMMYFUNCTION("""COMPUTED_VALUE"""),"RFID")</f>
        <v>RFID</v>
      </c>
      <c r="N489" s="5">
        <f>IFERROR(__xludf.DUMMYFUNCTION("""COMPUTED_VALUE"""),0.003550939814814815)</f>
        <v>0.003550939815</v>
      </c>
      <c r="O489" s="5">
        <f>IFERROR(__xludf.DUMMYFUNCTION("""COMPUTED_VALUE"""),0.008857587962962963)</f>
        <v>0.008857587963</v>
      </c>
      <c r="P489" s="5">
        <f>IFERROR(__xludf.DUMMYFUNCTION("""COMPUTED_VALUE"""),0.0026338918056959906)</f>
        <v>0.002633891806</v>
      </c>
      <c r="Q489" s="5">
        <f>IFERROR(__xludf.DUMMYFUNCTION("""COMPUTED_VALUE"""),0.0037421666666666666)</f>
        <v>0.003742166667</v>
      </c>
      <c r="R489" s="4">
        <f>IFERROR(__xludf.DUMMYFUNCTION("""COMPUTED_VALUE"""),45949.03742167036)</f>
        <v>45949.03742</v>
      </c>
      <c r="S489" s="1" t="b">
        <f>IFERROR(__xludf.DUMMYFUNCTION("""COMPUTED_VALUE"""),TRUE)</f>
        <v>1</v>
      </c>
      <c r="T489" s="1" t="b">
        <f>IFERROR(__xludf.DUMMYFUNCTION("""COMPUTED_VALUE"""),FALSE)</f>
        <v>0</v>
      </c>
      <c r="U489" s="1" t="str">
        <f>IFERROR(__xludf.DUMMYFUNCTION("""COMPUTED_VALUE"""),"VALID")</f>
        <v>VALID</v>
      </c>
      <c r="V489" s="1">
        <f>IFERROR(__xludf.DUMMYFUNCTION("""COMPUTED_VALUE"""),59.0)</f>
        <v>59</v>
      </c>
      <c r="W489" s="1">
        <f>IFERROR(__xludf.DUMMYFUNCTION("""COMPUTED_VALUE"""),71.0)</f>
        <v>71</v>
      </c>
      <c r="X489" s="1">
        <f>IFERROR(__xludf.DUMMYFUNCTION("""COMPUTED_VALUE"""),840.0)</f>
        <v>840</v>
      </c>
      <c r="Y489" s="2"/>
      <c r="Z489" s="2"/>
    </row>
    <row r="490">
      <c r="A490" s="1">
        <f>IFERROR(__xludf.DUMMYFUNCTION("""COMPUTED_VALUE"""),489.0)</f>
        <v>489</v>
      </c>
      <c r="B490" s="1">
        <f>IFERROR(__xludf.DUMMYFUNCTION("""COMPUTED_VALUE"""),10348.0)</f>
        <v>10348</v>
      </c>
      <c r="C490" s="2" t="str">
        <f>IFERROR(__xludf.DUMMYFUNCTION("""COMPUTED_VALUE"""),"ALDY")</f>
        <v>ALDY</v>
      </c>
      <c r="D490" s="2" t="str">
        <f>IFERROR(__xludf.DUMMYFUNCTION("""COMPUTED_VALUE"""),"10KM OVERALL M")</f>
        <v>10KM OVERALL M</v>
      </c>
      <c r="E490" s="1">
        <f>IFERROR(__xludf.DUMMYFUNCTION("""COMPUTED_VALUE"""),1.0)</f>
        <v>1</v>
      </c>
      <c r="F490" s="1" t="str">
        <f>IFERROR(__xludf.DUMMYFUNCTION("""COMPUTED_VALUE"""),"Male")</f>
        <v>Male</v>
      </c>
      <c r="G490" s="4" t="b">
        <f>IFERROR(__xludf.DUMMYFUNCTION("""COMPUTED_VALUE"""),TRUE)</f>
        <v>1</v>
      </c>
      <c r="H490" s="4" t="b">
        <f>IFERROR(__xludf.DUMMYFUNCTION("""COMPUTED_VALUE"""),TRUE)</f>
        <v>1</v>
      </c>
      <c r="I490" s="4">
        <f>IFERROR(__xludf.DUMMYFUNCTION("""COMPUTED_VALUE"""),0.24646185185185185)</f>
        <v>0.2464618519</v>
      </c>
      <c r="J490" s="4">
        <f>IFERROR(__xludf.DUMMYFUNCTION("""COMPUTED_VALUE"""),45949.25522546775)</f>
        <v>45949.25523</v>
      </c>
      <c r="K490" s="4">
        <f>IFERROR(__xludf.DUMMYFUNCTION("""COMPUTED_VALUE"""),45949.279394772384)</f>
        <v>45949.27939</v>
      </c>
      <c r="L490" s="4">
        <f>IFERROR(__xludf.DUMMYFUNCTION("""COMPUTED_VALUE"""),45949.28716435185)</f>
        <v>45949.28716</v>
      </c>
      <c r="M490" s="1" t="str">
        <f>IFERROR(__xludf.DUMMYFUNCTION("""COMPUTED_VALUE"""),"RFID")</f>
        <v>RFID</v>
      </c>
      <c r="N490" s="5">
        <f>IFERROR(__xludf.DUMMYFUNCTION("""COMPUTED_VALUE"""),0.0035054444444444443)</f>
        <v>0.003505444444</v>
      </c>
      <c r="O490" s="5">
        <f>IFERROR(__xludf.DUMMYFUNCTION("""COMPUTED_VALUE"""),0.009667722222222222)</f>
        <v>0.009667722222</v>
      </c>
      <c r="P490" s="5">
        <f>IFERROR(__xludf.DUMMYFUNCTION("""COMPUTED_VALUE"""),0.003197357805762938)</f>
        <v>0.003197357806</v>
      </c>
      <c r="Q490" s="5">
        <f>IFERROR(__xludf.DUMMYFUNCTION("""COMPUTED_VALUE"""),0.004070249999999999)</f>
        <v>0.00407025</v>
      </c>
      <c r="R490" s="4">
        <f>IFERROR(__xludf.DUMMYFUNCTION("""COMPUTED_VALUE"""),45949.0407025)</f>
        <v>45949.0407</v>
      </c>
      <c r="S490" s="1" t="b">
        <f>IFERROR(__xludf.DUMMYFUNCTION("""COMPUTED_VALUE"""),TRUE)</f>
        <v>1</v>
      </c>
      <c r="T490" s="1" t="b">
        <f>IFERROR(__xludf.DUMMYFUNCTION("""COMPUTED_VALUE"""),FALSE)</f>
        <v>0</v>
      </c>
      <c r="U490" s="1" t="str">
        <f>IFERROR(__xludf.DUMMYFUNCTION("""COMPUTED_VALUE"""),"VALID")</f>
        <v>VALID</v>
      </c>
      <c r="V490" s="1">
        <f>IFERROR(__xludf.DUMMYFUNCTION("""COMPUTED_VALUE"""),114.0)</f>
        <v>114</v>
      </c>
      <c r="W490" s="1">
        <f>IFERROR(__xludf.DUMMYFUNCTION("""COMPUTED_VALUE"""),137.0)</f>
        <v>137</v>
      </c>
      <c r="X490" s="1">
        <f>IFERROR(__xludf.DUMMYFUNCTION("""COMPUTED_VALUE"""),1010.0)</f>
        <v>1010</v>
      </c>
      <c r="Y490" s="2"/>
      <c r="Z490" s="2"/>
    </row>
    <row r="491">
      <c r="A491" s="1">
        <f>IFERROR(__xludf.DUMMYFUNCTION("""COMPUTED_VALUE"""),490.0)</f>
        <v>490</v>
      </c>
      <c r="B491" s="1">
        <f>IFERROR(__xludf.DUMMYFUNCTION("""COMPUTED_VALUE"""),10349.0)</f>
        <v>10349</v>
      </c>
      <c r="C491" s="2" t="str">
        <f>IFERROR(__xludf.DUMMYFUNCTION("""COMPUTED_VALUE"""),"AMIRIL")</f>
        <v>AMIRIL</v>
      </c>
      <c r="D491" s="2" t="str">
        <f>IFERROR(__xludf.DUMMYFUNCTION("""COMPUTED_VALUE"""),"10KM OVERALL M")</f>
        <v>10KM OVERALL M</v>
      </c>
      <c r="E491" s="1">
        <f>IFERROR(__xludf.DUMMYFUNCTION("""COMPUTED_VALUE"""),1.0)</f>
        <v>1</v>
      </c>
      <c r="F491" s="1" t="str">
        <f>IFERROR(__xludf.DUMMYFUNCTION("""COMPUTED_VALUE"""),"Male")</f>
        <v>Male</v>
      </c>
      <c r="G491" s="4" t="b">
        <f>IFERROR(__xludf.DUMMYFUNCTION("""COMPUTED_VALUE"""),TRUE)</f>
        <v>1</v>
      </c>
      <c r="H491" s="4" t="b">
        <f>IFERROR(__xludf.DUMMYFUNCTION("""COMPUTED_VALUE"""),TRUE)</f>
        <v>1</v>
      </c>
      <c r="I491" s="4">
        <f>IFERROR(__xludf.DUMMYFUNCTION("""COMPUTED_VALUE"""),0.24646185185185185)</f>
        <v>0.2464618519</v>
      </c>
      <c r="J491" s="4">
        <f>IFERROR(__xludf.DUMMYFUNCTION("""COMPUTED_VALUE"""),45949.260585719836)</f>
        <v>45949.26059</v>
      </c>
      <c r="K491" s="4">
        <f>IFERROR(__xludf.DUMMYFUNCTION("""COMPUTED_VALUE"""),45949.304999536114)</f>
        <v>45949.305</v>
      </c>
      <c r="L491" s="4">
        <f>IFERROR(__xludf.DUMMYFUNCTION("""COMPUTED_VALUE"""),45949.31617518679)</f>
        <v>45949.31618</v>
      </c>
      <c r="M491" s="1" t="str">
        <f>IFERROR(__xludf.DUMMYFUNCTION("""COMPUTED_VALUE"""),"RFID")</f>
        <v>RFID</v>
      </c>
      <c r="N491" s="5">
        <f>IFERROR(__xludf.DUMMYFUNCTION("""COMPUTED_VALUE"""),0.005649546296296296)</f>
        <v>0.005649546296</v>
      </c>
      <c r="O491" s="5">
        <f>IFERROR(__xludf.DUMMYFUNCTION("""COMPUTED_VALUE"""),0.017765527777777776)</f>
        <v>0.01776552778</v>
      </c>
      <c r="P491" s="5">
        <f>IFERROR(__xludf.DUMMYFUNCTION("""COMPUTED_VALUE"""),0.004599033199167339)</f>
        <v>0.004599033199</v>
      </c>
      <c r="Q491" s="5">
        <f>IFERROR(__xludf.DUMMYFUNCTION("""COMPUTED_VALUE"""),0.006971333333333334)</f>
        <v>0.006971333333</v>
      </c>
      <c r="R491" s="4">
        <f>IFERROR(__xludf.DUMMYFUNCTION("""COMPUTED_VALUE"""),45949.06971333494)</f>
        <v>45949.06971</v>
      </c>
      <c r="S491" s="1" t="b">
        <f>IFERROR(__xludf.DUMMYFUNCTION("""COMPUTED_VALUE"""),TRUE)</f>
        <v>1</v>
      </c>
      <c r="T491" s="1" t="b">
        <f>IFERROR(__xludf.DUMMYFUNCTION("""COMPUTED_VALUE"""),FALSE)</f>
        <v>0</v>
      </c>
      <c r="U491" s="1" t="str">
        <f>IFERROR(__xludf.DUMMYFUNCTION("""COMPUTED_VALUE"""),"VALID")</f>
        <v>VALID</v>
      </c>
      <c r="V491" s="1">
        <f>IFERROR(__xludf.DUMMYFUNCTION("""COMPUTED_VALUE"""),594.0)</f>
        <v>594</v>
      </c>
      <c r="W491" s="1">
        <f>IFERROR(__xludf.DUMMYFUNCTION("""COMPUTED_VALUE"""),740.0)</f>
        <v>740</v>
      </c>
      <c r="X491" s="1">
        <f>IFERROR(__xludf.DUMMYFUNCTION("""COMPUTED_VALUE"""),1668.0)</f>
        <v>1668</v>
      </c>
      <c r="Y491" s="2"/>
      <c r="Z491" s="2"/>
    </row>
    <row r="492">
      <c r="A492" s="1">
        <f>IFERROR(__xludf.DUMMYFUNCTION("""COMPUTED_VALUE"""),491.0)</f>
        <v>491</v>
      </c>
      <c r="B492" s="1">
        <f>IFERROR(__xludf.DUMMYFUNCTION("""COMPUTED_VALUE"""),10350.0)</f>
        <v>10350</v>
      </c>
      <c r="C492" s="2" t="str">
        <f>IFERROR(__xludf.DUMMYFUNCTION("""COMPUTED_VALUE"""),"Frasrizky Aldan")</f>
        <v>Frasrizky Aldan</v>
      </c>
      <c r="D492" s="2" t="str">
        <f>IFERROR(__xludf.DUMMYFUNCTION("""COMPUTED_VALUE"""),"10KM OVERALL M")</f>
        <v>10KM OVERALL M</v>
      </c>
      <c r="E492" s="1">
        <f>IFERROR(__xludf.DUMMYFUNCTION("""COMPUTED_VALUE"""),1.0)</f>
        <v>1</v>
      </c>
      <c r="F492" s="1" t="str">
        <f>IFERROR(__xludf.DUMMYFUNCTION("""COMPUTED_VALUE"""),"Male")</f>
        <v>Male</v>
      </c>
      <c r="G492" s="4" t="b">
        <f>IFERROR(__xludf.DUMMYFUNCTION("""COMPUTED_VALUE"""),TRUE)</f>
        <v>1</v>
      </c>
      <c r="H492" s="4" t="b">
        <f>IFERROR(__xludf.DUMMYFUNCTION("""COMPUTED_VALUE"""),TRUE)</f>
        <v>1</v>
      </c>
      <c r="I492" s="4">
        <f>IFERROR(__xludf.DUMMYFUNCTION("""COMPUTED_VALUE"""),0.24646185185185185)</f>
        <v>0.2464618519</v>
      </c>
      <c r="J492" s="4">
        <f>IFERROR(__xludf.DUMMYFUNCTION("""COMPUTED_VALUE"""),45949.25844336496)</f>
        <v>45949.25844</v>
      </c>
      <c r="K492" s="4">
        <f>IFERROR(__xludf.DUMMYFUNCTION("""COMPUTED_VALUE"""),45949.29113114202)</f>
        <v>45949.29113</v>
      </c>
      <c r="L492" s="4">
        <f>IFERROR(__xludf.DUMMYFUNCTION("""COMPUTED_VALUE"""),45949.30083142318)</f>
        <v>45949.30083</v>
      </c>
      <c r="M492" s="1" t="str">
        <f>IFERROR(__xludf.DUMMYFUNCTION("""COMPUTED_VALUE"""),"RFID")</f>
        <v>RFID</v>
      </c>
      <c r="N492" s="5">
        <f>IFERROR(__xludf.DUMMYFUNCTION("""COMPUTED_VALUE"""),0.004792606481481481)</f>
        <v>0.004792606481</v>
      </c>
      <c r="O492" s="5">
        <f>IFERROR(__xludf.DUMMYFUNCTION("""COMPUTED_VALUE"""),0.013075111111111112)</f>
        <v>0.01307511111</v>
      </c>
      <c r="P492" s="5">
        <f>IFERROR(__xludf.DUMMYFUNCTION("""COMPUTED_VALUE"""),0.003991885250985216)</f>
        <v>0.003991885251</v>
      </c>
      <c r="Q492" s="5">
        <f>IFERROR(__xludf.DUMMYFUNCTION("""COMPUTED_VALUE"""),0.005436957175925926)</f>
        <v>0.005436957176</v>
      </c>
      <c r="R492" s="4">
        <f>IFERROR(__xludf.DUMMYFUNCTION("""COMPUTED_VALUE"""),45949.05436957133)</f>
        <v>45949.05437</v>
      </c>
      <c r="S492" s="1" t="b">
        <f>IFERROR(__xludf.DUMMYFUNCTION("""COMPUTED_VALUE"""),TRUE)</f>
        <v>1</v>
      </c>
      <c r="T492" s="1" t="b">
        <f>IFERROR(__xludf.DUMMYFUNCTION("""COMPUTED_VALUE"""),FALSE)</f>
        <v>0</v>
      </c>
      <c r="U492" s="1" t="str">
        <f>IFERROR(__xludf.DUMMYFUNCTION("""COMPUTED_VALUE"""),"VALID")</f>
        <v>VALID</v>
      </c>
      <c r="V492" s="1">
        <f>IFERROR(__xludf.DUMMYFUNCTION("""COMPUTED_VALUE"""),447.0)</f>
        <v>447</v>
      </c>
      <c r="W492" s="1">
        <f>IFERROR(__xludf.DUMMYFUNCTION("""COMPUTED_VALUE"""),530.0)</f>
        <v>530</v>
      </c>
      <c r="X492" s="1">
        <f>IFERROR(__xludf.DUMMYFUNCTION("""COMPUTED_VALUE"""),1508.0)</f>
        <v>1508</v>
      </c>
      <c r="Y492" s="2"/>
      <c r="Z492" s="2"/>
    </row>
    <row r="493">
      <c r="A493" s="1">
        <f>IFERROR(__xludf.DUMMYFUNCTION("""COMPUTED_VALUE"""),492.0)</f>
        <v>492</v>
      </c>
      <c r="B493" s="1">
        <f>IFERROR(__xludf.DUMMYFUNCTION("""COMPUTED_VALUE"""),10352.0)</f>
        <v>10352</v>
      </c>
      <c r="C493" s="2" t="str">
        <f>IFERROR(__xludf.DUMMYFUNCTION("""COMPUTED_VALUE"""),"Hulaifi")</f>
        <v>Hulaifi</v>
      </c>
      <c r="D493" s="2" t="str">
        <f>IFERROR(__xludf.DUMMYFUNCTION("""COMPUTED_VALUE"""),"10KM OVERALL M")</f>
        <v>10KM OVERALL M</v>
      </c>
      <c r="E493" s="1">
        <f>IFERROR(__xludf.DUMMYFUNCTION("""COMPUTED_VALUE"""),1.0)</f>
        <v>1</v>
      </c>
      <c r="F493" s="1" t="str">
        <f>IFERROR(__xludf.DUMMYFUNCTION("""COMPUTED_VALUE"""),"Male")</f>
        <v>Male</v>
      </c>
      <c r="G493" s="4" t="str">
        <f>IFERROR(__xludf.DUMMYFUNCTION("""COMPUTED_VALUE"""),"")</f>
        <v/>
      </c>
      <c r="H493" s="4" t="b">
        <f>IFERROR(__xludf.DUMMYFUNCTION("""COMPUTED_VALUE"""),FALSE)</f>
        <v>0</v>
      </c>
      <c r="I493" s="4">
        <f>IFERROR(__xludf.DUMMYFUNCTION("""COMPUTED_VALUE"""),0.24646185185185185)</f>
        <v>0.2464618519</v>
      </c>
      <c r="J493" s="4" t="str">
        <f>IFERROR(__xludf.DUMMYFUNCTION("""COMPUTED_VALUE"""),"")</f>
        <v/>
      </c>
      <c r="K493" s="4" t="str">
        <f>IFERROR(__xludf.DUMMYFUNCTION("""COMPUTED_VALUE"""),"")</f>
        <v/>
      </c>
      <c r="L493" s="4" t="str">
        <f>IFERROR(__xludf.DUMMYFUNCTION("""COMPUTED_VALUE"""),"")</f>
        <v/>
      </c>
      <c r="M493" s="1" t="str">
        <f>IFERROR(__xludf.DUMMYFUNCTION("""COMPUTED_VALUE"""),"RFID")</f>
        <v>RFID</v>
      </c>
      <c r="N493" s="5" t="str">
        <f>IFERROR(__xludf.DUMMYFUNCTION("""COMPUTED_VALUE"""),"")</f>
        <v/>
      </c>
      <c r="O493" s="5" t="str">
        <f>IFERROR(__xludf.DUMMYFUNCTION("""COMPUTED_VALUE"""),"")</f>
        <v/>
      </c>
      <c r="P493" s="5" t="str">
        <f>IFERROR(__xludf.DUMMYFUNCTION("""COMPUTED_VALUE"""),"")</f>
        <v/>
      </c>
      <c r="Q493" s="5" t="str">
        <f>IFERROR(__xludf.DUMMYFUNCTION("""COMPUTED_VALUE"""),"")</f>
        <v/>
      </c>
      <c r="R493" s="4" t="str">
        <f>IFERROR(__xludf.DUMMYFUNCTION("""COMPUTED_VALUE"""),"")</f>
        <v/>
      </c>
      <c r="S493" s="1" t="b">
        <f>IFERROR(__xludf.DUMMYFUNCTION("""COMPUTED_VALUE"""),FALSE)</f>
        <v>0</v>
      </c>
      <c r="T493" s="1" t="b">
        <f>IFERROR(__xludf.DUMMYFUNCTION("""COMPUTED_VALUE"""),FALSE)</f>
        <v>0</v>
      </c>
      <c r="U493" s="1" t="str">
        <f>IFERROR(__xludf.DUMMYFUNCTION("""COMPUTED_VALUE"""),"DSQ")</f>
        <v>DSQ</v>
      </c>
      <c r="V493" s="1" t="str">
        <f>IFERROR(__xludf.DUMMYFUNCTION("""COMPUTED_VALUE"""),"DSQ")</f>
        <v>DSQ</v>
      </c>
      <c r="W493" s="1" t="str">
        <f>IFERROR(__xludf.DUMMYFUNCTION("""COMPUTED_VALUE"""),"DSQ")</f>
        <v>DSQ</v>
      </c>
      <c r="X493" s="1" t="str">
        <f>IFERROR(__xludf.DUMMYFUNCTION("""COMPUTED_VALUE"""),"DSQ")</f>
        <v>DSQ</v>
      </c>
      <c r="Y493" s="2"/>
      <c r="Z493" s="2" t="str">
        <f>IFERROR(__xludf.DUMMYFUNCTION("""COMPUTED_VALUE"""),"")</f>
        <v/>
      </c>
    </row>
    <row r="494">
      <c r="A494" s="1">
        <f>IFERROR(__xludf.DUMMYFUNCTION("""COMPUTED_VALUE"""),493.0)</f>
        <v>493</v>
      </c>
      <c r="B494" s="1">
        <f>IFERROR(__xludf.DUMMYFUNCTION("""COMPUTED_VALUE"""),10353.0)</f>
        <v>10353</v>
      </c>
      <c r="C494" s="2" t="str">
        <f>IFERROR(__xludf.DUMMYFUNCTION("""COMPUTED_VALUE"""),"Fano")</f>
        <v>Fano</v>
      </c>
      <c r="D494" s="2" t="str">
        <f>IFERROR(__xludf.DUMMYFUNCTION("""COMPUTED_VALUE"""),"10KM OVERALL M")</f>
        <v>10KM OVERALL M</v>
      </c>
      <c r="E494" s="1">
        <f>IFERROR(__xludf.DUMMYFUNCTION("""COMPUTED_VALUE"""),1.0)</f>
        <v>1</v>
      </c>
      <c r="F494" s="1" t="str">
        <f>IFERROR(__xludf.DUMMYFUNCTION("""COMPUTED_VALUE"""),"Male")</f>
        <v>Male</v>
      </c>
      <c r="G494" s="4" t="b">
        <f>IFERROR(__xludf.DUMMYFUNCTION("""COMPUTED_VALUE"""),TRUE)</f>
        <v>1</v>
      </c>
      <c r="H494" s="4" t="b">
        <f>IFERROR(__xludf.DUMMYFUNCTION("""COMPUTED_VALUE"""),FALSE)</f>
        <v>0</v>
      </c>
      <c r="I494" s="4">
        <f>IFERROR(__xludf.DUMMYFUNCTION("""COMPUTED_VALUE"""),0.24646185185185185)</f>
        <v>0.2464618519</v>
      </c>
      <c r="J494" s="4">
        <f>IFERROR(__xludf.DUMMYFUNCTION("""COMPUTED_VALUE"""),45949.25439915546)</f>
        <v>45949.2544</v>
      </c>
      <c r="K494" s="4">
        <f>IFERROR(__xludf.DUMMYFUNCTION("""COMPUTED_VALUE"""),45949.27629270854)</f>
        <v>45949.27629</v>
      </c>
      <c r="L494" s="4">
        <f>IFERROR(__xludf.DUMMYFUNCTION("""COMPUTED_VALUE"""),45949.28281408211)</f>
        <v>45949.28281</v>
      </c>
      <c r="M494" s="1" t="str">
        <f>IFERROR(__xludf.DUMMYFUNCTION("""COMPUTED_VALUE"""),"RFID")</f>
        <v>RFID</v>
      </c>
      <c r="N494" s="5">
        <f>IFERROR(__xludf.DUMMYFUNCTION("""COMPUTED_VALUE"""),0.0031749212962962963)</f>
        <v>0.003174921296</v>
      </c>
      <c r="O494" s="5">
        <f>IFERROR(__xludf.DUMMYFUNCTION("""COMPUTED_VALUE"""),0.008757421296296298)</f>
        <v>0.008757421296</v>
      </c>
      <c r="P494" s="5">
        <f>IFERROR(__xludf.DUMMYFUNCTION("""COMPUTED_VALUE"""),0.0026836928251820305)</f>
        <v>0.002683692825</v>
      </c>
      <c r="Q494" s="5">
        <f>IFERROR(__xludf.DUMMYFUNCTION("""COMPUTED_VALUE"""),0.0036352233796296297)</f>
        <v>0.00363522338</v>
      </c>
      <c r="R494" s="4">
        <f>IFERROR(__xludf.DUMMYFUNCTION("""COMPUTED_VALUE"""),45949.03635223026)</f>
        <v>45949.03635</v>
      </c>
      <c r="S494" s="1" t="b">
        <f>IFERROR(__xludf.DUMMYFUNCTION("""COMPUTED_VALUE"""),TRUE)</f>
        <v>1</v>
      </c>
      <c r="T494" s="1" t="b">
        <f>IFERROR(__xludf.DUMMYFUNCTION("""COMPUTED_VALUE"""),FALSE)</f>
        <v>0</v>
      </c>
      <c r="U494" s="1" t="str">
        <f>IFERROR(__xludf.DUMMYFUNCTION("""COMPUTED_VALUE"""),"VALID")</f>
        <v>VALID</v>
      </c>
      <c r="V494" s="1">
        <f>IFERROR(__xludf.DUMMYFUNCTION("""COMPUTED_VALUE"""),49.0)</f>
        <v>49</v>
      </c>
      <c r="W494" s="1">
        <f>IFERROR(__xludf.DUMMYFUNCTION("""COMPUTED_VALUE"""),61.0)</f>
        <v>61</v>
      </c>
      <c r="X494" s="1">
        <f>IFERROR(__xludf.DUMMYFUNCTION("""COMPUTED_VALUE"""),797.0)</f>
        <v>797</v>
      </c>
      <c r="Y494" s="2"/>
      <c r="Z494" s="2"/>
    </row>
    <row r="495">
      <c r="A495" s="1">
        <f>IFERROR(__xludf.DUMMYFUNCTION("""COMPUTED_VALUE"""),494.0)</f>
        <v>494</v>
      </c>
      <c r="B495" s="1">
        <f>IFERROR(__xludf.DUMMYFUNCTION("""COMPUTED_VALUE"""),10354.0)</f>
        <v>10354</v>
      </c>
      <c r="C495" s="2" t="str">
        <f>IFERROR(__xludf.DUMMYFUNCTION("""COMPUTED_VALUE"""),"Ikhwan A")</f>
        <v>Ikhwan A</v>
      </c>
      <c r="D495" s="2" t="str">
        <f>IFERROR(__xludf.DUMMYFUNCTION("""COMPUTED_VALUE"""),"10KM OVERALL M")</f>
        <v>10KM OVERALL M</v>
      </c>
      <c r="E495" s="1">
        <f>IFERROR(__xludf.DUMMYFUNCTION("""COMPUTED_VALUE"""),1.0)</f>
        <v>1</v>
      </c>
      <c r="F495" s="1" t="str">
        <f>IFERROR(__xludf.DUMMYFUNCTION("""COMPUTED_VALUE"""),"Male")</f>
        <v>Male</v>
      </c>
      <c r="G495" s="4" t="b">
        <f>IFERROR(__xludf.DUMMYFUNCTION("""COMPUTED_VALUE"""),TRUE)</f>
        <v>1</v>
      </c>
      <c r="H495" s="4" t="b">
        <f>IFERROR(__xludf.DUMMYFUNCTION("""COMPUTED_VALUE"""),TRUE)</f>
        <v>1</v>
      </c>
      <c r="I495" s="4">
        <f>IFERROR(__xludf.DUMMYFUNCTION("""COMPUTED_VALUE"""),0.24646185185185185)</f>
        <v>0.2464618519</v>
      </c>
      <c r="J495" s="4">
        <f>IFERROR(__xludf.DUMMYFUNCTION("""COMPUTED_VALUE"""),45949.26024890455)</f>
        <v>45949.26025</v>
      </c>
      <c r="K495" s="4">
        <f>IFERROR(__xludf.DUMMYFUNCTION("""COMPUTED_VALUE"""),45949.296572632586)</f>
        <v>45949.29657</v>
      </c>
      <c r="L495" s="4">
        <f>IFERROR(__xludf.DUMMYFUNCTION("""COMPUTED_VALUE"""),45949.30761267539)</f>
        <v>45949.30761</v>
      </c>
      <c r="M495" s="1" t="str">
        <f>IFERROR(__xludf.DUMMYFUNCTION("""COMPUTED_VALUE"""),"RFID")</f>
        <v>RFID</v>
      </c>
      <c r="N495" s="5">
        <f>IFERROR(__xludf.DUMMYFUNCTION("""COMPUTED_VALUE"""),0.005514819444444445)</f>
        <v>0.005514819444</v>
      </c>
      <c r="O495" s="5">
        <f>IFERROR(__xludf.DUMMYFUNCTION("""COMPUTED_VALUE"""),0.014529490740740742)</f>
        <v>0.01452949074</v>
      </c>
      <c r="P495" s="5">
        <f>IFERROR(__xludf.DUMMYFUNCTION("""COMPUTED_VALUE"""),0.004543227490556039)</f>
        <v>0.004543227491</v>
      </c>
      <c r="Q495" s="5">
        <f>IFERROR(__xludf.DUMMYFUNCTION("""COMPUTED_VALUE"""),0.006115082175925926)</f>
        <v>0.006115082176</v>
      </c>
      <c r="R495" s="4">
        <f>IFERROR(__xludf.DUMMYFUNCTION("""COMPUTED_VALUE"""),45949.06115082354)</f>
        <v>45949.06115</v>
      </c>
      <c r="S495" s="1" t="b">
        <f>IFERROR(__xludf.DUMMYFUNCTION("""COMPUTED_VALUE"""),TRUE)</f>
        <v>1</v>
      </c>
      <c r="T495" s="1" t="b">
        <f>IFERROR(__xludf.DUMMYFUNCTION("""COMPUTED_VALUE"""),FALSE)</f>
        <v>0</v>
      </c>
      <c r="U495" s="1" t="str">
        <f>IFERROR(__xludf.DUMMYFUNCTION("""COMPUTED_VALUE"""),"VALID")</f>
        <v>VALID</v>
      </c>
      <c r="V495" s="1">
        <f>IFERROR(__xludf.DUMMYFUNCTION("""COMPUTED_VALUE"""),543.0)</f>
        <v>543</v>
      </c>
      <c r="W495" s="1">
        <f>IFERROR(__xludf.DUMMYFUNCTION("""COMPUTED_VALUE"""),667.0)</f>
        <v>667</v>
      </c>
      <c r="X495" s="1">
        <f>IFERROR(__xludf.DUMMYFUNCTION("""COMPUTED_VALUE"""),1618.0)</f>
        <v>1618</v>
      </c>
      <c r="Y495" s="2"/>
      <c r="Z495" s="2"/>
    </row>
    <row r="496">
      <c r="A496" s="1">
        <f>IFERROR(__xludf.DUMMYFUNCTION("""COMPUTED_VALUE"""),495.0)</f>
        <v>495</v>
      </c>
      <c r="B496" s="1">
        <f>IFERROR(__xludf.DUMMYFUNCTION("""COMPUTED_VALUE"""),10355.0)</f>
        <v>10355</v>
      </c>
      <c r="C496" s="2" t="str">
        <f>IFERROR(__xludf.DUMMYFUNCTION("""COMPUTED_VALUE"""),"LUIL MAKNUN")</f>
        <v>LUIL MAKNUN</v>
      </c>
      <c r="D496" s="2" t="str">
        <f>IFERROR(__xludf.DUMMYFUNCTION("""COMPUTED_VALUE"""),"10KM OVERALL M")</f>
        <v>10KM OVERALL M</v>
      </c>
      <c r="E496" s="1">
        <f>IFERROR(__xludf.DUMMYFUNCTION("""COMPUTED_VALUE"""),1.0)</f>
        <v>1</v>
      </c>
      <c r="F496" s="1" t="str">
        <f>IFERROR(__xludf.DUMMYFUNCTION("""COMPUTED_VALUE"""),"Male")</f>
        <v>Male</v>
      </c>
      <c r="G496" s="4" t="b">
        <f>IFERROR(__xludf.DUMMYFUNCTION("""COMPUTED_VALUE"""),TRUE)</f>
        <v>1</v>
      </c>
      <c r="H496" s="4" t="b">
        <f>IFERROR(__xludf.DUMMYFUNCTION("""COMPUTED_VALUE"""),TRUE)</f>
        <v>1</v>
      </c>
      <c r="I496" s="4">
        <f>IFERROR(__xludf.DUMMYFUNCTION("""COMPUTED_VALUE"""),0.24646185185185185)</f>
        <v>0.2464618519</v>
      </c>
      <c r="J496" s="4">
        <f>IFERROR(__xludf.DUMMYFUNCTION("""COMPUTED_VALUE"""),45949.25957534955)</f>
        <v>45949.25958</v>
      </c>
      <c r="K496" s="4">
        <f>IFERROR(__xludf.DUMMYFUNCTION("""COMPUTED_VALUE"""),45949.29316231835)</f>
        <v>45949.29316</v>
      </c>
      <c r="L496" s="4">
        <f>IFERROR(__xludf.DUMMYFUNCTION("""COMPUTED_VALUE"""),45949.302765452434)</f>
        <v>45949.30277</v>
      </c>
      <c r="M496" s="1" t="str">
        <f>IFERROR(__xludf.DUMMYFUNCTION("""COMPUTED_VALUE"""),"RFID")</f>
        <v>RFID</v>
      </c>
      <c r="N496" s="5">
        <f>IFERROR(__xludf.DUMMYFUNCTION("""COMPUTED_VALUE"""),0.005245398148148148)</f>
        <v>0.005245398148</v>
      </c>
      <c r="O496" s="5">
        <f>IFERROR(__xludf.DUMMYFUNCTION("""COMPUTED_VALUE"""),0.013434787037037038)</f>
        <v>0.01343478704</v>
      </c>
      <c r="P496" s="5">
        <f>IFERROR(__xludf.DUMMYFUNCTION("""COMPUTED_VALUE"""),0.00395190703178135)</f>
        <v>0.003951907032</v>
      </c>
      <c r="Q496" s="5">
        <f>IFERROR(__xludf.DUMMYFUNCTION("""COMPUTED_VALUE"""),0.005630359953703704)</f>
        <v>0.005630359954</v>
      </c>
      <c r="R496" s="4">
        <f>IFERROR(__xludf.DUMMYFUNCTION("""COMPUTED_VALUE"""),45949.056303600584)</f>
        <v>45949.0563</v>
      </c>
      <c r="S496" s="1" t="b">
        <f>IFERROR(__xludf.DUMMYFUNCTION("""COMPUTED_VALUE"""),TRUE)</f>
        <v>1</v>
      </c>
      <c r="T496" s="1" t="b">
        <f>IFERROR(__xludf.DUMMYFUNCTION("""COMPUTED_VALUE"""),FALSE)</f>
        <v>0</v>
      </c>
      <c r="U496" s="1" t="str">
        <f>IFERROR(__xludf.DUMMYFUNCTION("""COMPUTED_VALUE"""),"VALID")</f>
        <v>VALID</v>
      </c>
      <c r="V496" s="1">
        <f>IFERROR(__xludf.DUMMYFUNCTION("""COMPUTED_VALUE"""),485.0)</f>
        <v>485</v>
      </c>
      <c r="W496" s="1">
        <f>IFERROR(__xludf.DUMMYFUNCTION("""COMPUTED_VALUE"""),581.0)</f>
        <v>581</v>
      </c>
      <c r="X496" s="1">
        <f>IFERROR(__xludf.DUMMYFUNCTION("""COMPUTED_VALUE"""),1553.0)</f>
        <v>1553</v>
      </c>
      <c r="Y496" s="2"/>
      <c r="Z496" s="2"/>
    </row>
    <row r="497">
      <c r="A497" s="1">
        <f>IFERROR(__xludf.DUMMYFUNCTION("""COMPUTED_VALUE"""),496.0)</f>
        <v>496</v>
      </c>
      <c r="B497" s="1">
        <f>IFERROR(__xludf.DUMMYFUNCTION("""COMPUTED_VALUE"""),10356.0)</f>
        <v>10356</v>
      </c>
      <c r="C497" s="2" t="str">
        <f>IFERROR(__xludf.DUMMYFUNCTION("""COMPUTED_VALUE"""),"Dayat")</f>
        <v>Dayat</v>
      </c>
      <c r="D497" s="2" t="str">
        <f>IFERROR(__xludf.DUMMYFUNCTION("""COMPUTED_VALUE"""),"10KM OVERALL M")</f>
        <v>10KM OVERALL M</v>
      </c>
      <c r="E497" s="1">
        <f>IFERROR(__xludf.DUMMYFUNCTION("""COMPUTED_VALUE"""),1.0)</f>
        <v>1</v>
      </c>
      <c r="F497" s="1" t="str">
        <f>IFERROR(__xludf.DUMMYFUNCTION("""COMPUTED_VALUE"""),"Male")</f>
        <v>Male</v>
      </c>
      <c r="G497" s="4" t="b">
        <f>IFERROR(__xludf.DUMMYFUNCTION("""COMPUTED_VALUE"""),TRUE)</f>
        <v>1</v>
      </c>
      <c r="H497" s="4" t="b">
        <f>IFERROR(__xludf.DUMMYFUNCTION("""COMPUTED_VALUE"""),TRUE)</f>
        <v>1</v>
      </c>
      <c r="I497" s="4">
        <f>IFERROR(__xludf.DUMMYFUNCTION("""COMPUTED_VALUE"""),0.24646185185185185)</f>
        <v>0.2464618519</v>
      </c>
      <c r="J497" s="4">
        <f>IFERROR(__xludf.DUMMYFUNCTION("""COMPUTED_VALUE"""),45949.259943354205)</f>
        <v>45949.25994</v>
      </c>
      <c r="K497" s="4">
        <f>IFERROR(__xludf.DUMMYFUNCTION("""COMPUTED_VALUE"""),45949.2941624963)</f>
        <v>45949.29416</v>
      </c>
      <c r="L497" s="4">
        <f>IFERROR(__xludf.DUMMYFUNCTION("""COMPUTED_VALUE"""),45949.3043591659)</f>
        <v>45949.30436</v>
      </c>
      <c r="M497" s="1" t="str">
        <f>IFERROR(__xludf.DUMMYFUNCTION("""COMPUTED_VALUE"""),"RFID")</f>
        <v>RFID</v>
      </c>
      <c r="N497" s="5">
        <f>IFERROR(__xludf.DUMMYFUNCTION("""COMPUTED_VALUE"""),0.0053926018518518515)</f>
        <v>0.005392601852</v>
      </c>
      <c r="O497" s="5">
        <f>IFERROR(__xludf.DUMMYFUNCTION("""COMPUTED_VALUE"""),0.013687657407407409)</f>
        <v>0.01368765741</v>
      </c>
      <c r="P497" s="5">
        <f>IFERROR(__xludf.DUMMYFUNCTION("""COMPUTED_VALUE"""),0.004196160330045239)</f>
        <v>0.00419616033</v>
      </c>
      <c r="Q497" s="5">
        <f>IFERROR(__xludf.DUMMYFUNCTION("""COMPUTED_VALUE"""),0.005789731481481482)</f>
        <v>0.005789731481</v>
      </c>
      <c r="R497" s="4">
        <f>IFERROR(__xludf.DUMMYFUNCTION("""COMPUTED_VALUE"""),45949.05789731405)</f>
        <v>45949.0579</v>
      </c>
      <c r="S497" s="1" t="b">
        <f>IFERROR(__xludf.DUMMYFUNCTION("""COMPUTED_VALUE"""),TRUE)</f>
        <v>1</v>
      </c>
      <c r="T497" s="1" t="b">
        <f>IFERROR(__xludf.DUMMYFUNCTION("""COMPUTED_VALUE"""),FALSE)</f>
        <v>0</v>
      </c>
      <c r="U497" s="1" t="str">
        <f>IFERROR(__xludf.DUMMYFUNCTION("""COMPUTED_VALUE"""),"VALID")</f>
        <v>VALID</v>
      </c>
      <c r="V497" s="1">
        <f>IFERROR(__xludf.DUMMYFUNCTION("""COMPUTED_VALUE"""),511.0)</f>
        <v>511</v>
      </c>
      <c r="W497" s="1">
        <f>IFERROR(__xludf.DUMMYFUNCTION("""COMPUTED_VALUE"""),620.0)</f>
        <v>620</v>
      </c>
      <c r="X497" s="1">
        <f>IFERROR(__xludf.DUMMYFUNCTION("""COMPUTED_VALUE"""),1584.0)</f>
        <v>1584</v>
      </c>
      <c r="Y497" s="2"/>
      <c r="Z497" s="2"/>
    </row>
    <row r="498">
      <c r="A498" s="1">
        <f>IFERROR(__xludf.DUMMYFUNCTION("""COMPUTED_VALUE"""),497.0)</f>
        <v>497</v>
      </c>
      <c r="B498" s="1">
        <f>IFERROR(__xludf.DUMMYFUNCTION("""COMPUTED_VALUE"""),10357.0)</f>
        <v>10357</v>
      </c>
      <c r="C498" s="2" t="str">
        <f>IFERROR(__xludf.DUMMYFUNCTION("""COMPUTED_VALUE"""),"Mr. Joe")</f>
        <v>Mr. Joe</v>
      </c>
      <c r="D498" s="2" t="str">
        <f>IFERROR(__xludf.DUMMYFUNCTION("""COMPUTED_VALUE"""),"10KM OVERALL M")</f>
        <v>10KM OVERALL M</v>
      </c>
      <c r="E498" s="1">
        <f>IFERROR(__xludf.DUMMYFUNCTION("""COMPUTED_VALUE"""),1.0)</f>
        <v>1</v>
      </c>
      <c r="F498" s="1" t="str">
        <f>IFERROR(__xludf.DUMMYFUNCTION("""COMPUTED_VALUE"""),"Male")</f>
        <v>Male</v>
      </c>
      <c r="G498" s="4" t="str">
        <f>IFERROR(__xludf.DUMMYFUNCTION("""COMPUTED_VALUE"""),"")</f>
        <v/>
      </c>
      <c r="H498" s="4" t="b">
        <f>IFERROR(__xludf.DUMMYFUNCTION("""COMPUTED_VALUE"""),TRUE)</f>
        <v>1</v>
      </c>
      <c r="I498" s="4">
        <f>IFERROR(__xludf.DUMMYFUNCTION("""COMPUTED_VALUE"""),0.24646185185185185)</f>
        <v>0.2464618519</v>
      </c>
      <c r="J498" s="4">
        <f>IFERROR(__xludf.DUMMYFUNCTION("""COMPUTED_VALUE"""),45949.25780107394)</f>
        <v>45949.2578</v>
      </c>
      <c r="K498" s="4">
        <f>IFERROR(__xludf.DUMMYFUNCTION("""COMPUTED_VALUE"""),45949.29130477466)</f>
        <v>45949.2913</v>
      </c>
      <c r="L498" s="4">
        <f>IFERROR(__xludf.DUMMYFUNCTION("""COMPUTED_VALUE"""),45949.300522340665)</f>
        <v>45949.30052</v>
      </c>
      <c r="M498" s="1" t="str">
        <f>IFERROR(__xludf.DUMMYFUNCTION("""COMPUTED_VALUE"""),"RFID")</f>
        <v>RFID</v>
      </c>
      <c r="N498" s="5">
        <f>IFERROR(__xludf.DUMMYFUNCTION("""COMPUTED_VALUE"""),0.0045356898148148144)</f>
        <v>0.004535689815</v>
      </c>
      <c r="O498" s="5">
        <f>IFERROR(__xludf.DUMMYFUNCTION("""COMPUTED_VALUE"""),0.013401481481481481)</f>
        <v>0.01340148148</v>
      </c>
      <c r="P498" s="5">
        <f>IFERROR(__xludf.DUMMYFUNCTION("""COMPUTED_VALUE"""),0.0037932370382374524)</f>
        <v>0.003793237038</v>
      </c>
      <c r="Q498" s="5">
        <f>IFERROR(__xludf.DUMMYFUNCTION("""COMPUTED_VALUE"""),0.0054060486111111115)</f>
        <v>0.005406048611</v>
      </c>
      <c r="R498" s="4">
        <f>IFERROR(__xludf.DUMMYFUNCTION("""COMPUTED_VALUE"""),45949.054060488816)</f>
        <v>45949.05406</v>
      </c>
      <c r="S498" s="1" t="b">
        <f>IFERROR(__xludf.DUMMYFUNCTION("""COMPUTED_VALUE"""),TRUE)</f>
        <v>1</v>
      </c>
      <c r="T498" s="1" t="b">
        <f>IFERROR(__xludf.DUMMYFUNCTION("""COMPUTED_VALUE"""),FALSE)</f>
        <v>0</v>
      </c>
      <c r="U498" s="1" t="str">
        <f>IFERROR(__xludf.DUMMYFUNCTION("""COMPUTED_VALUE"""),"VALID")</f>
        <v>VALID</v>
      </c>
      <c r="V498" s="1">
        <f>IFERROR(__xludf.DUMMYFUNCTION("""COMPUTED_VALUE"""),426.0)</f>
        <v>426</v>
      </c>
      <c r="W498" s="1">
        <f>IFERROR(__xludf.DUMMYFUNCTION("""COMPUTED_VALUE"""),508.0)</f>
        <v>508</v>
      </c>
      <c r="X498" s="1">
        <f>IFERROR(__xludf.DUMMYFUNCTION("""COMPUTED_VALUE"""),1486.0)</f>
        <v>1486</v>
      </c>
      <c r="Y498" s="2"/>
      <c r="Z498" s="2"/>
    </row>
    <row r="499">
      <c r="A499" s="1">
        <f>IFERROR(__xludf.DUMMYFUNCTION("""COMPUTED_VALUE"""),498.0)</f>
        <v>498</v>
      </c>
      <c r="B499" s="1">
        <f>IFERROR(__xludf.DUMMYFUNCTION("""COMPUTED_VALUE"""),10359.0)</f>
        <v>10359</v>
      </c>
      <c r="C499" s="2" t="str">
        <f>IFERROR(__xludf.DUMMYFUNCTION("""COMPUTED_VALUE"""),"Hari Prayitno")</f>
        <v>Hari Prayitno</v>
      </c>
      <c r="D499" s="2" t="str">
        <f>IFERROR(__xludf.DUMMYFUNCTION("""COMPUTED_VALUE"""),"10KM OVERALL M")</f>
        <v>10KM OVERALL M</v>
      </c>
      <c r="E499" s="1">
        <f>IFERROR(__xludf.DUMMYFUNCTION("""COMPUTED_VALUE"""),1.0)</f>
        <v>1</v>
      </c>
      <c r="F499" s="1" t="str">
        <f>IFERROR(__xludf.DUMMYFUNCTION("""COMPUTED_VALUE"""),"Male")</f>
        <v>Male</v>
      </c>
      <c r="G499" s="4" t="b">
        <f>IFERROR(__xludf.DUMMYFUNCTION("""COMPUTED_VALUE"""),TRUE)</f>
        <v>1</v>
      </c>
      <c r="H499" s="4" t="b">
        <f>IFERROR(__xludf.DUMMYFUNCTION("""COMPUTED_VALUE"""),FALSE)</f>
        <v>0</v>
      </c>
      <c r="I499" s="4">
        <f>IFERROR(__xludf.DUMMYFUNCTION("""COMPUTED_VALUE"""),0.24646185185185185)</f>
        <v>0.2464618519</v>
      </c>
      <c r="J499" s="4">
        <f>IFERROR(__xludf.DUMMYFUNCTION("""COMPUTED_VALUE"""),45949.2601135084)</f>
        <v>45949.26011</v>
      </c>
      <c r="K499" s="4">
        <f>IFERROR(__xludf.DUMMYFUNCTION("""COMPUTED_VALUE"""),45949.29445398973)</f>
        <v>45949.29445</v>
      </c>
      <c r="L499" s="4">
        <f>IFERROR(__xludf.DUMMYFUNCTION("""COMPUTED_VALUE"""),45949.30541124966)</f>
        <v>45949.30541</v>
      </c>
      <c r="M499" s="1" t="str">
        <f>IFERROR(__xludf.DUMMYFUNCTION("""COMPUTED_VALUE"""),"RFID")</f>
        <v>RFID</v>
      </c>
      <c r="N499" s="5">
        <f>IFERROR(__xludf.DUMMYFUNCTION("""COMPUTED_VALUE"""),0.0054606620370370364)</f>
        <v>0.005460662037</v>
      </c>
      <c r="O499" s="5">
        <f>IFERROR(__xludf.DUMMYFUNCTION("""COMPUTED_VALUE"""),0.013736194444444443)</f>
        <v>0.01373619444</v>
      </c>
      <c r="P499" s="5">
        <f>IFERROR(__xludf.DUMMYFUNCTION("""COMPUTED_VALUE"""),0.0045091604659192016)</f>
        <v>0.004509160466</v>
      </c>
      <c r="Q499" s="5">
        <f>IFERROR(__xludf.DUMMYFUNCTION("""COMPUTED_VALUE"""),0.005894939814814815)</f>
        <v>0.005894939815</v>
      </c>
      <c r="R499" s="4">
        <f>IFERROR(__xludf.DUMMYFUNCTION("""COMPUTED_VALUE"""),45949.05894939781)</f>
        <v>45949.05895</v>
      </c>
      <c r="S499" s="1" t="b">
        <f>IFERROR(__xludf.DUMMYFUNCTION("""COMPUTED_VALUE"""),TRUE)</f>
        <v>1</v>
      </c>
      <c r="T499" s="1" t="b">
        <f>IFERROR(__xludf.DUMMYFUNCTION("""COMPUTED_VALUE"""),FALSE)</f>
        <v>0</v>
      </c>
      <c r="U499" s="1" t="str">
        <f>IFERROR(__xludf.DUMMYFUNCTION("""COMPUTED_VALUE"""),"VALID")</f>
        <v>VALID</v>
      </c>
      <c r="V499" s="1">
        <f>IFERROR(__xludf.DUMMYFUNCTION("""COMPUTED_VALUE"""),521.0)</f>
        <v>521</v>
      </c>
      <c r="W499" s="1">
        <f>IFERROR(__xludf.DUMMYFUNCTION("""COMPUTED_VALUE"""),634.0)</f>
        <v>634</v>
      </c>
      <c r="X499" s="1">
        <f>IFERROR(__xludf.DUMMYFUNCTION("""COMPUTED_VALUE"""),1595.0)</f>
        <v>1595</v>
      </c>
      <c r="Y499" s="2"/>
      <c r="Z499" s="2"/>
    </row>
    <row r="500">
      <c r="A500" s="1">
        <f>IFERROR(__xludf.DUMMYFUNCTION("""COMPUTED_VALUE"""),499.0)</f>
        <v>499</v>
      </c>
      <c r="B500" s="1">
        <f>IFERROR(__xludf.DUMMYFUNCTION("""COMPUTED_VALUE"""),10360.0)</f>
        <v>10360</v>
      </c>
      <c r="C500" s="2" t="str">
        <f>IFERROR(__xludf.DUMMYFUNCTION("""COMPUTED_VALUE"""),"Abuy Mahbub")</f>
        <v>Abuy Mahbub</v>
      </c>
      <c r="D500" s="2" t="str">
        <f>IFERROR(__xludf.DUMMYFUNCTION("""COMPUTED_VALUE"""),"10KM OVERALL M")</f>
        <v>10KM OVERALL M</v>
      </c>
      <c r="E500" s="1">
        <f>IFERROR(__xludf.DUMMYFUNCTION("""COMPUTED_VALUE"""),1.0)</f>
        <v>1</v>
      </c>
      <c r="F500" s="1" t="str">
        <f>IFERROR(__xludf.DUMMYFUNCTION("""COMPUTED_VALUE"""),"Male")</f>
        <v>Male</v>
      </c>
      <c r="G500" s="4" t="b">
        <f>IFERROR(__xludf.DUMMYFUNCTION("""COMPUTED_VALUE"""),TRUE)</f>
        <v>1</v>
      </c>
      <c r="H500" s="4" t="b">
        <f>IFERROR(__xludf.DUMMYFUNCTION("""COMPUTED_VALUE"""),TRUE)</f>
        <v>1</v>
      </c>
      <c r="I500" s="4">
        <f>IFERROR(__xludf.DUMMYFUNCTION("""COMPUTED_VALUE"""),0.24646185185185185)</f>
        <v>0.2464618519</v>
      </c>
      <c r="J500" s="4">
        <f>IFERROR(__xludf.DUMMYFUNCTION("""COMPUTED_VALUE"""),45949.25434620502)</f>
        <v>45949.25435</v>
      </c>
      <c r="K500" s="4">
        <f>IFERROR(__xludf.DUMMYFUNCTION("""COMPUTED_VALUE"""),45949.27570977186)</f>
        <v>45949.27571</v>
      </c>
      <c r="L500" s="4">
        <f>IFERROR(__xludf.DUMMYFUNCTION("""COMPUTED_VALUE"""),45949.28185572605)</f>
        <v>45949.28186</v>
      </c>
      <c r="M500" s="1" t="str">
        <f>IFERROR(__xludf.DUMMYFUNCTION("""COMPUTED_VALUE"""),"RFID")</f>
        <v>RFID</v>
      </c>
      <c r="N500" s="5">
        <f>IFERROR(__xludf.DUMMYFUNCTION("""COMPUTED_VALUE"""),0.0031537407407407404)</f>
        <v>0.003153740741</v>
      </c>
      <c r="O500" s="5">
        <f>IFERROR(__xludf.DUMMYFUNCTION("""COMPUTED_VALUE"""),0.008545425925925925)</f>
        <v>0.008545425926</v>
      </c>
      <c r="P500" s="5">
        <f>IFERROR(__xludf.DUMMYFUNCTION("""COMPUTED_VALUE"""),0.0025291992552624438)</f>
        <v>0.002529199255</v>
      </c>
      <c r="Q500" s="5">
        <f>IFERROR(__xludf.DUMMYFUNCTION("""COMPUTED_VALUE"""),0.003539387731481482)</f>
        <v>0.003539387731</v>
      </c>
      <c r="R500" s="4">
        <f>IFERROR(__xludf.DUMMYFUNCTION("""COMPUTED_VALUE"""),45949.0353938742)</f>
        <v>45949.03539</v>
      </c>
      <c r="S500" s="1" t="b">
        <f>IFERROR(__xludf.DUMMYFUNCTION("""COMPUTED_VALUE"""),TRUE)</f>
        <v>1</v>
      </c>
      <c r="T500" s="1" t="b">
        <f>IFERROR(__xludf.DUMMYFUNCTION("""COMPUTED_VALUE"""),FALSE)</f>
        <v>0</v>
      </c>
      <c r="U500" s="1" t="str">
        <f>IFERROR(__xludf.DUMMYFUNCTION("""COMPUTED_VALUE"""),"VALID")</f>
        <v>VALID</v>
      </c>
      <c r="V500" s="1">
        <f>IFERROR(__xludf.DUMMYFUNCTION("""COMPUTED_VALUE"""),36.0)</f>
        <v>36</v>
      </c>
      <c r="W500" s="1">
        <f>IFERROR(__xludf.DUMMYFUNCTION("""COMPUTED_VALUE"""),44.0)</f>
        <v>44</v>
      </c>
      <c r="X500" s="1">
        <f>IFERROR(__xludf.DUMMYFUNCTION("""COMPUTED_VALUE"""),743.0)</f>
        <v>743</v>
      </c>
      <c r="Y500" s="2"/>
      <c r="Z500" s="2"/>
    </row>
    <row r="501">
      <c r="A501" s="1">
        <f>IFERROR(__xludf.DUMMYFUNCTION("""COMPUTED_VALUE"""),500.0)</f>
        <v>500</v>
      </c>
      <c r="B501" s="1">
        <f>IFERROR(__xludf.DUMMYFUNCTION("""COMPUTED_VALUE"""),10361.0)</f>
        <v>10361</v>
      </c>
      <c r="C501" s="2" t="str">
        <f>IFERROR(__xludf.DUMMYFUNCTION("""COMPUTED_VALUE"""),"Rizky W")</f>
        <v>Rizky W</v>
      </c>
      <c r="D501" s="2" t="str">
        <f>IFERROR(__xludf.DUMMYFUNCTION("""COMPUTED_VALUE"""),"10KM OVERALL M")</f>
        <v>10KM OVERALL M</v>
      </c>
      <c r="E501" s="1">
        <f>IFERROR(__xludf.DUMMYFUNCTION("""COMPUTED_VALUE"""),1.0)</f>
        <v>1</v>
      </c>
      <c r="F501" s="1" t="str">
        <f>IFERROR(__xludf.DUMMYFUNCTION("""COMPUTED_VALUE"""),"Male")</f>
        <v>Male</v>
      </c>
      <c r="G501" s="4" t="b">
        <f>IFERROR(__xludf.DUMMYFUNCTION("""COMPUTED_VALUE"""),TRUE)</f>
        <v>1</v>
      </c>
      <c r="H501" s="4" t="b">
        <f>IFERROR(__xludf.DUMMYFUNCTION("""COMPUTED_VALUE"""),FALSE)</f>
        <v>0</v>
      </c>
      <c r="I501" s="4">
        <f>IFERROR(__xludf.DUMMYFUNCTION("""COMPUTED_VALUE"""),0.24646185185185185)</f>
        <v>0.2464618519</v>
      </c>
      <c r="J501" s="4">
        <f>IFERROR(__xludf.DUMMYFUNCTION("""COMPUTED_VALUE"""),45949.25436702625)</f>
        <v>45949.25437</v>
      </c>
      <c r="K501" s="4">
        <f>IFERROR(__xludf.DUMMYFUNCTION("""COMPUTED_VALUE"""),45949.27738248992)</f>
        <v>45949.27738</v>
      </c>
      <c r="L501" s="4">
        <f>IFERROR(__xludf.DUMMYFUNCTION("""COMPUTED_VALUE"""),45949.28392865834)</f>
        <v>45949.28393</v>
      </c>
      <c r="M501" s="1" t="str">
        <f>IFERROR(__xludf.DUMMYFUNCTION("""COMPUTED_VALUE"""),"RFID")</f>
        <v>RFID</v>
      </c>
      <c r="N501" s="5">
        <f>IFERROR(__xludf.DUMMYFUNCTION("""COMPUTED_VALUE"""),0.0031620694444444443)</f>
        <v>0.003162069444</v>
      </c>
      <c r="O501" s="5">
        <f>IFERROR(__xludf.DUMMYFUNCTION("""COMPUTED_VALUE"""),0.009206185185185185)</f>
        <v>0.009206185185</v>
      </c>
      <c r="P501" s="5">
        <f>IFERROR(__xludf.DUMMYFUNCTION("""COMPUTED_VALUE"""),0.0026938964694464356)</f>
        <v>0.002693896469</v>
      </c>
      <c r="Q501" s="5">
        <f>IFERROR(__xludf.DUMMYFUNCTION("""COMPUTED_VALUE"""),0.003746680555555556)</f>
        <v>0.003746680556</v>
      </c>
      <c r="R501" s="4">
        <f>IFERROR(__xludf.DUMMYFUNCTION("""COMPUTED_VALUE"""),45949.03746680649)</f>
        <v>45949.03747</v>
      </c>
      <c r="S501" s="1" t="b">
        <f>IFERROR(__xludf.DUMMYFUNCTION("""COMPUTED_VALUE"""),TRUE)</f>
        <v>1</v>
      </c>
      <c r="T501" s="1" t="b">
        <f>IFERROR(__xludf.DUMMYFUNCTION("""COMPUTED_VALUE"""),FALSE)</f>
        <v>0</v>
      </c>
      <c r="U501" s="1" t="str">
        <f>IFERROR(__xludf.DUMMYFUNCTION("""COMPUTED_VALUE"""),"VALID")</f>
        <v>VALID</v>
      </c>
      <c r="V501" s="1">
        <f>IFERROR(__xludf.DUMMYFUNCTION("""COMPUTED_VALUE"""),61.0)</f>
        <v>61</v>
      </c>
      <c r="W501" s="1">
        <f>IFERROR(__xludf.DUMMYFUNCTION("""COMPUTED_VALUE"""),73.0)</f>
        <v>73</v>
      </c>
      <c r="X501" s="1">
        <f>IFERROR(__xludf.DUMMYFUNCTION("""COMPUTED_VALUE"""),842.0)</f>
        <v>842</v>
      </c>
      <c r="Y501" s="2"/>
      <c r="Z501" s="2"/>
    </row>
    <row r="502">
      <c r="A502" s="1">
        <f>IFERROR(__xludf.DUMMYFUNCTION("""COMPUTED_VALUE"""),501.0)</f>
        <v>501</v>
      </c>
      <c r="B502" s="1">
        <f>IFERROR(__xludf.DUMMYFUNCTION("""COMPUTED_VALUE"""),10362.0)</f>
        <v>10362</v>
      </c>
      <c r="C502" s="2" t="str">
        <f>IFERROR(__xludf.DUMMYFUNCTION("""COMPUTED_VALUE"""),"fauzzipau_")</f>
        <v>fauzzipau_</v>
      </c>
      <c r="D502" s="2" t="str">
        <f>IFERROR(__xludf.DUMMYFUNCTION("""COMPUTED_VALUE"""),"10KM OVERALL M")</f>
        <v>10KM OVERALL M</v>
      </c>
      <c r="E502" s="1">
        <f>IFERROR(__xludf.DUMMYFUNCTION("""COMPUTED_VALUE"""),1.0)</f>
        <v>1</v>
      </c>
      <c r="F502" s="1" t="str">
        <f>IFERROR(__xludf.DUMMYFUNCTION("""COMPUTED_VALUE"""),"Male")</f>
        <v>Male</v>
      </c>
      <c r="G502" s="4" t="b">
        <f>IFERROR(__xludf.DUMMYFUNCTION("""COMPUTED_VALUE"""),TRUE)</f>
        <v>1</v>
      </c>
      <c r="H502" s="4" t="b">
        <f>IFERROR(__xludf.DUMMYFUNCTION("""COMPUTED_VALUE"""),TRUE)</f>
        <v>1</v>
      </c>
      <c r="I502" s="4">
        <f>IFERROR(__xludf.DUMMYFUNCTION("""COMPUTED_VALUE"""),0.24646185185185185)</f>
        <v>0.2464618519</v>
      </c>
      <c r="J502" s="4">
        <f>IFERROR(__xludf.DUMMYFUNCTION("""COMPUTED_VALUE"""),45949.259200355526)</f>
        <v>45949.2592</v>
      </c>
      <c r="K502" s="4">
        <f>IFERROR(__xludf.DUMMYFUNCTION("""COMPUTED_VALUE"""),45949.286162133285)</f>
        <v>45949.28616</v>
      </c>
      <c r="L502" s="4">
        <f>IFERROR(__xludf.DUMMYFUNCTION("""COMPUTED_VALUE"""),45949.292432075876)</f>
        <v>45949.29243</v>
      </c>
      <c r="M502" s="1" t="str">
        <f>IFERROR(__xludf.DUMMYFUNCTION("""COMPUTED_VALUE"""),"RFID")</f>
        <v>RFID</v>
      </c>
      <c r="N502" s="5">
        <f>IFERROR(__xludf.DUMMYFUNCTION("""COMPUTED_VALUE"""),0.005095402777777778)</f>
        <v>0.005095402778</v>
      </c>
      <c r="O502" s="5">
        <f>IFERROR(__xludf.DUMMYFUNCTION("""COMPUTED_VALUE"""),0.010784712962962963)</f>
        <v>0.01078471296</v>
      </c>
      <c r="P502" s="5">
        <f>IFERROR(__xludf.DUMMYFUNCTION("""COMPUTED_VALUE"""),0.002580223288367897)</f>
        <v>0.002580223288</v>
      </c>
      <c r="Q502" s="5">
        <f>IFERROR(__xludf.DUMMYFUNCTION("""COMPUTED_VALUE"""),0.004597021990740741)</f>
        <v>0.004597021991</v>
      </c>
      <c r="R502" s="4">
        <f>IFERROR(__xludf.DUMMYFUNCTION("""COMPUTED_VALUE"""),45949.045970224026)</f>
        <v>45949.04597</v>
      </c>
      <c r="S502" s="1" t="b">
        <f>IFERROR(__xludf.DUMMYFUNCTION("""COMPUTED_VALUE"""),TRUE)</f>
        <v>1</v>
      </c>
      <c r="T502" s="1" t="b">
        <f>IFERROR(__xludf.DUMMYFUNCTION("""COMPUTED_VALUE"""),FALSE)</f>
        <v>0</v>
      </c>
      <c r="U502" s="1" t="str">
        <f>IFERROR(__xludf.DUMMYFUNCTION("""COMPUTED_VALUE"""),"VALID")</f>
        <v>VALID</v>
      </c>
      <c r="V502" s="1">
        <f>IFERROR(__xludf.DUMMYFUNCTION("""COMPUTED_VALUE"""),239.0)</f>
        <v>239</v>
      </c>
      <c r="W502" s="1">
        <f>IFERROR(__xludf.DUMMYFUNCTION("""COMPUTED_VALUE"""),287.0)</f>
        <v>287</v>
      </c>
      <c r="X502" s="1">
        <f>IFERROR(__xludf.DUMMYFUNCTION("""COMPUTED_VALUE"""),1234.0)</f>
        <v>1234</v>
      </c>
      <c r="Y502" s="2"/>
      <c r="Z502" s="2"/>
    </row>
    <row r="503">
      <c r="A503" s="1">
        <f>IFERROR(__xludf.DUMMYFUNCTION("""COMPUTED_VALUE"""),502.0)</f>
        <v>502</v>
      </c>
      <c r="B503" s="1">
        <f>IFERROR(__xludf.DUMMYFUNCTION("""COMPUTED_VALUE"""),10363.0)</f>
        <v>10363</v>
      </c>
      <c r="C503" s="2" t="str">
        <f>IFERROR(__xludf.DUMMYFUNCTION("""COMPUTED_VALUE"""),"Andriw")</f>
        <v>Andriw</v>
      </c>
      <c r="D503" s="2" t="str">
        <f>IFERROR(__xludf.DUMMYFUNCTION("""COMPUTED_VALUE"""),"10KM OVERALL M")</f>
        <v>10KM OVERALL M</v>
      </c>
      <c r="E503" s="1">
        <f>IFERROR(__xludf.DUMMYFUNCTION("""COMPUTED_VALUE"""),1.0)</f>
        <v>1</v>
      </c>
      <c r="F503" s="1" t="str">
        <f>IFERROR(__xludf.DUMMYFUNCTION("""COMPUTED_VALUE"""),"Male")</f>
        <v>Male</v>
      </c>
      <c r="G503" s="4" t="str">
        <f>IFERROR(__xludf.DUMMYFUNCTION("""COMPUTED_VALUE"""),"")</f>
        <v/>
      </c>
      <c r="H503" s="4" t="b">
        <f>IFERROR(__xludf.DUMMYFUNCTION("""COMPUTED_VALUE"""),FALSE)</f>
        <v>0</v>
      </c>
      <c r="I503" s="4">
        <f>IFERROR(__xludf.DUMMYFUNCTION("""COMPUTED_VALUE"""),0.24646185185185185)</f>
        <v>0.2464618519</v>
      </c>
      <c r="J503" s="4">
        <f>IFERROR(__xludf.DUMMYFUNCTION("""COMPUTED_VALUE"""),45949.25480116043)</f>
        <v>45949.2548</v>
      </c>
      <c r="K503" s="4">
        <f>IFERROR(__xludf.DUMMYFUNCTION("""COMPUTED_VALUE"""),45949.28023505481)</f>
        <v>45949.28024</v>
      </c>
      <c r="L503" s="4">
        <f>IFERROR(__xludf.DUMMYFUNCTION("""COMPUTED_VALUE"""),45949.28724461478)</f>
        <v>45949.28724</v>
      </c>
      <c r="M503" s="1" t="str">
        <f>IFERROR(__xludf.DUMMYFUNCTION("""COMPUTED_VALUE"""),"RFID")</f>
        <v>RFID</v>
      </c>
      <c r="N503" s="5">
        <f>IFERROR(__xludf.DUMMYFUNCTION("""COMPUTED_VALUE"""),0.0033357222222222217)</f>
        <v>0.003335722222</v>
      </c>
      <c r="O503" s="5">
        <f>IFERROR(__xludf.DUMMYFUNCTION("""COMPUTED_VALUE"""),0.010173555555555555)</f>
        <v>0.01017355556</v>
      </c>
      <c r="P503" s="5">
        <f>IFERROR(__xludf.DUMMYFUNCTION("""COMPUTED_VALUE"""),0.0028845925815163924)</f>
        <v>0.002884592582</v>
      </c>
      <c r="Q503" s="5">
        <f>IFERROR(__xludf.DUMMYFUNCTION("""COMPUTED_VALUE"""),0.00407827662037037)</f>
        <v>0.00407827662</v>
      </c>
      <c r="R503" s="4">
        <f>IFERROR(__xludf.DUMMYFUNCTION("""COMPUTED_VALUE"""),45949.04078276293)</f>
        <v>45949.04078</v>
      </c>
      <c r="S503" s="1" t="b">
        <f>IFERROR(__xludf.DUMMYFUNCTION("""COMPUTED_VALUE"""),TRUE)</f>
        <v>1</v>
      </c>
      <c r="T503" s="1" t="b">
        <f>IFERROR(__xludf.DUMMYFUNCTION("""COMPUTED_VALUE"""),FALSE)</f>
        <v>0</v>
      </c>
      <c r="U503" s="1" t="str">
        <f>IFERROR(__xludf.DUMMYFUNCTION("""COMPUTED_VALUE"""),"VALID")</f>
        <v>VALID</v>
      </c>
      <c r="V503" s="1">
        <f>IFERROR(__xludf.DUMMYFUNCTION("""COMPUTED_VALUE"""),115.0)</f>
        <v>115</v>
      </c>
      <c r="W503" s="1">
        <f>IFERROR(__xludf.DUMMYFUNCTION("""COMPUTED_VALUE"""),138.0)</f>
        <v>138</v>
      </c>
      <c r="X503" s="1">
        <f>IFERROR(__xludf.DUMMYFUNCTION("""COMPUTED_VALUE"""),1012.0)</f>
        <v>1012</v>
      </c>
      <c r="Y503" s="2"/>
      <c r="Z503" s="2"/>
    </row>
    <row r="504">
      <c r="A504" s="1">
        <f>IFERROR(__xludf.DUMMYFUNCTION("""COMPUTED_VALUE"""),503.0)</f>
        <v>503</v>
      </c>
      <c r="B504" s="1">
        <f>IFERROR(__xludf.DUMMYFUNCTION("""COMPUTED_VALUE"""),10364.0)</f>
        <v>10364</v>
      </c>
      <c r="C504" s="2" t="str">
        <f>IFERROR(__xludf.DUMMYFUNCTION("""COMPUTED_VALUE"""),"M. Ade R.")</f>
        <v>M. Ade R.</v>
      </c>
      <c r="D504" s="2" t="str">
        <f>IFERROR(__xludf.DUMMYFUNCTION("""COMPUTED_VALUE"""),"10KM OVERALL M")</f>
        <v>10KM OVERALL M</v>
      </c>
      <c r="E504" s="1">
        <f>IFERROR(__xludf.DUMMYFUNCTION("""COMPUTED_VALUE"""),1.0)</f>
        <v>1</v>
      </c>
      <c r="F504" s="1" t="str">
        <f>IFERROR(__xludf.DUMMYFUNCTION("""COMPUTED_VALUE"""),"Male")</f>
        <v>Male</v>
      </c>
      <c r="G504" s="4" t="b">
        <f>IFERROR(__xludf.DUMMYFUNCTION("""COMPUTED_VALUE"""),TRUE)</f>
        <v>1</v>
      </c>
      <c r="H504" s="4" t="b">
        <f>IFERROR(__xludf.DUMMYFUNCTION("""COMPUTED_VALUE"""),TRUE)</f>
        <v>1</v>
      </c>
      <c r="I504" s="4">
        <f>IFERROR(__xludf.DUMMYFUNCTION("""COMPUTED_VALUE"""),0.24646185185185185)</f>
        <v>0.2464618519</v>
      </c>
      <c r="J504" s="4">
        <f>IFERROR(__xludf.DUMMYFUNCTION("""COMPUTED_VALUE"""),45949.25971771776)</f>
        <v>45949.25972</v>
      </c>
      <c r="K504" s="4">
        <f>IFERROR(__xludf.DUMMYFUNCTION("""COMPUTED_VALUE"""),45949.29627696109)</f>
        <v>45949.29628</v>
      </c>
      <c r="L504" s="4">
        <f>IFERROR(__xludf.DUMMYFUNCTION("""COMPUTED_VALUE"""),45949.307415110976)</f>
        <v>45949.30742</v>
      </c>
      <c r="M504" s="1" t="str">
        <f>IFERROR(__xludf.DUMMYFUNCTION("""COMPUTED_VALUE"""),"RFID")</f>
        <v>RFID</v>
      </c>
      <c r="N504" s="5">
        <f>IFERROR(__xludf.DUMMYFUNCTION("""COMPUTED_VALUE"""),0.005302347222222222)</f>
        <v>0.005302347222</v>
      </c>
      <c r="O504" s="5">
        <f>IFERROR(__xludf.DUMMYFUNCTION("""COMPUTED_VALUE"""),0.014623699074074074)</f>
        <v>0.01462369907</v>
      </c>
      <c r="P504" s="5">
        <f>IFERROR(__xludf.DUMMYFUNCTION("""COMPUTED_VALUE"""),0.004583600776293027)</f>
        <v>0.004583600776</v>
      </c>
      <c r="Q504" s="5">
        <f>IFERROR(__xludf.DUMMYFUNCTION("""COMPUTED_VALUE"""),0.006095326388888889)</f>
        <v>0.006095326389</v>
      </c>
      <c r="R504" s="4">
        <f>IFERROR(__xludf.DUMMYFUNCTION("""COMPUTED_VALUE"""),45949.060953259126)</f>
        <v>45949.06095</v>
      </c>
      <c r="S504" s="1" t="b">
        <f>IFERROR(__xludf.DUMMYFUNCTION("""COMPUTED_VALUE"""),TRUE)</f>
        <v>1</v>
      </c>
      <c r="T504" s="1" t="b">
        <f>IFERROR(__xludf.DUMMYFUNCTION("""COMPUTED_VALUE"""),FALSE)</f>
        <v>0</v>
      </c>
      <c r="U504" s="1" t="str">
        <f>IFERROR(__xludf.DUMMYFUNCTION("""COMPUTED_VALUE"""),"VALID")</f>
        <v>VALID</v>
      </c>
      <c r="V504" s="1">
        <f>IFERROR(__xludf.DUMMYFUNCTION("""COMPUTED_VALUE"""),540.0)</f>
        <v>540</v>
      </c>
      <c r="W504" s="1">
        <f>IFERROR(__xludf.DUMMYFUNCTION("""COMPUTED_VALUE"""),664.0)</f>
        <v>664</v>
      </c>
      <c r="X504" s="1">
        <f>IFERROR(__xludf.DUMMYFUNCTION("""COMPUTED_VALUE"""),1615.0)</f>
        <v>1615</v>
      </c>
      <c r="Y504" s="2"/>
      <c r="Z504" s="2"/>
    </row>
    <row r="505">
      <c r="A505" s="1">
        <f>IFERROR(__xludf.DUMMYFUNCTION("""COMPUTED_VALUE"""),504.0)</f>
        <v>504</v>
      </c>
      <c r="B505" s="1">
        <f>IFERROR(__xludf.DUMMYFUNCTION("""COMPUTED_VALUE"""),10366.0)</f>
        <v>10366</v>
      </c>
      <c r="C505" s="2" t="str">
        <f>IFERROR(__xludf.DUMMYFUNCTION("""COMPUTED_VALUE"""),"cen-cen")</f>
        <v>cen-cen</v>
      </c>
      <c r="D505" s="2" t="str">
        <f>IFERROR(__xludf.DUMMYFUNCTION("""COMPUTED_VALUE"""),"10KM OVERALL M")</f>
        <v>10KM OVERALL M</v>
      </c>
      <c r="E505" s="1">
        <f>IFERROR(__xludf.DUMMYFUNCTION("""COMPUTED_VALUE"""),1.0)</f>
        <v>1</v>
      </c>
      <c r="F505" s="1" t="str">
        <f>IFERROR(__xludf.DUMMYFUNCTION("""COMPUTED_VALUE"""),"Male")</f>
        <v>Male</v>
      </c>
      <c r="G505" s="4" t="b">
        <f>IFERROR(__xludf.DUMMYFUNCTION("""COMPUTED_VALUE"""),TRUE)</f>
        <v>1</v>
      </c>
      <c r="H505" s="4" t="b">
        <f>IFERROR(__xludf.DUMMYFUNCTION("""COMPUTED_VALUE"""),TRUE)</f>
        <v>1</v>
      </c>
      <c r="I505" s="4">
        <f>IFERROR(__xludf.DUMMYFUNCTION("""COMPUTED_VALUE"""),0.24646185185185185)</f>
        <v>0.2464618519</v>
      </c>
      <c r="J505" s="4">
        <f>IFERROR(__xludf.DUMMYFUNCTION("""COMPUTED_VALUE"""),45949.26133229713)</f>
        <v>45949.26133</v>
      </c>
      <c r="K505" s="4">
        <f>IFERROR(__xludf.DUMMYFUNCTION("""COMPUTED_VALUE"""),45949.29139843623)</f>
        <v>45949.2914</v>
      </c>
      <c r="L505" s="4">
        <f>IFERROR(__xludf.DUMMYFUNCTION("""COMPUTED_VALUE"""),45949.30014046775)</f>
        <v>45949.30014</v>
      </c>
      <c r="M505" s="1" t="str">
        <f>IFERROR(__xludf.DUMMYFUNCTION("""COMPUTED_VALUE"""),"RFID")</f>
        <v>RFID</v>
      </c>
      <c r="N505" s="5">
        <f>IFERROR(__xludf.DUMMYFUNCTION("""COMPUTED_VALUE"""),0.005948175925925926)</f>
        <v>0.005948175926</v>
      </c>
      <c r="O505" s="5">
        <f>IFERROR(__xludf.DUMMYFUNCTION("""COMPUTED_VALUE"""),0.012026453703703702)</f>
        <v>0.0120264537</v>
      </c>
      <c r="P505" s="5">
        <f>IFERROR(__xludf.DUMMYFUNCTION("""COMPUTED_VALUE"""),0.0035975438344087295)</f>
        <v>0.003597543834</v>
      </c>
      <c r="Q505" s="5">
        <f>IFERROR(__xludf.DUMMYFUNCTION("""COMPUTED_VALUE"""),0.0053678611111111114)</f>
        <v>0.005367861111</v>
      </c>
      <c r="R505" s="4">
        <f>IFERROR(__xludf.DUMMYFUNCTION("""COMPUTED_VALUE"""),45949.0536786159)</f>
        <v>45949.05368</v>
      </c>
      <c r="S505" s="1" t="b">
        <f>IFERROR(__xludf.DUMMYFUNCTION("""COMPUTED_VALUE"""),TRUE)</f>
        <v>1</v>
      </c>
      <c r="T505" s="1" t="b">
        <f>IFERROR(__xludf.DUMMYFUNCTION("""COMPUTED_VALUE"""),FALSE)</f>
        <v>0</v>
      </c>
      <c r="U505" s="1" t="str">
        <f>IFERROR(__xludf.DUMMYFUNCTION("""COMPUTED_VALUE"""),"VALID")</f>
        <v>VALID</v>
      </c>
      <c r="V505" s="1">
        <f>IFERROR(__xludf.DUMMYFUNCTION("""COMPUTED_VALUE"""),418.0)</f>
        <v>418</v>
      </c>
      <c r="W505" s="1">
        <f>IFERROR(__xludf.DUMMYFUNCTION("""COMPUTED_VALUE"""),498.0)</f>
        <v>498</v>
      </c>
      <c r="X505" s="1">
        <f>IFERROR(__xludf.DUMMYFUNCTION("""COMPUTED_VALUE"""),1474.0)</f>
        <v>1474</v>
      </c>
      <c r="Y505" s="2"/>
      <c r="Z505" s="2"/>
    </row>
    <row r="506">
      <c r="A506" s="1">
        <f>IFERROR(__xludf.DUMMYFUNCTION("""COMPUTED_VALUE"""),505.0)</f>
        <v>505</v>
      </c>
      <c r="B506" s="1">
        <f>IFERROR(__xludf.DUMMYFUNCTION("""COMPUTED_VALUE"""),10367.0)</f>
        <v>10367</v>
      </c>
      <c r="C506" s="2" t="str">
        <f>IFERROR(__xludf.DUMMYFUNCTION("""COMPUTED_VALUE"""),"FADLI")</f>
        <v>FADLI</v>
      </c>
      <c r="D506" s="2" t="str">
        <f>IFERROR(__xludf.DUMMYFUNCTION("""COMPUTED_VALUE"""),"10KM OVERALL M")</f>
        <v>10KM OVERALL M</v>
      </c>
      <c r="E506" s="1">
        <f>IFERROR(__xludf.DUMMYFUNCTION("""COMPUTED_VALUE"""),1.0)</f>
        <v>1</v>
      </c>
      <c r="F506" s="1" t="str">
        <f>IFERROR(__xludf.DUMMYFUNCTION("""COMPUTED_VALUE"""),"Male")</f>
        <v>Male</v>
      </c>
      <c r="G506" s="4" t="b">
        <f>IFERROR(__xludf.DUMMYFUNCTION("""COMPUTED_VALUE"""),TRUE)</f>
        <v>1</v>
      </c>
      <c r="H506" s="4" t="b">
        <f>IFERROR(__xludf.DUMMYFUNCTION("""COMPUTED_VALUE"""),FALSE)</f>
        <v>0</v>
      </c>
      <c r="I506" s="4">
        <f>IFERROR(__xludf.DUMMYFUNCTION("""COMPUTED_VALUE"""),0.24646185185185185)</f>
        <v>0.2464618519</v>
      </c>
      <c r="J506" s="4">
        <f>IFERROR(__xludf.DUMMYFUNCTION("""COMPUTED_VALUE"""),45949.26061004137)</f>
        <v>45949.26061</v>
      </c>
      <c r="K506" s="4">
        <f>IFERROR(__xludf.DUMMYFUNCTION("""COMPUTED_VALUE"""),45949.298398534105)</f>
        <v>45949.2984</v>
      </c>
      <c r="L506" s="4">
        <f>IFERROR(__xludf.DUMMYFUNCTION("""COMPUTED_VALUE"""),45949.308189083626)</f>
        <v>45949.30819</v>
      </c>
      <c r="M506" s="1" t="str">
        <f>IFERROR(__xludf.DUMMYFUNCTION("""COMPUTED_VALUE"""),"RFID")</f>
        <v>RFID</v>
      </c>
      <c r="N506" s="5">
        <f>IFERROR(__xludf.DUMMYFUNCTION("""COMPUTED_VALUE"""),0.005659277777777778)</f>
        <v>0.005659277778</v>
      </c>
      <c r="O506" s="5">
        <f>IFERROR(__xludf.DUMMYFUNCTION("""COMPUTED_VALUE"""),0.015115398148148149)</f>
        <v>0.01511539815</v>
      </c>
      <c r="P506" s="5">
        <f>IFERROR(__xludf.DUMMYFUNCTION("""COMPUTED_VALUE"""),0.004029032724445739)</f>
        <v>0.004029032724</v>
      </c>
      <c r="Q506" s="5">
        <f>IFERROR(__xludf.DUMMYFUNCTION("""COMPUTED_VALUE"""),0.00617272337962963)</f>
        <v>0.00617272338</v>
      </c>
      <c r="R506" s="4">
        <f>IFERROR(__xludf.DUMMYFUNCTION("""COMPUTED_VALUE"""),45949.061727231776)</f>
        <v>45949.06173</v>
      </c>
      <c r="S506" s="1" t="b">
        <f>IFERROR(__xludf.DUMMYFUNCTION("""COMPUTED_VALUE"""),TRUE)</f>
        <v>1</v>
      </c>
      <c r="T506" s="1" t="b">
        <f>IFERROR(__xludf.DUMMYFUNCTION("""COMPUTED_VALUE"""),FALSE)</f>
        <v>0</v>
      </c>
      <c r="U506" s="1" t="str">
        <f>IFERROR(__xludf.DUMMYFUNCTION("""COMPUTED_VALUE"""),"VALID")</f>
        <v>VALID</v>
      </c>
      <c r="V506" s="1">
        <f>IFERROR(__xludf.DUMMYFUNCTION("""COMPUTED_VALUE"""),549.0)</f>
        <v>549</v>
      </c>
      <c r="W506" s="1">
        <f>IFERROR(__xludf.DUMMYFUNCTION("""COMPUTED_VALUE"""),674.0)</f>
        <v>674</v>
      </c>
      <c r="X506" s="1">
        <f>IFERROR(__xludf.DUMMYFUNCTION("""COMPUTED_VALUE"""),1625.0)</f>
        <v>1625</v>
      </c>
      <c r="Y506" s="2"/>
      <c r="Z506" s="2"/>
    </row>
    <row r="507">
      <c r="A507" s="1">
        <f>IFERROR(__xludf.DUMMYFUNCTION("""COMPUTED_VALUE"""),506.0)</f>
        <v>506</v>
      </c>
      <c r="B507" s="1">
        <f>IFERROR(__xludf.DUMMYFUNCTION("""COMPUTED_VALUE"""),10368.0)</f>
        <v>10368</v>
      </c>
      <c r="C507" s="2" t="str">
        <f>IFERROR(__xludf.DUMMYFUNCTION("""COMPUTED_VALUE"""),"Micky")</f>
        <v>Micky</v>
      </c>
      <c r="D507" s="2" t="str">
        <f>IFERROR(__xludf.DUMMYFUNCTION("""COMPUTED_VALUE"""),"10KM OVERALL M")</f>
        <v>10KM OVERALL M</v>
      </c>
      <c r="E507" s="1">
        <f>IFERROR(__xludf.DUMMYFUNCTION("""COMPUTED_VALUE"""),1.0)</f>
        <v>1</v>
      </c>
      <c r="F507" s="1" t="str">
        <f>IFERROR(__xludf.DUMMYFUNCTION("""COMPUTED_VALUE"""),"Male")</f>
        <v>Male</v>
      </c>
      <c r="G507" s="4" t="b">
        <f>IFERROR(__xludf.DUMMYFUNCTION("""COMPUTED_VALUE"""),TRUE)</f>
        <v>1</v>
      </c>
      <c r="H507" s="4" t="b">
        <f>IFERROR(__xludf.DUMMYFUNCTION("""COMPUTED_VALUE"""),FALSE)</f>
        <v>0</v>
      </c>
      <c r="I507" s="4">
        <f>IFERROR(__xludf.DUMMYFUNCTION("""COMPUTED_VALUE"""),0.24646185185185185)</f>
        <v>0.2464618519</v>
      </c>
      <c r="J507" s="4">
        <f>IFERROR(__xludf.DUMMYFUNCTION("""COMPUTED_VALUE"""),45949.25641632664)</f>
        <v>45949.25642</v>
      </c>
      <c r="K507" s="4">
        <f>IFERROR(__xludf.DUMMYFUNCTION("""COMPUTED_VALUE"""),45949.28125243429)</f>
        <v>45949.28125</v>
      </c>
      <c r="L507" s="4">
        <f>IFERROR(__xludf.DUMMYFUNCTION("""COMPUTED_VALUE"""),45949.288588402946)</f>
        <v>45949.28859</v>
      </c>
      <c r="M507" s="1" t="str">
        <f>IFERROR(__xludf.DUMMYFUNCTION("""COMPUTED_VALUE"""),"RFID")</f>
        <v>RFID</v>
      </c>
      <c r="N507" s="5">
        <f>IFERROR(__xludf.DUMMYFUNCTION("""COMPUTED_VALUE"""),0.0039817916666666665)</f>
        <v>0.003981791667</v>
      </c>
      <c r="O507" s="5">
        <f>IFERROR(__xludf.DUMMYFUNCTION("""COMPUTED_VALUE"""),0.009934444444444445)</f>
        <v>0.009934444444</v>
      </c>
      <c r="P507" s="5">
        <f>IFERROR(__xludf.DUMMYFUNCTION("""COMPUTED_VALUE"""),0.00301891714303348)</f>
        <v>0.003018917143</v>
      </c>
      <c r="Q507" s="5">
        <f>IFERROR(__xludf.DUMMYFUNCTION("""COMPUTED_VALUE"""),0.0042126550925925925)</f>
        <v>0.004212655093</v>
      </c>
      <c r="R507" s="4">
        <f>IFERROR(__xludf.DUMMYFUNCTION("""COMPUTED_VALUE"""),45949.042126551096)</f>
        <v>45949.04213</v>
      </c>
      <c r="S507" s="1" t="b">
        <f>IFERROR(__xludf.DUMMYFUNCTION("""COMPUTED_VALUE"""),TRUE)</f>
        <v>1</v>
      </c>
      <c r="T507" s="1" t="b">
        <f>IFERROR(__xludf.DUMMYFUNCTION("""COMPUTED_VALUE"""),FALSE)</f>
        <v>0</v>
      </c>
      <c r="U507" s="1" t="str">
        <f>IFERROR(__xludf.DUMMYFUNCTION("""COMPUTED_VALUE"""),"VALID")</f>
        <v>VALID</v>
      </c>
      <c r="V507" s="1">
        <f>IFERROR(__xludf.DUMMYFUNCTION("""COMPUTED_VALUE"""),148.0)</f>
        <v>148</v>
      </c>
      <c r="W507" s="1">
        <f>IFERROR(__xludf.DUMMYFUNCTION("""COMPUTED_VALUE"""),174.0)</f>
        <v>174</v>
      </c>
      <c r="X507" s="1">
        <f>IFERROR(__xludf.DUMMYFUNCTION("""COMPUTED_VALUE"""),1071.0)</f>
        <v>1071</v>
      </c>
      <c r="Y507" s="2"/>
      <c r="Z507" s="2"/>
    </row>
    <row r="508">
      <c r="A508" s="1">
        <f>IFERROR(__xludf.DUMMYFUNCTION("""COMPUTED_VALUE"""),507.0)</f>
        <v>507</v>
      </c>
      <c r="B508" s="1">
        <f>IFERROR(__xludf.DUMMYFUNCTION("""COMPUTED_VALUE"""),10369.0)</f>
        <v>10369</v>
      </c>
      <c r="C508" s="2" t="str">
        <f>IFERROR(__xludf.DUMMYFUNCTION("""COMPUTED_VALUE"""),"SAW")</f>
        <v>SAW</v>
      </c>
      <c r="D508" s="2" t="str">
        <f>IFERROR(__xludf.DUMMYFUNCTION("""COMPUTED_VALUE"""),"10KM OVERALL M")</f>
        <v>10KM OVERALL M</v>
      </c>
      <c r="E508" s="1">
        <f>IFERROR(__xludf.DUMMYFUNCTION("""COMPUTED_VALUE"""),1.0)</f>
        <v>1</v>
      </c>
      <c r="F508" s="1" t="str">
        <f>IFERROR(__xludf.DUMMYFUNCTION("""COMPUTED_VALUE"""),"Male")</f>
        <v>Male</v>
      </c>
      <c r="G508" s="4" t="b">
        <f>IFERROR(__xludf.DUMMYFUNCTION("""COMPUTED_VALUE"""),TRUE)</f>
        <v>1</v>
      </c>
      <c r="H508" s="4" t="b">
        <f>IFERROR(__xludf.DUMMYFUNCTION("""COMPUTED_VALUE"""),TRUE)</f>
        <v>1</v>
      </c>
      <c r="I508" s="4">
        <f>IFERROR(__xludf.DUMMYFUNCTION("""COMPUTED_VALUE"""),0.24646185185185185)</f>
        <v>0.2464618519</v>
      </c>
      <c r="J508" s="4">
        <f>IFERROR(__xludf.DUMMYFUNCTION("""COMPUTED_VALUE"""),45949.25792600515)</f>
        <v>45949.25793</v>
      </c>
      <c r="K508" s="4">
        <f>IFERROR(__xludf.DUMMYFUNCTION("""COMPUTED_VALUE"""),45949.283870471125)</f>
        <v>45949.28387</v>
      </c>
      <c r="L508" s="4">
        <f>IFERROR(__xludf.DUMMYFUNCTION("""COMPUTED_VALUE"""),45949.29044253108)</f>
        <v>45949.29044</v>
      </c>
      <c r="M508" s="1" t="str">
        <f>IFERROR(__xludf.DUMMYFUNCTION("""COMPUTED_VALUE"""),"RFID")</f>
        <v>RFID</v>
      </c>
      <c r="N508" s="5">
        <f>IFERROR(__xludf.DUMMYFUNCTION("""COMPUTED_VALUE"""),0.004585662037037037)</f>
        <v>0.004585662037</v>
      </c>
      <c r="O508" s="5">
        <f>IFERROR(__xludf.DUMMYFUNCTION("""COMPUTED_VALUE"""),0.010377787037037036)</f>
        <v>0.01037778704</v>
      </c>
      <c r="P508" s="5">
        <f>IFERROR(__xludf.DUMMYFUNCTION("""COMPUTED_VALUE"""),0.0027045514207015217)</f>
        <v>0.002704551421</v>
      </c>
      <c r="Q508" s="5">
        <f>IFERROR(__xludf.DUMMYFUNCTION("""COMPUTED_VALUE"""),0.004398068287037037)</f>
        <v>0.004398068287</v>
      </c>
      <c r="R508" s="4">
        <f>IFERROR(__xludf.DUMMYFUNCTION("""COMPUTED_VALUE"""),45949.04398067923)</f>
        <v>45949.04398</v>
      </c>
      <c r="S508" s="1" t="b">
        <f>IFERROR(__xludf.DUMMYFUNCTION("""COMPUTED_VALUE"""),TRUE)</f>
        <v>1</v>
      </c>
      <c r="T508" s="1" t="b">
        <f>IFERROR(__xludf.DUMMYFUNCTION("""COMPUTED_VALUE"""),FALSE)</f>
        <v>0</v>
      </c>
      <c r="U508" s="1" t="str">
        <f>IFERROR(__xludf.DUMMYFUNCTION("""COMPUTED_VALUE"""),"VALID")</f>
        <v>VALID</v>
      </c>
      <c r="V508" s="1">
        <f>IFERROR(__xludf.DUMMYFUNCTION("""COMPUTED_VALUE"""),189.0)</f>
        <v>189</v>
      </c>
      <c r="W508" s="1">
        <f>IFERROR(__xludf.DUMMYFUNCTION("""COMPUTED_VALUE"""),225.0)</f>
        <v>225</v>
      </c>
      <c r="X508" s="1">
        <f>IFERROR(__xludf.DUMMYFUNCTION("""COMPUTED_VALUE"""),1149.0)</f>
        <v>1149</v>
      </c>
      <c r="Y508" s="2"/>
      <c r="Z508" s="2"/>
    </row>
    <row r="509">
      <c r="A509" s="1">
        <f>IFERROR(__xludf.DUMMYFUNCTION("""COMPUTED_VALUE"""),508.0)</f>
        <v>508</v>
      </c>
      <c r="B509" s="1">
        <f>IFERROR(__xludf.DUMMYFUNCTION("""COMPUTED_VALUE"""),10371.0)</f>
        <v>10371</v>
      </c>
      <c r="C509" s="2" t="str">
        <f>IFERROR(__xludf.DUMMYFUNCTION("""COMPUTED_VALUE"""),"Damai Putra")</f>
        <v>Damai Putra</v>
      </c>
      <c r="D509" s="2" t="str">
        <f>IFERROR(__xludf.DUMMYFUNCTION("""COMPUTED_VALUE"""),"10KM OVERALL M")</f>
        <v>10KM OVERALL M</v>
      </c>
      <c r="E509" s="1">
        <f>IFERROR(__xludf.DUMMYFUNCTION("""COMPUTED_VALUE"""),1.0)</f>
        <v>1</v>
      </c>
      <c r="F509" s="1" t="str">
        <f>IFERROR(__xludf.DUMMYFUNCTION("""COMPUTED_VALUE"""),"Male")</f>
        <v>Male</v>
      </c>
      <c r="G509" s="4" t="b">
        <f>IFERROR(__xludf.DUMMYFUNCTION("""COMPUTED_VALUE"""),TRUE)</f>
        <v>1</v>
      </c>
      <c r="H509" s="4" t="b">
        <f>IFERROR(__xludf.DUMMYFUNCTION("""COMPUTED_VALUE"""),TRUE)</f>
        <v>1</v>
      </c>
      <c r="I509" s="4">
        <f>IFERROR(__xludf.DUMMYFUNCTION("""COMPUTED_VALUE"""),0.24646185185185185)</f>
        <v>0.2464618519</v>
      </c>
      <c r="J509" s="4">
        <f>IFERROR(__xludf.DUMMYFUNCTION("""COMPUTED_VALUE"""),45949.25949545711)</f>
        <v>45949.2595</v>
      </c>
      <c r="K509" s="4">
        <f>IFERROR(__xludf.DUMMYFUNCTION("""COMPUTED_VALUE"""),45949.29269015821)</f>
        <v>45949.29269</v>
      </c>
      <c r="L509" s="4">
        <f>IFERROR(__xludf.DUMMYFUNCTION("""COMPUTED_VALUE"""),45949.302258967335)</f>
        <v>45949.30226</v>
      </c>
      <c r="M509" s="1" t="str">
        <f>IFERROR(__xludf.DUMMYFUNCTION("""COMPUTED_VALUE"""),"RFID")</f>
        <v>RFID</v>
      </c>
      <c r="N509" s="5">
        <f>IFERROR(__xludf.DUMMYFUNCTION("""COMPUTED_VALUE"""),0.005213439814814815)</f>
        <v>0.005213439815</v>
      </c>
      <c r="O509" s="5">
        <f>IFERROR(__xludf.DUMMYFUNCTION("""COMPUTED_VALUE"""),0.013277879629629629)</f>
        <v>0.01327787963</v>
      </c>
      <c r="P509" s="5">
        <f>IFERROR(__xludf.DUMMYFUNCTION("""COMPUTED_VALUE"""),0.003937781532582493)</f>
        <v>0.003937781533</v>
      </c>
      <c r="Q509" s="5">
        <f>IFERROR(__xludf.DUMMYFUNCTION("""COMPUTED_VALUE"""),0.005579711805555556)</f>
        <v>0.005579711806</v>
      </c>
      <c r="R509" s="4">
        <f>IFERROR(__xludf.DUMMYFUNCTION("""COMPUTED_VALUE"""),45949.055797115485)</f>
        <v>45949.0558</v>
      </c>
      <c r="S509" s="1" t="b">
        <f>IFERROR(__xludf.DUMMYFUNCTION("""COMPUTED_VALUE"""),TRUE)</f>
        <v>1</v>
      </c>
      <c r="T509" s="1" t="b">
        <f>IFERROR(__xludf.DUMMYFUNCTION("""COMPUTED_VALUE"""),FALSE)</f>
        <v>0</v>
      </c>
      <c r="U509" s="1" t="str">
        <f>IFERROR(__xludf.DUMMYFUNCTION("""COMPUTED_VALUE"""),"VALID")</f>
        <v>VALID</v>
      </c>
      <c r="V509" s="1">
        <f>IFERROR(__xludf.DUMMYFUNCTION("""COMPUTED_VALUE"""),477.0)</f>
        <v>477</v>
      </c>
      <c r="W509" s="1">
        <f>IFERROR(__xludf.DUMMYFUNCTION("""COMPUTED_VALUE"""),571.0)</f>
        <v>571</v>
      </c>
      <c r="X509" s="1">
        <f>IFERROR(__xludf.DUMMYFUNCTION("""COMPUTED_VALUE"""),1543.0)</f>
        <v>1543</v>
      </c>
      <c r="Y509" s="2"/>
      <c r="Z509" s="2"/>
    </row>
    <row r="510">
      <c r="A510" s="1">
        <f>IFERROR(__xludf.DUMMYFUNCTION("""COMPUTED_VALUE"""),509.0)</f>
        <v>509</v>
      </c>
      <c r="B510" s="1">
        <f>IFERROR(__xludf.DUMMYFUNCTION("""COMPUTED_VALUE"""),10373.0)</f>
        <v>10373</v>
      </c>
      <c r="C510" s="2" t="str">
        <f>IFERROR(__xludf.DUMMYFUNCTION("""COMPUTED_VALUE"""),"Syam")</f>
        <v>Syam</v>
      </c>
      <c r="D510" s="2" t="str">
        <f>IFERROR(__xludf.DUMMYFUNCTION("""COMPUTED_VALUE"""),"10KM OVERALL M")</f>
        <v>10KM OVERALL M</v>
      </c>
      <c r="E510" s="1">
        <f>IFERROR(__xludf.DUMMYFUNCTION("""COMPUTED_VALUE"""),1.0)</f>
        <v>1</v>
      </c>
      <c r="F510" s="1" t="str">
        <f>IFERROR(__xludf.DUMMYFUNCTION("""COMPUTED_VALUE"""),"Male")</f>
        <v>Male</v>
      </c>
      <c r="G510" s="4" t="b">
        <f>IFERROR(__xludf.DUMMYFUNCTION("""COMPUTED_VALUE"""),TRUE)</f>
        <v>1</v>
      </c>
      <c r="H510" s="4" t="b">
        <f>IFERROR(__xludf.DUMMYFUNCTION("""COMPUTED_VALUE"""),TRUE)</f>
        <v>1</v>
      </c>
      <c r="I510" s="4">
        <f>IFERROR(__xludf.DUMMYFUNCTION("""COMPUTED_VALUE"""),0.24646185185185185)</f>
        <v>0.2464618519</v>
      </c>
      <c r="J510" s="4">
        <f>IFERROR(__xludf.DUMMYFUNCTION("""COMPUTED_VALUE"""),45949.25758918657)</f>
        <v>45949.25759</v>
      </c>
      <c r="K510" s="4">
        <f>IFERROR(__xludf.DUMMYFUNCTION("""COMPUTED_VALUE"""),45949.28587395381)</f>
        <v>45949.28587</v>
      </c>
      <c r="L510" s="4">
        <f>IFERROR(__xludf.DUMMYFUNCTION("""COMPUTED_VALUE"""),45949.293793234785)</f>
        <v>45949.29379</v>
      </c>
      <c r="M510" s="1" t="str">
        <f>IFERROR(__xludf.DUMMYFUNCTION("""COMPUTED_VALUE"""),"RFID")</f>
        <v>RFID</v>
      </c>
      <c r="N510" s="5">
        <f>IFERROR(__xludf.DUMMYFUNCTION("""COMPUTED_VALUE"""),0.004450935185185185)</f>
        <v>0.004450935185</v>
      </c>
      <c r="O510" s="5">
        <f>IFERROR(__xludf.DUMMYFUNCTION("""COMPUTED_VALUE"""),0.011313907407407408)</f>
        <v>0.01131390741</v>
      </c>
      <c r="P510" s="5">
        <f>IFERROR(__xludf.DUMMYFUNCTION("""COMPUTED_VALUE"""),0.003258963362835999)</f>
        <v>0.003258963363</v>
      </c>
      <c r="Q510" s="5">
        <f>IFERROR(__xludf.DUMMYFUNCTION("""COMPUTED_VALUE"""),0.004733137731481481)</f>
        <v>0.004733137731</v>
      </c>
      <c r="R510" s="4">
        <f>IFERROR(__xludf.DUMMYFUNCTION("""COMPUTED_VALUE"""),45949.047331382935)</f>
        <v>45949.04733</v>
      </c>
      <c r="S510" s="1" t="b">
        <f>IFERROR(__xludf.DUMMYFUNCTION("""COMPUTED_VALUE"""),TRUE)</f>
        <v>1</v>
      </c>
      <c r="T510" s="1" t="b">
        <f>IFERROR(__xludf.DUMMYFUNCTION("""COMPUTED_VALUE"""),FALSE)</f>
        <v>0</v>
      </c>
      <c r="U510" s="1" t="str">
        <f>IFERROR(__xludf.DUMMYFUNCTION("""COMPUTED_VALUE"""),"VALID")</f>
        <v>VALID</v>
      </c>
      <c r="V510" s="1">
        <f>IFERROR(__xludf.DUMMYFUNCTION("""COMPUTED_VALUE"""),268.0)</f>
        <v>268</v>
      </c>
      <c r="W510" s="1">
        <f>IFERROR(__xludf.DUMMYFUNCTION("""COMPUTED_VALUE"""),319.0)</f>
        <v>319</v>
      </c>
      <c r="X510" s="1">
        <f>IFERROR(__xludf.DUMMYFUNCTION("""COMPUTED_VALUE"""),1277.0)</f>
        <v>1277</v>
      </c>
      <c r="Y510" s="2"/>
      <c r="Z510" s="2"/>
    </row>
    <row r="511">
      <c r="A511" s="1">
        <f>IFERROR(__xludf.DUMMYFUNCTION("""COMPUTED_VALUE"""),510.0)</f>
        <v>510</v>
      </c>
      <c r="B511" s="1">
        <f>IFERROR(__xludf.DUMMYFUNCTION("""COMPUTED_VALUE"""),10374.0)</f>
        <v>10374</v>
      </c>
      <c r="C511" s="2" t="str">
        <f>IFERROR(__xludf.DUMMYFUNCTION("""COMPUTED_VALUE"""),"PRASETYA MF")</f>
        <v>PRASETYA MF</v>
      </c>
      <c r="D511" s="2" t="str">
        <f>IFERROR(__xludf.DUMMYFUNCTION("""COMPUTED_VALUE"""),"10KM OVERALL M")</f>
        <v>10KM OVERALL M</v>
      </c>
      <c r="E511" s="1">
        <f>IFERROR(__xludf.DUMMYFUNCTION("""COMPUTED_VALUE"""),1.0)</f>
        <v>1</v>
      </c>
      <c r="F511" s="1" t="str">
        <f>IFERROR(__xludf.DUMMYFUNCTION("""COMPUTED_VALUE"""),"Male")</f>
        <v>Male</v>
      </c>
      <c r="G511" s="4" t="b">
        <f>IFERROR(__xludf.DUMMYFUNCTION("""COMPUTED_VALUE"""),TRUE)</f>
        <v>1</v>
      </c>
      <c r="H511" s="4" t="b">
        <f>IFERROR(__xludf.DUMMYFUNCTION("""COMPUTED_VALUE"""),FALSE)</f>
        <v>0</v>
      </c>
      <c r="I511" s="4">
        <f>IFERROR(__xludf.DUMMYFUNCTION("""COMPUTED_VALUE"""),0.24646185185185185)</f>
        <v>0.2464618519</v>
      </c>
      <c r="J511" s="4">
        <f>IFERROR(__xludf.DUMMYFUNCTION("""COMPUTED_VALUE"""),45949.257582239356)</f>
        <v>45949.25758</v>
      </c>
      <c r="K511" s="4">
        <f>IFERROR(__xludf.DUMMYFUNCTION("""COMPUTED_VALUE"""),45949.285964223986)</f>
        <v>45949.28596</v>
      </c>
      <c r="L511" s="4">
        <f>IFERROR(__xludf.DUMMYFUNCTION("""COMPUTED_VALUE"""),45949.29433831343)</f>
        <v>45949.29434</v>
      </c>
      <c r="M511" s="1" t="str">
        <f>IFERROR(__xludf.DUMMYFUNCTION("""COMPUTED_VALUE"""),"RFID")</f>
        <v>RFID</v>
      </c>
      <c r="N511" s="5">
        <f>IFERROR(__xludf.DUMMYFUNCTION("""COMPUTED_VALUE"""),0.004448152777777778)</f>
        <v>0.004448152778</v>
      </c>
      <c r="O511" s="5">
        <f>IFERROR(__xludf.DUMMYFUNCTION("""COMPUTED_VALUE"""),0.011352791666666666)</f>
        <v>0.01135279167</v>
      </c>
      <c r="P511" s="5">
        <f>IFERROR(__xludf.DUMMYFUNCTION("""COMPUTED_VALUE"""),0.0034461273448139337)</f>
        <v>0.003446127345</v>
      </c>
      <c r="Q511" s="5">
        <f>IFERROR(__xludf.DUMMYFUNCTION("""COMPUTED_VALUE"""),0.004787645833333333)</f>
        <v>0.004787645833</v>
      </c>
      <c r="R511" s="4">
        <f>IFERROR(__xludf.DUMMYFUNCTION("""COMPUTED_VALUE"""),45949.047876461584)</f>
        <v>45949.04788</v>
      </c>
      <c r="S511" s="1" t="b">
        <f>IFERROR(__xludf.DUMMYFUNCTION("""COMPUTED_VALUE"""),TRUE)</f>
        <v>1</v>
      </c>
      <c r="T511" s="1" t="b">
        <f>IFERROR(__xludf.DUMMYFUNCTION("""COMPUTED_VALUE"""),FALSE)</f>
        <v>0</v>
      </c>
      <c r="U511" s="1" t="str">
        <f>IFERROR(__xludf.DUMMYFUNCTION("""COMPUTED_VALUE"""),"VALID")</f>
        <v>VALID</v>
      </c>
      <c r="V511" s="1">
        <f>IFERROR(__xludf.DUMMYFUNCTION("""COMPUTED_VALUE"""),286.0)</f>
        <v>286</v>
      </c>
      <c r="W511" s="1">
        <f>IFERROR(__xludf.DUMMYFUNCTION("""COMPUTED_VALUE"""),338.0)</f>
        <v>338</v>
      </c>
      <c r="X511" s="1">
        <f>IFERROR(__xludf.DUMMYFUNCTION("""COMPUTED_VALUE"""),1302.0)</f>
        <v>1302</v>
      </c>
      <c r="Y511" s="2"/>
      <c r="Z511" s="2"/>
    </row>
    <row r="512">
      <c r="A512" s="1">
        <f>IFERROR(__xludf.DUMMYFUNCTION("""COMPUTED_VALUE"""),511.0)</f>
        <v>511</v>
      </c>
      <c r="B512" s="1">
        <f>IFERROR(__xludf.DUMMYFUNCTION("""COMPUTED_VALUE"""),10375.0)</f>
        <v>10375</v>
      </c>
      <c r="C512" s="2" t="str">
        <f>IFERROR(__xludf.DUMMYFUNCTION("""COMPUTED_VALUE"""),"Takiman")</f>
        <v>Takiman</v>
      </c>
      <c r="D512" s="2" t="str">
        <f>IFERROR(__xludf.DUMMYFUNCTION("""COMPUTED_VALUE"""),"10KM OVERALL M")</f>
        <v>10KM OVERALL M</v>
      </c>
      <c r="E512" s="1">
        <f>IFERROR(__xludf.DUMMYFUNCTION("""COMPUTED_VALUE"""),1.0)</f>
        <v>1</v>
      </c>
      <c r="F512" s="1" t="str">
        <f>IFERROR(__xludf.DUMMYFUNCTION("""COMPUTED_VALUE"""),"Male")</f>
        <v>Male</v>
      </c>
      <c r="G512" s="4" t="b">
        <f>IFERROR(__xludf.DUMMYFUNCTION("""COMPUTED_VALUE"""),TRUE)</f>
        <v>1</v>
      </c>
      <c r="H512" s="4" t="b">
        <f>IFERROR(__xludf.DUMMYFUNCTION("""COMPUTED_VALUE"""),FALSE)</f>
        <v>0</v>
      </c>
      <c r="I512" s="4">
        <f>IFERROR(__xludf.DUMMYFUNCTION("""COMPUTED_VALUE"""),0.24646185185185185)</f>
        <v>0.2464618519</v>
      </c>
      <c r="J512" s="4">
        <f>IFERROR(__xludf.DUMMYFUNCTION("""COMPUTED_VALUE"""),45949.26291244436)</f>
        <v>45949.26291</v>
      </c>
      <c r="K512" s="4">
        <f>IFERROR(__xludf.DUMMYFUNCTION("""COMPUTED_VALUE"""),45949.29697834604)</f>
        <v>45949.29698</v>
      </c>
      <c r="L512" s="4">
        <f>IFERROR(__xludf.DUMMYFUNCTION("""COMPUTED_VALUE"""),45949.306459899475)</f>
        <v>45949.30646</v>
      </c>
      <c r="M512" s="1" t="str">
        <f>IFERROR(__xludf.DUMMYFUNCTION("""COMPUTED_VALUE"""),"RFID")</f>
        <v>RFID</v>
      </c>
      <c r="N512" s="5">
        <f>IFERROR(__xludf.DUMMYFUNCTION("""COMPUTED_VALUE"""),0.006580236111111111)</f>
        <v>0.006580236111</v>
      </c>
      <c r="O512" s="5">
        <f>IFERROR(__xludf.DUMMYFUNCTION("""COMPUTED_VALUE"""),0.01362636111111111)</f>
        <v>0.01362636111</v>
      </c>
      <c r="P512" s="5">
        <f>IFERROR(__xludf.DUMMYFUNCTION("""COMPUTED_VALUE"""),0.0039018738403803293)</f>
        <v>0.00390187384</v>
      </c>
      <c r="Q512" s="5">
        <f>IFERROR(__xludf.DUMMYFUNCTION("""COMPUTED_VALUE"""),0.005999804398148148)</f>
        <v>0.005999804398</v>
      </c>
      <c r="R512" s="4">
        <f>IFERROR(__xludf.DUMMYFUNCTION("""COMPUTED_VALUE"""),45949.059998047625)</f>
        <v>45949.06</v>
      </c>
      <c r="S512" s="1" t="b">
        <f>IFERROR(__xludf.DUMMYFUNCTION("""COMPUTED_VALUE"""),TRUE)</f>
        <v>1</v>
      </c>
      <c r="T512" s="1" t="b">
        <f>IFERROR(__xludf.DUMMYFUNCTION("""COMPUTED_VALUE"""),FALSE)</f>
        <v>0</v>
      </c>
      <c r="U512" s="1" t="str">
        <f>IFERROR(__xludf.DUMMYFUNCTION("""COMPUTED_VALUE"""),"VALID")</f>
        <v>VALID</v>
      </c>
      <c r="V512" s="1">
        <f>IFERROR(__xludf.DUMMYFUNCTION("""COMPUTED_VALUE"""),533.0)</f>
        <v>533</v>
      </c>
      <c r="W512" s="1">
        <f>IFERROR(__xludf.DUMMYFUNCTION("""COMPUTED_VALUE"""),655.0)</f>
        <v>655</v>
      </c>
      <c r="X512" s="1">
        <f>IFERROR(__xludf.DUMMYFUNCTION("""COMPUTED_VALUE"""),1607.0)</f>
        <v>1607</v>
      </c>
      <c r="Y512" s="2"/>
      <c r="Z512" s="2"/>
    </row>
    <row r="513">
      <c r="A513" s="1">
        <f>IFERROR(__xludf.DUMMYFUNCTION("""COMPUTED_VALUE"""),512.0)</f>
        <v>512</v>
      </c>
      <c r="B513" s="1">
        <f>IFERROR(__xludf.DUMMYFUNCTION("""COMPUTED_VALUE"""),10376.0)</f>
        <v>10376</v>
      </c>
      <c r="C513" s="2" t="str">
        <f>IFERROR(__xludf.DUMMYFUNCTION("""COMPUTED_VALUE"""),"aulia")</f>
        <v>aulia</v>
      </c>
      <c r="D513" s="2" t="str">
        <f>IFERROR(__xludf.DUMMYFUNCTION("""COMPUTED_VALUE"""),"10KM OVERALL M")</f>
        <v>10KM OVERALL M</v>
      </c>
      <c r="E513" s="1">
        <f>IFERROR(__xludf.DUMMYFUNCTION("""COMPUTED_VALUE"""),1.0)</f>
        <v>1</v>
      </c>
      <c r="F513" s="1" t="str">
        <f>IFERROR(__xludf.DUMMYFUNCTION("""COMPUTED_VALUE"""),"Male")</f>
        <v>Male</v>
      </c>
      <c r="G513" s="4" t="b">
        <f>IFERROR(__xludf.DUMMYFUNCTION("""COMPUTED_VALUE"""),TRUE)</f>
        <v>1</v>
      </c>
      <c r="H513" s="4" t="b">
        <f>IFERROR(__xludf.DUMMYFUNCTION("""COMPUTED_VALUE"""),TRUE)</f>
        <v>1</v>
      </c>
      <c r="I513" s="4">
        <f>IFERROR(__xludf.DUMMYFUNCTION("""COMPUTED_VALUE"""),0.24646185185185185)</f>
        <v>0.2464618519</v>
      </c>
      <c r="J513" s="4">
        <f>IFERROR(__xludf.DUMMYFUNCTION("""COMPUTED_VALUE"""),45949.2572141858)</f>
        <v>45949.25721</v>
      </c>
      <c r="K513" s="4">
        <f>IFERROR(__xludf.DUMMYFUNCTION("""COMPUTED_VALUE"""),45949.283037142704)</f>
        <v>45949.28304</v>
      </c>
      <c r="L513" s="4">
        <f>IFERROR(__xludf.DUMMYFUNCTION("""COMPUTED_VALUE"""),45949.290022344336)</f>
        <v>45949.29002</v>
      </c>
      <c r="M513" s="1" t="str">
        <f>IFERROR(__xludf.DUMMYFUNCTION("""COMPUTED_VALUE"""),"RFID")</f>
        <v>RFID</v>
      </c>
      <c r="N513" s="5">
        <f>IFERROR(__xludf.DUMMYFUNCTION("""COMPUTED_VALUE"""),0.0043009351851851845)</f>
        <v>0.004300935185</v>
      </c>
      <c r="O513" s="5">
        <f>IFERROR(__xludf.DUMMYFUNCTION("""COMPUTED_VALUE"""),0.010329180555555557)</f>
        <v>0.01032918056</v>
      </c>
      <c r="P513" s="5">
        <f>IFERROR(__xludf.DUMMYFUNCTION("""COMPUTED_VALUE"""),0.002874568572561084)</f>
        <v>0.002874568573</v>
      </c>
      <c r="Q513" s="5">
        <f>IFERROR(__xludf.DUMMYFUNCTION("""COMPUTED_VALUE"""),0.004356049768518519)</f>
        <v>0.004356049769</v>
      </c>
      <c r="R513" s="4">
        <f>IFERROR(__xludf.DUMMYFUNCTION("""COMPUTED_VALUE"""),45949.043560492486)</f>
        <v>45949.04356</v>
      </c>
      <c r="S513" s="1" t="b">
        <f>IFERROR(__xludf.DUMMYFUNCTION("""COMPUTED_VALUE"""),TRUE)</f>
        <v>1</v>
      </c>
      <c r="T513" s="1" t="b">
        <f>IFERROR(__xludf.DUMMYFUNCTION("""COMPUTED_VALUE"""),FALSE)</f>
        <v>0</v>
      </c>
      <c r="U513" s="1" t="str">
        <f>IFERROR(__xludf.DUMMYFUNCTION("""COMPUTED_VALUE"""),"VALID")</f>
        <v>VALID</v>
      </c>
      <c r="V513" s="1">
        <f>IFERROR(__xludf.DUMMYFUNCTION("""COMPUTED_VALUE"""),174.0)</f>
        <v>174</v>
      </c>
      <c r="W513" s="1">
        <f>IFERROR(__xludf.DUMMYFUNCTION("""COMPUTED_VALUE"""),207.0)</f>
        <v>207</v>
      </c>
      <c r="X513" s="1">
        <f>IFERROR(__xludf.DUMMYFUNCTION("""COMPUTED_VALUE"""),1116.0)</f>
        <v>1116</v>
      </c>
      <c r="Y513" s="2"/>
      <c r="Z513" s="2"/>
    </row>
    <row r="514">
      <c r="A514" s="1">
        <f>IFERROR(__xludf.DUMMYFUNCTION("""COMPUTED_VALUE"""),513.0)</f>
        <v>513</v>
      </c>
      <c r="B514" s="1">
        <f>IFERROR(__xludf.DUMMYFUNCTION("""COMPUTED_VALUE"""),10377.0)</f>
        <v>10377</v>
      </c>
      <c r="C514" s="2" t="str">
        <f>IFERROR(__xludf.DUMMYFUNCTION("""COMPUTED_VALUE"""),"rakha")</f>
        <v>rakha</v>
      </c>
      <c r="D514" s="2" t="str">
        <f>IFERROR(__xludf.DUMMYFUNCTION("""COMPUTED_VALUE"""),"10KM OVERALL M")</f>
        <v>10KM OVERALL M</v>
      </c>
      <c r="E514" s="1">
        <f>IFERROR(__xludf.DUMMYFUNCTION("""COMPUTED_VALUE"""),1.0)</f>
        <v>1</v>
      </c>
      <c r="F514" s="1" t="str">
        <f>IFERROR(__xludf.DUMMYFUNCTION("""COMPUTED_VALUE"""),"Male")</f>
        <v>Male</v>
      </c>
      <c r="G514" s="4" t="b">
        <f>IFERROR(__xludf.DUMMYFUNCTION("""COMPUTED_VALUE"""),TRUE)</f>
        <v>1</v>
      </c>
      <c r="H514" s="4" t="b">
        <f>IFERROR(__xludf.DUMMYFUNCTION("""COMPUTED_VALUE"""),TRUE)</f>
        <v>1</v>
      </c>
      <c r="I514" s="4">
        <f>IFERROR(__xludf.DUMMYFUNCTION("""COMPUTED_VALUE"""),0.24646185185185185)</f>
        <v>0.2464618519</v>
      </c>
      <c r="J514" s="4">
        <f>IFERROR(__xludf.DUMMYFUNCTION("""COMPUTED_VALUE"""),45949.25877322114)</f>
        <v>45949.25877</v>
      </c>
      <c r="K514" s="4">
        <f>IFERROR(__xludf.DUMMYFUNCTION("""COMPUTED_VALUE"""),45949.2821309005)</f>
        <v>45949.28213</v>
      </c>
      <c r="L514" s="4">
        <f>IFERROR(__xludf.DUMMYFUNCTION("""COMPUTED_VALUE"""),45949.288925183944)</f>
        <v>45949.28893</v>
      </c>
      <c r="M514" s="1" t="str">
        <f>IFERROR(__xludf.DUMMYFUNCTION("""COMPUTED_VALUE"""),"RFID")</f>
        <v>RFID</v>
      </c>
      <c r="N514" s="5">
        <f>IFERROR(__xludf.DUMMYFUNCTION("""COMPUTED_VALUE"""),0.004924546296296297)</f>
        <v>0.004924546296</v>
      </c>
      <c r="O514" s="5">
        <f>IFERROR(__xludf.DUMMYFUNCTION("""COMPUTED_VALUE"""),0.009343069444444446)</f>
        <v>0.009343069444</v>
      </c>
      <c r="P514" s="5">
        <f>IFERROR(__xludf.DUMMYFUNCTION("""COMPUTED_VALUE"""),0.0027960014168782457)</f>
        <v>0.002796001417</v>
      </c>
      <c r="Q514" s="5">
        <f>IFERROR(__xludf.DUMMYFUNCTION("""COMPUTED_VALUE"""),0.004246333333333333)</f>
        <v>0.004246333333</v>
      </c>
      <c r="R514" s="4">
        <f>IFERROR(__xludf.DUMMYFUNCTION("""COMPUTED_VALUE"""),45949.042463332094)</f>
        <v>45949.04246</v>
      </c>
      <c r="S514" s="1" t="b">
        <f>IFERROR(__xludf.DUMMYFUNCTION("""COMPUTED_VALUE"""),TRUE)</f>
        <v>1</v>
      </c>
      <c r="T514" s="1" t="b">
        <f>IFERROR(__xludf.DUMMYFUNCTION("""COMPUTED_VALUE"""),FALSE)</f>
        <v>0</v>
      </c>
      <c r="U514" s="1" t="str">
        <f>IFERROR(__xludf.DUMMYFUNCTION("""COMPUTED_VALUE"""),"VALID")</f>
        <v>VALID</v>
      </c>
      <c r="V514" s="1">
        <f>IFERROR(__xludf.DUMMYFUNCTION("""COMPUTED_VALUE"""),157.0)</f>
        <v>157</v>
      </c>
      <c r="W514" s="1">
        <f>IFERROR(__xludf.DUMMYFUNCTION("""COMPUTED_VALUE"""),184.0)</f>
        <v>184</v>
      </c>
      <c r="X514" s="1">
        <f>IFERROR(__xludf.DUMMYFUNCTION("""COMPUTED_VALUE"""),1086.0)</f>
        <v>1086</v>
      </c>
      <c r="Y514" s="2"/>
      <c r="Z514" s="2"/>
    </row>
    <row r="515">
      <c r="A515" s="1">
        <f>IFERROR(__xludf.DUMMYFUNCTION("""COMPUTED_VALUE"""),514.0)</f>
        <v>514</v>
      </c>
      <c r="B515" s="1">
        <f>IFERROR(__xludf.DUMMYFUNCTION("""COMPUTED_VALUE"""),10378.0)</f>
        <v>10378</v>
      </c>
      <c r="C515" s="2" t="str">
        <f>IFERROR(__xludf.DUMMYFUNCTION("""COMPUTED_VALUE"""),"Tito Kurniawan")</f>
        <v>Tito Kurniawan</v>
      </c>
      <c r="D515" s="2" t="str">
        <f>IFERROR(__xludf.DUMMYFUNCTION("""COMPUTED_VALUE"""),"10KM OVERALL M")</f>
        <v>10KM OVERALL M</v>
      </c>
      <c r="E515" s="1">
        <f>IFERROR(__xludf.DUMMYFUNCTION("""COMPUTED_VALUE"""),1.0)</f>
        <v>1</v>
      </c>
      <c r="F515" s="1" t="str">
        <f>IFERROR(__xludf.DUMMYFUNCTION("""COMPUTED_VALUE"""),"Male")</f>
        <v>Male</v>
      </c>
      <c r="G515" s="4" t="str">
        <f>IFERROR(__xludf.DUMMYFUNCTION("""COMPUTED_VALUE"""),"")</f>
        <v/>
      </c>
      <c r="H515" s="4" t="b">
        <f>IFERROR(__xludf.DUMMYFUNCTION("""COMPUTED_VALUE"""),FALSE)</f>
        <v>0</v>
      </c>
      <c r="I515" s="4">
        <f>IFERROR(__xludf.DUMMYFUNCTION("""COMPUTED_VALUE"""),0.24646185185185185)</f>
        <v>0.2464618519</v>
      </c>
      <c r="J515" s="4">
        <f>IFERROR(__xludf.DUMMYFUNCTION("""COMPUTED_VALUE"""),45949.25465863722)</f>
        <v>45949.25466</v>
      </c>
      <c r="K515" s="4">
        <f>IFERROR(__xludf.DUMMYFUNCTION("""COMPUTED_VALUE"""),45949.27787552599)</f>
        <v>45949.27788</v>
      </c>
      <c r="L515" s="4">
        <f>IFERROR(__xludf.DUMMYFUNCTION("""COMPUTED_VALUE"""),45949.28491819368)</f>
        <v>45949.28492</v>
      </c>
      <c r="M515" s="1" t="str">
        <f>IFERROR(__xludf.DUMMYFUNCTION("""COMPUTED_VALUE"""),"RFID")</f>
        <v>RFID</v>
      </c>
      <c r="N515" s="5">
        <f>IFERROR(__xludf.DUMMYFUNCTION("""COMPUTED_VALUE"""),0.0032787129629629633)</f>
        <v>0.003278712963</v>
      </c>
      <c r="O515" s="5">
        <f>IFERROR(__xludf.DUMMYFUNCTION("""COMPUTED_VALUE"""),0.009286754629629631)</f>
        <v>0.00928675463</v>
      </c>
      <c r="P515" s="5">
        <f>IFERROR(__xludf.DUMMYFUNCTION("""COMPUTED_VALUE"""),0.0028982171564843934)</f>
        <v>0.002898217156</v>
      </c>
      <c r="Q515" s="5">
        <f>IFERROR(__xludf.DUMMYFUNCTION("""COMPUTED_VALUE"""),0.0038456342592592596)</f>
        <v>0.003845634259</v>
      </c>
      <c r="R515" s="4">
        <f>IFERROR(__xludf.DUMMYFUNCTION("""COMPUTED_VALUE"""),45949.038456341834)</f>
        <v>45949.03846</v>
      </c>
      <c r="S515" s="1" t="b">
        <f>IFERROR(__xludf.DUMMYFUNCTION("""COMPUTED_VALUE"""),TRUE)</f>
        <v>1</v>
      </c>
      <c r="T515" s="1" t="b">
        <f>IFERROR(__xludf.DUMMYFUNCTION("""COMPUTED_VALUE"""),FALSE)</f>
        <v>0</v>
      </c>
      <c r="U515" s="1" t="str">
        <f>IFERROR(__xludf.DUMMYFUNCTION("""COMPUTED_VALUE"""),"VALID")</f>
        <v>VALID</v>
      </c>
      <c r="V515" s="1">
        <f>IFERROR(__xludf.DUMMYFUNCTION("""COMPUTED_VALUE"""),76.0)</f>
        <v>76</v>
      </c>
      <c r="W515" s="1">
        <f>IFERROR(__xludf.DUMMYFUNCTION("""COMPUTED_VALUE"""),93.0)</f>
        <v>93</v>
      </c>
      <c r="X515" s="1">
        <f>IFERROR(__xludf.DUMMYFUNCTION("""COMPUTED_VALUE"""),898.0)</f>
        <v>898</v>
      </c>
      <c r="Y515" s="2"/>
      <c r="Z515" s="2"/>
    </row>
    <row r="516">
      <c r="A516" s="1">
        <f>IFERROR(__xludf.DUMMYFUNCTION("""COMPUTED_VALUE"""),515.0)</f>
        <v>515</v>
      </c>
      <c r="B516" s="1">
        <f>IFERROR(__xludf.DUMMYFUNCTION("""COMPUTED_VALUE"""),10380.0)</f>
        <v>10380</v>
      </c>
      <c r="C516" s="2" t="str">
        <f>IFERROR(__xludf.DUMMYFUNCTION("""COMPUTED_VALUE"""),"Hendi")</f>
        <v>Hendi</v>
      </c>
      <c r="D516" s="2" t="str">
        <f>IFERROR(__xludf.DUMMYFUNCTION("""COMPUTED_VALUE"""),"10KM OVERALL M")</f>
        <v>10KM OVERALL M</v>
      </c>
      <c r="E516" s="1">
        <f>IFERROR(__xludf.DUMMYFUNCTION("""COMPUTED_VALUE"""),1.0)</f>
        <v>1</v>
      </c>
      <c r="F516" s="1" t="str">
        <f>IFERROR(__xludf.DUMMYFUNCTION("""COMPUTED_VALUE"""),"Male")</f>
        <v>Male</v>
      </c>
      <c r="G516" s="4" t="b">
        <f>IFERROR(__xludf.DUMMYFUNCTION("""COMPUTED_VALUE"""),TRUE)</f>
        <v>1</v>
      </c>
      <c r="H516" s="4" t="b">
        <f>IFERROR(__xludf.DUMMYFUNCTION("""COMPUTED_VALUE"""),TRUE)</f>
        <v>1</v>
      </c>
      <c r="I516" s="4">
        <f>IFERROR(__xludf.DUMMYFUNCTION("""COMPUTED_VALUE"""),0.24646185185185185)</f>
        <v>0.2464618519</v>
      </c>
      <c r="J516" s="4">
        <f>IFERROR(__xludf.DUMMYFUNCTION("""COMPUTED_VALUE"""),45949.26042604815)</f>
        <v>45949.26043</v>
      </c>
      <c r="K516" s="4">
        <f>IFERROR(__xludf.DUMMYFUNCTION("""COMPUTED_VALUE"""),45949.29698522808)</f>
        <v>45949.29699</v>
      </c>
      <c r="L516" s="4">
        <f>IFERROR(__xludf.DUMMYFUNCTION("""COMPUTED_VALUE"""),45949.307241143055)</f>
        <v>45949.30724</v>
      </c>
      <c r="M516" s="1" t="str">
        <f>IFERROR(__xludf.DUMMYFUNCTION("""COMPUTED_VALUE"""),"RFID")</f>
        <v>RFID</v>
      </c>
      <c r="N516" s="5">
        <f>IFERROR(__xludf.DUMMYFUNCTION("""COMPUTED_VALUE"""),0.0055856805555555555)</f>
        <v>0.005585680556</v>
      </c>
      <c r="O516" s="5">
        <f>IFERROR(__xludf.DUMMYFUNCTION("""COMPUTED_VALUE"""),0.014623671296296298)</f>
        <v>0.0146236713</v>
      </c>
      <c r="P516" s="5">
        <f>IFERROR(__xludf.DUMMYFUNCTION("""COMPUTED_VALUE"""),0.004220541141790227)</f>
        <v>0.004220541142</v>
      </c>
      <c r="Q516" s="5">
        <f>IFERROR(__xludf.DUMMYFUNCTION("""COMPUTED_VALUE"""),0.006077929398148148)</f>
        <v>0.006077929398</v>
      </c>
      <c r="R516" s="4">
        <f>IFERROR(__xludf.DUMMYFUNCTION("""COMPUTED_VALUE"""),45949.060779291205)</f>
        <v>45949.06078</v>
      </c>
      <c r="S516" s="1" t="b">
        <f>IFERROR(__xludf.DUMMYFUNCTION("""COMPUTED_VALUE"""),TRUE)</f>
        <v>1</v>
      </c>
      <c r="T516" s="1" t="b">
        <f>IFERROR(__xludf.DUMMYFUNCTION("""COMPUTED_VALUE"""),FALSE)</f>
        <v>0</v>
      </c>
      <c r="U516" s="1" t="str">
        <f>IFERROR(__xludf.DUMMYFUNCTION("""COMPUTED_VALUE"""),"VALID")</f>
        <v>VALID</v>
      </c>
      <c r="V516" s="1">
        <f>IFERROR(__xludf.DUMMYFUNCTION("""COMPUTED_VALUE"""),537.0)</f>
        <v>537</v>
      </c>
      <c r="W516" s="1">
        <f>IFERROR(__xludf.DUMMYFUNCTION("""COMPUTED_VALUE"""),661.0)</f>
        <v>661</v>
      </c>
      <c r="X516" s="1">
        <f>IFERROR(__xludf.DUMMYFUNCTION("""COMPUTED_VALUE"""),1612.0)</f>
        <v>1612</v>
      </c>
      <c r="Y516" s="2"/>
      <c r="Z516" s="2"/>
    </row>
    <row r="517">
      <c r="A517" s="1">
        <f>IFERROR(__xludf.DUMMYFUNCTION("""COMPUTED_VALUE"""),516.0)</f>
        <v>516</v>
      </c>
      <c r="B517" s="1">
        <f>IFERROR(__xludf.DUMMYFUNCTION("""COMPUTED_VALUE"""),10381.0)</f>
        <v>10381</v>
      </c>
      <c r="C517" s="2" t="str">
        <f>IFERROR(__xludf.DUMMYFUNCTION("""COMPUTED_VALUE"""),"Rio Barab")</f>
        <v>Rio Barab</v>
      </c>
      <c r="D517" s="2" t="str">
        <f>IFERROR(__xludf.DUMMYFUNCTION("""COMPUTED_VALUE"""),"10KM OVERALL M")</f>
        <v>10KM OVERALL M</v>
      </c>
      <c r="E517" s="1">
        <f>IFERROR(__xludf.DUMMYFUNCTION("""COMPUTED_VALUE"""),1.0)</f>
        <v>1</v>
      </c>
      <c r="F517" s="1" t="str">
        <f>IFERROR(__xludf.DUMMYFUNCTION("""COMPUTED_VALUE"""),"Male")</f>
        <v>Male</v>
      </c>
      <c r="G517" s="4" t="b">
        <f>IFERROR(__xludf.DUMMYFUNCTION("""COMPUTED_VALUE"""),TRUE)</f>
        <v>1</v>
      </c>
      <c r="H517" s="4" t="b">
        <f>IFERROR(__xludf.DUMMYFUNCTION("""COMPUTED_VALUE"""),FALSE)</f>
        <v>0</v>
      </c>
      <c r="I517" s="4">
        <f>IFERROR(__xludf.DUMMYFUNCTION("""COMPUTED_VALUE"""),0.24646185185185185)</f>
        <v>0.2464618519</v>
      </c>
      <c r="J517" s="4">
        <f>IFERROR(__xludf.DUMMYFUNCTION("""COMPUTED_VALUE"""),45949.25750933348)</f>
        <v>45949.25751</v>
      </c>
      <c r="K517" s="4">
        <f>IFERROR(__xludf.DUMMYFUNCTION("""COMPUTED_VALUE"""),45949.290243055555)</f>
        <v>45949.29024</v>
      </c>
      <c r="L517" s="4">
        <f>IFERROR(__xludf.DUMMYFUNCTION("""COMPUTED_VALUE"""),45949.30016823106)</f>
        <v>45949.30017</v>
      </c>
      <c r="M517" s="1" t="str">
        <f>IFERROR(__xludf.DUMMYFUNCTION("""COMPUTED_VALUE"""),"RFID")</f>
        <v>RFID</v>
      </c>
      <c r="N517" s="5">
        <f>IFERROR(__xludf.DUMMYFUNCTION("""COMPUTED_VALUE"""),0.004418990740740741)</f>
        <v>0.004418990741</v>
      </c>
      <c r="O517" s="5">
        <f>IFERROR(__xludf.DUMMYFUNCTION("""COMPUTED_VALUE"""),0.01309349074074074)</f>
        <v>0.01309349074</v>
      </c>
      <c r="P517" s="5">
        <f>IFERROR(__xludf.DUMMYFUNCTION("""COMPUTED_VALUE"""),0.004084434362900647)</f>
        <v>0.004084434363</v>
      </c>
      <c r="Q517" s="5">
        <f>IFERROR(__xludf.DUMMYFUNCTION("""COMPUTED_VALUE"""),0.0053706377314814814)</f>
        <v>0.005370637731</v>
      </c>
      <c r="R517" s="4">
        <f>IFERROR(__xludf.DUMMYFUNCTION("""COMPUTED_VALUE"""),45949.05370637921)</f>
        <v>45949.05371</v>
      </c>
      <c r="S517" s="1" t="b">
        <f>IFERROR(__xludf.DUMMYFUNCTION("""COMPUTED_VALUE"""),TRUE)</f>
        <v>1</v>
      </c>
      <c r="T517" s="1" t="b">
        <f>IFERROR(__xludf.DUMMYFUNCTION("""COMPUTED_VALUE"""),FALSE)</f>
        <v>0</v>
      </c>
      <c r="U517" s="1" t="str">
        <f>IFERROR(__xludf.DUMMYFUNCTION("""COMPUTED_VALUE"""),"VALID")</f>
        <v>VALID</v>
      </c>
      <c r="V517" s="1">
        <f>IFERROR(__xludf.DUMMYFUNCTION("""COMPUTED_VALUE"""),420.0)</f>
        <v>420</v>
      </c>
      <c r="W517" s="1">
        <f>IFERROR(__xludf.DUMMYFUNCTION("""COMPUTED_VALUE"""),501.0)</f>
        <v>501</v>
      </c>
      <c r="X517" s="1">
        <f>IFERROR(__xludf.DUMMYFUNCTION("""COMPUTED_VALUE"""),1478.0)</f>
        <v>1478</v>
      </c>
      <c r="Y517" s="2"/>
      <c r="Z517" s="2"/>
    </row>
    <row r="518">
      <c r="A518" s="1">
        <f>IFERROR(__xludf.DUMMYFUNCTION("""COMPUTED_VALUE"""),517.0)</f>
        <v>517</v>
      </c>
      <c r="B518" s="1">
        <f>IFERROR(__xludf.DUMMYFUNCTION("""COMPUTED_VALUE"""),10383.0)</f>
        <v>10383</v>
      </c>
      <c r="C518" s="2" t="str">
        <f>IFERROR(__xludf.DUMMYFUNCTION("""COMPUTED_VALUE"""),"Amall")</f>
        <v>Amall</v>
      </c>
      <c r="D518" s="2" t="str">
        <f>IFERROR(__xludf.DUMMYFUNCTION("""COMPUTED_VALUE"""),"10KM OVERALL M")</f>
        <v>10KM OVERALL M</v>
      </c>
      <c r="E518" s="1">
        <f>IFERROR(__xludf.DUMMYFUNCTION("""COMPUTED_VALUE"""),1.0)</f>
        <v>1</v>
      </c>
      <c r="F518" s="1" t="str">
        <f>IFERROR(__xludf.DUMMYFUNCTION("""COMPUTED_VALUE"""),"Male")</f>
        <v>Male</v>
      </c>
      <c r="G518" s="4" t="b">
        <f>IFERROR(__xludf.DUMMYFUNCTION("""COMPUTED_VALUE"""),TRUE)</f>
        <v>1</v>
      </c>
      <c r="H518" s="4" t="b">
        <f>IFERROR(__xludf.DUMMYFUNCTION("""COMPUTED_VALUE"""),FALSE)</f>
        <v>0</v>
      </c>
      <c r="I518" s="4">
        <f>IFERROR(__xludf.DUMMYFUNCTION("""COMPUTED_VALUE"""),0.24646185185185185)</f>
        <v>0.2464618519</v>
      </c>
      <c r="J518" s="4">
        <f>IFERROR(__xludf.DUMMYFUNCTION("""COMPUTED_VALUE"""),45949.25489132919)</f>
        <v>45949.25489</v>
      </c>
      <c r="K518" s="4">
        <f>IFERROR(__xludf.DUMMYFUNCTION("""COMPUTED_VALUE"""),45949.276729694495)</f>
        <v>45949.27673</v>
      </c>
      <c r="L518" s="4">
        <f>IFERROR(__xludf.DUMMYFUNCTION("""COMPUTED_VALUE"""),45949.28282448275)</f>
        <v>45949.28282</v>
      </c>
      <c r="M518" s="1" t="str">
        <f>IFERROR(__xludf.DUMMYFUNCTION("""COMPUTED_VALUE"""),"RFID")</f>
        <v>RFID</v>
      </c>
      <c r="N518" s="5">
        <f>IFERROR(__xludf.DUMMYFUNCTION("""COMPUTED_VALUE"""),0.0033717916666666666)</f>
        <v>0.003371791667</v>
      </c>
      <c r="O518" s="5">
        <f>IFERROR(__xludf.DUMMYFUNCTION("""COMPUTED_VALUE"""),0.008735347222222222)</f>
        <v>0.008735347222</v>
      </c>
      <c r="P518" s="5">
        <f>IFERROR(__xludf.DUMMYFUNCTION("""COMPUTED_VALUE"""),0.0025081433136152184)</f>
        <v>0.002508143314</v>
      </c>
      <c r="Q518" s="5">
        <f>IFERROR(__xludf.DUMMYFUNCTION("""COMPUTED_VALUE"""),0.0036362627314814816)</f>
        <v>0.003636262731</v>
      </c>
      <c r="R518" s="4">
        <f>IFERROR(__xludf.DUMMYFUNCTION("""COMPUTED_VALUE"""),45949.0363626309)</f>
        <v>45949.03636</v>
      </c>
      <c r="S518" s="1" t="b">
        <f>IFERROR(__xludf.DUMMYFUNCTION("""COMPUTED_VALUE"""),TRUE)</f>
        <v>1</v>
      </c>
      <c r="T518" s="1" t="b">
        <f>IFERROR(__xludf.DUMMYFUNCTION("""COMPUTED_VALUE"""),FALSE)</f>
        <v>0</v>
      </c>
      <c r="U518" s="1" t="str">
        <f>IFERROR(__xludf.DUMMYFUNCTION("""COMPUTED_VALUE"""),"VALID")</f>
        <v>VALID</v>
      </c>
      <c r="V518" s="1">
        <f>IFERROR(__xludf.DUMMYFUNCTION("""COMPUTED_VALUE"""),50.0)</f>
        <v>50</v>
      </c>
      <c r="W518" s="1">
        <f>IFERROR(__xludf.DUMMYFUNCTION("""COMPUTED_VALUE"""),62.0)</f>
        <v>62</v>
      </c>
      <c r="X518" s="1">
        <f>IFERROR(__xludf.DUMMYFUNCTION("""COMPUTED_VALUE"""),798.0)</f>
        <v>798</v>
      </c>
      <c r="Y518" s="2"/>
      <c r="Z518" s="2"/>
    </row>
    <row r="519">
      <c r="A519" s="1">
        <f>IFERROR(__xludf.DUMMYFUNCTION("""COMPUTED_VALUE"""),518.0)</f>
        <v>518</v>
      </c>
      <c r="B519" s="1">
        <f>IFERROR(__xludf.DUMMYFUNCTION("""COMPUTED_VALUE"""),10384.0)</f>
        <v>10384</v>
      </c>
      <c r="C519" s="2" t="str">
        <f>IFERROR(__xludf.DUMMYFUNCTION("""COMPUTED_VALUE"""),"kamal_metalica")</f>
        <v>kamal_metalica</v>
      </c>
      <c r="D519" s="2" t="str">
        <f>IFERROR(__xludf.DUMMYFUNCTION("""COMPUTED_VALUE"""),"10KM OVERALL M")</f>
        <v>10KM OVERALL M</v>
      </c>
      <c r="E519" s="1">
        <f>IFERROR(__xludf.DUMMYFUNCTION("""COMPUTED_VALUE"""),1.0)</f>
        <v>1</v>
      </c>
      <c r="F519" s="1" t="str">
        <f>IFERROR(__xludf.DUMMYFUNCTION("""COMPUTED_VALUE"""),"Male")</f>
        <v>Male</v>
      </c>
      <c r="G519" s="4" t="b">
        <f>IFERROR(__xludf.DUMMYFUNCTION("""COMPUTED_VALUE"""),TRUE)</f>
        <v>1</v>
      </c>
      <c r="H519" s="4" t="b">
        <f>IFERROR(__xludf.DUMMYFUNCTION("""COMPUTED_VALUE"""),FALSE)</f>
        <v>0</v>
      </c>
      <c r="I519" s="4">
        <f>IFERROR(__xludf.DUMMYFUNCTION("""COMPUTED_VALUE"""),0.24646185185185185)</f>
        <v>0.2464618519</v>
      </c>
      <c r="J519" s="4">
        <f>IFERROR(__xludf.DUMMYFUNCTION("""COMPUTED_VALUE"""),45949.25272478176)</f>
        <v>45949.25272</v>
      </c>
      <c r="K519" s="4">
        <f>IFERROR(__xludf.DUMMYFUNCTION("""COMPUTED_VALUE"""),45949.27147278411)</f>
        <v>45949.27147</v>
      </c>
      <c r="L519" s="4">
        <f>IFERROR(__xludf.DUMMYFUNCTION("""COMPUTED_VALUE"""),45949.27924808952)</f>
        <v>45949.27925</v>
      </c>
      <c r="M519" s="1" t="str">
        <f>IFERROR(__xludf.DUMMYFUNCTION("""COMPUTED_VALUE"""),"RFID")</f>
        <v>RFID</v>
      </c>
      <c r="N519" s="5">
        <f>IFERROR(__xludf.DUMMYFUNCTION("""COMPUTED_VALUE"""),0.002505171296296296)</f>
        <v>0.002505171296</v>
      </c>
      <c r="O519" s="5">
        <f>IFERROR(__xludf.DUMMYFUNCTION("""COMPUTED_VALUE"""),0.007499199074074074)</f>
        <v>0.007499199074</v>
      </c>
      <c r="P519" s="5">
        <f>IFERROR(__xludf.DUMMYFUNCTION("""COMPUTED_VALUE"""),0.003199714162064057)</f>
        <v>0.003199714162</v>
      </c>
      <c r="Q519" s="5">
        <f>IFERROR(__xludf.DUMMYFUNCTION("""COMPUTED_VALUE"""),0.003278623842592593)</f>
        <v>0.003278623843</v>
      </c>
      <c r="R519" s="4">
        <f>IFERROR(__xludf.DUMMYFUNCTION("""COMPUTED_VALUE"""),45949.03278623767)</f>
        <v>45949.03279</v>
      </c>
      <c r="S519" s="1" t="b">
        <f>IFERROR(__xludf.DUMMYFUNCTION("""COMPUTED_VALUE"""),TRUE)</f>
        <v>1</v>
      </c>
      <c r="T519" s="1" t="b">
        <f>IFERROR(__xludf.DUMMYFUNCTION("""COMPUTED_VALUE"""),FALSE)</f>
        <v>0</v>
      </c>
      <c r="U519" s="1" t="str">
        <f>IFERROR(__xludf.DUMMYFUNCTION("""COMPUTED_VALUE"""),"VALID")</f>
        <v>VALID</v>
      </c>
      <c r="V519" s="1">
        <f>IFERROR(__xludf.DUMMYFUNCTION("""COMPUTED_VALUE"""),19.0)</f>
        <v>19</v>
      </c>
      <c r="W519" s="1">
        <f>IFERROR(__xludf.DUMMYFUNCTION("""COMPUTED_VALUE"""),26.0)</f>
        <v>26</v>
      </c>
      <c r="X519" s="1">
        <f>IFERROR(__xludf.DUMMYFUNCTION("""COMPUTED_VALUE"""),625.0)</f>
        <v>625</v>
      </c>
      <c r="Y519" s="2"/>
      <c r="Z519" s="2"/>
    </row>
    <row r="520">
      <c r="A520" s="1">
        <f>IFERROR(__xludf.DUMMYFUNCTION("""COMPUTED_VALUE"""),519.0)</f>
        <v>519</v>
      </c>
      <c r="B520" s="1">
        <f>IFERROR(__xludf.DUMMYFUNCTION("""COMPUTED_VALUE"""),10385.0)</f>
        <v>10385</v>
      </c>
      <c r="C520" s="2" t="str">
        <f>IFERROR(__xludf.DUMMYFUNCTION("""COMPUTED_VALUE"""),"APRIZAL")</f>
        <v>APRIZAL</v>
      </c>
      <c r="D520" s="2" t="str">
        <f>IFERROR(__xludf.DUMMYFUNCTION("""COMPUTED_VALUE"""),"10KM OVERALL M")</f>
        <v>10KM OVERALL M</v>
      </c>
      <c r="E520" s="1">
        <f>IFERROR(__xludf.DUMMYFUNCTION("""COMPUTED_VALUE"""),1.0)</f>
        <v>1</v>
      </c>
      <c r="F520" s="1" t="str">
        <f>IFERROR(__xludf.DUMMYFUNCTION("""COMPUTED_VALUE"""),"Male")</f>
        <v>Male</v>
      </c>
      <c r="G520" s="4" t="b">
        <f>IFERROR(__xludf.DUMMYFUNCTION("""COMPUTED_VALUE"""),TRUE)</f>
        <v>1</v>
      </c>
      <c r="H520" s="4" t="b">
        <f>IFERROR(__xludf.DUMMYFUNCTION("""COMPUTED_VALUE"""),TRUE)</f>
        <v>1</v>
      </c>
      <c r="I520" s="4">
        <f>IFERROR(__xludf.DUMMYFUNCTION("""COMPUTED_VALUE"""),0.24646185185185185)</f>
        <v>0.2464618519</v>
      </c>
      <c r="J520" s="4">
        <f>IFERROR(__xludf.DUMMYFUNCTION("""COMPUTED_VALUE"""),45949.25820031284)</f>
        <v>45949.2582</v>
      </c>
      <c r="K520" s="4">
        <f>IFERROR(__xludf.DUMMYFUNCTION("""COMPUTED_VALUE"""),45949.29242627774)</f>
        <v>45949.29243</v>
      </c>
      <c r="L520" s="4">
        <f>IFERROR(__xludf.DUMMYFUNCTION("""COMPUTED_VALUE"""),45949.303643919935)</f>
        <v>45949.30364</v>
      </c>
      <c r="M520" s="1" t="str">
        <f>IFERROR(__xludf.DUMMYFUNCTION("""COMPUTED_VALUE"""),"RFID")</f>
        <v>RFID</v>
      </c>
      <c r="N520" s="5">
        <f>IFERROR(__xludf.DUMMYFUNCTION("""COMPUTED_VALUE"""),0.0046953842592592585)</f>
        <v>0.004695384259</v>
      </c>
      <c r="O520" s="5">
        <f>IFERROR(__xludf.DUMMYFUNCTION("""COMPUTED_VALUE"""),0.013690384259259258)</f>
        <v>0.01369038426</v>
      </c>
      <c r="P520" s="5">
        <f>IFERROR(__xludf.DUMMYFUNCTION("""COMPUTED_VALUE"""),0.00461631366137967)</f>
        <v>0.004616313661</v>
      </c>
      <c r="Q520" s="5">
        <f>IFERROR(__xludf.DUMMYFUNCTION("""COMPUTED_VALUE"""),0.005718207175925926)</f>
        <v>0.005718207176</v>
      </c>
      <c r="R520" s="4">
        <f>IFERROR(__xludf.DUMMYFUNCTION("""COMPUTED_VALUE"""),45949.057182068085)</f>
        <v>45949.05718</v>
      </c>
      <c r="S520" s="1" t="b">
        <f>IFERROR(__xludf.DUMMYFUNCTION("""COMPUTED_VALUE"""),TRUE)</f>
        <v>1</v>
      </c>
      <c r="T520" s="1" t="b">
        <f>IFERROR(__xludf.DUMMYFUNCTION("""COMPUTED_VALUE"""),FALSE)</f>
        <v>0</v>
      </c>
      <c r="U520" s="1" t="str">
        <f>IFERROR(__xludf.DUMMYFUNCTION("""COMPUTED_VALUE"""),"VALID")</f>
        <v>VALID</v>
      </c>
      <c r="V520" s="1">
        <f>IFERROR(__xludf.DUMMYFUNCTION("""COMPUTED_VALUE"""),504.0)</f>
        <v>504</v>
      </c>
      <c r="W520" s="1">
        <f>IFERROR(__xludf.DUMMYFUNCTION("""COMPUTED_VALUE"""),610.0)</f>
        <v>610</v>
      </c>
      <c r="X520" s="1">
        <f>IFERROR(__xludf.DUMMYFUNCTION("""COMPUTED_VALUE"""),1575.0)</f>
        <v>1575</v>
      </c>
      <c r="Y520" s="2"/>
      <c r="Z520" s="2"/>
    </row>
    <row r="521">
      <c r="A521" s="1">
        <f>IFERROR(__xludf.DUMMYFUNCTION("""COMPUTED_VALUE"""),520.0)</f>
        <v>520</v>
      </c>
      <c r="B521" s="1">
        <f>IFERROR(__xludf.DUMMYFUNCTION("""COMPUTED_VALUE"""),10386.0)</f>
        <v>10386</v>
      </c>
      <c r="C521" s="2" t="str">
        <f>IFERROR(__xludf.DUMMYFUNCTION("""COMPUTED_VALUE"""),"Azmi")</f>
        <v>Azmi</v>
      </c>
      <c r="D521" s="2" t="str">
        <f>IFERROR(__xludf.DUMMYFUNCTION("""COMPUTED_VALUE"""),"10KM OVERALL M")</f>
        <v>10KM OVERALL M</v>
      </c>
      <c r="E521" s="1">
        <f>IFERROR(__xludf.DUMMYFUNCTION("""COMPUTED_VALUE"""),1.0)</f>
        <v>1</v>
      </c>
      <c r="F521" s="1" t="str">
        <f>IFERROR(__xludf.DUMMYFUNCTION("""COMPUTED_VALUE"""),"Male")</f>
        <v>Male</v>
      </c>
      <c r="G521" s="4" t="b">
        <f>IFERROR(__xludf.DUMMYFUNCTION("""COMPUTED_VALUE"""),TRUE)</f>
        <v>1</v>
      </c>
      <c r="H521" s="4" t="b">
        <f>IFERROR(__xludf.DUMMYFUNCTION("""COMPUTED_VALUE"""),FALSE)</f>
        <v>0</v>
      </c>
      <c r="I521" s="4">
        <f>IFERROR(__xludf.DUMMYFUNCTION("""COMPUTED_VALUE"""),0.24646185185185185)</f>
        <v>0.2464618519</v>
      </c>
      <c r="J521" s="4">
        <f>IFERROR(__xludf.DUMMYFUNCTION("""COMPUTED_VALUE"""),45949.2577316294)</f>
        <v>45949.25773</v>
      </c>
      <c r="K521" s="4">
        <f>IFERROR(__xludf.DUMMYFUNCTION("""COMPUTED_VALUE"""),45949.28604061807)</f>
        <v>45949.28604</v>
      </c>
      <c r="L521" s="4">
        <f>IFERROR(__xludf.DUMMYFUNCTION("""COMPUTED_VALUE"""),45949.29400503309)</f>
        <v>45949.29401</v>
      </c>
      <c r="M521" s="1" t="str">
        <f>IFERROR(__xludf.DUMMYFUNCTION("""COMPUTED_VALUE"""),"RFID")</f>
        <v>RFID</v>
      </c>
      <c r="N521" s="5">
        <f>IFERROR(__xludf.DUMMYFUNCTION("""COMPUTED_VALUE"""),0.004507912037037037)</f>
        <v>0.004507912037</v>
      </c>
      <c r="O521" s="5">
        <f>IFERROR(__xludf.DUMMYFUNCTION("""COMPUTED_VALUE"""),0.011323597222222221)</f>
        <v>0.01132359722</v>
      </c>
      <c r="P521" s="5">
        <f>IFERROR(__xludf.DUMMYFUNCTION("""COMPUTED_VALUE"""),0.003277537044173168)</f>
        <v>0.003277537044</v>
      </c>
      <c r="Q521" s="5">
        <f>IFERROR(__xludf.DUMMYFUNCTION("""COMPUTED_VALUE"""),0.004754318287037037)</f>
        <v>0.004754318287</v>
      </c>
      <c r="R521" s="4">
        <f>IFERROR(__xludf.DUMMYFUNCTION("""COMPUTED_VALUE"""),45949.04754318124)</f>
        <v>45949.04754</v>
      </c>
      <c r="S521" s="1" t="b">
        <f>IFERROR(__xludf.DUMMYFUNCTION("""COMPUTED_VALUE"""),TRUE)</f>
        <v>1</v>
      </c>
      <c r="T521" s="1" t="b">
        <f>IFERROR(__xludf.DUMMYFUNCTION("""COMPUTED_VALUE"""),FALSE)</f>
        <v>0</v>
      </c>
      <c r="U521" s="1" t="str">
        <f>IFERROR(__xludf.DUMMYFUNCTION("""COMPUTED_VALUE"""),"VALID")</f>
        <v>VALID</v>
      </c>
      <c r="V521" s="1">
        <f>IFERROR(__xludf.DUMMYFUNCTION("""COMPUTED_VALUE"""),275.0)</f>
        <v>275</v>
      </c>
      <c r="W521" s="1">
        <f>IFERROR(__xludf.DUMMYFUNCTION("""COMPUTED_VALUE"""),327.0)</f>
        <v>327</v>
      </c>
      <c r="X521" s="1">
        <f>IFERROR(__xludf.DUMMYFUNCTION("""COMPUTED_VALUE"""),1287.0)</f>
        <v>1287</v>
      </c>
      <c r="Y521" s="2"/>
      <c r="Z521" s="2"/>
    </row>
    <row r="522">
      <c r="A522" s="1">
        <f>IFERROR(__xludf.DUMMYFUNCTION("""COMPUTED_VALUE"""),521.0)</f>
        <v>521</v>
      </c>
      <c r="B522" s="1">
        <f>IFERROR(__xludf.DUMMYFUNCTION("""COMPUTED_VALUE"""),10387.0)</f>
        <v>10387</v>
      </c>
      <c r="C522" s="2" t="str">
        <f>IFERROR(__xludf.DUMMYFUNCTION("""COMPUTED_VALUE"""),"ENDA K.")</f>
        <v>ENDA K.</v>
      </c>
      <c r="D522" s="2" t="str">
        <f>IFERROR(__xludf.DUMMYFUNCTION("""COMPUTED_VALUE"""),"10KM OVERALL M")</f>
        <v>10KM OVERALL M</v>
      </c>
      <c r="E522" s="1">
        <f>IFERROR(__xludf.DUMMYFUNCTION("""COMPUTED_VALUE"""),1.0)</f>
        <v>1</v>
      </c>
      <c r="F522" s="1" t="str">
        <f>IFERROR(__xludf.DUMMYFUNCTION("""COMPUTED_VALUE"""),"Male")</f>
        <v>Male</v>
      </c>
      <c r="G522" s="4" t="b">
        <f>IFERROR(__xludf.DUMMYFUNCTION("""COMPUTED_VALUE"""),TRUE)</f>
        <v>1</v>
      </c>
      <c r="H522" s="4" t="b">
        <f>IFERROR(__xludf.DUMMYFUNCTION("""COMPUTED_VALUE"""),FALSE)</f>
        <v>0</v>
      </c>
      <c r="I522" s="4">
        <f>IFERROR(__xludf.DUMMYFUNCTION("""COMPUTED_VALUE"""),0.24646185185185185)</f>
        <v>0.2464618519</v>
      </c>
      <c r="J522" s="4">
        <f>IFERROR(__xludf.DUMMYFUNCTION("""COMPUTED_VALUE"""),45949.25606490253)</f>
        <v>45949.25606</v>
      </c>
      <c r="K522" s="4">
        <f>IFERROR(__xludf.DUMMYFUNCTION("""COMPUTED_VALUE"""),45949.27970032707)</f>
        <v>45949.2797</v>
      </c>
      <c r="L522" s="4">
        <f>IFERROR(__xludf.DUMMYFUNCTION("""COMPUTED_VALUE"""),45949.2859668385)</f>
        <v>45949.28597</v>
      </c>
      <c r="M522" s="1" t="str">
        <f>IFERROR(__xludf.DUMMYFUNCTION("""COMPUTED_VALUE"""),"RFID")</f>
        <v>RFID</v>
      </c>
      <c r="N522" s="5">
        <f>IFERROR(__xludf.DUMMYFUNCTION("""COMPUTED_VALUE"""),0.0038412222222222224)</f>
        <v>0.003841222222</v>
      </c>
      <c r="O522" s="5">
        <f>IFERROR(__xludf.DUMMYFUNCTION("""COMPUTED_VALUE"""),0.009454171296296297)</f>
        <v>0.009454171296</v>
      </c>
      <c r="P522" s="5">
        <f>IFERROR(__xludf.DUMMYFUNCTION("""COMPUTED_VALUE"""),0.0025788112884864533)</f>
        <v>0.002578811288</v>
      </c>
      <c r="Q522" s="5">
        <f>IFERROR(__xludf.DUMMYFUNCTION("""COMPUTED_VALUE"""),0.003950498842592593)</f>
        <v>0.003950498843</v>
      </c>
      <c r="R522" s="4">
        <f>IFERROR(__xludf.DUMMYFUNCTION("""COMPUTED_VALUE"""),45949.03950498665)</f>
        <v>45949.0395</v>
      </c>
      <c r="S522" s="1" t="b">
        <f>IFERROR(__xludf.DUMMYFUNCTION("""COMPUTED_VALUE"""),TRUE)</f>
        <v>1</v>
      </c>
      <c r="T522" s="1" t="b">
        <f>IFERROR(__xludf.DUMMYFUNCTION("""COMPUTED_VALUE"""),FALSE)</f>
        <v>0</v>
      </c>
      <c r="U522" s="1" t="str">
        <f>IFERROR(__xludf.DUMMYFUNCTION("""COMPUTED_VALUE"""),"VALID")</f>
        <v>VALID</v>
      </c>
      <c r="V522" s="1">
        <f>IFERROR(__xludf.DUMMYFUNCTION("""COMPUTED_VALUE"""),89.0)</f>
        <v>89</v>
      </c>
      <c r="W522" s="1">
        <f>IFERROR(__xludf.DUMMYFUNCTION("""COMPUTED_VALUE"""),108.0)</f>
        <v>108</v>
      </c>
      <c r="X522" s="1">
        <f>IFERROR(__xludf.DUMMYFUNCTION("""COMPUTED_VALUE"""),953.0)</f>
        <v>953</v>
      </c>
      <c r="Y522" s="2"/>
      <c r="Z522" s="2"/>
    </row>
    <row r="523">
      <c r="A523" s="1">
        <f>IFERROR(__xludf.DUMMYFUNCTION("""COMPUTED_VALUE"""),522.0)</f>
        <v>522</v>
      </c>
      <c r="B523" s="1">
        <f>IFERROR(__xludf.DUMMYFUNCTION("""COMPUTED_VALUE"""),10388.0)</f>
        <v>10388</v>
      </c>
      <c r="C523" s="2" t="str">
        <f>IFERROR(__xludf.DUMMYFUNCTION("""COMPUTED_VALUE"""),"RAHADIAN")</f>
        <v>RAHADIAN</v>
      </c>
      <c r="D523" s="2" t="str">
        <f>IFERROR(__xludf.DUMMYFUNCTION("""COMPUTED_VALUE"""),"10KM OVERALL M")</f>
        <v>10KM OVERALL M</v>
      </c>
      <c r="E523" s="1">
        <f>IFERROR(__xludf.DUMMYFUNCTION("""COMPUTED_VALUE"""),1.0)</f>
        <v>1</v>
      </c>
      <c r="F523" s="1" t="str">
        <f>IFERROR(__xludf.DUMMYFUNCTION("""COMPUTED_VALUE"""),"Male")</f>
        <v>Male</v>
      </c>
      <c r="G523" s="4" t="b">
        <f>IFERROR(__xludf.DUMMYFUNCTION("""COMPUTED_VALUE"""),TRUE)</f>
        <v>1</v>
      </c>
      <c r="H523" s="4" t="b">
        <f>IFERROR(__xludf.DUMMYFUNCTION("""COMPUTED_VALUE"""),TRUE)</f>
        <v>1</v>
      </c>
      <c r="I523" s="4">
        <f>IFERROR(__xludf.DUMMYFUNCTION("""COMPUTED_VALUE"""),0.24646185185185185)</f>
        <v>0.2464618519</v>
      </c>
      <c r="J523" s="4">
        <f>IFERROR(__xludf.DUMMYFUNCTION("""COMPUTED_VALUE"""),45949.25533921058)</f>
        <v>45949.25534</v>
      </c>
      <c r="K523" s="4">
        <f>IFERROR(__xludf.DUMMYFUNCTION("""COMPUTED_VALUE"""),45949.2788982648)</f>
        <v>45949.2789</v>
      </c>
      <c r="L523" s="4">
        <f>IFERROR(__xludf.DUMMYFUNCTION("""COMPUTED_VALUE"""),45949.28570642692)</f>
        <v>45949.28571</v>
      </c>
      <c r="M523" s="1" t="str">
        <f>IFERROR(__xludf.DUMMYFUNCTION("""COMPUTED_VALUE"""),"RFID")</f>
        <v>RFID</v>
      </c>
      <c r="N523" s="5">
        <f>IFERROR(__xludf.DUMMYFUNCTION("""COMPUTED_VALUE"""),0.0035509444444444447)</f>
        <v>0.003550944444</v>
      </c>
      <c r="O523" s="5">
        <f>IFERROR(__xludf.DUMMYFUNCTION("""COMPUTED_VALUE"""),0.00942362037037037)</f>
        <v>0.00942362037</v>
      </c>
      <c r="P523" s="5">
        <f>IFERROR(__xludf.DUMMYFUNCTION("""COMPUTED_VALUE"""),0.0028017128070619017)</f>
        <v>0.002801712807</v>
      </c>
      <c r="Q523" s="5">
        <f>IFERROR(__xludf.DUMMYFUNCTION("""COMPUTED_VALUE"""),0.003924457175925926)</f>
        <v>0.003924457176</v>
      </c>
      <c r="R523" s="4">
        <f>IFERROR(__xludf.DUMMYFUNCTION("""COMPUTED_VALUE"""),45949.03924457507)</f>
        <v>45949.03924</v>
      </c>
      <c r="S523" s="1" t="b">
        <f>IFERROR(__xludf.DUMMYFUNCTION("""COMPUTED_VALUE"""),TRUE)</f>
        <v>1</v>
      </c>
      <c r="T523" s="1" t="b">
        <f>IFERROR(__xludf.DUMMYFUNCTION("""COMPUTED_VALUE"""),FALSE)</f>
        <v>0</v>
      </c>
      <c r="U523" s="1" t="str">
        <f>IFERROR(__xludf.DUMMYFUNCTION("""COMPUTED_VALUE"""),"VALID")</f>
        <v>VALID</v>
      </c>
      <c r="V523" s="1">
        <f>IFERROR(__xludf.DUMMYFUNCTION("""COMPUTED_VALUE"""),84.0)</f>
        <v>84</v>
      </c>
      <c r="W523" s="1">
        <f>IFERROR(__xludf.DUMMYFUNCTION("""COMPUTED_VALUE"""),102.0)</f>
        <v>102</v>
      </c>
      <c r="X523" s="1">
        <f>IFERROR(__xludf.DUMMYFUNCTION("""COMPUTED_VALUE"""),939.0)</f>
        <v>939</v>
      </c>
      <c r="Y523" s="2"/>
      <c r="Z523" s="2"/>
    </row>
    <row r="524">
      <c r="A524" s="1">
        <f>IFERROR(__xludf.DUMMYFUNCTION("""COMPUTED_VALUE"""),523.0)</f>
        <v>523</v>
      </c>
      <c r="B524" s="1">
        <f>IFERROR(__xludf.DUMMYFUNCTION("""COMPUTED_VALUE"""),10389.0)</f>
        <v>10389</v>
      </c>
      <c r="C524" s="2" t="str">
        <f>IFERROR(__xludf.DUMMYFUNCTION("""COMPUTED_VALUE"""),"Fahrul")</f>
        <v>Fahrul</v>
      </c>
      <c r="D524" s="2" t="str">
        <f>IFERROR(__xludf.DUMMYFUNCTION("""COMPUTED_VALUE"""),"10KM OVERALL M")</f>
        <v>10KM OVERALL M</v>
      </c>
      <c r="E524" s="1">
        <f>IFERROR(__xludf.DUMMYFUNCTION("""COMPUTED_VALUE"""),1.0)</f>
        <v>1</v>
      </c>
      <c r="F524" s="1" t="str">
        <f>IFERROR(__xludf.DUMMYFUNCTION("""COMPUTED_VALUE"""),"Male")</f>
        <v>Male</v>
      </c>
      <c r="G524" s="4" t="b">
        <f>IFERROR(__xludf.DUMMYFUNCTION("""COMPUTED_VALUE"""),TRUE)</f>
        <v>1</v>
      </c>
      <c r="H524" s="4" t="b">
        <f>IFERROR(__xludf.DUMMYFUNCTION("""COMPUTED_VALUE"""),TRUE)</f>
        <v>1</v>
      </c>
      <c r="I524" s="4">
        <f>IFERROR(__xludf.DUMMYFUNCTION("""COMPUTED_VALUE"""),0.24646185185185185)</f>
        <v>0.2464618519</v>
      </c>
      <c r="J524" s="4">
        <f>IFERROR(__xludf.DUMMYFUNCTION("""COMPUTED_VALUE"""),45949.25419683331)</f>
        <v>45949.2542</v>
      </c>
      <c r="K524" s="4">
        <f>IFERROR(__xludf.DUMMYFUNCTION("""COMPUTED_VALUE"""),45949.27263941606)</f>
        <v>45949.27264</v>
      </c>
      <c r="L524" s="4">
        <f>IFERROR(__xludf.DUMMYFUNCTION("""COMPUTED_VALUE"""),45949.27776198776)</f>
        <v>45949.27776</v>
      </c>
      <c r="M524" s="1" t="str">
        <f>IFERROR(__xludf.DUMMYFUNCTION("""COMPUTED_VALUE"""),"RFID")</f>
        <v>RFID</v>
      </c>
      <c r="N524" s="5">
        <f>IFERROR(__xludf.DUMMYFUNCTION("""COMPUTED_VALUE"""),0.003093990740740741)</f>
        <v>0.003093990741</v>
      </c>
      <c r="O524" s="5">
        <f>IFERROR(__xludf.DUMMYFUNCTION("""COMPUTED_VALUE"""),0.007377032407407408)</f>
        <v>0.007377032407</v>
      </c>
      <c r="P524" s="5">
        <f>IFERROR(__xludf.DUMMYFUNCTION("""COMPUTED_VALUE"""),0.002108054195934094)</f>
        <v>0.002108054196</v>
      </c>
      <c r="Q524" s="5">
        <f>IFERROR(__xludf.DUMMYFUNCTION("""COMPUTED_VALUE"""),0.0031300138888888883)</f>
        <v>0.003130013889</v>
      </c>
      <c r="R524" s="4">
        <f>IFERROR(__xludf.DUMMYFUNCTION("""COMPUTED_VALUE"""),45949.03130013591)</f>
        <v>45949.0313</v>
      </c>
      <c r="S524" s="1" t="b">
        <f>IFERROR(__xludf.DUMMYFUNCTION("""COMPUTED_VALUE"""),TRUE)</f>
        <v>1</v>
      </c>
      <c r="T524" s="1" t="b">
        <f>IFERROR(__xludf.DUMMYFUNCTION("""COMPUTED_VALUE"""),FALSE)</f>
        <v>0</v>
      </c>
      <c r="U524" s="1" t="str">
        <f>IFERROR(__xludf.DUMMYFUNCTION("""COMPUTED_VALUE"""),"VALID")</f>
        <v>VALID</v>
      </c>
      <c r="V524" s="1">
        <f>IFERROR(__xludf.DUMMYFUNCTION("""COMPUTED_VALUE"""),12.0)</f>
        <v>12</v>
      </c>
      <c r="W524" s="1">
        <f>IFERROR(__xludf.DUMMYFUNCTION("""COMPUTED_VALUE"""),17.0)</f>
        <v>17</v>
      </c>
      <c r="X524" s="1">
        <f>IFERROR(__xludf.DUMMYFUNCTION("""COMPUTED_VALUE"""),543.0)</f>
        <v>543</v>
      </c>
      <c r="Y524" s="2"/>
      <c r="Z524" s="2"/>
    </row>
    <row r="525">
      <c r="A525" s="1">
        <f>IFERROR(__xludf.DUMMYFUNCTION("""COMPUTED_VALUE"""),524.0)</f>
        <v>524</v>
      </c>
      <c r="B525" s="1">
        <f>IFERROR(__xludf.DUMMYFUNCTION("""COMPUTED_VALUE"""),10390.0)</f>
        <v>10390</v>
      </c>
      <c r="C525" s="2" t="str">
        <f>IFERROR(__xludf.DUMMYFUNCTION("""COMPUTED_VALUE"""),"Bagas Adabi")</f>
        <v>Bagas Adabi</v>
      </c>
      <c r="D525" s="2" t="str">
        <f>IFERROR(__xludf.DUMMYFUNCTION("""COMPUTED_VALUE"""),"10KM OVERALL M")</f>
        <v>10KM OVERALL M</v>
      </c>
      <c r="E525" s="1">
        <f>IFERROR(__xludf.DUMMYFUNCTION("""COMPUTED_VALUE"""),1.0)</f>
        <v>1</v>
      </c>
      <c r="F525" s="1" t="str">
        <f>IFERROR(__xludf.DUMMYFUNCTION("""COMPUTED_VALUE"""),"Male")</f>
        <v>Male</v>
      </c>
      <c r="G525" s="4" t="b">
        <f>IFERROR(__xludf.DUMMYFUNCTION("""COMPUTED_VALUE"""),TRUE)</f>
        <v>1</v>
      </c>
      <c r="H525" s="4" t="b">
        <f>IFERROR(__xludf.DUMMYFUNCTION("""COMPUTED_VALUE"""),TRUE)</f>
        <v>1</v>
      </c>
      <c r="I525" s="4">
        <f>IFERROR(__xludf.DUMMYFUNCTION("""COMPUTED_VALUE"""),0.24646185185185185)</f>
        <v>0.2464618519</v>
      </c>
      <c r="J525" s="4">
        <f>IFERROR(__xludf.DUMMYFUNCTION("""COMPUTED_VALUE"""),45949.25701289631)</f>
        <v>45949.25701</v>
      </c>
      <c r="K525" s="4">
        <f>IFERROR(__xludf.DUMMYFUNCTION("""COMPUTED_VALUE"""),45949.28490876712)</f>
        <v>45949.28491</v>
      </c>
      <c r="L525" s="4">
        <f>IFERROR(__xludf.DUMMYFUNCTION("""COMPUTED_VALUE"""),45949.29160572378)</f>
        <v>45949.29161</v>
      </c>
      <c r="M525" s="1" t="str">
        <f>IFERROR(__xludf.DUMMYFUNCTION("""COMPUTED_VALUE"""),"RFID")</f>
        <v>RFID</v>
      </c>
      <c r="N525" s="5">
        <f>IFERROR(__xludf.DUMMYFUNCTION("""COMPUTED_VALUE"""),0.004220416666666667)</f>
        <v>0.004220416667</v>
      </c>
      <c r="O525" s="5">
        <f>IFERROR(__xludf.DUMMYFUNCTION("""COMPUTED_VALUE"""),0.011158347222222222)</f>
        <v>0.01115834722</v>
      </c>
      <c r="P525" s="5">
        <f>IFERROR(__xludf.DUMMYFUNCTION("""COMPUTED_VALUE"""),0.0027559492434039634)</f>
        <v>0.002755949243</v>
      </c>
      <c r="Q525" s="5">
        <f>IFERROR(__xludf.DUMMYFUNCTION("""COMPUTED_VALUE"""),0.004514387731481481)</f>
        <v>0.004514387731</v>
      </c>
      <c r="R525" s="4">
        <f>IFERROR(__xludf.DUMMYFUNCTION("""COMPUTED_VALUE"""),45949.04514387193)</f>
        <v>45949.04514</v>
      </c>
      <c r="S525" s="1" t="b">
        <f>IFERROR(__xludf.DUMMYFUNCTION("""COMPUTED_VALUE"""),TRUE)</f>
        <v>1</v>
      </c>
      <c r="T525" s="1" t="b">
        <f>IFERROR(__xludf.DUMMYFUNCTION("""COMPUTED_VALUE"""),FALSE)</f>
        <v>0</v>
      </c>
      <c r="U525" s="1" t="str">
        <f>IFERROR(__xludf.DUMMYFUNCTION("""COMPUTED_VALUE"""),"VALID")</f>
        <v>VALID</v>
      </c>
      <c r="V525" s="1">
        <f>IFERROR(__xludf.DUMMYFUNCTION("""COMPUTED_VALUE"""),219.0)</f>
        <v>219</v>
      </c>
      <c r="W525" s="1">
        <f>IFERROR(__xludf.DUMMYFUNCTION("""COMPUTED_VALUE"""),264.0)</f>
        <v>264</v>
      </c>
      <c r="X525" s="1">
        <f>IFERROR(__xludf.DUMMYFUNCTION("""COMPUTED_VALUE"""),1204.0)</f>
        <v>1204</v>
      </c>
      <c r="Y525" s="2"/>
      <c r="Z525" s="2"/>
    </row>
    <row r="526">
      <c r="A526" s="1">
        <f>IFERROR(__xludf.DUMMYFUNCTION("""COMPUTED_VALUE"""),525.0)</f>
        <v>525</v>
      </c>
      <c r="B526" s="1">
        <f>IFERROR(__xludf.DUMMYFUNCTION("""COMPUTED_VALUE"""),10392.0)</f>
        <v>10392</v>
      </c>
      <c r="C526" s="2" t="str">
        <f>IFERROR(__xludf.DUMMYFUNCTION("""COMPUTED_VALUE"""),"zunai")</f>
        <v>zunai</v>
      </c>
      <c r="D526" s="2" t="str">
        <f>IFERROR(__xludf.DUMMYFUNCTION("""COMPUTED_VALUE"""),"10KM OVERALL M")</f>
        <v>10KM OVERALL M</v>
      </c>
      <c r="E526" s="1">
        <f>IFERROR(__xludf.DUMMYFUNCTION("""COMPUTED_VALUE"""),1.0)</f>
        <v>1</v>
      </c>
      <c r="F526" s="1" t="str">
        <f>IFERROR(__xludf.DUMMYFUNCTION("""COMPUTED_VALUE"""),"Male")</f>
        <v>Male</v>
      </c>
      <c r="G526" s="4" t="b">
        <f>IFERROR(__xludf.DUMMYFUNCTION("""COMPUTED_VALUE"""),TRUE)</f>
        <v>1</v>
      </c>
      <c r="H526" s="4" t="b">
        <f>IFERROR(__xludf.DUMMYFUNCTION("""COMPUTED_VALUE"""),TRUE)</f>
        <v>1</v>
      </c>
      <c r="I526" s="4">
        <f>IFERROR(__xludf.DUMMYFUNCTION("""COMPUTED_VALUE"""),0.24646185185185185)</f>
        <v>0.2464618519</v>
      </c>
      <c r="J526" s="4">
        <f>IFERROR(__xludf.DUMMYFUNCTION("""COMPUTED_VALUE"""),45949.25717947989)</f>
        <v>45949.25718</v>
      </c>
      <c r="K526" s="4">
        <f>IFERROR(__xludf.DUMMYFUNCTION("""COMPUTED_VALUE"""),45949.28524199728)</f>
        <v>45949.28524</v>
      </c>
      <c r="L526" s="4">
        <f>IFERROR(__xludf.DUMMYFUNCTION("""COMPUTED_VALUE"""),45949.292831773186)</f>
        <v>45949.29283</v>
      </c>
      <c r="M526" s="1" t="str">
        <f>IFERROR(__xludf.DUMMYFUNCTION("""COMPUTED_VALUE"""),"RFID")</f>
        <v>RFID</v>
      </c>
      <c r="N526" s="5">
        <f>IFERROR(__xludf.DUMMYFUNCTION("""COMPUTED_VALUE"""),0.004287050925925926)</f>
        <v>0.004287050926</v>
      </c>
      <c r="O526" s="5">
        <f>IFERROR(__xludf.DUMMYFUNCTION("""COMPUTED_VALUE"""),0.011225009259259257)</f>
        <v>0.01122500926</v>
      </c>
      <c r="P526" s="5">
        <f>IFERROR(__xludf.DUMMYFUNCTION("""COMPUTED_VALUE"""),0.003123364571545181)</f>
        <v>0.003123364572</v>
      </c>
      <c r="Q526" s="5">
        <f>IFERROR(__xludf.DUMMYFUNCTION("""COMPUTED_VALUE"""),0.004636991898148148)</f>
        <v>0.004636991898</v>
      </c>
      <c r="R526" s="4">
        <f>IFERROR(__xludf.DUMMYFUNCTION("""COMPUTED_VALUE"""),45949.046369921336)</f>
        <v>45949.04637</v>
      </c>
      <c r="S526" s="1" t="b">
        <f>IFERROR(__xludf.DUMMYFUNCTION("""COMPUTED_VALUE"""),TRUE)</f>
        <v>1</v>
      </c>
      <c r="T526" s="1" t="b">
        <f>IFERROR(__xludf.DUMMYFUNCTION("""COMPUTED_VALUE"""),FALSE)</f>
        <v>0</v>
      </c>
      <c r="U526" s="1" t="str">
        <f>IFERROR(__xludf.DUMMYFUNCTION("""COMPUTED_VALUE"""),"VALID")</f>
        <v>VALID</v>
      </c>
      <c r="V526" s="1">
        <f>IFERROR(__xludf.DUMMYFUNCTION("""COMPUTED_VALUE"""),253.0)</f>
        <v>253</v>
      </c>
      <c r="W526" s="1">
        <f>IFERROR(__xludf.DUMMYFUNCTION("""COMPUTED_VALUE"""),302.0)</f>
        <v>302</v>
      </c>
      <c r="X526" s="1">
        <f>IFERROR(__xludf.DUMMYFUNCTION("""COMPUTED_VALUE"""),1258.0)</f>
        <v>1258</v>
      </c>
      <c r="Y526" s="2"/>
      <c r="Z526" s="2"/>
    </row>
    <row r="527">
      <c r="A527" s="1">
        <f>IFERROR(__xludf.DUMMYFUNCTION("""COMPUTED_VALUE"""),526.0)</f>
        <v>526</v>
      </c>
      <c r="B527" s="1">
        <f>IFERROR(__xludf.DUMMYFUNCTION("""COMPUTED_VALUE"""),10393.0)</f>
        <v>10393</v>
      </c>
      <c r="C527" s="2" t="str">
        <f>IFERROR(__xludf.DUMMYFUNCTION("""COMPUTED_VALUE"""),"irfan")</f>
        <v>irfan</v>
      </c>
      <c r="D527" s="2" t="str">
        <f>IFERROR(__xludf.DUMMYFUNCTION("""COMPUTED_VALUE"""),"10KM OVERALL M")</f>
        <v>10KM OVERALL M</v>
      </c>
      <c r="E527" s="1">
        <f>IFERROR(__xludf.DUMMYFUNCTION("""COMPUTED_VALUE"""),1.0)</f>
        <v>1</v>
      </c>
      <c r="F527" s="1" t="str">
        <f>IFERROR(__xludf.DUMMYFUNCTION("""COMPUTED_VALUE"""),"Male")</f>
        <v>Male</v>
      </c>
      <c r="G527" s="4" t="str">
        <f>IFERROR(__xludf.DUMMYFUNCTION("""COMPUTED_VALUE"""),"")</f>
        <v/>
      </c>
      <c r="H527" s="4" t="b">
        <f>IFERROR(__xludf.DUMMYFUNCTION("""COMPUTED_VALUE"""),FALSE)</f>
        <v>0</v>
      </c>
      <c r="I527" s="4">
        <f>IFERROR(__xludf.DUMMYFUNCTION("""COMPUTED_VALUE"""),0.24646185185185185)</f>
        <v>0.2464618519</v>
      </c>
      <c r="J527" s="4" t="str">
        <f>IFERROR(__xludf.DUMMYFUNCTION("""COMPUTED_VALUE"""),"")</f>
        <v/>
      </c>
      <c r="K527" s="4" t="str">
        <f>IFERROR(__xludf.DUMMYFUNCTION("""COMPUTED_VALUE"""),"")</f>
        <v/>
      </c>
      <c r="L527" s="4" t="str">
        <f>IFERROR(__xludf.DUMMYFUNCTION("""COMPUTED_VALUE"""),"")</f>
        <v/>
      </c>
      <c r="M527" s="1" t="str">
        <f>IFERROR(__xludf.DUMMYFUNCTION("""COMPUTED_VALUE"""),"RFID")</f>
        <v>RFID</v>
      </c>
      <c r="N527" s="5" t="str">
        <f>IFERROR(__xludf.DUMMYFUNCTION("""COMPUTED_VALUE"""),"")</f>
        <v/>
      </c>
      <c r="O527" s="5" t="str">
        <f>IFERROR(__xludf.DUMMYFUNCTION("""COMPUTED_VALUE"""),"")</f>
        <v/>
      </c>
      <c r="P527" s="5" t="str">
        <f>IFERROR(__xludf.DUMMYFUNCTION("""COMPUTED_VALUE"""),"")</f>
        <v/>
      </c>
      <c r="Q527" s="5" t="str">
        <f>IFERROR(__xludf.DUMMYFUNCTION("""COMPUTED_VALUE"""),"")</f>
        <v/>
      </c>
      <c r="R527" s="4" t="str">
        <f>IFERROR(__xludf.DUMMYFUNCTION("""COMPUTED_VALUE"""),"")</f>
        <v/>
      </c>
      <c r="S527" s="1" t="b">
        <f>IFERROR(__xludf.DUMMYFUNCTION("""COMPUTED_VALUE"""),FALSE)</f>
        <v>0</v>
      </c>
      <c r="T527" s="1" t="b">
        <f>IFERROR(__xludf.DUMMYFUNCTION("""COMPUTED_VALUE"""),FALSE)</f>
        <v>0</v>
      </c>
      <c r="U527" s="1" t="str">
        <f>IFERROR(__xludf.DUMMYFUNCTION("""COMPUTED_VALUE"""),"DSQ")</f>
        <v>DSQ</v>
      </c>
      <c r="V527" s="1" t="str">
        <f>IFERROR(__xludf.DUMMYFUNCTION("""COMPUTED_VALUE"""),"DSQ")</f>
        <v>DSQ</v>
      </c>
      <c r="W527" s="1" t="str">
        <f>IFERROR(__xludf.DUMMYFUNCTION("""COMPUTED_VALUE"""),"DSQ")</f>
        <v>DSQ</v>
      </c>
      <c r="X527" s="1" t="str">
        <f>IFERROR(__xludf.DUMMYFUNCTION("""COMPUTED_VALUE"""),"DSQ")</f>
        <v>DSQ</v>
      </c>
      <c r="Y527" s="2"/>
      <c r="Z527" s="2" t="str">
        <f>IFERROR(__xludf.DUMMYFUNCTION("""COMPUTED_VALUE"""),"")</f>
        <v/>
      </c>
    </row>
    <row r="528">
      <c r="A528" s="1">
        <f>IFERROR(__xludf.DUMMYFUNCTION("""COMPUTED_VALUE"""),527.0)</f>
        <v>527</v>
      </c>
      <c r="B528" s="1">
        <f>IFERROR(__xludf.DUMMYFUNCTION("""COMPUTED_VALUE"""),10394.0)</f>
        <v>10394</v>
      </c>
      <c r="C528" s="2" t="str">
        <f>IFERROR(__xludf.DUMMYFUNCTION("""COMPUTED_VALUE"""),"VAREL")</f>
        <v>VAREL</v>
      </c>
      <c r="D528" s="2" t="str">
        <f>IFERROR(__xludf.DUMMYFUNCTION("""COMPUTED_VALUE"""),"10KM OVERALL M")</f>
        <v>10KM OVERALL M</v>
      </c>
      <c r="E528" s="1">
        <f>IFERROR(__xludf.DUMMYFUNCTION("""COMPUTED_VALUE"""),1.0)</f>
        <v>1</v>
      </c>
      <c r="F528" s="1" t="str">
        <f>IFERROR(__xludf.DUMMYFUNCTION("""COMPUTED_VALUE"""),"Male")</f>
        <v>Male</v>
      </c>
      <c r="G528" s="4" t="b">
        <f>IFERROR(__xludf.DUMMYFUNCTION("""COMPUTED_VALUE"""),TRUE)</f>
        <v>1</v>
      </c>
      <c r="H528" s="4" t="b">
        <f>IFERROR(__xludf.DUMMYFUNCTION("""COMPUTED_VALUE"""),TRUE)</f>
        <v>1</v>
      </c>
      <c r="I528" s="4">
        <f>IFERROR(__xludf.DUMMYFUNCTION("""COMPUTED_VALUE"""),0.24646185185185185)</f>
        <v>0.2464618519</v>
      </c>
      <c r="J528" s="4">
        <f>IFERROR(__xludf.DUMMYFUNCTION("""COMPUTED_VALUE"""),45949.256985083295)</f>
        <v>45949.25699</v>
      </c>
      <c r="K528" s="4">
        <f>IFERROR(__xludf.DUMMYFUNCTION("""COMPUTED_VALUE"""),45949.2888739377)</f>
        <v>45949.28887</v>
      </c>
      <c r="L528" s="4">
        <f>IFERROR(__xludf.DUMMYFUNCTION("""COMPUTED_VALUE"""),45949.297734147614)</f>
        <v>45949.29773</v>
      </c>
      <c r="M528" s="1" t="str">
        <f>IFERROR(__xludf.DUMMYFUNCTION("""COMPUTED_VALUE"""),"RFID")</f>
        <v>RFID</v>
      </c>
      <c r="N528" s="5">
        <f>IFERROR(__xludf.DUMMYFUNCTION("""COMPUTED_VALUE"""),0.004209291666666667)</f>
        <v>0.004209291667</v>
      </c>
      <c r="O528" s="5">
        <f>IFERROR(__xludf.DUMMYFUNCTION("""COMPUTED_VALUE"""),0.012755541666666667)</f>
        <v>0.01275554167</v>
      </c>
      <c r="P528" s="5">
        <f>IFERROR(__xludf.DUMMYFUNCTION("""COMPUTED_VALUE"""),0.0036461769189750737)</f>
        <v>0.003646176919</v>
      </c>
      <c r="Q528" s="5">
        <f>IFERROR(__xludf.DUMMYFUNCTION("""COMPUTED_VALUE"""),0.005127229166666667)</f>
        <v>0.005127229167</v>
      </c>
      <c r="R528" s="4">
        <f>IFERROR(__xludf.DUMMYFUNCTION("""COMPUTED_VALUE"""),45949.051272295765)</f>
        <v>45949.05127</v>
      </c>
      <c r="S528" s="1" t="b">
        <f>IFERROR(__xludf.DUMMYFUNCTION("""COMPUTED_VALUE"""),TRUE)</f>
        <v>1</v>
      </c>
      <c r="T528" s="1" t="b">
        <f>IFERROR(__xludf.DUMMYFUNCTION("""COMPUTED_VALUE"""),FALSE)</f>
        <v>0</v>
      </c>
      <c r="U528" s="1" t="str">
        <f>IFERROR(__xludf.DUMMYFUNCTION("""COMPUTED_VALUE"""),"VALID")</f>
        <v>VALID</v>
      </c>
      <c r="V528" s="1">
        <f>IFERROR(__xludf.DUMMYFUNCTION("""COMPUTED_VALUE"""),370.0)</f>
        <v>370</v>
      </c>
      <c r="W528" s="1">
        <f>IFERROR(__xludf.DUMMYFUNCTION("""COMPUTED_VALUE"""),438.0)</f>
        <v>438</v>
      </c>
      <c r="X528" s="1">
        <f>IFERROR(__xludf.DUMMYFUNCTION("""COMPUTED_VALUE"""),1417.0)</f>
        <v>1417</v>
      </c>
      <c r="Y528" s="2"/>
      <c r="Z528" s="2"/>
    </row>
    <row r="529">
      <c r="A529" s="1">
        <f>IFERROR(__xludf.DUMMYFUNCTION("""COMPUTED_VALUE"""),528.0)</f>
        <v>528</v>
      </c>
      <c r="B529" s="1">
        <f>IFERROR(__xludf.DUMMYFUNCTION("""COMPUTED_VALUE"""),10395.0)</f>
        <v>10395</v>
      </c>
      <c r="C529" s="2" t="str">
        <f>IFERROR(__xludf.DUMMYFUNCTION("""COMPUTED_VALUE"""),"Ahmad Febry Fahrurrazi")</f>
        <v>Ahmad Febry Fahrurrazi</v>
      </c>
      <c r="D529" s="2" t="str">
        <f>IFERROR(__xludf.DUMMYFUNCTION("""COMPUTED_VALUE"""),"10KM OVERALL M")</f>
        <v>10KM OVERALL M</v>
      </c>
      <c r="E529" s="1">
        <f>IFERROR(__xludf.DUMMYFUNCTION("""COMPUTED_VALUE"""),1.0)</f>
        <v>1</v>
      </c>
      <c r="F529" s="1" t="str">
        <f>IFERROR(__xludf.DUMMYFUNCTION("""COMPUTED_VALUE"""),"Male")</f>
        <v>Male</v>
      </c>
      <c r="G529" s="4" t="b">
        <f>IFERROR(__xludf.DUMMYFUNCTION("""COMPUTED_VALUE"""),TRUE)</f>
        <v>1</v>
      </c>
      <c r="H529" s="4" t="b">
        <f>IFERROR(__xludf.DUMMYFUNCTION("""COMPUTED_VALUE"""),TRUE)</f>
        <v>1</v>
      </c>
      <c r="I529" s="4">
        <f>IFERROR(__xludf.DUMMYFUNCTION("""COMPUTED_VALUE"""),0.24646185185185185)</f>
        <v>0.2464618519</v>
      </c>
      <c r="J529" s="4">
        <f>IFERROR(__xludf.DUMMYFUNCTION("""COMPUTED_VALUE"""),45949.259880908314)</f>
        <v>45949.25988</v>
      </c>
      <c r="K529" s="4">
        <f>IFERROR(__xludf.DUMMYFUNCTION("""COMPUTED_VALUE"""),45949.29438806899)</f>
        <v>45949.29439</v>
      </c>
      <c r="L529" s="4">
        <f>IFERROR(__xludf.DUMMYFUNCTION("""COMPUTED_VALUE"""),45949.303331428746)</f>
        <v>45949.30333</v>
      </c>
      <c r="M529" s="1" t="str">
        <f>IFERROR(__xludf.DUMMYFUNCTION("""COMPUTED_VALUE"""),"RFID")</f>
        <v>RFID</v>
      </c>
      <c r="N529" s="5">
        <f>IFERROR(__xludf.DUMMYFUNCTION("""COMPUTED_VALUE"""),0.00536762037037037)</f>
        <v>0.00536762037</v>
      </c>
      <c r="O529" s="5">
        <f>IFERROR(__xludf.DUMMYFUNCTION("""COMPUTED_VALUE"""),0.01380286574074074)</f>
        <v>0.01380286574</v>
      </c>
      <c r="P529" s="5">
        <f>IFERROR(__xludf.DUMMYFUNCTION("""COMPUTED_VALUE"""),0.003680394960154392)</f>
        <v>0.00368039496</v>
      </c>
      <c r="Q529" s="5">
        <f>IFERROR(__xludf.DUMMYFUNCTION("""COMPUTED_VALUE"""),0.005686957175925926)</f>
        <v>0.005686957176</v>
      </c>
      <c r="R529" s="4">
        <f>IFERROR(__xludf.DUMMYFUNCTION("""COMPUTED_VALUE"""),45949.056869576896)</f>
        <v>45949.05687</v>
      </c>
      <c r="S529" s="1" t="b">
        <f>IFERROR(__xludf.DUMMYFUNCTION("""COMPUTED_VALUE"""),TRUE)</f>
        <v>1</v>
      </c>
      <c r="T529" s="1" t="b">
        <f>IFERROR(__xludf.DUMMYFUNCTION("""COMPUTED_VALUE"""),FALSE)</f>
        <v>0</v>
      </c>
      <c r="U529" s="1" t="str">
        <f>IFERROR(__xludf.DUMMYFUNCTION("""COMPUTED_VALUE"""),"VALID")</f>
        <v>VALID</v>
      </c>
      <c r="V529" s="1">
        <f>IFERROR(__xludf.DUMMYFUNCTION("""COMPUTED_VALUE"""),498.0)</f>
        <v>498</v>
      </c>
      <c r="W529" s="1">
        <f>IFERROR(__xludf.DUMMYFUNCTION("""COMPUTED_VALUE"""),600.0)</f>
        <v>600</v>
      </c>
      <c r="X529" s="1">
        <f>IFERROR(__xludf.DUMMYFUNCTION("""COMPUTED_VALUE"""),1567.0)</f>
        <v>1567</v>
      </c>
      <c r="Y529" s="2"/>
      <c r="Z529" s="2"/>
    </row>
    <row r="530">
      <c r="A530" s="1">
        <f>IFERROR(__xludf.DUMMYFUNCTION("""COMPUTED_VALUE"""),529.0)</f>
        <v>529</v>
      </c>
      <c r="B530" s="1">
        <f>IFERROR(__xludf.DUMMYFUNCTION("""COMPUTED_VALUE"""),10396.0)</f>
        <v>10396</v>
      </c>
      <c r="C530" s="2" t="str">
        <f>IFERROR(__xludf.DUMMYFUNCTION("""COMPUTED_VALUE"""),"Reza")</f>
        <v>Reza</v>
      </c>
      <c r="D530" s="2" t="str">
        <f>IFERROR(__xludf.DUMMYFUNCTION("""COMPUTED_VALUE"""),"10KM OVERALL M")</f>
        <v>10KM OVERALL M</v>
      </c>
      <c r="E530" s="1">
        <f>IFERROR(__xludf.DUMMYFUNCTION("""COMPUTED_VALUE"""),1.0)</f>
        <v>1</v>
      </c>
      <c r="F530" s="1" t="str">
        <f>IFERROR(__xludf.DUMMYFUNCTION("""COMPUTED_VALUE"""),"Male")</f>
        <v>Male</v>
      </c>
      <c r="G530" s="4" t="b">
        <f>IFERROR(__xludf.DUMMYFUNCTION("""COMPUTED_VALUE"""),TRUE)</f>
        <v>1</v>
      </c>
      <c r="H530" s="4" t="b">
        <f>IFERROR(__xludf.DUMMYFUNCTION("""COMPUTED_VALUE"""),TRUE)</f>
        <v>1</v>
      </c>
      <c r="I530" s="4">
        <f>IFERROR(__xludf.DUMMYFUNCTION("""COMPUTED_VALUE"""),0.24646185185185185)</f>
        <v>0.2464618519</v>
      </c>
      <c r="J530" s="4">
        <f>IFERROR(__xludf.DUMMYFUNCTION("""COMPUTED_VALUE"""),45949.255620442105)</f>
        <v>45949.25562</v>
      </c>
      <c r="K530" s="4">
        <f>IFERROR(__xludf.DUMMYFUNCTION("""COMPUTED_VALUE"""),45949.279707274414)</f>
        <v>45949.27971</v>
      </c>
      <c r="L530" s="4">
        <f>IFERROR(__xludf.DUMMYFUNCTION("""COMPUTED_VALUE"""),45949.28608141849)</f>
        <v>45949.28608</v>
      </c>
      <c r="M530" s="1" t="str">
        <f>IFERROR(__xludf.DUMMYFUNCTION("""COMPUTED_VALUE"""),"RFID")</f>
        <v>RFID</v>
      </c>
      <c r="N530" s="5">
        <f>IFERROR(__xludf.DUMMYFUNCTION("""COMPUTED_VALUE"""),0.0036634351851851854)</f>
        <v>0.003663435185</v>
      </c>
      <c r="O530" s="5">
        <f>IFERROR(__xludf.DUMMYFUNCTION("""COMPUTED_VALUE"""),0.00963473148148148)</f>
        <v>0.009634731481</v>
      </c>
      <c r="P530" s="5">
        <f>IFERROR(__xludf.DUMMYFUNCTION("""COMPUTED_VALUE"""),0.002623104557769618)</f>
        <v>0.002623104558</v>
      </c>
      <c r="Q530" s="5">
        <f>IFERROR(__xludf.DUMMYFUNCTION("""COMPUTED_VALUE"""),0.003961957175925926)</f>
        <v>0.003961957176</v>
      </c>
      <c r="R530" s="4">
        <f>IFERROR(__xludf.DUMMYFUNCTION("""COMPUTED_VALUE"""),45949.03961956664)</f>
        <v>45949.03962</v>
      </c>
      <c r="S530" s="1" t="b">
        <f>IFERROR(__xludf.DUMMYFUNCTION("""COMPUTED_VALUE"""),TRUE)</f>
        <v>1</v>
      </c>
      <c r="T530" s="1" t="b">
        <f>IFERROR(__xludf.DUMMYFUNCTION("""COMPUTED_VALUE"""),FALSE)</f>
        <v>0</v>
      </c>
      <c r="U530" s="1" t="str">
        <f>IFERROR(__xludf.DUMMYFUNCTION("""COMPUTED_VALUE"""),"VALID")</f>
        <v>VALID</v>
      </c>
      <c r="V530" s="1">
        <f>IFERROR(__xludf.DUMMYFUNCTION("""COMPUTED_VALUE"""),93.0)</f>
        <v>93</v>
      </c>
      <c r="W530" s="1">
        <f>IFERROR(__xludf.DUMMYFUNCTION("""COMPUTED_VALUE"""),112.0)</f>
        <v>112</v>
      </c>
      <c r="X530" s="1">
        <f>IFERROR(__xludf.DUMMYFUNCTION("""COMPUTED_VALUE"""),962.0)</f>
        <v>962</v>
      </c>
      <c r="Y530" s="2"/>
      <c r="Z530" s="2"/>
    </row>
    <row r="531">
      <c r="A531" s="1">
        <f>IFERROR(__xludf.DUMMYFUNCTION("""COMPUTED_VALUE"""),530.0)</f>
        <v>530</v>
      </c>
      <c r="B531" s="1">
        <f>IFERROR(__xludf.DUMMYFUNCTION("""COMPUTED_VALUE"""),10397.0)</f>
        <v>10397</v>
      </c>
      <c r="C531" s="2" t="str">
        <f>IFERROR(__xludf.DUMMYFUNCTION("""COMPUTED_VALUE"""),"Muhammad Tri Laksono")</f>
        <v>Muhammad Tri Laksono</v>
      </c>
      <c r="D531" s="2" t="str">
        <f>IFERROR(__xludf.DUMMYFUNCTION("""COMPUTED_VALUE"""),"10KM OVERALL M")</f>
        <v>10KM OVERALL M</v>
      </c>
      <c r="E531" s="1">
        <f>IFERROR(__xludf.DUMMYFUNCTION("""COMPUTED_VALUE"""),1.0)</f>
        <v>1</v>
      </c>
      <c r="F531" s="1" t="str">
        <f>IFERROR(__xludf.DUMMYFUNCTION("""COMPUTED_VALUE"""),"Male")</f>
        <v>Male</v>
      </c>
      <c r="G531" s="4" t="b">
        <f>IFERROR(__xludf.DUMMYFUNCTION("""COMPUTED_VALUE"""),TRUE)</f>
        <v>1</v>
      </c>
      <c r="H531" s="4" t="b">
        <f>IFERROR(__xludf.DUMMYFUNCTION("""COMPUTED_VALUE"""),TRUE)</f>
        <v>1</v>
      </c>
      <c r="I531" s="4">
        <f>IFERROR(__xludf.DUMMYFUNCTION("""COMPUTED_VALUE"""),0.24646185185185185)</f>
        <v>0.2464618519</v>
      </c>
      <c r="J531" s="4">
        <f>IFERROR(__xludf.DUMMYFUNCTION("""COMPUTED_VALUE"""),45949.256995452975)</f>
        <v>45949.257</v>
      </c>
      <c r="K531" s="4">
        <f>IFERROR(__xludf.DUMMYFUNCTION("""COMPUTED_VALUE"""),45949.28335312093)</f>
        <v>45949.28335</v>
      </c>
      <c r="L531" s="4">
        <f>IFERROR(__xludf.DUMMYFUNCTION("""COMPUTED_VALUE"""),45949.29168559141)</f>
        <v>45949.29169</v>
      </c>
      <c r="M531" s="1" t="str">
        <f>IFERROR(__xludf.DUMMYFUNCTION("""COMPUTED_VALUE"""),"RFID")</f>
        <v>RFID</v>
      </c>
      <c r="N531" s="5">
        <f>IFERROR(__xludf.DUMMYFUNCTION("""COMPUTED_VALUE"""),0.004213439814814814)</f>
        <v>0.004213439815</v>
      </c>
      <c r="O531" s="5">
        <f>IFERROR(__xludf.DUMMYFUNCTION("""COMPUTED_VALUE"""),0.010543069444444445)</f>
        <v>0.01054306944</v>
      </c>
      <c r="P531" s="5">
        <f>IFERROR(__xludf.DUMMYFUNCTION("""COMPUTED_VALUE"""),0.0034290001957117742)</f>
        <v>0.003429000196</v>
      </c>
      <c r="Q531" s="5">
        <f>IFERROR(__xludf.DUMMYFUNCTION("""COMPUTED_VALUE"""),0.004522373842592593)</f>
        <v>0.004522373843</v>
      </c>
      <c r="R531" s="4">
        <f>IFERROR(__xludf.DUMMYFUNCTION("""COMPUTED_VALUE"""),45949.04522373956)</f>
        <v>45949.04522</v>
      </c>
      <c r="S531" s="1" t="b">
        <f>IFERROR(__xludf.DUMMYFUNCTION("""COMPUTED_VALUE"""),TRUE)</f>
        <v>1</v>
      </c>
      <c r="T531" s="1" t="b">
        <f>IFERROR(__xludf.DUMMYFUNCTION("""COMPUTED_VALUE"""),FALSE)</f>
        <v>0</v>
      </c>
      <c r="U531" s="1" t="str">
        <f>IFERROR(__xludf.DUMMYFUNCTION("""COMPUTED_VALUE"""),"VALID")</f>
        <v>VALID</v>
      </c>
      <c r="V531" s="1">
        <f>IFERROR(__xludf.DUMMYFUNCTION("""COMPUTED_VALUE"""),223.0)</f>
        <v>223</v>
      </c>
      <c r="W531" s="1">
        <f>IFERROR(__xludf.DUMMYFUNCTION("""COMPUTED_VALUE"""),268.0)</f>
        <v>268</v>
      </c>
      <c r="X531" s="1">
        <f>IFERROR(__xludf.DUMMYFUNCTION("""COMPUTED_VALUE"""),1208.0)</f>
        <v>1208</v>
      </c>
      <c r="Y531" s="2"/>
      <c r="Z531" s="2"/>
    </row>
    <row r="532">
      <c r="A532" s="1">
        <f>IFERROR(__xludf.DUMMYFUNCTION("""COMPUTED_VALUE"""),531.0)</f>
        <v>531</v>
      </c>
      <c r="B532" s="1">
        <f>IFERROR(__xludf.DUMMYFUNCTION("""COMPUTED_VALUE"""),10398.0)</f>
        <v>10398</v>
      </c>
      <c r="C532" s="2" t="str">
        <f>IFERROR(__xludf.DUMMYFUNCTION("""COMPUTED_VALUE"""),"BANDIT OVC")</f>
        <v>BANDIT OVC</v>
      </c>
      <c r="D532" s="2" t="str">
        <f>IFERROR(__xludf.DUMMYFUNCTION("""COMPUTED_VALUE"""),"10KM OVERALL M")</f>
        <v>10KM OVERALL M</v>
      </c>
      <c r="E532" s="1">
        <f>IFERROR(__xludf.DUMMYFUNCTION("""COMPUTED_VALUE"""),1.0)</f>
        <v>1</v>
      </c>
      <c r="F532" s="1" t="str">
        <f>IFERROR(__xludf.DUMMYFUNCTION("""COMPUTED_VALUE"""),"Male")</f>
        <v>Male</v>
      </c>
      <c r="G532" s="4" t="b">
        <f>IFERROR(__xludf.DUMMYFUNCTION("""COMPUTED_VALUE"""),TRUE)</f>
        <v>1</v>
      </c>
      <c r="H532" s="4" t="b">
        <f>IFERROR(__xludf.DUMMYFUNCTION("""COMPUTED_VALUE"""),FALSE)</f>
        <v>0</v>
      </c>
      <c r="I532" s="4">
        <f>IFERROR(__xludf.DUMMYFUNCTION("""COMPUTED_VALUE"""),0.24646185185185185)</f>
        <v>0.2464618519</v>
      </c>
      <c r="J532" s="4">
        <f>IFERROR(__xludf.DUMMYFUNCTION("""COMPUTED_VALUE"""),45949.255377385394)</f>
        <v>45949.25538</v>
      </c>
      <c r="K532" s="4">
        <f>IFERROR(__xludf.DUMMYFUNCTION("""COMPUTED_VALUE"""),45949.27637201062)</f>
        <v>45949.27637</v>
      </c>
      <c r="L532" s="4">
        <f>IFERROR(__xludf.DUMMYFUNCTION("""COMPUTED_VALUE"""),45949.28230360513)</f>
        <v>45949.2823</v>
      </c>
      <c r="M532" s="1" t="str">
        <f>IFERROR(__xludf.DUMMYFUNCTION("""COMPUTED_VALUE"""),"RFID")</f>
        <v>RFID</v>
      </c>
      <c r="N532" s="5">
        <f>IFERROR(__xludf.DUMMYFUNCTION("""COMPUTED_VALUE"""),0.0035662129629629633)</f>
        <v>0.003566212963</v>
      </c>
      <c r="O532" s="5">
        <f>IFERROR(__xludf.DUMMYFUNCTION("""COMPUTED_VALUE"""),0.008397851851851853)</f>
        <v>0.008397851852</v>
      </c>
      <c r="P532" s="5">
        <f>IFERROR(__xludf.DUMMYFUNCTION("""COMPUTED_VALUE"""),0.0024409853924428006)</f>
        <v>0.002440985392</v>
      </c>
      <c r="Q532" s="5">
        <f>IFERROR(__xludf.DUMMYFUNCTION("""COMPUTED_VALUE"""),0.0035841747685185187)</f>
        <v>0.003584174769</v>
      </c>
      <c r="R532" s="4">
        <f>IFERROR(__xludf.DUMMYFUNCTION("""COMPUTED_VALUE"""),45949.03584175328)</f>
        <v>45949.03584</v>
      </c>
      <c r="S532" s="1" t="b">
        <f>IFERROR(__xludf.DUMMYFUNCTION("""COMPUTED_VALUE"""),TRUE)</f>
        <v>1</v>
      </c>
      <c r="T532" s="1" t="b">
        <f>IFERROR(__xludf.DUMMYFUNCTION("""COMPUTED_VALUE"""),FALSE)</f>
        <v>0</v>
      </c>
      <c r="U532" s="1" t="str">
        <f>IFERROR(__xludf.DUMMYFUNCTION("""COMPUTED_VALUE"""),"VALID")</f>
        <v>VALID</v>
      </c>
      <c r="V532" s="1">
        <f>IFERROR(__xludf.DUMMYFUNCTION("""COMPUTED_VALUE"""),42.0)</f>
        <v>42</v>
      </c>
      <c r="W532" s="1">
        <f>IFERROR(__xludf.DUMMYFUNCTION("""COMPUTED_VALUE"""),52.0)</f>
        <v>52</v>
      </c>
      <c r="X532" s="1">
        <f>IFERROR(__xludf.DUMMYFUNCTION("""COMPUTED_VALUE"""),772.0)</f>
        <v>772</v>
      </c>
      <c r="Y532" s="2"/>
      <c r="Z532" s="2"/>
    </row>
    <row r="533">
      <c r="A533" s="1">
        <f>IFERROR(__xludf.DUMMYFUNCTION("""COMPUTED_VALUE"""),532.0)</f>
        <v>532</v>
      </c>
      <c r="B533" s="1">
        <f>IFERROR(__xludf.DUMMYFUNCTION("""COMPUTED_VALUE"""),10399.0)</f>
        <v>10399</v>
      </c>
      <c r="C533" s="2" t="str">
        <f>IFERROR(__xludf.DUMMYFUNCTION("""COMPUTED_VALUE"""),"sesarea pangestu")</f>
        <v>sesarea pangestu</v>
      </c>
      <c r="D533" s="2" t="str">
        <f>IFERROR(__xludf.DUMMYFUNCTION("""COMPUTED_VALUE"""),"10KM OVERALL M")</f>
        <v>10KM OVERALL M</v>
      </c>
      <c r="E533" s="1">
        <f>IFERROR(__xludf.DUMMYFUNCTION("""COMPUTED_VALUE"""),1.0)</f>
        <v>1</v>
      </c>
      <c r="F533" s="1" t="str">
        <f>IFERROR(__xludf.DUMMYFUNCTION("""COMPUTED_VALUE"""),"Male")</f>
        <v>Male</v>
      </c>
      <c r="G533" s="4" t="b">
        <f>IFERROR(__xludf.DUMMYFUNCTION("""COMPUTED_VALUE"""),TRUE)</f>
        <v>1</v>
      </c>
      <c r="H533" s="4" t="b">
        <f>IFERROR(__xludf.DUMMYFUNCTION("""COMPUTED_VALUE"""),FALSE)</f>
        <v>0</v>
      </c>
      <c r="I533" s="4">
        <f>IFERROR(__xludf.DUMMYFUNCTION("""COMPUTED_VALUE"""),0.24646185185185185)</f>
        <v>0.2464618519</v>
      </c>
      <c r="J533" s="4">
        <f>IFERROR(__xludf.DUMMYFUNCTION("""COMPUTED_VALUE"""),45949.25555799994)</f>
        <v>45949.25556</v>
      </c>
      <c r="K533" s="4">
        <f>IFERROR(__xludf.DUMMYFUNCTION("""COMPUTED_VALUE"""),45949.28382533294)</f>
        <v>45949.28383</v>
      </c>
      <c r="L533" s="4">
        <f>IFERROR(__xludf.DUMMYFUNCTION("""COMPUTED_VALUE"""),45949.29300157238)</f>
        <v>45949.293</v>
      </c>
      <c r="M533" s="1" t="str">
        <f>IFERROR(__xludf.DUMMYFUNCTION("""COMPUTED_VALUE"""),"RFID")</f>
        <v>RFID</v>
      </c>
      <c r="N533" s="5">
        <f>IFERROR(__xludf.DUMMYFUNCTION("""COMPUTED_VALUE"""),0.003638458333333334)</f>
        <v>0.003638458333</v>
      </c>
      <c r="O533" s="5">
        <f>IFERROR(__xludf.DUMMYFUNCTION("""COMPUTED_VALUE"""),0.011306935185185184)</f>
        <v>0.01130693519</v>
      </c>
      <c r="P533" s="5">
        <f>IFERROR(__xludf.DUMMYFUNCTION("""COMPUTED_VALUE"""),0.003776230223892724)</f>
        <v>0.003776230224</v>
      </c>
      <c r="Q533" s="5">
        <f>IFERROR(__xludf.DUMMYFUNCTION("""COMPUTED_VALUE"""),0.0046539722222222225)</f>
        <v>0.004653972222</v>
      </c>
      <c r="R533" s="4">
        <f>IFERROR(__xludf.DUMMYFUNCTION("""COMPUTED_VALUE"""),45949.04653972053)</f>
        <v>45949.04654</v>
      </c>
      <c r="S533" s="1" t="b">
        <f>IFERROR(__xludf.DUMMYFUNCTION("""COMPUTED_VALUE"""),TRUE)</f>
        <v>1</v>
      </c>
      <c r="T533" s="1" t="b">
        <f>IFERROR(__xludf.DUMMYFUNCTION("""COMPUTED_VALUE"""),FALSE)</f>
        <v>0</v>
      </c>
      <c r="U533" s="1" t="str">
        <f>IFERROR(__xludf.DUMMYFUNCTION("""COMPUTED_VALUE"""),"VALID")</f>
        <v>VALID</v>
      </c>
      <c r="V533" s="1">
        <f>IFERROR(__xludf.DUMMYFUNCTION("""COMPUTED_VALUE"""),256.0)</f>
        <v>256</v>
      </c>
      <c r="W533" s="1">
        <f>IFERROR(__xludf.DUMMYFUNCTION("""COMPUTED_VALUE"""),306.0)</f>
        <v>306</v>
      </c>
      <c r="X533" s="1">
        <f>IFERROR(__xludf.DUMMYFUNCTION("""COMPUTED_VALUE"""),1261.0)</f>
        <v>1261</v>
      </c>
      <c r="Y533" s="2"/>
      <c r="Z533" s="2"/>
    </row>
    <row r="534">
      <c r="A534" s="1">
        <f>IFERROR(__xludf.DUMMYFUNCTION("""COMPUTED_VALUE"""),533.0)</f>
        <v>533</v>
      </c>
      <c r="B534" s="1">
        <f>IFERROR(__xludf.DUMMYFUNCTION("""COMPUTED_VALUE"""),10400.0)</f>
        <v>10400</v>
      </c>
      <c r="C534" s="2" t="str">
        <f>IFERROR(__xludf.DUMMYFUNCTION("""COMPUTED_VALUE"""),"ELSY F")</f>
        <v>ELSY F</v>
      </c>
      <c r="D534" s="2" t="str">
        <f>IFERROR(__xludf.DUMMYFUNCTION("""COMPUTED_VALUE"""),"10KM OVERALL M")</f>
        <v>10KM OVERALL M</v>
      </c>
      <c r="E534" s="1">
        <f>IFERROR(__xludf.DUMMYFUNCTION("""COMPUTED_VALUE"""),1.0)</f>
        <v>1</v>
      </c>
      <c r="F534" s="1" t="str">
        <f>IFERROR(__xludf.DUMMYFUNCTION("""COMPUTED_VALUE"""),"Male")</f>
        <v>Male</v>
      </c>
      <c r="G534" s="4" t="b">
        <f>IFERROR(__xludf.DUMMYFUNCTION("""COMPUTED_VALUE"""),TRUE)</f>
        <v>1</v>
      </c>
      <c r="H534" s="4" t="b">
        <f>IFERROR(__xludf.DUMMYFUNCTION("""COMPUTED_VALUE"""),TRUE)</f>
        <v>1</v>
      </c>
      <c r="I534" s="4">
        <f>IFERROR(__xludf.DUMMYFUNCTION("""COMPUTED_VALUE"""),0.24646185185185185)</f>
        <v>0.2464618519</v>
      </c>
      <c r="J534" s="4">
        <f>IFERROR(__xludf.DUMMYFUNCTION("""COMPUTED_VALUE"""),45949.26230793769)</f>
        <v>45949.26231</v>
      </c>
      <c r="K534" s="4">
        <f>IFERROR(__xludf.DUMMYFUNCTION("""COMPUTED_VALUE"""),45949.3071519643)</f>
        <v>45949.30715</v>
      </c>
      <c r="L534" s="4">
        <f>IFERROR(__xludf.DUMMYFUNCTION("""COMPUTED_VALUE"""),45949.31980786925)</f>
        <v>45949.31981</v>
      </c>
      <c r="M534" s="1" t="str">
        <f>IFERROR(__xludf.DUMMYFUNCTION("""COMPUTED_VALUE"""),"RFID")</f>
        <v>RFID</v>
      </c>
      <c r="N534" s="5">
        <f>IFERROR(__xludf.DUMMYFUNCTION("""COMPUTED_VALUE"""),0.006338435185185186)</f>
        <v>0.006338435185</v>
      </c>
      <c r="O534" s="5">
        <f>IFERROR(__xludf.DUMMYFUNCTION("""COMPUTED_VALUE"""),0.01793761111111111)</f>
        <v>0.01793761111</v>
      </c>
      <c r="P534" s="5">
        <f>IFERROR(__xludf.DUMMYFUNCTION("""COMPUTED_VALUE"""),0.005208191338738756)</f>
        <v>0.005208191339</v>
      </c>
      <c r="Q534" s="5">
        <f>IFERROR(__xludf.DUMMYFUNCTION("""COMPUTED_VALUE"""),0.007334601851851852)</f>
        <v>0.007334601852</v>
      </c>
      <c r="R534" s="4">
        <f>IFERROR(__xludf.DUMMYFUNCTION("""COMPUTED_VALUE"""),45949.0733460174)</f>
        <v>45949.07335</v>
      </c>
      <c r="S534" s="1" t="b">
        <f>IFERROR(__xludf.DUMMYFUNCTION("""COMPUTED_VALUE"""),TRUE)</f>
        <v>1</v>
      </c>
      <c r="T534" s="1" t="b">
        <f>IFERROR(__xludf.DUMMYFUNCTION("""COMPUTED_VALUE"""),FALSE)</f>
        <v>0</v>
      </c>
      <c r="U534" s="1" t="str">
        <f>IFERROR(__xludf.DUMMYFUNCTION("""COMPUTED_VALUE"""),"VALID")</f>
        <v>VALID</v>
      </c>
      <c r="V534" s="1">
        <f>IFERROR(__xludf.DUMMYFUNCTION("""COMPUTED_VALUE"""),600.0)</f>
        <v>600</v>
      </c>
      <c r="W534" s="1">
        <f>IFERROR(__xludf.DUMMYFUNCTION("""COMPUTED_VALUE"""),748.0)</f>
        <v>748</v>
      </c>
      <c r="X534" s="1">
        <f>IFERROR(__xludf.DUMMYFUNCTION("""COMPUTED_VALUE"""),1674.0)</f>
        <v>1674</v>
      </c>
      <c r="Y534" s="2"/>
      <c r="Z534" s="2"/>
    </row>
    <row r="535">
      <c r="A535" s="1">
        <f>IFERROR(__xludf.DUMMYFUNCTION("""COMPUTED_VALUE"""),534.0)</f>
        <v>534</v>
      </c>
      <c r="B535" s="1">
        <f>IFERROR(__xludf.DUMMYFUNCTION("""COMPUTED_VALUE"""),10401.0)</f>
        <v>10401</v>
      </c>
      <c r="C535" s="2" t="str">
        <f>IFERROR(__xludf.DUMMYFUNCTION("""COMPUTED_VALUE"""),"Muhammad Rifa'i")</f>
        <v>Muhammad Rifa'i</v>
      </c>
      <c r="D535" s="2" t="str">
        <f>IFERROR(__xludf.DUMMYFUNCTION("""COMPUTED_VALUE"""),"10KM OVERALL M")</f>
        <v>10KM OVERALL M</v>
      </c>
      <c r="E535" s="1">
        <f>IFERROR(__xludf.DUMMYFUNCTION("""COMPUTED_VALUE"""),1.0)</f>
        <v>1</v>
      </c>
      <c r="F535" s="1" t="str">
        <f>IFERROR(__xludf.DUMMYFUNCTION("""COMPUTED_VALUE"""),"Male")</f>
        <v>Male</v>
      </c>
      <c r="G535" s="4" t="b">
        <f>IFERROR(__xludf.DUMMYFUNCTION("""COMPUTED_VALUE"""),TRUE)</f>
        <v>1</v>
      </c>
      <c r="H535" s="4" t="b">
        <f>IFERROR(__xludf.DUMMYFUNCTION("""COMPUTED_VALUE"""),FALSE)</f>
        <v>0</v>
      </c>
      <c r="I535" s="4">
        <f>IFERROR(__xludf.DUMMYFUNCTION("""COMPUTED_VALUE"""),0.24646185185185185)</f>
        <v>0.2464618519</v>
      </c>
      <c r="J535" s="4">
        <f>IFERROR(__xludf.DUMMYFUNCTION("""COMPUTED_VALUE"""),45949.255686422795)</f>
        <v>45949.25569</v>
      </c>
      <c r="K535" s="4">
        <f>IFERROR(__xludf.DUMMYFUNCTION("""COMPUTED_VALUE"""),45949.28217951626)</f>
        <v>45949.28218</v>
      </c>
      <c r="L535" s="4">
        <f>IFERROR(__xludf.DUMMYFUNCTION("""COMPUTED_VALUE"""),45949.29037656084)</f>
        <v>45949.29038</v>
      </c>
      <c r="M535" s="1" t="str">
        <f>IFERROR(__xludf.DUMMYFUNCTION("""COMPUTED_VALUE"""),"RFID")</f>
        <v>RFID</v>
      </c>
      <c r="N535" s="5">
        <f>IFERROR(__xludf.DUMMYFUNCTION("""COMPUTED_VALUE"""),0.0036898287037037043)</f>
        <v>0.003689828704</v>
      </c>
      <c r="O535" s="5">
        <f>IFERROR(__xludf.DUMMYFUNCTION("""COMPUTED_VALUE"""),0.010597236111111113)</f>
        <v>0.01059723611</v>
      </c>
      <c r="P535" s="5">
        <f>IFERROR(__xludf.DUMMYFUNCTION("""COMPUTED_VALUE"""),0.0033732693755679183)</f>
        <v>0.003373269376</v>
      </c>
      <c r="Q535" s="5">
        <f>IFERROR(__xludf.DUMMYFUNCTION("""COMPUTED_VALUE"""),0.004391471064814815)</f>
        <v>0.004391471065</v>
      </c>
      <c r="R535" s="4">
        <f>IFERROR(__xludf.DUMMYFUNCTION("""COMPUTED_VALUE"""),45949.04391470899)</f>
        <v>45949.04391</v>
      </c>
      <c r="S535" s="1" t="b">
        <f>IFERROR(__xludf.DUMMYFUNCTION("""COMPUTED_VALUE"""),TRUE)</f>
        <v>1</v>
      </c>
      <c r="T535" s="1" t="b">
        <f>IFERROR(__xludf.DUMMYFUNCTION("""COMPUTED_VALUE"""),FALSE)</f>
        <v>0</v>
      </c>
      <c r="U535" s="1" t="str">
        <f>IFERROR(__xludf.DUMMYFUNCTION("""COMPUTED_VALUE"""),"VALID")</f>
        <v>VALID</v>
      </c>
      <c r="V535" s="1">
        <f>IFERROR(__xludf.DUMMYFUNCTION("""COMPUTED_VALUE"""),187.0)</f>
        <v>187</v>
      </c>
      <c r="W535" s="1">
        <f>IFERROR(__xludf.DUMMYFUNCTION("""COMPUTED_VALUE"""),223.0)</f>
        <v>223</v>
      </c>
      <c r="X535" s="1">
        <f>IFERROR(__xludf.DUMMYFUNCTION("""COMPUTED_VALUE"""),1145.0)</f>
        <v>1145</v>
      </c>
      <c r="Y535" s="2"/>
      <c r="Z535" s="2"/>
    </row>
    <row r="536">
      <c r="A536" s="1">
        <f>IFERROR(__xludf.DUMMYFUNCTION("""COMPUTED_VALUE"""),535.0)</f>
        <v>535</v>
      </c>
      <c r="B536" s="1">
        <f>IFERROR(__xludf.DUMMYFUNCTION("""COMPUTED_VALUE"""),10402.0)</f>
        <v>10402</v>
      </c>
      <c r="C536" s="2" t="str">
        <f>IFERROR(__xludf.DUMMYFUNCTION("""COMPUTED_VALUE"""),"Abe")</f>
        <v>Abe</v>
      </c>
      <c r="D536" s="2" t="str">
        <f>IFERROR(__xludf.DUMMYFUNCTION("""COMPUTED_VALUE"""),"10KM OVERALL M")</f>
        <v>10KM OVERALL M</v>
      </c>
      <c r="E536" s="1">
        <f>IFERROR(__xludf.DUMMYFUNCTION("""COMPUTED_VALUE"""),1.0)</f>
        <v>1</v>
      </c>
      <c r="F536" s="1" t="str">
        <f>IFERROR(__xludf.DUMMYFUNCTION("""COMPUTED_VALUE"""),"Male")</f>
        <v>Male</v>
      </c>
      <c r="G536" s="4" t="b">
        <f>IFERROR(__xludf.DUMMYFUNCTION("""COMPUTED_VALUE"""),TRUE)</f>
        <v>1</v>
      </c>
      <c r="H536" s="4" t="b">
        <f>IFERROR(__xludf.DUMMYFUNCTION("""COMPUTED_VALUE"""),TRUE)</f>
        <v>1</v>
      </c>
      <c r="I536" s="4">
        <f>IFERROR(__xludf.DUMMYFUNCTION("""COMPUTED_VALUE"""),0.24646185185185185)</f>
        <v>0.2464618519</v>
      </c>
      <c r="J536" s="4">
        <f>IFERROR(__xludf.DUMMYFUNCTION("""COMPUTED_VALUE"""),45949.25909272062)</f>
        <v>45949.25909</v>
      </c>
      <c r="K536" s="4">
        <f>IFERROR(__xludf.DUMMYFUNCTION("""COMPUTED_VALUE"""),45949.28826282662)</f>
        <v>45949.28826</v>
      </c>
      <c r="L536" s="4">
        <f>IFERROR(__xludf.DUMMYFUNCTION("""COMPUTED_VALUE"""),45949.296922105554)</f>
        <v>45949.29692</v>
      </c>
      <c r="M536" s="1" t="str">
        <f>IFERROR(__xludf.DUMMYFUNCTION("""COMPUTED_VALUE"""),"RFID")</f>
        <v>RFID</v>
      </c>
      <c r="N536" s="5">
        <f>IFERROR(__xludf.DUMMYFUNCTION("""COMPUTED_VALUE"""),0.005052347222222222)</f>
        <v>0.005052347222</v>
      </c>
      <c r="O536" s="5">
        <f>IFERROR(__xludf.DUMMYFUNCTION("""COMPUTED_VALUE"""),0.011668041666666667)</f>
        <v>0.01166804167</v>
      </c>
      <c r="P536" s="5">
        <f>IFERROR(__xludf.DUMMYFUNCTION("""COMPUTED_VALUE"""),0.003563489271720695)</f>
        <v>0.003563489272</v>
      </c>
      <c r="Q536" s="5">
        <f>IFERROR(__xludf.DUMMYFUNCTION("""COMPUTED_VALUE"""),0.005046025462962962)</f>
        <v>0.005046025463</v>
      </c>
      <c r="R536" s="4">
        <f>IFERROR(__xludf.DUMMYFUNCTION("""COMPUTED_VALUE"""),45949.050460253704)</f>
        <v>45949.05046</v>
      </c>
      <c r="S536" s="1" t="b">
        <f>IFERROR(__xludf.DUMMYFUNCTION("""COMPUTED_VALUE"""),TRUE)</f>
        <v>1</v>
      </c>
      <c r="T536" s="1" t="b">
        <f>IFERROR(__xludf.DUMMYFUNCTION("""COMPUTED_VALUE"""),FALSE)</f>
        <v>0</v>
      </c>
      <c r="U536" s="1" t="str">
        <f>IFERROR(__xludf.DUMMYFUNCTION("""COMPUTED_VALUE"""),"VALID")</f>
        <v>VALID</v>
      </c>
      <c r="V536" s="1">
        <f>IFERROR(__xludf.DUMMYFUNCTION("""COMPUTED_VALUE"""),351.0)</f>
        <v>351</v>
      </c>
      <c r="W536" s="1">
        <f>IFERROR(__xludf.DUMMYFUNCTION("""COMPUTED_VALUE"""),415.0)</f>
        <v>415</v>
      </c>
      <c r="X536" s="1">
        <f>IFERROR(__xludf.DUMMYFUNCTION("""COMPUTED_VALUE"""),1395.0)</f>
        <v>1395</v>
      </c>
      <c r="Y536" s="2"/>
      <c r="Z536" s="2"/>
    </row>
    <row r="537">
      <c r="A537" s="1">
        <f>IFERROR(__xludf.DUMMYFUNCTION("""COMPUTED_VALUE"""),536.0)</f>
        <v>536</v>
      </c>
      <c r="B537" s="1">
        <f>IFERROR(__xludf.DUMMYFUNCTION("""COMPUTED_VALUE"""),10403.0)</f>
        <v>10403</v>
      </c>
      <c r="C537" s="2" t="str">
        <f>IFERROR(__xludf.DUMMYFUNCTION("""COMPUTED_VALUE"""),"Herman")</f>
        <v>Herman</v>
      </c>
      <c r="D537" s="2" t="str">
        <f>IFERROR(__xludf.DUMMYFUNCTION("""COMPUTED_VALUE"""),"10KM OVERALL M")</f>
        <v>10KM OVERALL M</v>
      </c>
      <c r="E537" s="1">
        <f>IFERROR(__xludf.DUMMYFUNCTION("""COMPUTED_VALUE"""),1.0)</f>
        <v>1</v>
      </c>
      <c r="F537" s="1" t="str">
        <f>IFERROR(__xludf.DUMMYFUNCTION("""COMPUTED_VALUE"""),"Male")</f>
        <v>Male</v>
      </c>
      <c r="G537" s="4" t="b">
        <f>IFERROR(__xludf.DUMMYFUNCTION("""COMPUTED_VALUE"""),TRUE)</f>
        <v>1</v>
      </c>
      <c r="H537" s="4" t="b">
        <f>IFERROR(__xludf.DUMMYFUNCTION("""COMPUTED_VALUE"""),TRUE)</f>
        <v>1</v>
      </c>
      <c r="I537" s="4">
        <f>IFERROR(__xludf.DUMMYFUNCTION("""COMPUTED_VALUE"""),0.24646185185185185)</f>
        <v>0.2464618519</v>
      </c>
      <c r="J537" s="4">
        <f>IFERROR(__xludf.DUMMYFUNCTION("""COMPUTED_VALUE"""),45949.2588530915)</f>
        <v>45949.25885</v>
      </c>
      <c r="K537" s="4">
        <f>IFERROR(__xludf.DUMMYFUNCTION("""COMPUTED_VALUE"""),45949.292367203874)</f>
        <v>45949.29237</v>
      </c>
      <c r="L537" s="4">
        <f>IFERROR(__xludf.DUMMYFUNCTION("""COMPUTED_VALUE"""),45949.30258491024)</f>
        <v>45949.30258</v>
      </c>
      <c r="M537" s="1" t="str">
        <f>IFERROR(__xludf.DUMMYFUNCTION("""COMPUTED_VALUE"""),"RFID")</f>
        <v>RFID</v>
      </c>
      <c r="N537" s="5">
        <f>IFERROR(__xludf.DUMMYFUNCTION("""COMPUTED_VALUE"""),0.004956495370370371)</f>
        <v>0.00495649537</v>
      </c>
      <c r="O537" s="5">
        <f>IFERROR(__xludf.DUMMYFUNCTION("""COMPUTED_VALUE"""),0.01340564351851852)</f>
        <v>0.01340564352</v>
      </c>
      <c r="P537" s="5">
        <f>IFERROR(__xludf.DUMMYFUNCTION("""COMPUTED_VALUE"""),0.004204817435085206)</f>
        <v>0.004204817435</v>
      </c>
      <c r="Q537" s="5">
        <f>IFERROR(__xludf.DUMMYFUNCTION("""COMPUTED_VALUE"""),0.005612305555555556)</f>
        <v>0.005612305556</v>
      </c>
      <c r="R537" s="4">
        <f>IFERROR(__xludf.DUMMYFUNCTION("""COMPUTED_VALUE"""),45949.05612305839)</f>
        <v>45949.05612</v>
      </c>
      <c r="S537" s="1" t="b">
        <f>IFERROR(__xludf.DUMMYFUNCTION("""COMPUTED_VALUE"""),TRUE)</f>
        <v>1</v>
      </c>
      <c r="T537" s="1" t="b">
        <f>IFERROR(__xludf.DUMMYFUNCTION("""COMPUTED_VALUE"""),FALSE)</f>
        <v>0</v>
      </c>
      <c r="U537" s="1" t="str">
        <f>IFERROR(__xludf.DUMMYFUNCTION("""COMPUTED_VALUE"""),"VALID")</f>
        <v>VALID</v>
      </c>
      <c r="V537" s="1">
        <f>IFERROR(__xludf.DUMMYFUNCTION("""COMPUTED_VALUE"""),483.0)</f>
        <v>483</v>
      </c>
      <c r="W537" s="1">
        <f>IFERROR(__xludf.DUMMYFUNCTION("""COMPUTED_VALUE"""),578.0)</f>
        <v>578</v>
      </c>
      <c r="X537" s="1">
        <f>IFERROR(__xludf.DUMMYFUNCTION("""COMPUTED_VALUE"""),1550.0)</f>
        <v>1550</v>
      </c>
      <c r="Y537" s="2"/>
      <c r="Z537" s="2"/>
    </row>
    <row r="538">
      <c r="A538" s="1">
        <f>IFERROR(__xludf.DUMMYFUNCTION("""COMPUTED_VALUE"""),537.0)</f>
        <v>537</v>
      </c>
      <c r="B538" s="1">
        <f>IFERROR(__xludf.DUMMYFUNCTION("""COMPUTED_VALUE"""),10405.0)</f>
        <v>10405</v>
      </c>
      <c r="C538" s="2" t="str">
        <f>IFERROR(__xludf.DUMMYFUNCTION("""COMPUTED_VALUE"""),"BUDIMAN")</f>
        <v>BUDIMAN</v>
      </c>
      <c r="D538" s="2" t="str">
        <f>IFERROR(__xludf.DUMMYFUNCTION("""COMPUTED_VALUE"""),"10KM OVERALL M")</f>
        <v>10KM OVERALL M</v>
      </c>
      <c r="E538" s="1">
        <f>IFERROR(__xludf.DUMMYFUNCTION("""COMPUTED_VALUE"""),1.0)</f>
        <v>1</v>
      </c>
      <c r="F538" s="1" t="str">
        <f>IFERROR(__xludf.DUMMYFUNCTION("""COMPUTED_VALUE"""),"Male")</f>
        <v>Male</v>
      </c>
      <c r="G538" s="4" t="b">
        <f>IFERROR(__xludf.DUMMYFUNCTION("""COMPUTED_VALUE"""),TRUE)</f>
        <v>1</v>
      </c>
      <c r="H538" s="4" t="b">
        <f>IFERROR(__xludf.DUMMYFUNCTION("""COMPUTED_VALUE"""),TRUE)</f>
        <v>1</v>
      </c>
      <c r="I538" s="4">
        <f>IFERROR(__xludf.DUMMYFUNCTION("""COMPUTED_VALUE"""),0.24646185185185185)</f>
        <v>0.2464618519</v>
      </c>
      <c r="J538" s="4">
        <f>IFERROR(__xludf.DUMMYFUNCTION("""COMPUTED_VALUE"""),45949.25899890982)</f>
        <v>45949.259</v>
      </c>
      <c r="K538" s="4">
        <f>IFERROR(__xludf.DUMMYFUNCTION("""COMPUTED_VALUE"""),45949.28624549749)</f>
        <v>45949.28625</v>
      </c>
      <c r="L538" s="4">
        <f>IFERROR(__xludf.DUMMYFUNCTION("""COMPUTED_VALUE"""),45949.293261983)</f>
        <v>45949.29326</v>
      </c>
      <c r="M538" s="1" t="str">
        <f>IFERROR(__xludf.DUMMYFUNCTION("""COMPUTED_VALUE"""),"RFID")</f>
        <v>RFID</v>
      </c>
      <c r="N538" s="5">
        <f>IFERROR(__xludf.DUMMYFUNCTION("""COMPUTED_VALUE"""),0.005014824074074074)</f>
        <v>0.005014824074</v>
      </c>
      <c r="O538" s="5">
        <f>IFERROR(__xludf.DUMMYFUNCTION("""COMPUTED_VALUE"""),0.01089863425925926)</f>
        <v>0.01089863426</v>
      </c>
      <c r="P538" s="5">
        <f>IFERROR(__xludf.DUMMYFUNCTION("""COMPUTED_VALUE"""),0.0028874425980676376)</f>
        <v>0.002887442598</v>
      </c>
      <c r="Q538" s="5">
        <f>IFERROR(__xludf.DUMMYFUNCTION("""COMPUTED_VALUE"""),0.004680012731481482)</f>
        <v>0.004680012731</v>
      </c>
      <c r="R538" s="4">
        <f>IFERROR(__xludf.DUMMYFUNCTION("""COMPUTED_VALUE"""),45949.04680013115)</f>
        <v>45949.0468</v>
      </c>
      <c r="S538" s="1" t="b">
        <f>IFERROR(__xludf.DUMMYFUNCTION("""COMPUTED_VALUE"""),TRUE)</f>
        <v>1</v>
      </c>
      <c r="T538" s="1" t="b">
        <f>IFERROR(__xludf.DUMMYFUNCTION("""COMPUTED_VALUE"""),FALSE)</f>
        <v>0</v>
      </c>
      <c r="U538" s="1" t="str">
        <f>IFERROR(__xludf.DUMMYFUNCTION("""COMPUTED_VALUE"""),"VALID")</f>
        <v>VALID</v>
      </c>
      <c r="V538" s="1">
        <f>IFERROR(__xludf.DUMMYFUNCTION("""COMPUTED_VALUE"""),260.0)</f>
        <v>260</v>
      </c>
      <c r="W538" s="1">
        <f>IFERROR(__xludf.DUMMYFUNCTION("""COMPUTED_VALUE"""),310.0)</f>
        <v>310</v>
      </c>
      <c r="X538" s="1">
        <f>IFERROR(__xludf.DUMMYFUNCTION("""COMPUTED_VALUE"""),1265.0)</f>
        <v>1265</v>
      </c>
      <c r="Y538" s="2"/>
      <c r="Z538" s="2"/>
    </row>
    <row r="539">
      <c r="A539" s="1">
        <f>IFERROR(__xludf.DUMMYFUNCTION("""COMPUTED_VALUE"""),538.0)</f>
        <v>538</v>
      </c>
      <c r="B539" s="1">
        <f>IFERROR(__xludf.DUMMYFUNCTION("""COMPUTED_VALUE"""),10406.0)</f>
        <v>10406</v>
      </c>
      <c r="C539" s="2" t="str">
        <f>IFERROR(__xludf.DUMMYFUNCTION("""COMPUTED_VALUE"""),"Wahyu")</f>
        <v>Wahyu</v>
      </c>
      <c r="D539" s="2" t="str">
        <f>IFERROR(__xludf.DUMMYFUNCTION("""COMPUTED_VALUE"""),"10KM OVERALL M")</f>
        <v>10KM OVERALL M</v>
      </c>
      <c r="E539" s="1">
        <f>IFERROR(__xludf.DUMMYFUNCTION("""COMPUTED_VALUE"""),1.0)</f>
        <v>1</v>
      </c>
      <c r="F539" s="1" t="str">
        <f>IFERROR(__xludf.DUMMYFUNCTION("""COMPUTED_VALUE"""),"Male")</f>
        <v>Male</v>
      </c>
      <c r="G539" s="4" t="b">
        <f>IFERROR(__xludf.DUMMYFUNCTION("""COMPUTED_VALUE"""),TRUE)</f>
        <v>1</v>
      </c>
      <c r="H539" s="4" t="b">
        <f>IFERROR(__xludf.DUMMYFUNCTION("""COMPUTED_VALUE"""),TRUE)</f>
        <v>1</v>
      </c>
      <c r="I539" s="4">
        <f>IFERROR(__xludf.DUMMYFUNCTION("""COMPUTED_VALUE"""),0.24646185185185185)</f>
        <v>0.2464618519</v>
      </c>
      <c r="J539" s="4">
        <f>IFERROR(__xludf.DUMMYFUNCTION("""COMPUTED_VALUE"""),45949.255985089076)</f>
        <v>45949.25599</v>
      </c>
      <c r="K539" s="4">
        <f>IFERROR(__xludf.DUMMYFUNCTION("""COMPUTED_VALUE"""),45949.2828426951)</f>
        <v>45949.28284</v>
      </c>
      <c r="L539" s="4">
        <f>IFERROR(__xludf.DUMMYFUNCTION("""COMPUTED_VALUE"""),45949.29095990352)</f>
        <v>45949.29096</v>
      </c>
      <c r="M539" s="1" t="str">
        <f>IFERROR(__xludf.DUMMYFUNCTION("""COMPUTED_VALUE"""),"RFID")</f>
        <v>RFID</v>
      </c>
      <c r="N539" s="5">
        <f>IFERROR(__xludf.DUMMYFUNCTION("""COMPUTED_VALUE"""),0.003809296296296296)</f>
        <v>0.003809296296</v>
      </c>
      <c r="O539" s="5">
        <f>IFERROR(__xludf.DUMMYFUNCTION("""COMPUTED_VALUE"""),0.010743041666666665)</f>
        <v>0.01074304167</v>
      </c>
      <c r="P539" s="5">
        <f>IFERROR(__xludf.DUMMYFUNCTION("""COMPUTED_VALUE"""),0.003340414986579675)</f>
        <v>0.003340414987</v>
      </c>
      <c r="Q539" s="5">
        <f>IFERROR(__xludf.DUMMYFUNCTION("""COMPUTED_VALUE"""),0.004449805555555556)</f>
        <v>0.004449805556</v>
      </c>
      <c r="R539" s="4">
        <f>IFERROR(__xludf.DUMMYFUNCTION("""COMPUTED_VALUE"""),45949.04449805167)</f>
        <v>45949.0445</v>
      </c>
      <c r="S539" s="1" t="b">
        <f>IFERROR(__xludf.DUMMYFUNCTION("""COMPUTED_VALUE"""),TRUE)</f>
        <v>1</v>
      </c>
      <c r="T539" s="1" t="b">
        <f>IFERROR(__xludf.DUMMYFUNCTION("""COMPUTED_VALUE"""),FALSE)</f>
        <v>0</v>
      </c>
      <c r="U539" s="1" t="str">
        <f>IFERROR(__xludf.DUMMYFUNCTION("""COMPUTED_VALUE"""),"VALID")</f>
        <v>VALID</v>
      </c>
      <c r="V539" s="1">
        <f>IFERROR(__xludf.DUMMYFUNCTION("""COMPUTED_VALUE"""),202.0)</f>
        <v>202</v>
      </c>
      <c r="W539" s="1">
        <f>IFERROR(__xludf.DUMMYFUNCTION("""COMPUTED_VALUE"""),244.0)</f>
        <v>244</v>
      </c>
      <c r="X539" s="1">
        <f>IFERROR(__xludf.DUMMYFUNCTION("""COMPUTED_VALUE"""),1174.0)</f>
        <v>1174</v>
      </c>
      <c r="Y539" s="2"/>
      <c r="Z539" s="2"/>
    </row>
    <row r="540">
      <c r="A540" s="1">
        <f>IFERROR(__xludf.DUMMYFUNCTION("""COMPUTED_VALUE"""),539.0)</f>
        <v>539</v>
      </c>
      <c r="B540" s="1">
        <f>IFERROR(__xludf.DUMMYFUNCTION("""COMPUTED_VALUE"""),10407.0)</f>
        <v>10407</v>
      </c>
      <c r="C540" s="2" t="str">
        <f>IFERROR(__xludf.DUMMYFUNCTION("""COMPUTED_VALUE"""),"Adit")</f>
        <v>Adit</v>
      </c>
      <c r="D540" s="2" t="str">
        <f>IFERROR(__xludf.DUMMYFUNCTION("""COMPUTED_VALUE"""),"10KM OVERALL M")</f>
        <v>10KM OVERALL M</v>
      </c>
      <c r="E540" s="1">
        <f>IFERROR(__xludf.DUMMYFUNCTION("""COMPUTED_VALUE"""),1.0)</f>
        <v>1</v>
      </c>
      <c r="F540" s="1" t="str">
        <f>IFERROR(__xludf.DUMMYFUNCTION("""COMPUTED_VALUE"""),"Male")</f>
        <v>Male</v>
      </c>
      <c r="G540" s="4" t="b">
        <f>IFERROR(__xludf.DUMMYFUNCTION("""COMPUTED_VALUE"""),TRUE)</f>
        <v>1</v>
      </c>
      <c r="H540" s="4" t="b">
        <f>IFERROR(__xludf.DUMMYFUNCTION("""COMPUTED_VALUE"""),FALSE)</f>
        <v>0</v>
      </c>
      <c r="I540" s="4">
        <f>IFERROR(__xludf.DUMMYFUNCTION("""COMPUTED_VALUE"""),0.24646185185185185)</f>
        <v>0.2464618519</v>
      </c>
      <c r="J540" s="4" t="str">
        <f>IFERROR(__xludf.DUMMYFUNCTION("""COMPUTED_VALUE"""),"")</f>
        <v/>
      </c>
      <c r="K540" s="4">
        <f>IFERROR(__xludf.DUMMYFUNCTION("""COMPUTED_VALUE"""),45949.2833704667)</f>
        <v>45949.28337</v>
      </c>
      <c r="L540" s="4">
        <f>IFERROR(__xludf.DUMMYFUNCTION("""COMPUTED_VALUE"""),45949.29099809332)</f>
        <v>45949.291</v>
      </c>
      <c r="M540" s="1" t="str">
        <f>IFERROR(__xludf.DUMMYFUNCTION("""COMPUTED_VALUE"""),"RFID")</f>
        <v>RFID</v>
      </c>
      <c r="N540" s="5" t="str">
        <f>IFERROR(__xludf.DUMMYFUNCTION("""COMPUTED_VALUE"""),"")</f>
        <v/>
      </c>
      <c r="O540" s="5" t="str">
        <f>IFERROR(__xludf.DUMMYFUNCTION("""COMPUTED_VALUE"""),"")</f>
        <v/>
      </c>
      <c r="P540" s="5">
        <f>IFERROR(__xludf.DUMMYFUNCTION("""COMPUTED_VALUE"""),0.003138940995501607)</f>
        <v>0.003138940996</v>
      </c>
      <c r="Q540" s="5">
        <f>IFERROR(__xludf.DUMMYFUNCTION("""COMPUTED_VALUE"""),0.004453623842592592)</f>
        <v>0.004453623843</v>
      </c>
      <c r="R540" s="4">
        <f>IFERROR(__xludf.DUMMYFUNCTION("""COMPUTED_VALUE"""),45949.04453624147)</f>
        <v>45949.04454</v>
      </c>
      <c r="S540" s="1" t="b">
        <f>IFERROR(__xludf.DUMMYFUNCTION("""COMPUTED_VALUE"""),TRUE)</f>
        <v>1</v>
      </c>
      <c r="T540" s="1" t="b">
        <f>IFERROR(__xludf.DUMMYFUNCTION("""COMPUTED_VALUE"""),FALSE)</f>
        <v>0</v>
      </c>
      <c r="U540" s="1" t="str">
        <f>IFERROR(__xludf.DUMMYFUNCTION("""COMPUTED_VALUE"""),"VALID")</f>
        <v>VALID</v>
      </c>
      <c r="V540" s="1">
        <f>IFERROR(__xludf.DUMMYFUNCTION("""COMPUTED_VALUE"""),205.0)</f>
        <v>205</v>
      </c>
      <c r="W540" s="1">
        <f>IFERROR(__xludf.DUMMYFUNCTION("""COMPUTED_VALUE"""),247.0)</f>
        <v>247</v>
      </c>
      <c r="X540" s="1">
        <f>IFERROR(__xludf.DUMMYFUNCTION("""COMPUTED_VALUE"""),1177.0)</f>
        <v>1177</v>
      </c>
      <c r="Y540" s="2"/>
      <c r="Z540" s="2" t="str">
        <f>IFERROR(__xludf.DUMMYFUNCTION("""COMPUTED_VALUE"""),"")</f>
        <v/>
      </c>
    </row>
    <row r="541">
      <c r="A541" s="1">
        <f>IFERROR(__xludf.DUMMYFUNCTION("""COMPUTED_VALUE"""),540.0)</f>
        <v>540</v>
      </c>
      <c r="B541" s="1">
        <f>IFERROR(__xludf.DUMMYFUNCTION("""COMPUTED_VALUE"""),10408.0)</f>
        <v>10408</v>
      </c>
      <c r="C541" s="2" t="str">
        <f>IFERROR(__xludf.DUMMYFUNCTION("""COMPUTED_VALUE"""),"Supian Sauri")</f>
        <v>Supian Sauri</v>
      </c>
      <c r="D541" s="2" t="str">
        <f>IFERROR(__xludf.DUMMYFUNCTION("""COMPUTED_VALUE"""),"10KM OVERALL M")</f>
        <v>10KM OVERALL M</v>
      </c>
      <c r="E541" s="1">
        <f>IFERROR(__xludf.DUMMYFUNCTION("""COMPUTED_VALUE"""),1.0)</f>
        <v>1</v>
      </c>
      <c r="F541" s="1" t="str">
        <f>IFERROR(__xludf.DUMMYFUNCTION("""COMPUTED_VALUE"""),"Male")</f>
        <v>Male</v>
      </c>
      <c r="G541" s="4" t="b">
        <f>IFERROR(__xludf.DUMMYFUNCTION("""COMPUTED_VALUE"""),TRUE)</f>
        <v>1</v>
      </c>
      <c r="H541" s="4" t="b">
        <f>IFERROR(__xludf.DUMMYFUNCTION("""COMPUTED_VALUE"""),TRUE)</f>
        <v>1</v>
      </c>
      <c r="I541" s="4">
        <f>IFERROR(__xludf.DUMMYFUNCTION("""COMPUTED_VALUE"""),0.24646185185185185)</f>
        <v>0.2464618519</v>
      </c>
      <c r="J541" s="4">
        <f>IFERROR(__xludf.DUMMYFUNCTION("""COMPUTED_VALUE"""),45949.255492028125)</f>
        <v>45949.25549</v>
      </c>
      <c r="K541" s="4">
        <f>IFERROR(__xludf.DUMMYFUNCTION("""COMPUTED_VALUE"""),45949.27961116152)</f>
        <v>45949.27961</v>
      </c>
      <c r="L541" s="4">
        <f>IFERROR(__xludf.DUMMYFUNCTION("""COMPUTED_VALUE"""),45949.28659531011)</f>
        <v>45949.2866</v>
      </c>
      <c r="M541" s="1" t="str">
        <f>IFERROR(__xludf.DUMMYFUNCTION("""COMPUTED_VALUE"""),"RFID")</f>
        <v>RFID</v>
      </c>
      <c r="N541" s="5">
        <f>IFERROR(__xludf.DUMMYFUNCTION("""COMPUTED_VALUE"""),0.0036120694444444442)</f>
        <v>0.003612069444</v>
      </c>
      <c r="O541" s="5">
        <f>IFERROR(__xludf.DUMMYFUNCTION("""COMPUTED_VALUE"""),0.009647652777777778)</f>
        <v>0.009647652778</v>
      </c>
      <c r="P541" s="5">
        <f>IFERROR(__xludf.DUMMYFUNCTION("""COMPUTED_VALUE"""),0.0028741352249094026)</f>
        <v>0.002874135225</v>
      </c>
      <c r="Q541" s="5">
        <f>IFERROR(__xludf.DUMMYFUNCTION("""COMPUTED_VALUE"""),0.004013346064814815)</f>
        <v>0.004013346065</v>
      </c>
      <c r="R541" s="4">
        <f>IFERROR(__xludf.DUMMYFUNCTION("""COMPUTED_VALUE"""),45949.040133458264)</f>
        <v>45949.04013</v>
      </c>
      <c r="S541" s="1" t="b">
        <f>IFERROR(__xludf.DUMMYFUNCTION("""COMPUTED_VALUE"""),TRUE)</f>
        <v>1</v>
      </c>
      <c r="T541" s="1" t="b">
        <f>IFERROR(__xludf.DUMMYFUNCTION("""COMPUTED_VALUE"""),FALSE)</f>
        <v>0</v>
      </c>
      <c r="U541" s="1" t="str">
        <f>IFERROR(__xludf.DUMMYFUNCTION("""COMPUTED_VALUE"""),"VALID")</f>
        <v>VALID</v>
      </c>
      <c r="V541" s="1">
        <f>IFERROR(__xludf.DUMMYFUNCTION("""COMPUTED_VALUE"""),106.0)</f>
        <v>106</v>
      </c>
      <c r="W541" s="1">
        <f>IFERROR(__xludf.DUMMYFUNCTION("""COMPUTED_VALUE"""),128.0)</f>
        <v>128</v>
      </c>
      <c r="X541" s="1">
        <f>IFERROR(__xludf.DUMMYFUNCTION("""COMPUTED_VALUE"""),984.0)</f>
        <v>984</v>
      </c>
      <c r="Y541" s="2"/>
      <c r="Z541" s="2"/>
    </row>
    <row r="542">
      <c r="A542" s="1">
        <f>IFERROR(__xludf.DUMMYFUNCTION("""COMPUTED_VALUE"""),541.0)</f>
        <v>541</v>
      </c>
      <c r="B542" s="1">
        <f>IFERROR(__xludf.DUMMYFUNCTION("""COMPUTED_VALUE"""),10409.0)</f>
        <v>10409</v>
      </c>
      <c r="C542" s="2" t="str">
        <f>IFERROR(__xludf.DUMMYFUNCTION("""COMPUTED_VALUE"""),"ARIEF SETYONO")</f>
        <v>ARIEF SETYONO</v>
      </c>
      <c r="D542" s="2" t="str">
        <f>IFERROR(__xludf.DUMMYFUNCTION("""COMPUTED_VALUE"""),"10KM OVERALL M")</f>
        <v>10KM OVERALL M</v>
      </c>
      <c r="E542" s="1">
        <f>IFERROR(__xludf.DUMMYFUNCTION("""COMPUTED_VALUE"""),1.0)</f>
        <v>1</v>
      </c>
      <c r="F542" s="1" t="str">
        <f>IFERROR(__xludf.DUMMYFUNCTION("""COMPUTED_VALUE"""),"Male")</f>
        <v>Male</v>
      </c>
      <c r="G542" s="4" t="str">
        <f>IFERROR(__xludf.DUMMYFUNCTION("""COMPUTED_VALUE"""),"")</f>
        <v/>
      </c>
      <c r="H542" s="4" t="b">
        <f>IFERROR(__xludf.DUMMYFUNCTION("""COMPUTED_VALUE"""),FALSE)</f>
        <v>0</v>
      </c>
      <c r="I542" s="4">
        <f>IFERROR(__xludf.DUMMYFUNCTION("""COMPUTED_VALUE"""),0.24646185185185185)</f>
        <v>0.2464618519</v>
      </c>
      <c r="J542" s="4" t="str">
        <f>IFERROR(__xludf.DUMMYFUNCTION("""COMPUTED_VALUE"""),"")</f>
        <v/>
      </c>
      <c r="K542" s="4" t="str">
        <f>IFERROR(__xludf.DUMMYFUNCTION("""COMPUTED_VALUE"""),"")</f>
        <v/>
      </c>
      <c r="L542" s="4" t="str">
        <f>IFERROR(__xludf.DUMMYFUNCTION("""COMPUTED_VALUE"""),"")</f>
        <v/>
      </c>
      <c r="M542" s="1" t="str">
        <f>IFERROR(__xludf.DUMMYFUNCTION("""COMPUTED_VALUE"""),"RFID")</f>
        <v>RFID</v>
      </c>
      <c r="N542" s="5" t="str">
        <f>IFERROR(__xludf.DUMMYFUNCTION("""COMPUTED_VALUE"""),"")</f>
        <v/>
      </c>
      <c r="O542" s="5" t="str">
        <f>IFERROR(__xludf.DUMMYFUNCTION("""COMPUTED_VALUE"""),"")</f>
        <v/>
      </c>
      <c r="P542" s="5" t="str">
        <f>IFERROR(__xludf.DUMMYFUNCTION("""COMPUTED_VALUE"""),"")</f>
        <v/>
      </c>
      <c r="Q542" s="5" t="str">
        <f>IFERROR(__xludf.DUMMYFUNCTION("""COMPUTED_VALUE"""),"")</f>
        <v/>
      </c>
      <c r="R542" s="4" t="str">
        <f>IFERROR(__xludf.DUMMYFUNCTION("""COMPUTED_VALUE"""),"")</f>
        <v/>
      </c>
      <c r="S542" s="1" t="b">
        <f>IFERROR(__xludf.DUMMYFUNCTION("""COMPUTED_VALUE"""),FALSE)</f>
        <v>0</v>
      </c>
      <c r="T542" s="1" t="b">
        <f>IFERROR(__xludf.DUMMYFUNCTION("""COMPUTED_VALUE"""),FALSE)</f>
        <v>0</v>
      </c>
      <c r="U542" s="1" t="str">
        <f>IFERROR(__xludf.DUMMYFUNCTION("""COMPUTED_VALUE"""),"DSQ")</f>
        <v>DSQ</v>
      </c>
      <c r="V542" s="1" t="str">
        <f>IFERROR(__xludf.DUMMYFUNCTION("""COMPUTED_VALUE"""),"DSQ")</f>
        <v>DSQ</v>
      </c>
      <c r="W542" s="1" t="str">
        <f>IFERROR(__xludf.DUMMYFUNCTION("""COMPUTED_VALUE"""),"DSQ")</f>
        <v>DSQ</v>
      </c>
      <c r="X542" s="1" t="str">
        <f>IFERROR(__xludf.DUMMYFUNCTION("""COMPUTED_VALUE"""),"DSQ")</f>
        <v>DSQ</v>
      </c>
      <c r="Y542" s="2"/>
      <c r="Z542" s="2" t="str">
        <f>IFERROR(__xludf.DUMMYFUNCTION("""COMPUTED_VALUE"""),"")</f>
        <v/>
      </c>
    </row>
    <row r="543">
      <c r="A543" s="1">
        <f>IFERROR(__xludf.DUMMYFUNCTION("""COMPUTED_VALUE"""),542.0)</f>
        <v>542</v>
      </c>
      <c r="B543" s="1">
        <f>IFERROR(__xludf.DUMMYFUNCTION("""COMPUTED_VALUE"""),10410.0)</f>
        <v>10410</v>
      </c>
      <c r="C543" s="2" t="str">
        <f>IFERROR(__xludf.DUMMYFUNCTION("""COMPUTED_VALUE"""),"Walad hudaify")</f>
        <v>Walad hudaify</v>
      </c>
      <c r="D543" s="2" t="str">
        <f>IFERROR(__xludf.DUMMYFUNCTION("""COMPUTED_VALUE"""),"10KM OVERALL M")</f>
        <v>10KM OVERALL M</v>
      </c>
      <c r="E543" s="1">
        <f>IFERROR(__xludf.DUMMYFUNCTION("""COMPUTED_VALUE"""),1.0)</f>
        <v>1</v>
      </c>
      <c r="F543" s="1" t="str">
        <f>IFERROR(__xludf.DUMMYFUNCTION("""COMPUTED_VALUE"""),"Male")</f>
        <v>Male</v>
      </c>
      <c r="G543" s="4" t="b">
        <f>IFERROR(__xludf.DUMMYFUNCTION("""COMPUTED_VALUE"""),TRUE)</f>
        <v>1</v>
      </c>
      <c r="H543" s="4" t="b">
        <f>IFERROR(__xludf.DUMMYFUNCTION("""COMPUTED_VALUE"""),FALSE)</f>
        <v>0</v>
      </c>
      <c r="I543" s="4">
        <f>IFERROR(__xludf.DUMMYFUNCTION("""COMPUTED_VALUE"""),0.24646185185185185)</f>
        <v>0.2464618519</v>
      </c>
      <c r="J543" s="4">
        <f>IFERROR(__xludf.DUMMYFUNCTION("""COMPUTED_VALUE"""),45949.25772113267)</f>
        <v>45949.25772</v>
      </c>
      <c r="K543" s="4">
        <f>IFERROR(__xludf.DUMMYFUNCTION("""COMPUTED_VALUE"""),45949.28997685185)</f>
        <v>45949.28998</v>
      </c>
      <c r="L543" s="4">
        <f>IFERROR(__xludf.DUMMYFUNCTION("""COMPUTED_VALUE"""),45949.29974479221)</f>
        <v>45949.29974</v>
      </c>
      <c r="M543" s="1" t="str">
        <f>IFERROR(__xludf.DUMMYFUNCTION("""COMPUTED_VALUE"""),"RFID")</f>
        <v>RFID</v>
      </c>
      <c r="N543" s="5">
        <f>IFERROR(__xludf.DUMMYFUNCTION("""COMPUTED_VALUE"""),0.004503712962962963)</f>
        <v>0.004503712963</v>
      </c>
      <c r="O543" s="5">
        <f>IFERROR(__xludf.DUMMYFUNCTION("""COMPUTED_VALUE"""),0.012902287037037035)</f>
        <v>0.01290228704</v>
      </c>
      <c r="P543" s="5">
        <f>IFERROR(__xludf.DUMMYFUNCTION("""COMPUTED_VALUE"""),0.004019728544241952)</f>
        <v>0.004019728544</v>
      </c>
      <c r="Q543" s="5">
        <f>IFERROR(__xludf.DUMMYFUNCTION("""COMPUTED_VALUE"""),0.005328293981481482)</f>
        <v>0.005328293981</v>
      </c>
      <c r="R543" s="4">
        <f>IFERROR(__xludf.DUMMYFUNCTION("""COMPUTED_VALUE"""),45949.05328294036)</f>
        <v>45949.05328</v>
      </c>
      <c r="S543" s="1" t="b">
        <f>IFERROR(__xludf.DUMMYFUNCTION("""COMPUTED_VALUE"""),TRUE)</f>
        <v>1</v>
      </c>
      <c r="T543" s="1" t="b">
        <f>IFERROR(__xludf.DUMMYFUNCTION("""COMPUTED_VALUE"""),FALSE)</f>
        <v>0</v>
      </c>
      <c r="U543" s="1" t="str">
        <f>IFERROR(__xludf.DUMMYFUNCTION("""COMPUTED_VALUE"""),"VALID")</f>
        <v>VALID</v>
      </c>
      <c r="V543" s="1">
        <f>IFERROR(__xludf.DUMMYFUNCTION("""COMPUTED_VALUE"""),404.0)</f>
        <v>404</v>
      </c>
      <c r="W543" s="1">
        <f>IFERROR(__xludf.DUMMYFUNCTION("""COMPUTED_VALUE"""),483.0)</f>
        <v>483</v>
      </c>
      <c r="X543" s="1">
        <f>IFERROR(__xludf.DUMMYFUNCTION("""COMPUTED_VALUE"""),1459.0)</f>
        <v>1459</v>
      </c>
      <c r="Y543" s="2"/>
      <c r="Z543" s="2"/>
    </row>
    <row r="544">
      <c r="A544" s="1">
        <f>IFERROR(__xludf.DUMMYFUNCTION("""COMPUTED_VALUE"""),543.0)</f>
        <v>543</v>
      </c>
      <c r="B544" s="1">
        <f>IFERROR(__xludf.DUMMYFUNCTION("""COMPUTED_VALUE"""),10411.0)</f>
        <v>10411</v>
      </c>
      <c r="C544" s="2" t="str">
        <f>IFERROR(__xludf.DUMMYFUNCTION("""COMPUTED_VALUE"""),"Marcel")</f>
        <v>Marcel</v>
      </c>
      <c r="D544" s="2" t="str">
        <f>IFERROR(__xludf.DUMMYFUNCTION("""COMPUTED_VALUE"""),"10KM OVERALL M")</f>
        <v>10KM OVERALL M</v>
      </c>
      <c r="E544" s="1">
        <f>IFERROR(__xludf.DUMMYFUNCTION("""COMPUTED_VALUE"""),1.0)</f>
        <v>1</v>
      </c>
      <c r="F544" s="1" t="str">
        <f>IFERROR(__xludf.DUMMYFUNCTION("""COMPUTED_VALUE"""),"Male")</f>
        <v>Male</v>
      </c>
      <c r="G544" s="4" t="b">
        <f>IFERROR(__xludf.DUMMYFUNCTION("""COMPUTED_VALUE"""),TRUE)</f>
        <v>1</v>
      </c>
      <c r="H544" s="4" t="b">
        <f>IFERROR(__xludf.DUMMYFUNCTION("""COMPUTED_VALUE"""),TRUE)</f>
        <v>1</v>
      </c>
      <c r="I544" s="4">
        <f>IFERROR(__xludf.DUMMYFUNCTION("""COMPUTED_VALUE"""),0.24646185185185185)</f>
        <v>0.2464618519</v>
      </c>
      <c r="J544" s="4">
        <f>IFERROR(__xludf.DUMMYFUNCTION("""COMPUTED_VALUE"""),45949.25787745622)</f>
        <v>45949.25788</v>
      </c>
      <c r="K544" s="4">
        <f>IFERROR(__xludf.DUMMYFUNCTION("""COMPUTED_VALUE"""),45949.28947916666)</f>
        <v>45949.28948</v>
      </c>
      <c r="L544" s="4">
        <f>IFERROR(__xludf.DUMMYFUNCTION("""COMPUTED_VALUE"""),45949.29841129147)</f>
        <v>45949.29841</v>
      </c>
      <c r="M544" s="1" t="str">
        <f>IFERROR(__xludf.DUMMYFUNCTION("""COMPUTED_VALUE"""),"RFID")</f>
        <v>RFID</v>
      </c>
      <c r="N544" s="5">
        <f>IFERROR(__xludf.DUMMYFUNCTION("""COMPUTED_VALUE"""),0.0045662407407407405)</f>
        <v>0.004566240741</v>
      </c>
      <c r="O544" s="5">
        <f>IFERROR(__xludf.DUMMYFUNCTION("""COMPUTED_VALUE"""),0.012640685185185185)</f>
        <v>0.01264068519</v>
      </c>
      <c r="P544" s="5">
        <f>IFERROR(__xludf.DUMMYFUNCTION("""COMPUTED_VALUE"""),0.0036757715262468794)</f>
        <v>0.003675771526</v>
      </c>
      <c r="Q544" s="5">
        <f>IFERROR(__xludf.DUMMYFUNCTION("""COMPUTED_VALUE"""),0.005194944444444445)</f>
        <v>0.005194944444</v>
      </c>
      <c r="R544" s="4">
        <f>IFERROR(__xludf.DUMMYFUNCTION("""COMPUTED_VALUE"""),45949.05194943962)</f>
        <v>45949.05195</v>
      </c>
      <c r="S544" s="1" t="b">
        <f>IFERROR(__xludf.DUMMYFUNCTION("""COMPUTED_VALUE"""),TRUE)</f>
        <v>1</v>
      </c>
      <c r="T544" s="1" t="b">
        <f>IFERROR(__xludf.DUMMYFUNCTION("""COMPUTED_VALUE"""),FALSE)</f>
        <v>0</v>
      </c>
      <c r="U544" s="1" t="str">
        <f>IFERROR(__xludf.DUMMYFUNCTION("""COMPUTED_VALUE"""),"VALID")</f>
        <v>VALID</v>
      </c>
      <c r="V544" s="1">
        <f>IFERROR(__xludf.DUMMYFUNCTION("""COMPUTED_VALUE"""),383.0)</f>
        <v>383</v>
      </c>
      <c r="W544" s="1">
        <f>IFERROR(__xludf.DUMMYFUNCTION("""COMPUTED_VALUE"""),452.0)</f>
        <v>452</v>
      </c>
      <c r="X544" s="1">
        <f>IFERROR(__xludf.DUMMYFUNCTION("""COMPUTED_VALUE"""),1431.0)</f>
        <v>1431</v>
      </c>
      <c r="Y544" s="2"/>
      <c r="Z544" s="2"/>
    </row>
    <row r="545">
      <c r="A545" s="1">
        <f>IFERROR(__xludf.DUMMYFUNCTION("""COMPUTED_VALUE"""),544.0)</f>
        <v>544</v>
      </c>
      <c r="B545" s="1">
        <f>IFERROR(__xludf.DUMMYFUNCTION("""COMPUTED_VALUE"""),10412.0)</f>
        <v>10412</v>
      </c>
      <c r="C545" s="2" t="str">
        <f>IFERROR(__xludf.DUMMYFUNCTION("""COMPUTED_VALUE"""),"YUTO Ja gin")</f>
        <v>YUTO Ja gin</v>
      </c>
      <c r="D545" s="2" t="str">
        <f>IFERROR(__xludf.DUMMYFUNCTION("""COMPUTED_VALUE"""),"10KM OVERALL M")</f>
        <v>10KM OVERALL M</v>
      </c>
      <c r="E545" s="1">
        <f>IFERROR(__xludf.DUMMYFUNCTION("""COMPUTED_VALUE"""),1.0)</f>
        <v>1</v>
      </c>
      <c r="F545" s="1" t="str">
        <f>IFERROR(__xludf.DUMMYFUNCTION("""COMPUTED_VALUE"""),"Male")</f>
        <v>Male</v>
      </c>
      <c r="G545" s="4" t="b">
        <f>IFERROR(__xludf.DUMMYFUNCTION("""COMPUTED_VALUE"""),TRUE)</f>
        <v>1</v>
      </c>
      <c r="H545" s="4" t="b">
        <f>IFERROR(__xludf.DUMMYFUNCTION("""COMPUTED_VALUE"""),TRUE)</f>
        <v>1</v>
      </c>
      <c r="I545" s="4">
        <f>IFERROR(__xludf.DUMMYFUNCTION("""COMPUTED_VALUE"""),0.24646185185185185)</f>
        <v>0.2464618519</v>
      </c>
      <c r="J545" s="4">
        <f>IFERROR(__xludf.DUMMYFUNCTION("""COMPUTED_VALUE"""),45949.2585927164)</f>
        <v>45949.25859</v>
      </c>
      <c r="K545" s="4">
        <f>IFERROR(__xludf.DUMMYFUNCTION("""COMPUTED_VALUE"""),45949.29034722222)</f>
        <v>45949.29035</v>
      </c>
      <c r="L545" s="4">
        <f>IFERROR(__xludf.DUMMYFUNCTION("""COMPUTED_VALUE"""),45949.29918981482)</f>
        <v>45949.29919</v>
      </c>
      <c r="M545" s="1" t="str">
        <f>IFERROR(__xludf.DUMMYFUNCTION("""COMPUTED_VALUE"""),"RFID")</f>
        <v>RFID</v>
      </c>
      <c r="N545" s="5">
        <f>IFERROR(__xludf.DUMMYFUNCTION("""COMPUTED_VALUE"""),0.0048523472222222214)</f>
        <v>0.004852347222</v>
      </c>
      <c r="O545" s="5">
        <f>IFERROR(__xludf.DUMMYFUNCTION("""COMPUTED_VALUE"""),0.012701800925925927)</f>
        <v>0.01270180093</v>
      </c>
      <c r="P545" s="5">
        <f>IFERROR(__xludf.DUMMYFUNCTION("""COMPUTED_VALUE"""),0.0036389269961145756)</f>
        <v>0.003638926996</v>
      </c>
      <c r="Q545" s="5">
        <f>IFERROR(__xludf.DUMMYFUNCTION("""COMPUTED_VALUE"""),0.005272796296296296)</f>
        <v>0.005272796296</v>
      </c>
      <c r="R545" s="4">
        <f>IFERROR(__xludf.DUMMYFUNCTION("""COMPUTED_VALUE"""),45949.05272796297)</f>
        <v>45949.05273</v>
      </c>
      <c r="S545" s="1" t="b">
        <f>IFERROR(__xludf.DUMMYFUNCTION("""COMPUTED_VALUE"""),TRUE)</f>
        <v>1</v>
      </c>
      <c r="T545" s="1" t="b">
        <f>IFERROR(__xludf.DUMMYFUNCTION("""COMPUTED_VALUE"""),FALSE)</f>
        <v>0</v>
      </c>
      <c r="U545" s="1" t="str">
        <f>IFERROR(__xludf.DUMMYFUNCTION("""COMPUTED_VALUE"""),"VALID")</f>
        <v>VALID</v>
      </c>
      <c r="V545" s="1">
        <f>IFERROR(__xludf.DUMMYFUNCTION("""COMPUTED_VALUE"""),396.0)</f>
        <v>396</v>
      </c>
      <c r="W545" s="1">
        <f>IFERROR(__xludf.DUMMYFUNCTION("""COMPUTED_VALUE"""),472.0)</f>
        <v>472</v>
      </c>
      <c r="X545" s="1">
        <f>IFERROR(__xludf.DUMMYFUNCTION("""COMPUTED_VALUE"""),1450.0)</f>
        <v>1450</v>
      </c>
      <c r="Y545" s="2"/>
      <c r="Z545" s="2"/>
    </row>
    <row r="546">
      <c r="A546" s="1">
        <f>IFERROR(__xludf.DUMMYFUNCTION("""COMPUTED_VALUE"""),545.0)</f>
        <v>545</v>
      </c>
      <c r="B546" s="1">
        <f>IFERROR(__xludf.DUMMYFUNCTION("""COMPUTED_VALUE"""),10414.0)</f>
        <v>10414</v>
      </c>
      <c r="C546" s="2" t="str">
        <f>IFERROR(__xludf.DUMMYFUNCTION("""COMPUTED_VALUE"""),"Muhammad Syofri Nurdwivha Marsid")</f>
        <v>Muhammad Syofri Nurdwivha Marsid</v>
      </c>
      <c r="D546" s="2" t="str">
        <f>IFERROR(__xludf.DUMMYFUNCTION("""COMPUTED_VALUE"""),"10KM OVERALL M")</f>
        <v>10KM OVERALL M</v>
      </c>
      <c r="E546" s="1">
        <f>IFERROR(__xludf.DUMMYFUNCTION("""COMPUTED_VALUE"""),1.0)</f>
        <v>1</v>
      </c>
      <c r="F546" s="1" t="str">
        <f>IFERROR(__xludf.DUMMYFUNCTION("""COMPUTED_VALUE"""),"Male")</f>
        <v>Male</v>
      </c>
      <c r="G546" s="4" t="str">
        <f>IFERROR(__xludf.DUMMYFUNCTION("""COMPUTED_VALUE"""),"")</f>
        <v/>
      </c>
      <c r="H546" s="4" t="b">
        <f>IFERROR(__xludf.DUMMYFUNCTION("""COMPUTED_VALUE"""),FALSE)</f>
        <v>0</v>
      </c>
      <c r="I546" s="4">
        <f>IFERROR(__xludf.DUMMYFUNCTION("""COMPUTED_VALUE"""),0.24646185185185185)</f>
        <v>0.2464618519</v>
      </c>
      <c r="J546" s="4">
        <f>IFERROR(__xludf.DUMMYFUNCTION("""COMPUTED_VALUE"""),45949.257620499826)</f>
        <v>45949.25762</v>
      </c>
      <c r="K546" s="4">
        <f>IFERROR(__xludf.DUMMYFUNCTION("""COMPUTED_VALUE"""),45949.29322481032)</f>
        <v>45949.29322</v>
      </c>
      <c r="L546" s="4">
        <f>IFERROR(__xludf.DUMMYFUNCTION("""COMPUTED_VALUE"""),45949.30409594999)</f>
        <v>45949.3041</v>
      </c>
      <c r="M546" s="1" t="str">
        <f>IFERROR(__xludf.DUMMYFUNCTION("""COMPUTED_VALUE"""),"RFID")</f>
        <v>RFID</v>
      </c>
      <c r="N546" s="5">
        <f>IFERROR(__xludf.DUMMYFUNCTION("""COMPUTED_VALUE"""),0.004463458333333333)</f>
        <v>0.004463458333</v>
      </c>
      <c r="O546" s="5">
        <f>IFERROR(__xludf.DUMMYFUNCTION("""COMPUTED_VALUE"""),0.014241722222222222)</f>
        <v>0.01424172222</v>
      </c>
      <c r="P546" s="5">
        <f>IFERROR(__xludf.DUMMYFUNCTION("""COMPUTED_VALUE"""),0.004473720030924267)</f>
        <v>0.004473720031</v>
      </c>
      <c r="Q546" s="5">
        <f>IFERROR(__xludf.DUMMYFUNCTION("""COMPUTED_VALUE"""),0.005763409722222222)</f>
        <v>0.005763409722</v>
      </c>
      <c r="R546" s="4">
        <f>IFERROR(__xludf.DUMMYFUNCTION("""COMPUTED_VALUE"""),45949.05763409814)</f>
        <v>45949.05763</v>
      </c>
      <c r="S546" s="1" t="b">
        <f>IFERROR(__xludf.DUMMYFUNCTION("""COMPUTED_VALUE"""),TRUE)</f>
        <v>1</v>
      </c>
      <c r="T546" s="1" t="b">
        <f>IFERROR(__xludf.DUMMYFUNCTION("""COMPUTED_VALUE"""),FALSE)</f>
        <v>0</v>
      </c>
      <c r="U546" s="1" t="str">
        <f>IFERROR(__xludf.DUMMYFUNCTION("""COMPUTED_VALUE"""),"VALID")</f>
        <v>VALID</v>
      </c>
      <c r="V546" s="1">
        <f>IFERROR(__xludf.DUMMYFUNCTION("""COMPUTED_VALUE"""),509.0)</f>
        <v>509</v>
      </c>
      <c r="W546" s="1">
        <f>IFERROR(__xludf.DUMMYFUNCTION("""COMPUTED_VALUE"""),616.0)</f>
        <v>616</v>
      </c>
      <c r="X546" s="1">
        <f>IFERROR(__xludf.DUMMYFUNCTION("""COMPUTED_VALUE"""),1581.0)</f>
        <v>1581</v>
      </c>
      <c r="Y546" s="2"/>
      <c r="Z546" s="2"/>
    </row>
    <row r="547">
      <c r="A547" s="1">
        <f>IFERROR(__xludf.DUMMYFUNCTION("""COMPUTED_VALUE"""),546.0)</f>
        <v>546</v>
      </c>
      <c r="B547" s="1">
        <f>IFERROR(__xludf.DUMMYFUNCTION("""COMPUTED_VALUE"""),10415.0)</f>
        <v>10415</v>
      </c>
      <c r="C547" s="2" t="str">
        <f>IFERROR(__xludf.DUMMYFUNCTION("""COMPUTED_VALUE"""),"@myasinfirdausðŸ¢")</f>
        <v>@myasinfirdausðŸ_x0090_¢</v>
      </c>
      <c r="D547" s="2" t="str">
        <f>IFERROR(__xludf.DUMMYFUNCTION("""COMPUTED_VALUE"""),"10KM OVERALL M")</f>
        <v>10KM OVERALL M</v>
      </c>
      <c r="E547" s="1">
        <f>IFERROR(__xludf.DUMMYFUNCTION("""COMPUTED_VALUE"""),1.0)</f>
        <v>1</v>
      </c>
      <c r="F547" s="1" t="str">
        <f>IFERROR(__xludf.DUMMYFUNCTION("""COMPUTED_VALUE"""),"Male")</f>
        <v>Male</v>
      </c>
      <c r="G547" s="4" t="b">
        <f>IFERROR(__xludf.DUMMYFUNCTION("""COMPUTED_VALUE"""),TRUE)</f>
        <v>1</v>
      </c>
      <c r="H547" s="4" t="b">
        <f>IFERROR(__xludf.DUMMYFUNCTION("""COMPUTED_VALUE"""),TRUE)</f>
        <v>1</v>
      </c>
      <c r="I547" s="4">
        <f>IFERROR(__xludf.DUMMYFUNCTION("""COMPUTED_VALUE"""),0.24646185185185185)</f>
        <v>0.2464618519</v>
      </c>
      <c r="J547" s="4">
        <f>IFERROR(__xludf.DUMMYFUNCTION("""COMPUTED_VALUE"""),45949.25831493981)</f>
        <v>45949.25831</v>
      </c>
      <c r="K547" s="4">
        <f>IFERROR(__xludf.DUMMYFUNCTION("""COMPUTED_VALUE"""),45949.288491999534)</f>
        <v>45949.28849</v>
      </c>
      <c r="L547" s="4">
        <f>IFERROR(__xludf.DUMMYFUNCTION("""COMPUTED_VALUE"""),45949.29763379806)</f>
        <v>45949.29763</v>
      </c>
      <c r="M547" s="1" t="str">
        <f>IFERROR(__xludf.DUMMYFUNCTION("""COMPUTED_VALUE"""),"RFID")</f>
        <v>RFID</v>
      </c>
      <c r="N547" s="5">
        <f>IFERROR(__xludf.DUMMYFUNCTION("""COMPUTED_VALUE"""),0.004741236111111111)</f>
        <v>0.004741236111</v>
      </c>
      <c r="O547" s="5">
        <f>IFERROR(__xludf.DUMMYFUNCTION("""COMPUTED_VALUE"""),0.012070824074074072)</f>
        <v>0.01207082407</v>
      </c>
      <c r="P547" s="5">
        <f>IFERROR(__xludf.DUMMYFUNCTION("""COMPUTED_VALUE"""),0.0037620570057899584)</f>
        <v>0.003762057006</v>
      </c>
      <c r="Q547" s="5">
        <f>IFERROR(__xludf.DUMMYFUNCTION("""COMPUTED_VALUE"""),0.005117194444444445)</f>
        <v>0.005117194444</v>
      </c>
      <c r="R547" s="4">
        <f>IFERROR(__xludf.DUMMYFUNCTION("""COMPUTED_VALUE"""),45949.05117194621)</f>
        <v>45949.05117</v>
      </c>
      <c r="S547" s="1" t="b">
        <f>IFERROR(__xludf.DUMMYFUNCTION("""COMPUTED_VALUE"""),TRUE)</f>
        <v>1</v>
      </c>
      <c r="T547" s="1" t="b">
        <f>IFERROR(__xludf.DUMMYFUNCTION("""COMPUTED_VALUE"""),FALSE)</f>
        <v>0</v>
      </c>
      <c r="U547" s="1" t="str">
        <f>IFERROR(__xludf.DUMMYFUNCTION("""COMPUTED_VALUE"""),"VALID")</f>
        <v>VALID</v>
      </c>
      <c r="V547" s="1">
        <f>IFERROR(__xludf.DUMMYFUNCTION("""COMPUTED_VALUE"""),369.0)</f>
        <v>369</v>
      </c>
      <c r="W547" s="1">
        <f>IFERROR(__xludf.DUMMYFUNCTION("""COMPUTED_VALUE"""),437.0)</f>
        <v>437</v>
      </c>
      <c r="X547" s="1">
        <f>IFERROR(__xludf.DUMMYFUNCTION("""COMPUTED_VALUE"""),1416.0)</f>
        <v>1416</v>
      </c>
      <c r="Y547" s="2"/>
      <c r="Z547" s="2"/>
    </row>
    <row r="548">
      <c r="A548" s="1">
        <f>IFERROR(__xludf.DUMMYFUNCTION("""COMPUTED_VALUE"""),547.0)</f>
        <v>547</v>
      </c>
      <c r="B548" s="1">
        <f>IFERROR(__xludf.DUMMYFUNCTION("""COMPUTED_VALUE"""),10416.0)</f>
        <v>10416</v>
      </c>
      <c r="C548" s="2" t="str">
        <f>IFERROR(__xludf.DUMMYFUNCTION("""COMPUTED_VALUE"""),"Ahmad Madani")</f>
        <v>Ahmad Madani</v>
      </c>
      <c r="D548" s="2" t="str">
        <f>IFERROR(__xludf.DUMMYFUNCTION("""COMPUTED_VALUE"""),"10KM OVERALL M")</f>
        <v>10KM OVERALL M</v>
      </c>
      <c r="E548" s="1">
        <f>IFERROR(__xludf.DUMMYFUNCTION("""COMPUTED_VALUE"""),1.0)</f>
        <v>1</v>
      </c>
      <c r="F548" s="1" t="str">
        <f>IFERROR(__xludf.DUMMYFUNCTION("""COMPUTED_VALUE"""),"Male")</f>
        <v>Male</v>
      </c>
      <c r="G548" s="4" t="b">
        <f>IFERROR(__xludf.DUMMYFUNCTION("""COMPUTED_VALUE"""),TRUE)</f>
        <v>1</v>
      </c>
      <c r="H548" s="4" t="b">
        <f>IFERROR(__xludf.DUMMYFUNCTION("""COMPUTED_VALUE"""),FALSE)</f>
        <v>0</v>
      </c>
      <c r="I548" s="4">
        <f>IFERROR(__xludf.DUMMYFUNCTION("""COMPUTED_VALUE"""),0.24646185185185185)</f>
        <v>0.2464618519</v>
      </c>
      <c r="J548" s="4">
        <f>IFERROR(__xludf.DUMMYFUNCTION("""COMPUTED_VALUE"""),45949.25531491179)</f>
        <v>45949.25531</v>
      </c>
      <c r="K548" s="4">
        <f>IFERROR(__xludf.DUMMYFUNCTION("""COMPUTED_VALUE"""),45949.28031491408)</f>
        <v>45949.28031</v>
      </c>
      <c r="L548" s="4">
        <f>IFERROR(__xludf.DUMMYFUNCTION("""COMPUTED_VALUE"""),45949.288004987095)</f>
        <v>45949.288</v>
      </c>
      <c r="M548" s="1" t="str">
        <f>IFERROR(__xludf.DUMMYFUNCTION("""COMPUTED_VALUE"""),"RFID")</f>
        <v>RFID</v>
      </c>
      <c r="N548" s="5">
        <f>IFERROR(__xludf.DUMMYFUNCTION("""COMPUTED_VALUE"""),0.003541222222222222)</f>
        <v>0.003541222222</v>
      </c>
      <c r="O548" s="5">
        <f>IFERROR(__xludf.DUMMYFUNCTION("""COMPUTED_VALUE"""),0.01)</f>
        <v>0.01</v>
      </c>
      <c r="P548" s="5">
        <f>IFERROR(__xludf.DUMMYFUNCTION("""COMPUTED_VALUE"""),0.0031646390999102037)</f>
        <v>0.0031646391</v>
      </c>
      <c r="Q548" s="5">
        <f>IFERROR(__xludf.DUMMYFUNCTION("""COMPUTED_VALUE"""),0.004154313657407408)</f>
        <v>0.004154313657</v>
      </c>
      <c r="R548" s="4">
        <f>IFERROR(__xludf.DUMMYFUNCTION("""COMPUTED_VALUE"""),45949.041543135245)</f>
        <v>45949.04154</v>
      </c>
      <c r="S548" s="1" t="b">
        <f>IFERROR(__xludf.DUMMYFUNCTION("""COMPUTED_VALUE"""),TRUE)</f>
        <v>1</v>
      </c>
      <c r="T548" s="1" t="b">
        <f>IFERROR(__xludf.DUMMYFUNCTION("""COMPUTED_VALUE"""),FALSE)</f>
        <v>0</v>
      </c>
      <c r="U548" s="1" t="str">
        <f>IFERROR(__xludf.DUMMYFUNCTION("""COMPUTED_VALUE"""),"VALID")</f>
        <v>VALID</v>
      </c>
      <c r="V548" s="1">
        <f>IFERROR(__xludf.DUMMYFUNCTION("""COMPUTED_VALUE"""),131.0)</f>
        <v>131</v>
      </c>
      <c r="W548" s="1">
        <f>IFERROR(__xludf.DUMMYFUNCTION("""COMPUTED_VALUE"""),155.0)</f>
        <v>155</v>
      </c>
      <c r="X548" s="1">
        <f>IFERROR(__xludf.DUMMYFUNCTION("""COMPUTED_VALUE"""),1045.0)</f>
        <v>1045</v>
      </c>
      <c r="Y548" s="2"/>
      <c r="Z548" s="2"/>
    </row>
    <row r="549">
      <c r="A549" s="1">
        <f>IFERROR(__xludf.DUMMYFUNCTION("""COMPUTED_VALUE"""),548.0)</f>
        <v>548</v>
      </c>
      <c r="B549" s="1">
        <f>IFERROR(__xludf.DUMMYFUNCTION("""COMPUTED_VALUE"""),10417.0)</f>
        <v>10417</v>
      </c>
      <c r="C549" s="2" t="str">
        <f>IFERROR(__xludf.DUMMYFUNCTION("""COMPUTED_VALUE"""),"biiimata")</f>
        <v>biiimata</v>
      </c>
      <c r="D549" s="2" t="str">
        <f>IFERROR(__xludf.DUMMYFUNCTION("""COMPUTED_VALUE"""),"10KM OVERALL M")</f>
        <v>10KM OVERALL M</v>
      </c>
      <c r="E549" s="1">
        <f>IFERROR(__xludf.DUMMYFUNCTION("""COMPUTED_VALUE"""),1.0)</f>
        <v>1</v>
      </c>
      <c r="F549" s="1" t="str">
        <f>IFERROR(__xludf.DUMMYFUNCTION("""COMPUTED_VALUE"""),"Male")</f>
        <v>Male</v>
      </c>
      <c r="G549" s="4" t="b">
        <f>IFERROR(__xludf.DUMMYFUNCTION("""COMPUTED_VALUE"""),TRUE)</f>
        <v>1</v>
      </c>
      <c r="H549" s="4" t="b">
        <f>IFERROR(__xludf.DUMMYFUNCTION("""COMPUTED_VALUE"""),TRUE)</f>
        <v>1</v>
      </c>
      <c r="I549" s="4">
        <f>IFERROR(__xludf.DUMMYFUNCTION("""COMPUTED_VALUE"""),0.24646185185185185)</f>
        <v>0.2464618519</v>
      </c>
      <c r="J549" s="4">
        <f>IFERROR(__xludf.DUMMYFUNCTION("""COMPUTED_VALUE"""),45949.25659612874)</f>
        <v>45949.2566</v>
      </c>
      <c r="K549" s="4">
        <f>IFERROR(__xludf.DUMMYFUNCTION("""COMPUTED_VALUE"""),45949.282332253984)</f>
        <v>45949.28233</v>
      </c>
      <c r="L549" s="4">
        <f>IFERROR(__xludf.DUMMYFUNCTION("""COMPUTED_VALUE"""),45949.28902992451)</f>
        <v>45949.28903</v>
      </c>
      <c r="M549" s="1" t="str">
        <f>IFERROR(__xludf.DUMMYFUNCTION("""COMPUTED_VALUE"""),"RFID")</f>
        <v>RFID</v>
      </c>
      <c r="N549" s="5">
        <f>IFERROR(__xludf.DUMMYFUNCTION("""COMPUTED_VALUE"""),0.004053712962962963)</f>
        <v>0.004053712963</v>
      </c>
      <c r="O549" s="5">
        <f>IFERROR(__xludf.DUMMYFUNCTION("""COMPUTED_VALUE"""),0.010294449074074074)</f>
        <v>0.01029444907</v>
      </c>
      <c r="P549" s="5">
        <f>IFERROR(__xludf.DUMMYFUNCTION("""COMPUTED_VALUE"""),0.002756243015432523)</f>
        <v>0.002756243015</v>
      </c>
      <c r="Q549" s="5">
        <f>IFERROR(__xludf.DUMMYFUNCTION("""COMPUTED_VALUE"""),0.004256806712962963)</f>
        <v>0.004256806713</v>
      </c>
      <c r="R549" s="4">
        <f>IFERROR(__xludf.DUMMYFUNCTION("""COMPUTED_VALUE"""),45949.04256807266)</f>
        <v>45949.04257</v>
      </c>
      <c r="S549" s="1" t="b">
        <f>IFERROR(__xludf.DUMMYFUNCTION("""COMPUTED_VALUE"""),TRUE)</f>
        <v>1</v>
      </c>
      <c r="T549" s="1" t="b">
        <f>IFERROR(__xludf.DUMMYFUNCTION("""COMPUTED_VALUE"""),FALSE)</f>
        <v>0</v>
      </c>
      <c r="U549" s="1" t="str">
        <f>IFERROR(__xludf.DUMMYFUNCTION("""COMPUTED_VALUE"""),"VALID")</f>
        <v>VALID</v>
      </c>
      <c r="V549" s="1">
        <f>IFERROR(__xludf.DUMMYFUNCTION("""COMPUTED_VALUE"""),161.0)</f>
        <v>161</v>
      </c>
      <c r="W549" s="1">
        <f>IFERROR(__xludf.DUMMYFUNCTION("""COMPUTED_VALUE"""),188.0)</f>
        <v>188</v>
      </c>
      <c r="X549" s="1">
        <f>IFERROR(__xludf.DUMMYFUNCTION("""COMPUTED_VALUE"""),1089.0)</f>
        <v>1089</v>
      </c>
      <c r="Y549" s="2"/>
      <c r="Z549" s="2"/>
    </row>
    <row r="550">
      <c r="A550" s="1">
        <f>IFERROR(__xludf.DUMMYFUNCTION("""COMPUTED_VALUE"""),549.0)</f>
        <v>549</v>
      </c>
      <c r="B550" s="1">
        <f>IFERROR(__xludf.DUMMYFUNCTION("""COMPUTED_VALUE"""),10418.0)</f>
        <v>10418</v>
      </c>
      <c r="C550" s="2" t="str">
        <f>IFERROR(__xludf.DUMMYFUNCTION("""COMPUTED_VALUE"""),"Thomzz")</f>
        <v>Thomzz</v>
      </c>
      <c r="D550" s="2" t="str">
        <f>IFERROR(__xludf.DUMMYFUNCTION("""COMPUTED_VALUE"""),"10KM OVERALL M")</f>
        <v>10KM OVERALL M</v>
      </c>
      <c r="E550" s="1">
        <f>IFERROR(__xludf.DUMMYFUNCTION("""COMPUTED_VALUE"""),1.0)</f>
        <v>1</v>
      </c>
      <c r="F550" s="1" t="str">
        <f>IFERROR(__xludf.DUMMYFUNCTION("""COMPUTED_VALUE"""),"Male")</f>
        <v>Male</v>
      </c>
      <c r="G550" s="4" t="str">
        <f>IFERROR(__xludf.DUMMYFUNCTION("""COMPUTED_VALUE"""),"")</f>
        <v/>
      </c>
      <c r="H550" s="4" t="b">
        <f>IFERROR(__xludf.DUMMYFUNCTION("""COMPUTED_VALUE"""),FALSE)</f>
        <v>0</v>
      </c>
      <c r="I550" s="4">
        <f>IFERROR(__xludf.DUMMYFUNCTION("""COMPUTED_VALUE"""),0.24646185185185185)</f>
        <v>0.2464618519</v>
      </c>
      <c r="J550" s="4">
        <f>IFERROR(__xludf.DUMMYFUNCTION("""COMPUTED_VALUE"""),45949.25949543396)</f>
        <v>45949.2595</v>
      </c>
      <c r="K550" s="4">
        <f>IFERROR(__xludf.DUMMYFUNCTION("""COMPUTED_VALUE"""),45949.30093316269)</f>
        <v>45949.30093</v>
      </c>
      <c r="L550" s="4">
        <f>IFERROR(__xludf.DUMMYFUNCTION("""COMPUTED_VALUE"""),45949.31216475713)</f>
        <v>45949.31216</v>
      </c>
      <c r="M550" s="1" t="str">
        <f>IFERROR(__xludf.DUMMYFUNCTION("""COMPUTED_VALUE"""),"RFID")</f>
        <v>RFID</v>
      </c>
      <c r="N550" s="5">
        <f>IFERROR(__xludf.DUMMYFUNCTION("""COMPUTED_VALUE"""),0.005213430555555556)</f>
        <v>0.005213430556</v>
      </c>
      <c r="O550" s="5">
        <f>IFERROR(__xludf.DUMMYFUNCTION("""COMPUTED_VALUE"""),0.016575092592592593)</f>
        <v>0.01657509259</v>
      </c>
      <c r="P550" s="5">
        <f>IFERROR(__xludf.DUMMYFUNCTION("""COMPUTED_VALUE"""),0.004622055326134288)</f>
        <v>0.004622055326</v>
      </c>
      <c r="Q550" s="5">
        <f>IFERROR(__xludf.DUMMYFUNCTION("""COMPUTED_VALUE"""),0.006570290509259259)</f>
        <v>0.006570290509</v>
      </c>
      <c r="R550" s="4">
        <f>IFERROR(__xludf.DUMMYFUNCTION("""COMPUTED_VALUE"""),45949.06570290528)</f>
        <v>45949.0657</v>
      </c>
      <c r="S550" s="1" t="b">
        <f>IFERROR(__xludf.DUMMYFUNCTION("""COMPUTED_VALUE"""),TRUE)</f>
        <v>1</v>
      </c>
      <c r="T550" s="1" t="b">
        <f>IFERROR(__xludf.DUMMYFUNCTION("""COMPUTED_VALUE"""),FALSE)</f>
        <v>0</v>
      </c>
      <c r="U550" s="1" t="str">
        <f>IFERROR(__xludf.DUMMYFUNCTION("""COMPUTED_VALUE"""),"VALID")</f>
        <v>VALID</v>
      </c>
      <c r="V550" s="1">
        <f>IFERROR(__xludf.DUMMYFUNCTION("""COMPUTED_VALUE"""),571.0)</f>
        <v>571</v>
      </c>
      <c r="W550" s="1">
        <f>IFERROR(__xludf.DUMMYFUNCTION("""COMPUTED_VALUE"""),707.0)</f>
        <v>707</v>
      </c>
      <c r="X550" s="1">
        <f>IFERROR(__xludf.DUMMYFUNCTION("""COMPUTED_VALUE"""),1648.0)</f>
        <v>1648</v>
      </c>
      <c r="Y550" s="2"/>
      <c r="Z550" s="2"/>
    </row>
    <row r="551">
      <c r="A551" s="1">
        <f>IFERROR(__xludf.DUMMYFUNCTION("""COMPUTED_VALUE"""),550.0)</f>
        <v>550</v>
      </c>
      <c r="B551" s="1">
        <f>IFERROR(__xludf.DUMMYFUNCTION("""COMPUTED_VALUE"""),10419.0)</f>
        <v>10419</v>
      </c>
      <c r="C551" s="2" t="str">
        <f>IFERROR(__xludf.DUMMYFUNCTION("""COMPUTED_VALUE"""),"LUFI")</f>
        <v>LUFI</v>
      </c>
      <c r="D551" s="2" t="str">
        <f>IFERROR(__xludf.DUMMYFUNCTION("""COMPUTED_VALUE"""),"10KM OVERALL M")</f>
        <v>10KM OVERALL M</v>
      </c>
      <c r="E551" s="1">
        <f>IFERROR(__xludf.DUMMYFUNCTION("""COMPUTED_VALUE"""),1.0)</f>
        <v>1</v>
      </c>
      <c r="F551" s="1" t="str">
        <f>IFERROR(__xludf.DUMMYFUNCTION("""COMPUTED_VALUE"""),"Male")</f>
        <v>Male</v>
      </c>
      <c r="G551" s="4" t="b">
        <f>IFERROR(__xludf.DUMMYFUNCTION("""COMPUTED_VALUE"""),TRUE)</f>
        <v>1</v>
      </c>
      <c r="H551" s="4" t="b">
        <f>IFERROR(__xludf.DUMMYFUNCTION("""COMPUTED_VALUE"""),FALSE)</f>
        <v>0</v>
      </c>
      <c r="I551" s="4">
        <f>IFERROR(__xludf.DUMMYFUNCTION("""COMPUTED_VALUE"""),0.24646185185185185)</f>
        <v>0.2464618519</v>
      </c>
      <c r="J551" s="4">
        <f>IFERROR(__xludf.DUMMYFUNCTION("""COMPUTED_VALUE"""),45949.25682187822)</f>
        <v>45949.25682</v>
      </c>
      <c r="K551" s="4">
        <f>IFERROR(__xludf.DUMMYFUNCTION("""COMPUTED_VALUE"""),45949.28078714868)</f>
        <v>45949.28079</v>
      </c>
      <c r="L551" s="4">
        <f>IFERROR(__xludf.DUMMYFUNCTION("""COMPUTED_VALUE"""),45949.2874703143)</f>
        <v>45949.28747</v>
      </c>
      <c r="M551" s="1" t="str">
        <f>IFERROR(__xludf.DUMMYFUNCTION("""COMPUTED_VALUE"""),"RFID")</f>
        <v>RFID</v>
      </c>
      <c r="N551" s="5">
        <f>IFERROR(__xludf.DUMMYFUNCTION("""COMPUTED_VALUE"""),0.004144009259259259)</f>
        <v>0.004144009259</v>
      </c>
      <c r="O551" s="5">
        <f>IFERROR(__xludf.DUMMYFUNCTION("""COMPUTED_VALUE"""),0.009586106481481482)</f>
        <v>0.009586106481</v>
      </c>
      <c r="P551" s="5">
        <f>IFERROR(__xludf.DUMMYFUNCTION("""COMPUTED_VALUE"""),0.002750273918615148)</f>
        <v>0.002750273919</v>
      </c>
      <c r="Q551" s="5">
        <f>IFERROR(__xludf.DUMMYFUNCTION("""COMPUTED_VALUE"""),0.004100846064814815)</f>
        <v>0.004100846065</v>
      </c>
      <c r="R551" s="4">
        <f>IFERROR(__xludf.DUMMYFUNCTION("""COMPUTED_VALUE"""),45949.04100846245)</f>
        <v>45949.04101</v>
      </c>
      <c r="S551" s="1" t="b">
        <f>IFERROR(__xludf.DUMMYFUNCTION("""COMPUTED_VALUE"""),TRUE)</f>
        <v>1</v>
      </c>
      <c r="T551" s="1" t="b">
        <f>IFERROR(__xludf.DUMMYFUNCTION("""COMPUTED_VALUE"""),FALSE)</f>
        <v>0</v>
      </c>
      <c r="U551" s="1" t="str">
        <f>IFERROR(__xludf.DUMMYFUNCTION("""COMPUTED_VALUE"""),"VALID")</f>
        <v>VALID</v>
      </c>
      <c r="V551" s="1">
        <f>IFERROR(__xludf.DUMMYFUNCTION("""COMPUTED_VALUE"""),122.0)</f>
        <v>122</v>
      </c>
      <c r="W551" s="1">
        <f>IFERROR(__xludf.DUMMYFUNCTION("""COMPUTED_VALUE"""),145.0)</f>
        <v>145</v>
      </c>
      <c r="X551" s="1">
        <f>IFERROR(__xludf.DUMMYFUNCTION("""COMPUTED_VALUE"""),1018.0)</f>
        <v>1018</v>
      </c>
      <c r="Y551" s="2"/>
      <c r="Z551" s="2"/>
    </row>
    <row r="552">
      <c r="A552" s="1">
        <f>IFERROR(__xludf.DUMMYFUNCTION("""COMPUTED_VALUE"""),551.0)</f>
        <v>551</v>
      </c>
      <c r="B552" s="1">
        <f>IFERROR(__xludf.DUMMYFUNCTION("""COMPUTED_VALUE"""),10420.0)</f>
        <v>10420</v>
      </c>
      <c r="C552" s="2" t="str">
        <f>IFERROR(__xludf.DUMMYFUNCTION("""COMPUTED_VALUE"""),"All-v")</f>
        <v>All-v</v>
      </c>
      <c r="D552" s="2" t="str">
        <f>IFERROR(__xludf.DUMMYFUNCTION("""COMPUTED_VALUE"""),"10KM OVERALL M")</f>
        <v>10KM OVERALL M</v>
      </c>
      <c r="E552" s="1">
        <f>IFERROR(__xludf.DUMMYFUNCTION("""COMPUTED_VALUE"""),1.0)</f>
        <v>1</v>
      </c>
      <c r="F552" s="1" t="str">
        <f>IFERROR(__xludf.DUMMYFUNCTION("""COMPUTED_VALUE"""),"Male")</f>
        <v>Male</v>
      </c>
      <c r="G552" s="4" t="b">
        <f>IFERROR(__xludf.DUMMYFUNCTION("""COMPUTED_VALUE"""),TRUE)</f>
        <v>1</v>
      </c>
      <c r="H552" s="4" t="b">
        <f>IFERROR(__xludf.DUMMYFUNCTION("""COMPUTED_VALUE"""),TRUE)</f>
        <v>1</v>
      </c>
      <c r="I552" s="4">
        <f>IFERROR(__xludf.DUMMYFUNCTION("""COMPUTED_VALUE"""),0.24646185185185185)</f>
        <v>0.2464618519</v>
      </c>
      <c r="J552" s="4">
        <f>IFERROR(__xludf.DUMMYFUNCTION("""COMPUTED_VALUE"""),45949.26028021884)</f>
        <v>45949.26028</v>
      </c>
      <c r="K552" s="4">
        <f>IFERROR(__xludf.DUMMYFUNCTION("""COMPUTED_VALUE"""),45949.299259527914)</f>
        <v>45949.29926</v>
      </c>
      <c r="L552" s="4">
        <f>IFERROR(__xludf.DUMMYFUNCTION("""COMPUTED_VALUE"""),45949.31032100574)</f>
        <v>45949.31032</v>
      </c>
      <c r="M552" s="1" t="str">
        <f>IFERROR(__xludf.DUMMYFUNCTION("""COMPUTED_VALUE"""),"RFID")</f>
        <v>RFID</v>
      </c>
      <c r="N552" s="5">
        <f>IFERROR(__xludf.DUMMYFUNCTION("""COMPUTED_VALUE"""),0.005527347222222222)</f>
        <v>0.005527347222</v>
      </c>
      <c r="O552" s="5">
        <f>IFERROR(__xludf.DUMMYFUNCTION("""COMPUTED_VALUE"""),0.01559172222222222)</f>
        <v>0.01559172222</v>
      </c>
      <c r="P552" s="5">
        <f>IFERROR(__xludf.DUMMYFUNCTION("""COMPUTED_VALUE"""),0.00455204848728982)</f>
        <v>0.004552048487</v>
      </c>
      <c r="Q552" s="5">
        <f>IFERROR(__xludf.DUMMYFUNCTION("""COMPUTED_VALUE"""),0.006385915509259259)</f>
        <v>0.006385915509</v>
      </c>
      <c r="R552" s="4">
        <f>IFERROR(__xludf.DUMMYFUNCTION("""COMPUTED_VALUE"""),45949.06385915389)</f>
        <v>45949.06386</v>
      </c>
      <c r="S552" s="1" t="b">
        <f>IFERROR(__xludf.DUMMYFUNCTION("""COMPUTED_VALUE"""),TRUE)</f>
        <v>1</v>
      </c>
      <c r="T552" s="1" t="b">
        <f>IFERROR(__xludf.DUMMYFUNCTION("""COMPUTED_VALUE"""),FALSE)</f>
        <v>0</v>
      </c>
      <c r="U552" s="1" t="str">
        <f>IFERROR(__xludf.DUMMYFUNCTION("""COMPUTED_VALUE"""),"VALID")</f>
        <v>VALID</v>
      </c>
      <c r="V552" s="1">
        <f>IFERROR(__xludf.DUMMYFUNCTION("""COMPUTED_VALUE"""),562.0)</f>
        <v>562</v>
      </c>
      <c r="W552" s="1">
        <f>IFERROR(__xludf.DUMMYFUNCTION("""COMPUTED_VALUE"""),693.0)</f>
        <v>693</v>
      </c>
      <c r="X552" s="1">
        <f>IFERROR(__xludf.DUMMYFUNCTION("""COMPUTED_VALUE"""),1640.0)</f>
        <v>1640</v>
      </c>
      <c r="Y552" s="2"/>
      <c r="Z552" s="2"/>
    </row>
    <row r="553">
      <c r="A553" s="1">
        <f>IFERROR(__xludf.DUMMYFUNCTION("""COMPUTED_VALUE"""),552.0)</f>
        <v>552</v>
      </c>
      <c r="B553" s="1">
        <f>IFERROR(__xludf.DUMMYFUNCTION("""COMPUTED_VALUE"""),10422.0)</f>
        <v>10422</v>
      </c>
      <c r="C553" s="2" t="str">
        <f>IFERROR(__xludf.DUMMYFUNCTION("""COMPUTED_VALUE"""),"Dedy")</f>
        <v>Dedy</v>
      </c>
      <c r="D553" s="2" t="str">
        <f>IFERROR(__xludf.DUMMYFUNCTION("""COMPUTED_VALUE"""),"10KM OVERALL M")</f>
        <v>10KM OVERALL M</v>
      </c>
      <c r="E553" s="1">
        <f>IFERROR(__xludf.DUMMYFUNCTION("""COMPUTED_VALUE"""),1.0)</f>
        <v>1</v>
      </c>
      <c r="F553" s="1" t="str">
        <f>IFERROR(__xludf.DUMMYFUNCTION("""COMPUTED_VALUE"""),"Male")</f>
        <v>Male</v>
      </c>
      <c r="G553" s="4" t="b">
        <f>IFERROR(__xludf.DUMMYFUNCTION("""COMPUTED_VALUE"""),TRUE)</f>
        <v>1</v>
      </c>
      <c r="H553" s="4" t="b">
        <f>IFERROR(__xludf.DUMMYFUNCTION("""COMPUTED_VALUE"""),TRUE)</f>
        <v>1</v>
      </c>
      <c r="I553" s="4">
        <f>IFERROR(__xludf.DUMMYFUNCTION("""COMPUTED_VALUE"""),0.24646185185185185)</f>
        <v>0.2464618519</v>
      </c>
      <c r="J553" s="4">
        <f>IFERROR(__xludf.DUMMYFUNCTION("""COMPUTED_VALUE"""),45949.25531488864)</f>
        <v>45949.25531</v>
      </c>
      <c r="K553" s="4">
        <f>IFERROR(__xludf.DUMMYFUNCTION("""COMPUTED_VALUE"""),45949.278028297726)</f>
        <v>45949.27803</v>
      </c>
      <c r="L553" s="4">
        <f>IFERROR(__xludf.DUMMYFUNCTION("""COMPUTED_VALUE"""),45949.28453629287)</f>
        <v>45949.28454</v>
      </c>
      <c r="M553" s="1" t="str">
        <f>IFERROR(__xludf.DUMMYFUNCTION("""COMPUTED_VALUE"""),"RFID")</f>
        <v>RFID</v>
      </c>
      <c r="N553" s="5">
        <f>IFERROR(__xludf.DUMMYFUNCTION("""COMPUTED_VALUE"""),0.0035412129629629635)</f>
        <v>0.003541212963</v>
      </c>
      <c r="O553" s="5">
        <f>IFERROR(__xludf.DUMMYFUNCTION("""COMPUTED_VALUE"""),0.009085365740740741)</f>
        <v>0.009085365741</v>
      </c>
      <c r="P553" s="5">
        <f>IFERROR(__xludf.DUMMYFUNCTION("""COMPUTED_VALUE"""),0.0026781873026797583)</f>
        <v>0.002678187303</v>
      </c>
      <c r="Q553" s="5">
        <f>IFERROR(__xludf.DUMMYFUNCTION("""COMPUTED_VALUE"""),0.0038074444444444445)</f>
        <v>0.003807444444</v>
      </c>
      <c r="R553" s="4">
        <f>IFERROR(__xludf.DUMMYFUNCTION("""COMPUTED_VALUE"""),45949.03807444102)</f>
        <v>45949.03807</v>
      </c>
      <c r="S553" s="1" t="b">
        <f>IFERROR(__xludf.DUMMYFUNCTION("""COMPUTED_VALUE"""),TRUE)</f>
        <v>1</v>
      </c>
      <c r="T553" s="1" t="b">
        <f>IFERROR(__xludf.DUMMYFUNCTION("""COMPUTED_VALUE"""),FALSE)</f>
        <v>0</v>
      </c>
      <c r="U553" s="1" t="str">
        <f>IFERROR(__xludf.DUMMYFUNCTION("""COMPUTED_VALUE"""),"VALID")</f>
        <v>VALID</v>
      </c>
      <c r="V553" s="1">
        <f>IFERROR(__xludf.DUMMYFUNCTION("""COMPUTED_VALUE"""),70.0)</f>
        <v>70</v>
      </c>
      <c r="W553" s="1">
        <f>IFERROR(__xludf.DUMMYFUNCTION("""COMPUTED_VALUE"""),83.0)</f>
        <v>83</v>
      </c>
      <c r="X553" s="1">
        <f>IFERROR(__xludf.DUMMYFUNCTION("""COMPUTED_VALUE"""),879.0)</f>
        <v>879</v>
      </c>
      <c r="Y553" s="2"/>
      <c r="Z553" s="2"/>
    </row>
    <row r="554">
      <c r="A554" s="1">
        <f>IFERROR(__xludf.DUMMYFUNCTION("""COMPUTED_VALUE"""),553.0)</f>
        <v>553</v>
      </c>
      <c r="B554" s="1">
        <f>IFERROR(__xludf.DUMMYFUNCTION("""COMPUTED_VALUE"""),10423.0)</f>
        <v>10423</v>
      </c>
      <c r="C554" s="2" t="str">
        <f>IFERROR(__xludf.DUMMYFUNCTION("""COMPUTED_VALUE"""),"Unggul")</f>
        <v>Unggul</v>
      </c>
      <c r="D554" s="2" t="str">
        <f>IFERROR(__xludf.DUMMYFUNCTION("""COMPUTED_VALUE"""),"10KM OVERALL M")</f>
        <v>10KM OVERALL M</v>
      </c>
      <c r="E554" s="1">
        <f>IFERROR(__xludf.DUMMYFUNCTION("""COMPUTED_VALUE"""),1.0)</f>
        <v>1</v>
      </c>
      <c r="F554" s="1" t="str">
        <f>IFERROR(__xludf.DUMMYFUNCTION("""COMPUTED_VALUE"""),"Male")</f>
        <v>Male</v>
      </c>
      <c r="G554" s="4" t="b">
        <f>IFERROR(__xludf.DUMMYFUNCTION("""COMPUTED_VALUE"""),TRUE)</f>
        <v>1</v>
      </c>
      <c r="H554" s="4" t="b">
        <f>IFERROR(__xludf.DUMMYFUNCTION("""COMPUTED_VALUE"""),TRUE)</f>
        <v>1</v>
      </c>
      <c r="I554" s="4">
        <f>IFERROR(__xludf.DUMMYFUNCTION("""COMPUTED_VALUE"""),0.24646185185185185)</f>
        <v>0.2464618519</v>
      </c>
      <c r="J554" s="4">
        <f>IFERROR(__xludf.DUMMYFUNCTION("""COMPUTED_VALUE"""),45949.25624543698)</f>
        <v>45949.25625</v>
      </c>
      <c r="K554" s="4">
        <f>IFERROR(__xludf.DUMMYFUNCTION("""COMPUTED_VALUE"""),45949.28116214297)</f>
        <v>45949.28116</v>
      </c>
      <c r="L554" s="4">
        <f>IFERROR(__xludf.DUMMYFUNCTION("""COMPUTED_VALUE"""),45949.2884772603)</f>
        <v>45949.28848</v>
      </c>
      <c r="M554" s="1" t="str">
        <f>IFERROR(__xludf.DUMMYFUNCTION("""COMPUTED_VALUE"""),"RFID")</f>
        <v>RFID</v>
      </c>
      <c r="N554" s="5">
        <f>IFERROR(__xludf.DUMMYFUNCTION("""COMPUTED_VALUE"""),0.003913435185185185)</f>
        <v>0.003913435185</v>
      </c>
      <c r="O554" s="5">
        <f>IFERROR(__xludf.DUMMYFUNCTION("""COMPUTED_VALUE"""),0.009966680555555555)</f>
        <v>0.009966680556</v>
      </c>
      <c r="P554" s="5">
        <f>IFERROR(__xludf.DUMMYFUNCTION("""COMPUTED_VALUE"""),0.0030103363487160467)</f>
        <v>0.003010336349</v>
      </c>
      <c r="Q554" s="5">
        <f>IFERROR(__xludf.DUMMYFUNCTION("""COMPUTED_VALUE"""),0.004201540509259259)</f>
        <v>0.004201540509</v>
      </c>
      <c r="R554" s="4">
        <f>IFERROR(__xludf.DUMMYFUNCTION("""COMPUTED_VALUE"""),45949.04201540845)</f>
        <v>45949.04202</v>
      </c>
      <c r="S554" s="1" t="b">
        <f>IFERROR(__xludf.DUMMYFUNCTION("""COMPUTED_VALUE"""),TRUE)</f>
        <v>1</v>
      </c>
      <c r="T554" s="1" t="b">
        <f>IFERROR(__xludf.DUMMYFUNCTION("""COMPUTED_VALUE"""),FALSE)</f>
        <v>0</v>
      </c>
      <c r="U554" s="1" t="str">
        <f>IFERROR(__xludf.DUMMYFUNCTION("""COMPUTED_VALUE"""),"VALID")</f>
        <v>VALID</v>
      </c>
      <c r="V554" s="1">
        <f>IFERROR(__xludf.DUMMYFUNCTION("""COMPUTED_VALUE"""),142.0)</f>
        <v>142</v>
      </c>
      <c r="W554" s="1">
        <f>IFERROR(__xludf.DUMMYFUNCTION("""COMPUTED_VALUE"""),168.0)</f>
        <v>168</v>
      </c>
      <c r="X554" s="1">
        <f>IFERROR(__xludf.DUMMYFUNCTION("""COMPUTED_VALUE"""),1065.0)</f>
        <v>1065</v>
      </c>
      <c r="Y554" s="2"/>
      <c r="Z554" s="2"/>
    </row>
    <row r="555">
      <c r="A555" s="1">
        <f>IFERROR(__xludf.DUMMYFUNCTION("""COMPUTED_VALUE"""),554.0)</f>
        <v>554</v>
      </c>
      <c r="B555" s="1">
        <f>IFERROR(__xludf.DUMMYFUNCTION("""COMPUTED_VALUE"""),10424.0)</f>
        <v>10424</v>
      </c>
      <c r="C555" s="2" t="str">
        <f>IFERROR(__xludf.DUMMYFUNCTION("""COMPUTED_VALUE"""),"HasanThalieb")</f>
        <v>HasanThalieb</v>
      </c>
      <c r="D555" s="2" t="str">
        <f>IFERROR(__xludf.DUMMYFUNCTION("""COMPUTED_VALUE"""),"10KM OVERALL M")</f>
        <v>10KM OVERALL M</v>
      </c>
      <c r="E555" s="1">
        <f>IFERROR(__xludf.DUMMYFUNCTION("""COMPUTED_VALUE"""),1.0)</f>
        <v>1</v>
      </c>
      <c r="F555" s="1" t="str">
        <f>IFERROR(__xludf.DUMMYFUNCTION("""COMPUTED_VALUE"""),"Male")</f>
        <v>Male</v>
      </c>
      <c r="G555" s="4" t="str">
        <f>IFERROR(__xludf.DUMMYFUNCTION("""COMPUTED_VALUE"""),"")</f>
        <v/>
      </c>
      <c r="H555" s="4" t="b">
        <f>IFERROR(__xludf.DUMMYFUNCTION("""COMPUTED_VALUE"""),FALSE)</f>
        <v>0</v>
      </c>
      <c r="I555" s="4">
        <f>IFERROR(__xludf.DUMMYFUNCTION("""COMPUTED_VALUE"""),0.24646185185185185)</f>
        <v>0.2464618519</v>
      </c>
      <c r="J555" s="4" t="str">
        <f>IFERROR(__xludf.DUMMYFUNCTION("""COMPUTED_VALUE"""),"")</f>
        <v/>
      </c>
      <c r="K555" s="4" t="str">
        <f>IFERROR(__xludf.DUMMYFUNCTION("""COMPUTED_VALUE"""),"")</f>
        <v/>
      </c>
      <c r="L555" s="4" t="str">
        <f>IFERROR(__xludf.DUMMYFUNCTION("""COMPUTED_VALUE"""),"")</f>
        <v/>
      </c>
      <c r="M555" s="1" t="str">
        <f>IFERROR(__xludf.DUMMYFUNCTION("""COMPUTED_VALUE"""),"RFID")</f>
        <v>RFID</v>
      </c>
      <c r="N555" s="5" t="str">
        <f>IFERROR(__xludf.DUMMYFUNCTION("""COMPUTED_VALUE"""),"")</f>
        <v/>
      </c>
      <c r="O555" s="5" t="str">
        <f>IFERROR(__xludf.DUMMYFUNCTION("""COMPUTED_VALUE"""),"")</f>
        <v/>
      </c>
      <c r="P555" s="5" t="str">
        <f>IFERROR(__xludf.DUMMYFUNCTION("""COMPUTED_VALUE"""),"")</f>
        <v/>
      </c>
      <c r="Q555" s="5" t="str">
        <f>IFERROR(__xludf.DUMMYFUNCTION("""COMPUTED_VALUE"""),"")</f>
        <v/>
      </c>
      <c r="R555" s="4" t="str">
        <f>IFERROR(__xludf.DUMMYFUNCTION("""COMPUTED_VALUE"""),"")</f>
        <v/>
      </c>
      <c r="S555" s="1" t="b">
        <f>IFERROR(__xludf.DUMMYFUNCTION("""COMPUTED_VALUE"""),FALSE)</f>
        <v>0</v>
      </c>
      <c r="T555" s="1" t="b">
        <f>IFERROR(__xludf.DUMMYFUNCTION("""COMPUTED_VALUE"""),FALSE)</f>
        <v>0</v>
      </c>
      <c r="U555" s="1" t="str">
        <f>IFERROR(__xludf.DUMMYFUNCTION("""COMPUTED_VALUE"""),"DSQ")</f>
        <v>DSQ</v>
      </c>
      <c r="V555" s="1" t="str">
        <f>IFERROR(__xludf.DUMMYFUNCTION("""COMPUTED_VALUE"""),"DSQ")</f>
        <v>DSQ</v>
      </c>
      <c r="W555" s="1" t="str">
        <f>IFERROR(__xludf.DUMMYFUNCTION("""COMPUTED_VALUE"""),"DSQ")</f>
        <v>DSQ</v>
      </c>
      <c r="X555" s="1" t="str">
        <f>IFERROR(__xludf.DUMMYFUNCTION("""COMPUTED_VALUE"""),"DSQ")</f>
        <v>DSQ</v>
      </c>
      <c r="Y555" s="2"/>
      <c r="Z555" s="2" t="str">
        <f>IFERROR(__xludf.DUMMYFUNCTION("""COMPUTED_VALUE"""),"")</f>
        <v/>
      </c>
    </row>
    <row r="556">
      <c r="A556" s="1">
        <f>IFERROR(__xludf.DUMMYFUNCTION("""COMPUTED_VALUE"""),555.0)</f>
        <v>555</v>
      </c>
      <c r="B556" s="1">
        <f>IFERROR(__xludf.DUMMYFUNCTION("""COMPUTED_VALUE"""),10426.0)</f>
        <v>10426</v>
      </c>
      <c r="C556" s="2" t="str">
        <f>IFERROR(__xludf.DUMMYFUNCTION("""COMPUTED_VALUE"""),"ZIKRI")</f>
        <v>ZIKRI</v>
      </c>
      <c r="D556" s="2" t="str">
        <f>IFERROR(__xludf.DUMMYFUNCTION("""COMPUTED_VALUE"""),"10KM OVERALL M")</f>
        <v>10KM OVERALL M</v>
      </c>
      <c r="E556" s="1">
        <f>IFERROR(__xludf.DUMMYFUNCTION("""COMPUTED_VALUE"""),1.0)</f>
        <v>1</v>
      </c>
      <c r="F556" s="1" t="str">
        <f>IFERROR(__xludf.DUMMYFUNCTION("""COMPUTED_VALUE"""),"Male")</f>
        <v>Male</v>
      </c>
      <c r="G556" s="4" t="b">
        <f>IFERROR(__xludf.DUMMYFUNCTION("""COMPUTED_VALUE"""),TRUE)</f>
        <v>1</v>
      </c>
      <c r="H556" s="4" t="b">
        <f>IFERROR(__xludf.DUMMYFUNCTION("""COMPUTED_VALUE"""),FALSE)</f>
        <v>0</v>
      </c>
      <c r="I556" s="4">
        <f>IFERROR(__xludf.DUMMYFUNCTION("""COMPUTED_VALUE"""),0.24646185185185185)</f>
        <v>0.2464618519</v>
      </c>
      <c r="J556" s="4">
        <f>IFERROR(__xludf.DUMMYFUNCTION("""COMPUTED_VALUE"""),45949.25680098847)</f>
        <v>45949.2568</v>
      </c>
      <c r="K556" s="4">
        <f>IFERROR(__xludf.DUMMYFUNCTION("""COMPUTED_VALUE"""),45949.284939890546)</f>
        <v>45949.28494</v>
      </c>
      <c r="L556" s="4">
        <f>IFERROR(__xludf.DUMMYFUNCTION("""COMPUTED_VALUE"""),45949.293803647626)</f>
        <v>45949.2938</v>
      </c>
      <c r="M556" s="1" t="str">
        <f>IFERROR(__xludf.DUMMYFUNCTION("""COMPUTED_VALUE"""),"RFID")</f>
        <v>RFID</v>
      </c>
      <c r="N556" s="5">
        <f>IFERROR(__xludf.DUMMYFUNCTION("""COMPUTED_VALUE"""),0.004135652777777778)</f>
        <v>0.004135652778</v>
      </c>
      <c r="O556" s="5">
        <f>IFERROR(__xludf.DUMMYFUNCTION("""COMPUTED_VALUE"""),0.011255560185185186)</f>
        <v>0.01125556019</v>
      </c>
      <c r="P556" s="5">
        <f>IFERROR(__xludf.DUMMYFUNCTION("""COMPUTED_VALUE"""),0.0036476366587199745)</f>
        <v>0.003647636659</v>
      </c>
      <c r="Q556" s="5">
        <f>IFERROR(__xludf.DUMMYFUNCTION("""COMPUTED_VALUE"""),0.004734179398148149)</f>
        <v>0.004734179398</v>
      </c>
      <c r="R556" s="4">
        <f>IFERROR(__xludf.DUMMYFUNCTION("""COMPUTED_VALUE"""),45949.04734179578)</f>
        <v>45949.04734</v>
      </c>
      <c r="S556" s="1" t="b">
        <f>IFERROR(__xludf.DUMMYFUNCTION("""COMPUTED_VALUE"""),TRUE)</f>
        <v>1</v>
      </c>
      <c r="T556" s="1" t="b">
        <f>IFERROR(__xludf.DUMMYFUNCTION("""COMPUTED_VALUE"""),FALSE)</f>
        <v>0</v>
      </c>
      <c r="U556" s="1" t="str">
        <f>IFERROR(__xludf.DUMMYFUNCTION("""COMPUTED_VALUE"""),"VALID")</f>
        <v>VALID</v>
      </c>
      <c r="V556" s="1">
        <f>IFERROR(__xludf.DUMMYFUNCTION("""COMPUTED_VALUE"""),269.0)</f>
        <v>269</v>
      </c>
      <c r="W556" s="1">
        <f>IFERROR(__xludf.DUMMYFUNCTION("""COMPUTED_VALUE"""),320.0)</f>
        <v>320</v>
      </c>
      <c r="X556" s="1">
        <f>IFERROR(__xludf.DUMMYFUNCTION("""COMPUTED_VALUE"""),1278.0)</f>
        <v>1278</v>
      </c>
      <c r="Y556" s="2"/>
      <c r="Z556" s="2"/>
    </row>
    <row r="557">
      <c r="A557" s="1">
        <f>IFERROR(__xludf.DUMMYFUNCTION("""COMPUTED_VALUE"""),556.0)</f>
        <v>556</v>
      </c>
      <c r="B557" s="1">
        <f>IFERROR(__xludf.DUMMYFUNCTION("""COMPUTED_VALUE"""),10427.0)</f>
        <v>10427</v>
      </c>
      <c r="C557" s="2" t="str">
        <f>IFERROR(__xludf.DUMMYFUNCTION("""COMPUTED_VALUE"""),"NABIL'S")</f>
        <v>NABIL'S</v>
      </c>
      <c r="D557" s="2" t="str">
        <f>IFERROR(__xludf.DUMMYFUNCTION("""COMPUTED_VALUE"""),"10KM OVERALL M")</f>
        <v>10KM OVERALL M</v>
      </c>
      <c r="E557" s="1">
        <f>IFERROR(__xludf.DUMMYFUNCTION("""COMPUTED_VALUE"""),1.0)</f>
        <v>1</v>
      </c>
      <c r="F557" s="1" t="str">
        <f>IFERROR(__xludf.DUMMYFUNCTION("""COMPUTED_VALUE"""),"Male")</f>
        <v>Male</v>
      </c>
      <c r="G557" s="4" t="b">
        <f>IFERROR(__xludf.DUMMYFUNCTION("""COMPUTED_VALUE"""),TRUE)</f>
        <v>1</v>
      </c>
      <c r="H557" s="4" t="b">
        <f>IFERROR(__xludf.DUMMYFUNCTION("""COMPUTED_VALUE"""),FALSE)</f>
        <v>0</v>
      </c>
      <c r="I557" s="4">
        <f>IFERROR(__xludf.DUMMYFUNCTION("""COMPUTED_VALUE"""),0.24646185185185185)</f>
        <v>0.2464618519</v>
      </c>
      <c r="J557" s="4">
        <f>IFERROR(__xludf.DUMMYFUNCTION("""COMPUTED_VALUE"""),45949.25744341514)</f>
        <v>45949.25744</v>
      </c>
      <c r="K557" s="4">
        <f>IFERROR(__xludf.DUMMYFUNCTION("""COMPUTED_VALUE"""),45949.289571759255)</f>
        <v>45949.28957</v>
      </c>
      <c r="L557" s="4">
        <f>IFERROR(__xludf.DUMMYFUNCTION("""COMPUTED_VALUE"""),45949.29869600735)</f>
        <v>45949.2987</v>
      </c>
      <c r="M557" s="1" t="str">
        <f>IFERROR(__xludf.DUMMYFUNCTION("""COMPUTED_VALUE"""),"RFID")</f>
        <v>RFID</v>
      </c>
      <c r="N557" s="5">
        <f>IFERROR(__xludf.DUMMYFUNCTION("""COMPUTED_VALUE"""),0.004392625)</f>
        <v>0.004392625</v>
      </c>
      <c r="O557" s="5">
        <f>IFERROR(__xludf.DUMMYFUNCTION("""COMPUTED_VALUE"""),0.012851337962962964)</f>
        <v>0.01285133796</v>
      </c>
      <c r="P557" s="5">
        <f>IFERROR(__xludf.DUMMYFUNCTION("""COMPUTED_VALUE"""),0.003754834605811102)</f>
        <v>0.003754834606</v>
      </c>
      <c r="Q557" s="5">
        <f>IFERROR(__xludf.DUMMYFUNCTION("""COMPUTED_VALUE"""),0.005223415509259259)</f>
        <v>0.005223415509</v>
      </c>
      <c r="R557" s="4">
        <f>IFERROR(__xludf.DUMMYFUNCTION("""COMPUTED_VALUE"""),45949.0522341555)</f>
        <v>45949.05223</v>
      </c>
      <c r="S557" s="1" t="b">
        <f>IFERROR(__xludf.DUMMYFUNCTION("""COMPUTED_VALUE"""),TRUE)</f>
        <v>1</v>
      </c>
      <c r="T557" s="1" t="b">
        <f>IFERROR(__xludf.DUMMYFUNCTION("""COMPUTED_VALUE"""),FALSE)</f>
        <v>0</v>
      </c>
      <c r="U557" s="1" t="str">
        <f>IFERROR(__xludf.DUMMYFUNCTION("""COMPUTED_VALUE"""),"VALID")</f>
        <v>VALID</v>
      </c>
      <c r="V557" s="1">
        <f>IFERROR(__xludf.DUMMYFUNCTION("""COMPUTED_VALUE"""),391.0)</f>
        <v>391</v>
      </c>
      <c r="W557" s="1">
        <f>IFERROR(__xludf.DUMMYFUNCTION("""COMPUTED_VALUE"""),464.0)</f>
        <v>464</v>
      </c>
      <c r="X557" s="1">
        <f>IFERROR(__xludf.DUMMYFUNCTION("""COMPUTED_VALUE"""),1441.0)</f>
        <v>1441</v>
      </c>
      <c r="Y557" s="2"/>
      <c r="Z557" s="2"/>
    </row>
    <row r="558">
      <c r="A558" s="1">
        <f>IFERROR(__xludf.DUMMYFUNCTION("""COMPUTED_VALUE"""),557.0)</f>
        <v>557</v>
      </c>
      <c r="B558" s="1">
        <f>IFERROR(__xludf.DUMMYFUNCTION("""COMPUTED_VALUE"""),10428.0)</f>
        <v>10428</v>
      </c>
      <c r="C558" s="2" t="str">
        <f>IFERROR(__xludf.DUMMYFUNCTION("""COMPUTED_VALUE"""),"VIGOR")</f>
        <v>VIGOR</v>
      </c>
      <c r="D558" s="2" t="str">
        <f>IFERROR(__xludf.DUMMYFUNCTION("""COMPUTED_VALUE"""),"10KM OVERALL M")</f>
        <v>10KM OVERALL M</v>
      </c>
      <c r="E558" s="1">
        <f>IFERROR(__xludf.DUMMYFUNCTION("""COMPUTED_VALUE"""),1.0)</f>
        <v>1</v>
      </c>
      <c r="F558" s="1" t="str">
        <f>IFERROR(__xludf.DUMMYFUNCTION("""COMPUTED_VALUE"""),"Male")</f>
        <v>Male</v>
      </c>
      <c r="G558" s="4" t="str">
        <f>IFERROR(__xludf.DUMMYFUNCTION("""COMPUTED_VALUE"""),"")</f>
        <v/>
      </c>
      <c r="H558" s="4" t="b">
        <f>IFERROR(__xludf.DUMMYFUNCTION("""COMPUTED_VALUE"""),FALSE)</f>
        <v>0</v>
      </c>
      <c r="I558" s="4">
        <f>IFERROR(__xludf.DUMMYFUNCTION("""COMPUTED_VALUE"""),0.24646185185185185)</f>
        <v>0.2464618519</v>
      </c>
      <c r="J558" s="4" t="str">
        <f>IFERROR(__xludf.DUMMYFUNCTION("""COMPUTED_VALUE"""),"")</f>
        <v/>
      </c>
      <c r="K558" s="4" t="str">
        <f>IFERROR(__xludf.DUMMYFUNCTION("""COMPUTED_VALUE"""),"")</f>
        <v/>
      </c>
      <c r="L558" s="4" t="str">
        <f>IFERROR(__xludf.DUMMYFUNCTION("""COMPUTED_VALUE"""),"")</f>
        <v/>
      </c>
      <c r="M558" s="1" t="str">
        <f>IFERROR(__xludf.DUMMYFUNCTION("""COMPUTED_VALUE"""),"RFID")</f>
        <v>RFID</v>
      </c>
      <c r="N558" s="5" t="str">
        <f>IFERROR(__xludf.DUMMYFUNCTION("""COMPUTED_VALUE"""),"")</f>
        <v/>
      </c>
      <c r="O558" s="5" t="str">
        <f>IFERROR(__xludf.DUMMYFUNCTION("""COMPUTED_VALUE"""),"")</f>
        <v/>
      </c>
      <c r="P558" s="5" t="str">
        <f>IFERROR(__xludf.DUMMYFUNCTION("""COMPUTED_VALUE"""),"")</f>
        <v/>
      </c>
      <c r="Q558" s="5" t="str">
        <f>IFERROR(__xludf.DUMMYFUNCTION("""COMPUTED_VALUE"""),"")</f>
        <v/>
      </c>
      <c r="R558" s="4" t="str">
        <f>IFERROR(__xludf.DUMMYFUNCTION("""COMPUTED_VALUE"""),"")</f>
        <v/>
      </c>
      <c r="S558" s="1" t="b">
        <f>IFERROR(__xludf.DUMMYFUNCTION("""COMPUTED_VALUE"""),FALSE)</f>
        <v>0</v>
      </c>
      <c r="T558" s="1" t="b">
        <f>IFERROR(__xludf.DUMMYFUNCTION("""COMPUTED_VALUE"""),FALSE)</f>
        <v>0</v>
      </c>
      <c r="U558" s="1" t="str">
        <f>IFERROR(__xludf.DUMMYFUNCTION("""COMPUTED_VALUE"""),"DSQ")</f>
        <v>DSQ</v>
      </c>
      <c r="V558" s="1" t="str">
        <f>IFERROR(__xludf.DUMMYFUNCTION("""COMPUTED_VALUE"""),"DSQ")</f>
        <v>DSQ</v>
      </c>
      <c r="W558" s="1" t="str">
        <f>IFERROR(__xludf.DUMMYFUNCTION("""COMPUTED_VALUE"""),"DSQ")</f>
        <v>DSQ</v>
      </c>
      <c r="X558" s="1" t="str">
        <f>IFERROR(__xludf.DUMMYFUNCTION("""COMPUTED_VALUE"""),"DSQ")</f>
        <v>DSQ</v>
      </c>
      <c r="Y558" s="2"/>
      <c r="Z558" s="2" t="str">
        <f>IFERROR(__xludf.DUMMYFUNCTION("""COMPUTED_VALUE"""),"")</f>
        <v/>
      </c>
    </row>
    <row r="559">
      <c r="A559" s="1">
        <f>IFERROR(__xludf.DUMMYFUNCTION("""COMPUTED_VALUE"""),558.0)</f>
        <v>558</v>
      </c>
      <c r="B559" s="1">
        <f>IFERROR(__xludf.DUMMYFUNCTION("""COMPUTED_VALUE"""),10430.0)</f>
        <v>10430</v>
      </c>
      <c r="C559" s="2" t="str">
        <f>IFERROR(__xludf.DUMMYFUNCTION("""COMPUTED_VALUE"""),"SpiderBay")</f>
        <v>SpiderBay</v>
      </c>
      <c r="D559" s="2" t="str">
        <f>IFERROR(__xludf.DUMMYFUNCTION("""COMPUTED_VALUE"""),"10KM OVERALL M")</f>
        <v>10KM OVERALL M</v>
      </c>
      <c r="E559" s="1">
        <f>IFERROR(__xludf.DUMMYFUNCTION("""COMPUTED_VALUE"""),1.0)</f>
        <v>1</v>
      </c>
      <c r="F559" s="1" t="str">
        <f>IFERROR(__xludf.DUMMYFUNCTION("""COMPUTED_VALUE"""),"Male")</f>
        <v>Male</v>
      </c>
      <c r="G559" s="4" t="b">
        <f>IFERROR(__xludf.DUMMYFUNCTION("""COMPUTED_VALUE"""),TRUE)</f>
        <v>1</v>
      </c>
      <c r="H559" s="4" t="b">
        <f>IFERROR(__xludf.DUMMYFUNCTION("""COMPUTED_VALUE"""),TRUE)</f>
        <v>1</v>
      </c>
      <c r="I559" s="4">
        <f>IFERROR(__xludf.DUMMYFUNCTION("""COMPUTED_VALUE"""),0.24646185185185185)</f>
        <v>0.2464618519</v>
      </c>
      <c r="J559" s="4">
        <f>IFERROR(__xludf.DUMMYFUNCTION("""COMPUTED_VALUE"""),45949.255016275034)</f>
        <v>45949.25502</v>
      </c>
      <c r="K559" s="4">
        <f>IFERROR(__xludf.DUMMYFUNCTION("""COMPUTED_VALUE"""),45949.27496927443)</f>
        <v>45949.27497</v>
      </c>
      <c r="L559" s="4">
        <f>IFERROR(__xludf.DUMMYFUNCTION("""COMPUTED_VALUE"""),45949.28045639774)</f>
        <v>45949.28046</v>
      </c>
      <c r="M559" s="1" t="str">
        <f>IFERROR(__xludf.DUMMYFUNCTION("""COMPUTED_VALUE"""),"RFID")</f>
        <v>RFID</v>
      </c>
      <c r="N559" s="5">
        <f>IFERROR(__xludf.DUMMYFUNCTION("""COMPUTED_VALUE"""),0.0034217685185185184)</f>
        <v>0.003421768519</v>
      </c>
      <c r="O559" s="5">
        <f>IFERROR(__xludf.DUMMYFUNCTION("""COMPUTED_VALUE"""),0.007981199074074075)</f>
        <v>0.007981199074</v>
      </c>
      <c r="P559" s="5">
        <f>IFERROR(__xludf.DUMMYFUNCTION("""COMPUTED_VALUE"""),0.0022580754353210652)</f>
        <v>0.002258075435</v>
      </c>
      <c r="Q559" s="5">
        <f>IFERROR(__xludf.DUMMYFUNCTION("""COMPUTED_VALUE"""),0.0033994548611111113)</f>
        <v>0.003399454861</v>
      </c>
      <c r="R559" s="4">
        <f>IFERROR(__xludf.DUMMYFUNCTION("""COMPUTED_VALUE"""),45949.03399454589)</f>
        <v>45949.03399</v>
      </c>
      <c r="S559" s="1" t="b">
        <f>IFERROR(__xludf.DUMMYFUNCTION("""COMPUTED_VALUE"""),TRUE)</f>
        <v>1</v>
      </c>
      <c r="T559" s="1" t="b">
        <f>IFERROR(__xludf.DUMMYFUNCTION("""COMPUTED_VALUE"""),FALSE)</f>
        <v>0</v>
      </c>
      <c r="U559" s="1" t="str">
        <f>IFERROR(__xludf.DUMMYFUNCTION("""COMPUTED_VALUE"""),"VALID")</f>
        <v>VALID</v>
      </c>
      <c r="V559" s="1">
        <f>IFERROR(__xludf.DUMMYFUNCTION("""COMPUTED_VALUE"""),24.0)</f>
        <v>24</v>
      </c>
      <c r="W559" s="1">
        <f>IFERROR(__xludf.DUMMYFUNCTION("""COMPUTED_VALUE"""),32.0)</f>
        <v>32</v>
      </c>
      <c r="X559" s="1">
        <f>IFERROR(__xludf.DUMMYFUNCTION("""COMPUTED_VALUE"""),689.0)</f>
        <v>689</v>
      </c>
      <c r="Y559" s="2"/>
      <c r="Z559" s="2"/>
    </row>
    <row r="560">
      <c r="A560" s="1">
        <f>IFERROR(__xludf.DUMMYFUNCTION("""COMPUTED_VALUE"""),559.0)</f>
        <v>559</v>
      </c>
      <c r="B560" s="1">
        <f>IFERROR(__xludf.DUMMYFUNCTION("""COMPUTED_VALUE"""),10431.0)</f>
        <v>10431</v>
      </c>
      <c r="C560" s="2" t="str">
        <f>IFERROR(__xludf.DUMMYFUNCTION("""COMPUTED_VALUE"""),"Spiderboyy11")</f>
        <v>Spiderboyy11</v>
      </c>
      <c r="D560" s="2" t="str">
        <f>IFERROR(__xludf.DUMMYFUNCTION("""COMPUTED_VALUE"""),"10KM OVERALL M")</f>
        <v>10KM OVERALL M</v>
      </c>
      <c r="E560" s="1">
        <f>IFERROR(__xludf.DUMMYFUNCTION("""COMPUTED_VALUE"""),1.0)</f>
        <v>1</v>
      </c>
      <c r="F560" s="1" t="str">
        <f>IFERROR(__xludf.DUMMYFUNCTION("""COMPUTED_VALUE"""),"Male")</f>
        <v>Male</v>
      </c>
      <c r="G560" s="4" t="b">
        <f>IFERROR(__xludf.DUMMYFUNCTION("""COMPUTED_VALUE"""),TRUE)</f>
        <v>1</v>
      </c>
      <c r="H560" s="4" t="b">
        <f>IFERROR(__xludf.DUMMYFUNCTION("""COMPUTED_VALUE"""),FALSE)</f>
        <v>0</v>
      </c>
      <c r="I560" s="4">
        <f>IFERROR(__xludf.DUMMYFUNCTION("""COMPUTED_VALUE"""),0.24646185185185185)</f>
        <v>0.2464618519</v>
      </c>
      <c r="J560" s="4">
        <f>IFERROR(__xludf.DUMMYFUNCTION("""COMPUTED_VALUE"""),45949.25586354734)</f>
        <v>45949.25586</v>
      </c>
      <c r="K560" s="4">
        <f>IFERROR(__xludf.DUMMYFUNCTION("""COMPUTED_VALUE"""),45949.27679912876)</f>
        <v>45949.2768</v>
      </c>
      <c r="L560" s="4">
        <f>IFERROR(__xludf.DUMMYFUNCTION("""COMPUTED_VALUE"""),45949.282650865796)</f>
        <v>45949.28265</v>
      </c>
      <c r="M560" s="1" t="str">
        <f>IFERROR(__xludf.DUMMYFUNCTION("""COMPUTED_VALUE"""),"RFID")</f>
        <v>RFID</v>
      </c>
      <c r="N560" s="5">
        <f>IFERROR(__xludf.DUMMYFUNCTION("""COMPUTED_VALUE"""),0.0037606759259259264)</f>
        <v>0.003760675926</v>
      </c>
      <c r="O560" s="5">
        <f>IFERROR(__xludf.DUMMYFUNCTION("""COMPUTED_VALUE"""),0.00837423148148148)</f>
        <v>0.008374231481</v>
      </c>
      <c r="P560" s="5">
        <f>IFERROR(__xludf.DUMMYFUNCTION("""COMPUTED_VALUE"""),0.0024081222363747656)</f>
        <v>0.002408122236</v>
      </c>
      <c r="Q560" s="5">
        <f>IFERROR(__xludf.DUMMYFUNCTION("""COMPUTED_VALUE"""),0.0036189016203703704)</f>
        <v>0.00361890162</v>
      </c>
      <c r="R560" s="4">
        <f>IFERROR(__xludf.DUMMYFUNCTION("""COMPUTED_VALUE"""),45949.03618901395)</f>
        <v>45949.03619</v>
      </c>
      <c r="S560" s="1" t="b">
        <f>IFERROR(__xludf.DUMMYFUNCTION("""COMPUTED_VALUE"""),TRUE)</f>
        <v>1</v>
      </c>
      <c r="T560" s="1" t="b">
        <f>IFERROR(__xludf.DUMMYFUNCTION("""COMPUTED_VALUE"""),FALSE)</f>
        <v>0</v>
      </c>
      <c r="U560" s="1" t="str">
        <f>IFERROR(__xludf.DUMMYFUNCTION("""COMPUTED_VALUE"""),"VALID")</f>
        <v>VALID</v>
      </c>
      <c r="V560" s="1">
        <f>IFERROR(__xludf.DUMMYFUNCTION("""COMPUTED_VALUE"""),45.0)</f>
        <v>45</v>
      </c>
      <c r="W560" s="1">
        <f>IFERROR(__xludf.DUMMYFUNCTION("""COMPUTED_VALUE"""),57.0)</f>
        <v>57</v>
      </c>
      <c r="X560" s="1">
        <f>IFERROR(__xludf.DUMMYFUNCTION("""COMPUTED_VALUE"""),786.0)</f>
        <v>786</v>
      </c>
      <c r="Y560" s="2"/>
      <c r="Z560" s="2"/>
    </row>
    <row r="561">
      <c r="A561" s="1">
        <f>IFERROR(__xludf.DUMMYFUNCTION("""COMPUTED_VALUE"""),560.0)</f>
        <v>560</v>
      </c>
      <c r="B561" s="1">
        <f>IFERROR(__xludf.DUMMYFUNCTION("""COMPUTED_VALUE"""),10432.0)</f>
        <v>10432</v>
      </c>
      <c r="C561" s="2" t="str">
        <f>IFERROR(__xludf.DUMMYFUNCTION("""COMPUTED_VALUE"""),"Agus Thoriq")</f>
        <v>Agus Thoriq</v>
      </c>
      <c r="D561" s="2" t="str">
        <f>IFERROR(__xludf.DUMMYFUNCTION("""COMPUTED_VALUE"""),"10KM OVERALL M")</f>
        <v>10KM OVERALL M</v>
      </c>
      <c r="E561" s="1">
        <f>IFERROR(__xludf.DUMMYFUNCTION("""COMPUTED_VALUE"""),1.0)</f>
        <v>1</v>
      </c>
      <c r="F561" s="1" t="str">
        <f>IFERROR(__xludf.DUMMYFUNCTION("""COMPUTED_VALUE"""),"Male")</f>
        <v>Male</v>
      </c>
      <c r="G561" s="4" t="b">
        <f>IFERROR(__xludf.DUMMYFUNCTION("""COMPUTED_VALUE"""),TRUE)</f>
        <v>1</v>
      </c>
      <c r="H561" s="4" t="b">
        <f>IFERROR(__xludf.DUMMYFUNCTION("""COMPUTED_VALUE"""),TRUE)</f>
        <v>1</v>
      </c>
      <c r="I561" s="4">
        <f>IFERROR(__xludf.DUMMYFUNCTION("""COMPUTED_VALUE"""),0.24646185185185185)</f>
        <v>0.2464618519</v>
      </c>
      <c r="J561" s="4">
        <f>IFERROR(__xludf.DUMMYFUNCTION("""COMPUTED_VALUE"""),45949.25832536312)</f>
        <v>45949.25833</v>
      </c>
      <c r="K561" s="4">
        <f>IFERROR(__xludf.DUMMYFUNCTION("""COMPUTED_VALUE"""),45949.292940103776)</f>
        <v>45949.29294</v>
      </c>
      <c r="L561" s="4">
        <f>IFERROR(__xludf.DUMMYFUNCTION("""COMPUTED_VALUE"""),45949.303018924395)</f>
        <v>45949.30302</v>
      </c>
      <c r="M561" s="1" t="str">
        <f>IFERROR(__xludf.DUMMYFUNCTION("""COMPUTED_VALUE"""),"RFID")</f>
        <v>RFID</v>
      </c>
      <c r="N561" s="5">
        <f>IFERROR(__xludf.DUMMYFUNCTION("""COMPUTED_VALUE"""),0.004745402777777778)</f>
        <v>0.004745402778</v>
      </c>
      <c r="O561" s="5">
        <f>IFERROR(__xludf.DUMMYFUNCTION("""COMPUTED_VALUE"""),0.013845898148148147)</f>
        <v>0.01384589815</v>
      </c>
      <c r="P561" s="5">
        <f>IFERROR(__xludf.DUMMYFUNCTION("""COMPUTED_VALUE"""),0.004147662805851334)</f>
        <v>0.004147662806</v>
      </c>
      <c r="Q561" s="5">
        <f>IFERROR(__xludf.DUMMYFUNCTION("""COMPUTED_VALUE"""),0.005655707175925926)</f>
        <v>0.005655707176</v>
      </c>
      <c r="R561" s="4">
        <f>IFERROR(__xludf.DUMMYFUNCTION("""COMPUTED_VALUE"""),45949.056557072545)</f>
        <v>45949.05656</v>
      </c>
      <c r="S561" s="1" t="b">
        <f>IFERROR(__xludf.DUMMYFUNCTION("""COMPUTED_VALUE"""),TRUE)</f>
        <v>1</v>
      </c>
      <c r="T561" s="1" t="b">
        <f>IFERROR(__xludf.DUMMYFUNCTION("""COMPUTED_VALUE"""),FALSE)</f>
        <v>0</v>
      </c>
      <c r="U561" s="1" t="str">
        <f>IFERROR(__xludf.DUMMYFUNCTION("""COMPUTED_VALUE"""),"VALID")</f>
        <v>VALID</v>
      </c>
      <c r="V561" s="1">
        <f>IFERROR(__xludf.DUMMYFUNCTION("""COMPUTED_VALUE"""),489.0)</f>
        <v>489</v>
      </c>
      <c r="W561" s="1">
        <f>IFERROR(__xludf.DUMMYFUNCTION("""COMPUTED_VALUE"""),587.0)</f>
        <v>587</v>
      </c>
      <c r="X561" s="1">
        <f>IFERROR(__xludf.DUMMYFUNCTION("""COMPUTED_VALUE"""),1557.0)</f>
        <v>1557</v>
      </c>
      <c r="Y561" s="2"/>
      <c r="Z561" s="2"/>
    </row>
    <row r="562">
      <c r="A562" s="1">
        <f>IFERROR(__xludf.DUMMYFUNCTION("""COMPUTED_VALUE"""),561.0)</f>
        <v>561</v>
      </c>
      <c r="B562" s="1">
        <f>IFERROR(__xludf.DUMMYFUNCTION("""COMPUTED_VALUE"""),10433.0)</f>
        <v>10433</v>
      </c>
      <c r="C562" s="2" t="str">
        <f>IFERROR(__xludf.DUMMYFUNCTION("""COMPUTED_VALUE"""),"AHMAD SEPTIAN")</f>
        <v>AHMAD SEPTIAN</v>
      </c>
      <c r="D562" s="2" t="str">
        <f>IFERROR(__xludf.DUMMYFUNCTION("""COMPUTED_VALUE"""),"10KM OVERALL M")</f>
        <v>10KM OVERALL M</v>
      </c>
      <c r="E562" s="1">
        <f>IFERROR(__xludf.DUMMYFUNCTION("""COMPUTED_VALUE"""),1.0)</f>
        <v>1</v>
      </c>
      <c r="F562" s="1" t="str">
        <f>IFERROR(__xludf.DUMMYFUNCTION("""COMPUTED_VALUE"""),"Male")</f>
        <v>Male</v>
      </c>
      <c r="G562" s="4" t="b">
        <f>IFERROR(__xludf.DUMMYFUNCTION("""COMPUTED_VALUE"""),TRUE)</f>
        <v>1</v>
      </c>
      <c r="H562" s="4" t="b">
        <f>IFERROR(__xludf.DUMMYFUNCTION("""COMPUTED_VALUE"""),FALSE)</f>
        <v>0</v>
      </c>
      <c r="I562" s="4">
        <f>IFERROR(__xludf.DUMMYFUNCTION("""COMPUTED_VALUE"""),0.24646185185185185)</f>
        <v>0.2464618519</v>
      </c>
      <c r="J562" s="4">
        <f>IFERROR(__xludf.DUMMYFUNCTION("""COMPUTED_VALUE"""),45949.254623973844)</f>
        <v>45949.25462</v>
      </c>
      <c r="K562" s="4">
        <f>IFERROR(__xludf.DUMMYFUNCTION("""COMPUTED_VALUE"""),45949.277427618756)</f>
        <v>45949.27743</v>
      </c>
      <c r="L562" s="4">
        <f>IFERROR(__xludf.DUMMYFUNCTION("""COMPUTED_VALUE"""),45949.28394652298)</f>
        <v>45949.28395</v>
      </c>
      <c r="M562" s="1" t="str">
        <f>IFERROR(__xludf.DUMMYFUNCTION("""COMPUTED_VALUE"""),"RFID")</f>
        <v>RFID</v>
      </c>
      <c r="N562" s="5">
        <f>IFERROR(__xludf.DUMMYFUNCTION("""COMPUTED_VALUE"""),0.0032648472222222224)</f>
        <v>0.003264847222</v>
      </c>
      <c r="O562" s="5">
        <f>IFERROR(__xludf.DUMMYFUNCTION("""COMPUTED_VALUE"""),0.009121458333333334)</f>
        <v>0.009121458333</v>
      </c>
      <c r="P562" s="5">
        <f>IFERROR(__xludf.DUMMYFUNCTION("""COMPUTED_VALUE"""),0.002682676634400577)</f>
        <v>0.002682676634</v>
      </c>
      <c r="Q562" s="5">
        <f>IFERROR(__xludf.DUMMYFUNCTION("""COMPUTED_VALUE"""),0.0037484675925925927)</f>
        <v>0.003748467593</v>
      </c>
      <c r="R562" s="4">
        <f>IFERROR(__xludf.DUMMYFUNCTION("""COMPUTED_VALUE"""),45949.03748467113)</f>
        <v>45949.03748</v>
      </c>
      <c r="S562" s="1" t="b">
        <f>IFERROR(__xludf.DUMMYFUNCTION("""COMPUTED_VALUE"""),TRUE)</f>
        <v>1</v>
      </c>
      <c r="T562" s="1" t="b">
        <f>IFERROR(__xludf.DUMMYFUNCTION("""COMPUTED_VALUE"""),FALSE)</f>
        <v>0</v>
      </c>
      <c r="U562" s="1" t="str">
        <f>IFERROR(__xludf.DUMMYFUNCTION("""COMPUTED_VALUE"""),"VALID")</f>
        <v>VALID</v>
      </c>
      <c r="V562" s="1">
        <f>IFERROR(__xludf.DUMMYFUNCTION("""COMPUTED_VALUE"""),62.0)</f>
        <v>62</v>
      </c>
      <c r="W562" s="1">
        <f>IFERROR(__xludf.DUMMYFUNCTION("""COMPUTED_VALUE"""),74.0)</f>
        <v>74</v>
      </c>
      <c r="X562" s="1">
        <f>IFERROR(__xludf.DUMMYFUNCTION("""COMPUTED_VALUE"""),843.0)</f>
        <v>843</v>
      </c>
      <c r="Y562" s="2"/>
      <c r="Z562" s="2"/>
    </row>
    <row r="563">
      <c r="A563" s="1">
        <f>IFERROR(__xludf.DUMMYFUNCTION("""COMPUTED_VALUE"""),562.0)</f>
        <v>562</v>
      </c>
      <c r="B563" s="1">
        <f>IFERROR(__xludf.DUMMYFUNCTION("""COMPUTED_VALUE"""),10434.0)</f>
        <v>10434</v>
      </c>
      <c r="C563" s="2" t="str">
        <f>IFERROR(__xludf.DUMMYFUNCTION("""COMPUTED_VALUE"""),"RAHIL AHYAN")</f>
        <v>RAHIL AHYAN</v>
      </c>
      <c r="D563" s="2" t="str">
        <f>IFERROR(__xludf.DUMMYFUNCTION("""COMPUTED_VALUE"""),"10KM OVERALL M")</f>
        <v>10KM OVERALL M</v>
      </c>
      <c r="E563" s="1">
        <f>IFERROR(__xludf.DUMMYFUNCTION("""COMPUTED_VALUE"""),1.0)</f>
        <v>1</v>
      </c>
      <c r="F563" s="1" t="str">
        <f>IFERROR(__xludf.DUMMYFUNCTION("""COMPUTED_VALUE"""),"Male")</f>
        <v>Male</v>
      </c>
      <c r="G563" s="4" t="b">
        <f>IFERROR(__xludf.DUMMYFUNCTION("""COMPUTED_VALUE"""),TRUE)</f>
        <v>1</v>
      </c>
      <c r="H563" s="4" t="b">
        <f>IFERROR(__xludf.DUMMYFUNCTION("""COMPUTED_VALUE"""),TRUE)</f>
        <v>1</v>
      </c>
      <c r="I563" s="4">
        <f>IFERROR(__xludf.DUMMYFUNCTION("""COMPUTED_VALUE"""),0.24646185185185185)</f>
        <v>0.2464618519</v>
      </c>
      <c r="J563" s="4">
        <f>IFERROR(__xludf.DUMMYFUNCTION("""COMPUTED_VALUE"""),45949.25551974274)</f>
        <v>45949.25552</v>
      </c>
      <c r="K563" s="4">
        <f>IFERROR(__xludf.DUMMYFUNCTION("""COMPUTED_VALUE"""),45949.27754566213)</f>
        <v>45949.27755</v>
      </c>
      <c r="L563" s="4">
        <f>IFERROR(__xludf.DUMMYFUNCTION("""COMPUTED_VALUE"""),45949.28408837074)</f>
        <v>45949.28409</v>
      </c>
      <c r="M563" s="1" t="str">
        <f>IFERROR(__xludf.DUMMYFUNCTION("""COMPUTED_VALUE"""),"RFID")</f>
        <v>RFID</v>
      </c>
      <c r="N563" s="5">
        <f>IFERROR(__xludf.DUMMYFUNCTION("""COMPUTED_VALUE"""),0.0036231574074074074)</f>
        <v>0.003623157407</v>
      </c>
      <c r="O563" s="5">
        <f>IFERROR(__xludf.DUMMYFUNCTION("""COMPUTED_VALUE"""),0.00881036574074074)</f>
        <v>0.008810365741</v>
      </c>
      <c r="P563" s="5">
        <f>IFERROR(__xludf.DUMMYFUNCTION("""COMPUTED_VALUE"""),0.002692472678321747)</f>
        <v>0.002692472678</v>
      </c>
      <c r="Q563" s="5">
        <f>IFERROR(__xludf.DUMMYFUNCTION("""COMPUTED_VALUE"""),0.0037626516203703706)</f>
        <v>0.00376265162</v>
      </c>
      <c r="R563" s="4">
        <f>IFERROR(__xludf.DUMMYFUNCTION("""COMPUTED_VALUE"""),45949.03762651889)</f>
        <v>45949.03763</v>
      </c>
      <c r="S563" s="1" t="b">
        <f>IFERROR(__xludf.DUMMYFUNCTION("""COMPUTED_VALUE"""),TRUE)</f>
        <v>1</v>
      </c>
      <c r="T563" s="1" t="b">
        <f>IFERROR(__xludf.DUMMYFUNCTION("""COMPUTED_VALUE"""),FALSE)</f>
        <v>0</v>
      </c>
      <c r="U563" s="1" t="str">
        <f>IFERROR(__xludf.DUMMYFUNCTION("""COMPUTED_VALUE"""),"VALID")</f>
        <v>VALID</v>
      </c>
      <c r="V563" s="1">
        <f>IFERROR(__xludf.DUMMYFUNCTION("""COMPUTED_VALUE"""),63.0)</f>
        <v>63</v>
      </c>
      <c r="W563" s="1">
        <f>IFERROR(__xludf.DUMMYFUNCTION("""COMPUTED_VALUE"""),75.0)</f>
        <v>75</v>
      </c>
      <c r="X563" s="1">
        <f>IFERROR(__xludf.DUMMYFUNCTION("""COMPUTED_VALUE"""),855.0)</f>
        <v>855</v>
      </c>
      <c r="Y563" s="2"/>
      <c r="Z563" s="2"/>
    </row>
    <row r="564">
      <c r="A564" s="1">
        <f>IFERROR(__xludf.DUMMYFUNCTION("""COMPUTED_VALUE"""),563.0)</f>
        <v>563</v>
      </c>
      <c r="B564" s="1">
        <f>IFERROR(__xludf.DUMMYFUNCTION("""COMPUTED_VALUE"""),10435.0)</f>
        <v>10435</v>
      </c>
      <c r="C564" s="2" t="str">
        <f>IFERROR(__xludf.DUMMYFUNCTION("""COMPUTED_VALUE"""),"DONY")</f>
        <v>DONY</v>
      </c>
      <c r="D564" s="2" t="str">
        <f>IFERROR(__xludf.DUMMYFUNCTION("""COMPUTED_VALUE"""),"10KM OVERALL M")</f>
        <v>10KM OVERALL M</v>
      </c>
      <c r="E564" s="1">
        <f>IFERROR(__xludf.DUMMYFUNCTION("""COMPUTED_VALUE"""),1.0)</f>
        <v>1</v>
      </c>
      <c r="F564" s="1" t="str">
        <f>IFERROR(__xludf.DUMMYFUNCTION("""COMPUTED_VALUE"""),"Male")</f>
        <v>Male</v>
      </c>
      <c r="G564" s="4" t="b">
        <f>IFERROR(__xludf.DUMMYFUNCTION("""COMPUTED_VALUE"""),TRUE)</f>
        <v>1</v>
      </c>
      <c r="H564" s="4" t="b">
        <f>IFERROR(__xludf.DUMMYFUNCTION("""COMPUTED_VALUE"""),FALSE)</f>
        <v>0</v>
      </c>
      <c r="I564" s="4">
        <f>IFERROR(__xludf.DUMMYFUNCTION("""COMPUTED_VALUE"""),0.24646185185185185)</f>
        <v>0.2464618519</v>
      </c>
      <c r="J564" s="4">
        <f>IFERROR(__xludf.DUMMYFUNCTION("""COMPUTED_VALUE"""),45949.259450298785)</f>
        <v>45949.25945</v>
      </c>
      <c r="K564" s="4">
        <f>IFERROR(__xludf.DUMMYFUNCTION("""COMPUTED_VALUE"""),45949.297269960145)</f>
        <v>45949.29727</v>
      </c>
      <c r="L564" s="4">
        <f>IFERROR(__xludf.DUMMYFUNCTION("""COMPUTED_VALUE"""),45949.30786615214)</f>
        <v>45949.30787</v>
      </c>
      <c r="M564" s="1" t="str">
        <f>IFERROR(__xludf.DUMMYFUNCTION("""COMPUTED_VALUE"""),"RFID")</f>
        <v>RFID</v>
      </c>
      <c r="N564" s="5">
        <f>IFERROR(__xludf.DUMMYFUNCTION("""COMPUTED_VALUE"""),0.00519537962962963)</f>
        <v>0.00519537963</v>
      </c>
      <c r="O564" s="5">
        <f>IFERROR(__xludf.DUMMYFUNCTION("""COMPUTED_VALUE"""),0.015127865740740742)</f>
        <v>0.01512786574</v>
      </c>
      <c r="P564" s="5">
        <f>IFERROR(__xludf.DUMMYFUNCTION("""COMPUTED_VALUE"""),0.0043605728387025875)</f>
        <v>0.004360572839</v>
      </c>
      <c r="Q564" s="5">
        <f>IFERROR(__xludf.DUMMYFUNCTION("""COMPUTED_VALUE"""),0.006140430555555556)</f>
        <v>0.006140430556</v>
      </c>
      <c r="R564" s="4">
        <f>IFERROR(__xludf.DUMMYFUNCTION("""COMPUTED_VALUE"""),45949.06140430029)</f>
        <v>45949.0614</v>
      </c>
      <c r="S564" s="1" t="b">
        <f>IFERROR(__xludf.DUMMYFUNCTION("""COMPUTED_VALUE"""),TRUE)</f>
        <v>1</v>
      </c>
      <c r="T564" s="1" t="b">
        <f>IFERROR(__xludf.DUMMYFUNCTION("""COMPUTED_VALUE"""),FALSE)</f>
        <v>0</v>
      </c>
      <c r="U564" s="1" t="str">
        <f>IFERROR(__xludf.DUMMYFUNCTION("""COMPUTED_VALUE"""),"VALID")</f>
        <v>VALID</v>
      </c>
      <c r="V564" s="1">
        <f>IFERROR(__xludf.DUMMYFUNCTION("""COMPUTED_VALUE"""),547.0)</f>
        <v>547</v>
      </c>
      <c r="W564" s="1">
        <f>IFERROR(__xludf.DUMMYFUNCTION("""COMPUTED_VALUE"""),672.0)</f>
        <v>672</v>
      </c>
      <c r="X564" s="1">
        <f>IFERROR(__xludf.DUMMYFUNCTION("""COMPUTED_VALUE"""),1623.0)</f>
        <v>1623</v>
      </c>
      <c r="Y564" s="2"/>
      <c r="Z564" s="2"/>
    </row>
    <row r="565">
      <c r="A565" s="1">
        <f>IFERROR(__xludf.DUMMYFUNCTION("""COMPUTED_VALUE"""),564.0)</f>
        <v>564</v>
      </c>
      <c r="B565" s="1">
        <f>IFERROR(__xludf.DUMMYFUNCTION("""COMPUTED_VALUE"""),10436.0)</f>
        <v>10436</v>
      </c>
      <c r="C565" s="2" t="str">
        <f>IFERROR(__xludf.DUMMYFUNCTION("""COMPUTED_VALUE"""),"Irsad")</f>
        <v>Irsad</v>
      </c>
      <c r="D565" s="2" t="str">
        <f>IFERROR(__xludf.DUMMYFUNCTION("""COMPUTED_VALUE"""),"10KM OVERALL M")</f>
        <v>10KM OVERALL M</v>
      </c>
      <c r="E565" s="1">
        <f>IFERROR(__xludf.DUMMYFUNCTION("""COMPUTED_VALUE"""),1.0)</f>
        <v>1</v>
      </c>
      <c r="F565" s="1" t="str">
        <f>IFERROR(__xludf.DUMMYFUNCTION("""COMPUTED_VALUE"""),"Male")</f>
        <v>Male</v>
      </c>
      <c r="G565" s="4" t="b">
        <f>IFERROR(__xludf.DUMMYFUNCTION("""COMPUTED_VALUE"""),TRUE)</f>
        <v>1</v>
      </c>
      <c r="H565" s="4" t="b">
        <f>IFERROR(__xludf.DUMMYFUNCTION("""COMPUTED_VALUE"""),TRUE)</f>
        <v>1</v>
      </c>
      <c r="I565" s="4">
        <f>IFERROR(__xludf.DUMMYFUNCTION("""COMPUTED_VALUE"""),0.24646185185185185)</f>
        <v>0.2464618519</v>
      </c>
      <c r="J565" s="4">
        <f>IFERROR(__xludf.DUMMYFUNCTION("""COMPUTED_VALUE"""),45949.259370433654)</f>
        <v>45949.25937</v>
      </c>
      <c r="K565" s="4">
        <f>IFERROR(__xludf.DUMMYFUNCTION("""COMPUTED_VALUE"""),45949.29294711337)</f>
        <v>45949.29295</v>
      </c>
      <c r="L565" s="4">
        <f>IFERROR(__xludf.DUMMYFUNCTION("""COMPUTED_VALUE"""),45949.30226916386)</f>
        <v>45949.30227</v>
      </c>
      <c r="M565" s="1" t="str">
        <f>IFERROR(__xludf.DUMMYFUNCTION("""COMPUTED_VALUE"""),"RFID")</f>
        <v>RFID</v>
      </c>
      <c r="N565" s="5">
        <f>IFERROR(__xludf.DUMMYFUNCTION("""COMPUTED_VALUE"""),0.005163430555555555)</f>
        <v>0.005163430556</v>
      </c>
      <c r="O565" s="5">
        <f>IFERROR(__xludf.DUMMYFUNCTION("""COMPUTED_VALUE"""),0.013430671296296295)</f>
        <v>0.0134306713</v>
      </c>
      <c r="P565" s="5">
        <f>IFERROR(__xludf.DUMMYFUNCTION("""COMPUTED_VALUE"""),0.0038362347708685404)</f>
        <v>0.003836234771</v>
      </c>
      <c r="Q565" s="5">
        <f>IFERROR(__xludf.DUMMYFUNCTION("""COMPUTED_VALUE"""),0.005580731481481482)</f>
        <v>0.005580731481</v>
      </c>
      <c r="R565" s="4">
        <f>IFERROR(__xludf.DUMMYFUNCTION("""COMPUTED_VALUE"""),45949.05580731201)</f>
        <v>45949.05581</v>
      </c>
      <c r="S565" s="1" t="b">
        <f>IFERROR(__xludf.DUMMYFUNCTION("""COMPUTED_VALUE"""),TRUE)</f>
        <v>1</v>
      </c>
      <c r="T565" s="1" t="b">
        <f>IFERROR(__xludf.DUMMYFUNCTION("""COMPUTED_VALUE"""),FALSE)</f>
        <v>0</v>
      </c>
      <c r="U565" s="1" t="str">
        <f>IFERROR(__xludf.DUMMYFUNCTION("""COMPUTED_VALUE"""),"VALID")</f>
        <v>VALID</v>
      </c>
      <c r="V565" s="1">
        <f>IFERROR(__xludf.DUMMYFUNCTION("""COMPUTED_VALUE"""),478.0)</f>
        <v>478</v>
      </c>
      <c r="W565" s="1">
        <f>IFERROR(__xludf.DUMMYFUNCTION("""COMPUTED_VALUE"""),572.0)</f>
        <v>572</v>
      </c>
      <c r="X565" s="1">
        <f>IFERROR(__xludf.DUMMYFUNCTION("""COMPUTED_VALUE"""),1544.0)</f>
        <v>1544</v>
      </c>
      <c r="Y565" s="2"/>
      <c r="Z565" s="2"/>
    </row>
    <row r="566">
      <c r="A566" s="1">
        <f>IFERROR(__xludf.DUMMYFUNCTION("""COMPUTED_VALUE"""),565.0)</f>
        <v>565</v>
      </c>
      <c r="B566" s="1">
        <f>IFERROR(__xludf.DUMMYFUNCTION("""COMPUTED_VALUE"""),10437.0)</f>
        <v>10437</v>
      </c>
      <c r="C566" s="2" t="str">
        <f>IFERROR(__xludf.DUMMYFUNCTION("""COMPUTED_VALUE"""),"Fauzan R.")</f>
        <v>Fauzan R.</v>
      </c>
      <c r="D566" s="2" t="str">
        <f>IFERROR(__xludf.DUMMYFUNCTION("""COMPUTED_VALUE"""),"10KM OVERALL M")</f>
        <v>10KM OVERALL M</v>
      </c>
      <c r="E566" s="1">
        <f>IFERROR(__xludf.DUMMYFUNCTION("""COMPUTED_VALUE"""),1.0)</f>
        <v>1</v>
      </c>
      <c r="F566" s="1" t="str">
        <f>IFERROR(__xludf.DUMMYFUNCTION("""COMPUTED_VALUE"""),"Male")</f>
        <v>Male</v>
      </c>
      <c r="G566" s="4" t="b">
        <f>IFERROR(__xludf.DUMMYFUNCTION("""COMPUTED_VALUE"""),TRUE)</f>
        <v>1</v>
      </c>
      <c r="H566" s="4" t="b">
        <f>IFERROR(__xludf.DUMMYFUNCTION("""COMPUTED_VALUE"""),TRUE)</f>
        <v>1</v>
      </c>
      <c r="I566" s="4">
        <f>IFERROR(__xludf.DUMMYFUNCTION("""COMPUTED_VALUE"""),0.24646185185185185)</f>
        <v>0.2464618519</v>
      </c>
      <c r="J566" s="4">
        <f>IFERROR(__xludf.DUMMYFUNCTION("""COMPUTED_VALUE"""),45949.25876285076)</f>
        <v>45949.25876</v>
      </c>
      <c r="K566" s="4">
        <f>IFERROR(__xludf.DUMMYFUNCTION("""COMPUTED_VALUE"""),45949.2865475824)</f>
        <v>45949.28655</v>
      </c>
      <c r="L566" s="4">
        <f>IFERROR(__xludf.DUMMYFUNCTION("""COMPUTED_VALUE"""),45949.294643930545)</f>
        <v>45949.29464</v>
      </c>
      <c r="M566" s="1" t="str">
        <f>IFERROR(__xludf.DUMMYFUNCTION("""COMPUTED_VALUE"""),"RFID")</f>
        <v>RFID</v>
      </c>
      <c r="N566" s="5">
        <f>IFERROR(__xludf.DUMMYFUNCTION("""COMPUTED_VALUE"""),0.004920398148148148)</f>
        <v>0.004920398148</v>
      </c>
      <c r="O566" s="5">
        <f>IFERROR(__xludf.DUMMYFUNCTION("""COMPUTED_VALUE"""),0.01111389351851852)</f>
        <v>0.01111389352</v>
      </c>
      <c r="P566" s="5">
        <f>IFERROR(__xludf.DUMMYFUNCTION("""COMPUTED_VALUE"""),0.003331830512364337)</f>
        <v>0.003331830512</v>
      </c>
      <c r="Q566" s="5">
        <f>IFERROR(__xludf.DUMMYFUNCTION("""COMPUTED_VALUE"""),0.004818208333333333)</f>
        <v>0.004818208333</v>
      </c>
      <c r="R566" s="4">
        <f>IFERROR(__xludf.DUMMYFUNCTION("""COMPUTED_VALUE"""),45949.048182078695)</f>
        <v>45949.04818</v>
      </c>
      <c r="S566" s="1" t="b">
        <f>IFERROR(__xludf.DUMMYFUNCTION("""COMPUTED_VALUE"""),TRUE)</f>
        <v>1</v>
      </c>
      <c r="T566" s="1" t="b">
        <f>IFERROR(__xludf.DUMMYFUNCTION("""COMPUTED_VALUE"""),FALSE)</f>
        <v>0</v>
      </c>
      <c r="U566" s="1" t="str">
        <f>IFERROR(__xludf.DUMMYFUNCTION("""COMPUTED_VALUE"""),"VALID")</f>
        <v>VALID</v>
      </c>
      <c r="V566" s="1">
        <f>IFERROR(__xludf.DUMMYFUNCTION("""COMPUTED_VALUE"""),291.0)</f>
        <v>291</v>
      </c>
      <c r="W566" s="1">
        <f>IFERROR(__xludf.DUMMYFUNCTION("""COMPUTED_VALUE"""),344.0)</f>
        <v>344</v>
      </c>
      <c r="X566" s="1">
        <f>IFERROR(__xludf.DUMMYFUNCTION("""COMPUTED_VALUE"""),1317.0)</f>
        <v>1317</v>
      </c>
      <c r="Y566" s="2"/>
      <c r="Z566" s="2"/>
    </row>
    <row r="567">
      <c r="A567" s="1">
        <f>IFERROR(__xludf.DUMMYFUNCTION("""COMPUTED_VALUE"""),566.0)</f>
        <v>566</v>
      </c>
      <c r="B567" s="1">
        <f>IFERROR(__xludf.DUMMYFUNCTION("""COMPUTED_VALUE"""),10438.0)</f>
        <v>10438</v>
      </c>
      <c r="C567" s="2" t="str">
        <f>IFERROR(__xludf.DUMMYFUNCTION("""COMPUTED_VALUE"""),"Nasri Yamani")</f>
        <v>Nasri Yamani</v>
      </c>
      <c r="D567" s="2" t="str">
        <f>IFERROR(__xludf.DUMMYFUNCTION("""COMPUTED_VALUE"""),"10KM OVERALL M")</f>
        <v>10KM OVERALL M</v>
      </c>
      <c r="E567" s="1">
        <f>IFERROR(__xludf.DUMMYFUNCTION("""COMPUTED_VALUE"""),1.0)</f>
        <v>1</v>
      </c>
      <c r="F567" s="1" t="str">
        <f>IFERROR(__xludf.DUMMYFUNCTION("""COMPUTED_VALUE"""),"Male")</f>
        <v>Male</v>
      </c>
      <c r="G567" s="4" t="b">
        <f>IFERROR(__xludf.DUMMYFUNCTION("""COMPUTED_VALUE"""),TRUE)</f>
        <v>1</v>
      </c>
      <c r="H567" s="4" t="b">
        <f>IFERROR(__xludf.DUMMYFUNCTION("""COMPUTED_VALUE"""),FALSE)</f>
        <v>0</v>
      </c>
      <c r="I567" s="4">
        <f>IFERROR(__xludf.DUMMYFUNCTION("""COMPUTED_VALUE"""),0.24646185185185185)</f>
        <v>0.2464618519</v>
      </c>
      <c r="J567" s="4">
        <f>IFERROR(__xludf.DUMMYFUNCTION("""COMPUTED_VALUE"""),45949.25579411276)</f>
        <v>45949.25579</v>
      </c>
      <c r="K567" s="4">
        <f>IFERROR(__xludf.DUMMYFUNCTION("""COMPUTED_VALUE"""),45949.279801025856)</f>
        <v>45949.2798</v>
      </c>
      <c r="L567" s="4">
        <f>IFERROR(__xludf.DUMMYFUNCTION("""COMPUTED_VALUE"""),45949.28646337852)</f>
        <v>45949.28646</v>
      </c>
      <c r="M567" s="1" t="str">
        <f>IFERROR(__xludf.DUMMYFUNCTION("""COMPUTED_VALUE"""),"RFID")</f>
        <v>RFID</v>
      </c>
      <c r="N567" s="5">
        <f>IFERROR(__xludf.DUMMYFUNCTION("""COMPUTED_VALUE"""),0.003732902777777778)</f>
        <v>0.003732902778</v>
      </c>
      <c r="O567" s="5">
        <f>IFERROR(__xludf.DUMMYFUNCTION("""COMPUTED_VALUE"""),0.00960276388888889)</f>
        <v>0.009602763889</v>
      </c>
      <c r="P567" s="5">
        <f>IFERROR(__xludf.DUMMYFUNCTION("""COMPUTED_VALUE"""),0.002741708915820537)</f>
        <v>0.002741708916</v>
      </c>
      <c r="Q567" s="5">
        <f>IFERROR(__xludf.DUMMYFUNCTION("""COMPUTED_VALUE"""),0.004000152777777778)</f>
        <v>0.004000152778</v>
      </c>
      <c r="R567" s="4">
        <f>IFERROR(__xludf.DUMMYFUNCTION("""COMPUTED_VALUE"""),45949.04000152667)</f>
        <v>45949.04</v>
      </c>
      <c r="S567" s="1" t="b">
        <f>IFERROR(__xludf.DUMMYFUNCTION("""COMPUTED_VALUE"""),TRUE)</f>
        <v>1</v>
      </c>
      <c r="T567" s="1" t="b">
        <f>IFERROR(__xludf.DUMMYFUNCTION("""COMPUTED_VALUE"""),FALSE)</f>
        <v>0</v>
      </c>
      <c r="U567" s="1" t="str">
        <f>IFERROR(__xludf.DUMMYFUNCTION("""COMPUTED_VALUE"""),"VALID")</f>
        <v>VALID</v>
      </c>
      <c r="V567" s="1">
        <f>IFERROR(__xludf.DUMMYFUNCTION("""COMPUTED_VALUE"""),103.0)</f>
        <v>103</v>
      </c>
      <c r="W567" s="1">
        <f>IFERROR(__xludf.DUMMYFUNCTION("""COMPUTED_VALUE"""),123.0)</f>
        <v>123</v>
      </c>
      <c r="X567" s="1">
        <f>IFERROR(__xludf.DUMMYFUNCTION("""COMPUTED_VALUE"""),979.0)</f>
        <v>979</v>
      </c>
      <c r="Y567" s="2"/>
      <c r="Z567" s="2"/>
    </row>
    <row r="568">
      <c r="A568" s="1">
        <f>IFERROR(__xludf.DUMMYFUNCTION("""COMPUTED_VALUE"""),567.0)</f>
        <v>567</v>
      </c>
      <c r="B568" s="1">
        <f>IFERROR(__xludf.DUMMYFUNCTION("""COMPUTED_VALUE"""),10439.0)</f>
        <v>10439</v>
      </c>
      <c r="C568" s="2" t="str">
        <f>IFERROR(__xludf.DUMMYFUNCTION("""COMPUTED_VALUE"""),"Widiyanto")</f>
        <v>Widiyanto</v>
      </c>
      <c r="D568" s="2" t="str">
        <f>IFERROR(__xludf.DUMMYFUNCTION("""COMPUTED_VALUE"""),"10KM OVERALL M")</f>
        <v>10KM OVERALL M</v>
      </c>
      <c r="E568" s="1">
        <f>IFERROR(__xludf.DUMMYFUNCTION("""COMPUTED_VALUE"""),1.0)</f>
        <v>1</v>
      </c>
      <c r="F568" s="1" t="str">
        <f>IFERROR(__xludf.DUMMYFUNCTION("""COMPUTED_VALUE"""),"Male")</f>
        <v>Male</v>
      </c>
      <c r="G568" s="4" t="b">
        <f>IFERROR(__xludf.DUMMYFUNCTION("""COMPUTED_VALUE"""),TRUE)</f>
        <v>1</v>
      </c>
      <c r="H568" s="4" t="b">
        <f>IFERROR(__xludf.DUMMYFUNCTION("""COMPUTED_VALUE"""),TRUE)</f>
        <v>1</v>
      </c>
      <c r="I568" s="4">
        <f>IFERROR(__xludf.DUMMYFUNCTION("""COMPUTED_VALUE"""),0.24646185185185185)</f>
        <v>0.2464618519</v>
      </c>
      <c r="J568" s="4">
        <f>IFERROR(__xludf.DUMMYFUNCTION("""COMPUTED_VALUE"""),45949.259759385306)</f>
        <v>45949.25976</v>
      </c>
      <c r="K568" s="4">
        <f>IFERROR(__xludf.DUMMYFUNCTION("""COMPUTED_VALUE"""),45949.29125266427)</f>
        <v>45949.29125</v>
      </c>
      <c r="L568" s="4">
        <f>IFERROR(__xludf.DUMMYFUNCTION("""COMPUTED_VALUE"""),45949.300765395485)</f>
        <v>45949.30077</v>
      </c>
      <c r="M568" s="1" t="str">
        <f>IFERROR(__xludf.DUMMYFUNCTION("""COMPUTED_VALUE"""),"RFID")</f>
        <v>RFID</v>
      </c>
      <c r="N568" s="5">
        <f>IFERROR(__xludf.DUMMYFUNCTION("""COMPUTED_VALUE"""),0.005319013888888889)</f>
        <v>0.005319013889</v>
      </c>
      <c r="O568" s="5">
        <f>IFERROR(__xludf.DUMMYFUNCTION("""COMPUTED_VALUE"""),0.012597310185185184)</f>
        <v>0.01259731019</v>
      </c>
      <c r="P568" s="5">
        <f>IFERROR(__xludf.DUMMYFUNCTION("""COMPUTED_VALUE"""),0.003914704204152756)</f>
        <v>0.003914704204</v>
      </c>
      <c r="Q568" s="5">
        <f>IFERROR(__xludf.DUMMYFUNCTION("""COMPUTED_VALUE"""),0.005430354166666667)</f>
        <v>0.005430354167</v>
      </c>
      <c r="R568" s="4">
        <f>IFERROR(__xludf.DUMMYFUNCTION("""COMPUTED_VALUE"""),45949.054303543635)</f>
        <v>45949.0543</v>
      </c>
      <c r="S568" s="1" t="b">
        <f>IFERROR(__xludf.DUMMYFUNCTION("""COMPUTED_VALUE"""),TRUE)</f>
        <v>1</v>
      </c>
      <c r="T568" s="1" t="b">
        <f>IFERROR(__xludf.DUMMYFUNCTION("""COMPUTED_VALUE"""),FALSE)</f>
        <v>0</v>
      </c>
      <c r="U568" s="1" t="str">
        <f>IFERROR(__xludf.DUMMYFUNCTION("""COMPUTED_VALUE"""),"VALID")</f>
        <v>VALID</v>
      </c>
      <c r="V568" s="1">
        <f>IFERROR(__xludf.DUMMYFUNCTION("""COMPUTED_VALUE"""),442.0)</f>
        <v>442</v>
      </c>
      <c r="W568" s="1">
        <f>IFERROR(__xludf.DUMMYFUNCTION("""COMPUTED_VALUE"""),525.0)</f>
        <v>525</v>
      </c>
      <c r="X568" s="1">
        <f>IFERROR(__xludf.DUMMYFUNCTION("""COMPUTED_VALUE"""),1503.0)</f>
        <v>1503</v>
      </c>
      <c r="Y568" s="2"/>
      <c r="Z568" s="2"/>
    </row>
    <row r="569">
      <c r="A569" s="1">
        <f>IFERROR(__xludf.DUMMYFUNCTION("""COMPUTED_VALUE"""),568.0)</f>
        <v>568</v>
      </c>
      <c r="B569" s="1">
        <f>IFERROR(__xludf.DUMMYFUNCTION("""COMPUTED_VALUE"""),10440.0)</f>
        <v>10440</v>
      </c>
      <c r="C569" s="2" t="str">
        <f>IFERROR(__xludf.DUMMYFUNCTION("""COMPUTED_VALUE"""),"DAFFA SOELISTIJONO")</f>
        <v>DAFFA SOELISTIJONO</v>
      </c>
      <c r="D569" s="2" t="str">
        <f>IFERROR(__xludf.DUMMYFUNCTION("""COMPUTED_VALUE"""),"10KM OVERALL M")</f>
        <v>10KM OVERALL M</v>
      </c>
      <c r="E569" s="1">
        <f>IFERROR(__xludf.DUMMYFUNCTION("""COMPUTED_VALUE"""),1.0)</f>
        <v>1</v>
      </c>
      <c r="F569" s="1" t="str">
        <f>IFERROR(__xludf.DUMMYFUNCTION("""COMPUTED_VALUE"""),"Male")</f>
        <v>Male</v>
      </c>
      <c r="G569" s="4" t="str">
        <f>IFERROR(__xludf.DUMMYFUNCTION("""COMPUTED_VALUE"""),"")</f>
        <v/>
      </c>
      <c r="H569" s="4" t="b">
        <f>IFERROR(__xludf.DUMMYFUNCTION("""COMPUTED_VALUE"""),TRUE)</f>
        <v>1</v>
      </c>
      <c r="I569" s="4">
        <f>IFERROR(__xludf.DUMMYFUNCTION("""COMPUTED_VALUE"""),0.24646185185185185)</f>
        <v>0.2464618519</v>
      </c>
      <c r="J569" s="4">
        <f>IFERROR(__xludf.DUMMYFUNCTION("""COMPUTED_VALUE"""),45949.257759350374)</f>
        <v>45949.25776</v>
      </c>
      <c r="K569" s="4">
        <f>IFERROR(__xludf.DUMMYFUNCTION("""COMPUTED_VALUE"""),45949.28722810507)</f>
        <v>45949.28723</v>
      </c>
      <c r="L569" s="4">
        <f>IFERROR(__xludf.DUMMYFUNCTION("""COMPUTED_VALUE"""),45949.29631059627)</f>
        <v>45949.29631</v>
      </c>
      <c r="M569" s="1" t="str">
        <f>IFERROR(__xludf.DUMMYFUNCTION("""COMPUTED_VALUE"""),"RFID")</f>
        <v>RFID</v>
      </c>
      <c r="N569" s="5">
        <f>IFERROR(__xludf.DUMMYFUNCTION("""COMPUTED_VALUE"""),0.0045190000000000004)</f>
        <v>0.004519</v>
      </c>
      <c r="O569" s="5">
        <f>IFERROR(__xludf.DUMMYFUNCTION("""COMPUTED_VALUE"""),0.0117875)</f>
        <v>0.0117875</v>
      </c>
      <c r="P569" s="5">
        <f>IFERROR(__xludf.DUMMYFUNCTION("""COMPUTED_VALUE"""),0.00373765069825111)</f>
        <v>0.003737650698</v>
      </c>
      <c r="Q569" s="5">
        <f>IFERROR(__xludf.DUMMYFUNCTION("""COMPUTED_VALUE"""),0.004984875)</f>
        <v>0.004984875</v>
      </c>
      <c r="R569" s="4">
        <f>IFERROR(__xludf.DUMMYFUNCTION("""COMPUTED_VALUE"""),45949.04984874442)</f>
        <v>45949.04985</v>
      </c>
      <c r="S569" s="1" t="b">
        <f>IFERROR(__xludf.DUMMYFUNCTION("""COMPUTED_VALUE"""),TRUE)</f>
        <v>1</v>
      </c>
      <c r="T569" s="1" t="b">
        <f>IFERROR(__xludf.DUMMYFUNCTION("""COMPUTED_VALUE"""),FALSE)</f>
        <v>0</v>
      </c>
      <c r="U569" s="1" t="str">
        <f>IFERROR(__xludf.DUMMYFUNCTION("""COMPUTED_VALUE"""),"VALID")</f>
        <v>VALID</v>
      </c>
      <c r="V569" s="1">
        <f>IFERROR(__xludf.DUMMYFUNCTION("""COMPUTED_VALUE"""),334.0)</f>
        <v>334</v>
      </c>
      <c r="W569" s="1">
        <f>IFERROR(__xludf.DUMMYFUNCTION("""COMPUTED_VALUE"""),395.0)</f>
        <v>395</v>
      </c>
      <c r="X569" s="1">
        <f>IFERROR(__xludf.DUMMYFUNCTION("""COMPUTED_VALUE"""),1371.0)</f>
        <v>1371</v>
      </c>
      <c r="Y569" s="2"/>
      <c r="Z569" s="2"/>
    </row>
    <row r="570">
      <c r="A570" s="1">
        <f>IFERROR(__xludf.DUMMYFUNCTION("""COMPUTED_VALUE"""),569.0)</f>
        <v>569</v>
      </c>
      <c r="B570" s="1">
        <f>IFERROR(__xludf.DUMMYFUNCTION("""COMPUTED_VALUE"""),10441.0)</f>
        <v>10441</v>
      </c>
      <c r="C570" s="2" t="str">
        <f>IFERROR(__xludf.DUMMYFUNCTION("""COMPUTED_VALUE"""),"ixan")</f>
        <v>ixan</v>
      </c>
      <c r="D570" s="2" t="str">
        <f>IFERROR(__xludf.DUMMYFUNCTION("""COMPUTED_VALUE"""),"10KM OVERALL M")</f>
        <v>10KM OVERALL M</v>
      </c>
      <c r="E570" s="1">
        <f>IFERROR(__xludf.DUMMYFUNCTION("""COMPUTED_VALUE"""),1.0)</f>
        <v>1</v>
      </c>
      <c r="F570" s="1" t="str">
        <f>IFERROR(__xludf.DUMMYFUNCTION("""COMPUTED_VALUE"""),"Male")</f>
        <v>Male</v>
      </c>
      <c r="G570" s="4" t="b">
        <f>IFERROR(__xludf.DUMMYFUNCTION("""COMPUTED_VALUE"""),TRUE)</f>
        <v>1</v>
      </c>
      <c r="H570" s="4" t="b">
        <f>IFERROR(__xludf.DUMMYFUNCTION("""COMPUTED_VALUE"""),TRUE)</f>
        <v>1</v>
      </c>
      <c r="I570" s="4">
        <f>IFERROR(__xludf.DUMMYFUNCTION("""COMPUTED_VALUE"""),0.24646185185185185)</f>
        <v>0.2464618519</v>
      </c>
      <c r="J570" s="4">
        <f>IFERROR(__xludf.DUMMYFUNCTION("""COMPUTED_VALUE"""),45949.25727321003)</f>
        <v>45949.25727</v>
      </c>
      <c r="K570" s="4">
        <f>IFERROR(__xludf.DUMMYFUNCTION("""COMPUTED_VALUE"""),45949.286832275735)</f>
        <v>45949.28683</v>
      </c>
      <c r="L570" s="4">
        <f>IFERROR(__xludf.DUMMYFUNCTION("""COMPUTED_VALUE"""),45949.295463367154)</f>
        <v>45949.29546</v>
      </c>
      <c r="M570" s="1" t="str">
        <f>IFERROR(__xludf.DUMMYFUNCTION("""COMPUTED_VALUE"""),"RFID")</f>
        <v>RFID</v>
      </c>
      <c r="N570" s="5">
        <f>IFERROR(__xludf.DUMMYFUNCTION("""COMPUTED_VALUE"""),0.004324541666666667)</f>
        <v>0.004324541667</v>
      </c>
      <c r="O570" s="5">
        <f>IFERROR(__xludf.DUMMYFUNCTION("""COMPUTED_VALUE"""),0.011823624999999999)</f>
        <v>0.011823625</v>
      </c>
      <c r="P570" s="5">
        <f>IFERROR(__xludf.DUMMYFUNCTION("""COMPUTED_VALUE"""),0.0035518894729936502)</f>
        <v>0.003551889473</v>
      </c>
      <c r="Q570" s="5">
        <f>IFERROR(__xludf.DUMMYFUNCTION("""COMPUTED_VALUE"""),0.00490015162037037)</f>
        <v>0.00490015162</v>
      </c>
      <c r="R570" s="4">
        <f>IFERROR(__xludf.DUMMYFUNCTION("""COMPUTED_VALUE"""),45949.049001515305)</f>
        <v>45949.049</v>
      </c>
      <c r="S570" s="1" t="b">
        <f>IFERROR(__xludf.DUMMYFUNCTION("""COMPUTED_VALUE"""),TRUE)</f>
        <v>1</v>
      </c>
      <c r="T570" s="1" t="b">
        <f>IFERROR(__xludf.DUMMYFUNCTION("""COMPUTED_VALUE"""),FALSE)</f>
        <v>0</v>
      </c>
      <c r="U570" s="1" t="str">
        <f>IFERROR(__xludf.DUMMYFUNCTION("""COMPUTED_VALUE"""),"VALID")</f>
        <v>VALID</v>
      </c>
      <c r="V570" s="1">
        <f>IFERROR(__xludf.DUMMYFUNCTION("""COMPUTED_VALUE"""),312.0)</f>
        <v>312</v>
      </c>
      <c r="W570" s="1">
        <f>IFERROR(__xludf.DUMMYFUNCTION("""COMPUTED_VALUE"""),369.0)</f>
        <v>369</v>
      </c>
      <c r="X570" s="1">
        <f>IFERROR(__xludf.DUMMYFUNCTION("""COMPUTED_VALUE"""),1342.0)</f>
        <v>1342</v>
      </c>
      <c r="Y570" s="2"/>
      <c r="Z570" s="2"/>
    </row>
    <row r="571">
      <c r="A571" s="1">
        <f>IFERROR(__xludf.DUMMYFUNCTION("""COMPUTED_VALUE"""),570.0)</f>
        <v>570</v>
      </c>
      <c r="B571" s="1">
        <f>IFERROR(__xludf.DUMMYFUNCTION("""COMPUTED_VALUE"""),10442.0)</f>
        <v>10442</v>
      </c>
      <c r="C571" s="2" t="str">
        <f>IFERROR(__xludf.DUMMYFUNCTION("""COMPUTED_VALUE"""),"REAL ANGGARA")</f>
        <v>REAL ANGGARA</v>
      </c>
      <c r="D571" s="2" t="str">
        <f>IFERROR(__xludf.DUMMYFUNCTION("""COMPUTED_VALUE"""),"10KM OVERALL M")</f>
        <v>10KM OVERALL M</v>
      </c>
      <c r="E571" s="1">
        <f>IFERROR(__xludf.DUMMYFUNCTION("""COMPUTED_VALUE"""),1.0)</f>
        <v>1</v>
      </c>
      <c r="F571" s="1" t="str">
        <f>IFERROR(__xludf.DUMMYFUNCTION("""COMPUTED_VALUE"""),"Male")</f>
        <v>Male</v>
      </c>
      <c r="G571" s="4" t="str">
        <f>IFERROR(__xludf.DUMMYFUNCTION("""COMPUTED_VALUE"""),"")</f>
        <v/>
      </c>
      <c r="H571" s="4" t="b">
        <f>IFERROR(__xludf.DUMMYFUNCTION("""COMPUTED_VALUE"""),TRUE)</f>
        <v>1</v>
      </c>
      <c r="I571" s="4">
        <f>IFERROR(__xludf.DUMMYFUNCTION("""COMPUTED_VALUE"""),0.24646185185185185)</f>
        <v>0.2464618519</v>
      </c>
      <c r="J571" s="4">
        <f>IFERROR(__xludf.DUMMYFUNCTION("""COMPUTED_VALUE"""),45949.25584619283)</f>
        <v>45949.25585</v>
      </c>
      <c r="K571" s="4">
        <f>IFERROR(__xludf.DUMMYFUNCTION("""COMPUTED_VALUE"""),45949.27796580488)</f>
        <v>45949.27797</v>
      </c>
      <c r="L571" s="4">
        <f>IFERROR(__xludf.DUMMYFUNCTION("""COMPUTED_VALUE"""),45949.28491475827)</f>
        <v>45949.28491</v>
      </c>
      <c r="M571" s="1" t="str">
        <f>IFERROR(__xludf.DUMMYFUNCTION("""COMPUTED_VALUE"""),"RFID")</f>
        <v>RFID</v>
      </c>
      <c r="N571" s="5">
        <f>IFERROR(__xludf.DUMMYFUNCTION("""COMPUTED_VALUE"""),0.0037537361111111113)</f>
        <v>0.003753736111</v>
      </c>
      <c r="O571" s="5">
        <f>IFERROR(__xludf.DUMMYFUNCTION("""COMPUTED_VALUE"""),0.008847842592592593)</f>
        <v>0.008847842593</v>
      </c>
      <c r="P571" s="5">
        <f>IFERROR(__xludf.DUMMYFUNCTION("""COMPUTED_VALUE"""),0.0028596515988848657)</f>
        <v>0.002859651599</v>
      </c>
      <c r="Q571" s="5">
        <f>IFERROR(__xludf.DUMMYFUNCTION("""COMPUTED_VALUE"""),0.0038452905092592597)</f>
        <v>0.003845290509</v>
      </c>
      <c r="R571" s="4">
        <f>IFERROR(__xludf.DUMMYFUNCTION("""COMPUTED_VALUE"""),45949.03845290642)</f>
        <v>45949.03845</v>
      </c>
      <c r="S571" s="1" t="b">
        <f>IFERROR(__xludf.DUMMYFUNCTION("""COMPUTED_VALUE"""),TRUE)</f>
        <v>1</v>
      </c>
      <c r="T571" s="1" t="b">
        <f>IFERROR(__xludf.DUMMYFUNCTION("""COMPUTED_VALUE"""),FALSE)</f>
        <v>0</v>
      </c>
      <c r="U571" s="1" t="str">
        <f>IFERROR(__xludf.DUMMYFUNCTION("""COMPUTED_VALUE"""),"VALID")</f>
        <v>VALID</v>
      </c>
      <c r="V571" s="1">
        <f>IFERROR(__xludf.DUMMYFUNCTION("""COMPUTED_VALUE"""),75.0)</f>
        <v>75</v>
      </c>
      <c r="W571" s="1">
        <f>IFERROR(__xludf.DUMMYFUNCTION("""COMPUTED_VALUE"""),91.0)</f>
        <v>91</v>
      </c>
      <c r="X571" s="1">
        <f>IFERROR(__xludf.DUMMYFUNCTION("""COMPUTED_VALUE"""),895.0)</f>
        <v>895</v>
      </c>
      <c r="Y571" s="2"/>
      <c r="Z571" s="2"/>
    </row>
    <row r="572">
      <c r="A572" s="1">
        <f>IFERROR(__xludf.DUMMYFUNCTION("""COMPUTED_VALUE"""),571.0)</f>
        <v>571</v>
      </c>
      <c r="B572" s="1">
        <f>IFERROR(__xludf.DUMMYFUNCTION("""COMPUTED_VALUE"""),10443.0)</f>
        <v>10443</v>
      </c>
      <c r="C572" s="2" t="str">
        <f>IFERROR(__xludf.DUMMYFUNCTION("""COMPUTED_VALUE"""),"DAFFA NESTA M A")</f>
        <v>DAFFA NESTA M A</v>
      </c>
      <c r="D572" s="2" t="str">
        <f>IFERROR(__xludf.DUMMYFUNCTION("""COMPUTED_VALUE"""),"10KM OVERALL M")</f>
        <v>10KM OVERALL M</v>
      </c>
      <c r="E572" s="1">
        <f>IFERROR(__xludf.DUMMYFUNCTION("""COMPUTED_VALUE"""),1.0)</f>
        <v>1</v>
      </c>
      <c r="F572" s="1" t="str">
        <f>IFERROR(__xludf.DUMMYFUNCTION("""COMPUTED_VALUE"""),"Male")</f>
        <v>Male</v>
      </c>
      <c r="G572" s="4" t="b">
        <f>IFERROR(__xludf.DUMMYFUNCTION("""COMPUTED_VALUE"""),TRUE)</f>
        <v>1</v>
      </c>
      <c r="H572" s="4" t="b">
        <f>IFERROR(__xludf.DUMMYFUNCTION("""COMPUTED_VALUE"""),FALSE)</f>
        <v>0</v>
      </c>
      <c r="I572" s="4">
        <f>IFERROR(__xludf.DUMMYFUNCTION("""COMPUTED_VALUE"""),0.24646185185185185)</f>
        <v>0.2464618519</v>
      </c>
      <c r="J572" s="4">
        <f>IFERROR(__xludf.DUMMYFUNCTION("""COMPUTED_VALUE"""),45949.25772465782)</f>
        <v>45949.25772</v>
      </c>
      <c r="K572" s="4">
        <f>IFERROR(__xludf.DUMMYFUNCTION("""COMPUTED_VALUE"""),45949.28217604646)</f>
        <v>45949.28218</v>
      </c>
      <c r="L572" s="4">
        <f>IFERROR(__xludf.DUMMYFUNCTION("""COMPUTED_VALUE"""),45949.289109196216)</f>
        <v>45949.28911</v>
      </c>
      <c r="M572" s="1" t="str">
        <f>IFERROR(__xludf.DUMMYFUNCTION("""COMPUTED_VALUE"""),"RFID")</f>
        <v>RFID</v>
      </c>
      <c r="N572" s="5">
        <f>IFERROR(__xludf.DUMMYFUNCTION("""COMPUTED_VALUE"""),0.00450512037037037)</f>
        <v>0.00450512037</v>
      </c>
      <c r="O572" s="5">
        <f>IFERROR(__xludf.DUMMYFUNCTION("""COMPUTED_VALUE"""),0.009780555555555554)</f>
        <v>0.009780555556</v>
      </c>
      <c r="P572" s="5">
        <f>IFERROR(__xludf.DUMMYFUNCTION("""COMPUTED_VALUE"""),0.0028531480485471843)</f>
        <v>0.002853148049</v>
      </c>
      <c r="Q572" s="5">
        <f>IFERROR(__xludf.DUMMYFUNCTION("""COMPUTED_VALUE"""),0.004264734953703704)</f>
        <v>0.004264734954</v>
      </c>
      <c r="R572" s="4">
        <f>IFERROR(__xludf.DUMMYFUNCTION("""COMPUTED_VALUE"""),45949.042647344366)</f>
        <v>45949.04265</v>
      </c>
      <c r="S572" s="1" t="b">
        <f>IFERROR(__xludf.DUMMYFUNCTION("""COMPUTED_VALUE"""),TRUE)</f>
        <v>1</v>
      </c>
      <c r="T572" s="1" t="b">
        <f>IFERROR(__xludf.DUMMYFUNCTION("""COMPUTED_VALUE"""),FALSE)</f>
        <v>0</v>
      </c>
      <c r="U572" s="1" t="str">
        <f>IFERROR(__xludf.DUMMYFUNCTION("""COMPUTED_VALUE"""),"VALID")</f>
        <v>VALID</v>
      </c>
      <c r="V572" s="1">
        <f>IFERROR(__xludf.DUMMYFUNCTION("""COMPUTED_VALUE"""),163.0)</f>
        <v>163</v>
      </c>
      <c r="W572" s="1">
        <f>IFERROR(__xludf.DUMMYFUNCTION("""COMPUTED_VALUE"""),190.0)</f>
        <v>190</v>
      </c>
      <c r="X572" s="1">
        <f>IFERROR(__xludf.DUMMYFUNCTION("""COMPUTED_VALUE"""),1092.0)</f>
        <v>1092</v>
      </c>
      <c r="Y572" s="2"/>
      <c r="Z572" s="2"/>
    </row>
    <row r="573">
      <c r="A573" s="1">
        <f>IFERROR(__xludf.DUMMYFUNCTION("""COMPUTED_VALUE"""),572.0)</f>
        <v>572</v>
      </c>
      <c r="B573" s="1">
        <f>IFERROR(__xludf.DUMMYFUNCTION("""COMPUTED_VALUE"""),10444.0)</f>
        <v>10444</v>
      </c>
      <c r="C573" s="2" t="str">
        <f>IFERROR(__xludf.DUMMYFUNCTION("""COMPUTED_VALUE"""),"MUHAMMAD RANGGA F")</f>
        <v>MUHAMMAD RANGGA F</v>
      </c>
      <c r="D573" s="2" t="str">
        <f>IFERROR(__xludf.DUMMYFUNCTION("""COMPUTED_VALUE"""),"10KM OVERALL M")</f>
        <v>10KM OVERALL M</v>
      </c>
      <c r="E573" s="1">
        <f>IFERROR(__xludf.DUMMYFUNCTION("""COMPUTED_VALUE"""),1.0)</f>
        <v>1</v>
      </c>
      <c r="F573" s="1" t="str">
        <f>IFERROR(__xludf.DUMMYFUNCTION("""COMPUTED_VALUE"""),"Male")</f>
        <v>Male</v>
      </c>
      <c r="G573" s="4" t="str">
        <f>IFERROR(__xludf.DUMMYFUNCTION("""COMPUTED_VALUE"""),"")</f>
        <v/>
      </c>
      <c r="H573" s="4" t="b">
        <f>IFERROR(__xludf.DUMMYFUNCTION("""COMPUTED_VALUE"""),FALSE)</f>
        <v>0</v>
      </c>
      <c r="I573" s="4">
        <f>IFERROR(__xludf.DUMMYFUNCTION("""COMPUTED_VALUE"""),0.24646185185185185)</f>
        <v>0.2464618519</v>
      </c>
      <c r="J573" s="4">
        <f>IFERROR(__xludf.DUMMYFUNCTION("""COMPUTED_VALUE"""),45949.257728131364)</f>
        <v>45949.25773</v>
      </c>
      <c r="K573" s="4">
        <f>IFERROR(__xludf.DUMMYFUNCTION("""COMPUTED_VALUE"""),45949.28687741444)</f>
        <v>45949.28688</v>
      </c>
      <c r="L573" s="4">
        <f>IFERROR(__xludf.DUMMYFUNCTION("""COMPUTED_VALUE"""),45949.294803994024)</f>
        <v>45949.2948</v>
      </c>
      <c r="M573" s="1" t="str">
        <f>IFERROR(__xludf.DUMMYFUNCTION("""COMPUTED_VALUE"""),"RFID")</f>
        <v>RFID</v>
      </c>
      <c r="N573" s="5">
        <f>IFERROR(__xludf.DUMMYFUNCTION("""COMPUTED_VALUE"""),0.004506513888888889)</f>
        <v>0.004506513889</v>
      </c>
      <c r="O573" s="5">
        <f>IFERROR(__xludf.DUMMYFUNCTION("""COMPUTED_VALUE"""),0.011659712962962964)</f>
        <v>0.01165971296</v>
      </c>
      <c r="P573" s="5">
        <f>IFERROR(__xludf.DUMMYFUNCTION("""COMPUTED_VALUE"""),0.0032619669080813465)</f>
        <v>0.003261966908</v>
      </c>
      <c r="Q573" s="5">
        <f>IFERROR(__xludf.DUMMYFUNCTION("""COMPUTED_VALUE"""),0.0048342141203703715)</f>
        <v>0.00483421412</v>
      </c>
      <c r="R573" s="4">
        <f>IFERROR(__xludf.DUMMYFUNCTION("""COMPUTED_VALUE"""),45949.048342142174)</f>
        <v>45949.04834</v>
      </c>
      <c r="S573" s="1" t="b">
        <f>IFERROR(__xludf.DUMMYFUNCTION("""COMPUTED_VALUE"""),TRUE)</f>
        <v>1</v>
      </c>
      <c r="T573" s="1" t="b">
        <f>IFERROR(__xludf.DUMMYFUNCTION("""COMPUTED_VALUE"""),FALSE)</f>
        <v>0</v>
      </c>
      <c r="U573" s="1" t="str">
        <f>IFERROR(__xludf.DUMMYFUNCTION("""COMPUTED_VALUE"""),"VALID")</f>
        <v>VALID</v>
      </c>
      <c r="V573" s="1">
        <f>IFERROR(__xludf.DUMMYFUNCTION("""COMPUTED_VALUE"""),295.0)</f>
        <v>295</v>
      </c>
      <c r="W573" s="1">
        <f>IFERROR(__xludf.DUMMYFUNCTION("""COMPUTED_VALUE"""),350.0)</f>
        <v>350</v>
      </c>
      <c r="X573" s="1">
        <f>IFERROR(__xludf.DUMMYFUNCTION("""COMPUTED_VALUE"""),1324.0)</f>
        <v>1324</v>
      </c>
      <c r="Y573" s="2"/>
      <c r="Z573" s="2"/>
    </row>
    <row r="574">
      <c r="A574" s="1">
        <f>IFERROR(__xludf.DUMMYFUNCTION("""COMPUTED_VALUE"""),573.0)</f>
        <v>573</v>
      </c>
      <c r="B574" s="1">
        <f>IFERROR(__xludf.DUMMYFUNCTION("""COMPUTED_VALUE"""),10447.0)</f>
        <v>10447</v>
      </c>
      <c r="C574" s="2" t="str">
        <f>IFERROR(__xludf.DUMMYFUNCTION("""COMPUTED_VALUE"""),"Hidayat Kaperbomen")</f>
        <v>Hidayat Kaperbomen</v>
      </c>
      <c r="D574" s="2" t="str">
        <f>IFERROR(__xludf.DUMMYFUNCTION("""COMPUTED_VALUE"""),"10KM OVERALL M")</f>
        <v>10KM OVERALL M</v>
      </c>
      <c r="E574" s="1">
        <f>IFERROR(__xludf.DUMMYFUNCTION("""COMPUTED_VALUE"""),1.0)</f>
        <v>1</v>
      </c>
      <c r="F574" s="1" t="str">
        <f>IFERROR(__xludf.DUMMYFUNCTION("""COMPUTED_VALUE"""),"Male")</f>
        <v>Male</v>
      </c>
      <c r="G574" s="4" t="str">
        <f>IFERROR(__xludf.DUMMYFUNCTION("""COMPUTED_VALUE"""),"")</f>
        <v/>
      </c>
      <c r="H574" s="4" t="b">
        <f>IFERROR(__xludf.DUMMYFUNCTION("""COMPUTED_VALUE"""),TRUE)</f>
        <v>1</v>
      </c>
      <c r="I574" s="4">
        <f>IFERROR(__xludf.DUMMYFUNCTION("""COMPUTED_VALUE"""),0.24646185185185185)</f>
        <v>0.2464618519</v>
      </c>
      <c r="J574" s="4">
        <f>IFERROR(__xludf.DUMMYFUNCTION("""COMPUTED_VALUE"""),45949.26954410328)</f>
        <v>45949.26954</v>
      </c>
      <c r="K574" s="4">
        <f>IFERROR(__xludf.DUMMYFUNCTION("""COMPUTED_VALUE"""),45949.30812758729)</f>
        <v>45949.30813</v>
      </c>
      <c r="L574" s="4">
        <f>IFERROR(__xludf.DUMMYFUNCTION("""COMPUTED_VALUE"""),45949.32058541182)</f>
        <v>45949.32059</v>
      </c>
      <c r="M574" s="1" t="str">
        <f>IFERROR(__xludf.DUMMYFUNCTION("""COMPUTED_VALUE"""),"RFID")</f>
        <v>RFID</v>
      </c>
      <c r="N574" s="5">
        <f>IFERROR(__xludf.DUMMYFUNCTION("""COMPUTED_VALUE"""),0.009232902777777777)</f>
        <v>0.009232902778</v>
      </c>
      <c r="O574" s="5">
        <f>IFERROR(__xludf.DUMMYFUNCTION("""COMPUTED_VALUE"""),0.015433393518518518)</f>
        <v>0.01543339352</v>
      </c>
      <c r="P574" s="5">
        <f>IFERROR(__xludf.DUMMYFUNCTION("""COMPUTED_VALUE"""),0.0051266767614935)</f>
        <v>0.005126676761</v>
      </c>
      <c r="Q574" s="5">
        <f>IFERROR(__xludf.DUMMYFUNCTION("""COMPUTED_VALUE"""),0.007412356481481482)</f>
        <v>0.007412356481</v>
      </c>
      <c r="R574" s="4">
        <f>IFERROR(__xludf.DUMMYFUNCTION("""COMPUTED_VALUE"""),45949.07412355997)</f>
        <v>45949.07412</v>
      </c>
      <c r="S574" s="1" t="b">
        <f>IFERROR(__xludf.DUMMYFUNCTION("""COMPUTED_VALUE"""),TRUE)</f>
        <v>1</v>
      </c>
      <c r="T574" s="1" t="b">
        <f>IFERROR(__xludf.DUMMYFUNCTION("""COMPUTED_VALUE"""),FALSE)</f>
        <v>0</v>
      </c>
      <c r="U574" s="1" t="str">
        <f>IFERROR(__xludf.DUMMYFUNCTION("""COMPUTED_VALUE"""),"VALID")</f>
        <v>VALID</v>
      </c>
      <c r="V574" s="1">
        <f>IFERROR(__xludf.DUMMYFUNCTION("""COMPUTED_VALUE"""),602.0)</f>
        <v>602</v>
      </c>
      <c r="W574" s="1">
        <f>IFERROR(__xludf.DUMMYFUNCTION("""COMPUTED_VALUE"""),750.0)</f>
        <v>750</v>
      </c>
      <c r="X574" s="1">
        <f>IFERROR(__xludf.DUMMYFUNCTION("""COMPUTED_VALUE"""),1676.0)</f>
        <v>1676</v>
      </c>
      <c r="Y574" s="2"/>
      <c r="Z574" s="2"/>
    </row>
    <row r="575">
      <c r="A575" s="1">
        <f>IFERROR(__xludf.DUMMYFUNCTION("""COMPUTED_VALUE"""),574.0)</f>
        <v>574</v>
      </c>
      <c r="B575" s="1">
        <f>IFERROR(__xludf.DUMMYFUNCTION("""COMPUTED_VALUE"""),10448.0)</f>
        <v>10448</v>
      </c>
      <c r="C575" s="2" t="str">
        <f>IFERROR(__xludf.DUMMYFUNCTION("""COMPUTED_VALUE"""),"BAGUS")</f>
        <v>BAGUS</v>
      </c>
      <c r="D575" s="2" t="str">
        <f>IFERROR(__xludf.DUMMYFUNCTION("""COMPUTED_VALUE"""),"10KM OVERALL M")</f>
        <v>10KM OVERALL M</v>
      </c>
      <c r="E575" s="1">
        <f>IFERROR(__xludf.DUMMYFUNCTION("""COMPUTED_VALUE"""),1.0)</f>
        <v>1</v>
      </c>
      <c r="F575" s="1" t="str">
        <f>IFERROR(__xludf.DUMMYFUNCTION("""COMPUTED_VALUE"""),"Male")</f>
        <v>Male</v>
      </c>
      <c r="G575" s="4" t="str">
        <f>IFERROR(__xludf.DUMMYFUNCTION("""COMPUTED_VALUE"""),"")</f>
        <v/>
      </c>
      <c r="H575" s="4" t="b">
        <f>IFERROR(__xludf.DUMMYFUNCTION("""COMPUTED_VALUE"""),FALSE)</f>
        <v>0</v>
      </c>
      <c r="I575" s="4">
        <f>IFERROR(__xludf.DUMMYFUNCTION("""COMPUTED_VALUE"""),0.24646185185185185)</f>
        <v>0.2464618519</v>
      </c>
      <c r="J575" s="4" t="str">
        <f>IFERROR(__xludf.DUMMYFUNCTION("""COMPUTED_VALUE"""),"")</f>
        <v/>
      </c>
      <c r="K575" s="4" t="str">
        <f>IFERROR(__xludf.DUMMYFUNCTION("""COMPUTED_VALUE"""),"")</f>
        <v/>
      </c>
      <c r="L575" s="4" t="str">
        <f>IFERROR(__xludf.DUMMYFUNCTION("""COMPUTED_VALUE"""),"")</f>
        <v/>
      </c>
      <c r="M575" s="1" t="str">
        <f>IFERROR(__xludf.DUMMYFUNCTION("""COMPUTED_VALUE"""),"RFID")</f>
        <v>RFID</v>
      </c>
      <c r="N575" s="5" t="str">
        <f>IFERROR(__xludf.DUMMYFUNCTION("""COMPUTED_VALUE"""),"")</f>
        <v/>
      </c>
      <c r="O575" s="5" t="str">
        <f>IFERROR(__xludf.DUMMYFUNCTION("""COMPUTED_VALUE"""),"")</f>
        <v/>
      </c>
      <c r="P575" s="5" t="str">
        <f>IFERROR(__xludf.DUMMYFUNCTION("""COMPUTED_VALUE"""),"")</f>
        <v/>
      </c>
      <c r="Q575" s="5" t="str">
        <f>IFERROR(__xludf.DUMMYFUNCTION("""COMPUTED_VALUE"""),"")</f>
        <v/>
      </c>
      <c r="R575" s="4" t="str">
        <f>IFERROR(__xludf.DUMMYFUNCTION("""COMPUTED_VALUE"""),"")</f>
        <v/>
      </c>
      <c r="S575" s="1" t="b">
        <f>IFERROR(__xludf.DUMMYFUNCTION("""COMPUTED_VALUE"""),FALSE)</f>
        <v>0</v>
      </c>
      <c r="T575" s="1" t="b">
        <f>IFERROR(__xludf.DUMMYFUNCTION("""COMPUTED_VALUE"""),FALSE)</f>
        <v>0</v>
      </c>
      <c r="U575" s="1" t="str">
        <f>IFERROR(__xludf.DUMMYFUNCTION("""COMPUTED_VALUE"""),"DSQ")</f>
        <v>DSQ</v>
      </c>
      <c r="V575" s="1" t="str">
        <f>IFERROR(__xludf.DUMMYFUNCTION("""COMPUTED_VALUE"""),"DSQ")</f>
        <v>DSQ</v>
      </c>
      <c r="W575" s="1" t="str">
        <f>IFERROR(__xludf.DUMMYFUNCTION("""COMPUTED_VALUE"""),"DSQ")</f>
        <v>DSQ</v>
      </c>
      <c r="X575" s="1" t="str">
        <f>IFERROR(__xludf.DUMMYFUNCTION("""COMPUTED_VALUE"""),"DSQ")</f>
        <v>DSQ</v>
      </c>
      <c r="Y575" s="2"/>
      <c r="Z575" s="2" t="str">
        <f>IFERROR(__xludf.DUMMYFUNCTION("""COMPUTED_VALUE"""),"")</f>
        <v/>
      </c>
    </row>
    <row r="576">
      <c r="A576" s="1">
        <f>IFERROR(__xludf.DUMMYFUNCTION("""COMPUTED_VALUE"""),575.0)</f>
        <v>575</v>
      </c>
      <c r="B576" s="1">
        <f>IFERROR(__xludf.DUMMYFUNCTION("""COMPUTED_VALUE"""),10449.0)</f>
        <v>10449</v>
      </c>
      <c r="C576" s="2" t="str">
        <f>IFERROR(__xludf.DUMMYFUNCTION("""COMPUTED_VALUE"""),"FAIZ")</f>
        <v>FAIZ</v>
      </c>
      <c r="D576" s="2" t="str">
        <f>IFERROR(__xludf.DUMMYFUNCTION("""COMPUTED_VALUE"""),"10KM OVERALL M")</f>
        <v>10KM OVERALL M</v>
      </c>
      <c r="E576" s="1">
        <f>IFERROR(__xludf.DUMMYFUNCTION("""COMPUTED_VALUE"""),1.0)</f>
        <v>1</v>
      </c>
      <c r="F576" s="1" t="str">
        <f>IFERROR(__xludf.DUMMYFUNCTION("""COMPUTED_VALUE"""),"Male")</f>
        <v>Male</v>
      </c>
      <c r="G576" s="4" t="str">
        <f>IFERROR(__xludf.DUMMYFUNCTION("""COMPUTED_VALUE"""),"")</f>
        <v/>
      </c>
      <c r="H576" s="4" t="b">
        <f>IFERROR(__xludf.DUMMYFUNCTION("""COMPUTED_VALUE"""),FALSE)</f>
        <v>0</v>
      </c>
      <c r="I576" s="4">
        <f>IFERROR(__xludf.DUMMYFUNCTION("""COMPUTED_VALUE"""),0.24646185185185185)</f>
        <v>0.2464618519</v>
      </c>
      <c r="J576" s="4" t="str">
        <f>IFERROR(__xludf.DUMMYFUNCTION("""COMPUTED_VALUE"""),"")</f>
        <v/>
      </c>
      <c r="K576" s="4" t="str">
        <f>IFERROR(__xludf.DUMMYFUNCTION("""COMPUTED_VALUE"""),"")</f>
        <v/>
      </c>
      <c r="L576" s="4" t="str">
        <f>IFERROR(__xludf.DUMMYFUNCTION("""COMPUTED_VALUE"""),"")</f>
        <v/>
      </c>
      <c r="M576" s="1" t="str">
        <f>IFERROR(__xludf.DUMMYFUNCTION("""COMPUTED_VALUE"""),"RFID")</f>
        <v>RFID</v>
      </c>
      <c r="N576" s="5" t="str">
        <f>IFERROR(__xludf.DUMMYFUNCTION("""COMPUTED_VALUE"""),"")</f>
        <v/>
      </c>
      <c r="O576" s="5" t="str">
        <f>IFERROR(__xludf.DUMMYFUNCTION("""COMPUTED_VALUE"""),"")</f>
        <v/>
      </c>
      <c r="P576" s="5" t="str">
        <f>IFERROR(__xludf.DUMMYFUNCTION("""COMPUTED_VALUE"""),"")</f>
        <v/>
      </c>
      <c r="Q576" s="5" t="str">
        <f>IFERROR(__xludf.DUMMYFUNCTION("""COMPUTED_VALUE"""),"")</f>
        <v/>
      </c>
      <c r="R576" s="4" t="str">
        <f>IFERROR(__xludf.DUMMYFUNCTION("""COMPUTED_VALUE"""),"")</f>
        <v/>
      </c>
      <c r="S576" s="1" t="b">
        <f>IFERROR(__xludf.DUMMYFUNCTION("""COMPUTED_VALUE"""),FALSE)</f>
        <v>0</v>
      </c>
      <c r="T576" s="1" t="b">
        <f>IFERROR(__xludf.DUMMYFUNCTION("""COMPUTED_VALUE"""),FALSE)</f>
        <v>0</v>
      </c>
      <c r="U576" s="1" t="str">
        <f>IFERROR(__xludf.DUMMYFUNCTION("""COMPUTED_VALUE"""),"DSQ")</f>
        <v>DSQ</v>
      </c>
      <c r="V576" s="1" t="str">
        <f>IFERROR(__xludf.DUMMYFUNCTION("""COMPUTED_VALUE"""),"DSQ")</f>
        <v>DSQ</v>
      </c>
      <c r="W576" s="1" t="str">
        <f>IFERROR(__xludf.DUMMYFUNCTION("""COMPUTED_VALUE"""),"DSQ")</f>
        <v>DSQ</v>
      </c>
      <c r="X576" s="1" t="str">
        <f>IFERROR(__xludf.DUMMYFUNCTION("""COMPUTED_VALUE"""),"DSQ")</f>
        <v>DSQ</v>
      </c>
      <c r="Y576" s="2"/>
      <c r="Z576" s="2" t="str">
        <f>IFERROR(__xludf.DUMMYFUNCTION("""COMPUTED_VALUE"""),"")</f>
        <v/>
      </c>
    </row>
    <row r="577">
      <c r="A577" s="1">
        <f>IFERROR(__xludf.DUMMYFUNCTION("""COMPUTED_VALUE"""),576.0)</f>
        <v>576</v>
      </c>
      <c r="B577" s="1">
        <f>IFERROR(__xludf.DUMMYFUNCTION("""COMPUTED_VALUE"""),10450.0)</f>
        <v>10450</v>
      </c>
      <c r="C577" s="2" t="str">
        <f>IFERROR(__xludf.DUMMYFUNCTION("""COMPUTED_VALUE"""),"Pelari Badak")</f>
        <v>Pelari Badak</v>
      </c>
      <c r="D577" s="2" t="str">
        <f>IFERROR(__xludf.DUMMYFUNCTION("""COMPUTED_VALUE"""),"10KM OVERALL M")</f>
        <v>10KM OVERALL M</v>
      </c>
      <c r="E577" s="1">
        <f>IFERROR(__xludf.DUMMYFUNCTION("""COMPUTED_VALUE"""),1.0)</f>
        <v>1</v>
      </c>
      <c r="F577" s="1" t="str">
        <f>IFERROR(__xludf.DUMMYFUNCTION("""COMPUTED_VALUE"""),"Male")</f>
        <v>Male</v>
      </c>
      <c r="G577" s="4" t="b">
        <f>IFERROR(__xludf.DUMMYFUNCTION("""COMPUTED_VALUE"""),TRUE)</f>
        <v>1</v>
      </c>
      <c r="H577" s="4" t="b">
        <f>IFERROR(__xludf.DUMMYFUNCTION("""COMPUTED_VALUE"""),FALSE)</f>
        <v>0</v>
      </c>
      <c r="I577" s="4">
        <f>IFERROR(__xludf.DUMMYFUNCTION("""COMPUTED_VALUE"""),0.24646185185185185)</f>
        <v>0.2464618519</v>
      </c>
      <c r="J577" s="4">
        <f>IFERROR(__xludf.DUMMYFUNCTION("""COMPUTED_VALUE"""),45949.25916560995)</f>
        <v>45949.25917</v>
      </c>
      <c r="K577" s="4">
        <f>IFERROR(__xludf.DUMMYFUNCTION("""COMPUTED_VALUE"""),45949.30029431264)</f>
        <v>45949.30029</v>
      </c>
      <c r="L577" s="4">
        <f>IFERROR(__xludf.DUMMYFUNCTION("""COMPUTED_VALUE"""),45949.311261574076)</f>
        <v>45949.31126</v>
      </c>
      <c r="M577" s="1" t="str">
        <f>IFERROR(__xludf.DUMMYFUNCTION("""COMPUTED_VALUE"""),"RFID")</f>
        <v>RFID</v>
      </c>
      <c r="N577" s="5">
        <f>IFERROR(__xludf.DUMMYFUNCTION("""COMPUTED_VALUE"""),0.005081504629629629)</f>
        <v>0.00508150463</v>
      </c>
      <c r="O577" s="5">
        <f>IFERROR(__xludf.DUMMYFUNCTION("""COMPUTED_VALUE"""),0.01645148148148148)</f>
        <v>0.01645148148</v>
      </c>
      <c r="P577" s="5">
        <f>IFERROR(__xludf.DUMMYFUNCTION("""COMPUTED_VALUE"""),0.004513276310459377)</f>
        <v>0.00451327631</v>
      </c>
      <c r="Q577" s="5">
        <f>IFERROR(__xludf.DUMMYFUNCTION("""COMPUTED_VALUE"""),0.006479972222222222)</f>
        <v>0.006479972222</v>
      </c>
      <c r="R577" s="4">
        <f>IFERROR(__xludf.DUMMYFUNCTION("""COMPUTED_VALUE"""),45949.064799722226)</f>
        <v>45949.0648</v>
      </c>
      <c r="S577" s="1" t="b">
        <f>IFERROR(__xludf.DUMMYFUNCTION("""COMPUTED_VALUE"""),TRUE)</f>
        <v>1</v>
      </c>
      <c r="T577" s="1" t="b">
        <f>IFERROR(__xludf.DUMMYFUNCTION("""COMPUTED_VALUE"""),FALSE)</f>
        <v>0</v>
      </c>
      <c r="U577" s="1" t="str">
        <f>IFERROR(__xludf.DUMMYFUNCTION("""COMPUTED_VALUE"""),"VALID")</f>
        <v>VALID</v>
      </c>
      <c r="V577" s="1">
        <f>IFERROR(__xludf.DUMMYFUNCTION("""COMPUTED_VALUE"""),565.0)</f>
        <v>565</v>
      </c>
      <c r="W577" s="1">
        <f>IFERROR(__xludf.DUMMYFUNCTION("""COMPUTED_VALUE"""),697.0)</f>
        <v>697</v>
      </c>
      <c r="X577" s="1">
        <f>IFERROR(__xludf.DUMMYFUNCTION("""COMPUTED_VALUE"""),1643.0)</f>
        <v>1643</v>
      </c>
      <c r="Y577" s="2"/>
      <c r="Z577" s="2"/>
    </row>
    <row r="578">
      <c r="A578" s="1">
        <f>IFERROR(__xludf.DUMMYFUNCTION("""COMPUTED_VALUE"""),577.0)</f>
        <v>577</v>
      </c>
      <c r="B578" s="1">
        <f>IFERROR(__xludf.DUMMYFUNCTION("""COMPUTED_VALUE"""),10451.0)</f>
        <v>10451</v>
      </c>
      <c r="C578" s="2" t="str">
        <f>IFERROR(__xludf.DUMMYFUNCTION("""COMPUTED_VALUE"""),"awan")</f>
        <v>awan</v>
      </c>
      <c r="D578" s="2" t="str">
        <f>IFERROR(__xludf.DUMMYFUNCTION("""COMPUTED_VALUE"""),"10KM OVERALL M")</f>
        <v>10KM OVERALL M</v>
      </c>
      <c r="E578" s="1">
        <f>IFERROR(__xludf.DUMMYFUNCTION("""COMPUTED_VALUE"""),1.0)</f>
        <v>1</v>
      </c>
      <c r="F578" s="1" t="str">
        <f>IFERROR(__xludf.DUMMYFUNCTION("""COMPUTED_VALUE"""),"Male")</f>
        <v>Male</v>
      </c>
      <c r="G578" s="4" t="str">
        <f>IFERROR(__xludf.DUMMYFUNCTION("""COMPUTED_VALUE"""),"")</f>
        <v/>
      </c>
      <c r="H578" s="4" t="b">
        <f>IFERROR(__xludf.DUMMYFUNCTION("""COMPUTED_VALUE"""),TRUE)</f>
        <v>1</v>
      </c>
      <c r="I578" s="4">
        <f>IFERROR(__xludf.DUMMYFUNCTION("""COMPUTED_VALUE"""),0.24646185185185185)</f>
        <v>0.2464618519</v>
      </c>
      <c r="J578" s="4">
        <f>IFERROR(__xludf.DUMMYFUNCTION("""COMPUTED_VALUE"""),45949.25989128065)</f>
        <v>45949.25989</v>
      </c>
      <c r="K578" s="4">
        <f>IFERROR(__xludf.DUMMYFUNCTION("""COMPUTED_VALUE"""),45949.29837418129)</f>
        <v>45949.29837</v>
      </c>
      <c r="L578" s="4">
        <f>IFERROR(__xludf.DUMMYFUNCTION("""COMPUTED_VALUE"""),45949.309981138096)</f>
        <v>45949.30998</v>
      </c>
      <c r="M578" s="1" t="str">
        <f>IFERROR(__xludf.DUMMYFUNCTION("""COMPUTED_VALUE"""),"RFID")</f>
        <v>RFID</v>
      </c>
      <c r="N578" s="5">
        <f>IFERROR(__xludf.DUMMYFUNCTION("""COMPUTED_VALUE"""),0.005371773148148148)</f>
        <v>0.005371773148</v>
      </c>
      <c r="O578" s="5">
        <f>IFERROR(__xludf.DUMMYFUNCTION("""COMPUTED_VALUE"""),0.015393162037037037)</f>
        <v>0.01539316204</v>
      </c>
      <c r="P578" s="5">
        <f>IFERROR(__xludf.DUMMYFUNCTION("""COMPUTED_VALUE"""),0.004776525433336235)</f>
        <v>0.004776525433</v>
      </c>
      <c r="Q578" s="5">
        <f>IFERROR(__xludf.DUMMYFUNCTION("""COMPUTED_VALUE"""),0.006351928240740741)</f>
        <v>0.006351928241</v>
      </c>
      <c r="R578" s="4">
        <f>IFERROR(__xludf.DUMMYFUNCTION("""COMPUTED_VALUE"""),45949.06351928625)</f>
        <v>45949.06352</v>
      </c>
      <c r="S578" s="1" t="b">
        <f>IFERROR(__xludf.DUMMYFUNCTION("""COMPUTED_VALUE"""),TRUE)</f>
        <v>1</v>
      </c>
      <c r="T578" s="1" t="b">
        <f>IFERROR(__xludf.DUMMYFUNCTION("""COMPUTED_VALUE"""),FALSE)</f>
        <v>0</v>
      </c>
      <c r="U578" s="1" t="str">
        <f>IFERROR(__xludf.DUMMYFUNCTION("""COMPUTED_VALUE"""),"VALID")</f>
        <v>VALID</v>
      </c>
      <c r="V578" s="1">
        <f>IFERROR(__xludf.DUMMYFUNCTION("""COMPUTED_VALUE"""),556.0)</f>
        <v>556</v>
      </c>
      <c r="W578" s="1">
        <f>IFERROR(__xludf.DUMMYFUNCTION("""COMPUTED_VALUE"""),684.0)</f>
        <v>684</v>
      </c>
      <c r="X578" s="1">
        <f>IFERROR(__xludf.DUMMYFUNCTION("""COMPUTED_VALUE"""),1632.0)</f>
        <v>1632</v>
      </c>
      <c r="Y578" s="2"/>
      <c r="Z578" s="2"/>
    </row>
    <row r="579">
      <c r="A579" s="1">
        <f>IFERROR(__xludf.DUMMYFUNCTION("""COMPUTED_VALUE"""),578.0)</f>
        <v>578</v>
      </c>
      <c r="B579" s="1">
        <f>IFERROR(__xludf.DUMMYFUNCTION("""COMPUTED_VALUE"""),10452.0)</f>
        <v>10452</v>
      </c>
      <c r="C579" s="2" t="str">
        <f>IFERROR(__xludf.DUMMYFUNCTION("""COMPUTED_VALUE"""),"Aam")</f>
        <v>Aam</v>
      </c>
      <c r="D579" s="2" t="str">
        <f>IFERROR(__xludf.DUMMYFUNCTION("""COMPUTED_VALUE"""),"10KM OVERALL M")</f>
        <v>10KM OVERALL M</v>
      </c>
      <c r="E579" s="1">
        <f>IFERROR(__xludf.DUMMYFUNCTION("""COMPUTED_VALUE"""),1.0)</f>
        <v>1</v>
      </c>
      <c r="F579" s="1" t="str">
        <f>IFERROR(__xludf.DUMMYFUNCTION("""COMPUTED_VALUE"""),"Male")</f>
        <v>Male</v>
      </c>
      <c r="G579" s="4" t="b">
        <f>IFERROR(__xludf.DUMMYFUNCTION("""COMPUTED_VALUE"""),TRUE)</f>
        <v>1</v>
      </c>
      <c r="H579" s="4" t="b">
        <f>IFERROR(__xludf.DUMMYFUNCTION("""COMPUTED_VALUE"""),TRUE)</f>
        <v>1</v>
      </c>
      <c r="I579" s="4">
        <f>IFERROR(__xludf.DUMMYFUNCTION("""COMPUTED_VALUE"""),0.24646185185185185)</f>
        <v>0.2464618519</v>
      </c>
      <c r="J579" s="4">
        <f>IFERROR(__xludf.DUMMYFUNCTION("""COMPUTED_VALUE"""),45949.2585822503)</f>
        <v>45949.25858</v>
      </c>
      <c r="K579" s="4">
        <f>IFERROR(__xludf.DUMMYFUNCTION("""COMPUTED_VALUE"""),45949.28764477228)</f>
        <v>45949.28764</v>
      </c>
      <c r="L579" s="4">
        <f>IFERROR(__xludf.DUMMYFUNCTION("""COMPUTED_VALUE"""),45949.294734199066)</f>
        <v>45949.29473</v>
      </c>
      <c r="M579" s="1" t="str">
        <f>IFERROR(__xludf.DUMMYFUNCTION("""COMPUTED_VALUE"""),"RFID")</f>
        <v>RFID</v>
      </c>
      <c r="N579" s="5">
        <f>IFERROR(__xludf.DUMMYFUNCTION("""COMPUTED_VALUE"""),0.004848157407407407)</f>
        <v>0.004848157407</v>
      </c>
      <c r="O579" s="5">
        <f>IFERROR(__xludf.DUMMYFUNCTION("""COMPUTED_VALUE"""),0.011625009259259259)</f>
        <v>0.01162500926</v>
      </c>
      <c r="P579" s="5">
        <f>IFERROR(__xludf.DUMMYFUNCTION("""COMPUTED_VALUE"""),0.0029174595821645)</f>
        <v>0.002917459582</v>
      </c>
      <c r="Q579" s="5">
        <f>IFERROR(__xludf.DUMMYFUNCTION("""COMPUTED_VALUE"""),0.004827234953703703)</f>
        <v>0.004827234954</v>
      </c>
      <c r="R579" s="4">
        <f>IFERROR(__xludf.DUMMYFUNCTION("""COMPUTED_VALUE"""),45949.048272347216)</f>
        <v>45949.04827</v>
      </c>
      <c r="S579" s="1" t="b">
        <f>IFERROR(__xludf.DUMMYFUNCTION("""COMPUTED_VALUE"""),TRUE)</f>
        <v>1</v>
      </c>
      <c r="T579" s="1" t="b">
        <f>IFERROR(__xludf.DUMMYFUNCTION("""COMPUTED_VALUE"""),FALSE)</f>
        <v>0</v>
      </c>
      <c r="U579" s="1" t="str">
        <f>IFERROR(__xludf.DUMMYFUNCTION("""COMPUTED_VALUE"""),"VALID")</f>
        <v>VALID</v>
      </c>
      <c r="V579" s="1">
        <f>IFERROR(__xludf.DUMMYFUNCTION("""COMPUTED_VALUE"""),292.0)</f>
        <v>292</v>
      </c>
      <c r="W579" s="1">
        <f>IFERROR(__xludf.DUMMYFUNCTION("""COMPUTED_VALUE"""),345.0)</f>
        <v>345</v>
      </c>
      <c r="X579" s="1">
        <f>IFERROR(__xludf.DUMMYFUNCTION("""COMPUTED_VALUE"""),1319.0)</f>
        <v>1319</v>
      </c>
      <c r="Y579" s="2"/>
      <c r="Z579" s="2"/>
    </row>
    <row r="580">
      <c r="A580" s="1">
        <f>IFERROR(__xludf.DUMMYFUNCTION("""COMPUTED_VALUE"""),579.0)</f>
        <v>579</v>
      </c>
      <c r="B580" s="1">
        <f>IFERROR(__xludf.DUMMYFUNCTION("""COMPUTED_VALUE"""),10453.0)</f>
        <v>10453</v>
      </c>
      <c r="C580" s="2" t="str">
        <f>IFERROR(__xludf.DUMMYFUNCTION("""COMPUTED_VALUE"""),"Nico")</f>
        <v>Nico</v>
      </c>
      <c r="D580" s="2" t="str">
        <f>IFERROR(__xludf.DUMMYFUNCTION("""COMPUTED_VALUE"""),"10KM OVERALL M")</f>
        <v>10KM OVERALL M</v>
      </c>
      <c r="E580" s="1">
        <f>IFERROR(__xludf.DUMMYFUNCTION("""COMPUTED_VALUE"""),1.0)</f>
        <v>1</v>
      </c>
      <c r="F580" s="1" t="str">
        <f>IFERROR(__xludf.DUMMYFUNCTION("""COMPUTED_VALUE"""),"Male")</f>
        <v>Male</v>
      </c>
      <c r="G580" s="4" t="str">
        <f>IFERROR(__xludf.DUMMYFUNCTION("""COMPUTED_VALUE"""),"")</f>
        <v/>
      </c>
      <c r="H580" s="4" t="b">
        <f>IFERROR(__xludf.DUMMYFUNCTION("""COMPUTED_VALUE"""),FALSE)</f>
        <v>0</v>
      </c>
      <c r="I580" s="4">
        <f>IFERROR(__xludf.DUMMYFUNCTION("""COMPUTED_VALUE"""),0.24646185185185185)</f>
        <v>0.2464618519</v>
      </c>
      <c r="J580" s="4">
        <f>IFERROR(__xludf.DUMMYFUNCTION("""COMPUTED_VALUE"""),45949.25945032193)</f>
        <v>45949.25945</v>
      </c>
      <c r="K580" s="4">
        <f>IFERROR(__xludf.DUMMYFUNCTION("""COMPUTED_VALUE"""),45949.29999570521)</f>
        <v>45949.3</v>
      </c>
      <c r="L580" s="4">
        <f>IFERROR(__xludf.DUMMYFUNCTION("""COMPUTED_VALUE"""),45949.31168905882)</f>
        <v>45949.31169</v>
      </c>
      <c r="M580" s="1" t="str">
        <f>IFERROR(__xludf.DUMMYFUNCTION("""COMPUTED_VALUE"""),"RFID")</f>
        <v>RFID</v>
      </c>
      <c r="N580" s="5">
        <f>IFERROR(__xludf.DUMMYFUNCTION("""COMPUTED_VALUE"""),0.005195388888888889)</f>
        <v>0.005195388889</v>
      </c>
      <c r="O580" s="5">
        <f>IFERROR(__xludf.DUMMYFUNCTION("""COMPUTED_VALUE"""),0.01621815277777778)</f>
        <v>0.01621815278</v>
      </c>
      <c r="P580" s="5">
        <f>IFERROR(__xludf.DUMMYFUNCTION("""COMPUTED_VALUE"""),0.004812079675686296)</f>
        <v>0.004812079676</v>
      </c>
      <c r="Q580" s="5">
        <f>IFERROR(__xludf.DUMMYFUNCTION("""COMPUTED_VALUE"""),0.006522721064814815)</f>
        <v>0.006522721065</v>
      </c>
      <c r="R580" s="4">
        <f>IFERROR(__xludf.DUMMYFUNCTION("""COMPUTED_VALUE"""),45949.06522720697)</f>
        <v>45949.06523</v>
      </c>
      <c r="S580" s="1" t="b">
        <f>IFERROR(__xludf.DUMMYFUNCTION("""COMPUTED_VALUE"""),TRUE)</f>
        <v>1</v>
      </c>
      <c r="T580" s="1" t="b">
        <f>IFERROR(__xludf.DUMMYFUNCTION("""COMPUTED_VALUE"""),FALSE)</f>
        <v>0</v>
      </c>
      <c r="U580" s="1" t="str">
        <f>IFERROR(__xludf.DUMMYFUNCTION("""COMPUTED_VALUE"""),"VALID")</f>
        <v>VALID</v>
      </c>
      <c r="V580" s="1">
        <f>IFERROR(__xludf.DUMMYFUNCTION("""COMPUTED_VALUE"""),569.0)</f>
        <v>569</v>
      </c>
      <c r="W580" s="1">
        <f>IFERROR(__xludf.DUMMYFUNCTION("""COMPUTED_VALUE"""),701.0)</f>
        <v>701</v>
      </c>
      <c r="X580" s="1">
        <f>IFERROR(__xludf.DUMMYFUNCTION("""COMPUTED_VALUE"""),1646.0)</f>
        <v>1646</v>
      </c>
      <c r="Y580" s="2"/>
      <c r="Z580" s="2"/>
    </row>
    <row r="581">
      <c r="A581" s="1">
        <f>IFERROR(__xludf.DUMMYFUNCTION("""COMPUTED_VALUE"""),580.0)</f>
        <v>580</v>
      </c>
      <c r="B581" s="1">
        <f>IFERROR(__xludf.DUMMYFUNCTION("""COMPUTED_VALUE"""),10454.0)</f>
        <v>10454</v>
      </c>
      <c r="C581" s="2" t="str">
        <f>IFERROR(__xludf.DUMMYFUNCTION("""COMPUTED_VALUE"""),"fanie")</f>
        <v>fanie</v>
      </c>
      <c r="D581" s="2" t="str">
        <f>IFERROR(__xludf.DUMMYFUNCTION("""COMPUTED_VALUE"""),"10KM OVERALL M")</f>
        <v>10KM OVERALL M</v>
      </c>
      <c r="E581" s="1">
        <f>IFERROR(__xludf.DUMMYFUNCTION("""COMPUTED_VALUE"""),1.0)</f>
        <v>1</v>
      </c>
      <c r="F581" s="1" t="str">
        <f>IFERROR(__xludf.DUMMYFUNCTION("""COMPUTED_VALUE"""),"Male")</f>
        <v>Male</v>
      </c>
      <c r="G581" s="4" t="b">
        <f>IFERROR(__xludf.DUMMYFUNCTION("""COMPUTED_VALUE"""),TRUE)</f>
        <v>1</v>
      </c>
      <c r="H581" s="4" t="b">
        <f>IFERROR(__xludf.DUMMYFUNCTION("""COMPUTED_VALUE"""),TRUE)</f>
        <v>1</v>
      </c>
      <c r="I581" s="4">
        <f>IFERROR(__xludf.DUMMYFUNCTION("""COMPUTED_VALUE"""),0.24646185185185185)</f>
        <v>0.2464618519</v>
      </c>
      <c r="J581" s="4">
        <f>IFERROR(__xludf.DUMMYFUNCTION("""COMPUTED_VALUE"""),45949.26031495277)</f>
        <v>45949.26031</v>
      </c>
      <c r="K581" s="4">
        <f>IFERROR(__xludf.DUMMYFUNCTION("""COMPUTED_VALUE"""),45949.28820380059)</f>
        <v>45949.2882</v>
      </c>
      <c r="L581" s="4">
        <f>IFERROR(__xludf.DUMMYFUNCTION("""COMPUTED_VALUE"""),45949.297099824376)</f>
        <v>45949.2971</v>
      </c>
      <c r="M581" s="1" t="str">
        <f>IFERROR(__xludf.DUMMYFUNCTION("""COMPUTED_VALUE"""),"RFID")</f>
        <v>RFID</v>
      </c>
      <c r="N581" s="5">
        <f>IFERROR(__xludf.DUMMYFUNCTION("""COMPUTED_VALUE"""),0.005541240740740741)</f>
        <v>0.005541240741</v>
      </c>
      <c r="O581" s="5">
        <f>IFERROR(__xludf.DUMMYFUNCTION("""COMPUTED_VALUE"""),0.011155537037037037)</f>
        <v>0.01115553704</v>
      </c>
      <c r="P581" s="5">
        <f>IFERROR(__xludf.DUMMYFUNCTION("""COMPUTED_VALUE"""),0.0036609151376432395)</f>
        <v>0.003660915138</v>
      </c>
      <c r="Q581" s="5">
        <f>IFERROR(__xludf.DUMMYFUNCTION("""COMPUTED_VALUE"""),0.005063797453703703)</f>
        <v>0.005063797454</v>
      </c>
      <c r="R581" s="4">
        <f>IFERROR(__xludf.DUMMYFUNCTION("""COMPUTED_VALUE"""),45949.05063797253)</f>
        <v>45949.05064</v>
      </c>
      <c r="S581" s="1" t="b">
        <f>IFERROR(__xludf.DUMMYFUNCTION("""COMPUTED_VALUE"""),TRUE)</f>
        <v>1</v>
      </c>
      <c r="T581" s="1" t="b">
        <f>IFERROR(__xludf.DUMMYFUNCTION("""COMPUTED_VALUE"""),FALSE)</f>
        <v>0</v>
      </c>
      <c r="U581" s="1" t="str">
        <f>IFERROR(__xludf.DUMMYFUNCTION("""COMPUTED_VALUE"""),"VALID")</f>
        <v>VALID</v>
      </c>
      <c r="V581" s="1">
        <f>IFERROR(__xludf.DUMMYFUNCTION("""COMPUTED_VALUE"""),360.0)</f>
        <v>360</v>
      </c>
      <c r="W581" s="1">
        <f>IFERROR(__xludf.DUMMYFUNCTION("""COMPUTED_VALUE"""),424.0)</f>
        <v>424</v>
      </c>
      <c r="X581" s="1">
        <f>IFERROR(__xludf.DUMMYFUNCTION("""COMPUTED_VALUE"""),1404.0)</f>
        <v>1404</v>
      </c>
      <c r="Y581" s="2"/>
      <c r="Z581" s="2"/>
    </row>
    <row r="582">
      <c r="A582" s="1">
        <f>IFERROR(__xludf.DUMMYFUNCTION("""COMPUTED_VALUE"""),581.0)</f>
        <v>581</v>
      </c>
      <c r="B582" s="1">
        <f>IFERROR(__xludf.DUMMYFUNCTION("""COMPUTED_VALUE"""),10456.0)</f>
        <v>10456</v>
      </c>
      <c r="C582" s="2" t="str">
        <f>IFERROR(__xludf.DUMMYFUNCTION("""COMPUTED_VALUE"""),"Afendy Chandra Kurnia")</f>
        <v>Afendy Chandra Kurnia</v>
      </c>
      <c r="D582" s="2" t="str">
        <f>IFERROR(__xludf.DUMMYFUNCTION("""COMPUTED_VALUE"""),"10KM OVERALL M")</f>
        <v>10KM OVERALL M</v>
      </c>
      <c r="E582" s="1">
        <f>IFERROR(__xludf.DUMMYFUNCTION("""COMPUTED_VALUE"""),1.0)</f>
        <v>1</v>
      </c>
      <c r="F582" s="1" t="str">
        <f>IFERROR(__xludf.DUMMYFUNCTION("""COMPUTED_VALUE"""),"Male")</f>
        <v>Male</v>
      </c>
      <c r="G582" s="4" t="str">
        <f>IFERROR(__xludf.DUMMYFUNCTION("""COMPUTED_VALUE"""),"")</f>
        <v/>
      </c>
      <c r="H582" s="4" t="b">
        <f>IFERROR(__xludf.DUMMYFUNCTION("""COMPUTED_VALUE"""),FALSE)</f>
        <v>0</v>
      </c>
      <c r="I582" s="4">
        <f>IFERROR(__xludf.DUMMYFUNCTION("""COMPUTED_VALUE"""),0.24646185185185185)</f>
        <v>0.2464618519</v>
      </c>
      <c r="J582" s="4" t="str">
        <f>IFERROR(__xludf.DUMMYFUNCTION("""COMPUTED_VALUE"""),"")</f>
        <v/>
      </c>
      <c r="K582" s="4" t="str">
        <f>IFERROR(__xludf.DUMMYFUNCTION("""COMPUTED_VALUE"""),"")</f>
        <v/>
      </c>
      <c r="L582" s="4" t="str">
        <f>IFERROR(__xludf.DUMMYFUNCTION("""COMPUTED_VALUE"""),"")</f>
        <v/>
      </c>
      <c r="M582" s="1" t="str">
        <f>IFERROR(__xludf.DUMMYFUNCTION("""COMPUTED_VALUE"""),"RFID")</f>
        <v>RFID</v>
      </c>
      <c r="N582" s="5" t="str">
        <f>IFERROR(__xludf.DUMMYFUNCTION("""COMPUTED_VALUE"""),"")</f>
        <v/>
      </c>
      <c r="O582" s="5" t="str">
        <f>IFERROR(__xludf.DUMMYFUNCTION("""COMPUTED_VALUE"""),"")</f>
        <v/>
      </c>
      <c r="P582" s="5" t="str">
        <f>IFERROR(__xludf.DUMMYFUNCTION("""COMPUTED_VALUE"""),"")</f>
        <v/>
      </c>
      <c r="Q582" s="5" t="str">
        <f>IFERROR(__xludf.DUMMYFUNCTION("""COMPUTED_VALUE"""),"")</f>
        <v/>
      </c>
      <c r="R582" s="4" t="str">
        <f>IFERROR(__xludf.DUMMYFUNCTION("""COMPUTED_VALUE"""),"")</f>
        <v/>
      </c>
      <c r="S582" s="1" t="b">
        <f>IFERROR(__xludf.DUMMYFUNCTION("""COMPUTED_VALUE"""),FALSE)</f>
        <v>0</v>
      </c>
      <c r="T582" s="1" t="b">
        <f>IFERROR(__xludf.DUMMYFUNCTION("""COMPUTED_VALUE"""),FALSE)</f>
        <v>0</v>
      </c>
      <c r="U582" s="1" t="str">
        <f>IFERROR(__xludf.DUMMYFUNCTION("""COMPUTED_VALUE"""),"DSQ")</f>
        <v>DSQ</v>
      </c>
      <c r="V582" s="1" t="str">
        <f>IFERROR(__xludf.DUMMYFUNCTION("""COMPUTED_VALUE"""),"DSQ")</f>
        <v>DSQ</v>
      </c>
      <c r="W582" s="1" t="str">
        <f>IFERROR(__xludf.DUMMYFUNCTION("""COMPUTED_VALUE"""),"DSQ")</f>
        <v>DSQ</v>
      </c>
      <c r="X582" s="1" t="str">
        <f>IFERROR(__xludf.DUMMYFUNCTION("""COMPUTED_VALUE"""),"DSQ")</f>
        <v>DSQ</v>
      </c>
      <c r="Y582" s="2"/>
      <c r="Z582" s="2" t="str">
        <f>IFERROR(__xludf.DUMMYFUNCTION("""COMPUTED_VALUE"""),"")</f>
        <v/>
      </c>
    </row>
    <row r="583">
      <c r="A583" s="1">
        <f>IFERROR(__xludf.DUMMYFUNCTION("""COMPUTED_VALUE"""),582.0)</f>
        <v>582</v>
      </c>
      <c r="B583" s="1">
        <f>IFERROR(__xludf.DUMMYFUNCTION("""COMPUTED_VALUE"""),10457.0)</f>
        <v>10457</v>
      </c>
      <c r="C583" s="2" t="str">
        <f>IFERROR(__xludf.DUMMYFUNCTION("""COMPUTED_VALUE"""),"chrystanto novendi")</f>
        <v>chrystanto novendi</v>
      </c>
      <c r="D583" s="2" t="str">
        <f>IFERROR(__xludf.DUMMYFUNCTION("""COMPUTED_VALUE"""),"10KM OVERALL M")</f>
        <v>10KM OVERALL M</v>
      </c>
      <c r="E583" s="1">
        <f>IFERROR(__xludf.DUMMYFUNCTION("""COMPUTED_VALUE"""),1.0)</f>
        <v>1</v>
      </c>
      <c r="F583" s="1" t="str">
        <f>IFERROR(__xludf.DUMMYFUNCTION("""COMPUTED_VALUE"""),"Male")</f>
        <v>Male</v>
      </c>
      <c r="G583" s="4" t="b">
        <f>IFERROR(__xludf.DUMMYFUNCTION("""COMPUTED_VALUE"""),TRUE)</f>
        <v>1</v>
      </c>
      <c r="H583" s="4" t="b">
        <f>IFERROR(__xludf.DUMMYFUNCTION("""COMPUTED_VALUE"""),FALSE)</f>
        <v>0</v>
      </c>
      <c r="I583" s="4">
        <f>IFERROR(__xludf.DUMMYFUNCTION("""COMPUTED_VALUE"""),0.24646185185185185)</f>
        <v>0.2464618519</v>
      </c>
      <c r="J583" s="4">
        <f>IFERROR(__xludf.DUMMYFUNCTION("""COMPUTED_VALUE"""),45949.25781500518)</f>
        <v>45949.25782</v>
      </c>
      <c r="K583" s="4">
        <f>IFERROR(__xludf.DUMMYFUNCTION("""COMPUTED_VALUE"""),45949.29240541994)</f>
        <v>45949.29241</v>
      </c>
      <c r="L583" s="4">
        <f>IFERROR(__xludf.DUMMYFUNCTION("""COMPUTED_VALUE"""),45949.30386614206)</f>
        <v>45949.30387</v>
      </c>
      <c r="M583" s="1" t="str">
        <f>IFERROR(__xludf.DUMMYFUNCTION("""COMPUTED_VALUE"""),"RFID")</f>
        <v>RFID</v>
      </c>
      <c r="N583" s="5">
        <f>IFERROR(__xludf.DUMMYFUNCTION("""COMPUTED_VALUE"""),0.00454125925925926)</f>
        <v>0.004541259259</v>
      </c>
      <c r="O583" s="5">
        <f>IFERROR(__xludf.DUMMYFUNCTION("""COMPUTED_VALUE"""),0.013836166666666667)</f>
        <v>0.01383616667</v>
      </c>
      <c r="P583" s="5">
        <f>IFERROR(__xludf.DUMMYFUNCTION("""COMPUTED_VALUE"""),0.0047163465508229165)</f>
        <v>0.004716346551</v>
      </c>
      <c r="Q583" s="5">
        <f>IFERROR(__xludf.DUMMYFUNCTION("""COMPUTED_VALUE"""),0.005740429398148148)</f>
        <v>0.005740429398</v>
      </c>
      <c r="R583" s="4">
        <f>IFERROR(__xludf.DUMMYFUNCTION("""COMPUTED_VALUE"""),45949.05740429021)</f>
        <v>45949.0574</v>
      </c>
      <c r="S583" s="1" t="b">
        <f>IFERROR(__xludf.DUMMYFUNCTION("""COMPUTED_VALUE"""),TRUE)</f>
        <v>1</v>
      </c>
      <c r="T583" s="1" t="b">
        <f>IFERROR(__xludf.DUMMYFUNCTION("""COMPUTED_VALUE"""),FALSE)</f>
        <v>0</v>
      </c>
      <c r="U583" s="1" t="str">
        <f>IFERROR(__xludf.DUMMYFUNCTION("""COMPUTED_VALUE"""),"VALID")</f>
        <v>VALID</v>
      </c>
      <c r="V583" s="1">
        <f>IFERROR(__xludf.DUMMYFUNCTION("""COMPUTED_VALUE"""),505.0)</f>
        <v>505</v>
      </c>
      <c r="W583" s="1">
        <f>IFERROR(__xludf.DUMMYFUNCTION("""COMPUTED_VALUE"""),611.0)</f>
        <v>611</v>
      </c>
      <c r="X583" s="1">
        <f>IFERROR(__xludf.DUMMYFUNCTION("""COMPUTED_VALUE"""),1577.0)</f>
        <v>1577</v>
      </c>
      <c r="Y583" s="2"/>
      <c r="Z583" s="2"/>
    </row>
    <row r="584">
      <c r="A584" s="1">
        <f>IFERROR(__xludf.DUMMYFUNCTION("""COMPUTED_VALUE"""),583.0)</f>
        <v>583</v>
      </c>
      <c r="B584" s="1">
        <f>IFERROR(__xludf.DUMMYFUNCTION("""COMPUTED_VALUE"""),10458.0)</f>
        <v>10458</v>
      </c>
      <c r="C584" s="2" t="str">
        <f>IFERROR(__xludf.DUMMYFUNCTION("""COMPUTED_VALUE"""),"Yudi")</f>
        <v>Yudi</v>
      </c>
      <c r="D584" s="2" t="str">
        <f>IFERROR(__xludf.DUMMYFUNCTION("""COMPUTED_VALUE"""),"10KM OVERALL M")</f>
        <v>10KM OVERALL M</v>
      </c>
      <c r="E584" s="1">
        <f>IFERROR(__xludf.DUMMYFUNCTION("""COMPUTED_VALUE"""),1.0)</f>
        <v>1</v>
      </c>
      <c r="F584" s="1" t="str">
        <f>IFERROR(__xludf.DUMMYFUNCTION("""COMPUTED_VALUE"""),"Male")</f>
        <v>Male</v>
      </c>
      <c r="G584" s="4" t="b">
        <f>IFERROR(__xludf.DUMMYFUNCTION("""COMPUTED_VALUE"""),TRUE)</f>
        <v>1</v>
      </c>
      <c r="H584" s="4" t="b">
        <f>IFERROR(__xludf.DUMMYFUNCTION("""COMPUTED_VALUE"""),FALSE)</f>
        <v>0</v>
      </c>
      <c r="I584" s="4">
        <f>IFERROR(__xludf.DUMMYFUNCTION("""COMPUTED_VALUE"""),0.24646185185185185)</f>
        <v>0.2464618519</v>
      </c>
      <c r="J584" s="4">
        <f>IFERROR(__xludf.DUMMYFUNCTION("""COMPUTED_VALUE"""),45949.258377434024)</f>
        <v>45949.25838</v>
      </c>
      <c r="K584" s="4">
        <f>IFERROR(__xludf.DUMMYFUNCTION("""COMPUTED_VALUE"""),45949.29274570829)</f>
        <v>45949.29275</v>
      </c>
      <c r="L584" s="4">
        <f>IFERROR(__xludf.DUMMYFUNCTION("""COMPUTED_VALUE"""),45949.30208484461)</f>
        <v>45949.30208</v>
      </c>
      <c r="M584" s="1" t="str">
        <f>IFERROR(__xludf.DUMMYFUNCTION("""COMPUTED_VALUE"""),"RFID")</f>
        <v>RFID</v>
      </c>
      <c r="N584" s="5">
        <f>IFERROR(__xludf.DUMMYFUNCTION("""COMPUTED_VALUE"""),0.0047662314814814815)</f>
        <v>0.004766231481</v>
      </c>
      <c r="O584" s="5">
        <f>IFERROR(__xludf.DUMMYFUNCTION("""COMPUTED_VALUE"""),0.013747310185185185)</f>
        <v>0.01374731019</v>
      </c>
      <c r="P584" s="5">
        <f>IFERROR(__xludf.DUMMYFUNCTION("""COMPUTED_VALUE"""),0.0038432659748500906)</f>
        <v>0.003843265975</v>
      </c>
      <c r="Q584" s="5">
        <f>IFERROR(__xludf.DUMMYFUNCTION("""COMPUTED_VALUE"""),0.0055622997685185185)</f>
        <v>0.005562299769</v>
      </c>
      <c r="R584" s="4">
        <f>IFERROR(__xludf.DUMMYFUNCTION("""COMPUTED_VALUE"""),45949.05562299276)</f>
        <v>45949.05562</v>
      </c>
      <c r="S584" s="1" t="b">
        <f>IFERROR(__xludf.DUMMYFUNCTION("""COMPUTED_VALUE"""),TRUE)</f>
        <v>1</v>
      </c>
      <c r="T584" s="1" t="b">
        <f>IFERROR(__xludf.DUMMYFUNCTION("""COMPUTED_VALUE"""),FALSE)</f>
        <v>0</v>
      </c>
      <c r="U584" s="1" t="str">
        <f>IFERROR(__xludf.DUMMYFUNCTION("""COMPUTED_VALUE"""),"VALID")</f>
        <v>VALID</v>
      </c>
      <c r="V584" s="1">
        <f>IFERROR(__xludf.DUMMYFUNCTION("""COMPUTED_VALUE"""),471.0)</f>
        <v>471</v>
      </c>
      <c r="W584" s="1">
        <f>IFERROR(__xludf.DUMMYFUNCTION("""COMPUTED_VALUE"""),564.0)</f>
        <v>564</v>
      </c>
      <c r="X584" s="1">
        <f>IFERROR(__xludf.DUMMYFUNCTION("""COMPUTED_VALUE"""),1537.0)</f>
        <v>1537</v>
      </c>
      <c r="Y584" s="2"/>
      <c r="Z584" s="2"/>
    </row>
    <row r="585">
      <c r="A585" s="1">
        <f>IFERROR(__xludf.DUMMYFUNCTION("""COMPUTED_VALUE"""),584.0)</f>
        <v>584</v>
      </c>
      <c r="B585" s="1">
        <f>IFERROR(__xludf.DUMMYFUNCTION("""COMPUTED_VALUE"""),10459.0)</f>
        <v>10459</v>
      </c>
      <c r="C585" s="2" t="str">
        <f>IFERROR(__xludf.DUMMYFUNCTION("""COMPUTED_VALUE"""),"SYAID M. R.")</f>
        <v>SYAID M. R.</v>
      </c>
      <c r="D585" s="2" t="str">
        <f>IFERROR(__xludf.DUMMYFUNCTION("""COMPUTED_VALUE"""),"10KM OVERALL M")</f>
        <v>10KM OVERALL M</v>
      </c>
      <c r="E585" s="1">
        <f>IFERROR(__xludf.DUMMYFUNCTION("""COMPUTED_VALUE"""),1.0)</f>
        <v>1</v>
      </c>
      <c r="F585" s="1" t="str">
        <f>IFERROR(__xludf.DUMMYFUNCTION("""COMPUTED_VALUE"""),"Male")</f>
        <v>Male</v>
      </c>
      <c r="G585" s="4" t="b">
        <f>IFERROR(__xludf.DUMMYFUNCTION("""COMPUTED_VALUE"""),TRUE)</f>
        <v>1</v>
      </c>
      <c r="H585" s="4" t="b">
        <f>IFERROR(__xludf.DUMMYFUNCTION("""COMPUTED_VALUE"""),FALSE)</f>
        <v>0</v>
      </c>
      <c r="I585" s="4">
        <f>IFERROR(__xludf.DUMMYFUNCTION("""COMPUTED_VALUE"""),0.24646185185185185)</f>
        <v>0.2464618519</v>
      </c>
      <c r="J585" s="4">
        <f>IFERROR(__xludf.DUMMYFUNCTION("""COMPUTED_VALUE"""),45949.25242251673)</f>
        <v>45949.25242</v>
      </c>
      <c r="K585" s="4">
        <f>IFERROR(__xludf.DUMMYFUNCTION("""COMPUTED_VALUE"""),45949.26895538112)</f>
        <v>45949.26896</v>
      </c>
      <c r="L585" s="4">
        <f>IFERROR(__xludf.DUMMYFUNCTION("""COMPUTED_VALUE"""),45949.27386615449)</f>
        <v>45949.27387</v>
      </c>
      <c r="M585" s="1" t="str">
        <f>IFERROR(__xludf.DUMMYFUNCTION("""COMPUTED_VALUE"""),"RFID")</f>
        <v>RFID</v>
      </c>
      <c r="N585" s="5">
        <f>IFERROR(__xludf.DUMMYFUNCTION("""COMPUTED_VALUE"""),0.002384263888888889)</f>
        <v>0.002384263889</v>
      </c>
      <c r="O585" s="5">
        <f>IFERROR(__xludf.DUMMYFUNCTION("""COMPUTED_VALUE"""),0.006613143518518519)</f>
        <v>0.006613143519</v>
      </c>
      <c r="P585" s="5">
        <f>IFERROR(__xludf.DUMMYFUNCTION("""COMPUTED_VALUE"""),0.002020894391811932)</f>
        <v>0.002020894392</v>
      </c>
      <c r="Q585" s="5">
        <f>IFERROR(__xludf.DUMMYFUNCTION("""COMPUTED_VALUE"""),0.002740430555555556)</f>
        <v>0.002740430556</v>
      </c>
      <c r="R585" s="4">
        <f>IFERROR(__xludf.DUMMYFUNCTION("""COMPUTED_VALUE"""),45949.027404302644)</f>
        <v>45949.0274</v>
      </c>
      <c r="S585" s="1" t="b">
        <f>IFERROR(__xludf.DUMMYFUNCTION("""COMPUTED_VALUE"""),TRUE)</f>
        <v>1</v>
      </c>
      <c r="T585" s="1" t="b">
        <f>IFERROR(__xludf.DUMMYFUNCTION("""COMPUTED_VALUE"""),FALSE)</f>
        <v>0</v>
      </c>
      <c r="U585" s="1" t="str">
        <f>IFERROR(__xludf.DUMMYFUNCTION("""COMPUTED_VALUE"""),"VALID")</f>
        <v>VALID</v>
      </c>
      <c r="V585" s="1">
        <f>IFERROR(__xludf.DUMMYFUNCTION("""COMPUTED_VALUE"""),4.0)</f>
        <v>4</v>
      </c>
      <c r="W585" s="1">
        <f>IFERROR(__xludf.DUMMYFUNCTION("""COMPUTED_VALUE"""),5.0)</f>
        <v>5</v>
      </c>
      <c r="X585" s="1">
        <f>IFERROR(__xludf.DUMMYFUNCTION("""COMPUTED_VALUE"""),345.0)</f>
        <v>345</v>
      </c>
      <c r="Y585" s="2"/>
      <c r="Z585" s="2"/>
    </row>
    <row r="586">
      <c r="A586" s="1">
        <f>IFERROR(__xludf.DUMMYFUNCTION("""COMPUTED_VALUE"""),585.0)</f>
        <v>585</v>
      </c>
      <c r="B586" s="1">
        <f>IFERROR(__xludf.DUMMYFUNCTION("""COMPUTED_VALUE"""),10460.0)</f>
        <v>10460</v>
      </c>
      <c r="C586" s="2" t="str">
        <f>IFERROR(__xludf.DUMMYFUNCTION("""COMPUTED_VALUE"""),"ADY ARIEFIANTO")</f>
        <v>ADY ARIEFIANTO</v>
      </c>
      <c r="D586" s="2" t="str">
        <f>IFERROR(__xludf.DUMMYFUNCTION("""COMPUTED_VALUE"""),"10KM OVERALL M")</f>
        <v>10KM OVERALL M</v>
      </c>
      <c r="E586" s="1">
        <f>IFERROR(__xludf.DUMMYFUNCTION("""COMPUTED_VALUE"""),1.0)</f>
        <v>1</v>
      </c>
      <c r="F586" s="1" t="str">
        <f>IFERROR(__xludf.DUMMYFUNCTION("""COMPUTED_VALUE"""),"Male")</f>
        <v>Male</v>
      </c>
      <c r="G586" s="4" t="b">
        <f>IFERROR(__xludf.DUMMYFUNCTION("""COMPUTED_VALUE"""),TRUE)</f>
        <v>1</v>
      </c>
      <c r="H586" s="4" t="b">
        <f>IFERROR(__xludf.DUMMYFUNCTION("""COMPUTED_VALUE"""),FALSE)</f>
        <v>0</v>
      </c>
      <c r="I586" s="4">
        <f>IFERROR(__xludf.DUMMYFUNCTION("""COMPUTED_VALUE"""),0.24646185185185185)</f>
        <v>0.2464618519</v>
      </c>
      <c r="J586" s="4">
        <f>IFERROR(__xludf.DUMMYFUNCTION("""COMPUTED_VALUE"""),45949.2609850951)</f>
        <v>45949.26099</v>
      </c>
      <c r="K586" s="4">
        <f>IFERROR(__xludf.DUMMYFUNCTION("""COMPUTED_VALUE"""),45949.30209982202)</f>
        <v>45949.3021</v>
      </c>
      <c r="L586" s="4">
        <f>IFERROR(__xludf.DUMMYFUNCTION("""COMPUTED_VALUE"""),45949.31459531984)</f>
        <v>45949.3146</v>
      </c>
      <c r="M586" s="1" t="str">
        <f>IFERROR(__xludf.DUMMYFUNCTION("""COMPUTED_VALUE"""),"RFID")</f>
        <v>RFID</v>
      </c>
      <c r="N586" s="5">
        <f>IFERROR(__xludf.DUMMYFUNCTION("""COMPUTED_VALUE"""),0.005809296296296297)</f>
        <v>0.005809296296</v>
      </c>
      <c r="O586" s="5">
        <f>IFERROR(__xludf.DUMMYFUNCTION("""COMPUTED_VALUE"""),0.01644588888888889)</f>
        <v>0.01644588889</v>
      </c>
      <c r="P586" s="5">
        <f>IFERROR(__xludf.DUMMYFUNCTION("""COMPUTED_VALUE"""),0.005142180171364979)</f>
        <v>0.005142180171</v>
      </c>
      <c r="Q586" s="5">
        <f>IFERROR(__xludf.DUMMYFUNCTION("""COMPUTED_VALUE"""),0.006813347222222222)</f>
        <v>0.006813347222</v>
      </c>
      <c r="R586" s="4">
        <f>IFERROR(__xludf.DUMMYFUNCTION("""COMPUTED_VALUE"""),45949.06813346799)</f>
        <v>45949.06813</v>
      </c>
      <c r="S586" s="1" t="b">
        <f>IFERROR(__xludf.DUMMYFUNCTION("""COMPUTED_VALUE"""),TRUE)</f>
        <v>1</v>
      </c>
      <c r="T586" s="1" t="b">
        <f>IFERROR(__xludf.DUMMYFUNCTION("""COMPUTED_VALUE"""),FALSE)</f>
        <v>0</v>
      </c>
      <c r="U586" s="1" t="str">
        <f>IFERROR(__xludf.DUMMYFUNCTION("""COMPUTED_VALUE"""),"VALID")</f>
        <v>VALID</v>
      </c>
      <c r="V586" s="1">
        <f>IFERROR(__xludf.DUMMYFUNCTION("""COMPUTED_VALUE"""),587.0)</f>
        <v>587</v>
      </c>
      <c r="W586" s="1">
        <f>IFERROR(__xludf.DUMMYFUNCTION("""COMPUTED_VALUE"""),730.0)</f>
        <v>730</v>
      </c>
      <c r="X586" s="1">
        <f>IFERROR(__xludf.DUMMYFUNCTION("""COMPUTED_VALUE"""),1662.0)</f>
        <v>1662</v>
      </c>
      <c r="Y586" s="2"/>
      <c r="Z586" s="2"/>
    </row>
    <row r="587">
      <c r="A587" s="1">
        <f>IFERROR(__xludf.DUMMYFUNCTION("""COMPUTED_VALUE"""),586.0)</f>
        <v>586</v>
      </c>
      <c r="B587" s="1">
        <f>IFERROR(__xludf.DUMMYFUNCTION("""COMPUTED_VALUE"""),10461.0)</f>
        <v>10461</v>
      </c>
      <c r="C587" s="2" t="str">
        <f>IFERROR(__xludf.DUMMYFUNCTION("""COMPUTED_VALUE"""),"Nz Aldriyan")</f>
        <v>Nz Aldriyan</v>
      </c>
      <c r="D587" s="2" t="str">
        <f>IFERROR(__xludf.DUMMYFUNCTION("""COMPUTED_VALUE"""),"10KM OVERALL M")</f>
        <v>10KM OVERALL M</v>
      </c>
      <c r="E587" s="1">
        <f>IFERROR(__xludf.DUMMYFUNCTION("""COMPUTED_VALUE"""),1.0)</f>
        <v>1</v>
      </c>
      <c r="F587" s="1" t="str">
        <f>IFERROR(__xludf.DUMMYFUNCTION("""COMPUTED_VALUE"""),"Male")</f>
        <v>Male</v>
      </c>
      <c r="G587" s="4" t="b">
        <f>IFERROR(__xludf.DUMMYFUNCTION("""COMPUTED_VALUE"""),TRUE)</f>
        <v>1</v>
      </c>
      <c r="H587" s="4" t="b">
        <f>IFERROR(__xludf.DUMMYFUNCTION("""COMPUTED_VALUE"""),TRUE)</f>
        <v>1</v>
      </c>
      <c r="I587" s="4">
        <f>IFERROR(__xludf.DUMMYFUNCTION("""COMPUTED_VALUE"""),0.24646185185185185)</f>
        <v>0.2464618519</v>
      </c>
      <c r="J587" s="4">
        <f>IFERROR(__xludf.DUMMYFUNCTION("""COMPUTED_VALUE"""),45949.25709620862)</f>
        <v>45949.2571</v>
      </c>
      <c r="K587" s="4">
        <f>IFERROR(__xludf.DUMMYFUNCTION("""COMPUTED_VALUE"""),45949.28714824425)</f>
        <v>45949.28715</v>
      </c>
      <c r="L587" s="4">
        <f>IFERROR(__xludf.DUMMYFUNCTION("""COMPUTED_VALUE"""),45949.29572454259)</f>
        <v>45949.29572</v>
      </c>
      <c r="M587" s="1" t="str">
        <f>IFERROR(__xludf.DUMMYFUNCTION("""COMPUTED_VALUE"""),"RFID")</f>
        <v>RFID</v>
      </c>
      <c r="N587" s="5">
        <f>IFERROR(__xludf.DUMMYFUNCTION("""COMPUTED_VALUE"""),0.00425374074074074)</f>
        <v>0.004253740741</v>
      </c>
      <c r="O587" s="5">
        <f>IFERROR(__xludf.DUMMYFUNCTION("""COMPUTED_VALUE"""),0.012020814814814814)</f>
        <v>0.01202081481</v>
      </c>
      <c r="P587" s="5">
        <f>IFERROR(__xludf.DUMMYFUNCTION("""COMPUTED_VALUE"""),0.0035293408821158705)</f>
        <v>0.003529340882</v>
      </c>
      <c r="Q587" s="5">
        <f>IFERROR(__xludf.DUMMYFUNCTION("""COMPUTED_VALUE"""),0.004926268518518519)</f>
        <v>0.004926268519</v>
      </c>
      <c r="R587" s="4">
        <f>IFERROR(__xludf.DUMMYFUNCTION("""COMPUTED_VALUE"""),45949.04926269074)</f>
        <v>45949.04926</v>
      </c>
      <c r="S587" s="1" t="b">
        <f>IFERROR(__xludf.DUMMYFUNCTION("""COMPUTED_VALUE"""),TRUE)</f>
        <v>1</v>
      </c>
      <c r="T587" s="1" t="b">
        <f>IFERROR(__xludf.DUMMYFUNCTION("""COMPUTED_VALUE"""),FALSE)</f>
        <v>0</v>
      </c>
      <c r="U587" s="1" t="str">
        <f>IFERROR(__xludf.DUMMYFUNCTION("""COMPUTED_VALUE"""),"VALID")</f>
        <v>VALID</v>
      </c>
      <c r="V587" s="1">
        <f>IFERROR(__xludf.DUMMYFUNCTION("""COMPUTED_VALUE"""),320.0)</f>
        <v>320</v>
      </c>
      <c r="W587" s="1">
        <f>IFERROR(__xludf.DUMMYFUNCTION("""COMPUTED_VALUE"""),379.0)</f>
        <v>379</v>
      </c>
      <c r="X587" s="1">
        <f>IFERROR(__xludf.DUMMYFUNCTION("""COMPUTED_VALUE"""),1353.0)</f>
        <v>1353</v>
      </c>
      <c r="Y587" s="2"/>
      <c r="Z587" s="2"/>
    </row>
    <row r="588">
      <c r="A588" s="1">
        <f>IFERROR(__xludf.DUMMYFUNCTION("""COMPUTED_VALUE"""),587.0)</f>
        <v>587</v>
      </c>
      <c r="B588" s="1">
        <f>IFERROR(__xludf.DUMMYFUNCTION("""COMPUTED_VALUE"""),10463.0)</f>
        <v>10463</v>
      </c>
      <c r="C588" s="2" t="str">
        <f>IFERROR(__xludf.DUMMYFUNCTION("""COMPUTED_VALUE"""),"ROLAND")</f>
        <v>ROLAND</v>
      </c>
      <c r="D588" s="2" t="str">
        <f>IFERROR(__xludf.DUMMYFUNCTION("""COMPUTED_VALUE"""),"10KM OVERALL M")</f>
        <v>10KM OVERALL M</v>
      </c>
      <c r="E588" s="1">
        <f>IFERROR(__xludf.DUMMYFUNCTION("""COMPUTED_VALUE"""),1.0)</f>
        <v>1</v>
      </c>
      <c r="F588" s="1" t="str">
        <f>IFERROR(__xludf.DUMMYFUNCTION("""COMPUTED_VALUE"""),"Male")</f>
        <v>Male</v>
      </c>
      <c r="G588" s="4" t="b">
        <f>IFERROR(__xludf.DUMMYFUNCTION("""COMPUTED_VALUE"""),TRUE)</f>
        <v>1</v>
      </c>
      <c r="H588" s="4" t="b">
        <f>IFERROR(__xludf.DUMMYFUNCTION("""COMPUTED_VALUE"""),FALSE)</f>
        <v>0</v>
      </c>
      <c r="I588" s="4">
        <f>IFERROR(__xludf.DUMMYFUNCTION("""COMPUTED_VALUE"""),0.24646185185185185)</f>
        <v>0.2464618519</v>
      </c>
      <c r="J588" s="4">
        <f>IFERROR(__xludf.DUMMYFUNCTION("""COMPUTED_VALUE"""),45949.2548079521)</f>
        <v>45949.25481</v>
      </c>
      <c r="K588" s="4">
        <f>IFERROR(__xludf.DUMMYFUNCTION("""COMPUTED_VALUE"""),45949.277091491706)</f>
        <v>45949.27709</v>
      </c>
      <c r="L588" s="4">
        <f>IFERROR(__xludf.DUMMYFUNCTION("""COMPUTED_VALUE"""),45949.28391128989)</f>
        <v>45949.28391</v>
      </c>
      <c r="M588" s="1" t="str">
        <f>IFERROR(__xludf.DUMMYFUNCTION("""COMPUTED_VALUE"""),"RFID")</f>
        <v>RFID</v>
      </c>
      <c r="N588" s="5">
        <f>IFERROR(__xludf.DUMMYFUNCTION("""COMPUTED_VALUE"""),0.003338439814814815)</f>
        <v>0.003338439815</v>
      </c>
      <c r="O588" s="5">
        <f>IFERROR(__xludf.DUMMYFUNCTION("""COMPUTED_VALUE"""),0.008913416666666667)</f>
        <v>0.008913416667</v>
      </c>
      <c r="P588" s="5">
        <f>IFERROR(__xludf.DUMMYFUNCTION("""COMPUTED_VALUE"""),0.0028065013093921762)</f>
        <v>0.002806501309</v>
      </c>
      <c r="Q588" s="5">
        <f>IFERROR(__xludf.DUMMYFUNCTION("""COMPUTED_VALUE"""),0.003744943287037037)</f>
        <v>0.003744943287</v>
      </c>
      <c r="R588" s="4">
        <f>IFERROR(__xludf.DUMMYFUNCTION("""COMPUTED_VALUE"""),45949.03744943804)</f>
        <v>45949.03745</v>
      </c>
      <c r="S588" s="1" t="b">
        <f>IFERROR(__xludf.DUMMYFUNCTION("""COMPUTED_VALUE"""),TRUE)</f>
        <v>1</v>
      </c>
      <c r="T588" s="1" t="b">
        <f>IFERROR(__xludf.DUMMYFUNCTION("""COMPUTED_VALUE"""),FALSE)</f>
        <v>0</v>
      </c>
      <c r="U588" s="1" t="str">
        <f>IFERROR(__xludf.DUMMYFUNCTION("""COMPUTED_VALUE"""),"VALID")</f>
        <v>VALID</v>
      </c>
      <c r="V588" s="1">
        <f>IFERROR(__xludf.DUMMYFUNCTION("""COMPUTED_VALUE"""),60.0)</f>
        <v>60</v>
      </c>
      <c r="W588" s="1">
        <f>IFERROR(__xludf.DUMMYFUNCTION("""COMPUTED_VALUE"""),72.0)</f>
        <v>72</v>
      </c>
      <c r="X588" s="1">
        <f>IFERROR(__xludf.DUMMYFUNCTION("""COMPUTED_VALUE"""),841.0)</f>
        <v>841</v>
      </c>
      <c r="Y588" s="2"/>
      <c r="Z588" s="2"/>
    </row>
    <row r="589">
      <c r="A589" s="1">
        <f>IFERROR(__xludf.DUMMYFUNCTION("""COMPUTED_VALUE"""),588.0)</f>
        <v>588</v>
      </c>
      <c r="B589" s="1">
        <f>IFERROR(__xludf.DUMMYFUNCTION("""COMPUTED_VALUE"""),10464.0)</f>
        <v>10464</v>
      </c>
      <c r="C589" s="2" t="str">
        <f>IFERROR(__xludf.DUMMYFUNCTION("""COMPUTED_VALUE"""),"Harada")</f>
        <v>Harada</v>
      </c>
      <c r="D589" s="2" t="str">
        <f>IFERROR(__xludf.DUMMYFUNCTION("""COMPUTED_VALUE"""),"10KM OVERALL M")</f>
        <v>10KM OVERALL M</v>
      </c>
      <c r="E589" s="1">
        <f>IFERROR(__xludf.DUMMYFUNCTION("""COMPUTED_VALUE"""),1.0)</f>
        <v>1</v>
      </c>
      <c r="F589" s="1" t="str">
        <f>IFERROR(__xludf.DUMMYFUNCTION("""COMPUTED_VALUE"""),"Male")</f>
        <v>Male</v>
      </c>
      <c r="G589" s="4" t="b">
        <f>IFERROR(__xludf.DUMMYFUNCTION("""COMPUTED_VALUE"""),TRUE)</f>
        <v>1</v>
      </c>
      <c r="H589" s="4" t="b">
        <f>IFERROR(__xludf.DUMMYFUNCTION("""COMPUTED_VALUE"""),TRUE)</f>
        <v>1</v>
      </c>
      <c r="I589" s="4">
        <f>IFERROR(__xludf.DUMMYFUNCTION("""COMPUTED_VALUE"""),0.24646185185185185)</f>
        <v>0.2464618519</v>
      </c>
      <c r="J589" s="4">
        <f>IFERROR(__xludf.DUMMYFUNCTION("""COMPUTED_VALUE"""),45949.26416910918)</f>
        <v>45949.26417</v>
      </c>
      <c r="K589" s="4">
        <f>IFERROR(__xludf.DUMMYFUNCTION("""COMPUTED_VALUE"""),45949.29845403528)</f>
        <v>45949.29845</v>
      </c>
      <c r="L589" s="4">
        <f>IFERROR(__xludf.DUMMYFUNCTION("""COMPUTED_VALUE"""),45949.30644635353)</f>
        <v>45949.30645</v>
      </c>
      <c r="M589" s="1" t="str">
        <f>IFERROR(__xludf.DUMMYFUNCTION("""COMPUTED_VALUE"""),"RFID")</f>
        <v>RFID</v>
      </c>
      <c r="N589" s="5">
        <f>IFERROR(__xludf.DUMMYFUNCTION("""COMPUTED_VALUE"""),0.007082902777777777)</f>
        <v>0.007082902778</v>
      </c>
      <c r="O589" s="5">
        <f>IFERROR(__xludf.DUMMYFUNCTION("""COMPUTED_VALUE"""),0.013713972222222221)</f>
        <v>0.01371397222</v>
      </c>
      <c r="P589" s="5">
        <f>IFERROR(__xludf.DUMMYFUNCTION("""COMPUTED_VALUE"""),0.0032890198556821287)</f>
        <v>0.003289019856</v>
      </c>
      <c r="Q589" s="5">
        <f>IFERROR(__xludf.DUMMYFUNCTION("""COMPUTED_VALUE"""),0.005998450231481481)</f>
        <v>0.005998450231</v>
      </c>
      <c r="R589" s="4">
        <f>IFERROR(__xludf.DUMMYFUNCTION("""COMPUTED_VALUE"""),45949.05998450168)</f>
        <v>45949.05998</v>
      </c>
      <c r="S589" s="1" t="b">
        <f>IFERROR(__xludf.DUMMYFUNCTION("""COMPUTED_VALUE"""),TRUE)</f>
        <v>1</v>
      </c>
      <c r="T589" s="1" t="b">
        <f>IFERROR(__xludf.DUMMYFUNCTION("""COMPUTED_VALUE"""),FALSE)</f>
        <v>0</v>
      </c>
      <c r="U589" s="1" t="str">
        <f>IFERROR(__xludf.DUMMYFUNCTION("""COMPUTED_VALUE"""),"VALID")</f>
        <v>VALID</v>
      </c>
      <c r="V589" s="1">
        <f>IFERROR(__xludf.DUMMYFUNCTION("""COMPUTED_VALUE"""),532.0)</f>
        <v>532</v>
      </c>
      <c r="W589" s="1">
        <f>IFERROR(__xludf.DUMMYFUNCTION("""COMPUTED_VALUE"""),654.0)</f>
        <v>654</v>
      </c>
      <c r="X589" s="1">
        <f>IFERROR(__xludf.DUMMYFUNCTION("""COMPUTED_VALUE"""),1606.0)</f>
        <v>1606</v>
      </c>
      <c r="Y589" s="2"/>
      <c r="Z589" s="2"/>
    </row>
    <row r="590">
      <c r="A590" s="1">
        <f>IFERROR(__xludf.DUMMYFUNCTION("""COMPUTED_VALUE"""),589.0)</f>
        <v>589</v>
      </c>
      <c r="B590" s="1">
        <f>IFERROR(__xludf.DUMMYFUNCTION("""COMPUTED_VALUE"""),10465.0)</f>
        <v>10465</v>
      </c>
      <c r="C590" s="2" t="str">
        <f>IFERROR(__xludf.DUMMYFUNCTION("""COMPUTED_VALUE"""),"Mirzha")</f>
        <v>Mirzha</v>
      </c>
      <c r="D590" s="2" t="str">
        <f>IFERROR(__xludf.DUMMYFUNCTION("""COMPUTED_VALUE"""),"10KM OVERALL M")</f>
        <v>10KM OVERALL M</v>
      </c>
      <c r="E590" s="1">
        <f>IFERROR(__xludf.DUMMYFUNCTION("""COMPUTED_VALUE"""),1.0)</f>
        <v>1</v>
      </c>
      <c r="F590" s="1" t="str">
        <f>IFERROR(__xludf.DUMMYFUNCTION("""COMPUTED_VALUE"""),"Male")</f>
        <v>Male</v>
      </c>
      <c r="G590" s="4" t="b">
        <f>IFERROR(__xludf.DUMMYFUNCTION("""COMPUTED_VALUE"""),TRUE)</f>
        <v>1</v>
      </c>
      <c r="H590" s="4" t="b">
        <f>IFERROR(__xludf.DUMMYFUNCTION("""COMPUTED_VALUE"""),TRUE)</f>
        <v>1</v>
      </c>
      <c r="I590" s="4">
        <f>IFERROR(__xludf.DUMMYFUNCTION("""COMPUTED_VALUE"""),0.24646185185185185)</f>
        <v>0.2464618519</v>
      </c>
      <c r="J590" s="4">
        <f>IFERROR(__xludf.DUMMYFUNCTION("""COMPUTED_VALUE"""),45949.255700357826)</f>
        <v>45949.2557</v>
      </c>
      <c r="K590" s="4">
        <f>IFERROR(__xludf.DUMMYFUNCTION("""COMPUTED_VALUE"""),45949.28479755022)</f>
        <v>45949.2848</v>
      </c>
      <c r="L590" s="4">
        <f>IFERROR(__xludf.DUMMYFUNCTION("""COMPUTED_VALUE"""),45949.29318560107)</f>
        <v>45949.29319</v>
      </c>
      <c r="M590" s="1" t="str">
        <f>IFERROR(__xludf.DUMMYFUNCTION("""COMPUTED_VALUE"""),"RFID")</f>
        <v>RFID</v>
      </c>
      <c r="N590" s="5">
        <f>IFERROR(__xludf.DUMMYFUNCTION("""COMPUTED_VALUE"""),0.003695402777777778)</f>
        <v>0.003695402778</v>
      </c>
      <c r="O590" s="5">
        <f>IFERROR(__xludf.DUMMYFUNCTION("""COMPUTED_VALUE"""),0.011638875)</f>
        <v>0.011638875</v>
      </c>
      <c r="P590" s="5">
        <f>IFERROR(__xludf.DUMMYFUNCTION("""COMPUTED_VALUE"""),0.0034518727762988715)</f>
        <v>0.003451872776</v>
      </c>
      <c r="Q590" s="5">
        <f>IFERROR(__xludf.DUMMYFUNCTION("""COMPUTED_VALUE"""),0.0046723749999999994)</f>
        <v>0.004672375</v>
      </c>
      <c r="R590" s="4">
        <f>IFERROR(__xludf.DUMMYFUNCTION("""COMPUTED_VALUE"""),45949.04672374922)</f>
        <v>45949.04672</v>
      </c>
      <c r="S590" s="1" t="b">
        <f>IFERROR(__xludf.DUMMYFUNCTION("""COMPUTED_VALUE"""),TRUE)</f>
        <v>1</v>
      </c>
      <c r="T590" s="1" t="b">
        <f>IFERROR(__xludf.DUMMYFUNCTION("""COMPUTED_VALUE"""),FALSE)</f>
        <v>0</v>
      </c>
      <c r="U590" s="1" t="str">
        <f>IFERROR(__xludf.DUMMYFUNCTION("""COMPUTED_VALUE"""),"VALID")</f>
        <v>VALID</v>
      </c>
      <c r="V590" s="1">
        <f>IFERROR(__xludf.DUMMYFUNCTION("""COMPUTED_VALUE"""),258.0)</f>
        <v>258</v>
      </c>
      <c r="W590" s="1">
        <f>IFERROR(__xludf.DUMMYFUNCTION("""COMPUTED_VALUE"""),308.0)</f>
        <v>308</v>
      </c>
      <c r="X590" s="1">
        <f>IFERROR(__xludf.DUMMYFUNCTION("""COMPUTED_VALUE"""),1263.0)</f>
        <v>1263</v>
      </c>
      <c r="Y590" s="2"/>
      <c r="Z590" s="2"/>
    </row>
    <row r="591">
      <c r="A591" s="1">
        <f>IFERROR(__xludf.DUMMYFUNCTION("""COMPUTED_VALUE"""),590.0)</f>
        <v>590</v>
      </c>
      <c r="B591" s="1">
        <f>IFERROR(__xludf.DUMMYFUNCTION("""COMPUTED_VALUE"""),10466.0)</f>
        <v>10466</v>
      </c>
      <c r="C591" s="2" t="str">
        <f>IFERROR(__xludf.DUMMYFUNCTION("""COMPUTED_VALUE"""),"Alfian Bolt")</f>
        <v>Alfian Bolt</v>
      </c>
      <c r="D591" s="2" t="str">
        <f>IFERROR(__xludf.DUMMYFUNCTION("""COMPUTED_VALUE"""),"10KM OVERALL M")</f>
        <v>10KM OVERALL M</v>
      </c>
      <c r="E591" s="1">
        <f>IFERROR(__xludf.DUMMYFUNCTION("""COMPUTED_VALUE"""),1.0)</f>
        <v>1</v>
      </c>
      <c r="F591" s="1" t="str">
        <f>IFERROR(__xludf.DUMMYFUNCTION("""COMPUTED_VALUE"""),"Male")</f>
        <v>Male</v>
      </c>
      <c r="G591" s="4" t="b">
        <f>IFERROR(__xludf.DUMMYFUNCTION("""COMPUTED_VALUE"""),TRUE)</f>
        <v>1</v>
      </c>
      <c r="H591" s="4" t="b">
        <f>IFERROR(__xludf.DUMMYFUNCTION("""COMPUTED_VALUE"""),FALSE)</f>
        <v>0</v>
      </c>
      <c r="I591" s="4">
        <f>IFERROR(__xludf.DUMMYFUNCTION("""COMPUTED_VALUE"""),0.24646185185185185)</f>
        <v>0.2464618519</v>
      </c>
      <c r="J591" s="4">
        <f>IFERROR(__xludf.DUMMYFUNCTION("""COMPUTED_VALUE"""),45949.257478143)</f>
        <v>45949.25748</v>
      </c>
      <c r="K591" s="4">
        <f>IFERROR(__xludf.DUMMYFUNCTION("""COMPUTED_VALUE"""),45949.291256130644)</f>
        <v>45949.29126</v>
      </c>
      <c r="L591" s="4">
        <f>IFERROR(__xludf.DUMMYFUNCTION("""COMPUTED_VALUE"""),45949.300668179334)</f>
        <v>45949.30067</v>
      </c>
      <c r="M591" s="1" t="str">
        <f>IFERROR(__xludf.DUMMYFUNCTION("""COMPUTED_VALUE"""),"RFID")</f>
        <v>RFID</v>
      </c>
      <c r="N591" s="5">
        <f>IFERROR(__xludf.DUMMYFUNCTION("""COMPUTED_VALUE"""),0.004406518518518519)</f>
        <v>0.004406518519</v>
      </c>
      <c r="O591" s="5">
        <f>IFERROR(__xludf.DUMMYFUNCTION("""COMPUTED_VALUE"""),0.013511194444444444)</f>
        <v>0.01351119444</v>
      </c>
      <c r="P591" s="5">
        <f>IFERROR(__xludf.DUMMYFUNCTION("""COMPUTED_VALUE"""),0.0038732710659001865)</f>
        <v>0.003873271066</v>
      </c>
      <c r="Q591" s="5">
        <f>IFERROR(__xludf.DUMMYFUNCTION("""COMPUTED_VALUE"""),0.005420633101851852)</f>
        <v>0.005420633102</v>
      </c>
      <c r="R591" s="4">
        <f>IFERROR(__xludf.DUMMYFUNCTION("""COMPUTED_VALUE"""),45949.054206327484)</f>
        <v>45949.05421</v>
      </c>
      <c r="S591" s="1" t="b">
        <f>IFERROR(__xludf.DUMMYFUNCTION("""COMPUTED_VALUE"""),TRUE)</f>
        <v>1</v>
      </c>
      <c r="T591" s="1" t="b">
        <f>IFERROR(__xludf.DUMMYFUNCTION("""COMPUTED_VALUE"""),FALSE)</f>
        <v>0</v>
      </c>
      <c r="U591" s="1" t="str">
        <f>IFERROR(__xludf.DUMMYFUNCTION("""COMPUTED_VALUE"""),"VALID")</f>
        <v>VALID</v>
      </c>
      <c r="V591" s="1">
        <f>IFERROR(__xludf.DUMMYFUNCTION("""COMPUTED_VALUE"""),436.0)</f>
        <v>436</v>
      </c>
      <c r="W591" s="1">
        <f>IFERROR(__xludf.DUMMYFUNCTION("""COMPUTED_VALUE"""),518.0)</f>
        <v>518</v>
      </c>
      <c r="X591" s="1">
        <f>IFERROR(__xludf.DUMMYFUNCTION("""COMPUTED_VALUE"""),1496.0)</f>
        <v>1496</v>
      </c>
      <c r="Y591" s="2"/>
      <c r="Z591" s="2"/>
    </row>
    <row r="592">
      <c r="A592" s="1">
        <f>IFERROR(__xludf.DUMMYFUNCTION("""COMPUTED_VALUE"""),591.0)</f>
        <v>591</v>
      </c>
      <c r="B592" s="1">
        <f>IFERROR(__xludf.DUMMYFUNCTION("""COMPUTED_VALUE"""),10468.0)</f>
        <v>10468</v>
      </c>
      <c r="C592" s="2" t="str">
        <f>IFERROR(__xludf.DUMMYFUNCTION("""COMPUTED_VALUE"""),"Ahmad Nabil Khaitami")</f>
        <v>Ahmad Nabil Khaitami</v>
      </c>
      <c r="D592" s="2" t="str">
        <f>IFERROR(__xludf.DUMMYFUNCTION("""COMPUTED_VALUE"""),"10KM OVERALL M")</f>
        <v>10KM OVERALL M</v>
      </c>
      <c r="E592" s="1">
        <f>IFERROR(__xludf.DUMMYFUNCTION("""COMPUTED_VALUE"""),1.0)</f>
        <v>1</v>
      </c>
      <c r="F592" s="1" t="str">
        <f>IFERROR(__xludf.DUMMYFUNCTION("""COMPUTED_VALUE"""),"Male")</f>
        <v>Male</v>
      </c>
      <c r="G592" s="4" t="b">
        <f>IFERROR(__xludf.DUMMYFUNCTION("""COMPUTED_VALUE"""),TRUE)</f>
        <v>1</v>
      </c>
      <c r="H592" s="4" t="b">
        <f>IFERROR(__xludf.DUMMYFUNCTION("""COMPUTED_VALUE"""),TRUE)</f>
        <v>1</v>
      </c>
      <c r="I592" s="4">
        <f>IFERROR(__xludf.DUMMYFUNCTION("""COMPUTED_VALUE"""),0.24646185185185185)</f>
        <v>0.2464618519</v>
      </c>
      <c r="J592" s="4">
        <f>IFERROR(__xludf.DUMMYFUNCTION("""COMPUTED_VALUE"""),45949.258165592175)</f>
        <v>45949.25817</v>
      </c>
      <c r="K592" s="4">
        <f>IFERROR(__xludf.DUMMYFUNCTION("""COMPUTED_VALUE"""),45949.29156511193)</f>
        <v>45949.29157</v>
      </c>
      <c r="L592" s="4">
        <f>IFERROR(__xludf.DUMMYFUNCTION("""COMPUTED_VALUE"""),45949.30075851897)</f>
        <v>45949.30076</v>
      </c>
      <c r="M592" s="1" t="str">
        <f>IFERROR(__xludf.DUMMYFUNCTION("""COMPUTED_VALUE"""),"RFID")</f>
        <v>RFID</v>
      </c>
      <c r="N592" s="5">
        <f>IFERROR(__xludf.DUMMYFUNCTION("""COMPUTED_VALUE"""),0.004681495370370371)</f>
        <v>0.00468149537</v>
      </c>
      <c r="O592" s="5">
        <f>IFERROR(__xludf.DUMMYFUNCTION("""COMPUTED_VALUE"""),0.013359810185185186)</f>
        <v>0.01335981019</v>
      </c>
      <c r="P592" s="5">
        <f>IFERROR(__xludf.DUMMYFUNCTION("""COMPUTED_VALUE"""),0.003783295076932574)</f>
        <v>0.003783295077</v>
      </c>
      <c r="Q592" s="5">
        <f>IFERROR(__xludf.DUMMYFUNCTION("""COMPUTED_VALUE"""),0.005429666666666667)</f>
        <v>0.005429666667</v>
      </c>
      <c r="R592" s="4">
        <f>IFERROR(__xludf.DUMMYFUNCTION("""COMPUTED_VALUE"""),45949.05429666712)</f>
        <v>45949.0543</v>
      </c>
      <c r="S592" s="1" t="b">
        <f>IFERROR(__xludf.DUMMYFUNCTION("""COMPUTED_VALUE"""),TRUE)</f>
        <v>1</v>
      </c>
      <c r="T592" s="1" t="b">
        <f>IFERROR(__xludf.DUMMYFUNCTION("""COMPUTED_VALUE"""),FALSE)</f>
        <v>0</v>
      </c>
      <c r="U592" s="1" t="str">
        <f>IFERROR(__xludf.DUMMYFUNCTION("""COMPUTED_VALUE"""),"VALID")</f>
        <v>VALID</v>
      </c>
      <c r="V592" s="1">
        <f>IFERROR(__xludf.DUMMYFUNCTION("""COMPUTED_VALUE"""),440.0)</f>
        <v>440</v>
      </c>
      <c r="W592" s="1">
        <f>IFERROR(__xludf.DUMMYFUNCTION("""COMPUTED_VALUE"""),523.0)</f>
        <v>523</v>
      </c>
      <c r="X592" s="1">
        <f>IFERROR(__xludf.DUMMYFUNCTION("""COMPUTED_VALUE"""),1501.0)</f>
        <v>1501</v>
      </c>
      <c r="Y592" s="2"/>
      <c r="Z592" s="2"/>
    </row>
    <row r="593">
      <c r="A593" s="1">
        <f>IFERROR(__xludf.DUMMYFUNCTION("""COMPUTED_VALUE"""),592.0)</f>
        <v>592</v>
      </c>
      <c r="B593" s="1">
        <f>IFERROR(__xludf.DUMMYFUNCTION("""COMPUTED_VALUE"""),10469.0)</f>
        <v>10469</v>
      </c>
      <c r="C593" s="2" t="str">
        <f>IFERROR(__xludf.DUMMYFUNCTION("""COMPUTED_VALUE"""),"Nabiel")</f>
        <v>Nabiel</v>
      </c>
      <c r="D593" s="2" t="str">
        <f>IFERROR(__xludf.DUMMYFUNCTION("""COMPUTED_VALUE"""),"10KM OVERALL M")</f>
        <v>10KM OVERALL M</v>
      </c>
      <c r="E593" s="1">
        <f>IFERROR(__xludf.DUMMYFUNCTION("""COMPUTED_VALUE"""),1.0)</f>
        <v>1</v>
      </c>
      <c r="F593" s="1" t="str">
        <f>IFERROR(__xludf.DUMMYFUNCTION("""COMPUTED_VALUE"""),"Male")</f>
        <v>Male</v>
      </c>
      <c r="G593" s="4" t="b">
        <f>IFERROR(__xludf.DUMMYFUNCTION("""COMPUTED_VALUE"""),TRUE)</f>
        <v>1</v>
      </c>
      <c r="H593" s="4" t="b">
        <f>IFERROR(__xludf.DUMMYFUNCTION("""COMPUTED_VALUE"""),TRUE)</f>
        <v>1</v>
      </c>
      <c r="I593" s="4">
        <f>IFERROR(__xludf.DUMMYFUNCTION("""COMPUTED_VALUE"""),0.24646185185185185)</f>
        <v>0.2464618519</v>
      </c>
      <c r="J593" s="4">
        <f>IFERROR(__xludf.DUMMYFUNCTION("""COMPUTED_VALUE"""),45949.2541311565)</f>
        <v>45949.25413</v>
      </c>
      <c r="K593" s="4">
        <f>IFERROR(__xludf.DUMMYFUNCTION("""COMPUTED_VALUE"""),45949.27371584788)</f>
        <v>45949.27372</v>
      </c>
      <c r="L593" s="4">
        <f>IFERROR(__xludf.DUMMYFUNCTION("""COMPUTED_VALUE"""),45949.27976892605)</f>
        <v>45949.27977</v>
      </c>
      <c r="M593" s="1" t="str">
        <f>IFERROR(__xludf.DUMMYFUNCTION("""COMPUTED_VALUE"""),"RFID")</f>
        <v>RFID</v>
      </c>
      <c r="N593" s="5">
        <f>IFERROR(__xludf.DUMMYFUNCTION("""COMPUTED_VALUE"""),0.0030677222222222226)</f>
        <v>0.003067722222</v>
      </c>
      <c r="O593" s="5">
        <f>IFERROR(__xludf.DUMMYFUNCTION("""COMPUTED_VALUE"""),0.007833875)</f>
        <v>0.007833875</v>
      </c>
      <c r="P593" s="5">
        <f>IFERROR(__xludf.DUMMYFUNCTION("""COMPUTED_VALUE"""),0.002490978670874687)</f>
        <v>0.002490978671</v>
      </c>
      <c r="Q593" s="5">
        <f>IFERROR(__xludf.DUMMYFUNCTION("""COMPUTED_VALUE"""),0.003330707175925926)</f>
        <v>0.003330707176</v>
      </c>
      <c r="R593" s="4">
        <f>IFERROR(__xludf.DUMMYFUNCTION("""COMPUTED_VALUE"""),45949.0333070742)</f>
        <v>45949.03331</v>
      </c>
      <c r="S593" s="1" t="b">
        <f>IFERROR(__xludf.DUMMYFUNCTION("""COMPUTED_VALUE"""),TRUE)</f>
        <v>1</v>
      </c>
      <c r="T593" s="1" t="b">
        <f>IFERROR(__xludf.DUMMYFUNCTION("""COMPUTED_VALUE"""),FALSE)</f>
        <v>0</v>
      </c>
      <c r="U593" s="1" t="str">
        <f>IFERROR(__xludf.DUMMYFUNCTION("""COMPUTED_VALUE"""),"VALID")</f>
        <v>VALID</v>
      </c>
      <c r="V593" s="1">
        <f>IFERROR(__xludf.DUMMYFUNCTION("""COMPUTED_VALUE"""),20.0)</f>
        <v>20</v>
      </c>
      <c r="W593" s="1">
        <f>IFERROR(__xludf.DUMMYFUNCTION("""COMPUTED_VALUE"""),28.0)</f>
        <v>28</v>
      </c>
      <c r="X593" s="1">
        <f>IFERROR(__xludf.DUMMYFUNCTION("""COMPUTED_VALUE"""),656.0)</f>
        <v>656</v>
      </c>
      <c r="Y593" s="2"/>
      <c r="Z593" s="2"/>
    </row>
    <row r="594">
      <c r="A594" s="1">
        <f>IFERROR(__xludf.DUMMYFUNCTION("""COMPUTED_VALUE"""),593.0)</f>
        <v>593</v>
      </c>
      <c r="B594" s="1">
        <f>IFERROR(__xludf.DUMMYFUNCTION("""COMPUTED_VALUE"""),10470.0)</f>
        <v>10470</v>
      </c>
      <c r="C594" s="2" t="str">
        <f>IFERROR(__xludf.DUMMYFUNCTION("""COMPUTED_VALUE"""),"MARJUNI")</f>
        <v>MARJUNI</v>
      </c>
      <c r="D594" s="2" t="str">
        <f>IFERROR(__xludf.DUMMYFUNCTION("""COMPUTED_VALUE"""),"10KM OVERALL M")</f>
        <v>10KM OVERALL M</v>
      </c>
      <c r="E594" s="1">
        <f>IFERROR(__xludf.DUMMYFUNCTION("""COMPUTED_VALUE"""),1.0)</f>
        <v>1</v>
      </c>
      <c r="F594" s="1" t="str">
        <f>IFERROR(__xludf.DUMMYFUNCTION("""COMPUTED_VALUE"""),"Male")</f>
        <v>Male</v>
      </c>
      <c r="G594" s="4" t="str">
        <f>IFERROR(__xludf.DUMMYFUNCTION("""COMPUTED_VALUE"""),"")</f>
        <v/>
      </c>
      <c r="H594" s="4" t="b">
        <f>IFERROR(__xludf.DUMMYFUNCTION("""COMPUTED_VALUE"""),TRUE)</f>
        <v>1</v>
      </c>
      <c r="I594" s="4">
        <f>IFERROR(__xludf.DUMMYFUNCTION("""COMPUTED_VALUE"""),0.24646185185185185)</f>
        <v>0.2464618519</v>
      </c>
      <c r="J594" s="4">
        <f>IFERROR(__xludf.DUMMYFUNCTION("""COMPUTED_VALUE"""),45949.261950466076)</f>
        <v>45949.26195</v>
      </c>
      <c r="K594" s="4">
        <f>IFERROR(__xludf.DUMMYFUNCTION("""COMPUTED_VALUE"""),45949.30811369451)</f>
        <v>45949.30811</v>
      </c>
      <c r="L594" s="4">
        <f>IFERROR(__xludf.DUMMYFUNCTION("""COMPUTED_VALUE"""),45949.321331419815)</f>
        <v>45949.32133</v>
      </c>
      <c r="M594" s="1" t="str">
        <f>IFERROR(__xludf.DUMMYFUNCTION("""COMPUTED_VALUE"""),"RFID")</f>
        <v>RFID</v>
      </c>
      <c r="N594" s="5">
        <f>IFERROR(__xludf.DUMMYFUNCTION("""COMPUTED_VALUE"""),0.0061954444444444435)</f>
        <v>0.006195444444</v>
      </c>
      <c r="O594" s="5">
        <f>IFERROR(__xludf.DUMMYFUNCTION("""COMPUTED_VALUE"""),0.018465291666666668)</f>
        <v>0.01846529167</v>
      </c>
      <c r="P594" s="5">
        <f>IFERROR(__xludf.DUMMYFUNCTION("""COMPUTED_VALUE"""),0.005439393129032066)</f>
        <v>0.005439393129</v>
      </c>
      <c r="Q594" s="5">
        <f>IFERROR(__xludf.DUMMYFUNCTION("""COMPUTED_VALUE"""),0.007486957175925926)</f>
        <v>0.007486957176</v>
      </c>
      <c r="R594" s="4">
        <f>IFERROR(__xludf.DUMMYFUNCTION("""COMPUTED_VALUE"""),45949.074869567965)</f>
        <v>45949.07487</v>
      </c>
      <c r="S594" s="1" t="b">
        <f>IFERROR(__xludf.DUMMYFUNCTION("""COMPUTED_VALUE"""),TRUE)</f>
        <v>1</v>
      </c>
      <c r="T594" s="1" t="b">
        <f>IFERROR(__xludf.DUMMYFUNCTION("""COMPUTED_VALUE"""),FALSE)</f>
        <v>0</v>
      </c>
      <c r="U594" s="1" t="str">
        <f>IFERROR(__xludf.DUMMYFUNCTION("""COMPUTED_VALUE"""),"VALID")</f>
        <v>VALID</v>
      </c>
      <c r="V594" s="1">
        <f>IFERROR(__xludf.DUMMYFUNCTION("""COMPUTED_VALUE"""),604.0)</f>
        <v>604</v>
      </c>
      <c r="W594" s="1">
        <f>IFERROR(__xludf.DUMMYFUNCTION("""COMPUTED_VALUE"""),753.0)</f>
        <v>753</v>
      </c>
      <c r="X594" s="1">
        <f>IFERROR(__xludf.DUMMYFUNCTION("""COMPUTED_VALUE"""),1678.0)</f>
        <v>1678</v>
      </c>
      <c r="Y594" s="2"/>
      <c r="Z594" s="2"/>
    </row>
    <row r="595">
      <c r="A595" s="1">
        <f>IFERROR(__xludf.DUMMYFUNCTION("""COMPUTED_VALUE"""),594.0)</f>
        <v>594</v>
      </c>
      <c r="B595" s="1">
        <f>IFERROR(__xludf.DUMMYFUNCTION("""COMPUTED_VALUE"""),10471.0)</f>
        <v>10471</v>
      </c>
      <c r="C595" s="2" t="str">
        <f>IFERROR(__xludf.DUMMYFUNCTION("""COMPUTED_VALUE"""),"Agus Black")</f>
        <v>Agus Black</v>
      </c>
      <c r="D595" s="2" t="str">
        <f>IFERROR(__xludf.DUMMYFUNCTION("""COMPUTED_VALUE"""),"10KM OVERALL M")</f>
        <v>10KM OVERALL M</v>
      </c>
      <c r="E595" s="1">
        <f>IFERROR(__xludf.DUMMYFUNCTION("""COMPUTED_VALUE"""),1.0)</f>
        <v>1</v>
      </c>
      <c r="F595" s="1" t="str">
        <f>IFERROR(__xludf.DUMMYFUNCTION("""COMPUTED_VALUE"""),"Male")</f>
        <v>Male</v>
      </c>
      <c r="G595" s="4" t="b">
        <f>IFERROR(__xludf.DUMMYFUNCTION("""COMPUTED_VALUE"""),TRUE)</f>
        <v>1</v>
      </c>
      <c r="H595" s="4" t="b">
        <f>IFERROR(__xludf.DUMMYFUNCTION("""COMPUTED_VALUE"""),TRUE)</f>
        <v>1</v>
      </c>
      <c r="I595" s="4">
        <f>IFERROR(__xludf.DUMMYFUNCTION("""COMPUTED_VALUE"""),0.24646185185185185)</f>
        <v>0.2464618519</v>
      </c>
      <c r="J595" s="4">
        <f>IFERROR(__xludf.DUMMYFUNCTION("""COMPUTED_VALUE"""),45949.25709960782)</f>
        <v>45949.2571</v>
      </c>
      <c r="K595" s="4">
        <f>IFERROR(__xludf.DUMMYFUNCTION("""COMPUTED_VALUE"""),45949.28635659262)</f>
        <v>45949.28636</v>
      </c>
      <c r="L595" s="4">
        <f>IFERROR(__xludf.DUMMYFUNCTION("""COMPUTED_VALUE"""),45949.29538699685)</f>
        <v>45949.29539</v>
      </c>
      <c r="M595" s="1" t="str">
        <f>IFERROR(__xludf.DUMMYFUNCTION("""COMPUTED_VALUE"""),"RFID")</f>
        <v>RFID</v>
      </c>
      <c r="N595" s="5">
        <f>IFERROR(__xludf.DUMMYFUNCTION("""COMPUTED_VALUE"""),0.004255101851851852)</f>
        <v>0.004255101852</v>
      </c>
      <c r="O595" s="5">
        <f>IFERROR(__xludf.DUMMYFUNCTION("""COMPUTED_VALUE"""),0.011702791666666667)</f>
        <v>0.01170279167</v>
      </c>
      <c r="P595" s="5">
        <f>IFERROR(__xludf.DUMMYFUNCTION("""COMPUTED_VALUE"""),0.003716215730113947)</f>
        <v>0.00371621573</v>
      </c>
      <c r="Q595" s="5">
        <f>IFERROR(__xludf.DUMMYFUNCTION("""COMPUTED_VALUE"""),0.004892515046296296)</f>
        <v>0.004892515046</v>
      </c>
      <c r="R595" s="4">
        <f>IFERROR(__xludf.DUMMYFUNCTION("""COMPUTED_VALUE"""),45949.048925145)</f>
        <v>45949.04893</v>
      </c>
      <c r="S595" s="1" t="b">
        <f>IFERROR(__xludf.DUMMYFUNCTION("""COMPUTED_VALUE"""),TRUE)</f>
        <v>1</v>
      </c>
      <c r="T595" s="1" t="b">
        <f>IFERROR(__xludf.DUMMYFUNCTION("""COMPUTED_VALUE"""),FALSE)</f>
        <v>0</v>
      </c>
      <c r="U595" s="1" t="str">
        <f>IFERROR(__xludf.DUMMYFUNCTION("""COMPUTED_VALUE"""),"VALID")</f>
        <v>VALID</v>
      </c>
      <c r="V595" s="1">
        <f>IFERROR(__xludf.DUMMYFUNCTION("""COMPUTED_VALUE"""),308.0)</f>
        <v>308</v>
      </c>
      <c r="W595" s="1">
        <f>IFERROR(__xludf.DUMMYFUNCTION("""COMPUTED_VALUE"""),364.0)</f>
        <v>364</v>
      </c>
      <c r="X595" s="1">
        <f>IFERROR(__xludf.DUMMYFUNCTION("""COMPUTED_VALUE"""),1337.0)</f>
        <v>1337</v>
      </c>
      <c r="Y595" s="2"/>
      <c r="Z595" s="2"/>
    </row>
    <row r="596">
      <c r="A596" s="1">
        <f>IFERROR(__xludf.DUMMYFUNCTION("""COMPUTED_VALUE"""),595.0)</f>
        <v>595</v>
      </c>
      <c r="B596" s="1">
        <f>IFERROR(__xludf.DUMMYFUNCTION("""COMPUTED_VALUE"""),10472.0)</f>
        <v>10472</v>
      </c>
      <c r="C596" s="2" t="str">
        <f>IFERROR(__xludf.DUMMYFUNCTION("""COMPUTED_VALUE"""),"Abdurrahim")</f>
        <v>Abdurrahim</v>
      </c>
      <c r="D596" s="2" t="str">
        <f>IFERROR(__xludf.DUMMYFUNCTION("""COMPUTED_VALUE"""),"10KM OVERALL M")</f>
        <v>10KM OVERALL M</v>
      </c>
      <c r="E596" s="1">
        <f>IFERROR(__xludf.DUMMYFUNCTION("""COMPUTED_VALUE"""),1.0)</f>
        <v>1</v>
      </c>
      <c r="F596" s="1" t="str">
        <f>IFERROR(__xludf.DUMMYFUNCTION("""COMPUTED_VALUE"""),"Male")</f>
        <v>Male</v>
      </c>
      <c r="G596" s="4" t="b">
        <f>IFERROR(__xludf.DUMMYFUNCTION("""COMPUTED_VALUE"""),TRUE)</f>
        <v>1</v>
      </c>
      <c r="H596" s="4" t="b">
        <f>IFERROR(__xludf.DUMMYFUNCTION("""COMPUTED_VALUE"""),TRUE)</f>
        <v>1</v>
      </c>
      <c r="I596" s="4">
        <f>IFERROR(__xludf.DUMMYFUNCTION("""COMPUTED_VALUE"""),0.24646185185185185)</f>
        <v>0.2464618519</v>
      </c>
      <c r="J596" s="4">
        <f>IFERROR(__xludf.DUMMYFUNCTION("""COMPUTED_VALUE"""),45949.25690171737)</f>
        <v>45949.2569</v>
      </c>
      <c r="K596" s="4">
        <f>IFERROR(__xludf.DUMMYFUNCTION("""COMPUTED_VALUE"""),45949.28681143376)</f>
        <v>45949.28681</v>
      </c>
      <c r="L596" s="4">
        <f>IFERROR(__xludf.DUMMYFUNCTION("""COMPUTED_VALUE"""),45949.29596360066)</f>
        <v>45949.29596</v>
      </c>
      <c r="M596" s="1" t="str">
        <f>IFERROR(__xludf.DUMMYFUNCTION("""COMPUTED_VALUE"""),"RFID")</f>
        <v>RFID</v>
      </c>
      <c r="N596" s="5">
        <f>IFERROR(__xludf.DUMMYFUNCTION("""COMPUTED_VALUE"""),0.004175944444444445)</f>
        <v>0.004175944444</v>
      </c>
      <c r="O596" s="5">
        <f>IFERROR(__xludf.DUMMYFUNCTION("""COMPUTED_VALUE"""),0.01196388425925926)</f>
        <v>0.01196388426</v>
      </c>
      <c r="P596" s="5">
        <f>IFERROR(__xludf.DUMMYFUNCTION("""COMPUTED_VALUE"""),0.003766323827947739)</f>
        <v>0.003766323828</v>
      </c>
      <c r="Q596" s="5">
        <f>IFERROR(__xludf.DUMMYFUNCTION("""COMPUTED_VALUE"""),0.004950174768518519)</f>
        <v>0.004950174769</v>
      </c>
      <c r="R596" s="4">
        <f>IFERROR(__xludf.DUMMYFUNCTION("""COMPUTED_VALUE"""),45949.049501748814)</f>
        <v>45949.0495</v>
      </c>
      <c r="S596" s="1" t="b">
        <f>IFERROR(__xludf.DUMMYFUNCTION("""COMPUTED_VALUE"""),TRUE)</f>
        <v>1</v>
      </c>
      <c r="T596" s="1" t="b">
        <f>IFERROR(__xludf.DUMMYFUNCTION("""COMPUTED_VALUE"""),FALSE)</f>
        <v>0</v>
      </c>
      <c r="U596" s="1" t="str">
        <f>IFERROR(__xludf.DUMMYFUNCTION("""COMPUTED_VALUE"""),"VALID")</f>
        <v>VALID</v>
      </c>
      <c r="V596" s="1">
        <f>IFERROR(__xludf.DUMMYFUNCTION("""COMPUTED_VALUE"""),328.0)</f>
        <v>328</v>
      </c>
      <c r="W596" s="1">
        <f>IFERROR(__xludf.DUMMYFUNCTION("""COMPUTED_VALUE"""),389.0)</f>
        <v>389</v>
      </c>
      <c r="X596" s="1">
        <f>IFERROR(__xludf.DUMMYFUNCTION("""COMPUTED_VALUE"""),1365.0)</f>
        <v>1365</v>
      </c>
      <c r="Y596" s="2"/>
      <c r="Z596" s="2"/>
    </row>
    <row r="597">
      <c r="A597" s="1">
        <f>IFERROR(__xludf.DUMMYFUNCTION("""COMPUTED_VALUE"""),596.0)</f>
        <v>596</v>
      </c>
      <c r="B597" s="1">
        <f>IFERROR(__xludf.DUMMYFUNCTION("""COMPUTED_VALUE"""),10473.0)</f>
        <v>10473</v>
      </c>
      <c r="C597" s="2" t="str">
        <f>IFERROR(__xludf.DUMMYFUNCTION("""COMPUTED_VALUE"""),"vijea")</f>
        <v>vijea</v>
      </c>
      <c r="D597" s="2" t="str">
        <f>IFERROR(__xludf.DUMMYFUNCTION("""COMPUTED_VALUE"""),"10KM OVERALL M")</f>
        <v>10KM OVERALL M</v>
      </c>
      <c r="E597" s="1">
        <f>IFERROR(__xludf.DUMMYFUNCTION("""COMPUTED_VALUE"""),1.0)</f>
        <v>1</v>
      </c>
      <c r="F597" s="1" t="str">
        <f>IFERROR(__xludf.DUMMYFUNCTION("""COMPUTED_VALUE"""),"Male")</f>
        <v>Male</v>
      </c>
      <c r="G597" s="4" t="b">
        <f>IFERROR(__xludf.DUMMYFUNCTION("""COMPUTED_VALUE"""),TRUE)</f>
        <v>1</v>
      </c>
      <c r="H597" s="4" t="b">
        <f>IFERROR(__xludf.DUMMYFUNCTION("""COMPUTED_VALUE"""),TRUE)</f>
        <v>1</v>
      </c>
      <c r="I597" s="4">
        <f>IFERROR(__xludf.DUMMYFUNCTION("""COMPUTED_VALUE"""),0.24646185185185185)</f>
        <v>0.2464618519</v>
      </c>
      <c r="J597" s="4">
        <f>IFERROR(__xludf.DUMMYFUNCTION("""COMPUTED_VALUE"""),45949.257082254175)</f>
        <v>45949.25708</v>
      </c>
      <c r="K597" s="4">
        <f>IFERROR(__xludf.DUMMYFUNCTION("""COMPUTED_VALUE"""),45949.28771772737)</f>
        <v>45949.28772</v>
      </c>
      <c r="L597" s="4">
        <f>IFERROR(__xludf.DUMMYFUNCTION("""COMPUTED_VALUE"""),45949.296553657434)</f>
        <v>45949.29655</v>
      </c>
      <c r="M597" s="1" t="str">
        <f>IFERROR(__xludf.DUMMYFUNCTION("""COMPUTED_VALUE"""),"RFID")</f>
        <v>RFID</v>
      </c>
      <c r="N597" s="5">
        <f>IFERROR(__xludf.DUMMYFUNCTION("""COMPUTED_VALUE"""),0.004248162037037037)</f>
        <v>0.004248162037</v>
      </c>
      <c r="O597" s="5">
        <f>IFERROR(__xludf.DUMMYFUNCTION("""COMPUTED_VALUE"""),0.012254189814814815)</f>
        <v>0.01225418981</v>
      </c>
      <c r="P597" s="5">
        <f>IFERROR(__xludf.DUMMYFUNCTION("""COMPUTED_VALUE"""),0.003636185211678507)</f>
        <v>0.003636185212</v>
      </c>
      <c r="Q597" s="5">
        <f>IFERROR(__xludf.DUMMYFUNCTION("""COMPUTED_VALUE"""),0.005009180555555556)</f>
        <v>0.005009180556</v>
      </c>
      <c r="R597" s="4">
        <f>IFERROR(__xludf.DUMMYFUNCTION("""COMPUTED_VALUE"""),45949.050091805584)</f>
        <v>45949.05009</v>
      </c>
      <c r="S597" s="1" t="b">
        <f>IFERROR(__xludf.DUMMYFUNCTION("""COMPUTED_VALUE"""),TRUE)</f>
        <v>1</v>
      </c>
      <c r="T597" s="1" t="b">
        <f>IFERROR(__xludf.DUMMYFUNCTION("""COMPUTED_VALUE"""),FALSE)</f>
        <v>0</v>
      </c>
      <c r="U597" s="1" t="str">
        <f>IFERROR(__xludf.DUMMYFUNCTION("""COMPUTED_VALUE"""),"VALID")</f>
        <v>VALID</v>
      </c>
      <c r="V597" s="1">
        <f>IFERROR(__xludf.DUMMYFUNCTION("""COMPUTED_VALUE"""),342.0)</f>
        <v>342</v>
      </c>
      <c r="W597" s="1">
        <f>IFERROR(__xludf.DUMMYFUNCTION("""COMPUTED_VALUE"""),404.0)</f>
        <v>404</v>
      </c>
      <c r="X597" s="1">
        <f>IFERROR(__xludf.DUMMYFUNCTION("""COMPUTED_VALUE"""),1382.0)</f>
        <v>1382</v>
      </c>
      <c r="Y597" s="2"/>
      <c r="Z597" s="2"/>
    </row>
    <row r="598">
      <c r="A598" s="1">
        <f>IFERROR(__xludf.DUMMYFUNCTION("""COMPUTED_VALUE"""),597.0)</f>
        <v>597</v>
      </c>
      <c r="B598" s="1">
        <f>IFERROR(__xludf.DUMMYFUNCTION("""COMPUTED_VALUE"""),10474.0)</f>
        <v>10474</v>
      </c>
      <c r="C598" s="2" t="str">
        <f>IFERROR(__xludf.DUMMYFUNCTION("""COMPUTED_VALUE"""),"Angga A")</f>
        <v>Angga A</v>
      </c>
      <c r="D598" s="2" t="str">
        <f>IFERROR(__xludf.DUMMYFUNCTION("""COMPUTED_VALUE"""),"10KM OVERALL M")</f>
        <v>10KM OVERALL M</v>
      </c>
      <c r="E598" s="1">
        <f>IFERROR(__xludf.DUMMYFUNCTION("""COMPUTED_VALUE"""),1.0)</f>
        <v>1</v>
      </c>
      <c r="F598" s="1" t="str">
        <f>IFERROR(__xludf.DUMMYFUNCTION("""COMPUTED_VALUE"""),"Male")</f>
        <v>Male</v>
      </c>
      <c r="G598" s="4" t="b">
        <f>IFERROR(__xludf.DUMMYFUNCTION("""COMPUTED_VALUE"""),TRUE)</f>
        <v>1</v>
      </c>
      <c r="H598" s="4" t="b">
        <f>IFERROR(__xludf.DUMMYFUNCTION("""COMPUTED_VALUE"""),TRUE)</f>
        <v>1</v>
      </c>
      <c r="I598" s="4">
        <f>IFERROR(__xludf.DUMMYFUNCTION("""COMPUTED_VALUE"""),0.24646185185185185)</f>
        <v>0.2464618519</v>
      </c>
      <c r="J598" s="4">
        <f>IFERROR(__xludf.DUMMYFUNCTION("""COMPUTED_VALUE"""),45949.257755882)</f>
        <v>45949.25776</v>
      </c>
      <c r="K598" s="4">
        <f>IFERROR(__xludf.DUMMYFUNCTION("""COMPUTED_VALUE"""),45949.28762396623)</f>
        <v>45949.28762</v>
      </c>
      <c r="L598" s="4">
        <f>IFERROR(__xludf.DUMMYFUNCTION("""COMPUTED_VALUE"""),45949.296755330455)</f>
        <v>45949.29676</v>
      </c>
      <c r="M598" s="1" t="str">
        <f>IFERROR(__xludf.DUMMYFUNCTION("""COMPUTED_VALUE"""),"RFID")</f>
        <v>RFID</v>
      </c>
      <c r="N598" s="5">
        <f>IFERROR(__xludf.DUMMYFUNCTION("""COMPUTED_VALUE"""),0.004517611111111111)</f>
        <v>0.004517611111</v>
      </c>
      <c r="O598" s="5">
        <f>IFERROR(__xludf.DUMMYFUNCTION("""COMPUTED_VALUE"""),0.01194723148148148)</f>
        <v>0.01194723148</v>
      </c>
      <c r="P598" s="5">
        <f>IFERROR(__xludf.DUMMYFUNCTION("""COMPUTED_VALUE"""),0.0037577630559877404)</f>
        <v>0.003757763056</v>
      </c>
      <c r="Q598" s="5">
        <f>IFERROR(__xludf.DUMMYFUNCTION("""COMPUTED_VALUE"""),0.005029348379629629)</f>
        <v>0.00502934838</v>
      </c>
      <c r="R598" s="4">
        <f>IFERROR(__xludf.DUMMYFUNCTION("""COMPUTED_VALUE"""),45949.050293478605)</f>
        <v>45949.05029</v>
      </c>
      <c r="S598" s="1" t="b">
        <f>IFERROR(__xludf.DUMMYFUNCTION("""COMPUTED_VALUE"""),TRUE)</f>
        <v>1</v>
      </c>
      <c r="T598" s="1" t="b">
        <f>IFERROR(__xludf.DUMMYFUNCTION("""COMPUTED_VALUE"""),FALSE)</f>
        <v>0</v>
      </c>
      <c r="U598" s="1" t="str">
        <f>IFERROR(__xludf.DUMMYFUNCTION("""COMPUTED_VALUE"""),"VALID")</f>
        <v>VALID</v>
      </c>
      <c r="V598" s="1">
        <f>IFERROR(__xludf.DUMMYFUNCTION("""COMPUTED_VALUE"""),348.0)</f>
        <v>348</v>
      </c>
      <c r="W598" s="1">
        <f>IFERROR(__xludf.DUMMYFUNCTION("""COMPUTED_VALUE"""),410.0)</f>
        <v>410</v>
      </c>
      <c r="X598" s="1">
        <f>IFERROR(__xludf.DUMMYFUNCTION("""COMPUTED_VALUE"""),1389.0)</f>
        <v>1389</v>
      </c>
      <c r="Y598" s="2"/>
      <c r="Z598" s="2"/>
    </row>
    <row r="599">
      <c r="A599" s="1">
        <f>IFERROR(__xludf.DUMMYFUNCTION("""COMPUTED_VALUE"""),598.0)</f>
        <v>598</v>
      </c>
      <c r="B599" s="1">
        <f>IFERROR(__xludf.DUMMYFUNCTION("""COMPUTED_VALUE"""),10475.0)</f>
        <v>10475</v>
      </c>
      <c r="C599" s="2" t="str">
        <f>IFERROR(__xludf.DUMMYFUNCTION("""COMPUTED_VALUE"""),"nabil el")</f>
        <v>nabil el</v>
      </c>
      <c r="D599" s="2" t="str">
        <f>IFERROR(__xludf.DUMMYFUNCTION("""COMPUTED_VALUE"""),"10KM OVERALL M")</f>
        <v>10KM OVERALL M</v>
      </c>
      <c r="E599" s="1">
        <f>IFERROR(__xludf.DUMMYFUNCTION("""COMPUTED_VALUE"""),1.0)</f>
        <v>1</v>
      </c>
      <c r="F599" s="1" t="str">
        <f>IFERROR(__xludf.DUMMYFUNCTION("""COMPUTED_VALUE"""),"Male")</f>
        <v>Male</v>
      </c>
      <c r="G599" s="4" t="b">
        <f>IFERROR(__xludf.DUMMYFUNCTION("""COMPUTED_VALUE"""),TRUE)</f>
        <v>1</v>
      </c>
      <c r="H599" s="4" t="b">
        <f>IFERROR(__xludf.DUMMYFUNCTION("""COMPUTED_VALUE"""),TRUE)</f>
        <v>1</v>
      </c>
      <c r="I599" s="4">
        <f>IFERROR(__xludf.DUMMYFUNCTION("""COMPUTED_VALUE"""),0.24646185185185185)</f>
        <v>0.2464618519</v>
      </c>
      <c r="J599" s="4">
        <f>IFERROR(__xludf.DUMMYFUNCTION("""COMPUTED_VALUE"""),45949.25745383449)</f>
        <v>45949.25745</v>
      </c>
      <c r="K599" s="4">
        <f>IFERROR(__xludf.DUMMYFUNCTION("""COMPUTED_VALUE"""),45949.2884295079)</f>
        <v>45949.28843</v>
      </c>
      <c r="L599" s="4">
        <f>IFERROR(__xludf.DUMMYFUNCTION("""COMPUTED_VALUE"""),45949.295886980304)</f>
        <v>45949.29589</v>
      </c>
      <c r="M599" s="1" t="str">
        <f>IFERROR(__xludf.DUMMYFUNCTION("""COMPUTED_VALUE"""),"RFID")</f>
        <v>RFID</v>
      </c>
      <c r="N599" s="5">
        <f>IFERROR(__xludf.DUMMYFUNCTION("""COMPUTED_VALUE"""),0.004396791666666667)</f>
        <v>0.004396791667</v>
      </c>
      <c r="O599" s="5">
        <f>IFERROR(__xludf.DUMMYFUNCTION("""COMPUTED_VALUE"""),0.012390268518518517)</f>
        <v>0.01239026852</v>
      </c>
      <c r="P599" s="5">
        <f>IFERROR(__xludf.DUMMYFUNCTION("""COMPUTED_VALUE"""),0.00306891868551599)</f>
        <v>0.003068918686</v>
      </c>
      <c r="Q599" s="5">
        <f>IFERROR(__xludf.DUMMYFUNCTION("""COMPUTED_VALUE"""),0.004942512731481482)</f>
        <v>0.004942512731</v>
      </c>
      <c r="R599" s="4">
        <f>IFERROR(__xludf.DUMMYFUNCTION("""COMPUTED_VALUE"""),45949.049425128454)</f>
        <v>45949.04943</v>
      </c>
      <c r="S599" s="1" t="b">
        <f>IFERROR(__xludf.DUMMYFUNCTION("""COMPUTED_VALUE"""),TRUE)</f>
        <v>1</v>
      </c>
      <c r="T599" s="1" t="b">
        <f>IFERROR(__xludf.DUMMYFUNCTION("""COMPUTED_VALUE"""),FALSE)</f>
        <v>0</v>
      </c>
      <c r="U599" s="1" t="str">
        <f>IFERROR(__xludf.DUMMYFUNCTION("""COMPUTED_VALUE"""),"VALID")</f>
        <v>VALID</v>
      </c>
      <c r="V599" s="1">
        <f>IFERROR(__xludf.DUMMYFUNCTION("""COMPUTED_VALUE"""),326.0)</f>
        <v>326</v>
      </c>
      <c r="W599" s="1">
        <f>IFERROR(__xludf.DUMMYFUNCTION("""COMPUTED_VALUE"""),387.0)</f>
        <v>387</v>
      </c>
      <c r="X599" s="1">
        <f>IFERROR(__xludf.DUMMYFUNCTION("""COMPUTED_VALUE"""),1363.0)</f>
        <v>1363</v>
      </c>
      <c r="Y599" s="2"/>
      <c r="Z599" s="2"/>
    </row>
    <row r="600">
      <c r="A600" s="1">
        <f>IFERROR(__xludf.DUMMYFUNCTION("""COMPUTED_VALUE"""),599.0)</f>
        <v>599</v>
      </c>
      <c r="B600" s="1">
        <f>IFERROR(__xludf.DUMMYFUNCTION("""COMPUTED_VALUE"""),10476.0)</f>
        <v>10476</v>
      </c>
      <c r="C600" s="2" t="str">
        <f>IFERROR(__xludf.DUMMYFUNCTION("""COMPUTED_VALUE"""),"RAFI")</f>
        <v>RAFI</v>
      </c>
      <c r="D600" s="2" t="str">
        <f>IFERROR(__xludf.DUMMYFUNCTION("""COMPUTED_VALUE"""),"10KM OVERALL M")</f>
        <v>10KM OVERALL M</v>
      </c>
      <c r="E600" s="1">
        <f>IFERROR(__xludf.DUMMYFUNCTION("""COMPUTED_VALUE"""),1.0)</f>
        <v>1</v>
      </c>
      <c r="F600" s="1" t="str">
        <f>IFERROR(__xludf.DUMMYFUNCTION("""COMPUTED_VALUE"""),"Male")</f>
        <v>Male</v>
      </c>
      <c r="G600" s="4" t="b">
        <f>IFERROR(__xludf.DUMMYFUNCTION("""COMPUTED_VALUE"""),TRUE)</f>
        <v>1</v>
      </c>
      <c r="H600" s="4" t="b">
        <f>IFERROR(__xludf.DUMMYFUNCTION("""COMPUTED_VALUE"""),TRUE)</f>
        <v>1</v>
      </c>
      <c r="I600" s="4">
        <f>IFERROR(__xludf.DUMMYFUNCTION("""COMPUTED_VALUE"""),0.24646185185185185)</f>
        <v>0.2464618519</v>
      </c>
      <c r="J600" s="4">
        <f>IFERROR(__xludf.DUMMYFUNCTION("""COMPUTED_VALUE"""),45949.25599196809)</f>
        <v>45949.25599</v>
      </c>
      <c r="K600" s="4">
        <f>IFERROR(__xludf.DUMMYFUNCTION("""COMPUTED_VALUE"""),45949.28592601823)</f>
        <v>45949.28593</v>
      </c>
      <c r="L600" s="4">
        <f>IFERROR(__xludf.DUMMYFUNCTION("""COMPUTED_VALUE"""),45949.29462309716)</f>
        <v>45949.29462</v>
      </c>
      <c r="M600" s="1" t="str">
        <f>IFERROR(__xludf.DUMMYFUNCTION("""COMPUTED_VALUE"""),"RFID")</f>
        <v>RFID</v>
      </c>
      <c r="N600" s="5">
        <f>IFERROR(__xludf.DUMMYFUNCTION("""COMPUTED_VALUE"""),0.003812046296296297)</f>
        <v>0.003812046296</v>
      </c>
      <c r="O600" s="5">
        <f>IFERROR(__xludf.DUMMYFUNCTION("""COMPUTED_VALUE"""),0.01197362037037037)</f>
        <v>0.01197362037</v>
      </c>
      <c r="P600" s="5">
        <f>IFERROR(__xludf.DUMMYFUNCTION("""COMPUTED_VALUE"""),0.0035790448259550756)</f>
        <v>0.003579044826</v>
      </c>
      <c r="Q600" s="5">
        <f>IFERROR(__xludf.DUMMYFUNCTION("""COMPUTED_VALUE"""),0.004816124999999999)</f>
        <v>0.004816125</v>
      </c>
      <c r="R600" s="4">
        <f>IFERROR(__xludf.DUMMYFUNCTION("""COMPUTED_VALUE"""),45949.04816124531)</f>
        <v>45949.04816</v>
      </c>
      <c r="S600" s="1" t="b">
        <f>IFERROR(__xludf.DUMMYFUNCTION("""COMPUTED_VALUE"""),TRUE)</f>
        <v>1</v>
      </c>
      <c r="T600" s="1" t="b">
        <f>IFERROR(__xludf.DUMMYFUNCTION("""COMPUTED_VALUE"""),FALSE)</f>
        <v>0</v>
      </c>
      <c r="U600" s="1" t="str">
        <f>IFERROR(__xludf.DUMMYFUNCTION("""COMPUTED_VALUE"""),"VALID")</f>
        <v>VALID</v>
      </c>
      <c r="V600" s="1">
        <f>IFERROR(__xludf.DUMMYFUNCTION("""COMPUTED_VALUE"""),290.0)</f>
        <v>290</v>
      </c>
      <c r="W600" s="1">
        <f>IFERROR(__xludf.DUMMYFUNCTION("""COMPUTED_VALUE"""),343.0)</f>
        <v>343</v>
      </c>
      <c r="X600" s="1">
        <f>IFERROR(__xludf.DUMMYFUNCTION("""COMPUTED_VALUE"""),1316.0)</f>
        <v>1316</v>
      </c>
      <c r="Y600" s="2"/>
      <c r="Z600" s="2"/>
    </row>
    <row r="601">
      <c r="A601" s="1">
        <f>IFERROR(__xludf.DUMMYFUNCTION("""COMPUTED_VALUE"""),600.0)</f>
        <v>600</v>
      </c>
      <c r="B601" s="1">
        <f>IFERROR(__xludf.DUMMYFUNCTION("""COMPUTED_VALUE"""),10477.0)</f>
        <v>10477</v>
      </c>
      <c r="C601" s="2" t="str">
        <f>IFERROR(__xludf.DUMMYFUNCTION("""COMPUTED_VALUE"""),"Alpisan")</f>
        <v>Alpisan</v>
      </c>
      <c r="D601" s="2" t="str">
        <f>IFERROR(__xludf.DUMMYFUNCTION("""COMPUTED_VALUE"""),"10KM OVERALL M")</f>
        <v>10KM OVERALL M</v>
      </c>
      <c r="E601" s="1">
        <f>IFERROR(__xludf.DUMMYFUNCTION("""COMPUTED_VALUE"""),1.0)</f>
        <v>1</v>
      </c>
      <c r="F601" s="1" t="str">
        <f>IFERROR(__xludf.DUMMYFUNCTION("""COMPUTED_VALUE"""),"Male")</f>
        <v>Male</v>
      </c>
      <c r="G601" s="4" t="b">
        <f>IFERROR(__xludf.DUMMYFUNCTION("""COMPUTED_VALUE"""),TRUE)</f>
        <v>1</v>
      </c>
      <c r="H601" s="4" t="b">
        <f>IFERROR(__xludf.DUMMYFUNCTION("""COMPUTED_VALUE"""),TRUE)</f>
        <v>1</v>
      </c>
      <c r="I601" s="4">
        <f>IFERROR(__xludf.DUMMYFUNCTION("""COMPUTED_VALUE"""),0.24646185185185185)</f>
        <v>0.2464618519</v>
      </c>
      <c r="J601" s="4">
        <f>IFERROR(__xludf.DUMMYFUNCTION("""COMPUTED_VALUE"""),45949.26545378281)</f>
        <v>45949.26545</v>
      </c>
      <c r="K601" s="4">
        <f>IFERROR(__xludf.DUMMYFUNCTION("""COMPUTED_VALUE"""),45949.29615229775)</f>
        <v>45949.29615</v>
      </c>
      <c r="L601" s="4">
        <f>IFERROR(__xludf.DUMMYFUNCTION("""COMPUTED_VALUE"""),45949.305501970586)</f>
        <v>45949.3055</v>
      </c>
      <c r="M601" s="1" t="str">
        <f>IFERROR(__xludf.DUMMYFUNCTION("""COMPUTED_VALUE"""),"RFID")</f>
        <v>RFID</v>
      </c>
      <c r="N601" s="5">
        <f>IFERROR(__xludf.DUMMYFUNCTION("""COMPUTED_VALUE"""),0.007596773148148148)</f>
        <v>0.007596773148</v>
      </c>
      <c r="O601" s="5">
        <f>IFERROR(__xludf.DUMMYFUNCTION("""COMPUTED_VALUE"""),0.012279407407407407)</f>
        <v>0.01227940741</v>
      </c>
      <c r="P601" s="5">
        <f>IFERROR(__xludf.DUMMYFUNCTION("""COMPUTED_VALUE"""),0.0038476019904665156)</f>
        <v>0.00384760199</v>
      </c>
      <c r="Q601" s="5">
        <f>IFERROR(__xludf.DUMMYFUNCTION("""COMPUTED_VALUE"""),0.005904011574074074)</f>
        <v>0.005904011574</v>
      </c>
      <c r="R601" s="4">
        <f>IFERROR(__xludf.DUMMYFUNCTION("""COMPUTED_VALUE"""),45949.05904011874)</f>
        <v>45949.05904</v>
      </c>
      <c r="S601" s="1" t="b">
        <f>IFERROR(__xludf.DUMMYFUNCTION("""COMPUTED_VALUE"""),TRUE)</f>
        <v>1</v>
      </c>
      <c r="T601" s="1" t="b">
        <f>IFERROR(__xludf.DUMMYFUNCTION("""COMPUTED_VALUE"""),FALSE)</f>
        <v>0</v>
      </c>
      <c r="U601" s="1" t="str">
        <f>IFERROR(__xludf.DUMMYFUNCTION("""COMPUTED_VALUE"""),"VALID")</f>
        <v>VALID</v>
      </c>
      <c r="V601" s="1">
        <f>IFERROR(__xludf.DUMMYFUNCTION("""COMPUTED_VALUE"""),525.0)</f>
        <v>525</v>
      </c>
      <c r="W601" s="1">
        <f>IFERROR(__xludf.DUMMYFUNCTION("""COMPUTED_VALUE"""),639.0)</f>
        <v>639</v>
      </c>
      <c r="X601" s="1">
        <f>IFERROR(__xludf.DUMMYFUNCTION("""COMPUTED_VALUE"""),1599.0)</f>
        <v>1599</v>
      </c>
      <c r="Y601" s="2"/>
      <c r="Z601" s="2"/>
    </row>
    <row r="602">
      <c r="A602" s="1">
        <f>IFERROR(__xludf.DUMMYFUNCTION("""COMPUTED_VALUE"""),601.0)</f>
        <v>601</v>
      </c>
      <c r="B602" s="1">
        <f>IFERROR(__xludf.DUMMYFUNCTION("""COMPUTED_VALUE"""),10478.0)</f>
        <v>10478</v>
      </c>
      <c r="C602" s="2" t="str">
        <f>IFERROR(__xludf.DUMMYFUNCTION("""COMPUTED_VALUE"""),"usman")</f>
        <v>usman</v>
      </c>
      <c r="D602" s="2" t="str">
        <f>IFERROR(__xludf.DUMMYFUNCTION("""COMPUTED_VALUE"""),"10KM OVERALL M")</f>
        <v>10KM OVERALL M</v>
      </c>
      <c r="E602" s="1">
        <f>IFERROR(__xludf.DUMMYFUNCTION("""COMPUTED_VALUE"""),1.0)</f>
        <v>1</v>
      </c>
      <c r="F602" s="1" t="str">
        <f>IFERROR(__xludf.DUMMYFUNCTION("""COMPUTED_VALUE"""),"Male")</f>
        <v>Male</v>
      </c>
      <c r="G602" s="4" t="str">
        <f>IFERROR(__xludf.DUMMYFUNCTION("""COMPUTED_VALUE"""),"")</f>
        <v/>
      </c>
      <c r="H602" s="4" t="b">
        <f>IFERROR(__xludf.DUMMYFUNCTION("""COMPUTED_VALUE"""),FALSE)</f>
        <v>0</v>
      </c>
      <c r="I602" s="4">
        <f>IFERROR(__xludf.DUMMYFUNCTION("""COMPUTED_VALUE"""),0.24646185185185185)</f>
        <v>0.2464618519</v>
      </c>
      <c r="J602" s="4" t="str">
        <f>IFERROR(__xludf.DUMMYFUNCTION("""COMPUTED_VALUE"""),"")</f>
        <v/>
      </c>
      <c r="K602" s="4" t="str">
        <f>IFERROR(__xludf.DUMMYFUNCTION("""COMPUTED_VALUE"""),"")</f>
        <v/>
      </c>
      <c r="L602" s="4" t="str">
        <f>IFERROR(__xludf.DUMMYFUNCTION("""COMPUTED_VALUE"""),"")</f>
        <v/>
      </c>
      <c r="M602" s="1" t="str">
        <f>IFERROR(__xludf.DUMMYFUNCTION("""COMPUTED_VALUE"""),"RFID")</f>
        <v>RFID</v>
      </c>
      <c r="N602" s="5" t="str">
        <f>IFERROR(__xludf.DUMMYFUNCTION("""COMPUTED_VALUE"""),"")</f>
        <v/>
      </c>
      <c r="O602" s="5" t="str">
        <f>IFERROR(__xludf.DUMMYFUNCTION("""COMPUTED_VALUE"""),"")</f>
        <v/>
      </c>
      <c r="P602" s="5" t="str">
        <f>IFERROR(__xludf.DUMMYFUNCTION("""COMPUTED_VALUE"""),"")</f>
        <v/>
      </c>
      <c r="Q602" s="5" t="str">
        <f>IFERROR(__xludf.DUMMYFUNCTION("""COMPUTED_VALUE"""),"")</f>
        <v/>
      </c>
      <c r="R602" s="4" t="str">
        <f>IFERROR(__xludf.DUMMYFUNCTION("""COMPUTED_VALUE"""),"")</f>
        <v/>
      </c>
      <c r="S602" s="1" t="b">
        <f>IFERROR(__xludf.DUMMYFUNCTION("""COMPUTED_VALUE"""),FALSE)</f>
        <v>0</v>
      </c>
      <c r="T602" s="1" t="b">
        <f>IFERROR(__xludf.DUMMYFUNCTION("""COMPUTED_VALUE"""),FALSE)</f>
        <v>0</v>
      </c>
      <c r="U602" s="1" t="str">
        <f>IFERROR(__xludf.DUMMYFUNCTION("""COMPUTED_VALUE"""),"DSQ")</f>
        <v>DSQ</v>
      </c>
      <c r="V602" s="1" t="str">
        <f>IFERROR(__xludf.DUMMYFUNCTION("""COMPUTED_VALUE"""),"DSQ")</f>
        <v>DSQ</v>
      </c>
      <c r="W602" s="1" t="str">
        <f>IFERROR(__xludf.DUMMYFUNCTION("""COMPUTED_VALUE"""),"DSQ")</f>
        <v>DSQ</v>
      </c>
      <c r="X602" s="1" t="str">
        <f>IFERROR(__xludf.DUMMYFUNCTION("""COMPUTED_VALUE"""),"DSQ")</f>
        <v>DSQ</v>
      </c>
      <c r="Y602" s="2"/>
      <c r="Z602" s="2" t="str">
        <f>IFERROR(__xludf.DUMMYFUNCTION("""COMPUTED_VALUE"""),"")</f>
        <v/>
      </c>
    </row>
    <row r="603">
      <c r="A603" s="1">
        <f>IFERROR(__xludf.DUMMYFUNCTION("""COMPUTED_VALUE"""),602.0)</f>
        <v>602</v>
      </c>
      <c r="B603" s="1">
        <f>IFERROR(__xludf.DUMMYFUNCTION("""COMPUTED_VALUE"""),10479.0)</f>
        <v>10479</v>
      </c>
      <c r="C603" s="2" t="str">
        <f>IFERROR(__xludf.DUMMYFUNCTION("""COMPUTED_VALUE"""),"badzakwan")</f>
        <v>badzakwan</v>
      </c>
      <c r="D603" s="2" t="str">
        <f>IFERROR(__xludf.DUMMYFUNCTION("""COMPUTED_VALUE"""),"10KM OVERALL M")</f>
        <v>10KM OVERALL M</v>
      </c>
      <c r="E603" s="1">
        <f>IFERROR(__xludf.DUMMYFUNCTION("""COMPUTED_VALUE"""),1.0)</f>
        <v>1</v>
      </c>
      <c r="F603" s="1" t="str">
        <f>IFERROR(__xludf.DUMMYFUNCTION("""COMPUTED_VALUE"""),"Male")</f>
        <v>Male</v>
      </c>
      <c r="G603" s="4" t="b">
        <f>IFERROR(__xludf.DUMMYFUNCTION("""COMPUTED_VALUE"""),TRUE)</f>
        <v>1</v>
      </c>
      <c r="H603" s="4" t="b">
        <f>IFERROR(__xludf.DUMMYFUNCTION("""COMPUTED_VALUE"""),TRUE)</f>
        <v>1</v>
      </c>
      <c r="I603" s="4">
        <f>IFERROR(__xludf.DUMMYFUNCTION("""COMPUTED_VALUE"""),0.24646185185185185)</f>
        <v>0.2464618519</v>
      </c>
      <c r="J603" s="4">
        <f>IFERROR(__xludf.DUMMYFUNCTION("""COMPUTED_VALUE"""),45949.25884613949)</f>
        <v>45949.25885</v>
      </c>
      <c r="K603" s="4">
        <f>IFERROR(__xludf.DUMMYFUNCTION("""COMPUTED_VALUE"""),45949.29513109971)</f>
        <v>45949.29513</v>
      </c>
      <c r="L603" s="4">
        <f>IFERROR(__xludf.DUMMYFUNCTION("""COMPUTED_VALUE"""),45949.30507848069)</f>
        <v>45949.30508</v>
      </c>
      <c r="M603" s="1" t="str">
        <f>IFERROR(__xludf.DUMMYFUNCTION("""COMPUTED_VALUE"""),"RFID")</f>
        <v>RFID</v>
      </c>
      <c r="N603" s="5">
        <f>IFERROR(__xludf.DUMMYFUNCTION("""COMPUTED_VALUE"""),0.004953712962962963)</f>
        <v>0.004953712963</v>
      </c>
      <c r="O603" s="5">
        <f>IFERROR(__xludf.DUMMYFUNCTION("""COMPUTED_VALUE"""),0.014513986111111113)</f>
        <v>0.01451398611</v>
      </c>
      <c r="P603" s="5">
        <f>IFERROR(__xludf.DUMMYFUNCTION("""COMPUTED_VALUE"""),0.004093572420715795)</f>
        <v>0.004093572421</v>
      </c>
      <c r="Q603" s="5">
        <f>IFERROR(__xludf.DUMMYFUNCTION("""COMPUTED_VALUE"""),0.0058616631944444445)</f>
        <v>0.005861663194</v>
      </c>
      <c r="R603" s="4">
        <f>IFERROR(__xludf.DUMMYFUNCTION("""COMPUTED_VALUE"""),45949.05861662884)</f>
        <v>45949.05862</v>
      </c>
      <c r="S603" s="1" t="b">
        <f>IFERROR(__xludf.DUMMYFUNCTION("""COMPUTED_VALUE"""),TRUE)</f>
        <v>1</v>
      </c>
      <c r="T603" s="1" t="b">
        <f>IFERROR(__xludf.DUMMYFUNCTION("""COMPUTED_VALUE"""),FALSE)</f>
        <v>0</v>
      </c>
      <c r="U603" s="1" t="str">
        <f>IFERROR(__xludf.DUMMYFUNCTION("""COMPUTED_VALUE"""),"VALID")</f>
        <v>VALID</v>
      </c>
      <c r="V603" s="1">
        <f>IFERROR(__xludf.DUMMYFUNCTION("""COMPUTED_VALUE"""),518.0)</f>
        <v>518</v>
      </c>
      <c r="W603" s="1">
        <f>IFERROR(__xludf.DUMMYFUNCTION("""COMPUTED_VALUE"""),630.0)</f>
        <v>630</v>
      </c>
      <c r="X603" s="1">
        <f>IFERROR(__xludf.DUMMYFUNCTION("""COMPUTED_VALUE"""),1592.0)</f>
        <v>1592</v>
      </c>
      <c r="Y603" s="2"/>
      <c r="Z603" s="2"/>
    </row>
    <row r="604">
      <c r="A604" s="1">
        <f>IFERROR(__xludf.DUMMYFUNCTION("""COMPUTED_VALUE"""),603.0)</f>
        <v>603</v>
      </c>
      <c r="B604" s="1">
        <f>IFERROR(__xludf.DUMMYFUNCTION("""COMPUTED_VALUE"""),10481.0)</f>
        <v>10481</v>
      </c>
      <c r="C604" s="2" t="str">
        <f>IFERROR(__xludf.DUMMYFUNCTION("""COMPUTED_VALUE"""),"AINUN NAJIB")</f>
        <v>AINUN NAJIB</v>
      </c>
      <c r="D604" s="2" t="str">
        <f>IFERROR(__xludf.DUMMYFUNCTION("""COMPUTED_VALUE"""),"10KM OVERALL M")</f>
        <v>10KM OVERALL M</v>
      </c>
      <c r="E604" s="1">
        <f>IFERROR(__xludf.DUMMYFUNCTION("""COMPUTED_VALUE"""),1.0)</f>
        <v>1</v>
      </c>
      <c r="F604" s="1" t="str">
        <f>IFERROR(__xludf.DUMMYFUNCTION("""COMPUTED_VALUE"""),"Male")</f>
        <v>Male</v>
      </c>
      <c r="G604" s="4" t="b">
        <f>IFERROR(__xludf.DUMMYFUNCTION("""COMPUTED_VALUE"""),TRUE)</f>
        <v>1</v>
      </c>
      <c r="H604" s="4" t="b">
        <f>IFERROR(__xludf.DUMMYFUNCTION("""COMPUTED_VALUE"""),TRUE)</f>
        <v>1</v>
      </c>
      <c r="I604" s="4">
        <f>IFERROR(__xludf.DUMMYFUNCTION("""COMPUTED_VALUE"""),0.24646185185185185)</f>
        <v>0.2464618519</v>
      </c>
      <c r="J604" s="4">
        <f>IFERROR(__xludf.DUMMYFUNCTION("""COMPUTED_VALUE"""),45949.258287097924)</f>
        <v>45949.25829</v>
      </c>
      <c r="K604" s="4">
        <f>IFERROR(__xludf.DUMMYFUNCTION("""COMPUTED_VALUE"""),45949.291405370874)</f>
        <v>45949.29141</v>
      </c>
      <c r="L604" s="4">
        <f>IFERROR(__xludf.DUMMYFUNCTION("""COMPUTED_VALUE"""),45949.30066475846)</f>
        <v>45949.30066</v>
      </c>
      <c r="M604" s="1" t="str">
        <f>IFERROR(__xludf.DUMMYFUNCTION("""COMPUTED_VALUE"""),"RFID")</f>
        <v>RFID</v>
      </c>
      <c r="N604" s="5">
        <f>IFERROR(__xludf.DUMMYFUNCTION("""COMPUTED_VALUE"""),0.004730097222222222)</f>
        <v>0.004730097222</v>
      </c>
      <c r="O604" s="5">
        <f>IFERROR(__xludf.DUMMYFUNCTION("""COMPUTED_VALUE"""),0.013247310185185185)</f>
        <v>0.01324731019</v>
      </c>
      <c r="P604" s="5">
        <f>IFERROR(__xludf.DUMMYFUNCTION("""COMPUTED_VALUE"""),0.0038104475674184935)</f>
        <v>0.003810447567</v>
      </c>
      <c r="Q604" s="5">
        <f>IFERROR(__xludf.DUMMYFUNCTION("""COMPUTED_VALUE"""),0.005420290509259259)</f>
        <v>0.005420290509</v>
      </c>
      <c r="R604" s="4">
        <f>IFERROR(__xludf.DUMMYFUNCTION("""COMPUTED_VALUE"""),45949.05420290661)</f>
        <v>45949.0542</v>
      </c>
      <c r="S604" s="1" t="b">
        <f>IFERROR(__xludf.DUMMYFUNCTION("""COMPUTED_VALUE"""),TRUE)</f>
        <v>1</v>
      </c>
      <c r="T604" s="1" t="b">
        <f>IFERROR(__xludf.DUMMYFUNCTION("""COMPUTED_VALUE"""),FALSE)</f>
        <v>0</v>
      </c>
      <c r="U604" s="1" t="str">
        <f>IFERROR(__xludf.DUMMYFUNCTION("""COMPUTED_VALUE"""),"VALID")</f>
        <v>VALID</v>
      </c>
      <c r="V604" s="1">
        <f>IFERROR(__xludf.DUMMYFUNCTION("""COMPUTED_VALUE"""),435.0)</f>
        <v>435</v>
      </c>
      <c r="W604" s="1">
        <f>IFERROR(__xludf.DUMMYFUNCTION("""COMPUTED_VALUE"""),517.0)</f>
        <v>517</v>
      </c>
      <c r="X604" s="1">
        <f>IFERROR(__xludf.DUMMYFUNCTION("""COMPUTED_VALUE"""),1495.0)</f>
        <v>1495</v>
      </c>
      <c r="Y604" s="2"/>
      <c r="Z604" s="2"/>
    </row>
    <row r="605">
      <c r="A605" s="1">
        <f>IFERROR(__xludf.DUMMYFUNCTION("""COMPUTED_VALUE"""),604.0)</f>
        <v>604</v>
      </c>
      <c r="B605" s="1">
        <f>IFERROR(__xludf.DUMMYFUNCTION("""COMPUTED_VALUE"""),10483.0)</f>
        <v>10483</v>
      </c>
      <c r="C605" s="2" t="str">
        <f>IFERROR(__xludf.DUMMYFUNCTION("""COMPUTED_VALUE"""),"naufall")</f>
        <v>naufall</v>
      </c>
      <c r="D605" s="2" t="str">
        <f>IFERROR(__xludf.DUMMYFUNCTION("""COMPUTED_VALUE"""),"10KM OVERALL M")</f>
        <v>10KM OVERALL M</v>
      </c>
      <c r="E605" s="1">
        <f>IFERROR(__xludf.DUMMYFUNCTION("""COMPUTED_VALUE"""),1.0)</f>
        <v>1</v>
      </c>
      <c r="F605" s="1" t="str">
        <f>IFERROR(__xludf.DUMMYFUNCTION("""COMPUTED_VALUE"""),"Male")</f>
        <v>Male</v>
      </c>
      <c r="G605" s="4" t="b">
        <f>IFERROR(__xludf.DUMMYFUNCTION("""COMPUTED_VALUE"""),TRUE)</f>
        <v>1</v>
      </c>
      <c r="H605" s="4" t="b">
        <f>IFERROR(__xludf.DUMMYFUNCTION("""COMPUTED_VALUE"""),TRUE)</f>
        <v>1</v>
      </c>
      <c r="I605" s="4">
        <f>IFERROR(__xludf.DUMMYFUNCTION("""COMPUTED_VALUE"""),0.24646185185185185)</f>
        <v>0.2464618519</v>
      </c>
      <c r="J605" s="4">
        <f>IFERROR(__xludf.DUMMYFUNCTION("""COMPUTED_VALUE"""),45949.25701285012)</f>
        <v>45949.25701</v>
      </c>
      <c r="K605" s="4">
        <f>IFERROR(__xludf.DUMMYFUNCTION("""COMPUTED_VALUE"""),45949.285634353204)</f>
        <v>45949.28563</v>
      </c>
      <c r="L605" s="4">
        <f>IFERROR(__xludf.DUMMYFUNCTION("""COMPUTED_VALUE"""),45949.29405017354)</f>
        <v>45949.29405</v>
      </c>
      <c r="M605" s="1" t="str">
        <f>IFERROR(__xludf.DUMMYFUNCTION("""COMPUTED_VALUE"""),"RFID")</f>
        <v>RFID</v>
      </c>
      <c r="N605" s="5">
        <f>IFERROR(__xludf.DUMMYFUNCTION("""COMPUTED_VALUE"""),0.0042203981481481485)</f>
        <v>0.004220398148</v>
      </c>
      <c r="O605" s="5">
        <f>IFERROR(__xludf.DUMMYFUNCTION("""COMPUTED_VALUE"""),0.011448601851851852)</f>
        <v>0.01144860185</v>
      </c>
      <c r="P605" s="5">
        <f>IFERROR(__xludf.DUMMYFUNCTION("""COMPUTED_VALUE"""),0.0034633005510272125)</f>
        <v>0.003463300551</v>
      </c>
      <c r="Q605" s="5">
        <f>IFERROR(__xludf.DUMMYFUNCTION("""COMPUTED_VALUE"""),0.004758832175925926)</f>
        <v>0.004758832176</v>
      </c>
      <c r="R605" s="4">
        <f>IFERROR(__xludf.DUMMYFUNCTION("""COMPUTED_VALUE"""),45949.04758832169)</f>
        <v>45949.04759</v>
      </c>
      <c r="S605" s="1" t="b">
        <f>IFERROR(__xludf.DUMMYFUNCTION("""COMPUTED_VALUE"""),TRUE)</f>
        <v>1</v>
      </c>
      <c r="T605" s="1" t="b">
        <f>IFERROR(__xludf.DUMMYFUNCTION("""COMPUTED_VALUE"""),FALSE)</f>
        <v>0</v>
      </c>
      <c r="U605" s="1" t="str">
        <f>IFERROR(__xludf.DUMMYFUNCTION("""COMPUTED_VALUE"""),"VALID")</f>
        <v>VALID</v>
      </c>
      <c r="V605" s="1">
        <f>IFERROR(__xludf.DUMMYFUNCTION("""COMPUTED_VALUE"""),277.0)</f>
        <v>277</v>
      </c>
      <c r="W605" s="1">
        <f>IFERROR(__xludf.DUMMYFUNCTION("""COMPUTED_VALUE"""),329.0)</f>
        <v>329</v>
      </c>
      <c r="X605" s="1">
        <f>IFERROR(__xludf.DUMMYFUNCTION("""COMPUTED_VALUE"""),1289.0)</f>
        <v>1289</v>
      </c>
      <c r="Y605" s="2"/>
      <c r="Z605" s="2"/>
    </row>
    <row r="606">
      <c r="A606" s="1">
        <f>IFERROR(__xludf.DUMMYFUNCTION("""COMPUTED_VALUE"""),605.0)</f>
        <v>605</v>
      </c>
      <c r="B606" s="1">
        <f>IFERROR(__xludf.DUMMYFUNCTION("""COMPUTED_VALUE"""),10484.0)</f>
        <v>10484</v>
      </c>
      <c r="C606" s="2" t="str">
        <f>IFERROR(__xludf.DUMMYFUNCTION("""COMPUTED_VALUE"""),"Firjatullah")</f>
        <v>Firjatullah</v>
      </c>
      <c r="D606" s="2" t="str">
        <f>IFERROR(__xludf.DUMMYFUNCTION("""COMPUTED_VALUE"""),"10KM OVERALL M")</f>
        <v>10KM OVERALL M</v>
      </c>
      <c r="E606" s="1">
        <f>IFERROR(__xludf.DUMMYFUNCTION("""COMPUTED_VALUE"""),1.0)</f>
        <v>1</v>
      </c>
      <c r="F606" s="1" t="str">
        <f>IFERROR(__xludf.DUMMYFUNCTION("""COMPUTED_VALUE"""),"Male")</f>
        <v>Male</v>
      </c>
      <c r="G606" s="4" t="b">
        <f>IFERROR(__xludf.DUMMYFUNCTION("""COMPUTED_VALUE"""),TRUE)</f>
        <v>1</v>
      </c>
      <c r="H606" s="4" t="b">
        <f>IFERROR(__xludf.DUMMYFUNCTION("""COMPUTED_VALUE"""),TRUE)</f>
        <v>1</v>
      </c>
      <c r="I606" s="4">
        <f>IFERROR(__xludf.DUMMYFUNCTION("""COMPUTED_VALUE"""),0.24646185185185185)</f>
        <v>0.2464618519</v>
      </c>
      <c r="J606" s="4">
        <f>IFERROR(__xludf.DUMMYFUNCTION("""COMPUTED_VALUE"""),45949.25885311452)</f>
        <v>45949.25885</v>
      </c>
      <c r="K606" s="4">
        <f>IFERROR(__xludf.DUMMYFUNCTION("""COMPUTED_VALUE"""),45949.2903125)</f>
        <v>45949.29031</v>
      </c>
      <c r="L606" s="4">
        <f>IFERROR(__xludf.DUMMYFUNCTION("""COMPUTED_VALUE"""),45949.299595311364)</f>
        <v>45949.2996</v>
      </c>
      <c r="M606" s="1" t="str">
        <f>IFERROR(__xludf.DUMMYFUNCTION("""COMPUTED_VALUE"""),"RFID")</f>
        <v>RFID</v>
      </c>
      <c r="N606" s="5">
        <f>IFERROR(__xludf.DUMMYFUNCTION("""COMPUTED_VALUE"""),0.004956504629629629)</f>
        <v>0.00495650463</v>
      </c>
      <c r="O606" s="5">
        <f>IFERROR(__xludf.DUMMYFUNCTION("""COMPUTED_VALUE"""),0.012583754629629629)</f>
        <v>0.01258375463</v>
      </c>
      <c r="P606" s="5">
        <f>IFERROR(__xludf.DUMMYFUNCTION("""COMPUTED_VALUE"""),0.0038200869806323564)</f>
        <v>0.003820086981</v>
      </c>
      <c r="Q606" s="5">
        <f>IFERROR(__xludf.DUMMYFUNCTION("""COMPUTED_VALUE"""),0.005313346064814815)</f>
        <v>0.005313346065</v>
      </c>
      <c r="R606" s="4">
        <f>IFERROR(__xludf.DUMMYFUNCTION("""COMPUTED_VALUE"""),45949.053133459514)</f>
        <v>45949.05313</v>
      </c>
      <c r="S606" s="1" t="b">
        <f>IFERROR(__xludf.DUMMYFUNCTION("""COMPUTED_VALUE"""),TRUE)</f>
        <v>1</v>
      </c>
      <c r="T606" s="1" t="b">
        <f>IFERROR(__xludf.DUMMYFUNCTION("""COMPUTED_VALUE"""),FALSE)</f>
        <v>0</v>
      </c>
      <c r="U606" s="1" t="str">
        <f>IFERROR(__xludf.DUMMYFUNCTION("""COMPUTED_VALUE"""),"VALID")</f>
        <v>VALID</v>
      </c>
      <c r="V606" s="1">
        <f>IFERROR(__xludf.DUMMYFUNCTION("""COMPUTED_VALUE"""),402.0)</f>
        <v>402</v>
      </c>
      <c r="W606" s="1">
        <f>IFERROR(__xludf.DUMMYFUNCTION("""COMPUTED_VALUE"""),480.0)</f>
        <v>480</v>
      </c>
      <c r="X606" s="1">
        <f>IFERROR(__xludf.DUMMYFUNCTION("""COMPUTED_VALUE"""),1456.0)</f>
        <v>1456</v>
      </c>
      <c r="Y606" s="2"/>
      <c r="Z606" s="2"/>
    </row>
    <row r="607">
      <c r="A607" s="1">
        <f>IFERROR(__xludf.DUMMYFUNCTION("""COMPUTED_VALUE"""),606.0)</f>
        <v>606</v>
      </c>
      <c r="B607" s="1">
        <f>IFERROR(__xludf.DUMMYFUNCTION("""COMPUTED_VALUE"""),10485.0)</f>
        <v>10485</v>
      </c>
      <c r="C607" s="2" t="str">
        <f>IFERROR(__xludf.DUMMYFUNCTION("""COMPUTED_VALUE"""),"Pelari Tungau")</f>
        <v>Pelari Tungau</v>
      </c>
      <c r="D607" s="2" t="str">
        <f>IFERROR(__xludf.DUMMYFUNCTION("""COMPUTED_VALUE"""),"10KM OVERALL M")</f>
        <v>10KM OVERALL M</v>
      </c>
      <c r="E607" s="1">
        <f>IFERROR(__xludf.DUMMYFUNCTION("""COMPUTED_VALUE"""),1.0)</f>
        <v>1</v>
      </c>
      <c r="F607" s="1" t="str">
        <f>IFERROR(__xludf.DUMMYFUNCTION("""COMPUTED_VALUE"""),"Male")</f>
        <v>Male</v>
      </c>
      <c r="G607" s="4" t="b">
        <f>IFERROR(__xludf.DUMMYFUNCTION("""COMPUTED_VALUE"""),TRUE)</f>
        <v>1</v>
      </c>
      <c r="H607" s="4" t="b">
        <f>IFERROR(__xludf.DUMMYFUNCTION("""COMPUTED_VALUE"""),TRUE)</f>
        <v>1</v>
      </c>
      <c r="I607" s="4">
        <f>IFERROR(__xludf.DUMMYFUNCTION("""COMPUTED_VALUE"""),0.24646185185185185)</f>
        <v>0.2464618519</v>
      </c>
      <c r="J607" s="4">
        <f>IFERROR(__xludf.DUMMYFUNCTION("""COMPUTED_VALUE"""),45949.25905799327)</f>
        <v>45949.25906</v>
      </c>
      <c r="K607" s="4">
        <f>IFERROR(__xludf.DUMMYFUNCTION("""COMPUTED_VALUE"""),45949.29088460833)</f>
        <v>45949.29088</v>
      </c>
      <c r="L607" s="4">
        <f>IFERROR(__xludf.DUMMYFUNCTION("""COMPUTED_VALUE"""),45949.29964039173)</f>
        <v>45949.29964</v>
      </c>
      <c r="M607" s="1" t="str">
        <f>IFERROR(__xludf.DUMMYFUNCTION("""COMPUTED_VALUE"""),"RFID")</f>
        <v>RFID</v>
      </c>
      <c r="N607" s="5">
        <f>IFERROR(__xludf.DUMMYFUNCTION("""COMPUTED_VALUE"""),0.005038458333333334)</f>
        <v>0.005038458333</v>
      </c>
      <c r="O607" s="5">
        <f>IFERROR(__xludf.DUMMYFUNCTION("""COMPUTED_VALUE"""),0.012730648148148149)</f>
        <v>0.01273064815</v>
      </c>
      <c r="P607" s="5">
        <f>IFERROR(__xludf.DUMMYFUNCTION("""COMPUTED_VALUE"""),0.003603203044298829)</f>
        <v>0.003603203044</v>
      </c>
      <c r="Q607" s="5">
        <f>IFERROR(__xludf.DUMMYFUNCTION("""COMPUTED_VALUE"""),0.005317854166666667)</f>
        <v>0.005317854167</v>
      </c>
      <c r="R607" s="4">
        <f>IFERROR(__xludf.DUMMYFUNCTION("""COMPUTED_VALUE"""),45949.05317853988)</f>
        <v>45949.05318</v>
      </c>
      <c r="S607" s="1" t="b">
        <f>IFERROR(__xludf.DUMMYFUNCTION("""COMPUTED_VALUE"""),TRUE)</f>
        <v>1</v>
      </c>
      <c r="T607" s="1" t="b">
        <f>IFERROR(__xludf.DUMMYFUNCTION("""COMPUTED_VALUE"""),FALSE)</f>
        <v>0</v>
      </c>
      <c r="U607" s="1" t="str">
        <f>IFERROR(__xludf.DUMMYFUNCTION("""COMPUTED_VALUE"""),"VALID")</f>
        <v>VALID</v>
      </c>
      <c r="V607" s="1">
        <f>IFERROR(__xludf.DUMMYFUNCTION("""COMPUTED_VALUE"""),403.0)</f>
        <v>403</v>
      </c>
      <c r="W607" s="1">
        <f>IFERROR(__xludf.DUMMYFUNCTION("""COMPUTED_VALUE"""),482.0)</f>
        <v>482</v>
      </c>
      <c r="X607" s="1">
        <f>IFERROR(__xludf.DUMMYFUNCTION("""COMPUTED_VALUE"""),1457.0)</f>
        <v>1457</v>
      </c>
      <c r="Y607" s="2"/>
      <c r="Z607" s="2"/>
    </row>
    <row r="608">
      <c r="A608" s="1">
        <f>IFERROR(__xludf.DUMMYFUNCTION("""COMPUTED_VALUE"""),607.0)</f>
        <v>607</v>
      </c>
      <c r="B608" s="1">
        <f>IFERROR(__xludf.DUMMYFUNCTION("""COMPUTED_VALUE"""),10486.0)</f>
        <v>10486</v>
      </c>
      <c r="C608" s="2" t="str">
        <f>IFERROR(__xludf.DUMMYFUNCTION("""COMPUTED_VALUE"""),"Trahman")</f>
        <v>Trahman</v>
      </c>
      <c r="D608" s="2" t="str">
        <f>IFERROR(__xludf.DUMMYFUNCTION("""COMPUTED_VALUE"""),"10KM OVERALL M")</f>
        <v>10KM OVERALL M</v>
      </c>
      <c r="E608" s="1">
        <f>IFERROR(__xludf.DUMMYFUNCTION("""COMPUTED_VALUE"""),1.0)</f>
        <v>1</v>
      </c>
      <c r="F608" s="1" t="str">
        <f>IFERROR(__xludf.DUMMYFUNCTION("""COMPUTED_VALUE"""),"Male")</f>
        <v>Male</v>
      </c>
      <c r="G608" s="4" t="b">
        <f>IFERROR(__xludf.DUMMYFUNCTION("""COMPUTED_VALUE"""),TRUE)</f>
        <v>1</v>
      </c>
      <c r="H608" s="4" t="b">
        <f>IFERROR(__xludf.DUMMYFUNCTION("""COMPUTED_VALUE"""),FALSE)</f>
        <v>0</v>
      </c>
      <c r="I608" s="4">
        <f>IFERROR(__xludf.DUMMYFUNCTION("""COMPUTED_VALUE"""),0.24646185185185185)</f>
        <v>0.2464618519</v>
      </c>
      <c r="J608" s="4">
        <f>IFERROR(__xludf.DUMMYFUNCTION("""COMPUTED_VALUE"""),45949.25676286668)</f>
        <v>45949.25676</v>
      </c>
      <c r="K608" s="4">
        <f>IFERROR(__xludf.DUMMYFUNCTION("""COMPUTED_VALUE"""),45949.28142604678)</f>
        <v>45949.28143</v>
      </c>
      <c r="L608" s="4">
        <f>IFERROR(__xludf.DUMMYFUNCTION("""COMPUTED_VALUE"""),45949.288650868286)</f>
        <v>45949.28865</v>
      </c>
      <c r="M608" s="1" t="str">
        <f>IFERROR(__xludf.DUMMYFUNCTION("""COMPUTED_VALUE"""),"RFID")</f>
        <v>RFID</v>
      </c>
      <c r="N608" s="5">
        <f>IFERROR(__xludf.DUMMYFUNCTION("""COMPUTED_VALUE"""),0.004120407407407408)</f>
        <v>0.004120407407</v>
      </c>
      <c r="O608" s="5">
        <f>IFERROR(__xludf.DUMMYFUNCTION("""COMPUTED_VALUE"""),0.009865273148148147)</f>
        <v>0.009865273148</v>
      </c>
      <c r="P608" s="5">
        <f>IFERROR(__xludf.DUMMYFUNCTION("""COMPUTED_VALUE"""),0.0029731775750645624)</f>
        <v>0.002973177575</v>
      </c>
      <c r="Q608" s="5">
        <f>IFERROR(__xludf.DUMMYFUNCTION("""COMPUTED_VALUE"""),0.00421890162037037)</f>
        <v>0.00421890162</v>
      </c>
      <c r="R608" s="4">
        <f>IFERROR(__xludf.DUMMYFUNCTION("""COMPUTED_VALUE"""),45949.042189016436)</f>
        <v>45949.04219</v>
      </c>
      <c r="S608" s="1" t="b">
        <f>IFERROR(__xludf.DUMMYFUNCTION("""COMPUTED_VALUE"""),TRUE)</f>
        <v>1</v>
      </c>
      <c r="T608" s="1" t="b">
        <f>IFERROR(__xludf.DUMMYFUNCTION("""COMPUTED_VALUE"""),FALSE)</f>
        <v>0</v>
      </c>
      <c r="U608" s="1" t="str">
        <f>IFERROR(__xludf.DUMMYFUNCTION("""COMPUTED_VALUE"""),"VALID")</f>
        <v>VALID</v>
      </c>
      <c r="V608" s="1">
        <f>IFERROR(__xludf.DUMMYFUNCTION("""COMPUTED_VALUE"""),150.0)</f>
        <v>150</v>
      </c>
      <c r="W608" s="1">
        <f>IFERROR(__xludf.DUMMYFUNCTION("""COMPUTED_VALUE"""),176.0)</f>
        <v>176</v>
      </c>
      <c r="X608" s="1">
        <f>IFERROR(__xludf.DUMMYFUNCTION("""COMPUTED_VALUE"""),1075.0)</f>
        <v>1075</v>
      </c>
      <c r="Y608" s="2"/>
      <c r="Z608" s="2"/>
    </row>
    <row r="609">
      <c r="A609" s="1">
        <f>IFERROR(__xludf.DUMMYFUNCTION("""COMPUTED_VALUE"""),608.0)</f>
        <v>608</v>
      </c>
      <c r="B609" s="1">
        <f>IFERROR(__xludf.DUMMYFUNCTION("""COMPUTED_VALUE"""),10487.0)</f>
        <v>10487</v>
      </c>
      <c r="C609" s="2" t="str">
        <f>IFERROR(__xludf.DUMMYFUNCTION("""COMPUTED_VALUE"""),"Daniyal")</f>
        <v>Daniyal</v>
      </c>
      <c r="D609" s="2" t="str">
        <f>IFERROR(__xludf.DUMMYFUNCTION("""COMPUTED_VALUE"""),"10KM OVERALL M")</f>
        <v>10KM OVERALL M</v>
      </c>
      <c r="E609" s="1">
        <f>IFERROR(__xludf.DUMMYFUNCTION("""COMPUTED_VALUE"""),1.0)</f>
        <v>1</v>
      </c>
      <c r="F609" s="1" t="str">
        <f>IFERROR(__xludf.DUMMYFUNCTION("""COMPUTED_VALUE"""),"Male")</f>
        <v>Male</v>
      </c>
      <c r="G609" s="4" t="b">
        <f>IFERROR(__xludf.DUMMYFUNCTION("""COMPUTED_VALUE"""),TRUE)</f>
        <v>1</v>
      </c>
      <c r="H609" s="4" t="b">
        <f>IFERROR(__xludf.DUMMYFUNCTION("""COMPUTED_VALUE"""),FALSE)</f>
        <v>0</v>
      </c>
      <c r="I609" s="4">
        <f>IFERROR(__xludf.DUMMYFUNCTION("""COMPUTED_VALUE"""),0.24646185185185185)</f>
        <v>0.2464618519</v>
      </c>
      <c r="J609" s="4">
        <f>IFERROR(__xludf.DUMMYFUNCTION("""COMPUTED_VALUE"""),45949.25464822291)</f>
        <v>45949.25465</v>
      </c>
      <c r="K609" s="4">
        <f>IFERROR(__xludf.DUMMYFUNCTION("""COMPUTED_VALUE"""),45949.27589635633)</f>
        <v>45949.2759</v>
      </c>
      <c r="L609" s="4">
        <f>IFERROR(__xludf.DUMMYFUNCTION("""COMPUTED_VALUE"""),45949.281550168875)</f>
        <v>45949.28155</v>
      </c>
      <c r="M609" s="1" t="str">
        <f>IFERROR(__xludf.DUMMYFUNCTION("""COMPUTED_VALUE"""),"RFID")</f>
        <v>RFID</v>
      </c>
      <c r="N609" s="5">
        <f>IFERROR(__xludf.DUMMYFUNCTION("""COMPUTED_VALUE"""),0.0032745462962962962)</f>
        <v>0.003274546296</v>
      </c>
      <c r="O609" s="5">
        <f>IFERROR(__xludf.DUMMYFUNCTION("""COMPUTED_VALUE"""),0.00849925462962963)</f>
        <v>0.00849925463</v>
      </c>
      <c r="P609" s="5">
        <f>IFERROR(__xludf.DUMMYFUNCTION("""COMPUTED_VALUE"""),0.002326671828284913)</f>
        <v>0.002326671828</v>
      </c>
      <c r="Q609" s="5">
        <f>IFERROR(__xludf.DUMMYFUNCTION("""COMPUTED_VALUE"""),0.0035088321759259257)</f>
        <v>0.003508832176</v>
      </c>
      <c r="R609" s="4">
        <f>IFERROR(__xludf.DUMMYFUNCTION("""COMPUTED_VALUE"""),45949.035088317025)</f>
        <v>45949.03509</v>
      </c>
      <c r="S609" s="1" t="b">
        <f>IFERROR(__xludf.DUMMYFUNCTION("""COMPUTED_VALUE"""),TRUE)</f>
        <v>1</v>
      </c>
      <c r="T609" s="1" t="b">
        <f>IFERROR(__xludf.DUMMYFUNCTION("""COMPUTED_VALUE"""),FALSE)</f>
        <v>0</v>
      </c>
      <c r="U609" s="1" t="str">
        <f>IFERROR(__xludf.DUMMYFUNCTION("""COMPUTED_VALUE"""),"VALID")</f>
        <v>VALID</v>
      </c>
      <c r="V609" s="1">
        <f>IFERROR(__xludf.DUMMYFUNCTION("""COMPUTED_VALUE"""),32.0)</f>
        <v>32</v>
      </c>
      <c r="W609" s="1">
        <f>IFERROR(__xludf.DUMMYFUNCTION("""COMPUTED_VALUE"""),40.0)</f>
        <v>40</v>
      </c>
      <c r="X609" s="1">
        <f>IFERROR(__xludf.DUMMYFUNCTION("""COMPUTED_VALUE"""),728.0)</f>
        <v>728</v>
      </c>
      <c r="Y609" s="2"/>
      <c r="Z609" s="2"/>
    </row>
    <row r="610">
      <c r="A610" s="1">
        <f>IFERROR(__xludf.DUMMYFUNCTION("""COMPUTED_VALUE"""),609.0)</f>
        <v>609</v>
      </c>
      <c r="B610" s="1">
        <f>IFERROR(__xludf.DUMMYFUNCTION("""COMPUTED_VALUE"""),10488.0)</f>
        <v>10488</v>
      </c>
      <c r="C610" s="2" t="str">
        <f>IFERROR(__xludf.DUMMYFUNCTION("""COMPUTED_VALUE"""),"Pelari Fomo")</f>
        <v>Pelari Fomo</v>
      </c>
      <c r="D610" s="2" t="str">
        <f>IFERROR(__xludf.DUMMYFUNCTION("""COMPUTED_VALUE"""),"10KM OVERALL M")</f>
        <v>10KM OVERALL M</v>
      </c>
      <c r="E610" s="1">
        <f>IFERROR(__xludf.DUMMYFUNCTION("""COMPUTED_VALUE"""),1.0)</f>
        <v>1</v>
      </c>
      <c r="F610" s="1" t="str">
        <f>IFERROR(__xludf.DUMMYFUNCTION("""COMPUTED_VALUE"""),"Male")</f>
        <v>Male</v>
      </c>
      <c r="G610" s="4" t="b">
        <f>IFERROR(__xludf.DUMMYFUNCTION("""COMPUTED_VALUE"""),TRUE)</f>
        <v>1</v>
      </c>
      <c r="H610" s="4" t="b">
        <f>IFERROR(__xludf.DUMMYFUNCTION("""COMPUTED_VALUE"""),TRUE)</f>
        <v>1</v>
      </c>
      <c r="I610" s="4">
        <f>IFERROR(__xludf.DUMMYFUNCTION("""COMPUTED_VALUE"""),0.24646185185185185)</f>
        <v>0.2464618519</v>
      </c>
      <c r="J610" s="4">
        <f>IFERROR(__xludf.DUMMYFUNCTION("""COMPUTED_VALUE"""),45949.25706142168)</f>
        <v>45949.25706</v>
      </c>
      <c r="K610" s="4">
        <f>IFERROR(__xludf.DUMMYFUNCTION("""COMPUTED_VALUE"""),45949.28725589083)</f>
        <v>45949.28726</v>
      </c>
      <c r="L610" s="4">
        <f>IFERROR(__xludf.DUMMYFUNCTION("""COMPUTED_VALUE"""),45949.29588438039)</f>
        <v>45949.29588</v>
      </c>
      <c r="M610" s="1" t="str">
        <f>IFERROR(__xludf.DUMMYFUNCTION("""COMPUTED_VALUE"""),"RFID")</f>
        <v>RFID</v>
      </c>
      <c r="N610" s="5">
        <f>IFERROR(__xludf.DUMMYFUNCTION("""COMPUTED_VALUE"""),0.004239828703703704)</f>
        <v>0.004239828704</v>
      </c>
      <c r="O610" s="5">
        <f>IFERROR(__xludf.DUMMYFUNCTION("""COMPUTED_VALUE"""),0.012077787037037038)</f>
        <v>0.01207778704</v>
      </c>
      <c r="P610" s="5">
        <f>IFERROR(__xludf.DUMMYFUNCTION("""COMPUTED_VALUE"""),0.0035508187514549663)</f>
        <v>0.003550818751</v>
      </c>
      <c r="Q610" s="5">
        <f>IFERROR(__xludf.DUMMYFUNCTION("""COMPUTED_VALUE"""),0.004942252314814814)</f>
        <v>0.004942252315</v>
      </c>
      <c r="R610" s="4">
        <f>IFERROR(__xludf.DUMMYFUNCTION("""COMPUTED_VALUE"""),45949.049422528544)</f>
        <v>45949.04942</v>
      </c>
      <c r="S610" s="1" t="b">
        <f>IFERROR(__xludf.DUMMYFUNCTION("""COMPUTED_VALUE"""),TRUE)</f>
        <v>1</v>
      </c>
      <c r="T610" s="1" t="b">
        <f>IFERROR(__xludf.DUMMYFUNCTION("""COMPUTED_VALUE"""),FALSE)</f>
        <v>0</v>
      </c>
      <c r="U610" s="1" t="str">
        <f>IFERROR(__xludf.DUMMYFUNCTION("""COMPUTED_VALUE"""),"VALID")</f>
        <v>VALID</v>
      </c>
      <c r="V610" s="1">
        <f>IFERROR(__xludf.DUMMYFUNCTION("""COMPUTED_VALUE"""),325.0)</f>
        <v>325</v>
      </c>
      <c r="W610" s="1">
        <f>IFERROR(__xludf.DUMMYFUNCTION("""COMPUTED_VALUE"""),386.0)</f>
        <v>386</v>
      </c>
      <c r="X610" s="1">
        <f>IFERROR(__xludf.DUMMYFUNCTION("""COMPUTED_VALUE"""),1362.0)</f>
        <v>1362</v>
      </c>
      <c r="Y610" s="2"/>
      <c r="Z610" s="2"/>
    </row>
    <row r="611">
      <c r="A611" s="1">
        <f>IFERROR(__xludf.DUMMYFUNCTION("""COMPUTED_VALUE"""),610.0)</f>
        <v>610</v>
      </c>
      <c r="B611" s="1">
        <f>IFERROR(__xludf.DUMMYFUNCTION("""COMPUTED_VALUE"""),10489.0)</f>
        <v>10489</v>
      </c>
      <c r="C611" s="2" t="str">
        <f>IFERROR(__xludf.DUMMYFUNCTION("""COMPUTED_VALUE"""),"yoga")</f>
        <v>yoga</v>
      </c>
      <c r="D611" s="2" t="str">
        <f>IFERROR(__xludf.DUMMYFUNCTION("""COMPUTED_VALUE"""),"10KM OVERALL M")</f>
        <v>10KM OVERALL M</v>
      </c>
      <c r="E611" s="1">
        <f>IFERROR(__xludf.DUMMYFUNCTION("""COMPUTED_VALUE"""),1.0)</f>
        <v>1</v>
      </c>
      <c r="F611" s="1" t="str">
        <f>IFERROR(__xludf.DUMMYFUNCTION("""COMPUTED_VALUE"""),"Male")</f>
        <v>Male</v>
      </c>
      <c r="G611" s="4" t="b">
        <f>IFERROR(__xludf.DUMMYFUNCTION("""COMPUTED_VALUE"""),TRUE)</f>
        <v>1</v>
      </c>
      <c r="H611" s="4" t="b">
        <f>IFERROR(__xludf.DUMMYFUNCTION("""COMPUTED_VALUE"""),TRUE)</f>
        <v>1</v>
      </c>
      <c r="I611" s="4">
        <f>IFERROR(__xludf.DUMMYFUNCTION("""COMPUTED_VALUE"""),0.24646185185185185)</f>
        <v>0.2464618519</v>
      </c>
      <c r="J611" s="4">
        <f>IFERROR(__xludf.DUMMYFUNCTION("""COMPUTED_VALUE"""),45949.25703710339)</f>
        <v>45949.25704</v>
      </c>
      <c r="K611" s="4">
        <f>IFERROR(__xludf.DUMMYFUNCTION("""COMPUTED_VALUE"""),45949.283700351225)</f>
        <v>45949.2837</v>
      </c>
      <c r="L611" s="4">
        <f>IFERROR(__xludf.DUMMYFUNCTION("""COMPUTED_VALUE"""),45949.29417864505)</f>
        <v>45949.29418</v>
      </c>
      <c r="M611" s="1" t="str">
        <f>IFERROR(__xludf.DUMMYFUNCTION("""COMPUTED_VALUE"""),"RFID")</f>
        <v>RFID</v>
      </c>
      <c r="N611" s="5">
        <f>IFERROR(__xludf.DUMMYFUNCTION("""COMPUTED_VALUE"""),0.004230101851851851)</f>
        <v>0.004230101852</v>
      </c>
      <c r="O611" s="5">
        <f>IFERROR(__xludf.DUMMYFUNCTION("""COMPUTED_VALUE"""),0.010665300925925925)</f>
        <v>0.01066530093</v>
      </c>
      <c r="P611" s="5">
        <f>IFERROR(__xludf.DUMMYFUNCTION("""COMPUTED_VALUE"""),0.004312055070578876)</f>
        <v>0.004312055071</v>
      </c>
      <c r="Q611" s="5">
        <f>IFERROR(__xludf.DUMMYFUNCTION("""COMPUTED_VALUE"""),0.004771679398148148)</f>
        <v>0.004771679398</v>
      </c>
      <c r="R611" s="4">
        <f>IFERROR(__xludf.DUMMYFUNCTION("""COMPUTED_VALUE"""),45949.0477167932)</f>
        <v>45949.04772</v>
      </c>
      <c r="S611" s="1" t="b">
        <f>IFERROR(__xludf.DUMMYFUNCTION("""COMPUTED_VALUE"""),TRUE)</f>
        <v>1</v>
      </c>
      <c r="T611" s="1" t="b">
        <f>IFERROR(__xludf.DUMMYFUNCTION("""COMPUTED_VALUE"""),FALSE)</f>
        <v>0</v>
      </c>
      <c r="U611" s="1" t="str">
        <f>IFERROR(__xludf.DUMMYFUNCTION("""COMPUTED_VALUE"""),"VALID")</f>
        <v>VALID</v>
      </c>
      <c r="V611" s="1">
        <f>IFERROR(__xludf.DUMMYFUNCTION("""COMPUTED_VALUE"""),280.0)</f>
        <v>280</v>
      </c>
      <c r="W611" s="1">
        <f>IFERROR(__xludf.DUMMYFUNCTION("""COMPUTED_VALUE"""),332.0)</f>
        <v>332</v>
      </c>
      <c r="X611" s="1">
        <f>IFERROR(__xludf.DUMMYFUNCTION("""COMPUTED_VALUE"""),1294.0)</f>
        <v>1294</v>
      </c>
      <c r="Y611" s="2"/>
      <c r="Z611" s="2"/>
    </row>
    <row r="612">
      <c r="A612" s="1">
        <f>IFERROR(__xludf.DUMMYFUNCTION("""COMPUTED_VALUE"""),611.0)</f>
        <v>611</v>
      </c>
      <c r="B612" s="1">
        <f>IFERROR(__xludf.DUMMYFUNCTION("""COMPUTED_VALUE"""),10490.0)</f>
        <v>10490</v>
      </c>
      <c r="C612" s="2" t="str">
        <f>IFERROR(__xludf.DUMMYFUNCTION("""COMPUTED_VALUE"""),"Pelari Dugong")</f>
        <v>Pelari Dugong</v>
      </c>
      <c r="D612" s="2" t="str">
        <f>IFERROR(__xludf.DUMMYFUNCTION("""COMPUTED_VALUE"""),"10KM OVERALL M")</f>
        <v>10KM OVERALL M</v>
      </c>
      <c r="E612" s="1">
        <f>IFERROR(__xludf.DUMMYFUNCTION("""COMPUTED_VALUE"""),1.0)</f>
        <v>1</v>
      </c>
      <c r="F612" s="1" t="str">
        <f>IFERROR(__xludf.DUMMYFUNCTION("""COMPUTED_VALUE"""),"Male")</f>
        <v>Male</v>
      </c>
      <c r="G612" s="4" t="b">
        <f>IFERROR(__xludf.DUMMYFUNCTION("""COMPUTED_VALUE"""),TRUE)</f>
        <v>1</v>
      </c>
      <c r="H612" s="4" t="b">
        <f>IFERROR(__xludf.DUMMYFUNCTION("""COMPUTED_VALUE"""),TRUE)</f>
        <v>1</v>
      </c>
      <c r="I612" s="4">
        <f>IFERROR(__xludf.DUMMYFUNCTION("""COMPUTED_VALUE"""),0.24646185185185185)</f>
        <v>0.2464618519</v>
      </c>
      <c r="J612" s="4">
        <f>IFERROR(__xludf.DUMMYFUNCTION("""COMPUTED_VALUE"""),45949.25707188746)</f>
        <v>45949.25707</v>
      </c>
      <c r="K612" s="4">
        <f>IFERROR(__xludf.DUMMYFUNCTION("""COMPUTED_VALUE"""),45949.287294088186)</f>
        <v>45949.28729</v>
      </c>
      <c r="L612" s="4">
        <f>IFERROR(__xludf.DUMMYFUNCTION("""COMPUTED_VALUE"""),45949.29652777778)</f>
        <v>45949.29653</v>
      </c>
      <c r="M612" s="1" t="str">
        <f>IFERROR(__xludf.DUMMYFUNCTION("""COMPUTED_VALUE"""),"RFID")</f>
        <v>RFID</v>
      </c>
      <c r="N612" s="5">
        <f>IFERROR(__xludf.DUMMYFUNCTION("""COMPUTED_VALUE"""),0.004244013888888889)</f>
        <v>0.004244013889</v>
      </c>
      <c r="O612" s="5">
        <f>IFERROR(__xludf.DUMMYFUNCTION("""COMPUTED_VALUE"""),0.012088879629629628)</f>
        <v>0.01208887963</v>
      </c>
      <c r="P612" s="5">
        <f>IFERROR(__xludf.DUMMYFUNCTION("""COMPUTED_VALUE"""),0.0037998722594541805)</f>
        <v>0.003799872259</v>
      </c>
      <c r="Q612" s="5">
        <f>IFERROR(__xludf.DUMMYFUNCTION("""COMPUTED_VALUE"""),0.005006592592592592)</f>
        <v>0.005006592593</v>
      </c>
      <c r="R612" s="4">
        <f>IFERROR(__xludf.DUMMYFUNCTION("""COMPUTED_VALUE"""),45949.05006592593)</f>
        <v>45949.05007</v>
      </c>
      <c r="S612" s="1" t="b">
        <f>IFERROR(__xludf.DUMMYFUNCTION("""COMPUTED_VALUE"""),TRUE)</f>
        <v>1</v>
      </c>
      <c r="T612" s="1" t="b">
        <f>IFERROR(__xludf.DUMMYFUNCTION("""COMPUTED_VALUE"""),FALSE)</f>
        <v>0</v>
      </c>
      <c r="U612" s="1" t="str">
        <f>IFERROR(__xludf.DUMMYFUNCTION("""COMPUTED_VALUE"""),"VALID")</f>
        <v>VALID</v>
      </c>
      <c r="V612" s="1">
        <f>IFERROR(__xludf.DUMMYFUNCTION("""COMPUTED_VALUE"""),339.0)</f>
        <v>339</v>
      </c>
      <c r="W612" s="1">
        <f>IFERROR(__xludf.DUMMYFUNCTION("""COMPUTED_VALUE"""),401.0)</f>
        <v>401</v>
      </c>
      <c r="X612" s="1">
        <f>IFERROR(__xludf.DUMMYFUNCTION("""COMPUTED_VALUE"""),1379.0)</f>
        <v>1379</v>
      </c>
      <c r="Y612" s="2"/>
      <c r="Z612" s="2"/>
    </row>
    <row r="613">
      <c r="A613" s="1">
        <f>IFERROR(__xludf.DUMMYFUNCTION("""COMPUTED_VALUE"""),612.0)</f>
        <v>612</v>
      </c>
      <c r="B613" s="1">
        <f>IFERROR(__xludf.DUMMYFUNCTION("""COMPUTED_VALUE"""),10491.0)</f>
        <v>10491</v>
      </c>
      <c r="C613" s="2" t="str">
        <f>IFERROR(__xludf.DUMMYFUNCTION("""COMPUTED_VALUE"""),"Muhammad Sultan Alfarisi")</f>
        <v>Muhammad Sultan Alfarisi</v>
      </c>
      <c r="D613" s="2" t="str">
        <f>IFERROR(__xludf.DUMMYFUNCTION("""COMPUTED_VALUE"""),"10KM OVERALL M")</f>
        <v>10KM OVERALL M</v>
      </c>
      <c r="E613" s="1">
        <f>IFERROR(__xludf.DUMMYFUNCTION("""COMPUTED_VALUE"""),1.0)</f>
        <v>1</v>
      </c>
      <c r="F613" s="1" t="str">
        <f>IFERROR(__xludf.DUMMYFUNCTION("""COMPUTED_VALUE"""),"Male")</f>
        <v>Male</v>
      </c>
      <c r="G613" s="4" t="b">
        <f>IFERROR(__xludf.DUMMYFUNCTION("""COMPUTED_VALUE"""),TRUE)</f>
        <v>1</v>
      </c>
      <c r="H613" s="4" t="b">
        <f>IFERROR(__xludf.DUMMYFUNCTION("""COMPUTED_VALUE"""),FALSE)</f>
        <v>0</v>
      </c>
      <c r="I613" s="4">
        <f>IFERROR(__xludf.DUMMYFUNCTION("""COMPUTED_VALUE"""),0.24646185185185185)</f>
        <v>0.2464618519</v>
      </c>
      <c r="J613" s="4">
        <f>IFERROR(__xludf.DUMMYFUNCTION("""COMPUTED_VALUE"""),45949.257703848896)</f>
        <v>45949.2577</v>
      </c>
      <c r="K613" s="4">
        <f>IFERROR(__xludf.DUMMYFUNCTION("""COMPUTED_VALUE"""),45949.29299570087)</f>
        <v>45949.293</v>
      </c>
      <c r="L613" s="4">
        <f>IFERROR(__xludf.DUMMYFUNCTION("""COMPUTED_VALUE"""),45949.30258489831)</f>
        <v>45949.30258</v>
      </c>
      <c r="M613" s="1" t="str">
        <f>IFERROR(__xludf.DUMMYFUNCTION("""COMPUTED_VALUE"""),"RFID")</f>
        <v>RFID</v>
      </c>
      <c r="N613" s="5">
        <f>IFERROR(__xludf.DUMMYFUNCTION("""COMPUTED_VALUE"""),0.004496800925925926)</f>
        <v>0.004496800926</v>
      </c>
      <c r="O613" s="5">
        <f>IFERROR(__xludf.DUMMYFUNCTION("""COMPUTED_VALUE"""),0.01411674074074074)</f>
        <v>0.01411674074</v>
      </c>
      <c r="P613" s="5">
        <f>IFERROR(__xludf.DUMMYFUNCTION("""COMPUTED_VALUE"""),0.003946171786637072)</f>
        <v>0.003946171787</v>
      </c>
      <c r="Q613" s="5">
        <f>IFERROR(__xludf.DUMMYFUNCTION("""COMPUTED_VALUE"""),0.005612304398148148)</f>
        <v>0.005612304398</v>
      </c>
      <c r="R613" s="4">
        <f>IFERROR(__xludf.DUMMYFUNCTION("""COMPUTED_VALUE"""),45949.05612304646)</f>
        <v>45949.05612</v>
      </c>
      <c r="S613" s="1" t="b">
        <f>IFERROR(__xludf.DUMMYFUNCTION("""COMPUTED_VALUE"""),TRUE)</f>
        <v>1</v>
      </c>
      <c r="T613" s="1" t="b">
        <f>IFERROR(__xludf.DUMMYFUNCTION("""COMPUTED_VALUE"""),FALSE)</f>
        <v>0</v>
      </c>
      <c r="U613" s="1" t="str">
        <f>IFERROR(__xludf.DUMMYFUNCTION("""COMPUTED_VALUE"""),"VALID")</f>
        <v>VALID</v>
      </c>
      <c r="V613" s="1">
        <f>IFERROR(__xludf.DUMMYFUNCTION("""COMPUTED_VALUE"""),482.0)</f>
        <v>482</v>
      </c>
      <c r="W613" s="1">
        <f>IFERROR(__xludf.DUMMYFUNCTION("""COMPUTED_VALUE"""),577.0)</f>
        <v>577</v>
      </c>
      <c r="X613" s="1">
        <f>IFERROR(__xludf.DUMMYFUNCTION("""COMPUTED_VALUE"""),1549.0)</f>
        <v>1549</v>
      </c>
      <c r="Y613" s="2"/>
      <c r="Z613" s="2"/>
    </row>
    <row r="614">
      <c r="A614" s="1">
        <f>IFERROR(__xludf.DUMMYFUNCTION("""COMPUTED_VALUE"""),613.0)</f>
        <v>613</v>
      </c>
      <c r="B614" s="1">
        <f>IFERROR(__xludf.DUMMYFUNCTION("""COMPUTED_VALUE"""),10492.0)</f>
        <v>10492</v>
      </c>
      <c r="C614" s="2" t="str">
        <f>IFERROR(__xludf.DUMMYFUNCTION("""COMPUTED_VALUE"""),"Robi Ali Shabana")</f>
        <v>Robi Ali Shabana</v>
      </c>
      <c r="D614" s="2" t="str">
        <f>IFERROR(__xludf.DUMMYFUNCTION("""COMPUTED_VALUE"""),"10KM OVERALL M")</f>
        <v>10KM OVERALL M</v>
      </c>
      <c r="E614" s="1">
        <f>IFERROR(__xludf.DUMMYFUNCTION("""COMPUTED_VALUE"""),1.0)</f>
        <v>1</v>
      </c>
      <c r="F614" s="1" t="str">
        <f>IFERROR(__xludf.DUMMYFUNCTION("""COMPUTED_VALUE"""),"Male")</f>
        <v>Male</v>
      </c>
      <c r="G614" s="4" t="b">
        <f>IFERROR(__xludf.DUMMYFUNCTION("""COMPUTED_VALUE"""),TRUE)</f>
        <v>1</v>
      </c>
      <c r="H614" s="4" t="b">
        <f>IFERROR(__xludf.DUMMYFUNCTION("""COMPUTED_VALUE"""),TRUE)</f>
        <v>1</v>
      </c>
      <c r="I614" s="4">
        <f>IFERROR(__xludf.DUMMYFUNCTION("""COMPUTED_VALUE"""),0.24646185185185185)</f>
        <v>0.2464618519</v>
      </c>
      <c r="J614" s="4">
        <f>IFERROR(__xludf.DUMMYFUNCTION("""COMPUTED_VALUE"""),45949.25687045808)</f>
        <v>45949.25687</v>
      </c>
      <c r="K614" s="4">
        <f>IFERROR(__xludf.DUMMYFUNCTION("""COMPUTED_VALUE"""),45949.28230102848)</f>
        <v>45949.2823</v>
      </c>
      <c r="L614" s="4">
        <f>IFERROR(__xludf.DUMMYFUNCTION("""COMPUTED_VALUE"""),45949.290060598665)</f>
        <v>45949.29006</v>
      </c>
      <c r="M614" s="1" t="str">
        <f>IFERROR(__xludf.DUMMYFUNCTION("""COMPUTED_VALUE"""),"RFID")</f>
        <v>RFID</v>
      </c>
      <c r="N614" s="5">
        <f>IFERROR(__xludf.DUMMYFUNCTION("""COMPUTED_VALUE"""),0.0041634444444444444)</f>
        <v>0.004163444444</v>
      </c>
      <c r="O614" s="5">
        <f>IFERROR(__xludf.DUMMYFUNCTION("""COMPUTED_VALUE"""),0.010172226851851852)</f>
        <v>0.01017222685</v>
      </c>
      <c r="P614" s="5">
        <f>IFERROR(__xludf.DUMMYFUNCTION("""COMPUTED_VALUE"""),0.003193238760400257)</f>
        <v>0.00319323876</v>
      </c>
      <c r="Q614" s="5">
        <f>IFERROR(__xludf.DUMMYFUNCTION("""COMPUTED_VALUE"""),0.004359875)</f>
        <v>0.004359875</v>
      </c>
      <c r="R614" s="4">
        <f>IFERROR(__xludf.DUMMYFUNCTION("""COMPUTED_VALUE"""),45949.043598746815)</f>
        <v>45949.0436</v>
      </c>
      <c r="S614" s="1" t="b">
        <f>IFERROR(__xludf.DUMMYFUNCTION("""COMPUTED_VALUE"""),TRUE)</f>
        <v>1</v>
      </c>
      <c r="T614" s="1" t="b">
        <f>IFERROR(__xludf.DUMMYFUNCTION("""COMPUTED_VALUE"""),FALSE)</f>
        <v>0</v>
      </c>
      <c r="U614" s="1" t="str">
        <f>IFERROR(__xludf.DUMMYFUNCTION("""COMPUTED_VALUE"""),"VALID")</f>
        <v>VALID</v>
      </c>
      <c r="V614" s="1">
        <f>IFERROR(__xludf.DUMMYFUNCTION("""COMPUTED_VALUE"""),175.0)</f>
        <v>175</v>
      </c>
      <c r="W614" s="1">
        <f>IFERROR(__xludf.DUMMYFUNCTION("""COMPUTED_VALUE"""),209.0)</f>
        <v>209</v>
      </c>
      <c r="X614" s="1">
        <f>IFERROR(__xludf.DUMMYFUNCTION("""COMPUTED_VALUE"""),1121.0)</f>
        <v>1121</v>
      </c>
      <c r="Y614" s="2"/>
      <c r="Z614" s="2"/>
    </row>
    <row r="615">
      <c r="A615" s="1">
        <f>IFERROR(__xludf.DUMMYFUNCTION("""COMPUTED_VALUE"""),614.0)</f>
        <v>614</v>
      </c>
      <c r="B615" s="1">
        <f>IFERROR(__xludf.DUMMYFUNCTION("""COMPUTED_VALUE"""),10493.0)</f>
        <v>10493</v>
      </c>
      <c r="C615" s="2" t="str">
        <f>IFERROR(__xludf.DUMMYFUNCTION("""COMPUTED_VALUE"""),"Zidny Zaidan")</f>
        <v>Zidny Zaidan</v>
      </c>
      <c r="D615" s="2" t="str">
        <f>IFERROR(__xludf.DUMMYFUNCTION("""COMPUTED_VALUE"""),"10KM OVERALL M")</f>
        <v>10KM OVERALL M</v>
      </c>
      <c r="E615" s="1">
        <f>IFERROR(__xludf.DUMMYFUNCTION("""COMPUTED_VALUE"""),1.0)</f>
        <v>1</v>
      </c>
      <c r="F615" s="1" t="str">
        <f>IFERROR(__xludf.DUMMYFUNCTION("""COMPUTED_VALUE"""),"Male")</f>
        <v>Male</v>
      </c>
      <c r="G615" s="4" t="b">
        <f>IFERROR(__xludf.DUMMYFUNCTION("""COMPUTED_VALUE"""),TRUE)</f>
        <v>1</v>
      </c>
      <c r="H615" s="4" t="b">
        <f>IFERROR(__xludf.DUMMYFUNCTION("""COMPUTED_VALUE"""),FALSE)</f>
        <v>0</v>
      </c>
      <c r="I615" s="4">
        <f>IFERROR(__xludf.DUMMYFUNCTION("""COMPUTED_VALUE"""),0.24646185185185185)</f>
        <v>0.2464618519</v>
      </c>
      <c r="J615" s="4">
        <f>IFERROR(__xludf.DUMMYFUNCTION("""COMPUTED_VALUE"""),45949.25566905653)</f>
        <v>45949.25567</v>
      </c>
      <c r="K615" s="4">
        <f>IFERROR(__xludf.DUMMYFUNCTION("""COMPUTED_VALUE"""),45949.27935312649)</f>
        <v>45949.27935</v>
      </c>
      <c r="L615" s="4">
        <f>IFERROR(__xludf.DUMMYFUNCTION("""COMPUTED_VALUE"""),45949.286008512885)</f>
        <v>45949.28601</v>
      </c>
      <c r="M615" s="1" t="str">
        <f>IFERROR(__xludf.DUMMYFUNCTION("""COMPUTED_VALUE"""),"RFID")</f>
        <v>RFID</v>
      </c>
      <c r="N615" s="5">
        <f>IFERROR(__xludf.DUMMYFUNCTION("""COMPUTED_VALUE"""),0.0036828796296296297)</f>
        <v>0.00368287963</v>
      </c>
      <c r="O615" s="5">
        <f>IFERROR(__xludf.DUMMYFUNCTION("""COMPUTED_VALUE"""),0.00947362962962963)</f>
        <v>0.00947362963</v>
      </c>
      <c r="P615" s="5">
        <f>IFERROR(__xludf.DUMMYFUNCTION("""COMPUTED_VALUE"""),0.0027388421376187875)</f>
        <v>0.002738842138</v>
      </c>
      <c r="Q615" s="5">
        <f>IFERROR(__xludf.DUMMYFUNCTION("""COMPUTED_VALUE"""),0.003954666666666667)</f>
        <v>0.003954666667</v>
      </c>
      <c r="R615" s="4">
        <f>IFERROR(__xludf.DUMMYFUNCTION("""COMPUTED_VALUE"""),45949.039546661035)</f>
        <v>45949.03955</v>
      </c>
      <c r="S615" s="1" t="b">
        <f>IFERROR(__xludf.DUMMYFUNCTION("""COMPUTED_VALUE"""),TRUE)</f>
        <v>1</v>
      </c>
      <c r="T615" s="1" t="b">
        <f>IFERROR(__xludf.DUMMYFUNCTION("""COMPUTED_VALUE"""),FALSE)</f>
        <v>0</v>
      </c>
      <c r="U615" s="1" t="str">
        <f>IFERROR(__xludf.DUMMYFUNCTION("""COMPUTED_VALUE"""),"VALID")</f>
        <v>VALID</v>
      </c>
      <c r="V615" s="1">
        <f>IFERROR(__xludf.DUMMYFUNCTION("""COMPUTED_VALUE"""),90.0)</f>
        <v>90</v>
      </c>
      <c r="W615" s="1">
        <f>IFERROR(__xludf.DUMMYFUNCTION("""COMPUTED_VALUE"""),109.0)</f>
        <v>109</v>
      </c>
      <c r="X615" s="1">
        <f>IFERROR(__xludf.DUMMYFUNCTION("""COMPUTED_VALUE"""),955.0)</f>
        <v>955</v>
      </c>
      <c r="Y615" s="2"/>
      <c r="Z615" s="2"/>
    </row>
    <row r="616">
      <c r="A616" s="1">
        <f>IFERROR(__xludf.DUMMYFUNCTION("""COMPUTED_VALUE"""),615.0)</f>
        <v>615</v>
      </c>
      <c r="B616" s="1">
        <f>IFERROR(__xludf.DUMMYFUNCTION("""COMPUTED_VALUE"""),10494.0)</f>
        <v>10494</v>
      </c>
      <c r="C616" s="2" t="str">
        <f>IFERROR(__xludf.DUMMYFUNCTION("""COMPUTED_VALUE"""),"pelari biawak")</f>
        <v>pelari biawak</v>
      </c>
      <c r="D616" s="2" t="str">
        <f>IFERROR(__xludf.DUMMYFUNCTION("""COMPUTED_VALUE"""),"10KM OVERALL M")</f>
        <v>10KM OVERALL M</v>
      </c>
      <c r="E616" s="1">
        <f>IFERROR(__xludf.DUMMYFUNCTION("""COMPUTED_VALUE"""),1.0)</f>
        <v>1</v>
      </c>
      <c r="F616" s="1" t="str">
        <f>IFERROR(__xludf.DUMMYFUNCTION("""COMPUTED_VALUE"""),"Male")</f>
        <v>Male</v>
      </c>
      <c r="G616" s="4" t="b">
        <f>IFERROR(__xludf.DUMMYFUNCTION("""COMPUTED_VALUE"""),TRUE)</f>
        <v>1</v>
      </c>
      <c r="H616" s="4" t="b">
        <f>IFERROR(__xludf.DUMMYFUNCTION("""COMPUTED_VALUE"""),FALSE)</f>
        <v>0</v>
      </c>
      <c r="I616" s="4">
        <f>IFERROR(__xludf.DUMMYFUNCTION("""COMPUTED_VALUE"""),0.24646185185185185)</f>
        <v>0.2464618519</v>
      </c>
      <c r="J616" s="4">
        <f>IFERROR(__xludf.DUMMYFUNCTION("""COMPUTED_VALUE"""),45949.25706488937)</f>
        <v>45949.25706</v>
      </c>
      <c r="K616" s="4">
        <f>IFERROR(__xludf.DUMMYFUNCTION("""COMPUTED_VALUE"""),45949.28789827069)</f>
        <v>45949.2879</v>
      </c>
      <c r="L616" s="4">
        <f>IFERROR(__xludf.DUMMYFUNCTION("""COMPUTED_VALUE"""),45949.296567557605)</f>
        <v>45949.29657</v>
      </c>
      <c r="M616" s="1" t="str">
        <f>IFERROR(__xludf.DUMMYFUNCTION("""COMPUTED_VALUE"""),"RFID")</f>
        <v>RFID</v>
      </c>
      <c r="N616" s="5">
        <f>IFERROR(__xludf.DUMMYFUNCTION("""COMPUTED_VALUE"""),0.004241212962962962)</f>
        <v>0.004241212963</v>
      </c>
      <c r="O616" s="5">
        <f>IFERROR(__xludf.DUMMYFUNCTION("""COMPUTED_VALUE"""),0.01233335185185185)</f>
        <v>0.01233335185</v>
      </c>
      <c r="P616" s="5">
        <f>IFERROR(__xludf.DUMMYFUNCTION("""COMPUTED_VALUE"""),0.0035676077841119954)</f>
        <v>0.003567607784</v>
      </c>
      <c r="Q616" s="5">
        <f>IFERROR(__xludf.DUMMYFUNCTION("""COMPUTED_VALUE"""),0.005010570601851851)</f>
        <v>0.005010570602</v>
      </c>
      <c r="R616" s="4">
        <f>IFERROR(__xludf.DUMMYFUNCTION("""COMPUTED_VALUE"""),45949.050105705755)</f>
        <v>45949.05011</v>
      </c>
      <c r="S616" s="1" t="b">
        <f>IFERROR(__xludf.DUMMYFUNCTION("""COMPUTED_VALUE"""),TRUE)</f>
        <v>1</v>
      </c>
      <c r="T616" s="1" t="b">
        <f>IFERROR(__xludf.DUMMYFUNCTION("""COMPUTED_VALUE"""),FALSE)</f>
        <v>0</v>
      </c>
      <c r="U616" s="1" t="str">
        <f>IFERROR(__xludf.DUMMYFUNCTION("""COMPUTED_VALUE"""),"VALID")</f>
        <v>VALID</v>
      </c>
      <c r="V616" s="1">
        <f>IFERROR(__xludf.DUMMYFUNCTION("""COMPUTED_VALUE"""),343.0)</f>
        <v>343</v>
      </c>
      <c r="W616" s="1">
        <f>IFERROR(__xludf.DUMMYFUNCTION("""COMPUTED_VALUE"""),405.0)</f>
        <v>405</v>
      </c>
      <c r="X616" s="1">
        <f>IFERROR(__xludf.DUMMYFUNCTION("""COMPUTED_VALUE"""),1383.0)</f>
        <v>1383</v>
      </c>
      <c r="Y616" s="2"/>
      <c r="Z616" s="2"/>
    </row>
    <row r="617">
      <c r="A617" s="1">
        <f>IFERROR(__xludf.DUMMYFUNCTION("""COMPUTED_VALUE"""),616.0)</f>
        <v>616</v>
      </c>
      <c r="B617" s="1">
        <f>IFERROR(__xludf.DUMMYFUNCTION("""COMPUTED_VALUE"""),10495.0)</f>
        <v>10495</v>
      </c>
      <c r="C617" s="2" t="str">
        <f>IFERROR(__xludf.DUMMYFUNCTION("""COMPUTED_VALUE"""),"Pelari Jawa")</f>
        <v>Pelari Jawa</v>
      </c>
      <c r="D617" s="2" t="str">
        <f>IFERROR(__xludf.DUMMYFUNCTION("""COMPUTED_VALUE"""),"10KM OVERALL M")</f>
        <v>10KM OVERALL M</v>
      </c>
      <c r="E617" s="1">
        <f>IFERROR(__xludf.DUMMYFUNCTION("""COMPUTED_VALUE"""),1.0)</f>
        <v>1</v>
      </c>
      <c r="F617" s="1" t="str">
        <f>IFERROR(__xludf.DUMMYFUNCTION("""COMPUTED_VALUE"""),"Male")</f>
        <v>Male</v>
      </c>
      <c r="G617" s="4" t="b">
        <f>IFERROR(__xludf.DUMMYFUNCTION("""COMPUTED_VALUE"""),TRUE)</f>
        <v>1</v>
      </c>
      <c r="H617" s="4" t="b">
        <f>IFERROR(__xludf.DUMMYFUNCTION("""COMPUTED_VALUE"""),TRUE)</f>
        <v>1</v>
      </c>
      <c r="I617" s="4">
        <f>IFERROR(__xludf.DUMMYFUNCTION("""COMPUTED_VALUE"""),0.24646185185185185)</f>
        <v>0.2464618519</v>
      </c>
      <c r="J617" s="4">
        <f>IFERROR(__xludf.DUMMYFUNCTION("""COMPUTED_VALUE"""),45949.258557948684)</f>
        <v>45949.25856</v>
      </c>
      <c r="K617" s="4">
        <f>IFERROR(__xludf.DUMMYFUNCTION("""COMPUTED_VALUE"""),45949.29363807937)</f>
        <v>45949.29364</v>
      </c>
      <c r="L617" s="4">
        <f>IFERROR(__xludf.DUMMYFUNCTION("""COMPUTED_VALUE"""),45949.30211267115)</f>
        <v>45949.30211</v>
      </c>
      <c r="M617" s="1" t="str">
        <f>IFERROR(__xludf.DUMMYFUNCTION("""COMPUTED_VALUE"""),"RFID")</f>
        <v>RFID</v>
      </c>
      <c r="N617" s="5">
        <f>IFERROR(__xludf.DUMMYFUNCTION("""COMPUTED_VALUE"""),0.0048384398148148145)</f>
        <v>0.004838439815</v>
      </c>
      <c r="O617" s="5">
        <f>IFERROR(__xludf.DUMMYFUNCTION("""COMPUTED_VALUE"""),0.014032050925925924)</f>
        <v>0.01403205093</v>
      </c>
      <c r="P617" s="5">
        <f>IFERROR(__xludf.DUMMYFUNCTION("""COMPUTED_VALUE"""),0.003487486328183263)</f>
        <v>0.003487486328</v>
      </c>
      <c r="Q617" s="5">
        <f>IFERROR(__xludf.DUMMYFUNCTION("""COMPUTED_VALUE"""),0.005565082175925926)</f>
        <v>0.005565082176</v>
      </c>
      <c r="R617" s="4">
        <f>IFERROR(__xludf.DUMMYFUNCTION("""COMPUTED_VALUE"""),45949.0556508193)</f>
        <v>45949.05565</v>
      </c>
      <c r="S617" s="1" t="b">
        <f>IFERROR(__xludf.DUMMYFUNCTION("""COMPUTED_VALUE"""),TRUE)</f>
        <v>1</v>
      </c>
      <c r="T617" s="1" t="b">
        <f>IFERROR(__xludf.DUMMYFUNCTION("""COMPUTED_VALUE"""),FALSE)</f>
        <v>0</v>
      </c>
      <c r="U617" s="1" t="str">
        <f>IFERROR(__xludf.DUMMYFUNCTION("""COMPUTED_VALUE"""),"VALID")</f>
        <v>VALID</v>
      </c>
      <c r="V617" s="1">
        <f>IFERROR(__xludf.DUMMYFUNCTION("""COMPUTED_VALUE"""),473.0)</f>
        <v>473</v>
      </c>
      <c r="W617" s="1">
        <f>IFERROR(__xludf.DUMMYFUNCTION("""COMPUTED_VALUE"""),566.0)</f>
        <v>566</v>
      </c>
      <c r="X617" s="1">
        <f>IFERROR(__xludf.DUMMYFUNCTION("""COMPUTED_VALUE"""),1539.0)</f>
        <v>1539</v>
      </c>
      <c r="Y617" s="2"/>
      <c r="Z617" s="2"/>
    </row>
    <row r="618">
      <c r="A618" s="1">
        <f>IFERROR(__xludf.DUMMYFUNCTION("""COMPUTED_VALUE"""),617.0)</f>
        <v>617</v>
      </c>
      <c r="B618" s="1">
        <f>IFERROR(__xludf.DUMMYFUNCTION("""COMPUTED_VALUE"""),10496.0)</f>
        <v>10496</v>
      </c>
      <c r="C618" s="2" t="str">
        <f>IFERROR(__xludf.DUMMYFUNCTION("""COMPUTED_VALUE"""),"FAWWAZ R")</f>
        <v>FAWWAZ R</v>
      </c>
      <c r="D618" s="2" t="str">
        <f>IFERROR(__xludf.DUMMYFUNCTION("""COMPUTED_VALUE"""),"10KM OVERALL M")</f>
        <v>10KM OVERALL M</v>
      </c>
      <c r="E618" s="1">
        <f>IFERROR(__xludf.DUMMYFUNCTION("""COMPUTED_VALUE"""),1.0)</f>
        <v>1</v>
      </c>
      <c r="F618" s="1" t="str">
        <f>IFERROR(__xludf.DUMMYFUNCTION("""COMPUTED_VALUE"""),"Male")</f>
        <v>Male</v>
      </c>
      <c r="G618" s="4" t="str">
        <f>IFERROR(__xludf.DUMMYFUNCTION("""COMPUTED_VALUE"""),"")</f>
        <v/>
      </c>
      <c r="H618" s="4" t="b">
        <f>IFERROR(__xludf.DUMMYFUNCTION("""COMPUTED_VALUE"""),TRUE)</f>
        <v>1</v>
      </c>
      <c r="I618" s="4">
        <f>IFERROR(__xludf.DUMMYFUNCTION("""COMPUTED_VALUE"""),0.24646185185185185)</f>
        <v>0.2464618519</v>
      </c>
      <c r="J618" s="4">
        <f>IFERROR(__xludf.DUMMYFUNCTION("""COMPUTED_VALUE"""),45949.26952671995)</f>
        <v>45949.26953</v>
      </c>
      <c r="K618" s="4">
        <f>IFERROR(__xludf.DUMMYFUNCTION("""COMPUTED_VALUE"""),45949.30070400467)</f>
        <v>45949.3007</v>
      </c>
      <c r="L618" s="4">
        <f>IFERROR(__xludf.DUMMYFUNCTION("""COMPUTED_VALUE"""),45949.31030713041)</f>
        <v>45949.31031</v>
      </c>
      <c r="M618" s="1" t="str">
        <f>IFERROR(__xludf.DUMMYFUNCTION("""COMPUTED_VALUE"""),"RFID")</f>
        <v>RFID</v>
      </c>
      <c r="N618" s="5">
        <f>IFERROR(__xludf.DUMMYFUNCTION("""COMPUTED_VALUE"""),0.009225949074074074)</f>
        <v>0.009225949074</v>
      </c>
      <c r="O618" s="5">
        <f>IFERROR(__xludf.DUMMYFUNCTION("""COMPUTED_VALUE"""),0.012470912037037037)</f>
        <v>0.01247091204</v>
      </c>
      <c r="P618" s="5">
        <f>IFERROR(__xludf.DUMMYFUNCTION("""COMPUTED_VALUE"""),0.003951903594415366)</f>
        <v>0.003951903594</v>
      </c>
      <c r="Q618" s="5">
        <f>IFERROR(__xludf.DUMMYFUNCTION("""COMPUTED_VALUE"""),0.006384527777777778)</f>
        <v>0.006384527778</v>
      </c>
      <c r="R618" s="4">
        <f>IFERROR(__xludf.DUMMYFUNCTION("""COMPUTED_VALUE"""),45949.06384527856)</f>
        <v>45949.06385</v>
      </c>
      <c r="S618" s="1" t="b">
        <f>IFERROR(__xludf.DUMMYFUNCTION("""COMPUTED_VALUE"""),TRUE)</f>
        <v>1</v>
      </c>
      <c r="T618" s="1" t="b">
        <f>IFERROR(__xludf.DUMMYFUNCTION("""COMPUTED_VALUE"""),FALSE)</f>
        <v>0</v>
      </c>
      <c r="U618" s="1" t="str">
        <f>IFERROR(__xludf.DUMMYFUNCTION("""COMPUTED_VALUE"""),"VALID")</f>
        <v>VALID</v>
      </c>
      <c r="V618" s="1">
        <f>IFERROR(__xludf.DUMMYFUNCTION("""COMPUTED_VALUE"""),560.0)</f>
        <v>560</v>
      </c>
      <c r="W618" s="1">
        <f>IFERROR(__xludf.DUMMYFUNCTION("""COMPUTED_VALUE"""),691.0)</f>
        <v>691</v>
      </c>
      <c r="X618" s="1">
        <f>IFERROR(__xludf.DUMMYFUNCTION("""COMPUTED_VALUE"""),1638.0)</f>
        <v>1638</v>
      </c>
      <c r="Y618" s="2"/>
      <c r="Z618" s="2"/>
    </row>
    <row r="619">
      <c r="A619" s="1">
        <f>IFERROR(__xludf.DUMMYFUNCTION("""COMPUTED_VALUE"""),618.0)</f>
        <v>618</v>
      </c>
      <c r="B619" s="1">
        <f>IFERROR(__xludf.DUMMYFUNCTION("""COMPUTED_VALUE"""),10497.0)</f>
        <v>10497</v>
      </c>
      <c r="C619" s="2" t="str">
        <f>IFERROR(__xludf.DUMMYFUNCTION("""COMPUTED_VALUE"""),"Rama Diandra")</f>
        <v>Rama Diandra</v>
      </c>
      <c r="D619" s="2" t="str">
        <f>IFERROR(__xludf.DUMMYFUNCTION("""COMPUTED_VALUE"""),"10KM OVERALL M")</f>
        <v>10KM OVERALL M</v>
      </c>
      <c r="E619" s="1">
        <f>IFERROR(__xludf.DUMMYFUNCTION("""COMPUTED_VALUE"""),1.0)</f>
        <v>1</v>
      </c>
      <c r="F619" s="1" t="str">
        <f>IFERROR(__xludf.DUMMYFUNCTION("""COMPUTED_VALUE"""),"Male")</f>
        <v>Male</v>
      </c>
      <c r="G619" s="4" t="str">
        <f>IFERROR(__xludf.DUMMYFUNCTION("""COMPUTED_VALUE"""),"")</f>
        <v/>
      </c>
      <c r="H619" s="4" t="b">
        <f>IFERROR(__xludf.DUMMYFUNCTION("""COMPUTED_VALUE"""),TRUE)</f>
        <v>1</v>
      </c>
      <c r="I619" s="4">
        <f>IFERROR(__xludf.DUMMYFUNCTION("""COMPUTED_VALUE"""),0.24646185185185185)</f>
        <v>0.2464618519</v>
      </c>
      <c r="J619" s="4">
        <f>IFERROR(__xludf.DUMMYFUNCTION("""COMPUTED_VALUE"""),45949.26950937845)</f>
        <v>45949.26951</v>
      </c>
      <c r="K619" s="4">
        <f>IFERROR(__xludf.DUMMYFUNCTION("""COMPUTED_VALUE"""),45949.30070399327)</f>
        <v>45949.3007</v>
      </c>
      <c r="L619" s="4">
        <f>IFERROR(__xludf.DUMMYFUNCTION("""COMPUTED_VALUE"""),45949.31029363665)</f>
        <v>45949.31029</v>
      </c>
      <c r="M619" s="1" t="str">
        <f>IFERROR(__xludf.DUMMYFUNCTION("""COMPUTED_VALUE"""),"RFID")</f>
        <v>RFID</v>
      </c>
      <c r="N619" s="5">
        <f>IFERROR(__xludf.DUMMYFUNCTION("""COMPUTED_VALUE"""),0.00921900925925926)</f>
        <v>0.009219009259</v>
      </c>
      <c r="O619" s="5">
        <f>IFERROR(__xludf.DUMMYFUNCTION("""COMPUTED_VALUE"""),0.012477847222222224)</f>
        <v>0.01247784722</v>
      </c>
      <c r="P619" s="5">
        <f>IFERROR(__xludf.DUMMYFUNCTION("""COMPUTED_VALUE"""),0.0039463552994626755)</f>
        <v>0.003946355299</v>
      </c>
      <c r="Q619" s="5">
        <f>IFERROR(__xludf.DUMMYFUNCTION("""COMPUTED_VALUE"""),0.0063831782407407405)</f>
        <v>0.006383178241</v>
      </c>
      <c r="R619" s="4">
        <f>IFERROR(__xludf.DUMMYFUNCTION("""COMPUTED_VALUE"""),45949.0638317848)</f>
        <v>45949.06383</v>
      </c>
      <c r="S619" s="1" t="b">
        <f>IFERROR(__xludf.DUMMYFUNCTION("""COMPUTED_VALUE"""),TRUE)</f>
        <v>1</v>
      </c>
      <c r="T619" s="1" t="b">
        <f>IFERROR(__xludf.DUMMYFUNCTION("""COMPUTED_VALUE"""),FALSE)</f>
        <v>0</v>
      </c>
      <c r="U619" s="1" t="str">
        <f>IFERROR(__xludf.DUMMYFUNCTION("""COMPUTED_VALUE"""),"VALID")</f>
        <v>VALID</v>
      </c>
      <c r="V619" s="1">
        <f>IFERROR(__xludf.DUMMYFUNCTION("""COMPUTED_VALUE"""),558.0)</f>
        <v>558</v>
      </c>
      <c r="W619" s="1">
        <f>IFERROR(__xludf.DUMMYFUNCTION("""COMPUTED_VALUE"""),689.0)</f>
        <v>689</v>
      </c>
      <c r="X619" s="1">
        <f>IFERROR(__xludf.DUMMYFUNCTION("""COMPUTED_VALUE"""),1636.0)</f>
        <v>1636</v>
      </c>
      <c r="Y619" s="2"/>
      <c r="Z619" s="2"/>
    </row>
    <row r="620">
      <c r="A620" s="1">
        <f>IFERROR(__xludf.DUMMYFUNCTION("""COMPUTED_VALUE"""),619.0)</f>
        <v>619</v>
      </c>
      <c r="B620" s="1">
        <f>IFERROR(__xludf.DUMMYFUNCTION("""COMPUTED_VALUE"""),10498.0)</f>
        <v>10498</v>
      </c>
      <c r="C620" s="2" t="str">
        <f>IFERROR(__xludf.DUMMYFUNCTION("""COMPUTED_VALUE"""),"M. Topan Aria Zada")</f>
        <v>M. Topan Aria Zada</v>
      </c>
      <c r="D620" s="2" t="str">
        <f>IFERROR(__xludf.DUMMYFUNCTION("""COMPUTED_VALUE"""),"10KM OVERALL M")</f>
        <v>10KM OVERALL M</v>
      </c>
      <c r="E620" s="1">
        <f>IFERROR(__xludf.DUMMYFUNCTION("""COMPUTED_VALUE"""),1.0)</f>
        <v>1</v>
      </c>
      <c r="F620" s="1" t="str">
        <f>IFERROR(__xludf.DUMMYFUNCTION("""COMPUTED_VALUE"""),"Male")</f>
        <v>Male</v>
      </c>
      <c r="G620" s="4" t="b">
        <f>IFERROR(__xludf.DUMMYFUNCTION("""COMPUTED_VALUE"""),TRUE)</f>
        <v>1</v>
      </c>
      <c r="H620" s="4" t="b">
        <f>IFERROR(__xludf.DUMMYFUNCTION("""COMPUTED_VALUE"""),TRUE)</f>
        <v>1</v>
      </c>
      <c r="I620" s="4">
        <f>IFERROR(__xludf.DUMMYFUNCTION("""COMPUTED_VALUE"""),0.24646185185185185)</f>
        <v>0.2464618519</v>
      </c>
      <c r="J620" s="4">
        <f>IFERROR(__xludf.DUMMYFUNCTION("""COMPUTED_VALUE"""),45949.25507531218)</f>
        <v>45949.25508</v>
      </c>
      <c r="K620" s="4">
        <f>IFERROR(__xludf.DUMMYFUNCTION("""COMPUTED_VALUE"""),45949.28309617612)</f>
        <v>45949.2831</v>
      </c>
      <c r="L620" s="4">
        <f>IFERROR(__xludf.DUMMYFUNCTION("""COMPUTED_VALUE"""),45949.29104005002)</f>
        <v>45949.29104</v>
      </c>
      <c r="M620" s="1" t="str">
        <f>IFERROR(__xludf.DUMMYFUNCTION("""COMPUTED_VALUE"""),"RFID")</f>
        <v>RFID</v>
      </c>
      <c r="N620" s="5">
        <f>IFERROR(__xludf.DUMMYFUNCTION("""COMPUTED_VALUE"""),0.003445384259259259)</f>
        <v>0.003445384259</v>
      </c>
      <c r="O620" s="5">
        <f>IFERROR(__xludf.DUMMYFUNCTION("""COMPUTED_VALUE"""),0.011208347222222224)</f>
        <v>0.01120834722</v>
      </c>
      <c r="P620" s="5">
        <f>IFERROR(__xludf.DUMMYFUNCTION("""COMPUTED_VALUE"""),0.003269083908478319)</f>
        <v>0.003269083908</v>
      </c>
      <c r="Q620" s="5">
        <f>IFERROR(__xludf.DUMMYFUNCTION("""COMPUTED_VALUE"""),0.004457819444444445)</f>
        <v>0.004457819444</v>
      </c>
      <c r="R620" s="4">
        <f>IFERROR(__xludf.DUMMYFUNCTION("""COMPUTED_VALUE"""),45949.04457819817)</f>
        <v>45949.04458</v>
      </c>
      <c r="S620" s="1" t="b">
        <f>IFERROR(__xludf.DUMMYFUNCTION("""COMPUTED_VALUE"""),TRUE)</f>
        <v>1</v>
      </c>
      <c r="T620" s="1" t="b">
        <f>IFERROR(__xludf.DUMMYFUNCTION("""COMPUTED_VALUE"""),FALSE)</f>
        <v>0</v>
      </c>
      <c r="U620" s="1" t="str">
        <f>IFERROR(__xludf.DUMMYFUNCTION("""COMPUTED_VALUE"""),"VALID")</f>
        <v>VALID</v>
      </c>
      <c r="V620" s="1">
        <f>IFERROR(__xludf.DUMMYFUNCTION("""COMPUTED_VALUE"""),206.0)</f>
        <v>206</v>
      </c>
      <c r="W620" s="1">
        <f>IFERROR(__xludf.DUMMYFUNCTION("""COMPUTED_VALUE"""),249.0)</f>
        <v>249</v>
      </c>
      <c r="X620" s="1">
        <f>IFERROR(__xludf.DUMMYFUNCTION("""COMPUTED_VALUE"""),1181.0)</f>
        <v>1181</v>
      </c>
      <c r="Y620" s="2"/>
      <c r="Z620" s="2"/>
    </row>
    <row r="621">
      <c r="A621" s="1">
        <f>IFERROR(__xludf.DUMMYFUNCTION("""COMPUTED_VALUE"""),620.0)</f>
        <v>620</v>
      </c>
      <c r="B621" s="1">
        <f>IFERROR(__xludf.DUMMYFUNCTION("""COMPUTED_VALUE"""),10499.0)</f>
        <v>10499</v>
      </c>
      <c r="C621" s="2" t="str">
        <f>IFERROR(__xludf.DUMMYFUNCTION("""COMPUTED_VALUE"""),"RIDHO")</f>
        <v>RIDHO</v>
      </c>
      <c r="D621" s="2" t="str">
        <f>IFERROR(__xludf.DUMMYFUNCTION("""COMPUTED_VALUE"""),"10KM OVERALL M")</f>
        <v>10KM OVERALL M</v>
      </c>
      <c r="E621" s="1">
        <f>IFERROR(__xludf.DUMMYFUNCTION("""COMPUTED_VALUE"""),1.0)</f>
        <v>1</v>
      </c>
      <c r="F621" s="1" t="str">
        <f>IFERROR(__xludf.DUMMYFUNCTION("""COMPUTED_VALUE"""),"Male")</f>
        <v>Male</v>
      </c>
      <c r="G621" s="4" t="b">
        <f>IFERROR(__xludf.DUMMYFUNCTION("""COMPUTED_VALUE"""),TRUE)</f>
        <v>1</v>
      </c>
      <c r="H621" s="4" t="b">
        <f>IFERROR(__xludf.DUMMYFUNCTION("""COMPUTED_VALUE"""),TRUE)</f>
        <v>1</v>
      </c>
      <c r="I621" s="4">
        <f>IFERROR(__xludf.DUMMYFUNCTION("""COMPUTED_VALUE"""),0.24646185185185185)</f>
        <v>0.2464618519</v>
      </c>
      <c r="J621" s="4">
        <f>IFERROR(__xludf.DUMMYFUNCTION("""COMPUTED_VALUE"""),45949.257696835455)</f>
        <v>45949.2577</v>
      </c>
      <c r="K621" s="4">
        <f>IFERROR(__xludf.DUMMYFUNCTION("""COMPUTED_VALUE"""),45949.28605448955)</f>
        <v>45949.28605</v>
      </c>
      <c r="L621" s="4">
        <f>IFERROR(__xludf.DUMMYFUNCTION("""COMPUTED_VALUE"""),45949.29403628837)</f>
        <v>45949.29404</v>
      </c>
      <c r="M621" s="1" t="str">
        <f>IFERROR(__xludf.DUMMYFUNCTION("""COMPUTED_VALUE"""),"RFID")</f>
        <v>RFID</v>
      </c>
      <c r="N621" s="5">
        <f>IFERROR(__xludf.DUMMYFUNCTION("""COMPUTED_VALUE"""),0.00449399537037037)</f>
        <v>0.00449399537</v>
      </c>
      <c r="O621" s="5">
        <f>IFERROR(__xludf.DUMMYFUNCTION("""COMPUTED_VALUE"""),0.011343060185185185)</f>
        <v>0.01134306019</v>
      </c>
      <c r="P621" s="5">
        <f>IFERROR(__xludf.DUMMYFUNCTION("""COMPUTED_VALUE"""),0.0032846908704971763)</f>
        <v>0.00328469087</v>
      </c>
      <c r="Q621" s="5">
        <f>IFERROR(__xludf.DUMMYFUNCTION("""COMPUTED_VALUE"""),0.004757443287037037)</f>
        <v>0.004757443287</v>
      </c>
      <c r="R621" s="4">
        <f>IFERROR(__xludf.DUMMYFUNCTION("""COMPUTED_VALUE"""),45949.04757443652)</f>
        <v>45949.04757</v>
      </c>
      <c r="S621" s="1" t="b">
        <f>IFERROR(__xludf.DUMMYFUNCTION("""COMPUTED_VALUE"""),TRUE)</f>
        <v>1</v>
      </c>
      <c r="T621" s="1" t="b">
        <f>IFERROR(__xludf.DUMMYFUNCTION("""COMPUTED_VALUE"""),FALSE)</f>
        <v>0</v>
      </c>
      <c r="U621" s="1" t="str">
        <f>IFERROR(__xludf.DUMMYFUNCTION("""COMPUTED_VALUE"""),"VALID")</f>
        <v>VALID</v>
      </c>
      <c r="V621" s="1">
        <f>IFERROR(__xludf.DUMMYFUNCTION("""COMPUTED_VALUE"""),276.0)</f>
        <v>276</v>
      </c>
      <c r="W621" s="1">
        <f>IFERROR(__xludf.DUMMYFUNCTION("""COMPUTED_VALUE"""),328.0)</f>
        <v>328</v>
      </c>
      <c r="X621" s="1">
        <f>IFERROR(__xludf.DUMMYFUNCTION("""COMPUTED_VALUE"""),1288.0)</f>
        <v>1288</v>
      </c>
      <c r="Y621" s="2"/>
      <c r="Z621" s="2"/>
    </row>
    <row r="622">
      <c r="A622" s="1">
        <f>IFERROR(__xludf.DUMMYFUNCTION("""COMPUTED_VALUE"""),621.0)</f>
        <v>621</v>
      </c>
      <c r="B622" s="1">
        <f>IFERROR(__xludf.DUMMYFUNCTION("""COMPUTED_VALUE"""),10501.0)</f>
        <v>10501</v>
      </c>
      <c r="C622" s="2" t="str">
        <f>IFERROR(__xludf.DUMMYFUNCTION("""COMPUTED_VALUE"""),"Akhmad Alfy")</f>
        <v>Akhmad Alfy</v>
      </c>
      <c r="D622" s="2" t="str">
        <f>IFERROR(__xludf.DUMMYFUNCTION("""COMPUTED_VALUE"""),"10KM OVERALL M")</f>
        <v>10KM OVERALL M</v>
      </c>
      <c r="E622" s="1">
        <f>IFERROR(__xludf.DUMMYFUNCTION("""COMPUTED_VALUE"""),1.0)</f>
        <v>1</v>
      </c>
      <c r="F622" s="1" t="str">
        <f>IFERROR(__xludf.DUMMYFUNCTION("""COMPUTED_VALUE"""),"Male")</f>
        <v>Male</v>
      </c>
      <c r="G622" s="4" t="b">
        <f>IFERROR(__xludf.DUMMYFUNCTION("""COMPUTED_VALUE"""),TRUE)</f>
        <v>1</v>
      </c>
      <c r="H622" s="4" t="b">
        <f>IFERROR(__xludf.DUMMYFUNCTION("""COMPUTED_VALUE"""),TRUE)</f>
        <v>1</v>
      </c>
      <c r="I622" s="4">
        <f>IFERROR(__xludf.DUMMYFUNCTION("""COMPUTED_VALUE"""),0.24646185185185185)</f>
        <v>0.2464618519</v>
      </c>
      <c r="J622" s="4">
        <f>IFERROR(__xludf.DUMMYFUNCTION("""COMPUTED_VALUE"""),45949.25809966548)</f>
        <v>45949.2581</v>
      </c>
      <c r="K622" s="4">
        <f>IFERROR(__xludf.DUMMYFUNCTION("""COMPUTED_VALUE"""),45949.28818991565)</f>
        <v>45949.28819</v>
      </c>
      <c r="L622" s="4">
        <f>IFERROR(__xludf.DUMMYFUNCTION("""COMPUTED_VALUE"""),45949.297317533594)</f>
        <v>45949.29732</v>
      </c>
      <c r="M622" s="1" t="str">
        <f>IFERROR(__xludf.DUMMYFUNCTION("""COMPUTED_VALUE"""),"RFID")</f>
        <v>RFID</v>
      </c>
      <c r="N622" s="5">
        <f>IFERROR(__xludf.DUMMYFUNCTION("""COMPUTED_VALUE"""),0.0046551249999999995)</f>
        <v>0.004655125</v>
      </c>
      <c r="O622" s="5">
        <f>IFERROR(__xludf.DUMMYFUNCTION("""COMPUTED_VALUE"""),0.01203610185185185)</f>
        <v>0.01203610185</v>
      </c>
      <c r="P622" s="5">
        <f>IFERROR(__xludf.DUMMYFUNCTION("""COMPUTED_VALUE"""),0.0037562213763843743)</f>
        <v>0.003756221376</v>
      </c>
      <c r="Q622" s="5">
        <f>IFERROR(__xludf.DUMMYFUNCTION("""COMPUTED_VALUE"""),0.005085568287037037)</f>
        <v>0.005085568287</v>
      </c>
      <c r="R622" s="4">
        <f>IFERROR(__xludf.DUMMYFUNCTION("""COMPUTED_VALUE"""),45949.050855681744)</f>
        <v>45949.05086</v>
      </c>
      <c r="S622" s="1" t="b">
        <f>IFERROR(__xludf.DUMMYFUNCTION("""COMPUTED_VALUE"""),TRUE)</f>
        <v>1</v>
      </c>
      <c r="T622" s="1" t="b">
        <f>IFERROR(__xludf.DUMMYFUNCTION("""COMPUTED_VALUE"""),FALSE)</f>
        <v>0</v>
      </c>
      <c r="U622" s="1" t="str">
        <f>IFERROR(__xludf.DUMMYFUNCTION("""COMPUTED_VALUE"""),"VALID")</f>
        <v>VALID</v>
      </c>
      <c r="V622" s="1">
        <f>IFERROR(__xludf.DUMMYFUNCTION("""COMPUTED_VALUE"""),365.0)</f>
        <v>365</v>
      </c>
      <c r="W622" s="1">
        <f>IFERROR(__xludf.DUMMYFUNCTION("""COMPUTED_VALUE"""),432.0)</f>
        <v>432</v>
      </c>
      <c r="X622" s="1">
        <f>IFERROR(__xludf.DUMMYFUNCTION("""COMPUTED_VALUE"""),1411.0)</f>
        <v>1411</v>
      </c>
      <c r="Y622" s="2"/>
      <c r="Z622" s="2"/>
    </row>
    <row r="623">
      <c r="A623" s="1">
        <f>IFERROR(__xludf.DUMMYFUNCTION("""COMPUTED_VALUE"""),622.0)</f>
        <v>622</v>
      </c>
      <c r="B623" s="1">
        <f>IFERROR(__xludf.DUMMYFUNCTION("""COMPUTED_VALUE"""),10502.0)</f>
        <v>10502</v>
      </c>
      <c r="C623" s="2" t="str">
        <f>IFERROR(__xludf.DUMMYFUNCTION("""COMPUTED_VALUE"""),"babalea")</f>
        <v>babalea</v>
      </c>
      <c r="D623" s="2" t="str">
        <f>IFERROR(__xludf.DUMMYFUNCTION("""COMPUTED_VALUE"""),"10KM OVERALL M")</f>
        <v>10KM OVERALL M</v>
      </c>
      <c r="E623" s="1">
        <f>IFERROR(__xludf.DUMMYFUNCTION("""COMPUTED_VALUE"""),1.0)</f>
        <v>1</v>
      </c>
      <c r="F623" s="1" t="str">
        <f>IFERROR(__xludf.DUMMYFUNCTION("""COMPUTED_VALUE"""),"Male")</f>
        <v>Male</v>
      </c>
      <c r="G623" s="4" t="b">
        <f>IFERROR(__xludf.DUMMYFUNCTION("""COMPUTED_VALUE"""),TRUE)</f>
        <v>1</v>
      </c>
      <c r="H623" s="4" t="b">
        <f>IFERROR(__xludf.DUMMYFUNCTION("""COMPUTED_VALUE"""),TRUE)</f>
        <v>1</v>
      </c>
      <c r="I623" s="4">
        <f>IFERROR(__xludf.DUMMYFUNCTION("""COMPUTED_VALUE"""),0.24646185185185185)</f>
        <v>0.2464618519</v>
      </c>
      <c r="J623" s="4">
        <f>IFERROR(__xludf.DUMMYFUNCTION("""COMPUTED_VALUE"""),45949.260408636175)</f>
        <v>45949.26041</v>
      </c>
      <c r="K623" s="4">
        <f>IFERROR(__xludf.DUMMYFUNCTION("""COMPUTED_VALUE"""),45949.28814149187)</f>
        <v>45949.28814</v>
      </c>
      <c r="L623" s="4">
        <f>IFERROR(__xludf.DUMMYFUNCTION("""COMPUTED_VALUE"""),45949.296536281116)</f>
        <v>45949.29654</v>
      </c>
      <c r="M623" s="1" t="str">
        <f>IFERROR(__xludf.DUMMYFUNCTION("""COMPUTED_VALUE"""),"RFID")</f>
        <v>RFID</v>
      </c>
      <c r="N623" s="5">
        <f>IFERROR(__xludf.DUMMYFUNCTION("""COMPUTED_VALUE"""),0.005578712962962962)</f>
        <v>0.005578712963</v>
      </c>
      <c r="O623" s="5">
        <f>IFERROR(__xludf.DUMMYFUNCTION("""COMPUTED_VALUE"""),0.01109314351851852)</f>
        <v>0.01109314352</v>
      </c>
      <c r="P623" s="5">
        <f>IFERROR(__xludf.DUMMYFUNCTION("""COMPUTED_VALUE"""),0.003454645781479814)</f>
        <v>0.003454645781</v>
      </c>
      <c r="Q623" s="5">
        <f>IFERROR(__xludf.DUMMYFUNCTION("""COMPUTED_VALUE"""),0.005007443287037037)</f>
        <v>0.005007443287</v>
      </c>
      <c r="R623" s="4">
        <f>IFERROR(__xludf.DUMMYFUNCTION("""COMPUTED_VALUE"""),45949.050074429266)</f>
        <v>45949.05007</v>
      </c>
      <c r="S623" s="1" t="b">
        <f>IFERROR(__xludf.DUMMYFUNCTION("""COMPUTED_VALUE"""),TRUE)</f>
        <v>1</v>
      </c>
      <c r="T623" s="1" t="b">
        <f>IFERROR(__xludf.DUMMYFUNCTION("""COMPUTED_VALUE"""),FALSE)</f>
        <v>0</v>
      </c>
      <c r="U623" s="1" t="str">
        <f>IFERROR(__xludf.DUMMYFUNCTION("""COMPUTED_VALUE"""),"VALID")</f>
        <v>VALID</v>
      </c>
      <c r="V623" s="1">
        <f>IFERROR(__xludf.DUMMYFUNCTION("""COMPUTED_VALUE"""),341.0)</f>
        <v>341</v>
      </c>
      <c r="W623" s="1">
        <f>IFERROR(__xludf.DUMMYFUNCTION("""COMPUTED_VALUE"""),403.0)</f>
        <v>403</v>
      </c>
      <c r="X623" s="1">
        <f>IFERROR(__xludf.DUMMYFUNCTION("""COMPUTED_VALUE"""),1381.0)</f>
        <v>1381</v>
      </c>
      <c r="Y623" s="2"/>
      <c r="Z623" s="2"/>
    </row>
    <row r="624">
      <c r="A624" s="1">
        <f>IFERROR(__xludf.DUMMYFUNCTION("""COMPUTED_VALUE"""),623.0)</f>
        <v>623</v>
      </c>
      <c r="B624" s="1">
        <f>IFERROR(__xludf.DUMMYFUNCTION("""COMPUTED_VALUE"""),10503.0)</f>
        <v>10503</v>
      </c>
      <c r="C624" s="2" t="str">
        <f>IFERROR(__xludf.DUMMYFUNCTION("""COMPUTED_VALUE"""),"Agung Septiawan")</f>
        <v>Agung Septiawan</v>
      </c>
      <c r="D624" s="2" t="str">
        <f>IFERROR(__xludf.DUMMYFUNCTION("""COMPUTED_VALUE"""),"10KM OVERALL M")</f>
        <v>10KM OVERALL M</v>
      </c>
      <c r="E624" s="1">
        <f>IFERROR(__xludf.DUMMYFUNCTION("""COMPUTED_VALUE"""),1.0)</f>
        <v>1</v>
      </c>
      <c r="F624" s="1" t="str">
        <f>IFERROR(__xludf.DUMMYFUNCTION("""COMPUTED_VALUE"""),"Male")</f>
        <v>Male</v>
      </c>
      <c r="G624" s="4" t="b">
        <f>IFERROR(__xludf.DUMMYFUNCTION("""COMPUTED_VALUE"""),TRUE)</f>
        <v>1</v>
      </c>
      <c r="H624" s="4" t="b">
        <f>IFERROR(__xludf.DUMMYFUNCTION("""COMPUTED_VALUE"""),TRUE)</f>
        <v>1</v>
      </c>
      <c r="I624" s="4">
        <f>IFERROR(__xludf.DUMMYFUNCTION("""COMPUTED_VALUE"""),0.24646185185185185)</f>
        <v>0.2464618519</v>
      </c>
      <c r="J624" s="4">
        <f>IFERROR(__xludf.DUMMYFUNCTION("""COMPUTED_VALUE"""),45949.253934096814)</f>
        <v>45949.25393</v>
      </c>
      <c r="K624" s="4">
        <f>IFERROR(__xludf.DUMMYFUNCTION("""COMPUTED_VALUE"""),45949.2770005188)</f>
        <v>45949.277</v>
      </c>
      <c r="L624" s="4">
        <f>IFERROR(__xludf.DUMMYFUNCTION("""COMPUTED_VALUE"""),45949.28375505068)</f>
        <v>45949.28376</v>
      </c>
      <c r="M624" s="1" t="str">
        <f>IFERROR(__xludf.DUMMYFUNCTION("""COMPUTED_VALUE"""),"RFID")</f>
        <v>RFID</v>
      </c>
      <c r="N624" s="5">
        <f>IFERROR(__xludf.DUMMYFUNCTION("""COMPUTED_VALUE"""),0.002988898148148148)</f>
        <v>0.002988898148</v>
      </c>
      <c r="O624" s="5">
        <f>IFERROR(__xludf.DUMMYFUNCTION("""COMPUTED_VALUE"""),0.009226569444444445)</f>
        <v>0.009226569444</v>
      </c>
      <c r="P624" s="5">
        <f>IFERROR(__xludf.DUMMYFUNCTION("""COMPUTED_VALUE"""),0.0027796427496285425)</f>
        <v>0.00277964275</v>
      </c>
      <c r="Q624" s="5">
        <f>IFERROR(__xludf.DUMMYFUNCTION("""COMPUTED_VALUE"""),0.003729319444444445)</f>
        <v>0.003729319444</v>
      </c>
      <c r="R624" s="4">
        <f>IFERROR(__xludf.DUMMYFUNCTION("""COMPUTED_VALUE"""),45949.03729319883)</f>
        <v>45949.03729</v>
      </c>
      <c r="S624" s="1" t="b">
        <f>IFERROR(__xludf.DUMMYFUNCTION("""COMPUTED_VALUE"""),TRUE)</f>
        <v>1</v>
      </c>
      <c r="T624" s="1" t="b">
        <f>IFERROR(__xludf.DUMMYFUNCTION("""COMPUTED_VALUE"""),FALSE)</f>
        <v>0</v>
      </c>
      <c r="U624" s="1" t="str">
        <f>IFERROR(__xludf.DUMMYFUNCTION("""COMPUTED_VALUE"""),"VALID")</f>
        <v>VALID</v>
      </c>
      <c r="V624" s="1">
        <f>IFERROR(__xludf.DUMMYFUNCTION("""COMPUTED_VALUE"""),57.0)</f>
        <v>57</v>
      </c>
      <c r="W624" s="1">
        <f>IFERROR(__xludf.DUMMYFUNCTION("""COMPUTED_VALUE"""),69.0)</f>
        <v>69</v>
      </c>
      <c r="X624" s="1">
        <f>IFERROR(__xludf.DUMMYFUNCTION("""COMPUTED_VALUE"""),834.0)</f>
        <v>834</v>
      </c>
      <c r="Y624" s="2"/>
      <c r="Z624" s="2"/>
    </row>
    <row r="625">
      <c r="A625" s="1">
        <f>IFERROR(__xludf.DUMMYFUNCTION("""COMPUTED_VALUE"""),624.0)</f>
        <v>624</v>
      </c>
      <c r="B625" s="1">
        <f>IFERROR(__xludf.DUMMYFUNCTION("""COMPUTED_VALUE"""),10504.0)</f>
        <v>10504</v>
      </c>
      <c r="C625" s="2" t="str">
        <f>IFERROR(__xludf.DUMMYFUNCTION("""COMPUTED_VALUE"""),"tabrani")</f>
        <v>tabrani</v>
      </c>
      <c r="D625" s="2" t="str">
        <f>IFERROR(__xludf.DUMMYFUNCTION("""COMPUTED_VALUE"""),"10KM OVERALL M")</f>
        <v>10KM OVERALL M</v>
      </c>
      <c r="E625" s="1">
        <f>IFERROR(__xludf.DUMMYFUNCTION("""COMPUTED_VALUE"""),1.0)</f>
        <v>1</v>
      </c>
      <c r="F625" s="1" t="str">
        <f>IFERROR(__xludf.DUMMYFUNCTION("""COMPUTED_VALUE"""),"Male")</f>
        <v>Male</v>
      </c>
      <c r="G625" s="4" t="b">
        <f>IFERROR(__xludf.DUMMYFUNCTION("""COMPUTED_VALUE"""),TRUE)</f>
        <v>1</v>
      </c>
      <c r="H625" s="4" t="b">
        <f>IFERROR(__xludf.DUMMYFUNCTION("""COMPUTED_VALUE"""),TRUE)</f>
        <v>1</v>
      </c>
      <c r="I625" s="4">
        <f>IFERROR(__xludf.DUMMYFUNCTION("""COMPUTED_VALUE"""),0.24646185185185185)</f>
        <v>0.2464618519</v>
      </c>
      <c r="J625" s="4">
        <f>IFERROR(__xludf.DUMMYFUNCTION("""COMPUTED_VALUE"""),45949.25556488047)</f>
        <v>45949.25556</v>
      </c>
      <c r="K625" s="4">
        <f>IFERROR(__xludf.DUMMYFUNCTION("""COMPUTED_VALUE"""),45949.27856852095)</f>
        <v>45949.27857</v>
      </c>
      <c r="L625" s="4">
        <f>IFERROR(__xludf.DUMMYFUNCTION("""COMPUTED_VALUE"""),45949.28522032565)</f>
        <v>45949.28522</v>
      </c>
      <c r="M625" s="1" t="str">
        <f>IFERROR(__xludf.DUMMYFUNCTION("""COMPUTED_VALUE"""),"RFID")</f>
        <v>RFID</v>
      </c>
      <c r="N625" s="5">
        <f>IFERROR(__xludf.DUMMYFUNCTION("""COMPUTED_VALUE"""),0.003641212962962963)</f>
        <v>0.003641212963</v>
      </c>
      <c r="O625" s="5">
        <f>IFERROR(__xludf.DUMMYFUNCTION("""COMPUTED_VALUE"""),0.009201458333333334)</f>
        <v>0.009201458333</v>
      </c>
      <c r="P625" s="5">
        <f>IFERROR(__xludf.DUMMYFUNCTION("""COMPUTED_VALUE"""),0.0027373681872998796)</f>
        <v>0.002737368187</v>
      </c>
      <c r="Q625" s="5">
        <f>IFERROR(__xludf.DUMMYFUNCTION("""COMPUTED_VALUE"""),0.0038758472222222224)</f>
        <v>0.003875847222</v>
      </c>
      <c r="R625" s="4">
        <f>IFERROR(__xludf.DUMMYFUNCTION("""COMPUTED_VALUE"""),45949.0387584738)</f>
        <v>45949.03876</v>
      </c>
      <c r="S625" s="1" t="b">
        <f>IFERROR(__xludf.DUMMYFUNCTION("""COMPUTED_VALUE"""),TRUE)</f>
        <v>1</v>
      </c>
      <c r="T625" s="1" t="b">
        <f>IFERROR(__xludf.DUMMYFUNCTION("""COMPUTED_VALUE"""),FALSE)</f>
        <v>0</v>
      </c>
      <c r="U625" s="1" t="str">
        <f>IFERROR(__xludf.DUMMYFUNCTION("""COMPUTED_VALUE"""),"VALID")</f>
        <v>VALID</v>
      </c>
      <c r="V625" s="1">
        <f>IFERROR(__xludf.DUMMYFUNCTION("""COMPUTED_VALUE"""),79.0)</f>
        <v>79</v>
      </c>
      <c r="W625" s="1">
        <f>IFERROR(__xludf.DUMMYFUNCTION("""COMPUTED_VALUE"""),96.0)</f>
        <v>96</v>
      </c>
      <c r="X625" s="1">
        <f>IFERROR(__xludf.DUMMYFUNCTION("""COMPUTED_VALUE"""),913.0)</f>
        <v>913</v>
      </c>
      <c r="Y625" s="2"/>
      <c r="Z625" s="2"/>
    </row>
    <row r="626">
      <c r="A626" s="1">
        <f>IFERROR(__xludf.DUMMYFUNCTION("""COMPUTED_VALUE"""),625.0)</f>
        <v>625</v>
      </c>
      <c r="B626" s="1">
        <f>IFERROR(__xludf.DUMMYFUNCTION("""COMPUTED_VALUE"""),10505.0)</f>
        <v>10505</v>
      </c>
      <c r="C626" s="2" t="str">
        <f>IFERROR(__xludf.DUMMYFUNCTION("""COMPUTED_VALUE"""),"damar")</f>
        <v>damar</v>
      </c>
      <c r="D626" s="2" t="str">
        <f>IFERROR(__xludf.DUMMYFUNCTION("""COMPUTED_VALUE"""),"10KM OVERALL M")</f>
        <v>10KM OVERALL M</v>
      </c>
      <c r="E626" s="1">
        <f>IFERROR(__xludf.DUMMYFUNCTION("""COMPUTED_VALUE"""),1.0)</f>
        <v>1</v>
      </c>
      <c r="F626" s="1" t="str">
        <f>IFERROR(__xludf.DUMMYFUNCTION("""COMPUTED_VALUE"""),"Male")</f>
        <v>Male</v>
      </c>
      <c r="G626" s="4" t="b">
        <f>IFERROR(__xludf.DUMMYFUNCTION("""COMPUTED_VALUE"""),TRUE)</f>
        <v>1</v>
      </c>
      <c r="H626" s="4" t="b">
        <f>IFERROR(__xludf.DUMMYFUNCTION("""COMPUTED_VALUE"""),TRUE)</f>
        <v>1</v>
      </c>
      <c r="I626" s="4">
        <f>IFERROR(__xludf.DUMMYFUNCTION("""COMPUTED_VALUE"""),0.24646185185185185)</f>
        <v>0.2464618519</v>
      </c>
      <c r="J626" s="4">
        <f>IFERROR(__xludf.DUMMYFUNCTION("""COMPUTED_VALUE"""),45949.25867947486)</f>
        <v>45949.25868</v>
      </c>
      <c r="K626" s="4">
        <f>IFERROR(__xludf.DUMMYFUNCTION("""COMPUTED_VALUE"""),45949.287509358684)</f>
        <v>45949.28751</v>
      </c>
      <c r="L626" s="4">
        <f>IFERROR(__xludf.DUMMYFUNCTION("""COMPUTED_VALUE"""),45949.29694253372)</f>
        <v>45949.29694</v>
      </c>
      <c r="M626" s="1" t="str">
        <f>IFERROR(__xludf.DUMMYFUNCTION("""COMPUTED_VALUE"""),"RFID")</f>
        <v>RFID</v>
      </c>
      <c r="N626" s="5">
        <f>IFERROR(__xludf.DUMMYFUNCTION("""COMPUTED_VALUE"""),0.004887050925925926)</f>
        <v>0.004887050926</v>
      </c>
      <c r="O626" s="5">
        <f>IFERROR(__xludf.DUMMYFUNCTION("""COMPUTED_VALUE"""),0.011531953703703704)</f>
        <v>0.0115319537</v>
      </c>
      <c r="P626" s="5">
        <f>IFERROR(__xludf.DUMMYFUNCTION("""COMPUTED_VALUE"""),0.0038819650357920644)</f>
        <v>0.003881965036</v>
      </c>
      <c r="Q626" s="5">
        <f>IFERROR(__xludf.DUMMYFUNCTION("""COMPUTED_VALUE"""),0.0050480682870370375)</f>
        <v>0.005048068287</v>
      </c>
      <c r="R626" s="4">
        <f>IFERROR(__xludf.DUMMYFUNCTION("""COMPUTED_VALUE"""),45949.05048068187)</f>
        <v>45949.05048</v>
      </c>
      <c r="S626" s="1" t="b">
        <f>IFERROR(__xludf.DUMMYFUNCTION("""COMPUTED_VALUE"""),TRUE)</f>
        <v>1</v>
      </c>
      <c r="T626" s="1" t="b">
        <f>IFERROR(__xludf.DUMMYFUNCTION("""COMPUTED_VALUE"""),FALSE)</f>
        <v>0</v>
      </c>
      <c r="U626" s="1" t="str">
        <f>IFERROR(__xludf.DUMMYFUNCTION("""COMPUTED_VALUE"""),"VALID")</f>
        <v>VALID</v>
      </c>
      <c r="V626" s="1">
        <f>IFERROR(__xludf.DUMMYFUNCTION("""COMPUTED_VALUE"""),352.0)</f>
        <v>352</v>
      </c>
      <c r="W626" s="1">
        <f>IFERROR(__xludf.DUMMYFUNCTION("""COMPUTED_VALUE"""),416.0)</f>
        <v>416</v>
      </c>
      <c r="X626" s="1">
        <f>IFERROR(__xludf.DUMMYFUNCTION("""COMPUTED_VALUE"""),1396.0)</f>
        <v>1396</v>
      </c>
      <c r="Y626" s="2"/>
      <c r="Z626" s="2"/>
    </row>
    <row r="627">
      <c r="A627" s="1">
        <f>IFERROR(__xludf.DUMMYFUNCTION("""COMPUTED_VALUE"""),626.0)</f>
        <v>626</v>
      </c>
      <c r="B627" s="1">
        <f>IFERROR(__xludf.DUMMYFUNCTION("""COMPUTED_VALUE"""),10506.0)</f>
        <v>10506</v>
      </c>
      <c r="C627" s="2" t="str">
        <f>IFERROR(__xludf.DUMMYFUNCTION("""COMPUTED_VALUE"""),"aldo")</f>
        <v>aldo</v>
      </c>
      <c r="D627" s="2" t="str">
        <f>IFERROR(__xludf.DUMMYFUNCTION("""COMPUTED_VALUE"""),"10KM OVERALL M")</f>
        <v>10KM OVERALL M</v>
      </c>
      <c r="E627" s="1">
        <f>IFERROR(__xludf.DUMMYFUNCTION("""COMPUTED_VALUE"""),1.0)</f>
        <v>1</v>
      </c>
      <c r="F627" s="1" t="str">
        <f>IFERROR(__xludf.DUMMYFUNCTION("""COMPUTED_VALUE"""),"Male")</f>
        <v>Male</v>
      </c>
      <c r="G627" s="4" t="b">
        <f>IFERROR(__xludf.DUMMYFUNCTION("""COMPUTED_VALUE"""),TRUE)</f>
        <v>1</v>
      </c>
      <c r="H627" s="4" t="b">
        <f>IFERROR(__xludf.DUMMYFUNCTION("""COMPUTED_VALUE"""),TRUE)</f>
        <v>1</v>
      </c>
      <c r="I627" s="4">
        <f>IFERROR(__xludf.DUMMYFUNCTION("""COMPUTED_VALUE"""),0.24646185185185185)</f>
        <v>0.2464618519</v>
      </c>
      <c r="J627" s="4">
        <f>IFERROR(__xludf.DUMMYFUNCTION("""COMPUTED_VALUE"""),45949.25866215552)</f>
        <v>45949.25866</v>
      </c>
      <c r="K627" s="4">
        <f>IFERROR(__xludf.DUMMYFUNCTION("""COMPUTED_VALUE"""),45949.28748852383)</f>
        <v>45949.28749</v>
      </c>
      <c r="L627" s="4">
        <f>IFERROR(__xludf.DUMMYFUNCTION("""COMPUTED_VALUE"""),45949.295407815756)</f>
        <v>45949.29541</v>
      </c>
      <c r="M627" s="1" t="str">
        <f>IFERROR(__xludf.DUMMYFUNCTION("""COMPUTED_VALUE"""),"RFID")</f>
        <v>RFID</v>
      </c>
      <c r="N627" s="5">
        <f>IFERROR(__xludf.DUMMYFUNCTION("""COMPUTED_VALUE"""),0.00488012037037037)</f>
        <v>0.00488012037</v>
      </c>
      <c r="O627" s="5">
        <f>IFERROR(__xludf.DUMMYFUNCTION("""COMPUTED_VALUE"""),0.011530546296296296)</f>
        <v>0.0115305463</v>
      </c>
      <c r="P627" s="5">
        <f>IFERROR(__xludf.DUMMYFUNCTION("""COMPUTED_VALUE"""),0.003258967872133187)</f>
        <v>0.003258967872</v>
      </c>
      <c r="Q627" s="5">
        <f>IFERROR(__xludf.DUMMYFUNCTION("""COMPUTED_VALUE"""),0.004894596064814814)</f>
        <v>0.004894596065</v>
      </c>
      <c r="R627" s="4">
        <f>IFERROR(__xludf.DUMMYFUNCTION("""COMPUTED_VALUE"""),45949.04894596391)</f>
        <v>45949.04895</v>
      </c>
      <c r="S627" s="1" t="b">
        <f>IFERROR(__xludf.DUMMYFUNCTION("""COMPUTED_VALUE"""),TRUE)</f>
        <v>1</v>
      </c>
      <c r="T627" s="1" t="b">
        <f>IFERROR(__xludf.DUMMYFUNCTION("""COMPUTED_VALUE"""),FALSE)</f>
        <v>0</v>
      </c>
      <c r="U627" s="1" t="str">
        <f>IFERROR(__xludf.DUMMYFUNCTION("""COMPUTED_VALUE"""),"VALID")</f>
        <v>VALID</v>
      </c>
      <c r="V627" s="1">
        <f>IFERROR(__xludf.DUMMYFUNCTION("""COMPUTED_VALUE"""),309.0)</f>
        <v>309</v>
      </c>
      <c r="W627" s="1">
        <f>IFERROR(__xludf.DUMMYFUNCTION("""COMPUTED_VALUE"""),365.0)</f>
        <v>365</v>
      </c>
      <c r="X627" s="1">
        <f>IFERROR(__xludf.DUMMYFUNCTION("""COMPUTED_VALUE"""),1338.0)</f>
        <v>1338</v>
      </c>
      <c r="Y627" s="2"/>
      <c r="Z627" s="2"/>
    </row>
    <row r="628">
      <c r="A628" s="1">
        <f>IFERROR(__xludf.DUMMYFUNCTION("""COMPUTED_VALUE"""),627.0)</f>
        <v>627</v>
      </c>
      <c r="B628" s="1">
        <f>IFERROR(__xludf.DUMMYFUNCTION("""COMPUTED_VALUE"""),10507.0)</f>
        <v>10507</v>
      </c>
      <c r="C628" s="2" t="str">
        <f>IFERROR(__xludf.DUMMYFUNCTION("""COMPUTED_VALUE"""),"Nabiel Goaaa")</f>
        <v>Nabiel Goaaa</v>
      </c>
      <c r="D628" s="2" t="str">
        <f>IFERROR(__xludf.DUMMYFUNCTION("""COMPUTED_VALUE"""),"10KM OVERALL M")</f>
        <v>10KM OVERALL M</v>
      </c>
      <c r="E628" s="1">
        <f>IFERROR(__xludf.DUMMYFUNCTION("""COMPUTED_VALUE"""),1.0)</f>
        <v>1</v>
      </c>
      <c r="F628" s="1" t="str">
        <f>IFERROR(__xludf.DUMMYFUNCTION("""COMPUTED_VALUE"""),"Male")</f>
        <v>Male</v>
      </c>
      <c r="G628" s="4" t="b">
        <f>IFERROR(__xludf.DUMMYFUNCTION("""COMPUTED_VALUE"""),TRUE)</f>
        <v>1</v>
      </c>
      <c r="H628" s="4" t="b">
        <f>IFERROR(__xludf.DUMMYFUNCTION("""COMPUTED_VALUE"""),FALSE)</f>
        <v>0</v>
      </c>
      <c r="I628" s="4">
        <f>IFERROR(__xludf.DUMMYFUNCTION("""COMPUTED_VALUE"""),0.24646185185185185)</f>
        <v>0.2464618519</v>
      </c>
      <c r="J628" s="4">
        <f>IFERROR(__xludf.DUMMYFUNCTION("""COMPUTED_VALUE"""),45949.254311462144)</f>
        <v>45949.25431</v>
      </c>
      <c r="K628" s="4">
        <f>IFERROR(__xludf.DUMMYFUNCTION("""COMPUTED_VALUE"""),45949.27774011344)</f>
        <v>45949.27774</v>
      </c>
      <c r="L628" s="4">
        <f>IFERROR(__xludf.DUMMYFUNCTION("""COMPUTED_VALUE"""),45949.28476197377)</f>
        <v>45949.28476</v>
      </c>
      <c r="M628" s="1" t="str">
        <f>IFERROR(__xludf.DUMMYFUNCTION("""COMPUTED_VALUE"""),"RFID")</f>
        <v>RFID</v>
      </c>
      <c r="N628" s="5">
        <f>IFERROR(__xludf.DUMMYFUNCTION("""COMPUTED_VALUE"""),0.0031398425925925925)</f>
        <v>0.003139842593</v>
      </c>
      <c r="O628" s="5">
        <f>IFERROR(__xludf.DUMMYFUNCTION("""COMPUTED_VALUE"""),0.009371458333333332)</f>
        <v>0.009371458333</v>
      </c>
      <c r="P628" s="5">
        <f>IFERROR(__xludf.DUMMYFUNCTION("""COMPUTED_VALUE"""),0.002889654459240137)</f>
        <v>0.002889654459</v>
      </c>
      <c r="Q628" s="5">
        <f>IFERROR(__xludf.DUMMYFUNCTION("""COMPUTED_VALUE"""),0.0038300127314814815)</f>
        <v>0.003830012731</v>
      </c>
      <c r="R628" s="4">
        <f>IFERROR(__xludf.DUMMYFUNCTION("""COMPUTED_VALUE"""),45949.03830012192)</f>
        <v>45949.0383</v>
      </c>
      <c r="S628" s="1" t="b">
        <f>IFERROR(__xludf.DUMMYFUNCTION("""COMPUTED_VALUE"""),TRUE)</f>
        <v>1</v>
      </c>
      <c r="T628" s="1" t="b">
        <f>IFERROR(__xludf.DUMMYFUNCTION("""COMPUTED_VALUE"""),FALSE)</f>
        <v>0</v>
      </c>
      <c r="U628" s="1" t="str">
        <f>IFERROR(__xludf.DUMMYFUNCTION("""COMPUTED_VALUE"""),"VALID")</f>
        <v>VALID</v>
      </c>
      <c r="V628" s="1">
        <f>IFERROR(__xludf.DUMMYFUNCTION("""COMPUTED_VALUE"""),74.0)</f>
        <v>74</v>
      </c>
      <c r="W628" s="1">
        <f>IFERROR(__xludf.DUMMYFUNCTION("""COMPUTED_VALUE"""),88.0)</f>
        <v>88</v>
      </c>
      <c r="X628" s="1">
        <f>IFERROR(__xludf.DUMMYFUNCTION("""COMPUTED_VALUE"""),891.0)</f>
        <v>891</v>
      </c>
      <c r="Y628" s="2"/>
      <c r="Z628" s="2"/>
    </row>
    <row r="629">
      <c r="A629" s="1">
        <f>IFERROR(__xludf.DUMMYFUNCTION("""COMPUTED_VALUE"""),628.0)</f>
        <v>628</v>
      </c>
      <c r="B629" s="1">
        <f>IFERROR(__xludf.DUMMYFUNCTION("""COMPUTED_VALUE"""),10508.0)</f>
        <v>10508</v>
      </c>
      <c r="C629" s="2" t="str">
        <f>IFERROR(__xludf.DUMMYFUNCTION("""COMPUTED_VALUE"""),"ZAIN REYHAN")</f>
        <v>ZAIN REYHAN</v>
      </c>
      <c r="D629" s="2" t="str">
        <f>IFERROR(__xludf.DUMMYFUNCTION("""COMPUTED_VALUE"""),"10KM OVERALL M")</f>
        <v>10KM OVERALL M</v>
      </c>
      <c r="E629" s="1">
        <f>IFERROR(__xludf.DUMMYFUNCTION("""COMPUTED_VALUE"""),1.0)</f>
        <v>1</v>
      </c>
      <c r="F629" s="1" t="str">
        <f>IFERROR(__xludf.DUMMYFUNCTION("""COMPUTED_VALUE"""),"Male")</f>
        <v>Male</v>
      </c>
      <c r="G629" s="4" t="b">
        <f>IFERROR(__xludf.DUMMYFUNCTION("""COMPUTED_VALUE"""),TRUE)</f>
        <v>1</v>
      </c>
      <c r="H629" s="4" t="b">
        <f>IFERROR(__xludf.DUMMYFUNCTION("""COMPUTED_VALUE"""),TRUE)</f>
        <v>1</v>
      </c>
      <c r="I629" s="4">
        <f>IFERROR(__xludf.DUMMYFUNCTION("""COMPUTED_VALUE"""),0.24646185185185185)</f>
        <v>0.2464618519</v>
      </c>
      <c r="J629" s="4">
        <f>IFERROR(__xludf.DUMMYFUNCTION("""COMPUTED_VALUE"""),45949.25788433596)</f>
        <v>45949.25788</v>
      </c>
      <c r="K629" s="4">
        <f>IFERROR(__xludf.DUMMYFUNCTION("""COMPUTED_VALUE"""),45949.28684269862)</f>
        <v>45949.28684</v>
      </c>
      <c r="L629" s="4">
        <f>IFERROR(__xludf.DUMMYFUNCTION("""COMPUTED_VALUE"""),45949.29532442775)</f>
        <v>45949.29532</v>
      </c>
      <c r="M629" s="1" t="str">
        <f>IFERROR(__xludf.DUMMYFUNCTION("""COMPUTED_VALUE"""),"RFID")</f>
        <v>RFID</v>
      </c>
      <c r="N629" s="5">
        <f>IFERROR(__xludf.DUMMYFUNCTION("""COMPUTED_VALUE"""),0.004568995370370371)</f>
        <v>0.00456899537</v>
      </c>
      <c r="O629" s="5">
        <f>IFERROR(__xludf.DUMMYFUNCTION("""COMPUTED_VALUE"""),0.011583347222222224)</f>
        <v>0.01158334722</v>
      </c>
      <c r="P629" s="5">
        <f>IFERROR(__xludf.DUMMYFUNCTION("""COMPUTED_VALUE"""),0.0034904235125032593)</f>
        <v>0.003490423513</v>
      </c>
      <c r="Q629" s="5">
        <f>IFERROR(__xludf.DUMMYFUNCTION("""COMPUTED_VALUE"""),0.004886258101851852)</f>
        <v>0.004886258102</v>
      </c>
      <c r="R629" s="4">
        <f>IFERROR(__xludf.DUMMYFUNCTION("""COMPUTED_VALUE"""),45949.0488625759)</f>
        <v>45949.04886</v>
      </c>
      <c r="S629" s="1" t="b">
        <f>IFERROR(__xludf.DUMMYFUNCTION("""COMPUTED_VALUE"""),TRUE)</f>
        <v>1</v>
      </c>
      <c r="T629" s="1" t="b">
        <f>IFERROR(__xludf.DUMMYFUNCTION("""COMPUTED_VALUE"""),FALSE)</f>
        <v>0</v>
      </c>
      <c r="U629" s="1" t="str">
        <f>IFERROR(__xludf.DUMMYFUNCTION("""COMPUTED_VALUE"""),"VALID")</f>
        <v>VALID</v>
      </c>
      <c r="V629" s="1">
        <f>IFERROR(__xludf.DUMMYFUNCTION("""COMPUTED_VALUE"""),304.0)</f>
        <v>304</v>
      </c>
      <c r="W629" s="1">
        <f>IFERROR(__xludf.DUMMYFUNCTION("""COMPUTED_VALUE"""),360.0)</f>
        <v>360</v>
      </c>
      <c r="X629" s="1">
        <f>IFERROR(__xludf.DUMMYFUNCTION("""COMPUTED_VALUE"""),1333.0)</f>
        <v>1333</v>
      </c>
      <c r="Y629" s="2"/>
      <c r="Z629" s="2"/>
    </row>
    <row r="630">
      <c r="A630" s="1">
        <f>IFERROR(__xludf.DUMMYFUNCTION("""COMPUTED_VALUE"""),629.0)</f>
        <v>629</v>
      </c>
      <c r="B630" s="1">
        <f>IFERROR(__xludf.DUMMYFUNCTION("""COMPUTED_VALUE"""),10509.0)</f>
        <v>10509</v>
      </c>
      <c r="C630" s="2" t="str">
        <f>IFERROR(__xludf.DUMMYFUNCTION("""COMPUTED_VALUE"""),"Rojer Rahman")</f>
        <v>Rojer Rahman</v>
      </c>
      <c r="D630" s="2" t="str">
        <f>IFERROR(__xludf.DUMMYFUNCTION("""COMPUTED_VALUE"""),"10KM OVERALL M")</f>
        <v>10KM OVERALL M</v>
      </c>
      <c r="E630" s="1">
        <f>IFERROR(__xludf.DUMMYFUNCTION("""COMPUTED_VALUE"""),1.0)</f>
        <v>1</v>
      </c>
      <c r="F630" s="1" t="str">
        <f>IFERROR(__xludf.DUMMYFUNCTION("""COMPUTED_VALUE"""),"Male")</f>
        <v>Male</v>
      </c>
      <c r="G630" s="4" t="b">
        <f>IFERROR(__xludf.DUMMYFUNCTION("""COMPUTED_VALUE"""),TRUE)</f>
        <v>1</v>
      </c>
      <c r="H630" s="4" t="b">
        <f>IFERROR(__xludf.DUMMYFUNCTION("""COMPUTED_VALUE"""),TRUE)</f>
        <v>1</v>
      </c>
      <c r="I630" s="4">
        <f>IFERROR(__xludf.DUMMYFUNCTION("""COMPUTED_VALUE"""),0.24646185185185185)</f>
        <v>0.2464618519</v>
      </c>
      <c r="J630" s="4">
        <f>IFERROR(__xludf.DUMMYFUNCTION("""COMPUTED_VALUE"""),45949.260016323904)</f>
        <v>45949.26002</v>
      </c>
      <c r="K630" s="4">
        <f>IFERROR(__xludf.DUMMYFUNCTION("""COMPUTED_VALUE"""),45949.28960648148)</f>
        <v>45949.28961</v>
      </c>
      <c r="L630" s="4">
        <f>IFERROR(__xludf.DUMMYFUNCTION("""COMPUTED_VALUE"""),45949.29795295109)</f>
        <v>45949.29795</v>
      </c>
      <c r="M630" s="1" t="str">
        <f>IFERROR(__xludf.DUMMYFUNCTION("""COMPUTED_VALUE"""),"RFID")</f>
        <v>RFID</v>
      </c>
      <c r="N630" s="5">
        <f>IFERROR(__xludf.DUMMYFUNCTION("""COMPUTED_VALUE"""),0.005421787037037037)</f>
        <v>0.005421787037</v>
      </c>
      <c r="O630" s="5">
        <f>IFERROR(__xludf.DUMMYFUNCTION("""COMPUTED_VALUE"""),0.011836064814814817)</f>
        <v>0.01183606481</v>
      </c>
      <c r="P630" s="5">
        <f>IFERROR(__xludf.DUMMYFUNCTION("""COMPUTED_VALUE"""),0.0034347611582222866)</f>
        <v>0.003434761158</v>
      </c>
      <c r="Q630" s="5">
        <f>IFERROR(__xludf.DUMMYFUNCTION("""COMPUTED_VALUE"""),0.0051491099537037035)</f>
        <v>0.005149109954</v>
      </c>
      <c r="R630" s="4">
        <f>IFERROR(__xludf.DUMMYFUNCTION("""COMPUTED_VALUE"""),45949.05149109924)</f>
        <v>45949.05149</v>
      </c>
      <c r="S630" s="1" t="b">
        <f>IFERROR(__xludf.DUMMYFUNCTION("""COMPUTED_VALUE"""),TRUE)</f>
        <v>1</v>
      </c>
      <c r="T630" s="1" t="b">
        <f>IFERROR(__xludf.DUMMYFUNCTION("""COMPUTED_VALUE"""),FALSE)</f>
        <v>0</v>
      </c>
      <c r="U630" s="1" t="str">
        <f>IFERROR(__xludf.DUMMYFUNCTION("""COMPUTED_VALUE"""),"VALID")</f>
        <v>VALID</v>
      </c>
      <c r="V630" s="1">
        <f>IFERROR(__xludf.DUMMYFUNCTION("""COMPUTED_VALUE"""),375.0)</f>
        <v>375</v>
      </c>
      <c r="W630" s="1">
        <f>IFERROR(__xludf.DUMMYFUNCTION("""COMPUTED_VALUE"""),443.0)</f>
        <v>443</v>
      </c>
      <c r="X630" s="1">
        <f>IFERROR(__xludf.DUMMYFUNCTION("""COMPUTED_VALUE"""),1422.0)</f>
        <v>1422</v>
      </c>
      <c r="Y630" s="2"/>
      <c r="Z630" s="2"/>
    </row>
    <row r="631">
      <c r="A631" s="1">
        <f>IFERROR(__xludf.DUMMYFUNCTION("""COMPUTED_VALUE"""),630.0)</f>
        <v>630</v>
      </c>
      <c r="B631" s="1">
        <f>IFERROR(__xludf.DUMMYFUNCTION("""COMPUTED_VALUE"""),10510.0)</f>
        <v>10510</v>
      </c>
      <c r="C631" s="2" t="str">
        <f>IFERROR(__xludf.DUMMYFUNCTION("""COMPUTED_VALUE"""),"M.Mukholik")</f>
        <v>M.Mukholik</v>
      </c>
      <c r="D631" s="2" t="str">
        <f>IFERROR(__xludf.DUMMYFUNCTION("""COMPUTED_VALUE"""),"10KM OVERALL M")</f>
        <v>10KM OVERALL M</v>
      </c>
      <c r="E631" s="1">
        <f>IFERROR(__xludf.DUMMYFUNCTION("""COMPUTED_VALUE"""),1.0)</f>
        <v>1</v>
      </c>
      <c r="F631" s="1" t="str">
        <f>IFERROR(__xludf.DUMMYFUNCTION("""COMPUTED_VALUE"""),"Male")</f>
        <v>Male</v>
      </c>
      <c r="G631" s="4" t="b">
        <f>IFERROR(__xludf.DUMMYFUNCTION("""COMPUTED_VALUE"""),TRUE)</f>
        <v>1</v>
      </c>
      <c r="H631" s="4" t="b">
        <f>IFERROR(__xludf.DUMMYFUNCTION("""COMPUTED_VALUE"""),TRUE)</f>
        <v>1</v>
      </c>
      <c r="I631" s="4">
        <f>IFERROR(__xludf.DUMMYFUNCTION("""COMPUTED_VALUE"""),0.24646185185185185)</f>
        <v>0.2464618519</v>
      </c>
      <c r="J631" s="4">
        <f>IFERROR(__xludf.DUMMYFUNCTION("""COMPUTED_VALUE"""),45949.25762048827)</f>
        <v>45949.25762</v>
      </c>
      <c r="K631" s="4">
        <f>IFERROR(__xludf.DUMMYFUNCTION("""COMPUTED_VALUE"""),45949.284519769935)</f>
        <v>45949.28452</v>
      </c>
      <c r="L631" s="4">
        <f>IFERROR(__xludf.DUMMYFUNCTION("""COMPUTED_VALUE"""),45949.292334900914)</f>
        <v>45949.29233</v>
      </c>
      <c r="M631" s="1" t="str">
        <f>IFERROR(__xludf.DUMMYFUNCTION("""COMPUTED_VALUE"""),"RFID")</f>
        <v>RFID</v>
      </c>
      <c r="N631" s="5">
        <f>IFERROR(__xludf.DUMMYFUNCTION("""COMPUTED_VALUE"""),0.004463453703703704)</f>
        <v>0.004463453704</v>
      </c>
      <c r="O631" s="5">
        <f>IFERROR(__xludf.DUMMYFUNCTION("""COMPUTED_VALUE"""),0.010759712962962962)</f>
        <v>0.01075971296</v>
      </c>
      <c r="P631" s="5">
        <f>IFERROR(__xludf.DUMMYFUNCTION("""COMPUTED_VALUE"""),0.003216103283537996)</f>
        <v>0.003216103284</v>
      </c>
      <c r="Q631" s="5">
        <f>IFERROR(__xludf.DUMMYFUNCTION("""COMPUTED_VALUE"""),0.0045873043981481485)</f>
        <v>0.004587304398</v>
      </c>
      <c r="R631" s="4">
        <f>IFERROR(__xludf.DUMMYFUNCTION("""COMPUTED_VALUE"""),45949.045873049065)</f>
        <v>45949.04587</v>
      </c>
      <c r="S631" s="1" t="b">
        <f>IFERROR(__xludf.DUMMYFUNCTION("""COMPUTED_VALUE"""),TRUE)</f>
        <v>1</v>
      </c>
      <c r="T631" s="1" t="b">
        <f>IFERROR(__xludf.DUMMYFUNCTION("""COMPUTED_VALUE"""),FALSE)</f>
        <v>0</v>
      </c>
      <c r="U631" s="1" t="str">
        <f>IFERROR(__xludf.DUMMYFUNCTION("""COMPUTED_VALUE"""),"VALID")</f>
        <v>VALID</v>
      </c>
      <c r="V631" s="1">
        <f>IFERROR(__xludf.DUMMYFUNCTION("""COMPUTED_VALUE"""),238.0)</f>
        <v>238</v>
      </c>
      <c r="W631" s="1">
        <f>IFERROR(__xludf.DUMMYFUNCTION("""COMPUTED_VALUE"""),286.0)</f>
        <v>286</v>
      </c>
      <c r="X631" s="1">
        <f>IFERROR(__xludf.DUMMYFUNCTION("""COMPUTED_VALUE"""),1233.0)</f>
        <v>1233</v>
      </c>
      <c r="Y631" s="2"/>
      <c r="Z631" s="2"/>
    </row>
    <row r="632">
      <c r="A632" s="1">
        <f>IFERROR(__xludf.DUMMYFUNCTION("""COMPUTED_VALUE"""),631.0)</f>
        <v>631</v>
      </c>
      <c r="B632" s="1">
        <f>IFERROR(__xludf.DUMMYFUNCTION("""COMPUTED_VALUE"""),10511.0)</f>
        <v>10511</v>
      </c>
      <c r="C632" s="2" t="str">
        <f>IFERROR(__xludf.DUMMYFUNCTION("""COMPUTED_VALUE"""),"idoyperdana")</f>
        <v>idoyperdana</v>
      </c>
      <c r="D632" s="2" t="str">
        <f>IFERROR(__xludf.DUMMYFUNCTION("""COMPUTED_VALUE"""),"10KM OVERALL M")</f>
        <v>10KM OVERALL M</v>
      </c>
      <c r="E632" s="1">
        <f>IFERROR(__xludf.DUMMYFUNCTION("""COMPUTED_VALUE"""),1.0)</f>
        <v>1</v>
      </c>
      <c r="F632" s="1" t="str">
        <f>IFERROR(__xludf.DUMMYFUNCTION("""COMPUTED_VALUE"""),"Male")</f>
        <v>Male</v>
      </c>
      <c r="G632" s="4" t="str">
        <f>IFERROR(__xludf.DUMMYFUNCTION("""COMPUTED_VALUE"""),"")</f>
        <v/>
      </c>
      <c r="H632" s="4" t="b">
        <f>IFERROR(__xludf.DUMMYFUNCTION("""COMPUTED_VALUE"""),TRUE)</f>
        <v>1</v>
      </c>
      <c r="I632" s="4">
        <f>IFERROR(__xludf.DUMMYFUNCTION("""COMPUTED_VALUE"""),0.24646185185185185)</f>
        <v>0.2464618519</v>
      </c>
      <c r="J632" s="4">
        <f>IFERROR(__xludf.DUMMYFUNCTION("""COMPUTED_VALUE"""),45949.26025237769)</f>
        <v>45949.26025</v>
      </c>
      <c r="K632" s="4">
        <f>IFERROR(__xludf.DUMMYFUNCTION("""COMPUTED_VALUE"""),45949.295106812286)</f>
        <v>45949.29511</v>
      </c>
      <c r="L632" s="4">
        <f>IFERROR(__xludf.DUMMYFUNCTION("""COMPUTED_VALUE"""),45949.305418239936)</f>
        <v>45949.30542</v>
      </c>
      <c r="M632" s="1" t="str">
        <f>IFERROR(__xludf.DUMMYFUNCTION("""COMPUTED_VALUE"""),"RFID")</f>
        <v>RFID</v>
      </c>
      <c r="N632" s="5">
        <f>IFERROR(__xludf.DUMMYFUNCTION("""COMPUTED_VALUE"""),0.005516208333333333)</f>
        <v>0.005516208333</v>
      </c>
      <c r="O632" s="5">
        <f>IFERROR(__xludf.DUMMYFUNCTION("""COMPUTED_VALUE"""),0.013941773148148148)</f>
        <v>0.01394177315</v>
      </c>
      <c r="P632" s="5">
        <f>IFERROR(__xludf.DUMMYFUNCTION("""COMPUTED_VALUE"""),0.004243385864142903)</f>
        <v>0.004243385864</v>
      </c>
      <c r="Q632" s="5">
        <f>IFERROR(__xludf.DUMMYFUNCTION("""COMPUTED_VALUE"""),0.0058956388888888895)</f>
        <v>0.005895638889</v>
      </c>
      <c r="R632" s="4">
        <f>IFERROR(__xludf.DUMMYFUNCTION("""COMPUTED_VALUE"""),45949.058956388086)</f>
        <v>45949.05896</v>
      </c>
      <c r="S632" s="1" t="b">
        <f>IFERROR(__xludf.DUMMYFUNCTION("""COMPUTED_VALUE"""),TRUE)</f>
        <v>1</v>
      </c>
      <c r="T632" s="1" t="b">
        <f>IFERROR(__xludf.DUMMYFUNCTION("""COMPUTED_VALUE"""),FALSE)</f>
        <v>0</v>
      </c>
      <c r="U632" s="1" t="str">
        <f>IFERROR(__xludf.DUMMYFUNCTION("""COMPUTED_VALUE"""),"VALID")</f>
        <v>VALID</v>
      </c>
      <c r="V632" s="1">
        <f>IFERROR(__xludf.DUMMYFUNCTION("""COMPUTED_VALUE"""),522.0)</f>
        <v>522</v>
      </c>
      <c r="W632" s="1">
        <f>IFERROR(__xludf.DUMMYFUNCTION("""COMPUTED_VALUE"""),635.0)</f>
        <v>635</v>
      </c>
      <c r="X632" s="1">
        <f>IFERROR(__xludf.DUMMYFUNCTION("""COMPUTED_VALUE"""),1596.0)</f>
        <v>1596</v>
      </c>
      <c r="Y632" s="2"/>
      <c r="Z632" s="2"/>
    </row>
    <row r="633">
      <c r="A633" s="1">
        <f>IFERROR(__xludf.DUMMYFUNCTION("""COMPUTED_VALUE"""),632.0)</f>
        <v>632</v>
      </c>
      <c r="B633" s="1">
        <f>IFERROR(__xludf.DUMMYFUNCTION("""COMPUTED_VALUE"""),10512.0)</f>
        <v>10512</v>
      </c>
      <c r="C633" s="2" t="str">
        <f>IFERROR(__xludf.DUMMYFUNCTION("""COMPUTED_VALUE"""),"Najmi")</f>
        <v>Najmi</v>
      </c>
      <c r="D633" s="2" t="str">
        <f>IFERROR(__xludf.DUMMYFUNCTION("""COMPUTED_VALUE"""),"10KM OVERALL M")</f>
        <v>10KM OVERALL M</v>
      </c>
      <c r="E633" s="1">
        <f>IFERROR(__xludf.DUMMYFUNCTION("""COMPUTED_VALUE"""),1.0)</f>
        <v>1</v>
      </c>
      <c r="F633" s="1" t="str">
        <f>IFERROR(__xludf.DUMMYFUNCTION("""COMPUTED_VALUE"""),"Male")</f>
        <v>Male</v>
      </c>
      <c r="G633" s="4" t="b">
        <f>IFERROR(__xludf.DUMMYFUNCTION("""COMPUTED_VALUE"""),TRUE)</f>
        <v>1</v>
      </c>
      <c r="H633" s="4" t="b">
        <f>IFERROR(__xludf.DUMMYFUNCTION("""COMPUTED_VALUE"""),TRUE)</f>
        <v>1</v>
      </c>
      <c r="I633" s="4">
        <f>IFERROR(__xludf.DUMMYFUNCTION("""COMPUTED_VALUE"""),0.24646185185185185)</f>
        <v>0.2464618519</v>
      </c>
      <c r="J633" s="4">
        <f>IFERROR(__xludf.DUMMYFUNCTION("""COMPUTED_VALUE"""),45949.259519739186)</f>
        <v>45949.25952</v>
      </c>
      <c r="K633" s="4">
        <f>IFERROR(__xludf.DUMMYFUNCTION("""COMPUTED_VALUE"""),45949.296481756865)</f>
        <v>45949.29648</v>
      </c>
      <c r="L633" s="4">
        <f>IFERROR(__xludf.DUMMYFUNCTION("""COMPUTED_VALUE"""),45949.30630712028)</f>
        <v>45949.30631</v>
      </c>
      <c r="M633" s="1" t="str">
        <f>IFERROR(__xludf.DUMMYFUNCTION("""COMPUTED_VALUE"""),"RFID")</f>
        <v>RFID</v>
      </c>
      <c r="N633" s="5">
        <f>IFERROR(__xludf.DUMMYFUNCTION("""COMPUTED_VALUE"""),0.005223152777777778)</f>
        <v>0.005223152778</v>
      </c>
      <c r="O633" s="5">
        <f>IFERROR(__xludf.DUMMYFUNCTION("""COMPUTED_VALUE"""),0.014784805555555555)</f>
        <v>0.01478480556</v>
      </c>
      <c r="P633" s="5">
        <f>IFERROR(__xludf.DUMMYFUNCTION("""COMPUTED_VALUE"""),0.004043359429323509)</f>
        <v>0.004043359429</v>
      </c>
      <c r="Q633" s="5">
        <f>IFERROR(__xludf.DUMMYFUNCTION("""COMPUTED_VALUE"""),0.005984526620370371)</f>
        <v>0.00598452662</v>
      </c>
      <c r="R633" s="4">
        <f>IFERROR(__xludf.DUMMYFUNCTION("""COMPUTED_VALUE"""),45949.05984526843)</f>
        <v>45949.05985</v>
      </c>
      <c r="S633" s="1" t="b">
        <f>IFERROR(__xludf.DUMMYFUNCTION("""COMPUTED_VALUE"""),TRUE)</f>
        <v>1</v>
      </c>
      <c r="T633" s="1" t="b">
        <f>IFERROR(__xludf.DUMMYFUNCTION("""COMPUTED_VALUE"""),FALSE)</f>
        <v>0</v>
      </c>
      <c r="U633" s="1" t="str">
        <f>IFERROR(__xludf.DUMMYFUNCTION("""COMPUTED_VALUE"""),"VALID")</f>
        <v>VALID</v>
      </c>
      <c r="V633" s="1">
        <f>IFERROR(__xludf.DUMMYFUNCTION("""COMPUTED_VALUE"""),531.0)</f>
        <v>531</v>
      </c>
      <c r="W633" s="1">
        <f>IFERROR(__xludf.DUMMYFUNCTION("""COMPUTED_VALUE"""),653.0)</f>
        <v>653</v>
      </c>
      <c r="X633" s="1">
        <f>IFERROR(__xludf.DUMMYFUNCTION("""COMPUTED_VALUE"""),1605.0)</f>
        <v>1605</v>
      </c>
      <c r="Y633" s="2"/>
      <c r="Z633" s="2"/>
    </row>
    <row r="634">
      <c r="A634" s="1">
        <f>IFERROR(__xludf.DUMMYFUNCTION("""COMPUTED_VALUE"""),633.0)</f>
        <v>633</v>
      </c>
      <c r="B634" s="1">
        <f>IFERROR(__xludf.DUMMYFUNCTION("""COMPUTED_VALUE"""),10513.0)</f>
        <v>10513</v>
      </c>
      <c r="C634" s="2" t="str">
        <f>IFERROR(__xludf.DUMMYFUNCTION("""COMPUTED_VALUE"""),"ADE TRIYANTO")</f>
        <v>ADE TRIYANTO</v>
      </c>
      <c r="D634" s="2" t="str">
        <f>IFERROR(__xludf.DUMMYFUNCTION("""COMPUTED_VALUE"""),"10KM OVERALL M")</f>
        <v>10KM OVERALL M</v>
      </c>
      <c r="E634" s="1">
        <f>IFERROR(__xludf.DUMMYFUNCTION("""COMPUTED_VALUE"""),1.0)</f>
        <v>1</v>
      </c>
      <c r="F634" s="1" t="str">
        <f>IFERROR(__xludf.DUMMYFUNCTION("""COMPUTED_VALUE"""),"Male")</f>
        <v>Male</v>
      </c>
      <c r="G634" s="4" t="b">
        <f>IFERROR(__xludf.DUMMYFUNCTION("""COMPUTED_VALUE"""),TRUE)</f>
        <v>1</v>
      </c>
      <c r="H634" s="4" t="b">
        <f>IFERROR(__xludf.DUMMYFUNCTION("""COMPUTED_VALUE"""),TRUE)</f>
        <v>1</v>
      </c>
      <c r="I634" s="4">
        <f>IFERROR(__xludf.DUMMYFUNCTION("""COMPUTED_VALUE"""),0.24646185185185185)</f>
        <v>0.2464618519</v>
      </c>
      <c r="J634" s="4">
        <f>IFERROR(__xludf.DUMMYFUNCTION("""COMPUTED_VALUE"""),45949.255103078634)</f>
        <v>45949.2551</v>
      </c>
      <c r="K634" s="4">
        <f>IFERROR(__xludf.DUMMYFUNCTION("""COMPUTED_VALUE"""),45949.27588589132)</f>
        <v>45949.27589</v>
      </c>
      <c r="L634" s="4">
        <f>IFERROR(__xludf.DUMMYFUNCTION("""COMPUTED_VALUE"""),45949.28152239966)</f>
        <v>45949.28152</v>
      </c>
      <c r="M634" s="1" t="str">
        <f>IFERROR(__xludf.DUMMYFUNCTION("""COMPUTED_VALUE"""),"RFID")</f>
        <v>RFID</v>
      </c>
      <c r="N634" s="5">
        <f>IFERROR(__xludf.DUMMYFUNCTION("""COMPUTED_VALUE"""),0.0034564907407407404)</f>
        <v>0.003456490741</v>
      </c>
      <c r="O634" s="5">
        <f>IFERROR(__xludf.DUMMYFUNCTION("""COMPUTED_VALUE"""),0.008313125000000001)</f>
        <v>0.008313125</v>
      </c>
      <c r="P634" s="5">
        <f>IFERROR(__xludf.DUMMYFUNCTION("""COMPUTED_VALUE"""),0.0023195507557470536)</f>
        <v>0.002319550756</v>
      </c>
      <c r="Q634" s="5">
        <f>IFERROR(__xludf.DUMMYFUNCTION("""COMPUTED_VALUE"""),0.0035060543981481488)</f>
        <v>0.003506054398</v>
      </c>
      <c r="R634" s="4">
        <f>IFERROR(__xludf.DUMMYFUNCTION("""COMPUTED_VALUE"""),45949.03506054781)</f>
        <v>45949.03506</v>
      </c>
      <c r="S634" s="1" t="b">
        <f>IFERROR(__xludf.DUMMYFUNCTION("""COMPUTED_VALUE"""),TRUE)</f>
        <v>1</v>
      </c>
      <c r="T634" s="1" t="b">
        <f>IFERROR(__xludf.DUMMYFUNCTION("""COMPUTED_VALUE"""),FALSE)</f>
        <v>0</v>
      </c>
      <c r="U634" s="1" t="str">
        <f>IFERROR(__xludf.DUMMYFUNCTION("""COMPUTED_VALUE"""),"VALID")</f>
        <v>VALID</v>
      </c>
      <c r="V634" s="1">
        <f>IFERROR(__xludf.DUMMYFUNCTION("""COMPUTED_VALUE"""),31.0)</f>
        <v>31</v>
      </c>
      <c r="W634" s="1">
        <f>IFERROR(__xludf.DUMMYFUNCTION("""COMPUTED_VALUE"""),39.0)</f>
        <v>39</v>
      </c>
      <c r="X634" s="1">
        <f>IFERROR(__xludf.DUMMYFUNCTION("""COMPUTED_VALUE"""),727.0)</f>
        <v>727</v>
      </c>
      <c r="Y634" s="2"/>
      <c r="Z634" s="2"/>
    </row>
    <row r="635">
      <c r="A635" s="1">
        <f>IFERROR(__xludf.DUMMYFUNCTION("""COMPUTED_VALUE"""),634.0)</f>
        <v>634</v>
      </c>
      <c r="B635" s="1">
        <f>IFERROR(__xludf.DUMMYFUNCTION("""COMPUTED_VALUE"""),10515.0)</f>
        <v>10515</v>
      </c>
      <c r="C635" s="2" t="str">
        <f>IFERROR(__xludf.DUMMYFUNCTION("""COMPUTED_VALUE"""),"Achmad Muchlisin")</f>
        <v>Achmad Muchlisin</v>
      </c>
      <c r="D635" s="2" t="str">
        <f>IFERROR(__xludf.DUMMYFUNCTION("""COMPUTED_VALUE"""),"10KM OVERALL M")</f>
        <v>10KM OVERALL M</v>
      </c>
      <c r="E635" s="1">
        <f>IFERROR(__xludf.DUMMYFUNCTION("""COMPUTED_VALUE"""),1.0)</f>
        <v>1</v>
      </c>
      <c r="F635" s="1" t="str">
        <f>IFERROR(__xludf.DUMMYFUNCTION("""COMPUTED_VALUE"""),"Male")</f>
        <v>Male</v>
      </c>
      <c r="G635" s="4" t="b">
        <f>IFERROR(__xludf.DUMMYFUNCTION("""COMPUTED_VALUE"""),TRUE)</f>
        <v>1</v>
      </c>
      <c r="H635" s="4" t="b">
        <f>IFERROR(__xludf.DUMMYFUNCTION("""COMPUTED_VALUE"""),FALSE)</f>
        <v>0</v>
      </c>
      <c r="I635" s="4">
        <f>IFERROR(__xludf.DUMMYFUNCTION("""COMPUTED_VALUE"""),0.24646185185185185)</f>
        <v>0.2464618519</v>
      </c>
      <c r="J635" s="4">
        <f>IFERROR(__xludf.DUMMYFUNCTION("""COMPUTED_VALUE"""),45949.25525932106)</f>
        <v>45949.25526</v>
      </c>
      <c r="K635" s="4">
        <f>IFERROR(__xludf.DUMMYFUNCTION("""COMPUTED_VALUE"""),45949.28771772737)</f>
        <v>45949.28772</v>
      </c>
      <c r="L635" s="4">
        <f>IFERROR(__xludf.DUMMYFUNCTION("""COMPUTED_VALUE"""),45949.29805013496)</f>
        <v>45949.29805</v>
      </c>
      <c r="M635" s="1" t="str">
        <f>IFERROR(__xludf.DUMMYFUNCTION("""COMPUTED_VALUE"""),"RFID")</f>
        <v>RFID</v>
      </c>
      <c r="N635" s="5">
        <f>IFERROR(__xludf.DUMMYFUNCTION("""COMPUTED_VALUE"""),0.0035189861111111108)</f>
        <v>0.003518986111</v>
      </c>
      <c r="O635" s="5">
        <f>IFERROR(__xludf.DUMMYFUNCTION("""COMPUTED_VALUE"""),0.01298336111111111)</f>
        <v>0.01298336111</v>
      </c>
      <c r="P635" s="5">
        <f>IFERROR(__xludf.DUMMYFUNCTION("""COMPUTED_VALUE"""),0.004252019584314982)</f>
        <v>0.004252019584</v>
      </c>
      <c r="Q635" s="5">
        <f>IFERROR(__xludf.DUMMYFUNCTION("""COMPUTED_VALUE"""),0.005158828703703704)</f>
        <v>0.005158828704</v>
      </c>
      <c r="R635" s="4">
        <f>IFERROR(__xludf.DUMMYFUNCTION("""COMPUTED_VALUE"""),45949.05158828311)</f>
        <v>45949.05159</v>
      </c>
      <c r="S635" s="1" t="b">
        <f>IFERROR(__xludf.DUMMYFUNCTION("""COMPUTED_VALUE"""),TRUE)</f>
        <v>1</v>
      </c>
      <c r="T635" s="1" t="b">
        <f>IFERROR(__xludf.DUMMYFUNCTION("""COMPUTED_VALUE"""),FALSE)</f>
        <v>0</v>
      </c>
      <c r="U635" s="1" t="str">
        <f>IFERROR(__xludf.DUMMYFUNCTION("""COMPUTED_VALUE"""),"VALID")</f>
        <v>VALID</v>
      </c>
      <c r="V635" s="1">
        <f>IFERROR(__xludf.DUMMYFUNCTION("""COMPUTED_VALUE"""),378.0)</f>
        <v>378</v>
      </c>
      <c r="W635" s="1">
        <f>IFERROR(__xludf.DUMMYFUNCTION("""COMPUTED_VALUE"""),447.0)</f>
        <v>447</v>
      </c>
      <c r="X635" s="1">
        <f>IFERROR(__xludf.DUMMYFUNCTION("""COMPUTED_VALUE"""),1426.0)</f>
        <v>1426</v>
      </c>
      <c r="Y635" s="2"/>
      <c r="Z635" s="2"/>
    </row>
    <row r="636">
      <c r="A636" s="1">
        <f>IFERROR(__xludf.DUMMYFUNCTION("""COMPUTED_VALUE"""),635.0)</f>
        <v>635</v>
      </c>
      <c r="B636" s="1">
        <f>IFERROR(__xludf.DUMMYFUNCTION("""COMPUTED_VALUE"""),10516.0)</f>
        <v>10516</v>
      </c>
      <c r="C636" s="2" t="str">
        <f>IFERROR(__xludf.DUMMYFUNCTION("""COMPUTED_VALUE"""),"YADI")</f>
        <v>YADI</v>
      </c>
      <c r="D636" s="2" t="str">
        <f>IFERROR(__xludf.DUMMYFUNCTION("""COMPUTED_VALUE"""),"10KM OVERALL M")</f>
        <v>10KM OVERALL M</v>
      </c>
      <c r="E636" s="1">
        <f>IFERROR(__xludf.DUMMYFUNCTION("""COMPUTED_VALUE"""),1.0)</f>
        <v>1</v>
      </c>
      <c r="F636" s="1" t="str">
        <f>IFERROR(__xludf.DUMMYFUNCTION("""COMPUTED_VALUE"""),"Male")</f>
        <v>Male</v>
      </c>
      <c r="G636" s="4" t="b">
        <f>IFERROR(__xludf.DUMMYFUNCTION("""COMPUTED_VALUE"""),TRUE)</f>
        <v>1</v>
      </c>
      <c r="H636" s="4" t="b">
        <f>IFERROR(__xludf.DUMMYFUNCTION("""COMPUTED_VALUE"""),TRUE)</f>
        <v>1</v>
      </c>
      <c r="I636" s="4">
        <f>IFERROR(__xludf.DUMMYFUNCTION("""COMPUTED_VALUE"""),0.24646185185185185)</f>
        <v>0.2464618519</v>
      </c>
      <c r="J636" s="4">
        <f>IFERROR(__xludf.DUMMYFUNCTION("""COMPUTED_VALUE"""),45949.259644740356)</f>
        <v>45949.25964</v>
      </c>
      <c r="K636" s="4">
        <f>IFERROR(__xludf.DUMMYFUNCTION("""COMPUTED_VALUE"""),45949.2896412037)</f>
        <v>45949.28964</v>
      </c>
      <c r="L636" s="4">
        <f>IFERROR(__xludf.DUMMYFUNCTION("""COMPUTED_VALUE"""),45949.29775155745)</f>
        <v>45949.29775</v>
      </c>
      <c r="M636" s="1" t="str">
        <f>IFERROR(__xludf.DUMMYFUNCTION("""COMPUTED_VALUE"""),"RFID")</f>
        <v>RFID</v>
      </c>
      <c r="N636" s="5">
        <f>IFERROR(__xludf.DUMMYFUNCTION("""COMPUTED_VALUE"""),0.005273157407407407)</f>
        <v>0.005273157407</v>
      </c>
      <c r="O636" s="5">
        <f>IFERROR(__xludf.DUMMYFUNCTION("""COMPUTED_VALUE"""),0.011998583333333333)</f>
        <v>0.01199858333</v>
      </c>
      <c r="P636" s="5">
        <f>IFERROR(__xludf.DUMMYFUNCTION("""COMPUTED_VALUE"""),0.003337594136737532)</f>
        <v>0.003337594137</v>
      </c>
      <c r="Q636" s="5">
        <f>IFERROR(__xludf.DUMMYFUNCTION("""COMPUTED_VALUE"""),0.0051289710648148145)</f>
        <v>0.005128971065</v>
      </c>
      <c r="R636" s="4">
        <f>IFERROR(__xludf.DUMMYFUNCTION("""COMPUTED_VALUE"""),45949.0512897056)</f>
        <v>45949.05129</v>
      </c>
      <c r="S636" s="1" t="b">
        <f>IFERROR(__xludf.DUMMYFUNCTION("""COMPUTED_VALUE"""),TRUE)</f>
        <v>1</v>
      </c>
      <c r="T636" s="1" t="b">
        <f>IFERROR(__xludf.DUMMYFUNCTION("""COMPUTED_VALUE"""),FALSE)</f>
        <v>0</v>
      </c>
      <c r="U636" s="1" t="str">
        <f>IFERROR(__xludf.DUMMYFUNCTION("""COMPUTED_VALUE"""),"VALID")</f>
        <v>VALID</v>
      </c>
      <c r="V636" s="1">
        <f>IFERROR(__xludf.DUMMYFUNCTION("""COMPUTED_VALUE"""),372.0)</f>
        <v>372</v>
      </c>
      <c r="W636" s="1">
        <f>IFERROR(__xludf.DUMMYFUNCTION("""COMPUTED_VALUE"""),440.0)</f>
        <v>440</v>
      </c>
      <c r="X636" s="1">
        <f>IFERROR(__xludf.DUMMYFUNCTION("""COMPUTED_VALUE"""),1419.0)</f>
        <v>1419</v>
      </c>
      <c r="Y636" s="2"/>
      <c r="Z636" s="2"/>
    </row>
    <row r="637">
      <c r="A637" s="1">
        <f>IFERROR(__xludf.DUMMYFUNCTION("""COMPUTED_VALUE"""),636.0)</f>
        <v>636</v>
      </c>
      <c r="B637" s="1">
        <f>IFERROR(__xludf.DUMMYFUNCTION("""COMPUTED_VALUE"""),10517.0)</f>
        <v>10517</v>
      </c>
      <c r="C637" s="2" t="str">
        <f>IFERROR(__xludf.DUMMYFUNCTION("""COMPUTED_VALUE"""),"Kamal Hasany")</f>
        <v>Kamal Hasany</v>
      </c>
      <c r="D637" s="2" t="str">
        <f>IFERROR(__xludf.DUMMYFUNCTION("""COMPUTED_VALUE"""),"10KM OVERALL M")</f>
        <v>10KM OVERALL M</v>
      </c>
      <c r="E637" s="1">
        <f>IFERROR(__xludf.DUMMYFUNCTION("""COMPUTED_VALUE"""),1.0)</f>
        <v>1</v>
      </c>
      <c r="F637" s="1" t="str">
        <f>IFERROR(__xludf.DUMMYFUNCTION("""COMPUTED_VALUE"""),"Male")</f>
        <v>Male</v>
      </c>
      <c r="G637" s="4" t="b">
        <f>IFERROR(__xludf.DUMMYFUNCTION("""COMPUTED_VALUE"""),TRUE)</f>
        <v>1</v>
      </c>
      <c r="H637" s="4" t="b">
        <f>IFERROR(__xludf.DUMMYFUNCTION("""COMPUTED_VALUE"""),TRUE)</f>
        <v>1</v>
      </c>
      <c r="I637" s="4">
        <f>IFERROR(__xludf.DUMMYFUNCTION("""COMPUTED_VALUE"""),0.24646185185185185)</f>
        <v>0.2464618519</v>
      </c>
      <c r="J637" s="4">
        <f>IFERROR(__xludf.DUMMYFUNCTION("""COMPUTED_VALUE"""),45949.25701287315)</f>
        <v>45949.25701</v>
      </c>
      <c r="K637" s="4">
        <f>IFERROR(__xludf.DUMMYFUNCTION("""COMPUTED_VALUE"""),45949.285964223986)</f>
        <v>45949.28596</v>
      </c>
      <c r="L637" s="4">
        <f>IFERROR(__xludf.DUMMYFUNCTION("""COMPUTED_VALUE"""),45949.29419950357)</f>
        <v>45949.2942</v>
      </c>
      <c r="M637" s="1" t="str">
        <f>IFERROR(__xludf.DUMMYFUNCTION("""COMPUTED_VALUE"""),"RFID")</f>
        <v>RFID</v>
      </c>
      <c r="N637" s="5">
        <f>IFERROR(__xludf.DUMMYFUNCTION("""COMPUTED_VALUE"""),0.004220407407407407)</f>
        <v>0.004220407407</v>
      </c>
      <c r="O637" s="5">
        <f>IFERROR(__xludf.DUMMYFUNCTION("""COMPUTED_VALUE"""),0.011580541666666666)</f>
        <v>0.01158054167</v>
      </c>
      <c r="P637" s="5">
        <f>IFERROR(__xludf.DUMMYFUNCTION("""COMPUTED_VALUE"""),0.003389003945307599)</f>
        <v>0.003389003945</v>
      </c>
      <c r="Q637" s="5">
        <f>IFERROR(__xludf.DUMMYFUNCTION("""COMPUTED_VALUE"""),0.004773765046296297)</f>
        <v>0.004773765046</v>
      </c>
      <c r="R637" s="4">
        <f>IFERROR(__xludf.DUMMYFUNCTION("""COMPUTED_VALUE"""),45949.04773765172)</f>
        <v>45949.04774</v>
      </c>
      <c r="S637" s="1" t="b">
        <f>IFERROR(__xludf.DUMMYFUNCTION("""COMPUTED_VALUE"""),TRUE)</f>
        <v>1</v>
      </c>
      <c r="T637" s="1" t="b">
        <f>IFERROR(__xludf.DUMMYFUNCTION("""COMPUTED_VALUE"""),FALSE)</f>
        <v>0</v>
      </c>
      <c r="U637" s="1" t="str">
        <f>IFERROR(__xludf.DUMMYFUNCTION("""COMPUTED_VALUE"""),"VALID")</f>
        <v>VALID</v>
      </c>
      <c r="V637" s="1">
        <f>IFERROR(__xludf.DUMMYFUNCTION("""COMPUTED_VALUE"""),283.0)</f>
        <v>283</v>
      </c>
      <c r="W637" s="1">
        <f>IFERROR(__xludf.DUMMYFUNCTION("""COMPUTED_VALUE"""),335.0)</f>
        <v>335</v>
      </c>
      <c r="X637" s="1">
        <f>IFERROR(__xludf.DUMMYFUNCTION("""COMPUTED_VALUE"""),1297.0)</f>
        <v>1297</v>
      </c>
      <c r="Y637" s="2"/>
      <c r="Z637" s="2"/>
    </row>
    <row r="638">
      <c r="A638" s="1">
        <f>IFERROR(__xludf.DUMMYFUNCTION("""COMPUTED_VALUE"""),637.0)</f>
        <v>637</v>
      </c>
      <c r="B638" s="1">
        <f>IFERROR(__xludf.DUMMYFUNCTION("""COMPUTED_VALUE"""),10518.0)</f>
        <v>10518</v>
      </c>
      <c r="C638" s="2" t="str">
        <f>IFERROR(__xludf.DUMMYFUNCTION("""COMPUTED_VALUE"""),"AKMAL HIDAYAT HARAHAP")</f>
        <v>AKMAL HIDAYAT HARAHAP</v>
      </c>
      <c r="D638" s="2" t="str">
        <f>IFERROR(__xludf.DUMMYFUNCTION("""COMPUTED_VALUE"""),"10KM OVERALL M")</f>
        <v>10KM OVERALL M</v>
      </c>
      <c r="E638" s="1">
        <f>IFERROR(__xludf.DUMMYFUNCTION("""COMPUTED_VALUE"""),1.0)</f>
        <v>1</v>
      </c>
      <c r="F638" s="1" t="str">
        <f>IFERROR(__xludf.DUMMYFUNCTION("""COMPUTED_VALUE"""),"Male")</f>
        <v>Male</v>
      </c>
      <c r="G638" s="4" t="b">
        <f>IFERROR(__xludf.DUMMYFUNCTION("""COMPUTED_VALUE"""),TRUE)</f>
        <v>1</v>
      </c>
      <c r="H638" s="4" t="b">
        <f>IFERROR(__xludf.DUMMYFUNCTION("""COMPUTED_VALUE"""),TRUE)</f>
        <v>1</v>
      </c>
      <c r="I638" s="4">
        <f>IFERROR(__xludf.DUMMYFUNCTION("""COMPUTED_VALUE"""),0.24646185185185185)</f>
        <v>0.2464618519</v>
      </c>
      <c r="J638" s="4">
        <f>IFERROR(__xludf.DUMMYFUNCTION("""COMPUTED_VALUE"""),45949.25532877903)</f>
        <v>45949.25533</v>
      </c>
      <c r="K638" s="4">
        <f>IFERROR(__xludf.DUMMYFUNCTION("""COMPUTED_VALUE"""),45949.2820128388)</f>
        <v>45949.28201</v>
      </c>
      <c r="L638" s="4">
        <f>IFERROR(__xludf.DUMMYFUNCTION("""COMPUTED_VALUE"""),45949.29010572783)</f>
        <v>45949.29011</v>
      </c>
      <c r="M638" s="1" t="str">
        <f>IFERROR(__xludf.DUMMYFUNCTION("""COMPUTED_VALUE"""),"RFID")</f>
        <v>RFID</v>
      </c>
      <c r="N638" s="5">
        <f>IFERROR(__xludf.DUMMYFUNCTION("""COMPUTED_VALUE"""),0.0035467731481481483)</f>
        <v>0.003546773148</v>
      </c>
      <c r="O638" s="5">
        <f>IFERROR(__xludf.DUMMYFUNCTION("""COMPUTED_VALUE"""),0.010673625)</f>
        <v>0.010673625</v>
      </c>
      <c r="P638" s="5">
        <f>IFERROR(__xludf.DUMMYFUNCTION("""COMPUTED_VALUE"""),0.003330407008684888)</f>
        <v>0.003330407009</v>
      </c>
      <c r="Q638" s="5">
        <f>IFERROR(__xludf.DUMMYFUNCTION("""COMPUTED_VALUE"""),0.004364387731481482)</f>
        <v>0.004364387731</v>
      </c>
      <c r="R638" s="4">
        <f>IFERROR(__xludf.DUMMYFUNCTION("""COMPUTED_VALUE"""),45949.04364387598)</f>
        <v>45949.04364</v>
      </c>
      <c r="S638" s="1" t="b">
        <f>IFERROR(__xludf.DUMMYFUNCTION("""COMPUTED_VALUE"""),TRUE)</f>
        <v>1</v>
      </c>
      <c r="T638" s="1" t="b">
        <f>IFERROR(__xludf.DUMMYFUNCTION("""COMPUTED_VALUE"""),FALSE)</f>
        <v>0</v>
      </c>
      <c r="U638" s="1" t="str">
        <f>IFERROR(__xludf.DUMMYFUNCTION("""COMPUTED_VALUE"""),"VALID")</f>
        <v>VALID</v>
      </c>
      <c r="V638" s="1">
        <f>IFERROR(__xludf.DUMMYFUNCTION("""COMPUTED_VALUE"""),176.0)</f>
        <v>176</v>
      </c>
      <c r="W638" s="1">
        <f>IFERROR(__xludf.DUMMYFUNCTION("""COMPUTED_VALUE"""),211.0)</f>
        <v>211</v>
      </c>
      <c r="X638" s="1">
        <f>IFERROR(__xludf.DUMMYFUNCTION("""COMPUTED_VALUE"""),1125.0)</f>
        <v>1125</v>
      </c>
      <c r="Y638" s="2"/>
      <c r="Z638" s="2"/>
    </row>
    <row r="639">
      <c r="A639" s="1">
        <f>IFERROR(__xludf.DUMMYFUNCTION("""COMPUTED_VALUE"""),638.0)</f>
        <v>638</v>
      </c>
      <c r="B639" s="1">
        <f>IFERROR(__xludf.DUMMYFUNCTION("""COMPUTED_VALUE"""),10519.0)</f>
        <v>10519</v>
      </c>
      <c r="C639" s="2" t="str">
        <f>IFERROR(__xludf.DUMMYFUNCTION("""COMPUTED_VALUE"""),"Eza69")</f>
        <v>Eza69</v>
      </c>
      <c r="D639" s="2" t="str">
        <f>IFERROR(__xludf.DUMMYFUNCTION("""COMPUTED_VALUE"""),"10KM OVERALL M")</f>
        <v>10KM OVERALL M</v>
      </c>
      <c r="E639" s="1">
        <f>IFERROR(__xludf.DUMMYFUNCTION("""COMPUTED_VALUE"""),1.0)</f>
        <v>1</v>
      </c>
      <c r="F639" s="1" t="str">
        <f>IFERROR(__xludf.DUMMYFUNCTION("""COMPUTED_VALUE"""),"Male")</f>
        <v>Male</v>
      </c>
      <c r="G639" s="4" t="str">
        <f>IFERROR(__xludf.DUMMYFUNCTION("""COMPUTED_VALUE"""),"")</f>
        <v/>
      </c>
      <c r="H639" s="4" t="b">
        <f>IFERROR(__xludf.DUMMYFUNCTION("""COMPUTED_VALUE"""),TRUE)</f>
        <v>1</v>
      </c>
      <c r="I639" s="4">
        <f>IFERROR(__xludf.DUMMYFUNCTION("""COMPUTED_VALUE"""),0.24646185185185185)</f>
        <v>0.2464618519</v>
      </c>
      <c r="J639" s="4">
        <f>IFERROR(__xludf.DUMMYFUNCTION("""COMPUTED_VALUE"""),45949.27006493508)</f>
        <v>45949.27006</v>
      </c>
      <c r="K639" s="4">
        <f>IFERROR(__xludf.DUMMYFUNCTION("""COMPUTED_VALUE"""),45949.29904781838)</f>
        <v>45949.29905</v>
      </c>
      <c r="L639" s="4">
        <f>IFERROR(__xludf.DUMMYFUNCTION("""COMPUTED_VALUE"""),45949.307623092696)</f>
        <v>45949.30762</v>
      </c>
      <c r="M639" s="1" t="str">
        <f>IFERROR(__xludf.DUMMYFUNCTION("""COMPUTED_VALUE"""),"RFID")</f>
        <v>RFID</v>
      </c>
      <c r="N639" s="5">
        <f>IFERROR(__xludf.DUMMYFUNCTION("""COMPUTED_VALUE"""),0.009441231481481481)</f>
        <v>0.009441231481</v>
      </c>
      <c r="O639" s="5">
        <f>IFERROR(__xludf.DUMMYFUNCTION("""COMPUTED_VALUE"""),0.011593152777777779)</f>
        <v>0.01159315278</v>
      </c>
      <c r="P639" s="5">
        <f>IFERROR(__xludf.DUMMYFUNCTION("""COMPUTED_VALUE"""),0.0035289194724242748)</f>
        <v>0.003528919472</v>
      </c>
      <c r="Q639" s="5">
        <f>IFERROR(__xludf.DUMMYFUNCTION("""COMPUTED_VALUE"""),0.006116123842592592)</f>
        <v>0.006116123843</v>
      </c>
      <c r="R639" s="4">
        <f>IFERROR(__xludf.DUMMYFUNCTION("""COMPUTED_VALUE"""),45949.06116124085)</f>
        <v>45949.06116</v>
      </c>
      <c r="S639" s="1" t="b">
        <f>IFERROR(__xludf.DUMMYFUNCTION("""COMPUTED_VALUE"""),TRUE)</f>
        <v>1</v>
      </c>
      <c r="T639" s="1" t="b">
        <f>IFERROR(__xludf.DUMMYFUNCTION("""COMPUTED_VALUE"""),FALSE)</f>
        <v>0</v>
      </c>
      <c r="U639" s="1" t="str">
        <f>IFERROR(__xludf.DUMMYFUNCTION("""COMPUTED_VALUE"""),"VALID")</f>
        <v>VALID</v>
      </c>
      <c r="V639" s="1">
        <f>IFERROR(__xludf.DUMMYFUNCTION("""COMPUTED_VALUE"""),544.0)</f>
        <v>544</v>
      </c>
      <c r="W639" s="1">
        <f>IFERROR(__xludf.DUMMYFUNCTION("""COMPUTED_VALUE"""),668.0)</f>
        <v>668</v>
      </c>
      <c r="X639" s="1">
        <f>IFERROR(__xludf.DUMMYFUNCTION("""COMPUTED_VALUE"""),1619.0)</f>
        <v>1619</v>
      </c>
      <c r="Y639" s="2"/>
      <c r="Z639" s="2"/>
    </row>
    <row r="640">
      <c r="A640" s="1">
        <f>IFERROR(__xludf.DUMMYFUNCTION("""COMPUTED_VALUE"""),639.0)</f>
        <v>639</v>
      </c>
      <c r="B640" s="1">
        <f>IFERROR(__xludf.DUMMYFUNCTION("""COMPUTED_VALUE"""),10520.0)</f>
        <v>10520</v>
      </c>
      <c r="C640" s="2" t="str">
        <f>IFERROR(__xludf.DUMMYFUNCTION("""COMPUTED_VALUE"""),"ANDI YANOR")</f>
        <v>ANDI YANOR</v>
      </c>
      <c r="D640" s="2" t="str">
        <f>IFERROR(__xludf.DUMMYFUNCTION("""COMPUTED_VALUE"""),"10KM OVERALL M")</f>
        <v>10KM OVERALL M</v>
      </c>
      <c r="E640" s="1">
        <f>IFERROR(__xludf.DUMMYFUNCTION("""COMPUTED_VALUE"""),1.0)</f>
        <v>1</v>
      </c>
      <c r="F640" s="1" t="str">
        <f>IFERROR(__xludf.DUMMYFUNCTION("""COMPUTED_VALUE"""),"Male")</f>
        <v>Male</v>
      </c>
      <c r="G640" s="4" t="b">
        <f>IFERROR(__xludf.DUMMYFUNCTION("""COMPUTED_VALUE"""),TRUE)</f>
        <v>1</v>
      </c>
      <c r="H640" s="4" t="b">
        <f>IFERROR(__xludf.DUMMYFUNCTION("""COMPUTED_VALUE"""),TRUE)</f>
        <v>1</v>
      </c>
      <c r="I640" s="4">
        <f>IFERROR(__xludf.DUMMYFUNCTION("""COMPUTED_VALUE"""),0.24646185185185185)</f>
        <v>0.2464618519</v>
      </c>
      <c r="J640" s="4">
        <f>IFERROR(__xludf.DUMMYFUNCTION("""COMPUTED_VALUE"""),45949.25797113443)</f>
        <v>45949.25797</v>
      </c>
      <c r="K640" s="4">
        <f>IFERROR(__xludf.DUMMYFUNCTION("""COMPUTED_VALUE"""),45949.28312393481)</f>
        <v>45949.28312</v>
      </c>
      <c r="L640" s="4">
        <f>IFERROR(__xludf.DUMMYFUNCTION("""COMPUTED_VALUE"""),45949.290817539746)</f>
        <v>45949.29082</v>
      </c>
      <c r="M640" s="1" t="str">
        <f>IFERROR(__xludf.DUMMYFUNCTION("""COMPUTED_VALUE"""),"RFID")</f>
        <v>RFID</v>
      </c>
      <c r="N640" s="5">
        <f>IFERROR(__xludf.DUMMYFUNCTION("""COMPUTED_VALUE"""),0.004603712962962963)</f>
        <v>0.004603712963</v>
      </c>
      <c r="O640" s="5">
        <f>IFERROR(__xludf.DUMMYFUNCTION("""COMPUTED_VALUE"""),0.010061120370370371)</f>
        <v>0.01006112037</v>
      </c>
      <c r="P640" s="5">
        <f>IFERROR(__xludf.DUMMYFUNCTION("""COMPUTED_VALUE"""),0.0031660925667616057)</f>
        <v>0.003166092567</v>
      </c>
      <c r="Q640" s="5">
        <f>IFERROR(__xludf.DUMMYFUNCTION("""COMPUTED_VALUE"""),0.004435568287037037)</f>
        <v>0.004435568287</v>
      </c>
      <c r="R640" s="4">
        <f>IFERROR(__xludf.DUMMYFUNCTION("""COMPUTED_VALUE"""),45949.044355687896)</f>
        <v>45949.04436</v>
      </c>
      <c r="S640" s="1" t="b">
        <f>IFERROR(__xludf.DUMMYFUNCTION("""COMPUTED_VALUE"""),TRUE)</f>
        <v>1</v>
      </c>
      <c r="T640" s="1" t="b">
        <f>IFERROR(__xludf.DUMMYFUNCTION("""COMPUTED_VALUE"""),FALSE)</f>
        <v>0</v>
      </c>
      <c r="U640" s="1" t="str">
        <f>IFERROR(__xludf.DUMMYFUNCTION("""COMPUTED_VALUE"""),"VALID")</f>
        <v>VALID</v>
      </c>
      <c r="V640" s="1">
        <f>IFERROR(__xludf.DUMMYFUNCTION("""COMPUTED_VALUE"""),196.0)</f>
        <v>196</v>
      </c>
      <c r="W640" s="1">
        <f>IFERROR(__xludf.DUMMYFUNCTION("""COMPUTED_VALUE"""),236.0)</f>
        <v>236</v>
      </c>
      <c r="X640" s="1">
        <f>IFERROR(__xludf.DUMMYFUNCTION("""COMPUTED_VALUE"""),1163.0)</f>
        <v>1163</v>
      </c>
      <c r="Y640" s="2"/>
      <c r="Z640" s="2"/>
    </row>
    <row r="641">
      <c r="A641" s="1">
        <f>IFERROR(__xludf.DUMMYFUNCTION("""COMPUTED_VALUE"""),640.0)</f>
        <v>640</v>
      </c>
      <c r="B641" s="1">
        <f>IFERROR(__xludf.DUMMYFUNCTION("""COMPUTED_VALUE"""),10521.0)</f>
        <v>10521</v>
      </c>
      <c r="C641" s="2" t="str">
        <f>IFERROR(__xludf.DUMMYFUNCTION("""COMPUTED_VALUE"""),"BADRI")</f>
        <v>BADRI</v>
      </c>
      <c r="D641" s="2" t="str">
        <f>IFERROR(__xludf.DUMMYFUNCTION("""COMPUTED_VALUE"""),"10KM OVERALL M")</f>
        <v>10KM OVERALL M</v>
      </c>
      <c r="E641" s="1">
        <f>IFERROR(__xludf.DUMMYFUNCTION("""COMPUTED_VALUE"""),1.0)</f>
        <v>1</v>
      </c>
      <c r="F641" s="1" t="str">
        <f>IFERROR(__xludf.DUMMYFUNCTION("""COMPUTED_VALUE"""),"Male")</f>
        <v>Male</v>
      </c>
      <c r="G641" s="4" t="b">
        <f>IFERROR(__xludf.DUMMYFUNCTION("""COMPUTED_VALUE"""),TRUE)</f>
        <v>1</v>
      </c>
      <c r="H641" s="4" t="b">
        <f>IFERROR(__xludf.DUMMYFUNCTION("""COMPUTED_VALUE"""),TRUE)</f>
        <v>1</v>
      </c>
      <c r="I641" s="4">
        <f>IFERROR(__xludf.DUMMYFUNCTION("""COMPUTED_VALUE"""),0.24646185185185185)</f>
        <v>0.2464618519</v>
      </c>
      <c r="J641" s="4">
        <f>IFERROR(__xludf.DUMMYFUNCTION("""COMPUTED_VALUE"""),45949.25620378179)</f>
        <v>45949.2562</v>
      </c>
      <c r="K641" s="4">
        <f>IFERROR(__xludf.DUMMYFUNCTION("""COMPUTED_VALUE"""),45949.282964220954)</f>
        <v>45949.28296</v>
      </c>
      <c r="L641" s="4">
        <f>IFERROR(__xludf.DUMMYFUNCTION("""COMPUTED_VALUE"""),45949.290810587)</f>
        <v>45949.29081</v>
      </c>
      <c r="M641" s="1" t="str">
        <f>IFERROR(__xludf.DUMMYFUNCTION("""COMPUTED_VALUE"""),"RFID")</f>
        <v>RFID</v>
      </c>
      <c r="N641" s="5">
        <f>IFERROR(__xludf.DUMMYFUNCTION("""COMPUTED_VALUE"""),0.003896773148148148)</f>
        <v>0.003896773148</v>
      </c>
      <c r="O641" s="5">
        <f>IFERROR(__xludf.DUMMYFUNCTION("""COMPUTED_VALUE"""),0.010704175925925926)</f>
        <v>0.01070417593</v>
      </c>
      <c r="P641" s="5">
        <f>IFERROR(__xludf.DUMMYFUNCTION("""COMPUTED_VALUE"""),0.003228957220814248)</f>
        <v>0.003228957221</v>
      </c>
      <c r="Q641" s="5">
        <f>IFERROR(__xludf.DUMMYFUNCTION("""COMPUTED_VALUE"""),0.004434873842592593)</f>
        <v>0.004434873843</v>
      </c>
      <c r="R641" s="4">
        <f>IFERROR(__xludf.DUMMYFUNCTION("""COMPUTED_VALUE"""),45949.04434873515)</f>
        <v>45949.04435</v>
      </c>
      <c r="S641" s="1" t="b">
        <f>IFERROR(__xludf.DUMMYFUNCTION("""COMPUTED_VALUE"""),TRUE)</f>
        <v>1</v>
      </c>
      <c r="T641" s="1" t="b">
        <f>IFERROR(__xludf.DUMMYFUNCTION("""COMPUTED_VALUE"""),FALSE)</f>
        <v>0</v>
      </c>
      <c r="U641" s="1" t="str">
        <f>IFERROR(__xludf.DUMMYFUNCTION("""COMPUTED_VALUE"""),"VALID")</f>
        <v>VALID</v>
      </c>
      <c r="V641" s="1">
        <f>IFERROR(__xludf.DUMMYFUNCTION("""COMPUTED_VALUE"""),195.0)</f>
        <v>195</v>
      </c>
      <c r="W641" s="1">
        <f>IFERROR(__xludf.DUMMYFUNCTION("""COMPUTED_VALUE"""),235.0)</f>
        <v>235</v>
      </c>
      <c r="X641" s="1">
        <f>IFERROR(__xludf.DUMMYFUNCTION("""COMPUTED_VALUE"""),1162.0)</f>
        <v>1162</v>
      </c>
      <c r="Y641" s="2"/>
      <c r="Z641" s="2"/>
    </row>
    <row r="642">
      <c r="A642" s="1">
        <f>IFERROR(__xludf.DUMMYFUNCTION("""COMPUTED_VALUE"""),641.0)</f>
        <v>641</v>
      </c>
      <c r="B642" s="1">
        <f>IFERROR(__xludf.DUMMYFUNCTION("""COMPUTED_VALUE"""),10522.0)</f>
        <v>10522</v>
      </c>
      <c r="C642" s="2" t="str">
        <f>IFERROR(__xludf.DUMMYFUNCTION("""COMPUTED_VALUE"""),"Rizqy")</f>
        <v>Rizqy</v>
      </c>
      <c r="D642" s="2" t="str">
        <f>IFERROR(__xludf.DUMMYFUNCTION("""COMPUTED_VALUE"""),"10KM OVERALL M")</f>
        <v>10KM OVERALL M</v>
      </c>
      <c r="E642" s="1">
        <f>IFERROR(__xludf.DUMMYFUNCTION("""COMPUTED_VALUE"""),1.0)</f>
        <v>1</v>
      </c>
      <c r="F642" s="1" t="str">
        <f>IFERROR(__xludf.DUMMYFUNCTION("""COMPUTED_VALUE"""),"Male")</f>
        <v>Male</v>
      </c>
      <c r="G642" s="4" t="str">
        <f>IFERROR(__xludf.DUMMYFUNCTION("""COMPUTED_VALUE"""),"")</f>
        <v/>
      </c>
      <c r="H642" s="4" t="b">
        <f>IFERROR(__xludf.DUMMYFUNCTION("""COMPUTED_VALUE"""),TRUE)</f>
        <v>1</v>
      </c>
      <c r="I642" s="4">
        <f>IFERROR(__xludf.DUMMYFUNCTION("""COMPUTED_VALUE"""),0.24646185185185185)</f>
        <v>0.2464618519</v>
      </c>
      <c r="J642" s="4">
        <f>IFERROR(__xludf.DUMMYFUNCTION("""COMPUTED_VALUE"""),45949.25823503347)</f>
        <v>45949.25824</v>
      </c>
      <c r="K642" s="4">
        <f>IFERROR(__xludf.DUMMYFUNCTION("""COMPUTED_VALUE"""),45949.28973379629)</f>
        <v>45949.28973</v>
      </c>
      <c r="L642" s="4">
        <f>IFERROR(__xludf.DUMMYFUNCTION("""COMPUTED_VALUE"""),45949.29858491299)</f>
        <v>45949.29858</v>
      </c>
      <c r="M642" s="1" t="str">
        <f>IFERROR(__xludf.DUMMYFUNCTION("""COMPUTED_VALUE"""),"RFID")</f>
        <v>RFID</v>
      </c>
      <c r="N642" s="5">
        <f>IFERROR(__xludf.DUMMYFUNCTION("""COMPUTED_VALUE"""),0.004709273148148148)</f>
        <v>0.004709273148</v>
      </c>
      <c r="O642" s="5">
        <f>IFERROR(__xludf.DUMMYFUNCTION("""COMPUTED_VALUE"""),0.012599504629629629)</f>
        <v>0.01259950463</v>
      </c>
      <c r="P642" s="5">
        <f>IFERROR(__xludf.DUMMYFUNCTION("""COMPUTED_VALUE"""),0.0036424348550492228)</f>
        <v>0.003642434855</v>
      </c>
      <c r="Q642" s="5">
        <f>IFERROR(__xludf.DUMMYFUNCTION("""COMPUTED_VALUE"""),0.005212305555555555)</f>
        <v>0.005212305556</v>
      </c>
      <c r="R642" s="4">
        <f>IFERROR(__xludf.DUMMYFUNCTION("""COMPUTED_VALUE"""),45949.05212306114)</f>
        <v>45949.05212</v>
      </c>
      <c r="S642" s="1" t="b">
        <f>IFERROR(__xludf.DUMMYFUNCTION("""COMPUTED_VALUE"""),TRUE)</f>
        <v>1</v>
      </c>
      <c r="T642" s="1" t="b">
        <f>IFERROR(__xludf.DUMMYFUNCTION("""COMPUTED_VALUE"""),FALSE)</f>
        <v>0</v>
      </c>
      <c r="U642" s="1" t="str">
        <f>IFERROR(__xludf.DUMMYFUNCTION("""COMPUTED_VALUE"""),"VALID")</f>
        <v>VALID</v>
      </c>
      <c r="V642" s="1">
        <f>IFERROR(__xludf.DUMMYFUNCTION("""COMPUTED_VALUE"""),388.0)</f>
        <v>388</v>
      </c>
      <c r="W642" s="1">
        <f>IFERROR(__xludf.DUMMYFUNCTION("""COMPUTED_VALUE"""),461.0)</f>
        <v>461</v>
      </c>
      <c r="X642" s="1">
        <f>IFERROR(__xludf.DUMMYFUNCTION("""COMPUTED_VALUE"""),1438.0)</f>
        <v>1438</v>
      </c>
      <c r="Y642" s="2"/>
      <c r="Z642" s="2"/>
    </row>
    <row r="643">
      <c r="A643" s="1">
        <f>IFERROR(__xludf.DUMMYFUNCTION("""COMPUTED_VALUE"""),642.0)</f>
        <v>642</v>
      </c>
      <c r="B643" s="1">
        <f>IFERROR(__xludf.DUMMYFUNCTION("""COMPUTED_VALUE"""),10523.0)</f>
        <v>10523</v>
      </c>
      <c r="C643" s="2" t="str">
        <f>IFERROR(__xludf.DUMMYFUNCTION("""COMPUTED_VALUE"""),"rahmanLNear")</f>
        <v>rahmanLNear</v>
      </c>
      <c r="D643" s="2" t="str">
        <f>IFERROR(__xludf.DUMMYFUNCTION("""COMPUTED_VALUE"""),"10KM OVERALL M")</f>
        <v>10KM OVERALL M</v>
      </c>
      <c r="E643" s="1">
        <f>IFERROR(__xludf.DUMMYFUNCTION("""COMPUTED_VALUE"""),1.0)</f>
        <v>1</v>
      </c>
      <c r="F643" s="1" t="str">
        <f>IFERROR(__xludf.DUMMYFUNCTION("""COMPUTED_VALUE"""),"Male")</f>
        <v>Male</v>
      </c>
      <c r="G643" s="4" t="str">
        <f>IFERROR(__xludf.DUMMYFUNCTION("""COMPUTED_VALUE"""),"")</f>
        <v/>
      </c>
      <c r="H643" s="4" t="b">
        <f>IFERROR(__xludf.DUMMYFUNCTION("""COMPUTED_VALUE"""),FALSE)</f>
        <v>0</v>
      </c>
      <c r="I643" s="4">
        <f>IFERROR(__xludf.DUMMYFUNCTION("""COMPUTED_VALUE"""),0.24646185185185185)</f>
        <v>0.2464618519</v>
      </c>
      <c r="J643" s="4" t="str">
        <f>IFERROR(__xludf.DUMMYFUNCTION("""COMPUTED_VALUE"""),"")</f>
        <v/>
      </c>
      <c r="K643" s="4" t="str">
        <f>IFERROR(__xludf.DUMMYFUNCTION("""COMPUTED_VALUE"""),"")</f>
        <v/>
      </c>
      <c r="L643" s="4" t="str">
        <f>IFERROR(__xludf.DUMMYFUNCTION("""COMPUTED_VALUE"""),"")</f>
        <v/>
      </c>
      <c r="M643" s="1" t="str">
        <f>IFERROR(__xludf.DUMMYFUNCTION("""COMPUTED_VALUE"""),"RFID")</f>
        <v>RFID</v>
      </c>
      <c r="N643" s="5" t="str">
        <f>IFERROR(__xludf.DUMMYFUNCTION("""COMPUTED_VALUE"""),"")</f>
        <v/>
      </c>
      <c r="O643" s="5" t="str">
        <f>IFERROR(__xludf.DUMMYFUNCTION("""COMPUTED_VALUE"""),"")</f>
        <v/>
      </c>
      <c r="P643" s="5" t="str">
        <f>IFERROR(__xludf.DUMMYFUNCTION("""COMPUTED_VALUE"""),"")</f>
        <v/>
      </c>
      <c r="Q643" s="5" t="str">
        <f>IFERROR(__xludf.DUMMYFUNCTION("""COMPUTED_VALUE"""),"")</f>
        <v/>
      </c>
      <c r="R643" s="4" t="str">
        <f>IFERROR(__xludf.DUMMYFUNCTION("""COMPUTED_VALUE"""),"")</f>
        <v/>
      </c>
      <c r="S643" s="1" t="b">
        <f>IFERROR(__xludf.DUMMYFUNCTION("""COMPUTED_VALUE"""),FALSE)</f>
        <v>0</v>
      </c>
      <c r="T643" s="1" t="b">
        <f>IFERROR(__xludf.DUMMYFUNCTION("""COMPUTED_VALUE"""),FALSE)</f>
        <v>0</v>
      </c>
      <c r="U643" s="1" t="str">
        <f>IFERROR(__xludf.DUMMYFUNCTION("""COMPUTED_VALUE"""),"DSQ")</f>
        <v>DSQ</v>
      </c>
      <c r="V643" s="1" t="str">
        <f>IFERROR(__xludf.DUMMYFUNCTION("""COMPUTED_VALUE"""),"DSQ")</f>
        <v>DSQ</v>
      </c>
      <c r="W643" s="1" t="str">
        <f>IFERROR(__xludf.DUMMYFUNCTION("""COMPUTED_VALUE"""),"DSQ")</f>
        <v>DSQ</v>
      </c>
      <c r="X643" s="1" t="str">
        <f>IFERROR(__xludf.DUMMYFUNCTION("""COMPUTED_VALUE"""),"DSQ")</f>
        <v>DSQ</v>
      </c>
      <c r="Y643" s="2"/>
      <c r="Z643" s="2" t="str">
        <f>IFERROR(__xludf.DUMMYFUNCTION("""COMPUTED_VALUE"""),"")</f>
        <v/>
      </c>
    </row>
    <row r="644">
      <c r="A644" s="1">
        <f>IFERROR(__xludf.DUMMYFUNCTION("""COMPUTED_VALUE"""),643.0)</f>
        <v>643</v>
      </c>
      <c r="B644" s="1">
        <f>IFERROR(__xludf.DUMMYFUNCTION("""COMPUTED_VALUE"""),10524.0)</f>
        <v>10524</v>
      </c>
      <c r="C644" s="2" t="str">
        <f>IFERROR(__xludf.DUMMYFUNCTION("""COMPUTED_VALUE"""),"INDRAGIRI")</f>
        <v>INDRAGIRI</v>
      </c>
      <c r="D644" s="2" t="str">
        <f>IFERROR(__xludf.DUMMYFUNCTION("""COMPUTED_VALUE"""),"10KM OVERALL M")</f>
        <v>10KM OVERALL M</v>
      </c>
      <c r="E644" s="1">
        <f>IFERROR(__xludf.DUMMYFUNCTION("""COMPUTED_VALUE"""),1.0)</f>
        <v>1</v>
      </c>
      <c r="F644" s="1" t="str">
        <f>IFERROR(__xludf.DUMMYFUNCTION("""COMPUTED_VALUE"""),"Male")</f>
        <v>Male</v>
      </c>
      <c r="G644" s="4" t="str">
        <f>IFERROR(__xludf.DUMMYFUNCTION("""COMPUTED_VALUE"""),"")</f>
        <v/>
      </c>
      <c r="H644" s="4" t="b">
        <f>IFERROR(__xludf.DUMMYFUNCTION("""COMPUTED_VALUE"""),FALSE)</f>
        <v>0</v>
      </c>
      <c r="I644" s="4">
        <f>IFERROR(__xludf.DUMMYFUNCTION("""COMPUTED_VALUE"""),0.24646185185185185)</f>
        <v>0.2464618519</v>
      </c>
      <c r="J644" s="4" t="str">
        <f>IFERROR(__xludf.DUMMYFUNCTION("""COMPUTED_VALUE"""),"")</f>
        <v/>
      </c>
      <c r="K644" s="4" t="str">
        <f>IFERROR(__xludf.DUMMYFUNCTION("""COMPUTED_VALUE"""),"")</f>
        <v/>
      </c>
      <c r="L644" s="4" t="str">
        <f>IFERROR(__xludf.DUMMYFUNCTION("""COMPUTED_VALUE"""),"")</f>
        <v/>
      </c>
      <c r="M644" s="1" t="str">
        <f>IFERROR(__xludf.DUMMYFUNCTION("""COMPUTED_VALUE"""),"RFID")</f>
        <v>RFID</v>
      </c>
      <c r="N644" s="5" t="str">
        <f>IFERROR(__xludf.DUMMYFUNCTION("""COMPUTED_VALUE"""),"")</f>
        <v/>
      </c>
      <c r="O644" s="5" t="str">
        <f>IFERROR(__xludf.DUMMYFUNCTION("""COMPUTED_VALUE"""),"")</f>
        <v/>
      </c>
      <c r="P644" s="5" t="str">
        <f>IFERROR(__xludf.DUMMYFUNCTION("""COMPUTED_VALUE"""),"")</f>
        <v/>
      </c>
      <c r="Q644" s="5" t="str">
        <f>IFERROR(__xludf.DUMMYFUNCTION("""COMPUTED_VALUE"""),"")</f>
        <v/>
      </c>
      <c r="R644" s="4" t="str">
        <f>IFERROR(__xludf.DUMMYFUNCTION("""COMPUTED_VALUE"""),"")</f>
        <v/>
      </c>
      <c r="S644" s="1" t="b">
        <f>IFERROR(__xludf.DUMMYFUNCTION("""COMPUTED_VALUE"""),FALSE)</f>
        <v>0</v>
      </c>
      <c r="T644" s="1" t="b">
        <f>IFERROR(__xludf.DUMMYFUNCTION("""COMPUTED_VALUE"""),FALSE)</f>
        <v>0</v>
      </c>
      <c r="U644" s="1" t="str">
        <f>IFERROR(__xludf.DUMMYFUNCTION("""COMPUTED_VALUE"""),"DSQ")</f>
        <v>DSQ</v>
      </c>
      <c r="V644" s="1" t="str">
        <f>IFERROR(__xludf.DUMMYFUNCTION("""COMPUTED_VALUE"""),"DSQ")</f>
        <v>DSQ</v>
      </c>
      <c r="W644" s="1" t="str">
        <f>IFERROR(__xludf.DUMMYFUNCTION("""COMPUTED_VALUE"""),"DSQ")</f>
        <v>DSQ</v>
      </c>
      <c r="X644" s="1" t="str">
        <f>IFERROR(__xludf.DUMMYFUNCTION("""COMPUTED_VALUE"""),"DSQ")</f>
        <v>DSQ</v>
      </c>
      <c r="Y644" s="2"/>
      <c r="Z644" s="2" t="str">
        <f>IFERROR(__xludf.DUMMYFUNCTION("""COMPUTED_VALUE"""),"")</f>
        <v/>
      </c>
    </row>
    <row r="645">
      <c r="A645" s="1">
        <f>IFERROR(__xludf.DUMMYFUNCTION("""COMPUTED_VALUE"""),644.0)</f>
        <v>644</v>
      </c>
      <c r="B645" s="1">
        <f>IFERROR(__xludf.DUMMYFUNCTION("""COMPUTED_VALUE"""),10525.0)</f>
        <v>10525</v>
      </c>
      <c r="C645" s="2" t="str">
        <f>IFERROR(__xludf.DUMMYFUNCTION("""COMPUTED_VALUE"""),"QRI")</f>
        <v>QRI</v>
      </c>
      <c r="D645" s="2" t="str">
        <f>IFERROR(__xludf.DUMMYFUNCTION("""COMPUTED_VALUE"""),"10KM OVERALL M")</f>
        <v>10KM OVERALL M</v>
      </c>
      <c r="E645" s="1">
        <f>IFERROR(__xludf.DUMMYFUNCTION("""COMPUTED_VALUE"""),1.0)</f>
        <v>1</v>
      </c>
      <c r="F645" s="1" t="str">
        <f>IFERROR(__xludf.DUMMYFUNCTION("""COMPUTED_VALUE"""),"Male")</f>
        <v>Male</v>
      </c>
      <c r="G645" s="4" t="str">
        <f>IFERROR(__xludf.DUMMYFUNCTION("""COMPUTED_VALUE"""),"")</f>
        <v/>
      </c>
      <c r="H645" s="4" t="b">
        <f>IFERROR(__xludf.DUMMYFUNCTION("""COMPUTED_VALUE"""),FALSE)</f>
        <v>0</v>
      </c>
      <c r="I645" s="4">
        <f>IFERROR(__xludf.DUMMYFUNCTION("""COMPUTED_VALUE"""),0.24646185185185185)</f>
        <v>0.2464618519</v>
      </c>
      <c r="J645" s="4">
        <f>IFERROR(__xludf.DUMMYFUNCTION("""COMPUTED_VALUE"""),45949.27052670069)</f>
        <v>45949.27053</v>
      </c>
      <c r="K645" s="4">
        <f>IFERROR(__xludf.DUMMYFUNCTION("""COMPUTED_VALUE"""),45949.29648523589)</f>
        <v>45949.29649</v>
      </c>
      <c r="L645" s="4">
        <f>IFERROR(__xludf.DUMMYFUNCTION("""COMPUTED_VALUE"""),45949.30402587108)</f>
        <v>45949.30403</v>
      </c>
      <c r="M645" s="1" t="str">
        <f>IFERROR(__xludf.DUMMYFUNCTION("""COMPUTED_VALUE"""),"RFID")</f>
        <v>RFID</v>
      </c>
      <c r="N645" s="5">
        <f>IFERROR(__xludf.DUMMYFUNCTION("""COMPUTED_VALUE"""),0.009625939814814815)</f>
        <v>0.009625939815</v>
      </c>
      <c r="O645" s="5">
        <f>IFERROR(__xludf.DUMMYFUNCTION("""COMPUTED_VALUE"""),0.010383412037037038)</f>
        <v>0.01038341204</v>
      </c>
      <c r="P645" s="5">
        <f>IFERROR(__xludf.DUMMYFUNCTION("""COMPUTED_VALUE"""),0.0031031420534148946)</f>
        <v>0.003103142053</v>
      </c>
      <c r="Q645" s="5">
        <f>IFERROR(__xludf.DUMMYFUNCTION("""COMPUTED_VALUE"""),0.00575640162037037)</f>
        <v>0.00575640162</v>
      </c>
      <c r="R645" s="4">
        <f>IFERROR(__xludf.DUMMYFUNCTION("""COMPUTED_VALUE"""),45949.05756401923)</f>
        <v>45949.05756</v>
      </c>
      <c r="S645" s="1" t="b">
        <f>IFERROR(__xludf.DUMMYFUNCTION("""COMPUTED_VALUE"""),TRUE)</f>
        <v>1</v>
      </c>
      <c r="T645" s="1" t="b">
        <f>IFERROR(__xludf.DUMMYFUNCTION("""COMPUTED_VALUE"""),FALSE)</f>
        <v>0</v>
      </c>
      <c r="U645" s="1" t="str">
        <f>IFERROR(__xludf.DUMMYFUNCTION("""COMPUTED_VALUE"""),"VALID")</f>
        <v>VALID</v>
      </c>
      <c r="V645" s="1">
        <f>IFERROR(__xludf.DUMMYFUNCTION("""COMPUTED_VALUE"""),508.0)</f>
        <v>508</v>
      </c>
      <c r="W645" s="1">
        <f>IFERROR(__xludf.DUMMYFUNCTION("""COMPUTED_VALUE"""),614.0)</f>
        <v>614</v>
      </c>
      <c r="X645" s="1">
        <f>IFERROR(__xludf.DUMMYFUNCTION("""COMPUTED_VALUE"""),1580.0)</f>
        <v>1580</v>
      </c>
      <c r="Y645" s="2"/>
      <c r="Z645" s="2"/>
    </row>
    <row r="646">
      <c r="A646" s="1">
        <f>IFERROR(__xludf.DUMMYFUNCTION("""COMPUTED_VALUE"""),645.0)</f>
        <v>645</v>
      </c>
      <c r="B646" s="1">
        <f>IFERROR(__xludf.DUMMYFUNCTION("""COMPUTED_VALUE"""),10526.0)</f>
        <v>10526</v>
      </c>
      <c r="C646" s="2" t="str">
        <f>IFERROR(__xludf.DUMMYFUNCTION("""COMPUTED_VALUE"""),"nandra")</f>
        <v>nandra</v>
      </c>
      <c r="D646" s="2" t="str">
        <f>IFERROR(__xludf.DUMMYFUNCTION("""COMPUTED_VALUE"""),"10KM OVERALL M")</f>
        <v>10KM OVERALL M</v>
      </c>
      <c r="E646" s="1">
        <f>IFERROR(__xludf.DUMMYFUNCTION("""COMPUTED_VALUE"""),1.0)</f>
        <v>1</v>
      </c>
      <c r="F646" s="1" t="str">
        <f>IFERROR(__xludf.DUMMYFUNCTION("""COMPUTED_VALUE"""),"Male")</f>
        <v>Male</v>
      </c>
      <c r="G646" s="4" t="b">
        <f>IFERROR(__xludf.DUMMYFUNCTION("""COMPUTED_VALUE"""),TRUE)</f>
        <v>1</v>
      </c>
      <c r="H646" s="4" t="b">
        <f>IFERROR(__xludf.DUMMYFUNCTION("""COMPUTED_VALUE"""),TRUE)</f>
        <v>1</v>
      </c>
      <c r="I646" s="4">
        <f>IFERROR(__xludf.DUMMYFUNCTION("""COMPUTED_VALUE"""),0.24646185185185185)</f>
        <v>0.2464618519</v>
      </c>
      <c r="J646" s="4">
        <f>IFERROR(__xludf.DUMMYFUNCTION("""COMPUTED_VALUE"""),45949.25669336771)</f>
        <v>45949.25669</v>
      </c>
      <c r="K646" s="4">
        <f>IFERROR(__xludf.DUMMYFUNCTION("""COMPUTED_VALUE"""),45949.287676019914)</f>
        <v>45949.28768</v>
      </c>
      <c r="L646" s="4">
        <f>IFERROR(__xludf.DUMMYFUNCTION("""COMPUTED_VALUE"""),45949.29697728469)</f>
        <v>45949.29698</v>
      </c>
      <c r="M646" s="1" t="str">
        <f>IFERROR(__xludf.DUMMYFUNCTION("""COMPUTED_VALUE"""),"RFID")</f>
        <v>RFID</v>
      </c>
      <c r="N646" s="5">
        <f>IFERROR(__xludf.DUMMYFUNCTION("""COMPUTED_VALUE"""),0.004092606481481482)</f>
        <v>0.004092606481</v>
      </c>
      <c r="O646" s="5">
        <f>IFERROR(__xludf.DUMMYFUNCTION("""COMPUTED_VALUE"""),0.012393060185185184)</f>
        <v>0.01239306019</v>
      </c>
      <c r="P646" s="5">
        <f>IFERROR(__xludf.DUMMYFUNCTION("""COMPUTED_VALUE"""),0.003827680978438253)</f>
        <v>0.003827680978</v>
      </c>
      <c r="Q646" s="5">
        <f>IFERROR(__xludf.DUMMYFUNCTION("""COMPUTED_VALUE"""),0.005051542824074075)</f>
        <v>0.005051542824</v>
      </c>
      <c r="R646" s="4">
        <f>IFERROR(__xludf.DUMMYFUNCTION("""COMPUTED_VALUE"""),45949.05051543284)</f>
        <v>45949.05052</v>
      </c>
      <c r="S646" s="1" t="b">
        <f>IFERROR(__xludf.DUMMYFUNCTION("""COMPUTED_VALUE"""),TRUE)</f>
        <v>1</v>
      </c>
      <c r="T646" s="1" t="b">
        <f>IFERROR(__xludf.DUMMYFUNCTION("""COMPUTED_VALUE"""),FALSE)</f>
        <v>0</v>
      </c>
      <c r="U646" s="1" t="str">
        <f>IFERROR(__xludf.DUMMYFUNCTION("""COMPUTED_VALUE"""),"VALID")</f>
        <v>VALID</v>
      </c>
      <c r="V646" s="1">
        <f>IFERROR(__xludf.DUMMYFUNCTION("""COMPUTED_VALUE"""),356.0)</f>
        <v>356</v>
      </c>
      <c r="W646" s="1">
        <f>IFERROR(__xludf.DUMMYFUNCTION("""COMPUTED_VALUE"""),420.0)</f>
        <v>420</v>
      </c>
      <c r="X646" s="1">
        <f>IFERROR(__xludf.DUMMYFUNCTION("""COMPUTED_VALUE"""),1400.0)</f>
        <v>1400</v>
      </c>
      <c r="Y646" s="2"/>
      <c r="Z646" s="2"/>
    </row>
    <row r="647">
      <c r="A647" s="1">
        <f>IFERROR(__xludf.DUMMYFUNCTION("""COMPUTED_VALUE"""),646.0)</f>
        <v>646</v>
      </c>
      <c r="B647" s="1">
        <f>IFERROR(__xludf.DUMMYFUNCTION("""COMPUTED_VALUE"""),10527.0)</f>
        <v>10527</v>
      </c>
      <c r="C647" s="2" t="str">
        <f>IFERROR(__xludf.DUMMYFUNCTION("""COMPUTED_VALUE"""),"FAISAL A.")</f>
        <v>FAISAL A.</v>
      </c>
      <c r="D647" s="2" t="str">
        <f>IFERROR(__xludf.DUMMYFUNCTION("""COMPUTED_VALUE"""),"10KM OVERALL M")</f>
        <v>10KM OVERALL M</v>
      </c>
      <c r="E647" s="1">
        <f>IFERROR(__xludf.DUMMYFUNCTION("""COMPUTED_VALUE"""),1.0)</f>
        <v>1</v>
      </c>
      <c r="F647" s="1" t="str">
        <f>IFERROR(__xludf.DUMMYFUNCTION("""COMPUTED_VALUE"""),"Male")</f>
        <v>Male</v>
      </c>
      <c r="G647" s="4" t="b">
        <f>IFERROR(__xludf.DUMMYFUNCTION("""COMPUTED_VALUE"""),TRUE)</f>
        <v>1</v>
      </c>
      <c r="H647" s="4" t="b">
        <f>IFERROR(__xludf.DUMMYFUNCTION("""COMPUTED_VALUE"""),TRUE)</f>
        <v>1</v>
      </c>
      <c r="I647" s="4">
        <f>IFERROR(__xludf.DUMMYFUNCTION("""COMPUTED_VALUE"""),0.24646185185185185)</f>
        <v>0.2464618519</v>
      </c>
      <c r="J647" s="4">
        <f>IFERROR(__xludf.DUMMYFUNCTION("""COMPUTED_VALUE"""),45949.260519817675)</f>
        <v>45949.26052</v>
      </c>
      <c r="K647" s="4">
        <f>IFERROR(__xludf.DUMMYFUNCTION("""COMPUTED_VALUE"""),45949.29289154349)</f>
        <v>45949.29289</v>
      </c>
      <c r="L647" s="4">
        <f>IFERROR(__xludf.DUMMYFUNCTION("""COMPUTED_VALUE"""),45949.30180364375)</f>
        <v>45949.3018</v>
      </c>
      <c r="M647" s="1" t="str">
        <f>IFERROR(__xludf.DUMMYFUNCTION("""COMPUTED_VALUE"""),"RFID")</f>
        <v>RFID</v>
      </c>
      <c r="N647" s="5">
        <f>IFERROR(__xludf.DUMMYFUNCTION("""COMPUTED_VALUE"""),0.005623185185185185)</f>
        <v>0.005623185185</v>
      </c>
      <c r="O647" s="5">
        <f>IFERROR(__xludf.DUMMYFUNCTION("""COMPUTED_VALUE"""),0.012948689814814816)</f>
        <v>0.01294868981</v>
      </c>
      <c r="P647" s="5">
        <f>IFERROR(__xludf.DUMMYFUNCTION("""COMPUTED_VALUE"""),0.003667530971277436)</f>
        <v>0.003667530971</v>
      </c>
      <c r="Q647" s="5">
        <f>IFERROR(__xludf.DUMMYFUNCTION("""COMPUTED_VALUE"""),0.005534179398148148)</f>
        <v>0.005534179398</v>
      </c>
      <c r="R647" s="4">
        <f>IFERROR(__xludf.DUMMYFUNCTION("""COMPUTED_VALUE"""),45949.0553417919)</f>
        <v>45949.05534</v>
      </c>
      <c r="S647" s="1" t="b">
        <f>IFERROR(__xludf.DUMMYFUNCTION("""COMPUTED_VALUE"""),TRUE)</f>
        <v>1</v>
      </c>
      <c r="T647" s="1" t="b">
        <f>IFERROR(__xludf.DUMMYFUNCTION("""COMPUTED_VALUE"""),FALSE)</f>
        <v>0</v>
      </c>
      <c r="U647" s="1" t="str">
        <f>IFERROR(__xludf.DUMMYFUNCTION("""COMPUTED_VALUE"""),"VALID")</f>
        <v>VALID</v>
      </c>
      <c r="V647" s="1">
        <f>IFERROR(__xludf.DUMMYFUNCTION("""COMPUTED_VALUE"""),464.0)</f>
        <v>464</v>
      </c>
      <c r="W647" s="1">
        <f>IFERROR(__xludf.DUMMYFUNCTION("""COMPUTED_VALUE"""),557.0)</f>
        <v>557</v>
      </c>
      <c r="X647" s="1">
        <f>IFERROR(__xludf.DUMMYFUNCTION("""COMPUTED_VALUE"""),1530.0)</f>
        <v>1530</v>
      </c>
      <c r="Y647" s="2"/>
      <c r="Z647" s="2"/>
    </row>
    <row r="648">
      <c r="A648" s="1">
        <f>IFERROR(__xludf.DUMMYFUNCTION("""COMPUTED_VALUE"""),647.0)</f>
        <v>647</v>
      </c>
      <c r="B648" s="1">
        <f>IFERROR(__xludf.DUMMYFUNCTION("""COMPUTED_VALUE"""),10528.0)</f>
        <v>10528</v>
      </c>
      <c r="C648" s="2" t="str">
        <f>IFERROR(__xludf.DUMMYFUNCTION("""COMPUTED_VALUE"""),"Wahyu Indra")</f>
        <v>Wahyu Indra</v>
      </c>
      <c r="D648" s="2" t="str">
        <f>IFERROR(__xludf.DUMMYFUNCTION("""COMPUTED_VALUE"""),"10KM OVERALL M")</f>
        <v>10KM OVERALL M</v>
      </c>
      <c r="E648" s="1">
        <f>IFERROR(__xludf.DUMMYFUNCTION("""COMPUTED_VALUE"""),1.0)</f>
        <v>1</v>
      </c>
      <c r="F648" s="1" t="str">
        <f>IFERROR(__xludf.DUMMYFUNCTION("""COMPUTED_VALUE"""),"Male")</f>
        <v>Male</v>
      </c>
      <c r="G648" s="4" t="b">
        <f>IFERROR(__xludf.DUMMYFUNCTION("""COMPUTED_VALUE"""),TRUE)</f>
        <v>1</v>
      </c>
      <c r="H648" s="4" t="b">
        <f>IFERROR(__xludf.DUMMYFUNCTION("""COMPUTED_VALUE"""),TRUE)</f>
        <v>1</v>
      </c>
      <c r="I648" s="4">
        <f>IFERROR(__xludf.DUMMYFUNCTION("""COMPUTED_VALUE"""),0.24646185185185185)</f>
        <v>0.2464618519</v>
      </c>
      <c r="J648" s="4">
        <f>IFERROR(__xludf.DUMMYFUNCTION("""COMPUTED_VALUE"""),45949.256655180034)</f>
        <v>45949.25666</v>
      </c>
      <c r="K648" s="4">
        <f>IFERROR(__xludf.DUMMYFUNCTION("""COMPUTED_VALUE"""),45949.32015046296)</f>
        <v>45949.32015</v>
      </c>
      <c r="L648" s="4">
        <f>IFERROR(__xludf.DUMMYFUNCTION("""COMPUTED_VALUE"""),45949.28494595201)</f>
        <v>45949.28495</v>
      </c>
      <c r="M648" s="1" t="str">
        <f>IFERROR(__xludf.DUMMYFUNCTION("""COMPUTED_VALUE"""),"RFID")</f>
        <v>RFID</v>
      </c>
      <c r="N648" s="5">
        <f>IFERROR(__xludf.DUMMYFUNCTION("""COMPUTED_VALUE"""),0.004077333333333333)</f>
        <v>0.004077333333</v>
      </c>
      <c r="O648" s="5">
        <f>IFERROR(__xludf.DUMMYFUNCTION("""COMPUTED_VALUE"""),0.02539811111111111)</f>
        <v>0.02539811111</v>
      </c>
      <c r="P648" s="5">
        <f>IFERROR(__xludf.DUMMYFUNCTION("""COMPUTED_VALUE"""),-0.014487453067455816)</f>
        <v>-0.01448745307</v>
      </c>
      <c r="Q648" s="5">
        <f>IFERROR(__xludf.DUMMYFUNCTION("""COMPUTED_VALUE"""),0.0038484097222222222)</f>
        <v>0.003848409722</v>
      </c>
      <c r="R648" s="4">
        <f>IFERROR(__xludf.DUMMYFUNCTION("""COMPUTED_VALUE"""),45949.03848410016)</f>
        <v>45949.03848</v>
      </c>
      <c r="S648" s="1" t="b">
        <f>IFERROR(__xludf.DUMMYFUNCTION("""COMPUTED_VALUE"""),TRUE)</f>
        <v>1</v>
      </c>
      <c r="T648" s="1" t="b">
        <f>IFERROR(__xludf.DUMMYFUNCTION("""COMPUTED_VALUE"""),FALSE)</f>
        <v>0</v>
      </c>
      <c r="U648" s="1" t="str">
        <f>IFERROR(__xludf.DUMMYFUNCTION("""COMPUTED_VALUE"""),"VALID")</f>
        <v>VALID</v>
      </c>
      <c r="V648" s="1">
        <f>IFERROR(__xludf.DUMMYFUNCTION("""COMPUTED_VALUE"""),77.0)</f>
        <v>77</v>
      </c>
      <c r="W648" s="1">
        <f>IFERROR(__xludf.DUMMYFUNCTION("""COMPUTED_VALUE"""),94.0)</f>
        <v>94</v>
      </c>
      <c r="X648" s="1">
        <f>IFERROR(__xludf.DUMMYFUNCTION("""COMPUTED_VALUE"""),901.0)</f>
        <v>901</v>
      </c>
      <c r="Y648" s="2"/>
      <c r="Z648" s="2"/>
    </row>
    <row r="649">
      <c r="A649" s="1">
        <f>IFERROR(__xludf.DUMMYFUNCTION("""COMPUTED_VALUE"""),648.0)</f>
        <v>648</v>
      </c>
      <c r="B649" s="1">
        <f>IFERROR(__xludf.DUMMYFUNCTION("""COMPUTED_VALUE"""),10529.0)</f>
        <v>10529</v>
      </c>
      <c r="C649" s="2" t="str">
        <f>IFERROR(__xludf.DUMMYFUNCTION("""COMPUTED_VALUE"""),"Farhan")</f>
        <v>Farhan</v>
      </c>
      <c r="D649" s="2" t="str">
        <f>IFERROR(__xludf.DUMMYFUNCTION("""COMPUTED_VALUE"""),"10KM OVERALL M")</f>
        <v>10KM OVERALL M</v>
      </c>
      <c r="E649" s="1">
        <f>IFERROR(__xludf.DUMMYFUNCTION("""COMPUTED_VALUE"""),1.0)</f>
        <v>1</v>
      </c>
      <c r="F649" s="1" t="str">
        <f>IFERROR(__xludf.DUMMYFUNCTION("""COMPUTED_VALUE"""),"Male")</f>
        <v>Male</v>
      </c>
      <c r="G649" s="4" t="b">
        <f>IFERROR(__xludf.DUMMYFUNCTION("""COMPUTED_VALUE"""),TRUE)</f>
        <v>1</v>
      </c>
      <c r="H649" s="4" t="b">
        <f>IFERROR(__xludf.DUMMYFUNCTION("""COMPUTED_VALUE"""),TRUE)</f>
        <v>1</v>
      </c>
      <c r="I649" s="4">
        <f>IFERROR(__xludf.DUMMYFUNCTION("""COMPUTED_VALUE"""),0.24646185185185185)</f>
        <v>0.2464618519</v>
      </c>
      <c r="J649" s="4">
        <f>IFERROR(__xludf.DUMMYFUNCTION("""COMPUTED_VALUE"""),45949.25706487789)</f>
        <v>45949.25706</v>
      </c>
      <c r="K649" s="4">
        <f>IFERROR(__xludf.DUMMYFUNCTION("""COMPUTED_VALUE"""),45949.28093295423)</f>
        <v>45949.28093</v>
      </c>
      <c r="L649" s="4">
        <f>IFERROR(__xludf.DUMMYFUNCTION("""COMPUTED_VALUE"""),45949.28802935574)</f>
        <v>45949.28803</v>
      </c>
      <c r="M649" s="1" t="str">
        <f>IFERROR(__xludf.DUMMYFUNCTION("""COMPUTED_VALUE"""),"RFID")</f>
        <v>RFID</v>
      </c>
      <c r="N649" s="5">
        <f>IFERROR(__xludf.DUMMYFUNCTION("""COMPUTED_VALUE"""),0.004241208333333334)</f>
        <v>0.004241208333</v>
      </c>
      <c r="O649" s="5">
        <f>IFERROR(__xludf.DUMMYFUNCTION("""COMPUTED_VALUE"""),0.009547231481481483)</f>
        <v>0.009547231481</v>
      </c>
      <c r="P649" s="5">
        <f>IFERROR(__xludf.DUMMYFUNCTION("""COMPUTED_VALUE"""),0.002920329839651331)</f>
        <v>0.00292032984</v>
      </c>
      <c r="Q649" s="5">
        <f>IFERROR(__xludf.DUMMYFUNCTION("""COMPUTED_VALUE"""),0.00415675)</f>
        <v>0.00415675</v>
      </c>
      <c r="R649" s="4">
        <f>IFERROR(__xludf.DUMMYFUNCTION("""COMPUTED_VALUE"""),45949.04156750389)</f>
        <v>45949.04157</v>
      </c>
      <c r="S649" s="1" t="b">
        <f>IFERROR(__xludf.DUMMYFUNCTION("""COMPUTED_VALUE"""),TRUE)</f>
        <v>1</v>
      </c>
      <c r="T649" s="1" t="b">
        <f>IFERROR(__xludf.DUMMYFUNCTION("""COMPUTED_VALUE"""),FALSE)</f>
        <v>0</v>
      </c>
      <c r="U649" s="1" t="str">
        <f>IFERROR(__xludf.DUMMYFUNCTION("""COMPUTED_VALUE"""),"VALID")</f>
        <v>VALID</v>
      </c>
      <c r="V649" s="1">
        <f>IFERROR(__xludf.DUMMYFUNCTION("""COMPUTED_VALUE"""),133.0)</f>
        <v>133</v>
      </c>
      <c r="W649" s="1">
        <f>IFERROR(__xludf.DUMMYFUNCTION("""COMPUTED_VALUE"""),157.0)</f>
        <v>157</v>
      </c>
      <c r="X649" s="1">
        <f>IFERROR(__xludf.DUMMYFUNCTION("""COMPUTED_VALUE"""),1049.0)</f>
        <v>1049</v>
      </c>
      <c r="Y649" s="2"/>
      <c r="Z649" s="2"/>
    </row>
    <row r="650">
      <c r="A650" s="1">
        <f>IFERROR(__xludf.DUMMYFUNCTION("""COMPUTED_VALUE"""),649.0)</f>
        <v>649</v>
      </c>
      <c r="B650" s="1">
        <f>IFERROR(__xludf.DUMMYFUNCTION("""COMPUTED_VALUE"""),10530.0)</f>
        <v>10530</v>
      </c>
      <c r="C650" s="2" t="str">
        <f>IFERROR(__xludf.DUMMYFUNCTION("""COMPUTED_VALUE"""),"-")</f>
        <v>-</v>
      </c>
      <c r="D650" s="2" t="str">
        <f>IFERROR(__xludf.DUMMYFUNCTION("""COMPUTED_VALUE"""),"10KM OVERALL M")</f>
        <v>10KM OVERALL M</v>
      </c>
      <c r="E650" s="1">
        <f>IFERROR(__xludf.DUMMYFUNCTION("""COMPUTED_VALUE"""),1.0)</f>
        <v>1</v>
      </c>
      <c r="F650" s="1" t="str">
        <f>IFERROR(__xludf.DUMMYFUNCTION("""COMPUTED_VALUE"""),"Male")</f>
        <v>Male</v>
      </c>
      <c r="G650" s="4" t="b">
        <f>IFERROR(__xludf.DUMMYFUNCTION("""COMPUTED_VALUE"""),TRUE)</f>
        <v>1</v>
      </c>
      <c r="H650" s="4" t="b">
        <f>IFERROR(__xludf.DUMMYFUNCTION("""COMPUTED_VALUE"""),TRUE)</f>
        <v>1</v>
      </c>
      <c r="I650" s="4">
        <f>IFERROR(__xludf.DUMMYFUNCTION("""COMPUTED_VALUE"""),0.24646185185185185)</f>
        <v>0.2464618519</v>
      </c>
      <c r="J650" s="4">
        <f>IFERROR(__xludf.DUMMYFUNCTION("""COMPUTED_VALUE"""),45949.257960771836)</f>
        <v>45949.25796</v>
      </c>
      <c r="K650" s="4">
        <f>IFERROR(__xludf.DUMMYFUNCTION("""COMPUTED_VALUE"""),45949.28412393424)</f>
        <v>45949.28412</v>
      </c>
      <c r="L650" s="4">
        <f>IFERROR(__xludf.DUMMYFUNCTION("""COMPUTED_VALUE"""),45949.29207101386)</f>
        <v>45949.29207</v>
      </c>
      <c r="M650" s="1" t="str">
        <f>IFERROR(__xludf.DUMMYFUNCTION("""COMPUTED_VALUE"""),"RFID")</f>
        <v>RFID</v>
      </c>
      <c r="N650" s="5">
        <f>IFERROR(__xludf.DUMMYFUNCTION("""COMPUTED_VALUE"""),0.004599569444444444)</f>
        <v>0.004599569444</v>
      </c>
      <c r="O650" s="5">
        <f>IFERROR(__xludf.DUMMYFUNCTION("""COMPUTED_VALUE"""),0.010465263888888889)</f>
        <v>0.01046526389</v>
      </c>
      <c r="P650" s="5">
        <f>IFERROR(__xludf.DUMMYFUNCTION("""COMPUTED_VALUE"""),0.0032704031354088502)</f>
        <v>0.003270403135</v>
      </c>
      <c r="Q650" s="5">
        <f>IFERROR(__xludf.DUMMYFUNCTION("""COMPUTED_VALUE"""),0.004560916666666666)</f>
        <v>0.004560916667</v>
      </c>
      <c r="R650" s="4">
        <f>IFERROR(__xludf.DUMMYFUNCTION("""COMPUTED_VALUE"""),45949.04560916201)</f>
        <v>45949.04561</v>
      </c>
      <c r="S650" s="1" t="b">
        <f>IFERROR(__xludf.DUMMYFUNCTION("""COMPUTED_VALUE"""),TRUE)</f>
        <v>1</v>
      </c>
      <c r="T650" s="1" t="b">
        <f>IFERROR(__xludf.DUMMYFUNCTION("""COMPUTED_VALUE"""),FALSE)</f>
        <v>0</v>
      </c>
      <c r="U650" s="1" t="str">
        <f>IFERROR(__xludf.DUMMYFUNCTION("""COMPUTED_VALUE"""),"VALID")</f>
        <v>VALID</v>
      </c>
      <c r="V650" s="1">
        <f>IFERROR(__xludf.DUMMYFUNCTION("""COMPUTED_VALUE"""),229.0)</f>
        <v>229</v>
      </c>
      <c r="W650" s="1">
        <f>IFERROR(__xludf.DUMMYFUNCTION("""COMPUTED_VALUE"""),276.0)</f>
        <v>276</v>
      </c>
      <c r="X650" s="1">
        <f>IFERROR(__xludf.DUMMYFUNCTION("""COMPUTED_VALUE"""),1221.0)</f>
        <v>1221</v>
      </c>
      <c r="Y650" s="2"/>
      <c r="Z650" s="2"/>
    </row>
    <row r="651">
      <c r="A651" s="1">
        <f>IFERROR(__xludf.DUMMYFUNCTION("""COMPUTED_VALUE"""),650.0)</f>
        <v>650</v>
      </c>
      <c r="B651" s="1">
        <f>IFERROR(__xludf.DUMMYFUNCTION("""COMPUTED_VALUE"""),10531.0)</f>
        <v>10531</v>
      </c>
      <c r="C651" s="2" t="str">
        <f>IFERROR(__xludf.DUMMYFUNCTION("""COMPUTED_VALUE"""),"Agung Pribadi")</f>
        <v>Agung Pribadi</v>
      </c>
      <c r="D651" s="2" t="str">
        <f>IFERROR(__xludf.DUMMYFUNCTION("""COMPUTED_VALUE"""),"10KM OVERALL M")</f>
        <v>10KM OVERALL M</v>
      </c>
      <c r="E651" s="1">
        <f>IFERROR(__xludf.DUMMYFUNCTION("""COMPUTED_VALUE"""),1.0)</f>
        <v>1</v>
      </c>
      <c r="F651" s="1" t="str">
        <f>IFERROR(__xludf.DUMMYFUNCTION("""COMPUTED_VALUE"""),"Male")</f>
        <v>Male</v>
      </c>
      <c r="G651" s="4" t="b">
        <f>IFERROR(__xludf.DUMMYFUNCTION("""COMPUTED_VALUE"""),TRUE)</f>
        <v>1</v>
      </c>
      <c r="H651" s="4" t="b">
        <f>IFERROR(__xludf.DUMMYFUNCTION("""COMPUTED_VALUE"""),FALSE)</f>
        <v>0</v>
      </c>
      <c r="I651" s="4">
        <f>IFERROR(__xludf.DUMMYFUNCTION("""COMPUTED_VALUE"""),0.24646185185185185)</f>
        <v>0.2464618519</v>
      </c>
      <c r="J651" s="4">
        <f>IFERROR(__xludf.DUMMYFUNCTION("""COMPUTED_VALUE"""),45949.258551044986)</f>
        <v>45949.25855</v>
      </c>
      <c r="K651" s="4">
        <f>IFERROR(__xludf.DUMMYFUNCTION("""COMPUTED_VALUE"""),45949.292634607744)</f>
        <v>45949.29263</v>
      </c>
      <c r="L651" s="4">
        <f>IFERROR(__xludf.DUMMYFUNCTION("""COMPUTED_VALUE"""),45949.30200156736)</f>
        <v>45949.302</v>
      </c>
      <c r="M651" s="1" t="str">
        <f>IFERROR(__xludf.DUMMYFUNCTION("""COMPUTED_VALUE"""),"RFID")</f>
        <v>RFID</v>
      </c>
      <c r="N651" s="5">
        <f>IFERROR(__xludf.DUMMYFUNCTION("""COMPUTED_VALUE"""),0.004835675925925926)</f>
        <v>0.004835675926</v>
      </c>
      <c r="O651" s="5">
        <f>IFERROR(__xludf.DUMMYFUNCTION("""COMPUTED_VALUE"""),0.013633425925925927)</f>
        <v>0.01363342593</v>
      </c>
      <c r="P651" s="5">
        <f>IFERROR(__xludf.DUMMYFUNCTION("""COMPUTED_VALUE"""),0.0038547158918445044)</f>
        <v>0.003854715892</v>
      </c>
      <c r="Q651" s="5">
        <f>IFERROR(__xludf.DUMMYFUNCTION("""COMPUTED_VALUE"""),0.005553971064814815)</f>
        <v>0.005553971065</v>
      </c>
      <c r="R651" s="4">
        <f>IFERROR(__xludf.DUMMYFUNCTION("""COMPUTED_VALUE"""),45949.05553971551)</f>
        <v>45949.05554</v>
      </c>
      <c r="S651" s="1" t="b">
        <f>IFERROR(__xludf.DUMMYFUNCTION("""COMPUTED_VALUE"""),TRUE)</f>
        <v>1</v>
      </c>
      <c r="T651" s="1" t="b">
        <f>IFERROR(__xludf.DUMMYFUNCTION("""COMPUTED_VALUE"""),FALSE)</f>
        <v>0</v>
      </c>
      <c r="U651" s="1" t="str">
        <f>IFERROR(__xludf.DUMMYFUNCTION("""COMPUTED_VALUE"""),"VALID")</f>
        <v>VALID</v>
      </c>
      <c r="V651" s="1">
        <f>IFERROR(__xludf.DUMMYFUNCTION("""COMPUTED_VALUE"""),470.0)</f>
        <v>470</v>
      </c>
      <c r="W651" s="1">
        <f>IFERROR(__xludf.DUMMYFUNCTION("""COMPUTED_VALUE"""),563.0)</f>
        <v>563</v>
      </c>
      <c r="X651" s="1">
        <f>IFERROR(__xludf.DUMMYFUNCTION("""COMPUTED_VALUE"""),1536.0)</f>
        <v>1536</v>
      </c>
      <c r="Y651" s="2"/>
      <c r="Z651" s="2"/>
    </row>
    <row r="652">
      <c r="A652" s="1">
        <f>IFERROR(__xludf.DUMMYFUNCTION("""COMPUTED_VALUE"""),651.0)</f>
        <v>651</v>
      </c>
      <c r="B652" s="1">
        <f>IFERROR(__xludf.DUMMYFUNCTION("""COMPUTED_VALUE"""),10532.0)</f>
        <v>10532</v>
      </c>
      <c r="C652" s="2" t="str">
        <f>IFERROR(__xludf.DUMMYFUNCTION("""COMPUTED_VALUE"""),"MAULANA IBRAHIM")</f>
        <v>MAULANA IBRAHIM</v>
      </c>
      <c r="D652" s="2" t="str">
        <f>IFERROR(__xludf.DUMMYFUNCTION("""COMPUTED_VALUE"""),"10KM OVERALL M")</f>
        <v>10KM OVERALL M</v>
      </c>
      <c r="E652" s="1">
        <f>IFERROR(__xludf.DUMMYFUNCTION("""COMPUTED_VALUE"""),1.0)</f>
        <v>1</v>
      </c>
      <c r="F652" s="1" t="str">
        <f>IFERROR(__xludf.DUMMYFUNCTION("""COMPUTED_VALUE"""),"Male")</f>
        <v>Male</v>
      </c>
      <c r="G652" s="4" t="b">
        <f>IFERROR(__xludf.DUMMYFUNCTION("""COMPUTED_VALUE"""),TRUE)</f>
        <v>1</v>
      </c>
      <c r="H652" s="4" t="b">
        <f>IFERROR(__xludf.DUMMYFUNCTION("""COMPUTED_VALUE"""),TRUE)</f>
        <v>1</v>
      </c>
      <c r="I652" s="4">
        <f>IFERROR(__xludf.DUMMYFUNCTION("""COMPUTED_VALUE"""),0.24646185185185185)</f>
        <v>0.2464618519</v>
      </c>
      <c r="J652" s="4">
        <f>IFERROR(__xludf.DUMMYFUNCTION("""COMPUTED_VALUE"""),45949.25951628128)</f>
        <v>45949.25952</v>
      </c>
      <c r="K652" s="4">
        <f>IFERROR(__xludf.DUMMYFUNCTION("""COMPUTED_VALUE"""),45949.295047780324)</f>
        <v>45949.29505</v>
      </c>
      <c r="L652" s="4">
        <f>IFERROR(__xludf.DUMMYFUNCTION("""COMPUTED_VALUE"""),45949.30620642252)</f>
        <v>45949.30621</v>
      </c>
      <c r="M652" s="1" t="str">
        <f>IFERROR(__xludf.DUMMYFUNCTION("""COMPUTED_VALUE"""),"RFID")</f>
        <v>RFID</v>
      </c>
      <c r="N652" s="5">
        <f>IFERROR(__xludf.DUMMYFUNCTION("""COMPUTED_VALUE"""),0.005221773148148148)</f>
        <v>0.005221773148</v>
      </c>
      <c r="O652" s="5">
        <f>IFERROR(__xludf.DUMMYFUNCTION("""COMPUTED_VALUE"""),0.014212601851851853)</f>
        <v>0.01421260185</v>
      </c>
      <c r="P652" s="5">
        <f>IFERROR(__xludf.DUMMYFUNCTION("""COMPUTED_VALUE"""),0.004592033826751795)</f>
        <v>0.004592033827</v>
      </c>
      <c r="Q652" s="5">
        <f>IFERROR(__xludf.DUMMYFUNCTION("""COMPUTED_VALUE"""),0.005974457175925926)</f>
        <v>0.005974457176</v>
      </c>
      <c r="R652" s="4">
        <f>IFERROR(__xludf.DUMMYFUNCTION("""COMPUTED_VALUE"""),45949.05974457067)</f>
        <v>45949.05974</v>
      </c>
      <c r="S652" s="1" t="b">
        <f>IFERROR(__xludf.DUMMYFUNCTION("""COMPUTED_VALUE"""),TRUE)</f>
        <v>1</v>
      </c>
      <c r="T652" s="1" t="b">
        <f>IFERROR(__xludf.DUMMYFUNCTION("""COMPUTED_VALUE"""),FALSE)</f>
        <v>0</v>
      </c>
      <c r="U652" s="1" t="str">
        <f>IFERROR(__xludf.DUMMYFUNCTION("""COMPUTED_VALUE"""),"VALID")</f>
        <v>VALID</v>
      </c>
      <c r="V652" s="1">
        <f>IFERROR(__xludf.DUMMYFUNCTION("""COMPUTED_VALUE"""),530.0)</f>
        <v>530</v>
      </c>
      <c r="W652" s="1">
        <f>IFERROR(__xludf.DUMMYFUNCTION("""COMPUTED_VALUE"""),650.0)</f>
        <v>650</v>
      </c>
      <c r="X652" s="1">
        <f>IFERROR(__xludf.DUMMYFUNCTION("""COMPUTED_VALUE"""),1604.0)</f>
        <v>1604</v>
      </c>
      <c r="Y652" s="2"/>
      <c r="Z652" s="2"/>
    </row>
    <row r="653">
      <c r="A653" s="1">
        <f>IFERROR(__xludf.DUMMYFUNCTION("""COMPUTED_VALUE"""),652.0)</f>
        <v>652</v>
      </c>
      <c r="B653" s="1">
        <f>IFERROR(__xludf.DUMMYFUNCTION("""COMPUTED_VALUE"""),10534.0)</f>
        <v>10534</v>
      </c>
      <c r="C653" s="2" t="str">
        <f>IFERROR(__xludf.DUMMYFUNCTION("""COMPUTED_VALUE"""),"SANDY")</f>
        <v>SANDY</v>
      </c>
      <c r="D653" s="2" t="str">
        <f>IFERROR(__xludf.DUMMYFUNCTION("""COMPUTED_VALUE"""),"10KM OVERALL M")</f>
        <v>10KM OVERALL M</v>
      </c>
      <c r="E653" s="1">
        <f>IFERROR(__xludf.DUMMYFUNCTION("""COMPUTED_VALUE"""),1.0)</f>
        <v>1</v>
      </c>
      <c r="F653" s="1" t="str">
        <f>IFERROR(__xludf.DUMMYFUNCTION("""COMPUTED_VALUE"""),"Male")</f>
        <v>Male</v>
      </c>
      <c r="G653" s="4" t="str">
        <f>IFERROR(__xludf.DUMMYFUNCTION("""COMPUTED_VALUE"""),"")</f>
        <v/>
      </c>
      <c r="H653" s="4" t="b">
        <f>IFERROR(__xludf.DUMMYFUNCTION("""COMPUTED_VALUE"""),TRUE)</f>
        <v>1</v>
      </c>
      <c r="I653" s="4">
        <f>IFERROR(__xludf.DUMMYFUNCTION("""COMPUTED_VALUE"""),0.24646185185185185)</f>
        <v>0.2464618519</v>
      </c>
      <c r="J653" s="4">
        <f>IFERROR(__xludf.DUMMYFUNCTION("""COMPUTED_VALUE"""),45949.28346074655)</f>
        <v>45949.28346</v>
      </c>
      <c r="K653" s="4" t="str">
        <f>IFERROR(__xludf.DUMMYFUNCTION("""COMPUTED_VALUE"""),"")</f>
        <v/>
      </c>
      <c r="L653" s="4">
        <f>IFERROR(__xludf.DUMMYFUNCTION("""COMPUTED_VALUE"""),45949.30432448445)</f>
        <v>45949.30432</v>
      </c>
      <c r="M653" s="1" t="str">
        <f>IFERROR(__xludf.DUMMYFUNCTION("""COMPUTED_VALUE"""),"RFID")</f>
        <v>RFID</v>
      </c>
      <c r="N653" s="5">
        <f>IFERROR(__xludf.DUMMYFUNCTION("""COMPUTED_VALUE"""),0.014799560185185185)</f>
        <v>0.01479956019</v>
      </c>
      <c r="O653" s="5" t="str">
        <f>IFERROR(__xludf.DUMMYFUNCTION("""COMPUTED_VALUE"""),"")</f>
        <v/>
      </c>
      <c r="P653" s="5" t="str">
        <f>IFERROR(__xludf.DUMMYFUNCTION("""COMPUTED_VALUE"""),"")</f>
        <v/>
      </c>
      <c r="Q653" s="5">
        <f>IFERROR(__xludf.DUMMYFUNCTION("""COMPUTED_VALUE"""),0.005786262731481482)</f>
        <v>0.005786262731</v>
      </c>
      <c r="R653" s="4">
        <f>IFERROR(__xludf.DUMMYFUNCTION("""COMPUTED_VALUE"""),45949.0578626326)</f>
        <v>45949.05786</v>
      </c>
      <c r="S653" s="1" t="b">
        <f>IFERROR(__xludf.DUMMYFUNCTION("""COMPUTED_VALUE"""),TRUE)</f>
        <v>1</v>
      </c>
      <c r="T653" s="1" t="b">
        <f>IFERROR(__xludf.DUMMYFUNCTION("""COMPUTED_VALUE"""),FALSE)</f>
        <v>0</v>
      </c>
      <c r="U653" s="1" t="str">
        <f>IFERROR(__xludf.DUMMYFUNCTION("""COMPUTED_VALUE"""),"VALID")</f>
        <v>VALID</v>
      </c>
      <c r="V653" s="1">
        <f>IFERROR(__xludf.DUMMYFUNCTION("""COMPUTED_VALUE"""),510.0)</f>
        <v>510</v>
      </c>
      <c r="W653" s="1">
        <f>IFERROR(__xludf.DUMMYFUNCTION("""COMPUTED_VALUE"""),618.0)</f>
        <v>618</v>
      </c>
      <c r="X653" s="1">
        <f>IFERROR(__xludf.DUMMYFUNCTION("""COMPUTED_VALUE"""),1583.0)</f>
        <v>1583</v>
      </c>
      <c r="Y653" s="2"/>
      <c r="Z653" s="2"/>
    </row>
    <row r="654">
      <c r="A654" s="1">
        <f>IFERROR(__xludf.DUMMYFUNCTION("""COMPUTED_VALUE"""),653.0)</f>
        <v>653</v>
      </c>
      <c r="B654" s="1">
        <f>IFERROR(__xludf.DUMMYFUNCTION("""COMPUTED_VALUE"""),10535.0)</f>
        <v>10535</v>
      </c>
      <c r="C654" s="2" t="str">
        <f>IFERROR(__xludf.DUMMYFUNCTION("""COMPUTED_VALUE"""),"Sugiarto")</f>
        <v>Sugiarto</v>
      </c>
      <c r="D654" s="2" t="str">
        <f>IFERROR(__xludf.DUMMYFUNCTION("""COMPUTED_VALUE"""),"10KM OVERALL M")</f>
        <v>10KM OVERALL M</v>
      </c>
      <c r="E654" s="1">
        <f>IFERROR(__xludf.DUMMYFUNCTION("""COMPUTED_VALUE"""),1.0)</f>
        <v>1</v>
      </c>
      <c r="F654" s="1" t="str">
        <f>IFERROR(__xludf.DUMMYFUNCTION("""COMPUTED_VALUE"""),"Male")</f>
        <v>Male</v>
      </c>
      <c r="G654" s="4" t="b">
        <f>IFERROR(__xludf.DUMMYFUNCTION("""COMPUTED_VALUE"""),TRUE)</f>
        <v>1</v>
      </c>
      <c r="H654" s="4" t="b">
        <f>IFERROR(__xludf.DUMMYFUNCTION("""COMPUTED_VALUE"""),TRUE)</f>
        <v>1</v>
      </c>
      <c r="I654" s="4">
        <f>IFERROR(__xludf.DUMMYFUNCTION("""COMPUTED_VALUE"""),0.24646185185185185)</f>
        <v>0.2464618519</v>
      </c>
      <c r="J654" s="4">
        <f>IFERROR(__xludf.DUMMYFUNCTION("""COMPUTED_VALUE"""),45949.25766210101)</f>
        <v>45949.25766</v>
      </c>
      <c r="K654" s="4">
        <f>IFERROR(__xludf.DUMMYFUNCTION("""COMPUTED_VALUE"""),45949.283873924745)</f>
        <v>45949.28387</v>
      </c>
      <c r="L654" s="4">
        <f>IFERROR(__xludf.DUMMYFUNCTION("""COMPUTED_VALUE"""),45949.29097031717)</f>
        <v>45949.29097</v>
      </c>
      <c r="M654" s="1" t="str">
        <f>IFERROR(__xludf.DUMMYFUNCTION("""COMPUTED_VALUE"""),"RFID")</f>
        <v>RFID</v>
      </c>
      <c r="N654" s="5">
        <f>IFERROR(__xludf.DUMMYFUNCTION("""COMPUTED_VALUE"""),0.004480101851851851)</f>
        <v>0.004480101852</v>
      </c>
      <c r="O654" s="5">
        <f>IFERROR(__xludf.DUMMYFUNCTION("""COMPUTED_VALUE"""),0.010484731481481482)</f>
        <v>0.01048473148</v>
      </c>
      <c r="P654" s="5">
        <f>IFERROR(__xludf.DUMMYFUNCTION("""COMPUTED_VALUE"""),0.0029203260998690015)</f>
        <v>0.0029203261</v>
      </c>
      <c r="Q654" s="5">
        <f>IFERROR(__xludf.DUMMYFUNCTION("""COMPUTED_VALUE"""),0.004450846064814815)</f>
        <v>0.004450846065</v>
      </c>
      <c r="R654" s="4">
        <f>IFERROR(__xludf.DUMMYFUNCTION("""COMPUTED_VALUE"""),45949.04450846532)</f>
        <v>45949.04451</v>
      </c>
      <c r="S654" s="1" t="b">
        <f>IFERROR(__xludf.DUMMYFUNCTION("""COMPUTED_VALUE"""),TRUE)</f>
        <v>1</v>
      </c>
      <c r="T654" s="1" t="b">
        <f>IFERROR(__xludf.DUMMYFUNCTION("""COMPUTED_VALUE"""),FALSE)</f>
        <v>0</v>
      </c>
      <c r="U654" s="1" t="str">
        <f>IFERROR(__xludf.DUMMYFUNCTION("""COMPUTED_VALUE"""),"VALID")</f>
        <v>VALID</v>
      </c>
      <c r="V654" s="1">
        <f>IFERROR(__xludf.DUMMYFUNCTION("""COMPUTED_VALUE"""),203.0)</f>
        <v>203</v>
      </c>
      <c r="W654" s="1">
        <f>IFERROR(__xludf.DUMMYFUNCTION("""COMPUTED_VALUE"""),245.0)</f>
        <v>245</v>
      </c>
      <c r="X654" s="1">
        <f>IFERROR(__xludf.DUMMYFUNCTION("""COMPUTED_VALUE"""),1175.0)</f>
        <v>1175</v>
      </c>
      <c r="Y654" s="2"/>
      <c r="Z654" s="2"/>
    </row>
    <row r="655">
      <c r="A655" s="1">
        <f>IFERROR(__xludf.DUMMYFUNCTION("""COMPUTED_VALUE"""),654.0)</f>
        <v>654</v>
      </c>
      <c r="B655" s="1">
        <f>IFERROR(__xludf.DUMMYFUNCTION("""COMPUTED_VALUE"""),10536.0)</f>
        <v>10536</v>
      </c>
      <c r="C655" s="2" t="str">
        <f>IFERROR(__xludf.DUMMYFUNCTION("""COMPUTED_VALUE"""),"Lanang Tenan")</f>
        <v>Lanang Tenan</v>
      </c>
      <c r="D655" s="2" t="str">
        <f>IFERROR(__xludf.DUMMYFUNCTION("""COMPUTED_VALUE"""),"10KM OVERALL M")</f>
        <v>10KM OVERALL M</v>
      </c>
      <c r="E655" s="1">
        <f>IFERROR(__xludf.DUMMYFUNCTION("""COMPUTED_VALUE"""),1.0)</f>
        <v>1</v>
      </c>
      <c r="F655" s="1" t="str">
        <f>IFERROR(__xludf.DUMMYFUNCTION("""COMPUTED_VALUE"""),"Male")</f>
        <v>Male</v>
      </c>
      <c r="G655" s="4" t="b">
        <f>IFERROR(__xludf.DUMMYFUNCTION("""COMPUTED_VALUE"""),TRUE)</f>
        <v>1</v>
      </c>
      <c r="H655" s="4" t="b">
        <f>IFERROR(__xludf.DUMMYFUNCTION("""COMPUTED_VALUE"""),FALSE)</f>
        <v>0</v>
      </c>
      <c r="I655" s="4">
        <f>IFERROR(__xludf.DUMMYFUNCTION("""COMPUTED_VALUE"""),0.24646185185185185)</f>
        <v>0.2464618519</v>
      </c>
      <c r="J655" s="4">
        <f>IFERROR(__xludf.DUMMYFUNCTION("""COMPUTED_VALUE"""),45949.26152674155)</f>
        <v>45949.26153</v>
      </c>
      <c r="K655" s="4">
        <f>IFERROR(__xludf.DUMMYFUNCTION("""COMPUTED_VALUE"""),45949.29944444047)</f>
        <v>45949.29944</v>
      </c>
      <c r="L655" s="4">
        <f>IFERROR(__xludf.DUMMYFUNCTION("""COMPUTED_VALUE"""),45949.31046099074)</f>
        <v>45949.31046</v>
      </c>
      <c r="M655" s="1" t="str">
        <f>IFERROR(__xludf.DUMMYFUNCTION("""COMPUTED_VALUE"""),"RFID")</f>
        <v>RFID</v>
      </c>
      <c r="N655" s="5">
        <f>IFERROR(__xludf.DUMMYFUNCTION("""COMPUTED_VALUE"""),0.0060259537037037035)</f>
        <v>0.006025953704</v>
      </c>
      <c r="O655" s="5">
        <f>IFERROR(__xludf.DUMMYFUNCTION("""COMPUTED_VALUE"""),0.015167078703703703)</f>
        <v>0.0151670787</v>
      </c>
      <c r="P655" s="5">
        <f>IFERROR(__xludf.DUMMYFUNCTION("""COMPUTED_VALUE"""),0.004533559781951454)</f>
        <v>0.004533559782</v>
      </c>
      <c r="Q655" s="5">
        <f>IFERROR(__xludf.DUMMYFUNCTION("""COMPUTED_VALUE"""),0.006399914351851851)</f>
        <v>0.006399914352</v>
      </c>
      <c r="R655" s="4">
        <f>IFERROR(__xludf.DUMMYFUNCTION("""COMPUTED_VALUE"""),45949.06399913889)</f>
        <v>45949.064</v>
      </c>
      <c r="S655" s="1" t="b">
        <f>IFERROR(__xludf.DUMMYFUNCTION("""COMPUTED_VALUE"""),TRUE)</f>
        <v>1</v>
      </c>
      <c r="T655" s="1" t="b">
        <f>IFERROR(__xludf.DUMMYFUNCTION("""COMPUTED_VALUE"""),FALSE)</f>
        <v>0</v>
      </c>
      <c r="U655" s="1" t="str">
        <f>IFERROR(__xludf.DUMMYFUNCTION("""COMPUTED_VALUE"""),"VALID")</f>
        <v>VALID</v>
      </c>
      <c r="V655" s="1">
        <f>IFERROR(__xludf.DUMMYFUNCTION("""COMPUTED_VALUE"""),563.0)</f>
        <v>563</v>
      </c>
      <c r="W655" s="1">
        <f>IFERROR(__xludf.DUMMYFUNCTION("""COMPUTED_VALUE"""),695.0)</f>
        <v>695</v>
      </c>
      <c r="X655" s="1">
        <f>IFERROR(__xludf.DUMMYFUNCTION("""COMPUTED_VALUE"""),1641.0)</f>
        <v>1641</v>
      </c>
      <c r="Y655" s="2"/>
      <c r="Z655" s="2"/>
    </row>
    <row r="656">
      <c r="A656" s="1">
        <f>IFERROR(__xludf.DUMMYFUNCTION("""COMPUTED_VALUE"""),655.0)</f>
        <v>655</v>
      </c>
      <c r="B656" s="1">
        <f>IFERROR(__xludf.DUMMYFUNCTION("""COMPUTED_VALUE"""),10537.0)</f>
        <v>10537</v>
      </c>
      <c r="C656" s="2" t="str">
        <f>IFERROR(__xludf.DUMMYFUNCTION("""COMPUTED_VALUE"""),"Muhammad Nagib")</f>
        <v>Muhammad Nagib</v>
      </c>
      <c r="D656" s="2" t="str">
        <f>IFERROR(__xludf.DUMMYFUNCTION("""COMPUTED_VALUE"""),"10KM OVERALL M")</f>
        <v>10KM OVERALL M</v>
      </c>
      <c r="E656" s="1">
        <f>IFERROR(__xludf.DUMMYFUNCTION("""COMPUTED_VALUE"""),1.0)</f>
        <v>1</v>
      </c>
      <c r="F656" s="1" t="str">
        <f>IFERROR(__xludf.DUMMYFUNCTION("""COMPUTED_VALUE"""),"Male")</f>
        <v>Male</v>
      </c>
      <c r="G656" s="4" t="b">
        <f>IFERROR(__xludf.DUMMYFUNCTION("""COMPUTED_VALUE"""),TRUE)</f>
        <v>1</v>
      </c>
      <c r="H656" s="4" t="b">
        <f>IFERROR(__xludf.DUMMYFUNCTION("""COMPUTED_VALUE"""),FALSE)</f>
        <v>0</v>
      </c>
      <c r="I656" s="4">
        <f>IFERROR(__xludf.DUMMYFUNCTION("""COMPUTED_VALUE"""),0.24646185185185185)</f>
        <v>0.2464618519</v>
      </c>
      <c r="J656" s="4">
        <f>IFERROR(__xludf.DUMMYFUNCTION("""COMPUTED_VALUE"""),45949.25767269279)</f>
        <v>45949.25767</v>
      </c>
      <c r="K656" s="4">
        <f>IFERROR(__xludf.DUMMYFUNCTION("""COMPUTED_VALUE"""),45949.293644991005)</f>
        <v>45949.29364</v>
      </c>
      <c r="L656" s="4">
        <f>IFERROR(__xludf.DUMMYFUNCTION("""COMPUTED_VALUE"""),45949.304748090566)</f>
        <v>45949.30475</v>
      </c>
      <c r="M656" s="1" t="str">
        <f>IFERROR(__xludf.DUMMYFUNCTION("""COMPUTED_VALUE"""),"RFID")</f>
        <v>RFID</v>
      </c>
      <c r="N656" s="5">
        <f>IFERROR(__xludf.DUMMYFUNCTION("""COMPUTED_VALUE"""),0.0044843379629629625)</f>
        <v>0.004484337963</v>
      </c>
      <c r="O656" s="5">
        <f>IFERROR(__xludf.DUMMYFUNCTION("""COMPUTED_VALUE"""),0.014388921296296297)</f>
        <v>0.0143889213</v>
      </c>
      <c r="P656" s="5">
        <f>IFERROR(__xludf.DUMMYFUNCTION("""COMPUTED_VALUE"""),0.0045691767741960505)</f>
        <v>0.004569176774</v>
      </c>
      <c r="Q656" s="5">
        <f>IFERROR(__xludf.DUMMYFUNCTION("""COMPUTED_VALUE"""),0.005828623842592593)</f>
        <v>0.005828623843</v>
      </c>
      <c r="R656" s="4">
        <f>IFERROR(__xludf.DUMMYFUNCTION("""COMPUTED_VALUE"""),45949.05828623872)</f>
        <v>45949.05829</v>
      </c>
      <c r="S656" s="1" t="b">
        <f>IFERROR(__xludf.DUMMYFUNCTION("""COMPUTED_VALUE"""),TRUE)</f>
        <v>1</v>
      </c>
      <c r="T656" s="1" t="b">
        <f>IFERROR(__xludf.DUMMYFUNCTION("""COMPUTED_VALUE"""),FALSE)</f>
        <v>0</v>
      </c>
      <c r="U656" s="1" t="str">
        <f>IFERROR(__xludf.DUMMYFUNCTION("""COMPUTED_VALUE"""),"VALID")</f>
        <v>VALID</v>
      </c>
      <c r="V656" s="1">
        <f>IFERROR(__xludf.DUMMYFUNCTION("""COMPUTED_VALUE"""),513.0)</f>
        <v>513</v>
      </c>
      <c r="W656" s="1">
        <f>IFERROR(__xludf.DUMMYFUNCTION("""COMPUTED_VALUE"""),624.0)</f>
        <v>624</v>
      </c>
      <c r="X656" s="1">
        <f>IFERROR(__xludf.DUMMYFUNCTION("""COMPUTED_VALUE"""),1587.0)</f>
        <v>1587</v>
      </c>
      <c r="Y656" s="2"/>
      <c r="Z656" s="2"/>
    </row>
    <row r="657">
      <c r="A657" s="1">
        <f>IFERROR(__xludf.DUMMYFUNCTION("""COMPUTED_VALUE"""),656.0)</f>
        <v>656</v>
      </c>
      <c r="B657" s="1">
        <f>IFERROR(__xludf.DUMMYFUNCTION("""COMPUTED_VALUE"""),10538.0)</f>
        <v>10538</v>
      </c>
      <c r="C657" s="2" t="str">
        <f>IFERROR(__xludf.DUMMYFUNCTION("""COMPUTED_VALUE"""),"ROHIT RAMADANI")</f>
        <v>ROHIT RAMADANI</v>
      </c>
      <c r="D657" s="2" t="str">
        <f>IFERROR(__xludf.DUMMYFUNCTION("""COMPUTED_VALUE"""),"10KM OVERALL M")</f>
        <v>10KM OVERALL M</v>
      </c>
      <c r="E657" s="1">
        <f>IFERROR(__xludf.DUMMYFUNCTION("""COMPUTED_VALUE"""),1.0)</f>
        <v>1</v>
      </c>
      <c r="F657" s="1" t="str">
        <f>IFERROR(__xludf.DUMMYFUNCTION("""COMPUTED_VALUE"""),"Male")</f>
        <v>Male</v>
      </c>
      <c r="G657" s="4" t="str">
        <f>IFERROR(__xludf.DUMMYFUNCTION("""COMPUTED_VALUE"""),"")</f>
        <v/>
      </c>
      <c r="H657" s="4" t="b">
        <f>IFERROR(__xludf.DUMMYFUNCTION("""COMPUTED_VALUE"""),FALSE)</f>
        <v>0</v>
      </c>
      <c r="I657" s="4">
        <f>IFERROR(__xludf.DUMMYFUNCTION("""COMPUTED_VALUE"""),0.24646185185185185)</f>
        <v>0.2464618519</v>
      </c>
      <c r="J657" s="4" t="str">
        <f>IFERROR(__xludf.DUMMYFUNCTION("""COMPUTED_VALUE"""),"")</f>
        <v/>
      </c>
      <c r="K657" s="4" t="str">
        <f>IFERROR(__xludf.DUMMYFUNCTION("""COMPUTED_VALUE"""),"")</f>
        <v/>
      </c>
      <c r="L657" s="4" t="str">
        <f>IFERROR(__xludf.DUMMYFUNCTION("""COMPUTED_VALUE"""),"")</f>
        <v/>
      </c>
      <c r="M657" s="1" t="str">
        <f>IFERROR(__xludf.DUMMYFUNCTION("""COMPUTED_VALUE"""),"RFID")</f>
        <v>RFID</v>
      </c>
      <c r="N657" s="5" t="str">
        <f>IFERROR(__xludf.DUMMYFUNCTION("""COMPUTED_VALUE"""),"")</f>
        <v/>
      </c>
      <c r="O657" s="5" t="str">
        <f>IFERROR(__xludf.DUMMYFUNCTION("""COMPUTED_VALUE"""),"")</f>
        <v/>
      </c>
      <c r="P657" s="5" t="str">
        <f>IFERROR(__xludf.DUMMYFUNCTION("""COMPUTED_VALUE"""),"")</f>
        <v/>
      </c>
      <c r="Q657" s="5" t="str">
        <f>IFERROR(__xludf.DUMMYFUNCTION("""COMPUTED_VALUE"""),"")</f>
        <v/>
      </c>
      <c r="R657" s="4" t="str">
        <f>IFERROR(__xludf.DUMMYFUNCTION("""COMPUTED_VALUE"""),"")</f>
        <v/>
      </c>
      <c r="S657" s="1" t="b">
        <f>IFERROR(__xludf.DUMMYFUNCTION("""COMPUTED_VALUE"""),FALSE)</f>
        <v>0</v>
      </c>
      <c r="T657" s="1" t="b">
        <f>IFERROR(__xludf.DUMMYFUNCTION("""COMPUTED_VALUE"""),FALSE)</f>
        <v>0</v>
      </c>
      <c r="U657" s="1" t="str">
        <f>IFERROR(__xludf.DUMMYFUNCTION("""COMPUTED_VALUE"""),"DSQ")</f>
        <v>DSQ</v>
      </c>
      <c r="V657" s="1" t="str">
        <f>IFERROR(__xludf.DUMMYFUNCTION("""COMPUTED_VALUE"""),"DSQ")</f>
        <v>DSQ</v>
      </c>
      <c r="W657" s="1" t="str">
        <f>IFERROR(__xludf.DUMMYFUNCTION("""COMPUTED_VALUE"""),"DSQ")</f>
        <v>DSQ</v>
      </c>
      <c r="X657" s="1" t="str">
        <f>IFERROR(__xludf.DUMMYFUNCTION("""COMPUTED_VALUE"""),"DSQ")</f>
        <v>DSQ</v>
      </c>
      <c r="Y657" s="2"/>
      <c r="Z657" s="2" t="str">
        <f>IFERROR(__xludf.DUMMYFUNCTION("""COMPUTED_VALUE"""),"")</f>
        <v/>
      </c>
    </row>
    <row r="658">
      <c r="A658" s="1">
        <f>IFERROR(__xludf.DUMMYFUNCTION("""COMPUTED_VALUE"""),657.0)</f>
        <v>657</v>
      </c>
      <c r="B658" s="1">
        <f>IFERROR(__xludf.DUMMYFUNCTION("""COMPUTED_VALUE"""),10539.0)</f>
        <v>10539</v>
      </c>
      <c r="C658" s="2" t="str">
        <f>IFERROR(__xludf.DUMMYFUNCTION("""COMPUTED_VALUE"""),"Orlandy")</f>
        <v>Orlandy</v>
      </c>
      <c r="D658" s="2" t="str">
        <f>IFERROR(__xludf.DUMMYFUNCTION("""COMPUTED_VALUE"""),"10KM OVERALL M")</f>
        <v>10KM OVERALL M</v>
      </c>
      <c r="E658" s="1">
        <f>IFERROR(__xludf.DUMMYFUNCTION("""COMPUTED_VALUE"""),1.0)</f>
        <v>1</v>
      </c>
      <c r="F658" s="1" t="str">
        <f>IFERROR(__xludf.DUMMYFUNCTION("""COMPUTED_VALUE"""),"Male")</f>
        <v>Male</v>
      </c>
      <c r="G658" s="4" t="b">
        <f>IFERROR(__xludf.DUMMYFUNCTION("""COMPUTED_VALUE"""),TRUE)</f>
        <v>1</v>
      </c>
      <c r="H658" s="4" t="b">
        <f>IFERROR(__xludf.DUMMYFUNCTION("""COMPUTED_VALUE"""),FALSE)</f>
        <v>0</v>
      </c>
      <c r="I658" s="4">
        <f>IFERROR(__xludf.DUMMYFUNCTION("""COMPUTED_VALUE"""),0.24646185185185185)</f>
        <v>0.2464618519</v>
      </c>
      <c r="J658" s="4">
        <f>IFERROR(__xludf.DUMMYFUNCTION("""COMPUTED_VALUE"""),45949.25436703782)</f>
        <v>45949.25437</v>
      </c>
      <c r="K658" s="4">
        <f>IFERROR(__xludf.DUMMYFUNCTION("""COMPUTED_VALUE"""),45949.27593450208)</f>
        <v>45949.27593</v>
      </c>
      <c r="L658" s="4">
        <f>IFERROR(__xludf.DUMMYFUNCTION("""COMPUTED_VALUE"""),45949.28253976079)</f>
        <v>45949.28254</v>
      </c>
      <c r="M658" s="1" t="str">
        <f>IFERROR(__xludf.DUMMYFUNCTION("""COMPUTED_VALUE"""),"RFID")</f>
        <v>RFID</v>
      </c>
      <c r="N658" s="5">
        <f>IFERROR(__xludf.DUMMYFUNCTION("""COMPUTED_VALUE"""),0.003162074074074074)</f>
        <v>0.003162074074</v>
      </c>
      <c r="O658" s="5">
        <f>IFERROR(__xludf.DUMMYFUNCTION("""COMPUTED_VALUE"""),0.008626986111111111)</f>
        <v>0.008626986111</v>
      </c>
      <c r="P658" s="5">
        <f>IFERROR(__xludf.DUMMYFUNCTION("""COMPUTED_VALUE"""),0.002718213459365683)</f>
        <v>0.002718213459</v>
      </c>
      <c r="Q658" s="5">
        <f>IFERROR(__xludf.DUMMYFUNCTION("""COMPUTED_VALUE"""),0.0036077905092592594)</f>
        <v>0.003607790509</v>
      </c>
      <c r="R658" s="4">
        <f>IFERROR(__xludf.DUMMYFUNCTION("""COMPUTED_VALUE"""),45949.03607790894)</f>
        <v>45949.03608</v>
      </c>
      <c r="S658" s="1" t="b">
        <f>IFERROR(__xludf.DUMMYFUNCTION("""COMPUTED_VALUE"""),TRUE)</f>
        <v>1</v>
      </c>
      <c r="T658" s="1" t="b">
        <f>IFERROR(__xludf.DUMMYFUNCTION("""COMPUTED_VALUE"""),FALSE)</f>
        <v>0</v>
      </c>
      <c r="U658" s="1" t="str">
        <f>IFERROR(__xludf.DUMMYFUNCTION("""COMPUTED_VALUE"""),"VALID")</f>
        <v>VALID</v>
      </c>
      <c r="V658" s="1">
        <f>IFERROR(__xludf.DUMMYFUNCTION("""COMPUTED_VALUE"""),44.0)</f>
        <v>44</v>
      </c>
      <c r="W658" s="1">
        <f>IFERROR(__xludf.DUMMYFUNCTION("""COMPUTED_VALUE"""),56.0)</f>
        <v>56</v>
      </c>
      <c r="X658" s="1">
        <f>IFERROR(__xludf.DUMMYFUNCTION("""COMPUTED_VALUE"""),779.0)</f>
        <v>779</v>
      </c>
      <c r="Y658" s="2"/>
      <c r="Z658" s="2"/>
    </row>
    <row r="659">
      <c r="A659" s="1">
        <f>IFERROR(__xludf.DUMMYFUNCTION("""COMPUTED_VALUE"""),658.0)</f>
        <v>658</v>
      </c>
      <c r="B659" s="1">
        <f>IFERROR(__xludf.DUMMYFUNCTION("""COMPUTED_VALUE"""),10540.0)</f>
        <v>10540</v>
      </c>
      <c r="C659" s="2" t="str">
        <f>IFERROR(__xludf.DUMMYFUNCTION("""COMPUTED_VALUE"""),"DIMAS")</f>
        <v>DIMAS</v>
      </c>
      <c r="D659" s="2" t="str">
        <f>IFERROR(__xludf.DUMMYFUNCTION("""COMPUTED_VALUE"""),"10KM OVERALL M")</f>
        <v>10KM OVERALL M</v>
      </c>
      <c r="E659" s="1">
        <f>IFERROR(__xludf.DUMMYFUNCTION("""COMPUTED_VALUE"""),1.0)</f>
        <v>1</v>
      </c>
      <c r="F659" s="1" t="str">
        <f>IFERROR(__xludf.DUMMYFUNCTION("""COMPUTED_VALUE"""),"Male")</f>
        <v>Male</v>
      </c>
      <c r="G659" s="4" t="b">
        <f>IFERROR(__xludf.DUMMYFUNCTION("""COMPUTED_VALUE"""),TRUE)</f>
        <v>1</v>
      </c>
      <c r="H659" s="4" t="b">
        <f>IFERROR(__xludf.DUMMYFUNCTION("""COMPUTED_VALUE"""),TRUE)</f>
        <v>1</v>
      </c>
      <c r="I659" s="4">
        <f>IFERROR(__xludf.DUMMYFUNCTION("""COMPUTED_VALUE"""),0.24646185185185185)</f>
        <v>0.2464618519</v>
      </c>
      <c r="J659" s="4">
        <f>IFERROR(__xludf.DUMMYFUNCTION("""COMPUTED_VALUE"""),45949.26202392407)</f>
        <v>45949.26202</v>
      </c>
      <c r="K659" s="4">
        <f>IFERROR(__xludf.DUMMYFUNCTION("""COMPUTED_VALUE"""),45949.29889153221)</f>
        <v>45949.29889</v>
      </c>
      <c r="L659" s="4">
        <f>IFERROR(__xludf.DUMMYFUNCTION("""COMPUTED_VALUE"""),45949.31030711619)</f>
        <v>45949.31031</v>
      </c>
      <c r="M659" s="1" t="str">
        <f>IFERROR(__xludf.DUMMYFUNCTION("""COMPUTED_VALUE"""),"RFID")</f>
        <v>RFID</v>
      </c>
      <c r="N659" s="5">
        <f>IFERROR(__xludf.DUMMYFUNCTION("""COMPUTED_VALUE"""),0.006224828703703704)</f>
        <v>0.006224828704</v>
      </c>
      <c r="O659" s="5">
        <f>IFERROR(__xludf.DUMMYFUNCTION("""COMPUTED_VALUE"""),0.014747041666666665)</f>
        <v>0.01474704167</v>
      </c>
      <c r="P659" s="5">
        <f>IFERROR(__xludf.DUMMYFUNCTION("""COMPUTED_VALUE"""),0.0046977711837391896)</f>
        <v>0.004697771184</v>
      </c>
      <c r="Q659" s="5">
        <f>IFERROR(__xludf.DUMMYFUNCTION("""COMPUTED_VALUE"""),0.00638452662037037)</f>
        <v>0.00638452662</v>
      </c>
      <c r="R659" s="4">
        <f>IFERROR(__xludf.DUMMYFUNCTION("""COMPUTED_VALUE"""),45949.06384526434)</f>
        <v>45949.06385</v>
      </c>
      <c r="S659" s="1" t="b">
        <f>IFERROR(__xludf.DUMMYFUNCTION("""COMPUTED_VALUE"""),TRUE)</f>
        <v>1</v>
      </c>
      <c r="T659" s="1" t="b">
        <f>IFERROR(__xludf.DUMMYFUNCTION("""COMPUTED_VALUE"""),FALSE)</f>
        <v>0</v>
      </c>
      <c r="U659" s="1" t="str">
        <f>IFERROR(__xludf.DUMMYFUNCTION("""COMPUTED_VALUE"""),"VALID")</f>
        <v>VALID</v>
      </c>
      <c r="V659" s="1">
        <f>IFERROR(__xludf.DUMMYFUNCTION("""COMPUTED_VALUE"""),559.0)</f>
        <v>559</v>
      </c>
      <c r="W659" s="1">
        <f>IFERROR(__xludf.DUMMYFUNCTION("""COMPUTED_VALUE"""),690.0)</f>
        <v>690</v>
      </c>
      <c r="X659" s="1">
        <f>IFERROR(__xludf.DUMMYFUNCTION("""COMPUTED_VALUE"""),1637.0)</f>
        <v>1637</v>
      </c>
      <c r="Y659" s="2"/>
      <c r="Z659" s="2"/>
    </row>
    <row r="660">
      <c r="A660" s="1">
        <f>IFERROR(__xludf.DUMMYFUNCTION("""COMPUTED_VALUE"""),659.0)</f>
        <v>659</v>
      </c>
      <c r="B660" s="1">
        <f>IFERROR(__xludf.DUMMYFUNCTION("""COMPUTED_VALUE"""),10541.0)</f>
        <v>10541</v>
      </c>
      <c r="C660" s="2" t="str">
        <f>IFERROR(__xludf.DUMMYFUNCTION("""COMPUTED_VALUE"""),"Sahid Ali")</f>
        <v>Sahid Ali</v>
      </c>
      <c r="D660" s="2" t="str">
        <f>IFERROR(__xludf.DUMMYFUNCTION("""COMPUTED_VALUE"""),"10KM OVERALL M")</f>
        <v>10KM OVERALL M</v>
      </c>
      <c r="E660" s="1">
        <f>IFERROR(__xludf.DUMMYFUNCTION("""COMPUTED_VALUE"""),1.0)</f>
        <v>1</v>
      </c>
      <c r="F660" s="1" t="str">
        <f>IFERROR(__xludf.DUMMYFUNCTION("""COMPUTED_VALUE"""),"Male")</f>
        <v>Male</v>
      </c>
      <c r="G660" s="4" t="b">
        <f>IFERROR(__xludf.DUMMYFUNCTION("""COMPUTED_VALUE"""),TRUE)</f>
        <v>1</v>
      </c>
      <c r="H660" s="4" t="b">
        <f>IFERROR(__xludf.DUMMYFUNCTION("""COMPUTED_VALUE"""),FALSE)</f>
        <v>0</v>
      </c>
      <c r="I660" s="4">
        <f>IFERROR(__xludf.DUMMYFUNCTION("""COMPUTED_VALUE"""),0.24646185185185185)</f>
        <v>0.2464618519</v>
      </c>
      <c r="J660" s="4">
        <f>IFERROR(__xludf.DUMMYFUNCTION("""COMPUTED_VALUE"""),45949.25733231009)</f>
        <v>45949.25733</v>
      </c>
      <c r="K660" s="4">
        <f>IFERROR(__xludf.DUMMYFUNCTION("""COMPUTED_VALUE"""),45949.28461004917)</f>
        <v>45949.28461</v>
      </c>
      <c r="L660" s="4">
        <f>IFERROR(__xludf.DUMMYFUNCTION("""COMPUTED_VALUE"""),45949.2927619805)</f>
        <v>45949.29276</v>
      </c>
      <c r="M660" s="1" t="str">
        <f>IFERROR(__xludf.DUMMYFUNCTION("""COMPUTED_VALUE"""),"RFID")</f>
        <v>RFID</v>
      </c>
      <c r="N660" s="5">
        <f>IFERROR(__xludf.DUMMYFUNCTION("""COMPUTED_VALUE"""),0.004348185185185185)</f>
        <v>0.004348185185</v>
      </c>
      <c r="O660" s="5">
        <f>IFERROR(__xludf.DUMMYFUNCTION("""COMPUTED_VALUE"""),0.010911097222222223)</f>
        <v>0.01091109722</v>
      </c>
      <c r="P660" s="5">
        <f>IFERROR(__xludf.DUMMYFUNCTION("""COMPUTED_VALUE"""),0.0033547042487208334)</f>
        <v>0.003354704249</v>
      </c>
      <c r="Q660" s="5">
        <f>IFERROR(__xludf.DUMMYFUNCTION("""COMPUTED_VALUE"""),0.0046300127314814815)</f>
        <v>0.004630012731</v>
      </c>
      <c r="R660" s="4">
        <f>IFERROR(__xludf.DUMMYFUNCTION("""COMPUTED_VALUE"""),45949.04630012865)</f>
        <v>45949.0463</v>
      </c>
      <c r="S660" s="1" t="b">
        <f>IFERROR(__xludf.DUMMYFUNCTION("""COMPUTED_VALUE"""),TRUE)</f>
        <v>1</v>
      </c>
      <c r="T660" s="1" t="b">
        <f>IFERROR(__xludf.DUMMYFUNCTION("""COMPUTED_VALUE"""),FALSE)</f>
        <v>0</v>
      </c>
      <c r="U660" s="1" t="str">
        <f>IFERROR(__xludf.DUMMYFUNCTION("""COMPUTED_VALUE"""),"VALID")</f>
        <v>VALID</v>
      </c>
      <c r="V660" s="1">
        <f>IFERROR(__xludf.DUMMYFUNCTION("""COMPUTED_VALUE"""),250.0)</f>
        <v>250</v>
      </c>
      <c r="W660" s="1">
        <f>IFERROR(__xludf.DUMMYFUNCTION("""COMPUTED_VALUE"""),299.0)</f>
        <v>299</v>
      </c>
      <c r="X660" s="1">
        <f>IFERROR(__xludf.DUMMYFUNCTION("""COMPUTED_VALUE"""),1253.0)</f>
        <v>1253</v>
      </c>
      <c r="Y660" s="2"/>
      <c r="Z660" s="2"/>
    </row>
    <row r="661">
      <c r="A661" s="1">
        <f>IFERROR(__xludf.DUMMYFUNCTION("""COMPUTED_VALUE"""),660.0)</f>
        <v>660</v>
      </c>
      <c r="B661" s="1">
        <f>IFERROR(__xludf.DUMMYFUNCTION("""COMPUTED_VALUE"""),10542.0)</f>
        <v>10542</v>
      </c>
      <c r="C661" s="2" t="str">
        <f>IFERROR(__xludf.DUMMYFUNCTION("""COMPUTED_VALUE"""),"Fajri Ramadhan")</f>
        <v>Fajri Ramadhan</v>
      </c>
      <c r="D661" s="2" t="str">
        <f>IFERROR(__xludf.DUMMYFUNCTION("""COMPUTED_VALUE"""),"10KM OVERALL M")</f>
        <v>10KM OVERALL M</v>
      </c>
      <c r="E661" s="1">
        <f>IFERROR(__xludf.DUMMYFUNCTION("""COMPUTED_VALUE"""),1.0)</f>
        <v>1</v>
      </c>
      <c r="F661" s="1" t="str">
        <f>IFERROR(__xludf.DUMMYFUNCTION("""COMPUTED_VALUE"""),"Male")</f>
        <v>Male</v>
      </c>
      <c r="G661" s="4" t="b">
        <f>IFERROR(__xludf.DUMMYFUNCTION("""COMPUTED_VALUE"""),TRUE)</f>
        <v>1</v>
      </c>
      <c r="H661" s="4" t="b">
        <f>IFERROR(__xludf.DUMMYFUNCTION("""COMPUTED_VALUE"""),FALSE)</f>
        <v>0</v>
      </c>
      <c r="I661" s="4">
        <f>IFERROR(__xludf.DUMMYFUNCTION("""COMPUTED_VALUE"""),0.24646185185185185)</f>
        <v>0.2464618519</v>
      </c>
      <c r="J661" s="4">
        <f>IFERROR(__xludf.DUMMYFUNCTION("""COMPUTED_VALUE"""),45949.26084614382)</f>
        <v>45949.26085</v>
      </c>
      <c r="K661" s="4">
        <f>IFERROR(__xludf.DUMMYFUNCTION("""COMPUTED_VALUE"""),45949.28601977698)</f>
        <v>45949.28602</v>
      </c>
      <c r="L661" s="4">
        <f>IFERROR(__xludf.DUMMYFUNCTION("""COMPUTED_VALUE"""),45949.29284178924)</f>
        <v>45949.29284</v>
      </c>
      <c r="M661" s="1" t="str">
        <f>IFERROR(__xludf.DUMMYFUNCTION("""COMPUTED_VALUE"""),"RFID")</f>
        <v>RFID</v>
      </c>
      <c r="N661" s="5">
        <f>IFERROR(__xludf.DUMMYFUNCTION("""COMPUTED_VALUE"""),0.005753717592592592)</f>
        <v>0.005753717593</v>
      </c>
      <c r="O661" s="5">
        <f>IFERROR(__xludf.DUMMYFUNCTION("""COMPUTED_VALUE"""),0.010069453703703704)</f>
        <v>0.0100694537</v>
      </c>
      <c r="P661" s="5">
        <f>IFERROR(__xludf.DUMMYFUNCTION("""COMPUTED_VALUE"""),0.002807412453909853)</f>
        <v>0.002807412454</v>
      </c>
      <c r="Q661" s="5">
        <f>IFERROR(__xludf.DUMMYFUNCTION("""COMPUTED_VALUE"""),0.004637994212962963)</f>
        <v>0.004637994213</v>
      </c>
      <c r="R661" s="4">
        <f>IFERROR(__xludf.DUMMYFUNCTION("""COMPUTED_VALUE"""),45949.04637993739)</f>
        <v>45949.04638</v>
      </c>
      <c r="S661" s="1" t="b">
        <f>IFERROR(__xludf.DUMMYFUNCTION("""COMPUTED_VALUE"""),TRUE)</f>
        <v>1</v>
      </c>
      <c r="T661" s="1" t="b">
        <f>IFERROR(__xludf.DUMMYFUNCTION("""COMPUTED_VALUE"""),FALSE)</f>
        <v>0</v>
      </c>
      <c r="U661" s="1" t="str">
        <f>IFERROR(__xludf.DUMMYFUNCTION("""COMPUTED_VALUE"""),"VALID")</f>
        <v>VALID</v>
      </c>
      <c r="V661" s="1">
        <f>IFERROR(__xludf.DUMMYFUNCTION("""COMPUTED_VALUE"""),254.0)</f>
        <v>254</v>
      </c>
      <c r="W661" s="1">
        <f>IFERROR(__xludf.DUMMYFUNCTION("""COMPUTED_VALUE"""),303.0)</f>
        <v>303</v>
      </c>
      <c r="X661" s="1">
        <f>IFERROR(__xludf.DUMMYFUNCTION("""COMPUTED_VALUE"""),1259.0)</f>
        <v>1259</v>
      </c>
      <c r="Y661" s="2"/>
      <c r="Z661" s="2"/>
    </row>
    <row r="662">
      <c r="A662" s="1">
        <f>IFERROR(__xludf.DUMMYFUNCTION("""COMPUTED_VALUE"""),661.0)</f>
        <v>661</v>
      </c>
      <c r="B662" s="1">
        <f>IFERROR(__xludf.DUMMYFUNCTION("""COMPUTED_VALUE"""),10543.0)</f>
        <v>10543</v>
      </c>
      <c r="C662" s="2" t="str">
        <f>IFERROR(__xludf.DUMMYFUNCTION("""COMPUTED_VALUE"""),"ajifahruzi")</f>
        <v>ajifahruzi</v>
      </c>
      <c r="D662" s="2" t="str">
        <f>IFERROR(__xludf.DUMMYFUNCTION("""COMPUTED_VALUE"""),"10KM OVERALL M")</f>
        <v>10KM OVERALL M</v>
      </c>
      <c r="E662" s="1">
        <f>IFERROR(__xludf.DUMMYFUNCTION("""COMPUTED_VALUE"""),1.0)</f>
        <v>1</v>
      </c>
      <c r="F662" s="1" t="str">
        <f>IFERROR(__xludf.DUMMYFUNCTION("""COMPUTED_VALUE"""),"Male")</f>
        <v>Male</v>
      </c>
      <c r="G662" s="4" t="b">
        <f>IFERROR(__xludf.DUMMYFUNCTION("""COMPUTED_VALUE"""),TRUE)</f>
        <v>1</v>
      </c>
      <c r="H662" s="4" t="b">
        <f>IFERROR(__xludf.DUMMYFUNCTION("""COMPUTED_VALUE"""),TRUE)</f>
        <v>1</v>
      </c>
      <c r="I662" s="4">
        <f>IFERROR(__xludf.DUMMYFUNCTION("""COMPUTED_VALUE"""),0.24646185185185185)</f>
        <v>0.2464618519</v>
      </c>
      <c r="J662" s="4">
        <f>IFERROR(__xludf.DUMMYFUNCTION("""COMPUTED_VALUE"""),45949.26205099458)</f>
        <v>45949.26205</v>
      </c>
      <c r="K662" s="4">
        <f>IFERROR(__xludf.DUMMYFUNCTION("""COMPUTED_VALUE"""),45949.298929670505)</f>
        <v>45949.29893</v>
      </c>
      <c r="L662" s="4">
        <f>IFERROR(__xludf.DUMMYFUNCTION("""COMPUTED_VALUE"""),45949.31031753653)</f>
        <v>45949.31032</v>
      </c>
      <c r="M662" s="1" t="str">
        <f>IFERROR(__xludf.DUMMYFUNCTION("""COMPUTED_VALUE"""),"RFID")</f>
        <v>RFID</v>
      </c>
      <c r="N662" s="5">
        <f>IFERROR(__xludf.DUMMYFUNCTION("""COMPUTED_VALUE"""),0.006235657407407408)</f>
        <v>0.006235657407</v>
      </c>
      <c r="O662" s="5">
        <f>IFERROR(__xludf.DUMMYFUNCTION("""COMPUTED_VALUE"""),0.014751472222222223)</f>
        <v>0.01475147222</v>
      </c>
      <c r="P662" s="5">
        <f>IFERROR(__xludf.DUMMYFUNCTION("""COMPUTED_VALUE"""),0.004686364620074116)</f>
        <v>0.00468636462</v>
      </c>
      <c r="Q662" s="5">
        <f>IFERROR(__xludf.DUMMYFUNCTION("""COMPUTED_VALUE"""),0.006385568287037037)</f>
        <v>0.006385568287</v>
      </c>
      <c r="R662" s="4">
        <f>IFERROR(__xludf.DUMMYFUNCTION("""COMPUTED_VALUE"""),45949.06385568468)</f>
        <v>45949.06386</v>
      </c>
      <c r="S662" s="1" t="b">
        <f>IFERROR(__xludf.DUMMYFUNCTION("""COMPUTED_VALUE"""),TRUE)</f>
        <v>1</v>
      </c>
      <c r="T662" s="1" t="b">
        <f>IFERROR(__xludf.DUMMYFUNCTION("""COMPUTED_VALUE"""),FALSE)</f>
        <v>0</v>
      </c>
      <c r="U662" s="1" t="str">
        <f>IFERROR(__xludf.DUMMYFUNCTION("""COMPUTED_VALUE"""),"VALID")</f>
        <v>VALID</v>
      </c>
      <c r="V662" s="1">
        <f>IFERROR(__xludf.DUMMYFUNCTION("""COMPUTED_VALUE"""),561.0)</f>
        <v>561</v>
      </c>
      <c r="W662" s="1">
        <f>IFERROR(__xludf.DUMMYFUNCTION("""COMPUTED_VALUE"""),692.0)</f>
        <v>692</v>
      </c>
      <c r="X662" s="1">
        <f>IFERROR(__xludf.DUMMYFUNCTION("""COMPUTED_VALUE"""),1639.0)</f>
        <v>1639</v>
      </c>
      <c r="Y662" s="2"/>
      <c r="Z662" s="2"/>
    </row>
    <row r="663">
      <c r="A663" s="1">
        <f>IFERROR(__xludf.DUMMYFUNCTION("""COMPUTED_VALUE"""),662.0)</f>
        <v>662</v>
      </c>
      <c r="B663" s="1">
        <f>IFERROR(__xludf.DUMMYFUNCTION("""COMPUTED_VALUE"""),10544.0)</f>
        <v>10544</v>
      </c>
      <c r="C663" s="2" t="str">
        <f>IFERROR(__xludf.DUMMYFUNCTION("""COMPUTED_VALUE"""),"Muhammad Saukani")</f>
        <v>Muhammad Saukani</v>
      </c>
      <c r="D663" s="2" t="str">
        <f>IFERROR(__xludf.DUMMYFUNCTION("""COMPUTED_VALUE"""),"10KM OVERALL M")</f>
        <v>10KM OVERALL M</v>
      </c>
      <c r="E663" s="1">
        <f>IFERROR(__xludf.DUMMYFUNCTION("""COMPUTED_VALUE"""),1.0)</f>
        <v>1</v>
      </c>
      <c r="F663" s="1" t="str">
        <f>IFERROR(__xludf.DUMMYFUNCTION("""COMPUTED_VALUE"""),"Male")</f>
        <v>Male</v>
      </c>
      <c r="G663" s="4" t="str">
        <f>IFERROR(__xludf.DUMMYFUNCTION("""COMPUTED_VALUE"""),"")</f>
        <v/>
      </c>
      <c r="H663" s="4" t="b">
        <f>IFERROR(__xludf.DUMMYFUNCTION("""COMPUTED_VALUE"""),TRUE)</f>
        <v>1</v>
      </c>
      <c r="I663" s="4">
        <f>IFERROR(__xludf.DUMMYFUNCTION("""COMPUTED_VALUE"""),0.24646185185185185)</f>
        <v>0.2464618519</v>
      </c>
      <c r="J663" s="4">
        <f>IFERROR(__xludf.DUMMYFUNCTION("""COMPUTED_VALUE"""),45949.258675989775)</f>
        <v>45949.25868</v>
      </c>
      <c r="K663" s="4">
        <f>IFERROR(__xludf.DUMMYFUNCTION("""COMPUTED_VALUE"""),45949.29065553889)</f>
        <v>45949.29066</v>
      </c>
      <c r="L663" s="4">
        <f>IFERROR(__xludf.DUMMYFUNCTION("""COMPUTED_VALUE"""),45949.29943212434)</f>
        <v>45949.29943</v>
      </c>
      <c r="M663" s="1" t="str">
        <f>IFERROR(__xludf.DUMMYFUNCTION("""COMPUTED_VALUE"""),"RFID")</f>
        <v>RFID</v>
      </c>
      <c r="N663" s="5">
        <f>IFERROR(__xludf.DUMMYFUNCTION("""COMPUTED_VALUE"""),0.004885657407407407)</f>
        <v>0.004885657407</v>
      </c>
      <c r="O663" s="5">
        <f>IFERROR(__xludf.DUMMYFUNCTION("""COMPUTED_VALUE"""),0.012791819444444444)</f>
        <v>0.01279181944</v>
      </c>
      <c r="P663" s="5">
        <f>IFERROR(__xludf.DUMMYFUNCTION("""COMPUTED_VALUE"""),0.0036117635587558008)</f>
        <v>0.003611763559</v>
      </c>
      <c r="Q663" s="5">
        <f>IFERROR(__xludf.DUMMYFUNCTION("""COMPUTED_VALUE"""),0.005297027777777777)</f>
        <v>0.005297027778</v>
      </c>
      <c r="R663" s="4">
        <f>IFERROR(__xludf.DUMMYFUNCTION("""COMPUTED_VALUE"""),45949.05297027249)</f>
        <v>45949.05297</v>
      </c>
      <c r="S663" s="1" t="b">
        <f>IFERROR(__xludf.DUMMYFUNCTION("""COMPUTED_VALUE"""),TRUE)</f>
        <v>1</v>
      </c>
      <c r="T663" s="1" t="b">
        <f>IFERROR(__xludf.DUMMYFUNCTION("""COMPUTED_VALUE"""),FALSE)</f>
        <v>0</v>
      </c>
      <c r="U663" s="1" t="str">
        <f>IFERROR(__xludf.DUMMYFUNCTION("""COMPUTED_VALUE"""),"VALID")</f>
        <v>VALID</v>
      </c>
      <c r="V663" s="1">
        <f>IFERROR(__xludf.DUMMYFUNCTION("""COMPUTED_VALUE"""),400.0)</f>
        <v>400</v>
      </c>
      <c r="W663" s="1">
        <f>IFERROR(__xludf.DUMMYFUNCTION("""COMPUTED_VALUE"""),478.0)</f>
        <v>478</v>
      </c>
      <c r="X663" s="1">
        <f>IFERROR(__xludf.DUMMYFUNCTION("""COMPUTED_VALUE"""),1454.0)</f>
        <v>1454</v>
      </c>
      <c r="Y663" s="2"/>
      <c r="Z663" s="2"/>
    </row>
    <row r="664">
      <c r="A664" s="1">
        <f>IFERROR(__xludf.DUMMYFUNCTION("""COMPUTED_VALUE"""),663.0)</f>
        <v>663</v>
      </c>
      <c r="B664" s="1">
        <f>IFERROR(__xludf.DUMMYFUNCTION("""COMPUTED_VALUE"""),10545.0)</f>
        <v>10545</v>
      </c>
      <c r="C664" s="2" t="str">
        <f>IFERROR(__xludf.DUMMYFUNCTION("""COMPUTED_VALUE"""),"Aby Aliya")</f>
        <v>Aby Aliya</v>
      </c>
      <c r="D664" s="2" t="str">
        <f>IFERROR(__xludf.DUMMYFUNCTION("""COMPUTED_VALUE"""),"10KM OVERALL M")</f>
        <v>10KM OVERALL M</v>
      </c>
      <c r="E664" s="1">
        <f>IFERROR(__xludf.DUMMYFUNCTION("""COMPUTED_VALUE"""),1.0)</f>
        <v>1</v>
      </c>
      <c r="F664" s="1" t="str">
        <f>IFERROR(__xludf.DUMMYFUNCTION("""COMPUTED_VALUE"""),"Male")</f>
        <v>Male</v>
      </c>
      <c r="G664" s="4" t="b">
        <f>IFERROR(__xludf.DUMMYFUNCTION("""COMPUTED_VALUE"""),TRUE)</f>
        <v>1</v>
      </c>
      <c r="H664" s="4" t="b">
        <f>IFERROR(__xludf.DUMMYFUNCTION("""COMPUTED_VALUE"""),TRUE)</f>
        <v>1</v>
      </c>
      <c r="I664" s="4">
        <f>IFERROR(__xludf.DUMMYFUNCTION("""COMPUTED_VALUE"""),0.24646185185185185)</f>
        <v>0.2464618519</v>
      </c>
      <c r="J664" s="4">
        <f>IFERROR(__xludf.DUMMYFUNCTION("""COMPUTED_VALUE"""),45949.25572120584)</f>
        <v>45949.25572</v>
      </c>
      <c r="K664" s="4">
        <f>IFERROR(__xludf.DUMMYFUNCTION("""COMPUTED_VALUE"""),45949.283679622014)</f>
        <v>45949.28368</v>
      </c>
      <c r="L664" s="4">
        <f>IFERROR(__xludf.DUMMYFUNCTION("""COMPUTED_VALUE"""),45949.292241156916)</f>
        <v>45949.29224</v>
      </c>
      <c r="M664" s="1" t="str">
        <f>IFERROR(__xludf.DUMMYFUNCTION("""COMPUTED_VALUE"""),"RFID")</f>
        <v>RFID</v>
      </c>
      <c r="N664" s="5">
        <f>IFERROR(__xludf.DUMMYFUNCTION("""COMPUTED_VALUE"""),0.003703740740740741)</f>
        <v>0.003703740741</v>
      </c>
      <c r="O664" s="5">
        <f>IFERROR(__xludf.DUMMYFUNCTION("""COMPUTED_VALUE"""),0.01118336574074074)</f>
        <v>0.01118336574</v>
      </c>
      <c r="P664" s="5">
        <f>IFERROR(__xludf.DUMMYFUNCTION("""COMPUTED_VALUE"""),0.0035232653916351603)</f>
        <v>0.003523265392</v>
      </c>
      <c r="Q664" s="5">
        <f>IFERROR(__xludf.DUMMYFUNCTION("""COMPUTED_VALUE"""),0.004577930555555556)</f>
        <v>0.004577930556</v>
      </c>
      <c r="R664" s="4">
        <f>IFERROR(__xludf.DUMMYFUNCTION("""COMPUTED_VALUE"""),45949.04577930507)</f>
        <v>45949.04578</v>
      </c>
      <c r="S664" s="1" t="b">
        <f>IFERROR(__xludf.DUMMYFUNCTION("""COMPUTED_VALUE"""),TRUE)</f>
        <v>1</v>
      </c>
      <c r="T664" s="1" t="b">
        <f>IFERROR(__xludf.DUMMYFUNCTION("""COMPUTED_VALUE"""),FALSE)</f>
        <v>0</v>
      </c>
      <c r="U664" s="1" t="str">
        <f>IFERROR(__xludf.DUMMYFUNCTION("""COMPUTED_VALUE"""),"VALID")</f>
        <v>VALID</v>
      </c>
      <c r="V664" s="1">
        <f>IFERROR(__xludf.DUMMYFUNCTION("""COMPUTED_VALUE"""),236.0)</f>
        <v>236</v>
      </c>
      <c r="W664" s="1">
        <f>IFERROR(__xludf.DUMMYFUNCTION("""COMPUTED_VALUE"""),283.0)</f>
        <v>283</v>
      </c>
      <c r="X664" s="1">
        <f>IFERROR(__xludf.DUMMYFUNCTION("""COMPUTED_VALUE"""),1228.0)</f>
        <v>1228</v>
      </c>
      <c r="Y664" s="2"/>
      <c r="Z664" s="2"/>
    </row>
    <row r="665">
      <c r="A665" s="1">
        <f>IFERROR(__xludf.DUMMYFUNCTION("""COMPUTED_VALUE"""),664.0)</f>
        <v>664</v>
      </c>
      <c r="B665" s="1">
        <f>IFERROR(__xludf.DUMMYFUNCTION("""COMPUTED_VALUE"""),10546.0)</f>
        <v>10546</v>
      </c>
      <c r="C665" s="2" t="str">
        <f>IFERROR(__xludf.DUMMYFUNCTION("""COMPUTED_VALUE"""),"M. albiansyah")</f>
        <v>M. albiansyah</v>
      </c>
      <c r="D665" s="2" t="str">
        <f>IFERROR(__xludf.DUMMYFUNCTION("""COMPUTED_VALUE"""),"10KM OVERALL M")</f>
        <v>10KM OVERALL M</v>
      </c>
      <c r="E665" s="1">
        <f>IFERROR(__xludf.DUMMYFUNCTION("""COMPUTED_VALUE"""),1.0)</f>
        <v>1</v>
      </c>
      <c r="F665" s="1" t="str">
        <f>IFERROR(__xludf.DUMMYFUNCTION("""COMPUTED_VALUE"""),"Male")</f>
        <v>Male</v>
      </c>
      <c r="G665" s="4" t="b">
        <f>IFERROR(__xludf.DUMMYFUNCTION("""COMPUTED_VALUE"""),TRUE)</f>
        <v>1</v>
      </c>
      <c r="H665" s="4" t="b">
        <f>IFERROR(__xludf.DUMMYFUNCTION("""COMPUTED_VALUE"""),FALSE)</f>
        <v>0</v>
      </c>
      <c r="I665" s="4">
        <f>IFERROR(__xludf.DUMMYFUNCTION("""COMPUTED_VALUE"""),0.24646185185185185)</f>
        <v>0.2464618519</v>
      </c>
      <c r="J665" s="4">
        <f>IFERROR(__xludf.DUMMYFUNCTION("""COMPUTED_VALUE"""),45949.255807932954)</f>
        <v>45949.25581</v>
      </c>
      <c r="K665" s="4">
        <f>IFERROR(__xludf.DUMMYFUNCTION("""COMPUTED_VALUE"""),45949.27883921625)</f>
        <v>45949.27884</v>
      </c>
      <c r="L665" s="4">
        <f>IFERROR(__xludf.DUMMYFUNCTION("""COMPUTED_VALUE"""),45949.285956418054)</f>
        <v>45949.28596</v>
      </c>
      <c r="M665" s="1" t="str">
        <f>IFERROR(__xludf.DUMMYFUNCTION("""COMPUTED_VALUE"""),"RFID")</f>
        <v>RFID</v>
      </c>
      <c r="N665" s="5">
        <f>IFERROR(__xludf.DUMMYFUNCTION("""COMPUTED_VALUE"""),0.003738430555555555)</f>
        <v>0.003738430556</v>
      </c>
      <c r="O665" s="5">
        <f>IFERROR(__xludf.DUMMYFUNCTION("""COMPUTED_VALUE"""),0.009212513888888888)</f>
        <v>0.009212513889</v>
      </c>
      <c r="P665" s="5">
        <f>IFERROR(__xludf.DUMMYFUNCTION("""COMPUTED_VALUE"""),0.002928889632500984)</f>
        <v>0.002928889633</v>
      </c>
      <c r="Q665" s="5">
        <f>IFERROR(__xludf.DUMMYFUNCTION("""COMPUTED_VALUE"""),0.003949457175925926)</f>
        <v>0.003949457176</v>
      </c>
      <c r="R665" s="4">
        <f>IFERROR(__xludf.DUMMYFUNCTION("""COMPUTED_VALUE"""),45949.039494566205)</f>
        <v>45949.03949</v>
      </c>
      <c r="S665" s="1" t="b">
        <f>IFERROR(__xludf.DUMMYFUNCTION("""COMPUTED_VALUE"""),TRUE)</f>
        <v>1</v>
      </c>
      <c r="T665" s="1" t="b">
        <f>IFERROR(__xludf.DUMMYFUNCTION("""COMPUTED_VALUE"""),FALSE)</f>
        <v>0</v>
      </c>
      <c r="U665" s="1" t="str">
        <f>IFERROR(__xludf.DUMMYFUNCTION("""COMPUTED_VALUE"""),"VALID")</f>
        <v>VALID</v>
      </c>
      <c r="V665" s="1">
        <f>IFERROR(__xludf.DUMMYFUNCTION("""COMPUTED_VALUE"""),87.0)</f>
        <v>87</v>
      </c>
      <c r="W665" s="1">
        <f>IFERROR(__xludf.DUMMYFUNCTION("""COMPUTED_VALUE"""),106.0)</f>
        <v>106</v>
      </c>
      <c r="X665" s="1">
        <f>IFERROR(__xludf.DUMMYFUNCTION("""COMPUTED_VALUE"""),951.0)</f>
        <v>951</v>
      </c>
      <c r="Y665" s="2"/>
      <c r="Z665" s="2"/>
    </row>
    <row r="666">
      <c r="A666" s="1">
        <f>IFERROR(__xludf.DUMMYFUNCTION("""COMPUTED_VALUE"""),665.0)</f>
        <v>665</v>
      </c>
      <c r="B666" s="1">
        <f>IFERROR(__xludf.DUMMYFUNCTION("""COMPUTED_VALUE"""),10547.0)</f>
        <v>10547</v>
      </c>
      <c r="C666" s="2" t="str">
        <f>IFERROR(__xludf.DUMMYFUNCTION("""COMPUTED_VALUE"""),"Abdurrahman Sidiq")</f>
        <v>Abdurrahman Sidiq</v>
      </c>
      <c r="D666" s="2" t="str">
        <f>IFERROR(__xludf.DUMMYFUNCTION("""COMPUTED_VALUE"""),"10KM OVERALL M")</f>
        <v>10KM OVERALL M</v>
      </c>
      <c r="E666" s="1">
        <f>IFERROR(__xludf.DUMMYFUNCTION("""COMPUTED_VALUE"""),1.0)</f>
        <v>1</v>
      </c>
      <c r="F666" s="1" t="str">
        <f>IFERROR(__xludf.DUMMYFUNCTION("""COMPUTED_VALUE"""),"Male")</f>
        <v>Male</v>
      </c>
      <c r="G666" s="4" t="b">
        <f>IFERROR(__xludf.DUMMYFUNCTION("""COMPUTED_VALUE"""),TRUE)</f>
        <v>1</v>
      </c>
      <c r="H666" s="4" t="b">
        <f>IFERROR(__xludf.DUMMYFUNCTION("""COMPUTED_VALUE"""),FALSE)</f>
        <v>0</v>
      </c>
      <c r="I666" s="4">
        <f>IFERROR(__xludf.DUMMYFUNCTION("""COMPUTED_VALUE"""),0.24646185185185185)</f>
        <v>0.2464618519</v>
      </c>
      <c r="J666" s="4">
        <f>IFERROR(__xludf.DUMMYFUNCTION("""COMPUTED_VALUE"""),45949.25279058859)</f>
        <v>45949.25279</v>
      </c>
      <c r="K666" s="4">
        <f>IFERROR(__xludf.DUMMYFUNCTION("""COMPUTED_VALUE"""),45949.27266024649)</f>
        <v>45949.27266</v>
      </c>
      <c r="L666" s="4">
        <f>IFERROR(__xludf.DUMMYFUNCTION("""COMPUTED_VALUE"""),45949.27840434018)</f>
        <v>45949.2784</v>
      </c>
      <c r="M666" s="1" t="str">
        <f>IFERROR(__xludf.DUMMYFUNCTION("""COMPUTED_VALUE"""),"RFID")</f>
        <v>RFID</v>
      </c>
      <c r="N666" s="5">
        <f>IFERROR(__xludf.DUMMYFUNCTION("""COMPUTED_VALUE"""),0.0025314953703703706)</f>
        <v>0.00253149537</v>
      </c>
      <c r="O666" s="5">
        <f>IFERROR(__xludf.DUMMYFUNCTION("""COMPUTED_VALUE"""),0.00794786111111111)</f>
        <v>0.007947861111</v>
      </c>
      <c r="P666" s="5">
        <f>IFERROR(__xludf.DUMMYFUNCTION("""COMPUTED_VALUE"""),0.0023638245625921556)</f>
        <v>0.002363824563</v>
      </c>
      <c r="Q666" s="5">
        <f>IFERROR(__xludf.DUMMYFUNCTION("""COMPUTED_VALUE"""),0.0031942488425925923)</f>
        <v>0.003194248843</v>
      </c>
      <c r="R666" s="4">
        <f>IFERROR(__xludf.DUMMYFUNCTION("""COMPUTED_VALUE"""),45949.03194248833)</f>
        <v>45949.03194</v>
      </c>
      <c r="S666" s="1" t="b">
        <f>IFERROR(__xludf.DUMMYFUNCTION("""COMPUTED_VALUE"""),TRUE)</f>
        <v>1</v>
      </c>
      <c r="T666" s="1" t="b">
        <f>IFERROR(__xludf.DUMMYFUNCTION("""COMPUTED_VALUE"""),FALSE)</f>
        <v>0</v>
      </c>
      <c r="U666" s="1" t="str">
        <f>IFERROR(__xludf.DUMMYFUNCTION("""COMPUTED_VALUE"""),"VALID")</f>
        <v>VALID</v>
      </c>
      <c r="V666" s="1">
        <f>IFERROR(__xludf.DUMMYFUNCTION("""COMPUTED_VALUE"""),17.0)</f>
        <v>17</v>
      </c>
      <c r="W666" s="1">
        <f>IFERROR(__xludf.DUMMYFUNCTION("""COMPUTED_VALUE"""),22.0)</f>
        <v>22</v>
      </c>
      <c r="X666" s="1">
        <f>IFERROR(__xludf.DUMMYFUNCTION("""COMPUTED_VALUE"""),581.0)</f>
        <v>581</v>
      </c>
      <c r="Y666" s="2"/>
      <c r="Z666" s="2"/>
    </row>
    <row r="667">
      <c r="A667" s="1">
        <f>IFERROR(__xludf.DUMMYFUNCTION("""COMPUTED_VALUE"""),666.0)</f>
        <v>666</v>
      </c>
      <c r="B667" s="1">
        <f>IFERROR(__xludf.DUMMYFUNCTION("""COMPUTED_VALUE"""),10548.0)</f>
        <v>10548</v>
      </c>
      <c r="C667" s="2" t="str">
        <f>IFERROR(__xludf.DUMMYFUNCTION("""COMPUTED_VALUE"""),"Alfi (Kresna Runners)")</f>
        <v>Alfi (Kresna Runners)</v>
      </c>
      <c r="D667" s="2" t="str">
        <f>IFERROR(__xludf.DUMMYFUNCTION("""COMPUTED_VALUE"""),"10KM OVERALL M")</f>
        <v>10KM OVERALL M</v>
      </c>
      <c r="E667" s="1">
        <f>IFERROR(__xludf.DUMMYFUNCTION("""COMPUTED_VALUE"""),1.0)</f>
        <v>1</v>
      </c>
      <c r="F667" s="1" t="str">
        <f>IFERROR(__xludf.DUMMYFUNCTION("""COMPUTED_VALUE"""),"Male")</f>
        <v>Male</v>
      </c>
      <c r="G667" s="4" t="b">
        <f>IFERROR(__xludf.DUMMYFUNCTION("""COMPUTED_VALUE"""),TRUE)</f>
        <v>1</v>
      </c>
      <c r="H667" s="4" t="b">
        <f>IFERROR(__xludf.DUMMYFUNCTION("""COMPUTED_VALUE"""),TRUE)</f>
        <v>1</v>
      </c>
      <c r="I667" s="4">
        <f>IFERROR(__xludf.DUMMYFUNCTION("""COMPUTED_VALUE"""),0.24646185185185185)</f>
        <v>0.2464618519</v>
      </c>
      <c r="J667" s="4">
        <f>IFERROR(__xludf.DUMMYFUNCTION("""COMPUTED_VALUE"""),45949.263217845255)</f>
        <v>45949.26322</v>
      </c>
      <c r="K667" s="4">
        <f>IFERROR(__xludf.DUMMYFUNCTION("""COMPUTED_VALUE"""),45949.30471092725)</f>
        <v>45949.30471</v>
      </c>
      <c r="L667" s="4">
        <f>IFERROR(__xludf.DUMMYFUNCTION("""COMPUTED_VALUE"""),45949.31687667794)</f>
        <v>45949.31688</v>
      </c>
      <c r="M667" s="1" t="str">
        <f>IFERROR(__xludf.DUMMYFUNCTION("""COMPUTED_VALUE"""),"RFID")</f>
        <v>RFID</v>
      </c>
      <c r="N667" s="5">
        <f>IFERROR(__xludf.DUMMYFUNCTION("""COMPUTED_VALUE"""),0.006702398148148149)</f>
        <v>0.006702398148</v>
      </c>
      <c r="O667" s="5">
        <f>IFERROR(__xludf.DUMMYFUNCTION("""COMPUTED_VALUE"""),0.01659723148148148)</f>
        <v>0.01659723148</v>
      </c>
      <c r="P667" s="5">
        <f>IFERROR(__xludf.DUMMYFUNCTION("""COMPUTED_VALUE"""),0.0050064817653277145)</f>
        <v>0.005006481765</v>
      </c>
      <c r="Q667" s="5">
        <f>IFERROR(__xludf.DUMMYFUNCTION("""COMPUTED_VALUE"""),0.00704148263888889)</f>
        <v>0.007041482639</v>
      </c>
      <c r="R667" s="4">
        <f>IFERROR(__xludf.DUMMYFUNCTION("""COMPUTED_VALUE"""),45949.07041482609)</f>
        <v>45949.07041</v>
      </c>
      <c r="S667" s="1" t="b">
        <f>IFERROR(__xludf.DUMMYFUNCTION("""COMPUTED_VALUE"""),TRUE)</f>
        <v>1</v>
      </c>
      <c r="T667" s="1" t="b">
        <f>IFERROR(__xludf.DUMMYFUNCTION("""COMPUTED_VALUE"""),FALSE)</f>
        <v>0</v>
      </c>
      <c r="U667" s="1" t="str">
        <f>IFERROR(__xludf.DUMMYFUNCTION("""COMPUTED_VALUE"""),"VALID")</f>
        <v>VALID</v>
      </c>
      <c r="V667" s="1">
        <f>IFERROR(__xludf.DUMMYFUNCTION("""COMPUTED_VALUE"""),595.0)</f>
        <v>595</v>
      </c>
      <c r="W667" s="1">
        <f>IFERROR(__xludf.DUMMYFUNCTION("""COMPUTED_VALUE"""),741.0)</f>
        <v>741</v>
      </c>
      <c r="X667" s="1">
        <f>IFERROR(__xludf.DUMMYFUNCTION("""COMPUTED_VALUE"""),1669.0)</f>
        <v>1669</v>
      </c>
      <c r="Y667" s="2"/>
      <c r="Z667" s="2"/>
    </row>
    <row r="668">
      <c r="A668" s="1">
        <f>IFERROR(__xludf.DUMMYFUNCTION("""COMPUTED_VALUE"""),667.0)</f>
        <v>667</v>
      </c>
      <c r="B668" s="1">
        <f>IFERROR(__xludf.DUMMYFUNCTION("""COMPUTED_VALUE"""),10550.0)</f>
        <v>10550</v>
      </c>
      <c r="C668" s="2" t="str">
        <f>IFERROR(__xludf.DUMMYFUNCTION("""COMPUTED_VALUE"""),"eaji")</f>
        <v>eaji</v>
      </c>
      <c r="D668" s="2" t="str">
        <f>IFERROR(__xludf.DUMMYFUNCTION("""COMPUTED_VALUE"""),"10KM OVERALL M")</f>
        <v>10KM OVERALL M</v>
      </c>
      <c r="E668" s="1">
        <f>IFERROR(__xludf.DUMMYFUNCTION("""COMPUTED_VALUE"""),1.0)</f>
        <v>1</v>
      </c>
      <c r="F668" s="1" t="str">
        <f>IFERROR(__xludf.DUMMYFUNCTION("""COMPUTED_VALUE"""),"Male")</f>
        <v>Male</v>
      </c>
      <c r="G668" s="4" t="b">
        <f>IFERROR(__xludf.DUMMYFUNCTION("""COMPUTED_VALUE"""),TRUE)</f>
        <v>1</v>
      </c>
      <c r="H668" s="4" t="b">
        <f>IFERROR(__xludf.DUMMYFUNCTION("""COMPUTED_VALUE"""),FALSE)</f>
        <v>0</v>
      </c>
      <c r="I668" s="4">
        <f>IFERROR(__xludf.DUMMYFUNCTION("""COMPUTED_VALUE"""),0.24646185185185185)</f>
        <v>0.2464618519</v>
      </c>
      <c r="J668" s="4">
        <f>IFERROR(__xludf.DUMMYFUNCTION("""COMPUTED_VALUE"""),45949.2558704991)</f>
        <v>45949.25587</v>
      </c>
      <c r="K668" s="4">
        <f>IFERROR(__xludf.DUMMYFUNCTION("""COMPUTED_VALUE"""),45949.27681302137)</f>
        <v>45949.27681</v>
      </c>
      <c r="L668" s="4">
        <f>IFERROR(__xludf.DUMMYFUNCTION("""COMPUTED_VALUE"""),45949.28281407051)</f>
        <v>45949.28281</v>
      </c>
      <c r="M668" s="1" t="str">
        <f>IFERROR(__xludf.DUMMYFUNCTION("""COMPUTED_VALUE"""),"RFID")</f>
        <v>RFID</v>
      </c>
      <c r="N668" s="5">
        <f>IFERROR(__xludf.DUMMYFUNCTION("""COMPUTED_VALUE"""),0.003763458333333333)</f>
        <v>0.003763458333</v>
      </c>
      <c r="O668" s="5">
        <f>IFERROR(__xludf.DUMMYFUNCTION("""COMPUTED_VALUE"""),0.00837700925925926)</f>
        <v>0.008377009259</v>
      </c>
      <c r="P668" s="5">
        <f>IFERROR(__xludf.DUMMYFUNCTION("""COMPUTED_VALUE"""),0.0024695675457212614)</f>
        <v>0.002469567546</v>
      </c>
      <c r="Q668" s="5">
        <f>IFERROR(__xludf.DUMMYFUNCTION("""COMPUTED_VALUE"""),0.0036352222222222224)</f>
        <v>0.003635222222</v>
      </c>
      <c r="R668" s="4">
        <f>IFERROR(__xludf.DUMMYFUNCTION("""COMPUTED_VALUE"""),45949.03635221866)</f>
        <v>45949.03635</v>
      </c>
      <c r="S668" s="1" t="b">
        <f>IFERROR(__xludf.DUMMYFUNCTION("""COMPUTED_VALUE"""),TRUE)</f>
        <v>1</v>
      </c>
      <c r="T668" s="1" t="b">
        <f>IFERROR(__xludf.DUMMYFUNCTION("""COMPUTED_VALUE"""),FALSE)</f>
        <v>0</v>
      </c>
      <c r="U668" s="1" t="str">
        <f>IFERROR(__xludf.DUMMYFUNCTION("""COMPUTED_VALUE"""),"VALID")</f>
        <v>VALID</v>
      </c>
      <c r="V668" s="1">
        <f>IFERROR(__xludf.DUMMYFUNCTION("""COMPUTED_VALUE"""),48.0)</f>
        <v>48</v>
      </c>
      <c r="W668" s="1">
        <f>IFERROR(__xludf.DUMMYFUNCTION("""COMPUTED_VALUE"""),60.0)</f>
        <v>60</v>
      </c>
      <c r="X668" s="1">
        <f>IFERROR(__xludf.DUMMYFUNCTION("""COMPUTED_VALUE"""),796.0)</f>
        <v>796</v>
      </c>
      <c r="Y668" s="2"/>
      <c r="Z668" s="2"/>
    </row>
    <row r="669">
      <c r="A669" s="1">
        <f>IFERROR(__xludf.DUMMYFUNCTION("""COMPUTED_VALUE"""),668.0)</f>
        <v>668</v>
      </c>
      <c r="B669" s="1">
        <f>IFERROR(__xludf.DUMMYFUNCTION("""COMPUTED_VALUE"""),10551.0)</f>
        <v>10551</v>
      </c>
      <c r="C669" s="2" t="str">
        <f>IFERROR(__xludf.DUMMYFUNCTION("""COMPUTED_VALUE"""),"Abdul Muzawir")</f>
        <v>Abdul Muzawir</v>
      </c>
      <c r="D669" s="2" t="str">
        <f>IFERROR(__xludf.DUMMYFUNCTION("""COMPUTED_VALUE"""),"10KM OVERALL M")</f>
        <v>10KM OVERALL M</v>
      </c>
      <c r="E669" s="1">
        <f>IFERROR(__xludf.DUMMYFUNCTION("""COMPUTED_VALUE"""),1.0)</f>
        <v>1</v>
      </c>
      <c r="F669" s="1" t="str">
        <f>IFERROR(__xludf.DUMMYFUNCTION("""COMPUTED_VALUE"""),"Male")</f>
        <v>Male</v>
      </c>
      <c r="G669" s="4" t="b">
        <f>IFERROR(__xludf.DUMMYFUNCTION("""COMPUTED_VALUE"""),TRUE)</f>
        <v>1</v>
      </c>
      <c r="H669" s="4" t="b">
        <f>IFERROR(__xludf.DUMMYFUNCTION("""COMPUTED_VALUE"""),TRUE)</f>
        <v>1</v>
      </c>
      <c r="I669" s="4">
        <f>IFERROR(__xludf.DUMMYFUNCTION("""COMPUTED_VALUE"""),0.24646185185185185)</f>
        <v>0.2464618519</v>
      </c>
      <c r="J669" s="4">
        <f>IFERROR(__xludf.DUMMYFUNCTION("""COMPUTED_VALUE"""),45949.2629156293)</f>
        <v>45949.26292</v>
      </c>
      <c r="K669" s="4">
        <f>IFERROR(__xludf.DUMMYFUNCTION("""COMPUTED_VALUE"""),45949.29320049936)</f>
        <v>45949.2932</v>
      </c>
      <c r="L669" s="4">
        <f>IFERROR(__xludf.DUMMYFUNCTION("""COMPUTED_VALUE"""),45949.30228703959)</f>
        <v>45949.30229</v>
      </c>
      <c r="M669" s="1" t="str">
        <f>IFERROR(__xludf.DUMMYFUNCTION("""COMPUTED_VALUE"""),"RFID")</f>
        <v>RFID</v>
      </c>
      <c r="N669" s="5">
        <f>IFERROR(__xludf.DUMMYFUNCTION("""COMPUTED_VALUE"""),0.006581509259259259)</f>
        <v>0.006581509259</v>
      </c>
      <c r="O669" s="5">
        <f>IFERROR(__xludf.DUMMYFUNCTION("""COMPUTED_VALUE"""),0.012113949074074074)</f>
        <v>0.01211394907</v>
      </c>
      <c r="P669" s="5">
        <f>IFERROR(__xludf.DUMMYFUNCTION("""COMPUTED_VALUE"""),0.0037393169644060675)</f>
        <v>0.003739316964</v>
      </c>
      <c r="Q669" s="5">
        <f>IFERROR(__xludf.DUMMYFUNCTION("""COMPUTED_VALUE"""),0.005582518518518519)</f>
        <v>0.005582518519</v>
      </c>
      <c r="R669" s="4">
        <f>IFERROR(__xludf.DUMMYFUNCTION("""COMPUTED_VALUE"""),45949.05582518774)</f>
        <v>45949.05583</v>
      </c>
      <c r="S669" s="1" t="b">
        <f>IFERROR(__xludf.DUMMYFUNCTION("""COMPUTED_VALUE"""),TRUE)</f>
        <v>1</v>
      </c>
      <c r="T669" s="1" t="b">
        <f>IFERROR(__xludf.DUMMYFUNCTION("""COMPUTED_VALUE"""),FALSE)</f>
        <v>0</v>
      </c>
      <c r="U669" s="1" t="str">
        <f>IFERROR(__xludf.DUMMYFUNCTION("""COMPUTED_VALUE"""),"VALID")</f>
        <v>VALID</v>
      </c>
      <c r="V669" s="1">
        <f>IFERROR(__xludf.DUMMYFUNCTION("""COMPUTED_VALUE"""),479.0)</f>
        <v>479</v>
      </c>
      <c r="W669" s="1">
        <f>IFERROR(__xludf.DUMMYFUNCTION("""COMPUTED_VALUE"""),573.0)</f>
        <v>573</v>
      </c>
      <c r="X669" s="1">
        <f>IFERROR(__xludf.DUMMYFUNCTION("""COMPUTED_VALUE"""),1545.0)</f>
        <v>1545</v>
      </c>
      <c r="Y669" s="2"/>
      <c r="Z669" s="2"/>
    </row>
    <row r="670">
      <c r="A670" s="1">
        <f>IFERROR(__xludf.DUMMYFUNCTION("""COMPUTED_VALUE"""),669.0)</f>
        <v>669</v>
      </c>
      <c r="B670" s="1">
        <f>IFERROR(__xludf.DUMMYFUNCTION("""COMPUTED_VALUE"""),10552.0)</f>
        <v>10552</v>
      </c>
      <c r="C670" s="2" t="str">
        <f>IFERROR(__xludf.DUMMYFUNCTION("""COMPUTED_VALUE"""),"KHAIRUDIN")</f>
        <v>KHAIRUDIN</v>
      </c>
      <c r="D670" s="2" t="str">
        <f>IFERROR(__xludf.DUMMYFUNCTION("""COMPUTED_VALUE"""),"10KM OVERALL M")</f>
        <v>10KM OVERALL M</v>
      </c>
      <c r="E670" s="1">
        <f>IFERROR(__xludf.DUMMYFUNCTION("""COMPUTED_VALUE"""),1.0)</f>
        <v>1</v>
      </c>
      <c r="F670" s="1" t="str">
        <f>IFERROR(__xludf.DUMMYFUNCTION("""COMPUTED_VALUE"""),"Male")</f>
        <v>Male</v>
      </c>
      <c r="G670" s="4" t="b">
        <f>IFERROR(__xludf.DUMMYFUNCTION("""COMPUTED_VALUE"""),TRUE)</f>
        <v>1</v>
      </c>
      <c r="H670" s="4" t="b">
        <f>IFERROR(__xludf.DUMMYFUNCTION("""COMPUTED_VALUE"""),TRUE)</f>
        <v>1</v>
      </c>
      <c r="I670" s="4">
        <f>IFERROR(__xludf.DUMMYFUNCTION("""COMPUTED_VALUE"""),0.24646185185185185)</f>
        <v>0.2464618519</v>
      </c>
      <c r="J670" s="4">
        <f>IFERROR(__xludf.DUMMYFUNCTION("""COMPUTED_VALUE"""),45949.25829412119)</f>
        <v>45949.25829</v>
      </c>
      <c r="K670" s="4">
        <f>IFERROR(__xludf.DUMMYFUNCTION("""COMPUTED_VALUE"""),45949.28566561588)</f>
        <v>45949.28567</v>
      </c>
      <c r="L670" s="4">
        <f>IFERROR(__xludf.DUMMYFUNCTION("""COMPUTED_VALUE"""),45949.293425189564)</f>
        <v>45949.29343</v>
      </c>
      <c r="M670" s="1" t="str">
        <f>IFERROR(__xludf.DUMMYFUNCTION("""COMPUTED_VALUE"""),"RFID")</f>
        <v>RFID</v>
      </c>
      <c r="N670" s="5">
        <f>IFERROR(__xludf.DUMMYFUNCTION("""COMPUTED_VALUE"""),0.004732907407407407)</f>
        <v>0.004732907407</v>
      </c>
      <c r="O670" s="5">
        <f>IFERROR(__xludf.DUMMYFUNCTION("""COMPUTED_VALUE"""),0.01094859722222222)</f>
        <v>0.01094859722</v>
      </c>
      <c r="P670" s="5">
        <f>IFERROR(__xludf.DUMMYFUNCTION("""COMPUTED_VALUE"""),0.0031932402006206733)</f>
        <v>0.003193240201</v>
      </c>
      <c r="Q670" s="5">
        <f>IFERROR(__xludf.DUMMYFUNCTION("""COMPUTED_VALUE"""),0.004696333333333334)</f>
        <v>0.004696333333</v>
      </c>
      <c r="R670" s="4">
        <f>IFERROR(__xludf.DUMMYFUNCTION("""COMPUTED_VALUE"""),45949.046963337714)</f>
        <v>45949.04696</v>
      </c>
      <c r="S670" s="1" t="b">
        <f>IFERROR(__xludf.DUMMYFUNCTION("""COMPUTED_VALUE"""),TRUE)</f>
        <v>1</v>
      </c>
      <c r="T670" s="1" t="b">
        <f>IFERROR(__xludf.DUMMYFUNCTION("""COMPUTED_VALUE"""),FALSE)</f>
        <v>0</v>
      </c>
      <c r="U670" s="1" t="str">
        <f>IFERROR(__xludf.DUMMYFUNCTION("""COMPUTED_VALUE"""),"VALID")</f>
        <v>VALID</v>
      </c>
      <c r="V670" s="1">
        <f>IFERROR(__xludf.DUMMYFUNCTION("""COMPUTED_VALUE"""),263.0)</f>
        <v>263</v>
      </c>
      <c r="W670" s="1">
        <f>IFERROR(__xludf.DUMMYFUNCTION("""COMPUTED_VALUE"""),314.0)</f>
        <v>314</v>
      </c>
      <c r="X670" s="1">
        <f>IFERROR(__xludf.DUMMYFUNCTION("""COMPUTED_VALUE"""),1270.0)</f>
        <v>1270</v>
      </c>
      <c r="Y670" s="2"/>
      <c r="Z670" s="2"/>
    </row>
    <row r="671">
      <c r="A671" s="1">
        <f>IFERROR(__xludf.DUMMYFUNCTION("""COMPUTED_VALUE"""),670.0)</f>
        <v>670</v>
      </c>
      <c r="B671" s="1">
        <f>IFERROR(__xludf.DUMMYFUNCTION("""COMPUTED_VALUE"""),10553.0)</f>
        <v>10553</v>
      </c>
      <c r="C671" s="2" t="str">
        <f>IFERROR(__xludf.DUMMYFUNCTION("""COMPUTED_VALUE"""),"Si Redflag NPD")</f>
        <v>Si Redflag NPD</v>
      </c>
      <c r="D671" s="2" t="str">
        <f>IFERROR(__xludf.DUMMYFUNCTION("""COMPUTED_VALUE"""),"10KM OVERALL M")</f>
        <v>10KM OVERALL M</v>
      </c>
      <c r="E671" s="1">
        <f>IFERROR(__xludf.DUMMYFUNCTION("""COMPUTED_VALUE"""),1.0)</f>
        <v>1</v>
      </c>
      <c r="F671" s="1" t="str">
        <f>IFERROR(__xludf.DUMMYFUNCTION("""COMPUTED_VALUE"""),"Male")</f>
        <v>Male</v>
      </c>
      <c r="G671" s="4" t="b">
        <f>IFERROR(__xludf.DUMMYFUNCTION("""COMPUTED_VALUE"""),TRUE)</f>
        <v>1</v>
      </c>
      <c r="H671" s="4" t="b">
        <f>IFERROR(__xludf.DUMMYFUNCTION("""COMPUTED_VALUE"""),TRUE)</f>
        <v>1</v>
      </c>
      <c r="I671" s="4">
        <f>IFERROR(__xludf.DUMMYFUNCTION("""COMPUTED_VALUE"""),0.24646185185185185)</f>
        <v>0.2464618519</v>
      </c>
      <c r="J671" s="4">
        <f>IFERROR(__xludf.DUMMYFUNCTION("""COMPUTED_VALUE"""),45949.2580058574)</f>
        <v>45949.25801</v>
      </c>
      <c r="K671" s="4">
        <f>IFERROR(__xludf.DUMMYFUNCTION("""COMPUTED_VALUE"""),45949.28501978756)</f>
        <v>45949.28502</v>
      </c>
      <c r="L671" s="4">
        <f>IFERROR(__xludf.DUMMYFUNCTION("""COMPUTED_VALUE"""),45949.29250156085)</f>
        <v>45949.2925</v>
      </c>
      <c r="M671" s="1" t="str">
        <f>IFERROR(__xludf.DUMMYFUNCTION("""COMPUTED_VALUE"""),"RFID")</f>
        <v>RFID</v>
      </c>
      <c r="N671" s="5">
        <f>IFERROR(__xludf.DUMMYFUNCTION("""COMPUTED_VALUE"""),0.004617601851851852)</f>
        <v>0.004617601852</v>
      </c>
      <c r="O671" s="5">
        <f>IFERROR(__xludf.DUMMYFUNCTION("""COMPUTED_VALUE"""),0.010805574074074073)</f>
        <v>0.01080557407</v>
      </c>
      <c r="P671" s="5">
        <f>IFERROR(__xludf.DUMMYFUNCTION("""COMPUTED_VALUE"""),0.0030789190491061626)</f>
        <v>0.003078919049</v>
      </c>
      <c r="Q671" s="5">
        <f>IFERROR(__xludf.DUMMYFUNCTION("""COMPUTED_VALUE"""),0.004603971064814815)</f>
        <v>0.004603971065</v>
      </c>
      <c r="R671" s="4">
        <f>IFERROR(__xludf.DUMMYFUNCTION("""COMPUTED_VALUE"""),45949.046039709)</f>
        <v>45949.04604</v>
      </c>
      <c r="S671" s="1" t="b">
        <f>IFERROR(__xludf.DUMMYFUNCTION("""COMPUTED_VALUE"""),TRUE)</f>
        <v>1</v>
      </c>
      <c r="T671" s="1" t="b">
        <f>IFERROR(__xludf.DUMMYFUNCTION("""COMPUTED_VALUE"""),FALSE)</f>
        <v>0</v>
      </c>
      <c r="U671" s="1" t="str">
        <f>IFERROR(__xludf.DUMMYFUNCTION("""COMPUTED_VALUE"""),"VALID")</f>
        <v>VALID</v>
      </c>
      <c r="V671" s="1">
        <f>IFERROR(__xludf.DUMMYFUNCTION("""COMPUTED_VALUE"""),243.0)</f>
        <v>243</v>
      </c>
      <c r="W671" s="1">
        <f>IFERROR(__xludf.DUMMYFUNCTION("""COMPUTED_VALUE"""),292.0)</f>
        <v>292</v>
      </c>
      <c r="X671" s="1">
        <f>IFERROR(__xludf.DUMMYFUNCTION("""COMPUTED_VALUE"""),1239.0)</f>
        <v>1239</v>
      </c>
      <c r="Y671" s="2"/>
      <c r="Z671" s="2"/>
    </row>
    <row r="672">
      <c r="A672" s="1">
        <f>IFERROR(__xludf.DUMMYFUNCTION("""COMPUTED_VALUE"""),671.0)</f>
        <v>671</v>
      </c>
      <c r="B672" s="1">
        <f>IFERROR(__xludf.DUMMYFUNCTION("""COMPUTED_VALUE"""),10554.0)</f>
        <v>10554</v>
      </c>
      <c r="C672" s="2" t="str">
        <f>IFERROR(__xludf.DUMMYFUNCTION("""COMPUTED_VALUE"""),"Arief Hidayat Noor")</f>
        <v>Arief Hidayat Noor</v>
      </c>
      <c r="D672" s="2" t="str">
        <f>IFERROR(__xludf.DUMMYFUNCTION("""COMPUTED_VALUE"""),"10KM OVERALL M")</f>
        <v>10KM OVERALL M</v>
      </c>
      <c r="E672" s="1">
        <f>IFERROR(__xludf.DUMMYFUNCTION("""COMPUTED_VALUE"""),1.0)</f>
        <v>1</v>
      </c>
      <c r="F672" s="1" t="str">
        <f>IFERROR(__xludf.DUMMYFUNCTION("""COMPUTED_VALUE"""),"Male")</f>
        <v>Male</v>
      </c>
      <c r="G672" s="4" t="str">
        <f>IFERROR(__xludf.DUMMYFUNCTION("""COMPUTED_VALUE"""),"")</f>
        <v/>
      </c>
      <c r="H672" s="4" t="b">
        <f>IFERROR(__xludf.DUMMYFUNCTION("""COMPUTED_VALUE"""),TRUE)</f>
        <v>1</v>
      </c>
      <c r="I672" s="4">
        <f>IFERROR(__xludf.DUMMYFUNCTION("""COMPUTED_VALUE"""),0.24646185185185185)</f>
        <v>0.2464618519</v>
      </c>
      <c r="J672" s="4">
        <f>IFERROR(__xludf.DUMMYFUNCTION("""COMPUTED_VALUE"""),45949.25709617388)</f>
        <v>45949.2571</v>
      </c>
      <c r="K672" s="4">
        <f>IFERROR(__xludf.DUMMYFUNCTION("""COMPUTED_VALUE"""),45949.28287394913)</f>
        <v>45949.28287</v>
      </c>
      <c r="L672" s="4">
        <f>IFERROR(__xludf.DUMMYFUNCTION("""COMPUTED_VALUE"""),45949.290216835136)</f>
        <v>45949.29022</v>
      </c>
      <c r="M672" s="1" t="str">
        <f>IFERROR(__xludf.DUMMYFUNCTION("""COMPUTED_VALUE"""),"RFID")</f>
        <v>RFID</v>
      </c>
      <c r="N672" s="5">
        <f>IFERROR(__xludf.DUMMYFUNCTION("""COMPUTED_VALUE"""),0.004253726851851851)</f>
        <v>0.004253726852</v>
      </c>
      <c r="O672" s="5">
        <f>IFERROR(__xludf.DUMMYFUNCTION("""COMPUTED_VALUE"""),0.01031111111111111)</f>
        <v>0.01031111111</v>
      </c>
      <c r="P672" s="5">
        <f>IFERROR(__xludf.DUMMYFUNCTION("""COMPUTED_VALUE"""),0.0030217637880916087)</f>
        <v>0.003021763788</v>
      </c>
      <c r="Q672" s="5">
        <f>IFERROR(__xludf.DUMMYFUNCTION("""COMPUTED_VALUE"""),0.004375498842592593)</f>
        <v>0.004375498843</v>
      </c>
      <c r="R672" s="4">
        <f>IFERROR(__xludf.DUMMYFUNCTION("""COMPUTED_VALUE"""),45949.043754983286)</f>
        <v>45949.04375</v>
      </c>
      <c r="S672" s="1" t="b">
        <f>IFERROR(__xludf.DUMMYFUNCTION("""COMPUTED_VALUE"""),TRUE)</f>
        <v>1</v>
      </c>
      <c r="T672" s="1" t="b">
        <f>IFERROR(__xludf.DUMMYFUNCTION("""COMPUTED_VALUE"""),FALSE)</f>
        <v>0</v>
      </c>
      <c r="U672" s="1" t="str">
        <f>IFERROR(__xludf.DUMMYFUNCTION("""COMPUTED_VALUE"""),"VALID")</f>
        <v>VALID</v>
      </c>
      <c r="V672" s="1">
        <f>IFERROR(__xludf.DUMMYFUNCTION("""COMPUTED_VALUE"""),181.0)</f>
        <v>181</v>
      </c>
      <c r="W672" s="1">
        <f>IFERROR(__xludf.DUMMYFUNCTION("""COMPUTED_VALUE"""),216.0)</f>
        <v>216</v>
      </c>
      <c r="X672" s="1">
        <f>IFERROR(__xludf.DUMMYFUNCTION("""COMPUTED_VALUE"""),1135.0)</f>
        <v>1135</v>
      </c>
      <c r="Y672" s="2"/>
      <c r="Z672" s="2"/>
    </row>
    <row r="673">
      <c r="A673" s="1">
        <f>IFERROR(__xludf.DUMMYFUNCTION("""COMPUTED_VALUE"""),672.0)</f>
        <v>672</v>
      </c>
      <c r="B673" s="1">
        <f>IFERROR(__xludf.DUMMYFUNCTION("""COMPUTED_VALUE"""),10555.0)</f>
        <v>10555</v>
      </c>
      <c r="C673" s="2" t="str">
        <f>IFERROR(__xludf.DUMMYFUNCTION("""COMPUTED_VALUE"""),"Anugerah Yusuf S.")</f>
        <v>Anugerah Yusuf S.</v>
      </c>
      <c r="D673" s="2" t="str">
        <f>IFERROR(__xludf.DUMMYFUNCTION("""COMPUTED_VALUE"""),"10KM OVERALL M")</f>
        <v>10KM OVERALL M</v>
      </c>
      <c r="E673" s="1">
        <f>IFERROR(__xludf.DUMMYFUNCTION("""COMPUTED_VALUE"""),1.0)</f>
        <v>1</v>
      </c>
      <c r="F673" s="1" t="str">
        <f>IFERROR(__xludf.DUMMYFUNCTION("""COMPUTED_VALUE"""),"Male")</f>
        <v>Male</v>
      </c>
      <c r="G673" s="4" t="b">
        <f>IFERROR(__xludf.DUMMYFUNCTION("""COMPUTED_VALUE"""),TRUE)</f>
        <v>1</v>
      </c>
      <c r="H673" s="4" t="b">
        <f>IFERROR(__xludf.DUMMYFUNCTION("""COMPUTED_VALUE"""),TRUE)</f>
        <v>1</v>
      </c>
      <c r="I673" s="4">
        <f>IFERROR(__xludf.DUMMYFUNCTION("""COMPUTED_VALUE"""),0.24646185185185185)</f>
        <v>0.2464618519</v>
      </c>
      <c r="J673" s="4">
        <f>IFERROR(__xludf.DUMMYFUNCTION("""COMPUTED_VALUE"""),45949.25784275573)</f>
        <v>45949.25784</v>
      </c>
      <c r="K673" s="4">
        <f>IFERROR(__xludf.DUMMYFUNCTION("""COMPUTED_VALUE"""),45949.28382533294)</f>
        <v>45949.28383</v>
      </c>
      <c r="L673" s="4">
        <f>IFERROR(__xludf.DUMMYFUNCTION("""COMPUTED_VALUE"""),45949.290921707165)</f>
        <v>45949.29092</v>
      </c>
      <c r="M673" s="1" t="str">
        <f>IFERROR(__xludf.DUMMYFUNCTION("""COMPUTED_VALUE"""),"RFID")</f>
        <v>RFID</v>
      </c>
      <c r="N673" s="5">
        <f>IFERROR(__xludf.DUMMYFUNCTION("""COMPUTED_VALUE"""),0.004552361111111111)</f>
        <v>0.004552361111</v>
      </c>
      <c r="O673" s="5">
        <f>IFERROR(__xludf.DUMMYFUNCTION("""COMPUTED_VALUE"""),0.010393032407407406)</f>
        <v>0.01039303241</v>
      </c>
      <c r="P673" s="5">
        <f>IFERROR(__xludf.DUMMYFUNCTION("""COMPUTED_VALUE"""),0.0029203186113216793)</f>
        <v>0.002920318611</v>
      </c>
      <c r="Q673" s="5">
        <f>IFERROR(__xludf.DUMMYFUNCTION("""COMPUTED_VALUE"""),0.004445984953703704)</f>
        <v>0.004445984954</v>
      </c>
      <c r="R673" s="4">
        <f>IFERROR(__xludf.DUMMYFUNCTION("""COMPUTED_VALUE"""),45949.044459855315)</f>
        <v>45949.04446</v>
      </c>
      <c r="S673" s="1" t="b">
        <f>IFERROR(__xludf.DUMMYFUNCTION("""COMPUTED_VALUE"""),TRUE)</f>
        <v>1</v>
      </c>
      <c r="T673" s="1" t="b">
        <f>IFERROR(__xludf.DUMMYFUNCTION("""COMPUTED_VALUE"""),FALSE)</f>
        <v>0</v>
      </c>
      <c r="U673" s="1" t="str">
        <f>IFERROR(__xludf.DUMMYFUNCTION("""COMPUTED_VALUE"""),"VALID")</f>
        <v>VALID</v>
      </c>
      <c r="V673" s="1">
        <f>IFERROR(__xludf.DUMMYFUNCTION("""COMPUTED_VALUE"""),201.0)</f>
        <v>201</v>
      </c>
      <c r="W673" s="1">
        <f>IFERROR(__xludf.DUMMYFUNCTION("""COMPUTED_VALUE"""),241.0)</f>
        <v>241</v>
      </c>
      <c r="X673" s="1">
        <f>IFERROR(__xludf.DUMMYFUNCTION("""COMPUTED_VALUE"""),1171.0)</f>
        <v>1171</v>
      </c>
      <c r="Y673" s="2"/>
      <c r="Z673" s="2"/>
    </row>
    <row r="674">
      <c r="A674" s="1">
        <f>IFERROR(__xludf.DUMMYFUNCTION("""COMPUTED_VALUE"""),673.0)</f>
        <v>673</v>
      </c>
      <c r="B674" s="1">
        <f>IFERROR(__xludf.DUMMYFUNCTION("""COMPUTED_VALUE"""),10556.0)</f>
        <v>10556</v>
      </c>
      <c r="C674" s="2" t="str">
        <f>IFERROR(__xludf.DUMMYFUNCTION("""COMPUTED_VALUE"""),"Xilhamsyah")</f>
        <v>Xilhamsyah</v>
      </c>
      <c r="D674" s="2" t="str">
        <f>IFERROR(__xludf.DUMMYFUNCTION("""COMPUTED_VALUE"""),"10KM OVERALL M")</f>
        <v>10KM OVERALL M</v>
      </c>
      <c r="E674" s="1">
        <f>IFERROR(__xludf.DUMMYFUNCTION("""COMPUTED_VALUE"""),1.0)</f>
        <v>1</v>
      </c>
      <c r="F674" s="1" t="str">
        <f>IFERROR(__xludf.DUMMYFUNCTION("""COMPUTED_VALUE"""),"Male")</f>
        <v>Male</v>
      </c>
      <c r="G674" s="4" t="b">
        <f>IFERROR(__xludf.DUMMYFUNCTION("""COMPUTED_VALUE"""),TRUE)</f>
        <v>1</v>
      </c>
      <c r="H674" s="4" t="b">
        <f>IFERROR(__xludf.DUMMYFUNCTION("""COMPUTED_VALUE"""),TRUE)</f>
        <v>1</v>
      </c>
      <c r="I674" s="4">
        <f>IFERROR(__xludf.DUMMYFUNCTION("""COMPUTED_VALUE"""),0.24646185185185185)</f>
        <v>0.2464618519</v>
      </c>
      <c r="J674" s="4">
        <f>IFERROR(__xludf.DUMMYFUNCTION("""COMPUTED_VALUE"""),45949.255891323235)</f>
        <v>45949.25589</v>
      </c>
      <c r="K674" s="4">
        <f>IFERROR(__xludf.DUMMYFUNCTION("""COMPUTED_VALUE"""),45949.28603714196)</f>
        <v>45949.28604</v>
      </c>
      <c r="L674" s="4">
        <f>IFERROR(__xludf.DUMMYFUNCTION("""COMPUTED_VALUE"""),45949.295182118534)</f>
        <v>45949.29518</v>
      </c>
      <c r="M674" s="1" t="str">
        <f>IFERROR(__xludf.DUMMYFUNCTION("""COMPUTED_VALUE"""),"RFID")</f>
        <v>RFID</v>
      </c>
      <c r="N674" s="5">
        <f>IFERROR(__xludf.DUMMYFUNCTION("""COMPUTED_VALUE"""),0.0037717870370370375)</f>
        <v>0.003771787037</v>
      </c>
      <c r="O674" s="5">
        <f>IFERROR(__xludf.DUMMYFUNCTION("""COMPUTED_VALUE"""),0.012058328703703705)</f>
        <v>0.0120583287</v>
      </c>
      <c r="P674" s="5">
        <f>IFERROR(__xludf.DUMMYFUNCTION("""COMPUTED_VALUE"""),0.0037633648456971125)</f>
        <v>0.003763364846</v>
      </c>
      <c r="Q674" s="5">
        <f>IFERROR(__xludf.DUMMYFUNCTION("""COMPUTED_VALUE"""),0.0048720266203703694)</f>
        <v>0.00487202662</v>
      </c>
      <c r="R674" s="4">
        <f>IFERROR(__xludf.DUMMYFUNCTION("""COMPUTED_VALUE"""),45949.048720266685)</f>
        <v>45949.04872</v>
      </c>
      <c r="S674" s="1" t="b">
        <f>IFERROR(__xludf.DUMMYFUNCTION("""COMPUTED_VALUE"""),TRUE)</f>
        <v>1</v>
      </c>
      <c r="T674" s="1" t="b">
        <f>IFERROR(__xludf.DUMMYFUNCTION("""COMPUTED_VALUE"""),FALSE)</f>
        <v>0</v>
      </c>
      <c r="U674" s="1" t="str">
        <f>IFERROR(__xludf.DUMMYFUNCTION("""COMPUTED_VALUE"""),"VALID")</f>
        <v>VALID</v>
      </c>
      <c r="V674" s="1">
        <f>IFERROR(__xludf.DUMMYFUNCTION("""COMPUTED_VALUE"""),301.0)</f>
        <v>301</v>
      </c>
      <c r="W674" s="1">
        <f>IFERROR(__xludf.DUMMYFUNCTION("""COMPUTED_VALUE"""),357.0)</f>
        <v>357</v>
      </c>
      <c r="X674" s="1">
        <f>IFERROR(__xludf.DUMMYFUNCTION("""COMPUTED_VALUE"""),1329.0)</f>
        <v>1329</v>
      </c>
      <c r="Y674" s="2"/>
      <c r="Z674" s="2"/>
    </row>
    <row r="675">
      <c r="A675" s="1">
        <f>IFERROR(__xludf.DUMMYFUNCTION("""COMPUTED_VALUE"""),674.0)</f>
        <v>674</v>
      </c>
      <c r="B675" s="1">
        <f>IFERROR(__xludf.DUMMYFUNCTION("""COMPUTED_VALUE"""),10557.0)</f>
        <v>10557</v>
      </c>
      <c r="C675" s="2" t="str">
        <f>IFERROR(__xludf.DUMMYFUNCTION("""COMPUTED_VALUE"""),"bapaknya maya fiya")</f>
        <v>bapaknya maya fiya</v>
      </c>
      <c r="D675" s="2" t="str">
        <f>IFERROR(__xludf.DUMMYFUNCTION("""COMPUTED_VALUE"""),"10KM OVERALL M")</f>
        <v>10KM OVERALL M</v>
      </c>
      <c r="E675" s="1">
        <f>IFERROR(__xludf.DUMMYFUNCTION("""COMPUTED_VALUE"""),1.0)</f>
        <v>1</v>
      </c>
      <c r="F675" s="1" t="str">
        <f>IFERROR(__xludf.DUMMYFUNCTION("""COMPUTED_VALUE"""),"Male")</f>
        <v>Male</v>
      </c>
      <c r="G675" s="4" t="b">
        <f>IFERROR(__xludf.DUMMYFUNCTION("""COMPUTED_VALUE"""),TRUE)</f>
        <v>1</v>
      </c>
      <c r="H675" s="4" t="b">
        <f>IFERROR(__xludf.DUMMYFUNCTION("""COMPUTED_VALUE"""),TRUE)</f>
        <v>1</v>
      </c>
      <c r="I675" s="4">
        <f>IFERROR(__xludf.DUMMYFUNCTION("""COMPUTED_VALUE"""),0.24646185185185185)</f>
        <v>0.2464618519</v>
      </c>
      <c r="J675" s="4">
        <f>IFERROR(__xludf.DUMMYFUNCTION("""COMPUTED_VALUE"""),45949.264384410686)</f>
        <v>45949.26438</v>
      </c>
      <c r="K675" s="4">
        <f>IFERROR(__xludf.DUMMYFUNCTION("""COMPUTED_VALUE"""),45949.305558199456)</f>
        <v>45949.30556</v>
      </c>
      <c r="L675" s="4">
        <f>IFERROR(__xludf.DUMMYFUNCTION("""COMPUTED_VALUE"""),45949.31598420926)</f>
        <v>45949.31598</v>
      </c>
      <c r="M675" s="1" t="str">
        <f>IFERROR(__xludf.DUMMYFUNCTION("""COMPUTED_VALUE"""),"RFID")</f>
        <v>RFID</v>
      </c>
      <c r="N675" s="5">
        <f>IFERROR(__xludf.DUMMYFUNCTION("""COMPUTED_VALUE"""),0.007169023148148148)</f>
        <v>0.007169023148</v>
      </c>
      <c r="O675" s="5">
        <f>IFERROR(__xludf.DUMMYFUNCTION("""COMPUTED_VALUE"""),0.01646951388888889)</f>
        <v>0.01646951389</v>
      </c>
      <c r="P675" s="5">
        <f>IFERROR(__xludf.DUMMYFUNCTION("""COMPUTED_VALUE"""),0.00429053901294208)</f>
        <v>0.004290539013</v>
      </c>
      <c r="Q675" s="5">
        <f>IFERROR(__xludf.DUMMYFUNCTION("""COMPUTED_VALUE"""),0.006952236111111111)</f>
        <v>0.006952236111</v>
      </c>
      <c r="R675" s="4">
        <f>IFERROR(__xludf.DUMMYFUNCTION("""COMPUTED_VALUE"""),45949.06952235741)</f>
        <v>45949.06952</v>
      </c>
      <c r="S675" s="1" t="b">
        <f>IFERROR(__xludf.DUMMYFUNCTION("""COMPUTED_VALUE"""),TRUE)</f>
        <v>1</v>
      </c>
      <c r="T675" s="1" t="b">
        <f>IFERROR(__xludf.DUMMYFUNCTION("""COMPUTED_VALUE"""),FALSE)</f>
        <v>0</v>
      </c>
      <c r="U675" s="1" t="str">
        <f>IFERROR(__xludf.DUMMYFUNCTION("""COMPUTED_VALUE"""),"VALID")</f>
        <v>VALID</v>
      </c>
      <c r="V675" s="1">
        <f>IFERROR(__xludf.DUMMYFUNCTION("""COMPUTED_VALUE"""),593.0)</f>
        <v>593</v>
      </c>
      <c r="W675" s="1">
        <f>IFERROR(__xludf.DUMMYFUNCTION("""COMPUTED_VALUE"""),739.0)</f>
        <v>739</v>
      </c>
      <c r="X675" s="1">
        <f>IFERROR(__xludf.DUMMYFUNCTION("""COMPUTED_VALUE"""),1667.0)</f>
        <v>1667</v>
      </c>
      <c r="Y675" s="2"/>
      <c r="Z675" s="2"/>
    </row>
    <row r="676">
      <c r="A676" s="1">
        <f>IFERROR(__xludf.DUMMYFUNCTION("""COMPUTED_VALUE"""),675.0)</f>
        <v>675</v>
      </c>
      <c r="B676" s="1">
        <f>IFERROR(__xludf.DUMMYFUNCTION("""COMPUTED_VALUE"""),10558.0)</f>
        <v>10558</v>
      </c>
      <c r="C676" s="2" t="str">
        <f>IFERROR(__xludf.DUMMYFUNCTION("""COMPUTED_VALUE"""),"Bondan")</f>
        <v>Bondan</v>
      </c>
      <c r="D676" s="2" t="str">
        <f>IFERROR(__xludf.DUMMYFUNCTION("""COMPUTED_VALUE"""),"10KM OVERALL M")</f>
        <v>10KM OVERALL M</v>
      </c>
      <c r="E676" s="1">
        <f>IFERROR(__xludf.DUMMYFUNCTION("""COMPUTED_VALUE"""),1.0)</f>
        <v>1</v>
      </c>
      <c r="F676" s="1" t="str">
        <f>IFERROR(__xludf.DUMMYFUNCTION("""COMPUTED_VALUE"""),"Male")</f>
        <v>Male</v>
      </c>
      <c r="G676" s="4" t="b">
        <f>IFERROR(__xludf.DUMMYFUNCTION("""COMPUTED_VALUE"""),TRUE)</f>
        <v>1</v>
      </c>
      <c r="H676" s="4" t="b">
        <f>IFERROR(__xludf.DUMMYFUNCTION("""COMPUTED_VALUE"""),TRUE)</f>
        <v>1</v>
      </c>
      <c r="I676" s="4">
        <f>IFERROR(__xludf.DUMMYFUNCTION("""COMPUTED_VALUE"""),0.24646185185185185)</f>
        <v>0.2464618519</v>
      </c>
      <c r="J676" s="4">
        <f>IFERROR(__xludf.DUMMYFUNCTION("""COMPUTED_VALUE"""),45949.25847118424)</f>
        <v>45949.25847</v>
      </c>
      <c r="K676" s="4">
        <f>IFERROR(__xludf.DUMMYFUNCTION("""COMPUTED_VALUE"""),45949.28966435185)</f>
        <v>45949.28966</v>
      </c>
      <c r="L676" s="4">
        <f>IFERROR(__xludf.DUMMYFUNCTION("""COMPUTED_VALUE"""),45949.29866823181)</f>
        <v>45949.29867</v>
      </c>
      <c r="M676" s="1" t="str">
        <f>IFERROR(__xludf.DUMMYFUNCTION("""COMPUTED_VALUE"""),"RFID")</f>
        <v>RFID</v>
      </c>
      <c r="N676" s="5">
        <f>IFERROR(__xludf.DUMMYFUNCTION("""COMPUTED_VALUE"""),0.004803731481481482)</f>
        <v>0.004803731481</v>
      </c>
      <c r="O676" s="5">
        <f>IFERROR(__xludf.DUMMYFUNCTION("""COMPUTED_VALUE"""),0.01247726851851852)</f>
        <v>0.01247726852</v>
      </c>
      <c r="P676" s="5">
        <f>IFERROR(__xludf.DUMMYFUNCTION("""COMPUTED_VALUE"""),0.0037053003953913524)</f>
        <v>0.003705300395</v>
      </c>
      <c r="Q676" s="5">
        <f>IFERROR(__xludf.DUMMYFUNCTION("""COMPUTED_VALUE"""),0.0052206377314814815)</f>
        <v>0.005220637731</v>
      </c>
      <c r="R676" s="4">
        <f>IFERROR(__xludf.DUMMYFUNCTION("""COMPUTED_VALUE"""),45949.05220637996)</f>
        <v>45949.05221</v>
      </c>
      <c r="S676" s="1" t="b">
        <f>IFERROR(__xludf.DUMMYFUNCTION("""COMPUTED_VALUE"""),TRUE)</f>
        <v>1</v>
      </c>
      <c r="T676" s="1" t="b">
        <f>IFERROR(__xludf.DUMMYFUNCTION("""COMPUTED_VALUE"""),FALSE)</f>
        <v>0</v>
      </c>
      <c r="U676" s="1" t="str">
        <f>IFERROR(__xludf.DUMMYFUNCTION("""COMPUTED_VALUE"""),"VALID")</f>
        <v>VALID</v>
      </c>
      <c r="V676" s="1">
        <f>IFERROR(__xludf.DUMMYFUNCTION("""COMPUTED_VALUE"""),390.0)</f>
        <v>390</v>
      </c>
      <c r="W676" s="1">
        <f>IFERROR(__xludf.DUMMYFUNCTION("""COMPUTED_VALUE"""),463.0)</f>
        <v>463</v>
      </c>
      <c r="X676" s="1">
        <f>IFERROR(__xludf.DUMMYFUNCTION("""COMPUTED_VALUE"""),1440.0)</f>
        <v>1440</v>
      </c>
      <c r="Y676" s="2"/>
      <c r="Z676" s="2"/>
    </row>
    <row r="677">
      <c r="A677" s="1">
        <f>IFERROR(__xludf.DUMMYFUNCTION("""COMPUTED_VALUE"""),676.0)</f>
        <v>676</v>
      </c>
      <c r="B677" s="1">
        <f>IFERROR(__xludf.DUMMYFUNCTION("""COMPUTED_VALUE"""),10560.0)</f>
        <v>10560</v>
      </c>
      <c r="C677" s="2" t="str">
        <f>IFERROR(__xludf.DUMMYFUNCTION("""COMPUTED_VALUE"""),"M MU'THI AZHARI")</f>
        <v>M MU'THI AZHARI</v>
      </c>
      <c r="D677" s="2" t="str">
        <f>IFERROR(__xludf.DUMMYFUNCTION("""COMPUTED_VALUE"""),"10KM OVERALL M")</f>
        <v>10KM OVERALL M</v>
      </c>
      <c r="E677" s="1">
        <f>IFERROR(__xludf.DUMMYFUNCTION("""COMPUTED_VALUE"""),1.0)</f>
        <v>1</v>
      </c>
      <c r="F677" s="1" t="str">
        <f>IFERROR(__xludf.DUMMYFUNCTION("""COMPUTED_VALUE"""),"Male")</f>
        <v>Male</v>
      </c>
      <c r="G677" s="4" t="b">
        <f>IFERROR(__xludf.DUMMYFUNCTION("""COMPUTED_VALUE"""),TRUE)</f>
        <v>1</v>
      </c>
      <c r="H677" s="4" t="b">
        <f>IFERROR(__xludf.DUMMYFUNCTION("""COMPUTED_VALUE"""),TRUE)</f>
        <v>1</v>
      </c>
      <c r="I677" s="4">
        <f>IFERROR(__xludf.DUMMYFUNCTION("""COMPUTED_VALUE"""),0.24646185185185185)</f>
        <v>0.2464618519</v>
      </c>
      <c r="J677" s="4">
        <f>IFERROR(__xludf.DUMMYFUNCTION("""COMPUTED_VALUE"""),45949.255887849795)</f>
        <v>45949.25589</v>
      </c>
      <c r="K677" s="4">
        <f>IFERROR(__xludf.DUMMYFUNCTION("""COMPUTED_VALUE"""),45949.27968644341)</f>
        <v>45949.27969</v>
      </c>
      <c r="L677" s="4">
        <f>IFERROR(__xludf.DUMMYFUNCTION("""COMPUTED_VALUE"""),45949.28601198225)</f>
        <v>45949.28601</v>
      </c>
      <c r="M677" s="1" t="str">
        <f>IFERROR(__xludf.DUMMYFUNCTION("""COMPUTED_VALUE"""),"RFID")</f>
        <v>RFID</v>
      </c>
      <c r="N677" s="5">
        <f>IFERROR(__xludf.DUMMYFUNCTION("""COMPUTED_VALUE"""),0.0037703981481481477)</f>
        <v>0.003770398148</v>
      </c>
      <c r="O677" s="5">
        <f>IFERROR(__xludf.DUMMYFUNCTION("""COMPUTED_VALUE"""),0.009519435185185185)</f>
        <v>0.009519435185</v>
      </c>
      <c r="P677" s="5">
        <f>IFERROR(__xludf.DUMMYFUNCTION("""COMPUTED_VALUE"""),0.002603102402345741)</f>
        <v>0.002603102402</v>
      </c>
      <c r="Q677" s="5">
        <f>IFERROR(__xludf.DUMMYFUNCTION("""COMPUTED_VALUE"""),0.003955012731481481)</f>
        <v>0.003955012731</v>
      </c>
      <c r="R677" s="4">
        <f>IFERROR(__xludf.DUMMYFUNCTION("""COMPUTED_VALUE"""),45949.0395501304)</f>
        <v>45949.03955</v>
      </c>
      <c r="S677" s="1" t="b">
        <f>IFERROR(__xludf.DUMMYFUNCTION("""COMPUTED_VALUE"""),TRUE)</f>
        <v>1</v>
      </c>
      <c r="T677" s="1" t="b">
        <f>IFERROR(__xludf.DUMMYFUNCTION("""COMPUTED_VALUE"""),FALSE)</f>
        <v>0</v>
      </c>
      <c r="U677" s="1" t="str">
        <f>IFERROR(__xludf.DUMMYFUNCTION("""COMPUTED_VALUE"""),"VALID")</f>
        <v>VALID</v>
      </c>
      <c r="V677" s="1">
        <f>IFERROR(__xludf.DUMMYFUNCTION("""COMPUTED_VALUE"""),91.0)</f>
        <v>91</v>
      </c>
      <c r="W677" s="1">
        <f>IFERROR(__xludf.DUMMYFUNCTION("""COMPUTED_VALUE"""),110.0)</f>
        <v>110</v>
      </c>
      <c r="X677" s="1">
        <f>IFERROR(__xludf.DUMMYFUNCTION("""COMPUTED_VALUE"""),956.0)</f>
        <v>956</v>
      </c>
      <c r="Y677" s="2"/>
      <c r="Z677" s="2"/>
    </row>
    <row r="678">
      <c r="A678" s="1">
        <f>IFERROR(__xludf.DUMMYFUNCTION("""COMPUTED_VALUE"""),677.0)</f>
        <v>677</v>
      </c>
      <c r="B678" s="1">
        <f>IFERROR(__xludf.DUMMYFUNCTION("""COMPUTED_VALUE"""),10561.0)</f>
        <v>10561</v>
      </c>
      <c r="C678" s="2" t="str">
        <f>IFERROR(__xludf.DUMMYFUNCTION("""COMPUTED_VALUE"""),"Baskara S.")</f>
        <v>Baskara S.</v>
      </c>
      <c r="D678" s="2" t="str">
        <f>IFERROR(__xludf.DUMMYFUNCTION("""COMPUTED_VALUE"""),"10KM OVERALL M")</f>
        <v>10KM OVERALL M</v>
      </c>
      <c r="E678" s="1">
        <f>IFERROR(__xludf.DUMMYFUNCTION("""COMPUTED_VALUE"""),1.0)</f>
        <v>1</v>
      </c>
      <c r="F678" s="1" t="str">
        <f>IFERROR(__xludf.DUMMYFUNCTION("""COMPUTED_VALUE"""),"Male")</f>
        <v>Male</v>
      </c>
      <c r="G678" s="4" t="b">
        <f>IFERROR(__xludf.DUMMYFUNCTION("""COMPUTED_VALUE"""),TRUE)</f>
        <v>1</v>
      </c>
      <c r="H678" s="4" t="b">
        <f>IFERROR(__xludf.DUMMYFUNCTION("""COMPUTED_VALUE"""),FALSE)</f>
        <v>0</v>
      </c>
      <c r="I678" s="4">
        <f>IFERROR(__xludf.DUMMYFUNCTION("""COMPUTED_VALUE"""),0.24646185185185185)</f>
        <v>0.2464618519</v>
      </c>
      <c r="J678" s="4">
        <f>IFERROR(__xludf.DUMMYFUNCTION("""COMPUTED_VALUE"""),45949.26189826628)</f>
        <v>45949.2619</v>
      </c>
      <c r="K678" s="4">
        <f>IFERROR(__xludf.DUMMYFUNCTION("""COMPUTED_VALUE"""),45949.301322096326)</f>
        <v>45949.30132</v>
      </c>
      <c r="L678" s="4">
        <f>IFERROR(__xludf.DUMMYFUNCTION("""COMPUTED_VALUE"""),45949.31298148753)</f>
        <v>45949.31298</v>
      </c>
      <c r="M678" s="1" t="str">
        <f>IFERROR(__xludf.DUMMYFUNCTION("""COMPUTED_VALUE"""),"RFID")</f>
        <v>RFID</v>
      </c>
      <c r="N678" s="5">
        <f>IFERROR(__xludf.DUMMYFUNCTION("""COMPUTED_VALUE"""),0.006174564814814815)</f>
        <v>0.006174564815</v>
      </c>
      <c r="O678" s="5">
        <f>IFERROR(__xludf.DUMMYFUNCTION("""COMPUTED_VALUE"""),0.01576953240740741)</f>
        <v>0.01576953241</v>
      </c>
      <c r="P678" s="5">
        <f>IFERROR(__xludf.DUMMYFUNCTION("""COMPUTED_VALUE"""),0.004798103375537628)</f>
        <v>0.004798103376</v>
      </c>
      <c r="Q678" s="5">
        <f>IFERROR(__xludf.DUMMYFUNCTION("""COMPUTED_VALUE"""),0.00665196412037037)</f>
        <v>0.00665196412</v>
      </c>
      <c r="R678" s="4">
        <f>IFERROR(__xludf.DUMMYFUNCTION("""COMPUTED_VALUE"""),45949.06651963568)</f>
        <v>45949.06652</v>
      </c>
      <c r="S678" s="1" t="b">
        <f>IFERROR(__xludf.DUMMYFUNCTION("""COMPUTED_VALUE"""),TRUE)</f>
        <v>1</v>
      </c>
      <c r="T678" s="1" t="b">
        <f>IFERROR(__xludf.DUMMYFUNCTION("""COMPUTED_VALUE"""),FALSE)</f>
        <v>0</v>
      </c>
      <c r="U678" s="1" t="str">
        <f>IFERROR(__xludf.DUMMYFUNCTION("""COMPUTED_VALUE"""),"VALID")</f>
        <v>VALID</v>
      </c>
      <c r="V678" s="1">
        <f>IFERROR(__xludf.DUMMYFUNCTION("""COMPUTED_VALUE"""),576.0)</f>
        <v>576</v>
      </c>
      <c r="W678" s="1">
        <f>IFERROR(__xludf.DUMMYFUNCTION("""COMPUTED_VALUE"""),715.0)</f>
        <v>715</v>
      </c>
      <c r="X678" s="1">
        <f>IFERROR(__xludf.DUMMYFUNCTION("""COMPUTED_VALUE"""),1653.0)</f>
        <v>1653</v>
      </c>
      <c r="Y678" s="2"/>
      <c r="Z678" s="2"/>
    </row>
    <row r="679">
      <c r="A679" s="1">
        <f>IFERROR(__xludf.DUMMYFUNCTION("""COMPUTED_VALUE"""),678.0)</f>
        <v>678</v>
      </c>
      <c r="B679" s="1">
        <f>IFERROR(__xludf.DUMMYFUNCTION("""COMPUTED_VALUE"""),10563.0)</f>
        <v>10563</v>
      </c>
      <c r="C679" s="2" t="str">
        <f>IFERROR(__xludf.DUMMYFUNCTION("""COMPUTED_VALUE"""),"LANA CHANNN")</f>
        <v>LANA CHANNN</v>
      </c>
      <c r="D679" s="2" t="str">
        <f>IFERROR(__xludf.DUMMYFUNCTION("""COMPUTED_VALUE"""),"10KM OVERALL M")</f>
        <v>10KM OVERALL M</v>
      </c>
      <c r="E679" s="1">
        <f>IFERROR(__xludf.DUMMYFUNCTION("""COMPUTED_VALUE"""),1.0)</f>
        <v>1</v>
      </c>
      <c r="F679" s="1" t="str">
        <f>IFERROR(__xludf.DUMMYFUNCTION("""COMPUTED_VALUE"""),"Male")</f>
        <v>Male</v>
      </c>
      <c r="G679" s="4" t="b">
        <f>IFERROR(__xludf.DUMMYFUNCTION("""COMPUTED_VALUE"""),TRUE)</f>
        <v>1</v>
      </c>
      <c r="H679" s="4" t="b">
        <f>IFERROR(__xludf.DUMMYFUNCTION("""COMPUTED_VALUE"""),FALSE)</f>
        <v>0</v>
      </c>
      <c r="I679" s="4">
        <f>IFERROR(__xludf.DUMMYFUNCTION("""COMPUTED_VALUE"""),0.24646185185185185)</f>
        <v>0.2464618519</v>
      </c>
      <c r="J679" s="4">
        <f>IFERROR(__xludf.DUMMYFUNCTION("""COMPUTED_VALUE"""),45949.25819690945)</f>
        <v>45949.2582</v>
      </c>
      <c r="K679" s="4">
        <f>IFERROR(__xludf.DUMMYFUNCTION("""COMPUTED_VALUE"""),45949.285530183224)</f>
        <v>45949.28553</v>
      </c>
      <c r="L679" s="4">
        <f>IFERROR(__xludf.DUMMYFUNCTION("""COMPUTED_VALUE"""),45949.29367865823)</f>
        <v>45949.29368</v>
      </c>
      <c r="M679" s="1" t="str">
        <f>IFERROR(__xludf.DUMMYFUNCTION("""COMPUTED_VALUE"""),"RFID")</f>
        <v>RFID</v>
      </c>
      <c r="N679" s="5">
        <f>IFERROR(__xludf.DUMMYFUNCTION("""COMPUTED_VALUE"""),0.004694023148148148)</f>
        <v>0.004694023148</v>
      </c>
      <c r="O679" s="5">
        <f>IFERROR(__xludf.DUMMYFUNCTION("""COMPUTED_VALUE"""),0.010933310185185185)</f>
        <v>0.01093331019</v>
      </c>
      <c r="P679" s="5">
        <f>IFERROR(__xludf.DUMMYFUNCTION("""COMPUTED_VALUE"""),0.0033532818948223404)</f>
        <v>0.003353281895</v>
      </c>
      <c r="Q679" s="5">
        <f>IFERROR(__xludf.DUMMYFUNCTION("""COMPUTED_VALUE"""),0.004721680555555556)</f>
        <v>0.004721680556</v>
      </c>
      <c r="R679" s="4">
        <f>IFERROR(__xludf.DUMMYFUNCTION("""COMPUTED_VALUE"""),45949.04721680638)</f>
        <v>45949.04722</v>
      </c>
      <c r="S679" s="1" t="b">
        <f>IFERROR(__xludf.DUMMYFUNCTION("""COMPUTED_VALUE"""),TRUE)</f>
        <v>1</v>
      </c>
      <c r="T679" s="1" t="b">
        <f>IFERROR(__xludf.DUMMYFUNCTION("""COMPUTED_VALUE"""),FALSE)</f>
        <v>0</v>
      </c>
      <c r="U679" s="1" t="str">
        <f>IFERROR(__xludf.DUMMYFUNCTION("""COMPUTED_VALUE"""),"VALID")</f>
        <v>VALID</v>
      </c>
      <c r="V679" s="1">
        <f>IFERROR(__xludf.DUMMYFUNCTION("""COMPUTED_VALUE"""),266.0)</f>
        <v>266</v>
      </c>
      <c r="W679" s="1">
        <f>IFERROR(__xludf.DUMMYFUNCTION("""COMPUTED_VALUE"""),317.0)</f>
        <v>317</v>
      </c>
      <c r="X679" s="1">
        <f>IFERROR(__xludf.DUMMYFUNCTION("""COMPUTED_VALUE"""),1275.0)</f>
        <v>1275</v>
      </c>
      <c r="Y679" s="2"/>
      <c r="Z679" s="2"/>
    </row>
    <row r="680">
      <c r="A680" s="1">
        <f>IFERROR(__xludf.DUMMYFUNCTION("""COMPUTED_VALUE"""),679.0)</f>
        <v>679</v>
      </c>
      <c r="B680" s="1">
        <f>IFERROR(__xludf.DUMMYFUNCTION("""COMPUTED_VALUE"""),10564.0)</f>
        <v>10564</v>
      </c>
      <c r="C680" s="2" t="str">
        <f>IFERROR(__xludf.DUMMYFUNCTION("""COMPUTED_VALUE"""),"ARUL FIRDA")</f>
        <v>ARUL FIRDA</v>
      </c>
      <c r="D680" s="2" t="str">
        <f>IFERROR(__xludf.DUMMYFUNCTION("""COMPUTED_VALUE"""),"10KM OVERALL M")</f>
        <v>10KM OVERALL M</v>
      </c>
      <c r="E680" s="1">
        <f>IFERROR(__xludf.DUMMYFUNCTION("""COMPUTED_VALUE"""),1.0)</f>
        <v>1</v>
      </c>
      <c r="F680" s="1" t="str">
        <f>IFERROR(__xludf.DUMMYFUNCTION("""COMPUTED_VALUE"""),"Male")</f>
        <v>Male</v>
      </c>
      <c r="G680" s="4" t="b">
        <f>IFERROR(__xludf.DUMMYFUNCTION("""COMPUTED_VALUE"""),TRUE)</f>
        <v>1</v>
      </c>
      <c r="H680" s="4" t="b">
        <f>IFERROR(__xludf.DUMMYFUNCTION("""COMPUTED_VALUE"""),FALSE)</f>
        <v>0</v>
      </c>
      <c r="I680" s="4">
        <f>IFERROR(__xludf.DUMMYFUNCTION("""COMPUTED_VALUE"""),0.24646185185185185)</f>
        <v>0.2464618519</v>
      </c>
      <c r="J680" s="4">
        <f>IFERROR(__xludf.DUMMYFUNCTION("""COMPUTED_VALUE"""),45949.258266326135)</f>
        <v>45949.25827</v>
      </c>
      <c r="K680" s="4">
        <f>IFERROR(__xludf.DUMMYFUNCTION("""COMPUTED_VALUE"""),45949.287495463395)</f>
        <v>45949.2875</v>
      </c>
      <c r="L680" s="4">
        <f>IFERROR(__xludf.DUMMYFUNCTION("""COMPUTED_VALUE"""),45949.29615086339)</f>
        <v>45949.29615</v>
      </c>
      <c r="M680" s="1" t="str">
        <f>IFERROR(__xludf.DUMMYFUNCTION("""COMPUTED_VALUE"""),"RFID")</f>
        <v>RFID</v>
      </c>
      <c r="N680" s="5">
        <f>IFERROR(__xludf.DUMMYFUNCTION("""COMPUTED_VALUE"""),0.0047217916666666675)</f>
        <v>0.004721791667</v>
      </c>
      <c r="O680" s="5">
        <f>IFERROR(__xludf.DUMMYFUNCTION("""COMPUTED_VALUE"""),0.011691652777777778)</f>
        <v>0.01169165278</v>
      </c>
      <c r="P680" s="5">
        <f>IFERROR(__xludf.DUMMYFUNCTION("""COMPUTED_VALUE"""),0.0035618930014756738)</f>
        <v>0.003561893001</v>
      </c>
      <c r="Q680" s="5">
        <f>IFERROR(__xludf.DUMMYFUNCTION("""COMPUTED_VALUE"""),0.004968901620370371)</f>
        <v>0.00496890162</v>
      </c>
      <c r="R680" s="4">
        <f>IFERROR(__xludf.DUMMYFUNCTION("""COMPUTED_VALUE"""),45949.04968901154)</f>
        <v>45949.04969</v>
      </c>
      <c r="S680" s="1" t="b">
        <f>IFERROR(__xludf.DUMMYFUNCTION("""COMPUTED_VALUE"""),TRUE)</f>
        <v>1</v>
      </c>
      <c r="T680" s="1" t="b">
        <f>IFERROR(__xludf.DUMMYFUNCTION("""COMPUTED_VALUE"""),FALSE)</f>
        <v>0</v>
      </c>
      <c r="U680" s="1" t="str">
        <f>IFERROR(__xludf.DUMMYFUNCTION("""COMPUTED_VALUE"""),"VALID")</f>
        <v>VALID</v>
      </c>
      <c r="V680" s="1">
        <f>IFERROR(__xludf.DUMMYFUNCTION("""COMPUTED_VALUE"""),329.0)</f>
        <v>329</v>
      </c>
      <c r="W680" s="1">
        <f>IFERROR(__xludf.DUMMYFUNCTION("""COMPUTED_VALUE"""),390.0)</f>
        <v>390</v>
      </c>
      <c r="X680" s="1">
        <f>IFERROR(__xludf.DUMMYFUNCTION("""COMPUTED_VALUE"""),1366.0)</f>
        <v>1366</v>
      </c>
      <c r="Y680" s="2"/>
      <c r="Z680" s="2"/>
    </row>
    <row r="681">
      <c r="A681" s="1">
        <f>IFERROR(__xludf.DUMMYFUNCTION("""COMPUTED_VALUE"""),680.0)</f>
        <v>680</v>
      </c>
      <c r="B681" s="1">
        <f>IFERROR(__xludf.DUMMYFUNCTION("""COMPUTED_VALUE"""),10565.0)</f>
        <v>10565</v>
      </c>
      <c r="C681" s="2" t="str">
        <f>IFERROR(__xludf.DUMMYFUNCTION("""COMPUTED_VALUE"""),"Ahmad Wafiy Arrizal")</f>
        <v>Ahmad Wafiy Arrizal</v>
      </c>
      <c r="D681" s="2" t="str">
        <f>IFERROR(__xludf.DUMMYFUNCTION("""COMPUTED_VALUE"""),"10KM OVERALL M")</f>
        <v>10KM OVERALL M</v>
      </c>
      <c r="E681" s="1">
        <f>IFERROR(__xludf.DUMMYFUNCTION("""COMPUTED_VALUE"""),1.0)</f>
        <v>1</v>
      </c>
      <c r="F681" s="1" t="str">
        <f>IFERROR(__xludf.DUMMYFUNCTION("""COMPUTED_VALUE"""),"Male")</f>
        <v>Male</v>
      </c>
      <c r="G681" s="4" t="b">
        <f>IFERROR(__xludf.DUMMYFUNCTION("""COMPUTED_VALUE"""),TRUE)</f>
        <v>1</v>
      </c>
      <c r="H681" s="4" t="b">
        <f>IFERROR(__xludf.DUMMYFUNCTION("""COMPUTED_VALUE"""),TRUE)</f>
        <v>1</v>
      </c>
      <c r="I681" s="4">
        <f>IFERROR(__xludf.DUMMYFUNCTION("""COMPUTED_VALUE"""),0.24646185185185185)</f>
        <v>0.2464618519</v>
      </c>
      <c r="J681" s="4">
        <f>IFERROR(__xludf.DUMMYFUNCTION("""COMPUTED_VALUE"""),45949.256019750814)</f>
        <v>45949.25602</v>
      </c>
      <c r="K681" s="4">
        <f>IFERROR(__xludf.DUMMYFUNCTION("""COMPUTED_VALUE"""),45949.283373973834)</f>
        <v>45949.28337</v>
      </c>
      <c r="L681" s="4">
        <f>IFERROR(__xludf.DUMMYFUNCTION("""COMPUTED_VALUE"""),45949.291095326415)</f>
        <v>45949.2911</v>
      </c>
      <c r="M681" s="1" t="str">
        <f>IFERROR(__xludf.DUMMYFUNCTION("""COMPUTED_VALUE"""),"RFID")</f>
        <v>RFID</v>
      </c>
      <c r="N681" s="5">
        <f>IFERROR(__xludf.DUMMYFUNCTION("""COMPUTED_VALUE"""),0.003823157407407408)</f>
        <v>0.003823157407</v>
      </c>
      <c r="O681" s="5">
        <f>IFERROR(__xludf.DUMMYFUNCTION("""COMPUTED_VALUE"""),0.010941689814814816)</f>
        <v>0.01094168981</v>
      </c>
      <c r="P681" s="5">
        <f>IFERROR(__xludf.DUMMYFUNCTION("""COMPUTED_VALUE"""),0.0031775113498435617)</f>
        <v>0.00317751135</v>
      </c>
      <c r="Q681" s="5">
        <f>IFERROR(__xludf.DUMMYFUNCTION("""COMPUTED_VALUE"""),0.004463347222222222)</f>
        <v>0.004463347222</v>
      </c>
      <c r="R681" s="4">
        <f>IFERROR(__xludf.DUMMYFUNCTION("""COMPUTED_VALUE"""),45949.044633474565)</f>
        <v>45949.04463</v>
      </c>
      <c r="S681" s="1" t="b">
        <f>IFERROR(__xludf.DUMMYFUNCTION("""COMPUTED_VALUE"""),TRUE)</f>
        <v>1</v>
      </c>
      <c r="T681" s="1" t="b">
        <f>IFERROR(__xludf.DUMMYFUNCTION("""COMPUTED_VALUE"""),FALSE)</f>
        <v>0</v>
      </c>
      <c r="U681" s="1" t="str">
        <f>IFERROR(__xludf.DUMMYFUNCTION("""COMPUTED_VALUE"""),"VALID")</f>
        <v>VALID</v>
      </c>
      <c r="V681" s="1">
        <f>IFERROR(__xludf.DUMMYFUNCTION("""COMPUTED_VALUE"""),209.0)</f>
        <v>209</v>
      </c>
      <c r="W681" s="1">
        <f>IFERROR(__xludf.DUMMYFUNCTION("""COMPUTED_VALUE"""),252.0)</f>
        <v>252</v>
      </c>
      <c r="X681" s="1">
        <f>IFERROR(__xludf.DUMMYFUNCTION("""COMPUTED_VALUE"""),1187.0)</f>
        <v>1187</v>
      </c>
      <c r="Y681" s="2"/>
      <c r="Z681" s="2"/>
    </row>
    <row r="682">
      <c r="A682" s="1">
        <f>IFERROR(__xludf.DUMMYFUNCTION("""COMPUTED_VALUE"""),681.0)</f>
        <v>681</v>
      </c>
      <c r="B682" s="1">
        <f>IFERROR(__xludf.DUMMYFUNCTION("""COMPUTED_VALUE"""),10566.0)</f>
        <v>10566</v>
      </c>
      <c r="C682" s="2" t="str">
        <f>IFERROR(__xludf.DUMMYFUNCTION("""COMPUTED_VALUE"""),"Muhammad Ridha")</f>
        <v>Muhammad Ridha</v>
      </c>
      <c r="D682" s="2" t="str">
        <f>IFERROR(__xludf.DUMMYFUNCTION("""COMPUTED_VALUE"""),"10KM OVERALL M")</f>
        <v>10KM OVERALL M</v>
      </c>
      <c r="E682" s="1">
        <f>IFERROR(__xludf.DUMMYFUNCTION("""COMPUTED_VALUE"""),1.0)</f>
        <v>1</v>
      </c>
      <c r="F682" s="1" t="str">
        <f>IFERROR(__xludf.DUMMYFUNCTION("""COMPUTED_VALUE"""),"Male")</f>
        <v>Male</v>
      </c>
      <c r="G682" s="4" t="b">
        <f>IFERROR(__xludf.DUMMYFUNCTION("""COMPUTED_VALUE"""),TRUE)</f>
        <v>1</v>
      </c>
      <c r="H682" s="4" t="b">
        <f>IFERROR(__xludf.DUMMYFUNCTION("""COMPUTED_VALUE"""),FALSE)</f>
        <v>0</v>
      </c>
      <c r="I682" s="4">
        <f>IFERROR(__xludf.DUMMYFUNCTION("""COMPUTED_VALUE"""),0.24646185185185185)</f>
        <v>0.2464618519</v>
      </c>
      <c r="J682" s="4">
        <f>IFERROR(__xludf.DUMMYFUNCTION("""COMPUTED_VALUE"""),45949.25599199117)</f>
        <v>45949.25599</v>
      </c>
      <c r="K682" s="4">
        <f>IFERROR(__xludf.DUMMYFUNCTION("""COMPUTED_VALUE"""),45949.279630886405)</f>
        <v>45949.27963</v>
      </c>
      <c r="L682" s="4">
        <f>IFERROR(__xludf.DUMMYFUNCTION("""COMPUTED_VALUE"""),45949.286317541366)</f>
        <v>45949.28632</v>
      </c>
      <c r="M682" s="1" t="str">
        <f>IFERROR(__xludf.DUMMYFUNCTION("""COMPUTED_VALUE"""),"RFID")</f>
        <v>RFID</v>
      </c>
      <c r="N682" s="5">
        <f>IFERROR(__xludf.DUMMYFUNCTION("""COMPUTED_VALUE"""),0.0038120555555555555)</f>
        <v>0.003812055556</v>
      </c>
      <c r="O682" s="5">
        <f>IFERROR(__xludf.DUMMYFUNCTION("""COMPUTED_VALUE"""),0.009455560185185185)</f>
        <v>0.009455560185</v>
      </c>
      <c r="P682" s="5">
        <f>IFERROR(__xludf.DUMMYFUNCTION("""COMPUTED_VALUE"""),0.00275170986028963)</f>
        <v>0.00275170986</v>
      </c>
      <c r="Q682" s="5">
        <f>IFERROR(__xludf.DUMMYFUNCTION("""COMPUTED_VALUE"""),0.003985569444444444)</f>
        <v>0.003985569444</v>
      </c>
      <c r="R682" s="4">
        <f>IFERROR(__xludf.DUMMYFUNCTION("""COMPUTED_VALUE"""),45949.039855689516)</f>
        <v>45949.03986</v>
      </c>
      <c r="S682" s="1" t="b">
        <f>IFERROR(__xludf.DUMMYFUNCTION("""COMPUTED_VALUE"""),TRUE)</f>
        <v>1</v>
      </c>
      <c r="T682" s="1" t="b">
        <f>IFERROR(__xludf.DUMMYFUNCTION("""COMPUTED_VALUE"""),FALSE)</f>
        <v>0</v>
      </c>
      <c r="U682" s="1" t="str">
        <f>IFERROR(__xludf.DUMMYFUNCTION("""COMPUTED_VALUE"""),"VALID")</f>
        <v>VALID</v>
      </c>
      <c r="V682" s="1">
        <f>IFERROR(__xludf.DUMMYFUNCTION("""COMPUTED_VALUE"""),100.0)</f>
        <v>100</v>
      </c>
      <c r="W682" s="1">
        <f>IFERROR(__xludf.DUMMYFUNCTION("""COMPUTED_VALUE"""),119.0)</f>
        <v>119</v>
      </c>
      <c r="X682" s="1">
        <f>IFERROR(__xludf.DUMMYFUNCTION("""COMPUTED_VALUE"""),973.0)</f>
        <v>973</v>
      </c>
      <c r="Y682" s="2"/>
      <c r="Z682" s="2"/>
    </row>
    <row r="683">
      <c r="A683" s="1">
        <f>IFERROR(__xludf.DUMMYFUNCTION("""COMPUTED_VALUE"""),682.0)</f>
        <v>682</v>
      </c>
      <c r="B683" s="1">
        <f>IFERROR(__xludf.DUMMYFUNCTION("""COMPUTED_VALUE"""),10567.0)</f>
        <v>10567</v>
      </c>
      <c r="C683" s="2" t="str">
        <f>IFERROR(__xludf.DUMMYFUNCTION("""COMPUTED_VALUE"""),"SERIGALA")</f>
        <v>SERIGALA</v>
      </c>
      <c r="D683" s="2" t="str">
        <f>IFERROR(__xludf.DUMMYFUNCTION("""COMPUTED_VALUE"""),"10KM OVERALL M")</f>
        <v>10KM OVERALL M</v>
      </c>
      <c r="E683" s="1">
        <f>IFERROR(__xludf.DUMMYFUNCTION("""COMPUTED_VALUE"""),1.0)</f>
        <v>1</v>
      </c>
      <c r="F683" s="1" t="str">
        <f>IFERROR(__xludf.DUMMYFUNCTION("""COMPUTED_VALUE"""),"Male")</f>
        <v>Male</v>
      </c>
      <c r="G683" s="4" t="b">
        <f>IFERROR(__xludf.DUMMYFUNCTION("""COMPUTED_VALUE"""),TRUE)</f>
        <v>1</v>
      </c>
      <c r="H683" s="4" t="b">
        <f>IFERROR(__xludf.DUMMYFUNCTION("""COMPUTED_VALUE"""),FALSE)</f>
        <v>0</v>
      </c>
      <c r="I683" s="4">
        <f>IFERROR(__xludf.DUMMYFUNCTION("""COMPUTED_VALUE"""),0.24646185185185185)</f>
        <v>0.2464618519</v>
      </c>
      <c r="J683" s="4">
        <f>IFERROR(__xludf.DUMMYFUNCTION("""COMPUTED_VALUE"""),45949.25454754527)</f>
        <v>45949.25455</v>
      </c>
      <c r="K683" s="4">
        <f>IFERROR(__xludf.DUMMYFUNCTION("""COMPUTED_VALUE"""),45949.275740114266)</f>
        <v>45949.27574</v>
      </c>
      <c r="L683" s="4">
        <f>IFERROR(__xludf.DUMMYFUNCTION("""COMPUTED_VALUE"""),45949.281588382946)</f>
        <v>45949.28159</v>
      </c>
      <c r="M683" s="1" t="str">
        <f>IFERROR(__xludf.DUMMYFUNCTION("""COMPUTED_VALUE"""),"RFID")</f>
        <v>RFID</v>
      </c>
      <c r="N683" s="5">
        <f>IFERROR(__xludf.DUMMYFUNCTION("""COMPUTED_VALUE"""),0.003234277777777778)</f>
        <v>0.003234277778</v>
      </c>
      <c r="O683" s="5">
        <f>IFERROR(__xludf.DUMMYFUNCTION("""COMPUTED_VALUE"""),0.008477027777777778)</f>
        <v>0.008477027778</v>
      </c>
      <c r="P683" s="5">
        <f>IFERROR(__xludf.DUMMYFUNCTION("""COMPUTED_VALUE"""),0.002406694930034341)</f>
        <v>0.00240669493</v>
      </c>
      <c r="Q683" s="5">
        <f>IFERROR(__xludf.DUMMYFUNCTION("""COMPUTED_VALUE"""),0.0035126527777777777)</f>
        <v>0.003512652778</v>
      </c>
      <c r="R683" s="4">
        <f>IFERROR(__xludf.DUMMYFUNCTION("""COMPUTED_VALUE"""),45949.0351265311)</f>
        <v>45949.03513</v>
      </c>
      <c r="S683" s="1" t="b">
        <f>IFERROR(__xludf.DUMMYFUNCTION("""COMPUTED_VALUE"""),TRUE)</f>
        <v>1</v>
      </c>
      <c r="T683" s="1" t="b">
        <f>IFERROR(__xludf.DUMMYFUNCTION("""COMPUTED_VALUE"""),FALSE)</f>
        <v>0</v>
      </c>
      <c r="U683" s="1" t="str">
        <f>IFERROR(__xludf.DUMMYFUNCTION("""COMPUTED_VALUE"""),"VALID")</f>
        <v>VALID</v>
      </c>
      <c r="V683" s="1">
        <f>IFERROR(__xludf.DUMMYFUNCTION("""COMPUTED_VALUE"""),33.0)</f>
        <v>33</v>
      </c>
      <c r="W683" s="1">
        <f>IFERROR(__xludf.DUMMYFUNCTION("""COMPUTED_VALUE"""),41.0)</f>
        <v>41</v>
      </c>
      <c r="X683" s="1">
        <f>IFERROR(__xludf.DUMMYFUNCTION("""COMPUTED_VALUE"""),730.0)</f>
        <v>730</v>
      </c>
      <c r="Y683" s="2"/>
      <c r="Z683" s="2"/>
    </row>
    <row r="684">
      <c r="A684" s="1">
        <f>IFERROR(__xludf.DUMMYFUNCTION("""COMPUTED_VALUE"""),683.0)</f>
        <v>683</v>
      </c>
      <c r="B684" s="1">
        <f>IFERROR(__xludf.DUMMYFUNCTION("""COMPUTED_VALUE"""),10568.0)</f>
        <v>10568</v>
      </c>
      <c r="C684" s="2" t="str">
        <f>IFERROR(__xludf.DUMMYFUNCTION("""COMPUTED_VALUE"""),"Ivan Pradana Putra")</f>
        <v>Ivan Pradana Putra</v>
      </c>
      <c r="D684" s="2" t="str">
        <f>IFERROR(__xludf.DUMMYFUNCTION("""COMPUTED_VALUE"""),"10KM OVERALL M")</f>
        <v>10KM OVERALL M</v>
      </c>
      <c r="E684" s="1">
        <f>IFERROR(__xludf.DUMMYFUNCTION("""COMPUTED_VALUE"""),1.0)</f>
        <v>1</v>
      </c>
      <c r="F684" s="1" t="str">
        <f>IFERROR(__xludf.DUMMYFUNCTION("""COMPUTED_VALUE"""),"Male")</f>
        <v>Male</v>
      </c>
      <c r="G684" s="4" t="b">
        <f>IFERROR(__xludf.DUMMYFUNCTION("""COMPUTED_VALUE"""),TRUE)</f>
        <v>1</v>
      </c>
      <c r="H684" s="4" t="b">
        <f>IFERROR(__xludf.DUMMYFUNCTION("""COMPUTED_VALUE"""),FALSE)</f>
        <v>0</v>
      </c>
      <c r="I684" s="4">
        <f>IFERROR(__xludf.DUMMYFUNCTION("""COMPUTED_VALUE"""),0.24646185185185185)</f>
        <v>0.2464618519</v>
      </c>
      <c r="J684" s="4">
        <f>IFERROR(__xludf.DUMMYFUNCTION("""COMPUTED_VALUE"""),45949.25765518345)</f>
        <v>45949.25766</v>
      </c>
      <c r="K684" s="4">
        <f>IFERROR(__xludf.DUMMYFUNCTION("""COMPUTED_VALUE"""),45949.28722116546)</f>
        <v>45949.28722</v>
      </c>
      <c r="L684" s="4">
        <f>IFERROR(__xludf.DUMMYFUNCTION("""COMPUTED_VALUE"""),45949.29549809205)</f>
        <v>45949.2955</v>
      </c>
      <c r="M684" s="1" t="str">
        <f>IFERROR(__xludf.DUMMYFUNCTION("""COMPUTED_VALUE"""),"RFID")</f>
        <v>RFID</v>
      </c>
      <c r="N684" s="5">
        <f>IFERROR(__xludf.DUMMYFUNCTION("""COMPUTED_VALUE"""),0.004477333333333334)</f>
        <v>0.004477333333</v>
      </c>
      <c r="O684" s="5">
        <f>IFERROR(__xludf.DUMMYFUNCTION("""COMPUTED_VALUE"""),0.01182639351851852)</f>
        <v>0.01182639352</v>
      </c>
      <c r="P684" s="5">
        <f>IFERROR(__xludf.DUMMYFUNCTION("""COMPUTED_VALUE"""),0.003406142628149976)</f>
        <v>0.003406142628</v>
      </c>
      <c r="Q684" s="5">
        <f>IFERROR(__xludf.DUMMYFUNCTION("""COMPUTED_VALUE"""),0.004903623842592592)</f>
        <v>0.004903623843</v>
      </c>
      <c r="R684" s="4">
        <f>IFERROR(__xludf.DUMMYFUNCTION("""COMPUTED_VALUE"""),45949.0490362402)</f>
        <v>45949.04904</v>
      </c>
      <c r="S684" s="1" t="b">
        <f>IFERROR(__xludf.DUMMYFUNCTION("""COMPUTED_VALUE"""),TRUE)</f>
        <v>1</v>
      </c>
      <c r="T684" s="1" t="b">
        <f>IFERROR(__xludf.DUMMYFUNCTION("""COMPUTED_VALUE"""),FALSE)</f>
        <v>0</v>
      </c>
      <c r="U684" s="1" t="str">
        <f>IFERROR(__xludf.DUMMYFUNCTION("""COMPUTED_VALUE"""),"VALID")</f>
        <v>VALID</v>
      </c>
      <c r="V684" s="1">
        <f>IFERROR(__xludf.DUMMYFUNCTION("""COMPUTED_VALUE"""),314.0)</f>
        <v>314</v>
      </c>
      <c r="W684" s="1">
        <f>IFERROR(__xludf.DUMMYFUNCTION("""COMPUTED_VALUE"""),372.0)</f>
        <v>372</v>
      </c>
      <c r="X684" s="1">
        <f>IFERROR(__xludf.DUMMYFUNCTION("""COMPUTED_VALUE"""),1344.0)</f>
        <v>1344</v>
      </c>
      <c r="Y684" s="2"/>
      <c r="Z684" s="2"/>
    </row>
    <row r="685">
      <c r="A685" s="1">
        <f>IFERROR(__xludf.DUMMYFUNCTION("""COMPUTED_VALUE"""),684.0)</f>
        <v>684</v>
      </c>
      <c r="B685" s="1">
        <f>IFERROR(__xludf.DUMMYFUNCTION("""COMPUTED_VALUE"""),10569.0)</f>
        <v>10569</v>
      </c>
      <c r="C685" s="2" t="str">
        <f>IFERROR(__xludf.DUMMYFUNCTION("""COMPUTED_VALUE"""),"MUHAMMAD REHAN")</f>
        <v>MUHAMMAD REHAN</v>
      </c>
      <c r="D685" s="2" t="str">
        <f>IFERROR(__xludf.DUMMYFUNCTION("""COMPUTED_VALUE"""),"10KM OVERALL M")</f>
        <v>10KM OVERALL M</v>
      </c>
      <c r="E685" s="1">
        <f>IFERROR(__xludf.DUMMYFUNCTION("""COMPUTED_VALUE"""),1.0)</f>
        <v>1</v>
      </c>
      <c r="F685" s="1" t="str">
        <f>IFERROR(__xludf.DUMMYFUNCTION("""COMPUTED_VALUE"""),"Male")</f>
        <v>Male</v>
      </c>
      <c r="G685" s="4" t="b">
        <f>IFERROR(__xludf.DUMMYFUNCTION("""COMPUTED_VALUE"""),TRUE)</f>
        <v>1</v>
      </c>
      <c r="H685" s="4" t="b">
        <f>IFERROR(__xludf.DUMMYFUNCTION("""COMPUTED_VALUE"""),TRUE)</f>
        <v>1</v>
      </c>
      <c r="I685" s="4">
        <f>IFERROR(__xludf.DUMMYFUNCTION("""COMPUTED_VALUE"""),0.24646185185185185)</f>
        <v>0.2464618519</v>
      </c>
      <c r="J685" s="4">
        <f>IFERROR(__xludf.DUMMYFUNCTION("""COMPUTED_VALUE"""),45949.25780798945)</f>
        <v>45949.25781</v>
      </c>
      <c r="K685" s="4">
        <f>IFERROR(__xludf.DUMMYFUNCTION("""COMPUTED_VALUE"""),45949.28203715604)</f>
        <v>45949.28204</v>
      </c>
      <c r="L685" s="4">
        <f>IFERROR(__xludf.DUMMYFUNCTION("""COMPUTED_VALUE"""),45949.2888210075)</f>
        <v>45949.28882</v>
      </c>
      <c r="M685" s="1" t="str">
        <f>IFERROR(__xludf.DUMMYFUNCTION("""COMPUTED_VALUE"""),"RFID")</f>
        <v>RFID</v>
      </c>
      <c r="N685" s="5">
        <f>IFERROR(__xludf.DUMMYFUNCTION("""COMPUTED_VALUE"""),0.004538453703703703)</f>
        <v>0.004538453704</v>
      </c>
      <c r="O685" s="5">
        <f>IFERROR(__xludf.DUMMYFUNCTION("""COMPUTED_VALUE"""),0.009691666666666666)</f>
        <v>0.009691666667</v>
      </c>
      <c r="P685" s="5">
        <f>IFERROR(__xludf.DUMMYFUNCTION("""COMPUTED_VALUE"""),0.002791708422232603)</f>
        <v>0.002791708422</v>
      </c>
      <c r="Q685" s="5">
        <f>IFERROR(__xludf.DUMMYFUNCTION("""COMPUTED_VALUE"""),0.00423591550925926)</f>
        <v>0.004235915509</v>
      </c>
      <c r="R685" s="4">
        <f>IFERROR(__xludf.DUMMYFUNCTION("""COMPUTED_VALUE"""),45949.042359155654)</f>
        <v>45949.04236</v>
      </c>
      <c r="S685" s="1" t="b">
        <f>IFERROR(__xludf.DUMMYFUNCTION("""COMPUTED_VALUE"""),TRUE)</f>
        <v>1</v>
      </c>
      <c r="T685" s="1" t="b">
        <f>IFERROR(__xludf.DUMMYFUNCTION("""COMPUTED_VALUE"""),FALSE)</f>
        <v>0</v>
      </c>
      <c r="U685" s="1" t="str">
        <f>IFERROR(__xludf.DUMMYFUNCTION("""COMPUTED_VALUE"""),"VALID")</f>
        <v>VALID</v>
      </c>
      <c r="V685" s="1">
        <f>IFERROR(__xludf.DUMMYFUNCTION("""COMPUTED_VALUE"""),151.0)</f>
        <v>151</v>
      </c>
      <c r="W685" s="1">
        <f>IFERROR(__xludf.DUMMYFUNCTION("""COMPUTED_VALUE"""),178.0)</f>
        <v>178</v>
      </c>
      <c r="X685" s="1">
        <f>IFERROR(__xludf.DUMMYFUNCTION("""COMPUTED_VALUE"""),1079.0)</f>
        <v>1079</v>
      </c>
      <c r="Y685" s="2"/>
      <c r="Z685" s="2"/>
    </row>
    <row r="686">
      <c r="A686" s="1">
        <f>IFERROR(__xludf.DUMMYFUNCTION("""COMPUTED_VALUE"""),685.0)</f>
        <v>685</v>
      </c>
      <c r="B686" s="1">
        <f>IFERROR(__xludf.DUMMYFUNCTION("""COMPUTED_VALUE"""),10570.0)</f>
        <v>10570</v>
      </c>
      <c r="C686" s="2" t="str">
        <f>IFERROR(__xludf.DUMMYFUNCTION("""COMPUTED_VALUE"""),"didit")</f>
        <v>didit</v>
      </c>
      <c r="D686" s="2" t="str">
        <f>IFERROR(__xludf.DUMMYFUNCTION("""COMPUTED_VALUE"""),"10KM OVERALL M")</f>
        <v>10KM OVERALL M</v>
      </c>
      <c r="E686" s="1">
        <f>IFERROR(__xludf.DUMMYFUNCTION("""COMPUTED_VALUE"""),1.0)</f>
        <v>1</v>
      </c>
      <c r="F686" s="1" t="str">
        <f>IFERROR(__xludf.DUMMYFUNCTION("""COMPUTED_VALUE"""),"Male")</f>
        <v>Male</v>
      </c>
      <c r="G686" s="4" t="b">
        <f>IFERROR(__xludf.DUMMYFUNCTION("""COMPUTED_VALUE"""),TRUE)</f>
        <v>1</v>
      </c>
      <c r="H686" s="4" t="b">
        <f>IFERROR(__xludf.DUMMYFUNCTION("""COMPUTED_VALUE"""),FALSE)</f>
        <v>0</v>
      </c>
      <c r="I686" s="4">
        <f>IFERROR(__xludf.DUMMYFUNCTION("""COMPUTED_VALUE"""),0.24646185185185185)</f>
        <v>0.2464618519</v>
      </c>
      <c r="J686" s="4">
        <f>IFERROR(__xludf.DUMMYFUNCTION("""COMPUTED_VALUE"""),45949.25658229508)</f>
        <v>45949.25658</v>
      </c>
      <c r="K686" s="4">
        <f>IFERROR(__xludf.DUMMYFUNCTION("""COMPUTED_VALUE"""),45949.28201979406)</f>
        <v>45949.28202</v>
      </c>
      <c r="L686" s="4">
        <f>IFERROR(__xludf.DUMMYFUNCTION("""COMPUTED_VALUE"""),45949.289921993004)</f>
        <v>45949.28992</v>
      </c>
      <c r="M686" s="1" t="str">
        <f>IFERROR(__xludf.DUMMYFUNCTION("""COMPUTED_VALUE"""),"RFID")</f>
        <v>RFID</v>
      </c>
      <c r="N686" s="5">
        <f>IFERROR(__xludf.DUMMYFUNCTION("""COMPUTED_VALUE"""),0.0040481759259259256)</f>
        <v>0.004048175926</v>
      </c>
      <c r="O686" s="5">
        <f>IFERROR(__xludf.DUMMYFUNCTION("""COMPUTED_VALUE"""),0.010175)</f>
        <v>0.010175</v>
      </c>
      <c r="P686" s="5">
        <f>IFERROR(__xludf.DUMMYFUNCTION("""COMPUTED_VALUE"""),0.003251933721837936)</f>
        <v>0.003251933722</v>
      </c>
      <c r="Q686" s="5">
        <f>IFERROR(__xludf.DUMMYFUNCTION("""COMPUTED_VALUE"""),0.004346013888888889)</f>
        <v>0.004346013889</v>
      </c>
      <c r="R686" s="4">
        <f>IFERROR(__xludf.DUMMYFUNCTION("""COMPUTED_VALUE"""),45949.043460141154)</f>
        <v>45949.04346</v>
      </c>
      <c r="S686" s="1" t="b">
        <f>IFERROR(__xludf.DUMMYFUNCTION("""COMPUTED_VALUE"""),TRUE)</f>
        <v>1</v>
      </c>
      <c r="T686" s="1" t="b">
        <f>IFERROR(__xludf.DUMMYFUNCTION("""COMPUTED_VALUE"""),FALSE)</f>
        <v>0</v>
      </c>
      <c r="U686" s="1" t="str">
        <f>IFERROR(__xludf.DUMMYFUNCTION("""COMPUTED_VALUE"""),"VALID")</f>
        <v>VALID</v>
      </c>
      <c r="V686" s="1">
        <f>IFERROR(__xludf.DUMMYFUNCTION("""COMPUTED_VALUE"""),172.0)</f>
        <v>172</v>
      </c>
      <c r="W686" s="1">
        <f>IFERROR(__xludf.DUMMYFUNCTION("""COMPUTED_VALUE"""),203.0)</f>
        <v>203</v>
      </c>
      <c r="X686" s="1">
        <f>IFERROR(__xludf.DUMMYFUNCTION("""COMPUTED_VALUE"""),1111.0)</f>
        <v>1111</v>
      </c>
      <c r="Y686" s="2"/>
      <c r="Z686" s="2"/>
    </row>
    <row r="687">
      <c r="A687" s="1">
        <f>IFERROR(__xludf.DUMMYFUNCTION("""COMPUTED_VALUE"""),686.0)</f>
        <v>686</v>
      </c>
      <c r="B687" s="1">
        <f>IFERROR(__xludf.DUMMYFUNCTION("""COMPUTED_VALUE"""),10572.0)</f>
        <v>10572</v>
      </c>
      <c r="C687" s="2" t="str">
        <f>IFERROR(__xludf.DUMMYFUNCTION("""COMPUTED_VALUE"""),"Muhammad Fahri")</f>
        <v>Muhammad Fahri</v>
      </c>
      <c r="D687" s="2" t="str">
        <f>IFERROR(__xludf.DUMMYFUNCTION("""COMPUTED_VALUE"""),"10KM OVERALL M")</f>
        <v>10KM OVERALL M</v>
      </c>
      <c r="E687" s="1">
        <f>IFERROR(__xludf.DUMMYFUNCTION("""COMPUTED_VALUE"""),1.0)</f>
        <v>1</v>
      </c>
      <c r="F687" s="1" t="str">
        <f>IFERROR(__xludf.DUMMYFUNCTION("""COMPUTED_VALUE"""),"Male")</f>
        <v>Male</v>
      </c>
      <c r="G687" s="4" t="b">
        <f>IFERROR(__xludf.DUMMYFUNCTION("""COMPUTED_VALUE"""),TRUE)</f>
        <v>1</v>
      </c>
      <c r="H687" s="4" t="b">
        <f>IFERROR(__xludf.DUMMYFUNCTION("""COMPUTED_VALUE"""),FALSE)</f>
        <v>0</v>
      </c>
      <c r="I687" s="4">
        <f>IFERROR(__xludf.DUMMYFUNCTION("""COMPUTED_VALUE"""),0.24646185185185185)</f>
        <v>0.2464618519</v>
      </c>
      <c r="J687" s="4">
        <f>IFERROR(__xludf.DUMMYFUNCTION("""COMPUTED_VALUE"""),45949.26412044696)</f>
        <v>45949.26412</v>
      </c>
      <c r="K687" s="4">
        <f>IFERROR(__xludf.DUMMYFUNCTION("""COMPUTED_VALUE"""),45949.29709292056)</f>
        <v>45949.29709</v>
      </c>
      <c r="L687" s="4">
        <f>IFERROR(__xludf.DUMMYFUNCTION("""COMPUTED_VALUE"""),45949.304925168944)</f>
        <v>45949.30493</v>
      </c>
      <c r="M687" s="1" t="str">
        <f>IFERROR(__xludf.DUMMYFUNCTION("""COMPUTED_VALUE"""),"RFID")</f>
        <v>RFID</v>
      </c>
      <c r="N687" s="5">
        <f>IFERROR(__xludf.DUMMYFUNCTION("""COMPUTED_VALUE"""),0.007063439814814815)</f>
        <v>0.007063439815</v>
      </c>
      <c r="O687" s="5">
        <f>IFERROR(__xludf.DUMMYFUNCTION("""COMPUTED_VALUE"""),0.01318899074074074)</f>
        <v>0.01318899074</v>
      </c>
      <c r="P687" s="5">
        <f>IFERROR(__xludf.DUMMYFUNCTION("""COMPUTED_VALUE"""),0.0032231474824397296)</f>
        <v>0.003223147482</v>
      </c>
      <c r="Q687" s="5">
        <f>IFERROR(__xludf.DUMMYFUNCTION("""COMPUTED_VALUE"""),0.005846332175925926)</f>
        <v>0.005846332176</v>
      </c>
      <c r="R687" s="4">
        <f>IFERROR(__xludf.DUMMYFUNCTION("""COMPUTED_VALUE"""),45949.058463317095)</f>
        <v>45949.05846</v>
      </c>
      <c r="S687" s="1" t="b">
        <f>IFERROR(__xludf.DUMMYFUNCTION("""COMPUTED_VALUE"""),TRUE)</f>
        <v>1</v>
      </c>
      <c r="T687" s="1" t="b">
        <f>IFERROR(__xludf.DUMMYFUNCTION("""COMPUTED_VALUE"""),FALSE)</f>
        <v>0</v>
      </c>
      <c r="U687" s="1" t="str">
        <f>IFERROR(__xludf.DUMMYFUNCTION("""COMPUTED_VALUE"""),"VALID")</f>
        <v>VALID</v>
      </c>
      <c r="V687" s="1">
        <f>IFERROR(__xludf.DUMMYFUNCTION("""COMPUTED_VALUE"""),514.0)</f>
        <v>514</v>
      </c>
      <c r="W687" s="1">
        <f>IFERROR(__xludf.DUMMYFUNCTION("""COMPUTED_VALUE"""),625.0)</f>
        <v>625</v>
      </c>
      <c r="X687" s="1">
        <f>IFERROR(__xludf.DUMMYFUNCTION("""COMPUTED_VALUE"""),1588.0)</f>
        <v>1588</v>
      </c>
      <c r="Y687" s="2"/>
      <c r="Z687" s="2"/>
    </row>
    <row r="688">
      <c r="A688" s="1">
        <f>IFERROR(__xludf.DUMMYFUNCTION("""COMPUTED_VALUE"""),687.0)</f>
        <v>687</v>
      </c>
      <c r="B688" s="1">
        <f>IFERROR(__xludf.DUMMYFUNCTION("""COMPUTED_VALUE"""),10573.0)</f>
        <v>10573</v>
      </c>
      <c r="C688" s="2" t="str">
        <f>IFERROR(__xludf.DUMMYFUNCTION("""COMPUTED_VALUE"""),"ARYA MW")</f>
        <v>ARYA MW</v>
      </c>
      <c r="D688" s="2" t="str">
        <f>IFERROR(__xludf.DUMMYFUNCTION("""COMPUTED_VALUE"""),"10KM OVERALL M")</f>
        <v>10KM OVERALL M</v>
      </c>
      <c r="E688" s="1">
        <f>IFERROR(__xludf.DUMMYFUNCTION("""COMPUTED_VALUE"""),1.0)</f>
        <v>1</v>
      </c>
      <c r="F688" s="1" t="str">
        <f>IFERROR(__xludf.DUMMYFUNCTION("""COMPUTED_VALUE"""),"Male")</f>
        <v>Male</v>
      </c>
      <c r="G688" s="4" t="b">
        <f>IFERROR(__xludf.DUMMYFUNCTION("""COMPUTED_VALUE"""),TRUE)</f>
        <v>1</v>
      </c>
      <c r="H688" s="4" t="b">
        <f>IFERROR(__xludf.DUMMYFUNCTION("""COMPUTED_VALUE"""),FALSE)</f>
        <v>0</v>
      </c>
      <c r="I688" s="4">
        <f>IFERROR(__xludf.DUMMYFUNCTION("""COMPUTED_VALUE"""),0.24646185185185185)</f>
        <v>0.2464618519</v>
      </c>
      <c r="J688" s="4">
        <f>IFERROR(__xludf.DUMMYFUNCTION("""COMPUTED_VALUE"""),45949.25753363912)</f>
        <v>45949.25753</v>
      </c>
      <c r="K688" s="4">
        <f>IFERROR(__xludf.DUMMYFUNCTION("""COMPUTED_VALUE"""),45949.28559615517)</f>
        <v>45949.2856</v>
      </c>
      <c r="L688" s="4">
        <f>IFERROR(__xludf.DUMMYFUNCTION("""COMPUTED_VALUE"""),45949.29389046333)</f>
        <v>45949.29389</v>
      </c>
      <c r="M688" s="1" t="str">
        <f>IFERROR(__xludf.DUMMYFUNCTION("""COMPUTED_VALUE"""),"RFID")</f>
        <v>RFID</v>
      </c>
      <c r="N688" s="5">
        <f>IFERROR(__xludf.DUMMYFUNCTION("""COMPUTED_VALUE"""),0.004428712962962962)</f>
        <v>0.004428712963</v>
      </c>
      <c r="O688" s="5">
        <f>IFERROR(__xludf.DUMMYFUNCTION("""COMPUTED_VALUE"""),0.01122500462962963)</f>
        <v>0.01122500463</v>
      </c>
      <c r="P688" s="5">
        <f>IFERROR(__xludf.DUMMYFUNCTION("""COMPUTED_VALUE"""),0.003413295538242285)</f>
        <v>0.003413295538</v>
      </c>
      <c r="Q688" s="5">
        <f>IFERROR(__xludf.DUMMYFUNCTION("""COMPUTED_VALUE"""),0.004742861111111112)</f>
        <v>0.004742861111</v>
      </c>
      <c r="R688" s="4">
        <f>IFERROR(__xludf.DUMMYFUNCTION("""COMPUTED_VALUE"""),45949.04742861148)</f>
        <v>45949.04743</v>
      </c>
      <c r="S688" s="1" t="b">
        <f>IFERROR(__xludf.DUMMYFUNCTION("""COMPUTED_VALUE"""),TRUE)</f>
        <v>1</v>
      </c>
      <c r="T688" s="1" t="b">
        <f>IFERROR(__xludf.DUMMYFUNCTION("""COMPUTED_VALUE"""),FALSE)</f>
        <v>0</v>
      </c>
      <c r="U688" s="1" t="str">
        <f>IFERROR(__xludf.DUMMYFUNCTION("""COMPUTED_VALUE"""),"VALID")</f>
        <v>VALID</v>
      </c>
      <c r="V688" s="1">
        <f>IFERROR(__xludf.DUMMYFUNCTION("""COMPUTED_VALUE"""),272.0)</f>
        <v>272</v>
      </c>
      <c r="W688" s="1">
        <f>IFERROR(__xludf.DUMMYFUNCTION("""COMPUTED_VALUE"""),324.0)</f>
        <v>324</v>
      </c>
      <c r="X688" s="1">
        <f>IFERROR(__xludf.DUMMYFUNCTION("""COMPUTED_VALUE"""),1283.0)</f>
        <v>1283</v>
      </c>
      <c r="Y688" s="2"/>
      <c r="Z688" s="2"/>
    </row>
    <row r="689">
      <c r="A689" s="1">
        <f>IFERROR(__xludf.DUMMYFUNCTION("""COMPUTED_VALUE"""),688.0)</f>
        <v>688</v>
      </c>
      <c r="B689" s="1">
        <f>IFERROR(__xludf.DUMMYFUNCTION("""COMPUTED_VALUE"""),10574.0)</f>
        <v>10574</v>
      </c>
      <c r="C689" s="2" t="str">
        <f>IFERROR(__xludf.DUMMYFUNCTION("""COMPUTED_VALUE"""),"ARZL")</f>
        <v>ARZL</v>
      </c>
      <c r="D689" s="2" t="str">
        <f>IFERROR(__xludf.DUMMYFUNCTION("""COMPUTED_VALUE"""),"10KM OVERALL M")</f>
        <v>10KM OVERALL M</v>
      </c>
      <c r="E689" s="1">
        <f>IFERROR(__xludf.DUMMYFUNCTION("""COMPUTED_VALUE"""),1.0)</f>
        <v>1</v>
      </c>
      <c r="F689" s="1" t="str">
        <f>IFERROR(__xludf.DUMMYFUNCTION("""COMPUTED_VALUE"""),"Male")</f>
        <v>Male</v>
      </c>
      <c r="G689" s="4" t="b">
        <f>IFERROR(__xludf.DUMMYFUNCTION("""COMPUTED_VALUE"""),TRUE)</f>
        <v>1</v>
      </c>
      <c r="H689" s="4" t="b">
        <f>IFERROR(__xludf.DUMMYFUNCTION("""COMPUTED_VALUE"""),FALSE)</f>
        <v>0</v>
      </c>
      <c r="I689" s="4">
        <f>IFERROR(__xludf.DUMMYFUNCTION("""COMPUTED_VALUE"""),0.24646185185185185)</f>
        <v>0.2464618519</v>
      </c>
      <c r="J689" s="4">
        <f>IFERROR(__xludf.DUMMYFUNCTION("""COMPUTED_VALUE"""),45949.260971141855)</f>
        <v>45949.26097</v>
      </c>
      <c r="K689" s="4">
        <f>IFERROR(__xludf.DUMMYFUNCTION("""COMPUTED_VALUE"""),45949.3008359803)</f>
        <v>45949.30084</v>
      </c>
      <c r="L689" s="4">
        <f>IFERROR(__xludf.DUMMYFUNCTION("""COMPUTED_VALUE"""),45949.311765400045)</f>
        <v>45949.31177</v>
      </c>
      <c r="M689" s="1" t="str">
        <f>IFERROR(__xludf.DUMMYFUNCTION("""COMPUTED_VALUE"""),"RFID")</f>
        <v>RFID</v>
      </c>
      <c r="N689" s="5">
        <f>IFERROR(__xludf.DUMMYFUNCTION("""COMPUTED_VALUE"""),0.005803717592592593)</f>
        <v>0.005803717593</v>
      </c>
      <c r="O689" s="5">
        <f>IFERROR(__xludf.DUMMYFUNCTION("""COMPUTED_VALUE"""),0.015945935185185188)</f>
        <v>0.01594593519</v>
      </c>
      <c r="P689" s="5">
        <f>IFERROR(__xludf.DUMMYFUNCTION("""COMPUTED_VALUE"""),0.004497703599337289)</f>
        <v>0.004497703599</v>
      </c>
      <c r="Q689" s="5">
        <f>IFERROR(__xludf.DUMMYFUNCTION("""COMPUTED_VALUE"""),0.006530355324074073)</f>
        <v>0.006530355324</v>
      </c>
      <c r="R689" s="4">
        <f>IFERROR(__xludf.DUMMYFUNCTION("""COMPUTED_VALUE"""),45949.065303548196)</f>
        <v>45949.0653</v>
      </c>
      <c r="S689" s="1" t="b">
        <f>IFERROR(__xludf.DUMMYFUNCTION("""COMPUTED_VALUE"""),TRUE)</f>
        <v>1</v>
      </c>
      <c r="T689" s="1" t="b">
        <f>IFERROR(__xludf.DUMMYFUNCTION("""COMPUTED_VALUE"""),FALSE)</f>
        <v>0</v>
      </c>
      <c r="U689" s="1" t="str">
        <f>IFERROR(__xludf.DUMMYFUNCTION("""COMPUTED_VALUE"""),"VALID")</f>
        <v>VALID</v>
      </c>
      <c r="V689" s="1">
        <f>IFERROR(__xludf.DUMMYFUNCTION("""COMPUTED_VALUE"""),570.0)</f>
        <v>570</v>
      </c>
      <c r="W689" s="1">
        <f>IFERROR(__xludf.DUMMYFUNCTION("""COMPUTED_VALUE"""),702.0)</f>
        <v>702</v>
      </c>
      <c r="X689" s="1">
        <f>IFERROR(__xludf.DUMMYFUNCTION("""COMPUTED_VALUE"""),1647.0)</f>
        <v>1647</v>
      </c>
      <c r="Y689" s="2"/>
      <c r="Z689" s="2"/>
    </row>
    <row r="690">
      <c r="A690" s="1">
        <f>IFERROR(__xludf.DUMMYFUNCTION("""COMPUTED_VALUE"""),689.0)</f>
        <v>689</v>
      </c>
      <c r="B690" s="1">
        <f>IFERROR(__xludf.DUMMYFUNCTION("""COMPUTED_VALUE"""),10575.0)</f>
        <v>10575</v>
      </c>
      <c r="C690" s="2" t="str">
        <f>IFERROR(__xludf.DUMMYFUNCTION("""COMPUTED_VALUE"""),"ELFXXYZ")</f>
        <v>ELFXXYZ</v>
      </c>
      <c r="D690" s="2" t="str">
        <f>IFERROR(__xludf.DUMMYFUNCTION("""COMPUTED_VALUE"""),"10KM OVERALL M")</f>
        <v>10KM OVERALL M</v>
      </c>
      <c r="E690" s="1">
        <f>IFERROR(__xludf.DUMMYFUNCTION("""COMPUTED_VALUE"""),1.0)</f>
        <v>1</v>
      </c>
      <c r="F690" s="1" t="str">
        <f>IFERROR(__xludf.DUMMYFUNCTION("""COMPUTED_VALUE"""),"Male")</f>
        <v>Male</v>
      </c>
      <c r="G690" s="4" t="b">
        <f>IFERROR(__xludf.DUMMYFUNCTION("""COMPUTED_VALUE"""),TRUE)</f>
        <v>1</v>
      </c>
      <c r="H690" s="4" t="b">
        <f>IFERROR(__xludf.DUMMYFUNCTION("""COMPUTED_VALUE"""),TRUE)</f>
        <v>1</v>
      </c>
      <c r="I690" s="4">
        <f>IFERROR(__xludf.DUMMYFUNCTION("""COMPUTED_VALUE"""),0.24646185185185185)</f>
        <v>0.2464618519</v>
      </c>
      <c r="J690" s="4">
        <f>IFERROR(__xludf.DUMMYFUNCTION("""COMPUTED_VALUE"""),45949.260429527916)</f>
        <v>45949.26043</v>
      </c>
      <c r="K690" s="4">
        <f>IFERROR(__xludf.DUMMYFUNCTION("""COMPUTED_VALUE"""),45949.28817599591)</f>
        <v>45949.28818</v>
      </c>
      <c r="L690" s="4">
        <f>IFERROR(__xludf.DUMMYFUNCTION("""COMPUTED_VALUE"""),45949.2965293397)</f>
        <v>45949.29653</v>
      </c>
      <c r="M690" s="1" t="str">
        <f>IFERROR(__xludf.DUMMYFUNCTION("""COMPUTED_VALUE"""),"RFID")</f>
        <v>RFID</v>
      </c>
      <c r="N690" s="5">
        <f>IFERROR(__xludf.DUMMYFUNCTION("""COMPUTED_VALUE"""),0.005587069444444445)</f>
        <v>0.005587069444</v>
      </c>
      <c r="O690" s="5">
        <f>IFERROR(__xludf.DUMMYFUNCTION("""COMPUTED_VALUE"""),0.011098587962962963)</f>
        <v>0.01109858796</v>
      </c>
      <c r="P690" s="5">
        <f>IFERROR(__xludf.DUMMYFUNCTION("""COMPUTED_VALUE"""),0.0034375900355715747)</f>
        <v>0.003437590036</v>
      </c>
      <c r="Q690" s="5">
        <f>IFERROR(__xludf.DUMMYFUNCTION("""COMPUTED_VALUE"""),0.005006748842592593)</f>
        <v>0.005006748843</v>
      </c>
      <c r="R690" s="4">
        <f>IFERROR(__xludf.DUMMYFUNCTION("""COMPUTED_VALUE"""),45949.05006748785)</f>
        <v>45949.05007</v>
      </c>
      <c r="S690" s="1" t="b">
        <f>IFERROR(__xludf.DUMMYFUNCTION("""COMPUTED_VALUE"""),TRUE)</f>
        <v>1</v>
      </c>
      <c r="T690" s="1" t="b">
        <f>IFERROR(__xludf.DUMMYFUNCTION("""COMPUTED_VALUE"""),FALSE)</f>
        <v>0</v>
      </c>
      <c r="U690" s="1" t="str">
        <f>IFERROR(__xludf.DUMMYFUNCTION("""COMPUTED_VALUE"""),"VALID")</f>
        <v>VALID</v>
      </c>
      <c r="V690" s="1">
        <f>IFERROR(__xludf.DUMMYFUNCTION("""COMPUTED_VALUE"""),340.0)</f>
        <v>340</v>
      </c>
      <c r="W690" s="1">
        <f>IFERROR(__xludf.DUMMYFUNCTION("""COMPUTED_VALUE"""),402.0)</f>
        <v>402</v>
      </c>
      <c r="X690" s="1">
        <f>IFERROR(__xludf.DUMMYFUNCTION("""COMPUTED_VALUE"""),1380.0)</f>
        <v>1380</v>
      </c>
      <c r="Y690" s="2"/>
      <c r="Z690" s="2"/>
    </row>
    <row r="691">
      <c r="A691" s="1">
        <f>IFERROR(__xludf.DUMMYFUNCTION("""COMPUTED_VALUE"""),690.0)</f>
        <v>690</v>
      </c>
      <c r="B691" s="1">
        <f>IFERROR(__xludf.DUMMYFUNCTION("""COMPUTED_VALUE"""),10576.0)</f>
        <v>10576</v>
      </c>
      <c r="C691" s="2" t="str">
        <f>IFERROR(__xludf.DUMMYFUNCTION("""COMPUTED_VALUE"""),"Garingging")</f>
        <v>Garingging</v>
      </c>
      <c r="D691" s="2" t="str">
        <f>IFERROR(__xludf.DUMMYFUNCTION("""COMPUTED_VALUE"""),"10KM OVERALL M")</f>
        <v>10KM OVERALL M</v>
      </c>
      <c r="E691" s="1">
        <f>IFERROR(__xludf.DUMMYFUNCTION("""COMPUTED_VALUE"""),1.0)</f>
        <v>1</v>
      </c>
      <c r="F691" s="1" t="str">
        <f>IFERROR(__xludf.DUMMYFUNCTION("""COMPUTED_VALUE"""),"Male")</f>
        <v>Male</v>
      </c>
      <c r="G691" s="4" t="b">
        <f>IFERROR(__xludf.DUMMYFUNCTION("""COMPUTED_VALUE"""),TRUE)</f>
        <v>1</v>
      </c>
      <c r="H691" s="4" t="b">
        <f>IFERROR(__xludf.DUMMYFUNCTION("""COMPUTED_VALUE"""),TRUE)</f>
        <v>1</v>
      </c>
      <c r="I691" s="4">
        <f>IFERROR(__xludf.DUMMYFUNCTION("""COMPUTED_VALUE"""),0.24646185185185185)</f>
        <v>0.2464618519</v>
      </c>
      <c r="J691" s="4">
        <f>IFERROR(__xludf.DUMMYFUNCTION("""COMPUTED_VALUE"""),45949.25757531957)</f>
        <v>45949.25758</v>
      </c>
      <c r="K691" s="4">
        <f>IFERROR(__xludf.DUMMYFUNCTION("""COMPUTED_VALUE"""),45949.2817663326)</f>
        <v>45949.28177</v>
      </c>
      <c r="L691" s="4">
        <f>IFERROR(__xludf.DUMMYFUNCTION("""COMPUTED_VALUE"""),45949.28838351939)</f>
        <v>45949.28838</v>
      </c>
      <c r="M691" s="1" t="str">
        <f>IFERROR(__xludf.DUMMYFUNCTION("""COMPUTED_VALUE"""),"RFID")</f>
        <v>RFID</v>
      </c>
      <c r="N691" s="5">
        <f>IFERROR(__xludf.DUMMYFUNCTION("""COMPUTED_VALUE"""),0.004445388888888889)</f>
        <v>0.004445388889</v>
      </c>
      <c r="O691" s="5">
        <f>IFERROR(__xludf.DUMMYFUNCTION("""COMPUTED_VALUE"""),0.009676407407407408)</f>
        <v>0.009676407407</v>
      </c>
      <c r="P691" s="5">
        <f>IFERROR(__xludf.DUMMYFUNCTION("""COMPUTED_VALUE"""),0.0027231221377596623)</f>
        <v>0.002723122138</v>
      </c>
      <c r="Q691" s="5">
        <f>IFERROR(__xludf.DUMMYFUNCTION("""COMPUTED_VALUE"""),0.004192166666666667)</f>
        <v>0.004192166667</v>
      </c>
      <c r="R691" s="4">
        <f>IFERROR(__xludf.DUMMYFUNCTION("""COMPUTED_VALUE"""),45949.041921667544)</f>
        <v>45949.04192</v>
      </c>
      <c r="S691" s="1" t="b">
        <f>IFERROR(__xludf.DUMMYFUNCTION("""COMPUTED_VALUE"""),TRUE)</f>
        <v>1</v>
      </c>
      <c r="T691" s="1" t="b">
        <f>IFERROR(__xludf.DUMMYFUNCTION("""COMPUTED_VALUE"""),FALSE)</f>
        <v>0</v>
      </c>
      <c r="U691" s="1" t="str">
        <f>IFERROR(__xludf.DUMMYFUNCTION("""COMPUTED_VALUE"""),"VALID")</f>
        <v>VALID</v>
      </c>
      <c r="V691" s="1">
        <f>IFERROR(__xludf.DUMMYFUNCTION("""COMPUTED_VALUE"""),140.0)</f>
        <v>140</v>
      </c>
      <c r="W691" s="1">
        <f>IFERROR(__xludf.DUMMYFUNCTION("""COMPUTED_VALUE"""),165.0)</f>
        <v>165</v>
      </c>
      <c r="X691" s="1">
        <f>IFERROR(__xludf.DUMMYFUNCTION("""COMPUTED_VALUE"""),1062.0)</f>
        <v>1062</v>
      </c>
      <c r="Y691" s="2"/>
      <c r="Z691" s="2"/>
    </row>
    <row r="692">
      <c r="A692" s="1">
        <f>IFERROR(__xludf.DUMMYFUNCTION("""COMPUTED_VALUE"""),691.0)</f>
        <v>691</v>
      </c>
      <c r="B692" s="1">
        <f>IFERROR(__xludf.DUMMYFUNCTION("""COMPUTED_VALUE"""),10578.0)</f>
        <v>10578</v>
      </c>
      <c r="C692" s="2" t="str">
        <f>IFERROR(__xludf.DUMMYFUNCTION("""COMPUTED_VALUE"""),"Hendra Setiadi")</f>
        <v>Hendra Setiadi</v>
      </c>
      <c r="D692" s="2" t="str">
        <f>IFERROR(__xludf.DUMMYFUNCTION("""COMPUTED_VALUE"""),"10KM OVERALL M")</f>
        <v>10KM OVERALL M</v>
      </c>
      <c r="E692" s="1">
        <f>IFERROR(__xludf.DUMMYFUNCTION("""COMPUTED_VALUE"""),1.0)</f>
        <v>1</v>
      </c>
      <c r="F692" s="1" t="str">
        <f>IFERROR(__xludf.DUMMYFUNCTION("""COMPUTED_VALUE"""),"Male")</f>
        <v>Male</v>
      </c>
      <c r="G692" s="4" t="b">
        <f>IFERROR(__xludf.DUMMYFUNCTION("""COMPUTED_VALUE"""),TRUE)</f>
        <v>1</v>
      </c>
      <c r="H692" s="4" t="b">
        <f>IFERROR(__xludf.DUMMYFUNCTION("""COMPUTED_VALUE"""),TRUE)</f>
        <v>1</v>
      </c>
      <c r="I692" s="4">
        <f>IFERROR(__xludf.DUMMYFUNCTION("""COMPUTED_VALUE"""),0.24646185185185185)</f>
        <v>0.2464618519</v>
      </c>
      <c r="J692" s="4">
        <f>IFERROR(__xludf.DUMMYFUNCTION("""COMPUTED_VALUE"""),45949.25356494752)</f>
        <v>45949.25356</v>
      </c>
      <c r="K692" s="4">
        <f>IFERROR(__xludf.DUMMYFUNCTION("""COMPUTED_VALUE"""),45949.272160251545)</f>
        <v>45949.27216</v>
      </c>
      <c r="L692" s="4">
        <f>IFERROR(__xludf.DUMMYFUNCTION("""COMPUTED_VALUE"""),45949.27745990118)</f>
        <v>45949.27746</v>
      </c>
      <c r="M692" s="1" t="str">
        <f>IFERROR(__xludf.DUMMYFUNCTION("""COMPUTED_VALUE"""),"RFID")</f>
        <v>RFID</v>
      </c>
      <c r="N692" s="5">
        <f>IFERROR(__xludf.DUMMYFUNCTION("""COMPUTED_VALUE"""),0.0028412361111111112)</f>
        <v>0.002841236111</v>
      </c>
      <c r="O692" s="5">
        <f>IFERROR(__xludf.DUMMYFUNCTION("""COMPUTED_VALUE"""),0.00743812037037037)</f>
        <v>0.00743812037</v>
      </c>
      <c r="P692" s="5">
        <f>IFERROR(__xludf.DUMMYFUNCTION("""COMPUTED_VALUE"""),0.002180925776909868)</f>
        <v>0.002180925777</v>
      </c>
      <c r="Q692" s="5">
        <f>IFERROR(__xludf.DUMMYFUNCTION("""COMPUTED_VALUE"""),0.0030998043981481484)</f>
        <v>0.003099804398</v>
      </c>
      <c r="R692" s="4">
        <f>IFERROR(__xludf.DUMMYFUNCTION("""COMPUTED_VALUE"""),45949.03099804933)</f>
        <v>45949.031</v>
      </c>
      <c r="S692" s="1" t="b">
        <f>IFERROR(__xludf.DUMMYFUNCTION("""COMPUTED_VALUE"""),TRUE)</f>
        <v>1</v>
      </c>
      <c r="T692" s="1" t="b">
        <f>IFERROR(__xludf.DUMMYFUNCTION("""COMPUTED_VALUE"""),FALSE)</f>
        <v>0</v>
      </c>
      <c r="U692" s="1" t="str">
        <f>IFERROR(__xludf.DUMMYFUNCTION("""COMPUTED_VALUE"""),"VALID")</f>
        <v>VALID</v>
      </c>
      <c r="V692" s="1">
        <f>IFERROR(__xludf.DUMMYFUNCTION("""COMPUTED_VALUE"""),10.0)</f>
        <v>10</v>
      </c>
      <c r="W692" s="1">
        <f>IFERROR(__xludf.DUMMYFUNCTION("""COMPUTED_VALUE"""),14.0)</f>
        <v>14</v>
      </c>
      <c r="X692" s="1">
        <f>IFERROR(__xludf.DUMMYFUNCTION("""COMPUTED_VALUE"""),529.0)</f>
        <v>529</v>
      </c>
      <c r="Y692" s="2"/>
      <c r="Z692" s="2"/>
    </row>
    <row r="693">
      <c r="A693" s="1">
        <f>IFERROR(__xludf.DUMMYFUNCTION("""COMPUTED_VALUE"""),692.0)</f>
        <v>692</v>
      </c>
      <c r="B693" s="1">
        <f>IFERROR(__xludf.DUMMYFUNCTION("""COMPUTED_VALUE"""),10579.0)</f>
        <v>10579</v>
      </c>
      <c r="C693" s="2" t="str">
        <f>IFERROR(__xludf.DUMMYFUNCTION("""COMPUTED_VALUE"""),"Almann")</f>
        <v>Almann</v>
      </c>
      <c r="D693" s="2" t="str">
        <f>IFERROR(__xludf.DUMMYFUNCTION("""COMPUTED_VALUE"""),"10KM OVERALL M")</f>
        <v>10KM OVERALL M</v>
      </c>
      <c r="E693" s="1">
        <f>IFERROR(__xludf.DUMMYFUNCTION("""COMPUTED_VALUE"""),1.0)</f>
        <v>1</v>
      </c>
      <c r="F693" s="1" t="str">
        <f>IFERROR(__xludf.DUMMYFUNCTION("""COMPUTED_VALUE"""),"Male")</f>
        <v>Male</v>
      </c>
      <c r="G693" s="4" t="str">
        <f>IFERROR(__xludf.DUMMYFUNCTION("""COMPUTED_VALUE"""),"")</f>
        <v/>
      </c>
      <c r="H693" s="4" t="b">
        <f>IFERROR(__xludf.DUMMYFUNCTION("""COMPUTED_VALUE"""),TRUE)</f>
        <v>1</v>
      </c>
      <c r="I693" s="4">
        <f>IFERROR(__xludf.DUMMYFUNCTION("""COMPUTED_VALUE"""),0.24646185185185185)</f>
        <v>0.2464618519</v>
      </c>
      <c r="J693" s="4">
        <f>IFERROR(__xludf.DUMMYFUNCTION("""COMPUTED_VALUE"""),45949.26661349127)</f>
        <v>45949.26661</v>
      </c>
      <c r="K693" s="4">
        <f>IFERROR(__xludf.DUMMYFUNCTION("""COMPUTED_VALUE"""),45949.29259008078)</f>
        <v>45949.29259</v>
      </c>
      <c r="L693" s="4">
        <f>IFERROR(__xludf.DUMMYFUNCTION("""COMPUTED_VALUE"""),45949.299178593676)</f>
        <v>45949.29918</v>
      </c>
      <c r="M693" s="1" t="str">
        <f>IFERROR(__xludf.DUMMYFUNCTION("""COMPUTED_VALUE"""),"RFID")</f>
        <v>RFID</v>
      </c>
      <c r="N693" s="5">
        <f>IFERROR(__xludf.DUMMYFUNCTION("""COMPUTED_VALUE"""),0.008060657407407409)</f>
        <v>0.008060657407</v>
      </c>
      <c r="O693" s="5">
        <f>IFERROR(__xludf.DUMMYFUNCTION("""COMPUTED_VALUE"""),0.01039063425925926)</f>
        <v>0.01039063426</v>
      </c>
      <c r="P693" s="5">
        <f>IFERROR(__xludf.DUMMYFUNCTION("""COMPUTED_VALUE"""),0.002711322178336918)</f>
        <v>0.002711322178</v>
      </c>
      <c r="Q693" s="5">
        <f>IFERROR(__xludf.DUMMYFUNCTION("""COMPUTED_VALUE"""),0.005271673611111111)</f>
        <v>0.005271673611</v>
      </c>
      <c r="R693" s="4">
        <f>IFERROR(__xludf.DUMMYFUNCTION("""COMPUTED_VALUE"""),45949.052716741826)</f>
        <v>45949.05272</v>
      </c>
      <c r="S693" s="1" t="b">
        <f>IFERROR(__xludf.DUMMYFUNCTION("""COMPUTED_VALUE"""),TRUE)</f>
        <v>1</v>
      </c>
      <c r="T693" s="1" t="b">
        <f>IFERROR(__xludf.DUMMYFUNCTION("""COMPUTED_VALUE"""),FALSE)</f>
        <v>0</v>
      </c>
      <c r="U693" s="1" t="str">
        <f>IFERROR(__xludf.DUMMYFUNCTION("""COMPUTED_VALUE"""),"VALID")</f>
        <v>VALID</v>
      </c>
      <c r="V693" s="1">
        <f>IFERROR(__xludf.DUMMYFUNCTION("""COMPUTED_VALUE"""),395.0)</f>
        <v>395</v>
      </c>
      <c r="W693" s="1">
        <f>IFERROR(__xludf.DUMMYFUNCTION("""COMPUTED_VALUE"""),471.0)</f>
        <v>471</v>
      </c>
      <c r="X693" s="1">
        <f>IFERROR(__xludf.DUMMYFUNCTION("""COMPUTED_VALUE"""),1449.0)</f>
        <v>1449</v>
      </c>
      <c r="Y693" s="2"/>
      <c r="Z693" s="2"/>
    </row>
    <row r="694">
      <c r="A694" s="1">
        <f>IFERROR(__xludf.DUMMYFUNCTION("""COMPUTED_VALUE"""),693.0)</f>
        <v>693</v>
      </c>
      <c r="B694" s="1">
        <f>IFERROR(__xludf.DUMMYFUNCTION("""COMPUTED_VALUE"""),10580.0)</f>
        <v>10580</v>
      </c>
      <c r="C694" s="2" t="str">
        <f>IFERROR(__xludf.DUMMYFUNCTION("""COMPUTED_VALUE"""),"Danny A")</f>
        <v>Danny A</v>
      </c>
      <c r="D694" s="2" t="str">
        <f>IFERROR(__xludf.DUMMYFUNCTION("""COMPUTED_VALUE"""),"10KM OVERALL M")</f>
        <v>10KM OVERALL M</v>
      </c>
      <c r="E694" s="1">
        <f>IFERROR(__xludf.DUMMYFUNCTION("""COMPUTED_VALUE"""),1.0)</f>
        <v>1</v>
      </c>
      <c r="F694" s="1" t="str">
        <f>IFERROR(__xludf.DUMMYFUNCTION("""COMPUTED_VALUE"""),"Male")</f>
        <v>Male</v>
      </c>
      <c r="G694" s="4" t="b">
        <f>IFERROR(__xludf.DUMMYFUNCTION("""COMPUTED_VALUE"""),TRUE)</f>
        <v>1</v>
      </c>
      <c r="H694" s="4" t="b">
        <f>IFERROR(__xludf.DUMMYFUNCTION("""COMPUTED_VALUE"""),TRUE)</f>
        <v>1</v>
      </c>
      <c r="I694" s="4">
        <f>IFERROR(__xludf.DUMMYFUNCTION("""COMPUTED_VALUE"""),0.24646185185185185)</f>
        <v>0.2464618519</v>
      </c>
      <c r="J694" s="4">
        <f>IFERROR(__xludf.DUMMYFUNCTION("""COMPUTED_VALUE"""),45949.259422554605)</f>
        <v>45949.25942</v>
      </c>
      <c r="K694" s="4">
        <f>IFERROR(__xludf.DUMMYFUNCTION("""COMPUTED_VALUE"""),45949.29197481071)</f>
        <v>45949.29197</v>
      </c>
      <c r="L694" s="4">
        <f>IFERROR(__xludf.DUMMYFUNCTION("""COMPUTED_VALUE"""),45949.3009182258)</f>
        <v>45949.30092</v>
      </c>
      <c r="M694" s="1" t="str">
        <f>IFERROR(__xludf.DUMMYFUNCTION("""COMPUTED_VALUE"""),"RFID")</f>
        <v>RFID</v>
      </c>
      <c r="N694" s="5">
        <f>IFERROR(__xludf.DUMMYFUNCTION("""COMPUTED_VALUE"""),0.005184282407407407)</f>
        <v>0.005184282407</v>
      </c>
      <c r="O694" s="5">
        <f>IFERROR(__xludf.DUMMYFUNCTION("""COMPUTED_VALUE"""),0.013020902777777777)</f>
        <v>0.01302090278</v>
      </c>
      <c r="P694" s="5">
        <f>IFERROR(__xludf.DUMMYFUNCTION("""COMPUTED_VALUE"""),0.0036804177342011466)</f>
        <v>0.003680417734</v>
      </c>
      <c r="Q694" s="5">
        <f>IFERROR(__xludf.DUMMYFUNCTION("""COMPUTED_VALUE"""),0.005445637731481481)</f>
        <v>0.005445637731</v>
      </c>
      <c r="R694" s="4">
        <f>IFERROR(__xludf.DUMMYFUNCTION("""COMPUTED_VALUE"""),45949.05445637395)</f>
        <v>45949.05446</v>
      </c>
      <c r="S694" s="1" t="b">
        <f>IFERROR(__xludf.DUMMYFUNCTION("""COMPUTED_VALUE"""),TRUE)</f>
        <v>1</v>
      </c>
      <c r="T694" s="1" t="b">
        <f>IFERROR(__xludf.DUMMYFUNCTION("""COMPUTED_VALUE"""),FALSE)</f>
        <v>0</v>
      </c>
      <c r="U694" s="1" t="str">
        <f>IFERROR(__xludf.DUMMYFUNCTION("""COMPUTED_VALUE"""),"VALID")</f>
        <v>VALID</v>
      </c>
      <c r="V694" s="1">
        <f>IFERROR(__xludf.DUMMYFUNCTION("""COMPUTED_VALUE"""),448.0)</f>
        <v>448</v>
      </c>
      <c r="W694" s="1">
        <f>IFERROR(__xludf.DUMMYFUNCTION("""COMPUTED_VALUE"""),532.0)</f>
        <v>532</v>
      </c>
      <c r="X694" s="1">
        <f>IFERROR(__xludf.DUMMYFUNCTION("""COMPUTED_VALUE"""),1509.0)</f>
        <v>1509</v>
      </c>
      <c r="Y694" s="2"/>
      <c r="Z694" s="2"/>
    </row>
    <row r="695">
      <c r="A695" s="1">
        <f>IFERROR(__xludf.DUMMYFUNCTION("""COMPUTED_VALUE"""),694.0)</f>
        <v>694</v>
      </c>
      <c r="B695" s="1">
        <f>IFERROR(__xludf.DUMMYFUNCTION("""COMPUTED_VALUE"""),10581.0)</f>
        <v>10581</v>
      </c>
      <c r="C695" s="2" t="str">
        <f>IFERROR(__xludf.DUMMYFUNCTION("""COMPUTED_VALUE"""),"Haegel Rizfian")</f>
        <v>Haegel Rizfian</v>
      </c>
      <c r="D695" s="2" t="str">
        <f>IFERROR(__xludf.DUMMYFUNCTION("""COMPUTED_VALUE"""),"10KM OVERALL M")</f>
        <v>10KM OVERALL M</v>
      </c>
      <c r="E695" s="1">
        <f>IFERROR(__xludf.DUMMYFUNCTION("""COMPUTED_VALUE"""),1.0)</f>
        <v>1</v>
      </c>
      <c r="F695" s="1" t="str">
        <f>IFERROR(__xludf.DUMMYFUNCTION("""COMPUTED_VALUE"""),"Male")</f>
        <v>Male</v>
      </c>
      <c r="G695" s="4" t="str">
        <f>IFERROR(__xludf.DUMMYFUNCTION("""COMPUTED_VALUE"""),"")</f>
        <v/>
      </c>
      <c r="H695" s="4" t="b">
        <f>IFERROR(__xludf.DUMMYFUNCTION("""COMPUTED_VALUE"""),TRUE)</f>
        <v>1</v>
      </c>
      <c r="I695" s="4">
        <f>IFERROR(__xludf.DUMMYFUNCTION("""COMPUTED_VALUE"""),0.24646185185185185)</f>
        <v>0.2464618519</v>
      </c>
      <c r="J695" s="4">
        <f>IFERROR(__xludf.DUMMYFUNCTION("""COMPUTED_VALUE"""),45949.257891286616)</f>
        <v>45949.25789</v>
      </c>
      <c r="K695" s="4">
        <f>IFERROR(__xludf.DUMMYFUNCTION("""COMPUTED_VALUE"""),45949.287342701944)</f>
        <v>45949.28734</v>
      </c>
      <c r="L695" s="4">
        <f>IFERROR(__xludf.DUMMYFUNCTION("""COMPUTED_VALUE"""),45949.296171712966)</f>
        <v>45949.29617</v>
      </c>
      <c r="M695" s="1" t="str">
        <f>IFERROR(__xludf.DUMMYFUNCTION("""COMPUTED_VALUE"""),"RFID")</f>
        <v>RFID</v>
      </c>
      <c r="N695" s="5">
        <f>IFERROR(__xludf.DUMMYFUNCTION("""COMPUTED_VALUE"""),0.004571773148148149)</f>
        <v>0.004571773148</v>
      </c>
      <c r="O695" s="5">
        <f>IFERROR(__xludf.DUMMYFUNCTION("""COMPUTED_VALUE"""),0.011780564814814815)</f>
        <v>0.01178056481</v>
      </c>
      <c r="P695" s="5">
        <f>IFERROR(__xludf.DUMMYFUNCTION("""COMPUTED_VALUE"""),0.003633337868966829)</f>
        <v>0.003633337869</v>
      </c>
      <c r="Q695" s="5">
        <f>IFERROR(__xludf.DUMMYFUNCTION("""COMPUTED_VALUE"""),0.004970986111111111)</f>
        <v>0.004970986111</v>
      </c>
      <c r="R695" s="4">
        <f>IFERROR(__xludf.DUMMYFUNCTION("""COMPUTED_VALUE"""),45949.049709861116)</f>
        <v>45949.04971</v>
      </c>
      <c r="S695" s="1" t="b">
        <f>IFERROR(__xludf.DUMMYFUNCTION("""COMPUTED_VALUE"""),TRUE)</f>
        <v>1</v>
      </c>
      <c r="T695" s="1" t="b">
        <f>IFERROR(__xludf.DUMMYFUNCTION("""COMPUTED_VALUE"""),FALSE)</f>
        <v>0</v>
      </c>
      <c r="U695" s="1" t="str">
        <f>IFERROR(__xludf.DUMMYFUNCTION("""COMPUTED_VALUE"""),"VALID")</f>
        <v>VALID</v>
      </c>
      <c r="V695" s="1">
        <f>IFERROR(__xludf.DUMMYFUNCTION("""COMPUTED_VALUE"""),331.0)</f>
        <v>331</v>
      </c>
      <c r="W695" s="1">
        <f>IFERROR(__xludf.DUMMYFUNCTION("""COMPUTED_VALUE"""),392.0)</f>
        <v>392</v>
      </c>
      <c r="X695" s="1">
        <f>IFERROR(__xludf.DUMMYFUNCTION("""COMPUTED_VALUE"""),1368.0)</f>
        <v>1368</v>
      </c>
      <c r="Y695" s="2"/>
      <c r="Z695" s="2"/>
    </row>
    <row r="696">
      <c r="A696" s="1">
        <f>IFERROR(__xludf.DUMMYFUNCTION("""COMPUTED_VALUE"""),695.0)</f>
        <v>695</v>
      </c>
      <c r="B696" s="1">
        <f>IFERROR(__xludf.DUMMYFUNCTION("""COMPUTED_VALUE"""),10582.0)</f>
        <v>10582</v>
      </c>
      <c r="C696" s="2" t="str">
        <f>IFERROR(__xludf.DUMMYFUNCTION("""COMPUTED_VALUE"""),"Muhammad Hanif")</f>
        <v>Muhammad Hanif</v>
      </c>
      <c r="D696" s="2" t="str">
        <f>IFERROR(__xludf.DUMMYFUNCTION("""COMPUTED_VALUE"""),"10KM OVERALL M")</f>
        <v>10KM OVERALL M</v>
      </c>
      <c r="E696" s="1">
        <f>IFERROR(__xludf.DUMMYFUNCTION("""COMPUTED_VALUE"""),1.0)</f>
        <v>1</v>
      </c>
      <c r="F696" s="1" t="str">
        <f>IFERROR(__xludf.DUMMYFUNCTION("""COMPUTED_VALUE"""),"Male")</f>
        <v>Male</v>
      </c>
      <c r="G696" s="4" t="b">
        <f>IFERROR(__xludf.DUMMYFUNCTION("""COMPUTED_VALUE"""),TRUE)</f>
        <v>1</v>
      </c>
      <c r="H696" s="4" t="b">
        <f>IFERROR(__xludf.DUMMYFUNCTION("""COMPUTED_VALUE"""),FALSE)</f>
        <v>0</v>
      </c>
      <c r="I696" s="4">
        <f>IFERROR(__xludf.DUMMYFUNCTION("""COMPUTED_VALUE"""),0.24646185185185185)</f>
        <v>0.2464618519</v>
      </c>
      <c r="J696" s="4">
        <f>IFERROR(__xludf.DUMMYFUNCTION("""COMPUTED_VALUE"""),45949.2549816016)</f>
        <v>45949.25498</v>
      </c>
      <c r="K696" s="4">
        <f>IFERROR(__xludf.DUMMYFUNCTION("""COMPUTED_VALUE"""),45949.27658384586)</f>
        <v>45949.27658</v>
      </c>
      <c r="L696" s="4">
        <f>IFERROR(__xludf.DUMMYFUNCTION("""COMPUTED_VALUE"""),45949.28277239259)</f>
        <v>45949.28277</v>
      </c>
      <c r="M696" s="1" t="str">
        <f>IFERROR(__xludf.DUMMYFUNCTION("""COMPUTED_VALUE"""),"RFID")</f>
        <v>RFID</v>
      </c>
      <c r="N696" s="5">
        <f>IFERROR(__xludf.DUMMYFUNCTION("""COMPUTED_VALUE"""),0.003407898148148148)</f>
        <v>0.003407898148</v>
      </c>
      <c r="O696" s="5">
        <f>IFERROR(__xludf.DUMMYFUNCTION("""COMPUTED_VALUE"""),0.008640898148148148)</f>
        <v>0.008640898148</v>
      </c>
      <c r="P696" s="5">
        <f>IFERROR(__xludf.DUMMYFUNCTION("""COMPUTED_VALUE"""),0.002546727049131897)</f>
        <v>0.002546727049</v>
      </c>
      <c r="Q696" s="5">
        <f>IFERROR(__xludf.DUMMYFUNCTION("""COMPUTED_VALUE"""),0.003631054398148149)</f>
        <v>0.003631054398</v>
      </c>
      <c r="R696" s="4">
        <f>IFERROR(__xludf.DUMMYFUNCTION("""COMPUTED_VALUE"""),45949.03631054074)</f>
        <v>45949.03631</v>
      </c>
      <c r="S696" s="1" t="b">
        <f>IFERROR(__xludf.DUMMYFUNCTION("""COMPUTED_VALUE"""),TRUE)</f>
        <v>1</v>
      </c>
      <c r="T696" s="1" t="b">
        <f>IFERROR(__xludf.DUMMYFUNCTION("""COMPUTED_VALUE"""),FALSE)</f>
        <v>0</v>
      </c>
      <c r="U696" s="1" t="str">
        <f>IFERROR(__xludf.DUMMYFUNCTION("""COMPUTED_VALUE"""),"VALID")</f>
        <v>VALID</v>
      </c>
      <c r="V696" s="1">
        <f>IFERROR(__xludf.DUMMYFUNCTION("""COMPUTED_VALUE"""),47.0)</f>
        <v>47</v>
      </c>
      <c r="W696" s="1">
        <f>IFERROR(__xludf.DUMMYFUNCTION("""COMPUTED_VALUE"""),59.0)</f>
        <v>59</v>
      </c>
      <c r="X696" s="1">
        <f>IFERROR(__xludf.DUMMYFUNCTION("""COMPUTED_VALUE"""),795.0)</f>
        <v>795</v>
      </c>
      <c r="Y696" s="2"/>
      <c r="Z696" s="2"/>
    </row>
    <row r="697">
      <c r="A697" s="1">
        <f>IFERROR(__xludf.DUMMYFUNCTION("""COMPUTED_VALUE"""),696.0)</f>
        <v>696</v>
      </c>
      <c r="B697" s="1">
        <f>IFERROR(__xludf.DUMMYFUNCTION("""COMPUTED_VALUE"""),10583.0)</f>
        <v>10583</v>
      </c>
      <c r="C697" s="2" t="str">
        <f>IFERROR(__xludf.DUMMYFUNCTION("""COMPUTED_VALUE"""),"uchupers")</f>
        <v>uchupers</v>
      </c>
      <c r="D697" s="2" t="str">
        <f>IFERROR(__xludf.DUMMYFUNCTION("""COMPUTED_VALUE"""),"10KM OVERALL M")</f>
        <v>10KM OVERALL M</v>
      </c>
      <c r="E697" s="1">
        <f>IFERROR(__xludf.DUMMYFUNCTION("""COMPUTED_VALUE"""),1.0)</f>
        <v>1</v>
      </c>
      <c r="F697" s="1" t="str">
        <f>IFERROR(__xludf.DUMMYFUNCTION("""COMPUTED_VALUE"""),"Male")</f>
        <v>Male</v>
      </c>
      <c r="G697" s="4" t="b">
        <f>IFERROR(__xludf.DUMMYFUNCTION("""COMPUTED_VALUE"""),TRUE)</f>
        <v>1</v>
      </c>
      <c r="H697" s="4" t="b">
        <f>IFERROR(__xludf.DUMMYFUNCTION("""COMPUTED_VALUE"""),TRUE)</f>
        <v>1</v>
      </c>
      <c r="I697" s="4">
        <f>IFERROR(__xludf.DUMMYFUNCTION("""COMPUTED_VALUE"""),0.24646185185185185)</f>
        <v>0.2464618519</v>
      </c>
      <c r="J697" s="4">
        <f>IFERROR(__xludf.DUMMYFUNCTION("""COMPUTED_VALUE"""),45949.25661002399)</f>
        <v>45949.25661</v>
      </c>
      <c r="K697" s="4">
        <f>IFERROR(__xludf.DUMMYFUNCTION("""COMPUTED_VALUE"""),45949.28223505968)</f>
        <v>45949.28224</v>
      </c>
      <c r="L697" s="4">
        <f>IFERROR(__xludf.DUMMYFUNCTION("""COMPUTED_VALUE"""),45949.28943211451)</f>
        <v>45949.28943</v>
      </c>
      <c r="M697" s="1" t="str">
        <f>IFERROR(__xludf.DUMMYFUNCTION("""COMPUTED_VALUE"""),"RFID")</f>
        <v>RFID</v>
      </c>
      <c r="N697" s="5">
        <f>IFERROR(__xludf.DUMMYFUNCTION("""COMPUTED_VALUE"""),0.0040592685185185185)</f>
        <v>0.004059268519</v>
      </c>
      <c r="O697" s="5">
        <f>IFERROR(__xludf.DUMMYFUNCTION("""COMPUTED_VALUE"""),0.01025001388888889)</f>
        <v>0.01025001389</v>
      </c>
      <c r="P697" s="5">
        <f>IFERROR(__xludf.DUMMYFUNCTION("""COMPUTED_VALUE"""),0.00296175095610562)</f>
        <v>0.002961750956</v>
      </c>
      <c r="Q697" s="5">
        <f>IFERROR(__xludf.DUMMYFUNCTION("""COMPUTED_VALUE"""),0.00429702662037037)</f>
        <v>0.00429702662</v>
      </c>
      <c r="R697" s="4">
        <f>IFERROR(__xludf.DUMMYFUNCTION("""COMPUTED_VALUE"""),45949.04297026266)</f>
        <v>45949.04297</v>
      </c>
      <c r="S697" s="1" t="b">
        <f>IFERROR(__xludf.DUMMYFUNCTION("""COMPUTED_VALUE"""),TRUE)</f>
        <v>1</v>
      </c>
      <c r="T697" s="1" t="b">
        <f>IFERROR(__xludf.DUMMYFUNCTION("""COMPUTED_VALUE"""),FALSE)</f>
        <v>0</v>
      </c>
      <c r="U697" s="1" t="str">
        <f>IFERROR(__xludf.DUMMYFUNCTION("""COMPUTED_VALUE"""),"VALID")</f>
        <v>VALID</v>
      </c>
      <c r="V697" s="1">
        <f>IFERROR(__xludf.DUMMYFUNCTION("""COMPUTED_VALUE"""),168.0)</f>
        <v>168</v>
      </c>
      <c r="W697" s="1">
        <f>IFERROR(__xludf.DUMMYFUNCTION("""COMPUTED_VALUE"""),197.0)</f>
        <v>197</v>
      </c>
      <c r="X697" s="1">
        <f>IFERROR(__xludf.DUMMYFUNCTION("""COMPUTED_VALUE"""),1103.0)</f>
        <v>1103</v>
      </c>
      <c r="Y697" s="2"/>
      <c r="Z697" s="2"/>
    </row>
    <row r="698">
      <c r="A698" s="1">
        <f>IFERROR(__xludf.DUMMYFUNCTION("""COMPUTED_VALUE"""),697.0)</f>
        <v>697</v>
      </c>
      <c r="B698" s="1">
        <f>IFERROR(__xludf.DUMMYFUNCTION("""COMPUTED_VALUE"""),10584.0)</f>
        <v>10584</v>
      </c>
      <c r="C698" s="2" t="str">
        <f>IFERROR(__xludf.DUMMYFUNCTION("""COMPUTED_VALUE"""),"ahnan fadlil")</f>
        <v>ahnan fadlil</v>
      </c>
      <c r="D698" s="2" t="str">
        <f>IFERROR(__xludf.DUMMYFUNCTION("""COMPUTED_VALUE"""),"10KM OVERALL M")</f>
        <v>10KM OVERALL M</v>
      </c>
      <c r="E698" s="1">
        <f>IFERROR(__xludf.DUMMYFUNCTION("""COMPUTED_VALUE"""),1.0)</f>
        <v>1</v>
      </c>
      <c r="F698" s="1" t="str">
        <f>IFERROR(__xludf.DUMMYFUNCTION("""COMPUTED_VALUE"""),"Male")</f>
        <v>Male</v>
      </c>
      <c r="G698" s="4" t="str">
        <f>IFERROR(__xludf.DUMMYFUNCTION("""COMPUTED_VALUE"""),"")</f>
        <v/>
      </c>
      <c r="H698" s="4" t="b">
        <f>IFERROR(__xludf.DUMMYFUNCTION("""COMPUTED_VALUE"""),TRUE)</f>
        <v>1</v>
      </c>
      <c r="I698" s="4">
        <f>IFERROR(__xludf.DUMMYFUNCTION("""COMPUTED_VALUE"""),0.24646185185185185)</f>
        <v>0.2464618519</v>
      </c>
      <c r="J698" s="4">
        <f>IFERROR(__xludf.DUMMYFUNCTION("""COMPUTED_VALUE"""),45949.2592176721)</f>
        <v>45949.25922</v>
      </c>
      <c r="K698" s="4">
        <f>IFERROR(__xludf.DUMMYFUNCTION("""COMPUTED_VALUE"""),45949.29016203703)</f>
        <v>45949.29016</v>
      </c>
      <c r="L698" s="4">
        <f>IFERROR(__xludf.DUMMYFUNCTION("""COMPUTED_VALUE"""),45949.29978975162)</f>
        <v>45949.29979</v>
      </c>
      <c r="M698" s="1" t="str">
        <f>IFERROR(__xludf.DUMMYFUNCTION("""COMPUTED_VALUE"""),"RFID")</f>
        <v>RFID</v>
      </c>
      <c r="N698" s="5">
        <f>IFERROR(__xludf.DUMMYFUNCTION("""COMPUTED_VALUE"""),0.005102328703703704)</f>
        <v>0.005102328704</v>
      </c>
      <c r="O698" s="5">
        <f>IFERROR(__xludf.DUMMYFUNCTION("""COMPUTED_VALUE"""),0.01237774537037037)</f>
        <v>0.01237774537</v>
      </c>
      <c r="P698" s="5">
        <f>IFERROR(__xludf.DUMMYFUNCTION("""COMPUTED_VALUE"""),0.003962022463293792)</f>
        <v>0.003962022463</v>
      </c>
      <c r="Q698" s="5">
        <f>IFERROR(__xludf.DUMMYFUNCTION("""COMPUTED_VALUE"""),0.005332790509259259)</f>
        <v>0.005332790509</v>
      </c>
      <c r="R698" s="4">
        <f>IFERROR(__xludf.DUMMYFUNCTION("""COMPUTED_VALUE"""),45949.05332789977)</f>
        <v>45949.05333</v>
      </c>
      <c r="S698" s="1" t="b">
        <f>IFERROR(__xludf.DUMMYFUNCTION("""COMPUTED_VALUE"""),TRUE)</f>
        <v>1</v>
      </c>
      <c r="T698" s="1" t="b">
        <f>IFERROR(__xludf.DUMMYFUNCTION("""COMPUTED_VALUE"""),FALSE)</f>
        <v>0</v>
      </c>
      <c r="U698" s="1" t="str">
        <f>IFERROR(__xludf.DUMMYFUNCTION("""COMPUTED_VALUE"""),"VALID")</f>
        <v>VALID</v>
      </c>
      <c r="V698" s="1">
        <f>IFERROR(__xludf.DUMMYFUNCTION("""COMPUTED_VALUE"""),406.0)</f>
        <v>406</v>
      </c>
      <c r="W698" s="1">
        <f>IFERROR(__xludf.DUMMYFUNCTION("""COMPUTED_VALUE"""),485.0)</f>
        <v>485</v>
      </c>
      <c r="X698" s="1">
        <f>IFERROR(__xludf.DUMMYFUNCTION("""COMPUTED_VALUE"""),1461.0)</f>
        <v>1461</v>
      </c>
      <c r="Y698" s="2"/>
      <c r="Z698" s="2"/>
    </row>
    <row r="699">
      <c r="A699" s="1">
        <f>IFERROR(__xludf.DUMMYFUNCTION("""COMPUTED_VALUE"""),698.0)</f>
        <v>698</v>
      </c>
      <c r="B699" s="1">
        <f>IFERROR(__xludf.DUMMYFUNCTION("""COMPUTED_VALUE"""),10585.0)</f>
        <v>10585</v>
      </c>
      <c r="C699" s="2" t="str">
        <f>IFERROR(__xludf.DUMMYFUNCTION("""COMPUTED_VALUE"""),"MUHAMMAD BAYHAQI")</f>
        <v>MUHAMMAD BAYHAQI</v>
      </c>
      <c r="D699" s="2" t="str">
        <f>IFERROR(__xludf.DUMMYFUNCTION("""COMPUTED_VALUE"""),"10KM OVERALL M")</f>
        <v>10KM OVERALL M</v>
      </c>
      <c r="E699" s="1">
        <f>IFERROR(__xludf.DUMMYFUNCTION("""COMPUTED_VALUE"""),1.0)</f>
        <v>1</v>
      </c>
      <c r="F699" s="1" t="str">
        <f>IFERROR(__xludf.DUMMYFUNCTION("""COMPUTED_VALUE"""),"Male")</f>
        <v>Male</v>
      </c>
      <c r="G699" s="4" t="b">
        <f>IFERROR(__xludf.DUMMYFUNCTION("""COMPUTED_VALUE"""),TRUE)</f>
        <v>1</v>
      </c>
      <c r="H699" s="4" t="b">
        <f>IFERROR(__xludf.DUMMYFUNCTION("""COMPUTED_VALUE"""),TRUE)</f>
        <v>1</v>
      </c>
      <c r="I699" s="4">
        <f>IFERROR(__xludf.DUMMYFUNCTION("""COMPUTED_VALUE"""),0.24646185185185185)</f>
        <v>0.2464618519</v>
      </c>
      <c r="J699" s="4">
        <f>IFERROR(__xludf.DUMMYFUNCTION("""COMPUTED_VALUE"""),45949.25625239004)</f>
        <v>45949.25625</v>
      </c>
      <c r="K699" s="4">
        <f>IFERROR(__xludf.DUMMYFUNCTION("""COMPUTED_VALUE"""),45949.284329507704)</f>
        <v>45949.28433</v>
      </c>
      <c r="L699" s="4">
        <f>IFERROR(__xludf.DUMMYFUNCTION("""COMPUTED_VALUE"""),45949.29230017215)</f>
        <v>45949.2923</v>
      </c>
      <c r="M699" s="1" t="str">
        <f>IFERROR(__xludf.DUMMYFUNCTION("""COMPUTED_VALUE"""),"RFID")</f>
        <v>RFID</v>
      </c>
      <c r="N699" s="5">
        <f>IFERROR(__xludf.DUMMYFUNCTION("""COMPUTED_VALUE"""),0.003916212962962963)</f>
        <v>0.003916212963</v>
      </c>
      <c r="O699" s="5">
        <f>IFERROR(__xludf.DUMMYFUNCTION("""COMPUTED_VALUE"""),0.011230847222222222)</f>
        <v>0.01123084722</v>
      </c>
      <c r="P699" s="5">
        <f>IFERROR(__xludf.DUMMYFUNCTION("""COMPUTED_VALUE"""),0.0032801088257098697)</f>
        <v>0.003280108826</v>
      </c>
      <c r="Q699" s="5">
        <f>IFERROR(__xludf.DUMMYFUNCTION("""COMPUTED_VALUE"""),0.004583832175925926)</f>
        <v>0.004583832176</v>
      </c>
      <c r="R699" s="4">
        <f>IFERROR(__xludf.DUMMYFUNCTION("""COMPUTED_VALUE"""),45949.0458383203)</f>
        <v>45949.04584</v>
      </c>
      <c r="S699" s="1" t="b">
        <f>IFERROR(__xludf.DUMMYFUNCTION("""COMPUTED_VALUE"""),TRUE)</f>
        <v>1</v>
      </c>
      <c r="T699" s="1" t="b">
        <f>IFERROR(__xludf.DUMMYFUNCTION("""COMPUTED_VALUE"""),FALSE)</f>
        <v>0</v>
      </c>
      <c r="U699" s="1" t="str">
        <f>IFERROR(__xludf.DUMMYFUNCTION("""COMPUTED_VALUE"""),"VALID")</f>
        <v>VALID</v>
      </c>
      <c r="V699" s="1">
        <f>IFERROR(__xludf.DUMMYFUNCTION("""COMPUTED_VALUE"""),237.0)</f>
        <v>237</v>
      </c>
      <c r="W699" s="1">
        <f>IFERROR(__xludf.DUMMYFUNCTION("""COMPUTED_VALUE"""),285.0)</f>
        <v>285</v>
      </c>
      <c r="X699" s="1">
        <f>IFERROR(__xludf.DUMMYFUNCTION("""COMPUTED_VALUE"""),1231.0)</f>
        <v>1231</v>
      </c>
      <c r="Y699" s="2"/>
      <c r="Z699" s="2"/>
    </row>
    <row r="700">
      <c r="A700" s="1">
        <f>IFERROR(__xludf.DUMMYFUNCTION("""COMPUTED_VALUE"""),699.0)</f>
        <v>699</v>
      </c>
      <c r="B700" s="1">
        <f>IFERROR(__xludf.DUMMYFUNCTION("""COMPUTED_VALUE"""),10586.0)</f>
        <v>10586</v>
      </c>
      <c r="C700" s="2" t="str">
        <f>IFERROR(__xludf.DUMMYFUNCTION("""COMPUTED_VALUE"""),"Amir")</f>
        <v>Amir</v>
      </c>
      <c r="D700" s="2" t="str">
        <f>IFERROR(__xludf.DUMMYFUNCTION("""COMPUTED_VALUE"""),"10KM OVERALL M")</f>
        <v>10KM OVERALL M</v>
      </c>
      <c r="E700" s="1">
        <f>IFERROR(__xludf.DUMMYFUNCTION("""COMPUTED_VALUE"""),1.0)</f>
        <v>1</v>
      </c>
      <c r="F700" s="1" t="str">
        <f>IFERROR(__xludf.DUMMYFUNCTION("""COMPUTED_VALUE"""),"Male")</f>
        <v>Male</v>
      </c>
      <c r="G700" s="4" t="b">
        <f>IFERROR(__xludf.DUMMYFUNCTION("""COMPUTED_VALUE"""),TRUE)</f>
        <v>1</v>
      </c>
      <c r="H700" s="4" t="b">
        <f>IFERROR(__xludf.DUMMYFUNCTION("""COMPUTED_VALUE"""),FALSE)</f>
        <v>0</v>
      </c>
      <c r="I700" s="4">
        <f>IFERROR(__xludf.DUMMYFUNCTION("""COMPUTED_VALUE"""),0.24646185185185185)</f>
        <v>0.2464618519</v>
      </c>
      <c r="J700" s="4">
        <f>IFERROR(__xludf.DUMMYFUNCTION("""COMPUTED_VALUE"""),45949.26055799258)</f>
        <v>45949.26056</v>
      </c>
      <c r="K700" s="4">
        <f>IFERROR(__xludf.DUMMYFUNCTION("""COMPUTED_VALUE"""),45949.298401991466)</f>
        <v>45949.2984</v>
      </c>
      <c r="L700" s="4">
        <f>IFERROR(__xludf.DUMMYFUNCTION("""COMPUTED_VALUE"""),45949.308189098985)</f>
        <v>45949.30819</v>
      </c>
      <c r="M700" s="1" t="str">
        <f>IFERROR(__xludf.DUMMYFUNCTION("""COMPUTED_VALUE"""),"RFID")</f>
        <v>RFID</v>
      </c>
      <c r="N700" s="5">
        <f>IFERROR(__xludf.DUMMYFUNCTION("""COMPUTED_VALUE"""),0.005638458333333333)</f>
        <v>0.005638458333</v>
      </c>
      <c r="O700" s="5">
        <f>IFERROR(__xludf.DUMMYFUNCTION("""COMPUTED_VALUE"""),0.015137601851851853)</f>
        <v>0.01513760185</v>
      </c>
      <c r="P700" s="5">
        <f>IFERROR(__xludf.DUMMYFUNCTION("""COMPUTED_VALUE"""),0.004027616263174647)</f>
        <v>0.004027616263</v>
      </c>
      <c r="Q700" s="5">
        <f>IFERROR(__xludf.DUMMYFUNCTION("""COMPUTED_VALUE"""),0.006172724537037037)</f>
        <v>0.006172724537</v>
      </c>
      <c r="R700" s="4">
        <f>IFERROR(__xludf.DUMMYFUNCTION("""COMPUTED_VALUE"""),45949.061727247135)</f>
        <v>45949.06173</v>
      </c>
      <c r="S700" s="1" t="b">
        <f>IFERROR(__xludf.DUMMYFUNCTION("""COMPUTED_VALUE"""),TRUE)</f>
        <v>1</v>
      </c>
      <c r="T700" s="1" t="b">
        <f>IFERROR(__xludf.DUMMYFUNCTION("""COMPUTED_VALUE"""),FALSE)</f>
        <v>0</v>
      </c>
      <c r="U700" s="1" t="str">
        <f>IFERROR(__xludf.DUMMYFUNCTION("""COMPUTED_VALUE"""),"VALID")</f>
        <v>VALID</v>
      </c>
      <c r="V700" s="1">
        <f>IFERROR(__xludf.DUMMYFUNCTION("""COMPUTED_VALUE"""),550.0)</f>
        <v>550</v>
      </c>
      <c r="W700" s="1">
        <f>IFERROR(__xludf.DUMMYFUNCTION("""COMPUTED_VALUE"""),675.0)</f>
        <v>675</v>
      </c>
      <c r="X700" s="1">
        <f>IFERROR(__xludf.DUMMYFUNCTION("""COMPUTED_VALUE"""),1626.0)</f>
        <v>1626</v>
      </c>
      <c r="Y700" s="2"/>
      <c r="Z700" s="2"/>
    </row>
    <row r="701">
      <c r="A701" s="1">
        <f>IFERROR(__xludf.DUMMYFUNCTION("""COMPUTED_VALUE"""),700.0)</f>
        <v>700</v>
      </c>
      <c r="B701" s="1">
        <f>IFERROR(__xludf.DUMMYFUNCTION("""COMPUTED_VALUE"""),10587.0)</f>
        <v>10587</v>
      </c>
      <c r="C701" s="2" t="str">
        <f>IFERROR(__xludf.DUMMYFUNCTION("""COMPUTED_VALUE"""),"Sandy")</f>
        <v>Sandy</v>
      </c>
      <c r="D701" s="2" t="str">
        <f>IFERROR(__xludf.DUMMYFUNCTION("""COMPUTED_VALUE"""),"10KM OVERALL M")</f>
        <v>10KM OVERALL M</v>
      </c>
      <c r="E701" s="1">
        <f>IFERROR(__xludf.DUMMYFUNCTION("""COMPUTED_VALUE"""),1.0)</f>
        <v>1</v>
      </c>
      <c r="F701" s="1" t="str">
        <f>IFERROR(__xludf.DUMMYFUNCTION("""COMPUTED_VALUE"""),"Male")</f>
        <v>Male</v>
      </c>
      <c r="G701" s="4" t="b">
        <f>IFERROR(__xludf.DUMMYFUNCTION("""COMPUTED_VALUE"""),TRUE)</f>
        <v>1</v>
      </c>
      <c r="H701" s="4" t="b">
        <f>IFERROR(__xludf.DUMMYFUNCTION("""COMPUTED_VALUE"""),TRUE)</f>
        <v>1</v>
      </c>
      <c r="I701" s="4">
        <f>IFERROR(__xludf.DUMMYFUNCTION("""COMPUTED_VALUE"""),0.24646185185185185)</f>
        <v>0.2464618519</v>
      </c>
      <c r="J701" s="4">
        <f>IFERROR(__xludf.DUMMYFUNCTION("""COMPUTED_VALUE"""),45949.257943364355)</f>
        <v>45949.25794</v>
      </c>
      <c r="K701" s="4">
        <f>IFERROR(__xludf.DUMMYFUNCTION("""COMPUTED_VALUE"""),45949.28888830082)</f>
        <v>45949.28889</v>
      </c>
      <c r="L701" s="4">
        <f>IFERROR(__xludf.DUMMYFUNCTION("""COMPUTED_VALUE"""),45949.29849114428)</f>
        <v>45949.29849</v>
      </c>
      <c r="M701" s="1" t="str">
        <f>IFERROR(__xludf.DUMMYFUNCTION("""COMPUTED_VALUE"""),"RFID")</f>
        <v>RFID</v>
      </c>
      <c r="N701" s="5">
        <f>IFERROR(__xludf.DUMMYFUNCTION("""COMPUTED_VALUE"""),0.004592606481481481)</f>
        <v>0.004592606481</v>
      </c>
      <c r="O701" s="5">
        <f>IFERROR(__xludf.DUMMYFUNCTION("""COMPUTED_VALUE"""),0.012377976851851852)</f>
        <v>0.01237797685</v>
      </c>
      <c r="P701" s="5">
        <f>IFERROR(__xludf.DUMMYFUNCTION("""COMPUTED_VALUE"""),0.003951787433602345)</f>
        <v>0.003951787434</v>
      </c>
      <c r="Q701" s="5">
        <f>IFERROR(__xludf.DUMMYFUNCTION("""COMPUTED_VALUE"""),0.005202929398148148)</f>
        <v>0.005202929398</v>
      </c>
      <c r="R701" s="4">
        <f>IFERROR(__xludf.DUMMYFUNCTION("""COMPUTED_VALUE"""),45949.052029292434)</f>
        <v>45949.05203</v>
      </c>
      <c r="S701" s="1" t="b">
        <f>IFERROR(__xludf.DUMMYFUNCTION("""COMPUTED_VALUE"""),TRUE)</f>
        <v>1</v>
      </c>
      <c r="T701" s="1" t="b">
        <f>IFERROR(__xludf.DUMMYFUNCTION("""COMPUTED_VALUE"""),FALSE)</f>
        <v>0</v>
      </c>
      <c r="U701" s="1" t="str">
        <f>IFERROR(__xludf.DUMMYFUNCTION("""COMPUTED_VALUE"""),"VALID")</f>
        <v>VALID</v>
      </c>
      <c r="V701" s="1">
        <f>IFERROR(__xludf.DUMMYFUNCTION("""COMPUTED_VALUE"""),385.0)</f>
        <v>385</v>
      </c>
      <c r="W701" s="1">
        <f>IFERROR(__xludf.DUMMYFUNCTION("""COMPUTED_VALUE"""),455.0)</f>
        <v>455</v>
      </c>
      <c r="X701" s="1">
        <f>IFERROR(__xludf.DUMMYFUNCTION("""COMPUTED_VALUE"""),1433.0)</f>
        <v>1433</v>
      </c>
      <c r="Y701" s="2"/>
      <c r="Z701" s="2"/>
    </row>
    <row r="702">
      <c r="A702" s="1">
        <f>IFERROR(__xludf.DUMMYFUNCTION("""COMPUTED_VALUE"""),701.0)</f>
        <v>701</v>
      </c>
      <c r="B702" s="1">
        <f>IFERROR(__xludf.DUMMYFUNCTION("""COMPUTED_VALUE"""),10588.0)</f>
        <v>10588</v>
      </c>
      <c r="C702" s="2" t="str">
        <f>IFERROR(__xludf.DUMMYFUNCTION("""COMPUTED_VALUE"""),"Sagustira_09")</f>
        <v>Sagustira_09</v>
      </c>
      <c r="D702" s="2" t="str">
        <f>IFERROR(__xludf.DUMMYFUNCTION("""COMPUTED_VALUE"""),"10KM OVERALL M")</f>
        <v>10KM OVERALL M</v>
      </c>
      <c r="E702" s="1">
        <f>IFERROR(__xludf.DUMMYFUNCTION("""COMPUTED_VALUE"""),1.0)</f>
        <v>1</v>
      </c>
      <c r="F702" s="1" t="str">
        <f>IFERROR(__xludf.DUMMYFUNCTION("""COMPUTED_VALUE"""),"Male")</f>
        <v>Male</v>
      </c>
      <c r="G702" s="4" t="b">
        <f>IFERROR(__xludf.DUMMYFUNCTION("""COMPUTED_VALUE"""),TRUE)</f>
        <v>1</v>
      </c>
      <c r="H702" s="4" t="b">
        <f>IFERROR(__xludf.DUMMYFUNCTION("""COMPUTED_VALUE"""),FALSE)</f>
        <v>0</v>
      </c>
      <c r="I702" s="4">
        <f>IFERROR(__xludf.DUMMYFUNCTION("""COMPUTED_VALUE"""),0.24646185185185185)</f>
        <v>0.2464618519</v>
      </c>
      <c r="J702" s="4">
        <f>IFERROR(__xludf.DUMMYFUNCTION("""COMPUTED_VALUE"""),45949.26071424647)</f>
        <v>45949.26071</v>
      </c>
      <c r="K702" s="4">
        <f>IFERROR(__xludf.DUMMYFUNCTION("""COMPUTED_VALUE"""),45949.30286028955)</f>
        <v>45949.30286</v>
      </c>
      <c r="L702" s="4">
        <f>IFERROR(__xludf.DUMMYFUNCTION("""COMPUTED_VALUE"""),45949.31462656062)</f>
        <v>45949.31463</v>
      </c>
      <c r="M702" s="1" t="str">
        <f>IFERROR(__xludf.DUMMYFUNCTION("""COMPUTED_VALUE"""),"RFID")</f>
        <v>RFID</v>
      </c>
      <c r="N702" s="5">
        <f>IFERROR(__xludf.DUMMYFUNCTION("""COMPUTED_VALUE"""),0.005700958333333333)</f>
        <v>0.005700958333</v>
      </c>
      <c r="O702" s="5">
        <f>IFERROR(__xludf.DUMMYFUNCTION("""COMPUTED_VALUE"""),0.016858416666666667)</f>
        <v>0.01685841667</v>
      </c>
      <c r="P702" s="5">
        <f>IFERROR(__xludf.DUMMYFUNCTION("""COMPUTED_VALUE"""),0.004842086859697039)</f>
        <v>0.00484208686</v>
      </c>
      <c r="Q702" s="5">
        <f>IFERROR(__xludf.DUMMYFUNCTION("""COMPUTED_VALUE"""),0.006816471064814815)</f>
        <v>0.006816471065</v>
      </c>
      <c r="R702" s="4">
        <f>IFERROR(__xludf.DUMMYFUNCTION("""COMPUTED_VALUE"""),45949.06816470877)</f>
        <v>45949.06816</v>
      </c>
      <c r="S702" s="1" t="b">
        <f>IFERROR(__xludf.DUMMYFUNCTION("""COMPUTED_VALUE"""),TRUE)</f>
        <v>1</v>
      </c>
      <c r="T702" s="1" t="b">
        <f>IFERROR(__xludf.DUMMYFUNCTION("""COMPUTED_VALUE"""),FALSE)</f>
        <v>0</v>
      </c>
      <c r="U702" s="1" t="str">
        <f>IFERROR(__xludf.DUMMYFUNCTION("""COMPUTED_VALUE"""),"VALID")</f>
        <v>VALID</v>
      </c>
      <c r="V702" s="1">
        <f>IFERROR(__xludf.DUMMYFUNCTION("""COMPUTED_VALUE"""),588.0)</f>
        <v>588</v>
      </c>
      <c r="W702" s="1">
        <f>IFERROR(__xludf.DUMMYFUNCTION("""COMPUTED_VALUE"""),731.0)</f>
        <v>731</v>
      </c>
      <c r="X702" s="1">
        <f>IFERROR(__xludf.DUMMYFUNCTION("""COMPUTED_VALUE"""),1663.0)</f>
        <v>1663</v>
      </c>
      <c r="Y702" s="2"/>
      <c r="Z702" s="2"/>
    </row>
    <row r="703">
      <c r="A703" s="1">
        <f>IFERROR(__xludf.DUMMYFUNCTION("""COMPUTED_VALUE"""),702.0)</f>
        <v>702</v>
      </c>
      <c r="B703" s="1">
        <f>IFERROR(__xludf.DUMMYFUNCTION("""COMPUTED_VALUE"""),10589.0)</f>
        <v>10589</v>
      </c>
      <c r="C703" s="2" t="str">
        <f>IFERROR(__xludf.DUMMYFUNCTION("""COMPUTED_VALUE"""),"Muhammad Raysa")</f>
        <v>Muhammad Raysa</v>
      </c>
      <c r="D703" s="2" t="str">
        <f>IFERROR(__xludf.DUMMYFUNCTION("""COMPUTED_VALUE"""),"10KM OVERALL M")</f>
        <v>10KM OVERALL M</v>
      </c>
      <c r="E703" s="1">
        <f>IFERROR(__xludf.DUMMYFUNCTION("""COMPUTED_VALUE"""),1.0)</f>
        <v>1</v>
      </c>
      <c r="F703" s="1" t="str">
        <f>IFERROR(__xludf.DUMMYFUNCTION("""COMPUTED_VALUE"""),"Male")</f>
        <v>Male</v>
      </c>
      <c r="G703" s="4" t="b">
        <f>IFERROR(__xludf.DUMMYFUNCTION("""COMPUTED_VALUE"""),TRUE)</f>
        <v>1</v>
      </c>
      <c r="H703" s="4" t="b">
        <f>IFERROR(__xludf.DUMMYFUNCTION("""COMPUTED_VALUE"""),TRUE)</f>
        <v>1</v>
      </c>
      <c r="I703" s="4">
        <f>IFERROR(__xludf.DUMMYFUNCTION("""COMPUTED_VALUE"""),0.24646185185185185)</f>
        <v>0.2464618519</v>
      </c>
      <c r="J703" s="4">
        <f>IFERROR(__xludf.DUMMYFUNCTION("""COMPUTED_VALUE"""),45949.25784273257)</f>
        <v>45949.25784</v>
      </c>
      <c r="K703" s="4">
        <f>IFERROR(__xludf.DUMMYFUNCTION("""COMPUTED_VALUE"""),45949.28412046053)</f>
        <v>45949.28412</v>
      </c>
      <c r="L703" s="4">
        <f>IFERROR(__xludf.DUMMYFUNCTION("""COMPUTED_VALUE"""),45949.29171337199)</f>
        <v>45949.29171</v>
      </c>
      <c r="M703" s="1" t="str">
        <f>IFERROR(__xludf.DUMMYFUNCTION("""COMPUTED_VALUE"""),"RFID")</f>
        <v>RFID</v>
      </c>
      <c r="N703" s="5">
        <f>IFERROR(__xludf.DUMMYFUNCTION("""COMPUTED_VALUE"""),0.004552351851851852)</f>
        <v>0.004552351852</v>
      </c>
      <c r="O703" s="5">
        <f>IFERROR(__xludf.DUMMYFUNCTION("""COMPUTED_VALUE"""),0.010511092592592594)</f>
        <v>0.01051109259</v>
      </c>
      <c r="P703" s="5">
        <f>IFERROR(__xludf.DUMMYFUNCTION("""COMPUTED_VALUE"""),0.0031246549222060695)</f>
        <v>0.003124654922</v>
      </c>
      <c r="Q703" s="5">
        <f>IFERROR(__xludf.DUMMYFUNCTION("""COMPUTED_VALUE"""),0.00452515162037037)</f>
        <v>0.00452515162</v>
      </c>
      <c r="R703" s="4">
        <f>IFERROR(__xludf.DUMMYFUNCTION("""COMPUTED_VALUE"""),45949.04525152014)</f>
        <v>45949.04525</v>
      </c>
      <c r="S703" s="1" t="b">
        <f>IFERROR(__xludf.DUMMYFUNCTION("""COMPUTED_VALUE"""),TRUE)</f>
        <v>1</v>
      </c>
      <c r="T703" s="1" t="b">
        <f>IFERROR(__xludf.DUMMYFUNCTION("""COMPUTED_VALUE"""),FALSE)</f>
        <v>0</v>
      </c>
      <c r="U703" s="1" t="str">
        <f>IFERROR(__xludf.DUMMYFUNCTION("""COMPUTED_VALUE"""),"VALID")</f>
        <v>VALID</v>
      </c>
      <c r="V703" s="1">
        <f>IFERROR(__xludf.DUMMYFUNCTION("""COMPUTED_VALUE"""),224.0)</f>
        <v>224</v>
      </c>
      <c r="W703" s="1">
        <f>IFERROR(__xludf.DUMMYFUNCTION("""COMPUTED_VALUE"""),269.0)</f>
        <v>269</v>
      </c>
      <c r="X703" s="1">
        <f>IFERROR(__xludf.DUMMYFUNCTION("""COMPUTED_VALUE"""),1209.0)</f>
        <v>1209</v>
      </c>
      <c r="Y703" s="2"/>
      <c r="Z703" s="2"/>
    </row>
    <row r="704">
      <c r="A704" s="1">
        <f>IFERROR(__xludf.DUMMYFUNCTION("""COMPUTED_VALUE"""),703.0)</f>
        <v>703</v>
      </c>
      <c r="B704" s="1">
        <f>IFERROR(__xludf.DUMMYFUNCTION("""COMPUTED_VALUE"""),10590.0)</f>
        <v>10590</v>
      </c>
      <c r="C704" s="2" t="str">
        <f>IFERROR(__xludf.DUMMYFUNCTION("""COMPUTED_VALUE"""),"LANA878")</f>
        <v>LANA878</v>
      </c>
      <c r="D704" s="2" t="str">
        <f>IFERROR(__xludf.DUMMYFUNCTION("""COMPUTED_VALUE"""),"10KM OVERALL M")</f>
        <v>10KM OVERALL M</v>
      </c>
      <c r="E704" s="1">
        <f>IFERROR(__xludf.DUMMYFUNCTION("""COMPUTED_VALUE"""),1.0)</f>
        <v>1</v>
      </c>
      <c r="F704" s="1" t="str">
        <f>IFERROR(__xludf.DUMMYFUNCTION("""COMPUTED_VALUE"""),"Male")</f>
        <v>Male</v>
      </c>
      <c r="G704" s="4" t="b">
        <f>IFERROR(__xludf.DUMMYFUNCTION("""COMPUTED_VALUE"""),TRUE)</f>
        <v>1</v>
      </c>
      <c r="H704" s="4" t="b">
        <f>IFERROR(__xludf.DUMMYFUNCTION("""COMPUTED_VALUE"""),TRUE)</f>
        <v>1</v>
      </c>
      <c r="I704" s="4">
        <f>IFERROR(__xludf.DUMMYFUNCTION("""COMPUTED_VALUE"""),0.24646185185185185)</f>
        <v>0.2464618519</v>
      </c>
      <c r="J704" s="4">
        <f>IFERROR(__xludf.DUMMYFUNCTION("""COMPUTED_VALUE"""),45949.256158627955)</f>
        <v>45949.25616</v>
      </c>
      <c r="K704" s="4">
        <f>IFERROR(__xludf.DUMMYFUNCTION("""COMPUTED_VALUE"""),45949.281005896766)</f>
        <v>45949.28101</v>
      </c>
      <c r="L704" s="4">
        <f>IFERROR(__xludf.DUMMYFUNCTION("""COMPUTED_VALUE"""),45949.2881449086)</f>
        <v>45949.28814</v>
      </c>
      <c r="M704" s="1" t="str">
        <f>IFERROR(__xludf.DUMMYFUNCTION("""COMPUTED_VALUE"""),"RFID")</f>
        <v>RFID</v>
      </c>
      <c r="N704" s="5">
        <f>IFERROR(__xludf.DUMMYFUNCTION("""COMPUTED_VALUE"""),0.0038787083333333334)</f>
        <v>0.003878708333</v>
      </c>
      <c r="O704" s="5">
        <f>IFERROR(__xludf.DUMMYFUNCTION("""COMPUTED_VALUE"""),0.009938907407407407)</f>
        <v>0.009938907407</v>
      </c>
      <c r="P704" s="5">
        <f>IFERROR(__xludf.DUMMYFUNCTION("""COMPUTED_VALUE"""),0.002937864951397495)</f>
        <v>0.002937864951</v>
      </c>
      <c r="Q704" s="5">
        <f>IFERROR(__xludf.DUMMYFUNCTION("""COMPUTED_VALUE"""),0.004168305555555555)</f>
        <v>0.004168305556</v>
      </c>
      <c r="R704" s="4">
        <f>IFERROR(__xludf.DUMMYFUNCTION("""COMPUTED_VALUE"""),45949.04168305675)</f>
        <v>45949.04168</v>
      </c>
      <c r="S704" s="1" t="b">
        <f>IFERROR(__xludf.DUMMYFUNCTION("""COMPUTED_VALUE"""),TRUE)</f>
        <v>1</v>
      </c>
      <c r="T704" s="1" t="b">
        <f>IFERROR(__xludf.DUMMYFUNCTION("""COMPUTED_VALUE"""),FALSE)</f>
        <v>0</v>
      </c>
      <c r="U704" s="1" t="str">
        <f>IFERROR(__xludf.DUMMYFUNCTION("""COMPUTED_VALUE"""),"VALID")</f>
        <v>VALID</v>
      </c>
      <c r="V704" s="1">
        <f>IFERROR(__xludf.DUMMYFUNCTION("""COMPUTED_VALUE"""),135.0)</f>
        <v>135</v>
      </c>
      <c r="W704" s="1">
        <f>IFERROR(__xludf.DUMMYFUNCTION("""COMPUTED_VALUE"""),160.0)</f>
        <v>160</v>
      </c>
      <c r="X704" s="1">
        <f>IFERROR(__xludf.DUMMYFUNCTION("""COMPUTED_VALUE"""),1052.0)</f>
        <v>1052</v>
      </c>
      <c r="Y704" s="2"/>
      <c r="Z704" s="2"/>
    </row>
    <row r="705">
      <c r="A705" s="1">
        <f>IFERROR(__xludf.DUMMYFUNCTION("""COMPUTED_VALUE"""),704.0)</f>
        <v>704</v>
      </c>
      <c r="B705" s="1">
        <f>IFERROR(__xludf.DUMMYFUNCTION("""COMPUTED_VALUE"""),10591.0)</f>
        <v>10591</v>
      </c>
      <c r="C705" s="2" t="str">
        <f>IFERROR(__xludf.DUMMYFUNCTION("""COMPUTED_VALUE"""),"PIPON")</f>
        <v>PIPON</v>
      </c>
      <c r="D705" s="2" t="str">
        <f>IFERROR(__xludf.DUMMYFUNCTION("""COMPUTED_VALUE"""),"10KM OVERALL M")</f>
        <v>10KM OVERALL M</v>
      </c>
      <c r="E705" s="1">
        <f>IFERROR(__xludf.DUMMYFUNCTION("""COMPUTED_VALUE"""),1.0)</f>
        <v>1</v>
      </c>
      <c r="F705" s="1" t="str">
        <f>IFERROR(__xludf.DUMMYFUNCTION("""COMPUTED_VALUE"""),"Male")</f>
        <v>Male</v>
      </c>
      <c r="G705" s="4" t="b">
        <f>IFERROR(__xludf.DUMMYFUNCTION("""COMPUTED_VALUE"""),TRUE)</f>
        <v>1</v>
      </c>
      <c r="H705" s="4" t="b">
        <f>IFERROR(__xludf.DUMMYFUNCTION("""COMPUTED_VALUE"""),TRUE)</f>
        <v>1</v>
      </c>
      <c r="I705" s="4">
        <f>IFERROR(__xludf.DUMMYFUNCTION("""COMPUTED_VALUE"""),0.24646185185185185)</f>
        <v>0.2464618519</v>
      </c>
      <c r="J705" s="4">
        <f>IFERROR(__xludf.DUMMYFUNCTION("""COMPUTED_VALUE"""),45949.26042607139)</f>
        <v>45949.26043</v>
      </c>
      <c r="K705" s="4">
        <f>IFERROR(__xludf.DUMMYFUNCTION("""COMPUTED_VALUE"""),45949.28813783819)</f>
        <v>45949.28814</v>
      </c>
      <c r="L705" s="4">
        <f>IFERROR(__xludf.DUMMYFUNCTION("""COMPUTED_VALUE"""),45949.2966335304)</f>
        <v>45949.29663</v>
      </c>
      <c r="M705" s="1" t="str">
        <f>IFERROR(__xludf.DUMMYFUNCTION("""COMPUTED_VALUE"""),"RFID")</f>
        <v>RFID</v>
      </c>
      <c r="N705" s="5">
        <f>IFERROR(__xludf.DUMMYFUNCTION("""COMPUTED_VALUE"""),0.005585689814814815)</f>
        <v>0.005585689815</v>
      </c>
      <c r="O705" s="5">
        <f>IFERROR(__xludf.DUMMYFUNCTION("""COMPUTED_VALUE"""),0.011084708333333334)</f>
        <v>0.01108470833</v>
      </c>
      <c r="P705" s="5">
        <f>IFERROR(__xludf.DUMMYFUNCTION("""COMPUTED_VALUE"""),0.0034961696326590826)</f>
        <v>0.003496169633</v>
      </c>
      <c r="Q705" s="5">
        <f>IFERROR(__xludf.DUMMYFUNCTION("""COMPUTED_VALUE"""),0.005017167824074074)</f>
        <v>0.005017167824</v>
      </c>
      <c r="R705" s="4">
        <f>IFERROR(__xludf.DUMMYFUNCTION("""COMPUTED_VALUE"""),45949.05017167855)</f>
        <v>45949.05017</v>
      </c>
      <c r="S705" s="1" t="b">
        <f>IFERROR(__xludf.DUMMYFUNCTION("""COMPUTED_VALUE"""),TRUE)</f>
        <v>1</v>
      </c>
      <c r="T705" s="1" t="b">
        <f>IFERROR(__xludf.DUMMYFUNCTION("""COMPUTED_VALUE"""),FALSE)</f>
        <v>0</v>
      </c>
      <c r="U705" s="1" t="str">
        <f>IFERROR(__xludf.DUMMYFUNCTION("""COMPUTED_VALUE"""),"VALID")</f>
        <v>VALID</v>
      </c>
      <c r="V705" s="1">
        <f>IFERROR(__xludf.DUMMYFUNCTION("""COMPUTED_VALUE"""),347.0)</f>
        <v>347</v>
      </c>
      <c r="W705" s="1">
        <f>IFERROR(__xludf.DUMMYFUNCTION("""COMPUTED_VALUE"""),409.0)</f>
        <v>409</v>
      </c>
      <c r="X705" s="1">
        <f>IFERROR(__xludf.DUMMYFUNCTION("""COMPUTED_VALUE"""),1387.0)</f>
        <v>1387</v>
      </c>
      <c r="Y705" s="2"/>
      <c r="Z705" s="2"/>
    </row>
    <row r="706">
      <c r="A706" s="1">
        <f>IFERROR(__xludf.DUMMYFUNCTION("""COMPUTED_VALUE"""),705.0)</f>
        <v>705</v>
      </c>
      <c r="B706" s="1">
        <f>IFERROR(__xludf.DUMMYFUNCTION("""COMPUTED_VALUE"""),10593.0)</f>
        <v>10593</v>
      </c>
      <c r="C706" s="2" t="str">
        <f>IFERROR(__xludf.DUMMYFUNCTION("""COMPUTED_VALUE"""),"Hakin Nazli")</f>
        <v>Hakin Nazli</v>
      </c>
      <c r="D706" s="2" t="str">
        <f>IFERROR(__xludf.DUMMYFUNCTION("""COMPUTED_VALUE"""),"10KM OVERALL M")</f>
        <v>10KM OVERALL M</v>
      </c>
      <c r="E706" s="1">
        <f>IFERROR(__xludf.DUMMYFUNCTION("""COMPUTED_VALUE"""),1.0)</f>
        <v>1</v>
      </c>
      <c r="F706" s="1" t="str">
        <f>IFERROR(__xludf.DUMMYFUNCTION("""COMPUTED_VALUE"""),"Male")</f>
        <v>Male</v>
      </c>
      <c r="G706" s="4" t="b">
        <f>IFERROR(__xludf.DUMMYFUNCTION("""COMPUTED_VALUE"""),TRUE)</f>
        <v>1</v>
      </c>
      <c r="H706" s="4" t="b">
        <f>IFERROR(__xludf.DUMMYFUNCTION("""COMPUTED_VALUE"""),TRUE)</f>
        <v>1</v>
      </c>
      <c r="I706" s="4">
        <f>IFERROR(__xludf.DUMMYFUNCTION("""COMPUTED_VALUE"""),0.24646185185185185)</f>
        <v>0.2464618519</v>
      </c>
      <c r="J706" s="4">
        <f>IFERROR(__xludf.DUMMYFUNCTION("""COMPUTED_VALUE"""),45949.26217952787)</f>
        <v>45949.26218</v>
      </c>
      <c r="K706" s="4">
        <f>IFERROR(__xludf.DUMMYFUNCTION("""COMPUTED_VALUE"""),45949.29784287971)</f>
        <v>45949.29784</v>
      </c>
      <c r="L706" s="4">
        <f>IFERROR(__xludf.DUMMYFUNCTION("""COMPUTED_VALUE"""),45949.30823767715)</f>
        <v>45949.30824</v>
      </c>
      <c r="M706" s="1" t="str">
        <f>IFERROR(__xludf.DUMMYFUNCTION("""COMPUTED_VALUE"""),"RFID")</f>
        <v>RFID</v>
      </c>
      <c r="N706" s="5">
        <f>IFERROR(__xludf.DUMMYFUNCTION("""COMPUTED_VALUE"""),0.006287069444444444)</f>
        <v>0.006287069444</v>
      </c>
      <c r="O706" s="5">
        <f>IFERROR(__xludf.DUMMYFUNCTION("""COMPUTED_VALUE"""),0.014265342592592592)</f>
        <v>0.01426534259</v>
      </c>
      <c r="P706" s="5">
        <f>IFERROR(__xludf.DUMMYFUNCTION("""COMPUTED_VALUE"""),0.004277694420630319)</f>
        <v>0.004277694421</v>
      </c>
      <c r="Q706" s="5">
        <f>IFERROR(__xludf.DUMMYFUNCTION("""COMPUTED_VALUE"""),0.006177582175925926)</f>
        <v>0.006177582176</v>
      </c>
      <c r="R706" s="4">
        <f>IFERROR(__xludf.DUMMYFUNCTION("""COMPUTED_VALUE"""),45949.0617758253)</f>
        <v>45949.06178</v>
      </c>
      <c r="S706" s="1" t="b">
        <f>IFERROR(__xludf.DUMMYFUNCTION("""COMPUTED_VALUE"""),TRUE)</f>
        <v>1</v>
      </c>
      <c r="T706" s="1" t="b">
        <f>IFERROR(__xludf.DUMMYFUNCTION("""COMPUTED_VALUE"""),FALSE)</f>
        <v>0</v>
      </c>
      <c r="U706" s="1" t="str">
        <f>IFERROR(__xludf.DUMMYFUNCTION("""COMPUTED_VALUE"""),"VALID")</f>
        <v>VALID</v>
      </c>
      <c r="V706" s="1">
        <f>IFERROR(__xludf.DUMMYFUNCTION("""COMPUTED_VALUE"""),551.0)</f>
        <v>551</v>
      </c>
      <c r="W706" s="1">
        <f>IFERROR(__xludf.DUMMYFUNCTION("""COMPUTED_VALUE"""),676.0)</f>
        <v>676</v>
      </c>
      <c r="X706" s="1">
        <f>IFERROR(__xludf.DUMMYFUNCTION("""COMPUTED_VALUE"""),1627.0)</f>
        <v>1627</v>
      </c>
      <c r="Y706" s="2"/>
      <c r="Z706" s="2"/>
    </row>
    <row r="707">
      <c r="A707" s="1">
        <f>IFERROR(__xludf.DUMMYFUNCTION("""COMPUTED_VALUE"""),706.0)</f>
        <v>706</v>
      </c>
      <c r="B707" s="1">
        <f>IFERROR(__xludf.DUMMYFUNCTION("""COMPUTED_VALUE"""),10594.0)</f>
        <v>10594</v>
      </c>
      <c r="C707" s="2" t="str">
        <f>IFERROR(__xludf.DUMMYFUNCTION("""COMPUTED_VALUE"""),"MEVI GANTENG")</f>
        <v>MEVI GANTENG</v>
      </c>
      <c r="D707" s="2" t="str">
        <f>IFERROR(__xludf.DUMMYFUNCTION("""COMPUTED_VALUE"""),"10KM OVERALL M")</f>
        <v>10KM OVERALL M</v>
      </c>
      <c r="E707" s="1">
        <f>IFERROR(__xludf.DUMMYFUNCTION("""COMPUTED_VALUE"""),1.0)</f>
        <v>1</v>
      </c>
      <c r="F707" s="1" t="str">
        <f>IFERROR(__xludf.DUMMYFUNCTION("""COMPUTED_VALUE"""),"Male")</f>
        <v>Male</v>
      </c>
      <c r="G707" s="4" t="str">
        <f>IFERROR(__xludf.DUMMYFUNCTION("""COMPUTED_VALUE"""),"")</f>
        <v/>
      </c>
      <c r="H707" s="4" t="b">
        <f>IFERROR(__xludf.DUMMYFUNCTION("""COMPUTED_VALUE"""),TRUE)</f>
        <v>1</v>
      </c>
      <c r="I707" s="4">
        <f>IFERROR(__xludf.DUMMYFUNCTION("""COMPUTED_VALUE"""),0.24646185185185185)</f>
        <v>0.2464618519</v>
      </c>
      <c r="J707" s="4">
        <f>IFERROR(__xludf.DUMMYFUNCTION("""COMPUTED_VALUE"""),45949.26736356147)</f>
        <v>45949.26736</v>
      </c>
      <c r="K707" s="4">
        <f>IFERROR(__xludf.DUMMYFUNCTION("""COMPUTED_VALUE"""),45949.29889844436)</f>
        <v>45949.2989</v>
      </c>
      <c r="L707" s="4">
        <f>IFERROR(__xludf.DUMMYFUNCTION("""COMPUTED_VALUE"""),45949.30725850532)</f>
        <v>45949.30726</v>
      </c>
      <c r="M707" s="1" t="str">
        <f>IFERROR(__xludf.DUMMYFUNCTION("""COMPUTED_VALUE"""),"RFID")</f>
        <v>RFID</v>
      </c>
      <c r="N707" s="5">
        <f>IFERROR(__xludf.DUMMYFUNCTION("""COMPUTED_VALUE"""),0.008360685185185185)</f>
        <v>0.008360685185</v>
      </c>
      <c r="O707" s="5">
        <f>IFERROR(__xludf.DUMMYFUNCTION("""COMPUTED_VALUE"""),0.012613953703703704)</f>
        <v>0.0126139537</v>
      </c>
      <c r="P707" s="5">
        <f>IFERROR(__xludf.DUMMYFUNCTION("""COMPUTED_VALUE"""),0.0034403543066091587)</f>
        <v>0.003440354307</v>
      </c>
      <c r="Q707" s="5">
        <f>IFERROR(__xludf.DUMMYFUNCTION("""COMPUTED_VALUE"""),0.0060796655092592595)</f>
        <v>0.006079665509</v>
      </c>
      <c r="R707" s="4">
        <f>IFERROR(__xludf.DUMMYFUNCTION("""COMPUTED_VALUE"""),45949.06079665347)</f>
        <v>45949.0608</v>
      </c>
      <c r="S707" s="1" t="b">
        <f>IFERROR(__xludf.DUMMYFUNCTION("""COMPUTED_VALUE"""),TRUE)</f>
        <v>1</v>
      </c>
      <c r="T707" s="1" t="b">
        <f>IFERROR(__xludf.DUMMYFUNCTION("""COMPUTED_VALUE"""),FALSE)</f>
        <v>0</v>
      </c>
      <c r="U707" s="1" t="str">
        <f>IFERROR(__xludf.DUMMYFUNCTION("""COMPUTED_VALUE"""),"VALID")</f>
        <v>VALID</v>
      </c>
      <c r="V707" s="1">
        <f>IFERROR(__xludf.DUMMYFUNCTION("""COMPUTED_VALUE"""),538.0)</f>
        <v>538</v>
      </c>
      <c r="W707" s="1">
        <f>IFERROR(__xludf.DUMMYFUNCTION("""COMPUTED_VALUE"""),662.0)</f>
        <v>662</v>
      </c>
      <c r="X707" s="1">
        <f>IFERROR(__xludf.DUMMYFUNCTION("""COMPUTED_VALUE"""),1613.0)</f>
        <v>1613</v>
      </c>
      <c r="Y707" s="2"/>
      <c r="Z707" s="2"/>
    </row>
    <row r="708">
      <c r="A708" s="1">
        <f>IFERROR(__xludf.DUMMYFUNCTION("""COMPUTED_VALUE"""),707.0)</f>
        <v>707</v>
      </c>
      <c r="B708" s="1">
        <f>IFERROR(__xludf.DUMMYFUNCTION("""COMPUTED_VALUE"""),10596.0)</f>
        <v>10596</v>
      </c>
      <c r="C708" s="2" t="str">
        <f>IFERROR(__xludf.DUMMYFUNCTION("""COMPUTED_VALUE"""),"rayhan")</f>
        <v>rayhan</v>
      </c>
      <c r="D708" s="2" t="str">
        <f>IFERROR(__xludf.DUMMYFUNCTION("""COMPUTED_VALUE"""),"10KM OVERALL M")</f>
        <v>10KM OVERALL M</v>
      </c>
      <c r="E708" s="1">
        <f>IFERROR(__xludf.DUMMYFUNCTION("""COMPUTED_VALUE"""),1.0)</f>
        <v>1</v>
      </c>
      <c r="F708" s="1" t="str">
        <f>IFERROR(__xludf.DUMMYFUNCTION("""COMPUTED_VALUE"""),"Male")</f>
        <v>Male</v>
      </c>
      <c r="G708" s="4" t="b">
        <f>IFERROR(__xludf.DUMMYFUNCTION("""COMPUTED_VALUE"""),TRUE)</f>
        <v>1</v>
      </c>
      <c r="H708" s="4" t="b">
        <f>IFERROR(__xludf.DUMMYFUNCTION("""COMPUTED_VALUE"""),TRUE)</f>
        <v>1</v>
      </c>
      <c r="I708" s="4">
        <f>IFERROR(__xludf.DUMMYFUNCTION("""COMPUTED_VALUE"""),0.24646185185185185)</f>
        <v>0.2464618519</v>
      </c>
      <c r="J708" s="4">
        <f>IFERROR(__xludf.DUMMYFUNCTION("""COMPUTED_VALUE"""),45949.25726287234)</f>
        <v>45949.25726</v>
      </c>
      <c r="K708" s="4">
        <f>IFERROR(__xludf.DUMMYFUNCTION("""COMPUTED_VALUE"""),45949.283380891444)</f>
        <v>45949.28338</v>
      </c>
      <c r="L708" s="4">
        <f>IFERROR(__xludf.DUMMYFUNCTION("""COMPUTED_VALUE"""),45949.291077956914)</f>
        <v>45949.29108</v>
      </c>
      <c r="M708" s="1" t="str">
        <f>IFERROR(__xludf.DUMMYFUNCTION("""COMPUTED_VALUE"""),"RFID")</f>
        <v>RFID</v>
      </c>
      <c r="N708" s="5">
        <f>IFERROR(__xludf.DUMMYFUNCTION("""COMPUTED_VALUE"""),0.004320407407407407)</f>
        <v>0.004320407407</v>
      </c>
      <c r="O708" s="5">
        <f>IFERROR(__xludf.DUMMYFUNCTION("""COMPUTED_VALUE"""),0.010447208333333334)</f>
        <v>0.01044720833</v>
      </c>
      <c r="P708" s="5">
        <f>IFERROR(__xludf.DUMMYFUNCTION("""COMPUTED_VALUE"""),0.003167516654314197)</f>
        <v>0.003167516654</v>
      </c>
      <c r="Q708" s="5">
        <f>IFERROR(__xludf.DUMMYFUNCTION("""COMPUTED_VALUE"""),0.004461609953703704)</f>
        <v>0.004461609954</v>
      </c>
      <c r="R708" s="4">
        <f>IFERROR(__xludf.DUMMYFUNCTION("""COMPUTED_VALUE"""),45949.044616105064)</f>
        <v>45949.04462</v>
      </c>
      <c r="S708" s="1" t="b">
        <f>IFERROR(__xludf.DUMMYFUNCTION("""COMPUTED_VALUE"""),TRUE)</f>
        <v>1</v>
      </c>
      <c r="T708" s="1" t="b">
        <f>IFERROR(__xludf.DUMMYFUNCTION("""COMPUTED_VALUE"""),FALSE)</f>
        <v>0</v>
      </c>
      <c r="U708" s="1" t="str">
        <f>IFERROR(__xludf.DUMMYFUNCTION("""COMPUTED_VALUE"""),"VALID")</f>
        <v>VALID</v>
      </c>
      <c r="V708" s="1">
        <f>IFERROR(__xludf.DUMMYFUNCTION("""COMPUTED_VALUE"""),208.0)</f>
        <v>208</v>
      </c>
      <c r="W708" s="1">
        <f>IFERROR(__xludf.DUMMYFUNCTION("""COMPUTED_VALUE"""),251.0)</f>
        <v>251</v>
      </c>
      <c r="X708" s="1">
        <f>IFERROR(__xludf.DUMMYFUNCTION("""COMPUTED_VALUE"""),1185.0)</f>
        <v>1185</v>
      </c>
      <c r="Y708" s="2"/>
      <c r="Z708" s="2"/>
    </row>
    <row r="709">
      <c r="A709" s="1">
        <f>IFERROR(__xludf.DUMMYFUNCTION("""COMPUTED_VALUE"""),708.0)</f>
        <v>708</v>
      </c>
      <c r="B709" s="1">
        <f>IFERROR(__xludf.DUMMYFUNCTION("""COMPUTED_VALUE"""),10597.0)</f>
        <v>10597</v>
      </c>
      <c r="C709" s="2" t="str">
        <f>IFERROR(__xludf.DUMMYFUNCTION("""COMPUTED_VALUE"""),"Suhaimi")</f>
        <v>Suhaimi</v>
      </c>
      <c r="D709" s="2" t="str">
        <f>IFERROR(__xludf.DUMMYFUNCTION("""COMPUTED_VALUE"""),"10KM OVERALL M")</f>
        <v>10KM OVERALL M</v>
      </c>
      <c r="E709" s="1">
        <f>IFERROR(__xludf.DUMMYFUNCTION("""COMPUTED_VALUE"""),1.0)</f>
        <v>1</v>
      </c>
      <c r="F709" s="1" t="str">
        <f>IFERROR(__xludf.DUMMYFUNCTION("""COMPUTED_VALUE"""),"Male")</f>
        <v>Male</v>
      </c>
      <c r="G709" s="4" t="b">
        <f>IFERROR(__xludf.DUMMYFUNCTION("""COMPUTED_VALUE"""),TRUE)</f>
        <v>1</v>
      </c>
      <c r="H709" s="4" t="b">
        <f>IFERROR(__xludf.DUMMYFUNCTION("""COMPUTED_VALUE"""),FALSE)</f>
        <v>0</v>
      </c>
      <c r="I709" s="4">
        <f>IFERROR(__xludf.DUMMYFUNCTION("""COMPUTED_VALUE"""),0.24646185185185185)</f>
        <v>0.2464618519</v>
      </c>
      <c r="J709" s="4">
        <f>IFERROR(__xludf.DUMMYFUNCTION("""COMPUTED_VALUE"""),45949.25725591961)</f>
        <v>45949.25726</v>
      </c>
      <c r="K709" s="4">
        <f>IFERROR(__xludf.DUMMYFUNCTION("""COMPUTED_VALUE"""),45949.28893297581)</f>
        <v>45949.28893</v>
      </c>
      <c r="L709" s="4">
        <f>IFERROR(__xludf.DUMMYFUNCTION("""COMPUTED_VALUE"""),45949.29793906034)</f>
        <v>45949.29794</v>
      </c>
      <c r="M709" s="1" t="str">
        <f>IFERROR(__xludf.DUMMYFUNCTION("""COMPUTED_VALUE"""),"RFID")</f>
        <v>RFID</v>
      </c>
      <c r="N709" s="5">
        <f>IFERROR(__xludf.DUMMYFUNCTION("""COMPUTED_VALUE"""),0.004317625)</f>
        <v>0.004317625</v>
      </c>
      <c r="O709" s="5">
        <f>IFERROR(__xludf.DUMMYFUNCTION("""COMPUTED_VALUE"""),0.012670824074074074)</f>
        <v>0.01267082407</v>
      </c>
      <c r="P709" s="5">
        <f>IFERROR(__xludf.DUMMYFUNCTION("""COMPUTED_VALUE"""),0.0037062076264618676)</f>
        <v>0.003706207626</v>
      </c>
      <c r="Q709" s="5">
        <f>IFERROR(__xludf.DUMMYFUNCTION("""COMPUTED_VALUE"""),0.005147721064814815)</f>
        <v>0.005147721065</v>
      </c>
      <c r="R709" s="4">
        <f>IFERROR(__xludf.DUMMYFUNCTION("""COMPUTED_VALUE"""),45949.05147720849)</f>
        <v>45949.05148</v>
      </c>
      <c r="S709" s="1" t="b">
        <f>IFERROR(__xludf.DUMMYFUNCTION("""COMPUTED_VALUE"""),TRUE)</f>
        <v>1</v>
      </c>
      <c r="T709" s="1" t="b">
        <f>IFERROR(__xludf.DUMMYFUNCTION("""COMPUTED_VALUE"""),FALSE)</f>
        <v>0</v>
      </c>
      <c r="U709" s="1" t="str">
        <f>IFERROR(__xludf.DUMMYFUNCTION("""COMPUTED_VALUE"""),"VALID")</f>
        <v>VALID</v>
      </c>
      <c r="V709" s="1">
        <f>IFERROR(__xludf.DUMMYFUNCTION("""COMPUTED_VALUE"""),374.0)</f>
        <v>374</v>
      </c>
      <c r="W709" s="1">
        <f>IFERROR(__xludf.DUMMYFUNCTION("""COMPUTED_VALUE"""),442.0)</f>
        <v>442</v>
      </c>
      <c r="X709" s="1">
        <f>IFERROR(__xludf.DUMMYFUNCTION("""COMPUTED_VALUE"""),1421.0)</f>
        <v>1421</v>
      </c>
      <c r="Y709" s="2"/>
      <c r="Z709" s="2"/>
    </row>
    <row r="710">
      <c r="A710" s="1">
        <f>IFERROR(__xludf.DUMMYFUNCTION("""COMPUTED_VALUE"""),709.0)</f>
        <v>709</v>
      </c>
      <c r="B710" s="1">
        <f>IFERROR(__xludf.DUMMYFUNCTION("""COMPUTED_VALUE"""),10598.0)</f>
        <v>10598</v>
      </c>
      <c r="C710" s="2" t="str">
        <f>IFERROR(__xludf.DUMMYFUNCTION("""COMPUTED_VALUE"""),"YN")</f>
        <v>YN</v>
      </c>
      <c r="D710" s="2" t="str">
        <f>IFERROR(__xludf.DUMMYFUNCTION("""COMPUTED_VALUE"""),"10KM OVERALL M")</f>
        <v>10KM OVERALL M</v>
      </c>
      <c r="E710" s="1">
        <f>IFERROR(__xludf.DUMMYFUNCTION("""COMPUTED_VALUE"""),1.0)</f>
        <v>1</v>
      </c>
      <c r="F710" s="1" t="str">
        <f>IFERROR(__xludf.DUMMYFUNCTION("""COMPUTED_VALUE"""),"Male")</f>
        <v>Male</v>
      </c>
      <c r="G710" s="4" t="b">
        <f>IFERROR(__xludf.DUMMYFUNCTION("""COMPUTED_VALUE"""),TRUE)</f>
        <v>1</v>
      </c>
      <c r="H710" s="4" t="b">
        <f>IFERROR(__xludf.DUMMYFUNCTION("""COMPUTED_VALUE"""),FALSE)</f>
        <v>0</v>
      </c>
      <c r="I710" s="4">
        <f>IFERROR(__xludf.DUMMYFUNCTION("""COMPUTED_VALUE"""),0.24646185185185185)</f>
        <v>0.2464618519</v>
      </c>
      <c r="J710" s="4">
        <f>IFERROR(__xludf.DUMMYFUNCTION("""COMPUTED_VALUE"""),45949.2605440493)</f>
        <v>45949.26054</v>
      </c>
      <c r="K710" s="4">
        <f>IFERROR(__xludf.DUMMYFUNCTION("""COMPUTED_VALUE"""),45949.28225242647)</f>
        <v>45949.28225</v>
      </c>
      <c r="L710" s="4">
        <f>IFERROR(__xludf.DUMMYFUNCTION("""COMPUTED_VALUE"""),45949.288373091316)</f>
        <v>45949.28837</v>
      </c>
      <c r="M710" s="1" t="str">
        <f>IFERROR(__xludf.DUMMYFUNCTION("""COMPUTED_VALUE"""),"RFID")</f>
        <v>RFID</v>
      </c>
      <c r="N710" s="5">
        <f>IFERROR(__xludf.DUMMYFUNCTION("""COMPUTED_VALUE"""),0.005632879629629629)</f>
        <v>0.00563287963</v>
      </c>
      <c r="O710" s="5">
        <f>IFERROR(__xludf.DUMMYFUNCTION("""COMPUTED_VALUE"""),0.008683351851851852)</f>
        <v>0.008683351852</v>
      </c>
      <c r="P710" s="5">
        <f>IFERROR(__xludf.DUMMYFUNCTION("""COMPUTED_VALUE"""),0.0025187921177340982)</f>
        <v>0.002518792118</v>
      </c>
      <c r="Q710" s="5">
        <f>IFERROR(__xludf.DUMMYFUNCTION("""COMPUTED_VALUE"""),0.004191123842592593)</f>
        <v>0.004191123843</v>
      </c>
      <c r="R710" s="4">
        <f>IFERROR(__xludf.DUMMYFUNCTION("""COMPUTED_VALUE"""),45949.04191123947)</f>
        <v>45949.04191</v>
      </c>
      <c r="S710" s="1" t="b">
        <f>IFERROR(__xludf.DUMMYFUNCTION("""COMPUTED_VALUE"""),TRUE)</f>
        <v>1</v>
      </c>
      <c r="T710" s="1" t="b">
        <f>IFERROR(__xludf.DUMMYFUNCTION("""COMPUTED_VALUE"""),FALSE)</f>
        <v>0</v>
      </c>
      <c r="U710" s="1" t="str">
        <f>IFERROR(__xludf.DUMMYFUNCTION("""COMPUTED_VALUE"""),"VALID")</f>
        <v>VALID</v>
      </c>
      <c r="V710" s="1">
        <f>IFERROR(__xludf.DUMMYFUNCTION("""COMPUTED_VALUE"""),139.0)</f>
        <v>139</v>
      </c>
      <c r="W710" s="1">
        <f>IFERROR(__xludf.DUMMYFUNCTION("""COMPUTED_VALUE"""),164.0)</f>
        <v>164</v>
      </c>
      <c r="X710" s="1">
        <f>IFERROR(__xludf.DUMMYFUNCTION("""COMPUTED_VALUE"""),1060.0)</f>
        <v>1060</v>
      </c>
      <c r="Y710" s="2"/>
      <c r="Z710" s="2"/>
    </row>
    <row r="711">
      <c r="A711" s="1">
        <f>IFERROR(__xludf.DUMMYFUNCTION("""COMPUTED_VALUE"""),710.0)</f>
        <v>710</v>
      </c>
      <c r="B711" s="1">
        <f>IFERROR(__xludf.DUMMYFUNCTION("""COMPUTED_VALUE"""),10599.0)</f>
        <v>10599</v>
      </c>
      <c r="C711" s="2" t="str">
        <f>IFERROR(__xludf.DUMMYFUNCTION("""COMPUTED_VALUE"""),"Mutasi HomeBase")</f>
        <v>Mutasi HomeBase</v>
      </c>
      <c r="D711" s="2" t="str">
        <f>IFERROR(__xludf.DUMMYFUNCTION("""COMPUTED_VALUE"""),"10KM OVERALL M")</f>
        <v>10KM OVERALL M</v>
      </c>
      <c r="E711" s="1">
        <f>IFERROR(__xludf.DUMMYFUNCTION("""COMPUTED_VALUE"""),1.0)</f>
        <v>1</v>
      </c>
      <c r="F711" s="1" t="str">
        <f>IFERROR(__xludf.DUMMYFUNCTION("""COMPUTED_VALUE"""),"Male")</f>
        <v>Male</v>
      </c>
      <c r="G711" s="4" t="b">
        <f>IFERROR(__xludf.DUMMYFUNCTION("""COMPUTED_VALUE"""),TRUE)</f>
        <v>1</v>
      </c>
      <c r="H711" s="4" t="b">
        <f>IFERROR(__xludf.DUMMYFUNCTION("""COMPUTED_VALUE"""),TRUE)</f>
        <v>1</v>
      </c>
      <c r="I711" s="4">
        <f>IFERROR(__xludf.DUMMYFUNCTION("""COMPUTED_VALUE"""),0.24646185185185185)</f>
        <v>0.2464618519</v>
      </c>
      <c r="J711" s="4">
        <f>IFERROR(__xludf.DUMMYFUNCTION("""COMPUTED_VALUE"""),45949.25909619227)</f>
        <v>45949.2591</v>
      </c>
      <c r="K711" s="4">
        <f>IFERROR(__xludf.DUMMYFUNCTION("""COMPUTED_VALUE"""),45949.290676280194)</f>
        <v>45949.29068</v>
      </c>
      <c r="L711" s="4">
        <f>IFERROR(__xludf.DUMMYFUNCTION("""COMPUTED_VALUE"""),45949.299807136966)</f>
        <v>45949.29981</v>
      </c>
      <c r="M711" s="1" t="str">
        <f>IFERROR(__xludf.DUMMYFUNCTION("""COMPUTED_VALUE"""),"RFID")</f>
        <v>RFID</v>
      </c>
      <c r="N711" s="5">
        <f>IFERROR(__xludf.DUMMYFUNCTION("""COMPUTED_VALUE"""),0.005053736111111111)</f>
        <v>0.005053736111</v>
      </c>
      <c r="O711" s="5">
        <f>IFERROR(__xludf.DUMMYFUNCTION("""COMPUTED_VALUE"""),0.012632037037037035)</f>
        <v>0.01263203704</v>
      </c>
      <c r="P711" s="5">
        <f>IFERROR(__xludf.DUMMYFUNCTION("""COMPUTED_VALUE"""),0.0037575542270215493)</f>
        <v>0.003757554227</v>
      </c>
      <c r="Q711" s="5">
        <f>IFERROR(__xludf.DUMMYFUNCTION("""COMPUTED_VALUE"""),0.005334528935185186)</f>
        <v>0.005334528935</v>
      </c>
      <c r="R711" s="4">
        <f>IFERROR(__xludf.DUMMYFUNCTION("""COMPUTED_VALUE"""),45949.053345285116)</f>
        <v>45949.05335</v>
      </c>
      <c r="S711" s="1" t="b">
        <f>IFERROR(__xludf.DUMMYFUNCTION("""COMPUTED_VALUE"""),TRUE)</f>
        <v>1</v>
      </c>
      <c r="T711" s="1" t="b">
        <f>IFERROR(__xludf.DUMMYFUNCTION("""COMPUTED_VALUE"""),FALSE)</f>
        <v>0</v>
      </c>
      <c r="U711" s="1" t="str">
        <f>IFERROR(__xludf.DUMMYFUNCTION("""COMPUTED_VALUE"""),"VALID")</f>
        <v>VALID</v>
      </c>
      <c r="V711" s="1">
        <f>IFERROR(__xludf.DUMMYFUNCTION("""COMPUTED_VALUE"""),407.0)</f>
        <v>407</v>
      </c>
      <c r="W711" s="1">
        <f>IFERROR(__xludf.DUMMYFUNCTION("""COMPUTED_VALUE"""),486.0)</f>
        <v>486</v>
      </c>
      <c r="X711" s="1">
        <f>IFERROR(__xludf.DUMMYFUNCTION("""COMPUTED_VALUE"""),1462.0)</f>
        <v>1462</v>
      </c>
      <c r="Y711" s="2"/>
      <c r="Z711" s="2"/>
    </row>
    <row r="712">
      <c r="A712" s="1">
        <f>IFERROR(__xludf.DUMMYFUNCTION("""COMPUTED_VALUE"""),711.0)</f>
        <v>711</v>
      </c>
      <c r="B712" s="1">
        <f>IFERROR(__xludf.DUMMYFUNCTION("""COMPUTED_VALUE"""),10600.0)</f>
        <v>10600</v>
      </c>
      <c r="C712" s="2" t="str">
        <f>IFERROR(__xludf.DUMMYFUNCTION("""COMPUTED_VALUE"""),"Bunaayya A.R")</f>
        <v>Bunaayya A.R</v>
      </c>
      <c r="D712" s="2" t="str">
        <f>IFERROR(__xludf.DUMMYFUNCTION("""COMPUTED_VALUE"""),"10KM OVERALL M")</f>
        <v>10KM OVERALL M</v>
      </c>
      <c r="E712" s="1">
        <f>IFERROR(__xludf.DUMMYFUNCTION("""COMPUTED_VALUE"""),1.0)</f>
        <v>1</v>
      </c>
      <c r="F712" s="1" t="str">
        <f>IFERROR(__xludf.DUMMYFUNCTION("""COMPUTED_VALUE"""),"Male")</f>
        <v>Male</v>
      </c>
      <c r="G712" s="4" t="str">
        <f>IFERROR(__xludf.DUMMYFUNCTION("""COMPUTED_VALUE"""),"")</f>
        <v/>
      </c>
      <c r="H712" s="4" t="b">
        <f>IFERROR(__xludf.DUMMYFUNCTION("""COMPUTED_VALUE"""),TRUE)</f>
        <v>1</v>
      </c>
      <c r="I712" s="4">
        <f>IFERROR(__xludf.DUMMYFUNCTION("""COMPUTED_VALUE"""),0.24646185185185185)</f>
        <v>0.2464618519</v>
      </c>
      <c r="J712" s="4">
        <f>IFERROR(__xludf.DUMMYFUNCTION("""COMPUTED_VALUE"""),45949.268665574324)</f>
        <v>45949.26867</v>
      </c>
      <c r="K712" s="4">
        <f>IFERROR(__xludf.DUMMYFUNCTION("""COMPUTED_VALUE"""),45949.305360280174)</f>
        <v>45949.30536</v>
      </c>
      <c r="L712" s="4">
        <f>IFERROR(__xludf.DUMMYFUNCTION("""COMPUTED_VALUE"""),45949.314900929116)</f>
        <v>45949.3149</v>
      </c>
      <c r="M712" s="1" t="str">
        <f>IFERROR(__xludf.DUMMYFUNCTION("""COMPUTED_VALUE"""),"RFID")</f>
        <v>RFID</v>
      </c>
      <c r="N712" s="5">
        <f>IFERROR(__xludf.DUMMYFUNCTION("""COMPUTED_VALUE"""),0.008881490740740742)</f>
        <v>0.008881490741</v>
      </c>
      <c r="O712" s="5">
        <f>IFERROR(__xludf.DUMMYFUNCTION("""COMPUTED_VALUE"""),0.014677884259259259)</f>
        <v>0.01467788426</v>
      </c>
      <c r="P712" s="5">
        <f>IFERROR(__xludf.DUMMYFUNCTION("""COMPUTED_VALUE"""),0.003926192980150427)</f>
        <v>0.00392619298</v>
      </c>
      <c r="Q712" s="5">
        <f>IFERROR(__xludf.DUMMYFUNCTION("""COMPUTED_VALUE"""),0.006843907407407408)</f>
        <v>0.006843907407</v>
      </c>
      <c r="R712" s="4">
        <f>IFERROR(__xludf.DUMMYFUNCTION("""COMPUTED_VALUE"""),45949.068439077266)</f>
        <v>45949.06844</v>
      </c>
      <c r="S712" s="1" t="b">
        <f>IFERROR(__xludf.DUMMYFUNCTION("""COMPUTED_VALUE"""),TRUE)</f>
        <v>1</v>
      </c>
      <c r="T712" s="1" t="b">
        <f>IFERROR(__xludf.DUMMYFUNCTION("""COMPUTED_VALUE"""),FALSE)</f>
        <v>0</v>
      </c>
      <c r="U712" s="1" t="str">
        <f>IFERROR(__xludf.DUMMYFUNCTION("""COMPUTED_VALUE"""),"VALID")</f>
        <v>VALID</v>
      </c>
      <c r="V712" s="1">
        <f>IFERROR(__xludf.DUMMYFUNCTION("""COMPUTED_VALUE"""),589.0)</f>
        <v>589</v>
      </c>
      <c r="W712" s="1">
        <f>IFERROR(__xludf.DUMMYFUNCTION("""COMPUTED_VALUE"""),733.0)</f>
        <v>733</v>
      </c>
      <c r="X712" s="1">
        <f>IFERROR(__xludf.DUMMYFUNCTION("""COMPUTED_VALUE"""),1664.0)</f>
        <v>1664</v>
      </c>
      <c r="Y712" s="2"/>
      <c r="Z712" s="2"/>
    </row>
    <row r="713">
      <c r="A713" s="1">
        <f>IFERROR(__xludf.DUMMYFUNCTION("""COMPUTED_VALUE"""),712.0)</f>
        <v>712</v>
      </c>
      <c r="B713" s="1">
        <f>IFERROR(__xludf.DUMMYFUNCTION("""COMPUTED_VALUE"""),10601.0)</f>
        <v>10601</v>
      </c>
      <c r="C713" s="2" t="str">
        <f>IFERROR(__xludf.DUMMYFUNCTION("""COMPUTED_VALUE"""),"Erlangga")</f>
        <v>Erlangga</v>
      </c>
      <c r="D713" s="2" t="str">
        <f>IFERROR(__xludf.DUMMYFUNCTION("""COMPUTED_VALUE"""),"10KM OVERALL M")</f>
        <v>10KM OVERALL M</v>
      </c>
      <c r="E713" s="1">
        <f>IFERROR(__xludf.DUMMYFUNCTION("""COMPUTED_VALUE"""),1.0)</f>
        <v>1</v>
      </c>
      <c r="F713" s="1" t="str">
        <f>IFERROR(__xludf.DUMMYFUNCTION("""COMPUTED_VALUE"""),"Male")</f>
        <v>Male</v>
      </c>
      <c r="G713" s="4" t="b">
        <f>IFERROR(__xludf.DUMMYFUNCTION("""COMPUTED_VALUE"""),TRUE)</f>
        <v>1</v>
      </c>
      <c r="H713" s="4" t="b">
        <f>IFERROR(__xludf.DUMMYFUNCTION("""COMPUTED_VALUE"""),FALSE)</f>
        <v>0</v>
      </c>
      <c r="I713" s="4">
        <f>IFERROR(__xludf.DUMMYFUNCTION("""COMPUTED_VALUE"""),0.24646185185185185)</f>
        <v>0.2464618519</v>
      </c>
      <c r="J713" s="4">
        <f>IFERROR(__xludf.DUMMYFUNCTION("""COMPUTED_VALUE"""),45949.25523850075)</f>
        <v>45949.25524</v>
      </c>
      <c r="K713" s="4">
        <f>IFERROR(__xludf.DUMMYFUNCTION("""COMPUTED_VALUE"""),45949.27767412847)</f>
        <v>45949.27767</v>
      </c>
      <c r="L713" s="4">
        <f>IFERROR(__xludf.DUMMYFUNCTION("""COMPUTED_VALUE"""),45949.28456406193)</f>
        <v>45949.28456</v>
      </c>
      <c r="M713" s="1" t="str">
        <f>IFERROR(__xludf.DUMMYFUNCTION("""COMPUTED_VALUE"""),"RFID")</f>
        <v>RFID</v>
      </c>
      <c r="N713" s="5">
        <f>IFERROR(__xludf.DUMMYFUNCTION("""COMPUTED_VALUE"""),0.0035106574074074076)</f>
        <v>0.003510657407</v>
      </c>
      <c r="O713" s="5">
        <f>IFERROR(__xludf.DUMMYFUNCTION("""COMPUTED_VALUE"""),0.00897425)</f>
        <v>0.00897425</v>
      </c>
      <c r="P713" s="5">
        <f>IFERROR(__xludf.DUMMYFUNCTION("""COMPUTED_VALUE"""),0.002835363563085013)</f>
        <v>0.002835363563</v>
      </c>
      <c r="Q713" s="5">
        <f>IFERROR(__xludf.DUMMYFUNCTION("""COMPUTED_VALUE"""),0.003810221064814815)</f>
        <v>0.003810221065</v>
      </c>
      <c r="R713" s="4">
        <f>IFERROR(__xludf.DUMMYFUNCTION("""COMPUTED_VALUE"""),45949.03810221008)</f>
        <v>45949.0381</v>
      </c>
      <c r="S713" s="1" t="b">
        <f>IFERROR(__xludf.DUMMYFUNCTION("""COMPUTED_VALUE"""),TRUE)</f>
        <v>1</v>
      </c>
      <c r="T713" s="1" t="b">
        <f>IFERROR(__xludf.DUMMYFUNCTION("""COMPUTED_VALUE"""),FALSE)</f>
        <v>0</v>
      </c>
      <c r="U713" s="1" t="str">
        <f>IFERROR(__xludf.DUMMYFUNCTION("""COMPUTED_VALUE"""),"VALID")</f>
        <v>VALID</v>
      </c>
      <c r="V713" s="1">
        <f>IFERROR(__xludf.DUMMYFUNCTION("""COMPUTED_VALUE"""),71.0)</f>
        <v>71</v>
      </c>
      <c r="W713" s="1">
        <f>IFERROR(__xludf.DUMMYFUNCTION("""COMPUTED_VALUE"""),84.0)</f>
        <v>84</v>
      </c>
      <c r="X713" s="1">
        <f>IFERROR(__xludf.DUMMYFUNCTION("""COMPUTED_VALUE"""),880.0)</f>
        <v>880</v>
      </c>
      <c r="Y713" s="2"/>
      <c r="Z713" s="2"/>
    </row>
    <row r="714">
      <c r="A714" s="1">
        <f>IFERROR(__xludf.DUMMYFUNCTION("""COMPUTED_VALUE"""),713.0)</f>
        <v>713</v>
      </c>
      <c r="B714" s="1">
        <f>IFERROR(__xludf.DUMMYFUNCTION("""COMPUTED_VALUE"""),10602.0)</f>
        <v>10602</v>
      </c>
      <c r="C714" s="2" t="str">
        <f>IFERROR(__xludf.DUMMYFUNCTION("""COMPUTED_VALUE"""),"AHMAD")</f>
        <v>AHMAD</v>
      </c>
      <c r="D714" s="2" t="str">
        <f>IFERROR(__xludf.DUMMYFUNCTION("""COMPUTED_VALUE"""),"10KM OVERALL M")</f>
        <v>10KM OVERALL M</v>
      </c>
      <c r="E714" s="1">
        <f>IFERROR(__xludf.DUMMYFUNCTION("""COMPUTED_VALUE"""),1.0)</f>
        <v>1</v>
      </c>
      <c r="F714" s="1" t="str">
        <f>IFERROR(__xludf.DUMMYFUNCTION("""COMPUTED_VALUE"""),"Male")</f>
        <v>Male</v>
      </c>
      <c r="G714" s="4" t="b">
        <f>IFERROR(__xludf.DUMMYFUNCTION("""COMPUTED_VALUE"""),TRUE)</f>
        <v>1</v>
      </c>
      <c r="H714" s="4" t="b">
        <f>IFERROR(__xludf.DUMMYFUNCTION("""COMPUTED_VALUE"""),FALSE)</f>
        <v>0</v>
      </c>
      <c r="I714" s="4">
        <f>IFERROR(__xludf.DUMMYFUNCTION("""COMPUTED_VALUE"""),0.24646185185185185)</f>
        <v>0.2464618519</v>
      </c>
      <c r="J714" s="4">
        <f>IFERROR(__xludf.DUMMYFUNCTION("""COMPUTED_VALUE"""),45949.25365876046)</f>
        <v>45949.25366</v>
      </c>
      <c r="K714" s="4">
        <f>IFERROR(__xludf.DUMMYFUNCTION("""COMPUTED_VALUE"""),45949.275892920545)</f>
        <v>45949.27589</v>
      </c>
      <c r="L714" s="4">
        <f>IFERROR(__xludf.DUMMYFUNCTION("""COMPUTED_VALUE"""),45949.28145296067)</f>
        <v>45949.28145</v>
      </c>
      <c r="M714" s="1" t="str">
        <f>IFERROR(__xludf.DUMMYFUNCTION("""COMPUTED_VALUE"""),"RFID")</f>
        <v>RFID</v>
      </c>
      <c r="N714" s="5">
        <f>IFERROR(__xludf.DUMMYFUNCTION("""COMPUTED_VALUE"""),0.0028787638888888886)</f>
        <v>0.002878763889</v>
      </c>
      <c r="O714" s="5">
        <f>IFERROR(__xludf.DUMMYFUNCTION("""COMPUTED_VALUE"""),0.008893662037037037)</f>
        <v>0.008893662037</v>
      </c>
      <c r="P714" s="5">
        <f>IFERROR(__xludf.DUMMYFUNCTION("""COMPUTED_VALUE"""),0.0022880823558403384)</f>
        <v>0.002288082356</v>
      </c>
      <c r="Q714" s="5">
        <f>IFERROR(__xludf.DUMMYFUNCTION("""COMPUTED_VALUE"""),0.0034991111111111113)</f>
        <v>0.003499111111</v>
      </c>
      <c r="R714" s="4">
        <f>IFERROR(__xludf.DUMMYFUNCTION("""COMPUTED_VALUE"""),45949.03499110882)</f>
        <v>45949.03499</v>
      </c>
      <c r="S714" s="1" t="b">
        <f>IFERROR(__xludf.DUMMYFUNCTION("""COMPUTED_VALUE"""),TRUE)</f>
        <v>1</v>
      </c>
      <c r="T714" s="1" t="b">
        <f>IFERROR(__xludf.DUMMYFUNCTION("""COMPUTED_VALUE"""),FALSE)</f>
        <v>0</v>
      </c>
      <c r="U714" s="1" t="str">
        <f>IFERROR(__xludf.DUMMYFUNCTION("""COMPUTED_VALUE"""),"VALID")</f>
        <v>VALID</v>
      </c>
      <c r="V714" s="1">
        <f>IFERROR(__xludf.DUMMYFUNCTION("""COMPUTED_VALUE"""),28.0)</f>
        <v>28</v>
      </c>
      <c r="W714" s="1">
        <f>IFERROR(__xludf.DUMMYFUNCTION("""COMPUTED_VALUE"""),36.0)</f>
        <v>36</v>
      </c>
      <c r="X714" s="1">
        <f>IFERROR(__xludf.DUMMYFUNCTION("""COMPUTED_VALUE"""),721.0)</f>
        <v>721</v>
      </c>
      <c r="Y714" s="2"/>
      <c r="Z714" s="2"/>
    </row>
    <row r="715">
      <c r="A715" s="1">
        <f>IFERROR(__xludf.DUMMYFUNCTION("""COMPUTED_VALUE"""),714.0)</f>
        <v>714</v>
      </c>
      <c r="B715" s="1">
        <f>IFERROR(__xludf.DUMMYFUNCTION("""COMPUTED_VALUE"""),10603.0)</f>
        <v>10603</v>
      </c>
      <c r="C715" s="2" t="str">
        <f>IFERROR(__xludf.DUMMYFUNCTION("""COMPUTED_VALUE"""),"fadli")</f>
        <v>fadli</v>
      </c>
      <c r="D715" s="2" t="str">
        <f>IFERROR(__xludf.DUMMYFUNCTION("""COMPUTED_VALUE"""),"10KM OVERALL M")</f>
        <v>10KM OVERALL M</v>
      </c>
      <c r="E715" s="1">
        <f>IFERROR(__xludf.DUMMYFUNCTION("""COMPUTED_VALUE"""),1.0)</f>
        <v>1</v>
      </c>
      <c r="F715" s="1" t="str">
        <f>IFERROR(__xludf.DUMMYFUNCTION("""COMPUTED_VALUE"""),"Male")</f>
        <v>Male</v>
      </c>
      <c r="G715" s="4" t="str">
        <f>IFERROR(__xludf.DUMMYFUNCTION("""COMPUTED_VALUE"""),"")</f>
        <v/>
      </c>
      <c r="H715" s="4" t="b">
        <f>IFERROR(__xludf.DUMMYFUNCTION("""COMPUTED_VALUE"""),FALSE)</f>
        <v>0</v>
      </c>
      <c r="I715" s="4">
        <f>IFERROR(__xludf.DUMMYFUNCTION("""COMPUTED_VALUE"""),0.24646185185185185)</f>
        <v>0.2464618519</v>
      </c>
      <c r="J715" s="4" t="str">
        <f>IFERROR(__xludf.DUMMYFUNCTION("""COMPUTED_VALUE"""),"")</f>
        <v/>
      </c>
      <c r="K715" s="4" t="str">
        <f>IFERROR(__xludf.DUMMYFUNCTION("""COMPUTED_VALUE"""),"")</f>
        <v/>
      </c>
      <c r="L715" s="4" t="str">
        <f>IFERROR(__xludf.DUMMYFUNCTION("""COMPUTED_VALUE"""),"")</f>
        <v/>
      </c>
      <c r="M715" s="1" t="str">
        <f>IFERROR(__xludf.DUMMYFUNCTION("""COMPUTED_VALUE"""),"RFID")</f>
        <v>RFID</v>
      </c>
      <c r="N715" s="5" t="str">
        <f>IFERROR(__xludf.DUMMYFUNCTION("""COMPUTED_VALUE"""),"")</f>
        <v/>
      </c>
      <c r="O715" s="5" t="str">
        <f>IFERROR(__xludf.DUMMYFUNCTION("""COMPUTED_VALUE"""),"")</f>
        <v/>
      </c>
      <c r="P715" s="5" t="str">
        <f>IFERROR(__xludf.DUMMYFUNCTION("""COMPUTED_VALUE"""),"")</f>
        <v/>
      </c>
      <c r="Q715" s="5" t="str">
        <f>IFERROR(__xludf.DUMMYFUNCTION("""COMPUTED_VALUE"""),"")</f>
        <v/>
      </c>
      <c r="R715" s="4" t="str">
        <f>IFERROR(__xludf.DUMMYFUNCTION("""COMPUTED_VALUE"""),"")</f>
        <v/>
      </c>
      <c r="S715" s="1" t="b">
        <f>IFERROR(__xludf.DUMMYFUNCTION("""COMPUTED_VALUE"""),FALSE)</f>
        <v>0</v>
      </c>
      <c r="T715" s="1" t="b">
        <f>IFERROR(__xludf.DUMMYFUNCTION("""COMPUTED_VALUE"""),FALSE)</f>
        <v>0</v>
      </c>
      <c r="U715" s="1" t="str">
        <f>IFERROR(__xludf.DUMMYFUNCTION("""COMPUTED_VALUE"""),"DSQ")</f>
        <v>DSQ</v>
      </c>
      <c r="V715" s="1" t="str">
        <f>IFERROR(__xludf.DUMMYFUNCTION("""COMPUTED_VALUE"""),"DSQ")</f>
        <v>DSQ</v>
      </c>
      <c r="W715" s="1" t="str">
        <f>IFERROR(__xludf.DUMMYFUNCTION("""COMPUTED_VALUE"""),"DSQ")</f>
        <v>DSQ</v>
      </c>
      <c r="X715" s="1" t="str">
        <f>IFERROR(__xludf.DUMMYFUNCTION("""COMPUTED_VALUE"""),"DSQ")</f>
        <v>DSQ</v>
      </c>
      <c r="Y715" s="2"/>
      <c r="Z715" s="2" t="str">
        <f>IFERROR(__xludf.DUMMYFUNCTION("""COMPUTED_VALUE"""),"")</f>
        <v/>
      </c>
    </row>
    <row r="716">
      <c r="A716" s="1">
        <f>IFERROR(__xludf.DUMMYFUNCTION("""COMPUTED_VALUE"""),715.0)</f>
        <v>715</v>
      </c>
      <c r="B716" s="1">
        <f>IFERROR(__xludf.DUMMYFUNCTION("""COMPUTED_VALUE"""),10604.0)</f>
        <v>10604</v>
      </c>
      <c r="C716" s="2" t="str">
        <f>IFERROR(__xludf.DUMMYFUNCTION("""COMPUTED_VALUE"""),"Fazrien")</f>
        <v>Fazrien</v>
      </c>
      <c r="D716" s="2" t="str">
        <f>IFERROR(__xludf.DUMMYFUNCTION("""COMPUTED_VALUE"""),"10KM OVERALL M")</f>
        <v>10KM OVERALL M</v>
      </c>
      <c r="E716" s="1">
        <f>IFERROR(__xludf.DUMMYFUNCTION("""COMPUTED_VALUE"""),1.0)</f>
        <v>1</v>
      </c>
      <c r="F716" s="1" t="str">
        <f>IFERROR(__xludf.DUMMYFUNCTION("""COMPUTED_VALUE"""),"Male")</f>
        <v>Male</v>
      </c>
      <c r="G716" s="4" t="b">
        <f>IFERROR(__xludf.DUMMYFUNCTION("""COMPUTED_VALUE"""),TRUE)</f>
        <v>1</v>
      </c>
      <c r="H716" s="4" t="b">
        <f>IFERROR(__xludf.DUMMYFUNCTION("""COMPUTED_VALUE"""),FALSE)</f>
        <v>0</v>
      </c>
      <c r="I716" s="4">
        <f>IFERROR(__xludf.DUMMYFUNCTION("""COMPUTED_VALUE"""),0.24646185185185185)</f>
        <v>0.2464618519</v>
      </c>
      <c r="J716" s="4">
        <f>IFERROR(__xludf.DUMMYFUNCTION("""COMPUTED_VALUE"""),45949.256526700425)</f>
        <v>45949.25653</v>
      </c>
      <c r="K716" s="4">
        <f>IFERROR(__xludf.DUMMYFUNCTION("""COMPUTED_VALUE"""),45949.28071425377)</f>
        <v>45949.28071</v>
      </c>
      <c r="L716" s="4">
        <f>IFERROR(__xludf.DUMMYFUNCTION("""COMPUTED_VALUE"""),45949.2885223959)</f>
        <v>45949.28852</v>
      </c>
      <c r="M716" s="1" t="str">
        <f>IFERROR(__xludf.DUMMYFUNCTION("""COMPUTED_VALUE"""),"RFID")</f>
        <v>RFID</v>
      </c>
      <c r="N716" s="5">
        <f>IFERROR(__xludf.DUMMYFUNCTION("""COMPUTED_VALUE"""),0.004025939814814815)</f>
        <v>0.004025939815</v>
      </c>
      <c r="O716" s="5">
        <f>IFERROR(__xludf.DUMMYFUNCTION("""COMPUTED_VALUE"""),0.009675023148148148)</f>
        <v>0.009675023148</v>
      </c>
      <c r="P716" s="5">
        <f>IFERROR(__xludf.DUMMYFUNCTION("""COMPUTED_VALUE"""),0.0032132272142677376)</f>
        <v>0.003213227214</v>
      </c>
      <c r="Q716" s="5">
        <f>IFERROR(__xludf.DUMMYFUNCTION("""COMPUTED_VALUE"""),0.004206054398148148)</f>
        <v>0.004206054398</v>
      </c>
      <c r="R716" s="4">
        <f>IFERROR(__xludf.DUMMYFUNCTION("""COMPUTED_VALUE"""),45949.04206054405)</f>
        <v>45949.04206</v>
      </c>
      <c r="S716" s="1" t="b">
        <f>IFERROR(__xludf.DUMMYFUNCTION("""COMPUTED_VALUE"""),TRUE)</f>
        <v>1</v>
      </c>
      <c r="T716" s="1" t="b">
        <f>IFERROR(__xludf.DUMMYFUNCTION("""COMPUTED_VALUE"""),FALSE)</f>
        <v>0</v>
      </c>
      <c r="U716" s="1" t="str">
        <f>IFERROR(__xludf.DUMMYFUNCTION("""COMPUTED_VALUE"""),"VALID")</f>
        <v>VALID</v>
      </c>
      <c r="V716" s="1">
        <f>IFERROR(__xludf.DUMMYFUNCTION("""COMPUTED_VALUE"""),144.0)</f>
        <v>144</v>
      </c>
      <c r="W716" s="1">
        <f>IFERROR(__xludf.DUMMYFUNCTION("""COMPUTED_VALUE"""),170.0)</f>
        <v>170</v>
      </c>
      <c r="X716" s="1">
        <f>IFERROR(__xludf.DUMMYFUNCTION("""COMPUTED_VALUE"""),1067.0)</f>
        <v>1067</v>
      </c>
      <c r="Y716" s="2"/>
      <c r="Z716" s="2"/>
    </row>
    <row r="717">
      <c r="A717" s="1">
        <f>IFERROR(__xludf.DUMMYFUNCTION("""COMPUTED_VALUE"""),716.0)</f>
        <v>716</v>
      </c>
      <c r="B717" s="1">
        <f>IFERROR(__xludf.DUMMYFUNCTION("""COMPUTED_VALUE"""),10606.0)</f>
        <v>10606</v>
      </c>
      <c r="C717" s="2" t="str">
        <f>IFERROR(__xludf.DUMMYFUNCTION("""COMPUTED_VALUE"""),"Dins_Jr")</f>
        <v>Dins_Jr</v>
      </c>
      <c r="D717" s="2" t="str">
        <f>IFERROR(__xludf.DUMMYFUNCTION("""COMPUTED_VALUE"""),"10KM OVERALL M")</f>
        <v>10KM OVERALL M</v>
      </c>
      <c r="E717" s="1">
        <f>IFERROR(__xludf.DUMMYFUNCTION("""COMPUTED_VALUE"""),1.0)</f>
        <v>1</v>
      </c>
      <c r="F717" s="1" t="str">
        <f>IFERROR(__xludf.DUMMYFUNCTION("""COMPUTED_VALUE"""),"Male")</f>
        <v>Male</v>
      </c>
      <c r="G717" s="4" t="b">
        <f>IFERROR(__xludf.DUMMYFUNCTION("""COMPUTED_VALUE"""),TRUE)</f>
        <v>1</v>
      </c>
      <c r="H717" s="4" t="b">
        <f>IFERROR(__xludf.DUMMYFUNCTION("""COMPUTED_VALUE"""),FALSE)</f>
        <v>0</v>
      </c>
      <c r="I717" s="4">
        <f>IFERROR(__xludf.DUMMYFUNCTION("""COMPUTED_VALUE"""),0.24646185185185185)</f>
        <v>0.2464618519</v>
      </c>
      <c r="J717" s="4">
        <f>IFERROR(__xludf.DUMMYFUNCTION("""COMPUTED_VALUE"""),45949.25481488882)</f>
        <v>45949.25481</v>
      </c>
      <c r="K717" s="4">
        <f>IFERROR(__xludf.DUMMYFUNCTION("""COMPUTED_VALUE"""),45949.28268297057)</f>
        <v>45949.28268</v>
      </c>
      <c r="L717" s="4">
        <f>IFERROR(__xludf.DUMMYFUNCTION("""COMPUTED_VALUE"""),45949.291397391586)</f>
        <v>45949.2914</v>
      </c>
      <c r="M717" s="1" t="str">
        <f>IFERROR(__xludf.DUMMYFUNCTION("""COMPUTED_VALUE"""),"RFID")</f>
        <v>RFID</v>
      </c>
      <c r="N717" s="5">
        <f>IFERROR(__xludf.DUMMYFUNCTION("""COMPUTED_VALUE"""),0.0033412129629629634)</f>
        <v>0.003341212963</v>
      </c>
      <c r="O717" s="5">
        <f>IFERROR(__xludf.DUMMYFUNCTION("""COMPUTED_VALUE"""),0.011147231481481482)</f>
        <v>0.01114723148</v>
      </c>
      <c r="P717" s="5">
        <f>IFERROR(__xludf.DUMMYFUNCTION("""COMPUTED_VALUE"""),0.003586181489402934)</f>
        <v>0.003586181489</v>
      </c>
      <c r="Q717" s="5">
        <f>IFERROR(__xludf.DUMMYFUNCTION("""COMPUTED_VALUE"""),0.004493554398148148)</f>
        <v>0.004493554398</v>
      </c>
      <c r="R717" s="4">
        <f>IFERROR(__xludf.DUMMYFUNCTION("""COMPUTED_VALUE"""),45949.044935539736)</f>
        <v>45949.04494</v>
      </c>
      <c r="S717" s="1" t="b">
        <f>IFERROR(__xludf.DUMMYFUNCTION("""COMPUTED_VALUE"""),TRUE)</f>
        <v>1</v>
      </c>
      <c r="T717" s="1" t="b">
        <f>IFERROR(__xludf.DUMMYFUNCTION("""COMPUTED_VALUE"""),FALSE)</f>
        <v>0</v>
      </c>
      <c r="U717" s="1" t="str">
        <f>IFERROR(__xludf.DUMMYFUNCTION("""COMPUTED_VALUE"""),"VALID")</f>
        <v>VALID</v>
      </c>
      <c r="V717" s="1">
        <f>IFERROR(__xludf.DUMMYFUNCTION("""COMPUTED_VALUE"""),216.0)</f>
        <v>216</v>
      </c>
      <c r="W717" s="1">
        <f>IFERROR(__xludf.DUMMYFUNCTION("""COMPUTED_VALUE"""),260.0)</f>
        <v>260</v>
      </c>
      <c r="X717" s="1">
        <f>IFERROR(__xludf.DUMMYFUNCTION("""COMPUTED_VALUE"""),1197.0)</f>
        <v>1197</v>
      </c>
      <c r="Y717" s="2"/>
      <c r="Z717" s="2"/>
    </row>
    <row r="718">
      <c r="A718" s="1">
        <f>IFERROR(__xludf.DUMMYFUNCTION("""COMPUTED_VALUE"""),717.0)</f>
        <v>717</v>
      </c>
      <c r="B718" s="1">
        <f>IFERROR(__xludf.DUMMYFUNCTION("""COMPUTED_VALUE"""),10607.0)</f>
        <v>10607</v>
      </c>
      <c r="C718" s="2" t="str">
        <f>IFERROR(__xludf.DUMMYFUNCTION("""COMPUTED_VALUE"""),"AKANGC")</f>
        <v>AKANGC</v>
      </c>
      <c r="D718" s="2" t="str">
        <f>IFERROR(__xludf.DUMMYFUNCTION("""COMPUTED_VALUE"""),"10KM OVERALL M")</f>
        <v>10KM OVERALL M</v>
      </c>
      <c r="E718" s="1">
        <f>IFERROR(__xludf.DUMMYFUNCTION("""COMPUTED_VALUE"""),1.0)</f>
        <v>1</v>
      </c>
      <c r="F718" s="1" t="str">
        <f>IFERROR(__xludf.DUMMYFUNCTION("""COMPUTED_VALUE"""),"Male")</f>
        <v>Male</v>
      </c>
      <c r="G718" s="4" t="b">
        <f>IFERROR(__xludf.DUMMYFUNCTION("""COMPUTED_VALUE"""),TRUE)</f>
        <v>1</v>
      </c>
      <c r="H718" s="4" t="b">
        <f>IFERROR(__xludf.DUMMYFUNCTION("""COMPUTED_VALUE"""),TRUE)</f>
        <v>1</v>
      </c>
      <c r="I718" s="4">
        <f>IFERROR(__xludf.DUMMYFUNCTION("""COMPUTED_VALUE"""),0.24646185185185185)</f>
        <v>0.2464618519</v>
      </c>
      <c r="J718" s="4">
        <f>IFERROR(__xludf.DUMMYFUNCTION("""COMPUTED_VALUE"""),45949.25800588045)</f>
        <v>45949.25801</v>
      </c>
      <c r="K718" s="4">
        <f>IFERROR(__xludf.DUMMYFUNCTION("""COMPUTED_VALUE"""),45949.282235076425)</f>
        <v>45949.28224</v>
      </c>
      <c r="L718" s="4">
        <f>IFERROR(__xludf.DUMMYFUNCTION("""COMPUTED_VALUE"""),45949.28861614871)</f>
        <v>45949.28862</v>
      </c>
      <c r="M718" s="1" t="str">
        <f>IFERROR(__xludf.DUMMYFUNCTION("""COMPUTED_VALUE"""),"RFID")</f>
        <v>RFID</v>
      </c>
      <c r="N718" s="5">
        <f>IFERROR(__xludf.DUMMYFUNCTION("""COMPUTED_VALUE"""),0.004617611111111111)</f>
        <v>0.004617611111</v>
      </c>
      <c r="O718" s="5">
        <f>IFERROR(__xludf.DUMMYFUNCTION("""COMPUTED_VALUE"""),0.009691680555555554)</f>
        <v>0.009691680556</v>
      </c>
      <c r="P718" s="5">
        <f>IFERROR(__xludf.DUMMYFUNCTION("""COMPUTED_VALUE"""),0.0026259556732000588)</f>
        <v>0.002625955673</v>
      </c>
      <c r="Q718" s="5">
        <f>IFERROR(__xludf.DUMMYFUNCTION("""COMPUTED_VALUE"""),0.004215429398148148)</f>
        <v>0.004215429398</v>
      </c>
      <c r="R718" s="4">
        <f>IFERROR(__xludf.DUMMYFUNCTION("""COMPUTED_VALUE"""),45949.04215429686)</f>
        <v>45949.04215</v>
      </c>
      <c r="S718" s="1" t="b">
        <f>IFERROR(__xludf.DUMMYFUNCTION("""COMPUTED_VALUE"""),TRUE)</f>
        <v>1</v>
      </c>
      <c r="T718" s="1" t="b">
        <f>IFERROR(__xludf.DUMMYFUNCTION("""COMPUTED_VALUE"""),FALSE)</f>
        <v>0</v>
      </c>
      <c r="U718" s="1" t="str">
        <f>IFERROR(__xludf.DUMMYFUNCTION("""COMPUTED_VALUE"""),"VALID")</f>
        <v>VALID</v>
      </c>
      <c r="V718" s="1">
        <f>IFERROR(__xludf.DUMMYFUNCTION("""COMPUTED_VALUE"""),149.0)</f>
        <v>149</v>
      </c>
      <c r="W718" s="1">
        <f>IFERROR(__xludf.DUMMYFUNCTION("""COMPUTED_VALUE"""),175.0)</f>
        <v>175</v>
      </c>
      <c r="X718" s="1">
        <f>IFERROR(__xludf.DUMMYFUNCTION("""COMPUTED_VALUE"""),1072.0)</f>
        <v>1072</v>
      </c>
      <c r="Y718" s="2"/>
      <c r="Z718" s="2"/>
    </row>
    <row r="719">
      <c r="A719" s="1">
        <f>IFERROR(__xludf.DUMMYFUNCTION("""COMPUTED_VALUE"""),718.0)</f>
        <v>718</v>
      </c>
      <c r="B719" s="1">
        <f>IFERROR(__xludf.DUMMYFUNCTION("""COMPUTED_VALUE"""),10609.0)</f>
        <v>10609</v>
      </c>
      <c r="C719" s="2" t="str">
        <f>IFERROR(__xludf.DUMMYFUNCTION("""COMPUTED_VALUE"""),"IMAM SYAHRIZAL")</f>
        <v>IMAM SYAHRIZAL</v>
      </c>
      <c r="D719" s="2" t="str">
        <f>IFERROR(__xludf.DUMMYFUNCTION("""COMPUTED_VALUE"""),"10KM OVERALL M")</f>
        <v>10KM OVERALL M</v>
      </c>
      <c r="E719" s="1">
        <f>IFERROR(__xludf.DUMMYFUNCTION("""COMPUTED_VALUE"""),1.0)</f>
        <v>1</v>
      </c>
      <c r="F719" s="1" t="str">
        <f>IFERROR(__xludf.DUMMYFUNCTION("""COMPUTED_VALUE"""),"Male")</f>
        <v>Male</v>
      </c>
      <c r="G719" s="4" t="b">
        <f>IFERROR(__xludf.DUMMYFUNCTION("""COMPUTED_VALUE"""),TRUE)</f>
        <v>1</v>
      </c>
      <c r="H719" s="4" t="b">
        <f>IFERROR(__xludf.DUMMYFUNCTION("""COMPUTED_VALUE"""),FALSE)</f>
        <v>0</v>
      </c>
      <c r="I719" s="4">
        <f>IFERROR(__xludf.DUMMYFUNCTION("""COMPUTED_VALUE"""),0.24646185185185185)</f>
        <v>0.2464618519</v>
      </c>
      <c r="J719" s="4">
        <f>IFERROR(__xludf.DUMMYFUNCTION("""COMPUTED_VALUE"""),45949.25745384606)</f>
        <v>45949.25745</v>
      </c>
      <c r="K719" s="4">
        <f>IFERROR(__xludf.DUMMYFUNCTION("""COMPUTED_VALUE"""),45949.28715527242)</f>
        <v>45949.28716</v>
      </c>
      <c r="L719" s="4">
        <f>IFERROR(__xludf.DUMMYFUNCTION("""COMPUTED_VALUE"""),45949.29558489227)</f>
        <v>45949.29558</v>
      </c>
      <c r="M719" s="1" t="str">
        <f>IFERROR(__xludf.DUMMYFUNCTION("""COMPUTED_VALUE"""),"RFID")</f>
        <v>RFID</v>
      </c>
      <c r="N719" s="5">
        <f>IFERROR(__xludf.DUMMYFUNCTION("""COMPUTED_VALUE"""),0.004396796296296296)</f>
        <v>0.004396796296</v>
      </c>
      <c r="O719" s="5">
        <f>IFERROR(__xludf.DUMMYFUNCTION("""COMPUTED_VALUE"""),0.011880569444444444)</f>
        <v>0.01188056944</v>
      </c>
      <c r="P719" s="5">
        <f>IFERROR(__xludf.DUMMYFUNCTION("""COMPUTED_VALUE"""),0.003468979364083773)</f>
        <v>0.003468979364</v>
      </c>
      <c r="Q719" s="5">
        <f>IFERROR(__xludf.DUMMYFUNCTION("""COMPUTED_VALUE"""),0.004912304398148147)</f>
        <v>0.004912304398</v>
      </c>
      <c r="R719" s="4">
        <f>IFERROR(__xludf.DUMMYFUNCTION("""COMPUTED_VALUE"""),45949.04912304042)</f>
        <v>45949.04912</v>
      </c>
      <c r="S719" s="1" t="b">
        <f>IFERROR(__xludf.DUMMYFUNCTION("""COMPUTED_VALUE"""),TRUE)</f>
        <v>1</v>
      </c>
      <c r="T719" s="1" t="b">
        <f>IFERROR(__xludf.DUMMYFUNCTION("""COMPUTED_VALUE"""),FALSE)</f>
        <v>0</v>
      </c>
      <c r="U719" s="1" t="str">
        <f>IFERROR(__xludf.DUMMYFUNCTION("""COMPUTED_VALUE"""),"VALID")</f>
        <v>VALID</v>
      </c>
      <c r="V719" s="1">
        <f>IFERROR(__xludf.DUMMYFUNCTION("""COMPUTED_VALUE"""),317.0)</f>
        <v>317</v>
      </c>
      <c r="W719" s="1">
        <f>IFERROR(__xludf.DUMMYFUNCTION("""COMPUTED_VALUE"""),376.0)</f>
        <v>376</v>
      </c>
      <c r="X719" s="1">
        <f>IFERROR(__xludf.DUMMYFUNCTION("""COMPUTED_VALUE"""),1350.0)</f>
        <v>1350</v>
      </c>
      <c r="Y719" s="2"/>
      <c r="Z719" s="2"/>
    </row>
    <row r="720">
      <c r="A720" s="1">
        <f>IFERROR(__xludf.DUMMYFUNCTION("""COMPUTED_VALUE"""),719.0)</f>
        <v>719</v>
      </c>
      <c r="B720" s="1">
        <f>IFERROR(__xludf.DUMMYFUNCTION("""COMPUTED_VALUE"""),10610.0)</f>
        <v>10610</v>
      </c>
      <c r="C720" s="2" t="str">
        <f>IFERROR(__xludf.DUMMYFUNCTION("""COMPUTED_VALUE"""),"Nur Aji")</f>
        <v>Nur Aji</v>
      </c>
      <c r="D720" s="2" t="str">
        <f>IFERROR(__xludf.DUMMYFUNCTION("""COMPUTED_VALUE"""),"10KM OVERALL M")</f>
        <v>10KM OVERALL M</v>
      </c>
      <c r="E720" s="1">
        <f>IFERROR(__xludf.DUMMYFUNCTION("""COMPUTED_VALUE"""),1.0)</f>
        <v>1</v>
      </c>
      <c r="F720" s="1" t="str">
        <f>IFERROR(__xludf.DUMMYFUNCTION("""COMPUTED_VALUE"""),"Male")</f>
        <v>Male</v>
      </c>
      <c r="G720" s="4" t="b">
        <f>IFERROR(__xludf.DUMMYFUNCTION("""COMPUTED_VALUE"""),TRUE)</f>
        <v>1</v>
      </c>
      <c r="H720" s="4" t="b">
        <f>IFERROR(__xludf.DUMMYFUNCTION("""COMPUTED_VALUE"""),TRUE)</f>
        <v>1</v>
      </c>
      <c r="I720" s="4">
        <f>IFERROR(__xludf.DUMMYFUNCTION("""COMPUTED_VALUE"""),0.24646185185185185)</f>
        <v>0.2464618519</v>
      </c>
      <c r="J720" s="4">
        <f>IFERROR(__xludf.DUMMYFUNCTION("""COMPUTED_VALUE"""),45949.25709615073)</f>
        <v>45949.2571</v>
      </c>
      <c r="K720" s="4">
        <f>IFERROR(__xludf.DUMMYFUNCTION("""COMPUTED_VALUE"""),45949.28560658606)</f>
        <v>45949.28561</v>
      </c>
      <c r="L720" s="4">
        <f>IFERROR(__xludf.DUMMYFUNCTION("""COMPUTED_VALUE"""),45949.293880042605)</f>
        <v>45949.29388</v>
      </c>
      <c r="M720" s="1" t="str">
        <f>IFERROR(__xludf.DUMMYFUNCTION("""COMPUTED_VALUE"""),"RFID")</f>
        <v>RFID</v>
      </c>
      <c r="N720" s="5">
        <f>IFERROR(__xludf.DUMMYFUNCTION("""COMPUTED_VALUE"""),0.004253717592592592)</f>
        <v>0.004253717593</v>
      </c>
      <c r="O720" s="5">
        <f>IFERROR(__xludf.DUMMYFUNCTION("""COMPUTED_VALUE"""),0.011404175925925925)</f>
        <v>0.01140417593</v>
      </c>
      <c r="P720" s="5">
        <f>IFERROR(__xludf.DUMMYFUNCTION("""COMPUTED_VALUE"""),0.0034047146271502238)</f>
        <v>0.003404714627</v>
      </c>
      <c r="Q720" s="5">
        <f>IFERROR(__xludf.DUMMYFUNCTION("""COMPUTED_VALUE"""),0.004741819444444444)</f>
        <v>0.004741819444</v>
      </c>
      <c r="R720" s="4">
        <f>IFERROR(__xludf.DUMMYFUNCTION("""COMPUTED_VALUE"""),45949.047418190756)</f>
        <v>45949.04742</v>
      </c>
      <c r="S720" s="1" t="b">
        <f>IFERROR(__xludf.DUMMYFUNCTION("""COMPUTED_VALUE"""),TRUE)</f>
        <v>1</v>
      </c>
      <c r="T720" s="1" t="b">
        <f>IFERROR(__xludf.DUMMYFUNCTION("""COMPUTED_VALUE"""),FALSE)</f>
        <v>0</v>
      </c>
      <c r="U720" s="1" t="str">
        <f>IFERROR(__xludf.DUMMYFUNCTION("""COMPUTED_VALUE"""),"VALID")</f>
        <v>VALID</v>
      </c>
      <c r="V720" s="1">
        <f>IFERROR(__xludf.DUMMYFUNCTION("""COMPUTED_VALUE"""),271.0)</f>
        <v>271</v>
      </c>
      <c r="W720" s="1">
        <f>IFERROR(__xludf.DUMMYFUNCTION("""COMPUTED_VALUE"""),323.0)</f>
        <v>323</v>
      </c>
      <c r="X720" s="1">
        <f>IFERROR(__xludf.DUMMYFUNCTION("""COMPUTED_VALUE"""),1281.0)</f>
        <v>1281</v>
      </c>
      <c r="Y720" s="2"/>
      <c r="Z720" s="2"/>
    </row>
    <row r="721">
      <c r="A721" s="1">
        <f>IFERROR(__xludf.DUMMYFUNCTION("""COMPUTED_VALUE"""),720.0)</f>
        <v>720</v>
      </c>
      <c r="B721" s="1">
        <f>IFERROR(__xludf.DUMMYFUNCTION("""COMPUTED_VALUE"""),10611.0)</f>
        <v>10611</v>
      </c>
      <c r="C721" s="2" t="str">
        <f>IFERROR(__xludf.DUMMYFUNCTION("""COMPUTED_VALUE"""),"ZhÃ¶u Ichsan")</f>
        <v>ZhÃ¶u Ichsan</v>
      </c>
      <c r="D721" s="2" t="str">
        <f>IFERROR(__xludf.DUMMYFUNCTION("""COMPUTED_VALUE"""),"10KM OVERALL M")</f>
        <v>10KM OVERALL M</v>
      </c>
      <c r="E721" s="1">
        <f>IFERROR(__xludf.DUMMYFUNCTION("""COMPUTED_VALUE"""),1.0)</f>
        <v>1</v>
      </c>
      <c r="F721" s="1" t="str">
        <f>IFERROR(__xludf.DUMMYFUNCTION("""COMPUTED_VALUE"""),"Male")</f>
        <v>Male</v>
      </c>
      <c r="G721" s="4" t="b">
        <f>IFERROR(__xludf.DUMMYFUNCTION("""COMPUTED_VALUE"""),TRUE)</f>
        <v>1</v>
      </c>
      <c r="H721" s="4" t="b">
        <f>IFERROR(__xludf.DUMMYFUNCTION("""COMPUTED_VALUE"""),TRUE)</f>
        <v>1</v>
      </c>
      <c r="I721" s="4">
        <f>IFERROR(__xludf.DUMMYFUNCTION("""COMPUTED_VALUE"""),0.24646185185185185)</f>
        <v>0.2464618519</v>
      </c>
      <c r="J721" s="4">
        <f>IFERROR(__xludf.DUMMYFUNCTION("""COMPUTED_VALUE"""),45949.256169057495)</f>
        <v>45949.25617</v>
      </c>
      <c r="K721" s="4">
        <f>IFERROR(__xludf.DUMMYFUNCTION("""COMPUTED_VALUE"""),45949.28042257713)</f>
        <v>45949.28042</v>
      </c>
      <c r="L721" s="4">
        <f>IFERROR(__xludf.DUMMYFUNCTION("""COMPUTED_VALUE"""),45949.287334839544)</f>
        <v>45949.28733</v>
      </c>
      <c r="M721" s="1" t="str">
        <f>IFERROR(__xludf.DUMMYFUNCTION("""COMPUTED_VALUE"""),"RFID")</f>
        <v>RFID</v>
      </c>
      <c r="N721" s="5">
        <f>IFERROR(__xludf.DUMMYFUNCTION("""COMPUTED_VALUE"""),0.0038828842592592587)</f>
        <v>0.003882884259</v>
      </c>
      <c r="O721" s="5">
        <f>IFERROR(__xludf.DUMMYFUNCTION("""COMPUTED_VALUE"""),0.009701407407407407)</f>
        <v>0.009701407407</v>
      </c>
      <c r="P721" s="5">
        <f>IFERROR(__xludf.DUMMYFUNCTION("""COMPUTED_VALUE"""),0.0028445524328346112)</f>
        <v>0.002844552433</v>
      </c>
      <c r="Q721" s="5">
        <f>IFERROR(__xludf.DUMMYFUNCTION("""COMPUTED_VALUE"""),0.004087298611111111)</f>
        <v>0.004087298611</v>
      </c>
      <c r="R721" s="4">
        <f>IFERROR(__xludf.DUMMYFUNCTION("""COMPUTED_VALUE"""),45949.040872987694)</f>
        <v>45949.04087</v>
      </c>
      <c r="S721" s="1" t="b">
        <f>IFERROR(__xludf.DUMMYFUNCTION("""COMPUTED_VALUE"""),TRUE)</f>
        <v>1</v>
      </c>
      <c r="T721" s="1" t="b">
        <f>IFERROR(__xludf.DUMMYFUNCTION("""COMPUTED_VALUE"""),FALSE)</f>
        <v>0</v>
      </c>
      <c r="U721" s="1" t="str">
        <f>IFERROR(__xludf.DUMMYFUNCTION("""COMPUTED_VALUE"""),"VALID")</f>
        <v>VALID</v>
      </c>
      <c r="V721" s="1">
        <f>IFERROR(__xludf.DUMMYFUNCTION("""COMPUTED_VALUE"""),118.0)</f>
        <v>118</v>
      </c>
      <c r="W721" s="1">
        <f>IFERROR(__xludf.DUMMYFUNCTION("""COMPUTED_VALUE"""),141.0)</f>
        <v>141</v>
      </c>
      <c r="X721" s="1">
        <f>IFERROR(__xludf.DUMMYFUNCTION("""COMPUTED_VALUE"""),1015.0)</f>
        <v>1015</v>
      </c>
      <c r="Y721" s="2"/>
      <c r="Z721" s="2"/>
    </row>
    <row r="722">
      <c r="A722" s="1">
        <f>IFERROR(__xludf.DUMMYFUNCTION("""COMPUTED_VALUE"""),721.0)</f>
        <v>721</v>
      </c>
      <c r="B722" s="1">
        <f>IFERROR(__xludf.DUMMYFUNCTION("""COMPUTED_VALUE"""),10612.0)</f>
        <v>10612</v>
      </c>
      <c r="C722" s="2" t="str">
        <f>IFERROR(__xludf.DUMMYFUNCTION("""COMPUTED_VALUE"""),"syafrizal")</f>
        <v>syafrizal</v>
      </c>
      <c r="D722" s="2" t="str">
        <f>IFERROR(__xludf.DUMMYFUNCTION("""COMPUTED_VALUE"""),"10KM OVERALL M")</f>
        <v>10KM OVERALL M</v>
      </c>
      <c r="E722" s="1">
        <f>IFERROR(__xludf.DUMMYFUNCTION("""COMPUTED_VALUE"""),1.0)</f>
        <v>1</v>
      </c>
      <c r="F722" s="1" t="str">
        <f>IFERROR(__xludf.DUMMYFUNCTION("""COMPUTED_VALUE"""),"Male")</f>
        <v>Male</v>
      </c>
      <c r="G722" s="4" t="str">
        <f>IFERROR(__xludf.DUMMYFUNCTION("""COMPUTED_VALUE"""),"")</f>
        <v/>
      </c>
      <c r="H722" s="4" t="b">
        <f>IFERROR(__xludf.DUMMYFUNCTION("""COMPUTED_VALUE"""),TRUE)</f>
        <v>1</v>
      </c>
      <c r="I722" s="4">
        <f>IFERROR(__xludf.DUMMYFUNCTION("""COMPUTED_VALUE"""),0.24646185185185185)</f>
        <v>0.2464618519</v>
      </c>
      <c r="J722" s="4">
        <f>IFERROR(__xludf.DUMMYFUNCTION("""COMPUTED_VALUE"""),45949.256436462594)</f>
        <v>45949.25644</v>
      </c>
      <c r="K722" s="4">
        <f>IFERROR(__xludf.DUMMYFUNCTION("""COMPUTED_VALUE"""),45949.281273250686)</f>
        <v>45949.28127</v>
      </c>
      <c r="L722" s="4">
        <f>IFERROR(__xludf.DUMMYFUNCTION("""COMPUTED_VALUE"""),45949.288966835724)</f>
        <v>45949.28897</v>
      </c>
      <c r="M722" s="1" t="str">
        <f>IFERROR(__xludf.DUMMYFUNCTION("""COMPUTED_VALUE"""),"RFID")</f>
        <v>RFID</v>
      </c>
      <c r="N722" s="5">
        <f>IFERROR(__xludf.DUMMYFUNCTION("""COMPUTED_VALUE"""),0.003989842592592593)</f>
        <v>0.003989842593</v>
      </c>
      <c r="O722" s="5">
        <f>IFERROR(__xludf.DUMMYFUNCTION("""COMPUTED_VALUE"""),0.009934712962962963)</f>
        <v>0.009934712963</v>
      </c>
      <c r="P722" s="5">
        <f>IFERROR(__xludf.DUMMYFUNCTION("""COMPUTED_VALUE"""),0.003166084377566513)</f>
        <v>0.003166084378</v>
      </c>
      <c r="Q722" s="5">
        <f>IFERROR(__xludf.DUMMYFUNCTION("""COMPUTED_VALUE"""),0.004250498842592593)</f>
        <v>0.004250498843</v>
      </c>
      <c r="R722" s="4">
        <f>IFERROR(__xludf.DUMMYFUNCTION("""COMPUTED_VALUE"""),45949.042504983874)</f>
        <v>45949.0425</v>
      </c>
      <c r="S722" s="1" t="b">
        <f>IFERROR(__xludf.DUMMYFUNCTION("""COMPUTED_VALUE"""),TRUE)</f>
        <v>1</v>
      </c>
      <c r="T722" s="1" t="b">
        <f>IFERROR(__xludf.DUMMYFUNCTION("""COMPUTED_VALUE"""),FALSE)</f>
        <v>0</v>
      </c>
      <c r="U722" s="1" t="str">
        <f>IFERROR(__xludf.DUMMYFUNCTION("""COMPUTED_VALUE"""),"VALID")</f>
        <v>VALID</v>
      </c>
      <c r="V722" s="1">
        <f>IFERROR(__xludf.DUMMYFUNCTION("""COMPUTED_VALUE"""),159.0)</f>
        <v>159</v>
      </c>
      <c r="W722" s="1">
        <f>IFERROR(__xludf.DUMMYFUNCTION("""COMPUTED_VALUE"""),186.0)</f>
        <v>186</v>
      </c>
      <c r="X722" s="1">
        <f>IFERROR(__xludf.DUMMYFUNCTION("""COMPUTED_VALUE"""),1087.0)</f>
        <v>1087</v>
      </c>
      <c r="Y722" s="2"/>
      <c r="Z722" s="2"/>
    </row>
    <row r="723">
      <c r="A723" s="1">
        <f>IFERROR(__xludf.DUMMYFUNCTION("""COMPUTED_VALUE"""),722.0)</f>
        <v>722</v>
      </c>
      <c r="B723" s="1">
        <f>IFERROR(__xludf.DUMMYFUNCTION("""COMPUTED_VALUE"""),10613.0)</f>
        <v>10613</v>
      </c>
      <c r="C723" s="2" t="str">
        <f>IFERROR(__xludf.DUMMYFUNCTION("""COMPUTED_VALUE"""),"Andiyy")</f>
        <v>Andiyy</v>
      </c>
      <c r="D723" s="2" t="str">
        <f>IFERROR(__xludf.DUMMYFUNCTION("""COMPUTED_VALUE"""),"10KM OVERALL M")</f>
        <v>10KM OVERALL M</v>
      </c>
      <c r="E723" s="1">
        <f>IFERROR(__xludf.DUMMYFUNCTION("""COMPUTED_VALUE"""),1.0)</f>
        <v>1</v>
      </c>
      <c r="F723" s="1" t="str">
        <f>IFERROR(__xludf.DUMMYFUNCTION("""COMPUTED_VALUE"""),"Male")</f>
        <v>Male</v>
      </c>
      <c r="G723" s="4" t="str">
        <f>IFERROR(__xludf.DUMMYFUNCTION("""COMPUTED_VALUE"""),"")</f>
        <v/>
      </c>
      <c r="H723" s="4" t="b">
        <f>IFERROR(__xludf.DUMMYFUNCTION("""COMPUTED_VALUE"""),TRUE)</f>
        <v>1</v>
      </c>
      <c r="I723" s="4">
        <f>IFERROR(__xludf.DUMMYFUNCTION("""COMPUTED_VALUE"""),0.24646185185185185)</f>
        <v>0.2464618519</v>
      </c>
      <c r="J723" s="4">
        <f>IFERROR(__xludf.DUMMYFUNCTION("""COMPUTED_VALUE"""),45949.2574642086)</f>
        <v>45949.25746</v>
      </c>
      <c r="K723" s="4">
        <f>IFERROR(__xludf.DUMMYFUNCTION("""COMPUTED_VALUE"""),45949.287151731995)</f>
        <v>45949.28715</v>
      </c>
      <c r="L723" s="4">
        <f>IFERROR(__xludf.DUMMYFUNCTION("""COMPUTED_VALUE"""),45949.29564040927)</f>
        <v>45949.29564</v>
      </c>
      <c r="M723" s="1" t="str">
        <f>IFERROR(__xludf.DUMMYFUNCTION("""COMPUTED_VALUE"""),"RFID")</f>
        <v>RFID</v>
      </c>
      <c r="N723" s="5">
        <f>IFERROR(__xludf.DUMMYFUNCTION("""COMPUTED_VALUE"""),0.004400944444444445)</f>
        <v>0.004400944444</v>
      </c>
      <c r="O723" s="5">
        <f>IFERROR(__xludf.DUMMYFUNCTION("""COMPUTED_VALUE"""),0.011875009259259259)</f>
        <v>0.01187500926</v>
      </c>
      <c r="P723" s="5">
        <f>IFERROR(__xludf.DUMMYFUNCTION("""COMPUTED_VALUE"""),0.0034932828291056777)</f>
        <v>0.003493282829</v>
      </c>
      <c r="Q723" s="5">
        <f>IFERROR(__xludf.DUMMYFUNCTION("""COMPUTED_VALUE"""),0.004917855324074074)</f>
        <v>0.004917855324</v>
      </c>
      <c r="R723" s="4">
        <f>IFERROR(__xludf.DUMMYFUNCTION("""COMPUTED_VALUE"""),45949.04917855742)</f>
        <v>45949.04918</v>
      </c>
      <c r="S723" s="1" t="b">
        <f>IFERROR(__xludf.DUMMYFUNCTION("""COMPUTED_VALUE"""),TRUE)</f>
        <v>1</v>
      </c>
      <c r="T723" s="1" t="b">
        <f>IFERROR(__xludf.DUMMYFUNCTION("""COMPUTED_VALUE"""),FALSE)</f>
        <v>0</v>
      </c>
      <c r="U723" s="1" t="str">
        <f>IFERROR(__xludf.DUMMYFUNCTION("""COMPUTED_VALUE"""),"VALID")</f>
        <v>VALID</v>
      </c>
      <c r="V723" s="1">
        <f>IFERROR(__xludf.DUMMYFUNCTION("""COMPUTED_VALUE"""),319.0)</f>
        <v>319</v>
      </c>
      <c r="W723" s="1">
        <f>IFERROR(__xludf.DUMMYFUNCTION("""COMPUTED_VALUE"""),378.0)</f>
        <v>378</v>
      </c>
      <c r="X723" s="1">
        <f>IFERROR(__xludf.DUMMYFUNCTION("""COMPUTED_VALUE"""),1352.0)</f>
        <v>1352</v>
      </c>
      <c r="Y723" s="2"/>
      <c r="Z723" s="2"/>
    </row>
    <row r="724">
      <c r="A724" s="1">
        <f>IFERROR(__xludf.DUMMYFUNCTION("""COMPUTED_VALUE"""),723.0)</f>
        <v>723</v>
      </c>
      <c r="B724" s="1">
        <f>IFERROR(__xludf.DUMMYFUNCTION("""COMPUTED_VALUE"""),10614.0)</f>
        <v>10614</v>
      </c>
      <c r="C724" s="2" t="str">
        <f>IFERROR(__xludf.DUMMYFUNCTION("""COMPUTED_VALUE"""),"Kity Tokan")</f>
        <v>Kity Tokan</v>
      </c>
      <c r="D724" s="2" t="str">
        <f>IFERROR(__xludf.DUMMYFUNCTION("""COMPUTED_VALUE"""),"10KM OVERALL M")</f>
        <v>10KM OVERALL M</v>
      </c>
      <c r="E724" s="1">
        <f>IFERROR(__xludf.DUMMYFUNCTION("""COMPUTED_VALUE"""),1.0)</f>
        <v>1</v>
      </c>
      <c r="F724" s="1" t="str">
        <f>IFERROR(__xludf.DUMMYFUNCTION("""COMPUTED_VALUE"""),"Male")</f>
        <v>Male</v>
      </c>
      <c r="G724" s="4" t="b">
        <f>IFERROR(__xludf.DUMMYFUNCTION("""COMPUTED_VALUE"""),TRUE)</f>
        <v>1</v>
      </c>
      <c r="H724" s="4" t="b">
        <f>IFERROR(__xludf.DUMMYFUNCTION("""COMPUTED_VALUE"""),TRUE)</f>
        <v>1</v>
      </c>
      <c r="I724" s="4">
        <f>IFERROR(__xludf.DUMMYFUNCTION("""COMPUTED_VALUE"""),0.24646185185185185)</f>
        <v>0.2464618519</v>
      </c>
      <c r="J724" s="4">
        <f>IFERROR(__xludf.DUMMYFUNCTION("""COMPUTED_VALUE"""),45949.25712396644)</f>
        <v>45949.25712</v>
      </c>
      <c r="K724" s="4">
        <f>IFERROR(__xludf.DUMMYFUNCTION("""COMPUTED_VALUE"""),45949.28874893335)</f>
        <v>45949.28875</v>
      </c>
      <c r="L724" s="4">
        <f>IFERROR(__xludf.DUMMYFUNCTION("""COMPUTED_VALUE"""),45949.29701199526)</f>
        <v>45949.29701</v>
      </c>
      <c r="M724" s="1" t="str">
        <f>IFERROR(__xludf.DUMMYFUNCTION("""COMPUTED_VALUE"""),"RFID")</f>
        <v>RFID</v>
      </c>
      <c r="N724" s="5">
        <f>IFERROR(__xludf.DUMMYFUNCTION("""COMPUTED_VALUE"""),0.004264847222222222)</f>
        <v>0.004264847222</v>
      </c>
      <c r="O724" s="5">
        <f>IFERROR(__xludf.DUMMYFUNCTION("""COMPUTED_VALUE"""),0.012649986111111112)</f>
        <v>0.01264998611</v>
      </c>
      <c r="P724" s="5">
        <f>IFERROR(__xludf.DUMMYFUNCTION("""COMPUTED_VALUE"""),0.0034004369988479867)</f>
        <v>0.003400436999</v>
      </c>
      <c r="Q724" s="5">
        <f>IFERROR(__xludf.DUMMYFUNCTION("""COMPUTED_VALUE"""),0.005055013888888888)</f>
        <v>0.005055013889</v>
      </c>
      <c r="R724" s="4">
        <f>IFERROR(__xludf.DUMMYFUNCTION("""COMPUTED_VALUE"""),45949.05055014341)</f>
        <v>45949.05055</v>
      </c>
      <c r="S724" s="1" t="b">
        <f>IFERROR(__xludf.DUMMYFUNCTION("""COMPUTED_VALUE"""),TRUE)</f>
        <v>1</v>
      </c>
      <c r="T724" s="1" t="b">
        <f>IFERROR(__xludf.DUMMYFUNCTION("""COMPUTED_VALUE"""),FALSE)</f>
        <v>0</v>
      </c>
      <c r="U724" s="1" t="str">
        <f>IFERROR(__xludf.DUMMYFUNCTION("""COMPUTED_VALUE"""),"VALID")</f>
        <v>VALID</v>
      </c>
      <c r="V724" s="1">
        <f>IFERROR(__xludf.DUMMYFUNCTION("""COMPUTED_VALUE"""),357.0)</f>
        <v>357</v>
      </c>
      <c r="W724" s="1">
        <f>IFERROR(__xludf.DUMMYFUNCTION("""COMPUTED_VALUE"""),421.0)</f>
        <v>421</v>
      </c>
      <c r="X724" s="1">
        <f>IFERROR(__xludf.DUMMYFUNCTION("""COMPUTED_VALUE"""),1401.0)</f>
        <v>1401</v>
      </c>
      <c r="Y724" s="2"/>
      <c r="Z724" s="2"/>
    </row>
    <row r="725">
      <c r="A725" s="1">
        <f>IFERROR(__xludf.DUMMYFUNCTION("""COMPUTED_VALUE"""),724.0)</f>
        <v>724</v>
      </c>
      <c r="B725" s="1">
        <f>IFERROR(__xludf.DUMMYFUNCTION("""COMPUTED_VALUE"""),10615.0)</f>
        <v>10615</v>
      </c>
      <c r="C725" s="2" t="str">
        <f>IFERROR(__xludf.DUMMYFUNCTION("""COMPUTED_VALUE"""),"Andi")</f>
        <v>Andi</v>
      </c>
      <c r="D725" s="2" t="str">
        <f>IFERROR(__xludf.DUMMYFUNCTION("""COMPUTED_VALUE"""),"10KM OVERALL M")</f>
        <v>10KM OVERALL M</v>
      </c>
      <c r="E725" s="1">
        <f>IFERROR(__xludf.DUMMYFUNCTION("""COMPUTED_VALUE"""),1.0)</f>
        <v>1</v>
      </c>
      <c r="F725" s="1" t="str">
        <f>IFERROR(__xludf.DUMMYFUNCTION("""COMPUTED_VALUE"""),"Male")</f>
        <v>Male</v>
      </c>
      <c r="G725" s="4" t="b">
        <f>IFERROR(__xludf.DUMMYFUNCTION("""COMPUTED_VALUE"""),TRUE)</f>
        <v>1</v>
      </c>
      <c r="H725" s="4" t="b">
        <f>IFERROR(__xludf.DUMMYFUNCTION("""COMPUTED_VALUE"""),TRUE)</f>
        <v>1</v>
      </c>
      <c r="I725" s="4">
        <f>IFERROR(__xludf.DUMMYFUNCTION("""COMPUTED_VALUE"""),0.24646185185185185)</f>
        <v>0.2464618519</v>
      </c>
      <c r="J725" s="4">
        <f>IFERROR(__xludf.DUMMYFUNCTION("""COMPUTED_VALUE"""),45949.255280983336)</f>
        <v>45949.25528</v>
      </c>
      <c r="K725" s="4">
        <f>IFERROR(__xludf.DUMMYFUNCTION("""COMPUTED_VALUE"""),45949.27929062735)</f>
        <v>45949.27929</v>
      </c>
      <c r="L725" s="4">
        <f>IFERROR(__xludf.DUMMYFUNCTION("""COMPUTED_VALUE"""),45949.28652928385)</f>
        <v>45949.28653</v>
      </c>
      <c r="M725" s="1" t="str">
        <f>IFERROR(__xludf.DUMMYFUNCTION("""COMPUTED_VALUE"""),"RFID")</f>
        <v>RFID</v>
      </c>
      <c r="N725" s="5">
        <f>IFERROR(__xludf.DUMMYFUNCTION("""COMPUTED_VALUE"""),0.0035276527777777776)</f>
        <v>0.003527652778</v>
      </c>
      <c r="O725" s="5">
        <f>IFERROR(__xludf.DUMMYFUNCTION("""COMPUTED_VALUE"""),0.009603856481481482)</f>
        <v>0.009603856481</v>
      </c>
      <c r="P725" s="5">
        <f>IFERROR(__xludf.DUMMYFUNCTION("""COMPUTED_VALUE"""),0.00297887098494967)</f>
        <v>0.002978870985</v>
      </c>
      <c r="Q725" s="5">
        <f>IFERROR(__xludf.DUMMYFUNCTION("""COMPUTED_VALUE"""),0.004006743055555555)</f>
        <v>0.004006743056</v>
      </c>
      <c r="R725" s="4">
        <f>IFERROR(__xludf.DUMMYFUNCTION("""COMPUTED_VALUE"""),45949.040067432)</f>
        <v>45949.04007</v>
      </c>
      <c r="S725" s="1" t="b">
        <f>IFERROR(__xludf.DUMMYFUNCTION("""COMPUTED_VALUE"""),TRUE)</f>
        <v>1</v>
      </c>
      <c r="T725" s="1" t="b">
        <f>IFERROR(__xludf.DUMMYFUNCTION("""COMPUTED_VALUE"""),FALSE)</f>
        <v>0</v>
      </c>
      <c r="U725" s="1" t="str">
        <f>IFERROR(__xludf.DUMMYFUNCTION("""COMPUTED_VALUE"""),"VALID")</f>
        <v>VALID</v>
      </c>
      <c r="V725" s="1">
        <f>IFERROR(__xludf.DUMMYFUNCTION("""COMPUTED_VALUE"""),104.0)</f>
        <v>104</v>
      </c>
      <c r="W725" s="1">
        <f>IFERROR(__xludf.DUMMYFUNCTION("""COMPUTED_VALUE"""),125.0)</f>
        <v>125</v>
      </c>
      <c r="X725" s="1">
        <f>IFERROR(__xludf.DUMMYFUNCTION("""COMPUTED_VALUE"""),981.0)</f>
        <v>981</v>
      </c>
      <c r="Y725" s="2"/>
      <c r="Z725" s="2"/>
    </row>
    <row r="726">
      <c r="A726" s="1">
        <f>IFERROR(__xludf.DUMMYFUNCTION("""COMPUTED_VALUE"""),725.0)</f>
        <v>725</v>
      </c>
      <c r="B726" s="1">
        <f>IFERROR(__xludf.DUMMYFUNCTION("""COMPUTED_VALUE"""),10617.0)</f>
        <v>10617</v>
      </c>
      <c r="C726" s="2" t="str">
        <f>IFERROR(__xludf.DUMMYFUNCTION("""COMPUTED_VALUE"""),"Rusdi")</f>
        <v>Rusdi</v>
      </c>
      <c r="D726" s="2" t="str">
        <f>IFERROR(__xludf.DUMMYFUNCTION("""COMPUTED_VALUE"""),"10KM OVERALL M")</f>
        <v>10KM OVERALL M</v>
      </c>
      <c r="E726" s="1">
        <f>IFERROR(__xludf.DUMMYFUNCTION("""COMPUTED_VALUE"""),1.0)</f>
        <v>1</v>
      </c>
      <c r="F726" s="1" t="str">
        <f>IFERROR(__xludf.DUMMYFUNCTION("""COMPUTED_VALUE"""),"Male")</f>
        <v>Male</v>
      </c>
      <c r="G726" s="4" t="b">
        <f>IFERROR(__xludf.DUMMYFUNCTION("""COMPUTED_VALUE"""),TRUE)</f>
        <v>1</v>
      </c>
      <c r="H726" s="4" t="b">
        <f>IFERROR(__xludf.DUMMYFUNCTION("""COMPUTED_VALUE"""),TRUE)</f>
        <v>1</v>
      </c>
      <c r="I726" s="4">
        <f>IFERROR(__xludf.DUMMYFUNCTION("""COMPUTED_VALUE"""),0.24646185185185185)</f>
        <v>0.2464618519</v>
      </c>
      <c r="J726" s="4">
        <f>IFERROR(__xludf.DUMMYFUNCTION("""COMPUTED_VALUE"""),45949.25820033601)</f>
        <v>45949.2582</v>
      </c>
      <c r="K726" s="4">
        <f>IFERROR(__xludf.DUMMYFUNCTION("""COMPUTED_VALUE"""),45949.292304696515)</f>
        <v>45949.2923</v>
      </c>
      <c r="L726" s="4">
        <f>IFERROR(__xludf.DUMMYFUNCTION("""COMPUTED_VALUE"""),45949.301112619934)</f>
        <v>45949.30111</v>
      </c>
      <c r="M726" s="1" t="str">
        <f>IFERROR(__xludf.DUMMYFUNCTION("""COMPUTED_VALUE"""),"RFID")</f>
        <v>RFID</v>
      </c>
      <c r="N726" s="5">
        <f>IFERROR(__xludf.DUMMYFUNCTION("""COMPUTED_VALUE"""),0.004695393518518519)</f>
        <v>0.004695393519</v>
      </c>
      <c r="O726" s="5">
        <f>IFERROR(__xludf.DUMMYFUNCTION("""COMPUTED_VALUE"""),0.01364174537037037)</f>
        <v>0.01364174537</v>
      </c>
      <c r="P726" s="5">
        <f>IFERROR(__xludf.DUMMYFUNCTION("""COMPUTED_VALUE"""),0.003624659843303056)</f>
        <v>0.003624659843</v>
      </c>
      <c r="Q726" s="5">
        <f>IFERROR(__xludf.DUMMYFUNCTION("""COMPUTED_VALUE"""),0.005465076388888889)</f>
        <v>0.005465076389</v>
      </c>
      <c r="R726" s="4">
        <f>IFERROR(__xludf.DUMMYFUNCTION("""COMPUTED_VALUE"""),45949.054650768085)</f>
        <v>45949.05465</v>
      </c>
      <c r="S726" s="1" t="b">
        <f>IFERROR(__xludf.DUMMYFUNCTION("""COMPUTED_VALUE"""),TRUE)</f>
        <v>1</v>
      </c>
      <c r="T726" s="1" t="b">
        <f>IFERROR(__xludf.DUMMYFUNCTION("""COMPUTED_VALUE"""),FALSE)</f>
        <v>0</v>
      </c>
      <c r="U726" s="1" t="str">
        <f>IFERROR(__xludf.DUMMYFUNCTION("""COMPUTED_VALUE"""),"VALID")</f>
        <v>VALID</v>
      </c>
      <c r="V726" s="1">
        <f>IFERROR(__xludf.DUMMYFUNCTION("""COMPUTED_VALUE"""),452.0)</f>
        <v>452</v>
      </c>
      <c r="W726" s="1">
        <f>IFERROR(__xludf.DUMMYFUNCTION("""COMPUTED_VALUE"""),540.0)</f>
        <v>540</v>
      </c>
      <c r="X726" s="1">
        <f>IFERROR(__xludf.DUMMYFUNCTION("""COMPUTED_VALUE"""),1514.0)</f>
        <v>1514</v>
      </c>
      <c r="Y726" s="2"/>
      <c r="Z726" s="2"/>
    </row>
    <row r="727">
      <c r="A727" s="1">
        <f>IFERROR(__xludf.DUMMYFUNCTION("""COMPUTED_VALUE"""),726.0)</f>
        <v>726</v>
      </c>
      <c r="B727" s="1">
        <f>IFERROR(__xludf.DUMMYFUNCTION("""COMPUTED_VALUE"""),10619.0)</f>
        <v>10619</v>
      </c>
      <c r="C727" s="2" t="str">
        <f>IFERROR(__xludf.DUMMYFUNCTION("""COMPUTED_VALUE"""),"GENTA26")</f>
        <v>GENTA26</v>
      </c>
      <c r="D727" s="2" t="str">
        <f>IFERROR(__xludf.DUMMYFUNCTION("""COMPUTED_VALUE"""),"10KM OVERALL M")</f>
        <v>10KM OVERALL M</v>
      </c>
      <c r="E727" s="1">
        <f>IFERROR(__xludf.DUMMYFUNCTION("""COMPUTED_VALUE"""),1.0)</f>
        <v>1</v>
      </c>
      <c r="F727" s="1" t="str">
        <f>IFERROR(__xludf.DUMMYFUNCTION("""COMPUTED_VALUE"""),"Male")</f>
        <v>Male</v>
      </c>
      <c r="G727" s="4" t="b">
        <f>IFERROR(__xludf.DUMMYFUNCTION("""COMPUTED_VALUE"""),TRUE)</f>
        <v>1</v>
      </c>
      <c r="H727" s="4" t="b">
        <f>IFERROR(__xludf.DUMMYFUNCTION("""COMPUTED_VALUE"""),TRUE)</f>
        <v>1</v>
      </c>
      <c r="I727" s="4">
        <f>IFERROR(__xludf.DUMMYFUNCTION("""COMPUTED_VALUE"""),0.24646185185185185)</f>
        <v>0.2464618519</v>
      </c>
      <c r="J727" s="4">
        <f>IFERROR(__xludf.DUMMYFUNCTION("""COMPUTED_VALUE"""),45949.25506494447)</f>
        <v>45949.25506</v>
      </c>
      <c r="K727" s="4">
        <f>IFERROR(__xludf.DUMMYFUNCTION("""COMPUTED_VALUE"""),45949.276944960315)</f>
        <v>45949.27694</v>
      </c>
      <c r="L727" s="4">
        <f>IFERROR(__xludf.DUMMYFUNCTION("""COMPUTED_VALUE"""),45949.28324808569)</f>
        <v>45949.28325</v>
      </c>
      <c r="M727" s="1" t="str">
        <f>IFERROR(__xludf.DUMMYFUNCTION("""COMPUTED_VALUE"""),"RFID")</f>
        <v>RFID</v>
      </c>
      <c r="N727" s="5">
        <f>IFERROR(__xludf.DUMMYFUNCTION("""COMPUTED_VALUE"""),0.003441236111111111)</f>
        <v>0.003441236111</v>
      </c>
      <c r="O727" s="5">
        <f>IFERROR(__xludf.DUMMYFUNCTION("""COMPUTED_VALUE"""),0.00875200462962963)</f>
        <v>0.00875200463</v>
      </c>
      <c r="P727" s="5">
        <f>IFERROR(__xludf.DUMMYFUNCTION("""COMPUTED_VALUE"""),0.002593878754716435)</f>
        <v>0.002593878755</v>
      </c>
      <c r="Q727" s="5">
        <f>IFERROR(__xludf.DUMMYFUNCTION("""COMPUTED_VALUE"""),0.0036786238425925927)</f>
        <v>0.003678623843</v>
      </c>
      <c r="R727" s="4">
        <f>IFERROR(__xludf.DUMMYFUNCTION("""COMPUTED_VALUE"""),45949.03678623384)</f>
        <v>45949.03679</v>
      </c>
      <c r="S727" s="1" t="b">
        <f>IFERROR(__xludf.DUMMYFUNCTION("""COMPUTED_VALUE"""),TRUE)</f>
        <v>1</v>
      </c>
      <c r="T727" s="1" t="b">
        <f>IFERROR(__xludf.DUMMYFUNCTION("""COMPUTED_VALUE"""),FALSE)</f>
        <v>0</v>
      </c>
      <c r="U727" s="1" t="str">
        <f>IFERROR(__xludf.DUMMYFUNCTION("""COMPUTED_VALUE"""),"VALID")</f>
        <v>VALID</v>
      </c>
      <c r="V727" s="1">
        <f>IFERROR(__xludf.DUMMYFUNCTION("""COMPUTED_VALUE"""),55.0)</f>
        <v>55</v>
      </c>
      <c r="W727" s="1">
        <f>IFERROR(__xludf.DUMMYFUNCTION("""COMPUTED_VALUE"""),67.0)</f>
        <v>67</v>
      </c>
      <c r="X727" s="1">
        <f>IFERROR(__xludf.DUMMYFUNCTION("""COMPUTED_VALUE"""),818.0)</f>
        <v>818</v>
      </c>
      <c r="Y727" s="2"/>
      <c r="Z727" s="2"/>
    </row>
    <row r="728">
      <c r="A728" s="1">
        <f>IFERROR(__xludf.DUMMYFUNCTION("""COMPUTED_VALUE"""),727.0)</f>
        <v>727</v>
      </c>
      <c r="B728" s="1">
        <f>IFERROR(__xludf.DUMMYFUNCTION("""COMPUTED_VALUE"""),10620.0)</f>
        <v>10620</v>
      </c>
      <c r="C728" s="2" t="str">
        <f>IFERROR(__xludf.DUMMYFUNCTION("""COMPUTED_VALUE"""),"Irfan Nor")</f>
        <v>Irfan Nor</v>
      </c>
      <c r="D728" s="2" t="str">
        <f>IFERROR(__xludf.DUMMYFUNCTION("""COMPUTED_VALUE"""),"10KM OVERALL M")</f>
        <v>10KM OVERALL M</v>
      </c>
      <c r="E728" s="1">
        <f>IFERROR(__xludf.DUMMYFUNCTION("""COMPUTED_VALUE"""),1.0)</f>
        <v>1</v>
      </c>
      <c r="F728" s="1" t="str">
        <f>IFERROR(__xludf.DUMMYFUNCTION("""COMPUTED_VALUE"""),"Male")</f>
        <v>Male</v>
      </c>
      <c r="G728" s="4" t="str">
        <f>IFERROR(__xludf.DUMMYFUNCTION("""COMPUTED_VALUE"""),"")</f>
        <v/>
      </c>
      <c r="H728" s="4" t="b">
        <f>IFERROR(__xludf.DUMMYFUNCTION("""COMPUTED_VALUE"""),FALSE)</f>
        <v>0</v>
      </c>
      <c r="I728" s="4">
        <f>IFERROR(__xludf.DUMMYFUNCTION("""COMPUTED_VALUE"""),0.24646185185185185)</f>
        <v>0.2464618519</v>
      </c>
      <c r="J728" s="4" t="str">
        <f>IFERROR(__xludf.DUMMYFUNCTION("""COMPUTED_VALUE"""),"")</f>
        <v/>
      </c>
      <c r="K728" s="4" t="str">
        <f>IFERROR(__xludf.DUMMYFUNCTION("""COMPUTED_VALUE"""),"")</f>
        <v/>
      </c>
      <c r="L728" s="4" t="str">
        <f>IFERROR(__xludf.DUMMYFUNCTION("""COMPUTED_VALUE"""),"")</f>
        <v/>
      </c>
      <c r="M728" s="1" t="str">
        <f>IFERROR(__xludf.DUMMYFUNCTION("""COMPUTED_VALUE"""),"RFID")</f>
        <v>RFID</v>
      </c>
      <c r="N728" s="5" t="str">
        <f>IFERROR(__xludf.DUMMYFUNCTION("""COMPUTED_VALUE"""),"")</f>
        <v/>
      </c>
      <c r="O728" s="5" t="str">
        <f>IFERROR(__xludf.DUMMYFUNCTION("""COMPUTED_VALUE"""),"")</f>
        <v/>
      </c>
      <c r="P728" s="5" t="str">
        <f>IFERROR(__xludf.DUMMYFUNCTION("""COMPUTED_VALUE"""),"")</f>
        <v/>
      </c>
      <c r="Q728" s="5" t="str">
        <f>IFERROR(__xludf.DUMMYFUNCTION("""COMPUTED_VALUE"""),"")</f>
        <v/>
      </c>
      <c r="R728" s="4" t="str">
        <f>IFERROR(__xludf.DUMMYFUNCTION("""COMPUTED_VALUE"""),"")</f>
        <v/>
      </c>
      <c r="S728" s="1" t="b">
        <f>IFERROR(__xludf.DUMMYFUNCTION("""COMPUTED_VALUE"""),FALSE)</f>
        <v>0</v>
      </c>
      <c r="T728" s="1" t="b">
        <f>IFERROR(__xludf.DUMMYFUNCTION("""COMPUTED_VALUE"""),FALSE)</f>
        <v>0</v>
      </c>
      <c r="U728" s="1" t="str">
        <f>IFERROR(__xludf.DUMMYFUNCTION("""COMPUTED_VALUE"""),"DSQ")</f>
        <v>DSQ</v>
      </c>
      <c r="V728" s="1" t="str">
        <f>IFERROR(__xludf.DUMMYFUNCTION("""COMPUTED_VALUE"""),"DSQ")</f>
        <v>DSQ</v>
      </c>
      <c r="W728" s="1" t="str">
        <f>IFERROR(__xludf.DUMMYFUNCTION("""COMPUTED_VALUE"""),"DSQ")</f>
        <v>DSQ</v>
      </c>
      <c r="X728" s="1" t="str">
        <f>IFERROR(__xludf.DUMMYFUNCTION("""COMPUTED_VALUE"""),"DSQ")</f>
        <v>DSQ</v>
      </c>
      <c r="Y728" s="2"/>
      <c r="Z728" s="2" t="str">
        <f>IFERROR(__xludf.DUMMYFUNCTION("""COMPUTED_VALUE"""),"")</f>
        <v/>
      </c>
    </row>
    <row r="729">
      <c r="A729" s="1">
        <f>IFERROR(__xludf.DUMMYFUNCTION("""COMPUTED_VALUE"""),728.0)</f>
        <v>728</v>
      </c>
      <c r="B729" s="1">
        <f>IFERROR(__xludf.DUMMYFUNCTION("""COMPUTED_VALUE"""),10621.0)</f>
        <v>10621</v>
      </c>
      <c r="C729" s="2" t="str">
        <f>IFERROR(__xludf.DUMMYFUNCTION("""COMPUTED_VALUE"""),"Berri Kharisma")</f>
        <v>Berri Kharisma</v>
      </c>
      <c r="D729" s="2" t="str">
        <f>IFERROR(__xludf.DUMMYFUNCTION("""COMPUTED_VALUE"""),"10KM OVERALL M")</f>
        <v>10KM OVERALL M</v>
      </c>
      <c r="E729" s="1">
        <f>IFERROR(__xludf.DUMMYFUNCTION("""COMPUTED_VALUE"""),1.0)</f>
        <v>1</v>
      </c>
      <c r="F729" s="1" t="str">
        <f>IFERROR(__xludf.DUMMYFUNCTION("""COMPUTED_VALUE"""),"Male")</f>
        <v>Male</v>
      </c>
      <c r="G729" s="4" t="b">
        <f>IFERROR(__xludf.DUMMYFUNCTION("""COMPUTED_VALUE"""),TRUE)</f>
        <v>1</v>
      </c>
      <c r="H729" s="4" t="b">
        <f>IFERROR(__xludf.DUMMYFUNCTION("""COMPUTED_VALUE"""),TRUE)</f>
        <v>1</v>
      </c>
      <c r="I729" s="4">
        <f>IFERROR(__xludf.DUMMYFUNCTION("""COMPUTED_VALUE"""),0.24646185185185185)</f>
        <v>0.2464618519</v>
      </c>
      <c r="J729" s="4">
        <f>IFERROR(__xludf.DUMMYFUNCTION("""COMPUTED_VALUE"""),45949.2560753074)</f>
        <v>45949.25608</v>
      </c>
      <c r="K729" s="4">
        <f>IFERROR(__xludf.DUMMYFUNCTION("""COMPUTED_VALUE"""),45949.27937742188)</f>
        <v>45949.27938</v>
      </c>
      <c r="L729" s="4">
        <f>IFERROR(__xludf.DUMMYFUNCTION("""COMPUTED_VALUE"""),45949.28631755339)</f>
        <v>45949.28632</v>
      </c>
      <c r="M729" s="1" t="str">
        <f>IFERROR(__xludf.DUMMYFUNCTION("""COMPUTED_VALUE"""),"RFID")</f>
        <v>RFID</v>
      </c>
      <c r="N729" s="5">
        <f>IFERROR(__xludf.DUMMYFUNCTION("""COMPUTED_VALUE"""),0.003845384259259259)</f>
        <v>0.003845384259</v>
      </c>
      <c r="O729" s="5">
        <f>IFERROR(__xludf.DUMMYFUNCTION("""COMPUTED_VALUE"""),0.009320847222222222)</f>
        <v>0.009320847222</v>
      </c>
      <c r="P729" s="5">
        <f>IFERROR(__xludf.DUMMYFUNCTION("""COMPUTED_VALUE"""),0.0028560211984517336)</f>
        <v>0.002856021198</v>
      </c>
      <c r="Q729" s="5">
        <f>IFERROR(__xludf.DUMMYFUNCTION("""COMPUTED_VALUE"""),0.003985570601851852)</f>
        <v>0.003985570602</v>
      </c>
      <c r="R729" s="4">
        <f>IFERROR(__xludf.DUMMYFUNCTION("""COMPUTED_VALUE"""),45949.03985570154)</f>
        <v>45949.03986</v>
      </c>
      <c r="S729" s="1" t="b">
        <f>IFERROR(__xludf.DUMMYFUNCTION("""COMPUTED_VALUE"""),TRUE)</f>
        <v>1</v>
      </c>
      <c r="T729" s="1" t="b">
        <f>IFERROR(__xludf.DUMMYFUNCTION("""COMPUTED_VALUE"""),FALSE)</f>
        <v>0</v>
      </c>
      <c r="U729" s="1" t="str">
        <f>IFERROR(__xludf.DUMMYFUNCTION("""COMPUTED_VALUE"""),"VALID")</f>
        <v>VALID</v>
      </c>
      <c r="V729" s="1">
        <f>IFERROR(__xludf.DUMMYFUNCTION("""COMPUTED_VALUE"""),101.0)</f>
        <v>101</v>
      </c>
      <c r="W729" s="1">
        <f>IFERROR(__xludf.DUMMYFUNCTION("""COMPUTED_VALUE"""),120.0)</f>
        <v>120</v>
      </c>
      <c r="X729" s="1">
        <f>IFERROR(__xludf.DUMMYFUNCTION("""COMPUTED_VALUE"""),974.0)</f>
        <v>974</v>
      </c>
      <c r="Y729" s="2"/>
      <c r="Z729" s="2"/>
    </row>
    <row r="730">
      <c r="A730" s="1">
        <f>IFERROR(__xludf.DUMMYFUNCTION("""COMPUTED_VALUE"""),729.0)</f>
        <v>729</v>
      </c>
      <c r="B730" s="1">
        <f>IFERROR(__xludf.DUMMYFUNCTION("""COMPUTED_VALUE"""),10622.0)</f>
        <v>10622</v>
      </c>
      <c r="C730" s="2" t="str">
        <f>IFERROR(__xludf.DUMMYFUNCTION("""COMPUTED_VALUE"""),"ALFANDY PERMANA")</f>
        <v>ALFANDY PERMANA</v>
      </c>
      <c r="D730" s="2" t="str">
        <f>IFERROR(__xludf.DUMMYFUNCTION("""COMPUTED_VALUE"""),"10KM OVERALL M")</f>
        <v>10KM OVERALL M</v>
      </c>
      <c r="E730" s="1">
        <f>IFERROR(__xludf.DUMMYFUNCTION("""COMPUTED_VALUE"""),1.0)</f>
        <v>1</v>
      </c>
      <c r="F730" s="1" t="str">
        <f>IFERROR(__xludf.DUMMYFUNCTION("""COMPUTED_VALUE"""),"Male")</f>
        <v>Male</v>
      </c>
      <c r="G730" s="4" t="b">
        <f>IFERROR(__xludf.DUMMYFUNCTION("""COMPUTED_VALUE"""),TRUE)</f>
        <v>1</v>
      </c>
      <c r="H730" s="4" t="b">
        <f>IFERROR(__xludf.DUMMYFUNCTION("""COMPUTED_VALUE"""),FALSE)</f>
        <v>0</v>
      </c>
      <c r="I730" s="4">
        <f>IFERROR(__xludf.DUMMYFUNCTION("""COMPUTED_VALUE"""),0.24646185185185185)</f>
        <v>0.2464618519</v>
      </c>
      <c r="J730" s="4">
        <f>IFERROR(__xludf.DUMMYFUNCTION("""COMPUTED_VALUE"""),45949.25766910952)</f>
        <v>45949.25767</v>
      </c>
      <c r="K730" s="4">
        <f>IFERROR(__xludf.DUMMYFUNCTION("""COMPUTED_VALUE"""),45949.28703366349)</f>
        <v>45949.28703</v>
      </c>
      <c r="L730" s="4">
        <f>IFERROR(__xludf.DUMMYFUNCTION("""COMPUTED_VALUE"""),45949.29592169739)</f>
        <v>45949.29592</v>
      </c>
      <c r="M730" s="1" t="str">
        <f>IFERROR(__xludf.DUMMYFUNCTION("""COMPUTED_VALUE"""),"RFID")</f>
        <v>RFID</v>
      </c>
      <c r="N730" s="5">
        <f>IFERROR(__xludf.DUMMYFUNCTION("""COMPUTED_VALUE"""),0.004482902777777778)</f>
        <v>0.004482902778</v>
      </c>
      <c r="O730" s="5">
        <f>IFERROR(__xludf.DUMMYFUNCTION("""COMPUTED_VALUE"""),0.011745819444444446)</f>
        <v>0.01174581944</v>
      </c>
      <c r="P730" s="5">
        <f>IFERROR(__xludf.DUMMYFUNCTION("""COMPUTED_VALUE"""),0.0036576271204205053)</f>
        <v>0.00365762712</v>
      </c>
      <c r="Q730" s="5">
        <f>IFERROR(__xludf.DUMMYFUNCTION("""COMPUTED_VALUE"""),0.004945984953703704)</f>
        <v>0.004945984954</v>
      </c>
      <c r="R730" s="4">
        <f>IFERROR(__xludf.DUMMYFUNCTION("""COMPUTED_VALUE"""),45949.04945984554)</f>
        <v>45949.04946</v>
      </c>
      <c r="S730" s="1" t="b">
        <f>IFERROR(__xludf.DUMMYFUNCTION("""COMPUTED_VALUE"""),TRUE)</f>
        <v>1</v>
      </c>
      <c r="T730" s="1" t="b">
        <f>IFERROR(__xludf.DUMMYFUNCTION("""COMPUTED_VALUE"""),FALSE)</f>
        <v>0</v>
      </c>
      <c r="U730" s="1" t="str">
        <f>IFERROR(__xludf.DUMMYFUNCTION("""COMPUTED_VALUE"""),"VALID")</f>
        <v>VALID</v>
      </c>
      <c r="V730" s="1">
        <f>IFERROR(__xludf.DUMMYFUNCTION("""COMPUTED_VALUE"""),327.0)</f>
        <v>327</v>
      </c>
      <c r="W730" s="1">
        <f>IFERROR(__xludf.DUMMYFUNCTION("""COMPUTED_VALUE"""),388.0)</f>
        <v>388</v>
      </c>
      <c r="X730" s="1">
        <f>IFERROR(__xludf.DUMMYFUNCTION("""COMPUTED_VALUE"""),1364.0)</f>
        <v>1364</v>
      </c>
      <c r="Y730" s="2"/>
      <c r="Z730" s="2"/>
    </row>
    <row r="731">
      <c r="A731" s="1">
        <f>IFERROR(__xludf.DUMMYFUNCTION("""COMPUTED_VALUE"""),730.0)</f>
        <v>730</v>
      </c>
      <c r="B731" s="1">
        <f>IFERROR(__xludf.DUMMYFUNCTION("""COMPUTED_VALUE"""),10623.0)</f>
        <v>10623</v>
      </c>
      <c r="C731" s="2" t="str">
        <f>IFERROR(__xludf.DUMMYFUNCTION("""COMPUTED_VALUE"""),"yowan")</f>
        <v>yowan</v>
      </c>
      <c r="D731" s="2" t="str">
        <f>IFERROR(__xludf.DUMMYFUNCTION("""COMPUTED_VALUE"""),"10KM OVERALL M")</f>
        <v>10KM OVERALL M</v>
      </c>
      <c r="E731" s="1">
        <f>IFERROR(__xludf.DUMMYFUNCTION("""COMPUTED_VALUE"""),1.0)</f>
        <v>1</v>
      </c>
      <c r="F731" s="1" t="str">
        <f>IFERROR(__xludf.DUMMYFUNCTION("""COMPUTED_VALUE"""),"Male")</f>
        <v>Male</v>
      </c>
      <c r="G731" s="4" t="b">
        <f>IFERROR(__xludf.DUMMYFUNCTION("""COMPUTED_VALUE"""),TRUE)</f>
        <v>1</v>
      </c>
      <c r="H731" s="4" t="b">
        <f>IFERROR(__xludf.DUMMYFUNCTION("""COMPUTED_VALUE"""),TRUE)</f>
        <v>1</v>
      </c>
      <c r="I731" s="4">
        <f>IFERROR(__xludf.DUMMYFUNCTION("""COMPUTED_VALUE"""),0.24646185185185185)</f>
        <v>0.2464618519</v>
      </c>
      <c r="J731" s="4">
        <f>IFERROR(__xludf.DUMMYFUNCTION("""COMPUTED_VALUE"""),45949.261967673854)</f>
        <v>45949.26197</v>
      </c>
      <c r="K731" s="4">
        <f>IFERROR(__xludf.DUMMYFUNCTION("""COMPUTED_VALUE"""),45949.29178732066)</f>
        <v>45949.29179</v>
      </c>
      <c r="L731" s="4">
        <f>IFERROR(__xludf.DUMMYFUNCTION("""COMPUTED_VALUE"""),45949.30013003304)</f>
        <v>45949.30013</v>
      </c>
      <c r="M731" s="1" t="str">
        <f>IFERROR(__xludf.DUMMYFUNCTION("""COMPUTED_VALUE"""),"RFID")</f>
        <v>RFID</v>
      </c>
      <c r="N731" s="5">
        <f>IFERROR(__xludf.DUMMYFUNCTION("""COMPUTED_VALUE"""),0.006202328703703704)</f>
        <v>0.006202328704</v>
      </c>
      <c r="O731" s="5">
        <f>IFERROR(__xludf.DUMMYFUNCTION("""COMPUTED_VALUE"""),0.011927856481481482)</f>
        <v>0.01192785648</v>
      </c>
      <c r="P731" s="5">
        <f>IFERROR(__xludf.DUMMYFUNCTION("""COMPUTED_VALUE"""),0.003433214972315954)</f>
        <v>0.003433214972</v>
      </c>
      <c r="Q731" s="5">
        <f>IFERROR(__xludf.DUMMYFUNCTION("""COMPUTED_VALUE"""),0.005366818287037037)</f>
        <v>0.005366818287</v>
      </c>
      <c r="R731" s="4">
        <f>IFERROR(__xludf.DUMMYFUNCTION("""COMPUTED_VALUE"""),45949.053668181194)</f>
        <v>45949.05367</v>
      </c>
      <c r="S731" s="1" t="b">
        <f>IFERROR(__xludf.DUMMYFUNCTION("""COMPUTED_VALUE"""),TRUE)</f>
        <v>1</v>
      </c>
      <c r="T731" s="1" t="b">
        <f>IFERROR(__xludf.DUMMYFUNCTION("""COMPUTED_VALUE"""),FALSE)</f>
        <v>0</v>
      </c>
      <c r="U731" s="1" t="str">
        <f>IFERROR(__xludf.DUMMYFUNCTION("""COMPUTED_VALUE"""),"VALID")</f>
        <v>VALID</v>
      </c>
      <c r="V731" s="1">
        <f>IFERROR(__xludf.DUMMYFUNCTION("""COMPUTED_VALUE"""),417.0)</f>
        <v>417</v>
      </c>
      <c r="W731" s="1">
        <f>IFERROR(__xludf.DUMMYFUNCTION("""COMPUTED_VALUE"""),497.0)</f>
        <v>497</v>
      </c>
      <c r="X731" s="1">
        <f>IFERROR(__xludf.DUMMYFUNCTION("""COMPUTED_VALUE"""),1473.0)</f>
        <v>1473</v>
      </c>
      <c r="Y731" s="2"/>
      <c r="Z731" s="2"/>
    </row>
    <row r="732">
      <c r="A732" s="1">
        <f>IFERROR(__xludf.DUMMYFUNCTION("""COMPUTED_VALUE"""),731.0)</f>
        <v>731</v>
      </c>
      <c r="B732" s="1">
        <f>IFERROR(__xludf.DUMMYFUNCTION("""COMPUTED_VALUE"""),10625.0)</f>
        <v>10625</v>
      </c>
      <c r="C732" s="2" t="str">
        <f>IFERROR(__xludf.DUMMYFUNCTION("""COMPUTED_VALUE"""),"BABANG DAYAT")</f>
        <v>BABANG DAYAT</v>
      </c>
      <c r="D732" s="2" t="str">
        <f>IFERROR(__xludf.DUMMYFUNCTION("""COMPUTED_VALUE"""),"10KM OVERALL M")</f>
        <v>10KM OVERALL M</v>
      </c>
      <c r="E732" s="1">
        <f>IFERROR(__xludf.DUMMYFUNCTION("""COMPUTED_VALUE"""),1.0)</f>
        <v>1</v>
      </c>
      <c r="F732" s="1" t="str">
        <f>IFERROR(__xludf.DUMMYFUNCTION("""COMPUTED_VALUE"""),"Male")</f>
        <v>Male</v>
      </c>
      <c r="G732" s="4" t="b">
        <f>IFERROR(__xludf.DUMMYFUNCTION("""COMPUTED_VALUE"""),TRUE)</f>
        <v>1</v>
      </c>
      <c r="H732" s="4" t="b">
        <f>IFERROR(__xludf.DUMMYFUNCTION("""COMPUTED_VALUE"""),TRUE)</f>
        <v>1</v>
      </c>
      <c r="I732" s="4">
        <f>IFERROR(__xludf.DUMMYFUNCTION("""COMPUTED_VALUE"""),0.24646185185185185)</f>
        <v>0.2464618519</v>
      </c>
      <c r="J732" s="4">
        <f>IFERROR(__xludf.DUMMYFUNCTION("""COMPUTED_VALUE"""),45949.25906835508)</f>
        <v>45949.25907</v>
      </c>
      <c r="K732" s="4">
        <f>IFERROR(__xludf.DUMMYFUNCTION("""COMPUTED_VALUE"""),45949.28762742701)</f>
        <v>45949.28763</v>
      </c>
      <c r="L732" s="4">
        <f>IFERROR(__xludf.DUMMYFUNCTION("""COMPUTED_VALUE"""),45949.29587656254)</f>
        <v>45949.29588</v>
      </c>
      <c r="M732" s="1" t="str">
        <f>IFERROR(__xludf.DUMMYFUNCTION("""COMPUTED_VALUE"""),"RFID")</f>
        <v>RFID</v>
      </c>
      <c r="N732" s="5">
        <f>IFERROR(__xludf.DUMMYFUNCTION("""COMPUTED_VALUE"""),0.005042601851851852)</f>
        <v>0.005042601852</v>
      </c>
      <c r="O732" s="5">
        <f>IFERROR(__xludf.DUMMYFUNCTION("""COMPUTED_VALUE"""),0.011423629629629629)</f>
        <v>0.01142362963</v>
      </c>
      <c r="P732" s="5">
        <f>IFERROR(__xludf.DUMMYFUNCTION("""COMPUTED_VALUE"""),0.0033947059785498787)</f>
        <v>0.003394705979</v>
      </c>
      <c r="Q732" s="5">
        <f>IFERROR(__xludf.DUMMYFUNCTION("""COMPUTED_VALUE"""),0.004941471064814814)</f>
        <v>0.004941471065</v>
      </c>
      <c r="R732" s="4">
        <f>IFERROR(__xludf.DUMMYFUNCTION("""COMPUTED_VALUE"""),45949.04941471069)</f>
        <v>45949.04941</v>
      </c>
      <c r="S732" s="1" t="b">
        <f>IFERROR(__xludf.DUMMYFUNCTION("""COMPUTED_VALUE"""),TRUE)</f>
        <v>1</v>
      </c>
      <c r="T732" s="1" t="b">
        <f>IFERROR(__xludf.DUMMYFUNCTION("""COMPUTED_VALUE"""),FALSE)</f>
        <v>0</v>
      </c>
      <c r="U732" s="1" t="str">
        <f>IFERROR(__xludf.DUMMYFUNCTION("""COMPUTED_VALUE"""),"VALID")</f>
        <v>VALID</v>
      </c>
      <c r="V732" s="1">
        <f>IFERROR(__xludf.DUMMYFUNCTION("""COMPUTED_VALUE"""),324.0)</f>
        <v>324</v>
      </c>
      <c r="W732" s="1">
        <f>IFERROR(__xludf.DUMMYFUNCTION("""COMPUTED_VALUE"""),385.0)</f>
        <v>385</v>
      </c>
      <c r="X732" s="1">
        <f>IFERROR(__xludf.DUMMYFUNCTION("""COMPUTED_VALUE"""),1360.0)</f>
        <v>1360</v>
      </c>
      <c r="Y732" s="2"/>
      <c r="Z732" s="2"/>
    </row>
    <row r="733">
      <c r="A733" s="1">
        <f>IFERROR(__xludf.DUMMYFUNCTION("""COMPUTED_VALUE"""),732.0)</f>
        <v>732</v>
      </c>
      <c r="B733" s="1">
        <f>IFERROR(__xludf.DUMMYFUNCTION("""COMPUTED_VALUE"""),10626.0)</f>
        <v>10626</v>
      </c>
      <c r="C733" s="2" t="str">
        <f>IFERROR(__xludf.DUMMYFUNCTION("""COMPUTED_VALUE"""),"Aidiladha")</f>
        <v>Aidiladha</v>
      </c>
      <c r="D733" s="2" t="str">
        <f>IFERROR(__xludf.DUMMYFUNCTION("""COMPUTED_VALUE"""),"10KM OVERALL M")</f>
        <v>10KM OVERALL M</v>
      </c>
      <c r="E733" s="1">
        <f>IFERROR(__xludf.DUMMYFUNCTION("""COMPUTED_VALUE"""),1.0)</f>
        <v>1</v>
      </c>
      <c r="F733" s="1" t="str">
        <f>IFERROR(__xludf.DUMMYFUNCTION("""COMPUTED_VALUE"""),"Male")</f>
        <v>Male</v>
      </c>
      <c r="G733" s="4" t="b">
        <f>IFERROR(__xludf.DUMMYFUNCTION("""COMPUTED_VALUE"""),TRUE)</f>
        <v>1</v>
      </c>
      <c r="H733" s="4" t="b">
        <f>IFERROR(__xludf.DUMMYFUNCTION("""COMPUTED_VALUE"""),TRUE)</f>
        <v>1</v>
      </c>
      <c r="I733" s="4">
        <f>IFERROR(__xludf.DUMMYFUNCTION("""COMPUTED_VALUE"""),0.24646185185185185)</f>
        <v>0.2464618519</v>
      </c>
      <c r="J733" s="4">
        <f>IFERROR(__xludf.DUMMYFUNCTION("""COMPUTED_VALUE"""),45949.25803711201)</f>
        <v>45949.25804</v>
      </c>
      <c r="K733" s="4">
        <f>IFERROR(__xludf.DUMMYFUNCTION("""COMPUTED_VALUE"""),45949.284905228305)</f>
        <v>45949.28491</v>
      </c>
      <c r="L733" s="4">
        <f>IFERROR(__xludf.DUMMYFUNCTION("""COMPUTED_VALUE"""),45949.29287998343)</f>
        <v>45949.29288</v>
      </c>
      <c r="M733" s="1" t="str">
        <f>IFERROR(__xludf.DUMMYFUNCTION("""COMPUTED_VALUE"""),"RFID")</f>
        <v>RFID</v>
      </c>
      <c r="N733" s="5">
        <f>IFERROR(__xludf.DUMMYFUNCTION("""COMPUTED_VALUE"""),0.004630101851851852)</f>
        <v>0.004630101852</v>
      </c>
      <c r="O733" s="5">
        <f>IFERROR(__xludf.DUMMYFUNCTION("""COMPUTED_VALUE"""),0.010747245370370372)</f>
        <v>0.01074724537</v>
      </c>
      <c r="P733" s="5">
        <f>IFERROR(__xludf.DUMMYFUNCTION("""COMPUTED_VALUE"""),0.003281792233781429)</f>
        <v>0.003281792234</v>
      </c>
      <c r="Q733" s="5">
        <f>IFERROR(__xludf.DUMMYFUNCTION("""COMPUTED_VALUE"""),0.004641813657407407)</f>
        <v>0.004641813657</v>
      </c>
      <c r="R733" s="4">
        <f>IFERROR(__xludf.DUMMYFUNCTION("""COMPUTED_VALUE"""),45949.046418131584)</f>
        <v>45949.04642</v>
      </c>
      <c r="S733" s="1" t="b">
        <f>IFERROR(__xludf.DUMMYFUNCTION("""COMPUTED_VALUE"""),TRUE)</f>
        <v>1</v>
      </c>
      <c r="T733" s="1" t="b">
        <f>IFERROR(__xludf.DUMMYFUNCTION("""COMPUTED_VALUE"""),FALSE)</f>
        <v>0</v>
      </c>
      <c r="U733" s="1" t="str">
        <f>IFERROR(__xludf.DUMMYFUNCTION("""COMPUTED_VALUE"""),"VALID")</f>
        <v>VALID</v>
      </c>
      <c r="V733" s="1">
        <f>IFERROR(__xludf.DUMMYFUNCTION("""COMPUTED_VALUE"""),255.0)</f>
        <v>255</v>
      </c>
      <c r="W733" s="1">
        <f>IFERROR(__xludf.DUMMYFUNCTION("""COMPUTED_VALUE"""),304.0)</f>
        <v>304</v>
      </c>
      <c r="X733" s="1">
        <f>IFERROR(__xludf.DUMMYFUNCTION("""COMPUTED_VALUE"""),1260.0)</f>
        <v>1260</v>
      </c>
      <c r="Y733" s="2"/>
      <c r="Z733" s="2"/>
    </row>
    <row r="734">
      <c r="A734" s="1">
        <f>IFERROR(__xludf.DUMMYFUNCTION("""COMPUTED_VALUE"""),733.0)</f>
        <v>733</v>
      </c>
      <c r="B734" s="1">
        <f>IFERROR(__xludf.DUMMYFUNCTION("""COMPUTED_VALUE"""),10627.0)</f>
        <v>10627</v>
      </c>
      <c r="C734" s="2" t="str">
        <f>IFERROR(__xludf.DUMMYFUNCTION("""COMPUTED_VALUE"""),"Dwi Normansyah")</f>
        <v>Dwi Normansyah</v>
      </c>
      <c r="D734" s="2" t="str">
        <f>IFERROR(__xludf.DUMMYFUNCTION("""COMPUTED_VALUE"""),"10KM OVERALL M")</f>
        <v>10KM OVERALL M</v>
      </c>
      <c r="E734" s="1">
        <f>IFERROR(__xludf.DUMMYFUNCTION("""COMPUTED_VALUE"""),1.0)</f>
        <v>1</v>
      </c>
      <c r="F734" s="1" t="str">
        <f>IFERROR(__xludf.DUMMYFUNCTION("""COMPUTED_VALUE"""),"Male")</f>
        <v>Male</v>
      </c>
      <c r="G734" s="4" t="str">
        <f>IFERROR(__xludf.DUMMYFUNCTION("""COMPUTED_VALUE"""),"")</f>
        <v/>
      </c>
      <c r="H734" s="4" t="b">
        <f>IFERROR(__xludf.DUMMYFUNCTION("""COMPUTED_VALUE"""),TRUE)</f>
        <v>1</v>
      </c>
      <c r="I734" s="4">
        <f>IFERROR(__xludf.DUMMYFUNCTION("""COMPUTED_VALUE"""),0.24646185185185185)</f>
        <v>0.2464618519</v>
      </c>
      <c r="J734" s="4">
        <f>IFERROR(__xludf.DUMMYFUNCTION("""COMPUTED_VALUE"""),45949.256717735996)</f>
        <v>45949.25672</v>
      </c>
      <c r="K734" s="4">
        <f>IFERROR(__xludf.DUMMYFUNCTION("""COMPUTED_VALUE"""),45949.29008101852)</f>
        <v>45949.29008</v>
      </c>
      <c r="L734" s="4">
        <f>IFERROR(__xludf.DUMMYFUNCTION("""COMPUTED_VALUE"""),45949.29953281582)</f>
        <v>45949.29953</v>
      </c>
      <c r="M734" s="1" t="str">
        <f>IFERROR(__xludf.DUMMYFUNCTION("""COMPUTED_VALUE"""),"RFID")</f>
        <v>RFID</v>
      </c>
      <c r="N734" s="5">
        <f>IFERROR(__xludf.DUMMYFUNCTION("""COMPUTED_VALUE"""),0.004102351851851852)</f>
        <v>0.004102351852</v>
      </c>
      <c r="O734" s="5">
        <f>IFERROR(__xludf.DUMMYFUNCTION("""COMPUTED_VALUE"""),0.013345314814814815)</f>
        <v>0.01334531481</v>
      </c>
      <c r="P734" s="5">
        <f>IFERROR(__xludf.DUMMYFUNCTION("""COMPUTED_VALUE"""),0.003889628520490287)</f>
        <v>0.00388962852</v>
      </c>
      <c r="Q734" s="5">
        <f>IFERROR(__xludf.DUMMYFUNCTION("""COMPUTED_VALUE"""),0.005307096064814815)</f>
        <v>0.005307096065</v>
      </c>
      <c r="R734" s="4">
        <f>IFERROR(__xludf.DUMMYFUNCTION("""COMPUTED_VALUE"""),45949.05307096397)</f>
        <v>45949.05307</v>
      </c>
      <c r="S734" s="1" t="b">
        <f>IFERROR(__xludf.DUMMYFUNCTION("""COMPUTED_VALUE"""),TRUE)</f>
        <v>1</v>
      </c>
      <c r="T734" s="1" t="b">
        <f>IFERROR(__xludf.DUMMYFUNCTION("""COMPUTED_VALUE"""),FALSE)</f>
        <v>0</v>
      </c>
      <c r="U734" s="1" t="str">
        <f>IFERROR(__xludf.DUMMYFUNCTION("""COMPUTED_VALUE"""),"VALID")</f>
        <v>VALID</v>
      </c>
      <c r="V734" s="1">
        <f>IFERROR(__xludf.DUMMYFUNCTION("""COMPUTED_VALUE"""),401.0)</f>
        <v>401</v>
      </c>
      <c r="W734" s="1">
        <f>IFERROR(__xludf.DUMMYFUNCTION("""COMPUTED_VALUE"""),479.0)</f>
        <v>479</v>
      </c>
      <c r="X734" s="1">
        <f>IFERROR(__xludf.DUMMYFUNCTION("""COMPUTED_VALUE"""),1455.0)</f>
        <v>1455</v>
      </c>
      <c r="Y734" s="2"/>
      <c r="Z734" s="2"/>
    </row>
    <row r="735">
      <c r="A735" s="1">
        <f>IFERROR(__xludf.DUMMYFUNCTION("""COMPUTED_VALUE"""),734.0)</f>
        <v>734</v>
      </c>
      <c r="B735" s="1">
        <f>IFERROR(__xludf.DUMMYFUNCTION("""COMPUTED_VALUE"""),10628.0)</f>
        <v>10628</v>
      </c>
      <c r="C735" s="2" t="str">
        <f>IFERROR(__xludf.DUMMYFUNCTION("""COMPUTED_VALUE"""),"Arief")</f>
        <v>Arief</v>
      </c>
      <c r="D735" s="2" t="str">
        <f>IFERROR(__xludf.DUMMYFUNCTION("""COMPUTED_VALUE"""),"10KM OVERALL M")</f>
        <v>10KM OVERALL M</v>
      </c>
      <c r="E735" s="1">
        <f>IFERROR(__xludf.DUMMYFUNCTION("""COMPUTED_VALUE"""),1.0)</f>
        <v>1</v>
      </c>
      <c r="F735" s="1" t="str">
        <f>IFERROR(__xludf.DUMMYFUNCTION("""COMPUTED_VALUE"""),"Male")</f>
        <v>Male</v>
      </c>
      <c r="G735" s="4" t="b">
        <f>IFERROR(__xludf.DUMMYFUNCTION("""COMPUTED_VALUE"""),TRUE)</f>
        <v>1</v>
      </c>
      <c r="H735" s="4" t="b">
        <f>IFERROR(__xludf.DUMMYFUNCTION("""COMPUTED_VALUE"""),TRUE)</f>
        <v>1</v>
      </c>
      <c r="I735" s="4">
        <f>IFERROR(__xludf.DUMMYFUNCTION("""COMPUTED_VALUE"""),0.24646185185185185)</f>
        <v>0.2464618519</v>
      </c>
      <c r="J735" s="4">
        <f>IFERROR(__xludf.DUMMYFUNCTION("""COMPUTED_VALUE"""),45949.25857535576)</f>
        <v>45949.25858</v>
      </c>
      <c r="K735" s="4">
        <f>IFERROR(__xludf.DUMMYFUNCTION("""COMPUTED_VALUE"""),45949.283957267544)</f>
        <v>45949.28396</v>
      </c>
      <c r="L735" s="4">
        <f>IFERROR(__xludf.DUMMYFUNCTION("""COMPUTED_VALUE"""),45949.29134531898)</f>
        <v>45949.29135</v>
      </c>
      <c r="M735" s="1" t="str">
        <f>IFERROR(__xludf.DUMMYFUNCTION("""COMPUTED_VALUE"""),"RFID")</f>
        <v>RFID</v>
      </c>
      <c r="N735" s="5">
        <f>IFERROR(__xludf.DUMMYFUNCTION("""COMPUTED_VALUE"""),0.0048454027777777775)</f>
        <v>0.004845402778</v>
      </c>
      <c r="O735" s="5">
        <f>IFERROR(__xludf.DUMMYFUNCTION("""COMPUTED_VALUE"""),0.010152763888888888)</f>
        <v>0.01015276389</v>
      </c>
      <c r="P735" s="5">
        <f>IFERROR(__xludf.DUMMYFUNCTION("""COMPUTED_VALUE"""),0.0030403503864992088)</f>
        <v>0.003040350386</v>
      </c>
      <c r="Q735" s="5">
        <f>IFERROR(__xludf.DUMMYFUNCTION("""COMPUTED_VALUE"""),0.004488347222222222)</f>
        <v>0.004488347222</v>
      </c>
      <c r="R735" s="4">
        <f>IFERROR(__xludf.DUMMYFUNCTION("""COMPUTED_VALUE"""),45949.04488346713)</f>
        <v>45949.04488</v>
      </c>
      <c r="S735" s="1" t="b">
        <f>IFERROR(__xludf.DUMMYFUNCTION("""COMPUTED_VALUE"""),TRUE)</f>
        <v>1</v>
      </c>
      <c r="T735" s="1" t="b">
        <f>IFERROR(__xludf.DUMMYFUNCTION("""COMPUTED_VALUE"""),FALSE)</f>
        <v>0</v>
      </c>
      <c r="U735" s="1" t="str">
        <f>IFERROR(__xludf.DUMMYFUNCTION("""COMPUTED_VALUE"""),"VALID")</f>
        <v>VALID</v>
      </c>
      <c r="V735" s="1">
        <f>IFERROR(__xludf.DUMMYFUNCTION("""COMPUTED_VALUE"""),213.0)</f>
        <v>213</v>
      </c>
      <c r="W735" s="1">
        <f>IFERROR(__xludf.DUMMYFUNCTION("""COMPUTED_VALUE"""),257.0)</f>
        <v>257</v>
      </c>
      <c r="X735" s="1">
        <f>IFERROR(__xludf.DUMMYFUNCTION("""COMPUTED_VALUE"""),1194.0)</f>
        <v>1194</v>
      </c>
      <c r="Y735" s="2"/>
      <c r="Z735" s="2"/>
    </row>
    <row r="736">
      <c r="A736" s="1">
        <f>IFERROR(__xludf.DUMMYFUNCTION("""COMPUTED_VALUE"""),735.0)</f>
        <v>735</v>
      </c>
      <c r="B736" s="1">
        <f>IFERROR(__xludf.DUMMYFUNCTION("""COMPUTED_VALUE"""),10629.0)</f>
        <v>10629</v>
      </c>
      <c r="C736" s="2" t="str">
        <f>IFERROR(__xludf.DUMMYFUNCTION("""COMPUTED_VALUE"""),"Darlius")</f>
        <v>Darlius</v>
      </c>
      <c r="D736" s="2" t="str">
        <f>IFERROR(__xludf.DUMMYFUNCTION("""COMPUTED_VALUE"""),"10KM OVERALL M")</f>
        <v>10KM OVERALL M</v>
      </c>
      <c r="E736" s="1">
        <f>IFERROR(__xludf.DUMMYFUNCTION("""COMPUTED_VALUE"""),1.0)</f>
        <v>1</v>
      </c>
      <c r="F736" s="1" t="str">
        <f>IFERROR(__xludf.DUMMYFUNCTION("""COMPUTED_VALUE"""),"Male")</f>
        <v>Male</v>
      </c>
      <c r="G736" s="4" t="str">
        <f>IFERROR(__xludf.DUMMYFUNCTION("""COMPUTED_VALUE"""),"")</f>
        <v/>
      </c>
      <c r="H736" s="4" t="b">
        <f>IFERROR(__xludf.DUMMYFUNCTION("""COMPUTED_VALUE"""),FALSE)</f>
        <v>0</v>
      </c>
      <c r="I736" s="4">
        <f>IFERROR(__xludf.DUMMYFUNCTION("""COMPUTED_VALUE"""),0.24646185185185185)</f>
        <v>0.2464618519</v>
      </c>
      <c r="J736" s="4" t="str">
        <f>IFERROR(__xludf.DUMMYFUNCTION("""COMPUTED_VALUE"""),"")</f>
        <v/>
      </c>
      <c r="K736" s="4" t="str">
        <f>IFERROR(__xludf.DUMMYFUNCTION("""COMPUTED_VALUE"""),"")</f>
        <v/>
      </c>
      <c r="L736" s="4" t="str">
        <f>IFERROR(__xludf.DUMMYFUNCTION("""COMPUTED_VALUE"""),"")</f>
        <v/>
      </c>
      <c r="M736" s="1" t="str">
        <f>IFERROR(__xludf.DUMMYFUNCTION("""COMPUTED_VALUE"""),"RFID")</f>
        <v>RFID</v>
      </c>
      <c r="N736" s="5" t="str">
        <f>IFERROR(__xludf.DUMMYFUNCTION("""COMPUTED_VALUE"""),"")</f>
        <v/>
      </c>
      <c r="O736" s="5" t="str">
        <f>IFERROR(__xludf.DUMMYFUNCTION("""COMPUTED_VALUE"""),"")</f>
        <v/>
      </c>
      <c r="P736" s="5" t="str">
        <f>IFERROR(__xludf.DUMMYFUNCTION("""COMPUTED_VALUE"""),"")</f>
        <v/>
      </c>
      <c r="Q736" s="5" t="str">
        <f>IFERROR(__xludf.DUMMYFUNCTION("""COMPUTED_VALUE"""),"")</f>
        <v/>
      </c>
      <c r="R736" s="4" t="str">
        <f>IFERROR(__xludf.DUMMYFUNCTION("""COMPUTED_VALUE"""),"")</f>
        <v/>
      </c>
      <c r="S736" s="1" t="b">
        <f>IFERROR(__xludf.DUMMYFUNCTION("""COMPUTED_VALUE"""),FALSE)</f>
        <v>0</v>
      </c>
      <c r="T736" s="1" t="b">
        <f>IFERROR(__xludf.DUMMYFUNCTION("""COMPUTED_VALUE"""),FALSE)</f>
        <v>0</v>
      </c>
      <c r="U736" s="1" t="str">
        <f>IFERROR(__xludf.DUMMYFUNCTION("""COMPUTED_VALUE"""),"DSQ")</f>
        <v>DSQ</v>
      </c>
      <c r="V736" s="1" t="str">
        <f>IFERROR(__xludf.DUMMYFUNCTION("""COMPUTED_VALUE"""),"DSQ")</f>
        <v>DSQ</v>
      </c>
      <c r="W736" s="1" t="str">
        <f>IFERROR(__xludf.DUMMYFUNCTION("""COMPUTED_VALUE"""),"DSQ")</f>
        <v>DSQ</v>
      </c>
      <c r="X736" s="1" t="str">
        <f>IFERROR(__xludf.DUMMYFUNCTION("""COMPUTED_VALUE"""),"DSQ")</f>
        <v>DSQ</v>
      </c>
      <c r="Y736" s="2"/>
      <c r="Z736" s="2" t="str">
        <f>IFERROR(__xludf.DUMMYFUNCTION("""COMPUTED_VALUE"""),"")</f>
        <v/>
      </c>
    </row>
    <row r="737">
      <c r="A737" s="1">
        <f>IFERROR(__xludf.DUMMYFUNCTION("""COMPUTED_VALUE"""),736.0)</f>
        <v>736</v>
      </c>
      <c r="B737" s="1">
        <f>IFERROR(__xludf.DUMMYFUNCTION("""COMPUTED_VALUE"""),10630.0)</f>
        <v>10630</v>
      </c>
      <c r="C737" s="2" t="str">
        <f>IFERROR(__xludf.DUMMYFUNCTION("""COMPUTED_VALUE"""),"Firman Oktafiandi")</f>
        <v>Firman Oktafiandi</v>
      </c>
      <c r="D737" s="2" t="str">
        <f>IFERROR(__xludf.DUMMYFUNCTION("""COMPUTED_VALUE"""),"10KM OVERALL M")</f>
        <v>10KM OVERALL M</v>
      </c>
      <c r="E737" s="1">
        <f>IFERROR(__xludf.DUMMYFUNCTION("""COMPUTED_VALUE"""),1.0)</f>
        <v>1</v>
      </c>
      <c r="F737" s="1" t="str">
        <f>IFERROR(__xludf.DUMMYFUNCTION("""COMPUTED_VALUE"""),"Male")</f>
        <v>Male</v>
      </c>
      <c r="G737" s="4" t="str">
        <f>IFERROR(__xludf.DUMMYFUNCTION("""COMPUTED_VALUE"""),"")</f>
        <v/>
      </c>
      <c r="H737" s="4" t="b">
        <f>IFERROR(__xludf.DUMMYFUNCTION("""COMPUTED_VALUE"""),FALSE)</f>
        <v>0</v>
      </c>
      <c r="I737" s="4">
        <f>IFERROR(__xludf.DUMMYFUNCTION("""COMPUTED_VALUE"""),0.24646185185185185)</f>
        <v>0.2464618519</v>
      </c>
      <c r="J737" s="4" t="str">
        <f>IFERROR(__xludf.DUMMYFUNCTION("""COMPUTED_VALUE"""),"")</f>
        <v/>
      </c>
      <c r="K737" s="4" t="str">
        <f>IFERROR(__xludf.DUMMYFUNCTION("""COMPUTED_VALUE"""),"")</f>
        <v/>
      </c>
      <c r="L737" s="4" t="str">
        <f>IFERROR(__xludf.DUMMYFUNCTION("""COMPUTED_VALUE"""),"")</f>
        <v/>
      </c>
      <c r="M737" s="1" t="str">
        <f>IFERROR(__xludf.DUMMYFUNCTION("""COMPUTED_VALUE"""),"RFID")</f>
        <v>RFID</v>
      </c>
      <c r="N737" s="5" t="str">
        <f>IFERROR(__xludf.DUMMYFUNCTION("""COMPUTED_VALUE"""),"")</f>
        <v/>
      </c>
      <c r="O737" s="5" t="str">
        <f>IFERROR(__xludf.DUMMYFUNCTION("""COMPUTED_VALUE"""),"")</f>
        <v/>
      </c>
      <c r="P737" s="5" t="str">
        <f>IFERROR(__xludf.DUMMYFUNCTION("""COMPUTED_VALUE"""),"")</f>
        <v/>
      </c>
      <c r="Q737" s="5" t="str">
        <f>IFERROR(__xludf.DUMMYFUNCTION("""COMPUTED_VALUE"""),"")</f>
        <v/>
      </c>
      <c r="R737" s="4" t="str">
        <f>IFERROR(__xludf.DUMMYFUNCTION("""COMPUTED_VALUE"""),"")</f>
        <v/>
      </c>
      <c r="S737" s="1" t="b">
        <f>IFERROR(__xludf.DUMMYFUNCTION("""COMPUTED_VALUE"""),FALSE)</f>
        <v>0</v>
      </c>
      <c r="T737" s="1" t="b">
        <f>IFERROR(__xludf.DUMMYFUNCTION("""COMPUTED_VALUE"""),FALSE)</f>
        <v>0</v>
      </c>
      <c r="U737" s="1" t="str">
        <f>IFERROR(__xludf.DUMMYFUNCTION("""COMPUTED_VALUE"""),"DSQ")</f>
        <v>DSQ</v>
      </c>
      <c r="V737" s="1" t="str">
        <f>IFERROR(__xludf.DUMMYFUNCTION("""COMPUTED_VALUE"""),"DSQ")</f>
        <v>DSQ</v>
      </c>
      <c r="W737" s="1" t="str">
        <f>IFERROR(__xludf.DUMMYFUNCTION("""COMPUTED_VALUE"""),"DSQ")</f>
        <v>DSQ</v>
      </c>
      <c r="X737" s="1" t="str">
        <f>IFERROR(__xludf.DUMMYFUNCTION("""COMPUTED_VALUE"""),"DSQ")</f>
        <v>DSQ</v>
      </c>
      <c r="Y737" s="2"/>
      <c r="Z737" s="2" t="str">
        <f>IFERROR(__xludf.DUMMYFUNCTION("""COMPUTED_VALUE"""),"")</f>
        <v/>
      </c>
    </row>
    <row r="738">
      <c r="A738" s="1">
        <f>IFERROR(__xludf.DUMMYFUNCTION("""COMPUTED_VALUE"""),737.0)</f>
        <v>737</v>
      </c>
      <c r="B738" s="1">
        <f>IFERROR(__xludf.DUMMYFUNCTION("""COMPUTED_VALUE"""),10632.0)</f>
        <v>10632</v>
      </c>
      <c r="C738" s="2" t="str">
        <f>IFERROR(__xludf.DUMMYFUNCTION("""COMPUTED_VALUE"""),"ADHYAKSA")</f>
        <v>ADHYAKSA</v>
      </c>
      <c r="D738" s="2" t="str">
        <f>IFERROR(__xludf.DUMMYFUNCTION("""COMPUTED_VALUE"""),"10KM OVERALL M")</f>
        <v>10KM OVERALL M</v>
      </c>
      <c r="E738" s="1">
        <f>IFERROR(__xludf.DUMMYFUNCTION("""COMPUTED_VALUE"""),1.0)</f>
        <v>1</v>
      </c>
      <c r="F738" s="1" t="str">
        <f>IFERROR(__xludf.DUMMYFUNCTION("""COMPUTED_VALUE"""),"Male")</f>
        <v>Male</v>
      </c>
      <c r="G738" s="4" t="b">
        <f>IFERROR(__xludf.DUMMYFUNCTION("""COMPUTED_VALUE"""),TRUE)</f>
        <v>1</v>
      </c>
      <c r="H738" s="4" t="b">
        <f>IFERROR(__xludf.DUMMYFUNCTION("""COMPUTED_VALUE"""),FALSE)</f>
        <v>0</v>
      </c>
      <c r="I738" s="4">
        <f>IFERROR(__xludf.DUMMYFUNCTION("""COMPUTED_VALUE"""),0.24646185185185185)</f>
        <v>0.2464618519</v>
      </c>
      <c r="J738" s="4">
        <f>IFERROR(__xludf.DUMMYFUNCTION("""COMPUTED_VALUE"""),45949.25930451769)</f>
        <v>45949.2593</v>
      </c>
      <c r="K738" s="4">
        <f>IFERROR(__xludf.DUMMYFUNCTION("""COMPUTED_VALUE"""),45949.293221338)</f>
        <v>45949.29322</v>
      </c>
      <c r="L738" s="4">
        <f>IFERROR(__xludf.DUMMYFUNCTION("""COMPUTED_VALUE"""),45949.30304670157)</f>
        <v>45949.30305</v>
      </c>
      <c r="M738" s="1" t="str">
        <f>IFERROR(__xludf.DUMMYFUNCTION("""COMPUTED_VALUE"""),"RFID")</f>
        <v>RFID</v>
      </c>
      <c r="N738" s="5">
        <f>IFERROR(__xludf.DUMMYFUNCTION("""COMPUTED_VALUE"""),0.005137064814814815)</f>
        <v>0.005137064815</v>
      </c>
      <c r="O738" s="5">
        <f>IFERROR(__xludf.DUMMYFUNCTION("""COMPUTED_VALUE"""),0.01356672685185185)</f>
        <v>0.01356672685</v>
      </c>
      <c r="P738" s="5">
        <f>IFERROR(__xludf.DUMMYFUNCTION("""COMPUTED_VALUE"""),0.004043359495196376)</f>
        <v>0.004043359495</v>
      </c>
      <c r="Q738" s="5">
        <f>IFERROR(__xludf.DUMMYFUNCTION("""COMPUTED_VALUE"""),0.005658484953703703)</f>
        <v>0.005658484954</v>
      </c>
      <c r="R738" s="4">
        <f>IFERROR(__xludf.DUMMYFUNCTION("""COMPUTED_VALUE"""),45949.05658484972)</f>
        <v>45949.05658</v>
      </c>
      <c r="S738" s="1" t="b">
        <f>IFERROR(__xludf.DUMMYFUNCTION("""COMPUTED_VALUE"""),TRUE)</f>
        <v>1</v>
      </c>
      <c r="T738" s="1" t="b">
        <f>IFERROR(__xludf.DUMMYFUNCTION("""COMPUTED_VALUE"""),FALSE)</f>
        <v>0</v>
      </c>
      <c r="U738" s="1" t="str">
        <f>IFERROR(__xludf.DUMMYFUNCTION("""COMPUTED_VALUE"""),"VALID")</f>
        <v>VALID</v>
      </c>
      <c r="V738" s="1">
        <f>IFERROR(__xludf.DUMMYFUNCTION("""COMPUTED_VALUE"""),490.0)</f>
        <v>490</v>
      </c>
      <c r="W738" s="1">
        <f>IFERROR(__xludf.DUMMYFUNCTION("""COMPUTED_VALUE"""),588.0)</f>
        <v>588</v>
      </c>
      <c r="X738" s="1">
        <f>IFERROR(__xludf.DUMMYFUNCTION("""COMPUTED_VALUE"""),1558.0)</f>
        <v>1558</v>
      </c>
      <c r="Y738" s="2"/>
      <c r="Z738" s="2"/>
    </row>
    <row r="739">
      <c r="A739" s="1">
        <f>IFERROR(__xludf.DUMMYFUNCTION("""COMPUTED_VALUE"""),738.0)</f>
        <v>738</v>
      </c>
      <c r="B739" s="1">
        <f>IFERROR(__xludf.DUMMYFUNCTION("""COMPUTED_VALUE"""),10633.0)</f>
        <v>10633</v>
      </c>
      <c r="C739" s="2" t="str">
        <f>IFERROR(__xludf.DUMMYFUNCTION("""COMPUTED_VALUE"""),"Fadli Bimantara")</f>
        <v>Fadli Bimantara</v>
      </c>
      <c r="D739" s="2" t="str">
        <f>IFERROR(__xludf.DUMMYFUNCTION("""COMPUTED_VALUE"""),"10KM OVERALL M")</f>
        <v>10KM OVERALL M</v>
      </c>
      <c r="E739" s="1">
        <f>IFERROR(__xludf.DUMMYFUNCTION("""COMPUTED_VALUE"""),1.0)</f>
        <v>1</v>
      </c>
      <c r="F739" s="1" t="str">
        <f>IFERROR(__xludf.DUMMYFUNCTION("""COMPUTED_VALUE"""),"Male")</f>
        <v>Male</v>
      </c>
      <c r="G739" s="4" t="b">
        <f>IFERROR(__xludf.DUMMYFUNCTION("""COMPUTED_VALUE"""),TRUE)</f>
        <v>1</v>
      </c>
      <c r="H739" s="4" t="b">
        <f>IFERROR(__xludf.DUMMYFUNCTION("""COMPUTED_VALUE"""),FALSE)</f>
        <v>0</v>
      </c>
      <c r="I739" s="4">
        <f>IFERROR(__xludf.DUMMYFUNCTION("""COMPUTED_VALUE"""),0.24646185185185185)</f>
        <v>0.2464618519</v>
      </c>
      <c r="J739" s="4">
        <f>IFERROR(__xludf.DUMMYFUNCTION("""COMPUTED_VALUE"""),45949.25752674628)</f>
        <v>45949.25753</v>
      </c>
      <c r="K739" s="4">
        <f>IFERROR(__xludf.DUMMYFUNCTION("""COMPUTED_VALUE"""),45949.28307188137)</f>
        <v>45949.28307</v>
      </c>
      <c r="L739" s="4">
        <f>IFERROR(__xludf.DUMMYFUNCTION("""COMPUTED_VALUE"""),45949.29036615738)</f>
        <v>45949.29037</v>
      </c>
      <c r="M739" s="1" t="str">
        <f>IFERROR(__xludf.DUMMYFUNCTION("""COMPUTED_VALUE"""),"RFID")</f>
        <v>RFID</v>
      </c>
      <c r="N739" s="5">
        <f>IFERROR(__xludf.DUMMYFUNCTION("""COMPUTED_VALUE"""),0.004425958333333333)</f>
        <v>0.004425958333</v>
      </c>
      <c r="O739" s="5">
        <f>IFERROR(__xludf.DUMMYFUNCTION("""COMPUTED_VALUE"""),0.010218055555555555)</f>
        <v>0.01021805556</v>
      </c>
      <c r="P739" s="5">
        <f>IFERROR(__xludf.DUMMYFUNCTION("""COMPUTED_VALUE"""),0.0030017596744470404)</f>
        <v>0.003001759674</v>
      </c>
      <c r="Q739" s="5">
        <f>IFERROR(__xludf.DUMMYFUNCTION("""COMPUTED_VALUE"""),0.004390430555555555)</f>
        <v>0.004390430556</v>
      </c>
      <c r="R739" s="4">
        <f>IFERROR(__xludf.DUMMYFUNCTION("""COMPUTED_VALUE"""),45949.04390430553)</f>
        <v>45949.0439</v>
      </c>
      <c r="S739" s="1" t="b">
        <f>IFERROR(__xludf.DUMMYFUNCTION("""COMPUTED_VALUE"""),TRUE)</f>
        <v>1</v>
      </c>
      <c r="T739" s="1" t="b">
        <f>IFERROR(__xludf.DUMMYFUNCTION("""COMPUTED_VALUE"""),FALSE)</f>
        <v>0</v>
      </c>
      <c r="U739" s="1" t="str">
        <f>IFERROR(__xludf.DUMMYFUNCTION("""COMPUTED_VALUE"""),"VALID")</f>
        <v>VALID</v>
      </c>
      <c r="V739" s="1">
        <f>IFERROR(__xludf.DUMMYFUNCTION("""COMPUTED_VALUE"""),186.0)</f>
        <v>186</v>
      </c>
      <c r="W739" s="1">
        <f>IFERROR(__xludf.DUMMYFUNCTION("""COMPUTED_VALUE"""),222.0)</f>
        <v>222</v>
      </c>
      <c r="X739" s="1">
        <f>IFERROR(__xludf.DUMMYFUNCTION("""COMPUTED_VALUE"""),1144.0)</f>
        <v>1144</v>
      </c>
      <c r="Y739" s="2"/>
      <c r="Z739" s="2"/>
    </row>
    <row r="740">
      <c r="A740" s="1">
        <f>IFERROR(__xludf.DUMMYFUNCTION("""COMPUTED_VALUE"""),739.0)</f>
        <v>739</v>
      </c>
      <c r="B740" s="1">
        <f>IFERROR(__xludf.DUMMYFUNCTION("""COMPUTED_VALUE"""),10634.0)</f>
        <v>10634</v>
      </c>
      <c r="C740" s="2" t="str">
        <f>IFERROR(__xludf.DUMMYFUNCTION("""COMPUTED_VALUE"""),"Tantowi")</f>
        <v>Tantowi</v>
      </c>
      <c r="D740" s="2" t="str">
        <f>IFERROR(__xludf.DUMMYFUNCTION("""COMPUTED_VALUE"""),"10KM OVERALL M")</f>
        <v>10KM OVERALL M</v>
      </c>
      <c r="E740" s="1">
        <f>IFERROR(__xludf.DUMMYFUNCTION("""COMPUTED_VALUE"""),1.0)</f>
        <v>1</v>
      </c>
      <c r="F740" s="1" t="str">
        <f>IFERROR(__xludf.DUMMYFUNCTION("""COMPUTED_VALUE"""),"Male")</f>
        <v>Male</v>
      </c>
      <c r="G740" s="4" t="b">
        <f>IFERROR(__xludf.DUMMYFUNCTION("""COMPUTED_VALUE"""),TRUE)</f>
        <v>1</v>
      </c>
      <c r="H740" s="4" t="b">
        <f>IFERROR(__xludf.DUMMYFUNCTION("""COMPUTED_VALUE"""),TRUE)</f>
        <v>1</v>
      </c>
      <c r="I740" s="4">
        <f>IFERROR(__xludf.DUMMYFUNCTION("""COMPUTED_VALUE"""),0.24646185185185185)</f>
        <v>0.2464618519</v>
      </c>
      <c r="J740" s="4">
        <f>IFERROR(__xludf.DUMMYFUNCTION("""COMPUTED_VALUE"""),45949.256693390824)</f>
        <v>45949.25669</v>
      </c>
      <c r="K740" s="4">
        <f>IFERROR(__xludf.DUMMYFUNCTION("""COMPUTED_VALUE"""),45949.28842284825)</f>
        <v>45949.28842</v>
      </c>
      <c r="L740" s="4">
        <f>IFERROR(__xludf.DUMMYFUNCTION("""COMPUTED_VALUE"""),45949.298706464644)</f>
        <v>45949.29871</v>
      </c>
      <c r="M740" s="1" t="str">
        <f>IFERROR(__xludf.DUMMYFUNCTION("""COMPUTED_VALUE"""),"RFID")</f>
        <v>RFID</v>
      </c>
      <c r="N740" s="5">
        <f>IFERROR(__xludf.DUMMYFUNCTION("""COMPUTED_VALUE"""),0.00409261574074074)</f>
        <v>0.004092615741</v>
      </c>
      <c r="O740" s="5">
        <f>IFERROR(__xludf.DUMMYFUNCTION("""COMPUTED_VALUE"""),0.012691782407407409)</f>
        <v>0.01269178241</v>
      </c>
      <c r="P740" s="5">
        <f>IFERROR(__xludf.DUMMYFUNCTION("""COMPUTED_VALUE"""),0.0042319409025846424)</f>
        <v>0.004231940903</v>
      </c>
      <c r="Q740" s="5">
        <f>IFERROR(__xludf.DUMMYFUNCTION("""COMPUTED_VALUE"""),0.005224461805555556)</f>
        <v>0.005224461806</v>
      </c>
      <c r="R740" s="4">
        <f>IFERROR(__xludf.DUMMYFUNCTION("""COMPUTED_VALUE"""),45949.052244612794)</f>
        <v>45949.05224</v>
      </c>
      <c r="S740" s="1" t="b">
        <f>IFERROR(__xludf.DUMMYFUNCTION("""COMPUTED_VALUE"""),TRUE)</f>
        <v>1</v>
      </c>
      <c r="T740" s="1" t="b">
        <f>IFERROR(__xludf.DUMMYFUNCTION("""COMPUTED_VALUE"""),FALSE)</f>
        <v>0</v>
      </c>
      <c r="U740" s="1" t="str">
        <f>IFERROR(__xludf.DUMMYFUNCTION("""COMPUTED_VALUE"""),"VALID")</f>
        <v>VALID</v>
      </c>
      <c r="V740" s="1">
        <f>IFERROR(__xludf.DUMMYFUNCTION("""COMPUTED_VALUE"""),393.0)</f>
        <v>393</v>
      </c>
      <c r="W740" s="1">
        <f>IFERROR(__xludf.DUMMYFUNCTION("""COMPUTED_VALUE"""),467.0)</f>
        <v>467</v>
      </c>
      <c r="X740" s="1">
        <f>IFERROR(__xludf.DUMMYFUNCTION("""COMPUTED_VALUE"""),1444.0)</f>
        <v>1444</v>
      </c>
      <c r="Y740" s="2"/>
      <c r="Z740" s="2"/>
    </row>
    <row r="741">
      <c r="A741" s="1">
        <f>IFERROR(__xludf.DUMMYFUNCTION("""COMPUTED_VALUE"""),740.0)</f>
        <v>740</v>
      </c>
      <c r="B741" s="1">
        <f>IFERROR(__xludf.DUMMYFUNCTION("""COMPUTED_VALUE"""),10635.0)</f>
        <v>10635</v>
      </c>
      <c r="C741" s="2" t="str">
        <f>IFERROR(__xludf.DUMMYFUNCTION("""COMPUTED_VALUE"""),"AHMAD")</f>
        <v>AHMAD</v>
      </c>
      <c r="D741" s="2" t="str">
        <f>IFERROR(__xludf.DUMMYFUNCTION("""COMPUTED_VALUE"""),"10KM OVERALL M")</f>
        <v>10KM OVERALL M</v>
      </c>
      <c r="E741" s="1">
        <f>IFERROR(__xludf.DUMMYFUNCTION("""COMPUTED_VALUE"""),1.0)</f>
        <v>1</v>
      </c>
      <c r="F741" s="1" t="str">
        <f>IFERROR(__xludf.DUMMYFUNCTION("""COMPUTED_VALUE"""),"Male")</f>
        <v>Male</v>
      </c>
      <c r="G741" s="4" t="b">
        <f>IFERROR(__xludf.DUMMYFUNCTION("""COMPUTED_VALUE"""),TRUE)</f>
        <v>1</v>
      </c>
      <c r="H741" s="4" t="b">
        <f>IFERROR(__xludf.DUMMYFUNCTION("""COMPUTED_VALUE"""),TRUE)</f>
        <v>1</v>
      </c>
      <c r="I741" s="4">
        <f>IFERROR(__xludf.DUMMYFUNCTION("""COMPUTED_VALUE"""),0.24646185185185185)</f>
        <v>0.2464618519</v>
      </c>
      <c r="J741" s="4">
        <f>IFERROR(__xludf.DUMMYFUNCTION("""COMPUTED_VALUE"""),45949.254384386324)</f>
        <v>45949.25438</v>
      </c>
      <c r="K741" s="4">
        <f>IFERROR(__xludf.DUMMYFUNCTION("""COMPUTED_VALUE"""),45949.27596929606)</f>
        <v>45949.27597</v>
      </c>
      <c r="L741" s="4">
        <f>IFERROR(__xludf.DUMMYFUNCTION("""COMPUTED_VALUE"""),45949.28244948863)</f>
        <v>45949.28245</v>
      </c>
      <c r="M741" s="1" t="str">
        <f>IFERROR(__xludf.DUMMYFUNCTION("""COMPUTED_VALUE"""),"RFID")</f>
        <v>RFID</v>
      </c>
      <c r="N741" s="5">
        <f>IFERROR(__xludf.DUMMYFUNCTION("""COMPUTED_VALUE"""),0.0031690138888888887)</f>
        <v>0.003169013889</v>
      </c>
      <c r="O741" s="5">
        <f>IFERROR(__xludf.DUMMYFUNCTION("""COMPUTED_VALUE"""),0.008633962962962963)</f>
        <v>0.008633962963</v>
      </c>
      <c r="P741" s="5">
        <f>IFERROR(__xludf.DUMMYFUNCTION("""COMPUTED_VALUE"""),0.002666745913227437)</f>
        <v>0.002666745913</v>
      </c>
      <c r="Q741" s="5">
        <f>IFERROR(__xludf.DUMMYFUNCTION("""COMPUTED_VALUE"""),0.0035987638888888888)</f>
        <v>0.003598763889</v>
      </c>
      <c r="R741" s="4">
        <f>IFERROR(__xludf.DUMMYFUNCTION("""COMPUTED_VALUE"""),45949.03598763678)</f>
        <v>45949.03599</v>
      </c>
      <c r="S741" s="1" t="b">
        <f>IFERROR(__xludf.DUMMYFUNCTION("""COMPUTED_VALUE"""),TRUE)</f>
        <v>1</v>
      </c>
      <c r="T741" s="1" t="b">
        <f>IFERROR(__xludf.DUMMYFUNCTION("""COMPUTED_VALUE"""),FALSE)</f>
        <v>0</v>
      </c>
      <c r="U741" s="1" t="str">
        <f>IFERROR(__xludf.DUMMYFUNCTION("""COMPUTED_VALUE"""),"VALID")</f>
        <v>VALID</v>
      </c>
      <c r="V741" s="1">
        <f>IFERROR(__xludf.DUMMYFUNCTION("""COMPUTED_VALUE"""),43.0)</f>
        <v>43</v>
      </c>
      <c r="W741" s="1">
        <f>IFERROR(__xludf.DUMMYFUNCTION("""COMPUTED_VALUE"""),55.0)</f>
        <v>55</v>
      </c>
      <c r="X741" s="1">
        <f>IFERROR(__xludf.DUMMYFUNCTION("""COMPUTED_VALUE"""),778.0)</f>
        <v>778</v>
      </c>
      <c r="Y741" s="2"/>
      <c r="Z741" s="2"/>
    </row>
    <row r="742">
      <c r="A742" s="1">
        <f>IFERROR(__xludf.DUMMYFUNCTION("""COMPUTED_VALUE"""),741.0)</f>
        <v>741</v>
      </c>
      <c r="B742" s="1">
        <f>IFERROR(__xludf.DUMMYFUNCTION("""COMPUTED_VALUE"""),10636.0)</f>
        <v>10636</v>
      </c>
      <c r="C742" s="2" t="str">
        <f>IFERROR(__xludf.DUMMYFUNCTION("""COMPUTED_VALUE"""),"RIYAL YUDISTIRA")</f>
        <v>RIYAL YUDISTIRA</v>
      </c>
      <c r="D742" s="2" t="str">
        <f>IFERROR(__xludf.DUMMYFUNCTION("""COMPUTED_VALUE"""),"10KM OVERALL M")</f>
        <v>10KM OVERALL M</v>
      </c>
      <c r="E742" s="1">
        <f>IFERROR(__xludf.DUMMYFUNCTION("""COMPUTED_VALUE"""),1.0)</f>
        <v>1</v>
      </c>
      <c r="F742" s="1" t="str">
        <f>IFERROR(__xludf.DUMMYFUNCTION("""COMPUTED_VALUE"""),"Male")</f>
        <v>Male</v>
      </c>
      <c r="G742" s="4" t="b">
        <f>IFERROR(__xludf.DUMMYFUNCTION("""COMPUTED_VALUE"""),TRUE)</f>
        <v>1</v>
      </c>
      <c r="H742" s="4" t="b">
        <f>IFERROR(__xludf.DUMMYFUNCTION("""COMPUTED_VALUE"""),TRUE)</f>
        <v>1</v>
      </c>
      <c r="I742" s="4">
        <f>IFERROR(__xludf.DUMMYFUNCTION("""COMPUTED_VALUE"""),0.24646185185185185)</f>
        <v>0.2464618519</v>
      </c>
      <c r="J742" s="4">
        <f>IFERROR(__xludf.DUMMYFUNCTION("""COMPUTED_VALUE"""),45949.2575475207)</f>
        <v>45949.25755</v>
      </c>
      <c r="K742" s="4">
        <f>IFERROR(__xludf.DUMMYFUNCTION("""COMPUTED_VALUE"""),45949.28305102087)</f>
        <v>45949.28305</v>
      </c>
      <c r="L742" s="4">
        <f>IFERROR(__xludf.DUMMYFUNCTION("""COMPUTED_VALUE"""),45949.28892517183)</f>
        <v>45949.28893</v>
      </c>
      <c r="M742" s="1" t="str">
        <f>IFERROR(__xludf.DUMMYFUNCTION("""COMPUTED_VALUE"""),"RFID")</f>
        <v>RFID</v>
      </c>
      <c r="N742" s="5">
        <f>IFERROR(__xludf.DUMMYFUNCTION("""COMPUTED_VALUE"""),0.004434268518518519)</f>
        <v>0.004434268519</v>
      </c>
      <c r="O742" s="5">
        <f>IFERROR(__xludf.DUMMYFUNCTION("""COMPUTED_VALUE"""),0.010201398148148149)</f>
        <v>0.01020139815</v>
      </c>
      <c r="P742" s="5">
        <f>IFERROR(__xludf.DUMMYFUNCTION("""COMPUTED_VALUE"""),0.0024173460726400094)</f>
        <v>0.002417346073</v>
      </c>
      <c r="Q742" s="5">
        <f>IFERROR(__xludf.DUMMYFUNCTION("""COMPUTED_VALUE"""),0.004246332175925926)</f>
        <v>0.004246332176</v>
      </c>
      <c r="R742" s="4">
        <f>IFERROR(__xludf.DUMMYFUNCTION("""COMPUTED_VALUE"""),45949.04246331998)</f>
        <v>45949.04246</v>
      </c>
      <c r="S742" s="1" t="b">
        <f>IFERROR(__xludf.DUMMYFUNCTION("""COMPUTED_VALUE"""),TRUE)</f>
        <v>1</v>
      </c>
      <c r="T742" s="1" t="b">
        <f>IFERROR(__xludf.DUMMYFUNCTION("""COMPUTED_VALUE"""),FALSE)</f>
        <v>0</v>
      </c>
      <c r="U742" s="1" t="str">
        <f>IFERROR(__xludf.DUMMYFUNCTION("""COMPUTED_VALUE"""),"VALID")</f>
        <v>VALID</v>
      </c>
      <c r="V742" s="1">
        <f>IFERROR(__xludf.DUMMYFUNCTION("""COMPUTED_VALUE"""),156.0)</f>
        <v>156</v>
      </c>
      <c r="W742" s="1">
        <f>IFERROR(__xludf.DUMMYFUNCTION("""COMPUTED_VALUE"""),183.0)</f>
        <v>183</v>
      </c>
      <c r="X742" s="1">
        <f>IFERROR(__xludf.DUMMYFUNCTION("""COMPUTED_VALUE"""),1085.0)</f>
        <v>1085</v>
      </c>
      <c r="Y742" s="2"/>
      <c r="Z742" s="2"/>
    </row>
    <row r="743">
      <c r="A743" s="1">
        <f>IFERROR(__xludf.DUMMYFUNCTION("""COMPUTED_VALUE"""),742.0)</f>
        <v>742</v>
      </c>
      <c r="B743" s="1">
        <f>IFERROR(__xludf.DUMMYFUNCTION("""COMPUTED_VALUE"""),10637.0)</f>
        <v>10637</v>
      </c>
      <c r="C743" s="2" t="str">
        <f>IFERROR(__xludf.DUMMYFUNCTION("""COMPUTED_VALUE"""),"raditeru")</f>
        <v>raditeru</v>
      </c>
      <c r="D743" s="2" t="str">
        <f>IFERROR(__xludf.DUMMYFUNCTION("""COMPUTED_VALUE"""),"10KM OVERALL M")</f>
        <v>10KM OVERALL M</v>
      </c>
      <c r="E743" s="1">
        <f>IFERROR(__xludf.DUMMYFUNCTION("""COMPUTED_VALUE"""),1.0)</f>
        <v>1</v>
      </c>
      <c r="F743" s="1" t="str">
        <f>IFERROR(__xludf.DUMMYFUNCTION("""COMPUTED_VALUE"""),"Male")</f>
        <v>Male</v>
      </c>
      <c r="G743" s="4" t="b">
        <f>IFERROR(__xludf.DUMMYFUNCTION("""COMPUTED_VALUE"""),TRUE)</f>
        <v>1</v>
      </c>
      <c r="H743" s="4" t="b">
        <f>IFERROR(__xludf.DUMMYFUNCTION("""COMPUTED_VALUE"""),TRUE)</f>
        <v>1</v>
      </c>
      <c r="I743" s="4">
        <f>IFERROR(__xludf.DUMMYFUNCTION("""COMPUTED_VALUE"""),0.24646185185185185)</f>
        <v>0.2464618519</v>
      </c>
      <c r="J743" s="4">
        <f>IFERROR(__xludf.DUMMYFUNCTION("""COMPUTED_VALUE"""),45949.257037126416)</f>
        <v>45949.25704</v>
      </c>
      <c r="K743" s="4">
        <f>IFERROR(__xludf.DUMMYFUNCTION("""COMPUTED_VALUE"""),45949.28666909629)</f>
        <v>45949.28667</v>
      </c>
      <c r="L743" s="4">
        <f>IFERROR(__xludf.DUMMYFUNCTION("""COMPUTED_VALUE"""),45949.295331890266)</f>
        <v>45949.29533</v>
      </c>
      <c r="M743" s="1" t="str">
        <f>IFERROR(__xludf.DUMMYFUNCTION("""COMPUTED_VALUE"""),"RFID")</f>
        <v>RFID</v>
      </c>
      <c r="N743" s="5">
        <f>IFERROR(__xludf.DUMMYFUNCTION("""COMPUTED_VALUE"""),0.004230111111111111)</f>
        <v>0.004230111111</v>
      </c>
      <c r="O743" s="5">
        <f>IFERROR(__xludf.DUMMYFUNCTION("""COMPUTED_VALUE"""),0.011852787037037038)</f>
        <v>0.01185278704</v>
      </c>
      <c r="P743" s="5">
        <f>IFERROR(__xludf.DUMMYFUNCTION("""COMPUTED_VALUE"""),0.0035649357919788193)</f>
        <v>0.003564935792</v>
      </c>
      <c r="Q743" s="5">
        <f>IFERROR(__xludf.DUMMYFUNCTION("""COMPUTED_VALUE"""),0.004887003472222222)</f>
        <v>0.004887003472</v>
      </c>
      <c r="R743" s="4">
        <f>IFERROR(__xludf.DUMMYFUNCTION("""COMPUTED_VALUE"""),45949.048870038416)</f>
        <v>45949.04887</v>
      </c>
      <c r="S743" s="1" t="b">
        <f>IFERROR(__xludf.DUMMYFUNCTION("""COMPUTED_VALUE"""),TRUE)</f>
        <v>1</v>
      </c>
      <c r="T743" s="1" t="b">
        <f>IFERROR(__xludf.DUMMYFUNCTION("""COMPUTED_VALUE"""),FALSE)</f>
        <v>0</v>
      </c>
      <c r="U743" s="1" t="str">
        <f>IFERROR(__xludf.DUMMYFUNCTION("""COMPUTED_VALUE"""),"VALID")</f>
        <v>VALID</v>
      </c>
      <c r="V743" s="1">
        <f>IFERROR(__xludf.DUMMYFUNCTION("""COMPUTED_VALUE"""),305.0)</f>
        <v>305</v>
      </c>
      <c r="W743" s="1">
        <f>IFERROR(__xludf.DUMMYFUNCTION("""COMPUTED_VALUE"""),361.0)</f>
        <v>361</v>
      </c>
      <c r="X743" s="1">
        <f>IFERROR(__xludf.DUMMYFUNCTION("""COMPUTED_VALUE"""),1334.0)</f>
        <v>1334</v>
      </c>
      <c r="Y743" s="2"/>
      <c r="Z743" s="2"/>
    </row>
    <row r="744">
      <c r="A744" s="1">
        <f>IFERROR(__xludf.DUMMYFUNCTION("""COMPUTED_VALUE"""),743.0)</f>
        <v>743</v>
      </c>
      <c r="B744" s="1">
        <f>IFERROR(__xludf.DUMMYFUNCTION("""COMPUTED_VALUE"""),10638.0)</f>
        <v>10638</v>
      </c>
      <c r="C744" s="2" t="str">
        <f>IFERROR(__xludf.DUMMYFUNCTION("""COMPUTED_VALUE"""),"ZUNED")</f>
        <v>ZUNED</v>
      </c>
      <c r="D744" s="2" t="str">
        <f>IFERROR(__xludf.DUMMYFUNCTION("""COMPUTED_VALUE"""),"10KM OVERALL M")</f>
        <v>10KM OVERALL M</v>
      </c>
      <c r="E744" s="1">
        <f>IFERROR(__xludf.DUMMYFUNCTION("""COMPUTED_VALUE"""),1.0)</f>
        <v>1</v>
      </c>
      <c r="F744" s="1" t="str">
        <f>IFERROR(__xludf.DUMMYFUNCTION("""COMPUTED_VALUE"""),"Male")</f>
        <v>Male</v>
      </c>
      <c r="G744" s="4" t="str">
        <f>IFERROR(__xludf.DUMMYFUNCTION("""COMPUTED_VALUE"""),"")</f>
        <v/>
      </c>
      <c r="H744" s="4" t="b">
        <f>IFERROR(__xludf.DUMMYFUNCTION("""COMPUTED_VALUE"""),FALSE)</f>
        <v>0</v>
      </c>
      <c r="I744" s="4">
        <f>IFERROR(__xludf.DUMMYFUNCTION("""COMPUTED_VALUE"""),0.24646185185185185)</f>
        <v>0.2464618519</v>
      </c>
      <c r="J744" s="4" t="str">
        <f>IFERROR(__xludf.DUMMYFUNCTION("""COMPUTED_VALUE"""),"")</f>
        <v/>
      </c>
      <c r="K744" s="4" t="str">
        <f>IFERROR(__xludf.DUMMYFUNCTION("""COMPUTED_VALUE"""),"")</f>
        <v/>
      </c>
      <c r="L744" s="4" t="str">
        <f>IFERROR(__xludf.DUMMYFUNCTION("""COMPUTED_VALUE"""),"")</f>
        <v/>
      </c>
      <c r="M744" s="1" t="str">
        <f>IFERROR(__xludf.DUMMYFUNCTION("""COMPUTED_VALUE"""),"RFID")</f>
        <v>RFID</v>
      </c>
      <c r="N744" s="5" t="str">
        <f>IFERROR(__xludf.DUMMYFUNCTION("""COMPUTED_VALUE"""),"")</f>
        <v/>
      </c>
      <c r="O744" s="5" t="str">
        <f>IFERROR(__xludf.DUMMYFUNCTION("""COMPUTED_VALUE"""),"")</f>
        <v/>
      </c>
      <c r="P744" s="5" t="str">
        <f>IFERROR(__xludf.DUMMYFUNCTION("""COMPUTED_VALUE"""),"")</f>
        <v/>
      </c>
      <c r="Q744" s="5" t="str">
        <f>IFERROR(__xludf.DUMMYFUNCTION("""COMPUTED_VALUE"""),"")</f>
        <v/>
      </c>
      <c r="R744" s="4" t="str">
        <f>IFERROR(__xludf.DUMMYFUNCTION("""COMPUTED_VALUE"""),"")</f>
        <v/>
      </c>
      <c r="S744" s="1" t="b">
        <f>IFERROR(__xludf.DUMMYFUNCTION("""COMPUTED_VALUE"""),FALSE)</f>
        <v>0</v>
      </c>
      <c r="T744" s="1" t="b">
        <f>IFERROR(__xludf.DUMMYFUNCTION("""COMPUTED_VALUE"""),FALSE)</f>
        <v>0</v>
      </c>
      <c r="U744" s="1" t="str">
        <f>IFERROR(__xludf.DUMMYFUNCTION("""COMPUTED_VALUE"""),"DSQ")</f>
        <v>DSQ</v>
      </c>
      <c r="V744" s="1" t="str">
        <f>IFERROR(__xludf.DUMMYFUNCTION("""COMPUTED_VALUE"""),"DSQ")</f>
        <v>DSQ</v>
      </c>
      <c r="W744" s="1" t="str">
        <f>IFERROR(__xludf.DUMMYFUNCTION("""COMPUTED_VALUE"""),"DSQ")</f>
        <v>DSQ</v>
      </c>
      <c r="X744" s="1" t="str">
        <f>IFERROR(__xludf.DUMMYFUNCTION("""COMPUTED_VALUE"""),"DSQ")</f>
        <v>DSQ</v>
      </c>
      <c r="Y744" s="2"/>
      <c r="Z744" s="2" t="str">
        <f>IFERROR(__xludf.DUMMYFUNCTION("""COMPUTED_VALUE"""),"")</f>
        <v/>
      </c>
    </row>
    <row r="745">
      <c r="A745" s="1">
        <f>IFERROR(__xludf.DUMMYFUNCTION("""COMPUTED_VALUE"""),744.0)</f>
        <v>744</v>
      </c>
      <c r="B745" s="1">
        <f>IFERROR(__xludf.DUMMYFUNCTION("""COMPUTED_VALUE"""),10639.0)</f>
        <v>10639</v>
      </c>
      <c r="C745" s="2" t="str">
        <f>IFERROR(__xludf.DUMMYFUNCTION("""COMPUTED_VALUE"""),"ndaru")</f>
        <v>ndaru</v>
      </c>
      <c r="D745" s="2" t="str">
        <f>IFERROR(__xludf.DUMMYFUNCTION("""COMPUTED_VALUE"""),"10KM OVERALL M")</f>
        <v>10KM OVERALL M</v>
      </c>
      <c r="E745" s="1">
        <f>IFERROR(__xludf.DUMMYFUNCTION("""COMPUTED_VALUE"""),1.0)</f>
        <v>1</v>
      </c>
      <c r="F745" s="1" t="str">
        <f>IFERROR(__xludf.DUMMYFUNCTION("""COMPUTED_VALUE"""),"Male")</f>
        <v>Male</v>
      </c>
      <c r="G745" s="4" t="b">
        <f>IFERROR(__xludf.DUMMYFUNCTION("""COMPUTED_VALUE"""),TRUE)</f>
        <v>1</v>
      </c>
      <c r="H745" s="4" t="b">
        <f>IFERROR(__xludf.DUMMYFUNCTION("""COMPUTED_VALUE"""),TRUE)</f>
        <v>1</v>
      </c>
      <c r="I745" s="4">
        <f>IFERROR(__xludf.DUMMYFUNCTION("""COMPUTED_VALUE"""),0.24646185185185185)</f>
        <v>0.2464618519</v>
      </c>
      <c r="J745" s="4">
        <f>IFERROR(__xludf.DUMMYFUNCTION("""COMPUTED_VALUE"""),45949.255801014806)</f>
        <v>45949.2558</v>
      </c>
      <c r="K745" s="4">
        <f>IFERROR(__xludf.DUMMYFUNCTION("""COMPUTED_VALUE"""),45949.28024281786)</f>
        <v>45949.28024</v>
      </c>
      <c r="L745" s="4">
        <f>IFERROR(__xludf.DUMMYFUNCTION("""COMPUTED_VALUE"""),45949.287261993755)</f>
        <v>45949.28726</v>
      </c>
      <c r="M745" s="1" t="str">
        <f>IFERROR(__xludf.DUMMYFUNCTION("""COMPUTED_VALUE"""),"RFID")</f>
        <v>RFID</v>
      </c>
      <c r="N745" s="5">
        <f>IFERROR(__xludf.DUMMYFUNCTION("""COMPUTED_VALUE"""),0.003735666666666667)</f>
        <v>0.003735666667</v>
      </c>
      <c r="O745" s="5">
        <f>IFERROR(__xludf.DUMMYFUNCTION("""COMPUTED_VALUE"""),0.009776722222222221)</f>
        <v>0.009776722222</v>
      </c>
      <c r="P745" s="5">
        <f>IFERROR(__xludf.DUMMYFUNCTION("""COMPUTED_VALUE"""),0.0028885497502961536)</f>
        <v>0.00288854975</v>
      </c>
      <c r="Q745" s="5">
        <f>IFERROR(__xludf.DUMMYFUNCTION("""COMPUTED_VALUE"""),0.004080013888888889)</f>
        <v>0.004080013889</v>
      </c>
      <c r="R745" s="4">
        <f>IFERROR(__xludf.DUMMYFUNCTION("""COMPUTED_VALUE"""),45949.040800141905)</f>
        <v>45949.0408</v>
      </c>
      <c r="S745" s="1" t="b">
        <f>IFERROR(__xludf.DUMMYFUNCTION("""COMPUTED_VALUE"""),TRUE)</f>
        <v>1</v>
      </c>
      <c r="T745" s="1" t="b">
        <f>IFERROR(__xludf.DUMMYFUNCTION("""COMPUTED_VALUE"""),FALSE)</f>
        <v>0</v>
      </c>
      <c r="U745" s="1" t="str">
        <f>IFERROR(__xludf.DUMMYFUNCTION("""COMPUTED_VALUE"""),"VALID")</f>
        <v>VALID</v>
      </c>
      <c r="V745" s="1">
        <f>IFERROR(__xludf.DUMMYFUNCTION("""COMPUTED_VALUE"""),116.0)</f>
        <v>116</v>
      </c>
      <c r="W745" s="1">
        <f>IFERROR(__xludf.DUMMYFUNCTION("""COMPUTED_VALUE"""),139.0)</f>
        <v>139</v>
      </c>
      <c r="X745" s="1">
        <f>IFERROR(__xludf.DUMMYFUNCTION("""COMPUTED_VALUE"""),1013.0)</f>
        <v>1013</v>
      </c>
      <c r="Y745" s="2"/>
      <c r="Z745" s="2"/>
    </row>
    <row r="746">
      <c r="A746" s="1">
        <f>IFERROR(__xludf.DUMMYFUNCTION("""COMPUTED_VALUE"""),745.0)</f>
        <v>745</v>
      </c>
      <c r="B746" s="1">
        <f>IFERROR(__xludf.DUMMYFUNCTION("""COMPUTED_VALUE"""),10640.0)</f>
        <v>10640</v>
      </c>
      <c r="C746" s="2" t="str">
        <f>IFERROR(__xludf.DUMMYFUNCTION("""COMPUTED_VALUE"""),"Jumadil")</f>
        <v>Jumadil</v>
      </c>
      <c r="D746" s="2" t="str">
        <f>IFERROR(__xludf.DUMMYFUNCTION("""COMPUTED_VALUE"""),"10KM OVERALL M")</f>
        <v>10KM OVERALL M</v>
      </c>
      <c r="E746" s="1">
        <f>IFERROR(__xludf.DUMMYFUNCTION("""COMPUTED_VALUE"""),1.0)</f>
        <v>1</v>
      </c>
      <c r="F746" s="1" t="str">
        <f>IFERROR(__xludf.DUMMYFUNCTION("""COMPUTED_VALUE"""),"Male")</f>
        <v>Male</v>
      </c>
      <c r="G746" s="4" t="b">
        <f>IFERROR(__xludf.DUMMYFUNCTION("""COMPUTED_VALUE"""),TRUE)</f>
        <v>1</v>
      </c>
      <c r="H746" s="4" t="b">
        <f>IFERROR(__xludf.DUMMYFUNCTION("""COMPUTED_VALUE"""),TRUE)</f>
        <v>1</v>
      </c>
      <c r="I746" s="4">
        <f>IFERROR(__xludf.DUMMYFUNCTION("""COMPUTED_VALUE"""),0.24646185185185185)</f>
        <v>0.2464618519</v>
      </c>
      <c r="J746" s="4">
        <f>IFERROR(__xludf.DUMMYFUNCTION("""COMPUTED_VALUE"""),45949.259353097004)</f>
        <v>45949.25935</v>
      </c>
      <c r="K746" s="4">
        <f>IFERROR(__xludf.DUMMYFUNCTION("""COMPUTED_VALUE"""),45949.29179783296)</f>
        <v>45949.2918</v>
      </c>
      <c r="L746" s="4">
        <f>IFERROR(__xludf.DUMMYFUNCTION("""COMPUTED_VALUE"""),45949.30100851131)</f>
        <v>45949.30101</v>
      </c>
      <c r="M746" s="1" t="str">
        <f>IFERROR(__xludf.DUMMYFUNCTION("""COMPUTED_VALUE"""),"RFID")</f>
        <v>RFID</v>
      </c>
      <c r="N746" s="5">
        <f>IFERROR(__xludf.DUMMYFUNCTION("""COMPUTED_VALUE"""),0.0051565000000000005)</f>
        <v>0.0051565</v>
      </c>
      <c r="O746" s="5">
        <f>IFERROR(__xludf.DUMMYFUNCTION("""COMPUTED_VALUE"""),0.012977893518518519)</f>
        <v>0.01297789352</v>
      </c>
      <c r="P746" s="5">
        <f>IFERROR(__xludf.DUMMYFUNCTION("""COMPUTED_VALUE"""),0.003790402615590427)</f>
        <v>0.003790402616</v>
      </c>
      <c r="Q746" s="5">
        <f>IFERROR(__xludf.DUMMYFUNCTION("""COMPUTED_VALUE"""),0.005454665509259259)</f>
        <v>0.005454665509</v>
      </c>
      <c r="R746" s="4">
        <f>IFERROR(__xludf.DUMMYFUNCTION("""COMPUTED_VALUE"""),45949.05454665946)</f>
        <v>45949.05455</v>
      </c>
      <c r="S746" s="1" t="b">
        <f>IFERROR(__xludf.DUMMYFUNCTION("""COMPUTED_VALUE"""),TRUE)</f>
        <v>1</v>
      </c>
      <c r="T746" s="1" t="b">
        <f>IFERROR(__xludf.DUMMYFUNCTION("""COMPUTED_VALUE"""),FALSE)</f>
        <v>0</v>
      </c>
      <c r="U746" s="1" t="str">
        <f>IFERROR(__xludf.DUMMYFUNCTION("""COMPUTED_VALUE"""),"VALID")</f>
        <v>VALID</v>
      </c>
      <c r="V746" s="1">
        <f>IFERROR(__xludf.DUMMYFUNCTION("""COMPUTED_VALUE"""),450.0)</f>
        <v>450</v>
      </c>
      <c r="W746" s="1">
        <f>IFERROR(__xludf.DUMMYFUNCTION("""COMPUTED_VALUE"""),534.0)</f>
        <v>534</v>
      </c>
      <c r="X746" s="1">
        <f>IFERROR(__xludf.DUMMYFUNCTION("""COMPUTED_VALUE"""),1511.0)</f>
        <v>1511</v>
      </c>
      <c r="Y746" s="2"/>
      <c r="Z746" s="2"/>
    </row>
    <row r="747">
      <c r="A747" s="1">
        <f>IFERROR(__xludf.DUMMYFUNCTION("""COMPUTED_VALUE"""),746.0)</f>
        <v>746</v>
      </c>
      <c r="B747" s="1">
        <f>IFERROR(__xludf.DUMMYFUNCTION("""COMPUTED_VALUE"""),10641.0)</f>
        <v>10641</v>
      </c>
      <c r="C747" s="2" t="str">
        <f>IFERROR(__xludf.DUMMYFUNCTION("""COMPUTED_VALUE"""),"NASIBDLUS_S")</f>
        <v>NASIBDLUS_S</v>
      </c>
      <c r="D747" s="2" t="str">
        <f>IFERROR(__xludf.DUMMYFUNCTION("""COMPUTED_VALUE"""),"10KM OVERALL M")</f>
        <v>10KM OVERALL M</v>
      </c>
      <c r="E747" s="1">
        <f>IFERROR(__xludf.DUMMYFUNCTION("""COMPUTED_VALUE"""),1.0)</f>
        <v>1</v>
      </c>
      <c r="F747" s="1" t="str">
        <f>IFERROR(__xludf.DUMMYFUNCTION("""COMPUTED_VALUE"""),"Male")</f>
        <v>Male</v>
      </c>
      <c r="G747" s="4" t="b">
        <f>IFERROR(__xludf.DUMMYFUNCTION("""COMPUTED_VALUE"""),TRUE)</f>
        <v>1</v>
      </c>
      <c r="H747" s="4" t="b">
        <f>IFERROR(__xludf.DUMMYFUNCTION("""COMPUTED_VALUE"""),FALSE)</f>
        <v>0</v>
      </c>
      <c r="I747" s="4">
        <f>IFERROR(__xludf.DUMMYFUNCTION("""COMPUTED_VALUE"""),0.24646185185185185)</f>
        <v>0.2464618519</v>
      </c>
      <c r="J747" s="4">
        <f>IFERROR(__xludf.DUMMYFUNCTION("""COMPUTED_VALUE"""),45949.25457182671)</f>
        <v>45949.25457</v>
      </c>
      <c r="K747" s="4">
        <f>IFERROR(__xludf.DUMMYFUNCTION("""COMPUTED_VALUE"""),45949.280044095074)</f>
        <v>45949.28004</v>
      </c>
      <c r="L747" s="4">
        <f>IFERROR(__xludf.DUMMYFUNCTION("""COMPUTED_VALUE"""),45949.287828471424)</f>
        <v>45949.28783</v>
      </c>
      <c r="M747" s="1" t="str">
        <f>IFERROR(__xludf.DUMMYFUNCTION("""COMPUTED_VALUE"""),"RFID")</f>
        <v>RFID</v>
      </c>
      <c r="N747" s="5">
        <f>IFERROR(__xludf.DUMMYFUNCTION("""COMPUTED_VALUE"""),0.003243990740740741)</f>
        <v>0.003243990741</v>
      </c>
      <c r="O747" s="5">
        <f>IFERROR(__xludf.DUMMYFUNCTION("""COMPUTED_VALUE"""),0.010188907407407407)</f>
        <v>0.01018890741</v>
      </c>
      <c r="P747" s="5">
        <f>IFERROR(__xludf.DUMMYFUNCTION("""COMPUTED_VALUE"""),0.0032034470576844695)</f>
        <v>0.003203447058</v>
      </c>
      <c r="Q747" s="5">
        <f>IFERROR(__xludf.DUMMYFUNCTION("""COMPUTED_VALUE"""),0.004136662037037038)</f>
        <v>0.004136662037</v>
      </c>
      <c r="R747" s="4">
        <f>IFERROR(__xludf.DUMMYFUNCTION("""COMPUTED_VALUE"""),45949.041366619575)</f>
        <v>45949.04137</v>
      </c>
      <c r="S747" s="1" t="b">
        <f>IFERROR(__xludf.DUMMYFUNCTION("""COMPUTED_VALUE"""),TRUE)</f>
        <v>1</v>
      </c>
      <c r="T747" s="1" t="b">
        <f>IFERROR(__xludf.DUMMYFUNCTION("""COMPUTED_VALUE"""),FALSE)</f>
        <v>0</v>
      </c>
      <c r="U747" s="1" t="str">
        <f>IFERROR(__xludf.DUMMYFUNCTION("""COMPUTED_VALUE"""),"VALID")</f>
        <v>VALID</v>
      </c>
      <c r="V747" s="1">
        <f>IFERROR(__xludf.DUMMYFUNCTION("""COMPUTED_VALUE"""),128.0)</f>
        <v>128</v>
      </c>
      <c r="W747" s="1">
        <f>IFERROR(__xludf.DUMMYFUNCTION("""COMPUTED_VALUE"""),152.0)</f>
        <v>152</v>
      </c>
      <c r="X747" s="1">
        <f>IFERROR(__xludf.DUMMYFUNCTION("""COMPUTED_VALUE"""),1034.0)</f>
        <v>1034</v>
      </c>
      <c r="Y747" s="2"/>
      <c r="Z747" s="2"/>
    </row>
    <row r="748">
      <c r="A748" s="1">
        <f>IFERROR(__xludf.DUMMYFUNCTION("""COMPUTED_VALUE"""),747.0)</f>
        <v>747</v>
      </c>
      <c r="B748" s="1">
        <f>IFERROR(__xludf.DUMMYFUNCTION("""COMPUTED_VALUE"""),10642.0)</f>
        <v>10642</v>
      </c>
      <c r="C748" s="2" t="str">
        <f>IFERROR(__xludf.DUMMYFUNCTION("""COMPUTED_VALUE"""),"Wira")</f>
        <v>Wira</v>
      </c>
      <c r="D748" s="2" t="str">
        <f>IFERROR(__xludf.DUMMYFUNCTION("""COMPUTED_VALUE"""),"10KM OVERALL M")</f>
        <v>10KM OVERALL M</v>
      </c>
      <c r="E748" s="1">
        <f>IFERROR(__xludf.DUMMYFUNCTION("""COMPUTED_VALUE"""),1.0)</f>
        <v>1</v>
      </c>
      <c r="F748" s="1" t="str">
        <f>IFERROR(__xludf.DUMMYFUNCTION("""COMPUTED_VALUE"""),"Male")</f>
        <v>Male</v>
      </c>
      <c r="G748" s="4" t="str">
        <f>IFERROR(__xludf.DUMMYFUNCTION("""COMPUTED_VALUE"""),"")</f>
        <v/>
      </c>
      <c r="H748" s="4" t="b">
        <f>IFERROR(__xludf.DUMMYFUNCTION("""COMPUTED_VALUE"""),FALSE)</f>
        <v>0</v>
      </c>
      <c r="I748" s="4">
        <f>IFERROR(__xludf.DUMMYFUNCTION("""COMPUTED_VALUE"""),0.24646185185185185)</f>
        <v>0.2464618519</v>
      </c>
      <c r="J748" s="4" t="str">
        <f>IFERROR(__xludf.DUMMYFUNCTION("""COMPUTED_VALUE"""),"")</f>
        <v/>
      </c>
      <c r="K748" s="4" t="str">
        <f>IFERROR(__xludf.DUMMYFUNCTION("""COMPUTED_VALUE"""),"")</f>
        <v/>
      </c>
      <c r="L748" s="4" t="str">
        <f>IFERROR(__xludf.DUMMYFUNCTION("""COMPUTED_VALUE"""),"")</f>
        <v/>
      </c>
      <c r="M748" s="1" t="str">
        <f>IFERROR(__xludf.DUMMYFUNCTION("""COMPUTED_VALUE"""),"RFID")</f>
        <v>RFID</v>
      </c>
      <c r="N748" s="5" t="str">
        <f>IFERROR(__xludf.DUMMYFUNCTION("""COMPUTED_VALUE"""),"")</f>
        <v/>
      </c>
      <c r="O748" s="5" t="str">
        <f>IFERROR(__xludf.DUMMYFUNCTION("""COMPUTED_VALUE"""),"")</f>
        <v/>
      </c>
      <c r="P748" s="5" t="str">
        <f>IFERROR(__xludf.DUMMYFUNCTION("""COMPUTED_VALUE"""),"")</f>
        <v/>
      </c>
      <c r="Q748" s="5" t="str">
        <f>IFERROR(__xludf.DUMMYFUNCTION("""COMPUTED_VALUE"""),"")</f>
        <v/>
      </c>
      <c r="R748" s="4" t="str">
        <f>IFERROR(__xludf.DUMMYFUNCTION("""COMPUTED_VALUE"""),"")</f>
        <v/>
      </c>
      <c r="S748" s="1" t="b">
        <f>IFERROR(__xludf.DUMMYFUNCTION("""COMPUTED_VALUE"""),FALSE)</f>
        <v>0</v>
      </c>
      <c r="T748" s="1" t="b">
        <f>IFERROR(__xludf.DUMMYFUNCTION("""COMPUTED_VALUE"""),FALSE)</f>
        <v>0</v>
      </c>
      <c r="U748" s="1" t="str">
        <f>IFERROR(__xludf.DUMMYFUNCTION("""COMPUTED_VALUE"""),"DSQ")</f>
        <v>DSQ</v>
      </c>
      <c r="V748" s="1" t="str">
        <f>IFERROR(__xludf.DUMMYFUNCTION("""COMPUTED_VALUE"""),"DSQ")</f>
        <v>DSQ</v>
      </c>
      <c r="W748" s="1" t="str">
        <f>IFERROR(__xludf.DUMMYFUNCTION("""COMPUTED_VALUE"""),"DSQ")</f>
        <v>DSQ</v>
      </c>
      <c r="X748" s="1" t="str">
        <f>IFERROR(__xludf.DUMMYFUNCTION("""COMPUTED_VALUE"""),"DSQ")</f>
        <v>DSQ</v>
      </c>
      <c r="Y748" s="2"/>
      <c r="Z748" s="2" t="str">
        <f>IFERROR(__xludf.DUMMYFUNCTION("""COMPUTED_VALUE"""),"")</f>
        <v/>
      </c>
    </row>
    <row r="749">
      <c r="A749" s="1">
        <f>IFERROR(__xludf.DUMMYFUNCTION("""COMPUTED_VALUE"""),748.0)</f>
        <v>748</v>
      </c>
      <c r="B749" s="1">
        <f>IFERROR(__xludf.DUMMYFUNCTION("""COMPUTED_VALUE"""),10643.0)</f>
        <v>10643</v>
      </c>
      <c r="C749" s="2" t="str">
        <f>IFERROR(__xludf.DUMMYFUNCTION("""COMPUTED_VALUE"""),"Nenda")</f>
        <v>Nenda</v>
      </c>
      <c r="D749" s="2" t="str">
        <f>IFERROR(__xludf.DUMMYFUNCTION("""COMPUTED_VALUE"""),"10KM OVERALL M")</f>
        <v>10KM OVERALL M</v>
      </c>
      <c r="E749" s="1">
        <f>IFERROR(__xludf.DUMMYFUNCTION("""COMPUTED_VALUE"""),1.0)</f>
        <v>1</v>
      </c>
      <c r="F749" s="1" t="str">
        <f>IFERROR(__xludf.DUMMYFUNCTION("""COMPUTED_VALUE"""),"Male")</f>
        <v>Male</v>
      </c>
      <c r="G749" s="4" t="b">
        <f>IFERROR(__xludf.DUMMYFUNCTION("""COMPUTED_VALUE"""),TRUE)</f>
        <v>1</v>
      </c>
      <c r="H749" s="4" t="b">
        <f>IFERROR(__xludf.DUMMYFUNCTION("""COMPUTED_VALUE"""),TRUE)</f>
        <v>1</v>
      </c>
      <c r="I749" s="4">
        <f>IFERROR(__xludf.DUMMYFUNCTION("""COMPUTED_VALUE"""),0.24646185185185185)</f>
        <v>0.2464618519</v>
      </c>
      <c r="J749" s="4">
        <f>IFERROR(__xludf.DUMMYFUNCTION("""COMPUTED_VALUE"""),45949.258429476475)</f>
        <v>45949.25843</v>
      </c>
      <c r="K749" s="4">
        <f>IFERROR(__xludf.DUMMYFUNCTION("""COMPUTED_VALUE"""),45949.291735330364)</f>
        <v>45949.29174</v>
      </c>
      <c r="L749" s="4">
        <f>IFERROR(__xludf.DUMMYFUNCTION("""COMPUTED_VALUE"""),45949.30301545034)</f>
        <v>45949.30302</v>
      </c>
      <c r="M749" s="1" t="str">
        <f>IFERROR(__xludf.DUMMYFUNCTION("""COMPUTED_VALUE"""),"RFID")</f>
        <v>RFID</v>
      </c>
      <c r="N749" s="5">
        <f>IFERROR(__xludf.DUMMYFUNCTION("""COMPUTED_VALUE"""),0.0047870509259259255)</f>
        <v>0.004787050926</v>
      </c>
      <c r="O749" s="5">
        <f>IFERROR(__xludf.DUMMYFUNCTION("""COMPUTED_VALUE"""),0.013322342592592592)</f>
        <v>0.01332234259</v>
      </c>
      <c r="P749" s="5">
        <f>IFERROR(__xludf.DUMMYFUNCTION("""COMPUTED_VALUE"""),0.004642024682858698)</f>
        <v>0.004642024683</v>
      </c>
      <c r="Q749" s="5">
        <f>IFERROR(__xludf.DUMMYFUNCTION("""COMPUTED_VALUE"""),0.005655359953703703)</f>
        <v>0.005655359954</v>
      </c>
      <c r="R749" s="4">
        <f>IFERROR(__xludf.DUMMYFUNCTION("""COMPUTED_VALUE"""),45949.05655359849)</f>
        <v>45949.05655</v>
      </c>
      <c r="S749" s="1" t="b">
        <f>IFERROR(__xludf.DUMMYFUNCTION("""COMPUTED_VALUE"""),TRUE)</f>
        <v>1</v>
      </c>
      <c r="T749" s="1" t="b">
        <f>IFERROR(__xludf.DUMMYFUNCTION("""COMPUTED_VALUE"""),FALSE)</f>
        <v>0</v>
      </c>
      <c r="U749" s="1" t="str">
        <f>IFERROR(__xludf.DUMMYFUNCTION("""COMPUTED_VALUE"""),"VALID")</f>
        <v>VALID</v>
      </c>
      <c r="V749" s="1">
        <f>IFERROR(__xludf.DUMMYFUNCTION("""COMPUTED_VALUE"""),488.0)</f>
        <v>488</v>
      </c>
      <c r="W749" s="1">
        <f>IFERROR(__xludf.DUMMYFUNCTION("""COMPUTED_VALUE"""),586.0)</f>
        <v>586</v>
      </c>
      <c r="X749" s="1">
        <f>IFERROR(__xludf.DUMMYFUNCTION("""COMPUTED_VALUE"""),1556.0)</f>
        <v>1556</v>
      </c>
      <c r="Y749" s="2"/>
      <c r="Z749" s="2"/>
    </row>
    <row r="750">
      <c r="A750" s="1">
        <f>IFERROR(__xludf.DUMMYFUNCTION("""COMPUTED_VALUE"""),749.0)</f>
        <v>749</v>
      </c>
      <c r="B750" s="1">
        <f>IFERROR(__xludf.DUMMYFUNCTION("""COMPUTED_VALUE"""),10644.0)</f>
        <v>10644</v>
      </c>
      <c r="C750" s="2" t="str">
        <f>IFERROR(__xludf.DUMMYFUNCTION("""COMPUTED_VALUE"""),"ATIFTAYO")</f>
        <v>ATIFTAYO</v>
      </c>
      <c r="D750" s="2" t="str">
        <f>IFERROR(__xludf.DUMMYFUNCTION("""COMPUTED_VALUE"""),"10KM OVERALL M")</f>
        <v>10KM OVERALL M</v>
      </c>
      <c r="E750" s="1">
        <f>IFERROR(__xludf.DUMMYFUNCTION("""COMPUTED_VALUE"""),1.0)</f>
        <v>1</v>
      </c>
      <c r="F750" s="1" t="str">
        <f>IFERROR(__xludf.DUMMYFUNCTION("""COMPUTED_VALUE"""),"Male")</f>
        <v>Male</v>
      </c>
      <c r="G750" s="4" t="str">
        <f>IFERROR(__xludf.DUMMYFUNCTION("""COMPUTED_VALUE"""),"")</f>
        <v/>
      </c>
      <c r="H750" s="4" t="b">
        <f>IFERROR(__xludf.DUMMYFUNCTION("""COMPUTED_VALUE"""),FALSE)</f>
        <v>0</v>
      </c>
      <c r="I750" s="4">
        <f>IFERROR(__xludf.DUMMYFUNCTION("""COMPUTED_VALUE"""),0.24646185185185185)</f>
        <v>0.2464618519</v>
      </c>
      <c r="J750" s="4" t="str">
        <f>IFERROR(__xludf.DUMMYFUNCTION("""COMPUTED_VALUE"""),"")</f>
        <v/>
      </c>
      <c r="K750" s="4" t="str">
        <f>IFERROR(__xludf.DUMMYFUNCTION("""COMPUTED_VALUE"""),"")</f>
        <v/>
      </c>
      <c r="L750" s="4" t="str">
        <f>IFERROR(__xludf.DUMMYFUNCTION("""COMPUTED_VALUE"""),"")</f>
        <v/>
      </c>
      <c r="M750" s="1" t="str">
        <f>IFERROR(__xludf.DUMMYFUNCTION("""COMPUTED_VALUE"""),"RFID")</f>
        <v>RFID</v>
      </c>
      <c r="N750" s="5" t="str">
        <f>IFERROR(__xludf.DUMMYFUNCTION("""COMPUTED_VALUE"""),"")</f>
        <v/>
      </c>
      <c r="O750" s="5" t="str">
        <f>IFERROR(__xludf.DUMMYFUNCTION("""COMPUTED_VALUE"""),"")</f>
        <v/>
      </c>
      <c r="P750" s="5" t="str">
        <f>IFERROR(__xludf.DUMMYFUNCTION("""COMPUTED_VALUE"""),"")</f>
        <v/>
      </c>
      <c r="Q750" s="5" t="str">
        <f>IFERROR(__xludf.DUMMYFUNCTION("""COMPUTED_VALUE"""),"")</f>
        <v/>
      </c>
      <c r="R750" s="4" t="str">
        <f>IFERROR(__xludf.DUMMYFUNCTION("""COMPUTED_VALUE"""),"")</f>
        <v/>
      </c>
      <c r="S750" s="1" t="b">
        <f>IFERROR(__xludf.DUMMYFUNCTION("""COMPUTED_VALUE"""),FALSE)</f>
        <v>0</v>
      </c>
      <c r="T750" s="1" t="b">
        <f>IFERROR(__xludf.DUMMYFUNCTION("""COMPUTED_VALUE"""),FALSE)</f>
        <v>0</v>
      </c>
      <c r="U750" s="1" t="str">
        <f>IFERROR(__xludf.DUMMYFUNCTION("""COMPUTED_VALUE"""),"DSQ")</f>
        <v>DSQ</v>
      </c>
      <c r="V750" s="1" t="str">
        <f>IFERROR(__xludf.DUMMYFUNCTION("""COMPUTED_VALUE"""),"DSQ")</f>
        <v>DSQ</v>
      </c>
      <c r="W750" s="1" t="str">
        <f>IFERROR(__xludf.DUMMYFUNCTION("""COMPUTED_VALUE"""),"DSQ")</f>
        <v>DSQ</v>
      </c>
      <c r="X750" s="1" t="str">
        <f>IFERROR(__xludf.DUMMYFUNCTION("""COMPUTED_VALUE"""),"DSQ")</f>
        <v>DSQ</v>
      </c>
      <c r="Y750" s="2"/>
      <c r="Z750" s="2" t="str">
        <f>IFERROR(__xludf.DUMMYFUNCTION("""COMPUTED_VALUE"""),"")</f>
        <v/>
      </c>
    </row>
    <row r="751">
      <c r="A751" s="1">
        <f>IFERROR(__xludf.DUMMYFUNCTION("""COMPUTED_VALUE"""),750.0)</f>
        <v>750</v>
      </c>
      <c r="B751" s="1">
        <f>IFERROR(__xludf.DUMMYFUNCTION("""COMPUTED_VALUE"""),10645.0)</f>
        <v>10645</v>
      </c>
      <c r="C751" s="2" t="str">
        <f>IFERROR(__xludf.DUMMYFUNCTION("""COMPUTED_VALUE"""),"M. FAHMI ILHAM")</f>
        <v>M. FAHMI ILHAM</v>
      </c>
      <c r="D751" s="2" t="str">
        <f>IFERROR(__xludf.DUMMYFUNCTION("""COMPUTED_VALUE"""),"10KM OVERALL M")</f>
        <v>10KM OVERALL M</v>
      </c>
      <c r="E751" s="1">
        <f>IFERROR(__xludf.DUMMYFUNCTION("""COMPUTED_VALUE"""),1.0)</f>
        <v>1</v>
      </c>
      <c r="F751" s="1" t="str">
        <f>IFERROR(__xludf.DUMMYFUNCTION("""COMPUTED_VALUE"""),"Male")</f>
        <v>Male</v>
      </c>
      <c r="G751" s="4" t="b">
        <f>IFERROR(__xludf.DUMMYFUNCTION("""COMPUTED_VALUE"""),TRUE)</f>
        <v>1</v>
      </c>
      <c r="H751" s="4" t="b">
        <f>IFERROR(__xludf.DUMMYFUNCTION("""COMPUTED_VALUE"""),TRUE)</f>
        <v>1</v>
      </c>
      <c r="I751" s="4">
        <f>IFERROR(__xludf.DUMMYFUNCTION("""COMPUTED_VALUE"""),0.24646185185185185)</f>
        <v>0.2464618519</v>
      </c>
      <c r="J751" s="4">
        <f>IFERROR(__xludf.DUMMYFUNCTION("""COMPUTED_VALUE"""),45949.25761003607)</f>
        <v>45949.25761</v>
      </c>
      <c r="K751" s="4">
        <f>IFERROR(__xludf.DUMMYFUNCTION("""COMPUTED_VALUE"""),45949.286044074535)</f>
        <v>45949.28604</v>
      </c>
      <c r="L751" s="4">
        <f>IFERROR(__xludf.DUMMYFUNCTION("""COMPUTED_VALUE"""),45949.294164765306)</f>
        <v>45949.29416</v>
      </c>
      <c r="M751" s="1" t="str">
        <f>IFERROR(__xludf.DUMMYFUNCTION("""COMPUTED_VALUE"""),"RFID")</f>
        <v>RFID</v>
      </c>
      <c r="N751" s="5">
        <f>IFERROR(__xludf.DUMMYFUNCTION("""COMPUTED_VALUE"""),0.004459273148148148)</f>
        <v>0.004459273148</v>
      </c>
      <c r="O751" s="5">
        <f>IFERROR(__xludf.DUMMYFUNCTION("""COMPUTED_VALUE"""),0.01137361574074074)</f>
        <v>0.01137361574</v>
      </c>
      <c r="P751" s="5">
        <f>IFERROR(__xludf.DUMMYFUNCTION("""COMPUTED_VALUE"""),0.003341848053801766)</f>
        <v>0.003341848054</v>
      </c>
      <c r="Q751" s="5">
        <f>IFERROR(__xludf.DUMMYFUNCTION("""COMPUTED_VALUE"""),0.0047702916666666675)</f>
        <v>0.004770291667</v>
      </c>
      <c r="R751" s="4">
        <f>IFERROR(__xludf.DUMMYFUNCTION("""COMPUTED_VALUE"""),45949.047702913456)</f>
        <v>45949.0477</v>
      </c>
      <c r="S751" s="1" t="b">
        <f>IFERROR(__xludf.DUMMYFUNCTION("""COMPUTED_VALUE"""),TRUE)</f>
        <v>1</v>
      </c>
      <c r="T751" s="1" t="b">
        <f>IFERROR(__xludf.DUMMYFUNCTION("""COMPUTED_VALUE"""),FALSE)</f>
        <v>0</v>
      </c>
      <c r="U751" s="1" t="str">
        <f>IFERROR(__xludf.DUMMYFUNCTION("""COMPUTED_VALUE"""),"VALID")</f>
        <v>VALID</v>
      </c>
      <c r="V751" s="1">
        <f>IFERROR(__xludf.DUMMYFUNCTION("""COMPUTED_VALUE"""),279.0)</f>
        <v>279</v>
      </c>
      <c r="W751" s="1">
        <f>IFERROR(__xludf.DUMMYFUNCTION("""COMPUTED_VALUE"""),331.0)</f>
        <v>331</v>
      </c>
      <c r="X751" s="1">
        <f>IFERROR(__xludf.DUMMYFUNCTION("""COMPUTED_VALUE"""),1293.0)</f>
        <v>1293</v>
      </c>
      <c r="Y751" s="2"/>
      <c r="Z751" s="2"/>
    </row>
    <row r="752">
      <c r="A752" s="1">
        <f>IFERROR(__xludf.DUMMYFUNCTION("""COMPUTED_VALUE"""),751.0)</f>
        <v>751</v>
      </c>
      <c r="B752" s="1">
        <f>IFERROR(__xludf.DUMMYFUNCTION("""COMPUTED_VALUE"""),10646.0)</f>
        <v>10646</v>
      </c>
      <c r="C752" s="2" t="str">
        <f>IFERROR(__xludf.DUMMYFUNCTION("""COMPUTED_VALUE"""),"Yuda Amrullah")</f>
        <v>Yuda Amrullah</v>
      </c>
      <c r="D752" s="2" t="str">
        <f>IFERROR(__xludf.DUMMYFUNCTION("""COMPUTED_VALUE"""),"10KM OVERALL M")</f>
        <v>10KM OVERALL M</v>
      </c>
      <c r="E752" s="1">
        <f>IFERROR(__xludf.DUMMYFUNCTION("""COMPUTED_VALUE"""),1.0)</f>
        <v>1</v>
      </c>
      <c r="F752" s="1" t="str">
        <f>IFERROR(__xludf.DUMMYFUNCTION("""COMPUTED_VALUE"""),"Male")</f>
        <v>Male</v>
      </c>
      <c r="G752" s="4" t="str">
        <f>IFERROR(__xludf.DUMMYFUNCTION("""COMPUTED_VALUE"""),"")</f>
        <v/>
      </c>
      <c r="H752" s="4" t="b">
        <f>IFERROR(__xludf.DUMMYFUNCTION("""COMPUTED_VALUE"""),TRUE)</f>
        <v>1</v>
      </c>
      <c r="I752" s="4">
        <f>IFERROR(__xludf.DUMMYFUNCTION("""COMPUTED_VALUE"""),0.24646185185185185)</f>
        <v>0.2464618519</v>
      </c>
      <c r="J752" s="4">
        <f>IFERROR(__xludf.DUMMYFUNCTION("""COMPUTED_VALUE"""),45949.269526696786)</f>
        <v>45949.26953</v>
      </c>
      <c r="K752" s="4">
        <f>IFERROR(__xludf.DUMMYFUNCTION("""COMPUTED_VALUE"""),45949.30812480512)</f>
        <v>45949.30812</v>
      </c>
      <c r="L752" s="4">
        <f>IFERROR(__xludf.DUMMYFUNCTION("""COMPUTED_VALUE"""),45949.32047373147)</f>
        <v>45949.32047</v>
      </c>
      <c r="M752" s="1" t="str">
        <f>IFERROR(__xludf.DUMMYFUNCTION("""COMPUTED_VALUE"""),"RFID")</f>
        <v>RFID</v>
      </c>
      <c r="N752" s="5">
        <f>IFERROR(__xludf.DUMMYFUNCTION("""COMPUTED_VALUE"""),0.009225939814814815)</f>
        <v>0.009225939815</v>
      </c>
      <c r="O752" s="5">
        <f>IFERROR(__xludf.DUMMYFUNCTION("""COMPUTED_VALUE"""),0.015439245370370369)</f>
        <v>0.01543924537</v>
      </c>
      <c r="P752" s="5">
        <f>IFERROR(__xludf.DUMMYFUNCTION("""COMPUTED_VALUE"""),0.005081862698327328)</f>
        <v>0.005081862698</v>
      </c>
      <c r="Q752" s="5">
        <f>IFERROR(__xludf.DUMMYFUNCTION("""COMPUTED_VALUE"""),0.007401187500000001)</f>
        <v>0.0074011875</v>
      </c>
      <c r="R752" s="4">
        <f>IFERROR(__xludf.DUMMYFUNCTION("""COMPUTED_VALUE"""),45949.074011879624)</f>
        <v>45949.07401</v>
      </c>
      <c r="S752" s="1" t="b">
        <f>IFERROR(__xludf.DUMMYFUNCTION("""COMPUTED_VALUE"""),TRUE)</f>
        <v>1</v>
      </c>
      <c r="T752" s="1" t="b">
        <f>IFERROR(__xludf.DUMMYFUNCTION("""COMPUTED_VALUE"""),FALSE)</f>
        <v>0</v>
      </c>
      <c r="U752" s="1" t="str">
        <f>IFERROR(__xludf.DUMMYFUNCTION("""COMPUTED_VALUE"""),"VALID")</f>
        <v>VALID</v>
      </c>
      <c r="V752" s="1">
        <f>IFERROR(__xludf.DUMMYFUNCTION("""COMPUTED_VALUE"""),601.0)</f>
        <v>601</v>
      </c>
      <c r="W752" s="1">
        <f>IFERROR(__xludf.DUMMYFUNCTION("""COMPUTED_VALUE"""),749.0)</f>
        <v>749</v>
      </c>
      <c r="X752" s="1">
        <f>IFERROR(__xludf.DUMMYFUNCTION("""COMPUTED_VALUE"""),1675.0)</f>
        <v>1675</v>
      </c>
      <c r="Y752" s="2"/>
      <c r="Z752" s="2"/>
    </row>
    <row r="753">
      <c r="A753" s="1">
        <f>IFERROR(__xludf.DUMMYFUNCTION("""COMPUTED_VALUE"""),752.0)</f>
        <v>752</v>
      </c>
      <c r="B753" s="1">
        <f>IFERROR(__xludf.DUMMYFUNCTION("""COMPUTED_VALUE"""),10647.0)</f>
        <v>10647</v>
      </c>
      <c r="C753" s="2" t="str">
        <f>IFERROR(__xludf.DUMMYFUNCTION("""COMPUTED_VALUE"""),"SNDYSTWN")</f>
        <v>SNDYSTWN</v>
      </c>
      <c r="D753" s="2" t="str">
        <f>IFERROR(__xludf.DUMMYFUNCTION("""COMPUTED_VALUE"""),"10KM OVERALL M")</f>
        <v>10KM OVERALL M</v>
      </c>
      <c r="E753" s="1">
        <f>IFERROR(__xludf.DUMMYFUNCTION("""COMPUTED_VALUE"""),1.0)</f>
        <v>1</v>
      </c>
      <c r="F753" s="1" t="str">
        <f>IFERROR(__xludf.DUMMYFUNCTION("""COMPUTED_VALUE"""),"Male")</f>
        <v>Male</v>
      </c>
      <c r="G753" s="4" t="b">
        <f>IFERROR(__xludf.DUMMYFUNCTION("""COMPUTED_VALUE"""),TRUE)</f>
        <v>1</v>
      </c>
      <c r="H753" s="4" t="b">
        <f>IFERROR(__xludf.DUMMYFUNCTION("""COMPUTED_VALUE"""),TRUE)</f>
        <v>1</v>
      </c>
      <c r="I753" s="4">
        <f>IFERROR(__xludf.DUMMYFUNCTION("""COMPUTED_VALUE"""),0.24646185185185185)</f>
        <v>0.2464618519</v>
      </c>
      <c r="J753" s="4">
        <f>IFERROR(__xludf.DUMMYFUNCTION("""COMPUTED_VALUE"""),45949.259193361926)</f>
        <v>45949.25919</v>
      </c>
      <c r="K753" s="4" t="str">
        <f>IFERROR(__xludf.DUMMYFUNCTION("""COMPUTED_VALUE"""),"")</f>
        <v/>
      </c>
      <c r="L753" s="4">
        <f>IFERROR(__xludf.DUMMYFUNCTION("""COMPUTED_VALUE"""),45949.298265394544)</f>
        <v>45949.29827</v>
      </c>
      <c r="M753" s="1" t="str">
        <f>IFERROR(__xludf.DUMMYFUNCTION("""COMPUTED_VALUE"""),"RFID")</f>
        <v>RFID</v>
      </c>
      <c r="N753" s="5">
        <f>IFERROR(__xludf.DUMMYFUNCTION("""COMPUTED_VALUE"""),0.005092601851851852)</f>
        <v>0.005092601852</v>
      </c>
      <c r="O753" s="5" t="str">
        <f>IFERROR(__xludf.DUMMYFUNCTION("""COMPUTED_VALUE"""),"")</f>
        <v/>
      </c>
      <c r="P753" s="5" t="str">
        <f>IFERROR(__xludf.DUMMYFUNCTION("""COMPUTED_VALUE"""),"")</f>
        <v/>
      </c>
      <c r="Q753" s="5">
        <f>IFERROR(__xludf.DUMMYFUNCTION("""COMPUTED_VALUE"""),0.0051803541666666664)</f>
        <v>0.005180354167</v>
      </c>
      <c r="R753" s="4">
        <f>IFERROR(__xludf.DUMMYFUNCTION("""COMPUTED_VALUE"""),45949.051803542694)</f>
        <v>45949.0518</v>
      </c>
      <c r="S753" s="1" t="b">
        <f>IFERROR(__xludf.DUMMYFUNCTION("""COMPUTED_VALUE"""),TRUE)</f>
        <v>1</v>
      </c>
      <c r="T753" s="1" t="b">
        <f>IFERROR(__xludf.DUMMYFUNCTION("""COMPUTED_VALUE"""),FALSE)</f>
        <v>0</v>
      </c>
      <c r="U753" s="1" t="str">
        <f>IFERROR(__xludf.DUMMYFUNCTION("""COMPUTED_VALUE"""),"VALID")</f>
        <v>VALID</v>
      </c>
      <c r="V753" s="1">
        <f>IFERROR(__xludf.DUMMYFUNCTION("""COMPUTED_VALUE"""),382.0)</f>
        <v>382</v>
      </c>
      <c r="W753" s="1">
        <f>IFERROR(__xludf.DUMMYFUNCTION("""COMPUTED_VALUE"""),451.0)</f>
        <v>451</v>
      </c>
      <c r="X753" s="1">
        <f>IFERROR(__xludf.DUMMYFUNCTION("""COMPUTED_VALUE"""),1430.0)</f>
        <v>1430</v>
      </c>
      <c r="Y753" s="2"/>
      <c r="Z753" s="2"/>
    </row>
    <row r="754">
      <c r="A754" s="1">
        <f>IFERROR(__xludf.DUMMYFUNCTION("""COMPUTED_VALUE"""),753.0)</f>
        <v>753</v>
      </c>
      <c r="B754" s="1">
        <f>IFERROR(__xludf.DUMMYFUNCTION("""COMPUTED_VALUE"""),10648.0)</f>
        <v>10648</v>
      </c>
      <c r="C754" s="2" t="str">
        <f>IFERROR(__xludf.DUMMYFUNCTION("""COMPUTED_VALUE"""),"AzmiArfn")</f>
        <v>AzmiArfn</v>
      </c>
      <c r="D754" s="2" t="str">
        <f>IFERROR(__xludf.DUMMYFUNCTION("""COMPUTED_VALUE"""),"10KM OVERALL M")</f>
        <v>10KM OVERALL M</v>
      </c>
      <c r="E754" s="1">
        <f>IFERROR(__xludf.DUMMYFUNCTION("""COMPUTED_VALUE"""),1.0)</f>
        <v>1</v>
      </c>
      <c r="F754" s="1" t="str">
        <f>IFERROR(__xludf.DUMMYFUNCTION("""COMPUTED_VALUE"""),"Male")</f>
        <v>Male</v>
      </c>
      <c r="G754" s="4" t="b">
        <f>IFERROR(__xludf.DUMMYFUNCTION("""COMPUTED_VALUE"""),TRUE)</f>
        <v>1</v>
      </c>
      <c r="H754" s="4" t="b">
        <f>IFERROR(__xludf.DUMMYFUNCTION("""COMPUTED_VALUE"""),FALSE)</f>
        <v>0</v>
      </c>
      <c r="I754" s="4">
        <f>IFERROR(__xludf.DUMMYFUNCTION("""COMPUTED_VALUE"""),0.24646185185185185)</f>
        <v>0.2464618519</v>
      </c>
      <c r="J754" s="4">
        <f>IFERROR(__xludf.DUMMYFUNCTION("""COMPUTED_VALUE"""),45949.26053716834)</f>
        <v>45949.26054</v>
      </c>
      <c r="K754" s="4">
        <f>IFERROR(__xludf.DUMMYFUNCTION("""COMPUTED_VALUE"""),45949.292881097455)</f>
        <v>45949.29288</v>
      </c>
      <c r="L754" s="4">
        <f>IFERROR(__xludf.DUMMYFUNCTION("""COMPUTED_VALUE"""),45949.30182100803)</f>
        <v>45949.30182</v>
      </c>
      <c r="M754" s="1" t="str">
        <f>IFERROR(__xludf.DUMMYFUNCTION("""COMPUTED_VALUE"""),"RFID")</f>
        <v>RFID</v>
      </c>
      <c r="N754" s="5">
        <f>IFERROR(__xludf.DUMMYFUNCTION("""COMPUTED_VALUE"""),0.005630125)</f>
        <v>0.005630125</v>
      </c>
      <c r="O754" s="5">
        <f>IFERROR(__xludf.DUMMYFUNCTION("""COMPUTED_VALUE"""),0.012937569444444444)</f>
        <v>0.01293756944</v>
      </c>
      <c r="P754" s="5">
        <f>IFERROR(__xludf.DUMMYFUNCTION("""COMPUTED_VALUE"""),0.0036789755465811568)</f>
        <v>0.003678975547</v>
      </c>
      <c r="Q754" s="5">
        <f>IFERROR(__xludf.DUMMYFUNCTION("""COMPUTED_VALUE"""),0.0055359155092592595)</f>
        <v>0.005535915509</v>
      </c>
      <c r="R754" s="4">
        <f>IFERROR(__xludf.DUMMYFUNCTION("""COMPUTED_VALUE"""),45949.055359156184)</f>
        <v>45949.05536</v>
      </c>
      <c r="S754" s="1" t="b">
        <f>IFERROR(__xludf.DUMMYFUNCTION("""COMPUTED_VALUE"""),TRUE)</f>
        <v>1</v>
      </c>
      <c r="T754" s="1" t="b">
        <f>IFERROR(__xludf.DUMMYFUNCTION("""COMPUTED_VALUE"""),FALSE)</f>
        <v>0</v>
      </c>
      <c r="U754" s="1" t="str">
        <f>IFERROR(__xludf.DUMMYFUNCTION("""COMPUTED_VALUE"""),"VALID")</f>
        <v>VALID</v>
      </c>
      <c r="V754" s="1">
        <f>IFERROR(__xludf.DUMMYFUNCTION("""COMPUTED_VALUE"""),465.0)</f>
        <v>465</v>
      </c>
      <c r="W754" s="1">
        <f>IFERROR(__xludf.DUMMYFUNCTION("""COMPUTED_VALUE"""),558.0)</f>
        <v>558</v>
      </c>
      <c r="X754" s="1">
        <f>IFERROR(__xludf.DUMMYFUNCTION("""COMPUTED_VALUE"""),1531.0)</f>
        <v>1531</v>
      </c>
      <c r="Y754" s="2"/>
      <c r="Z754" s="2"/>
    </row>
    <row r="755">
      <c r="A755" s="1">
        <f>IFERROR(__xludf.DUMMYFUNCTION("""COMPUTED_VALUE"""),754.0)</f>
        <v>754</v>
      </c>
      <c r="B755" s="1">
        <f>IFERROR(__xludf.DUMMYFUNCTION("""COMPUTED_VALUE"""),10649.0)</f>
        <v>10649</v>
      </c>
      <c r="C755" s="2" t="str">
        <f>IFERROR(__xludf.DUMMYFUNCTION("""COMPUTED_VALUE"""),"KAHFI")</f>
        <v>KAHFI</v>
      </c>
      <c r="D755" s="2" t="str">
        <f>IFERROR(__xludf.DUMMYFUNCTION("""COMPUTED_VALUE"""),"10KM OVERALL M")</f>
        <v>10KM OVERALL M</v>
      </c>
      <c r="E755" s="1">
        <f>IFERROR(__xludf.DUMMYFUNCTION("""COMPUTED_VALUE"""),1.0)</f>
        <v>1</v>
      </c>
      <c r="F755" s="1" t="str">
        <f>IFERROR(__xludf.DUMMYFUNCTION("""COMPUTED_VALUE"""),"Male")</f>
        <v>Male</v>
      </c>
      <c r="G755" s="4" t="b">
        <f>IFERROR(__xludf.DUMMYFUNCTION("""COMPUTED_VALUE"""),TRUE)</f>
        <v>1</v>
      </c>
      <c r="H755" s="4" t="b">
        <f>IFERROR(__xludf.DUMMYFUNCTION("""COMPUTED_VALUE"""),TRUE)</f>
        <v>1</v>
      </c>
      <c r="I755" s="4">
        <f>IFERROR(__xludf.DUMMYFUNCTION("""COMPUTED_VALUE"""),0.24646185185185185)</f>
        <v>0.2464618519</v>
      </c>
      <c r="J755" s="4">
        <f>IFERROR(__xludf.DUMMYFUNCTION("""COMPUTED_VALUE"""),45949.25673502215)</f>
        <v>45949.25674</v>
      </c>
      <c r="K755" s="4">
        <f>IFERROR(__xludf.DUMMYFUNCTION("""COMPUTED_VALUE"""),45949.28240863558)</f>
        <v>45949.28241</v>
      </c>
      <c r="L755" s="4">
        <f>IFERROR(__xludf.DUMMYFUNCTION("""COMPUTED_VALUE"""),45949.28970989831)</f>
        <v>45949.28971</v>
      </c>
      <c r="M755" s="1" t="str">
        <f>IFERROR(__xludf.DUMMYFUNCTION("""COMPUTED_VALUE"""),"RFID")</f>
        <v>RFID</v>
      </c>
      <c r="N755" s="5">
        <f>IFERROR(__xludf.DUMMYFUNCTION("""COMPUTED_VALUE"""),0.004109268518518518)</f>
        <v>0.004109268519</v>
      </c>
      <c r="O755" s="5">
        <f>IFERROR(__xludf.DUMMYFUNCTION("""COMPUTED_VALUE"""),0.010269444444444444)</f>
        <v>0.01026944444</v>
      </c>
      <c r="P755" s="5">
        <f>IFERROR(__xludf.DUMMYFUNCTION("""COMPUTED_VALUE"""),0.0030046348664104754)</f>
        <v>0.003004634866</v>
      </c>
      <c r="Q755" s="5">
        <f>IFERROR(__xludf.DUMMYFUNCTION("""COMPUTED_VALUE"""),0.004324804398148148)</f>
        <v>0.004324804398</v>
      </c>
      <c r="R755" s="4">
        <f>IFERROR(__xludf.DUMMYFUNCTION("""COMPUTED_VALUE"""),45949.04324804646)</f>
        <v>45949.04325</v>
      </c>
      <c r="S755" s="1" t="b">
        <f>IFERROR(__xludf.DUMMYFUNCTION("""COMPUTED_VALUE"""),TRUE)</f>
        <v>1</v>
      </c>
      <c r="T755" s="1" t="b">
        <f>IFERROR(__xludf.DUMMYFUNCTION("""COMPUTED_VALUE"""),FALSE)</f>
        <v>0</v>
      </c>
      <c r="U755" s="1" t="str">
        <f>IFERROR(__xludf.DUMMYFUNCTION("""COMPUTED_VALUE"""),"VALID")</f>
        <v>VALID</v>
      </c>
      <c r="V755" s="1">
        <f>IFERROR(__xludf.DUMMYFUNCTION("""COMPUTED_VALUE"""),169.0)</f>
        <v>169</v>
      </c>
      <c r="W755" s="1">
        <f>IFERROR(__xludf.DUMMYFUNCTION("""COMPUTED_VALUE"""),199.0)</f>
        <v>199</v>
      </c>
      <c r="X755" s="1">
        <f>IFERROR(__xludf.DUMMYFUNCTION("""COMPUTED_VALUE"""),1106.0)</f>
        <v>1106</v>
      </c>
      <c r="Y755" s="2"/>
      <c r="Z755" s="2"/>
    </row>
    <row r="756">
      <c r="A756" s="1">
        <f>IFERROR(__xludf.DUMMYFUNCTION("""COMPUTED_VALUE"""),755.0)</f>
        <v>755</v>
      </c>
      <c r="B756" s="1">
        <f>IFERROR(__xludf.DUMMYFUNCTION("""COMPUTED_VALUE"""),10650.0)</f>
        <v>10650</v>
      </c>
      <c r="C756" s="2" t="str">
        <f>IFERROR(__xludf.DUMMYFUNCTION("""COMPUTED_VALUE"""),"Dani Belucy")</f>
        <v>Dani Belucy</v>
      </c>
      <c r="D756" s="2" t="str">
        <f>IFERROR(__xludf.DUMMYFUNCTION("""COMPUTED_VALUE"""),"10KM OVERALL M")</f>
        <v>10KM OVERALL M</v>
      </c>
      <c r="E756" s="1">
        <f>IFERROR(__xludf.DUMMYFUNCTION("""COMPUTED_VALUE"""),1.0)</f>
        <v>1</v>
      </c>
      <c r="F756" s="1" t="str">
        <f>IFERROR(__xludf.DUMMYFUNCTION("""COMPUTED_VALUE"""),"Male")</f>
        <v>Male</v>
      </c>
      <c r="G756" s="4" t="b">
        <f>IFERROR(__xludf.DUMMYFUNCTION("""COMPUTED_VALUE"""),TRUE)</f>
        <v>1</v>
      </c>
      <c r="H756" s="4" t="b">
        <f>IFERROR(__xludf.DUMMYFUNCTION("""COMPUTED_VALUE"""),TRUE)</f>
        <v>1</v>
      </c>
      <c r="I756" s="4">
        <f>IFERROR(__xludf.DUMMYFUNCTION("""COMPUTED_VALUE"""),0.24646185185185185)</f>
        <v>0.2464618519</v>
      </c>
      <c r="J756" s="4">
        <f>IFERROR(__xludf.DUMMYFUNCTION("""COMPUTED_VALUE"""),45949.254443773294)</f>
        <v>45949.25444</v>
      </c>
      <c r="K756" s="4">
        <f>IFERROR(__xludf.DUMMYFUNCTION("""COMPUTED_VALUE"""),45949.281210757246)</f>
        <v>45949.28121</v>
      </c>
      <c r="L756" s="4">
        <f>IFERROR(__xludf.DUMMYFUNCTION("""COMPUTED_VALUE"""),45949.28935921181)</f>
        <v>45949.28936</v>
      </c>
      <c r="M756" s="1" t="str">
        <f>IFERROR(__xludf.DUMMYFUNCTION("""COMPUTED_VALUE"""),"RFID")</f>
        <v>RFID</v>
      </c>
      <c r="N756" s="5">
        <f>IFERROR(__xludf.DUMMYFUNCTION("""COMPUTED_VALUE"""),0.0031927685185185184)</f>
        <v>0.003192768519</v>
      </c>
      <c r="O756" s="5">
        <f>IFERROR(__xludf.DUMMYFUNCTION("""COMPUTED_VALUE"""),0.010706791666666667)</f>
        <v>0.01070679167</v>
      </c>
      <c r="P756" s="5">
        <f>IFERROR(__xludf.DUMMYFUNCTION("""COMPUTED_VALUE"""),0.003353273484054876)</f>
        <v>0.003353273484</v>
      </c>
      <c r="Q756" s="5">
        <f>IFERROR(__xludf.DUMMYFUNCTION("""COMPUTED_VALUE"""),0.0042897361111111105)</f>
        <v>0.004289736111</v>
      </c>
      <c r="R756" s="4">
        <f>IFERROR(__xludf.DUMMYFUNCTION("""COMPUTED_VALUE"""),45949.04289735996)</f>
        <v>45949.0429</v>
      </c>
      <c r="S756" s="1" t="b">
        <f>IFERROR(__xludf.DUMMYFUNCTION("""COMPUTED_VALUE"""),TRUE)</f>
        <v>1</v>
      </c>
      <c r="T756" s="1" t="b">
        <f>IFERROR(__xludf.DUMMYFUNCTION("""COMPUTED_VALUE"""),FALSE)</f>
        <v>0</v>
      </c>
      <c r="U756" s="1" t="str">
        <f>IFERROR(__xludf.DUMMYFUNCTION("""COMPUTED_VALUE"""),"VALID")</f>
        <v>VALID</v>
      </c>
      <c r="V756" s="1">
        <f>IFERROR(__xludf.DUMMYFUNCTION("""COMPUTED_VALUE"""),165.0)</f>
        <v>165</v>
      </c>
      <c r="W756" s="1">
        <f>IFERROR(__xludf.DUMMYFUNCTION("""COMPUTED_VALUE"""),194.0)</f>
        <v>194</v>
      </c>
      <c r="X756" s="1">
        <f>IFERROR(__xludf.DUMMYFUNCTION("""COMPUTED_VALUE"""),1100.0)</f>
        <v>1100</v>
      </c>
      <c r="Y756" s="2"/>
      <c r="Z756" s="2"/>
    </row>
    <row r="757">
      <c r="A757" s="1">
        <f>IFERROR(__xludf.DUMMYFUNCTION("""COMPUTED_VALUE"""),756.0)</f>
        <v>756</v>
      </c>
      <c r="B757" s="1">
        <f>IFERROR(__xludf.DUMMYFUNCTION("""COMPUTED_VALUE"""),10651.0)</f>
        <v>10651</v>
      </c>
      <c r="C757" s="2" t="str">
        <f>IFERROR(__xludf.DUMMYFUNCTION("""COMPUTED_VALUE"""),"Pelari Siput")</f>
        <v>Pelari Siput</v>
      </c>
      <c r="D757" s="2" t="str">
        <f>IFERROR(__xludf.DUMMYFUNCTION("""COMPUTED_VALUE"""),"10KM OVERALL M")</f>
        <v>10KM OVERALL M</v>
      </c>
      <c r="E757" s="1">
        <f>IFERROR(__xludf.DUMMYFUNCTION("""COMPUTED_VALUE"""),1.0)</f>
        <v>1</v>
      </c>
      <c r="F757" s="1" t="str">
        <f>IFERROR(__xludf.DUMMYFUNCTION("""COMPUTED_VALUE"""),"Male")</f>
        <v>Male</v>
      </c>
      <c r="G757" s="4" t="str">
        <f>IFERROR(__xludf.DUMMYFUNCTION("""COMPUTED_VALUE"""),"")</f>
        <v/>
      </c>
      <c r="H757" s="4" t="b">
        <f>IFERROR(__xludf.DUMMYFUNCTION("""COMPUTED_VALUE"""),TRUE)</f>
        <v>1</v>
      </c>
      <c r="I757" s="4">
        <f>IFERROR(__xludf.DUMMYFUNCTION("""COMPUTED_VALUE"""),0.24646185185185185)</f>
        <v>0.2464618519</v>
      </c>
      <c r="J757" s="4">
        <f>IFERROR(__xludf.DUMMYFUNCTION("""COMPUTED_VALUE"""),45949.25859265865)</f>
        <v>45949.25859</v>
      </c>
      <c r="K757" s="4">
        <f>IFERROR(__xludf.DUMMYFUNCTION("""COMPUTED_VALUE"""),45949.28728019233)</f>
        <v>45949.28728</v>
      </c>
      <c r="L757" s="4">
        <f>IFERROR(__xludf.DUMMYFUNCTION("""COMPUTED_VALUE"""),45949.296581524446)</f>
        <v>45949.29658</v>
      </c>
      <c r="M757" s="1" t="str">
        <f>IFERROR(__xludf.DUMMYFUNCTION("""COMPUTED_VALUE"""),"RFID")</f>
        <v>RFID</v>
      </c>
      <c r="N757" s="5">
        <f>IFERROR(__xludf.DUMMYFUNCTION("""COMPUTED_VALUE"""),0.004852324074074074)</f>
        <v>0.004852324074</v>
      </c>
      <c r="O757" s="5">
        <f>IFERROR(__xludf.DUMMYFUNCTION("""COMPUTED_VALUE"""),0.011475013888888889)</f>
        <v>0.01147501389</v>
      </c>
      <c r="P757" s="5">
        <f>IFERROR(__xludf.DUMMYFUNCTION("""COMPUTED_VALUE"""),0.0038277086899558333)</f>
        <v>0.00382770869</v>
      </c>
      <c r="Q757" s="5">
        <f>IFERROR(__xludf.DUMMYFUNCTION("""COMPUTED_VALUE"""),0.005011967592592593)</f>
        <v>0.005011967593</v>
      </c>
      <c r="R757" s="4">
        <f>IFERROR(__xludf.DUMMYFUNCTION("""COMPUTED_VALUE"""),45949.050119672596)</f>
        <v>45949.05012</v>
      </c>
      <c r="S757" s="1" t="b">
        <f>IFERROR(__xludf.DUMMYFUNCTION("""COMPUTED_VALUE"""),TRUE)</f>
        <v>1</v>
      </c>
      <c r="T757" s="1" t="b">
        <f>IFERROR(__xludf.DUMMYFUNCTION("""COMPUTED_VALUE"""),FALSE)</f>
        <v>0</v>
      </c>
      <c r="U757" s="1" t="str">
        <f>IFERROR(__xludf.DUMMYFUNCTION("""COMPUTED_VALUE"""),"VALID")</f>
        <v>VALID</v>
      </c>
      <c r="V757" s="1">
        <f>IFERROR(__xludf.DUMMYFUNCTION("""COMPUTED_VALUE"""),344.0)</f>
        <v>344</v>
      </c>
      <c r="W757" s="1">
        <f>IFERROR(__xludf.DUMMYFUNCTION("""COMPUTED_VALUE"""),406.0)</f>
        <v>406</v>
      </c>
      <c r="X757" s="1">
        <f>IFERROR(__xludf.DUMMYFUNCTION("""COMPUTED_VALUE"""),1384.0)</f>
        <v>1384</v>
      </c>
      <c r="Y757" s="2"/>
      <c r="Z757" s="2"/>
    </row>
    <row r="758">
      <c r="A758" s="1">
        <f>IFERROR(__xludf.DUMMYFUNCTION("""COMPUTED_VALUE"""),757.0)</f>
        <v>757</v>
      </c>
      <c r="B758" s="1">
        <f>IFERROR(__xludf.DUMMYFUNCTION("""COMPUTED_VALUE"""),10652.0)</f>
        <v>10652</v>
      </c>
      <c r="C758" s="2" t="str">
        <f>IFERROR(__xludf.DUMMYFUNCTION("""COMPUTED_VALUE"""),"pelari badut")</f>
        <v>pelari badut</v>
      </c>
      <c r="D758" s="2" t="str">
        <f>IFERROR(__xludf.DUMMYFUNCTION("""COMPUTED_VALUE"""),"10KM OVERALL M")</f>
        <v>10KM OVERALL M</v>
      </c>
      <c r="E758" s="1">
        <f>IFERROR(__xludf.DUMMYFUNCTION("""COMPUTED_VALUE"""),1.0)</f>
        <v>1</v>
      </c>
      <c r="F758" s="1" t="str">
        <f>IFERROR(__xludf.DUMMYFUNCTION("""COMPUTED_VALUE"""),"Male")</f>
        <v>Male</v>
      </c>
      <c r="G758" s="4" t="b">
        <f>IFERROR(__xludf.DUMMYFUNCTION("""COMPUTED_VALUE"""),TRUE)</f>
        <v>1</v>
      </c>
      <c r="H758" s="4" t="b">
        <f>IFERROR(__xludf.DUMMYFUNCTION("""COMPUTED_VALUE"""),TRUE)</f>
        <v>1</v>
      </c>
      <c r="I758" s="4">
        <f>IFERROR(__xludf.DUMMYFUNCTION("""COMPUTED_VALUE"""),0.24646185185185185)</f>
        <v>0.2464618519</v>
      </c>
      <c r="J758" s="4">
        <f>IFERROR(__xludf.DUMMYFUNCTION("""COMPUTED_VALUE"""),45949.257676044646)</f>
        <v>45949.25768</v>
      </c>
      <c r="K758" s="4">
        <f>IFERROR(__xludf.DUMMYFUNCTION("""COMPUTED_VALUE"""),45949.29364500218)</f>
        <v>45949.29365</v>
      </c>
      <c r="L758" s="4">
        <f>IFERROR(__xludf.DUMMYFUNCTION("""COMPUTED_VALUE"""),45949.302109143704)</f>
        <v>45949.30211</v>
      </c>
      <c r="M758" s="1" t="str">
        <f>IFERROR(__xludf.DUMMYFUNCTION("""COMPUTED_VALUE"""),"RFID")</f>
        <v>RFID</v>
      </c>
      <c r="N758" s="5">
        <f>IFERROR(__xludf.DUMMYFUNCTION("""COMPUTED_VALUE"""),0.004485675925925926)</f>
        <v>0.004485675926</v>
      </c>
      <c r="O758" s="5">
        <f>IFERROR(__xludf.DUMMYFUNCTION("""COMPUTED_VALUE"""),0.014387583333333332)</f>
        <v>0.01438758333</v>
      </c>
      <c r="P758" s="5">
        <f>IFERROR(__xludf.DUMMYFUNCTION("""COMPUTED_VALUE"""),0.0034831858120538644)</f>
        <v>0.003483185812</v>
      </c>
      <c r="Q758" s="5">
        <f>IFERROR(__xludf.DUMMYFUNCTION("""COMPUTED_VALUE"""),0.005564729166666667)</f>
        <v>0.005564729167</v>
      </c>
      <c r="R758" s="4">
        <f>IFERROR(__xludf.DUMMYFUNCTION("""COMPUTED_VALUE"""),45949.055647291854)</f>
        <v>45949.05565</v>
      </c>
      <c r="S758" s="1" t="b">
        <f>IFERROR(__xludf.DUMMYFUNCTION("""COMPUTED_VALUE"""),TRUE)</f>
        <v>1</v>
      </c>
      <c r="T758" s="1" t="b">
        <f>IFERROR(__xludf.DUMMYFUNCTION("""COMPUTED_VALUE"""),FALSE)</f>
        <v>0</v>
      </c>
      <c r="U758" s="1" t="str">
        <f>IFERROR(__xludf.DUMMYFUNCTION("""COMPUTED_VALUE"""),"VALID")</f>
        <v>VALID</v>
      </c>
      <c r="V758" s="1">
        <f>IFERROR(__xludf.DUMMYFUNCTION("""COMPUTED_VALUE"""),472.0)</f>
        <v>472</v>
      </c>
      <c r="W758" s="1">
        <f>IFERROR(__xludf.DUMMYFUNCTION("""COMPUTED_VALUE"""),565.0)</f>
        <v>565</v>
      </c>
      <c r="X758" s="1">
        <f>IFERROR(__xludf.DUMMYFUNCTION("""COMPUTED_VALUE"""),1538.0)</f>
        <v>1538</v>
      </c>
      <c r="Y758" s="2"/>
      <c r="Z758" s="2"/>
    </row>
    <row r="759">
      <c r="A759" s="1">
        <f>IFERROR(__xludf.DUMMYFUNCTION("""COMPUTED_VALUE"""),758.0)</f>
        <v>758</v>
      </c>
      <c r="B759" s="1">
        <f>IFERROR(__xludf.DUMMYFUNCTION("""COMPUTED_VALUE"""),10653.0)</f>
        <v>10653</v>
      </c>
      <c r="C759" s="2" t="str">
        <f>IFERROR(__xludf.DUMMYFUNCTION("""COMPUTED_VALUE"""),"Saekawa")</f>
        <v>Saekawa</v>
      </c>
      <c r="D759" s="2" t="str">
        <f>IFERROR(__xludf.DUMMYFUNCTION("""COMPUTED_VALUE"""),"10KM OVERALL M")</f>
        <v>10KM OVERALL M</v>
      </c>
      <c r="E759" s="1">
        <f>IFERROR(__xludf.DUMMYFUNCTION("""COMPUTED_VALUE"""),1.0)</f>
        <v>1</v>
      </c>
      <c r="F759" s="1" t="str">
        <f>IFERROR(__xludf.DUMMYFUNCTION("""COMPUTED_VALUE"""),"Male")</f>
        <v>Male</v>
      </c>
      <c r="G759" s="4" t="b">
        <f>IFERROR(__xludf.DUMMYFUNCTION("""COMPUTED_VALUE"""),TRUE)</f>
        <v>1</v>
      </c>
      <c r="H759" s="4" t="b">
        <f>IFERROR(__xludf.DUMMYFUNCTION("""COMPUTED_VALUE"""),TRUE)</f>
        <v>1</v>
      </c>
      <c r="I759" s="4">
        <f>IFERROR(__xludf.DUMMYFUNCTION("""COMPUTED_VALUE"""),0.24646185185185185)</f>
        <v>0.2464618519</v>
      </c>
      <c r="J759" s="4">
        <f>IFERROR(__xludf.DUMMYFUNCTION("""COMPUTED_VALUE"""),45949.25942254306)</f>
        <v>45949.25942</v>
      </c>
      <c r="K759" s="4">
        <f>IFERROR(__xludf.DUMMYFUNCTION("""COMPUTED_VALUE"""),45949.291138045046)</f>
        <v>45949.29114</v>
      </c>
      <c r="L759" s="4">
        <f>IFERROR(__xludf.DUMMYFUNCTION("""COMPUTED_VALUE"""),45949.300251560155)</f>
        <v>45949.30025</v>
      </c>
      <c r="M759" s="1" t="str">
        <f>IFERROR(__xludf.DUMMYFUNCTION("""COMPUTED_VALUE"""),"RFID")</f>
        <v>RFID</v>
      </c>
      <c r="N759" s="5">
        <f>IFERROR(__xludf.DUMMYFUNCTION("""COMPUTED_VALUE"""),0.005184277777777778)</f>
        <v>0.005184277778</v>
      </c>
      <c r="O759" s="5">
        <f>IFERROR(__xludf.DUMMYFUNCTION("""COMPUTED_VALUE"""),0.012686199074074075)</f>
        <v>0.01268619907</v>
      </c>
      <c r="P759" s="5">
        <f>IFERROR(__xludf.DUMMYFUNCTION("""COMPUTED_VALUE"""),0.003750417740232744)</f>
        <v>0.00375041774</v>
      </c>
      <c r="Q759" s="5">
        <f>IFERROR(__xludf.DUMMYFUNCTION("""COMPUTED_VALUE"""),0.005378971064814815)</f>
        <v>0.005378971065</v>
      </c>
      <c r="R759" s="4">
        <f>IFERROR(__xludf.DUMMYFUNCTION("""COMPUTED_VALUE"""),45949.053789708305)</f>
        <v>45949.05379</v>
      </c>
      <c r="S759" s="1" t="b">
        <f>IFERROR(__xludf.DUMMYFUNCTION("""COMPUTED_VALUE"""),TRUE)</f>
        <v>1</v>
      </c>
      <c r="T759" s="1" t="b">
        <f>IFERROR(__xludf.DUMMYFUNCTION("""COMPUTED_VALUE"""),FALSE)</f>
        <v>0</v>
      </c>
      <c r="U759" s="1" t="str">
        <f>IFERROR(__xludf.DUMMYFUNCTION("""COMPUTED_VALUE"""),"VALID")</f>
        <v>VALID</v>
      </c>
      <c r="V759" s="1">
        <f>IFERROR(__xludf.DUMMYFUNCTION("""COMPUTED_VALUE"""),421.0)</f>
        <v>421</v>
      </c>
      <c r="W759" s="1">
        <f>IFERROR(__xludf.DUMMYFUNCTION("""COMPUTED_VALUE"""),502.0)</f>
        <v>502</v>
      </c>
      <c r="X759" s="1">
        <f>IFERROR(__xludf.DUMMYFUNCTION("""COMPUTED_VALUE"""),1479.0)</f>
        <v>1479</v>
      </c>
      <c r="Y759" s="2"/>
      <c r="Z759" s="2"/>
    </row>
    <row r="760">
      <c r="A760" s="1">
        <f>IFERROR(__xludf.DUMMYFUNCTION("""COMPUTED_VALUE"""),759.0)</f>
        <v>759</v>
      </c>
      <c r="B760" s="1">
        <f>IFERROR(__xludf.DUMMYFUNCTION("""COMPUTED_VALUE"""),10654.0)</f>
        <v>10654</v>
      </c>
      <c r="C760" s="2" t="str">
        <f>IFERROR(__xludf.DUMMYFUNCTION("""COMPUTED_VALUE"""),"MLukmanH")</f>
        <v>MLukmanH</v>
      </c>
      <c r="D760" s="2" t="str">
        <f>IFERROR(__xludf.DUMMYFUNCTION("""COMPUTED_VALUE"""),"10KM OVERALL M")</f>
        <v>10KM OVERALL M</v>
      </c>
      <c r="E760" s="1">
        <f>IFERROR(__xludf.DUMMYFUNCTION("""COMPUTED_VALUE"""),1.0)</f>
        <v>1</v>
      </c>
      <c r="F760" s="1" t="str">
        <f>IFERROR(__xludf.DUMMYFUNCTION("""COMPUTED_VALUE"""),"Male")</f>
        <v>Male</v>
      </c>
      <c r="G760" s="4" t="b">
        <f>IFERROR(__xludf.DUMMYFUNCTION("""COMPUTED_VALUE"""),TRUE)</f>
        <v>1</v>
      </c>
      <c r="H760" s="4" t="b">
        <f>IFERROR(__xludf.DUMMYFUNCTION("""COMPUTED_VALUE"""),FALSE)</f>
        <v>0</v>
      </c>
      <c r="I760" s="4">
        <f>IFERROR(__xludf.DUMMYFUNCTION("""COMPUTED_VALUE"""),0.24646185185185185)</f>
        <v>0.2464618519</v>
      </c>
      <c r="J760" s="4">
        <f>IFERROR(__xludf.DUMMYFUNCTION("""COMPUTED_VALUE"""),45949.25813086855)</f>
        <v>45949.25813</v>
      </c>
      <c r="K760" s="4">
        <f>IFERROR(__xludf.DUMMYFUNCTION("""COMPUTED_VALUE"""),45949.288797552)</f>
        <v>45949.2888</v>
      </c>
      <c r="L760" s="4">
        <f>IFERROR(__xludf.DUMMYFUNCTION("""COMPUTED_VALUE"""),45949.29729323489)</f>
        <v>45949.29729</v>
      </c>
      <c r="M760" s="1" t="str">
        <f>IFERROR(__xludf.DUMMYFUNCTION("""COMPUTED_VALUE"""),"RFID")</f>
        <v>RFID</v>
      </c>
      <c r="N760" s="5">
        <f>IFERROR(__xludf.DUMMYFUNCTION("""COMPUTED_VALUE"""),0.004667606481481482)</f>
        <v>0.004667606481</v>
      </c>
      <c r="O760" s="5">
        <f>IFERROR(__xludf.DUMMYFUNCTION("""COMPUTED_VALUE"""),0.012266671296296296)</f>
        <v>0.0122666713</v>
      </c>
      <c r="P760" s="5">
        <f>IFERROR(__xludf.DUMMYFUNCTION("""COMPUTED_VALUE"""),0.003496165800055895)</f>
        <v>0.0034961658</v>
      </c>
      <c r="Q760" s="5">
        <f>IFERROR(__xludf.DUMMYFUNCTION("""COMPUTED_VALUE"""),0.005083137731481482)</f>
        <v>0.005083137731</v>
      </c>
      <c r="R760" s="4">
        <f>IFERROR(__xludf.DUMMYFUNCTION("""COMPUTED_VALUE"""),45949.05083138304)</f>
        <v>45949.05083</v>
      </c>
      <c r="S760" s="1" t="b">
        <f>IFERROR(__xludf.DUMMYFUNCTION("""COMPUTED_VALUE"""),TRUE)</f>
        <v>1</v>
      </c>
      <c r="T760" s="1" t="b">
        <f>IFERROR(__xludf.DUMMYFUNCTION("""COMPUTED_VALUE"""),FALSE)</f>
        <v>0</v>
      </c>
      <c r="U760" s="1" t="str">
        <f>IFERROR(__xludf.DUMMYFUNCTION("""COMPUTED_VALUE"""),"VALID")</f>
        <v>VALID</v>
      </c>
      <c r="V760" s="1">
        <f>IFERROR(__xludf.DUMMYFUNCTION("""COMPUTED_VALUE"""),363.0)</f>
        <v>363</v>
      </c>
      <c r="W760" s="1">
        <f>IFERROR(__xludf.DUMMYFUNCTION("""COMPUTED_VALUE"""),430.0)</f>
        <v>430</v>
      </c>
      <c r="X760" s="1">
        <f>IFERROR(__xludf.DUMMYFUNCTION("""COMPUTED_VALUE"""),1409.0)</f>
        <v>1409</v>
      </c>
      <c r="Y760" s="2"/>
      <c r="Z760" s="2"/>
    </row>
    <row r="761">
      <c r="A761" s="1">
        <f>IFERROR(__xludf.DUMMYFUNCTION("""COMPUTED_VALUE"""),760.0)</f>
        <v>760</v>
      </c>
      <c r="B761" s="1">
        <f>IFERROR(__xludf.DUMMYFUNCTION("""COMPUTED_VALUE"""),10655.0)</f>
        <v>10655</v>
      </c>
      <c r="C761" s="2" t="str">
        <f>IFERROR(__xludf.DUMMYFUNCTION("""COMPUTED_VALUE"""),"Hifensix")</f>
        <v>Hifensix</v>
      </c>
      <c r="D761" s="2" t="str">
        <f>IFERROR(__xludf.DUMMYFUNCTION("""COMPUTED_VALUE"""),"10KM OVERALL M")</f>
        <v>10KM OVERALL M</v>
      </c>
      <c r="E761" s="1">
        <f>IFERROR(__xludf.DUMMYFUNCTION("""COMPUTED_VALUE"""),1.0)</f>
        <v>1</v>
      </c>
      <c r="F761" s="1" t="str">
        <f>IFERROR(__xludf.DUMMYFUNCTION("""COMPUTED_VALUE"""),"Male")</f>
        <v>Male</v>
      </c>
      <c r="G761" s="4" t="str">
        <f>IFERROR(__xludf.DUMMYFUNCTION("""COMPUTED_VALUE"""),"")</f>
        <v/>
      </c>
      <c r="H761" s="4" t="b">
        <f>IFERROR(__xludf.DUMMYFUNCTION("""COMPUTED_VALUE"""),TRUE)</f>
        <v>1</v>
      </c>
      <c r="I761" s="4">
        <f>IFERROR(__xludf.DUMMYFUNCTION("""COMPUTED_VALUE"""),0.24646185185185185)</f>
        <v>0.2464618519</v>
      </c>
      <c r="J761" s="4">
        <f>IFERROR(__xludf.DUMMYFUNCTION("""COMPUTED_VALUE"""),45949.26957188095)</f>
        <v>45949.26957</v>
      </c>
      <c r="K761" s="4">
        <f>IFERROR(__xludf.DUMMYFUNCTION("""COMPUTED_VALUE"""),45949.293502663386)</f>
        <v>45949.2935</v>
      </c>
      <c r="L761" s="4">
        <f>IFERROR(__xludf.DUMMYFUNCTION("""COMPUTED_VALUE"""),45949.30067512979)</f>
        <v>45949.30068</v>
      </c>
      <c r="M761" s="1" t="str">
        <f>IFERROR(__xludf.DUMMYFUNCTION("""COMPUTED_VALUE"""),"RFID")</f>
        <v>RFID</v>
      </c>
      <c r="N761" s="5">
        <f>IFERROR(__xludf.DUMMYFUNCTION("""COMPUTED_VALUE"""),0.00924401388888889)</f>
        <v>0.009244013889</v>
      </c>
      <c r="O761" s="5">
        <f>IFERROR(__xludf.DUMMYFUNCTION("""COMPUTED_VALUE"""),0.009572314814814815)</f>
        <v>0.009572314815</v>
      </c>
      <c r="P761" s="5">
        <f>IFERROR(__xludf.DUMMYFUNCTION("""COMPUTED_VALUE"""),0.0029516322638862475)</f>
        <v>0.002951632264</v>
      </c>
      <c r="Q761" s="5">
        <f>IFERROR(__xludf.DUMMYFUNCTION("""COMPUTED_VALUE"""),0.0054213275462962965)</f>
        <v>0.005421327546</v>
      </c>
      <c r="R761" s="4">
        <f>IFERROR(__xludf.DUMMYFUNCTION("""COMPUTED_VALUE"""),45949.05421327794)</f>
        <v>45949.05421</v>
      </c>
      <c r="S761" s="1" t="b">
        <f>IFERROR(__xludf.DUMMYFUNCTION("""COMPUTED_VALUE"""),TRUE)</f>
        <v>1</v>
      </c>
      <c r="T761" s="1" t="b">
        <f>IFERROR(__xludf.DUMMYFUNCTION("""COMPUTED_VALUE"""),FALSE)</f>
        <v>0</v>
      </c>
      <c r="U761" s="1" t="str">
        <f>IFERROR(__xludf.DUMMYFUNCTION("""COMPUTED_VALUE"""),"VALID")</f>
        <v>VALID</v>
      </c>
      <c r="V761" s="1">
        <f>IFERROR(__xludf.DUMMYFUNCTION("""COMPUTED_VALUE"""),437.0)</f>
        <v>437</v>
      </c>
      <c r="W761" s="1">
        <f>IFERROR(__xludf.DUMMYFUNCTION("""COMPUTED_VALUE"""),519.0)</f>
        <v>519</v>
      </c>
      <c r="X761" s="1">
        <f>IFERROR(__xludf.DUMMYFUNCTION("""COMPUTED_VALUE"""),1497.0)</f>
        <v>1497</v>
      </c>
      <c r="Y761" s="2"/>
      <c r="Z761" s="2"/>
    </row>
    <row r="762">
      <c r="A762" s="1">
        <f>IFERROR(__xludf.DUMMYFUNCTION("""COMPUTED_VALUE"""),761.0)</f>
        <v>761</v>
      </c>
      <c r="B762" s="1">
        <f>IFERROR(__xludf.DUMMYFUNCTION("""COMPUTED_VALUE"""),10656.0)</f>
        <v>10656</v>
      </c>
      <c r="C762" s="2" t="str">
        <f>IFERROR(__xludf.DUMMYFUNCTION("""COMPUTED_VALUE"""),"Ega")</f>
        <v>Ega</v>
      </c>
      <c r="D762" s="2" t="str">
        <f>IFERROR(__xludf.DUMMYFUNCTION("""COMPUTED_VALUE"""),"10KM OVERALL M")</f>
        <v>10KM OVERALL M</v>
      </c>
      <c r="E762" s="1">
        <f>IFERROR(__xludf.DUMMYFUNCTION("""COMPUTED_VALUE"""),1.0)</f>
        <v>1</v>
      </c>
      <c r="F762" s="1" t="str">
        <f>IFERROR(__xludf.DUMMYFUNCTION("""COMPUTED_VALUE"""),"Male")</f>
        <v>Male</v>
      </c>
      <c r="G762" s="4" t="b">
        <f>IFERROR(__xludf.DUMMYFUNCTION("""COMPUTED_VALUE"""),TRUE)</f>
        <v>1</v>
      </c>
      <c r="H762" s="4" t="b">
        <f>IFERROR(__xludf.DUMMYFUNCTION("""COMPUTED_VALUE"""),TRUE)</f>
        <v>1</v>
      </c>
      <c r="I762" s="4">
        <f>IFERROR(__xludf.DUMMYFUNCTION("""COMPUTED_VALUE"""),0.24646185185185185)</f>
        <v>0.2464618519</v>
      </c>
      <c r="J762" s="4">
        <f>IFERROR(__xludf.DUMMYFUNCTION("""COMPUTED_VALUE"""),45949.254589248565)</f>
        <v>45949.25459</v>
      </c>
      <c r="K762" s="4">
        <f>IFERROR(__xludf.DUMMYFUNCTION("""COMPUTED_VALUE"""),45949.31994212963)</f>
        <v>45949.31994</v>
      </c>
      <c r="L762" s="4">
        <f>IFERROR(__xludf.DUMMYFUNCTION("""COMPUTED_VALUE"""),45949.28501545943)</f>
        <v>45949.28502</v>
      </c>
      <c r="M762" s="1" t="str">
        <f>IFERROR(__xludf.DUMMYFUNCTION("""COMPUTED_VALUE"""),"RFID")</f>
        <v>RFID</v>
      </c>
      <c r="N762" s="5">
        <f>IFERROR(__xludf.DUMMYFUNCTION("""COMPUTED_VALUE"""),0.0032509583333333336)</f>
        <v>0.003250958333</v>
      </c>
      <c r="O762" s="5">
        <f>IFERROR(__xludf.DUMMYFUNCTION("""COMPUTED_VALUE"""),0.026141152777777777)</f>
        <v>0.02614115278</v>
      </c>
      <c r="P762" s="5">
        <f>IFERROR(__xludf.DUMMYFUNCTION("""COMPUTED_VALUE"""),-0.014373115309990305)</f>
        <v>-0.01437311531</v>
      </c>
      <c r="Q762" s="5">
        <f>IFERROR(__xludf.DUMMYFUNCTION("""COMPUTED_VALUE"""),0.0038553611111111115)</f>
        <v>0.003855361111</v>
      </c>
      <c r="R762" s="4">
        <f>IFERROR(__xludf.DUMMYFUNCTION("""COMPUTED_VALUE"""),45949.03855360758)</f>
        <v>45949.03855</v>
      </c>
      <c r="S762" s="1" t="b">
        <f>IFERROR(__xludf.DUMMYFUNCTION("""COMPUTED_VALUE"""),TRUE)</f>
        <v>1</v>
      </c>
      <c r="T762" s="1" t="b">
        <f>IFERROR(__xludf.DUMMYFUNCTION("""COMPUTED_VALUE"""),FALSE)</f>
        <v>0</v>
      </c>
      <c r="U762" s="1" t="str">
        <f>IFERROR(__xludf.DUMMYFUNCTION("""COMPUTED_VALUE"""),"VALID")</f>
        <v>VALID</v>
      </c>
      <c r="V762" s="1">
        <f>IFERROR(__xludf.DUMMYFUNCTION("""COMPUTED_VALUE"""),78.0)</f>
        <v>78</v>
      </c>
      <c r="W762" s="1">
        <f>IFERROR(__xludf.DUMMYFUNCTION("""COMPUTED_VALUE"""),95.0)</f>
        <v>95</v>
      </c>
      <c r="X762" s="1">
        <f>IFERROR(__xludf.DUMMYFUNCTION("""COMPUTED_VALUE"""),905.0)</f>
        <v>905</v>
      </c>
      <c r="Y762" s="2"/>
      <c r="Z762" s="2"/>
    </row>
    <row r="763">
      <c r="A763" s="1">
        <f>IFERROR(__xludf.DUMMYFUNCTION("""COMPUTED_VALUE"""),762.0)</f>
        <v>762</v>
      </c>
      <c r="B763" s="1">
        <f>IFERROR(__xludf.DUMMYFUNCTION("""COMPUTED_VALUE"""),10657.0)</f>
        <v>10657</v>
      </c>
      <c r="C763" s="2" t="str">
        <f>IFERROR(__xludf.DUMMYFUNCTION("""COMPUTED_VALUE"""),"Reza Syarief")</f>
        <v>Reza Syarief</v>
      </c>
      <c r="D763" s="2" t="str">
        <f>IFERROR(__xludf.DUMMYFUNCTION("""COMPUTED_VALUE"""),"10KM OVERALL M")</f>
        <v>10KM OVERALL M</v>
      </c>
      <c r="E763" s="1">
        <f>IFERROR(__xludf.DUMMYFUNCTION("""COMPUTED_VALUE"""),1.0)</f>
        <v>1</v>
      </c>
      <c r="F763" s="1" t="str">
        <f>IFERROR(__xludf.DUMMYFUNCTION("""COMPUTED_VALUE"""),"Male")</f>
        <v>Male</v>
      </c>
      <c r="G763" s="4" t="b">
        <f>IFERROR(__xludf.DUMMYFUNCTION("""COMPUTED_VALUE"""),TRUE)</f>
        <v>1</v>
      </c>
      <c r="H763" s="4" t="b">
        <f>IFERROR(__xludf.DUMMYFUNCTION("""COMPUTED_VALUE"""),TRUE)</f>
        <v>1</v>
      </c>
      <c r="I763" s="4">
        <f>IFERROR(__xludf.DUMMYFUNCTION("""COMPUTED_VALUE"""),0.24646185185185185)</f>
        <v>0.2464618519</v>
      </c>
      <c r="J763" s="4">
        <f>IFERROR(__xludf.DUMMYFUNCTION("""COMPUTED_VALUE"""),45949.25666564691)</f>
        <v>45949.25667</v>
      </c>
      <c r="K763" s="4">
        <f>IFERROR(__xludf.DUMMYFUNCTION("""COMPUTED_VALUE"""),45949.284842700356)</f>
        <v>45949.28484</v>
      </c>
      <c r="L763" s="4">
        <f>IFERROR(__xludf.DUMMYFUNCTION("""COMPUTED_VALUE"""),45949.29247032724)</f>
        <v>45949.29247</v>
      </c>
      <c r="M763" s="1" t="str">
        <f>IFERROR(__xludf.DUMMYFUNCTION("""COMPUTED_VALUE"""),"RFID")</f>
        <v>RFID</v>
      </c>
      <c r="N763" s="5">
        <f>IFERROR(__xludf.DUMMYFUNCTION("""COMPUTED_VALUE"""),0.004081518518518518)</f>
        <v>0.004081518519</v>
      </c>
      <c r="O763" s="5">
        <f>IFERROR(__xludf.DUMMYFUNCTION("""COMPUTED_VALUE"""),0.011270819444444444)</f>
        <v>0.01127081944</v>
      </c>
      <c r="P763" s="5">
        <f>IFERROR(__xludf.DUMMYFUNCTION("""COMPUTED_VALUE"""),0.0031389411032935717)</f>
        <v>0.003138941103</v>
      </c>
      <c r="Q763" s="5">
        <f>IFERROR(__xludf.DUMMYFUNCTION("""COMPUTED_VALUE"""),0.004600847222222222)</f>
        <v>0.004600847222</v>
      </c>
      <c r="R763" s="4">
        <f>IFERROR(__xludf.DUMMYFUNCTION("""COMPUTED_VALUE"""),45949.04600847539)</f>
        <v>45949.04601</v>
      </c>
      <c r="S763" s="1" t="b">
        <f>IFERROR(__xludf.DUMMYFUNCTION("""COMPUTED_VALUE"""),TRUE)</f>
        <v>1</v>
      </c>
      <c r="T763" s="1" t="b">
        <f>IFERROR(__xludf.DUMMYFUNCTION("""COMPUTED_VALUE"""),FALSE)</f>
        <v>0</v>
      </c>
      <c r="U763" s="1" t="str">
        <f>IFERROR(__xludf.DUMMYFUNCTION("""COMPUTED_VALUE"""),"VALID")</f>
        <v>VALID</v>
      </c>
      <c r="V763" s="1">
        <f>IFERROR(__xludf.DUMMYFUNCTION("""COMPUTED_VALUE"""),241.0)</f>
        <v>241</v>
      </c>
      <c r="W763" s="1">
        <f>IFERROR(__xludf.DUMMYFUNCTION("""COMPUTED_VALUE"""),290.0)</f>
        <v>290</v>
      </c>
      <c r="X763" s="1">
        <f>IFERROR(__xludf.DUMMYFUNCTION("""COMPUTED_VALUE"""),1236.0)</f>
        <v>1236</v>
      </c>
      <c r="Y763" s="2"/>
      <c r="Z763" s="2"/>
    </row>
    <row r="764">
      <c r="A764" s="1">
        <f>IFERROR(__xludf.DUMMYFUNCTION("""COMPUTED_VALUE"""),763.0)</f>
        <v>763</v>
      </c>
      <c r="B764" s="1">
        <f>IFERROR(__xludf.DUMMYFUNCTION("""COMPUTED_VALUE"""),10658.0)</f>
        <v>10658</v>
      </c>
      <c r="C764" s="2" t="str">
        <f>IFERROR(__xludf.DUMMYFUNCTION("""COMPUTED_VALUE"""),"Juvanda")</f>
        <v>Juvanda</v>
      </c>
      <c r="D764" s="2" t="str">
        <f>IFERROR(__xludf.DUMMYFUNCTION("""COMPUTED_VALUE"""),"10KM OVERALL M")</f>
        <v>10KM OVERALL M</v>
      </c>
      <c r="E764" s="1">
        <f>IFERROR(__xludf.DUMMYFUNCTION("""COMPUTED_VALUE"""),1.0)</f>
        <v>1</v>
      </c>
      <c r="F764" s="1" t="str">
        <f>IFERROR(__xludf.DUMMYFUNCTION("""COMPUTED_VALUE"""),"Male")</f>
        <v>Male</v>
      </c>
      <c r="G764" s="4" t="b">
        <f>IFERROR(__xludf.DUMMYFUNCTION("""COMPUTED_VALUE"""),TRUE)</f>
        <v>1</v>
      </c>
      <c r="H764" s="4" t="b">
        <f>IFERROR(__xludf.DUMMYFUNCTION("""COMPUTED_VALUE"""),TRUE)</f>
        <v>1</v>
      </c>
      <c r="I764" s="4">
        <f>IFERROR(__xludf.DUMMYFUNCTION("""COMPUTED_VALUE"""),0.24646185185185185)</f>
        <v>0.2464618519</v>
      </c>
      <c r="J764" s="4">
        <f>IFERROR(__xludf.DUMMYFUNCTION("""COMPUTED_VALUE"""),45949.26118293626)</f>
        <v>45949.26118</v>
      </c>
      <c r="K764" s="4">
        <f>IFERROR(__xludf.DUMMYFUNCTION("""COMPUTED_VALUE"""),45949.2940686892)</f>
        <v>45949.29407</v>
      </c>
      <c r="L764" s="4" t="str">
        <f>IFERROR(__xludf.DUMMYFUNCTION("""COMPUTED_VALUE"""),"")</f>
        <v/>
      </c>
      <c r="M764" s="1" t="str">
        <f>IFERROR(__xludf.DUMMYFUNCTION("""COMPUTED_VALUE"""),"RFID")</f>
        <v>RFID</v>
      </c>
      <c r="N764" s="5">
        <f>IFERROR(__xludf.DUMMYFUNCTION("""COMPUTED_VALUE"""),0.005888435185185186)</f>
        <v>0.005888435185</v>
      </c>
      <c r="O764" s="5">
        <f>IFERROR(__xludf.DUMMYFUNCTION("""COMPUTED_VALUE"""),0.013154300925925927)</f>
        <v>0.01315430093</v>
      </c>
      <c r="P764" s="5" t="str">
        <f>IFERROR(__xludf.DUMMYFUNCTION("""COMPUTED_VALUE"""),"")</f>
        <v/>
      </c>
      <c r="Q764" s="5" t="str">
        <f>IFERROR(__xludf.DUMMYFUNCTION("""COMPUTED_VALUE"""),"")</f>
        <v/>
      </c>
      <c r="R764" s="4" t="str">
        <f>IFERROR(__xludf.DUMMYFUNCTION("""COMPUTED_VALUE"""),"")</f>
        <v/>
      </c>
      <c r="S764" s="1" t="b">
        <f>IFERROR(__xludf.DUMMYFUNCTION("""COMPUTED_VALUE"""),TRUE)</f>
        <v>1</v>
      </c>
      <c r="T764" s="1" t="b">
        <f>IFERROR(__xludf.DUMMYFUNCTION("""COMPUTED_VALUE"""),FALSE)</f>
        <v>0</v>
      </c>
      <c r="U764" s="1" t="str">
        <f>IFERROR(__xludf.DUMMYFUNCTION("""COMPUTED_VALUE"""),"DNF")</f>
        <v>DNF</v>
      </c>
      <c r="V764" s="1" t="str">
        <f>IFERROR(__xludf.DUMMYFUNCTION("""COMPUTED_VALUE"""),"DNF")</f>
        <v>DNF</v>
      </c>
      <c r="W764" s="1" t="str">
        <f>IFERROR(__xludf.DUMMYFUNCTION("""COMPUTED_VALUE"""),"DNF")</f>
        <v>DNF</v>
      </c>
      <c r="X764" s="1" t="str">
        <f>IFERROR(__xludf.DUMMYFUNCTION("""COMPUTED_VALUE"""),"DNF")</f>
        <v>DNF</v>
      </c>
      <c r="Y764" s="2" t="str">
        <f>IFERROR(__xludf.DUMMYFUNCTION("""COMPUTED_VALUE"""),"tidak terlihat di finish")</f>
        <v>tidak terlihat di finish</v>
      </c>
      <c r="Z764" s="2"/>
    </row>
    <row r="765">
      <c r="A765" s="1">
        <f>IFERROR(__xludf.DUMMYFUNCTION("""COMPUTED_VALUE"""),764.0)</f>
        <v>764</v>
      </c>
      <c r="B765" s="1">
        <f>IFERROR(__xludf.DUMMYFUNCTION("""COMPUTED_VALUE"""),10659.0)</f>
        <v>10659</v>
      </c>
      <c r="C765" s="2" t="str">
        <f>IFERROR(__xludf.DUMMYFUNCTION("""COMPUTED_VALUE"""),"Rizal")</f>
        <v>Rizal</v>
      </c>
      <c r="D765" s="2" t="str">
        <f>IFERROR(__xludf.DUMMYFUNCTION("""COMPUTED_VALUE"""),"10KM OVERALL M")</f>
        <v>10KM OVERALL M</v>
      </c>
      <c r="E765" s="1">
        <f>IFERROR(__xludf.DUMMYFUNCTION("""COMPUTED_VALUE"""),1.0)</f>
        <v>1</v>
      </c>
      <c r="F765" s="1" t="str">
        <f>IFERROR(__xludf.DUMMYFUNCTION("""COMPUTED_VALUE"""),"Male")</f>
        <v>Male</v>
      </c>
      <c r="G765" s="4" t="b">
        <f>IFERROR(__xludf.DUMMYFUNCTION("""COMPUTED_VALUE"""),TRUE)</f>
        <v>1</v>
      </c>
      <c r="H765" s="4" t="b">
        <f>IFERROR(__xludf.DUMMYFUNCTION("""COMPUTED_VALUE"""),TRUE)</f>
        <v>1</v>
      </c>
      <c r="I765" s="4">
        <f>IFERROR(__xludf.DUMMYFUNCTION("""COMPUTED_VALUE"""),0.24646185185185185)</f>
        <v>0.2464618519</v>
      </c>
      <c r="J765" s="4">
        <f>IFERROR(__xludf.DUMMYFUNCTION("""COMPUTED_VALUE"""),45949.26197112844)</f>
        <v>45949.26197</v>
      </c>
      <c r="K765" s="4" t="str">
        <f>IFERROR(__xludf.DUMMYFUNCTION("""COMPUTED_VALUE"""),"")</f>
        <v/>
      </c>
      <c r="L765" s="4">
        <f>IFERROR(__xludf.DUMMYFUNCTION("""COMPUTED_VALUE"""),45949.268816736396)</f>
        <v>45949.26882</v>
      </c>
      <c r="M765" s="1" t="str">
        <f>IFERROR(__xludf.DUMMYFUNCTION("""COMPUTED_VALUE"""),"RFID")</f>
        <v>RFID</v>
      </c>
      <c r="N765" s="5">
        <f>IFERROR(__xludf.DUMMYFUNCTION("""COMPUTED_VALUE"""),0.006203708333333334)</f>
        <v>0.006203708333</v>
      </c>
      <c r="O765" s="5" t="str">
        <f>IFERROR(__xludf.DUMMYFUNCTION("""COMPUTED_VALUE"""),"")</f>
        <v/>
      </c>
      <c r="P765" s="5" t="str">
        <f>IFERROR(__xludf.DUMMYFUNCTION("""COMPUTED_VALUE"""),"")</f>
        <v/>
      </c>
      <c r="Q765" s="5">
        <f>IFERROR(__xludf.DUMMYFUNCTION("""COMPUTED_VALUE"""),0.002235488425925926)</f>
        <v>0.002235488426</v>
      </c>
      <c r="R765" s="4">
        <f>IFERROR(__xludf.DUMMYFUNCTION("""COMPUTED_VALUE"""),45949.022354884546)</f>
        <v>45949.02235</v>
      </c>
      <c r="S765" s="1" t="b">
        <f>IFERROR(__xludf.DUMMYFUNCTION("""COMPUTED_VALUE"""),TRUE)</f>
        <v>1</v>
      </c>
      <c r="T765" s="1" t="b">
        <f>IFERROR(__xludf.DUMMYFUNCTION("""COMPUTED_VALUE"""),TRUE)</f>
        <v>1</v>
      </c>
      <c r="U765" s="1" t="str">
        <f>IFERROR(__xludf.DUMMYFUNCTION("""COMPUTED_VALUE"""),"DSQ")</f>
        <v>DSQ</v>
      </c>
      <c r="V765" s="1" t="str">
        <f>IFERROR(__xludf.DUMMYFUNCTION("""COMPUTED_VALUE"""),"DSQ")</f>
        <v>DSQ</v>
      </c>
      <c r="W765" s="1" t="str">
        <f>IFERROR(__xludf.DUMMYFUNCTION("""COMPUTED_VALUE"""),"DSQ")</f>
        <v>DSQ</v>
      </c>
      <c r="X765" s="1" t="str">
        <f>IFERROR(__xludf.DUMMYFUNCTION("""COMPUTED_VALUE"""),"DSQ")</f>
        <v>DSQ</v>
      </c>
      <c r="Y765" s="2" t="str">
        <f>IFERROR(__xludf.DUMMYFUNCTION("""COMPUTED_VALUE"""),"gk ada di video")</f>
        <v>gk ada di video</v>
      </c>
      <c r="Z765" s="2"/>
    </row>
    <row r="766">
      <c r="A766" s="1">
        <f>IFERROR(__xludf.DUMMYFUNCTION("""COMPUTED_VALUE"""),765.0)</f>
        <v>765</v>
      </c>
      <c r="B766" s="1">
        <f>IFERROR(__xludf.DUMMYFUNCTION("""COMPUTED_VALUE"""),10661.0)</f>
        <v>10661</v>
      </c>
      <c r="C766" s="2" t="str">
        <f>IFERROR(__xludf.DUMMYFUNCTION("""COMPUTED_VALUE"""),"DIO SURYA")</f>
        <v>DIO SURYA</v>
      </c>
      <c r="D766" s="2" t="str">
        <f>IFERROR(__xludf.DUMMYFUNCTION("""COMPUTED_VALUE"""),"10KM OVERALL M")</f>
        <v>10KM OVERALL M</v>
      </c>
      <c r="E766" s="1">
        <f>IFERROR(__xludf.DUMMYFUNCTION("""COMPUTED_VALUE"""),1.0)</f>
        <v>1</v>
      </c>
      <c r="F766" s="1" t="str">
        <f>IFERROR(__xludf.DUMMYFUNCTION("""COMPUTED_VALUE"""),"Male")</f>
        <v>Male</v>
      </c>
      <c r="G766" s="4" t="b">
        <f>IFERROR(__xludf.DUMMYFUNCTION("""COMPUTED_VALUE"""),TRUE)</f>
        <v>1</v>
      </c>
      <c r="H766" s="4" t="b">
        <f>IFERROR(__xludf.DUMMYFUNCTION("""COMPUTED_VALUE"""),TRUE)</f>
        <v>1</v>
      </c>
      <c r="I766" s="4">
        <f>IFERROR(__xludf.DUMMYFUNCTION("""COMPUTED_VALUE"""),0.24646185185185185)</f>
        <v>0.2464618519</v>
      </c>
      <c r="J766" s="4">
        <f>IFERROR(__xludf.DUMMYFUNCTION("""COMPUTED_VALUE"""),45949.2579884977)</f>
        <v>45949.25799</v>
      </c>
      <c r="K766" s="4">
        <f>IFERROR(__xludf.DUMMYFUNCTION("""COMPUTED_VALUE"""),45949.28911009356)</f>
        <v>45949.28911</v>
      </c>
      <c r="L766" s="4">
        <f>IFERROR(__xludf.DUMMYFUNCTION("""COMPUTED_VALUE"""),45949.298101851855)</f>
        <v>45949.2981</v>
      </c>
      <c r="M766" s="1" t="str">
        <f>IFERROR(__xludf.DUMMYFUNCTION("""COMPUTED_VALUE"""),"RFID")</f>
        <v>RFID</v>
      </c>
      <c r="N766" s="5">
        <f>IFERROR(__xludf.DUMMYFUNCTION("""COMPUTED_VALUE"""),0.004610657407407408)</f>
        <v>0.004610657407</v>
      </c>
      <c r="O766" s="5">
        <f>IFERROR(__xludf.DUMMYFUNCTION("""COMPUTED_VALUE"""),0.012448638888888888)</f>
        <v>0.01244863889</v>
      </c>
      <c r="P766" s="5">
        <f>IFERROR(__xludf.DUMMYFUNCTION("""COMPUTED_VALUE"""),0.0037003120557412717)</f>
        <v>0.003700312056</v>
      </c>
      <c r="Q766" s="5">
        <f>IFERROR(__xludf.DUMMYFUNCTION("""COMPUTED_VALUE"""),0.005164)</f>
        <v>0.005164</v>
      </c>
      <c r="R766" s="4">
        <f>IFERROR(__xludf.DUMMYFUNCTION("""COMPUTED_VALUE"""),45949.051640000005)</f>
        <v>45949.05164</v>
      </c>
      <c r="S766" s="1" t="b">
        <f>IFERROR(__xludf.DUMMYFUNCTION("""COMPUTED_VALUE"""),TRUE)</f>
        <v>1</v>
      </c>
      <c r="T766" s="1" t="b">
        <f>IFERROR(__xludf.DUMMYFUNCTION("""COMPUTED_VALUE"""),FALSE)</f>
        <v>0</v>
      </c>
      <c r="U766" s="1" t="str">
        <f>IFERROR(__xludf.DUMMYFUNCTION("""COMPUTED_VALUE"""),"VALID")</f>
        <v>VALID</v>
      </c>
      <c r="V766" s="1">
        <f>IFERROR(__xludf.DUMMYFUNCTION("""COMPUTED_VALUE"""),379.0)</f>
        <v>379</v>
      </c>
      <c r="W766" s="1">
        <f>IFERROR(__xludf.DUMMYFUNCTION("""COMPUTED_VALUE"""),448.0)</f>
        <v>448</v>
      </c>
      <c r="X766" s="1">
        <f>IFERROR(__xludf.DUMMYFUNCTION("""COMPUTED_VALUE"""),1427.0)</f>
        <v>1427</v>
      </c>
      <c r="Y766" s="2"/>
      <c r="Z766" s="2"/>
    </row>
    <row r="767">
      <c r="A767" s="1">
        <f>IFERROR(__xludf.DUMMYFUNCTION("""COMPUTED_VALUE"""),766.0)</f>
        <v>766</v>
      </c>
      <c r="B767" s="1">
        <f>IFERROR(__xludf.DUMMYFUNCTION("""COMPUTED_VALUE"""),10662.0)</f>
        <v>10662</v>
      </c>
      <c r="C767" s="2" t="str">
        <f>IFERROR(__xludf.DUMMYFUNCTION("""COMPUTED_VALUE"""),"Naparin")</f>
        <v>Naparin</v>
      </c>
      <c r="D767" s="2" t="str">
        <f>IFERROR(__xludf.DUMMYFUNCTION("""COMPUTED_VALUE"""),"10KM OVERALL M")</f>
        <v>10KM OVERALL M</v>
      </c>
      <c r="E767" s="1">
        <f>IFERROR(__xludf.DUMMYFUNCTION("""COMPUTED_VALUE"""),1.0)</f>
        <v>1</v>
      </c>
      <c r="F767" s="1" t="str">
        <f>IFERROR(__xludf.DUMMYFUNCTION("""COMPUTED_VALUE"""),"Male")</f>
        <v>Male</v>
      </c>
      <c r="G767" s="4" t="str">
        <f>IFERROR(__xludf.DUMMYFUNCTION("""COMPUTED_VALUE"""),"")</f>
        <v/>
      </c>
      <c r="H767" s="4" t="b">
        <f>IFERROR(__xludf.DUMMYFUNCTION("""COMPUTED_VALUE"""),FALSE)</f>
        <v>0</v>
      </c>
      <c r="I767" s="4">
        <f>IFERROR(__xludf.DUMMYFUNCTION("""COMPUTED_VALUE"""),0.24646185185185185)</f>
        <v>0.2464618519</v>
      </c>
      <c r="J767" s="4" t="str">
        <f>IFERROR(__xludf.DUMMYFUNCTION("""COMPUTED_VALUE"""),"")</f>
        <v/>
      </c>
      <c r="K767" s="4" t="str">
        <f>IFERROR(__xludf.DUMMYFUNCTION("""COMPUTED_VALUE"""),"")</f>
        <v/>
      </c>
      <c r="L767" s="4" t="str">
        <f>IFERROR(__xludf.DUMMYFUNCTION("""COMPUTED_VALUE"""),"")</f>
        <v/>
      </c>
      <c r="M767" s="1" t="str">
        <f>IFERROR(__xludf.DUMMYFUNCTION("""COMPUTED_VALUE"""),"RFID")</f>
        <v>RFID</v>
      </c>
      <c r="N767" s="5" t="str">
        <f>IFERROR(__xludf.DUMMYFUNCTION("""COMPUTED_VALUE"""),"")</f>
        <v/>
      </c>
      <c r="O767" s="5" t="str">
        <f>IFERROR(__xludf.DUMMYFUNCTION("""COMPUTED_VALUE"""),"")</f>
        <v/>
      </c>
      <c r="P767" s="5" t="str">
        <f>IFERROR(__xludf.DUMMYFUNCTION("""COMPUTED_VALUE"""),"")</f>
        <v/>
      </c>
      <c r="Q767" s="5" t="str">
        <f>IFERROR(__xludf.DUMMYFUNCTION("""COMPUTED_VALUE"""),"")</f>
        <v/>
      </c>
      <c r="R767" s="4" t="str">
        <f>IFERROR(__xludf.DUMMYFUNCTION("""COMPUTED_VALUE"""),"")</f>
        <v/>
      </c>
      <c r="S767" s="1" t="b">
        <f>IFERROR(__xludf.DUMMYFUNCTION("""COMPUTED_VALUE"""),FALSE)</f>
        <v>0</v>
      </c>
      <c r="T767" s="1" t="b">
        <f>IFERROR(__xludf.DUMMYFUNCTION("""COMPUTED_VALUE"""),FALSE)</f>
        <v>0</v>
      </c>
      <c r="U767" s="1" t="str">
        <f>IFERROR(__xludf.DUMMYFUNCTION("""COMPUTED_VALUE"""),"DSQ")</f>
        <v>DSQ</v>
      </c>
      <c r="V767" s="1" t="str">
        <f>IFERROR(__xludf.DUMMYFUNCTION("""COMPUTED_VALUE"""),"DSQ")</f>
        <v>DSQ</v>
      </c>
      <c r="W767" s="1" t="str">
        <f>IFERROR(__xludf.DUMMYFUNCTION("""COMPUTED_VALUE"""),"DSQ")</f>
        <v>DSQ</v>
      </c>
      <c r="X767" s="1" t="str">
        <f>IFERROR(__xludf.DUMMYFUNCTION("""COMPUTED_VALUE"""),"DSQ")</f>
        <v>DSQ</v>
      </c>
      <c r="Y767" s="2"/>
      <c r="Z767" s="2" t="str">
        <f>IFERROR(__xludf.DUMMYFUNCTION("""COMPUTED_VALUE"""),"")</f>
        <v/>
      </c>
    </row>
    <row r="768">
      <c r="A768" s="1">
        <f>IFERROR(__xludf.DUMMYFUNCTION("""COMPUTED_VALUE"""),767.0)</f>
        <v>767</v>
      </c>
      <c r="B768" s="1">
        <f>IFERROR(__xludf.DUMMYFUNCTION("""COMPUTED_VALUE"""),10663.0)</f>
        <v>10663</v>
      </c>
      <c r="C768" s="2" t="str">
        <f>IFERROR(__xludf.DUMMYFUNCTION("""COMPUTED_VALUE"""),"Gonjeng no limit")</f>
        <v>Gonjeng no limit</v>
      </c>
      <c r="D768" s="2" t="str">
        <f>IFERROR(__xludf.DUMMYFUNCTION("""COMPUTED_VALUE"""),"10KM OVERALL M")</f>
        <v>10KM OVERALL M</v>
      </c>
      <c r="E768" s="1">
        <f>IFERROR(__xludf.DUMMYFUNCTION("""COMPUTED_VALUE"""),1.0)</f>
        <v>1</v>
      </c>
      <c r="F768" s="1" t="str">
        <f>IFERROR(__xludf.DUMMYFUNCTION("""COMPUTED_VALUE"""),"Male")</f>
        <v>Male</v>
      </c>
      <c r="G768" s="4" t="str">
        <f>IFERROR(__xludf.DUMMYFUNCTION("""COMPUTED_VALUE"""),"")</f>
        <v/>
      </c>
      <c r="H768" s="4" t="b">
        <f>IFERROR(__xludf.DUMMYFUNCTION("""COMPUTED_VALUE"""),FALSE)</f>
        <v>0</v>
      </c>
      <c r="I768" s="4">
        <f>IFERROR(__xludf.DUMMYFUNCTION("""COMPUTED_VALUE"""),0.24646185185185185)</f>
        <v>0.2464618519</v>
      </c>
      <c r="J768" s="4" t="str">
        <f>IFERROR(__xludf.DUMMYFUNCTION("""COMPUTED_VALUE"""),"")</f>
        <v/>
      </c>
      <c r="K768" s="4" t="str">
        <f>IFERROR(__xludf.DUMMYFUNCTION("""COMPUTED_VALUE"""),"")</f>
        <v/>
      </c>
      <c r="L768" s="4" t="str">
        <f>IFERROR(__xludf.DUMMYFUNCTION("""COMPUTED_VALUE"""),"")</f>
        <v/>
      </c>
      <c r="M768" s="1" t="str">
        <f>IFERROR(__xludf.DUMMYFUNCTION("""COMPUTED_VALUE"""),"RFID")</f>
        <v>RFID</v>
      </c>
      <c r="N768" s="5" t="str">
        <f>IFERROR(__xludf.DUMMYFUNCTION("""COMPUTED_VALUE"""),"")</f>
        <v/>
      </c>
      <c r="O768" s="5" t="str">
        <f>IFERROR(__xludf.DUMMYFUNCTION("""COMPUTED_VALUE"""),"")</f>
        <v/>
      </c>
      <c r="P768" s="5" t="str">
        <f>IFERROR(__xludf.DUMMYFUNCTION("""COMPUTED_VALUE"""),"")</f>
        <v/>
      </c>
      <c r="Q768" s="5" t="str">
        <f>IFERROR(__xludf.DUMMYFUNCTION("""COMPUTED_VALUE"""),"")</f>
        <v/>
      </c>
      <c r="R768" s="4" t="str">
        <f>IFERROR(__xludf.DUMMYFUNCTION("""COMPUTED_VALUE"""),"")</f>
        <v/>
      </c>
      <c r="S768" s="1" t="b">
        <f>IFERROR(__xludf.DUMMYFUNCTION("""COMPUTED_VALUE"""),FALSE)</f>
        <v>0</v>
      </c>
      <c r="T768" s="1" t="b">
        <f>IFERROR(__xludf.DUMMYFUNCTION("""COMPUTED_VALUE"""),FALSE)</f>
        <v>0</v>
      </c>
      <c r="U768" s="1" t="str">
        <f>IFERROR(__xludf.DUMMYFUNCTION("""COMPUTED_VALUE"""),"DSQ")</f>
        <v>DSQ</v>
      </c>
      <c r="V768" s="1" t="str">
        <f>IFERROR(__xludf.DUMMYFUNCTION("""COMPUTED_VALUE"""),"DSQ")</f>
        <v>DSQ</v>
      </c>
      <c r="W768" s="1" t="str">
        <f>IFERROR(__xludf.DUMMYFUNCTION("""COMPUTED_VALUE"""),"DSQ")</f>
        <v>DSQ</v>
      </c>
      <c r="X768" s="1" t="str">
        <f>IFERROR(__xludf.DUMMYFUNCTION("""COMPUTED_VALUE"""),"DSQ")</f>
        <v>DSQ</v>
      </c>
      <c r="Y768" s="2"/>
      <c r="Z768" s="2" t="str">
        <f>IFERROR(__xludf.DUMMYFUNCTION("""COMPUTED_VALUE"""),"")</f>
        <v/>
      </c>
    </row>
    <row r="769">
      <c r="A769" s="1">
        <f>IFERROR(__xludf.DUMMYFUNCTION("""COMPUTED_VALUE"""),768.0)</f>
        <v>768</v>
      </c>
      <c r="B769" s="1">
        <f>IFERROR(__xludf.DUMMYFUNCTION("""COMPUTED_VALUE"""),10664.0)</f>
        <v>10664</v>
      </c>
      <c r="C769" s="2" t="str">
        <f>IFERROR(__xludf.DUMMYFUNCTION("""COMPUTED_VALUE"""),"MUHAMMAD RIFKY RIDANI")</f>
        <v>MUHAMMAD RIFKY RIDANI</v>
      </c>
      <c r="D769" s="2" t="str">
        <f>IFERROR(__xludf.DUMMYFUNCTION("""COMPUTED_VALUE"""),"10KM OVERALL M")</f>
        <v>10KM OVERALL M</v>
      </c>
      <c r="E769" s="1">
        <f>IFERROR(__xludf.DUMMYFUNCTION("""COMPUTED_VALUE"""),1.0)</f>
        <v>1</v>
      </c>
      <c r="F769" s="1" t="str">
        <f>IFERROR(__xludf.DUMMYFUNCTION("""COMPUTED_VALUE"""),"Male")</f>
        <v>Male</v>
      </c>
      <c r="G769" s="4" t="str">
        <f>IFERROR(__xludf.DUMMYFUNCTION("""COMPUTED_VALUE"""),"")</f>
        <v/>
      </c>
      <c r="H769" s="4" t="b">
        <f>IFERROR(__xludf.DUMMYFUNCTION("""COMPUTED_VALUE"""),FALSE)</f>
        <v>0</v>
      </c>
      <c r="I769" s="4">
        <f>IFERROR(__xludf.DUMMYFUNCTION("""COMPUTED_VALUE"""),0.24646185185185185)</f>
        <v>0.2464618519</v>
      </c>
      <c r="J769" s="4">
        <f>IFERROR(__xludf.DUMMYFUNCTION("""COMPUTED_VALUE"""),45949.25289572697)</f>
        <v>45949.2529</v>
      </c>
      <c r="K769" s="4">
        <f>IFERROR(__xludf.DUMMYFUNCTION("""COMPUTED_VALUE"""),45949.27239636596)</f>
        <v>45949.2724</v>
      </c>
      <c r="L769" s="4">
        <f>IFERROR(__xludf.DUMMYFUNCTION("""COMPUTED_VALUE"""),45949.2781404639)</f>
        <v>45949.27814</v>
      </c>
      <c r="M769" s="1" t="str">
        <f>IFERROR(__xludf.DUMMYFUNCTION("""COMPUTED_VALUE"""),"RFID")</f>
        <v>RFID</v>
      </c>
      <c r="N769" s="5">
        <f>IFERROR(__xludf.DUMMYFUNCTION("""COMPUTED_VALUE"""),0.0025735509259259257)</f>
        <v>0.002573550926</v>
      </c>
      <c r="O769" s="5">
        <f>IFERROR(__xludf.DUMMYFUNCTION("""COMPUTED_VALUE"""),0.00780025462962963)</f>
        <v>0.00780025463</v>
      </c>
      <c r="P769" s="5">
        <f>IFERROR(__xludf.DUMMYFUNCTION("""COMPUTED_VALUE"""),0.0023638263142115815)</f>
        <v>0.002363826314</v>
      </c>
      <c r="Q769" s="5">
        <f>IFERROR(__xludf.DUMMYFUNCTION("""COMPUTED_VALUE"""),0.0031678611111111117)</f>
        <v>0.003167861111</v>
      </c>
      <c r="R769" s="4">
        <f>IFERROR(__xludf.DUMMYFUNCTION("""COMPUTED_VALUE"""),45949.03167861205)</f>
        <v>45949.03168</v>
      </c>
      <c r="S769" s="1" t="b">
        <f>IFERROR(__xludf.DUMMYFUNCTION("""COMPUTED_VALUE"""),TRUE)</f>
        <v>1</v>
      </c>
      <c r="T769" s="1" t="b">
        <f>IFERROR(__xludf.DUMMYFUNCTION("""COMPUTED_VALUE"""),FALSE)</f>
        <v>0</v>
      </c>
      <c r="U769" s="1" t="str">
        <f>IFERROR(__xludf.DUMMYFUNCTION("""COMPUTED_VALUE"""),"VALID")</f>
        <v>VALID</v>
      </c>
      <c r="V769" s="1">
        <f>IFERROR(__xludf.DUMMYFUNCTION("""COMPUTED_VALUE"""),16.0)</f>
        <v>16</v>
      </c>
      <c r="W769" s="1">
        <f>IFERROR(__xludf.DUMMYFUNCTION("""COMPUTED_VALUE"""),21.0)</f>
        <v>21</v>
      </c>
      <c r="X769" s="1">
        <f>IFERROR(__xludf.DUMMYFUNCTION("""COMPUTED_VALUE"""),567.0)</f>
        <v>567</v>
      </c>
      <c r="Y769" s="2"/>
      <c r="Z769" s="2"/>
    </row>
    <row r="770">
      <c r="A770" s="1">
        <f>IFERROR(__xludf.DUMMYFUNCTION("""COMPUTED_VALUE"""),769.0)</f>
        <v>769</v>
      </c>
      <c r="B770" s="1">
        <f>IFERROR(__xludf.DUMMYFUNCTION("""COMPUTED_VALUE"""),10665.0)</f>
        <v>10665</v>
      </c>
      <c r="C770" s="2" t="str">
        <f>IFERROR(__xludf.DUMMYFUNCTION("""COMPUTED_VALUE"""),"ARIA ARDHA")</f>
        <v>ARIA ARDHA</v>
      </c>
      <c r="D770" s="2" t="str">
        <f>IFERROR(__xludf.DUMMYFUNCTION("""COMPUTED_VALUE"""),"10KM OVERALL M")</f>
        <v>10KM OVERALL M</v>
      </c>
      <c r="E770" s="1">
        <f>IFERROR(__xludf.DUMMYFUNCTION("""COMPUTED_VALUE"""),1.0)</f>
        <v>1</v>
      </c>
      <c r="F770" s="1" t="str">
        <f>IFERROR(__xludf.DUMMYFUNCTION("""COMPUTED_VALUE"""),"Male")</f>
        <v>Male</v>
      </c>
      <c r="G770" s="4" t="b">
        <f>IFERROR(__xludf.DUMMYFUNCTION("""COMPUTED_VALUE"""),TRUE)</f>
        <v>1</v>
      </c>
      <c r="H770" s="4" t="b">
        <f>IFERROR(__xludf.DUMMYFUNCTION("""COMPUTED_VALUE"""),FALSE)</f>
        <v>0</v>
      </c>
      <c r="I770" s="4">
        <f>IFERROR(__xludf.DUMMYFUNCTION("""COMPUTED_VALUE"""),0.24646185185185185)</f>
        <v>0.2464618519</v>
      </c>
      <c r="J770" s="4">
        <f>IFERROR(__xludf.DUMMYFUNCTION("""COMPUTED_VALUE"""),45949.2524017519)</f>
        <v>45949.2524</v>
      </c>
      <c r="K770" s="4">
        <f>IFERROR(__xludf.DUMMYFUNCTION("""COMPUTED_VALUE"""),45949.268837330696)</f>
        <v>45949.26884</v>
      </c>
      <c r="L770" s="4">
        <f>IFERROR(__xludf.DUMMYFUNCTION("""COMPUTED_VALUE"""),45949.273685586784)</f>
        <v>45949.27369</v>
      </c>
      <c r="M770" s="1" t="str">
        <f>IFERROR(__xludf.DUMMYFUNCTION("""COMPUTED_VALUE"""),"RFID")</f>
        <v>RFID</v>
      </c>
      <c r="N770" s="5">
        <f>IFERROR(__xludf.DUMMYFUNCTION("""COMPUTED_VALUE"""),0.0023759583333333332)</f>
        <v>0.002375958333</v>
      </c>
      <c r="O770" s="5">
        <f>IFERROR(__xludf.DUMMYFUNCTION("""COMPUTED_VALUE"""),0.006574231481481482)</f>
        <v>0.006574231481</v>
      </c>
      <c r="P770" s="5">
        <f>IFERROR(__xludf.DUMMYFUNCTION("""COMPUTED_VALUE"""),0.00199516711470579)</f>
        <v>0.001995167115</v>
      </c>
      <c r="Q770" s="5">
        <f>IFERROR(__xludf.DUMMYFUNCTION("""COMPUTED_VALUE"""),0.002722373842592592)</f>
        <v>0.002722373843</v>
      </c>
      <c r="R770" s="4">
        <f>IFERROR(__xludf.DUMMYFUNCTION("""COMPUTED_VALUE"""),45949.027223734935)</f>
        <v>45949.02722</v>
      </c>
      <c r="S770" s="1" t="b">
        <f>IFERROR(__xludf.DUMMYFUNCTION("""COMPUTED_VALUE"""),TRUE)</f>
        <v>1</v>
      </c>
      <c r="T770" s="1" t="b">
        <f>IFERROR(__xludf.DUMMYFUNCTION("""COMPUTED_VALUE"""),FALSE)</f>
        <v>0</v>
      </c>
      <c r="U770" s="1" t="str">
        <f>IFERROR(__xludf.DUMMYFUNCTION("""COMPUTED_VALUE"""),"VALID")</f>
        <v>VALID</v>
      </c>
      <c r="V770" s="1">
        <f>IFERROR(__xludf.DUMMYFUNCTION("""COMPUTED_VALUE"""),3.0)</f>
        <v>3</v>
      </c>
      <c r="W770" s="1">
        <f>IFERROR(__xludf.DUMMYFUNCTION("""COMPUTED_VALUE"""),4.0)</f>
        <v>4</v>
      </c>
      <c r="X770" s="1">
        <f>IFERROR(__xludf.DUMMYFUNCTION("""COMPUTED_VALUE"""),339.0)</f>
        <v>339</v>
      </c>
      <c r="Y770" s="2"/>
      <c r="Z770" s="2"/>
    </row>
    <row r="771">
      <c r="A771" s="1">
        <f>IFERROR(__xludf.DUMMYFUNCTION("""COMPUTED_VALUE"""),770.0)</f>
        <v>770</v>
      </c>
      <c r="B771" s="1">
        <f>IFERROR(__xludf.DUMMYFUNCTION("""COMPUTED_VALUE"""),10666.0)</f>
        <v>10666</v>
      </c>
      <c r="C771" s="2" t="str">
        <f>IFERROR(__xludf.DUMMYFUNCTION("""COMPUTED_VALUE"""),"Logistik TNB")</f>
        <v>Logistik TNB</v>
      </c>
      <c r="D771" s="2" t="str">
        <f>IFERROR(__xludf.DUMMYFUNCTION("""COMPUTED_VALUE"""),"10KM OVERALL M")</f>
        <v>10KM OVERALL M</v>
      </c>
      <c r="E771" s="1">
        <f>IFERROR(__xludf.DUMMYFUNCTION("""COMPUTED_VALUE"""),1.0)</f>
        <v>1</v>
      </c>
      <c r="F771" s="1" t="str">
        <f>IFERROR(__xludf.DUMMYFUNCTION("""COMPUTED_VALUE"""),"Male")</f>
        <v>Male</v>
      </c>
      <c r="G771" s="4" t="b">
        <f>IFERROR(__xludf.DUMMYFUNCTION("""COMPUTED_VALUE"""),TRUE)</f>
        <v>1</v>
      </c>
      <c r="H771" s="4" t="b">
        <f>IFERROR(__xludf.DUMMYFUNCTION("""COMPUTED_VALUE"""),FALSE)</f>
        <v>0</v>
      </c>
      <c r="I771" s="4">
        <f>IFERROR(__xludf.DUMMYFUNCTION("""COMPUTED_VALUE"""),0.24646185185185185)</f>
        <v>0.2464618519</v>
      </c>
      <c r="J771" s="4">
        <f>IFERROR(__xludf.DUMMYFUNCTION("""COMPUTED_VALUE"""),45949.25733578309)</f>
        <v>45949.25734</v>
      </c>
      <c r="K771" s="4">
        <f>IFERROR(__xludf.DUMMYFUNCTION("""COMPUTED_VALUE"""),45949.292346362105)</f>
        <v>45949.29235</v>
      </c>
      <c r="L771" s="4">
        <f>IFERROR(__xludf.DUMMYFUNCTION("""COMPUTED_VALUE"""),45949.30155364479)</f>
        <v>45949.30155</v>
      </c>
      <c r="M771" s="1" t="str">
        <f>IFERROR(__xludf.DUMMYFUNCTION("""COMPUTED_VALUE"""),"RFID")</f>
        <v>RFID</v>
      </c>
      <c r="N771" s="5">
        <f>IFERROR(__xludf.DUMMYFUNCTION("""COMPUTED_VALUE"""),0.004349574074074074)</f>
        <v>0.004349574074</v>
      </c>
      <c r="O771" s="5">
        <f>IFERROR(__xludf.DUMMYFUNCTION("""COMPUTED_VALUE"""),0.014004231481481482)</f>
        <v>0.01400423148</v>
      </c>
      <c r="P771" s="5">
        <f>IFERROR(__xludf.DUMMYFUNCTION("""COMPUTED_VALUE"""),0.003789005221520194)</f>
        <v>0.003789005222</v>
      </c>
      <c r="Q771" s="5">
        <f>IFERROR(__xludf.DUMMYFUNCTION("""COMPUTED_VALUE"""),0.005509179398148148)</f>
        <v>0.005509179398</v>
      </c>
      <c r="R771" s="4">
        <f>IFERROR(__xludf.DUMMYFUNCTION("""COMPUTED_VALUE"""),45949.05509179294)</f>
        <v>45949.05509</v>
      </c>
      <c r="S771" s="1" t="b">
        <f>IFERROR(__xludf.DUMMYFUNCTION("""COMPUTED_VALUE"""),TRUE)</f>
        <v>1</v>
      </c>
      <c r="T771" s="1" t="b">
        <f>IFERROR(__xludf.DUMMYFUNCTION("""COMPUTED_VALUE"""),FALSE)</f>
        <v>0</v>
      </c>
      <c r="U771" s="1" t="str">
        <f>IFERROR(__xludf.DUMMYFUNCTION("""COMPUTED_VALUE"""),"VALID")</f>
        <v>VALID</v>
      </c>
      <c r="V771" s="1">
        <f>IFERROR(__xludf.DUMMYFUNCTION("""COMPUTED_VALUE"""),460.0)</f>
        <v>460</v>
      </c>
      <c r="W771" s="1">
        <f>IFERROR(__xludf.DUMMYFUNCTION("""COMPUTED_VALUE"""),552.0)</f>
        <v>552</v>
      </c>
      <c r="X771" s="1">
        <f>IFERROR(__xludf.DUMMYFUNCTION("""COMPUTED_VALUE"""),1525.0)</f>
        <v>1525</v>
      </c>
      <c r="Y771" s="2"/>
      <c r="Z771" s="2"/>
    </row>
    <row r="772">
      <c r="A772" s="1">
        <f>IFERROR(__xludf.DUMMYFUNCTION("""COMPUTED_VALUE"""),771.0)</f>
        <v>771</v>
      </c>
      <c r="B772" s="1">
        <f>IFERROR(__xludf.DUMMYFUNCTION("""COMPUTED_VALUE"""),10667.0)</f>
        <v>10667</v>
      </c>
      <c r="C772" s="2" t="str">
        <f>IFERROR(__xludf.DUMMYFUNCTION("""COMPUTED_VALUE"""),"SPONSORSHIP")</f>
        <v>SPONSORSHIP</v>
      </c>
      <c r="D772" s="2" t="str">
        <f>IFERROR(__xludf.DUMMYFUNCTION("""COMPUTED_VALUE"""),"10KM OVERALL M")</f>
        <v>10KM OVERALL M</v>
      </c>
      <c r="E772" s="1">
        <f>IFERROR(__xludf.DUMMYFUNCTION("""COMPUTED_VALUE"""),1.0)</f>
        <v>1</v>
      </c>
      <c r="F772" s="1" t="str">
        <f>IFERROR(__xludf.DUMMYFUNCTION("""COMPUTED_VALUE"""),"Male")</f>
        <v>Male</v>
      </c>
      <c r="G772" s="4" t="str">
        <f>IFERROR(__xludf.DUMMYFUNCTION("""COMPUTED_VALUE"""),"")</f>
        <v/>
      </c>
      <c r="H772" s="4" t="b">
        <f>IFERROR(__xludf.DUMMYFUNCTION("""COMPUTED_VALUE"""),FALSE)</f>
        <v>0</v>
      </c>
      <c r="I772" s="4">
        <f>IFERROR(__xludf.DUMMYFUNCTION("""COMPUTED_VALUE"""),0.24646185185185185)</f>
        <v>0.2464618519</v>
      </c>
      <c r="J772" s="4" t="str">
        <f>IFERROR(__xludf.DUMMYFUNCTION("""COMPUTED_VALUE"""),"")</f>
        <v/>
      </c>
      <c r="K772" s="4" t="str">
        <f>IFERROR(__xludf.DUMMYFUNCTION("""COMPUTED_VALUE"""),"")</f>
        <v/>
      </c>
      <c r="L772" s="4" t="str">
        <f>IFERROR(__xludf.DUMMYFUNCTION("""COMPUTED_VALUE"""),"")</f>
        <v/>
      </c>
      <c r="M772" s="1" t="str">
        <f>IFERROR(__xludf.DUMMYFUNCTION("""COMPUTED_VALUE"""),"RFID")</f>
        <v>RFID</v>
      </c>
      <c r="N772" s="5" t="str">
        <f>IFERROR(__xludf.DUMMYFUNCTION("""COMPUTED_VALUE"""),"")</f>
        <v/>
      </c>
      <c r="O772" s="5" t="str">
        <f>IFERROR(__xludf.DUMMYFUNCTION("""COMPUTED_VALUE"""),"")</f>
        <v/>
      </c>
      <c r="P772" s="5" t="str">
        <f>IFERROR(__xludf.DUMMYFUNCTION("""COMPUTED_VALUE"""),"")</f>
        <v/>
      </c>
      <c r="Q772" s="5" t="str">
        <f>IFERROR(__xludf.DUMMYFUNCTION("""COMPUTED_VALUE"""),"")</f>
        <v/>
      </c>
      <c r="R772" s="4" t="str">
        <f>IFERROR(__xludf.DUMMYFUNCTION("""COMPUTED_VALUE"""),"")</f>
        <v/>
      </c>
      <c r="S772" s="1" t="b">
        <f>IFERROR(__xludf.DUMMYFUNCTION("""COMPUTED_VALUE"""),FALSE)</f>
        <v>0</v>
      </c>
      <c r="T772" s="1" t="b">
        <f>IFERROR(__xludf.DUMMYFUNCTION("""COMPUTED_VALUE"""),FALSE)</f>
        <v>0</v>
      </c>
      <c r="U772" s="1" t="str">
        <f>IFERROR(__xludf.DUMMYFUNCTION("""COMPUTED_VALUE"""),"DSQ")</f>
        <v>DSQ</v>
      </c>
      <c r="V772" s="1" t="str">
        <f>IFERROR(__xludf.DUMMYFUNCTION("""COMPUTED_VALUE"""),"DSQ")</f>
        <v>DSQ</v>
      </c>
      <c r="W772" s="1" t="str">
        <f>IFERROR(__xludf.DUMMYFUNCTION("""COMPUTED_VALUE"""),"DSQ")</f>
        <v>DSQ</v>
      </c>
      <c r="X772" s="1" t="str">
        <f>IFERROR(__xludf.DUMMYFUNCTION("""COMPUTED_VALUE"""),"DSQ")</f>
        <v>DSQ</v>
      </c>
      <c r="Y772" s="2"/>
      <c r="Z772" s="2" t="str">
        <f>IFERROR(__xludf.DUMMYFUNCTION("""COMPUTED_VALUE"""),"")</f>
        <v/>
      </c>
    </row>
    <row r="773">
      <c r="A773" s="1">
        <f>IFERROR(__xludf.DUMMYFUNCTION("""COMPUTED_VALUE"""),772.0)</f>
        <v>772</v>
      </c>
      <c r="B773" s="1">
        <f>IFERROR(__xludf.DUMMYFUNCTION("""COMPUTED_VALUE"""),10668.0)</f>
        <v>10668</v>
      </c>
      <c r="C773" s="2" t="str">
        <f>IFERROR(__xludf.DUMMYFUNCTION("""COMPUTED_VALUE"""),"SPONSORSHIP")</f>
        <v>SPONSORSHIP</v>
      </c>
      <c r="D773" s="2" t="str">
        <f>IFERROR(__xludf.DUMMYFUNCTION("""COMPUTED_VALUE"""),"10KM OVERALL M")</f>
        <v>10KM OVERALL M</v>
      </c>
      <c r="E773" s="1">
        <f>IFERROR(__xludf.DUMMYFUNCTION("""COMPUTED_VALUE"""),1.0)</f>
        <v>1</v>
      </c>
      <c r="F773" s="1" t="str">
        <f>IFERROR(__xludf.DUMMYFUNCTION("""COMPUTED_VALUE"""),"Male")</f>
        <v>Male</v>
      </c>
      <c r="G773" s="4" t="str">
        <f>IFERROR(__xludf.DUMMYFUNCTION("""COMPUTED_VALUE"""),"")</f>
        <v/>
      </c>
      <c r="H773" s="4" t="b">
        <f>IFERROR(__xludf.DUMMYFUNCTION("""COMPUTED_VALUE"""),FALSE)</f>
        <v>0</v>
      </c>
      <c r="I773" s="4">
        <f>IFERROR(__xludf.DUMMYFUNCTION("""COMPUTED_VALUE"""),0.24646185185185185)</f>
        <v>0.2464618519</v>
      </c>
      <c r="J773" s="4" t="str">
        <f>IFERROR(__xludf.DUMMYFUNCTION("""COMPUTED_VALUE"""),"")</f>
        <v/>
      </c>
      <c r="K773" s="4" t="str">
        <f>IFERROR(__xludf.DUMMYFUNCTION("""COMPUTED_VALUE"""),"")</f>
        <v/>
      </c>
      <c r="L773" s="4" t="str">
        <f>IFERROR(__xludf.DUMMYFUNCTION("""COMPUTED_VALUE"""),"")</f>
        <v/>
      </c>
      <c r="M773" s="1" t="str">
        <f>IFERROR(__xludf.DUMMYFUNCTION("""COMPUTED_VALUE"""),"RFID")</f>
        <v>RFID</v>
      </c>
      <c r="N773" s="5" t="str">
        <f>IFERROR(__xludf.DUMMYFUNCTION("""COMPUTED_VALUE"""),"")</f>
        <v/>
      </c>
      <c r="O773" s="5" t="str">
        <f>IFERROR(__xludf.DUMMYFUNCTION("""COMPUTED_VALUE"""),"")</f>
        <v/>
      </c>
      <c r="P773" s="5" t="str">
        <f>IFERROR(__xludf.DUMMYFUNCTION("""COMPUTED_VALUE"""),"")</f>
        <v/>
      </c>
      <c r="Q773" s="5" t="str">
        <f>IFERROR(__xludf.DUMMYFUNCTION("""COMPUTED_VALUE"""),"")</f>
        <v/>
      </c>
      <c r="R773" s="4" t="str">
        <f>IFERROR(__xludf.DUMMYFUNCTION("""COMPUTED_VALUE"""),"")</f>
        <v/>
      </c>
      <c r="S773" s="1" t="b">
        <f>IFERROR(__xludf.DUMMYFUNCTION("""COMPUTED_VALUE"""),FALSE)</f>
        <v>0</v>
      </c>
      <c r="T773" s="1" t="b">
        <f>IFERROR(__xludf.DUMMYFUNCTION("""COMPUTED_VALUE"""),FALSE)</f>
        <v>0</v>
      </c>
      <c r="U773" s="1" t="str">
        <f>IFERROR(__xludf.DUMMYFUNCTION("""COMPUTED_VALUE"""),"DSQ")</f>
        <v>DSQ</v>
      </c>
      <c r="V773" s="1" t="str">
        <f>IFERROR(__xludf.DUMMYFUNCTION("""COMPUTED_VALUE"""),"DSQ")</f>
        <v>DSQ</v>
      </c>
      <c r="W773" s="1" t="str">
        <f>IFERROR(__xludf.DUMMYFUNCTION("""COMPUTED_VALUE"""),"DSQ")</f>
        <v>DSQ</v>
      </c>
      <c r="X773" s="1" t="str">
        <f>IFERROR(__xludf.DUMMYFUNCTION("""COMPUTED_VALUE"""),"DSQ")</f>
        <v>DSQ</v>
      </c>
      <c r="Y773" s="2"/>
      <c r="Z773" s="2" t="str">
        <f>IFERROR(__xludf.DUMMYFUNCTION("""COMPUTED_VALUE"""),"")</f>
        <v/>
      </c>
    </row>
    <row r="774">
      <c r="A774" s="1">
        <f>IFERROR(__xludf.DUMMYFUNCTION("""COMPUTED_VALUE"""),773.0)</f>
        <v>773</v>
      </c>
      <c r="B774" s="1">
        <f>IFERROR(__xludf.DUMMYFUNCTION("""COMPUTED_VALUE"""),10669.0)</f>
        <v>10669</v>
      </c>
      <c r="C774" s="2" t="str">
        <f>IFERROR(__xludf.DUMMYFUNCTION("""COMPUTED_VALUE"""),"SPONSORSHIP")</f>
        <v>SPONSORSHIP</v>
      </c>
      <c r="D774" s="2" t="str">
        <f>IFERROR(__xludf.DUMMYFUNCTION("""COMPUTED_VALUE"""),"10KM OVERALL M")</f>
        <v>10KM OVERALL M</v>
      </c>
      <c r="E774" s="1">
        <f>IFERROR(__xludf.DUMMYFUNCTION("""COMPUTED_VALUE"""),1.0)</f>
        <v>1</v>
      </c>
      <c r="F774" s="1" t="str">
        <f>IFERROR(__xludf.DUMMYFUNCTION("""COMPUTED_VALUE"""),"Male")</f>
        <v>Male</v>
      </c>
      <c r="G774" s="4" t="str">
        <f>IFERROR(__xludf.DUMMYFUNCTION("""COMPUTED_VALUE"""),"")</f>
        <v/>
      </c>
      <c r="H774" s="4" t="b">
        <f>IFERROR(__xludf.DUMMYFUNCTION("""COMPUTED_VALUE"""),FALSE)</f>
        <v>0</v>
      </c>
      <c r="I774" s="4">
        <f>IFERROR(__xludf.DUMMYFUNCTION("""COMPUTED_VALUE"""),0.24646185185185185)</f>
        <v>0.2464618519</v>
      </c>
      <c r="J774" s="4" t="str">
        <f>IFERROR(__xludf.DUMMYFUNCTION("""COMPUTED_VALUE"""),"")</f>
        <v/>
      </c>
      <c r="K774" s="4" t="str">
        <f>IFERROR(__xludf.DUMMYFUNCTION("""COMPUTED_VALUE"""),"")</f>
        <v/>
      </c>
      <c r="L774" s="4" t="str">
        <f>IFERROR(__xludf.DUMMYFUNCTION("""COMPUTED_VALUE"""),"")</f>
        <v/>
      </c>
      <c r="M774" s="1" t="str">
        <f>IFERROR(__xludf.DUMMYFUNCTION("""COMPUTED_VALUE"""),"RFID")</f>
        <v>RFID</v>
      </c>
      <c r="N774" s="5" t="str">
        <f>IFERROR(__xludf.DUMMYFUNCTION("""COMPUTED_VALUE"""),"")</f>
        <v/>
      </c>
      <c r="O774" s="5" t="str">
        <f>IFERROR(__xludf.DUMMYFUNCTION("""COMPUTED_VALUE"""),"")</f>
        <v/>
      </c>
      <c r="P774" s="5" t="str">
        <f>IFERROR(__xludf.DUMMYFUNCTION("""COMPUTED_VALUE"""),"")</f>
        <v/>
      </c>
      <c r="Q774" s="5" t="str">
        <f>IFERROR(__xludf.DUMMYFUNCTION("""COMPUTED_VALUE"""),"")</f>
        <v/>
      </c>
      <c r="R774" s="4" t="str">
        <f>IFERROR(__xludf.DUMMYFUNCTION("""COMPUTED_VALUE"""),"")</f>
        <v/>
      </c>
      <c r="S774" s="1" t="b">
        <f>IFERROR(__xludf.DUMMYFUNCTION("""COMPUTED_VALUE"""),FALSE)</f>
        <v>0</v>
      </c>
      <c r="T774" s="1" t="b">
        <f>IFERROR(__xludf.DUMMYFUNCTION("""COMPUTED_VALUE"""),FALSE)</f>
        <v>0</v>
      </c>
      <c r="U774" s="1" t="str">
        <f>IFERROR(__xludf.DUMMYFUNCTION("""COMPUTED_VALUE"""),"DSQ")</f>
        <v>DSQ</v>
      </c>
      <c r="V774" s="1" t="str">
        <f>IFERROR(__xludf.DUMMYFUNCTION("""COMPUTED_VALUE"""),"DSQ")</f>
        <v>DSQ</v>
      </c>
      <c r="W774" s="1" t="str">
        <f>IFERROR(__xludf.DUMMYFUNCTION("""COMPUTED_VALUE"""),"DSQ")</f>
        <v>DSQ</v>
      </c>
      <c r="X774" s="1" t="str">
        <f>IFERROR(__xludf.DUMMYFUNCTION("""COMPUTED_VALUE"""),"DSQ")</f>
        <v>DSQ</v>
      </c>
      <c r="Y774" s="2"/>
      <c r="Z774" s="2" t="str">
        <f>IFERROR(__xludf.DUMMYFUNCTION("""COMPUTED_VALUE"""),"")</f>
        <v/>
      </c>
    </row>
    <row r="775">
      <c r="A775" s="1">
        <f>IFERROR(__xludf.DUMMYFUNCTION("""COMPUTED_VALUE"""),774.0)</f>
        <v>774</v>
      </c>
      <c r="B775" s="1">
        <f>IFERROR(__xludf.DUMMYFUNCTION("""COMPUTED_VALUE"""),10670.0)</f>
        <v>10670</v>
      </c>
      <c r="C775" s="2" t="str">
        <f>IFERROR(__xludf.DUMMYFUNCTION("""COMPUTED_VALUE"""),"SPONSORSHIP")</f>
        <v>SPONSORSHIP</v>
      </c>
      <c r="D775" s="2" t="str">
        <f>IFERROR(__xludf.DUMMYFUNCTION("""COMPUTED_VALUE"""),"10KM OVERALL M")</f>
        <v>10KM OVERALL M</v>
      </c>
      <c r="E775" s="1">
        <f>IFERROR(__xludf.DUMMYFUNCTION("""COMPUTED_VALUE"""),1.0)</f>
        <v>1</v>
      </c>
      <c r="F775" s="1" t="str">
        <f>IFERROR(__xludf.DUMMYFUNCTION("""COMPUTED_VALUE"""),"Male")</f>
        <v>Male</v>
      </c>
      <c r="G775" s="4" t="str">
        <f>IFERROR(__xludf.DUMMYFUNCTION("""COMPUTED_VALUE"""),"")</f>
        <v/>
      </c>
      <c r="H775" s="4" t="b">
        <f>IFERROR(__xludf.DUMMYFUNCTION("""COMPUTED_VALUE"""),FALSE)</f>
        <v>0</v>
      </c>
      <c r="I775" s="4">
        <f>IFERROR(__xludf.DUMMYFUNCTION("""COMPUTED_VALUE"""),0.24646185185185185)</f>
        <v>0.2464618519</v>
      </c>
      <c r="J775" s="4" t="str">
        <f>IFERROR(__xludf.DUMMYFUNCTION("""COMPUTED_VALUE"""),"")</f>
        <v/>
      </c>
      <c r="K775" s="4" t="str">
        <f>IFERROR(__xludf.DUMMYFUNCTION("""COMPUTED_VALUE"""),"")</f>
        <v/>
      </c>
      <c r="L775" s="4" t="str">
        <f>IFERROR(__xludf.DUMMYFUNCTION("""COMPUTED_VALUE"""),"")</f>
        <v/>
      </c>
      <c r="M775" s="1" t="str">
        <f>IFERROR(__xludf.DUMMYFUNCTION("""COMPUTED_VALUE"""),"RFID")</f>
        <v>RFID</v>
      </c>
      <c r="N775" s="5" t="str">
        <f>IFERROR(__xludf.DUMMYFUNCTION("""COMPUTED_VALUE"""),"")</f>
        <v/>
      </c>
      <c r="O775" s="5" t="str">
        <f>IFERROR(__xludf.DUMMYFUNCTION("""COMPUTED_VALUE"""),"")</f>
        <v/>
      </c>
      <c r="P775" s="5" t="str">
        <f>IFERROR(__xludf.DUMMYFUNCTION("""COMPUTED_VALUE"""),"")</f>
        <v/>
      </c>
      <c r="Q775" s="5" t="str">
        <f>IFERROR(__xludf.DUMMYFUNCTION("""COMPUTED_VALUE"""),"")</f>
        <v/>
      </c>
      <c r="R775" s="4" t="str">
        <f>IFERROR(__xludf.DUMMYFUNCTION("""COMPUTED_VALUE"""),"")</f>
        <v/>
      </c>
      <c r="S775" s="1" t="b">
        <f>IFERROR(__xludf.DUMMYFUNCTION("""COMPUTED_VALUE"""),FALSE)</f>
        <v>0</v>
      </c>
      <c r="T775" s="1" t="b">
        <f>IFERROR(__xludf.DUMMYFUNCTION("""COMPUTED_VALUE"""),FALSE)</f>
        <v>0</v>
      </c>
      <c r="U775" s="1" t="str">
        <f>IFERROR(__xludf.DUMMYFUNCTION("""COMPUTED_VALUE"""),"DSQ")</f>
        <v>DSQ</v>
      </c>
      <c r="V775" s="1" t="str">
        <f>IFERROR(__xludf.DUMMYFUNCTION("""COMPUTED_VALUE"""),"DSQ")</f>
        <v>DSQ</v>
      </c>
      <c r="W775" s="1" t="str">
        <f>IFERROR(__xludf.DUMMYFUNCTION("""COMPUTED_VALUE"""),"DSQ")</f>
        <v>DSQ</v>
      </c>
      <c r="X775" s="1" t="str">
        <f>IFERROR(__xludf.DUMMYFUNCTION("""COMPUTED_VALUE"""),"DSQ")</f>
        <v>DSQ</v>
      </c>
      <c r="Y775" s="2"/>
      <c r="Z775" s="2" t="str">
        <f>IFERROR(__xludf.DUMMYFUNCTION("""COMPUTED_VALUE"""),"")</f>
        <v/>
      </c>
    </row>
    <row r="776">
      <c r="A776" s="1">
        <f>IFERROR(__xludf.DUMMYFUNCTION("""COMPUTED_VALUE"""),775.0)</f>
        <v>775</v>
      </c>
      <c r="B776" s="1">
        <f>IFERROR(__xludf.DUMMYFUNCTION("""COMPUTED_VALUE"""),10671.0)</f>
        <v>10671</v>
      </c>
      <c r="C776" s="2" t="str">
        <f>IFERROR(__xludf.DUMMYFUNCTION("""COMPUTED_VALUE"""),"SPONSORSHIP")</f>
        <v>SPONSORSHIP</v>
      </c>
      <c r="D776" s="2" t="str">
        <f>IFERROR(__xludf.DUMMYFUNCTION("""COMPUTED_VALUE"""),"10KM OVERALL M")</f>
        <v>10KM OVERALL M</v>
      </c>
      <c r="E776" s="1">
        <f>IFERROR(__xludf.DUMMYFUNCTION("""COMPUTED_VALUE"""),1.0)</f>
        <v>1</v>
      </c>
      <c r="F776" s="1" t="str">
        <f>IFERROR(__xludf.DUMMYFUNCTION("""COMPUTED_VALUE"""),"Male")</f>
        <v>Male</v>
      </c>
      <c r="G776" s="4" t="str">
        <f>IFERROR(__xludf.DUMMYFUNCTION("""COMPUTED_VALUE"""),"")</f>
        <v/>
      </c>
      <c r="H776" s="4" t="b">
        <f>IFERROR(__xludf.DUMMYFUNCTION("""COMPUTED_VALUE"""),FALSE)</f>
        <v>0</v>
      </c>
      <c r="I776" s="4">
        <f>IFERROR(__xludf.DUMMYFUNCTION("""COMPUTED_VALUE"""),0.24646185185185185)</f>
        <v>0.2464618519</v>
      </c>
      <c r="J776" s="4" t="str">
        <f>IFERROR(__xludf.DUMMYFUNCTION("""COMPUTED_VALUE"""),"")</f>
        <v/>
      </c>
      <c r="K776" s="4" t="str">
        <f>IFERROR(__xludf.DUMMYFUNCTION("""COMPUTED_VALUE"""),"")</f>
        <v/>
      </c>
      <c r="L776" s="4" t="str">
        <f>IFERROR(__xludf.DUMMYFUNCTION("""COMPUTED_VALUE"""),"")</f>
        <v/>
      </c>
      <c r="M776" s="1" t="str">
        <f>IFERROR(__xludf.DUMMYFUNCTION("""COMPUTED_VALUE"""),"RFID")</f>
        <v>RFID</v>
      </c>
      <c r="N776" s="5" t="str">
        <f>IFERROR(__xludf.DUMMYFUNCTION("""COMPUTED_VALUE"""),"")</f>
        <v/>
      </c>
      <c r="O776" s="5" t="str">
        <f>IFERROR(__xludf.DUMMYFUNCTION("""COMPUTED_VALUE"""),"")</f>
        <v/>
      </c>
      <c r="P776" s="5" t="str">
        <f>IFERROR(__xludf.DUMMYFUNCTION("""COMPUTED_VALUE"""),"")</f>
        <v/>
      </c>
      <c r="Q776" s="5" t="str">
        <f>IFERROR(__xludf.DUMMYFUNCTION("""COMPUTED_VALUE"""),"")</f>
        <v/>
      </c>
      <c r="R776" s="4" t="str">
        <f>IFERROR(__xludf.DUMMYFUNCTION("""COMPUTED_VALUE"""),"")</f>
        <v/>
      </c>
      <c r="S776" s="1" t="b">
        <f>IFERROR(__xludf.DUMMYFUNCTION("""COMPUTED_VALUE"""),FALSE)</f>
        <v>0</v>
      </c>
      <c r="T776" s="1" t="b">
        <f>IFERROR(__xludf.DUMMYFUNCTION("""COMPUTED_VALUE"""),FALSE)</f>
        <v>0</v>
      </c>
      <c r="U776" s="1" t="str">
        <f>IFERROR(__xludf.DUMMYFUNCTION("""COMPUTED_VALUE"""),"DSQ")</f>
        <v>DSQ</v>
      </c>
      <c r="V776" s="1" t="str">
        <f>IFERROR(__xludf.DUMMYFUNCTION("""COMPUTED_VALUE"""),"DSQ")</f>
        <v>DSQ</v>
      </c>
      <c r="W776" s="1" t="str">
        <f>IFERROR(__xludf.DUMMYFUNCTION("""COMPUTED_VALUE"""),"DSQ")</f>
        <v>DSQ</v>
      </c>
      <c r="X776" s="1" t="str">
        <f>IFERROR(__xludf.DUMMYFUNCTION("""COMPUTED_VALUE"""),"DSQ")</f>
        <v>DSQ</v>
      </c>
      <c r="Y776" s="2"/>
      <c r="Z776" s="2" t="str">
        <f>IFERROR(__xludf.DUMMYFUNCTION("""COMPUTED_VALUE"""),"")</f>
        <v/>
      </c>
    </row>
    <row r="777">
      <c r="A777" s="1">
        <f>IFERROR(__xludf.DUMMYFUNCTION("""COMPUTED_VALUE"""),776.0)</f>
        <v>776</v>
      </c>
      <c r="B777" s="1">
        <f>IFERROR(__xludf.DUMMYFUNCTION("""COMPUTED_VALUE"""),10672.0)</f>
        <v>10672</v>
      </c>
      <c r="C777" s="2" t="str">
        <f>IFERROR(__xludf.DUMMYFUNCTION("""COMPUTED_VALUE"""),"Fajri N")</f>
        <v>Fajri N</v>
      </c>
      <c r="D777" s="2" t="str">
        <f>IFERROR(__xludf.DUMMYFUNCTION("""COMPUTED_VALUE"""),"10KM OVERALL M")</f>
        <v>10KM OVERALL M</v>
      </c>
      <c r="E777" s="1">
        <f>IFERROR(__xludf.DUMMYFUNCTION("""COMPUTED_VALUE"""),1.0)</f>
        <v>1</v>
      </c>
      <c r="F777" s="1" t="str">
        <f>IFERROR(__xludf.DUMMYFUNCTION("""COMPUTED_VALUE"""),"Male")</f>
        <v>Male</v>
      </c>
      <c r="G777" s="4" t="b">
        <f>IFERROR(__xludf.DUMMYFUNCTION("""COMPUTED_VALUE"""),TRUE)</f>
        <v>1</v>
      </c>
      <c r="H777" s="4" t="b">
        <f>IFERROR(__xludf.DUMMYFUNCTION("""COMPUTED_VALUE"""),TRUE)</f>
        <v>1</v>
      </c>
      <c r="I777" s="4">
        <f>IFERROR(__xludf.DUMMYFUNCTION("""COMPUTED_VALUE"""),0.24646185185185185)</f>
        <v>0.2464618519</v>
      </c>
      <c r="J777" s="4">
        <f>IFERROR(__xludf.DUMMYFUNCTION("""COMPUTED_VALUE"""),45949.25579410132)</f>
        <v>45949.25579</v>
      </c>
      <c r="K777" s="4">
        <f>IFERROR(__xludf.DUMMYFUNCTION("""COMPUTED_VALUE"""),45949.32004629629)</f>
        <v>45949.32005</v>
      </c>
      <c r="L777" s="4">
        <f>IFERROR(__xludf.DUMMYFUNCTION("""COMPUTED_VALUE"""),45949.284591858326)</f>
        <v>45949.28459</v>
      </c>
      <c r="M777" s="1" t="str">
        <f>IFERROR(__xludf.DUMMYFUNCTION("""COMPUTED_VALUE"""),"RFID")</f>
        <v>RFID</v>
      </c>
      <c r="N777" s="5">
        <f>IFERROR(__xludf.DUMMYFUNCTION("""COMPUTED_VALUE"""),0.0037328981481481484)</f>
        <v>0.003732898148</v>
      </c>
      <c r="O777" s="5">
        <f>IFERROR(__xludf.DUMMYFUNCTION("""COMPUTED_VALUE"""),0.02570087962962963)</f>
        <v>0.02570087963</v>
      </c>
      <c r="P777" s="5">
        <f>IFERROR(__xludf.DUMMYFUNCTION("""COMPUTED_VALUE"""),-0.014590303689756893)</f>
        <v>-0.01459030369</v>
      </c>
      <c r="Q777" s="5">
        <f>IFERROR(__xludf.DUMMYFUNCTION("""COMPUTED_VALUE"""),0.0038130011574074073)</f>
        <v>0.003813001157</v>
      </c>
      <c r="R777" s="4">
        <f>IFERROR(__xludf.DUMMYFUNCTION("""COMPUTED_VALUE"""),45949.03813000648)</f>
        <v>45949.03813</v>
      </c>
      <c r="S777" s="1" t="b">
        <f>IFERROR(__xludf.DUMMYFUNCTION("""COMPUTED_VALUE"""),TRUE)</f>
        <v>1</v>
      </c>
      <c r="T777" s="1" t="b">
        <f>IFERROR(__xludf.DUMMYFUNCTION("""COMPUTED_VALUE"""),FALSE)</f>
        <v>0</v>
      </c>
      <c r="U777" s="1" t="str">
        <f>IFERROR(__xludf.DUMMYFUNCTION("""COMPUTED_VALUE"""),"VALID")</f>
        <v>VALID</v>
      </c>
      <c r="V777" s="1">
        <f>IFERROR(__xludf.DUMMYFUNCTION("""COMPUTED_VALUE"""),72.0)</f>
        <v>72</v>
      </c>
      <c r="W777" s="1">
        <f>IFERROR(__xludf.DUMMYFUNCTION("""COMPUTED_VALUE"""),85.0)</f>
        <v>85</v>
      </c>
      <c r="X777" s="1">
        <f>IFERROR(__xludf.DUMMYFUNCTION("""COMPUTED_VALUE"""),881.0)</f>
        <v>881</v>
      </c>
      <c r="Y777" s="2"/>
      <c r="Z777" s="2"/>
    </row>
    <row r="778">
      <c r="A778" s="1">
        <f>IFERROR(__xludf.DUMMYFUNCTION("""COMPUTED_VALUE"""),777.0)</f>
        <v>777</v>
      </c>
      <c r="B778" s="1">
        <f>IFERROR(__xludf.DUMMYFUNCTION("""COMPUTED_VALUE"""),10673.0)</f>
        <v>10673</v>
      </c>
      <c r="C778" s="2" t="str">
        <f>IFERROR(__xludf.DUMMYFUNCTION("""COMPUTED_VALUE"""),"ANGGA YOSI")</f>
        <v>ANGGA YOSI</v>
      </c>
      <c r="D778" s="2" t="str">
        <f>IFERROR(__xludf.DUMMYFUNCTION("""COMPUTED_VALUE"""),"10KM OVERALL M")</f>
        <v>10KM OVERALL M</v>
      </c>
      <c r="E778" s="1">
        <f>IFERROR(__xludf.DUMMYFUNCTION("""COMPUTED_VALUE"""),1.0)</f>
        <v>1</v>
      </c>
      <c r="F778" s="1" t="str">
        <f>IFERROR(__xludf.DUMMYFUNCTION("""COMPUTED_VALUE"""),"Male")</f>
        <v>Male</v>
      </c>
      <c r="G778" s="4" t="str">
        <f>IFERROR(__xludf.DUMMYFUNCTION("""COMPUTED_VALUE"""),"")</f>
        <v/>
      </c>
      <c r="H778" s="4" t="b">
        <f>IFERROR(__xludf.DUMMYFUNCTION("""COMPUTED_VALUE"""),TRUE)</f>
        <v>1</v>
      </c>
      <c r="I778" s="4">
        <f>IFERROR(__xludf.DUMMYFUNCTION("""COMPUTED_VALUE"""),0.24646185185185185)</f>
        <v>0.2464618519</v>
      </c>
      <c r="J778" s="4">
        <f>IFERROR(__xludf.DUMMYFUNCTION("""COMPUTED_VALUE"""),45949.26195724009)</f>
        <v>45949.26196</v>
      </c>
      <c r="K778" s="4">
        <f>IFERROR(__xludf.DUMMYFUNCTION("""COMPUTED_VALUE"""),45949.29966639292)</f>
        <v>45949.29967</v>
      </c>
      <c r="L778" s="4">
        <f>IFERROR(__xludf.DUMMYFUNCTION("""COMPUTED_VALUE"""),45949.309456424686)</f>
        <v>45949.30946</v>
      </c>
      <c r="M778" s="1" t="str">
        <f>IFERROR(__xludf.DUMMYFUNCTION("""COMPUTED_VALUE"""),"RFID")</f>
        <v>RFID</v>
      </c>
      <c r="N778" s="5">
        <f>IFERROR(__xludf.DUMMYFUNCTION("""COMPUTED_VALUE"""),0.0061981574074074074)</f>
        <v>0.006198157407</v>
      </c>
      <c r="O778" s="5">
        <f>IFERROR(__xludf.DUMMYFUNCTION("""COMPUTED_VALUE"""),0.015083662037037038)</f>
        <v>0.01508366204</v>
      </c>
      <c r="P778" s="5">
        <f>IFERROR(__xludf.DUMMYFUNCTION("""COMPUTED_VALUE"""),0.004028819655662272)</f>
        <v>0.004028819656</v>
      </c>
      <c r="Q778" s="5">
        <f>IFERROR(__xludf.DUMMYFUNCTION("""COMPUTED_VALUE"""),0.006299457175925925)</f>
        <v>0.006299457176</v>
      </c>
      <c r="R778" s="4">
        <f>IFERROR(__xludf.DUMMYFUNCTION("""COMPUTED_VALUE"""),45949.062994572836)</f>
        <v>45949.06299</v>
      </c>
      <c r="S778" s="1" t="b">
        <f>IFERROR(__xludf.DUMMYFUNCTION("""COMPUTED_VALUE"""),TRUE)</f>
        <v>1</v>
      </c>
      <c r="T778" s="1" t="b">
        <f>IFERROR(__xludf.DUMMYFUNCTION("""COMPUTED_VALUE"""),FALSE)</f>
        <v>0</v>
      </c>
      <c r="U778" s="1" t="str">
        <f>IFERROR(__xludf.DUMMYFUNCTION("""COMPUTED_VALUE"""),"VALID")</f>
        <v>VALID</v>
      </c>
      <c r="V778" s="1">
        <f>IFERROR(__xludf.DUMMYFUNCTION("""COMPUTED_VALUE"""),555.0)</f>
        <v>555</v>
      </c>
      <c r="W778" s="1">
        <f>IFERROR(__xludf.DUMMYFUNCTION("""COMPUTED_VALUE"""),683.0)</f>
        <v>683</v>
      </c>
      <c r="X778" s="1">
        <f>IFERROR(__xludf.DUMMYFUNCTION("""COMPUTED_VALUE"""),1631.0)</f>
        <v>1631</v>
      </c>
      <c r="Y778" s="2"/>
      <c r="Z778" s="2"/>
    </row>
    <row r="779">
      <c r="A779" s="1">
        <f>IFERROR(__xludf.DUMMYFUNCTION("""COMPUTED_VALUE"""),778.0)</f>
        <v>778</v>
      </c>
      <c r="B779" s="1">
        <f>IFERROR(__xludf.DUMMYFUNCTION("""COMPUTED_VALUE"""),10674.0)</f>
        <v>10674</v>
      </c>
      <c r="C779" s="2" t="str">
        <f>IFERROR(__xludf.DUMMYFUNCTION("""COMPUTED_VALUE"""),"SPONSORSHIP")</f>
        <v>SPONSORSHIP</v>
      </c>
      <c r="D779" s="2" t="str">
        <f>IFERROR(__xludf.DUMMYFUNCTION("""COMPUTED_VALUE"""),"10KM OVERALL M")</f>
        <v>10KM OVERALL M</v>
      </c>
      <c r="E779" s="1">
        <f>IFERROR(__xludf.DUMMYFUNCTION("""COMPUTED_VALUE"""),1.0)</f>
        <v>1</v>
      </c>
      <c r="F779" s="1" t="str">
        <f>IFERROR(__xludf.DUMMYFUNCTION("""COMPUTED_VALUE"""),"Male")</f>
        <v>Male</v>
      </c>
      <c r="G779" s="4" t="b">
        <f>IFERROR(__xludf.DUMMYFUNCTION("""COMPUTED_VALUE"""),TRUE)</f>
        <v>1</v>
      </c>
      <c r="H779" s="4" t="b">
        <f>IFERROR(__xludf.DUMMYFUNCTION("""COMPUTED_VALUE"""),FALSE)</f>
        <v>0</v>
      </c>
      <c r="I779" s="4">
        <f>IFERROR(__xludf.DUMMYFUNCTION("""COMPUTED_VALUE"""),0.24646185185185185)</f>
        <v>0.2464618519</v>
      </c>
      <c r="J779" s="4">
        <f>IFERROR(__xludf.DUMMYFUNCTION("""COMPUTED_VALUE"""),45949.25936005829)</f>
        <v>45949.25936</v>
      </c>
      <c r="K779" s="4">
        <f>IFERROR(__xludf.DUMMYFUNCTION("""COMPUTED_VALUE"""),45949.295738751796)</f>
        <v>45949.29574</v>
      </c>
      <c r="L779" s="4">
        <f>IFERROR(__xludf.DUMMYFUNCTION("""COMPUTED_VALUE"""),45949.30654323378)</f>
        <v>45949.30654</v>
      </c>
      <c r="M779" s="1" t="str">
        <f>IFERROR(__xludf.DUMMYFUNCTION("""COMPUTED_VALUE"""),"RFID")</f>
        <v>RFID</v>
      </c>
      <c r="N779" s="5">
        <f>IFERROR(__xludf.DUMMYFUNCTION("""COMPUTED_VALUE"""),0.005159282407407408)</f>
        <v>0.005159282407</v>
      </c>
      <c r="O779" s="5">
        <f>IFERROR(__xludf.DUMMYFUNCTION("""COMPUTED_VALUE"""),0.014551476851851852)</f>
        <v>0.01455147685</v>
      </c>
      <c r="P779" s="5">
        <f>IFERROR(__xludf.DUMMYFUNCTION("""COMPUTED_VALUE"""),0.004446288883238609)</f>
        <v>0.004446288883</v>
      </c>
      <c r="Q779" s="5">
        <f>IFERROR(__xludf.DUMMYFUNCTION("""COMPUTED_VALUE"""),0.0060081377314814815)</f>
        <v>0.006008137731</v>
      </c>
      <c r="R779" s="4">
        <f>IFERROR(__xludf.DUMMYFUNCTION("""COMPUTED_VALUE"""),45949.06008138193)</f>
        <v>45949.06008</v>
      </c>
      <c r="S779" s="1" t="b">
        <f>IFERROR(__xludf.DUMMYFUNCTION("""COMPUTED_VALUE"""),TRUE)</f>
        <v>1</v>
      </c>
      <c r="T779" s="1" t="b">
        <f>IFERROR(__xludf.DUMMYFUNCTION("""COMPUTED_VALUE"""),FALSE)</f>
        <v>0</v>
      </c>
      <c r="U779" s="1" t="str">
        <f>IFERROR(__xludf.DUMMYFUNCTION("""COMPUTED_VALUE"""),"VALID")</f>
        <v>VALID</v>
      </c>
      <c r="V779" s="1">
        <f>IFERROR(__xludf.DUMMYFUNCTION("""COMPUTED_VALUE"""),534.0)</f>
        <v>534</v>
      </c>
      <c r="W779" s="1">
        <f>IFERROR(__xludf.DUMMYFUNCTION("""COMPUTED_VALUE"""),656.0)</f>
        <v>656</v>
      </c>
      <c r="X779" s="1">
        <f>IFERROR(__xludf.DUMMYFUNCTION("""COMPUTED_VALUE"""),1608.0)</f>
        <v>1608</v>
      </c>
      <c r="Y779" s="2"/>
      <c r="Z779" s="2"/>
    </row>
    <row r="780">
      <c r="A780" s="1">
        <f>IFERROR(__xludf.DUMMYFUNCTION("""COMPUTED_VALUE"""),779.0)</f>
        <v>779</v>
      </c>
      <c r="B780" s="1">
        <f>IFERROR(__xludf.DUMMYFUNCTION("""COMPUTED_VALUE"""),10675.0)</f>
        <v>10675</v>
      </c>
      <c r="C780" s="2" t="str">
        <f>IFERROR(__xludf.DUMMYFUNCTION("""COMPUTED_VALUE"""),"SPONSORSHIP")</f>
        <v>SPONSORSHIP</v>
      </c>
      <c r="D780" s="2" t="str">
        <f>IFERROR(__xludf.DUMMYFUNCTION("""COMPUTED_VALUE"""),"10KM OVERALL M")</f>
        <v>10KM OVERALL M</v>
      </c>
      <c r="E780" s="1">
        <f>IFERROR(__xludf.DUMMYFUNCTION("""COMPUTED_VALUE"""),1.0)</f>
        <v>1</v>
      </c>
      <c r="F780" s="1" t="str">
        <f>IFERROR(__xludf.DUMMYFUNCTION("""COMPUTED_VALUE"""),"Male")</f>
        <v>Male</v>
      </c>
      <c r="G780" s="4" t="str">
        <f>IFERROR(__xludf.DUMMYFUNCTION("""COMPUTED_VALUE"""),"")</f>
        <v/>
      </c>
      <c r="H780" s="4" t="b">
        <f>IFERROR(__xludf.DUMMYFUNCTION("""COMPUTED_VALUE"""),FALSE)</f>
        <v>0</v>
      </c>
      <c r="I780" s="4">
        <f>IFERROR(__xludf.DUMMYFUNCTION("""COMPUTED_VALUE"""),0.24646185185185185)</f>
        <v>0.2464618519</v>
      </c>
      <c r="J780" s="4" t="str">
        <f>IFERROR(__xludf.DUMMYFUNCTION("""COMPUTED_VALUE"""),"")</f>
        <v/>
      </c>
      <c r="K780" s="4" t="str">
        <f>IFERROR(__xludf.DUMMYFUNCTION("""COMPUTED_VALUE"""),"")</f>
        <v/>
      </c>
      <c r="L780" s="4" t="str">
        <f>IFERROR(__xludf.DUMMYFUNCTION("""COMPUTED_VALUE"""),"")</f>
        <v/>
      </c>
      <c r="M780" s="1" t="str">
        <f>IFERROR(__xludf.DUMMYFUNCTION("""COMPUTED_VALUE"""),"RFID")</f>
        <v>RFID</v>
      </c>
      <c r="N780" s="5" t="str">
        <f>IFERROR(__xludf.DUMMYFUNCTION("""COMPUTED_VALUE"""),"")</f>
        <v/>
      </c>
      <c r="O780" s="5" t="str">
        <f>IFERROR(__xludf.DUMMYFUNCTION("""COMPUTED_VALUE"""),"")</f>
        <v/>
      </c>
      <c r="P780" s="5" t="str">
        <f>IFERROR(__xludf.DUMMYFUNCTION("""COMPUTED_VALUE"""),"")</f>
        <v/>
      </c>
      <c r="Q780" s="5" t="str">
        <f>IFERROR(__xludf.DUMMYFUNCTION("""COMPUTED_VALUE"""),"")</f>
        <v/>
      </c>
      <c r="R780" s="4" t="str">
        <f>IFERROR(__xludf.DUMMYFUNCTION("""COMPUTED_VALUE"""),"")</f>
        <v/>
      </c>
      <c r="S780" s="1" t="b">
        <f>IFERROR(__xludf.DUMMYFUNCTION("""COMPUTED_VALUE"""),FALSE)</f>
        <v>0</v>
      </c>
      <c r="T780" s="1" t="b">
        <f>IFERROR(__xludf.DUMMYFUNCTION("""COMPUTED_VALUE"""),FALSE)</f>
        <v>0</v>
      </c>
      <c r="U780" s="1" t="str">
        <f>IFERROR(__xludf.DUMMYFUNCTION("""COMPUTED_VALUE"""),"DSQ")</f>
        <v>DSQ</v>
      </c>
      <c r="V780" s="1" t="str">
        <f>IFERROR(__xludf.DUMMYFUNCTION("""COMPUTED_VALUE"""),"DSQ")</f>
        <v>DSQ</v>
      </c>
      <c r="W780" s="1" t="str">
        <f>IFERROR(__xludf.DUMMYFUNCTION("""COMPUTED_VALUE"""),"DSQ")</f>
        <v>DSQ</v>
      </c>
      <c r="X780" s="1" t="str">
        <f>IFERROR(__xludf.DUMMYFUNCTION("""COMPUTED_VALUE"""),"DSQ")</f>
        <v>DSQ</v>
      </c>
      <c r="Y780" s="2"/>
      <c r="Z780" s="2" t="str">
        <f>IFERROR(__xludf.DUMMYFUNCTION("""COMPUTED_VALUE"""),"")</f>
        <v/>
      </c>
    </row>
    <row r="781">
      <c r="A781" s="1">
        <f>IFERROR(__xludf.DUMMYFUNCTION("""COMPUTED_VALUE"""),780.0)</f>
        <v>780</v>
      </c>
      <c r="B781" s="1">
        <f>IFERROR(__xludf.DUMMYFUNCTION("""COMPUTED_VALUE"""),10677.0)</f>
        <v>10677</v>
      </c>
      <c r="C781" s="2" t="str">
        <f>IFERROR(__xludf.DUMMYFUNCTION("""COMPUTED_VALUE"""),"TOKO KOPI MELAYU")</f>
        <v>TOKO KOPI MELAYU</v>
      </c>
      <c r="D781" s="2" t="str">
        <f>IFERROR(__xludf.DUMMYFUNCTION("""COMPUTED_VALUE"""),"10KM OVERALL M")</f>
        <v>10KM OVERALL M</v>
      </c>
      <c r="E781" s="1">
        <f>IFERROR(__xludf.DUMMYFUNCTION("""COMPUTED_VALUE"""),1.0)</f>
        <v>1</v>
      </c>
      <c r="F781" s="1" t="str">
        <f>IFERROR(__xludf.DUMMYFUNCTION("""COMPUTED_VALUE"""),"Male")</f>
        <v>Male</v>
      </c>
      <c r="G781" s="4" t="str">
        <f>IFERROR(__xludf.DUMMYFUNCTION("""COMPUTED_VALUE"""),"")</f>
        <v/>
      </c>
      <c r="H781" s="4" t="b">
        <f>IFERROR(__xludf.DUMMYFUNCTION("""COMPUTED_VALUE"""),FALSE)</f>
        <v>0</v>
      </c>
      <c r="I781" s="4">
        <f>IFERROR(__xludf.DUMMYFUNCTION("""COMPUTED_VALUE"""),0.24646185185185185)</f>
        <v>0.2464618519</v>
      </c>
      <c r="J781" s="4" t="str">
        <f>IFERROR(__xludf.DUMMYFUNCTION("""COMPUTED_VALUE"""),"")</f>
        <v/>
      </c>
      <c r="K781" s="4" t="str">
        <f>IFERROR(__xludf.DUMMYFUNCTION("""COMPUTED_VALUE"""),"")</f>
        <v/>
      </c>
      <c r="L781" s="4" t="str">
        <f>IFERROR(__xludf.DUMMYFUNCTION("""COMPUTED_VALUE"""),"")</f>
        <v/>
      </c>
      <c r="M781" s="1" t="str">
        <f>IFERROR(__xludf.DUMMYFUNCTION("""COMPUTED_VALUE"""),"RFID")</f>
        <v>RFID</v>
      </c>
      <c r="N781" s="5" t="str">
        <f>IFERROR(__xludf.DUMMYFUNCTION("""COMPUTED_VALUE"""),"")</f>
        <v/>
      </c>
      <c r="O781" s="5" t="str">
        <f>IFERROR(__xludf.DUMMYFUNCTION("""COMPUTED_VALUE"""),"")</f>
        <v/>
      </c>
      <c r="P781" s="5" t="str">
        <f>IFERROR(__xludf.DUMMYFUNCTION("""COMPUTED_VALUE"""),"")</f>
        <v/>
      </c>
      <c r="Q781" s="5" t="str">
        <f>IFERROR(__xludf.DUMMYFUNCTION("""COMPUTED_VALUE"""),"")</f>
        <v/>
      </c>
      <c r="R781" s="4" t="str">
        <f>IFERROR(__xludf.DUMMYFUNCTION("""COMPUTED_VALUE"""),"")</f>
        <v/>
      </c>
      <c r="S781" s="1" t="b">
        <f>IFERROR(__xludf.DUMMYFUNCTION("""COMPUTED_VALUE"""),FALSE)</f>
        <v>0</v>
      </c>
      <c r="T781" s="1" t="b">
        <f>IFERROR(__xludf.DUMMYFUNCTION("""COMPUTED_VALUE"""),FALSE)</f>
        <v>0</v>
      </c>
      <c r="U781" s="1" t="str">
        <f>IFERROR(__xludf.DUMMYFUNCTION("""COMPUTED_VALUE"""),"DSQ")</f>
        <v>DSQ</v>
      </c>
      <c r="V781" s="1" t="str">
        <f>IFERROR(__xludf.DUMMYFUNCTION("""COMPUTED_VALUE"""),"DSQ")</f>
        <v>DSQ</v>
      </c>
      <c r="W781" s="1" t="str">
        <f>IFERROR(__xludf.DUMMYFUNCTION("""COMPUTED_VALUE"""),"DSQ")</f>
        <v>DSQ</v>
      </c>
      <c r="X781" s="1" t="str">
        <f>IFERROR(__xludf.DUMMYFUNCTION("""COMPUTED_VALUE"""),"DSQ")</f>
        <v>DSQ</v>
      </c>
      <c r="Y781" s="2"/>
      <c r="Z781" s="2" t="str">
        <f>IFERROR(__xludf.DUMMYFUNCTION("""COMPUTED_VALUE"""),"")</f>
        <v/>
      </c>
    </row>
    <row r="782">
      <c r="A782" s="1">
        <f>IFERROR(__xludf.DUMMYFUNCTION("""COMPUTED_VALUE"""),781.0)</f>
        <v>781</v>
      </c>
      <c r="B782" s="1">
        <f>IFERROR(__xludf.DUMMYFUNCTION("""COMPUTED_VALUE"""),10678.0)</f>
        <v>10678</v>
      </c>
      <c r="C782" s="2" t="str">
        <f>IFERROR(__xludf.DUMMYFUNCTION("""COMPUTED_VALUE"""),"TOKO KOPI MELAYU")</f>
        <v>TOKO KOPI MELAYU</v>
      </c>
      <c r="D782" s="2" t="str">
        <f>IFERROR(__xludf.DUMMYFUNCTION("""COMPUTED_VALUE"""),"10KM OVERALL M")</f>
        <v>10KM OVERALL M</v>
      </c>
      <c r="E782" s="1">
        <f>IFERROR(__xludf.DUMMYFUNCTION("""COMPUTED_VALUE"""),1.0)</f>
        <v>1</v>
      </c>
      <c r="F782" s="1" t="str">
        <f>IFERROR(__xludf.DUMMYFUNCTION("""COMPUTED_VALUE"""),"Male")</f>
        <v>Male</v>
      </c>
      <c r="G782" s="4" t="str">
        <f>IFERROR(__xludf.DUMMYFUNCTION("""COMPUTED_VALUE"""),"")</f>
        <v/>
      </c>
      <c r="H782" s="4" t="b">
        <f>IFERROR(__xludf.DUMMYFUNCTION("""COMPUTED_VALUE"""),FALSE)</f>
        <v>0</v>
      </c>
      <c r="I782" s="4">
        <f>IFERROR(__xludf.DUMMYFUNCTION("""COMPUTED_VALUE"""),0.24646185185185185)</f>
        <v>0.2464618519</v>
      </c>
      <c r="J782" s="4" t="str">
        <f>IFERROR(__xludf.DUMMYFUNCTION("""COMPUTED_VALUE"""),"")</f>
        <v/>
      </c>
      <c r="K782" s="4" t="str">
        <f>IFERROR(__xludf.DUMMYFUNCTION("""COMPUTED_VALUE"""),"")</f>
        <v/>
      </c>
      <c r="L782" s="4" t="str">
        <f>IFERROR(__xludf.DUMMYFUNCTION("""COMPUTED_VALUE"""),"")</f>
        <v/>
      </c>
      <c r="M782" s="1" t="str">
        <f>IFERROR(__xludf.DUMMYFUNCTION("""COMPUTED_VALUE"""),"RFID")</f>
        <v>RFID</v>
      </c>
      <c r="N782" s="5" t="str">
        <f>IFERROR(__xludf.DUMMYFUNCTION("""COMPUTED_VALUE"""),"")</f>
        <v/>
      </c>
      <c r="O782" s="5" t="str">
        <f>IFERROR(__xludf.DUMMYFUNCTION("""COMPUTED_VALUE"""),"")</f>
        <v/>
      </c>
      <c r="P782" s="5" t="str">
        <f>IFERROR(__xludf.DUMMYFUNCTION("""COMPUTED_VALUE"""),"")</f>
        <v/>
      </c>
      <c r="Q782" s="5" t="str">
        <f>IFERROR(__xludf.DUMMYFUNCTION("""COMPUTED_VALUE"""),"")</f>
        <v/>
      </c>
      <c r="R782" s="4" t="str">
        <f>IFERROR(__xludf.DUMMYFUNCTION("""COMPUTED_VALUE"""),"")</f>
        <v/>
      </c>
      <c r="S782" s="1" t="b">
        <f>IFERROR(__xludf.DUMMYFUNCTION("""COMPUTED_VALUE"""),FALSE)</f>
        <v>0</v>
      </c>
      <c r="T782" s="1" t="b">
        <f>IFERROR(__xludf.DUMMYFUNCTION("""COMPUTED_VALUE"""),FALSE)</f>
        <v>0</v>
      </c>
      <c r="U782" s="1" t="str">
        <f>IFERROR(__xludf.DUMMYFUNCTION("""COMPUTED_VALUE"""),"DSQ")</f>
        <v>DSQ</v>
      </c>
      <c r="V782" s="1" t="str">
        <f>IFERROR(__xludf.DUMMYFUNCTION("""COMPUTED_VALUE"""),"DSQ")</f>
        <v>DSQ</v>
      </c>
      <c r="W782" s="1" t="str">
        <f>IFERROR(__xludf.DUMMYFUNCTION("""COMPUTED_VALUE"""),"DSQ")</f>
        <v>DSQ</v>
      </c>
      <c r="X782" s="1" t="str">
        <f>IFERROR(__xludf.DUMMYFUNCTION("""COMPUTED_VALUE"""),"DSQ")</f>
        <v>DSQ</v>
      </c>
      <c r="Y782" s="2"/>
      <c r="Z782" s="2" t="str">
        <f>IFERROR(__xludf.DUMMYFUNCTION("""COMPUTED_VALUE"""),"")</f>
        <v/>
      </c>
    </row>
    <row r="783">
      <c r="A783" s="1">
        <f>IFERROR(__xludf.DUMMYFUNCTION("""COMPUTED_VALUE"""),782.0)</f>
        <v>782</v>
      </c>
      <c r="B783" s="1">
        <f>IFERROR(__xludf.DUMMYFUNCTION("""COMPUTED_VALUE"""),10679.0)</f>
        <v>10679</v>
      </c>
      <c r="C783" s="2" t="str">
        <f>IFERROR(__xludf.DUMMYFUNCTION("""COMPUTED_VALUE"""),"TOKO KOPI MELAYU")</f>
        <v>TOKO KOPI MELAYU</v>
      </c>
      <c r="D783" s="2" t="str">
        <f>IFERROR(__xludf.DUMMYFUNCTION("""COMPUTED_VALUE"""),"10KM OVERALL M")</f>
        <v>10KM OVERALL M</v>
      </c>
      <c r="E783" s="1">
        <f>IFERROR(__xludf.DUMMYFUNCTION("""COMPUTED_VALUE"""),1.0)</f>
        <v>1</v>
      </c>
      <c r="F783" s="1" t="str">
        <f>IFERROR(__xludf.DUMMYFUNCTION("""COMPUTED_VALUE"""),"Male")</f>
        <v>Male</v>
      </c>
      <c r="G783" s="4" t="str">
        <f>IFERROR(__xludf.DUMMYFUNCTION("""COMPUTED_VALUE"""),"")</f>
        <v/>
      </c>
      <c r="H783" s="4" t="b">
        <f>IFERROR(__xludf.DUMMYFUNCTION("""COMPUTED_VALUE"""),FALSE)</f>
        <v>0</v>
      </c>
      <c r="I783" s="4">
        <f>IFERROR(__xludf.DUMMYFUNCTION("""COMPUTED_VALUE"""),0.24646185185185185)</f>
        <v>0.2464618519</v>
      </c>
      <c r="J783" s="4" t="str">
        <f>IFERROR(__xludf.DUMMYFUNCTION("""COMPUTED_VALUE"""),"")</f>
        <v/>
      </c>
      <c r="K783" s="4" t="str">
        <f>IFERROR(__xludf.DUMMYFUNCTION("""COMPUTED_VALUE"""),"")</f>
        <v/>
      </c>
      <c r="L783" s="4" t="str">
        <f>IFERROR(__xludf.DUMMYFUNCTION("""COMPUTED_VALUE"""),"")</f>
        <v/>
      </c>
      <c r="M783" s="1" t="str">
        <f>IFERROR(__xludf.DUMMYFUNCTION("""COMPUTED_VALUE"""),"RFID")</f>
        <v>RFID</v>
      </c>
      <c r="N783" s="5" t="str">
        <f>IFERROR(__xludf.DUMMYFUNCTION("""COMPUTED_VALUE"""),"")</f>
        <v/>
      </c>
      <c r="O783" s="5" t="str">
        <f>IFERROR(__xludf.DUMMYFUNCTION("""COMPUTED_VALUE"""),"")</f>
        <v/>
      </c>
      <c r="P783" s="5" t="str">
        <f>IFERROR(__xludf.DUMMYFUNCTION("""COMPUTED_VALUE"""),"")</f>
        <v/>
      </c>
      <c r="Q783" s="5" t="str">
        <f>IFERROR(__xludf.DUMMYFUNCTION("""COMPUTED_VALUE"""),"")</f>
        <v/>
      </c>
      <c r="R783" s="4" t="str">
        <f>IFERROR(__xludf.DUMMYFUNCTION("""COMPUTED_VALUE"""),"")</f>
        <v/>
      </c>
      <c r="S783" s="1" t="b">
        <f>IFERROR(__xludf.DUMMYFUNCTION("""COMPUTED_VALUE"""),FALSE)</f>
        <v>0</v>
      </c>
      <c r="T783" s="1" t="b">
        <f>IFERROR(__xludf.DUMMYFUNCTION("""COMPUTED_VALUE"""),FALSE)</f>
        <v>0</v>
      </c>
      <c r="U783" s="1" t="str">
        <f>IFERROR(__xludf.DUMMYFUNCTION("""COMPUTED_VALUE"""),"DSQ")</f>
        <v>DSQ</v>
      </c>
      <c r="V783" s="1" t="str">
        <f>IFERROR(__xludf.DUMMYFUNCTION("""COMPUTED_VALUE"""),"DSQ")</f>
        <v>DSQ</v>
      </c>
      <c r="W783" s="1" t="str">
        <f>IFERROR(__xludf.DUMMYFUNCTION("""COMPUTED_VALUE"""),"DSQ")</f>
        <v>DSQ</v>
      </c>
      <c r="X783" s="1" t="str">
        <f>IFERROR(__xludf.DUMMYFUNCTION("""COMPUTED_VALUE"""),"DSQ")</f>
        <v>DSQ</v>
      </c>
      <c r="Y783" s="2"/>
      <c r="Z783" s="2" t="str">
        <f>IFERROR(__xludf.DUMMYFUNCTION("""COMPUTED_VALUE"""),"")</f>
        <v/>
      </c>
    </row>
    <row r="784">
      <c r="A784" s="1">
        <f>IFERROR(__xludf.DUMMYFUNCTION("""COMPUTED_VALUE"""),783.0)</f>
        <v>783</v>
      </c>
      <c r="B784" s="1">
        <f>IFERROR(__xludf.DUMMYFUNCTION("""COMPUTED_VALUE"""),10681.0)</f>
        <v>10681</v>
      </c>
      <c r="C784" s="2" t="str">
        <f>IFERROR(__xludf.DUMMYFUNCTION("""COMPUTED_VALUE"""),"TOKO KOPI MELAYU")</f>
        <v>TOKO KOPI MELAYU</v>
      </c>
      <c r="D784" s="2" t="str">
        <f>IFERROR(__xludf.DUMMYFUNCTION("""COMPUTED_VALUE"""),"10KM OVERALL M")</f>
        <v>10KM OVERALL M</v>
      </c>
      <c r="E784" s="1">
        <f>IFERROR(__xludf.DUMMYFUNCTION("""COMPUTED_VALUE"""),1.0)</f>
        <v>1</v>
      </c>
      <c r="F784" s="1" t="str">
        <f>IFERROR(__xludf.DUMMYFUNCTION("""COMPUTED_VALUE"""),"Male")</f>
        <v>Male</v>
      </c>
      <c r="G784" s="4" t="str">
        <f>IFERROR(__xludf.DUMMYFUNCTION("""COMPUTED_VALUE"""),"")</f>
        <v/>
      </c>
      <c r="H784" s="4" t="b">
        <f>IFERROR(__xludf.DUMMYFUNCTION("""COMPUTED_VALUE"""),FALSE)</f>
        <v>0</v>
      </c>
      <c r="I784" s="4">
        <f>IFERROR(__xludf.DUMMYFUNCTION("""COMPUTED_VALUE"""),0.24646185185185185)</f>
        <v>0.2464618519</v>
      </c>
      <c r="J784" s="4" t="str">
        <f>IFERROR(__xludf.DUMMYFUNCTION("""COMPUTED_VALUE"""),"")</f>
        <v/>
      </c>
      <c r="K784" s="4" t="str">
        <f>IFERROR(__xludf.DUMMYFUNCTION("""COMPUTED_VALUE"""),"")</f>
        <v/>
      </c>
      <c r="L784" s="4" t="str">
        <f>IFERROR(__xludf.DUMMYFUNCTION("""COMPUTED_VALUE"""),"")</f>
        <v/>
      </c>
      <c r="M784" s="1" t="str">
        <f>IFERROR(__xludf.DUMMYFUNCTION("""COMPUTED_VALUE"""),"RFID")</f>
        <v>RFID</v>
      </c>
      <c r="N784" s="5" t="str">
        <f>IFERROR(__xludf.DUMMYFUNCTION("""COMPUTED_VALUE"""),"")</f>
        <v/>
      </c>
      <c r="O784" s="5" t="str">
        <f>IFERROR(__xludf.DUMMYFUNCTION("""COMPUTED_VALUE"""),"")</f>
        <v/>
      </c>
      <c r="P784" s="5" t="str">
        <f>IFERROR(__xludf.DUMMYFUNCTION("""COMPUTED_VALUE"""),"")</f>
        <v/>
      </c>
      <c r="Q784" s="5" t="str">
        <f>IFERROR(__xludf.DUMMYFUNCTION("""COMPUTED_VALUE"""),"")</f>
        <v/>
      </c>
      <c r="R784" s="4" t="str">
        <f>IFERROR(__xludf.DUMMYFUNCTION("""COMPUTED_VALUE"""),"")</f>
        <v/>
      </c>
      <c r="S784" s="1" t="b">
        <f>IFERROR(__xludf.DUMMYFUNCTION("""COMPUTED_VALUE"""),FALSE)</f>
        <v>0</v>
      </c>
      <c r="T784" s="1" t="b">
        <f>IFERROR(__xludf.DUMMYFUNCTION("""COMPUTED_VALUE"""),FALSE)</f>
        <v>0</v>
      </c>
      <c r="U784" s="1" t="str">
        <f>IFERROR(__xludf.DUMMYFUNCTION("""COMPUTED_VALUE"""),"DSQ")</f>
        <v>DSQ</v>
      </c>
      <c r="V784" s="1" t="str">
        <f>IFERROR(__xludf.DUMMYFUNCTION("""COMPUTED_VALUE"""),"DSQ")</f>
        <v>DSQ</v>
      </c>
      <c r="W784" s="1" t="str">
        <f>IFERROR(__xludf.DUMMYFUNCTION("""COMPUTED_VALUE"""),"DSQ")</f>
        <v>DSQ</v>
      </c>
      <c r="X784" s="1" t="str">
        <f>IFERROR(__xludf.DUMMYFUNCTION("""COMPUTED_VALUE"""),"DSQ")</f>
        <v>DSQ</v>
      </c>
      <c r="Y784" s="2"/>
      <c r="Z784" s="2" t="str">
        <f>IFERROR(__xludf.DUMMYFUNCTION("""COMPUTED_VALUE"""),"")</f>
        <v/>
      </c>
    </row>
    <row r="785">
      <c r="A785" s="1">
        <f>IFERROR(__xludf.DUMMYFUNCTION("""COMPUTED_VALUE"""),784.0)</f>
        <v>784</v>
      </c>
      <c r="B785" s="1">
        <f>IFERROR(__xludf.DUMMYFUNCTION("""COMPUTED_VALUE"""),10682.0)</f>
        <v>10682</v>
      </c>
      <c r="C785" s="2" t="str">
        <f>IFERROR(__xludf.DUMMYFUNCTION("""COMPUTED_VALUE"""),"TOKO KOPI MELAYU")</f>
        <v>TOKO KOPI MELAYU</v>
      </c>
      <c r="D785" s="2" t="str">
        <f>IFERROR(__xludf.DUMMYFUNCTION("""COMPUTED_VALUE"""),"10KM OVERALL M")</f>
        <v>10KM OVERALL M</v>
      </c>
      <c r="E785" s="1">
        <f>IFERROR(__xludf.DUMMYFUNCTION("""COMPUTED_VALUE"""),1.0)</f>
        <v>1</v>
      </c>
      <c r="F785" s="1" t="str">
        <f>IFERROR(__xludf.DUMMYFUNCTION("""COMPUTED_VALUE"""),"Male")</f>
        <v>Male</v>
      </c>
      <c r="G785" s="4" t="str">
        <f>IFERROR(__xludf.DUMMYFUNCTION("""COMPUTED_VALUE"""),"")</f>
        <v/>
      </c>
      <c r="H785" s="4" t="b">
        <f>IFERROR(__xludf.DUMMYFUNCTION("""COMPUTED_VALUE"""),FALSE)</f>
        <v>0</v>
      </c>
      <c r="I785" s="4">
        <f>IFERROR(__xludf.DUMMYFUNCTION("""COMPUTED_VALUE"""),0.24646185185185185)</f>
        <v>0.2464618519</v>
      </c>
      <c r="J785" s="4" t="str">
        <f>IFERROR(__xludf.DUMMYFUNCTION("""COMPUTED_VALUE"""),"")</f>
        <v/>
      </c>
      <c r="K785" s="4" t="str">
        <f>IFERROR(__xludf.DUMMYFUNCTION("""COMPUTED_VALUE"""),"")</f>
        <v/>
      </c>
      <c r="L785" s="4" t="str">
        <f>IFERROR(__xludf.DUMMYFUNCTION("""COMPUTED_VALUE"""),"")</f>
        <v/>
      </c>
      <c r="M785" s="1" t="str">
        <f>IFERROR(__xludf.DUMMYFUNCTION("""COMPUTED_VALUE"""),"RFID")</f>
        <v>RFID</v>
      </c>
      <c r="N785" s="5" t="str">
        <f>IFERROR(__xludf.DUMMYFUNCTION("""COMPUTED_VALUE"""),"")</f>
        <v/>
      </c>
      <c r="O785" s="5" t="str">
        <f>IFERROR(__xludf.DUMMYFUNCTION("""COMPUTED_VALUE"""),"")</f>
        <v/>
      </c>
      <c r="P785" s="5" t="str">
        <f>IFERROR(__xludf.DUMMYFUNCTION("""COMPUTED_VALUE"""),"")</f>
        <v/>
      </c>
      <c r="Q785" s="5" t="str">
        <f>IFERROR(__xludf.DUMMYFUNCTION("""COMPUTED_VALUE"""),"")</f>
        <v/>
      </c>
      <c r="R785" s="4" t="str">
        <f>IFERROR(__xludf.DUMMYFUNCTION("""COMPUTED_VALUE"""),"")</f>
        <v/>
      </c>
      <c r="S785" s="1" t="b">
        <f>IFERROR(__xludf.DUMMYFUNCTION("""COMPUTED_VALUE"""),FALSE)</f>
        <v>0</v>
      </c>
      <c r="T785" s="1" t="b">
        <f>IFERROR(__xludf.DUMMYFUNCTION("""COMPUTED_VALUE"""),FALSE)</f>
        <v>0</v>
      </c>
      <c r="U785" s="1" t="str">
        <f>IFERROR(__xludf.DUMMYFUNCTION("""COMPUTED_VALUE"""),"DSQ")</f>
        <v>DSQ</v>
      </c>
      <c r="V785" s="1" t="str">
        <f>IFERROR(__xludf.DUMMYFUNCTION("""COMPUTED_VALUE"""),"DSQ")</f>
        <v>DSQ</v>
      </c>
      <c r="W785" s="1" t="str">
        <f>IFERROR(__xludf.DUMMYFUNCTION("""COMPUTED_VALUE"""),"DSQ")</f>
        <v>DSQ</v>
      </c>
      <c r="X785" s="1" t="str">
        <f>IFERROR(__xludf.DUMMYFUNCTION("""COMPUTED_VALUE"""),"DSQ")</f>
        <v>DSQ</v>
      </c>
      <c r="Y785" s="2"/>
      <c r="Z785" s="2" t="str">
        <f>IFERROR(__xludf.DUMMYFUNCTION("""COMPUTED_VALUE"""),"")</f>
        <v/>
      </c>
    </row>
    <row r="786">
      <c r="A786" s="1">
        <f>IFERROR(__xludf.DUMMYFUNCTION("""COMPUTED_VALUE"""),785.0)</f>
        <v>785</v>
      </c>
      <c r="B786" s="1">
        <f>IFERROR(__xludf.DUMMYFUNCTION("""COMPUTED_VALUE"""),10683.0)</f>
        <v>10683</v>
      </c>
      <c r="C786" s="2" t="str">
        <f>IFERROR(__xludf.DUMMYFUNCTION("""COMPUTED_VALUE"""),"TOKO KOPI MELAYU")</f>
        <v>TOKO KOPI MELAYU</v>
      </c>
      <c r="D786" s="2" t="str">
        <f>IFERROR(__xludf.DUMMYFUNCTION("""COMPUTED_VALUE"""),"10KM OVERALL M")</f>
        <v>10KM OVERALL M</v>
      </c>
      <c r="E786" s="1">
        <f>IFERROR(__xludf.DUMMYFUNCTION("""COMPUTED_VALUE"""),1.0)</f>
        <v>1</v>
      </c>
      <c r="F786" s="1" t="str">
        <f>IFERROR(__xludf.DUMMYFUNCTION("""COMPUTED_VALUE"""),"Male")</f>
        <v>Male</v>
      </c>
      <c r="G786" s="4" t="str">
        <f>IFERROR(__xludf.DUMMYFUNCTION("""COMPUTED_VALUE"""),"")</f>
        <v/>
      </c>
      <c r="H786" s="4" t="b">
        <f>IFERROR(__xludf.DUMMYFUNCTION("""COMPUTED_VALUE"""),FALSE)</f>
        <v>0</v>
      </c>
      <c r="I786" s="4">
        <f>IFERROR(__xludf.DUMMYFUNCTION("""COMPUTED_VALUE"""),0.24646185185185185)</f>
        <v>0.2464618519</v>
      </c>
      <c r="J786" s="4" t="str">
        <f>IFERROR(__xludf.DUMMYFUNCTION("""COMPUTED_VALUE"""),"")</f>
        <v/>
      </c>
      <c r="K786" s="4" t="str">
        <f>IFERROR(__xludf.DUMMYFUNCTION("""COMPUTED_VALUE"""),"")</f>
        <v/>
      </c>
      <c r="L786" s="4" t="str">
        <f>IFERROR(__xludf.DUMMYFUNCTION("""COMPUTED_VALUE"""),"")</f>
        <v/>
      </c>
      <c r="M786" s="1" t="str">
        <f>IFERROR(__xludf.DUMMYFUNCTION("""COMPUTED_VALUE"""),"RFID")</f>
        <v>RFID</v>
      </c>
      <c r="N786" s="5" t="str">
        <f>IFERROR(__xludf.DUMMYFUNCTION("""COMPUTED_VALUE"""),"")</f>
        <v/>
      </c>
      <c r="O786" s="5" t="str">
        <f>IFERROR(__xludf.DUMMYFUNCTION("""COMPUTED_VALUE"""),"")</f>
        <v/>
      </c>
      <c r="P786" s="5" t="str">
        <f>IFERROR(__xludf.DUMMYFUNCTION("""COMPUTED_VALUE"""),"")</f>
        <v/>
      </c>
      <c r="Q786" s="5" t="str">
        <f>IFERROR(__xludf.DUMMYFUNCTION("""COMPUTED_VALUE"""),"")</f>
        <v/>
      </c>
      <c r="R786" s="4" t="str">
        <f>IFERROR(__xludf.DUMMYFUNCTION("""COMPUTED_VALUE"""),"")</f>
        <v/>
      </c>
      <c r="S786" s="1" t="b">
        <f>IFERROR(__xludf.DUMMYFUNCTION("""COMPUTED_VALUE"""),FALSE)</f>
        <v>0</v>
      </c>
      <c r="T786" s="1" t="b">
        <f>IFERROR(__xludf.DUMMYFUNCTION("""COMPUTED_VALUE"""),FALSE)</f>
        <v>0</v>
      </c>
      <c r="U786" s="1" t="str">
        <f>IFERROR(__xludf.DUMMYFUNCTION("""COMPUTED_VALUE"""),"DSQ")</f>
        <v>DSQ</v>
      </c>
      <c r="V786" s="1" t="str">
        <f>IFERROR(__xludf.DUMMYFUNCTION("""COMPUTED_VALUE"""),"DSQ")</f>
        <v>DSQ</v>
      </c>
      <c r="W786" s="1" t="str">
        <f>IFERROR(__xludf.DUMMYFUNCTION("""COMPUTED_VALUE"""),"DSQ")</f>
        <v>DSQ</v>
      </c>
      <c r="X786" s="1" t="str">
        <f>IFERROR(__xludf.DUMMYFUNCTION("""COMPUTED_VALUE"""),"DSQ")</f>
        <v>DSQ</v>
      </c>
      <c r="Y786" s="2"/>
      <c r="Z786" s="2" t="str">
        <f>IFERROR(__xludf.DUMMYFUNCTION("""COMPUTED_VALUE"""),"")</f>
        <v/>
      </c>
    </row>
    <row r="787">
      <c r="A787" s="1">
        <f>IFERROR(__xludf.DUMMYFUNCTION("""COMPUTED_VALUE"""),786.0)</f>
        <v>786</v>
      </c>
      <c r="B787" s="1">
        <f>IFERROR(__xludf.DUMMYFUNCTION("""COMPUTED_VALUE"""),10684.0)</f>
        <v>10684</v>
      </c>
      <c r="C787" s="2" t="str">
        <f>IFERROR(__xludf.DUMMYFUNCTION("""COMPUTED_VALUE"""),"TOKO KOPI MELAYU")</f>
        <v>TOKO KOPI MELAYU</v>
      </c>
      <c r="D787" s="2" t="str">
        <f>IFERROR(__xludf.DUMMYFUNCTION("""COMPUTED_VALUE"""),"10KM OVERALL M")</f>
        <v>10KM OVERALL M</v>
      </c>
      <c r="E787" s="1">
        <f>IFERROR(__xludf.DUMMYFUNCTION("""COMPUTED_VALUE"""),1.0)</f>
        <v>1</v>
      </c>
      <c r="F787" s="1" t="str">
        <f>IFERROR(__xludf.DUMMYFUNCTION("""COMPUTED_VALUE"""),"Male")</f>
        <v>Male</v>
      </c>
      <c r="G787" s="4" t="str">
        <f>IFERROR(__xludf.DUMMYFUNCTION("""COMPUTED_VALUE"""),"")</f>
        <v/>
      </c>
      <c r="H787" s="4" t="b">
        <f>IFERROR(__xludf.DUMMYFUNCTION("""COMPUTED_VALUE"""),FALSE)</f>
        <v>0</v>
      </c>
      <c r="I787" s="4">
        <f>IFERROR(__xludf.DUMMYFUNCTION("""COMPUTED_VALUE"""),0.24646185185185185)</f>
        <v>0.2464618519</v>
      </c>
      <c r="J787" s="4" t="str">
        <f>IFERROR(__xludf.DUMMYFUNCTION("""COMPUTED_VALUE"""),"")</f>
        <v/>
      </c>
      <c r="K787" s="4" t="str">
        <f>IFERROR(__xludf.DUMMYFUNCTION("""COMPUTED_VALUE"""),"")</f>
        <v/>
      </c>
      <c r="L787" s="4" t="str">
        <f>IFERROR(__xludf.DUMMYFUNCTION("""COMPUTED_VALUE"""),"")</f>
        <v/>
      </c>
      <c r="M787" s="1" t="str">
        <f>IFERROR(__xludf.DUMMYFUNCTION("""COMPUTED_VALUE"""),"RFID")</f>
        <v>RFID</v>
      </c>
      <c r="N787" s="5" t="str">
        <f>IFERROR(__xludf.DUMMYFUNCTION("""COMPUTED_VALUE"""),"")</f>
        <v/>
      </c>
      <c r="O787" s="5" t="str">
        <f>IFERROR(__xludf.DUMMYFUNCTION("""COMPUTED_VALUE"""),"")</f>
        <v/>
      </c>
      <c r="P787" s="5" t="str">
        <f>IFERROR(__xludf.DUMMYFUNCTION("""COMPUTED_VALUE"""),"")</f>
        <v/>
      </c>
      <c r="Q787" s="5" t="str">
        <f>IFERROR(__xludf.DUMMYFUNCTION("""COMPUTED_VALUE"""),"")</f>
        <v/>
      </c>
      <c r="R787" s="4" t="str">
        <f>IFERROR(__xludf.DUMMYFUNCTION("""COMPUTED_VALUE"""),"")</f>
        <v/>
      </c>
      <c r="S787" s="1" t="b">
        <f>IFERROR(__xludf.DUMMYFUNCTION("""COMPUTED_VALUE"""),FALSE)</f>
        <v>0</v>
      </c>
      <c r="T787" s="1" t="b">
        <f>IFERROR(__xludf.DUMMYFUNCTION("""COMPUTED_VALUE"""),FALSE)</f>
        <v>0</v>
      </c>
      <c r="U787" s="1" t="str">
        <f>IFERROR(__xludf.DUMMYFUNCTION("""COMPUTED_VALUE"""),"DSQ")</f>
        <v>DSQ</v>
      </c>
      <c r="V787" s="1" t="str">
        <f>IFERROR(__xludf.DUMMYFUNCTION("""COMPUTED_VALUE"""),"DSQ")</f>
        <v>DSQ</v>
      </c>
      <c r="W787" s="1" t="str">
        <f>IFERROR(__xludf.DUMMYFUNCTION("""COMPUTED_VALUE"""),"DSQ")</f>
        <v>DSQ</v>
      </c>
      <c r="X787" s="1" t="str">
        <f>IFERROR(__xludf.DUMMYFUNCTION("""COMPUTED_VALUE"""),"DSQ")</f>
        <v>DSQ</v>
      </c>
      <c r="Y787" s="2"/>
      <c r="Z787" s="2" t="str">
        <f>IFERROR(__xludf.DUMMYFUNCTION("""COMPUTED_VALUE"""),"")</f>
        <v/>
      </c>
    </row>
    <row r="788">
      <c r="A788" s="1">
        <f>IFERROR(__xludf.DUMMYFUNCTION("""COMPUTED_VALUE"""),787.0)</f>
        <v>787</v>
      </c>
      <c r="B788" s="1">
        <f>IFERROR(__xludf.DUMMYFUNCTION("""COMPUTED_VALUE"""),10685.0)</f>
        <v>10685</v>
      </c>
      <c r="C788" s="2" t="str">
        <f>IFERROR(__xludf.DUMMYFUNCTION("""COMPUTED_VALUE"""),"TOKO KOPI MELAYU")</f>
        <v>TOKO KOPI MELAYU</v>
      </c>
      <c r="D788" s="2" t="str">
        <f>IFERROR(__xludf.DUMMYFUNCTION("""COMPUTED_VALUE"""),"10KM OVERALL M")</f>
        <v>10KM OVERALL M</v>
      </c>
      <c r="E788" s="1">
        <f>IFERROR(__xludf.DUMMYFUNCTION("""COMPUTED_VALUE"""),1.0)</f>
        <v>1</v>
      </c>
      <c r="F788" s="1" t="str">
        <f>IFERROR(__xludf.DUMMYFUNCTION("""COMPUTED_VALUE"""),"Male")</f>
        <v>Male</v>
      </c>
      <c r="G788" s="4" t="str">
        <f>IFERROR(__xludf.DUMMYFUNCTION("""COMPUTED_VALUE"""),"")</f>
        <v/>
      </c>
      <c r="H788" s="4" t="b">
        <f>IFERROR(__xludf.DUMMYFUNCTION("""COMPUTED_VALUE"""),FALSE)</f>
        <v>0</v>
      </c>
      <c r="I788" s="4">
        <f>IFERROR(__xludf.DUMMYFUNCTION("""COMPUTED_VALUE"""),0.24646185185185185)</f>
        <v>0.2464618519</v>
      </c>
      <c r="J788" s="4" t="str">
        <f>IFERROR(__xludf.DUMMYFUNCTION("""COMPUTED_VALUE"""),"")</f>
        <v/>
      </c>
      <c r="K788" s="4" t="str">
        <f>IFERROR(__xludf.DUMMYFUNCTION("""COMPUTED_VALUE"""),"")</f>
        <v/>
      </c>
      <c r="L788" s="4" t="str">
        <f>IFERROR(__xludf.DUMMYFUNCTION("""COMPUTED_VALUE"""),"")</f>
        <v/>
      </c>
      <c r="M788" s="1" t="str">
        <f>IFERROR(__xludf.DUMMYFUNCTION("""COMPUTED_VALUE"""),"RFID")</f>
        <v>RFID</v>
      </c>
      <c r="N788" s="5" t="str">
        <f>IFERROR(__xludf.DUMMYFUNCTION("""COMPUTED_VALUE"""),"")</f>
        <v/>
      </c>
      <c r="O788" s="5" t="str">
        <f>IFERROR(__xludf.DUMMYFUNCTION("""COMPUTED_VALUE"""),"")</f>
        <v/>
      </c>
      <c r="P788" s="5" t="str">
        <f>IFERROR(__xludf.DUMMYFUNCTION("""COMPUTED_VALUE"""),"")</f>
        <v/>
      </c>
      <c r="Q788" s="5" t="str">
        <f>IFERROR(__xludf.DUMMYFUNCTION("""COMPUTED_VALUE"""),"")</f>
        <v/>
      </c>
      <c r="R788" s="4" t="str">
        <f>IFERROR(__xludf.DUMMYFUNCTION("""COMPUTED_VALUE"""),"")</f>
        <v/>
      </c>
      <c r="S788" s="1" t="b">
        <f>IFERROR(__xludf.DUMMYFUNCTION("""COMPUTED_VALUE"""),FALSE)</f>
        <v>0</v>
      </c>
      <c r="T788" s="1" t="b">
        <f>IFERROR(__xludf.DUMMYFUNCTION("""COMPUTED_VALUE"""),FALSE)</f>
        <v>0</v>
      </c>
      <c r="U788" s="1" t="str">
        <f>IFERROR(__xludf.DUMMYFUNCTION("""COMPUTED_VALUE"""),"DSQ")</f>
        <v>DSQ</v>
      </c>
      <c r="V788" s="1" t="str">
        <f>IFERROR(__xludf.DUMMYFUNCTION("""COMPUTED_VALUE"""),"DSQ")</f>
        <v>DSQ</v>
      </c>
      <c r="W788" s="1" t="str">
        <f>IFERROR(__xludf.DUMMYFUNCTION("""COMPUTED_VALUE"""),"DSQ")</f>
        <v>DSQ</v>
      </c>
      <c r="X788" s="1" t="str">
        <f>IFERROR(__xludf.DUMMYFUNCTION("""COMPUTED_VALUE"""),"DSQ")</f>
        <v>DSQ</v>
      </c>
      <c r="Y788" s="2"/>
      <c r="Z788" s="2" t="str">
        <f>IFERROR(__xludf.DUMMYFUNCTION("""COMPUTED_VALUE"""),"")</f>
        <v/>
      </c>
    </row>
    <row r="789">
      <c r="A789" s="1">
        <f>IFERROR(__xludf.DUMMYFUNCTION("""COMPUTED_VALUE"""),788.0)</f>
        <v>788</v>
      </c>
      <c r="B789" s="1">
        <f>IFERROR(__xludf.DUMMYFUNCTION("""COMPUTED_VALUE"""),10687.0)</f>
        <v>10687</v>
      </c>
      <c r="C789" s="2" t="str">
        <f>IFERROR(__xludf.DUMMYFUNCTION("""COMPUTED_VALUE"""),"ILHAM WASIS DHARMAWAN")</f>
        <v>ILHAM WASIS DHARMAWAN</v>
      </c>
      <c r="D789" s="2" t="str">
        <f>IFERROR(__xludf.DUMMYFUNCTION("""COMPUTED_VALUE"""),"10KM OVERALL M")</f>
        <v>10KM OVERALL M</v>
      </c>
      <c r="E789" s="1">
        <f>IFERROR(__xludf.DUMMYFUNCTION("""COMPUTED_VALUE"""),1.0)</f>
        <v>1</v>
      </c>
      <c r="F789" s="1" t="str">
        <f>IFERROR(__xludf.DUMMYFUNCTION("""COMPUTED_VALUE"""),"Male")</f>
        <v>Male</v>
      </c>
      <c r="G789" s="4" t="b">
        <f>IFERROR(__xludf.DUMMYFUNCTION("""COMPUTED_VALUE"""),TRUE)</f>
        <v>1</v>
      </c>
      <c r="H789" s="4" t="b">
        <f>IFERROR(__xludf.DUMMYFUNCTION("""COMPUTED_VALUE"""),TRUE)</f>
        <v>1</v>
      </c>
      <c r="I789" s="4">
        <f>IFERROR(__xludf.DUMMYFUNCTION("""COMPUTED_VALUE"""),0.24646185185185185)</f>
        <v>0.2464618519</v>
      </c>
      <c r="J789" s="4">
        <f>IFERROR(__xludf.DUMMYFUNCTION("""COMPUTED_VALUE"""),45949.25687044648)</f>
        <v>45949.25687</v>
      </c>
      <c r="K789" s="4">
        <f>IFERROR(__xludf.DUMMYFUNCTION("""COMPUTED_VALUE"""),45949.28490876712)</f>
        <v>45949.28491</v>
      </c>
      <c r="L789" s="4">
        <f>IFERROR(__xludf.DUMMYFUNCTION("""COMPUTED_VALUE"""),45949.292612683)</f>
        <v>45949.29261</v>
      </c>
      <c r="M789" s="1" t="str">
        <f>IFERROR(__xludf.DUMMYFUNCTION("""COMPUTED_VALUE"""),"RFID")</f>
        <v>RFID</v>
      </c>
      <c r="N789" s="5">
        <f>IFERROR(__xludf.DUMMYFUNCTION("""COMPUTED_VALUE"""),0.004163439814814815)</f>
        <v>0.004163439815</v>
      </c>
      <c r="O789" s="5">
        <f>IFERROR(__xludf.DUMMYFUNCTION("""COMPUTED_VALUE"""),0.011215328703703703)</f>
        <v>0.0112153287</v>
      </c>
      <c r="P789" s="5">
        <f>IFERROR(__xludf.DUMMYFUNCTION("""COMPUTED_VALUE"""),0.003170335752536914)</f>
        <v>0.003170335753</v>
      </c>
      <c r="Q789" s="5">
        <f>IFERROR(__xludf.DUMMYFUNCTION("""COMPUTED_VALUE"""),0.004615083333333333)</f>
        <v>0.004615083333</v>
      </c>
      <c r="R789" s="4">
        <f>IFERROR(__xludf.DUMMYFUNCTION("""COMPUTED_VALUE"""),45949.04615083115)</f>
        <v>45949.04615</v>
      </c>
      <c r="S789" s="1" t="b">
        <f>IFERROR(__xludf.DUMMYFUNCTION("""COMPUTED_VALUE"""),TRUE)</f>
        <v>1</v>
      </c>
      <c r="T789" s="1" t="b">
        <f>IFERROR(__xludf.DUMMYFUNCTION("""COMPUTED_VALUE"""),FALSE)</f>
        <v>0</v>
      </c>
      <c r="U789" s="1" t="str">
        <f>IFERROR(__xludf.DUMMYFUNCTION("""COMPUTED_VALUE"""),"VALID")</f>
        <v>VALID</v>
      </c>
      <c r="V789" s="1">
        <f>IFERROR(__xludf.DUMMYFUNCTION("""COMPUTED_VALUE"""),248.0)</f>
        <v>248</v>
      </c>
      <c r="W789" s="1">
        <f>IFERROR(__xludf.DUMMYFUNCTION("""COMPUTED_VALUE"""),297.0)</f>
        <v>297</v>
      </c>
      <c r="X789" s="1">
        <f>IFERROR(__xludf.DUMMYFUNCTION("""COMPUTED_VALUE"""),1246.0)</f>
        <v>1246</v>
      </c>
      <c r="Y789" s="2"/>
      <c r="Z789" s="2"/>
    </row>
    <row r="790">
      <c r="A790" s="1">
        <f>IFERROR(__xludf.DUMMYFUNCTION("""COMPUTED_VALUE"""),789.0)</f>
        <v>789</v>
      </c>
      <c r="B790" s="1">
        <f>IFERROR(__xludf.DUMMYFUNCTION("""COMPUTED_VALUE"""),10689.0)</f>
        <v>10689</v>
      </c>
      <c r="C790" s="2" t="str">
        <f>IFERROR(__xludf.DUMMYFUNCTION("""COMPUTED_VALUE"""),"Nugroho")</f>
        <v>Nugroho</v>
      </c>
      <c r="D790" s="2" t="str">
        <f>IFERROR(__xludf.DUMMYFUNCTION("""COMPUTED_VALUE"""),"10KM OVERALL M")</f>
        <v>10KM OVERALL M</v>
      </c>
      <c r="E790" s="1">
        <f>IFERROR(__xludf.DUMMYFUNCTION("""COMPUTED_VALUE"""),1.0)</f>
        <v>1</v>
      </c>
      <c r="F790" s="1" t="str">
        <f>IFERROR(__xludf.DUMMYFUNCTION("""COMPUTED_VALUE"""),"Male")</f>
        <v>Male</v>
      </c>
      <c r="G790" s="4" t="b">
        <f>IFERROR(__xludf.DUMMYFUNCTION("""COMPUTED_VALUE"""),TRUE)</f>
        <v>1</v>
      </c>
      <c r="H790" s="4" t="b">
        <f>IFERROR(__xludf.DUMMYFUNCTION("""COMPUTED_VALUE"""),TRUE)</f>
        <v>1</v>
      </c>
      <c r="I790" s="4">
        <f>IFERROR(__xludf.DUMMYFUNCTION("""COMPUTED_VALUE"""),0.24646185185185185)</f>
        <v>0.2464618519</v>
      </c>
      <c r="J790" s="4">
        <f>IFERROR(__xludf.DUMMYFUNCTION("""COMPUTED_VALUE"""),45949.261325818974)</f>
        <v>45949.26133</v>
      </c>
      <c r="K790" s="4">
        <f>IFERROR(__xludf.DUMMYFUNCTION("""COMPUTED_VALUE"""),45949.301624169224)</f>
        <v>45949.30162</v>
      </c>
      <c r="L790" s="4">
        <f>IFERROR(__xludf.DUMMYFUNCTION("""COMPUTED_VALUE"""),45949.31336962216)</f>
        <v>45949.31337</v>
      </c>
      <c r="M790" s="1" t="str">
        <f>IFERROR(__xludf.DUMMYFUNCTION("""COMPUTED_VALUE"""),"RFID")</f>
        <v>RFID</v>
      </c>
      <c r="N790" s="5">
        <f>IFERROR(__xludf.DUMMYFUNCTION("""COMPUTED_VALUE"""),0.005945587962962963)</f>
        <v>0.005945587963</v>
      </c>
      <c r="O790" s="5">
        <f>IFERROR(__xludf.DUMMYFUNCTION("""COMPUTED_VALUE"""),0.016119337962962964)</f>
        <v>0.01611933796</v>
      </c>
      <c r="P790" s="5">
        <f>IFERROR(__xludf.DUMMYFUNCTION("""COMPUTED_VALUE"""),0.004833519728011126)</f>
        <v>0.004833519728</v>
      </c>
      <c r="Q790" s="5">
        <f>IFERROR(__xludf.DUMMYFUNCTION("""COMPUTED_VALUE"""),0.00669077662037037)</f>
        <v>0.00669077662</v>
      </c>
      <c r="R790" s="4">
        <f>IFERROR(__xludf.DUMMYFUNCTION("""COMPUTED_VALUE"""),45949.06690777031)</f>
        <v>45949.06691</v>
      </c>
      <c r="S790" s="1" t="b">
        <f>IFERROR(__xludf.DUMMYFUNCTION("""COMPUTED_VALUE"""),TRUE)</f>
        <v>1</v>
      </c>
      <c r="T790" s="1" t="b">
        <f>IFERROR(__xludf.DUMMYFUNCTION("""COMPUTED_VALUE"""),FALSE)</f>
        <v>0</v>
      </c>
      <c r="U790" s="1" t="str">
        <f>IFERROR(__xludf.DUMMYFUNCTION("""COMPUTED_VALUE"""),"VALID")</f>
        <v>VALID</v>
      </c>
      <c r="V790" s="1">
        <f>IFERROR(__xludf.DUMMYFUNCTION("""COMPUTED_VALUE"""),578.0)</f>
        <v>578</v>
      </c>
      <c r="W790" s="1">
        <f>IFERROR(__xludf.DUMMYFUNCTION("""COMPUTED_VALUE"""),718.0)</f>
        <v>718</v>
      </c>
      <c r="X790" s="1">
        <f>IFERROR(__xludf.DUMMYFUNCTION("""COMPUTED_VALUE"""),1655.0)</f>
        <v>1655</v>
      </c>
      <c r="Y790" s="2"/>
      <c r="Z790" s="2"/>
    </row>
    <row r="791">
      <c r="A791" s="1">
        <f>IFERROR(__xludf.DUMMYFUNCTION("""COMPUTED_VALUE"""),790.0)</f>
        <v>790</v>
      </c>
      <c r="B791" s="1">
        <f>IFERROR(__xludf.DUMMYFUNCTION("""COMPUTED_VALUE"""),10690.0)</f>
        <v>10690</v>
      </c>
      <c r="C791" s="2" t="str">
        <f>IFERROR(__xludf.DUMMYFUNCTION("""COMPUTED_VALUE"""),"Irwandi")</f>
        <v>Irwandi</v>
      </c>
      <c r="D791" s="2" t="str">
        <f>IFERROR(__xludf.DUMMYFUNCTION("""COMPUTED_VALUE"""),"10KM OVERALL M")</f>
        <v>10KM OVERALL M</v>
      </c>
      <c r="E791" s="1">
        <f>IFERROR(__xludf.DUMMYFUNCTION("""COMPUTED_VALUE"""),1.0)</f>
        <v>1</v>
      </c>
      <c r="F791" s="1" t="str">
        <f>IFERROR(__xludf.DUMMYFUNCTION("""COMPUTED_VALUE"""),"Male")</f>
        <v>Male</v>
      </c>
      <c r="G791" s="4" t="str">
        <f>IFERROR(__xludf.DUMMYFUNCTION("""COMPUTED_VALUE"""),"")</f>
        <v/>
      </c>
      <c r="H791" s="4" t="b">
        <f>IFERROR(__xludf.DUMMYFUNCTION("""COMPUTED_VALUE"""),FALSE)</f>
        <v>0</v>
      </c>
      <c r="I791" s="4">
        <f>IFERROR(__xludf.DUMMYFUNCTION("""COMPUTED_VALUE"""),0.24646185185185185)</f>
        <v>0.2464618519</v>
      </c>
      <c r="J791" s="4">
        <f>IFERROR(__xludf.DUMMYFUNCTION("""COMPUTED_VALUE"""),45949.257627442545)</f>
        <v>45949.25763</v>
      </c>
      <c r="K791" s="4">
        <f>IFERROR(__xludf.DUMMYFUNCTION("""COMPUTED_VALUE"""),45949.29584634829)</f>
        <v>45949.29585</v>
      </c>
      <c r="L791" s="4">
        <f>IFERROR(__xludf.DUMMYFUNCTION("""COMPUTED_VALUE"""),45949.30745990195)</f>
        <v>45949.30746</v>
      </c>
      <c r="M791" s="1" t="str">
        <f>IFERROR(__xludf.DUMMYFUNCTION("""COMPUTED_VALUE"""),"RFID")</f>
        <v>RFID</v>
      </c>
      <c r="N791" s="5">
        <f>IFERROR(__xludf.DUMMYFUNCTION("""COMPUTED_VALUE"""),0.004466236111111111)</f>
        <v>0.004466236111</v>
      </c>
      <c r="O791" s="5">
        <f>IFERROR(__xludf.DUMMYFUNCTION("""COMPUTED_VALUE"""),0.015287560185185184)</f>
        <v>0.01528756019</v>
      </c>
      <c r="P791" s="5">
        <f>IFERROR(__xludf.DUMMYFUNCTION("""COMPUTED_VALUE"""),0.004779240191931387)</f>
        <v>0.004779240192</v>
      </c>
      <c r="Q791" s="5">
        <f>IFERROR(__xludf.DUMMYFUNCTION("""COMPUTED_VALUE"""),0.006099805555555555)</f>
        <v>0.006099805556</v>
      </c>
      <c r="R791" s="4">
        <f>IFERROR(__xludf.DUMMYFUNCTION("""COMPUTED_VALUE"""),45949.0609980501)</f>
        <v>45949.061</v>
      </c>
      <c r="S791" s="1" t="b">
        <f>IFERROR(__xludf.DUMMYFUNCTION("""COMPUTED_VALUE"""),TRUE)</f>
        <v>1</v>
      </c>
      <c r="T791" s="1" t="b">
        <f>IFERROR(__xludf.DUMMYFUNCTION("""COMPUTED_VALUE"""),FALSE)</f>
        <v>0</v>
      </c>
      <c r="U791" s="1" t="str">
        <f>IFERROR(__xludf.DUMMYFUNCTION("""COMPUTED_VALUE"""),"VALID")</f>
        <v>VALID</v>
      </c>
      <c r="V791" s="1">
        <f>IFERROR(__xludf.DUMMYFUNCTION("""COMPUTED_VALUE"""),541.0)</f>
        <v>541</v>
      </c>
      <c r="W791" s="1">
        <f>IFERROR(__xludf.DUMMYFUNCTION("""COMPUTED_VALUE"""),665.0)</f>
        <v>665</v>
      </c>
      <c r="X791" s="1">
        <f>IFERROR(__xludf.DUMMYFUNCTION("""COMPUTED_VALUE"""),1616.0)</f>
        <v>1616</v>
      </c>
      <c r="Y791" s="2"/>
      <c r="Z791" s="2"/>
    </row>
    <row r="792">
      <c r="A792" s="1">
        <f>IFERROR(__xludf.DUMMYFUNCTION("""COMPUTED_VALUE"""),791.0)</f>
        <v>791</v>
      </c>
      <c r="B792" s="1">
        <f>IFERROR(__xludf.DUMMYFUNCTION("""COMPUTED_VALUE"""),10691.0)</f>
        <v>10691</v>
      </c>
      <c r="C792" s="2" t="str">
        <f>IFERROR(__xludf.DUMMYFUNCTION("""COMPUTED_VALUE"""),"H_ANDRI")</f>
        <v>H_ANDRI</v>
      </c>
      <c r="D792" s="2" t="str">
        <f>IFERROR(__xludf.DUMMYFUNCTION("""COMPUTED_VALUE"""),"10KM OVERALL M")</f>
        <v>10KM OVERALL M</v>
      </c>
      <c r="E792" s="1">
        <f>IFERROR(__xludf.DUMMYFUNCTION("""COMPUTED_VALUE"""),1.0)</f>
        <v>1</v>
      </c>
      <c r="F792" s="1" t="str">
        <f>IFERROR(__xludf.DUMMYFUNCTION("""COMPUTED_VALUE"""),"Male")</f>
        <v>Male</v>
      </c>
      <c r="G792" s="4" t="b">
        <f>IFERROR(__xludf.DUMMYFUNCTION("""COMPUTED_VALUE"""),TRUE)</f>
        <v>1</v>
      </c>
      <c r="H792" s="4" t="b">
        <f>IFERROR(__xludf.DUMMYFUNCTION("""COMPUTED_VALUE"""),FALSE)</f>
        <v>0</v>
      </c>
      <c r="I792" s="4">
        <f>IFERROR(__xludf.DUMMYFUNCTION("""COMPUTED_VALUE"""),0.24646185185185185)</f>
        <v>0.2464618519</v>
      </c>
      <c r="J792" s="4">
        <f>IFERROR(__xludf.DUMMYFUNCTION("""COMPUTED_VALUE"""),45949.25800239437)</f>
        <v>45949.258</v>
      </c>
      <c r="K792" s="4" t="str">
        <f>IFERROR(__xludf.DUMMYFUNCTION("""COMPUTED_VALUE"""),"")</f>
        <v/>
      </c>
      <c r="L792" s="4">
        <f>IFERROR(__xludf.DUMMYFUNCTION("""COMPUTED_VALUE"""),45949.29855714064)</f>
        <v>45949.29856</v>
      </c>
      <c r="M792" s="1" t="str">
        <f>IFERROR(__xludf.DUMMYFUNCTION("""COMPUTED_VALUE"""),"RFID")</f>
        <v>RFID</v>
      </c>
      <c r="N792" s="5">
        <f>IFERROR(__xludf.DUMMYFUNCTION("""COMPUTED_VALUE"""),0.004616217592592593)</f>
        <v>0.004616217593</v>
      </c>
      <c r="O792" s="5" t="str">
        <f>IFERROR(__xludf.DUMMYFUNCTION("""COMPUTED_VALUE"""),"")</f>
        <v/>
      </c>
      <c r="P792" s="5" t="str">
        <f>IFERROR(__xludf.DUMMYFUNCTION("""COMPUTED_VALUE"""),"")</f>
        <v/>
      </c>
      <c r="Q792" s="5">
        <f>IFERROR(__xludf.DUMMYFUNCTION("""COMPUTED_VALUE"""),0.005209528935185186)</f>
        <v>0.005209528935</v>
      </c>
      <c r="R792" s="4">
        <f>IFERROR(__xludf.DUMMYFUNCTION("""COMPUTED_VALUE"""),45949.05209528879)</f>
        <v>45949.0521</v>
      </c>
      <c r="S792" s="1" t="b">
        <f>IFERROR(__xludf.DUMMYFUNCTION("""COMPUTED_VALUE"""),TRUE)</f>
        <v>1</v>
      </c>
      <c r="T792" s="1" t="b">
        <f>IFERROR(__xludf.DUMMYFUNCTION("""COMPUTED_VALUE"""),FALSE)</f>
        <v>0</v>
      </c>
      <c r="U792" s="1" t="str">
        <f>IFERROR(__xludf.DUMMYFUNCTION("""COMPUTED_VALUE"""),"VALID")</f>
        <v>VALID</v>
      </c>
      <c r="V792" s="1">
        <f>IFERROR(__xludf.DUMMYFUNCTION("""COMPUTED_VALUE"""),387.0)</f>
        <v>387</v>
      </c>
      <c r="W792" s="1">
        <f>IFERROR(__xludf.DUMMYFUNCTION("""COMPUTED_VALUE"""),459.0)</f>
        <v>459</v>
      </c>
      <c r="X792" s="1">
        <f>IFERROR(__xludf.DUMMYFUNCTION("""COMPUTED_VALUE"""),1437.0)</f>
        <v>1437</v>
      </c>
      <c r="Y792" s="2"/>
      <c r="Z792" s="2"/>
    </row>
    <row r="793">
      <c r="A793" s="1">
        <f>IFERROR(__xludf.DUMMYFUNCTION("""COMPUTED_VALUE"""),792.0)</f>
        <v>792</v>
      </c>
      <c r="B793" s="1">
        <f>IFERROR(__xludf.DUMMYFUNCTION("""COMPUTED_VALUE"""),10692.0)</f>
        <v>10692</v>
      </c>
      <c r="C793" s="2" t="str">
        <f>IFERROR(__xludf.DUMMYFUNCTION("""COMPUTED_VALUE"""),"Awan")</f>
        <v>Awan</v>
      </c>
      <c r="D793" s="2" t="str">
        <f>IFERROR(__xludf.DUMMYFUNCTION("""COMPUTED_VALUE"""),"10KM OVERALL M")</f>
        <v>10KM OVERALL M</v>
      </c>
      <c r="E793" s="1">
        <f>IFERROR(__xludf.DUMMYFUNCTION("""COMPUTED_VALUE"""),1.0)</f>
        <v>1</v>
      </c>
      <c r="F793" s="1" t="str">
        <f>IFERROR(__xludf.DUMMYFUNCTION("""COMPUTED_VALUE"""),"Male")</f>
        <v>Male</v>
      </c>
      <c r="G793" s="4" t="b">
        <f>IFERROR(__xludf.DUMMYFUNCTION("""COMPUTED_VALUE"""),TRUE)</f>
        <v>1</v>
      </c>
      <c r="H793" s="4" t="b">
        <f>IFERROR(__xludf.DUMMYFUNCTION("""COMPUTED_VALUE"""),TRUE)</f>
        <v>1</v>
      </c>
      <c r="I793" s="4">
        <f>IFERROR(__xludf.DUMMYFUNCTION("""COMPUTED_VALUE"""),0.24646185185185185)</f>
        <v>0.2464618519</v>
      </c>
      <c r="J793" s="4">
        <f>IFERROR(__xludf.DUMMYFUNCTION("""COMPUTED_VALUE"""),45949.25370036109)</f>
        <v>45949.2537</v>
      </c>
      <c r="K793" s="4">
        <f>IFERROR(__xludf.DUMMYFUNCTION("""COMPUTED_VALUE"""),45949.273080407926)</f>
        <v>45949.27308</v>
      </c>
      <c r="L793" s="4">
        <f>IFERROR(__xludf.DUMMYFUNCTION("""COMPUTED_VALUE"""),45949.27860221689)</f>
        <v>45949.2786</v>
      </c>
      <c r="M793" s="1" t="str">
        <f>IFERROR(__xludf.DUMMYFUNCTION("""COMPUTED_VALUE"""),"RFID")</f>
        <v>RFID</v>
      </c>
      <c r="N793" s="5">
        <f>IFERROR(__xludf.DUMMYFUNCTION("""COMPUTED_VALUE"""),0.002895402777777778)</f>
        <v>0.002895402778</v>
      </c>
      <c r="O793" s="5">
        <f>IFERROR(__xludf.DUMMYFUNCTION("""COMPUTED_VALUE"""),0.0077520185185185175)</f>
        <v>0.007752018519</v>
      </c>
      <c r="P793" s="5">
        <f>IFERROR(__xludf.DUMMYFUNCTION("""COMPUTED_VALUE"""),0.0022723493670494727)</f>
        <v>0.002272349367</v>
      </c>
      <c r="Q793" s="5">
        <f>IFERROR(__xludf.DUMMYFUNCTION("""COMPUTED_VALUE"""),0.003214037037037037)</f>
        <v>0.003214037037</v>
      </c>
      <c r="R793" s="4">
        <f>IFERROR(__xludf.DUMMYFUNCTION("""COMPUTED_VALUE"""),45949.03214036504)</f>
        <v>45949.03214</v>
      </c>
      <c r="S793" s="1" t="b">
        <f>IFERROR(__xludf.DUMMYFUNCTION("""COMPUTED_VALUE"""),TRUE)</f>
        <v>1</v>
      </c>
      <c r="T793" s="1" t="b">
        <f>IFERROR(__xludf.DUMMYFUNCTION("""COMPUTED_VALUE"""),FALSE)</f>
        <v>0</v>
      </c>
      <c r="U793" s="1" t="str">
        <f>IFERROR(__xludf.DUMMYFUNCTION("""COMPUTED_VALUE"""),"VALID")</f>
        <v>VALID</v>
      </c>
      <c r="V793" s="1">
        <f>IFERROR(__xludf.DUMMYFUNCTION("""COMPUTED_VALUE"""),18.0)</f>
        <v>18</v>
      </c>
      <c r="W793" s="1">
        <f>IFERROR(__xludf.DUMMYFUNCTION("""COMPUTED_VALUE"""),24.0)</f>
        <v>24</v>
      </c>
      <c r="X793" s="1">
        <f>IFERROR(__xludf.DUMMYFUNCTION("""COMPUTED_VALUE"""),598.0)</f>
        <v>598</v>
      </c>
      <c r="Y793" s="2"/>
      <c r="Z793" s="2"/>
    </row>
    <row r="794">
      <c r="A794" s="1">
        <f>IFERROR(__xludf.DUMMYFUNCTION("""COMPUTED_VALUE"""),793.0)</f>
        <v>793</v>
      </c>
      <c r="B794" s="1">
        <f>IFERROR(__xludf.DUMMYFUNCTION("""COMPUTED_VALUE"""),10693.0)</f>
        <v>10693</v>
      </c>
      <c r="C794" s="2" t="str">
        <f>IFERROR(__xludf.DUMMYFUNCTION("""COMPUTED_VALUE"""),"SIHOMBING")</f>
        <v>SIHOMBING</v>
      </c>
      <c r="D794" s="2" t="str">
        <f>IFERROR(__xludf.DUMMYFUNCTION("""COMPUTED_VALUE"""),"10KM OVERALL M")</f>
        <v>10KM OVERALL M</v>
      </c>
      <c r="E794" s="1">
        <f>IFERROR(__xludf.DUMMYFUNCTION("""COMPUTED_VALUE"""),1.0)</f>
        <v>1</v>
      </c>
      <c r="F794" s="1" t="str">
        <f>IFERROR(__xludf.DUMMYFUNCTION("""COMPUTED_VALUE"""),"Male")</f>
        <v>Male</v>
      </c>
      <c r="G794" s="4" t="str">
        <f>IFERROR(__xludf.DUMMYFUNCTION("""COMPUTED_VALUE"""),"")</f>
        <v/>
      </c>
      <c r="H794" s="4" t="b">
        <f>IFERROR(__xludf.DUMMYFUNCTION("""COMPUTED_VALUE"""),TRUE)</f>
        <v>1</v>
      </c>
      <c r="I794" s="4">
        <f>IFERROR(__xludf.DUMMYFUNCTION("""COMPUTED_VALUE"""),0.24646185185185185)</f>
        <v>0.2464618519</v>
      </c>
      <c r="J794" s="4">
        <f>IFERROR(__xludf.DUMMYFUNCTION("""COMPUTED_VALUE"""),45949.26117949933)</f>
        <v>45949.26118</v>
      </c>
      <c r="K794" s="4">
        <f>IFERROR(__xludf.DUMMYFUNCTION("""COMPUTED_VALUE"""),45949.29803730938)</f>
        <v>45949.29804</v>
      </c>
      <c r="L794" s="4">
        <f>IFERROR(__xludf.DUMMYFUNCTION("""COMPUTED_VALUE"""),45949.30763350695)</f>
        <v>45949.30763</v>
      </c>
      <c r="M794" s="1" t="str">
        <f>IFERROR(__xludf.DUMMYFUNCTION("""COMPUTED_VALUE"""),"RFID")</f>
        <v>RFID</v>
      </c>
      <c r="N794" s="5">
        <f>IFERROR(__xludf.DUMMYFUNCTION("""COMPUTED_VALUE"""),0.005887060185185185)</f>
        <v>0.005887060185</v>
      </c>
      <c r="O794" s="5">
        <f>IFERROR(__xludf.DUMMYFUNCTION("""COMPUTED_VALUE"""),0.014743125)</f>
        <v>0.014743125</v>
      </c>
      <c r="P794" s="5">
        <f>IFERROR(__xludf.DUMMYFUNCTION("""COMPUTED_VALUE"""),0.003949052496950253)</f>
        <v>0.003949052497</v>
      </c>
      <c r="Q794" s="5">
        <f>IFERROR(__xludf.DUMMYFUNCTION("""COMPUTED_VALUE"""),0.006117165509259259)</f>
        <v>0.006117165509</v>
      </c>
      <c r="R794" s="4">
        <f>IFERROR(__xludf.DUMMYFUNCTION("""COMPUTED_VALUE"""),45949.0611716551)</f>
        <v>45949.06117</v>
      </c>
      <c r="S794" s="1" t="b">
        <f>IFERROR(__xludf.DUMMYFUNCTION("""COMPUTED_VALUE"""),TRUE)</f>
        <v>1</v>
      </c>
      <c r="T794" s="1" t="b">
        <f>IFERROR(__xludf.DUMMYFUNCTION("""COMPUTED_VALUE"""),FALSE)</f>
        <v>0</v>
      </c>
      <c r="U794" s="1" t="str">
        <f>IFERROR(__xludf.DUMMYFUNCTION("""COMPUTED_VALUE"""),"VALID")</f>
        <v>VALID</v>
      </c>
      <c r="V794" s="1">
        <f>IFERROR(__xludf.DUMMYFUNCTION("""COMPUTED_VALUE"""),545.0)</f>
        <v>545</v>
      </c>
      <c r="W794" s="1">
        <f>IFERROR(__xludf.DUMMYFUNCTION("""COMPUTED_VALUE"""),669.0)</f>
        <v>669</v>
      </c>
      <c r="X794" s="1">
        <f>IFERROR(__xludf.DUMMYFUNCTION("""COMPUTED_VALUE"""),1620.0)</f>
        <v>1620</v>
      </c>
      <c r="Y794" s="2"/>
      <c r="Z794" s="2"/>
    </row>
    <row r="795">
      <c r="A795" s="1">
        <f>IFERROR(__xludf.DUMMYFUNCTION("""COMPUTED_VALUE"""),794.0)</f>
        <v>794</v>
      </c>
      <c r="B795" s="1">
        <f>IFERROR(__xludf.DUMMYFUNCTION("""COMPUTED_VALUE"""),10694.0)</f>
        <v>10694</v>
      </c>
      <c r="C795" s="2" t="str">
        <f>IFERROR(__xludf.DUMMYFUNCTION("""COMPUTED_VALUE"""),"Rezaafw")</f>
        <v>Rezaafw</v>
      </c>
      <c r="D795" s="2" t="str">
        <f>IFERROR(__xludf.DUMMYFUNCTION("""COMPUTED_VALUE"""),"10KM OVERALL M")</f>
        <v>10KM OVERALL M</v>
      </c>
      <c r="E795" s="1">
        <f>IFERROR(__xludf.DUMMYFUNCTION("""COMPUTED_VALUE"""),1.0)</f>
        <v>1</v>
      </c>
      <c r="F795" s="1" t="str">
        <f>IFERROR(__xludf.DUMMYFUNCTION("""COMPUTED_VALUE"""),"Male")</f>
        <v>Male</v>
      </c>
      <c r="G795" s="4" t="str">
        <f>IFERROR(__xludf.DUMMYFUNCTION("""COMPUTED_VALUE"""),"")</f>
        <v/>
      </c>
      <c r="H795" s="4" t="b">
        <f>IFERROR(__xludf.DUMMYFUNCTION("""COMPUTED_VALUE"""),TRUE)</f>
        <v>1</v>
      </c>
      <c r="I795" s="4">
        <f>IFERROR(__xludf.DUMMYFUNCTION("""COMPUTED_VALUE"""),0.24646185185185185)</f>
        <v>0.2464618519</v>
      </c>
      <c r="J795" s="4">
        <f>IFERROR(__xludf.DUMMYFUNCTION("""COMPUTED_VALUE"""),45949.25319682903)</f>
        <v>45949.2532</v>
      </c>
      <c r="K795" s="4">
        <f>IFERROR(__xludf.DUMMYFUNCTION("""COMPUTED_VALUE"""),45949.27069942787)</f>
        <v>45949.2707</v>
      </c>
      <c r="L795" s="4">
        <f>IFERROR(__xludf.DUMMYFUNCTION("""COMPUTED_VALUE"""),45949.27532407407)</f>
        <v>45949.27532</v>
      </c>
      <c r="M795" s="1" t="str">
        <f>IFERROR(__xludf.DUMMYFUNCTION("""COMPUTED_VALUE"""),"RFID")</f>
        <v>RFID</v>
      </c>
      <c r="N795" s="5">
        <f>IFERROR(__xludf.DUMMYFUNCTION("""COMPUTED_VALUE"""),0.0026939907407407407)</f>
        <v>0.002693990741</v>
      </c>
      <c r="O795" s="5">
        <f>IFERROR(__xludf.DUMMYFUNCTION("""COMPUTED_VALUE"""),0.007001041666666666)</f>
        <v>0.007001041667</v>
      </c>
      <c r="P795" s="5">
        <f>IFERROR(__xludf.DUMMYFUNCTION("""COMPUTED_VALUE"""),0.0019031465846428132)</f>
        <v>0.001903146585</v>
      </c>
      <c r="Q795" s="5">
        <f>IFERROR(__xludf.DUMMYFUNCTION("""COMPUTED_VALUE"""),0.002886222222222222)</f>
        <v>0.002886222222</v>
      </c>
      <c r="R795" s="4">
        <f>IFERROR(__xludf.DUMMYFUNCTION("""COMPUTED_VALUE"""),45949.02886222222)</f>
        <v>45949.02886</v>
      </c>
      <c r="S795" s="1" t="b">
        <f>IFERROR(__xludf.DUMMYFUNCTION("""COMPUTED_VALUE"""),TRUE)</f>
        <v>1</v>
      </c>
      <c r="T795" s="1" t="b">
        <f>IFERROR(__xludf.DUMMYFUNCTION("""COMPUTED_VALUE"""),FALSE)</f>
        <v>0</v>
      </c>
      <c r="U795" s="1" t="str">
        <f>IFERROR(__xludf.DUMMYFUNCTION("""COMPUTED_VALUE"""),"VALID")</f>
        <v>VALID</v>
      </c>
      <c r="V795" s="1">
        <f>IFERROR(__xludf.DUMMYFUNCTION("""COMPUTED_VALUE"""),6.0)</f>
        <v>6</v>
      </c>
      <c r="W795" s="1">
        <f>IFERROR(__xludf.DUMMYFUNCTION("""COMPUTED_VALUE"""),8.0)</f>
        <v>8</v>
      </c>
      <c r="X795" s="1">
        <f>IFERROR(__xludf.DUMMYFUNCTION("""COMPUTED_VALUE"""),420.0)</f>
        <v>420</v>
      </c>
      <c r="Y795" s="2"/>
      <c r="Z795" s="2"/>
    </row>
    <row r="796">
      <c r="A796" s="1">
        <f>IFERROR(__xludf.DUMMYFUNCTION("""COMPUTED_VALUE"""),795.0)</f>
        <v>795</v>
      </c>
      <c r="B796" s="1">
        <f>IFERROR(__xludf.DUMMYFUNCTION("""COMPUTED_VALUE"""),10695.0)</f>
        <v>10695</v>
      </c>
      <c r="C796" s="2" t="str">
        <f>IFERROR(__xludf.DUMMYFUNCTION("""COMPUTED_VALUE"""),"REVINDO M")</f>
        <v>REVINDO M</v>
      </c>
      <c r="D796" s="2" t="str">
        <f>IFERROR(__xludf.DUMMYFUNCTION("""COMPUTED_VALUE"""),"10KM OVERALL M")</f>
        <v>10KM OVERALL M</v>
      </c>
      <c r="E796" s="1">
        <f>IFERROR(__xludf.DUMMYFUNCTION("""COMPUTED_VALUE"""),1.0)</f>
        <v>1</v>
      </c>
      <c r="F796" s="1" t="str">
        <f>IFERROR(__xludf.DUMMYFUNCTION("""COMPUTED_VALUE"""),"Male")</f>
        <v>Male</v>
      </c>
      <c r="G796" s="4" t="b">
        <f>IFERROR(__xludf.DUMMYFUNCTION("""COMPUTED_VALUE"""),TRUE)</f>
        <v>1</v>
      </c>
      <c r="H796" s="4" t="b">
        <f>IFERROR(__xludf.DUMMYFUNCTION("""COMPUTED_VALUE"""),TRUE)</f>
        <v>1</v>
      </c>
      <c r="I796" s="4">
        <f>IFERROR(__xludf.DUMMYFUNCTION("""COMPUTED_VALUE"""),0.24646185185185185)</f>
        <v>0.2464618519</v>
      </c>
      <c r="J796" s="4">
        <f>IFERROR(__xludf.DUMMYFUNCTION("""COMPUTED_VALUE"""),45949.2611204348)</f>
        <v>45949.26112</v>
      </c>
      <c r="K796" s="4">
        <f>IFERROR(__xludf.DUMMYFUNCTION("""COMPUTED_VALUE"""),45949.29802368889)</f>
        <v>45949.29802</v>
      </c>
      <c r="L796" s="4">
        <f>IFERROR(__xludf.DUMMYFUNCTION("""COMPUTED_VALUE"""),45949.307716843614)</f>
        <v>45949.30772</v>
      </c>
      <c r="M796" s="1" t="str">
        <f>IFERROR(__xludf.DUMMYFUNCTION("""COMPUTED_VALUE"""),"RFID")</f>
        <v>RFID</v>
      </c>
      <c r="N796" s="5">
        <f>IFERROR(__xludf.DUMMYFUNCTION("""COMPUTED_VALUE"""),0.005863435185185185)</f>
        <v>0.005863435185</v>
      </c>
      <c r="O796" s="5">
        <f>IFERROR(__xludf.DUMMYFUNCTION("""COMPUTED_VALUE"""),0.014761300925925924)</f>
        <v>0.01476130093</v>
      </c>
      <c r="P796" s="5">
        <f>IFERROR(__xludf.DUMMYFUNCTION("""COMPUTED_VALUE"""),0.003988952560991302)</f>
        <v>0.003988952561</v>
      </c>
      <c r="Q796" s="5">
        <f>IFERROR(__xludf.DUMMYFUNCTION("""COMPUTED_VALUE"""),0.006125498842592592)</f>
        <v>0.006125498843</v>
      </c>
      <c r="R796" s="4">
        <f>IFERROR(__xludf.DUMMYFUNCTION("""COMPUTED_VALUE"""),45949.061254991764)</f>
        <v>45949.06125</v>
      </c>
      <c r="S796" s="1" t="b">
        <f>IFERROR(__xludf.DUMMYFUNCTION("""COMPUTED_VALUE"""),TRUE)</f>
        <v>1</v>
      </c>
      <c r="T796" s="1" t="b">
        <f>IFERROR(__xludf.DUMMYFUNCTION("""COMPUTED_VALUE"""),FALSE)</f>
        <v>0</v>
      </c>
      <c r="U796" s="1" t="str">
        <f>IFERROR(__xludf.DUMMYFUNCTION("""COMPUTED_VALUE"""),"VALID")</f>
        <v>VALID</v>
      </c>
      <c r="V796" s="1">
        <f>IFERROR(__xludf.DUMMYFUNCTION("""COMPUTED_VALUE"""),546.0)</f>
        <v>546</v>
      </c>
      <c r="W796" s="1">
        <f>IFERROR(__xludf.DUMMYFUNCTION("""COMPUTED_VALUE"""),670.0)</f>
        <v>670</v>
      </c>
      <c r="X796" s="1">
        <f>IFERROR(__xludf.DUMMYFUNCTION("""COMPUTED_VALUE"""),1621.0)</f>
        <v>1621</v>
      </c>
      <c r="Y796" s="2"/>
      <c r="Z796" s="2"/>
    </row>
    <row r="797">
      <c r="A797" s="1">
        <f>IFERROR(__xludf.DUMMYFUNCTION("""COMPUTED_VALUE"""),796.0)</f>
        <v>796</v>
      </c>
      <c r="B797" s="1">
        <f>IFERROR(__xludf.DUMMYFUNCTION("""COMPUTED_VALUE"""),10696.0)</f>
        <v>10696</v>
      </c>
      <c r="C797" s="2" t="str">
        <f>IFERROR(__xludf.DUMMYFUNCTION("""COMPUTED_VALUE"""),"BRIAN FP")</f>
        <v>BRIAN FP</v>
      </c>
      <c r="D797" s="2" t="str">
        <f>IFERROR(__xludf.DUMMYFUNCTION("""COMPUTED_VALUE"""),"10KM OVERALL M")</f>
        <v>10KM OVERALL M</v>
      </c>
      <c r="E797" s="1">
        <f>IFERROR(__xludf.DUMMYFUNCTION("""COMPUTED_VALUE"""),1.0)</f>
        <v>1</v>
      </c>
      <c r="F797" s="1" t="str">
        <f>IFERROR(__xludf.DUMMYFUNCTION("""COMPUTED_VALUE"""),"Male")</f>
        <v>Male</v>
      </c>
      <c r="G797" s="4" t="str">
        <f>IFERROR(__xludf.DUMMYFUNCTION("""COMPUTED_VALUE"""),"")</f>
        <v/>
      </c>
      <c r="H797" s="4" t="b">
        <f>IFERROR(__xludf.DUMMYFUNCTION("""COMPUTED_VALUE"""),FALSE)</f>
        <v>0</v>
      </c>
      <c r="I797" s="4">
        <f>IFERROR(__xludf.DUMMYFUNCTION("""COMPUTED_VALUE"""),0.24646185185185185)</f>
        <v>0.2464618519</v>
      </c>
      <c r="J797" s="4" t="str">
        <f>IFERROR(__xludf.DUMMYFUNCTION("""COMPUTED_VALUE"""),"")</f>
        <v/>
      </c>
      <c r="K797" s="4" t="str">
        <f>IFERROR(__xludf.DUMMYFUNCTION("""COMPUTED_VALUE"""),"")</f>
        <v/>
      </c>
      <c r="L797" s="4" t="str">
        <f>IFERROR(__xludf.DUMMYFUNCTION("""COMPUTED_VALUE"""),"")</f>
        <v/>
      </c>
      <c r="M797" s="1" t="str">
        <f>IFERROR(__xludf.DUMMYFUNCTION("""COMPUTED_VALUE"""),"RFID")</f>
        <v>RFID</v>
      </c>
      <c r="N797" s="5" t="str">
        <f>IFERROR(__xludf.DUMMYFUNCTION("""COMPUTED_VALUE"""),"")</f>
        <v/>
      </c>
      <c r="O797" s="5" t="str">
        <f>IFERROR(__xludf.DUMMYFUNCTION("""COMPUTED_VALUE"""),"")</f>
        <v/>
      </c>
      <c r="P797" s="5" t="str">
        <f>IFERROR(__xludf.DUMMYFUNCTION("""COMPUTED_VALUE"""),"")</f>
        <v/>
      </c>
      <c r="Q797" s="5" t="str">
        <f>IFERROR(__xludf.DUMMYFUNCTION("""COMPUTED_VALUE"""),"")</f>
        <v/>
      </c>
      <c r="R797" s="4" t="str">
        <f>IFERROR(__xludf.DUMMYFUNCTION("""COMPUTED_VALUE"""),"")</f>
        <v/>
      </c>
      <c r="S797" s="1" t="b">
        <f>IFERROR(__xludf.DUMMYFUNCTION("""COMPUTED_VALUE"""),FALSE)</f>
        <v>0</v>
      </c>
      <c r="T797" s="1" t="b">
        <f>IFERROR(__xludf.DUMMYFUNCTION("""COMPUTED_VALUE"""),FALSE)</f>
        <v>0</v>
      </c>
      <c r="U797" s="1" t="str">
        <f>IFERROR(__xludf.DUMMYFUNCTION("""COMPUTED_VALUE"""),"DSQ")</f>
        <v>DSQ</v>
      </c>
      <c r="V797" s="1" t="str">
        <f>IFERROR(__xludf.DUMMYFUNCTION("""COMPUTED_VALUE"""),"DSQ")</f>
        <v>DSQ</v>
      </c>
      <c r="W797" s="1" t="str">
        <f>IFERROR(__xludf.DUMMYFUNCTION("""COMPUTED_VALUE"""),"DSQ")</f>
        <v>DSQ</v>
      </c>
      <c r="X797" s="1" t="str">
        <f>IFERROR(__xludf.DUMMYFUNCTION("""COMPUTED_VALUE"""),"DSQ")</f>
        <v>DSQ</v>
      </c>
      <c r="Y797" s="2"/>
      <c r="Z797" s="2" t="str">
        <f>IFERROR(__xludf.DUMMYFUNCTION("""COMPUTED_VALUE"""),"")</f>
        <v/>
      </c>
    </row>
    <row r="798">
      <c r="A798" s="1">
        <f>IFERROR(__xludf.DUMMYFUNCTION("""COMPUTED_VALUE"""),797.0)</f>
        <v>797</v>
      </c>
      <c r="B798" s="1">
        <f>IFERROR(__xludf.DUMMYFUNCTION("""COMPUTED_VALUE"""),10697.0)</f>
        <v>10697</v>
      </c>
      <c r="C798" s="2" t="str">
        <f>IFERROR(__xludf.DUMMYFUNCTION("""COMPUTED_VALUE"""),"ERWIN")</f>
        <v>ERWIN</v>
      </c>
      <c r="D798" s="2" t="str">
        <f>IFERROR(__xludf.DUMMYFUNCTION("""COMPUTED_VALUE"""),"10KM OVERALL M")</f>
        <v>10KM OVERALL M</v>
      </c>
      <c r="E798" s="1">
        <f>IFERROR(__xludf.DUMMYFUNCTION("""COMPUTED_VALUE"""),1.0)</f>
        <v>1</v>
      </c>
      <c r="F798" s="1" t="str">
        <f>IFERROR(__xludf.DUMMYFUNCTION("""COMPUTED_VALUE"""),"Male")</f>
        <v>Male</v>
      </c>
      <c r="G798" s="4" t="b">
        <f>IFERROR(__xludf.DUMMYFUNCTION("""COMPUTED_VALUE"""),TRUE)</f>
        <v>1</v>
      </c>
      <c r="H798" s="4" t="b">
        <f>IFERROR(__xludf.DUMMYFUNCTION("""COMPUTED_VALUE"""),TRUE)</f>
        <v>1</v>
      </c>
      <c r="I798" s="4">
        <f>IFERROR(__xludf.DUMMYFUNCTION("""COMPUTED_VALUE"""),0.24646185185185185)</f>
        <v>0.2464618519</v>
      </c>
      <c r="J798" s="4">
        <f>IFERROR(__xludf.DUMMYFUNCTION("""COMPUTED_VALUE"""),45949.259290633134)</f>
        <v>45949.25929</v>
      </c>
      <c r="K798" s="4">
        <f>IFERROR(__xludf.DUMMYFUNCTION("""COMPUTED_VALUE"""),45949.28382186571)</f>
        <v>45949.28382</v>
      </c>
      <c r="L798" s="4">
        <f>IFERROR(__xludf.DUMMYFUNCTION("""COMPUTED_VALUE"""),45949.2906473973)</f>
        <v>45949.29065</v>
      </c>
      <c r="M798" s="1" t="str">
        <f>IFERROR(__xludf.DUMMYFUNCTION("""COMPUTED_VALUE"""),"RFID")</f>
        <v>RFID</v>
      </c>
      <c r="N798" s="5">
        <f>IFERROR(__xludf.DUMMYFUNCTION("""COMPUTED_VALUE"""),0.005131513888888889)</f>
        <v>0.005131513889</v>
      </c>
      <c r="O798" s="5">
        <f>IFERROR(__xludf.DUMMYFUNCTION("""COMPUTED_VALUE"""),0.009812490740740741)</f>
        <v>0.009812490741</v>
      </c>
      <c r="P798" s="5">
        <f>IFERROR(__xludf.DUMMYFUNCTION("""COMPUTED_VALUE"""),0.0028088607347700667)</f>
        <v>0.002808860735</v>
      </c>
      <c r="Q798" s="5">
        <f>IFERROR(__xludf.DUMMYFUNCTION("""COMPUTED_VALUE"""),0.004418554398148148)</f>
        <v>0.004418554398</v>
      </c>
      <c r="R798" s="4">
        <f>IFERROR(__xludf.DUMMYFUNCTION("""COMPUTED_VALUE"""),45949.04418554545)</f>
        <v>45949.04419</v>
      </c>
      <c r="S798" s="1" t="b">
        <f>IFERROR(__xludf.DUMMYFUNCTION("""COMPUTED_VALUE"""),TRUE)</f>
        <v>1</v>
      </c>
      <c r="T798" s="1" t="b">
        <f>IFERROR(__xludf.DUMMYFUNCTION("""COMPUTED_VALUE"""),FALSE)</f>
        <v>0</v>
      </c>
      <c r="U798" s="1" t="str">
        <f>IFERROR(__xludf.DUMMYFUNCTION("""COMPUTED_VALUE"""),"VALID")</f>
        <v>VALID</v>
      </c>
      <c r="V798" s="1">
        <f>IFERROR(__xludf.DUMMYFUNCTION("""COMPUTED_VALUE"""),192.0)</f>
        <v>192</v>
      </c>
      <c r="W798" s="1">
        <f>IFERROR(__xludf.DUMMYFUNCTION("""COMPUTED_VALUE"""),231.0)</f>
        <v>231</v>
      </c>
      <c r="X798" s="1">
        <f>IFERROR(__xludf.DUMMYFUNCTION("""COMPUTED_VALUE"""),1156.0)</f>
        <v>1156</v>
      </c>
      <c r="Y798" s="2"/>
      <c r="Z798" s="2"/>
    </row>
    <row r="799">
      <c r="A799" s="1">
        <f>IFERROR(__xludf.DUMMYFUNCTION("""COMPUTED_VALUE"""),798.0)</f>
        <v>798</v>
      </c>
      <c r="B799" s="1">
        <f>IFERROR(__xludf.DUMMYFUNCTION("""COMPUTED_VALUE"""),10698.0)</f>
        <v>10698</v>
      </c>
      <c r="C799" s="2" t="str">
        <f>IFERROR(__xludf.DUMMYFUNCTION("""COMPUTED_VALUE"""),"ZABRIX")</f>
        <v>ZABRIX</v>
      </c>
      <c r="D799" s="2" t="str">
        <f>IFERROR(__xludf.DUMMYFUNCTION("""COMPUTED_VALUE"""),"10KM OVERALL M")</f>
        <v>10KM OVERALL M</v>
      </c>
      <c r="E799" s="1">
        <f>IFERROR(__xludf.DUMMYFUNCTION("""COMPUTED_VALUE"""),1.0)</f>
        <v>1</v>
      </c>
      <c r="F799" s="1" t="str">
        <f>IFERROR(__xludf.DUMMYFUNCTION("""COMPUTED_VALUE"""),"Male")</f>
        <v>Male</v>
      </c>
      <c r="G799" s="4" t="b">
        <f>IFERROR(__xludf.DUMMYFUNCTION("""COMPUTED_VALUE"""),TRUE)</f>
        <v>1</v>
      </c>
      <c r="H799" s="4" t="b">
        <f>IFERROR(__xludf.DUMMYFUNCTION("""COMPUTED_VALUE"""),FALSE)</f>
        <v>0</v>
      </c>
      <c r="I799" s="4">
        <f>IFERROR(__xludf.DUMMYFUNCTION("""COMPUTED_VALUE"""),0.24646185185185185)</f>
        <v>0.2464618519</v>
      </c>
      <c r="J799" s="4">
        <f>IFERROR(__xludf.DUMMYFUNCTION("""COMPUTED_VALUE"""),45949.256828821795)</f>
        <v>45949.25683</v>
      </c>
      <c r="K799" s="4">
        <f>IFERROR(__xludf.DUMMYFUNCTION("""COMPUTED_VALUE"""),45949.282471154955)</f>
        <v>45949.28247</v>
      </c>
      <c r="L799" s="4">
        <f>IFERROR(__xludf.DUMMYFUNCTION("""COMPUTED_VALUE"""),45949.29018560444)</f>
        <v>45949.29019</v>
      </c>
      <c r="M799" s="1" t="str">
        <f>IFERROR(__xludf.DUMMYFUNCTION("""COMPUTED_VALUE"""),"RFID")</f>
        <v>RFID</v>
      </c>
      <c r="N799" s="5">
        <f>IFERROR(__xludf.DUMMYFUNCTION("""COMPUTED_VALUE"""),0.004146787037037037)</f>
        <v>0.004146787037</v>
      </c>
      <c r="O799" s="5">
        <f>IFERROR(__xludf.DUMMYFUNCTION("""COMPUTED_VALUE"""),0.010256935185185185)</f>
        <v>0.01025693519</v>
      </c>
      <c r="P799" s="5">
        <f>IFERROR(__xludf.DUMMYFUNCTION("""COMPUTED_VALUE"""),0.003174670570464843)</f>
        <v>0.00317467057</v>
      </c>
      <c r="Q799" s="5">
        <f>IFERROR(__xludf.DUMMYFUNCTION("""COMPUTED_VALUE"""),0.0043723749999999995)</f>
        <v>0.004372375</v>
      </c>
      <c r="R799" s="4">
        <f>IFERROR(__xludf.DUMMYFUNCTION("""COMPUTED_VALUE"""),45949.04372375259)</f>
        <v>45949.04372</v>
      </c>
      <c r="S799" s="1" t="b">
        <f>IFERROR(__xludf.DUMMYFUNCTION("""COMPUTED_VALUE"""),TRUE)</f>
        <v>1</v>
      </c>
      <c r="T799" s="1" t="b">
        <f>IFERROR(__xludf.DUMMYFUNCTION("""COMPUTED_VALUE"""),FALSE)</f>
        <v>0</v>
      </c>
      <c r="U799" s="1" t="str">
        <f>IFERROR(__xludf.DUMMYFUNCTION("""COMPUTED_VALUE"""),"VALID")</f>
        <v>VALID</v>
      </c>
      <c r="V799" s="1">
        <f>IFERROR(__xludf.DUMMYFUNCTION("""COMPUTED_VALUE"""),180.0)</f>
        <v>180</v>
      </c>
      <c r="W799" s="1">
        <f>IFERROR(__xludf.DUMMYFUNCTION("""COMPUTED_VALUE"""),215.0)</f>
        <v>215</v>
      </c>
      <c r="X799" s="1">
        <f>IFERROR(__xludf.DUMMYFUNCTION("""COMPUTED_VALUE"""),1133.0)</f>
        <v>1133</v>
      </c>
      <c r="Y799" s="2"/>
      <c r="Z799" s="2"/>
    </row>
    <row r="800">
      <c r="A800" s="1">
        <f>IFERROR(__xludf.DUMMYFUNCTION("""COMPUTED_VALUE"""),799.0)</f>
        <v>799</v>
      </c>
      <c r="B800" s="1">
        <f>IFERROR(__xludf.DUMMYFUNCTION("""COMPUTED_VALUE"""),10699.0)</f>
        <v>10699</v>
      </c>
      <c r="C800" s="2" t="str">
        <f>IFERROR(__xludf.DUMMYFUNCTION("""COMPUTED_VALUE"""),"Oky Purnawan")</f>
        <v>Oky Purnawan</v>
      </c>
      <c r="D800" s="2" t="str">
        <f>IFERROR(__xludf.DUMMYFUNCTION("""COMPUTED_VALUE"""),"10KM OVERALL M")</f>
        <v>10KM OVERALL M</v>
      </c>
      <c r="E800" s="1">
        <f>IFERROR(__xludf.DUMMYFUNCTION("""COMPUTED_VALUE"""),1.0)</f>
        <v>1</v>
      </c>
      <c r="F800" s="1" t="str">
        <f>IFERROR(__xludf.DUMMYFUNCTION("""COMPUTED_VALUE"""),"Male")</f>
        <v>Male</v>
      </c>
      <c r="G800" s="4" t="b">
        <f>IFERROR(__xludf.DUMMYFUNCTION("""COMPUTED_VALUE"""),TRUE)</f>
        <v>1</v>
      </c>
      <c r="H800" s="4" t="b">
        <f>IFERROR(__xludf.DUMMYFUNCTION("""COMPUTED_VALUE"""),FALSE)</f>
        <v>0</v>
      </c>
      <c r="I800" s="4">
        <f>IFERROR(__xludf.DUMMYFUNCTION("""COMPUTED_VALUE"""),0.24646185185185185)</f>
        <v>0.2464618519</v>
      </c>
      <c r="J800" s="4">
        <f>IFERROR(__xludf.DUMMYFUNCTION("""COMPUTED_VALUE"""),45949.25709618546)</f>
        <v>45949.2571</v>
      </c>
      <c r="K800" s="4">
        <f>IFERROR(__xludf.DUMMYFUNCTION("""COMPUTED_VALUE"""),45949.28369339431)</f>
        <v>45949.28369</v>
      </c>
      <c r="L800" s="4">
        <f>IFERROR(__xludf.DUMMYFUNCTION("""COMPUTED_VALUE"""),45949.291803661275)</f>
        <v>45949.2918</v>
      </c>
      <c r="M800" s="1" t="str">
        <f>IFERROR(__xludf.DUMMYFUNCTION("""COMPUTED_VALUE"""),"RFID")</f>
        <v>RFID</v>
      </c>
      <c r="N800" s="5">
        <f>IFERROR(__xludf.DUMMYFUNCTION("""COMPUTED_VALUE"""),0.004253731481481482)</f>
        <v>0.004253731481</v>
      </c>
      <c r="O800" s="5">
        <f>IFERROR(__xludf.DUMMYFUNCTION("""COMPUTED_VALUE"""),0.010638884259259258)</f>
        <v>0.01063888426</v>
      </c>
      <c r="P800" s="5">
        <f>IFERROR(__xludf.DUMMYFUNCTION("""COMPUTED_VALUE"""),0.0033375584216665767)</f>
        <v>0.003337558422</v>
      </c>
      <c r="Q800" s="5">
        <f>IFERROR(__xludf.DUMMYFUNCTION("""COMPUTED_VALUE"""),0.004534180555555556)</f>
        <v>0.004534180556</v>
      </c>
      <c r="R800" s="4">
        <f>IFERROR(__xludf.DUMMYFUNCTION("""COMPUTED_VALUE"""),45949.045341809426)</f>
        <v>45949.04534</v>
      </c>
      <c r="S800" s="1" t="b">
        <f>IFERROR(__xludf.DUMMYFUNCTION("""COMPUTED_VALUE"""),TRUE)</f>
        <v>1</v>
      </c>
      <c r="T800" s="1" t="b">
        <f>IFERROR(__xludf.DUMMYFUNCTION("""COMPUTED_VALUE"""),FALSE)</f>
        <v>0</v>
      </c>
      <c r="U800" s="1" t="str">
        <f>IFERROR(__xludf.DUMMYFUNCTION("""COMPUTED_VALUE"""),"VALID")</f>
        <v>VALID</v>
      </c>
      <c r="V800" s="1">
        <f>IFERROR(__xludf.DUMMYFUNCTION("""COMPUTED_VALUE"""),226.0)</f>
        <v>226</v>
      </c>
      <c r="W800" s="1">
        <f>IFERROR(__xludf.DUMMYFUNCTION("""COMPUTED_VALUE"""),271.0)</f>
        <v>271</v>
      </c>
      <c r="X800" s="1">
        <f>IFERROR(__xludf.DUMMYFUNCTION("""COMPUTED_VALUE"""),1211.0)</f>
        <v>1211</v>
      </c>
      <c r="Y800" s="2"/>
      <c r="Z800" s="2"/>
    </row>
    <row r="801">
      <c r="A801" s="1">
        <f>IFERROR(__xludf.DUMMYFUNCTION("""COMPUTED_VALUE"""),800.0)</f>
        <v>800</v>
      </c>
      <c r="B801" s="1">
        <f>IFERROR(__xludf.DUMMYFUNCTION("""COMPUTED_VALUE"""),10700.0)</f>
        <v>10700</v>
      </c>
      <c r="C801" s="2" t="str">
        <f>IFERROR(__xludf.DUMMYFUNCTION("""COMPUTED_VALUE"""),"M.RIFANI")</f>
        <v>M.RIFANI</v>
      </c>
      <c r="D801" s="2" t="str">
        <f>IFERROR(__xludf.DUMMYFUNCTION("""COMPUTED_VALUE"""),"10KM OVERALL M")</f>
        <v>10KM OVERALL M</v>
      </c>
      <c r="E801" s="1">
        <f>IFERROR(__xludf.DUMMYFUNCTION("""COMPUTED_VALUE"""),1.0)</f>
        <v>1</v>
      </c>
      <c r="F801" s="1" t="str">
        <f>IFERROR(__xludf.DUMMYFUNCTION("""COMPUTED_VALUE"""),"Male")</f>
        <v>Male</v>
      </c>
      <c r="G801" s="4" t="str">
        <f>IFERROR(__xludf.DUMMYFUNCTION("""COMPUTED_VALUE"""),"")</f>
        <v/>
      </c>
      <c r="H801" s="4" t="b">
        <f>IFERROR(__xludf.DUMMYFUNCTION("""COMPUTED_VALUE"""),FALSE)</f>
        <v>0</v>
      </c>
      <c r="I801" s="4">
        <f>IFERROR(__xludf.DUMMYFUNCTION("""COMPUTED_VALUE"""),0.24646185185185185)</f>
        <v>0.2464618519</v>
      </c>
      <c r="J801" s="4">
        <f>IFERROR(__xludf.DUMMYFUNCTION("""COMPUTED_VALUE"""),45949.25638434784)</f>
        <v>45949.25638</v>
      </c>
      <c r="K801" s="4">
        <f>IFERROR(__xludf.DUMMYFUNCTION("""COMPUTED_VALUE"""),45949.284853122714)</f>
        <v>45949.28485</v>
      </c>
      <c r="L801" s="4">
        <f>IFERROR(__xludf.DUMMYFUNCTION("""COMPUTED_VALUE"""),45949.29280457406)</f>
        <v>45949.2928</v>
      </c>
      <c r="M801" s="1" t="str">
        <f>IFERROR(__xludf.DUMMYFUNCTION("""COMPUTED_VALUE"""),"RFID")</f>
        <v>RFID</v>
      </c>
      <c r="N801" s="5">
        <f>IFERROR(__xludf.DUMMYFUNCTION("""COMPUTED_VALUE"""),0.0039689999999999994)</f>
        <v>0.003969</v>
      </c>
      <c r="O801" s="5">
        <f>IFERROR(__xludf.DUMMYFUNCTION("""COMPUTED_VALUE"""),0.01138750925925926)</f>
        <v>0.01138750926</v>
      </c>
      <c r="P801" s="5">
        <f>IFERROR(__xludf.DUMMYFUNCTION("""COMPUTED_VALUE"""),0.0032722022012642623)</f>
        <v>0.003272202201</v>
      </c>
      <c r="Q801" s="5">
        <f>IFERROR(__xludf.DUMMYFUNCTION("""COMPUTED_VALUE"""),0.00463427199074074)</f>
        <v>0.004634271991</v>
      </c>
      <c r="R801" s="4">
        <f>IFERROR(__xludf.DUMMYFUNCTION("""COMPUTED_VALUE"""),45949.04634272221)</f>
        <v>45949.04634</v>
      </c>
      <c r="S801" s="1" t="b">
        <f>IFERROR(__xludf.DUMMYFUNCTION("""COMPUTED_VALUE"""),TRUE)</f>
        <v>1</v>
      </c>
      <c r="T801" s="1" t="b">
        <f>IFERROR(__xludf.DUMMYFUNCTION("""COMPUTED_VALUE"""),FALSE)</f>
        <v>0</v>
      </c>
      <c r="U801" s="1" t="str">
        <f>IFERROR(__xludf.DUMMYFUNCTION("""COMPUTED_VALUE"""),"VALID")</f>
        <v>VALID</v>
      </c>
      <c r="V801" s="1">
        <f>IFERROR(__xludf.DUMMYFUNCTION("""COMPUTED_VALUE"""),251.0)</f>
        <v>251</v>
      </c>
      <c r="W801" s="1">
        <f>IFERROR(__xludf.DUMMYFUNCTION("""COMPUTED_VALUE"""),300.0)</f>
        <v>300</v>
      </c>
      <c r="X801" s="1">
        <f>IFERROR(__xludf.DUMMYFUNCTION("""COMPUTED_VALUE"""),1256.0)</f>
        <v>1256</v>
      </c>
      <c r="Y801" s="2"/>
      <c r="Z801" s="2"/>
    </row>
    <row r="802">
      <c r="A802" s="1">
        <f>IFERROR(__xludf.DUMMYFUNCTION("""COMPUTED_VALUE"""),801.0)</f>
        <v>801</v>
      </c>
      <c r="B802" s="1">
        <f>IFERROR(__xludf.DUMMYFUNCTION("""COMPUTED_VALUE"""),10703.0)</f>
        <v>10703</v>
      </c>
      <c r="C802" s="2" t="str">
        <f>IFERROR(__xludf.DUMMYFUNCTION("""COMPUTED_VALUE"""),"Angga Agung")</f>
        <v>Angga Agung</v>
      </c>
      <c r="D802" s="2" t="str">
        <f>IFERROR(__xludf.DUMMYFUNCTION("""COMPUTED_VALUE"""),"10KM OVERALL M")</f>
        <v>10KM OVERALL M</v>
      </c>
      <c r="E802" s="1">
        <f>IFERROR(__xludf.DUMMYFUNCTION("""COMPUTED_VALUE"""),1.0)</f>
        <v>1</v>
      </c>
      <c r="F802" s="1" t="str">
        <f>IFERROR(__xludf.DUMMYFUNCTION("""COMPUTED_VALUE"""),"Male")</f>
        <v>Male</v>
      </c>
      <c r="G802" s="4" t="str">
        <f>IFERROR(__xludf.DUMMYFUNCTION("""COMPUTED_VALUE"""),"")</f>
        <v/>
      </c>
      <c r="H802" s="4" t="b">
        <f>IFERROR(__xludf.DUMMYFUNCTION("""COMPUTED_VALUE"""),FALSE)</f>
        <v>0</v>
      </c>
      <c r="I802" s="4">
        <f>IFERROR(__xludf.DUMMYFUNCTION("""COMPUTED_VALUE"""),0.24646185185185185)</f>
        <v>0.2464618519</v>
      </c>
      <c r="J802" s="4" t="str">
        <f>IFERROR(__xludf.DUMMYFUNCTION("""COMPUTED_VALUE"""),"")</f>
        <v/>
      </c>
      <c r="K802" s="4" t="str">
        <f>IFERROR(__xludf.DUMMYFUNCTION("""COMPUTED_VALUE"""),"")</f>
        <v/>
      </c>
      <c r="L802" s="4" t="str">
        <f>IFERROR(__xludf.DUMMYFUNCTION("""COMPUTED_VALUE"""),"")</f>
        <v/>
      </c>
      <c r="M802" s="1" t="str">
        <f>IFERROR(__xludf.DUMMYFUNCTION("""COMPUTED_VALUE"""),"RFID")</f>
        <v>RFID</v>
      </c>
      <c r="N802" s="5" t="str">
        <f>IFERROR(__xludf.DUMMYFUNCTION("""COMPUTED_VALUE"""),"")</f>
        <v/>
      </c>
      <c r="O802" s="5" t="str">
        <f>IFERROR(__xludf.DUMMYFUNCTION("""COMPUTED_VALUE"""),"")</f>
        <v/>
      </c>
      <c r="P802" s="5" t="str">
        <f>IFERROR(__xludf.DUMMYFUNCTION("""COMPUTED_VALUE"""),"")</f>
        <v/>
      </c>
      <c r="Q802" s="5" t="str">
        <f>IFERROR(__xludf.DUMMYFUNCTION("""COMPUTED_VALUE"""),"")</f>
        <v/>
      </c>
      <c r="R802" s="4" t="str">
        <f>IFERROR(__xludf.DUMMYFUNCTION("""COMPUTED_VALUE"""),"")</f>
        <v/>
      </c>
      <c r="S802" s="1" t="b">
        <f>IFERROR(__xludf.DUMMYFUNCTION("""COMPUTED_VALUE"""),FALSE)</f>
        <v>0</v>
      </c>
      <c r="T802" s="1" t="b">
        <f>IFERROR(__xludf.DUMMYFUNCTION("""COMPUTED_VALUE"""),FALSE)</f>
        <v>0</v>
      </c>
      <c r="U802" s="1" t="str">
        <f>IFERROR(__xludf.DUMMYFUNCTION("""COMPUTED_VALUE"""),"DSQ")</f>
        <v>DSQ</v>
      </c>
      <c r="V802" s="1" t="str">
        <f>IFERROR(__xludf.DUMMYFUNCTION("""COMPUTED_VALUE"""),"DSQ")</f>
        <v>DSQ</v>
      </c>
      <c r="W802" s="1" t="str">
        <f>IFERROR(__xludf.DUMMYFUNCTION("""COMPUTED_VALUE"""),"DSQ")</f>
        <v>DSQ</v>
      </c>
      <c r="X802" s="1" t="str">
        <f>IFERROR(__xludf.DUMMYFUNCTION("""COMPUTED_VALUE"""),"DSQ")</f>
        <v>DSQ</v>
      </c>
      <c r="Y802" s="2"/>
      <c r="Z802" s="2" t="str">
        <f>IFERROR(__xludf.DUMMYFUNCTION("""COMPUTED_VALUE"""),"")</f>
        <v/>
      </c>
    </row>
    <row r="803">
      <c r="A803" s="1">
        <f>IFERROR(__xludf.DUMMYFUNCTION("""COMPUTED_VALUE"""),802.0)</f>
        <v>802</v>
      </c>
      <c r="B803" s="1">
        <f>IFERROR(__xludf.DUMMYFUNCTION("""COMPUTED_VALUE"""),10708.0)</f>
        <v>10708</v>
      </c>
      <c r="C803" s="2" t="str">
        <f>IFERROR(__xludf.DUMMYFUNCTION("""COMPUTED_VALUE"""),"Rahmat")</f>
        <v>Rahmat</v>
      </c>
      <c r="D803" s="2" t="str">
        <f>IFERROR(__xludf.DUMMYFUNCTION("""COMPUTED_VALUE"""),"10KM OVERALL M")</f>
        <v>10KM OVERALL M</v>
      </c>
      <c r="E803" s="1">
        <f>IFERROR(__xludf.DUMMYFUNCTION("""COMPUTED_VALUE"""),1.0)</f>
        <v>1</v>
      </c>
      <c r="F803" s="1" t="str">
        <f>IFERROR(__xludf.DUMMYFUNCTION("""COMPUTED_VALUE"""),"Male")</f>
        <v>Male</v>
      </c>
      <c r="G803" s="4" t="b">
        <f>IFERROR(__xludf.DUMMYFUNCTION("""COMPUTED_VALUE"""),TRUE)</f>
        <v>1</v>
      </c>
      <c r="H803" s="4" t="b">
        <f>IFERROR(__xludf.DUMMYFUNCTION("""COMPUTED_VALUE"""),TRUE)</f>
        <v>1</v>
      </c>
      <c r="I803" s="4">
        <f>IFERROR(__xludf.DUMMYFUNCTION("""COMPUTED_VALUE"""),0.24646185185185185)</f>
        <v>0.2464618519</v>
      </c>
      <c r="J803" s="4">
        <f>IFERROR(__xludf.DUMMYFUNCTION("""COMPUTED_VALUE"""),45949.261849608505)</f>
        <v>45949.26185</v>
      </c>
      <c r="K803" s="4">
        <f>IFERROR(__xludf.DUMMYFUNCTION("""COMPUTED_VALUE"""),45949.30429188191)</f>
        <v>45949.30429</v>
      </c>
      <c r="L803" s="4">
        <f>IFERROR(__xludf.DUMMYFUNCTION("""COMPUTED_VALUE"""),45949.31788350866)</f>
        <v>45949.31788</v>
      </c>
      <c r="M803" s="1" t="str">
        <f>IFERROR(__xludf.DUMMYFUNCTION("""COMPUTED_VALUE"""),"RFID")</f>
        <v>RFID</v>
      </c>
      <c r="N803" s="5">
        <f>IFERROR(__xludf.DUMMYFUNCTION("""COMPUTED_VALUE"""),0.006155101851851852)</f>
        <v>0.006155101852</v>
      </c>
      <c r="O803" s="5">
        <f>IFERROR(__xludf.DUMMYFUNCTION("""COMPUTED_VALUE"""),0.016976907407407406)</f>
        <v>0.01697690741</v>
      </c>
      <c r="P803" s="5">
        <f>IFERROR(__xludf.DUMMYFUNCTION("""COMPUTED_VALUE"""),0.005593262035533816)</f>
        <v>0.005593262036</v>
      </c>
      <c r="Q803" s="5">
        <f>IFERROR(__xludf.DUMMYFUNCTION("""COMPUTED_VALUE"""),0.00714216550925926)</f>
        <v>0.007142165509</v>
      </c>
      <c r="R803" s="4">
        <f>IFERROR(__xludf.DUMMYFUNCTION("""COMPUTED_VALUE"""),45949.07142165681)</f>
        <v>45949.07142</v>
      </c>
      <c r="S803" s="1" t="b">
        <f>IFERROR(__xludf.DUMMYFUNCTION("""COMPUTED_VALUE"""),TRUE)</f>
        <v>1</v>
      </c>
      <c r="T803" s="1" t="b">
        <f>IFERROR(__xludf.DUMMYFUNCTION("""COMPUTED_VALUE"""),FALSE)</f>
        <v>0</v>
      </c>
      <c r="U803" s="1" t="str">
        <f>IFERROR(__xludf.DUMMYFUNCTION("""COMPUTED_VALUE"""),"VALID")</f>
        <v>VALID</v>
      </c>
      <c r="V803" s="1">
        <f>IFERROR(__xludf.DUMMYFUNCTION("""COMPUTED_VALUE"""),597.0)</f>
        <v>597</v>
      </c>
      <c r="W803" s="1">
        <f>IFERROR(__xludf.DUMMYFUNCTION("""COMPUTED_VALUE"""),744.0)</f>
        <v>744</v>
      </c>
      <c r="X803" s="1">
        <f>IFERROR(__xludf.DUMMYFUNCTION("""COMPUTED_VALUE"""),1671.0)</f>
        <v>1671</v>
      </c>
      <c r="Y803" s="2"/>
      <c r="Z803" s="2"/>
    </row>
    <row r="804">
      <c r="A804" s="1">
        <f>IFERROR(__xludf.DUMMYFUNCTION("""COMPUTED_VALUE"""),803.0)</f>
        <v>803</v>
      </c>
      <c r="B804" s="1">
        <f>IFERROR(__xludf.DUMMYFUNCTION("""COMPUTED_VALUE"""),10710.0)</f>
        <v>10710</v>
      </c>
      <c r="C804" s="2" t="str">
        <f>IFERROR(__xludf.DUMMYFUNCTION("""COMPUTED_VALUE"""),"POLRES")</f>
        <v>POLRES</v>
      </c>
      <c r="D804" s="2" t="str">
        <f>IFERROR(__xludf.DUMMYFUNCTION("""COMPUTED_VALUE"""),"10KM OVERALL M")</f>
        <v>10KM OVERALL M</v>
      </c>
      <c r="E804" s="1">
        <f>IFERROR(__xludf.DUMMYFUNCTION("""COMPUTED_VALUE"""),1.0)</f>
        <v>1</v>
      </c>
      <c r="F804" s="1" t="str">
        <f>IFERROR(__xludf.DUMMYFUNCTION("""COMPUTED_VALUE"""),"Male")</f>
        <v>Male</v>
      </c>
      <c r="G804" s="4" t="str">
        <f>IFERROR(__xludf.DUMMYFUNCTION("""COMPUTED_VALUE"""),"")</f>
        <v/>
      </c>
      <c r="H804" s="4" t="b">
        <f>IFERROR(__xludf.DUMMYFUNCTION("""COMPUTED_VALUE"""),FALSE)</f>
        <v>0</v>
      </c>
      <c r="I804" s="4">
        <f>IFERROR(__xludf.DUMMYFUNCTION("""COMPUTED_VALUE"""),0.24646185185185185)</f>
        <v>0.2464618519</v>
      </c>
      <c r="J804" s="4" t="str">
        <f>IFERROR(__xludf.DUMMYFUNCTION("""COMPUTED_VALUE"""),"")</f>
        <v/>
      </c>
      <c r="K804" s="4" t="str">
        <f>IFERROR(__xludf.DUMMYFUNCTION("""COMPUTED_VALUE"""),"")</f>
        <v/>
      </c>
      <c r="L804" s="4" t="str">
        <f>IFERROR(__xludf.DUMMYFUNCTION("""COMPUTED_VALUE"""),"")</f>
        <v/>
      </c>
      <c r="M804" s="1" t="str">
        <f>IFERROR(__xludf.DUMMYFUNCTION("""COMPUTED_VALUE"""),"RFID")</f>
        <v>RFID</v>
      </c>
      <c r="N804" s="5" t="str">
        <f>IFERROR(__xludf.DUMMYFUNCTION("""COMPUTED_VALUE"""),"")</f>
        <v/>
      </c>
      <c r="O804" s="5" t="str">
        <f>IFERROR(__xludf.DUMMYFUNCTION("""COMPUTED_VALUE"""),"")</f>
        <v/>
      </c>
      <c r="P804" s="5" t="str">
        <f>IFERROR(__xludf.DUMMYFUNCTION("""COMPUTED_VALUE"""),"")</f>
        <v/>
      </c>
      <c r="Q804" s="5" t="str">
        <f>IFERROR(__xludf.DUMMYFUNCTION("""COMPUTED_VALUE"""),"")</f>
        <v/>
      </c>
      <c r="R804" s="4" t="str">
        <f>IFERROR(__xludf.DUMMYFUNCTION("""COMPUTED_VALUE"""),"")</f>
        <v/>
      </c>
      <c r="S804" s="1" t="b">
        <f>IFERROR(__xludf.DUMMYFUNCTION("""COMPUTED_VALUE"""),FALSE)</f>
        <v>0</v>
      </c>
      <c r="T804" s="1" t="b">
        <f>IFERROR(__xludf.DUMMYFUNCTION("""COMPUTED_VALUE"""),FALSE)</f>
        <v>0</v>
      </c>
      <c r="U804" s="1" t="str">
        <f>IFERROR(__xludf.DUMMYFUNCTION("""COMPUTED_VALUE"""),"DSQ")</f>
        <v>DSQ</v>
      </c>
      <c r="V804" s="1" t="str">
        <f>IFERROR(__xludf.DUMMYFUNCTION("""COMPUTED_VALUE"""),"DSQ")</f>
        <v>DSQ</v>
      </c>
      <c r="W804" s="1" t="str">
        <f>IFERROR(__xludf.DUMMYFUNCTION("""COMPUTED_VALUE"""),"DSQ")</f>
        <v>DSQ</v>
      </c>
      <c r="X804" s="1" t="str">
        <f>IFERROR(__xludf.DUMMYFUNCTION("""COMPUTED_VALUE"""),"DSQ")</f>
        <v>DSQ</v>
      </c>
      <c r="Y804" s="2"/>
      <c r="Z804" s="2" t="str">
        <f>IFERROR(__xludf.DUMMYFUNCTION("""COMPUTED_VALUE"""),"")</f>
        <v/>
      </c>
    </row>
    <row r="805">
      <c r="A805" s="1">
        <f>IFERROR(__xludf.DUMMYFUNCTION("""COMPUTED_VALUE"""),804.0)</f>
        <v>804</v>
      </c>
      <c r="B805" s="1">
        <f>IFERROR(__xludf.DUMMYFUNCTION("""COMPUTED_VALUE"""),10711.0)</f>
        <v>10711</v>
      </c>
      <c r="C805" s="2" t="str">
        <f>IFERROR(__xludf.DUMMYFUNCTION("""COMPUTED_VALUE"""),"DIRINTELKAM")</f>
        <v>DIRINTELKAM</v>
      </c>
      <c r="D805" s="2" t="str">
        <f>IFERROR(__xludf.DUMMYFUNCTION("""COMPUTED_VALUE"""),"10KM OVERALL M")</f>
        <v>10KM OVERALL M</v>
      </c>
      <c r="E805" s="1">
        <f>IFERROR(__xludf.DUMMYFUNCTION("""COMPUTED_VALUE"""),1.0)</f>
        <v>1</v>
      </c>
      <c r="F805" s="1" t="str">
        <f>IFERROR(__xludf.DUMMYFUNCTION("""COMPUTED_VALUE"""),"Male")</f>
        <v>Male</v>
      </c>
      <c r="G805" s="4" t="str">
        <f>IFERROR(__xludf.DUMMYFUNCTION("""COMPUTED_VALUE"""),"")</f>
        <v/>
      </c>
      <c r="H805" s="4" t="b">
        <f>IFERROR(__xludf.DUMMYFUNCTION("""COMPUTED_VALUE"""),FALSE)</f>
        <v>0</v>
      </c>
      <c r="I805" s="4">
        <f>IFERROR(__xludf.DUMMYFUNCTION("""COMPUTED_VALUE"""),0.24646185185185185)</f>
        <v>0.2464618519</v>
      </c>
      <c r="J805" s="4" t="str">
        <f>IFERROR(__xludf.DUMMYFUNCTION("""COMPUTED_VALUE"""),"")</f>
        <v/>
      </c>
      <c r="K805" s="4" t="str">
        <f>IFERROR(__xludf.DUMMYFUNCTION("""COMPUTED_VALUE"""),"")</f>
        <v/>
      </c>
      <c r="L805" s="4" t="str">
        <f>IFERROR(__xludf.DUMMYFUNCTION("""COMPUTED_VALUE"""),"")</f>
        <v/>
      </c>
      <c r="M805" s="1" t="str">
        <f>IFERROR(__xludf.DUMMYFUNCTION("""COMPUTED_VALUE"""),"RFID")</f>
        <v>RFID</v>
      </c>
      <c r="N805" s="5" t="str">
        <f>IFERROR(__xludf.DUMMYFUNCTION("""COMPUTED_VALUE"""),"")</f>
        <v/>
      </c>
      <c r="O805" s="5" t="str">
        <f>IFERROR(__xludf.DUMMYFUNCTION("""COMPUTED_VALUE"""),"")</f>
        <v/>
      </c>
      <c r="P805" s="5" t="str">
        <f>IFERROR(__xludf.DUMMYFUNCTION("""COMPUTED_VALUE"""),"")</f>
        <v/>
      </c>
      <c r="Q805" s="5" t="str">
        <f>IFERROR(__xludf.DUMMYFUNCTION("""COMPUTED_VALUE"""),"")</f>
        <v/>
      </c>
      <c r="R805" s="4" t="str">
        <f>IFERROR(__xludf.DUMMYFUNCTION("""COMPUTED_VALUE"""),"")</f>
        <v/>
      </c>
      <c r="S805" s="1" t="b">
        <f>IFERROR(__xludf.DUMMYFUNCTION("""COMPUTED_VALUE"""),FALSE)</f>
        <v>0</v>
      </c>
      <c r="T805" s="1" t="b">
        <f>IFERROR(__xludf.DUMMYFUNCTION("""COMPUTED_VALUE"""),FALSE)</f>
        <v>0</v>
      </c>
      <c r="U805" s="1" t="str">
        <f>IFERROR(__xludf.DUMMYFUNCTION("""COMPUTED_VALUE"""),"DSQ")</f>
        <v>DSQ</v>
      </c>
      <c r="V805" s="1" t="str">
        <f>IFERROR(__xludf.DUMMYFUNCTION("""COMPUTED_VALUE"""),"DSQ")</f>
        <v>DSQ</v>
      </c>
      <c r="W805" s="1" t="str">
        <f>IFERROR(__xludf.DUMMYFUNCTION("""COMPUTED_VALUE"""),"DSQ")</f>
        <v>DSQ</v>
      </c>
      <c r="X805" s="1" t="str">
        <f>IFERROR(__xludf.DUMMYFUNCTION("""COMPUTED_VALUE"""),"DSQ")</f>
        <v>DSQ</v>
      </c>
      <c r="Y805" s="2"/>
      <c r="Z805" s="2" t="str">
        <f>IFERROR(__xludf.DUMMYFUNCTION("""COMPUTED_VALUE"""),"")</f>
        <v/>
      </c>
    </row>
    <row r="806">
      <c r="A806" s="1">
        <f>IFERROR(__xludf.DUMMYFUNCTION("""COMPUTED_VALUE"""),805.0)</f>
        <v>805</v>
      </c>
      <c r="B806" s="1">
        <f>IFERROR(__xludf.DUMMYFUNCTION("""COMPUTED_VALUE"""),10712.0)</f>
        <v>10712</v>
      </c>
      <c r="C806" s="2" t="str">
        <f>IFERROR(__xludf.DUMMYFUNCTION("""COMPUTED_VALUE"""),"DIRINTELKAM")</f>
        <v>DIRINTELKAM</v>
      </c>
      <c r="D806" s="2" t="str">
        <f>IFERROR(__xludf.DUMMYFUNCTION("""COMPUTED_VALUE"""),"10KM OVERALL M")</f>
        <v>10KM OVERALL M</v>
      </c>
      <c r="E806" s="1">
        <f>IFERROR(__xludf.DUMMYFUNCTION("""COMPUTED_VALUE"""),1.0)</f>
        <v>1</v>
      </c>
      <c r="F806" s="1" t="str">
        <f>IFERROR(__xludf.DUMMYFUNCTION("""COMPUTED_VALUE"""),"Male")</f>
        <v>Male</v>
      </c>
      <c r="G806" s="4" t="str">
        <f>IFERROR(__xludf.DUMMYFUNCTION("""COMPUTED_VALUE"""),"")</f>
        <v/>
      </c>
      <c r="H806" s="4" t="b">
        <f>IFERROR(__xludf.DUMMYFUNCTION("""COMPUTED_VALUE"""),FALSE)</f>
        <v>0</v>
      </c>
      <c r="I806" s="4">
        <f>IFERROR(__xludf.DUMMYFUNCTION("""COMPUTED_VALUE"""),0.24646185185185185)</f>
        <v>0.2464618519</v>
      </c>
      <c r="J806" s="4" t="str">
        <f>IFERROR(__xludf.DUMMYFUNCTION("""COMPUTED_VALUE"""),"")</f>
        <v/>
      </c>
      <c r="K806" s="4" t="str">
        <f>IFERROR(__xludf.DUMMYFUNCTION("""COMPUTED_VALUE"""),"")</f>
        <v/>
      </c>
      <c r="L806" s="4" t="str">
        <f>IFERROR(__xludf.DUMMYFUNCTION("""COMPUTED_VALUE"""),"")</f>
        <v/>
      </c>
      <c r="M806" s="1" t="str">
        <f>IFERROR(__xludf.DUMMYFUNCTION("""COMPUTED_VALUE"""),"RFID")</f>
        <v>RFID</v>
      </c>
      <c r="N806" s="5" t="str">
        <f>IFERROR(__xludf.DUMMYFUNCTION("""COMPUTED_VALUE"""),"")</f>
        <v/>
      </c>
      <c r="O806" s="5" t="str">
        <f>IFERROR(__xludf.DUMMYFUNCTION("""COMPUTED_VALUE"""),"")</f>
        <v/>
      </c>
      <c r="P806" s="5" t="str">
        <f>IFERROR(__xludf.DUMMYFUNCTION("""COMPUTED_VALUE"""),"")</f>
        <v/>
      </c>
      <c r="Q806" s="5" t="str">
        <f>IFERROR(__xludf.DUMMYFUNCTION("""COMPUTED_VALUE"""),"")</f>
        <v/>
      </c>
      <c r="R806" s="4" t="str">
        <f>IFERROR(__xludf.DUMMYFUNCTION("""COMPUTED_VALUE"""),"")</f>
        <v/>
      </c>
      <c r="S806" s="1" t="b">
        <f>IFERROR(__xludf.DUMMYFUNCTION("""COMPUTED_VALUE"""),FALSE)</f>
        <v>0</v>
      </c>
      <c r="T806" s="1" t="b">
        <f>IFERROR(__xludf.DUMMYFUNCTION("""COMPUTED_VALUE"""),FALSE)</f>
        <v>0</v>
      </c>
      <c r="U806" s="1" t="str">
        <f>IFERROR(__xludf.DUMMYFUNCTION("""COMPUTED_VALUE"""),"DSQ")</f>
        <v>DSQ</v>
      </c>
      <c r="V806" s="1" t="str">
        <f>IFERROR(__xludf.DUMMYFUNCTION("""COMPUTED_VALUE"""),"DSQ")</f>
        <v>DSQ</v>
      </c>
      <c r="W806" s="1" t="str">
        <f>IFERROR(__xludf.DUMMYFUNCTION("""COMPUTED_VALUE"""),"DSQ")</f>
        <v>DSQ</v>
      </c>
      <c r="X806" s="1" t="str">
        <f>IFERROR(__xludf.DUMMYFUNCTION("""COMPUTED_VALUE"""),"DSQ")</f>
        <v>DSQ</v>
      </c>
      <c r="Y806" s="2"/>
      <c r="Z806" s="2" t="str">
        <f>IFERROR(__xludf.DUMMYFUNCTION("""COMPUTED_VALUE"""),"")</f>
        <v/>
      </c>
    </row>
    <row r="807">
      <c r="A807" s="1">
        <f>IFERROR(__xludf.DUMMYFUNCTION("""COMPUTED_VALUE"""),806.0)</f>
        <v>806</v>
      </c>
      <c r="B807" s="1">
        <f>IFERROR(__xludf.DUMMYFUNCTION("""COMPUTED_VALUE"""),10713.0)</f>
        <v>10713</v>
      </c>
      <c r="C807" s="2" t="str">
        <f>IFERROR(__xludf.DUMMYFUNCTION("""COMPUTED_VALUE"""),"DIRINTELKAM")</f>
        <v>DIRINTELKAM</v>
      </c>
      <c r="D807" s="2" t="str">
        <f>IFERROR(__xludf.DUMMYFUNCTION("""COMPUTED_VALUE"""),"10KM OVERALL M")</f>
        <v>10KM OVERALL M</v>
      </c>
      <c r="E807" s="1">
        <f>IFERROR(__xludf.DUMMYFUNCTION("""COMPUTED_VALUE"""),1.0)</f>
        <v>1</v>
      </c>
      <c r="F807" s="1" t="str">
        <f>IFERROR(__xludf.DUMMYFUNCTION("""COMPUTED_VALUE"""),"Male")</f>
        <v>Male</v>
      </c>
      <c r="G807" s="4" t="str">
        <f>IFERROR(__xludf.DUMMYFUNCTION("""COMPUTED_VALUE"""),"")</f>
        <v/>
      </c>
      <c r="H807" s="4" t="b">
        <f>IFERROR(__xludf.DUMMYFUNCTION("""COMPUTED_VALUE"""),FALSE)</f>
        <v>0</v>
      </c>
      <c r="I807" s="4">
        <f>IFERROR(__xludf.DUMMYFUNCTION("""COMPUTED_VALUE"""),0.24646185185185185)</f>
        <v>0.2464618519</v>
      </c>
      <c r="J807" s="4" t="str">
        <f>IFERROR(__xludf.DUMMYFUNCTION("""COMPUTED_VALUE"""),"")</f>
        <v/>
      </c>
      <c r="K807" s="4" t="str">
        <f>IFERROR(__xludf.DUMMYFUNCTION("""COMPUTED_VALUE"""),"")</f>
        <v/>
      </c>
      <c r="L807" s="4" t="str">
        <f>IFERROR(__xludf.DUMMYFUNCTION("""COMPUTED_VALUE"""),"")</f>
        <v/>
      </c>
      <c r="M807" s="1" t="str">
        <f>IFERROR(__xludf.DUMMYFUNCTION("""COMPUTED_VALUE"""),"RFID")</f>
        <v>RFID</v>
      </c>
      <c r="N807" s="5" t="str">
        <f>IFERROR(__xludf.DUMMYFUNCTION("""COMPUTED_VALUE"""),"")</f>
        <v/>
      </c>
      <c r="O807" s="5" t="str">
        <f>IFERROR(__xludf.DUMMYFUNCTION("""COMPUTED_VALUE"""),"")</f>
        <v/>
      </c>
      <c r="P807" s="5" t="str">
        <f>IFERROR(__xludf.DUMMYFUNCTION("""COMPUTED_VALUE"""),"")</f>
        <v/>
      </c>
      <c r="Q807" s="5" t="str">
        <f>IFERROR(__xludf.DUMMYFUNCTION("""COMPUTED_VALUE"""),"")</f>
        <v/>
      </c>
      <c r="R807" s="4" t="str">
        <f>IFERROR(__xludf.DUMMYFUNCTION("""COMPUTED_VALUE"""),"")</f>
        <v/>
      </c>
      <c r="S807" s="1" t="b">
        <f>IFERROR(__xludf.DUMMYFUNCTION("""COMPUTED_VALUE"""),FALSE)</f>
        <v>0</v>
      </c>
      <c r="T807" s="1" t="b">
        <f>IFERROR(__xludf.DUMMYFUNCTION("""COMPUTED_VALUE"""),FALSE)</f>
        <v>0</v>
      </c>
      <c r="U807" s="1" t="str">
        <f>IFERROR(__xludf.DUMMYFUNCTION("""COMPUTED_VALUE"""),"DSQ")</f>
        <v>DSQ</v>
      </c>
      <c r="V807" s="1" t="str">
        <f>IFERROR(__xludf.DUMMYFUNCTION("""COMPUTED_VALUE"""),"DSQ")</f>
        <v>DSQ</v>
      </c>
      <c r="W807" s="1" t="str">
        <f>IFERROR(__xludf.DUMMYFUNCTION("""COMPUTED_VALUE"""),"DSQ")</f>
        <v>DSQ</v>
      </c>
      <c r="X807" s="1" t="str">
        <f>IFERROR(__xludf.DUMMYFUNCTION("""COMPUTED_VALUE"""),"DSQ")</f>
        <v>DSQ</v>
      </c>
      <c r="Y807" s="2"/>
      <c r="Z807" s="2" t="str">
        <f>IFERROR(__xludf.DUMMYFUNCTION("""COMPUTED_VALUE"""),"")</f>
        <v/>
      </c>
    </row>
    <row r="808">
      <c r="A808" s="1">
        <f>IFERROR(__xludf.DUMMYFUNCTION("""COMPUTED_VALUE"""),807.0)</f>
        <v>807</v>
      </c>
      <c r="B808" s="1">
        <f>IFERROR(__xludf.DUMMYFUNCTION("""COMPUTED_VALUE"""),10714.0)</f>
        <v>10714</v>
      </c>
      <c r="C808" s="2" t="str">
        <f>IFERROR(__xludf.DUMMYFUNCTION("""COMPUTED_VALUE"""),"DIRINTELKAM")</f>
        <v>DIRINTELKAM</v>
      </c>
      <c r="D808" s="2" t="str">
        <f>IFERROR(__xludf.DUMMYFUNCTION("""COMPUTED_VALUE"""),"10KM OVERALL M")</f>
        <v>10KM OVERALL M</v>
      </c>
      <c r="E808" s="1">
        <f>IFERROR(__xludf.DUMMYFUNCTION("""COMPUTED_VALUE"""),1.0)</f>
        <v>1</v>
      </c>
      <c r="F808" s="1" t="str">
        <f>IFERROR(__xludf.DUMMYFUNCTION("""COMPUTED_VALUE"""),"Male")</f>
        <v>Male</v>
      </c>
      <c r="G808" s="4" t="str">
        <f>IFERROR(__xludf.DUMMYFUNCTION("""COMPUTED_VALUE"""),"")</f>
        <v/>
      </c>
      <c r="H808" s="4" t="b">
        <f>IFERROR(__xludf.DUMMYFUNCTION("""COMPUTED_VALUE"""),FALSE)</f>
        <v>0</v>
      </c>
      <c r="I808" s="4">
        <f>IFERROR(__xludf.DUMMYFUNCTION("""COMPUTED_VALUE"""),0.24646185185185185)</f>
        <v>0.2464618519</v>
      </c>
      <c r="J808" s="4" t="str">
        <f>IFERROR(__xludf.DUMMYFUNCTION("""COMPUTED_VALUE"""),"")</f>
        <v/>
      </c>
      <c r="K808" s="4" t="str">
        <f>IFERROR(__xludf.DUMMYFUNCTION("""COMPUTED_VALUE"""),"")</f>
        <v/>
      </c>
      <c r="L808" s="4" t="str">
        <f>IFERROR(__xludf.DUMMYFUNCTION("""COMPUTED_VALUE"""),"")</f>
        <v/>
      </c>
      <c r="M808" s="1" t="str">
        <f>IFERROR(__xludf.DUMMYFUNCTION("""COMPUTED_VALUE"""),"RFID")</f>
        <v>RFID</v>
      </c>
      <c r="N808" s="5" t="str">
        <f>IFERROR(__xludf.DUMMYFUNCTION("""COMPUTED_VALUE"""),"")</f>
        <v/>
      </c>
      <c r="O808" s="5" t="str">
        <f>IFERROR(__xludf.DUMMYFUNCTION("""COMPUTED_VALUE"""),"")</f>
        <v/>
      </c>
      <c r="P808" s="5" t="str">
        <f>IFERROR(__xludf.DUMMYFUNCTION("""COMPUTED_VALUE"""),"")</f>
        <v/>
      </c>
      <c r="Q808" s="5" t="str">
        <f>IFERROR(__xludf.DUMMYFUNCTION("""COMPUTED_VALUE"""),"")</f>
        <v/>
      </c>
      <c r="R808" s="4" t="str">
        <f>IFERROR(__xludf.DUMMYFUNCTION("""COMPUTED_VALUE"""),"")</f>
        <v/>
      </c>
      <c r="S808" s="1" t="b">
        <f>IFERROR(__xludf.DUMMYFUNCTION("""COMPUTED_VALUE"""),FALSE)</f>
        <v>0</v>
      </c>
      <c r="T808" s="1" t="b">
        <f>IFERROR(__xludf.DUMMYFUNCTION("""COMPUTED_VALUE"""),FALSE)</f>
        <v>0</v>
      </c>
      <c r="U808" s="1" t="str">
        <f>IFERROR(__xludf.DUMMYFUNCTION("""COMPUTED_VALUE"""),"DSQ")</f>
        <v>DSQ</v>
      </c>
      <c r="V808" s="1" t="str">
        <f>IFERROR(__xludf.DUMMYFUNCTION("""COMPUTED_VALUE"""),"DSQ")</f>
        <v>DSQ</v>
      </c>
      <c r="W808" s="1" t="str">
        <f>IFERROR(__xludf.DUMMYFUNCTION("""COMPUTED_VALUE"""),"DSQ")</f>
        <v>DSQ</v>
      </c>
      <c r="X808" s="1" t="str">
        <f>IFERROR(__xludf.DUMMYFUNCTION("""COMPUTED_VALUE"""),"DSQ")</f>
        <v>DSQ</v>
      </c>
      <c r="Y808" s="2"/>
      <c r="Z808" s="2" t="str">
        <f>IFERROR(__xludf.DUMMYFUNCTION("""COMPUTED_VALUE"""),"")</f>
        <v/>
      </c>
    </row>
    <row r="809">
      <c r="A809" s="1">
        <f>IFERROR(__xludf.DUMMYFUNCTION("""COMPUTED_VALUE"""),808.0)</f>
        <v>808</v>
      </c>
      <c r="B809" s="1">
        <f>IFERROR(__xludf.DUMMYFUNCTION("""COMPUTED_VALUE"""),10715.0)</f>
        <v>10715</v>
      </c>
      <c r="C809" s="2" t="str">
        <f>IFERROR(__xludf.DUMMYFUNCTION("""COMPUTED_VALUE"""),"DIRINTELKAM")</f>
        <v>DIRINTELKAM</v>
      </c>
      <c r="D809" s="2" t="str">
        <f>IFERROR(__xludf.DUMMYFUNCTION("""COMPUTED_VALUE"""),"10KM OVERALL M")</f>
        <v>10KM OVERALL M</v>
      </c>
      <c r="E809" s="1">
        <f>IFERROR(__xludf.DUMMYFUNCTION("""COMPUTED_VALUE"""),1.0)</f>
        <v>1</v>
      </c>
      <c r="F809" s="1" t="str">
        <f>IFERROR(__xludf.DUMMYFUNCTION("""COMPUTED_VALUE"""),"Male")</f>
        <v>Male</v>
      </c>
      <c r="G809" s="4" t="str">
        <f>IFERROR(__xludf.DUMMYFUNCTION("""COMPUTED_VALUE"""),"")</f>
        <v/>
      </c>
      <c r="H809" s="4" t="b">
        <f>IFERROR(__xludf.DUMMYFUNCTION("""COMPUTED_VALUE"""),FALSE)</f>
        <v>0</v>
      </c>
      <c r="I809" s="4">
        <f>IFERROR(__xludf.DUMMYFUNCTION("""COMPUTED_VALUE"""),0.24646185185185185)</f>
        <v>0.2464618519</v>
      </c>
      <c r="J809" s="4" t="str">
        <f>IFERROR(__xludf.DUMMYFUNCTION("""COMPUTED_VALUE"""),"")</f>
        <v/>
      </c>
      <c r="K809" s="4" t="str">
        <f>IFERROR(__xludf.DUMMYFUNCTION("""COMPUTED_VALUE"""),"")</f>
        <v/>
      </c>
      <c r="L809" s="4" t="str">
        <f>IFERROR(__xludf.DUMMYFUNCTION("""COMPUTED_VALUE"""),"")</f>
        <v/>
      </c>
      <c r="M809" s="1" t="str">
        <f>IFERROR(__xludf.DUMMYFUNCTION("""COMPUTED_VALUE"""),"RFID")</f>
        <v>RFID</v>
      </c>
      <c r="N809" s="5" t="str">
        <f>IFERROR(__xludf.DUMMYFUNCTION("""COMPUTED_VALUE"""),"")</f>
        <v/>
      </c>
      <c r="O809" s="5" t="str">
        <f>IFERROR(__xludf.DUMMYFUNCTION("""COMPUTED_VALUE"""),"")</f>
        <v/>
      </c>
      <c r="P809" s="5" t="str">
        <f>IFERROR(__xludf.DUMMYFUNCTION("""COMPUTED_VALUE"""),"")</f>
        <v/>
      </c>
      <c r="Q809" s="5" t="str">
        <f>IFERROR(__xludf.DUMMYFUNCTION("""COMPUTED_VALUE"""),"")</f>
        <v/>
      </c>
      <c r="R809" s="4" t="str">
        <f>IFERROR(__xludf.DUMMYFUNCTION("""COMPUTED_VALUE"""),"")</f>
        <v/>
      </c>
      <c r="S809" s="1" t="b">
        <f>IFERROR(__xludf.DUMMYFUNCTION("""COMPUTED_VALUE"""),FALSE)</f>
        <v>0</v>
      </c>
      <c r="T809" s="1" t="b">
        <f>IFERROR(__xludf.DUMMYFUNCTION("""COMPUTED_VALUE"""),FALSE)</f>
        <v>0</v>
      </c>
      <c r="U809" s="1" t="str">
        <f>IFERROR(__xludf.DUMMYFUNCTION("""COMPUTED_VALUE"""),"DSQ")</f>
        <v>DSQ</v>
      </c>
      <c r="V809" s="1" t="str">
        <f>IFERROR(__xludf.DUMMYFUNCTION("""COMPUTED_VALUE"""),"DSQ")</f>
        <v>DSQ</v>
      </c>
      <c r="W809" s="1" t="str">
        <f>IFERROR(__xludf.DUMMYFUNCTION("""COMPUTED_VALUE"""),"DSQ")</f>
        <v>DSQ</v>
      </c>
      <c r="X809" s="1" t="str">
        <f>IFERROR(__xludf.DUMMYFUNCTION("""COMPUTED_VALUE"""),"DSQ")</f>
        <v>DSQ</v>
      </c>
      <c r="Y809" s="2"/>
      <c r="Z809" s="2" t="str">
        <f>IFERROR(__xludf.DUMMYFUNCTION("""COMPUTED_VALUE"""),"")</f>
        <v/>
      </c>
    </row>
    <row r="810">
      <c r="A810" s="1">
        <f>IFERROR(__xludf.DUMMYFUNCTION("""COMPUTED_VALUE"""),809.0)</f>
        <v>809</v>
      </c>
      <c r="B810" s="1">
        <f>IFERROR(__xludf.DUMMYFUNCTION("""COMPUTED_VALUE"""),10716.0)</f>
        <v>10716</v>
      </c>
      <c r="C810" s="2" t="str">
        <f>IFERROR(__xludf.DUMMYFUNCTION("""COMPUTED_VALUE"""),"DIRLANTAS")</f>
        <v>DIRLANTAS</v>
      </c>
      <c r="D810" s="2" t="str">
        <f>IFERROR(__xludf.DUMMYFUNCTION("""COMPUTED_VALUE"""),"10KM OVERALL M")</f>
        <v>10KM OVERALL M</v>
      </c>
      <c r="E810" s="1">
        <f>IFERROR(__xludf.DUMMYFUNCTION("""COMPUTED_VALUE"""),1.0)</f>
        <v>1</v>
      </c>
      <c r="F810" s="1" t="str">
        <f>IFERROR(__xludf.DUMMYFUNCTION("""COMPUTED_VALUE"""),"Male")</f>
        <v>Male</v>
      </c>
      <c r="G810" s="4" t="str">
        <f>IFERROR(__xludf.DUMMYFUNCTION("""COMPUTED_VALUE"""),"")</f>
        <v/>
      </c>
      <c r="H810" s="4" t="b">
        <f>IFERROR(__xludf.DUMMYFUNCTION("""COMPUTED_VALUE"""),FALSE)</f>
        <v>0</v>
      </c>
      <c r="I810" s="4">
        <f>IFERROR(__xludf.DUMMYFUNCTION("""COMPUTED_VALUE"""),0.24646185185185185)</f>
        <v>0.2464618519</v>
      </c>
      <c r="J810" s="4" t="str">
        <f>IFERROR(__xludf.DUMMYFUNCTION("""COMPUTED_VALUE"""),"")</f>
        <v/>
      </c>
      <c r="K810" s="4" t="str">
        <f>IFERROR(__xludf.DUMMYFUNCTION("""COMPUTED_VALUE"""),"")</f>
        <v/>
      </c>
      <c r="L810" s="4" t="str">
        <f>IFERROR(__xludf.DUMMYFUNCTION("""COMPUTED_VALUE"""),"")</f>
        <v/>
      </c>
      <c r="M810" s="1" t="str">
        <f>IFERROR(__xludf.DUMMYFUNCTION("""COMPUTED_VALUE"""),"RFID")</f>
        <v>RFID</v>
      </c>
      <c r="N810" s="5" t="str">
        <f>IFERROR(__xludf.DUMMYFUNCTION("""COMPUTED_VALUE"""),"")</f>
        <v/>
      </c>
      <c r="O810" s="5" t="str">
        <f>IFERROR(__xludf.DUMMYFUNCTION("""COMPUTED_VALUE"""),"")</f>
        <v/>
      </c>
      <c r="P810" s="5" t="str">
        <f>IFERROR(__xludf.DUMMYFUNCTION("""COMPUTED_VALUE"""),"")</f>
        <v/>
      </c>
      <c r="Q810" s="5" t="str">
        <f>IFERROR(__xludf.DUMMYFUNCTION("""COMPUTED_VALUE"""),"")</f>
        <v/>
      </c>
      <c r="R810" s="4" t="str">
        <f>IFERROR(__xludf.DUMMYFUNCTION("""COMPUTED_VALUE"""),"")</f>
        <v/>
      </c>
      <c r="S810" s="1" t="b">
        <f>IFERROR(__xludf.DUMMYFUNCTION("""COMPUTED_VALUE"""),FALSE)</f>
        <v>0</v>
      </c>
      <c r="T810" s="1" t="b">
        <f>IFERROR(__xludf.DUMMYFUNCTION("""COMPUTED_VALUE"""),FALSE)</f>
        <v>0</v>
      </c>
      <c r="U810" s="1" t="str">
        <f>IFERROR(__xludf.DUMMYFUNCTION("""COMPUTED_VALUE"""),"DSQ")</f>
        <v>DSQ</v>
      </c>
      <c r="V810" s="1" t="str">
        <f>IFERROR(__xludf.DUMMYFUNCTION("""COMPUTED_VALUE"""),"DSQ")</f>
        <v>DSQ</v>
      </c>
      <c r="W810" s="1" t="str">
        <f>IFERROR(__xludf.DUMMYFUNCTION("""COMPUTED_VALUE"""),"DSQ")</f>
        <v>DSQ</v>
      </c>
      <c r="X810" s="1" t="str">
        <f>IFERROR(__xludf.DUMMYFUNCTION("""COMPUTED_VALUE"""),"DSQ")</f>
        <v>DSQ</v>
      </c>
      <c r="Y810" s="2"/>
      <c r="Z810" s="2" t="str">
        <f>IFERROR(__xludf.DUMMYFUNCTION("""COMPUTED_VALUE"""),"")</f>
        <v/>
      </c>
    </row>
    <row r="811">
      <c r="A811" s="1">
        <f>IFERROR(__xludf.DUMMYFUNCTION("""COMPUTED_VALUE"""),810.0)</f>
        <v>810</v>
      </c>
      <c r="B811" s="1">
        <f>IFERROR(__xludf.DUMMYFUNCTION("""COMPUTED_VALUE"""),10717.0)</f>
        <v>10717</v>
      </c>
      <c r="C811" s="2" t="str">
        <f>IFERROR(__xludf.DUMMYFUNCTION("""COMPUTED_VALUE"""),"DIRLANTAS")</f>
        <v>DIRLANTAS</v>
      </c>
      <c r="D811" s="2" t="str">
        <f>IFERROR(__xludf.DUMMYFUNCTION("""COMPUTED_VALUE"""),"10KM OVERALL M")</f>
        <v>10KM OVERALL M</v>
      </c>
      <c r="E811" s="1">
        <f>IFERROR(__xludf.DUMMYFUNCTION("""COMPUTED_VALUE"""),1.0)</f>
        <v>1</v>
      </c>
      <c r="F811" s="1" t="str">
        <f>IFERROR(__xludf.DUMMYFUNCTION("""COMPUTED_VALUE"""),"Male")</f>
        <v>Male</v>
      </c>
      <c r="G811" s="4" t="str">
        <f>IFERROR(__xludf.DUMMYFUNCTION("""COMPUTED_VALUE"""),"")</f>
        <v/>
      </c>
      <c r="H811" s="4" t="b">
        <f>IFERROR(__xludf.DUMMYFUNCTION("""COMPUTED_VALUE"""),FALSE)</f>
        <v>0</v>
      </c>
      <c r="I811" s="4">
        <f>IFERROR(__xludf.DUMMYFUNCTION("""COMPUTED_VALUE"""),0.24646185185185185)</f>
        <v>0.2464618519</v>
      </c>
      <c r="J811" s="4" t="str">
        <f>IFERROR(__xludf.DUMMYFUNCTION("""COMPUTED_VALUE"""),"")</f>
        <v/>
      </c>
      <c r="K811" s="4" t="str">
        <f>IFERROR(__xludf.DUMMYFUNCTION("""COMPUTED_VALUE"""),"")</f>
        <v/>
      </c>
      <c r="L811" s="4" t="str">
        <f>IFERROR(__xludf.DUMMYFUNCTION("""COMPUTED_VALUE"""),"")</f>
        <v/>
      </c>
      <c r="M811" s="1" t="str">
        <f>IFERROR(__xludf.DUMMYFUNCTION("""COMPUTED_VALUE"""),"RFID")</f>
        <v>RFID</v>
      </c>
      <c r="N811" s="5" t="str">
        <f>IFERROR(__xludf.DUMMYFUNCTION("""COMPUTED_VALUE"""),"")</f>
        <v/>
      </c>
      <c r="O811" s="5" t="str">
        <f>IFERROR(__xludf.DUMMYFUNCTION("""COMPUTED_VALUE"""),"")</f>
        <v/>
      </c>
      <c r="P811" s="5" t="str">
        <f>IFERROR(__xludf.DUMMYFUNCTION("""COMPUTED_VALUE"""),"")</f>
        <v/>
      </c>
      <c r="Q811" s="5" t="str">
        <f>IFERROR(__xludf.DUMMYFUNCTION("""COMPUTED_VALUE"""),"")</f>
        <v/>
      </c>
      <c r="R811" s="4" t="str">
        <f>IFERROR(__xludf.DUMMYFUNCTION("""COMPUTED_VALUE"""),"")</f>
        <v/>
      </c>
      <c r="S811" s="1" t="b">
        <f>IFERROR(__xludf.DUMMYFUNCTION("""COMPUTED_VALUE"""),FALSE)</f>
        <v>0</v>
      </c>
      <c r="T811" s="1" t="b">
        <f>IFERROR(__xludf.DUMMYFUNCTION("""COMPUTED_VALUE"""),FALSE)</f>
        <v>0</v>
      </c>
      <c r="U811" s="1" t="str">
        <f>IFERROR(__xludf.DUMMYFUNCTION("""COMPUTED_VALUE"""),"DSQ")</f>
        <v>DSQ</v>
      </c>
      <c r="V811" s="1" t="str">
        <f>IFERROR(__xludf.DUMMYFUNCTION("""COMPUTED_VALUE"""),"DSQ")</f>
        <v>DSQ</v>
      </c>
      <c r="W811" s="1" t="str">
        <f>IFERROR(__xludf.DUMMYFUNCTION("""COMPUTED_VALUE"""),"DSQ")</f>
        <v>DSQ</v>
      </c>
      <c r="X811" s="1" t="str">
        <f>IFERROR(__xludf.DUMMYFUNCTION("""COMPUTED_VALUE"""),"DSQ")</f>
        <v>DSQ</v>
      </c>
      <c r="Y811" s="2"/>
      <c r="Z811" s="2" t="str">
        <f>IFERROR(__xludf.DUMMYFUNCTION("""COMPUTED_VALUE"""),"")</f>
        <v/>
      </c>
    </row>
    <row r="812">
      <c r="A812" s="1">
        <f>IFERROR(__xludf.DUMMYFUNCTION("""COMPUTED_VALUE"""),811.0)</f>
        <v>811</v>
      </c>
      <c r="B812" s="1">
        <f>IFERROR(__xludf.DUMMYFUNCTION("""COMPUTED_VALUE"""),10718.0)</f>
        <v>10718</v>
      </c>
      <c r="C812" s="2" t="str">
        <f>IFERROR(__xludf.DUMMYFUNCTION("""COMPUTED_VALUE"""),"DIRLANTAS")</f>
        <v>DIRLANTAS</v>
      </c>
      <c r="D812" s="2" t="str">
        <f>IFERROR(__xludf.DUMMYFUNCTION("""COMPUTED_VALUE"""),"10KM OVERALL M")</f>
        <v>10KM OVERALL M</v>
      </c>
      <c r="E812" s="1">
        <f>IFERROR(__xludf.DUMMYFUNCTION("""COMPUTED_VALUE"""),1.0)</f>
        <v>1</v>
      </c>
      <c r="F812" s="1" t="str">
        <f>IFERROR(__xludf.DUMMYFUNCTION("""COMPUTED_VALUE"""),"Male")</f>
        <v>Male</v>
      </c>
      <c r="G812" s="4" t="str">
        <f>IFERROR(__xludf.DUMMYFUNCTION("""COMPUTED_VALUE"""),"")</f>
        <v/>
      </c>
      <c r="H812" s="4" t="b">
        <f>IFERROR(__xludf.DUMMYFUNCTION("""COMPUTED_VALUE"""),FALSE)</f>
        <v>0</v>
      </c>
      <c r="I812" s="4">
        <f>IFERROR(__xludf.DUMMYFUNCTION("""COMPUTED_VALUE"""),0.24646185185185185)</f>
        <v>0.2464618519</v>
      </c>
      <c r="J812" s="4" t="str">
        <f>IFERROR(__xludf.DUMMYFUNCTION("""COMPUTED_VALUE"""),"")</f>
        <v/>
      </c>
      <c r="K812" s="4" t="str">
        <f>IFERROR(__xludf.DUMMYFUNCTION("""COMPUTED_VALUE"""),"")</f>
        <v/>
      </c>
      <c r="L812" s="4" t="str">
        <f>IFERROR(__xludf.DUMMYFUNCTION("""COMPUTED_VALUE"""),"")</f>
        <v/>
      </c>
      <c r="M812" s="1" t="str">
        <f>IFERROR(__xludf.DUMMYFUNCTION("""COMPUTED_VALUE"""),"RFID")</f>
        <v>RFID</v>
      </c>
      <c r="N812" s="5" t="str">
        <f>IFERROR(__xludf.DUMMYFUNCTION("""COMPUTED_VALUE"""),"")</f>
        <v/>
      </c>
      <c r="O812" s="5" t="str">
        <f>IFERROR(__xludf.DUMMYFUNCTION("""COMPUTED_VALUE"""),"")</f>
        <v/>
      </c>
      <c r="P812" s="5" t="str">
        <f>IFERROR(__xludf.DUMMYFUNCTION("""COMPUTED_VALUE"""),"")</f>
        <v/>
      </c>
      <c r="Q812" s="5" t="str">
        <f>IFERROR(__xludf.DUMMYFUNCTION("""COMPUTED_VALUE"""),"")</f>
        <v/>
      </c>
      <c r="R812" s="4" t="str">
        <f>IFERROR(__xludf.DUMMYFUNCTION("""COMPUTED_VALUE"""),"")</f>
        <v/>
      </c>
      <c r="S812" s="1" t="b">
        <f>IFERROR(__xludf.DUMMYFUNCTION("""COMPUTED_VALUE"""),FALSE)</f>
        <v>0</v>
      </c>
      <c r="T812" s="1" t="b">
        <f>IFERROR(__xludf.DUMMYFUNCTION("""COMPUTED_VALUE"""),FALSE)</f>
        <v>0</v>
      </c>
      <c r="U812" s="1" t="str">
        <f>IFERROR(__xludf.DUMMYFUNCTION("""COMPUTED_VALUE"""),"DSQ")</f>
        <v>DSQ</v>
      </c>
      <c r="V812" s="1" t="str">
        <f>IFERROR(__xludf.DUMMYFUNCTION("""COMPUTED_VALUE"""),"DSQ")</f>
        <v>DSQ</v>
      </c>
      <c r="W812" s="1" t="str">
        <f>IFERROR(__xludf.DUMMYFUNCTION("""COMPUTED_VALUE"""),"DSQ")</f>
        <v>DSQ</v>
      </c>
      <c r="X812" s="1" t="str">
        <f>IFERROR(__xludf.DUMMYFUNCTION("""COMPUTED_VALUE"""),"DSQ")</f>
        <v>DSQ</v>
      </c>
      <c r="Y812" s="2"/>
      <c r="Z812" s="2" t="str">
        <f>IFERROR(__xludf.DUMMYFUNCTION("""COMPUTED_VALUE"""),"")</f>
        <v/>
      </c>
    </row>
    <row r="813">
      <c r="A813" s="1">
        <f>IFERROR(__xludf.DUMMYFUNCTION("""COMPUTED_VALUE"""),812.0)</f>
        <v>812</v>
      </c>
      <c r="B813" s="1">
        <f>IFERROR(__xludf.DUMMYFUNCTION("""COMPUTED_VALUE"""),10719.0)</f>
        <v>10719</v>
      </c>
      <c r="C813" s="2" t="str">
        <f>IFERROR(__xludf.DUMMYFUNCTION("""COMPUTED_VALUE"""),"DIRLANTAS")</f>
        <v>DIRLANTAS</v>
      </c>
      <c r="D813" s="2" t="str">
        <f>IFERROR(__xludf.DUMMYFUNCTION("""COMPUTED_VALUE"""),"10KM OVERALL M")</f>
        <v>10KM OVERALL M</v>
      </c>
      <c r="E813" s="1">
        <f>IFERROR(__xludf.DUMMYFUNCTION("""COMPUTED_VALUE"""),1.0)</f>
        <v>1</v>
      </c>
      <c r="F813" s="1" t="str">
        <f>IFERROR(__xludf.DUMMYFUNCTION("""COMPUTED_VALUE"""),"Male")</f>
        <v>Male</v>
      </c>
      <c r="G813" s="4" t="str">
        <f>IFERROR(__xludf.DUMMYFUNCTION("""COMPUTED_VALUE"""),"")</f>
        <v/>
      </c>
      <c r="H813" s="4" t="b">
        <f>IFERROR(__xludf.DUMMYFUNCTION("""COMPUTED_VALUE"""),FALSE)</f>
        <v>0</v>
      </c>
      <c r="I813" s="4">
        <f>IFERROR(__xludf.DUMMYFUNCTION("""COMPUTED_VALUE"""),0.24646185185185185)</f>
        <v>0.2464618519</v>
      </c>
      <c r="J813" s="4" t="str">
        <f>IFERROR(__xludf.DUMMYFUNCTION("""COMPUTED_VALUE"""),"")</f>
        <v/>
      </c>
      <c r="K813" s="4" t="str">
        <f>IFERROR(__xludf.DUMMYFUNCTION("""COMPUTED_VALUE"""),"")</f>
        <v/>
      </c>
      <c r="L813" s="4" t="str">
        <f>IFERROR(__xludf.DUMMYFUNCTION("""COMPUTED_VALUE"""),"")</f>
        <v/>
      </c>
      <c r="M813" s="1" t="str">
        <f>IFERROR(__xludf.DUMMYFUNCTION("""COMPUTED_VALUE"""),"RFID")</f>
        <v>RFID</v>
      </c>
      <c r="N813" s="5" t="str">
        <f>IFERROR(__xludf.DUMMYFUNCTION("""COMPUTED_VALUE"""),"")</f>
        <v/>
      </c>
      <c r="O813" s="5" t="str">
        <f>IFERROR(__xludf.DUMMYFUNCTION("""COMPUTED_VALUE"""),"")</f>
        <v/>
      </c>
      <c r="P813" s="5" t="str">
        <f>IFERROR(__xludf.DUMMYFUNCTION("""COMPUTED_VALUE"""),"")</f>
        <v/>
      </c>
      <c r="Q813" s="5" t="str">
        <f>IFERROR(__xludf.DUMMYFUNCTION("""COMPUTED_VALUE"""),"")</f>
        <v/>
      </c>
      <c r="R813" s="4" t="str">
        <f>IFERROR(__xludf.DUMMYFUNCTION("""COMPUTED_VALUE"""),"")</f>
        <v/>
      </c>
      <c r="S813" s="1" t="b">
        <f>IFERROR(__xludf.DUMMYFUNCTION("""COMPUTED_VALUE"""),FALSE)</f>
        <v>0</v>
      </c>
      <c r="T813" s="1" t="b">
        <f>IFERROR(__xludf.DUMMYFUNCTION("""COMPUTED_VALUE"""),FALSE)</f>
        <v>0</v>
      </c>
      <c r="U813" s="1" t="str">
        <f>IFERROR(__xludf.DUMMYFUNCTION("""COMPUTED_VALUE"""),"DSQ")</f>
        <v>DSQ</v>
      </c>
      <c r="V813" s="1" t="str">
        <f>IFERROR(__xludf.DUMMYFUNCTION("""COMPUTED_VALUE"""),"DSQ")</f>
        <v>DSQ</v>
      </c>
      <c r="W813" s="1" t="str">
        <f>IFERROR(__xludf.DUMMYFUNCTION("""COMPUTED_VALUE"""),"DSQ")</f>
        <v>DSQ</v>
      </c>
      <c r="X813" s="1" t="str">
        <f>IFERROR(__xludf.DUMMYFUNCTION("""COMPUTED_VALUE"""),"DSQ")</f>
        <v>DSQ</v>
      </c>
      <c r="Y813" s="2"/>
      <c r="Z813" s="2" t="str">
        <f>IFERROR(__xludf.DUMMYFUNCTION("""COMPUTED_VALUE"""),"")</f>
        <v/>
      </c>
    </row>
    <row r="814">
      <c r="A814" s="1">
        <f>IFERROR(__xludf.DUMMYFUNCTION("""COMPUTED_VALUE"""),813.0)</f>
        <v>813</v>
      </c>
      <c r="B814" s="1">
        <f>IFERROR(__xludf.DUMMYFUNCTION("""COMPUTED_VALUE"""),10720.0)</f>
        <v>10720</v>
      </c>
      <c r="C814" s="2" t="str">
        <f>IFERROR(__xludf.DUMMYFUNCTION("""COMPUTED_VALUE"""),"KAROSDM")</f>
        <v>KAROSDM</v>
      </c>
      <c r="D814" s="2" t="str">
        <f>IFERROR(__xludf.DUMMYFUNCTION("""COMPUTED_VALUE"""),"10KM OVERALL M")</f>
        <v>10KM OVERALL M</v>
      </c>
      <c r="E814" s="1">
        <f>IFERROR(__xludf.DUMMYFUNCTION("""COMPUTED_VALUE"""),1.0)</f>
        <v>1</v>
      </c>
      <c r="F814" s="1" t="str">
        <f>IFERROR(__xludf.DUMMYFUNCTION("""COMPUTED_VALUE"""),"Male")</f>
        <v>Male</v>
      </c>
      <c r="G814" s="4" t="str">
        <f>IFERROR(__xludf.DUMMYFUNCTION("""COMPUTED_VALUE"""),"")</f>
        <v/>
      </c>
      <c r="H814" s="4" t="b">
        <f>IFERROR(__xludf.DUMMYFUNCTION("""COMPUTED_VALUE"""),FALSE)</f>
        <v>0</v>
      </c>
      <c r="I814" s="4">
        <f>IFERROR(__xludf.DUMMYFUNCTION("""COMPUTED_VALUE"""),0.24646185185185185)</f>
        <v>0.2464618519</v>
      </c>
      <c r="J814" s="4" t="str">
        <f>IFERROR(__xludf.DUMMYFUNCTION("""COMPUTED_VALUE"""),"")</f>
        <v/>
      </c>
      <c r="K814" s="4" t="str">
        <f>IFERROR(__xludf.DUMMYFUNCTION("""COMPUTED_VALUE"""),"")</f>
        <v/>
      </c>
      <c r="L814" s="4" t="str">
        <f>IFERROR(__xludf.DUMMYFUNCTION("""COMPUTED_VALUE"""),"")</f>
        <v/>
      </c>
      <c r="M814" s="1" t="str">
        <f>IFERROR(__xludf.DUMMYFUNCTION("""COMPUTED_VALUE"""),"RFID")</f>
        <v>RFID</v>
      </c>
      <c r="N814" s="5" t="str">
        <f>IFERROR(__xludf.DUMMYFUNCTION("""COMPUTED_VALUE"""),"")</f>
        <v/>
      </c>
      <c r="O814" s="5" t="str">
        <f>IFERROR(__xludf.DUMMYFUNCTION("""COMPUTED_VALUE"""),"")</f>
        <v/>
      </c>
      <c r="P814" s="5" t="str">
        <f>IFERROR(__xludf.DUMMYFUNCTION("""COMPUTED_VALUE"""),"")</f>
        <v/>
      </c>
      <c r="Q814" s="5" t="str">
        <f>IFERROR(__xludf.DUMMYFUNCTION("""COMPUTED_VALUE"""),"")</f>
        <v/>
      </c>
      <c r="R814" s="4" t="str">
        <f>IFERROR(__xludf.DUMMYFUNCTION("""COMPUTED_VALUE"""),"")</f>
        <v/>
      </c>
      <c r="S814" s="1" t="b">
        <f>IFERROR(__xludf.DUMMYFUNCTION("""COMPUTED_VALUE"""),FALSE)</f>
        <v>0</v>
      </c>
      <c r="T814" s="1" t="b">
        <f>IFERROR(__xludf.DUMMYFUNCTION("""COMPUTED_VALUE"""),FALSE)</f>
        <v>0</v>
      </c>
      <c r="U814" s="1" t="str">
        <f>IFERROR(__xludf.DUMMYFUNCTION("""COMPUTED_VALUE"""),"DSQ")</f>
        <v>DSQ</v>
      </c>
      <c r="V814" s="1" t="str">
        <f>IFERROR(__xludf.DUMMYFUNCTION("""COMPUTED_VALUE"""),"DSQ")</f>
        <v>DSQ</v>
      </c>
      <c r="W814" s="1" t="str">
        <f>IFERROR(__xludf.DUMMYFUNCTION("""COMPUTED_VALUE"""),"DSQ")</f>
        <v>DSQ</v>
      </c>
      <c r="X814" s="1" t="str">
        <f>IFERROR(__xludf.DUMMYFUNCTION("""COMPUTED_VALUE"""),"DSQ")</f>
        <v>DSQ</v>
      </c>
      <c r="Y814" s="2"/>
      <c r="Z814" s="2" t="str">
        <f>IFERROR(__xludf.DUMMYFUNCTION("""COMPUTED_VALUE"""),"")</f>
        <v/>
      </c>
    </row>
    <row r="815">
      <c r="A815" s="1">
        <f>IFERROR(__xludf.DUMMYFUNCTION("""COMPUTED_VALUE"""),814.0)</f>
        <v>814</v>
      </c>
      <c r="B815" s="1">
        <f>IFERROR(__xludf.DUMMYFUNCTION("""COMPUTED_VALUE"""),10721.0)</f>
        <v>10721</v>
      </c>
      <c r="C815" s="2" t="str">
        <f>IFERROR(__xludf.DUMMYFUNCTION("""COMPUTED_VALUE"""),"KAROSDM")</f>
        <v>KAROSDM</v>
      </c>
      <c r="D815" s="2" t="str">
        <f>IFERROR(__xludf.DUMMYFUNCTION("""COMPUTED_VALUE"""),"10KM OVERALL M")</f>
        <v>10KM OVERALL M</v>
      </c>
      <c r="E815" s="1">
        <f>IFERROR(__xludf.DUMMYFUNCTION("""COMPUTED_VALUE"""),1.0)</f>
        <v>1</v>
      </c>
      <c r="F815" s="1" t="str">
        <f>IFERROR(__xludf.DUMMYFUNCTION("""COMPUTED_VALUE"""),"Male")</f>
        <v>Male</v>
      </c>
      <c r="G815" s="4" t="str">
        <f>IFERROR(__xludf.DUMMYFUNCTION("""COMPUTED_VALUE"""),"")</f>
        <v/>
      </c>
      <c r="H815" s="4" t="b">
        <f>IFERROR(__xludf.DUMMYFUNCTION("""COMPUTED_VALUE"""),FALSE)</f>
        <v>0</v>
      </c>
      <c r="I815" s="4">
        <f>IFERROR(__xludf.DUMMYFUNCTION("""COMPUTED_VALUE"""),0.24646185185185185)</f>
        <v>0.2464618519</v>
      </c>
      <c r="J815" s="4" t="str">
        <f>IFERROR(__xludf.DUMMYFUNCTION("""COMPUTED_VALUE"""),"")</f>
        <v/>
      </c>
      <c r="K815" s="4" t="str">
        <f>IFERROR(__xludf.DUMMYFUNCTION("""COMPUTED_VALUE"""),"")</f>
        <v/>
      </c>
      <c r="L815" s="4" t="str">
        <f>IFERROR(__xludf.DUMMYFUNCTION("""COMPUTED_VALUE"""),"")</f>
        <v/>
      </c>
      <c r="M815" s="1" t="str">
        <f>IFERROR(__xludf.DUMMYFUNCTION("""COMPUTED_VALUE"""),"RFID")</f>
        <v>RFID</v>
      </c>
      <c r="N815" s="5" t="str">
        <f>IFERROR(__xludf.DUMMYFUNCTION("""COMPUTED_VALUE"""),"")</f>
        <v/>
      </c>
      <c r="O815" s="5" t="str">
        <f>IFERROR(__xludf.DUMMYFUNCTION("""COMPUTED_VALUE"""),"")</f>
        <v/>
      </c>
      <c r="P815" s="5" t="str">
        <f>IFERROR(__xludf.DUMMYFUNCTION("""COMPUTED_VALUE"""),"")</f>
        <v/>
      </c>
      <c r="Q815" s="5" t="str">
        <f>IFERROR(__xludf.DUMMYFUNCTION("""COMPUTED_VALUE"""),"")</f>
        <v/>
      </c>
      <c r="R815" s="4" t="str">
        <f>IFERROR(__xludf.DUMMYFUNCTION("""COMPUTED_VALUE"""),"")</f>
        <v/>
      </c>
      <c r="S815" s="1" t="b">
        <f>IFERROR(__xludf.DUMMYFUNCTION("""COMPUTED_VALUE"""),FALSE)</f>
        <v>0</v>
      </c>
      <c r="T815" s="1" t="b">
        <f>IFERROR(__xludf.DUMMYFUNCTION("""COMPUTED_VALUE"""),FALSE)</f>
        <v>0</v>
      </c>
      <c r="U815" s="1" t="str">
        <f>IFERROR(__xludf.DUMMYFUNCTION("""COMPUTED_VALUE"""),"DSQ")</f>
        <v>DSQ</v>
      </c>
      <c r="V815" s="1" t="str">
        <f>IFERROR(__xludf.DUMMYFUNCTION("""COMPUTED_VALUE"""),"DSQ")</f>
        <v>DSQ</v>
      </c>
      <c r="W815" s="1" t="str">
        <f>IFERROR(__xludf.DUMMYFUNCTION("""COMPUTED_VALUE"""),"DSQ")</f>
        <v>DSQ</v>
      </c>
      <c r="X815" s="1" t="str">
        <f>IFERROR(__xludf.DUMMYFUNCTION("""COMPUTED_VALUE"""),"DSQ")</f>
        <v>DSQ</v>
      </c>
      <c r="Y815" s="2"/>
      <c r="Z815" s="2" t="str">
        <f>IFERROR(__xludf.DUMMYFUNCTION("""COMPUTED_VALUE"""),"")</f>
        <v/>
      </c>
    </row>
    <row r="816">
      <c r="A816" s="1">
        <f>IFERROR(__xludf.DUMMYFUNCTION("""COMPUTED_VALUE"""),815.0)</f>
        <v>815</v>
      </c>
      <c r="B816" s="1">
        <f>IFERROR(__xludf.DUMMYFUNCTION("""COMPUTED_VALUE"""),10722.0)</f>
        <v>10722</v>
      </c>
      <c r="C816" s="2" t="str">
        <f>IFERROR(__xludf.DUMMYFUNCTION("""COMPUTED_VALUE"""),"ROLAN SIHOMBING")</f>
        <v>ROLAN SIHOMBING</v>
      </c>
      <c r="D816" s="2" t="str">
        <f>IFERROR(__xludf.DUMMYFUNCTION("""COMPUTED_VALUE"""),"10KM OVERALL M")</f>
        <v>10KM OVERALL M</v>
      </c>
      <c r="E816" s="1">
        <f>IFERROR(__xludf.DUMMYFUNCTION("""COMPUTED_VALUE"""),1.0)</f>
        <v>1</v>
      </c>
      <c r="F816" s="1" t="str">
        <f>IFERROR(__xludf.DUMMYFUNCTION("""COMPUTED_VALUE"""),"Male")</f>
        <v>Male</v>
      </c>
      <c r="G816" s="4" t="b">
        <f>IFERROR(__xludf.DUMMYFUNCTION("""COMPUTED_VALUE"""),TRUE)</f>
        <v>1</v>
      </c>
      <c r="H816" s="4" t="b">
        <f>IFERROR(__xludf.DUMMYFUNCTION("""COMPUTED_VALUE"""),FALSE)</f>
        <v>0</v>
      </c>
      <c r="I816" s="4">
        <f>IFERROR(__xludf.DUMMYFUNCTION("""COMPUTED_VALUE"""),0.24646185185185185)</f>
        <v>0.2464618519</v>
      </c>
      <c r="J816" s="4">
        <f>IFERROR(__xludf.DUMMYFUNCTION("""COMPUTED_VALUE"""),45949.25458231358)</f>
        <v>45949.25458</v>
      </c>
      <c r="K816" s="4">
        <f>IFERROR(__xludf.DUMMYFUNCTION("""COMPUTED_VALUE"""),45949.27589289367)</f>
        <v>45949.27589</v>
      </c>
      <c r="L816" s="4">
        <f>IFERROR(__xludf.DUMMYFUNCTION("""COMPUTED_VALUE"""),45949.28146336867)</f>
        <v>45949.28146</v>
      </c>
      <c r="M816" s="1" t="str">
        <f>IFERROR(__xludf.DUMMYFUNCTION("""COMPUTED_VALUE"""),"RFID")</f>
        <v>RFID</v>
      </c>
      <c r="N816" s="5">
        <f>IFERROR(__xludf.DUMMYFUNCTION("""COMPUTED_VALUE"""),0.003248185185185185)</f>
        <v>0.003248185185</v>
      </c>
      <c r="O816" s="5">
        <f>IFERROR(__xludf.DUMMYFUNCTION("""COMPUTED_VALUE"""),0.008524231481481482)</f>
        <v>0.008524231481</v>
      </c>
      <c r="P816" s="5">
        <f>IFERROR(__xludf.DUMMYFUNCTION("""COMPUTED_VALUE"""),0.002292376545180256)</f>
        <v>0.002292376545</v>
      </c>
      <c r="Q816" s="5">
        <f>IFERROR(__xludf.DUMMYFUNCTION("""COMPUTED_VALUE"""),0.0035001516203703705)</f>
        <v>0.00350015162</v>
      </c>
      <c r="R816" s="4">
        <f>IFERROR(__xludf.DUMMYFUNCTION("""COMPUTED_VALUE"""),45949.03500151682)</f>
        <v>45949.035</v>
      </c>
      <c r="S816" s="1" t="b">
        <f>IFERROR(__xludf.DUMMYFUNCTION("""COMPUTED_VALUE"""),TRUE)</f>
        <v>1</v>
      </c>
      <c r="T816" s="1" t="b">
        <f>IFERROR(__xludf.DUMMYFUNCTION("""COMPUTED_VALUE"""),FALSE)</f>
        <v>0</v>
      </c>
      <c r="U816" s="1" t="str">
        <f>IFERROR(__xludf.DUMMYFUNCTION("""COMPUTED_VALUE"""),"VALID")</f>
        <v>VALID</v>
      </c>
      <c r="V816" s="1">
        <f>IFERROR(__xludf.DUMMYFUNCTION("""COMPUTED_VALUE"""),29.0)</f>
        <v>29</v>
      </c>
      <c r="W816" s="1">
        <f>IFERROR(__xludf.DUMMYFUNCTION("""COMPUTED_VALUE"""),37.0)</f>
        <v>37</v>
      </c>
      <c r="X816" s="1">
        <f>IFERROR(__xludf.DUMMYFUNCTION("""COMPUTED_VALUE"""),722.0)</f>
        <v>722</v>
      </c>
      <c r="Y816" s="2"/>
      <c r="Z816" s="2"/>
    </row>
    <row r="817">
      <c r="A817" s="1">
        <f>IFERROR(__xludf.DUMMYFUNCTION("""COMPUTED_VALUE"""),816.0)</f>
        <v>816</v>
      </c>
      <c r="B817" s="1">
        <f>IFERROR(__xludf.DUMMYFUNCTION("""COMPUTED_VALUE"""),10723.0)</f>
        <v>10723</v>
      </c>
      <c r="C817" s="2" t="str">
        <f>IFERROR(__xludf.DUMMYFUNCTION("""COMPUTED_VALUE"""),"KAROSDM")</f>
        <v>KAROSDM</v>
      </c>
      <c r="D817" s="2" t="str">
        <f>IFERROR(__xludf.DUMMYFUNCTION("""COMPUTED_VALUE"""),"10KM OVERALL M")</f>
        <v>10KM OVERALL M</v>
      </c>
      <c r="E817" s="1">
        <f>IFERROR(__xludf.DUMMYFUNCTION("""COMPUTED_VALUE"""),1.0)</f>
        <v>1</v>
      </c>
      <c r="F817" s="1" t="str">
        <f>IFERROR(__xludf.DUMMYFUNCTION("""COMPUTED_VALUE"""),"Male")</f>
        <v>Male</v>
      </c>
      <c r="G817" s="4" t="str">
        <f>IFERROR(__xludf.DUMMYFUNCTION("""COMPUTED_VALUE"""),"")</f>
        <v/>
      </c>
      <c r="H817" s="4" t="b">
        <f>IFERROR(__xludf.DUMMYFUNCTION("""COMPUTED_VALUE"""),FALSE)</f>
        <v>0</v>
      </c>
      <c r="I817" s="4">
        <f>IFERROR(__xludf.DUMMYFUNCTION("""COMPUTED_VALUE"""),0.24646185185185185)</f>
        <v>0.2464618519</v>
      </c>
      <c r="J817" s="4" t="str">
        <f>IFERROR(__xludf.DUMMYFUNCTION("""COMPUTED_VALUE"""),"")</f>
        <v/>
      </c>
      <c r="K817" s="4" t="str">
        <f>IFERROR(__xludf.DUMMYFUNCTION("""COMPUTED_VALUE"""),"")</f>
        <v/>
      </c>
      <c r="L817" s="4" t="str">
        <f>IFERROR(__xludf.DUMMYFUNCTION("""COMPUTED_VALUE"""),"")</f>
        <v/>
      </c>
      <c r="M817" s="1" t="str">
        <f>IFERROR(__xludf.DUMMYFUNCTION("""COMPUTED_VALUE"""),"RFID")</f>
        <v>RFID</v>
      </c>
      <c r="N817" s="5" t="str">
        <f>IFERROR(__xludf.DUMMYFUNCTION("""COMPUTED_VALUE"""),"")</f>
        <v/>
      </c>
      <c r="O817" s="5" t="str">
        <f>IFERROR(__xludf.DUMMYFUNCTION("""COMPUTED_VALUE"""),"")</f>
        <v/>
      </c>
      <c r="P817" s="5" t="str">
        <f>IFERROR(__xludf.DUMMYFUNCTION("""COMPUTED_VALUE"""),"")</f>
        <v/>
      </c>
      <c r="Q817" s="5" t="str">
        <f>IFERROR(__xludf.DUMMYFUNCTION("""COMPUTED_VALUE"""),"")</f>
        <v/>
      </c>
      <c r="R817" s="4" t="str">
        <f>IFERROR(__xludf.DUMMYFUNCTION("""COMPUTED_VALUE"""),"")</f>
        <v/>
      </c>
      <c r="S817" s="1" t="b">
        <f>IFERROR(__xludf.DUMMYFUNCTION("""COMPUTED_VALUE"""),FALSE)</f>
        <v>0</v>
      </c>
      <c r="T817" s="1" t="b">
        <f>IFERROR(__xludf.DUMMYFUNCTION("""COMPUTED_VALUE"""),FALSE)</f>
        <v>0</v>
      </c>
      <c r="U817" s="1" t="str">
        <f>IFERROR(__xludf.DUMMYFUNCTION("""COMPUTED_VALUE"""),"DSQ")</f>
        <v>DSQ</v>
      </c>
      <c r="V817" s="1" t="str">
        <f>IFERROR(__xludf.DUMMYFUNCTION("""COMPUTED_VALUE"""),"DSQ")</f>
        <v>DSQ</v>
      </c>
      <c r="W817" s="1" t="str">
        <f>IFERROR(__xludf.DUMMYFUNCTION("""COMPUTED_VALUE"""),"DSQ")</f>
        <v>DSQ</v>
      </c>
      <c r="X817" s="1" t="str">
        <f>IFERROR(__xludf.DUMMYFUNCTION("""COMPUTED_VALUE"""),"DSQ")</f>
        <v>DSQ</v>
      </c>
      <c r="Y817" s="2"/>
      <c r="Z817" s="2" t="str">
        <f>IFERROR(__xludf.DUMMYFUNCTION("""COMPUTED_VALUE"""),"")</f>
        <v/>
      </c>
    </row>
    <row r="818">
      <c r="A818" s="1">
        <f>IFERROR(__xludf.DUMMYFUNCTION("""COMPUTED_VALUE"""),817.0)</f>
        <v>817</v>
      </c>
      <c r="B818" s="1">
        <f>IFERROR(__xludf.DUMMYFUNCTION("""COMPUTED_VALUE"""),10724.0)</f>
        <v>10724</v>
      </c>
      <c r="C818" s="2" t="str">
        <f>IFERROR(__xludf.DUMMYFUNCTION("""COMPUTED_VALUE"""),"PACER - RAHMAN")</f>
        <v>PACER - RAHMAN</v>
      </c>
      <c r="D818" s="2" t="str">
        <f>IFERROR(__xludf.DUMMYFUNCTION("""COMPUTED_VALUE"""),"10KM OVERALL M")</f>
        <v>10KM OVERALL M</v>
      </c>
      <c r="E818" s="1">
        <f>IFERROR(__xludf.DUMMYFUNCTION("""COMPUTED_VALUE"""),1.0)</f>
        <v>1</v>
      </c>
      <c r="F818" s="1" t="str">
        <f>IFERROR(__xludf.DUMMYFUNCTION("""COMPUTED_VALUE"""),"Male")</f>
        <v>Male</v>
      </c>
      <c r="G818" s="4" t="b">
        <f>IFERROR(__xludf.DUMMYFUNCTION("""COMPUTED_VALUE"""),TRUE)</f>
        <v>1</v>
      </c>
      <c r="H818" s="4" t="b">
        <f>IFERROR(__xludf.DUMMYFUNCTION("""COMPUTED_VALUE"""),TRUE)</f>
        <v>1</v>
      </c>
      <c r="I818" s="4">
        <f>IFERROR(__xludf.DUMMYFUNCTION("""COMPUTED_VALUE"""),0.24646185185185185)</f>
        <v>0.2464618519</v>
      </c>
      <c r="J818" s="4">
        <f>IFERROR(__xludf.DUMMYFUNCTION("""COMPUTED_VALUE"""),45949.25758919805)</f>
        <v>45949.25759</v>
      </c>
      <c r="K818" s="4">
        <f>IFERROR(__xludf.DUMMYFUNCTION("""COMPUTED_VALUE"""),45949.28718992069)</f>
        <v>45949.28719</v>
      </c>
      <c r="L818" s="4">
        <f>IFERROR(__xludf.DUMMYFUNCTION("""COMPUTED_VALUE"""),45949.295505061134)</f>
        <v>45949.29551</v>
      </c>
      <c r="M818" s="1" t="str">
        <f>IFERROR(__xludf.DUMMYFUNCTION("""COMPUTED_VALUE"""),"RFID")</f>
        <v>RFID</v>
      </c>
      <c r="N818" s="5">
        <f>IFERROR(__xludf.DUMMYFUNCTION("""COMPUTED_VALUE"""),0.0044509398148148156)</f>
        <v>0.004450939815</v>
      </c>
      <c r="O818" s="5">
        <f>IFERROR(__xludf.DUMMYFUNCTION("""COMPUTED_VALUE"""),0.011840287037037036)</f>
        <v>0.01184028704</v>
      </c>
      <c r="P818" s="5">
        <f>IFERROR(__xludf.DUMMYFUNCTION("""COMPUTED_VALUE"""),0.0034218684966827325)</f>
        <v>0.003421868497</v>
      </c>
      <c r="Q818" s="5">
        <f>IFERROR(__xludf.DUMMYFUNCTION("""COMPUTED_VALUE"""),0.0049043206018518515)</f>
        <v>0.004904320602</v>
      </c>
      <c r="R818" s="4">
        <f>IFERROR(__xludf.DUMMYFUNCTION("""COMPUTED_VALUE"""),45949.049043209285)</f>
        <v>45949.04904</v>
      </c>
      <c r="S818" s="1" t="b">
        <f>IFERROR(__xludf.DUMMYFUNCTION("""COMPUTED_VALUE"""),TRUE)</f>
        <v>1</v>
      </c>
      <c r="T818" s="1" t="b">
        <f>IFERROR(__xludf.DUMMYFUNCTION("""COMPUTED_VALUE"""),FALSE)</f>
        <v>0</v>
      </c>
      <c r="U818" s="1" t="str">
        <f>IFERROR(__xludf.DUMMYFUNCTION("""COMPUTED_VALUE"""),"VALID")</f>
        <v>VALID</v>
      </c>
      <c r="V818" s="1">
        <f>IFERROR(__xludf.DUMMYFUNCTION("""COMPUTED_VALUE"""),315.0)</f>
        <v>315</v>
      </c>
      <c r="W818" s="1">
        <f>IFERROR(__xludf.DUMMYFUNCTION("""COMPUTED_VALUE"""),373.0)</f>
        <v>373</v>
      </c>
      <c r="X818" s="1">
        <f>IFERROR(__xludf.DUMMYFUNCTION("""COMPUTED_VALUE"""),1346.0)</f>
        <v>1346</v>
      </c>
      <c r="Y818" s="2"/>
      <c r="Z818" s="2"/>
    </row>
    <row r="819">
      <c r="A819" s="1">
        <f>IFERROR(__xludf.DUMMYFUNCTION("""COMPUTED_VALUE"""),818.0)</f>
        <v>818</v>
      </c>
      <c r="B819" s="1">
        <f>IFERROR(__xludf.DUMMYFUNCTION("""COMPUTED_VALUE"""),10725.0)</f>
        <v>10725</v>
      </c>
      <c r="C819" s="2" t="str">
        <f>IFERROR(__xludf.DUMMYFUNCTION("""COMPUTED_VALUE"""),"PACER - RAGA")</f>
        <v>PACER - RAGA</v>
      </c>
      <c r="D819" s="2" t="str">
        <f>IFERROR(__xludf.DUMMYFUNCTION("""COMPUTED_VALUE"""),"10KM OVERALL M")</f>
        <v>10KM OVERALL M</v>
      </c>
      <c r="E819" s="1">
        <f>IFERROR(__xludf.DUMMYFUNCTION("""COMPUTED_VALUE"""),1.0)</f>
        <v>1</v>
      </c>
      <c r="F819" s="1" t="str">
        <f>IFERROR(__xludf.DUMMYFUNCTION("""COMPUTED_VALUE"""),"Male")</f>
        <v>Male</v>
      </c>
      <c r="G819" s="4" t="b">
        <f>IFERROR(__xludf.DUMMYFUNCTION("""COMPUTED_VALUE"""),TRUE)</f>
        <v>1</v>
      </c>
      <c r="H819" s="4" t="b">
        <f>IFERROR(__xludf.DUMMYFUNCTION("""COMPUTED_VALUE"""),FALSE)</f>
        <v>0</v>
      </c>
      <c r="I819" s="4">
        <f>IFERROR(__xludf.DUMMYFUNCTION("""COMPUTED_VALUE"""),0.24646185185185185)</f>
        <v>0.2464618519</v>
      </c>
      <c r="J819" s="4">
        <f>IFERROR(__xludf.DUMMYFUNCTION("""COMPUTED_VALUE"""),45949.257575296535)</f>
        <v>45949.25758</v>
      </c>
      <c r="K819" s="4">
        <f>IFERROR(__xludf.DUMMYFUNCTION("""COMPUTED_VALUE"""),45949.28603714196)</f>
        <v>45949.28604</v>
      </c>
      <c r="L819" s="4">
        <f>IFERROR(__xludf.DUMMYFUNCTION("""COMPUTED_VALUE"""),45949.294317539636)</f>
        <v>45949.29432</v>
      </c>
      <c r="M819" s="1" t="str">
        <f>IFERROR(__xludf.DUMMYFUNCTION("""COMPUTED_VALUE"""),"RFID")</f>
        <v>RFID</v>
      </c>
      <c r="N819" s="5">
        <f>IFERROR(__xludf.DUMMYFUNCTION("""COMPUTED_VALUE"""),0.00444537962962963)</f>
        <v>0.00444537963</v>
      </c>
      <c r="O819" s="5">
        <f>IFERROR(__xludf.DUMMYFUNCTION("""COMPUTED_VALUE"""),0.011384736111111111)</f>
        <v>0.01138473611</v>
      </c>
      <c r="P819" s="5">
        <f>IFERROR(__xludf.DUMMYFUNCTION("""COMPUTED_VALUE"""),0.0034075710603175876)</f>
        <v>0.00340757106</v>
      </c>
      <c r="Q819" s="5">
        <f>IFERROR(__xludf.DUMMYFUNCTION("""COMPUTED_VALUE"""),0.004785568287037037)</f>
        <v>0.004785568287</v>
      </c>
      <c r="R819" s="4">
        <f>IFERROR(__xludf.DUMMYFUNCTION("""COMPUTED_VALUE"""),45949.047855687786)</f>
        <v>45949.04786</v>
      </c>
      <c r="S819" s="1" t="b">
        <f>IFERROR(__xludf.DUMMYFUNCTION("""COMPUTED_VALUE"""),TRUE)</f>
        <v>1</v>
      </c>
      <c r="T819" s="1" t="b">
        <f>IFERROR(__xludf.DUMMYFUNCTION("""COMPUTED_VALUE"""),FALSE)</f>
        <v>0</v>
      </c>
      <c r="U819" s="1" t="str">
        <f>IFERROR(__xludf.DUMMYFUNCTION("""COMPUTED_VALUE"""),"VALID")</f>
        <v>VALID</v>
      </c>
      <c r="V819" s="1">
        <f>IFERROR(__xludf.DUMMYFUNCTION("""COMPUTED_VALUE"""),285.0)</f>
        <v>285</v>
      </c>
      <c r="W819" s="1">
        <f>IFERROR(__xludf.DUMMYFUNCTION("""COMPUTED_VALUE"""),337.0)</f>
        <v>337</v>
      </c>
      <c r="X819" s="1">
        <f>IFERROR(__xludf.DUMMYFUNCTION("""COMPUTED_VALUE"""),1301.0)</f>
        <v>1301</v>
      </c>
      <c r="Y819" s="2"/>
      <c r="Z819" s="2"/>
    </row>
    <row r="820">
      <c r="A820" s="1">
        <f>IFERROR(__xludf.DUMMYFUNCTION("""COMPUTED_VALUE"""),819.0)</f>
        <v>819</v>
      </c>
      <c r="B820" s="1">
        <f>IFERROR(__xludf.DUMMYFUNCTION("""COMPUTED_VALUE"""),10726.0)</f>
        <v>10726</v>
      </c>
      <c r="C820" s="2" t="str">
        <f>IFERROR(__xludf.DUMMYFUNCTION("""COMPUTED_VALUE"""),"PACER - DARMA")</f>
        <v>PACER - DARMA</v>
      </c>
      <c r="D820" s="2" t="str">
        <f>IFERROR(__xludf.DUMMYFUNCTION("""COMPUTED_VALUE"""),"10KM OVERALL M")</f>
        <v>10KM OVERALL M</v>
      </c>
      <c r="E820" s="1">
        <f>IFERROR(__xludf.DUMMYFUNCTION("""COMPUTED_VALUE"""),1.0)</f>
        <v>1</v>
      </c>
      <c r="F820" s="1" t="str">
        <f>IFERROR(__xludf.DUMMYFUNCTION("""COMPUTED_VALUE"""),"Male")</f>
        <v>Male</v>
      </c>
      <c r="G820" s="4" t="str">
        <f>IFERROR(__xludf.DUMMYFUNCTION("""COMPUTED_VALUE"""),"")</f>
        <v/>
      </c>
      <c r="H820" s="4" t="b">
        <f>IFERROR(__xludf.DUMMYFUNCTION("""COMPUTED_VALUE"""),TRUE)</f>
        <v>1</v>
      </c>
      <c r="I820" s="4">
        <f>IFERROR(__xludf.DUMMYFUNCTION("""COMPUTED_VALUE"""),0.24646185185185185)</f>
        <v>0.2464618519</v>
      </c>
      <c r="J820" s="4">
        <f>IFERROR(__xludf.DUMMYFUNCTION("""COMPUTED_VALUE"""),45949.259360046744)</f>
        <v>45949.25936</v>
      </c>
      <c r="K820" s="4">
        <f>IFERROR(__xludf.DUMMYFUNCTION("""COMPUTED_VALUE"""),45949.29176305846)</f>
        <v>45949.29176</v>
      </c>
      <c r="L820" s="4">
        <f>IFERROR(__xludf.DUMMYFUNCTION("""COMPUTED_VALUE"""),45949.30111263626)</f>
        <v>45949.30111</v>
      </c>
      <c r="M820" s="1" t="str">
        <f>IFERROR(__xludf.DUMMYFUNCTION("""COMPUTED_VALUE"""),"RFID")</f>
        <v>RFID</v>
      </c>
      <c r="N820" s="5">
        <f>IFERROR(__xludf.DUMMYFUNCTION("""COMPUTED_VALUE"""),0.005159277777777778)</f>
        <v>0.005159277778</v>
      </c>
      <c r="O820" s="5">
        <f>IFERROR(__xludf.DUMMYFUNCTION("""COMPUTED_VALUE"""),0.012961203703703702)</f>
        <v>0.0129612037</v>
      </c>
      <c r="P820" s="5">
        <f>IFERROR(__xludf.DUMMYFUNCTION("""COMPUTED_VALUE"""),0.0038475628799486735)</f>
        <v>0.00384756288</v>
      </c>
      <c r="Q820" s="5">
        <f>IFERROR(__xludf.DUMMYFUNCTION("""COMPUTED_VALUE"""),0.005465078703703704)</f>
        <v>0.005465078704</v>
      </c>
      <c r="R820" s="4">
        <f>IFERROR(__xludf.DUMMYFUNCTION("""COMPUTED_VALUE"""),45949.05465078441)</f>
        <v>45949.05465</v>
      </c>
      <c r="S820" s="1" t="b">
        <f>IFERROR(__xludf.DUMMYFUNCTION("""COMPUTED_VALUE"""),TRUE)</f>
        <v>1</v>
      </c>
      <c r="T820" s="1" t="b">
        <f>IFERROR(__xludf.DUMMYFUNCTION("""COMPUTED_VALUE"""),FALSE)</f>
        <v>0</v>
      </c>
      <c r="U820" s="1" t="str">
        <f>IFERROR(__xludf.DUMMYFUNCTION("""COMPUTED_VALUE"""),"VALID")</f>
        <v>VALID</v>
      </c>
      <c r="V820" s="1">
        <f>IFERROR(__xludf.DUMMYFUNCTION("""COMPUTED_VALUE"""),453.0)</f>
        <v>453</v>
      </c>
      <c r="W820" s="1">
        <f>IFERROR(__xludf.DUMMYFUNCTION("""COMPUTED_VALUE"""),541.0)</f>
        <v>541</v>
      </c>
      <c r="X820" s="1">
        <f>IFERROR(__xludf.DUMMYFUNCTION("""COMPUTED_VALUE"""),1515.0)</f>
        <v>1515</v>
      </c>
      <c r="Y820" s="2"/>
      <c r="Z820" s="2"/>
    </row>
    <row r="821">
      <c r="A821" s="1">
        <f>IFERROR(__xludf.DUMMYFUNCTION("""COMPUTED_VALUE"""),820.0)</f>
        <v>820</v>
      </c>
      <c r="B821" s="1">
        <f>IFERROR(__xludf.DUMMYFUNCTION("""COMPUTED_VALUE"""),10727.0)</f>
        <v>10727</v>
      </c>
      <c r="C821" s="2" t="str">
        <f>IFERROR(__xludf.DUMMYFUNCTION("""COMPUTED_VALUE"""),"WAHID QADIM RABAN")</f>
        <v>WAHID QADIM RABAN</v>
      </c>
      <c r="D821" s="2" t="str">
        <f>IFERROR(__xludf.DUMMYFUNCTION("""COMPUTED_VALUE"""),"10KM OVERALL M")</f>
        <v>10KM OVERALL M</v>
      </c>
      <c r="E821" s="1">
        <f>IFERROR(__xludf.DUMMYFUNCTION("""COMPUTED_VALUE"""),1.0)</f>
        <v>1</v>
      </c>
      <c r="F821" s="1" t="str">
        <f>IFERROR(__xludf.DUMMYFUNCTION("""COMPUTED_VALUE"""),"Male")</f>
        <v>Male</v>
      </c>
      <c r="G821" s="4" t="b">
        <f>IFERROR(__xludf.DUMMYFUNCTION("""COMPUTED_VALUE"""),TRUE)</f>
        <v>1</v>
      </c>
      <c r="H821" s="4" t="b">
        <f>IFERROR(__xludf.DUMMYFUNCTION("""COMPUTED_VALUE"""),TRUE)</f>
        <v>1</v>
      </c>
      <c r="I821" s="4">
        <f>IFERROR(__xludf.DUMMYFUNCTION("""COMPUTED_VALUE"""),0.24646185185185185)</f>
        <v>0.2464618519</v>
      </c>
      <c r="J821" s="4">
        <f>IFERROR(__xludf.DUMMYFUNCTION("""COMPUTED_VALUE"""),45949.26121771768)</f>
        <v>45949.26122</v>
      </c>
      <c r="K821" s="4">
        <f>IFERROR(__xludf.DUMMYFUNCTION("""COMPUTED_VALUE"""),45949.29313105843)</f>
        <v>45949.29313</v>
      </c>
      <c r="L821" s="4">
        <f>IFERROR(__xludf.DUMMYFUNCTION("""COMPUTED_VALUE"""),45949.302918233974)</f>
        <v>45949.30292</v>
      </c>
      <c r="M821" s="1" t="str">
        <f>IFERROR(__xludf.DUMMYFUNCTION("""COMPUTED_VALUE"""),"RFID")</f>
        <v>RFID</v>
      </c>
      <c r="N821" s="5">
        <f>IFERROR(__xludf.DUMMYFUNCTION("""COMPUTED_VALUE"""),0.005902347222222222)</f>
        <v>0.005902347222</v>
      </c>
      <c r="O821" s="5">
        <f>IFERROR(__xludf.DUMMYFUNCTION("""COMPUTED_VALUE"""),0.012765337962962964)</f>
        <v>0.01276533796</v>
      </c>
      <c r="P821" s="5">
        <f>IFERROR(__xludf.DUMMYFUNCTION("""COMPUTED_VALUE"""),0.004027644256149023)</f>
        <v>0.004027644256</v>
      </c>
      <c r="Q821" s="5">
        <f>IFERROR(__xludf.DUMMYFUNCTION("""COMPUTED_VALUE"""),0.0056456377314814815)</f>
        <v>0.005645637731</v>
      </c>
      <c r="R821" s="4">
        <f>IFERROR(__xludf.DUMMYFUNCTION("""COMPUTED_VALUE"""),45949.056456382124)</f>
        <v>45949.05646</v>
      </c>
      <c r="S821" s="1" t="b">
        <f>IFERROR(__xludf.DUMMYFUNCTION("""COMPUTED_VALUE"""),TRUE)</f>
        <v>1</v>
      </c>
      <c r="T821" s="1" t="b">
        <f>IFERROR(__xludf.DUMMYFUNCTION("""COMPUTED_VALUE"""),FALSE)</f>
        <v>0</v>
      </c>
      <c r="U821" s="1" t="str">
        <f>IFERROR(__xludf.DUMMYFUNCTION("""COMPUTED_VALUE"""),"VALID")</f>
        <v>VALID</v>
      </c>
      <c r="V821" s="1">
        <f>IFERROR(__xludf.DUMMYFUNCTION("""COMPUTED_VALUE"""),487.0)</f>
        <v>487</v>
      </c>
      <c r="W821" s="1">
        <f>IFERROR(__xludf.DUMMYFUNCTION("""COMPUTED_VALUE"""),583.0)</f>
        <v>583</v>
      </c>
      <c r="X821" s="1">
        <f>IFERROR(__xludf.DUMMYFUNCTION("""COMPUTED_VALUE"""),1555.0)</f>
        <v>1555</v>
      </c>
      <c r="Y821" s="2"/>
      <c r="Z821" s="2"/>
    </row>
    <row r="822">
      <c r="A822" s="1">
        <f>IFERROR(__xludf.DUMMYFUNCTION("""COMPUTED_VALUE"""),821.0)</f>
        <v>821</v>
      </c>
      <c r="B822" s="1">
        <f>IFERROR(__xludf.DUMMYFUNCTION("""COMPUTED_VALUE"""),10728.0)</f>
        <v>10728</v>
      </c>
      <c r="C822" s="2" t="str">
        <f>IFERROR(__xludf.DUMMYFUNCTION("""COMPUTED_VALUE"""),"YOKO")</f>
        <v>YOKO</v>
      </c>
      <c r="D822" s="2" t="str">
        <f>IFERROR(__xludf.DUMMYFUNCTION("""COMPUTED_VALUE"""),"10KM OVERALL M")</f>
        <v>10KM OVERALL M</v>
      </c>
      <c r="E822" s="1">
        <f>IFERROR(__xludf.DUMMYFUNCTION("""COMPUTED_VALUE"""),1.0)</f>
        <v>1</v>
      </c>
      <c r="F822" s="1" t="str">
        <f>IFERROR(__xludf.DUMMYFUNCTION("""COMPUTED_VALUE"""),"Male")</f>
        <v>Male</v>
      </c>
      <c r="G822" s="4" t="str">
        <f>IFERROR(__xludf.DUMMYFUNCTION("""COMPUTED_VALUE"""),"")</f>
        <v/>
      </c>
      <c r="H822" s="4" t="b">
        <f>IFERROR(__xludf.DUMMYFUNCTION("""COMPUTED_VALUE"""),FALSE)</f>
        <v>0</v>
      </c>
      <c r="I822" s="4">
        <f>IFERROR(__xludf.DUMMYFUNCTION("""COMPUTED_VALUE"""),0.24646185185185185)</f>
        <v>0.2464618519</v>
      </c>
      <c r="J822" s="4" t="str">
        <f>IFERROR(__xludf.DUMMYFUNCTION("""COMPUTED_VALUE"""),"")</f>
        <v/>
      </c>
      <c r="K822" s="4" t="str">
        <f>IFERROR(__xludf.DUMMYFUNCTION("""COMPUTED_VALUE"""),"")</f>
        <v/>
      </c>
      <c r="L822" s="4" t="str">
        <f>IFERROR(__xludf.DUMMYFUNCTION("""COMPUTED_VALUE"""),"")</f>
        <v/>
      </c>
      <c r="M822" s="1" t="str">
        <f>IFERROR(__xludf.DUMMYFUNCTION("""COMPUTED_VALUE"""),"RFID")</f>
        <v>RFID</v>
      </c>
      <c r="N822" s="5" t="str">
        <f>IFERROR(__xludf.DUMMYFUNCTION("""COMPUTED_VALUE"""),"")</f>
        <v/>
      </c>
      <c r="O822" s="5" t="str">
        <f>IFERROR(__xludf.DUMMYFUNCTION("""COMPUTED_VALUE"""),"")</f>
        <v/>
      </c>
      <c r="P822" s="5" t="str">
        <f>IFERROR(__xludf.DUMMYFUNCTION("""COMPUTED_VALUE"""),"")</f>
        <v/>
      </c>
      <c r="Q822" s="5" t="str">
        <f>IFERROR(__xludf.DUMMYFUNCTION("""COMPUTED_VALUE"""),"")</f>
        <v/>
      </c>
      <c r="R822" s="4" t="str">
        <f>IFERROR(__xludf.DUMMYFUNCTION("""COMPUTED_VALUE"""),"")</f>
        <v/>
      </c>
      <c r="S822" s="1" t="b">
        <f>IFERROR(__xludf.DUMMYFUNCTION("""COMPUTED_VALUE"""),FALSE)</f>
        <v>0</v>
      </c>
      <c r="T822" s="1" t="b">
        <f>IFERROR(__xludf.DUMMYFUNCTION("""COMPUTED_VALUE"""),FALSE)</f>
        <v>0</v>
      </c>
      <c r="U822" s="1" t="str">
        <f>IFERROR(__xludf.DUMMYFUNCTION("""COMPUTED_VALUE"""),"DSQ")</f>
        <v>DSQ</v>
      </c>
      <c r="V822" s="1" t="str">
        <f>IFERROR(__xludf.DUMMYFUNCTION("""COMPUTED_VALUE"""),"DSQ")</f>
        <v>DSQ</v>
      </c>
      <c r="W822" s="1" t="str">
        <f>IFERROR(__xludf.DUMMYFUNCTION("""COMPUTED_VALUE"""),"DSQ")</f>
        <v>DSQ</v>
      </c>
      <c r="X822" s="1" t="str">
        <f>IFERROR(__xludf.DUMMYFUNCTION("""COMPUTED_VALUE"""),"DSQ")</f>
        <v>DSQ</v>
      </c>
      <c r="Y822" s="2"/>
      <c r="Z822" s="2" t="str">
        <f>IFERROR(__xludf.DUMMYFUNCTION("""COMPUTED_VALUE"""),"")</f>
        <v/>
      </c>
    </row>
    <row r="823">
      <c r="A823" s="1">
        <f>IFERROR(__xludf.DUMMYFUNCTION("""COMPUTED_VALUE"""),822.0)</f>
        <v>822</v>
      </c>
      <c r="B823" s="1">
        <f>IFERROR(__xludf.DUMMYFUNCTION("""COMPUTED_VALUE"""),10729.0)</f>
        <v>10729</v>
      </c>
      <c r="C823" s="2" t="str">
        <f>IFERROR(__xludf.DUMMYFUNCTION("""COMPUTED_VALUE"""),"ANDRI SUMADIO")</f>
        <v>ANDRI SUMADIO</v>
      </c>
      <c r="D823" s="2" t="str">
        <f>IFERROR(__xludf.DUMMYFUNCTION("""COMPUTED_VALUE"""),"10KM OVERALL M")</f>
        <v>10KM OVERALL M</v>
      </c>
      <c r="E823" s="1">
        <f>IFERROR(__xludf.DUMMYFUNCTION("""COMPUTED_VALUE"""),1.0)</f>
        <v>1</v>
      </c>
      <c r="F823" s="1" t="str">
        <f>IFERROR(__xludf.DUMMYFUNCTION("""COMPUTED_VALUE"""),"Male")</f>
        <v>Male</v>
      </c>
      <c r="G823" s="4" t="b">
        <f>IFERROR(__xludf.DUMMYFUNCTION("""COMPUTED_VALUE"""),TRUE)</f>
        <v>1</v>
      </c>
      <c r="H823" s="4" t="b">
        <f>IFERROR(__xludf.DUMMYFUNCTION("""COMPUTED_VALUE"""),TRUE)</f>
        <v>1</v>
      </c>
      <c r="I823" s="4">
        <f>IFERROR(__xludf.DUMMYFUNCTION("""COMPUTED_VALUE"""),0.24646185185185185)</f>
        <v>0.2464618519</v>
      </c>
      <c r="J823" s="4">
        <f>IFERROR(__xludf.DUMMYFUNCTION("""COMPUTED_VALUE"""),45949.25799543722)</f>
        <v>45949.258</v>
      </c>
      <c r="K823" s="4">
        <f>IFERROR(__xludf.DUMMYFUNCTION("""COMPUTED_VALUE"""),45949.29073526246)</f>
        <v>45949.29074</v>
      </c>
      <c r="L823" s="4">
        <f>IFERROR(__xludf.DUMMYFUNCTION("""COMPUTED_VALUE"""),45949.301182121824)</f>
        <v>45949.30118</v>
      </c>
      <c r="M823" s="1" t="str">
        <f>IFERROR(__xludf.DUMMYFUNCTION("""COMPUTED_VALUE"""),"RFID")</f>
        <v>RFID</v>
      </c>
      <c r="N823" s="5">
        <f>IFERROR(__xludf.DUMMYFUNCTION("""COMPUTED_VALUE"""),0.004613435185185185)</f>
        <v>0.004613435185</v>
      </c>
      <c r="O823" s="5">
        <f>IFERROR(__xludf.DUMMYFUNCTION("""COMPUTED_VALUE"""),0.013095930555555555)</f>
        <v>0.01309593056</v>
      </c>
      <c r="P823" s="5">
        <f>IFERROR(__xludf.DUMMYFUNCTION("""COMPUTED_VALUE"""),0.004299119079663751)</f>
        <v>0.00429911908</v>
      </c>
      <c r="Q823" s="5">
        <f>IFERROR(__xludf.DUMMYFUNCTION("""COMPUTED_VALUE"""),0.00547202662037037)</f>
        <v>0.00547202662</v>
      </c>
      <c r="R823" s="4">
        <f>IFERROR(__xludf.DUMMYFUNCTION("""COMPUTED_VALUE"""),45949.054720269974)</f>
        <v>45949.05472</v>
      </c>
      <c r="S823" s="1" t="b">
        <f>IFERROR(__xludf.DUMMYFUNCTION("""COMPUTED_VALUE"""),TRUE)</f>
        <v>1</v>
      </c>
      <c r="T823" s="1" t="b">
        <f>IFERROR(__xludf.DUMMYFUNCTION("""COMPUTED_VALUE"""),FALSE)</f>
        <v>0</v>
      </c>
      <c r="U823" s="1" t="str">
        <f>IFERROR(__xludf.DUMMYFUNCTION("""COMPUTED_VALUE"""),"VALID")</f>
        <v>VALID</v>
      </c>
      <c r="V823" s="1">
        <f>IFERROR(__xludf.DUMMYFUNCTION("""COMPUTED_VALUE"""),457.0)</f>
        <v>457</v>
      </c>
      <c r="W823" s="1">
        <f>IFERROR(__xludf.DUMMYFUNCTION("""COMPUTED_VALUE"""),546.0)</f>
        <v>546</v>
      </c>
      <c r="X823" s="1">
        <f>IFERROR(__xludf.DUMMYFUNCTION("""COMPUTED_VALUE"""),1520.0)</f>
        <v>1520</v>
      </c>
      <c r="Y823" s="2"/>
      <c r="Z823" s="2"/>
    </row>
    <row r="824">
      <c r="A824" s="1">
        <f>IFERROR(__xludf.DUMMYFUNCTION("""COMPUTED_VALUE"""),823.0)</f>
        <v>823</v>
      </c>
      <c r="B824" s="1">
        <f>IFERROR(__xludf.DUMMYFUNCTION("""COMPUTED_VALUE"""),10730.0)</f>
        <v>10730</v>
      </c>
      <c r="C824" s="2" t="str">
        <f>IFERROR(__xludf.DUMMYFUNCTION("""COMPUTED_VALUE"""),"FATONI")</f>
        <v>FATONI</v>
      </c>
      <c r="D824" s="2" t="str">
        <f>IFERROR(__xludf.DUMMYFUNCTION("""COMPUTED_VALUE"""),"10KM OVERALL M")</f>
        <v>10KM OVERALL M</v>
      </c>
      <c r="E824" s="1">
        <f>IFERROR(__xludf.DUMMYFUNCTION("""COMPUTED_VALUE"""),1.0)</f>
        <v>1</v>
      </c>
      <c r="F824" s="1" t="str">
        <f>IFERROR(__xludf.DUMMYFUNCTION("""COMPUTED_VALUE"""),"Male")</f>
        <v>Male</v>
      </c>
      <c r="G824" s="4" t="b">
        <f>IFERROR(__xludf.DUMMYFUNCTION("""COMPUTED_VALUE"""),TRUE)</f>
        <v>1</v>
      </c>
      <c r="H824" s="4" t="b">
        <f>IFERROR(__xludf.DUMMYFUNCTION("""COMPUTED_VALUE"""),TRUE)</f>
        <v>1</v>
      </c>
      <c r="I824" s="4">
        <f>IFERROR(__xludf.DUMMYFUNCTION("""COMPUTED_VALUE"""),0.24646185185185185)</f>
        <v>0.2464618519</v>
      </c>
      <c r="J824" s="4">
        <f>IFERROR(__xludf.DUMMYFUNCTION("""COMPUTED_VALUE"""),45949.259797593404)</f>
        <v>45949.2598</v>
      </c>
      <c r="K824" s="4">
        <f>IFERROR(__xludf.DUMMYFUNCTION("""COMPUTED_VALUE"""),45949.28480449938)</f>
        <v>45949.2848</v>
      </c>
      <c r="L824" s="4">
        <f>IFERROR(__xludf.DUMMYFUNCTION("""COMPUTED_VALUE"""),45949.29157795279)</f>
        <v>45949.29158</v>
      </c>
      <c r="M824" s="1" t="str">
        <f>IFERROR(__xludf.DUMMYFUNCTION("""COMPUTED_VALUE"""),"RFID")</f>
        <v>RFID</v>
      </c>
      <c r="N824" s="5">
        <f>IFERROR(__xludf.DUMMYFUNCTION("""COMPUTED_VALUE"""),0.005334296296296297)</f>
        <v>0.005334296296</v>
      </c>
      <c r="O824" s="5">
        <f>IFERROR(__xludf.DUMMYFUNCTION("""COMPUTED_VALUE"""),0.01000276388888889)</f>
        <v>0.01000276389</v>
      </c>
      <c r="P824" s="5">
        <f>IFERROR(__xludf.DUMMYFUNCTION("""COMPUTED_VALUE"""),0.002787429386646383)</f>
        <v>0.002787429387</v>
      </c>
      <c r="Q824" s="5">
        <f>IFERROR(__xludf.DUMMYFUNCTION("""COMPUTED_VALUE"""),0.004511609953703704)</f>
        <v>0.004511609954</v>
      </c>
      <c r="R824" s="4">
        <f>IFERROR(__xludf.DUMMYFUNCTION("""COMPUTED_VALUE"""),45949.04511610094)</f>
        <v>45949.04512</v>
      </c>
      <c r="S824" s="1" t="b">
        <f>IFERROR(__xludf.DUMMYFUNCTION("""COMPUTED_VALUE"""),TRUE)</f>
        <v>1</v>
      </c>
      <c r="T824" s="1" t="b">
        <f>IFERROR(__xludf.DUMMYFUNCTION("""COMPUTED_VALUE"""),FALSE)</f>
        <v>0</v>
      </c>
      <c r="U824" s="1" t="str">
        <f>IFERROR(__xludf.DUMMYFUNCTION("""COMPUTED_VALUE"""),"VALID")</f>
        <v>VALID</v>
      </c>
      <c r="V824" s="1">
        <f>IFERROR(__xludf.DUMMYFUNCTION("""COMPUTED_VALUE"""),218.0)</f>
        <v>218</v>
      </c>
      <c r="W824" s="1">
        <f>IFERROR(__xludf.DUMMYFUNCTION("""COMPUTED_VALUE"""),263.0)</f>
        <v>263</v>
      </c>
      <c r="X824" s="1">
        <f>IFERROR(__xludf.DUMMYFUNCTION("""COMPUTED_VALUE"""),1202.0)</f>
        <v>1202</v>
      </c>
      <c r="Y824" s="2"/>
      <c r="Z824" s="2"/>
    </row>
    <row r="825">
      <c r="A825" s="1">
        <f>IFERROR(__xludf.DUMMYFUNCTION("""COMPUTED_VALUE"""),824.0)</f>
        <v>824</v>
      </c>
      <c r="B825" s="1">
        <f>IFERROR(__xludf.DUMMYFUNCTION("""COMPUTED_VALUE"""),10731.0)</f>
        <v>10731</v>
      </c>
      <c r="C825" s="2" t="str">
        <f>IFERROR(__xludf.DUMMYFUNCTION("""COMPUTED_VALUE"""),"DESI APRIANI")</f>
        <v>DESI APRIANI</v>
      </c>
      <c r="D825" s="2" t="str">
        <f>IFERROR(__xludf.DUMMYFUNCTION("""COMPUTED_VALUE"""),"10KM OVERALL M")</f>
        <v>10KM OVERALL M</v>
      </c>
      <c r="E825" s="1">
        <f>IFERROR(__xludf.DUMMYFUNCTION("""COMPUTED_VALUE"""),1.0)</f>
        <v>1</v>
      </c>
      <c r="F825" s="1" t="str">
        <f>IFERROR(__xludf.DUMMYFUNCTION("""COMPUTED_VALUE"""),"Female")</f>
        <v>Female</v>
      </c>
      <c r="G825" s="4" t="b">
        <f>IFERROR(__xludf.DUMMYFUNCTION("""COMPUTED_VALUE"""),TRUE)</f>
        <v>1</v>
      </c>
      <c r="H825" s="4" t="b">
        <f>IFERROR(__xludf.DUMMYFUNCTION("""COMPUTED_VALUE"""),TRUE)</f>
        <v>1</v>
      </c>
      <c r="I825" s="4">
        <f>IFERROR(__xludf.DUMMYFUNCTION("""COMPUTED_VALUE"""),0.24646185185185185)</f>
        <v>0.2464618519</v>
      </c>
      <c r="J825" s="4">
        <f>IFERROR(__xludf.DUMMYFUNCTION("""COMPUTED_VALUE"""),45949.26064826584)</f>
        <v>45949.26065</v>
      </c>
      <c r="K825" s="4">
        <f>IFERROR(__xludf.DUMMYFUNCTION("""COMPUTED_VALUE"""),45949.30171126222)</f>
        <v>45949.30171</v>
      </c>
      <c r="L825" s="4">
        <f>IFERROR(__xludf.DUMMYFUNCTION("""COMPUTED_VALUE"""),45949.31582101315)</f>
        <v>45949.31582</v>
      </c>
      <c r="M825" s="1" t="str">
        <f>IFERROR(__xludf.DUMMYFUNCTION("""COMPUTED_VALUE"""),"RFID")</f>
        <v>RFID</v>
      </c>
      <c r="N825" s="5">
        <f>IFERROR(__xludf.DUMMYFUNCTION("""COMPUTED_VALUE"""),0.005674564814814815)</f>
        <v>0.005674564815</v>
      </c>
      <c r="O825" s="5">
        <f>IFERROR(__xludf.DUMMYFUNCTION("""COMPUTED_VALUE"""),0.016425199074074075)</f>
        <v>0.01642519907</v>
      </c>
      <c r="P825" s="5">
        <f>IFERROR(__xludf.DUMMYFUNCTION("""COMPUTED_VALUE"""),0.005806481865485708)</f>
        <v>0.005806481865</v>
      </c>
      <c r="Q825" s="5">
        <f>IFERROR(__xludf.DUMMYFUNCTION("""COMPUTED_VALUE"""),0.006935916666666667)</f>
        <v>0.006935916667</v>
      </c>
      <c r="R825" s="4">
        <f>IFERROR(__xludf.DUMMYFUNCTION("""COMPUTED_VALUE"""),45949.0693591613)</f>
        <v>45949.06936</v>
      </c>
      <c r="S825" s="1" t="b">
        <f>IFERROR(__xludf.DUMMYFUNCTION("""COMPUTED_VALUE"""),TRUE)</f>
        <v>1</v>
      </c>
      <c r="T825" s="1" t="b">
        <f>IFERROR(__xludf.DUMMYFUNCTION("""COMPUTED_VALUE"""),FALSE)</f>
        <v>0</v>
      </c>
      <c r="U825" s="1" t="str">
        <f>IFERROR(__xludf.DUMMYFUNCTION("""COMPUTED_VALUE"""),"VALID")</f>
        <v>VALID</v>
      </c>
      <c r="V825" s="1">
        <f>IFERROR(__xludf.DUMMYFUNCTION("""COMPUTED_VALUE"""),592.0)</f>
        <v>592</v>
      </c>
      <c r="W825" s="1">
        <f>IFERROR(__xludf.DUMMYFUNCTION("""COMPUTED_VALUE"""),737.0)</f>
        <v>737</v>
      </c>
      <c r="X825" s="1">
        <f>IFERROR(__xludf.DUMMYFUNCTION("""COMPUTED_VALUE"""),681.0)</f>
        <v>681</v>
      </c>
      <c r="Y825" s="2"/>
      <c r="Z825" s="2"/>
    </row>
    <row r="826">
      <c r="A826" s="1">
        <f>IFERROR(__xludf.DUMMYFUNCTION("""COMPUTED_VALUE"""),825.0)</f>
        <v>825</v>
      </c>
      <c r="B826" s="1">
        <f>IFERROR(__xludf.DUMMYFUNCTION("""COMPUTED_VALUE"""),10732.0)</f>
        <v>10732</v>
      </c>
      <c r="C826" s="2" t="str">
        <f>IFERROR(__xludf.DUMMYFUNCTION("""COMPUTED_VALUE"""),"MARTIO ERWA PRAYUDA")</f>
        <v>MARTIO ERWA PRAYUDA</v>
      </c>
      <c r="D826" s="2" t="str">
        <f>IFERROR(__xludf.DUMMYFUNCTION("""COMPUTED_VALUE"""),"10KM OVERALL M")</f>
        <v>10KM OVERALL M</v>
      </c>
      <c r="E826" s="1">
        <f>IFERROR(__xludf.DUMMYFUNCTION("""COMPUTED_VALUE"""),1.0)</f>
        <v>1</v>
      </c>
      <c r="F826" s="1" t="str">
        <f>IFERROR(__xludf.DUMMYFUNCTION("""COMPUTED_VALUE"""),"Male")</f>
        <v>Male</v>
      </c>
      <c r="G826" s="4" t="b">
        <f>IFERROR(__xludf.DUMMYFUNCTION("""COMPUTED_VALUE"""),TRUE)</f>
        <v>1</v>
      </c>
      <c r="H826" s="4" t="b">
        <f>IFERROR(__xludf.DUMMYFUNCTION("""COMPUTED_VALUE"""),TRUE)</f>
        <v>1</v>
      </c>
      <c r="I826" s="4">
        <f>IFERROR(__xludf.DUMMYFUNCTION("""COMPUTED_VALUE"""),0.24646185185185185)</f>
        <v>0.2464618519</v>
      </c>
      <c r="J826" s="4">
        <f>IFERROR(__xludf.DUMMYFUNCTION("""COMPUTED_VALUE"""),45949.25942948759)</f>
        <v>45949.25943</v>
      </c>
      <c r="K826" s="4">
        <f>IFERROR(__xludf.DUMMYFUNCTION("""COMPUTED_VALUE"""),45949.292933213495)</f>
        <v>45949.29293</v>
      </c>
      <c r="L826" s="4">
        <f>IFERROR(__xludf.DUMMYFUNCTION("""COMPUTED_VALUE"""),45949.30229670587)</f>
        <v>45949.3023</v>
      </c>
      <c r="M826" s="1" t="str">
        <f>IFERROR(__xludf.DUMMYFUNCTION("""COMPUTED_VALUE"""),"RFID")</f>
        <v>RFID</v>
      </c>
      <c r="N826" s="5">
        <f>IFERROR(__xludf.DUMMYFUNCTION("""COMPUTED_VALUE"""),0.005187055555555556)</f>
        <v>0.005187055556</v>
      </c>
      <c r="O826" s="5">
        <f>IFERROR(__xludf.DUMMYFUNCTION("""COMPUTED_VALUE"""),0.013401490740740743)</f>
        <v>0.01340149074</v>
      </c>
      <c r="P826" s="5">
        <f>IFERROR(__xludf.DUMMYFUNCTION("""COMPUTED_VALUE"""),0.0038532890436199295)</f>
        <v>0.003853289044</v>
      </c>
      <c r="Q826" s="5">
        <f>IFERROR(__xludf.DUMMYFUNCTION("""COMPUTED_VALUE"""),0.005583484953703704)</f>
        <v>0.005583484954</v>
      </c>
      <c r="R826" s="4">
        <f>IFERROR(__xludf.DUMMYFUNCTION("""COMPUTED_VALUE"""),45949.05583485402)</f>
        <v>45949.05583</v>
      </c>
      <c r="S826" s="1" t="b">
        <f>IFERROR(__xludf.DUMMYFUNCTION("""COMPUTED_VALUE"""),TRUE)</f>
        <v>1</v>
      </c>
      <c r="T826" s="1" t="b">
        <f>IFERROR(__xludf.DUMMYFUNCTION("""COMPUTED_VALUE"""),FALSE)</f>
        <v>0</v>
      </c>
      <c r="U826" s="1" t="str">
        <f>IFERROR(__xludf.DUMMYFUNCTION("""COMPUTED_VALUE"""),"VALID")</f>
        <v>VALID</v>
      </c>
      <c r="V826" s="1">
        <f>IFERROR(__xludf.DUMMYFUNCTION("""COMPUTED_VALUE"""),480.0)</f>
        <v>480</v>
      </c>
      <c r="W826" s="1">
        <f>IFERROR(__xludf.DUMMYFUNCTION("""COMPUTED_VALUE"""),574.0)</f>
        <v>574</v>
      </c>
      <c r="X826" s="1">
        <f>IFERROR(__xludf.DUMMYFUNCTION("""COMPUTED_VALUE"""),1546.0)</f>
        <v>1546</v>
      </c>
      <c r="Y826" s="2"/>
      <c r="Z826" s="2"/>
    </row>
    <row r="827">
      <c r="A827" s="1">
        <f>IFERROR(__xludf.DUMMYFUNCTION("""COMPUTED_VALUE"""),826.0)</f>
        <v>826</v>
      </c>
      <c r="B827" s="1">
        <f>IFERROR(__xludf.DUMMYFUNCTION("""COMPUTED_VALUE"""),10733.0)</f>
        <v>10733</v>
      </c>
      <c r="C827" s="2" t="str">
        <f>IFERROR(__xludf.DUMMYFUNCTION("""COMPUTED_VALUE"""),"Mangihut Bernard Sinaga")</f>
        <v>Mangihut Bernard Sinaga</v>
      </c>
      <c r="D827" s="2" t="str">
        <f>IFERROR(__xludf.DUMMYFUNCTION("""COMPUTED_VALUE"""),"10KM OVERALL M")</f>
        <v>10KM OVERALL M</v>
      </c>
      <c r="E827" s="1">
        <f>IFERROR(__xludf.DUMMYFUNCTION("""COMPUTED_VALUE"""),1.0)</f>
        <v>1</v>
      </c>
      <c r="F827" s="1" t="str">
        <f>IFERROR(__xludf.DUMMYFUNCTION("""COMPUTED_VALUE"""),"Female")</f>
        <v>Female</v>
      </c>
      <c r="G827" s="4" t="b">
        <f>IFERROR(__xludf.DUMMYFUNCTION("""COMPUTED_VALUE"""),TRUE)</f>
        <v>1</v>
      </c>
      <c r="H827" s="4" t="b">
        <f>IFERROR(__xludf.DUMMYFUNCTION("""COMPUTED_VALUE"""),TRUE)</f>
        <v>1</v>
      </c>
      <c r="I827" s="4">
        <f>IFERROR(__xludf.DUMMYFUNCTION("""COMPUTED_VALUE"""),0.24646185185185185)</f>
        <v>0.2464618519</v>
      </c>
      <c r="J827" s="4">
        <f>IFERROR(__xludf.DUMMYFUNCTION("""COMPUTED_VALUE"""),45949.262009327766)</f>
        <v>45949.26201</v>
      </c>
      <c r="K827" s="4">
        <f>IFERROR(__xludf.DUMMYFUNCTION("""COMPUTED_VALUE"""),45949.30273875213)</f>
        <v>45949.30274</v>
      </c>
      <c r="L827" s="4">
        <f>IFERROR(__xludf.DUMMYFUNCTION("""COMPUTED_VALUE"""),45949.31389387097)</f>
        <v>45949.31389</v>
      </c>
      <c r="M827" s="1" t="str">
        <f>IFERROR(__xludf.DUMMYFUNCTION("""COMPUTED_VALUE"""),"RFID")</f>
        <v>RFID</v>
      </c>
      <c r="N827" s="5">
        <f>IFERROR(__xludf.DUMMYFUNCTION("""COMPUTED_VALUE"""),0.00621899074074074)</f>
        <v>0.006218990741</v>
      </c>
      <c r="O827" s="5">
        <f>IFERROR(__xludf.DUMMYFUNCTION("""COMPUTED_VALUE"""),0.016291768518518518)</f>
        <v>0.01629176852</v>
      </c>
      <c r="P827" s="5">
        <f>IFERROR(__xludf.DUMMYFUNCTION("""COMPUTED_VALUE"""),0.004590583884098793)</f>
        <v>0.004590583884</v>
      </c>
      <c r="Q827" s="5">
        <f>IFERROR(__xludf.DUMMYFUNCTION("""COMPUTED_VALUE"""),0.006743201388888889)</f>
        <v>0.006743201389</v>
      </c>
      <c r="R827" s="4">
        <f>IFERROR(__xludf.DUMMYFUNCTION("""COMPUTED_VALUE"""),45949.06743201912)</f>
        <v>45949.06743</v>
      </c>
      <c r="S827" s="1" t="b">
        <f>IFERROR(__xludf.DUMMYFUNCTION("""COMPUTED_VALUE"""),TRUE)</f>
        <v>1</v>
      </c>
      <c r="T827" s="1" t="b">
        <f>IFERROR(__xludf.DUMMYFUNCTION("""COMPUTED_VALUE"""),FALSE)</f>
        <v>0</v>
      </c>
      <c r="U827" s="1" t="str">
        <f>IFERROR(__xludf.DUMMYFUNCTION("""COMPUTED_VALUE"""),"VALID")</f>
        <v>VALID</v>
      </c>
      <c r="V827" s="1">
        <f>IFERROR(__xludf.DUMMYFUNCTION("""COMPUTED_VALUE"""),582.0)</f>
        <v>582</v>
      </c>
      <c r="W827" s="1">
        <f>IFERROR(__xludf.DUMMYFUNCTION("""COMPUTED_VALUE"""),722.0)</f>
        <v>722</v>
      </c>
      <c r="X827" s="1">
        <f>IFERROR(__xludf.DUMMYFUNCTION("""COMPUTED_VALUE"""),675.0)</f>
        <v>675</v>
      </c>
      <c r="Y827" s="2"/>
      <c r="Z827" s="2"/>
    </row>
    <row r="828">
      <c r="A828" s="1">
        <f>IFERROR(__xludf.DUMMYFUNCTION("""COMPUTED_VALUE"""),827.0)</f>
        <v>827</v>
      </c>
      <c r="B828" s="1">
        <f>IFERROR(__xludf.DUMMYFUNCTION("""COMPUTED_VALUE"""),10734.0)</f>
        <v>10734</v>
      </c>
      <c r="C828" s="2" t="str">
        <f>IFERROR(__xludf.DUMMYFUNCTION("""COMPUTED_VALUE"""),"Naomita Salsavilla Nova Regiana")</f>
        <v>Naomita Salsavilla Nova Regiana</v>
      </c>
      <c r="D828" s="2" t="str">
        <f>IFERROR(__xludf.DUMMYFUNCTION("""COMPUTED_VALUE"""),"10KM OVERALL M")</f>
        <v>10KM OVERALL M</v>
      </c>
      <c r="E828" s="1">
        <f>IFERROR(__xludf.DUMMYFUNCTION("""COMPUTED_VALUE"""),1.0)</f>
        <v>1</v>
      </c>
      <c r="F828" s="1" t="str">
        <f>IFERROR(__xludf.DUMMYFUNCTION("""COMPUTED_VALUE"""),"Female")</f>
        <v>Female</v>
      </c>
      <c r="G828" s="4" t="b">
        <f>IFERROR(__xludf.DUMMYFUNCTION("""COMPUTED_VALUE"""),TRUE)</f>
        <v>1</v>
      </c>
      <c r="H828" s="4" t="b">
        <f>IFERROR(__xludf.DUMMYFUNCTION("""COMPUTED_VALUE"""),TRUE)</f>
        <v>1</v>
      </c>
      <c r="I828" s="4">
        <f>IFERROR(__xludf.DUMMYFUNCTION("""COMPUTED_VALUE"""),0.24646185185185185)</f>
        <v>0.2464618519</v>
      </c>
      <c r="J828" s="4">
        <f>IFERROR(__xludf.DUMMYFUNCTION("""COMPUTED_VALUE"""),45949.257655160436)</f>
        <v>45949.25766</v>
      </c>
      <c r="K828" s="4">
        <f>IFERROR(__xludf.DUMMYFUNCTION("""COMPUTED_VALUE"""),45949.28651979161)</f>
        <v>45949.28652</v>
      </c>
      <c r="L828" s="4">
        <f>IFERROR(__xludf.DUMMYFUNCTION("""COMPUTED_VALUE"""),45949.293258505146)</f>
        <v>45949.29326</v>
      </c>
      <c r="M828" s="1" t="str">
        <f>IFERROR(__xludf.DUMMYFUNCTION("""COMPUTED_VALUE"""),"RFID")</f>
        <v>RFID</v>
      </c>
      <c r="N828" s="5">
        <f>IFERROR(__xludf.DUMMYFUNCTION("""COMPUTED_VALUE"""),0.004477324074074074)</f>
        <v>0.004477324074</v>
      </c>
      <c r="O828" s="5">
        <f>IFERROR(__xludf.DUMMYFUNCTION("""COMPUTED_VALUE"""),0.011545851851851852)</f>
        <v>0.01154585185</v>
      </c>
      <c r="P828" s="5">
        <f>IFERROR(__xludf.DUMMYFUNCTION("""COMPUTED_VALUE"""),0.002773133141981292)</f>
        <v>0.002773133142</v>
      </c>
      <c r="Q828" s="5">
        <f>IFERROR(__xludf.DUMMYFUNCTION("""COMPUTED_VALUE"""),0.004679665509259259)</f>
        <v>0.004679665509</v>
      </c>
      <c r="R828" s="4">
        <f>IFERROR(__xludf.DUMMYFUNCTION("""COMPUTED_VALUE"""),45949.046796653296)</f>
        <v>45949.0468</v>
      </c>
      <c r="S828" s="1" t="b">
        <f>IFERROR(__xludf.DUMMYFUNCTION("""COMPUTED_VALUE"""),TRUE)</f>
        <v>1</v>
      </c>
      <c r="T828" s="1" t="b">
        <f>IFERROR(__xludf.DUMMYFUNCTION("""COMPUTED_VALUE"""),FALSE)</f>
        <v>0</v>
      </c>
      <c r="U828" s="1" t="str">
        <f>IFERROR(__xludf.DUMMYFUNCTION("""COMPUTED_VALUE"""),"VALID")</f>
        <v>VALID</v>
      </c>
      <c r="V828" s="1">
        <f>IFERROR(__xludf.DUMMYFUNCTION("""COMPUTED_VALUE"""),259.0)</f>
        <v>259</v>
      </c>
      <c r="W828" s="1">
        <f>IFERROR(__xludf.DUMMYFUNCTION("""COMPUTED_VALUE"""),309.0)</f>
        <v>309</v>
      </c>
      <c r="X828" s="1">
        <f>IFERROR(__xludf.DUMMYFUNCTION("""COMPUTED_VALUE"""),554.0)</f>
        <v>554</v>
      </c>
      <c r="Y828" s="2"/>
      <c r="Z828" s="2"/>
    </row>
    <row r="829">
      <c r="A829" s="1">
        <f>IFERROR(__xludf.DUMMYFUNCTION("""COMPUTED_VALUE"""),828.0)</f>
        <v>828</v>
      </c>
      <c r="B829" s="1">
        <f>IFERROR(__xludf.DUMMYFUNCTION("""COMPUTED_VALUE"""),10735.0)</f>
        <v>10735</v>
      </c>
      <c r="C829" s="2" t="str">
        <f>IFERROR(__xludf.DUMMYFUNCTION("""COMPUTED_VALUE"""),"Rara Aulia Putri")</f>
        <v>Rara Aulia Putri</v>
      </c>
      <c r="D829" s="2" t="str">
        <f>IFERROR(__xludf.DUMMYFUNCTION("""COMPUTED_VALUE"""),"10KM OVERALL M")</f>
        <v>10KM OVERALL M</v>
      </c>
      <c r="E829" s="1">
        <f>IFERROR(__xludf.DUMMYFUNCTION("""COMPUTED_VALUE"""),1.0)</f>
        <v>1</v>
      </c>
      <c r="F829" s="1" t="str">
        <f>IFERROR(__xludf.DUMMYFUNCTION("""COMPUTED_VALUE"""),"Female")</f>
        <v>Female</v>
      </c>
      <c r="G829" s="4" t="b">
        <f>IFERROR(__xludf.DUMMYFUNCTION("""COMPUTED_VALUE"""),TRUE)</f>
        <v>1</v>
      </c>
      <c r="H829" s="4" t="b">
        <f>IFERROR(__xludf.DUMMYFUNCTION("""COMPUTED_VALUE"""),TRUE)</f>
        <v>1</v>
      </c>
      <c r="I829" s="4">
        <f>IFERROR(__xludf.DUMMYFUNCTION("""COMPUTED_VALUE"""),0.24646185185185185)</f>
        <v>0.2464618519</v>
      </c>
      <c r="J829" s="4">
        <f>IFERROR(__xludf.DUMMYFUNCTION("""COMPUTED_VALUE"""),45949.25946766025)</f>
        <v>45949.25947</v>
      </c>
      <c r="K829" s="4">
        <f>IFERROR(__xludf.DUMMYFUNCTION("""COMPUTED_VALUE"""),45949.29552343109)</f>
        <v>45949.29552</v>
      </c>
      <c r="L829" s="4">
        <f>IFERROR(__xludf.DUMMYFUNCTION("""COMPUTED_VALUE"""),45949.30618559806)</f>
        <v>45949.30619</v>
      </c>
      <c r="M829" s="1" t="str">
        <f>IFERROR(__xludf.DUMMYFUNCTION("""COMPUTED_VALUE"""),"RFID")</f>
        <v>RFID</v>
      </c>
      <c r="N829" s="5">
        <f>IFERROR(__xludf.DUMMYFUNCTION("""COMPUTED_VALUE"""),0.005202324074074074)</f>
        <v>0.005202324074</v>
      </c>
      <c r="O829" s="5">
        <f>IFERROR(__xludf.DUMMYFUNCTION("""COMPUTED_VALUE"""),0.014422310185185186)</f>
        <v>0.01442231019</v>
      </c>
      <c r="P829" s="5">
        <f>IFERROR(__xludf.DUMMYFUNCTION("""COMPUTED_VALUE"""),0.004387723035615037)</f>
        <v>0.004387723036</v>
      </c>
      <c r="Q829" s="5">
        <f>IFERROR(__xludf.DUMMYFUNCTION("""COMPUTED_VALUE"""),0.005972374999999999)</f>
        <v>0.005972375</v>
      </c>
      <c r="R829" s="4">
        <f>IFERROR(__xludf.DUMMYFUNCTION("""COMPUTED_VALUE"""),45949.05972374621)</f>
        <v>45949.05972</v>
      </c>
      <c r="S829" s="1" t="b">
        <f>IFERROR(__xludf.DUMMYFUNCTION("""COMPUTED_VALUE"""),TRUE)</f>
        <v>1</v>
      </c>
      <c r="T829" s="1" t="b">
        <f>IFERROR(__xludf.DUMMYFUNCTION("""COMPUTED_VALUE"""),FALSE)</f>
        <v>0</v>
      </c>
      <c r="U829" s="1" t="str">
        <f>IFERROR(__xludf.DUMMYFUNCTION("""COMPUTED_VALUE"""),"VALID")</f>
        <v>VALID</v>
      </c>
      <c r="V829" s="1">
        <f>IFERROR(__xludf.DUMMYFUNCTION("""COMPUTED_VALUE"""),529.0)</f>
        <v>529</v>
      </c>
      <c r="W829" s="1">
        <f>IFERROR(__xludf.DUMMYFUNCTION("""COMPUTED_VALUE"""),649.0)</f>
        <v>649</v>
      </c>
      <c r="X829" s="1">
        <f>IFERROR(__xludf.DUMMYFUNCTION("""COMPUTED_VALUE"""),656.0)</f>
        <v>656</v>
      </c>
      <c r="Y829" s="2"/>
      <c r="Z829" s="2"/>
    </row>
    <row r="830">
      <c r="A830" s="1">
        <f>IFERROR(__xludf.DUMMYFUNCTION("""COMPUTED_VALUE"""),829.0)</f>
        <v>829</v>
      </c>
      <c r="B830" s="1">
        <f>IFERROR(__xludf.DUMMYFUNCTION("""COMPUTED_VALUE"""),10736.0)</f>
        <v>10736</v>
      </c>
      <c r="C830" s="2" t="str">
        <f>IFERROR(__xludf.DUMMYFUNCTION("""COMPUTED_VALUE"""),"Miftakhul Hakim Rojabi")</f>
        <v>Miftakhul Hakim Rojabi</v>
      </c>
      <c r="D830" s="2" t="str">
        <f>IFERROR(__xludf.DUMMYFUNCTION("""COMPUTED_VALUE"""),"10KM OVERALL M")</f>
        <v>10KM OVERALL M</v>
      </c>
      <c r="E830" s="1">
        <f>IFERROR(__xludf.DUMMYFUNCTION("""COMPUTED_VALUE"""),1.0)</f>
        <v>1</v>
      </c>
      <c r="F830" s="1" t="str">
        <f>IFERROR(__xludf.DUMMYFUNCTION("""COMPUTED_VALUE"""),"Male")</f>
        <v>Male</v>
      </c>
      <c r="G830" s="4" t="b">
        <f>IFERROR(__xludf.DUMMYFUNCTION("""COMPUTED_VALUE"""),TRUE)</f>
        <v>1</v>
      </c>
      <c r="H830" s="4" t="b">
        <f>IFERROR(__xludf.DUMMYFUNCTION("""COMPUTED_VALUE"""),TRUE)</f>
        <v>1</v>
      </c>
      <c r="I830" s="4">
        <f>IFERROR(__xludf.DUMMYFUNCTION("""COMPUTED_VALUE"""),0.24646185185185185)</f>
        <v>0.2464618519</v>
      </c>
      <c r="J830" s="4">
        <f>IFERROR(__xludf.DUMMYFUNCTION("""COMPUTED_VALUE"""),45949.26197461528)</f>
        <v>45949.26197</v>
      </c>
      <c r="K830" s="4">
        <f>IFERROR(__xludf.DUMMYFUNCTION("""COMPUTED_VALUE"""),45949.30266335695)</f>
        <v>45949.30266</v>
      </c>
      <c r="L830" s="4">
        <f>IFERROR(__xludf.DUMMYFUNCTION("""COMPUTED_VALUE"""),45949.31390086646)</f>
        <v>45949.3139</v>
      </c>
      <c r="M830" s="1" t="str">
        <f>IFERROR(__xludf.DUMMYFUNCTION("""COMPUTED_VALUE"""),"RFID")</f>
        <v>RFID</v>
      </c>
      <c r="N830" s="5">
        <f>IFERROR(__xludf.DUMMYFUNCTION("""COMPUTED_VALUE"""),0.0062051064814814825)</f>
        <v>0.006205106481</v>
      </c>
      <c r="O830" s="5">
        <f>IFERROR(__xludf.DUMMYFUNCTION("""COMPUTED_VALUE"""),0.01627549537037037)</f>
        <v>0.01627549537</v>
      </c>
      <c r="P830" s="5">
        <f>IFERROR(__xludf.DUMMYFUNCTION("""COMPUTED_VALUE"""),0.004624489508233887)</f>
        <v>0.004624489508</v>
      </c>
      <c r="Q830" s="5">
        <f>IFERROR(__xludf.DUMMYFUNCTION("""COMPUTED_VALUE"""),0.00674390162037037)</f>
        <v>0.00674390162</v>
      </c>
      <c r="R830" s="4">
        <f>IFERROR(__xludf.DUMMYFUNCTION("""COMPUTED_VALUE"""),45949.06743901461)</f>
        <v>45949.06744</v>
      </c>
      <c r="S830" s="1" t="b">
        <f>IFERROR(__xludf.DUMMYFUNCTION("""COMPUTED_VALUE"""),TRUE)</f>
        <v>1</v>
      </c>
      <c r="T830" s="1" t="b">
        <f>IFERROR(__xludf.DUMMYFUNCTION("""COMPUTED_VALUE"""),FALSE)</f>
        <v>0</v>
      </c>
      <c r="U830" s="1" t="str">
        <f>IFERROR(__xludf.DUMMYFUNCTION("""COMPUTED_VALUE"""),"VALID")</f>
        <v>VALID</v>
      </c>
      <c r="V830" s="1">
        <f>IFERROR(__xludf.DUMMYFUNCTION("""COMPUTED_VALUE"""),583.0)</f>
        <v>583</v>
      </c>
      <c r="W830" s="1">
        <f>IFERROR(__xludf.DUMMYFUNCTION("""COMPUTED_VALUE"""),723.0)</f>
        <v>723</v>
      </c>
      <c r="X830" s="1">
        <f>IFERROR(__xludf.DUMMYFUNCTION("""COMPUTED_VALUE"""),1658.0)</f>
        <v>1658</v>
      </c>
      <c r="Y830" s="2"/>
      <c r="Z830" s="2"/>
    </row>
    <row r="831">
      <c r="A831" s="1">
        <f>IFERROR(__xludf.DUMMYFUNCTION("""COMPUTED_VALUE"""),830.0)</f>
        <v>830</v>
      </c>
      <c r="B831" s="1">
        <f>IFERROR(__xludf.DUMMYFUNCTION("""COMPUTED_VALUE"""),10737.0)</f>
        <v>10737</v>
      </c>
      <c r="C831" s="2" t="str">
        <f>IFERROR(__xludf.DUMMYFUNCTION("""COMPUTED_VALUE"""),"Yan Heryadi")</f>
        <v>Yan Heryadi</v>
      </c>
      <c r="D831" s="2" t="str">
        <f>IFERROR(__xludf.DUMMYFUNCTION("""COMPUTED_VALUE"""),"10KM OVERALL M")</f>
        <v>10KM OVERALL M</v>
      </c>
      <c r="E831" s="1">
        <f>IFERROR(__xludf.DUMMYFUNCTION("""COMPUTED_VALUE"""),1.0)</f>
        <v>1</v>
      </c>
      <c r="F831" s="1" t="str">
        <f>IFERROR(__xludf.DUMMYFUNCTION("""COMPUTED_VALUE"""),"Male")</f>
        <v>Male</v>
      </c>
      <c r="G831" s="4" t="b">
        <f>IFERROR(__xludf.DUMMYFUNCTION("""COMPUTED_VALUE"""),TRUE)</f>
        <v>1</v>
      </c>
      <c r="H831" s="4" t="b">
        <f>IFERROR(__xludf.DUMMYFUNCTION("""COMPUTED_VALUE"""),FALSE)</f>
        <v>0</v>
      </c>
      <c r="I831" s="4">
        <f>IFERROR(__xludf.DUMMYFUNCTION("""COMPUTED_VALUE"""),0.24646185185185185)</f>
        <v>0.2464618519</v>
      </c>
      <c r="J831" s="4">
        <f>IFERROR(__xludf.DUMMYFUNCTION("""COMPUTED_VALUE"""),45949.257783659006)</f>
        <v>45949.25778</v>
      </c>
      <c r="K831" s="4">
        <f>IFERROR(__xludf.DUMMYFUNCTION("""COMPUTED_VALUE"""),45949.286492018)</f>
        <v>45949.28649</v>
      </c>
      <c r="L831" s="4">
        <f>IFERROR(__xludf.DUMMYFUNCTION("""COMPUTED_VALUE"""),45949.295352260175)</f>
        <v>45949.29535</v>
      </c>
      <c r="M831" s="1" t="str">
        <f>IFERROR(__xludf.DUMMYFUNCTION("""COMPUTED_VALUE"""),"RFID")</f>
        <v>RFID</v>
      </c>
      <c r="N831" s="5">
        <f>IFERROR(__xludf.DUMMYFUNCTION("""COMPUTED_VALUE"""),0.004528722222222222)</f>
        <v>0.004528722222</v>
      </c>
      <c r="O831" s="5">
        <f>IFERROR(__xludf.DUMMYFUNCTION("""COMPUTED_VALUE"""),0.011483342592592592)</f>
        <v>0.01148334259</v>
      </c>
      <c r="P831" s="5">
        <f>IFERROR(__xludf.DUMMYFUNCTION("""COMPUTED_VALUE"""),0.0036461901953520537)</f>
        <v>0.003646190195</v>
      </c>
      <c r="Q831" s="5">
        <f>IFERROR(__xludf.DUMMYFUNCTION("""COMPUTED_VALUE"""),0.00488904050925926)</f>
        <v>0.004889040509</v>
      </c>
      <c r="R831" s="4">
        <f>IFERROR(__xludf.DUMMYFUNCTION("""COMPUTED_VALUE"""),45949.048890408325)</f>
        <v>45949.04889</v>
      </c>
      <c r="S831" s="1" t="b">
        <f>IFERROR(__xludf.DUMMYFUNCTION("""COMPUTED_VALUE"""),TRUE)</f>
        <v>1</v>
      </c>
      <c r="T831" s="1" t="b">
        <f>IFERROR(__xludf.DUMMYFUNCTION("""COMPUTED_VALUE"""),FALSE)</f>
        <v>0</v>
      </c>
      <c r="U831" s="1" t="str">
        <f>IFERROR(__xludf.DUMMYFUNCTION("""COMPUTED_VALUE"""),"VALID")</f>
        <v>VALID</v>
      </c>
      <c r="V831" s="1">
        <f>IFERROR(__xludf.DUMMYFUNCTION("""COMPUTED_VALUE"""),306.0)</f>
        <v>306</v>
      </c>
      <c r="W831" s="1">
        <f>IFERROR(__xludf.DUMMYFUNCTION("""COMPUTED_VALUE"""),362.0)</f>
        <v>362</v>
      </c>
      <c r="X831" s="1">
        <f>IFERROR(__xludf.DUMMYFUNCTION("""COMPUTED_VALUE"""),1335.0)</f>
        <v>1335</v>
      </c>
      <c r="Y831" s="2"/>
      <c r="Z831" s="2"/>
    </row>
    <row r="832">
      <c r="A832" s="1">
        <f>IFERROR(__xludf.DUMMYFUNCTION("""COMPUTED_VALUE"""),831.0)</f>
        <v>831</v>
      </c>
      <c r="B832" s="1">
        <f>IFERROR(__xludf.DUMMYFUNCTION("""COMPUTED_VALUE"""),10738.0)</f>
        <v>10738</v>
      </c>
      <c r="C832" s="2" t="str">
        <f>IFERROR(__xludf.DUMMYFUNCTION("""COMPUTED_VALUE"""),"Aulia Ulhaq")</f>
        <v>Aulia Ulhaq</v>
      </c>
      <c r="D832" s="2" t="str">
        <f>IFERROR(__xludf.DUMMYFUNCTION("""COMPUTED_VALUE"""),"10KM OVERALL M")</f>
        <v>10KM OVERALL M</v>
      </c>
      <c r="E832" s="1">
        <f>IFERROR(__xludf.DUMMYFUNCTION("""COMPUTED_VALUE"""),1.0)</f>
        <v>1</v>
      </c>
      <c r="F832" s="1" t="str">
        <f>IFERROR(__xludf.DUMMYFUNCTION("""COMPUTED_VALUE"""),"Male")</f>
        <v>Male</v>
      </c>
      <c r="G832" s="4" t="b">
        <f>IFERROR(__xludf.DUMMYFUNCTION("""COMPUTED_VALUE"""),TRUE)</f>
        <v>1</v>
      </c>
      <c r="H832" s="4" t="b">
        <f>IFERROR(__xludf.DUMMYFUNCTION("""COMPUTED_VALUE"""),TRUE)</f>
        <v>1</v>
      </c>
      <c r="I832" s="4">
        <f>IFERROR(__xludf.DUMMYFUNCTION("""COMPUTED_VALUE"""),0.24646185185185185)</f>
        <v>0.2464618519</v>
      </c>
      <c r="J832" s="4">
        <f>IFERROR(__xludf.DUMMYFUNCTION("""COMPUTED_VALUE"""),45949.25795029596)</f>
        <v>45949.25795</v>
      </c>
      <c r="K832" s="4">
        <f>IFERROR(__xludf.DUMMYFUNCTION("""COMPUTED_VALUE"""),45949.28567255525)</f>
        <v>45949.28567</v>
      </c>
      <c r="L832" s="4">
        <f>IFERROR(__xludf.DUMMYFUNCTION("""COMPUTED_VALUE"""),45949.29424461576)</f>
        <v>45949.29424</v>
      </c>
      <c r="M832" s="1" t="str">
        <f>IFERROR(__xludf.DUMMYFUNCTION("""COMPUTED_VALUE"""),"RFID")</f>
        <v>RFID</v>
      </c>
      <c r="N832" s="5">
        <f>IFERROR(__xludf.DUMMYFUNCTION("""COMPUTED_VALUE"""),0.00459537962962963)</f>
        <v>0.00459537963</v>
      </c>
      <c r="O832" s="5">
        <f>IFERROR(__xludf.DUMMYFUNCTION("""COMPUTED_VALUE"""),0.011088902777777777)</f>
        <v>0.01108890278</v>
      </c>
      <c r="P832" s="5">
        <f>IFERROR(__xludf.DUMMYFUNCTION("""COMPUTED_VALUE"""),0.003527596918913946)</f>
        <v>0.003527596919</v>
      </c>
      <c r="Q832" s="5">
        <f>IFERROR(__xludf.DUMMYFUNCTION("""COMPUTED_VALUE"""),0.004778276620370369)</f>
        <v>0.00477827662</v>
      </c>
      <c r="R832" s="4">
        <f>IFERROR(__xludf.DUMMYFUNCTION("""COMPUTED_VALUE"""),45949.04778276391)</f>
        <v>45949.04778</v>
      </c>
      <c r="S832" s="1" t="b">
        <f>IFERROR(__xludf.DUMMYFUNCTION("""COMPUTED_VALUE"""),TRUE)</f>
        <v>1</v>
      </c>
      <c r="T832" s="1" t="b">
        <f>IFERROR(__xludf.DUMMYFUNCTION("""COMPUTED_VALUE"""),FALSE)</f>
        <v>0</v>
      </c>
      <c r="U832" s="1" t="str">
        <f>IFERROR(__xludf.DUMMYFUNCTION("""COMPUTED_VALUE"""),"VALID")</f>
        <v>VALID</v>
      </c>
      <c r="V832" s="1">
        <f>IFERROR(__xludf.DUMMYFUNCTION("""COMPUTED_VALUE"""),284.0)</f>
        <v>284</v>
      </c>
      <c r="W832" s="1">
        <f>IFERROR(__xludf.DUMMYFUNCTION("""COMPUTED_VALUE"""),336.0)</f>
        <v>336</v>
      </c>
      <c r="X832" s="1">
        <f>IFERROR(__xludf.DUMMYFUNCTION("""COMPUTED_VALUE"""),1298.0)</f>
        <v>1298</v>
      </c>
      <c r="Y832" s="2"/>
      <c r="Z832" s="2"/>
    </row>
    <row r="833">
      <c r="A833" s="1">
        <f>IFERROR(__xludf.DUMMYFUNCTION("""COMPUTED_VALUE"""),832.0)</f>
        <v>832</v>
      </c>
      <c r="B833" s="1">
        <f>IFERROR(__xludf.DUMMYFUNCTION("""COMPUTED_VALUE"""),10739.0)</f>
        <v>10739</v>
      </c>
      <c r="C833" s="2" t="str">
        <f>IFERROR(__xludf.DUMMYFUNCTION("""COMPUTED_VALUE"""),"Bustanul Anwar")</f>
        <v>Bustanul Anwar</v>
      </c>
      <c r="D833" s="2" t="str">
        <f>IFERROR(__xludf.DUMMYFUNCTION("""COMPUTED_VALUE"""),"10KM OVERALL M")</f>
        <v>10KM OVERALL M</v>
      </c>
      <c r="E833" s="1">
        <f>IFERROR(__xludf.DUMMYFUNCTION("""COMPUTED_VALUE"""),1.0)</f>
        <v>1</v>
      </c>
      <c r="F833" s="1" t="str">
        <f>IFERROR(__xludf.DUMMYFUNCTION("""COMPUTED_VALUE"""),"Male")</f>
        <v>Male</v>
      </c>
      <c r="G833" s="4" t="b">
        <f>IFERROR(__xludf.DUMMYFUNCTION("""COMPUTED_VALUE"""),TRUE)</f>
        <v>1</v>
      </c>
      <c r="H833" s="4" t="b">
        <f>IFERROR(__xludf.DUMMYFUNCTION("""COMPUTED_VALUE"""),FALSE)</f>
        <v>0</v>
      </c>
      <c r="I833" s="4">
        <f>IFERROR(__xludf.DUMMYFUNCTION("""COMPUTED_VALUE"""),0.24646185185185185)</f>
        <v>0.2464618519</v>
      </c>
      <c r="J833" s="4">
        <f>IFERROR(__xludf.DUMMYFUNCTION("""COMPUTED_VALUE"""),45949.256978135716)</f>
        <v>45949.25698</v>
      </c>
      <c r="K833" s="4">
        <f>IFERROR(__xludf.DUMMYFUNCTION("""COMPUTED_VALUE"""),45949.28697115758)</f>
        <v>45949.28697</v>
      </c>
      <c r="L833" s="4">
        <f>IFERROR(__xludf.DUMMYFUNCTION("""COMPUTED_VALUE"""),45949.29558489227)</f>
        <v>45949.29558</v>
      </c>
      <c r="M833" s="1" t="str">
        <f>IFERROR(__xludf.DUMMYFUNCTION("""COMPUTED_VALUE"""),"RFID")</f>
        <v>RFID</v>
      </c>
      <c r="N833" s="5">
        <f>IFERROR(__xludf.DUMMYFUNCTION("""COMPUTED_VALUE"""),0.004206513888888889)</f>
        <v>0.004206513889</v>
      </c>
      <c r="O833" s="5">
        <f>IFERROR(__xludf.DUMMYFUNCTION("""COMPUTED_VALUE"""),0.011997208333333332)</f>
        <v>0.01199720833</v>
      </c>
      <c r="P833" s="5">
        <f>IFERROR(__xludf.DUMMYFUNCTION("""COMPUTED_VALUE"""),0.003544746788166877)</f>
        <v>0.003544746788</v>
      </c>
      <c r="Q833" s="5">
        <f>IFERROR(__xludf.DUMMYFUNCTION("""COMPUTED_VALUE"""),0.004912304398148147)</f>
        <v>0.004912304398</v>
      </c>
      <c r="R833" s="4">
        <f>IFERROR(__xludf.DUMMYFUNCTION("""COMPUTED_VALUE"""),45949.04912304042)</f>
        <v>45949.04912</v>
      </c>
      <c r="S833" s="1" t="b">
        <f>IFERROR(__xludf.DUMMYFUNCTION("""COMPUTED_VALUE"""),TRUE)</f>
        <v>1</v>
      </c>
      <c r="T833" s="1" t="b">
        <f>IFERROR(__xludf.DUMMYFUNCTION("""COMPUTED_VALUE"""),FALSE)</f>
        <v>0</v>
      </c>
      <c r="U833" s="1" t="str">
        <f>IFERROR(__xludf.DUMMYFUNCTION("""COMPUTED_VALUE"""),"VALID")</f>
        <v>VALID</v>
      </c>
      <c r="V833" s="1">
        <f>IFERROR(__xludf.DUMMYFUNCTION("""COMPUTED_VALUE"""),316.0)</f>
        <v>316</v>
      </c>
      <c r="W833" s="1">
        <f>IFERROR(__xludf.DUMMYFUNCTION("""COMPUTED_VALUE"""),375.0)</f>
        <v>375</v>
      </c>
      <c r="X833" s="1">
        <f>IFERROR(__xludf.DUMMYFUNCTION("""COMPUTED_VALUE"""),1349.0)</f>
        <v>1349</v>
      </c>
      <c r="Y833" s="2"/>
      <c r="Z833" s="2"/>
    </row>
    <row r="834">
      <c r="A834" s="1">
        <f>IFERROR(__xludf.DUMMYFUNCTION("""COMPUTED_VALUE"""),833.0)</f>
        <v>833</v>
      </c>
      <c r="B834" s="1">
        <f>IFERROR(__xludf.DUMMYFUNCTION("""COMPUTED_VALUE"""),10740.0)</f>
        <v>10740</v>
      </c>
      <c r="C834" s="2" t="str">
        <f>IFERROR(__xludf.DUMMYFUNCTION("""COMPUTED_VALUE"""),"Margono")</f>
        <v>Margono</v>
      </c>
      <c r="D834" s="2" t="str">
        <f>IFERROR(__xludf.DUMMYFUNCTION("""COMPUTED_VALUE"""),"10KM OVERALL M")</f>
        <v>10KM OVERALL M</v>
      </c>
      <c r="E834" s="1">
        <f>IFERROR(__xludf.DUMMYFUNCTION("""COMPUTED_VALUE"""),1.0)</f>
        <v>1</v>
      </c>
      <c r="F834" s="1" t="str">
        <f>IFERROR(__xludf.DUMMYFUNCTION("""COMPUTED_VALUE"""),"Male")</f>
        <v>Male</v>
      </c>
      <c r="G834" s="4" t="str">
        <f>IFERROR(__xludf.DUMMYFUNCTION("""COMPUTED_VALUE"""),"")</f>
        <v/>
      </c>
      <c r="H834" s="4" t="b">
        <f>IFERROR(__xludf.DUMMYFUNCTION("""COMPUTED_VALUE"""),FALSE)</f>
        <v>0</v>
      </c>
      <c r="I834" s="4">
        <f>IFERROR(__xludf.DUMMYFUNCTION("""COMPUTED_VALUE"""),0.24646185185185185)</f>
        <v>0.2464618519</v>
      </c>
      <c r="J834" s="4">
        <f>IFERROR(__xludf.DUMMYFUNCTION("""COMPUTED_VALUE"""),45949.25986697198)</f>
        <v>45949.25987</v>
      </c>
      <c r="K834" s="4">
        <f>IFERROR(__xludf.DUMMYFUNCTION("""COMPUTED_VALUE"""),45949.2940168368)</f>
        <v>45949.29402</v>
      </c>
      <c r="L834" s="4">
        <f>IFERROR(__xludf.DUMMYFUNCTION("""COMPUTED_VALUE"""),45949.30498768135)</f>
        <v>45949.30499</v>
      </c>
      <c r="M834" s="1" t="str">
        <f>IFERROR(__xludf.DUMMYFUNCTION("""COMPUTED_VALUE"""),"RFID")</f>
        <v>RFID</v>
      </c>
      <c r="N834" s="5">
        <f>IFERROR(__xludf.DUMMYFUNCTION("""COMPUTED_VALUE"""),0.005362046296296296)</f>
        <v>0.005362046296</v>
      </c>
      <c r="O834" s="5">
        <f>IFERROR(__xludf.DUMMYFUNCTION("""COMPUTED_VALUE"""),0.013659944444444443)</f>
        <v>0.01365994444</v>
      </c>
      <c r="P834" s="5">
        <f>IFERROR(__xludf.DUMMYFUNCTION("""COMPUTED_VALUE"""),0.004514750844651427)</f>
        <v>0.004514750845</v>
      </c>
      <c r="Q834" s="5">
        <f>IFERROR(__xludf.DUMMYFUNCTION("""COMPUTED_VALUE"""),0.005852583333333333)</f>
        <v>0.005852583333</v>
      </c>
      <c r="R834" s="4">
        <f>IFERROR(__xludf.DUMMYFUNCTION("""COMPUTED_VALUE"""),45949.0585258295)</f>
        <v>45949.05853</v>
      </c>
      <c r="S834" s="1" t="b">
        <f>IFERROR(__xludf.DUMMYFUNCTION("""COMPUTED_VALUE"""),TRUE)</f>
        <v>1</v>
      </c>
      <c r="T834" s="1" t="b">
        <f>IFERROR(__xludf.DUMMYFUNCTION("""COMPUTED_VALUE"""),FALSE)</f>
        <v>0</v>
      </c>
      <c r="U834" s="1" t="str">
        <f>IFERROR(__xludf.DUMMYFUNCTION("""COMPUTED_VALUE"""),"VALID")</f>
        <v>VALID</v>
      </c>
      <c r="V834" s="1">
        <f>IFERROR(__xludf.DUMMYFUNCTION("""COMPUTED_VALUE"""),517.0)</f>
        <v>517</v>
      </c>
      <c r="W834" s="1">
        <f>IFERROR(__xludf.DUMMYFUNCTION("""COMPUTED_VALUE"""),628.0)</f>
        <v>628</v>
      </c>
      <c r="X834" s="1">
        <f>IFERROR(__xludf.DUMMYFUNCTION("""COMPUTED_VALUE"""),1591.0)</f>
        <v>1591</v>
      </c>
      <c r="Y834" s="2"/>
      <c r="Z834" s="2"/>
    </row>
    <row r="835">
      <c r="A835" s="1">
        <f>IFERROR(__xludf.DUMMYFUNCTION("""COMPUTED_VALUE"""),834.0)</f>
        <v>834</v>
      </c>
      <c r="B835" s="1">
        <f>IFERROR(__xludf.DUMMYFUNCTION("""COMPUTED_VALUE"""),10741.0)</f>
        <v>10741</v>
      </c>
      <c r="C835" s="2" t="str">
        <f>IFERROR(__xludf.DUMMYFUNCTION("""COMPUTED_VALUE"""),"Endik Riyanto")</f>
        <v>Endik Riyanto</v>
      </c>
      <c r="D835" s="2" t="str">
        <f>IFERROR(__xludf.DUMMYFUNCTION("""COMPUTED_VALUE"""),"10KM OVERALL M")</f>
        <v>10KM OVERALL M</v>
      </c>
      <c r="E835" s="1">
        <f>IFERROR(__xludf.DUMMYFUNCTION("""COMPUTED_VALUE"""),1.0)</f>
        <v>1</v>
      </c>
      <c r="F835" s="1" t="str">
        <f>IFERROR(__xludf.DUMMYFUNCTION("""COMPUTED_VALUE"""),"Male")</f>
        <v>Male</v>
      </c>
      <c r="G835" s="4" t="b">
        <f>IFERROR(__xludf.DUMMYFUNCTION("""COMPUTED_VALUE"""),TRUE)</f>
        <v>1</v>
      </c>
      <c r="H835" s="4" t="b">
        <f>IFERROR(__xludf.DUMMYFUNCTION("""COMPUTED_VALUE"""),FALSE)</f>
        <v>0</v>
      </c>
      <c r="I835" s="4">
        <f>IFERROR(__xludf.DUMMYFUNCTION("""COMPUTED_VALUE"""),0.24646185185185185)</f>
        <v>0.2464618519</v>
      </c>
      <c r="J835" s="4">
        <f>IFERROR(__xludf.DUMMYFUNCTION("""COMPUTED_VALUE"""),45949.25780105097)</f>
        <v>45949.2578</v>
      </c>
      <c r="K835" s="4">
        <f>IFERROR(__xludf.DUMMYFUNCTION("""COMPUTED_VALUE"""),45949.29147486374)</f>
        <v>45949.29147</v>
      </c>
      <c r="L835" s="4">
        <f>IFERROR(__xludf.DUMMYFUNCTION("""COMPUTED_VALUE"""),45949.30082101491)</f>
        <v>45949.30082</v>
      </c>
      <c r="M835" s="1" t="str">
        <f>IFERROR(__xludf.DUMMYFUNCTION("""COMPUTED_VALUE"""),"RFID")</f>
        <v>RFID</v>
      </c>
      <c r="N835" s="5">
        <f>IFERROR(__xludf.DUMMYFUNCTION("""COMPUTED_VALUE"""),0.004535680555555555)</f>
        <v>0.004535680556</v>
      </c>
      <c r="O835" s="5">
        <f>IFERROR(__xludf.DUMMYFUNCTION("""COMPUTED_VALUE"""),0.013469523148148147)</f>
        <v>0.01346952315</v>
      </c>
      <c r="P835" s="5">
        <f>IFERROR(__xludf.DUMMYFUNCTION("""COMPUTED_VALUE"""),0.0038461527454670625)</f>
        <v>0.003846152745</v>
      </c>
      <c r="Q835" s="5">
        <f>IFERROR(__xludf.DUMMYFUNCTION("""COMPUTED_VALUE"""),0.005435916666666666)</f>
        <v>0.005435916667</v>
      </c>
      <c r="R835" s="4">
        <f>IFERROR(__xludf.DUMMYFUNCTION("""COMPUTED_VALUE"""),45949.05435916306)</f>
        <v>45949.05436</v>
      </c>
      <c r="S835" s="1" t="b">
        <f>IFERROR(__xludf.DUMMYFUNCTION("""COMPUTED_VALUE"""),TRUE)</f>
        <v>1</v>
      </c>
      <c r="T835" s="1" t="b">
        <f>IFERROR(__xludf.DUMMYFUNCTION("""COMPUTED_VALUE"""),FALSE)</f>
        <v>0</v>
      </c>
      <c r="U835" s="1" t="str">
        <f>IFERROR(__xludf.DUMMYFUNCTION("""COMPUTED_VALUE"""),"VALID")</f>
        <v>VALID</v>
      </c>
      <c r="V835" s="1">
        <f>IFERROR(__xludf.DUMMYFUNCTION("""COMPUTED_VALUE"""),446.0)</f>
        <v>446</v>
      </c>
      <c r="W835" s="1">
        <f>IFERROR(__xludf.DUMMYFUNCTION("""COMPUTED_VALUE"""),529.0)</f>
        <v>529</v>
      </c>
      <c r="X835" s="1">
        <f>IFERROR(__xludf.DUMMYFUNCTION("""COMPUTED_VALUE"""),1507.0)</f>
        <v>1507</v>
      </c>
      <c r="Y835" s="2"/>
      <c r="Z835" s="2"/>
    </row>
    <row r="836">
      <c r="A836" s="1">
        <f>IFERROR(__xludf.DUMMYFUNCTION("""COMPUTED_VALUE"""),835.0)</f>
        <v>835</v>
      </c>
      <c r="B836" s="1">
        <f>IFERROR(__xludf.DUMMYFUNCTION("""COMPUTED_VALUE"""),10742.0)</f>
        <v>10742</v>
      </c>
      <c r="C836" s="2" t="str">
        <f>IFERROR(__xludf.DUMMYFUNCTION("""COMPUTED_VALUE"""),"Zainudin")</f>
        <v>Zainudin</v>
      </c>
      <c r="D836" s="2" t="str">
        <f>IFERROR(__xludf.DUMMYFUNCTION("""COMPUTED_VALUE"""),"10KM OVERALL M")</f>
        <v>10KM OVERALL M</v>
      </c>
      <c r="E836" s="1">
        <f>IFERROR(__xludf.DUMMYFUNCTION("""COMPUTED_VALUE"""),1.0)</f>
        <v>1</v>
      </c>
      <c r="F836" s="1" t="str">
        <f>IFERROR(__xludf.DUMMYFUNCTION("""COMPUTED_VALUE"""),"Male")</f>
        <v>Male</v>
      </c>
      <c r="G836" s="4" t="b">
        <f>IFERROR(__xludf.DUMMYFUNCTION("""COMPUTED_VALUE"""),TRUE)</f>
        <v>1</v>
      </c>
      <c r="H836" s="4" t="b">
        <f>IFERROR(__xludf.DUMMYFUNCTION("""COMPUTED_VALUE"""),TRUE)</f>
        <v>1</v>
      </c>
      <c r="I836" s="4">
        <f>IFERROR(__xludf.DUMMYFUNCTION("""COMPUTED_VALUE"""),0.24646185185185185)</f>
        <v>0.2464618519</v>
      </c>
      <c r="J836" s="4">
        <f>IFERROR(__xludf.DUMMYFUNCTION("""COMPUTED_VALUE"""),45949.26112044637)</f>
        <v>45949.26112</v>
      </c>
      <c r="K836" s="4">
        <f>IFERROR(__xludf.DUMMYFUNCTION("""COMPUTED_VALUE"""),45949.30187417072)</f>
        <v>45949.30187</v>
      </c>
      <c r="L836" s="4">
        <f>IFERROR(__xludf.DUMMYFUNCTION("""COMPUTED_VALUE"""),45949.3139286644)</f>
        <v>45949.31393</v>
      </c>
      <c r="M836" s="1" t="str">
        <f>IFERROR(__xludf.DUMMYFUNCTION("""COMPUTED_VALUE"""),"RFID")</f>
        <v>RFID</v>
      </c>
      <c r="N836" s="5">
        <f>IFERROR(__xludf.DUMMYFUNCTION("""COMPUTED_VALUE"""),0.005863439814814814)</f>
        <v>0.005863439815</v>
      </c>
      <c r="O836" s="5">
        <f>IFERROR(__xludf.DUMMYFUNCTION("""COMPUTED_VALUE"""),0.01630149074074074)</f>
        <v>0.01630149074</v>
      </c>
      <c r="P836" s="5">
        <f>IFERROR(__xludf.DUMMYFUNCTION("""COMPUTED_VALUE"""),0.004960696987612288)</f>
        <v>0.004960696988</v>
      </c>
      <c r="Q836" s="5">
        <f>IFERROR(__xludf.DUMMYFUNCTION("""COMPUTED_VALUE"""),0.006746681712962962)</f>
        <v>0.006746681713</v>
      </c>
      <c r="R836" s="4">
        <f>IFERROR(__xludf.DUMMYFUNCTION("""COMPUTED_VALUE"""),45949.06746681255)</f>
        <v>45949.06747</v>
      </c>
      <c r="S836" s="1" t="b">
        <f>IFERROR(__xludf.DUMMYFUNCTION("""COMPUTED_VALUE"""),TRUE)</f>
        <v>1</v>
      </c>
      <c r="T836" s="1" t="b">
        <f>IFERROR(__xludf.DUMMYFUNCTION("""COMPUTED_VALUE"""),FALSE)</f>
        <v>0</v>
      </c>
      <c r="U836" s="1" t="str">
        <f>IFERROR(__xludf.DUMMYFUNCTION("""COMPUTED_VALUE"""),"VALID")</f>
        <v>VALID</v>
      </c>
      <c r="V836" s="1">
        <f>IFERROR(__xludf.DUMMYFUNCTION("""COMPUTED_VALUE"""),584.0)</f>
        <v>584</v>
      </c>
      <c r="W836" s="1">
        <f>IFERROR(__xludf.DUMMYFUNCTION("""COMPUTED_VALUE"""),724.0)</f>
        <v>724</v>
      </c>
      <c r="X836" s="1">
        <f>IFERROR(__xludf.DUMMYFUNCTION("""COMPUTED_VALUE"""),1659.0)</f>
        <v>1659</v>
      </c>
      <c r="Y836" s="2"/>
      <c r="Z836" s="2"/>
    </row>
    <row r="837">
      <c r="A837" s="1">
        <f>IFERROR(__xludf.DUMMYFUNCTION("""COMPUTED_VALUE"""),836.0)</f>
        <v>836</v>
      </c>
      <c r="B837" s="1">
        <f>IFERROR(__xludf.DUMMYFUNCTION("""COMPUTED_VALUE"""),10745.0)</f>
        <v>10745</v>
      </c>
      <c r="C837" s="2" t="str">
        <f>IFERROR(__xludf.DUMMYFUNCTION("""COMPUTED_VALUE"""),"HASRUDIN")</f>
        <v>HASRUDIN</v>
      </c>
      <c r="D837" s="2" t="str">
        <f>IFERROR(__xludf.DUMMYFUNCTION("""COMPUTED_VALUE"""),"10KM OVERALL M")</f>
        <v>10KM OVERALL M</v>
      </c>
      <c r="E837" s="1">
        <f>IFERROR(__xludf.DUMMYFUNCTION("""COMPUTED_VALUE"""),1.0)</f>
        <v>1</v>
      </c>
      <c r="F837" s="1" t="str">
        <f>IFERROR(__xludf.DUMMYFUNCTION("""COMPUTED_VALUE"""),"Male")</f>
        <v>Male</v>
      </c>
      <c r="G837" s="4" t="b">
        <f>IFERROR(__xludf.DUMMYFUNCTION("""COMPUTED_VALUE"""),TRUE)</f>
        <v>1</v>
      </c>
      <c r="H837" s="4" t="b">
        <f>IFERROR(__xludf.DUMMYFUNCTION("""COMPUTED_VALUE"""),TRUE)</f>
        <v>1</v>
      </c>
      <c r="I837" s="4">
        <f>IFERROR(__xludf.DUMMYFUNCTION("""COMPUTED_VALUE"""),0.24646185185185185)</f>
        <v>0.2464618519</v>
      </c>
      <c r="J837" s="4">
        <f>IFERROR(__xludf.DUMMYFUNCTION("""COMPUTED_VALUE"""),45949.25665515699)</f>
        <v>45949.25666</v>
      </c>
      <c r="K837" s="4">
        <f>IFERROR(__xludf.DUMMYFUNCTION("""COMPUTED_VALUE"""),45949.28626282823)</f>
        <v>45949.28626</v>
      </c>
      <c r="L837" s="4">
        <f>IFERROR(__xludf.DUMMYFUNCTION("""COMPUTED_VALUE"""),45949.295050176515)</f>
        <v>45949.29505</v>
      </c>
      <c r="M837" s="1" t="str">
        <f>IFERROR(__xludf.DUMMYFUNCTION("""COMPUTED_VALUE"""),"RFID")</f>
        <v>RFID</v>
      </c>
      <c r="N837" s="5">
        <f>IFERROR(__xludf.DUMMYFUNCTION("""COMPUTED_VALUE"""),0.004077324074074074)</f>
        <v>0.004077324074</v>
      </c>
      <c r="O837" s="5">
        <f>IFERROR(__xludf.DUMMYFUNCTION("""COMPUTED_VALUE"""),0.011843069444444444)</f>
        <v>0.01184306944</v>
      </c>
      <c r="P837" s="5">
        <f>IFERROR(__xludf.DUMMYFUNCTION("""COMPUTED_VALUE"""),0.0036161927096239085)</f>
        <v>0.00361619271</v>
      </c>
      <c r="Q837" s="5">
        <f>IFERROR(__xludf.DUMMYFUNCTION("""COMPUTED_VALUE"""),0.004858832175925925)</f>
        <v>0.004858832176</v>
      </c>
      <c r="R837" s="4">
        <f>IFERROR(__xludf.DUMMYFUNCTION("""COMPUTED_VALUE"""),45949.048588324666)</f>
        <v>45949.04859</v>
      </c>
      <c r="S837" s="1" t="b">
        <f>IFERROR(__xludf.DUMMYFUNCTION("""COMPUTED_VALUE"""),TRUE)</f>
        <v>1</v>
      </c>
      <c r="T837" s="1" t="b">
        <f>IFERROR(__xludf.DUMMYFUNCTION("""COMPUTED_VALUE"""),FALSE)</f>
        <v>0</v>
      </c>
      <c r="U837" s="1" t="str">
        <f>IFERROR(__xludf.DUMMYFUNCTION("""COMPUTED_VALUE"""),"VALID")</f>
        <v>VALID</v>
      </c>
      <c r="V837" s="1">
        <f>IFERROR(__xludf.DUMMYFUNCTION("""COMPUTED_VALUE"""),299.0)</f>
        <v>299</v>
      </c>
      <c r="W837" s="1">
        <f>IFERROR(__xludf.DUMMYFUNCTION("""COMPUTED_VALUE"""),355.0)</f>
        <v>355</v>
      </c>
      <c r="X837" s="1">
        <f>IFERROR(__xludf.DUMMYFUNCTION("""COMPUTED_VALUE"""),1327.0)</f>
        <v>1327</v>
      </c>
      <c r="Y837" s="2"/>
      <c r="Z837" s="2"/>
    </row>
    <row r="838">
      <c r="A838" s="1">
        <f>IFERROR(__xludf.DUMMYFUNCTION("""COMPUTED_VALUE"""),837.0)</f>
        <v>837</v>
      </c>
      <c r="B838" s="1">
        <f>IFERROR(__xludf.DUMMYFUNCTION("""COMPUTED_VALUE"""),10746.0)</f>
        <v>10746</v>
      </c>
      <c r="C838" s="2" t="str">
        <f>IFERROR(__xludf.DUMMYFUNCTION("""COMPUTED_VALUE"""),"MARISON")</f>
        <v>MARISON</v>
      </c>
      <c r="D838" s="2" t="str">
        <f>IFERROR(__xludf.DUMMYFUNCTION("""COMPUTED_VALUE"""),"10KM OVERALL M")</f>
        <v>10KM OVERALL M</v>
      </c>
      <c r="E838" s="1">
        <f>IFERROR(__xludf.DUMMYFUNCTION("""COMPUTED_VALUE"""),1.0)</f>
        <v>1</v>
      </c>
      <c r="F838" s="1" t="str">
        <f>IFERROR(__xludf.DUMMYFUNCTION("""COMPUTED_VALUE"""),"Male")</f>
        <v>Male</v>
      </c>
      <c r="G838" s="4" t="b">
        <f>IFERROR(__xludf.DUMMYFUNCTION("""COMPUTED_VALUE"""),TRUE)</f>
        <v>1</v>
      </c>
      <c r="H838" s="4" t="b">
        <f>IFERROR(__xludf.DUMMYFUNCTION("""COMPUTED_VALUE"""),TRUE)</f>
        <v>1</v>
      </c>
      <c r="I838" s="4">
        <f>IFERROR(__xludf.DUMMYFUNCTION("""COMPUTED_VALUE"""),0.24646185185185185)</f>
        <v>0.2464618519</v>
      </c>
      <c r="J838" s="4">
        <f>IFERROR(__xludf.DUMMYFUNCTION("""COMPUTED_VALUE"""),45949.256974612894)</f>
        <v>45949.25697</v>
      </c>
      <c r="K838" s="4">
        <f>IFERROR(__xludf.DUMMYFUNCTION("""COMPUTED_VALUE"""),45949.286703781734)</f>
        <v>45949.2867</v>
      </c>
      <c r="L838" s="4">
        <f>IFERROR(__xludf.DUMMYFUNCTION("""COMPUTED_VALUE"""),45949.296178643446)</f>
        <v>45949.29618</v>
      </c>
      <c r="M838" s="1" t="str">
        <f>IFERROR(__xludf.DUMMYFUNCTION("""COMPUTED_VALUE"""),"RFID")</f>
        <v>RFID</v>
      </c>
      <c r="N838" s="5">
        <f>IFERROR(__xludf.DUMMYFUNCTION("""COMPUTED_VALUE"""),0.0042051064814814815)</f>
        <v>0.004205106481</v>
      </c>
      <c r="O838" s="5">
        <f>IFERROR(__xludf.DUMMYFUNCTION("""COMPUTED_VALUE"""),0.011891666666666665)</f>
        <v>0.01189166667</v>
      </c>
      <c r="P838" s="5">
        <f>IFERROR(__xludf.DUMMYFUNCTION("""COMPUTED_VALUE"""),0.0038991200461228654)</f>
        <v>0.003899120046</v>
      </c>
      <c r="Q838" s="5">
        <f>IFERROR(__xludf.DUMMYFUNCTION("""COMPUTED_VALUE"""),0.004971679398148148)</f>
        <v>0.004971679398</v>
      </c>
      <c r="R838" s="4">
        <f>IFERROR(__xludf.DUMMYFUNCTION("""COMPUTED_VALUE"""),45949.0497167916)</f>
        <v>45949.04972</v>
      </c>
      <c r="S838" s="1" t="b">
        <f>IFERROR(__xludf.DUMMYFUNCTION("""COMPUTED_VALUE"""),TRUE)</f>
        <v>1</v>
      </c>
      <c r="T838" s="1" t="b">
        <f>IFERROR(__xludf.DUMMYFUNCTION("""COMPUTED_VALUE"""),FALSE)</f>
        <v>0</v>
      </c>
      <c r="U838" s="1" t="str">
        <f>IFERROR(__xludf.DUMMYFUNCTION("""COMPUTED_VALUE"""),"VALID")</f>
        <v>VALID</v>
      </c>
      <c r="V838" s="1">
        <f>IFERROR(__xludf.DUMMYFUNCTION("""COMPUTED_VALUE"""),332.0)</f>
        <v>332</v>
      </c>
      <c r="W838" s="1">
        <f>IFERROR(__xludf.DUMMYFUNCTION("""COMPUTED_VALUE"""),393.0)</f>
        <v>393</v>
      </c>
      <c r="X838" s="1">
        <f>IFERROR(__xludf.DUMMYFUNCTION("""COMPUTED_VALUE"""),1369.0)</f>
        <v>1369</v>
      </c>
      <c r="Y838" s="2"/>
      <c r="Z838" s="2"/>
    </row>
    <row r="839">
      <c r="A839" s="1">
        <f>IFERROR(__xludf.DUMMYFUNCTION("""COMPUTED_VALUE"""),838.0)</f>
        <v>838</v>
      </c>
      <c r="B839" s="1">
        <f>IFERROR(__xludf.DUMMYFUNCTION("""COMPUTED_VALUE"""),10747.0)</f>
        <v>10747</v>
      </c>
      <c r="C839" s="2" t="str">
        <f>IFERROR(__xludf.DUMMYFUNCTION("""COMPUTED_VALUE"""),"AZWAR HADI")</f>
        <v>AZWAR HADI</v>
      </c>
      <c r="D839" s="2" t="str">
        <f>IFERROR(__xludf.DUMMYFUNCTION("""COMPUTED_VALUE"""),"10KM OVERALL M")</f>
        <v>10KM OVERALL M</v>
      </c>
      <c r="E839" s="1">
        <f>IFERROR(__xludf.DUMMYFUNCTION("""COMPUTED_VALUE"""),1.0)</f>
        <v>1</v>
      </c>
      <c r="F839" s="1" t="str">
        <f>IFERROR(__xludf.DUMMYFUNCTION("""COMPUTED_VALUE"""),"Male")</f>
        <v>Male</v>
      </c>
      <c r="G839" s="4" t="str">
        <f>IFERROR(__xludf.DUMMYFUNCTION("""COMPUTED_VALUE"""),"")</f>
        <v/>
      </c>
      <c r="H839" s="4" t="b">
        <f>IFERROR(__xludf.DUMMYFUNCTION("""COMPUTED_VALUE"""),FALSE)</f>
        <v>0</v>
      </c>
      <c r="I839" s="4">
        <f>IFERROR(__xludf.DUMMYFUNCTION("""COMPUTED_VALUE"""),0.24646185185185185)</f>
        <v>0.2464618519</v>
      </c>
      <c r="J839" s="4" t="str">
        <f>IFERROR(__xludf.DUMMYFUNCTION("""COMPUTED_VALUE"""),"")</f>
        <v/>
      </c>
      <c r="K839" s="4" t="str">
        <f>IFERROR(__xludf.DUMMYFUNCTION("""COMPUTED_VALUE"""),"")</f>
        <v/>
      </c>
      <c r="L839" s="4" t="str">
        <f>IFERROR(__xludf.DUMMYFUNCTION("""COMPUTED_VALUE"""),"")</f>
        <v/>
      </c>
      <c r="M839" s="1" t="str">
        <f>IFERROR(__xludf.DUMMYFUNCTION("""COMPUTED_VALUE"""),"RFID")</f>
        <v>RFID</v>
      </c>
      <c r="N839" s="5" t="str">
        <f>IFERROR(__xludf.DUMMYFUNCTION("""COMPUTED_VALUE"""),"")</f>
        <v/>
      </c>
      <c r="O839" s="5" t="str">
        <f>IFERROR(__xludf.DUMMYFUNCTION("""COMPUTED_VALUE"""),"")</f>
        <v/>
      </c>
      <c r="P839" s="5" t="str">
        <f>IFERROR(__xludf.DUMMYFUNCTION("""COMPUTED_VALUE"""),"")</f>
        <v/>
      </c>
      <c r="Q839" s="5" t="str">
        <f>IFERROR(__xludf.DUMMYFUNCTION("""COMPUTED_VALUE"""),"")</f>
        <v/>
      </c>
      <c r="R839" s="4" t="str">
        <f>IFERROR(__xludf.DUMMYFUNCTION("""COMPUTED_VALUE"""),"")</f>
        <v/>
      </c>
      <c r="S839" s="1" t="b">
        <f>IFERROR(__xludf.DUMMYFUNCTION("""COMPUTED_VALUE"""),FALSE)</f>
        <v>0</v>
      </c>
      <c r="T839" s="1" t="b">
        <f>IFERROR(__xludf.DUMMYFUNCTION("""COMPUTED_VALUE"""),FALSE)</f>
        <v>0</v>
      </c>
      <c r="U839" s="1" t="str">
        <f>IFERROR(__xludf.DUMMYFUNCTION("""COMPUTED_VALUE"""),"DSQ")</f>
        <v>DSQ</v>
      </c>
      <c r="V839" s="1" t="str">
        <f>IFERROR(__xludf.DUMMYFUNCTION("""COMPUTED_VALUE"""),"DSQ")</f>
        <v>DSQ</v>
      </c>
      <c r="W839" s="1" t="str">
        <f>IFERROR(__xludf.DUMMYFUNCTION("""COMPUTED_VALUE"""),"DSQ")</f>
        <v>DSQ</v>
      </c>
      <c r="X839" s="1" t="str">
        <f>IFERROR(__xludf.DUMMYFUNCTION("""COMPUTED_VALUE"""),"DSQ")</f>
        <v>DSQ</v>
      </c>
      <c r="Y839" s="2"/>
      <c r="Z839" s="2" t="str">
        <f>IFERROR(__xludf.DUMMYFUNCTION("""COMPUTED_VALUE"""),"")</f>
        <v/>
      </c>
    </row>
    <row r="840">
      <c r="A840" s="1">
        <f>IFERROR(__xludf.DUMMYFUNCTION("""COMPUTED_VALUE"""),839.0)</f>
        <v>839</v>
      </c>
      <c r="B840" s="1">
        <f>IFERROR(__xludf.DUMMYFUNCTION("""COMPUTED_VALUE"""),10748.0)</f>
        <v>10748</v>
      </c>
      <c r="C840" s="2" t="str">
        <f>IFERROR(__xludf.DUMMYFUNCTION("""COMPUTED_VALUE"""),"AGUS HENDRIYANTO")</f>
        <v>AGUS HENDRIYANTO</v>
      </c>
      <c r="D840" s="2" t="str">
        <f>IFERROR(__xludf.DUMMYFUNCTION("""COMPUTED_VALUE"""),"10KM OVERALL M")</f>
        <v>10KM OVERALL M</v>
      </c>
      <c r="E840" s="1">
        <f>IFERROR(__xludf.DUMMYFUNCTION("""COMPUTED_VALUE"""),1.0)</f>
        <v>1</v>
      </c>
      <c r="F840" s="1" t="str">
        <f>IFERROR(__xludf.DUMMYFUNCTION("""COMPUTED_VALUE"""),"Male")</f>
        <v>Male</v>
      </c>
      <c r="G840" s="4" t="b">
        <f>IFERROR(__xludf.DUMMYFUNCTION("""COMPUTED_VALUE"""),TRUE)</f>
        <v>1</v>
      </c>
      <c r="H840" s="4" t="b">
        <f>IFERROR(__xludf.DUMMYFUNCTION("""COMPUTED_VALUE"""),TRUE)</f>
        <v>1</v>
      </c>
      <c r="I840" s="4">
        <f>IFERROR(__xludf.DUMMYFUNCTION("""COMPUTED_VALUE"""),0.24646185185185185)</f>
        <v>0.2464618519</v>
      </c>
      <c r="J840" s="4">
        <f>IFERROR(__xludf.DUMMYFUNCTION("""COMPUTED_VALUE"""),45949.25725938215)</f>
        <v>45949.25726</v>
      </c>
      <c r="K840" s="4">
        <f>IFERROR(__xludf.DUMMYFUNCTION("""COMPUTED_VALUE"""),45949.29119015788)</f>
        <v>45949.29119</v>
      </c>
      <c r="L840" s="4">
        <f>IFERROR(__xludf.DUMMYFUNCTION("""COMPUTED_VALUE"""),45949.2999599063)</f>
        <v>45949.29996</v>
      </c>
      <c r="M840" s="1" t="str">
        <f>IFERROR(__xludf.DUMMYFUNCTION("""COMPUTED_VALUE"""),"RFID")</f>
        <v>RFID</v>
      </c>
      <c r="N840" s="5">
        <f>IFERROR(__xludf.DUMMYFUNCTION("""COMPUTED_VALUE"""),0.004319013888888889)</f>
        <v>0.004319013889</v>
      </c>
      <c r="O840" s="5">
        <f>IFERROR(__xludf.DUMMYFUNCTION("""COMPUTED_VALUE"""),0.013572310185185186)</f>
        <v>0.01357231019</v>
      </c>
      <c r="P840" s="5">
        <f>IFERROR(__xludf.DUMMYFUNCTION("""COMPUTED_VALUE"""),0.003608949966905945)</f>
        <v>0.003608949967</v>
      </c>
      <c r="Q840" s="5">
        <f>IFERROR(__xludf.DUMMYFUNCTION("""COMPUTED_VALUE"""),0.0053498055555555556)</f>
        <v>0.005349805556</v>
      </c>
      <c r="R840" s="4">
        <f>IFERROR(__xludf.DUMMYFUNCTION("""COMPUTED_VALUE"""),45949.05349805445)</f>
        <v>45949.0535</v>
      </c>
      <c r="S840" s="1" t="b">
        <f>IFERROR(__xludf.DUMMYFUNCTION("""COMPUTED_VALUE"""),TRUE)</f>
        <v>1</v>
      </c>
      <c r="T840" s="1" t="b">
        <f>IFERROR(__xludf.DUMMYFUNCTION("""COMPUTED_VALUE"""),FALSE)</f>
        <v>0</v>
      </c>
      <c r="U840" s="1" t="str">
        <f>IFERROR(__xludf.DUMMYFUNCTION("""COMPUTED_VALUE"""),"VALID")</f>
        <v>VALID</v>
      </c>
      <c r="V840" s="1">
        <f>IFERROR(__xludf.DUMMYFUNCTION("""COMPUTED_VALUE"""),413.0)</f>
        <v>413</v>
      </c>
      <c r="W840" s="1">
        <f>IFERROR(__xludf.DUMMYFUNCTION("""COMPUTED_VALUE"""),493.0)</f>
        <v>493</v>
      </c>
      <c r="X840" s="1">
        <f>IFERROR(__xludf.DUMMYFUNCTION("""COMPUTED_VALUE"""),1469.0)</f>
        <v>1469</v>
      </c>
      <c r="Y840" s="2"/>
      <c r="Z840" s="2"/>
    </row>
    <row r="841">
      <c r="A841" s="1">
        <f>IFERROR(__xludf.DUMMYFUNCTION("""COMPUTED_VALUE"""),840.0)</f>
        <v>840</v>
      </c>
      <c r="B841" s="1">
        <f>IFERROR(__xludf.DUMMYFUNCTION("""COMPUTED_VALUE"""),10749.0)</f>
        <v>10749</v>
      </c>
      <c r="C841" s="2" t="str">
        <f>IFERROR(__xludf.DUMMYFUNCTION("""COMPUTED_VALUE"""),"REZA ADETYA JAYA SINAGA")</f>
        <v>REZA ADETYA JAYA SINAGA</v>
      </c>
      <c r="D841" s="2" t="str">
        <f>IFERROR(__xludf.DUMMYFUNCTION("""COMPUTED_VALUE"""),"10KM OVERALL M")</f>
        <v>10KM OVERALL M</v>
      </c>
      <c r="E841" s="1">
        <f>IFERROR(__xludf.DUMMYFUNCTION("""COMPUTED_VALUE"""),1.0)</f>
        <v>1</v>
      </c>
      <c r="F841" s="1" t="str">
        <f>IFERROR(__xludf.DUMMYFUNCTION("""COMPUTED_VALUE"""),"Male")</f>
        <v>Male</v>
      </c>
      <c r="G841" s="4" t="str">
        <f>IFERROR(__xludf.DUMMYFUNCTION("""COMPUTED_VALUE"""),"")</f>
        <v/>
      </c>
      <c r="H841" s="4" t="b">
        <f>IFERROR(__xludf.DUMMYFUNCTION("""COMPUTED_VALUE"""),TRUE)</f>
        <v>1</v>
      </c>
      <c r="I841" s="4">
        <f>IFERROR(__xludf.DUMMYFUNCTION("""COMPUTED_VALUE"""),0.24646185185185185)</f>
        <v>0.2464618519</v>
      </c>
      <c r="J841" s="4">
        <f>IFERROR(__xludf.DUMMYFUNCTION("""COMPUTED_VALUE"""),45949.25855446472)</f>
        <v>45949.25855</v>
      </c>
      <c r="K841" s="4">
        <f>IFERROR(__xludf.DUMMYFUNCTION("""COMPUTED_VALUE"""),45949.29774921245)</f>
        <v>45949.29775</v>
      </c>
      <c r="L841" s="4">
        <f>IFERROR(__xludf.DUMMYFUNCTION("""COMPUTED_VALUE"""),45949.308032817404)</f>
        <v>45949.30803</v>
      </c>
      <c r="M841" s="1" t="str">
        <f>IFERROR(__xludf.DUMMYFUNCTION("""COMPUTED_VALUE"""),"RFID")</f>
        <v>RFID</v>
      </c>
      <c r="N841" s="5">
        <f>IFERROR(__xludf.DUMMYFUNCTION("""COMPUTED_VALUE"""),0.004837046296296296)</f>
        <v>0.004837046296</v>
      </c>
      <c r="O841" s="5">
        <f>IFERROR(__xludf.DUMMYFUNCTION("""COMPUTED_VALUE"""),0.01567789814814815)</f>
        <v>0.01567789815</v>
      </c>
      <c r="P841" s="5">
        <f>IFERROR(__xludf.DUMMYFUNCTION("""COMPUTED_VALUE"""),0.004231936195668852)</f>
        <v>0.004231936196</v>
      </c>
      <c r="Q841" s="5">
        <f>IFERROR(__xludf.DUMMYFUNCTION("""COMPUTED_VALUE"""),0.006157096064814815)</f>
        <v>0.006157096065</v>
      </c>
      <c r="R841" s="4">
        <f>IFERROR(__xludf.DUMMYFUNCTION("""COMPUTED_VALUE"""),45949.061570965554)</f>
        <v>45949.06157</v>
      </c>
      <c r="S841" s="1" t="b">
        <f>IFERROR(__xludf.DUMMYFUNCTION("""COMPUTED_VALUE"""),TRUE)</f>
        <v>1</v>
      </c>
      <c r="T841" s="1" t="b">
        <f>IFERROR(__xludf.DUMMYFUNCTION("""COMPUTED_VALUE"""),FALSE)</f>
        <v>0</v>
      </c>
      <c r="U841" s="1" t="str">
        <f>IFERROR(__xludf.DUMMYFUNCTION("""COMPUTED_VALUE"""),"VALID")</f>
        <v>VALID</v>
      </c>
      <c r="V841" s="1">
        <f>IFERROR(__xludf.DUMMYFUNCTION("""COMPUTED_VALUE"""),548.0)</f>
        <v>548</v>
      </c>
      <c r="W841" s="1">
        <f>IFERROR(__xludf.DUMMYFUNCTION("""COMPUTED_VALUE"""),673.0)</f>
        <v>673</v>
      </c>
      <c r="X841" s="1">
        <f>IFERROR(__xludf.DUMMYFUNCTION("""COMPUTED_VALUE"""),1624.0)</f>
        <v>1624</v>
      </c>
      <c r="Y841" s="2"/>
      <c r="Z841" s="2"/>
    </row>
    <row r="842">
      <c r="A842" s="1">
        <f>IFERROR(__xludf.DUMMYFUNCTION("""COMPUTED_VALUE"""),841.0)</f>
        <v>841</v>
      </c>
      <c r="B842" s="1">
        <f>IFERROR(__xludf.DUMMYFUNCTION("""COMPUTED_VALUE"""),10750.0)</f>
        <v>10750</v>
      </c>
      <c r="C842" s="2" t="str">
        <f>IFERROR(__xludf.DUMMYFUNCTION("""COMPUTED_VALUE"""),"HERU SETIAWAN")</f>
        <v>HERU SETIAWAN</v>
      </c>
      <c r="D842" s="2" t="str">
        <f>IFERROR(__xludf.DUMMYFUNCTION("""COMPUTED_VALUE"""),"10KM OVERALL M")</f>
        <v>10KM OVERALL M</v>
      </c>
      <c r="E842" s="1">
        <f>IFERROR(__xludf.DUMMYFUNCTION("""COMPUTED_VALUE"""),1.0)</f>
        <v>1</v>
      </c>
      <c r="F842" s="1" t="str">
        <f>IFERROR(__xludf.DUMMYFUNCTION("""COMPUTED_VALUE"""),"Male")</f>
        <v>Male</v>
      </c>
      <c r="G842" s="4" t="str">
        <f>IFERROR(__xludf.DUMMYFUNCTION("""COMPUTED_VALUE"""),"")</f>
        <v/>
      </c>
      <c r="H842" s="4" t="b">
        <f>IFERROR(__xludf.DUMMYFUNCTION("""COMPUTED_VALUE"""),FALSE)</f>
        <v>0</v>
      </c>
      <c r="I842" s="4">
        <f>IFERROR(__xludf.DUMMYFUNCTION("""COMPUTED_VALUE"""),0.24646185185185185)</f>
        <v>0.2464618519</v>
      </c>
      <c r="J842" s="4" t="str">
        <f>IFERROR(__xludf.DUMMYFUNCTION("""COMPUTED_VALUE"""),"")</f>
        <v/>
      </c>
      <c r="K842" s="4" t="str">
        <f>IFERROR(__xludf.DUMMYFUNCTION("""COMPUTED_VALUE"""),"")</f>
        <v/>
      </c>
      <c r="L842" s="4" t="str">
        <f>IFERROR(__xludf.DUMMYFUNCTION("""COMPUTED_VALUE"""),"")</f>
        <v/>
      </c>
      <c r="M842" s="1" t="str">
        <f>IFERROR(__xludf.DUMMYFUNCTION("""COMPUTED_VALUE"""),"RFID")</f>
        <v>RFID</v>
      </c>
      <c r="N842" s="5" t="str">
        <f>IFERROR(__xludf.DUMMYFUNCTION("""COMPUTED_VALUE"""),"")</f>
        <v/>
      </c>
      <c r="O842" s="5" t="str">
        <f>IFERROR(__xludf.DUMMYFUNCTION("""COMPUTED_VALUE"""),"")</f>
        <v/>
      </c>
      <c r="P842" s="5" t="str">
        <f>IFERROR(__xludf.DUMMYFUNCTION("""COMPUTED_VALUE"""),"")</f>
        <v/>
      </c>
      <c r="Q842" s="5" t="str">
        <f>IFERROR(__xludf.DUMMYFUNCTION("""COMPUTED_VALUE"""),"")</f>
        <v/>
      </c>
      <c r="R842" s="4" t="str">
        <f>IFERROR(__xludf.DUMMYFUNCTION("""COMPUTED_VALUE"""),"")</f>
        <v/>
      </c>
      <c r="S842" s="1" t="b">
        <f>IFERROR(__xludf.DUMMYFUNCTION("""COMPUTED_VALUE"""),FALSE)</f>
        <v>0</v>
      </c>
      <c r="T842" s="1" t="b">
        <f>IFERROR(__xludf.DUMMYFUNCTION("""COMPUTED_VALUE"""),FALSE)</f>
        <v>0</v>
      </c>
      <c r="U842" s="1" t="str">
        <f>IFERROR(__xludf.DUMMYFUNCTION("""COMPUTED_VALUE"""),"DSQ")</f>
        <v>DSQ</v>
      </c>
      <c r="V842" s="1" t="str">
        <f>IFERROR(__xludf.DUMMYFUNCTION("""COMPUTED_VALUE"""),"DSQ")</f>
        <v>DSQ</v>
      </c>
      <c r="W842" s="1" t="str">
        <f>IFERROR(__xludf.DUMMYFUNCTION("""COMPUTED_VALUE"""),"DSQ")</f>
        <v>DSQ</v>
      </c>
      <c r="X842" s="1" t="str">
        <f>IFERROR(__xludf.DUMMYFUNCTION("""COMPUTED_VALUE"""),"DSQ")</f>
        <v>DSQ</v>
      </c>
      <c r="Y842" s="2"/>
      <c r="Z842" s="2" t="str">
        <f>IFERROR(__xludf.DUMMYFUNCTION("""COMPUTED_VALUE"""),"")</f>
        <v/>
      </c>
    </row>
    <row r="843">
      <c r="A843" s="1">
        <f>IFERROR(__xludf.DUMMYFUNCTION("""COMPUTED_VALUE"""),842.0)</f>
        <v>842</v>
      </c>
      <c r="B843" s="1">
        <f>IFERROR(__xludf.DUMMYFUNCTION("""COMPUTED_VALUE"""),10751.0)</f>
        <v>10751</v>
      </c>
      <c r="C843" s="2" t="str">
        <f>IFERROR(__xludf.DUMMYFUNCTION("""COMPUTED_VALUE"""),"JUNNAN")</f>
        <v>JUNNAN</v>
      </c>
      <c r="D843" s="2" t="str">
        <f>IFERROR(__xludf.DUMMYFUNCTION("""COMPUTED_VALUE"""),"10KM OVERALL M")</f>
        <v>10KM OVERALL M</v>
      </c>
      <c r="E843" s="1">
        <f>IFERROR(__xludf.DUMMYFUNCTION("""COMPUTED_VALUE"""),1.0)</f>
        <v>1</v>
      </c>
      <c r="F843" s="1" t="str">
        <f>IFERROR(__xludf.DUMMYFUNCTION("""COMPUTED_VALUE"""),"Male")</f>
        <v>Male</v>
      </c>
      <c r="G843" s="4" t="str">
        <f>IFERROR(__xludf.DUMMYFUNCTION("""COMPUTED_VALUE"""),"")</f>
        <v/>
      </c>
      <c r="H843" s="4" t="b">
        <f>IFERROR(__xludf.DUMMYFUNCTION("""COMPUTED_VALUE"""),TRUE)</f>
        <v>1</v>
      </c>
      <c r="I843" s="4">
        <f>IFERROR(__xludf.DUMMYFUNCTION("""COMPUTED_VALUE"""),0.24646185185185185)</f>
        <v>0.2464618519</v>
      </c>
      <c r="J843" s="4">
        <f>IFERROR(__xludf.DUMMYFUNCTION("""COMPUTED_VALUE"""),45949.261158632675)</f>
        <v>45949.26116</v>
      </c>
      <c r="K843" s="4">
        <f>IFERROR(__xludf.DUMMYFUNCTION("""COMPUTED_VALUE"""),45949.30063807955)</f>
        <v>45949.30064</v>
      </c>
      <c r="L843" s="4">
        <f>IFERROR(__xludf.DUMMYFUNCTION("""COMPUTED_VALUE"""),45949.31355016945)</f>
        <v>45949.31355</v>
      </c>
      <c r="M843" s="1" t="str">
        <f>IFERROR(__xludf.DUMMYFUNCTION("""COMPUTED_VALUE"""),"RFID")</f>
        <v>RFID</v>
      </c>
      <c r="N843" s="5">
        <f>IFERROR(__xludf.DUMMYFUNCTION("""COMPUTED_VALUE"""),0.005878712962962962)</f>
        <v>0.005878712963</v>
      </c>
      <c r="O843" s="5">
        <f>IFERROR(__xludf.DUMMYFUNCTION("""COMPUTED_VALUE"""),0.015791777777777776)</f>
        <v>0.01579177778</v>
      </c>
      <c r="P843" s="5">
        <f>IFERROR(__xludf.DUMMYFUNCTION("""COMPUTED_VALUE"""),0.0053136172428211665)</f>
        <v>0.005313617243</v>
      </c>
      <c r="Q843" s="5">
        <f>IFERROR(__xludf.DUMMYFUNCTION("""COMPUTED_VALUE"""),0.006708832175925926)</f>
        <v>0.006708832176</v>
      </c>
      <c r="R843" s="4">
        <f>IFERROR(__xludf.DUMMYFUNCTION("""COMPUTED_VALUE"""),45949.0670883176)</f>
        <v>45949.06709</v>
      </c>
      <c r="S843" s="1" t="b">
        <f>IFERROR(__xludf.DUMMYFUNCTION("""COMPUTED_VALUE"""),TRUE)</f>
        <v>1</v>
      </c>
      <c r="T843" s="1" t="b">
        <f>IFERROR(__xludf.DUMMYFUNCTION("""COMPUTED_VALUE"""),FALSE)</f>
        <v>0</v>
      </c>
      <c r="U843" s="1" t="str">
        <f>IFERROR(__xludf.DUMMYFUNCTION("""COMPUTED_VALUE"""),"VALID")</f>
        <v>VALID</v>
      </c>
      <c r="V843" s="1">
        <f>IFERROR(__xludf.DUMMYFUNCTION("""COMPUTED_VALUE"""),580.0)</f>
        <v>580</v>
      </c>
      <c r="W843" s="1">
        <f>IFERROR(__xludf.DUMMYFUNCTION("""COMPUTED_VALUE"""),720.0)</f>
        <v>720</v>
      </c>
      <c r="X843" s="1">
        <f>IFERROR(__xludf.DUMMYFUNCTION("""COMPUTED_VALUE"""),1656.0)</f>
        <v>1656</v>
      </c>
      <c r="Y843" s="2"/>
      <c r="Z843" s="2"/>
    </row>
    <row r="844">
      <c r="A844" s="1">
        <f>IFERROR(__xludf.DUMMYFUNCTION("""COMPUTED_VALUE"""),843.0)</f>
        <v>843</v>
      </c>
      <c r="B844" s="1">
        <f>IFERROR(__xludf.DUMMYFUNCTION("""COMPUTED_VALUE"""),10752.0)</f>
        <v>10752</v>
      </c>
      <c r="C844" s="2" t="str">
        <f>IFERROR(__xludf.DUMMYFUNCTION("""COMPUTED_VALUE"""),"ITA")</f>
        <v>ITA</v>
      </c>
      <c r="D844" s="2" t="str">
        <f>IFERROR(__xludf.DUMMYFUNCTION("""COMPUTED_VALUE"""),"10KM OVERALL M")</f>
        <v>10KM OVERALL M</v>
      </c>
      <c r="E844" s="1">
        <f>IFERROR(__xludf.DUMMYFUNCTION("""COMPUTED_VALUE"""),1.0)</f>
        <v>1</v>
      </c>
      <c r="F844" s="1" t="str">
        <f>IFERROR(__xludf.DUMMYFUNCTION("""COMPUTED_VALUE"""),"Female")</f>
        <v>Female</v>
      </c>
      <c r="G844" s="4" t="b">
        <f>IFERROR(__xludf.DUMMYFUNCTION("""COMPUTED_VALUE"""),TRUE)</f>
        <v>1</v>
      </c>
      <c r="H844" s="4" t="b">
        <f>IFERROR(__xludf.DUMMYFUNCTION("""COMPUTED_VALUE"""),TRUE)</f>
        <v>1</v>
      </c>
      <c r="I844" s="4">
        <f>IFERROR(__xludf.DUMMYFUNCTION("""COMPUTED_VALUE"""),0.24646185185185185)</f>
        <v>0.2464618519</v>
      </c>
      <c r="J844" s="4" t="str">
        <f>IFERROR(__xludf.DUMMYFUNCTION("""COMPUTED_VALUE"""),"")</f>
        <v/>
      </c>
      <c r="K844" s="4">
        <f>IFERROR(__xludf.DUMMYFUNCTION("""COMPUTED_VALUE"""),45949.30057897821)</f>
        <v>45949.30058</v>
      </c>
      <c r="L844" s="4">
        <f>IFERROR(__xludf.DUMMYFUNCTION("""COMPUTED_VALUE"""),45949.3135258821)</f>
        <v>45949.31353</v>
      </c>
      <c r="M844" s="1" t="str">
        <f>IFERROR(__xludf.DUMMYFUNCTION("""COMPUTED_VALUE"""),"RFID")</f>
        <v>RFID</v>
      </c>
      <c r="N844" s="5" t="str">
        <f>IFERROR(__xludf.DUMMYFUNCTION("""COMPUTED_VALUE"""),"")</f>
        <v/>
      </c>
      <c r="O844" s="5" t="str">
        <f>IFERROR(__xludf.DUMMYFUNCTION("""COMPUTED_VALUE"""),"")</f>
        <v/>
      </c>
      <c r="P844" s="5">
        <f>IFERROR(__xludf.DUMMYFUNCTION("""COMPUTED_VALUE"""),0.005327943986623812)</f>
        <v>0.005327943987</v>
      </c>
      <c r="Q844" s="5">
        <f>IFERROR(__xludf.DUMMYFUNCTION("""COMPUTED_VALUE"""),0.006706402777777778)</f>
        <v>0.006706402778</v>
      </c>
      <c r="R844" s="4">
        <f>IFERROR(__xludf.DUMMYFUNCTION("""COMPUTED_VALUE"""),45949.06706403025)</f>
        <v>45949.06706</v>
      </c>
      <c r="S844" s="1" t="b">
        <f>IFERROR(__xludf.DUMMYFUNCTION("""COMPUTED_VALUE"""),TRUE)</f>
        <v>1</v>
      </c>
      <c r="T844" s="1" t="b">
        <f>IFERROR(__xludf.DUMMYFUNCTION("""COMPUTED_VALUE"""),FALSE)</f>
        <v>0</v>
      </c>
      <c r="U844" s="1" t="str">
        <f>IFERROR(__xludf.DUMMYFUNCTION("""COMPUTED_VALUE"""),"VALID")</f>
        <v>VALID</v>
      </c>
      <c r="V844" s="1">
        <f>IFERROR(__xludf.DUMMYFUNCTION("""COMPUTED_VALUE"""),579.0)</f>
        <v>579</v>
      </c>
      <c r="W844" s="1">
        <f>IFERROR(__xludf.DUMMYFUNCTION("""COMPUTED_VALUE"""),719.0)</f>
        <v>719</v>
      </c>
      <c r="X844" s="1">
        <f>IFERROR(__xludf.DUMMYFUNCTION("""COMPUTED_VALUE"""),674.0)</f>
        <v>674</v>
      </c>
      <c r="Y844" s="2"/>
      <c r="Z844" s="2" t="str">
        <f>IFERROR(__xludf.DUMMYFUNCTION("""COMPUTED_VALUE"""),"")</f>
        <v/>
      </c>
    </row>
    <row r="845">
      <c r="A845" s="1">
        <f>IFERROR(__xludf.DUMMYFUNCTION("""COMPUTED_VALUE"""),844.0)</f>
        <v>844</v>
      </c>
      <c r="B845" s="1">
        <f>IFERROR(__xludf.DUMMYFUNCTION("""COMPUTED_VALUE"""),10753.0)</f>
        <v>10753</v>
      </c>
      <c r="C845" s="2" t="str">
        <f>IFERROR(__xludf.DUMMYFUNCTION("""COMPUTED_VALUE"""),"RIZKY RAMADHAN")</f>
        <v>RIZKY RAMADHAN</v>
      </c>
      <c r="D845" s="2" t="str">
        <f>IFERROR(__xludf.DUMMYFUNCTION("""COMPUTED_VALUE"""),"10KM OVERALL M")</f>
        <v>10KM OVERALL M</v>
      </c>
      <c r="E845" s="1">
        <f>IFERROR(__xludf.DUMMYFUNCTION("""COMPUTED_VALUE"""),1.0)</f>
        <v>1</v>
      </c>
      <c r="F845" s="1" t="str">
        <f>IFERROR(__xludf.DUMMYFUNCTION("""COMPUTED_VALUE"""),"Female")</f>
        <v>Female</v>
      </c>
      <c r="G845" s="4" t="b">
        <f>IFERROR(__xludf.DUMMYFUNCTION("""COMPUTED_VALUE"""),TRUE)</f>
        <v>1</v>
      </c>
      <c r="H845" s="4" t="b">
        <f>IFERROR(__xludf.DUMMYFUNCTION("""COMPUTED_VALUE"""),TRUE)</f>
        <v>1</v>
      </c>
      <c r="I845" s="4">
        <f>IFERROR(__xludf.DUMMYFUNCTION("""COMPUTED_VALUE"""),0.24646185185185185)</f>
        <v>0.2464618519</v>
      </c>
      <c r="J845" s="4">
        <f>IFERROR(__xludf.DUMMYFUNCTION("""COMPUTED_VALUE"""),45949.260912104)</f>
        <v>45949.26091</v>
      </c>
      <c r="K845" s="4">
        <f>IFERROR(__xludf.DUMMYFUNCTION("""COMPUTED_VALUE"""),45949.299516530904)</f>
        <v>45949.29952</v>
      </c>
      <c r="L845" s="4">
        <f>IFERROR(__xludf.DUMMYFUNCTION("""COMPUTED_VALUE"""),45949.311459839766)</f>
        <v>45949.31146</v>
      </c>
      <c r="M845" s="1" t="str">
        <f>IFERROR(__xludf.DUMMYFUNCTION("""COMPUTED_VALUE"""),"RFID")</f>
        <v>RFID</v>
      </c>
      <c r="N845" s="5">
        <f>IFERROR(__xludf.DUMMYFUNCTION("""COMPUTED_VALUE"""),0.005780101851851851)</f>
        <v>0.005780101852</v>
      </c>
      <c r="O845" s="5">
        <f>IFERROR(__xludf.DUMMYFUNCTION("""COMPUTED_VALUE"""),0.01544176851851852)</f>
        <v>0.01544176852</v>
      </c>
      <c r="P845" s="5">
        <f>IFERROR(__xludf.DUMMYFUNCTION("""COMPUTED_VALUE"""),0.004914941918560008)</f>
        <v>0.004914941919</v>
      </c>
      <c r="Q845" s="5">
        <f>IFERROR(__xludf.DUMMYFUNCTION("""COMPUTED_VALUE"""),0.006499798611111112)</f>
        <v>0.006499798611</v>
      </c>
      <c r="R845" s="4">
        <f>IFERROR(__xludf.DUMMYFUNCTION("""COMPUTED_VALUE"""),45949.064997987916)</f>
        <v>45949.065</v>
      </c>
      <c r="S845" s="1" t="b">
        <f>IFERROR(__xludf.DUMMYFUNCTION("""COMPUTED_VALUE"""),TRUE)</f>
        <v>1</v>
      </c>
      <c r="T845" s="1" t="b">
        <f>IFERROR(__xludf.DUMMYFUNCTION("""COMPUTED_VALUE"""),FALSE)</f>
        <v>0</v>
      </c>
      <c r="U845" s="1" t="str">
        <f>IFERROR(__xludf.DUMMYFUNCTION("""COMPUTED_VALUE"""),"VALID")</f>
        <v>VALID</v>
      </c>
      <c r="V845" s="1">
        <f>IFERROR(__xludf.DUMMYFUNCTION("""COMPUTED_VALUE"""),566.0)</f>
        <v>566</v>
      </c>
      <c r="W845" s="1">
        <f>IFERROR(__xludf.DUMMYFUNCTION("""COMPUTED_VALUE"""),698.0)</f>
        <v>698</v>
      </c>
      <c r="X845" s="1">
        <f>IFERROR(__xludf.DUMMYFUNCTION("""COMPUTED_VALUE"""),665.0)</f>
        <v>665</v>
      </c>
      <c r="Y845" s="2"/>
      <c r="Z845" s="2"/>
    </row>
    <row r="846">
      <c r="A846" s="1">
        <f>IFERROR(__xludf.DUMMYFUNCTION("""COMPUTED_VALUE"""),845.0)</f>
        <v>845</v>
      </c>
      <c r="B846" s="1">
        <f>IFERROR(__xludf.DUMMYFUNCTION("""COMPUTED_VALUE"""),10754.0)</f>
        <v>10754</v>
      </c>
      <c r="C846" s="2" t="str">
        <f>IFERROR(__xludf.DUMMYFUNCTION("""COMPUTED_VALUE"""),"BINTARA")</f>
        <v>BINTARA</v>
      </c>
      <c r="D846" s="2" t="str">
        <f>IFERROR(__xludf.DUMMYFUNCTION("""COMPUTED_VALUE"""),"10KM OVERALL M")</f>
        <v>10KM OVERALL M</v>
      </c>
      <c r="E846" s="1">
        <f>IFERROR(__xludf.DUMMYFUNCTION("""COMPUTED_VALUE"""),1.0)</f>
        <v>1</v>
      </c>
      <c r="F846" s="1" t="str">
        <f>IFERROR(__xludf.DUMMYFUNCTION("""COMPUTED_VALUE"""),"Male")</f>
        <v>Male</v>
      </c>
      <c r="G846" s="4" t="b">
        <f>IFERROR(__xludf.DUMMYFUNCTION("""COMPUTED_VALUE"""),TRUE)</f>
        <v>1</v>
      </c>
      <c r="H846" s="4" t="b">
        <f>IFERROR(__xludf.DUMMYFUNCTION("""COMPUTED_VALUE"""),TRUE)</f>
        <v>1</v>
      </c>
      <c r="I846" s="4">
        <f>IFERROR(__xludf.DUMMYFUNCTION("""COMPUTED_VALUE"""),0.24646185185185185)</f>
        <v>0.2464618519</v>
      </c>
      <c r="J846" s="4">
        <f>IFERROR(__xludf.DUMMYFUNCTION("""COMPUTED_VALUE"""),45949.2576378649)</f>
        <v>45949.25764</v>
      </c>
      <c r="K846" s="4">
        <f>IFERROR(__xludf.DUMMYFUNCTION("""COMPUTED_VALUE"""),45949.29172487569)</f>
        <v>45949.29172</v>
      </c>
      <c r="L846" s="4">
        <f>IFERROR(__xludf.DUMMYFUNCTION("""COMPUTED_VALUE"""),45949.30102587404)</f>
        <v>45949.30103</v>
      </c>
      <c r="M846" s="1" t="str">
        <f>IFERROR(__xludf.DUMMYFUNCTION("""COMPUTED_VALUE"""),"RFID")</f>
        <v>RFID</v>
      </c>
      <c r="N846" s="5">
        <f>IFERROR(__xludf.DUMMYFUNCTION("""COMPUTED_VALUE"""),0.004470407407407407)</f>
        <v>0.004470407407</v>
      </c>
      <c r="O846" s="5">
        <f>IFERROR(__xludf.DUMMYFUNCTION("""COMPUTED_VALUE"""),0.013634805555555555)</f>
        <v>0.01363480556</v>
      </c>
      <c r="P846" s="5">
        <f>IFERROR(__xludf.DUMMYFUNCTION("""COMPUTED_VALUE"""),0.003827571336044872)</f>
        <v>0.003827571336</v>
      </c>
      <c r="Q846" s="5">
        <f>IFERROR(__xludf.DUMMYFUNCTION("""COMPUTED_VALUE"""),0.005456402777777778)</f>
        <v>0.005456402778</v>
      </c>
      <c r="R846" s="4">
        <f>IFERROR(__xludf.DUMMYFUNCTION("""COMPUTED_VALUE"""),45949.05456402219)</f>
        <v>45949.05456</v>
      </c>
      <c r="S846" s="1" t="b">
        <f>IFERROR(__xludf.DUMMYFUNCTION("""COMPUTED_VALUE"""),TRUE)</f>
        <v>1</v>
      </c>
      <c r="T846" s="1" t="b">
        <f>IFERROR(__xludf.DUMMYFUNCTION("""COMPUTED_VALUE"""),FALSE)</f>
        <v>0</v>
      </c>
      <c r="U846" s="1" t="str">
        <f>IFERROR(__xludf.DUMMYFUNCTION("""COMPUTED_VALUE"""),"VALID")</f>
        <v>VALID</v>
      </c>
      <c r="V846" s="1">
        <f>IFERROR(__xludf.DUMMYFUNCTION("""COMPUTED_VALUE"""),451.0)</f>
        <v>451</v>
      </c>
      <c r="W846" s="1">
        <f>IFERROR(__xludf.DUMMYFUNCTION("""COMPUTED_VALUE"""),536.0)</f>
        <v>536</v>
      </c>
      <c r="X846" s="1">
        <f>IFERROR(__xludf.DUMMYFUNCTION("""COMPUTED_VALUE"""),1513.0)</f>
        <v>1513</v>
      </c>
      <c r="Y846" s="2"/>
      <c r="Z846" s="2"/>
    </row>
    <row r="847">
      <c r="A847" s="1">
        <f>IFERROR(__xludf.DUMMYFUNCTION("""COMPUTED_VALUE"""),846.0)</f>
        <v>846</v>
      </c>
      <c r="B847" s="1">
        <f>IFERROR(__xludf.DUMMYFUNCTION("""COMPUTED_VALUE"""),10755.0)</f>
        <v>10755</v>
      </c>
      <c r="C847" s="2" t="str">
        <f>IFERROR(__xludf.DUMMYFUNCTION("""COMPUTED_VALUE"""),"VRESTY")</f>
        <v>VRESTY</v>
      </c>
      <c r="D847" s="2" t="str">
        <f>IFERROR(__xludf.DUMMYFUNCTION("""COMPUTED_VALUE"""),"10KM OVERALL M")</f>
        <v>10KM OVERALL M</v>
      </c>
      <c r="E847" s="1">
        <f>IFERROR(__xludf.DUMMYFUNCTION("""COMPUTED_VALUE"""),1.0)</f>
        <v>1</v>
      </c>
      <c r="F847" s="1" t="str">
        <f>IFERROR(__xludf.DUMMYFUNCTION("""COMPUTED_VALUE"""),"Female")</f>
        <v>Female</v>
      </c>
      <c r="G847" s="4" t="str">
        <f>IFERROR(__xludf.DUMMYFUNCTION("""COMPUTED_VALUE"""),"")</f>
        <v/>
      </c>
      <c r="H847" s="4" t="b">
        <f>IFERROR(__xludf.DUMMYFUNCTION("""COMPUTED_VALUE"""),FALSE)</f>
        <v>0</v>
      </c>
      <c r="I847" s="4">
        <f>IFERROR(__xludf.DUMMYFUNCTION("""COMPUTED_VALUE"""),0.24646185185185185)</f>
        <v>0.2464618519</v>
      </c>
      <c r="J847" s="4" t="str">
        <f>IFERROR(__xludf.DUMMYFUNCTION("""COMPUTED_VALUE"""),"")</f>
        <v/>
      </c>
      <c r="K847" s="4" t="str">
        <f>IFERROR(__xludf.DUMMYFUNCTION("""COMPUTED_VALUE"""),"")</f>
        <v/>
      </c>
      <c r="L847" s="4" t="str">
        <f>IFERROR(__xludf.DUMMYFUNCTION("""COMPUTED_VALUE"""),"")</f>
        <v/>
      </c>
      <c r="M847" s="1" t="str">
        <f>IFERROR(__xludf.DUMMYFUNCTION("""COMPUTED_VALUE"""),"RFID")</f>
        <v>RFID</v>
      </c>
      <c r="N847" s="5" t="str">
        <f>IFERROR(__xludf.DUMMYFUNCTION("""COMPUTED_VALUE"""),"")</f>
        <v/>
      </c>
      <c r="O847" s="5" t="str">
        <f>IFERROR(__xludf.DUMMYFUNCTION("""COMPUTED_VALUE"""),"")</f>
        <v/>
      </c>
      <c r="P847" s="5" t="str">
        <f>IFERROR(__xludf.DUMMYFUNCTION("""COMPUTED_VALUE"""),"")</f>
        <v/>
      </c>
      <c r="Q847" s="5" t="str">
        <f>IFERROR(__xludf.DUMMYFUNCTION("""COMPUTED_VALUE"""),"")</f>
        <v/>
      </c>
      <c r="R847" s="4" t="str">
        <f>IFERROR(__xludf.DUMMYFUNCTION("""COMPUTED_VALUE"""),"")</f>
        <v/>
      </c>
      <c r="S847" s="1" t="b">
        <f>IFERROR(__xludf.DUMMYFUNCTION("""COMPUTED_VALUE"""),FALSE)</f>
        <v>0</v>
      </c>
      <c r="T847" s="1" t="b">
        <f>IFERROR(__xludf.DUMMYFUNCTION("""COMPUTED_VALUE"""),FALSE)</f>
        <v>0</v>
      </c>
      <c r="U847" s="1" t="str">
        <f>IFERROR(__xludf.DUMMYFUNCTION("""COMPUTED_VALUE"""),"DSQ")</f>
        <v>DSQ</v>
      </c>
      <c r="V847" s="1" t="str">
        <f>IFERROR(__xludf.DUMMYFUNCTION("""COMPUTED_VALUE"""),"DSQ")</f>
        <v>DSQ</v>
      </c>
      <c r="W847" s="1" t="str">
        <f>IFERROR(__xludf.DUMMYFUNCTION("""COMPUTED_VALUE"""),"DSQ")</f>
        <v>DSQ</v>
      </c>
      <c r="X847" s="1" t="str">
        <f>IFERROR(__xludf.DUMMYFUNCTION("""COMPUTED_VALUE"""),"DSQ")</f>
        <v>DSQ</v>
      </c>
      <c r="Y847" s="2"/>
      <c r="Z847" s="2" t="str">
        <f>IFERROR(__xludf.DUMMYFUNCTION("""COMPUTED_VALUE"""),"")</f>
        <v/>
      </c>
    </row>
    <row r="848">
      <c r="A848" s="1">
        <f>IFERROR(__xludf.DUMMYFUNCTION("""COMPUTED_VALUE"""),847.0)</f>
        <v>847</v>
      </c>
      <c r="B848" s="1">
        <f>IFERROR(__xludf.DUMMYFUNCTION("""COMPUTED_VALUE"""),10756.0)</f>
        <v>10756</v>
      </c>
      <c r="C848" s="2" t="str">
        <f>IFERROR(__xludf.DUMMYFUNCTION("""COMPUTED_VALUE"""),"AYAT")</f>
        <v>AYAT</v>
      </c>
      <c r="D848" s="2" t="str">
        <f>IFERROR(__xludf.DUMMYFUNCTION("""COMPUTED_VALUE"""),"10KM OVERALL M")</f>
        <v>10KM OVERALL M</v>
      </c>
      <c r="E848" s="1">
        <f>IFERROR(__xludf.DUMMYFUNCTION("""COMPUTED_VALUE"""),1.0)</f>
        <v>1</v>
      </c>
      <c r="F848" s="1" t="str">
        <f>IFERROR(__xludf.DUMMYFUNCTION("""COMPUTED_VALUE"""),"Female")</f>
        <v>Female</v>
      </c>
      <c r="G848" s="4" t="b">
        <f>IFERROR(__xludf.DUMMYFUNCTION("""COMPUTED_VALUE"""),TRUE)</f>
        <v>1</v>
      </c>
      <c r="H848" s="4" t="b">
        <f>IFERROR(__xludf.DUMMYFUNCTION("""COMPUTED_VALUE"""),TRUE)</f>
        <v>1</v>
      </c>
      <c r="I848" s="4">
        <f>IFERROR(__xludf.DUMMYFUNCTION("""COMPUTED_VALUE"""),0.24646185185185185)</f>
        <v>0.2464618519</v>
      </c>
      <c r="J848" s="4">
        <f>IFERROR(__xludf.DUMMYFUNCTION("""COMPUTED_VALUE"""),45949.25833233482)</f>
        <v>45949.25833</v>
      </c>
      <c r="K848" s="4">
        <f>IFERROR(__xludf.DUMMYFUNCTION("""COMPUTED_VALUE"""),45949.28384615941)</f>
        <v>45949.28385</v>
      </c>
      <c r="L848" s="4">
        <f>IFERROR(__xludf.DUMMYFUNCTION("""COMPUTED_VALUE"""),45949.29080018142)</f>
        <v>45949.2908</v>
      </c>
      <c r="M848" s="1" t="str">
        <f>IFERROR(__xludf.DUMMYFUNCTION("""COMPUTED_VALUE"""),"RFID")</f>
        <v>RFID</v>
      </c>
      <c r="N848" s="5">
        <f>IFERROR(__xludf.DUMMYFUNCTION("""COMPUTED_VALUE"""),0.004748194444444444)</f>
        <v>0.004748194444</v>
      </c>
      <c r="O848" s="5">
        <f>IFERROR(__xludf.DUMMYFUNCTION("""COMPUTED_VALUE"""),0.010205527777777777)</f>
        <v>0.01020552778</v>
      </c>
      <c r="P848" s="5">
        <f>IFERROR(__xludf.DUMMYFUNCTION("""COMPUTED_VALUE"""),0.002861737454244905)</f>
        <v>0.002861737454</v>
      </c>
      <c r="Q848" s="5">
        <f>IFERROR(__xludf.DUMMYFUNCTION("""COMPUTED_VALUE"""),0.004433833333333333)</f>
        <v>0.004433833333</v>
      </c>
      <c r="R848" s="4">
        <f>IFERROR(__xludf.DUMMYFUNCTION("""COMPUTED_VALUE"""),45949.04433832957)</f>
        <v>45949.04434</v>
      </c>
      <c r="S848" s="1" t="b">
        <f>IFERROR(__xludf.DUMMYFUNCTION("""COMPUTED_VALUE"""),TRUE)</f>
        <v>1</v>
      </c>
      <c r="T848" s="1" t="b">
        <f>IFERROR(__xludf.DUMMYFUNCTION("""COMPUTED_VALUE"""),FALSE)</f>
        <v>0</v>
      </c>
      <c r="U848" s="1" t="str">
        <f>IFERROR(__xludf.DUMMYFUNCTION("""COMPUTED_VALUE"""),"VALID")</f>
        <v>VALID</v>
      </c>
      <c r="V848" s="1">
        <f>IFERROR(__xludf.DUMMYFUNCTION("""COMPUTED_VALUE"""),194.0)</f>
        <v>194</v>
      </c>
      <c r="W848" s="1">
        <f>IFERROR(__xludf.DUMMYFUNCTION("""COMPUTED_VALUE"""),234.0)</f>
        <v>234</v>
      </c>
      <c r="X848" s="1">
        <f>IFERROR(__xludf.DUMMYFUNCTION("""COMPUTED_VALUE"""),493.0)</f>
        <v>493</v>
      </c>
      <c r="Y848" s="2"/>
      <c r="Z848" s="2"/>
    </row>
    <row r="849">
      <c r="A849" s="1">
        <f>IFERROR(__xludf.DUMMYFUNCTION("""COMPUTED_VALUE"""),848.0)</f>
        <v>848</v>
      </c>
      <c r="B849" s="1">
        <f>IFERROR(__xludf.DUMMYFUNCTION("""COMPUTED_VALUE"""),10757.0)</f>
        <v>10757</v>
      </c>
      <c r="C849" s="2" t="str">
        <f>IFERROR(__xludf.DUMMYFUNCTION("""COMPUTED_VALUE"""),"SHODIQUR RIFKY")</f>
        <v>SHODIQUR RIFKY</v>
      </c>
      <c r="D849" s="2" t="str">
        <f>IFERROR(__xludf.DUMMYFUNCTION("""COMPUTED_VALUE"""),"10KM OVERALL M")</f>
        <v>10KM OVERALL M</v>
      </c>
      <c r="E849" s="1">
        <f>IFERROR(__xludf.DUMMYFUNCTION("""COMPUTED_VALUE"""),1.0)</f>
        <v>1</v>
      </c>
      <c r="F849" s="1" t="str">
        <f>IFERROR(__xludf.DUMMYFUNCTION("""COMPUTED_VALUE"""),"Female")</f>
        <v>Female</v>
      </c>
      <c r="G849" s="4" t="str">
        <f>IFERROR(__xludf.DUMMYFUNCTION("""COMPUTED_VALUE"""),"")</f>
        <v/>
      </c>
      <c r="H849" s="4" t="b">
        <f>IFERROR(__xludf.DUMMYFUNCTION("""COMPUTED_VALUE"""),TRUE)</f>
        <v>1</v>
      </c>
      <c r="I849" s="4">
        <f>IFERROR(__xludf.DUMMYFUNCTION("""COMPUTED_VALUE"""),0.24646185185185185)</f>
        <v>0.2464618519</v>
      </c>
      <c r="J849" s="4">
        <f>IFERROR(__xludf.DUMMYFUNCTION("""COMPUTED_VALUE"""),45949.272596144125)</f>
        <v>45949.2726</v>
      </c>
      <c r="K849" s="4" t="str">
        <f>IFERROR(__xludf.DUMMYFUNCTION("""COMPUTED_VALUE"""),"")</f>
        <v/>
      </c>
      <c r="L849" s="4">
        <f>IFERROR(__xludf.DUMMYFUNCTION("""COMPUTED_VALUE"""),45949.28228628983)</f>
        <v>45949.28229</v>
      </c>
      <c r="M849" s="1" t="str">
        <f>IFERROR(__xludf.DUMMYFUNCTION("""COMPUTED_VALUE"""),"RFID")</f>
        <v>RFID</v>
      </c>
      <c r="N849" s="5">
        <f>IFERROR(__xludf.DUMMYFUNCTION("""COMPUTED_VALUE"""),0.010453717592592593)</f>
        <v>0.01045371759</v>
      </c>
      <c r="O849" s="5" t="str">
        <f>IFERROR(__xludf.DUMMYFUNCTION("""COMPUTED_VALUE"""),"")</f>
        <v/>
      </c>
      <c r="P849" s="5" t="str">
        <f>IFERROR(__xludf.DUMMYFUNCTION("""COMPUTED_VALUE"""),"")</f>
        <v/>
      </c>
      <c r="Q849" s="5">
        <f>IFERROR(__xludf.DUMMYFUNCTION("""COMPUTED_VALUE"""),0.0035824432870370376)</f>
        <v>0.003582443287</v>
      </c>
      <c r="R849" s="4">
        <f>IFERROR(__xludf.DUMMYFUNCTION("""COMPUTED_VALUE"""),45949.03582443798)</f>
        <v>45949.03582</v>
      </c>
      <c r="S849" s="1" t="b">
        <f>IFERROR(__xludf.DUMMYFUNCTION("""COMPUTED_VALUE"""),TRUE)</f>
        <v>1</v>
      </c>
      <c r="T849" s="1" t="b">
        <f>IFERROR(__xludf.DUMMYFUNCTION("""COMPUTED_VALUE"""),FALSE)</f>
        <v>0</v>
      </c>
      <c r="U849" s="1" t="str">
        <f>IFERROR(__xludf.DUMMYFUNCTION("""COMPUTED_VALUE"""),"VALID")</f>
        <v>VALID</v>
      </c>
      <c r="V849" s="1">
        <f>IFERROR(__xludf.DUMMYFUNCTION("""COMPUTED_VALUE"""),41.0)</f>
        <v>41</v>
      </c>
      <c r="W849" s="1">
        <f>IFERROR(__xludf.DUMMYFUNCTION("""COMPUTED_VALUE"""),51.0)</f>
        <v>51</v>
      </c>
      <c r="X849" s="1">
        <f>IFERROR(__xludf.DUMMYFUNCTION("""COMPUTED_VALUE"""),227.0)</f>
        <v>227</v>
      </c>
      <c r="Y849" s="2"/>
      <c r="Z849" s="2"/>
    </row>
    <row r="850">
      <c r="A850" s="1">
        <f>IFERROR(__xludf.DUMMYFUNCTION("""COMPUTED_VALUE"""),849.0)</f>
        <v>849</v>
      </c>
      <c r="B850" s="1">
        <f>IFERROR(__xludf.DUMMYFUNCTION("""COMPUTED_VALUE"""),10758.0)</f>
        <v>10758</v>
      </c>
      <c r="C850" s="2" t="str">
        <f>IFERROR(__xludf.DUMMYFUNCTION("""COMPUTED_VALUE"""),"POLRES BJB")</f>
        <v>POLRES BJB</v>
      </c>
      <c r="D850" s="2" t="str">
        <f>IFERROR(__xludf.DUMMYFUNCTION("""COMPUTED_VALUE"""),"10KM OVERALL M")</f>
        <v>10KM OVERALL M</v>
      </c>
      <c r="E850" s="1">
        <f>IFERROR(__xludf.DUMMYFUNCTION("""COMPUTED_VALUE"""),1.0)</f>
        <v>1</v>
      </c>
      <c r="F850" s="1" t="str">
        <f>IFERROR(__xludf.DUMMYFUNCTION("""COMPUTED_VALUE"""),"Male")</f>
        <v>Male</v>
      </c>
      <c r="G850" s="4" t="b">
        <f>IFERROR(__xludf.DUMMYFUNCTION("""COMPUTED_VALUE"""),TRUE)</f>
        <v>1</v>
      </c>
      <c r="H850" s="4" t="b">
        <f>IFERROR(__xludf.DUMMYFUNCTION("""COMPUTED_VALUE"""),FALSE)</f>
        <v>0</v>
      </c>
      <c r="I850" s="4">
        <f>IFERROR(__xludf.DUMMYFUNCTION("""COMPUTED_VALUE"""),0.24646185185185185)</f>
        <v>0.2464618519</v>
      </c>
      <c r="J850" s="4">
        <f>IFERROR(__xludf.DUMMYFUNCTION("""COMPUTED_VALUE"""),45949.253165582755)</f>
        <v>45949.25317</v>
      </c>
      <c r="K850" s="4">
        <f>IFERROR(__xludf.DUMMYFUNCTION("""COMPUTED_VALUE"""),45949.27156362146)</f>
        <v>45949.27156</v>
      </c>
      <c r="L850" s="4">
        <f>IFERROR(__xludf.DUMMYFUNCTION("""COMPUTED_VALUE"""),45949.27700850156)</f>
        <v>45949.27701</v>
      </c>
      <c r="M850" s="1" t="str">
        <f>IFERROR(__xludf.DUMMYFUNCTION("""COMPUTED_VALUE"""),"RFID")</f>
        <v>RFID</v>
      </c>
      <c r="N850" s="5">
        <f>IFERROR(__xludf.DUMMYFUNCTION("""COMPUTED_VALUE"""),0.002681490740740741)</f>
        <v>0.002681490741</v>
      </c>
      <c r="O850" s="5">
        <f>IFERROR(__xludf.DUMMYFUNCTION("""COMPUTED_VALUE"""),0.007359217592592592)</f>
        <v>0.007359217593</v>
      </c>
      <c r="P850" s="5">
        <f>IFERROR(__xludf.DUMMYFUNCTION("""COMPUTED_VALUE"""),0.002240691397007585)</f>
        <v>0.002240691397</v>
      </c>
      <c r="Q850" s="5">
        <f>IFERROR(__xludf.DUMMYFUNCTION("""COMPUTED_VALUE"""),0.0030546655092592596)</f>
        <v>0.003054665509</v>
      </c>
      <c r="R850" s="4">
        <f>IFERROR(__xludf.DUMMYFUNCTION("""COMPUTED_VALUE"""),45949.03054664971)</f>
        <v>45949.03055</v>
      </c>
      <c r="S850" s="1" t="b">
        <f>IFERROR(__xludf.DUMMYFUNCTION("""COMPUTED_VALUE"""),TRUE)</f>
        <v>1</v>
      </c>
      <c r="T850" s="1" t="b">
        <f>IFERROR(__xludf.DUMMYFUNCTION("""COMPUTED_VALUE"""),FALSE)</f>
        <v>0</v>
      </c>
      <c r="U850" s="1" t="str">
        <f>IFERROR(__xludf.DUMMYFUNCTION("""COMPUTED_VALUE"""),"VALID")</f>
        <v>VALID</v>
      </c>
      <c r="V850" s="1">
        <f>IFERROR(__xludf.DUMMYFUNCTION("""COMPUTED_VALUE"""),8.0)</f>
        <v>8</v>
      </c>
      <c r="W850" s="1">
        <f>IFERROR(__xludf.DUMMYFUNCTION("""COMPUTED_VALUE"""),12.0)</f>
        <v>12</v>
      </c>
      <c r="X850" s="1">
        <f>IFERROR(__xludf.DUMMYFUNCTION("""COMPUTED_VALUE"""),508.0)</f>
        <v>508</v>
      </c>
      <c r="Y850" s="2"/>
      <c r="Z850" s="2"/>
    </row>
    <row r="851">
      <c r="A851" s="1">
        <f>IFERROR(__xludf.DUMMYFUNCTION("""COMPUTED_VALUE"""),850.0)</f>
        <v>850</v>
      </c>
      <c r="B851" s="1">
        <f>IFERROR(__xludf.DUMMYFUNCTION("""COMPUTED_VALUE"""),10759.0)</f>
        <v>10759</v>
      </c>
      <c r="C851" s="2" t="str">
        <f>IFERROR(__xludf.DUMMYFUNCTION("""COMPUTED_VALUE"""),"POLRES BJB")</f>
        <v>POLRES BJB</v>
      </c>
      <c r="D851" s="2" t="str">
        <f>IFERROR(__xludf.DUMMYFUNCTION("""COMPUTED_VALUE"""),"10KM OVERALL M")</f>
        <v>10KM OVERALL M</v>
      </c>
      <c r="E851" s="1">
        <f>IFERROR(__xludf.DUMMYFUNCTION("""COMPUTED_VALUE"""),1.0)</f>
        <v>1</v>
      </c>
      <c r="F851" s="1" t="str">
        <f>IFERROR(__xludf.DUMMYFUNCTION("""COMPUTED_VALUE"""),"Male")</f>
        <v>Male</v>
      </c>
      <c r="G851" s="4" t="str">
        <f>IFERROR(__xludf.DUMMYFUNCTION("""COMPUTED_VALUE"""),"")</f>
        <v/>
      </c>
      <c r="H851" s="4" t="b">
        <f>IFERROR(__xludf.DUMMYFUNCTION("""COMPUTED_VALUE"""),FALSE)</f>
        <v>0</v>
      </c>
      <c r="I851" s="4">
        <f>IFERROR(__xludf.DUMMYFUNCTION("""COMPUTED_VALUE"""),0.24646185185185185)</f>
        <v>0.2464618519</v>
      </c>
      <c r="J851" s="4" t="str">
        <f>IFERROR(__xludf.DUMMYFUNCTION("""COMPUTED_VALUE"""),"")</f>
        <v/>
      </c>
      <c r="K851" s="4" t="str">
        <f>IFERROR(__xludf.DUMMYFUNCTION("""COMPUTED_VALUE"""),"")</f>
        <v/>
      </c>
      <c r="L851" s="4" t="str">
        <f>IFERROR(__xludf.DUMMYFUNCTION("""COMPUTED_VALUE"""),"")</f>
        <v/>
      </c>
      <c r="M851" s="1" t="str">
        <f>IFERROR(__xludf.DUMMYFUNCTION("""COMPUTED_VALUE"""),"RFID")</f>
        <v>RFID</v>
      </c>
      <c r="N851" s="5" t="str">
        <f>IFERROR(__xludf.DUMMYFUNCTION("""COMPUTED_VALUE"""),"")</f>
        <v/>
      </c>
      <c r="O851" s="5" t="str">
        <f>IFERROR(__xludf.DUMMYFUNCTION("""COMPUTED_VALUE"""),"")</f>
        <v/>
      </c>
      <c r="P851" s="5" t="str">
        <f>IFERROR(__xludf.DUMMYFUNCTION("""COMPUTED_VALUE"""),"")</f>
        <v/>
      </c>
      <c r="Q851" s="5" t="str">
        <f>IFERROR(__xludf.DUMMYFUNCTION("""COMPUTED_VALUE"""),"")</f>
        <v/>
      </c>
      <c r="R851" s="4" t="str">
        <f>IFERROR(__xludf.DUMMYFUNCTION("""COMPUTED_VALUE"""),"")</f>
        <v/>
      </c>
      <c r="S851" s="1" t="b">
        <f>IFERROR(__xludf.DUMMYFUNCTION("""COMPUTED_VALUE"""),FALSE)</f>
        <v>0</v>
      </c>
      <c r="T851" s="1" t="b">
        <f>IFERROR(__xludf.DUMMYFUNCTION("""COMPUTED_VALUE"""),FALSE)</f>
        <v>0</v>
      </c>
      <c r="U851" s="1" t="str">
        <f>IFERROR(__xludf.DUMMYFUNCTION("""COMPUTED_VALUE"""),"DSQ")</f>
        <v>DSQ</v>
      </c>
      <c r="V851" s="1" t="str">
        <f>IFERROR(__xludf.DUMMYFUNCTION("""COMPUTED_VALUE"""),"DSQ")</f>
        <v>DSQ</v>
      </c>
      <c r="W851" s="1" t="str">
        <f>IFERROR(__xludf.DUMMYFUNCTION("""COMPUTED_VALUE"""),"DSQ")</f>
        <v>DSQ</v>
      </c>
      <c r="X851" s="1" t="str">
        <f>IFERROR(__xludf.DUMMYFUNCTION("""COMPUTED_VALUE"""),"DSQ")</f>
        <v>DSQ</v>
      </c>
      <c r="Y851" s="2"/>
      <c r="Z851" s="2" t="str">
        <f>IFERROR(__xludf.DUMMYFUNCTION("""COMPUTED_VALUE"""),"")</f>
        <v/>
      </c>
    </row>
    <row r="852">
      <c r="A852" s="1">
        <f>IFERROR(__xludf.DUMMYFUNCTION("""COMPUTED_VALUE"""),851.0)</f>
        <v>851</v>
      </c>
      <c r="B852" s="1">
        <f>IFERROR(__xludf.DUMMYFUNCTION("""COMPUTED_VALUE"""),10760.0)</f>
        <v>10760</v>
      </c>
      <c r="C852" s="2" t="str">
        <f>IFERROR(__xludf.DUMMYFUNCTION("""COMPUTED_VALUE"""),"POLRES BJB")</f>
        <v>POLRES BJB</v>
      </c>
      <c r="D852" s="2" t="str">
        <f>IFERROR(__xludf.DUMMYFUNCTION("""COMPUTED_VALUE"""),"10KM OVERALL M")</f>
        <v>10KM OVERALL M</v>
      </c>
      <c r="E852" s="1">
        <f>IFERROR(__xludf.DUMMYFUNCTION("""COMPUTED_VALUE"""),1.0)</f>
        <v>1</v>
      </c>
      <c r="F852" s="1" t="str">
        <f>IFERROR(__xludf.DUMMYFUNCTION("""COMPUTED_VALUE"""),"Male")</f>
        <v>Male</v>
      </c>
      <c r="G852" s="4" t="str">
        <f>IFERROR(__xludf.DUMMYFUNCTION("""COMPUTED_VALUE"""),"")</f>
        <v/>
      </c>
      <c r="H852" s="4" t="b">
        <f>IFERROR(__xludf.DUMMYFUNCTION("""COMPUTED_VALUE"""),FALSE)</f>
        <v>0</v>
      </c>
      <c r="I852" s="4">
        <f>IFERROR(__xludf.DUMMYFUNCTION("""COMPUTED_VALUE"""),0.24646185185185185)</f>
        <v>0.2464618519</v>
      </c>
      <c r="J852" s="4" t="str">
        <f>IFERROR(__xludf.DUMMYFUNCTION("""COMPUTED_VALUE"""),"")</f>
        <v/>
      </c>
      <c r="K852" s="4" t="str">
        <f>IFERROR(__xludf.DUMMYFUNCTION("""COMPUTED_VALUE"""),"")</f>
        <v/>
      </c>
      <c r="L852" s="4" t="str">
        <f>IFERROR(__xludf.DUMMYFUNCTION("""COMPUTED_VALUE"""),"")</f>
        <v/>
      </c>
      <c r="M852" s="1" t="str">
        <f>IFERROR(__xludf.DUMMYFUNCTION("""COMPUTED_VALUE"""),"RFID")</f>
        <v>RFID</v>
      </c>
      <c r="N852" s="5" t="str">
        <f>IFERROR(__xludf.DUMMYFUNCTION("""COMPUTED_VALUE"""),"")</f>
        <v/>
      </c>
      <c r="O852" s="5" t="str">
        <f>IFERROR(__xludf.DUMMYFUNCTION("""COMPUTED_VALUE"""),"")</f>
        <v/>
      </c>
      <c r="P852" s="5" t="str">
        <f>IFERROR(__xludf.DUMMYFUNCTION("""COMPUTED_VALUE"""),"")</f>
        <v/>
      </c>
      <c r="Q852" s="5" t="str">
        <f>IFERROR(__xludf.DUMMYFUNCTION("""COMPUTED_VALUE"""),"")</f>
        <v/>
      </c>
      <c r="R852" s="4" t="str">
        <f>IFERROR(__xludf.DUMMYFUNCTION("""COMPUTED_VALUE"""),"")</f>
        <v/>
      </c>
      <c r="S852" s="1" t="b">
        <f>IFERROR(__xludf.DUMMYFUNCTION("""COMPUTED_VALUE"""),FALSE)</f>
        <v>0</v>
      </c>
      <c r="T852" s="1" t="b">
        <f>IFERROR(__xludf.DUMMYFUNCTION("""COMPUTED_VALUE"""),FALSE)</f>
        <v>0</v>
      </c>
      <c r="U852" s="1" t="str">
        <f>IFERROR(__xludf.DUMMYFUNCTION("""COMPUTED_VALUE"""),"DSQ")</f>
        <v>DSQ</v>
      </c>
      <c r="V852" s="1" t="str">
        <f>IFERROR(__xludf.DUMMYFUNCTION("""COMPUTED_VALUE"""),"DSQ")</f>
        <v>DSQ</v>
      </c>
      <c r="W852" s="1" t="str">
        <f>IFERROR(__xludf.DUMMYFUNCTION("""COMPUTED_VALUE"""),"DSQ")</f>
        <v>DSQ</v>
      </c>
      <c r="X852" s="1" t="str">
        <f>IFERROR(__xludf.DUMMYFUNCTION("""COMPUTED_VALUE"""),"DSQ")</f>
        <v>DSQ</v>
      </c>
      <c r="Y852" s="2"/>
      <c r="Z852" s="2" t="str">
        <f>IFERROR(__xludf.DUMMYFUNCTION("""COMPUTED_VALUE"""),"")</f>
        <v/>
      </c>
    </row>
    <row r="853">
      <c r="A853" s="1">
        <f>IFERROR(__xludf.DUMMYFUNCTION("""COMPUTED_VALUE"""),852.0)</f>
        <v>852</v>
      </c>
      <c r="B853" s="1">
        <f>IFERROR(__xludf.DUMMYFUNCTION("""COMPUTED_VALUE"""),10761.0)</f>
        <v>10761</v>
      </c>
      <c r="C853" s="2" t="str">
        <f>IFERROR(__xludf.DUMMYFUNCTION("""COMPUTED_VALUE"""),"DIR INTEL")</f>
        <v>DIR INTEL</v>
      </c>
      <c r="D853" s="2" t="str">
        <f>IFERROR(__xludf.DUMMYFUNCTION("""COMPUTED_VALUE"""),"10KM OVERALL M")</f>
        <v>10KM OVERALL M</v>
      </c>
      <c r="E853" s="1">
        <f>IFERROR(__xludf.DUMMYFUNCTION("""COMPUTED_VALUE"""),1.0)</f>
        <v>1</v>
      </c>
      <c r="F853" s="1" t="str">
        <f>IFERROR(__xludf.DUMMYFUNCTION("""COMPUTED_VALUE"""),"Female")</f>
        <v>Female</v>
      </c>
      <c r="G853" s="4" t="str">
        <f>IFERROR(__xludf.DUMMYFUNCTION("""COMPUTED_VALUE"""),"")</f>
        <v/>
      </c>
      <c r="H853" s="4" t="b">
        <f>IFERROR(__xludf.DUMMYFUNCTION("""COMPUTED_VALUE"""),FALSE)</f>
        <v>0</v>
      </c>
      <c r="I853" s="4">
        <f>IFERROR(__xludf.DUMMYFUNCTION("""COMPUTED_VALUE"""),0.24646185185185185)</f>
        <v>0.2464618519</v>
      </c>
      <c r="J853" s="4" t="str">
        <f>IFERROR(__xludf.DUMMYFUNCTION("""COMPUTED_VALUE"""),"")</f>
        <v/>
      </c>
      <c r="K853" s="4" t="str">
        <f>IFERROR(__xludf.DUMMYFUNCTION("""COMPUTED_VALUE"""),"")</f>
        <v/>
      </c>
      <c r="L853" s="4" t="str">
        <f>IFERROR(__xludf.DUMMYFUNCTION("""COMPUTED_VALUE"""),"")</f>
        <v/>
      </c>
      <c r="M853" s="1" t="str">
        <f>IFERROR(__xludf.DUMMYFUNCTION("""COMPUTED_VALUE"""),"RFID")</f>
        <v>RFID</v>
      </c>
      <c r="N853" s="5" t="str">
        <f>IFERROR(__xludf.DUMMYFUNCTION("""COMPUTED_VALUE"""),"")</f>
        <v/>
      </c>
      <c r="O853" s="5" t="str">
        <f>IFERROR(__xludf.DUMMYFUNCTION("""COMPUTED_VALUE"""),"")</f>
        <v/>
      </c>
      <c r="P853" s="5" t="str">
        <f>IFERROR(__xludf.DUMMYFUNCTION("""COMPUTED_VALUE"""),"")</f>
        <v/>
      </c>
      <c r="Q853" s="5" t="str">
        <f>IFERROR(__xludf.DUMMYFUNCTION("""COMPUTED_VALUE"""),"")</f>
        <v/>
      </c>
      <c r="R853" s="4" t="str">
        <f>IFERROR(__xludf.DUMMYFUNCTION("""COMPUTED_VALUE"""),"")</f>
        <v/>
      </c>
      <c r="S853" s="1" t="b">
        <f>IFERROR(__xludf.DUMMYFUNCTION("""COMPUTED_VALUE"""),FALSE)</f>
        <v>0</v>
      </c>
      <c r="T853" s="1" t="b">
        <f>IFERROR(__xludf.DUMMYFUNCTION("""COMPUTED_VALUE"""),FALSE)</f>
        <v>0</v>
      </c>
      <c r="U853" s="1" t="str">
        <f>IFERROR(__xludf.DUMMYFUNCTION("""COMPUTED_VALUE"""),"DSQ")</f>
        <v>DSQ</v>
      </c>
      <c r="V853" s="1" t="str">
        <f>IFERROR(__xludf.DUMMYFUNCTION("""COMPUTED_VALUE"""),"DSQ")</f>
        <v>DSQ</v>
      </c>
      <c r="W853" s="1" t="str">
        <f>IFERROR(__xludf.DUMMYFUNCTION("""COMPUTED_VALUE"""),"DSQ")</f>
        <v>DSQ</v>
      </c>
      <c r="X853" s="1" t="str">
        <f>IFERROR(__xludf.DUMMYFUNCTION("""COMPUTED_VALUE"""),"DSQ")</f>
        <v>DSQ</v>
      </c>
      <c r="Y853" s="2"/>
      <c r="Z853" s="2" t="str">
        <f>IFERROR(__xludf.DUMMYFUNCTION("""COMPUTED_VALUE"""),"")</f>
        <v/>
      </c>
    </row>
    <row r="854">
      <c r="A854" s="1">
        <f>IFERROR(__xludf.DUMMYFUNCTION("""COMPUTED_VALUE"""),853.0)</f>
        <v>853</v>
      </c>
      <c r="B854" s="1">
        <f>IFERROR(__xludf.DUMMYFUNCTION("""COMPUTED_VALUE"""),10762.0)</f>
        <v>10762</v>
      </c>
      <c r="C854" s="2" t="str">
        <f>IFERROR(__xludf.DUMMYFUNCTION("""COMPUTED_VALUE"""),"KA SPN")</f>
        <v>KA SPN</v>
      </c>
      <c r="D854" s="2" t="str">
        <f>IFERROR(__xludf.DUMMYFUNCTION("""COMPUTED_VALUE"""),"10KM OVERALL M")</f>
        <v>10KM OVERALL M</v>
      </c>
      <c r="E854" s="1">
        <f>IFERROR(__xludf.DUMMYFUNCTION("""COMPUTED_VALUE"""),1.0)</f>
        <v>1</v>
      </c>
      <c r="F854" s="1" t="str">
        <f>IFERROR(__xludf.DUMMYFUNCTION("""COMPUTED_VALUE"""),"Female")</f>
        <v>Female</v>
      </c>
      <c r="G854" s="4" t="str">
        <f>IFERROR(__xludf.DUMMYFUNCTION("""COMPUTED_VALUE"""),"")</f>
        <v/>
      </c>
      <c r="H854" s="4" t="b">
        <f>IFERROR(__xludf.DUMMYFUNCTION("""COMPUTED_VALUE"""),TRUE)</f>
        <v>1</v>
      </c>
      <c r="I854" s="4">
        <f>IFERROR(__xludf.DUMMYFUNCTION("""COMPUTED_VALUE"""),0.24646185185185185)</f>
        <v>0.2464618519</v>
      </c>
      <c r="J854" s="4">
        <f>IFERROR(__xludf.DUMMYFUNCTION("""COMPUTED_VALUE"""),45949.27210655404)</f>
        <v>45949.27211</v>
      </c>
      <c r="K854" s="4" t="str">
        <f>IFERROR(__xludf.DUMMYFUNCTION("""COMPUTED_VALUE"""),"")</f>
        <v/>
      </c>
      <c r="L854" s="4" t="str">
        <f>IFERROR(__xludf.DUMMYFUNCTION("""COMPUTED_VALUE"""),"")</f>
        <v/>
      </c>
      <c r="M854" s="1" t="str">
        <f>IFERROR(__xludf.DUMMYFUNCTION("""COMPUTED_VALUE"""),"RFID")</f>
        <v>RFID</v>
      </c>
      <c r="N854" s="5">
        <f>IFERROR(__xludf.DUMMYFUNCTION("""COMPUTED_VALUE"""),0.01025787962962963)</f>
        <v>0.01025787963</v>
      </c>
      <c r="O854" s="5" t="str">
        <f>IFERROR(__xludf.DUMMYFUNCTION("""COMPUTED_VALUE"""),"")</f>
        <v/>
      </c>
      <c r="P854" s="5" t="str">
        <f>IFERROR(__xludf.DUMMYFUNCTION("""COMPUTED_VALUE"""),"")</f>
        <v/>
      </c>
      <c r="Q854" s="5" t="str">
        <f>IFERROR(__xludf.DUMMYFUNCTION("""COMPUTED_VALUE"""),"")</f>
        <v/>
      </c>
      <c r="R854" s="4" t="str">
        <f>IFERROR(__xludf.DUMMYFUNCTION("""COMPUTED_VALUE"""),"")</f>
        <v/>
      </c>
      <c r="S854" s="1" t="b">
        <f>IFERROR(__xludf.DUMMYFUNCTION("""COMPUTED_VALUE"""),TRUE)</f>
        <v>1</v>
      </c>
      <c r="T854" s="1" t="b">
        <f>IFERROR(__xludf.DUMMYFUNCTION("""COMPUTED_VALUE"""),FALSE)</f>
        <v>0</v>
      </c>
      <c r="U854" s="1" t="str">
        <f>IFERROR(__xludf.DUMMYFUNCTION("""COMPUTED_VALUE"""),"DNF")</f>
        <v>DNF</v>
      </c>
      <c r="V854" s="1" t="str">
        <f>IFERROR(__xludf.DUMMYFUNCTION("""COMPUTED_VALUE"""),"DNF")</f>
        <v>DNF</v>
      </c>
      <c r="W854" s="1" t="str">
        <f>IFERROR(__xludf.DUMMYFUNCTION("""COMPUTED_VALUE"""),"DNF")</f>
        <v>DNF</v>
      </c>
      <c r="X854" s="1" t="str">
        <f>IFERROR(__xludf.DUMMYFUNCTION("""COMPUTED_VALUE"""),"DNF")</f>
        <v>DNF</v>
      </c>
      <c r="Y854" s="2" t="str">
        <f>IFERROR(__xludf.DUMMYFUNCTION("""COMPUTED_VALUE"""),"tidak terlihat di finish")</f>
        <v>tidak terlihat di finish</v>
      </c>
      <c r="Z854" s="2"/>
    </row>
    <row r="855">
      <c r="A855" s="1">
        <f>IFERROR(__xludf.DUMMYFUNCTION("""COMPUTED_VALUE"""),854.0)</f>
        <v>854</v>
      </c>
      <c r="B855" s="1">
        <f>IFERROR(__xludf.DUMMYFUNCTION("""COMPUTED_VALUE"""),10763.0)</f>
        <v>10763</v>
      </c>
      <c r="C855" s="2" t="str">
        <f>IFERROR(__xludf.DUMMYFUNCTION("""COMPUTED_VALUE"""),"REFI")</f>
        <v>REFI</v>
      </c>
      <c r="D855" s="2" t="str">
        <f>IFERROR(__xludf.DUMMYFUNCTION("""COMPUTED_VALUE"""),"10KM OVERALL M")</f>
        <v>10KM OVERALL M</v>
      </c>
      <c r="E855" s="1">
        <f>IFERROR(__xludf.DUMMYFUNCTION("""COMPUTED_VALUE"""),1.0)</f>
        <v>1</v>
      </c>
      <c r="F855" s="1" t="str">
        <f>IFERROR(__xludf.DUMMYFUNCTION("""COMPUTED_VALUE"""),"Female")</f>
        <v>Female</v>
      </c>
      <c r="G855" s="4" t="b">
        <f>IFERROR(__xludf.DUMMYFUNCTION("""COMPUTED_VALUE"""),TRUE)</f>
        <v>1</v>
      </c>
      <c r="H855" s="4" t="b">
        <f>IFERROR(__xludf.DUMMYFUNCTION("""COMPUTED_VALUE"""),FALSE)</f>
        <v>0</v>
      </c>
      <c r="I855" s="4">
        <f>IFERROR(__xludf.DUMMYFUNCTION("""COMPUTED_VALUE"""),0.24646185185185185)</f>
        <v>0.2464618519</v>
      </c>
      <c r="J855" s="4" t="str">
        <f>IFERROR(__xludf.DUMMYFUNCTION("""COMPUTED_VALUE"""),"")</f>
        <v/>
      </c>
      <c r="K855" s="4">
        <f>IFERROR(__xludf.DUMMYFUNCTION("""COMPUTED_VALUE"""),45949.27933922711)</f>
        <v>45949.27934</v>
      </c>
      <c r="L855" s="4">
        <f>IFERROR(__xludf.DUMMYFUNCTION("""COMPUTED_VALUE"""),45949.28628472222)</f>
        <v>45949.28628</v>
      </c>
      <c r="M855" s="1" t="str">
        <f>IFERROR(__xludf.DUMMYFUNCTION("""COMPUTED_VALUE"""),"RFID")</f>
        <v>RFID</v>
      </c>
      <c r="N855" s="5" t="str">
        <f>IFERROR(__xludf.DUMMYFUNCTION("""COMPUTED_VALUE"""),"")</f>
        <v/>
      </c>
      <c r="O855" s="5" t="str">
        <f>IFERROR(__xludf.DUMMYFUNCTION("""COMPUTED_VALUE"""),"")</f>
        <v/>
      </c>
      <c r="P855" s="5">
        <f>IFERROR(__xludf.DUMMYFUNCTION("""COMPUTED_VALUE"""),0.002858228439540859)</f>
        <v>0.00285822844</v>
      </c>
      <c r="Q855" s="5">
        <f>IFERROR(__xludf.DUMMYFUNCTION("""COMPUTED_VALUE"""),0.003982287037037037)</f>
        <v>0.003982287037</v>
      </c>
      <c r="R855" s="4">
        <f>IFERROR(__xludf.DUMMYFUNCTION("""COMPUTED_VALUE"""),45949.03982287037)</f>
        <v>45949.03982</v>
      </c>
      <c r="S855" s="1" t="b">
        <f>IFERROR(__xludf.DUMMYFUNCTION("""COMPUTED_VALUE"""),TRUE)</f>
        <v>1</v>
      </c>
      <c r="T855" s="1" t="b">
        <f>IFERROR(__xludf.DUMMYFUNCTION("""COMPUTED_VALUE"""),FALSE)</f>
        <v>0</v>
      </c>
      <c r="U855" s="1" t="str">
        <f>IFERROR(__xludf.DUMMYFUNCTION("""COMPUTED_VALUE"""),"VALID")</f>
        <v>VALID</v>
      </c>
      <c r="V855" s="1">
        <f>IFERROR(__xludf.DUMMYFUNCTION("""COMPUTED_VALUE"""),97.0)</f>
        <v>97</v>
      </c>
      <c r="W855" s="1">
        <f>IFERROR(__xludf.DUMMYFUNCTION("""COMPUTED_VALUE"""),116.0)</f>
        <v>116</v>
      </c>
      <c r="X855" s="1">
        <f>IFERROR(__xludf.DUMMYFUNCTION("""COMPUTED_VALUE"""),383.0)</f>
        <v>383</v>
      </c>
      <c r="Y855" s="2"/>
      <c r="Z855" s="2" t="str">
        <f>IFERROR(__xludf.DUMMYFUNCTION("""COMPUTED_VALUE"""),"")</f>
        <v/>
      </c>
    </row>
    <row r="856">
      <c r="A856" s="1">
        <f>IFERROR(__xludf.DUMMYFUNCTION("""COMPUTED_VALUE"""),855.0)</f>
        <v>855</v>
      </c>
      <c r="B856" s="1">
        <f>IFERROR(__xludf.DUMMYFUNCTION("""COMPUTED_VALUE"""),10764.0)</f>
        <v>10764</v>
      </c>
      <c r="C856" s="2" t="str">
        <f>IFERROR(__xludf.DUMMYFUNCTION("""COMPUTED_VALUE"""),"JALE")</f>
        <v>JALE</v>
      </c>
      <c r="D856" s="2" t="str">
        <f>IFERROR(__xludf.DUMMYFUNCTION("""COMPUTED_VALUE"""),"10KM OVERALL M")</f>
        <v>10KM OVERALL M</v>
      </c>
      <c r="E856" s="1">
        <f>IFERROR(__xludf.DUMMYFUNCTION("""COMPUTED_VALUE"""),1.0)</f>
        <v>1</v>
      </c>
      <c r="F856" s="1" t="str">
        <f>IFERROR(__xludf.DUMMYFUNCTION("""COMPUTED_VALUE"""),"Female")</f>
        <v>Female</v>
      </c>
      <c r="G856" s="4" t="b">
        <f>IFERROR(__xludf.DUMMYFUNCTION("""COMPUTED_VALUE"""),TRUE)</f>
        <v>1</v>
      </c>
      <c r="H856" s="4" t="b">
        <f>IFERROR(__xludf.DUMMYFUNCTION("""COMPUTED_VALUE"""),TRUE)</f>
        <v>1</v>
      </c>
      <c r="I856" s="4">
        <f>IFERROR(__xludf.DUMMYFUNCTION("""COMPUTED_VALUE"""),0.24646185185185185)</f>
        <v>0.2464618519</v>
      </c>
      <c r="J856" s="4">
        <f>IFERROR(__xludf.DUMMYFUNCTION("""COMPUTED_VALUE"""),45949.25525933263)</f>
        <v>45949.25526</v>
      </c>
      <c r="K856" s="4">
        <f>IFERROR(__xludf.DUMMYFUNCTION("""COMPUTED_VALUE"""),45949.279814931986)</f>
        <v>45949.27981</v>
      </c>
      <c r="L856" s="4">
        <f>IFERROR(__xludf.DUMMYFUNCTION("""COMPUTED_VALUE"""),45949.28739044957)</f>
        <v>45949.28739</v>
      </c>
      <c r="M856" s="1" t="str">
        <f>IFERROR(__xludf.DUMMYFUNCTION("""COMPUTED_VALUE"""),"RFID")</f>
        <v>RFID</v>
      </c>
      <c r="N856" s="5">
        <f>IFERROR(__xludf.DUMMYFUNCTION("""COMPUTED_VALUE"""),0.0035189907407407405)</f>
        <v>0.003518990741</v>
      </c>
      <c r="O856" s="5">
        <f>IFERROR(__xludf.DUMMYFUNCTION("""COMPUTED_VALUE"""),0.009822240740740739)</f>
        <v>0.009822240741</v>
      </c>
      <c r="P856" s="5">
        <f>IFERROR(__xludf.DUMMYFUNCTION("""COMPUTED_VALUE"""),0.0031174969488856432)</f>
        <v>0.003117496949</v>
      </c>
      <c r="Q856" s="5">
        <f>IFERROR(__xludf.DUMMYFUNCTION("""COMPUTED_VALUE"""),0.0040928599537037045)</f>
        <v>0.004092859954</v>
      </c>
      <c r="R856" s="4">
        <f>IFERROR(__xludf.DUMMYFUNCTION("""COMPUTED_VALUE"""),45949.04092859772)</f>
        <v>45949.04093</v>
      </c>
      <c r="S856" s="1" t="b">
        <f>IFERROR(__xludf.DUMMYFUNCTION("""COMPUTED_VALUE"""),TRUE)</f>
        <v>1</v>
      </c>
      <c r="T856" s="1" t="b">
        <f>IFERROR(__xludf.DUMMYFUNCTION("""COMPUTED_VALUE"""),FALSE)</f>
        <v>0</v>
      </c>
      <c r="U856" s="1" t="str">
        <f>IFERROR(__xludf.DUMMYFUNCTION("""COMPUTED_VALUE"""),"VALID")</f>
        <v>VALID</v>
      </c>
      <c r="V856" s="1">
        <f>IFERROR(__xludf.DUMMYFUNCTION("""COMPUTED_VALUE"""),120.0)</f>
        <v>120</v>
      </c>
      <c r="W856" s="1">
        <f>IFERROR(__xludf.DUMMYFUNCTION("""COMPUTED_VALUE"""),143.0)</f>
        <v>143</v>
      </c>
      <c r="X856" s="1">
        <f>IFERROR(__xludf.DUMMYFUNCTION("""COMPUTED_VALUE"""),410.0)</f>
        <v>410</v>
      </c>
      <c r="Y856" s="2"/>
      <c r="Z856" s="2"/>
    </row>
    <row r="857">
      <c r="A857" s="1">
        <f>IFERROR(__xludf.DUMMYFUNCTION("""COMPUTED_VALUE"""),856.0)</f>
        <v>856</v>
      </c>
      <c r="B857" s="1">
        <f>IFERROR(__xludf.DUMMYFUNCTION("""COMPUTED_VALUE"""),10765.0)</f>
        <v>10765</v>
      </c>
      <c r="C857" s="2" t="str">
        <f>IFERROR(__xludf.DUMMYFUNCTION("""COMPUTED_VALUE"""),"RANA")</f>
        <v>RANA</v>
      </c>
      <c r="D857" s="2" t="str">
        <f>IFERROR(__xludf.DUMMYFUNCTION("""COMPUTED_VALUE"""),"10KM OVERALL M")</f>
        <v>10KM OVERALL M</v>
      </c>
      <c r="E857" s="1">
        <f>IFERROR(__xludf.DUMMYFUNCTION("""COMPUTED_VALUE"""),1.0)</f>
        <v>1</v>
      </c>
      <c r="F857" s="1" t="str">
        <f>IFERROR(__xludf.DUMMYFUNCTION("""COMPUTED_VALUE"""),"Female")</f>
        <v>Female</v>
      </c>
      <c r="G857" s="4" t="str">
        <f>IFERROR(__xludf.DUMMYFUNCTION("""COMPUTED_VALUE"""),"")</f>
        <v/>
      </c>
      <c r="H857" s="4" t="b">
        <f>IFERROR(__xludf.DUMMYFUNCTION("""COMPUTED_VALUE"""),FALSE)</f>
        <v>0</v>
      </c>
      <c r="I857" s="4">
        <f>IFERROR(__xludf.DUMMYFUNCTION("""COMPUTED_VALUE"""),0.24646185185185185)</f>
        <v>0.2464618519</v>
      </c>
      <c r="J857" s="4" t="str">
        <f>IFERROR(__xludf.DUMMYFUNCTION("""COMPUTED_VALUE"""),"")</f>
        <v/>
      </c>
      <c r="K857" s="4" t="str">
        <f>IFERROR(__xludf.DUMMYFUNCTION("""COMPUTED_VALUE"""),"")</f>
        <v/>
      </c>
      <c r="L857" s="4" t="str">
        <f>IFERROR(__xludf.DUMMYFUNCTION("""COMPUTED_VALUE"""),"")</f>
        <v/>
      </c>
      <c r="M857" s="1" t="str">
        <f>IFERROR(__xludf.DUMMYFUNCTION("""COMPUTED_VALUE"""),"RFID")</f>
        <v>RFID</v>
      </c>
      <c r="N857" s="5" t="str">
        <f>IFERROR(__xludf.DUMMYFUNCTION("""COMPUTED_VALUE"""),"")</f>
        <v/>
      </c>
      <c r="O857" s="5" t="str">
        <f>IFERROR(__xludf.DUMMYFUNCTION("""COMPUTED_VALUE"""),"")</f>
        <v/>
      </c>
      <c r="P857" s="5" t="str">
        <f>IFERROR(__xludf.DUMMYFUNCTION("""COMPUTED_VALUE"""),"")</f>
        <v/>
      </c>
      <c r="Q857" s="5" t="str">
        <f>IFERROR(__xludf.DUMMYFUNCTION("""COMPUTED_VALUE"""),"")</f>
        <v/>
      </c>
      <c r="R857" s="4" t="str">
        <f>IFERROR(__xludf.DUMMYFUNCTION("""COMPUTED_VALUE"""),"")</f>
        <v/>
      </c>
      <c r="S857" s="1" t="b">
        <f>IFERROR(__xludf.DUMMYFUNCTION("""COMPUTED_VALUE"""),FALSE)</f>
        <v>0</v>
      </c>
      <c r="T857" s="1" t="b">
        <f>IFERROR(__xludf.DUMMYFUNCTION("""COMPUTED_VALUE"""),FALSE)</f>
        <v>0</v>
      </c>
      <c r="U857" s="1" t="str">
        <f>IFERROR(__xludf.DUMMYFUNCTION("""COMPUTED_VALUE"""),"DSQ")</f>
        <v>DSQ</v>
      </c>
      <c r="V857" s="1" t="str">
        <f>IFERROR(__xludf.DUMMYFUNCTION("""COMPUTED_VALUE"""),"DSQ")</f>
        <v>DSQ</v>
      </c>
      <c r="W857" s="1" t="str">
        <f>IFERROR(__xludf.DUMMYFUNCTION("""COMPUTED_VALUE"""),"DSQ")</f>
        <v>DSQ</v>
      </c>
      <c r="X857" s="1" t="str">
        <f>IFERROR(__xludf.DUMMYFUNCTION("""COMPUTED_VALUE"""),"DSQ")</f>
        <v>DSQ</v>
      </c>
      <c r="Y857" s="2"/>
      <c r="Z857" s="2" t="str">
        <f>IFERROR(__xludf.DUMMYFUNCTION("""COMPUTED_VALUE"""),"")</f>
        <v/>
      </c>
    </row>
    <row r="858">
      <c r="A858" s="1">
        <f>IFERROR(__xludf.DUMMYFUNCTION("""COMPUTED_VALUE"""),857.0)</f>
        <v>857</v>
      </c>
      <c r="B858" s="1">
        <f>IFERROR(__xludf.DUMMYFUNCTION("""COMPUTED_VALUE"""),10766.0)</f>
        <v>10766</v>
      </c>
      <c r="C858" s="2" t="str">
        <f>IFERROR(__xludf.DUMMYFUNCTION("""COMPUTED_VALUE"""),"ABI")</f>
        <v>ABI</v>
      </c>
      <c r="D858" s="2" t="str">
        <f>IFERROR(__xludf.DUMMYFUNCTION("""COMPUTED_VALUE"""),"10KM OVERALL M")</f>
        <v>10KM OVERALL M</v>
      </c>
      <c r="E858" s="1">
        <f>IFERROR(__xludf.DUMMYFUNCTION("""COMPUTED_VALUE"""),1.0)</f>
        <v>1</v>
      </c>
      <c r="F858" s="1" t="str">
        <f>IFERROR(__xludf.DUMMYFUNCTION("""COMPUTED_VALUE"""),"Female")</f>
        <v>Female</v>
      </c>
      <c r="G858" s="4" t="b">
        <f>IFERROR(__xludf.DUMMYFUNCTION("""COMPUTED_VALUE"""),TRUE)</f>
        <v>1</v>
      </c>
      <c r="H858" s="4" t="b">
        <f>IFERROR(__xludf.DUMMYFUNCTION("""COMPUTED_VALUE"""),TRUE)</f>
        <v>1</v>
      </c>
      <c r="I858" s="4">
        <f>IFERROR(__xludf.DUMMYFUNCTION("""COMPUTED_VALUE"""),0.24646185185185185)</f>
        <v>0.2464618519</v>
      </c>
      <c r="J858" s="4">
        <f>IFERROR(__xludf.DUMMYFUNCTION("""COMPUTED_VALUE"""),45949.25377732183)</f>
        <v>45949.25378</v>
      </c>
      <c r="K858" s="4">
        <f>IFERROR(__xludf.DUMMYFUNCTION("""COMPUTED_VALUE"""),45949.27217414821)</f>
        <v>45949.27217</v>
      </c>
      <c r="L858" s="4">
        <f>IFERROR(__xludf.DUMMYFUNCTION("""COMPUTED_VALUE"""),45949.27723420731)</f>
        <v>45949.27723</v>
      </c>
      <c r="M858" s="1" t="str">
        <f>IFERROR(__xludf.DUMMYFUNCTION("""COMPUTED_VALUE"""),"RFID")</f>
        <v>RFID</v>
      </c>
      <c r="N858" s="5">
        <f>IFERROR(__xludf.DUMMYFUNCTION("""COMPUTED_VALUE"""),0.0029261898148148146)</f>
        <v>0.002926189815</v>
      </c>
      <c r="O858" s="5">
        <f>IFERROR(__xludf.DUMMYFUNCTION("""COMPUTED_VALUE"""),0.007358731481481482)</f>
        <v>0.007358731481</v>
      </c>
      <c r="P858" s="5">
        <f>IFERROR(__xludf.DUMMYFUNCTION("""COMPUTED_VALUE"""),0.002082328847106431)</f>
        <v>0.002082328847</v>
      </c>
      <c r="Q858" s="5">
        <f>IFERROR(__xludf.DUMMYFUNCTION("""COMPUTED_VALUE"""),0.0030772361111111113)</f>
        <v>0.003077236111</v>
      </c>
      <c r="R858" s="4">
        <f>IFERROR(__xludf.DUMMYFUNCTION("""COMPUTED_VALUE"""),45949.03077235546)</f>
        <v>45949.03077</v>
      </c>
      <c r="S858" s="1" t="b">
        <f>IFERROR(__xludf.DUMMYFUNCTION("""COMPUTED_VALUE"""),TRUE)</f>
        <v>1</v>
      </c>
      <c r="T858" s="1" t="b">
        <f>IFERROR(__xludf.DUMMYFUNCTION("""COMPUTED_VALUE"""),FALSE)</f>
        <v>0</v>
      </c>
      <c r="U858" s="1" t="str">
        <f>IFERROR(__xludf.DUMMYFUNCTION("""COMPUTED_VALUE"""),"VALID")</f>
        <v>VALID</v>
      </c>
      <c r="V858" s="1">
        <f>IFERROR(__xludf.DUMMYFUNCTION("""COMPUTED_VALUE"""),9.0)</f>
        <v>9</v>
      </c>
      <c r="W858" s="1">
        <f>IFERROR(__xludf.DUMMYFUNCTION("""COMPUTED_VALUE"""),13.0)</f>
        <v>13</v>
      </c>
      <c r="X858" s="1">
        <f>IFERROR(__xludf.DUMMYFUNCTION("""COMPUTED_VALUE"""),113.0)</f>
        <v>113</v>
      </c>
      <c r="Y858" s="2"/>
      <c r="Z858" s="2"/>
    </row>
    <row r="859">
      <c r="A859" s="1">
        <f>IFERROR(__xludf.DUMMYFUNCTION("""COMPUTED_VALUE"""),858.0)</f>
        <v>858</v>
      </c>
      <c r="B859" s="1">
        <f>IFERROR(__xludf.DUMMYFUNCTION("""COMPUTED_VALUE"""),10767.0)</f>
        <v>10767</v>
      </c>
      <c r="C859" s="2" t="str">
        <f>IFERROR(__xludf.DUMMYFUNCTION("""COMPUTED_VALUE"""),"DEDI GUNAWAN")</f>
        <v>DEDI GUNAWAN</v>
      </c>
      <c r="D859" s="2" t="str">
        <f>IFERROR(__xludf.DUMMYFUNCTION("""COMPUTED_VALUE"""),"10KM OVERALL M")</f>
        <v>10KM OVERALL M</v>
      </c>
      <c r="E859" s="1">
        <f>IFERROR(__xludf.DUMMYFUNCTION("""COMPUTED_VALUE"""),1.0)</f>
        <v>1</v>
      </c>
      <c r="F859" s="1" t="str">
        <f>IFERROR(__xludf.DUMMYFUNCTION("""COMPUTED_VALUE"""),"Female")</f>
        <v>Female</v>
      </c>
      <c r="G859" s="4" t="str">
        <f>IFERROR(__xludf.DUMMYFUNCTION("""COMPUTED_VALUE"""),"")</f>
        <v/>
      </c>
      <c r="H859" s="4" t="b">
        <f>IFERROR(__xludf.DUMMYFUNCTION("""COMPUTED_VALUE"""),FALSE)</f>
        <v>0</v>
      </c>
      <c r="I859" s="4">
        <f>IFERROR(__xludf.DUMMYFUNCTION("""COMPUTED_VALUE"""),0.24646185185185185)</f>
        <v>0.2464618519</v>
      </c>
      <c r="J859" s="4" t="str">
        <f>IFERROR(__xludf.DUMMYFUNCTION("""COMPUTED_VALUE"""),"")</f>
        <v/>
      </c>
      <c r="K859" s="4" t="str">
        <f>IFERROR(__xludf.DUMMYFUNCTION("""COMPUTED_VALUE"""),"")</f>
        <v/>
      </c>
      <c r="L859" s="4" t="str">
        <f>IFERROR(__xludf.DUMMYFUNCTION("""COMPUTED_VALUE"""),"")</f>
        <v/>
      </c>
      <c r="M859" s="1" t="str">
        <f>IFERROR(__xludf.DUMMYFUNCTION("""COMPUTED_VALUE"""),"RFID")</f>
        <v>RFID</v>
      </c>
      <c r="N859" s="5" t="str">
        <f>IFERROR(__xludf.DUMMYFUNCTION("""COMPUTED_VALUE"""),"")</f>
        <v/>
      </c>
      <c r="O859" s="5" t="str">
        <f>IFERROR(__xludf.DUMMYFUNCTION("""COMPUTED_VALUE"""),"")</f>
        <v/>
      </c>
      <c r="P859" s="5" t="str">
        <f>IFERROR(__xludf.DUMMYFUNCTION("""COMPUTED_VALUE"""),"")</f>
        <v/>
      </c>
      <c r="Q859" s="5" t="str">
        <f>IFERROR(__xludf.DUMMYFUNCTION("""COMPUTED_VALUE"""),"")</f>
        <v/>
      </c>
      <c r="R859" s="4" t="str">
        <f>IFERROR(__xludf.DUMMYFUNCTION("""COMPUTED_VALUE"""),"")</f>
        <v/>
      </c>
      <c r="S859" s="1" t="b">
        <f>IFERROR(__xludf.DUMMYFUNCTION("""COMPUTED_VALUE"""),FALSE)</f>
        <v>0</v>
      </c>
      <c r="T859" s="1" t="b">
        <f>IFERROR(__xludf.DUMMYFUNCTION("""COMPUTED_VALUE"""),FALSE)</f>
        <v>0</v>
      </c>
      <c r="U859" s="1" t="str">
        <f>IFERROR(__xludf.DUMMYFUNCTION("""COMPUTED_VALUE"""),"DSQ")</f>
        <v>DSQ</v>
      </c>
      <c r="V859" s="1" t="str">
        <f>IFERROR(__xludf.DUMMYFUNCTION("""COMPUTED_VALUE"""),"DSQ")</f>
        <v>DSQ</v>
      </c>
      <c r="W859" s="1" t="str">
        <f>IFERROR(__xludf.DUMMYFUNCTION("""COMPUTED_VALUE"""),"DSQ")</f>
        <v>DSQ</v>
      </c>
      <c r="X859" s="1" t="str">
        <f>IFERROR(__xludf.DUMMYFUNCTION("""COMPUTED_VALUE"""),"DSQ")</f>
        <v>DSQ</v>
      </c>
      <c r="Y859" s="2"/>
      <c r="Z859" s="2" t="str">
        <f>IFERROR(__xludf.DUMMYFUNCTION("""COMPUTED_VALUE"""),"")</f>
        <v/>
      </c>
    </row>
    <row r="860">
      <c r="A860" s="1">
        <f>IFERROR(__xludf.DUMMYFUNCTION("""COMPUTED_VALUE"""),859.0)</f>
        <v>859</v>
      </c>
      <c r="B860" s="1">
        <f>IFERROR(__xludf.DUMMYFUNCTION("""COMPUTED_VALUE"""),10768.0)</f>
        <v>10768</v>
      </c>
      <c r="C860" s="2" t="str">
        <f>IFERROR(__xludf.DUMMYFUNCTION("""COMPUTED_VALUE"""),"ADI SARMA")</f>
        <v>ADI SARMA</v>
      </c>
      <c r="D860" s="2" t="str">
        <f>IFERROR(__xludf.DUMMYFUNCTION("""COMPUTED_VALUE"""),"10KM OVERALL M")</f>
        <v>10KM OVERALL M</v>
      </c>
      <c r="E860" s="1">
        <f>IFERROR(__xludf.DUMMYFUNCTION("""COMPUTED_VALUE"""),1.0)</f>
        <v>1</v>
      </c>
      <c r="F860" s="1" t="str">
        <f>IFERROR(__xludf.DUMMYFUNCTION("""COMPUTED_VALUE"""),"Female")</f>
        <v>Female</v>
      </c>
      <c r="G860" s="4" t="str">
        <f>IFERROR(__xludf.DUMMYFUNCTION("""COMPUTED_VALUE"""),"")</f>
        <v/>
      </c>
      <c r="H860" s="4" t="b">
        <f>IFERROR(__xludf.DUMMYFUNCTION("""COMPUTED_VALUE"""),FALSE)</f>
        <v>0</v>
      </c>
      <c r="I860" s="4">
        <f>IFERROR(__xludf.DUMMYFUNCTION("""COMPUTED_VALUE"""),0.24646185185185185)</f>
        <v>0.2464618519</v>
      </c>
      <c r="J860" s="4" t="str">
        <f>IFERROR(__xludf.DUMMYFUNCTION("""COMPUTED_VALUE"""),"")</f>
        <v/>
      </c>
      <c r="K860" s="4" t="str">
        <f>IFERROR(__xludf.DUMMYFUNCTION("""COMPUTED_VALUE"""),"")</f>
        <v/>
      </c>
      <c r="L860" s="4" t="str">
        <f>IFERROR(__xludf.DUMMYFUNCTION("""COMPUTED_VALUE"""),"")</f>
        <v/>
      </c>
      <c r="M860" s="1" t="str">
        <f>IFERROR(__xludf.DUMMYFUNCTION("""COMPUTED_VALUE"""),"RFID")</f>
        <v>RFID</v>
      </c>
      <c r="N860" s="5" t="str">
        <f>IFERROR(__xludf.DUMMYFUNCTION("""COMPUTED_VALUE"""),"")</f>
        <v/>
      </c>
      <c r="O860" s="5" t="str">
        <f>IFERROR(__xludf.DUMMYFUNCTION("""COMPUTED_VALUE"""),"")</f>
        <v/>
      </c>
      <c r="P860" s="5" t="str">
        <f>IFERROR(__xludf.DUMMYFUNCTION("""COMPUTED_VALUE"""),"")</f>
        <v/>
      </c>
      <c r="Q860" s="5" t="str">
        <f>IFERROR(__xludf.DUMMYFUNCTION("""COMPUTED_VALUE"""),"")</f>
        <v/>
      </c>
      <c r="R860" s="4" t="str">
        <f>IFERROR(__xludf.DUMMYFUNCTION("""COMPUTED_VALUE"""),"")</f>
        <v/>
      </c>
      <c r="S860" s="1" t="b">
        <f>IFERROR(__xludf.DUMMYFUNCTION("""COMPUTED_VALUE"""),FALSE)</f>
        <v>0</v>
      </c>
      <c r="T860" s="1" t="b">
        <f>IFERROR(__xludf.DUMMYFUNCTION("""COMPUTED_VALUE"""),FALSE)</f>
        <v>0</v>
      </c>
      <c r="U860" s="1" t="str">
        <f>IFERROR(__xludf.DUMMYFUNCTION("""COMPUTED_VALUE"""),"DSQ")</f>
        <v>DSQ</v>
      </c>
      <c r="V860" s="1" t="str">
        <f>IFERROR(__xludf.DUMMYFUNCTION("""COMPUTED_VALUE"""),"DSQ")</f>
        <v>DSQ</v>
      </c>
      <c r="W860" s="1" t="str">
        <f>IFERROR(__xludf.DUMMYFUNCTION("""COMPUTED_VALUE"""),"DSQ")</f>
        <v>DSQ</v>
      </c>
      <c r="X860" s="1" t="str">
        <f>IFERROR(__xludf.DUMMYFUNCTION("""COMPUTED_VALUE"""),"DSQ")</f>
        <v>DSQ</v>
      </c>
      <c r="Y860" s="2"/>
      <c r="Z860" s="2" t="str">
        <f>IFERROR(__xludf.DUMMYFUNCTION("""COMPUTED_VALUE"""),"")</f>
        <v/>
      </c>
    </row>
    <row r="861">
      <c r="A861" s="1">
        <f>IFERROR(__xludf.DUMMYFUNCTION("""COMPUTED_VALUE"""),860.0)</f>
        <v>860</v>
      </c>
      <c r="B861" s="1">
        <f>IFERROR(__xludf.DUMMYFUNCTION("""COMPUTED_VALUE"""),10769.0)</f>
        <v>10769</v>
      </c>
      <c r="C861" s="2" t="str">
        <f>IFERROR(__xludf.DUMMYFUNCTION("""COMPUTED_VALUE"""),"AWAL")</f>
        <v>AWAL</v>
      </c>
      <c r="D861" s="2" t="str">
        <f>IFERROR(__xludf.DUMMYFUNCTION("""COMPUTED_VALUE"""),"10KM OVERALL M")</f>
        <v>10KM OVERALL M</v>
      </c>
      <c r="E861" s="1">
        <f>IFERROR(__xludf.DUMMYFUNCTION("""COMPUTED_VALUE"""),1.0)</f>
        <v>1</v>
      </c>
      <c r="F861" s="1" t="str">
        <f>IFERROR(__xludf.DUMMYFUNCTION("""COMPUTED_VALUE"""),"Female")</f>
        <v>Female</v>
      </c>
      <c r="G861" s="4" t="b">
        <f>IFERROR(__xludf.DUMMYFUNCTION("""COMPUTED_VALUE"""),TRUE)</f>
        <v>1</v>
      </c>
      <c r="H861" s="4" t="b">
        <f>IFERROR(__xludf.DUMMYFUNCTION("""COMPUTED_VALUE"""),FALSE)</f>
        <v>0</v>
      </c>
      <c r="I861" s="4">
        <f>IFERROR(__xludf.DUMMYFUNCTION("""COMPUTED_VALUE"""),0.24646185185185185)</f>
        <v>0.2464618519</v>
      </c>
      <c r="J861" s="4">
        <f>IFERROR(__xludf.DUMMYFUNCTION("""COMPUTED_VALUE"""),45949.25883919229)</f>
        <v>45949.25884</v>
      </c>
      <c r="K861" s="4">
        <f>IFERROR(__xludf.DUMMYFUNCTION("""COMPUTED_VALUE"""),45949.29466237036)</f>
        <v>45949.29466</v>
      </c>
      <c r="L861" s="4">
        <f>IFERROR(__xludf.DUMMYFUNCTION("""COMPUTED_VALUE"""),45949.305428642925)</f>
        <v>45949.30543</v>
      </c>
      <c r="M861" s="1" t="str">
        <f>IFERROR(__xludf.DUMMYFUNCTION("""COMPUTED_VALUE"""),"RFID")</f>
        <v>RFID</v>
      </c>
      <c r="N861" s="5">
        <f>IFERROR(__xludf.DUMMYFUNCTION("""COMPUTED_VALUE"""),0.004950935185185185)</f>
        <v>0.004950935185</v>
      </c>
      <c r="O861" s="5">
        <f>IFERROR(__xludf.DUMMYFUNCTION("""COMPUTED_VALUE"""),0.014329273148148147)</f>
        <v>0.01432927315</v>
      </c>
      <c r="P861" s="5">
        <f>IFERROR(__xludf.DUMMYFUNCTION("""COMPUTED_VALUE"""),0.00443056484118081)</f>
        <v>0.004430564841</v>
      </c>
      <c r="Q861" s="5">
        <f>IFERROR(__xludf.DUMMYFUNCTION("""COMPUTED_VALUE"""),0.005896679398148147)</f>
        <v>0.005896679398</v>
      </c>
      <c r="R861" s="4">
        <f>IFERROR(__xludf.DUMMYFUNCTION("""COMPUTED_VALUE"""),45949.058966791075)</f>
        <v>45949.05897</v>
      </c>
      <c r="S861" s="1" t="b">
        <f>IFERROR(__xludf.DUMMYFUNCTION("""COMPUTED_VALUE"""),TRUE)</f>
        <v>1</v>
      </c>
      <c r="T861" s="1" t="b">
        <f>IFERROR(__xludf.DUMMYFUNCTION("""COMPUTED_VALUE"""),FALSE)</f>
        <v>0</v>
      </c>
      <c r="U861" s="1" t="str">
        <f>IFERROR(__xludf.DUMMYFUNCTION("""COMPUTED_VALUE"""),"VALID")</f>
        <v>VALID</v>
      </c>
      <c r="V861" s="1">
        <f>IFERROR(__xludf.DUMMYFUNCTION("""COMPUTED_VALUE"""),523.0)</f>
        <v>523</v>
      </c>
      <c r="W861" s="1">
        <f>IFERROR(__xludf.DUMMYFUNCTION("""COMPUTED_VALUE"""),636.0)</f>
        <v>636</v>
      </c>
      <c r="X861" s="1">
        <f>IFERROR(__xludf.DUMMYFUNCTION("""COMPUTED_VALUE"""),650.0)</f>
        <v>650</v>
      </c>
      <c r="Y861" s="2"/>
      <c r="Z861" s="2"/>
    </row>
    <row r="862">
      <c r="A862" s="1">
        <f>IFERROR(__xludf.DUMMYFUNCTION("""COMPUTED_VALUE"""),861.0)</f>
        <v>861</v>
      </c>
      <c r="B862" s="1">
        <f>IFERROR(__xludf.DUMMYFUNCTION("""COMPUTED_VALUE"""),10770.0)</f>
        <v>10770</v>
      </c>
      <c r="C862" s="2" t="str">
        <f>IFERROR(__xludf.DUMMYFUNCTION("""COMPUTED_VALUE"""),"WIWIN")</f>
        <v>WIWIN</v>
      </c>
      <c r="D862" s="2" t="str">
        <f>IFERROR(__xludf.DUMMYFUNCTION("""COMPUTED_VALUE"""),"10KM OVERALL M")</f>
        <v>10KM OVERALL M</v>
      </c>
      <c r="E862" s="1">
        <f>IFERROR(__xludf.DUMMYFUNCTION("""COMPUTED_VALUE"""),1.0)</f>
        <v>1</v>
      </c>
      <c r="F862" s="1" t="str">
        <f>IFERROR(__xludf.DUMMYFUNCTION("""COMPUTED_VALUE"""),"Female")</f>
        <v>Female</v>
      </c>
      <c r="G862" s="4" t="b">
        <f>IFERROR(__xludf.DUMMYFUNCTION("""COMPUTED_VALUE"""),TRUE)</f>
        <v>1</v>
      </c>
      <c r="H862" s="4" t="b">
        <f>IFERROR(__xludf.DUMMYFUNCTION("""COMPUTED_VALUE"""),TRUE)</f>
        <v>1</v>
      </c>
      <c r="I862" s="4">
        <f>IFERROR(__xludf.DUMMYFUNCTION("""COMPUTED_VALUE"""),0.24646185185185185)</f>
        <v>0.2464618519</v>
      </c>
      <c r="J862" s="4">
        <f>IFERROR(__xludf.DUMMYFUNCTION("""COMPUTED_VALUE"""),45949.25712397801)</f>
        <v>45949.25712</v>
      </c>
      <c r="K862" s="4">
        <f>IFERROR(__xludf.DUMMYFUNCTION("""COMPUTED_VALUE"""),45949.28283227112)</f>
        <v>45949.28283</v>
      </c>
      <c r="L862" s="4">
        <f>IFERROR(__xludf.DUMMYFUNCTION("""COMPUTED_VALUE"""),45949.29028627047)</f>
        <v>45949.29029</v>
      </c>
      <c r="M862" s="1" t="str">
        <f>IFERROR(__xludf.DUMMYFUNCTION("""COMPUTED_VALUE"""),"RFID")</f>
        <v>RFID</v>
      </c>
      <c r="N862" s="5">
        <f>IFERROR(__xludf.DUMMYFUNCTION("""COMPUTED_VALUE"""),0.004264851851851851)</f>
        <v>0.004264851852</v>
      </c>
      <c r="O862" s="5">
        <f>IFERROR(__xludf.DUMMYFUNCTION("""COMPUTED_VALUE"""),0.010283319444444446)</f>
        <v>0.01028331944</v>
      </c>
      <c r="P862" s="5">
        <f>IFERROR(__xludf.DUMMYFUNCTION("""COMPUTED_VALUE"""),0.0030674894449086434)</f>
        <v>0.003067489445</v>
      </c>
      <c r="Q862" s="5">
        <f>IFERROR(__xludf.DUMMYFUNCTION("""COMPUTED_VALUE"""),0.004382442129629629)</f>
        <v>0.00438244213</v>
      </c>
      <c r="R862" s="4">
        <f>IFERROR(__xludf.DUMMYFUNCTION("""COMPUTED_VALUE"""),45949.04382441862)</f>
        <v>45949.04382</v>
      </c>
      <c r="S862" s="1" t="b">
        <f>IFERROR(__xludf.DUMMYFUNCTION("""COMPUTED_VALUE"""),TRUE)</f>
        <v>1</v>
      </c>
      <c r="T862" s="1" t="b">
        <f>IFERROR(__xludf.DUMMYFUNCTION("""COMPUTED_VALUE"""),FALSE)</f>
        <v>0</v>
      </c>
      <c r="U862" s="1" t="str">
        <f>IFERROR(__xludf.DUMMYFUNCTION("""COMPUTED_VALUE"""),"VALID")</f>
        <v>VALID</v>
      </c>
      <c r="V862" s="1">
        <f>IFERROR(__xludf.DUMMYFUNCTION("""COMPUTED_VALUE"""),184.0)</f>
        <v>184</v>
      </c>
      <c r="W862" s="1">
        <f>IFERROR(__xludf.DUMMYFUNCTION("""COMPUTED_VALUE"""),220.0)</f>
        <v>220</v>
      </c>
      <c r="X862" s="1">
        <f>IFERROR(__xludf.DUMMYFUNCTION("""COMPUTED_VALUE"""),479.0)</f>
        <v>479</v>
      </c>
      <c r="Y862" s="2"/>
      <c r="Z862" s="2"/>
    </row>
    <row r="863">
      <c r="A863" s="1">
        <f>IFERROR(__xludf.DUMMYFUNCTION("""COMPUTED_VALUE"""),862.0)</f>
        <v>862</v>
      </c>
      <c r="B863" s="1">
        <f>IFERROR(__xludf.DUMMYFUNCTION("""COMPUTED_VALUE"""),10771.0)</f>
        <v>10771</v>
      </c>
      <c r="C863" s="2" t="str">
        <f>IFERROR(__xludf.DUMMYFUNCTION("""COMPUTED_VALUE"""),"ARRAFI")</f>
        <v>ARRAFI</v>
      </c>
      <c r="D863" s="2" t="str">
        <f>IFERROR(__xludf.DUMMYFUNCTION("""COMPUTED_VALUE"""),"10KM OVERALL M")</f>
        <v>10KM OVERALL M</v>
      </c>
      <c r="E863" s="1">
        <f>IFERROR(__xludf.DUMMYFUNCTION("""COMPUTED_VALUE"""),1.0)</f>
        <v>1</v>
      </c>
      <c r="F863" s="1" t="str">
        <f>IFERROR(__xludf.DUMMYFUNCTION("""COMPUTED_VALUE"""),"Female")</f>
        <v>Female</v>
      </c>
      <c r="G863" s="4" t="b">
        <f>IFERROR(__xludf.DUMMYFUNCTION("""COMPUTED_VALUE"""),TRUE)</f>
        <v>1</v>
      </c>
      <c r="H863" s="4" t="b">
        <f>IFERROR(__xludf.DUMMYFUNCTION("""COMPUTED_VALUE"""),FALSE)</f>
        <v>0</v>
      </c>
      <c r="I863" s="4">
        <f>IFERROR(__xludf.DUMMYFUNCTION("""COMPUTED_VALUE"""),0.24646185185185185)</f>
        <v>0.2464618519</v>
      </c>
      <c r="J863" s="4">
        <f>IFERROR(__xludf.DUMMYFUNCTION("""COMPUTED_VALUE"""),45949.25732531367)</f>
        <v>45949.25733</v>
      </c>
      <c r="K863" s="4">
        <f>IFERROR(__xludf.DUMMYFUNCTION("""COMPUTED_VALUE"""),45949.28499553085)</f>
        <v>45949.285</v>
      </c>
      <c r="L863" s="4">
        <f>IFERROR(__xludf.DUMMYFUNCTION("""COMPUTED_VALUE"""),45949.292234179855)</f>
        <v>45949.29223</v>
      </c>
      <c r="M863" s="1" t="str">
        <f>IFERROR(__xludf.DUMMYFUNCTION("""COMPUTED_VALUE"""),"RFID")</f>
        <v>RFID</v>
      </c>
      <c r="N863" s="5">
        <f>IFERROR(__xludf.DUMMYFUNCTION("""COMPUTED_VALUE"""),0.004345384259259259)</f>
        <v>0.004345384259</v>
      </c>
      <c r="O863" s="5">
        <f>IFERROR(__xludf.DUMMYFUNCTION("""COMPUTED_VALUE"""),0.011068087962962962)</f>
        <v>0.01106808796</v>
      </c>
      <c r="P863" s="5">
        <f>IFERROR(__xludf.DUMMYFUNCTION("""COMPUTED_VALUE"""),0.0029788679038960132)</f>
        <v>0.002978867904</v>
      </c>
      <c r="Q863" s="5">
        <f>IFERROR(__xludf.DUMMYFUNCTION("""COMPUTED_VALUE"""),0.0045772326388888885)</f>
        <v>0.004577232639</v>
      </c>
      <c r="R863" s="4">
        <f>IFERROR(__xludf.DUMMYFUNCTION("""COMPUTED_VALUE"""),45949.045772328005)</f>
        <v>45949.04577</v>
      </c>
      <c r="S863" s="1" t="b">
        <f>IFERROR(__xludf.DUMMYFUNCTION("""COMPUTED_VALUE"""),TRUE)</f>
        <v>1</v>
      </c>
      <c r="T863" s="1" t="b">
        <f>IFERROR(__xludf.DUMMYFUNCTION("""COMPUTED_VALUE"""),FALSE)</f>
        <v>0</v>
      </c>
      <c r="U863" s="1" t="str">
        <f>IFERROR(__xludf.DUMMYFUNCTION("""COMPUTED_VALUE"""),"VALID")</f>
        <v>VALID</v>
      </c>
      <c r="V863" s="1">
        <f>IFERROR(__xludf.DUMMYFUNCTION("""COMPUTED_VALUE"""),235.0)</f>
        <v>235</v>
      </c>
      <c r="W863" s="1">
        <f>IFERROR(__xludf.DUMMYFUNCTION("""COMPUTED_VALUE"""),282.0)</f>
        <v>282</v>
      </c>
      <c r="X863" s="1">
        <f>IFERROR(__xludf.DUMMYFUNCTION("""COMPUTED_VALUE"""),531.0)</f>
        <v>531</v>
      </c>
      <c r="Y863" s="2"/>
      <c r="Z863" s="2"/>
    </row>
    <row r="864">
      <c r="A864" s="1">
        <f>IFERROR(__xludf.DUMMYFUNCTION("""COMPUTED_VALUE"""),863.0)</f>
        <v>863</v>
      </c>
      <c r="B864" s="1">
        <f>IFERROR(__xludf.DUMMYFUNCTION("""COMPUTED_VALUE"""),10772.0)</f>
        <v>10772</v>
      </c>
      <c r="C864" s="2" t="str">
        <f>IFERROR(__xludf.DUMMYFUNCTION("""COMPUTED_VALUE"""),"NANIK")</f>
        <v>NANIK</v>
      </c>
      <c r="D864" s="2" t="str">
        <f>IFERROR(__xludf.DUMMYFUNCTION("""COMPUTED_VALUE"""),"10KM OVERALL M")</f>
        <v>10KM OVERALL M</v>
      </c>
      <c r="E864" s="1">
        <f>IFERROR(__xludf.DUMMYFUNCTION("""COMPUTED_VALUE"""),1.0)</f>
        <v>1</v>
      </c>
      <c r="F864" s="1" t="str">
        <f>IFERROR(__xludf.DUMMYFUNCTION("""COMPUTED_VALUE"""),"Female")</f>
        <v>Female</v>
      </c>
      <c r="G864" s="4" t="str">
        <f>IFERROR(__xludf.DUMMYFUNCTION("""COMPUTED_VALUE"""),"")</f>
        <v/>
      </c>
      <c r="H864" s="4" t="b">
        <f>IFERROR(__xludf.DUMMYFUNCTION("""COMPUTED_VALUE"""),FALSE)</f>
        <v>0</v>
      </c>
      <c r="I864" s="4">
        <f>IFERROR(__xludf.DUMMYFUNCTION("""COMPUTED_VALUE"""),0.24646185185185185)</f>
        <v>0.2464618519</v>
      </c>
      <c r="J864" s="4" t="str">
        <f>IFERROR(__xludf.DUMMYFUNCTION("""COMPUTED_VALUE"""),"")</f>
        <v/>
      </c>
      <c r="K864" s="4" t="str">
        <f>IFERROR(__xludf.DUMMYFUNCTION("""COMPUTED_VALUE"""),"")</f>
        <v/>
      </c>
      <c r="L864" s="4" t="str">
        <f>IFERROR(__xludf.DUMMYFUNCTION("""COMPUTED_VALUE"""),"")</f>
        <v/>
      </c>
      <c r="M864" s="1" t="str">
        <f>IFERROR(__xludf.DUMMYFUNCTION("""COMPUTED_VALUE"""),"RFID")</f>
        <v>RFID</v>
      </c>
      <c r="N864" s="5" t="str">
        <f>IFERROR(__xludf.DUMMYFUNCTION("""COMPUTED_VALUE"""),"")</f>
        <v/>
      </c>
      <c r="O864" s="5" t="str">
        <f>IFERROR(__xludf.DUMMYFUNCTION("""COMPUTED_VALUE"""),"")</f>
        <v/>
      </c>
      <c r="P864" s="5" t="str">
        <f>IFERROR(__xludf.DUMMYFUNCTION("""COMPUTED_VALUE"""),"")</f>
        <v/>
      </c>
      <c r="Q864" s="5" t="str">
        <f>IFERROR(__xludf.DUMMYFUNCTION("""COMPUTED_VALUE"""),"")</f>
        <v/>
      </c>
      <c r="R864" s="4" t="str">
        <f>IFERROR(__xludf.DUMMYFUNCTION("""COMPUTED_VALUE"""),"")</f>
        <v/>
      </c>
      <c r="S864" s="1" t="b">
        <f>IFERROR(__xludf.DUMMYFUNCTION("""COMPUTED_VALUE"""),FALSE)</f>
        <v>0</v>
      </c>
      <c r="T864" s="1" t="b">
        <f>IFERROR(__xludf.DUMMYFUNCTION("""COMPUTED_VALUE"""),FALSE)</f>
        <v>0</v>
      </c>
      <c r="U864" s="1" t="str">
        <f>IFERROR(__xludf.DUMMYFUNCTION("""COMPUTED_VALUE"""),"DSQ")</f>
        <v>DSQ</v>
      </c>
      <c r="V864" s="1" t="str">
        <f>IFERROR(__xludf.DUMMYFUNCTION("""COMPUTED_VALUE"""),"DSQ")</f>
        <v>DSQ</v>
      </c>
      <c r="W864" s="1" t="str">
        <f>IFERROR(__xludf.DUMMYFUNCTION("""COMPUTED_VALUE"""),"DSQ")</f>
        <v>DSQ</v>
      </c>
      <c r="X864" s="1" t="str">
        <f>IFERROR(__xludf.DUMMYFUNCTION("""COMPUTED_VALUE"""),"DSQ")</f>
        <v>DSQ</v>
      </c>
      <c r="Y864" s="2"/>
      <c r="Z864" s="2" t="str">
        <f>IFERROR(__xludf.DUMMYFUNCTION("""COMPUTED_VALUE"""),"")</f>
        <v/>
      </c>
    </row>
    <row r="865">
      <c r="A865" s="1">
        <f>IFERROR(__xludf.DUMMYFUNCTION("""COMPUTED_VALUE"""),864.0)</f>
        <v>864</v>
      </c>
      <c r="B865" s="1">
        <f>IFERROR(__xludf.DUMMYFUNCTION("""COMPUTED_VALUE"""),10773.0)</f>
        <v>10773</v>
      </c>
      <c r="C865" s="2" t="str">
        <f>IFERROR(__xludf.DUMMYFUNCTION("""COMPUTED_VALUE"""),"REKA")</f>
        <v>REKA</v>
      </c>
      <c r="D865" s="2" t="str">
        <f>IFERROR(__xludf.DUMMYFUNCTION("""COMPUTED_VALUE"""),"10KM OVERALL M")</f>
        <v>10KM OVERALL M</v>
      </c>
      <c r="E865" s="1">
        <f>IFERROR(__xludf.DUMMYFUNCTION("""COMPUTED_VALUE"""),1.0)</f>
        <v>1</v>
      </c>
      <c r="F865" s="1" t="str">
        <f>IFERROR(__xludf.DUMMYFUNCTION("""COMPUTED_VALUE"""),"Female")</f>
        <v>Female</v>
      </c>
      <c r="G865" s="4" t="b">
        <f>IFERROR(__xludf.DUMMYFUNCTION("""COMPUTED_VALUE"""),TRUE)</f>
        <v>1</v>
      </c>
      <c r="H865" s="4" t="b">
        <f>IFERROR(__xludf.DUMMYFUNCTION("""COMPUTED_VALUE"""),FALSE)</f>
        <v>0</v>
      </c>
      <c r="I865" s="4">
        <f>IFERROR(__xludf.DUMMYFUNCTION("""COMPUTED_VALUE"""),0.24646185185185185)</f>
        <v>0.2464618519</v>
      </c>
      <c r="J865" s="4">
        <f>IFERROR(__xludf.DUMMYFUNCTION("""COMPUTED_VALUE"""),45949.25645029229)</f>
        <v>45949.25645</v>
      </c>
      <c r="K865" s="4">
        <f>IFERROR(__xludf.DUMMYFUNCTION("""COMPUTED_VALUE"""),45949.28125936774)</f>
        <v>45949.28126</v>
      </c>
      <c r="L865" s="4">
        <f>IFERROR(__xludf.DUMMYFUNCTION("""COMPUTED_VALUE"""),45949.2889598972)</f>
        <v>45949.28896</v>
      </c>
      <c r="M865" s="1" t="str">
        <f>IFERROR(__xludf.DUMMYFUNCTION("""COMPUTED_VALUE"""),"RFID")</f>
        <v>RFID</v>
      </c>
      <c r="N865" s="5">
        <f>IFERROR(__xludf.DUMMYFUNCTION("""COMPUTED_VALUE"""),0.003995375)</f>
        <v>0.003995375</v>
      </c>
      <c r="O865" s="5">
        <f>IFERROR(__xludf.DUMMYFUNCTION("""COMPUTED_VALUE"""),0.00992362962962963)</f>
        <v>0.00992362963</v>
      </c>
      <c r="P865" s="5">
        <f>IFERROR(__xludf.DUMMYFUNCTION("""COMPUTED_VALUE"""),0.003168942167116099)</f>
        <v>0.003168942167</v>
      </c>
      <c r="Q865" s="5">
        <f>IFERROR(__xludf.DUMMYFUNCTION("""COMPUTED_VALUE"""),0.004249804398148148)</f>
        <v>0.004249804398</v>
      </c>
      <c r="R865" s="4">
        <f>IFERROR(__xludf.DUMMYFUNCTION("""COMPUTED_VALUE"""),45949.04249804535)</f>
        <v>45949.0425</v>
      </c>
      <c r="S865" s="1" t="b">
        <f>IFERROR(__xludf.DUMMYFUNCTION("""COMPUTED_VALUE"""),TRUE)</f>
        <v>1</v>
      </c>
      <c r="T865" s="1" t="b">
        <f>IFERROR(__xludf.DUMMYFUNCTION("""COMPUTED_VALUE"""),FALSE)</f>
        <v>0</v>
      </c>
      <c r="U865" s="1" t="str">
        <f>IFERROR(__xludf.DUMMYFUNCTION("""COMPUTED_VALUE"""),"VALID")</f>
        <v>VALID</v>
      </c>
      <c r="V865" s="1">
        <f>IFERROR(__xludf.DUMMYFUNCTION("""COMPUTED_VALUE"""),158.0)</f>
        <v>158</v>
      </c>
      <c r="W865" s="1">
        <f>IFERROR(__xludf.DUMMYFUNCTION("""COMPUTED_VALUE"""),185.0)</f>
        <v>185</v>
      </c>
      <c r="X865" s="1">
        <f>IFERROR(__xludf.DUMMYFUNCTION("""COMPUTED_VALUE"""),443.0)</f>
        <v>443</v>
      </c>
      <c r="Y865" s="2"/>
      <c r="Z865" s="2"/>
    </row>
    <row r="866">
      <c r="A866" s="1">
        <f>IFERROR(__xludf.DUMMYFUNCTION("""COMPUTED_VALUE"""),865.0)</f>
        <v>865</v>
      </c>
      <c r="B866" s="1">
        <f>IFERROR(__xludf.DUMMYFUNCTION("""COMPUTED_VALUE"""),10774.0)</f>
        <v>10774</v>
      </c>
      <c r="C866" s="2" t="str">
        <f>IFERROR(__xludf.DUMMYFUNCTION("""COMPUTED_VALUE"""),"ROFHAL")</f>
        <v>ROFHAL</v>
      </c>
      <c r="D866" s="2" t="str">
        <f>IFERROR(__xludf.DUMMYFUNCTION("""COMPUTED_VALUE"""),"10KM OVERALL M")</f>
        <v>10KM OVERALL M</v>
      </c>
      <c r="E866" s="1">
        <f>IFERROR(__xludf.DUMMYFUNCTION("""COMPUTED_VALUE"""),1.0)</f>
        <v>1</v>
      </c>
      <c r="F866" s="1" t="str">
        <f>IFERROR(__xludf.DUMMYFUNCTION("""COMPUTED_VALUE"""),"Female")</f>
        <v>Female</v>
      </c>
      <c r="G866" s="4" t="str">
        <f>IFERROR(__xludf.DUMMYFUNCTION("""COMPUTED_VALUE"""),"")</f>
        <v/>
      </c>
      <c r="H866" s="4" t="b">
        <f>IFERROR(__xludf.DUMMYFUNCTION("""COMPUTED_VALUE"""),FALSE)</f>
        <v>0</v>
      </c>
      <c r="I866" s="4">
        <f>IFERROR(__xludf.DUMMYFUNCTION("""COMPUTED_VALUE"""),0.24646185185185185)</f>
        <v>0.2464618519</v>
      </c>
      <c r="J866" s="4" t="str">
        <f>IFERROR(__xludf.DUMMYFUNCTION("""COMPUTED_VALUE"""),"")</f>
        <v/>
      </c>
      <c r="K866" s="4" t="str">
        <f>IFERROR(__xludf.DUMMYFUNCTION("""COMPUTED_VALUE"""),"")</f>
        <v/>
      </c>
      <c r="L866" s="4" t="str">
        <f>IFERROR(__xludf.DUMMYFUNCTION("""COMPUTED_VALUE"""),"")</f>
        <v/>
      </c>
      <c r="M866" s="1" t="str">
        <f>IFERROR(__xludf.DUMMYFUNCTION("""COMPUTED_VALUE"""),"RFID")</f>
        <v>RFID</v>
      </c>
      <c r="N866" s="5" t="str">
        <f>IFERROR(__xludf.DUMMYFUNCTION("""COMPUTED_VALUE"""),"")</f>
        <v/>
      </c>
      <c r="O866" s="5" t="str">
        <f>IFERROR(__xludf.DUMMYFUNCTION("""COMPUTED_VALUE"""),"")</f>
        <v/>
      </c>
      <c r="P866" s="5" t="str">
        <f>IFERROR(__xludf.DUMMYFUNCTION("""COMPUTED_VALUE"""),"")</f>
        <v/>
      </c>
      <c r="Q866" s="5" t="str">
        <f>IFERROR(__xludf.DUMMYFUNCTION("""COMPUTED_VALUE"""),"")</f>
        <v/>
      </c>
      <c r="R866" s="4" t="str">
        <f>IFERROR(__xludf.DUMMYFUNCTION("""COMPUTED_VALUE"""),"")</f>
        <v/>
      </c>
      <c r="S866" s="1" t="b">
        <f>IFERROR(__xludf.DUMMYFUNCTION("""COMPUTED_VALUE"""),FALSE)</f>
        <v>0</v>
      </c>
      <c r="T866" s="1" t="b">
        <f>IFERROR(__xludf.DUMMYFUNCTION("""COMPUTED_VALUE"""),FALSE)</f>
        <v>0</v>
      </c>
      <c r="U866" s="1" t="str">
        <f>IFERROR(__xludf.DUMMYFUNCTION("""COMPUTED_VALUE"""),"DSQ")</f>
        <v>DSQ</v>
      </c>
      <c r="V866" s="1" t="str">
        <f>IFERROR(__xludf.DUMMYFUNCTION("""COMPUTED_VALUE"""),"DSQ")</f>
        <v>DSQ</v>
      </c>
      <c r="W866" s="1" t="str">
        <f>IFERROR(__xludf.DUMMYFUNCTION("""COMPUTED_VALUE"""),"DSQ")</f>
        <v>DSQ</v>
      </c>
      <c r="X866" s="1" t="str">
        <f>IFERROR(__xludf.DUMMYFUNCTION("""COMPUTED_VALUE"""),"DSQ")</f>
        <v>DSQ</v>
      </c>
      <c r="Y866" s="2"/>
      <c r="Z866" s="2" t="str">
        <f>IFERROR(__xludf.DUMMYFUNCTION("""COMPUTED_VALUE"""),"")</f>
        <v/>
      </c>
    </row>
    <row r="867">
      <c r="A867" s="1">
        <f>IFERROR(__xludf.DUMMYFUNCTION("""COMPUTED_VALUE"""),866.0)</f>
        <v>866</v>
      </c>
      <c r="B867" s="1">
        <f>IFERROR(__xludf.DUMMYFUNCTION("""COMPUTED_VALUE"""),10775.0)</f>
        <v>10775</v>
      </c>
      <c r="C867" s="2" t="str">
        <f>IFERROR(__xludf.DUMMYFUNCTION("""COMPUTED_VALUE"""),"BEBEN")</f>
        <v>BEBEN</v>
      </c>
      <c r="D867" s="2" t="str">
        <f>IFERROR(__xludf.DUMMYFUNCTION("""COMPUTED_VALUE"""),"10KM OVERALL M")</f>
        <v>10KM OVERALL M</v>
      </c>
      <c r="E867" s="1">
        <f>IFERROR(__xludf.DUMMYFUNCTION("""COMPUTED_VALUE"""),1.0)</f>
        <v>1</v>
      </c>
      <c r="F867" s="1" t="str">
        <f>IFERROR(__xludf.DUMMYFUNCTION("""COMPUTED_VALUE"""),"Female")</f>
        <v>Female</v>
      </c>
      <c r="G867" s="4" t="str">
        <f>IFERROR(__xludf.DUMMYFUNCTION("""COMPUTED_VALUE"""),"")</f>
        <v/>
      </c>
      <c r="H867" s="4" t="b">
        <f>IFERROR(__xludf.DUMMYFUNCTION("""COMPUTED_VALUE"""),FALSE)</f>
        <v>0</v>
      </c>
      <c r="I867" s="4">
        <f>IFERROR(__xludf.DUMMYFUNCTION("""COMPUTED_VALUE"""),0.24646185185185185)</f>
        <v>0.2464618519</v>
      </c>
      <c r="J867" s="4" t="str">
        <f>IFERROR(__xludf.DUMMYFUNCTION("""COMPUTED_VALUE"""),"")</f>
        <v/>
      </c>
      <c r="K867" s="4" t="str">
        <f>IFERROR(__xludf.DUMMYFUNCTION("""COMPUTED_VALUE"""),"")</f>
        <v/>
      </c>
      <c r="L867" s="4" t="str">
        <f>IFERROR(__xludf.DUMMYFUNCTION("""COMPUTED_VALUE"""),"")</f>
        <v/>
      </c>
      <c r="M867" s="1" t="str">
        <f>IFERROR(__xludf.DUMMYFUNCTION("""COMPUTED_VALUE"""),"RFID")</f>
        <v>RFID</v>
      </c>
      <c r="N867" s="5" t="str">
        <f>IFERROR(__xludf.DUMMYFUNCTION("""COMPUTED_VALUE"""),"")</f>
        <v/>
      </c>
      <c r="O867" s="5" t="str">
        <f>IFERROR(__xludf.DUMMYFUNCTION("""COMPUTED_VALUE"""),"")</f>
        <v/>
      </c>
      <c r="P867" s="5" t="str">
        <f>IFERROR(__xludf.DUMMYFUNCTION("""COMPUTED_VALUE"""),"")</f>
        <v/>
      </c>
      <c r="Q867" s="5" t="str">
        <f>IFERROR(__xludf.DUMMYFUNCTION("""COMPUTED_VALUE"""),"")</f>
        <v/>
      </c>
      <c r="R867" s="4" t="str">
        <f>IFERROR(__xludf.DUMMYFUNCTION("""COMPUTED_VALUE"""),"")</f>
        <v/>
      </c>
      <c r="S867" s="1" t="b">
        <f>IFERROR(__xludf.DUMMYFUNCTION("""COMPUTED_VALUE"""),FALSE)</f>
        <v>0</v>
      </c>
      <c r="T867" s="1" t="b">
        <f>IFERROR(__xludf.DUMMYFUNCTION("""COMPUTED_VALUE"""),FALSE)</f>
        <v>0</v>
      </c>
      <c r="U867" s="1" t="str">
        <f>IFERROR(__xludf.DUMMYFUNCTION("""COMPUTED_VALUE"""),"DSQ")</f>
        <v>DSQ</v>
      </c>
      <c r="V867" s="1" t="str">
        <f>IFERROR(__xludf.DUMMYFUNCTION("""COMPUTED_VALUE"""),"DSQ")</f>
        <v>DSQ</v>
      </c>
      <c r="W867" s="1" t="str">
        <f>IFERROR(__xludf.DUMMYFUNCTION("""COMPUTED_VALUE"""),"DSQ")</f>
        <v>DSQ</v>
      </c>
      <c r="X867" s="1" t="str">
        <f>IFERROR(__xludf.DUMMYFUNCTION("""COMPUTED_VALUE"""),"DSQ")</f>
        <v>DSQ</v>
      </c>
      <c r="Y867" s="2"/>
      <c r="Z867" s="2" t="str">
        <f>IFERROR(__xludf.DUMMYFUNCTION("""COMPUTED_VALUE"""),"")</f>
        <v/>
      </c>
    </row>
    <row r="868">
      <c r="A868" s="1">
        <f>IFERROR(__xludf.DUMMYFUNCTION("""COMPUTED_VALUE"""),867.0)</f>
        <v>867</v>
      </c>
      <c r="B868" s="1">
        <f>IFERROR(__xludf.DUMMYFUNCTION("""COMPUTED_VALUE"""),10776.0)</f>
        <v>10776</v>
      </c>
      <c r="C868" s="2" t="str">
        <f>IFERROR(__xludf.DUMMYFUNCTION("""COMPUTED_VALUE"""),"YUDI")</f>
        <v>YUDI</v>
      </c>
      <c r="D868" s="2" t="str">
        <f>IFERROR(__xludf.DUMMYFUNCTION("""COMPUTED_VALUE"""),"10KM OVERALL M")</f>
        <v>10KM OVERALL M</v>
      </c>
      <c r="E868" s="1">
        <f>IFERROR(__xludf.DUMMYFUNCTION("""COMPUTED_VALUE"""),1.0)</f>
        <v>1</v>
      </c>
      <c r="F868" s="1" t="str">
        <f>IFERROR(__xludf.DUMMYFUNCTION("""COMPUTED_VALUE"""),"Female")</f>
        <v>Female</v>
      </c>
      <c r="G868" s="4" t="b">
        <f>IFERROR(__xludf.DUMMYFUNCTION("""COMPUTED_VALUE"""),TRUE)</f>
        <v>1</v>
      </c>
      <c r="H868" s="4" t="b">
        <f>IFERROR(__xludf.DUMMYFUNCTION("""COMPUTED_VALUE"""),TRUE)</f>
        <v>1</v>
      </c>
      <c r="I868" s="4">
        <f>IFERROR(__xludf.DUMMYFUNCTION("""COMPUTED_VALUE"""),0.24646185185185185)</f>
        <v>0.2464618519</v>
      </c>
      <c r="J868" s="4">
        <f>IFERROR(__xludf.DUMMYFUNCTION("""COMPUTED_VALUE"""),45949.2578080126)</f>
        <v>45949.25781</v>
      </c>
      <c r="K868" s="4">
        <f>IFERROR(__xludf.DUMMYFUNCTION("""COMPUTED_VALUE"""),45949.28659963147)</f>
        <v>45949.2866</v>
      </c>
      <c r="L868" s="4">
        <f>IFERROR(__xludf.DUMMYFUNCTION("""COMPUTED_VALUE"""),45949.295463383896)</f>
        <v>45949.29546</v>
      </c>
      <c r="M868" s="1" t="str">
        <f>IFERROR(__xludf.DUMMYFUNCTION("""COMPUTED_VALUE"""),"RFID")</f>
        <v>RFID</v>
      </c>
      <c r="N868" s="5">
        <f>IFERROR(__xludf.DUMMYFUNCTION("""COMPUTED_VALUE"""),0.004538462962962963)</f>
        <v>0.004538462963</v>
      </c>
      <c r="O868" s="5">
        <f>IFERROR(__xludf.DUMMYFUNCTION("""COMPUTED_VALUE"""),0.011516648148148147)</f>
        <v>0.01151664815</v>
      </c>
      <c r="P868" s="5">
        <f>IFERROR(__xludf.DUMMYFUNCTION("""COMPUTED_VALUE"""),0.0036476347424183805)</f>
        <v>0.003647634742</v>
      </c>
      <c r="Q868" s="5">
        <f>IFERROR(__xludf.DUMMYFUNCTION("""COMPUTED_VALUE"""),0.004900152777777778)</f>
        <v>0.004900152778</v>
      </c>
      <c r="R868" s="4">
        <f>IFERROR(__xludf.DUMMYFUNCTION("""COMPUTED_VALUE"""),45949.04900153205)</f>
        <v>45949.049</v>
      </c>
      <c r="S868" s="1" t="b">
        <f>IFERROR(__xludf.DUMMYFUNCTION("""COMPUTED_VALUE"""),TRUE)</f>
        <v>1</v>
      </c>
      <c r="T868" s="1" t="b">
        <f>IFERROR(__xludf.DUMMYFUNCTION("""COMPUTED_VALUE"""),FALSE)</f>
        <v>0</v>
      </c>
      <c r="U868" s="1" t="str">
        <f>IFERROR(__xludf.DUMMYFUNCTION("""COMPUTED_VALUE"""),"VALID")</f>
        <v>VALID</v>
      </c>
      <c r="V868" s="1">
        <f>IFERROR(__xludf.DUMMYFUNCTION("""COMPUTED_VALUE"""),313.0)</f>
        <v>313</v>
      </c>
      <c r="W868" s="1">
        <f>IFERROR(__xludf.DUMMYFUNCTION("""COMPUTED_VALUE"""),371.0)</f>
        <v>371</v>
      </c>
      <c r="X868" s="1">
        <f>IFERROR(__xludf.DUMMYFUNCTION("""COMPUTED_VALUE"""),590.0)</f>
        <v>590</v>
      </c>
      <c r="Y868" s="2"/>
      <c r="Z868" s="2"/>
    </row>
    <row r="869">
      <c r="A869" s="1">
        <f>IFERROR(__xludf.DUMMYFUNCTION("""COMPUTED_VALUE"""),868.0)</f>
        <v>868</v>
      </c>
      <c r="B869" s="1">
        <f>IFERROR(__xludf.DUMMYFUNCTION("""COMPUTED_VALUE"""),10777.0)</f>
        <v>10777</v>
      </c>
      <c r="C869" s="2" t="str">
        <f>IFERROR(__xludf.DUMMYFUNCTION("""COMPUTED_VALUE"""),"NIAM")</f>
        <v>NIAM</v>
      </c>
      <c r="D869" s="2" t="str">
        <f>IFERROR(__xludf.DUMMYFUNCTION("""COMPUTED_VALUE"""),"10KM OVERALL M")</f>
        <v>10KM OVERALL M</v>
      </c>
      <c r="E869" s="1">
        <f>IFERROR(__xludf.DUMMYFUNCTION("""COMPUTED_VALUE"""),1.0)</f>
        <v>1</v>
      </c>
      <c r="F869" s="1" t="str">
        <f>IFERROR(__xludf.DUMMYFUNCTION("""COMPUTED_VALUE"""),"Female")</f>
        <v>Female</v>
      </c>
      <c r="G869" s="4" t="b">
        <f>IFERROR(__xludf.DUMMYFUNCTION("""COMPUTED_VALUE"""),TRUE)</f>
        <v>1</v>
      </c>
      <c r="H869" s="4" t="b">
        <f>IFERROR(__xludf.DUMMYFUNCTION("""COMPUTED_VALUE"""),TRUE)</f>
        <v>1</v>
      </c>
      <c r="I869" s="4">
        <f>IFERROR(__xludf.DUMMYFUNCTION("""COMPUTED_VALUE"""),0.24646185185185185)</f>
        <v>0.2464618519</v>
      </c>
      <c r="J869" s="4">
        <f>IFERROR(__xludf.DUMMYFUNCTION("""COMPUTED_VALUE"""),45949.25732182482)</f>
        <v>45949.25732</v>
      </c>
      <c r="K869" s="4">
        <f>IFERROR(__xludf.DUMMYFUNCTION("""COMPUTED_VALUE"""),45949.28611351749)</f>
        <v>45949.28611</v>
      </c>
      <c r="L869" s="4">
        <f>IFERROR(__xludf.DUMMYFUNCTION("""COMPUTED_VALUE"""),45949.29483143807)</f>
        <v>45949.29483</v>
      </c>
      <c r="M869" s="1" t="str">
        <f>IFERROR(__xludf.DUMMYFUNCTION("""COMPUTED_VALUE"""),"RFID")</f>
        <v>RFID</v>
      </c>
      <c r="N869" s="5">
        <f>IFERROR(__xludf.DUMMYFUNCTION("""COMPUTED_VALUE"""),0.00434399074074074)</f>
        <v>0.004343990741</v>
      </c>
      <c r="O869" s="5">
        <f>IFERROR(__xludf.DUMMYFUNCTION("""COMPUTED_VALUE"""),0.011516675925925925)</f>
        <v>0.01151667593</v>
      </c>
      <c r="P869" s="5">
        <f>IFERROR(__xludf.DUMMYFUNCTION("""COMPUTED_VALUE"""),0.0035876216379582587)</f>
        <v>0.003587621638</v>
      </c>
      <c r="Q869" s="5">
        <f>IFERROR(__xludf.DUMMYFUNCTION("""COMPUTED_VALUE"""),0.004836958333333333)</f>
        <v>0.004836958333</v>
      </c>
      <c r="R869" s="4">
        <f>IFERROR(__xludf.DUMMYFUNCTION("""COMPUTED_VALUE"""),45949.04836958622)</f>
        <v>45949.04837</v>
      </c>
      <c r="S869" s="1" t="b">
        <f>IFERROR(__xludf.DUMMYFUNCTION("""COMPUTED_VALUE"""),TRUE)</f>
        <v>1</v>
      </c>
      <c r="T869" s="1" t="b">
        <f>IFERROR(__xludf.DUMMYFUNCTION("""COMPUTED_VALUE"""),FALSE)</f>
        <v>0</v>
      </c>
      <c r="U869" s="1" t="str">
        <f>IFERROR(__xludf.DUMMYFUNCTION("""COMPUTED_VALUE"""),"VALID")</f>
        <v>VALID</v>
      </c>
      <c r="V869" s="1">
        <f>IFERROR(__xludf.DUMMYFUNCTION("""COMPUTED_VALUE"""),297.0)</f>
        <v>297</v>
      </c>
      <c r="W869" s="1">
        <f>IFERROR(__xludf.DUMMYFUNCTION("""COMPUTED_VALUE"""),352.0)</f>
        <v>352</v>
      </c>
      <c r="X869" s="1">
        <f>IFERROR(__xludf.DUMMYFUNCTION("""COMPUTED_VALUE"""),584.0)</f>
        <v>584</v>
      </c>
      <c r="Y869" s="2"/>
      <c r="Z869" s="2"/>
    </row>
    <row r="870">
      <c r="A870" s="1">
        <f>IFERROR(__xludf.DUMMYFUNCTION("""COMPUTED_VALUE"""),869.0)</f>
        <v>869</v>
      </c>
      <c r="B870" s="1">
        <f>IFERROR(__xludf.DUMMYFUNCTION("""COMPUTED_VALUE"""),10778.0)</f>
        <v>10778</v>
      </c>
      <c r="C870" s="2" t="str">
        <f>IFERROR(__xludf.DUMMYFUNCTION("""COMPUTED_VALUE"""),"WAKAPOLDA")</f>
        <v>WAKAPOLDA</v>
      </c>
      <c r="D870" s="2" t="str">
        <f>IFERROR(__xludf.DUMMYFUNCTION("""COMPUTED_VALUE"""),"10KM OVERALL M")</f>
        <v>10KM OVERALL M</v>
      </c>
      <c r="E870" s="1">
        <f>IFERROR(__xludf.DUMMYFUNCTION("""COMPUTED_VALUE"""),1.0)</f>
        <v>1</v>
      </c>
      <c r="F870" s="1" t="str">
        <f>IFERROR(__xludf.DUMMYFUNCTION("""COMPUTED_VALUE"""),"Male")</f>
        <v>Male</v>
      </c>
      <c r="G870" s="4" t="b">
        <f>IFERROR(__xludf.DUMMYFUNCTION("""COMPUTED_VALUE"""),TRUE)</f>
        <v>1</v>
      </c>
      <c r="H870" s="4" t="b">
        <f>IFERROR(__xludf.DUMMYFUNCTION("""COMPUTED_VALUE"""),TRUE)</f>
        <v>1</v>
      </c>
      <c r="I870" s="4">
        <f>IFERROR(__xludf.DUMMYFUNCTION("""COMPUTED_VALUE"""),0.24646185185185185)</f>
        <v>0.2464618519</v>
      </c>
      <c r="J870" s="4">
        <f>IFERROR(__xludf.DUMMYFUNCTION("""COMPUTED_VALUE"""),45949.257894827126)</f>
        <v>45949.25789</v>
      </c>
      <c r="K870" s="4">
        <f>IFERROR(__xludf.DUMMYFUNCTION("""COMPUTED_VALUE"""),45949.28373505178)</f>
        <v>45949.28374</v>
      </c>
      <c r="L870" s="4">
        <f>IFERROR(__xludf.DUMMYFUNCTION("""COMPUTED_VALUE"""),45949.291640455034)</f>
        <v>45949.29164</v>
      </c>
      <c r="M870" s="1" t="str">
        <f>IFERROR(__xludf.DUMMYFUNCTION("""COMPUTED_VALUE"""),"RFID")</f>
        <v>RFID</v>
      </c>
      <c r="N870" s="5">
        <f>IFERROR(__xludf.DUMMYFUNCTION("""COMPUTED_VALUE"""),0.004573189814814815)</f>
        <v>0.004573189815</v>
      </c>
      <c r="O870" s="5">
        <f>IFERROR(__xludf.DUMMYFUNCTION("""COMPUTED_VALUE"""),0.010336087962962962)</f>
        <v>0.01033608796</v>
      </c>
      <c r="P870" s="5">
        <f>IFERROR(__xludf.DUMMYFUNCTION("""COMPUTED_VALUE"""),0.003253252367889547)</f>
        <v>0.003253252368</v>
      </c>
      <c r="Q870" s="5">
        <f>IFERROR(__xludf.DUMMYFUNCTION("""COMPUTED_VALUE"""),0.004517859953703704)</f>
        <v>0.004517859954</v>
      </c>
      <c r="R870" s="4">
        <f>IFERROR(__xludf.DUMMYFUNCTION("""COMPUTED_VALUE"""),45949.045178603184)</f>
        <v>45949.04518</v>
      </c>
      <c r="S870" s="1" t="b">
        <f>IFERROR(__xludf.DUMMYFUNCTION("""COMPUTED_VALUE"""),TRUE)</f>
        <v>1</v>
      </c>
      <c r="T870" s="1" t="b">
        <f>IFERROR(__xludf.DUMMYFUNCTION("""COMPUTED_VALUE"""),FALSE)</f>
        <v>0</v>
      </c>
      <c r="U870" s="1" t="str">
        <f>IFERROR(__xludf.DUMMYFUNCTION("""COMPUTED_VALUE"""),"VALID")</f>
        <v>VALID</v>
      </c>
      <c r="V870" s="1">
        <f>IFERROR(__xludf.DUMMYFUNCTION("""COMPUTED_VALUE"""),220.0)</f>
        <v>220</v>
      </c>
      <c r="W870" s="1">
        <f>IFERROR(__xludf.DUMMYFUNCTION("""COMPUTED_VALUE"""),265.0)</f>
        <v>265</v>
      </c>
      <c r="X870" s="1">
        <f>IFERROR(__xludf.DUMMYFUNCTION("""COMPUTED_VALUE"""),1205.0)</f>
        <v>1205</v>
      </c>
      <c r="Y870" s="2"/>
      <c r="Z870" s="2"/>
    </row>
    <row r="871">
      <c r="A871" s="1">
        <f>IFERROR(__xludf.DUMMYFUNCTION("""COMPUTED_VALUE"""),870.0)</f>
        <v>870</v>
      </c>
      <c r="B871" s="1">
        <f>IFERROR(__xludf.DUMMYFUNCTION("""COMPUTED_VALUE"""),10779.0)</f>
        <v>10779</v>
      </c>
      <c r="C871" s="2" t="str">
        <f>IFERROR(__xludf.DUMMYFUNCTION("""COMPUTED_VALUE"""),"WAKAPOLDA")</f>
        <v>WAKAPOLDA</v>
      </c>
      <c r="D871" s="2" t="str">
        <f>IFERROR(__xludf.DUMMYFUNCTION("""COMPUTED_VALUE"""),"10KM OVERALL M")</f>
        <v>10KM OVERALL M</v>
      </c>
      <c r="E871" s="1">
        <f>IFERROR(__xludf.DUMMYFUNCTION("""COMPUTED_VALUE"""),1.0)</f>
        <v>1</v>
      </c>
      <c r="F871" s="1" t="str">
        <f>IFERROR(__xludf.DUMMYFUNCTION("""COMPUTED_VALUE"""),"Male")</f>
        <v>Male</v>
      </c>
      <c r="G871" s="4" t="str">
        <f>IFERROR(__xludf.DUMMYFUNCTION("""COMPUTED_VALUE"""),"")</f>
        <v/>
      </c>
      <c r="H871" s="4" t="b">
        <f>IFERROR(__xludf.DUMMYFUNCTION("""COMPUTED_VALUE"""),FALSE)</f>
        <v>0</v>
      </c>
      <c r="I871" s="4">
        <f>IFERROR(__xludf.DUMMYFUNCTION("""COMPUTED_VALUE"""),0.24646185185185185)</f>
        <v>0.2464618519</v>
      </c>
      <c r="J871" s="4" t="str">
        <f>IFERROR(__xludf.DUMMYFUNCTION("""COMPUTED_VALUE"""),"")</f>
        <v/>
      </c>
      <c r="K871" s="4" t="str">
        <f>IFERROR(__xludf.DUMMYFUNCTION("""COMPUTED_VALUE"""),"")</f>
        <v/>
      </c>
      <c r="L871" s="4" t="str">
        <f>IFERROR(__xludf.DUMMYFUNCTION("""COMPUTED_VALUE"""),"")</f>
        <v/>
      </c>
      <c r="M871" s="1" t="str">
        <f>IFERROR(__xludf.DUMMYFUNCTION("""COMPUTED_VALUE"""),"RFID")</f>
        <v>RFID</v>
      </c>
      <c r="N871" s="5" t="str">
        <f>IFERROR(__xludf.DUMMYFUNCTION("""COMPUTED_VALUE"""),"")</f>
        <v/>
      </c>
      <c r="O871" s="5" t="str">
        <f>IFERROR(__xludf.DUMMYFUNCTION("""COMPUTED_VALUE"""),"")</f>
        <v/>
      </c>
      <c r="P871" s="5" t="str">
        <f>IFERROR(__xludf.DUMMYFUNCTION("""COMPUTED_VALUE"""),"")</f>
        <v/>
      </c>
      <c r="Q871" s="5" t="str">
        <f>IFERROR(__xludf.DUMMYFUNCTION("""COMPUTED_VALUE"""),"")</f>
        <v/>
      </c>
      <c r="R871" s="4" t="str">
        <f>IFERROR(__xludf.DUMMYFUNCTION("""COMPUTED_VALUE"""),"")</f>
        <v/>
      </c>
      <c r="S871" s="1" t="b">
        <f>IFERROR(__xludf.DUMMYFUNCTION("""COMPUTED_VALUE"""),FALSE)</f>
        <v>0</v>
      </c>
      <c r="T871" s="1" t="b">
        <f>IFERROR(__xludf.DUMMYFUNCTION("""COMPUTED_VALUE"""),FALSE)</f>
        <v>0</v>
      </c>
      <c r="U871" s="1" t="str">
        <f>IFERROR(__xludf.DUMMYFUNCTION("""COMPUTED_VALUE"""),"DSQ")</f>
        <v>DSQ</v>
      </c>
      <c r="V871" s="1" t="str">
        <f>IFERROR(__xludf.DUMMYFUNCTION("""COMPUTED_VALUE"""),"DSQ")</f>
        <v>DSQ</v>
      </c>
      <c r="W871" s="1" t="str">
        <f>IFERROR(__xludf.DUMMYFUNCTION("""COMPUTED_VALUE"""),"DSQ")</f>
        <v>DSQ</v>
      </c>
      <c r="X871" s="1" t="str">
        <f>IFERROR(__xludf.DUMMYFUNCTION("""COMPUTED_VALUE"""),"DSQ")</f>
        <v>DSQ</v>
      </c>
      <c r="Y871" s="2"/>
      <c r="Z871" s="2" t="str">
        <f>IFERROR(__xludf.DUMMYFUNCTION("""COMPUTED_VALUE"""),"")</f>
        <v/>
      </c>
    </row>
    <row r="872">
      <c r="A872" s="1">
        <f>IFERROR(__xludf.DUMMYFUNCTION("""COMPUTED_VALUE"""),871.0)</f>
        <v>871</v>
      </c>
      <c r="B872" s="1">
        <f>IFERROR(__xludf.DUMMYFUNCTION("""COMPUTED_VALUE"""),10780.0)</f>
        <v>10780</v>
      </c>
      <c r="C872" s="2" t="str">
        <f>IFERROR(__xludf.DUMMYFUNCTION("""COMPUTED_VALUE"""),"WAKAPOLDA")</f>
        <v>WAKAPOLDA</v>
      </c>
      <c r="D872" s="2" t="str">
        <f>IFERROR(__xludf.DUMMYFUNCTION("""COMPUTED_VALUE"""),"10KM OVERALL M")</f>
        <v>10KM OVERALL M</v>
      </c>
      <c r="E872" s="1">
        <f>IFERROR(__xludf.DUMMYFUNCTION("""COMPUTED_VALUE"""),1.0)</f>
        <v>1</v>
      </c>
      <c r="F872" s="1" t="str">
        <f>IFERROR(__xludf.DUMMYFUNCTION("""COMPUTED_VALUE"""),"Male")</f>
        <v>Male</v>
      </c>
      <c r="G872" s="4" t="b">
        <f>IFERROR(__xludf.DUMMYFUNCTION("""COMPUTED_VALUE"""),TRUE)</f>
        <v>1</v>
      </c>
      <c r="H872" s="4" t="b">
        <f>IFERROR(__xludf.DUMMYFUNCTION("""COMPUTED_VALUE"""),TRUE)</f>
        <v>1</v>
      </c>
      <c r="I872" s="4">
        <f>IFERROR(__xludf.DUMMYFUNCTION("""COMPUTED_VALUE"""),0.24646185185185185)</f>
        <v>0.2464618519</v>
      </c>
      <c r="J872" s="4">
        <f>IFERROR(__xludf.DUMMYFUNCTION("""COMPUTED_VALUE"""),45949.2557385078)</f>
        <v>45949.25574</v>
      </c>
      <c r="K872" s="4" t="str">
        <f>IFERROR(__xludf.DUMMYFUNCTION("""COMPUTED_VALUE"""),"")</f>
        <v/>
      </c>
      <c r="L872" s="4">
        <f>IFERROR(__xludf.DUMMYFUNCTION("""COMPUTED_VALUE"""),45949.2841682352)</f>
        <v>45949.28417</v>
      </c>
      <c r="M872" s="1" t="str">
        <f>IFERROR(__xludf.DUMMYFUNCTION("""COMPUTED_VALUE"""),"RFID")</f>
        <v>RFID</v>
      </c>
      <c r="N872" s="5">
        <f>IFERROR(__xludf.DUMMYFUNCTION("""COMPUTED_VALUE"""),0.0037106620370370375)</f>
        <v>0.003710662037</v>
      </c>
      <c r="O872" s="5" t="str">
        <f>IFERROR(__xludf.DUMMYFUNCTION("""COMPUTED_VALUE"""),"")</f>
        <v/>
      </c>
      <c r="P872" s="5" t="str">
        <f>IFERROR(__xludf.DUMMYFUNCTION("""COMPUTED_VALUE"""),"")</f>
        <v/>
      </c>
      <c r="Q872" s="5">
        <f>IFERROR(__xludf.DUMMYFUNCTION("""COMPUTED_VALUE"""),0.0037706388888888885)</f>
        <v>0.003770638889</v>
      </c>
      <c r="R872" s="4">
        <f>IFERROR(__xludf.DUMMYFUNCTION("""COMPUTED_VALUE"""),45949.03770638335)</f>
        <v>45949.03771</v>
      </c>
      <c r="S872" s="1" t="b">
        <f>IFERROR(__xludf.DUMMYFUNCTION("""COMPUTED_VALUE"""),TRUE)</f>
        <v>1</v>
      </c>
      <c r="T872" s="1" t="b">
        <f>IFERROR(__xludf.DUMMYFUNCTION("""COMPUTED_VALUE"""),FALSE)</f>
        <v>0</v>
      </c>
      <c r="U872" s="1" t="str">
        <f>IFERROR(__xludf.DUMMYFUNCTION("""COMPUTED_VALUE"""),"VALID")</f>
        <v>VALID</v>
      </c>
      <c r="V872" s="1">
        <f>IFERROR(__xludf.DUMMYFUNCTION("""COMPUTED_VALUE"""),65.0)</f>
        <v>65</v>
      </c>
      <c r="W872" s="1">
        <f>IFERROR(__xludf.DUMMYFUNCTION("""COMPUTED_VALUE"""),77.0)</f>
        <v>77</v>
      </c>
      <c r="X872" s="1">
        <f>IFERROR(__xludf.DUMMYFUNCTION("""COMPUTED_VALUE"""),859.0)</f>
        <v>859</v>
      </c>
      <c r="Y872" s="2"/>
      <c r="Z872" s="2"/>
    </row>
    <row r="873">
      <c r="A873" s="1">
        <f>IFERROR(__xludf.DUMMYFUNCTION("""COMPUTED_VALUE"""),872.0)</f>
        <v>872</v>
      </c>
      <c r="B873" s="1">
        <f>IFERROR(__xludf.DUMMYFUNCTION("""COMPUTED_VALUE"""),10781.0)</f>
        <v>10781</v>
      </c>
      <c r="C873" s="2" t="str">
        <f>IFERROR(__xludf.DUMMYFUNCTION("""COMPUTED_VALUE"""),"WAKAPOLDA")</f>
        <v>WAKAPOLDA</v>
      </c>
      <c r="D873" s="2" t="str">
        <f>IFERROR(__xludf.DUMMYFUNCTION("""COMPUTED_VALUE"""),"10KM OVERALL M")</f>
        <v>10KM OVERALL M</v>
      </c>
      <c r="E873" s="1">
        <f>IFERROR(__xludf.DUMMYFUNCTION("""COMPUTED_VALUE"""),1.0)</f>
        <v>1</v>
      </c>
      <c r="F873" s="1" t="str">
        <f>IFERROR(__xludf.DUMMYFUNCTION("""COMPUTED_VALUE"""),"Male")</f>
        <v>Male</v>
      </c>
      <c r="G873" s="4" t="b">
        <f>IFERROR(__xludf.DUMMYFUNCTION("""COMPUTED_VALUE"""),TRUE)</f>
        <v>1</v>
      </c>
      <c r="H873" s="4" t="b">
        <f>IFERROR(__xludf.DUMMYFUNCTION("""COMPUTED_VALUE"""),FALSE)</f>
        <v>0</v>
      </c>
      <c r="I873" s="4">
        <f>IFERROR(__xludf.DUMMYFUNCTION("""COMPUTED_VALUE"""),0.24646185185185185)</f>
        <v>0.2464618519</v>
      </c>
      <c r="J873" s="4">
        <f>IFERROR(__xludf.DUMMYFUNCTION("""COMPUTED_VALUE"""),45949.25964479812)</f>
        <v>45949.25964</v>
      </c>
      <c r="K873" s="4">
        <f>IFERROR(__xludf.DUMMYFUNCTION("""COMPUTED_VALUE"""),45949.29173870683)</f>
        <v>45949.29174</v>
      </c>
      <c r="L873" s="4">
        <f>IFERROR(__xludf.DUMMYFUNCTION("""COMPUTED_VALUE"""),45949.30162311931)</f>
        <v>45949.30162</v>
      </c>
      <c r="M873" s="1" t="str">
        <f>IFERROR(__xludf.DUMMYFUNCTION("""COMPUTED_VALUE"""),"RFID")</f>
        <v>RFID</v>
      </c>
      <c r="N873" s="5">
        <f>IFERROR(__xludf.DUMMYFUNCTION("""COMPUTED_VALUE"""),0.005273180555555556)</f>
        <v>0.005273180556</v>
      </c>
      <c r="O873" s="5">
        <f>IFERROR(__xludf.DUMMYFUNCTION("""COMPUTED_VALUE"""),0.012837564814814817)</f>
        <v>0.01283756481</v>
      </c>
      <c r="P873" s="5">
        <f>IFERROR(__xludf.DUMMYFUNCTION("""COMPUTED_VALUE"""),0.0040676594569794295)</f>
        <v>0.004067659457</v>
      </c>
      <c r="Q873" s="5">
        <f>IFERROR(__xludf.DUMMYFUNCTION("""COMPUTED_VALUE"""),0.005516127314814815)</f>
        <v>0.005516127315</v>
      </c>
      <c r="R873" s="4">
        <f>IFERROR(__xludf.DUMMYFUNCTION("""COMPUTED_VALUE"""),45949.05516126746)</f>
        <v>45949.05516</v>
      </c>
      <c r="S873" s="1" t="b">
        <f>IFERROR(__xludf.DUMMYFUNCTION("""COMPUTED_VALUE"""),TRUE)</f>
        <v>1</v>
      </c>
      <c r="T873" s="1" t="b">
        <f>IFERROR(__xludf.DUMMYFUNCTION("""COMPUTED_VALUE"""),FALSE)</f>
        <v>0</v>
      </c>
      <c r="U873" s="1" t="str">
        <f>IFERROR(__xludf.DUMMYFUNCTION("""COMPUTED_VALUE"""),"VALID")</f>
        <v>VALID</v>
      </c>
      <c r="V873" s="1">
        <f>IFERROR(__xludf.DUMMYFUNCTION("""COMPUTED_VALUE"""),462.0)</f>
        <v>462</v>
      </c>
      <c r="W873" s="1">
        <f>IFERROR(__xludf.DUMMYFUNCTION("""COMPUTED_VALUE"""),554.0)</f>
        <v>554</v>
      </c>
      <c r="X873" s="1">
        <f>IFERROR(__xludf.DUMMYFUNCTION("""COMPUTED_VALUE"""),1527.0)</f>
        <v>1527</v>
      </c>
      <c r="Y873" s="2"/>
      <c r="Z873" s="2"/>
    </row>
    <row r="874">
      <c r="A874" s="1">
        <f>IFERROR(__xludf.DUMMYFUNCTION("""COMPUTED_VALUE"""),873.0)</f>
        <v>873</v>
      </c>
      <c r="B874" s="1">
        <f>IFERROR(__xludf.DUMMYFUNCTION("""COMPUTED_VALUE"""),10782.0)</f>
        <v>10782</v>
      </c>
      <c r="C874" s="2" t="str">
        <f>IFERROR(__xludf.DUMMYFUNCTION("""COMPUTED_VALUE"""),"WAKAPOLDA")</f>
        <v>WAKAPOLDA</v>
      </c>
      <c r="D874" s="2" t="str">
        <f>IFERROR(__xludf.DUMMYFUNCTION("""COMPUTED_VALUE"""),"10KM OVERALL M")</f>
        <v>10KM OVERALL M</v>
      </c>
      <c r="E874" s="1">
        <f>IFERROR(__xludf.DUMMYFUNCTION("""COMPUTED_VALUE"""),1.0)</f>
        <v>1</v>
      </c>
      <c r="F874" s="1" t="str">
        <f>IFERROR(__xludf.DUMMYFUNCTION("""COMPUTED_VALUE"""),"Male")</f>
        <v>Male</v>
      </c>
      <c r="G874" s="4" t="b">
        <f>IFERROR(__xludf.DUMMYFUNCTION("""COMPUTED_VALUE"""),TRUE)</f>
        <v>1</v>
      </c>
      <c r="H874" s="4" t="b">
        <f>IFERROR(__xludf.DUMMYFUNCTION("""COMPUTED_VALUE"""),TRUE)</f>
        <v>1</v>
      </c>
      <c r="I874" s="4">
        <f>IFERROR(__xludf.DUMMYFUNCTION("""COMPUTED_VALUE"""),0.24646185185185185)</f>
        <v>0.2464618519</v>
      </c>
      <c r="J874" s="4">
        <f>IFERROR(__xludf.DUMMYFUNCTION("""COMPUTED_VALUE"""),45949.26196419662)</f>
        <v>45949.26196</v>
      </c>
      <c r="K874" s="4">
        <f>IFERROR(__xludf.DUMMYFUNCTION("""COMPUTED_VALUE"""),45949.29784642071)</f>
        <v>45949.29785</v>
      </c>
      <c r="L874" s="4">
        <f>IFERROR(__xludf.DUMMYFUNCTION("""COMPUTED_VALUE"""),45949.308286280284)</f>
        <v>45949.30829</v>
      </c>
      <c r="M874" s="1" t="str">
        <f>IFERROR(__xludf.DUMMYFUNCTION("""COMPUTED_VALUE"""),"RFID")</f>
        <v>RFID</v>
      </c>
      <c r="N874" s="5">
        <f>IFERROR(__xludf.DUMMYFUNCTION("""COMPUTED_VALUE"""),0.0062009398148148145)</f>
        <v>0.006200939815</v>
      </c>
      <c r="O874" s="5">
        <f>IFERROR(__xludf.DUMMYFUNCTION("""COMPUTED_VALUE"""),0.01435288888888889)</f>
        <v>0.01435288889</v>
      </c>
      <c r="P874" s="5">
        <f>IFERROR(__xludf.DUMMYFUNCTION("""COMPUTED_VALUE"""),0.004296238507084747)</f>
        <v>0.004296238507</v>
      </c>
      <c r="Q874" s="5">
        <f>IFERROR(__xludf.DUMMYFUNCTION("""COMPUTED_VALUE"""),0.0061824432870370375)</f>
        <v>0.006182443287</v>
      </c>
      <c r="R874" s="4">
        <f>IFERROR(__xludf.DUMMYFUNCTION("""COMPUTED_VALUE"""),45949.061824428434)</f>
        <v>45949.06182</v>
      </c>
      <c r="S874" s="1" t="b">
        <f>IFERROR(__xludf.DUMMYFUNCTION("""COMPUTED_VALUE"""),TRUE)</f>
        <v>1</v>
      </c>
      <c r="T874" s="1" t="b">
        <f>IFERROR(__xludf.DUMMYFUNCTION("""COMPUTED_VALUE"""),FALSE)</f>
        <v>0</v>
      </c>
      <c r="U874" s="1" t="str">
        <f>IFERROR(__xludf.DUMMYFUNCTION("""COMPUTED_VALUE"""),"VALID")</f>
        <v>VALID</v>
      </c>
      <c r="V874" s="1">
        <f>IFERROR(__xludf.DUMMYFUNCTION("""COMPUTED_VALUE"""),552.0)</f>
        <v>552</v>
      </c>
      <c r="W874" s="1">
        <f>IFERROR(__xludf.DUMMYFUNCTION("""COMPUTED_VALUE"""),677.0)</f>
        <v>677</v>
      </c>
      <c r="X874" s="1">
        <f>IFERROR(__xludf.DUMMYFUNCTION("""COMPUTED_VALUE"""),1628.0)</f>
        <v>1628</v>
      </c>
      <c r="Y874" s="2"/>
      <c r="Z874" s="2"/>
    </row>
    <row r="875">
      <c r="A875" s="1">
        <f>IFERROR(__xludf.DUMMYFUNCTION("""COMPUTED_VALUE"""),874.0)</f>
        <v>874</v>
      </c>
      <c r="B875" s="1">
        <f>IFERROR(__xludf.DUMMYFUNCTION("""COMPUTED_VALUE"""),10783.0)</f>
        <v>10783</v>
      </c>
      <c r="C875" s="2" t="str">
        <f>IFERROR(__xludf.DUMMYFUNCTION("""COMPUTED_VALUE"""),"DIRRESNARKOBA")</f>
        <v>DIRRESNARKOBA</v>
      </c>
      <c r="D875" s="2" t="str">
        <f>IFERROR(__xludf.DUMMYFUNCTION("""COMPUTED_VALUE"""),"10KM OVERALL M")</f>
        <v>10KM OVERALL M</v>
      </c>
      <c r="E875" s="1">
        <f>IFERROR(__xludf.DUMMYFUNCTION("""COMPUTED_VALUE"""),1.0)</f>
        <v>1</v>
      </c>
      <c r="F875" s="1" t="str">
        <f>IFERROR(__xludf.DUMMYFUNCTION("""COMPUTED_VALUE"""),"Male")</f>
        <v>Male</v>
      </c>
      <c r="G875" s="4" t="str">
        <f>IFERROR(__xludf.DUMMYFUNCTION("""COMPUTED_VALUE"""),"")</f>
        <v/>
      </c>
      <c r="H875" s="4" t="b">
        <f>IFERROR(__xludf.DUMMYFUNCTION("""COMPUTED_VALUE"""),TRUE)</f>
        <v>1</v>
      </c>
      <c r="I875" s="4">
        <f>IFERROR(__xludf.DUMMYFUNCTION("""COMPUTED_VALUE"""),0.24646185185185185)</f>
        <v>0.2464618519</v>
      </c>
      <c r="J875" s="4">
        <f>IFERROR(__xludf.DUMMYFUNCTION("""COMPUTED_VALUE"""),45949.28282530509)</f>
        <v>45949.28283</v>
      </c>
      <c r="K875" s="4" t="str">
        <f>IFERROR(__xludf.DUMMYFUNCTION("""COMPUTED_VALUE"""),"")</f>
        <v/>
      </c>
      <c r="L875" s="4">
        <f>IFERROR(__xludf.DUMMYFUNCTION("""COMPUTED_VALUE"""),45949.30311961678)</f>
        <v>45949.30312</v>
      </c>
      <c r="M875" s="1" t="str">
        <f>IFERROR(__xludf.DUMMYFUNCTION("""COMPUTED_VALUE"""),"RFID")</f>
        <v>RFID</v>
      </c>
      <c r="N875" s="5">
        <f>IFERROR(__xludf.DUMMYFUNCTION("""COMPUTED_VALUE"""),0.014545379629629629)</f>
        <v>0.01454537963</v>
      </c>
      <c r="O875" s="5" t="str">
        <f>IFERROR(__xludf.DUMMYFUNCTION("""COMPUTED_VALUE"""),"")</f>
        <v/>
      </c>
      <c r="P875" s="5" t="str">
        <f>IFERROR(__xludf.DUMMYFUNCTION("""COMPUTED_VALUE"""),"")</f>
        <v/>
      </c>
      <c r="Q875" s="5">
        <f>IFERROR(__xludf.DUMMYFUNCTION("""COMPUTED_VALUE"""),0.00566577662037037)</f>
        <v>0.00566577662</v>
      </c>
      <c r="R875" s="4">
        <f>IFERROR(__xludf.DUMMYFUNCTION("""COMPUTED_VALUE"""),45949.05665776493)</f>
        <v>45949.05666</v>
      </c>
      <c r="S875" s="1" t="b">
        <f>IFERROR(__xludf.DUMMYFUNCTION("""COMPUTED_VALUE"""),TRUE)</f>
        <v>1</v>
      </c>
      <c r="T875" s="1" t="b">
        <f>IFERROR(__xludf.DUMMYFUNCTION("""COMPUTED_VALUE"""),FALSE)</f>
        <v>0</v>
      </c>
      <c r="U875" s="1" t="str">
        <f>IFERROR(__xludf.DUMMYFUNCTION("""COMPUTED_VALUE"""),"VALID")</f>
        <v>VALID</v>
      </c>
      <c r="V875" s="1">
        <f>IFERROR(__xludf.DUMMYFUNCTION("""COMPUTED_VALUE"""),492.0)</f>
        <v>492</v>
      </c>
      <c r="W875" s="1">
        <f>IFERROR(__xludf.DUMMYFUNCTION("""COMPUTED_VALUE"""),590.0)</f>
        <v>590</v>
      </c>
      <c r="X875" s="1">
        <f>IFERROR(__xludf.DUMMYFUNCTION("""COMPUTED_VALUE"""),1560.0)</f>
        <v>1560</v>
      </c>
      <c r="Y875" s="2"/>
      <c r="Z875" s="2"/>
    </row>
    <row r="876">
      <c r="A876" s="1">
        <f>IFERROR(__xludf.DUMMYFUNCTION("""COMPUTED_VALUE"""),875.0)</f>
        <v>875</v>
      </c>
      <c r="B876" s="1">
        <f>IFERROR(__xludf.DUMMYFUNCTION("""COMPUTED_VALUE"""),10784.0)</f>
        <v>10784</v>
      </c>
      <c r="C876" s="2" t="str">
        <f>IFERROR(__xludf.DUMMYFUNCTION("""COMPUTED_VALUE"""),"DIRRESNARKOBA")</f>
        <v>DIRRESNARKOBA</v>
      </c>
      <c r="D876" s="2" t="str">
        <f>IFERROR(__xludf.DUMMYFUNCTION("""COMPUTED_VALUE"""),"10KM OVERALL M")</f>
        <v>10KM OVERALL M</v>
      </c>
      <c r="E876" s="1">
        <f>IFERROR(__xludf.DUMMYFUNCTION("""COMPUTED_VALUE"""),1.0)</f>
        <v>1</v>
      </c>
      <c r="F876" s="1" t="str">
        <f>IFERROR(__xludf.DUMMYFUNCTION("""COMPUTED_VALUE"""),"Male")</f>
        <v>Male</v>
      </c>
      <c r="G876" s="4" t="str">
        <f>IFERROR(__xludf.DUMMYFUNCTION("""COMPUTED_VALUE"""),"")</f>
        <v/>
      </c>
      <c r="H876" s="4" t="b">
        <f>IFERROR(__xludf.DUMMYFUNCTION("""COMPUTED_VALUE"""),FALSE)</f>
        <v>0</v>
      </c>
      <c r="I876" s="4">
        <f>IFERROR(__xludf.DUMMYFUNCTION("""COMPUTED_VALUE"""),0.24646185185185185)</f>
        <v>0.2464618519</v>
      </c>
      <c r="J876" s="4" t="str">
        <f>IFERROR(__xludf.DUMMYFUNCTION("""COMPUTED_VALUE"""),"")</f>
        <v/>
      </c>
      <c r="K876" s="4" t="str">
        <f>IFERROR(__xludf.DUMMYFUNCTION("""COMPUTED_VALUE"""),"")</f>
        <v/>
      </c>
      <c r="L876" s="4" t="str">
        <f>IFERROR(__xludf.DUMMYFUNCTION("""COMPUTED_VALUE"""),"")</f>
        <v/>
      </c>
      <c r="M876" s="1" t="str">
        <f>IFERROR(__xludf.DUMMYFUNCTION("""COMPUTED_VALUE"""),"RFID")</f>
        <v>RFID</v>
      </c>
      <c r="N876" s="5" t="str">
        <f>IFERROR(__xludf.DUMMYFUNCTION("""COMPUTED_VALUE"""),"")</f>
        <v/>
      </c>
      <c r="O876" s="5" t="str">
        <f>IFERROR(__xludf.DUMMYFUNCTION("""COMPUTED_VALUE"""),"")</f>
        <v/>
      </c>
      <c r="P876" s="5" t="str">
        <f>IFERROR(__xludf.DUMMYFUNCTION("""COMPUTED_VALUE"""),"")</f>
        <v/>
      </c>
      <c r="Q876" s="5" t="str">
        <f>IFERROR(__xludf.DUMMYFUNCTION("""COMPUTED_VALUE"""),"")</f>
        <v/>
      </c>
      <c r="R876" s="4" t="str">
        <f>IFERROR(__xludf.DUMMYFUNCTION("""COMPUTED_VALUE"""),"")</f>
        <v/>
      </c>
      <c r="S876" s="1" t="b">
        <f>IFERROR(__xludf.DUMMYFUNCTION("""COMPUTED_VALUE"""),FALSE)</f>
        <v>0</v>
      </c>
      <c r="T876" s="1" t="b">
        <f>IFERROR(__xludf.DUMMYFUNCTION("""COMPUTED_VALUE"""),FALSE)</f>
        <v>0</v>
      </c>
      <c r="U876" s="1" t="str">
        <f>IFERROR(__xludf.DUMMYFUNCTION("""COMPUTED_VALUE"""),"DSQ")</f>
        <v>DSQ</v>
      </c>
      <c r="V876" s="1" t="str">
        <f>IFERROR(__xludf.DUMMYFUNCTION("""COMPUTED_VALUE"""),"DSQ")</f>
        <v>DSQ</v>
      </c>
      <c r="W876" s="1" t="str">
        <f>IFERROR(__xludf.DUMMYFUNCTION("""COMPUTED_VALUE"""),"DSQ")</f>
        <v>DSQ</v>
      </c>
      <c r="X876" s="1" t="str">
        <f>IFERROR(__xludf.DUMMYFUNCTION("""COMPUTED_VALUE"""),"DSQ")</f>
        <v>DSQ</v>
      </c>
      <c r="Y876" s="2"/>
      <c r="Z876" s="2" t="str">
        <f>IFERROR(__xludf.DUMMYFUNCTION("""COMPUTED_VALUE"""),"")</f>
        <v/>
      </c>
    </row>
    <row r="877">
      <c r="A877" s="1">
        <f>IFERROR(__xludf.DUMMYFUNCTION("""COMPUTED_VALUE"""),876.0)</f>
        <v>876</v>
      </c>
      <c r="B877" s="1">
        <f>IFERROR(__xludf.DUMMYFUNCTION("""COMPUTED_VALUE"""),10785.0)</f>
        <v>10785</v>
      </c>
      <c r="C877" s="2" t="str">
        <f>IFERROR(__xludf.DUMMYFUNCTION("""COMPUTED_VALUE"""),"DIRRESNARKOBA")</f>
        <v>DIRRESNARKOBA</v>
      </c>
      <c r="D877" s="2" t="str">
        <f>IFERROR(__xludf.DUMMYFUNCTION("""COMPUTED_VALUE"""),"10KM OVERALL M")</f>
        <v>10KM OVERALL M</v>
      </c>
      <c r="E877" s="1">
        <f>IFERROR(__xludf.DUMMYFUNCTION("""COMPUTED_VALUE"""),1.0)</f>
        <v>1</v>
      </c>
      <c r="F877" s="1" t="str">
        <f>IFERROR(__xludf.DUMMYFUNCTION("""COMPUTED_VALUE"""),"Male")</f>
        <v>Male</v>
      </c>
      <c r="G877" s="4" t="str">
        <f>IFERROR(__xludf.DUMMYFUNCTION("""COMPUTED_VALUE"""),"")</f>
        <v/>
      </c>
      <c r="H877" s="4" t="b">
        <f>IFERROR(__xludf.DUMMYFUNCTION("""COMPUTED_VALUE"""),FALSE)</f>
        <v>0</v>
      </c>
      <c r="I877" s="4">
        <f>IFERROR(__xludf.DUMMYFUNCTION("""COMPUTED_VALUE"""),0.24646185185185185)</f>
        <v>0.2464618519</v>
      </c>
      <c r="J877" s="4" t="str">
        <f>IFERROR(__xludf.DUMMYFUNCTION("""COMPUTED_VALUE"""),"")</f>
        <v/>
      </c>
      <c r="K877" s="4" t="str">
        <f>IFERROR(__xludf.DUMMYFUNCTION("""COMPUTED_VALUE"""),"")</f>
        <v/>
      </c>
      <c r="L877" s="4" t="str">
        <f>IFERROR(__xludf.DUMMYFUNCTION("""COMPUTED_VALUE"""),"")</f>
        <v/>
      </c>
      <c r="M877" s="1" t="str">
        <f>IFERROR(__xludf.DUMMYFUNCTION("""COMPUTED_VALUE"""),"RFID")</f>
        <v>RFID</v>
      </c>
      <c r="N877" s="5" t="str">
        <f>IFERROR(__xludf.DUMMYFUNCTION("""COMPUTED_VALUE"""),"")</f>
        <v/>
      </c>
      <c r="O877" s="5" t="str">
        <f>IFERROR(__xludf.DUMMYFUNCTION("""COMPUTED_VALUE"""),"")</f>
        <v/>
      </c>
      <c r="P877" s="5" t="str">
        <f>IFERROR(__xludf.DUMMYFUNCTION("""COMPUTED_VALUE"""),"")</f>
        <v/>
      </c>
      <c r="Q877" s="5" t="str">
        <f>IFERROR(__xludf.DUMMYFUNCTION("""COMPUTED_VALUE"""),"")</f>
        <v/>
      </c>
      <c r="R877" s="4" t="str">
        <f>IFERROR(__xludf.DUMMYFUNCTION("""COMPUTED_VALUE"""),"")</f>
        <v/>
      </c>
      <c r="S877" s="1" t="b">
        <f>IFERROR(__xludf.DUMMYFUNCTION("""COMPUTED_VALUE"""),FALSE)</f>
        <v>0</v>
      </c>
      <c r="T877" s="1" t="b">
        <f>IFERROR(__xludf.DUMMYFUNCTION("""COMPUTED_VALUE"""),FALSE)</f>
        <v>0</v>
      </c>
      <c r="U877" s="1" t="str">
        <f>IFERROR(__xludf.DUMMYFUNCTION("""COMPUTED_VALUE"""),"DSQ")</f>
        <v>DSQ</v>
      </c>
      <c r="V877" s="1" t="str">
        <f>IFERROR(__xludf.DUMMYFUNCTION("""COMPUTED_VALUE"""),"DSQ")</f>
        <v>DSQ</v>
      </c>
      <c r="W877" s="1" t="str">
        <f>IFERROR(__xludf.DUMMYFUNCTION("""COMPUTED_VALUE"""),"DSQ")</f>
        <v>DSQ</v>
      </c>
      <c r="X877" s="1" t="str">
        <f>IFERROR(__xludf.DUMMYFUNCTION("""COMPUTED_VALUE"""),"DSQ")</f>
        <v>DSQ</v>
      </c>
      <c r="Y877" s="2"/>
      <c r="Z877" s="2" t="str">
        <f>IFERROR(__xludf.DUMMYFUNCTION("""COMPUTED_VALUE"""),"")</f>
        <v/>
      </c>
    </row>
    <row r="878">
      <c r="A878" s="1">
        <f>IFERROR(__xludf.DUMMYFUNCTION("""COMPUTED_VALUE"""),877.0)</f>
        <v>877</v>
      </c>
      <c r="B878" s="1">
        <f>IFERROR(__xludf.DUMMYFUNCTION("""COMPUTED_VALUE"""),10786.0)</f>
        <v>10786</v>
      </c>
      <c r="C878" s="2" t="str">
        <f>IFERROR(__xludf.DUMMYFUNCTION("""COMPUTED_VALUE"""),"DIRRESNARKOBA")</f>
        <v>DIRRESNARKOBA</v>
      </c>
      <c r="D878" s="2" t="str">
        <f>IFERROR(__xludf.DUMMYFUNCTION("""COMPUTED_VALUE"""),"10KM OVERALL M")</f>
        <v>10KM OVERALL M</v>
      </c>
      <c r="E878" s="1">
        <f>IFERROR(__xludf.DUMMYFUNCTION("""COMPUTED_VALUE"""),1.0)</f>
        <v>1</v>
      </c>
      <c r="F878" s="1" t="str">
        <f>IFERROR(__xludf.DUMMYFUNCTION("""COMPUTED_VALUE"""),"Male")</f>
        <v>Male</v>
      </c>
      <c r="G878" s="4" t="str">
        <f>IFERROR(__xludf.DUMMYFUNCTION("""COMPUTED_VALUE"""),"")</f>
        <v/>
      </c>
      <c r="H878" s="4" t="b">
        <f>IFERROR(__xludf.DUMMYFUNCTION("""COMPUTED_VALUE"""),TRUE)</f>
        <v>1</v>
      </c>
      <c r="I878" s="4">
        <f>IFERROR(__xludf.DUMMYFUNCTION("""COMPUTED_VALUE"""),0.24646185185185185)</f>
        <v>0.2464618519</v>
      </c>
      <c r="J878" s="4" t="str">
        <f>IFERROR(__xludf.DUMMYFUNCTION("""COMPUTED_VALUE"""),"")</f>
        <v/>
      </c>
      <c r="K878" s="4" t="str">
        <f>IFERROR(__xludf.DUMMYFUNCTION("""COMPUTED_VALUE"""),"")</f>
        <v/>
      </c>
      <c r="L878" s="4">
        <f>IFERROR(__xludf.DUMMYFUNCTION("""COMPUTED_VALUE"""),45949.30107100924)</f>
        <v>45949.30107</v>
      </c>
      <c r="M878" s="1" t="str">
        <f>IFERROR(__xludf.DUMMYFUNCTION("""COMPUTED_VALUE"""),"RFID")</f>
        <v>RFID</v>
      </c>
      <c r="N878" s="5" t="str">
        <f>IFERROR(__xludf.DUMMYFUNCTION("""COMPUTED_VALUE"""),"")</f>
        <v/>
      </c>
      <c r="O878" s="5" t="str">
        <f>IFERROR(__xludf.DUMMYFUNCTION("""COMPUTED_VALUE"""),"")</f>
        <v/>
      </c>
      <c r="P878" s="5" t="str">
        <f>IFERROR(__xludf.DUMMYFUNCTION("""COMPUTED_VALUE"""),"")</f>
        <v/>
      </c>
      <c r="Q878" s="5">
        <f>IFERROR(__xludf.DUMMYFUNCTION("""COMPUTED_VALUE"""),0.005460915509259259)</f>
        <v>0.005460915509</v>
      </c>
      <c r="R878" s="4">
        <f>IFERROR(__xludf.DUMMYFUNCTION("""COMPUTED_VALUE"""),45949.05460915739)</f>
        <v>45949.05461</v>
      </c>
      <c r="S878" s="1" t="b">
        <f>IFERROR(__xludf.DUMMYFUNCTION("""COMPUTED_VALUE"""),FALSE)</f>
        <v>0</v>
      </c>
      <c r="T878" s="1" t="b">
        <f>IFERROR(__xludf.DUMMYFUNCTION("""COMPUTED_VALUE"""),FALSE)</f>
        <v>0</v>
      </c>
      <c r="U878" s="1" t="str">
        <f>IFERROR(__xludf.DUMMYFUNCTION("""COMPUTED_VALUE"""),"DSQ")</f>
        <v>DSQ</v>
      </c>
      <c r="V878" s="1" t="str">
        <f>IFERROR(__xludf.DUMMYFUNCTION("""COMPUTED_VALUE"""),"DSQ")</f>
        <v>DSQ</v>
      </c>
      <c r="W878" s="1" t="str">
        <f>IFERROR(__xludf.DUMMYFUNCTION("""COMPUTED_VALUE"""),"DSQ")</f>
        <v>DSQ</v>
      </c>
      <c r="X878" s="1" t="str">
        <f>IFERROR(__xludf.DUMMYFUNCTION("""COMPUTED_VALUE"""),"DSQ")</f>
        <v>DSQ</v>
      </c>
      <c r="Y878" s="2"/>
      <c r="Z878" s="2" t="str">
        <f>IFERROR(__xludf.DUMMYFUNCTION("""COMPUTED_VALUE"""),"")</f>
        <v/>
      </c>
    </row>
    <row r="879">
      <c r="A879" s="1">
        <f>IFERROR(__xludf.DUMMYFUNCTION("""COMPUTED_VALUE"""),878.0)</f>
        <v>878</v>
      </c>
      <c r="B879" s="1">
        <f>IFERROR(__xludf.DUMMYFUNCTION("""COMPUTED_VALUE"""),10790.0)</f>
        <v>10790</v>
      </c>
      <c r="C879" s="2" t="str">
        <f>IFERROR(__xludf.DUMMYFUNCTION("""COMPUTED_VALUE"""),"CACA")</f>
        <v>CACA</v>
      </c>
      <c r="D879" s="2" t="str">
        <f>IFERROR(__xludf.DUMMYFUNCTION("""COMPUTED_VALUE"""),"10KM OVERALL M")</f>
        <v>10KM OVERALL M</v>
      </c>
      <c r="E879" s="1">
        <f>IFERROR(__xludf.DUMMYFUNCTION("""COMPUTED_VALUE"""),1.0)</f>
        <v>1</v>
      </c>
      <c r="F879" s="1" t="str">
        <f>IFERROR(__xludf.DUMMYFUNCTION("""COMPUTED_VALUE"""),"Male")</f>
        <v>Male</v>
      </c>
      <c r="G879" s="4" t="b">
        <f>IFERROR(__xludf.DUMMYFUNCTION("""COMPUTED_VALUE"""),TRUE)</f>
        <v>1</v>
      </c>
      <c r="H879" s="4" t="b">
        <f>IFERROR(__xludf.DUMMYFUNCTION("""COMPUTED_VALUE"""),FALSE)</f>
        <v>0</v>
      </c>
      <c r="I879" s="4">
        <f>IFERROR(__xludf.DUMMYFUNCTION("""COMPUTED_VALUE"""),0.24646185185185185)</f>
        <v>0.2464618519</v>
      </c>
      <c r="J879" s="4">
        <f>IFERROR(__xludf.DUMMYFUNCTION("""COMPUTED_VALUE"""),45949.25928021447)</f>
        <v>45949.25928</v>
      </c>
      <c r="K879" s="4">
        <f>IFERROR(__xludf.DUMMYFUNCTION("""COMPUTED_VALUE"""),45949.29299217846)</f>
        <v>45949.29299</v>
      </c>
      <c r="L879" s="4">
        <f>IFERROR(__xludf.DUMMYFUNCTION("""COMPUTED_VALUE"""),45949.303522404465)</f>
        <v>45949.30352</v>
      </c>
      <c r="M879" s="1" t="str">
        <f>IFERROR(__xludf.DUMMYFUNCTION("""COMPUTED_VALUE"""),"RFID")</f>
        <v>RFID</v>
      </c>
      <c r="N879" s="5">
        <f>IFERROR(__xludf.DUMMYFUNCTION("""COMPUTED_VALUE"""),0.005127347222222222)</f>
        <v>0.005127347222</v>
      </c>
      <c r="O879" s="5">
        <f>IFERROR(__xludf.DUMMYFUNCTION("""COMPUTED_VALUE"""),0.013484787037037035)</f>
        <v>0.01348478704</v>
      </c>
      <c r="P879" s="5">
        <f>IFERROR(__xludf.DUMMYFUNCTION("""COMPUTED_VALUE"""),0.00433342633965337)</f>
        <v>0.00433342634</v>
      </c>
      <c r="Q879" s="5">
        <f>IFERROR(__xludf.DUMMYFUNCTION("""COMPUTED_VALUE"""),0.005706055555555556)</f>
        <v>0.005706055556</v>
      </c>
      <c r="R879" s="4">
        <f>IFERROR(__xludf.DUMMYFUNCTION("""COMPUTED_VALUE"""),45949.057060552615)</f>
        <v>45949.05706</v>
      </c>
      <c r="S879" s="1" t="b">
        <f>IFERROR(__xludf.DUMMYFUNCTION("""COMPUTED_VALUE"""),TRUE)</f>
        <v>1</v>
      </c>
      <c r="T879" s="1" t="b">
        <f>IFERROR(__xludf.DUMMYFUNCTION("""COMPUTED_VALUE"""),FALSE)</f>
        <v>0</v>
      </c>
      <c r="U879" s="1" t="str">
        <f>IFERROR(__xludf.DUMMYFUNCTION("""COMPUTED_VALUE"""),"VALID")</f>
        <v>VALID</v>
      </c>
      <c r="V879" s="1">
        <f>IFERROR(__xludf.DUMMYFUNCTION("""COMPUTED_VALUE"""),500.0)</f>
        <v>500</v>
      </c>
      <c r="W879" s="1">
        <f>IFERROR(__xludf.DUMMYFUNCTION("""COMPUTED_VALUE"""),605.0)</f>
        <v>605</v>
      </c>
      <c r="X879" s="1">
        <f>IFERROR(__xludf.DUMMYFUNCTION("""COMPUTED_VALUE"""),1571.0)</f>
        <v>1571</v>
      </c>
      <c r="Y879" s="2"/>
      <c r="Z879" s="2"/>
    </row>
    <row r="880">
      <c r="A880" s="1">
        <f>IFERROR(__xludf.DUMMYFUNCTION("""COMPUTED_VALUE"""),879.0)</f>
        <v>879</v>
      </c>
      <c r="B880" s="1">
        <f>IFERROR(__xludf.DUMMYFUNCTION("""COMPUTED_VALUE"""),10791.0)</f>
        <v>10791</v>
      </c>
      <c r="C880" s="2" t="str">
        <f>IFERROR(__xludf.DUMMYFUNCTION("""COMPUTED_VALUE"""),"KINUR")</f>
        <v>KINUR</v>
      </c>
      <c r="D880" s="2" t="str">
        <f>IFERROR(__xludf.DUMMYFUNCTION("""COMPUTED_VALUE"""),"10KM OVERALL M")</f>
        <v>10KM OVERALL M</v>
      </c>
      <c r="E880" s="1">
        <f>IFERROR(__xludf.DUMMYFUNCTION("""COMPUTED_VALUE"""),1.0)</f>
        <v>1</v>
      </c>
      <c r="F880" s="1" t="str">
        <f>IFERROR(__xludf.DUMMYFUNCTION("""COMPUTED_VALUE"""),"Male")</f>
        <v>Male</v>
      </c>
      <c r="G880" s="4" t="str">
        <f>IFERROR(__xludf.DUMMYFUNCTION("""COMPUTED_VALUE"""),"")</f>
        <v/>
      </c>
      <c r="H880" s="4" t="b">
        <f>IFERROR(__xludf.DUMMYFUNCTION("""COMPUTED_VALUE"""),FALSE)</f>
        <v>0</v>
      </c>
      <c r="I880" s="4">
        <f>IFERROR(__xludf.DUMMYFUNCTION("""COMPUTED_VALUE"""),0.24646185185185185)</f>
        <v>0.2464618519</v>
      </c>
      <c r="J880" s="4">
        <f>IFERROR(__xludf.DUMMYFUNCTION("""COMPUTED_VALUE"""),45949.259321899626)</f>
        <v>45949.25932</v>
      </c>
      <c r="K880" s="4">
        <f>IFERROR(__xludf.DUMMYFUNCTION("""COMPUTED_VALUE"""),45949.29299570087)</f>
        <v>45949.293</v>
      </c>
      <c r="L880" s="4">
        <f>IFERROR(__xludf.DUMMYFUNCTION("""COMPUTED_VALUE"""),45949.30352586516)</f>
        <v>45949.30353</v>
      </c>
      <c r="M880" s="1" t="str">
        <f>IFERROR(__xludf.DUMMYFUNCTION("""COMPUTED_VALUE"""),"RFID")</f>
        <v>RFID</v>
      </c>
      <c r="N880" s="5">
        <f>IFERROR(__xludf.DUMMYFUNCTION("""COMPUTED_VALUE"""),0.005144018518518518)</f>
        <v>0.005144018519</v>
      </c>
      <c r="O880" s="5">
        <f>IFERROR(__xludf.DUMMYFUNCTION("""COMPUTED_VALUE"""),0.01346951851851852)</f>
        <v>0.01346951852</v>
      </c>
      <c r="P880" s="5">
        <f>IFERROR(__xludf.DUMMYFUNCTION("""COMPUTED_VALUE"""),0.004333400942668809)</f>
        <v>0.004333400943</v>
      </c>
      <c r="Q880" s="5">
        <f>IFERROR(__xludf.DUMMYFUNCTION("""COMPUTED_VALUE"""),0.00570640162037037)</f>
        <v>0.00570640162</v>
      </c>
      <c r="R880" s="4">
        <f>IFERROR(__xludf.DUMMYFUNCTION("""COMPUTED_VALUE"""),45949.05706401331)</f>
        <v>45949.05706</v>
      </c>
      <c r="S880" s="1" t="b">
        <f>IFERROR(__xludf.DUMMYFUNCTION("""COMPUTED_VALUE"""),TRUE)</f>
        <v>1</v>
      </c>
      <c r="T880" s="1" t="b">
        <f>IFERROR(__xludf.DUMMYFUNCTION("""COMPUTED_VALUE"""),FALSE)</f>
        <v>0</v>
      </c>
      <c r="U880" s="1" t="str">
        <f>IFERROR(__xludf.DUMMYFUNCTION("""COMPUTED_VALUE"""),"VALID")</f>
        <v>VALID</v>
      </c>
      <c r="V880" s="1">
        <f>IFERROR(__xludf.DUMMYFUNCTION("""COMPUTED_VALUE"""),501.0)</f>
        <v>501</v>
      </c>
      <c r="W880" s="1">
        <f>IFERROR(__xludf.DUMMYFUNCTION("""COMPUTED_VALUE"""),606.0)</f>
        <v>606</v>
      </c>
      <c r="X880" s="1">
        <f>IFERROR(__xludf.DUMMYFUNCTION("""COMPUTED_VALUE"""),1572.0)</f>
        <v>1572</v>
      </c>
      <c r="Y880" s="2"/>
      <c r="Z880" s="2"/>
    </row>
    <row r="881">
      <c r="A881" s="1">
        <f>IFERROR(__xludf.DUMMYFUNCTION("""COMPUTED_VALUE"""),880.0)</f>
        <v>880</v>
      </c>
      <c r="B881" s="1">
        <f>IFERROR(__xludf.DUMMYFUNCTION("""COMPUTED_VALUE"""),10792.0)</f>
        <v>10792</v>
      </c>
      <c r="C881" s="2" t="str">
        <f>IFERROR(__xludf.DUMMYFUNCTION("""COMPUTED_VALUE"""),"RIOKARNO")</f>
        <v>RIOKARNO</v>
      </c>
      <c r="D881" s="2" t="str">
        <f>IFERROR(__xludf.DUMMYFUNCTION("""COMPUTED_VALUE"""),"10KM OVERALL M")</f>
        <v>10KM OVERALL M</v>
      </c>
      <c r="E881" s="1">
        <f>IFERROR(__xludf.DUMMYFUNCTION("""COMPUTED_VALUE"""),1.0)</f>
        <v>1</v>
      </c>
      <c r="F881" s="1" t="str">
        <f>IFERROR(__xludf.DUMMYFUNCTION("""COMPUTED_VALUE"""),"Male")</f>
        <v>Male</v>
      </c>
      <c r="G881" s="4" t="str">
        <f>IFERROR(__xludf.DUMMYFUNCTION("""COMPUTED_VALUE"""),"")</f>
        <v/>
      </c>
      <c r="H881" s="4" t="b">
        <f>IFERROR(__xludf.DUMMYFUNCTION("""COMPUTED_VALUE"""),FALSE)</f>
        <v>0</v>
      </c>
      <c r="I881" s="4">
        <f>IFERROR(__xludf.DUMMYFUNCTION("""COMPUTED_VALUE"""),0.24646185185185185)</f>
        <v>0.2464618519</v>
      </c>
      <c r="J881" s="4">
        <f>IFERROR(__xludf.DUMMYFUNCTION("""COMPUTED_VALUE"""),45949.2569503549)</f>
        <v>45949.25695</v>
      </c>
      <c r="K881" s="4">
        <f>IFERROR(__xludf.DUMMYFUNCTION("""COMPUTED_VALUE"""),45949.28814825275)</f>
        <v>45949.28815</v>
      </c>
      <c r="L881" s="4">
        <f>IFERROR(__xludf.DUMMYFUNCTION("""COMPUTED_VALUE"""),45949.296949476084)</f>
        <v>45949.29695</v>
      </c>
      <c r="M881" s="1" t="str">
        <f>IFERROR(__xludf.DUMMYFUNCTION("""COMPUTED_VALUE"""),"RFID")</f>
        <v>RFID</v>
      </c>
      <c r="N881" s="5">
        <f>IFERROR(__xludf.DUMMYFUNCTION("""COMPUTED_VALUE"""),0.004195402777777778)</f>
        <v>0.004195402778</v>
      </c>
      <c r="O881" s="5">
        <f>IFERROR(__xludf.DUMMYFUNCTION("""COMPUTED_VALUE"""),0.012479157407407408)</f>
        <v>0.01247915741</v>
      </c>
      <c r="P881" s="5">
        <f>IFERROR(__xludf.DUMMYFUNCTION("""COMPUTED_VALUE"""),0.0036219026056911654)</f>
        <v>0.003621902606</v>
      </c>
      <c r="Q881" s="5">
        <f>IFERROR(__xludf.DUMMYFUNCTION("""COMPUTED_VALUE"""),0.005048762731481482)</f>
        <v>0.005048762731</v>
      </c>
      <c r="R881" s="4">
        <f>IFERROR(__xludf.DUMMYFUNCTION("""COMPUTED_VALUE"""),45949.050487624234)</f>
        <v>45949.05049</v>
      </c>
      <c r="S881" s="1" t="b">
        <f>IFERROR(__xludf.DUMMYFUNCTION("""COMPUTED_VALUE"""),TRUE)</f>
        <v>1</v>
      </c>
      <c r="T881" s="1" t="b">
        <f>IFERROR(__xludf.DUMMYFUNCTION("""COMPUTED_VALUE"""),FALSE)</f>
        <v>0</v>
      </c>
      <c r="U881" s="1" t="str">
        <f>IFERROR(__xludf.DUMMYFUNCTION("""COMPUTED_VALUE"""),"VALID")</f>
        <v>VALID</v>
      </c>
      <c r="V881" s="1">
        <f>IFERROR(__xludf.DUMMYFUNCTION("""COMPUTED_VALUE"""),353.0)</f>
        <v>353</v>
      </c>
      <c r="W881" s="1">
        <f>IFERROR(__xludf.DUMMYFUNCTION("""COMPUTED_VALUE"""),417.0)</f>
        <v>417</v>
      </c>
      <c r="X881" s="1">
        <f>IFERROR(__xludf.DUMMYFUNCTION("""COMPUTED_VALUE"""),1397.0)</f>
        <v>1397</v>
      </c>
      <c r="Y881" s="2"/>
      <c r="Z881" s="2"/>
    </row>
    <row r="882">
      <c r="A882" s="1">
        <f>IFERROR(__xludf.DUMMYFUNCTION("""COMPUTED_VALUE"""),881.0)</f>
        <v>881</v>
      </c>
      <c r="B882" s="1">
        <f>IFERROR(__xludf.DUMMYFUNCTION("""COMPUTED_VALUE"""),10793.0)</f>
        <v>10793</v>
      </c>
      <c r="C882" s="2" t="str">
        <f>IFERROR(__xludf.DUMMYFUNCTION("""COMPUTED_VALUE"""),"ANGGA GINANJAR")</f>
        <v>ANGGA GINANJAR</v>
      </c>
      <c r="D882" s="2" t="str">
        <f>IFERROR(__xludf.DUMMYFUNCTION("""COMPUTED_VALUE"""),"10KM OVERALL M")</f>
        <v>10KM OVERALL M</v>
      </c>
      <c r="E882" s="1">
        <f>IFERROR(__xludf.DUMMYFUNCTION("""COMPUTED_VALUE"""),1.0)</f>
        <v>1</v>
      </c>
      <c r="F882" s="1" t="str">
        <f>IFERROR(__xludf.DUMMYFUNCTION("""COMPUTED_VALUE"""),"Male")</f>
        <v>Male</v>
      </c>
      <c r="G882" s="4" t="str">
        <f>IFERROR(__xludf.DUMMYFUNCTION("""COMPUTED_VALUE"""),"")</f>
        <v/>
      </c>
      <c r="H882" s="4" t="b">
        <f>IFERROR(__xludf.DUMMYFUNCTION("""COMPUTED_VALUE"""),FALSE)</f>
        <v>0</v>
      </c>
      <c r="I882" s="4">
        <f>IFERROR(__xludf.DUMMYFUNCTION("""COMPUTED_VALUE"""),0.24646185185185185)</f>
        <v>0.2464618519</v>
      </c>
      <c r="J882" s="4">
        <f>IFERROR(__xludf.DUMMYFUNCTION("""COMPUTED_VALUE"""),45949.25581841647)</f>
        <v>45949.25582</v>
      </c>
      <c r="K882" s="4">
        <f>IFERROR(__xludf.DUMMYFUNCTION("""COMPUTED_VALUE"""),45949.27910311626)</f>
        <v>45949.2791</v>
      </c>
      <c r="L882" s="4">
        <f>IFERROR(__xludf.DUMMYFUNCTION("""COMPUTED_VALUE"""),45949.286289754484)</f>
        <v>45949.28629</v>
      </c>
      <c r="M882" s="1" t="str">
        <f>IFERROR(__xludf.DUMMYFUNCTION("""COMPUTED_VALUE"""),"RFID")</f>
        <v>RFID</v>
      </c>
      <c r="N882" s="5">
        <f>IFERROR(__xludf.DUMMYFUNCTION("""COMPUTED_VALUE"""),0.0037426250000000003)</f>
        <v>0.003742625</v>
      </c>
      <c r="O882" s="5">
        <f>IFERROR(__xludf.DUMMYFUNCTION("""COMPUTED_VALUE"""),0.00931387962962963)</f>
        <v>0.00931387963</v>
      </c>
      <c r="P882" s="5">
        <f>IFERROR(__xludf.DUMMYFUNCTION("""COMPUTED_VALUE"""),0.0029574642882494585)</f>
        <v>0.002957464288</v>
      </c>
      <c r="Q882" s="5">
        <f>IFERROR(__xludf.DUMMYFUNCTION("""COMPUTED_VALUE"""),0.003982790509259259)</f>
        <v>0.003982790509</v>
      </c>
      <c r="R882" s="4">
        <f>IFERROR(__xludf.DUMMYFUNCTION("""COMPUTED_VALUE"""),45949.039827902634)</f>
        <v>45949.03983</v>
      </c>
      <c r="S882" s="1" t="b">
        <f>IFERROR(__xludf.DUMMYFUNCTION("""COMPUTED_VALUE"""),TRUE)</f>
        <v>1</v>
      </c>
      <c r="T882" s="1" t="b">
        <f>IFERROR(__xludf.DUMMYFUNCTION("""COMPUTED_VALUE"""),FALSE)</f>
        <v>0</v>
      </c>
      <c r="U882" s="1" t="str">
        <f>IFERROR(__xludf.DUMMYFUNCTION("""COMPUTED_VALUE"""),"VALID")</f>
        <v>VALID</v>
      </c>
      <c r="V882" s="1">
        <f>IFERROR(__xludf.DUMMYFUNCTION("""COMPUTED_VALUE"""),98.0)</f>
        <v>98</v>
      </c>
      <c r="W882" s="1">
        <f>IFERROR(__xludf.DUMMYFUNCTION("""COMPUTED_VALUE"""),117.0)</f>
        <v>117</v>
      </c>
      <c r="X882" s="1">
        <f>IFERROR(__xludf.DUMMYFUNCTION("""COMPUTED_VALUE"""),971.0)</f>
        <v>971</v>
      </c>
      <c r="Y882" s="2"/>
      <c r="Z882" s="2"/>
    </row>
    <row r="883">
      <c r="A883" s="1">
        <f>IFERROR(__xludf.DUMMYFUNCTION("""COMPUTED_VALUE"""),882.0)</f>
        <v>882</v>
      </c>
      <c r="B883" s="1">
        <f>IFERROR(__xludf.DUMMYFUNCTION("""COMPUTED_VALUE"""),7001.0)</f>
        <v>7001</v>
      </c>
      <c r="C883" s="2" t="str">
        <f>IFERROR(__xludf.DUMMYFUNCTION("""COMPUTED_VALUE"""),"Sisyl")</f>
        <v>Sisyl</v>
      </c>
      <c r="D883" s="2" t="str">
        <f>IFERROR(__xludf.DUMMYFUNCTION("""COMPUTED_VALUE"""),"5KM MASTER F")</f>
        <v>5KM MASTER F</v>
      </c>
      <c r="E883" s="1">
        <f>IFERROR(__xludf.DUMMYFUNCTION("""COMPUTED_VALUE"""),2.0)</f>
        <v>2</v>
      </c>
      <c r="F883" s="1" t="str">
        <f>IFERROR(__xludf.DUMMYFUNCTION("""COMPUTED_VALUE"""),"Female")</f>
        <v>Female</v>
      </c>
      <c r="G883" s="4" t="b">
        <f>IFERROR(__xludf.DUMMYFUNCTION("""COMPUTED_VALUE"""),TRUE)</f>
        <v>1</v>
      </c>
      <c r="H883" s="4" t="b">
        <f>IFERROR(__xludf.DUMMYFUNCTION("""COMPUTED_VALUE"""),TRUE)</f>
        <v>1</v>
      </c>
      <c r="I883" s="4">
        <f>IFERROR(__xludf.DUMMYFUNCTION("""COMPUTED_VALUE"""),0.2549440625)</f>
        <v>0.2549440625</v>
      </c>
      <c r="J883" s="4">
        <f>IFERROR(__xludf.DUMMYFUNCTION("""COMPUTED_VALUE"""),45949.274037115065)</f>
        <v>45949.27404</v>
      </c>
      <c r="K883" s="4" t="str">
        <f>IFERROR(__xludf.DUMMYFUNCTION("""COMPUTED_VALUE"""),"")</f>
        <v/>
      </c>
      <c r="L883" s="4">
        <f>IFERROR(__xludf.DUMMYFUNCTION("""COMPUTED_VALUE"""),45949.28935241293)</f>
        <v>45949.28935</v>
      </c>
      <c r="M883" s="1" t="str">
        <f>IFERROR(__xludf.DUMMYFUNCTION("""COMPUTED_VALUE"""),"RFID")</f>
        <v>RFID</v>
      </c>
      <c r="N883" s="5">
        <f>IFERROR(__xludf.DUMMYFUNCTION("""COMPUTED_VALUE"""),0.007637222222222223)</f>
        <v>0.007637222222</v>
      </c>
      <c r="O883" s="5" t="str">
        <f>IFERROR(__xludf.DUMMYFUNCTION("""COMPUTED_VALUE"""),"")</f>
        <v/>
      </c>
      <c r="P883" s="5" t="str">
        <f>IFERROR(__xludf.DUMMYFUNCTION("""COMPUTED_VALUE"""),"")</f>
        <v/>
      </c>
      <c r="Q883" s="5">
        <f>IFERROR(__xludf.DUMMYFUNCTION("""COMPUTED_VALUE"""),0.006881668981481482)</f>
        <v>0.006881668981</v>
      </c>
      <c r="R883" s="4">
        <f>IFERROR(__xludf.DUMMYFUNCTION("""COMPUTED_VALUE"""),45949.03440835043)</f>
        <v>45949.03441</v>
      </c>
      <c r="S883" s="1" t="b">
        <f>IFERROR(__xludf.DUMMYFUNCTION("""COMPUTED_VALUE"""),TRUE)</f>
        <v>1</v>
      </c>
      <c r="T883" s="1" t="b">
        <f>IFERROR(__xludf.DUMMYFUNCTION("""COMPUTED_VALUE"""),FALSE)</f>
        <v>0</v>
      </c>
      <c r="U883" s="1" t="str">
        <f>IFERROR(__xludf.DUMMYFUNCTION("""COMPUTED_VALUE"""),"VALID")</f>
        <v>VALID</v>
      </c>
      <c r="V883" s="1">
        <f>IFERROR(__xludf.DUMMYFUNCTION("""COMPUTED_VALUE"""),30.0)</f>
        <v>30</v>
      </c>
      <c r="W883" s="1">
        <f>IFERROR(__xludf.DUMMYFUNCTION("""COMPUTED_VALUE"""),864.0)</f>
        <v>864</v>
      </c>
      <c r="X883" s="1">
        <f>IFERROR(__xludf.DUMMYFUNCTION("""COMPUTED_VALUE"""),192.0)</f>
        <v>192</v>
      </c>
      <c r="Y883" s="2"/>
      <c r="Z883" s="2"/>
    </row>
    <row r="884">
      <c r="A884" s="1">
        <f>IFERROR(__xludf.DUMMYFUNCTION("""COMPUTED_VALUE"""),883.0)</f>
        <v>883</v>
      </c>
      <c r="B884" s="1">
        <f>IFERROR(__xludf.DUMMYFUNCTION("""COMPUTED_VALUE"""),7002.0)</f>
        <v>7002</v>
      </c>
      <c r="C884" s="2" t="str">
        <f>IFERROR(__xludf.DUMMYFUNCTION("""COMPUTED_VALUE"""),"Anik marwati")</f>
        <v>Anik marwati</v>
      </c>
      <c r="D884" s="2" t="str">
        <f>IFERROR(__xludf.DUMMYFUNCTION("""COMPUTED_VALUE"""),"5KM MASTER F")</f>
        <v>5KM MASTER F</v>
      </c>
      <c r="E884" s="1">
        <f>IFERROR(__xludf.DUMMYFUNCTION("""COMPUTED_VALUE"""),2.0)</f>
        <v>2</v>
      </c>
      <c r="F884" s="1" t="str">
        <f>IFERROR(__xludf.DUMMYFUNCTION("""COMPUTED_VALUE"""),"Female")</f>
        <v>Female</v>
      </c>
      <c r="G884" s="4" t="b">
        <f>IFERROR(__xludf.DUMMYFUNCTION("""COMPUTED_VALUE"""),TRUE)</f>
        <v>1</v>
      </c>
      <c r="H884" s="4" t="b">
        <f>IFERROR(__xludf.DUMMYFUNCTION("""COMPUTED_VALUE"""),TRUE)</f>
        <v>1</v>
      </c>
      <c r="I884" s="4">
        <f>IFERROR(__xludf.DUMMYFUNCTION("""COMPUTED_VALUE"""),0.2549440625)</f>
        <v>0.2549440625</v>
      </c>
      <c r="J884" s="4">
        <f>IFERROR(__xludf.DUMMYFUNCTION("""COMPUTED_VALUE"""),45949.274492018674)</f>
        <v>45949.27449</v>
      </c>
      <c r="K884" s="4" t="str">
        <f>IFERROR(__xludf.DUMMYFUNCTION("""COMPUTED_VALUE"""),"")</f>
        <v/>
      </c>
      <c r="L884" s="4">
        <f>IFERROR(__xludf.DUMMYFUNCTION("""COMPUTED_VALUE"""),45949.29030712539)</f>
        <v>45949.29031</v>
      </c>
      <c r="M884" s="1" t="str">
        <f>IFERROR(__xludf.DUMMYFUNCTION("""COMPUTED_VALUE"""),"RFID")</f>
        <v>RFID</v>
      </c>
      <c r="N884" s="5">
        <f>IFERROR(__xludf.DUMMYFUNCTION("""COMPUTED_VALUE"""),0.007819180555555555)</f>
        <v>0.007819180556</v>
      </c>
      <c r="O884" s="5" t="str">
        <f>IFERROR(__xludf.DUMMYFUNCTION("""COMPUTED_VALUE"""),"")</f>
        <v/>
      </c>
      <c r="P884" s="5" t="str">
        <f>IFERROR(__xludf.DUMMYFUNCTION("""COMPUTED_VALUE"""),"")</f>
        <v/>
      </c>
      <c r="Q884" s="5">
        <f>IFERROR(__xludf.DUMMYFUNCTION("""COMPUTED_VALUE"""),0.007072613425925927)</f>
        <v>0.007072613426</v>
      </c>
      <c r="R884" s="4">
        <f>IFERROR(__xludf.DUMMYFUNCTION("""COMPUTED_VALUE"""),45949.03536306289)</f>
        <v>45949.03536</v>
      </c>
      <c r="S884" s="1" t="b">
        <f>IFERROR(__xludf.DUMMYFUNCTION("""COMPUTED_VALUE"""),TRUE)</f>
        <v>1</v>
      </c>
      <c r="T884" s="1" t="b">
        <f>IFERROR(__xludf.DUMMYFUNCTION("""COMPUTED_VALUE"""),FALSE)</f>
        <v>0</v>
      </c>
      <c r="U884" s="1" t="str">
        <f>IFERROR(__xludf.DUMMYFUNCTION("""COMPUTED_VALUE"""),"VALID")</f>
        <v>VALID</v>
      </c>
      <c r="V884" s="1">
        <f>IFERROR(__xludf.DUMMYFUNCTION("""COMPUTED_VALUE"""),34.0)</f>
        <v>34</v>
      </c>
      <c r="W884" s="1">
        <f>IFERROR(__xludf.DUMMYFUNCTION("""COMPUTED_VALUE"""),906.0)</f>
        <v>906</v>
      </c>
      <c r="X884" s="1">
        <f>IFERROR(__xludf.DUMMYFUNCTION("""COMPUTED_VALUE"""),209.0)</f>
        <v>209</v>
      </c>
      <c r="Y884" s="2"/>
      <c r="Z884" s="2"/>
    </row>
    <row r="885">
      <c r="A885" s="1">
        <f>IFERROR(__xludf.DUMMYFUNCTION("""COMPUTED_VALUE"""),884.0)</f>
        <v>884</v>
      </c>
      <c r="B885" s="1">
        <f>IFERROR(__xludf.DUMMYFUNCTION("""COMPUTED_VALUE"""),7004.0)</f>
        <v>7004</v>
      </c>
      <c r="C885" s="2" t="str">
        <f>IFERROR(__xludf.DUMMYFUNCTION("""COMPUTED_VALUE"""),"ERIKA")</f>
        <v>ERIKA</v>
      </c>
      <c r="D885" s="2" t="str">
        <f>IFERROR(__xludf.DUMMYFUNCTION("""COMPUTED_VALUE"""),"5KM MASTER F")</f>
        <v>5KM MASTER F</v>
      </c>
      <c r="E885" s="1">
        <f>IFERROR(__xludf.DUMMYFUNCTION("""COMPUTED_VALUE"""),2.0)</f>
        <v>2</v>
      </c>
      <c r="F885" s="1" t="str">
        <f>IFERROR(__xludf.DUMMYFUNCTION("""COMPUTED_VALUE"""),"Female")</f>
        <v>Female</v>
      </c>
      <c r="G885" s="4" t="b">
        <f>IFERROR(__xludf.DUMMYFUNCTION("""COMPUTED_VALUE"""),TRUE)</f>
        <v>1</v>
      </c>
      <c r="H885" s="4" t="b">
        <f>IFERROR(__xludf.DUMMYFUNCTION("""COMPUTED_VALUE"""),TRUE)</f>
        <v>1</v>
      </c>
      <c r="I885" s="4">
        <f>IFERROR(__xludf.DUMMYFUNCTION("""COMPUTED_VALUE"""),0.2549440625)</f>
        <v>0.2549440625</v>
      </c>
      <c r="J885" s="4">
        <f>IFERROR(__xludf.DUMMYFUNCTION("""COMPUTED_VALUE"""),45949.265033685115)</f>
        <v>45949.26503</v>
      </c>
      <c r="K885" s="4" t="str">
        <f>IFERROR(__xludf.DUMMYFUNCTION("""COMPUTED_VALUE"""),"")</f>
        <v/>
      </c>
      <c r="L885" s="4">
        <f>IFERROR(__xludf.DUMMYFUNCTION("""COMPUTED_VALUE"""),45949.2732168442)</f>
        <v>45949.27322</v>
      </c>
      <c r="M885" s="1" t="str">
        <f>IFERROR(__xludf.DUMMYFUNCTION("""COMPUTED_VALUE"""),"RFID")</f>
        <v>RFID</v>
      </c>
      <c r="N885" s="5">
        <f>IFERROR(__xludf.DUMMYFUNCTION("""COMPUTED_VALUE"""),0.004035847222222223)</f>
        <v>0.004035847222</v>
      </c>
      <c r="O885" s="5" t="str">
        <f>IFERROR(__xludf.DUMMYFUNCTION("""COMPUTED_VALUE"""),"")</f>
        <v/>
      </c>
      <c r="P885" s="5" t="str">
        <f>IFERROR(__xludf.DUMMYFUNCTION("""COMPUTED_VALUE"""),"")</f>
        <v/>
      </c>
      <c r="Q885" s="5">
        <f>IFERROR(__xludf.DUMMYFUNCTION("""COMPUTED_VALUE"""),0.0036545555555555554)</f>
        <v>0.003654555556</v>
      </c>
      <c r="R885" s="4">
        <f>IFERROR(__xludf.DUMMYFUNCTION("""COMPUTED_VALUE"""),45949.0182727817)</f>
        <v>45949.01827</v>
      </c>
      <c r="S885" s="1" t="b">
        <f>IFERROR(__xludf.DUMMYFUNCTION("""COMPUTED_VALUE"""),TRUE)</f>
        <v>1</v>
      </c>
      <c r="T885" s="1" t="b">
        <f>IFERROR(__xludf.DUMMYFUNCTION("""COMPUTED_VALUE"""),FALSE)</f>
        <v>0</v>
      </c>
      <c r="U885" s="1" t="str">
        <f>IFERROR(__xludf.DUMMYFUNCTION("""COMPUTED_VALUE"""),"VALID")</f>
        <v>VALID</v>
      </c>
      <c r="V885" s="1">
        <f>IFERROR(__xludf.DUMMYFUNCTION("""COMPUTED_VALUE"""),1.0)</f>
        <v>1</v>
      </c>
      <c r="W885" s="1">
        <f>IFERROR(__xludf.DUMMYFUNCTION("""COMPUTED_VALUE"""),62.0)</f>
        <v>62</v>
      </c>
      <c r="X885" s="1">
        <f>IFERROR(__xludf.DUMMYFUNCTION("""COMPUTED_VALUE"""),5.0)</f>
        <v>5</v>
      </c>
      <c r="Y885" s="2"/>
      <c r="Z885" s="2"/>
    </row>
    <row r="886">
      <c r="A886" s="1">
        <f>IFERROR(__xludf.DUMMYFUNCTION("""COMPUTED_VALUE"""),885.0)</f>
        <v>885</v>
      </c>
      <c r="B886" s="1">
        <f>IFERROR(__xludf.DUMMYFUNCTION("""COMPUTED_VALUE"""),7007.0)</f>
        <v>7007</v>
      </c>
      <c r="C886" s="2" t="str">
        <f>IFERROR(__xludf.DUMMYFUNCTION("""COMPUTED_VALUE"""),"Rayi")</f>
        <v>Rayi</v>
      </c>
      <c r="D886" s="2" t="str">
        <f>IFERROR(__xludf.DUMMYFUNCTION("""COMPUTED_VALUE"""),"5KM MASTER F")</f>
        <v>5KM MASTER F</v>
      </c>
      <c r="E886" s="1">
        <f>IFERROR(__xludf.DUMMYFUNCTION("""COMPUTED_VALUE"""),2.0)</f>
        <v>2</v>
      </c>
      <c r="F886" s="1" t="str">
        <f>IFERROR(__xludf.DUMMYFUNCTION("""COMPUTED_VALUE"""),"Female")</f>
        <v>Female</v>
      </c>
      <c r="G886" s="4" t="b">
        <f>IFERROR(__xludf.DUMMYFUNCTION("""COMPUTED_VALUE"""),TRUE)</f>
        <v>1</v>
      </c>
      <c r="H886" s="4" t="b">
        <f>IFERROR(__xludf.DUMMYFUNCTION("""COMPUTED_VALUE"""),TRUE)</f>
        <v>1</v>
      </c>
      <c r="I886" s="4">
        <f>IFERROR(__xludf.DUMMYFUNCTION("""COMPUTED_VALUE"""),0.2549440625)</f>
        <v>0.2549440625</v>
      </c>
      <c r="J886" s="4">
        <f>IFERROR(__xludf.DUMMYFUNCTION("""COMPUTED_VALUE"""),45949.27354451174)</f>
        <v>45949.27354</v>
      </c>
      <c r="K886" s="4" t="str">
        <f>IFERROR(__xludf.DUMMYFUNCTION("""COMPUTED_VALUE"""),"")</f>
        <v/>
      </c>
      <c r="L886" s="4">
        <f>IFERROR(__xludf.DUMMYFUNCTION("""COMPUTED_VALUE"""),45949.288251565245)</f>
        <v>45949.28825</v>
      </c>
      <c r="M886" s="1" t="str">
        <f>IFERROR(__xludf.DUMMYFUNCTION("""COMPUTED_VALUE"""),"RFID")</f>
        <v>RFID</v>
      </c>
      <c r="N886" s="5">
        <f>IFERROR(__xludf.DUMMYFUNCTION("""COMPUTED_VALUE"""),0.007440180555555555)</f>
        <v>0.007440180556</v>
      </c>
      <c r="O886" s="5" t="str">
        <f>IFERROR(__xludf.DUMMYFUNCTION("""COMPUTED_VALUE"""),"")</f>
        <v/>
      </c>
      <c r="P886" s="5" t="str">
        <f>IFERROR(__xludf.DUMMYFUNCTION("""COMPUTED_VALUE"""),"")</f>
        <v/>
      </c>
      <c r="Q886" s="5">
        <f>IFERROR(__xludf.DUMMYFUNCTION("""COMPUTED_VALUE"""),0.006661500000000001)</f>
        <v>0.0066615</v>
      </c>
      <c r="R886" s="4">
        <f>IFERROR(__xludf.DUMMYFUNCTION("""COMPUTED_VALUE"""),45949.033307502745)</f>
        <v>45949.03331</v>
      </c>
      <c r="S886" s="1" t="b">
        <f>IFERROR(__xludf.DUMMYFUNCTION("""COMPUTED_VALUE"""),TRUE)</f>
        <v>1</v>
      </c>
      <c r="T886" s="1" t="b">
        <f>IFERROR(__xludf.DUMMYFUNCTION("""COMPUTED_VALUE"""),FALSE)</f>
        <v>0</v>
      </c>
      <c r="U886" s="1" t="str">
        <f>IFERROR(__xludf.DUMMYFUNCTION("""COMPUTED_VALUE"""),"VALID")</f>
        <v>VALID</v>
      </c>
      <c r="V886" s="1">
        <f>IFERROR(__xludf.DUMMYFUNCTION("""COMPUTED_VALUE"""),26.0)</f>
        <v>26</v>
      </c>
      <c r="W886" s="1">
        <f>IFERROR(__xludf.DUMMYFUNCTION("""COMPUTED_VALUE"""),794.0)</f>
        <v>794</v>
      </c>
      <c r="X886" s="1">
        <f>IFERROR(__xludf.DUMMYFUNCTION("""COMPUTED_VALUE"""),166.0)</f>
        <v>166</v>
      </c>
      <c r="Y886" s="2"/>
      <c r="Z886" s="2"/>
    </row>
    <row r="887">
      <c r="A887" s="1">
        <f>IFERROR(__xludf.DUMMYFUNCTION("""COMPUTED_VALUE"""),886.0)</f>
        <v>886</v>
      </c>
      <c r="B887" s="1">
        <f>IFERROR(__xludf.DUMMYFUNCTION("""COMPUTED_VALUE"""),7013.0)</f>
        <v>7013</v>
      </c>
      <c r="C887" s="2" t="str">
        <f>IFERROR(__xludf.DUMMYFUNCTION("""COMPUTED_VALUE"""),"Purwanti")</f>
        <v>Purwanti</v>
      </c>
      <c r="D887" s="2" t="str">
        <f>IFERROR(__xludf.DUMMYFUNCTION("""COMPUTED_VALUE"""),"5KM MASTER F")</f>
        <v>5KM MASTER F</v>
      </c>
      <c r="E887" s="1">
        <f>IFERROR(__xludf.DUMMYFUNCTION("""COMPUTED_VALUE"""),2.0)</f>
        <v>2</v>
      </c>
      <c r="F887" s="1" t="str">
        <f>IFERROR(__xludf.DUMMYFUNCTION("""COMPUTED_VALUE"""),"Female")</f>
        <v>Female</v>
      </c>
      <c r="G887" s="4" t="b">
        <f>IFERROR(__xludf.DUMMYFUNCTION("""COMPUTED_VALUE"""),TRUE)</f>
        <v>1</v>
      </c>
      <c r="H887" s="4" t="b">
        <f>IFERROR(__xludf.DUMMYFUNCTION("""COMPUTED_VALUE"""),TRUE)</f>
        <v>1</v>
      </c>
      <c r="I887" s="4">
        <f>IFERROR(__xludf.DUMMYFUNCTION("""COMPUTED_VALUE"""),0.2549440625)</f>
        <v>0.2549440625</v>
      </c>
      <c r="J887" s="4">
        <f>IFERROR(__xludf.DUMMYFUNCTION("""COMPUTED_VALUE"""),45949.27357638889)</f>
        <v>45949.27358</v>
      </c>
      <c r="K887" s="4" t="str">
        <f>IFERROR(__xludf.DUMMYFUNCTION("""COMPUTED_VALUE"""),"")</f>
        <v/>
      </c>
      <c r="L887" s="4">
        <f>IFERROR(__xludf.DUMMYFUNCTION("""COMPUTED_VALUE"""),45949.287432129655)</f>
        <v>45949.28743</v>
      </c>
      <c r="M887" s="1" t="str">
        <f>IFERROR(__xludf.DUMMYFUNCTION("""COMPUTED_VALUE"""),"RFID")</f>
        <v>RFID</v>
      </c>
      <c r="N887" s="5">
        <f>IFERROR(__xludf.DUMMYFUNCTION("""COMPUTED_VALUE"""),0.007452930555555556)</f>
        <v>0.007452930556</v>
      </c>
      <c r="O887" s="5" t="str">
        <f>IFERROR(__xludf.DUMMYFUNCTION("""COMPUTED_VALUE"""),"")</f>
        <v/>
      </c>
      <c r="P887" s="5" t="str">
        <f>IFERROR(__xludf.DUMMYFUNCTION("""COMPUTED_VALUE"""),"")</f>
        <v/>
      </c>
      <c r="Q887" s="5">
        <f>IFERROR(__xludf.DUMMYFUNCTION("""COMPUTED_VALUE"""),0.006497613425925926)</f>
        <v>0.006497613426</v>
      </c>
      <c r="R887" s="4">
        <f>IFERROR(__xludf.DUMMYFUNCTION("""COMPUTED_VALUE"""),45949.032488067154)</f>
        <v>45949.03249</v>
      </c>
      <c r="S887" s="1" t="b">
        <f>IFERROR(__xludf.DUMMYFUNCTION("""COMPUTED_VALUE"""),TRUE)</f>
        <v>1</v>
      </c>
      <c r="T887" s="1" t="b">
        <f>IFERROR(__xludf.DUMMYFUNCTION("""COMPUTED_VALUE"""),FALSE)</f>
        <v>0</v>
      </c>
      <c r="U887" s="1" t="str">
        <f>IFERROR(__xludf.DUMMYFUNCTION("""COMPUTED_VALUE"""),"VALID")</f>
        <v>VALID</v>
      </c>
      <c r="V887" s="1">
        <f>IFERROR(__xludf.DUMMYFUNCTION("""COMPUTED_VALUE"""),23.0)</f>
        <v>23</v>
      </c>
      <c r="W887" s="1">
        <f>IFERROR(__xludf.DUMMYFUNCTION("""COMPUTED_VALUE"""),732.0)</f>
        <v>732</v>
      </c>
      <c r="X887" s="1">
        <f>IFERROR(__xludf.DUMMYFUNCTION("""COMPUTED_VALUE"""),145.0)</f>
        <v>145</v>
      </c>
      <c r="Y887" s="2"/>
      <c r="Z887" s="2"/>
    </row>
    <row r="888">
      <c r="A888" s="1">
        <f>IFERROR(__xludf.DUMMYFUNCTION("""COMPUTED_VALUE"""),887.0)</f>
        <v>887</v>
      </c>
      <c r="B888" s="1">
        <f>IFERROR(__xludf.DUMMYFUNCTION("""COMPUTED_VALUE"""),7014.0)</f>
        <v>7014</v>
      </c>
      <c r="C888" s="2" t="str">
        <f>IFERROR(__xludf.DUMMYFUNCTION("""COMPUTED_VALUE"""),"Merry Hutagaol")</f>
        <v>Merry Hutagaol</v>
      </c>
      <c r="D888" s="2" t="str">
        <f>IFERROR(__xludf.DUMMYFUNCTION("""COMPUTED_VALUE"""),"5KM MASTER F")</f>
        <v>5KM MASTER F</v>
      </c>
      <c r="E888" s="1">
        <f>IFERROR(__xludf.DUMMYFUNCTION("""COMPUTED_VALUE"""),2.0)</f>
        <v>2</v>
      </c>
      <c r="F888" s="1" t="str">
        <f>IFERROR(__xludf.DUMMYFUNCTION("""COMPUTED_VALUE"""),"Female")</f>
        <v>Female</v>
      </c>
      <c r="G888" s="4" t="b">
        <f>IFERROR(__xludf.DUMMYFUNCTION("""COMPUTED_VALUE"""),TRUE)</f>
        <v>1</v>
      </c>
      <c r="H888" s="4" t="b">
        <f>IFERROR(__xludf.DUMMYFUNCTION("""COMPUTED_VALUE"""),FALSE)</f>
        <v>0</v>
      </c>
      <c r="I888" s="4">
        <f>IFERROR(__xludf.DUMMYFUNCTION("""COMPUTED_VALUE"""),0.2549440625)</f>
        <v>0.2549440625</v>
      </c>
      <c r="J888" s="4">
        <f>IFERROR(__xludf.DUMMYFUNCTION("""COMPUTED_VALUE"""),45949.27482622083)</f>
        <v>45949.27483</v>
      </c>
      <c r="K888" s="4" t="str">
        <f>IFERROR(__xludf.DUMMYFUNCTION("""COMPUTED_VALUE"""),"")</f>
        <v/>
      </c>
      <c r="L888" s="4">
        <f>IFERROR(__xludf.DUMMYFUNCTION("""COMPUTED_VALUE"""),45949.29060225884)</f>
        <v>45949.2906</v>
      </c>
      <c r="M888" s="1" t="str">
        <f>IFERROR(__xludf.DUMMYFUNCTION("""COMPUTED_VALUE"""),"RFID")</f>
        <v>RFID</v>
      </c>
      <c r="N888" s="5">
        <f>IFERROR(__xludf.DUMMYFUNCTION("""COMPUTED_VALUE"""),0.00795286111111111)</f>
        <v>0.007952861111</v>
      </c>
      <c r="O888" s="5" t="str">
        <f>IFERROR(__xludf.DUMMYFUNCTION("""COMPUTED_VALUE"""),"")</f>
        <v/>
      </c>
      <c r="P888" s="5" t="str">
        <f>IFERROR(__xludf.DUMMYFUNCTION("""COMPUTED_VALUE"""),"")</f>
        <v/>
      </c>
      <c r="Q888" s="5">
        <f>IFERROR(__xludf.DUMMYFUNCTION("""COMPUTED_VALUE"""),0.007131638888888889)</f>
        <v>0.007131638889</v>
      </c>
      <c r="R888" s="4">
        <f>IFERROR(__xludf.DUMMYFUNCTION("""COMPUTED_VALUE"""),45949.03565819634)</f>
        <v>45949.03566</v>
      </c>
      <c r="S888" s="1" t="b">
        <f>IFERROR(__xludf.DUMMYFUNCTION("""COMPUTED_VALUE"""),TRUE)</f>
        <v>1</v>
      </c>
      <c r="T888" s="1" t="b">
        <f>IFERROR(__xludf.DUMMYFUNCTION("""COMPUTED_VALUE"""),FALSE)</f>
        <v>0</v>
      </c>
      <c r="U888" s="1" t="str">
        <f>IFERROR(__xludf.DUMMYFUNCTION("""COMPUTED_VALUE"""),"VALID")</f>
        <v>VALID</v>
      </c>
      <c r="V888" s="1">
        <f>IFERROR(__xludf.DUMMYFUNCTION("""COMPUTED_VALUE"""),36.0)</f>
        <v>36</v>
      </c>
      <c r="W888" s="1">
        <f>IFERROR(__xludf.DUMMYFUNCTION("""COMPUTED_VALUE"""),929.0)</f>
        <v>929</v>
      </c>
      <c r="X888" s="1">
        <f>IFERROR(__xludf.DUMMYFUNCTION("""COMPUTED_VALUE"""),218.0)</f>
        <v>218</v>
      </c>
      <c r="Y888" s="2"/>
      <c r="Z888" s="2"/>
    </row>
    <row r="889">
      <c r="A889" s="1">
        <f>IFERROR(__xludf.DUMMYFUNCTION("""COMPUTED_VALUE"""),888.0)</f>
        <v>888</v>
      </c>
      <c r="B889" s="1">
        <f>IFERROR(__xludf.DUMMYFUNCTION("""COMPUTED_VALUE"""),7018.0)</f>
        <v>7018</v>
      </c>
      <c r="C889" s="2" t="str">
        <f>IFERROR(__xludf.DUMMYFUNCTION("""COMPUTED_VALUE"""),"Lia Herawati")</f>
        <v>Lia Herawati</v>
      </c>
      <c r="D889" s="2" t="str">
        <f>IFERROR(__xludf.DUMMYFUNCTION("""COMPUTED_VALUE"""),"5KM MASTER F")</f>
        <v>5KM MASTER F</v>
      </c>
      <c r="E889" s="1">
        <f>IFERROR(__xludf.DUMMYFUNCTION("""COMPUTED_VALUE"""),2.0)</f>
        <v>2</v>
      </c>
      <c r="F889" s="1" t="str">
        <f>IFERROR(__xludf.DUMMYFUNCTION("""COMPUTED_VALUE"""),"Female")</f>
        <v>Female</v>
      </c>
      <c r="G889" s="4" t="b">
        <f>IFERROR(__xludf.DUMMYFUNCTION("""COMPUTED_VALUE"""),TRUE)</f>
        <v>1</v>
      </c>
      <c r="H889" s="4" t="b">
        <f>IFERROR(__xludf.DUMMYFUNCTION("""COMPUTED_VALUE"""),FALSE)</f>
        <v>0</v>
      </c>
      <c r="I889" s="4">
        <f>IFERROR(__xludf.DUMMYFUNCTION("""COMPUTED_VALUE"""),0.2549440625)</f>
        <v>0.2549440625</v>
      </c>
      <c r="J889" s="4">
        <f>IFERROR(__xludf.DUMMYFUNCTION("""COMPUTED_VALUE"""),45949.280252377735)</f>
        <v>45949.28025</v>
      </c>
      <c r="K889" s="4" t="str">
        <f>IFERROR(__xludf.DUMMYFUNCTION("""COMPUTED_VALUE"""),"")</f>
        <v/>
      </c>
      <c r="L889" s="4">
        <f>IFERROR(__xludf.DUMMYFUNCTION("""COMPUTED_VALUE"""),45949.296036293934)</f>
        <v>45949.29604</v>
      </c>
      <c r="M889" s="1" t="str">
        <f>IFERROR(__xludf.DUMMYFUNCTION("""COMPUTED_VALUE"""),"RFID")</f>
        <v>RFID</v>
      </c>
      <c r="N889" s="5">
        <f>IFERROR(__xludf.DUMMYFUNCTION("""COMPUTED_VALUE"""),0.010123324074074073)</f>
        <v>0.01012332407</v>
      </c>
      <c r="O889" s="5" t="str">
        <f>IFERROR(__xludf.DUMMYFUNCTION("""COMPUTED_VALUE"""),"")</f>
        <v/>
      </c>
      <c r="P889" s="5" t="str">
        <f>IFERROR(__xludf.DUMMYFUNCTION("""COMPUTED_VALUE"""),"")</f>
        <v/>
      </c>
      <c r="Q889" s="5">
        <f>IFERROR(__xludf.DUMMYFUNCTION("""COMPUTED_VALUE"""),0.00821844675925926)</f>
        <v>0.008218446759</v>
      </c>
      <c r="R889" s="4">
        <f>IFERROR(__xludf.DUMMYFUNCTION("""COMPUTED_VALUE"""),45949.04109223143)</f>
        <v>45949.04109</v>
      </c>
      <c r="S889" s="1" t="b">
        <f>IFERROR(__xludf.DUMMYFUNCTION("""COMPUTED_VALUE"""),TRUE)</f>
        <v>1</v>
      </c>
      <c r="T889" s="1" t="b">
        <f>IFERROR(__xludf.DUMMYFUNCTION("""COMPUTED_VALUE"""),FALSE)</f>
        <v>0</v>
      </c>
      <c r="U889" s="1" t="str">
        <f>IFERROR(__xludf.DUMMYFUNCTION("""COMPUTED_VALUE"""),"VALID")</f>
        <v>VALID</v>
      </c>
      <c r="V889" s="1">
        <f>IFERROR(__xludf.DUMMYFUNCTION("""COMPUTED_VALUE"""),50.0)</f>
        <v>50</v>
      </c>
      <c r="W889" s="1">
        <f>IFERROR(__xludf.DUMMYFUNCTION("""COMPUTED_VALUE"""),1292.0)</f>
        <v>1292</v>
      </c>
      <c r="X889" s="1">
        <f>IFERROR(__xludf.DUMMYFUNCTION("""COMPUTED_VALUE"""),415.0)</f>
        <v>415</v>
      </c>
      <c r="Y889" s="2"/>
      <c r="Z889" s="2"/>
    </row>
    <row r="890">
      <c r="A890" s="1">
        <f>IFERROR(__xludf.DUMMYFUNCTION("""COMPUTED_VALUE"""),889.0)</f>
        <v>889</v>
      </c>
      <c r="B890" s="1">
        <f>IFERROR(__xludf.DUMMYFUNCTION("""COMPUTED_VALUE"""),7019.0)</f>
        <v>7019</v>
      </c>
      <c r="C890" s="2" t="str">
        <f>IFERROR(__xludf.DUMMYFUNCTION("""COMPUTED_VALUE"""),"Yuliana K")</f>
        <v>Yuliana K</v>
      </c>
      <c r="D890" s="2" t="str">
        <f>IFERROR(__xludf.DUMMYFUNCTION("""COMPUTED_VALUE"""),"5KM MASTER F")</f>
        <v>5KM MASTER F</v>
      </c>
      <c r="E890" s="1">
        <f>IFERROR(__xludf.DUMMYFUNCTION("""COMPUTED_VALUE"""),2.0)</f>
        <v>2</v>
      </c>
      <c r="F890" s="1" t="str">
        <f>IFERROR(__xludf.DUMMYFUNCTION("""COMPUTED_VALUE"""),"Female")</f>
        <v>Female</v>
      </c>
      <c r="G890" s="4" t="b">
        <f>IFERROR(__xludf.DUMMYFUNCTION("""COMPUTED_VALUE"""),TRUE)</f>
        <v>1</v>
      </c>
      <c r="H890" s="4" t="b">
        <f>IFERROR(__xludf.DUMMYFUNCTION("""COMPUTED_VALUE"""),FALSE)</f>
        <v>0</v>
      </c>
      <c r="I890" s="4">
        <f>IFERROR(__xludf.DUMMYFUNCTION("""COMPUTED_VALUE"""),0.2549440625)</f>
        <v>0.2549440625</v>
      </c>
      <c r="J890" s="4">
        <f>IFERROR(__xludf.DUMMYFUNCTION("""COMPUTED_VALUE"""),45949.267808798955)</f>
        <v>45949.26781</v>
      </c>
      <c r="K890" s="4" t="str">
        <f>IFERROR(__xludf.DUMMYFUNCTION("""COMPUTED_VALUE"""),"")</f>
        <v/>
      </c>
      <c r="L890" s="4">
        <f>IFERROR(__xludf.DUMMYFUNCTION("""COMPUTED_VALUE"""),45949.278432134546)</f>
        <v>45949.27843</v>
      </c>
      <c r="M890" s="1" t="str">
        <f>IFERROR(__xludf.DUMMYFUNCTION("""COMPUTED_VALUE"""),"RFID")</f>
        <v>RFID</v>
      </c>
      <c r="N890" s="5">
        <f>IFERROR(__xludf.DUMMYFUNCTION("""COMPUTED_VALUE"""),0.005145893518518518)</f>
        <v>0.005145893519</v>
      </c>
      <c r="O890" s="5" t="str">
        <f>IFERROR(__xludf.DUMMYFUNCTION("""COMPUTED_VALUE"""),"")</f>
        <v/>
      </c>
      <c r="P890" s="5" t="str">
        <f>IFERROR(__xludf.DUMMYFUNCTION("""COMPUTED_VALUE"""),"")</f>
        <v/>
      </c>
      <c r="Q890" s="5">
        <f>IFERROR(__xludf.DUMMYFUNCTION("""COMPUTED_VALUE"""),0.004697613425925925)</f>
        <v>0.004697613426</v>
      </c>
      <c r="R890" s="4">
        <f>IFERROR(__xludf.DUMMYFUNCTION("""COMPUTED_VALUE"""),45949.023488072045)</f>
        <v>45949.02349</v>
      </c>
      <c r="S890" s="1" t="b">
        <f>IFERROR(__xludf.DUMMYFUNCTION("""COMPUTED_VALUE"""),TRUE)</f>
        <v>1</v>
      </c>
      <c r="T890" s="1" t="b">
        <f>IFERROR(__xludf.DUMMYFUNCTION("""COMPUTED_VALUE"""),FALSE)</f>
        <v>0</v>
      </c>
      <c r="U890" s="1" t="str">
        <f>IFERROR(__xludf.DUMMYFUNCTION("""COMPUTED_VALUE"""),"VALID")</f>
        <v>VALID</v>
      </c>
      <c r="V890" s="1">
        <f>IFERROR(__xludf.DUMMYFUNCTION("""COMPUTED_VALUE"""),8.0)</f>
        <v>8</v>
      </c>
      <c r="W890" s="1">
        <f>IFERROR(__xludf.DUMMYFUNCTION("""COMPUTED_VALUE"""),234.0)</f>
        <v>234</v>
      </c>
      <c r="X890" s="1">
        <f>IFERROR(__xludf.DUMMYFUNCTION("""COMPUTED_VALUE"""),30.0)</f>
        <v>30</v>
      </c>
      <c r="Y890" s="2"/>
      <c r="Z890" s="2"/>
    </row>
    <row r="891">
      <c r="A891" s="1">
        <f>IFERROR(__xludf.DUMMYFUNCTION("""COMPUTED_VALUE"""),890.0)</f>
        <v>890</v>
      </c>
      <c r="B891" s="1">
        <f>IFERROR(__xludf.DUMMYFUNCTION("""COMPUTED_VALUE"""),7021.0)</f>
        <v>7021</v>
      </c>
      <c r="C891" s="2" t="str">
        <f>IFERROR(__xludf.DUMMYFUNCTION("""COMPUTED_VALUE"""),"Yuli")</f>
        <v>Yuli</v>
      </c>
      <c r="D891" s="2" t="str">
        <f>IFERROR(__xludf.DUMMYFUNCTION("""COMPUTED_VALUE"""),"5KM MASTER F")</f>
        <v>5KM MASTER F</v>
      </c>
      <c r="E891" s="1">
        <f>IFERROR(__xludf.DUMMYFUNCTION("""COMPUTED_VALUE"""),2.0)</f>
        <v>2</v>
      </c>
      <c r="F891" s="1" t="str">
        <f>IFERROR(__xludf.DUMMYFUNCTION("""COMPUTED_VALUE"""),"Female")</f>
        <v>Female</v>
      </c>
      <c r="G891" s="4" t="b">
        <f>IFERROR(__xludf.DUMMYFUNCTION("""COMPUTED_VALUE"""),TRUE)</f>
        <v>1</v>
      </c>
      <c r="H891" s="4" t="b">
        <f>IFERROR(__xludf.DUMMYFUNCTION("""COMPUTED_VALUE"""),FALSE)</f>
        <v>0</v>
      </c>
      <c r="I891" s="4">
        <f>IFERROR(__xludf.DUMMYFUNCTION("""COMPUTED_VALUE"""),0.2549440625)</f>
        <v>0.2549440625</v>
      </c>
      <c r="J891" s="4">
        <f>IFERROR(__xludf.DUMMYFUNCTION("""COMPUTED_VALUE"""),45949.27583225059)</f>
        <v>45949.27583</v>
      </c>
      <c r="K891" s="4" t="str">
        <f>IFERROR(__xludf.DUMMYFUNCTION("""COMPUTED_VALUE"""),"")</f>
        <v/>
      </c>
      <c r="L891" s="4">
        <f>IFERROR(__xludf.DUMMYFUNCTION("""COMPUTED_VALUE"""),45949.29096684071)</f>
        <v>45949.29097</v>
      </c>
      <c r="M891" s="1" t="str">
        <f>IFERROR(__xludf.DUMMYFUNCTION("""COMPUTED_VALUE"""),"RFID")</f>
        <v>RFID</v>
      </c>
      <c r="N891" s="5">
        <f>IFERROR(__xludf.DUMMYFUNCTION("""COMPUTED_VALUE"""),0.008355273148148148)</f>
        <v>0.008355273148</v>
      </c>
      <c r="O891" s="5" t="str">
        <f>IFERROR(__xludf.DUMMYFUNCTION("""COMPUTED_VALUE"""),"")</f>
        <v/>
      </c>
      <c r="P891" s="5" t="str">
        <f>IFERROR(__xludf.DUMMYFUNCTION("""COMPUTED_VALUE"""),"")</f>
        <v/>
      </c>
      <c r="Q891" s="5">
        <f>IFERROR(__xludf.DUMMYFUNCTION("""COMPUTED_VALUE"""),0.007204555555555556)</f>
        <v>0.007204555556</v>
      </c>
      <c r="R891" s="4">
        <f>IFERROR(__xludf.DUMMYFUNCTION("""COMPUTED_VALUE"""),45949.03602277821)</f>
        <v>45949.03602</v>
      </c>
      <c r="S891" s="1" t="b">
        <f>IFERROR(__xludf.DUMMYFUNCTION("""COMPUTED_VALUE"""),TRUE)</f>
        <v>1</v>
      </c>
      <c r="T891" s="1" t="b">
        <f>IFERROR(__xludf.DUMMYFUNCTION("""COMPUTED_VALUE"""),FALSE)</f>
        <v>0</v>
      </c>
      <c r="U891" s="1" t="str">
        <f>IFERROR(__xludf.DUMMYFUNCTION("""COMPUTED_VALUE"""),"VALID")</f>
        <v>VALID</v>
      </c>
      <c r="V891" s="1">
        <f>IFERROR(__xludf.DUMMYFUNCTION("""COMPUTED_VALUE"""),38.0)</f>
        <v>38</v>
      </c>
      <c r="W891" s="1">
        <f>IFERROR(__xludf.DUMMYFUNCTION("""COMPUTED_VALUE"""),960.0)</f>
        <v>960</v>
      </c>
      <c r="X891" s="1">
        <f>IFERROR(__xludf.DUMMYFUNCTION("""COMPUTED_VALUE"""),237.0)</f>
        <v>237</v>
      </c>
      <c r="Y891" s="2"/>
      <c r="Z891" s="2"/>
    </row>
    <row r="892">
      <c r="A892" s="1">
        <f>IFERROR(__xludf.DUMMYFUNCTION("""COMPUTED_VALUE"""),891.0)</f>
        <v>891</v>
      </c>
      <c r="B892" s="1">
        <f>IFERROR(__xludf.DUMMYFUNCTION("""COMPUTED_VALUE"""),7022.0)</f>
        <v>7022</v>
      </c>
      <c r="C892" s="2" t="str">
        <f>IFERROR(__xludf.DUMMYFUNCTION("""COMPUTED_VALUE"""),"Deny Erliani")</f>
        <v>Deny Erliani</v>
      </c>
      <c r="D892" s="2" t="str">
        <f>IFERROR(__xludf.DUMMYFUNCTION("""COMPUTED_VALUE"""),"5KM MASTER F")</f>
        <v>5KM MASTER F</v>
      </c>
      <c r="E892" s="1">
        <f>IFERROR(__xludf.DUMMYFUNCTION("""COMPUTED_VALUE"""),2.0)</f>
        <v>2</v>
      </c>
      <c r="F892" s="1" t="str">
        <f>IFERROR(__xludf.DUMMYFUNCTION("""COMPUTED_VALUE"""),"Female")</f>
        <v>Female</v>
      </c>
      <c r="G892" s="4" t="b">
        <f>IFERROR(__xludf.DUMMYFUNCTION("""COMPUTED_VALUE"""),TRUE)</f>
        <v>1</v>
      </c>
      <c r="H892" s="4" t="b">
        <f>IFERROR(__xludf.DUMMYFUNCTION("""COMPUTED_VALUE"""),TRUE)</f>
        <v>1</v>
      </c>
      <c r="I892" s="4">
        <f>IFERROR(__xludf.DUMMYFUNCTION("""COMPUTED_VALUE"""),0.2549440625)</f>
        <v>0.2549440625</v>
      </c>
      <c r="J892" s="4">
        <f>IFERROR(__xludf.DUMMYFUNCTION("""COMPUTED_VALUE"""),45949.276998923786)</f>
        <v>45949.277</v>
      </c>
      <c r="K892" s="4" t="str">
        <f>IFERROR(__xludf.DUMMYFUNCTION("""COMPUTED_VALUE"""),"")</f>
        <v/>
      </c>
      <c r="L892" s="4">
        <f>IFERROR(__xludf.DUMMYFUNCTION("""COMPUTED_VALUE"""),45949.29206405688)</f>
        <v>45949.29206</v>
      </c>
      <c r="M892" s="1" t="str">
        <f>IFERROR(__xludf.DUMMYFUNCTION("""COMPUTED_VALUE"""),"RFID")</f>
        <v>RFID</v>
      </c>
      <c r="N892" s="5">
        <f>IFERROR(__xludf.DUMMYFUNCTION("""COMPUTED_VALUE"""),0.008821944444444445)</f>
        <v>0.008821944444</v>
      </c>
      <c r="O892" s="5" t="str">
        <f>IFERROR(__xludf.DUMMYFUNCTION("""COMPUTED_VALUE"""),"")</f>
        <v/>
      </c>
      <c r="P892" s="5" t="str">
        <f>IFERROR(__xludf.DUMMYFUNCTION("""COMPUTED_VALUE"""),"")</f>
        <v/>
      </c>
      <c r="Q892" s="5">
        <f>IFERROR(__xludf.DUMMYFUNCTION("""COMPUTED_VALUE"""),0.007424)</f>
        <v>0.007424</v>
      </c>
      <c r="R892" s="4">
        <f>IFERROR(__xludf.DUMMYFUNCTION("""COMPUTED_VALUE"""),45949.03711999438)</f>
        <v>45949.03712</v>
      </c>
      <c r="S892" s="1" t="b">
        <f>IFERROR(__xludf.DUMMYFUNCTION("""COMPUTED_VALUE"""),TRUE)</f>
        <v>1</v>
      </c>
      <c r="T892" s="1" t="b">
        <f>IFERROR(__xludf.DUMMYFUNCTION("""COMPUTED_VALUE"""),FALSE)</f>
        <v>0</v>
      </c>
      <c r="U892" s="1" t="str">
        <f>IFERROR(__xludf.DUMMYFUNCTION("""COMPUTED_VALUE"""),"VALID")</f>
        <v>VALID</v>
      </c>
      <c r="V892" s="1">
        <f>IFERROR(__xludf.DUMMYFUNCTION("""COMPUTED_VALUE"""),41.0)</f>
        <v>41</v>
      </c>
      <c r="W892" s="1">
        <f>IFERROR(__xludf.DUMMYFUNCTION("""COMPUTED_VALUE"""),1037.0)</f>
        <v>1037</v>
      </c>
      <c r="X892" s="1">
        <f>IFERROR(__xludf.DUMMYFUNCTION("""COMPUTED_VALUE"""),277.0)</f>
        <v>277</v>
      </c>
      <c r="Y892" s="2"/>
      <c r="Z892" s="2"/>
    </row>
    <row r="893">
      <c r="A893" s="1">
        <f>IFERROR(__xludf.DUMMYFUNCTION("""COMPUTED_VALUE"""),892.0)</f>
        <v>892</v>
      </c>
      <c r="B893" s="1">
        <f>IFERROR(__xludf.DUMMYFUNCTION("""COMPUTED_VALUE"""),7024.0)</f>
        <v>7024</v>
      </c>
      <c r="C893" s="2" t="str">
        <f>IFERROR(__xludf.DUMMYFUNCTION("""COMPUTED_VALUE"""),"Juni")</f>
        <v>Juni</v>
      </c>
      <c r="D893" s="2" t="str">
        <f>IFERROR(__xludf.DUMMYFUNCTION("""COMPUTED_VALUE"""),"5KM MASTER F")</f>
        <v>5KM MASTER F</v>
      </c>
      <c r="E893" s="1">
        <f>IFERROR(__xludf.DUMMYFUNCTION("""COMPUTED_VALUE"""),2.0)</f>
        <v>2</v>
      </c>
      <c r="F893" s="1" t="str">
        <f>IFERROR(__xludf.DUMMYFUNCTION("""COMPUTED_VALUE"""),"Female")</f>
        <v>Female</v>
      </c>
      <c r="G893" s="4" t="b">
        <f>IFERROR(__xludf.DUMMYFUNCTION("""COMPUTED_VALUE"""),TRUE)</f>
        <v>1</v>
      </c>
      <c r="H893" s="4" t="b">
        <f>IFERROR(__xludf.DUMMYFUNCTION("""COMPUTED_VALUE"""),TRUE)</f>
        <v>1</v>
      </c>
      <c r="I893" s="4">
        <f>IFERROR(__xludf.DUMMYFUNCTION("""COMPUTED_VALUE"""),0.2549440625)</f>
        <v>0.2549440625</v>
      </c>
      <c r="J893" s="4">
        <f>IFERROR(__xludf.DUMMYFUNCTION("""COMPUTED_VALUE"""),45949.279731622024)</f>
        <v>45949.27973</v>
      </c>
      <c r="K893" s="4" t="str">
        <f>IFERROR(__xludf.DUMMYFUNCTION("""COMPUTED_VALUE"""),"")</f>
        <v/>
      </c>
      <c r="L893" s="4">
        <f>IFERROR(__xludf.DUMMYFUNCTION("""COMPUTED_VALUE"""),45949.295102256)</f>
        <v>45949.2951</v>
      </c>
      <c r="M893" s="1" t="str">
        <f>IFERROR(__xludf.DUMMYFUNCTION("""COMPUTED_VALUE"""),"RFID")</f>
        <v>RFID</v>
      </c>
      <c r="N893" s="5">
        <f>IFERROR(__xludf.DUMMYFUNCTION("""COMPUTED_VALUE"""),0.009915023148148149)</f>
        <v>0.009915023148</v>
      </c>
      <c r="O893" s="5" t="str">
        <f>IFERROR(__xludf.DUMMYFUNCTION("""COMPUTED_VALUE"""),"")</f>
        <v/>
      </c>
      <c r="P893" s="5" t="str">
        <f>IFERROR(__xludf.DUMMYFUNCTION("""COMPUTED_VALUE"""),"")</f>
        <v/>
      </c>
      <c r="Q893" s="5">
        <f>IFERROR(__xludf.DUMMYFUNCTION("""COMPUTED_VALUE"""),0.00803163888888889)</f>
        <v>0.008031638889</v>
      </c>
      <c r="R893" s="4">
        <f>IFERROR(__xludf.DUMMYFUNCTION("""COMPUTED_VALUE"""),45949.0401581935)</f>
        <v>45949.04016</v>
      </c>
      <c r="S893" s="1" t="b">
        <f>IFERROR(__xludf.DUMMYFUNCTION("""COMPUTED_VALUE"""),TRUE)</f>
        <v>1</v>
      </c>
      <c r="T893" s="1" t="b">
        <f>IFERROR(__xludf.DUMMYFUNCTION("""COMPUTED_VALUE"""),FALSE)</f>
        <v>0</v>
      </c>
      <c r="U893" s="1" t="str">
        <f>IFERROR(__xludf.DUMMYFUNCTION("""COMPUTED_VALUE"""),"VALID")</f>
        <v>VALID</v>
      </c>
      <c r="V893" s="1">
        <f>IFERROR(__xludf.DUMMYFUNCTION("""COMPUTED_VALUE"""),48.0)</f>
        <v>48</v>
      </c>
      <c r="W893" s="1">
        <f>IFERROR(__xludf.DUMMYFUNCTION("""COMPUTED_VALUE"""),1249.0)</f>
        <v>1249</v>
      </c>
      <c r="X893" s="1">
        <f>IFERROR(__xludf.DUMMYFUNCTION("""COMPUTED_VALUE"""),392.0)</f>
        <v>392</v>
      </c>
      <c r="Y893" s="2"/>
      <c r="Z893" s="2"/>
    </row>
    <row r="894">
      <c r="A894" s="1">
        <f>IFERROR(__xludf.DUMMYFUNCTION("""COMPUTED_VALUE"""),893.0)</f>
        <v>893</v>
      </c>
      <c r="B894" s="1">
        <f>IFERROR(__xludf.DUMMYFUNCTION("""COMPUTED_VALUE"""),7026.0)</f>
        <v>7026</v>
      </c>
      <c r="C894" s="2" t="str">
        <f>IFERROR(__xludf.DUMMYFUNCTION("""COMPUTED_VALUE"""),"Yunneti Tuteh")</f>
        <v>Yunneti Tuteh</v>
      </c>
      <c r="D894" s="2" t="str">
        <f>IFERROR(__xludf.DUMMYFUNCTION("""COMPUTED_VALUE"""),"5KM MASTER F")</f>
        <v>5KM MASTER F</v>
      </c>
      <c r="E894" s="1">
        <f>IFERROR(__xludf.DUMMYFUNCTION("""COMPUTED_VALUE"""),2.0)</f>
        <v>2</v>
      </c>
      <c r="F894" s="1" t="str">
        <f>IFERROR(__xludf.DUMMYFUNCTION("""COMPUTED_VALUE"""),"Female")</f>
        <v>Female</v>
      </c>
      <c r="G894" s="4" t="b">
        <f>IFERROR(__xludf.DUMMYFUNCTION("""COMPUTED_VALUE"""),TRUE)</f>
        <v>1</v>
      </c>
      <c r="H894" s="4" t="b">
        <f>IFERROR(__xludf.DUMMYFUNCTION("""COMPUTED_VALUE"""),FALSE)</f>
        <v>0</v>
      </c>
      <c r="I894" s="4">
        <f>IFERROR(__xludf.DUMMYFUNCTION("""COMPUTED_VALUE"""),0.2549440625)</f>
        <v>0.2549440625</v>
      </c>
      <c r="J894" s="4">
        <f>IFERROR(__xludf.DUMMYFUNCTION("""COMPUTED_VALUE"""),45949.26627674086)</f>
        <v>45949.26628</v>
      </c>
      <c r="K894" s="4" t="str">
        <f>IFERROR(__xludf.DUMMYFUNCTION("""COMPUTED_VALUE"""),"")</f>
        <v/>
      </c>
      <c r="L894" s="4">
        <f>IFERROR(__xludf.DUMMYFUNCTION("""COMPUTED_VALUE"""),45949.27547031199)</f>
        <v>45949.27547</v>
      </c>
      <c r="M894" s="1" t="str">
        <f>IFERROR(__xludf.DUMMYFUNCTION("""COMPUTED_VALUE"""),"RFID")</f>
        <v>RFID</v>
      </c>
      <c r="N894" s="5">
        <f>IFERROR(__xludf.DUMMYFUNCTION("""COMPUTED_VALUE"""),0.004533069444444445)</f>
        <v>0.004533069444</v>
      </c>
      <c r="O894" s="5" t="str">
        <f>IFERROR(__xludf.DUMMYFUNCTION("""COMPUTED_VALUE"""),"")</f>
        <v/>
      </c>
      <c r="P894" s="5" t="str">
        <f>IFERROR(__xludf.DUMMYFUNCTION("""COMPUTED_VALUE"""),"")</f>
        <v/>
      </c>
      <c r="Q894" s="5">
        <f>IFERROR(__xludf.DUMMYFUNCTION("""COMPUTED_VALUE"""),0.0041052499999999995)</f>
        <v>0.00410525</v>
      </c>
      <c r="R894" s="4">
        <f>IFERROR(__xludf.DUMMYFUNCTION("""COMPUTED_VALUE"""),45949.02052624949)</f>
        <v>45949.02053</v>
      </c>
      <c r="S894" s="1" t="b">
        <f>IFERROR(__xludf.DUMMYFUNCTION("""COMPUTED_VALUE"""),TRUE)</f>
        <v>1</v>
      </c>
      <c r="T894" s="1" t="b">
        <f>IFERROR(__xludf.DUMMYFUNCTION("""COMPUTED_VALUE"""),FALSE)</f>
        <v>0</v>
      </c>
      <c r="U894" s="1" t="str">
        <f>IFERROR(__xludf.DUMMYFUNCTION("""COMPUTED_VALUE"""),"VALID")</f>
        <v>VALID</v>
      </c>
      <c r="V894" s="1">
        <f>IFERROR(__xludf.DUMMYFUNCTION("""COMPUTED_VALUE"""),4.0)</f>
        <v>4</v>
      </c>
      <c r="W894" s="1">
        <f>IFERROR(__xludf.DUMMYFUNCTION("""COMPUTED_VALUE"""),126.0)</f>
        <v>126</v>
      </c>
      <c r="X894" s="1">
        <f>IFERROR(__xludf.DUMMYFUNCTION("""COMPUTED_VALUE"""),12.0)</f>
        <v>12</v>
      </c>
      <c r="Y894" s="2"/>
      <c r="Z894" s="2"/>
    </row>
    <row r="895">
      <c r="A895" s="1">
        <f>IFERROR(__xludf.DUMMYFUNCTION("""COMPUTED_VALUE"""),894.0)</f>
        <v>894</v>
      </c>
      <c r="B895" s="1">
        <f>IFERROR(__xludf.DUMMYFUNCTION("""COMPUTED_VALUE"""),7027.0)</f>
        <v>7027</v>
      </c>
      <c r="C895" s="2" t="str">
        <f>IFERROR(__xludf.DUMMYFUNCTION("""COMPUTED_VALUE"""),"Diana")</f>
        <v>Diana</v>
      </c>
      <c r="D895" s="2" t="str">
        <f>IFERROR(__xludf.DUMMYFUNCTION("""COMPUTED_VALUE"""),"5KM MASTER F")</f>
        <v>5KM MASTER F</v>
      </c>
      <c r="E895" s="1">
        <f>IFERROR(__xludf.DUMMYFUNCTION("""COMPUTED_VALUE"""),2.0)</f>
        <v>2</v>
      </c>
      <c r="F895" s="1" t="str">
        <f>IFERROR(__xludf.DUMMYFUNCTION("""COMPUTED_VALUE"""),"Female")</f>
        <v>Female</v>
      </c>
      <c r="G895" s="4" t="str">
        <f>IFERROR(__xludf.DUMMYFUNCTION("""COMPUTED_VALUE"""),"")</f>
        <v/>
      </c>
      <c r="H895" s="4" t="b">
        <f>IFERROR(__xludf.DUMMYFUNCTION("""COMPUTED_VALUE"""),FALSE)</f>
        <v>0</v>
      </c>
      <c r="I895" s="4">
        <f>IFERROR(__xludf.DUMMYFUNCTION("""COMPUTED_VALUE"""),0.2549440625)</f>
        <v>0.2549440625</v>
      </c>
      <c r="J895" s="4" t="str">
        <f>IFERROR(__xludf.DUMMYFUNCTION("""COMPUTED_VALUE"""),"")</f>
        <v/>
      </c>
      <c r="K895" s="4" t="str">
        <f>IFERROR(__xludf.DUMMYFUNCTION("""COMPUTED_VALUE"""),"")</f>
        <v/>
      </c>
      <c r="L895" s="4" t="str">
        <f>IFERROR(__xludf.DUMMYFUNCTION("""COMPUTED_VALUE"""),"")</f>
        <v/>
      </c>
      <c r="M895" s="1" t="str">
        <f>IFERROR(__xludf.DUMMYFUNCTION("""COMPUTED_VALUE"""),"RFID")</f>
        <v>RFID</v>
      </c>
      <c r="N895" s="5" t="str">
        <f>IFERROR(__xludf.DUMMYFUNCTION("""COMPUTED_VALUE"""),"")</f>
        <v/>
      </c>
      <c r="O895" s="5" t="str">
        <f>IFERROR(__xludf.DUMMYFUNCTION("""COMPUTED_VALUE"""),"")</f>
        <v/>
      </c>
      <c r="P895" s="5" t="str">
        <f>IFERROR(__xludf.DUMMYFUNCTION("""COMPUTED_VALUE"""),"")</f>
        <v/>
      </c>
      <c r="Q895" s="5" t="str">
        <f>IFERROR(__xludf.DUMMYFUNCTION("""COMPUTED_VALUE"""),"")</f>
        <v/>
      </c>
      <c r="R895" s="4" t="str">
        <f>IFERROR(__xludf.DUMMYFUNCTION("""COMPUTED_VALUE"""),"")</f>
        <v/>
      </c>
      <c r="S895" s="1" t="b">
        <f>IFERROR(__xludf.DUMMYFUNCTION("""COMPUTED_VALUE"""),FALSE)</f>
        <v>0</v>
      </c>
      <c r="T895" s="1" t="b">
        <f>IFERROR(__xludf.DUMMYFUNCTION("""COMPUTED_VALUE"""),FALSE)</f>
        <v>0</v>
      </c>
      <c r="U895" s="1" t="str">
        <f>IFERROR(__xludf.DUMMYFUNCTION("""COMPUTED_VALUE"""),"DSQ")</f>
        <v>DSQ</v>
      </c>
      <c r="V895" s="1" t="str">
        <f>IFERROR(__xludf.DUMMYFUNCTION("""COMPUTED_VALUE"""),"DSQ")</f>
        <v>DSQ</v>
      </c>
      <c r="W895" s="1" t="str">
        <f>IFERROR(__xludf.DUMMYFUNCTION("""COMPUTED_VALUE"""),"DSQ")</f>
        <v>DSQ</v>
      </c>
      <c r="X895" s="1" t="str">
        <f>IFERROR(__xludf.DUMMYFUNCTION("""COMPUTED_VALUE"""),"DSQ")</f>
        <v>DSQ</v>
      </c>
      <c r="Y895" s="2"/>
      <c r="Z895" s="2" t="str">
        <f>IFERROR(__xludf.DUMMYFUNCTION("""COMPUTED_VALUE"""),"")</f>
        <v/>
      </c>
    </row>
    <row r="896">
      <c r="A896" s="1">
        <f>IFERROR(__xludf.DUMMYFUNCTION("""COMPUTED_VALUE"""),895.0)</f>
        <v>895</v>
      </c>
      <c r="B896" s="1">
        <f>IFERROR(__xludf.DUMMYFUNCTION("""COMPUTED_VALUE"""),7029.0)</f>
        <v>7029</v>
      </c>
      <c r="C896" s="2" t="str">
        <f>IFERROR(__xludf.DUMMYFUNCTION("""COMPUTED_VALUE"""),"Gt Amalia Nur Indah M")</f>
        <v>Gt Amalia Nur Indah M</v>
      </c>
      <c r="D896" s="2" t="str">
        <f>IFERROR(__xludf.DUMMYFUNCTION("""COMPUTED_VALUE"""),"5KM MASTER F")</f>
        <v>5KM MASTER F</v>
      </c>
      <c r="E896" s="1">
        <f>IFERROR(__xludf.DUMMYFUNCTION("""COMPUTED_VALUE"""),2.0)</f>
        <v>2</v>
      </c>
      <c r="F896" s="1" t="str">
        <f>IFERROR(__xludf.DUMMYFUNCTION("""COMPUTED_VALUE"""),"Female")</f>
        <v>Female</v>
      </c>
      <c r="G896" s="4" t="b">
        <f>IFERROR(__xludf.DUMMYFUNCTION("""COMPUTED_VALUE"""),TRUE)</f>
        <v>1</v>
      </c>
      <c r="H896" s="4" t="b">
        <f>IFERROR(__xludf.DUMMYFUNCTION("""COMPUTED_VALUE"""),TRUE)</f>
        <v>1</v>
      </c>
      <c r="I896" s="4">
        <f>IFERROR(__xludf.DUMMYFUNCTION("""COMPUTED_VALUE"""),0.2549440625)</f>
        <v>0.2549440625</v>
      </c>
      <c r="J896" s="4">
        <f>IFERROR(__xludf.DUMMYFUNCTION("""COMPUTED_VALUE"""),45949.274498917955)</f>
        <v>45949.2745</v>
      </c>
      <c r="K896" s="4" t="str">
        <f>IFERROR(__xludf.DUMMYFUNCTION("""COMPUTED_VALUE"""),"")</f>
        <v/>
      </c>
      <c r="L896" s="4">
        <f>IFERROR(__xludf.DUMMYFUNCTION("""COMPUTED_VALUE"""),45949.28869600369)</f>
        <v>45949.2887</v>
      </c>
      <c r="M896" s="1" t="str">
        <f>IFERROR(__xludf.DUMMYFUNCTION("""COMPUTED_VALUE"""),"RFID")</f>
        <v>RFID</v>
      </c>
      <c r="N896" s="5">
        <f>IFERROR(__xludf.DUMMYFUNCTION("""COMPUTED_VALUE"""),0.007821944444444444)</f>
        <v>0.007821944444</v>
      </c>
      <c r="O896" s="5" t="str">
        <f>IFERROR(__xludf.DUMMYFUNCTION("""COMPUTED_VALUE"""),"")</f>
        <v/>
      </c>
      <c r="P896" s="5" t="str">
        <f>IFERROR(__xludf.DUMMYFUNCTION("""COMPUTED_VALUE"""),"")</f>
        <v/>
      </c>
      <c r="Q896" s="5">
        <f>IFERROR(__xludf.DUMMYFUNCTION("""COMPUTED_VALUE"""),0.006750388888888889)</f>
        <v>0.006750388889</v>
      </c>
      <c r="R896" s="4">
        <f>IFERROR(__xludf.DUMMYFUNCTION("""COMPUTED_VALUE"""),45949.03375194119)</f>
        <v>45949.03375</v>
      </c>
      <c r="S896" s="1" t="b">
        <f>IFERROR(__xludf.DUMMYFUNCTION("""COMPUTED_VALUE"""),TRUE)</f>
        <v>1</v>
      </c>
      <c r="T896" s="1" t="b">
        <f>IFERROR(__xludf.DUMMYFUNCTION("""COMPUTED_VALUE"""),FALSE)</f>
        <v>0</v>
      </c>
      <c r="U896" s="1" t="str">
        <f>IFERROR(__xludf.DUMMYFUNCTION("""COMPUTED_VALUE"""),"VALID")</f>
        <v>VALID</v>
      </c>
      <c r="V896" s="1">
        <f>IFERROR(__xludf.DUMMYFUNCTION("""COMPUTED_VALUE"""),27.0)</f>
        <v>27</v>
      </c>
      <c r="W896" s="1">
        <f>IFERROR(__xludf.DUMMYFUNCTION("""COMPUTED_VALUE"""),824.0)</f>
        <v>824</v>
      </c>
      <c r="X896" s="1">
        <f>IFERROR(__xludf.DUMMYFUNCTION("""COMPUTED_VALUE"""),180.0)</f>
        <v>180</v>
      </c>
      <c r="Y896" s="2"/>
      <c r="Z896" s="2"/>
    </row>
    <row r="897">
      <c r="A897" s="1">
        <f>IFERROR(__xludf.DUMMYFUNCTION("""COMPUTED_VALUE"""),896.0)</f>
        <v>896</v>
      </c>
      <c r="B897" s="1">
        <f>IFERROR(__xludf.DUMMYFUNCTION("""COMPUTED_VALUE"""),7031.0)</f>
        <v>7031</v>
      </c>
      <c r="C897" s="2" t="str">
        <f>IFERROR(__xludf.DUMMYFUNCTION("""COMPUTED_VALUE"""),"Rusmini Sadi")</f>
        <v>Rusmini Sadi</v>
      </c>
      <c r="D897" s="2" t="str">
        <f>IFERROR(__xludf.DUMMYFUNCTION("""COMPUTED_VALUE"""),"5KM MASTER F")</f>
        <v>5KM MASTER F</v>
      </c>
      <c r="E897" s="1">
        <f>IFERROR(__xludf.DUMMYFUNCTION("""COMPUTED_VALUE"""),2.0)</f>
        <v>2</v>
      </c>
      <c r="F897" s="1" t="str">
        <f>IFERROR(__xludf.DUMMYFUNCTION("""COMPUTED_VALUE"""),"Female")</f>
        <v>Female</v>
      </c>
      <c r="G897" s="4" t="b">
        <f>IFERROR(__xludf.DUMMYFUNCTION("""COMPUTED_VALUE"""),TRUE)</f>
        <v>1</v>
      </c>
      <c r="H897" s="4" t="b">
        <f>IFERROR(__xludf.DUMMYFUNCTION("""COMPUTED_VALUE"""),FALSE)</f>
        <v>0</v>
      </c>
      <c r="I897" s="4">
        <f>IFERROR(__xludf.DUMMYFUNCTION("""COMPUTED_VALUE"""),0.2549440625)</f>
        <v>0.2549440625</v>
      </c>
      <c r="J897" s="4">
        <f>IFERROR(__xludf.DUMMYFUNCTION("""COMPUTED_VALUE"""),45950.27148148148)</f>
        <v>45950.27148</v>
      </c>
      <c r="K897" s="4" t="str">
        <f>IFERROR(__xludf.DUMMYFUNCTION("""COMPUTED_VALUE"""),"")</f>
        <v/>
      </c>
      <c r="L897" s="4">
        <f>IFERROR(__xludf.DUMMYFUNCTION("""COMPUTED_VALUE"""),45949.2825015641)</f>
        <v>45949.2825</v>
      </c>
      <c r="M897" s="1" t="str">
        <f>IFERROR(__xludf.DUMMYFUNCTION("""COMPUTED_VALUE"""),"RFID")</f>
        <v>RFID</v>
      </c>
      <c r="N897" s="5">
        <f>IFERROR(__xludf.DUMMYFUNCTION("""COMPUTED_VALUE"""),0.006614967592592592)</f>
        <v>0.006614967593</v>
      </c>
      <c r="O897" s="5" t="str">
        <f>IFERROR(__xludf.DUMMYFUNCTION("""COMPUTED_VALUE"""),"")</f>
        <v/>
      </c>
      <c r="P897" s="5" t="str">
        <f>IFERROR(__xludf.DUMMYFUNCTION("""COMPUTED_VALUE"""),"")</f>
        <v/>
      </c>
      <c r="Q897" s="5">
        <f>IFERROR(__xludf.DUMMYFUNCTION("""COMPUTED_VALUE"""),0.0055115)</f>
        <v>0.0055115</v>
      </c>
      <c r="R897" s="4">
        <f>IFERROR(__xludf.DUMMYFUNCTION("""COMPUTED_VALUE"""),45949.0275575016)</f>
        <v>45949.02756</v>
      </c>
      <c r="S897" s="1" t="b">
        <f>IFERROR(__xludf.DUMMYFUNCTION("""COMPUTED_VALUE"""),TRUE)</f>
        <v>1</v>
      </c>
      <c r="T897" s="1" t="b">
        <f>IFERROR(__xludf.DUMMYFUNCTION("""COMPUTED_VALUE"""),FALSE)</f>
        <v>0</v>
      </c>
      <c r="U897" s="1" t="str">
        <f>IFERROR(__xludf.DUMMYFUNCTION("""COMPUTED_VALUE"""),"VALID")</f>
        <v>VALID</v>
      </c>
      <c r="V897" s="1">
        <f>IFERROR(__xludf.DUMMYFUNCTION("""COMPUTED_VALUE"""),14.0)</f>
        <v>14</v>
      </c>
      <c r="W897" s="1">
        <f>IFERROR(__xludf.DUMMYFUNCTION("""COMPUTED_VALUE"""),405.0)</f>
        <v>405</v>
      </c>
      <c r="X897" s="1">
        <f>IFERROR(__xludf.DUMMYFUNCTION("""COMPUTED_VALUE"""),59.0)</f>
        <v>59</v>
      </c>
      <c r="Y897" s="2"/>
      <c r="Z897" s="2" t="str">
        <f>IFERROR(__xludf.DUMMYFUNCTION("""COMPUTED_VALUE"""),"C")</f>
        <v>C</v>
      </c>
    </row>
    <row r="898">
      <c r="A898" s="1">
        <f>IFERROR(__xludf.DUMMYFUNCTION("""COMPUTED_VALUE"""),897.0)</f>
        <v>897</v>
      </c>
      <c r="B898" s="1">
        <f>IFERROR(__xludf.DUMMYFUNCTION("""COMPUTED_VALUE"""),7033.0)</f>
        <v>7033</v>
      </c>
      <c r="C898" s="2" t="str">
        <f>IFERROR(__xludf.DUMMYFUNCTION("""COMPUTED_VALUE"""),"Emmy")</f>
        <v>Emmy</v>
      </c>
      <c r="D898" s="2" t="str">
        <f>IFERROR(__xludf.DUMMYFUNCTION("""COMPUTED_VALUE"""),"5KM MASTER F")</f>
        <v>5KM MASTER F</v>
      </c>
      <c r="E898" s="1">
        <f>IFERROR(__xludf.DUMMYFUNCTION("""COMPUTED_VALUE"""),2.0)</f>
        <v>2</v>
      </c>
      <c r="F898" s="1" t="str">
        <f>IFERROR(__xludf.DUMMYFUNCTION("""COMPUTED_VALUE"""),"Female")</f>
        <v>Female</v>
      </c>
      <c r="G898" s="4" t="b">
        <f>IFERROR(__xludf.DUMMYFUNCTION("""COMPUTED_VALUE"""),TRUE)</f>
        <v>1</v>
      </c>
      <c r="H898" s="4" t="b">
        <f>IFERROR(__xludf.DUMMYFUNCTION("""COMPUTED_VALUE"""),FALSE)</f>
        <v>0</v>
      </c>
      <c r="I898" s="4">
        <f>IFERROR(__xludf.DUMMYFUNCTION("""COMPUTED_VALUE"""),0.2549440625)</f>
        <v>0.2549440625</v>
      </c>
      <c r="J898" s="4">
        <f>IFERROR(__xludf.DUMMYFUNCTION("""COMPUTED_VALUE"""),45949.27005100295)</f>
        <v>45949.27005</v>
      </c>
      <c r="K898" s="4" t="str">
        <f>IFERROR(__xludf.DUMMYFUNCTION("""COMPUTED_VALUE"""),"")</f>
        <v/>
      </c>
      <c r="L898" s="4">
        <f>IFERROR(__xludf.DUMMYFUNCTION("""COMPUTED_VALUE"""),45949.28109531538)</f>
        <v>45949.2811</v>
      </c>
      <c r="M898" s="1" t="str">
        <f>IFERROR(__xludf.DUMMYFUNCTION("""COMPUTED_VALUE"""),"RFID")</f>
        <v>RFID</v>
      </c>
      <c r="N898" s="5">
        <f>IFERROR(__xludf.DUMMYFUNCTION("""COMPUTED_VALUE"""),0.006042777777777778)</f>
        <v>0.006042777778</v>
      </c>
      <c r="O898" s="5" t="str">
        <f>IFERROR(__xludf.DUMMYFUNCTION("""COMPUTED_VALUE"""),"")</f>
        <v/>
      </c>
      <c r="P898" s="5" t="str">
        <f>IFERROR(__xludf.DUMMYFUNCTION("""COMPUTED_VALUE"""),"")</f>
        <v/>
      </c>
      <c r="Q898" s="5">
        <f>IFERROR(__xludf.DUMMYFUNCTION("""COMPUTED_VALUE"""),0.00523025)</f>
        <v>0.00523025</v>
      </c>
      <c r="R898" s="4">
        <f>IFERROR(__xludf.DUMMYFUNCTION("""COMPUTED_VALUE"""),45949.02615125288)</f>
        <v>45949.02615</v>
      </c>
      <c r="S898" s="1" t="b">
        <f>IFERROR(__xludf.DUMMYFUNCTION("""COMPUTED_VALUE"""),TRUE)</f>
        <v>1</v>
      </c>
      <c r="T898" s="1" t="b">
        <f>IFERROR(__xludf.DUMMYFUNCTION("""COMPUTED_VALUE"""),FALSE)</f>
        <v>0</v>
      </c>
      <c r="U898" s="1" t="str">
        <f>IFERROR(__xludf.DUMMYFUNCTION("""COMPUTED_VALUE"""),"VALID")</f>
        <v>VALID</v>
      </c>
      <c r="V898" s="1">
        <f>IFERROR(__xludf.DUMMYFUNCTION("""COMPUTED_VALUE"""),11.0)</f>
        <v>11</v>
      </c>
      <c r="W898" s="1">
        <f>IFERROR(__xludf.DUMMYFUNCTION("""COMPUTED_VALUE"""),343.0)</f>
        <v>343</v>
      </c>
      <c r="X898" s="1">
        <f>IFERROR(__xludf.DUMMYFUNCTION("""COMPUTED_VALUE"""),46.0)</f>
        <v>46</v>
      </c>
      <c r="Y898" s="2"/>
      <c r="Z898" s="2"/>
    </row>
    <row r="899">
      <c r="A899" s="1">
        <f>IFERROR(__xludf.DUMMYFUNCTION("""COMPUTED_VALUE"""),898.0)</f>
        <v>898</v>
      </c>
      <c r="B899" s="1">
        <f>IFERROR(__xludf.DUMMYFUNCTION("""COMPUTED_VALUE"""),7034.0)</f>
        <v>7034</v>
      </c>
      <c r="C899" s="2" t="str">
        <f>IFERROR(__xludf.DUMMYFUNCTION("""COMPUTED_VALUE"""),"Fatma")</f>
        <v>Fatma</v>
      </c>
      <c r="D899" s="2" t="str">
        <f>IFERROR(__xludf.DUMMYFUNCTION("""COMPUTED_VALUE"""),"5KM MASTER F")</f>
        <v>5KM MASTER F</v>
      </c>
      <c r="E899" s="1">
        <f>IFERROR(__xludf.DUMMYFUNCTION("""COMPUTED_VALUE"""),2.0)</f>
        <v>2</v>
      </c>
      <c r="F899" s="1" t="str">
        <f>IFERROR(__xludf.DUMMYFUNCTION("""COMPUTED_VALUE"""),"Female")</f>
        <v>Female</v>
      </c>
      <c r="G899" s="4" t="b">
        <f>IFERROR(__xludf.DUMMYFUNCTION("""COMPUTED_VALUE"""),TRUE)</f>
        <v>1</v>
      </c>
      <c r="H899" s="4" t="b">
        <f>IFERROR(__xludf.DUMMYFUNCTION("""COMPUTED_VALUE"""),FALSE)</f>
        <v>0</v>
      </c>
      <c r="I899" s="4">
        <f>IFERROR(__xludf.DUMMYFUNCTION("""COMPUTED_VALUE"""),0.2549440625)</f>
        <v>0.2549440625</v>
      </c>
      <c r="J899" s="4">
        <f>IFERROR(__xludf.DUMMYFUNCTION("""COMPUTED_VALUE"""),45949.273353077515)</f>
        <v>45949.27335</v>
      </c>
      <c r="K899" s="4" t="str">
        <f>IFERROR(__xludf.DUMMYFUNCTION("""COMPUTED_VALUE"""),"")</f>
        <v/>
      </c>
      <c r="L899" s="4">
        <f>IFERROR(__xludf.DUMMYFUNCTION("""COMPUTED_VALUE"""),45949.28553628855)</f>
        <v>45949.28554</v>
      </c>
      <c r="M899" s="1" t="str">
        <f>IFERROR(__xludf.DUMMYFUNCTION("""COMPUTED_VALUE"""),"RFID")</f>
        <v>RFID</v>
      </c>
      <c r="N899" s="5">
        <f>IFERROR(__xludf.DUMMYFUNCTION("""COMPUTED_VALUE"""),0.007363606481481481)</f>
        <v>0.007363606481</v>
      </c>
      <c r="O899" s="5" t="str">
        <f>IFERROR(__xludf.DUMMYFUNCTION("""COMPUTED_VALUE"""),"")</f>
        <v/>
      </c>
      <c r="P899" s="5" t="str">
        <f>IFERROR(__xludf.DUMMYFUNCTION("""COMPUTED_VALUE"""),"")</f>
        <v/>
      </c>
      <c r="Q899" s="5">
        <f>IFERROR(__xludf.DUMMYFUNCTION("""COMPUTED_VALUE"""),0.006118444444444445)</f>
        <v>0.006118444444</v>
      </c>
      <c r="R899" s="4">
        <f>IFERROR(__xludf.DUMMYFUNCTION("""COMPUTED_VALUE"""),45949.03059222605)</f>
        <v>45949.03059</v>
      </c>
      <c r="S899" s="1" t="b">
        <f>IFERROR(__xludf.DUMMYFUNCTION("""COMPUTED_VALUE"""),TRUE)</f>
        <v>1</v>
      </c>
      <c r="T899" s="1" t="b">
        <f>IFERROR(__xludf.DUMMYFUNCTION("""COMPUTED_VALUE"""),FALSE)</f>
        <v>0</v>
      </c>
      <c r="U899" s="1" t="str">
        <f>IFERROR(__xludf.DUMMYFUNCTION("""COMPUTED_VALUE"""),"VALID")</f>
        <v>VALID</v>
      </c>
      <c r="V899" s="1">
        <f>IFERROR(__xludf.DUMMYFUNCTION("""COMPUTED_VALUE"""),18.0)</f>
        <v>18</v>
      </c>
      <c r="W899" s="1">
        <f>IFERROR(__xludf.DUMMYFUNCTION("""COMPUTED_VALUE"""),606.0)</f>
        <v>606</v>
      </c>
      <c r="X899" s="1">
        <f>IFERROR(__xludf.DUMMYFUNCTION("""COMPUTED_VALUE"""),108.0)</f>
        <v>108</v>
      </c>
      <c r="Y899" s="2"/>
      <c r="Z899" s="2"/>
    </row>
    <row r="900">
      <c r="A900" s="1">
        <f>IFERROR(__xludf.DUMMYFUNCTION("""COMPUTED_VALUE"""),899.0)</f>
        <v>899</v>
      </c>
      <c r="B900" s="1">
        <f>IFERROR(__xludf.DUMMYFUNCTION("""COMPUTED_VALUE"""),7039.0)</f>
        <v>7039</v>
      </c>
      <c r="C900" s="2" t="str">
        <f>IFERROR(__xludf.DUMMYFUNCTION("""COMPUTED_VALUE"""),"EKA")</f>
        <v>EKA</v>
      </c>
      <c r="D900" s="2" t="str">
        <f>IFERROR(__xludf.DUMMYFUNCTION("""COMPUTED_VALUE"""),"5KM MASTER F")</f>
        <v>5KM MASTER F</v>
      </c>
      <c r="E900" s="1">
        <f>IFERROR(__xludf.DUMMYFUNCTION("""COMPUTED_VALUE"""),2.0)</f>
        <v>2</v>
      </c>
      <c r="F900" s="1" t="str">
        <f>IFERROR(__xludf.DUMMYFUNCTION("""COMPUTED_VALUE"""),"Female")</f>
        <v>Female</v>
      </c>
      <c r="G900" s="4" t="b">
        <f>IFERROR(__xludf.DUMMYFUNCTION("""COMPUTED_VALUE"""),TRUE)</f>
        <v>1</v>
      </c>
      <c r="H900" s="4" t="b">
        <f>IFERROR(__xludf.DUMMYFUNCTION("""COMPUTED_VALUE"""),FALSE)</f>
        <v>0</v>
      </c>
      <c r="I900" s="4">
        <f>IFERROR(__xludf.DUMMYFUNCTION("""COMPUTED_VALUE"""),0.2549440625)</f>
        <v>0.2549440625</v>
      </c>
      <c r="J900" s="4">
        <f>IFERROR(__xludf.DUMMYFUNCTION("""COMPUTED_VALUE"""),45949.274826243985)</f>
        <v>45949.27483</v>
      </c>
      <c r="K900" s="4" t="str">
        <f>IFERROR(__xludf.DUMMYFUNCTION("""COMPUTED_VALUE"""),"")</f>
        <v/>
      </c>
      <c r="L900" s="4">
        <f>IFERROR(__xludf.DUMMYFUNCTION("""COMPUTED_VALUE"""),45949.28920642177)</f>
        <v>45949.28921</v>
      </c>
      <c r="M900" s="1" t="str">
        <f>IFERROR(__xludf.DUMMYFUNCTION("""COMPUTED_VALUE"""),"RFID")</f>
        <v>RFID</v>
      </c>
      <c r="N900" s="5">
        <f>IFERROR(__xludf.DUMMYFUNCTION("""COMPUTED_VALUE"""),0.00795287037037037)</f>
        <v>0.00795287037</v>
      </c>
      <c r="O900" s="5" t="str">
        <f>IFERROR(__xludf.DUMMYFUNCTION("""COMPUTED_VALUE"""),"")</f>
        <v/>
      </c>
      <c r="P900" s="5" t="str">
        <f>IFERROR(__xludf.DUMMYFUNCTION("""COMPUTED_VALUE"""),"")</f>
        <v/>
      </c>
      <c r="Q900" s="5">
        <f>IFERROR(__xludf.DUMMYFUNCTION("""COMPUTED_VALUE"""),0.0068524722222222225)</f>
        <v>0.006852472222</v>
      </c>
      <c r="R900" s="4">
        <f>IFERROR(__xludf.DUMMYFUNCTION("""COMPUTED_VALUE"""),45949.034262359266)</f>
        <v>45949.03426</v>
      </c>
      <c r="S900" s="1" t="b">
        <f>IFERROR(__xludf.DUMMYFUNCTION("""COMPUTED_VALUE"""),TRUE)</f>
        <v>1</v>
      </c>
      <c r="T900" s="1" t="b">
        <f>IFERROR(__xludf.DUMMYFUNCTION("""COMPUTED_VALUE"""),FALSE)</f>
        <v>0</v>
      </c>
      <c r="U900" s="1" t="str">
        <f>IFERROR(__xludf.DUMMYFUNCTION("""COMPUTED_VALUE"""),"VALID")</f>
        <v>VALID</v>
      </c>
      <c r="V900" s="1">
        <f>IFERROR(__xludf.DUMMYFUNCTION("""COMPUTED_VALUE"""),28.0)</f>
        <v>28</v>
      </c>
      <c r="W900" s="1">
        <f>IFERROR(__xludf.DUMMYFUNCTION("""COMPUTED_VALUE"""),853.0)</f>
        <v>853</v>
      </c>
      <c r="X900" s="1">
        <f>IFERROR(__xludf.DUMMYFUNCTION("""COMPUTED_VALUE"""),189.0)</f>
        <v>189</v>
      </c>
      <c r="Y900" s="2"/>
      <c r="Z900" s="2"/>
    </row>
    <row r="901">
      <c r="A901" s="1">
        <f>IFERROR(__xludf.DUMMYFUNCTION("""COMPUTED_VALUE"""),900.0)</f>
        <v>900</v>
      </c>
      <c r="B901" s="1">
        <f>IFERROR(__xludf.DUMMYFUNCTION("""COMPUTED_VALUE"""),7042.0)</f>
        <v>7042</v>
      </c>
      <c r="C901" s="2" t="str">
        <f>IFERROR(__xludf.DUMMYFUNCTION("""COMPUTED_VALUE"""),"Hanan Azmie")</f>
        <v>Hanan Azmie</v>
      </c>
      <c r="D901" s="2" t="str">
        <f>IFERROR(__xludf.DUMMYFUNCTION("""COMPUTED_VALUE"""),"5KM MASTER F")</f>
        <v>5KM MASTER F</v>
      </c>
      <c r="E901" s="1">
        <f>IFERROR(__xludf.DUMMYFUNCTION("""COMPUTED_VALUE"""),2.0)</f>
        <v>2</v>
      </c>
      <c r="F901" s="1" t="str">
        <f>IFERROR(__xludf.DUMMYFUNCTION("""COMPUTED_VALUE"""),"Female")</f>
        <v>Female</v>
      </c>
      <c r="G901" s="4" t="b">
        <f>IFERROR(__xludf.DUMMYFUNCTION("""COMPUTED_VALUE"""),TRUE)</f>
        <v>1</v>
      </c>
      <c r="H901" s="4" t="b">
        <f>IFERROR(__xludf.DUMMYFUNCTION("""COMPUTED_VALUE"""),FALSE)</f>
        <v>0</v>
      </c>
      <c r="I901" s="4">
        <f>IFERROR(__xludf.DUMMYFUNCTION("""COMPUTED_VALUE"""),0.2549440625)</f>
        <v>0.2549440625</v>
      </c>
      <c r="J901" s="4">
        <f>IFERROR(__xludf.DUMMYFUNCTION("""COMPUTED_VALUE"""),45949.26847118847)</f>
        <v>45949.26847</v>
      </c>
      <c r="K901" s="4" t="str">
        <f>IFERROR(__xludf.DUMMYFUNCTION("""COMPUTED_VALUE"""),"")</f>
        <v/>
      </c>
      <c r="L901" s="4">
        <f>IFERROR(__xludf.DUMMYFUNCTION("""COMPUTED_VALUE"""),45949.28044948612)</f>
        <v>45949.28045</v>
      </c>
      <c r="M901" s="1" t="str">
        <f>IFERROR(__xludf.DUMMYFUNCTION("""COMPUTED_VALUE"""),"RFID")</f>
        <v>RFID</v>
      </c>
      <c r="N901" s="5">
        <f>IFERROR(__xludf.DUMMYFUNCTION("""COMPUTED_VALUE"""),0.005410851851851852)</f>
        <v>0.005410851852</v>
      </c>
      <c r="O901" s="5" t="str">
        <f>IFERROR(__xludf.DUMMYFUNCTION("""COMPUTED_VALUE"""),"")</f>
        <v/>
      </c>
      <c r="P901" s="5" t="str">
        <f>IFERROR(__xludf.DUMMYFUNCTION("""COMPUTED_VALUE"""),"")</f>
        <v/>
      </c>
      <c r="Q901" s="5">
        <f>IFERROR(__xludf.DUMMYFUNCTION("""COMPUTED_VALUE"""),0.005101085648148148)</f>
        <v>0.005101085648</v>
      </c>
      <c r="R901" s="4">
        <f>IFERROR(__xludf.DUMMYFUNCTION("""COMPUTED_VALUE"""),45949.02550542362)</f>
        <v>45949.02551</v>
      </c>
      <c r="S901" s="1" t="b">
        <f>IFERROR(__xludf.DUMMYFUNCTION("""COMPUTED_VALUE"""),TRUE)</f>
        <v>1</v>
      </c>
      <c r="T901" s="1" t="b">
        <f>IFERROR(__xludf.DUMMYFUNCTION("""COMPUTED_VALUE"""),FALSE)</f>
        <v>0</v>
      </c>
      <c r="U901" s="1" t="str">
        <f>IFERROR(__xludf.DUMMYFUNCTION("""COMPUTED_VALUE"""),"VALID")</f>
        <v>VALID</v>
      </c>
      <c r="V901" s="1">
        <f>IFERROR(__xludf.DUMMYFUNCTION("""COMPUTED_VALUE"""),10.0)</f>
        <v>10</v>
      </c>
      <c r="W901" s="1">
        <f>IFERROR(__xludf.DUMMYFUNCTION("""COMPUTED_VALUE"""),313.0)</f>
        <v>313</v>
      </c>
      <c r="X901" s="1">
        <f>IFERROR(__xludf.DUMMYFUNCTION("""COMPUTED_VALUE"""),41.0)</f>
        <v>41</v>
      </c>
      <c r="Y901" s="2"/>
      <c r="Z901" s="2"/>
    </row>
    <row r="902">
      <c r="A902" s="1">
        <f>IFERROR(__xludf.DUMMYFUNCTION("""COMPUTED_VALUE"""),901.0)</f>
        <v>901</v>
      </c>
      <c r="B902" s="1">
        <f>IFERROR(__xludf.DUMMYFUNCTION("""COMPUTED_VALUE"""),7043.0)</f>
        <v>7043</v>
      </c>
      <c r="C902" s="2" t="str">
        <f>IFERROR(__xludf.DUMMYFUNCTION("""COMPUTED_VALUE"""),"Adhis")</f>
        <v>Adhis</v>
      </c>
      <c r="D902" s="2" t="str">
        <f>IFERROR(__xludf.DUMMYFUNCTION("""COMPUTED_VALUE"""),"5KM MASTER F")</f>
        <v>5KM MASTER F</v>
      </c>
      <c r="E902" s="1">
        <f>IFERROR(__xludf.DUMMYFUNCTION("""COMPUTED_VALUE"""),2.0)</f>
        <v>2</v>
      </c>
      <c r="F902" s="1" t="str">
        <f>IFERROR(__xludf.DUMMYFUNCTION("""COMPUTED_VALUE"""),"Female")</f>
        <v>Female</v>
      </c>
      <c r="G902" s="4" t="b">
        <f>IFERROR(__xludf.DUMMYFUNCTION("""COMPUTED_VALUE"""),TRUE)</f>
        <v>1</v>
      </c>
      <c r="H902" s="4" t="b">
        <f>IFERROR(__xludf.DUMMYFUNCTION("""COMPUTED_VALUE"""),TRUE)</f>
        <v>1</v>
      </c>
      <c r="I902" s="4">
        <f>IFERROR(__xludf.DUMMYFUNCTION("""COMPUTED_VALUE"""),0.2549440625)</f>
        <v>0.2549440625</v>
      </c>
      <c r="J902" s="4">
        <f>IFERROR(__xludf.DUMMYFUNCTION("""COMPUTED_VALUE"""),45949.27465277778)</f>
        <v>45949.27465</v>
      </c>
      <c r="K902" s="4" t="str">
        <f>IFERROR(__xludf.DUMMYFUNCTION("""COMPUTED_VALUE"""),"")</f>
        <v/>
      </c>
      <c r="L902" s="4">
        <f>IFERROR(__xludf.DUMMYFUNCTION("""COMPUTED_VALUE"""),45949.28926192344)</f>
        <v>45949.28926</v>
      </c>
      <c r="M902" s="1" t="str">
        <f>IFERROR(__xludf.DUMMYFUNCTION("""COMPUTED_VALUE"""),"RFID")</f>
        <v>RFID</v>
      </c>
      <c r="N902" s="5">
        <f>IFERROR(__xludf.DUMMYFUNCTION("""COMPUTED_VALUE"""),0.007883486111111112)</f>
        <v>0.007883486111</v>
      </c>
      <c r="O902" s="5" t="str">
        <f>IFERROR(__xludf.DUMMYFUNCTION("""COMPUTED_VALUE"""),"")</f>
        <v/>
      </c>
      <c r="P902" s="5" t="str">
        <f>IFERROR(__xludf.DUMMYFUNCTION("""COMPUTED_VALUE"""),"")</f>
        <v/>
      </c>
      <c r="Q902" s="5">
        <f>IFERROR(__xludf.DUMMYFUNCTION("""COMPUTED_VALUE"""),0.00686357175925926)</f>
        <v>0.006863571759</v>
      </c>
      <c r="R902" s="4">
        <f>IFERROR(__xludf.DUMMYFUNCTION("""COMPUTED_VALUE"""),45949.03431786094)</f>
        <v>45949.03432</v>
      </c>
      <c r="S902" s="1" t="b">
        <f>IFERROR(__xludf.DUMMYFUNCTION("""COMPUTED_VALUE"""),TRUE)</f>
        <v>1</v>
      </c>
      <c r="T902" s="1" t="b">
        <f>IFERROR(__xludf.DUMMYFUNCTION("""COMPUTED_VALUE"""),FALSE)</f>
        <v>0</v>
      </c>
      <c r="U902" s="1" t="str">
        <f>IFERROR(__xludf.DUMMYFUNCTION("""COMPUTED_VALUE"""),"VALID")</f>
        <v>VALID</v>
      </c>
      <c r="V902" s="1">
        <f>IFERROR(__xludf.DUMMYFUNCTION("""COMPUTED_VALUE"""),29.0)</f>
        <v>29</v>
      </c>
      <c r="W902" s="1">
        <f>IFERROR(__xludf.DUMMYFUNCTION("""COMPUTED_VALUE"""),858.0)</f>
        <v>858</v>
      </c>
      <c r="X902" s="1">
        <f>IFERROR(__xludf.DUMMYFUNCTION("""COMPUTED_VALUE"""),190.0)</f>
        <v>190</v>
      </c>
      <c r="Y902" s="2"/>
      <c r="Z902" s="2"/>
    </row>
    <row r="903">
      <c r="A903" s="1">
        <f>IFERROR(__xludf.DUMMYFUNCTION("""COMPUTED_VALUE"""),902.0)</f>
        <v>902</v>
      </c>
      <c r="B903" s="1">
        <f>IFERROR(__xludf.DUMMYFUNCTION("""COMPUTED_VALUE"""),7047.0)</f>
        <v>7047</v>
      </c>
      <c r="C903" s="2" t="str">
        <f>IFERROR(__xludf.DUMMYFUNCTION("""COMPUTED_VALUE"""),"Fifitdy")</f>
        <v>Fifitdy</v>
      </c>
      <c r="D903" s="2" t="str">
        <f>IFERROR(__xludf.DUMMYFUNCTION("""COMPUTED_VALUE"""),"5KM MASTER F")</f>
        <v>5KM MASTER F</v>
      </c>
      <c r="E903" s="1">
        <f>IFERROR(__xludf.DUMMYFUNCTION("""COMPUTED_VALUE"""),2.0)</f>
        <v>2</v>
      </c>
      <c r="F903" s="1" t="str">
        <f>IFERROR(__xludf.DUMMYFUNCTION("""COMPUTED_VALUE"""),"Female")</f>
        <v>Female</v>
      </c>
      <c r="G903" s="4" t="b">
        <f>IFERROR(__xludf.DUMMYFUNCTION("""COMPUTED_VALUE"""),TRUE)</f>
        <v>1</v>
      </c>
      <c r="H903" s="4" t="b">
        <f>IFERROR(__xludf.DUMMYFUNCTION("""COMPUTED_VALUE"""),FALSE)</f>
        <v>0</v>
      </c>
      <c r="I903" s="4">
        <f>IFERROR(__xludf.DUMMYFUNCTION("""COMPUTED_VALUE"""),0.2549440625)</f>
        <v>0.2549440625</v>
      </c>
      <c r="J903" s="4">
        <f>IFERROR(__xludf.DUMMYFUNCTION("""COMPUTED_VALUE"""),45949.266544563136)</f>
        <v>45949.26654</v>
      </c>
      <c r="K903" s="4" t="str">
        <f>IFERROR(__xludf.DUMMYFUNCTION("""COMPUTED_VALUE"""),"")</f>
        <v/>
      </c>
      <c r="L903" s="4">
        <f>IFERROR(__xludf.DUMMYFUNCTION("""COMPUTED_VALUE"""),45949.27586962365)</f>
        <v>45949.27587</v>
      </c>
      <c r="M903" s="1" t="str">
        <f>IFERROR(__xludf.DUMMYFUNCTION("""COMPUTED_VALUE"""),"RFID")</f>
        <v>RFID</v>
      </c>
      <c r="N903" s="5">
        <f>IFERROR(__xludf.DUMMYFUNCTION("""COMPUTED_VALUE"""),0.004640199074074074)</f>
        <v>0.004640199074</v>
      </c>
      <c r="O903" s="5" t="str">
        <f>IFERROR(__xludf.DUMMYFUNCTION("""COMPUTED_VALUE"""),"")</f>
        <v/>
      </c>
      <c r="P903" s="5" t="str">
        <f>IFERROR(__xludf.DUMMYFUNCTION("""COMPUTED_VALUE"""),"")</f>
        <v/>
      </c>
      <c r="Q903" s="5">
        <f>IFERROR(__xludf.DUMMYFUNCTION("""COMPUTED_VALUE"""),0.004185111111111111)</f>
        <v>0.004185111111</v>
      </c>
      <c r="R903" s="4">
        <f>IFERROR(__xludf.DUMMYFUNCTION("""COMPUTED_VALUE"""),45949.02092556115)</f>
        <v>45949.02093</v>
      </c>
      <c r="S903" s="1" t="b">
        <f>IFERROR(__xludf.DUMMYFUNCTION("""COMPUTED_VALUE"""),TRUE)</f>
        <v>1</v>
      </c>
      <c r="T903" s="1" t="b">
        <f>IFERROR(__xludf.DUMMYFUNCTION("""COMPUTED_VALUE"""),FALSE)</f>
        <v>0</v>
      </c>
      <c r="U903" s="1" t="str">
        <f>IFERROR(__xludf.DUMMYFUNCTION("""COMPUTED_VALUE"""),"VALID")</f>
        <v>VALID</v>
      </c>
      <c r="V903" s="1">
        <f>IFERROR(__xludf.DUMMYFUNCTION("""COMPUTED_VALUE"""),5.0)</f>
        <v>5</v>
      </c>
      <c r="W903" s="1">
        <f>IFERROR(__xludf.DUMMYFUNCTION("""COMPUTED_VALUE"""),139.0)</f>
        <v>139</v>
      </c>
      <c r="X903" s="1">
        <f>IFERROR(__xludf.DUMMYFUNCTION("""COMPUTED_VALUE"""),14.0)</f>
        <v>14</v>
      </c>
      <c r="Y903" s="2"/>
      <c r="Z903" s="2"/>
    </row>
    <row r="904">
      <c r="A904" s="1">
        <f>IFERROR(__xludf.DUMMYFUNCTION("""COMPUTED_VALUE"""),903.0)</f>
        <v>903</v>
      </c>
      <c r="B904" s="1">
        <f>IFERROR(__xludf.DUMMYFUNCTION("""COMPUTED_VALUE"""),7050.0)</f>
        <v>7050</v>
      </c>
      <c r="C904" s="2" t="str">
        <f>IFERROR(__xludf.DUMMYFUNCTION("""COMPUTED_VALUE"""),"Fifit")</f>
        <v>Fifit</v>
      </c>
      <c r="D904" s="2" t="str">
        <f>IFERROR(__xludf.DUMMYFUNCTION("""COMPUTED_VALUE"""),"5KM MASTER F")</f>
        <v>5KM MASTER F</v>
      </c>
      <c r="E904" s="1">
        <f>IFERROR(__xludf.DUMMYFUNCTION("""COMPUTED_VALUE"""),2.0)</f>
        <v>2</v>
      </c>
      <c r="F904" s="1" t="str">
        <f>IFERROR(__xludf.DUMMYFUNCTION("""COMPUTED_VALUE"""),"Female")</f>
        <v>Female</v>
      </c>
      <c r="G904" s="4" t="b">
        <f>IFERROR(__xludf.DUMMYFUNCTION("""COMPUTED_VALUE"""),TRUE)</f>
        <v>1</v>
      </c>
      <c r="H904" s="4" t="b">
        <f>IFERROR(__xludf.DUMMYFUNCTION("""COMPUTED_VALUE"""),TRUE)</f>
        <v>1</v>
      </c>
      <c r="I904" s="4">
        <f>IFERROR(__xludf.DUMMYFUNCTION("""COMPUTED_VALUE"""),0.2549440625)</f>
        <v>0.2549440625</v>
      </c>
      <c r="J904" s="4">
        <f>IFERROR(__xludf.DUMMYFUNCTION("""COMPUTED_VALUE"""),45949.265422518285)</f>
        <v>45949.26542</v>
      </c>
      <c r="K904" s="4" t="str">
        <f>IFERROR(__xludf.DUMMYFUNCTION("""COMPUTED_VALUE"""),"")</f>
        <v/>
      </c>
      <c r="L904" s="4">
        <f>IFERROR(__xludf.DUMMYFUNCTION("""COMPUTED_VALUE"""),45949.273838367466)</f>
        <v>45949.27384</v>
      </c>
      <c r="M904" s="1" t="str">
        <f>IFERROR(__xludf.DUMMYFUNCTION("""COMPUTED_VALUE"""),"RFID")</f>
        <v>RFID</v>
      </c>
      <c r="N904" s="5">
        <f>IFERROR(__xludf.DUMMYFUNCTION("""COMPUTED_VALUE"""),0.004191384259259259)</f>
        <v>0.004191384259</v>
      </c>
      <c r="O904" s="5" t="str">
        <f>IFERROR(__xludf.DUMMYFUNCTION("""COMPUTED_VALUE"""),"")</f>
        <v/>
      </c>
      <c r="P904" s="5" t="str">
        <f>IFERROR(__xludf.DUMMYFUNCTION("""COMPUTED_VALUE"""),"")</f>
        <v/>
      </c>
      <c r="Q904" s="5">
        <f>IFERROR(__xludf.DUMMYFUNCTION("""COMPUTED_VALUE"""),0.0037788611111111113)</f>
        <v>0.003778861111</v>
      </c>
      <c r="R904" s="4">
        <f>IFERROR(__xludf.DUMMYFUNCTION("""COMPUTED_VALUE"""),45949.018894304965)</f>
        <v>45949.01889</v>
      </c>
      <c r="S904" s="1" t="b">
        <f>IFERROR(__xludf.DUMMYFUNCTION("""COMPUTED_VALUE"""),TRUE)</f>
        <v>1</v>
      </c>
      <c r="T904" s="1" t="b">
        <f>IFERROR(__xludf.DUMMYFUNCTION("""COMPUTED_VALUE"""),FALSE)</f>
        <v>0</v>
      </c>
      <c r="U904" s="1" t="str">
        <f>IFERROR(__xludf.DUMMYFUNCTION("""COMPUTED_VALUE"""),"VALID")</f>
        <v>VALID</v>
      </c>
      <c r="V904" s="1">
        <f>IFERROR(__xludf.DUMMYFUNCTION("""COMPUTED_VALUE"""),2.0)</f>
        <v>2</v>
      </c>
      <c r="W904" s="1">
        <f>IFERROR(__xludf.DUMMYFUNCTION("""COMPUTED_VALUE"""),82.0)</f>
        <v>82</v>
      </c>
      <c r="X904" s="1">
        <f>IFERROR(__xludf.DUMMYFUNCTION("""COMPUTED_VALUE"""),8.0)</f>
        <v>8</v>
      </c>
      <c r="Y904" s="2"/>
      <c r="Z904" s="2"/>
    </row>
    <row r="905">
      <c r="A905" s="1">
        <f>IFERROR(__xludf.DUMMYFUNCTION("""COMPUTED_VALUE"""),904.0)</f>
        <v>904</v>
      </c>
      <c r="B905" s="1">
        <f>IFERROR(__xludf.DUMMYFUNCTION("""COMPUTED_VALUE"""),7057.0)</f>
        <v>7057</v>
      </c>
      <c r="C905" s="2" t="str">
        <f>IFERROR(__xludf.DUMMYFUNCTION("""COMPUTED_VALUE"""),"RETNO")</f>
        <v>RETNO</v>
      </c>
      <c r="D905" s="2" t="str">
        <f>IFERROR(__xludf.DUMMYFUNCTION("""COMPUTED_VALUE"""),"5KM MASTER F")</f>
        <v>5KM MASTER F</v>
      </c>
      <c r="E905" s="1">
        <f>IFERROR(__xludf.DUMMYFUNCTION("""COMPUTED_VALUE"""),2.0)</f>
        <v>2</v>
      </c>
      <c r="F905" s="1" t="str">
        <f>IFERROR(__xludf.DUMMYFUNCTION("""COMPUTED_VALUE"""),"Female")</f>
        <v>Female</v>
      </c>
      <c r="G905" s="4" t="b">
        <f>IFERROR(__xludf.DUMMYFUNCTION("""COMPUTED_VALUE"""),TRUE)</f>
        <v>1</v>
      </c>
      <c r="H905" s="4" t="b">
        <f>IFERROR(__xludf.DUMMYFUNCTION("""COMPUTED_VALUE"""),FALSE)</f>
        <v>0</v>
      </c>
      <c r="I905" s="4">
        <f>IFERROR(__xludf.DUMMYFUNCTION("""COMPUTED_VALUE"""),0.2549440625)</f>
        <v>0.2549440625</v>
      </c>
      <c r="J905" s="4">
        <f>IFERROR(__xludf.DUMMYFUNCTION("""COMPUTED_VALUE"""),45949.273203782854)</f>
        <v>45949.2732</v>
      </c>
      <c r="K905" s="4" t="str">
        <f>IFERROR(__xludf.DUMMYFUNCTION("""COMPUTED_VALUE"""),"")</f>
        <v/>
      </c>
      <c r="L905" s="4">
        <f>IFERROR(__xludf.DUMMYFUNCTION("""COMPUTED_VALUE"""),45949.287793174)</f>
        <v>45949.28779</v>
      </c>
      <c r="M905" s="1" t="str">
        <f>IFERROR(__xludf.DUMMYFUNCTION("""COMPUTED_VALUE"""),"RFID")</f>
        <v>RFID</v>
      </c>
      <c r="N905" s="5">
        <f>IFERROR(__xludf.DUMMYFUNCTION("""COMPUTED_VALUE"""),0.007303888888888889)</f>
        <v>0.007303888889</v>
      </c>
      <c r="O905" s="5" t="str">
        <f>IFERROR(__xludf.DUMMYFUNCTION("""COMPUTED_VALUE"""),"")</f>
        <v/>
      </c>
      <c r="P905" s="5" t="str">
        <f>IFERROR(__xludf.DUMMYFUNCTION("""COMPUTED_VALUE"""),"")</f>
        <v/>
      </c>
      <c r="Q905" s="5">
        <f>IFERROR(__xludf.DUMMYFUNCTION("""COMPUTED_VALUE"""),0.006569821759259259)</f>
        <v>0.006569821759</v>
      </c>
      <c r="R905" s="4">
        <f>IFERROR(__xludf.DUMMYFUNCTION("""COMPUTED_VALUE"""),45949.0328491115)</f>
        <v>45949.03285</v>
      </c>
      <c r="S905" s="1" t="b">
        <f>IFERROR(__xludf.DUMMYFUNCTION("""COMPUTED_VALUE"""),TRUE)</f>
        <v>1</v>
      </c>
      <c r="T905" s="1" t="b">
        <f>IFERROR(__xludf.DUMMYFUNCTION("""COMPUTED_VALUE"""),FALSE)</f>
        <v>0</v>
      </c>
      <c r="U905" s="1" t="str">
        <f>IFERROR(__xludf.DUMMYFUNCTION("""COMPUTED_VALUE"""),"VALID")</f>
        <v>VALID</v>
      </c>
      <c r="V905" s="1">
        <f>IFERROR(__xludf.DUMMYFUNCTION("""COMPUTED_VALUE"""),25.0)</f>
        <v>25</v>
      </c>
      <c r="W905" s="1">
        <f>IFERROR(__xludf.DUMMYFUNCTION("""COMPUTED_VALUE"""),762.0)</f>
        <v>762</v>
      </c>
      <c r="X905" s="1">
        <f>IFERROR(__xludf.DUMMYFUNCTION("""COMPUTED_VALUE"""),158.0)</f>
        <v>158</v>
      </c>
      <c r="Y905" s="2"/>
      <c r="Z905" s="2"/>
    </row>
    <row r="906">
      <c r="A906" s="1">
        <f>IFERROR(__xludf.DUMMYFUNCTION("""COMPUTED_VALUE"""),905.0)</f>
        <v>905</v>
      </c>
      <c r="B906" s="1">
        <f>IFERROR(__xludf.DUMMYFUNCTION("""COMPUTED_VALUE"""),7061.0)</f>
        <v>7061</v>
      </c>
      <c r="C906" s="2" t="str">
        <f>IFERROR(__xludf.DUMMYFUNCTION("""COMPUTED_VALUE"""),"Yunita Sari")</f>
        <v>Yunita Sari</v>
      </c>
      <c r="D906" s="2" t="str">
        <f>IFERROR(__xludf.DUMMYFUNCTION("""COMPUTED_VALUE"""),"5KM MASTER F")</f>
        <v>5KM MASTER F</v>
      </c>
      <c r="E906" s="1">
        <f>IFERROR(__xludf.DUMMYFUNCTION("""COMPUTED_VALUE"""),2.0)</f>
        <v>2</v>
      </c>
      <c r="F906" s="1" t="str">
        <f>IFERROR(__xludf.DUMMYFUNCTION("""COMPUTED_VALUE"""),"Female")</f>
        <v>Female</v>
      </c>
      <c r="G906" s="4" t="b">
        <f>IFERROR(__xludf.DUMMYFUNCTION("""COMPUTED_VALUE"""),TRUE)</f>
        <v>1</v>
      </c>
      <c r="H906" s="4" t="b">
        <f>IFERROR(__xludf.DUMMYFUNCTION("""COMPUTED_VALUE"""),TRUE)</f>
        <v>1</v>
      </c>
      <c r="I906" s="4">
        <f>IFERROR(__xludf.DUMMYFUNCTION("""COMPUTED_VALUE"""),0.2549440625)</f>
        <v>0.2549440625</v>
      </c>
      <c r="J906" s="4">
        <f>IFERROR(__xludf.DUMMYFUNCTION("""COMPUTED_VALUE"""),45949.28078021243)</f>
        <v>45949.28078</v>
      </c>
      <c r="K906" s="4" t="str">
        <f>IFERROR(__xludf.DUMMYFUNCTION("""COMPUTED_VALUE"""),"")</f>
        <v/>
      </c>
      <c r="L906" s="4">
        <f>IFERROR(__xludf.DUMMYFUNCTION("""COMPUTED_VALUE"""),45949.296987668116)</f>
        <v>45949.29699</v>
      </c>
      <c r="M906" s="1" t="str">
        <f>IFERROR(__xludf.DUMMYFUNCTION("""COMPUTED_VALUE"""),"RFID")</f>
        <v>RFID</v>
      </c>
      <c r="N906" s="5">
        <f>IFERROR(__xludf.DUMMYFUNCTION("""COMPUTED_VALUE"""),0.010334458333333334)</f>
        <v>0.01033445833</v>
      </c>
      <c r="O906" s="5" t="str">
        <f>IFERROR(__xludf.DUMMYFUNCTION("""COMPUTED_VALUE"""),"")</f>
        <v/>
      </c>
      <c r="P906" s="5" t="str">
        <f>IFERROR(__xludf.DUMMYFUNCTION("""COMPUTED_VALUE"""),"")</f>
        <v/>
      </c>
      <c r="Q906" s="5">
        <f>IFERROR(__xludf.DUMMYFUNCTION("""COMPUTED_VALUE"""),0.008408722222222224)</f>
        <v>0.008408722222</v>
      </c>
      <c r="R906" s="4">
        <f>IFERROR(__xludf.DUMMYFUNCTION("""COMPUTED_VALUE"""),45949.042043605616)</f>
        <v>45949.04204</v>
      </c>
      <c r="S906" s="1" t="b">
        <f>IFERROR(__xludf.DUMMYFUNCTION("""COMPUTED_VALUE"""),TRUE)</f>
        <v>1</v>
      </c>
      <c r="T906" s="1" t="b">
        <f>IFERROR(__xludf.DUMMYFUNCTION("""COMPUTED_VALUE"""),FALSE)</f>
        <v>0</v>
      </c>
      <c r="U906" s="1" t="str">
        <f>IFERROR(__xludf.DUMMYFUNCTION("""COMPUTED_VALUE"""),"VALID")</f>
        <v>VALID</v>
      </c>
      <c r="V906" s="1">
        <f>IFERROR(__xludf.DUMMYFUNCTION("""COMPUTED_VALUE"""),53.0)</f>
        <v>53</v>
      </c>
      <c r="W906" s="1">
        <f>IFERROR(__xludf.DUMMYFUNCTION("""COMPUTED_VALUE"""),1332.0)</f>
        <v>1332</v>
      </c>
      <c r="X906" s="1">
        <f>IFERROR(__xludf.DUMMYFUNCTION("""COMPUTED_VALUE"""),435.0)</f>
        <v>435</v>
      </c>
      <c r="Y906" s="2"/>
      <c r="Z906" s="2"/>
    </row>
    <row r="907">
      <c r="A907" s="1">
        <f>IFERROR(__xludf.DUMMYFUNCTION("""COMPUTED_VALUE"""),906.0)</f>
        <v>906</v>
      </c>
      <c r="B907" s="1">
        <f>IFERROR(__xludf.DUMMYFUNCTION("""COMPUTED_VALUE"""),7063.0)</f>
        <v>7063</v>
      </c>
      <c r="C907" s="2" t="str">
        <f>IFERROR(__xludf.DUMMYFUNCTION("""COMPUTED_VALUE"""),"Fatma Dee")</f>
        <v>Fatma Dee</v>
      </c>
      <c r="D907" s="2" t="str">
        <f>IFERROR(__xludf.DUMMYFUNCTION("""COMPUTED_VALUE"""),"5KM MASTER F")</f>
        <v>5KM MASTER F</v>
      </c>
      <c r="E907" s="1">
        <f>IFERROR(__xludf.DUMMYFUNCTION("""COMPUTED_VALUE"""),2.0)</f>
        <v>2</v>
      </c>
      <c r="F907" s="1" t="str">
        <f>IFERROR(__xludf.DUMMYFUNCTION("""COMPUTED_VALUE"""),"Female")</f>
        <v>Female</v>
      </c>
      <c r="G907" s="4" t="b">
        <f>IFERROR(__xludf.DUMMYFUNCTION("""COMPUTED_VALUE"""),TRUE)</f>
        <v>1</v>
      </c>
      <c r="H907" s="4" t="b">
        <f>IFERROR(__xludf.DUMMYFUNCTION("""COMPUTED_VALUE"""),FALSE)</f>
        <v>0</v>
      </c>
      <c r="I907" s="4">
        <f>IFERROR(__xludf.DUMMYFUNCTION("""COMPUTED_VALUE"""),0.2549440625)</f>
        <v>0.2549440625</v>
      </c>
      <c r="J907" s="4">
        <f>IFERROR(__xludf.DUMMYFUNCTION("""COMPUTED_VALUE"""),45949.2696308583)</f>
        <v>45949.26963</v>
      </c>
      <c r="K907" s="4" t="str">
        <f>IFERROR(__xludf.DUMMYFUNCTION("""COMPUTED_VALUE"""),"")</f>
        <v/>
      </c>
      <c r="L907" s="4">
        <f>IFERROR(__xludf.DUMMYFUNCTION("""COMPUTED_VALUE"""),45949.28155366039)</f>
        <v>45949.28155</v>
      </c>
      <c r="M907" s="1" t="str">
        <f>IFERROR(__xludf.DUMMYFUNCTION("""COMPUTED_VALUE"""),"RFID")</f>
        <v>RFID</v>
      </c>
      <c r="N907" s="5">
        <f>IFERROR(__xludf.DUMMYFUNCTION("""COMPUTED_VALUE"""),0.005874717592592593)</f>
        <v>0.005874717593</v>
      </c>
      <c r="O907" s="5" t="str">
        <f>IFERROR(__xludf.DUMMYFUNCTION("""COMPUTED_VALUE"""),"")</f>
        <v/>
      </c>
      <c r="P907" s="5" t="str">
        <f>IFERROR(__xludf.DUMMYFUNCTION("""COMPUTED_VALUE"""),"")</f>
        <v/>
      </c>
      <c r="Q907" s="5">
        <f>IFERROR(__xludf.DUMMYFUNCTION("""COMPUTED_VALUE"""),0.005321918981481481)</f>
        <v>0.005321918981</v>
      </c>
      <c r="R907" s="4">
        <f>IFERROR(__xludf.DUMMYFUNCTION("""COMPUTED_VALUE"""),45949.02660959789)</f>
        <v>45949.02661</v>
      </c>
      <c r="S907" s="1" t="b">
        <f>IFERROR(__xludf.DUMMYFUNCTION("""COMPUTED_VALUE"""),TRUE)</f>
        <v>1</v>
      </c>
      <c r="T907" s="1" t="b">
        <f>IFERROR(__xludf.DUMMYFUNCTION("""COMPUTED_VALUE"""),FALSE)</f>
        <v>0</v>
      </c>
      <c r="U907" s="1" t="str">
        <f>IFERROR(__xludf.DUMMYFUNCTION("""COMPUTED_VALUE"""),"VALID")</f>
        <v>VALID</v>
      </c>
      <c r="V907" s="1">
        <f>IFERROR(__xludf.DUMMYFUNCTION("""COMPUTED_VALUE"""),13.0)</f>
        <v>13</v>
      </c>
      <c r="W907" s="1">
        <f>IFERROR(__xludf.DUMMYFUNCTION("""COMPUTED_VALUE"""),370.0)</f>
        <v>370</v>
      </c>
      <c r="X907" s="1">
        <f>IFERROR(__xludf.DUMMYFUNCTION("""COMPUTED_VALUE"""),53.0)</f>
        <v>53</v>
      </c>
      <c r="Y907" s="2"/>
      <c r="Z907" s="2"/>
    </row>
    <row r="908">
      <c r="A908" s="1">
        <f>IFERROR(__xludf.DUMMYFUNCTION("""COMPUTED_VALUE"""),907.0)</f>
        <v>907</v>
      </c>
      <c r="B908" s="1">
        <f>IFERROR(__xludf.DUMMYFUNCTION("""COMPUTED_VALUE"""),7065.0)</f>
        <v>7065</v>
      </c>
      <c r="C908" s="2" t="str">
        <f>IFERROR(__xludf.DUMMYFUNCTION("""COMPUTED_VALUE"""),"Saniah")</f>
        <v>Saniah</v>
      </c>
      <c r="D908" s="2" t="str">
        <f>IFERROR(__xludf.DUMMYFUNCTION("""COMPUTED_VALUE"""),"5KM MASTER F")</f>
        <v>5KM MASTER F</v>
      </c>
      <c r="E908" s="1">
        <f>IFERROR(__xludf.DUMMYFUNCTION("""COMPUTED_VALUE"""),2.0)</f>
        <v>2</v>
      </c>
      <c r="F908" s="1" t="str">
        <f>IFERROR(__xludf.DUMMYFUNCTION("""COMPUTED_VALUE"""),"Female")</f>
        <v>Female</v>
      </c>
      <c r="G908" s="4" t="b">
        <f>IFERROR(__xludf.DUMMYFUNCTION("""COMPUTED_VALUE"""),TRUE)</f>
        <v>1</v>
      </c>
      <c r="H908" s="4" t="b">
        <f>IFERROR(__xludf.DUMMYFUNCTION("""COMPUTED_VALUE"""),TRUE)</f>
        <v>1</v>
      </c>
      <c r="I908" s="4">
        <f>IFERROR(__xludf.DUMMYFUNCTION("""COMPUTED_VALUE"""),0.2549440625)</f>
        <v>0.2549440625</v>
      </c>
      <c r="J908" s="4">
        <f>IFERROR(__xludf.DUMMYFUNCTION("""COMPUTED_VALUE"""),45949.28136002245)</f>
        <v>45949.28136</v>
      </c>
      <c r="K908" s="4" t="str">
        <f>IFERROR(__xludf.DUMMYFUNCTION("""COMPUTED_VALUE"""),"")</f>
        <v/>
      </c>
      <c r="L908" s="4">
        <f>IFERROR(__xludf.DUMMYFUNCTION("""COMPUTED_VALUE"""),45949.29923767088)</f>
        <v>45949.29924</v>
      </c>
      <c r="M908" s="1" t="str">
        <f>IFERROR(__xludf.DUMMYFUNCTION("""COMPUTED_VALUE"""),"RFID")</f>
        <v>RFID</v>
      </c>
      <c r="N908" s="5">
        <f>IFERROR(__xludf.DUMMYFUNCTION("""COMPUTED_VALUE"""),0.01056638425925926)</f>
        <v>0.01056638426</v>
      </c>
      <c r="O908" s="5" t="str">
        <f>IFERROR(__xludf.DUMMYFUNCTION("""COMPUTED_VALUE"""),"")</f>
        <v/>
      </c>
      <c r="P908" s="5" t="str">
        <f>IFERROR(__xludf.DUMMYFUNCTION("""COMPUTED_VALUE"""),"")</f>
        <v/>
      </c>
      <c r="Q908" s="5">
        <f>IFERROR(__xludf.DUMMYFUNCTION("""COMPUTED_VALUE"""),0.008858722222222223)</f>
        <v>0.008858722222</v>
      </c>
      <c r="R908" s="4">
        <f>IFERROR(__xludf.DUMMYFUNCTION("""COMPUTED_VALUE"""),45949.04429360838)</f>
        <v>45949.04429</v>
      </c>
      <c r="S908" s="1" t="b">
        <f>IFERROR(__xludf.DUMMYFUNCTION("""COMPUTED_VALUE"""),TRUE)</f>
        <v>1</v>
      </c>
      <c r="T908" s="1" t="b">
        <f>IFERROR(__xludf.DUMMYFUNCTION("""COMPUTED_VALUE"""),FALSE)</f>
        <v>0</v>
      </c>
      <c r="U908" s="1" t="str">
        <f>IFERROR(__xludf.DUMMYFUNCTION("""COMPUTED_VALUE"""),"VALID")</f>
        <v>VALID</v>
      </c>
      <c r="V908" s="1">
        <f>IFERROR(__xludf.DUMMYFUNCTION("""COMPUTED_VALUE"""),55.0)</f>
        <v>55</v>
      </c>
      <c r="W908" s="1">
        <f>IFERROR(__xludf.DUMMYFUNCTION("""COMPUTED_VALUE"""),1418.0)</f>
        <v>1418</v>
      </c>
      <c r="X908" s="1">
        <f>IFERROR(__xludf.DUMMYFUNCTION("""COMPUTED_VALUE"""),490.0)</f>
        <v>490</v>
      </c>
      <c r="Y908" s="2"/>
      <c r="Z908" s="2"/>
    </row>
    <row r="909">
      <c r="A909" s="1">
        <f>IFERROR(__xludf.DUMMYFUNCTION("""COMPUTED_VALUE"""),908.0)</f>
        <v>908</v>
      </c>
      <c r="B909" s="1">
        <f>IFERROR(__xludf.DUMMYFUNCTION("""COMPUTED_VALUE"""),7066.0)</f>
        <v>7066</v>
      </c>
      <c r="C909" s="2" t="str">
        <f>IFERROR(__xludf.DUMMYFUNCTION("""COMPUTED_VALUE"""),"EMY ASTUTI")</f>
        <v>EMY ASTUTI</v>
      </c>
      <c r="D909" s="2" t="str">
        <f>IFERROR(__xludf.DUMMYFUNCTION("""COMPUTED_VALUE"""),"5KM MASTER F")</f>
        <v>5KM MASTER F</v>
      </c>
      <c r="E909" s="1">
        <f>IFERROR(__xludf.DUMMYFUNCTION("""COMPUTED_VALUE"""),2.0)</f>
        <v>2</v>
      </c>
      <c r="F909" s="1" t="str">
        <f>IFERROR(__xludf.DUMMYFUNCTION("""COMPUTED_VALUE"""),"Female")</f>
        <v>Female</v>
      </c>
      <c r="G909" s="4" t="b">
        <f>IFERROR(__xludf.DUMMYFUNCTION("""COMPUTED_VALUE"""),TRUE)</f>
        <v>1</v>
      </c>
      <c r="H909" s="4" t="b">
        <f>IFERROR(__xludf.DUMMYFUNCTION("""COMPUTED_VALUE"""),TRUE)</f>
        <v>1</v>
      </c>
      <c r="I909" s="4">
        <f>IFERROR(__xludf.DUMMYFUNCTION("""COMPUTED_VALUE"""),0.2549440625)</f>
        <v>0.2549440625</v>
      </c>
      <c r="J909" s="4">
        <f>IFERROR(__xludf.DUMMYFUNCTION("""COMPUTED_VALUE"""),45949.274748905016)</f>
        <v>45949.27475</v>
      </c>
      <c r="K909" s="4" t="str">
        <f>IFERROR(__xludf.DUMMYFUNCTION("""COMPUTED_VALUE"""),"")</f>
        <v/>
      </c>
      <c r="L909" s="4">
        <f>IFERROR(__xludf.DUMMYFUNCTION("""COMPUTED_VALUE"""),45949.2907446225)</f>
        <v>45949.29074</v>
      </c>
      <c r="M909" s="1" t="str">
        <f>IFERROR(__xludf.DUMMYFUNCTION("""COMPUTED_VALUE"""),"RFID")</f>
        <v>RFID</v>
      </c>
      <c r="N909" s="5">
        <f>IFERROR(__xludf.DUMMYFUNCTION("""COMPUTED_VALUE"""),0.007921935185185185)</f>
        <v>0.007921935185</v>
      </c>
      <c r="O909" s="5" t="str">
        <f>IFERROR(__xludf.DUMMYFUNCTION("""COMPUTED_VALUE"""),"")</f>
        <v/>
      </c>
      <c r="P909" s="5" t="str">
        <f>IFERROR(__xludf.DUMMYFUNCTION("""COMPUTED_VALUE"""),"")</f>
        <v/>
      </c>
      <c r="Q909" s="5">
        <f>IFERROR(__xludf.DUMMYFUNCTION("""COMPUTED_VALUE"""),0.007160111111111112)</f>
        <v>0.007160111111</v>
      </c>
      <c r="R909" s="4">
        <f>IFERROR(__xludf.DUMMYFUNCTION("""COMPUTED_VALUE"""),45949.03580056)</f>
        <v>45949.0358</v>
      </c>
      <c r="S909" s="1" t="b">
        <f>IFERROR(__xludf.DUMMYFUNCTION("""COMPUTED_VALUE"""),TRUE)</f>
        <v>1</v>
      </c>
      <c r="T909" s="1" t="b">
        <f>IFERROR(__xludf.DUMMYFUNCTION("""COMPUTED_VALUE"""),FALSE)</f>
        <v>0</v>
      </c>
      <c r="U909" s="1" t="str">
        <f>IFERROR(__xludf.DUMMYFUNCTION("""COMPUTED_VALUE"""),"VALID")</f>
        <v>VALID</v>
      </c>
      <c r="V909" s="1">
        <f>IFERROR(__xludf.DUMMYFUNCTION("""COMPUTED_VALUE"""),37.0)</f>
        <v>37</v>
      </c>
      <c r="W909" s="1">
        <f>IFERROR(__xludf.DUMMYFUNCTION("""COMPUTED_VALUE"""),946.0)</f>
        <v>946</v>
      </c>
      <c r="X909" s="1">
        <f>IFERROR(__xludf.DUMMYFUNCTION("""COMPUTED_VALUE"""),225.0)</f>
        <v>225</v>
      </c>
      <c r="Y909" s="2"/>
      <c r="Z909" s="2"/>
    </row>
    <row r="910">
      <c r="A910" s="1">
        <f>IFERROR(__xludf.DUMMYFUNCTION("""COMPUTED_VALUE"""),909.0)</f>
        <v>909</v>
      </c>
      <c r="B910" s="1">
        <f>IFERROR(__xludf.DUMMYFUNCTION("""COMPUTED_VALUE"""),7067.0)</f>
        <v>7067</v>
      </c>
      <c r="C910" s="2" t="str">
        <f>IFERROR(__xludf.DUMMYFUNCTION("""COMPUTED_VALUE"""),"Fanty Yolanda")</f>
        <v>Fanty Yolanda</v>
      </c>
      <c r="D910" s="2" t="str">
        <f>IFERROR(__xludf.DUMMYFUNCTION("""COMPUTED_VALUE"""),"5KM MASTER F")</f>
        <v>5KM MASTER F</v>
      </c>
      <c r="E910" s="1">
        <f>IFERROR(__xludf.DUMMYFUNCTION("""COMPUTED_VALUE"""),2.0)</f>
        <v>2</v>
      </c>
      <c r="F910" s="1" t="str">
        <f>IFERROR(__xludf.DUMMYFUNCTION("""COMPUTED_VALUE"""),"Female")</f>
        <v>Female</v>
      </c>
      <c r="G910" s="4" t="b">
        <f>IFERROR(__xludf.DUMMYFUNCTION("""COMPUTED_VALUE"""),TRUE)</f>
        <v>1</v>
      </c>
      <c r="H910" s="4" t="b">
        <f>IFERROR(__xludf.DUMMYFUNCTION("""COMPUTED_VALUE"""),TRUE)</f>
        <v>1</v>
      </c>
      <c r="I910" s="4">
        <f>IFERROR(__xludf.DUMMYFUNCTION("""COMPUTED_VALUE"""),0.2549440625)</f>
        <v>0.2549440625</v>
      </c>
      <c r="J910" s="4">
        <f>IFERROR(__xludf.DUMMYFUNCTION("""COMPUTED_VALUE"""),45949.28083923979)</f>
        <v>45949.28084</v>
      </c>
      <c r="K910" s="4" t="str">
        <f>IFERROR(__xludf.DUMMYFUNCTION("""COMPUTED_VALUE"""),"")</f>
        <v/>
      </c>
      <c r="L910" s="4">
        <f>IFERROR(__xludf.DUMMYFUNCTION("""COMPUTED_VALUE"""),45949.296984197965)</f>
        <v>45949.29698</v>
      </c>
      <c r="M910" s="1" t="str">
        <f>IFERROR(__xludf.DUMMYFUNCTION("""COMPUTED_VALUE"""),"RFID")</f>
        <v>RFID</v>
      </c>
      <c r="N910" s="5">
        <f>IFERROR(__xludf.DUMMYFUNCTION("""COMPUTED_VALUE"""),0.010358069444444444)</f>
        <v>0.01035806944</v>
      </c>
      <c r="O910" s="5" t="str">
        <f>IFERROR(__xludf.DUMMYFUNCTION("""COMPUTED_VALUE"""),"")</f>
        <v/>
      </c>
      <c r="P910" s="5" t="str">
        <f>IFERROR(__xludf.DUMMYFUNCTION("""COMPUTED_VALUE"""),"")</f>
        <v/>
      </c>
      <c r="Q910" s="5">
        <f>IFERROR(__xludf.DUMMYFUNCTION("""COMPUTED_VALUE"""),0.008408027777777778)</f>
        <v>0.008408027778</v>
      </c>
      <c r="R910" s="4">
        <f>IFERROR(__xludf.DUMMYFUNCTION("""COMPUTED_VALUE"""),45949.042040135464)</f>
        <v>45949.04204</v>
      </c>
      <c r="S910" s="1" t="b">
        <f>IFERROR(__xludf.DUMMYFUNCTION("""COMPUTED_VALUE"""),TRUE)</f>
        <v>1</v>
      </c>
      <c r="T910" s="1" t="b">
        <f>IFERROR(__xludf.DUMMYFUNCTION("""COMPUTED_VALUE"""),FALSE)</f>
        <v>0</v>
      </c>
      <c r="U910" s="1" t="str">
        <f>IFERROR(__xludf.DUMMYFUNCTION("""COMPUTED_VALUE"""),"VALID")</f>
        <v>VALID</v>
      </c>
      <c r="V910" s="1">
        <f>IFERROR(__xludf.DUMMYFUNCTION("""COMPUTED_VALUE"""),52.0)</f>
        <v>52</v>
      </c>
      <c r="W910" s="1">
        <f>IFERROR(__xludf.DUMMYFUNCTION("""COMPUTED_VALUE"""),1331.0)</f>
        <v>1331</v>
      </c>
      <c r="X910" s="1">
        <f>IFERROR(__xludf.DUMMYFUNCTION("""COMPUTED_VALUE"""),434.0)</f>
        <v>434</v>
      </c>
      <c r="Y910" s="2"/>
      <c r="Z910" s="2"/>
    </row>
    <row r="911">
      <c r="A911" s="1">
        <f>IFERROR(__xludf.DUMMYFUNCTION("""COMPUTED_VALUE"""),910.0)</f>
        <v>910</v>
      </c>
      <c r="B911" s="1">
        <f>IFERROR(__xludf.DUMMYFUNCTION("""COMPUTED_VALUE"""),7079.0)</f>
        <v>7079</v>
      </c>
      <c r="C911" s="2" t="str">
        <f>IFERROR(__xludf.DUMMYFUNCTION("""COMPUTED_VALUE"""),"Ranty Deasy")</f>
        <v>Ranty Deasy</v>
      </c>
      <c r="D911" s="2" t="str">
        <f>IFERROR(__xludf.DUMMYFUNCTION("""COMPUTED_VALUE"""),"5KM MASTER F")</f>
        <v>5KM MASTER F</v>
      </c>
      <c r="E911" s="1">
        <f>IFERROR(__xludf.DUMMYFUNCTION("""COMPUTED_VALUE"""),2.0)</f>
        <v>2</v>
      </c>
      <c r="F911" s="1" t="str">
        <f>IFERROR(__xludf.DUMMYFUNCTION("""COMPUTED_VALUE"""),"Female")</f>
        <v>Female</v>
      </c>
      <c r="G911" s="4" t="b">
        <f>IFERROR(__xludf.DUMMYFUNCTION("""COMPUTED_VALUE"""),TRUE)</f>
        <v>1</v>
      </c>
      <c r="H911" s="4" t="b">
        <f>IFERROR(__xludf.DUMMYFUNCTION("""COMPUTED_VALUE"""),FALSE)</f>
        <v>0</v>
      </c>
      <c r="I911" s="4">
        <f>IFERROR(__xludf.DUMMYFUNCTION("""COMPUTED_VALUE"""),0.2549440625)</f>
        <v>0.2549440625</v>
      </c>
      <c r="J911" s="4">
        <f>IFERROR(__xludf.DUMMYFUNCTION("""COMPUTED_VALUE"""),45949.27690519524)</f>
        <v>45949.27691</v>
      </c>
      <c r="K911" s="4" t="str">
        <f>IFERROR(__xludf.DUMMYFUNCTION("""COMPUTED_VALUE"""),"")</f>
        <v/>
      </c>
      <c r="L911" s="4">
        <f>IFERROR(__xludf.DUMMYFUNCTION("""COMPUTED_VALUE"""),45949.292498099254)</f>
        <v>45949.2925</v>
      </c>
      <c r="M911" s="1" t="str">
        <f>IFERROR(__xludf.DUMMYFUNCTION("""COMPUTED_VALUE"""),"RFID")</f>
        <v>RFID</v>
      </c>
      <c r="N911" s="5">
        <f>IFERROR(__xludf.DUMMYFUNCTION("""COMPUTED_VALUE"""),0.008784453703703704)</f>
        <v>0.008784453704</v>
      </c>
      <c r="O911" s="5" t="str">
        <f>IFERROR(__xludf.DUMMYFUNCTION("""COMPUTED_VALUE"""),"")</f>
        <v/>
      </c>
      <c r="P911" s="5" t="str">
        <f>IFERROR(__xludf.DUMMYFUNCTION("""COMPUTED_VALUE"""),"")</f>
        <v/>
      </c>
      <c r="Q911" s="5">
        <f>IFERROR(__xludf.DUMMYFUNCTION("""COMPUTED_VALUE"""),0.00751080787037037)</f>
        <v>0.00751080787</v>
      </c>
      <c r="R911" s="4">
        <f>IFERROR(__xludf.DUMMYFUNCTION("""COMPUTED_VALUE"""),45949.03755403675)</f>
        <v>45949.03755</v>
      </c>
      <c r="S911" s="1" t="b">
        <f>IFERROR(__xludf.DUMMYFUNCTION("""COMPUTED_VALUE"""),TRUE)</f>
        <v>1</v>
      </c>
      <c r="T911" s="1" t="b">
        <f>IFERROR(__xludf.DUMMYFUNCTION("""COMPUTED_VALUE"""),FALSE)</f>
        <v>0</v>
      </c>
      <c r="U911" s="1" t="str">
        <f>IFERROR(__xludf.DUMMYFUNCTION("""COMPUTED_VALUE"""),"VALID")</f>
        <v>VALID</v>
      </c>
      <c r="V911" s="1">
        <f>IFERROR(__xludf.DUMMYFUNCTION("""COMPUTED_VALUE"""),42.0)</f>
        <v>42</v>
      </c>
      <c r="W911" s="1">
        <f>IFERROR(__xludf.DUMMYFUNCTION("""COMPUTED_VALUE"""),1064.0)</f>
        <v>1064</v>
      </c>
      <c r="X911" s="1">
        <f>IFERROR(__xludf.DUMMYFUNCTION("""COMPUTED_VALUE"""),288.0)</f>
        <v>288</v>
      </c>
      <c r="Y911" s="2"/>
      <c r="Z911" s="2"/>
    </row>
    <row r="912">
      <c r="A912" s="1">
        <f>IFERROR(__xludf.DUMMYFUNCTION("""COMPUTED_VALUE"""),911.0)</f>
        <v>911</v>
      </c>
      <c r="B912" s="1">
        <f>IFERROR(__xludf.DUMMYFUNCTION("""COMPUTED_VALUE"""),7084.0)</f>
        <v>7084</v>
      </c>
      <c r="C912" s="2" t="str">
        <f>IFERROR(__xludf.DUMMYFUNCTION("""COMPUTED_VALUE"""),"makyan")</f>
        <v>makyan</v>
      </c>
      <c r="D912" s="2" t="str">
        <f>IFERROR(__xludf.DUMMYFUNCTION("""COMPUTED_VALUE"""),"5KM MASTER F")</f>
        <v>5KM MASTER F</v>
      </c>
      <c r="E912" s="1">
        <f>IFERROR(__xludf.DUMMYFUNCTION("""COMPUTED_VALUE"""),2.0)</f>
        <v>2</v>
      </c>
      <c r="F912" s="1" t="str">
        <f>IFERROR(__xludf.DUMMYFUNCTION("""COMPUTED_VALUE"""),"Female")</f>
        <v>Female</v>
      </c>
      <c r="G912" s="4" t="b">
        <f>IFERROR(__xludf.DUMMYFUNCTION("""COMPUTED_VALUE"""),TRUE)</f>
        <v>1</v>
      </c>
      <c r="H912" s="4" t="b">
        <f>IFERROR(__xludf.DUMMYFUNCTION("""COMPUTED_VALUE"""),TRUE)</f>
        <v>1</v>
      </c>
      <c r="I912" s="4">
        <f>IFERROR(__xludf.DUMMYFUNCTION("""COMPUTED_VALUE"""),0.2549440625)</f>
        <v>0.2549440625</v>
      </c>
      <c r="J912" s="4">
        <f>IFERROR(__xludf.DUMMYFUNCTION("""COMPUTED_VALUE"""),45949.2678705081)</f>
        <v>45949.26787</v>
      </c>
      <c r="K912" s="4" t="str">
        <f>IFERROR(__xludf.DUMMYFUNCTION("""COMPUTED_VALUE"""),"")</f>
        <v/>
      </c>
      <c r="L912" s="4">
        <f>IFERROR(__xludf.DUMMYFUNCTION("""COMPUTED_VALUE"""),45949.27732448271)</f>
        <v>45949.27732</v>
      </c>
      <c r="M912" s="1" t="str">
        <f>IFERROR(__xludf.DUMMYFUNCTION("""COMPUTED_VALUE"""),"RFID")</f>
        <v>RFID</v>
      </c>
      <c r="N912" s="5">
        <f>IFERROR(__xludf.DUMMYFUNCTION("""COMPUTED_VALUE"""),0.005170578703703703)</f>
        <v>0.005170578704</v>
      </c>
      <c r="O912" s="5" t="str">
        <f>IFERROR(__xludf.DUMMYFUNCTION("""COMPUTED_VALUE"""),"")</f>
        <v/>
      </c>
      <c r="P912" s="5" t="str">
        <f>IFERROR(__xludf.DUMMYFUNCTION("""COMPUTED_VALUE"""),"")</f>
        <v/>
      </c>
      <c r="Q912" s="5">
        <f>IFERROR(__xludf.DUMMYFUNCTION("""COMPUTED_VALUE"""),0.004476083333333334)</f>
        <v>0.004476083333</v>
      </c>
      <c r="R912" s="4">
        <f>IFERROR(__xludf.DUMMYFUNCTION("""COMPUTED_VALUE"""),45949.02238042021)</f>
        <v>45949.02238</v>
      </c>
      <c r="S912" s="1" t="b">
        <f>IFERROR(__xludf.DUMMYFUNCTION("""COMPUTED_VALUE"""),TRUE)</f>
        <v>1</v>
      </c>
      <c r="T912" s="1" t="b">
        <f>IFERROR(__xludf.DUMMYFUNCTION("""COMPUTED_VALUE"""),FALSE)</f>
        <v>0</v>
      </c>
      <c r="U912" s="1" t="str">
        <f>IFERROR(__xludf.DUMMYFUNCTION("""COMPUTED_VALUE"""),"VALID")</f>
        <v>VALID</v>
      </c>
      <c r="V912" s="1">
        <f>IFERROR(__xludf.DUMMYFUNCTION("""COMPUTED_VALUE"""),6.0)</f>
        <v>6</v>
      </c>
      <c r="W912" s="1">
        <f>IFERROR(__xludf.DUMMYFUNCTION("""COMPUTED_VALUE"""),183.0)</f>
        <v>183</v>
      </c>
      <c r="X912" s="1">
        <f>IFERROR(__xludf.DUMMYFUNCTION("""COMPUTED_VALUE"""),21.0)</f>
        <v>21</v>
      </c>
      <c r="Y912" s="2"/>
      <c r="Z912" s="2"/>
    </row>
    <row r="913">
      <c r="A913" s="1">
        <f>IFERROR(__xludf.DUMMYFUNCTION("""COMPUTED_VALUE"""),912.0)</f>
        <v>912</v>
      </c>
      <c r="B913" s="1">
        <f>IFERROR(__xludf.DUMMYFUNCTION("""COMPUTED_VALUE"""),7085.0)</f>
        <v>7085</v>
      </c>
      <c r="C913" s="2" t="str">
        <f>IFERROR(__xludf.DUMMYFUNCTION("""COMPUTED_VALUE"""),"sofie")</f>
        <v>sofie</v>
      </c>
      <c r="D913" s="2" t="str">
        <f>IFERROR(__xludf.DUMMYFUNCTION("""COMPUTED_VALUE"""),"5KM MASTER F")</f>
        <v>5KM MASTER F</v>
      </c>
      <c r="E913" s="1">
        <f>IFERROR(__xludf.DUMMYFUNCTION("""COMPUTED_VALUE"""),2.0)</f>
        <v>2</v>
      </c>
      <c r="F913" s="1" t="str">
        <f>IFERROR(__xludf.DUMMYFUNCTION("""COMPUTED_VALUE"""),"Female")</f>
        <v>Female</v>
      </c>
      <c r="G913" s="4" t="b">
        <f>IFERROR(__xludf.DUMMYFUNCTION("""COMPUTED_VALUE"""),TRUE)</f>
        <v>1</v>
      </c>
      <c r="H913" s="4" t="b">
        <f>IFERROR(__xludf.DUMMYFUNCTION("""COMPUTED_VALUE"""),TRUE)</f>
        <v>1</v>
      </c>
      <c r="I913" s="4">
        <f>IFERROR(__xludf.DUMMYFUNCTION("""COMPUTED_VALUE"""),0.2549440625)</f>
        <v>0.2549440625</v>
      </c>
      <c r="J913" s="4">
        <f>IFERROR(__xludf.DUMMYFUNCTION("""COMPUTED_VALUE"""),45949.274394775384)</f>
        <v>45949.27439</v>
      </c>
      <c r="K913" s="4" t="str">
        <f>IFERROR(__xludf.DUMMYFUNCTION("""COMPUTED_VALUE"""),"")</f>
        <v/>
      </c>
      <c r="L913" s="4">
        <f>IFERROR(__xludf.DUMMYFUNCTION("""COMPUTED_VALUE"""),45949.28701892842)</f>
        <v>45949.28702</v>
      </c>
      <c r="M913" s="1" t="str">
        <f>IFERROR(__xludf.DUMMYFUNCTION("""COMPUTED_VALUE"""),"RFID")</f>
        <v>RFID</v>
      </c>
      <c r="N913" s="5">
        <f>IFERROR(__xludf.DUMMYFUNCTION("""COMPUTED_VALUE"""),0.007780287037037037)</f>
        <v>0.007780287037</v>
      </c>
      <c r="O913" s="5" t="str">
        <f>IFERROR(__xludf.DUMMYFUNCTION("""COMPUTED_VALUE"""),"")</f>
        <v/>
      </c>
      <c r="P913" s="5" t="str">
        <f>IFERROR(__xludf.DUMMYFUNCTION("""COMPUTED_VALUE"""),"")</f>
        <v/>
      </c>
      <c r="Q913" s="5">
        <f>IFERROR(__xludf.DUMMYFUNCTION("""COMPUTED_VALUE"""),0.006414972222222222)</f>
        <v>0.006414972222</v>
      </c>
      <c r="R913" s="4">
        <f>IFERROR(__xludf.DUMMYFUNCTION("""COMPUTED_VALUE"""),45949.03207486592)</f>
        <v>45949.03207</v>
      </c>
      <c r="S913" s="1" t="b">
        <f>IFERROR(__xludf.DUMMYFUNCTION("""COMPUTED_VALUE"""),TRUE)</f>
        <v>1</v>
      </c>
      <c r="T913" s="1" t="b">
        <f>IFERROR(__xludf.DUMMYFUNCTION("""COMPUTED_VALUE"""),FALSE)</f>
        <v>0</v>
      </c>
      <c r="U913" s="1" t="str">
        <f>IFERROR(__xludf.DUMMYFUNCTION("""COMPUTED_VALUE"""),"VALID")</f>
        <v>VALID</v>
      </c>
      <c r="V913" s="1">
        <f>IFERROR(__xludf.DUMMYFUNCTION("""COMPUTED_VALUE"""),21.0)</f>
        <v>21</v>
      </c>
      <c r="W913" s="1">
        <f>IFERROR(__xludf.DUMMYFUNCTION("""COMPUTED_VALUE"""),704.0)</f>
        <v>704</v>
      </c>
      <c r="X913" s="1">
        <f>IFERROR(__xludf.DUMMYFUNCTION("""COMPUTED_VALUE"""),136.0)</f>
        <v>136</v>
      </c>
      <c r="Y913" s="2"/>
      <c r="Z913" s="2"/>
    </row>
    <row r="914">
      <c r="A914" s="1">
        <f>IFERROR(__xludf.DUMMYFUNCTION("""COMPUTED_VALUE"""),913.0)</f>
        <v>913</v>
      </c>
      <c r="B914" s="1">
        <f>IFERROR(__xludf.DUMMYFUNCTION("""COMPUTED_VALUE"""),7087.0)</f>
        <v>7087</v>
      </c>
      <c r="C914" s="2" t="str">
        <f>IFERROR(__xludf.DUMMYFUNCTION("""COMPUTED_VALUE"""),"Lilik Prihatining Penggalih")</f>
        <v>Lilik Prihatining Penggalih</v>
      </c>
      <c r="D914" s="2" t="str">
        <f>IFERROR(__xludf.DUMMYFUNCTION("""COMPUTED_VALUE"""),"5KM MASTER F")</f>
        <v>5KM MASTER F</v>
      </c>
      <c r="E914" s="1">
        <f>IFERROR(__xludf.DUMMYFUNCTION("""COMPUTED_VALUE"""),2.0)</f>
        <v>2</v>
      </c>
      <c r="F914" s="1" t="str">
        <f>IFERROR(__xludf.DUMMYFUNCTION("""COMPUTED_VALUE"""),"Female")</f>
        <v>Female</v>
      </c>
      <c r="G914" s="4" t="b">
        <f>IFERROR(__xludf.DUMMYFUNCTION("""COMPUTED_VALUE"""),TRUE)</f>
        <v>1</v>
      </c>
      <c r="H914" s="4" t="b">
        <f>IFERROR(__xludf.DUMMYFUNCTION("""COMPUTED_VALUE"""),TRUE)</f>
        <v>1</v>
      </c>
      <c r="I914" s="4">
        <f>IFERROR(__xludf.DUMMYFUNCTION("""COMPUTED_VALUE"""),0.2549440625)</f>
        <v>0.2549440625</v>
      </c>
      <c r="J914" s="4">
        <f>IFERROR(__xludf.DUMMYFUNCTION("""COMPUTED_VALUE"""),45949.271290591234)</f>
        <v>45949.27129</v>
      </c>
      <c r="K914" s="4" t="str">
        <f>IFERROR(__xludf.DUMMYFUNCTION("""COMPUTED_VALUE"""),"")</f>
        <v/>
      </c>
      <c r="L914" s="4">
        <f>IFERROR(__xludf.DUMMYFUNCTION("""COMPUTED_VALUE"""),45949.28417864834)</f>
        <v>45949.28418</v>
      </c>
      <c r="M914" s="1" t="str">
        <f>IFERROR(__xludf.DUMMYFUNCTION("""COMPUTED_VALUE"""),"RFID")</f>
        <v>RFID</v>
      </c>
      <c r="N914" s="5">
        <f>IFERROR(__xludf.DUMMYFUNCTION("""COMPUTED_VALUE"""),0.0065386111111111105)</f>
        <v>0.006538611111</v>
      </c>
      <c r="O914" s="5" t="str">
        <f>IFERROR(__xludf.DUMMYFUNCTION("""COMPUTED_VALUE"""),"")</f>
        <v/>
      </c>
      <c r="P914" s="5" t="str">
        <f>IFERROR(__xludf.DUMMYFUNCTION("""COMPUTED_VALUE"""),"")</f>
        <v/>
      </c>
      <c r="Q914" s="5">
        <f>IFERROR(__xludf.DUMMYFUNCTION("""COMPUTED_VALUE"""),0.005846916666666666)</f>
        <v>0.005846916667</v>
      </c>
      <c r="R914" s="4">
        <f>IFERROR(__xludf.DUMMYFUNCTION("""COMPUTED_VALUE"""),45949.02923458584)</f>
        <v>45949.02923</v>
      </c>
      <c r="S914" s="1" t="b">
        <f>IFERROR(__xludf.DUMMYFUNCTION("""COMPUTED_VALUE"""),TRUE)</f>
        <v>1</v>
      </c>
      <c r="T914" s="1" t="b">
        <f>IFERROR(__xludf.DUMMYFUNCTION("""COMPUTED_VALUE"""),FALSE)</f>
        <v>0</v>
      </c>
      <c r="U914" s="1" t="str">
        <f>IFERROR(__xludf.DUMMYFUNCTION("""COMPUTED_VALUE"""),"VALID")</f>
        <v>VALID</v>
      </c>
      <c r="V914" s="1">
        <f>IFERROR(__xludf.DUMMYFUNCTION("""COMPUTED_VALUE"""),16.0)</f>
        <v>16</v>
      </c>
      <c r="W914" s="1">
        <f>IFERROR(__xludf.DUMMYFUNCTION("""COMPUTED_VALUE"""),510.0)</f>
        <v>510</v>
      </c>
      <c r="X914" s="1">
        <f>IFERROR(__xludf.DUMMYFUNCTION("""COMPUTED_VALUE"""),75.0)</f>
        <v>75</v>
      </c>
      <c r="Y914" s="2"/>
      <c r="Z914" s="2"/>
    </row>
    <row r="915">
      <c r="A915" s="1">
        <f>IFERROR(__xludf.DUMMYFUNCTION("""COMPUTED_VALUE"""),914.0)</f>
        <v>914</v>
      </c>
      <c r="B915" s="1">
        <f>IFERROR(__xludf.DUMMYFUNCTION("""COMPUTED_VALUE"""),7089.0)</f>
        <v>7089</v>
      </c>
      <c r="C915" s="2" t="str">
        <f>IFERROR(__xludf.DUMMYFUNCTION("""COMPUTED_VALUE"""),"Dani Indiyah")</f>
        <v>Dani Indiyah</v>
      </c>
      <c r="D915" s="2" t="str">
        <f>IFERROR(__xludf.DUMMYFUNCTION("""COMPUTED_VALUE"""),"5KM MASTER F")</f>
        <v>5KM MASTER F</v>
      </c>
      <c r="E915" s="1">
        <f>IFERROR(__xludf.DUMMYFUNCTION("""COMPUTED_VALUE"""),2.0)</f>
        <v>2</v>
      </c>
      <c r="F915" s="1" t="str">
        <f>IFERROR(__xludf.DUMMYFUNCTION("""COMPUTED_VALUE"""),"Female")</f>
        <v>Female</v>
      </c>
      <c r="G915" s="4" t="b">
        <f>IFERROR(__xludf.DUMMYFUNCTION("""COMPUTED_VALUE"""),TRUE)</f>
        <v>1</v>
      </c>
      <c r="H915" s="4" t="b">
        <f>IFERROR(__xludf.DUMMYFUNCTION("""COMPUTED_VALUE"""),TRUE)</f>
        <v>1</v>
      </c>
      <c r="I915" s="4">
        <f>IFERROR(__xludf.DUMMYFUNCTION("""COMPUTED_VALUE"""),0.2549440625)</f>
        <v>0.2549440625</v>
      </c>
      <c r="J915" s="4">
        <f>IFERROR(__xludf.DUMMYFUNCTION("""COMPUTED_VALUE"""),45949.27809265882)</f>
        <v>45949.27809</v>
      </c>
      <c r="K915" s="4" t="str">
        <f>IFERROR(__xludf.DUMMYFUNCTION("""COMPUTED_VALUE"""),"")</f>
        <v/>
      </c>
      <c r="L915" s="4">
        <f>IFERROR(__xludf.DUMMYFUNCTION("""COMPUTED_VALUE"""),45949.29452239666)</f>
        <v>45949.29452</v>
      </c>
      <c r="M915" s="1" t="str">
        <f>IFERROR(__xludf.DUMMYFUNCTION("""COMPUTED_VALUE"""),"RFID")</f>
        <v>RFID</v>
      </c>
      <c r="N915" s="5">
        <f>IFERROR(__xludf.DUMMYFUNCTION("""COMPUTED_VALUE"""),0.009259439814814814)</f>
        <v>0.009259439815</v>
      </c>
      <c r="O915" s="5" t="str">
        <f>IFERROR(__xludf.DUMMYFUNCTION("""COMPUTED_VALUE"""),"")</f>
        <v/>
      </c>
      <c r="P915" s="5" t="str">
        <f>IFERROR(__xludf.DUMMYFUNCTION("""COMPUTED_VALUE"""),"")</f>
        <v/>
      </c>
      <c r="Q915" s="5">
        <f>IFERROR(__xludf.DUMMYFUNCTION("""COMPUTED_VALUE"""),0.007915666666666666)</f>
        <v>0.007915666667</v>
      </c>
      <c r="R915" s="4">
        <f>IFERROR(__xludf.DUMMYFUNCTION("""COMPUTED_VALUE"""),45949.03957833416)</f>
        <v>45949.03958</v>
      </c>
      <c r="S915" s="1" t="b">
        <f>IFERROR(__xludf.DUMMYFUNCTION("""COMPUTED_VALUE"""),TRUE)</f>
        <v>1</v>
      </c>
      <c r="T915" s="1" t="b">
        <f>IFERROR(__xludf.DUMMYFUNCTION("""COMPUTED_VALUE"""),FALSE)</f>
        <v>0</v>
      </c>
      <c r="U915" s="1" t="str">
        <f>IFERROR(__xludf.DUMMYFUNCTION("""COMPUTED_VALUE"""),"VALID")</f>
        <v>VALID</v>
      </c>
      <c r="V915" s="1">
        <f>IFERROR(__xludf.DUMMYFUNCTION("""COMPUTED_VALUE"""),47.0)</f>
        <v>47</v>
      </c>
      <c r="W915" s="1">
        <f>IFERROR(__xludf.DUMMYFUNCTION("""COMPUTED_VALUE"""),1220.0)</f>
        <v>1220</v>
      </c>
      <c r="X915" s="1">
        <f>IFERROR(__xludf.DUMMYFUNCTION("""COMPUTED_VALUE"""),373.0)</f>
        <v>373</v>
      </c>
      <c r="Y915" s="2"/>
      <c r="Z915" s="2"/>
    </row>
    <row r="916">
      <c r="A916" s="1">
        <f>IFERROR(__xludf.DUMMYFUNCTION("""COMPUTED_VALUE"""),915.0)</f>
        <v>915</v>
      </c>
      <c r="B916" s="1">
        <f>IFERROR(__xludf.DUMMYFUNCTION("""COMPUTED_VALUE"""),7090.0)</f>
        <v>7090</v>
      </c>
      <c r="C916" s="2" t="str">
        <f>IFERROR(__xludf.DUMMYFUNCTION("""COMPUTED_VALUE"""),"HESTI")</f>
        <v>HESTI</v>
      </c>
      <c r="D916" s="2" t="str">
        <f>IFERROR(__xludf.DUMMYFUNCTION("""COMPUTED_VALUE"""),"5KM MASTER F")</f>
        <v>5KM MASTER F</v>
      </c>
      <c r="E916" s="1">
        <f>IFERROR(__xludf.DUMMYFUNCTION("""COMPUTED_VALUE"""),2.0)</f>
        <v>2</v>
      </c>
      <c r="F916" s="1" t="str">
        <f>IFERROR(__xludf.DUMMYFUNCTION("""COMPUTED_VALUE"""),"Female")</f>
        <v>Female</v>
      </c>
      <c r="G916" s="4" t="b">
        <f>IFERROR(__xludf.DUMMYFUNCTION("""COMPUTED_VALUE"""),TRUE)</f>
        <v>1</v>
      </c>
      <c r="H916" s="4" t="b">
        <f>IFERROR(__xludf.DUMMYFUNCTION("""COMPUTED_VALUE"""),FALSE)</f>
        <v>0</v>
      </c>
      <c r="I916" s="4">
        <f>IFERROR(__xludf.DUMMYFUNCTION("""COMPUTED_VALUE"""),0.2549440625)</f>
        <v>0.2549440625</v>
      </c>
      <c r="J916" s="4">
        <f>IFERROR(__xludf.DUMMYFUNCTION("""COMPUTED_VALUE"""),45949.27467252699)</f>
        <v>45949.27467</v>
      </c>
      <c r="K916" s="4" t="str">
        <f>IFERROR(__xludf.DUMMYFUNCTION("""COMPUTED_VALUE"""),"")</f>
        <v/>
      </c>
      <c r="L916" s="4">
        <f>IFERROR(__xludf.DUMMYFUNCTION("""COMPUTED_VALUE"""),45949.289817548735)</f>
        <v>45949.28982</v>
      </c>
      <c r="M916" s="1" t="str">
        <f>IFERROR(__xludf.DUMMYFUNCTION("""COMPUTED_VALUE"""),"RFID")</f>
        <v>RFID</v>
      </c>
      <c r="N916" s="5">
        <f>IFERROR(__xludf.DUMMYFUNCTION("""COMPUTED_VALUE"""),0.00789138425925926)</f>
        <v>0.007891384259</v>
      </c>
      <c r="O916" s="5" t="str">
        <f>IFERROR(__xludf.DUMMYFUNCTION("""COMPUTED_VALUE"""),"")</f>
        <v/>
      </c>
      <c r="P916" s="5" t="str">
        <f>IFERROR(__xludf.DUMMYFUNCTION("""COMPUTED_VALUE"""),"")</f>
        <v/>
      </c>
      <c r="Q916" s="5">
        <f>IFERROR(__xludf.DUMMYFUNCTION("""COMPUTED_VALUE"""),0.0069746967592592595)</f>
        <v>0.006974696759</v>
      </c>
      <c r="R916" s="4">
        <f>IFERROR(__xludf.DUMMYFUNCTION("""COMPUTED_VALUE"""),45949.034873486235)</f>
        <v>45949.03487</v>
      </c>
      <c r="S916" s="1" t="b">
        <f>IFERROR(__xludf.DUMMYFUNCTION("""COMPUTED_VALUE"""),TRUE)</f>
        <v>1</v>
      </c>
      <c r="T916" s="1" t="b">
        <f>IFERROR(__xludf.DUMMYFUNCTION("""COMPUTED_VALUE"""),FALSE)</f>
        <v>0</v>
      </c>
      <c r="U916" s="1" t="str">
        <f>IFERROR(__xludf.DUMMYFUNCTION("""COMPUTED_VALUE"""),"VALID")</f>
        <v>VALID</v>
      </c>
      <c r="V916" s="1">
        <f>IFERROR(__xludf.DUMMYFUNCTION("""COMPUTED_VALUE"""),32.0)</f>
        <v>32</v>
      </c>
      <c r="W916" s="1">
        <f>IFERROR(__xludf.DUMMYFUNCTION("""COMPUTED_VALUE"""),882.0)</f>
        <v>882</v>
      </c>
      <c r="X916" s="1">
        <f>IFERROR(__xludf.DUMMYFUNCTION("""COMPUTED_VALUE"""),199.0)</f>
        <v>199</v>
      </c>
      <c r="Y916" s="2"/>
      <c r="Z916" s="2"/>
    </row>
    <row r="917">
      <c r="A917" s="1">
        <f>IFERROR(__xludf.DUMMYFUNCTION("""COMPUTED_VALUE"""),916.0)</f>
        <v>916</v>
      </c>
      <c r="B917" s="1">
        <f>IFERROR(__xludf.DUMMYFUNCTION("""COMPUTED_VALUE"""),7091.0)</f>
        <v>7091</v>
      </c>
      <c r="C917" s="2" t="str">
        <f>IFERROR(__xludf.DUMMYFUNCTION("""COMPUTED_VALUE"""),"Nani")</f>
        <v>Nani</v>
      </c>
      <c r="D917" s="2" t="str">
        <f>IFERROR(__xludf.DUMMYFUNCTION("""COMPUTED_VALUE"""),"5KM MASTER F")</f>
        <v>5KM MASTER F</v>
      </c>
      <c r="E917" s="1">
        <f>IFERROR(__xludf.DUMMYFUNCTION("""COMPUTED_VALUE"""),2.0)</f>
        <v>2</v>
      </c>
      <c r="F917" s="1" t="str">
        <f>IFERROR(__xludf.DUMMYFUNCTION("""COMPUTED_VALUE"""),"Female")</f>
        <v>Female</v>
      </c>
      <c r="G917" s="4" t="b">
        <f>IFERROR(__xludf.DUMMYFUNCTION("""COMPUTED_VALUE"""),TRUE)</f>
        <v>1</v>
      </c>
      <c r="H917" s="4" t="b">
        <f>IFERROR(__xludf.DUMMYFUNCTION("""COMPUTED_VALUE"""),FALSE)</f>
        <v>0</v>
      </c>
      <c r="I917" s="4">
        <f>IFERROR(__xludf.DUMMYFUNCTION("""COMPUTED_VALUE"""),0.2549440625)</f>
        <v>0.2549440625</v>
      </c>
      <c r="J917" s="4">
        <f>IFERROR(__xludf.DUMMYFUNCTION("""COMPUTED_VALUE"""),45949.26972461999)</f>
        <v>45949.26972</v>
      </c>
      <c r="K917" s="4" t="str">
        <f>IFERROR(__xludf.DUMMYFUNCTION("""COMPUTED_VALUE"""),"")</f>
        <v/>
      </c>
      <c r="L917" s="4">
        <f>IFERROR(__xludf.DUMMYFUNCTION("""COMPUTED_VALUE"""),45949.28131060757)</f>
        <v>45949.28131</v>
      </c>
      <c r="M917" s="1" t="str">
        <f>IFERROR(__xludf.DUMMYFUNCTION("""COMPUTED_VALUE"""),"RFID")</f>
        <v>RFID</v>
      </c>
      <c r="N917" s="5">
        <f>IFERROR(__xludf.DUMMYFUNCTION("""COMPUTED_VALUE"""),0.005912222222222222)</f>
        <v>0.005912222222</v>
      </c>
      <c r="O917" s="5" t="str">
        <f>IFERROR(__xludf.DUMMYFUNCTION("""COMPUTED_VALUE"""),"")</f>
        <v/>
      </c>
      <c r="P917" s="5" t="str">
        <f>IFERROR(__xludf.DUMMYFUNCTION("""COMPUTED_VALUE"""),"")</f>
        <v/>
      </c>
      <c r="Q917" s="5">
        <f>IFERROR(__xludf.DUMMYFUNCTION("""COMPUTED_VALUE"""),0.00527330787037037)</f>
        <v>0.00527330787</v>
      </c>
      <c r="R917" s="4">
        <f>IFERROR(__xludf.DUMMYFUNCTION("""COMPUTED_VALUE"""),45949.02636654507)</f>
        <v>45949.02637</v>
      </c>
      <c r="S917" s="1" t="b">
        <f>IFERROR(__xludf.DUMMYFUNCTION("""COMPUTED_VALUE"""),TRUE)</f>
        <v>1</v>
      </c>
      <c r="T917" s="1" t="b">
        <f>IFERROR(__xludf.DUMMYFUNCTION("""COMPUTED_VALUE"""),FALSE)</f>
        <v>0</v>
      </c>
      <c r="U917" s="1" t="str">
        <f>IFERROR(__xludf.DUMMYFUNCTION("""COMPUTED_VALUE"""),"VALID")</f>
        <v>VALID</v>
      </c>
      <c r="V917" s="1">
        <f>IFERROR(__xludf.DUMMYFUNCTION("""COMPUTED_VALUE"""),12.0)</f>
        <v>12</v>
      </c>
      <c r="W917" s="1">
        <f>IFERROR(__xludf.DUMMYFUNCTION("""COMPUTED_VALUE"""),350.0)</f>
        <v>350</v>
      </c>
      <c r="X917" s="1">
        <f>IFERROR(__xludf.DUMMYFUNCTION("""COMPUTED_VALUE"""),48.0)</f>
        <v>48</v>
      </c>
      <c r="Y917" s="2"/>
      <c r="Z917" s="2"/>
    </row>
    <row r="918">
      <c r="A918" s="1">
        <f>IFERROR(__xludf.DUMMYFUNCTION("""COMPUTED_VALUE"""),917.0)</f>
        <v>917</v>
      </c>
      <c r="B918" s="1">
        <f>IFERROR(__xludf.DUMMYFUNCTION("""COMPUTED_VALUE"""),7093.0)</f>
        <v>7093</v>
      </c>
      <c r="C918" s="2" t="str">
        <f>IFERROR(__xludf.DUMMYFUNCTION("""COMPUTED_VALUE"""),"Riana")</f>
        <v>Riana</v>
      </c>
      <c r="D918" s="2" t="str">
        <f>IFERROR(__xludf.DUMMYFUNCTION("""COMPUTED_VALUE"""),"5KM MASTER F")</f>
        <v>5KM MASTER F</v>
      </c>
      <c r="E918" s="1">
        <f>IFERROR(__xludf.DUMMYFUNCTION("""COMPUTED_VALUE"""),2.0)</f>
        <v>2</v>
      </c>
      <c r="F918" s="1" t="str">
        <f>IFERROR(__xludf.DUMMYFUNCTION("""COMPUTED_VALUE"""),"Female")</f>
        <v>Female</v>
      </c>
      <c r="G918" s="4" t="b">
        <f>IFERROR(__xludf.DUMMYFUNCTION("""COMPUTED_VALUE"""),TRUE)</f>
        <v>1</v>
      </c>
      <c r="H918" s="4" t="b">
        <f>IFERROR(__xludf.DUMMYFUNCTION("""COMPUTED_VALUE"""),TRUE)</f>
        <v>1</v>
      </c>
      <c r="I918" s="4">
        <f>IFERROR(__xludf.DUMMYFUNCTION("""COMPUTED_VALUE"""),0.2549440625)</f>
        <v>0.2549440625</v>
      </c>
      <c r="J918" s="4">
        <f>IFERROR(__xludf.DUMMYFUNCTION("""COMPUTED_VALUE"""),45949.28037043631)</f>
        <v>45949.28037</v>
      </c>
      <c r="K918" s="4" t="str">
        <f>IFERROR(__xludf.DUMMYFUNCTION("""COMPUTED_VALUE"""),"")</f>
        <v/>
      </c>
      <c r="L918" s="4">
        <f>IFERROR(__xludf.DUMMYFUNCTION("""COMPUTED_VALUE"""),45949.30006754592)</f>
        <v>45949.30007</v>
      </c>
      <c r="M918" s="1" t="str">
        <f>IFERROR(__xludf.DUMMYFUNCTION("""COMPUTED_VALUE"""),"RFID")</f>
        <v>RFID</v>
      </c>
      <c r="N918" s="5">
        <f>IFERROR(__xludf.DUMMYFUNCTION("""COMPUTED_VALUE"""),0.010170550925925925)</f>
        <v>0.01017055093</v>
      </c>
      <c r="O918" s="5" t="str">
        <f>IFERROR(__xludf.DUMMYFUNCTION("""COMPUTED_VALUE"""),"")</f>
        <v/>
      </c>
      <c r="P918" s="5" t="str">
        <f>IFERROR(__xludf.DUMMYFUNCTION("""COMPUTED_VALUE"""),"")</f>
        <v/>
      </c>
      <c r="Q918" s="5">
        <f>IFERROR(__xludf.DUMMYFUNCTION("""COMPUTED_VALUE"""),0.009024696759259258)</f>
        <v>0.009024696759</v>
      </c>
      <c r="R918" s="4">
        <f>IFERROR(__xludf.DUMMYFUNCTION("""COMPUTED_VALUE"""),45949.04512348342)</f>
        <v>45949.04512</v>
      </c>
      <c r="S918" s="1" t="b">
        <f>IFERROR(__xludf.DUMMYFUNCTION("""COMPUTED_VALUE"""),TRUE)</f>
        <v>1</v>
      </c>
      <c r="T918" s="1" t="b">
        <f>IFERROR(__xludf.DUMMYFUNCTION("""COMPUTED_VALUE"""),FALSE)</f>
        <v>0</v>
      </c>
      <c r="U918" s="1" t="str">
        <f>IFERROR(__xludf.DUMMYFUNCTION("""COMPUTED_VALUE"""),"VALID")</f>
        <v>VALID</v>
      </c>
      <c r="V918" s="1">
        <f>IFERROR(__xludf.DUMMYFUNCTION("""COMPUTED_VALUE"""),56.0)</f>
        <v>56</v>
      </c>
      <c r="W918" s="1">
        <f>IFERROR(__xludf.DUMMYFUNCTION("""COMPUTED_VALUE"""),1454.0)</f>
        <v>1454</v>
      </c>
      <c r="X918" s="1">
        <f>IFERROR(__xludf.DUMMYFUNCTION("""COMPUTED_VALUE"""),515.0)</f>
        <v>515</v>
      </c>
      <c r="Y918" s="2"/>
      <c r="Z918" s="2"/>
    </row>
    <row r="919">
      <c r="A919" s="1">
        <f>IFERROR(__xludf.DUMMYFUNCTION("""COMPUTED_VALUE"""),918.0)</f>
        <v>918</v>
      </c>
      <c r="B919" s="1">
        <f>IFERROR(__xludf.DUMMYFUNCTION("""COMPUTED_VALUE"""),7094.0)</f>
        <v>7094</v>
      </c>
      <c r="C919" s="2" t="str">
        <f>IFERROR(__xludf.DUMMYFUNCTION("""COMPUTED_VALUE"""),"Putri Marini")</f>
        <v>Putri Marini</v>
      </c>
      <c r="D919" s="2" t="str">
        <f>IFERROR(__xludf.DUMMYFUNCTION("""COMPUTED_VALUE"""),"5KM MASTER F")</f>
        <v>5KM MASTER F</v>
      </c>
      <c r="E919" s="1">
        <f>IFERROR(__xludf.DUMMYFUNCTION("""COMPUTED_VALUE"""),2.0)</f>
        <v>2</v>
      </c>
      <c r="F919" s="1" t="str">
        <f>IFERROR(__xludf.DUMMYFUNCTION("""COMPUTED_VALUE"""),"Female")</f>
        <v>Female</v>
      </c>
      <c r="G919" s="4" t="b">
        <f>IFERROR(__xludf.DUMMYFUNCTION("""COMPUTED_VALUE"""),TRUE)</f>
        <v>1</v>
      </c>
      <c r="H919" s="4" t="b">
        <f>IFERROR(__xludf.DUMMYFUNCTION("""COMPUTED_VALUE"""),TRUE)</f>
        <v>1</v>
      </c>
      <c r="I919" s="4">
        <f>IFERROR(__xludf.DUMMYFUNCTION("""COMPUTED_VALUE"""),0.2549440625)</f>
        <v>0.2549440625</v>
      </c>
      <c r="J919" s="4">
        <f>IFERROR(__xludf.DUMMYFUNCTION("""COMPUTED_VALUE"""),45949.272030225824)</f>
        <v>45949.27203</v>
      </c>
      <c r="K919" s="4" t="str">
        <f>IFERROR(__xludf.DUMMYFUNCTION("""COMPUTED_VALUE"""),"")</f>
        <v/>
      </c>
      <c r="L919" s="4">
        <f>IFERROR(__xludf.DUMMYFUNCTION("""COMPUTED_VALUE"""),45949.28513005428)</f>
        <v>45949.28513</v>
      </c>
      <c r="M919" s="1" t="str">
        <f>IFERROR(__xludf.DUMMYFUNCTION("""COMPUTED_VALUE"""),"RFID")</f>
        <v>RFID</v>
      </c>
      <c r="N919" s="5">
        <f>IFERROR(__xludf.DUMMYFUNCTION("""COMPUTED_VALUE"""),0.0068344675925925925)</f>
        <v>0.006834467593</v>
      </c>
      <c r="O919" s="5" t="str">
        <f>IFERROR(__xludf.DUMMYFUNCTION("""COMPUTED_VALUE"""),"")</f>
        <v/>
      </c>
      <c r="P919" s="5" t="str">
        <f>IFERROR(__xludf.DUMMYFUNCTION("""COMPUTED_VALUE"""),"")</f>
        <v/>
      </c>
      <c r="Q919" s="5">
        <f>IFERROR(__xludf.DUMMYFUNCTION("""COMPUTED_VALUE"""),0.006037199074074075)</f>
        <v>0.006037199074</v>
      </c>
      <c r="R919" s="4">
        <f>IFERROR(__xludf.DUMMYFUNCTION("""COMPUTED_VALUE"""),45949.03018599178)</f>
        <v>45949.03019</v>
      </c>
      <c r="S919" s="1" t="b">
        <f>IFERROR(__xludf.DUMMYFUNCTION("""COMPUTED_VALUE"""),TRUE)</f>
        <v>1</v>
      </c>
      <c r="T919" s="1" t="b">
        <f>IFERROR(__xludf.DUMMYFUNCTION("""COMPUTED_VALUE"""),FALSE)</f>
        <v>0</v>
      </c>
      <c r="U919" s="1" t="str">
        <f>IFERROR(__xludf.DUMMYFUNCTION("""COMPUTED_VALUE"""),"VALID")</f>
        <v>VALID</v>
      </c>
      <c r="V919" s="1">
        <f>IFERROR(__xludf.DUMMYFUNCTION("""COMPUTED_VALUE"""),17.0)</f>
        <v>17</v>
      </c>
      <c r="W919" s="1">
        <f>IFERROR(__xludf.DUMMYFUNCTION("""COMPUTED_VALUE"""),580.0)</f>
        <v>580</v>
      </c>
      <c r="X919" s="1">
        <f>IFERROR(__xludf.DUMMYFUNCTION("""COMPUTED_VALUE"""),98.0)</f>
        <v>98</v>
      </c>
      <c r="Y919" s="2"/>
      <c r="Z919" s="2"/>
    </row>
    <row r="920">
      <c r="A920" s="1">
        <f>IFERROR(__xludf.DUMMYFUNCTION("""COMPUTED_VALUE"""),919.0)</f>
        <v>919</v>
      </c>
      <c r="B920" s="1">
        <f>IFERROR(__xludf.DUMMYFUNCTION("""COMPUTED_VALUE"""),7096.0)</f>
        <v>7096</v>
      </c>
      <c r="C920" s="2" t="str">
        <f>IFERROR(__xludf.DUMMYFUNCTION("""COMPUTED_VALUE"""),"Vieyaaa")</f>
        <v>Vieyaaa</v>
      </c>
      <c r="D920" s="2" t="str">
        <f>IFERROR(__xludf.DUMMYFUNCTION("""COMPUTED_VALUE"""),"5KM MASTER F")</f>
        <v>5KM MASTER F</v>
      </c>
      <c r="E920" s="1">
        <f>IFERROR(__xludf.DUMMYFUNCTION("""COMPUTED_VALUE"""),2.0)</f>
        <v>2</v>
      </c>
      <c r="F920" s="1" t="str">
        <f>IFERROR(__xludf.DUMMYFUNCTION("""COMPUTED_VALUE"""),"Female")</f>
        <v>Female</v>
      </c>
      <c r="G920" s="4" t="b">
        <f>IFERROR(__xludf.DUMMYFUNCTION("""COMPUTED_VALUE"""),TRUE)</f>
        <v>1</v>
      </c>
      <c r="H920" s="4" t="b">
        <f>IFERROR(__xludf.DUMMYFUNCTION("""COMPUTED_VALUE"""),TRUE)</f>
        <v>1</v>
      </c>
      <c r="I920" s="4">
        <f>IFERROR(__xludf.DUMMYFUNCTION("""COMPUTED_VALUE"""),0.2549440625)</f>
        <v>0.2549440625</v>
      </c>
      <c r="J920" s="4">
        <f>IFERROR(__xludf.DUMMYFUNCTION("""COMPUTED_VALUE"""),45949.27573509333)</f>
        <v>45949.27574</v>
      </c>
      <c r="K920" s="4" t="str">
        <f>IFERROR(__xludf.DUMMYFUNCTION("""COMPUTED_VALUE"""),"")</f>
        <v/>
      </c>
      <c r="L920" s="4">
        <f>IFERROR(__xludf.DUMMYFUNCTION("""COMPUTED_VALUE"""),45949.29023074409)</f>
        <v>45949.29023</v>
      </c>
      <c r="M920" s="1" t="str">
        <f>IFERROR(__xludf.DUMMYFUNCTION("""COMPUTED_VALUE"""),"RFID")</f>
        <v>RFID</v>
      </c>
      <c r="N920" s="5">
        <f>IFERROR(__xludf.DUMMYFUNCTION("""COMPUTED_VALUE"""),0.008316412037037037)</f>
        <v>0.008316412037</v>
      </c>
      <c r="O920" s="5" t="str">
        <f>IFERROR(__xludf.DUMMYFUNCTION("""COMPUTED_VALUE"""),"")</f>
        <v/>
      </c>
      <c r="P920" s="5" t="str">
        <f>IFERROR(__xludf.DUMMYFUNCTION("""COMPUTED_VALUE"""),"")</f>
        <v/>
      </c>
      <c r="Q920" s="5">
        <f>IFERROR(__xludf.DUMMYFUNCTION("""COMPUTED_VALUE"""),0.007057335648148147)</f>
        <v>0.007057335648</v>
      </c>
      <c r="R920" s="4">
        <f>IFERROR(__xludf.DUMMYFUNCTION("""COMPUTED_VALUE"""),45949.03528668159)</f>
        <v>45949.03529</v>
      </c>
      <c r="S920" s="1" t="b">
        <f>IFERROR(__xludf.DUMMYFUNCTION("""COMPUTED_VALUE"""),TRUE)</f>
        <v>1</v>
      </c>
      <c r="T920" s="1" t="b">
        <f>IFERROR(__xludf.DUMMYFUNCTION("""COMPUTED_VALUE"""),FALSE)</f>
        <v>0</v>
      </c>
      <c r="U920" s="1" t="str">
        <f>IFERROR(__xludf.DUMMYFUNCTION("""COMPUTED_VALUE"""),"VALID")</f>
        <v>VALID</v>
      </c>
      <c r="V920" s="1">
        <f>IFERROR(__xludf.DUMMYFUNCTION("""COMPUTED_VALUE"""),33.0)</f>
        <v>33</v>
      </c>
      <c r="W920" s="1">
        <f>IFERROR(__xludf.DUMMYFUNCTION("""COMPUTED_VALUE"""),902.0)</f>
        <v>902</v>
      </c>
      <c r="X920" s="1">
        <f>IFERROR(__xludf.DUMMYFUNCTION("""COMPUTED_VALUE"""),208.0)</f>
        <v>208</v>
      </c>
      <c r="Y920" s="2"/>
      <c r="Z920" s="2"/>
    </row>
    <row r="921">
      <c r="A921" s="1">
        <f>IFERROR(__xludf.DUMMYFUNCTION("""COMPUTED_VALUE"""),920.0)</f>
        <v>920</v>
      </c>
      <c r="B921" s="1">
        <f>IFERROR(__xludf.DUMMYFUNCTION("""COMPUTED_VALUE"""),7100.0)</f>
        <v>7100</v>
      </c>
      <c r="C921" s="2" t="str">
        <f>IFERROR(__xludf.DUMMYFUNCTION("""COMPUTED_VALUE"""),"fatmawati")</f>
        <v>fatmawati</v>
      </c>
      <c r="D921" s="2" t="str">
        <f>IFERROR(__xludf.DUMMYFUNCTION("""COMPUTED_VALUE"""),"5KM MASTER F")</f>
        <v>5KM MASTER F</v>
      </c>
      <c r="E921" s="1">
        <f>IFERROR(__xludf.DUMMYFUNCTION("""COMPUTED_VALUE"""),2.0)</f>
        <v>2</v>
      </c>
      <c r="F921" s="1" t="str">
        <f>IFERROR(__xludf.DUMMYFUNCTION("""COMPUTED_VALUE"""),"Female")</f>
        <v>Female</v>
      </c>
      <c r="G921" s="4" t="b">
        <f>IFERROR(__xludf.DUMMYFUNCTION("""COMPUTED_VALUE"""),TRUE)</f>
        <v>1</v>
      </c>
      <c r="H921" s="4" t="b">
        <f>IFERROR(__xludf.DUMMYFUNCTION("""COMPUTED_VALUE"""),TRUE)</f>
        <v>1</v>
      </c>
      <c r="I921" s="4">
        <f>IFERROR(__xludf.DUMMYFUNCTION("""COMPUTED_VALUE"""),0.2549440625)</f>
        <v>0.2549440625</v>
      </c>
      <c r="J921" s="4">
        <f>IFERROR(__xludf.DUMMYFUNCTION("""COMPUTED_VALUE"""),45949.286932999195)</f>
        <v>45949.28693</v>
      </c>
      <c r="K921" s="4" t="str">
        <f>IFERROR(__xludf.DUMMYFUNCTION("""COMPUTED_VALUE"""),"")</f>
        <v/>
      </c>
      <c r="L921" s="4">
        <f>IFERROR(__xludf.DUMMYFUNCTION("""COMPUTED_VALUE"""),45949.30956058989)</f>
        <v>45949.30956</v>
      </c>
      <c r="M921" s="1" t="str">
        <f>IFERROR(__xludf.DUMMYFUNCTION("""COMPUTED_VALUE"""),"RFID")</f>
        <v>RFID</v>
      </c>
      <c r="N921" s="5">
        <f>IFERROR(__xludf.DUMMYFUNCTION("""COMPUTED_VALUE"""),0.012795574074074074)</f>
        <v>0.01279557407</v>
      </c>
      <c r="O921" s="5" t="str">
        <f>IFERROR(__xludf.DUMMYFUNCTION("""COMPUTED_VALUE"""),"")</f>
        <v/>
      </c>
      <c r="P921" s="5" t="str">
        <f>IFERROR(__xludf.DUMMYFUNCTION("""COMPUTED_VALUE"""),"")</f>
        <v/>
      </c>
      <c r="Q921" s="5">
        <f>IFERROR(__xludf.DUMMYFUNCTION("""COMPUTED_VALUE"""),0.010923305555555558)</f>
        <v>0.01092330556</v>
      </c>
      <c r="R921" s="4">
        <f>IFERROR(__xludf.DUMMYFUNCTION("""COMPUTED_VALUE"""),45949.05461652739)</f>
        <v>45949.05462</v>
      </c>
      <c r="S921" s="1" t="b">
        <f>IFERROR(__xludf.DUMMYFUNCTION("""COMPUTED_VALUE"""),TRUE)</f>
        <v>1</v>
      </c>
      <c r="T921" s="1" t="b">
        <f>IFERROR(__xludf.DUMMYFUNCTION("""COMPUTED_VALUE"""),FALSE)</f>
        <v>0</v>
      </c>
      <c r="U921" s="1" t="str">
        <f>IFERROR(__xludf.DUMMYFUNCTION("""COMPUTED_VALUE"""),"VALID")</f>
        <v>VALID</v>
      </c>
      <c r="V921" s="1">
        <f>IFERROR(__xludf.DUMMYFUNCTION("""COMPUTED_VALUE"""),58.0)</f>
        <v>58</v>
      </c>
      <c r="W921" s="1">
        <f>IFERROR(__xludf.DUMMYFUNCTION("""COMPUTED_VALUE"""),1603.0)</f>
        <v>1603</v>
      </c>
      <c r="X921" s="1">
        <f>IFERROR(__xludf.DUMMYFUNCTION("""COMPUTED_VALUE"""),627.0)</f>
        <v>627</v>
      </c>
      <c r="Y921" s="2"/>
      <c r="Z921" s="2"/>
    </row>
    <row r="922">
      <c r="A922" s="1">
        <f>IFERROR(__xludf.DUMMYFUNCTION("""COMPUTED_VALUE"""),921.0)</f>
        <v>921</v>
      </c>
      <c r="B922" s="1">
        <f>IFERROR(__xludf.DUMMYFUNCTION("""COMPUTED_VALUE"""),7101.0)</f>
        <v>7101</v>
      </c>
      <c r="C922" s="2" t="str">
        <f>IFERROR(__xludf.DUMMYFUNCTION("""COMPUTED_VALUE"""),"Lea@")</f>
        <v>Lea@</v>
      </c>
      <c r="D922" s="2" t="str">
        <f>IFERROR(__xludf.DUMMYFUNCTION("""COMPUTED_VALUE"""),"5KM MASTER F")</f>
        <v>5KM MASTER F</v>
      </c>
      <c r="E922" s="1">
        <f>IFERROR(__xludf.DUMMYFUNCTION("""COMPUTED_VALUE"""),2.0)</f>
        <v>2</v>
      </c>
      <c r="F922" s="1" t="str">
        <f>IFERROR(__xludf.DUMMYFUNCTION("""COMPUTED_VALUE"""),"Female")</f>
        <v>Female</v>
      </c>
      <c r="G922" s="4" t="b">
        <f>IFERROR(__xludf.DUMMYFUNCTION("""COMPUTED_VALUE"""),TRUE)</f>
        <v>1</v>
      </c>
      <c r="H922" s="4" t="b">
        <f>IFERROR(__xludf.DUMMYFUNCTION("""COMPUTED_VALUE"""),TRUE)</f>
        <v>1</v>
      </c>
      <c r="I922" s="4">
        <f>IFERROR(__xludf.DUMMYFUNCTION("""COMPUTED_VALUE"""),0.2549440625)</f>
        <v>0.2549440625</v>
      </c>
      <c r="J922" s="4">
        <f>IFERROR(__xludf.DUMMYFUNCTION("""COMPUTED_VALUE"""),45949.27245426417)</f>
        <v>45949.27245</v>
      </c>
      <c r="K922" s="4" t="str">
        <f>IFERROR(__xludf.DUMMYFUNCTION("""COMPUTED_VALUE"""),"")</f>
        <v/>
      </c>
      <c r="L922" s="4">
        <f>IFERROR(__xludf.DUMMYFUNCTION("""COMPUTED_VALUE"""),45949.2861126839)</f>
        <v>45949.28611</v>
      </c>
      <c r="M922" s="1" t="str">
        <f>IFERROR(__xludf.DUMMYFUNCTION("""COMPUTED_VALUE"""),"RFID")</f>
        <v>RFID</v>
      </c>
      <c r="N922" s="5">
        <f>IFERROR(__xludf.DUMMYFUNCTION("""COMPUTED_VALUE"""),0.007004078703703705)</f>
        <v>0.007004078704</v>
      </c>
      <c r="O922" s="5" t="str">
        <f>IFERROR(__xludf.DUMMYFUNCTION("""COMPUTED_VALUE"""),"")</f>
        <v/>
      </c>
      <c r="P922" s="5" t="str">
        <f>IFERROR(__xludf.DUMMYFUNCTION("""COMPUTED_VALUE"""),"")</f>
        <v/>
      </c>
      <c r="Q922" s="5">
        <f>IFERROR(__xludf.DUMMYFUNCTION("""COMPUTED_VALUE"""),0.006233724537037038)</f>
        <v>0.006233724537</v>
      </c>
      <c r="R922" s="4">
        <f>IFERROR(__xludf.DUMMYFUNCTION("""COMPUTED_VALUE"""),45949.0311686214)</f>
        <v>45949.03117</v>
      </c>
      <c r="S922" s="1" t="b">
        <f>IFERROR(__xludf.DUMMYFUNCTION("""COMPUTED_VALUE"""),TRUE)</f>
        <v>1</v>
      </c>
      <c r="T922" s="1" t="b">
        <f>IFERROR(__xludf.DUMMYFUNCTION("""COMPUTED_VALUE"""),FALSE)</f>
        <v>0</v>
      </c>
      <c r="U922" s="1" t="str">
        <f>IFERROR(__xludf.DUMMYFUNCTION("""COMPUTED_VALUE"""),"VALID")</f>
        <v>VALID</v>
      </c>
      <c r="V922" s="1">
        <f>IFERROR(__xludf.DUMMYFUNCTION("""COMPUTED_VALUE"""),19.0)</f>
        <v>19</v>
      </c>
      <c r="W922" s="1">
        <f>IFERROR(__xludf.DUMMYFUNCTION("""COMPUTED_VALUE"""),639.0)</f>
        <v>639</v>
      </c>
      <c r="X922" s="1">
        <f>IFERROR(__xludf.DUMMYFUNCTION("""COMPUTED_VALUE"""),120.0)</f>
        <v>120</v>
      </c>
      <c r="Y922" s="2"/>
      <c r="Z922" s="2"/>
    </row>
    <row r="923">
      <c r="A923" s="1">
        <f>IFERROR(__xludf.DUMMYFUNCTION("""COMPUTED_VALUE"""),922.0)</f>
        <v>922</v>
      </c>
      <c r="B923" s="1">
        <f>IFERROR(__xludf.DUMMYFUNCTION("""COMPUTED_VALUE"""),7107.0)</f>
        <v>7107</v>
      </c>
      <c r="C923" s="2" t="str">
        <f>IFERROR(__xludf.DUMMYFUNCTION("""COMPUTED_VALUE"""),"wulandari_miss")</f>
        <v>wulandari_miss</v>
      </c>
      <c r="D923" s="2" t="str">
        <f>IFERROR(__xludf.DUMMYFUNCTION("""COMPUTED_VALUE"""),"5KM MASTER F")</f>
        <v>5KM MASTER F</v>
      </c>
      <c r="E923" s="1">
        <f>IFERROR(__xludf.DUMMYFUNCTION("""COMPUTED_VALUE"""),2.0)</f>
        <v>2</v>
      </c>
      <c r="F923" s="1" t="str">
        <f>IFERROR(__xludf.DUMMYFUNCTION("""COMPUTED_VALUE"""),"Female")</f>
        <v>Female</v>
      </c>
      <c r="G923" s="4" t="b">
        <f>IFERROR(__xludf.DUMMYFUNCTION("""COMPUTED_VALUE"""),TRUE)</f>
        <v>1</v>
      </c>
      <c r="H923" s="4" t="b">
        <f>IFERROR(__xludf.DUMMYFUNCTION("""COMPUTED_VALUE"""),TRUE)</f>
        <v>1</v>
      </c>
      <c r="I923" s="4">
        <f>IFERROR(__xludf.DUMMYFUNCTION("""COMPUTED_VALUE"""),0.2549440625)</f>
        <v>0.2549440625</v>
      </c>
      <c r="J923" s="4">
        <f>IFERROR(__xludf.DUMMYFUNCTION("""COMPUTED_VALUE"""),45949.27756487968)</f>
        <v>45949.27756</v>
      </c>
      <c r="K923" s="4" t="str">
        <f>IFERROR(__xludf.DUMMYFUNCTION("""COMPUTED_VALUE"""),"")</f>
        <v/>
      </c>
      <c r="L923" s="4">
        <f>IFERROR(__xludf.DUMMYFUNCTION("""COMPUTED_VALUE"""),45949.29433143097)</f>
        <v>45949.29433</v>
      </c>
      <c r="M923" s="1" t="str">
        <f>IFERROR(__xludf.DUMMYFUNCTION("""COMPUTED_VALUE"""),"RFID")</f>
        <v>RFID</v>
      </c>
      <c r="N923" s="5">
        <f>IFERROR(__xludf.DUMMYFUNCTION("""COMPUTED_VALUE"""),0.009048328703703704)</f>
        <v>0.009048328704</v>
      </c>
      <c r="O923" s="5" t="str">
        <f>IFERROR(__xludf.DUMMYFUNCTION("""COMPUTED_VALUE"""),"")</f>
        <v/>
      </c>
      <c r="P923" s="5" t="str">
        <f>IFERROR(__xludf.DUMMYFUNCTION("""COMPUTED_VALUE"""),"")</f>
        <v/>
      </c>
      <c r="Q923" s="5">
        <f>IFERROR(__xludf.DUMMYFUNCTION("""COMPUTED_VALUE"""),0.007877474537037037)</f>
        <v>0.007877474537</v>
      </c>
      <c r="R923" s="4">
        <f>IFERROR(__xludf.DUMMYFUNCTION("""COMPUTED_VALUE"""),45949.039387368466)</f>
        <v>45949.03939</v>
      </c>
      <c r="S923" s="1" t="b">
        <f>IFERROR(__xludf.DUMMYFUNCTION("""COMPUTED_VALUE"""),TRUE)</f>
        <v>1</v>
      </c>
      <c r="T923" s="1" t="b">
        <f>IFERROR(__xludf.DUMMYFUNCTION("""COMPUTED_VALUE"""),FALSE)</f>
        <v>0</v>
      </c>
      <c r="U923" s="1" t="str">
        <f>IFERROR(__xludf.DUMMYFUNCTION("""COMPUTED_VALUE"""),"VALID")</f>
        <v>VALID</v>
      </c>
      <c r="V923" s="1">
        <f>IFERROR(__xludf.DUMMYFUNCTION("""COMPUTED_VALUE"""),46.0)</f>
        <v>46</v>
      </c>
      <c r="W923" s="1">
        <f>IFERROR(__xludf.DUMMYFUNCTION("""COMPUTED_VALUE"""),1203.0)</f>
        <v>1203</v>
      </c>
      <c r="X923" s="1">
        <f>IFERROR(__xludf.DUMMYFUNCTION("""COMPUTED_VALUE"""),365.0)</f>
        <v>365</v>
      </c>
      <c r="Y923" s="2"/>
      <c r="Z923" s="2"/>
    </row>
    <row r="924">
      <c r="A924" s="1">
        <f>IFERROR(__xludf.DUMMYFUNCTION("""COMPUTED_VALUE"""),923.0)</f>
        <v>923</v>
      </c>
      <c r="B924" s="1">
        <f>IFERROR(__xludf.DUMMYFUNCTION("""COMPUTED_VALUE"""),7108.0)</f>
        <v>7108</v>
      </c>
      <c r="C924" s="2" t="str">
        <f>IFERROR(__xludf.DUMMYFUNCTION("""COMPUTED_VALUE"""),"Sofia24")</f>
        <v>Sofia24</v>
      </c>
      <c r="D924" s="2" t="str">
        <f>IFERROR(__xludf.DUMMYFUNCTION("""COMPUTED_VALUE"""),"5KM MASTER F")</f>
        <v>5KM MASTER F</v>
      </c>
      <c r="E924" s="1">
        <f>IFERROR(__xludf.DUMMYFUNCTION("""COMPUTED_VALUE"""),2.0)</f>
        <v>2</v>
      </c>
      <c r="F924" s="1" t="str">
        <f>IFERROR(__xludf.DUMMYFUNCTION("""COMPUTED_VALUE"""),"Female")</f>
        <v>Female</v>
      </c>
      <c r="G924" s="4" t="b">
        <f>IFERROR(__xludf.DUMMYFUNCTION("""COMPUTED_VALUE"""),TRUE)</f>
        <v>1</v>
      </c>
      <c r="H924" s="4" t="b">
        <f>IFERROR(__xludf.DUMMYFUNCTION("""COMPUTED_VALUE"""),FALSE)</f>
        <v>0</v>
      </c>
      <c r="I924" s="4">
        <f>IFERROR(__xludf.DUMMYFUNCTION("""COMPUTED_VALUE"""),0.2549440625)</f>
        <v>0.2549440625</v>
      </c>
      <c r="J924" s="4">
        <f>IFERROR(__xludf.DUMMYFUNCTION("""COMPUTED_VALUE"""),45949.277794051115)</f>
        <v>45949.27779</v>
      </c>
      <c r="K924" s="4" t="str">
        <f>IFERROR(__xludf.DUMMYFUNCTION("""COMPUTED_VALUE"""),"")</f>
        <v/>
      </c>
      <c r="L924" s="4">
        <f>IFERROR(__xludf.DUMMYFUNCTION("""COMPUTED_VALUE"""),45949.29539740752)</f>
        <v>45949.2954</v>
      </c>
      <c r="M924" s="1" t="str">
        <f>IFERROR(__xludf.DUMMYFUNCTION("""COMPUTED_VALUE"""),"RFID")</f>
        <v>RFID</v>
      </c>
      <c r="N924" s="5">
        <f>IFERROR(__xludf.DUMMYFUNCTION("""COMPUTED_VALUE"""),0.00913999537037037)</f>
        <v>0.00913999537</v>
      </c>
      <c r="O924" s="5" t="str">
        <f>IFERROR(__xludf.DUMMYFUNCTION("""COMPUTED_VALUE"""),"")</f>
        <v/>
      </c>
      <c r="P924" s="5" t="str">
        <f>IFERROR(__xludf.DUMMYFUNCTION("""COMPUTED_VALUE"""),"")</f>
        <v/>
      </c>
      <c r="Q924" s="5">
        <f>IFERROR(__xludf.DUMMYFUNCTION("""COMPUTED_VALUE"""),0.008090668981481482)</f>
        <v>0.008090668981</v>
      </c>
      <c r="R924" s="4">
        <f>IFERROR(__xludf.DUMMYFUNCTION("""COMPUTED_VALUE"""),45949.04045334502)</f>
        <v>45949.04045</v>
      </c>
      <c r="S924" s="1" t="b">
        <f>IFERROR(__xludf.DUMMYFUNCTION("""COMPUTED_VALUE"""),TRUE)</f>
        <v>1</v>
      </c>
      <c r="T924" s="1" t="b">
        <f>IFERROR(__xludf.DUMMYFUNCTION("""COMPUTED_VALUE"""),FALSE)</f>
        <v>0</v>
      </c>
      <c r="U924" s="1" t="str">
        <f>IFERROR(__xludf.DUMMYFUNCTION("""COMPUTED_VALUE"""),"VALID")</f>
        <v>VALID</v>
      </c>
      <c r="V924" s="1">
        <f>IFERROR(__xludf.DUMMYFUNCTION("""COMPUTED_VALUE"""),49.0)</f>
        <v>49</v>
      </c>
      <c r="W924" s="1">
        <f>IFERROR(__xludf.DUMMYFUNCTION("""COMPUTED_VALUE"""),1270.0)</f>
        <v>1270</v>
      </c>
      <c r="X924" s="1">
        <f>IFERROR(__xludf.DUMMYFUNCTION("""COMPUTED_VALUE"""),399.0)</f>
        <v>399</v>
      </c>
      <c r="Y924" s="2"/>
      <c r="Z924" s="2"/>
    </row>
    <row r="925">
      <c r="A925" s="1">
        <f>IFERROR(__xludf.DUMMYFUNCTION("""COMPUTED_VALUE"""),924.0)</f>
        <v>924</v>
      </c>
      <c r="B925" s="1">
        <f>IFERROR(__xludf.DUMMYFUNCTION("""COMPUTED_VALUE"""),7111.0)</f>
        <v>7111</v>
      </c>
      <c r="C925" s="2" t="str">
        <f>IFERROR(__xludf.DUMMYFUNCTION("""COMPUTED_VALUE"""),"TRYA ENGINEER BITES")</f>
        <v>TRYA ENGINEER BITES</v>
      </c>
      <c r="D925" s="2" t="str">
        <f>IFERROR(__xludf.DUMMYFUNCTION("""COMPUTED_VALUE"""),"5KM MASTER F")</f>
        <v>5KM MASTER F</v>
      </c>
      <c r="E925" s="1">
        <f>IFERROR(__xludf.DUMMYFUNCTION("""COMPUTED_VALUE"""),2.0)</f>
        <v>2</v>
      </c>
      <c r="F925" s="1" t="str">
        <f>IFERROR(__xludf.DUMMYFUNCTION("""COMPUTED_VALUE"""),"Female")</f>
        <v>Female</v>
      </c>
      <c r="G925" s="4" t="b">
        <f>IFERROR(__xludf.DUMMYFUNCTION("""COMPUTED_VALUE"""),TRUE)</f>
        <v>1</v>
      </c>
      <c r="H925" s="4" t="b">
        <f>IFERROR(__xludf.DUMMYFUNCTION("""COMPUTED_VALUE"""),TRUE)</f>
        <v>1</v>
      </c>
      <c r="I925" s="4">
        <f>IFERROR(__xludf.DUMMYFUNCTION("""COMPUTED_VALUE"""),0.2549440625)</f>
        <v>0.2549440625</v>
      </c>
      <c r="J925" s="4">
        <f>IFERROR(__xludf.DUMMYFUNCTION("""COMPUTED_VALUE"""),45949.28068294711)</f>
        <v>45949.28068</v>
      </c>
      <c r="K925" s="4" t="str">
        <f>IFERROR(__xludf.DUMMYFUNCTION("""COMPUTED_VALUE"""),"")</f>
        <v/>
      </c>
      <c r="L925" s="4">
        <f>IFERROR(__xludf.DUMMYFUNCTION("""COMPUTED_VALUE"""),45949.296258448834)</f>
        <v>45949.29626</v>
      </c>
      <c r="M925" s="1" t="str">
        <f>IFERROR(__xludf.DUMMYFUNCTION("""COMPUTED_VALUE"""),"RFID")</f>
        <v>RFID</v>
      </c>
      <c r="N925" s="5">
        <f>IFERROR(__xludf.DUMMYFUNCTION("""COMPUTED_VALUE"""),0.010295555555555556)</f>
        <v>0.01029555556</v>
      </c>
      <c r="O925" s="5" t="str">
        <f>IFERROR(__xludf.DUMMYFUNCTION("""COMPUTED_VALUE"""),"")</f>
        <v/>
      </c>
      <c r="P925" s="5" t="str">
        <f>IFERROR(__xludf.DUMMYFUNCTION("""COMPUTED_VALUE"""),"")</f>
        <v/>
      </c>
      <c r="Q925" s="5">
        <f>IFERROR(__xludf.DUMMYFUNCTION("""COMPUTED_VALUE"""),0.008262877314814815)</f>
        <v>0.008262877315</v>
      </c>
      <c r="R925" s="4">
        <f>IFERROR(__xludf.DUMMYFUNCTION("""COMPUTED_VALUE"""),45949.04131438633)</f>
        <v>45949.04131</v>
      </c>
      <c r="S925" s="1" t="b">
        <f>IFERROR(__xludf.DUMMYFUNCTION("""COMPUTED_VALUE"""),TRUE)</f>
        <v>1</v>
      </c>
      <c r="T925" s="1" t="b">
        <f>IFERROR(__xludf.DUMMYFUNCTION("""COMPUTED_VALUE"""),FALSE)</f>
        <v>0</v>
      </c>
      <c r="U925" s="1" t="str">
        <f>IFERROR(__xludf.DUMMYFUNCTION("""COMPUTED_VALUE"""),"VALID")</f>
        <v>VALID</v>
      </c>
      <c r="V925" s="1">
        <f>IFERROR(__xludf.DUMMYFUNCTION("""COMPUTED_VALUE"""),51.0)</f>
        <v>51</v>
      </c>
      <c r="W925" s="1">
        <f>IFERROR(__xludf.DUMMYFUNCTION("""COMPUTED_VALUE"""),1300.0)</f>
        <v>1300</v>
      </c>
      <c r="X925" s="1">
        <f>IFERROR(__xludf.DUMMYFUNCTION("""COMPUTED_VALUE"""),418.0)</f>
        <v>418</v>
      </c>
      <c r="Y925" s="2"/>
      <c r="Z925" s="2"/>
    </row>
    <row r="926">
      <c r="A926" s="1">
        <f>IFERROR(__xludf.DUMMYFUNCTION("""COMPUTED_VALUE"""),925.0)</f>
        <v>925</v>
      </c>
      <c r="B926" s="1">
        <f>IFERROR(__xludf.DUMMYFUNCTION("""COMPUTED_VALUE"""),7112.0)</f>
        <v>7112</v>
      </c>
      <c r="C926" s="2" t="str">
        <f>IFERROR(__xludf.DUMMYFUNCTION("""COMPUTED_VALUE"""),"Lian")</f>
        <v>Lian</v>
      </c>
      <c r="D926" s="2" t="str">
        <f>IFERROR(__xludf.DUMMYFUNCTION("""COMPUTED_VALUE"""),"5KM MASTER F")</f>
        <v>5KM MASTER F</v>
      </c>
      <c r="E926" s="1">
        <f>IFERROR(__xludf.DUMMYFUNCTION("""COMPUTED_VALUE"""),2.0)</f>
        <v>2</v>
      </c>
      <c r="F926" s="1" t="str">
        <f>IFERROR(__xludf.DUMMYFUNCTION("""COMPUTED_VALUE"""),"Female")</f>
        <v>Female</v>
      </c>
      <c r="G926" s="4" t="str">
        <f>IFERROR(__xludf.DUMMYFUNCTION("""COMPUTED_VALUE"""),"")</f>
        <v/>
      </c>
      <c r="H926" s="4" t="b">
        <f>IFERROR(__xludf.DUMMYFUNCTION("""COMPUTED_VALUE"""),FALSE)</f>
        <v>0</v>
      </c>
      <c r="I926" s="4">
        <f>IFERROR(__xludf.DUMMYFUNCTION("""COMPUTED_VALUE"""),0.2549440625)</f>
        <v>0.2549440625</v>
      </c>
      <c r="J926" s="4" t="str">
        <f>IFERROR(__xludf.DUMMYFUNCTION("""COMPUTED_VALUE"""),"")</f>
        <v/>
      </c>
      <c r="K926" s="4" t="str">
        <f>IFERROR(__xludf.DUMMYFUNCTION("""COMPUTED_VALUE"""),"")</f>
        <v/>
      </c>
      <c r="L926" s="4" t="str">
        <f>IFERROR(__xludf.DUMMYFUNCTION("""COMPUTED_VALUE"""),"")</f>
        <v/>
      </c>
      <c r="M926" s="1" t="str">
        <f>IFERROR(__xludf.DUMMYFUNCTION("""COMPUTED_VALUE"""),"RFID")</f>
        <v>RFID</v>
      </c>
      <c r="N926" s="5" t="str">
        <f>IFERROR(__xludf.DUMMYFUNCTION("""COMPUTED_VALUE"""),"")</f>
        <v/>
      </c>
      <c r="O926" s="5" t="str">
        <f>IFERROR(__xludf.DUMMYFUNCTION("""COMPUTED_VALUE"""),"")</f>
        <v/>
      </c>
      <c r="P926" s="5" t="str">
        <f>IFERROR(__xludf.DUMMYFUNCTION("""COMPUTED_VALUE"""),"")</f>
        <v/>
      </c>
      <c r="Q926" s="5" t="str">
        <f>IFERROR(__xludf.DUMMYFUNCTION("""COMPUTED_VALUE"""),"")</f>
        <v/>
      </c>
      <c r="R926" s="4" t="str">
        <f>IFERROR(__xludf.DUMMYFUNCTION("""COMPUTED_VALUE"""),"")</f>
        <v/>
      </c>
      <c r="S926" s="1" t="b">
        <f>IFERROR(__xludf.DUMMYFUNCTION("""COMPUTED_VALUE"""),FALSE)</f>
        <v>0</v>
      </c>
      <c r="T926" s="1" t="b">
        <f>IFERROR(__xludf.DUMMYFUNCTION("""COMPUTED_VALUE"""),FALSE)</f>
        <v>0</v>
      </c>
      <c r="U926" s="1" t="str">
        <f>IFERROR(__xludf.DUMMYFUNCTION("""COMPUTED_VALUE"""),"DSQ")</f>
        <v>DSQ</v>
      </c>
      <c r="V926" s="1" t="str">
        <f>IFERROR(__xludf.DUMMYFUNCTION("""COMPUTED_VALUE"""),"DSQ")</f>
        <v>DSQ</v>
      </c>
      <c r="W926" s="1" t="str">
        <f>IFERROR(__xludf.DUMMYFUNCTION("""COMPUTED_VALUE"""),"DSQ")</f>
        <v>DSQ</v>
      </c>
      <c r="X926" s="1" t="str">
        <f>IFERROR(__xludf.DUMMYFUNCTION("""COMPUTED_VALUE"""),"DSQ")</f>
        <v>DSQ</v>
      </c>
      <c r="Y926" s="2"/>
      <c r="Z926" s="2" t="str">
        <f>IFERROR(__xludf.DUMMYFUNCTION("""COMPUTED_VALUE"""),"")</f>
        <v/>
      </c>
    </row>
    <row r="927">
      <c r="A927" s="1">
        <f>IFERROR(__xludf.DUMMYFUNCTION("""COMPUTED_VALUE"""),926.0)</f>
        <v>926</v>
      </c>
      <c r="B927" s="7" t="str">
        <f>IFERROR(__xludf.DUMMYFUNCTION("""COMPUTED_VALUE"""),"7127")</f>
        <v>7127</v>
      </c>
      <c r="C927" s="8" t="str">
        <f>IFERROR(__xludf.DUMMYFUNCTION("""COMPUTED_VALUE"""),"mariam")</f>
        <v>mariam</v>
      </c>
      <c r="D927" s="2" t="str">
        <f>IFERROR(__xludf.DUMMYFUNCTION("""COMPUTED_VALUE"""),"5KM MASTER F")</f>
        <v>5KM MASTER F</v>
      </c>
      <c r="E927" s="1">
        <f>IFERROR(__xludf.DUMMYFUNCTION("""COMPUTED_VALUE"""),2.0)</f>
        <v>2</v>
      </c>
      <c r="F927" s="1" t="str">
        <f>IFERROR(__xludf.DUMMYFUNCTION("""COMPUTED_VALUE"""),"Female")</f>
        <v>Female</v>
      </c>
      <c r="G927" s="4" t="b">
        <f>IFERROR(__xludf.DUMMYFUNCTION("""COMPUTED_VALUE"""),TRUE)</f>
        <v>1</v>
      </c>
      <c r="H927" s="4" t="b">
        <f>IFERROR(__xludf.DUMMYFUNCTION("""COMPUTED_VALUE"""),TRUE)</f>
        <v>1</v>
      </c>
      <c r="I927" s="4">
        <f>IFERROR(__xludf.DUMMYFUNCTION("""COMPUTED_VALUE"""),0.2549440625)</f>
        <v>0.2549440625</v>
      </c>
      <c r="J927" s="4">
        <f>IFERROR(__xludf.DUMMYFUNCTION("""COMPUTED_VALUE"""),45949.28414126735)</f>
        <v>45949.28414</v>
      </c>
      <c r="K927" s="4" t="str">
        <f>IFERROR(__xludf.DUMMYFUNCTION("""COMPUTED_VALUE"""),"")</f>
        <v/>
      </c>
      <c r="L927" s="4">
        <f>IFERROR(__xludf.DUMMYFUNCTION("""COMPUTED_VALUE"""),45949.30694947572)</f>
        <v>45949.30695</v>
      </c>
      <c r="M927" s="1" t="str">
        <f>IFERROR(__xludf.DUMMYFUNCTION("""COMPUTED_VALUE"""),"RFID")</f>
        <v>RFID</v>
      </c>
      <c r="N927" s="5">
        <f>IFERROR(__xludf.DUMMYFUNCTION("""COMPUTED_VALUE"""),0.01167887962962963)</f>
        <v>0.01167887963</v>
      </c>
      <c r="O927" s="5" t="str">
        <f>IFERROR(__xludf.DUMMYFUNCTION("""COMPUTED_VALUE"""),"")</f>
        <v/>
      </c>
      <c r="P927" s="5" t="str">
        <f>IFERROR(__xludf.DUMMYFUNCTION("""COMPUTED_VALUE"""),"")</f>
        <v/>
      </c>
      <c r="Q927" s="5">
        <f>IFERROR(__xludf.DUMMYFUNCTION("""COMPUTED_VALUE"""),0.010401083333333333)</f>
        <v>0.01040108333</v>
      </c>
      <c r="R927" s="4">
        <f>IFERROR(__xludf.DUMMYFUNCTION("""COMPUTED_VALUE"""),45949.05200541322)</f>
        <v>45949.05201</v>
      </c>
      <c r="S927" s="1" t="b">
        <f>IFERROR(__xludf.DUMMYFUNCTION("""COMPUTED_VALUE"""),TRUE)</f>
        <v>1</v>
      </c>
      <c r="T927" s="1" t="b">
        <f>IFERROR(__xludf.DUMMYFUNCTION("""COMPUTED_VALUE"""),FALSE)</f>
        <v>0</v>
      </c>
      <c r="U927" s="1" t="str">
        <f>IFERROR(__xludf.DUMMYFUNCTION("""COMPUTED_VALUE"""),"VALID")</f>
        <v>VALID</v>
      </c>
      <c r="V927" s="1">
        <f>IFERROR(__xludf.DUMMYFUNCTION("""COMPUTED_VALUE"""),57.0)</f>
        <v>57</v>
      </c>
      <c r="W927" s="1">
        <f>IFERROR(__xludf.DUMMYFUNCTION("""COMPUTED_VALUE"""),1585.0)</f>
        <v>1585</v>
      </c>
      <c r="X927" s="1">
        <f>IFERROR(__xludf.DUMMYFUNCTION("""COMPUTED_VALUE"""),606.0)</f>
        <v>606</v>
      </c>
      <c r="Y927" s="2"/>
      <c r="Z927" s="2"/>
    </row>
    <row r="928">
      <c r="A928" s="1">
        <f>IFERROR(__xludf.DUMMYFUNCTION("""COMPUTED_VALUE"""),927.0)</f>
        <v>927</v>
      </c>
      <c r="B928" s="7" t="str">
        <f>IFERROR(__xludf.DUMMYFUNCTION("""COMPUTED_VALUE"""),"7128")</f>
        <v>7128</v>
      </c>
      <c r="C928" s="8" t="str">
        <f>IFERROR(__xludf.DUMMYFUNCTION("""COMPUTED_VALUE"""),"Khairunnisa")</f>
        <v>Khairunnisa</v>
      </c>
      <c r="D928" s="2" t="str">
        <f>IFERROR(__xludf.DUMMYFUNCTION("""COMPUTED_VALUE"""),"5KM MASTER F")</f>
        <v>5KM MASTER F</v>
      </c>
      <c r="E928" s="1">
        <f>IFERROR(__xludf.DUMMYFUNCTION("""COMPUTED_VALUE"""),2.0)</f>
        <v>2</v>
      </c>
      <c r="F928" s="1" t="str">
        <f>IFERROR(__xludf.DUMMYFUNCTION("""COMPUTED_VALUE"""),"Female")</f>
        <v>Female</v>
      </c>
      <c r="G928" s="4" t="b">
        <f>IFERROR(__xludf.DUMMYFUNCTION("""COMPUTED_VALUE"""),TRUE)</f>
        <v>1</v>
      </c>
      <c r="H928" s="4" t="b">
        <f>IFERROR(__xludf.DUMMYFUNCTION("""COMPUTED_VALUE"""),TRUE)</f>
        <v>1</v>
      </c>
      <c r="I928" s="4">
        <f>IFERROR(__xludf.DUMMYFUNCTION("""COMPUTED_VALUE"""),0.2549440625)</f>
        <v>0.2549440625</v>
      </c>
      <c r="J928" s="4">
        <f>IFERROR(__xludf.DUMMYFUNCTION("""COMPUTED_VALUE"""),45949.27012043337)</f>
        <v>45949.27012</v>
      </c>
      <c r="K928" s="4" t="str">
        <f>IFERROR(__xludf.DUMMYFUNCTION("""COMPUTED_VALUE"""),"")</f>
        <v/>
      </c>
      <c r="L928" s="4">
        <f>IFERROR(__xludf.DUMMYFUNCTION("""COMPUTED_VALUE"""),45949.28292519631)</f>
        <v>45949.28293</v>
      </c>
      <c r="M928" s="1" t="str">
        <f>IFERROR(__xludf.DUMMYFUNCTION("""COMPUTED_VALUE"""),"RFID")</f>
        <v>RFID</v>
      </c>
      <c r="N928" s="5">
        <f>IFERROR(__xludf.DUMMYFUNCTION("""COMPUTED_VALUE"""),0.006070546296296297)</f>
        <v>0.006070546296</v>
      </c>
      <c r="O928" s="5" t="str">
        <f>IFERROR(__xludf.DUMMYFUNCTION("""COMPUTED_VALUE"""),"")</f>
        <v/>
      </c>
      <c r="P928" s="5" t="str">
        <f>IFERROR(__xludf.DUMMYFUNCTION("""COMPUTED_VALUE"""),"")</f>
        <v/>
      </c>
      <c r="Q928" s="5">
        <f>IFERROR(__xludf.DUMMYFUNCTION("""COMPUTED_VALUE"""),0.005596226851851852)</f>
        <v>0.005596226852</v>
      </c>
      <c r="R928" s="4">
        <f>IFERROR(__xludf.DUMMYFUNCTION("""COMPUTED_VALUE"""),45949.02798113381)</f>
        <v>45949.02798</v>
      </c>
      <c r="S928" s="1" t="b">
        <f>IFERROR(__xludf.DUMMYFUNCTION("""COMPUTED_VALUE"""),TRUE)</f>
        <v>1</v>
      </c>
      <c r="T928" s="1" t="b">
        <f>IFERROR(__xludf.DUMMYFUNCTION("""COMPUTED_VALUE"""),FALSE)</f>
        <v>0</v>
      </c>
      <c r="U928" s="1" t="str">
        <f>IFERROR(__xludf.DUMMYFUNCTION("""COMPUTED_VALUE"""),"VALID")</f>
        <v>VALID</v>
      </c>
      <c r="V928" s="1">
        <f>IFERROR(__xludf.DUMMYFUNCTION("""COMPUTED_VALUE"""),15.0)</f>
        <v>15</v>
      </c>
      <c r="W928" s="1">
        <f>IFERROR(__xludf.DUMMYFUNCTION("""COMPUTED_VALUE"""),433.0)</f>
        <v>433</v>
      </c>
      <c r="X928" s="1">
        <f>IFERROR(__xludf.DUMMYFUNCTION("""COMPUTED_VALUE"""),64.0)</f>
        <v>64</v>
      </c>
      <c r="Y928" s="2"/>
      <c r="Z928" s="2"/>
    </row>
    <row r="929">
      <c r="A929" s="1">
        <f>IFERROR(__xludf.DUMMYFUNCTION("""COMPUTED_VALUE"""),928.0)</f>
        <v>928</v>
      </c>
      <c r="B929" s="7" t="str">
        <f>IFERROR(__xludf.DUMMYFUNCTION("""COMPUTED_VALUE"""),"7140")</f>
        <v>7140</v>
      </c>
      <c r="C929" s="8" t="str">
        <f>IFERROR(__xludf.DUMMYFUNCTION("""COMPUTED_VALUE"""),"Jainah")</f>
        <v>Jainah</v>
      </c>
      <c r="D929" s="2" t="str">
        <f>IFERROR(__xludf.DUMMYFUNCTION("""COMPUTED_VALUE"""),"5KM MASTER F")</f>
        <v>5KM MASTER F</v>
      </c>
      <c r="E929" s="1">
        <f>IFERROR(__xludf.DUMMYFUNCTION("""COMPUTED_VALUE"""),2.0)</f>
        <v>2</v>
      </c>
      <c r="F929" s="1" t="str">
        <f>IFERROR(__xludf.DUMMYFUNCTION("""COMPUTED_VALUE"""),"Female")</f>
        <v>Female</v>
      </c>
      <c r="G929" s="4" t="b">
        <f>IFERROR(__xludf.DUMMYFUNCTION("""COMPUTED_VALUE"""),TRUE)</f>
        <v>1</v>
      </c>
      <c r="H929" s="4" t="b">
        <f>IFERROR(__xludf.DUMMYFUNCTION("""COMPUTED_VALUE"""),TRUE)</f>
        <v>1</v>
      </c>
      <c r="I929" s="4">
        <f>IFERROR(__xludf.DUMMYFUNCTION("""COMPUTED_VALUE"""),0.2549440625)</f>
        <v>0.2549440625</v>
      </c>
      <c r="J929" s="4">
        <f>IFERROR(__xludf.DUMMYFUNCTION("""COMPUTED_VALUE"""),45949.26551632568)</f>
        <v>45949.26552</v>
      </c>
      <c r="K929" s="4" t="str">
        <f>IFERROR(__xludf.DUMMYFUNCTION("""COMPUTED_VALUE"""),"")</f>
        <v/>
      </c>
      <c r="L929" s="4">
        <f>IFERROR(__xludf.DUMMYFUNCTION("""COMPUTED_VALUE"""),45949.27418900797)</f>
        <v>45949.27419</v>
      </c>
      <c r="M929" s="1" t="str">
        <f>IFERROR(__xludf.DUMMYFUNCTION("""COMPUTED_VALUE"""),"RFID")</f>
        <v>RFID</v>
      </c>
      <c r="N929" s="5">
        <f>IFERROR(__xludf.DUMMYFUNCTION("""COMPUTED_VALUE"""),0.004228907407407407)</f>
        <v>0.004228907407</v>
      </c>
      <c r="O929" s="5" t="str">
        <f>IFERROR(__xludf.DUMMYFUNCTION("""COMPUTED_VALUE"""),"")</f>
        <v/>
      </c>
      <c r="P929" s="5" t="str">
        <f>IFERROR(__xludf.DUMMYFUNCTION("""COMPUTED_VALUE"""),"")</f>
        <v/>
      </c>
      <c r="Q929" s="5">
        <f>IFERROR(__xludf.DUMMYFUNCTION("""COMPUTED_VALUE"""),0.0038489884259259254)</f>
        <v>0.003848988426</v>
      </c>
      <c r="R929" s="4">
        <f>IFERROR(__xludf.DUMMYFUNCTION("""COMPUTED_VALUE"""),45949.01924494547)</f>
        <v>45949.01924</v>
      </c>
      <c r="S929" s="1" t="b">
        <f>IFERROR(__xludf.DUMMYFUNCTION("""COMPUTED_VALUE"""),TRUE)</f>
        <v>1</v>
      </c>
      <c r="T929" s="1" t="b">
        <f>IFERROR(__xludf.DUMMYFUNCTION("""COMPUTED_VALUE"""),FALSE)</f>
        <v>0</v>
      </c>
      <c r="U929" s="1" t="str">
        <f>IFERROR(__xludf.DUMMYFUNCTION("""COMPUTED_VALUE"""),"VALID")</f>
        <v>VALID</v>
      </c>
      <c r="V929" s="1">
        <f>IFERROR(__xludf.DUMMYFUNCTION("""COMPUTED_VALUE"""),3.0)</f>
        <v>3</v>
      </c>
      <c r="W929" s="1">
        <f>IFERROR(__xludf.DUMMYFUNCTION("""COMPUTED_VALUE"""),94.0)</f>
        <v>94</v>
      </c>
      <c r="X929" s="1">
        <f>IFERROR(__xludf.DUMMYFUNCTION("""COMPUTED_VALUE"""),10.0)</f>
        <v>10</v>
      </c>
      <c r="Y929" s="2"/>
      <c r="Z929" s="2"/>
    </row>
    <row r="930">
      <c r="A930" s="1">
        <f>IFERROR(__xludf.DUMMYFUNCTION("""COMPUTED_VALUE"""),929.0)</f>
        <v>929</v>
      </c>
      <c r="B930" s="7" t="str">
        <f>IFERROR(__xludf.DUMMYFUNCTION("""COMPUTED_VALUE"""),"7141")</f>
        <v>7141</v>
      </c>
      <c r="C930" s="8" t="str">
        <f>IFERROR(__xludf.DUMMYFUNCTION("""COMPUTED_VALUE"""),"Dian Anggraita")</f>
        <v>Dian Anggraita</v>
      </c>
      <c r="D930" s="2" t="str">
        <f>IFERROR(__xludf.DUMMYFUNCTION("""COMPUTED_VALUE"""),"5KM MASTER F")</f>
        <v>5KM MASTER F</v>
      </c>
      <c r="E930" s="1">
        <f>IFERROR(__xludf.DUMMYFUNCTION("""COMPUTED_VALUE"""),2.0)</f>
        <v>2</v>
      </c>
      <c r="F930" s="1" t="str">
        <f>IFERROR(__xludf.DUMMYFUNCTION("""COMPUTED_VALUE"""),"Female")</f>
        <v>Female</v>
      </c>
      <c r="G930" s="4" t="b">
        <f>IFERROR(__xludf.DUMMYFUNCTION("""COMPUTED_VALUE"""),TRUE)</f>
        <v>1</v>
      </c>
      <c r="H930" s="4" t="b">
        <f>IFERROR(__xludf.DUMMYFUNCTION("""COMPUTED_VALUE"""),FALSE)</f>
        <v>0</v>
      </c>
      <c r="I930" s="4">
        <f>IFERROR(__xludf.DUMMYFUNCTION("""COMPUTED_VALUE"""),0.2549440625)</f>
        <v>0.2549440625</v>
      </c>
      <c r="J930" s="4">
        <f>IFERROR(__xludf.DUMMYFUNCTION("""COMPUTED_VALUE"""),45949.27830794594)</f>
        <v>45949.27831</v>
      </c>
      <c r="K930" s="4" t="str">
        <f>IFERROR(__xludf.DUMMYFUNCTION("""COMPUTED_VALUE"""),"")</f>
        <v/>
      </c>
      <c r="L930" s="4">
        <f>IFERROR(__xludf.DUMMYFUNCTION("""COMPUTED_VALUE"""),45949.29402588319)</f>
        <v>45949.29403</v>
      </c>
      <c r="M930" s="1" t="str">
        <f>IFERROR(__xludf.DUMMYFUNCTION("""COMPUTED_VALUE"""),"RFID")</f>
        <v>RFID</v>
      </c>
      <c r="N930" s="5">
        <f>IFERROR(__xludf.DUMMYFUNCTION("""COMPUTED_VALUE"""),0.009345555555555555)</f>
        <v>0.009345555556</v>
      </c>
      <c r="O930" s="5" t="str">
        <f>IFERROR(__xludf.DUMMYFUNCTION("""COMPUTED_VALUE"""),"")</f>
        <v/>
      </c>
      <c r="P930" s="5" t="str">
        <f>IFERROR(__xludf.DUMMYFUNCTION("""COMPUTED_VALUE"""),"")</f>
        <v/>
      </c>
      <c r="Q930" s="5">
        <f>IFERROR(__xludf.DUMMYFUNCTION("""COMPUTED_VALUE"""),0.007816363425925926)</f>
        <v>0.007816363426</v>
      </c>
      <c r="R930" s="4">
        <f>IFERROR(__xludf.DUMMYFUNCTION("""COMPUTED_VALUE"""),45949.03908182069)</f>
        <v>45949.03908</v>
      </c>
      <c r="S930" s="1" t="b">
        <f>IFERROR(__xludf.DUMMYFUNCTION("""COMPUTED_VALUE"""),TRUE)</f>
        <v>1</v>
      </c>
      <c r="T930" s="1" t="b">
        <f>IFERROR(__xludf.DUMMYFUNCTION("""COMPUTED_VALUE"""),FALSE)</f>
        <v>0</v>
      </c>
      <c r="U930" s="1" t="str">
        <f>IFERROR(__xludf.DUMMYFUNCTION("""COMPUTED_VALUE"""),"VALID")</f>
        <v>VALID</v>
      </c>
      <c r="V930" s="1">
        <f>IFERROR(__xludf.DUMMYFUNCTION("""COMPUTED_VALUE"""),44.0)</f>
        <v>44</v>
      </c>
      <c r="W930" s="1">
        <f>IFERROR(__xludf.DUMMYFUNCTION("""COMPUTED_VALUE"""),1179.0)</f>
        <v>1179</v>
      </c>
      <c r="X930" s="1">
        <f>IFERROR(__xludf.DUMMYFUNCTION("""COMPUTED_VALUE"""),348.0)</f>
        <v>348</v>
      </c>
      <c r="Y930" s="2"/>
      <c r="Z930" s="2"/>
    </row>
    <row r="931">
      <c r="A931" s="1">
        <f>IFERROR(__xludf.DUMMYFUNCTION("""COMPUTED_VALUE"""),930.0)</f>
        <v>930</v>
      </c>
      <c r="B931" s="7" t="str">
        <f>IFERROR(__xludf.DUMMYFUNCTION("""COMPUTED_VALUE"""),"7144")</f>
        <v>7144</v>
      </c>
      <c r="C931" s="8" t="str">
        <f>IFERROR(__xludf.DUMMYFUNCTION("""COMPUTED_VALUE"""),"NINA")</f>
        <v>NINA</v>
      </c>
      <c r="D931" s="2" t="str">
        <f>IFERROR(__xludf.DUMMYFUNCTION("""COMPUTED_VALUE"""),"5KM MASTER F")</f>
        <v>5KM MASTER F</v>
      </c>
      <c r="E931" s="1">
        <f>IFERROR(__xludf.DUMMYFUNCTION("""COMPUTED_VALUE"""),2.0)</f>
        <v>2</v>
      </c>
      <c r="F931" s="1" t="str">
        <f>IFERROR(__xludf.DUMMYFUNCTION("""COMPUTED_VALUE"""),"Female")</f>
        <v>Female</v>
      </c>
      <c r="G931" s="4" t="b">
        <f>IFERROR(__xludf.DUMMYFUNCTION("""COMPUTED_VALUE"""),TRUE)</f>
        <v>1</v>
      </c>
      <c r="H931" s="4" t="b">
        <f>IFERROR(__xludf.DUMMYFUNCTION("""COMPUTED_VALUE"""),FALSE)</f>
        <v>0</v>
      </c>
      <c r="I931" s="4">
        <f>IFERROR(__xludf.DUMMYFUNCTION("""COMPUTED_VALUE"""),0.2549440625)</f>
        <v>0.2549440625</v>
      </c>
      <c r="J931" s="4">
        <f>IFERROR(__xludf.DUMMYFUNCTION("""COMPUTED_VALUE"""),45949.26830447191)</f>
        <v>45949.2683</v>
      </c>
      <c r="K931" s="4" t="str">
        <f>IFERROR(__xludf.DUMMYFUNCTION("""COMPUTED_VALUE"""),"")</f>
        <v/>
      </c>
      <c r="L931" s="4">
        <f>IFERROR(__xludf.DUMMYFUNCTION("""COMPUTED_VALUE"""),45949.27919600727)</f>
        <v>45949.2792</v>
      </c>
      <c r="M931" s="1" t="str">
        <f>IFERROR(__xludf.DUMMYFUNCTION("""COMPUTED_VALUE"""),"RFID")</f>
        <v>RFID</v>
      </c>
      <c r="N931" s="5">
        <f>IFERROR(__xludf.DUMMYFUNCTION("""COMPUTED_VALUE"""),0.005344162037037037)</f>
        <v>0.005344162037</v>
      </c>
      <c r="O931" s="5" t="str">
        <f>IFERROR(__xludf.DUMMYFUNCTION("""COMPUTED_VALUE"""),"")</f>
        <v/>
      </c>
      <c r="P931" s="5" t="str">
        <f>IFERROR(__xludf.DUMMYFUNCTION("""COMPUTED_VALUE"""),"")</f>
        <v/>
      </c>
      <c r="Q931" s="5">
        <f>IFERROR(__xludf.DUMMYFUNCTION("""COMPUTED_VALUE"""),0.0048503888888888885)</f>
        <v>0.004850388889</v>
      </c>
      <c r="R931" s="4">
        <f>IFERROR(__xludf.DUMMYFUNCTION("""COMPUTED_VALUE"""),45949.02425194477)</f>
        <v>45949.02425</v>
      </c>
      <c r="S931" s="1" t="b">
        <f>IFERROR(__xludf.DUMMYFUNCTION("""COMPUTED_VALUE"""),TRUE)</f>
        <v>1</v>
      </c>
      <c r="T931" s="1" t="b">
        <f>IFERROR(__xludf.DUMMYFUNCTION("""COMPUTED_VALUE"""),FALSE)</f>
        <v>0</v>
      </c>
      <c r="U931" s="1" t="str">
        <f>IFERROR(__xludf.DUMMYFUNCTION("""COMPUTED_VALUE"""),"VALID")</f>
        <v>VALID</v>
      </c>
      <c r="V931" s="1">
        <f>IFERROR(__xludf.DUMMYFUNCTION("""COMPUTED_VALUE"""),9.0)</f>
        <v>9</v>
      </c>
      <c r="W931" s="1">
        <f>IFERROR(__xludf.DUMMYFUNCTION("""COMPUTED_VALUE"""),257.0)</f>
        <v>257</v>
      </c>
      <c r="X931" s="1">
        <f>IFERROR(__xludf.DUMMYFUNCTION("""COMPUTED_VALUE"""),34.0)</f>
        <v>34</v>
      </c>
      <c r="Y931" s="2"/>
      <c r="Z931" s="2"/>
    </row>
    <row r="932">
      <c r="A932" s="1">
        <f>IFERROR(__xludf.DUMMYFUNCTION("""COMPUTED_VALUE"""),931.0)</f>
        <v>931</v>
      </c>
      <c r="B932" s="7" t="str">
        <f>IFERROR(__xludf.DUMMYFUNCTION("""COMPUTED_VALUE"""),"7145")</f>
        <v>7145</v>
      </c>
      <c r="C932" s="8" t="str">
        <f>IFERROR(__xludf.DUMMYFUNCTION("""COMPUTED_VALUE"""),"FIRDA")</f>
        <v>FIRDA</v>
      </c>
      <c r="D932" s="2" t="str">
        <f>IFERROR(__xludf.DUMMYFUNCTION("""COMPUTED_VALUE"""),"5KM MASTER F")</f>
        <v>5KM MASTER F</v>
      </c>
      <c r="E932" s="1">
        <f>IFERROR(__xludf.DUMMYFUNCTION("""COMPUTED_VALUE"""),2.0)</f>
        <v>2</v>
      </c>
      <c r="F932" s="1" t="str">
        <f>IFERROR(__xludf.DUMMYFUNCTION("""COMPUTED_VALUE"""),"Female")</f>
        <v>Female</v>
      </c>
      <c r="G932" s="4" t="b">
        <f>IFERROR(__xludf.DUMMYFUNCTION("""COMPUTED_VALUE"""),TRUE)</f>
        <v>1</v>
      </c>
      <c r="H932" s="4" t="b">
        <f>IFERROR(__xludf.DUMMYFUNCTION("""COMPUTED_VALUE"""),TRUE)</f>
        <v>1</v>
      </c>
      <c r="I932" s="4">
        <f>IFERROR(__xludf.DUMMYFUNCTION("""COMPUTED_VALUE"""),0.2549440625)</f>
        <v>0.2549440625</v>
      </c>
      <c r="J932" s="4">
        <f>IFERROR(__xludf.DUMMYFUNCTION("""COMPUTED_VALUE"""),45949.268544045925)</f>
        <v>45949.26854</v>
      </c>
      <c r="K932" s="4" t="str">
        <f>IFERROR(__xludf.DUMMYFUNCTION("""COMPUTED_VALUE"""),"")</f>
        <v/>
      </c>
      <c r="L932" s="4">
        <f>IFERROR(__xludf.DUMMYFUNCTION("""COMPUTED_VALUE"""),45949.27789392369)</f>
        <v>45949.27789</v>
      </c>
      <c r="M932" s="1" t="str">
        <f>IFERROR(__xludf.DUMMYFUNCTION("""COMPUTED_VALUE"""),"RFID")</f>
        <v>RFID</v>
      </c>
      <c r="N932" s="5">
        <f>IFERROR(__xludf.DUMMYFUNCTION("""COMPUTED_VALUE"""),0.00543999537037037)</f>
        <v>0.00543999537</v>
      </c>
      <c r="O932" s="5" t="str">
        <f>IFERROR(__xludf.DUMMYFUNCTION("""COMPUTED_VALUE"""),"")</f>
        <v/>
      </c>
      <c r="P932" s="5" t="str">
        <f>IFERROR(__xludf.DUMMYFUNCTION("""COMPUTED_VALUE"""),"")</f>
        <v/>
      </c>
      <c r="Q932" s="5">
        <f>IFERROR(__xludf.DUMMYFUNCTION("""COMPUTED_VALUE"""),0.004589972222222223)</f>
        <v>0.004589972222</v>
      </c>
      <c r="R932" s="4">
        <f>IFERROR(__xludf.DUMMYFUNCTION("""COMPUTED_VALUE"""),45949.02294986119)</f>
        <v>45949.02295</v>
      </c>
      <c r="S932" s="1" t="b">
        <f>IFERROR(__xludf.DUMMYFUNCTION("""COMPUTED_VALUE"""),TRUE)</f>
        <v>1</v>
      </c>
      <c r="T932" s="1" t="b">
        <f>IFERROR(__xludf.DUMMYFUNCTION("""COMPUTED_VALUE"""),FALSE)</f>
        <v>0</v>
      </c>
      <c r="U932" s="1" t="str">
        <f>IFERROR(__xludf.DUMMYFUNCTION("""COMPUTED_VALUE"""),"VALID")</f>
        <v>VALID</v>
      </c>
      <c r="V932" s="1">
        <f>IFERROR(__xludf.DUMMYFUNCTION("""COMPUTED_VALUE"""),7.0)</f>
        <v>7</v>
      </c>
      <c r="W932" s="1">
        <f>IFERROR(__xludf.DUMMYFUNCTION("""COMPUTED_VALUE"""),207.0)</f>
        <v>207</v>
      </c>
      <c r="X932" s="1">
        <f>IFERROR(__xludf.DUMMYFUNCTION("""COMPUTED_VALUE"""),27.0)</f>
        <v>27</v>
      </c>
      <c r="Y932" s="2"/>
      <c r="Z932" s="2"/>
    </row>
    <row r="933">
      <c r="A933" s="1">
        <f>IFERROR(__xludf.DUMMYFUNCTION("""COMPUTED_VALUE"""),932.0)</f>
        <v>932</v>
      </c>
      <c r="B933" s="7" t="str">
        <f>IFERROR(__xludf.DUMMYFUNCTION("""COMPUTED_VALUE"""),"7148")</f>
        <v>7148</v>
      </c>
      <c r="C933" s="8" t="str">
        <f>IFERROR(__xludf.DUMMYFUNCTION("""COMPUTED_VALUE"""),"Norjanah")</f>
        <v>Norjanah</v>
      </c>
      <c r="D933" s="2" t="str">
        <f>IFERROR(__xludf.DUMMYFUNCTION("""COMPUTED_VALUE"""),"5KM MASTER F")</f>
        <v>5KM MASTER F</v>
      </c>
      <c r="E933" s="1">
        <f>IFERROR(__xludf.DUMMYFUNCTION("""COMPUTED_VALUE"""),2.0)</f>
        <v>2</v>
      </c>
      <c r="F933" s="1" t="str">
        <f>IFERROR(__xludf.DUMMYFUNCTION("""COMPUTED_VALUE"""),"Female")</f>
        <v>Female</v>
      </c>
      <c r="G933" s="4" t="b">
        <f>IFERROR(__xludf.DUMMYFUNCTION("""COMPUTED_VALUE"""),TRUE)</f>
        <v>1</v>
      </c>
      <c r="H933" s="4" t="b">
        <f>IFERROR(__xludf.DUMMYFUNCTION("""COMPUTED_VALUE"""),FALSE)</f>
        <v>0</v>
      </c>
      <c r="I933" s="4">
        <f>IFERROR(__xludf.DUMMYFUNCTION("""COMPUTED_VALUE"""),0.2549440625)</f>
        <v>0.2549440625</v>
      </c>
      <c r="J933" s="4">
        <f>IFERROR(__xludf.DUMMYFUNCTION("""COMPUTED_VALUE"""),45949.27630102421)</f>
        <v>45949.2763</v>
      </c>
      <c r="K933" s="4" t="str">
        <f>IFERROR(__xludf.DUMMYFUNCTION("""COMPUTED_VALUE"""),"")</f>
        <v/>
      </c>
      <c r="L933" s="4">
        <f>IFERROR(__xludf.DUMMYFUNCTION("""COMPUTED_VALUE"""),45949.29424809525)</f>
        <v>45949.29425</v>
      </c>
      <c r="M933" s="1" t="str">
        <f>IFERROR(__xludf.DUMMYFUNCTION("""COMPUTED_VALUE"""),"RFID")</f>
        <v>RFID</v>
      </c>
      <c r="N933" s="5">
        <f>IFERROR(__xludf.DUMMYFUNCTION("""COMPUTED_VALUE"""),0.008542782407407409)</f>
        <v>0.008542782407</v>
      </c>
      <c r="O933" s="5" t="str">
        <f>IFERROR(__xludf.DUMMYFUNCTION("""COMPUTED_VALUE"""),"")</f>
        <v/>
      </c>
      <c r="P933" s="5" t="str">
        <f>IFERROR(__xludf.DUMMYFUNCTION("""COMPUTED_VALUE"""),"")</f>
        <v/>
      </c>
      <c r="Q933" s="5">
        <f>IFERROR(__xludf.DUMMYFUNCTION("""COMPUTED_VALUE"""),0.007860805555555555)</f>
        <v>0.007860805556</v>
      </c>
      <c r="R933" s="4">
        <f>IFERROR(__xludf.DUMMYFUNCTION("""COMPUTED_VALUE"""),45949.03930403275)</f>
        <v>45949.0393</v>
      </c>
      <c r="S933" s="1" t="b">
        <f>IFERROR(__xludf.DUMMYFUNCTION("""COMPUTED_VALUE"""),TRUE)</f>
        <v>1</v>
      </c>
      <c r="T933" s="1" t="b">
        <f>IFERROR(__xludf.DUMMYFUNCTION("""COMPUTED_VALUE"""),FALSE)</f>
        <v>0</v>
      </c>
      <c r="U933" s="1" t="str">
        <f>IFERROR(__xludf.DUMMYFUNCTION("""COMPUTED_VALUE"""),"VALID")</f>
        <v>VALID</v>
      </c>
      <c r="V933" s="1">
        <f>IFERROR(__xludf.DUMMYFUNCTION("""COMPUTED_VALUE"""),45.0)</f>
        <v>45</v>
      </c>
      <c r="W933" s="1">
        <f>IFERROR(__xludf.DUMMYFUNCTION("""COMPUTED_VALUE"""),1195.0)</f>
        <v>1195</v>
      </c>
      <c r="X933" s="1">
        <f>IFERROR(__xludf.DUMMYFUNCTION("""COMPUTED_VALUE"""),358.0)</f>
        <v>358</v>
      </c>
      <c r="Y933" s="2"/>
      <c r="Z933" s="2"/>
    </row>
    <row r="934">
      <c r="A934" s="1">
        <f>IFERROR(__xludf.DUMMYFUNCTION("""COMPUTED_VALUE"""),933.0)</f>
        <v>933</v>
      </c>
      <c r="B934" s="7" t="str">
        <f>IFERROR(__xludf.DUMMYFUNCTION("""COMPUTED_VALUE"""),"7153")</f>
        <v>7153</v>
      </c>
      <c r="C934" s="8" t="str">
        <f>IFERROR(__xludf.DUMMYFUNCTION("""COMPUTED_VALUE"""),"Lina")</f>
        <v>Lina</v>
      </c>
      <c r="D934" s="2" t="str">
        <f>IFERROR(__xludf.DUMMYFUNCTION("""COMPUTED_VALUE"""),"5KM MASTER F")</f>
        <v>5KM MASTER F</v>
      </c>
      <c r="E934" s="1">
        <f>IFERROR(__xludf.DUMMYFUNCTION("""COMPUTED_VALUE"""),2.0)</f>
        <v>2</v>
      </c>
      <c r="F934" s="1" t="str">
        <f>IFERROR(__xludf.DUMMYFUNCTION("""COMPUTED_VALUE"""),"Female")</f>
        <v>Female</v>
      </c>
      <c r="G934" s="4" t="str">
        <f>IFERROR(__xludf.DUMMYFUNCTION("""COMPUTED_VALUE"""),"")</f>
        <v/>
      </c>
      <c r="H934" s="4" t="b">
        <f>IFERROR(__xludf.DUMMYFUNCTION("""COMPUTED_VALUE"""),FALSE)</f>
        <v>0</v>
      </c>
      <c r="I934" s="4">
        <f>IFERROR(__xludf.DUMMYFUNCTION("""COMPUTED_VALUE"""),0.2549440625)</f>
        <v>0.2549440625</v>
      </c>
      <c r="J934" s="4">
        <f>IFERROR(__xludf.DUMMYFUNCTION("""COMPUTED_VALUE"""),45949.27878472222)</f>
        <v>45949.27878</v>
      </c>
      <c r="K934" s="4" t="str">
        <f>IFERROR(__xludf.DUMMYFUNCTION("""COMPUTED_VALUE"""),"")</f>
        <v/>
      </c>
      <c r="L934" s="4">
        <f>IFERROR(__xludf.DUMMYFUNCTION("""COMPUTED_VALUE"""),45949.29626585504)</f>
        <v>45949.29627</v>
      </c>
      <c r="M934" s="1" t="str">
        <f>IFERROR(__xludf.DUMMYFUNCTION("""COMPUTED_VALUE"""),"RFID")</f>
        <v>RFID</v>
      </c>
      <c r="N934" s="5">
        <f>IFERROR(__xludf.DUMMYFUNCTION("""COMPUTED_VALUE"""),0.00953626388888889)</f>
        <v>0.009536263889</v>
      </c>
      <c r="O934" s="5" t="str">
        <f>IFERROR(__xludf.DUMMYFUNCTION("""COMPUTED_VALUE"""),"")</f>
        <v/>
      </c>
      <c r="P934" s="5" t="str">
        <f>IFERROR(__xludf.DUMMYFUNCTION("""COMPUTED_VALUE"""),"")</f>
        <v/>
      </c>
      <c r="Q934" s="5">
        <f>IFERROR(__xludf.DUMMYFUNCTION("""COMPUTED_VALUE"""),0.008264358796296296)</f>
        <v>0.008264358796</v>
      </c>
      <c r="R934" s="4">
        <f>IFERROR(__xludf.DUMMYFUNCTION("""COMPUTED_VALUE"""),45949.04132179254)</f>
        <v>45949.04132</v>
      </c>
      <c r="S934" s="1" t="b">
        <f>IFERROR(__xludf.DUMMYFUNCTION("""COMPUTED_VALUE"""),FALSE)</f>
        <v>0</v>
      </c>
      <c r="T934" s="1" t="b">
        <f>IFERROR(__xludf.DUMMYFUNCTION("""COMPUTED_VALUE"""),FALSE)</f>
        <v>0</v>
      </c>
      <c r="U934" s="1" t="str">
        <f>IFERROR(__xludf.DUMMYFUNCTION("""COMPUTED_VALUE"""),"DSQ")</f>
        <v>DSQ</v>
      </c>
      <c r="V934" s="1" t="str">
        <f>IFERROR(__xludf.DUMMYFUNCTION("""COMPUTED_VALUE"""),"DSQ")</f>
        <v>DSQ</v>
      </c>
      <c r="W934" s="1" t="str">
        <f>IFERROR(__xludf.DUMMYFUNCTION("""COMPUTED_VALUE"""),"DSQ")</f>
        <v>DSQ</v>
      </c>
      <c r="X934" s="1" t="str">
        <f>IFERROR(__xludf.DUMMYFUNCTION("""COMPUTED_VALUE"""),"DSQ")</f>
        <v>DSQ</v>
      </c>
      <c r="Y934" s="2"/>
      <c r="Z934" s="2"/>
    </row>
    <row r="935">
      <c r="A935" s="1">
        <f>IFERROR(__xludf.DUMMYFUNCTION("""COMPUTED_VALUE"""),934.0)</f>
        <v>934</v>
      </c>
      <c r="B935" s="7" t="str">
        <f>IFERROR(__xludf.DUMMYFUNCTION("""COMPUTED_VALUE"""),"7154")</f>
        <v>7154</v>
      </c>
      <c r="C935" s="8" t="str">
        <f>IFERROR(__xludf.DUMMYFUNCTION("""COMPUTED_VALUE"""),"Lusi")</f>
        <v>Lusi</v>
      </c>
      <c r="D935" s="2" t="str">
        <f>IFERROR(__xludf.DUMMYFUNCTION("""COMPUTED_VALUE"""),"5KM MASTER F")</f>
        <v>5KM MASTER F</v>
      </c>
      <c r="E935" s="1">
        <f>IFERROR(__xludf.DUMMYFUNCTION("""COMPUTED_VALUE"""),2.0)</f>
        <v>2</v>
      </c>
      <c r="F935" s="1" t="str">
        <f>IFERROR(__xludf.DUMMYFUNCTION("""COMPUTED_VALUE"""),"Female")</f>
        <v>Female</v>
      </c>
      <c r="G935" s="4" t="b">
        <f>IFERROR(__xludf.DUMMYFUNCTION("""COMPUTED_VALUE"""),TRUE)</f>
        <v>1</v>
      </c>
      <c r="H935" s="4" t="b">
        <f>IFERROR(__xludf.DUMMYFUNCTION("""COMPUTED_VALUE"""),TRUE)</f>
        <v>1</v>
      </c>
      <c r="I935" s="4">
        <f>IFERROR(__xludf.DUMMYFUNCTION("""COMPUTED_VALUE"""),0.2549440625)</f>
        <v>0.2549440625</v>
      </c>
      <c r="J935" s="4">
        <f>IFERROR(__xludf.DUMMYFUNCTION("""COMPUTED_VALUE"""),45949.27459961306)</f>
        <v>45949.2746</v>
      </c>
      <c r="K935" s="4" t="str">
        <f>IFERROR(__xludf.DUMMYFUNCTION("""COMPUTED_VALUE"""),"")</f>
        <v/>
      </c>
      <c r="L935" s="4">
        <f>IFERROR(__xludf.DUMMYFUNCTION("""COMPUTED_VALUE"""),45949.290429636065)</f>
        <v>45949.29043</v>
      </c>
      <c r="M935" s="1" t="str">
        <f>IFERROR(__xludf.DUMMYFUNCTION("""COMPUTED_VALUE"""),"RFID")</f>
        <v>RFID</v>
      </c>
      <c r="N935" s="5">
        <f>IFERROR(__xludf.DUMMYFUNCTION("""COMPUTED_VALUE"""),0.007862222222222222)</f>
        <v>0.007862222222</v>
      </c>
      <c r="O935" s="5" t="str">
        <f>IFERROR(__xludf.DUMMYFUNCTION("""COMPUTED_VALUE"""),"")</f>
        <v/>
      </c>
      <c r="P935" s="5" t="str">
        <f>IFERROR(__xludf.DUMMYFUNCTION("""COMPUTED_VALUE"""),"")</f>
        <v/>
      </c>
      <c r="Q935" s="5">
        <f>IFERROR(__xludf.DUMMYFUNCTION("""COMPUTED_VALUE"""),0.007097115740740741)</f>
        <v>0.007097115741</v>
      </c>
      <c r="R935" s="4">
        <f>IFERROR(__xludf.DUMMYFUNCTION("""COMPUTED_VALUE"""),45949.035485573564)</f>
        <v>45949.03549</v>
      </c>
      <c r="S935" s="1" t="b">
        <f>IFERROR(__xludf.DUMMYFUNCTION("""COMPUTED_VALUE"""),TRUE)</f>
        <v>1</v>
      </c>
      <c r="T935" s="1" t="b">
        <f>IFERROR(__xludf.DUMMYFUNCTION("""COMPUTED_VALUE"""),FALSE)</f>
        <v>0</v>
      </c>
      <c r="U935" s="1" t="str">
        <f>IFERROR(__xludf.DUMMYFUNCTION("""COMPUTED_VALUE"""),"VALID")</f>
        <v>VALID</v>
      </c>
      <c r="V935" s="1">
        <f>IFERROR(__xludf.DUMMYFUNCTION("""COMPUTED_VALUE"""),35.0)</f>
        <v>35</v>
      </c>
      <c r="W935" s="1">
        <f>IFERROR(__xludf.DUMMYFUNCTION("""COMPUTED_VALUE"""),918.0)</f>
        <v>918</v>
      </c>
      <c r="X935" s="1">
        <f>IFERROR(__xludf.DUMMYFUNCTION("""COMPUTED_VALUE"""),214.0)</f>
        <v>214</v>
      </c>
      <c r="Y935" s="2"/>
      <c r="Z935" s="2"/>
    </row>
    <row r="936">
      <c r="A936" s="1">
        <f>IFERROR(__xludf.DUMMYFUNCTION("""COMPUTED_VALUE"""),935.0)</f>
        <v>935</v>
      </c>
      <c r="B936" s="7" t="str">
        <f>IFERROR(__xludf.DUMMYFUNCTION("""COMPUTED_VALUE"""),"7157")</f>
        <v>7157</v>
      </c>
      <c r="C936" s="8" t="str">
        <f>IFERROR(__xludf.DUMMYFUNCTION("""COMPUTED_VALUE"""),"Farisna")</f>
        <v>Farisna</v>
      </c>
      <c r="D936" s="2" t="str">
        <f>IFERROR(__xludf.DUMMYFUNCTION("""COMPUTED_VALUE"""),"5KM MASTER F")</f>
        <v>5KM MASTER F</v>
      </c>
      <c r="E936" s="1">
        <f>IFERROR(__xludf.DUMMYFUNCTION("""COMPUTED_VALUE"""),2.0)</f>
        <v>2</v>
      </c>
      <c r="F936" s="1" t="str">
        <f>IFERROR(__xludf.DUMMYFUNCTION("""COMPUTED_VALUE"""),"Female")</f>
        <v>Female</v>
      </c>
      <c r="G936" s="4" t="b">
        <f>IFERROR(__xludf.DUMMYFUNCTION("""COMPUTED_VALUE"""),TRUE)</f>
        <v>1</v>
      </c>
      <c r="H936" s="4" t="b">
        <f>IFERROR(__xludf.DUMMYFUNCTION("""COMPUTED_VALUE"""),TRUE)</f>
        <v>1</v>
      </c>
      <c r="I936" s="4">
        <f>IFERROR(__xludf.DUMMYFUNCTION("""COMPUTED_VALUE"""),0.2549440625)</f>
        <v>0.2549440625</v>
      </c>
      <c r="J936" s="4">
        <f>IFERROR(__xludf.DUMMYFUNCTION("""COMPUTED_VALUE"""),45949.27345029334)</f>
        <v>45949.27345</v>
      </c>
      <c r="K936" s="4" t="str">
        <f>IFERROR(__xludf.DUMMYFUNCTION("""COMPUTED_VALUE"""),"")</f>
        <v/>
      </c>
      <c r="L936" s="4">
        <f>IFERROR(__xludf.DUMMYFUNCTION("""COMPUTED_VALUE"""),45949.2861508671)</f>
        <v>45949.28615</v>
      </c>
      <c r="M936" s="1" t="str">
        <f>IFERROR(__xludf.DUMMYFUNCTION("""COMPUTED_VALUE"""),"RFID")</f>
        <v>RFID</v>
      </c>
      <c r="N936" s="5">
        <f>IFERROR(__xludf.DUMMYFUNCTION("""COMPUTED_VALUE"""),0.007402490740740742)</f>
        <v>0.007402490741</v>
      </c>
      <c r="O936" s="5" t="str">
        <f>IFERROR(__xludf.DUMMYFUNCTION("""COMPUTED_VALUE"""),"")</f>
        <v/>
      </c>
      <c r="P936" s="5" t="str">
        <f>IFERROR(__xludf.DUMMYFUNCTION("""COMPUTED_VALUE"""),"")</f>
        <v/>
      </c>
      <c r="Q936" s="5">
        <f>IFERROR(__xludf.DUMMYFUNCTION("""COMPUTED_VALUE"""),0.006241361111111112)</f>
        <v>0.006241361111</v>
      </c>
      <c r="R936" s="4">
        <f>IFERROR(__xludf.DUMMYFUNCTION("""COMPUTED_VALUE"""),45949.0312068046)</f>
        <v>45949.03121</v>
      </c>
      <c r="S936" s="1" t="b">
        <f>IFERROR(__xludf.DUMMYFUNCTION("""COMPUTED_VALUE"""),TRUE)</f>
        <v>1</v>
      </c>
      <c r="T936" s="1" t="b">
        <f>IFERROR(__xludf.DUMMYFUNCTION("""COMPUTED_VALUE"""),FALSE)</f>
        <v>0</v>
      </c>
      <c r="U936" s="1" t="str">
        <f>IFERROR(__xludf.DUMMYFUNCTION("""COMPUTED_VALUE"""),"VALID")</f>
        <v>VALID</v>
      </c>
      <c r="V936" s="1">
        <f>IFERROR(__xludf.DUMMYFUNCTION("""COMPUTED_VALUE"""),20.0)</f>
        <v>20</v>
      </c>
      <c r="W936" s="1">
        <f>IFERROR(__xludf.DUMMYFUNCTION("""COMPUTED_VALUE"""),644.0)</f>
        <v>644</v>
      </c>
      <c r="X936" s="1">
        <f>IFERROR(__xludf.DUMMYFUNCTION("""COMPUTED_VALUE"""),121.0)</f>
        <v>121</v>
      </c>
      <c r="Y936" s="2"/>
      <c r="Z936" s="2"/>
    </row>
    <row r="937">
      <c r="A937" s="1">
        <f>IFERROR(__xludf.DUMMYFUNCTION("""COMPUTED_VALUE"""),936.0)</f>
        <v>936</v>
      </c>
      <c r="B937" s="7" t="str">
        <f>IFERROR(__xludf.DUMMYFUNCTION("""COMPUTED_VALUE"""),"7160")</f>
        <v>7160</v>
      </c>
      <c r="C937" s="8" t="str">
        <f>IFERROR(__xludf.DUMMYFUNCTION("""COMPUTED_VALUE"""),"EKA HELDA")</f>
        <v>EKA HELDA</v>
      </c>
      <c r="D937" s="2" t="str">
        <f>IFERROR(__xludf.DUMMYFUNCTION("""COMPUTED_VALUE"""),"5KM MASTER F")</f>
        <v>5KM MASTER F</v>
      </c>
      <c r="E937" s="1">
        <f>IFERROR(__xludf.DUMMYFUNCTION("""COMPUTED_VALUE"""),2.0)</f>
        <v>2</v>
      </c>
      <c r="F937" s="1" t="str">
        <f>IFERROR(__xludf.DUMMYFUNCTION("""COMPUTED_VALUE"""),"Female")</f>
        <v>Female</v>
      </c>
      <c r="G937" s="4" t="b">
        <f>IFERROR(__xludf.DUMMYFUNCTION("""COMPUTED_VALUE"""),TRUE)</f>
        <v>1</v>
      </c>
      <c r="H937" s="4" t="b">
        <f>IFERROR(__xludf.DUMMYFUNCTION("""COMPUTED_VALUE"""),TRUE)</f>
        <v>1</v>
      </c>
      <c r="I937" s="4">
        <f>IFERROR(__xludf.DUMMYFUNCTION("""COMPUTED_VALUE"""),0.2549440625)</f>
        <v>0.2549440625</v>
      </c>
      <c r="J937" s="4">
        <f>IFERROR(__xludf.DUMMYFUNCTION("""COMPUTED_VALUE"""),45949.27431907324)</f>
        <v>45949.27432</v>
      </c>
      <c r="K937" s="4" t="str">
        <f>IFERROR(__xludf.DUMMYFUNCTION("""COMPUTED_VALUE"""),"")</f>
        <v/>
      </c>
      <c r="L937" s="4">
        <f>IFERROR(__xludf.DUMMYFUNCTION("""COMPUTED_VALUE"""),45949.28950850166)</f>
        <v>45949.28951</v>
      </c>
      <c r="M937" s="1" t="str">
        <f>IFERROR(__xludf.DUMMYFUNCTION("""COMPUTED_VALUE"""),"RFID")</f>
        <v>RFID</v>
      </c>
      <c r="N937" s="5">
        <f>IFERROR(__xludf.DUMMYFUNCTION("""COMPUTED_VALUE"""),0.007750004629629629)</f>
        <v>0.00775000463</v>
      </c>
      <c r="O937" s="5" t="str">
        <f>IFERROR(__xludf.DUMMYFUNCTION("""COMPUTED_VALUE"""),"")</f>
        <v/>
      </c>
      <c r="P937" s="5" t="str">
        <f>IFERROR(__xludf.DUMMYFUNCTION("""COMPUTED_VALUE"""),"")</f>
        <v/>
      </c>
      <c r="Q937" s="5">
        <f>IFERROR(__xludf.DUMMYFUNCTION("""COMPUTED_VALUE"""),0.006912888888888889)</f>
        <v>0.006912888889</v>
      </c>
      <c r="R937" s="4">
        <f>IFERROR(__xludf.DUMMYFUNCTION("""COMPUTED_VALUE"""),45949.03456443916)</f>
        <v>45949.03456</v>
      </c>
      <c r="S937" s="1" t="b">
        <f>IFERROR(__xludf.DUMMYFUNCTION("""COMPUTED_VALUE"""),TRUE)</f>
        <v>1</v>
      </c>
      <c r="T937" s="1" t="b">
        <f>IFERROR(__xludf.DUMMYFUNCTION("""COMPUTED_VALUE"""),FALSE)</f>
        <v>0</v>
      </c>
      <c r="U937" s="1" t="str">
        <f>IFERROR(__xludf.DUMMYFUNCTION("""COMPUTED_VALUE"""),"VALID")</f>
        <v>VALID</v>
      </c>
      <c r="V937" s="1">
        <f>IFERROR(__xludf.DUMMYFUNCTION("""COMPUTED_VALUE"""),31.0)</f>
        <v>31</v>
      </c>
      <c r="W937" s="1">
        <f>IFERROR(__xludf.DUMMYFUNCTION("""COMPUTED_VALUE"""),867.0)</f>
        <v>867</v>
      </c>
      <c r="X937" s="1">
        <f>IFERROR(__xludf.DUMMYFUNCTION("""COMPUTED_VALUE"""),193.0)</f>
        <v>193</v>
      </c>
      <c r="Y937" s="2"/>
      <c r="Z937" s="2"/>
    </row>
    <row r="938">
      <c r="A938" s="1">
        <f>IFERROR(__xludf.DUMMYFUNCTION("""COMPUTED_VALUE"""),937.0)</f>
        <v>937</v>
      </c>
      <c r="B938" s="7" t="str">
        <f>IFERROR(__xludf.DUMMYFUNCTION("""COMPUTED_VALUE"""),"7163")</f>
        <v>7163</v>
      </c>
      <c r="C938" s="8" t="str">
        <f>IFERROR(__xludf.DUMMYFUNCTION("""COMPUTED_VALUE"""),"lidya")</f>
        <v>lidya</v>
      </c>
      <c r="D938" s="2" t="str">
        <f>IFERROR(__xludf.DUMMYFUNCTION("""COMPUTED_VALUE"""),"5KM MASTER F")</f>
        <v>5KM MASTER F</v>
      </c>
      <c r="E938" s="1">
        <f>IFERROR(__xludf.DUMMYFUNCTION("""COMPUTED_VALUE"""),2.0)</f>
        <v>2</v>
      </c>
      <c r="F938" s="1" t="str">
        <f>IFERROR(__xludf.DUMMYFUNCTION("""COMPUTED_VALUE"""),"Female")</f>
        <v>Female</v>
      </c>
      <c r="G938" s="4" t="b">
        <f>IFERROR(__xludf.DUMMYFUNCTION("""COMPUTED_VALUE"""),TRUE)</f>
        <v>1</v>
      </c>
      <c r="H938" s="4" t="b">
        <f>IFERROR(__xludf.DUMMYFUNCTION("""COMPUTED_VALUE"""),TRUE)</f>
        <v>1</v>
      </c>
      <c r="I938" s="4">
        <f>IFERROR(__xludf.DUMMYFUNCTION("""COMPUTED_VALUE"""),0.2549440625)</f>
        <v>0.2549440625</v>
      </c>
      <c r="J938" s="4">
        <f>IFERROR(__xludf.DUMMYFUNCTION("""COMPUTED_VALUE"""),45949.27240863871)</f>
        <v>45949.27241</v>
      </c>
      <c r="K938" s="4" t="str">
        <f>IFERROR(__xludf.DUMMYFUNCTION("""COMPUTED_VALUE"""),"")</f>
        <v/>
      </c>
      <c r="L938" s="4">
        <f>IFERROR(__xludf.DUMMYFUNCTION("""COMPUTED_VALUE"""),45949.28716475506)</f>
        <v>45949.28716</v>
      </c>
      <c r="M938" s="1" t="str">
        <f>IFERROR(__xludf.DUMMYFUNCTION("""COMPUTED_VALUE"""),"RFID")</f>
        <v>RFID</v>
      </c>
      <c r="N938" s="5">
        <f>IFERROR(__xludf.DUMMYFUNCTION("""COMPUTED_VALUE"""),0.006985828703703704)</f>
        <v>0.006985828704</v>
      </c>
      <c r="O938" s="5" t="str">
        <f>IFERROR(__xludf.DUMMYFUNCTION("""COMPUTED_VALUE"""),"")</f>
        <v/>
      </c>
      <c r="P938" s="5" t="str">
        <f>IFERROR(__xludf.DUMMYFUNCTION("""COMPUTED_VALUE"""),"")</f>
        <v/>
      </c>
      <c r="Q938" s="5">
        <f>IFERROR(__xludf.DUMMYFUNCTION("""COMPUTED_VALUE"""),0.006444138888888888)</f>
        <v>0.006444138889</v>
      </c>
      <c r="R938" s="4">
        <f>IFERROR(__xludf.DUMMYFUNCTION("""COMPUTED_VALUE"""),45949.032220692556)</f>
        <v>45949.03222</v>
      </c>
      <c r="S938" s="1" t="b">
        <f>IFERROR(__xludf.DUMMYFUNCTION("""COMPUTED_VALUE"""),TRUE)</f>
        <v>1</v>
      </c>
      <c r="T938" s="1" t="b">
        <f>IFERROR(__xludf.DUMMYFUNCTION("""COMPUTED_VALUE"""),FALSE)</f>
        <v>0</v>
      </c>
      <c r="U938" s="1" t="str">
        <f>IFERROR(__xludf.DUMMYFUNCTION("""COMPUTED_VALUE"""),"VALID")</f>
        <v>VALID</v>
      </c>
      <c r="V938" s="1">
        <f>IFERROR(__xludf.DUMMYFUNCTION("""COMPUTED_VALUE"""),22.0)</f>
        <v>22</v>
      </c>
      <c r="W938" s="1">
        <f>IFERROR(__xludf.DUMMYFUNCTION("""COMPUTED_VALUE"""),715.0)</f>
        <v>715</v>
      </c>
      <c r="X938" s="1">
        <f>IFERROR(__xludf.DUMMYFUNCTION("""COMPUTED_VALUE"""),138.0)</f>
        <v>138</v>
      </c>
      <c r="Y938" s="2"/>
      <c r="Z938" s="2"/>
    </row>
    <row r="939">
      <c r="A939" s="1">
        <f>IFERROR(__xludf.DUMMYFUNCTION("""COMPUTED_VALUE"""),938.0)</f>
        <v>938</v>
      </c>
      <c r="B939" s="7" t="str">
        <f>IFERROR(__xludf.DUMMYFUNCTION("""COMPUTED_VALUE"""),"7164")</f>
        <v>7164</v>
      </c>
      <c r="C939" s="8" t="str">
        <f>IFERROR(__xludf.DUMMYFUNCTION("""COMPUTED_VALUE"""),"Yie")</f>
        <v>Yie</v>
      </c>
      <c r="D939" s="2" t="str">
        <f>IFERROR(__xludf.DUMMYFUNCTION("""COMPUTED_VALUE"""),"5KM MASTER F")</f>
        <v>5KM MASTER F</v>
      </c>
      <c r="E939" s="1">
        <f>IFERROR(__xludf.DUMMYFUNCTION("""COMPUTED_VALUE"""),2.0)</f>
        <v>2</v>
      </c>
      <c r="F939" s="1" t="str">
        <f>IFERROR(__xludf.DUMMYFUNCTION("""COMPUTED_VALUE"""),"Female")</f>
        <v>Female</v>
      </c>
      <c r="G939" s="4" t="b">
        <f>IFERROR(__xludf.DUMMYFUNCTION("""COMPUTED_VALUE"""),TRUE)</f>
        <v>1</v>
      </c>
      <c r="H939" s="4" t="b">
        <f>IFERROR(__xludf.DUMMYFUNCTION("""COMPUTED_VALUE"""),TRUE)</f>
        <v>1</v>
      </c>
      <c r="I939" s="4">
        <f>IFERROR(__xludf.DUMMYFUNCTION("""COMPUTED_VALUE"""),0.2549440625)</f>
        <v>0.2549440625</v>
      </c>
      <c r="J939" s="4">
        <f>IFERROR(__xludf.DUMMYFUNCTION("""COMPUTED_VALUE"""),45949.27625245497)</f>
        <v>45949.27625</v>
      </c>
      <c r="K939" s="4" t="str">
        <f>IFERROR(__xludf.DUMMYFUNCTION("""COMPUTED_VALUE"""),"")</f>
        <v/>
      </c>
      <c r="L939" s="4">
        <f>IFERROR(__xludf.DUMMYFUNCTION("""COMPUTED_VALUE"""),45949.28756059387)</f>
        <v>45949.28756</v>
      </c>
      <c r="M939" s="1" t="str">
        <f>IFERROR(__xludf.DUMMYFUNCTION("""COMPUTED_VALUE"""),"RFID")</f>
        <v>RFID</v>
      </c>
      <c r="N939" s="5">
        <f>IFERROR(__xludf.DUMMYFUNCTION("""COMPUTED_VALUE"""),0.008523356481481482)</f>
        <v>0.008523356481</v>
      </c>
      <c r="O939" s="5" t="str">
        <f>IFERROR(__xludf.DUMMYFUNCTION("""COMPUTED_VALUE"""),"")</f>
        <v/>
      </c>
      <c r="P939" s="5" t="str">
        <f>IFERROR(__xludf.DUMMYFUNCTION("""COMPUTED_VALUE"""),"")</f>
        <v/>
      </c>
      <c r="Q939" s="5">
        <f>IFERROR(__xludf.DUMMYFUNCTION("""COMPUTED_VALUE"""),0.006523305555555556)</f>
        <v>0.006523305556</v>
      </c>
      <c r="R939" s="4">
        <f>IFERROR(__xludf.DUMMYFUNCTION("""COMPUTED_VALUE"""),45949.03261653137)</f>
        <v>45949.03262</v>
      </c>
      <c r="S939" s="1" t="b">
        <f>IFERROR(__xludf.DUMMYFUNCTION("""COMPUTED_VALUE"""),TRUE)</f>
        <v>1</v>
      </c>
      <c r="T939" s="1" t="b">
        <f>IFERROR(__xludf.DUMMYFUNCTION("""COMPUTED_VALUE"""),FALSE)</f>
        <v>0</v>
      </c>
      <c r="U939" s="1" t="str">
        <f>IFERROR(__xludf.DUMMYFUNCTION("""COMPUTED_VALUE"""),"VALID")</f>
        <v>VALID</v>
      </c>
      <c r="V939" s="1">
        <f>IFERROR(__xludf.DUMMYFUNCTION("""COMPUTED_VALUE"""),24.0)</f>
        <v>24</v>
      </c>
      <c r="W939" s="1">
        <f>IFERROR(__xludf.DUMMYFUNCTION("""COMPUTED_VALUE"""),740.0)</f>
        <v>740</v>
      </c>
      <c r="X939" s="1">
        <f>IFERROR(__xludf.DUMMYFUNCTION("""COMPUTED_VALUE"""),150.0)</f>
        <v>150</v>
      </c>
      <c r="Y939" s="2"/>
      <c r="Z939" s="2"/>
    </row>
    <row r="940">
      <c r="A940" s="1">
        <f>IFERROR(__xludf.DUMMYFUNCTION("""COMPUTED_VALUE"""),939.0)</f>
        <v>939</v>
      </c>
      <c r="B940" s="7" t="str">
        <f>IFERROR(__xludf.DUMMYFUNCTION("""COMPUTED_VALUE"""),"7165")</f>
        <v>7165</v>
      </c>
      <c r="C940" s="8" t="str">
        <f>IFERROR(__xludf.DUMMYFUNCTION("""COMPUTED_VALUE"""),"Hilda Saprianti")</f>
        <v>Hilda Saprianti</v>
      </c>
      <c r="D940" s="2" t="str">
        <f>IFERROR(__xludf.DUMMYFUNCTION("""COMPUTED_VALUE"""),"5KM MASTER F")</f>
        <v>5KM MASTER F</v>
      </c>
      <c r="E940" s="1">
        <f>IFERROR(__xludf.DUMMYFUNCTION("""COMPUTED_VALUE"""),2.0)</f>
        <v>2</v>
      </c>
      <c r="F940" s="1" t="str">
        <f>IFERROR(__xludf.DUMMYFUNCTION("""COMPUTED_VALUE"""),"Female")</f>
        <v>Female</v>
      </c>
      <c r="G940" s="4" t="b">
        <f>IFERROR(__xludf.DUMMYFUNCTION("""COMPUTED_VALUE"""),TRUE)</f>
        <v>1</v>
      </c>
      <c r="H940" s="4" t="b">
        <f>IFERROR(__xludf.DUMMYFUNCTION("""COMPUTED_VALUE"""),FALSE)</f>
        <v>0</v>
      </c>
      <c r="I940" s="4">
        <f>IFERROR(__xludf.DUMMYFUNCTION("""COMPUTED_VALUE"""),0.2549440625)</f>
        <v>0.2549440625</v>
      </c>
      <c r="J940" s="4" t="str">
        <f>IFERROR(__xludf.DUMMYFUNCTION("""COMPUTED_VALUE"""),"")</f>
        <v/>
      </c>
      <c r="K940" s="4" t="str">
        <f>IFERROR(__xludf.DUMMYFUNCTION("""COMPUTED_VALUE"""),"")</f>
        <v/>
      </c>
      <c r="L940" s="4">
        <f>IFERROR(__xludf.DUMMYFUNCTION("""COMPUTED_VALUE"""),45949.28694601542)</f>
        <v>45949.28695</v>
      </c>
      <c r="M940" s="1" t="str">
        <f>IFERROR(__xludf.DUMMYFUNCTION("""COMPUTED_VALUE"""),"RFID")</f>
        <v>RFID</v>
      </c>
      <c r="N940" s="5" t="str">
        <f>IFERROR(__xludf.DUMMYFUNCTION("""COMPUTED_VALUE"""),"")</f>
        <v/>
      </c>
      <c r="O940" s="5" t="str">
        <f>IFERROR(__xludf.DUMMYFUNCTION("""COMPUTED_VALUE"""),"")</f>
        <v/>
      </c>
      <c r="P940" s="5" t="str">
        <f>IFERROR(__xludf.DUMMYFUNCTION("""COMPUTED_VALUE"""),"")</f>
        <v/>
      </c>
      <c r="Q940" s="5">
        <f>IFERROR(__xludf.DUMMYFUNCTION("""COMPUTED_VALUE"""),0.006400391203703703)</f>
        <v>0.006400391204</v>
      </c>
      <c r="R940" s="4">
        <f>IFERROR(__xludf.DUMMYFUNCTION("""COMPUTED_VALUE"""),45949.03200195292)</f>
        <v>45949.032</v>
      </c>
      <c r="S940" s="1" t="b">
        <f>IFERROR(__xludf.DUMMYFUNCTION("""COMPUTED_VALUE"""),FALSE)</f>
        <v>0</v>
      </c>
      <c r="T940" s="1" t="b">
        <f>IFERROR(__xludf.DUMMYFUNCTION("""COMPUTED_VALUE"""),FALSE)</f>
        <v>0</v>
      </c>
      <c r="U940" s="1" t="str">
        <f>IFERROR(__xludf.DUMMYFUNCTION("""COMPUTED_VALUE"""),"DSQ")</f>
        <v>DSQ</v>
      </c>
      <c r="V940" s="1" t="str">
        <f>IFERROR(__xludf.DUMMYFUNCTION("""COMPUTED_VALUE"""),"DSQ")</f>
        <v>DSQ</v>
      </c>
      <c r="W940" s="1" t="str">
        <f>IFERROR(__xludf.DUMMYFUNCTION("""COMPUTED_VALUE"""),"DSQ")</f>
        <v>DSQ</v>
      </c>
      <c r="X940" s="1" t="str">
        <f>IFERROR(__xludf.DUMMYFUNCTION("""COMPUTED_VALUE"""),"DSQ")</f>
        <v>DSQ</v>
      </c>
      <c r="Y940" s="2"/>
      <c r="Z940" s="2" t="str">
        <f>IFERROR(__xludf.DUMMYFUNCTION("""COMPUTED_VALUE"""),"")</f>
        <v/>
      </c>
    </row>
    <row r="941">
      <c r="A941" s="1">
        <f>IFERROR(__xludf.DUMMYFUNCTION("""COMPUTED_VALUE"""),940.0)</f>
        <v>940</v>
      </c>
      <c r="B941" s="7" t="str">
        <f>IFERROR(__xludf.DUMMYFUNCTION("""COMPUTED_VALUE"""),"7169")</f>
        <v>7169</v>
      </c>
      <c r="C941" s="8" t="str">
        <f>IFERROR(__xludf.DUMMYFUNCTION("""COMPUTED_VALUE"""),"Ana")</f>
        <v>Ana</v>
      </c>
      <c r="D941" s="2" t="str">
        <f>IFERROR(__xludf.DUMMYFUNCTION("""COMPUTED_VALUE"""),"5KM MASTER F")</f>
        <v>5KM MASTER F</v>
      </c>
      <c r="E941" s="1">
        <f>IFERROR(__xludf.DUMMYFUNCTION("""COMPUTED_VALUE"""),2.0)</f>
        <v>2</v>
      </c>
      <c r="F941" s="1" t="str">
        <f>IFERROR(__xludf.DUMMYFUNCTION("""COMPUTED_VALUE"""),"Female")</f>
        <v>Female</v>
      </c>
      <c r="G941" s="4" t="b">
        <f>IFERROR(__xludf.DUMMYFUNCTION("""COMPUTED_VALUE"""),TRUE)</f>
        <v>1</v>
      </c>
      <c r="H941" s="4" t="b">
        <f>IFERROR(__xludf.DUMMYFUNCTION("""COMPUTED_VALUE"""),FALSE)</f>
        <v>0</v>
      </c>
      <c r="I941" s="4">
        <f>IFERROR(__xludf.DUMMYFUNCTION("""COMPUTED_VALUE"""),0.2549440625)</f>
        <v>0.2549440625</v>
      </c>
      <c r="J941" s="4">
        <f>IFERROR(__xludf.DUMMYFUNCTION("""COMPUTED_VALUE"""),45949.27734273185)</f>
        <v>45949.27734</v>
      </c>
      <c r="K941" s="4" t="str">
        <f>IFERROR(__xludf.DUMMYFUNCTION("""COMPUTED_VALUE"""),"")</f>
        <v/>
      </c>
      <c r="L941" s="4">
        <f>IFERROR(__xludf.DUMMYFUNCTION("""COMPUTED_VALUE"""),45949.29129317577)</f>
        <v>45949.29129</v>
      </c>
      <c r="M941" s="1" t="str">
        <f>IFERROR(__xludf.DUMMYFUNCTION("""COMPUTED_VALUE"""),"RFID")</f>
        <v>RFID</v>
      </c>
      <c r="N941" s="5">
        <f>IFERROR(__xludf.DUMMYFUNCTION("""COMPUTED_VALUE"""),0.008959467592592592)</f>
        <v>0.008959467593</v>
      </c>
      <c r="O941" s="5" t="str">
        <f>IFERROR(__xludf.DUMMYFUNCTION("""COMPUTED_VALUE"""),"")</f>
        <v/>
      </c>
      <c r="P941" s="5" t="str">
        <f>IFERROR(__xludf.DUMMYFUNCTION("""COMPUTED_VALUE"""),"")</f>
        <v/>
      </c>
      <c r="Q941" s="5">
        <f>IFERROR(__xludf.DUMMYFUNCTION("""COMPUTED_VALUE"""),0.00726982175925926)</f>
        <v>0.007269821759</v>
      </c>
      <c r="R941" s="4">
        <f>IFERROR(__xludf.DUMMYFUNCTION("""COMPUTED_VALUE"""),45949.03634911327)</f>
        <v>45949.03635</v>
      </c>
      <c r="S941" s="1" t="b">
        <f>IFERROR(__xludf.DUMMYFUNCTION("""COMPUTED_VALUE"""),TRUE)</f>
        <v>1</v>
      </c>
      <c r="T941" s="1" t="b">
        <f>IFERROR(__xludf.DUMMYFUNCTION("""COMPUTED_VALUE"""),FALSE)</f>
        <v>0</v>
      </c>
      <c r="U941" s="1" t="str">
        <f>IFERROR(__xludf.DUMMYFUNCTION("""COMPUTED_VALUE"""),"VALID")</f>
        <v>VALID</v>
      </c>
      <c r="V941" s="1">
        <f>IFERROR(__xludf.DUMMYFUNCTION("""COMPUTED_VALUE"""),39.0)</f>
        <v>39</v>
      </c>
      <c r="W941" s="1">
        <f>IFERROR(__xludf.DUMMYFUNCTION("""COMPUTED_VALUE"""),982.0)</f>
        <v>982</v>
      </c>
      <c r="X941" s="1">
        <f>IFERROR(__xludf.DUMMYFUNCTION("""COMPUTED_VALUE"""),246.0)</f>
        <v>246</v>
      </c>
      <c r="Y941" s="2"/>
      <c r="Z941" s="2"/>
    </row>
    <row r="942">
      <c r="A942" s="1">
        <f>IFERROR(__xludf.DUMMYFUNCTION("""COMPUTED_VALUE"""),941.0)</f>
        <v>941</v>
      </c>
      <c r="B942" s="7" t="str">
        <f>IFERROR(__xludf.DUMMYFUNCTION("""COMPUTED_VALUE"""),"7170")</f>
        <v>7170</v>
      </c>
      <c r="C942" s="8" t="str">
        <f>IFERROR(__xludf.DUMMYFUNCTION("""COMPUTED_VALUE"""),"Rima Saddam")</f>
        <v>Rima Saddam</v>
      </c>
      <c r="D942" s="2" t="str">
        <f>IFERROR(__xludf.DUMMYFUNCTION("""COMPUTED_VALUE"""),"5KM MASTER F")</f>
        <v>5KM MASTER F</v>
      </c>
      <c r="E942" s="1">
        <f>IFERROR(__xludf.DUMMYFUNCTION("""COMPUTED_VALUE"""),2.0)</f>
        <v>2</v>
      </c>
      <c r="F942" s="1" t="str">
        <f>IFERROR(__xludf.DUMMYFUNCTION("""COMPUTED_VALUE"""),"Female")</f>
        <v>Female</v>
      </c>
      <c r="G942" s="4" t="b">
        <f>IFERROR(__xludf.DUMMYFUNCTION("""COMPUTED_VALUE"""),TRUE)</f>
        <v>1</v>
      </c>
      <c r="H942" s="4" t="b">
        <f>IFERROR(__xludf.DUMMYFUNCTION("""COMPUTED_VALUE"""),TRUE)</f>
        <v>1</v>
      </c>
      <c r="I942" s="4">
        <f>IFERROR(__xludf.DUMMYFUNCTION("""COMPUTED_VALUE"""),0.2549440625)</f>
        <v>0.2549440625</v>
      </c>
      <c r="J942" s="4">
        <f>IFERROR(__xludf.DUMMYFUNCTION("""COMPUTED_VALUE"""),45949.27657876876)</f>
        <v>45949.27658</v>
      </c>
      <c r="K942" s="4" t="str">
        <f>IFERROR(__xludf.DUMMYFUNCTION("""COMPUTED_VALUE"""),"")</f>
        <v/>
      </c>
      <c r="L942" s="4">
        <f>IFERROR(__xludf.DUMMYFUNCTION("""COMPUTED_VALUE"""),45949.29268902625)</f>
        <v>45949.29269</v>
      </c>
      <c r="M942" s="1" t="str">
        <f>IFERROR(__xludf.DUMMYFUNCTION("""COMPUTED_VALUE"""),"RFID")</f>
        <v>RFID</v>
      </c>
      <c r="N942" s="5">
        <f>IFERROR(__xludf.DUMMYFUNCTION("""COMPUTED_VALUE"""),0.008653884259259259)</f>
        <v>0.008653884259</v>
      </c>
      <c r="O942" s="5" t="str">
        <f>IFERROR(__xludf.DUMMYFUNCTION("""COMPUTED_VALUE"""),"")</f>
        <v/>
      </c>
      <c r="P942" s="5" t="str">
        <f>IFERROR(__xludf.DUMMYFUNCTION("""COMPUTED_VALUE"""),"")</f>
        <v/>
      </c>
      <c r="Q942" s="5">
        <f>IFERROR(__xludf.DUMMYFUNCTION("""COMPUTED_VALUE"""),0.007548993055555555)</f>
        <v>0.007548993056</v>
      </c>
      <c r="R942" s="4">
        <f>IFERROR(__xludf.DUMMYFUNCTION("""COMPUTED_VALUE"""),45949.03774496375)</f>
        <v>45949.03774</v>
      </c>
      <c r="S942" s="1" t="b">
        <f>IFERROR(__xludf.DUMMYFUNCTION("""COMPUTED_VALUE"""),TRUE)</f>
        <v>1</v>
      </c>
      <c r="T942" s="1" t="b">
        <f>IFERROR(__xludf.DUMMYFUNCTION("""COMPUTED_VALUE"""),FALSE)</f>
        <v>0</v>
      </c>
      <c r="U942" s="1" t="str">
        <f>IFERROR(__xludf.DUMMYFUNCTION("""COMPUTED_VALUE"""),"VALID")</f>
        <v>VALID</v>
      </c>
      <c r="V942" s="1">
        <f>IFERROR(__xludf.DUMMYFUNCTION("""COMPUTED_VALUE"""),43.0)</f>
        <v>43</v>
      </c>
      <c r="W942" s="1">
        <f>IFERROR(__xludf.DUMMYFUNCTION("""COMPUTED_VALUE"""),1086.0)</f>
        <v>1086</v>
      </c>
      <c r="X942" s="1">
        <f>IFERROR(__xludf.DUMMYFUNCTION("""COMPUTED_VALUE"""),302.0)</f>
        <v>302</v>
      </c>
      <c r="Y942" s="2"/>
      <c r="Z942" s="2"/>
    </row>
    <row r="943">
      <c r="A943" s="1">
        <f>IFERROR(__xludf.DUMMYFUNCTION("""COMPUTED_VALUE"""),942.0)</f>
        <v>942</v>
      </c>
      <c r="B943" s="7" t="str">
        <f>IFERROR(__xludf.DUMMYFUNCTION("""COMPUTED_VALUE"""),"7176")</f>
        <v>7176</v>
      </c>
      <c r="C943" s="8" t="str">
        <f>IFERROR(__xludf.DUMMYFUNCTION("""COMPUTED_VALUE"""),"Dean")</f>
        <v>Dean</v>
      </c>
      <c r="D943" s="2" t="str">
        <f>IFERROR(__xludf.DUMMYFUNCTION("""COMPUTED_VALUE"""),"5KM MASTER F")</f>
        <v>5KM MASTER F</v>
      </c>
      <c r="E943" s="1">
        <f>IFERROR(__xludf.DUMMYFUNCTION("""COMPUTED_VALUE"""),2.0)</f>
        <v>2</v>
      </c>
      <c r="F943" s="1" t="str">
        <f>IFERROR(__xludf.DUMMYFUNCTION("""COMPUTED_VALUE"""),"Female")</f>
        <v>Female</v>
      </c>
      <c r="G943" s="4" t="b">
        <f>IFERROR(__xludf.DUMMYFUNCTION("""COMPUTED_VALUE"""),TRUE)</f>
        <v>1</v>
      </c>
      <c r="H943" s="4" t="b">
        <f>IFERROR(__xludf.DUMMYFUNCTION("""COMPUTED_VALUE"""),TRUE)</f>
        <v>1</v>
      </c>
      <c r="I943" s="4">
        <f>IFERROR(__xludf.DUMMYFUNCTION("""COMPUTED_VALUE"""),0.2549440625)</f>
        <v>0.2549440625</v>
      </c>
      <c r="J943" s="4">
        <f>IFERROR(__xludf.DUMMYFUNCTION("""COMPUTED_VALUE"""),45949.27587743298)</f>
        <v>45949.27588</v>
      </c>
      <c r="K943" s="4" t="str">
        <f>IFERROR(__xludf.DUMMYFUNCTION("""COMPUTED_VALUE"""),"")</f>
        <v/>
      </c>
      <c r="L943" s="4">
        <f>IFERROR(__xludf.DUMMYFUNCTION("""COMPUTED_VALUE"""),45949.29158484148)</f>
        <v>45949.29158</v>
      </c>
      <c r="M943" s="1" t="str">
        <f>IFERROR(__xludf.DUMMYFUNCTION("""COMPUTED_VALUE"""),"RFID")</f>
        <v>RFID</v>
      </c>
      <c r="N943" s="5">
        <f>IFERROR(__xludf.DUMMYFUNCTION("""COMPUTED_VALUE"""),0.008373347222222223)</f>
        <v>0.008373347222</v>
      </c>
      <c r="O943" s="5" t="str">
        <f>IFERROR(__xludf.DUMMYFUNCTION("""COMPUTED_VALUE"""),"")</f>
        <v/>
      </c>
      <c r="P943" s="5" t="str">
        <f>IFERROR(__xludf.DUMMYFUNCTION("""COMPUTED_VALUE"""),"")</f>
        <v/>
      </c>
      <c r="Q943" s="5">
        <f>IFERROR(__xludf.DUMMYFUNCTION("""COMPUTED_VALUE"""),0.007328155092592592)</f>
        <v>0.007328155093</v>
      </c>
      <c r="R943" s="4">
        <f>IFERROR(__xludf.DUMMYFUNCTION("""COMPUTED_VALUE"""),45949.03664077898)</f>
        <v>45949.03664</v>
      </c>
      <c r="S943" s="1" t="b">
        <f>IFERROR(__xludf.DUMMYFUNCTION("""COMPUTED_VALUE"""),TRUE)</f>
        <v>1</v>
      </c>
      <c r="T943" s="1" t="b">
        <f>IFERROR(__xludf.DUMMYFUNCTION("""COMPUTED_VALUE"""),FALSE)</f>
        <v>0</v>
      </c>
      <c r="U943" s="1" t="str">
        <f>IFERROR(__xludf.DUMMYFUNCTION("""COMPUTED_VALUE"""),"VALID")</f>
        <v>VALID</v>
      </c>
      <c r="V943" s="1">
        <f>IFERROR(__xludf.DUMMYFUNCTION("""COMPUTED_VALUE"""),40.0)</f>
        <v>40</v>
      </c>
      <c r="W943" s="1">
        <f>IFERROR(__xludf.DUMMYFUNCTION("""COMPUTED_VALUE"""),1005.0)</f>
        <v>1005</v>
      </c>
      <c r="X943" s="1">
        <f>IFERROR(__xludf.DUMMYFUNCTION("""COMPUTED_VALUE"""),260.0)</f>
        <v>260</v>
      </c>
      <c r="Y943" s="2"/>
      <c r="Z943" s="2"/>
    </row>
    <row r="944">
      <c r="A944" s="1">
        <f>IFERROR(__xludf.DUMMYFUNCTION("""COMPUTED_VALUE"""),943.0)</f>
        <v>943</v>
      </c>
      <c r="B944" s="7" t="str">
        <f>IFERROR(__xludf.DUMMYFUNCTION("""COMPUTED_VALUE"""),"7178")</f>
        <v>7178</v>
      </c>
      <c r="C944" s="8" t="str">
        <f>IFERROR(__xludf.DUMMYFUNCTION("""COMPUTED_VALUE"""),"inna")</f>
        <v>inna</v>
      </c>
      <c r="D944" s="2" t="str">
        <f>IFERROR(__xludf.DUMMYFUNCTION("""COMPUTED_VALUE"""),"5KM MASTER F")</f>
        <v>5KM MASTER F</v>
      </c>
      <c r="E944" s="1">
        <f>IFERROR(__xludf.DUMMYFUNCTION("""COMPUTED_VALUE"""),2.0)</f>
        <v>2</v>
      </c>
      <c r="F944" s="1" t="str">
        <f>IFERROR(__xludf.DUMMYFUNCTION("""COMPUTED_VALUE"""),"Female")</f>
        <v>Female</v>
      </c>
      <c r="G944" s="4" t="b">
        <f>IFERROR(__xludf.DUMMYFUNCTION("""COMPUTED_VALUE"""),TRUE)</f>
        <v>1</v>
      </c>
      <c r="H944" s="4" t="b">
        <f>IFERROR(__xludf.DUMMYFUNCTION("""COMPUTED_VALUE"""),TRUE)</f>
        <v>1</v>
      </c>
      <c r="I944" s="4">
        <f>IFERROR(__xludf.DUMMYFUNCTION("""COMPUTED_VALUE"""),0.2549440625)</f>
        <v>0.2549440625</v>
      </c>
      <c r="J944" s="4">
        <f>IFERROR(__xludf.DUMMYFUNCTION("""COMPUTED_VALUE"""),45949.28234619109)</f>
        <v>45949.28235</v>
      </c>
      <c r="K944" s="4" t="str">
        <f>IFERROR(__xludf.DUMMYFUNCTION("""COMPUTED_VALUE"""),"")</f>
        <v/>
      </c>
      <c r="L944" s="4">
        <f>IFERROR(__xludf.DUMMYFUNCTION("""COMPUTED_VALUE"""),45949.29849115621)</f>
        <v>45949.29849</v>
      </c>
      <c r="M944" s="1" t="str">
        <f>IFERROR(__xludf.DUMMYFUNCTION("""COMPUTED_VALUE"""),"RFID")</f>
        <v>RFID</v>
      </c>
      <c r="N944" s="5">
        <f>IFERROR(__xludf.DUMMYFUNCTION("""COMPUTED_VALUE"""),0.01096085185185185)</f>
        <v>0.01096085185</v>
      </c>
      <c r="O944" s="5" t="str">
        <f>IFERROR(__xludf.DUMMYFUNCTION("""COMPUTED_VALUE"""),"")</f>
        <v/>
      </c>
      <c r="P944" s="5" t="str">
        <f>IFERROR(__xludf.DUMMYFUNCTION("""COMPUTED_VALUE"""),"")</f>
        <v/>
      </c>
      <c r="Q944" s="5">
        <f>IFERROR(__xludf.DUMMYFUNCTION("""COMPUTED_VALUE"""),0.008709418981481481)</f>
        <v>0.008709418981</v>
      </c>
      <c r="R944" s="4">
        <f>IFERROR(__xludf.DUMMYFUNCTION("""COMPUTED_VALUE"""),45949.04354709371)</f>
        <v>45949.04355</v>
      </c>
      <c r="S944" s="1" t="b">
        <f>IFERROR(__xludf.DUMMYFUNCTION("""COMPUTED_VALUE"""),TRUE)</f>
        <v>1</v>
      </c>
      <c r="T944" s="1" t="b">
        <f>IFERROR(__xludf.DUMMYFUNCTION("""COMPUTED_VALUE"""),FALSE)</f>
        <v>0</v>
      </c>
      <c r="U944" s="1" t="str">
        <f>IFERROR(__xludf.DUMMYFUNCTION("""COMPUTED_VALUE"""),"VALID")</f>
        <v>VALID</v>
      </c>
      <c r="V944" s="1">
        <f>IFERROR(__xludf.DUMMYFUNCTION("""COMPUTED_VALUE"""),54.0)</f>
        <v>54</v>
      </c>
      <c r="W944" s="1">
        <f>IFERROR(__xludf.DUMMYFUNCTION("""COMPUTED_VALUE"""),1375.0)</f>
        <v>1375</v>
      </c>
      <c r="X944" s="1">
        <f>IFERROR(__xludf.DUMMYFUNCTION("""COMPUTED_VALUE"""),466.0)</f>
        <v>466</v>
      </c>
      <c r="Y944" s="2"/>
      <c r="Z944" s="2"/>
    </row>
    <row r="945">
      <c r="A945" s="1">
        <f>IFERROR(__xludf.DUMMYFUNCTION("""COMPUTED_VALUE"""),944.0)</f>
        <v>944</v>
      </c>
      <c r="B945" s="1">
        <f>IFERROR(__xludf.DUMMYFUNCTION("""COMPUTED_VALUE"""),7003.0)</f>
        <v>7003</v>
      </c>
      <c r="C945" s="2" t="str">
        <f>IFERROR(__xludf.DUMMYFUNCTION("""COMPUTED_VALUE"""),"El Hakim")</f>
        <v>El Hakim</v>
      </c>
      <c r="D945" s="2" t="str">
        <f>IFERROR(__xludf.DUMMYFUNCTION("""COMPUTED_VALUE"""),"5KM MASTER M")</f>
        <v>5KM MASTER M</v>
      </c>
      <c r="E945" s="1">
        <f>IFERROR(__xludf.DUMMYFUNCTION("""COMPUTED_VALUE"""),2.0)</f>
        <v>2</v>
      </c>
      <c r="F945" s="1" t="str">
        <f>IFERROR(__xludf.DUMMYFUNCTION("""COMPUTED_VALUE"""),"Male")</f>
        <v>Male</v>
      </c>
      <c r="G945" s="4" t="b">
        <f>IFERROR(__xludf.DUMMYFUNCTION("""COMPUTED_VALUE"""),TRUE)</f>
        <v>1</v>
      </c>
      <c r="H945" s="4" t="b">
        <f>IFERROR(__xludf.DUMMYFUNCTION("""COMPUTED_VALUE"""),FALSE)</f>
        <v>0</v>
      </c>
      <c r="I945" s="4">
        <f>IFERROR(__xludf.DUMMYFUNCTION("""COMPUTED_VALUE"""),0.2549440625)</f>
        <v>0.2549440625</v>
      </c>
      <c r="J945" s="4">
        <f>IFERROR(__xludf.DUMMYFUNCTION("""COMPUTED_VALUE"""),45949.27180101403)</f>
        <v>45949.2718</v>
      </c>
      <c r="K945" s="4" t="str">
        <f>IFERROR(__xludf.DUMMYFUNCTION("""COMPUTED_VALUE"""),"")</f>
        <v/>
      </c>
      <c r="L945" s="4">
        <f>IFERROR(__xludf.DUMMYFUNCTION("""COMPUTED_VALUE"""),45949.284491140665)</f>
        <v>45949.28449</v>
      </c>
      <c r="M945" s="1" t="str">
        <f>IFERROR(__xludf.DUMMYFUNCTION("""COMPUTED_VALUE"""),"RFID")</f>
        <v>RFID</v>
      </c>
      <c r="N945" s="5">
        <f>IFERROR(__xludf.DUMMYFUNCTION("""COMPUTED_VALUE"""),0.006742782407407407)</f>
        <v>0.006742782407</v>
      </c>
      <c r="O945" s="5" t="str">
        <f>IFERROR(__xludf.DUMMYFUNCTION("""COMPUTED_VALUE"""),"")</f>
        <v/>
      </c>
      <c r="P945" s="5" t="str">
        <f>IFERROR(__xludf.DUMMYFUNCTION("""COMPUTED_VALUE"""),"")</f>
        <v/>
      </c>
      <c r="Q945" s="5">
        <f>IFERROR(__xludf.DUMMYFUNCTION("""COMPUTED_VALUE"""),0.005909416666666666)</f>
        <v>0.005909416667</v>
      </c>
      <c r="R945" s="4">
        <f>IFERROR(__xludf.DUMMYFUNCTION("""COMPUTED_VALUE"""),45949.029547078164)</f>
        <v>45949.02955</v>
      </c>
      <c r="S945" s="1" t="b">
        <f>IFERROR(__xludf.DUMMYFUNCTION("""COMPUTED_VALUE"""),TRUE)</f>
        <v>1</v>
      </c>
      <c r="T945" s="1" t="b">
        <f>IFERROR(__xludf.DUMMYFUNCTION("""COMPUTED_VALUE"""),FALSE)</f>
        <v>0</v>
      </c>
      <c r="U945" s="1" t="str">
        <f>IFERROR(__xludf.DUMMYFUNCTION("""COMPUTED_VALUE"""),"VALID")</f>
        <v>VALID</v>
      </c>
      <c r="V945" s="1">
        <f>IFERROR(__xludf.DUMMYFUNCTION("""COMPUTED_VALUE"""),52.0)</f>
        <v>52</v>
      </c>
      <c r="W945" s="1">
        <f>IFERROR(__xludf.DUMMYFUNCTION("""COMPUTED_VALUE"""),542.0)</f>
        <v>542</v>
      </c>
      <c r="X945" s="1">
        <f>IFERROR(__xludf.DUMMYFUNCTION("""COMPUTED_VALUE"""),465.0)</f>
        <v>465</v>
      </c>
      <c r="Y945" s="2"/>
      <c r="Z945" s="2"/>
    </row>
    <row r="946">
      <c r="A946" s="1">
        <f>IFERROR(__xludf.DUMMYFUNCTION("""COMPUTED_VALUE"""),945.0)</f>
        <v>945</v>
      </c>
      <c r="B946" s="1">
        <f>IFERROR(__xludf.DUMMYFUNCTION("""COMPUTED_VALUE"""),7005.0)</f>
        <v>7005</v>
      </c>
      <c r="C946" s="2" t="str">
        <f>IFERROR(__xludf.DUMMYFUNCTION("""COMPUTED_VALUE"""),"44R")</f>
        <v>44R</v>
      </c>
      <c r="D946" s="2" t="str">
        <f>IFERROR(__xludf.DUMMYFUNCTION("""COMPUTED_VALUE"""),"5KM MASTER M")</f>
        <v>5KM MASTER M</v>
      </c>
      <c r="E946" s="1">
        <f>IFERROR(__xludf.DUMMYFUNCTION("""COMPUTED_VALUE"""),2.0)</f>
        <v>2</v>
      </c>
      <c r="F946" s="1" t="str">
        <f>IFERROR(__xludf.DUMMYFUNCTION("""COMPUTED_VALUE"""),"Male")</f>
        <v>Male</v>
      </c>
      <c r="G946" s="4" t="b">
        <f>IFERROR(__xludf.DUMMYFUNCTION("""COMPUTED_VALUE"""),TRUE)</f>
        <v>1</v>
      </c>
      <c r="H946" s="4" t="b">
        <f>IFERROR(__xludf.DUMMYFUNCTION("""COMPUTED_VALUE"""),FALSE)</f>
        <v>0</v>
      </c>
      <c r="I946" s="4">
        <f>IFERROR(__xludf.DUMMYFUNCTION("""COMPUTED_VALUE"""),0.2549440625)</f>
        <v>0.2549440625</v>
      </c>
      <c r="J946" s="4">
        <f>IFERROR(__xludf.DUMMYFUNCTION("""COMPUTED_VALUE"""),45949.277780161196)</f>
        <v>45949.27778</v>
      </c>
      <c r="K946" s="4" t="str">
        <f>IFERROR(__xludf.DUMMYFUNCTION("""COMPUTED_VALUE"""),"")</f>
        <v/>
      </c>
      <c r="L946" s="4">
        <f>IFERROR(__xludf.DUMMYFUNCTION("""COMPUTED_VALUE"""),45949.29297030957)</f>
        <v>45949.29297</v>
      </c>
      <c r="M946" s="1" t="str">
        <f>IFERROR(__xludf.DUMMYFUNCTION("""COMPUTED_VALUE"""),"RFID")</f>
        <v>RFID</v>
      </c>
      <c r="N946" s="5">
        <f>IFERROR(__xludf.DUMMYFUNCTION("""COMPUTED_VALUE"""),0.009134439814814816)</f>
        <v>0.009134439815</v>
      </c>
      <c r="O946" s="5" t="str">
        <f>IFERROR(__xludf.DUMMYFUNCTION("""COMPUTED_VALUE"""),"")</f>
        <v/>
      </c>
      <c r="P946" s="5" t="str">
        <f>IFERROR(__xludf.DUMMYFUNCTION("""COMPUTED_VALUE"""),"")</f>
        <v/>
      </c>
      <c r="Q946" s="5">
        <f>IFERROR(__xludf.DUMMYFUNCTION("""COMPUTED_VALUE"""),0.007605249999999999)</f>
        <v>0.00760525</v>
      </c>
      <c r="R946" s="4">
        <f>IFERROR(__xludf.DUMMYFUNCTION("""COMPUTED_VALUE"""),45949.03802624707)</f>
        <v>45949.03803</v>
      </c>
      <c r="S946" s="1" t="b">
        <f>IFERROR(__xludf.DUMMYFUNCTION("""COMPUTED_VALUE"""),TRUE)</f>
        <v>1</v>
      </c>
      <c r="T946" s="1" t="b">
        <f>IFERROR(__xludf.DUMMYFUNCTION("""COMPUTED_VALUE"""),FALSE)</f>
        <v>0</v>
      </c>
      <c r="U946" s="1" t="str">
        <f>IFERROR(__xludf.DUMMYFUNCTION("""COMPUTED_VALUE"""),"VALID")</f>
        <v>VALID</v>
      </c>
      <c r="V946" s="1">
        <f>IFERROR(__xludf.DUMMYFUNCTION("""COMPUTED_VALUE"""),84.0)</f>
        <v>84</v>
      </c>
      <c r="W946" s="1">
        <f>IFERROR(__xludf.DUMMYFUNCTION("""COMPUTED_VALUE"""),1103.0)</f>
        <v>1103</v>
      </c>
      <c r="X946" s="1">
        <f>IFERROR(__xludf.DUMMYFUNCTION("""COMPUTED_VALUE"""),877.0)</f>
        <v>877</v>
      </c>
      <c r="Y946" s="2"/>
      <c r="Z946" s="2"/>
    </row>
    <row r="947">
      <c r="A947" s="1">
        <f>IFERROR(__xludf.DUMMYFUNCTION("""COMPUTED_VALUE"""),946.0)</f>
        <v>946</v>
      </c>
      <c r="B947" s="1">
        <f>IFERROR(__xludf.DUMMYFUNCTION("""COMPUTED_VALUE"""),7006.0)</f>
        <v>7006</v>
      </c>
      <c r="C947" s="2" t="str">
        <f>IFERROR(__xludf.DUMMYFUNCTION("""COMPUTED_VALUE"""),"dyanred")</f>
        <v>dyanred</v>
      </c>
      <c r="D947" s="2" t="str">
        <f>IFERROR(__xludf.DUMMYFUNCTION("""COMPUTED_VALUE"""),"5KM MASTER M")</f>
        <v>5KM MASTER M</v>
      </c>
      <c r="E947" s="1">
        <f>IFERROR(__xludf.DUMMYFUNCTION("""COMPUTED_VALUE"""),2.0)</f>
        <v>2</v>
      </c>
      <c r="F947" s="1" t="str">
        <f>IFERROR(__xludf.DUMMYFUNCTION("""COMPUTED_VALUE"""),"Male")</f>
        <v>Male</v>
      </c>
      <c r="G947" s="4" t="b">
        <f>IFERROR(__xludf.DUMMYFUNCTION("""COMPUTED_VALUE"""),TRUE)</f>
        <v>1</v>
      </c>
      <c r="H947" s="4" t="b">
        <f>IFERROR(__xludf.DUMMYFUNCTION("""COMPUTED_VALUE"""),FALSE)</f>
        <v>0</v>
      </c>
      <c r="I947" s="4">
        <f>IFERROR(__xludf.DUMMYFUNCTION("""COMPUTED_VALUE"""),0.2549440625)</f>
        <v>0.2549440625</v>
      </c>
      <c r="J947" s="4">
        <f>IFERROR(__xludf.DUMMYFUNCTION("""COMPUTED_VALUE"""),45949.27030105168)</f>
        <v>45949.2703</v>
      </c>
      <c r="K947" s="4" t="str">
        <f>IFERROR(__xludf.DUMMYFUNCTION("""COMPUTED_VALUE"""),"")</f>
        <v/>
      </c>
      <c r="L947" s="4">
        <f>IFERROR(__xludf.DUMMYFUNCTION("""COMPUTED_VALUE"""),45949.280314295786)</f>
        <v>45949.28031</v>
      </c>
      <c r="M947" s="1" t="str">
        <f>IFERROR(__xludf.DUMMYFUNCTION("""COMPUTED_VALUE"""),"RFID")</f>
        <v>RFID</v>
      </c>
      <c r="N947" s="5">
        <f>IFERROR(__xludf.DUMMYFUNCTION("""COMPUTED_VALUE"""),0.006142796296296296)</f>
        <v>0.006142796296</v>
      </c>
      <c r="O947" s="5" t="str">
        <f>IFERROR(__xludf.DUMMYFUNCTION("""COMPUTED_VALUE"""),"")</f>
        <v/>
      </c>
      <c r="P947" s="5" t="str">
        <f>IFERROR(__xludf.DUMMYFUNCTION("""COMPUTED_VALUE"""),"")</f>
        <v/>
      </c>
      <c r="Q947" s="5">
        <f>IFERROR(__xludf.DUMMYFUNCTION("""COMPUTED_VALUE"""),0.005074046296296296)</f>
        <v>0.005074046296</v>
      </c>
      <c r="R947" s="4">
        <f>IFERROR(__xludf.DUMMYFUNCTION("""COMPUTED_VALUE"""),45949.025370233285)</f>
        <v>45949.02537</v>
      </c>
      <c r="S947" s="1" t="b">
        <f>IFERROR(__xludf.DUMMYFUNCTION("""COMPUTED_VALUE"""),TRUE)</f>
        <v>1</v>
      </c>
      <c r="T947" s="1" t="b">
        <f>IFERROR(__xludf.DUMMYFUNCTION("""COMPUTED_VALUE"""),FALSE)</f>
        <v>0</v>
      </c>
      <c r="U947" s="1" t="str">
        <f>IFERROR(__xludf.DUMMYFUNCTION("""COMPUTED_VALUE"""),"VALID")</f>
        <v>VALID</v>
      </c>
      <c r="V947" s="1">
        <f>IFERROR(__xludf.DUMMYFUNCTION("""COMPUTED_VALUE"""),33.0)</f>
        <v>33</v>
      </c>
      <c r="W947" s="1">
        <f>IFERROR(__xludf.DUMMYFUNCTION("""COMPUTED_VALUE"""),306.0)</f>
        <v>306</v>
      </c>
      <c r="X947" s="1">
        <f>IFERROR(__xludf.DUMMYFUNCTION("""COMPUTED_VALUE"""),269.0)</f>
        <v>269</v>
      </c>
      <c r="Y947" s="2"/>
      <c r="Z947" s="2"/>
    </row>
    <row r="948">
      <c r="A948" s="1">
        <f>IFERROR(__xludf.DUMMYFUNCTION("""COMPUTED_VALUE"""),947.0)</f>
        <v>947</v>
      </c>
      <c r="B948" s="1">
        <f>IFERROR(__xludf.DUMMYFUNCTION("""COMPUTED_VALUE"""),7008.0)</f>
        <v>7008</v>
      </c>
      <c r="C948" s="2" t="str">
        <f>IFERROR(__xludf.DUMMYFUNCTION("""COMPUTED_VALUE"""),"ESRA SIRAIT")</f>
        <v>ESRA SIRAIT</v>
      </c>
      <c r="D948" s="2" t="str">
        <f>IFERROR(__xludf.DUMMYFUNCTION("""COMPUTED_VALUE"""),"5KM MASTER M")</f>
        <v>5KM MASTER M</v>
      </c>
      <c r="E948" s="1">
        <f>IFERROR(__xludf.DUMMYFUNCTION("""COMPUTED_VALUE"""),2.0)</f>
        <v>2</v>
      </c>
      <c r="F948" s="1" t="str">
        <f>IFERROR(__xludf.DUMMYFUNCTION("""COMPUTED_VALUE"""),"Male")</f>
        <v>Male</v>
      </c>
      <c r="G948" s="4" t="b">
        <f>IFERROR(__xludf.DUMMYFUNCTION("""COMPUTED_VALUE"""),TRUE)</f>
        <v>1</v>
      </c>
      <c r="H948" s="4" t="b">
        <f>IFERROR(__xludf.DUMMYFUNCTION("""COMPUTED_VALUE"""),TRUE)</f>
        <v>1</v>
      </c>
      <c r="I948" s="4">
        <f>IFERROR(__xludf.DUMMYFUNCTION("""COMPUTED_VALUE"""),0.2549440625)</f>
        <v>0.2549440625</v>
      </c>
      <c r="J948" s="4">
        <f>IFERROR(__xludf.DUMMYFUNCTION("""COMPUTED_VALUE"""),45949.27532529483)</f>
        <v>45949.27533</v>
      </c>
      <c r="K948" s="4" t="str">
        <f>IFERROR(__xludf.DUMMYFUNCTION("""COMPUTED_VALUE"""),"")</f>
        <v/>
      </c>
      <c r="L948" s="4">
        <f>IFERROR(__xludf.DUMMYFUNCTION("""COMPUTED_VALUE"""),45949.29103624755)</f>
        <v>45949.29104</v>
      </c>
      <c r="M948" s="1" t="str">
        <f>IFERROR(__xludf.DUMMYFUNCTION("""COMPUTED_VALUE"""),"RFID")</f>
        <v>RFID</v>
      </c>
      <c r="N948" s="5">
        <f>IFERROR(__xludf.DUMMYFUNCTION("""COMPUTED_VALUE"""),0.008152490740740741)</f>
        <v>0.008152490741</v>
      </c>
      <c r="O948" s="5" t="str">
        <f>IFERROR(__xludf.DUMMYFUNCTION("""COMPUTED_VALUE"""),"")</f>
        <v/>
      </c>
      <c r="P948" s="5" t="str">
        <f>IFERROR(__xludf.DUMMYFUNCTION("""COMPUTED_VALUE"""),"")</f>
        <v/>
      </c>
      <c r="Q948" s="5">
        <f>IFERROR(__xludf.DUMMYFUNCTION("""COMPUTED_VALUE"""),0.007218437499999999)</f>
        <v>0.0072184375</v>
      </c>
      <c r="R948" s="4">
        <f>IFERROR(__xludf.DUMMYFUNCTION("""COMPUTED_VALUE"""),45949.03609218505)</f>
        <v>45949.03609</v>
      </c>
      <c r="S948" s="1" t="b">
        <f>IFERROR(__xludf.DUMMYFUNCTION("""COMPUTED_VALUE"""),TRUE)</f>
        <v>1</v>
      </c>
      <c r="T948" s="1" t="b">
        <f>IFERROR(__xludf.DUMMYFUNCTION("""COMPUTED_VALUE"""),FALSE)</f>
        <v>0</v>
      </c>
      <c r="U948" s="1" t="str">
        <f>IFERROR(__xludf.DUMMYFUNCTION("""COMPUTED_VALUE"""),"VALID")</f>
        <v>VALID</v>
      </c>
      <c r="V948" s="1">
        <f>IFERROR(__xludf.DUMMYFUNCTION("""COMPUTED_VALUE"""),75.0)</f>
        <v>75</v>
      </c>
      <c r="W948" s="1">
        <f>IFERROR(__xludf.DUMMYFUNCTION("""COMPUTED_VALUE"""),963.0)</f>
        <v>963</v>
      </c>
      <c r="X948" s="1">
        <f>IFERROR(__xludf.DUMMYFUNCTION("""COMPUTED_VALUE"""),781.0)</f>
        <v>781</v>
      </c>
      <c r="Y948" s="2"/>
      <c r="Z948" s="2"/>
    </row>
    <row r="949">
      <c r="A949" s="1">
        <f>IFERROR(__xludf.DUMMYFUNCTION("""COMPUTED_VALUE"""),948.0)</f>
        <v>948</v>
      </c>
      <c r="B949" s="1">
        <f>IFERROR(__xludf.DUMMYFUNCTION("""COMPUTED_VALUE"""),7009.0)</f>
        <v>7009</v>
      </c>
      <c r="C949" s="2" t="str">
        <f>IFERROR(__xludf.DUMMYFUNCTION("""COMPUTED_VALUE"""),"mulyadi")</f>
        <v>mulyadi</v>
      </c>
      <c r="D949" s="2" t="str">
        <f>IFERROR(__xludf.DUMMYFUNCTION("""COMPUTED_VALUE"""),"5KM MASTER M")</f>
        <v>5KM MASTER M</v>
      </c>
      <c r="E949" s="1">
        <f>IFERROR(__xludf.DUMMYFUNCTION("""COMPUTED_VALUE"""),2.0)</f>
        <v>2</v>
      </c>
      <c r="F949" s="1" t="str">
        <f>IFERROR(__xludf.DUMMYFUNCTION("""COMPUTED_VALUE"""),"Male")</f>
        <v>Male</v>
      </c>
      <c r="G949" s="4" t="b">
        <f>IFERROR(__xludf.DUMMYFUNCTION("""COMPUTED_VALUE"""),TRUE)</f>
        <v>1</v>
      </c>
      <c r="H949" s="4" t="b">
        <f>IFERROR(__xludf.DUMMYFUNCTION("""COMPUTED_VALUE"""),TRUE)</f>
        <v>1</v>
      </c>
      <c r="I949" s="4">
        <f>IFERROR(__xludf.DUMMYFUNCTION("""COMPUTED_VALUE"""),0.2549440625)</f>
        <v>0.2549440625</v>
      </c>
      <c r="J949" s="4">
        <f>IFERROR(__xludf.DUMMYFUNCTION("""COMPUTED_VALUE"""),45949.2748322972)</f>
        <v>45949.27483</v>
      </c>
      <c r="K949" s="4" t="str">
        <f>IFERROR(__xludf.DUMMYFUNCTION("""COMPUTED_VALUE"""),"")</f>
        <v/>
      </c>
      <c r="L949" s="4">
        <f>IFERROR(__xludf.DUMMYFUNCTION("""COMPUTED_VALUE"""),45949.28966475433)</f>
        <v>45949.28966</v>
      </c>
      <c r="M949" s="1" t="str">
        <f>IFERROR(__xludf.DUMMYFUNCTION("""COMPUTED_VALUE"""),"RFID")</f>
        <v>RFID</v>
      </c>
      <c r="N949" s="5">
        <f>IFERROR(__xludf.DUMMYFUNCTION("""COMPUTED_VALUE"""),0.007955291666666666)</f>
        <v>0.007955291667</v>
      </c>
      <c r="O949" s="5" t="str">
        <f>IFERROR(__xludf.DUMMYFUNCTION("""COMPUTED_VALUE"""),"")</f>
        <v/>
      </c>
      <c r="P949" s="5" t="str">
        <f>IFERROR(__xludf.DUMMYFUNCTION("""COMPUTED_VALUE"""),"")</f>
        <v/>
      </c>
      <c r="Q949" s="5">
        <f>IFERROR(__xludf.DUMMYFUNCTION("""COMPUTED_VALUE"""),0.006944138888888889)</f>
        <v>0.006944138889</v>
      </c>
      <c r="R949" s="4">
        <f>IFERROR(__xludf.DUMMYFUNCTION("""COMPUTED_VALUE"""),45949.03472069183)</f>
        <v>45949.03472</v>
      </c>
      <c r="S949" s="1" t="b">
        <f>IFERROR(__xludf.DUMMYFUNCTION("""COMPUTED_VALUE"""),TRUE)</f>
        <v>1</v>
      </c>
      <c r="T949" s="1" t="b">
        <f>IFERROR(__xludf.DUMMYFUNCTION("""COMPUTED_VALUE"""),FALSE)</f>
        <v>0</v>
      </c>
      <c r="U949" s="1" t="str">
        <f>IFERROR(__xludf.DUMMYFUNCTION("""COMPUTED_VALUE"""),"VALID")</f>
        <v>VALID</v>
      </c>
      <c r="V949" s="1">
        <f>IFERROR(__xludf.DUMMYFUNCTION("""COMPUTED_VALUE"""),73.0)</f>
        <v>73</v>
      </c>
      <c r="W949" s="1">
        <f>IFERROR(__xludf.DUMMYFUNCTION("""COMPUTED_VALUE"""),874.0)</f>
        <v>874</v>
      </c>
      <c r="X949" s="1">
        <f>IFERROR(__xludf.DUMMYFUNCTION("""COMPUTED_VALUE"""),712.0)</f>
        <v>712</v>
      </c>
      <c r="Y949" s="2"/>
      <c r="Z949" s="2"/>
    </row>
    <row r="950">
      <c r="A950" s="1">
        <f>IFERROR(__xludf.DUMMYFUNCTION("""COMPUTED_VALUE"""),949.0)</f>
        <v>949</v>
      </c>
      <c r="B950" s="1">
        <f>IFERROR(__xludf.DUMMYFUNCTION("""COMPUTED_VALUE"""),7010.0)</f>
        <v>7010</v>
      </c>
      <c r="C950" s="2" t="str">
        <f>IFERROR(__xludf.DUMMYFUNCTION("""COMPUTED_VALUE"""),"ozod")</f>
        <v>ozod</v>
      </c>
      <c r="D950" s="2" t="str">
        <f>IFERROR(__xludf.DUMMYFUNCTION("""COMPUTED_VALUE"""),"5KM MASTER M")</f>
        <v>5KM MASTER M</v>
      </c>
      <c r="E950" s="1">
        <f>IFERROR(__xludf.DUMMYFUNCTION("""COMPUTED_VALUE"""),2.0)</f>
        <v>2</v>
      </c>
      <c r="F950" s="1" t="str">
        <f>IFERROR(__xludf.DUMMYFUNCTION("""COMPUTED_VALUE"""),"Male")</f>
        <v>Male</v>
      </c>
      <c r="G950" s="4" t="b">
        <f>IFERROR(__xludf.DUMMYFUNCTION("""COMPUTED_VALUE"""),TRUE)</f>
        <v>1</v>
      </c>
      <c r="H950" s="4" t="b">
        <f>IFERROR(__xludf.DUMMYFUNCTION("""COMPUTED_VALUE"""),FALSE)</f>
        <v>0</v>
      </c>
      <c r="I950" s="4">
        <f>IFERROR(__xludf.DUMMYFUNCTION("""COMPUTED_VALUE"""),0.2549440625)</f>
        <v>0.2549440625</v>
      </c>
      <c r="J950" s="4">
        <f>IFERROR(__xludf.DUMMYFUNCTION("""COMPUTED_VALUE"""),45949.2668774338)</f>
        <v>45949.26688</v>
      </c>
      <c r="K950" s="4" t="str">
        <f>IFERROR(__xludf.DUMMYFUNCTION("""COMPUTED_VALUE"""),"")</f>
        <v/>
      </c>
      <c r="L950" s="4">
        <f>IFERROR(__xludf.DUMMYFUNCTION("""COMPUTED_VALUE"""),45949.275765458064)</f>
        <v>45949.27577</v>
      </c>
      <c r="M950" s="1" t="str">
        <f>IFERROR(__xludf.DUMMYFUNCTION("""COMPUTED_VALUE"""),"RFID")</f>
        <v>RFID</v>
      </c>
      <c r="N950" s="5">
        <f>IFERROR(__xludf.DUMMYFUNCTION("""COMPUTED_VALUE"""),0.004773347222222222)</f>
        <v>0.004773347222</v>
      </c>
      <c r="O950" s="5" t="str">
        <f>IFERROR(__xludf.DUMMYFUNCTION("""COMPUTED_VALUE"""),"")</f>
        <v/>
      </c>
      <c r="P950" s="5" t="str">
        <f>IFERROR(__xludf.DUMMYFUNCTION("""COMPUTED_VALUE"""),"")</f>
        <v/>
      </c>
      <c r="Q950" s="5">
        <f>IFERROR(__xludf.DUMMYFUNCTION("""COMPUTED_VALUE"""),0.004164280092592593)</f>
        <v>0.004164280093</v>
      </c>
      <c r="R950" s="4">
        <f>IFERROR(__xludf.DUMMYFUNCTION("""COMPUTED_VALUE"""),45949.02082139556)</f>
        <v>45949.02082</v>
      </c>
      <c r="S950" s="1" t="b">
        <f>IFERROR(__xludf.DUMMYFUNCTION("""COMPUTED_VALUE"""),TRUE)</f>
        <v>1</v>
      </c>
      <c r="T950" s="1" t="b">
        <f>IFERROR(__xludf.DUMMYFUNCTION("""COMPUTED_VALUE"""),FALSE)</f>
        <v>0</v>
      </c>
      <c r="U950" s="1" t="str">
        <f>IFERROR(__xludf.DUMMYFUNCTION("""COMPUTED_VALUE"""),"VALID")</f>
        <v>VALID</v>
      </c>
      <c r="V950" s="1">
        <f>IFERROR(__xludf.DUMMYFUNCTION("""COMPUTED_VALUE"""),15.0)</f>
        <v>15</v>
      </c>
      <c r="W950" s="1">
        <f>IFERROR(__xludf.DUMMYFUNCTION("""COMPUTED_VALUE"""),137.0)</f>
        <v>137</v>
      </c>
      <c r="X950" s="1">
        <f>IFERROR(__xludf.DUMMYFUNCTION("""COMPUTED_VALUE"""),124.0)</f>
        <v>124</v>
      </c>
      <c r="Y950" s="2"/>
      <c r="Z950" s="2"/>
    </row>
    <row r="951">
      <c r="A951" s="1">
        <f>IFERROR(__xludf.DUMMYFUNCTION("""COMPUTED_VALUE"""),950.0)</f>
        <v>950</v>
      </c>
      <c r="B951" s="1">
        <f>IFERROR(__xludf.DUMMYFUNCTION("""COMPUTED_VALUE"""),7011.0)</f>
        <v>7011</v>
      </c>
      <c r="C951" s="2" t="str">
        <f>IFERROR(__xludf.DUMMYFUNCTION("""COMPUTED_VALUE"""),"Agus Setiawan")</f>
        <v>Agus Setiawan</v>
      </c>
      <c r="D951" s="2" t="str">
        <f>IFERROR(__xludf.DUMMYFUNCTION("""COMPUTED_VALUE"""),"5KM MASTER M")</f>
        <v>5KM MASTER M</v>
      </c>
      <c r="E951" s="1">
        <f>IFERROR(__xludf.DUMMYFUNCTION("""COMPUTED_VALUE"""),2.0)</f>
        <v>2</v>
      </c>
      <c r="F951" s="1" t="str">
        <f>IFERROR(__xludf.DUMMYFUNCTION("""COMPUTED_VALUE"""),"Male")</f>
        <v>Male</v>
      </c>
      <c r="G951" s="4" t="b">
        <f>IFERROR(__xludf.DUMMYFUNCTION("""COMPUTED_VALUE"""),TRUE)</f>
        <v>1</v>
      </c>
      <c r="H951" s="4" t="b">
        <f>IFERROR(__xludf.DUMMYFUNCTION("""COMPUTED_VALUE"""),FALSE)</f>
        <v>0</v>
      </c>
      <c r="I951" s="4">
        <f>IFERROR(__xludf.DUMMYFUNCTION("""COMPUTED_VALUE"""),0.2549440625)</f>
        <v>0.2549440625</v>
      </c>
      <c r="J951" s="4">
        <f>IFERROR(__xludf.DUMMYFUNCTION("""COMPUTED_VALUE"""),45949.27593989796)</f>
        <v>45949.27594</v>
      </c>
      <c r="K951" s="4" t="str">
        <f>IFERROR(__xludf.DUMMYFUNCTION("""COMPUTED_VALUE"""),"")</f>
        <v/>
      </c>
      <c r="L951" s="4">
        <f>IFERROR(__xludf.DUMMYFUNCTION("""COMPUTED_VALUE"""),45949.288970309586)</f>
        <v>45949.28897</v>
      </c>
      <c r="M951" s="1" t="str">
        <f>IFERROR(__xludf.DUMMYFUNCTION("""COMPUTED_VALUE"""),"RFID")</f>
        <v>RFID</v>
      </c>
      <c r="N951" s="5">
        <f>IFERROR(__xludf.DUMMYFUNCTION("""COMPUTED_VALUE"""),0.008398333333333332)</f>
        <v>0.008398333333</v>
      </c>
      <c r="O951" s="5" t="str">
        <f>IFERROR(__xludf.DUMMYFUNCTION("""COMPUTED_VALUE"""),"")</f>
        <v/>
      </c>
      <c r="P951" s="5" t="str">
        <f>IFERROR(__xludf.DUMMYFUNCTION("""COMPUTED_VALUE"""),"")</f>
        <v/>
      </c>
      <c r="Q951" s="5">
        <f>IFERROR(__xludf.DUMMYFUNCTION("""COMPUTED_VALUE"""),0.0068052500000000005)</f>
        <v>0.00680525</v>
      </c>
      <c r="R951" s="4">
        <f>IFERROR(__xludf.DUMMYFUNCTION("""COMPUTED_VALUE"""),45949.034026247085)</f>
        <v>45949.03403</v>
      </c>
      <c r="S951" s="1" t="b">
        <f>IFERROR(__xludf.DUMMYFUNCTION("""COMPUTED_VALUE"""),TRUE)</f>
        <v>1</v>
      </c>
      <c r="T951" s="1" t="b">
        <f>IFERROR(__xludf.DUMMYFUNCTION("""COMPUTED_VALUE"""),FALSE)</f>
        <v>0</v>
      </c>
      <c r="U951" s="1" t="str">
        <f>IFERROR(__xludf.DUMMYFUNCTION("""COMPUTED_VALUE"""),"VALID")</f>
        <v>VALID</v>
      </c>
      <c r="V951" s="1">
        <f>IFERROR(__xludf.DUMMYFUNCTION("""COMPUTED_VALUE"""),70.0)</f>
        <v>70</v>
      </c>
      <c r="W951" s="1">
        <f>IFERROR(__xludf.DUMMYFUNCTION("""COMPUTED_VALUE"""),844.0)</f>
        <v>844</v>
      </c>
      <c r="X951" s="1">
        <f>IFERROR(__xludf.DUMMYFUNCTION("""COMPUTED_VALUE"""),691.0)</f>
        <v>691</v>
      </c>
      <c r="Y951" s="2"/>
      <c r="Z951" s="2"/>
    </row>
    <row r="952">
      <c r="A952" s="1">
        <f>IFERROR(__xludf.DUMMYFUNCTION("""COMPUTED_VALUE"""),951.0)</f>
        <v>951</v>
      </c>
      <c r="B952" s="1">
        <f>IFERROR(__xludf.DUMMYFUNCTION("""COMPUTED_VALUE"""),7012.0)</f>
        <v>7012</v>
      </c>
      <c r="C952" s="2" t="str">
        <f>IFERROR(__xludf.DUMMYFUNCTION("""COMPUTED_VALUE"""),"budi")</f>
        <v>budi</v>
      </c>
      <c r="D952" s="2" t="str">
        <f>IFERROR(__xludf.DUMMYFUNCTION("""COMPUTED_VALUE"""),"5KM MASTER M")</f>
        <v>5KM MASTER M</v>
      </c>
      <c r="E952" s="1">
        <f>IFERROR(__xludf.DUMMYFUNCTION("""COMPUTED_VALUE"""),2.0)</f>
        <v>2</v>
      </c>
      <c r="F952" s="1" t="str">
        <f>IFERROR(__xludf.DUMMYFUNCTION("""COMPUTED_VALUE"""),"Male")</f>
        <v>Male</v>
      </c>
      <c r="G952" s="4" t="str">
        <f>IFERROR(__xludf.DUMMYFUNCTION("""COMPUTED_VALUE"""),"")</f>
        <v/>
      </c>
      <c r="H952" s="4" t="b">
        <f>IFERROR(__xludf.DUMMYFUNCTION("""COMPUTED_VALUE"""),FALSE)</f>
        <v>0</v>
      </c>
      <c r="I952" s="4">
        <f>IFERROR(__xludf.DUMMYFUNCTION("""COMPUTED_VALUE"""),0.2549440625)</f>
        <v>0.2549440625</v>
      </c>
      <c r="J952" s="4" t="str">
        <f>IFERROR(__xludf.DUMMYFUNCTION("""COMPUTED_VALUE"""),"")</f>
        <v/>
      </c>
      <c r="K952" s="4" t="str">
        <f>IFERROR(__xludf.DUMMYFUNCTION("""COMPUTED_VALUE"""),"")</f>
        <v/>
      </c>
      <c r="L952" s="4" t="str">
        <f>IFERROR(__xludf.DUMMYFUNCTION("""COMPUTED_VALUE"""),"")</f>
        <v/>
      </c>
      <c r="M952" s="1" t="str">
        <f>IFERROR(__xludf.DUMMYFUNCTION("""COMPUTED_VALUE"""),"RFID")</f>
        <v>RFID</v>
      </c>
      <c r="N952" s="5" t="str">
        <f>IFERROR(__xludf.DUMMYFUNCTION("""COMPUTED_VALUE"""),"")</f>
        <v/>
      </c>
      <c r="O952" s="5" t="str">
        <f>IFERROR(__xludf.DUMMYFUNCTION("""COMPUTED_VALUE"""),"")</f>
        <v/>
      </c>
      <c r="P952" s="5" t="str">
        <f>IFERROR(__xludf.DUMMYFUNCTION("""COMPUTED_VALUE"""),"")</f>
        <v/>
      </c>
      <c r="Q952" s="5" t="str">
        <f>IFERROR(__xludf.DUMMYFUNCTION("""COMPUTED_VALUE"""),"")</f>
        <v/>
      </c>
      <c r="R952" s="4" t="str">
        <f>IFERROR(__xludf.DUMMYFUNCTION("""COMPUTED_VALUE"""),"")</f>
        <v/>
      </c>
      <c r="S952" s="1" t="b">
        <f>IFERROR(__xludf.DUMMYFUNCTION("""COMPUTED_VALUE"""),FALSE)</f>
        <v>0</v>
      </c>
      <c r="T952" s="1" t="b">
        <f>IFERROR(__xludf.DUMMYFUNCTION("""COMPUTED_VALUE"""),FALSE)</f>
        <v>0</v>
      </c>
      <c r="U952" s="1" t="str">
        <f>IFERROR(__xludf.DUMMYFUNCTION("""COMPUTED_VALUE"""),"DSQ")</f>
        <v>DSQ</v>
      </c>
      <c r="V952" s="1" t="str">
        <f>IFERROR(__xludf.DUMMYFUNCTION("""COMPUTED_VALUE"""),"DSQ")</f>
        <v>DSQ</v>
      </c>
      <c r="W952" s="1" t="str">
        <f>IFERROR(__xludf.DUMMYFUNCTION("""COMPUTED_VALUE"""),"DSQ")</f>
        <v>DSQ</v>
      </c>
      <c r="X952" s="1" t="str">
        <f>IFERROR(__xludf.DUMMYFUNCTION("""COMPUTED_VALUE"""),"DSQ")</f>
        <v>DSQ</v>
      </c>
      <c r="Y952" s="2"/>
      <c r="Z952" s="2" t="str">
        <f>IFERROR(__xludf.DUMMYFUNCTION("""COMPUTED_VALUE"""),"")</f>
        <v/>
      </c>
    </row>
    <row r="953">
      <c r="A953" s="1">
        <f>IFERROR(__xludf.DUMMYFUNCTION("""COMPUTED_VALUE"""),952.0)</f>
        <v>952</v>
      </c>
      <c r="B953" s="1">
        <f>IFERROR(__xludf.DUMMYFUNCTION("""COMPUTED_VALUE"""),7015.0)</f>
        <v>7015</v>
      </c>
      <c r="C953" s="2" t="str">
        <f>IFERROR(__xludf.DUMMYFUNCTION("""COMPUTED_VALUE"""),"Jefrie")</f>
        <v>Jefrie</v>
      </c>
      <c r="D953" s="2" t="str">
        <f>IFERROR(__xludf.DUMMYFUNCTION("""COMPUTED_VALUE"""),"5KM MASTER M")</f>
        <v>5KM MASTER M</v>
      </c>
      <c r="E953" s="1">
        <f>IFERROR(__xludf.DUMMYFUNCTION("""COMPUTED_VALUE"""),2.0)</f>
        <v>2</v>
      </c>
      <c r="F953" s="1" t="str">
        <f>IFERROR(__xludf.DUMMYFUNCTION("""COMPUTED_VALUE"""),"Male")</f>
        <v>Male</v>
      </c>
      <c r="G953" s="4" t="str">
        <f>IFERROR(__xludf.DUMMYFUNCTION("""COMPUTED_VALUE"""),"")</f>
        <v/>
      </c>
      <c r="H953" s="4" t="b">
        <f>IFERROR(__xludf.DUMMYFUNCTION("""COMPUTED_VALUE"""),FALSE)</f>
        <v>0</v>
      </c>
      <c r="I953" s="4">
        <f>IFERROR(__xludf.DUMMYFUNCTION("""COMPUTED_VALUE"""),0.2549440625)</f>
        <v>0.2549440625</v>
      </c>
      <c r="J953" s="4">
        <f>IFERROR(__xludf.DUMMYFUNCTION("""COMPUTED_VALUE"""),45949.269780225084)</f>
        <v>45949.26978</v>
      </c>
      <c r="K953" s="4" t="str">
        <f>IFERROR(__xludf.DUMMYFUNCTION("""COMPUTED_VALUE"""),"")</f>
        <v/>
      </c>
      <c r="L953" s="4">
        <f>IFERROR(__xludf.DUMMYFUNCTION("""COMPUTED_VALUE"""),45949.28036961589)</f>
        <v>45949.28037</v>
      </c>
      <c r="M953" s="1" t="str">
        <f>IFERROR(__xludf.DUMMYFUNCTION("""COMPUTED_VALUE"""),"RFID")</f>
        <v>RFID</v>
      </c>
      <c r="N953" s="5">
        <f>IFERROR(__xludf.DUMMYFUNCTION("""COMPUTED_VALUE"""),0.0059344629629629626)</f>
        <v>0.005934462963</v>
      </c>
      <c r="O953" s="5" t="str">
        <f>IFERROR(__xludf.DUMMYFUNCTION("""COMPUTED_VALUE"""),"")</f>
        <v/>
      </c>
      <c r="P953" s="5" t="str">
        <f>IFERROR(__xludf.DUMMYFUNCTION("""COMPUTED_VALUE"""),"")</f>
        <v/>
      </c>
      <c r="Q953" s="5">
        <f>IFERROR(__xludf.DUMMYFUNCTION("""COMPUTED_VALUE"""),0.005085111111111111)</f>
        <v>0.005085111111</v>
      </c>
      <c r="R953" s="4">
        <f>IFERROR(__xludf.DUMMYFUNCTION("""COMPUTED_VALUE"""),45949.02542555339)</f>
        <v>45949.02543</v>
      </c>
      <c r="S953" s="1" t="b">
        <f>IFERROR(__xludf.DUMMYFUNCTION("""COMPUTED_VALUE"""),FALSE)</f>
        <v>0</v>
      </c>
      <c r="T953" s="1" t="b">
        <f>IFERROR(__xludf.DUMMYFUNCTION("""COMPUTED_VALUE"""),FALSE)</f>
        <v>0</v>
      </c>
      <c r="U953" s="1" t="str">
        <f>IFERROR(__xludf.DUMMYFUNCTION("""COMPUTED_VALUE"""),"DSQ")</f>
        <v>DSQ</v>
      </c>
      <c r="V953" s="1" t="str">
        <f>IFERROR(__xludf.DUMMYFUNCTION("""COMPUTED_VALUE"""),"DSQ")</f>
        <v>DSQ</v>
      </c>
      <c r="W953" s="1" t="str">
        <f>IFERROR(__xludf.DUMMYFUNCTION("""COMPUTED_VALUE"""),"DSQ")</f>
        <v>DSQ</v>
      </c>
      <c r="X953" s="1" t="str">
        <f>IFERROR(__xludf.DUMMYFUNCTION("""COMPUTED_VALUE"""),"DSQ")</f>
        <v>DSQ</v>
      </c>
      <c r="Y953" s="2"/>
      <c r="Z953" s="2"/>
    </row>
    <row r="954">
      <c r="A954" s="1">
        <f>IFERROR(__xludf.DUMMYFUNCTION("""COMPUTED_VALUE"""),953.0)</f>
        <v>953</v>
      </c>
      <c r="B954" s="1">
        <f>IFERROR(__xludf.DUMMYFUNCTION("""COMPUTED_VALUE"""),7016.0)</f>
        <v>7016</v>
      </c>
      <c r="C954" s="2" t="str">
        <f>IFERROR(__xludf.DUMMYFUNCTION("""COMPUTED_VALUE"""),"Aini Istariyadi")</f>
        <v>Aini Istariyadi</v>
      </c>
      <c r="D954" s="2" t="str">
        <f>IFERROR(__xludf.DUMMYFUNCTION("""COMPUTED_VALUE"""),"5KM MASTER M")</f>
        <v>5KM MASTER M</v>
      </c>
      <c r="E954" s="1">
        <f>IFERROR(__xludf.DUMMYFUNCTION("""COMPUTED_VALUE"""),2.0)</f>
        <v>2</v>
      </c>
      <c r="F954" s="1" t="str">
        <f>IFERROR(__xludf.DUMMYFUNCTION("""COMPUTED_VALUE"""),"Male")</f>
        <v>Male</v>
      </c>
      <c r="G954" s="4" t="b">
        <f>IFERROR(__xludf.DUMMYFUNCTION("""COMPUTED_VALUE"""),TRUE)</f>
        <v>1</v>
      </c>
      <c r="H954" s="4" t="b">
        <f>IFERROR(__xludf.DUMMYFUNCTION("""COMPUTED_VALUE"""),TRUE)</f>
        <v>1</v>
      </c>
      <c r="I954" s="4">
        <f>IFERROR(__xludf.DUMMYFUNCTION("""COMPUTED_VALUE"""),0.2549440625)</f>
        <v>0.2549440625</v>
      </c>
      <c r="J954" s="4">
        <f>IFERROR(__xludf.DUMMYFUNCTION("""COMPUTED_VALUE"""),45949.28064827645)</f>
        <v>45949.28065</v>
      </c>
      <c r="K954" s="4" t="str">
        <f>IFERROR(__xludf.DUMMYFUNCTION("""COMPUTED_VALUE"""),"")</f>
        <v/>
      </c>
      <c r="L954" s="4">
        <f>IFERROR(__xludf.DUMMYFUNCTION("""COMPUTED_VALUE"""),45949.29892164934)</f>
        <v>45949.29892</v>
      </c>
      <c r="M954" s="1" t="str">
        <f>IFERROR(__xludf.DUMMYFUNCTION("""COMPUTED_VALUE"""),"RFID")</f>
        <v>RFID</v>
      </c>
      <c r="N954" s="5">
        <f>IFERROR(__xludf.DUMMYFUNCTION("""COMPUTED_VALUE"""),0.010281685185185185)</f>
        <v>0.01028168519</v>
      </c>
      <c r="O954" s="5" t="str">
        <f>IFERROR(__xludf.DUMMYFUNCTION("""COMPUTED_VALUE"""),"")</f>
        <v/>
      </c>
      <c r="P954" s="5" t="str">
        <f>IFERROR(__xludf.DUMMYFUNCTION("""COMPUTED_VALUE"""),"")</f>
        <v/>
      </c>
      <c r="Q954" s="5">
        <f>IFERROR(__xludf.DUMMYFUNCTION("""COMPUTED_VALUE"""),0.008795518518518518)</f>
        <v>0.008795518519</v>
      </c>
      <c r="R954" s="4">
        <f>IFERROR(__xludf.DUMMYFUNCTION("""COMPUTED_VALUE"""),45949.043977586836)</f>
        <v>45949.04398</v>
      </c>
      <c r="S954" s="1" t="b">
        <f>IFERROR(__xludf.DUMMYFUNCTION("""COMPUTED_VALUE"""),TRUE)</f>
        <v>1</v>
      </c>
      <c r="T954" s="1" t="b">
        <f>IFERROR(__xludf.DUMMYFUNCTION("""COMPUTED_VALUE"""),FALSE)</f>
        <v>0</v>
      </c>
      <c r="U954" s="1" t="str">
        <f>IFERROR(__xludf.DUMMYFUNCTION("""COMPUTED_VALUE"""),"VALID")</f>
        <v>VALID</v>
      </c>
      <c r="V954" s="1">
        <f>IFERROR(__xludf.DUMMYFUNCTION("""COMPUTED_VALUE"""),97.0)</f>
        <v>97</v>
      </c>
      <c r="W954" s="1">
        <f>IFERROR(__xludf.DUMMYFUNCTION("""COMPUTED_VALUE"""),1407.0)</f>
        <v>1407</v>
      </c>
      <c r="X954" s="1">
        <f>IFERROR(__xludf.DUMMYFUNCTION("""COMPUTED_VALUE"""),1147.0)</f>
        <v>1147</v>
      </c>
      <c r="Y954" s="2"/>
      <c r="Z954" s="2"/>
    </row>
    <row r="955">
      <c r="A955" s="1">
        <f>IFERROR(__xludf.DUMMYFUNCTION("""COMPUTED_VALUE"""),954.0)</f>
        <v>954</v>
      </c>
      <c r="B955" s="1">
        <f>IFERROR(__xludf.DUMMYFUNCTION("""COMPUTED_VALUE"""),7017.0)</f>
        <v>7017</v>
      </c>
      <c r="C955" s="2" t="str">
        <f>IFERROR(__xludf.DUMMYFUNCTION("""COMPUTED_VALUE"""),"Younai")</f>
        <v>Younai</v>
      </c>
      <c r="D955" s="2" t="str">
        <f>IFERROR(__xludf.DUMMYFUNCTION("""COMPUTED_VALUE"""),"5KM MASTER M")</f>
        <v>5KM MASTER M</v>
      </c>
      <c r="E955" s="1">
        <f>IFERROR(__xludf.DUMMYFUNCTION("""COMPUTED_VALUE"""),2.0)</f>
        <v>2</v>
      </c>
      <c r="F955" s="1" t="str">
        <f>IFERROR(__xludf.DUMMYFUNCTION("""COMPUTED_VALUE"""),"Male")</f>
        <v>Male</v>
      </c>
      <c r="G955" s="4" t="b">
        <f>IFERROR(__xludf.DUMMYFUNCTION("""COMPUTED_VALUE"""),TRUE)</f>
        <v>1</v>
      </c>
      <c r="H955" s="4" t="b">
        <f>IFERROR(__xludf.DUMMYFUNCTION("""COMPUTED_VALUE"""),FALSE)</f>
        <v>0</v>
      </c>
      <c r="I955" s="4">
        <f>IFERROR(__xludf.DUMMYFUNCTION("""COMPUTED_VALUE"""),0.2549440625)</f>
        <v>0.2549440625</v>
      </c>
      <c r="J955" s="4">
        <f>IFERROR(__xludf.DUMMYFUNCTION("""COMPUTED_VALUE"""),45949.271662167004)</f>
        <v>45949.27166</v>
      </c>
      <c r="K955" s="4" t="str">
        <f>IFERROR(__xludf.DUMMYFUNCTION("""COMPUTED_VALUE"""),"")</f>
        <v/>
      </c>
      <c r="L955" s="4">
        <f>IFERROR(__xludf.DUMMYFUNCTION("""COMPUTED_VALUE"""),45949.28385226982)</f>
        <v>45949.28385</v>
      </c>
      <c r="M955" s="1" t="str">
        <f>IFERROR(__xludf.DUMMYFUNCTION("""COMPUTED_VALUE"""),"RFID")</f>
        <v>RFID</v>
      </c>
      <c r="N955" s="5">
        <f>IFERROR(__xludf.DUMMYFUNCTION("""COMPUTED_VALUE"""),0.006687240740740741)</f>
        <v>0.006687240741</v>
      </c>
      <c r="O955" s="5" t="str">
        <f>IFERROR(__xludf.DUMMYFUNCTION("""COMPUTED_VALUE"""),"")</f>
        <v/>
      </c>
      <c r="P955" s="5" t="str">
        <f>IFERROR(__xludf.DUMMYFUNCTION("""COMPUTED_VALUE"""),"")</f>
        <v/>
      </c>
      <c r="Q955" s="5">
        <f>IFERROR(__xludf.DUMMYFUNCTION("""COMPUTED_VALUE"""),0.005781641203703703)</f>
        <v>0.005781641204</v>
      </c>
      <c r="R955" s="4">
        <f>IFERROR(__xludf.DUMMYFUNCTION("""COMPUTED_VALUE"""),45949.02890820732)</f>
        <v>45949.02891</v>
      </c>
      <c r="S955" s="1" t="b">
        <f>IFERROR(__xludf.DUMMYFUNCTION("""COMPUTED_VALUE"""),TRUE)</f>
        <v>1</v>
      </c>
      <c r="T955" s="1" t="b">
        <f>IFERROR(__xludf.DUMMYFUNCTION("""COMPUTED_VALUE"""),FALSE)</f>
        <v>0</v>
      </c>
      <c r="U955" s="1" t="str">
        <f>IFERROR(__xludf.DUMMYFUNCTION("""COMPUTED_VALUE"""),"VALID")</f>
        <v>VALID</v>
      </c>
      <c r="V955" s="1">
        <f>IFERROR(__xludf.DUMMYFUNCTION("""COMPUTED_VALUE"""),48.0)</f>
        <v>48</v>
      </c>
      <c r="W955" s="1">
        <f>IFERROR(__xludf.DUMMYFUNCTION("""COMPUTED_VALUE"""),489.0)</f>
        <v>489</v>
      </c>
      <c r="X955" s="1">
        <f>IFERROR(__xludf.DUMMYFUNCTION("""COMPUTED_VALUE"""),425.0)</f>
        <v>425</v>
      </c>
      <c r="Y955" s="2"/>
      <c r="Z955" s="2"/>
    </row>
    <row r="956">
      <c r="A956" s="1">
        <f>IFERROR(__xludf.DUMMYFUNCTION("""COMPUTED_VALUE"""),955.0)</f>
        <v>955</v>
      </c>
      <c r="B956" s="1">
        <f>IFERROR(__xludf.DUMMYFUNCTION("""COMPUTED_VALUE"""),7020.0)</f>
        <v>7020</v>
      </c>
      <c r="C956" s="2" t="str">
        <f>IFERROR(__xludf.DUMMYFUNCTION("""COMPUTED_VALUE"""),"ECKO")</f>
        <v>ECKO</v>
      </c>
      <c r="D956" s="2" t="str">
        <f>IFERROR(__xludf.DUMMYFUNCTION("""COMPUTED_VALUE"""),"5KM MASTER M")</f>
        <v>5KM MASTER M</v>
      </c>
      <c r="E956" s="1">
        <f>IFERROR(__xludf.DUMMYFUNCTION("""COMPUTED_VALUE"""),2.0)</f>
        <v>2</v>
      </c>
      <c r="F956" s="1" t="str">
        <f>IFERROR(__xludf.DUMMYFUNCTION("""COMPUTED_VALUE"""),"Male")</f>
        <v>Male</v>
      </c>
      <c r="G956" s="4" t="str">
        <f>IFERROR(__xludf.DUMMYFUNCTION("""COMPUTED_VALUE"""),"")</f>
        <v/>
      </c>
      <c r="H956" s="4" t="b">
        <f>IFERROR(__xludf.DUMMYFUNCTION("""COMPUTED_VALUE"""),FALSE)</f>
        <v>0</v>
      </c>
      <c r="I956" s="4">
        <f>IFERROR(__xludf.DUMMYFUNCTION("""COMPUTED_VALUE"""),0.2549440625)</f>
        <v>0.2549440625</v>
      </c>
      <c r="J956" s="4">
        <f>IFERROR(__xludf.DUMMYFUNCTION("""COMPUTED_VALUE"""),45950.27601851852)</f>
        <v>45950.27602</v>
      </c>
      <c r="K956" s="4" t="str">
        <f>IFERROR(__xludf.DUMMYFUNCTION("""COMPUTED_VALUE"""),"")</f>
        <v/>
      </c>
      <c r="L956" s="4">
        <f>IFERROR(__xludf.DUMMYFUNCTION("""COMPUTED_VALUE"""),45949.290060613144)</f>
        <v>45949.29006</v>
      </c>
      <c r="M956" s="1" t="str">
        <f>IFERROR(__xludf.DUMMYFUNCTION("""COMPUTED_VALUE"""),"RFID")</f>
        <v>RFID</v>
      </c>
      <c r="N956" s="5">
        <f>IFERROR(__xludf.DUMMYFUNCTION("""COMPUTED_VALUE"""),0.008429782407407407)</f>
        <v>0.008429782407</v>
      </c>
      <c r="O956" s="5" t="str">
        <f>IFERROR(__xludf.DUMMYFUNCTION("""COMPUTED_VALUE"""),"")</f>
        <v/>
      </c>
      <c r="P956" s="5" t="str">
        <f>IFERROR(__xludf.DUMMYFUNCTION("""COMPUTED_VALUE"""),"")</f>
        <v/>
      </c>
      <c r="Q956" s="5">
        <f>IFERROR(__xludf.DUMMYFUNCTION("""COMPUTED_VALUE"""),0.007023310185185186)</f>
        <v>0.007023310185</v>
      </c>
      <c r="R956" s="4">
        <f>IFERROR(__xludf.DUMMYFUNCTION("""COMPUTED_VALUE"""),45949.03511655064)</f>
        <v>45949.03512</v>
      </c>
      <c r="S956" s="1" t="b">
        <f>IFERROR(__xludf.DUMMYFUNCTION("""COMPUTED_VALUE"""),FALSE)</f>
        <v>0</v>
      </c>
      <c r="T956" s="1" t="b">
        <f>IFERROR(__xludf.DUMMYFUNCTION("""COMPUTED_VALUE"""),FALSE)</f>
        <v>0</v>
      </c>
      <c r="U956" s="1" t="str">
        <f>IFERROR(__xludf.DUMMYFUNCTION("""COMPUTED_VALUE"""),"DSQ")</f>
        <v>DSQ</v>
      </c>
      <c r="V956" s="1" t="str">
        <f>IFERROR(__xludf.DUMMYFUNCTION("""COMPUTED_VALUE"""),"DSQ")</f>
        <v>DSQ</v>
      </c>
      <c r="W956" s="1" t="str">
        <f>IFERROR(__xludf.DUMMYFUNCTION("""COMPUTED_VALUE"""),"DSQ")</f>
        <v>DSQ</v>
      </c>
      <c r="X956" s="1" t="str">
        <f>IFERROR(__xludf.DUMMYFUNCTION("""COMPUTED_VALUE"""),"DSQ")</f>
        <v>DSQ</v>
      </c>
      <c r="Y956" s="2"/>
      <c r="Z956" s="2" t="str">
        <f>IFERROR(__xludf.DUMMYFUNCTION("""COMPUTED_VALUE"""),"C")</f>
        <v>C</v>
      </c>
    </row>
    <row r="957">
      <c r="A957" s="1">
        <f>IFERROR(__xludf.DUMMYFUNCTION("""COMPUTED_VALUE"""),956.0)</f>
        <v>956</v>
      </c>
      <c r="B957" s="1">
        <f>IFERROR(__xludf.DUMMYFUNCTION("""COMPUTED_VALUE"""),7023.0)</f>
        <v>7023</v>
      </c>
      <c r="C957" s="2" t="str">
        <f>IFERROR(__xludf.DUMMYFUNCTION("""COMPUTED_VALUE"""),"untung")</f>
        <v>untung</v>
      </c>
      <c r="D957" s="2" t="str">
        <f>IFERROR(__xludf.DUMMYFUNCTION("""COMPUTED_VALUE"""),"5KM MASTER M")</f>
        <v>5KM MASTER M</v>
      </c>
      <c r="E957" s="1">
        <f>IFERROR(__xludf.DUMMYFUNCTION("""COMPUTED_VALUE"""),2.0)</f>
        <v>2</v>
      </c>
      <c r="F957" s="1" t="str">
        <f>IFERROR(__xludf.DUMMYFUNCTION("""COMPUTED_VALUE"""),"Male")</f>
        <v>Male</v>
      </c>
      <c r="G957" s="4" t="b">
        <f>IFERROR(__xludf.DUMMYFUNCTION("""COMPUTED_VALUE"""),TRUE)</f>
        <v>1</v>
      </c>
      <c r="H957" s="4" t="b">
        <f>IFERROR(__xludf.DUMMYFUNCTION("""COMPUTED_VALUE"""),TRUE)</f>
        <v>1</v>
      </c>
      <c r="I957" s="4">
        <f>IFERROR(__xludf.DUMMYFUNCTION("""COMPUTED_VALUE"""),0.2549440625)</f>
        <v>0.2549440625</v>
      </c>
      <c r="J957" s="4">
        <f>IFERROR(__xludf.DUMMYFUNCTION("""COMPUTED_VALUE"""),45949.26617600125)</f>
        <v>45949.26618</v>
      </c>
      <c r="K957" s="4" t="str">
        <f>IFERROR(__xludf.DUMMYFUNCTION("""COMPUTED_VALUE"""),"")</f>
        <v/>
      </c>
      <c r="L957" s="4">
        <f>IFERROR(__xludf.DUMMYFUNCTION("""COMPUTED_VALUE"""),45949.274890446664)</f>
        <v>45949.27489</v>
      </c>
      <c r="M957" s="1" t="str">
        <f>IFERROR(__xludf.DUMMYFUNCTION("""COMPUTED_VALUE"""),"RFID")</f>
        <v>RFID</v>
      </c>
      <c r="N957" s="5">
        <f>IFERROR(__xludf.DUMMYFUNCTION("""COMPUTED_VALUE"""),0.004492777777777778)</f>
        <v>0.004492777778</v>
      </c>
      <c r="O957" s="5" t="str">
        <f>IFERROR(__xludf.DUMMYFUNCTION("""COMPUTED_VALUE"""),"")</f>
        <v/>
      </c>
      <c r="P957" s="5" t="str">
        <f>IFERROR(__xludf.DUMMYFUNCTION("""COMPUTED_VALUE"""),"")</f>
        <v/>
      </c>
      <c r="Q957" s="5">
        <f>IFERROR(__xludf.DUMMYFUNCTION("""COMPUTED_VALUE"""),0.003989277777777777)</f>
        <v>0.003989277778</v>
      </c>
      <c r="R957" s="4">
        <f>IFERROR(__xludf.DUMMYFUNCTION("""COMPUTED_VALUE"""),45949.01994638416)</f>
        <v>45949.01995</v>
      </c>
      <c r="S957" s="1" t="b">
        <f>IFERROR(__xludf.DUMMYFUNCTION("""COMPUTED_VALUE"""),TRUE)</f>
        <v>1</v>
      </c>
      <c r="T957" s="1" t="b">
        <f>IFERROR(__xludf.DUMMYFUNCTION("""COMPUTED_VALUE"""),FALSE)</f>
        <v>0</v>
      </c>
      <c r="U957" s="1" t="str">
        <f>IFERROR(__xludf.DUMMYFUNCTION("""COMPUTED_VALUE"""),"VALID")</f>
        <v>VALID</v>
      </c>
      <c r="V957" s="1">
        <f>IFERROR(__xludf.DUMMYFUNCTION("""COMPUTED_VALUE"""),12.0)</f>
        <v>12</v>
      </c>
      <c r="W957" s="1">
        <f>IFERROR(__xludf.DUMMYFUNCTION("""COMPUTED_VALUE"""),116.0)</f>
        <v>116</v>
      </c>
      <c r="X957" s="1">
        <f>IFERROR(__xludf.DUMMYFUNCTION("""COMPUTED_VALUE"""),105.0)</f>
        <v>105</v>
      </c>
      <c r="Y957" s="2"/>
      <c r="Z957" s="2"/>
    </row>
    <row r="958">
      <c r="A958" s="1">
        <f>IFERROR(__xludf.DUMMYFUNCTION("""COMPUTED_VALUE"""),957.0)</f>
        <v>957</v>
      </c>
      <c r="B958" s="1">
        <f>IFERROR(__xludf.DUMMYFUNCTION("""COMPUTED_VALUE"""),7025.0)</f>
        <v>7025</v>
      </c>
      <c r="C958" s="2" t="str">
        <f>IFERROR(__xludf.DUMMYFUNCTION("""COMPUTED_VALUE"""),"Mahyuddin")</f>
        <v>Mahyuddin</v>
      </c>
      <c r="D958" s="2" t="str">
        <f>IFERROR(__xludf.DUMMYFUNCTION("""COMPUTED_VALUE"""),"5KM MASTER M")</f>
        <v>5KM MASTER M</v>
      </c>
      <c r="E958" s="1">
        <f>IFERROR(__xludf.DUMMYFUNCTION("""COMPUTED_VALUE"""),2.0)</f>
        <v>2</v>
      </c>
      <c r="F958" s="1" t="str">
        <f>IFERROR(__xludf.DUMMYFUNCTION("""COMPUTED_VALUE"""),"Male")</f>
        <v>Male</v>
      </c>
      <c r="G958" s="4" t="str">
        <f>IFERROR(__xludf.DUMMYFUNCTION("""COMPUTED_VALUE"""),"")</f>
        <v/>
      </c>
      <c r="H958" s="4" t="b">
        <f>IFERROR(__xludf.DUMMYFUNCTION("""COMPUTED_VALUE"""),FALSE)</f>
        <v>0</v>
      </c>
      <c r="I958" s="4">
        <f>IFERROR(__xludf.DUMMYFUNCTION("""COMPUTED_VALUE"""),0.2549440625)</f>
        <v>0.2549440625</v>
      </c>
      <c r="J958" s="4" t="str">
        <f>IFERROR(__xludf.DUMMYFUNCTION("""COMPUTED_VALUE"""),"")</f>
        <v/>
      </c>
      <c r="K958" s="4" t="str">
        <f>IFERROR(__xludf.DUMMYFUNCTION("""COMPUTED_VALUE"""),"")</f>
        <v/>
      </c>
      <c r="L958" s="4" t="str">
        <f>IFERROR(__xludf.DUMMYFUNCTION("""COMPUTED_VALUE"""),"")</f>
        <v/>
      </c>
      <c r="M958" s="1" t="str">
        <f>IFERROR(__xludf.DUMMYFUNCTION("""COMPUTED_VALUE"""),"RFID")</f>
        <v>RFID</v>
      </c>
      <c r="N958" s="5" t="str">
        <f>IFERROR(__xludf.DUMMYFUNCTION("""COMPUTED_VALUE"""),"")</f>
        <v/>
      </c>
      <c r="O958" s="5" t="str">
        <f>IFERROR(__xludf.DUMMYFUNCTION("""COMPUTED_VALUE"""),"")</f>
        <v/>
      </c>
      <c r="P958" s="5" t="str">
        <f>IFERROR(__xludf.DUMMYFUNCTION("""COMPUTED_VALUE"""),"")</f>
        <v/>
      </c>
      <c r="Q958" s="5" t="str">
        <f>IFERROR(__xludf.DUMMYFUNCTION("""COMPUTED_VALUE"""),"")</f>
        <v/>
      </c>
      <c r="R958" s="4" t="str">
        <f>IFERROR(__xludf.DUMMYFUNCTION("""COMPUTED_VALUE"""),"")</f>
        <v/>
      </c>
      <c r="S958" s="1" t="b">
        <f>IFERROR(__xludf.DUMMYFUNCTION("""COMPUTED_VALUE"""),FALSE)</f>
        <v>0</v>
      </c>
      <c r="T958" s="1" t="b">
        <f>IFERROR(__xludf.DUMMYFUNCTION("""COMPUTED_VALUE"""),FALSE)</f>
        <v>0</v>
      </c>
      <c r="U958" s="1" t="str">
        <f>IFERROR(__xludf.DUMMYFUNCTION("""COMPUTED_VALUE"""),"DSQ")</f>
        <v>DSQ</v>
      </c>
      <c r="V958" s="1" t="str">
        <f>IFERROR(__xludf.DUMMYFUNCTION("""COMPUTED_VALUE"""),"DSQ")</f>
        <v>DSQ</v>
      </c>
      <c r="W958" s="1" t="str">
        <f>IFERROR(__xludf.DUMMYFUNCTION("""COMPUTED_VALUE"""),"DSQ")</f>
        <v>DSQ</v>
      </c>
      <c r="X958" s="1" t="str">
        <f>IFERROR(__xludf.DUMMYFUNCTION("""COMPUTED_VALUE"""),"DSQ")</f>
        <v>DSQ</v>
      </c>
      <c r="Y958" s="2"/>
      <c r="Z958" s="2" t="str">
        <f>IFERROR(__xludf.DUMMYFUNCTION("""COMPUTED_VALUE"""),"")</f>
        <v/>
      </c>
    </row>
    <row r="959">
      <c r="A959" s="1">
        <f>IFERROR(__xludf.DUMMYFUNCTION("""COMPUTED_VALUE"""),958.0)</f>
        <v>958</v>
      </c>
      <c r="B959" s="1">
        <f>IFERROR(__xludf.DUMMYFUNCTION("""COMPUTED_VALUE"""),7028.0)</f>
        <v>7028</v>
      </c>
      <c r="C959" s="2" t="str">
        <f>IFERROR(__xludf.DUMMYFUNCTION("""COMPUTED_VALUE"""),"DMF")</f>
        <v>DMF</v>
      </c>
      <c r="D959" s="2" t="str">
        <f>IFERROR(__xludf.DUMMYFUNCTION("""COMPUTED_VALUE"""),"5KM MASTER M")</f>
        <v>5KM MASTER M</v>
      </c>
      <c r="E959" s="1">
        <f>IFERROR(__xludf.DUMMYFUNCTION("""COMPUTED_VALUE"""),2.0)</f>
        <v>2</v>
      </c>
      <c r="F959" s="1" t="str">
        <f>IFERROR(__xludf.DUMMYFUNCTION("""COMPUTED_VALUE"""),"Male")</f>
        <v>Male</v>
      </c>
      <c r="G959" s="4" t="b">
        <f>IFERROR(__xludf.DUMMYFUNCTION("""COMPUTED_VALUE"""),TRUE)</f>
        <v>1</v>
      </c>
      <c r="H959" s="4" t="b">
        <f>IFERROR(__xludf.DUMMYFUNCTION("""COMPUTED_VALUE"""),FALSE)</f>
        <v>0</v>
      </c>
      <c r="I959" s="4">
        <f>IFERROR(__xludf.DUMMYFUNCTION("""COMPUTED_VALUE"""),0.2549440625)</f>
        <v>0.2549440625</v>
      </c>
      <c r="J959" s="4">
        <f>IFERROR(__xludf.DUMMYFUNCTION("""COMPUTED_VALUE"""),45949.26565521584)</f>
        <v>45949.26566</v>
      </c>
      <c r="K959" s="4" t="str">
        <f>IFERROR(__xludf.DUMMYFUNCTION("""COMPUTED_VALUE"""),"")</f>
        <v/>
      </c>
      <c r="L959" s="4">
        <f>IFERROR(__xludf.DUMMYFUNCTION("""COMPUTED_VALUE"""),45949.275126784305)</f>
        <v>45949.27513</v>
      </c>
      <c r="M959" s="1" t="str">
        <f>IFERROR(__xludf.DUMMYFUNCTION("""COMPUTED_VALUE"""),"RFID")</f>
        <v>RFID</v>
      </c>
      <c r="N959" s="5">
        <f>IFERROR(__xludf.DUMMYFUNCTION("""COMPUTED_VALUE"""),0.004284462962962963)</f>
        <v>0.004284462963</v>
      </c>
      <c r="O959" s="5" t="str">
        <f>IFERROR(__xludf.DUMMYFUNCTION("""COMPUTED_VALUE"""),"")</f>
        <v/>
      </c>
      <c r="P959" s="5" t="str">
        <f>IFERROR(__xludf.DUMMYFUNCTION("""COMPUTED_VALUE"""),"")</f>
        <v/>
      </c>
      <c r="Q959" s="5">
        <f>IFERROR(__xludf.DUMMYFUNCTION("""COMPUTED_VALUE"""),0.004036543981481481)</f>
        <v>0.004036543981</v>
      </c>
      <c r="R959" s="4">
        <f>IFERROR(__xludf.DUMMYFUNCTION("""COMPUTED_VALUE"""),45949.020182721804)</f>
        <v>45949.02018</v>
      </c>
      <c r="S959" s="1" t="b">
        <f>IFERROR(__xludf.DUMMYFUNCTION("""COMPUTED_VALUE"""),TRUE)</f>
        <v>1</v>
      </c>
      <c r="T959" s="1" t="b">
        <f>IFERROR(__xludf.DUMMYFUNCTION("""COMPUTED_VALUE"""),FALSE)</f>
        <v>0</v>
      </c>
      <c r="U959" s="1" t="str">
        <f>IFERROR(__xludf.DUMMYFUNCTION("""COMPUTED_VALUE"""),"VALID")</f>
        <v>VALID</v>
      </c>
      <c r="V959" s="1">
        <f>IFERROR(__xludf.DUMMYFUNCTION("""COMPUTED_VALUE"""),13.0)</f>
        <v>13</v>
      </c>
      <c r="W959" s="1">
        <f>IFERROR(__xludf.DUMMYFUNCTION("""COMPUTED_VALUE"""),119.0)</f>
        <v>119</v>
      </c>
      <c r="X959" s="1">
        <f>IFERROR(__xludf.DUMMYFUNCTION("""COMPUTED_VALUE"""),108.0)</f>
        <v>108</v>
      </c>
      <c r="Y959" s="2"/>
      <c r="Z959" s="2"/>
    </row>
    <row r="960">
      <c r="A960" s="1">
        <f>IFERROR(__xludf.DUMMYFUNCTION("""COMPUTED_VALUE"""),959.0)</f>
        <v>959</v>
      </c>
      <c r="B960" s="1">
        <f>IFERROR(__xludf.DUMMYFUNCTION("""COMPUTED_VALUE"""),7030.0)</f>
        <v>7030</v>
      </c>
      <c r="C960" s="2" t="str">
        <f>IFERROR(__xludf.DUMMYFUNCTION("""COMPUTED_VALUE"""),"OM SADI 46")</f>
        <v>OM SADI 46</v>
      </c>
      <c r="D960" s="2" t="str">
        <f>IFERROR(__xludf.DUMMYFUNCTION("""COMPUTED_VALUE"""),"5KM MASTER M")</f>
        <v>5KM MASTER M</v>
      </c>
      <c r="E960" s="1">
        <f>IFERROR(__xludf.DUMMYFUNCTION("""COMPUTED_VALUE"""),2.0)</f>
        <v>2</v>
      </c>
      <c r="F960" s="1" t="str">
        <f>IFERROR(__xludf.DUMMYFUNCTION("""COMPUTED_VALUE"""),"Male")</f>
        <v>Male</v>
      </c>
      <c r="G960" s="4" t="b">
        <f>IFERROR(__xludf.DUMMYFUNCTION("""COMPUTED_VALUE"""),TRUE)</f>
        <v>1</v>
      </c>
      <c r="H960" s="4" t="b">
        <f>IFERROR(__xludf.DUMMYFUNCTION("""COMPUTED_VALUE"""),FALSE)</f>
        <v>0</v>
      </c>
      <c r="I960" s="4">
        <f>IFERROR(__xludf.DUMMYFUNCTION("""COMPUTED_VALUE"""),0.2549440625)</f>
        <v>0.2549440625</v>
      </c>
      <c r="J960" s="4">
        <f>IFERROR(__xludf.DUMMYFUNCTION("""COMPUTED_VALUE"""),45949.270249263405)</f>
        <v>45949.27025</v>
      </c>
      <c r="K960" s="4" t="str">
        <f>IFERROR(__xludf.DUMMYFUNCTION("""COMPUTED_VALUE"""),"")</f>
        <v/>
      </c>
      <c r="L960" s="4">
        <f>IFERROR(__xludf.DUMMYFUNCTION("""COMPUTED_VALUE"""),45949.28237658148)</f>
        <v>45949.28238</v>
      </c>
      <c r="M960" s="1" t="str">
        <f>IFERROR(__xludf.DUMMYFUNCTION("""COMPUTED_VALUE"""),"RFID")</f>
        <v>RFID</v>
      </c>
      <c r="N960" s="5">
        <f>IFERROR(__xludf.DUMMYFUNCTION("""COMPUTED_VALUE"""),0.006122078703703703)</f>
        <v>0.006122078704</v>
      </c>
      <c r="O960" s="5" t="str">
        <f>IFERROR(__xludf.DUMMYFUNCTION("""COMPUTED_VALUE"""),"")</f>
        <v/>
      </c>
      <c r="P960" s="5" t="str">
        <f>IFERROR(__xludf.DUMMYFUNCTION("""COMPUTED_VALUE"""),"")</f>
        <v/>
      </c>
      <c r="Q960" s="5">
        <f>IFERROR(__xludf.DUMMYFUNCTION("""COMPUTED_VALUE"""),0.00548650462962963)</f>
        <v>0.00548650463</v>
      </c>
      <c r="R960" s="4">
        <f>IFERROR(__xludf.DUMMYFUNCTION("""COMPUTED_VALUE"""),45949.02743251898)</f>
        <v>45949.02743</v>
      </c>
      <c r="S960" s="1" t="b">
        <f>IFERROR(__xludf.DUMMYFUNCTION("""COMPUTED_VALUE"""),TRUE)</f>
        <v>1</v>
      </c>
      <c r="T960" s="1" t="b">
        <f>IFERROR(__xludf.DUMMYFUNCTION("""COMPUTED_VALUE"""),FALSE)</f>
        <v>0</v>
      </c>
      <c r="U960" s="1" t="str">
        <f>IFERROR(__xludf.DUMMYFUNCTION("""COMPUTED_VALUE"""),"VALID")</f>
        <v>VALID</v>
      </c>
      <c r="V960" s="1">
        <f>IFERROR(__xludf.DUMMYFUNCTION("""COMPUTED_VALUE"""),41.0)</f>
        <v>41</v>
      </c>
      <c r="W960" s="1">
        <f>IFERROR(__xludf.DUMMYFUNCTION("""COMPUTED_VALUE"""),401.0)</f>
        <v>401</v>
      </c>
      <c r="X960" s="1">
        <f>IFERROR(__xludf.DUMMYFUNCTION("""COMPUTED_VALUE"""),348.0)</f>
        <v>348</v>
      </c>
      <c r="Y960" s="2"/>
      <c r="Z960" s="2"/>
    </row>
    <row r="961">
      <c r="A961" s="1">
        <f>IFERROR(__xludf.DUMMYFUNCTION("""COMPUTED_VALUE"""),960.0)</f>
        <v>960</v>
      </c>
      <c r="B961" s="1">
        <f>IFERROR(__xludf.DUMMYFUNCTION("""COMPUTED_VALUE"""),7032.0)</f>
        <v>7032</v>
      </c>
      <c r="C961" s="2" t="str">
        <f>IFERROR(__xludf.DUMMYFUNCTION("""COMPUTED_VALUE"""),"DHOHIR")</f>
        <v>DHOHIR</v>
      </c>
      <c r="D961" s="2" t="str">
        <f>IFERROR(__xludf.DUMMYFUNCTION("""COMPUTED_VALUE"""),"5KM MASTER M")</f>
        <v>5KM MASTER M</v>
      </c>
      <c r="E961" s="1">
        <f>IFERROR(__xludf.DUMMYFUNCTION("""COMPUTED_VALUE"""),2.0)</f>
        <v>2</v>
      </c>
      <c r="F961" s="1" t="str">
        <f>IFERROR(__xludf.DUMMYFUNCTION("""COMPUTED_VALUE"""),"Male")</f>
        <v>Male</v>
      </c>
      <c r="G961" s="4" t="b">
        <f>IFERROR(__xludf.DUMMYFUNCTION("""COMPUTED_VALUE"""),TRUE)</f>
        <v>1</v>
      </c>
      <c r="H961" s="4" t="b">
        <f>IFERROR(__xludf.DUMMYFUNCTION("""COMPUTED_VALUE"""),FALSE)</f>
        <v>0</v>
      </c>
      <c r="I961" s="4">
        <f>IFERROR(__xludf.DUMMYFUNCTION("""COMPUTED_VALUE"""),0.2549440625)</f>
        <v>0.2549440625</v>
      </c>
      <c r="J961" s="4">
        <f>IFERROR(__xludf.DUMMYFUNCTION("""COMPUTED_VALUE"""),45949.27068989082)</f>
        <v>45949.27069</v>
      </c>
      <c r="K961" s="4" t="str">
        <f>IFERROR(__xludf.DUMMYFUNCTION("""COMPUTED_VALUE"""),"")</f>
        <v/>
      </c>
      <c r="L961" s="4">
        <f>IFERROR(__xludf.DUMMYFUNCTION("""COMPUTED_VALUE"""),45949.2813800472)</f>
        <v>45949.28138</v>
      </c>
      <c r="M961" s="1" t="str">
        <f>IFERROR(__xludf.DUMMYFUNCTION("""COMPUTED_VALUE"""),"RFID")</f>
        <v>RFID</v>
      </c>
      <c r="N961" s="5">
        <f>IFERROR(__xludf.DUMMYFUNCTION("""COMPUTED_VALUE"""),0.006298333333333334)</f>
        <v>0.006298333333</v>
      </c>
      <c r="O961" s="5" t="str">
        <f>IFERROR(__xludf.DUMMYFUNCTION("""COMPUTED_VALUE"""),"")</f>
        <v/>
      </c>
      <c r="P961" s="5" t="str">
        <f>IFERROR(__xludf.DUMMYFUNCTION("""COMPUTED_VALUE"""),"")</f>
        <v/>
      </c>
      <c r="Q961" s="5">
        <f>IFERROR(__xludf.DUMMYFUNCTION("""COMPUTED_VALUE"""),0.005287196759259259)</f>
        <v>0.005287196759</v>
      </c>
      <c r="R961" s="4">
        <f>IFERROR(__xludf.DUMMYFUNCTION("""COMPUTED_VALUE"""),45949.0264359847)</f>
        <v>45949.02644</v>
      </c>
      <c r="S961" s="1" t="b">
        <f>IFERROR(__xludf.DUMMYFUNCTION("""COMPUTED_VALUE"""),TRUE)</f>
        <v>1</v>
      </c>
      <c r="T961" s="1" t="b">
        <f>IFERROR(__xludf.DUMMYFUNCTION("""COMPUTED_VALUE"""),FALSE)</f>
        <v>0</v>
      </c>
      <c r="U961" s="1" t="str">
        <f>IFERROR(__xludf.DUMMYFUNCTION("""COMPUTED_VALUE"""),"VALID")</f>
        <v>VALID</v>
      </c>
      <c r="V961" s="1">
        <f>IFERROR(__xludf.DUMMYFUNCTION("""COMPUTED_VALUE"""),38.0)</f>
        <v>38</v>
      </c>
      <c r="W961" s="1">
        <f>IFERROR(__xludf.DUMMYFUNCTION("""COMPUTED_VALUE"""),358.0)</f>
        <v>358</v>
      </c>
      <c r="X961" s="1">
        <f>IFERROR(__xludf.DUMMYFUNCTION("""COMPUTED_VALUE"""),312.0)</f>
        <v>312</v>
      </c>
      <c r="Y961" s="2"/>
      <c r="Z961" s="2"/>
    </row>
    <row r="962">
      <c r="A962" s="1">
        <f>IFERROR(__xludf.DUMMYFUNCTION("""COMPUTED_VALUE"""),961.0)</f>
        <v>961</v>
      </c>
      <c r="B962" s="1">
        <f>IFERROR(__xludf.DUMMYFUNCTION("""COMPUTED_VALUE"""),7035.0)</f>
        <v>7035</v>
      </c>
      <c r="C962" s="2" t="str">
        <f>IFERROR(__xludf.DUMMYFUNCTION("""COMPUTED_VALUE"""),"Noor62")</f>
        <v>Noor62</v>
      </c>
      <c r="D962" s="2" t="str">
        <f>IFERROR(__xludf.DUMMYFUNCTION("""COMPUTED_VALUE"""),"5KM MASTER M")</f>
        <v>5KM MASTER M</v>
      </c>
      <c r="E962" s="1">
        <f>IFERROR(__xludf.DUMMYFUNCTION("""COMPUTED_VALUE"""),2.0)</f>
        <v>2</v>
      </c>
      <c r="F962" s="1" t="str">
        <f>IFERROR(__xludf.DUMMYFUNCTION("""COMPUTED_VALUE"""),"Male")</f>
        <v>Male</v>
      </c>
      <c r="G962" s="4" t="b">
        <f>IFERROR(__xludf.DUMMYFUNCTION("""COMPUTED_VALUE"""),TRUE)</f>
        <v>1</v>
      </c>
      <c r="H962" s="4" t="b">
        <f>IFERROR(__xludf.DUMMYFUNCTION("""COMPUTED_VALUE"""),TRUE)</f>
        <v>1</v>
      </c>
      <c r="I962" s="4">
        <f>IFERROR(__xludf.DUMMYFUNCTION("""COMPUTED_VALUE"""),0.2549440625)</f>
        <v>0.2549440625</v>
      </c>
      <c r="J962" s="4">
        <f>IFERROR(__xludf.DUMMYFUNCTION("""COMPUTED_VALUE"""),45949.286363551306)</f>
        <v>45949.28636</v>
      </c>
      <c r="K962" s="4" t="str">
        <f>IFERROR(__xludf.DUMMYFUNCTION("""COMPUTED_VALUE"""),"")</f>
        <v/>
      </c>
      <c r="L962" s="4">
        <f>IFERROR(__xludf.DUMMYFUNCTION("""COMPUTED_VALUE"""),45949.31215434416)</f>
        <v>45949.31215</v>
      </c>
      <c r="M962" s="1" t="str">
        <f>IFERROR(__xludf.DUMMYFUNCTION("""COMPUTED_VALUE"""),"RFID")</f>
        <v>RFID</v>
      </c>
      <c r="N962" s="5">
        <f>IFERROR(__xludf.DUMMYFUNCTION("""COMPUTED_VALUE"""),0.012567796296296296)</f>
        <v>0.0125677963</v>
      </c>
      <c r="O962" s="5" t="str">
        <f>IFERROR(__xludf.DUMMYFUNCTION("""COMPUTED_VALUE"""),"")</f>
        <v/>
      </c>
      <c r="P962" s="5" t="str">
        <f>IFERROR(__xludf.DUMMYFUNCTION("""COMPUTED_VALUE"""),"")</f>
        <v/>
      </c>
      <c r="Q962" s="5">
        <f>IFERROR(__xludf.DUMMYFUNCTION("""COMPUTED_VALUE"""),0.011442055555555556)</f>
        <v>0.01144205556</v>
      </c>
      <c r="R962" s="4">
        <f>IFERROR(__xludf.DUMMYFUNCTION("""COMPUTED_VALUE"""),45949.05721028166)</f>
        <v>45949.05721</v>
      </c>
      <c r="S962" s="1" t="b">
        <f>IFERROR(__xludf.DUMMYFUNCTION("""COMPUTED_VALUE"""),TRUE)</f>
        <v>1</v>
      </c>
      <c r="T962" s="1" t="b">
        <f>IFERROR(__xludf.DUMMYFUNCTION("""COMPUTED_VALUE"""),FALSE)</f>
        <v>0</v>
      </c>
      <c r="U962" s="1" t="str">
        <f>IFERROR(__xludf.DUMMYFUNCTION("""COMPUTED_VALUE"""),"VALID")</f>
        <v>VALID</v>
      </c>
      <c r="V962" s="1">
        <f>IFERROR(__xludf.DUMMYFUNCTION("""COMPUTED_VALUE"""),106.0)</f>
        <v>106</v>
      </c>
      <c r="W962" s="1">
        <f>IFERROR(__xludf.DUMMYFUNCTION("""COMPUTED_VALUE"""),1609.0)</f>
        <v>1609</v>
      </c>
      <c r="X962" s="1">
        <f>IFERROR(__xludf.DUMMYFUNCTION("""COMPUTED_VALUE"""),1576.0)</f>
        <v>1576</v>
      </c>
      <c r="Y962" s="2"/>
      <c r="Z962" s="2"/>
    </row>
    <row r="963">
      <c r="A963" s="1">
        <f>IFERROR(__xludf.DUMMYFUNCTION("""COMPUTED_VALUE"""),962.0)</f>
        <v>962</v>
      </c>
      <c r="B963" s="1">
        <f>IFERROR(__xludf.DUMMYFUNCTION("""COMPUTED_VALUE"""),7036.0)</f>
        <v>7036</v>
      </c>
      <c r="C963" s="2" t="str">
        <f>IFERROR(__xludf.DUMMYFUNCTION("""COMPUTED_VALUE"""),"Bagus")</f>
        <v>Bagus</v>
      </c>
      <c r="D963" s="2" t="str">
        <f>IFERROR(__xludf.DUMMYFUNCTION("""COMPUTED_VALUE"""),"5KM MASTER M")</f>
        <v>5KM MASTER M</v>
      </c>
      <c r="E963" s="1">
        <f>IFERROR(__xludf.DUMMYFUNCTION("""COMPUTED_VALUE"""),2.0)</f>
        <v>2</v>
      </c>
      <c r="F963" s="1" t="str">
        <f>IFERROR(__xludf.DUMMYFUNCTION("""COMPUTED_VALUE"""),"Male")</f>
        <v>Male</v>
      </c>
      <c r="G963" s="4" t="b">
        <f>IFERROR(__xludf.DUMMYFUNCTION("""COMPUTED_VALUE"""),TRUE)</f>
        <v>1</v>
      </c>
      <c r="H963" s="4" t="b">
        <f>IFERROR(__xludf.DUMMYFUNCTION("""COMPUTED_VALUE"""),FALSE)</f>
        <v>0</v>
      </c>
      <c r="I963" s="4">
        <f>IFERROR(__xludf.DUMMYFUNCTION("""COMPUTED_VALUE"""),0.2549440625)</f>
        <v>0.2549440625</v>
      </c>
      <c r="J963" s="4">
        <f>IFERROR(__xludf.DUMMYFUNCTION("""COMPUTED_VALUE"""),45949.275193350615)</f>
        <v>45949.27519</v>
      </c>
      <c r="K963" s="4" t="str">
        <f>IFERROR(__xludf.DUMMYFUNCTION("""COMPUTED_VALUE"""),"")</f>
        <v/>
      </c>
      <c r="L963" s="4">
        <f>IFERROR(__xludf.DUMMYFUNCTION("""COMPUTED_VALUE"""),45949.289616157825)</f>
        <v>45949.28962</v>
      </c>
      <c r="M963" s="1" t="str">
        <f>IFERROR(__xludf.DUMMYFUNCTION("""COMPUTED_VALUE"""),"RFID")</f>
        <v>RFID</v>
      </c>
      <c r="N963" s="5">
        <f>IFERROR(__xludf.DUMMYFUNCTION("""COMPUTED_VALUE"""),0.008099712962962963)</f>
        <v>0.008099712963</v>
      </c>
      <c r="O963" s="5" t="str">
        <f>IFERROR(__xludf.DUMMYFUNCTION("""COMPUTED_VALUE"""),"")</f>
        <v/>
      </c>
      <c r="P963" s="5" t="str">
        <f>IFERROR(__xludf.DUMMYFUNCTION("""COMPUTED_VALUE"""),"")</f>
        <v/>
      </c>
      <c r="Q963" s="5">
        <f>IFERROR(__xludf.DUMMYFUNCTION("""COMPUTED_VALUE"""),0.0069344189814814815)</f>
        <v>0.006934418981</v>
      </c>
      <c r="R963" s="4">
        <f>IFERROR(__xludf.DUMMYFUNCTION("""COMPUTED_VALUE"""),45949.034672095324)</f>
        <v>45949.03467</v>
      </c>
      <c r="S963" s="1" t="b">
        <f>IFERROR(__xludf.DUMMYFUNCTION("""COMPUTED_VALUE"""),TRUE)</f>
        <v>1</v>
      </c>
      <c r="T963" s="1" t="b">
        <f>IFERROR(__xludf.DUMMYFUNCTION("""COMPUTED_VALUE"""),FALSE)</f>
        <v>0</v>
      </c>
      <c r="U963" s="1" t="str">
        <f>IFERROR(__xludf.DUMMYFUNCTION("""COMPUTED_VALUE"""),"VALID")</f>
        <v>VALID</v>
      </c>
      <c r="V963" s="1">
        <f>IFERROR(__xludf.DUMMYFUNCTION("""COMPUTED_VALUE"""),72.0)</f>
        <v>72</v>
      </c>
      <c r="W963" s="1">
        <f>IFERROR(__xludf.DUMMYFUNCTION("""COMPUTED_VALUE"""),873.0)</f>
        <v>873</v>
      </c>
      <c r="X963" s="1">
        <f>IFERROR(__xludf.DUMMYFUNCTION("""COMPUTED_VALUE"""),711.0)</f>
        <v>711</v>
      </c>
      <c r="Y963" s="2"/>
      <c r="Z963" s="2"/>
    </row>
    <row r="964">
      <c r="A964" s="1">
        <f>IFERROR(__xludf.DUMMYFUNCTION("""COMPUTED_VALUE"""),963.0)</f>
        <v>963</v>
      </c>
      <c r="B964" s="1">
        <f>IFERROR(__xludf.DUMMYFUNCTION("""COMPUTED_VALUE"""),7037.0)</f>
        <v>7037</v>
      </c>
      <c r="C964" s="2" t="str">
        <f>IFERROR(__xludf.DUMMYFUNCTION("""COMPUTED_VALUE"""),"Almannan")</f>
        <v>Almannan</v>
      </c>
      <c r="D964" s="2" t="str">
        <f>IFERROR(__xludf.DUMMYFUNCTION("""COMPUTED_VALUE"""),"5KM MASTER M")</f>
        <v>5KM MASTER M</v>
      </c>
      <c r="E964" s="1">
        <f>IFERROR(__xludf.DUMMYFUNCTION("""COMPUTED_VALUE"""),2.0)</f>
        <v>2</v>
      </c>
      <c r="F964" s="1" t="str">
        <f>IFERROR(__xludf.DUMMYFUNCTION("""COMPUTED_VALUE"""),"Male")</f>
        <v>Male</v>
      </c>
      <c r="G964" s="4" t="b">
        <f>IFERROR(__xludf.DUMMYFUNCTION("""COMPUTED_VALUE"""),TRUE)</f>
        <v>1</v>
      </c>
      <c r="H964" s="4" t="b">
        <f>IFERROR(__xludf.DUMMYFUNCTION("""COMPUTED_VALUE"""),TRUE)</f>
        <v>1</v>
      </c>
      <c r="I964" s="4">
        <f>IFERROR(__xludf.DUMMYFUNCTION("""COMPUTED_VALUE"""),0.2549440625)</f>
        <v>0.2549440625</v>
      </c>
      <c r="J964" s="4">
        <f>IFERROR(__xludf.DUMMYFUNCTION("""COMPUTED_VALUE"""),45949.281290583465)</f>
        <v>45949.28129</v>
      </c>
      <c r="K964" s="4" t="str">
        <f>IFERROR(__xludf.DUMMYFUNCTION("""COMPUTED_VALUE"""),"")</f>
        <v/>
      </c>
      <c r="L964" s="4">
        <f>IFERROR(__xludf.DUMMYFUNCTION("""COMPUTED_VALUE"""),45949.299185587995)</f>
        <v>45949.29919</v>
      </c>
      <c r="M964" s="1" t="str">
        <f>IFERROR(__xludf.DUMMYFUNCTION("""COMPUTED_VALUE"""),"RFID")</f>
        <v>RFID</v>
      </c>
      <c r="N964" s="5">
        <f>IFERROR(__xludf.DUMMYFUNCTION("""COMPUTED_VALUE"""),0.010538606481481482)</f>
        <v>0.01053860648</v>
      </c>
      <c r="O964" s="5" t="str">
        <f>IFERROR(__xludf.DUMMYFUNCTION("""COMPUTED_VALUE"""),"")</f>
        <v/>
      </c>
      <c r="P964" s="5" t="str">
        <f>IFERROR(__xludf.DUMMYFUNCTION("""COMPUTED_VALUE"""),"")</f>
        <v/>
      </c>
      <c r="Q964" s="5">
        <f>IFERROR(__xludf.DUMMYFUNCTION("""COMPUTED_VALUE"""),0.008848305555555555)</f>
        <v>0.008848305556</v>
      </c>
      <c r="R964" s="4">
        <f>IFERROR(__xludf.DUMMYFUNCTION("""COMPUTED_VALUE"""),45949.044241525495)</f>
        <v>45949.04424</v>
      </c>
      <c r="S964" s="1" t="b">
        <f>IFERROR(__xludf.DUMMYFUNCTION("""COMPUTED_VALUE"""),TRUE)</f>
        <v>1</v>
      </c>
      <c r="T964" s="1" t="b">
        <f>IFERROR(__xludf.DUMMYFUNCTION("""COMPUTED_VALUE"""),FALSE)</f>
        <v>0</v>
      </c>
      <c r="U964" s="1" t="str">
        <f>IFERROR(__xludf.DUMMYFUNCTION("""COMPUTED_VALUE"""),"VALID")</f>
        <v>VALID</v>
      </c>
      <c r="V964" s="1">
        <f>IFERROR(__xludf.DUMMYFUNCTION("""COMPUTED_VALUE"""),98.0)</f>
        <v>98</v>
      </c>
      <c r="W964" s="1">
        <f>IFERROR(__xludf.DUMMYFUNCTION("""COMPUTED_VALUE"""),1416.0)</f>
        <v>1416</v>
      </c>
      <c r="X964" s="1">
        <f>IFERROR(__xludf.DUMMYFUNCTION("""COMPUTED_VALUE"""),1160.0)</f>
        <v>1160</v>
      </c>
      <c r="Y964" s="2"/>
      <c r="Z964" s="2"/>
    </row>
    <row r="965">
      <c r="A965" s="1">
        <f>IFERROR(__xludf.DUMMYFUNCTION("""COMPUTED_VALUE"""),964.0)</f>
        <v>964</v>
      </c>
      <c r="B965" s="1">
        <f>IFERROR(__xludf.DUMMYFUNCTION("""COMPUTED_VALUE"""),7038.0)</f>
        <v>7038</v>
      </c>
      <c r="C965" s="2" t="str">
        <f>IFERROR(__xludf.DUMMYFUNCTION("""COMPUTED_VALUE"""),"jaya")</f>
        <v>jaya</v>
      </c>
      <c r="D965" s="2" t="str">
        <f>IFERROR(__xludf.DUMMYFUNCTION("""COMPUTED_VALUE"""),"5KM MASTER M")</f>
        <v>5KM MASTER M</v>
      </c>
      <c r="E965" s="1">
        <f>IFERROR(__xludf.DUMMYFUNCTION("""COMPUTED_VALUE"""),2.0)</f>
        <v>2</v>
      </c>
      <c r="F965" s="1" t="str">
        <f>IFERROR(__xludf.DUMMYFUNCTION("""COMPUTED_VALUE"""),"Male")</f>
        <v>Male</v>
      </c>
      <c r="G965" s="4" t="b">
        <f>IFERROR(__xludf.DUMMYFUNCTION("""COMPUTED_VALUE"""),TRUE)</f>
        <v>1</v>
      </c>
      <c r="H965" s="4" t="b">
        <f>IFERROR(__xludf.DUMMYFUNCTION("""COMPUTED_VALUE"""),TRUE)</f>
        <v>1</v>
      </c>
      <c r="I965" s="4">
        <f>IFERROR(__xludf.DUMMYFUNCTION("""COMPUTED_VALUE"""),0.2549440625)</f>
        <v>0.2549440625</v>
      </c>
      <c r="J965" s="4">
        <f>IFERROR(__xludf.DUMMYFUNCTION("""COMPUTED_VALUE"""),45949.27671077838)</f>
        <v>45949.27671</v>
      </c>
      <c r="K965" s="4" t="str">
        <f>IFERROR(__xludf.DUMMYFUNCTION("""COMPUTED_VALUE"""),"")</f>
        <v/>
      </c>
      <c r="L965" s="4">
        <f>IFERROR(__xludf.DUMMYFUNCTION("""COMPUTED_VALUE"""),45949.28696337817)</f>
        <v>45949.28696</v>
      </c>
      <c r="M965" s="1" t="str">
        <f>IFERROR(__xludf.DUMMYFUNCTION("""COMPUTED_VALUE"""),"RFID")</f>
        <v>RFID</v>
      </c>
      <c r="N965" s="5">
        <f>IFERROR(__xludf.DUMMYFUNCTION("""COMPUTED_VALUE"""),0.008706685185185185)</f>
        <v>0.008706685185</v>
      </c>
      <c r="O965" s="5" t="str">
        <f>IFERROR(__xludf.DUMMYFUNCTION("""COMPUTED_VALUE"""),"")</f>
        <v/>
      </c>
      <c r="P965" s="5" t="str">
        <f>IFERROR(__xludf.DUMMYFUNCTION("""COMPUTED_VALUE"""),"")</f>
        <v/>
      </c>
      <c r="Q965" s="5">
        <f>IFERROR(__xludf.DUMMYFUNCTION("""COMPUTED_VALUE"""),0.0064038634259259266)</f>
        <v>0.006403863426</v>
      </c>
      <c r="R965" s="4">
        <f>IFERROR(__xludf.DUMMYFUNCTION("""COMPUTED_VALUE"""),45949.032019315666)</f>
        <v>45949.03202</v>
      </c>
      <c r="S965" s="1" t="b">
        <f>IFERROR(__xludf.DUMMYFUNCTION("""COMPUTED_VALUE"""),TRUE)</f>
        <v>1</v>
      </c>
      <c r="T965" s="1" t="b">
        <f>IFERROR(__xludf.DUMMYFUNCTION("""COMPUTED_VALUE"""),FALSE)</f>
        <v>0</v>
      </c>
      <c r="U965" s="1" t="str">
        <f>IFERROR(__xludf.DUMMYFUNCTION("""COMPUTED_VALUE"""),"VALID")</f>
        <v>VALID</v>
      </c>
      <c r="V965" s="1">
        <f>IFERROR(__xludf.DUMMYFUNCTION("""COMPUTED_VALUE"""),62.0)</f>
        <v>62</v>
      </c>
      <c r="W965" s="1">
        <f>IFERROR(__xludf.DUMMYFUNCTION("""COMPUTED_VALUE"""),701.0)</f>
        <v>701</v>
      </c>
      <c r="X965" s="1">
        <f>IFERROR(__xludf.DUMMYFUNCTION("""COMPUTED_VALUE"""),588.0)</f>
        <v>588</v>
      </c>
      <c r="Y965" s="2"/>
      <c r="Z965" s="2"/>
    </row>
    <row r="966">
      <c r="A966" s="1">
        <f>IFERROR(__xludf.DUMMYFUNCTION("""COMPUTED_VALUE"""),965.0)</f>
        <v>965</v>
      </c>
      <c r="B966" s="1">
        <f>IFERROR(__xludf.DUMMYFUNCTION("""COMPUTED_VALUE"""),7040.0)</f>
        <v>7040</v>
      </c>
      <c r="C966" s="2" t="str">
        <f>IFERROR(__xludf.DUMMYFUNCTION("""COMPUTED_VALUE"""),"Fith-3")</f>
        <v>Fith-3</v>
      </c>
      <c r="D966" s="2" t="str">
        <f>IFERROR(__xludf.DUMMYFUNCTION("""COMPUTED_VALUE"""),"5KM MASTER M")</f>
        <v>5KM MASTER M</v>
      </c>
      <c r="E966" s="1">
        <f>IFERROR(__xludf.DUMMYFUNCTION("""COMPUTED_VALUE"""),2.0)</f>
        <v>2</v>
      </c>
      <c r="F966" s="1" t="str">
        <f>IFERROR(__xludf.DUMMYFUNCTION("""COMPUTED_VALUE"""),"Male")</f>
        <v>Male</v>
      </c>
      <c r="G966" s="4" t="b">
        <f>IFERROR(__xludf.DUMMYFUNCTION("""COMPUTED_VALUE"""),TRUE)</f>
        <v>1</v>
      </c>
      <c r="H966" s="4" t="b">
        <f>IFERROR(__xludf.DUMMYFUNCTION("""COMPUTED_VALUE"""),TRUE)</f>
        <v>1</v>
      </c>
      <c r="I966" s="4">
        <f>IFERROR(__xludf.DUMMYFUNCTION("""COMPUTED_VALUE"""),0.2549440625)</f>
        <v>0.2549440625</v>
      </c>
      <c r="J966" s="4">
        <f>IFERROR(__xludf.DUMMYFUNCTION("""COMPUTED_VALUE"""),45949.28688091174)</f>
        <v>45949.28688</v>
      </c>
      <c r="K966" s="4" t="str">
        <f>IFERROR(__xludf.DUMMYFUNCTION("""COMPUTED_VALUE"""),"")</f>
        <v/>
      </c>
      <c r="L966" s="4">
        <f>IFERROR(__xludf.DUMMYFUNCTION("""COMPUTED_VALUE"""),45949.308734201884)</f>
        <v>45949.30873</v>
      </c>
      <c r="M966" s="1" t="str">
        <f>IFERROR(__xludf.DUMMYFUNCTION("""COMPUTED_VALUE"""),"RFID")</f>
        <v>RFID</v>
      </c>
      <c r="N966" s="5">
        <f>IFERROR(__xludf.DUMMYFUNCTION("""COMPUTED_VALUE"""),0.012774740740740743)</f>
        <v>0.01277474074</v>
      </c>
      <c r="O966" s="5" t="str">
        <f>IFERROR(__xludf.DUMMYFUNCTION("""COMPUTED_VALUE"""),"")</f>
        <v/>
      </c>
      <c r="P966" s="5" t="str">
        <f>IFERROR(__xludf.DUMMYFUNCTION("""COMPUTED_VALUE"""),"")</f>
        <v/>
      </c>
      <c r="Q966" s="5">
        <f>IFERROR(__xludf.DUMMYFUNCTION("""COMPUTED_VALUE"""),0.010758027777777778)</f>
        <v>0.01075802778</v>
      </c>
      <c r="R966" s="4">
        <f>IFERROR(__xludf.DUMMYFUNCTION("""COMPUTED_VALUE"""),45949.05379013938)</f>
        <v>45949.05379</v>
      </c>
      <c r="S966" s="1" t="b">
        <f>IFERROR(__xludf.DUMMYFUNCTION("""COMPUTED_VALUE"""),TRUE)</f>
        <v>1</v>
      </c>
      <c r="T966" s="1" t="b">
        <f>IFERROR(__xludf.DUMMYFUNCTION("""COMPUTED_VALUE"""),FALSE)</f>
        <v>0</v>
      </c>
      <c r="U966" s="1" t="str">
        <f>IFERROR(__xludf.DUMMYFUNCTION("""COMPUTED_VALUE"""),"VALID")</f>
        <v>VALID</v>
      </c>
      <c r="V966" s="1">
        <f>IFERROR(__xludf.DUMMYFUNCTION("""COMPUTED_VALUE"""),104.0)</f>
        <v>104</v>
      </c>
      <c r="W966" s="1">
        <f>IFERROR(__xludf.DUMMYFUNCTION("""COMPUTED_VALUE"""),1599.0)</f>
        <v>1599</v>
      </c>
      <c r="X966" s="1">
        <f>IFERROR(__xludf.DUMMYFUNCTION("""COMPUTED_VALUE"""),1480.0)</f>
        <v>1480</v>
      </c>
      <c r="Y966" s="2"/>
      <c r="Z966" s="2"/>
    </row>
    <row r="967">
      <c r="A967" s="1">
        <f>IFERROR(__xludf.DUMMYFUNCTION("""COMPUTED_VALUE"""),966.0)</f>
        <v>966</v>
      </c>
      <c r="B967" s="1">
        <f>IFERROR(__xludf.DUMMYFUNCTION("""COMPUTED_VALUE"""),7041.0)</f>
        <v>7041</v>
      </c>
      <c r="C967" s="2" t="str">
        <f>IFERROR(__xludf.DUMMYFUNCTION("""COMPUTED_VALUE"""),"JYusua")</f>
        <v>JYusua</v>
      </c>
      <c r="D967" s="2" t="str">
        <f>IFERROR(__xludf.DUMMYFUNCTION("""COMPUTED_VALUE"""),"5KM MASTER M")</f>
        <v>5KM MASTER M</v>
      </c>
      <c r="E967" s="1">
        <f>IFERROR(__xludf.DUMMYFUNCTION("""COMPUTED_VALUE"""),2.0)</f>
        <v>2</v>
      </c>
      <c r="F967" s="1" t="str">
        <f>IFERROR(__xludf.DUMMYFUNCTION("""COMPUTED_VALUE"""),"Male")</f>
        <v>Male</v>
      </c>
      <c r="G967" s="4" t="b">
        <f>IFERROR(__xludf.DUMMYFUNCTION("""COMPUTED_VALUE"""),TRUE)</f>
        <v>1</v>
      </c>
      <c r="H967" s="4" t="b">
        <f>IFERROR(__xludf.DUMMYFUNCTION("""COMPUTED_VALUE"""),FALSE)</f>
        <v>0</v>
      </c>
      <c r="I967" s="4">
        <f>IFERROR(__xludf.DUMMYFUNCTION("""COMPUTED_VALUE"""),0.2549440625)</f>
        <v>0.2549440625</v>
      </c>
      <c r="J967" s="4">
        <f>IFERROR(__xludf.DUMMYFUNCTION("""COMPUTED_VALUE"""),45949.27053362913)</f>
        <v>45949.27053</v>
      </c>
      <c r="K967" s="4" t="str">
        <f>IFERROR(__xludf.DUMMYFUNCTION("""COMPUTED_VALUE"""),"")</f>
        <v/>
      </c>
      <c r="L967" s="4">
        <f>IFERROR(__xludf.DUMMYFUNCTION("""COMPUTED_VALUE"""),45949.283838316944)</f>
        <v>45949.28384</v>
      </c>
      <c r="M967" s="1" t="str">
        <f>IFERROR(__xludf.DUMMYFUNCTION("""COMPUTED_VALUE"""),"RFID")</f>
        <v>RFID</v>
      </c>
      <c r="N967" s="5">
        <f>IFERROR(__xludf.DUMMYFUNCTION("""COMPUTED_VALUE"""),0.0062358287037037035)</f>
        <v>0.006235828704</v>
      </c>
      <c r="O967" s="5" t="str">
        <f>IFERROR(__xludf.DUMMYFUNCTION("""COMPUTED_VALUE"""),"")</f>
        <v/>
      </c>
      <c r="P967" s="5" t="str">
        <f>IFERROR(__xludf.DUMMYFUNCTION("""COMPUTED_VALUE"""),"")</f>
        <v/>
      </c>
      <c r="Q967" s="5">
        <f>IFERROR(__xludf.DUMMYFUNCTION("""COMPUTED_VALUE"""),0.005778851851851852)</f>
        <v>0.005778851852</v>
      </c>
      <c r="R967" s="4">
        <f>IFERROR(__xludf.DUMMYFUNCTION("""COMPUTED_VALUE"""),45949.02889425444)</f>
        <v>45949.02889</v>
      </c>
      <c r="S967" s="1" t="b">
        <f>IFERROR(__xludf.DUMMYFUNCTION("""COMPUTED_VALUE"""),TRUE)</f>
        <v>1</v>
      </c>
      <c r="T967" s="1" t="b">
        <f>IFERROR(__xludf.DUMMYFUNCTION("""COMPUTED_VALUE"""),FALSE)</f>
        <v>0</v>
      </c>
      <c r="U967" s="1" t="str">
        <f>IFERROR(__xludf.DUMMYFUNCTION("""COMPUTED_VALUE"""),"VALID")</f>
        <v>VALID</v>
      </c>
      <c r="V967" s="1">
        <f>IFERROR(__xludf.DUMMYFUNCTION("""COMPUTED_VALUE"""),47.0)</f>
        <v>47</v>
      </c>
      <c r="W967" s="1">
        <f>IFERROR(__xludf.DUMMYFUNCTION("""COMPUTED_VALUE"""),486.0)</f>
        <v>486</v>
      </c>
      <c r="X967" s="1">
        <f>IFERROR(__xludf.DUMMYFUNCTION("""COMPUTED_VALUE"""),422.0)</f>
        <v>422</v>
      </c>
      <c r="Y967" s="2"/>
      <c r="Z967" s="2"/>
    </row>
    <row r="968">
      <c r="A968" s="1">
        <f>IFERROR(__xludf.DUMMYFUNCTION("""COMPUTED_VALUE"""),967.0)</f>
        <v>967</v>
      </c>
      <c r="B968" s="1">
        <f>IFERROR(__xludf.DUMMYFUNCTION("""COMPUTED_VALUE"""),7044.0)</f>
        <v>7044</v>
      </c>
      <c r="C968" s="2" t="str">
        <f>IFERROR(__xludf.DUMMYFUNCTION("""COMPUTED_VALUE"""),"Hawari")</f>
        <v>Hawari</v>
      </c>
      <c r="D968" s="2" t="str">
        <f>IFERROR(__xludf.DUMMYFUNCTION("""COMPUTED_VALUE"""),"5KM MASTER M")</f>
        <v>5KM MASTER M</v>
      </c>
      <c r="E968" s="1">
        <f>IFERROR(__xludf.DUMMYFUNCTION("""COMPUTED_VALUE"""),2.0)</f>
        <v>2</v>
      </c>
      <c r="F968" s="1" t="str">
        <f>IFERROR(__xludf.DUMMYFUNCTION("""COMPUTED_VALUE"""),"Male")</f>
        <v>Male</v>
      </c>
      <c r="G968" s="4" t="str">
        <f>IFERROR(__xludf.DUMMYFUNCTION("""COMPUTED_VALUE"""),"")</f>
        <v/>
      </c>
      <c r="H968" s="4" t="b">
        <f>IFERROR(__xludf.DUMMYFUNCTION("""COMPUTED_VALUE"""),FALSE)</f>
        <v>0</v>
      </c>
      <c r="I968" s="4">
        <f>IFERROR(__xludf.DUMMYFUNCTION("""COMPUTED_VALUE"""),0.2549440625)</f>
        <v>0.2549440625</v>
      </c>
      <c r="J968" s="4" t="str">
        <f>IFERROR(__xludf.DUMMYFUNCTION("""COMPUTED_VALUE"""),"")</f>
        <v/>
      </c>
      <c r="K968" s="4" t="str">
        <f>IFERROR(__xludf.DUMMYFUNCTION("""COMPUTED_VALUE"""),"")</f>
        <v/>
      </c>
      <c r="L968" s="4" t="str">
        <f>IFERROR(__xludf.DUMMYFUNCTION("""COMPUTED_VALUE"""),"")</f>
        <v/>
      </c>
      <c r="M968" s="1" t="str">
        <f>IFERROR(__xludf.DUMMYFUNCTION("""COMPUTED_VALUE"""),"RFID")</f>
        <v>RFID</v>
      </c>
      <c r="N968" s="5" t="str">
        <f>IFERROR(__xludf.DUMMYFUNCTION("""COMPUTED_VALUE"""),"")</f>
        <v/>
      </c>
      <c r="O968" s="5" t="str">
        <f>IFERROR(__xludf.DUMMYFUNCTION("""COMPUTED_VALUE"""),"")</f>
        <v/>
      </c>
      <c r="P968" s="5" t="str">
        <f>IFERROR(__xludf.DUMMYFUNCTION("""COMPUTED_VALUE"""),"")</f>
        <v/>
      </c>
      <c r="Q968" s="5" t="str">
        <f>IFERROR(__xludf.DUMMYFUNCTION("""COMPUTED_VALUE"""),"")</f>
        <v/>
      </c>
      <c r="R968" s="4" t="str">
        <f>IFERROR(__xludf.DUMMYFUNCTION("""COMPUTED_VALUE"""),"")</f>
        <v/>
      </c>
      <c r="S968" s="1" t="b">
        <f>IFERROR(__xludf.DUMMYFUNCTION("""COMPUTED_VALUE"""),FALSE)</f>
        <v>0</v>
      </c>
      <c r="T968" s="1" t="b">
        <f>IFERROR(__xludf.DUMMYFUNCTION("""COMPUTED_VALUE"""),FALSE)</f>
        <v>0</v>
      </c>
      <c r="U968" s="1" t="str">
        <f>IFERROR(__xludf.DUMMYFUNCTION("""COMPUTED_VALUE"""),"DSQ")</f>
        <v>DSQ</v>
      </c>
      <c r="V968" s="1" t="str">
        <f>IFERROR(__xludf.DUMMYFUNCTION("""COMPUTED_VALUE"""),"DSQ")</f>
        <v>DSQ</v>
      </c>
      <c r="W968" s="1" t="str">
        <f>IFERROR(__xludf.DUMMYFUNCTION("""COMPUTED_VALUE"""),"DSQ")</f>
        <v>DSQ</v>
      </c>
      <c r="X968" s="1" t="str">
        <f>IFERROR(__xludf.DUMMYFUNCTION("""COMPUTED_VALUE"""),"DSQ")</f>
        <v>DSQ</v>
      </c>
      <c r="Y968" s="2"/>
      <c r="Z968" s="2" t="str">
        <f>IFERROR(__xludf.DUMMYFUNCTION("""COMPUTED_VALUE"""),"")</f>
        <v/>
      </c>
    </row>
    <row r="969">
      <c r="A969" s="1">
        <f>IFERROR(__xludf.DUMMYFUNCTION("""COMPUTED_VALUE"""),968.0)</f>
        <v>968</v>
      </c>
      <c r="B969" s="1">
        <f>IFERROR(__xludf.DUMMYFUNCTION("""COMPUTED_VALUE"""),7045.0)</f>
        <v>7045</v>
      </c>
      <c r="C969" s="2" t="str">
        <f>IFERROR(__xludf.DUMMYFUNCTION("""COMPUTED_VALUE"""),"zaki")</f>
        <v>zaki</v>
      </c>
      <c r="D969" s="2" t="str">
        <f>IFERROR(__xludf.DUMMYFUNCTION("""COMPUTED_VALUE"""),"5KM MASTER M")</f>
        <v>5KM MASTER M</v>
      </c>
      <c r="E969" s="1">
        <f>IFERROR(__xludf.DUMMYFUNCTION("""COMPUTED_VALUE"""),2.0)</f>
        <v>2</v>
      </c>
      <c r="F969" s="1" t="str">
        <f>IFERROR(__xludf.DUMMYFUNCTION("""COMPUTED_VALUE"""),"Male")</f>
        <v>Male</v>
      </c>
      <c r="G969" s="4" t="b">
        <f>IFERROR(__xludf.DUMMYFUNCTION("""COMPUTED_VALUE"""),TRUE)</f>
        <v>1</v>
      </c>
      <c r="H969" s="4" t="b">
        <f>IFERROR(__xludf.DUMMYFUNCTION("""COMPUTED_VALUE"""),FALSE)</f>
        <v>0</v>
      </c>
      <c r="I969" s="4">
        <f>IFERROR(__xludf.DUMMYFUNCTION("""COMPUTED_VALUE"""),0.2549440625)</f>
        <v>0.2549440625</v>
      </c>
      <c r="J969" s="4">
        <f>IFERROR(__xludf.DUMMYFUNCTION("""COMPUTED_VALUE"""),45949.27188102616)</f>
        <v>45949.27188</v>
      </c>
      <c r="K969" s="4" t="str">
        <f>IFERROR(__xludf.DUMMYFUNCTION("""COMPUTED_VALUE"""),"")</f>
        <v/>
      </c>
      <c r="L969" s="4">
        <f>IFERROR(__xludf.DUMMYFUNCTION("""COMPUTED_VALUE"""),45949.28346683757)</f>
        <v>45949.28347</v>
      </c>
      <c r="M969" s="1" t="str">
        <f>IFERROR(__xludf.DUMMYFUNCTION("""COMPUTED_VALUE"""),"RFID")</f>
        <v>RFID</v>
      </c>
      <c r="N969" s="5">
        <f>IFERROR(__xludf.DUMMYFUNCTION("""COMPUTED_VALUE"""),0.0067747870370370375)</f>
        <v>0.006774787037</v>
      </c>
      <c r="O969" s="5" t="str">
        <f>IFERROR(__xludf.DUMMYFUNCTION("""COMPUTED_VALUE"""),"")</f>
        <v/>
      </c>
      <c r="P969" s="5" t="str">
        <f>IFERROR(__xludf.DUMMYFUNCTION("""COMPUTED_VALUE"""),"")</f>
        <v/>
      </c>
      <c r="Q969" s="5">
        <f>IFERROR(__xludf.DUMMYFUNCTION("""COMPUTED_VALUE"""),0.005704555555555555)</f>
        <v>0.005704555556</v>
      </c>
      <c r="R969" s="4">
        <f>IFERROR(__xludf.DUMMYFUNCTION("""COMPUTED_VALUE"""),45949.02852277507)</f>
        <v>45949.02852</v>
      </c>
      <c r="S969" s="1" t="b">
        <f>IFERROR(__xludf.DUMMYFUNCTION("""COMPUTED_VALUE"""),TRUE)</f>
        <v>1</v>
      </c>
      <c r="T969" s="1" t="b">
        <f>IFERROR(__xludf.DUMMYFUNCTION("""COMPUTED_VALUE"""),FALSE)</f>
        <v>0</v>
      </c>
      <c r="U969" s="1" t="str">
        <f>IFERROR(__xludf.DUMMYFUNCTION("""COMPUTED_VALUE"""),"VALID")</f>
        <v>VALID</v>
      </c>
      <c r="V969" s="1">
        <f>IFERROR(__xludf.DUMMYFUNCTION("""COMPUTED_VALUE"""),45.0)</f>
        <v>45</v>
      </c>
      <c r="W969" s="1">
        <f>IFERROR(__xludf.DUMMYFUNCTION("""COMPUTED_VALUE"""),462.0)</f>
        <v>462</v>
      </c>
      <c r="X969" s="1">
        <f>IFERROR(__xludf.DUMMYFUNCTION("""COMPUTED_VALUE"""),401.0)</f>
        <v>401</v>
      </c>
      <c r="Y969" s="2"/>
      <c r="Z969" s="2"/>
    </row>
    <row r="970">
      <c r="A970" s="1">
        <f>IFERROR(__xludf.DUMMYFUNCTION("""COMPUTED_VALUE"""),969.0)</f>
        <v>969</v>
      </c>
      <c r="B970" s="1">
        <f>IFERROR(__xludf.DUMMYFUNCTION("""COMPUTED_VALUE"""),7046.0)</f>
        <v>7046</v>
      </c>
      <c r="C970" s="2" t="str">
        <f>IFERROR(__xludf.DUMMYFUNCTION("""COMPUTED_VALUE"""),"iman")</f>
        <v>iman</v>
      </c>
      <c r="D970" s="2" t="str">
        <f>IFERROR(__xludf.DUMMYFUNCTION("""COMPUTED_VALUE"""),"5KM MASTER M")</f>
        <v>5KM MASTER M</v>
      </c>
      <c r="E970" s="1">
        <f>IFERROR(__xludf.DUMMYFUNCTION("""COMPUTED_VALUE"""),2.0)</f>
        <v>2</v>
      </c>
      <c r="F970" s="1" t="str">
        <f>IFERROR(__xludf.DUMMYFUNCTION("""COMPUTED_VALUE"""),"Male")</f>
        <v>Male</v>
      </c>
      <c r="G970" s="4" t="b">
        <f>IFERROR(__xludf.DUMMYFUNCTION("""COMPUTED_VALUE"""),TRUE)</f>
        <v>1</v>
      </c>
      <c r="H970" s="4" t="b">
        <f>IFERROR(__xludf.DUMMYFUNCTION("""COMPUTED_VALUE"""),TRUE)</f>
        <v>1</v>
      </c>
      <c r="I970" s="4">
        <f>IFERROR(__xludf.DUMMYFUNCTION("""COMPUTED_VALUE"""),0.2549440625)</f>
        <v>0.2549440625</v>
      </c>
      <c r="J970" s="4">
        <f>IFERROR(__xludf.DUMMYFUNCTION("""COMPUTED_VALUE"""),45949.27259616738)</f>
        <v>45949.2726</v>
      </c>
      <c r="K970" s="4" t="str">
        <f>IFERROR(__xludf.DUMMYFUNCTION("""COMPUTED_VALUE"""),"")</f>
        <v/>
      </c>
      <c r="L970" s="4">
        <f>IFERROR(__xludf.DUMMYFUNCTION("""COMPUTED_VALUE"""),45949.28386614586)</f>
        <v>45949.28387</v>
      </c>
      <c r="M970" s="1" t="str">
        <f>IFERROR(__xludf.DUMMYFUNCTION("""COMPUTED_VALUE"""),"RFID")</f>
        <v>RFID</v>
      </c>
      <c r="N970" s="5">
        <f>IFERROR(__xludf.DUMMYFUNCTION("""COMPUTED_VALUE"""),0.0070608425925925925)</f>
        <v>0.007060842593</v>
      </c>
      <c r="O970" s="5" t="str">
        <f>IFERROR(__xludf.DUMMYFUNCTION("""COMPUTED_VALUE"""),"")</f>
        <v/>
      </c>
      <c r="P970" s="5" t="str">
        <f>IFERROR(__xludf.DUMMYFUNCTION("""COMPUTED_VALUE"""),"")</f>
        <v/>
      </c>
      <c r="Q970" s="5">
        <f>IFERROR(__xludf.DUMMYFUNCTION("""COMPUTED_VALUE"""),0.005784416666666666)</f>
        <v>0.005784416667</v>
      </c>
      <c r="R970" s="4">
        <f>IFERROR(__xludf.DUMMYFUNCTION("""COMPUTED_VALUE"""),45949.02892208336)</f>
        <v>45949.02892</v>
      </c>
      <c r="S970" s="1" t="b">
        <f>IFERROR(__xludf.DUMMYFUNCTION("""COMPUTED_VALUE"""),TRUE)</f>
        <v>1</v>
      </c>
      <c r="T970" s="1" t="b">
        <f>IFERROR(__xludf.DUMMYFUNCTION("""COMPUTED_VALUE"""),FALSE)</f>
        <v>0</v>
      </c>
      <c r="U970" s="1" t="str">
        <f>IFERROR(__xludf.DUMMYFUNCTION("""COMPUTED_VALUE"""),"VALID")</f>
        <v>VALID</v>
      </c>
      <c r="V970" s="1">
        <f>IFERROR(__xludf.DUMMYFUNCTION("""COMPUTED_VALUE"""),49.0)</f>
        <v>49</v>
      </c>
      <c r="W970" s="1">
        <f>IFERROR(__xludf.DUMMYFUNCTION("""COMPUTED_VALUE"""),491.0)</f>
        <v>491</v>
      </c>
      <c r="X970" s="1">
        <f>IFERROR(__xludf.DUMMYFUNCTION("""COMPUTED_VALUE"""),427.0)</f>
        <v>427</v>
      </c>
      <c r="Y970" s="2"/>
      <c r="Z970" s="2"/>
    </row>
    <row r="971">
      <c r="A971" s="1">
        <f>IFERROR(__xludf.DUMMYFUNCTION("""COMPUTED_VALUE"""),970.0)</f>
        <v>970</v>
      </c>
      <c r="B971" s="1">
        <f>IFERROR(__xludf.DUMMYFUNCTION("""COMPUTED_VALUE"""),7048.0)</f>
        <v>7048</v>
      </c>
      <c r="C971" s="2" t="str">
        <f>IFERROR(__xludf.DUMMYFUNCTION("""COMPUTED_VALUE"""),"TOGAP FC")</f>
        <v>TOGAP FC</v>
      </c>
      <c r="D971" s="2" t="str">
        <f>IFERROR(__xludf.DUMMYFUNCTION("""COMPUTED_VALUE"""),"5KM MASTER M")</f>
        <v>5KM MASTER M</v>
      </c>
      <c r="E971" s="1">
        <f>IFERROR(__xludf.DUMMYFUNCTION("""COMPUTED_VALUE"""),2.0)</f>
        <v>2</v>
      </c>
      <c r="F971" s="1" t="str">
        <f>IFERROR(__xludf.DUMMYFUNCTION("""COMPUTED_VALUE"""),"Male")</f>
        <v>Male</v>
      </c>
      <c r="G971" s="4" t="b">
        <f>IFERROR(__xludf.DUMMYFUNCTION("""COMPUTED_VALUE"""),TRUE)</f>
        <v>1</v>
      </c>
      <c r="H971" s="4" t="b">
        <f>IFERROR(__xludf.DUMMYFUNCTION("""COMPUTED_VALUE"""),TRUE)</f>
        <v>1</v>
      </c>
      <c r="I971" s="4">
        <f>IFERROR(__xludf.DUMMYFUNCTION("""COMPUTED_VALUE"""),0.2549440625)</f>
        <v>0.2549440625</v>
      </c>
      <c r="J971" s="4">
        <f>IFERROR(__xludf.DUMMYFUNCTION("""COMPUTED_VALUE"""),45949.27162739239)</f>
        <v>45949.27163</v>
      </c>
      <c r="K971" s="4" t="str">
        <f>IFERROR(__xludf.DUMMYFUNCTION("""COMPUTED_VALUE"""),"")</f>
        <v/>
      </c>
      <c r="L971" s="4">
        <f>IFERROR(__xludf.DUMMYFUNCTION("""COMPUTED_VALUE"""),45949.28014047708)</f>
        <v>45949.28014</v>
      </c>
      <c r="M971" s="1" t="str">
        <f>IFERROR(__xludf.DUMMYFUNCTION("""COMPUTED_VALUE"""),"RFID")</f>
        <v>RFID</v>
      </c>
      <c r="N971" s="5">
        <f>IFERROR(__xludf.DUMMYFUNCTION("""COMPUTED_VALUE"""),0.006673333333333334)</f>
        <v>0.006673333333</v>
      </c>
      <c r="O971" s="5" t="str">
        <f>IFERROR(__xludf.DUMMYFUNCTION("""COMPUTED_VALUE"""),"")</f>
        <v/>
      </c>
      <c r="P971" s="5" t="str">
        <f>IFERROR(__xludf.DUMMYFUNCTION("""COMPUTED_VALUE"""),"")</f>
        <v/>
      </c>
      <c r="Q971" s="5">
        <f>IFERROR(__xludf.DUMMYFUNCTION("""COMPUTED_VALUE"""),0.005039282407407407)</f>
        <v>0.005039282407</v>
      </c>
      <c r="R971" s="4">
        <f>IFERROR(__xludf.DUMMYFUNCTION("""COMPUTED_VALUE"""),45949.02519641458)</f>
        <v>45949.0252</v>
      </c>
      <c r="S971" s="1" t="b">
        <f>IFERROR(__xludf.DUMMYFUNCTION("""COMPUTED_VALUE"""),TRUE)</f>
        <v>1</v>
      </c>
      <c r="T971" s="1" t="b">
        <f>IFERROR(__xludf.DUMMYFUNCTION("""COMPUTED_VALUE"""),FALSE)</f>
        <v>0</v>
      </c>
      <c r="U971" s="1" t="str">
        <f>IFERROR(__xludf.DUMMYFUNCTION("""COMPUTED_VALUE"""),"VALID")</f>
        <v>VALID</v>
      </c>
      <c r="V971" s="1">
        <f>IFERROR(__xludf.DUMMYFUNCTION("""COMPUTED_VALUE"""),32.0)</f>
        <v>32</v>
      </c>
      <c r="W971" s="1">
        <f>IFERROR(__xludf.DUMMYFUNCTION("""COMPUTED_VALUE"""),298.0)</f>
        <v>298</v>
      </c>
      <c r="X971" s="1">
        <f>IFERROR(__xludf.DUMMYFUNCTION("""COMPUTED_VALUE"""),260.0)</f>
        <v>260</v>
      </c>
      <c r="Y971" s="2"/>
      <c r="Z971" s="2"/>
    </row>
    <row r="972">
      <c r="A972" s="1">
        <f>IFERROR(__xludf.DUMMYFUNCTION("""COMPUTED_VALUE"""),971.0)</f>
        <v>971</v>
      </c>
      <c r="B972" s="1">
        <f>IFERROR(__xludf.DUMMYFUNCTION("""COMPUTED_VALUE"""),7049.0)</f>
        <v>7049</v>
      </c>
      <c r="C972" s="2" t="str">
        <f>IFERROR(__xludf.DUMMYFUNCTION("""COMPUTED_VALUE"""),"Santo")</f>
        <v>Santo</v>
      </c>
      <c r="D972" s="2" t="str">
        <f>IFERROR(__xludf.DUMMYFUNCTION("""COMPUTED_VALUE"""),"5KM MASTER M")</f>
        <v>5KM MASTER M</v>
      </c>
      <c r="E972" s="1">
        <f>IFERROR(__xludf.DUMMYFUNCTION("""COMPUTED_VALUE"""),2.0)</f>
        <v>2</v>
      </c>
      <c r="F972" s="1" t="str">
        <f>IFERROR(__xludf.DUMMYFUNCTION("""COMPUTED_VALUE"""),"Male")</f>
        <v>Male</v>
      </c>
      <c r="G972" s="4" t="b">
        <f>IFERROR(__xludf.DUMMYFUNCTION("""COMPUTED_VALUE"""),TRUE)</f>
        <v>1</v>
      </c>
      <c r="H972" s="4" t="b">
        <f>IFERROR(__xludf.DUMMYFUNCTION("""COMPUTED_VALUE"""),TRUE)</f>
        <v>1</v>
      </c>
      <c r="I972" s="4">
        <f>IFERROR(__xludf.DUMMYFUNCTION("""COMPUTED_VALUE"""),0.2549440625)</f>
        <v>0.2549440625</v>
      </c>
      <c r="J972" s="4">
        <f>IFERROR(__xludf.DUMMYFUNCTION("""COMPUTED_VALUE"""),45949.28668988032)</f>
        <v>45949.28669</v>
      </c>
      <c r="K972" s="4" t="str">
        <f>IFERROR(__xludf.DUMMYFUNCTION("""COMPUTED_VALUE"""),"")</f>
        <v/>
      </c>
      <c r="L972" s="4">
        <f>IFERROR(__xludf.DUMMYFUNCTION("""COMPUTED_VALUE"""),45949.30864739548)</f>
        <v>45949.30865</v>
      </c>
      <c r="M972" s="1" t="str">
        <f>IFERROR(__xludf.DUMMYFUNCTION("""COMPUTED_VALUE"""),"RFID")</f>
        <v>RFID</v>
      </c>
      <c r="N972" s="5">
        <f>IFERROR(__xludf.DUMMYFUNCTION("""COMPUTED_VALUE"""),0.012698328703703705)</f>
        <v>0.0126983287</v>
      </c>
      <c r="O972" s="5" t="str">
        <f>IFERROR(__xludf.DUMMYFUNCTION("""COMPUTED_VALUE"""),"")</f>
        <v/>
      </c>
      <c r="P972" s="5" t="str">
        <f>IFERROR(__xludf.DUMMYFUNCTION("""COMPUTED_VALUE"""),"")</f>
        <v/>
      </c>
      <c r="Q972" s="5">
        <f>IFERROR(__xludf.DUMMYFUNCTION("""COMPUTED_VALUE"""),0.010740666666666666)</f>
        <v>0.01074066667</v>
      </c>
      <c r="R972" s="4">
        <f>IFERROR(__xludf.DUMMYFUNCTION("""COMPUTED_VALUE"""),45949.05370333298)</f>
        <v>45949.0537</v>
      </c>
      <c r="S972" s="1" t="b">
        <f>IFERROR(__xludf.DUMMYFUNCTION("""COMPUTED_VALUE"""),TRUE)</f>
        <v>1</v>
      </c>
      <c r="T972" s="1" t="b">
        <f>IFERROR(__xludf.DUMMYFUNCTION("""COMPUTED_VALUE"""),FALSE)</f>
        <v>0</v>
      </c>
      <c r="U972" s="1" t="str">
        <f>IFERROR(__xludf.DUMMYFUNCTION("""COMPUTED_VALUE"""),"VALID")</f>
        <v>VALID</v>
      </c>
      <c r="V972" s="1">
        <f>IFERROR(__xludf.DUMMYFUNCTION("""COMPUTED_VALUE"""),103.0)</f>
        <v>103</v>
      </c>
      <c r="W972" s="1">
        <f>IFERROR(__xludf.DUMMYFUNCTION("""COMPUTED_VALUE"""),1596.0)</f>
        <v>1596</v>
      </c>
      <c r="X972" s="1">
        <f>IFERROR(__xludf.DUMMYFUNCTION("""COMPUTED_VALUE"""),1477.0)</f>
        <v>1477</v>
      </c>
      <c r="Y972" s="2"/>
      <c r="Z972" s="2"/>
    </row>
    <row r="973">
      <c r="A973" s="1">
        <f>IFERROR(__xludf.DUMMYFUNCTION("""COMPUTED_VALUE"""),972.0)</f>
        <v>972</v>
      </c>
      <c r="B973" s="1">
        <f>IFERROR(__xludf.DUMMYFUNCTION("""COMPUTED_VALUE"""),7051.0)</f>
        <v>7051</v>
      </c>
      <c r="C973" s="2" t="str">
        <f>IFERROR(__xludf.DUMMYFUNCTION("""COMPUTED_VALUE"""),"rusmin")</f>
        <v>rusmin</v>
      </c>
      <c r="D973" s="2" t="str">
        <f>IFERROR(__xludf.DUMMYFUNCTION("""COMPUTED_VALUE"""),"5KM MASTER M")</f>
        <v>5KM MASTER M</v>
      </c>
      <c r="E973" s="1">
        <f>IFERROR(__xludf.DUMMYFUNCTION("""COMPUTED_VALUE"""),2.0)</f>
        <v>2</v>
      </c>
      <c r="F973" s="1" t="str">
        <f>IFERROR(__xludf.DUMMYFUNCTION("""COMPUTED_VALUE"""),"Male")</f>
        <v>Male</v>
      </c>
      <c r="G973" s="4" t="b">
        <f>IFERROR(__xludf.DUMMYFUNCTION("""COMPUTED_VALUE"""),TRUE)</f>
        <v>1</v>
      </c>
      <c r="H973" s="4" t="b">
        <f>IFERROR(__xludf.DUMMYFUNCTION("""COMPUTED_VALUE"""),TRUE)</f>
        <v>1</v>
      </c>
      <c r="I973" s="4">
        <f>IFERROR(__xludf.DUMMYFUNCTION("""COMPUTED_VALUE"""),0.2549440625)</f>
        <v>0.2549440625</v>
      </c>
      <c r="J973" s="4">
        <f>IFERROR(__xludf.DUMMYFUNCTION("""COMPUTED_VALUE"""),45949.277849603146)</f>
        <v>45949.27785</v>
      </c>
      <c r="K973" s="4" t="str">
        <f>IFERROR(__xludf.DUMMYFUNCTION("""COMPUTED_VALUE"""),"")</f>
        <v/>
      </c>
      <c r="L973" s="4">
        <f>IFERROR(__xludf.DUMMYFUNCTION("""COMPUTED_VALUE"""),45949.29416128012)</f>
        <v>45949.29416</v>
      </c>
      <c r="M973" s="1" t="str">
        <f>IFERROR(__xludf.DUMMYFUNCTION("""COMPUTED_VALUE"""),"RFID")</f>
        <v>RFID</v>
      </c>
      <c r="N973" s="5">
        <f>IFERROR(__xludf.DUMMYFUNCTION("""COMPUTED_VALUE"""),0.009162217592592592)</f>
        <v>0.009162217593</v>
      </c>
      <c r="O973" s="5" t="str">
        <f>IFERROR(__xludf.DUMMYFUNCTION("""COMPUTED_VALUE"""),"")</f>
        <v/>
      </c>
      <c r="P973" s="5" t="str">
        <f>IFERROR(__xludf.DUMMYFUNCTION("""COMPUTED_VALUE"""),"")</f>
        <v/>
      </c>
      <c r="Q973" s="5">
        <f>IFERROR(__xludf.DUMMYFUNCTION("""COMPUTED_VALUE"""),0.007843444444444445)</f>
        <v>0.007843444444</v>
      </c>
      <c r="R973" s="4">
        <f>IFERROR(__xludf.DUMMYFUNCTION("""COMPUTED_VALUE"""),45949.03921721762)</f>
        <v>45949.03922</v>
      </c>
      <c r="S973" s="1" t="b">
        <f>IFERROR(__xludf.DUMMYFUNCTION("""COMPUTED_VALUE"""),TRUE)</f>
        <v>1</v>
      </c>
      <c r="T973" s="1" t="b">
        <f>IFERROR(__xludf.DUMMYFUNCTION("""COMPUTED_VALUE"""),FALSE)</f>
        <v>0</v>
      </c>
      <c r="U973" s="1" t="str">
        <f>IFERROR(__xludf.DUMMYFUNCTION("""COMPUTED_VALUE"""),"VALID")</f>
        <v>VALID</v>
      </c>
      <c r="V973" s="1">
        <f>IFERROR(__xludf.DUMMYFUNCTION("""COMPUTED_VALUE"""),89.0)</f>
        <v>89</v>
      </c>
      <c r="W973" s="1">
        <f>IFERROR(__xludf.DUMMYFUNCTION("""COMPUTED_VALUE"""),1191.0)</f>
        <v>1191</v>
      </c>
      <c r="X973" s="1">
        <f>IFERROR(__xludf.DUMMYFUNCTION("""COMPUTED_VALUE"""),938.0)</f>
        <v>938</v>
      </c>
      <c r="Y973" s="2"/>
      <c r="Z973" s="2"/>
    </row>
    <row r="974">
      <c r="A974" s="1">
        <f>IFERROR(__xludf.DUMMYFUNCTION("""COMPUTED_VALUE"""),973.0)</f>
        <v>973</v>
      </c>
      <c r="B974" s="1">
        <f>IFERROR(__xludf.DUMMYFUNCTION("""COMPUTED_VALUE"""),7052.0)</f>
        <v>7052</v>
      </c>
      <c r="C974" s="2" t="str">
        <f>IFERROR(__xludf.DUMMYFUNCTION("""COMPUTED_VALUE"""),"hwiharto")</f>
        <v>hwiharto</v>
      </c>
      <c r="D974" s="2" t="str">
        <f>IFERROR(__xludf.DUMMYFUNCTION("""COMPUTED_VALUE"""),"5KM MASTER M")</f>
        <v>5KM MASTER M</v>
      </c>
      <c r="E974" s="1">
        <f>IFERROR(__xludf.DUMMYFUNCTION("""COMPUTED_VALUE"""),2.0)</f>
        <v>2</v>
      </c>
      <c r="F974" s="1" t="str">
        <f>IFERROR(__xludf.DUMMYFUNCTION("""COMPUTED_VALUE"""),"Male")</f>
        <v>Male</v>
      </c>
      <c r="G974" s="4" t="b">
        <f>IFERROR(__xludf.DUMMYFUNCTION("""COMPUTED_VALUE"""),TRUE)</f>
        <v>1</v>
      </c>
      <c r="H974" s="4" t="b">
        <f>IFERROR(__xludf.DUMMYFUNCTION("""COMPUTED_VALUE"""),FALSE)</f>
        <v>0</v>
      </c>
      <c r="I974" s="4">
        <f>IFERROR(__xludf.DUMMYFUNCTION("""COMPUTED_VALUE"""),0.2549440625)</f>
        <v>0.2549440625</v>
      </c>
      <c r="J974" s="4">
        <f>IFERROR(__xludf.DUMMYFUNCTION("""COMPUTED_VALUE"""),45949.274415649495)</f>
        <v>45949.27442</v>
      </c>
      <c r="K974" s="4" t="str">
        <f>IFERROR(__xludf.DUMMYFUNCTION("""COMPUTED_VALUE"""),"")</f>
        <v/>
      </c>
      <c r="L974" s="4">
        <f>IFERROR(__xludf.DUMMYFUNCTION("""COMPUTED_VALUE"""),45949.288411288704)</f>
        <v>45949.28841</v>
      </c>
      <c r="M974" s="1" t="str">
        <f>IFERROR(__xludf.DUMMYFUNCTION("""COMPUTED_VALUE"""),"RFID")</f>
        <v>RFID</v>
      </c>
      <c r="N974" s="5">
        <f>IFERROR(__xludf.DUMMYFUNCTION("""COMPUTED_VALUE"""),0.00778863425925926)</f>
        <v>0.007788634259</v>
      </c>
      <c r="O974" s="5" t="str">
        <f>IFERROR(__xludf.DUMMYFUNCTION("""COMPUTED_VALUE"""),"")</f>
        <v/>
      </c>
      <c r="P974" s="5" t="str">
        <f>IFERROR(__xludf.DUMMYFUNCTION("""COMPUTED_VALUE"""),"")</f>
        <v/>
      </c>
      <c r="Q974" s="5">
        <f>IFERROR(__xludf.DUMMYFUNCTION("""COMPUTED_VALUE"""),0.006693444444444445)</f>
        <v>0.006693444444</v>
      </c>
      <c r="R974" s="4">
        <f>IFERROR(__xludf.DUMMYFUNCTION("""COMPUTED_VALUE"""),45949.0334672262)</f>
        <v>45949.03347</v>
      </c>
      <c r="S974" s="1" t="b">
        <f>IFERROR(__xludf.DUMMYFUNCTION("""COMPUTED_VALUE"""),TRUE)</f>
        <v>1</v>
      </c>
      <c r="T974" s="1" t="b">
        <f>IFERROR(__xludf.DUMMYFUNCTION("""COMPUTED_VALUE"""),FALSE)</f>
        <v>0</v>
      </c>
      <c r="U974" s="1" t="str">
        <f>IFERROR(__xludf.DUMMYFUNCTION("""COMPUTED_VALUE"""),"VALID")</f>
        <v>VALID</v>
      </c>
      <c r="V974" s="1">
        <f>IFERROR(__xludf.DUMMYFUNCTION("""COMPUTED_VALUE"""),69.0)</f>
        <v>69</v>
      </c>
      <c r="W974" s="1">
        <f>IFERROR(__xludf.DUMMYFUNCTION("""COMPUTED_VALUE"""),807.0)</f>
        <v>807</v>
      </c>
      <c r="X974" s="1">
        <f>IFERROR(__xludf.DUMMYFUNCTION("""COMPUTED_VALUE"""),663.0)</f>
        <v>663</v>
      </c>
      <c r="Y974" s="2"/>
      <c r="Z974" s="2"/>
    </row>
    <row r="975">
      <c r="A975" s="1">
        <f>IFERROR(__xludf.DUMMYFUNCTION("""COMPUTED_VALUE"""),974.0)</f>
        <v>974</v>
      </c>
      <c r="B975" s="1">
        <f>IFERROR(__xludf.DUMMYFUNCTION("""COMPUTED_VALUE"""),7053.0)</f>
        <v>7053</v>
      </c>
      <c r="C975" s="2" t="str">
        <f>IFERROR(__xludf.DUMMYFUNCTION("""COMPUTED_VALUE"""),"Rio")</f>
        <v>Rio</v>
      </c>
      <c r="D975" s="2" t="str">
        <f>IFERROR(__xludf.DUMMYFUNCTION("""COMPUTED_VALUE"""),"5KM MASTER M")</f>
        <v>5KM MASTER M</v>
      </c>
      <c r="E975" s="1">
        <f>IFERROR(__xludf.DUMMYFUNCTION("""COMPUTED_VALUE"""),2.0)</f>
        <v>2</v>
      </c>
      <c r="F975" s="1" t="str">
        <f>IFERROR(__xludf.DUMMYFUNCTION("""COMPUTED_VALUE"""),"Male")</f>
        <v>Male</v>
      </c>
      <c r="G975" s="4" t="b">
        <f>IFERROR(__xludf.DUMMYFUNCTION("""COMPUTED_VALUE"""),TRUE)</f>
        <v>1</v>
      </c>
      <c r="H975" s="4" t="b">
        <f>IFERROR(__xludf.DUMMYFUNCTION("""COMPUTED_VALUE"""),TRUE)</f>
        <v>1</v>
      </c>
      <c r="I975" s="4">
        <f>IFERROR(__xludf.DUMMYFUNCTION("""COMPUTED_VALUE"""),0.2549440625)</f>
        <v>0.2549440625</v>
      </c>
      <c r="J975" s="4">
        <f>IFERROR(__xludf.DUMMYFUNCTION("""COMPUTED_VALUE"""),45949.281783682745)</f>
        <v>45949.28178</v>
      </c>
      <c r="K975" s="4" t="str">
        <f>IFERROR(__xludf.DUMMYFUNCTION("""COMPUTED_VALUE"""),"")</f>
        <v/>
      </c>
      <c r="L975" s="4">
        <f>IFERROR(__xludf.DUMMYFUNCTION("""COMPUTED_VALUE"""),45949.301022395295)</f>
        <v>45949.30102</v>
      </c>
      <c r="M975" s="1" t="str">
        <f>IFERROR(__xludf.DUMMYFUNCTION("""COMPUTED_VALUE"""),"RFID")</f>
        <v>RFID</v>
      </c>
      <c r="N975" s="5">
        <f>IFERROR(__xludf.DUMMYFUNCTION("""COMPUTED_VALUE"""),0.010735847222222223)</f>
        <v>0.01073584722</v>
      </c>
      <c r="O975" s="5" t="str">
        <f>IFERROR(__xludf.DUMMYFUNCTION("""COMPUTED_VALUE"""),"")</f>
        <v/>
      </c>
      <c r="P975" s="5" t="str">
        <f>IFERROR(__xludf.DUMMYFUNCTION("""COMPUTED_VALUE"""),"")</f>
        <v/>
      </c>
      <c r="Q975" s="5">
        <f>IFERROR(__xludf.DUMMYFUNCTION("""COMPUTED_VALUE"""),0.009215666666666667)</f>
        <v>0.009215666667</v>
      </c>
      <c r="R975" s="4">
        <f>IFERROR(__xludf.DUMMYFUNCTION("""COMPUTED_VALUE"""),45949.046078332794)</f>
        <v>45949.04608</v>
      </c>
      <c r="S975" s="1" t="b">
        <f>IFERROR(__xludf.DUMMYFUNCTION("""COMPUTED_VALUE"""),TRUE)</f>
        <v>1</v>
      </c>
      <c r="T975" s="1" t="b">
        <f>IFERROR(__xludf.DUMMYFUNCTION("""COMPUTED_VALUE"""),FALSE)</f>
        <v>0</v>
      </c>
      <c r="U975" s="1" t="str">
        <f>IFERROR(__xludf.DUMMYFUNCTION("""COMPUTED_VALUE"""),"VALID")</f>
        <v>VALID</v>
      </c>
      <c r="V975" s="1">
        <f>IFERROR(__xludf.DUMMYFUNCTION("""COMPUTED_VALUE"""),100.0)</f>
        <v>100</v>
      </c>
      <c r="W975" s="1">
        <f>IFERROR(__xludf.DUMMYFUNCTION("""COMPUTED_VALUE"""),1487.0)</f>
        <v>1487</v>
      </c>
      <c r="X975" s="1">
        <f>IFERROR(__xludf.DUMMYFUNCTION("""COMPUTED_VALUE"""),1240.0)</f>
        <v>1240</v>
      </c>
      <c r="Y975" s="2"/>
      <c r="Z975" s="2"/>
    </row>
    <row r="976">
      <c r="A976" s="1">
        <f>IFERROR(__xludf.DUMMYFUNCTION("""COMPUTED_VALUE"""),975.0)</f>
        <v>975</v>
      </c>
      <c r="B976" s="1">
        <f>IFERROR(__xludf.DUMMYFUNCTION("""COMPUTED_VALUE"""),7054.0)</f>
        <v>7054</v>
      </c>
      <c r="C976" s="2" t="str">
        <f>IFERROR(__xludf.DUMMYFUNCTION("""COMPUTED_VALUE"""),"syahruji")</f>
        <v>syahruji</v>
      </c>
      <c r="D976" s="2" t="str">
        <f>IFERROR(__xludf.DUMMYFUNCTION("""COMPUTED_VALUE"""),"5KM MASTER M")</f>
        <v>5KM MASTER M</v>
      </c>
      <c r="E976" s="1">
        <f>IFERROR(__xludf.DUMMYFUNCTION("""COMPUTED_VALUE"""),2.0)</f>
        <v>2</v>
      </c>
      <c r="F976" s="1" t="str">
        <f>IFERROR(__xludf.DUMMYFUNCTION("""COMPUTED_VALUE"""),"Male")</f>
        <v>Male</v>
      </c>
      <c r="G976" s="4" t="b">
        <f>IFERROR(__xludf.DUMMYFUNCTION("""COMPUTED_VALUE"""),TRUE)</f>
        <v>1</v>
      </c>
      <c r="H976" s="4" t="b">
        <f>IFERROR(__xludf.DUMMYFUNCTION("""COMPUTED_VALUE"""),TRUE)</f>
        <v>1</v>
      </c>
      <c r="I976" s="4">
        <f>IFERROR(__xludf.DUMMYFUNCTION("""COMPUTED_VALUE"""),0.2549440625)</f>
        <v>0.2549440625</v>
      </c>
      <c r="J976" s="4">
        <f>IFERROR(__xludf.DUMMYFUNCTION("""COMPUTED_VALUE"""),45949.266832322915)</f>
        <v>45949.26683</v>
      </c>
      <c r="K976" s="4" t="str">
        <f>IFERROR(__xludf.DUMMYFUNCTION("""COMPUTED_VALUE"""),"")</f>
        <v/>
      </c>
      <c r="L976" s="4">
        <f>IFERROR(__xludf.DUMMYFUNCTION("""COMPUTED_VALUE"""),45949.275929702075)</f>
        <v>45949.27593</v>
      </c>
      <c r="M976" s="1" t="str">
        <f>IFERROR(__xludf.DUMMYFUNCTION("""COMPUTED_VALUE"""),"RFID")</f>
        <v>RFID</v>
      </c>
      <c r="N976" s="5">
        <f>IFERROR(__xludf.DUMMYFUNCTION("""COMPUTED_VALUE"""),0.004755305555555556)</f>
        <v>0.004755305556</v>
      </c>
      <c r="O976" s="5" t="str">
        <f>IFERROR(__xludf.DUMMYFUNCTION("""COMPUTED_VALUE"""),"")</f>
        <v/>
      </c>
      <c r="P976" s="5" t="str">
        <f>IFERROR(__xludf.DUMMYFUNCTION("""COMPUTED_VALUE"""),"")</f>
        <v/>
      </c>
      <c r="Q976" s="5">
        <f>IFERROR(__xludf.DUMMYFUNCTION("""COMPUTED_VALUE"""),0.004197127314814815)</f>
        <v>0.004197127315</v>
      </c>
      <c r="R976" s="4">
        <f>IFERROR(__xludf.DUMMYFUNCTION("""COMPUTED_VALUE"""),45949.020985639574)</f>
        <v>45949.02099</v>
      </c>
      <c r="S976" s="1" t="b">
        <f>IFERROR(__xludf.DUMMYFUNCTION("""COMPUTED_VALUE"""),TRUE)</f>
        <v>1</v>
      </c>
      <c r="T976" s="1" t="b">
        <f>IFERROR(__xludf.DUMMYFUNCTION("""COMPUTED_VALUE"""),FALSE)</f>
        <v>0</v>
      </c>
      <c r="U976" s="1" t="str">
        <f>IFERROR(__xludf.DUMMYFUNCTION("""COMPUTED_VALUE"""),"VALID")</f>
        <v>VALID</v>
      </c>
      <c r="V976" s="1">
        <f>IFERROR(__xludf.DUMMYFUNCTION("""COMPUTED_VALUE"""),16.0)</f>
        <v>16</v>
      </c>
      <c r="W976" s="1">
        <f>IFERROR(__xludf.DUMMYFUNCTION("""COMPUTED_VALUE"""),144.0)</f>
        <v>144</v>
      </c>
      <c r="X976" s="1">
        <f>IFERROR(__xludf.DUMMYFUNCTION("""COMPUTED_VALUE"""),129.0)</f>
        <v>129</v>
      </c>
      <c r="Y976" s="2"/>
      <c r="Z976" s="2"/>
    </row>
    <row r="977">
      <c r="A977" s="1">
        <f>IFERROR(__xludf.DUMMYFUNCTION("""COMPUTED_VALUE"""),976.0)</f>
        <v>976</v>
      </c>
      <c r="B977" s="1">
        <f>IFERROR(__xludf.DUMMYFUNCTION("""COMPUTED_VALUE"""),7055.0)</f>
        <v>7055</v>
      </c>
      <c r="C977" s="2" t="str">
        <f>IFERROR(__xludf.DUMMYFUNCTION("""COMPUTED_VALUE"""),"Achiyar")</f>
        <v>Achiyar</v>
      </c>
      <c r="D977" s="2" t="str">
        <f>IFERROR(__xludf.DUMMYFUNCTION("""COMPUTED_VALUE"""),"5KM MASTER M")</f>
        <v>5KM MASTER M</v>
      </c>
      <c r="E977" s="1">
        <f>IFERROR(__xludf.DUMMYFUNCTION("""COMPUTED_VALUE"""),2.0)</f>
        <v>2</v>
      </c>
      <c r="F977" s="1" t="str">
        <f>IFERROR(__xludf.DUMMYFUNCTION("""COMPUTED_VALUE"""),"Male")</f>
        <v>Male</v>
      </c>
      <c r="G977" s="4" t="b">
        <f>IFERROR(__xludf.DUMMYFUNCTION("""COMPUTED_VALUE"""),TRUE)</f>
        <v>1</v>
      </c>
      <c r="H977" s="4" t="b">
        <f>IFERROR(__xludf.DUMMYFUNCTION("""COMPUTED_VALUE"""),FALSE)</f>
        <v>0</v>
      </c>
      <c r="I977" s="4">
        <f>IFERROR(__xludf.DUMMYFUNCTION("""COMPUTED_VALUE"""),0.2549440625)</f>
        <v>0.2549440625</v>
      </c>
      <c r="J977" s="4">
        <f>IFERROR(__xludf.DUMMYFUNCTION("""COMPUTED_VALUE"""),45949.27193297)</f>
        <v>45949.27193</v>
      </c>
      <c r="K977" s="4" t="str">
        <f>IFERROR(__xludf.DUMMYFUNCTION("""COMPUTED_VALUE"""),"")</f>
        <v/>
      </c>
      <c r="L977" s="4">
        <f>IFERROR(__xludf.DUMMYFUNCTION("""COMPUTED_VALUE"""),45949.284362679406)</f>
        <v>45949.28436</v>
      </c>
      <c r="M977" s="1" t="str">
        <f>IFERROR(__xludf.DUMMYFUNCTION("""COMPUTED_VALUE"""),"RFID")</f>
        <v>RFID</v>
      </c>
      <c r="N977" s="5">
        <f>IFERROR(__xludf.DUMMYFUNCTION("""COMPUTED_VALUE"""),0.006795564814814815)</f>
        <v>0.006795564815</v>
      </c>
      <c r="O977" s="5" t="str">
        <f>IFERROR(__xludf.DUMMYFUNCTION("""COMPUTED_VALUE"""),"")</f>
        <v/>
      </c>
      <c r="P977" s="5" t="str">
        <f>IFERROR(__xludf.DUMMYFUNCTION("""COMPUTED_VALUE"""),"")</f>
        <v/>
      </c>
      <c r="Q977" s="5">
        <f>IFERROR(__xludf.DUMMYFUNCTION("""COMPUTED_VALUE"""),0.005883724537037036)</f>
        <v>0.005883724537</v>
      </c>
      <c r="R977" s="4">
        <f>IFERROR(__xludf.DUMMYFUNCTION("""COMPUTED_VALUE"""),45949.029418616905)</f>
        <v>45949.02942</v>
      </c>
      <c r="S977" s="1" t="b">
        <f>IFERROR(__xludf.DUMMYFUNCTION("""COMPUTED_VALUE"""),TRUE)</f>
        <v>1</v>
      </c>
      <c r="T977" s="1" t="b">
        <f>IFERROR(__xludf.DUMMYFUNCTION("""COMPUTED_VALUE"""),FALSE)</f>
        <v>0</v>
      </c>
      <c r="U977" s="1" t="str">
        <f>IFERROR(__xludf.DUMMYFUNCTION("""COMPUTED_VALUE"""),"VALID")</f>
        <v>VALID</v>
      </c>
      <c r="V977" s="1">
        <f>IFERROR(__xludf.DUMMYFUNCTION("""COMPUTED_VALUE"""),51.0)</f>
        <v>51</v>
      </c>
      <c r="W977" s="1">
        <f>IFERROR(__xludf.DUMMYFUNCTION("""COMPUTED_VALUE"""),528.0)</f>
        <v>528</v>
      </c>
      <c r="X977" s="1">
        <f>IFERROR(__xludf.DUMMYFUNCTION("""COMPUTED_VALUE"""),456.0)</f>
        <v>456</v>
      </c>
      <c r="Y977" s="2"/>
      <c r="Z977" s="2"/>
    </row>
    <row r="978">
      <c r="A978" s="1">
        <f>IFERROR(__xludf.DUMMYFUNCTION("""COMPUTED_VALUE"""),977.0)</f>
        <v>977</v>
      </c>
      <c r="B978" s="1">
        <f>IFERROR(__xludf.DUMMYFUNCTION("""COMPUTED_VALUE"""),7056.0)</f>
        <v>7056</v>
      </c>
      <c r="C978" s="2" t="str">
        <f>IFERROR(__xludf.DUMMYFUNCTION("""COMPUTED_VALUE"""),"bramasto")</f>
        <v>bramasto</v>
      </c>
      <c r="D978" s="2" t="str">
        <f>IFERROR(__xludf.DUMMYFUNCTION("""COMPUTED_VALUE"""),"5KM MASTER M")</f>
        <v>5KM MASTER M</v>
      </c>
      <c r="E978" s="1">
        <f>IFERROR(__xludf.DUMMYFUNCTION("""COMPUTED_VALUE"""),2.0)</f>
        <v>2</v>
      </c>
      <c r="F978" s="1" t="str">
        <f>IFERROR(__xludf.DUMMYFUNCTION("""COMPUTED_VALUE"""),"Male")</f>
        <v>Male</v>
      </c>
      <c r="G978" s="4" t="b">
        <f>IFERROR(__xludf.DUMMYFUNCTION("""COMPUTED_VALUE"""),TRUE)</f>
        <v>1</v>
      </c>
      <c r="H978" s="4" t="b">
        <f>IFERROR(__xludf.DUMMYFUNCTION("""COMPUTED_VALUE"""),TRUE)</f>
        <v>1</v>
      </c>
      <c r="I978" s="4">
        <f>IFERROR(__xludf.DUMMYFUNCTION("""COMPUTED_VALUE"""),0.2549440625)</f>
        <v>0.2549440625</v>
      </c>
      <c r="J978" s="4">
        <f>IFERROR(__xludf.DUMMYFUNCTION("""COMPUTED_VALUE"""),45950.279699074075)</f>
        <v>45950.2797</v>
      </c>
      <c r="K978" s="4" t="str">
        <f>IFERROR(__xludf.DUMMYFUNCTION("""COMPUTED_VALUE"""),"")</f>
        <v/>
      </c>
      <c r="L978" s="4">
        <f>IFERROR(__xludf.DUMMYFUNCTION("""COMPUTED_VALUE"""),45949.29620642684)</f>
        <v>45949.29621</v>
      </c>
      <c r="M978" s="1" t="str">
        <f>IFERROR(__xludf.DUMMYFUNCTION("""COMPUTED_VALUE"""),"RFID")</f>
        <v>RFID</v>
      </c>
      <c r="N978" s="5">
        <f>IFERROR(__xludf.DUMMYFUNCTION("""COMPUTED_VALUE"""),0.009902004629629629)</f>
        <v>0.00990200463</v>
      </c>
      <c r="O978" s="5" t="str">
        <f>IFERROR(__xludf.DUMMYFUNCTION("""COMPUTED_VALUE"""),"")</f>
        <v/>
      </c>
      <c r="P978" s="5" t="str">
        <f>IFERROR(__xludf.DUMMYFUNCTION("""COMPUTED_VALUE"""),"")</f>
        <v/>
      </c>
      <c r="Q978" s="5">
        <f>IFERROR(__xludf.DUMMYFUNCTION("""COMPUTED_VALUE"""),0.008252472222222222)</f>
        <v>0.008252472222</v>
      </c>
      <c r="R978" s="4">
        <f>IFERROR(__xludf.DUMMYFUNCTION("""COMPUTED_VALUE"""),45949.04126236434)</f>
        <v>45949.04126</v>
      </c>
      <c r="S978" s="1" t="b">
        <f>IFERROR(__xludf.DUMMYFUNCTION("""COMPUTED_VALUE"""),TRUE)</f>
        <v>1</v>
      </c>
      <c r="T978" s="1" t="b">
        <f>IFERROR(__xludf.DUMMYFUNCTION("""COMPUTED_VALUE"""),FALSE)</f>
        <v>0</v>
      </c>
      <c r="U978" s="1" t="str">
        <f>IFERROR(__xludf.DUMMYFUNCTION("""COMPUTED_VALUE"""),"VALID")</f>
        <v>VALID</v>
      </c>
      <c r="V978" s="1">
        <f>IFERROR(__xludf.DUMMYFUNCTION("""COMPUTED_VALUE"""),91.0)</f>
        <v>91</v>
      </c>
      <c r="W978" s="1">
        <f>IFERROR(__xludf.DUMMYFUNCTION("""COMPUTED_VALUE"""),1298.0)</f>
        <v>1298</v>
      </c>
      <c r="X978" s="1">
        <f>IFERROR(__xludf.DUMMYFUNCTION("""COMPUTED_VALUE"""),1029.0)</f>
        <v>1029</v>
      </c>
      <c r="Y978" s="2"/>
      <c r="Z978" s="2" t="str">
        <f>IFERROR(__xludf.DUMMYFUNCTION("""COMPUTED_VALUE"""),"C")</f>
        <v>C</v>
      </c>
    </row>
    <row r="979">
      <c r="A979" s="1">
        <f>IFERROR(__xludf.DUMMYFUNCTION("""COMPUTED_VALUE"""),978.0)</f>
        <v>978</v>
      </c>
      <c r="B979" s="1">
        <f>IFERROR(__xludf.DUMMYFUNCTION("""COMPUTED_VALUE"""),7058.0)</f>
        <v>7058</v>
      </c>
      <c r="C979" s="2" t="str">
        <f>IFERROR(__xludf.DUMMYFUNCTION("""COMPUTED_VALUE"""),"RIZAL")</f>
        <v>RIZAL</v>
      </c>
      <c r="D979" s="2" t="str">
        <f>IFERROR(__xludf.DUMMYFUNCTION("""COMPUTED_VALUE"""),"5KM MASTER M")</f>
        <v>5KM MASTER M</v>
      </c>
      <c r="E979" s="1">
        <f>IFERROR(__xludf.DUMMYFUNCTION("""COMPUTED_VALUE"""),2.0)</f>
        <v>2</v>
      </c>
      <c r="F979" s="1" t="str">
        <f>IFERROR(__xludf.DUMMYFUNCTION("""COMPUTED_VALUE"""),"Male")</f>
        <v>Male</v>
      </c>
      <c r="G979" s="4" t="b">
        <f>IFERROR(__xludf.DUMMYFUNCTION("""COMPUTED_VALUE"""),TRUE)</f>
        <v>1</v>
      </c>
      <c r="H979" s="4" t="b">
        <f>IFERROR(__xludf.DUMMYFUNCTION("""COMPUTED_VALUE"""),FALSE)</f>
        <v>0</v>
      </c>
      <c r="I979" s="4">
        <f>IFERROR(__xludf.DUMMYFUNCTION("""COMPUTED_VALUE"""),0.2549440625)</f>
        <v>0.2549440625</v>
      </c>
      <c r="J979" s="4">
        <f>IFERROR(__xludf.DUMMYFUNCTION("""COMPUTED_VALUE"""),45949.26628017763)</f>
        <v>45949.26628</v>
      </c>
      <c r="K979" s="4" t="str">
        <f>IFERROR(__xludf.DUMMYFUNCTION("""COMPUTED_VALUE"""),"")</f>
        <v/>
      </c>
      <c r="L979" s="4">
        <f>IFERROR(__xludf.DUMMYFUNCTION("""COMPUTED_VALUE"""),45949.27516130965)</f>
        <v>45949.27516</v>
      </c>
      <c r="M979" s="1" t="str">
        <f>IFERROR(__xludf.DUMMYFUNCTION("""COMPUTED_VALUE"""),"RFID")</f>
        <v>RFID</v>
      </c>
      <c r="N979" s="5">
        <f>IFERROR(__xludf.DUMMYFUNCTION("""COMPUTED_VALUE"""),0.004534444444444444)</f>
        <v>0.004534444444</v>
      </c>
      <c r="O979" s="5" t="str">
        <f>IFERROR(__xludf.DUMMYFUNCTION("""COMPUTED_VALUE"""),"")</f>
        <v/>
      </c>
      <c r="P979" s="5" t="str">
        <f>IFERROR(__xludf.DUMMYFUNCTION("""COMPUTED_VALUE"""),"")</f>
        <v/>
      </c>
      <c r="Q979" s="5">
        <f>IFERROR(__xludf.DUMMYFUNCTION("""COMPUTED_VALUE"""),0.004043449074074074)</f>
        <v>0.004043449074</v>
      </c>
      <c r="R979" s="4">
        <f>IFERROR(__xludf.DUMMYFUNCTION("""COMPUTED_VALUE"""),45949.02021724715)</f>
        <v>45949.02022</v>
      </c>
      <c r="S979" s="1" t="b">
        <f>IFERROR(__xludf.DUMMYFUNCTION("""COMPUTED_VALUE"""),TRUE)</f>
        <v>1</v>
      </c>
      <c r="T979" s="1" t="b">
        <f>IFERROR(__xludf.DUMMYFUNCTION("""COMPUTED_VALUE"""),FALSE)</f>
        <v>0</v>
      </c>
      <c r="U979" s="1" t="str">
        <f>IFERROR(__xludf.DUMMYFUNCTION("""COMPUTED_VALUE"""),"VALID")</f>
        <v>VALID</v>
      </c>
      <c r="V979" s="1">
        <f>IFERROR(__xludf.DUMMYFUNCTION("""COMPUTED_VALUE"""),14.0)</f>
        <v>14</v>
      </c>
      <c r="W979" s="1">
        <f>IFERROR(__xludf.DUMMYFUNCTION("""COMPUTED_VALUE"""),120.0)</f>
        <v>120</v>
      </c>
      <c r="X979" s="1">
        <f>IFERROR(__xludf.DUMMYFUNCTION("""COMPUTED_VALUE"""),109.0)</f>
        <v>109</v>
      </c>
      <c r="Y979" s="2"/>
      <c r="Z979" s="2"/>
    </row>
    <row r="980">
      <c r="A980" s="1">
        <f>IFERROR(__xludf.DUMMYFUNCTION("""COMPUTED_VALUE"""),979.0)</f>
        <v>979</v>
      </c>
      <c r="B980" s="1">
        <f>IFERROR(__xludf.DUMMYFUNCTION("""COMPUTED_VALUE"""),7059.0)</f>
        <v>7059</v>
      </c>
      <c r="C980" s="2" t="str">
        <f>IFERROR(__xludf.DUMMYFUNCTION("""COMPUTED_VALUE"""),"JUNRANTAU")</f>
        <v>JUNRANTAU</v>
      </c>
      <c r="D980" s="2" t="str">
        <f>IFERROR(__xludf.DUMMYFUNCTION("""COMPUTED_VALUE"""),"5KM MASTER M")</f>
        <v>5KM MASTER M</v>
      </c>
      <c r="E980" s="1">
        <f>IFERROR(__xludf.DUMMYFUNCTION("""COMPUTED_VALUE"""),2.0)</f>
        <v>2</v>
      </c>
      <c r="F980" s="1" t="str">
        <f>IFERROR(__xludf.DUMMYFUNCTION("""COMPUTED_VALUE"""),"Male")</f>
        <v>Male</v>
      </c>
      <c r="G980" s="4" t="b">
        <f>IFERROR(__xludf.DUMMYFUNCTION("""COMPUTED_VALUE"""),TRUE)</f>
        <v>1</v>
      </c>
      <c r="H980" s="4" t="b">
        <f>IFERROR(__xludf.DUMMYFUNCTION("""COMPUTED_VALUE"""),TRUE)</f>
        <v>1</v>
      </c>
      <c r="I980" s="4">
        <f>IFERROR(__xludf.DUMMYFUNCTION("""COMPUTED_VALUE"""),0.2549440625)</f>
        <v>0.2549440625</v>
      </c>
      <c r="J980" s="4">
        <f>IFERROR(__xludf.DUMMYFUNCTION("""COMPUTED_VALUE"""),45949.272478083236)</f>
        <v>45949.27248</v>
      </c>
      <c r="K980" s="4" t="str">
        <f>IFERROR(__xludf.DUMMYFUNCTION("""COMPUTED_VALUE"""),"")</f>
        <v/>
      </c>
      <c r="L980" s="4">
        <f>IFERROR(__xludf.DUMMYFUNCTION("""COMPUTED_VALUE"""),45949.28791477371)</f>
        <v>45949.28791</v>
      </c>
      <c r="M980" s="1" t="str">
        <f>IFERROR(__xludf.DUMMYFUNCTION("""COMPUTED_VALUE"""),"RFID")</f>
        <v>RFID</v>
      </c>
      <c r="N980" s="5">
        <f>IFERROR(__xludf.DUMMYFUNCTION("""COMPUTED_VALUE"""),0.007013606481481483)</f>
        <v>0.007013606481</v>
      </c>
      <c r="O980" s="5" t="str">
        <f>IFERROR(__xludf.DUMMYFUNCTION("""COMPUTED_VALUE"""),"")</f>
        <v/>
      </c>
      <c r="P980" s="5" t="str">
        <f>IFERROR(__xludf.DUMMYFUNCTION("""COMPUTED_VALUE"""),"")</f>
        <v/>
      </c>
      <c r="Q980" s="5">
        <f>IFERROR(__xludf.DUMMYFUNCTION("""COMPUTED_VALUE"""),0.006594141203703703)</f>
        <v>0.006594141204</v>
      </c>
      <c r="R980" s="4">
        <f>IFERROR(__xludf.DUMMYFUNCTION("""COMPUTED_VALUE"""),45949.03297071121)</f>
        <v>45949.03297</v>
      </c>
      <c r="S980" s="1" t="b">
        <f>IFERROR(__xludf.DUMMYFUNCTION("""COMPUTED_VALUE"""),TRUE)</f>
        <v>1</v>
      </c>
      <c r="T980" s="1" t="b">
        <f>IFERROR(__xludf.DUMMYFUNCTION("""COMPUTED_VALUE"""),FALSE)</f>
        <v>0</v>
      </c>
      <c r="U980" s="1" t="str">
        <f>IFERROR(__xludf.DUMMYFUNCTION("""COMPUTED_VALUE"""),"VALID")</f>
        <v>VALID</v>
      </c>
      <c r="V980" s="1">
        <f>IFERROR(__xludf.DUMMYFUNCTION("""COMPUTED_VALUE"""),68.0)</f>
        <v>68</v>
      </c>
      <c r="W980" s="1">
        <f>IFERROR(__xludf.DUMMYFUNCTION("""COMPUTED_VALUE"""),773.0)</f>
        <v>773</v>
      </c>
      <c r="X980" s="1">
        <f>IFERROR(__xludf.DUMMYFUNCTION("""COMPUTED_VALUE"""),638.0)</f>
        <v>638</v>
      </c>
      <c r="Y980" s="2"/>
      <c r="Z980" s="2"/>
    </row>
    <row r="981">
      <c r="A981" s="1">
        <f>IFERROR(__xludf.DUMMYFUNCTION("""COMPUTED_VALUE"""),980.0)</f>
        <v>980</v>
      </c>
      <c r="B981" s="1">
        <f>IFERROR(__xludf.DUMMYFUNCTION("""COMPUTED_VALUE"""),7060.0)</f>
        <v>7060</v>
      </c>
      <c r="C981" s="2" t="str">
        <f>IFERROR(__xludf.DUMMYFUNCTION("""COMPUTED_VALUE"""),"pelari anomali")</f>
        <v>pelari anomali</v>
      </c>
      <c r="D981" s="2" t="str">
        <f>IFERROR(__xludf.DUMMYFUNCTION("""COMPUTED_VALUE"""),"5KM MASTER M")</f>
        <v>5KM MASTER M</v>
      </c>
      <c r="E981" s="1">
        <f>IFERROR(__xludf.DUMMYFUNCTION("""COMPUTED_VALUE"""),2.0)</f>
        <v>2</v>
      </c>
      <c r="F981" s="1" t="str">
        <f>IFERROR(__xludf.DUMMYFUNCTION("""COMPUTED_VALUE"""),"Male")</f>
        <v>Male</v>
      </c>
      <c r="G981" s="4" t="b">
        <f>IFERROR(__xludf.DUMMYFUNCTION("""COMPUTED_VALUE"""),TRUE)</f>
        <v>1</v>
      </c>
      <c r="H981" s="4" t="b">
        <f>IFERROR(__xludf.DUMMYFUNCTION("""COMPUTED_VALUE"""),FALSE)</f>
        <v>0</v>
      </c>
      <c r="I981" s="4">
        <f>IFERROR(__xludf.DUMMYFUNCTION("""COMPUTED_VALUE"""),0.2549440625)</f>
        <v>0.2549440625</v>
      </c>
      <c r="J981" s="4">
        <f>IFERROR(__xludf.DUMMYFUNCTION("""COMPUTED_VALUE"""),45949.26582187873)</f>
        <v>45949.26582</v>
      </c>
      <c r="K981" s="4" t="str">
        <f>IFERROR(__xludf.DUMMYFUNCTION("""COMPUTED_VALUE"""),"")</f>
        <v/>
      </c>
      <c r="L981" s="4">
        <f>IFERROR(__xludf.DUMMYFUNCTION("""COMPUTED_VALUE"""),45949.27479322752)</f>
        <v>45949.27479</v>
      </c>
      <c r="M981" s="1" t="str">
        <f>IFERROR(__xludf.DUMMYFUNCTION("""COMPUTED_VALUE"""),"RFID")</f>
        <v>RFID</v>
      </c>
      <c r="N981" s="5">
        <f>IFERROR(__xludf.DUMMYFUNCTION("""COMPUTED_VALUE"""),0.004351125)</f>
        <v>0.004351125</v>
      </c>
      <c r="O981" s="5" t="str">
        <f>IFERROR(__xludf.DUMMYFUNCTION("""COMPUTED_VALUE"""),"")</f>
        <v/>
      </c>
      <c r="P981" s="5" t="str">
        <f>IFERROR(__xludf.DUMMYFUNCTION("""COMPUTED_VALUE"""),"")</f>
        <v/>
      </c>
      <c r="Q981" s="5">
        <f>IFERROR(__xludf.DUMMYFUNCTION("""COMPUTED_VALUE"""),0.003969833333333334)</f>
        <v>0.003969833333</v>
      </c>
      <c r="R981" s="4">
        <f>IFERROR(__xludf.DUMMYFUNCTION("""COMPUTED_VALUE"""),45949.01984916502)</f>
        <v>45949.01985</v>
      </c>
      <c r="S981" s="1" t="b">
        <f>IFERROR(__xludf.DUMMYFUNCTION("""COMPUTED_VALUE"""),TRUE)</f>
        <v>1</v>
      </c>
      <c r="T981" s="1" t="b">
        <f>IFERROR(__xludf.DUMMYFUNCTION("""COMPUTED_VALUE"""),FALSE)</f>
        <v>0</v>
      </c>
      <c r="U981" s="1" t="str">
        <f>IFERROR(__xludf.DUMMYFUNCTION("""COMPUTED_VALUE"""),"VALID")</f>
        <v>VALID</v>
      </c>
      <c r="V981" s="1">
        <f>IFERROR(__xludf.DUMMYFUNCTION("""COMPUTED_VALUE"""),11.0)</f>
        <v>11</v>
      </c>
      <c r="W981" s="1">
        <f>IFERROR(__xludf.DUMMYFUNCTION("""COMPUTED_VALUE"""),113.0)</f>
        <v>113</v>
      </c>
      <c r="X981" s="1">
        <f>IFERROR(__xludf.DUMMYFUNCTION("""COMPUTED_VALUE"""),102.0)</f>
        <v>102</v>
      </c>
      <c r="Y981" s="2"/>
      <c r="Z981" s="2"/>
    </row>
    <row r="982">
      <c r="A982" s="1">
        <f>IFERROR(__xludf.DUMMYFUNCTION("""COMPUTED_VALUE"""),981.0)</f>
        <v>981</v>
      </c>
      <c r="B982" s="1">
        <f>IFERROR(__xludf.DUMMYFUNCTION("""COMPUTED_VALUE"""),7062.0)</f>
        <v>7062</v>
      </c>
      <c r="C982" s="2" t="str">
        <f>IFERROR(__xludf.DUMMYFUNCTION("""COMPUTED_VALUE"""),"DWIYANA SULISYANTO")</f>
        <v>DWIYANA SULISYANTO</v>
      </c>
      <c r="D982" s="2" t="str">
        <f>IFERROR(__xludf.DUMMYFUNCTION("""COMPUTED_VALUE"""),"5KM MASTER M")</f>
        <v>5KM MASTER M</v>
      </c>
      <c r="E982" s="1">
        <f>IFERROR(__xludf.DUMMYFUNCTION("""COMPUTED_VALUE"""),2.0)</f>
        <v>2</v>
      </c>
      <c r="F982" s="1" t="str">
        <f>IFERROR(__xludf.DUMMYFUNCTION("""COMPUTED_VALUE"""),"Male")</f>
        <v>Male</v>
      </c>
      <c r="G982" s="4" t="str">
        <f>IFERROR(__xludf.DUMMYFUNCTION("""COMPUTED_VALUE"""),"")</f>
        <v/>
      </c>
      <c r="H982" s="4" t="b">
        <f>IFERROR(__xludf.DUMMYFUNCTION("""COMPUTED_VALUE"""),FALSE)</f>
        <v>0</v>
      </c>
      <c r="I982" s="4">
        <f>IFERROR(__xludf.DUMMYFUNCTION("""COMPUTED_VALUE"""),0.2549440625)</f>
        <v>0.2549440625</v>
      </c>
      <c r="J982" s="4" t="str">
        <f>IFERROR(__xludf.DUMMYFUNCTION("""COMPUTED_VALUE"""),"")</f>
        <v/>
      </c>
      <c r="K982" s="4" t="str">
        <f>IFERROR(__xludf.DUMMYFUNCTION("""COMPUTED_VALUE"""),"")</f>
        <v/>
      </c>
      <c r="L982" s="4" t="str">
        <f>IFERROR(__xludf.DUMMYFUNCTION("""COMPUTED_VALUE"""),"")</f>
        <v/>
      </c>
      <c r="M982" s="1" t="str">
        <f>IFERROR(__xludf.DUMMYFUNCTION("""COMPUTED_VALUE"""),"RFID")</f>
        <v>RFID</v>
      </c>
      <c r="N982" s="5" t="str">
        <f>IFERROR(__xludf.DUMMYFUNCTION("""COMPUTED_VALUE"""),"")</f>
        <v/>
      </c>
      <c r="O982" s="5" t="str">
        <f>IFERROR(__xludf.DUMMYFUNCTION("""COMPUTED_VALUE"""),"")</f>
        <v/>
      </c>
      <c r="P982" s="5" t="str">
        <f>IFERROR(__xludf.DUMMYFUNCTION("""COMPUTED_VALUE"""),"")</f>
        <v/>
      </c>
      <c r="Q982" s="5" t="str">
        <f>IFERROR(__xludf.DUMMYFUNCTION("""COMPUTED_VALUE"""),"")</f>
        <v/>
      </c>
      <c r="R982" s="4" t="str">
        <f>IFERROR(__xludf.DUMMYFUNCTION("""COMPUTED_VALUE"""),"")</f>
        <v/>
      </c>
      <c r="S982" s="1" t="b">
        <f>IFERROR(__xludf.DUMMYFUNCTION("""COMPUTED_VALUE"""),FALSE)</f>
        <v>0</v>
      </c>
      <c r="T982" s="1" t="b">
        <f>IFERROR(__xludf.DUMMYFUNCTION("""COMPUTED_VALUE"""),FALSE)</f>
        <v>0</v>
      </c>
      <c r="U982" s="1" t="str">
        <f>IFERROR(__xludf.DUMMYFUNCTION("""COMPUTED_VALUE"""),"DSQ")</f>
        <v>DSQ</v>
      </c>
      <c r="V982" s="1" t="str">
        <f>IFERROR(__xludf.DUMMYFUNCTION("""COMPUTED_VALUE"""),"DSQ")</f>
        <v>DSQ</v>
      </c>
      <c r="W982" s="1" t="str">
        <f>IFERROR(__xludf.DUMMYFUNCTION("""COMPUTED_VALUE"""),"DSQ")</f>
        <v>DSQ</v>
      </c>
      <c r="X982" s="1" t="str">
        <f>IFERROR(__xludf.DUMMYFUNCTION("""COMPUTED_VALUE"""),"DSQ")</f>
        <v>DSQ</v>
      </c>
      <c r="Y982" s="2"/>
      <c r="Z982" s="2" t="str">
        <f>IFERROR(__xludf.DUMMYFUNCTION("""COMPUTED_VALUE"""),"")</f>
        <v/>
      </c>
    </row>
    <row r="983">
      <c r="A983" s="1">
        <f>IFERROR(__xludf.DUMMYFUNCTION("""COMPUTED_VALUE"""),982.0)</f>
        <v>982</v>
      </c>
      <c r="B983" s="1">
        <f>IFERROR(__xludf.DUMMYFUNCTION("""COMPUTED_VALUE"""),7064.0)</f>
        <v>7064</v>
      </c>
      <c r="C983" s="2" t="str">
        <f>IFERROR(__xludf.DUMMYFUNCTION("""COMPUTED_VALUE"""),"pran")</f>
        <v>pran</v>
      </c>
      <c r="D983" s="2" t="str">
        <f>IFERROR(__xludf.DUMMYFUNCTION("""COMPUTED_VALUE"""),"5KM MASTER M")</f>
        <v>5KM MASTER M</v>
      </c>
      <c r="E983" s="1">
        <f>IFERROR(__xludf.DUMMYFUNCTION("""COMPUTED_VALUE"""),2.0)</f>
        <v>2</v>
      </c>
      <c r="F983" s="1" t="str">
        <f>IFERROR(__xludf.DUMMYFUNCTION("""COMPUTED_VALUE"""),"Male")</f>
        <v>Male</v>
      </c>
      <c r="G983" s="4" t="b">
        <f>IFERROR(__xludf.DUMMYFUNCTION("""COMPUTED_VALUE"""),TRUE)</f>
        <v>1</v>
      </c>
      <c r="H983" s="4" t="b">
        <f>IFERROR(__xludf.DUMMYFUNCTION("""COMPUTED_VALUE"""),TRUE)</f>
        <v>1</v>
      </c>
      <c r="I983" s="4">
        <f>IFERROR(__xludf.DUMMYFUNCTION("""COMPUTED_VALUE"""),0.2549440625)</f>
        <v>0.2549440625</v>
      </c>
      <c r="J983" s="4">
        <f>IFERROR(__xludf.DUMMYFUNCTION("""COMPUTED_VALUE"""),45949.26639477423)</f>
        <v>45949.26639</v>
      </c>
      <c r="K983" s="4" t="str">
        <f>IFERROR(__xludf.DUMMYFUNCTION("""COMPUTED_VALUE"""),"")</f>
        <v/>
      </c>
      <c r="L983" s="4">
        <f>IFERROR(__xludf.DUMMYFUNCTION("""COMPUTED_VALUE"""),45949.27379433308)</f>
        <v>45949.27379</v>
      </c>
      <c r="M983" s="1" t="str">
        <f>IFERROR(__xludf.DUMMYFUNCTION("""COMPUTED_VALUE"""),"RFID")</f>
        <v>RFID</v>
      </c>
      <c r="N983" s="5">
        <f>IFERROR(__xludf.DUMMYFUNCTION("""COMPUTED_VALUE"""),0.004580282407407407)</f>
        <v>0.004580282407</v>
      </c>
      <c r="O983" s="5" t="str">
        <f>IFERROR(__xludf.DUMMYFUNCTION("""COMPUTED_VALUE"""),"")</f>
        <v/>
      </c>
      <c r="P983" s="5" t="str">
        <f>IFERROR(__xludf.DUMMYFUNCTION("""COMPUTED_VALUE"""),"")</f>
        <v/>
      </c>
      <c r="Q983" s="5">
        <f>IFERROR(__xludf.DUMMYFUNCTION("""COMPUTED_VALUE"""),0.003770053240740741)</f>
        <v>0.003770053241</v>
      </c>
      <c r="R983" s="4">
        <f>IFERROR(__xludf.DUMMYFUNCTION("""COMPUTED_VALUE"""),45949.01885027058)</f>
        <v>45949.01885</v>
      </c>
      <c r="S983" s="1" t="b">
        <f>IFERROR(__xludf.DUMMYFUNCTION("""COMPUTED_VALUE"""),TRUE)</f>
        <v>1</v>
      </c>
      <c r="T983" s="1" t="b">
        <f>IFERROR(__xludf.DUMMYFUNCTION("""COMPUTED_VALUE"""),FALSE)</f>
        <v>0</v>
      </c>
      <c r="U983" s="1" t="str">
        <f>IFERROR(__xludf.DUMMYFUNCTION("""COMPUTED_VALUE"""),"VALID")</f>
        <v>VALID</v>
      </c>
      <c r="V983" s="1">
        <f>IFERROR(__xludf.DUMMYFUNCTION("""COMPUTED_VALUE"""),8.0)</f>
        <v>8</v>
      </c>
      <c r="W983" s="1">
        <f>IFERROR(__xludf.DUMMYFUNCTION("""COMPUTED_VALUE"""),80.0)</f>
        <v>80</v>
      </c>
      <c r="X983" s="1">
        <f>IFERROR(__xludf.DUMMYFUNCTION("""COMPUTED_VALUE"""),73.0)</f>
        <v>73</v>
      </c>
      <c r="Y983" s="2"/>
      <c r="Z983" s="2"/>
    </row>
    <row r="984">
      <c r="A984" s="1">
        <f>IFERROR(__xludf.DUMMYFUNCTION("""COMPUTED_VALUE"""),983.0)</f>
        <v>983</v>
      </c>
      <c r="B984" s="1">
        <f>IFERROR(__xludf.DUMMYFUNCTION("""COMPUTED_VALUE"""),7068.0)</f>
        <v>7068</v>
      </c>
      <c r="C984" s="2" t="str">
        <f>IFERROR(__xludf.DUMMYFUNCTION("""COMPUTED_VALUE"""),"Thomas")</f>
        <v>Thomas</v>
      </c>
      <c r="D984" s="2" t="str">
        <f>IFERROR(__xludf.DUMMYFUNCTION("""COMPUTED_VALUE"""),"5KM MASTER M")</f>
        <v>5KM MASTER M</v>
      </c>
      <c r="E984" s="1">
        <f>IFERROR(__xludf.DUMMYFUNCTION("""COMPUTED_VALUE"""),2.0)</f>
        <v>2</v>
      </c>
      <c r="F984" s="1" t="str">
        <f>IFERROR(__xludf.DUMMYFUNCTION("""COMPUTED_VALUE"""),"Male")</f>
        <v>Male</v>
      </c>
      <c r="G984" s="4" t="b">
        <f>IFERROR(__xludf.DUMMYFUNCTION("""COMPUTED_VALUE"""),TRUE)</f>
        <v>1</v>
      </c>
      <c r="H984" s="4" t="b">
        <f>IFERROR(__xludf.DUMMYFUNCTION("""COMPUTED_VALUE"""),FALSE)</f>
        <v>0</v>
      </c>
      <c r="I984" s="4">
        <f>IFERROR(__xludf.DUMMYFUNCTION("""COMPUTED_VALUE"""),0.2549440625)</f>
        <v>0.2549440625</v>
      </c>
      <c r="J984" s="4">
        <f>IFERROR(__xludf.DUMMYFUNCTION("""COMPUTED_VALUE"""),45949.27383571544)</f>
        <v>45949.27384</v>
      </c>
      <c r="K984" s="4" t="str">
        <f>IFERROR(__xludf.DUMMYFUNCTION("""COMPUTED_VALUE"""),"")</f>
        <v/>
      </c>
      <c r="L984" s="4">
        <f>IFERROR(__xludf.DUMMYFUNCTION("""COMPUTED_VALUE"""),45949.287758451705)</f>
        <v>45949.28776</v>
      </c>
      <c r="M984" s="1" t="str">
        <f>IFERROR(__xludf.DUMMYFUNCTION("""COMPUTED_VALUE"""),"RFID")</f>
        <v>RFID</v>
      </c>
      <c r="N984" s="5">
        <f>IFERROR(__xludf.DUMMYFUNCTION("""COMPUTED_VALUE"""),0.007556662037037037)</f>
        <v>0.007556662037</v>
      </c>
      <c r="O984" s="5" t="str">
        <f>IFERROR(__xludf.DUMMYFUNCTION("""COMPUTED_VALUE"""),"")</f>
        <v/>
      </c>
      <c r="P984" s="5" t="str">
        <f>IFERROR(__xludf.DUMMYFUNCTION("""COMPUTED_VALUE"""),"")</f>
        <v/>
      </c>
      <c r="Q984" s="5">
        <f>IFERROR(__xludf.DUMMYFUNCTION("""COMPUTED_VALUE"""),0.006562877314814815)</f>
        <v>0.006562877315</v>
      </c>
      <c r="R984" s="4">
        <f>IFERROR(__xludf.DUMMYFUNCTION("""COMPUTED_VALUE"""),45949.032814389204)</f>
        <v>45949.03281</v>
      </c>
      <c r="S984" s="1" t="b">
        <f>IFERROR(__xludf.DUMMYFUNCTION("""COMPUTED_VALUE"""),TRUE)</f>
        <v>1</v>
      </c>
      <c r="T984" s="1" t="b">
        <f>IFERROR(__xludf.DUMMYFUNCTION("""COMPUTED_VALUE"""),FALSE)</f>
        <v>0</v>
      </c>
      <c r="U984" s="1" t="str">
        <f>IFERROR(__xludf.DUMMYFUNCTION("""COMPUTED_VALUE"""),"VALID")</f>
        <v>VALID</v>
      </c>
      <c r="V984" s="1">
        <f>IFERROR(__xludf.DUMMYFUNCTION("""COMPUTED_VALUE"""),66.0)</f>
        <v>66</v>
      </c>
      <c r="W984" s="1">
        <f>IFERROR(__xludf.DUMMYFUNCTION("""COMPUTED_VALUE"""),755.0)</f>
        <v>755</v>
      </c>
      <c r="X984" s="1">
        <f>IFERROR(__xludf.DUMMYFUNCTION("""COMPUTED_VALUE"""),627.0)</f>
        <v>627</v>
      </c>
      <c r="Y984" s="2"/>
      <c r="Z984" s="2"/>
    </row>
    <row r="985">
      <c r="A985" s="1">
        <f>IFERROR(__xludf.DUMMYFUNCTION("""COMPUTED_VALUE"""),984.0)</f>
        <v>984</v>
      </c>
      <c r="B985" s="1">
        <f>IFERROR(__xludf.DUMMYFUNCTION("""COMPUTED_VALUE"""),7069.0)</f>
        <v>7069</v>
      </c>
      <c r="C985" s="2" t="str">
        <f>IFERROR(__xludf.DUMMYFUNCTION("""COMPUTED_VALUE"""),"Bustanul A.")</f>
        <v>Bustanul A.</v>
      </c>
      <c r="D985" s="2" t="str">
        <f>IFERROR(__xludf.DUMMYFUNCTION("""COMPUTED_VALUE"""),"5KM MASTER M")</f>
        <v>5KM MASTER M</v>
      </c>
      <c r="E985" s="1">
        <f>IFERROR(__xludf.DUMMYFUNCTION("""COMPUTED_VALUE"""),2.0)</f>
        <v>2</v>
      </c>
      <c r="F985" s="1" t="str">
        <f>IFERROR(__xludf.DUMMYFUNCTION("""COMPUTED_VALUE"""),"Male")</f>
        <v>Male</v>
      </c>
      <c r="G985" s="4" t="str">
        <f>IFERROR(__xludf.DUMMYFUNCTION("""COMPUTED_VALUE"""),"")</f>
        <v/>
      </c>
      <c r="H985" s="4" t="b">
        <f>IFERROR(__xludf.DUMMYFUNCTION("""COMPUTED_VALUE"""),FALSE)</f>
        <v>0</v>
      </c>
      <c r="I985" s="4">
        <f>IFERROR(__xludf.DUMMYFUNCTION("""COMPUTED_VALUE"""),0.2549440625)</f>
        <v>0.2549440625</v>
      </c>
      <c r="J985" s="4" t="str">
        <f>IFERROR(__xludf.DUMMYFUNCTION("""COMPUTED_VALUE"""),"")</f>
        <v/>
      </c>
      <c r="K985" s="4" t="str">
        <f>IFERROR(__xludf.DUMMYFUNCTION("""COMPUTED_VALUE"""),"")</f>
        <v/>
      </c>
      <c r="L985" s="4" t="str">
        <f>IFERROR(__xludf.DUMMYFUNCTION("""COMPUTED_VALUE"""),"")</f>
        <v/>
      </c>
      <c r="M985" s="1" t="str">
        <f>IFERROR(__xludf.DUMMYFUNCTION("""COMPUTED_VALUE"""),"RFID")</f>
        <v>RFID</v>
      </c>
      <c r="N985" s="5" t="str">
        <f>IFERROR(__xludf.DUMMYFUNCTION("""COMPUTED_VALUE"""),"")</f>
        <v/>
      </c>
      <c r="O985" s="5" t="str">
        <f>IFERROR(__xludf.DUMMYFUNCTION("""COMPUTED_VALUE"""),"")</f>
        <v/>
      </c>
      <c r="P985" s="5" t="str">
        <f>IFERROR(__xludf.DUMMYFUNCTION("""COMPUTED_VALUE"""),"")</f>
        <v/>
      </c>
      <c r="Q985" s="5" t="str">
        <f>IFERROR(__xludf.DUMMYFUNCTION("""COMPUTED_VALUE"""),"")</f>
        <v/>
      </c>
      <c r="R985" s="4" t="str">
        <f>IFERROR(__xludf.DUMMYFUNCTION("""COMPUTED_VALUE"""),"")</f>
        <v/>
      </c>
      <c r="S985" s="1" t="b">
        <f>IFERROR(__xludf.DUMMYFUNCTION("""COMPUTED_VALUE"""),FALSE)</f>
        <v>0</v>
      </c>
      <c r="T985" s="1" t="b">
        <f>IFERROR(__xludf.DUMMYFUNCTION("""COMPUTED_VALUE"""),FALSE)</f>
        <v>0</v>
      </c>
      <c r="U985" s="1" t="str">
        <f>IFERROR(__xludf.DUMMYFUNCTION("""COMPUTED_VALUE"""),"DSQ")</f>
        <v>DSQ</v>
      </c>
      <c r="V985" s="1" t="str">
        <f>IFERROR(__xludf.DUMMYFUNCTION("""COMPUTED_VALUE"""),"DSQ")</f>
        <v>DSQ</v>
      </c>
      <c r="W985" s="1" t="str">
        <f>IFERROR(__xludf.DUMMYFUNCTION("""COMPUTED_VALUE"""),"DSQ")</f>
        <v>DSQ</v>
      </c>
      <c r="X985" s="1" t="str">
        <f>IFERROR(__xludf.DUMMYFUNCTION("""COMPUTED_VALUE"""),"DSQ")</f>
        <v>DSQ</v>
      </c>
      <c r="Y985" s="2"/>
      <c r="Z985" s="2" t="str">
        <f>IFERROR(__xludf.DUMMYFUNCTION("""COMPUTED_VALUE"""),"")</f>
        <v/>
      </c>
    </row>
    <row r="986">
      <c r="A986" s="1">
        <f>IFERROR(__xludf.DUMMYFUNCTION("""COMPUTED_VALUE"""),985.0)</f>
        <v>985</v>
      </c>
      <c r="B986" s="1">
        <f>IFERROR(__xludf.DUMMYFUNCTION("""COMPUTED_VALUE"""),7070.0)</f>
        <v>7070</v>
      </c>
      <c r="C986" s="2" t="str">
        <f>IFERROR(__xludf.DUMMYFUNCTION("""COMPUTED_VALUE"""),"I'ONE""S")</f>
        <v>I'ONE"S</v>
      </c>
      <c r="D986" s="2" t="str">
        <f>IFERROR(__xludf.DUMMYFUNCTION("""COMPUTED_VALUE"""),"5KM MASTER M")</f>
        <v>5KM MASTER M</v>
      </c>
      <c r="E986" s="1">
        <f>IFERROR(__xludf.DUMMYFUNCTION("""COMPUTED_VALUE"""),2.0)</f>
        <v>2</v>
      </c>
      <c r="F986" s="1" t="str">
        <f>IFERROR(__xludf.DUMMYFUNCTION("""COMPUTED_VALUE"""),"Male")</f>
        <v>Male</v>
      </c>
      <c r="G986" s="4" t="b">
        <f>IFERROR(__xludf.DUMMYFUNCTION("""COMPUTED_VALUE"""),TRUE)</f>
        <v>1</v>
      </c>
      <c r="H986" s="4" t="b">
        <f>IFERROR(__xludf.DUMMYFUNCTION("""COMPUTED_VALUE"""),TRUE)</f>
        <v>1</v>
      </c>
      <c r="I986" s="4">
        <f>IFERROR(__xludf.DUMMYFUNCTION("""COMPUTED_VALUE"""),0.2549440625)</f>
        <v>0.2549440625</v>
      </c>
      <c r="J986" s="4">
        <f>IFERROR(__xludf.DUMMYFUNCTION("""COMPUTED_VALUE"""),45949.27789823761)</f>
        <v>45949.2779</v>
      </c>
      <c r="K986" s="4" t="str">
        <f>IFERROR(__xludf.DUMMYFUNCTION("""COMPUTED_VALUE"""),"")</f>
        <v/>
      </c>
      <c r="L986" s="4">
        <f>IFERROR(__xludf.DUMMYFUNCTION("""COMPUTED_VALUE"""),45949.29281053528)</f>
        <v>45949.29281</v>
      </c>
      <c r="M986" s="1" t="str">
        <f>IFERROR(__xludf.DUMMYFUNCTION("""COMPUTED_VALUE"""),"RFID")</f>
        <v>RFID</v>
      </c>
      <c r="N986" s="5">
        <f>IFERROR(__xludf.DUMMYFUNCTION("""COMPUTED_VALUE"""),0.009181671296296297)</f>
        <v>0.009181671296</v>
      </c>
      <c r="O986" s="5" t="str">
        <f>IFERROR(__xludf.DUMMYFUNCTION("""COMPUTED_VALUE"""),"")</f>
        <v/>
      </c>
      <c r="P986" s="5" t="str">
        <f>IFERROR(__xludf.DUMMYFUNCTION("""COMPUTED_VALUE"""),"")</f>
        <v/>
      </c>
      <c r="Q986" s="5">
        <f>IFERROR(__xludf.DUMMYFUNCTION("""COMPUTED_VALUE"""),0.007573293981481481)</f>
        <v>0.007573293981</v>
      </c>
      <c r="R986" s="4">
        <f>IFERROR(__xludf.DUMMYFUNCTION("""COMPUTED_VALUE"""),45949.037866472776)</f>
        <v>45949.03787</v>
      </c>
      <c r="S986" s="1" t="b">
        <f>IFERROR(__xludf.DUMMYFUNCTION("""COMPUTED_VALUE"""),TRUE)</f>
        <v>1</v>
      </c>
      <c r="T986" s="1" t="b">
        <f>IFERROR(__xludf.DUMMYFUNCTION("""COMPUTED_VALUE"""),FALSE)</f>
        <v>0</v>
      </c>
      <c r="U986" s="1" t="str">
        <f>IFERROR(__xludf.DUMMYFUNCTION("""COMPUTED_VALUE"""),"VALID")</f>
        <v>VALID</v>
      </c>
      <c r="V986" s="1">
        <f>IFERROR(__xludf.DUMMYFUNCTION("""COMPUTED_VALUE"""),82.0)</f>
        <v>82</v>
      </c>
      <c r="W986" s="1">
        <f>IFERROR(__xludf.DUMMYFUNCTION("""COMPUTED_VALUE"""),1093.0)</f>
        <v>1093</v>
      </c>
      <c r="X986" s="1">
        <f>IFERROR(__xludf.DUMMYFUNCTION("""COMPUTED_VALUE"""),868.0)</f>
        <v>868</v>
      </c>
      <c r="Y986" s="2"/>
      <c r="Z986" s="2"/>
    </row>
    <row r="987">
      <c r="A987" s="1">
        <f>IFERROR(__xludf.DUMMYFUNCTION("""COMPUTED_VALUE"""),986.0)</f>
        <v>986</v>
      </c>
      <c r="B987" s="1">
        <f>IFERROR(__xludf.DUMMYFUNCTION("""COMPUTED_VALUE"""),7071.0)</f>
        <v>7071</v>
      </c>
      <c r="C987" s="2" t="str">
        <f>IFERROR(__xludf.DUMMYFUNCTION("""COMPUTED_VALUE"""),"Nuryanto")</f>
        <v>Nuryanto</v>
      </c>
      <c r="D987" s="2" t="str">
        <f>IFERROR(__xludf.DUMMYFUNCTION("""COMPUTED_VALUE"""),"5KM MASTER M")</f>
        <v>5KM MASTER M</v>
      </c>
      <c r="E987" s="1">
        <f>IFERROR(__xludf.DUMMYFUNCTION("""COMPUTED_VALUE"""),2.0)</f>
        <v>2</v>
      </c>
      <c r="F987" s="1" t="str">
        <f>IFERROR(__xludf.DUMMYFUNCTION("""COMPUTED_VALUE"""),"Male")</f>
        <v>Male</v>
      </c>
      <c r="G987" s="4" t="b">
        <f>IFERROR(__xludf.DUMMYFUNCTION("""COMPUTED_VALUE"""),TRUE)</f>
        <v>1</v>
      </c>
      <c r="H987" s="4" t="b">
        <f>IFERROR(__xludf.DUMMYFUNCTION("""COMPUTED_VALUE"""),FALSE)</f>
        <v>0</v>
      </c>
      <c r="I987" s="4">
        <f>IFERROR(__xludf.DUMMYFUNCTION("""COMPUTED_VALUE"""),0.2549440625)</f>
        <v>0.2549440625</v>
      </c>
      <c r="J987" s="4">
        <f>IFERROR(__xludf.DUMMYFUNCTION("""COMPUTED_VALUE"""),45949.27352328683)</f>
        <v>45949.27352</v>
      </c>
      <c r="K987" s="4" t="str">
        <f>IFERROR(__xludf.DUMMYFUNCTION("""COMPUTED_VALUE"""),"")</f>
        <v/>
      </c>
      <c r="L987" s="4">
        <f>IFERROR(__xludf.DUMMYFUNCTION("""COMPUTED_VALUE"""),45949.2860016738)</f>
        <v>45949.286</v>
      </c>
      <c r="M987" s="1" t="str">
        <f>IFERROR(__xludf.DUMMYFUNCTION("""COMPUTED_VALUE"""),"RFID")</f>
        <v>RFID</v>
      </c>
      <c r="N987" s="5">
        <f>IFERROR(__xludf.DUMMYFUNCTION("""COMPUTED_VALUE"""),0.007431689814814814)</f>
        <v>0.007431689815</v>
      </c>
      <c r="O987" s="5" t="str">
        <f>IFERROR(__xludf.DUMMYFUNCTION("""COMPUTED_VALUE"""),"")</f>
        <v/>
      </c>
      <c r="P987" s="5" t="str">
        <f>IFERROR(__xludf.DUMMYFUNCTION("""COMPUTED_VALUE"""),"")</f>
        <v/>
      </c>
      <c r="Q987" s="5">
        <f>IFERROR(__xludf.DUMMYFUNCTION("""COMPUTED_VALUE"""),0.006211523148148148)</f>
        <v>0.006211523148</v>
      </c>
      <c r="R987" s="4">
        <f>IFERROR(__xludf.DUMMYFUNCTION("""COMPUTED_VALUE"""),45949.0310576113)</f>
        <v>45949.03106</v>
      </c>
      <c r="S987" s="1" t="b">
        <f>IFERROR(__xludf.DUMMYFUNCTION("""COMPUTED_VALUE"""),TRUE)</f>
        <v>1</v>
      </c>
      <c r="T987" s="1" t="b">
        <f>IFERROR(__xludf.DUMMYFUNCTION("""COMPUTED_VALUE"""),FALSE)</f>
        <v>0</v>
      </c>
      <c r="U987" s="1" t="str">
        <f>IFERROR(__xludf.DUMMYFUNCTION("""COMPUTED_VALUE"""),"VALID")</f>
        <v>VALID</v>
      </c>
      <c r="V987" s="1">
        <f>IFERROR(__xludf.DUMMYFUNCTION("""COMPUTED_VALUE"""),58.0)</f>
        <v>58</v>
      </c>
      <c r="W987" s="1">
        <f>IFERROR(__xludf.DUMMYFUNCTION("""COMPUTED_VALUE"""),637.0)</f>
        <v>637</v>
      </c>
      <c r="X987" s="1">
        <f>IFERROR(__xludf.DUMMYFUNCTION("""COMPUTED_VALUE"""),532.0)</f>
        <v>532</v>
      </c>
      <c r="Y987" s="2"/>
      <c r="Z987" s="2"/>
    </row>
    <row r="988">
      <c r="A988" s="1">
        <f>IFERROR(__xludf.DUMMYFUNCTION("""COMPUTED_VALUE"""),987.0)</f>
        <v>987</v>
      </c>
      <c r="B988" s="1">
        <f>IFERROR(__xludf.DUMMYFUNCTION("""COMPUTED_VALUE"""),7072.0)</f>
        <v>7072</v>
      </c>
      <c r="C988" s="2" t="str">
        <f>IFERROR(__xludf.DUMMYFUNCTION("""COMPUTED_VALUE"""),"Rizam Khabibi")</f>
        <v>Rizam Khabibi</v>
      </c>
      <c r="D988" s="2" t="str">
        <f>IFERROR(__xludf.DUMMYFUNCTION("""COMPUTED_VALUE"""),"5KM MASTER M")</f>
        <v>5KM MASTER M</v>
      </c>
      <c r="E988" s="1">
        <f>IFERROR(__xludf.DUMMYFUNCTION("""COMPUTED_VALUE"""),2.0)</f>
        <v>2</v>
      </c>
      <c r="F988" s="1" t="str">
        <f>IFERROR(__xludf.DUMMYFUNCTION("""COMPUTED_VALUE"""),"Male")</f>
        <v>Male</v>
      </c>
      <c r="G988" s="4" t="b">
        <f>IFERROR(__xludf.DUMMYFUNCTION("""COMPUTED_VALUE"""),TRUE)</f>
        <v>1</v>
      </c>
      <c r="H988" s="4" t="b">
        <f>IFERROR(__xludf.DUMMYFUNCTION("""COMPUTED_VALUE"""),TRUE)</f>
        <v>1</v>
      </c>
      <c r="I988" s="4">
        <f>IFERROR(__xludf.DUMMYFUNCTION("""COMPUTED_VALUE"""),0.2549440625)</f>
        <v>0.2549440625</v>
      </c>
      <c r="J988" s="4">
        <f>IFERROR(__xludf.DUMMYFUNCTION("""COMPUTED_VALUE"""),45949.27667949582)</f>
        <v>45949.27668</v>
      </c>
      <c r="K988" s="4" t="str">
        <f>IFERROR(__xludf.DUMMYFUNCTION("""COMPUTED_VALUE"""),"")</f>
        <v/>
      </c>
      <c r="L988" s="4">
        <f>IFERROR(__xludf.DUMMYFUNCTION("""COMPUTED_VALUE"""),45949.291154338775)</f>
        <v>45949.29115</v>
      </c>
      <c r="M988" s="1" t="str">
        <f>IFERROR(__xludf.DUMMYFUNCTION("""COMPUTED_VALUE"""),"RFID")</f>
        <v>RFID</v>
      </c>
      <c r="N988" s="5">
        <f>IFERROR(__xludf.DUMMYFUNCTION("""COMPUTED_VALUE"""),0.008694171296296297)</f>
        <v>0.008694171296</v>
      </c>
      <c r="O988" s="5" t="str">
        <f>IFERROR(__xludf.DUMMYFUNCTION("""COMPUTED_VALUE"""),"")</f>
        <v/>
      </c>
      <c r="P988" s="5" t="str">
        <f>IFERROR(__xludf.DUMMYFUNCTION("""COMPUTED_VALUE"""),"")</f>
        <v/>
      </c>
      <c r="Q988" s="5">
        <f>IFERROR(__xludf.DUMMYFUNCTION("""COMPUTED_VALUE"""),0.007242055555555555)</f>
        <v>0.007242055556</v>
      </c>
      <c r="R988" s="4">
        <f>IFERROR(__xludf.DUMMYFUNCTION("""COMPUTED_VALUE"""),45949.036210276274)</f>
        <v>45949.03621</v>
      </c>
      <c r="S988" s="1" t="b">
        <f>IFERROR(__xludf.DUMMYFUNCTION("""COMPUTED_VALUE"""),TRUE)</f>
        <v>1</v>
      </c>
      <c r="T988" s="1" t="b">
        <f>IFERROR(__xludf.DUMMYFUNCTION("""COMPUTED_VALUE"""),FALSE)</f>
        <v>0</v>
      </c>
      <c r="U988" s="1" t="str">
        <f>IFERROR(__xludf.DUMMYFUNCTION("""COMPUTED_VALUE"""),"VALID")</f>
        <v>VALID</v>
      </c>
      <c r="V988" s="1">
        <f>IFERROR(__xludf.DUMMYFUNCTION("""COMPUTED_VALUE"""),76.0)</f>
        <v>76</v>
      </c>
      <c r="W988" s="1">
        <f>IFERROR(__xludf.DUMMYFUNCTION("""COMPUTED_VALUE"""),969.0)</f>
        <v>969</v>
      </c>
      <c r="X988" s="1">
        <f>IFERROR(__xludf.DUMMYFUNCTION("""COMPUTED_VALUE"""),788.0)</f>
        <v>788</v>
      </c>
      <c r="Y988" s="2"/>
      <c r="Z988" s="2"/>
    </row>
    <row r="989">
      <c r="A989" s="1">
        <f>IFERROR(__xludf.DUMMYFUNCTION("""COMPUTED_VALUE"""),988.0)</f>
        <v>988</v>
      </c>
      <c r="B989" s="1">
        <f>IFERROR(__xludf.DUMMYFUNCTION("""COMPUTED_VALUE"""),7073.0)</f>
        <v>7073</v>
      </c>
      <c r="C989" s="2" t="str">
        <f>IFERROR(__xludf.DUMMYFUNCTION("""COMPUTED_VALUE"""),"Andy Wahyu")</f>
        <v>Andy Wahyu</v>
      </c>
      <c r="D989" s="2" t="str">
        <f>IFERROR(__xludf.DUMMYFUNCTION("""COMPUTED_VALUE"""),"5KM MASTER M")</f>
        <v>5KM MASTER M</v>
      </c>
      <c r="E989" s="1">
        <f>IFERROR(__xludf.DUMMYFUNCTION("""COMPUTED_VALUE"""),2.0)</f>
        <v>2</v>
      </c>
      <c r="F989" s="1" t="str">
        <f>IFERROR(__xludf.DUMMYFUNCTION("""COMPUTED_VALUE"""),"Male")</f>
        <v>Male</v>
      </c>
      <c r="G989" s="4" t="b">
        <f>IFERROR(__xludf.DUMMYFUNCTION("""COMPUTED_VALUE"""),TRUE)</f>
        <v>1</v>
      </c>
      <c r="H989" s="4" t="b">
        <f>IFERROR(__xludf.DUMMYFUNCTION("""COMPUTED_VALUE"""),TRUE)</f>
        <v>1</v>
      </c>
      <c r="I989" s="4">
        <f>IFERROR(__xludf.DUMMYFUNCTION("""COMPUTED_VALUE"""),0.2549440625)</f>
        <v>0.2549440625</v>
      </c>
      <c r="J989" s="4">
        <f>IFERROR(__xludf.DUMMYFUNCTION("""COMPUTED_VALUE"""),45949.2699676953)</f>
        <v>45949.26997</v>
      </c>
      <c r="K989" s="4" t="str">
        <f>IFERROR(__xludf.DUMMYFUNCTION("""COMPUTED_VALUE"""),"")</f>
        <v/>
      </c>
      <c r="L989" s="4">
        <f>IFERROR(__xludf.DUMMYFUNCTION("""COMPUTED_VALUE"""),45949.2807515241)</f>
        <v>45949.28075</v>
      </c>
      <c r="M989" s="1" t="str">
        <f>IFERROR(__xludf.DUMMYFUNCTION("""COMPUTED_VALUE"""),"RFID")</f>
        <v>RFID</v>
      </c>
      <c r="N989" s="5">
        <f>IFERROR(__xludf.DUMMYFUNCTION("""COMPUTED_VALUE"""),0.0060094537037037035)</f>
        <v>0.006009453704</v>
      </c>
      <c r="O989" s="5" t="str">
        <f>IFERROR(__xludf.DUMMYFUNCTION("""COMPUTED_VALUE"""),"")</f>
        <v/>
      </c>
      <c r="P989" s="5" t="str">
        <f>IFERROR(__xludf.DUMMYFUNCTION("""COMPUTED_VALUE"""),"")</f>
        <v/>
      </c>
      <c r="Q989" s="5">
        <f>IFERROR(__xludf.DUMMYFUNCTION("""COMPUTED_VALUE"""),0.005161493055555555)</f>
        <v>0.005161493056</v>
      </c>
      <c r="R989" s="4">
        <f>IFERROR(__xludf.DUMMYFUNCTION("""COMPUTED_VALUE"""),45949.0258074616)</f>
        <v>45949.02581</v>
      </c>
      <c r="S989" s="1" t="b">
        <f>IFERROR(__xludf.DUMMYFUNCTION("""COMPUTED_VALUE"""),TRUE)</f>
        <v>1</v>
      </c>
      <c r="T989" s="1" t="b">
        <f>IFERROR(__xludf.DUMMYFUNCTION("""COMPUTED_VALUE"""),FALSE)</f>
        <v>0</v>
      </c>
      <c r="U989" s="1" t="str">
        <f>IFERROR(__xludf.DUMMYFUNCTION("""COMPUTED_VALUE"""),"VALID")</f>
        <v>VALID</v>
      </c>
      <c r="V989" s="1">
        <f>IFERROR(__xludf.DUMMYFUNCTION("""COMPUTED_VALUE"""),35.0)</f>
        <v>35</v>
      </c>
      <c r="W989" s="1">
        <f>IFERROR(__xludf.DUMMYFUNCTION("""COMPUTED_VALUE"""),329.0)</f>
        <v>329</v>
      </c>
      <c r="X989" s="1">
        <f>IFERROR(__xludf.DUMMYFUNCTION("""COMPUTED_VALUE"""),288.0)</f>
        <v>288</v>
      </c>
      <c r="Y989" s="2"/>
      <c r="Z989" s="2"/>
    </row>
    <row r="990">
      <c r="A990" s="1">
        <f>IFERROR(__xludf.DUMMYFUNCTION("""COMPUTED_VALUE"""),989.0)</f>
        <v>989</v>
      </c>
      <c r="B990" s="1">
        <f>IFERROR(__xludf.DUMMYFUNCTION("""COMPUTED_VALUE"""),7074.0)</f>
        <v>7074</v>
      </c>
      <c r="C990" s="2" t="str">
        <f>IFERROR(__xludf.DUMMYFUNCTION("""COMPUTED_VALUE"""),"TRI MARGONO")</f>
        <v>TRI MARGONO</v>
      </c>
      <c r="D990" s="2" t="str">
        <f>IFERROR(__xludf.DUMMYFUNCTION("""COMPUTED_VALUE"""),"5KM MASTER M")</f>
        <v>5KM MASTER M</v>
      </c>
      <c r="E990" s="1">
        <f>IFERROR(__xludf.DUMMYFUNCTION("""COMPUTED_VALUE"""),2.0)</f>
        <v>2</v>
      </c>
      <c r="F990" s="1" t="str">
        <f>IFERROR(__xludf.DUMMYFUNCTION("""COMPUTED_VALUE"""),"Male")</f>
        <v>Male</v>
      </c>
      <c r="G990" s="4" t="b">
        <f>IFERROR(__xludf.DUMMYFUNCTION("""COMPUTED_VALUE"""),TRUE)</f>
        <v>1</v>
      </c>
      <c r="H990" s="4" t="b">
        <f>IFERROR(__xludf.DUMMYFUNCTION("""COMPUTED_VALUE"""),TRUE)</f>
        <v>1</v>
      </c>
      <c r="I990" s="4">
        <f>IFERROR(__xludf.DUMMYFUNCTION("""COMPUTED_VALUE"""),0.2549440625)</f>
        <v>0.2549440625</v>
      </c>
      <c r="J990" s="4">
        <f>IFERROR(__xludf.DUMMYFUNCTION("""COMPUTED_VALUE"""),45949.27190517471)</f>
        <v>45949.27191</v>
      </c>
      <c r="K990" s="4" t="str">
        <f>IFERROR(__xludf.DUMMYFUNCTION("""COMPUTED_VALUE"""),"")</f>
        <v/>
      </c>
      <c r="L990" s="4">
        <f>IFERROR(__xludf.DUMMYFUNCTION("""COMPUTED_VALUE"""),45949.28306059344)</f>
        <v>45949.28306</v>
      </c>
      <c r="M990" s="1" t="str">
        <f>IFERROR(__xludf.DUMMYFUNCTION("""COMPUTED_VALUE"""),"RFID")</f>
        <v>RFID</v>
      </c>
      <c r="N990" s="5">
        <f>IFERROR(__xludf.DUMMYFUNCTION("""COMPUTED_VALUE"""),0.0067844444444444445)</f>
        <v>0.006784444444</v>
      </c>
      <c r="O990" s="5" t="str">
        <f>IFERROR(__xludf.DUMMYFUNCTION("""COMPUTED_VALUE"""),"")</f>
        <v/>
      </c>
      <c r="P990" s="5" t="str">
        <f>IFERROR(__xludf.DUMMYFUNCTION("""COMPUTED_VALUE"""),"")</f>
        <v/>
      </c>
      <c r="Q990" s="5">
        <f>IFERROR(__xludf.DUMMYFUNCTION("""COMPUTED_VALUE"""),0.005623305555555556)</f>
        <v>0.005623305556</v>
      </c>
      <c r="R990" s="4">
        <f>IFERROR(__xludf.DUMMYFUNCTION("""COMPUTED_VALUE"""),45949.02811653094)</f>
        <v>45949.02812</v>
      </c>
      <c r="S990" s="1" t="b">
        <f>IFERROR(__xludf.DUMMYFUNCTION("""COMPUTED_VALUE"""),TRUE)</f>
        <v>1</v>
      </c>
      <c r="T990" s="1" t="b">
        <f>IFERROR(__xludf.DUMMYFUNCTION("""COMPUTED_VALUE"""),FALSE)</f>
        <v>0</v>
      </c>
      <c r="U990" s="1" t="str">
        <f>IFERROR(__xludf.DUMMYFUNCTION("""COMPUTED_VALUE"""),"VALID")</f>
        <v>VALID</v>
      </c>
      <c r="V990" s="1">
        <f>IFERROR(__xludf.DUMMYFUNCTION("""COMPUTED_VALUE"""),44.0)</f>
        <v>44</v>
      </c>
      <c r="W990" s="1">
        <f>IFERROR(__xludf.DUMMYFUNCTION("""COMPUTED_VALUE"""),437.0)</f>
        <v>437</v>
      </c>
      <c r="X990" s="1">
        <f>IFERROR(__xludf.DUMMYFUNCTION("""COMPUTED_VALUE"""),378.0)</f>
        <v>378</v>
      </c>
      <c r="Y990" s="2"/>
      <c r="Z990" s="2"/>
    </row>
    <row r="991">
      <c r="A991" s="1">
        <f>IFERROR(__xludf.DUMMYFUNCTION("""COMPUTED_VALUE"""),990.0)</f>
        <v>990</v>
      </c>
      <c r="B991" s="1">
        <f>IFERROR(__xludf.DUMMYFUNCTION("""COMPUTED_VALUE"""),7075.0)</f>
        <v>7075</v>
      </c>
      <c r="C991" s="2" t="str">
        <f>IFERROR(__xludf.DUMMYFUNCTION("""COMPUTED_VALUE"""),"RBD")</f>
        <v>RBD</v>
      </c>
      <c r="D991" s="2" t="str">
        <f>IFERROR(__xludf.DUMMYFUNCTION("""COMPUTED_VALUE"""),"5KM MASTER M")</f>
        <v>5KM MASTER M</v>
      </c>
      <c r="E991" s="1">
        <f>IFERROR(__xludf.DUMMYFUNCTION("""COMPUTED_VALUE"""),2.0)</f>
        <v>2</v>
      </c>
      <c r="F991" s="1" t="str">
        <f>IFERROR(__xludf.DUMMYFUNCTION("""COMPUTED_VALUE"""),"Male")</f>
        <v>Male</v>
      </c>
      <c r="G991" s="4" t="b">
        <f>IFERROR(__xludf.DUMMYFUNCTION("""COMPUTED_VALUE"""),TRUE)</f>
        <v>1</v>
      </c>
      <c r="H991" s="4" t="b">
        <f>IFERROR(__xludf.DUMMYFUNCTION("""COMPUTED_VALUE"""),TRUE)</f>
        <v>1</v>
      </c>
      <c r="I991" s="4">
        <f>IFERROR(__xludf.DUMMYFUNCTION("""COMPUTED_VALUE"""),0.2549440625)</f>
        <v>0.2549440625</v>
      </c>
      <c r="J991" s="4">
        <f>IFERROR(__xludf.DUMMYFUNCTION("""COMPUTED_VALUE"""),45949.27153455739)</f>
        <v>45949.27153</v>
      </c>
      <c r="K991" s="4" t="str">
        <f>IFERROR(__xludf.DUMMYFUNCTION("""COMPUTED_VALUE"""),"")</f>
        <v/>
      </c>
      <c r="L991" s="4">
        <f>IFERROR(__xludf.DUMMYFUNCTION("""COMPUTED_VALUE"""),45949.284737679794)</f>
        <v>45949.28474</v>
      </c>
      <c r="M991" s="1" t="str">
        <f>IFERROR(__xludf.DUMMYFUNCTION("""COMPUTED_VALUE"""),"RFID")</f>
        <v>RFID</v>
      </c>
      <c r="N991" s="5">
        <f>IFERROR(__xludf.DUMMYFUNCTION("""COMPUTED_VALUE"""),0.006636199074074074)</f>
        <v>0.006636199074</v>
      </c>
      <c r="O991" s="5" t="str">
        <f>IFERROR(__xludf.DUMMYFUNCTION("""COMPUTED_VALUE"""),"")</f>
        <v/>
      </c>
      <c r="P991" s="5" t="str">
        <f>IFERROR(__xludf.DUMMYFUNCTION("""COMPUTED_VALUE"""),"")</f>
        <v/>
      </c>
      <c r="Q991" s="5">
        <f>IFERROR(__xludf.DUMMYFUNCTION("""COMPUTED_VALUE"""),0.005958724537037037)</f>
        <v>0.005958724537</v>
      </c>
      <c r="R991" s="4">
        <f>IFERROR(__xludf.DUMMYFUNCTION("""COMPUTED_VALUE"""),45949.029793617294)</f>
        <v>45949.02979</v>
      </c>
      <c r="S991" s="1" t="b">
        <f>IFERROR(__xludf.DUMMYFUNCTION("""COMPUTED_VALUE"""),TRUE)</f>
        <v>1</v>
      </c>
      <c r="T991" s="1" t="b">
        <f>IFERROR(__xludf.DUMMYFUNCTION("""COMPUTED_VALUE"""),FALSE)</f>
        <v>0</v>
      </c>
      <c r="U991" s="1" t="str">
        <f>IFERROR(__xludf.DUMMYFUNCTION("""COMPUTED_VALUE"""),"VALID")</f>
        <v>VALID</v>
      </c>
      <c r="V991" s="1">
        <f>IFERROR(__xludf.DUMMYFUNCTION("""COMPUTED_VALUE"""),53.0)</f>
        <v>53</v>
      </c>
      <c r="W991" s="1">
        <f>IFERROR(__xludf.DUMMYFUNCTION("""COMPUTED_VALUE"""),559.0)</f>
        <v>559</v>
      </c>
      <c r="X991" s="1">
        <f>IFERROR(__xludf.DUMMYFUNCTION("""COMPUTED_VALUE"""),477.0)</f>
        <v>477</v>
      </c>
      <c r="Y991" s="2"/>
      <c r="Z991" s="2"/>
    </row>
    <row r="992">
      <c r="A992" s="1">
        <f>IFERROR(__xludf.DUMMYFUNCTION("""COMPUTED_VALUE"""),991.0)</f>
        <v>991</v>
      </c>
      <c r="B992" s="1">
        <f>IFERROR(__xludf.DUMMYFUNCTION("""COMPUTED_VALUE"""),7076.0)</f>
        <v>7076</v>
      </c>
      <c r="C992" s="2" t="str">
        <f>IFERROR(__xludf.DUMMYFUNCTION("""COMPUTED_VALUE"""),"JUNIE")</f>
        <v>JUNIE</v>
      </c>
      <c r="D992" s="2" t="str">
        <f>IFERROR(__xludf.DUMMYFUNCTION("""COMPUTED_VALUE"""),"5KM MASTER M")</f>
        <v>5KM MASTER M</v>
      </c>
      <c r="E992" s="1">
        <f>IFERROR(__xludf.DUMMYFUNCTION("""COMPUTED_VALUE"""),2.0)</f>
        <v>2</v>
      </c>
      <c r="F992" s="1" t="str">
        <f>IFERROR(__xludf.DUMMYFUNCTION("""COMPUTED_VALUE"""),"Male")</f>
        <v>Male</v>
      </c>
      <c r="G992" s="4" t="b">
        <f>IFERROR(__xludf.DUMMYFUNCTION("""COMPUTED_VALUE"""),TRUE)</f>
        <v>1</v>
      </c>
      <c r="H992" s="4" t="b">
        <f>IFERROR(__xludf.DUMMYFUNCTION("""COMPUTED_VALUE"""),FALSE)</f>
        <v>0</v>
      </c>
      <c r="I992" s="4">
        <f>IFERROR(__xludf.DUMMYFUNCTION("""COMPUTED_VALUE"""),0.2549440625)</f>
        <v>0.2549440625</v>
      </c>
      <c r="J992" s="4">
        <f>IFERROR(__xludf.DUMMYFUNCTION("""COMPUTED_VALUE"""),45949.26929058754)</f>
        <v>45949.26929</v>
      </c>
      <c r="K992" s="4" t="str">
        <f>IFERROR(__xludf.DUMMYFUNCTION("""COMPUTED_VALUE"""),"")</f>
        <v/>
      </c>
      <c r="L992" s="4">
        <f>IFERROR(__xludf.DUMMYFUNCTION("""COMPUTED_VALUE"""),45949.28161614331)</f>
        <v>45949.28162</v>
      </c>
      <c r="M992" s="1" t="str">
        <f>IFERROR(__xludf.DUMMYFUNCTION("""COMPUTED_VALUE"""),"RFID")</f>
        <v>RFID</v>
      </c>
      <c r="N992" s="5">
        <f>IFERROR(__xludf.DUMMYFUNCTION("""COMPUTED_VALUE"""),0.005738611111111111)</f>
        <v>0.005738611111</v>
      </c>
      <c r="O992" s="5" t="str">
        <f>IFERROR(__xludf.DUMMYFUNCTION("""COMPUTED_VALUE"""),"")</f>
        <v/>
      </c>
      <c r="P992" s="5" t="str">
        <f>IFERROR(__xludf.DUMMYFUNCTION("""COMPUTED_VALUE"""),"")</f>
        <v/>
      </c>
      <c r="Q992" s="5">
        <f>IFERROR(__xludf.DUMMYFUNCTION("""COMPUTED_VALUE"""),0.005334416666666666)</f>
        <v>0.005334416667</v>
      </c>
      <c r="R992" s="4">
        <f>IFERROR(__xludf.DUMMYFUNCTION("""COMPUTED_VALUE"""),45949.02667208081)</f>
        <v>45949.02667</v>
      </c>
      <c r="S992" s="1" t="b">
        <f>IFERROR(__xludf.DUMMYFUNCTION("""COMPUTED_VALUE"""),TRUE)</f>
        <v>1</v>
      </c>
      <c r="T992" s="1" t="b">
        <f>IFERROR(__xludf.DUMMYFUNCTION("""COMPUTED_VALUE"""),FALSE)</f>
        <v>0</v>
      </c>
      <c r="U992" s="1" t="str">
        <f>IFERROR(__xludf.DUMMYFUNCTION("""COMPUTED_VALUE"""),"VALID")</f>
        <v>VALID</v>
      </c>
      <c r="V992" s="1">
        <f>IFERROR(__xludf.DUMMYFUNCTION("""COMPUTED_VALUE"""),39.0)</f>
        <v>39</v>
      </c>
      <c r="W992" s="1">
        <f>IFERROR(__xludf.DUMMYFUNCTION("""COMPUTED_VALUE"""),373.0)</f>
        <v>373</v>
      </c>
      <c r="X992" s="1">
        <f>IFERROR(__xludf.DUMMYFUNCTION("""COMPUTED_VALUE"""),322.0)</f>
        <v>322</v>
      </c>
      <c r="Y992" s="2"/>
      <c r="Z992" s="2"/>
    </row>
    <row r="993">
      <c r="A993" s="1">
        <f>IFERROR(__xludf.DUMMYFUNCTION("""COMPUTED_VALUE"""),992.0)</f>
        <v>992</v>
      </c>
      <c r="B993" s="1">
        <f>IFERROR(__xludf.DUMMYFUNCTION("""COMPUTED_VALUE"""),7077.0)</f>
        <v>7077</v>
      </c>
      <c r="C993" s="2" t="str">
        <f>IFERROR(__xludf.DUMMYFUNCTION("""COMPUTED_VALUE"""),"HEROES")</f>
        <v>HEROES</v>
      </c>
      <c r="D993" s="2" t="str">
        <f>IFERROR(__xludf.DUMMYFUNCTION("""COMPUTED_VALUE"""),"5KM MASTER M")</f>
        <v>5KM MASTER M</v>
      </c>
      <c r="E993" s="1">
        <f>IFERROR(__xludf.DUMMYFUNCTION("""COMPUTED_VALUE"""),2.0)</f>
        <v>2</v>
      </c>
      <c r="F993" s="1" t="str">
        <f>IFERROR(__xludf.DUMMYFUNCTION("""COMPUTED_VALUE"""),"Male")</f>
        <v>Male</v>
      </c>
      <c r="G993" s="4" t="b">
        <f>IFERROR(__xludf.DUMMYFUNCTION("""COMPUTED_VALUE"""),TRUE)</f>
        <v>1</v>
      </c>
      <c r="H993" s="4" t="b">
        <f>IFERROR(__xludf.DUMMYFUNCTION("""COMPUTED_VALUE"""),TRUE)</f>
        <v>1</v>
      </c>
      <c r="I993" s="4">
        <f>IFERROR(__xludf.DUMMYFUNCTION("""COMPUTED_VALUE"""),0.2549440625)</f>
        <v>0.2549440625</v>
      </c>
      <c r="J993" s="4">
        <f>IFERROR(__xludf.DUMMYFUNCTION("""COMPUTED_VALUE"""),45949.277922590154)</f>
        <v>45949.27792</v>
      </c>
      <c r="K993" s="4" t="str">
        <f>IFERROR(__xludf.DUMMYFUNCTION("""COMPUTED_VALUE"""),"")</f>
        <v/>
      </c>
      <c r="L993" s="4">
        <f>IFERROR(__xludf.DUMMYFUNCTION("""COMPUTED_VALUE"""),45949.29365434613)</f>
        <v>45949.29365</v>
      </c>
      <c r="M993" s="1" t="str">
        <f>IFERROR(__xludf.DUMMYFUNCTION("""COMPUTED_VALUE"""),"RFID")</f>
        <v>RFID</v>
      </c>
      <c r="N993" s="5">
        <f>IFERROR(__xludf.DUMMYFUNCTION("""COMPUTED_VALUE"""),0.009191412037037038)</f>
        <v>0.009191412037</v>
      </c>
      <c r="O993" s="5" t="str">
        <f>IFERROR(__xludf.DUMMYFUNCTION("""COMPUTED_VALUE"""),"")</f>
        <v/>
      </c>
      <c r="P993" s="5" t="str">
        <f>IFERROR(__xludf.DUMMYFUNCTION("""COMPUTED_VALUE"""),"")</f>
        <v/>
      </c>
      <c r="Q993" s="5">
        <f>IFERROR(__xludf.DUMMYFUNCTION("""COMPUTED_VALUE"""),0.00774205787037037)</f>
        <v>0.00774205787</v>
      </c>
      <c r="R993" s="4">
        <f>IFERROR(__xludf.DUMMYFUNCTION("""COMPUTED_VALUE"""),45949.03871028363)</f>
        <v>45949.03871</v>
      </c>
      <c r="S993" s="1" t="b">
        <f>IFERROR(__xludf.DUMMYFUNCTION("""COMPUTED_VALUE"""),TRUE)</f>
        <v>1</v>
      </c>
      <c r="T993" s="1" t="b">
        <f>IFERROR(__xludf.DUMMYFUNCTION("""COMPUTED_VALUE"""),FALSE)</f>
        <v>0</v>
      </c>
      <c r="U993" s="1" t="str">
        <f>IFERROR(__xludf.DUMMYFUNCTION("""COMPUTED_VALUE"""),"VALID")</f>
        <v>VALID</v>
      </c>
      <c r="V993" s="1">
        <f>IFERROR(__xludf.DUMMYFUNCTION("""COMPUTED_VALUE"""),87.0)</f>
        <v>87</v>
      </c>
      <c r="W993" s="1">
        <f>IFERROR(__xludf.DUMMYFUNCTION("""COMPUTED_VALUE"""),1142.0)</f>
        <v>1142</v>
      </c>
      <c r="X993" s="1">
        <f>IFERROR(__xludf.DUMMYFUNCTION("""COMPUTED_VALUE"""),908.0)</f>
        <v>908</v>
      </c>
      <c r="Y993" s="2"/>
      <c r="Z993" s="2"/>
    </row>
    <row r="994">
      <c r="A994" s="1">
        <f>IFERROR(__xludf.DUMMYFUNCTION("""COMPUTED_VALUE"""),993.0)</f>
        <v>993</v>
      </c>
      <c r="B994" s="1">
        <f>IFERROR(__xludf.DUMMYFUNCTION("""COMPUTED_VALUE"""),7078.0)</f>
        <v>7078</v>
      </c>
      <c r="C994" s="2" t="str">
        <f>IFERROR(__xludf.DUMMYFUNCTION("""COMPUTED_VALUE"""),"haryono")</f>
        <v>haryono</v>
      </c>
      <c r="D994" s="2" t="str">
        <f>IFERROR(__xludf.DUMMYFUNCTION("""COMPUTED_VALUE"""),"5KM MASTER M")</f>
        <v>5KM MASTER M</v>
      </c>
      <c r="E994" s="1">
        <f>IFERROR(__xludf.DUMMYFUNCTION("""COMPUTED_VALUE"""),2.0)</f>
        <v>2</v>
      </c>
      <c r="F994" s="1" t="str">
        <f>IFERROR(__xludf.DUMMYFUNCTION("""COMPUTED_VALUE"""),"Male")</f>
        <v>Male</v>
      </c>
      <c r="G994" s="4" t="b">
        <f>IFERROR(__xludf.DUMMYFUNCTION("""COMPUTED_VALUE"""),TRUE)</f>
        <v>1</v>
      </c>
      <c r="H994" s="4" t="b">
        <f>IFERROR(__xludf.DUMMYFUNCTION("""COMPUTED_VALUE"""),TRUE)</f>
        <v>1</v>
      </c>
      <c r="I994" s="4">
        <f>IFERROR(__xludf.DUMMYFUNCTION("""COMPUTED_VALUE"""),0.2549440625)</f>
        <v>0.2549440625</v>
      </c>
      <c r="J994" s="4">
        <f>IFERROR(__xludf.DUMMYFUNCTION("""COMPUTED_VALUE"""),45949.27166905355)</f>
        <v>45949.27167</v>
      </c>
      <c r="K994" s="4" t="str">
        <f>IFERROR(__xludf.DUMMYFUNCTION("""COMPUTED_VALUE"""),"")</f>
        <v/>
      </c>
      <c r="L994" s="4">
        <f>IFERROR(__xludf.DUMMYFUNCTION("""COMPUTED_VALUE"""),45949.284303607565)</f>
        <v>45949.2843</v>
      </c>
      <c r="M994" s="1" t="str">
        <f>IFERROR(__xludf.DUMMYFUNCTION("""COMPUTED_VALUE"""),"RFID")</f>
        <v>RFID</v>
      </c>
      <c r="N994" s="5">
        <f>IFERROR(__xludf.DUMMYFUNCTION("""COMPUTED_VALUE"""),0.0066899953703703705)</f>
        <v>0.00668999537</v>
      </c>
      <c r="O994" s="5" t="str">
        <f>IFERROR(__xludf.DUMMYFUNCTION("""COMPUTED_VALUE"""),"")</f>
        <v/>
      </c>
      <c r="P994" s="5" t="str">
        <f>IFERROR(__xludf.DUMMYFUNCTION("""COMPUTED_VALUE"""),"")</f>
        <v/>
      </c>
      <c r="Q994" s="5">
        <f>IFERROR(__xludf.DUMMYFUNCTION("""COMPUTED_VALUE"""),0.005871909722222223)</f>
        <v>0.005871909722</v>
      </c>
      <c r="R994" s="4">
        <f>IFERROR(__xludf.DUMMYFUNCTION("""COMPUTED_VALUE"""),45949.029359545064)</f>
        <v>45949.02936</v>
      </c>
      <c r="S994" s="1" t="b">
        <f>IFERROR(__xludf.DUMMYFUNCTION("""COMPUTED_VALUE"""),TRUE)</f>
        <v>1</v>
      </c>
      <c r="T994" s="1" t="b">
        <f>IFERROR(__xludf.DUMMYFUNCTION("""COMPUTED_VALUE"""),FALSE)</f>
        <v>0</v>
      </c>
      <c r="U994" s="1" t="str">
        <f>IFERROR(__xludf.DUMMYFUNCTION("""COMPUTED_VALUE"""),"VALID")</f>
        <v>VALID</v>
      </c>
      <c r="V994" s="1">
        <f>IFERROR(__xludf.DUMMYFUNCTION("""COMPUTED_VALUE"""),50.0)</f>
        <v>50</v>
      </c>
      <c r="W994" s="1">
        <f>IFERROR(__xludf.DUMMYFUNCTION("""COMPUTED_VALUE"""),522.0)</f>
        <v>522</v>
      </c>
      <c r="X994" s="1">
        <f>IFERROR(__xludf.DUMMYFUNCTION("""COMPUTED_VALUE"""),452.0)</f>
        <v>452</v>
      </c>
      <c r="Y994" s="2"/>
      <c r="Z994" s="2"/>
    </row>
    <row r="995">
      <c r="A995" s="1">
        <f>IFERROR(__xludf.DUMMYFUNCTION("""COMPUTED_VALUE"""),994.0)</f>
        <v>994</v>
      </c>
      <c r="B995" s="1">
        <f>IFERROR(__xludf.DUMMYFUNCTION("""COMPUTED_VALUE"""),7080.0)</f>
        <v>7080</v>
      </c>
      <c r="C995" s="2" t="str">
        <f>IFERROR(__xludf.DUMMYFUNCTION("""COMPUTED_VALUE"""),"HUSE")</f>
        <v>HUSE</v>
      </c>
      <c r="D995" s="2" t="str">
        <f>IFERROR(__xludf.DUMMYFUNCTION("""COMPUTED_VALUE"""),"5KM MASTER M")</f>
        <v>5KM MASTER M</v>
      </c>
      <c r="E995" s="1">
        <f>IFERROR(__xludf.DUMMYFUNCTION("""COMPUTED_VALUE"""),2.0)</f>
        <v>2</v>
      </c>
      <c r="F995" s="1" t="str">
        <f>IFERROR(__xludf.DUMMYFUNCTION("""COMPUTED_VALUE"""),"Male")</f>
        <v>Male</v>
      </c>
      <c r="G995" s="4" t="b">
        <f>IFERROR(__xludf.DUMMYFUNCTION("""COMPUTED_VALUE"""),TRUE)</f>
        <v>1</v>
      </c>
      <c r="H995" s="4" t="b">
        <f>IFERROR(__xludf.DUMMYFUNCTION("""COMPUTED_VALUE"""),TRUE)</f>
        <v>1</v>
      </c>
      <c r="I995" s="4">
        <f>IFERROR(__xludf.DUMMYFUNCTION("""COMPUTED_VALUE"""),0.2549440625)</f>
        <v>0.2549440625</v>
      </c>
      <c r="J995" s="4">
        <f>IFERROR(__xludf.DUMMYFUNCTION("""COMPUTED_VALUE"""),45949.26882530173)</f>
        <v>45949.26883</v>
      </c>
      <c r="K995" s="4" t="str">
        <f>IFERROR(__xludf.DUMMYFUNCTION("""COMPUTED_VALUE"""),"")</f>
        <v/>
      </c>
      <c r="L995" s="4">
        <f>IFERROR(__xludf.DUMMYFUNCTION("""COMPUTED_VALUE"""),45949.28008837601)</f>
        <v>45949.28009</v>
      </c>
      <c r="M995" s="1" t="str">
        <f>IFERROR(__xludf.DUMMYFUNCTION("""COMPUTED_VALUE"""),"RFID")</f>
        <v>RFID</v>
      </c>
      <c r="N995" s="5">
        <f>IFERROR(__xludf.DUMMYFUNCTION("""COMPUTED_VALUE"""),0.00555249537037037)</f>
        <v>0.00555249537</v>
      </c>
      <c r="O995" s="5" t="str">
        <f>IFERROR(__xludf.DUMMYFUNCTION("""COMPUTED_VALUE"""),"")</f>
        <v/>
      </c>
      <c r="P995" s="5" t="str">
        <f>IFERROR(__xludf.DUMMYFUNCTION("""COMPUTED_VALUE"""),"")</f>
        <v/>
      </c>
      <c r="Q995" s="5">
        <f>IFERROR(__xludf.DUMMYFUNCTION("""COMPUTED_VALUE"""),0.005028863425925926)</f>
        <v>0.005028863426</v>
      </c>
      <c r="R995" s="4">
        <f>IFERROR(__xludf.DUMMYFUNCTION("""COMPUTED_VALUE"""),45949.025144313506)</f>
        <v>45949.02514</v>
      </c>
      <c r="S995" s="1" t="b">
        <f>IFERROR(__xludf.DUMMYFUNCTION("""COMPUTED_VALUE"""),TRUE)</f>
        <v>1</v>
      </c>
      <c r="T995" s="1" t="b">
        <f>IFERROR(__xludf.DUMMYFUNCTION("""COMPUTED_VALUE"""),FALSE)</f>
        <v>0</v>
      </c>
      <c r="U995" s="1" t="str">
        <f>IFERROR(__xludf.DUMMYFUNCTION("""COMPUTED_VALUE"""),"VALID")</f>
        <v>VALID</v>
      </c>
      <c r="V995" s="1">
        <f>IFERROR(__xludf.DUMMYFUNCTION("""COMPUTED_VALUE"""),30.0)</f>
        <v>30</v>
      </c>
      <c r="W995" s="1">
        <f>IFERROR(__xludf.DUMMYFUNCTION("""COMPUTED_VALUE"""),294.0)</f>
        <v>294</v>
      </c>
      <c r="X995" s="1">
        <f>IFERROR(__xludf.DUMMYFUNCTION("""COMPUTED_VALUE"""),256.0)</f>
        <v>256</v>
      </c>
      <c r="Y995" s="2"/>
      <c r="Z995" s="2"/>
    </row>
    <row r="996">
      <c r="A996" s="1">
        <f>IFERROR(__xludf.DUMMYFUNCTION("""COMPUTED_VALUE"""),995.0)</f>
        <v>995</v>
      </c>
      <c r="B996" s="1">
        <f>IFERROR(__xludf.DUMMYFUNCTION("""COMPUTED_VALUE"""),7081.0)</f>
        <v>7081</v>
      </c>
      <c r="C996" s="2" t="str">
        <f>IFERROR(__xludf.DUMMYFUNCTION("""COMPUTED_VALUE"""),"Matenu")</f>
        <v>Matenu</v>
      </c>
      <c r="D996" s="2" t="str">
        <f>IFERROR(__xludf.DUMMYFUNCTION("""COMPUTED_VALUE"""),"5KM MASTER M")</f>
        <v>5KM MASTER M</v>
      </c>
      <c r="E996" s="1">
        <f>IFERROR(__xludf.DUMMYFUNCTION("""COMPUTED_VALUE"""),2.0)</f>
        <v>2</v>
      </c>
      <c r="F996" s="1" t="str">
        <f>IFERROR(__xludf.DUMMYFUNCTION("""COMPUTED_VALUE"""),"Male")</f>
        <v>Male</v>
      </c>
      <c r="G996" s="4" t="b">
        <f>IFERROR(__xludf.DUMMYFUNCTION("""COMPUTED_VALUE"""),TRUE)</f>
        <v>1</v>
      </c>
      <c r="H996" s="4" t="b">
        <f>IFERROR(__xludf.DUMMYFUNCTION("""COMPUTED_VALUE"""),TRUE)</f>
        <v>1</v>
      </c>
      <c r="I996" s="4">
        <f>IFERROR(__xludf.DUMMYFUNCTION("""COMPUTED_VALUE"""),0.2549440625)</f>
        <v>0.2549440625</v>
      </c>
      <c r="J996" s="4">
        <f>IFERROR(__xludf.DUMMYFUNCTION("""COMPUTED_VALUE"""),45949.26892946132)</f>
        <v>45949.26893</v>
      </c>
      <c r="K996" s="4" t="str">
        <f>IFERROR(__xludf.DUMMYFUNCTION("""COMPUTED_VALUE"""),"")</f>
        <v/>
      </c>
      <c r="L996" s="4">
        <f>IFERROR(__xludf.DUMMYFUNCTION("""COMPUTED_VALUE"""),45949.2798730901)</f>
        <v>45949.27987</v>
      </c>
      <c r="M996" s="1" t="str">
        <f>IFERROR(__xludf.DUMMYFUNCTION("""COMPUTED_VALUE"""),"RFID")</f>
        <v>RFID</v>
      </c>
      <c r="N996" s="5">
        <f>IFERROR(__xludf.DUMMYFUNCTION("""COMPUTED_VALUE"""),0.005594157407407407)</f>
        <v>0.005594157407</v>
      </c>
      <c r="O996" s="5" t="str">
        <f>IFERROR(__xludf.DUMMYFUNCTION("""COMPUTED_VALUE"""),"")</f>
        <v/>
      </c>
      <c r="P996" s="5" t="str">
        <f>IFERROR(__xludf.DUMMYFUNCTION("""COMPUTED_VALUE"""),"")</f>
        <v/>
      </c>
      <c r="Q996" s="5">
        <f>IFERROR(__xludf.DUMMYFUNCTION("""COMPUTED_VALUE"""),0.004985805555555555)</f>
        <v>0.004985805556</v>
      </c>
      <c r="R996" s="4">
        <f>IFERROR(__xludf.DUMMYFUNCTION("""COMPUTED_VALUE"""),45949.0249290276)</f>
        <v>45949.02493</v>
      </c>
      <c r="S996" s="1" t="b">
        <f>IFERROR(__xludf.DUMMYFUNCTION("""COMPUTED_VALUE"""),TRUE)</f>
        <v>1</v>
      </c>
      <c r="T996" s="1" t="b">
        <f>IFERROR(__xludf.DUMMYFUNCTION("""COMPUTED_VALUE"""),FALSE)</f>
        <v>0</v>
      </c>
      <c r="U996" s="1" t="str">
        <f>IFERROR(__xludf.DUMMYFUNCTION("""COMPUTED_VALUE"""),"VALID")</f>
        <v>VALID</v>
      </c>
      <c r="V996" s="1">
        <f>IFERROR(__xludf.DUMMYFUNCTION("""COMPUTED_VALUE"""),28.0)</f>
        <v>28</v>
      </c>
      <c r="W996" s="1">
        <f>IFERROR(__xludf.DUMMYFUNCTION("""COMPUTED_VALUE"""),282.0)</f>
        <v>282</v>
      </c>
      <c r="X996" s="1">
        <f>IFERROR(__xludf.DUMMYFUNCTION("""COMPUTED_VALUE"""),247.0)</f>
        <v>247</v>
      </c>
      <c r="Y996" s="2"/>
      <c r="Z996" s="2"/>
    </row>
    <row r="997">
      <c r="A997" s="1">
        <f>IFERROR(__xludf.DUMMYFUNCTION("""COMPUTED_VALUE"""),996.0)</f>
        <v>996</v>
      </c>
      <c r="B997" s="1">
        <f>IFERROR(__xludf.DUMMYFUNCTION("""COMPUTED_VALUE"""),7082.0)</f>
        <v>7082</v>
      </c>
      <c r="C997" s="2" t="str">
        <f>IFERROR(__xludf.DUMMYFUNCTION("""COMPUTED_VALUE"""),"AGUS FACHRUROZI")</f>
        <v>AGUS FACHRUROZI</v>
      </c>
      <c r="D997" s="2" t="str">
        <f>IFERROR(__xludf.DUMMYFUNCTION("""COMPUTED_VALUE"""),"5KM MASTER M")</f>
        <v>5KM MASTER M</v>
      </c>
      <c r="E997" s="1">
        <f>IFERROR(__xludf.DUMMYFUNCTION("""COMPUTED_VALUE"""),2.0)</f>
        <v>2</v>
      </c>
      <c r="F997" s="1" t="str">
        <f>IFERROR(__xludf.DUMMYFUNCTION("""COMPUTED_VALUE"""),"Male")</f>
        <v>Male</v>
      </c>
      <c r="G997" s="4" t="b">
        <f>IFERROR(__xludf.DUMMYFUNCTION("""COMPUTED_VALUE"""),TRUE)</f>
        <v>1</v>
      </c>
      <c r="H997" s="4" t="b">
        <f>IFERROR(__xludf.DUMMYFUNCTION("""COMPUTED_VALUE"""),TRUE)</f>
        <v>1</v>
      </c>
      <c r="I997" s="4">
        <f>IFERROR(__xludf.DUMMYFUNCTION("""COMPUTED_VALUE"""),0.2549440625)</f>
        <v>0.2549440625</v>
      </c>
      <c r="J997" s="4">
        <f>IFERROR(__xludf.DUMMYFUNCTION("""COMPUTED_VALUE"""),45949.27482183896)</f>
        <v>45949.27482</v>
      </c>
      <c r="K997" s="4" t="str">
        <f>IFERROR(__xludf.DUMMYFUNCTION("""COMPUTED_VALUE"""),"")</f>
        <v/>
      </c>
      <c r="L997" s="4">
        <f>IFERROR(__xludf.DUMMYFUNCTION("""COMPUTED_VALUE"""),45949.290727259424)</f>
        <v>45949.29073</v>
      </c>
      <c r="M997" s="1" t="str">
        <f>IFERROR(__xludf.DUMMYFUNCTION("""COMPUTED_VALUE"""),"RFID")</f>
        <v>RFID</v>
      </c>
      <c r="N997" s="5">
        <f>IFERROR(__xludf.DUMMYFUNCTION("""COMPUTED_VALUE"""),0.007951111111111112)</f>
        <v>0.007951111111</v>
      </c>
      <c r="O997" s="5" t="str">
        <f>IFERROR(__xludf.DUMMYFUNCTION("""COMPUTED_VALUE"""),"")</f>
        <v/>
      </c>
      <c r="P997" s="5" t="str">
        <f>IFERROR(__xludf.DUMMYFUNCTION("""COMPUTED_VALUE"""),"")</f>
        <v/>
      </c>
      <c r="Q997" s="5">
        <f>IFERROR(__xludf.DUMMYFUNCTION("""COMPUTED_VALUE"""),0.007156638888888889)</f>
        <v>0.007156638889</v>
      </c>
      <c r="R997" s="4">
        <f>IFERROR(__xludf.DUMMYFUNCTION("""COMPUTED_VALUE"""),45949.03578319692)</f>
        <v>45949.03578</v>
      </c>
      <c r="S997" s="1" t="b">
        <f>IFERROR(__xludf.DUMMYFUNCTION("""COMPUTED_VALUE"""),TRUE)</f>
        <v>1</v>
      </c>
      <c r="T997" s="1" t="b">
        <f>IFERROR(__xludf.DUMMYFUNCTION("""COMPUTED_VALUE"""),FALSE)</f>
        <v>0</v>
      </c>
      <c r="U997" s="1" t="str">
        <f>IFERROR(__xludf.DUMMYFUNCTION("""COMPUTED_VALUE"""),"VALID")</f>
        <v>VALID</v>
      </c>
      <c r="V997" s="1">
        <f>IFERROR(__xludf.DUMMYFUNCTION("""COMPUTED_VALUE"""),74.0)</f>
        <v>74</v>
      </c>
      <c r="W997" s="1">
        <f>IFERROR(__xludf.DUMMYFUNCTION("""COMPUTED_VALUE"""),944.0)</f>
        <v>944</v>
      </c>
      <c r="X997" s="1">
        <f>IFERROR(__xludf.DUMMYFUNCTION("""COMPUTED_VALUE"""),769.0)</f>
        <v>769</v>
      </c>
      <c r="Y997" s="2"/>
      <c r="Z997" s="2"/>
    </row>
    <row r="998">
      <c r="A998" s="1">
        <f>IFERROR(__xludf.DUMMYFUNCTION("""COMPUTED_VALUE"""),997.0)</f>
        <v>997</v>
      </c>
      <c r="B998" s="1">
        <f>IFERROR(__xludf.DUMMYFUNCTION("""COMPUTED_VALUE"""),7083.0)</f>
        <v>7083</v>
      </c>
      <c r="C998" s="2" t="str">
        <f>IFERROR(__xludf.DUMMYFUNCTION("""COMPUTED_VALUE"""),"FIRMAN")</f>
        <v>FIRMAN</v>
      </c>
      <c r="D998" s="2" t="str">
        <f>IFERROR(__xludf.DUMMYFUNCTION("""COMPUTED_VALUE"""),"5KM MASTER M")</f>
        <v>5KM MASTER M</v>
      </c>
      <c r="E998" s="1">
        <f>IFERROR(__xludf.DUMMYFUNCTION("""COMPUTED_VALUE"""),2.0)</f>
        <v>2</v>
      </c>
      <c r="F998" s="1" t="str">
        <f>IFERROR(__xludf.DUMMYFUNCTION("""COMPUTED_VALUE"""),"Male")</f>
        <v>Male</v>
      </c>
      <c r="G998" s="4" t="b">
        <f>IFERROR(__xludf.DUMMYFUNCTION("""COMPUTED_VALUE"""),TRUE)</f>
        <v>1</v>
      </c>
      <c r="H998" s="4" t="b">
        <f>IFERROR(__xludf.DUMMYFUNCTION("""COMPUTED_VALUE"""),FALSE)</f>
        <v>0</v>
      </c>
      <c r="I998" s="4">
        <f>IFERROR(__xludf.DUMMYFUNCTION("""COMPUTED_VALUE"""),0.2549440625)</f>
        <v>0.2549440625</v>
      </c>
      <c r="J998" s="4">
        <f>IFERROR(__xludf.DUMMYFUNCTION("""COMPUTED_VALUE"""),45949.26543646683)</f>
        <v>45949.26544</v>
      </c>
      <c r="K998" s="4" t="str">
        <f>IFERROR(__xludf.DUMMYFUNCTION("""COMPUTED_VALUE"""),"")</f>
        <v/>
      </c>
      <c r="L998" s="4">
        <f>IFERROR(__xludf.DUMMYFUNCTION("""COMPUTED_VALUE"""),45949.27330011833)</f>
        <v>45949.2733</v>
      </c>
      <c r="M998" s="1" t="str">
        <f>IFERROR(__xludf.DUMMYFUNCTION("""COMPUTED_VALUE"""),"RFID")</f>
        <v>RFID</v>
      </c>
      <c r="N998" s="5">
        <f>IFERROR(__xludf.DUMMYFUNCTION("""COMPUTED_VALUE"""),0.004196962962962963)</f>
        <v>0.004196962963</v>
      </c>
      <c r="O998" s="5" t="str">
        <f>IFERROR(__xludf.DUMMYFUNCTION("""COMPUTED_VALUE"""),"")</f>
        <v/>
      </c>
      <c r="P998" s="5" t="str">
        <f>IFERROR(__xludf.DUMMYFUNCTION("""COMPUTED_VALUE"""),"")</f>
        <v/>
      </c>
      <c r="Q998" s="5">
        <f>IFERROR(__xludf.DUMMYFUNCTION("""COMPUTED_VALUE"""),0.0036712106481481483)</f>
        <v>0.003671210648</v>
      </c>
      <c r="R998" s="4">
        <f>IFERROR(__xludf.DUMMYFUNCTION("""COMPUTED_VALUE"""),45949.01835605583)</f>
        <v>45949.01836</v>
      </c>
      <c r="S998" s="1" t="b">
        <f>IFERROR(__xludf.DUMMYFUNCTION("""COMPUTED_VALUE"""),TRUE)</f>
        <v>1</v>
      </c>
      <c r="T998" s="1" t="b">
        <f>IFERROR(__xludf.DUMMYFUNCTION("""COMPUTED_VALUE"""),FALSE)</f>
        <v>0</v>
      </c>
      <c r="U998" s="1" t="str">
        <f>IFERROR(__xludf.DUMMYFUNCTION("""COMPUTED_VALUE"""),"VALID")</f>
        <v>VALID</v>
      </c>
      <c r="V998" s="1">
        <f>IFERROR(__xludf.DUMMYFUNCTION("""COMPUTED_VALUE"""),7.0)</f>
        <v>7</v>
      </c>
      <c r="W998" s="1">
        <f>IFERROR(__xludf.DUMMYFUNCTION("""COMPUTED_VALUE"""),68.0)</f>
        <v>68</v>
      </c>
      <c r="X998" s="1">
        <f>IFERROR(__xludf.DUMMYFUNCTION("""COMPUTED_VALUE"""),63.0)</f>
        <v>63</v>
      </c>
      <c r="Y998" s="2"/>
      <c r="Z998" s="2"/>
    </row>
    <row r="999">
      <c r="A999" s="1">
        <f>IFERROR(__xludf.DUMMYFUNCTION("""COMPUTED_VALUE"""),998.0)</f>
        <v>998</v>
      </c>
      <c r="B999" s="1">
        <f>IFERROR(__xludf.DUMMYFUNCTION("""COMPUTED_VALUE"""),7086.0)</f>
        <v>7086</v>
      </c>
      <c r="C999" s="2" t="str">
        <f>IFERROR(__xludf.DUMMYFUNCTION("""COMPUTED_VALUE"""),"barok")</f>
        <v>barok</v>
      </c>
      <c r="D999" s="2" t="str">
        <f>IFERROR(__xludf.DUMMYFUNCTION("""COMPUTED_VALUE"""),"5KM MASTER M")</f>
        <v>5KM MASTER M</v>
      </c>
      <c r="E999" s="1">
        <f>IFERROR(__xludf.DUMMYFUNCTION("""COMPUTED_VALUE"""),2.0)</f>
        <v>2</v>
      </c>
      <c r="F999" s="1" t="str">
        <f>IFERROR(__xludf.DUMMYFUNCTION("""COMPUTED_VALUE"""),"Male")</f>
        <v>Male</v>
      </c>
      <c r="G999" s="4" t="b">
        <f>IFERROR(__xludf.DUMMYFUNCTION("""COMPUTED_VALUE"""),TRUE)</f>
        <v>1</v>
      </c>
      <c r="H999" s="4" t="b">
        <f>IFERROR(__xludf.DUMMYFUNCTION("""COMPUTED_VALUE"""),TRUE)</f>
        <v>1</v>
      </c>
      <c r="I999" s="4">
        <f>IFERROR(__xludf.DUMMYFUNCTION("""COMPUTED_VALUE"""),0.2549440625)</f>
        <v>0.2549440625</v>
      </c>
      <c r="J999" s="4">
        <f>IFERROR(__xludf.DUMMYFUNCTION("""COMPUTED_VALUE"""),45949.26573854744)</f>
        <v>45949.26574</v>
      </c>
      <c r="K999" s="4" t="str">
        <f>IFERROR(__xludf.DUMMYFUNCTION("""COMPUTED_VALUE"""),"")</f>
        <v/>
      </c>
      <c r="L999" s="4">
        <f>IFERROR(__xludf.DUMMYFUNCTION("""COMPUTED_VALUE"""),45949.27233912194)</f>
        <v>45949.27234</v>
      </c>
      <c r="M999" s="1" t="str">
        <f>IFERROR(__xludf.DUMMYFUNCTION("""COMPUTED_VALUE"""),"RFID")</f>
        <v>RFID</v>
      </c>
      <c r="N999" s="5">
        <f>IFERROR(__xludf.DUMMYFUNCTION("""COMPUTED_VALUE"""),0.004317791666666667)</f>
        <v>0.004317791667</v>
      </c>
      <c r="O999" s="5" t="str">
        <f>IFERROR(__xludf.DUMMYFUNCTION("""COMPUTED_VALUE"""),"")</f>
        <v/>
      </c>
      <c r="P999" s="5" t="str">
        <f>IFERROR(__xludf.DUMMYFUNCTION("""COMPUTED_VALUE"""),"")</f>
        <v/>
      </c>
      <c r="Q999" s="5">
        <f>IFERROR(__xludf.DUMMYFUNCTION("""COMPUTED_VALUE"""),0.0034790115740740745)</f>
        <v>0.003479011574</v>
      </c>
      <c r="R999" s="4">
        <f>IFERROR(__xludf.DUMMYFUNCTION("""COMPUTED_VALUE"""),45949.01739505944)</f>
        <v>45949.0174</v>
      </c>
      <c r="S999" s="1" t="b">
        <f>IFERROR(__xludf.DUMMYFUNCTION("""COMPUTED_VALUE"""),TRUE)</f>
        <v>1</v>
      </c>
      <c r="T999" s="1" t="b">
        <f>IFERROR(__xludf.DUMMYFUNCTION("""COMPUTED_VALUE"""),FALSE)</f>
        <v>0</v>
      </c>
      <c r="U999" s="1" t="str">
        <f>IFERROR(__xludf.DUMMYFUNCTION("""COMPUTED_VALUE"""),"VALID")</f>
        <v>VALID</v>
      </c>
      <c r="V999" s="1">
        <f>IFERROR(__xludf.DUMMYFUNCTION("""COMPUTED_VALUE"""),4.0)</f>
        <v>4</v>
      </c>
      <c r="W999" s="1">
        <f>IFERROR(__xludf.DUMMYFUNCTION("""COMPUTED_VALUE"""),41.0)</f>
        <v>41</v>
      </c>
      <c r="X999" s="1">
        <f>IFERROR(__xludf.DUMMYFUNCTION("""COMPUTED_VALUE"""),40.0)</f>
        <v>40</v>
      </c>
      <c r="Y999" s="2"/>
      <c r="Z999" s="2"/>
    </row>
    <row r="1000">
      <c r="A1000" s="1">
        <f>IFERROR(__xludf.DUMMYFUNCTION("""COMPUTED_VALUE"""),999.0)</f>
        <v>999</v>
      </c>
      <c r="B1000" s="1">
        <f>IFERROR(__xludf.DUMMYFUNCTION("""COMPUTED_VALUE"""),7088.0)</f>
        <v>7088</v>
      </c>
      <c r="C1000" s="2" t="str">
        <f>IFERROR(__xludf.DUMMYFUNCTION("""COMPUTED_VALUE"""),"Dadik Soesetyo")</f>
        <v>Dadik Soesetyo</v>
      </c>
      <c r="D1000" s="2" t="str">
        <f>IFERROR(__xludf.DUMMYFUNCTION("""COMPUTED_VALUE"""),"5KM MASTER M")</f>
        <v>5KM MASTER M</v>
      </c>
      <c r="E1000" s="1">
        <f>IFERROR(__xludf.DUMMYFUNCTION("""COMPUTED_VALUE"""),2.0)</f>
        <v>2</v>
      </c>
      <c r="F1000" s="1" t="str">
        <f>IFERROR(__xludf.DUMMYFUNCTION("""COMPUTED_VALUE"""),"Male")</f>
        <v>Male</v>
      </c>
      <c r="G1000" s="4" t="b">
        <f>IFERROR(__xludf.DUMMYFUNCTION("""COMPUTED_VALUE"""),TRUE)</f>
        <v>1</v>
      </c>
      <c r="H1000" s="4" t="b">
        <f>IFERROR(__xludf.DUMMYFUNCTION("""COMPUTED_VALUE"""),TRUE)</f>
        <v>1</v>
      </c>
      <c r="I1000" s="4">
        <f>IFERROR(__xludf.DUMMYFUNCTION("""COMPUTED_VALUE"""),0.2549440625)</f>
        <v>0.2549440625</v>
      </c>
      <c r="J1000" s="4">
        <f>IFERROR(__xludf.DUMMYFUNCTION("""COMPUTED_VALUE"""),45949.26957883144)</f>
        <v>45949.26958</v>
      </c>
      <c r="K1000" s="4" t="str">
        <f>IFERROR(__xludf.DUMMYFUNCTION("""COMPUTED_VALUE"""),"")</f>
        <v/>
      </c>
      <c r="L1000" s="4">
        <f>IFERROR(__xludf.DUMMYFUNCTION("""COMPUTED_VALUE"""),45949.27830713123)</f>
        <v>45949.27831</v>
      </c>
      <c r="M1000" s="1" t="str">
        <f>IFERROR(__xludf.DUMMYFUNCTION("""COMPUTED_VALUE"""),"RFID")</f>
        <v>RFID</v>
      </c>
      <c r="N1000" s="5">
        <f>IFERROR(__xludf.DUMMYFUNCTION("""COMPUTED_VALUE"""),0.005853907407407407)</f>
        <v>0.005853907407</v>
      </c>
      <c r="O1000" s="5" t="str">
        <f>IFERROR(__xludf.DUMMYFUNCTION("""COMPUTED_VALUE"""),"")</f>
        <v/>
      </c>
      <c r="P1000" s="5" t="str">
        <f>IFERROR(__xludf.DUMMYFUNCTION("""COMPUTED_VALUE"""),"")</f>
        <v/>
      </c>
      <c r="Q1000" s="5">
        <f>IFERROR(__xludf.DUMMYFUNCTION("""COMPUTED_VALUE"""),0.0046726134259259255)</f>
        <v>0.004672613426</v>
      </c>
      <c r="R1000" s="4">
        <f>IFERROR(__xludf.DUMMYFUNCTION("""COMPUTED_VALUE"""),45949.02336306873)</f>
        <v>45949.02336</v>
      </c>
      <c r="S1000" s="1" t="b">
        <f>IFERROR(__xludf.DUMMYFUNCTION("""COMPUTED_VALUE"""),TRUE)</f>
        <v>1</v>
      </c>
      <c r="T1000" s="1" t="b">
        <f>IFERROR(__xludf.DUMMYFUNCTION("""COMPUTED_VALUE"""),FALSE)</f>
        <v>0</v>
      </c>
      <c r="U1000" s="1" t="str">
        <f>IFERROR(__xludf.DUMMYFUNCTION("""COMPUTED_VALUE"""),"VALID")</f>
        <v>VALID</v>
      </c>
      <c r="V1000" s="1">
        <f>IFERROR(__xludf.DUMMYFUNCTION("""COMPUTED_VALUE"""),21.0)</f>
        <v>21</v>
      </c>
      <c r="W1000" s="1">
        <f>IFERROR(__xludf.DUMMYFUNCTION("""COMPUTED_VALUE"""),229.0)</f>
        <v>229</v>
      </c>
      <c r="X1000" s="1">
        <f>IFERROR(__xludf.DUMMYFUNCTION("""COMPUTED_VALUE"""),200.0)</f>
        <v>200</v>
      </c>
      <c r="Y1000" s="2"/>
      <c r="Z1000" s="2"/>
    </row>
    <row r="1001">
      <c r="A1001" s="1">
        <f>IFERROR(__xludf.DUMMYFUNCTION("""COMPUTED_VALUE"""),1000.0)</f>
        <v>1000</v>
      </c>
      <c r="B1001" s="1">
        <f>IFERROR(__xludf.DUMMYFUNCTION("""COMPUTED_VALUE"""),7092.0)</f>
        <v>7092</v>
      </c>
      <c r="C1001" s="2" t="str">
        <f>IFERROR(__xludf.DUMMYFUNCTION("""COMPUTED_VALUE"""),"Rusdy")</f>
        <v>Rusdy</v>
      </c>
      <c r="D1001" s="2" t="str">
        <f>IFERROR(__xludf.DUMMYFUNCTION("""COMPUTED_VALUE"""),"5KM MASTER M")</f>
        <v>5KM MASTER M</v>
      </c>
      <c r="E1001" s="1">
        <f>IFERROR(__xludf.DUMMYFUNCTION("""COMPUTED_VALUE"""),2.0)</f>
        <v>2</v>
      </c>
      <c r="F1001" s="1" t="str">
        <f>IFERROR(__xludf.DUMMYFUNCTION("""COMPUTED_VALUE"""),"Male")</f>
        <v>Male</v>
      </c>
      <c r="G1001" s="4" t="b">
        <f>IFERROR(__xludf.DUMMYFUNCTION("""COMPUTED_VALUE"""),TRUE)</f>
        <v>1</v>
      </c>
      <c r="H1001" s="4" t="b">
        <f>IFERROR(__xludf.DUMMYFUNCTION("""COMPUTED_VALUE"""),TRUE)</f>
        <v>1</v>
      </c>
      <c r="I1001" s="4">
        <f>IFERROR(__xludf.DUMMYFUNCTION("""COMPUTED_VALUE"""),0.2549440625)</f>
        <v>0.2549440625</v>
      </c>
      <c r="J1001" s="4">
        <f>IFERROR(__xludf.DUMMYFUNCTION("""COMPUTED_VALUE"""),45949.27203714277)</f>
        <v>45949.27204</v>
      </c>
      <c r="K1001" s="4" t="str">
        <f>IFERROR(__xludf.DUMMYFUNCTION("""COMPUTED_VALUE"""),"")</f>
        <v/>
      </c>
      <c r="L1001" s="4">
        <f>IFERROR(__xludf.DUMMYFUNCTION("""COMPUTED_VALUE"""),45949.282987679115)</f>
        <v>45949.28299</v>
      </c>
      <c r="M1001" s="1" t="str">
        <f>IFERROR(__xludf.DUMMYFUNCTION("""COMPUTED_VALUE"""),"RFID")</f>
        <v>RFID</v>
      </c>
      <c r="N1001" s="5">
        <f>IFERROR(__xludf.DUMMYFUNCTION("""COMPUTED_VALUE"""),0.0068372314814814815)</f>
        <v>0.006837231481</v>
      </c>
      <c r="O1001" s="5" t="str">
        <f>IFERROR(__xludf.DUMMYFUNCTION("""COMPUTED_VALUE"""),"")</f>
        <v/>
      </c>
      <c r="P1001" s="5" t="str">
        <f>IFERROR(__xludf.DUMMYFUNCTION("""COMPUTED_VALUE"""),"")</f>
        <v/>
      </c>
      <c r="Q1001" s="5">
        <f>IFERROR(__xludf.DUMMYFUNCTION("""COMPUTED_VALUE"""),0.0056087222222222215)</f>
        <v>0.005608722222</v>
      </c>
      <c r="R1001" s="4">
        <f>IFERROR(__xludf.DUMMYFUNCTION("""COMPUTED_VALUE"""),45949.028043616614)</f>
        <v>45949.02804</v>
      </c>
      <c r="S1001" s="1" t="b">
        <f>IFERROR(__xludf.DUMMYFUNCTION("""COMPUTED_VALUE"""),TRUE)</f>
        <v>1</v>
      </c>
      <c r="T1001" s="1" t="b">
        <f>IFERROR(__xludf.DUMMYFUNCTION("""COMPUTED_VALUE"""),FALSE)</f>
        <v>0</v>
      </c>
      <c r="U1001" s="1" t="str">
        <f>IFERROR(__xludf.DUMMYFUNCTION("""COMPUTED_VALUE"""),"VALID")</f>
        <v>VALID</v>
      </c>
      <c r="V1001" s="1">
        <f>IFERROR(__xludf.DUMMYFUNCTION("""COMPUTED_VALUE"""),43.0)</f>
        <v>43</v>
      </c>
      <c r="W1001" s="1">
        <f>IFERROR(__xludf.DUMMYFUNCTION("""COMPUTED_VALUE"""),435.0)</f>
        <v>435</v>
      </c>
      <c r="X1001" s="1">
        <f>IFERROR(__xludf.DUMMYFUNCTION("""COMPUTED_VALUE"""),376.0)</f>
        <v>376</v>
      </c>
      <c r="Y1001" s="2"/>
      <c r="Z1001" s="2"/>
    </row>
    <row r="1002">
      <c r="A1002" s="1">
        <f>IFERROR(__xludf.DUMMYFUNCTION("""COMPUTED_VALUE"""),1001.0)</f>
        <v>1001</v>
      </c>
      <c r="B1002" s="1">
        <f>IFERROR(__xludf.DUMMYFUNCTION("""COMPUTED_VALUE"""),7095.0)</f>
        <v>7095</v>
      </c>
      <c r="C1002" s="2" t="str">
        <f>IFERROR(__xludf.DUMMYFUNCTION("""COMPUTED_VALUE"""),"Hosy")</f>
        <v>Hosy</v>
      </c>
      <c r="D1002" s="2" t="str">
        <f>IFERROR(__xludf.DUMMYFUNCTION("""COMPUTED_VALUE"""),"5KM MASTER M")</f>
        <v>5KM MASTER M</v>
      </c>
      <c r="E1002" s="1">
        <f>IFERROR(__xludf.DUMMYFUNCTION("""COMPUTED_VALUE"""),2.0)</f>
        <v>2</v>
      </c>
      <c r="F1002" s="1" t="str">
        <f>IFERROR(__xludf.DUMMYFUNCTION("""COMPUTED_VALUE"""),"Male")</f>
        <v>Male</v>
      </c>
      <c r="G1002" s="4" t="b">
        <f>IFERROR(__xludf.DUMMYFUNCTION("""COMPUTED_VALUE"""),TRUE)</f>
        <v>1</v>
      </c>
      <c r="H1002" s="4" t="b">
        <f>IFERROR(__xludf.DUMMYFUNCTION("""COMPUTED_VALUE"""),TRUE)</f>
        <v>1</v>
      </c>
      <c r="I1002" s="4">
        <f>IFERROR(__xludf.DUMMYFUNCTION("""COMPUTED_VALUE"""),0.2549440625)</f>
        <v>0.2549440625</v>
      </c>
      <c r="J1002" s="4">
        <f>IFERROR(__xludf.DUMMYFUNCTION("""COMPUTED_VALUE"""),45949.277245490484)</f>
        <v>45949.27725</v>
      </c>
      <c r="K1002" s="4" t="str">
        <f>IFERROR(__xludf.DUMMYFUNCTION("""COMPUTED_VALUE"""),"")</f>
        <v/>
      </c>
      <c r="L1002" s="4">
        <f>IFERROR(__xludf.DUMMYFUNCTION("""COMPUTED_VALUE"""),45949.29244253565)</f>
        <v>45949.29244</v>
      </c>
      <c r="M1002" s="1" t="str">
        <f>IFERROR(__xludf.DUMMYFUNCTION("""COMPUTED_VALUE"""),"RFID")</f>
        <v>RFID</v>
      </c>
      <c r="N1002" s="5">
        <f>IFERROR(__xludf.DUMMYFUNCTION("""COMPUTED_VALUE"""),0.008920569444444445)</f>
        <v>0.008920569444</v>
      </c>
      <c r="O1002" s="5" t="str">
        <f>IFERROR(__xludf.DUMMYFUNCTION("""COMPUTED_VALUE"""),"")</f>
        <v/>
      </c>
      <c r="P1002" s="5" t="str">
        <f>IFERROR(__xludf.DUMMYFUNCTION("""COMPUTED_VALUE"""),"")</f>
        <v/>
      </c>
      <c r="Q1002" s="5">
        <f>IFERROR(__xludf.DUMMYFUNCTION("""COMPUTED_VALUE"""),0.007499694444444445)</f>
        <v>0.007499694444</v>
      </c>
      <c r="R1002" s="4">
        <f>IFERROR(__xludf.DUMMYFUNCTION("""COMPUTED_VALUE"""),45949.037498473146)</f>
        <v>45949.0375</v>
      </c>
      <c r="S1002" s="1" t="b">
        <f>IFERROR(__xludf.DUMMYFUNCTION("""COMPUTED_VALUE"""),TRUE)</f>
        <v>1</v>
      </c>
      <c r="T1002" s="1" t="b">
        <f>IFERROR(__xludf.DUMMYFUNCTION("""COMPUTED_VALUE"""),FALSE)</f>
        <v>0</v>
      </c>
      <c r="U1002" s="1" t="str">
        <f>IFERROR(__xludf.DUMMYFUNCTION("""COMPUTED_VALUE"""),"VALID")</f>
        <v>VALID</v>
      </c>
      <c r="V1002" s="1">
        <f>IFERROR(__xludf.DUMMYFUNCTION("""COMPUTED_VALUE"""),78.0)</f>
        <v>78</v>
      </c>
      <c r="W1002" s="1">
        <f>IFERROR(__xludf.DUMMYFUNCTION("""COMPUTED_VALUE"""),1057.0)</f>
        <v>1057</v>
      </c>
      <c r="X1002" s="1">
        <f>IFERROR(__xludf.DUMMYFUNCTION("""COMPUTED_VALUE"""),844.0)</f>
        <v>844</v>
      </c>
      <c r="Y1002" s="2"/>
      <c r="Z1002" s="2"/>
    </row>
    <row r="1003">
      <c r="A1003" s="1">
        <f>IFERROR(__xludf.DUMMYFUNCTION("""COMPUTED_VALUE"""),1002.0)</f>
        <v>1002</v>
      </c>
      <c r="B1003" s="1">
        <f>IFERROR(__xludf.DUMMYFUNCTION("""COMPUTED_VALUE"""),7097.0)</f>
        <v>7097</v>
      </c>
      <c r="C1003" s="2" t="str">
        <f>IFERROR(__xludf.DUMMYFUNCTION("""COMPUTED_VALUE"""),"RIFKI")</f>
        <v>RIFKI</v>
      </c>
      <c r="D1003" s="2" t="str">
        <f>IFERROR(__xludf.DUMMYFUNCTION("""COMPUTED_VALUE"""),"5KM MASTER M")</f>
        <v>5KM MASTER M</v>
      </c>
      <c r="E1003" s="1">
        <f>IFERROR(__xludf.DUMMYFUNCTION("""COMPUTED_VALUE"""),2.0)</f>
        <v>2</v>
      </c>
      <c r="F1003" s="1" t="str">
        <f>IFERROR(__xludf.DUMMYFUNCTION("""COMPUTED_VALUE"""),"Male")</f>
        <v>Male</v>
      </c>
      <c r="G1003" s="4" t="b">
        <f>IFERROR(__xludf.DUMMYFUNCTION("""COMPUTED_VALUE"""),TRUE)</f>
        <v>1</v>
      </c>
      <c r="H1003" s="4" t="b">
        <f>IFERROR(__xludf.DUMMYFUNCTION("""COMPUTED_VALUE"""),FALSE)</f>
        <v>0</v>
      </c>
      <c r="I1003" s="4">
        <f>IFERROR(__xludf.DUMMYFUNCTION("""COMPUTED_VALUE"""),0.2549440625)</f>
        <v>0.2549440625</v>
      </c>
      <c r="J1003" s="4">
        <f>IFERROR(__xludf.DUMMYFUNCTION("""COMPUTED_VALUE"""),45949.2657663275)</f>
        <v>45949.26577</v>
      </c>
      <c r="K1003" s="4" t="str">
        <f>IFERROR(__xludf.DUMMYFUNCTION("""COMPUTED_VALUE"""),"")</f>
        <v/>
      </c>
      <c r="L1003" s="4">
        <f>IFERROR(__xludf.DUMMYFUNCTION("""COMPUTED_VALUE"""),45949.27447031776)</f>
        <v>45949.27447</v>
      </c>
      <c r="M1003" s="1" t="str">
        <f>IFERROR(__xludf.DUMMYFUNCTION("""COMPUTED_VALUE"""),"RFID")</f>
        <v>RFID</v>
      </c>
      <c r="N1003" s="5">
        <f>IFERROR(__xludf.DUMMYFUNCTION("""COMPUTED_VALUE"""),0.004328907407407407)</f>
        <v>0.004328907407</v>
      </c>
      <c r="O1003" s="5" t="str">
        <f>IFERROR(__xludf.DUMMYFUNCTION("""COMPUTED_VALUE"""),"")</f>
        <v/>
      </c>
      <c r="P1003" s="5" t="str">
        <f>IFERROR(__xludf.DUMMYFUNCTION("""COMPUTED_VALUE"""),"")</f>
        <v/>
      </c>
      <c r="Q1003" s="5">
        <f>IFERROR(__xludf.DUMMYFUNCTION("""COMPUTED_VALUE"""),0.00390525)</f>
        <v>0.00390525</v>
      </c>
      <c r="R1003" s="4">
        <f>IFERROR(__xludf.DUMMYFUNCTION("""COMPUTED_VALUE"""),45949.01952625526)</f>
        <v>45949.01953</v>
      </c>
      <c r="S1003" s="1" t="b">
        <f>IFERROR(__xludf.DUMMYFUNCTION("""COMPUTED_VALUE"""),TRUE)</f>
        <v>1</v>
      </c>
      <c r="T1003" s="1" t="b">
        <f>IFERROR(__xludf.DUMMYFUNCTION("""COMPUTED_VALUE"""),FALSE)</f>
        <v>0</v>
      </c>
      <c r="U1003" s="1" t="str">
        <f>IFERROR(__xludf.DUMMYFUNCTION("""COMPUTED_VALUE"""),"VALID")</f>
        <v>VALID</v>
      </c>
      <c r="V1003" s="1">
        <f>IFERROR(__xludf.DUMMYFUNCTION("""COMPUTED_VALUE"""),10.0)</f>
        <v>10</v>
      </c>
      <c r="W1003" s="1">
        <f>IFERROR(__xludf.DUMMYFUNCTION("""COMPUTED_VALUE"""),106.0)</f>
        <v>106</v>
      </c>
      <c r="X1003" s="1">
        <f>IFERROR(__xludf.DUMMYFUNCTION("""COMPUTED_VALUE"""),95.0)</f>
        <v>95</v>
      </c>
      <c r="Y1003" s="2"/>
      <c r="Z1003" s="2"/>
    </row>
    <row r="1004">
      <c r="A1004" s="1">
        <f>IFERROR(__xludf.DUMMYFUNCTION("""COMPUTED_VALUE"""),1003.0)</f>
        <v>1003</v>
      </c>
      <c r="B1004" s="1">
        <f>IFERROR(__xludf.DUMMYFUNCTION("""COMPUTED_VALUE"""),7098.0)</f>
        <v>7098</v>
      </c>
      <c r="C1004" s="2" t="str">
        <f>IFERROR(__xludf.DUMMYFUNCTION("""COMPUTED_VALUE"""),"ahwan FD")</f>
        <v>ahwan FD</v>
      </c>
      <c r="D1004" s="2" t="str">
        <f>IFERROR(__xludf.DUMMYFUNCTION("""COMPUTED_VALUE"""),"5KM MASTER M")</f>
        <v>5KM MASTER M</v>
      </c>
      <c r="E1004" s="1">
        <f>IFERROR(__xludf.DUMMYFUNCTION("""COMPUTED_VALUE"""),2.0)</f>
        <v>2</v>
      </c>
      <c r="F1004" s="1" t="str">
        <f>IFERROR(__xludf.DUMMYFUNCTION("""COMPUTED_VALUE"""),"Male")</f>
        <v>Male</v>
      </c>
      <c r="G1004" s="4" t="b">
        <f>IFERROR(__xludf.DUMMYFUNCTION("""COMPUTED_VALUE"""),TRUE)</f>
        <v>1</v>
      </c>
      <c r="H1004" s="4" t="b">
        <f>IFERROR(__xludf.DUMMYFUNCTION("""COMPUTED_VALUE"""),TRUE)</f>
        <v>1</v>
      </c>
      <c r="I1004" s="4">
        <f>IFERROR(__xludf.DUMMYFUNCTION("""COMPUTED_VALUE"""),0.2549440625)</f>
        <v>0.2549440625</v>
      </c>
      <c r="J1004" s="4">
        <f>IFERROR(__xludf.DUMMYFUNCTION("""COMPUTED_VALUE"""),45949.270339202965)</f>
        <v>45949.27034</v>
      </c>
      <c r="K1004" s="4" t="str">
        <f>IFERROR(__xludf.DUMMYFUNCTION("""COMPUTED_VALUE"""),"")</f>
        <v/>
      </c>
      <c r="L1004" s="4">
        <f>IFERROR(__xludf.DUMMYFUNCTION("""COMPUTED_VALUE"""),45949.28135225822)</f>
        <v>45949.28135</v>
      </c>
      <c r="M1004" s="1" t="str">
        <f>IFERROR(__xludf.DUMMYFUNCTION("""COMPUTED_VALUE"""),"RFID")</f>
        <v>RFID</v>
      </c>
      <c r="N1004" s="5">
        <f>IFERROR(__xludf.DUMMYFUNCTION("""COMPUTED_VALUE"""),0.006158055555555556)</f>
        <v>0.006158055556</v>
      </c>
      <c r="O1004" s="5" t="str">
        <f>IFERROR(__xludf.DUMMYFUNCTION("""COMPUTED_VALUE"""),"")</f>
        <v/>
      </c>
      <c r="P1004" s="5" t="str">
        <f>IFERROR(__xludf.DUMMYFUNCTION("""COMPUTED_VALUE"""),"")</f>
        <v/>
      </c>
      <c r="Q1004" s="5">
        <f>IFERROR(__xludf.DUMMYFUNCTION("""COMPUTED_VALUE"""),0.0052816388888888895)</f>
        <v>0.005281638889</v>
      </c>
      <c r="R1004" s="4">
        <f>IFERROR(__xludf.DUMMYFUNCTION("""COMPUTED_VALUE"""),45949.02640819572)</f>
        <v>45949.02641</v>
      </c>
      <c r="S1004" s="1" t="b">
        <f>IFERROR(__xludf.DUMMYFUNCTION("""COMPUTED_VALUE"""),TRUE)</f>
        <v>1</v>
      </c>
      <c r="T1004" s="1" t="b">
        <f>IFERROR(__xludf.DUMMYFUNCTION("""COMPUTED_VALUE"""),FALSE)</f>
        <v>0</v>
      </c>
      <c r="U1004" s="1" t="str">
        <f>IFERROR(__xludf.DUMMYFUNCTION("""COMPUTED_VALUE"""),"VALID")</f>
        <v>VALID</v>
      </c>
      <c r="V1004" s="1">
        <f>IFERROR(__xludf.DUMMYFUNCTION("""COMPUTED_VALUE"""),37.0)</f>
        <v>37</v>
      </c>
      <c r="W1004" s="1">
        <f>IFERROR(__xludf.DUMMYFUNCTION("""COMPUTED_VALUE"""),354.0)</f>
        <v>354</v>
      </c>
      <c r="X1004" s="1">
        <f>IFERROR(__xludf.DUMMYFUNCTION("""COMPUTED_VALUE"""),308.0)</f>
        <v>308</v>
      </c>
      <c r="Y1004" s="2"/>
      <c r="Z1004" s="2"/>
    </row>
    <row r="1005">
      <c r="A1005" s="1">
        <f>IFERROR(__xludf.DUMMYFUNCTION("""COMPUTED_VALUE"""),1004.0)</f>
        <v>1004</v>
      </c>
      <c r="B1005" s="1">
        <f>IFERROR(__xludf.DUMMYFUNCTION("""COMPUTED_VALUE"""),7099.0)</f>
        <v>7099</v>
      </c>
      <c r="C1005" s="2" t="str">
        <f>IFERROR(__xludf.DUMMYFUNCTION("""COMPUTED_VALUE"""),"ismail")</f>
        <v>ismail</v>
      </c>
      <c r="D1005" s="2" t="str">
        <f>IFERROR(__xludf.DUMMYFUNCTION("""COMPUTED_VALUE"""),"5KM MASTER M")</f>
        <v>5KM MASTER M</v>
      </c>
      <c r="E1005" s="1">
        <f>IFERROR(__xludf.DUMMYFUNCTION("""COMPUTED_VALUE"""),2.0)</f>
        <v>2</v>
      </c>
      <c r="F1005" s="1" t="str">
        <f>IFERROR(__xludf.DUMMYFUNCTION("""COMPUTED_VALUE"""),"Male")</f>
        <v>Male</v>
      </c>
      <c r="G1005" s="4" t="b">
        <f>IFERROR(__xludf.DUMMYFUNCTION("""COMPUTED_VALUE"""),TRUE)</f>
        <v>1</v>
      </c>
      <c r="H1005" s="4" t="b">
        <f>IFERROR(__xludf.DUMMYFUNCTION("""COMPUTED_VALUE"""),TRUE)</f>
        <v>1</v>
      </c>
      <c r="I1005" s="4">
        <f>IFERROR(__xludf.DUMMYFUNCTION("""COMPUTED_VALUE"""),0.2549440625)</f>
        <v>0.2549440625</v>
      </c>
      <c r="J1005" s="4">
        <f>IFERROR(__xludf.DUMMYFUNCTION("""COMPUTED_VALUE"""),45949.28698502038)</f>
        <v>45949.28699</v>
      </c>
      <c r="K1005" s="4" t="str">
        <f>IFERROR(__xludf.DUMMYFUNCTION("""COMPUTED_VALUE"""),"")</f>
        <v/>
      </c>
      <c r="L1005" s="4">
        <f>IFERROR(__xludf.DUMMYFUNCTION("""COMPUTED_VALUE"""),45949.31280017296)</f>
        <v>45949.3128</v>
      </c>
      <c r="M1005" s="1" t="str">
        <f>IFERROR(__xludf.DUMMYFUNCTION("""COMPUTED_VALUE"""),"RFID")</f>
        <v>RFID</v>
      </c>
      <c r="N1005" s="5">
        <f>IFERROR(__xludf.DUMMYFUNCTION("""COMPUTED_VALUE"""),0.012816384259259258)</f>
        <v>0.01281638426</v>
      </c>
      <c r="O1005" s="5" t="str">
        <f>IFERROR(__xludf.DUMMYFUNCTION("""COMPUTED_VALUE"""),"")</f>
        <v/>
      </c>
      <c r="P1005" s="5" t="str">
        <f>IFERROR(__xludf.DUMMYFUNCTION("""COMPUTED_VALUE"""),"")</f>
        <v/>
      </c>
      <c r="Q1005" s="5">
        <f>IFERROR(__xludf.DUMMYFUNCTION("""COMPUTED_VALUE"""),0.011571222222222222)</f>
        <v>0.01157122222</v>
      </c>
      <c r="R1005" s="4">
        <f>IFERROR(__xludf.DUMMYFUNCTION("""COMPUTED_VALUE"""),45949.057856110456)</f>
        <v>45949.05786</v>
      </c>
      <c r="S1005" s="1" t="b">
        <f>IFERROR(__xludf.DUMMYFUNCTION("""COMPUTED_VALUE"""),TRUE)</f>
        <v>1</v>
      </c>
      <c r="T1005" s="1" t="b">
        <f>IFERROR(__xludf.DUMMYFUNCTION("""COMPUTED_VALUE"""),FALSE)</f>
        <v>0</v>
      </c>
      <c r="U1005" s="1" t="str">
        <f>IFERROR(__xludf.DUMMYFUNCTION("""COMPUTED_VALUE"""),"VALID")</f>
        <v>VALID</v>
      </c>
      <c r="V1005" s="1">
        <f>IFERROR(__xludf.DUMMYFUNCTION("""COMPUTED_VALUE"""),107.0)</f>
        <v>107</v>
      </c>
      <c r="W1005" s="1">
        <f>IFERROR(__xludf.DUMMYFUNCTION("""COMPUTED_VALUE"""),1610.0)</f>
        <v>1610</v>
      </c>
      <c r="X1005" s="1">
        <f>IFERROR(__xludf.DUMMYFUNCTION("""COMPUTED_VALUE"""),1582.0)</f>
        <v>1582</v>
      </c>
      <c r="Y1005" s="2"/>
      <c r="Z1005" s="2"/>
    </row>
    <row r="1006">
      <c r="A1006" s="1">
        <f>IFERROR(__xludf.DUMMYFUNCTION("""COMPUTED_VALUE"""),1005.0)</f>
        <v>1005</v>
      </c>
      <c r="B1006" s="1">
        <f>IFERROR(__xludf.DUMMYFUNCTION("""COMPUTED_VALUE"""),7102.0)</f>
        <v>7102</v>
      </c>
      <c r="C1006" s="2" t="str">
        <f>IFERROR(__xludf.DUMMYFUNCTION("""COMPUTED_VALUE"""),"masfal")</f>
        <v>masfal</v>
      </c>
      <c r="D1006" s="2" t="str">
        <f>IFERROR(__xludf.DUMMYFUNCTION("""COMPUTED_VALUE"""),"5KM MASTER M")</f>
        <v>5KM MASTER M</v>
      </c>
      <c r="E1006" s="1">
        <f>IFERROR(__xludf.DUMMYFUNCTION("""COMPUTED_VALUE"""),2.0)</f>
        <v>2</v>
      </c>
      <c r="F1006" s="1" t="str">
        <f>IFERROR(__xludf.DUMMYFUNCTION("""COMPUTED_VALUE"""),"Male")</f>
        <v>Male</v>
      </c>
      <c r="G1006" s="4" t="b">
        <f>IFERROR(__xludf.DUMMYFUNCTION("""COMPUTED_VALUE"""),TRUE)</f>
        <v>1</v>
      </c>
      <c r="H1006" s="4" t="b">
        <f>IFERROR(__xludf.DUMMYFUNCTION("""COMPUTED_VALUE"""),TRUE)</f>
        <v>1</v>
      </c>
      <c r="I1006" s="4">
        <f>IFERROR(__xludf.DUMMYFUNCTION("""COMPUTED_VALUE"""),0.2549440625)</f>
        <v>0.2549440625</v>
      </c>
      <c r="J1006" s="4">
        <f>IFERROR(__xludf.DUMMYFUNCTION("""COMPUTED_VALUE"""),45949.27247113914)</f>
        <v>45949.27247</v>
      </c>
      <c r="K1006" s="4" t="str">
        <f>IFERROR(__xludf.DUMMYFUNCTION("""COMPUTED_VALUE"""),"")</f>
        <v/>
      </c>
      <c r="L1006" s="4">
        <f>IFERROR(__xludf.DUMMYFUNCTION("""COMPUTED_VALUE"""),45949.28574473324)</f>
        <v>45949.28574</v>
      </c>
      <c r="M1006" s="1" t="str">
        <f>IFERROR(__xludf.DUMMYFUNCTION("""COMPUTED_VALUE"""),"RFID")</f>
        <v>RFID</v>
      </c>
      <c r="N1006" s="5">
        <f>IFERROR(__xludf.DUMMYFUNCTION("""COMPUTED_VALUE"""),0.007010828703703703)</f>
        <v>0.007010828704</v>
      </c>
      <c r="O1006" s="5" t="str">
        <f>IFERROR(__xludf.DUMMYFUNCTION("""COMPUTED_VALUE"""),"")</f>
        <v/>
      </c>
      <c r="P1006" s="5" t="str">
        <f>IFERROR(__xludf.DUMMYFUNCTION("""COMPUTED_VALUE"""),"")</f>
        <v/>
      </c>
      <c r="Q1006" s="5">
        <f>IFERROR(__xludf.DUMMYFUNCTION("""COMPUTED_VALUE"""),0.006160134259259259)</f>
        <v>0.006160134259</v>
      </c>
      <c r="R1006" s="4">
        <f>IFERROR(__xludf.DUMMYFUNCTION("""COMPUTED_VALUE"""),45949.03080067074)</f>
        <v>45949.0308</v>
      </c>
      <c r="S1006" s="1" t="b">
        <f>IFERROR(__xludf.DUMMYFUNCTION("""COMPUTED_VALUE"""),TRUE)</f>
        <v>1</v>
      </c>
      <c r="T1006" s="1" t="b">
        <f>IFERROR(__xludf.DUMMYFUNCTION("""COMPUTED_VALUE"""),FALSE)</f>
        <v>0</v>
      </c>
      <c r="U1006" s="1" t="str">
        <f>IFERROR(__xludf.DUMMYFUNCTION("""COMPUTED_VALUE"""),"VALID")</f>
        <v>VALID</v>
      </c>
      <c r="V1006" s="1">
        <f>IFERROR(__xludf.DUMMYFUNCTION("""COMPUTED_VALUE"""),56.0)</f>
        <v>56</v>
      </c>
      <c r="W1006" s="1">
        <f>IFERROR(__xludf.DUMMYFUNCTION("""COMPUTED_VALUE"""),618.0)</f>
        <v>618</v>
      </c>
      <c r="X1006" s="1">
        <f>IFERROR(__xludf.DUMMYFUNCTION("""COMPUTED_VALUE"""),518.0)</f>
        <v>518</v>
      </c>
      <c r="Y1006" s="2"/>
      <c r="Z1006" s="2"/>
    </row>
    <row r="1007">
      <c r="A1007" s="1">
        <f>IFERROR(__xludf.DUMMYFUNCTION("""COMPUTED_VALUE"""),1006.0)</f>
        <v>1006</v>
      </c>
      <c r="B1007" s="1">
        <f>IFERROR(__xludf.DUMMYFUNCTION("""COMPUTED_VALUE"""),7103.0)</f>
        <v>7103</v>
      </c>
      <c r="C1007" s="2" t="str">
        <f>IFERROR(__xludf.DUMMYFUNCTION("""COMPUTED_VALUE"""),"AMRUL")</f>
        <v>AMRUL</v>
      </c>
      <c r="D1007" s="2" t="str">
        <f>IFERROR(__xludf.DUMMYFUNCTION("""COMPUTED_VALUE"""),"5KM MASTER M")</f>
        <v>5KM MASTER M</v>
      </c>
      <c r="E1007" s="1">
        <f>IFERROR(__xludf.DUMMYFUNCTION("""COMPUTED_VALUE"""),2.0)</f>
        <v>2</v>
      </c>
      <c r="F1007" s="1" t="str">
        <f>IFERROR(__xludf.DUMMYFUNCTION("""COMPUTED_VALUE"""),"Male")</f>
        <v>Male</v>
      </c>
      <c r="G1007" s="4" t="str">
        <f>IFERROR(__xludf.DUMMYFUNCTION("""COMPUTED_VALUE"""),"")</f>
        <v/>
      </c>
      <c r="H1007" s="4" t="b">
        <f>IFERROR(__xludf.DUMMYFUNCTION("""COMPUTED_VALUE"""),FALSE)</f>
        <v>0</v>
      </c>
      <c r="I1007" s="4">
        <f>IFERROR(__xludf.DUMMYFUNCTION("""COMPUTED_VALUE"""),0.2549440625)</f>
        <v>0.2549440625</v>
      </c>
      <c r="J1007" s="4" t="str">
        <f>IFERROR(__xludf.DUMMYFUNCTION("""COMPUTED_VALUE"""),"")</f>
        <v/>
      </c>
      <c r="K1007" s="4" t="str">
        <f>IFERROR(__xludf.DUMMYFUNCTION("""COMPUTED_VALUE"""),"")</f>
        <v/>
      </c>
      <c r="L1007" s="4" t="str">
        <f>IFERROR(__xludf.DUMMYFUNCTION("""COMPUTED_VALUE"""),"")</f>
        <v/>
      </c>
      <c r="M1007" s="1" t="str">
        <f>IFERROR(__xludf.DUMMYFUNCTION("""COMPUTED_VALUE"""),"RFID")</f>
        <v>RFID</v>
      </c>
      <c r="N1007" s="5" t="str">
        <f>IFERROR(__xludf.DUMMYFUNCTION("""COMPUTED_VALUE"""),"")</f>
        <v/>
      </c>
      <c r="O1007" s="5" t="str">
        <f>IFERROR(__xludf.DUMMYFUNCTION("""COMPUTED_VALUE"""),"")</f>
        <v/>
      </c>
      <c r="P1007" s="5" t="str">
        <f>IFERROR(__xludf.DUMMYFUNCTION("""COMPUTED_VALUE"""),"")</f>
        <v/>
      </c>
      <c r="Q1007" s="5" t="str">
        <f>IFERROR(__xludf.DUMMYFUNCTION("""COMPUTED_VALUE"""),"")</f>
        <v/>
      </c>
      <c r="R1007" s="4" t="str">
        <f>IFERROR(__xludf.DUMMYFUNCTION("""COMPUTED_VALUE"""),"")</f>
        <v/>
      </c>
      <c r="S1007" s="1" t="b">
        <f>IFERROR(__xludf.DUMMYFUNCTION("""COMPUTED_VALUE"""),FALSE)</f>
        <v>0</v>
      </c>
      <c r="T1007" s="1" t="b">
        <f>IFERROR(__xludf.DUMMYFUNCTION("""COMPUTED_VALUE"""),FALSE)</f>
        <v>0</v>
      </c>
      <c r="U1007" s="1" t="str">
        <f>IFERROR(__xludf.DUMMYFUNCTION("""COMPUTED_VALUE"""),"DSQ")</f>
        <v>DSQ</v>
      </c>
      <c r="V1007" s="1" t="str">
        <f>IFERROR(__xludf.DUMMYFUNCTION("""COMPUTED_VALUE"""),"DSQ")</f>
        <v>DSQ</v>
      </c>
      <c r="W1007" s="1" t="str">
        <f>IFERROR(__xludf.DUMMYFUNCTION("""COMPUTED_VALUE"""),"DSQ")</f>
        <v>DSQ</v>
      </c>
      <c r="X1007" s="1" t="str">
        <f>IFERROR(__xludf.DUMMYFUNCTION("""COMPUTED_VALUE"""),"DSQ")</f>
        <v>DSQ</v>
      </c>
      <c r="Y1007" s="2"/>
      <c r="Z1007" s="2" t="str">
        <f>IFERROR(__xludf.DUMMYFUNCTION("""COMPUTED_VALUE"""),"")</f>
        <v/>
      </c>
    </row>
    <row r="1008">
      <c r="A1008" s="1">
        <f>IFERROR(__xludf.DUMMYFUNCTION("""COMPUTED_VALUE"""),1007.0)</f>
        <v>1007</v>
      </c>
      <c r="B1008" s="1">
        <f>IFERROR(__xludf.DUMMYFUNCTION("""COMPUTED_VALUE"""),7104.0)</f>
        <v>7104</v>
      </c>
      <c r="C1008" s="2" t="str">
        <f>IFERROR(__xludf.DUMMYFUNCTION("""COMPUTED_VALUE"""),"Abdul Majid")</f>
        <v>Abdul Majid</v>
      </c>
      <c r="D1008" s="2" t="str">
        <f>IFERROR(__xludf.DUMMYFUNCTION("""COMPUTED_VALUE"""),"5KM MASTER M")</f>
        <v>5KM MASTER M</v>
      </c>
      <c r="E1008" s="1">
        <f>IFERROR(__xludf.DUMMYFUNCTION("""COMPUTED_VALUE"""),2.0)</f>
        <v>2</v>
      </c>
      <c r="F1008" s="1" t="str">
        <f>IFERROR(__xludf.DUMMYFUNCTION("""COMPUTED_VALUE"""),"Male")</f>
        <v>Male</v>
      </c>
      <c r="G1008" s="4" t="b">
        <f>IFERROR(__xludf.DUMMYFUNCTION("""COMPUTED_VALUE"""),TRUE)</f>
        <v>1</v>
      </c>
      <c r="H1008" s="4" t="b">
        <f>IFERROR(__xludf.DUMMYFUNCTION("""COMPUTED_VALUE"""),TRUE)</f>
        <v>1</v>
      </c>
      <c r="I1008" s="4">
        <f>IFERROR(__xludf.DUMMYFUNCTION("""COMPUTED_VALUE"""),0.2549440625)</f>
        <v>0.2549440625</v>
      </c>
      <c r="J1008" s="4">
        <f>IFERROR(__xludf.DUMMYFUNCTION("""COMPUTED_VALUE"""),45949.27338085645)</f>
        <v>45949.27338</v>
      </c>
      <c r="K1008" s="4" t="str">
        <f>IFERROR(__xludf.DUMMYFUNCTION("""COMPUTED_VALUE"""),"")</f>
        <v/>
      </c>
      <c r="L1008" s="4" t="str">
        <f>IFERROR(__xludf.DUMMYFUNCTION("""COMPUTED_VALUE"""),"")</f>
        <v/>
      </c>
      <c r="M1008" s="1" t="str">
        <f>IFERROR(__xludf.DUMMYFUNCTION("""COMPUTED_VALUE"""),"RFID")</f>
        <v>RFID</v>
      </c>
      <c r="N1008" s="5">
        <f>IFERROR(__xludf.DUMMYFUNCTION("""COMPUTED_VALUE"""),0.007374717592592593)</f>
        <v>0.007374717593</v>
      </c>
      <c r="O1008" s="5" t="str">
        <f>IFERROR(__xludf.DUMMYFUNCTION("""COMPUTED_VALUE"""),"")</f>
        <v/>
      </c>
      <c r="P1008" s="5" t="str">
        <f>IFERROR(__xludf.DUMMYFUNCTION("""COMPUTED_VALUE"""),"")</f>
        <v/>
      </c>
      <c r="Q1008" s="5" t="str">
        <f>IFERROR(__xludf.DUMMYFUNCTION("""COMPUTED_VALUE"""),"")</f>
        <v/>
      </c>
      <c r="R1008" s="4" t="str">
        <f>IFERROR(__xludf.DUMMYFUNCTION("""COMPUTED_VALUE"""),"")</f>
        <v/>
      </c>
      <c r="S1008" s="1" t="b">
        <f>IFERROR(__xludf.DUMMYFUNCTION("""COMPUTED_VALUE"""),TRUE)</f>
        <v>1</v>
      </c>
      <c r="T1008" s="1" t="b">
        <f>IFERROR(__xludf.DUMMYFUNCTION("""COMPUTED_VALUE"""),FALSE)</f>
        <v>0</v>
      </c>
      <c r="U1008" s="1" t="str">
        <f>IFERROR(__xludf.DUMMYFUNCTION("""COMPUTED_VALUE"""),"DNF")</f>
        <v>DNF</v>
      </c>
      <c r="V1008" s="1" t="str">
        <f>IFERROR(__xludf.DUMMYFUNCTION("""COMPUTED_VALUE"""),"DNF")</f>
        <v>DNF</v>
      </c>
      <c r="W1008" s="1" t="str">
        <f>IFERROR(__xludf.DUMMYFUNCTION("""COMPUTED_VALUE"""),"DNF")</f>
        <v>DNF</v>
      </c>
      <c r="X1008" s="1" t="str">
        <f>IFERROR(__xludf.DUMMYFUNCTION("""COMPUTED_VALUE"""),"DNF")</f>
        <v>DNF</v>
      </c>
      <c r="Y1008" s="2" t="str">
        <f>IFERROR(__xludf.DUMMYFUNCTION("""COMPUTED_VALUE"""),"tidak terlihat di finish")</f>
        <v>tidak terlihat di finish</v>
      </c>
      <c r="Z1008" s="2"/>
    </row>
    <row r="1009">
      <c r="A1009" s="1">
        <f>IFERROR(__xludf.DUMMYFUNCTION("""COMPUTED_VALUE"""),1008.0)</f>
        <v>1008</v>
      </c>
      <c r="B1009" s="1">
        <f>IFERROR(__xludf.DUMMYFUNCTION("""COMPUTED_VALUE"""),7105.0)</f>
        <v>7105</v>
      </c>
      <c r="C1009" s="2" t="str">
        <f>IFERROR(__xludf.DUMMYFUNCTION("""COMPUTED_VALUE"""),"Isra'")</f>
        <v>Isra'</v>
      </c>
      <c r="D1009" s="2" t="str">
        <f>IFERROR(__xludf.DUMMYFUNCTION("""COMPUTED_VALUE"""),"5KM MASTER M")</f>
        <v>5KM MASTER M</v>
      </c>
      <c r="E1009" s="1">
        <f>IFERROR(__xludf.DUMMYFUNCTION("""COMPUTED_VALUE"""),2.0)</f>
        <v>2</v>
      </c>
      <c r="F1009" s="1" t="str">
        <f>IFERROR(__xludf.DUMMYFUNCTION("""COMPUTED_VALUE"""),"Male")</f>
        <v>Male</v>
      </c>
      <c r="G1009" s="4" t="b">
        <f>IFERROR(__xludf.DUMMYFUNCTION("""COMPUTED_VALUE"""),TRUE)</f>
        <v>1</v>
      </c>
      <c r="H1009" s="4" t="b">
        <f>IFERROR(__xludf.DUMMYFUNCTION("""COMPUTED_VALUE"""),TRUE)</f>
        <v>1</v>
      </c>
      <c r="I1009" s="4">
        <f>IFERROR(__xludf.DUMMYFUNCTION("""COMPUTED_VALUE"""),0.2549440625)</f>
        <v>0.2549440625</v>
      </c>
      <c r="J1009" s="4">
        <f>IFERROR(__xludf.DUMMYFUNCTION("""COMPUTED_VALUE"""),45949.26820775781)</f>
        <v>45949.26821</v>
      </c>
      <c r="K1009" s="4" t="str">
        <f>IFERROR(__xludf.DUMMYFUNCTION("""COMPUTED_VALUE"""),"")</f>
        <v/>
      </c>
      <c r="L1009" s="4">
        <f>IFERROR(__xludf.DUMMYFUNCTION("""COMPUTED_VALUE"""),45949.278518942716)</f>
        <v>45949.27852</v>
      </c>
      <c r="M1009" s="1" t="str">
        <f>IFERROR(__xludf.DUMMYFUNCTION("""COMPUTED_VALUE"""),"RFID")</f>
        <v>RFID</v>
      </c>
      <c r="N1009" s="5">
        <f>IFERROR(__xludf.DUMMYFUNCTION("""COMPUTED_VALUE"""),0.005305476851851851)</f>
        <v>0.005305476852</v>
      </c>
      <c r="O1009" s="5" t="str">
        <f>IFERROR(__xludf.DUMMYFUNCTION("""COMPUTED_VALUE"""),"")</f>
        <v/>
      </c>
      <c r="P1009" s="5" t="str">
        <f>IFERROR(__xludf.DUMMYFUNCTION("""COMPUTED_VALUE"""),"")</f>
        <v/>
      </c>
      <c r="Q1009" s="5">
        <f>IFERROR(__xludf.DUMMYFUNCTION("""COMPUTED_VALUE"""),0.004714976851851851)</f>
        <v>0.004714976852</v>
      </c>
      <c r="R1009" s="4">
        <f>IFERROR(__xludf.DUMMYFUNCTION("""COMPUTED_VALUE"""),45949.023574880215)</f>
        <v>45949.02357</v>
      </c>
      <c r="S1009" s="1" t="b">
        <f>IFERROR(__xludf.DUMMYFUNCTION("""COMPUTED_VALUE"""),TRUE)</f>
        <v>1</v>
      </c>
      <c r="T1009" s="1" t="b">
        <f>IFERROR(__xludf.DUMMYFUNCTION("""COMPUTED_VALUE"""),FALSE)</f>
        <v>0</v>
      </c>
      <c r="U1009" s="1" t="str">
        <f>IFERROR(__xludf.DUMMYFUNCTION("""COMPUTED_VALUE"""),"VALID")</f>
        <v>VALID</v>
      </c>
      <c r="V1009" s="1">
        <f>IFERROR(__xludf.DUMMYFUNCTION("""COMPUTED_VALUE"""),23.0)</f>
        <v>23</v>
      </c>
      <c r="W1009" s="1">
        <f>IFERROR(__xludf.DUMMYFUNCTION("""COMPUTED_VALUE"""),239.0)</f>
        <v>239</v>
      </c>
      <c r="X1009" s="1">
        <f>IFERROR(__xludf.DUMMYFUNCTION("""COMPUTED_VALUE"""),209.0)</f>
        <v>209</v>
      </c>
      <c r="Y1009" s="2"/>
      <c r="Z1009" s="2"/>
    </row>
    <row r="1010">
      <c r="A1010" s="1">
        <f>IFERROR(__xludf.DUMMYFUNCTION("""COMPUTED_VALUE"""),1009.0)</f>
        <v>1009</v>
      </c>
      <c r="B1010" s="1">
        <f>IFERROR(__xludf.DUMMYFUNCTION("""COMPUTED_VALUE"""),7106.0)</f>
        <v>7106</v>
      </c>
      <c r="C1010" s="2" t="str">
        <f>IFERROR(__xludf.DUMMYFUNCTION("""COMPUTED_VALUE"""),"SOFYAN")</f>
        <v>SOFYAN</v>
      </c>
      <c r="D1010" s="2" t="str">
        <f>IFERROR(__xludf.DUMMYFUNCTION("""COMPUTED_VALUE"""),"5KM MASTER M")</f>
        <v>5KM MASTER M</v>
      </c>
      <c r="E1010" s="1">
        <f>IFERROR(__xludf.DUMMYFUNCTION("""COMPUTED_VALUE"""),2.0)</f>
        <v>2</v>
      </c>
      <c r="F1010" s="1" t="str">
        <f>IFERROR(__xludf.DUMMYFUNCTION("""COMPUTED_VALUE"""),"Male")</f>
        <v>Male</v>
      </c>
      <c r="G1010" s="4" t="b">
        <f>IFERROR(__xludf.DUMMYFUNCTION("""COMPUTED_VALUE"""),TRUE)</f>
        <v>1</v>
      </c>
      <c r="H1010" s="4" t="b">
        <f>IFERROR(__xludf.DUMMYFUNCTION("""COMPUTED_VALUE"""),FALSE)</f>
        <v>0</v>
      </c>
      <c r="I1010" s="4">
        <f>IFERROR(__xludf.DUMMYFUNCTION("""COMPUTED_VALUE"""),0.2549440625)</f>
        <v>0.2549440625</v>
      </c>
      <c r="J1010" s="4">
        <f>IFERROR(__xludf.DUMMYFUNCTION("""COMPUTED_VALUE"""),45949.27214474134)</f>
        <v>45949.27214</v>
      </c>
      <c r="K1010" s="4" t="str">
        <f>IFERROR(__xludf.DUMMYFUNCTION("""COMPUTED_VALUE"""),"")</f>
        <v/>
      </c>
      <c r="L1010" s="4">
        <f>IFERROR(__xludf.DUMMYFUNCTION("""COMPUTED_VALUE"""),45949.28645642393)</f>
        <v>45949.28646</v>
      </c>
      <c r="M1010" s="1" t="str">
        <f>IFERROR(__xludf.DUMMYFUNCTION("""COMPUTED_VALUE"""),"RFID")</f>
        <v>RFID</v>
      </c>
      <c r="N1010" s="5">
        <f>IFERROR(__xludf.DUMMYFUNCTION("""COMPUTED_VALUE"""),0.0068802731481481475)</f>
        <v>0.006880273148</v>
      </c>
      <c r="O1010" s="5" t="str">
        <f>IFERROR(__xludf.DUMMYFUNCTION("""COMPUTED_VALUE"""),"")</f>
        <v/>
      </c>
      <c r="P1010" s="5" t="str">
        <f>IFERROR(__xludf.DUMMYFUNCTION("""COMPUTED_VALUE"""),"")</f>
        <v/>
      </c>
      <c r="Q1010" s="5">
        <f>IFERROR(__xludf.DUMMYFUNCTION("""COMPUTED_VALUE"""),0.0063024722222222215)</f>
        <v>0.006302472222</v>
      </c>
      <c r="R1010" s="4">
        <f>IFERROR(__xludf.DUMMYFUNCTION("""COMPUTED_VALUE"""),45949.03151236143)</f>
        <v>45949.03151</v>
      </c>
      <c r="S1010" s="1" t="b">
        <f>IFERROR(__xludf.DUMMYFUNCTION("""COMPUTED_VALUE"""),TRUE)</f>
        <v>1</v>
      </c>
      <c r="T1010" s="1" t="b">
        <f>IFERROR(__xludf.DUMMYFUNCTION("""COMPUTED_VALUE"""),FALSE)</f>
        <v>0</v>
      </c>
      <c r="U1010" s="1" t="str">
        <f>IFERROR(__xludf.DUMMYFUNCTION("""COMPUTED_VALUE"""),"VALID")</f>
        <v>VALID</v>
      </c>
      <c r="V1010" s="1">
        <f>IFERROR(__xludf.DUMMYFUNCTION("""COMPUTED_VALUE"""),60.0)</f>
        <v>60</v>
      </c>
      <c r="W1010" s="1">
        <f>IFERROR(__xludf.DUMMYFUNCTION("""COMPUTED_VALUE"""),664.0)</f>
        <v>664</v>
      </c>
      <c r="X1010" s="1">
        <f>IFERROR(__xludf.DUMMYFUNCTION("""COMPUTED_VALUE"""),555.0)</f>
        <v>555</v>
      </c>
      <c r="Y1010" s="2"/>
      <c r="Z1010" s="2"/>
    </row>
    <row r="1011">
      <c r="A1011" s="1">
        <f>IFERROR(__xludf.DUMMYFUNCTION("""COMPUTED_VALUE"""),1010.0)</f>
        <v>1010</v>
      </c>
      <c r="B1011" s="1">
        <f>IFERROR(__xludf.DUMMYFUNCTION("""COMPUTED_VALUE"""),7109.0)</f>
        <v>7109</v>
      </c>
      <c r="C1011" s="2" t="str">
        <f>IFERROR(__xludf.DUMMYFUNCTION("""COMPUTED_VALUE"""),"Martin")</f>
        <v>Martin</v>
      </c>
      <c r="D1011" s="2" t="str">
        <f>IFERROR(__xludf.DUMMYFUNCTION("""COMPUTED_VALUE"""),"5KM MASTER M")</f>
        <v>5KM MASTER M</v>
      </c>
      <c r="E1011" s="1">
        <f>IFERROR(__xludf.DUMMYFUNCTION("""COMPUTED_VALUE"""),2.0)</f>
        <v>2</v>
      </c>
      <c r="F1011" s="1" t="str">
        <f>IFERROR(__xludf.DUMMYFUNCTION("""COMPUTED_VALUE"""),"Male")</f>
        <v>Male</v>
      </c>
      <c r="G1011" s="4" t="b">
        <f>IFERROR(__xludf.DUMMYFUNCTION("""COMPUTED_VALUE"""),TRUE)</f>
        <v>1</v>
      </c>
      <c r="H1011" s="4" t="b">
        <f>IFERROR(__xludf.DUMMYFUNCTION("""COMPUTED_VALUE"""),TRUE)</f>
        <v>1</v>
      </c>
      <c r="I1011" s="4">
        <f>IFERROR(__xludf.DUMMYFUNCTION("""COMPUTED_VALUE"""),0.2549440625)</f>
        <v>0.2549440625</v>
      </c>
      <c r="J1011" s="4">
        <f>IFERROR(__xludf.DUMMYFUNCTION("""COMPUTED_VALUE"""),45950.26971064815)</f>
        <v>45950.26971</v>
      </c>
      <c r="K1011" s="4" t="str">
        <f>IFERROR(__xludf.DUMMYFUNCTION("""COMPUTED_VALUE"""),"")</f>
        <v/>
      </c>
      <c r="L1011" s="4">
        <f>IFERROR(__xludf.DUMMYFUNCTION("""COMPUTED_VALUE"""),45949.27906059273)</f>
        <v>45949.27906</v>
      </c>
      <c r="M1011" s="1" t="str">
        <f>IFERROR(__xludf.DUMMYFUNCTION("""COMPUTED_VALUE"""),"RFID")</f>
        <v>RFID</v>
      </c>
      <c r="N1011" s="5">
        <f>IFERROR(__xludf.DUMMYFUNCTION("""COMPUTED_VALUE"""),0.005906634259259259)</f>
        <v>0.005906634259</v>
      </c>
      <c r="O1011" s="5" t="str">
        <f>IFERROR(__xludf.DUMMYFUNCTION("""COMPUTED_VALUE"""),"")</f>
        <v/>
      </c>
      <c r="P1011" s="5" t="str">
        <f>IFERROR(__xludf.DUMMYFUNCTION("""COMPUTED_VALUE"""),"")</f>
        <v/>
      </c>
      <c r="Q1011" s="5">
        <f>IFERROR(__xludf.DUMMYFUNCTION("""COMPUTED_VALUE"""),0.0048233055555555555)</f>
        <v>0.004823305556</v>
      </c>
      <c r="R1011" s="4">
        <f>IFERROR(__xludf.DUMMYFUNCTION("""COMPUTED_VALUE"""),45949.02411653023)</f>
        <v>45949.02412</v>
      </c>
      <c r="S1011" s="1" t="b">
        <f>IFERROR(__xludf.DUMMYFUNCTION("""COMPUTED_VALUE"""),TRUE)</f>
        <v>1</v>
      </c>
      <c r="T1011" s="1" t="b">
        <f>IFERROR(__xludf.DUMMYFUNCTION("""COMPUTED_VALUE"""),FALSE)</f>
        <v>0</v>
      </c>
      <c r="U1011" s="1" t="str">
        <f>IFERROR(__xludf.DUMMYFUNCTION("""COMPUTED_VALUE"""),"VALID")</f>
        <v>VALID</v>
      </c>
      <c r="V1011" s="1">
        <f>IFERROR(__xludf.DUMMYFUNCTION("""COMPUTED_VALUE"""),25.0)</f>
        <v>25</v>
      </c>
      <c r="W1011" s="1">
        <f>IFERROR(__xludf.DUMMYFUNCTION("""COMPUTED_VALUE"""),250.0)</f>
        <v>250</v>
      </c>
      <c r="X1011" s="1">
        <f>IFERROR(__xludf.DUMMYFUNCTION("""COMPUTED_VALUE"""),220.0)</f>
        <v>220</v>
      </c>
      <c r="Y1011" s="2"/>
      <c r="Z1011" s="2"/>
    </row>
    <row r="1012">
      <c r="A1012" s="1">
        <f>IFERROR(__xludf.DUMMYFUNCTION("""COMPUTED_VALUE"""),1011.0)</f>
        <v>1011</v>
      </c>
      <c r="B1012" s="1">
        <f>IFERROR(__xludf.DUMMYFUNCTION("""COMPUTED_VALUE"""),7110.0)</f>
        <v>7110</v>
      </c>
      <c r="C1012" s="2" t="str">
        <f>IFERROR(__xludf.DUMMYFUNCTION("""COMPUTED_VALUE"""),"Roy")</f>
        <v>Roy</v>
      </c>
      <c r="D1012" s="2" t="str">
        <f>IFERROR(__xludf.DUMMYFUNCTION("""COMPUTED_VALUE"""),"5KM MASTER M")</f>
        <v>5KM MASTER M</v>
      </c>
      <c r="E1012" s="1">
        <f>IFERROR(__xludf.DUMMYFUNCTION("""COMPUTED_VALUE"""),2.0)</f>
        <v>2</v>
      </c>
      <c r="F1012" s="1" t="str">
        <f>IFERROR(__xludf.DUMMYFUNCTION("""COMPUTED_VALUE"""),"Male")</f>
        <v>Male</v>
      </c>
      <c r="G1012" s="4" t="b">
        <f>IFERROR(__xludf.DUMMYFUNCTION("""COMPUTED_VALUE"""),TRUE)</f>
        <v>1</v>
      </c>
      <c r="H1012" s="4" t="b">
        <f>IFERROR(__xludf.DUMMYFUNCTION("""COMPUTED_VALUE"""),FALSE)</f>
        <v>0</v>
      </c>
      <c r="I1012" s="4">
        <f>IFERROR(__xludf.DUMMYFUNCTION("""COMPUTED_VALUE"""),0.2549440625)</f>
        <v>0.2549440625</v>
      </c>
      <c r="J1012" s="4">
        <f>IFERROR(__xludf.DUMMYFUNCTION("""COMPUTED_VALUE"""),45949.28056140946)</f>
        <v>45949.28056</v>
      </c>
      <c r="K1012" s="4" t="str">
        <f>IFERROR(__xludf.DUMMYFUNCTION("""COMPUTED_VALUE"""),"")</f>
        <v/>
      </c>
      <c r="L1012" s="4">
        <f>IFERROR(__xludf.DUMMYFUNCTION("""COMPUTED_VALUE"""),45949.299536232524)</f>
        <v>45949.29954</v>
      </c>
      <c r="M1012" s="1" t="str">
        <f>IFERROR(__xludf.DUMMYFUNCTION("""COMPUTED_VALUE"""),"RFID")</f>
        <v>RFID</v>
      </c>
      <c r="N1012" s="5">
        <f>IFERROR(__xludf.DUMMYFUNCTION("""COMPUTED_VALUE"""),0.010246939814814815)</f>
        <v>0.01024693981</v>
      </c>
      <c r="O1012" s="5" t="str">
        <f>IFERROR(__xludf.DUMMYFUNCTION("""COMPUTED_VALUE"""),"")</f>
        <v/>
      </c>
      <c r="P1012" s="5" t="str">
        <f>IFERROR(__xludf.DUMMYFUNCTION("""COMPUTED_VALUE"""),"")</f>
        <v/>
      </c>
      <c r="Q1012" s="5">
        <f>IFERROR(__xludf.DUMMYFUNCTION("""COMPUTED_VALUE"""),0.00891843287037037)</f>
        <v>0.00891843287</v>
      </c>
      <c r="R1012" s="4">
        <f>IFERROR(__xludf.DUMMYFUNCTION("""COMPUTED_VALUE"""),45949.04459217002)</f>
        <v>45949.04459</v>
      </c>
      <c r="S1012" s="1" t="b">
        <f>IFERROR(__xludf.DUMMYFUNCTION("""COMPUTED_VALUE"""),TRUE)</f>
        <v>1</v>
      </c>
      <c r="T1012" s="1" t="b">
        <f>IFERROR(__xludf.DUMMYFUNCTION("""COMPUTED_VALUE"""),FALSE)</f>
        <v>0</v>
      </c>
      <c r="U1012" s="1" t="str">
        <f>IFERROR(__xludf.DUMMYFUNCTION("""COMPUTED_VALUE"""),"VALID")</f>
        <v>VALID</v>
      </c>
      <c r="V1012" s="1">
        <f>IFERROR(__xludf.DUMMYFUNCTION("""COMPUTED_VALUE"""),99.0)</f>
        <v>99</v>
      </c>
      <c r="W1012" s="1">
        <f>IFERROR(__xludf.DUMMYFUNCTION("""COMPUTED_VALUE"""),1435.0)</f>
        <v>1435</v>
      </c>
      <c r="X1012" s="1">
        <f>IFERROR(__xludf.DUMMYFUNCTION("""COMPUTED_VALUE"""),1183.0)</f>
        <v>1183</v>
      </c>
      <c r="Y1012" s="2"/>
      <c r="Z1012" s="2"/>
    </row>
    <row r="1013">
      <c r="A1013" s="1">
        <f>IFERROR(__xludf.DUMMYFUNCTION("""COMPUTED_VALUE"""),1012.0)</f>
        <v>1012</v>
      </c>
      <c r="B1013" s="1">
        <f>IFERROR(__xludf.DUMMYFUNCTION("""COMPUTED_VALUE"""),7113.0)</f>
        <v>7113</v>
      </c>
      <c r="C1013" s="2" t="str">
        <f>IFERROR(__xludf.DUMMYFUNCTION("""COMPUTED_VALUE"""),"Suhari14")</f>
        <v>Suhari14</v>
      </c>
      <c r="D1013" s="2" t="str">
        <f>IFERROR(__xludf.DUMMYFUNCTION("""COMPUTED_VALUE"""),"5KM MASTER M")</f>
        <v>5KM MASTER M</v>
      </c>
      <c r="E1013" s="1">
        <f>IFERROR(__xludf.DUMMYFUNCTION("""COMPUTED_VALUE"""),2.0)</f>
        <v>2</v>
      </c>
      <c r="F1013" s="1" t="str">
        <f>IFERROR(__xludf.DUMMYFUNCTION("""COMPUTED_VALUE"""),"Male")</f>
        <v>Male</v>
      </c>
      <c r="G1013" s="4" t="b">
        <f>IFERROR(__xludf.DUMMYFUNCTION("""COMPUTED_VALUE"""),TRUE)</f>
        <v>1</v>
      </c>
      <c r="H1013" s="4" t="b">
        <f>IFERROR(__xludf.DUMMYFUNCTION("""COMPUTED_VALUE"""),TRUE)</f>
        <v>1</v>
      </c>
      <c r="I1013" s="4">
        <f>IFERROR(__xludf.DUMMYFUNCTION("""COMPUTED_VALUE"""),0.2549440625)</f>
        <v>0.2549440625</v>
      </c>
      <c r="J1013" s="4">
        <f>IFERROR(__xludf.DUMMYFUNCTION("""COMPUTED_VALUE"""),45949.263509336924)</f>
        <v>45949.26351</v>
      </c>
      <c r="K1013" s="4" t="str">
        <f>IFERROR(__xludf.DUMMYFUNCTION("""COMPUTED_VALUE"""),"")</f>
        <v/>
      </c>
      <c r="L1013" s="4">
        <f>IFERROR(__xludf.DUMMYFUNCTION("""COMPUTED_VALUE"""),45949.270209906)</f>
        <v>45949.27021</v>
      </c>
      <c r="M1013" s="1" t="str">
        <f>IFERROR(__xludf.DUMMYFUNCTION("""COMPUTED_VALUE"""),"RFID")</f>
        <v>RFID</v>
      </c>
      <c r="N1013" s="5">
        <f>IFERROR(__xludf.DUMMYFUNCTION("""COMPUTED_VALUE"""),0.003426111111111111)</f>
        <v>0.003426111111</v>
      </c>
      <c r="O1013" s="5" t="str">
        <f>IFERROR(__xludf.DUMMYFUNCTION("""COMPUTED_VALUE"""),"")</f>
        <v/>
      </c>
      <c r="P1013" s="5" t="str">
        <f>IFERROR(__xludf.DUMMYFUNCTION("""COMPUTED_VALUE"""),"")</f>
        <v/>
      </c>
      <c r="Q1013" s="5">
        <f>IFERROR(__xludf.DUMMYFUNCTION("""COMPUTED_VALUE"""),0.003053168981481482)</f>
        <v>0.003053168981</v>
      </c>
      <c r="R1013" s="4">
        <f>IFERROR(__xludf.DUMMYFUNCTION("""COMPUTED_VALUE"""),45949.015265843496)</f>
        <v>45949.01527</v>
      </c>
      <c r="S1013" s="1" t="b">
        <f>IFERROR(__xludf.DUMMYFUNCTION("""COMPUTED_VALUE"""),TRUE)</f>
        <v>1</v>
      </c>
      <c r="T1013" s="1" t="b">
        <f>IFERROR(__xludf.DUMMYFUNCTION("""COMPUTED_VALUE"""),FALSE)</f>
        <v>0</v>
      </c>
      <c r="U1013" s="1" t="str">
        <f>IFERROR(__xludf.DUMMYFUNCTION("""COMPUTED_VALUE"""),"VALID")</f>
        <v>VALID</v>
      </c>
      <c r="V1013" s="1">
        <f>IFERROR(__xludf.DUMMYFUNCTION("""COMPUTED_VALUE"""),1.0)</f>
        <v>1</v>
      </c>
      <c r="W1013" s="1">
        <f>IFERROR(__xludf.DUMMYFUNCTION("""COMPUTED_VALUE"""),17.0)</f>
        <v>17</v>
      </c>
      <c r="X1013" s="1">
        <f>IFERROR(__xludf.DUMMYFUNCTION("""COMPUTED_VALUE"""),17.0)</f>
        <v>17</v>
      </c>
      <c r="Y1013" s="2"/>
      <c r="Z1013" s="2"/>
    </row>
    <row r="1014">
      <c r="A1014" s="1">
        <f>IFERROR(__xludf.DUMMYFUNCTION("""COMPUTED_VALUE"""),1013.0)</f>
        <v>1013</v>
      </c>
      <c r="B1014" s="1">
        <f>IFERROR(__xludf.DUMMYFUNCTION("""COMPUTED_VALUE"""),7114.0)</f>
        <v>7114</v>
      </c>
      <c r="C1014" s="2" t="str">
        <f>IFERROR(__xludf.DUMMYFUNCTION("""COMPUTED_VALUE"""),"Jamal")</f>
        <v>Jamal</v>
      </c>
      <c r="D1014" s="2" t="str">
        <f>IFERROR(__xludf.DUMMYFUNCTION("""COMPUTED_VALUE"""),"5KM MASTER M")</f>
        <v>5KM MASTER M</v>
      </c>
      <c r="E1014" s="1">
        <f>IFERROR(__xludf.DUMMYFUNCTION("""COMPUTED_VALUE"""),2.0)</f>
        <v>2</v>
      </c>
      <c r="F1014" s="1" t="str">
        <f>IFERROR(__xludf.DUMMYFUNCTION("""COMPUTED_VALUE"""),"Male")</f>
        <v>Male</v>
      </c>
      <c r="G1014" s="4" t="b">
        <f>IFERROR(__xludf.DUMMYFUNCTION("""COMPUTED_VALUE"""),TRUE)</f>
        <v>1</v>
      </c>
      <c r="H1014" s="4" t="b">
        <f>IFERROR(__xludf.DUMMYFUNCTION("""COMPUTED_VALUE"""),FALSE)</f>
        <v>0</v>
      </c>
      <c r="I1014" s="4">
        <f>IFERROR(__xludf.DUMMYFUNCTION("""COMPUTED_VALUE"""),0.2549440625)</f>
        <v>0.2549440625</v>
      </c>
      <c r="J1014" s="4">
        <f>IFERROR(__xludf.DUMMYFUNCTION("""COMPUTED_VALUE"""),45949.27031522209)</f>
        <v>45949.27032</v>
      </c>
      <c r="K1014" s="4" t="str">
        <f>IFERROR(__xludf.DUMMYFUNCTION("""COMPUTED_VALUE"""),"")</f>
        <v/>
      </c>
      <c r="L1014" s="4">
        <f>IFERROR(__xludf.DUMMYFUNCTION("""COMPUTED_VALUE"""),45949.281001570955)</f>
        <v>45949.281</v>
      </c>
      <c r="M1014" s="1" t="str">
        <f>IFERROR(__xludf.DUMMYFUNCTION("""COMPUTED_VALUE"""),"RFID")</f>
        <v>RFID</v>
      </c>
      <c r="N1014" s="5">
        <f>IFERROR(__xludf.DUMMYFUNCTION("""COMPUTED_VALUE"""),0.006148462962962963)</f>
        <v>0.006148462963</v>
      </c>
      <c r="O1014" s="5" t="str">
        <f>IFERROR(__xludf.DUMMYFUNCTION("""COMPUTED_VALUE"""),"")</f>
        <v/>
      </c>
      <c r="P1014" s="5" t="str">
        <f>IFERROR(__xludf.DUMMYFUNCTION("""COMPUTED_VALUE"""),"")</f>
        <v/>
      </c>
      <c r="Q1014" s="5">
        <f>IFERROR(__xludf.DUMMYFUNCTION("""COMPUTED_VALUE"""),0.005211502314814815)</f>
        <v>0.005211502315</v>
      </c>
      <c r="R1014" s="4">
        <f>IFERROR(__xludf.DUMMYFUNCTION("""COMPUTED_VALUE"""),45949.026057508454)</f>
        <v>45949.02606</v>
      </c>
      <c r="S1014" s="1" t="b">
        <f>IFERROR(__xludf.DUMMYFUNCTION("""COMPUTED_VALUE"""),TRUE)</f>
        <v>1</v>
      </c>
      <c r="T1014" s="1" t="b">
        <f>IFERROR(__xludf.DUMMYFUNCTION("""COMPUTED_VALUE"""),FALSE)</f>
        <v>0</v>
      </c>
      <c r="U1014" s="1" t="str">
        <f>IFERROR(__xludf.DUMMYFUNCTION("""COMPUTED_VALUE"""),"VALID")</f>
        <v>VALID</v>
      </c>
      <c r="V1014" s="1">
        <f>IFERROR(__xludf.DUMMYFUNCTION("""COMPUTED_VALUE"""),36.0)</f>
        <v>36</v>
      </c>
      <c r="W1014" s="1">
        <f>IFERROR(__xludf.DUMMYFUNCTION("""COMPUTED_VALUE"""),337.0)</f>
        <v>337</v>
      </c>
      <c r="X1014" s="1">
        <f>IFERROR(__xludf.DUMMYFUNCTION("""COMPUTED_VALUE"""),296.0)</f>
        <v>296</v>
      </c>
      <c r="Y1014" s="2"/>
      <c r="Z1014" s="2"/>
    </row>
    <row r="1015">
      <c r="A1015" s="1">
        <f>IFERROR(__xludf.DUMMYFUNCTION("""COMPUTED_VALUE"""),1014.0)</f>
        <v>1014</v>
      </c>
      <c r="B1015" s="1">
        <f>IFERROR(__xludf.DUMMYFUNCTION("""COMPUTED_VALUE"""),7115.0)</f>
        <v>7115</v>
      </c>
      <c r="C1015" s="2" t="str">
        <f>IFERROR(__xludf.DUMMYFUNCTION("""COMPUTED_VALUE"""),"atmaja")</f>
        <v>atmaja</v>
      </c>
      <c r="D1015" s="2" t="str">
        <f>IFERROR(__xludf.DUMMYFUNCTION("""COMPUTED_VALUE"""),"5KM MASTER M")</f>
        <v>5KM MASTER M</v>
      </c>
      <c r="E1015" s="1">
        <f>IFERROR(__xludf.DUMMYFUNCTION("""COMPUTED_VALUE"""),2.0)</f>
        <v>2</v>
      </c>
      <c r="F1015" s="1" t="str">
        <f>IFERROR(__xludf.DUMMYFUNCTION("""COMPUTED_VALUE"""),"Male")</f>
        <v>Male</v>
      </c>
      <c r="G1015" s="4" t="b">
        <f>IFERROR(__xludf.DUMMYFUNCTION("""COMPUTED_VALUE"""),TRUE)</f>
        <v>1</v>
      </c>
      <c r="H1015" s="4" t="b">
        <f>IFERROR(__xludf.DUMMYFUNCTION("""COMPUTED_VALUE"""),FALSE)</f>
        <v>0</v>
      </c>
      <c r="I1015" s="4">
        <f>IFERROR(__xludf.DUMMYFUNCTION("""COMPUTED_VALUE"""),0.2549440625)</f>
        <v>0.2549440625</v>
      </c>
      <c r="J1015" s="4">
        <f>IFERROR(__xludf.DUMMYFUNCTION("""COMPUTED_VALUE"""),45949.27220730032)</f>
        <v>45949.27221</v>
      </c>
      <c r="K1015" s="4" t="str">
        <f>IFERROR(__xludf.DUMMYFUNCTION("""COMPUTED_VALUE"""),"")</f>
        <v/>
      </c>
      <c r="L1015" s="4">
        <f>IFERROR(__xludf.DUMMYFUNCTION("""COMPUTED_VALUE"""),45949.286914779106)</f>
        <v>45949.28691</v>
      </c>
      <c r="M1015" s="1" t="str">
        <f>IFERROR(__xludf.DUMMYFUNCTION("""COMPUTED_VALUE"""),"RFID")</f>
        <v>RFID</v>
      </c>
      <c r="N1015" s="5">
        <f>IFERROR(__xludf.DUMMYFUNCTION("""COMPUTED_VALUE"""),0.0069052962962962965)</f>
        <v>0.006905296296</v>
      </c>
      <c r="O1015" s="5" t="str">
        <f>IFERROR(__xludf.DUMMYFUNCTION("""COMPUTED_VALUE"""),"")</f>
        <v/>
      </c>
      <c r="P1015" s="5" t="str">
        <f>IFERROR(__xludf.DUMMYFUNCTION("""COMPUTED_VALUE"""),"")</f>
        <v/>
      </c>
      <c r="Q1015" s="5">
        <f>IFERROR(__xludf.DUMMYFUNCTION("""COMPUTED_VALUE"""),0.0063941435185185195)</f>
        <v>0.006394143519</v>
      </c>
      <c r="R1015" s="4">
        <f>IFERROR(__xludf.DUMMYFUNCTION("""COMPUTED_VALUE"""),45949.031970716605)</f>
        <v>45949.03197</v>
      </c>
      <c r="S1015" s="1" t="b">
        <f>IFERROR(__xludf.DUMMYFUNCTION("""COMPUTED_VALUE"""),TRUE)</f>
        <v>1</v>
      </c>
      <c r="T1015" s="1" t="b">
        <f>IFERROR(__xludf.DUMMYFUNCTION("""COMPUTED_VALUE"""),FALSE)</f>
        <v>0</v>
      </c>
      <c r="U1015" s="1" t="str">
        <f>IFERROR(__xludf.DUMMYFUNCTION("""COMPUTED_VALUE"""),"VALID")</f>
        <v>VALID</v>
      </c>
      <c r="V1015" s="1">
        <f>IFERROR(__xludf.DUMMYFUNCTION("""COMPUTED_VALUE"""),61.0)</f>
        <v>61</v>
      </c>
      <c r="W1015" s="1">
        <f>IFERROR(__xludf.DUMMYFUNCTION("""COMPUTED_VALUE"""),696.0)</f>
        <v>696</v>
      </c>
      <c r="X1015" s="1">
        <f>IFERROR(__xludf.DUMMYFUNCTION("""COMPUTED_VALUE"""),583.0)</f>
        <v>583</v>
      </c>
      <c r="Y1015" s="2"/>
      <c r="Z1015" s="2"/>
    </row>
    <row r="1016">
      <c r="A1016" s="1">
        <f>IFERROR(__xludf.DUMMYFUNCTION("""COMPUTED_VALUE"""),1015.0)</f>
        <v>1015</v>
      </c>
      <c r="B1016" s="1">
        <f>IFERROR(__xludf.DUMMYFUNCTION("""COMPUTED_VALUE"""),7116.0)</f>
        <v>7116</v>
      </c>
      <c r="C1016" s="2" t="str">
        <f>IFERROR(__xludf.DUMMYFUNCTION("""COMPUTED_VALUE"""),"FERRY")</f>
        <v>FERRY</v>
      </c>
      <c r="D1016" s="2" t="str">
        <f>IFERROR(__xludf.DUMMYFUNCTION("""COMPUTED_VALUE"""),"5KM MASTER M")</f>
        <v>5KM MASTER M</v>
      </c>
      <c r="E1016" s="1">
        <f>IFERROR(__xludf.DUMMYFUNCTION("""COMPUTED_VALUE"""),2.0)</f>
        <v>2</v>
      </c>
      <c r="F1016" s="1" t="str">
        <f>IFERROR(__xludf.DUMMYFUNCTION("""COMPUTED_VALUE"""),"Male")</f>
        <v>Male</v>
      </c>
      <c r="G1016" s="4" t="b">
        <f>IFERROR(__xludf.DUMMYFUNCTION("""COMPUTED_VALUE"""),TRUE)</f>
        <v>1</v>
      </c>
      <c r="H1016" s="4" t="b">
        <f>IFERROR(__xludf.DUMMYFUNCTION("""COMPUTED_VALUE"""),TRUE)</f>
        <v>1</v>
      </c>
      <c r="I1016" s="4">
        <f>IFERROR(__xludf.DUMMYFUNCTION("""COMPUTED_VALUE"""),0.2549440625)</f>
        <v>0.2549440625</v>
      </c>
      <c r="J1016" s="4">
        <f>IFERROR(__xludf.DUMMYFUNCTION("""COMPUTED_VALUE"""),45949.27742599079)</f>
        <v>45949.27743</v>
      </c>
      <c r="K1016" s="4" t="str">
        <f>IFERROR(__xludf.DUMMYFUNCTION("""COMPUTED_VALUE"""),"")</f>
        <v/>
      </c>
      <c r="L1016" s="4">
        <f>IFERROR(__xludf.DUMMYFUNCTION("""COMPUTED_VALUE"""),45949.29312998124)</f>
        <v>45949.29313</v>
      </c>
      <c r="M1016" s="1" t="str">
        <f>IFERROR(__xludf.DUMMYFUNCTION("""COMPUTED_VALUE"""),"RFID")</f>
        <v>RFID</v>
      </c>
      <c r="N1016" s="5">
        <f>IFERROR(__xludf.DUMMYFUNCTION("""COMPUTED_VALUE"""),0.008992773148148149)</f>
        <v>0.008992773148</v>
      </c>
      <c r="O1016" s="5" t="str">
        <f>IFERROR(__xludf.DUMMYFUNCTION("""COMPUTED_VALUE"""),"")</f>
        <v/>
      </c>
      <c r="P1016" s="5" t="str">
        <f>IFERROR(__xludf.DUMMYFUNCTION("""COMPUTED_VALUE"""),"")</f>
        <v/>
      </c>
      <c r="Q1016" s="5">
        <f>IFERROR(__xludf.DUMMYFUNCTION("""COMPUTED_VALUE"""),0.00763718287037037)</f>
        <v>0.00763718287</v>
      </c>
      <c r="R1016" s="4">
        <f>IFERROR(__xludf.DUMMYFUNCTION("""COMPUTED_VALUE"""),45949.03818591874)</f>
        <v>45949.03819</v>
      </c>
      <c r="S1016" s="1" t="b">
        <f>IFERROR(__xludf.DUMMYFUNCTION("""COMPUTED_VALUE"""),TRUE)</f>
        <v>1</v>
      </c>
      <c r="T1016" s="1" t="b">
        <f>IFERROR(__xludf.DUMMYFUNCTION("""COMPUTED_VALUE"""),FALSE)</f>
        <v>0</v>
      </c>
      <c r="U1016" s="1" t="str">
        <f>IFERROR(__xludf.DUMMYFUNCTION("""COMPUTED_VALUE"""),"VALID")</f>
        <v>VALID</v>
      </c>
      <c r="V1016" s="1">
        <f>IFERROR(__xludf.DUMMYFUNCTION("""COMPUTED_VALUE"""),85.0)</f>
        <v>85</v>
      </c>
      <c r="W1016" s="1">
        <f>IFERROR(__xludf.DUMMYFUNCTION("""COMPUTED_VALUE"""),1111.0)</f>
        <v>1111</v>
      </c>
      <c r="X1016" s="1">
        <f>IFERROR(__xludf.DUMMYFUNCTION("""COMPUTED_VALUE"""),884.0)</f>
        <v>884</v>
      </c>
      <c r="Y1016" s="2"/>
      <c r="Z1016" s="2"/>
    </row>
    <row r="1017">
      <c r="A1017" s="1">
        <f>IFERROR(__xludf.DUMMYFUNCTION("""COMPUTED_VALUE"""),1016.0)</f>
        <v>1016</v>
      </c>
      <c r="B1017" s="7" t="str">
        <f>IFERROR(__xludf.DUMMYFUNCTION("""COMPUTED_VALUE"""),"7117")</f>
        <v>7117</v>
      </c>
      <c r="C1017" s="8" t="str">
        <f>IFERROR(__xludf.DUMMYFUNCTION("""COMPUTED_VALUE"""),"Mastok")</f>
        <v>Mastok</v>
      </c>
      <c r="D1017" s="2" t="str">
        <f>IFERROR(__xludf.DUMMYFUNCTION("""COMPUTED_VALUE"""),"5KM MASTER M")</f>
        <v>5KM MASTER M</v>
      </c>
      <c r="E1017" s="1">
        <f>IFERROR(__xludf.DUMMYFUNCTION("""COMPUTED_VALUE"""),2.0)</f>
        <v>2</v>
      </c>
      <c r="F1017" s="1" t="str">
        <f>IFERROR(__xludf.DUMMYFUNCTION("""COMPUTED_VALUE"""),"Male")</f>
        <v>Male</v>
      </c>
      <c r="G1017" s="4" t="b">
        <f>IFERROR(__xludf.DUMMYFUNCTION("""COMPUTED_VALUE"""),TRUE)</f>
        <v>1</v>
      </c>
      <c r="H1017" s="4" t="b">
        <f>IFERROR(__xludf.DUMMYFUNCTION("""COMPUTED_VALUE"""),FALSE)</f>
        <v>0</v>
      </c>
      <c r="I1017" s="4">
        <f>IFERROR(__xludf.DUMMYFUNCTION("""COMPUTED_VALUE"""),0.2549440625)</f>
        <v>0.2549440625</v>
      </c>
      <c r="J1017" s="4">
        <f>IFERROR(__xludf.DUMMYFUNCTION("""COMPUTED_VALUE"""),45949.27324203712)</f>
        <v>45949.27324</v>
      </c>
      <c r="K1017" s="4" t="str">
        <f>IFERROR(__xludf.DUMMYFUNCTION("""COMPUTED_VALUE"""),"")</f>
        <v/>
      </c>
      <c r="L1017" s="4">
        <f>IFERROR(__xludf.DUMMYFUNCTION("""COMPUTED_VALUE"""),45949.28783142803)</f>
        <v>45949.28783</v>
      </c>
      <c r="M1017" s="1" t="str">
        <f>IFERROR(__xludf.DUMMYFUNCTION("""COMPUTED_VALUE"""),"RFID")</f>
        <v>RFID</v>
      </c>
      <c r="N1017" s="5">
        <f>IFERROR(__xludf.DUMMYFUNCTION("""COMPUTED_VALUE"""),0.007319189814814815)</f>
        <v>0.007319189815</v>
      </c>
      <c r="O1017" s="5" t="str">
        <f>IFERROR(__xludf.DUMMYFUNCTION("""COMPUTED_VALUE"""),"")</f>
        <v/>
      </c>
      <c r="P1017" s="5" t="str">
        <f>IFERROR(__xludf.DUMMYFUNCTION("""COMPUTED_VALUE"""),"")</f>
        <v/>
      </c>
      <c r="Q1017" s="5">
        <f>IFERROR(__xludf.DUMMYFUNCTION("""COMPUTED_VALUE"""),0.006577472222222222)</f>
        <v>0.006577472222</v>
      </c>
      <c r="R1017" s="4">
        <f>IFERROR(__xludf.DUMMYFUNCTION("""COMPUTED_VALUE"""),45949.03288736553)</f>
        <v>45949.03289</v>
      </c>
      <c r="S1017" s="1" t="b">
        <f>IFERROR(__xludf.DUMMYFUNCTION("""COMPUTED_VALUE"""),TRUE)</f>
        <v>1</v>
      </c>
      <c r="T1017" s="1" t="b">
        <f>IFERROR(__xludf.DUMMYFUNCTION("""COMPUTED_VALUE"""),FALSE)</f>
        <v>0</v>
      </c>
      <c r="U1017" s="1" t="str">
        <f>IFERROR(__xludf.DUMMYFUNCTION("""COMPUTED_VALUE"""),"VALID")</f>
        <v>VALID</v>
      </c>
      <c r="V1017" s="1">
        <f>IFERROR(__xludf.DUMMYFUNCTION("""COMPUTED_VALUE"""),67.0)</f>
        <v>67</v>
      </c>
      <c r="W1017" s="1">
        <f>IFERROR(__xludf.DUMMYFUNCTION("""COMPUTED_VALUE"""),766.0)</f>
        <v>766</v>
      </c>
      <c r="X1017" s="1">
        <f>IFERROR(__xludf.DUMMYFUNCTION("""COMPUTED_VALUE"""),633.0)</f>
        <v>633</v>
      </c>
      <c r="Y1017" s="2"/>
      <c r="Z1017" s="2"/>
    </row>
    <row r="1018">
      <c r="A1018" s="1">
        <f>IFERROR(__xludf.DUMMYFUNCTION("""COMPUTED_VALUE"""),1017.0)</f>
        <v>1017</v>
      </c>
      <c r="B1018" s="7" t="str">
        <f>IFERROR(__xludf.DUMMYFUNCTION("""COMPUTED_VALUE"""),"7118")</f>
        <v>7118</v>
      </c>
      <c r="C1018" s="8" t="str">
        <f>IFERROR(__xludf.DUMMYFUNCTION("""COMPUTED_VALUE"""),"FAJRIN")</f>
        <v>FAJRIN</v>
      </c>
      <c r="D1018" s="2" t="str">
        <f>IFERROR(__xludf.DUMMYFUNCTION("""COMPUTED_VALUE"""),"5KM MASTER M")</f>
        <v>5KM MASTER M</v>
      </c>
      <c r="E1018" s="1">
        <f>IFERROR(__xludf.DUMMYFUNCTION("""COMPUTED_VALUE"""),2.0)</f>
        <v>2</v>
      </c>
      <c r="F1018" s="1" t="str">
        <f>IFERROR(__xludf.DUMMYFUNCTION("""COMPUTED_VALUE"""),"Male")</f>
        <v>Male</v>
      </c>
      <c r="G1018" s="4" t="b">
        <f>IFERROR(__xludf.DUMMYFUNCTION("""COMPUTED_VALUE"""),TRUE)</f>
        <v>1</v>
      </c>
      <c r="H1018" s="4" t="b">
        <f>IFERROR(__xludf.DUMMYFUNCTION("""COMPUTED_VALUE"""),TRUE)</f>
        <v>1</v>
      </c>
      <c r="I1018" s="4">
        <f>IFERROR(__xludf.DUMMYFUNCTION("""COMPUTED_VALUE"""),0.2549440625)</f>
        <v>0.2549440625</v>
      </c>
      <c r="J1018" s="4">
        <f>IFERROR(__xludf.DUMMYFUNCTION("""COMPUTED_VALUE"""),45949.2693287817)</f>
        <v>45949.26933</v>
      </c>
      <c r="K1018" s="4" t="str">
        <f>IFERROR(__xludf.DUMMYFUNCTION("""COMPUTED_VALUE"""),"")</f>
        <v/>
      </c>
      <c r="L1018" s="4">
        <f>IFERROR(__xludf.DUMMYFUNCTION("""COMPUTED_VALUE"""),45949.28012309009)</f>
        <v>45949.28012</v>
      </c>
      <c r="M1018" s="1" t="str">
        <f>IFERROR(__xludf.DUMMYFUNCTION("""COMPUTED_VALUE"""),"RFID")</f>
        <v>RFID</v>
      </c>
      <c r="N1018" s="5">
        <f>IFERROR(__xludf.DUMMYFUNCTION("""COMPUTED_VALUE"""),0.005753888888888888)</f>
        <v>0.005753888889</v>
      </c>
      <c r="O1018" s="5" t="str">
        <f>IFERROR(__xludf.DUMMYFUNCTION("""COMPUTED_VALUE"""),"")</f>
        <v/>
      </c>
      <c r="P1018" s="5" t="str">
        <f>IFERROR(__xludf.DUMMYFUNCTION("""COMPUTED_VALUE"""),"")</f>
        <v/>
      </c>
      <c r="Q1018" s="5">
        <f>IFERROR(__xludf.DUMMYFUNCTION("""COMPUTED_VALUE"""),0.0050358055555555555)</f>
        <v>0.005035805556</v>
      </c>
      <c r="R1018" s="4">
        <f>IFERROR(__xludf.DUMMYFUNCTION("""COMPUTED_VALUE"""),45949.02517902759)</f>
        <v>45949.02518</v>
      </c>
      <c r="S1018" s="1" t="b">
        <f>IFERROR(__xludf.DUMMYFUNCTION("""COMPUTED_VALUE"""),TRUE)</f>
        <v>1</v>
      </c>
      <c r="T1018" s="1" t="b">
        <f>IFERROR(__xludf.DUMMYFUNCTION("""COMPUTED_VALUE"""),FALSE)</f>
        <v>0</v>
      </c>
      <c r="U1018" s="1" t="str">
        <f>IFERROR(__xludf.DUMMYFUNCTION("""COMPUTED_VALUE"""),"VALID")</f>
        <v>VALID</v>
      </c>
      <c r="V1018" s="1">
        <f>IFERROR(__xludf.DUMMYFUNCTION("""COMPUTED_VALUE"""),31.0)</f>
        <v>31</v>
      </c>
      <c r="W1018" s="1">
        <f>IFERROR(__xludf.DUMMYFUNCTION("""COMPUTED_VALUE"""),295.0)</f>
        <v>295</v>
      </c>
      <c r="X1018" s="1">
        <f>IFERROR(__xludf.DUMMYFUNCTION("""COMPUTED_VALUE"""),257.0)</f>
        <v>257</v>
      </c>
      <c r="Y1018" s="2"/>
      <c r="Z1018" s="2"/>
    </row>
    <row r="1019">
      <c r="A1019" s="1">
        <f>IFERROR(__xludf.DUMMYFUNCTION("""COMPUTED_VALUE"""),1018.0)</f>
        <v>1018</v>
      </c>
      <c r="B1019" s="7" t="str">
        <f>IFERROR(__xludf.DUMMYFUNCTION("""COMPUTED_VALUE"""),"7119")</f>
        <v>7119</v>
      </c>
      <c r="C1019" s="8" t="str">
        <f>IFERROR(__xludf.DUMMYFUNCTION("""COMPUTED_VALUE"""),"suwarno")</f>
        <v>suwarno</v>
      </c>
      <c r="D1019" s="2" t="str">
        <f>IFERROR(__xludf.DUMMYFUNCTION("""COMPUTED_VALUE"""),"5KM MASTER M")</f>
        <v>5KM MASTER M</v>
      </c>
      <c r="E1019" s="1">
        <f>IFERROR(__xludf.DUMMYFUNCTION("""COMPUTED_VALUE"""),2.0)</f>
        <v>2</v>
      </c>
      <c r="F1019" s="1" t="str">
        <f>IFERROR(__xludf.DUMMYFUNCTION("""COMPUTED_VALUE"""),"Male")</f>
        <v>Male</v>
      </c>
      <c r="G1019" s="4" t="b">
        <f>IFERROR(__xludf.DUMMYFUNCTION("""COMPUTED_VALUE"""),TRUE)</f>
        <v>1</v>
      </c>
      <c r="H1019" s="4" t="b">
        <f>IFERROR(__xludf.DUMMYFUNCTION("""COMPUTED_VALUE"""),FALSE)</f>
        <v>0</v>
      </c>
      <c r="I1019" s="4">
        <f>IFERROR(__xludf.DUMMYFUNCTION("""COMPUTED_VALUE"""),0.2549440625)</f>
        <v>0.2549440625</v>
      </c>
      <c r="J1019" s="4">
        <f>IFERROR(__xludf.DUMMYFUNCTION("""COMPUTED_VALUE"""),45949.27132878109)</f>
        <v>45949.27133</v>
      </c>
      <c r="K1019" s="4" t="str">
        <f>IFERROR(__xludf.DUMMYFUNCTION("""COMPUTED_VALUE"""),"")</f>
        <v/>
      </c>
      <c r="L1019" s="4">
        <f>IFERROR(__xludf.DUMMYFUNCTION("""COMPUTED_VALUE"""),45949.28272726344)</f>
        <v>45949.28273</v>
      </c>
      <c r="M1019" s="1" t="str">
        <f>IFERROR(__xludf.DUMMYFUNCTION("""COMPUTED_VALUE"""),"RFID")</f>
        <v>RFID</v>
      </c>
      <c r="N1019" s="5">
        <f>IFERROR(__xludf.DUMMYFUNCTION("""COMPUTED_VALUE"""),0.0065538888888888895)</f>
        <v>0.006553888889</v>
      </c>
      <c r="O1019" s="5" t="str">
        <f>IFERROR(__xludf.DUMMYFUNCTION("""COMPUTED_VALUE"""),"")</f>
        <v/>
      </c>
      <c r="P1019" s="5" t="str">
        <f>IFERROR(__xludf.DUMMYFUNCTION("""COMPUTED_VALUE"""),"")</f>
        <v/>
      </c>
      <c r="Q1019" s="5">
        <f>IFERROR(__xludf.DUMMYFUNCTION("""COMPUTED_VALUE"""),0.005556641203703703)</f>
        <v>0.005556641204</v>
      </c>
      <c r="R1019" s="4">
        <f>IFERROR(__xludf.DUMMYFUNCTION("""COMPUTED_VALUE"""),45949.02778320094)</f>
        <v>45949.02778</v>
      </c>
      <c r="S1019" s="1" t="b">
        <f>IFERROR(__xludf.DUMMYFUNCTION("""COMPUTED_VALUE"""),TRUE)</f>
        <v>1</v>
      </c>
      <c r="T1019" s="1" t="b">
        <f>IFERROR(__xludf.DUMMYFUNCTION("""COMPUTED_VALUE"""),FALSE)</f>
        <v>0</v>
      </c>
      <c r="U1019" s="1" t="str">
        <f>IFERROR(__xludf.DUMMYFUNCTION("""COMPUTED_VALUE"""),"VALID")</f>
        <v>VALID</v>
      </c>
      <c r="V1019" s="1">
        <f>IFERROR(__xludf.DUMMYFUNCTION("""COMPUTED_VALUE"""),42.0)</f>
        <v>42</v>
      </c>
      <c r="W1019" s="1">
        <f>IFERROR(__xludf.DUMMYFUNCTION("""COMPUTED_VALUE"""),419.0)</f>
        <v>419</v>
      </c>
      <c r="X1019" s="1">
        <f>IFERROR(__xludf.DUMMYFUNCTION("""COMPUTED_VALUE"""),363.0)</f>
        <v>363</v>
      </c>
      <c r="Y1019" s="2"/>
      <c r="Z1019" s="2"/>
    </row>
    <row r="1020">
      <c r="A1020" s="1">
        <f>IFERROR(__xludf.DUMMYFUNCTION("""COMPUTED_VALUE"""),1019.0)</f>
        <v>1019</v>
      </c>
      <c r="B1020" s="7" t="str">
        <f>IFERROR(__xludf.DUMMYFUNCTION("""COMPUTED_VALUE"""),"7120")</f>
        <v>7120</v>
      </c>
      <c r="C1020" s="8" t="str">
        <f>IFERROR(__xludf.DUMMYFUNCTION("""COMPUTED_VALUE"""),"Eko SP")</f>
        <v>Eko SP</v>
      </c>
      <c r="D1020" s="2" t="str">
        <f>IFERROR(__xludf.DUMMYFUNCTION("""COMPUTED_VALUE"""),"5KM MASTER M")</f>
        <v>5KM MASTER M</v>
      </c>
      <c r="E1020" s="1">
        <f>IFERROR(__xludf.DUMMYFUNCTION("""COMPUTED_VALUE"""),2.0)</f>
        <v>2</v>
      </c>
      <c r="F1020" s="1" t="str">
        <f>IFERROR(__xludf.DUMMYFUNCTION("""COMPUTED_VALUE"""),"Male")</f>
        <v>Male</v>
      </c>
      <c r="G1020" s="4" t="b">
        <f>IFERROR(__xludf.DUMMYFUNCTION("""COMPUTED_VALUE"""),TRUE)</f>
        <v>1</v>
      </c>
      <c r="H1020" s="4" t="b">
        <f>IFERROR(__xludf.DUMMYFUNCTION("""COMPUTED_VALUE"""),TRUE)</f>
        <v>1</v>
      </c>
      <c r="I1020" s="4">
        <f>IFERROR(__xludf.DUMMYFUNCTION("""COMPUTED_VALUE"""),0.2549440625)</f>
        <v>0.2549440625</v>
      </c>
      <c r="J1020" s="4">
        <f>IFERROR(__xludf.DUMMYFUNCTION("""COMPUTED_VALUE"""),45949.26936778407)</f>
        <v>45949.26937</v>
      </c>
      <c r="K1020" s="4" t="str">
        <f>IFERROR(__xludf.DUMMYFUNCTION("""COMPUTED_VALUE"""),"")</f>
        <v/>
      </c>
      <c r="L1020" s="4">
        <f>IFERROR(__xludf.DUMMYFUNCTION("""COMPUTED_VALUE"""),45949.2795640638)</f>
        <v>45949.27956</v>
      </c>
      <c r="M1020" s="1" t="str">
        <f>IFERROR(__xludf.DUMMYFUNCTION("""COMPUTED_VALUE"""),"RFID")</f>
        <v>RFID</v>
      </c>
      <c r="N1020" s="5">
        <f>IFERROR(__xludf.DUMMYFUNCTION("""COMPUTED_VALUE"""),0.005769490740740741)</f>
        <v>0.005769490741</v>
      </c>
      <c r="O1020" s="5" t="str">
        <f>IFERROR(__xludf.DUMMYFUNCTION("""COMPUTED_VALUE"""),"")</f>
        <v/>
      </c>
      <c r="P1020" s="5" t="str">
        <f>IFERROR(__xludf.DUMMYFUNCTION("""COMPUTED_VALUE"""),"")</f>
        <v/>
      </c>
      <c r="Q1020" s="5">
        <f>IFERROR(__xludf.DUMMYFUNCTION("""COMPUTED_VALUE"""),0.004924)</f>
        <v>0.004924</v>
      </c>
      <c r="R1020" s="4">
        <f>IFERROR(__xludf.DUMMYFUNCTION("""COMPUTED_VALUE"""),45949.0246200013)</f>
        <v>45949.02462</v>
      </c>
      <c r="S1020" s="1" t="b">
        <f>IFERROR(__xludf.DUMMYFUNCTION("""COMPUTED_VALUE"""),TRUE)</f>
        <v>1</v>
      </c>
      <c r="T1020" s="1" t="b">
        <f>IFERROR(__xludf.DUMMYFUNCTION("""COMPUTED_VALUE"""),FALSE)</f>
        <v>0</v>
      </c>
      <c r="U1020" s="1" t="str">
        <f>IFERROR(__xludf.DUMMYFUNCTION("""COMPUTED_VALUE"""),"VALID")</f>
        <v>VALID</v>
      </c>
      <c r="V1020" s="1">
        <f>IFERROR(__xludf.DUMMYFUNCTION("""COMPUTED_VALUE"""),27.0)</f>
        <v>27</v>
      </c>
      <c r="W1020" s="1">
        <f>IFERROR(__xludf.DUMMYFUNCTION("""COMPUTED_VALUE"""),267.0)</f>
        <v>267</v>
      </c>
      <c r="X1020" s="1">
        <f>IFERROR(__xludf.DUMMYFUNCTION("""COMPUTED_VALUE"""),234.0)</f>
        <v>234</v>
      </c>
      <c r="Y1020" s="2"/>
      <c r="Z1020" s="2"/>
    </row>
    <row r="1021">
      <c r="A1021" s="1">
        <f>IFERROR(__xludf.DUMMYFUNCTION("""COMPUTED_VALUE"""),1020.0)</f>
        <v>1020</v>
      </c>
      <c r="B1021" s="7" t="str">
        <f>IFERROR(__xludf.DUMMYFUNCTION("""COMPUTED_VALUE"""),"7121")</f>
        <v>7121</v>
      </c>
      <c r="C1021" s="8" t="str">
        <f>IFERROR(__xludf.DUMMYFUNCTION("""COMPUTED_VALUE"""),"FERDY")</f>
        <v>FERDY</v>
      </c>
      <c r="D1021" s="2" t="str">
        <f>IFERROR(__xludf.DUMMYFUNCTION("""COMPUTED_VALUE"""),"5KM MASTER M")</f>
        <v>5KM MASTER M</v>
      </c>
      <c r="E1021" s="1">
        <f>IFERROR(__xludf.DUMMYFUNCTION("""COMPUTED_VALUE"""),2.0)</f>
        <v>2</v>
      </c>
      <c r="F1021" s="1" t="str">
        <f>IFERROR(__xludf.DUMMYFUNCTION("""COMPUTED_VALUE"""),"Male")</f>
        <v>Male</v>
      </c>
      <c r="G1021" s="4" t="b">
        <f>IFERROR(__xludf.DUMMYFUNCTION("""COMPUTED_VALUE"""),TRUE)</f>
        <v>1</v>
      </c>
      <c r="H1021" s="4" t="b">
        <f>IFERROR(__xludf.DUMMYFUNCTION("""COMPUTED_VALUE"""),TRUE)</f>
        <v>1</v>
      </c>
      <c r="I1021" s="4">
        <f>IFERROR(__xludf.DUMMYFUNCTION("""COMPUTED_VALUE"""),0.2549440625)</f>
        <v>0.2549440625</v>
      </c>
      <c r="J1021" s="4">
        <f>IFERROR(__xludf.DUMMYFUNCTION("""COMPUTED_VALUE"""),45949.26455100718)</f>
        <v>45949.26455</v>
      </c>
      <c r="K1021" s="4" t="str">
        <f>IFERROR(__xludf.DUMMYFUNCTION("""COMPUTED_VALUE"""),"")</f>
        <v/>
      </c>
      <c r="L1021" s="4">
        <f>IFERROR(__xludf.DUMMYFUNCTION("""COMPUTED_VALUE"""),45949.27193211678)</f>
        <v>45949.27193</v>
      </c>
      <c r="M1021" s="1" t="str">
        <f>IFERROR(__xludf.DUMMYFUNCTION("""COMPUTED_VALUE"""),"RFID")</f>
        <v>RFID</v>
      </c>
      <c r="N1021" s="5">
        <f>IFERROR(__xludf.DUMMYFUNCTION("""COMPUTED_VALUE"""),0.0038427777777777774)</f>
        <v>0.003842777778</v>
      </c>
      <c r="O1021" s="5" t="str">
        <f>IFERROR(__xludf.DUMMYFUNCTION("""COMPUTED_VALUE"""),"")</f>
        <v/>
      </c>
      <c r="P1021" s="5" t="str">
        <f>IFERROR(__xludf.DUMMYFUNCTION("""COMPUTED_VALUE"""),"")</f>
        <v/>
      </c>
      <c r="Q1021" s="5">
        <f>IFERROR(__xludf.DUMMYFUNCTION("""COMPUTED_VALUE"""),0.003397611111111111)</f>
        <v>0.003397611111</v>
      </c>
      <c r="R1021" s="4">
        <f>IFERROR(__xludf.DUMMYFUNCTION("""COMPUTED_VALUE"""),45949.01698805428)</f>
        <v>45949.01699</v>
      </c>
      <c r="S1021" s="1" t="b">
        <f>IFERROR(__xludf.DUMMYFUNCTION("""COMPUTED_VALUE"""),TRUE)</f>
        <v>1</v>
      </c>
      <c r="T1021" s="1" t="b">
        <f>IFERROR(__xludf.DUMMYFUNCTION("""COMPUTED_VALUE"""),FALSE)</f>
        <v>0</v>
      </c>
      <c r="U1021" s="1" t="str">
        <f>IFERROR(__xludf.DUMMYFUNCTION("""COMPUTED_VALUE"""),"VALID")</f>
        <v>VALID</v>
      </c>
      <c r="V1021" s="1">
        <f>IFERROR(__xludf.DUMMYFUNCTION("""COMPUTED_VALUE"""),3.0)</f>
        <v>3</v>
      </c>
      <c r="W1021" s="1">
        <f>IFERROR(__xludf.DUMMYFUNCTION("""COMPUTED_VALUE"""),35.0)</f>
        <v>35</v>
      </c>
      <c r="X1021" s="1">
        <f>IFERROR(__xludf.DUMMYFUNCTION("""COMPUTED_VALUE"""),34.0)</f>
        <v>34</v>
      </c>
      <c r="Y1021" s="2"/>
      <c r="Z1021" s="2"/>
    </row>
    <row r="1022">
      <c r="A1022" s="1">
        <f>IFERROR(__xludf.DUMMYFUNCTION("""COMPUTED_VALUE"""),1021.0)</f>
        <v>1021</v>
      </c>
      <c r="B1022" s="7" t="str">
        <f>IFERROR(__xludf.DUMMYFUNCTION("""COMPUTED_VALUE"""),"7122")</f>
        <v>7122</v>
      </c>
      <c r="C1022" s="8" t="str">
        <f>IFERROR(__xludf.DUMMYFUNCTION("""COMPUTED_VALUE"""),"NORHADI")</f>
        <v>NORHADI</v>
      </c>
      <c r="D1022" s="2" t="str">
        <f>IFERROR(__xludf.DUMMYFUNCTION("""COMPUTED_VALUE"""),"5KM MASTER M")</f>
        <v>5KM MASTER M</v>
      </c>
      <c r="E1022" s="1">
        <f>IFERROR(__xludf.DUMMYFUNCTION("""COMPUTED_VALUE"""),2.0)</f>
        <v>2</v>
      </c>
      <c r="F1022" s="1" t="str">
        <f>IFERROR(__xludf.DUMMYFUNCTION("""COMPUTED_VALUE"""),"Male")</f>
        <v>Male</v>
      </c>
      <c r="G1022" s="4" t="str">
        <f>IFERROR(__xludf.DUMMYFUNCTION("""COMPUTED_VALUE"""),"")</f>
        <v/>
      </c>
      <c r="H1022" s="4" t="b">
        <f>IFERROR(__xludf.DUMMYFUNCTION("""COMPUTED_VALUE"""),FALSE)</f>
        <v>0</v>
      </c>
      <c r="I1022" s="4">
        <f>IFERROR(__xludf.DUMMYFUNCTION("""COMPUTED_VALUE"""),0.2549440625)</f>
        <v>0.2549440625</v>
      </c>
      <c r="J1022" s="4" t="str">
        <f>IFERROR(__xludf.DUMMYFUNCTION("""COMPUTED_VALUE"""),"")</f>
        <v/>
      </c>
      <c r="K1022" s="4" t="str">
        <f>IFERROR(__xludf.DUMMYFUNCTION("""COMPUTED_VALUE"""),"")</f>
        <v/>
      </c>
      <c r="L1022" s="4" t="str">
        <f>IFERROR(__xludf.DUMMYFUNCTION("""COMPUTED_VALUE"""),"")</f>
        <v/>
      </c>
      <c r="M1022" s="1" t="str">
        <f>IFERROR(__xludf.DUMMYFUNCTION("""COMPUTED_VALUE"""),"RFID")</f>
        <v>RFID</v>
      </c>
      <c r="N1022" s="5" t="str">
        <f>IFERROR(__xludf.DUMMYFUNCTION("""COMPUTED_VALUE"""),"")</f>
        <v/>
      </c>
      <c r="O1022" s="5" t="str">
        <f>IFERROR(__xludf.DUMMYFUNCTION("""COMPUTED_VALUE"""),"")</f>
        <v/>
      </c>
      <c r="P1022" s="5" t="str">
        <f>IFERROR(__xludf.DUMMYFUNCTION("""COMPUTED_VALUE"""),"")</f>
        <v/>
      </c>
      <c r="Q1022" s="5" t="str">
        <f>IFERROR(__xludf.DUMMYFUNCTION("""COMPUTED_VALUE"""),"")</f>
        <v/>
      </c>
      <c r="R1022" s="4" t="str">
        <f>IFERROR(__xludf.DUMMYFUNCTION("""COMPUTED_VALUE"""),"")</f>
        <v/>
      </c>
      <c r="S1022" s="1" t="b">
        <f>IFERROR(__xludf.DUMMYFUNCTION("""COMPUTED_VALUE"""),FALSE)</f>
        <v>0</v>
      </c>
      <c r="T1022" s="1" t="b">
        <f>IFERROR(__xludf.DUMMYFUNCTION("""COMPUTED_VALUE"""),FALSE)</f>
        <v>0</v>
      </c>
      <c r="U1022" s="1" t="str">
        <f>IFERROR(__xludf.DUMMYFUNCTION("""COMPUTED_VALUE"""),"DSQ")</f>
        <v>DSQ</v>
      </c>
      <c r="V1022" s="1" t="str">
        <f>IFERROR(__xludf.DUMMYFUNCTION("""COMPUTED_VALUE"""),"DSQ")</f>
        <v>DSQ</v>
      </c>
      <c r="W1022" s="1" t="str">
        <f>IFERROR(__xludf.DUMMYFUNCTION("""COMPUTED_VALUE"""),"DSQ")</f>
        <v>DSQ</v>
      </c>
      <c r="X1022" s="1" t="str">
        <f>IFERROR(__xludf.DUMMYFUNCTION("""COMPUTED_VALUE"""),"DSQ")</f>
        <v>DSQ</v>
      </c>
      <c r="Y1022" s="2"/>
      <c r="Z1022" s="2" t="str">
        <f>IFERROR(__xludf.DUMMYFUNCTION("""COMPUTED_VALUE"""),"")</f>
        <v/>
      </c>
    </row>
    <row r="1023">
      <c r="A1023" s="1">
        <f>IFERROR(__xludf.DUMMYFUNCTION("""COMPUTED_VALUE"""),1022.0)</f>
        <v>1022</v>
      </c>
      <c r="B1023" s="7" t="str">
        <f>IFERROR(__xludf.DUMMYFUNCTION("""COMPUTED_VALUE"""),"7123")</f>
        <v>7123</v>
      </c>
      <c r="C1023" s="8" t="str">
        <f>IFERROR(__xludf.DUMMYFUNCTION("""COMPUTED_VALUE"""),"LUKMAN HAKIM")</f>
        <v>LUKMAN HAKIM</v>
      </c>
      <c r="D1023" s="2" t="str">
        <f>IFERROR(__xludf.DUMMYFUNCTION("""COMPUTED_VALUE"""),"5KM MASTER M")</f>
        <v>5KM MASTER M</v>
      </c>
      <c r="E1023" s="1">
        <f>IFERROR(__xludf.DUMMYFUNCTION("""COMPUTED_VALUE"""),2.0)</f>
        <v>2</v>
      </c>
      <c r="F1023" s="1" t="str">
        <f>IFERROR(__xludf.DUMMYFUNCTION("""COMPUTED_VALUE"""),"Male")</f>
        <v>Male</v>
      </c>
      <c r="G1023" s="4" t="b">
        <f>IFERROR(__xludf.DUMMYFUNCTION("""COMPUTED_VALUE"""),TRUE)</f>
        <v>1</v>
      </c>
      <c r="H1023" s="4" t="b">
        <f>IFERROR(__xludf.DUMMYFUNCTION("""COMPUTED_VALUE"""),TRUE)</f>
        <v>1</v>
      </c>
      <c r="I1023" s="4">
        <f>IFERROR(__xludf.DUMMYFUNCTION("""COMPUTED_VALUE"""),0.2549440625)</f>
        <v>0.2549440625</v>
      </c>
      <c r="J1023" s="4">
        <f>IFERROR(__xludf.DUMMYFUNCTION("""COMPUTED_VALUE"""),45949.269380907994)</f>
        <v>45949.26938</v>
      </c>
      <c r="K1023" s="4" t="str">
        <f>IFERROR(__xludf.DUMMYFUNCTION("""COMPUTED_VALUE"""),"")</f>
        <v/>
      </c>
      <c r="L1023" s="4">
        <f>IFERROR(__xludf.DUMMYFUNCTION("""COMPUTED_VALUE"""),45949.28045989158)</f>
        <v>45949.28046</v>
      </c>
      <c r="M1023" s="1" t="str">
        <f>IFERROR(__xludf.DUMMYFUNCTION("""COMPUTED_VALUE"""),"RFID")</f>
        <v>RFID</v>
      </c>
      <c r="N1023" s="5">
        <f>IFERROR(__xludf.DUMMYFUNCTION("""COMPUTED_VALUE"""),0.0057747361111111116)</f>
        <v>0.005774736111</v>
      </c>
      <c r="O1023" s="5" t="str">
        <f>IFERROR(__xludf.DUMMYFUNCTION("""COMPUTED_VALUE"""),"")</f>
        <v/>
      </c>
      <c r="P1023" s="5" t="str">
        <f>IFERROR(__xludf.DUMMYFUNCTION("""COMPUTED_VALUE"""),"")</f>
        <v/>
      </c>
      <c r="Q1023" s="5">
        <f>IFERROR(__xludf.DUMMYFUNCTION("""COMPUTED_VALUE"""),0.005103166666666667)</f>
        <v>0.005103166667</v>
      </c>
      <c r="R1023" s="4">
        <f>IFERROR(__xludf.DUMMYFUNCTION("""COMPUTED_VALUE"""),45949.02551582908)</f>
        <v>45949.02552</v>
      </c>
      <c r="S1023" s="1" t="b">
        <f>IFERROR(__xludf.DUMMYFUNCTION("""COMPUTED_VALUE"""),TRUE)</f>
        <v>1</v>
      </c>
      <c r="T1023" s="1" t="b">
        <f>IFERROR(__xludf.DUMMYFUNCTION("""COMPUTED_VALUE"""),FALSE)</f>
        <v>0</v>
      </c>
      <c r="U1023" s="1" t="str">
        <f>IFERROR(__xludf.DUMMYFUNCTION("""COMPUTED_VALUE"""),"VALID")</f>
        <v>VALID</v>
      </c>
      <c r="V1023" s="1">
        <f>IFERROR(__xludf.DUMMYFUNCTION("""COMPUTED_VALUE"""),34.0)</f>
        <v>34</v>
      </c>
      <c r="W1023" s="1">
        <f>IFERROR(__xludf.DUMMYFUNCTION("""COMPUTED_VALUE"""),315.0)</f>
        <v>315</v>
      </c>
      <c r="X1023" s="1">
        <f>IFERROR(__xludf.DUMMYFUNCTION("""COMPUTED_VALUE"""),276.0)</f>
        <v>276</v>
      </c>
      <c r="Y1023" s="2"/>
      <c r="Z1023" s="2"/>
    </row>
    <row r="1024">
      <c r="A1024" s="1">
        <f>IFERROR(__xludf.DUMMYFUNCTION("""COMPUTED_VALUE"""),1023.0)</f>
        <v>1023</v>
      </c>
      <c r="B1024" s="7" t="str">
        <f>IFERROR(__xludf.DUMMYFUNCTION("""COMPUTED_VALUE"""),"7124")</f>
        <v>7124</v>
      </c>
      <c r="C1024" s="8" t="str">
        <f>IFERROR(__xludf.DUMMYFUNCTION("""COMPUTED_VALUE"""),"Rezaldo")</f>
        <v>Rezaldo</v>
      </c>
      <c r="D1024" s="2" t="str">
        <f>IFERROR(__xludf.DUMMYFUNCTION("""COMPUTED_VALUE"""),"5KM MASTER M")</f>
        <v>5KM MASTER M</v>
      </c>
      <c r="E1024" s="1">
        <f>IFERROR(__xludf.DUMMYFUNCTION("""COMPUTED_VALUE"""),2.0)</f>
        <v>2</v>
      </c>
      <c r="F1024" s="1" t="str">
        <f>IFERROR(__xludf.DUMMYFUNCTION("""COMPUTED_VALUE"""),"Male")</f>
        <v>Male</v>
      </c>
      <c r="G1024" s="4" t="b">
        <f>IFERROR(__xludf.DUMMYFUNCTION("""COMPUTED_VALUE"""),TRUE)</f>
        <v>1</v>
      </c>
      <c r="H1024" s="4" t="b">
        <f>IFERROR(__xludf.DUMMYFUNCTION("""COMPUTED_VALUE"""),TRUE)</f>
        <v>1</v>
      </c>
      <c r="I1024" s="4">
        <f>IFERROR(__xludf.DUMMYFUNCTION("""COMPUTED_VALUE"""),0.2549440625)</f>
        <v>0.2549440625</v>
      </c>
      <c r="J1024" s="4">
        <f>IFERROR(__xludf.DUMMYFUNCTION("""COMPUTED_VALUE"""),45949.26935308501)</f>
        <v>45949.26935</v>
      </c>
      <c r="K1024" s="4" t="str">
        <f>IFERROR(__xludf.DUMMYFUNCTION("""COMPUTED_VALUE"""),"")</f>
        <v/>
      </c>
      <c r="L1024" s="4">
        <f>IFERROR(__xludf.DUMMYFUNCTION("""COMPUTED_VALUE"""),45949.27951201133)</f>
        <v>45949.27951</v>
      </c>
      <c r="M1024" s="1" t="str">
        <f>IFERROR(__xludf.DUMMYFUNCTION("""COMPUTED_VALUE"""),"RFID")</f>
        <v>RFID</v>
      </c>
      <c r="N1024" s="5">
        <f>IFERROR(__xludf.DUMMYFUNCTION("""COMPUTED_VALUE"""),0.005763611111111111)</f>
        <v>0.005763611111</v>
      </c>
      <c r="O1024" s="5" t="str">
        <f>IFERROR(__xludf.DUMMYFUNCTION("""COMPUTED_VALUE"""),"")</f>
        <v/>
      </c>
      <c r="P1024" s="5" t="str">
        <f>IFERROR(__xludf.DUMMYFUNCTION("""COMPUTED_VALUE"""),"")</f>
        <v/>
      </c>
      <c r="Q1024" s="5">
        <f>IFERROR(__xludf.DUMMYFUNCTION("""COMPUTED_VALUE"""),0.004913590277777777)</f>
        <v>0.004913590278</v>
      </c>
      <c r="R1024" s="4">
        <f>IFERROR(__xludf.DUMMYFUNCTION("""COMPUTED_VALUE"""),45949.02456794883)</f>
        <v>45949.02457</v>
      </c>
      <c r="S1024" s="1" t="b">
        <f>IFERROR(__xludf.DUMMYFUNCTION("""COMPUTED_VALUE"""),TRUE)</f>
        <v>1</v>
      </c>
      <c r="T1024" s="1" t="b">
        <f>IFERROR(__xludf.DUMMYFUNCTION("""COMPUTED_VALUE"""),FALSE)</f>
        <v>0</v>
      </c>
      <c r="U1024" s="1" t="str">
        <f>IFERROR(__xludf.DUMMYFUNCTION("""COMPUTED_VALUE"""),"VALID")</f>
        <v>VALID</v>
      </c>
      <c r="V1024" s="1">
        <f>IFERROR(__xludf.DUMMYFUNCTION("""COMPUTED_VALUE"""),26.0)</f>
        <v>26</v>
      </c>
      <c r="W1024" s="1">
        <f>IFERROR(__xludf.DUMMYFUNCTION("""COMPUTED_VALUE"""),265.0)</f>
        <v>265</v>
      </c>
      <c r="X1024" s="1">
        <f>IFERROR(__xludf.DUMMYFUNCTION("""COMPUTED_VALUE"""),232.0)</f>
        <v>232</v>
      </c>
      <c r="Y1024" s="2"/>
      <c r="Z1024" s="2"/>
    </row>
    <row r="1025">
      <c r="A1025" s="1">
        <f>IFERROR(__xludf.DUMMYFUNCTION("""COMPUTED_VALUE"""),1024.0)</f>
        <v>1024</v>
      </c>
      <c r="B1025" s="7" t="str">
        <f>IFERROR(__xludf.DUMMYFUNCTION("""COMPUTED_VALUE"""),"7125")</f>
        <v>7125</v>
      </c>
      <c r="C1025" s="8" t="str">
        <f>IFERROR(__xludf.DUMMYFUNCTION("""COMPUTED_VALUE"""),"Ehen")</f>
        <v>Ehen</v>
      </c>
      <c r="D1025" s="2" t="str">
        <f>IFERROR(__xludf.DUMMYFUNCTION("""COMPUTED_VALUE"""),"5KM MASTER M")</f>
        <v>5KM MASTER M</v>
      </c>
      <c r="E1025" s="1">
        <f>IFERROR(__xludf.DUMMYFUNCTION("""COMPUTED_VALUE"""),2.0)</f>
        <v>2</v>
      </c>
      <c r="F1025" s="1" t="str">
        <f>IFERROR(__xludf.DUMMYFUNCTION("""COMPUTED_VALUE"""),"Male")</f>
        <v>Male</v>
      </c>
      <c r="G1025" s="4" t="str">
        <f>IFERROR(__xludf.DUMMYFUNCTION("""COMPUTED_VALUE"""),"")</f>
        <v/>
      </c>
      <c r="H1025" s="4" t="b">
        <f>IFERROR(__xludf.DUMMYFUNCTION("""COMPUTED_VALUE"""),FALSE)</f>
        <v>0</v>
      </c>
      <c r="I1025" s="4">
        <f>IFERROR(__xludf.DUMMYFUNCTION("""COMPUTED_VALUE"""),0.2549440625)</f>
        <v>0.2549440625</v>
      </c>
      <c r="J1025" s="4" t="str">
        <f>IFERROR(__xludf.DUMMYFUNCTION("""COMPUTED_VALUE"""),"")</f>
        <v/>
      </c>
      <c r="K1025" s="4" t="str">
        <f>IFERROR(__xludf.DUMMYFUNCTION("""COMPUTED_VALUE"""),"")</f>
        <v/>
      </c>
      <c r="L1025" s="4" t="str">
        <f>IFERROR(__xludf.DUMMYFUNCTION("""COMPUTED_VALUE"""),"")</f>
        <v/>
      </c>
      <c r="M1025" s="1" t="str">
        <f>IFERROR(__xludf.DUMMYFUNCTION("""COMPUTED_VALUE"""),"RFID")</f>
        <v>RFID</v>
      </c>
      <c r="N1025" s="5" t="str">
        <f>IFERROR(__xludf.DUMMYFUNCTION("""COMPUTED_VALUE"""),"")</f>
        <v/>
      </c>
      <c r="O1025" s="5" t="str">
        <f>IFERROR(__xludf.DUMMYFUNCTION("""COMPUTED_VALUE"""),"")</f>
        <v/>
      </c>
      <c r="P1025" s="5" t="str">
        <f>IFERROR(__xludf.DUMMYFUNCTION("""COMPUTED_VALUE"""),"")</f>
        <v/>
      </c>
      <c r="Q1025" s="5" t="str">
        <f>IFERROR(__xludf.DUMMYFUNCTION("""COMPUTED_VALUE"""),"")</f>
        <v/>
      </c>
      <c r="R1025" s="4" t="str">
        <f>IFERROR(__xludf.DUMMYFUNCTION("""COMPUTED_VALUE"""),"")</f>
        <v/>
      </c>
      <c r="S1025" s="1" t="b">
        <f>IFERROR(__xludf.DUMMYFUNCTION("""COMPUTED_VALUE"""),FALSE)</f>
        <v>0</v>
      </c>
      <c r="T1025" s="1" t="b">
        <f>IFERROR(__xludf.DUMMYFUNCTION("""COMPUTED_VALUE"""),FALSE)</f>
        <v>0</v>
      </c>
      <c r="U1025" s="1" t="str">
        <f>IFERROR(__xludf.DUMMYFUNCTION("""COMPUTED_VALUE"""),"DSQ")</f>
        <v>DSQ</v>
      </c>
      <c r="V1025" s="1" t="str">
        <f>IFERROR(__xludf.DUMMYFUNCTION("""COMPUTED_VALUE"""),"DSQ")</f>
        <v>DSQ</v>
      </c>
      <c r="W1025" s="1" t="str">
        <f>IFERROR(__xludf.DUMMYFUNCTION("""COMPUTED_VALUE"""),"DSQ")</f>
        <v>DSQ</v>
      </c>
      <c r="X1025" s="1" t="str">
        <f>IFERROR(__xludf.DUMMYFUNCTION("""COMPUTED_VALUE"""),"DSQ")</f>
        <v>DSQ</v>
      </c>
      <c r="Y1025" s="2"/>
      <c r="Z1025" s="2" t="str">
        <f>IFERROR(__xludf.DUMMYFUNCTION("""COMPUTED_VALUE"""),"")</f>
        <v/>
      </c>
    </row>
    <row r="1026">
      <c r="A1026" s="1">
        <f>IFERROR(__xludf.DUMMYFUNCTION("""COMPUTED_VALUE"""),1025.0)</f>
        <v>1025</v>
      </c>
      <c r="B1026" s="7" t="str">
        <f>IFERROR(__xludf.DUMMYFUNCTION("""COMPUTED_VALUE"""),"7126")</f>
        <v>7126</v>
      </c>
      <c r="C1026" s="8" t="str">
        <f>IFERROR(__xludf.DUMMYFUNCTION("""COMPUTED_VALUE"""),"Jack Eko")</f>
        <v>Jack Eko</v>
      </c>
      <c r="D1026" s="2" t="str">
        <f>IFERROR(__xludf.DUMMYFUNCTION("""COMPUTED_VALUE"""),"5KM MASTER M")</f>
        <v>5KM MASTER M</v>
      </c>
      <c r="E1026" s="1">
        <f>IFERROR(__xludf.DUMMYFUNCTION("""COMPUTED_VALUE"""),2.0)</f>
        <v>2</v>
      </c>
      <c r="F1026" s="1" t="str">
        <f>IFERROR(__xludf.DUMMYFUNCTION("""COMPUTED_VALUE"""),"Male")</f>
        <v>Male</v>
      </c>
      <c r="G1026" s="4" t="b">
        <f>IFERROR(__xludf.DUMMYFUNCTION("""COMPUTED_VALUE"""),TRUE)</f>
        <v>1</v>
      </c>
      <c r="H1026" s="4" t="b">
        <f>IFERROR(__xludf.DUMMYFUNCTION("""COMPUTED_VALUE"""),TRUE)</f>
        <v>1</v>
      </c>
      <c r="I1026" s="4">
        <f>IFERROR(__xludf.DUMMYFUNCTION("""COMPUTED_VALUE"""),0.2549440625)</f>
        <v>0.2549440625</v>
      </c>
      <c r="J1026" s="4">
        <f>IFERROR(__xludf.DUMMYFUNCTION("""COMPUTED_VALUE"""),45949.27633225173)</f>
        <v>45949.27633</v>
      </c>
      <c r="K1026" s="4" t="str">
        <f>IFERROR(__xludf.DUMMYFUNCTION("""COMPUTED_VALUE"""),"")</f>
        <v/>
      </c>
      <c r="L1026" s="4">
        <f>IFERROR(__xludf.DUMMYFUNCTION("""COMPUTED_VALUE"""),45949.29339393032)</f>
        <v>45949.29339</v>
      </c>
      <c r="M1026" s="1" t="str">
        <f>IFERROR(__xludf.DUMMYFUNCTION("""COMPUTED_VALUE"""),"RFID")</f>
        <v>RFID</v>
      </c>
      <c r="N1026" s="5">
        <f>IFERROR(__xludf.DUMMYFUNCTION("""COMPUTED_VALUE"""),0.008555277777777778)</f>
        <v>0.008555277778</v>
      </c>
      <c r="O1026" s="5" t="str">
        <f>IFERROR(__xludf.DUMMYFUNCTION("""COMPUTED_VALUE"""),"")</f>
        <v/>
      </c>
      <c r="P1026" s="5" t="str">
        <f>IFERROR(__xludf.DUMMYFUNCTION("""COMPUTED_VALUE"""),"")</f>
        <v/>
      </c>
      <c r="Q1026" s="5">
        <f>IFERROR(__xludf.DUMMYFUNCTION("""COMPUTED_VALUE"""),0.007689974537037037)</f>
        <v>0.007689974537</v>
      </c>
      <c r="R1026" s="4">
        <f>IFERROR(__xludf.DUMMYFUNCTION("""COMPUTED_VALUE"""),45949.03844986782)</f>
        <v>45949.03845</v>
      </c>
      <c r="S1026" s="1" t="b">
        <f>IFERROR(__xludf.DUMMYFUNCTION("""COMPUTED_VALUE"""),TRUE)</f>
        <v>1</v>
      </c>
      <c r="T1026" s="1" t="b">
        <f>IFERROR(__xludf.DUMMYFUNCTION("""COMPUTED_VALUE"""),FALSE)</f>
        <v>0</v>
      </c>
      <c r="U1026" s="1" t="str">
        <f>IFERROR(__xludf.DUMMYFUNCTION("""COMPUTED_VALUE"""),"VALID")</f>
        <v>VALID</v>
      </c>
      <c r="V1026" s="1">
        <f>IFERROR(__xludf.DUMMYFUNCTION("""COMPUTED_VALUE"""),86.0)</f>
        <v>86</v>
      </c>
      <c r="W1026" s="1">
        <f>IFERROR(__xludf.DUMMYFUNCTION("""COMPUTED_VALUE"""),1130.0)</f>
        <v>1130</v>
      </c>
      <c r="X1026" s="1">
        <f>IFERROR(__xludf.DUMMYFUNCTION("""COMPUTED_VALUE"""),894.0)</f>
        <v>894</v>
      </c>
      <c r="Y1026" s="2"/>
      <c r="Z1026" s="2"/>
    </row>
    <row r="1027">
      <c r="A1027" s="1">
        <f>IFERROR(__xludf.DUMMYFUNCTION("""COMPUTED_VALUE"""),1026.0)</f>
        <v>1026</v>
      </c>
      <c r="B1027" s="7" t="str">
        <f>IFERROR(__xludf.DUMMYFUNCTION("""COMPUTED_VALUE"""),"7129")</f>
        <v>7129</v>
      </c>
      <c r="C1027" s="8" t="str">
        <f>IFERROR(__xludf.DUMMYFUNCTION("""COMPUTED_VALUE"""),"Zack")</f>
        <v>Zack</v>
      </c>
      <c r="D1027" s="2" t="str">
        <f>IFERROR(__xludf.DUMMYFUNCTION("""COMPUTED_VALUE"""),"5KM MASTER M")</f>
        <v>5KM MASTER M</v>
      </c>
      <c r="E1027" s="1">
        <f>IFERROR(__xludf.DUMMYFUNCTION("""COMPUTED_VALUE"""),2.0)</f>
        <v>2</v>
      </c>
      <c r="F1027" s="1" t="str">
        <f>IFERROR(__xludf.DUMMYFUNCTION("""COMPUTED_VALUE"""),"Male")</f>
        <v>Male</v>
      </c>
      <c r="G1027" s="4" t="b">
        <f>IFERROR(__xludf.DUMMYFUNCTION("""COMPUTED_VALUE"""),TRUE)</f>
        <v>1</v>
      </c>
      <c r="H1027" s="4" t="b">
        <f>IFERROR(__xludf.DUMMYFUNCTION("""COMPUTED_VALUE"""),TRUE)</f>
        <v>1</v>
      </c>
      <c r="I1027" s="4">
        <f>IFERROR(__xludf.DUMMYFUNCTION("""COMPUTED_VALUE"""),0.2549440625)</f>
        <v>0.2549440625</v>
      </c>
      <c r="J1027" s="4">
        <f>IFERROR(__xludf.DUMMYFUNCTION("""COMPUTED_VALUE"""),45949.27769335662)</f>
        <v>45949.27769</v>
      </c>
      <c r="K1027" s="4" t="str">
        <f>IFERROR(__xludf.DUMMYFUNCTION("""COMPUTED_VALUE"""),"")</f>
        <v/>
      </c>
      <c r="L1027" s="4">
        <f>IFERROR(__xludf.DUMMYFUNCTION("""COMPUTED_VALUE"""),45949.292307118136)</f>
        <v>45949.29231</v>
      </c>
      <c r="M1027" s="1" t="str">
        <f>IFERROR(__xludf.DUMMYFUNCTION("""COMPUTED_VALUE"""),"RFID")</f>
        <v>RFID</v>
      </c>
      <c r="N1027" s="5">
        <f>IFERROR(__xludf.DUMMYFUNCTION("""COMPUTED_VALUE"""),0.009099717592592592)</f>
        <v>0.009099717593</v>
      </c>
      <c r="O1027" s="5" t="str">
        <f>IFERROR(__xludf.DUMMYFUNCTION("""COMPUTED_VALUE"""),"")</f>
        <v/>
      </c>
      <c r="P1027" s="5" t="str">
        <f>IFERROR(__xludf.DUMMYFUNCTION("""COMPUTED_VALUE"""),"")</f>
        <v/>
      </c>
      <c r="Q1027" s="5">
        <f>IFERROR(__xludf.DUMMYFUNCTION("""COMPUTED_VALUE"""),0.007472611111111112)</f>
        <v>0.007472611111</v>
      </c>
      <c r="R1027" s="4">
        <f>IFERROR(__xludf.DUMMYFUNCTION("""COMPUTED_VALUE"""),45949.037363055635)</f>
        <v>45949.03736</v>
      </c>
      <c r="S1027" s="1" t="b">
        <f>IFERROR(__xludf.DUMMYFUNCTION("""COMPUTED_VALUE"""),TRUE)</f>
        <v>1</v>
      </c>
      <c r="T1027" s="1" t="b">
        <f>IFERROR(__xludf.DUMMYFUNCTION("""COMPUTED_VALUE"""),FALSE)</f>
        <v>0</v>
      </c>
      <c r="U1027" s="1" t="str">
        <f>IFERROR(__xludf.DUMMYFUNCTION("""COMPUTED_VALUE"""),"VALID")</f>
        <v>VALID</v>
      </c>
      <c r="V1027" s="1">
        <f>IFERROR(__xludf.DUMMYFUNCTION("""COMPUTED_VALUE"""),77.0)</f>
        <v>77</v>
      </c>
      <c r="W1027" s="1">
        <f>IFERROR(__xludf.DUMMYFUNCTION("""COMPUTED_VALUE"""),1049.0)</f>
        <v>1049</v>
      </c>
      <c r="X1027" s="1">
        <f>IFERROR(__xludf.DUMMYFUNCTION("""COMPUTED_VALUE"""),837.0)</f>
        <v>837</v>
      </c>
      <c r="Y1027" s="2"/>
      <c r="Z1027" s="2"/>
    </row>
    <row r="1028">
      <c r="A1028" s="1">
        <f>IFERROR(__xludf.DUMMYFUNCTION("""COMPUTED_VALUE"""),1027.0)</f>
        <v>1027</v>
      </c>
      <c r="B1028" s="7" t="str">
        <f>IFERROR(__xludf.DUMMYFUNCTION("""COMPUTED_VALUE"""),"7130")</f>
        <v>7130</v>
      </c>
      <c r="C1028" s="8" t="str">
        <f>IFERROR(__xludf.DUMMYFUNCTION("""COMPUTED_VALUE"""),"AWAN")</f>
        <v>AWAN</v>
      </c>
      <c r="D1028" s="2" t="str">
        <f>IFERROR(__xludf.DUMMYFUNCTION("""COMPUTED_VALUE"""),"5KM MASTER M")</f>
        <v>5KM MASTER M</v>
      </c>
      <c r="E1028" s="1">
        <f>IFERROR(__xludf.DUMMYFUNCTION("""COMPUTED_VALUE"""),2.0)</f>
        <v>2</v>
      </c>
      <c r="F1028" s="1" t="str">
        <f>IFERROR(__xludf.DUMMYFUNCTION("""COMPUTED_VALUE"""),"Male")</f>
        <v>Male</v>
      </c>
      <c r="G1028" s="4" t="b">
        <f>IFERROR(__xludf.DUMMYFUNCTION("""COMPUTED_VALUE"""),TRUE)</f>
        <v>1</v>
      </c>
      <c r="H1028" s="4" t="b">
        <f>IFERROR(__xludf.DUMMYFUNCTION("""COMPUTED_VALUE"""),TRUE)</f>
        <v>1</v>
      </c>
      <c r="I1028" s="4">
        <f>IFERROR(__xludf.DUMMYFUNCTION("""COMPUTED_VALUE"""),0.2549440625)</f>
        <v>0.2549440625</v>
      </c>
      <c r="J1028" s="4">
        <f>IFERROR(__xludf.DUMMYFUNCTION("""COMPUTED_VALUE"""),45949.26679405559)</f>
        <v>45949.26679</v>
      </c>
      <c r="K1028" s="4" t="str">
        <f>IFERROR(__xludf.DUMMYFUNCTION("""COMPUTED_VALUE"""),"")</f>
        <v/>
      </c>
      <c r="L1028" s="4">
        <f>IFERROR(__xludf.DUMMYFUNCTION("""COMPUTED_VALUE"""),45949.27770296997)</f>
        <v>45949.2777</v>
      </c>
      <c r="M1028" s="1" t="str">
        <f>IFERROR(__xludf.DUMMYFUNCTION("""COMPUTED_VALUE"""),"RFID")</f>
        <v>RFID</v>
      </c>
      <c r="N1028" s="5">
        <f>IFERROR(__xludf.DUMMYFUNCTION("""COMPUTED_VALUE"""),0.004739995370370371)</f>
        <v>0.00473999537</v>
      </c>
      <c r="O1028" s="5" t="str">
        <f>IFERROR(__xludf.DUMMYFUNCTION("""COMPUTED_VALUE"""),"")</f>
        <v/>
      </c>
      <c r="P1028" s="5" t="str">
        <f>IFERROR(__xludf.DUMMYFUNCTION("""COMPUTED_VALUE"""),"")</f>
        <v/>
      </c>
      <c r="Q1028" s="5">
        <f>IFERROR(__xludf.DUMMYFUNCTION("""COMPUTED_VALUE"""),0.004551782407407407)</f>
        <v>0.004551782407</v>
      </c>
      <c r="R1028" s="4">
        <f>IFERROR(__xludf.DUMMYFUNCTION("""COMPUTED_VALUE"""),45949.02275890747)</f>
        <v>45949.02276</v>
      </c>
      <c r="S1028" s="1" t="b">
        <f>IFERROR(__xludf.DUMMYFUNCTION("""COMPUTED_VALUE"""),TRUE)</f>
        <v>1</v>
      </c>
      <c r="T1028" s="1" t="b">
        <f>IFERROR(__xludf.DUMMYFUNCTION("""COMPUTED_VALUE"""),FALSE)</f>
        <v>0</v>
      </c>
      <c r="U1028" s="1" t="str">
        <f>IFERROR(__xludf.DUMMYFUNCTION("""COMPUTED_VALUE"""),"VALID")</f>
        <v>VALID</v>
      </c>
      <c r="V1028" s="1">
        <f>IFERROR(__xludf.DUMMYFUNCTION("""COMPUTED_VALUE"""),20.0)</f>
        <v>20</v>
      </c>
      <c r="W1028" s="1">
        <f>IFERROR(__xludf.DUMMYFUNCTION("""COMPUTED_VALUE"""),200.0)</f>
        <v>200</v>
      </c>
      <c r="X1028" s="1">
        <f>IFERROR(__xludf.DUMMYFUNCTION("""COMPUTED_VALUE"""),175.0)</f>
        <v>175</v>
      </c>
      <c r="Y1028" s="2"/>
      <c r="Z1028" s="2"/>
    </row>
    <row r="1029">
      <c r="A1029" s="1">
        <f>IFERROR(__xludf.DUMMYFUNCTION("""COMPUTED_VALUE"""),1028.0)</f>
        <v>1028</v>
      </c>
      <c r="B1029" s="7" t="str">
        <f>IFERROR(__xludf.DUMMYFUNCTION("""COMPUTED_VALUE"""),"7131")</f>
        <v>7131</v>
      </c>
      <c r="C1029" s="8" t="str">
        <f>IFERROR(__xludf.DUMMYFUNCTION("""COMPUTED_VALUE"""),"ROY")</f>
        <v>ROY</v>
      </c>
      <c r="D1029" s="2" t="str">
        <f>IFERROR(__xludf.DUMMYFUNCTION("""COMPUTED_VALUE"""),"5KM MASTER M")</f>
        <v>5KM MASTER M</v>
      </c>
      <c r="E1029" s="1">
        <f>IFERROR(__xludf.DUMMYFUNCTION("""COMPUTED_VALUE"""),2.0)</f>
        <v>2</v>
      </c>
      <c r="F1029" s="1" t="str">
        <f>IFERROR(__xludf.DUMMYFUNCTION("""COMPUTED_VALUE"""),"Male")</f>
        <v>Male</v>
      </c>
      <c r="G1029" s="4" t="b">
        <f>IFERROR(__xludf.DUMMYFUNCTION("""COMPUTED_VALUE"""),TRUE)</f>
        <v>1</v>
      </c>
      <c r="H1029" s="4" t="b">
        <f>IFERROR(__xludf.DUMMYFUNCTION("""COMPUTED_VALUE"""),FALSE)</f>
        <v>0</v>
      </c>
      <c r="I1029" s="4">
        <f>IFERROR(__xludf.DUMMYFUNCTION("""COMPUTED_VALUE"""),0.2549440625)</f>
        <v>0.2549440625</v>
      </c>
      <c r="J1029" s="4">
        <f>IFERROR(__xludf.DUMMYFUNCTION("""COMPUTED_VALUE"""),45949.28220726736)</f>
        <v>45949.28221</v>
      </c>
      <c r="K1029" s="4" t="str">
        <f>IFERROR(__xludf.DUMMYFUNCTION("""COMPUTED_VALUE"""),"")</f>
        <v/>
      </c>
      <c r="L1029" s="4">
        <f>IFERROR(__xludf.DUMMYFUNCTION("""COMPUTED_VALUE"""),45949.30125503816)</f>
        <v>45949.30126</v>
      </c>
      <c r="M1029" s="1" t="str">
        <f>IFERROR(__xludf.DUMMYFUNCTION("""COMPUTED_VALUE"""),"RFID")</f>
        <v>RFID</v>
      </c>
      <c r="N1029" s="5">
        <f>IFERROR(__xludf.DUMMYFUNCTION("""COMPUTED_VALUE"""),0.010905282407407409)</f>
        <v>0.01090528241</v>
      </c>
      <c r="O1029" s="5" t="str">
        <f>IFERROR(__xludf.DUMMYFUNCTION("""COMPUTED_VALUE"""),"")</f>
        <v/>
      </c>
      <c r="P1029" s="5" t="str">
        <f>IFERROR(__xludf.DUMMYFUNCTION("""COMPUTED_VALUE"""),"")</f>
        <v/>
      </c>
      <c r="Q1029" s="5">
        <f>IFERROR(__xludf.DUMMYFUNCTION("""COMPUTED_VALUE"""),0.009262194444444444)</f>
        <v>0.009262194444</v>
      </c>
      <c r="R1029" s="4">
        <f>IFERROR(__xludf.DUMMYFUNCTION("""COMPUTED_VALUE"""),45949.04631097566)</f>
        <v>45949.04631</v>
      </c>
      <c r="S1029" s="1" t="b">
        <f>IFERROR(__xludf.DUMMYFUNCTION("""COMPUTED_VALUE"""),TRUE)</f>
        <v>1</v>
      </c>
      <c r="T1029" s="1" t="b">
        <f>IFERROR(__xludf.DUMMYFUNCTION("""COMPUTED_VALUE"""),FALSE)</f>
        <v>0</v>
      </c>
      <c r="U1029" s="1" t="str">
        <f>IFERROR(__xludf.DUMMYFUNCTION("""COMPUTED_VALUE"""),"VALID")</f>
        <v>VALID</v>
      </c>
      <c r="V1029" s="1">
        <f>IFERROR(__xludf.DUMMYFUNCTION("""COMPUTED_VALUE"""),101.0)</f>
        <v>101</v>
      </c>
      <c r="W1029" s="1">
        <f>IFERROR(__xludf.DUMMYFUNCTION("""COMPUTED_VALUE"""),1504.0)</f>
        <v>1504</v>
      </c>
      <c r="X1029" s="1">
        <f>IFERROR(__xludf.DUMMYFUNCTION("""COMPUTED_VALUE"""),1255.0)</f>
        <v>1255</v>
      </c>
      <c r="Y1029" s="2"/>
      <c r="Z1029" s="2"/>
    </row>
    <row r="1030">
      <c r="A1030" s="1">
        <f>IFERROR(__xludf.DUMMYFUNCTION("""COMPUTED_VALUE"""),1029.0)</f>
        <v>1029</v>
      </c>
      <c r="B1030" s="7" t="str">
        <f>IFERROR(__xludf.DUMMYFUNCTION("""COMPUTED_VALUE"""),"7132")</f>
        <v>7132</v>
      </c>
      <c r="C1030" s="8" t="str">
        <f>IFERROR(__xludf.DUMMYFUNCTION("""COMPUTED_VALUE"""),"HUMAIDI")</f>
        <v>HUMAIDI</v>
      </c>
      <c r="D1030" s="2" t="str">
        <f>IFERROR(__xludf.DUMMYFUNCTION("""COMPUTED_VALUE"""),"5KM MASTER M")</f>
        <v>5KM MASTER M</v>
      </c>
      <c r="E1030" s="1">
        <f>IFERROR(__xludf.DUMMYFUNCTION("""COMPUTED_VALUE"""),2.0)</f>
        <v>2</v>
      </c>
      <c r="F1030" s="1" t="str">
        <f>IFERROR(__xludf.DUMMYFUNCTION("""COMPUTED_VALUE"""),"Male")</f>
        <v>Male</v>
      </c>
      <c r="G1030" s="4" t="str">
        <f>IFERROR(__xludf.DUMMYFUNCTION("""COMPUTED_VALUE"""),"")</f>
        <v/>
      </c>
      <c r="H1030" s="4" t="b">
        <f>IFERROR(__xludf.DUMMYFUNCTION("""COMPUTED_VALUE"""),FALSE)</f>
        <v>0</v>
      </c>
      <c r="I1030" s="4">
        <f>IFERROR(__xludf.DUMMYFUNCTION("""COMPUTED_VALUE"""),0.2549440625)</f>
        <v>0.2549440625</v>
      </c>
      <c r="J1030" s="4" t="str">
        <f>IFERROR(__xludf.DUMMYFUNCTION("""COMPUTED_VALUE"""),"")</f>
        <v/>
      </c>
      <c r="K1030" s="4" t="str">
        <f>IFERROR(__xludf.DUMMYFUNCTION("""COMPUTED_VALUE"""),"")</f>
        <v/>
      </c>
      <c r="L1030" s="4" t="str">
        <f>IFERROR(__xludf.DUMMYFUNCTION("""COMPUTED_VALUE"""),"")</f>
        <v/>
      </c>
      <c r="M1030" s="1" t="str">
        <f>IFERROR(__xludf.DUMMYFUNCTION("""COMPUTED_VALUE"""),"RFID")</f>
        <v>RFID</v>
      </c>
      <c r="N1030" s="5" t="str">
        <f>IFERROR(__xludf.DUMMYFUNCTION("""COMPUTED_VALUE"""),"")</f>
        <v/>
      </c>
      <c r="O1030" s="5" t="str">
        <f>IFERROR(__xludf.DUMMYFUNCTION("""COMPUTED_VALUE"""),"")</f>
        <v/>
      </c>
      <c r="P1030" s="5" t="str">
        <f>IFERROR(__xludf.DUMMYFUNCTION("""COMPUTED_VALUE"""),"")</f>
        <v/>
      </c>
      <c r="Q1030" s="5" t="str">
        <f>IFERROR(__xludf.DUMMYFUNCTION("""COMPUTED_VALUE"""),"")</f>
        <v/>
      </c>
      <c r="R1030" s="4" t="str">
        <f>IFERROR(__xludf.DUMMYFUNCTION("""COMPUTED_VALUE"""),"")</f>
        <v/>
      </c>
      <c r="S1030" s="1" t="b">
        <f>IFERROR(__xludf.DUMMYFUNCTION("""COMPUTED_VALUE"""),FALSE)</f>
        <v>0</v>
      </c>
      <c r="T1030" s="1" t="b">
        <f>IFERROR(__xludf.DUMMYFUNCTION("""COMPUTED_VALUE"""),FALSE)</f>
        <v>0</v>
      </c>
      <c r="U1030" s="1" t="str">
        <f>IFERROR(__xludf.DUMMYFUNCTION("""COMPUTED_VALUE"""),"DSQ")</f>
        <v>DSQ</v>
      </c>
      <c r="V1030" s="1" t="str">
        <f>IFERROR(__xludf.DUMMYFUNCTION("""COMPUTED_VALUE"""),"DSQ")</f>
        <v>DSQ</v>
      </c>
      <c r="W1030" s="1" t="str">
        <f>IFERROR(__xludf.DUMMYFUNCTION("""COMPUTED_VALUE"""),"DSQ")</f>
        <v>DSQ</v>
      </c>
      <c r="X1030" s="1" t="str">
        <f>IFERROR(__xludf.DUMMYFUNCTION("""COMPUTED_VALUE"""),"DSQ")</f>
        <v>DSQ</v>
      </c>
      <c r="Y1030" s="2"/>
      <c r="Z1030" s="2" t="str">
        <f>IFERROR(__xludf.DUMMYFUNCTION("""COMPUTED_VALUE"""),"")</f>
        <v/>
      </c>
    </row>
    <row r="1031">
      <c r="A1031" s="1">
        <f>IFERROR(__xludf.DUMMYFUNCTION("""COMPUTED_VALUE"""),1030.0)</f>
        <v>1030</v>
      </c>
      <c r="B1031" s="7" t="str">
        <f>IFERROR(__xludf.DUMMYFUNCTION("""COMPUTED_VALUE"""),"7133")</f>
        <v>7133</v>
      </c>
      <c r="C1031" s="8" t="str">
        <f>IFERROR(__xludf.DUMMYFUNCTION("""COMPUTED_VALUE"""),"Yho")</f>
        <v>Yho</v>
      </c>
      <c r="D1031" s="2" t="str">
        <f>IFERROR(__xludf.DUMMYFUNCTION("""COMPUTED_VALUE"""),"5KM MASTER M")</f>
        <v>5KM MASTER M</v>
      </c>
      <c r="E1031" s="1">
        <f>IFERROR(__xludf.DUMMYFUNCTION("""COMPUTED_VALUE"""),2.0)</f>
        <v>2</v>
      </c>
      <c r="F1031" s="1" t="str">
        <f>IFERROR(__xludf.DUMMYFUNCTION("""COMPUTED_VALUE"""),"Male")</f>
        <v>Male</v>
      </c>
      <c r="G1031" s="4" t="b">
        <f>IFERROR(__xludf.DUMMYFUNCTION("""COMPUTED_VALUE"""),TRUE)</f>
        <v>1</v>
      </c>
      <c r="H1031" s="4" t="b">
        <f>IFERROR(__xludf.DUMMYFUNCTION("""COMPUTED_VALUE"""),TRUE)</f>
        <v>1</v>
      </c>
      <c r="I1031" s="4">
        <f>IFERROR(__xludf.DUMMYFUNCTION("""COMPUTED_VALUE"""),0.2549440625)</f>
        <v>0.2549440625</v>
      </c>
      <c r="J1031" s="4">
        <f>IFERROR(__xludf.DUMMYFUNCTION("""COMPUTED_VALUE"""),45950.27767361111)</f>
        <v>45950.27767</v>
      </c>
      <c r="K1031" s="4" t="str">
        <f>IFERROR(__xludf.DUMMYFUNCTION("""COMPUTED_VALUE"""),"")</f>
        <v/>
      </c>
      <c r="L1031" s="4">
        <f>IFERROR(__xludf.DUMMYFUNCTION("""COMPUTED_VALUE"""),45949.29283484259)</f>
        <v>45949.29283</v>
      </c>
      <c r="M1031" s="1" t="str">
        <f>IFERROR(__xludf.DUMMYFUNCTION("""COMPUTED_VALUE"""),"RFID")</f>
        <v>RFID</v>
      </c>
      <c r="N1031" s="5">
        <f>IFERROR(__xludf.DUMMYFUNCTION("""COMPUTED_VALUE"""),0.009091819444444444)</f>
        <v>0.009091819444</v>
      </c>
      <c r="O1031" s="5" t="str">
        <f>IFERROR(__xludf.DUMMYFUNCTION("""COMPUTED_VALUE"""),"")</f>
        <v/>
      </c>
      <c r="P1031" s="5" t="str">
        <f>IFERROR(__xludf.DUMMYFUNCTION("""COMPUTED_VALUE"""),"")</f>
        <v/>
      </c>
      <c r="Q1031" s="5">
        <f>IFERROR(__xludf.DUMMYFUNCTION("""COMPUTED_VALUE"""),0.007578155092592592)</f>
        <v>0.007578155093</v>
      </c>
      <c r="R1031" s="4">
        <f>IFERROR(__xludf.DUMMYFUNCTION("""COMPUTED_VALUE"""),45949.03789078009)</f>
        <v>45949.03789</v>
      </c>
      <c r="S1031" s="1" t="b">
        <f>IFERROR(__xludf.DUMMYFUNCTION("""COMPUTED_VALUE"""),TRUE)</f>
        <v>1</v>
      </c>
      <c r="T1031" s="1" t="b">
        <f>IFERROR(__xludf.DUMMYFUNCTION("""COMPUTED_VALUE"""),FALSE)</f>
        <v>0</v>
      </c>
      <c r="U1031" s="1" t="str">
        <f>IFERROR(__xludf.DUMMYFUNCTION("""COMPUTED_VALUE"""),"VALID")</f>
        <v>VALID</v>
      </c>
      <c r="V1031" s="1">
        <f>IFERROR(__xludf.DUMMYFUNCTION("""COMPUTED_VALUE"""),83.0)</f>
        <v>83</v>
      </c>
      <c r="W1031" s="1">
        <f>IFERROR(__xludf.DUMMYFUNCTION("""COMPUTED_VALUE"""),1095.0)</f>
        <v>1095</v>
      </c>
      <c r="X1031" s="1">
        <f>IFERROR(__xludf.DUMMYFUNCTION("""COMPUTED_VALUE"""),869.0)</f>
        <v>869</v>
      </c>
      <c r="Y1031" s="2"/>
      <c r="Z1031" s="2" t="str">
        <f>IFERROR(__xludf.DUMMYFUNCTION("""COMPUTED_VALUE"""),"C")</f>
        <v>C</v>
      </c>
    </row>
    <row r="1032">
      <c r="A1032" s="1">
        <f>IFERROR(__xludf.DUMMYFUNCTION("""COMPUTED_VALUE"""),1031.0)</f>
        <v>1031</v>
      </c>
      <c r="B1032" s="7" t="str">
        <f>IFERROR(__xludf.DUMMYFUNCTION("""COMPUTED_VALUE"""),"7134")</f>
        <v>7134</v>
      </c>
      <c r="C1032" s="8" t="str">
        <f>IFERROR(__xludf.DUMMYFUNCTION("""COMPUTED_VALUE"""),"Darma")</f>
        <v>Darma</v>
      </c>
      <c r="D1032" s="2" t="str">
        <f>IFERROR(__xludf.DUMMYFUNCTION("""COMPUTED_VALUE"""),"5KM MASTER M")</f>
        <v>5KM MASTER M</v>
      </c>
      <c r="E1032" s="1">
        <f>IFERROR(__xludf.DUMMYFUNCTION("""COMPUTED_VALUE"""),2.0)</f>
        <v>2</v>
      </c>
      <c r="F1032" s="1" t="str">
        <f>IFERROR(__xludf.DUMMYFUNCTION("""COMPUTED_VALUE"""),"Male")</f>
        <v>Male</v>
      </c>
      <c r="G1032" s="4" t="b">
        <f>IFERROR(__xludf.DUMMYFUNCTION("""COMPUTED_VALUE"""),TRUE)</f>
        <v>1</v>
      </c>
      <c r="H1032" s="4" t="b">
        <f>IFERROR(__xludf.DUMMYFUNCTION("""COMPUTED_VALUE"""),FALSE)</f>
        <v>0</v>
      </c>
      <c r="I1032" s="4">
        <f>IFERROR(__xludf.DUMMYFUNCTION("""COMPUTED_VALUE"""),0.2549440625)</f>
        <v>0.2549440625</v>
      </c>
      <c r="J1032" s="4">
        <f>IFERROR(__xludf.DUMMYFUNCTION("""COMPUTED_VALUE"""),45949.269151745946)</f>
        <v>45949.26915</v>
      </c>
      <c r="K1032" s="4" t="str">
        <f>IFERROR(__xludf.DUMMYFUNCTION("""COMPUTED_VALUE"""),"")</f>
        <v/>
      </c>
      <c r="L1032" s="4">
        <f>IFERROR(__xludf.DUMMYFUNCTION("""COMPUTED_VALUE"""),45949.279026854034)</f>
        <v>45949.27903</v>
      </c>
      <c r="M1032" s="1" t="str">
        <f>IFERROR(__xludf.DUMMYFUNCTION("""COMPUTED_VALUE"""),"RFID")</f>
        <v>RFID</v>
      </c>
      <c r="N1032" s="5">
        <f>IFERROR(__xludf.DUMMYFUNCTION("""COMPUTED_VALUE"""),0.005683074074074075)</f>
        <v>0.005683074074</v>
      </c>
      <c r="O1032" s="5" t="str">
        <f>IFERROR(__xludf.DUMMYFUNCTION("""COMPUTED_VALUE"""),"")</f>
        <v/>
      </c>
      <c r="P1032" s="5" t="str">
        <f>IFERROR(__xludf.DUMMYFUNCTION("""COMPUTED_VALUE"""),"")</f>
        <v/>
      </c>
      <c r="Q1032" s="5">
        <f>IFERROR(__xludf.DUMMYFUNCTION("""COMPUTED_VALUE"""),0.00481655787037037)</f>
        <v>0.00481655787</v>
      </c>
      <c r="R1032" s="4">
        <f>IFERROR(__xludf.DUMMYFUNCTION("""COMPUTED_VALUE"""),45949.02408279153)</f>
        <v>45949.02408</v>
      </c>
      <c r="S1032" s="1" t="b">
        <f>IFERROR(__xludf.DUMMYFUNCTION("""COMPUTED_VALUE"""),TRUE)</f>
        <v>1</v>
      </c>
      <c r="T1032" s="1" t="b">
        <f>IFERROR(__xludf.DUMMYFUNCTION("""COMPUTED_VALUE"""),FALSE)</f>
        <v>0</v>
      </c>
      <c r="U1032" s="1" t="str">
        <f>IFERROR(__xludf.DUMMYFUNCTION("""COMPUTED_VALUE"""),"VALID")</f>
        <v>VALID</v>
      </c>
      <c r="V1032" s="1">
        <f>IFERROR(__xludf.DUMMYFUNCTION("""COMPUTED_VALUE"""),24.0)</f>
        <v>24</v>
      </c>
      <c r="W1032" s="1">
        <f>IFERROR(__xludf.DUMMYFUNCTION("""COMPUTED_VALUE"""),249.0)</f>
        <v>249</v>
      </c>
      <c r="X1032" s="1">
        <f>IFERROR(__xludf.DUMMYFUNCTION("""COMPUTED_VALUE"""),219.0)</f>
        <v>219</v>
      </c>
      <c r="Y1032" s="2"/>
      <c r="Z1032" s="2"/>
    </row>
    <row r="1033">
      <c r="A1033" s="1">
        <f>IFERROR(__xludf.DUMMYFUNCTION("""COMPUTED_VALUE"""),1032.0)</f>
        <v>1032</v>
      </c>
      <c r="B1033" s="7" t="str">
        <f>IFERROR(__xludf.DUMMYFUNCTION("""COMPUTED_VALUE"""),"7135")</f>
        <v>7135</v>
      </c>
      <c r="C1033" s="8" t="str">
        <f>IFERROR(__xludf.DUMMYFUNCTION("""COMPUTED_VALUE"""),"SAI")</f>
        <v>SAI</v>
      </c>
      <c r="D1033" s="2" t="str">
        <f>IFERROR(__xludf.DUMMYFUNCTION("""COMPUTED_VALUE"""),"5KM MASTER M")</f>
        <v>5KM MASTER M</v>
      </c>
      <c r="E1033" s="1">
        <f>IFERROR(__xludf.DUMMYFUNCTION("""COMPUTED_VALUE"""),2.0)</f>
        <v>2</v>
      </c>
      <c r="F1033" s="1" t="str">
        <f>IFERROR(__xludf.DUMMYFUNCTION("""COMPUTED_VALUE"""),"Male")</f>
        <v>Male</v>
      </c>
      <c r="G1033" s="4" t="b">
        <f>IFERROR(__xludf.DUMMYFUNCTION("""COMPUTED_VALUE"""),TRUE)</f>
        <v>1</v>
      </c>
      <c r="H1033" s="4" t="b">
        <f>IFERROR(__xludf.DUMMYFUNCTION("""COMPUTED_VALUE"""),TRUE)</f>
        <v>1</v>
      </c>
      <c r="I1033" s="4">
        <f>IFERROR(__xludf.DUMMYFUNCTION("""COMPUTED_VALUE"""),0.2549440625)</f>
        <v>0.2549440625</v>
      </c>
      <c r="J1033" s="4">
        <f>IFERROR(__xludf.DUMMYFUNCTION("""COMPUTED_VALUE"""),45949.267423212455)</f>
        <v>45949.26742</v>
      </c>
      <c r="K1033" s="4" t="str">
        <f>IFERROR(__xludf.DUMMYFUNCTION("""COMPUTED_VALUE"""),"")</f>
        <v/>
      </c>
      <c r="L1033" s="4">
        <f>IFERROR(__xludf.DUMMYFUNCTION("""COMPUTED_VALUE"""),45949.27732100372)</f>
        <v>45949.27732</v>
      </c>
      <c r="M1033" s="1" t="str">
        <f>IFERROR(__xludf.DUMMYFUNCTION("""COMPUTED_VALUE"""),"RFID")</f>
        <v>RFID</v>
      </c>
      <c r="N1033" s="5">
        <f>IFERROR(__xludf.DUMMYFUNCTION("""COMPUTED_VALUE"""),0.0049916620370370375)</f>
        <v>0.004991662037</v>
      </c>
      <c r="O1033" s="5" t="str">
        <f>IFERROR(__xludf.DUMMYFUNCTION("""COMPUTED_VALUE"""),"")</f>
        <v/>
      </c>
      <c r="P1033" s="5" t="str">
        <f>IFERROR(__xludf.DUMMYFUNCTION("""COMPUTED_VALUE"""),"")</f>
        <v/>
      </c>
      <c r="Q1033" s="5">
        <f>IFERROR(__xludf.DUMMYFUNCTION("""COMPUTED_VALUE"""),0.004475388888888888)</f>
        <v>0.004475388889</v>
      </c>
      <c r="R1033" s="4">
        <f>IFERROR(__xludf.DUMMYFUNCTION("""COMPUTED_VALUE"""),45949.02237694122)</f>
        <v>45949.02238</v>
      </c>
      <c r="S1033" s="1" t="b">
        <f>IFERROR(__xludf.DUMMYFUNCTION("""COMPUTED_VALUE"""),TRUE)</f>
        <v>1</v>
      </c>
      <c r="T1033" s="1" t="b">
        <f>IFERROR(__xludf.DUMMYFUNCTION("""COMPUTED_VALUE"""),FALSE)</f>
        <v>0</v>
      </c>
      <c r="U1033" s="1" t="str">
        <f>IFERROR(__xludf.DUMMYFUNCTION("""COMPUTED_VALUE"""),"VALID")</f>
        <v>VALID</v>
      </c>
      <c r="V1033" s="1">
        <f>IFERROR(__xludf.DUMMYFUNCTION("""COMPUTED_VALUE"""),19.0)</f>
        <v>19</v>
      </c>
      <c r="W1033" s="1">
        <f>IFERROR(__xludf.DUMMYFUNCTION("""COMPUTED_VALUE"""),181.0)</f>
        <v>181</v>
      </c>
      <c r="X1033" s="1">
        <f>IFERROR(__xludf.DUMMYFUNCTION("""COMPUTED_VALUE"""),161.0)</f>
        <v>161</v>
      </c>
      <c r="Y1033" s="2"/>
      <c r="Z1033" s="2"/>
    </row>
    <row r="1034">
      <c r="A1034" s="1">
        <f>IFERROR(__xludf.DUMMYFUNCTION("""COMPUTED_VALUE"""),1033.0)</f>
        <v>1033</v>
      </c>
      <c r="B1034" s="7" t="str">
        <f>IFERROR(__xludf.DUMMYFUNCTION("""COMPUTED_VALUE"""),"7136")</f>
        <v>7136</v>
      </c>
      <c r="C1034" s="8" t="str">
        <f>IFERROR(__xludf.DUMMYFUNCTION("""COMPUTED_VALUE"""),"Abi Abas")</f>
        <v>Abi Abas</v>
      </c>
      <c r="D1034" s="2" t="str">
        <f>IFERROR(__xludf.DUMMYFUNCTION("""COMPUTED_VALUE"""),"5KM MASTER M")</f>
        <v>5KM MASTER M</v>
      </c>
      <c r="E1034" s="1">
        <f>IFERROR(__xludf.DUMMYFUNCTION("""COMPUTED_VALUE"""),2.0)</f>
        <v>2</v>
      </c>
      <c r="F1034" s="1" t="str">
        <f>IFERROR(__xludf.DUMMYFUNCTION("""COMPUTED_VALUE"""),"Male")</f>
        <v>Male</v>
      </c>
      <c r="G1034" s="4" t="b">
        <f>IFERROR(__xludf.DUMMYFUNCTION("""COMPUTED_VALUE"""),TRUE)</f>
        <v>1</v>
      </c>
      <c r="H1034" s="4" t="b">
        <f>IFERROR(__xludf.DUMMYFUNCTION("""COMPUTED_VALUE"""),FALSE)</f>
        <v>0</v>
      </c>
      <c r="I1034" s="4">
        <f>IFERROR(__xludf.DUMMYFUNCTION("""COMPUTED_VALUE"""),0.2549440625)</f>
        <v>0.2549440625</v>
      </c>
      <c r="J1034" s="4">
        <f>IFERROR(__xludf.DUMMYFUNCTION("""COMPUTED_VALUE"""),45949.28024200391)</f>
        <v>45949.28024</v>
      </c>
      <c r="K1034" s="4" t="str">
        <f>IFERROR(__xludf.DUMMYFUNCTION("""COMPUTED_VALUE"""),"")</f>
        <v/>
      </c>
      <c r="L1034" s="4">
        <f>IFERROR(__xludf.DUMMYFUNCTION("""COMPUTED_VALUE"""),45949.298772340124)</f>
        <v>45949.29877</v>
      </c>
      <c r="M1034" s="1" t="str">
        <f>IFERROR(__xludf.DUMMYFUNCTION("""COMPUTED_VALUE"""),"RFID")</f>
        <v>RFID</v>
      </c>
      <c r="N1034" s="5">
        <f>IFERROR(__xludf.DUMMYFUNCTION("""COMPUTED_VALUE"""),0.010119175925925927)</f>
        <v>0.01011917593</v>
      </c>
      <c r="O1034" s="5" t="str">
        <f>IFERROR(__xludf.DUMMYFUNCTION("""COMPUTED_VALUE"""),"")</f>
        <v/>
      </c>
      <c r="P1034" s="5" t="str">
        <f>IFERROR(__xludf.DUMMYFUNCTION("""COMPUTED_VALUE"""),"")</f>
        <v/>
      </c>
      <c r="Q1034" s="5">
        <f>IFERROR(__xludf.DUMMYFUNCTION("""COMPUTED_VALUE"""),0.008765655092592592)</f>
        <v>0.008765655093</v>
      </c>
      <c r="R1034" s="4">
        <f>IFERROR(__xludf.DUMMYFUNCTION("""COMPUTED_VALUE"""),45949.04382827762)</f>
        <v>45949.04383</v>
      </c>
      <c r="S1034" s="1" t="b">
        <f>IFERROR(__xludf.DUMMYFUNCTION("""COMPUTED_VALUE"""),TRUE)</f>
        <v>1</v>
      </c>
      <c r="T1034" s="1" t="b">
        <f>IFERROR(__xludf.DUMMYFUNCTION("""COMPUTED_VALUE"""),FALSE)</f>
        <v>0</v>
      </c>
      <c r="U1034" s="1" t="str">
        <f>IFERROR(__xludf.DUMMYFUNCTION("""COMPUTED_VALUE"""),"VALID")</f>
        <v>VALID</v>
      </c>
      <c r="V1034" s="1">
        <f>IFERROR(__xludf.DUMMYFUNCTION("""COMPUTED_VALUE"""),96.0)</f>
        <v>96</v>
      </c>
      <c r="W1034" s="1">
        <f>IFERROR(__xludf.DUMMYFUNCTION("""COMPUTED_VALUE"""),1399.0)</f>
        <v>1399</v>
      </c>
      <c r="X1034" s="1">
        <f>IFERROR(__xludf.DUMMYFUNCTION("""COMPUTED_VALUE"""),1140.0)</f>
        <v>1140</v>
      </c>
      <c r="Y1034" s="2"/>
      <c r="Z1034" s="2"/>
    </row>
    <row r="1035">
      <c r="A1035" s="1">
        <f>IFERROR(__xludf.DUMMYFUNCTION("""COMPUTED_VALUE"""),1034.0)</f>
        <v>1034</v>
      </c>
      <c r="B1035" s="7" t="str">
        <f>IFERROR(__xludf.DUMMYFUNCTION("""COMPUTED_VALUE"""),"7137")</f>
        <v>7137</v>
      </c>
      <c r="C1035" s="8" t="str">
        <f>IFERROR(__xludf.DUMMYFUNCTION("""COMPUTED_VALUE"""),"saifudin")</f>
        <v>saifudin</v>
      </c>
      <c r="D1035" s="2" t="str">
        <f>IFERROR(__xludf.DUMMYFUNCTION("""COMPUTED_VALUE"""),"5KM MASTER M")</f>
        <v>5KM MASTER M</v>
      </c>
      <c r="E1035" s="1">
        <f>IFERROR(__xludf.DUMMYFUNCTION("""COMPUTED_VALUE"""),2.0)</f>
        <v>2</v>
      </c>
      <c r="F1035" s="1" t="str">
        <f>IFERROR(__xludf.DUMMYFUNCTION("""COMPUTED_VALUE"""),"Male")</f>
        <v>Male</v>
      </c>
      <c r="G1035" s="4" t="b">
        <f>IFERROR(__xludf.DUMMYFUNCTION("""COMPUTED_VALUE"""),TRUE)</f>
        <v>1</v>
      </c>
      <c r="H1035" s="4" t="b">
        <f>IFERROR(__xludf.DUMMYFUNCTION("""COMPUTED_VALUE"""),TRUE)</f>
        <v>1</v>
      </c>
      <c r="I1035" s="4">
        <f>IFERROR(__xludf.DUMMYFUNCTION("""COMPUTED_VALUE"""),0.2549440625)</f>
        <v>0.2549440625</v>
      </c>
      <c r="J1035" s="4">
        <f>IFERROR(__xludf.DUMMYFUNCTION("""COMPUTED_VALUE"""),45949.28449892131)</f>
        <v>45949.2845</v>
      </c>
      <c r="K1035" s="4" t="str">
        <f>IFERROR(__xludf.DUMMYFUNCTION("""COMPUTED_VALUE"""),"")</f>
        <v/>
      </c>
      <c r="L1035" s="4">
        <f>IFERROR(__xludf.DUMMYFUNCTION("""COMPUTED_VALUE"""),45949.30296296296)</f>
        <v>45949.30296</v>
      </c>
      <c r="M1035" s="1" t="str">
        <f>IFERROR(__xludf.DUMMYFUNCTION("""COMPUTED_VALUE"""),"RFID")</f>
        <v>RFID</v>
      </c>
      <c r="N1035" s="5">
        <f>IFERROR(__xludf.DUMMYFUNCTION("""COMPUTED_VALUE"""),0.011821944444444444)</f>
        <v>0.01182194444</v>
      </c>
      <c r="O1035" s="5" t="str">
        <f>IFERROR(__xludf.DUMMYFUNCTION("""COMPUTED_VALUE"""),"")</f>
        <v/>
      </c>
      <c r="P1035" s="5" t="str">
        <f>IFERROR(__xludf.DUMMYFUNCTION("""COMPUTED_VALUE"""),"")</f>
        <v/>
      </c>
      <c r="Q1035" s="5">
        <f>IFERROR(__xludf.DUMMYFUNCTION("""COMPUTED_VALUE"""),0.00960378009259259)</f>
        <v>0.009603780093</v>
      </c>
      <c r="R1035" s="4">
        <f>IFERROR(__xludf.DUMMYFUNCTION("""COMPUTED_VALUE"""),45949.04801890046)</f>
        <v>45949.04802</v>
      </c>
      <c r="S1035" s="1" t="b">
        <f>IFERROR(__xludf.DUMMYFUNCTION("""COMPUTED_VALUE"""),TRUE)</f>
        <v>1</v>
      </c>
      <c r="T1035" s="1" t="b">
        <f>IFERROR(__xludf.DUMMYFUNCTION("""COMPUTED_VALUE"""),FALSE)</f>
        <v>0</v>
      </c>
      <c r="U1035" s="1" t="str">
        <f>IFERROR(__xludf.DUMMYFUNCTION("""COMPUTED_VALUE"""),"VALID")</f>
        <v>VALID</v>
      </c>
      <c r="V1035" s="1">
        <f>IFERROR(__xludf.DUMMYFUNCTION("""COMPUTED_VALUE"""),102.0)</f>
        <v>102</v>
      </c>
      <c r="W1035" s="1">
        <f>IFERROR(__xludf.DUMMYFUNCTION("""COMPUTED_VALUE"""),1545.0)</f>
        <v>1545</v>
      </c>
      <c r="X1035" s="1">
        <f>IFERROR(__xludf.DUMMYFUNCTION("""COMPUTED_VALUE"""),1307.0)</f>
        <v>1307</v>
      </c>
      <c r="Y1035" s="2"/>
      <c r="Z1035" s="2"/>
    </row>
    <row r="1036">
      <c r="A1036" s="1">
        <f>IFERROR(__xludf.DUMMYFUNCTION("""COMPUTED_VALUE"""),1035.0)</f>
        <v>1035</v>
      </c>
      <c r="B1036" s="7" t="str">
        <f>IFERROR(__xludf.DUMMYFUNCTION("""COMPUTED_VALUE"""),"7138")</f>
        <v>7138</v>
      </c>
      <c r="C1036" s="8" t="str">
        <f>IFERROR(__xludf.DUMMYFUNCTION("""COMPUTED_VALUE"""),"Abah Fatih")</f>
        <v>Abah Fatih</v>
      </c>
      <c r="D1036" s="2" t="str">
        <f>IFERROR(__xludf.DUMMYFUNCTION("""COMPUTED_VALUE"""),"5KM MASTER M")</f>
        <v>5KM MASTER M</v>
      </c>
      <c r="E1036" s="1">
        <f>IFERROR(__xludf.DUMMYFUNCTION("""COMPUTED_VALUE"""),2.0)</f>
        <v>2</v>
      </c>
      <c r="F1036" s="1" t="str">
        <f>IFERROR(__xludf.DUMMYFUNCTION("""COMPUTED_VALUE"""),"Male")</f>
        <v>Male</v>
      </c>
      <c r="G1036" s="4" t="b">
        <f>IFERROR(__xludf.DUMMYFUNCTION("""COMPUTED_VALUE"""),TRUE)</f>
        <v>1</v>
      </c>
      <c r="H1036" s="4" t="b">
        <f>IFERROR(__xludf.DUMMYFUNCTION("""COMPUTED_VALUE"""),TRUE)</f>
        <v>1</v>
      </c>
      <c r="I1036" s="4">
        <f>IFERROR(__xludf.DUMMYFUNCTION("""COMPUTED_VALUE"""),0.2549440625)</f>
        <v>0.2549440625</v>
      </c>
      <c r="J1036" s="4">
        <f>IFERROR(__xludf.DUMMYFUNCTION("""COMPUTED_VALUE"""),45949.274599636214)</f>
        <v>45949.2746</v>
      </c>
      <c r="K1036" s="4" t="str">
        <f>IFERROR(__xludf.DUMMYFUNCTION("""COMPUTED_VALUE"""),"")</f>
        <v/>
      </c>
      <c r="L1036" s="4">
        <f>IFERROR(__xludf.DUMMYFUNCTION("""COMPUTED_VALUE"""),45949.287074474705)</f>
        <v>45949.28707</v>
      </c>
      <c r="M1036" s="1" t="str">
        <f>IFERROR(__xludf.DUMMYFUNCTION("""COMPUTED_VALUE"""),"RFID")</f>
        <v>RFID</v>
      </c>
      <c r="N1036" s="5">
        <f>IFERROR(__xludf.DUMMYFUNCTION("""COMPUTED_VALUE"""),0.00786223148148148)</f>
        <v>0.007862231481</v>
      </c>
      <c r="O1036" s="5" t="str">
        <f>IFERROR(__xludf.DUMMYFUNCTION("""COMPUTED_VALUE"""),"")</f>
        <v/>
      </c>
      <c r="P1036" s="5" t="str">
        <f>IFERROR(__xludf.DUMMYFUNCTION("""COMPUTED_VALUE"""),"")</f>
        <v/>
      </c>
      <c r="Q1036" s="5">
        <f>IFERROR(__xludf.DUMMYFUNCTION("""COMPUTED_VALUE"""),0.006426083333333334)</f>
        <v>0.006426083333</v>
      </c>
      <c r="R1036" s="4">
        <f>IFERROR(__xludf.DUMMYFUNCTION("""COMPUTED_VALUE"""),45949.032130412204)</f>
        <v>45949.03213</v>
      </c>
      <c r="S1036" s="1" t="b">
        <f>IFERROR(__xludf.DUMMYFUNCTION("""COMPUTED_VALUE"""),TRUE)</f>
        <v>1</v>
      </c>
      <c r="T1036" s="1" t="b">
        <f>IFERROR(__xludf.DUMMYFUNCTION("""COMPUTED_VALUE"""),FALSE)</f>
        <v>0</v>
      </c>
      <c r="U1036" s="1" t="str">
        <f>IFERROR(__xludf.DUMMYFUNCTION("""COMPUTED_VALUE"""),"VALID")</f>
        <v>VALID</v>
      </c>
      <c r="V1036" s="1">
        <f>IFERROR(__xludf.DUMMYFUNCTION("""COMPUTED_VALUE"""),63.0)</f>
        <v>63</v>
      </c>
      <c r="W1036" s="1">
        <f>IFERROR(__xludf.DUMMYFUNCTION("""COMPUTED_VALUE"""),710.0)</f>
        <v>710</v>
      </c>
      <c r="X1036" s="1">
        <f>IFERROR(__xludf.DUMMYFUNCTION("""COMPUTED_VALUE"""),596.0)</f>
        <v>596</v>
      </c>
      <c r="Y1036" s="2"/>
      <c r="Z1036" s="2"/>
    </row>
    <row r="1037">
      <c r="A1037" s="1">
        <f>IFERROR(__xludf.DUMMYFUNCTION("""COMPUTED_VALUE"""),1036.0)</f>
        <v>1036</v>
      </c>
      <c r="B1037" s="7" t="str">
        <f>IFERROR(__xludf.DUMMYFUNCTION("""COMPUTED_VALUE"""),"7139")</f>
        <v>7139</v>
      </c>
      <c r="C1037" s="8" t="str">
        <f>IFERROR(__xludf.DUMMYFUNCTION("""COMPUTED_VALUE"""),"AMI FAISOL")</f>
        <v>AMI FAISOL</v>
      </c>
      <c r="D1037" s="2" t="str">
        <f>IFERROR(__xludf.DUMMYFUNCTION("""COMPUTED_VALUE"""),"5KM MASTER M")</f>
        <v>5KM MASTER M</v>
      </c>
      <c r="E1037" s="1">
        <f>IFERROR(__xludf.DUMMYFUNCTION("""COMPUTED_VALUE"""),2.0)</f>
        <v>2</v>
      </c>
      <c r="F1037" s="1" t="str">
        <f>IFERROR(__xludf.DUMMYFUNCTION("""COMPUTED_VALUE"""),"Male")</f>
        <v>Male</v>
      </c>
      <c r="G1037" s="4" t="b">
        <f>IFERROR(__xludf.DUMMYFUNCTION("""COMPUTED_VALUE"""),TRUE)</f>
        <v>1</v>
      </c>
      <c r="H1037" s="4" t="b">
        <f>IFERROR(__xludf.DUMMYFUNCTION("""COMPUTED_VALUE"""),TRUE)</f>
        <v>1</v>
      </c>
      <c r="I1037" s="4">
        <f>IFERROR(__xludf.DUMMYFUNCTION("""COMPUTED_VALUE"""),0.2549440625)</f>
        <v>0.2549440625</v>
      </c>
      <c r="J1037" s="4">
        <f>IFERROR(__xludf.DUMMYFUNCTION("""COMPUTED_VALUE"""),45949.26495725129)</f>
        <v>45949.26496</v>
      </c>
      <c r="K1037" s="4" t="str">
        <f>IFERROR(__xludf.DUMMYFUNCTION("""COMPUTED_VALUE"""),"")</f>
        <v/>
      </c>
      <c r="L1037" s="4">
        <f>IFERROR(__xludf.DUMMYFUNCTION("""COMPUTED_VALUE"""),45949.272800174695)</f>
        <v>45949.2728</v>
      </c>
      <c r="M1037" s="1" t="str">
        <f>IFERROR(__xludf.DUMMYFUNCTION("""COMPUTED_VALUE"""),"RFID")</f>
        <v>RFID</v>
      </c>
      <c r="N1037" s="5">
        <f>IFERROR(__xludf.DUMMYFUNCTION("""COMPUTED_VALUE"""),0.004005277777777778)</f>
        <v>0.004005277778</v>
      </c>
      <c r="O1037" s="5" t="str">
        <f>IFERROR(__xludf.DUMMYFUNCTION("""COMPUTED_VALUE"""),"")</f>
        <v/>
      </c>
      <c r="P1037" s="5" t="str">
        <f>IFERROR(__xludf.DUMMYFUNCTION("""COMPUTED_VALUE"""),"")</f>
        <v/>
      </c>
      <c r="Q1037" s="5">
        <f>IFERROR(__xludf.DUMMYFUNCTION("""COMPUTED_VALUE"""),0.003571222222222222)</f>
        <v>0.003571222222</v>
      </c>
      <c r="R1037" s="4">
        <f>IFERROR(__xludf.DUMMYFUNCTION("""COMPUTED_VALUE"""),45949.017856112194)</f>
        <v>45949.01786</v>
      </c>
      <c r="S1037" s="1" t="b">
        <f>IFERROR(__xludf.DUMMYFUNCTION("""COMPUTED_VALUE"""),TRUE)</f>
        <v>1</v>
      </c>
      <c r="T1037" s="1" t="b">
        <f>IFERROR(__xludf.DUMMYFUNCTION("""COMPUTED_VALUE"""),FALSE)</f>
        <v>0</v>
      </c>
      <c r="U1037" s="1" t="str">
        <f>IFERROR(__xludf.DUMMYFUNCTION("""COMPUTED_VALUE"""),"VALID")</f>
        <v>VALID</v>
      </c>
      <c r="V1037" s="1">
        <f>IFERROR(__xludf.DUMMYFUNCTION("""COMPUTED_VALUE"""),5.0)</f>
        <v>5</v>
      </c>
      <c r="W1037" s="1">
        <f>IFERROR(__xludf.DUMMYFUNCTION("""COMPUTED_VALUE"""),51.0)</f>
        <v>51</v>
      </c>
      <c r="X1037" s="1">
        <f>IFERROR(__xludf.DUMMYFUNCTION("""COMPUTED_VALUE"""),49.0)</f>
        <v>49</v>
      </c>
      <c r="Y1037" s="2"/>
      <c r="Z1037" s="2"/>
    </row>
    <row r="1038">
      <c r="A1038" s="1">
        <f>IFERROR(__xludf.DUMMYFUNCTION("""COMPUTED_VALUE"""),1037.0)</f>
        <v>1037</v>
      </c>
      <c r="B1038" s="7" t="str">
        <f>IFERROR(__xludf.DUMMYFUNCTION("""COMPUTED_VALUE"""),"7142")</f>
        <v>7142</v>
      </c>
      <c r="C1038" s="8" t="str">
        <f>IFERROR(__xludf.DUMMYFUNCTION("""COMPUTED_VALUE"""),"ANTON")</f>
        <v>ANTON</v>
      </c>
      <c r="D1038" s="2" t="str">
        <f>IFERROR(__xludf.DUMMYFUNCTION("""COMPUTED_VALUE"""),"5KM MASTER M")</f>
        <v>5KM MASTER M</v>
      </c>
      <c r="E1038" s="1">
        <f>IFERROR(__xludf.DUMMYFUNCTION("""COMPUTED_VALUE"""),2.0)</f>
        <v>2</v>
      </c>
      <c r="F1038" s="1" t="str">
        <f>IFERROR(__xludf.DUMMYFUNCTION("""COMPUTED_VALUE"""),"Male")</f>
        <v>Male</v>
      </c>
      <c r="G1038" s="4" t="str">
        <f>IFERROR(__xludf.DUMMYFUNCTION("""COMPUTED_VALUE"""),"")</f>
        <v/>
      </c>
      <c r="H1038" s="4" t="b">
        <f>IFERROR(__xludf.DUMMYFUNCTION("""COMPUTED_VALUE"""),FALSE)</f>
        <v>0</v>
      </c>
      <c r="I1038" s="4">
        <f>IFERROR(__xludf.DUMMYFUNCTION("""COMPUTED_VALUE"""),0.2549440625)</f>
        <v>0.2549440625</v>
      </c>
      <c r="J1038" s="4" t="str">
        <f>IFERROR(__xludf.DUMMYFUNCTION("""COMPUTED_VALUE"""),"")</f>
        <v/>
      </c>
      <c r="K1038" s="4" t="str">
        <f>IFERROR(__xludf.DUMMYFUNCTION("""COMPUTED_VALUE"""),"")</f>
        <v/>
      </c>
      <c r="L1038" s="4" t="str">
        <f>IFERROR(__xludf.DUMMYFUNCTION("""COMPUTED_VALUE"""),"")</f>
        <v/>
      </c>
      <c r="M1038" s="1" t="str">
        <f>IFERROR(__xludf.DUMMYFUNCTION("""COMPUTED_VALUE"""),"RFID")</f>
        <v>RFID</v>
      </c>
      <c r="N1038" s="5" t="str">
        <f>IFERROR(__xludf.DUMMYFUNCTION("""COMPUTED_VALUE"""),"")</f>
        <v/>
      </c>
      <c r="O1038" s="5" t="str">
        <f>IFERROR(__xludf.DUMMYFUNCTION("""COMPUTED_VALUE"""),"")</f>
        <v/>
      </c>
      <c r="P1038" s="5" t="str">
        <f>IFERROR(__xludf.DUMMYFUNCTION("""COMPUTED_VALUE"""),"")</f>
        <v/>
      </c>
      <c r="Q1038" s="5" t="str">
        <f>IFERROR(__xludf.DUMMYFUNCTION("""COMPUTED_VALUE"""),"")</f>
        <v/>
      </c>
      <c r="R1038" s="4" t="str">
        <f>IFERROR(__xludf.DUMMYFUNCTION("""COMPUTED_VALUE"""),"")</f>
        <v/>
      </c>
      <c r="S1038" s="1" t="b">
        <f>IFERROR(__xludf.DUMMYFUNCTION("""COMPUTED_VALUE"""),FALSE)</f>
        <v>0</v>
      </c>
      <c r="T1038" s="1" t="b">
        <f>IFERROR(__xludf.DUMMYFUNCTION("""COMPUTED_VALUE"""),FALSE)</f>
        <v>0</v>
      </c>
      <c r="U1038" s="1" t="str">
        <f>IFERROR(__xludf.DUMMYFUNCTION("""COMPUTED_VALUE"""),"DSQ")</f>
        <v>DSQ</v>
      </c>
      <c r="V1038" s="1" t="str">
        <f>IFERROR(__xludf.DUMMYFUNCTION("""COMPUTED_VALUE"""),"DSQ")</f>
        <v>DSQ</v>
      </c>
      <c r="W1038" s="1" t="str">
        <f>IFERROR(__xludf.DUMMYFUNCTION("""COMPUTED_VALUE"""),"DSQ")</f>
        <v>DSQ</v>
      </c>
      <c r="X1038" s="1" t="str">
        <f>IFERROR(__xludf.DUMMYFUNCTION("""COMPUTED_VALUE"""),"DSQ")</f>
        <v>DSQ</v>
      </c>
      <c r="Y1038" s="2"/>
      <c r="Z1038" s="2" t="str">
        <f>IFERROR(__xludf.DUMMYFUNCTION("""COMPUTED_VALUE"""),"")</f>
        <v/>
      </c>
    </row>
    <row r="1039">
      <c r="A1039" s="1">
        <f>IFERROR(__xludf.DUMMYFUNCTION("""COMPUTED_VALUE"""),1038.0)</f>
        <v>1038</v>
      </c>
      <c r="B1039" s="7" t="str">
        <f>IFERROR(__xludf.DUMMYFUNCTION("""COMPUTED_VALUE"""),"7143")</f>
        <v>7143</v>
      </c>
      <c r="C1039" s="8" t="str">
        <f>IFERROR(__xludf.DUMMYFUNCTION("""COMPUTED_VALUE"""),"NUGIE")</f>
        <v>NUGIE</v>
      </c>
      <c r="D1039" s="2" t="str">
        <f>IFERROR(__xludf.DUMMYFUNCTION("""COMPUTED_VALUE"""),"5KM MASTER M")</f>
        <v>5KM MASTER M</v>
      </c>
      <c r="E1039" s="1">
        <f>IFERROR(__xludf.DUMMYFUNCTION("""COMPUTED_VALUE"""),2.0)</f>
        <v>2</v>
      </c>
      <c r="F1039" s="1" t="str">
        <f>IFERROR(__xludf.DUMMYFUNCTION("""COMPUTED_VALUE"""),"Male")</f>
        <v>Male</v>
      </c>
      <c r="G1039" s="4" t="b">
        <f>IFERROR(__xludf.DUMMYFUNCTION("""COMPUTED_VALUE"""),TRUE)</f>
        <v>1</v>
      </c>
      <c r="H1039" s="4" t="b">
        <f>IFERROR(__xludf.DUMMYFUNCTION("""COMPUTED_VALUE"""),FALSE)</f>
        <v>0</v>
      </c>
      <c r="I1039" s="4">
        <f>IFERROR(__xludf.DUMMYFUNCTION("""COMPUTED_VALUE"""),0.2549440625)</f>
        <v>0.2549440625</v>
      </c>
      <c r="J1039" s="4">
        <f>IFERROR(__xludf.DUMMYFUNCTION("""COMPUTED_VALUE"""),45949.27288092664)</f>
        <v>45949.27288</v>
      </c>
      <c r="K1039" s="4" t="str">
        <f>IFERROR(__xludf.DUMMYFUNCTION("""COMPUTED_VALUE"""),"")</f>
        <v/>
      </c>
      <c r="L1039" s="4">
        <f>IFERROR(__xludf.DUMMYFUNCTION("""COMPUTED_VALUE"""),45949.28641128559)</f>
        <v>45949.28641</v>
      </c>
      <c r="M1039" s="1" t="str">
        <f>IFERROR(__xludf.DUMMYFUNCTION("""COMPUTED_VALUE"""),"RFID")</f>
        <v>RFID</v>
      </c>
      <c r="N1039" s="5">
        <f>IFERROR(__xludf.DUMMYFUNCTION("""COMPUTED_VALUE"""),0.0071747453703703695)</f>
        <v>0.00717474537</v>
      </c>
      <c r="O1039" s="5" t="str">
        <f>IFERROR(__xludf.DUMMYFUNCTION("""COMPUTED_VALUE"""),"")</f>
        <v/>
      </c>
      <c r="P1039" s="5" t="str">
        <f>IFERROR(__xludf.DUMMYFUNCTION("""COMPUTED_VALUE"""),"")</f>
        <v/>
      </c>
      <c r="Q1039" s="5">
        <f>IFERROR(__xludf.DUMMYFUNCTION("""COMPUTED_VALUE"""),0.006293444444444444)</f>
        <v>0.006293444444</v>
      </c>
      <c r="R1039" s="4">
        <f>IFERROR(__xludf.DUMMYFUNCTION("""COMPUTED_VALUE"""),45949.03146722309)</f>
        <v>45949.03147</v>
      </c>
      <c r="S1039" s="1" t="b">
        <f>IFERROR(__xludf.DUMMYFUNCTION("""COMPUTED_VALUE"""),TRUE)</f>
        <v>1</v>
      </c>
      <c r="T1039" s="1" t="b">
        <f>IFERROR(__xludf.DUMMYFUNCTION("""COMPUTED_VALUE"""),FALSE)</f>
        <v>0</v>
      </c>
      <c r="U1039" s="1" t="str">
        <f>IFERROR(__xludf.DUMMYFUNCTION("""COMPUTED_VALUE"""),"VALID")</f>
        <v>VALID</v>
      </c>
      <c r="V1039" s="1">
        <f>IFERROR(__xludf.DUMMYFUNCTION("""COMPUTED_VALUE"""),59.0)</f>
        <v>59</v>
      </c>
      <c r="W1039" s="1">
        <f>IFERROR(__xludf.DUMMYFUNCTION("""COMPUTED_VALUE"""),663.0)</f>
        <v>663</v>
      </c>
      <c r="X1039" s="1">
        <f>IFERROR(__xludf.DUMMYFUNCTION("""COMPUTED_VALUE"""),553.0)</f>
        <v>553</v>
      </c>
      <c r="Y1039" s="2"/>
      <c r="Z1039" s="2"/>
    </row>
    <row r="1040">
      <c r="A1040" s="1">
        <f>IFERROR(__xludf.DUMMYFUNCTION("""COMPUTED_VALUE"""),1039.0)</f>
        <v>1039</v>
      </c>
      <c r="B1040" s="7" t="str">
        <f>IFERROR(__xludf.DUMMYFUNCTION("""COMPUTED_VALUE"""),"7146")</f>
        <v>7146</v>
      </c>
      <c r="C1040" s="8" t="str">
        <f>IFERROR(__xludf.DUMMYFUNCTION("""COMPUTED_VALUE"""),"Didiek M")</f>
        <v>Didiek M</v>
      </c>
      <c r="D1040" s="2" t="str">
        <f>IFERROR(__xludf.DUMMYFUNCTION("""COMPUTED_VALUE"""),"5KM MASTER M")</f>
        <v>5KM MASTER M</v>
      </c>
      <c r="E1040" s="1">
        <f>IFERROR(__xludf.DUMMYFUNCTION("""COMPUTED_VALUE"""),2.0)</f>
        <v>2</v>
      </c>
      <c r="F1040" s="1" t="str">
        <f>IFERROR(__xludf.DUMMYFUNCTION("""COMPUTED_VALUE"""),"Male")</f>
        <v>Male</v>
      </c>
      <c r="G1040" s="4" t="b">
        <f>IFERROR(__xludf.DUMMYFUNCTION("""COMPUTED_VALUE"""),TRUE)</f>
        <v>1</v>
      </c>
      <c r="H1040" s="4" t="b">
        <f>IFERROR(__xludf.DUMMYFUNCTION("""COMPUTED_VALUE"""),FALSE)</f>
        <v>0</v>
      </c>
      <c r="I1040" s="4">
        <f>IFERROR(__xludf.DUMMYFUNCTION("""COMPUTED_VALUE"""),0.2549440625)</f>
        <v>0.2549440625</v>
      </c>
      <c r="J1040" s="4">
        <f>IFERROR(__xludf.DUMMYFUNCTION("""COMPUTED_VALUE"""),45949.26781488967)</f>
        <v>45949.26781</v>
      </c>
      <c r="K1040" s="4" t="str">
        <f>IFERROR(__xludf.DUMMYFUNCTION("""COMPUTED_VALUE"""),"")</f>
        <v/>
      </c>
      <c r="L1040" s="4">
        <f>IFERROR(__xludf.DUMMYFUNCTION("""COMPUTED_VALUE"""),45949.278432150146)</f>
        <v>45949.27843</v>
      </c>
      <c r="M1040" s="1" t="str">
        <f>IFERROR(__xludf.DUMMYFUNCTION("""COMPUTED_VALUE"""),"RFID")</f>
        <v>RFID</v>
      </c>
      <c r="N1040" s="5">
        <f>IFERROR(__xludf.DUMMYFUNCTION("""COMPUTED_VALUE"""),0.005148328703703704)</f>
        <v>0.005148328704</v>
      </c>
      <c r="O1040" s="5" t="str">
        <f>IFERROR(__xludf.DUMMYFUNCTION("""COMPUTED_VALUE"""),"")</f>
        <v/>
      </c>
      <c r="P1040" s="5" t="str">
        <f>IFERROR(__xludf.DUMMYFUNCTION("""COMPUTED_VALUE"""),"")</f>
        <v/>
      </c>
      <c r="Q1040" s="5">
        <f>IFERROR(__xludf.DUMMYFUNCTION("""COMPUTED_VALUE"""),0.004697618055555556)</f>
        <v>0.004697618056</v>
      </c>
      <c r="R1040" s="4">
        <f>IFERROR(__xludf.DUMMYFUNCTION("""COMPUTED_VALUE"""),45949.023488087645)</f>
        <v>45949.02349</v>
      </c>
      <c r="S1040" s="1" t="b">
        <f>IFERROR(__xludf.DUMMYFUNCTION("""COMPUTED_VALUE"""),TRUE)</f>
        <v>1</v>
      </c>
      <c r="T1040" s="1" t="b">
        <f>IFERROR(__xludf.DUMMYFUNCTION("""COMPUTED_VALUE"""),FALSE)</f>
        <v>0</v>
      </c>
      <c r="U1040" s="1" t="str">
        <f>IFERROR(__xludf.DUMMYFUNCTION("""COMPUTED_VALUE"""),"VALID")</f>
        <v>VALID</v>
      </c>
      <c r="V1040" s="1">
        <f>IFERROR(__xludf.DUMMYFUNCTION("""COMPUTED_VALUE"""),22.0)</f>
        <v>22</v>
      </c>
      <c r="W1040" s="1">
        <f>IFERROR(__xludf.DUMMYFUNCTION("""COMPUTED_VALUE"""),235.0)</f>
        <v>235</v>
      </c>
      <c r="X1040" s="1">
        <f>IFERROR(__xludf.DUMMYFUNCTION("""COMPUTED_VALUE"""),205.0)</f>
        <v>205</v>
      </c>
      <c r="Y1040" s="2"/>
      <c r="Z1040" s="2"/>
    </row>
    <row r="1041">
      <c r="A1041" s="1">
        <f>IFERROR(__xludf.DUMMYFUNCTION("""COMPUTED_VALUE"""),1040.0)</f>
        <v>1040</v>
      </c>
      <c r="B1041" s="7" t="str">
        <f>IFERROR(__xludf.DUMMYFUNCTION("""COMPUTED_VALUE"""),"7147")</f>
        <v>7147</v>
      </c>
      <c r="C1041" s="8" t="str">
        <f>IFERROR(__xludf.DUMMYFUNCTION("""COMPUTED_VALUE"""),"AGUSAN")</f>
        <v>AGUSAN</v>
      </c>
      <c r="D1041" s="2" t="str">
        <f>IFERROR(__xludf.DUMMYFUNCTION("""COMPUTED_VALUE"""),"5KM MASTER M")</f>
        <v>5KM MASTER M</v>
      </c>
      <c r="E1041" s="1">
        <f>IFERROR(__xludf.DUMMYFUNCTION("""COMPUTED_VALUE"""),2.0)</f>
        <v>2</v>
      </c>
      <c r="F1041" s="1" t="str">
        <f>IFERROR(__xludf.DUMMYFUNCTION("""COMPUTED_VALUE"""),"Male")</f>
        <v>Male</v>
      </c>
      <c r="G1041" s="4" t="b">
        <f>IFERROR(__xludf.DUMMYFUNCTION("""COMPUTED_VALUE"""),TRUE)</f>
        <v>1</v>
      </c>
      <c r="H1041" s="4" t="b">
        <f>IFERROR(__xludf.DUMMYFUNCTION("""COMPUTED_VALUE"""),TRUE)</f>
        <v>1</v>
      </c>
      <c r="I1041" s="4">
        <f>IFERROR(__xludf.DUMMYFUNCTION("""COMPUTED_VALUE"""),0.2549440625)</f>
        <v>0.2549440625</v>
      </c>
      <c r="J1041" s="4">
        <f>IFERROR(__xludf.DUMMYFUNCTION("""COMPUTED_VALUE"""),45949.27264134339)</f>
        <v>45949.27264</v>
      </c>
      <c r="K1041" s="4" t="str">
        <f>IFERROR(__xludf.DUMMYFUNCTION("""COMPUTED_VALUE"""),"")</f>
        <v/>
      </c>
      <c r="L1041" s="4">
        <f>IFERROR(__xludf.DUMMYFUNCTION("""COMPUTED_VALUE"""),45949.285189067625)</f>
        <v>45949.28519</v>
      </c>
      <c r="M1041" s="1" t="str">
        <f>IFERROR(__xludf.DUMMYFUNCTION("""COMPUTED_VALUE"""),"RFID")</f>
        <v>RFID</v>
      </c>
      <c r="N1041" s="5">
        <f>IFERROR(__xludf.DUMMYFUNCTION("""COMPUTED_VALUE"""),0.007078912037037037)</f>
        <v>0.007078912037</v>
      </c>
      <c r="O1041" s="5" t="str">
        <f>IFERROR(__xludf.DUMMYFUNCTION("""COMPUTED_VALUE"""),"")</f>
        <v/>
      </c>
      <c r="P1041" s="5" t="str">
        <f>IFERROR(__xludf.DUMMYFUNCTION("""COMPUTED_VALUE"""),"")</f>
        <v/>
      </c>
      <c r="Q1041" s="5">
        <f>IFERROR(__xludf.DUMMYFUNCTION("""COMPUTED_VALUE"""),0.0060490000000000006)</f>
        <v>0.006049</v>
      </c>
      <c r="R1041" s="4">
        <f>IFERROR(__xludf.DUMMYFUNCTION("""COMPUTED_VALUE"""),45949.030245005124)</f>
        <v>45949.03025</v>
      </c>
      <c r="S1041" s="1" t="b">
        <f>IFERROR(__xludf.DUMMYFUNCTION("""COMPUTED_VALUE"""),TRUE)</f>
        <v>1</v>
      </c>
      <c r="T1041" s="1" t="b">
        <f>IFERROR(__xludf.DUMMYFUNCTION("""COMPUTED_VALUE"""),FALSE)</f>
        <v>0</v>
      </c>
      <c r="U1041" s="1" t="str">
        <f>IFERROR(__xludf.DUMMYFUNCTION("""COMPUTED_VALUE"""),"VALID")</f>
        <v>VALID</v>
      </c>
      <c r="V1041" s="1">
        <f>IFERROR(__xludf.DUMMYFUNCTION("""COMPUTED_VALUE"""),54.0)</f>
        <v>54</v>
      </c>
      <c r="W1041" s="1">
        <f>IFERROR(__xludf.DUMMYFUNCTION("""COMPUTED_VALUE"""),584.0)</f>
        <v>584</v>
      </c>
      <c r="X1041" s="1">
        <f>IFERROR(__xludf.DUMMYFUNCTION("""COMPUTED_VALUE"""),495.0)</f>
        <v>495</v>
      </c>
      <c r="Y1041" s="2"/>
      <c r="Z1041" s="2"/>
    </row>
    <row r="1042">
      <c r="A1042" s="1">
        <f>IFERROR(__xludf.DUMMYFUNCTION("""COMPUTED_VALUE"""),1041.0)</f>
        <v>1041</v>
      </c>
      <c r="B1042" s="7" t="str">
        <f>IFERROR(__xludf.DUMMYFUNCTION("""COMPUTED_VALUE"""),"7149")</f>
        <v>7149</v>
      </c>
      <c r="C1042" s="8" t="str">
        <f>IFERROR(__xludf.DUMMYFUNCTION("""COMPUTED_VALUE"""),"Domo")</f>
        <v>Domo</v>
      </c>
      <c r="D1042" s="2" t="str">
        <f>IFERROR(__xludf.DUMMYFUNCTION("""COMPUTED_VALUE"""),"5KM MASTER M")</f>
        <v>5KM MASTER M</v>
      </c>
      <c r="E1042" s="1">
        <f>IFERROR(__xludf.DUMMYFUNCTION("""COMPUTED_VALUE"""),2.0)</f>
        <v>2</v>
      </c>
      <c r="F1042" s="1" t="str">
        <f>IFERROR(__xludf.DUMMYFUNCTION("""COMPUTED_VALUE"""),"Male")</f>
        <v>Male</v>
      </c>
      <c r="G1042" s="4" t="b">
        <f>IFERROR(__xludf.DUMMYFUNCTION("""COMPUTED_VALUE"""),TRUE)</f>
        <v>1</v>
      </c>
      <c r="H1042" s="4" t="b">
        <f>IFERROR(__xludf.DUMMYFUNCTION("""COMPUTED_VALUE"""),TRUE)</f>
        <v>1</v>
      </c>
      <c r="I1042" s="4">
        <f>IFERROR(__xludf.DUMMYFUNCTION("""COMPUTED_VALUE"""),0.2549440625)</f>
        <v>0.2549440625</v>
      </c>
      <c r="J1042" s="4">
        <f>IFERROR(__xludf.DUMMYFUNCTION("""COMPUTED_VALUE"""),45949.27789133182)</f>
        <v>45949.27789</v>
      </c>
      <c r="K1042" s="4" t="str">
        <f>IFERROR(__xludf.DUMMYFUNCTION("""COMPUTED_VALUE"""),"")</f>
        <v/>
      </c>
      <c r="L1042" s="4">
        <f>IFERROR(__xludf.DUMMYFUNCTION("""COMPUTED_VALUE"""),45949.29365436178)</f>
        <v>45949.29365</v>
      </c>
      <c r="M1042" s="1" t="str">
        <f>IFERROR(__xludf.DUMMYFUNCTION("""COMPUTED_VALUE"""),"RFID")</f>
        <v>RFID</v>
      </c>
      <c r="N1042" s="5">
        <f>IFERROR(__xludf.DUMMYFUNCTION("""COMPUTED_VALUE"""),0.009178907407407408)</f>
        <v>0.009178907407</v>
      </c>
      <c r="O1042" s="5" t="str">
        <f>IFERROR(__xludf.DUMMYFUNCTION("""COMPUTED_VALUE"""),"")</f>
        <v/>
      </c>
      <c r="P1042" s="5" t="str">
        <f>IFERROR(__xludf.DUMMYFUNCTION("""COMPUTED_VALUE"""),"")</f>
        <v/>
      </c>
      <c r="Q1042" s="5">
        <f>IFERROR(__xludf.DUMMYFUNCTION("""COMPUTED_VALUE"""),0.007742060185185186)</f>
        <v>0.007742060185</v>
      </c>
      <c r="R1042" s="4">
        <f>IFERROR(__xludf.DUMMYFUNCTION("""COMPUTED_VALUE"""),45949.03871029928)</f>
        <v>45949.03871</v>
      </c>
      <c r="S1042" s="1" t="b">
        <f>IFERROR(__xludf.DUMMYFUNCTION("""COMPUTED_VALUE"""),TRUE)</f>
        <v>1</v>
      </c>
      <c r="T1042" s="1" t="b">
        <f>IFERROR(__xludf.DUMMYFUNCTION("""COMPUTED_VALUE"""),FALSE)</f>
        <v>0</v>
      </c>
      <c r="U1042" s="1" t="str">
        <f>IFERROR(__xludf.DUMMYFUNCTION("""COMPUTED_VALUE"""),"VALID")</f>
        <v>VALID</v>
      </c>
      <c r="V1042" s="1">
        <f>IFERROR(__xludf.DUMMYFUNCTION("""COMPUTED_VALUE"""),88.0)</f>
        <v>88</v>
      </c>
      <c r="W1042" s="1">
        <f>IFERROR(__xludf.DUMMYFUNCTION("""COMPUTED_VALUE"""),1143.0)</f>
        <v>1143</v>
      </c>
      <c r="X1042" s="1">
        <f>IFERROR(__xludf.DUMMYFUNCTION("""COMPUTED_VALUE"""),909.0)</f>
        <v>909</v>
      </c>
      <c r="Y1042" s="2"/>
      <c r="Z1042" s="2"/>
    </row>
    <row r="1043">
      <c r="A1043" s="1">
        <f>IFERROR(__xludf.DUMMYFUNCTION("""COMPUTED_VALUE"""),1042.0)</f>
        <v>1042</v>
      </c>
      <c r="B1043" s="7" t="str">
        <f>IFERROR(__xludf.DUMMYFUNCTION("""COMPUTED_VALUE"""),"7150")</f>
        <v>7150</v>
      </c>
      <c r="C1043" s="8" t="str">
        <f>IFERROR(__xludf.DUMMYFUNCTION("""COMPUTED_VALUE"""),"Syaipul Rahman")</f>
        <v>Syaipul Rahman</v>
      </c>
      <c r="D1043" s="2" t="str">
        <f>IFERROR(__xludf.DUMMYFUNCTION("""COMPUTED_VALUE"""),"5KM MASTER M")</f>
        <v>5KM MASTER M</v>
      </c>
      <c r="E1043" s="1">
        <f>IFERROR(__xludf.DUMMYFUNCTION("""COMPUTED_VALUE"""),2.0)</f>
        <v>2</v>
      </c>
      <c r="F1043" s="1" t="str">
        <f>IFERROR(__xludf.DUMMYFUNCTION("""COMPUTED_VALUE"""),"Male")</f>
        <v>Male</v>
      </c>
      <c r="G1043" s="4" t="b">
        <f>IFERROR(__xludf.DUMMYFUNCTION("""COMPUTED_VALUE"""),TRUE)</f>
        <v>1</v>
      </c>
      <c r="H1043" s="4" t="b">
        <f>IFERROR(__xludf.DUMMYFUNCTION("""COMPUTED_VALUE"""),TRUE)</f>
        <v>1</v>
      </c>
      <c r="I1043" s="4">
        <f>IFERROR(__xludf.DUMMYFUNCTION("""COMPUTED_VALUE"""),0.2549440625)</f>
        <v>0.2549440625</v>
      </c>
      <c r="J1043" s="4">
        <f>IFERROR(__xludf.DUMMYFUNCTION("""COMPUTED_VALUE"""),45949.275752396905)</f>
        <v>45949.27575</v>
      </c>
      <c r="K1043" s="4" t="str">
        <f>IFERROR(__xludf.DUMMYFUNCTION("""COMPUTED_VALUE"""),"")</f>
        <v/>
      </c>
      <c r="L1043" s="4">
        <f>IFERROR(__xludf.DUMMYFUNCTION("""COMPUTED_VALUE"""),45949.29249116373)</f>
        <v>45949.29249</v>
      </c>
      <c r="M1043" s="1" t="str">
        <f>IFERROR(__xludf.DUMMYFUNCTION("""COMPUTED_VALUE"""),"RFID")</f>
        <v>RFID</v>
      </c>
      <c r="N1043" s="5">
        <f>IFERROR(__xludf.DUMMYFUNCTION("""COMPUTED_VALUE"""),0.008323333333333332)</f>
        <v>0.008323333333</v>
      </c>
      <c r="O1043" s="5" t="str">
        <f>IFERROR(__xludf.DUMMYFUNCTION("""COMPUTED_VALUE"""),"")</f>
        <v/>
      </c>
      <c r="P1043" s="5" t="str">
        <f>IFERROR(__xludf.DUMMYFUNCTION("""COMPUTED_VALUE"""),"")</f>
        <v/>
      </c>
      <c r="Q1043" s="5">
        <f>IFERROR(__xludf.DUMMYFUNCTION("""COMPUTED_VALUE"""),0.007509421296296297)</f>
        <v>0.007509421296</v>
      </c>
      <c r="R1043" s="4">
        <f>IFERROR(__xludf.DUMMYFUNCTION("""COMPUTED_VALUE"""),45949.03754710123)</f>
        <v>45949.03755</v>
      </c>
      <c r="S1043" s="1" t="b">
        <f>IFERROR(__xludf.DUMMYFUNCTION("""COMPUTED_VALUE"""),TRUE)</f>
        <v>1</v>
      </c>
      <c r="T1043" s="1" t="b">
        <f>IFERROR(__xludf.DUMMYFUNCTION("""COMPUTED_VALUE"""),FALSE)</f>
        <v>0</v>
      </c>
      <c r="U1043" s="1" t="str">
        <f>IFERROR(__xludf.DUMMYFUNCTION("""COMPUTED_VALUE"""),"VALID")</f>
        <v>VALID</v>
      </c>
      <c r="V1043" s="1">
        <f>IFERROR(__xludf.DUMMYFUNCTION("""COMPUTED_VALUE"""),80.0)</f>
        <v>80</v>
      </c>
      <c r="W1043" s="1">
        <f>IFERROR(__xludf.DUMMYFUNCTION("""COMPUTED_VALUE"""),1063.0)</f>
        <v>1063</v>
      </c>
      <c r="X1043" s="1">
        <f>IFERROR(__xludf.DUMMYFUNCTION("""COMPUTED_VALUE"""),850.0)</f>
        <v>850</v>
      </c>
      <c r="Y1043" s="2"/>
      <c r="Z1043" s="2"/>
    </row>
    <row r="1044">
      <c r="A1044" s="1">
        <f>IFERROR(__xludf.DUMMYFUNCTION("""COMPUTED_VALUE"""),1043.0)</f>
        <v>1043</v>
      </c>
      <c r="B1044" s="7" t="str">
        <f>IFERROR(__xludf.DUMMYFUNCTION("""COMPUTED_VALUE"""),"7151")</f>
        <v>7151</v>
      </c>
      <c r="C1044" s="8" t="str">
        <f>IFERROR(__xludf.DUMMYFUNCTION("""COMPUTED_VALUE"""),"Juli71")</f>
        <v>Juli71</v>
      </c>
      <c r="D1044" s="2" t="str">
        <f>IFERROR(__xludf.DUMMYFUNCTION("""COMPUTED_VALUE"""),"5KM MASTER M")</f>
        <v>5KM MASTER M</v>
      </c>
      <c r="E1044" s="1">
        <f>IFERROR(__xludf.DUMMYFUNCTION("""COMPUTED_VALUE"""),2.0)</f>
        <v>2</v>
      </c>
      <c r="F1044" s="1" t="str">
        <f>IFERROR(__xludf.DUMMYFUNCTION("""COMPUTED_VALUE"""),"Male")</f>
        <v>Male</v>
      </c>
      <c r="G1044" s="4" t="b">
        <f>IFERROR(__xludf.DUMMYFUNCTION("""COMPUTED_VALUE"""),TRUE)</f>
        <v>1</v>
      </c>
      <c r="H1044" s="4" t="b">
        <f>IFERROR(__xludf.DUMMYFUNCTION("""COMPUTED_VALUE"""),TRUE)</f>
        <v>1</v>
      </c>
      <c r="I1044" s="4">
        <f>IFERROR(__xludf.DUMMYFUNCTION("""COMPUTED_VALUE"""),0.2549440625)</f>
        <v>0.2549440625</v>
      </c>
      <c r="J1044" s="4">
        <f>IFERROR(__xludf.DUMMYFUNCTION("""COMPUTED_VALUE"""),45950.27112268518)</f>
        <v>45950.27112</v>
      </c>
      <c r="K1044" s="4" t="str">
        <f>IFERROR(__xludf.DUMMYFUNCTION("""COMPUTED_VALUE"""),"")</f>
        <v/>
      </c>
      <c r="L1044" s="4">
        <f>IFERROR(__xludf.DUMMYFUNCTION("""COMPUTED_VALUE"""),45949.28190839533)</f>
        <v>45949.28191</v>
      </c>
      <c r="M1044" s="1" t="str">
        <f>IFERROR(__xludf.DUMMYFUNCTION("""COMPUTED_VALUE"""),"RFID")</f>
        <v>RFID</v>
      </c>
      <c r="N1044" s="5">
        <f>IFERROR(__xludf.DUMMYFUNCTION("""COMPUTED_VALUE"""),0.006471449074074075)</f>
        <v>0.006471449074</v>
      </c>
      <c r="O1044" s="5" t="str">
        <f>IFERROR(__xludf.DUMMYFUNCTION("""COMPUTED_VALUE"""),"")</f>
        <v/>
      </c>
      <c r="P1044" s="5" t="str">
        <f>IFERROR(__xludf.DUMMYFUNCTION("""COMPUTED_VALUE"""),"")</f>
        <v/>
      </c>
      <c r="Q1044" s="5">
        <f>IFERROR(__xludf.DUMMYFUNCTION("""COMPUTED_VALUE"""),0.005392865740740741)</f>
        <v>0.005392865741</v>
      </c>
      <c r="R1044" s="4">
        <f>IFERROR(__xludf.DUMMYFUNCTION("""COMPUTED_VALUE"""),45949.02696433283)</f>
        <v>45949.02696</v>
      </c>
      <c r="S1044" s="1" t="b">
        <f>IFERROR(__xludf.DUMMYFUNCTION("""COMPUTED_VALUE"""),TRUE)</f>
        <v>1</v>
      </c>
      <c r="T1044" s="1" t="b">
        <f>IFERROR(__xludf.DUMMYFUNCTION("""COMPUTED_VALUE"""),FALSE)</f>
        <v>0</v>
      </c>
      <c r="U1044" s="1" t="str">
        <f>IFERROR(__xludf.DUMMYFUNCTION("""COMPUTED_VALUE"""),"VALID")</f>
        <v>VALID</v>
      </c>
      <c r="V1044" s="1">
        <f>IFERROR(__xludf.DUMMYFUNCTION("""COMPUTED_VALUE"""),40.0)</f>
        <v>40</v>
      </c>
      <c r="W1044" s="1">
        <f>IFERROR(__xludf.DUMMYFUNCTION("""COMPUTED_VALUE"""),382.0)</f>
        <v>382</v>
      </c>
      <c r="X1044" s="1">
        <f>IFERROR(__xludf.DUMMYFUNCTION("""COMPUTED_VALUE"""),329.0)</f>
        <v>329</v>
      </c>
      <c r="Y1044" s="2"/>
      <c r="Z1044" s="2" t="str">
        <f>IFERROR(__xludf.DUMMYFUNCTION("""COMPUTED_VALUE"""),"C")</f>
        <v>C</v>
      </c>
    </row>
    <row r="1045">
      <c r="A1045" s="1">
        <f>IFERROR(__xludf.DUMMYFUNCTION("""COMPUTED_VALUE"""),1044.0)</f>
        <v>1044</v>
      </c>
      <c r="B1045" s="7" t="str">
        <f>IFERROR(__xludf.DUMMYFUNCTION("""COMPUTED_VALUE"""),"7152")</f>
        <v>7152</v>
      </c>
      <c r="C1045" s="8" t="str">
        <f>IFERROR(__xludf.DUMMYFUNCTION("""COMPUTED_VALUE"""),"kuncoro")</f>
        <v>kuncoro</v>
      </c>
      <c r="D1045" s="2" t="str">
        <f>IFERROR(__xludf.DUMMYFUNCTION("""COMPUTED_VALUE"""),"5KM MASTER M")</f>
        <v>5KM MASTER M</v>
      </c>
      <c r="E1045" s="1">
        <f>IFERROR(__xludf.DUMMYFUNCTION("""COMPUTED_VALUE"""),2.0)</f>
        <v>2</v>
      </c>
      <c r="F1045" s="1" t="str">
        <f>IFERROR(__xludf.DUMMYFUNCTION("""COMPUTED_VALUE"""),"Male")</f>
        <v>Male</v>
      </c>
      <c r="G1045" s="4" t="b">
        <f>IFERROR(__xludf.DUMMYFUNCTION("""COMPUTED_VALUE"""),TRUE)</f>
        <v>1</v>
      </c>
      <c r="H1045" s="4" t="b">
        <f>IFERROR(__xludf.DUMMYFUNCTION("""COMPUTED_VALUE"""),TRUE)</f>
        <v>1</v>
      </c>
      <c r="I1045" s="4">
        <f>IFERROR(__xludf.DUMMYFUNCTION("""COMPUTED_VALUE"""),0.2549440625)</f>
        <v>0.2549440625</v>
      </c>
      <c r="J1045" s="4">
        <f>IFERROR(__xludf.DUMMYFUNCTION("""COMPUTED_VALUE"""),45950.27453703704)</f>
        <v>45950.27454</v>
      </c>
      <c r="K1045" s="4" t="str">
        <f>IFERROR(__xludf.DUMMYFUNCTION("""COMPUTED_VALUE"""),"")</f>
        <v/>
      </c>
      <c r="L1045" s="4">
        <f>IFERROR(__xludf.DUMMYFUNCTION("""COMPUTED_VALUE"""),45949.28759530705)</f>
        <v>45949.2876</v>
      </c>
      <c r="M1045" s="1" t="str">
        <f>IFERROR(__xludf.DUMMYFUNCTION("""COMPUTED_VALUE"""),"RFID")</f>
        <v>RFID</v>
      </c>
      <c r="N1045" s="5">
        <f>IFERROR(__xludf.DUMMYFUNCTION("""COMPUTED_VALUE"""),0.007837189814814816)</f>
        <v>0.007837189815</v>
      </c>
      <c r="O1045" s="5" t="str">
        <f>IFERROR(__xludf.DUMMYFUNCTION("""COMPUTED_VALUE"""),"")</f>
        <v/>
      </c>
      <c r="P1045" s="5" t="str">
        <f>IFERROR(__xludf.DUMMYFUNCTION("""COMPUTED_VALUE"""),"")</f>
        <v/>
      </c>
      <c r="Q1045" s="5">
        <f>IFERROR(__xludf.DUMMYFUNCTION("""COMPUTED_VALUE"""),0.00653025)</f>
        <v>0.00653025</v>
      </c>
      <c r="R1045" s="4">
        <f>IFERROR(__xludf.DUMMYFUNCTION("""COMPUTED_VALUE"""),45949.032651244546)</f>
        <v>45949.03265</v>
      </c>
      <c r="S1045" s="1" t="b">
        <f>IFERROR(__xludf.DUMMYFUNCTION("""COMPUTED_VALUE"""),TRUE)</f>
        <v>1</v>
      </c>
      <c r="T1045" s="1" t="b">
        <f>IFERROR(__xludf.DUMMYFUNCTION("""COMPUTED_VALUE"""),FALSE)</f>
        <v>0</v>
      </c>
      <c r="U1045" s="1" t="str">
        <f>IFERROR(__xludf.DUMMYFUNCTION("""COMPUTED_VALUE"""),"VALID")</f>
        <v>VALID</v>
      </c>
      <c r="V1045" s="1">
        <f>IFERROR(__xludf.DUMMYFUNCTION("""COMPUTED_VALUE"""),65.0)</f>
        <v>65</v>
      </c>
      <c r="W1045" s="1">
        <f>IFERROR(__xludf.DUMMYFUNCTION("""COMPUTED_VALUE"""),744.0)</f>
        <v>744</v>
      </c>
      <c r="X1045" s="1">
        <f>IFERROR(__xludf.DUMMYFUNCTION("""COMPUTED_VALUE"""),619.0)</f>
        <v>619</v>
      </c>
      <c r="Y1045" s="2"/>
      <c r="Z1045" s="2" t="str">
        <f>IFERROR(__xludf.DUMMYFUNCTION("""COMPUTED_VALUE"""),"C")</f>
        <v>C</v>
      </c>
    </row>
    <row r="1046">
      <c r="A1046" s="1">
        <f>IFERROR(__xludf.DUMMYFUNCTION("""COMPUTED_VALUE"""),1045.0)</f>
        <v>1045</v>
      </c>
      <c r="B1046" s="7" t="str">
        <f>IFERROR(__xludf.DUMMYFUNCTION("""COMPUTED_VALUE"""),"7155")</f>
        <v>7155</v>
      </c>
      <c r="C1046" s="8" t="str">
        <f>IFERROR(__xludf.DUMMYFUNCTION("""COMPUTED_VALUE"""),"Amri")</f>
        <v>Amri</v>
      </c>
      <c r="D1046" s="2" t="str">
        <f>IFERROR(__xludf.DUMMYFUNCTION("""COMPUTED_VALUE"""),"5KM MASTER M")</f>
        <v>5KM MASTER M</v>
      </c>
      <c r="E1046" s="1">
        <f>IFERROR(__xludf.DUMMYFUNCTION("""COMPUTED_VALUE"""),2.0)</f>
        <v>2</v>
      </c>
      <c r="F1046" s="1" t="str">
        <f>IFERROR(__xludf.DUMMYFUNCTION("""COMPUTED_VALUE"""),"Male")</f>
        <v>Male</v>
      </c>
      <c r="G1046" s="4" t="b">
        <f>IFERROR(__xludf.DUMMYFUNCTION("""COMPUTED_VALUE"""),TRUE)</f>
        <v>1</v>
      </c>
      <c r="H1046" s="4" t="b">
        <f>IFERROR(__xludf.DUMMYFUNCTION("""COMPUTED_VALUE"""),TRUE)</f>
        <v>1</v>
      </c>
      <c r="I1046" s="4">
        <f>IFERROR(__xludf.DUMMYFUNCTION("""COMPUTED_VALUE"""),0.2549440625)</f>
        <v>0.2549440625</v>
      </c>
      <c r="J1046" s="4">
        <f>IFERROR(__xludf.DUMMYFUNCTION("""COMPUTED_VALUE"""),45949.26547460276)</f>
        <v>45949.26547</v>
      </c>
      <c r="K1046" s="4" t="str">
        <f>IFERROR(__xludf.DUMMYFUNCTION("""COMPUTED_VALUE"""),"")</f>
        <v/>
      </c>
      <c r="L1046" s="4">
        <f>IFERROR(__xludf.DUMMYFUNCTION("""COMPUTED_VALUE"""),45949.2730050319)</f>
        <v>45949.27301</v>
      </c>
      <c r="M1046" s="1" t="str">
        <f>IFERROR(__xludf.DUMMYFUNCTION("""COMPUTED_VALUE"""),"RFID")</f>
        <v>RFID</v>
      </c>
      <c r="N1046" s="5">
        <f>IFERROR(__xludf.DUMMYFUNCTION("""COMPUTED_VALUE"""),0.004212217592592593)</f>
        <v>0.004212217593</v>
      </c>
      <c r="O1046" s="5" t="str">
        <f>IFERROR(__xludf.DUMMYFUNCTION("""COMPUTED_VALUE"""),"")</f>
        <v/>
      </c>
      <c r="P1046" s="5" t="str">
        <f>IFERROR(__xludf.DUMMYFUNCTION("""COMPUTED_VALUE"""),"")</f>
        <v/>
      </c>
      <c r="Q1046" s="5">
        <f>IFERROR(__xludf.DUMMYFUNCTION("""COMPUTED_VALUE"""),0.003612194444444445)</f>
        <v>0.003612194444</v>
      </c>
      <c r="R1046" s="4">
        <f>IFERROR(__xludf.DUMMYFUNCTION("""COMPUTED_VALUE"""),45949.0180609694)</f>
        <v>45949.01806</v>
      </c>
      <c r="S1046" s="1" t="b">
        <f>IFERROR(__xludf.DUMMYFUNCTION("""COMPUTED_VALUE"""),TRUE)</f>
        <v>1</v>
      </c>
      <c r="T1046" s="1" t="b">
        <f>IFERROR(__xludf.DUMMYFUNCTION("""COMPUTED_VALUE"""),FALSE)</f>
        <v>0</v>
      </c>
      <c r="U1046" s="1" t="str">
        <f>IFERROR(__xludf.DUMMYFUNCTION("""COMPUTED_VALUE"""),"VALID")</f>
        <v>VALID</v>
      </c>
      <c r="V1046" s="1">
        <f>IFERROR(__xludf.DUMMYFUNCTION("""COMPUTED_VALUE"""),6.0)</f>
        <v>6</v>
      </c>
      <c r="W1046" s="1">
        <f>IFERROR(__xludf.DUMMYFUNCTION("""COMPUTED_VALUE"""),55.0)</f>
        <v>55</v>
      </c>
      <c r="X1046" s="1">
        <f>IFERROR(__xludf.DUMMYFUNCTION("""COMPUTED_VALUE"""),52.0)</f>
        <v>52</v>
      </c>
      <c r="Y1046" s="2"/>
      <c r="Z1046" s="2"/>
    </row>
    <row r="1047">
      <c r="A1047" s="1">
        <f>IFERROR(__xludf.DUMMYFUNCTION("""COMPUTED_VALUE"""),1046.0)</f>
        <v>1046</v>
      </c>
      <c r="B1047" s="7" t="str">
        <f>IFERROR(__xludf.DUMMYFUNCTION("""COMPUTED_VALUE"""),"7156")</f>
        <v>7156</v>
      </c>
      <c r="C1047" s="8" t="str">
        <f>IFERROR(__xludf.DUMMYFUNCTION("""COMPUTED_VALUE"""),"broeank")</f>
        <v>broeank</v>
      </c>
      <c r="D1047" s="2" t="str">
        <f>IFERROR(__xludf.DUMMYFUNCTION("""COMPUTED_VALUE"""),"5KM MASTER M")</f>
        <v>5KM MASTER M</v>
      </c>
      <c r="E1047" s="1">
        <f>IFERROR(__xludf.DUMMYFUNCTION("""COMPUTED_VALUE"""),2.0)</f>
        <v>2</v>
      </c>
      <c r="F1047" s="1" t="str">
        <f>IFERROR(__xludf.DUMMYFUNCTION("""COMPUTED_VALUE"""),"Male")</f>
        <v>Male</v>
      </c>
      <c r="G1047" s="4" t="b">
        <f>IFERROR(__xludf.DUMMYFUNCTION("""COMPUTED_VALUE"""),TRUE)</f>
        <v>1</v>
      </c>
      <c r="H1047" s="4" t="b">
        <f>IFERROR(__xludf.DUMMYFUNCTION("""COMPUTED_VALUE"""),TRUE)</f>
        <v>1</v>
      </c>
      <c r="I1047" s="4">
        <f>IFERROR(__xludf.DUMMYFUNCTION("""COMPUTED_VALUE"""),0.2549440625)</f>
        <v>0.2549440625</v>
      </c>
      <c r="J1047" s="4">
        <f>IFERROR(__xludf.DUMMYFUNCTION("""COMPUTED_VALUE"""),45949.278488487376)</f>
        <v>45949.27849</v>
      </c>
      <c r="K1047" s="4" t="str">
        <f>IFERROR(__xludf.DUMMYFUNCTION("""COMPUTED_VALUE"""),"")</f>
        <v/>
      </c>
      <c r="L1047" s="4">
        <f>IFERROR(__xludf.DUMMYFUNCTION("""COMPUTED_VALUE"""),45949.29475850562)</f>
        <v>45949.29476</v>
      </c>
      <c r="M1047" s="1" t="str">
        <f>IFERROR(__xludf.DUMMYFUNCTION("""COMPUTED_VALUE"""),"RFID")</f>
        <v>RFID</v>
      </c>
      <c r="N1047" s="5">
        <f>IFERROR(__xludf.DUMMYFUNCTION("""COMPUTED_VALUE"""),0.009417768518518518)</f>
        <v>0.009417768519</v>
      </c>
      <c r="O1047" s="5" t="str">
        <f>IFERROR(__xludf.DUMMYFUNCTION("""COMPUTED_VALUE"""),"")</f>
        <v/>
      </c>
      <c r="P1047" s="5" t="str">
        <f>IFERROR(__xludf.DUMMYFUNCTION("""COMPUTED_VALUE"""),"")</f>
        <v/>
      </c>
      <c r="Q1047" s="5">
        <f>IFERROR(__xludf.DUMMYFUNCTION("""COMPUTED_VALUE"""),0.00796288888888889)</f>
        <v>0.007962888889</v>
      </c>
      <c r="R1047" s="4">
        <f>IFERROR(__xludf.DUMMYFUNCTION("""COMPUTED_VALUE"""),45949.03981444312)</f>
        <v>45949.03981</v>
      </c>
      <c r="S1047" s="1" t="b">
        <f>IFERROR(__xludf.DUMMYFUNCTION("""COMPUTED_VALUE"""),TRUE)</f>
        <v>1</v>
      </c>
      <c r="T1047" s="1" t="b">
        <f>IFERROR(__xludf.DUMMYFUNCTION("""COMPUTED_VALUE"""),FALSE)</f>
        <v>0</v>
      </c>
      <c r="U1047" s="1" t="str">
        <f>IFERROR(__xludf.DUMMYFUNCTION("""COMPUTED_VALUE"""),"VALID")</f>
        <v>VALID</v>
      </c>
      <c r="V1047" s="1">
        <f>IFERROR(__xludf.DUMMYFUNCTION("""COMPUTED_VALUE"""),90.0)</f>
        <v>90</v>
      </c>
      <c r="W1047" s="1">
        <f>IFERROR(__xludf.DUMMYFUNCTION("""COMPUTED_VALUE"""),1236.0)</f>
        <v>1236</v>
      </c>
      <c r="X1047" s="1">
        <f>IFERROR(__xludf.DUMMYFUNCTION("""COMPUTED_VALUE"""),969.0)</f>
        <v>969</v>
      </c>
      <c r="Y1047" s="2"/>
      <c r="Z1047" s="2"/>
    </row>
    <row r="1048">
      <c r="A1048" s="1">
        <f>IFERROR(__xludf.DUMMYFUNCTION("""COMPUTED_VALUE"""),1047.0)</f>
        <v>1047</v>
      </c>
      <c r="B1048" s="7" t="str">
        <f>IFERROR(__xludf.DUMMYFUNCTION("""COMPUTED_VALUE"""),"7158")</f>
        <v>7158</v>
      </c>
      <c r="C1048" s="8" t="str">
        <f>IFERROR(__xludf.DUMMYFUNCTION("""COMPUTED_VALUE"""),"PIHUL")</f>
        <v>PIHUL</v>
      </c>
      <c r="D1048" s="2" t="str">
        <f>IFERROR(__xludf.DUMMYFUNCTION("""COMPUTED_VALUE"""),"5KM MASTER M")</f>
        <v>5KM MASTER M</v>
      </c>
      <c r="E1048" s="1">
        <f>IFERROR(__xludf.DUMMYFUNCTION("""COMPUTED_VALUE"""),2.0)</f>
        <v>2</v>
      </c>
      <c r="F1048" s="1" t="str">
        <f>IFERROR(__xludf.DUMMYFUNCTION("""COMPUTED_VALUE"""),"Male")</f>
        <v>Male</v>
      </c>
      <c r="G1048" s="4" t="b">
        <f>IFERROR(__xludf.DUMMYFUNCTION("""COMPUTED_VALUE"""),TRUE)</f>
        <v>1</v>
      </c>
      <c r="H1048" s="4" t="b">
        <f>IFERROR(__xludf.DUMMYFUNCTION("""COMPUTED_VALUE"""),TRUE)</f>
        <v>1</v>
      </c>
      <c r="I1048" s="4">
        <f>IFERROR(__xludf.DUMMYFUNCTION("""COMPUTED_VALUE"""),0.2549440625)</f>
        <v>0.2549440625</v>
      </c>
      <c r="J1048" s="4">
        <f>IFERROR(__xludf.DUMMYFUNCTION("""COMPUTED_VALUE"""),45949.276412191524)</f>
        <v>45949.27641</v>
      </c>
      <c r="K1048" s="4" t="str">
        <f>IFERROR(__xludf.DUMMYFUNCTION("""COMPUTED_VALUE"""),"")</f>
        <v/>
      </c>
      <c r="L1048" s="4">
        <f>IFERROR(__xludf.DUMMYFUNCTION("""COMPUTED_VALUE"""),45949.29248768123)</f>
        <v>45949.29249</v>
      </c>
      <c r="M1048" s="1" t="str">
        <f>IFERROR(__xludf.DUMMYFUNCTION("""COMPUTED_VALUE"""),"RFID")</f>
        <v>RFID</v>
      </c>
      <c r="N1048" s="5">
        <f>IFERROR(__xludf.DUMMYFUNCTION("""COMPUTED_VALUE"""),0.008587250000000001)</f>
        <v>0.00858725</v>
      </c>
      <c r="O1048" s="5" t="str">
        <f>IFERROR(__xludf.DUMMYFUNCTION("""COMPUTED_VALUE"""),"")</f>
        <v/>
      </c>
      <c r="P1048" s="5" t="str">
        <f>IFERROR(__xludf.DUMMYFUNCTION("""COMPUTED_VALUE"""),"")</f>
        <v/>
      </c>
      <c r="Q1048" s="5">
        <f>IFERROR(__xludf.DUMMYFUNCTION("""COMPUTED_VALUE"""),0.007508724537037037)</f>
        <v>0.007508724537</v>
      </c>
      <c r="R1048" s="4">
        <f>IFERROR(__xludf.DUMMYFUNCTION("""COMPUTED_VALUE"""),45949.03754361873)</f>
        <v>45949.03754</v>
      </c>
      <c r="S1048" s="1" t="b">
        <f>IFERROR(__xludf.DUMMYFUNCTION("""COMPUTED_VALUE"""),TRUE)</f>
        <v>1</v>
      </c>
      <c r="T1048" s="1" t="b">
        <f>IFERROR(__xludf.DUMMYFUNCTION("""COMPUTED_VALUE"""),FALSE)</f>
        <v>0</v>
      </c>
      <c r="U1048" s="1" t="str">
        <f>IFERROR(__xludf.DUMMYFUNCTION("""COMPUTED_VALUE"""),"VALID")</f>
        <v>VALID</v>
      </c>
      <c r="V1048" s="1">
        <f>IFERROR(__xludf.DUMMYFUNCTION("""COMPUTED_VALUE"""),79.0)</f>
        <v>79</v>
      </c>
      <c r="W1048" s="1">
        <f>IFERROR(__xludf.DUMMYFUNCTION("""COMPUTED_VALUE"""),1061.0)</f>
        <v>1061</v>
      </c>
      <c r="X1048" s="1">
        <f>IFERROR(__xludf.DUMMYFUNCTION("""COMPUTED_VALUE"""),848.0)</f>
        <v>848</v>
      </c>
      <c r="Y1048" s="2"/>
      <c r="Z1048" s="2"/>
    </row>
    <row r="1049">
      <c r="A1049" s="1">
        <f>IFERROR(__xludf.DUMMYFUNCTION("""COMPUTED_VALUE"""),1048.0)</f>
        <v>1048</v>
      </c>
      <c r="B1049" s="7" t="str">
        <f>IFERROR(__xludf.DUMMYFUNCTION("""COMPUTED_VALUE"""),"7159")</f>
        <v>7159</v>
      </c>
      <c r="C1049" s="8" t="str">
        <f>IFERROR(__xludf.DUMMYFUNCTION("""COMPUTED_VALUE"""),"echo")</f>
        <v>echo</v>
      </c>
      <c r="D1049" s="2" t="str">
        <f>IFERROR(__xludf.DUMMYFUNCTION("""COMPUTED_VALUE"""),"5KM MASTER M")</f>
        <v>5KM MASTER M</v>
      </c>
      <c r="E1049" s="1">
        <f>IFERROR(__xludf.DUMMYFUNCTION("""COMPUTED_VALUE"""),2.0)</f>
        <v>2</v>
      </c>
      <c r="F1049" s="1" t="str">
        <f>IFERROR(__xludf.DUMMYFUNCTION("""COMPUTED_VALUE"""),"Male")</f>
        <v>Male</v>
      </c>
      <c r="G1049" s="4" t="b">
        <f>IFERROR(__xludf.DUMMYFUNCTION("""COMPUTED_VALUE"""),TRUE)</f>
        <v>1</v>
      </c>
      <c r="H1049" s="4" t="b">
        <f>IFERROR(__xludf.DUMMYFUNCTION("""COMPUTED_VALUE"""),FALSE)</f>
        <v>0</v>
      </c>
      <c r="I1049" s="4">
        <f>IFERROR(__xludf.DUMMYFUNCTION("""COMPUTED_VALUE"""),0.2549440625)</f>
        <v>0.2549440625</v>
      </c>
      <c r="J1049" s="4">
        <f>IFERROR(__xludf.DUMMYFUNCTION("""COMPUTED_VALUE"""),45949.288294059246)</f>
        <v>45949.28829</v>
      </c>
      <c r="K1049" s="4" t="str">
        <f>IFERROR(__xludf.DUMMYFUNCTION("""COMPUTED_VALUE"""),"")</f>
        <v/>
      </c>
      <c r="L1049" s="4">
        <f>IFERROR(__xludf.DUMMYFUNCTION("""COMPUTED_VALUE"""),45949.31092170157)</f>
        <v>45949.31092</v>
      </c>
      <c r="M1049" s="1" t="str">
        <f>IFERROR(__xludf.DUMMYFUNCTION("""COMPUTED_VALUE"""),"RFID")</f>
        <v>RFID</v>
      </c>
      <c r="N1049" s="5">
        <f>IFERROR(__xludf.DUMMYFUNCTION("""COMPUTED_VALUE"""),0.01334)</f>
        <v>0.01334</v>
      </c>
      <c r="O1049" s="5" t="str">
        <f>IFERROR(__xludf.DUMMYFUNCTION("""COMPUTED_VALUE"""),"")</f>
        <v/>
      </c>
      <c r="P1049" s="5" t="str">
        <f>IFERROR(__xludf.DUMMYFUNCTION("""COMPUTED_VALUE"""),"")</f>
        <v/>
      </c>
      <c r="Q1049" s="5">
        <f>IFERROR(__xludf.DUMMYFUNCTION("""COMPUTED_VALUE"""),0.011195527777777778)</f>
        <v>0.01119552778</v>
      </c>
      <c r="R1049" s="4">
        <f>IFERROR(__xludf.DUMMYFUNCTION("""COMPUTED_VALUE"""),45949.05597763907)</f>
        <v>45949.05598</v>
      </c>
      <c r="S1049" s="1" t="b">
        <f>IFERROR(__xludf.DUMMYFUNCTION("""COMPUTED_VALUE"""),TRUE)</f>
        <v>1</v>
      </c>
      <c r="T1049" s="1" t="b">
        <f>IFERROR(__xludf.DUMMYFUNCTION("""COMPUTED_VALUE"""),FALSE)</f>
        <v>0</v>
      </c>
      <c r="U1049" s="1" t="str">
        <f>IFERROR(__xludf.DUMMYFUNCTION("""COMPUTED_VALUE"""),"VALID")</f>
        <v>VALID</v>
      </c>
      <c r="V1049" s="1">
        <f>IFERROR(__xludf.DUMMYFUNCTION("""COMPUTED_VALUE"""),105.0)</f>
        <v>105</v>
      </c>
      <c r="W1049" s="1">
        <f>IFERROR(__xludf.DUMMYFUNCTION("""COMPUTED_VALUE"""),1607.0)</f>
        <v>1607</v>
      </c>
      <c r="X1049" s="1">
        <f>IFERROR(__xludf.DUMMYFUNCTION("""COMPUTED_VALUE"""),1548.0)</f>
        <v>1548</v>
      </c>
      <c r="Y1049" s="2"/>
      <c r="Z1049" s="2"/>
    </row>
    <row r="1050">
      <c r="A1050" s="1">
        <f>IFERROR(__xludf.DUMMYFUNCTION("""COMPUTED_VALUE"""),1049.0)</f>
        <v>1049</v>
      </c>
      <c r="B1050" s="7" t="str">
        <f>IFERROR(__xludf.DUMMYFUNCTION("""COMPUTED_VALUE"""),"7161")</f>
        <v>7161</v>
      </c>
      <c r="C1050" s="8" t="str">
        <f>IFERROR(__xludf.DUMMYFUNCTION("""COMPUTED_VALUE"""),"MAHRUP")</f>
        <v>MAHRUP</v>
      </c>
      <c r="D1050" s="2" t="str">
        <f>IFERROR(__xludf.DUMMYFUNCTION("""COMPUTED_VALUE"""),"5KM MASTER M")</f>
        <v>5KM MASTER M</v>
      </c>
      <c r="E1050" s="1">
        <f>IFERROR(__xludf.DUMMYFUNCTION("""COMPUTED_VALUE"""),2.0)</f>
        <v>2</v>
      </c>
      <c r="F1050" s="1" t="str">
        <f>IFERROR(__xludf.DUMMYFUNCTION("""COMPUTED_VALUE"""),"Male")</f>
        <v>Male</v>
      </c>
      <c r="G1050" s="4" t="b">
        <f>IFERROR(__xludf.DUMMYFUNCTION("""COMPUTED_VALUE"""),TRUE)</f>
        <v>1</v>
      </c>
      <c r="H1050" s="4" t="b">
        <f>IFERROR(__xludf.DUMMYFUNCTION("""COMPUTED_VALUE"""),FALSE)</f>
        <v>0</v>
      </c>
      <c r="I1050" s="4">
        <f>IFERROR(__xludf.DUMMYFUNCTION("""COMPUTED_VALUE"""),0.2549440625)</f>
        <v>0.2549440625</v>
      </c>
      <c r="J1050" s="4">
        <f>IFERROR(__xludf.DUMMYFUNCTION("""COMPUTED_VALUE"""),45949.273342696)</f>
        <v>45949.27334</v>
      </c>
      <c r="K1050" s="4" t="str">
        <f>IFERROR(__xludf.DUMMYFUNCTION("""COMPUTED_VALUE"""),"")</f>
        <v/>
      </c>
      <c r="L1050" s="4">
        <f>IFERROR(__xludf.DUMMYFUNCTION("""COMPUTED_VALUE"""),45949.28596685269)</f>
        <v>45949.28597</v>
      </c>
      <c r="M1050" s="1" t="str">
        <f>IFERROR(__xludf.DUMMYFUNCTION("""COMPUTED_VALUE"""),"RFID")</f>
        <v>RFID</v>
      </c>
      <c r="N1050" s="5">
        <f>IFERROR(__xludf.DUMMYFUNCTION("""COMPUTED_VALUE"""),0.007359453703703704)</f>
        <v>0.007359453704</v>
      </c>
      <c r="O1050" s="5" t="str">
        <f>IFERROR(__xludf.DUMMYFUNCTION("""COMPUTED_VALUE"""),"")</f>
        <v/>
      </c>
      <c r="P1050" s="5" t="str">
        <f>IFERROR(__xludf.DUMMYFUNCTION("""COMPUTED_VALUE"""),"")</f>
        <v/>
      </c>
      <c r="Q1050" s="5">
        <f>IFERROR(__xludf.DUMMYFUNCTION("""COMPUTED_VALUE"""),0.006204557870370371)</f>
        <v>0.00620455787</v>
      </c>
      <c r="R1050" s="4">
        <f>IFERROR(__xludf.DUMMYFUNCTION("""COMPUTED_VALUE"""),45949.03102279019)</f>
        <v>45949.03102</v>
      </c>
      <c r="S1050" s="1" t="b">
        <f>IFERROR(__xludf.DUMMYFUNCTION("""COMPUTED_VALUE"""),TRUE)</f>
        <v>1</v>
      </c>
      <c r="T1050" s="1" t="b">
        <f>IFERROR(__xludf.DUMMYFUNCTION("""COMPUTED_VALUE"""),FALSE)</f>
        <v>0</v>
      </c>
      <c r="U1050" s="1" t="str">
        <f>IFERROR(__xludf.DUMMYFUNCTION("""COMPUTED_VALUE"""),"VALID")</f>
        <v>VALID</v>
      </c>
      <c r="V1050" s="1">
        <f>IFERROR(__xludf.DUMMYFUNCTION("""COMPUTED_VALUE"""),57.0)</f>
        <v>57</v>
      </c>
      <c r="W1050" s="1">
        <f>IFERROR(__xludf.DUMMYFUNCTION("""COMPUTED_VALUE"""),635.0)</f>
        <v>635</v>
      </c>
      <c r="X1050" s="1">
        <f>IFERROR(__xludf.DUMMYFUNCTION("""COMPUTED_VALUE"""),530.0)</f>
        <v>530</v>
      </c>
      <c r="Y1050" s="2"/>
      <c r="Z1050" s="2"/>
    </row>
    <row r="1051">
      <c r="A1051" s="1">
        <f>IFERROR(__xludf.DUMMYFUNCTION("""COMPUTED_VALUE"""),1050.0)</f>
        <v>1050</v>
      </c>
      <c r="B1051" s="7" t="str">
        <f>IFERROR(__xludf.DUMMYFUNCTION("""COMPUTED_VALUE"""),"7162")</f>
        <v>7162</v>
      </c>
      <c r="C1051" s="8" t="str">
        <f>IFERROR(__xludf.DUMMYFUNCTION("""COMPUTED_VALUE"""),"REDIE")</f>
        <v>REDIE</v>
      </c>
      <c r="D1051" s="2" t="str">
        <f>IFERROR(__xludf.DUMMYFUNCTION("""COMPUTED_VALUE"""),"5KM MASTER M")</f>
        <v>5KM MASTER M</v>
      </c>
      <c r="E1051" s="1">
        <f>IFERROR(__xludf.DUMMYFUNCTION("""COMPUTED_VALUE"""),2.0)</f>
        <v>2</v>
      </c>
      <c r="F1051" s="1" t="str">
        <f>IFERROR(__xludf.DUMMYFUNCTION("""COMPUTED_VALUE"""),"Male")</f>
        <v>Male</v>
      </c>
      <c r="G1051" s="4" t="b">
        <f>IFERROR(__xludf.DUMMYFUNCTION("""COMPUTED_VALUE"""),TRUE)</f>
        <v>1</v>
      </c>
      <c r="H1051" s="4" t="b">
        <f>IFERROR(__xludf.DUMMYFUNCTION("""COMPUTED_VALUE"""),TRUE)</f>
        <v>1</v>
      </c>
      <c r="I1051" s="4">
        <f>IFERROR(__xludf.DUMMYFUNCTION("""COMPUTED_VALUE"""),0.2549440625)</f>
        <v>0.2549440625</v>
      </c>
      <c r="J1051" s="4">
        <f>IFERROR(__xludf.DUMMYFUNCTION("""COMPUTED_VALUE"""),45949.26505099403)</f>
        <v>45949.26505</v>
      </c>
      <c r="K1051" s="4" t="str">
        <f>IFERROR(__xludf.DUMMYFUNCTION("""COMPUTED_VALUE"""),"")</f>
        <v/>
      </c>
      <c r="L1051" s="4">
        <f>IFERROR(__xludf.DUMMYFUNCTION("""COMPUTED_VALUE"""),45949.27432795125)</f>
        <v>45949.27433</v>
      </c>
      <c r="M1051" s="1" t="str">
        <f>IFERROR(__xludf.DUMMYFUNCTION("""COMPUTED_VALUE"""),"RFID")</f>
        <v>RFID</v>
      </c>
      <c r="N1051" s="5">
        <f>IFERROR(__xludf.DUMMYFUNCTION("""COMPUTED_VALUE"""),0.004042773148148148)</f>
        <v>0.004042773148</v>
      </c>
      <c r="O1051" s="5" t="str">
        <f>IFERROR(__xludf.DUMMYFUNCTION("""COMPUTED_VALUE"""),"")</f>
        <v/>
      </c>
      <c r="P1051" s="5" t="str">
        <f>IFERROR(__xludf.DUMMYFUNCTION("""COMPUTED_VALUE"""),"")</f>
        <v/>
      </c>
      <c r="Q1051" s="5">
        <f>IFERROR(__xludf.DUMMYFUNCTION("""COMPUTED_VALUE"""),0.0038767777777777776)</f>
        <v>0.003876777778</v>
      </c>
      <c r="R1051" s="4">
        <f>IFERROR(__xludf.DUMMYFUNCTION("""COMPUTED_VALUE"""),45949.01938388875)</f>
        <v>45949.01938</v>
      </c>
      <c r="S1051" s="1" t="b">
        <f>IFERROR(__xludf.DUMMYFUNCTION("""COMPUTED_VALUE"""),TRUE)</f>
        <v>1</v>
      </c>
      <c r="T1051" s="1" t="b">
        <f>IFERROR(__xludf.DUMMYFUNCTION("""COMPUTED_VALUE"""),FALSE)</f>
        <v>0</v>
      </c>
      <c r="U1051" s="1" t="str">
        <f>IFERROR(__xludf.DUMMYFUNCTION("""COMPUTED_VALUE"""),"VALID")</f>
        <v>VALID</v>
      </c>
      <c r="V1051" s="1">
        <f>IFERROR(__xludf.DUMMYFUNCTION("""COMPUTED_VALUE"""),9.0)</f>
        <v>9</v>
      </c>
      <c r="W1051" s="1">
        <f>IFERROR(__xludf.DUMMYFUNCTION("""COMPUTED_VALUE"""),97.0)</f>
        <v>97</v>
      </c>
      <c r="X1051" s="1">
        <f>IFERROR(__xludf.DUMMYFUNCTION("""COMPUTED_VALUE"""),87.0)</f>
        <v>87</v>
      </c>
      <c r="Y1051" s="2"/>
      <c r="Z1051" s="2"/>
    </row>
    <row r="1052">
      <c r="A1052" s="1">
        <f>IFERROR(__xludf.DUMMYFUNCTION("""COMPUTED_VALUE"""),1051.0)</f>
        <v>1051</v>
      </c>
      <c r="B1052" s="7" t="str">
        <f>IFERROR(__xludf.DUMMYFUNCTION("""COMPUTED_VALUE"""),"7166")</f>
        <v>7166</v>
      </c>
      <c r="C1052" s="8" t="str">
        <f>IFERROR(__xludf.DUMMYFUNCTION("""COMPUTED_VALUE"""),"Andry Yustian")</f>
        <v>Andry Yustian</v>
      </c>
      <c r="D1052" s="2" t="str">
        <f>IFERROR(__xludf.DUMMYFUNCTION("""COMPUTED_VALUE"""),"5KM MASTER M")</f>
        <v>5KM MASTER M</v>
      </c>
      <c r="E1052" s="1">
        <f>IFERROR(__xludf.DUMMYFUNCTION("""COMPUTED_VALUE"""),2.0)</f>
        <v>2</v>
      </c>
      <c r="F1052" s="1" t="str">
        <f>IFERROR(__xludf.DUMMYFUNCTION("""COMPUTED_VALUE"""),"Male")</f>
        <v>Male</v>
      </c>
      <c r="G1052" s="4" t="b">
        <f>IFERROR(__xludf.DUMMYFUNCTION("""COMPUTED_VALUE"""),TRUE)</f>
        <v>1</v>
      </c>
      <c r="H1052" s="4" t="b">
        <f>IFERROR(__xludf.DUMMYFUNCTION("""COMPUTED_VALUE"""),TRUE)</f>
        <v>1</v>
      </c>
      <c r="I1052" s="4">
        <f>IFERROR(__xludf.DUMMYFUNCTION("""COMPUTED_VALUE"""),0.2549440625)</f>
        <v>0.2549440625</v>
      </c>
      <c r="J1052" s="4">
        <f>IFERROR(__xludf.DUMMYFUNCTION("""COMPUTED_VALUE"""),45949.271523455805)</f>
        <v>45949.27152</v>
      </c>
      <c r="K1052" s="4" t="str">
        <f>IFERROR(__xludf.DUMMYFUNCTION("""COMPUTED_VALUE"""),"")</f>
        <v/>
      </c>
      <c r="L1052" s="4">
        <f>IFERROR(__xludf.DUMMYFUNCTION("""COMPUTED_VALUE"""),45949.285602258235)</f>
        <v>45949.2856</v>
      </c>
      <c r="M1052" s="1" t="str">
        <f>IFERROR(__xludf.DUMMYFUNCTION("""COMPUTED_VALUE"""),"RFID")</f>
        <v>RFID</v>
      </c>
      <c r="N1052" s="5">
        <f>IFERROR(__xludf.DUMMYFUNCTION("""COMPUTED_VALUE"""),0.006631759259259259)</f>
        <v>0.006631759259</v>
      </c>
      <c r="O1052" s="5" t="str">
        <f>IFERROR(__xludf.DUMMYFUNCTION("""COMPUTED_VALUE"""),"")</f>
        <v/>
      </c>
      <c r="P1052" s="5" t="str">
        <f>IFERROR(__xludf.DUMMYFUNCTION("""COMPUTED_VALUE"""),"")</f>
        <v/>
      </c>
      <c r="Q1052" s="5">
        <f>IFERROR(__xludf.DUMMYFUNCTION("""COMPUTED_VALUE"""),0.006131638888888889)</f>
        <v>0.006131638889</v>
      </c>
      <c r="R1052" s="4">
        <f>IFERROR(__xludf.DUMMYFUNCTION("""COMPUTED_VALUE"""),45949.030658195734)</f>
        <v>45949.03066</v>
      </c>
      <c r="S1052" s="1" t="b">
        <f>IFERROR(__xludf.DUMMYFUNCTION("""COMPUTED_VALUE"""),TRUE)</f>
        <v>1</v>
      </c>
      <c r="T1052" s="1" t="b">
        <f>IFERROR(__xludf.DUMMYFUNCTION("""COMPUTED_VALUE"""),FALSE)</f>
        <v>0</v>
      </c>
      <c r="U1052" s="1" t="str">
        <f>IFERROR(__xludf.DUMMYFUNCTION("""COMPUTED_VALUE"""),"VALID")</f>
        <v>VALID</v>
      </c>
      <c r="V1052" s="1">
        <f>IFERROR(__xludf.DUMMYFUNCTION("""COMPUTED_VALUE"""),55.0)</f>
        <v>55</v>
      </c>
      <c r="W1052" s="1">
        <f>IFERROR(__xludf.DUMMYFUNCTION("""COMPUTED_VALUE"""),611.0)</f>
        <v>611</v>
      </c>
      <c r="X1052" s="1">
        <f>IFERROR(__xludf.DUMMYFUNCTION("""COMPUTED_VALUE"""),513.0)</f>
        <v>513</v>
      </c>
      <c r="Y1052" s="2"/>
      <c r="Z1052" s="2"/>
    </row>
    <row r="1053">
      <c r="A1053" s="1">
        <f>IFERROR(__xludf.DUMMYFUNCTION("""COMPUTED_VALUE"""),1052.0)</f>
        <v>1052</v>
      </c>
      <c r="B1053" s="7" t="str">
        <f>IFERROR(__xludf.DUMMYFUNCTION("""COMPUTED_VALUE"""),"7167")</f>
        <v>7167</v>
      </c>
      <c r="C1053" s="8" t="str">
        <f>IFERROR(__xludf.DUMMYFUNCTION("""COMPUTED_VALUE"""),"Bahrani")</f>
        <v>Bahrani</v>
      </c>
      <c r="D1053" s="2" t="str">
        <f>IFERROR(__xludf.DUMMYFUNCTION("""COMPUTED_VALUE"""),"5KM MASTER M")</f>
        <v>5KM MASTER M</v>
      </c>
      <c r="E1053" s="1">
        <f>IFERROR(__xludf.DUMMYFUNCTION("""COMPUTED_VALUE"""),2.0)</f>
        <v>2</v>
      </c>
      <c r="F1053" s="1" t="str">
        <f>IFERROR(__xludf.DUMMYFUNCTION("""COMPUTED_VALUE"""),"Male")</f>
        <v>Male</v>
      </c>
      <c r="G1053" s="4" t="b">
        <f>IFERROR(__xludf.DUMMYFUNCTION("""COMPUTED_VALUE"""),TRUE)</f>
        <v>1</v>
      </c>
      <c r="H1053" s="4" t="b">
        <f>IFERROR(__xludf.DUMMYFUNCTION("""COMPUTED_VALUE"""),FALSE)</f>
        <v>0</v>
      </c>
      <c r="I1053" s="4">
        <f>IFERROR(__xludf.DUMMYFUNCTION("""COMPUTED_VALUE"""),0.2549440625)</f>
        <v>0.2549440625</v>
      </c>
      <c r="J1053" s="4">
        <f>IFERROR(__xludf.DUMMYFUNCTION("""COMPUTED_VALUE"""),45949.2685996554)</f>
        <v>45949.2686</v>
      </c>
      <c r="K1053" s="4" t="str">
        <f>IFERROR(__xludf.DUMMYFUNCTION("""COMPUTED_VALUE"""),"")</f>
        <v/>
      </c>
      <c r="L1053" s="4">
        <f>IFERROR(__xludf.DUMMYFUNCTION("""COMPUTED_VALUE"""),45949.28002240035)</f>
        <v>45949.28002</v>
      </c>
      <c r="M1053" s="1" t="str">
        <f>IFERROR(__xludf.DUMMYFUNCTION("""COMPUTED_VALUE"""),"RFID")</f>
        <v>RFID</v>
      </c>
      <c r="N1053" s="5">
        <f>IFERROR(__xludf.DUMMYFUNCTION("""COMPUTED_VALUE"""),0.005462236111111111)</f>
        <v>0.005462236111</v>
      </c>
      <c r="O1053" s="5" t="str">
        <f>IFERROR(__xludf.DUMMYFUNCTION("""COMPUTED_VALUE"""),"")</f>
        <v/>
      </c>
      <c r="P1053" s="5" t="str">
        <f>IFERROR(__xludf.DUMMYFUNCTION("""COMPUTED_VALUE"""),"")</f>
        <v/>
      </c>
      <c r="Q1053" s="5">
        <f>IFERROR(__xludf.DUMMYFUNCTION("""COMPUTED_VALUE"""),0.0050156666666666665)</f>
        <v>0.005015666667</v>
      </c>
      <c r="R1053" s="4">
        <f>IFERROR(__xludf.DUMMYFUNCTION("""COMPUTED_VALUE"""),45949.02507833785)</f>
        <v>45949.02508</v>
      </c>
      <c r="S1053" s="1" t="b">
        <f>IFERROR(__xludf.DUMMYFUNCTION("""COMPUTED_VALUE"""),TRUE)</f>
        <v>1</v>
      </c>
      <c r="T1053" s="1" t="b">
        <f>IFERROR(__xludf.DUMMYFUNCTION("""COMPUTED_VALUE"""),FALSE)</f>
        <v>0</v>
      </c>
      <c r="U1053" s="1" t="str">
        <f>IFERROR(__xludf.DUMMYFUNCTION("""COMPUTED_VALUE"""),"VALID")</f>
        <v>VALID</v>
      </c>
      <c r="V1053" s="1">
        <f>IFERROR(__xludf.DUMMYFUNCTION("""COMPUTED_VALUE"""),29.0)</f>
        <v>29</v>
      </c>
      <c r="W1053" s="1">
        <f>IFERROR(__xludf.DUMMYFUNCTION("""COMPUTED_VALUE"""),290.0)</f>
        <v>290</v>
      </c>
      <c r="X1053" s="1">
        <f>IFERROR(__xludf.DUMMYFUNCTION("""COMPUTED_VALUE"""),252.0)</f>
        <v>252</v>
      </c>
      <c r="Y1053" s="2"/>
      <c r="Z1053" s="2"/>
    </row>
    <row r="1054">
      <c r="A1054" s="1">
        <f>IFERROR(__xludf.DUMMYFUNCTION("""COMPUTED_VALUE"""),1053.0)</f>
        <v>1053</v>
      </c>
      <c r="B1054" s="7" t="str">
        <f>IFERROR(__xludf.DUMMYFUNCTION("""COMPUTED_VALUE"""),"7168")</f>
        <v>7168</v>
      </c>
      <c r="C1054" s="8" t="str">
        <f>IFERROR(__xludf.DUMMYFUNCTION("""COMPUTED_VALUE"""),"Mujianto")</f>
        <v>Mujianto</v>
      </c>
      <c r="D1054" s="2" t="str">
        <f>IFERROR(__xludf.DUMMYFUNCTION("""COMPUTED_VALUE"""),"5KM MASTER M")</f>
        <v>5KM MASTER M</v>
      </c>
      <c r="E1054" s="1">
        <f>IFERROR(__xludf.DUMMYFUNCTION("""COMPUTED_VALUE"""),2.0)</f>
        <v>2</v>
      </c>
      <c r="F1054" s="1" t="str">
        <f>IFERROR(__xludf.DUMMYFUNCTION("""COMPUTED_VALUE"""),"Male")</f>
        <v>Male</v>
      </c>
      <c r="G1054" s="4" t="str">
        <f>IFERROR(__xludf.DUMMYFUNCTION("""COMPUTED_VALUE"""),"")</f>
        <v/>
      </c>
      <c r="H1054" s="4" t="b">
        <f>IFERROR(__xludf.DUMMYFUNCTION("""COMPUTED_VALUE"""),FALSE)</f>
        <v>0</v>
      </c>
      <c r="I1054" s="4">
        <f>IFERROR(__xludf.DUMMYFUNCTION("""COMPUTED_VALUE"""),0.2549440625)</f>
        <v>0.2549440625</v>
      </c>
      <c r="J1054" s="4" t="str">
        <f>IFERROR(__xludf.DUMMYFUNCTION("""COMPUTED_VALUE"""),"")</f>
        <v/>
      </c>
      <c r="K1054" s="4" t="str">
        <f>IFERROR(__xludf.DUMMYFUNCTION("""COMPUTED_VALUE"""),"")</f>
        <v/>
      </c>
      <c r="L1054" s="4" t="str">
        <f>IFERROR(__xludf.DUMMYFUNCTION("""COMPUTED_VALUE"""),"")</f>
        <v/>
      </c>
      <c r="M1054" s="1" t="str">
        <f>IFERROR(__xludf.DUMMYFUNCTION("""COMPUTED_VALUE"""),"RFID")</f>
        <v>RFID</v>
      </c>
      <c r="N1054" s="5" t="str">
        <f>IFERROR(__xludf.DUMMYFUNCTION("""COMPUTED_VALUE"""),"")</f>
        <v/>
      </c>
      <c r="O1054" s="5" t="str">
        <f>IFERROR(__xludf.DUMMYFUNCTION("""COMPUTED_VALUE"""),"")</f>
        <v/>
      </c>
      <c r="P1054" s="5" t="str">
        <f>IFERROR(__xludf.DUMMYFUNCTION("""COMPUTED_VALUE"""),"")</f>
        <v/>
      </c>
      <c r="Q1054" s="5" t="str">
        <f>IFERROR(__xludf.DUMMYFUNCTION("""COMPUTED_VALUE"""),"")</f>
        <v/>
      </c>
      <c r="R1054" s="4" t="str">
        <f>IFERROR(__xludf.DUMMYFUNCTION("""COMPUTED_VALUE"""),"")</f>
        <v/>
      </c>
      <c r="S1054" s="1" t="b">
        <f>IFERROR(__xludf.DUMMYFUNCTION("""COMPUTED_VALUE"""),FALSE)</f>
        <v>0</v>
      </c>
      <c r="T1054" s="1" t="b">
        <f>IFERROR(__xludf.DUMMYFUNCTION("""COMPUTED_VALUE"""),FALSE)</f>
        <v>0</v>
      </c>
      <c r="U1054" s="1" t="str">
        <f>IFERROR(__xludf.DUMMYFUNCTION("""COMPUTED_VALUE"""),"DSQ")</f>
        <v>DSQ</v>
      </c>
      <c r="V1054" s="1" t="str">
        <f>IFERROR(__xludf.DUMMYFUNCTION("""COMPUTED_VALUE"""),"DSQ")</f>
        <v>DSQ</v>
      </c>
      <c r="W1054" s="1" t="str">
        <f>IFERROR(__xludf.DUMMYFUNCTION("""COMPUTED_VALUE"""),"DSQ")</f>
        <v>DSQ</v>
      </c>
      <c r="X1054" s="1" t="str">
        <f>IFERROR(__xludf.DUMMYFUNCTION("""COMPUTED_VALUE"""),"DSQ")</f>
        <v>DSQ</v>
      </c>
      <c r="Y1054" s="2"/>
      <c r="Z1054" s="2" t="str">
        <f>IFERROR(__xludf.DUMMYFUNCTION("""COMPUTED_VALUE"""),"")</f>
        <v/>
      </c>
    </row>
    <row r="1055">
      <c r="A1055" s="1">
        <f>IFERROR(__xludf.DUMMYFUNCTION("""COMPUTED_VALUE"""),1054.0)</f>
        <v>1054</v>
      </c>
      <c r="B1055" s="7" t="str">
        <f>IFERROR(__xludf.DUMMYFUNCTION("""COMPUTED_VALUE"""),"7171")</f>
        <v>7171</v>
      </c>
      <c r="C1055" s="8" t="str">
        <f>IFERROR(__xludf.DUMMYFUNCTION("""COMPUTED_VALUE"""),"Eka A")</f>
        <v>Eka A</v>
      </c>
      <c r="D1055" s="2" t="str">
        <f>IFERROR(__xludf.DUMMYFUNCTION("""COMPUTED_VALUE"""),"5KM MASTER M")</f>
        <v>5KM MASTER M</v>
      </c>
      <c r="E1055" s="1">
        <f>IFERROR(__xludf.DUMMYFUNCTION("""COMPUTED_VALUE"""),2.0)</f>
        <v>2</v>
      </c>
      <c r="F1055" s="1" t="str">
        <f>IFERROR(__xludf.DUMMYFUNCTION("""COMPUTED_VALUE"""),"Male")</f>
        <v>Male</v>
      </c>
      <c r="G1055" s="4" t="b">
        <f>IFERROR(__xludf.DUMMYFUNCTION("""COMPUTED_VALUE"""),TRUE)</f>
        <v>1</v>
      </c>
      <c r="H1055" s="4" t="b">
        <f>IFERROR(__xludf.DUMMYFUNCTION("""COMPUTED_VALUE"""),FALSE)</f>
        <v>0</v>
      </c>
      <c r="I1055" s="4">
        <f>IFERROR(__xludf.DUMMYFUNCTION("""COMPUTED_VALUE"""),0.2549440625)</f>
        <v>0.2549440625</v>
      </c>
      <c r="J1055" s="4">
        <f>IFERROR(__xludf.DUMMYFUNCTION("""COMPUTED_VALUE"""),45949.274342755045)</f>
        <v>45949.27434</v>
      </c>
      <c r="K1055" s="4" t="str">
        <f>IFERROR(__xludf.DUMMYFUNCTION("""COMPUTED_VALUE"""),"")</f>
        <v/>
      </c>
      <c r="L1055" s="4">
        <f>IFERROR(__xludf.DUMMYFUNCTION("""COMPUTED_VALUE"""),45949.28914739687)</f>
        <v>45949.28915</v>
      </c>
      <c r="M1055" s="1" t="str">
        <f>IFERROR(__xludf.DUMMYFUNCTION("""COMPUTED_VALUE"""),"RFID")</f>
        <v>RFID</v>
      </c>
      <c r="N1055" s="5">
        <f>IFERROR(__xludf.DUMMYFUNCTION("""COMPUTED_VALUE"""),0.007759476851851852)</f>
        <v>0.007759476852</v>
      </c>
      <c r="O1055" s="5" t="str">
        <f>IFERROR(__xludf.DUMMYFUNCTION("""COMPUTED_VALUE"""),"")</f>
        <v/>
      </c>
      <c r="P1055" s="5" t="str">
        <f>IFERROR(__xludf.DUMMYFUNCTION("""COMPUTED_VALUE"""),"")</f>
        <v/>
      </c>
      <c r="Q1055" s="5">
        <f>IFERROR(__xludf.DUMMYFUNCTION("""COMPUTED_VALUE"""),0.006840666666666667)</f>
        <v>0.006840666667</v>
      </c>
      <c r="R1055" s="4">
        <f>IFERROR(__xludf.DUMMYFUNCTION("""COMPUTED_VALUE"""),45949.03420333437)</f>
        <v>45949.0342</v>
      </c>
      <c r="S1055" s="1" t="b">
        <f>IFERROR(__xludf.DUMMYFUNCTION("""COMPUTED_VALUE"""),TRUE)</f>
        <v>1</v>
      </c>
      <c r="T1055" s="1" t="b">
        <f>IFERROR(__xludf.DUMMYFUNCTION("""COMPUTED_VALUE"""),FALSE)</f>
        <v>0</v>
      </c>
      <c r="U1055" s="1" t="str">
        <f>IFERROR(__xludf.DUMMYFUNCTION("""COMPUTED_VALUE"""),"VALID")</f>
        <v>VALID</v>
      </c>
      <c r="V1055" s="1">
        <f>IFERROR(__xludf.DUMMYFUNCTION("""COMPUTED_VALUE"""),71.0)</f>
        <v>71</v>
      </c>
      <c r="W1055" s="1">
        <f>IFERROR(__xludf.DUMMYFUNCTION("""COMPUTED_VALUE"""),851.0)</f>
        <v>851</v>
      </c>
      <c r="X1055" s="1">
        <f>IFERROR(__xludf.DUMMYFUNCTION("""COMPUTED_VALUE"""),696.0)</f>
        <v>696</v>
      </c>
      <c r="Y1055" s="2"/>
      <c r="Z1055" s="2"/>
    </row>
    <row r="1056">
      <c r="A1056" s="1">
        <f>IFERROR(__xludf.DUMMYFUNCTION("""COMPUTED_VALUE"""),1055.0)</f>
        <v>1055</v>
      </c>
      <c r="B1056" s="7" t="str">
        <f>IFERROR(__xludf.DUMMYFUNCTION("""COMPUTED_VALUE"""),"7172")</f>
        <v>7172</v>
      </c>
      <c r="C1056" s="8" t="str">
        <f>IFERROR(__xludf.DUMMYFUNCTION("""COMPUTED_VALUE"""),"Riri H2C")</f>
        <v>Riri H2C</v>
      </c>
      <c r="D1056" s="2" t="str">
        <f>IFERROR(__xludf.DUMMYFUNCTION("""COMPUTED_VALUE"""),"5KM MASTER M")</f>
        <v>5KM MASTER M</v>
      </c>
      <c r="E1056" s="1">
        <f>IFERROR(__xludf.DUMMYFUNCTION("""COMPUTED_VALUE"""),2.0)</f>
        <v>2</v>
      </c>
      <c r="F1056" s="1" t="str">
        <f>IFERROR(__xludf.DUMMYFUNCTION("""COMPUTED_VALUE"""),"Male")</f>
        <v>Male</v>
      </c>
      <c r="G1056" s="4" t="b">
        <f>IFERROR(__xludf.DUMMYFUNCTION("""COMPUTED_VALUE"""),TRUE)</f>
        <v>1</v>
      </c>
      <c r="H1056" s="4" t="b">
        <f>IFERROR(__xludf.DUMMYFUNCTION("""COMPUTED_VALUE"""),TRUE)</f>
        <v>1</v>
      </c>
      <c r="I1056" s="4">
        <f>IFERROR(__xludf.DUMMYFUNCTION("""COMPUTED_VALUE"""),0.2549440625)</f>
        <v>0.2549440625</v>
      </c>
      <c r="J1056" s="4">
        <f>IFERROR(__xludf.DUMMYFUNCTION("""COMPUTED_VALUE"""),45949.271241963026)</f>
        <v>45949.27124</v>
      </c>
      <c r="K1056" s="4" t="str">
        <f>IFERROR(__xludf.DUMMYFUNCTION("""COMPUTED_VALUE"""),"")</f>
        <v/>
      </c>
      <c r="L1056" s="4">
        <f>IFERROR(__xludf.DUMMYFUNCTION("""COMPUTED_VALUE"""),45949.28380011834)</f>
        <v>45949.2838</v>
      </c>
      <c r="M1056" s="1" t="str">
        <f>IFERROR(__xludf.DUMMYFUNCTION("""COMPUTED_VALUE"""),"RFID")</f>
        <v>RFID</v>
      </c>
      <c r="N1056" s="5">
        <f>IFERROR(__xludf.DUMMYFUNCTION("""COMPUTED_VALUE"""),0.006519162037037037)</f>
        <v>0.006519162037</v>
      </c>
      <c r="O1056" s="5" t="str">
        <f>IFERROR(__xludf.DUMMYFUNCTION("""COMPUTED_VALUE"""),"")</f>
        <v/>
      </c>
      <c r="P1056" s="5" t="str">
        <f>IFERROR(__xludf.DUMMYFUNCTION("""COMPUTED_VALUE"""),"")</f>
        <v/>
      </c>
      <c r="Q1056" s="5">
        <f>IFERROR(__xludf.DUMMYFUNCTION("""COMPUTED_VALUE"""),0.005771210648148148)</f>
        <v>0.005771210648</v>
      </c>
      <c r="R1056" s="4">
        <f>IFERROR(__xludf.DUMMYFUNCTION("""COMPUTED_VALUE"""),45949.02885605584)</f>
        <v>45949.02886</v>
      </c>
      <c r="S1056" s="1" t="b">
        <f>IFERROR(__xludf.DUMMYFUNCTION("""COMPUTED_VALUE"""),TRUE)</f>
        <v>1</v>
      </c>
      <c r="T1056" s="1" t="b">
        <f>IFERROR(__xludf.DUMMYFUNCTION("""COMPUTED_VALUE"""),FALSE)</f>
        <v>0</v>
      </c>
      <c r="U1056" s="1" t="str">
        <f>IFERROR(__xludf.DUMMYFUNCTION("""COMPUTED_VALUE"""),"VALID")</f>
        <v>VALID</v>
      </c>
      <c r="V1056" s="1">
        <f>IFERROR(__xludf.DUMMYFUNCTION("""COMPUTED_VALUE"""),46.0)</f>
        <v>46</v>
      </c>
      <c r="W1056" s="1">
        <f>IFERROR(__xludf.DUMMYFUNCTION("""COMPUTED_VALUE"""),483.0)</f>
        <v>483</v>
      </c>
      <c r="X1056" s="1">
        <f>IFERROR(__xludf.DUMMYFUNCTION("""COMPUTED_VALUE"""),419.0)</f>
        <v>419</v>
      </c>
      <c r="Y1056" s="2"/>
      <c r="Z1056" s="2"/>
    </row>
    <row r="1057">
      <c r="A1057" s="1">
        <f>IFERROR(__xludf.DUMMYFUNCTION("""COMPUTED_VALUE"""),1056.0)</f>
        <v>1056</v>
      </c>
      <c r="B1057" s="7" t="str">
        <f>IFERROR(__xludf.DUMMYFUNCTION("""COMPUTED_VALUE"""),"7173")</f>
        <v>7173</v>
      </c>
      <c r="C1057" s="8" t="str">
        <f>IFERROR(__xludf.DUMMYFUNCTION("""COMPUTED_VALUE"""),"Agues")</f>
        <v>Agues</v>
      </c>
      <c r="D1057" s="2" t="str">
        <f>IFERROR(__xludf.DUMMYFUNCTION("""COMPUTED_VALUE"""),"5KM MASTER M")</f>
        <v>5KM MASTER M</v>
      </c>
      <c r="E1057" s="1">
        <f>IFERROR(__xludf.DUMMYFUNCTION("""COMPUTED_VALUE"""),2.0)</f>
        <v>2</v>
      </c>
      <c r="F1057" s="1" t="str">
        <f>IFERROR(__xludf.DUMMYFUNCTION("""COMPUTED_VALUE"""),"Male")</f>
        <v>Male</v>
      </c>
      <c r="G1057" s="4" t="b">
        <f>IFERROR(__xludf.DUMMYFUNCTION("""COMPUTED_VALUE"""),TRUE)</f>
        <v>1</v>
      </c>
      <c r="H1057" s="4" t="b">
        <f>IFERROR(__xludf.DUMMYFUNCTION("""COMPUTED_VALUE"""),TRUE)</f>
        <v>1</v>
      </c>
      <c r="I1057" s="4">
        <f>IFERROR(__xludf.DUMMYFUNCTION("""COMPUTED_VALUE"""),0.2549440625)</f>
        <v>0.2549440625</v>
      </c>
      <c r="J1057" s="4">
        <f>IFERROR(__xludf.DUMMYFUNCTION("""COMPUTED_VALUE"""),45949.2766482257)</f>
        <v>45949.27665</v>
      </c>
      <c r="K1057" s="4" t="str">
        <f>IFERROR(__xludf.DUMMYFUNCTION("""COMPUTED_VALUE"""),"")</f>
        <v/>
      </c>
      <c r="L1057" s="4">
        <f>IFERROR(__xludf.DUMMYFUNCTION("""COMPUTED_VALUE"""),45949.29273414979)</f>
        <v>45949.29273</v>
      </c>
      <c r="M1057" s="1" t="str">
        <f>IFERROR(__xludf.DUMMYFUNCTION("""COMPUTED_VALUE"""),"RFID")</f>
        <v>RFID</v>
      </c>
      <c r="N1057" s="5">
        <f>IFERROR(__xludf.DUMMYFUNCTION("""COMPUTED_VALUE"""),0.008681666666666667)</f>
        <v>0.008681666667</v>
      </c>
      <c r="O1057" s="5" t="str">
        <f>IFERROR(__xludf.DUMMYFUNCTION("""COMPUTED_VALUE"""),"")</f>
        <v/>
      </c>
      <c r="P1057" s="5" t="str">
        <f>IFERROR(__xludf.DUMMYFUNCTION("""COMPUTED_VALUE"""),"")</f>
        <v/>
      </c>
      <c r="Q1057" s="5">
        <f>IFERROR(__xludf.DUMMYFUNCTION("""COMPUTED_VALUE"""),0.007558018518518518)</f>
        <v>0.007558018519</v>
      </c>
      <c r="R1057" s="4">
        <f>IFERROR(__xludf.DUMMYFUNCTION("""COMPUTED_VALUE"""),45949.03779008729)</f>
        <v>45949.03779</v>
      </c>
      <c r="S1057" s="1" t="b">
        <f>IFERROR(__xludf.DUMMYFUNCTION("""COMPUTED_VALUE"""),TRUE)</f>
        <v>1</v>
      </c>
      <c r="T1057" s="1" t="b">
        <f>IFERROR(__xludf.DUMMYFUNCTION("""COMPUTED_VALUE"""),FALSE)</f>
        <v>0</v>
      </c>
      <c r="U1057" s="1" t="str">
        <f>IFERROR(__xludf.DUMMYFUNCTION("""COMPUTED_VALUE"""),"VALID")</f>
        <v>VALID</v>
      </c>
      <c r="V1057" s="1">
        <f>IFERROR(__xludf.DUMMYFUNCTION("""COMPUTED_VALUE"""),81.0)</f>
        <v>81</v>
      </c>
      <c r="W1057" s="1">
        <f>IFERROR(__xludf.DUMMYFUNCTION("""COMPUTED_VALUE"""),1088.0)</f>
        <v>1088</v>
      </c>
      <c r="X1057" s="1">
        <f>IFERROR(__xludf.DUMMYFUNCTION("""COMPUTED_VALUE"""),865.0)</f>
        <v>865</v>
      </c>
      <c r="Y1057" s="2"/>
      <c r="Z1057" s="2"/>
    </row>
    <row r="1058">
      <c r="A1058" s="1">
        <f>IFERROR(__xludf.DUMMYFUNCTION("""COMPUTED_VALUE"""),1057.0)</f>
        <v>1057</v>
      </c>
      <c r="B1058" s="7" t="str">
        <f>IFERROR(__xludf.DUMMYFUNCTION("""COMPUTED_VALUE"""),"7174")</f>
        <v>7174</v>
      </c>
      <c r="C1058" s="8" t="str">
        <f>IFERROR(__xludf.DUMMYFUNCTION("""COMPUTED_VALUE"""),"zikri")</f>
        <v>zikri</v>
      </c>
      <c r="D1058" s="2" t="str">
        <f>IFERROR(__xludf.DUMMYFUNCTION("""COMPUTED_VALUE"""),"5KM MASTER M")</f>
        <v>5KM MASTER M</v>
      </c>
      <c r="E1058" s="1">
        <f>IFERROR(__xludf.DUMMYFUNCTION("""COMPUTED_VALUE"""),2.0)</f>
        <v>2</v>
      </c>
      <c r="F1058" s="1" t="str">
        <f>IFERROR(__xludf.DUMMYFUNCTION("""COMPUTED_VALUE"""),"Male")</f>
        <v>Male</v>
      </c>
      <c r="G1058" s="4" t="str">
        <f>IFERROR(__xludf.DUMMYFUNCTION("""COMPUTED_VALUE"""),"")</f>
        <v/>
      </c>
      <c r="H1058" s="4" t="b">
        <f>IFERROR(__xludf.DUMMYFUNCTION("""COMPUTED_VALUE"""),TRUE)</f>
        <v>1</v>
      </c>
      <c r="I1058" s="4">
        <f>IFERROR(__xludf.DUMMYFUNCTION("""COMPUTED_VALUE"""),0.2549440625)</f>
        <v>0.2549440625</v>
      </c>
      <c r="J1058" s="4">
        <f>IFERROR(__xludf.DUMMYFUNCTION("""COMPUTED_VALUE"""),45949.26400585738)</f>
        <v>45949.26401</v>
      </c>
      <c r="K1058" s="4" t="str">
        <f>IFERROR(__xludf.DUMMYFUNCTION("""COMPUTED_VALUE"""),"")</f>
        <v/>
      </c>
      <c r="L1058" s="4">
        <f>IFERROR(__xludf.DUMMYFUNCTION("""COMPUTED_VALUE"""),45949.27175156787)</f>
        <v>45949.27175</v>
      </c>
      <c r="M1058" s="1" t="str">
        <f>IFERROR(__xludf.DUMMYFUNCTION("""COMPUTED_VALUE"""),"RFID")</f>
        <v>RFID</v>
      </c>
      <c r="N1058" s="5">
        <f>IFERROR(__xludf.DUMMYFUNCTION("""COMPUTED_VALUE"""),0.0036247175925925926)</f>
        <v>0.003624717593</v>
      </c>
      <c r="O1058" s="5" t="str">
        <f>IFERROR(__xludf.DUMMYFUNCTION("""COMPUTED_VALUE"""),"")</f>
        <v/>
      </c>
      <c r="P1058" s="5" t="str">
        <f>IFERROR(__xludf.DUMMYFUNCTION("""COMPUTED_VALUE"""),"")</f>
        <v/>
      </c>
      <c r="Q1058" s="5">
        <f>IFERROR(__xludf.DUMMYFUNCTION("""COMPUTED_VALUE"""),0.0033615)</f>
        <v>0.0033615</v>
      </c>
      <c r="R1058" s="4">
        <f>IFERROR(__xludf.DUMMYFUNCTION("""COMPUTED_VALUE"""),45949.016807505366)</f>
        <v>45949.01681</v>
      </c>
      <c r="S1058" s="1" t="b">
        <f>IFERROR(__xludf.DUMMYFUNCTION("""COMPUTED_VALUE"""),TRUE)</f>
        <v>1</v>
      </c>
      <c r="T1058" s="1" t="b">
        <f>IFERROR(__xludf.DUMMYFUNCTION("""COMPUTED_VALUE"""),FALSE)</f>
        <v>0</v>
      </c>
      <c r="U1058" s="1" t="str">
        <f>IFERROR(__xludf.DUMMYFUNCTION("""COMPUTED_VALUE"""),"VALID")</f>
        <v>VALID</v>
      </c>
      <c r="V1058" s="1">
        <f>IFERROR(__xludf.DUMMYFUNCTION("""COMPUTED_VALUE"""),2.0)</f>
        <v>2</v>
      </c>
      <c r="W1058" s="1">
        <f>IFERROR(__xludf.DUMMYFUNCTION("""COMPUTED_VALUE"""),33.0)</f>
        <v>33</v>
      </c>
      <c r="X1058" s="1">
        <f>IFERROR(__xludf.DUMMYFUNCTION("""COMPUTED_VALUE"""),32.0)</f>
        <v>32</v>
      </c>
      <c r="Y1058" s="2"/>
      <c r="Z1058" s="2"/>
    </row>
    <row r="1059">
      <c r="A1059" s="1">
        <f>IFERROR(__xludf.DUMMYFUNCTION("""COMPUTED_VALUE"""),1058.0)</f>
        <v>1058</v>
      </c>
      <c r="B1059" s="7" t="str">
        <f>IFERROR(__xludf.DUMMYFUNCTION("""COMPUTED_VALUE"""),"7175")</f>
        <v>7175</v>
      </c>
      <c r="C1059" s="8" t="str">
        <f>IFERROR(__xludf.DUMMYFUNCTION("""COMPUTED_VALUE"""),"Mas Heri")</f>
        <v>Mas Heri</v>
      </c>
      <c r="D1059" s="2" t="str">
        <f>IFERROR(__xludf.DUMMYFUNCTION("""COMPUTED_VALUE"""),"5KM MASTER M")</f>
        <v>5KM MASTER M</v>
      </c>
      <c r="E1059" s="1">
        <f>IFERROR(__xludf.DUMMYFUNCTION("""COMPUTED_VALUE"""),2.0)</f>
        <v>2</v>
      </c>
      <c r="F1059" s="1" t="str">
        <f>IFERROR(__xludf.DUMMYFUNCTION("""COMPUTED_VALUE"""),"Male")</f>
        <v>Male</v>
      </c>
      <c r="G1059" s="4" t="b">
        <f>IFERROR(__xludf.DUMMYFUNCTION("""COMPUTED_VALUE"""),TRUE)</f>
        <v>1</v>
      </c>
      <c r="H1059" s="4" t="b">
        <f>IFERROR(__xludf.DUMMYFUNCTION("""COMPUTED_VALUE"""),TRUE)</f>
        <v>1</v>
      </c>
      <c r="I1059" s="4">
        <f>IFERROR(__xludf.DUMMYFUNCTION("""COMPUTED_VALUE"""),0.2549440625)</f>
        <v>0.2549440625</v>
      </c>
      <c r="J1059" s="4">
        <f>IFERROR(__xludf.DUMMYFUNCTION("""COMPUTED_VALUE"""),45949.27937391828)</f>
        <v>45949.27937</v>
      </c>
      <c r="K1059" s="4" t="str">
        <f>IFERROR(__xludf.DUMMYFUNCTION("""COMPUTED_VALUE"""),"")</f>
        <v/>
      </c>
      <c r="L1059" s="4">
        <f>IFERROR(__xludf.DUMMYFUNCTION("""COMPUTED_VALUE"""),45949.29772379104)</f>
        <v>45949.29772</v>
      </c>
      <c r="M1059" s="1" t="str">
        <f>IFERROR(__xludf.DUMMYFUNCTION("""COMPUTED_VALUE"""),"RFID")</f>
        <v>RFID</v>
      </c>
      <c r="N1059" s="5">
        <f>IFERROR(__xludf.DUMMYFUNCTION("""COMPUTED_VALUE"""),0.009771944444444442)</f>
        <v>0.009771944444</v>
      </c>
      <c r="O1059" s="5" t="str">
        <f>IFERROR(__xludf.DUMMYFUNCTION("""COMPUTED_VALUE"""),"")</f>
        <v/>
      </c>
      <c r="P1059" s="5" t="str">
        <f>IFERROR(__xludf.DUMMYFUNCTION("""COMPUTED_VALUE"""),"")</f>
        <v/>
      </c>
      <c r="Q1059" s="5">
        <f>IFERROR(__xludf.DUMMYFUNCTION("""COMPUTED_VALUE"""),0.008555946759259258)</f>
        <v>0.008555946759</v>
      </c>
      <c r="R1059" s="4">
        <f>IFERROR(__xludf.DUMMYFUNCTION("""COMPUTED_VALUE"""),45949.04277972854)</f>
        <v>45949.04278</v>
      </c>
      <c r="S1059" s="1" t="b">
        <f>IFERROR(__xludf.DUMMYFUNCTION("""COMPUTED_VALUE"""),TRUE)</f>
        <v>1</v>
      </c>
      <c r="T1059" s="1" t="b">
        <f>IFERROR(__xludf.DUMMYFUNCTION("""COMPUTED_VALUE"""),FALSE)</f>
        <v>0</v>
      </c>
      <c r="U1059" s="1" t="str">
        <f>IFERROR(__xludf.DUMMYFUNCTION("""COMPUTED_VALUE"""),"VALID")</f>
        <v>VALID</v>
      </c>
      <c r="V1059" s="1">
        <f>IFERROR(__xludf.DUMMYFUNCTION("""COMPUTED_VALUE"""),92.0)</f>
        <v>92</v>
      </c>
      <c r="W1059" s="1">
        <f>IFERROR(__xludf.DUMMYFUNCTION("""COMPUTED_VALUE"""),1354.0)</f>
        <v>1354</v>
      </c>
      <c r="X1059" s="1">
        <f>IFERROR(__xludf.DUMMYFUNCTION("""COMPUTED_VALUE"""),1094.0)</f>
        <v>1094</v>
      </c>
      <c r="Y1059" s="2"/>
      <c r="Z1059" s="2"/>
    </row>
    <row r="1060">
      <c r="A1060" s="1">
        <f>IFERROR(__xludf.DUMMYFUNCTION("""COMPUTED_VALUE"""),1059.0)</f>
        <v>1059</v>
      </c>
      <c r="B1060" s="7" t="str">
        <f>IFERROR(__xludf.DUMMYFUNCTION("""COMPUTED_VALUE"""),"7177")</f>
        <v>7177</v>
      </c>
      <c r="C1060" s="8" t="str">
        <f>IFERROR(__xludf.DUMMYFUNCTION("""COMPUTED_VALUE"""),"ginzo")</f>
        <v>ginzo</v>
      </c>
      <c r="D1060" s="2" t="str">
        <f>IFERROR(__xludf.DUMMYFUNCTION("""COMPUTED_VALUE"""),"5KM MASTER M")</f>
        <v>5KM MASTER M</v>
      </c>
      <c r="E1060" s="1">
        <f>IFERROR(__xludf.DUMMYFUNCTION("""COMPUTED_VALUE"""),2.0)</f>
        <v>2</v>
      </c>
      <c r="F1060" s="1" t="str">
        <f>IFERROR(__xludf.DUMMYFUNCTION("""COMPUTED_VALUE"""),"Male")</f>
        <v>Male</v>
      </c>
      <c r="G1060" s="4" t="b">
        <f>IFERROR(__xludf.DUMMYFUNCTION("""COMPUTED_VALUE"""),TRUE)</f>
        <v>1</v>
      </c>
      <c r="H1060" s="4" t="b">
        <f>IFERROR(__xludf.DUMMYFUNCTION("""COMPUTED_VALUE"""),TRUE)</f>
        <v>1</v>
      </c>
      <c r="I1060" s="4">
        <f>IFERROR(__xludf.DUMMYFUNCTION("""COMPUTED_VALUE"""),0.2549440625)</f>
        <v>0.2549440625</v>
      </c>
      <c r="J1060" s="4">
        <f>IFERROR(__xludf.DUMMYFUNCTION("""COMPUTED_VALUE"""),45949.279266682075)</f>
        <v>45949.27927</v>
      </c>
      <c r="K1060" s="4" t="str">
        <f>IFERROR(__xludf.DUMMYFUNCTION("""COMPUTED_VALUE"""),"")</f>
        <v/>
      </c>
      <c r="L1060" s="4">
        <f>IFERROR(__xludf.DUMMYFUNCTION("""COMPUTED_VALUE"""),45949.29817517543)</f>
        <v>45949.29818</v>
      </c>
      <c r="M1060" s="1" t="str">
        <f>IFERROR(__xludf.DUMMYFUNCTION("""COMPUTED_VALUE"""),"RFID")</f>
        <v>RFID</v>
      </c>
      <c r="N1060" s="5">
        <f>IFERROR(__xludf.DUMMYFUNCTION("""COMPUTED_VALUE"""),0.009729046296296296)</f>
        <v>0.009729046296</v>
      </c>
      <c r="O1060" s="5" t="str">
        <f>IFERROR(__xludf.DUMMYFUNCTION("""COMPUTED_VALUE"""),"")</f>
        <v/>
      </c>
      <c r="P1060" s="5" t="str">
        <f>IFERROR(__xludf.DUMMYFUNCTION("""COMPUTED_VALUE"""),"")</f>
        <v/>
      </c>
      <c r="Q1060" s="5">
        <f>IFERROR(__xludf.DUMMYFUNCTION("""COMPUTED_VALUE"""),0.008646222222222222)</f>
        <v>0.008646222222</v>
      </c>
      <c r="R1060" s="4">
        <f>IFERROR(__xludf.DUMMYFUNCTION("""COMPUTED_VALUE"""),45949.043231112926)</f>
        <v>45949.04323</v>
      </c>
      <c r="S1060" s="1" t="b">
        <f>IFERROR(__xludf.DUMMYFUNCTION("""COMPUTED_VALUE"""),TRUE)</f>
        <v>1</v>
      </c>
      <c r="T1060" s="1" t="b">
        <f>IFERROR(__xludf.DUMMYFUNCTION("""COMPUTED_VALUE"""),FALSE)</f>
        <v>0</v>
      </c>
      <c r="U1060" s="1" t="str">
        <f>IFERROR(__xludf.DUMMYFUNCTION("""COMPUTED_VALUE"""),"VALID")</f>
        <v>VALID</v>
      </c>
      <c r="V1060" s="1">
        <f>IFERROR(__xludf.DUMMYFUNCTION("""COMPUTED_VALUE"""),93.0)</f>
        <v>93</v>
      </c>
      <c r="W1060" s="1">
        <f>IFERROR(__xludf.DUMMYFUNCTION("""COMPUTED_VALUE"""),1366.0)</f>
        <v>1366</v>
      </c>
      <c r="X1060" s="1">
        <f>IFERROR(__xludf.DUMMYFUNCTION("""COMPUTED_VALUE"""),1105.0)</f>
        <v>1105</v>
      </c>
      <c r="Y1060" s="2"/>
      <c r="Z1060" s="2"/>
    </row>
    <row r="1061">
      <c r="A1061" s="1">
        <f>IFERROR(__xludf.DUMMYFUNCTION("""COMPUTED_VALUE"""),1060.0)</f>
        <v>1060</v>
      </c>
      <c r="B1061" s="7" t="str">
        <f>IFERROR(__xludf.DUMMYFUNCTION("""COMPUTED_VALUE"""),"7179")</f>
        <v>7179</v>
      </c>
      <c r="C1061" s="8" t="str">
        <f>IFERROR(__xludf.DUMMYFUNCTION("""COMPUTED_VALUE"""),"ibazne")</f>
        <v>ibazne</v>
      </c>
      <c r="D1061" s="2" t="str">
        <f>IFERROR(__xludf.DUMMYFUNCTION("""COMPUTED_VALUE"""),"5KM MASTER M")</f>
        <v>5KM MASTER M</v>
      </c>
      <c r="E1061" s="1">
        <f>IFERROR(__xludf.DUMMYFUNCTION("""COMPUTED_VALUE"""),2.0)</f>
        <v>2</v>
      </c>
      <c r="F1061" s="1" t="str">
        <f>IFERROR(__xludf.DUMMYFUNCTION("""COMPUTED_VALUE"""),"Male")</f>
        <v>Male</v>
      </c>
      <c r="G1061" s="4" t="b">
        <f>IFERROR(__xludf.DUMMYFUNCTION("""COMPUTED_VALUE"""),TRUE)</f>
        <v>1</v>
      </c>
      <c r="H1061" s="4" t="b">
        <f>IFERROR(__xludf.DUMMYFUNCTION("""COMPUTED_VALUE"""),TRUE)</f>
        <v>1</v>
      </c>
      <c r="I1061" s="4">
        <f>IFERROR(__xludf.DUMMYFUNCTION("""COMPUTED_VALUE"""),0.2549440625)</f>
        <v>0.2549440625</v>
      </c>
      <c r="J1061" s="4">
        <f>IFERROR(__xludf.DUMMYFUNCTION("""COMPUTED_VALUE"""),45949.282301046085)</f>
        <v>45949.2823</v>
      </c>
      <c r="K1061" s="4" t="str">
        <f>IFERROR(__xludf.DUMMYFUNCTION("""COMPUTED_VALUE"""),"")</f>
        <v/>
      </c>
      <c r="L1061" s="4">
        <f>IFERROR(__xludf.DUMMYFUNCTION("""COMPUTED_VALUE"""),45949.29851192729)</f>
        <v>45949.29851</v>
      </c>
      <c r="M1061" s="1" t="str">
        <f>IFERROR(__xludf.DUMMYFUNCTION("""COMPUTED_VALUE"""),"RFID")</f>
        <v>RFID</v>
      </c>
      <c r="N1061" s="5">
        <f>IFERROR(__xludf.DUMMYFUNCTION("""COMPUTED_VALUE"""),0.010942791666666667)</f>
        <v>0.01094279167</v>
      </c>
      <c r="O1061" s="5" t="str">
        <f>IFERROR(__xludf.DUMMYFUNCTION("""COMPUTED_VALUE"""),"")</f>
        <v/>
      </c>
      <c r="P1061" s="5" t="str">
        <f>IFERROR(__xludf.DUMMYFUNCTION("""COMPUTED_VALUE"""),"")</f>
        <v/>
      </c>
      <c r="Q1061" s="5">
        <f>IFERROR(__xludf.DUMMYFUNCTION("""COMPUTED_VALUE"""),0.008713574074074075)</f>
        <v>0.008713574074</v>
      </c>
      <c r="R1061" s="4">
        <f>IFERROR(__xludf.DUMMYFUNCTION("""COMPUTED_VALUE"""),45949.04356786479)</f>
        <v>45949.04357</v>
      </c>
      <c r="S1061" s="1" t="b">
        <f>IFERROR(__xludf.DUMMYFUNCTION("""COMPUTED_VALUE"""),TRUE)</f>
        <v>1</v>
      </c>
      <c r="T1061" s="1" t="b">
        <f>IFERROR(__xludf.DUMMYFUNCTION("""COMPUTED_VALUE"""),FALSE)</f>
        <v>0</v>
      </c>
      <c r="U1061" s="1" t="str">
        <f>IFERROR(__xludf.DUMMYFUNCTION("""COMPUTED_VALUE"""),"VALID")</f>
        <v>VALID</v>
      </c>
      <c r="V1061" s="1">
        <f>IFERROR(__xludf.DUMMYFUNCTION("""COMPUTED_VALUE"""),94.0)</f>
        <v>94</v>
      </c>
      <c r="W1061" s="1">
        <f>IFERROR(__xludf.DUMMYFUNCTION("""COMPUTED_VALUE"""),1378.0)</f>
        <v>1378</v>
      </c>
      <c r="X1061" s="1">
        <f>IFERROR(__xludf.DUMMYFUNCTION("""COMPUTED_VALUE"""),1118.0)</f>
        <v>1118</v>
      </c>
      <c r="Y1061" s="2"/>
      <c r="Z1061" s="2"/>
    </row>
    <row r="1062">
      <c r="A1062" s="1">
        <f>IFERROR(__xludf.DUMMYFUNCTION("""COMPUTED_VALUE"""),1061.0)</f>
        <v>1061</v>
      </c>
      <c r="B1062" s="7" t="str">
        <f>IFERROR(__xludf.DUMMYFUNCTION("""COMPUTED_VALUE"""),"7180")</f>
        <v>7180</v>
      </c>
      <c r="C1062" s="8" t="str">
        <f>IFERROR(__xludf.DUMMYFUNCTION("""COMPUTED_VALUE"""),"Bastian")</f>
        <v>Bastian</v>
      </c>
      <c r="D1062" s="2" t="str">
        <f>IFERROR(__xludf.DUMMYFUNCTION("""COMPUTED_VALUE"""),"5KM MASTER M")</f>
        <v>5KM MASTER M</v>
      </c>
      <c r="E1062" s="1">
        <f>IFERROR(__xludf.DUMMYFUNCTION("""COMPUTED_VALUE"""),2.0)</f>
        <v>2</v>
      </c>
      <c r="F1062" s="1" t="str">
        <f>IFERROR(__xludf.DUMMYFUNCTION("""COMPUTED_VALUE"""),"Male")</f>
        <v>Male</v>
      </c>
      <c r="G1062" s="4" t="b">
        <f>IFERROR(__xludf.DUMMYFUNCTION("""COMPUTED_VALUE"""),TRUE)</f>
        <v>1</v>
      </c>
      <c r="H1062" s="4" t="b">
        <f>IFERROR(__xludf.DUMMYFUNCTION("""COMPUTED_VALUE"""),TRUE)</f>
        <v>1</v>
      </c>
      <c r="I1062" s="4">
        <f>IFERROR(__xludf.DUMMYFUNCTION("""COMPUTED_VALUE"""),0.2549440625)</f>
        <v>0.2549440625</v>
      </c>
      <c r="J1062" s="4">
        <f>IFERROR(__xludf.DUMMYFUNCTION("""COMPUTED_VALUE"""),45949.26684267253)</f>
        <v>45949.26684</v>
      </c>
      <c r="K1062" s="4" t="str">
        <f>IFERROR(__xludf.DUMMYFUNCTION("""COMPUTED_VALUE"""),"")</f>
        <v/>
      </c>
      <c r="L1062" s="4">
        <f>IFERROR(__xludf.DUMMYFUNCTION("""COMPUTED_VALUE"""),45949.27656406219)</f>
        <v>45949.27656</v>
      </c>
      <c r="M1062" s="1" t="str">
        <f>IFERROR(__xludf.DUMMYFUNCTION("""COMPUTED_VALUE"""),"RFID")</f>
        <v>RFID</v>
      </c>
      <c r="N1062" s="5">
        <f>IFERROR(__xludf.DUMMYFUNCTION("""COMPUTED_VALUE"""),0.004759444444444445)</f>
        <v>0.004759444444</v>
      </c>
      <c r="O1062" s="5" t="str">
        <f>IFERROR(__xludf.DUMMYFUNCTION("""COMPUTED_VALUE"""),"")</f>
        <v/>
      </c>
      <c r="P1062" s="5" t="str">
        <f>IFERROR(__xludf.DUMMYFUNCTION("""COMPUTED_VALUE"""),"")</f>
        <v/>
      </c>
      <c r="Q1062" s="5">
        <f>IFERROR(__xludf.DUMMYFUNCTION("""COMPUTED_VALUE"""),0.004324)</f>
        <v>0.004324</v>
      </c>
      <c r="R1062" s="4">
        <f>IFERROR(__xludf.DUMMYFUNCTION("""COMPUTED_VALUE"""),45949.02161999969)</f>
        <v>45949.02162</v>
      </c>
      <c r="S1062" s="1" t="b">
        <f>IFERROR(__xludf.DUMMYFUNCTION("""COMPUTED_VALUE"""),TRUE)</f>
        <v>1</v>
      </c>
      <c r="T1062" s="1" t="b">
        <f>IFERROR(__xludf.DUMMYFUNCTION("""COMPUTED_VALUE"""),FALSE)</f>
        <v>0</v>
      </c>
      <c r="U1062" s="1" t="str">
        <f>IFERROR(__xludf.DUMMYFUNCTION("""COMPUTED_VALUE"""),"VALID")</f>
        <v>VALID</v>
      </c>
      <c r="V1062" s="1">
        <f>IFERROR(__xludf.DUMMYFUNCTION("""COMPUTED_VALUE"""),18.0)</f>
        <v>18</v>
      </c>
      <c r="W1062" s="1">
        <f>IFERROR(__xludf.DUMMYFUNCTION("""COMPUTED_VALUE"""),164.0)</f>
        <v>164</v>
      </c>
      <c r="X1062" s="1">
        <f>IFERROR(__xludf.DUMMYFUNCTION("""COMPUTED_VALUE"""),145.0)</f>
        <v>145</v>
      </c>
      <c r="Y1062" s="2"/>
      <c r="Z1062" s="2"/>
    </row>
    <row r="1063">
      <c r="A1063" s="1">
        <f>IFERROR(__xludf.DUMMYFUNCTION("""COMPUTED_VALUE"""),1062.0)</f>
        <v>1062</v>
      </c>
      <c r="B1063" s="7" t="str">
        <f>IFERROR(__xludf.DUMMYFUNCTION("""COMPUTED_VALUE"""),"7181")</f>
        <v>7181</v>
      </c>
      <c r="C1063" s="8" t="str">
        <f>IFERROR(__xludf.DUMMYFUNCTION("""COMPUTED_VALUE"""),"Jamaluddin")</f>
        <v>Jamaluddin</v>
      </c>
      <c r="D1063" s="2" t="str">
        <f>IFERROR(__xludf.DUMMYFUNCTION("""COMPUTED_VALUE"""),"5KM MASTER M")</f>
        <v>5KM MASTER M</v>
      </c>
      <c r="E1063" s="1">
        <f>IFERROR(__xludf.DUMMYFUNCTION("""COMPUTED_VALUE"""),2.0)</f>
        <v>2</v>
      </c>
      <c r="F1063" s="1" t="str">
        <f>IFERROR(__xludf.DUMMYFUNCTION("""COMPUTED_VALUE"""),"Male")</f>
        <v>Male</v>
      </c>
      <c r="G1063" s="4" t="str">
        <f>IFERROR(__xludf.DUMMYFUNCTION("""COMPUTED_VALUE"""),"")</f>
        <v/>
      </c>
      <c r="H1063" s="4" t="b">
        <f>IFERROR(__xludf.DUMMYFUNCTION("""COMPUTED_VALUE"""),FALSE)</f>
        <v>0</v>
      </c>
      <c r="I1063" s="4">
        <f>IFERROR(__xludf.DUMMYFUNCTION("""COMPUTED_VALUE"""),0.2549440625)</f>
        <v>0.2549440625</v>
      </c>
      <c r="J1063" s="4" t="str">
        <f>IFERROR(__xludf.DUMMYFUNCTION("""COMPUTED_VALUE"""),"")</f>
        <v/>
      </c>
      <c r="K1063" s="4" t="str">
        <f>IFERROR(__xludf.DUMMYFUNCTION("""COMPUTED_VALUE"""),"")</f>
        <v/>
      </c>
      <c r="L1063" s="4" t="str">
        <f>IFERROR(__xludf.DUMMYFUNCTION("""COMPUTED_VALUE"""),"")</f>
        <v/>
      </c>
      <c r="M1063" s="1" t="str">
        <f>IFERROR(__xludf.DUMMYFUNCTION("""COMPUTED_VALUE"""),"RFID")</f>
        <v>RFID</v>
      </c>
      <c r="N1063" s="5" t="str">
        <f>IFERROR(__xludf.DUMMYFUNCTION("""COMPUTED_VALUE"""),"")</f>
        <v/>
      </c>
      <c r="O1063" s="5" t="str">
        <f>IFERROR(__xludf.DUMMYFUNCTION("""COMPUTED_VALUE"""),"")</f>
        <v/>
      </c>
      <c r="P1063" s="5" t="str">
        <f>IFERROR(__xludf.DUMMYFUNCTION("""COMPUTED_VALUE"""),"")</f>
        <v/>
      </c>
      <c r="Q1063" s="5" t="str">
        <f>IFERROR(__xludf.DUMMYFUNCTION("""COMPUTED_VALUE"""),"")</f>
        <v/>
      </c>
      <c r="R1063" s="4" t="str">
        <f>IFERROR(__xludf.DUMMYFUNCTION("""COMPUTED_VALUE"""),"")</f>
        <v/>
      </c>
      <c r="S1063" s="1" t="b">
        <f>IFERROR(__xludf.DUMMYFUNCTION("""COMPUTED_VALUE"""),FALSE)</f>
        <v>0</v>
      </c>
      <c r="T1063" s="1" t="b">
        <f>IFERROR(__xludf.DUMMYFUNCTION("""COMPUTED_VALUE"""),FALSE)</f>
        <v>0</v>
      </c>
      <c r="U1063" s="1" t="str">
        <f>IFERROR(__xludf.DUMMYFUNCTION("""COMPUTED_VALUE"""),"DSQ")</f>
        <v>DSQ</v>
      </c>
      <c r="V1063" s="1" t="str">
        <f>IFERROR(__xludf.DUMMYFUNCTION("""COMPUTED_VALUE"""),"DSQ")</f>
        <v>DSQ</v>
      </c>
      <c r="W1063" s="1" t="str">
        <f>IFERROR(__xludf.DUMMYFUNCTION("""COMPUTED_VALUE"""),"DSQ")</f>
        <v>DSQ</v>
      </c>
      <c r="X1063" s="1" t="str">
        <f>IFERROR(__xludf.DUMMYFUNCTION("""COMPUTED_VALUE"""),"DSQ")</f>
        <v>DSQ</v>
      </c>
      <c r="Y1063" s="2"/>
      <c r="Z1063" s="2" t="str">
        <f>IFERROR(__xludf.DUMMYFUNCTION("""COMPUTED_VALUE"""),"")</f>
        <v/>
      </c>
    </row>
    <row r="1064">
      <c r="A1064" s="1">
        <f>IFERROR(__xludf.DUMMYFUNCTION("""COMPUTED_VALUE"""),1063.0)</f>
        <v>1063</v>
      </c>
      <c r="B1064" s="7" t="str">
        <f>IFERROR(__xludf.DUMMYFUNCTION("""COMPUTED_VALUE"""),"7182")</f>
        <v>7182</v>
      </c>
      <c r="C1064" s="8" t="str">
        <f>IFERROR(__xludf.DUMMYFUNCTION("""COMPUTED_VALUE"""),"Syarifuddin")</f>
        <v>Syarifuddin</v>
      </c>
      <c r="D1064" s="2" t="str">
        <f>IFERROR(__xludf.DUMMYFUNCTION("""COMPUTED_VALUE"""),"5KM MASTER M")</f>
        <v>5KM MASTER M</v>
      </c>
      <c r="E1064" s="1">
        <f>IFERROR(__xludf.DUMMYFUNCTION("""COMPUTED_VALUE"""),2.0)</f>
        <v>2</v>
      </c>
      <c r="F1064" s="1" t="str">
        <f>IFERROR(__xludf.DUMMYFUNCTION("""COMPUTED_VALUE"""),"Male")</f>
        <v>Male</v>
      </c>
      <c r="G1064" s="4" t="b">
        <f>IFERROR(__xludf.DUMMYFUNCTION("""COMPUTED_VALUE"""),TRUE)</f>
        <v>1</v>
      </c>
      <c r="H1064" s="4" t="b">
        <f>IFERROR(__xludf.DUMMYFUNCTION("""COMPUTED_VALUE"""),FALSE)</f>
        <v>0</v>
      </c>
      <c r="I1064" s="4">
        <f>IFERROR(__xludf.DUMMYFUNCTION("""COMPUTED_VALUE"""),0.2549440625)</f>
        <v>0.2549440625</v>
      </c>
      <c r="J1064" s="4">
        <f>IFERROR(__xludf.DUMMYFUNCTION("""COMPUTED_VALUE"""),45949.27963780804)</f>
        <v>45949.27964</v>
      </c>
      <c r="K1064" s="4" t="str">
        <f>IFERROR(__xludf.DUMMYFUNCTION("""COMPUTED_VALUE"""),"")</f>
        <v/>
      </c>
      <c r="L1064" s="4">
        <f>IFERROR(__xludf.DUMMYFUNCTION("""COMPUTED_VALUE"""),45949.29855714064)</f>
        <v>45949.29856</v>
      </c>
      <c r="M1064" s="1" t="str">
        <f>IFERROR(__xludf.DUMMYFUNCTION("""COMPUTED_VALUE"""),"RFID")</f>
        <v>RFID</v>
      </c>
      <c r="N1064" s="5">
        <f>IFERROR(__xludf.DUMMYFUNCTION("""COMPUTED_VALUE"""),0.0098775)</f>
        <v>0.0098775</v>
      </c>
      <c r="O1064" s="5" t="str">
        <f>IFERROR(__xludf.DUMMYFUNCTION("""COMPUTED_VALUE"""),"")</f>
        <v/>
      </c>
      <c r="P1064" s="5" t="str">
        <f>IFERROR(__xludf.DUMMYFUNCTION("""COMPUTED_VALUE"""),"")</f>
        <v/>
      </c>
      <c r="Q1064" s="5">
        <f>IFERROR(__xludf.DUMMYFUNCTION("""COMPUTED_VALUE"""),0.00872261574074074)</f>
        <v>0.008722615741</v>
      </c>
      <c r="R1064" s="4">
        <f>IFERROR(__xludf.DUMMYFUNCTION("""COMPUTED_VALUE"""),45949.04361307814)</f>
        <v>45949.04361</v>
      </c>
      <c r="S1064" s="1" t="b">
        <f>IFERROR(__xludf.DUMMYFUNCTION("""COMPUTED_VALUE"""),TRUE)</f>
        <v>1</v>
      </c>
      <c r="T1064" s="1" t="b">
        <f>IFERROR(__xludf.DUMMYFUNCTION("""COMPUTED_VALUE"""),FALSE)</f>
        <v>0</v>
      </c>
      <c r="U1064" s="1" t="str">
        <f>IFERROR(__xludf.DUMMYFUNCTION("""COMPUTED_VALUE"""),"VALID")</f>
        <v>VALID</v>
      </c>
      <c r="V1064" s="1">
        <f>IFERROR(__xludf.DUMMYFUNCTION("""COMPUTED_VALUE"""),95.0)</f>
        <v>95</v>
      </c>
      <c r="W1064" s="1">
        <f>IFERROR(__xludf.DUMMYFUNCTION("""COMPUTED_VALUE"""),1384.0)</f>
        <v>1384</v>
      </c>
      <c r="X1064" s="1">
        <f>IFERROR(__xludf.DUMMYFUNCTION("""COMPUTED_VALUE"""),1124.0)</f>
        <v>1124</v>
      </c>
      <c r="Y1064" s="2"/>
      <c r="Z1064" s="2"/>
    </row>
    <row r="1065">
      <c r="A1065" s="1">
        <f>IFERROR(__xludf.DUMMYFUNCTION("""COMPUTED_VALUE"""),1064.0)</f>
        <v>1064</v>
      </c>
      <c r="B1065" s="7" t="str">
        <f>IFERROR(__xludf.DUMMYFUNCTION("""COMPUTED_VALUE"""),"7183")</f>
        <v>7183</v>
      </c>
      <c r="C1065" s="8" t="str">
        <f>IFERROR(__xludf.DUMMYFUNCTION("""COMPUTED_VALUE"""),"Indrasakti")</f>
        <v>Indrasakti</v>
      </c>
      <c r="D1065" s="2" t="str">
        <f>IFERROR(__xludf.DUMMYFUNCTION("""COMPUTED_VALUE"""),"5KM MASTER M")</f>
        <v>5KM MASTER M</v>
      </c>
      <c r="E1065" s="1">
        <f>IFERROR(__xludf.DUMMYFUNCTION("""COMPUTED_VALUE"""),2.0)</f>
        <v>2</v>
      </c>
      <c r="F1065" s="1" t="str">
        <f>IFERROR(__xludf.DUMMYFUNCTION("""COMPUTED_VALUE"""),"Male")</f>
        <v>Male</v>
      </c>
      <c r="G1065" s="4" t="str">
        <f>IFERROR(__xludf.DUMMYFUNCTION("""COMPUTED_VALUE"""),"")</f>
        <v/>
      </c>
      <c r="H1065" s="4" t="b">
        <f>IFERROR(__xludf.DUMMYFUNCTION("""COMPUTED_VALUE"""),FALSE)</f>
        <v>0</v>
      </c>
      <c r="I1065" s="4">
        <f>IFERROR(__xludf.DUMMYFUNCTION("""COMPUTED_VALUE"""),0.2549440625)</f>
        <v>0.2549440625</v>
      </c>
      <c r="J1065" s="4" t="str">
        <f>IFERROR(__xludf.DUMMYFUNCTION("""COMPUTED_VALUE"""),"")</f>
        <v/>
      </c>
      <c r="K1065" s="4" t="str">
        <f>IFERROR(__xludf.DUMMYFUNCTION("""COMPUTED_VALUE"""),"")</f>
        <v/>
      </c>
      <c r="L1065" s="4" t="str">
        <f>IFERROR(__xludf.DUMMYFUNCTION("""COMPUTED_VALUE"""),"")</f>
        <v/>
      </c>
      <c r="M1065" s="1" t="str">
        <f>IFERROR(__xludf.DUMMYFUNCTION("""COMPUTED_VALUE"""),"RFID")</f>
        <v>RFID</v>
      </c>
      <c r="N1065" s="5" t="str">
        <f>IFERROR(__xludf.DUMMYFUNCTION("""COMPUTED_VALUE"""),"")</f>
        <v/>
      </c>
      <c r="O1065" s="5" t="str">
        <f>IFERROR(__xludf.DUMMYFUNCTION("""COMPUTED_VALUE"""),"")</f>
        <v/>
      </c>
      <c r="P1065" s="5" t="str">
        <f>IFERROR(__xludf.DUMMYFUNCTION("""COMPUTED_VALUE"""),"")</f>
        <v/>
      </c>
      <c r="Q1065" s="5" t="str">
        <f>IFERROR(__xludf.DUMMYFUNCTION("""COMPUTED_VALUE"""),"")</f>
        <v/>
      </c>
      <c r="R1065" s="4" t="str">
        <f>IFERROR(__xludf.DUMMYFUNCTION("""COMPUTED_VALUE"""),"")</f>
        <v/>
      </c>
      <c r="S1065" s="1" t="b">
        <f>IFERROR(__xludf.DUMMYFUNCTION("""COMPUTED_VALUE"""),FALSE)</f>
        <v>0</v>
      </c>
      <c r="T1065" s="1" t="b">
        <f>IFERROR(__xludf.DUMMYFUNCTION("""COMPUTED_VALUE"""),FALSE)</f>
        <v>0</v>
      </c>
      <c r="U1065" s="1" t="str">
        <f>IFERROR(__xludf.DUMMYFUNCTION("""COMPUTED_VALUE"""),"DSQ")</f>
        <v>DSQ</v>
      </c>
      <c r="V1065" s="1" t="str">
        <f>IFERROR(__xludf.DUMMYFUNCTION("""COMPUTED_VALUE"""),"DSQ")</f>
        <v>DSQ</v>
      </c>
      <c r="W1065" s="1" t="str">
        <f>IFERROR(__xludf.DUMMYFUNCTION("""COMPUTED_VALUE"""),"DSQ")</f>
        <v>DSQ</v>
      </c>
      <c r="X1065" s="1" t="str">
        <f>IFERROR(__xludf.DUMMYFUNCTION("""COMPUTED_VALUE"""),"DSQ")</f>
        <v>DSQ</v>
      </c>
      <c r="Y1065" s="2"/>
      <c r="Z1065" s="2" t="str">
        <f>IFERROR(__xludf.DUMMYFUNCTION("""COMPUTED_VALUE"""),"")</f>
        <v/>
      </c>
    </row>
    <row r="1066">
      <c r="A1066" s="1">
        <f>IFERROR(__xludf.DUMMYFUNCTION("""COMPUTED_VALUE"""),1065.0)</f>
        <v>1065</v>
      </c>
      <c r="B1066" s="7" t="str">
        <f>IFERROR(__xludf.DUMMYFUNCTION("""COMPUTED_VALUE"""),"7184")</f>
        <v>7184</v>
      </c>
      <c r="C1066" s="8" t="str">
        <f>IFERROR(__xludf.DUMMYFUNCTION("""COMPUTED_VALUE"""),"Eddy")</f>
        <v>Eddy</v>
      </c>
      <c r="D1066" s="2" t="str">
        <f>IFERROR(__xludf.DUMMYFUNCTION("""COMPUTED_VALUE"""),"5KM MASTER M")</f>
        <v>5KM MASTER M</v>
      </c>
      <c r="E1066" s="1">
        <f>IFERROR(__xludf.DUMMYFUNCTION("""COMPUTED_VALUE"""),2.0)</f>
        <v>2</v>
      </c>
      <c r="F1066" s="1" t="str">
        <f>IFERROR(__xludf.DUMMYFUNCTION("""COMPUTED_VALUE"""),"Male")</f>
        <v>Male</v>
      </c>
      <c r="G1066" s="4" t="b">
        <f>IFERROR(__xludf.DUMMYFUNCTION("""COMPUTED_VALUE"""),TRUE)</f>
        <v>1</v>
      </c>
      <c r="H1066" s="4" t="b">
        <f>IFERROR(__xludf.DUMMYFUNCTION("""COMPUTED_VALUE"""),FALSE)</f>
        <v>0</v>
      </c>
      <c r="I1066" s="4">
        <f>IFERROR(__xludf.DUMMYFUNCTION("""COMPUTED_VALUE"""),0.2549440625)</f>
        <v>0.2549440625</v>
      </c>
      <c r="J1066" s="4">
        <f>IFERROR(__xludf.DUMMYFUNCTION("""COMPUTED_VALUE"""),45949.2671239787)</f>
        <v>45949.26712</v>
      </c>
      <c r="K1066" s="4" t="str">
        <f>IFERROR(__xludf.DUMMYFUNCTION("""COMPUTED_VALUE"""),"")</f>
        <v/>
      </c>
      <c r="L1066" s="4">
        <f>IFERROR(__xludf.DUMMYFUNCTION("""COMPUTED_VALUE"""),45949.27605364703)</f>
        <v>45949.27605</v>
      </c>
      <c r="M1066" s="1" t="str">
        <f>IFERROR(__xludf.DUMMYFUNCTION("""COMPUTED_VALUE"""),"RFID")</f>
        <v>RFID</v>
      </c>
      <c r="N1066" s="5">
        <f>IFERROR(__xludf.DUMMYFUNCTION("""COMPUTED_VALUE"""),0.004871967592592593)</f>
        <v>0.004871967593</v>
      </c>
      <c r="O1066" s="5" t="str">
        <f>IFERROR(__xludf.DUMMYFUNCTION("""COMPUTED_VALUE"""),"")</f>
        <v/>
      </c>
      <c r="P1066" s="5" t="str">
        <f>IFERROR(__xludf.DUMMYFUNCTION("""COMPUTED_VALUE"""),"")</f>
        <v/>
      </c>
      <c r="Q1066" s="5">
        <f>IFERROR(__xludf.DUMMYFUNCTION("""COMPUTED_VALUE"""),0.004221916666666666)</f>
        <v>0.004221916667</v>
      </c>
      <c r="R1066" s="4">
        <f>IFERROR(__xludf.DUMMYFUNCTION("""COMPUTED_VALUE"""),45949.02110958453)</f>
        <v>45949.02111</v>
      </c>
      <c r="S1066" s="1" t="b">
        <f>IFERROR(__xludf.DUMMYFUNCTION("""COMPUTED_VALUE"""),TRUE)</f>
        <v>1</v>
      </c>
      <c r="T1066" s="1" t="b">
        <f>IFERROR(__xludf.DUMMYFUNCTION("""COMPUTED_VALUE"""),FALSE)</f>
        <v>0</v>
      </c>
      <c r="U1066" s="1" t="str">
        <f>IFERROR(__xludf.DUMMYFUNCTION("""COMPUTED_VALUE"""),"VALID")</f>
        <v>VALID</v>
      </c>
      <c r="V1066" s="1">
        <f>IFERROR(__xludf.DUMMYFUNCTION("""COMPUTED_VALUE"""),17.0)</f>
        <v>17</v>
      </c>
      <c r="W1066" s="1">
        <f>IFERROR(__xludf.DUMMYFUNCTION("""COMPUTED_VALUE"""),149.0)</f>
        <v>149</v>
      </c>
      <c r="X1066" s="1">
        <f>IFERROR(__xludf.DUMMYFUNCTION("""COMPUTED_VALUE"""),133.0)</f>
        <v>133</v>
      </c>
      <c r="Y1066" s="2"/>
      <c r="Z1066" s="2"/>
    </row>
    <row r="1067">
      <c r="A1067" s="1">
        <f>IFERROR(__xludf.DUMMYFUNCTION("""COMPUTED_VALUE"""),1066.0)</f>
        <v>1066</v>
      </c>
      <c r="B1067" s="7" t="str">
        <f>IFERROR(__xludf.DUMMYFUNCTION("""COMPUTED_VALUE"""),"7185")</f>
        <v>7185</v>
      </c>
      <c r="C1067" s="8" t="str">
        <f>IFERROR(__xludf.DUMMYFUNCTION("""COMPUTED_VALUE"""),"Aan")</f>
        <v>Aan</v>
      </c>
      <c r="D1067" s="2" t="str">
        <f>IFERROR(__xludf.DUMMYFUNCTION("""COMPUTED_VALUE"""),"5KM MASTER M")</f>
        <v>5KM MASTER M</v>
      </c>
      <c r="E1067" s="1">
        <f>IFERROR(__xludf.DUMMYFUNCTION("""COMPUTED_VALUE"""),2.0)</f>
        <v>2</v>
      </c>
      <c r="F1067" s="1" t="str">
        <f>IFERROR(__xludf.DUMMYFUNCTION("""COMPUTED_VALUE"""),"Male")</f>
        <v>Male</v>
      </c>
      <c r="G1067" s="4" t="b">
        <f>IFERROR(__xludf.DUMMYFUNCTION("""COMPUTED_VALUE"""),TRUE)</f>
        <v>1</v>
      </c>
      <c r="H1067" s="4" t="b">
        <f>IFERROR(__xludf.DUMMYFUNCTION("""COMPUTED_VALUE"""),TRUE)</f>
        <v>1</v>
      </c>
      <c r="I1067" s="4">
        <f>IFERROR(__xludf.DUMMYFUNCTION("""COMPUTED_VALUE"""),0.2549440625)</f>
        <v>0.2549440625</v>
      </c>
      <c r="J1067" s="4">
        <f>IFERROR(__xludf.DUMMYFUNCTION("""COMPUTED_VALUE"""),45949.27258572668)</f>
        <v>45949.27259</v>
      </c>
      <c r="K1067" s="4" t="str">
        <f>IFERROR(__xludf.DUMMYFUNCTION("""COMPUTED_VALUE"""),"")</f>
        <v/>
      </c>
      <c r="L1067" s="4">
        <f>IFERROR(__xludf.DUMMYFUNCTION("""COMPUTED_VALUE"""),45949.28741475202)</f>
        <v>45949.28741</v>
      </c>
      <c r="M1067" s="1" t="str">
        <f>IFERROR(__xludf.DUMMYFUNCTION("""COMPUTED_VALUE"""),"RFID")</f>
        <v>RFID</v>
      </c>
      <c r="N1067" s="5">
        <f>IFERROR(__xludf.DUMMYFUNCTION("""COMPUTED_VALUE"""),0.007056666666666667)</f>
        <v>0.007056666667</v>
      </c>
      <c r="O1067" s="5" t="str">
        <f>IFERROR(__xludf.DUMMYFUNCTION("""COMPUTED_VALUE"""),"")</f>
        <v/>
      </c>
      <c r="P1067" s="5" t="str">
        <f>IFERROR(__xludf.DUMMYFUNCTION("""COMPUTED_VALUE"""),"")</f>
        <v/>
      </c>
      <c r="Q1067" s="5">
        <f>IFERROR(__xludf.DUMMYFUNCTION("""COMPUTED_VALUE"""),0.006494138888888888)</f>
        <v>0.006494138889</v>
      </c>
      <c r="R1067" s="4">
        <f>IFERROR(__xludf.DUMMYFUNCTION("""COMPUTED_VALUE"""),45949.03247068952)</f>
        <v>45949.03247</v>
      </c>
      <c r="S1067" s="1" t="b">
        <f>IFERROR(__xludf.DUMMYFUNCTION("""COMPUTED_VALUE"""),TRUE)</f>
        <v>1</v>
      </c>
      <c r="T1067" s="1" t="b">
        <f>IFERROR(__xludf.DUMMYFUNCTION("""COMPUTED_VALUE"""),FALSE)</f>
        <v>0</v>
      </c>
      <c r="U1067" s="1" t="str">
        <f>IFERROR(__xludf.DUMMYFUNCTION("""COMPUTED_VALUE"""),"VALID")</f>
        <v>VALID</v>
      </c>
      <c r="V1067" s="1">
        <f>IFERROR(__xludf.DUMMYFUNCTION("""COMPUTED_VALUE"""),64.0)</f>
        <v>64</v>
      </c>
      <c r="W1067" s="1">
        <f>IFERROR(__xludf.DUMMYFUNCTION("""COMPUTED_VALUE"""),730.0)</f>
        <v>730</v>
      </c>
      <c r="X1067" s="1">
        <f>IFERROR(__xludf.DUMMYFUNCTION("""COMPUTED_VALUE"""),610.0)</f>
        <v>610</v>
      </c>
      <c r="Y1067" s="2"/>
      <c r="Z1067" s="2"/>
    </row>
    <row r="1068">
      <c r="A1068" s="1">
        <f>IFERROR(__xludf.DUMMYFUNCTION("""COMPUTED_VALUE"""),1067.0)</f>
        <v>1067</v>
      </c>
      <c r="B1068" s="1">
        <f>IFERROR(__xludf.DUMMYFUNCTION("""COMPUTED_VALUE"""),5004.0)</f>
        <v>5004</v>
      </c>
      <c r="C1068" s="2" t="str">
        <f>IFERROR(__xludf.DUMMYFUNCTION("""COMPUTED_VALUE"""),"Ridha")</f>
        <v>Ridha</v>
      </c>
      <c r="D1068" s="2" t="str">
        <f>IFERROR(__xludf.DUMMYFUNCTION("""COMPUTED_VALUE"""),"5KM OVERALL F")</f>
        <v>5KM OVERALL F</v>
      </c>
      <c r="E1068" s="1">
        <f>IFERROR(__xludf.DUMMYFUNCTION("""COMPUTED_VALUE"""),2.0)</f>
        <v>2</v>
      </c>
      <c r="F1068" s="1" t="str">
        <f>IFERROR(__xludf.DUMMYFUNCTION("""COMPUTED_VALUE"""),"Female")</f>
        <v>Female</v>
      </c>
      <c r="G1068" s="4" t="b">
        <f>IFERROR(__xludf.DUMMYFUNCTION("""COMPUTED_VALUE"""),TRUE)</f>
        <v>1</v>
      </c>
      <c r="H1068" s="4" t="b">
        <f>IFERROR(__xludf.DUMMYFUNCTION("""COMPUTED_VALUE"""),TRUE)</f>
        <v>1</v>
      </c>
      <c r="I1068" s="4">
        <f>IFERROR(__xludf.DUMMYFUNCTION("""COMPUTED_VALUE"""),0.2549440625)</f>
        <v>0.2549440625</v>
      </c>
      <c r="J1068" s="4">
        <f>IFERROR(__xludf.DUMMYFUNCTION("""COMPUTED_VALUE"""),45949.26987737567)</f>
        <v>45949.26988</v>
      </c>
      <c r="K1068" s="4" t="str">
        <f>IFERROR(__xludf.DUMMYFUNCTION("""COMPUTED_VALUE"""),"")</f>
        <v/>
      </c>
      <c r="L1068" s="4">
        <f>IFERROR(__xludf.DUMMYFUNCTION("""COMPUTED_VALUE"""),45949.28180711296)</f>
        <v>45949.28181</v>
      </c>
      <c r="M1068" s="1" t="str">
        <f>IFERROR(__xludf.DUMMYFUNCTION("""COMPUTED_VALUE"""),"RFID")</f>
        <v>RFID</v>
      </c>
      <c r="N1068" s="5">
        <f>IFERROR(__xludf.DUMMYFUNCTION("""COMPUTED_VALUE"""),0.0059733240740740745)</f>
        <v>0.005973324074</v>
      </c>
      <c r="O1068" s="5" t="str">
        <f>IFERROR(__xludf.DUMMYFUNCTION("""COMPUTED_VALUE"""),"")</f>
        <v/>
      </c>
      <c r="P1068" s="5" t="str">
        <f>IFERROR(__xludf.DUMMYFUNCTION("""COMPUTED_VALUE"""),"")</f>
        <v/>
      </c>
      <c r="Q1068" s="5">
        <f>IFERROR(__xludf.DUMMYFUNCTION("""COMPUTED_VALUE"""),0.005372611111111111)</f>
        <v>0.005372611111</v>
      </c>
      <c r="R1068" s="4">
        <f>IFERROR(__xludf.DUMMYFUNCTION("""COMPUTED_VALUE"""),45949.02686305046)</f>
        <v>45949.02686</v>
      </c>
      <c r="S1068" s="1" t="b">
        <f>IFERROR(__xludf.DUMMYFUNCTION("""COMPUTED_VALUE"""),TRUE)</f>
        <v>1</v>
      </c>
      <c r="T1068" s="1" t="b">
        <f>IFERROR(__xludf.DUMMYFUNCTION("""COMPUTED_VALUE"""),FALSE)</f>
        <v>0</v>
      </c>
      <c r="U1068" s="1" t="str">
        <f>IFERROR(__xludf.DUMMYFUNCTION("""COMPUTED_VALUE"""),"VALID")</f>
        <v>VALID</v>
      </c>
      <c r="V1068" s="1">
        <f>IFERROR(__xludf.DUMMYFUNCTION("""COMPUTED_VALUE"""),37.0)</f>
        <v>37</v>
      </c>
      <c r="W1068" s="1">
        <f>IFERROR(__xludf.DUMMYFUNCTION("""COMPUTED_VALUE"""),378.0)</f>
        <v>378</v>
      </c>
      <c r="X1068" s="1">
        <f>IFERROR(__xludf.DUMMYFUNCTION("""COMPUTED_VALUE"""),56.0)</f>
        <v>56</v>
      </c>
      <c r="Y1068" s="2"/>
      <c r="Z1068" s="2"/>
    </row>
    <row r="1069">
      <c r="A1069" s="1">
        <f>IFERROR(__xludf.DUMMYFUNCTION("""COMPUTED_VALUE"""),1068.0)</f>
        <v>1068</v>
      </c>
      <c r="B1069" s="1">
        <f>IFERROR(__xludf.DUMMYFUNCTION("""COMPUTED_VALUE"""),5005.0)</f>
        <v>5005</v>
      </c>
      <c r="C1069" s="2" t="str">
        <f>IFERROR(__xludf.DUMMYFUNCTION("""COMPUTED_VALUE"""),"Mirza")</f>
        <v>Mirza</v>
      </c>
      <c r="D1069" s="2" t="str">
        <f>IFERROR(__xludf.DUMMYFUNCTION("""COMPUTED_VALUE"""),"5KM OVERALL F")</f>
        <v>5KM OVERALL F</v>
      </c>
      <c r="E1069" s="1">
        <f>IFERROR(__xludf.DUMMYFUNCTION("""COMPUTED_VALUE"""),2.0)</f>
        <v>2</v>
      </c>
      <c r="F1069" s="1" t="str">
        <f>IFERROR(__xludf.DUMMYFUNCTION("""COMPUTED_VALUE"""),"Female")</f>
        <v>Female</v>
      </c>
      <c r="G1069" s="4" t="str">
        <f>IFERROR(__xludf.DUMMYFUNCTION("""COMPUTED_VALUE"""),"")</f>
        <v/>
      </c>
      <c r="H1069" s="4" t="b">
        <f>IFERROR(__xludf.DUMMYFUNCTION("""COMPUTED_VALUE"""),FALSE)</f>
        <v>0</v>
      </c>
      <c r="I1069" s="4">
        <f>IFERROR(__xludf.DUMMYFUNCTION("""COMPUTED_VALUE"""),0.2549440625)</f>
        <v>0.2549440625</v>
      </c>
      <c r="J1069" s="4" t="str">
        <f>IFERROR(__xludf.DUMMYFUNCTION("""COMPUTED_VALUE"""),"")</f>
        <v/>
      </c>
      <c r="K1069" s="4" t="str">
        <f>IFERROR(__xludf.DUMMYFUNCTION("""COMPUTED_VALUE"""),"")</f>
        <v/>
      </c>
      <c r="L1069" s="4" t="str">
        <f>IFERROR(__xludf.DUMMYFUNCTION("""COMPUTED_VALUE"""),"")</f>
        <v/>
      </c>
      <c r="M1069" s="1" t="str">
        <f>IFERROR(__xludf.DUMMYFUNCTION("""COMPUTED_VALUE"""),"RFID")</f>
        <v>RFID</v>
      </c>
      <c r="N1069" s="5" t="str">
        <f>IFERROR(__xludf.DUMMYFUNCTION("""COMPUTED_VALUE"""),"")</f>
        <v/>
      </c>
      <c r="O1069" s="5" t="str">
        <f>IFERROR(__xludf.DUMMYFUNCTION("""COMPUTED_VALUE"""),"")</f>
        <v/>
      </c>
      <c r="P1069" s="5" t="str">
        <f>IFERROR(__xludf.DUMMYFUNCTION("""COMPUTED_VALUE"""),"")</f>
        <v/>
      </c>
      <c r="Q1069" s="5" t="str">
        <f>IFERROR(__xludf.DUMMYFUNCTION("""COMPUTED_VALUE"""),"")</f>
        <v/>
      </c>
      <c r="R1069" s="4" t="str">
        <f>IFERROR(__xludf.DUMMYFUNCTION("""COMPUTED_VALUE"""),"")</f>
        <v/>
      </c>
      <c r="S1069" s="1" t="b">
        <f>IFERROR(__xludf.DUMMYFUNCTION("""COMPUTED_VALUE"""),FALSE)</f>
        <v>0</v>
      </c>
      <c r="T1069" s="1" t="b">
        <f>IFERROR(__xludf.DUMMYFUNCTION("""COMPUTED_VALUE"""),FALSE)</f>
        <v>0</v>
      </c>
      <c r="U1069" s="1" t="str">
        <f>IFERROR(__xludf.DUMMYFUNCTION("""COMPUTED_VALUE"""),"DSQ")</f>
        <v>DSQ</v>
      </c>
      <c r="V1069" s="1" t="str">
        <f>IFERROR(__xludf.DUMMYFUNCTION("""COMPUTED_VALUE"""),"DSQ")</f>
        <v>DSQ</v>
      </c>
      <c r="W1069" s="1" t="str">
        <f>IFERROR(__xludf.DUMMYFUNCTION("""COMPUTED_VALUE"""),"DSQ")</f>
        <v>DSQ</v>
      </c>
      <c r="X1069" s="1" t="str">
        <f>IFERROR(__xludf.DUMMYFUNCTION("""COMPUTED_VALUE"""),"DSQ")</f>
        <v>DSQ</v>
      </c>
      <c r="Y1069" s="2"/>
      <c r="Z1069" s="2" t="str">
        <f>IFERROR(__xludf.DUMMYFUNCTION("""COMPUTED_VALUE"""),"")</f>
        <v/>
      </c>
    </row>
    <row r="1070">
      <c r="A1070" s="1">
        <f>IFERROR(__xludf.DUMMYFUNCTION("""COMPUTED_VALUE"""),1069.0)</f>
        <v>1069</v>
      </c>
      <c r="B1070" s="1">
        <f>IFERROR(__xludf.DUMMYFUNCTION("""COMPUTED_VALUE"""),5007.0)</f>
        <v>5007</v>
      </c>
      <c r="C1070" s="2" t="str">
        <f>IFERROR(__xludf.DUMMYFUNCTION("""COMPUTED_VALUE"""),"bella")</f>
        <v>bella</v>
      </c>
      <c r="D1070" s="2" t="str">
        <f>IFERROR(__xludf.DUMMYFUNCTION("""COMPUTED_VALUE"""),"5KM OVERALL F")</f>
        <v>5KM OVERALL F</v>
      </c>
      <c r="E1070" s="1">
        <f>IFERROR(__xludf.DUMMYFUNCTION("""COMPUTED_VALUE"""),2.0)</f>
        <v>2</v>
      </c>
      <c r="F1070" s="1" t="str">
        <f>IFERROR(__xludf.DUMMYFUNCTION("""COMPUTED_VALUE"""),"Female")</f>
        <v>Female</v>
      </c>
      <c r="G1070" s="4" t="str">
        <f>IFERROR(__xludf.DUMMYFUNCTION("""COMPUTED_VALUE"""),"")</f>
        <v/>
      </c>
      <c r="H1070" s="4" t="b">
        <f>IFERROR(__xludf.DUMMYFUNCTION("""COMPUTED_VALUE"""),FALSE)</f>
        <v>0</v>
      </c>
      <c r="I1070" s="4">
        <f>IFERROR(__xludf.DUMMYFUNCTION("""COMPUTED_VALUE"""),0.2549440625)</f>
        <v>0.2549440625</v>
      </c>
      <c r="J1070" s="4" t="str">
        <f>IFERROR(__xludf.DUMMYFUNCTION("""COMPUTED_VALUE"""),"")</f>
        <v/>
      </c>
      <c r="K1070" s="4" t="str">
        <f>IFERROR(__xludf.DUMMYFUNCTION("""COMPUTED_VALUE"""),"")</f>
        <v/>
      </c>
      <c r="L1070" s="4" t="str">
        <f>IFERROR(__xludf.DUMMYFUNCTION("""COMPUTED_VALUE"""),"")</f>
        <v/>
      </c>
      <c r="M1070" s="1" t="str">
        <f>IFERROR(__xludf.DUMMYFUNCTION("""COMPUTED_VALUE"""),"RFID")</f>
        <v>RFID</v>
      </c>
      <c r="N1070" s="5" t="str">
        <f>IFERROR(__xludf.DUMMYFUNCTION("""COMPUTED_VALUE"""),"")</f>
        <v/>
      </c>
      <c r="O1070" s="5" t="str">
        <f>IFERROR(__xludf.DUMMYFUNCTION("""COMPUTED_VALUE"""),"")</f>
        <v/>
      </c>
      <c r="P1070" s="5" t="str">
        <f>IFERROR(__xludf.DUMMYFUNCTION("""COMPUTED_VALUE"""),"")</f>
        <v/>
      </c>
      <c r="Q1070" s="5" t="str">
        <f>IFERROR(__xludf.DUMMYFUNCTION("""COMPUTED_VALUE"""),"")</f>
        <v/>
      </c>
      <c r="R1070" s="4" t="str">
        <f>IFERROR(__xludf.DUMMYFUNCTION("""COMPUTED_VALUE"""),"")</f>
        <v/>
      </c>
      <c r="S1070" s="1" t="b">
        <f>IFERROR(__xludf.DUMMYFUNCTION("""COMPUTED_VALUE"""),FALSE)</f>
        <v>0</v>
      </c>
      <c r="T1070" s="1" t="b">
        <f>IFERROR(__xludf.DUMMYFUNCTION("""COMPUTED_VALUE"""),FALSE)</f>
        <v>0</v>
      </c>
      <c r="U1070" s="1" t="str">
        <f>IFERROR(__xludf.DUMMYFUNCTION("""COMPUTED_VALUE"""),"DSQ")</f>
        <v>DSQ</v>
      </c>
      <c r="V1070" s="1" t="str">
        <f>IFERROR(__xludf.DUMMYFUNCTION("""COMPUTED_VALUE"""),"DSQ")</f>
        <v>DSQ</v>
      </c>
      <c r="W1070" s="1" t="str">
        <f>IFERROR(__xludf.DUMMYFUNCTION("""COMPUTED_VALUE"""),"DSQ")</f>
        <v>DSQ</v>
      </c>
      <c r="X1070" s="1" t="str">
        <f>IFERROR(__xludf.DUMMYFUNCTION("""COMPUTED_VALUE"""),"DSQ")</f>
        <v>DSQ</v>
      </c>
      <c r="Y1070" s="2"/>
      <c r="Z1070" s="2" t="str">
        <f>IFERROR(__xludf.DUMMYFUNCTION("""COMPUTED_VALUE"""),"")</f>
        <v/>
      </c>
    </row>
    <row r="1071">
      <c r="A1071" s="1">
        <f>IFERROR(__xludf.DUMMYFUNCTION("""COMPUTED_VALUE"""),1070.0)</f>
        <v>1070</v>
      </c>
      <c r="B1071" s="1">
        <f>IFERROR(__xludf.DUMMYFUNCTION("""COMPUTED_VALUE"""),5008.0)</f>
        <v>5008</v>
      </c>
      <c r="C1071" s="2" t="str">
        <f>IFERROR(__xludf.DUMMYFUNCTION("""COMPUTED_VALUE"""),"Septeria")</f>
        <v>Septeria</v>
      </c>
      <c r="D1071" s="2" t="str">
        <f>IFERROR(__xludf.DUMMYFUNCTION("""COMPUTED_VALUE"""),"5KM OVERALL F")</f>
        <v>5KM OVERALL F</v>
      </c>
      <c r="E1071" s="1">
        <f>IFERROR(__xludf.DUMMYFUNCTION("""COMPUTED_VALUE"""),2.0)</f>
        <v>2</v>
      </c>
      <c r="F1071" s="1" t="str">
        <f>IFERROR(__xludf.DUMMYFUNCTION("""COMPUTED_VALUE"""),"Female")</f>
        <v>Female</v>
      </c>
      <c r="G1071" s="4" t="b">
        <f>IFERROR(__xludf.DUMMYFUNCTION("""COMPUTED_VALUE"""),TRUE)</f>
        <v>1</v>
      </c>
      <c r="H1071" s="4" t="b">
        <f>IFERROR(__xludf.DUMMYFUNCTION("""COMPUTED_VALUE"""),TRUE)</f>
        <v>1</v>
      </c>
      <c r="I1071" s="4">
        <f>IFERROR(__xludf.DUMMYFUNCTION("""COMPUTED_VALUE"""),0.2549440625)</f>
        <v>0.2549440625</v>
      </c>
      <c r="J1071" s="4">
        <f>IFERROR(__xludf.DUMMYFUNCTION("""COMPUTED_VALUE"""),45949.27682877619)</f>
        <v>45949.27683</v>
      </c>
      <c r="K1071" s="4" t="str">
        <f>IFERROR(__xludf.DUMMYFUNCTION("""COMPUTED_VALUE"""),"")</f>
        <v/>
      </c>
      <c r="L1071" s="4">
        <f>IFERROR(__xludf.DUMMYFUNCTION("""COMPUTED_VALUE"""),45949.29199808972)</f>
        <v>45949.292</v>
      </c>
      <c r="M1071" s="1" t="str">
        <f>IFERROR(__xludf.DUMMYFUNCTION("""COMPUTED_VALUE"""),"RFID")</f>
        <v>RFID</v>
      </c>
      <c r="N1071" s="5">
        <f>IFERROR(__xludf.DUMMYFUNCTION("""COMPUTED_VALUE"""),0.00875388425925926)</f>
        <v>0.008753884259</v>
      </c>
      <c r="O1071" s="5" t="str">
        <f>IFERROR(__xludf.DUMMYFUNCTION("""COMPUTED_VALUE"""),"")</f>
        <v/>
      </c>
      <c r="P1071" s="5" t="str">
        <f>IFERROR(__xludf.DUMMYFUNCTION("""COMPUTED_VALUE"""),"")</f>
        <v/>
      </c>
      <c r="Q1071" s="5">
        <f>IFERROR(__xludf.DUMMYFUNCTION("""COMPUTED_VALUE"""),0.007410805555555555)</f>
        <v>0.007410805556</v>
      </c>
      <c r="R1071" s="4">
        <f>IFERROR(__xludf.DUMMYFUNCTION("""COMPUTED_VALUE"""),45949.03705402722)</f>
        <v>45949.03705</v>
      </c>
      <c r="S1071" s="1" t="b">
        <f>IFERROR(__xludf.DUMMYFUNCTION("""COMPUTED_VALUE"""),TRUE)</f>
        <v>1</v>
      </c>
      <c r="T1071" s="1" t="b">
        <f>IFERROR(__xludf.DUMMYFUNCTION("""COMPUTED_VALUE"""),FALSE)</f>
        <v>0</v>
      </c>
      <c r="U1071" s="1" t="str">
        <f>IFERROR(__xludf.DUMMYFUNCTION("""COMPUTED_VALUE"""),"VALID")</f>
        <v>VALID</v>
      </c>
      <c r="V1071" s="1">
        <f>IFERROR(__xludf.DUMMYFUNCTION("""COMPUTED_VALUE"""),221.0)</f>
        <v>221</v>
      </c>
      <c r="W1071" s="1">
        <f>IFERROR(__xludf.DUMMYFUNCTION("""COMPUTED_VALUE"""),1033.0)</f>
        <v>1033</v>
      </c>
      <c r="X1071" s="1">
        <f>IFERROR(__xludf.DUMMYFUNCTION("""COMPUTED_VALUE"""),273.0)</f>
        <v>273</v>
      </c>
      <c r="Y1071" s="2"/>
      <c r="Z1071" s="2"/>
    </row>
    <row r="1072">
      <c r="A1072" s="1">
        <f>IFERROR(__xludf.DUMMYFUNCTION("""COMPUTED_VALUE"""),1071.0)</f>
        <v>1071</v>
      </c>
      <c r="B1072" s="1">
        <f>IFERROR(__xludf.DUMMYFUNCTION("""COMPUTED_VALUE"""),5014.0)</f>
        <v>5014</v>
      </c>
      <c r="C1072" s="2" t="str">
        <f>IFERROR(__xludf.DUMMYFUNCTION("""COMPUTED_VALUE"""),"Onietha")</f>
        <v>Onietha</v>
      </c>
      <c r="D1072" s="2" t="str">
        <f>IFERROR(__xludf.DUMMYFUNCTION("""COMPUTED_VALUE"""),"5KM OVERALL F")</f>
        <v>5KM OVERALL F</v>
      </c>
      <c r="E1072" s="1">
        <f>IFERROR(__xludf.DUMMYFUNCTION("""COMPUTED_VALUE"""),2.0)</f>
        <v>2</v>
      </c>
      <c r="F1072" s="1" t="str">
        <f>IFERROR(__xludf.DUMMYFUNCTION("""COMPUTED_VALUE"""),"Female")</f>
        <v>Female</v>
      </c>
      <c r="G1072" s="4" t="b">
        <f>IFERROR(__xludf.DUMMYFUNCTION("""COMPUTED_VALUE"""),TRUE)</f>
        <v>1</v>
      </c>
      <c r="H1072" s="4" t="b">
        <f>IFERROR(__xludf.DUMMYFUNCTION("""COMPUTED_VALUE"""),FALSE)</f>
        <v>0</v>
      </c>
      <c r="I1072" s="4">
        <f>IFERROR(__xludf.DUMMYFUNCTION("""COMPUTED_VALUE"""),0.2549440625)</f>
        <v>0.2549440625</v>
      </c>
      <c r="J1072" s="4">
        <f>IFERROR(__xludf.DUMMYFUNCTION("""COMPUTED_VALUE"""),45949.27456489588)</f>
        <v>45949.27456</v>
      </c>
      <c r="K1072" s="4" t="str">
        <f>IFERROR(__xludf.DUMMYFUNCTION("""COMPUTED_VALUE"""),"")</f>
        <v/>
      </c>
      <c r="L1072" s="4">
        <f>IFERROR(__xludf.DUMMYFUNCTION("""COMPUTED_VALUE"""),45949.288341838124)</f>
        <v>45949.28834</v>
      </c>
      <c r="M1072" s="1" t="str">
        <f>IFERROR(__xludf.DUMMYFUNCTION("""COMPUTED_VALUE"""),"RFID")</f>
        <v>RFID</v>
      </c>
      <c r="N1072" s="5">
        <f>IFERROR(__xludf.DUMMYFUNCTION("""COMPUTED_VALUE"""),0.007848333333333334)</f>
        <v>0.007848333333</v>
      </c>
      <c r="O1072" s="5" t="str">
        <f>IFERROR(__xludf.DUMMYFUNCTION("""COMPUTED_VALUE"""),"")</f>
        <v/>
      </c>
      <c r="P1072" s="5" t="str">
        <f>IFERROR(__xludf.DUMMYFUNCTION("""COMPUTED_VALUE"""),"")</f>
        <v/>
      </c>
      <c r="Q1072" s="5">
        <f>IFERROR(__xludf.DUMMYFUNCTION("""COMPUTED_VALUE"""),0.006679555555555557)</f>
        <v>0.006679555556</v>
      </c>
      <c r="R1072" s="4">
        <f>IFERROR(__xludf.DUMMYFUNCTION("""COMPUTED_VALUE"""),45949.03339777562)</f>
        <v>45949.0334</v>
      </c>
      <c r="S1072" s="1" t="b">
        <f>IFERROR(__xludf.DUMMYFUNCTION("""COMPUTED_VALUE"""),TRUE)</f>
        <v>1</v>
      </c>
      <c r="T1072" s="1" t="b">
        <f>IFERROR(__xludf.DUMMYFUNCTION("""COMPUTED_VALUE"""),FALSE)</f>
        <v>0</v>
      </c>
      <c r="U1072" s="1" t="str">
        <f>IFERROR(__xludf.DUMMYFUNCTION("""COMPUTED_VALUE"""),"VALID")</f>
        <v>VALID</v>
      </c>
      <c r="V1072" s="1">
        <f>IFERROR(__xludf.DUMMYFUNCTION("""COMPUTED_VALUE"""),134.0)</f>
        <v>134</v>
      </c>
      <c r="W1072" s="1">
        <f>IFERROR(__xludf.DUMMYFUNCTION("""COMPUTED_VALUE"""),799.0)</f>
        <v>799</v>
      </c>
      <c r="X1072" s="1">
        <f>IFERROR(__xludf.DUMMYFUNCTION("""COMPUTED_VALUE"""),168.0)</f>
        <v>168</v>
      </c>
      <c r="Y1072" s="2"/>
      <c r="Z1072" s="2"/>
    </row>
    <row r="1073">
      <c r="A1073" s="1">
        <f>IFERROR(__xludf.DUMMYFUNCTION("""COMPUTED_VALUE"""),1072.0)</f>
        <v>1072</v>
      </c>
      <c r="B1073" s="1">
        <f>IFERROR(__xludf.DUMMYFUNCTION("""COMPUTED_VALUE"""),5015.0)</f>
        <v>5015</v>
      </c>
      <c r="C1073" s="2" t="str">
        <f>IFERROR(__xludf.DUMMYFUNCTION("""COMPUTED_VALUE"""),"sari")</f>
        <v>sari</v>
      </c>
      <c r="D1073" s="2" t="str">
        <f>IFERROR(__xludf.DUMMYFUNCTION("""COMPUTED_VALUE"""),"5KM OVERALL F")</f>
        <v>5KM OVERALL F</v>
      </c>
      <c r="E1073" s="1">
        <f>IFERROR(__xludf.DUMMYFUNCTION("""COMPUTED_VALUE"""),2.0)</f>
        <v>2</v>
      </c>
      <c r="F1073" s="1" t="str">
        <f>IFERROR(__xludf.DUMMYFUNCTION("""COMPUTED_VALUE"""),"Female")</f>
        <v>Female</v>
      </c>
      <c r="G1073" s="4" t="b">
        <f>IFERROR(__xludf.DUMMYFUNCTION("""COMPUTED_VALUE"""),TRUE)</f>
        <v>1</v>
      </c>
      <c r="H1073" s="4" t="b">
        <f>IFERROR(__xludf.DUMMYFUNCTION("""COMPUTED_VALUE"""),TRUE)</f>
        <v>1</v>
      </c>
      <c r="I1073" s="4">
        <f>IFERROR(__xludf.DUMMYFUNCTION("""COMPUTED_VALUE"""),0.2549440625)</f>
        <v>0.2549440625</v>
      </c>
      <c r="J1073" s="4">
        <f>IFERROR(__xludf.DUMMYFUNCTION("""COMPUTED_VALUE"""),45949.274210729745)</f>
        <v>45949.27421</v>
      </c>
      <c r="K1073" s="4" t="str">
        <f>IFERROR(__xludf.DUMMYFUNCTION("""COMPUTED_VALUE"""),"")</f>
        <v/>
      </c>
      <c r="L1073" s="4">
        <f>IFERROR(__xludf.DUMMYFUNCTION("""COMPUTED_VALUE"""),45949.28739741115)</f>
        <v>45949.2874</v>
      </c>
      <c r="M1073" s="1" t="str">
        <f>IFERROR(__xludf.DUMMYFUNCTION("""COMPUTED_VALUE"""),"RFID")</f>
        <v>RFID</v>
      </c>
      <c r="N1073" s="5">
        <f>IFERROR(__xludf.DUMMYFUNCTION("""COMPUTED_VALUE"""),0.007706666666666667)</f>
        <v>0.007706666667</v>
      </c>
      <c r="O1073" s="5" t="str">
        <f>IFERROR(__xludf.DUMMYFUNCTION("""COMPUTED_VALUE"""),"")</f>
        <v/>
      </c>
      <c r="P1073" s="5" t="str">
        <f>IFERROR(__xludf.DUMMYFUNCTION("""COMPUTED_VALUE"""),"")</f>
        <v/>
      </c>
      <c r="Q1073" s="5">
        <f>IFERROR(__xludf.DUMMYFUNCTION("""COMPUTED_VALUE"""),0.006490668981481482)</f>
        <v>0.006490668981</v>
      </c>
      <c r="R1073" s="4">
        <f>IFERROR(__xludf.DUMMYFUNCTION("""COMPUTED_VALUE"""),45949.03245334865)</f>
        <v>45949.03245</v>
      </c>
      <c r="S1073" s="1" t="b">
        <f>IFERROR(__xludf.DUMMYFUNCTION("""COMPUTED_VALUE"""),TRUE)</f>
        <v>1</v>
      </c>
      <c r="T1073" s="1" t="b">
        <f>IFERROR(__xludf.DUMMYFUNCTION("""COMPUTED_VALUE"""),FALSE)</f>
        <v>0</v>
      </c>
      <c r="U1073" s="1" t="str">
        <f>IFERROR(__xludf.DUMMYFUNCTION("""COMPUTED_VALUE"""),"VALID")</f>
        <v>VALID</v>
      </c>
      <c r="V1073" s="1">
        <f>IFERROR(__xludf.DUMMYFUNCTION("""COMPUTED_VALUE"""),114.0)</f>
        <v>114</v>
      </c>
      <c r="W1073" s="1">
        <f>IFERROR(__xludf.DUMMYFUNCTION("""COMPUTED_VALUE"""),728.0)</f>
        <v>728</v>
      </c>
      <c r="X1073" s="1">
        <f>IFERROR(__xludf.DUMMYFUNCTION("""COMPUTED_VALUE"""),143.0)</f>
        <v>143</v>
      </c>
      <c r="Y1073" s="2"/>
      <c r="Z1073" s="2"/>
    </row>
    <row r="1074">
      <c r="A1074" s="1">
        <f>IFERROR(__xludf.DUMMYFUNCTION("""COMPUTED_VALUE"""),1073.0)</f>
        <v>1073</v>
      </c>
      <c r="B1074" s="1">
        <f>IFERROR(__xludf.DUMMYFUNCTION("""COMPUTED_VALUE"""),5023.0)</f>
        <v>5023</v>
      </c>
      <c r="C1074" s="2" t="str">
        <f>IFERROR(__xludf.DUMMYFUNCTION("""COMPUTED_VALUE"""),"dini")</f>
        <v>dini</v>
      </c>
      <c r="D1074" s="2" t="str">
        <f>IFERROR(__xludf.DUMMYFUNCTION("""COMPUTED_VALUE"""),"5KM OVERALL F")</f>
        <v>5KM OVERALL F</v>
      </c>
      <c r="E1074" s="1">
        <f>IFERROR(__xludf.DUMMYFUNCTION("""COMPUTED_VALUE"""),2.0)</f>
        <v>2</v>
      </c>
      <c r="F1074" s="1" t="str">
        <f>IFERROR(__xludf.DUMMYFUNCTION("""COMPUTED_VALUE"""),"Female")</f>
        <v>Female</v>
      </c>
      <c r="G1074" s="4" t="b">
        <f>IFERROR(__xludf.DUMMYFUNCTION("""COMPUTED_VALUE"""),TRUE)</f>
        <v>1</v>
      </c>
      <c r="H1074" s="4" t="b">
        <f>IFERROR(__xludf.DUMMYFUNCTION("""COMPUTED_VALUE"""),TRUE)</f>
        <v>1</v>
      </c>
      <c r="I1074" s="4">
        <f>IFERROR(__xludf.DUMMYFUNCTION("""COMPUTED_VALUE"""),0.2549440625)</f>
        <v>0.2549440625</v>
      </c>
      <c r="J1074" s="4">
        <f>IFERROR(__xludf.DUMMYFUNCTION("""COMPUTED_VALUE"""),45949.28296765816)</f>
        <v>45949.28297</v>
      </c>
      <c r="K1074" s="4" t="str">
        <f>IFERROR(__xludf.DUMMYFUNCTION("""COMPUTED_VALUE"""),"")</f>
        <v/>
      </c>
      <c r="L1074" s="4">
        <f>IFERROR(__xludf.DUMMYFUNCTION("""COMPUTED_VALUE"""),45949.30513073341)</f>
        <v>45949.30513</v>
      </c>
      <c r="M1074" s="1" t="str">
        <f>IFERROR(__xludf.DUMMYFUNCTION("""COMPUTED_VALUE"""),"RFID")</f>
        <v>RFID</v>
      </c>
      <c r="N1074" s="5">
        <f>IFERROR(__xludf.DUMMYFUNCTION("""COMPUTED_VALUE"""),0.011209439814814814)</f>
        <v>0.01120943981</v>
      </c>
      <c r="O1074" s="5" t="str">
        <f>IFERROR(__xludf.DUMMYFUNCTION("""COMPUTED_VALUE"""),"")</f>
        <v/>
      </c>
      <c r="P1074" s="5" t="str">
        <f>IFERROR(__xludf.DUMMYFUNCTION("""COMPUTED_VALUE"""),"")</f>
        <v/>
      </c>
      <c r="Q1074" s="5">
        <f>IFERROR(__xludf.DUMMYFUNCTION("""COMPUTED_VALUE"""),0.010037333333333332)</f>
        <v>0.01003733333</v>
      </c>
      <c r="R1074" s="4">
        <f>IFERROR(__xludf.DUMMYFUNCTION("""COMPUTED_VALUE"""),45949.05018667091)</f>
        <v>45949.05019</v>
      </c>
      <c r="S1074" s="1" t="b">
        <f>IFERROR(__xludf.DUMMYFUNCTION("""COMPUTED_VALUE"""),TRUE)</f>
        <v>1</v>
      </c>
      <c r="T1074" s="1" t="b">
        <f>IFERROR(__xludf.DUMMYFUNCTION("""COMPUTED_VALUE"""),FALSE)</f>
        <v>0</v>
      </c>
      <c r="U1074" s="1" t="str">
        <f>IFERROR(__xludf.DUMMYFUNCTION("""COMPUTED_VALUE"""),"VALID")</f>
        <v>VALID</v>
      </c>
      <c r="V1074" s="1">
        <f>IFERROR(__xludf.DUMMYFUNCTION("""COMPUTED_VALUE"""),486.0)</f>
        <v>486</v>
      </c>
      <c r="W1074" s="1">
        <f>IFERROR(__xludf.DUMMYFUNCTION("""COMPUTED_VALUE"""),1574.0)</f>
        <v>1574</v>
      </c>
      <c r="X1074" s="1">
        <f>IFERROR(__xludf.DUMMYFUNCTION("""COMPUTED_VALUE"""),595.0)</f>
        <v>595</v>
      </c>
      <c r="Y1074" s="2"/>
      <c r="Z1074" s="2"/>
    </row>
    <row r="1075">
      <c r="A1075" s="1">
        <f>IFERROR(__xludf.DUMMYFUNCTION("""COMPUTED_VALUE"""),1074.0)</f>
        <v>1074</v>
      </c>
      <c r="B1075" s="1">
        <f>IFERROR(__xludf.DUMMYFUNCTION("""COMPUTED_VALUE"""),5024.0)</f>
        <v>5024</v>
      </c>
      <c r="C1075" s="2" t="str">
        <f>IFERROR(__xludf.DUMMYFUNCTION("""COMPUTED_VALUE"""),"RIMA K.")</f>
        <v>RIMA K.</v>
      </c>
      <c r="D1075" s="2" t="str">
        <f>IFERROR(__xludf.DUMMYFUNCTION("""COMPUTED_VALUE"""),"5KM OVERALL F")</f>
        <v>5KM OVERALL F</v>
      </c>
      <c r="E1075" s="1">
        <f>IFERROR(__xludf.DUMMYFUNCTION("""COMPUTED_VALUE"""),2.0)</f>
        <v>2</v>
      </c>
      <c r="F1075" s="1" t="str">
        <f>IFERROR(__xludf.DUMMYFUNCTION("""COMPUTED_VALUE"""),"Female")</f>
        <v>Female</v>
      </c>
      <c r="G1075" s="4" t="str">
        <f>IFERROR(__xludf.DUMMYFUNCTION("""COMPUTED_VALUE"""),"")</f>
        <v/>
      </c>
      <c r="H1075" s="4" t="b">
        <f>IFERROR(__xludf.DUMMYFUNCTION("""COMPUTED_VALUE"""),FALSE)</f>
        <v>0</v>
      </c>
      <c r="I1075" s="4">
        <f>IFERROR(__xludf.DUMMYFUNCTION("""COMPUTED_VALUE"""),0.2549440625)</f>
        <v>0.2549440625</v>
      </c>
      <c r="J1075" s="4" t="str">
        <f>IFERROR(__xludf.DUMMYFUNCTION("""COMPUTED_VALUE"""),"")</f>
        <v/>
      </c>
      <c r="K1075" s="4" t="str">
        <f>IFERROR(__xludf.DUMMYFUNCTION("""COMPUTED_VALUE"""),"")</f>
        <v/>
      </c>
      <c r="L1075" s="4" t="str">
        <f>IFERROR(__xludf.DUMMYFUNCTION("""COMPUTED_VALUE"""),"")</f>
        <v/>
      </c>
      <c r="M1075" s="1" t="str">
        <f>IFERROR(__xludf.DUMMYFUNCTION("""COMPUTED_VALUE"""),"RFID")</f>
        <v>RFID</v>
      </c>
      <c r="N1075" s="5" t="str">
        <f>IFERROR(__xludf.DUMMYFUNCTION("""COMPUTED_VALUE"""),"")</f>
        <v/>
      </c>
      <c r="O1075" s="5" t="str">
        <f>IFERROR(__xludf.DUMMYFUNCTION("""COMPUTED_VALUE"""),"")</f>
        <v/>
      </c>
      <c r="P1075" s="5" t="str">
        <f>IFERROR(__xludf.DUMMYFUNCTION("""COMPUTED_VALUE"""),"")</f>
        <v/>
      </c>
      <c r="Q1075" s="5" t="str">
        <f>IFERROR(__xludf.DUMMYFUNCTION("""COMPUTED_VALUE"""),"")</f>
        <v/>
      </c>
      <c r="R1075" s="4" t="str">
        <f>IFERROR(__xludf.DUMMYFUNCTION("""COMPUTED_VALUE"""),"")</f>
        <v/>
      </c>
      <c r="S1075" s="1" t="b">
        <f>IFERROR(__xludf.DUMMYFUNCTION("""COMPUTED_VALUE"""),FALSE)</f>
        <v>0</v>
      </c>
      <c r="T1075" s="1" t="b">
        <f>IFERROR(__xludf.DUMMYFUNCTION("""COMPUTED_VALUE"""),FALSE)</f>
        <v>0</v>
      </c>
      <c r="U1075" s="1" t="str">
        <f>IFERROR(__xludf.DUMMYFUNCTION("""COMPUTED_VALUE"""),"DSQ")</f>
        <v>DSQ</v>
      </c>
      <c r="V1075" s="1" t="str">
        <f>IFERROR(__xludf.DUMMYFUNCTION("""COMPUTED_VALUE"""),"DSQ")</f>
        <v>DSQ</v>
      </c>
      <c r="W1075" s="1" t="str">
        <f>IFERROR(__xludf.DUMMYFUNCTION("""COMPUTED_VALUE"""),"DSQ")</f>
        <v>DSQ</v>
      </c>
      <c r="X1075" s="1" t="str">
        <f>IFERROR(__xludf.DUMMYFUNCTION("""COMPUTED_VALUE"""),"DSQ")</f>
        <v>DSQ</v>
      </c>
      <c r="Y1075" s="2"/>
      <c r="Z1075" s="2" t="str">
        <f>IFERROR(__xludf.DUMMYFUNCTION("""COMPUTED_VALUE"""),"")</f>
        <v/>
      </c>
    </row>
    <row r="1076">
      <c r="A1076" s="1">
        <f>IFERROR(__xludf.DUMMYFUNCTION("""COMPUTED_VALUE"""),1075.0)</f>
        <v>1075</v>
      </c>
      <c r="B1076" s="1">
        <f>IFERROR(__xludf.DUMMYFUNCTION("""COMPUTED_VALUE"""),5025.0)</f>
        <v>5025</v>
      </c>
      <c r="C1076" s="2" t="str">
        <f>IFERROR(__xludf.DUMMYFUNCTION("""COMPUTED_VALUE"""),"Fita")</f>
        <v>Fita</v>
      </c>
      <c r="D1076" s="2" t="str">
        <f>IFERROR(__xludf.DUMMYFUNCTION("""COMPUTED_VALUE"""),"5KM OVERALL F")</f>
        <v>5KM OVERALL F</v>
      </c>
      <c r="E1076" s="1">
        <f>IFERROR(__xludf.DUMMYFUNCTION("""COMPUTED_VALUE"""),2.0)</f>
        <v>2</v>
      </c>
      <c r="F1076" s="1" t="str">
        <f>IFERROR(__xludf.DUMMYFUNCTION("""COMPUTED_VALUE"""),"Female")</f>
        <v>Female</v>
      </c>
      <c r="G1076" s="4" t="b">
        <f>IFERROR(__xludf.DUMMYFUNCTION("""COMPUTED_VALUE"""),TRUE)</f>
        <v>1</v>
      </c>
      <c r="H1076" s="4" t="b">
        <f>IFERROR(__xludf.DUMMYFUNCTION("""COMPUTED_VALUE"""),FALSE)</f>
        <v>0</v>
      </c>
      <c r="I1076" s="4">
        <f>IFERROR(__xludf.DUMMYFUNCTION("""COMPUTED_VALUE"""),0.2549440625)</f>
        <v>0.2549440625</v>
      </c>
      <c r="J1076" s="4">
        <f>IFERROR(__xludf.DUMMYFUNCTION("""COMPUTED_VALUE"""),45949.27536356498)</f>
        <v>45949.27536</v>
      </c>
      <c r="K1076" s="4" t="str">
        <f>IFERROR(__xludf.DUMMYFUNCTION("""COMPUTED_VALUE"""),"")</f>
        <v/>
      </c>
      <c r="L1076" s="4">
        <f>IFERROR(__xludf.DUMMYFUNCTION("""COMPUTED_VALUE"""),45949.2897515659)</f>
        <v>45949.28975</v>
      </c>
      <c r="M1076" s="1" t="str">
        <f>IFERROR(__xludf.DUMMYFUNCTION("""COMPUTED_VALUE"""),"RFID")</f>
        <v>RFID</v>
      </c>
      <c r="N1076" s="5">
        <f>IFERROR(__xludf.DUMMYFUNCTION("""COMPUTED_VALUE"""),0.008167800925925926)</f>
        <v>0.008167800926</v>
      </c>
      <c r="O1076" s="5" t="str">
        <f>IFERROR(__xludf.DUMMYFUNCTION("""COMPUTED_VALUE"""),"")</f>
        <v/>
      </c>
      <c r="P1076" s="5" t="str">
        <f>IFERROR(__xludf.DUMMYFUNCTION("""COMPUTED_VALUE"""),"")</f>
        <v/>
      </c>
      <c r="Q1076" s="5">
        <f>IFERROR(__xludf.DUMMYFUNCTION("""COMPUTED_VALUE"""),0.0069615)</f>
        <v>0.0069615</v>
      </c>
      <c r="R1076" s="4">
        <f>IFERROR(__xludf.DUMMYFUNCTION("""COMPUTED_VALUE"""),45949.0348075034)</f>
        <v>45949.03481</v>
      </c>
      <c r="S1076" s="1" t="b">
        <f>IFERROR(__xludf.DUMMYFUNCTION("""COMPUTED_VALUE"""),TRUE)</f>
        <v>1</v>
      </c>
      <c r="T1076" s="1" t="b">
        <f>IFERROR(__xludf.DUMMYFUNCTION("""COMPUTED_VALUE"""),FALSE)</f>
        <v>0</v>
      </c>
      <c r="U1076" s="1" t="str">
        <f>IFERROR(__xludf.DUMMYFUNCTION("""COMPUTED_VALUE"""),"VALID")</f>
        <v>VALID</v>
      </c>
      <c r="V1076" s="1">
        <f>IFERROR(__xludf.DUMMYFUNCTION("""COMPUTED_VALUE"""),159.0)</f>
        <v>159</v>
      </c>
      <c r="W1076" s="1">
        <f>IFERROR(__xludf.DUMMYFUNCTION("""COMPUTED_VALUE"""),876.0)</f>
        <v>876</v>
      </c>
      <c r="X1076" s="1">
        <f>IFERROR(__xludf.DUMMYFUNCTION("""COMPUTED_VALUE"""),198.0)</f>
        <v>198</v>
      </c>
      <c r="Y1076" s="2"/>
      <c r="Z1076" s="2"/>
    </row>
    <row r="1077">
      <c r="A1077" s="1">
        <f>IFERROR(__xludf.DUMMYFUNCTION("""COMPUTED_VALUE"""),1076.0)</f>
        <v>1076</v>
      </c>
      <c r="B1077" s="1">
        <f>IFERROR(__xludf.DUMMYFUNCTION("""COMPUTED_VALUE"""),5026.0)</f>
        <v>5026</v>
      </c>
      <c r="C1077" s="2" t="str">
        <f>IFERROR(__xludf.DUMMYFUNCTION("""COMPUTED_VALUE"""),"nike")</f>
        <v>nike</v>
      </c>
      <c r="D1077" s="2" t="str">
        <f>IFERROR(__xludf.DUMMYFUNCTION("""COMPUTED_VALUE"""),"5KM OVERALL F")</f>
        <v>5KM OVERALL F</v>
      </c>
      <c r="E1077" s="1">
        <f>IFERROR(__xludf.DUMMYFUNCTION("""COMPUTED_VALUE"""),2.0)</f>
        <v>2</v>
      </c>
      <c r="F1077" s="1" t="str">
        <f>IFERROR(__xludf.DUMMYFUNCTION("""COMPUTED_VALUE"""),"Female")</f>
        <v>Female</v>
      </c>
      <c r="G1077" s="4" t="b">
        <f>IFERROR(__xludf.DUMMYFUNCTION("""COMPUTED_VALUE"""),TRUE)</f>
        <v>1</v>
      </c>
      <c r="H1077" s="4" t="b">
        <f>IFERROR(__xludf.DUMMYFUNCTION("""COMPUTED_VALUE"""),TRUE)</f>
        <v>1</v>
      </c>
      <c r="I1077" s="4">
        <f>IFERROR(__xludf.DUMMYFUNCTION("""COMPUTED_VALUE"""),0.2549440625)</f>
        <v>0.2549440625</v>
      </c>
      <c r="J1077" s="4">
        <f>IFERROR(__xludf.DUMMYFUNCTION("""COMPUTED_VALUE"""),45949.263881157756)</f>
        <v>45949.26388</v>
      </c>
      <c r="K1077" s="4" t="str">
        <f>IFERROR(__xludf.DUMMYFUNCTION("""COMPUTED_VALUE"""),"")</f>
        <v/>
      </c>
      <c r="L1077" s="4">
        <f>IFERROR(__xludf.DUMMYFUNCTION("""COMPUTED_VALUE"""),45949.27123842692)</f>
        <v>45949.27124</v>
      </c>
      <c r="M1077" s="1" t="str">
        <f>IFERROR(__xludf.DUMMYFUNCTION("""COMPUTED_VALUE"""),"RFID")</f>
        <v>RFID</v>
      </c>
      <c r="N1077" s="5">
        <f>IFERROR(__xludf.DUMMYFUNCTION("""COMPUTED_VALUE"""),0.003574837962962963)</f>
        <v>0.003574837963</v>
      </c>
      <c r="O1077" s="5" t="str">
        <f>IFERROR(__xludf.DUMMYFUNCTION("""COMPUTED_VALUE"""),"")</f>
        <v/>
      </c>
      <c r="P1077" s="5" t="str">
        <f>IFERROR(__xludf.DUMMYFUNCTION("""COMPUTED_VALUE"""),"")</f>
        <v/>
      </c>
      <c r="Q1077" s="5">
        <f>IFERROR(__xludf.DUMMYFUNCTION("""COMPUTED_VALUE"""),0.003258872685185185)</f>
        <v>0.003258872685</v>
      </c>
      <c r="R1077" s="4">
        <f>IFERROR(__xludf.DUMMYFUNCTION("""COMPUTED_VALUE"""),45949.01629436442)</f>
        <v>45949.01629</v>
      </c>
      <c r="S1077" s="1" t="b">
        <f>IFERROR(__xludf.DUMMYFUNCTION("""COMPUTED_VALUE"""),TRUE)</f>
        <v>1</v>
      </c>
      <c r="T1077" s="1" t="b">
        <f>IFERROR(__xludf.DUMMYFUNCTION("""COMPUTED_VALUE"""),FALSE)</f>
        <v>0</v>
      </c>
      <c r="U1077" s="1" t="str">
        <f>IFERROR(__xludf.DUMMYFUNCTION("""COMPUTED_VALUE"""),"VALID")</f>
        <v>VALID</v>
      </c>
      <c r="V1077" s="1">
        <f>IFERROR(__xludf.DUMMYFUNCTION("""COMPUTED_VALUE"""),1.0)</f>
        <v>1</v>
      </c>
      <c r="W1077" s="1">
        <f>IFERROR(__xludf.DUMMYFUNCTION("""COMPUTED_VALUE"""),28.0)</f>
        <v>28</v>
      </c>
      <c r="X1077" s="1">
        <f>IFERROR(__xludf.DUMMYFUNCTION("""COMPUTED_VALUE"""),1.0)</f>
        <v>1</v>
      </c>
      <c r="Y1077" s="2"/>
      <c r="Z1077" s="2"/>
    </row>
    <row r="1078">
      <c r="A1078" s="1">
        <f>IFERROR(__xludf.DUMMYFUNCTION("""COMPUTED_VALUE"""),1077.0)</f>
        <v>1077</v>
      </c>
      <c r="B1078" s="1">
        <f>IFERROR(__xludf.DUMMYFUNCTION("""COMPUTED_VALUE"""),5027.0)</f>
        <v>5027</v>
      </c>
      <c r="C1078" s="2" t="str">
        <f>IFERROR(__xludf.DUMMYFUNCTION("""COMPUTED_VALUE"""),"Devinaa")</f>
        <v>Devinaa</v>
      </c>
      <c r="D1078" s="2" t="str">
        <f>IFERROR(__xludf.DUMMYFUNCTION("""COMPUTED_VALUE"""),"5KM OVERALL F")</f>
        <v>5KM OVERALL F</v>
      </c>
      <c r="E1078" s="1">
        <f>IFERROR(__xludf.DUMMYFUNCTION("""COMPUTED_VALUE"""),2.0)</f>
        <v>2</v>
      </c>
      <c r="F1078" s="1" t="str">
        <f>IFERROR(__xludf.DUMMYFUNCTION("""COMPUTED_VALUE"""),"Female")</f>
        <v>Female</v>
      </c>
      <c r="G1078" s="4" t="b">
        <f>IFERROR(__xludf.DUMMYFUNCTION("""COMPUTED_VALUE"""),TRUE)</f>
        <v>1</v>
      </c>
      <c r="H1078" s="4" t="b">
        <f>IFERROR(__xludf.DUMMYFUNCTION("""COMPUTED_VALUE"""),TRUE)</f>
        <v>1</v>
      </c>
      <c r="I1078" s="4">
        <f>IFERROR(__xludf.DUMMYFUNCTION("""COMPUTED_VALUE"""),0.2549440625)</f>
        <v>0.2549440625</v>
      </c>
      <c r="J1078" s="4">
        <f>IFERROR(__xludf.DUMMYFUNCTION("""COMPUTED_VALUE"""),45949.27445377373)</f>
        <v>45949.27445</v>
      </c>
      <c r="K1078" s="4" t="str">
        <f>IFERROR(__xludf.DUMMYFUNCTION("""COMPUTED_VALUE"""),"")</f>
        <v/>
      </c>
      <c r="L1078" s="4">
        <f>IFERROR(__xludf.DUMMYFUNCTION("""COMPUTED_VALUE"""),45949.28998767472)</f>
        <v>45949.28999</v>
      </c>
      <c r="M1078" s="1" t="str">
        <f>IFERROR(__xludf.DUMMYFUNCTION("""COMPUTED_VALUE"""),"RFID")</f>
        <v>RFID</v>
      </c>
      <c r="N1078" s="5">
        <f>IFERROR(__xludf.DUMMYFUNCTION("""COMPUTED_VALUE"""),0.007803884259259259)</f>
        <v>0.007803884259</v>
      </c>
      <c r="O1078" s="5" t="str">
        <f>IFERROR(__xludf.DUMMYFUNCTION("""COMPUTED_VALUE"""),"")</f>
        <v/>
      </c>
      <c r="P1078" s="5" t="str">
        <f>IFERROR(__xludf.DUMMYFUNCTION("""COMPUTED_VALUE"""),"")</f>
        <v/>
      </c>
      <c r="Q1078" s="5">
        <f>IFERROR(__xludf.DUMMYFUNCTION("""COMPUTED_VALUE"""),0.007008722222222222)</f>
        <v>0.007008722222</v>
      </c>
      <c r="R1078" s="4">
        <f>IFERROR(__xludf.DUMMYFUNCTION("""COMPUTED_VALUE"""),45949.03504361222)</f>
        <v>45949.03504</v>
      </c>
      <c r="S1078" s="1" t="b">
        <f>IFERROR(__xludf.DUMMYFUNCTION("""COMPUTED_VALUE"""),TRUE)</f>
        <v>1</v>
      </c>
      <c r="T1078" s="1" t="b">
        <f>IFERROR(__xludf.DUMMYFUNCTION("""COMPUTED_VALUE"""),FALSE)</f>
        <v>0</v>
      </c>
      <c r="U1078" s="1" t="str">
        <f>IFERROR(__xludf.DUMMYFUNCTION("""COMPUTED_VALUE"""),"VALID")</f>
        <v>VALID</v>
      </c>
      <c r="V1078" s="1">
        <f>IFERROR(__xludf.DUMMYFUNCTION("""COMPUTED_VALUE"""),163.0)</f>
        <v>163</v>
      </c>
      <c r="W1078" s="1">
        <f>IFERROR(__xludf.DUMMYFUNCTION("""COMPUTED_VALUE"""),891.0)</f>
        <v>891</v>
      </c>
      <c r="X1078" s="1">
        <f>IFERROR(__xludf.DUMMYFUNCTION("""COMPUTED_VALUE"""),203.0)</f>
        <v>203</v>
      </c>
      <c r="Y1078" s="2"/>
      <c r="Z1078" s="2"/>
    </row>
    <row r="1079">
      <c r="A1079" s="1">
        <f>IFERROR(__xludf.DUMMYFUNCTION("""COMPUTED_VALUE"""),1078.0)</f>
        <v>1078</v>
      </c>
      <c r="B1079" s="1">
        <f>IFERROR(__xludf.DUMMYFUNCTION("""COMPUTED_VALUE"""),5031.0)</f>
        <v>5031</v>
      </c>
      <c r="C1079" s="2" t="str">
        <f>IFERROR(__xludf.DUMMYFUNCTION("""COMPUTED_VALUE"""),"yusfrita")</f>
        <v>yusfrita</v>
      </c>
      <c r="D1079" s="2" t="str">
        <f>IFERROR(__xludf.DUMMYFUNCTION("""COMPUTED_VALUE"""),"5KM OVERALL F")</f>
        <v>5KM OVERALL F</v>
      </c>
      <c r="E1079" s="1">
        <f>IFERROR(__xludf.DUMMYFUNCTION("""COMPUTED_VALUE"""),2.0)</f>
        <v>2</v>
      </c>
      <c r="F1079" s="1" t="str">
        <f>IFERROR(__xludf.DUMMYFUNCTION("""COMPUTED_VALUE"""),"Female")</f>
        <v>Female</v>
      </c>
      <c r="G1079" s="4" t="b">
        <f>IFERROR(__xludf.DUMMYFUNCTION("""COMPUTED_VALUE"""),TRUE)</f>
        <v>1</v>
      </c>
      <c r="H1079" s="4" t="b">
        <f>IFERROR(__xludf.DUMMYFUNCTION("""COMPUTED_VALUE"""),TRUE)</f>
        <v>1</v>
      </c>
      <c r="I1079" s="4">
        <f>IFERROR(__xludf.DUMMYFUNCTION("""COMPUTED_VALUE"""),0.2549440625)</f>
        <v>0.2549440625</v>
      </c>
      <c r="J1079" s="4">
        <f>IFERROR(__xludf.DUMMYFUNCTION("""COMPUTED_VALUE"""),45949.274853999)</f>
        <v>45949.27485</v>
      </c>
      <c r="K1079" s="4" t="str">
        <f>IFERROR(__xludf.DUMMYFUNCTION("""COMPUTED_VALUE"""),"")</f>
        <v/>
      </c>
      <c r="L1079" s="4">
        <f>IFERROR(__xludf.DUMMYFUNCTION("""COMPUTED_VALUE"""),45949.28818560114)</f>
        <v>45949.28819</v>
      </c>
      <c r="M1079" s="1" t="str">
        <f>IFERROR(__xludf.DUMMYFUNCTION("""COMPUTED_VALUE"""),"RFID")</f>
        <v>RFID</v>
      </c>
      <c r="N1079" s="5">
        <f>IFERROR(__xludf.DUMMYFUNCTION("""COMPUTED_VALUE"""),0.007963976851851852)</f>
        <v>0.007963976852</v>
      </c>
      <c r="O1079" s="5" t="str">
        <f>IFERROR(__xludf.DUMMYFUNCTION("""COMPUTED_VALUE"""),"")</f>
        <v/>
      </c>
      <c r="P1079" s="5" t="str">
        <f>IFERROR(__xludf.DUMMYFUNCTION("""COMPUTED_VALUE"""),"")</f>
        <v/>
      </c>
      <c r="Q1079" s="5">
        <f>IFERROR(__xludf.DUMMYFUNCTION("""COMPUTED_VALUE"""),0.00664830787037037)</f>
        <v>0.00664830787</v>
      </c>
      <c r="R1079" s="4">
        <f>IFERROR(__xludf.DUMMYFUNCTION("""COMPUTED_VALUE"""),45949.03324153864)</f>
        <v>45949.03324</v>
      </c>
      <c r="S1079" s="1" t="b">
        <f>IFERROR(__xludf.DUMMYFUNCTION("""COMPUTED_VALUE"""),TRUE)</f>
        <v>1</v>
      </c>
      <c r="T1079" s="1" t="b">
        <f>IFERROR(__xludf.DUMMYFUNCTION("""COMPUTED_VALUE"""),FALSE)</f>
        <v>0</v>
      </c>
      <c r="U1079" s="1" t="str">
        <f>IFERROR(__xludf.DUMMYFUNCTION("""COMPUTED_VALUE"""),"VALID")</f>
        <v>VALID</v>
      </c>
      <c r="V1079" s="1">
        <f>IFERROR(__xludf.DUMMYFUNCTION("""COMPUTED_VALUE"""),131.0)</f>
        <v>131</v>
      </c>
      <c r="W1079" s="1">
        <f>IFERROR(__xludf.DUMMYFUNCTION("""COMPUTED_VALUE"""),789.0)</f>
        <v>789</v>
      </c>
      <c r="X1079" s="1">
        <f>IFERROR(__xludf.DUMMYFUNCTION("""COMPUTED_VALUE"""),164.0)</f>
        <v>164</v>
      </c>
      <c r="Y1079" s="2"/>
      <c r="Z1079" s="2"/>
    </row>
    <row r="1080">
      <c r="A1080" s="1">
        <f>IFERROR(__xludf.DUMMYFUNCTION("""COMPUTED_VALUE"""),1079.0)</f>
        <v>1079</v>
      </c>
      <c r="B1080" s="1">
        <f>IFERROR(__xludf.DUMMYFUNCTION("""COMPUTED_VALUE"""),5032.0)</f>
        <v>5032</v>
      </c>
      <c r="C1080" s="2" t="str">
        <f>IFERROR(__xludf.DUMMYFUNCTION("""COMPUTED_VALUE"""),"Bunda Sorayya")</f>
        <v>Bunda Sorayya</v>
      </c>
      <c r="D1080" s="2" t="str">
        <f>IFERROR(__xludf.DUMMYFUNCTION("""COMPUTED_VALUE"""),"5KM OVERALL F")</f>
        <v>5KM OVERALL F</v>
      </c>
      <c r="E1080" s="1">
        <f>IFERROR(__xludf.DUMMYFUNCTION("""COMPUTED_VALUE"""),2.0)</f>
        <v>2</v>
      </c>
      <c r="F1080" s="1" t="str">
        <f>IFERROR(__xludf.DUMMYFUNCTION("""COMPUTED_VALUE"""),"Female")</f>
        <v>Female</v>
      </c>
      <c r="G1080" s="4" t="b">
        <f>IFERROR(__xludf.DUMMYFUNCTION("""COMPUTED_VALUE"""),TRUE)</f>
        <v>1</v>
      </c>
      <c r="H1080" s="4" t="b">
        <f>IFERROR(__xludf.DUMMYFUNCTION("""COMPUTED_VALUE"""),TRUE)</f>
        <v>1</v>
      </c>
      <c r="I1080" s="4">
        <f>IFERROR(__xludf.DUMMYFUNCTION("""COMPUTED_VALUE"""),0.2549440625)</f>
        <v>0.2549440625</v>
      </c>
      <c r="J1080" s="4">
        <f>IFERROR(__xludf.DUMMYFUNCTION("""COMPUTED_VALUE"""),45949.27862739496)</f>
        <v>45949.27863</v>
      </c>
      <c r="K1080" s="4" t="str">
        <f>IFERROR(__xludf.DUMMYFUNCTION("""COMPUTED_VALUE"""),"")</f>
        <v/>
      </c>
      <c r="L1080" s="4">
        <f>IFERROR(__xludf.DUMMYFUNCTION("""COMPUTED_VALUE"""),45949.29523422133)</f>
        <v>45949.29523</v>
      </c>
      <c r="M1080" s="1" t="str">
        <f>IFERROR(__xludf.DUMMYFUNCTION("""COMPUTED_VALUE"""),"RFID")</f>
        <v>RFID</v>
      </c>
      <c r="N1080" s="5">
        <f>IFERROR(__xludf.DUMMYFUNCTION("""COMPUTED_VALUE"""),0.009473333333333334)</f>
        <v>0.009473333333</v>
      </c>
      <c r="O1080" s="5" t="str">
        <f>IFERROR(__xludf.DUMMYFUNCTION("""COMPUTED_VALUE"""),"")</f>
        <v/>
      </c>
      <c r="P1080" s="5" t="str">
        <f>IFERROR(__xludf.DUMMYFUNCTION("""COMPUTED_VALUE"""),"")</f>
        <v/>
      </c>
      <c r="Q1080" s="5">
        <f>IFERROR(__xludf.DUMMYFUNCTION("""COMPUTED_VALUE"""),0.008058032407407408)</f>
        <v>0.008058032407</v>
      </c>
      <c r="R1080" s="4">
        <f>IFERROR(__xludf.DUMMYFUNCTION("""COMPUTED_VALUE"""),45949.04029015883)</f>
        <v>45949.04029</v>
      </c>
      <c r="S1080" s="1" t="b">
        <f>IFERROR(__xludf.DUMMYFUNCTION("""COMPUTED_VALUE"""),TRUE)</f>
        <v>1</v>
      </c>
      <c r="T1080" s="1" t="b">
        <f>IFERROR(__xludf.DUMMYFUNCTION("""COMPUTED_VALUE"""),FALSE)</f>
        <v>0</v>
      </c>
      <c r="U1080" s="1" t="str">
        <f>IFERROR(__xludf.DUMMYFUNCTION("""COMPUTED_VALUE"""),"VALID")</f>
        <v>VALID</v>
      </c>
      <c r="V1080" s="1">
        <f>IFERROR(__xludf.DUMMYFUNCTION("""COMPUTED_VALUE"""),328.0)</f>
        <v>328</v>
      </c>
      <c r="W1080" s="1">
        <f>IFERROR(__xludf.DUMMYFUNCTION("""COMPUTED_VALUE"""),1257.0)</f>
        <v>1257</v>
      </c>
      <c r="X1080" s="1">
        <f>IFERROR(__xludf.DUMMYFUNCTION("""COMPUTED_VALUE"""),397.0)</f>
        <v>397</v>
      </c>
      <c r="Y1080" s="2"/>
      <c r="Z1080" s="2"/>
    </row>
    <row r="1081">
      <c r="A1081" s="1">
        <f>IFERROR(__xludf.DUMMYFUNCTION("""COMPUTED_VALUE"""),1080.0)</f>
        <v>1080</v>
      </c>
      <c r="B1081" s="1">
        <f>IFERROR(__xludf.DUMMYFUNCTION("""COMPUTED_VALUE"""),5033.0)</f>
        <v>5033</v>
      </c>
      <c r="C1081" s="2" t="str">
        <f>IFERROR(__xludf.DUMMYFUNCTION("""COMPUTED_VALUE"""),"DAYU SETIANINGSIH")</f>
        <v>DAYU SETIANINGSIH</v>
      </c>
      <c r="D1081" s="2" t="str">
        <f>IFERROR(__xludf.DUMMYFUNCTION("""COMPUTED_VALUE"""),"5KM OVERALL F")</f>
        <v>5KM OVERALL F</v>
      </c>
      <c r="E1081" s="1">
        <f>IFERROR(__xludf.DUMMYFUNCTION("""COMPUTED_VALUE"""),2.0)</f>
        <v>2</v>
      </c>
      <c r="F1081" s="1" t="str">
        <f>IFERROR(__xludf.DUMMYFUNCTION("""COMPUTED_VALUE"""),"Female")</f>
        <v>Female</v>
      </c>
      <c r="G1081" s="4" t="b">
        <f>IFERROR(__xludf.DUMMYFUNCTION("""COMPUTED_VALUE"""),TRUE)</f>
        <v>1</v>
      </c>
      <c r="H1081" s="4" t="b">
        <f>IFERROR(__xludf.DUMMYFUNCTION("""COMPUTED_VALUE"""),TRUE)</f>
        <v>1</v>
      </c>
      <c r="I1081" s="4">
        <f>IFERROR(__xludf.DUMMYFUNCTION("""COMPUTED_VALUE"""),0.2549440625)</f>
        <v>0.2549440625</v>
      </c>
      <c r="J1081" s="4">
        <f>IFERROR(__xludf.DUMMYFUNCTION("""COMPUTED_VALUE"""),45949.26720378423)</f>
        <v>45949.2672</v>
      </c>
      <c r="K1081" s="4" t="str">
        <f>IFERROR(__xludf.DUMMYFUNCTION("""COMPUTED_VALUE"""),"")</f>
        <v/>
      </c>
      <c r="L1081" s="4">
        <f>IFERROR(__xludf.DUMMYFUNCTION("""COMPUTED_VALUE"""),45949.27797727463)</f>
        <v>45949.27798</v>
      </c>
      <c r="M1081" s="1" t="str">
        <f>IFERROR(__xludf.DUMMYFUNCTION("""COMPUTED_VALUE"""),"RFID")</f>
        <v>RFID</v>
      </c>
      <c r="N1081" s="5">
        <f>IFERROR(__xludf.DUMMYFUNCTION("""COMPUTED_VALUE"""),0.004903888888888889)</f>
        <v>0.004903888889</v>
      </c>
      <c r="O1081" s="5" t="str">
        <f>IFERROR(__xludf.DUMMYFUNCTION("""COMPUTED_VALUE"""),"")</f>
        <v/>
      </c>
      <c r="P1081" s="5" t="str">
        <f>IFERROR(__xludf.DUMMYFUNCTION("""COMPUTED_VALUE"""),"")</f>
        <v/>
      </c>
      <c r="Q1081" s="5">
        <f>IFERROR(__xludf.DUMMYFUNCTION("""COMPUTED_VALUE"""),0.004606643518518519)</f>
        <v>0.004606643519</v>
      </c>
      <c r="R1081" s="4">
        <f>IFERROR(__xludf.DUMMYFUNCTION("""COMPUTED_VALUE"""),45949.02303321213)</f>
        <v>45949.02303</v>
      </c>
      <c r="S1081" s="1" t="b">
        <f>IFERROR(__xludf.DUMMYFUNCTION("""COMPUTED_VALUE"""),TRUE)</f>
        <v>1</v>
      </c>
      <c r="T1081" s="1" t="b">
        <f>IFERROR(__xludf.DUMMYFUNCTION("""COMPUTED_VALUE"""),FALSE)</f>
        <v>0</v>
      </c>
      <c r="U1081" s="1" t="str">
        <f>IFERROR(__xludf.DUMMYFUNCTION("""COMPUTED_VALUE"""),"VALID")</f>
        <v>VALID</v>
      </c>
      <c r="V1081" s="1">
        <f>IFERROR(__xludf.DUMMYFUNCTION("""COMPUTED_VALUE"""),18.0)</f>
        <v>18</v>
      </c>
      <c r="W1081" s="1">
        <f>IFERROR(__xludf.DUMMYFUNCTION("""COMPUTED_VALUE"""),215.0)</f>
        <v>215</v>
      </c>
      <c r="X1081" s="1">
        <f>IFERROR(__xludf.DUMMYFUNCTION("""COMPUTED_VALUE"""),28.0)</f>
        <v>28</v>
      </c>
      <c r="Y1081" s="2"/>
      <c r="Z1081" s="2"/>
    </row>
    <row r="1082">
      <c r="A1082" s="1">
        <f>IFERROR(__xludf.DUMMYFUNCTION("""COMPUTED_VALUE"""),1081.0)</f>
        <v>1081</v>
      </c>
      <c r="B1082" s="1">
        <f>IFERROR(__xludf.DUMMYFUNCTION("""COMPUTED_VALUE"""),5037.0)</f>
        <v>5037</v>
      </c>
      <c r="C1082" s="2" t="str">
        <f>IFERROR(__xludf.DUMMYFUNCTION("""COMPUTED_VALUE"""),"Rizqi Liutammi")</f>
        <v>Rizqi Liutammi</v>
      </c>
      <c r="D1082" s="2" t="str">
        <f>IFERROR(__xludf.DUMMYFUNCTION("""COMPUTED_VALUE"""),"5KM OVERALL F")</f>
        <v>5KM OVERALL F</v>
      </c>
      <c r="E1082" s="1">
        <f>IFERROR(__xludf.DUMMYFUNCTION("""COMPUTED_VALUE"""),2.0)</f>
        <v>2</v>
      </c>
      <c r="F1082" s="1" t="str">
        <f>IFERROR(__xludf.DUMMYFUNCTION("""COMPUTED_VALUE"""),"Female")</f>
        <v>Female</v>
      </c>
      <c r="G1082" s="4" t="b">
        <f>IFERROR(__xludf.DUMMYFUNCTION("""COMPUTED_VALUE"""),TRUE)</f>
        <v>1</v>
      </c>
      <c r="H1082" s="4" t="b">
        <f>IFERROR(__xludf.DUMMYFUNCTION("""COMPUTED_VALUE"""),FALSE)</f>
        <v>0</v>
      </c>
      <c r="I1082" s="4">
        <f>IFERROR(__xludf.DUMMYFUNCTION("""COMPUTED_VALUE"""),0.2549440625)</f>
        <v>0.2549440625</v>
      </c>
      <c r="J1082" s="4">
        <f>IFERROR(__xludf.DUMMYFUNCTION("""COMPUTED_VALUE"""),45949.28035307116)</f>
        <v>45949.28035</v>
      </c>
      <c r="K1082" s="4" t="str">
        <f>IFERROR(__xludf.DUMMYFUNCTION("""COMPUTED_VALUE"""),"")</f>
        <v/>
      </c>
      <c r="L1082" s="4">
        <f>IFERROR(__xludf.DUMMYFUNCTION("""COMPUTED_VALUE"""),45949.297821117696)</f>
        <v>45949.29782</v>
      </c>
      <c r="M1082" s="1" t="str">
        <f>IFERROR(__xludf.DUMMYFUNCTION("""COMPUTED_VALUE"""),"RFID")</f>
        <v>RFID</v>
      </c>
      <c r="N1082" s="5">
        <f>IFERROR(__xludf.DUMMYFUNCTION("""COMPUTED_VALUE"""),0.010163601851851852)</f>
        <v>0.01016360185</v>
      </c>
      <c r="O1082" s="5" t="str">
        <f>IFERROR(__xludf.DUMMYFUNCTION("""COMPUTED_VALUE"""),"")</f>
        <v/>
      </c>
      <c r="P1082" s="5" t="str">
        <f>IFERROR(__xludf.DUMMYFUNCTION("""COMPUTED_VALUE"""),"")</f>
        <v/>
      </c>
      <c r="Q1082" s="5">
        <f>IFERROR(__xludf.DUMMYFUNCTION("""COMPUTED_VALUE"""),0.008575412037037038)</f>
        <v>0.008575412037</v>
      </c>
      <c r="R1082" s="4">
        <f>IFERROR(__xludf.DUMMYFUNCTION("""COMPUTED_VALUE"""),45949.042877055195)</f>
        <v>45949.04288</v>
      </c>
      <c r="S1082" s="1" t="b">
        <f>IFERROR(__xludf.DUMMYFUNCTION("""COMPUTED_VALUE"""),TRUE)</f>
        <v>1</v>
      </c>
      <c r="T1082" s="1" t="b">
        <f>IFERROR(__xludf.DUMMYFUNCTION("""COMPUTED_VALUE"""),FALSE)</f>
        <v>0</v>
      </c>
      <c r="U1082" s="1" t="str">
        <f>IFERROR(__xludf.DUMMYFUNCTION("""COMPUTED_VALUE"""),"VALID")</f>
        <v>VALID</v>
      </c>
      <c r="V1082" s="1">
        <f>IFERROR(__xludf.DUMMYFUNCTION("""COMPUTED_VALUE"""),374.0)</f>
        <v>374</v>
      </c>
      <c r="W1082" s="1">
        <f>IFERROR(__xludf.DUMMYFUNCTION("""COMPUTED_VALUE"""),1360.0)</f>
        <v>1360</v>
      </c>
      <c r="X1082" s="1">
        <f>IFERROR(__xludf.DUMMYFUNCTION("""COMPUTED_VALUE"""),453.0)</f>
        <v>453</v>
      </c>
      <c r="Y1082" s="2"/>
      <c r="Z1082" s="2"/>
    </row>
    <row r="1083">
      <c r="A1083" s="1">
        <f>IFERROR(__xludf.DUMMYFUNCTION("""COMPUTED_VALUE"""),1082.0)</f>
        <v>1082</v>
      </c>
      <c r="B1083" s="1">
        <f>IFERROR(__xludf.DUMMYFUNCTION("""COMPUTED_VALUE"""),5041.0)</f>
        <v>5041</v>
      </c>
      <c r="C1083" s="2" t="str">
        <f>IFERROR(__xludf.DUMMYFUNCTION("""COMPUTED_VALUE"""),"SALMA")</f>
        <v>SALMA</v>
      </c>
      <c r="D1083" s="2" t="str">
        <f>IFERROR(__xludf.DUMMYFUNCTION("""COMPUTED_VALUE"""),"5KM OVERALL F")</f>
        <v>5KM OVERALL F</v>
      </c>
      <c r="E1083" s="1">
        <f>IFERROR(__xludf.DUMMYFUNCTION("""COMPUTED_VALUE"""),2.0)</f>
        <v>2</v>
      </c>
      <c r="F1083" s="1" t="str">
        <f>IFERROR(__xludf.DUMMYFUNCTION("""COMPUTED_VALUE"""),"Female")</f>
        <v>Female</v>
      </c>
      <c r="G1083" s="4" t="b">
        <f>IFERROR(__xludf.DUMMYFUNCTION("""COMPUTED_VALUE"""),TRUE)</f>
        <v>1</v>
      </c>
      <c r="H1083" s="4" t="b">
        <f>IFERROR(__xludf.DUMMYFUNCTION("""COMPUTED_VALUE"""),TRUE)</f>
        <v>1</v>
      </c>
      <c r="I1083" s="4">
        <f>IFERROR(__xludf.DUMMYFUNCTION("""COMPUTED_VALUE"""),0.2549440625)</f>
        <v>0.2549440625</v>
      </c>
      <c r="J1083" s="4">
        <f>IFERROR(__xludf.DUMMYFUNCTION("""COMPUTED_VALUE"""),45949.27596072961)</f>
        <v>45949.27596</v>
      </c>
      <c r="K1083" s="4" t="str">
        <f>IFERROR(__xludf.DUMMYFUNCTION("""COMPUTED_VALUE"""),"")</f>
        <v/>
      </c>
      <c r="L1083" s="4">
        <f>IFERROR(__xludf.DUMMYFUNCTION("""COMPUTED_VALUE"""),45949.29232795345)</f>
        <v>45949.29233</v>
      </c>
      <c r="M1083" s="1" t="str">
        <f>IFERROR(__xludf.DUMMYFUNCTION("""COMPUTED_VALUE"""),"RFID")</f>
        <v>RFID</v>
      </c>
      <c r="N1083" s="5">
        <f>IFERROR(__xludf.DUMMYFUNCTION("""COMPUTED_VALUE"""),0.008406666666666666)</f>
        <v>0.008406666667</v>
      </c>
      <c r="O1083" s="5" t="str">
        <f>IFERROR(__xludf.DUMMYFUNCTION("""COMPUTED_VALUE"""),"")</f>
        <v/>
      </c>
      <c r="P1083" s="5" t="str">
        <f>IFERROR(__xludf.DUMMYFUNCTION("""COMPUTED_VALUE"""),"")</f>
        <v/>
      </c>
      <c r="Q1083" s="5">
        <f>IFERROR(__xludf.DUMMYFUNCTION("""COMPUTED_VALUE"""),0.007476777777777778)</f>
        <v>0.007476777778</v>
      </c>
      <c r="R1083" s="4">
        <f>IFERROR(__xludf.DUMMYFUNCTION("""COMPUTED_VALUE"""),45949.03738389095)</f>
        <v>45949.03738</v>
      </c>
      <c r="S1083" s="1" t="b">
        <f>IFERROR(__xludf.DUMMYFUNCTION("""COMPUTED_VALUE"""),TRUE)</f>
        <v>1</v>
      </c>
      <c r="T1083" s="1" t="b">
        <f>IFERROR(__xludf.DUMMYFUNCTION("""COMPUTED_VALUE"""),FALSE)</f>
        <v>0</v>
      </c>
      <c r="U1083" s="1" t="str">
        <f>IFERROR(__xludf.DUMMYFUNCTION("""COMPUTED_VALUE"""),"VALID")</f>
        <v>VALID</v>
      </c>
      <c r="V1083" s="1">
        <f>IFERROR(__xludf.DUMMYFUNCTION("""COMPUTED_VALUE"""),230.0)</f>
        <v>230</v>
      </c>
      <c r="W1083" s="1">
        <f>IFERROR(__xludf.DUMMYFUNCTION("""COMPUTED_VALUE"""),1052.0)</f>
        <v>1052</v>
      </c>
      <c r="X1083" s="1">
        <f>IFERROR(__xludf.DUMMYFUNCTION("""COMPUTED_VALUE"""),283.0)</f>
        <v>283</v>
      </c>
      <c r="Y1083" s="2"/>
      <c r="Z1083" s="2"/>
    </row>
    <row r="1084">
      <c r="A1084" s="1">
        <f>IFERROR(__xludf.DUMMYFUNCTION("""COMPUTED_VALUE"""),1083.0)</f>
        <v>1083</v>
      </c>
      <c r="B1084" s="1">
        <f>IFERROR(__xludf.DUMMYFUNCTION("""COMPUTED_VALUE"""),5046.0)</f>
        <v>5046</v>
      </c>
      <c r="C1084" s="2" t="str">
        <f>IFERROR(__xludf.DUMMYFUNCTION("""COMPUTED_VALUE"""),"NABILA FAZA")</f>
        <v>NABILA FAZA</v>
      </c>
      <c r="D1084" s="2" t="str">
        <f>IFERROR(__xludf.DUMMYFUNCTION("""COMPUTED_VALUE"""),"5KM OVERALL F")</f>
        <v>5KM OVERALL F</v>
      </c>
      <c r="E1084" s="1">
        <f>IFERROR(__xludf.DUMMYFUNCTION("""COMPUTED_VALUE"""),2.0)</f>
        <v>2</v>
      </c>
      <c r="F1084" s="1" t="str">
        <f>IFERROR(__xludf.DUMMYFUNCTION("""COMPUTED_VALUE"""),"Female")</f>
        <v>Female</v>
      </c>
      <c r="G1084" s="4" t="b">
        <f>IFERROR(__xludf.DUMMYFUNCTION("""COMPUTED_VALUE"""),TRUE)</f>
        <v>1</v>
      </c>
      <c r="H1084" s="4" t="b">
        <f>IFERROR(__xludf.DUMMYFUNCTION("""COMPUTED_VALUE"""),FALSE)</f>
        <v>0</v>
      </c>
      <c r="I1084" s="4">
        <f>IFERROR(__xludf.DUMMYFUNCTION("""COMPUTED_VALUE"""),0.2549440625)</f>
        <v>0.2549440625</v>
      </c>
      <c r="J1084" s="4">
        <f>IFERROR(__xludf.DUMMYFUNCTION("""COMPUTED_VALUE"""),45949.27830798051)</f>
        <v>45949.27831</v>
      </c>
      <c r="K1084" s="4" t="str">
        <f>IFERROR(__xludf.DUMMYFUNCTION("""COMPUTED_VALUE"""),"")</f>
        <v/>
      </c>
      <c r="L1084" s="4">
        <f>IFERROR(__xludf.DUMMYFUNCTION("""COMPUTED_VALUE"""),45949.29435573159)</f>
        <v>45949.29436</v>
      </c>
      <c r="M1084" s="1" t="str">
        <f>IFERROR(__xludf.DUMMYFUNCTION("""COMPUTED_VALUE"""),"RFID")</f>
        <v>RFID</v>
      </c>
      <c r="N1084" s="5">
        <f>IFERROR(__xludf.DUMMYFUNCTION("""COMPUTED_VALUE"""),0.009345569444444445)</f>
        <v>0.009345569444</v>
      </c>
      <c r="O1084" s="5" t="str">
        <f>IFERROR(__xludf.DUMMYFUNCTION("""COMPUTED_VALUE"""),"")</f>
        <v/>
      </c>
      <c r="P1084" s="5" t="str">
        <f>IFERROR(__xludf.DUMMYFUNCTION("""COMPUTED_VALUE"""),"")</f>
        <v/>
      </c>
      <c r="Q1084" s="5">
        <f>IFERROR(__xludf.DUMMYFUNCTION("""COMPUTED_VALUE"""),0.007882333333333335)</f>
        <v>0.007882333333</v>
      </c>
      <c r="R1084" s="4">
        <f>IFERROR(__xludf.DUMMYFUNCTION("""COMPUTED_VALUE"""),45949.03941166909)</f>
        <v>45949.03941</v>
      </c>
      <c r="S1084" s="1" t="b">
        <f>IFERROR(__xludf.DUMMYFUNCTION("""COMPUTED_VALUE"""),TRUE)</f>
        <v>1</v>
      </c>
      <c r="T1084" s="1" t="b">
        <f>IFERROR(__xludf.DUMMYFUNCTION("""COMPUTED_VALUE"""),FALSE)</f>
        <v>0</v>
      </c>
      <c r="U1084" s="1" t="str">
        <f>IFERROR(__xludf.DUMMYFUNCTION("""COMPUTED_VALUE"""),"VALID")</f>
        <v>VALID</v>
      </c>
      <c r="V1084" s="1">
        <f>IFERROR(__xludf.DUMMYFUNCTION("""COMPUTED_VALUE"""),303.0)</f>
        <v>303</v>
      </c>
      <c r="W1084" s="1">
        <f>IFERROR(__xludf.DUMMYFUNCTION("""COMPUTED_VALUE"""),1206.0)</f>
        <v>1206</v>
      </c>
      <c r="X1084" s="1">
        <f>IFERROR(__xludf.DUMMYFUNCTION("""COMPUTED_VALUE"""),367.0)</f>
        <v>367</v>
      </c>
      <c r="Y1084" s="2"/>
      <c r="Z1084" s="2"/>
    </row>
    <row r="1085">
      <c r="A1085" s="1">
        <f>IFERROR(__xludf.DUMMYFUNCTION("""COMPUTED_VALUE"""),1084.0)</f>
        <v>1084</v>
      </c>
      <c r="B1085" s="1">
        <f>IFERROR(__xludf.DUMMYFUNCTION("""COMPUTED_VALUE"""),5047.0)</f>
        <v>5047</v>
      </c>
      <c r="C1085" s="2" t="str">
        <f>IFERROR(__xludf.DUMMYFUNCTION("""COMPUTED_VALUE"""),"Zahraazhafiraa")</f>
        <v>Zahraazhafiraa</v>
      </c>
      <c r="D1085" s="2" t="str">
        <f>IFERROR(__xludf.DUMMYFUNCTION("""COMPUTED_VALUE"""),"5KM OVERALL F")</f>
        <v>5KM OVERALL F</v>
      </c>
      <c r="E1085" s="1">
        <f>IFERROR(__xludf.DUMMYFUNCTION("""COMPUTED_VALUE"""),2.0)</f>
        <v>2</v>
      </c>
      <c r="F1085" s="1" t="str">
        <f>IFERROR(__xludf.DUMMYFUNCTION("""COMPUTED_VALUE"""),"Female")</f>
        <v>Female</v>
      </c>
      <c r="G1085" s="4" t="b">
        <f>IFERROR(__xludf.DUMMYFUNCTION("""COMPUTED_VALUE"""),TRUE)</f>
        <v>1</v>
      </c>
      <c r="H1085" s="4" t="b">
        <f>IFERROR(__xludf.DUMMYFUNCTION("""COMPUTED_VALUE"""),TRUE)</f>
        <v>1</v>
      </c>
      <c r="I1085" s="4">
        <f>IFERROR(__xludf.DUMMYFUNCTION("""COMPUTED_VALUE"""),0.2549440625)</f>
        <v>0.2549440625</v>
      </c>
      <c r="J1085" s="4">
        <f>IFERROR(__xludf.DUMMYFUNCTION("""COMPUTED_VALUE"""),45949.28349891868)</f>
        <v>45949.2835</v>
      </c>
      <c r="K1085" s="4" t="str">
        <f>IFERROR(__xludf.DUMMYFUNCTION("""COMPUTED_VALUE"""),"")</f>
        <v/>
      </c>
      <c r="L1085" s="4">
        <f>IFERROR(__xludf.DUMMYFUNCTION("""COMPUTED_VALUE"""),45949.30190851768)</f>
        <v>45949.30191</v>
      </c>
      <c r="M1085" s="1" t="str">
        <f>IFERROR(__xludf.DUMMYFUNCTION("""COMPUTED_VALUE"""),"RFID")</f>
        <v>RFID</v>
      </c>
      <c r="N1085" s="5">
        <f>IFERROR(__xludf.DUMMYFUNCTION("""COMPUTED_VALUE"""),0.011421944444444445)</f>
        <v>0.01142194444</v>
      </c>
      <c r="O1085" s="5" t="str">
        <f>IFERROR(__xludf.DUMMYFUNCTION("""COMPUTED_VALUE"""),"")</f>
        <v/>
      </c>
      <c r="P1085" s="5" t="str">
        <f>IFERROR(__xludf.DUMMYFUNCTION("""COMPUTED_VALUE"""),"")</f>
        <v/>
      </c>
      <c r="Q1085" s="5">
        <f>IFERROR(__xludf.DUMMYFUNCTION("""COMPUTED_VALUE"""),0.009392891203703704)</f>
        <v>0.009392891204</v>
      </c>
      <c r="R1085" s="4">
        <f>IFERROR(__xludf.DUMMYFUNCTION("""COMPUTED_VALUE"""),45949.04696445518)</f>
        <v>45949.04696</v>
      </c>
      <c r="S1085" s="1" t="b">
        <f>IFERROR(__xludf.DUMMYFUNCTION("""COMPUTED_VALUE"""),TRUE)</f>
        <v>1</v>
      </c>
      <c r="T1085" s="1" t="b">
        <f>IFERROR(__xludf.DUMMYFUNCTION("""COMPUTED_VALUE"""),FALSE)</f>
        <v>0</v>
      </c>
      <c r="U1085" s="1" t="str">
        <f>IFERROR(__xludf.DUMMYFUNCTION("""COMPUTED_VALUE"""),"VALID")</f>
        <v>VALID</v>
      </c>
      <c r="V1085" s="1">
        <f>IFERROR(__xludf.DUMMYFUNCTION("""COMPUTED_VALUE"""),455.0)</f>
        <v>455</v>
      </c>
      <c r="W1085" s="1">
        <f>IFERROR(__xludf.DUMMYFUNCTION("""COMPUTED_VALUE"""),1511.0)</f>
        <v>1511</v>
      </c>
      <c r="X1085" s="1">
        <f>IFERROR(__xludf.DUMMYFUNCTION("""COMPUTED_VALUE"""),555.0)</f>
        <v>555</v>
      </c>
      <c r="Y1085" s="2"/>
      <c r="Z1085" s="2"/>
    </row>
    <row r="1086">
      <c r="A1086" s="1">
        <f>IFERROR(__xludf.DUMMYFUNCTION("""COMPUTED_VALUE"""),1085.0)</f>
        <v>1085</v>
      </c>
      <c r="B1086" s="1">
        <f>IFERROR(__xludf.DUMMYFUNCTION("""COMPUTED_VALUE"""),5048.0)</f>
        <v>5048</v>
      </c>
      <c r="C1086" s="2" t="str">
        <f>IFERROR(__xludf.DUMMYFUNCTION("""COMPUTED_VALUE"""),"Jumiati Akbariah")</f>
        <v>Jumiati Akbariah</v>
      </c>
      <c r="D1086" s="2" t="str">
        <f>IFERROR(__xludf.DUMMYFUNCTION("""COMPUTED_VALUE"""),"5KM OVERALL F")</f>
        <v>5KM OVERALL F</v>
      </c>
      <c r="E1086" s="1">
        <f>IFERROR(__xludf.DUMMYFUNCTION("""COMPUTED_VALUE"""),2.0)</f>
        <v>2</v>
      </c>
      <c r="F1086" s="1" t="str">
        <f>IFERROR(__xludf.DUMMYFUNCTION("""COMPUTED_VALUE"""),"Female")</f>
        <v>Female</v>
      </c>
      <c r="G1086" s="4" t="b">
        <f>IFERROR(__xludf.DUMMYFUNCTION("""COMPUTED_VALUE"""),TRUE)</f>
        <v>1</v>
      </c>
      <c r="H1086" s="4" t="b">
        <f>IFERROR(__xludf.DUMMYFUNCTION("""COMPUTED_VALUE"""),TRUE)</f>
        <v>1</v>
      </c>
      <c r="I1086" s="4">
        <f>IFERROR(__xludf.DUMMYFUNCTION("""COMPUTED_VALUE"""),0.2549440625)</f>
        <v>0.2549440625</v>
      </c>
      <c r="J1086" s="4">
        <f>IFERROR(__xludf.DUMMYFUNCTION("""COMPUTED_VALUE"""),45949.27766216673)</f>
        <v>45949.27766</v>
      </c>
      <c r="K1086" s="4" t="str">
        <f>IFERROR(__xludf.DUMMYFUNCTION("""COMPUTED_VALUE"""),"")</f>
        <v/>
      </c>
      <c r="L1086" s="4">
        <f>IFERROR(__xludf.DUMMYFUNCTION("""COMPUTED_VALUE"""),45949.29475156089)</f>
        <v>45949.29475</v>
      </c>
      <c r="M1086" s="1" t="str">
        <f>IFERROR(__xludf.DUMMYFUNCTION("""COMPUTED_VALUE"""),"RFID")</f>
        <v>RFID</v>
      </c>
      <c r="N1086" s="5">
        <f>IFERROR(__xludf.DUMMYFUNCTION("""COMPUTED_VALUE"""),0.009087240740740741)</f>
        <v>0.009087240741</v>
      </c>
      <c r="O1086" s="5" t="str">
        <f>IFERROR(__xludf.DUMMYFUNCTION("""COMPUTED_VALUE"""),"")</f>
        <v/>
      </c>
      <c r="P1086" s="5" t="str">
        <f>IFERROR(__xludf.DUMMYFUNCTION("""COMPUTED_VALUE"""),"")</f>
        <v/>
      </c>
      <c r="Q1086" s="5">
        <f>IFERROR(__xludf.DUMMYFUNCTION("""COMPUTED_VALUE"""),0.0079615)</f>
        <v>0.0079615</v>
      </c>
      <c r="R1086" s="4">
        <f>IFERROR(__xludf.DUMMYFUNCTION("""COMPUTED_VALUE"""),45949.03980749839)</f>
        <v>45949.03981</v>
      </c>
      <c r="S1086" s="1" t="b">
        <f>IFERROR(__xludf.DUMMYFUNCTION("""COMPUTED_VALUE"""),TRUE)</f>
        <v>1</v>
      </c>
      <c r="T1086" s="1" t="b">
        <f>IFERROR(__xludf.DUMMYFUNCTION("""COMPUTED_VALUE"""),FALSE)</f>
        <v>0</v>
      </c>
      <c r="U1086" s="1" t="str">
        <f>IFERROR(__xludf.DUMMYFUNCTION("""COMPUTED_VALUE"""),"VALID")</f>
        <v>VALID</v>
      </c>
      <c r="V1086" s="1">
        <f>IFERROR(__xludf.DUMMYFUNCTION("""COMPUTED_VALUE"""),316.0)</f>
        <v>316</v>
      </c>
      <c r="W1086" s="1">
        <f>IFERROR(__xludf.DUMMYFUNCTION("""COMPUTED_VALUE"""),1235.0)</f>
        <v>1235</v>
      </c>
      <c r="X1086" s="1">
        <f>IFERROR(__xludf.DUMMYFUNCTION("""COMPUTED_VALUE"""),382.0)</f>
        <v>382</v>
      </c>
      <c r="Y1086" s="2"/>
      <c r="Z1086" s="2"/>
    </row>
    <row r="1087">
      <c r="A1087" s="1">
        <f>IFERROR(__xludf.DUMMYFUNCTION("""COMPUTED_VALUE"""),1086.0)</f>
        <v>1086</v>
      </c>
      <c r="B1087" s="1">
        <f>IFERROR(__xludf.DUMMYFUNCTION("""COMPUTED_VALUE"""),5055.0)</f>
        <v>5055</v>
      </c>
      <c r="C1087" s="2" t="str">
        <f>IFERROR(__xludf.DUMMYFUNCTION("""COMPUTED_VALUE"""),"Nana")</f>
        <v>Nana</v>
      </c>
      <c r="D1087" s="2" t="str">
        <f>IFERROR(__xludf.DUMMYFUNCTION("""COMPUTED_VALUE"""),"5KM OVERALL F")</f>
        <v>5KM OVERALL F</v>
      </c>
      <c r="E1087" s="1">
        <f>IFERROR(__xludf.DUMMYFUNCTION("""COMPUTED_VALUE"""),2.0)</f>
        <v>2</v>
      </c>
      <c r="F1087" s="1" t="str">
        <f>IFERROR(__xludf.DUMMYFUNCTION("""COMPUTED_VALUE"""),"Female")</f>
        <v>Female</v>
      </c>
      <c r="G1087" s="4" t="b">
        <f>IFERROR(__xludf.DUMMYFUNCTION("""COMPUTED_VALUE"""),TRUE)</f>
        <v>1</v>
      </c>
      <c r="H1087" s="4" t="b">
        <f>IFERROR(__xludf.DUMMYFUNCTION("""COMPUTED_VALUE"""),TRUE)</f>
        <v>1</v>
      </c>
      <c r="I1087" s="4">
        <f>IFERROR(__xludf.DUMMYFUNCTION("""COMPUTED_VALUE"""),0.2549440625)</f>
        <v>0.2549440625</v>
      </c>
      <c r="J1087" s="4">
        <f>IFERROR(__xludf.DUMMYFUNCTION("""COMPUTED_VALUE"""),45949.26948848852)</f>
        <v>45949.26949</v>
      </c>
      <c r="K1087" s="4" t="str">
        <f>IFERROR(__xludf.DUMMYFUNCTION("""COMPUTED_VALUE"""),"")</f>
        <v/>
      </c>
      <c r="L1087" s="4">
        <f>IFERROR(__xludf.DUMMYFUNCTION("""COMPUTED_VALUE"""),45949.281678664986)</f>
        <v>45949.28168</v>
      </c>
      <c r="M1087" s="1" t="str">
        <f>IFERROR(__xludf.DUMMYFUNCTION("""COMPUTED_VALUE"""),"RFID")</f>
        <v>RFID</v>
      </c>
      <c r="N1087" s="5">
        <f>IFERROR(__xludf.DUMMYFUNCTION("""COMPUTED_VALUE"""),0.005817768518518518)</f>
        <v>0.005817768519</v>
      </c>
      <c r="O1087" s="5" t="str">
        <f>IFERROR(__xludf.DUMMYFUNCTION("""COMPUTED_VALUE"""),"")</f>
        <v/>
      </c>
      <c r="P1087" s="5" t="str">
        <f>IFERROR(__xludf.DUMMYFUNCTION("""COMPUTED_VALUE"""),"")</f>
        <v/>
      </c>
      <c r="Q1087" s="5">
        <f>IFERROR(__xludf.DUMMYFUNCTION("""COMPUTED_VALUE"""),0.005346921296296296)</f>
        <v>0.005346921296</v>
      </c>
      <c r="R1087" s="4">
        <f>IFERROR(__xludf.DUMMYFUNCTION("""COMPUTED_VALUE"""),45949.026734602485)</f>
        <v>45949.02673</v>
      </c>
      <c r="S1087" s="1" t="b">
        <f>IFERROR(__xludf.DUMMYFUNCTION("""COMPUTED_VALUE"""),TRUE)</f>
        <v>1</v>
      </c>
      <c r="T1087" s="1" t="b">
        <f>IFERROR(__xludf.DUMMYFUNCTION("""COMPUTED_VALUE"""),FALSE)</f>
        <v>0</v>
      </c>
      <c r="U1087" s="1" t="str">
        <f>IFERROR(__xludf.DUMMYFUNCTION("""COMPUTED_VALUE"""),"VALID")</f>
        <v>VALID</v>
      </c>
      <c r="V1087" s="1">
        <f>IFERROR(__xludf.DUMMYFUNCTION("""COMPUTED_VALUE"""),36.0)</f>
        <v>36</v>
      </c>
      <c r="W1087" s="1">
        <f>IFERROR(__xludf.DUMMYFUNCTION("""COMPUTED_VALUE"""),375.0)</f>
        <v>375</v>
      </c>
      <c r="X1087" s="1">
        <f>IFERROR(__xludf.DUMMYFUNCTION("""COMPUTED_VALUE"""),55.0)</f>
        <v>55</v>
      </c>
      <c r="Y1087" s="2"/>
      <c r="Z1087" s="2"/>
    </row>
    <row r="1088">
      <c r="A1088" s="1">
        <f>IFERROR(__xludf.DUMMYFUNCTION("""COMPUTED_VALUE"""),1087.0)</f>
        <v>1087</v>
      </c>
      <c r="B1088" s="1">
        <f>IFERROR(__xludf.DUMMYFUNCTION("""COMPUTED_VALUE"""),5059.0)</f>
        <v>5059</v>
      </c>
      <c r="C1088" s="2" t="str">
        <f>IFERROR(__xludf.DUMMYFUNCTION("""COMPUTED_VALUE"""),"Nieya")</f>
        <v>Nieya</v>
      </c>
      <c r="D1088" s="2" t="str">
        <f>IFERROR(__xludf.DUMMYFUNCTION("""COMPUTED_VALUE"""),"5KM OVERALL F")</f>
        <v>5KM OVERALL F</v>
      </c>
      <c r="E1088" s="1">
        <f>IFERROR(__xludf.DUMMYFUNCTION("""COMPUTED_VALUE"""),2.0)</f>
        <v>2</v>
      </c>
      <c r="F1088" s="1" t="str">
        <f>IFERROR(__xludf.DUMMYFUNCTION("""COMPUTED_VALUE"""),"Female")</f>
        <v>Female</v>
      </c>
      <c r="G1088" s="4" t="b">
        <f>IFERROR(__xludf.DUMMYFUNCTION("""COMPUTED_VALUE"""),TRUE)</f>
        <v>1</v>
      </c>
      <c r="H1088" s="4" t="b">
        <f>IFERROR(__xludf.DUMMYFUNCTION("""COMPUTED_VALUE"""),TRUE)</f>
        <v>1</v>
      </c>
      <c r="I1088" s="4">
        <f>IFERROR(__xludf.DUMMYFUNCTION("""COMPUTED_VALUE"""),0.2549440625)</f>
        <v>0.2549440625</v>
      </c>
      <c r="J1088" s="4">
        <f>IFERROR(__xludf.DUMMYFUNCTION("""COMPUTED_VALUE"""),45949.27808578849)</f>
        <v>45949.27809</v>
      </c>
      <c r="K1088" s="4" t="str">
        <f>IFERROR(__xludf.DUMMYFUNCTION("""COMPUTED_VALUE"""),"")</f>
        <v/>
      </c>
      <c r="L1088" s="4">
        <f>IFERROR(__xludf.DUMMYFUNCTION("""COMPUTED_VALUE"""),45949.29368211976)</f>
        <v>45949.29368</v>
      </c>
      <c r="M1088" s="1" t="str">
        <f>IFERROR(__xludf.DUMMYFUNCTION("""COMPUTED_VALUE"""),"RFID")</f>
        <v>RFID</v>
      </c>
      <c r="N1088" s="5">
        <f>IFERROR(__xludf.DUMMYFUNCTION("""COMPUTED_VALUE"""),0.009256689814814815)</f>
        <v>0.009256689815</v>
      </c>
      <c r="O1088" s="5" t="str">
        <f>IFERROR(__xludf.DUMMYFUNCTION("""COMPUTED_VALUE"""),"")</f>
        <v/>
      </c>
      <c r="P1088" s="5" t="str">
        <f>IFERROR(__xludf.DUMMYFUNCTION("""COMPUTED_VALUE"""),"")</f>
        <v/>
      </c>
      <c r="Q1088" s="5">
        <f>IFERROR(__xludf.DUMMYFUNCTION("""COMPUTED_VALUE"""),0.0077476111111111105)</f>
        <v>0.007747611111</v>
      </c>
      <c r="R1088" s="4">
        <f>IFERROR(__xludf.DUMMYFUNCTION("""COMPUTED_VALUE"""),45949.03873805726)</f>
        <v>45949.03874</v>
      </c>
      <c r="S1088" s="1" t="b">
        <f>IFERROR(__xludf.DUMMYFUNCTION("""COMPUTED_VALUE"""),TRUE)</f>
        <v>1</v>
      </c>
      <c r="T1088" s="1" t="b">
        <f>IFERROR(__xludf.DUMMYFUNCTION("""COMPUTED_VALUE"""),FALSE)</f>
        <v>0</v>
      </c>
      <c r="U1088" s="1" t="str">
        <f>IFERROR(__xludf.DUMMYFUNCTION("""COMPUTED_VALUE"""),"VALID")</f>
        <v>VALID</v>
      </c>
      <c r="V1088" s="1">
        <f>IFERROR(__xludf.DUMMYFUNCTION("""COMPUTED_VALUE"""),273.0)</f>
        <v>273</v>
      </c>
      <c r="W1088" s="1">
        <f>IFERROR(__xludf.DUMMYFUNCTION("""COMPUTED_VALUE"""),1146.0)</f>
        <v>1146</v>
      </c>
      <c r="X1088" s="1">
        <f>IFERROR(__xludf.DUMMYFUNCTION("""COMPUTED_VALUE"""),332.0)</f>
        <v>332</v>
      </c>
      <c r="Y1088" s="2"/>
      <c r="Z1088" s="2"/>
    </row>
    <row r="1089">
      <c r="A1089" s="1">
        <f>IFERROR(__xludf.DUMMYFUNCTION("""COMPUTED_VALUE"""),1088.0)</f>
        <v>1088</v>
      </c>
      <c r="B1089" s="1">
        <f>IFERROR(__xludf.DUMMYFUNCTION("""COMPUTED_VALUE"""),5064.0)</f>
        <v>5064</v>
      </c>
      <c r="C1089" s="2" t="str">
        <f>IFERROR(__xludf.DUMMYFUNCTION("""COMPUTED_VALUE"""),"Praedevy")</f>
        <v>Praedevy</v>
      </c>
      <c r="D1089" s="2" t="str">
        <f>IFERROR(__xludf.DUMMYFUNCTION("""COMPUTED_VALUE"""),"5KM OVERALL F")</f>
        <v>5KM OVERALL F</v>
      </c>
      <c r="E1089" s="1">
        <f>IFERROR(__xludf.DUMMYFUNCTION("""COMPUTED_VALUE"""),2.0)</f>
        <v>2</v>
      </c>
      <c r="F1089" s="1" t="str">
        <f>IFERROR(__xludf.DUMMYFUNCTION("""COMPUTED_VALUE"""),"Female")</f>
        <v>Female</v>
      </c>
      <c r="G1089" s="4" t="b">
        <f>IFERROR(__xludf.DUMMYFUNCTION("""COMPUTED_VALUE"""),TRUE)</f>
        <v>1</v>
      </c>
      <c r="H1089" s="4" t="b">
        <f>IFERROR(__xludf.DUMMYFUNCTION("""COMPUTED_VALUE"""),TRUE)</f>
        <v>1</v>
      </c>
      <c r="I1089" s="4">
        <f>IFERROR(__xludf.DUMMYFUNCTION("""COMPUTED_VALUE"""),0.2549440625)</f>
        <v>0.2549440625</v>
      </c>
      <c r="J1089" s="4">
        <f>IFERROR(__xludf.DUMMYFUNCTION("""COMPUTED_VALUE"""),45949.27916906169)</f>
        <v>45949.27917</v>
      </c>
      <c r="K1089" s="4" t="str">
        <f>IFERROR(__xludf.DUMMYFUNCTION("""COMPUTED_VALUE"""),"")</f>
        <v/>
      </c>
      <c r="L1089" s="4">
        <f>IFERROR(__xludf.DUMMYFUNCTION("""COMPUTED_VALUE"""),45949.297074499904)</f>
        <v>45949.29707</v>
      </c>
      <c r="M1089" s="1" t="str">
        <f>IFERROR(__xludf.DUMMYFUNCTION("""COMPUTED_VALUE"""),"RFID")</f>
        <v>RFID</v>
      </c>
      <c r="N1089" s="5">
        <f>IFERROR(__xludf.DUMMYFUNCTION("""COMPUTED_VALUE"""),0.00969)</f>
        <v>0.00969</v>
      </c>
      <c r="O1089" s="5" t="str">
        <f>IFERROR(__xludf.DUMMYFUNCTION("""COMPUTED_VALUE"""),"")</f>
        <v/>
      </c>
      <c r="P1089" s="5" t="str">
        <f>IFERROR(__xludf.DUMMYFUNCTION("""COMPUTED_VALUE"""),"")</f>
        <v/>
      </c>
      <c r="Q1089" s="5">
        <f>IFERROR(__xludf.DUMMYFUNCTION("""COMPUTED_VALUE"""),0.008426087962962963)</f>
        <v>0.008426087963</v>
      </c>
      <c r="R1089" s="4">
        <f>IFERROR(__xludf.DUMMYFUNCTION("""COMPUTED_VALUE"""),45949.0421304374)</f>
        <v>45949.04213</v>
      </c>
      <c r="S1089" s="1" t="b">
        <f>IFERROR(__xludf.DUMMYFUNCTION("""COMPUTED_VALUE"""),TRUE)</f>
        <v>1</v>
      </c>
      <c r="T1089" s="1" t="b">
        <f>IFERROR(__xludf.DUMMYFUNCTION("""COMPUTED_VALUE"""),FALSE)</f>
        <v>0</v>
      </c>
      <c r="U1089" s="1" t="str">
        <f>IFERROR(__xludf.DUMMYFUNCTION("""COMPUTED_VALUE"""),"VALID")</f>
        <v>VALID</v>
      </c>
      <c r="V1089" s="1">
        <f>IFERROR(__xludf.DUMMYFUNCTION("""COMPUTED_VALUE"""),359.0)</f>
        <v>359</v>
      </c>
      <c r="W1089" s="1">
        <f>IFERROR(__xludf.DUMMYFUNCTION("""COMPUTED_VALUE"""),1334.0)</f>
        <v>1334</v>
      </c>
      <c r="X1089" s="1">
        <f>IFERROR(__xludf.DUMMYFUNCTION("""COMPUTED_VALUE"""),437.0)</f>
        <v>437</v>
      </c>
      <c r="Y1089" s="2"/>
      <c r="Z1089" s="2"/>
    </row>
    <row r="1090">
      <c r="A1090" s="1">
        <f>IFERROR(__xludf.DUMMYFUNCTION("""COMPUTED_VALUE"""),1089.0)</f>
        <v>1089</v>
      </c>
      <c r="B1090" s="1">
        <f>IFERROR(__xludf.DUMMYFUNCTION("""COMPUTED_VALUE"""),5065.0)</f>
        <v>5065</v>
      </c>
      <c r="C1090" s="2" t="str">
        <f>IFERROR(__xludf.DUMMYFUNCTION("""COMPUTED_VALUE"""),"SARAH")</f>
        <v>SARAH</v>
      </c>
      <c r="D1090" s="2" t="str">
        <f>IFERROR(__xludf.DUMMYFUNCTION("""COMPUTED_VALUE"""),"5KM OVERALL F")</f>
        <v>5KM OVERALL F</v>
      </c>
      <c r="E1090" s="1">
        <f>IFERROR(__xludf.DUMMYFUNCTION("""COMPUTED_VALUE"""),2.0)</f>
        <v>2</v>
      </c>
      <c r="F1090" s="1" t="str">
        <f>IFERROR(__xludf.DUMMYFUNCTION("""COMPUTED_VALUE"""),"Female")</f>
        <v>Female</v>
      </c>
      <c r="G1090" s="4" t="b">
        <f>IFERROR(__xludf.DUMMYFUNCTION("""COMPUTED_VALUE"""),TRUE)</f>
        <v>1</v>
      </c>
      <c r="H1090" s="4" t="b">
        <f>IFERROR(__xludf.DUMMYFUNCTION("""COMPUTED_VALUE"""),TRUE)</f>
        <v>1</v>
      </c>
      <c r="I1090" s="4">
        <f>IFERROR(__xludf.DUMMYFUNCTION("""COMPUTED_VALUE"""),0.2549440625)</f>
        <v>0.2549440625</v>
      </c>
      <c r="J1090" s="4">
        <f>IFERROR(__xludf.DUMMYFUNCTION("""COMPUTED_VALUE"""),45949.27623156164)</f>
        <v>45949.27623</v>
      </c>
      <c r="K1090" s="4" t="str">
        <f>IFERROR(__xludf.DUMMYFUNCTION("""COMPUTED_VALUE"""),"")</f>
        <v/>
      </c>
      <c r="L1090" s="4">
        <f>IFERROR(__xludf.DUMMYFUNCTION("""COMPUTED_VALUE"""),45949.292199480245)</f>
        <v>45949.2922</v>
      </c>
      <c r="M1090" s="1" t="str">
        <f>IFERROR(__xludf.DUMMYFUNCTION("""COMPUTED_VALUE"""),"RFID")</f>
        <v>RFID</v>
      </c>
      <c r="N1090" s="5">
        <f>IFERROR(__xludf.DUMMYFUNCTION("""COMPUTED_VALUE"""),0.008515)</f>
        <v>0.008515</v>
      </c>
      <c r="O1090" s="5" t="str">
        <f>IFERROR(__xludf.DUMMYFUNCTION("""COMPUTED_VALUE"""),"")</f>
        <v/>
      </c>
      <c r="P1090" s="5" t="str">
        <f>IFERROR(__xludf.DUMMYFUNCTION("""COMPUTED_VALUE"""),"")</f>
        <v/>
      </c>
      <c r="Q1090" s="5">
        <f>IFERROR(__xludf.DUMMYFUNCTION("""COMPUTED_VALUE"""),0.007451083333333333)</f>
        <v>0.007451083333</v>
      </c>
      <c r="R1090" s="4">
        <f>IFERROR(__xludf.DUMMYFUNCTION("""COMPUTED_VALUE"""),45949.037255417745)</f>
        <v>45949.03726</v>
      </c>
      <c r="S1090" s="1" t="b">
        <f>IFERROR(__xludf.DUMMYFUNCTION("""COMPUTED_VALUE"""),TRUE)</f>
        <v>1</v>
      </c>
      <c r="T1090" s="1" t="b">
        <f>IFERROR(__xludf.DUMMYFUNCTION("""COMPUTED_VALUE"""),FALSE)</f>
        <v>0</v>
      </c>
      <c r="U1090" s="1" t="str">
        <f>IFERROR(__xludf.DUMMYFUNCTION("""COMPUTED_VALUE"""),"VALID")</f>
        <v>VALID</v>
      </c>
      <c r="V1090" s="1">
        <f>IFERROR(__xludf.DUMMYFUNCTION("""COMPUTED_VALUE"""),228.0)</f>
        <v>228</v>
      </c>
      <c r="W1090" s="1">
        <f>IFERROR(__xludf.DUMMYFUNCTION("""COMPUTED_VALUE"""),1045.0)</f>
        <v>1045</v>
      </c>
      <c r="X1090" s="1">
        <f>IFERROR(__xludf.DUMMYFUNCTION("""COMPUTED_VALUE"""),281.0)</f>
        <v>281</v>
      </c>
      <c r="Y1090" s="2"/>
      <c r="Z1090" s="2"/>
    </row>
    <row r="1091">
      <c r="A1091" s="1">
        <f>IFERROR(__xludf.DUMMYFUNCTION("""COMPUTED_VALUE"""),1090.0)</f>
        <v>1090</v>
      </c>
      <c r="B1091" s="1">
        <f>IFERROR(__xludf.DUMMYFUNCTION("""COMPUTED_VALUE"""),5066.0)</f>
        <v>5066</v>
      </c>
      <c r="C1091" s="2" t="str">
        <f>IFERROR(__xludf.DUMMYFUNCTION("""COMPUTED_VALUE"""),"DINA")</f>
        <v>DINA</v>
      </c>
      <c r="D1091" s="2" t="str">
        <f>IFERROR(__xludf.DUMMYFUNCTION("""COMPUTED_VALUE"""),"5KM OVERALL F")</f>
        <v>5KM OVERALL F</v>
      </c>
      <c r="E1091" s="1">
        <f>IFERROR(__xludf.DUMMYFUNCTION("""COMPUTED_VALUE"""),2.0)</f>
        <v>2</v>
      </c>
      <c r="F1091" s="1" t="str">
        <f>IFERROR(__xludf.DUMMYFUNCTION("""COMPUTED_VALUE"""),"Female")</f>
        <v>Female</v>
      </c>
      <c r="G1091" s="4" t="b">
        <f>IFERROR(__xludf.DUMMYFUNCTION("""COMPUTED_VALUE"""),TRUE)</f>
        <v>1</v>
      </c>
      <c r="H1091" s="4" t="b">
        <f>IFERROR(__xludf.DUMMYFUNCTION("""COMPUTED_VALUE"""),TRUE)</f>
        <v>1</v>
      </c>
      <c r="I1091" s="4">
        <f>IFERROR(__xludf.DUMMYFUNCTION("""COMPUTED_VALUE"""),0.2549440625)</f>
        <v>0.2549440625</v>
      </c>
      <c r="J1091" s="4">
        <f>IFERROR(__xludf.DUMMYFUNCTION("""COMPUTED_VALUE"""),45949.27461696964)</f>
        <v>45949.27462</v>
      </c>
      <c r="K1091" s="4" t="str">
        <f>IFERROR(__xludf.DUMMYFUNCTION("""COMPUTED_VALUE"""),"")</f>
        <v/>
      </c>
      <c r="L1091" s="4">
        <f>IFERROR(__xludf.DUMMYFUNCTION("""COMPUTED_VALUE"""),45949.29177934667)</f>
        <v>45949.29178</v>
      </c>
      <c r="M1091" s="1" t="str">
        <f>IFERROR(__xludf.DUMMYFUNCTION("""COMPUTED_VALUE"""),"RFID")</f>
        <v>RFID</v>
      </c>
      <c r="N1091" s="5">
        <f>IFERROR(__xludf.DUMMYFUNCTION("""COMPUTED_VALUE"""),0.007869162037037037)</f>
        <v>0.007869162037</v>
      </c>
      <c r="O1091" s="5" t="str">
        <f>IFERROR(__xludf.DUMMYFUNCTION("""COMPUTED_VALUE"""),"")</f>
        <v/>
      </c>
      <c r="P1091" s="5" t="str">
        <f>IFERROR(__xludf.DUMMYFUNCTION("""COMPUTED_VALUE"""),"")</f>
        <v/>
      </c>
      <c r="Q1091" s="5">
        <f>IFERROR(__xludf.DUMMYFUNCTION("""COMPUTED_VALUE"""),0.007367057870370371)</f>
        <v>0.00736705787</v>
      </c>
      <c r="R1091" s="4">
        <f>IFERROR(__xludf.DUMMYFUNCTION("""COMPUTED_VALUE"""),45949.03683528417)</f>
        <v>45949.03684</v>
      </c>
      <c r="S1091" s="1" t="b">
        <f>IFERROR(__xludf.DUMMYFUNCTION("""COMPUTED_VALUE"""),TRUE)</f>
        <v>1</v>
      </c>
      <c r="T1091" s="1" t="b">
        <f>IFERROR(__xludf.DUMMYFUNCTION("""COMPUTED_VALUE"""),FALSE)</f>
        <v>0</v>
      </c>
      <c r="U1091" s="1" t="str">
        <f>IFERROR(__xludf.DUMMYFUNCTION("""COMPUTED_VALUE"""),"VALID")</f>
        <v>VALID</v>
      </c>
      <c r="V1091" s="1">
        <f>IFERROR(__xludf.DUMMYFUNCTION("""COMPUTED_VALUE"""),213.0)</f>
        <v>213</v>
      </c>
      <c r="W1091" s="1">
        <f>IFERROR(__xludf.DUMMYFUNCTION("""COMPUTED_VALUE"""),1018.0)</f>
        <v>1018</v>
      </c>
      <c r="X1091" s="1">
        <f>IFERROR(__xludf.DUMMYFUNCTION("""COMPUTED_VALUE"""),265.0)</f>
        <v>265</v>
      </c>
      <c r="Y1091" s="2"/>
      <c r="Z1091" s="2"/>
    </row>
    <row r="1092">
      <c r="A1092" s="1">
        <f>IFERROR(__xludf.DUMMYFUNCTION("""COMPUTED_VALUE"""),1091.0)</f>
        <v>1091</v>
      </c>
      <c r="B1092" s="1">
        <f>IFERROR(__xludf.DUMMYFUNCTION("""COMPUTED_VALUE"""),5067.0)</f>
        <v>5067</v>
      </c>
      <c r="C1092" s="2" t="str">
        <f>IFERROR(__xludf.DUMMYFUNCTION("""COMPUTED_VALUE"""),"Dewi SN")</f>
        <v>Dewi SN</v>
      </c>
      <c r="D1092" s="2" t="str">
        <f>IFERROR(__xludf.DUMMYFUNCTION("""COMPUTED_VALUE"""),"5KM OVERALL F")</f>
        <v>5KM OVERALL F</v>
      </c>
      <c r="E1092" s="1">
        <f>IFERROR(__xludf.DUMMYFUNCTION("""COMPUTED_VALUE"""),2.0)</f>
        <v>2</v>
      </c>
      <c r="F1092" s="1" t="str">
        <f>IFERROR(__xludf.DUMMYFUNCTION("""COMPUTED_VALUE"""),"Female")</f>
        <v>Female</v>
      </c>
      <c r="G1092" s="4" t="b">
        <f>IFERROR(__xludf.DUMMYFUNCTION("""COMPUTED_VALUE"""),TRUE)</f>
        <v>1</v>
      </c>
      <c r="H1092" s="4" t="b">
        <f>IFERROR(__xludf.DUMMYFUNCTION("""COMPUTED_VALUE"""),TRUE)</f>
        <v>1</v>
      </c>
      <c r="I1092" s="4">
        <f>IFERROR(__xludf.DUMMYFUNCTION("""COMPUTED_VALUE"""),0.2549440625)</f>
        <v>0.2549440625</v>
      </c>
      <c r="J1092" s="4">
        <f>IFERROR(__xludf.DUMMYFUNCTION("""COMPUTED_VALUE"""),45949.27097461406)</f>
        <v>45949.27097</v>
      </c>
      <c r="K1092" s="4" t="str">
        <f>IFERROR(__xludf.DUMMYFUNCTION("""COMPUTED_VALUE"""),"")</f>
        <v/>
      </c>
      <c r="L1092" s="4">
        <f>IFERROR(__xludf.DUMMYFUNCTION("""COMPUTED_VALUE"""),45949.28322435993)</f>
        <v>45949.28322</v>
      </c>
      <c r="M1092" s="1" t="str">
        <f>IFERROR(__xludf.DUMMYFUNCTION("""COMPUTED_VALUE"""),"RFID")</f>
        <v>RFID</v>
      </c>
      <c r="N1092" s="5">
        <f>IFERROR(__xludf.DUMMYFUNCTION("""COMPUTED_VALUE"""),0.006412222222222222)</f>
        <v>0.006412222222</v>
      </c>
      <c r="O1092" s="5" t="str">
        <f>IFERROR(__xludf.DUMMYFUNCTION("""COMPUTED_VALUE"""),"")</f>
        <v/>
      </c>
      <c r="P1092" s="5" t="str">
        <f>IFERROR(__xludf.DUMMYFUNCTION("""COMPUTED_VALUE"""),"")</f>
        <v/>
      </c>
      <c r="Q1092" s="5">
        <f>IFERROR(__xludf.DUMMYFUNCTION("""COMPUTED_VALUE"""),0.005656060185185186)</f>
        <v>0.005656060185</v>
      </c>
      <c r="R1092" s="4">
        <f>IFERROR(__xludf.DUMMYFUNCTION("""COMPUTED_VALUE"""),45949.02828029743)</f>
        <v>45949.02828</v>
      </c>
      <c r="S1092" s="1" t="b">
        <f>IFERROR(__xludf.DUMMYFUNCTION("""COMPUTED_VALUE"""),TRUE)</f>
        <v>1</v>
      </c>
      <c r="T1092" s="1" t="b">
        <f>IFERROR(__xludf.DUMMYFUNCTION("""COMPUTED_VALUE"""),FALSE)</f>
        <v>0</v>
      </c>
      <c r="U1092" s="1" t="str">
        <f>IFERROR(__xludf.DUMMYFUNCTION("""COMPUTED_VALUE"""),"VALID")</f>
        <v>VALID</v>
      </c>
      <c r="V1092" s="1">
        <f>IFERROR(__xludf.DUMMYFUNCTION("""COMPUTED_VALUE"""),45.0)</f>
        <v>45</v>
      </c>
      <c r="W1092" s="1">
        <f>IFERROR(__xludf.DUMMYFUNCTION("""COMPUTED_VALUE"""),446.0)</f>
        <v>446</v>
      </c>
      <c r="X1092" s="1">
        <f>IFERROR(__xludf.DUMMYFUNCTION("""COMPUTED_VALUE"""),66.0)</f>
        <v>66</v>
      </c>
      <c r="Y1092" s="2"/>
      <c r="Z1092" s="2"/>
    </row>
    <row r="1093">
      <c r="A1093" s="1">
        <f>IFERROR(__xludf.DUMMYFUNCTION("""COMPUTED_VALUE"""),1092.0)</f>
        <v>1092</v>
      </c>
      <c r="B1093" s="1">
        <f>IFERROR(__xludf.DUMMYFUNCTION("""COMPUTED_VALUE"""),5072.0)</f>
        <v>5072</v>
      </c>
      <c r="C1093" s="2" t="str">
        <f>IFERROR(__xludf.DUMMYFUNCTION("""COMPUTED_VALUE"""),"YATI")</f>
        <v>YATI</v>
      </c>
      <c r="D1093" s="2" t="str">
        <f>IFERROR(__xludf.DUMMYFUNCTION("""COMPUTED_VALUE"""),"5KM OVERALL F")</f>
        <v>5KM OVERALL F</v>
      </c>
      <c r="E1093" s="1">
        <f>IFERROR(__xludf.DUMMYFUNCTION("""COMPUTED_VALUE"""),2.0)</f>
        <v>2</v>
      </c>
      <c r="F1093" s="1" t="str">
        <f>IFERROR(__xludf.DUMMYFUNCTION("""COMPUTED_VALUE"""),"Female")</f>
        <v>Female</v>
      </c>
      <c r="G1093" s="4" t="b">
        <f>IFERROR(__xludf.DUMMYFUNCTION("""COMPUTED_VALUE"""),TRUE)</f>
        <v>1</v>
      </c>
      <c r="H1093" s="4" t="b">
        <f>IFERROR(__xludf.DUMMYFUNCTION("""COMPUTED_VALUE"""),FALSE)</f>
        <v>0</v>
      </c>
      <c r="I1093" s="4">
        <f>IFERROR(__xludf.DUMMYFUNCTION("""COMPUTED_VALUE"""),0.2549440625)</f>
        <v>0.2549440625</v>
      </c>
      <c r="J1093" s="4">
        <f>IFERROR(__xludf.DUMMYFUNCTION("""COMPUTED_VALUE"""),45949.27583571896)</f>
        <v>45949.27584</v>
      </c>
      <c r="K1093" s="4" t="str">
        <f>IFERROR(__xludf.DUMMYFUNCTION("""COMPUTED_VALUE"""),"")</f>
        <v/>
      </c>
      <c r="L1093" s="4">
        <f>IFERROR(__xludf.DUMMYFUNCTION("""COMPUTED_VALUE"""),45949.29156754666)</f>
        <v>45949.29157</v>
      </c>
      <c r="M1093" s="1" t="str">
        <f>IFERROR(__xludf.DUMMYFUNCTION("""COMPUTED_VALUE"""),"RFID")</f>
        <v>RFID</v>
      </c>
      <c r="N1093" s="5">
        <f>IFERROR(__xludf.DUMMYFUNCTION("""COMPUTED_VALUE"""),0.008356662037037037)</f>
        <v>0.008356662037</v>
      </c>
      <c r="O1093" s="5" t="str">
        <f>IFERROR(__xludf.DUMMYFUNCTION("""COMPUTED_VALUE"""),"")</f>
        <v/>
      </c>
      <c r="P1093" s="5" t="str">
        <f>IFERROR(__xludf.DUMMYFUNCTION("""COMPUTED_VALUE"""),"")</f>
        <v/>
      </c>
      <c r="Q1093" s="5">
        <f>IFERROR(__xludf.DUMMYFUNCTION("""COMPUTED_VALUE"""),0.007324696759259258)</f>
        <v>0.007324696759</v>
      </c>
      <c r="R1093" s="4">
        <f>IFERROR(__xludf.DUMMYFUNCTION("""COMPUTED_VALUE"""),45949.03662348416)</f>
        <v>45949.03662</v>
      </c>
      <c r="S1093" s="1" t="b">
        <f>IFERROR(__xludf.DUMMYFUNCTION("""COMPUTED_VALUE"""),TRUE)</f>
        <v>1</v>
      </c>
      <c r="T1093" s="1" t="b">
        <f>IFERROR(__xludf.DUMMYFUNCTION("""COMPUTED_VALUE"""),FALSE)</f>
        <v>0</v>
      </c>
      <c r="U1093" s="1" t="str">
        <f>IFERROR(__xludf.DUMMYFUNCTION("""COMPUTED_VALUE"""),"VALID")</f>
        <v>VALID</v>
      </c>
      <c r="V1093" s="1">
        <f>IFERROR(__xludf.DUMMYFUNCTION("""COMPUTED_VALUE"""),208.0)</f>
        <v>208</v>
      </c>
      <c r="W1093" s="1">
        <f>IFERROR(__xludf.DUMMYFUNCTION("""COMPUTED_VALUE"""),1003.0)</f>
        <v>1003</v>
      </c>
      <c r="X1093" s="1">
        <f>IFERROR(__xludf.DUMMYFUNCTION("""COMPUTED_VALUE"""),259.0)</f>
        <v>259</v>
      </c>
      <c r="Y1093" s="2"/>
      <c r="Z1093" s="2"/>
    </row>
    <row r="1094">
      <c r="A1094" s="1">
        <f>IFERROR(__xludf.DUMMYFUNCTION("""COMPUTED_VALUE"""),1093.0)</f>
        <v>1093</v>
      </c>
      <c r="B1094" s="1">
        <f>IFERROR(__xludf.DUMMYFUNCTION("""COMPUTED_VALUE"""),5073.0)</f>
        <v>5073</v>
      </c>
      <c r="C1094" s="2" t="str">
        <f>IFERROR(__xludf.DUMMYFUNCTION("""COMPUTED_VALUE"""),"Ovi")</f>
        <v>Ovi</v>
      </c>
      <c r="D1094" s="2" t="str">
        <f>IFERROR(__xludf.DUMMYFUNCTION("""COMPUTED_VALUE"""),"5KM OVERALL F")</f>
        <v>5KM OVERALL F</v>
      </c>
      <c r="E1094" s="1">
        <f>IFERROR(__xludf.DUMMYFUNCTION("""COMPUTED_VALUE"""),2.0)</f>
        <v>2</v>
      </c>
      <c r="F1094" s="1" t="str">
        <f>IFERROR(__xludf.DUMMYFUNCTION("""COMPUTED_VALUE"""),"Female")</f>
        <v>Female</v>
      </c>
      <c r="G1094" s="4" t="b">
        <f>IFERROR(__xludf.DUMMYFUNCTION("""COMPUTED_VALUE"""),TRUE)</f>
        <v>1</v>
      </c>
      <c r="H1094" s="4" t="b">
        <f>IFERROR(__xludf.DUMMYFUNCTION("""COMPUTED_VALUE"""),FALSE)</f>
        <v>0</v>
      </c>
      <c r="I1094" s="4">
        <f>IFERROR(__xludf.DUMMYFUNCTION("""COMPUTED_VALUE"""),0.2549440625)</f>
        <v>0.2549440625</v>
      </c>
      <c r="J1094" s="4">
        <f>IFERROR(__xludf.DUMMYFUNCTION("""COMPUTED_VALUE"""),45949.27791911236)</f>
        <v>45949.27792</v>
      </c>
      <c r="K1094" s="4" t="str">
        <f>IFERROR(__xludf.DUMMYFUNCTION("""COMPUTED_VALUE"""),"")</f>
        <v/>
      </c>
      <c r="L1094" s="4">
        <f>IFERROR(__xludf.DUMMYFUNCTION("""COMPUTED_VALUE"""),45949.29670294594)</f>
        <v>45949.2967</v>
      </c>
      <c r="M1094" s="1" t="str">
        <f>IFERROR(__xludf.DUMMYFUNCTION("""COMPUTED_VALUE"""),"RFID")</f>
        <v>RFID</v>
      </c>
      <c r="N1094" s="5">
        <f>IFERROR(__xludf.DUMMYFUNCTION("""COMPUTED_VALUE"""),0.00919001851851852)</f>
        <v>0.009190018519</v>
      </c>
      <c r="O1094" s="5" t="str">
        <f>IFERROR(__xludf.DUMMYFUNCTION("""COMPUTED_VALUE"""),"")</f>
        <v/>
      </c>
      <c r="P1094" s="5" t="str">
        <f>IFERROR(__xludf.DUMMYFUNCTION("""COMPUTED_VALUE"""),"")</f>
        <v/>
      </c>
      <c r="Q1094" s="5">
        <f>IFERROR(__xludf.DUMMYFUNCTION("""COMPUTED_VALUE"""),0.008351777777777777)</f>
        <v>0.008351777778</v>
      </c>
      <c r="R1094" s="4">
        <f>IFERROR(__xludf.DUMMYFUNCTION("""COMPUTED_VALUE"""),45949.04175888344)</f>
        <v>45949.04176</v>
      </c>
      <c r="S1094" s="1" t="b">
        <f>IFERROR(__xludf.DUMMYFUNCTION("""COMPUTED_VALUE"""),TRUE)</f>
        <v>1</v>
      </c>
      <c r="T1094" s="1" t="b">
        <f>IFERROR(__xludf.DUMMYFUNCTION("""COMPUTED_VALUE"""),FALSE)</f>
        <v>0</v>
      </c>
      <c r="U1094" s="1" t="str">
        <f>IFERROR(__xludf.DUMMYFUNCTION("""COMPUTED_VALUE"""),"VALID")</f>
        <v>VALID</v>
      </c>
      <c r="V1094" s="1">
        <f>IFERROR(__xludf.DUMMYFUNCTION("""COMPUTED_VALUE"""),355.0)</f>
        <v>355</v>
      </c>
      <c r="W1094" s="1">
        <f>IFERROR(__xludf.DUMMYFUNCTION("""COMPUTED_VALUE"""),1324.0)</f>
        <v>1324</v>
      </c>
      <c r="X1094" s="1">
        <f>IFERROR(__xludf.DUMMYFUNCTION("""COMPUTED_VALUE"""),430.0)</f>
        <v>430</v>
      </c>
      <c r="Y1094" s="2"/>
      <c r="Z1094" s="2"/>
    </row>
    <row r="1095">
      <c r="A1095" s="1">
        <f>IFERROR(__xludf.DUMMYFUNCTION("""COMPUTED_VALUE"""),1094.0)</f>
        <v>1094</v>
      </c>
      <c r="B1095" s="1">
        <f>IFERROR(__xludf.DUMMYFUNCTION("""COMPUTED_VALUE"""),5075.0)</f>
        <v>5075</v>
      </c>
      <c r="C1095" s="2" t="str">
        <f>IFERROR(__xludf.DUMMYFUNCTION("""COMPUTED_VALUE"""),"atkia")</f>
        <v>atkia</v>
      </c>
      <c r="D1095" s="2" t="str">
        <f>IFERROR(__xludf.DUMMYFUNCTION("""COMPUTED_VALUE"""),"5KM OVERALL F")</f>
        <v>5KM OVERALL F</v>
      </c>
      <c r="E1095" s="1">
        <f>IFERROR(__xludf.DUMMYFUNCTION("""COMPUTED_VALUE"""),2.0)</f>
        <v>2</v>
      </c>
      <c r="F1095" s="1" t="str">
        <f>IFERROR(__xludf.DUMMYFUNCTION("""COMPUTED_VALUE"""),"Female")</f>
        <v>Female</v>
      </c>
      <c r="G1095" s="4" t="b">
        <f>IFERROR(__xludf.DUMMYFUNCTION("""COMPUTED_VALUE"""),TRUE)</f>
        <v>1</v>
      </c>
      <c r="H1095" s="4" t="b">
        <f>IFERROR(__xludf.DUMMYFUNCTION("""COMPUTED_VALUE"""),TRUE)</f>
        <v>1</v>
      </c>
      <c r="I1095" s="4">
        <f>IFERROR(__xludf.DUMMYFUNCTION("""COMPUTED_VALUE"""),0.2549440625)</f>
        <v>0.2549440625</v>
      </c>
      <c r="J1095" s="4">
        <f>IFERROR(__xludf.DUMMYFUNCTION("""COMPUTED_VALUE"""),45949.27527675285)</f>
        <v>45949.27528</v>
      </c>
      <c r="K1095" s="4" t="str">
        <f>IFERROR(__xludf.DUMMYFUNCTION("""COMPUTED_VALUE"""),"")</f>
        <v/>
      </c>
      <c r="L1095" s="4">
        <f>IFERROR(__xludf.DUMMYFUNCTION("""COMPUTED_VALUE"""),45949.28906401012)</f>
        <v>45949.28906</v>
      </c>
      <c r="M1095" s="1" t="str">
        <f>IFERROR(__xludf.DUMMYFUNCTION("""COMPUTED_VALUE"""),"RFID")</f>
        <v>RFID</v>
      </c>
      <c r="N1095" s="5">
        <f>IFERROR(__xludf.DUMMYFUNCTION("""COMPUTED_VALUE"""),0.008133074074074074)</f>
        <v>0.008133074074</v>
      </c>
      <c r="O1095" s="5" t="str">
        <f>IFERROR(__xludf.DUMMYFUNCTION("""COMPUTED_VALUE"""),"")</f>
        <v/>
      </c>
      <c r="P1095" s="5" t="str">
        <f>IFERROR(__xludf.DUMMYFUNCTION("""COMPUTED_VALUE"""),"")</f>
        <v/>
      </c>
      <c r="Q1095" s="5">
        <f>IFERROR(__xludf.DUMMYFUNCTION("""COMPUTED_VALUE"""),0.006823988425925927)</f>
        <v>0.006823988426</v>
      </c>
      <c r="R1095" s="4">
        <f>IFERROR(__xludf.DUMMYFUNCTION("""COMPUTED_VALUE"""),45949.03411994762)</f>
        <v>45949.03412</v>
      </c>
      <c r="S1095" s="1" t="b">
        <f>IFERROR(__xludf.DUMMYFUNCTION("""COMPUTED_VALUE"""),TRUE)</f>
        <v>1</v>
      </c>
      <c r="T1095" s="1" t="b">
        <f>IFERROR(__xludf.DUMMYFUNCTION("""COMPUTED_VALUE"""),FALSE)</f>
        <v>0</v>
      </c>
      <c r="U1095" s="1" t="str">
        <f>IFERROR(__xludf.DUMMYFUNCTION("""COMPUTED_VALUE"""),"VALID")</f>
        <v>VALID</v>
      </c>
      <c r="V1095" s="1">
        <f>IFERROR(__xludf.DUMMYFUNCTION("""COMPUTED_VALUE"""),152.0)</f>
        <v>152</v>
      </c>
      <c r="W1095" s="1">
        <f>IFERROR(__xludf.DUMMYFUNCTION("""COMPUTED_VALUE"""),849.0)</f>
        <v>849</v>
      </c>
      <c r="X1095" s="1">
        <f>IFERROR(__xludf.DUMMYFUNCTION("""COMPUTED_VALUE"""),187.0)</f>
        <v>187</v>
      </c>
      <c r="Y1095" s="2"/>
      <c r="Z1095" s="2"/>
    </row>
    <row r="1096">
      <c r="A1096" s="1">
        <f>IFERROR(__xludf.DUMMYFUNCTION("""COMPUTED_VALUE"""),1095.0)</f>
        <v>1095</v>
      </c>
      <c r="B1096" s="1">
        <f>IFERROR(__xludf.DUMMYFUNCTION("""COMPUTED_VALUE"""),5077.0)</f>
        <v>5077</v>
      </c>
      <c r="C1096" s="2" t="str">
        <f>IFERROR(__xludf.DUMMYFUNCTION("""COMPUTED_VALUE"""),"ridha")</f>
        <v>ridha</v>
      </c>
      <c r="D1096" s="2" t="str">
        <f>IFERROR(__xludf.DUMMYFUNCTION("""COMPUTED_VALUE"""),"5KM OVERALL F")</f>
        <v>5KM OVERALL F</v>
      </c>
      <c r="E1096" s="1">
        <f>IFERROR(__xludf.DUMMYFUNCTION("""COMPUTED_VALUE"""),2.0)</f>
        <v>2</v>
      </c>
      <c r="F1096" s="1" t="str">
        <f>IFERROR(__xludf.DUMMYFUNCTION("""COMPUTED_VALUE"""),"Female")</f>
        <v>Female</v>
      </c>
      <c r="G1096" s="4" t="b">
        <f>IFERROR(__xludf.DUMMYFUNCTION("""COMPUTED_VALUE"""),TRUE)</f>
        <v>1</v>
      </c>
      <c r="H1096" s="4" t="b">
        <f>IFERROR(__xludf.DUMMYFUNCTION("""COMPUTED_VALUE"""),TRUE)</f>
        <v>1</v>
      </c>
      <c r="I1096" s="4">
        <f>IFERROR(__xludf.DUMMYFUNCTION("""COMPUTED_VALUE"""),0.2549440625)</f>
        <v>0.2549440625</v>
      </c>
      <c r="J1096" s="4">
        <f>IFERROR(__xludf.DUMMYFUNCTION("""COMPUTED_VALUE"""),45949.277554517175)</f>
        <v>45949.27755</v>
      </c>
      <c r="K1096" s="4" t="str">
        <f>IFERROR(__xludf.DUMMYFUNCTION("""COMPUTED_VALUE"""),"")</f>
        <v/>
      </c>
      <c r="L1096" s="4">
        <f>IFERROR(__xludf.DUMMYFUNCTION("""COMPUTED_VALUE"""),45949.2924355925)</f>
        <v>45949.29244</v>
      </c>
      <c r="M1096" s="1" t="str">
        <f>IFERROR(__xludf.DUMMYFUNCTION("""COMPUTED_VALUE"""),"RFID")</f>
        <v>RFID</v>
      </c>
      <c r="N1096" s="5">
        <f>IFERROR(__xludf.DUMMYFUNCTION("""COMPUTED_VALUE"""),0.009044180555555555)</f>
        <v>0.009044180556</v>
      </c>
      <c r="O1096" s="5" t="str">
        <f>IFERROR(__xludf.DUMMYFUNCTION("""COMPUTED_VALUE"""),"")</f>
        <v/>
      </c>
      <c r="P1096" s="5" t="str">
        <f>IFERROR(__xludf.DUMMYFUNCTION("""COMPUTED_VALUE"""),"")</f>
        <v/>
      </c>
      <c r="Q1096" s="5">
        <f>IFERROR(__xludf.DUMMYFUNCTION("""COMPUTED_VALUE"""),0.007498305555555555)</f>
        <v>0.007498305556</v>
      </c>
      <c r="R1096" s="4">
        <f>IFERROR(__xludf.DUMMYFUNCTION("""COMPUTED_VALUE"""),45949.03749153)</f>
        <v>45949.03749</v>
      </c>
      <c r="S1096" s="1" t="b">
        <f>IFERROR(__xludf.DUMMYFUNCTION("""COMPUTED_VALUE"""),TRUE)</f>
        <v>1</v>
      </c>
      <c r="T1096" s="1" t="b">
        <f>IFERROR(__xludf.DUMMYFUNCTION("""COMPUTED_VALUE"""),FALSE)</f>
        <v>0</v>
      </c>
      <c r="U1096" s="1" t="str">
        <f>IFERROR(__xludf.DUMMYFUNCTION("""COMPUTED_VALUE"""),"VALID")</f>
        <v>VALID</v>
      </c>
      <c r="V1096" s="1">
        <f>IFERROR(__xludf.DUMMYFUNCTION("""COMPUTED_VALUE"""),234.0)</f>
        <v>234</v>
      </c>
      <c r="W1096" s="1">
        <f>IFERROR(__xludf.DUMMYFUNCTION("""COMPUTED_VALUE"""),1056.0)</f>
        <v>1056</v>
      </c>
      <c r="X1096" s="1">
        <f>IFERROR(__xludf.DUMMYFUNCTION("""COMPUTED_VALUE"""),287.0)</f>
        <v>287</v>
      </c>
      <c r="Y1096" s="2"/>
      <c r="Z1096" s="2"/>
    </row>
    <row r="1097">
      <c r="A1097" s="1">
        <f>IFERROR(__xludf.DUMMYFUNCTION("""COMPUTED_VALUE"""),1096.0)</f>
        <v>1096</v>
      </c>
      <c r="B1097" s="1">
        <f>IFERROR(__xludf.DUMMYFUNCTION("""COMPUTED_VALUE"""),5080.0)</f>
        <v>5080</v>
      </c>
      <c r="C1097" s="2" t="str">
        <f>IFERROR(__xludf.DUMMYFUNCTION("""COMPUTED_VALUE"""),"Faiza")</f>
        <v>Faiza</v>
      </c>
      <c r="D1097" s="2" t="str">
        <f>IFERROR(__xludf.DUMMYFUNCTION("""COMPUTED_VALUE"""),"5KM OVERALL F")</f>
        <v>5KM OVERALL F</v>
      </c>
      <c r="E1097" s="1">
        <f>IFERROR(__xludf.DUMMYFUNCTION("""COMPUTED_VALUE"""),2.0)</f>
        <v>2</v>
      </c>
      <c r="F1097" s="1" t="str">
        <f>IFERROR(__xludf.DUMMYFUNCTION("""COMPUTED_VALUE"""),"Female")</f>
        <v>Female</v>
      </c>
      <c r="G1097" s="4" t="b">
        <f>IFERROR(__xludf.DUMMYFUNCTION("""COMPUTED_VALUE"""),TRUE)</f>
        <v>1</v>
      </c>
      <c r="H1097" s="4" t="b">
        <f>IFERROR(__xludf.DUMMYFUNCTION("""COMPUTED_VALUE"""),FALSE)</f>
        <v>0</v>
      </c>
      <c r="I1097" s="4">
        <f>IFERROR(__xludf.DUMMYFUNCTION("""COMPUTED_VALUE"""),0.2549440625)</f>
        <v>0.2549440625</v>
      </c>
      <c r="J1097" s="4">
        <f>IFERROR(__xludf.DUMMYFUNCTION("""COMPUTED_VALUE"""),45949.27776973761)</f>
        <v>45949.27777</v>
      </c>
      <c r="K1097" s="4" t="str">
        <f>IFERROR(__xludf.DUMMYFUNCTION("""COMPUTED_VALUE"""),"")</f>
        <v/>
      </c>
      <c r="L1097" s="4">
        <f>IFERROR(__xludf.DUMMYFUNCTION("""COMPUTED_VALUE"""),45949.29331407412)</f>
        <v>45949.29331</v>
      </c>
      <c r="M1097" s="1" t="str">
        <f>IFERROR(__xludf.DUMMYFUNCTION("""COMPUTED_VALUE"""),"RFID")</f>
        <v>RFID</v>
      </c>
      <c r="N1097" s="5">
        <f>IFERROR(__xludf.DUMMYFUNCTION("""COMPUTED_VALUE"""),0.009130268518518518)</f>
        <v>0.009130268519</v>
      </c>
      <c r="O1097" s="5" t="str">
        <f>IFERROR(__xludf.DUMMYFUNCTION("""COMPUTED_VALUE"""),"")</f>
        <v/>
      </c>
      <c r="P1097" s="5" t="str">
        <f>IFERROR(__xludf.DUMMYFUNCTION("""COMPUTED_VALUE"""),"")</f>
        <v/>
      </c>
      <c r="Q1097" s="5">
        <f>IFERROR(__xludf.DUMMYFUNCTION("""COMPUTED_VALUE"""),0.007674002314814815)</f>
        <v>0.007674002315</v>
      </c>
      <c r="R1097" s="4">
        <f>IFERROR(__xludf.DUMMYFUNCTION("""COMPUTED_VALUE"""),45949.03837001162)</f>
        <v>45949.03837</v>
      </c>
      <c r="S1097" s="1" t="b">
        <f>IFERROR(__xludf.DUMMYFUNCTION("""COMPUTED_VALUE"""),TRUE)</f>
        <v>1</v>
      </c>
      <c r="T1097" s="1" t="b">
        <f>IFERROR(__xludf.DUMMYFUNCTION("""COMPUTED_VALUE"""),FALSE)</f>
        <v>0</v>
      </c>
      <c r="U1097" s="1" t="str">
        <f>IFERROR(__xludf.DUMMYFUNCTION("""COMPUTED_VALUE"""),"VALID")</f>
        <v>VALID</v>
      </c>
      <c r="V1097" s="1">
        <f>IFERROR(__xludf.DUMMYFUNCTION("""COMPUTED_VALUE"""),264.0)</f>
        <v>264</v>
      </c>
      <c r="W1097" s="1">
        <f>IFERROR(__xludf.DUMMYFUNCTION("""COMPUTED_VALUE"""),1126.0)</f>
        <v>1126</v>
      </c>
      <c r="X1097" s="1">
        <f>IFERROR(__xludf.DUMMYFUNCTION("""COMPUTED_VALUE"""),323.0)</f>
        <v>323</v>
      </c>
      <c r="Y1097" s="2"/>
      <c r="Z1097" s="2"/>
    </row>
    <row r="1098">
      <c r="A1098" s="1">
        <f>IFERROR(__xludf.DUMMYFUNCTION("""COMPUTED_VALUE"""),1097.0)</f>
        <v>1097</v>
      </c>
      <c r="B1098" s="1">
        <f>IFERROR(__xludf.DUMMYFUNCTION("""COMPUTED_VALUE"""),5081.0)</f>
        <v>5081</v>
      </c>
      <c r="C1098" s="2" t="str">
        <f>IFERROR(__xludf.DUMMYFUNCTION("""COMPUTED_VALUE"""),"Dahayanti")</f>
        <v>Dahayanti</v>
      </c>
      <c r="D1098" s="2" t="str">
        <f>IFERROR(__xludf.DUMMYFUNCTION("""COMPUTED_VALUE"""),"5KM OVERALL F")</f>
        <v>5KM OVERALL F</v>
      </c>
      <c r="E1098" s="1">
        <f>IFERROR(__xludf.DUMMYFUNCTION("""COMPUTED_VALUE"""),2.0)</f>
        <v>2</v>
      </c>
      <c r="F1098" s="1" t="str">
        <f>IFERROR(__xludf.DUMMYFUNCTION("""COMPUTED_VALUE"""),"Female")</f>
        <v>Female</v>
      </c>
      <c r="G1098" s="4" t="b">
        <f>IFERROR(__xludf.DUMMYFUNCTION("""COMPUTED_VALUE"""),TRUE)</f>
        <v>1</v>
      </c>
      <c r="H1098" s="4" t="b">
        <f>IFERROR(__xludf.DUMMYFUNCTION("""COMPUTED_VALUE"""),TRUE)</f>
        <v>1</v>
      </c>
      <c r="I1098" s="4">
        <f>IFERROR(__xludf.DUMMYFUNCTION("""COMPUTED_VALUE"""),0.2549440625)</f>
        <v>0.2549440625</v>
      </c>
      <c r="J1098" s="4">
        <f>IFERROR(__xludf.DUMMYFUNCTION("""COMPUTED_VALUE"""),45949.28011697988)</f>
        <v>45949.28012</v>
      </c>
      <c r="K1098" s="4" t="str">
        <f>IFERROR(__xludf.DUMMYFUNCTION("""COMPUTED_VALUE"""),"")</f>
        <v/>
      </c>
      <c r="L1098" s="4">
        <f>IFERROR(__xludf.DUMMYFUNCTION("""COMPUTED_VALUE"""),45949.299480728434)</f>
        <v>45949.29948</v>
      </c>
      <c r="M1098" s="1" t="str">
        <f>IFERROR(__xludf.DUMMYFUNCTION("""COMPUTED_VALUE"""),"RFID")</f>
        <v>RFID</v>
      </c>
      <c r="N1098" s="5">
        <f>IFERROR(__xludf.DUMMYFUNCTION("""COMPUTED_VALUE"""),0.010069166666666667)</f>
        <v>0.01006916667</v>
      </c>
      <c r="O1098" s="5" t="str">
        <f>IFERROR(__xludf.DUMMYFUNCTION("""COMPUTED_VALUE"""),"")</f>
        <v/>
      </c>
      <c r="P1098" s="5" t="str">
        <f>IFERROR(__xludf.DUMMYFUNCTION("""COMPUTED_VALUE"""),"")</f>
        <v/>
      </c>
      <c r="Q1098" s="5">
        <f>IFERROR(__xludf.DUMMYFUNCTION("""COMPUTED_VALUE"""),0.008907333333333333)</f>
        <v>0.008907333333</v>
      </c>
      <c r="R1098" s="4">
        <f>IFERROR(__xludf.DUMMYFUNCTION("""COMPUTED_VALUE"""),45949.04453666593)</f>
        <v>45949.04454</v>
      </c>
      <c r="S1098" s="1" t="b">
        <f>IFERROR(__xludf.DUMMYFUNCTION("""COMPUTED_VALUE"""),TRUE)</f>
        <v>1</v>
      </c>
      <c r="T1098" s="1" t="b">
        <f>IFERROR(__xludf.DUMMYFUNCTION("""COMPUTED_VALUE"""),FALSE)</f>
        <v>0</v>
      </c>
      <c r="U1098" s="1" t="str">
        <f>IFERROR(__xludf.DUMMYFUNCTION("""COMPUTED_VALUE"""),"VALID")</f>
        <v>VALID</v>
      </c>
      <c r="V1098" s="1">
        <f>IFERROR(__xludf.DUMMYFUNCTION("""COMPUTED_VALUE"""),407.0)</f>
        <v>407</v>
      </c>
      <c r="W1098" s="1">
        <f>IFERROR(__xludf.DUMMYFUNCTION("""COMPUTED_VALUE"""),1430.0)</f>
        <v>1430</v>
      </c>
      <c r="X1098" s="1">
        <f>IFERROR(__xludf.DUMMYFUNCTION("""COMPUTED_VALUE"""),500.0)</f>
        <v>500</v>
      </c>
      <c r="Y1098" s="2"/>
      <c r="Z1098" s="2"/>
    </row>
    <row r="1099">
      <c r="A1099" s="1">
        <f>IFERROR(__xludf.DUMMYFUNCTION("""COMPUTED_VALUE"""),1098.0)</f>
        <v>1098</v>
      </c>
      <c r="B1099" s="1">
        <f>IFERROR(__xludf.DUMMYFUNCTION("""COMPUTED_VALUE"""),5084.0)</f>
        <v>5084</v>
      </c>
      <c r="C1099" s="2" t="str">
        <f>IFERROR(__xludf.DUMMYFUNCTION("""COMPUTED_VALUE"""),"FitriCahya_")</f>
        <v>FitriCahya_</v>
      </c>
      <c r="D1099" s="2" t="str">
        <f>IFERROR(__xludf.DUMMYFUNCTION("""COMPUTED_VALUE"""),"5KM OVERALL F")</f>
        <v>5KM OVERALL F</v>
      </c>
      <c r="E1099" s="1">
        <f>IFERROR(__xludf.DUMMYFUNCTION("""COMPUTED_VALUE"""),2.0)</f>
        <v>2</v>
      </c>
      <c r="F1099" s="1" t="str">
        <f>IFERROR(__xludf.DUMMYFUNCTION("""COMPUTED_VALUE"""),"Female")</f>
        <v>Female</v>
      </c>
      <c r="G1099" s="4" t="b">
        <f>IFERROR(__xludf.DUMMYFUNCTION("""COMPUTED_VALUE"""),TRUE)</f>
        <v>1</v>
      </c>
      <c r="H1099" s="4" t="b">
        <f>IFERROR(__xludf.DUMMYFUNCTION("""COMPUTED_VALUE"""),FALSE)</f>
        <v>0</v>
      </c>
      <c r="I1099" s="4">
        <f>IFERROR(__xludf.DUMMYFUNCTION("""COMPUTED_VALUE"""),0.2549440625)</f>
        <v>0.2549440625</v>
      </c>
      <c r="J1099" s="4">
        <f>IFERROR(__xludf.DUMMYFUNCTION("""COMPUTED_VALUE"""),45949.269335801095)</f>
        <v>45949.26934</v>
      </c>
      <c r="K1099" s="4" t="str">
        <f>IFERROR(__xludf.DUMMYFUNCTION("""COMPUTED_VALUE"""),"")</f>
        <v/>
      </c>
      <c r="L1099" s="4">
        <f>IFERROR(__xludf.DUMMYFUNCTION("""COMPUTED_VALUE"""),45949.282741156894)</f>
        <v>45949.28274</v>
      </c>
      <c r="M1099" s="1" t="str">
        <f>IFERROR(__xludf.DUMMYFUNCTION("""COMPUTED_VALUE"""),"RFID")</f>
        <v>RFID</v>
      </c>
      <c r="N1099" s="5">
        <f>IFERROR(__xludf.DUMMYFUNCTION("""COMPUTED_VALUE"""),0.0057566944444444445)</f>
        <v>0.005756694444</v>
      </c>
      <c r="O1099" s="5" t="str">
        <f>IFERROR(__xludf.DUMMYFUNCTION("""COMPUTED_VALUE"""),"")</f>
        <v/>
      </c>
      <c r="P1099" s="5" t="str">
        <f>IFERROR(__xludf.DUMMYFUNCTION("""COMPUTED_VALUE"""),"")</f>
        <v/>
      </c>
      <c r="Q1099" s="5">
        <f>IFERROR(__xludf.DUMMYFUNCTION("""COMPUTED_VALUE"""),0.005559418981481481)</f>
        <v>0.005559418981</v>
      </c>
      <c r="R1099" s="4">
        <f>IFERROR(__xludf.DUMMYFUNCTION("""COMPUTED_VALUE"""),45949.02779709439)</f>
        <v>45949.0278</v>
      </c>
      <c r="S1099" s="1" t="b">
        <f>IFERROR(__xludf.DUMMYFUNCTION("""COMPUTED_VALUE"""),TRUE)</f>
        <v>1</v>
      </c>
      <c r="T1099" s="1" t="b">
        <f>IFERROR(__xludf.DUMMYFUNCTION("""COMPUTED_VALUE"""),FALSE)</f>
        <v>0</v>
      </c>
      <c r="U1099" s="1" t="str">
        <f>IFERROR(__xludf.DUMMYFUNCTION("""COMPUTED_VALUE"""),"VALID")</f>
        <v>VALID</v>
      </c>
      <c r="V1099" s="1">
        <f>IFERROR(__xludf.DUMMYFUNCTION("""COMPUTED_VALUE"""),42.0)</f>
        <v>42</v>
      </c>
      <c r="W1099" s="1">
        <f>IFERROR(__xludf.DUMMYFUNCTION("""COMPUTED_VALUE"""),422.0)</f>
        <v>422</v>
      </c>
      <c r="X1099" s="1">
        <f>IFERROR(__xludf.DUMMYFUNCTION("""COMPUTED_VALUE"""),62.0)</f>
        <v>62</v>
      </c>
      <c r="Y1099" s="2"/>
      <c r="Z1099" s="2"/>
    </row>
    <row r="1100">
      <c r="A1100" s="1">
        <f>IFERROR(__xludf.DUMMYFUNCTION("""COMPUTED_VALUE"""),1099.0)</f>
        <v>1099</v>
      </c>
      <c r="B1100" s="1">
        <f>IFERROR(__xludf.DUMMYFUNCTION("""COMPUTED_VALUE"""),5087.0)</f>
        <v>5087</v>
      </c>
      <c r="C1100" s="2" t="str">
        <f>IFERROR(__xludf.DUMMYFUNCTION("""COMPUTED_VALUE"""),"Mama AGO")</f>
        <v>Mama AGO</v>
      </c>
      <c r="D1100" s="2" t="str">
        <f>IFERROR(__xludf.DUMMYFUNCTION("""COMPUTED_VALUE"""),"5KM OVERALL F")</f>
        <v>5KM OVERALL F</v>
      </c>
      <c r="E1100" s="1">
        <f>IFERROR(__xludf.DUMMYFUNCTION("""COMPUTED_VALUE"""),2.0)</f>
        <v>2</v>
      </c>
      <c r="F1100" s="1" t="str">
        <f>IFERROR(__xludf.DUMMYFUNCTION("""COMPUTED_VALUE"""),"Female")</f>
        <v>Female</v>
      </c>
      <c r="G1100" s="4" t="b">
        <f>IFERROR(__xludf.DUMMYFUNCTION("""COMPUTED_VALUE"""),TRUE)</f>
        <v>1</v>
      </c>
      <c r="H1100" s="4" t="b">
        <f>IFERROR(__xludf.DUMMYFUNCTION("""COMPUTED_VALUE"""),FALSE)</f>
        <v>0</v>
      </c>
      <c r="I1100" s="4">
        <f>IFERROR(__xludf.DUMMYFUNCTION("""COMPUTED_VALUE"""),0.2549440625)</f>
        <v>0.2549440625</v>
      </c>
      <c r="J1100" s="4">
        <f>IFERROR(__xludf.DUMMYFUNCTION("""COMPUTED_VALUE"""),45949.26820776938)</f>
        <v>45949.26821</v>
      </c>
      <c r="K1100" s="4" t="str">
        <f>IFERROR(__xludf.DUMMYFUNCTION("""COMPUTED_VALUE"""),"")</f>
        <v/>
      </c>
      <c r="L1100" s="4">
        <f>IFERROR(__xludf.DUMMYFUNCTION("""COMPUTED_VALUE"""),45949.2788904559)</f>
        <v>45949.27889</v>
      </c>
      <c r="M1100" s="1" t="str">
        <f>IFERROR(__xludf.DUMMYFUNCTION("""COMPUTED_VALUE"""),"RFID")</f>
        <v>RFID</v>
      </c>
      <c r="N1100" s="5">
        <f>IFERROR(__xludf.DUMMYFUNCTION("""COMPUTED_VALUE"""),0.005305481481481481)</f>
        <v>0.005305481481</v>
      </c>
      <c r="O1100" s="5" t="str">
        <f>IFERROR(__xludf.DUMMYFUNCTION("""COMPUTED_VALUE"""),"")</f>
        <v/>
      </c>
      <c r="P1100" s="5" t="str">
        <f>IFERROR(__xludf.DUMMYFUNCTION("""COMPUTED_VALUE"""),"")</f>
        <v/>
      </c>
      <c r="Q1100" s="5">
        <f>IFERROR(__xludf.DUMMYFUNCTION("""COMPUTED_VALUE"""),0.004789277777777778)</f>
        <v>0.004789277778</v>
      </c>
      <c r="R1100" s="4">
        <f>IFERROR(__xludf.DUMMYFUNCTION("""COMPUTED_VALUE"""),45949.0239463934)</f>
        <v>45949.02395</v>
      </c>
      <c r="S1100" s="1" t="b">
        <f>IFERROR(__xludf.DUMMYFUNCTION("""COMPUTED_VALUE"""),TRUE)</f>
        <v>1</v>
      </c>
      <c r="T1100" s="1" t="b">
        <f>IFERROR(__xludf.DUMMYFUNCTION("""COMPUTED_VALUE"""),FALSE)</f>
        <v>0</v>
      </c>
      <c r="U1100" s="1" t="str">
        <f>IFERROR(__xludf.DUMMYFUNCTION("""COMPUTED_VALUE"""),"VALID")</f>
        <v>VALID</v>
      </c>
      <c r="V1100" s="1">
        <f>IFERROR(__xludf.DUMMYFUNCTION("""COMPUTED_VALUE"""),20.0)</f>
        <v>20</v>
      </c>
      <c r="W1100" s="1">
        <f>IFERROR(__xludf.DUMMYFUNCTION("""COMPUTED_VALUE"""),246.0)</f>
        <v>246</v>
      </c>
      <c r="X1100" s="1">
        <f>IFERROR(__xludf.DUMMYFUNCTION("""COMPUTED_VALUE"""),31.0)</f>
        <v>31</v>
      </c>
      <c r="Y1100" s="2"/>
      <c r="Z1100" s="2"/>
    </row>
    <row r="1101">
      <c r="A1101" s="1">
        <f>IFERROR(__xludf.DUMMYFUNCTION("""COMPUTED_VALUE"""),1100.0)</f>
        <v>1100</v>
      </c>
      <c r="B1101" s="1">
        <f>IFERROR(__xludf.DUMMYFUNCTION("""COMPUTED_VALUE"""),5088.0)</f>
        <v>5088</v>
      </c>
      <c r="C1101" s="2" t="str">
        <f>IFERROR(__xludf.DUMMYFUNCTION("""COMPUTED_VALUE"""),"MELDA GILANG")</f>
        <v>MELDA GILANG</v>
      </c>
      <c r="D1101" s="2" t="str">
        <f>IFERROR(__xludf.DUMMYFUNCTION("""COMPUTED_VALUE"""),"5KM OVERALL F")</f>
        <v>5KM OVERALL F</v>
      </c>
      <c r="E1101" s="1">
        <f>IFERROR(__xludf.DUMMYFUNCTION("""COMPUTED_VALUE"""),2.0)</f>
        <v>2</v>
      </c>
      <c r="F1101" s="1" t="str">
        <f>IFERROR(__xludf.DUMMYFUNCTION("""COMPUTED_VALUE"""),"Female")</f>
        <v>Female</v>
      </c>
      <c r="G1101" s="4" t="str">
        <f>IFERROR(__xludf.DUMMYFUNCTION("""COMPUTED_VALUE"""),"")</f>
        <v/>
      </c>
      <c r="H1101" s="4" t="b">
        <f>IFERROR(__xludf.DUMMYFUNCTION("""COMPUTED_VALUE"""),FALSE)</f>
        <v>0</v>
      </c>
      <c r="I1101" s="4">
        <f>IFERROR(__xludf.DUMMYFUNCTION("""COMPUTED_VALUE"""),0.2549440625)</f>
        <v>0.2549440625</v>
      </c>
      <c r="J1101" s="4" t="str">
        <f>IFERROR(__xludf.DUMMYFUNCTION("""COMPUTED_VALUE"""),"")</f>
        <v/>
      </c>
      <c r="K1101" s="4" t="str">
        <f>IFERROR(__xludf.DUMMYFUNCTION("""COMPUTED_VALUE"""),"")</f>
        <v/>
      </c>
      <c r="L1101" s="4" t="str">
        <f>IFERROR(__xludf.DUMMYFUNCTION("""COMPUTED_VALUE"""),"")</f>
        <v/>
      </c>
      <c r="M1101" s="1" t="str">
        <f>IFERROR(__xludf.DUMMYFUNCTION("""COMPUTED_VALUE"""),"RFID")</f>
        <v>RFID</v>
      </c>
      <c r="N1101" s="5" t="str">
        <f>IFERROR(__xludf.DUMMYFUNCTION("""COMPUTED_VALUE"""),"")</f>
        <v/>
      </c>
      <c r="O1101" s="5" t="str">
        <f>IFERROR(__xludf.DUMMYFUNCTION("""COMPUTED_VALUE"""),"")</f>
        <v/>
      </c>
      <c r="P1101" s="5" t="str">
        <f>IFERROR(__xludf.DUMMYFUNCTION("""COMPUTED_VALUE"""),"")</f>
        <v/>
      </c>
      <c r="Q1101" s="5" t="str">
        <f>IFERROR(__xludf.DUMMYFUNCTION("""COMPUTED_VALUE"""),"")</f>
        <v/>
      </c>
      <c r="R1101" s="4" t="str">
        <f>IFERROR(__xludf.DUMMYFUNCTION("""COMPUTED_VALUE"""),"")</f>
        <v/>
      </c>
      <c r="S1101" s="1" t="b">
        <f>IFERROR(__xludf.DUMMYFUNCTION("""COMPUTED_VALUE"""),FALSE)</f>
        <v>0</v>
      </c>
      <c r="T1101" s="1" t="b">
        <f>IFERROR(__xludf.DUMMYFUNCTION("""COMPUTED_VALUE"""),FALSE)</f>
        <v>0</v>
      </c>
      <c r="U1101" s="1" t="str">
        <f>IFERROR(__xludf.DUMMYFUNCTION("""COMPUTED_VALUE"""),"DSQ")</f>
        <v>DSQ</v>
      </c>
      <c r="V1101" s="1" t="str">
        <f>IFERROR(__xludf.DUMMYFUNCTION("""COMPUTED_VALUE"""),"DSQ")</f>
        <v>DSQ</v>
      </c>
      <c r="W1101" s="1" t="str">
        <f>IFERROR(__xludf.DUMMYFUNCTION("""COMPUTED_VALUE"""),"DSQ")</f>
        <v>DSQ</v>
      </c>
      <c r="X1101" s="1" t="str">
        <f>IFERROR(__xludf.DUMMYFUNCTION("""COMPUTED_VALUE"""),"DSQ")</f>
        <v>DSQ</v>
      </c>
      <c r="Y1101" s="2"/>
      <c r="Z1101" s="2" t="str">
        <f>IFERROR(__xludf.DUMMYFUNCTION("""COMPUTED_VALUE"""),"")</f>
        <v/>
      </c>
    </row>
    <row r="1102">
      <c r="A1102" s="1">
        <f>IFERROR(__xludf.DUMMYFUNCTION("""COMPUTED_VALUE"""),1101.0)</f>
        <v>1101</v>
      </c>
      <c r="B1102" s="1">
        <f>IFERROR(__xludf.DUMMYFUNCTION("""COMPUTED_VALUE"""),5089.0)</f>
        <v>5089</v>
      </c>
      <c r="C1102" s="2" t="str">
        <f>IFERROR(__xludf.DUMMYFUNCTION("""COMPUTED_VALUE"""),"yosha")</f>
        <v>yosha</v>
      </c>
      <c r="D1102" s="2" t="str">
        <f>IFERROR(__xludf.DUMMYFUNCTION("""COMPUTED_VALUE"""),"5KM OVERALL F")</f>
        <v>5KM OVERALL F</v>
      </c>
      <c r="E1102" s="1">
        <f>IFERROR(__xludf.DUMMYFUNCTION("""COMPUTED_VALUE"""),2.0)</f>
        <v>2</v>
      </c>
      <c r="F1102" s="1" t="str">
        <f>IFERROR(__xludf.DUMMYFUNCTION("""COMPUTED_VALUE"""),"Female")</f>
        <v>Female</v>
      </c>
      <c r="G1102" s="4" t="str">
        <f>IFERROR(__xludf.DUMMYFUNCTION("""COMPUTED_VALUE"""),"")</f>
        <v/>
      </c>
      <c r="H1102" s="4" t="b">
        <f>IFERROR(__xludf.DUMMYFUNCTION("""COMPUTED_VALUE"""),FALSE)</f>
        <v>0</v>
      </c>
      <c r="I1102" s="4">
        <f>IFERROR(__xludf.DUMMYFUNCTION("""COMPUTED_VALUE"""),0.2549440625)</f>
        <v>0.2549440625</v>
      </c>
      <c r="J1102" s="4">
        <f>IFERROR(__xludf.DUMMYFUNCTION("""COMPUTED_VALUE"""),45949.27218994002)</f>
        <v>45949.27219</v>
      </c>
      <c r="K1102" s="4" t="str">
        <f>IFERROR(__xludf.DUMMYFUNCTION("""COMPUTED_VALUE"""),"")</f>
        <v/>
      </c>
      <c r="L1102" s="4">
        <f>IFERROR(__xludf.DUMMYFUNCTION("""COMPUTED_VALUE"""),45949.285442549706)</f>
        <v>45949.28544</v>
      </c>
      <c r="M1102" s="1" t="str">
        <f>IFERROR(__xludf.DUMMYFUNCTION("""COMPUTED_VALUE"""),"RFID")</f>
        <v>RFID</v>
      </c>
      <c r="N1102" s="5">
        <f>IFERROR(__xludf.DUMMYFUNCTION("""COMPUTED_VALUE"""),0.0068983518518518526)</f>
        <v>0.006898351852</v>
      </c>
      <c r="O1102" s="5" t="str">
        <f>IFERROR(__xludf.DUMMYFUNCTION("""COMPUTED_VALUE"""),"")</f>
        <v/>
      </c>
      <c r="P1102" s="5" t="str">
        <f>IFERROR(__xludf.DUMMYFUNCTION("""COMPUTED_VALUE"""),"")</f>
        <v/>
      </c>
      <c r="Q1102" s="5">
        <f>IFERROR(__xludf.DUMMYFUNCTION("""COMPUTED_VALUE"""),0.00609969675925926)</f>
        <v>0.006099696759</v>
      </c>
      <c r="R1102" s="4">
        <f>IFERROR(__xludf.DUMMYFUNCTION("""COMPUTED_VALUE"""),45949.030498487205)</f>
        <v>45949.0305</v>
      </c>
      <c r="S1102" s="1" t="b">
        <f>IFERROR(__xludf.DUMMYFUNCTION("""COMPUTED_VALUE"""),FALSE)</f>
        <v>0</v>
      </c>
      <c r="T1102" s="1" t="b">
        <f>IFERROR(__xludf.DUMMYFUNCTION("""COMPUTED_VALUE"""),FALSE)</f>
        <v>0</v>
      </c>
      <c r="U1102" s="1" t="str">
        <f>IFERROR(__xludf.DUMMYFUNCTION("""COMPUTED_VALUE"""),"DSQ")</f>
        <v>DSQ</v>
      </c>
      <c r="V1102" s="1" t="str">
        <f>IFERROR(__xludf.DUMMYFUNCTION("""COMPUTED_VALUE"""),"DSQ")</f>
        <v>DSQ</v>
      </c>
      <c r="W1102" s="1" t="str">
        <f>IFERROR(__xludf.DUMMYFUNCTION("""COMPUTED_VALUE"""),"DSQ")</f>
        <v>DSQ</v>
      </c>
      <c r="X1102" s="1" t="str">
        <f>IFERROR(__xludf.DUMMYFUNCTION("""COMPUTED_VALUE"""),"DSQ")</f>
        <v>DSQ</v>
      </c>
      <c r="Y1102" s="2"/>
      <c r="Z1102" s="2"/>
    </row>
    <row r="1103">
      <c r="A1103" s="1">
        <f>IFERROR(__xludf.DUMMYFUNCTION("""COMPUTED_VALUE"""),1102.0)</f>
        <v>1102</v>
      </c>
      <c r="B1103" s="1">
        <f>IFERROR(__xludf.DUMMYFUNCTION("""COMPUTED_VALUE"""),5090.0)</f>
        <v>5090</v>
      </c>
      <c r="C1103" s="2" t="str">
        <f>IFERROR(__xludf.DUMMYFUNCTION("""COMPUTED_VALUE"""),"Marini")</f>
        <v>Marini</v>
      </c>
      <c r="D1103" s="2" t="str">
        <f>IFERROR(__xludf.DUMMYFUNCTION("""COMPUTED_VALUE"""),"5KM OVERALL F")</f>
        <v>5KM OVERALL F</v>
      </c>
      <c r="E1103" s="1">
        <f>IFERROR(__xludf.DUMMYFUNCTION("""COMPUTED_VALUE"""),2.0)</f>
        <v>2</v>
      </c>
      <c r="F1103" s="1" t="str">
        <f>IFERROR(__xludf.DUMMYFUNCTION("""COMPUTED_VALUE"""),"Female")</f>
        <v>Female</v>
      </c>
      <c r="G1103" s="4" t="b">
        <f>IFERROR(__xludf.DUMMYFUNCTION("""COMPUTED_VALUE"""),TRUE)</f>
        <v>1</v>
      </c>
      <c r="H1103" s="4" t="b">
        <f>IFERROR(__xludf.DUMMYFUNCTION("""COMPUTED_VALUE"""),FALSE)</f>
        <v>0</v>
      </c>
      <c r="I1103" s="4">
        <f>IFERROR(__xludf.DUMMYFUNCTION("""COMPUTED_VALUE"""),0.2549440625)</f>
        <v>0.2549440625</v>
      </c>
      <c r="J1103" s="4">
        <f>IFERROR(__xludf.DUMMYFUNCTION("""COMPUTED_VALUE"""),45949.274759561486)</f>
        <v>45949.27476</v>
      </c>
      <c r="K1103" s="4" t="str">
        <f>IFERROR(__xludf.DUMMYFUNCTION("""COMPUTED_VALUE"""),"")</f>
        <v/>
      </c>
      <c r="L1103" s="4">
        <f>IFERROR(__xludf.DUMMYFUNCTION("""COMPUTED_VALUE"""),45949.28969947385)</f>
        <v>45949.2897</v>
      </c>
      <c r="M1103" s="1" t="str">
        <f>IFERROR(__xludf.DUMMYFUNCTION("""COMPUTED_VALUE"""),"RFID")</f>
        <v>RFID</v>
      </c>
      <c r="N1103" s="5">
        <f>IFERROR(__xludf.DUMMYFUNCTION("""COMPUTED_VALUE"""),0.007926199074074073)</f>
        <v>0.007926199074</v>
      </c>
      <c r="O1103" s="5" t="str">
        <f>IFERROR(__xludf.DUMMYFUNCTION("""COMPUTED_VALUE"""),"")</f>
        <v/>
      </c>
      <c r="P1103" s="5" t="str">
        <f>IFERROR(__xludf.DUMMYFUNCTION("""COMPUTED_VALUE"""),"")</f>
        <v/>
      </c>
      <c r="Q1103" s="5">
        <f>IFERROR(__xludf.DUMMYFUNCTION("""COMPUTED_VALUE"""),0.0069510833333333326)</f>
        <v>0.006951083333</v>
      </c>
      <c r="R1103" s="4">
        <f>IFERROR(__xludf.DUMMYFUNCTION("""COMPUTED_VALUE"""),45949.03475541135)</f>
        <v>45949.03476</v>
      </c>
      <c r="S1103" s="1" t="b">
        <f>IFERROR(__xludf.DUMMYFUNCTION("""COMPUTED_VALUE"""),TRUE)</f>
        <v>1</v>
      </c>
      <c r="T1103" s="1" t="b">
        <f>IFERROR(__xludf.DUMMYFUNCTION("""COMPUTED_VALUE"""),FALSE)</f>
        <v>0</v>
      </c>
      <c r="U1103" s="1" t="str">
        <f>IFERROR(__xludf.DUMMYFUNCTION("""COMPUTED_VALUE"""),"VALID")</f>
        <v>VALID</v>
      </c>
      <c r="V1103" s="1">
        <f>IFERROR(__xludf.DUMMYFUNCTION("""COMPUTED_VALUE"""),158.0)</f>
        <v>158</v>
      </c>
      <c r="W1103" s="1">
        <f>IFERROR(__xludf.DUMMYFUNCTION("""COMPUTED_VALUE"""),875.0)</f>
        <v>875</v>
      </c>
      <c r="X1103" s="1">
        <f>IFERROR(__xludf.DUMMYFUNCTION("""COMPUTED_VALUE"""),197.0)</f>
        <v>197</v>
      </c>
      <c r="Y1103" s="2"/>
      <c r="Z1103" s="2"/>
    </row>
    <row r="1104">
      <c r="A1104" s="1">
        <f>IFERROR(__xludf.DUMMYFUNCTION("""COMPUTED_VALUE"""),1103.0)</f>
        <v>1103</v>
      </c>
      <c r="B1104" s="1">
        <f>IFERROR(__xludf.DUMMYFUNCTION("""COMPUTED_VALUE"""),5091.0)</f>
        <v>5091</v>
      </c>
      <c r="C1104" s="2" t="str">
        <f>IFERROR(__xludf.DUMMYFUNCTION("""COMPUTED_VALUE"""),"Desy")</f>
        <v>Desy</v>
      </c>
      <c r="D1104" s="2" t="str">
        <f>IFERROR(__xludf.DUMMYFUNCTION("""COMPUTED_VALUE"""),"5KM OVERALL F")</f>
        <v>5KM OVERALL F</v>
      </c>
      <c r="E1104" s="1">
        <f>IFERROR(__xludf.DUMMYFUNCTION("""COMPUTED_VALUE"""),2.0)</f>
        <v>2</v>
      </c>
      <c r="F1104" s="1" t="str">
        <f>IFERROR(__xludf.DUMMYFUNCTION("""COMPUTED_VALUE"""),"Female")</f>
        <v>Female</v>
      </c>
      <c r="G1104" s="4" t="b">
        <f>IFERROR(__xludf.DUMMYFUNCTION("""COMPUTED_VALUE"""),TRUE)</f>
        <v>1</v>
      </c>
      <c r="H1104" s="4" t="b">
        <f>IFERROR(__xludf.DUMMYFUNCTION("""COMPUTED_VALUE"""),TRUE)</f>
        <v>1</v>
      </c>
      <c r="I1104" s="4">
        <f>IFERROR(__xludf.DUMMYFUNCTION("""COMPUTED_VALUE"""),0.2549440625)</f>
        <v>0.2549440625</v>
      </c>
      <c r="J1104" s="4">
        <f>IFERROR(__xludf.DUMMYFUNCTION("""COMPUTED_VALUE"""),45949.27751280938)</f>
        <v>45949.27751</v>
      </c>
      <c r="K1104" s="4" t="str">
        <f>IFERROR(__xludf.DUMMYFUNCTION("""COMPUTED_VALUE"""),"")</f>
        <v/>
      </c>
      <c r="L1104" s="4">
        <f>IFERROR(__xludf.DUMMYFUNCTION("""COMPUTED_VALUE"""),45949.29314740997)</f>
        <v>45949.29315</v>
      </c>
      <c r="M1104" s="1" t="str">
        <f>IFERROR(__xludf.DUMMYFUNCTION("""COMPUTED_VALUE"""),"RFID")</f>
        <v>RFID</v>
      </c>
      <c r="N1104" s="5">
        <f>IFERROR(__xludf.DUMMYFUNCTION("""COMPUTED_VALUE"""),0.0090275)</f>
        <v>0.0090275</v>
      </c>
      <c r="O1104" s="5" t="str">
        <f>IFERROR(__xludf.DUMMYFUNCTION("""COMPUTED_VALUE"""),"")</f>
        <v/>
      </c>
      <c r="P1104" s="5" t="str">
        <f>IFERROR(__xludf.DUMMYFUNCTION("""COMPUTED_VALUE"""),"")</f>
        <v/>
      </c>
      <c r="Q1104" s="5">
        <f>IFERROR(__xludf.DUMMYFUNCTION("""COMPUTED_VALUE"""),0.007640668981481481)</f>
        <v>0.007640668981</v>
      </c>
      <c r="R1104" s="4">
        <f>IFERROR(__xludf.DUMMYFUNCTION("""COMPUTED_VALUE"""),45949.03820334747)</f>
        <v>45949.0382</v>
      </c>
      <c r="S1104" s="1" t="b">
        <f>IFERROR(__xludf.DUMMYFUNCTION("""COMPUTED_VALUE"""),TRUE)</f>
        <v>1</v>
      </c>
      <c r="T1104" s="1" t="b">
        <f>IFERROR(__xludf.DUMMYFUNCTION("""COMPUTED_VALUE"""),FALSE)</f>
        <v>0</v>
      </c>
      <c r="U1104" s="1" t="str">
        <f>IFERROR(__xludf.DUMMYFUNCTION("""COMPUTED_VALUE"""),"VALID")</f>
        <v>VALID</v>
      </c>
      <c r="V1104" s="1">
        <f>IFERROR(__xludf.DUMMYFUNCTION("""COMPUTED_VALUE"""),257.0)</f>
        <v>257</v>
      </c>
      <c r="W1104" s="1">
        <f>IFERROR(__xludf.DUMMYFUNCTION("""COMPUTED_VALUE"""),1114.0)</f>
        <v>1114</v>
      </c>
      <c r="X1104" s="1">
        <f>IFERROR(__xludf.DUMMYFUNCTION("""COMPUTED_VALUE"""),314.0)</f>
        <v>314</v>
      </c>
      <c r="Y1104" s="2"/>
      <c r="Z1104" s="2"/>
    </row>
    <row r="1105">
      <c r="A1105" s="1">
        <f>IFERROR(__xludf.DUMMYFUNCTION("""COMPUTED_VALUE"""),1104.0)</f>
        <v>1104</v>
      </c>
      <c r="B1105" s="1">
        <f>IFERROR(__xludf.DUMMYFUNCTION("""COMPUTED_VALUE"""),5093.0)</f>
        <v>5093</v>
      </c>
      <c r="C1105" s="2" t="str">
        <f>IFERROR(__xludf.DUMMYFUNCTION("""COMPUTED_VALUE"""),"intan karunia")</f>
        <v>intan karunia</v>
      </c>
      <c r="D1105" s="2" t="str">
        <f>IFERROR(__xludf.DUMMYFUNCTION("""COMPUTED_VALUE"""),"5KM OVERALL F")</f>
        <v>5KM OVERALL F</v>
      </c>
      <c r="E1105" s="1">
        <f>IFERROR(__xludf.DUMMYFUNCTION("""COMPUTED_VALUE"""),2.0)</f>
        <v>2</v>
      </c>
      <c r="F1105" s="1" t="str">
        <f>IFERROR(__xludf.DUMMYFUNCTION("""COMPUTED_VALUE"""),"Female")</f>
        <v>Female</v>
      </c>
      <c r="G1105" s="4" t="b">
        <f>IFERROR(__xludf.DUMMYFUNCTION("""COMPUTED_VALUE"""),TRUE)</f>
        <v>1</v>
      </c>
      <c r="H1105" s="4" t="b">
        <f>IFERROR(__xludf.DUMMYFUNCTION("""COMPUTED_VALUE"""),TRUE)</f>
        <v>1</v>
      </c>
      <c r="I1105" s="4">
        <f>IFERROR(__xludf.DUMMYFUNCTION("""COMPUTED_VALUE"""),0.2549440625)</f>
        <v>0.2549440625</v>
      </c>
      <c r="J1105" s="4">
        <f>IFERROR(__xludf.DUMMYFUNCTION("""COMPUTED_VALUE"""),45949.28663090643)</f>
        <v>45949.28663</v>
      </c>
      <c r="K1105" s="4" t="str">
        <f>IFERROR(__xludf.DUMMYFUNCTION("""COMPUTED_VALUE"""),"")</f>
        <v/>
      </c>
      <c r="L1105" s="4">
        <f>IFERROR(__xludf.DUMMYFUNCTION("""COMPUTED_VALUE"""),45949.300647410826)</f>
        <v>45949.30065</v>
      </c>
      <c r="M1105" s="1" t="str">
        <f>IFERROR(__xludf.DUMMYFUNCTION("""COMPUTED_VALUE"""),"RFID")</f>
        <v>RFID</v>
      </c>
      <c r="N1105" s="5">
        <f>IFERROR(__xludf.DUMMYFUNCTION("""COMPUTED_VALUE"""),0.012674736111111109)</f>
        <v>0.01267473611</v>
      </c>
      <c r="O1105" s="5" t="str">
        <f>IFERROR(__xludf.DUMMYFUNCTION("""COMPUTED_VALUE"""),"")</f>
        <v/>
      </c>
      <c r="P1105" s="5" t="str">
        <f>IFERROR(__xludf.DUMMYFUNCTION("""COMPUTED_VALUE"""),"")</f>
        <v/>
      </c>
      <c r="Q1105" s="5">
        <f>IFERROR(__xludf.DUMMYFUNCTION("""COMPUTED_VALUE"""),0.00914066898148148)</f>
        <v>0.009140668981</v>
      </c>
      <c r="R1105" s="4">
        <f>IFERROR(__xludf.DUMMYFUNCTION("""COMPUTED_VALUE"""),45949.045703348325)</f>
        <v>45949.0457</v>
      </c>
      <c r="S1105" s="1" t="b">
        <f>IFERROR(__xludf.DUMMYFUNCTION("""COMPUTED_VALUE"""),TRUE)</f>
        <v>1</v>
      </c>
      <c r="T1105" s="1" t="b">
        <f>IFERROR(__xludf.DUMMYFUNCTION("""COMPUTED_VALUE"""),FALSE)</f>
        <v>0</v>
      </c>
      <c r="U1105" s="1" t="str">
        <f>IFERROR(__xludf.DUMMYFUNCTION("""COMPUTED_VALUE"""),"VALID")</f>
        <v>VALID</v>
      </c>
      <c r="V1105" s="1">
        <f>IFERROR(__xludf.DUMMYFUNCTION("""COMPUTED_VALUE"""),434.0)</f>
        <v>434</v>
      </c>
      <c r="W1105" s="1">
        <f>IFERROR(__xludf.DUMMYFUNCTION("""COMPUTED_VALUE"""),1475.0)</f>
        <v>1475</v>
      </c>
      <c r="X1105" s="1">
        <f>IFERROR(__xludf.DUMMYFUNCTION("""COMPUTED_VALUE"""),529.0)</f>
        <v>529</v>
      </c>
      <c r="Y1105" s="2"/>
      <c r="Z1105" s="2"/>
    </row>
    <row r="1106">
      <c r="A1106" s="1">
        <f>IFERROR(__xludf.DUMMYFUNCTION("""COMPUTED_VALUE"""),1105.0)</f>
        <v>1105</v>
      </c>
      <c r="B1106" s="1">
        <f>IFERROR(__xludf.DUMMYFUNCTION("""COMPUTED_VALUE"""),5097.0)</f>
        <v>5097</v>
      </c>
      <c r="C1106" s="2" t="str">
        <f>IFERROR(__xludf.DUMMYFUNCTION("""COMPUTED_VALUE"""),"hany")</f>
        <v>hany</v>
      </c>
      <c r="D1106" s="2" t="str">
        <f>IFERROR(__xludf.DUMMYFUNCTION("""COMPUTED_VALUE"""),"5KM OVERALL F")</f>
        <v>5KM OVERALL F</v>
      </c>
      <c r="E1106" s="1">
        <f>IFERROR(__xludf.DUMMYFUNCTION("""COMPUTED_VALUE"""),2.0)</f>
        <v>2</v>
      </c>
      <c r="F1106" s="1" t="str">
        <f>IFERROR(__xludf.DUMMYFUNCTION("""COMPUTED_VALUE"""),"Female")</f>
        <v>Female</v>
      </c>
      <c r="G1106" s="4" t="b">
        <f>IFERROR(__xludf.DUMMYFUNCTION("""COMPUTED_VALUE"""),TRUE)</f>
        <v>1</v>
      </c>
      <c r="H1106" s="4" t="b">
        <f>IFERROR(__xludf.DUMMYFUNCTION("""COMPUTED_VALUE"""),TRUE)</f>
        <v>1</v>
      </c>
      <c r="I1106" s="4">
        <f>IFERROR(__xludf.DUMMYFUNCTION("""COMPUTED_VALUE"""),0.2549440625)</f>
        <v>0.2549440625</v>
      </c>
      <c r="J1106" s="4">
        <f>IFERROR(__xludf.DUMMYFUNCTION("""COMPUTED_VALUE"""),45949.28234960063)</f>
        <v>45949.28235</v>
      </c>
      <c r="K1106" s="4" t="str">
        <f>IFERROR(__xludf.DUMMYFUNCTION("""COMPUTED_VALUE"""),"")</f>
        <v/>
      </c>
      <c r="L1106" s="4">
        <f>IFERROR(__xludf.DUMMYFUNCTION("""COMPUTED_VALUE"""),45949.30280810357)</f>
        <v>45949.30281</v>
      </c>
      <c r="M1106" s="1" t="str">
        <f>IFERROR(__xludf.DUMMYFUNCTION("""COMPUTED_VALUE"""),"RFID")</f>
        <v>RFID</v>
      </c>
      <c r="N1106" s="5">
        <f>IFERROR(__xludf.DUMMYFUNCTION("""COMPUTED_VALUE"""),0.010962212962962964)</f>
        <v>0.01096221296</v>
      </c>
      <c r="O1106" s="5" t="str">
        <f>IFERROR(__xludf.DUMMYFUNCTION("""COMPUTED_VALUE"""),"")</f>
        <v/>
      </c>
      <c r="P1106" s="5" t="str">
        <f>IFERROR(__xludf.DUMMYFUNCTION("""COMPUTED_VALUE"""),"")</f>
        <v/>
      </c>
      <c r="Q1106" s="5">
        <f>IFERROR(__xludf.DUMMYFUNCTION("""COMPUTED_VALUE"""),0.009572807870370372)</f>
        <v>0.00957280787</v>
      </c>
      <c r="R1106" s="4">
        <f>IFERROR(__xludf.DUMMYFUNCTION("""COMPUTED_VALUE"""),45949.04786404107)</f>
        <v>45949.04786</v>
      </c>
      <c r="S1106" s="1" t="b">
        <f>IFERROR(__xludf.DUMMYFUNCTION("""COMPUTED_VALUE"""),TRUE)</f>
        <v>1</v>
      </c>
      <c r="T1106" s="1" t="b">
        <f>IFERROR(__xludf.DUMMYFUNCTION("""COMPUTED_VALUE"""),FALSE)</f>
        <v>0</v>
      </c>
      <c r="U1106" s="1" t="str">
        <f>IFERROR(__xludf.DUMMYFUNCTION("""COMPUTED_VALUE"""),"VALID")</f>
        <v>VALID</v>
      </c>
      <c r="V1106" s="1">
        <f>IFERROR(__xludf.DUMMYFUNCTION("""COMPUTED_VALUE"""),469.0)</f>
        <v>469</v>
      </c>
      <c r="W1106" s="1">
        <f>IFERROR(__xludf.DUMMYFUNCTION("""COMPUTED_VALUE"""),1535.0)</f>
        <v>1535</v>
      </c>
      <c r="X1106" s="1">
        <f>IFERROR(__xludf.DUMMYFUNCTION("""COMPUTED_VALUE"""),571.0)</f>
        <v>571</v>
      </c>
      <c r="Y1106" s="2"/>
      <c r="Z1106" s="2"/>
    </row>
    <row r="1107">
      <c r="A1107" s="1">
        <f>IFERROR(__xludf.DUMMYFUNCTION("""COMPUTED_VALUE"""),1106.0)</f>
        <v>1106</v>
      </c>
      <c r="B1107" s="1">
        <f>IFERROR(__xludf.DUMMYFUNCTION("""COMPUTED_VALUE"""),5098.0)</f>
        <v>5098</v>
      </c>
      <c r="C1107" s="2" t="str">
        <f>IFERROR(__xludf.DUMMYFUNCTION("""COMPUTED_VALUE"""),"FityaW")</f>
        <v>FityaW</v>
      </c>
      <c r="D1107" s="2" t="str">
        <f>IFERROR(__xludf.DUMMYFUNCTION("""COMPUTED_VALUE"""),"5KM OVERALL F")</f>
        <v>5KM OVERALL F</v>
      </c>
      <c r="E1107" s="1">
        <f>IFERROR(__xludf.DUMMYFUNCTION("""COMPUTED_VALUE"""),2.0)</f>
        <v>2</v>
      </c>
      <c r="F1107" s="1" t="str">
        <f>IFERROR(__xludf.DUMMYFUNCTION("""COMPUTED_VALUE"""),"Female")</f>
        <v>Female</v>
      </c>
      <c r="G1107" s="4" t="b">
        <f>IFERROR(__xludf.DUMMYFUNCTION("""COMPUTED_VALUE"""),TRUE)</f>
        <v>1</v>
      </c>
      <c r="H1107" s="4" t="b">
        <f>IFERROR(__xludf.DUMMYFUNCTION("""COMPUTED_VALUE"""),FALSE)</f>
        <v>0</v>
      </c>
      <c r="I1107" s="4">
        <f>IFERROR(__xludf.DUMMYFUNCTION("""COMPUTED_VALUE"""),0.2549440625)</f>
        <v>0.2549440625</v>
      </c>
      <c r="J1107" s="4">
        <f>IFERROR(__xludf.DUMMYFUNCTION("""COMPUTED_VALUE"""),45949.27626628008)</f>
        <v>45949.27627</v>
      </c>
      <c r="K1107" s="4" t="str">
        <f>IFERROR(__xludf.DUMMYFUNCTION("""COMPUTED_VALUE"""),"")</f>
        <v/>
      </c>
      <c r="L1107" s="4">
        <f>IFERROR(__xludf.DUMMYFUNCTION("""COMPUTED_VALUE"""),45949.29283178856)</f>
        <v>45949.29283</v>
      </c>
      <c r="M1107" s="1" t="str">
        <f>IFERROR(__xludf.DUMMYFUNCTION("""COMPUTED_VALUE"""),"RFID")</f>
        <v>RFID</v>
      </c>
      <c r="N1107" s="5">
        <f>IFERROR(__xludf.DUMMYFUNCTION("""COMPUTED_VALUE"""),0.008528888888888888)</f>
        <v>0.008528888889</v>
      </c>
      <c r="O1107" s="5" t="str">
        <f>IFERROR(__xludf.DUMMYFUNCTION("""COMPUTED_VALUE"""),"")</f>
        <v/>
      </c>
      <c r="P1107" s="5" t="str">
        <f>IFERROR(__xludf.DUMMYFUNCTION("""COMPUTED_VALUE"""),"")</f>
        <v/>
      </c>
      <c r="Q1107" s="5">
        <f>IFERROR(__xludf.DUMMYFUNCTION("""COMPUTED_VALUE"""),0.007577546296296296)</f>
        <v>0.007577546296</v>
      </c>
      <c r="R1107" s="4">
        <f>IFERROR(__xludf.DUMMYFUNCTION("""COMPUTED_VALUE"""),45949.03788772606)</f>
        <v>45949.03789</v>
      </c>
      <c r="S1107" s="1" t="b">
        <f>IFERROR(__xludf.DUMMYFUNCTION("""COMPUTED_VALUE"""),TRUE)</f>
        <v>1</v>
      </c>
      <c r="T1107" s="1" t="b">
        <f>IFERROR(__xludf.DUMMYFUNCTION("""COMPUTED_VALUE"""),FALSE)</f>
        <v>0</v>
      </c>
      <c r="U1107" s="1" t="str">
        <f>IFERROR(__xludf.DUMMYFUNCTION("""COMPUTED_VALUE"""),"VALID")</f>
        <v>VALID</v>
      </c>
      <c r="V1107" s="1">
        <f>IFERROR(__xludf.DUMMYFUNCTION("""COMPUTED_VALUE"""),250.0)</f>
        <v>250</v>
      </c>
      <c r="W1107" s="1">
        <f>IFERROR(__xludf.DUMMYFUNCTION("""COMPUTED_VALUE"""),1094.0)</f>
        <v>1094</v>
      </c>
      <c r="X1107" s="1">
        <f>IFERROR(__xludf.DUMMYFUNCTION("""COMPUTED_VALUE"""),307.0)</f>
        <v>307</v>
      </c>
      <c r="Y1107" s="2"/>
      <c r="Z1107" s="2"/>
    </row>
    <row r="1108">
      <c r="A1108" s="1">
        <f>IFERROR(__xludf.DUMMYFUNCTION("""COMPUTED_VALUE"""),1107.0)</f>
        <v>1107</v>
      </c>
      <c r="B1108" s="1">
        <f>IFERROR(__xludf.DUMMYFUNCTION("""COMPUTED_VALUE"""),5100.0)</f>
        <v>5100</v>
      </c>
      <c r="C1108" s="2" t="str">
        <f>IFERROR(__xludf.DUMMYFUNCTION("""COMPUTED_VALUE"""),"Aisyah Indriani")</f>
        <v>Aisyah Indriani</v>
      </c>
      <c r="D1108" s="2" t="str">
        <f>IFERROR(__xludf.DUMMYFUNCTION("""COMPUTED_VALUE"""),"5KM OVERALL F")</f>
        <v>5KM OVERALL F</v>
      </c>
      <c r="E1108" s="1">
        <f>IFERROR(__xludf.DUMMYFUNCTION("""COMPUTED_VALUE"""),2.0)</f>
        <v>2</v>
      </c>
      <c r="F1108" s="1" t="str">
        <f>IFERROR(__xludf.DUMMYFUNCTION("""COMPUTED_VALUE"""),"Female")</f>
        <v>Female</v>
      </c>
      <c r="G1108" s="4" t="str">
        <f>IFERROR(__xludf.DUMMYFUNCTION("""COMPUTED_VALUE"""),"")</f>
        <v/>
      </c>
      <c r="H1108" s="4" t="b">
        <f>IFERROR(__xludf.DUMMYFUNCTION("""COMPUTED_VALUE"""),FALSE)</f>
        <v>0</v>
      </c>
      <c r="I1108" s="4">
        <f>IFERROR(__xludf.DUMMYFUNCTION("""COMPUTED_VALUE"""),0.2549440625)</f>
        <v>0.2549440625</v>
      </c>
      <c r="J1108" s="4">
        <f>IFERROR(__xludf.DUMMYFUNCTION("""COMPUTED_VALUE"""),45949.290374018194)</f>
        <v>45949.29037</v>
      </c>
      <c r="K1108" s="4" t="str">
        <f>IFERROR(__xludf.DUMMYFUNCTION("""COMPUTED_VALUE"""),"")</f>
        <v/>
      </c>
      <c r="L1108" s="4">
        <f>IFERROR(__xludf.DUMMYFUNCTION("""COMPUTED_VALUE"""),45949.27394253376)</f>
        <v>45949.27394</v>
      </c>
      <c r="M1108" s="1" t="str">
        <f>IFERROR(__xludf.DUMMYFUNCTION("""COMPUTED_VALUE"""),"RFID")</f>
        <v>RFID</v>
      </c>
      <c r="N1108" s="5">
        <f>IFERROR(__xludf.DUMMYFUNCTION("""COMPUTED_VALUE"""),0.014171981481481483)</f>
        <v>0.01417198148</v>
      </c>
      <c r="O1108" s="5" t="str">
        <f>IFERROR(__xludf.DUMMYFUNCTION("""COMPUTED_VALUE"""),"")</f>
        <v/>
      </c>
      <c r="P1108" s="5" t="str">
        <f>IFERROR(__xludf.DUMMYFUNCTION("""COMPUTED_VALUE"""),"")</f>
        <v/>
      </c>
      <c r="Q1108" s="5">
        <f>IFERROR(__xludf.DUMMYFUNCTION("""COMPUTED_VALUE"""),0.0037996944444444445)</f>
        <v>0.003799694444</v>
      </c>
      <c r="R1108" s="4">
        <f>IFERROR(__xludf.DUMMYFUNCTION("""COMPUTED_VALUE"""),45949.018998471256)</f>
        <v>45949.019</v>
      </c>
      <c r="S1108" s="1" t="b">
        <f>IFERROR(__xludf.DUMMYFUNCTION("""COMPUTED_VALUE"""),FALSE)</f>
        <v>0</v>
      </c>
      <c r="T1108" s="1" t="b">
        <f>IFERROR(__xludf.DUMMYFUNCTION("""COMPUTED_VALUE"""),FALSE)</f>
        <v>0</v>
      </c>
      <c r="U1108" s="1" t="str">
        <f>IFERROR(__xludf.DUMMYFUNCTION("""COMPUTED_VALUE"""),"DSQ")</f>
        <v>DSQ</v>
      </c>
      <c r="V1108" s="1" t="str">
        <f>IFERROR(__xludf.DUMMYFUNCTION("""COMPUTED_VALUE"""),"DSQ")</f>
        <v>DSQ</v>
      </c>
      <c r="W1108" s="1" t="str">
        <f>IFERROR(__xludf.DUMMYFUNCTION("""COMPUTED_VALUE"""),"DSQ")</f>
        <v>DSQ</v>
      </c>
      <c r="X1108" s="1" t="str">
        <f>IFERROR(__xludf.DUMMYFUNCTION("""COMPUTED_VALUE"""),"DSQ")</f>
        <v>DSQ</v>
      </c>
      <c r="Y1108" s="2"/>
      <c r="Z1108" s="2"/>
    </row>
    <row r="1109">
      <c r="A1109" s="1">
        <f>IFERROR(__xludf.DUMMYFUNCTION("""COMPUTED_VALUE"""),1108.0)</f>
        <v>1108</v>
      </c>
      <c r="B1109" s="1">
        <f>IFERROR(__xludf.DUMMYFUNCTION("""COMPUTED_VALUE"""),5104.0)</f>
        <v>5104</v>
      </c>
      <c r="C1109" s="2" t="str">
        <f>IFERROR(__xludf.DUMMYFUNCTION("""COMPUTED_VALUE"""),"Yenski")</f>
        <v>Yenski</v>
      </c>
      <c r="D1109" s="2" t="str">
        <f>IFERROR(__xludf.DUMMYFUNCTION("""COMPUTED_VALUE"""),"5KM OVERALL F")</f>
        <v>5KM OVERALL F</v>
      </c>
      <c r="E1109" s="1">
        <f>IFERROR(__xludf.DUMMYFUNCTION("""COMPUTED_VALUE"""),2.0)</f>
        <v>2</v>
      </c>
      <c r="F1109" s="1" t="str">
        <f>IFERROR(__xludf.DUMMYFUNCTION("""COMPUTED_VALUE"""),"Female")</f>
        <v>Female</v>
      </c>
      <c r="G1109" s="4" t="b">
        <f>IFERROR(__xludf.DUMMYFUNCTION("""COMPUTED_VALUE"""),TRUE)</f>
        <v>1</v>
      </c>
      <c r="H1109" s="4" t="b">
        <f>IFERROR(__xludf.DUMMYFUNCTION("""COMPUTED_VALUE"""),TRUE)</f>
        <v>1</v>
      </c>
      <c r="I1109" s="4">
        <f>IFERROR(__xludf.DUMMYFUNCTION("""COMPUTED_VALUE"""),0.2549440625)</f>
        <v>0.2549440625</v>
      </c>
      <c r="J1109" s="4">
        <f>IFERROR(__xludf.DUMMYFUNCTION("""COMPUTED_VALUE"""),45949.27296420052)</f>
        <v>45949.27296</v>
      </c>
      <c r="K1109" s="4" t="str">
        <f>IFERROR(__xludf.DUMMYFUNCTION("""COMPUTED_VALUE"""),"")</f>
        <v/>
      </c>
      <c r="L1109" s="4">
        <f>IFERROR(__xludf.DUMMYFUNCTION("""COMPUTED_VALUE"""),45949.28556487172)</f>
        <v>45949.28556</v>
      </c>
      <c r="M1109" s="1" t="str">
        <f>IFERROR(__xludf.DUMMYFUNCTION("""COMPUTED_VALUE"""),"RFID")</f>
        <v>RFID</v>
      </c>
      <c r="N1109" s="5">
        <f>IFERROR(__xludf.DUMMYFUNCTION("""COMPUTED_VALUE"""),0.007208055555555556)</f>
        <v>0.007208055556</v>
      </c>
      <c r="O1109" s="5" t="str">
        <f>IFERROR(__xludf.DUMMYFUNCTION("""COMPUTED_VALUE"""),"")</f>
        <v/>
      </c>
      <c r="P1109" s="5" t="str">
        <f>IFERROR(__xludf.DUMMYFUNCTION("""COMPUTED_VALUE"""),"")</f>
        <v/>
      </c>
      <c r="Q1109" s="5">
        <f>IFERROR(__xludf.DUMMYFUNCTION("""COMPUTED_VALUE"""),0.006124162037037037)</f>
        <v>0.006124162037</v>
      </c>
      <c r="R1109" s="4">
        <f>IFERROR(__xludf.DUMMYFUNCTION("""COMPUTED_VALUE"""),45949.03062080922)</f>
        <v>45949.03062</v>
      </c>
      <c r="S1109" s="1" t="b">
        <f>IFERROR(__xludf.DUMMYFUNCTION("""COMPUTED_VALUE"""),TRUE)</f>
        <v>1</v>
      </c>
      <c r="T1109" s="1" t="b">
        <f>IFERROR(__xludf.DUMMYFUNCTION("""COMPUTED_VALUE"""),FALSE)</f>
        <v>0</v>
      </c>
      <c r="U1109" s="1" t="str">
        <f>IFERROR(__xludf.DUMMYFUNCTION("""COMPUTED_VALUE"""),"VALID")</f>
        <v>VALID</v>
      </c>
      <c r="V1109" s="1">
        <f>IFERROR(__xludf.DUMMYFUNCTION("""COMPUTED_VALUE"""),86.0)</f>
        <v>86</v>
      </c>
      <c r="W1109" s="1">
        <f>IFERROR(__xludf.DUMMYFUNCTION("""COMPUTED_VALUE"""),609.0)</f>
        <v>609</v>
      </c>
      <c r="X1109" s="1">
        <f>IFERROR(__xludf.DUMMYFUNCTION("""COMPUTED_VALUE"""),110.0)</f>
        <v>110</v>
      </c>
      <c r="Y1109" s="2"/>
      <c r="Z1109" s="2"/>
    </row>
    <row r="1110">
      <c r="A1110" s="1">
        <f>IFERROR(__xludf.DUMMYFUNCTION("""COMPUTED_VALUE"""),1109.0)</f>
        <v>1109</v>
      </c>
      <c r="B1110" s="1">
        <f>IFERROR(__xludf.DUMMYFUNCTION("""COMPUTED_VALUE"""),5106.0)</f>
        <v>5106</v>
      </c>
      <c r="C1110" s="2" t="str">
        <f>IFERROR(__xludf.DUMMYFUNCTION("""COMPUTED_VALUE"""),"Kharisma Putri Salsa Mukarramah")</f>
        <v>Kharisma Putri Salsa Mukarramah</v>
      </c>
      <c r="D1110" s="2" t="str">
        <f>IFERROR(__xludf.DUMMYFUNCTION("""COMPUTED_VALUE"""),"5KM OVERALL F")</f>
        <v>5KM OVERALL F</v>
      </c>
      <c r="E1110" s="1">
        <f>IFERROR(__xludf.DUMMYFUNCTION("""COMPUTED_VALUE"""),2.0)</f>
        <v>2</v>
      </c>
      <c r="F1110" s="1" t="str">
        <f>IFERROR(__xludf.DUMMYFUNCTION("""COMPUTED_VALUE"""),"Female")</f>
        <v>Female</v>
      </c>
      <c r="G1110" s="4" t="b">
        <f>IFERROR(__xludf.DUMMYFUNCTION("""COMPUTED_VALUE"""),TRUE)</f>
        <v>1</v>
      </c>
      <c r="H1110" s="4" t="b">
        <f>IFERROR(__xludf.DUMMYFUNCTION("""COMPUTED_VALUE"""),TRUE)</f>
        <v>1</v>
      </c>
      <c r="I1110" s="4">
        <f>IFERROR(__xludf.DUMMYFUNCTION("""COMPUTED_VALUE"""),0.2549440625)</f>
        <v>0.2549440625</v>
      </c>
      <c r="J1110" s="4">
        <f>IFERROR(__xludf.DUMMYFUNCTION("""COMPUTED_VALUE"""),45949.27999890909)</f>
        <v>45949.28</v>
      </c>
      <c r="K1110" s="4" t="str">
        <f>IFERROR(__xludf.DUMMYFUNCTION("""COMPUTED_VALUE"""),"")</f>
        <v/>
      </c>
      <c r="L1110" s="4">
        <f>IFERROR(__xludf.DUMMYFUNCTION("""COMPUTED_VALUE"""),45949.29886962883)</f>
        <v>45949.29887</v>
      </c>
      <c r="M1110" s="1" t="str">
        <f>IFERROR(__xludf.DUMMYFUNCTION("""COMPUTED_VALUE"""),"RFID")</f>
        <v>RFID</v>
      </c>
      <c r="N1110" s="5">
        <f>IFERROR(__xludf.DUMMYFUNCTION("""COMPUTED_VALUE"""),0.010021939814814815)</f>
        <v>0.01002193981</v>
      </c>
      <c r="O1110" s="5" t="str">
        <f>IFERROR(__xludf.DUMMYFUNCTION("""COMPUTED_VALUE"""),"")</f>
        <v/>
      </c>
      <c r="P1110" s="5" t="str">
        <f>IFERROR(__xludf.DUMMYFUNCTION("""COMPUTED_VALUE"""),"")</f>
        <v/>
      </c>
      <c r="Q1110" s="5">
        <f>IFERROR(__xludf.DUMMYFUNCTION("""COMPUTED_VALUE"""),0.008785113425925925)</f>
        <v>0.008785113426</v>
      </c>
      <c r="R1110" s="4">
        <f>IFERROR(__xludf.DUMMYFUNCTION("""COMPUTED_VALUE"""),45949.04392556633)</f>
        <v>45949.04393</v>
      </c>
      <c r="S1110" s="1" t="b">
        <f>IFERROR(__xludf.DUMMYFUNCTION("""COMPUTED_VALUE"""),TRUE)</f>
        <v>1</v>
      </c>
      <c r="T1110" s="1" t="b">
        <f>IFERROR(__xludf.DUMMYFUNCTION("""COMPUTED_VALUE"""),FALSE)</f>
        <v>0</v>
      </c>
      <c r="U1110" s="1" t="str">
        <f>IFERROR(__xludf.DUMMYFUNCTION("""COMPUTED_VALUE"""),"VALID")</f>
        <v>VALID</v>
      </c>
      <c r="V1110" s="1">
        <f>IFERROR(__xludf.DUMMYFUNCTION("""COMPUTED_VALUE"""),397.0)</f>
        <v>397</v>
      </c>
      <c r="W1110" s="1">
        <f>IFERROR(__xludf.DUMMYFUNCTION("""COMPUTED_VALUE"""),1404.0)</f>
        <v>1404</v>
      </c>
      <c r="X1110" s="1">
        <f>IFERROR(__xludf.DUMMYFUNCTION("""COMPUTED_VALUE"""),482.0)</f>
        <v>482</v>
      </c>
      <c r="Y1110" s="2"/>
      <c r="Z1110" s="2"/>
    </row>
    <row r="1111">
      <c r="A1111" s="1">
        <f>IFERROR(__xludf.DUMMYFUNCTION("""COMPUTED_VALUE"""),1110.0)</f>
        <v>1110</v>
      </c>
      <c r="B1111" s="1">
        <f>IFERROR(__xludf.DUMMYFUNCTION("""COMPUTED_VALUE"""),5108.0)</f>
        <v>5108</v>
      </c>
      <c r="C1111" s="2" t="str">
        <f>IFERROR(__xludf.DUMMYFUNCTION("""COMPUTED_VALUE"""),"SRM")</f>
        <v>SRM</v>
      </c>
      <c r="D1111" s="2" t="str">
        <f>IFERROR(__xludf.DUMMYFUNCTION("""COMPUTED_VALUE"""),"5KM OVERALL F")</f>
        <v>5KM OVERALL F</v>
      </c>
      <c r="E1111" s="1">
        <f>IFERROR(__xludf.DUMMYFUNCTION("""COMPUTED_VALUE"""),2.0)</f>
        <v>2</v>
      </c>
      <c r="F1111" s="1" t="str">
        <f>IFERROR(__xludf.DUMMYFUNCTION("""COMPUTED_VALUE"""),"Female")</f>
        <v>Female</v>
      </c>
      <c r="G1111" s="4" t="b">
        <f>IFERROR(__xludf.DUMMYFUNCTION("""COMPUTED_VALUE"""),TRUE)</f>
        <v>1</v>
      </c>
      <c r="H1111" s="4" t="b">
        <f>IFERROR(__xludf.DUMMYFUNCTION("""COMPUTED_VALUE"""),FALSE)</f>
        <v>0</v>
      </c>
      <c r="I1111" s="4">
        <f>IFERROR(__xludf.DUMMYFUNCTION("""COMPUTED_VALUE"""),0.2549440625)</f>
        <v>0.2549440625</v>
      </c>
      <c r="J1111" s="4">
        <f>IFERROR(__xludf.DUMMYFUNCTION("""COMPUTED_VALUE"""),45949.27614475304)</f>
        <v>45949.27614</v>
      </c>
      <c r="K1111" s="4" t="str">
        <f>IFERROR(__xludf.DUMMYFUNCTION("""COMPUTED_VALUE"""),"")</f>
        <v/>
      </c>
      <c r="L1111" s="4">
        <f>IFERROR(__xludf.DUMMYFUNCTION("""COMPUTED_VALUE"""),45949.29365436178)</f>
        <v>45949.29365</v>
      </c>
      <c r="M1111" s="1" t="str">
        <f>IFERROR(__xludf.DUMMYFUNCTION("""COMPUTED_VALUE"""),"RFID")</f>
        <v>RFID</v>
      </c>
      <c r="N1111" s="5">
        <f>IFERROR(__xludf.DUMMYFUNCTION("""COMPUTED_VALUE"""),0.008480277777777778)</f>
        <v>0.008480277778</v>
      </c>
      <c r="O1111" s="5" t="str">
        <f>IFERROR(__xludf.DUMMYFUNCTION("""COMPUTED_VALUE"""),"")</f>
        <v/>
      </c>
      <c r="P1111" s="5" t="str">
        <f>IFERROR(__xludf.DUMMYFUNCTION("""COMPUTED_VALUE"""),"")</f>
        <v/>
      </c>
      <c r="Q1111" s="5">
        <f>IFERROR(__xludf.DUMMYFUNCTION("""COMPUTED_VALUE"""),0.007742060185185186)</f>
        <v>0.007742060185</v>
      </c>
      <c r="R1111" s="4">
        <f>IFERROR(__xludf.DUMMYFUNCTION("""COMPUTED_VALUE"""),45949.03871029928)</f>
        <v>45949.03871</v>
      </c>
      <c r="S1111" s="1" t="b">
        <f>IFERROR(__xludf.DUMMYFUNCTION("""COMPUTED_VALUE"""),TRUE)</f>
        <v>1</v>
      </c>
      <c r="T1111" s="1" t="b">
        <f>IFERROR(__xludf.DUMMYFUNCTION("""COMPUTED_VALUE"""),FALSE)</f>
        <v>0</v>
      </c>
      <c r="U1111" s="1" t="str">
        <f>IFERROR(__xludf.DUMMYFUNCTION("""COMPUTED_VALUE"""),"VALID")</f>
        <v>VALID</v>
      </c>
      <c r="V1111" s="1">
        <f>IFERROR(__xludf.DUMMYFUNCTION("""COMPUTED_VALUE"""),271.0)</f>
        <v>271</v>
      </c>
      <c r="W1111" s="1">
        <f>IFERROR(__xludf.DUMMYFUNCTION("""COMPUTED_VALUE"""),1143.0)</f>
        <v>1143</v>
      </c>
      <c r="X1111" s="1">
        <f>IFERROR(__xludf.DUMMYFUNCTION("""COMPUTED_VALUE"""),330.0)</f>
        <v>330</v>
      </c>
      <c r="Y1111" s="2"/>
      <c r="Z1111" s="2"/>
    </row>
    <row r="1112">
      <c r="A1112" s="1">
        <f>IFERROR(__xludf.DUMMYFUNCTION("""COMPUTED_VALUE"""),1111.0)</f>
        <v>1111</v>
      </c>
      <c r="B1112" s="1">
        <f>IFERROR(__xludf.DUMMYFUNCTION("""COMPUTED_VALUE"""),5112.0)</f>
        <v>5112</v>
      </c>
      <c r="C1112" s="2" t="str">
        <f>IFERROR(__xludf.DUMMYFUNCTION("""COMPUTED_VALUE"""),"Emo Moy")</f>
        <v>Emo Moy</v>
      </c>
      <c r="D1112" s="2" t="str">
        <f>IFERROR(__xludf.DUMMYFUNCTION("""COMPUTED_VALUE"""),"5KM OVERALL F")</f>
        <v>5KM OVERALL F</v>
      </c>
      <c r="E1112" s="1">
        <f>IFERROR(__xludf.DUMMYFUNCTION("""COMPUTED_VALUE"""),2.0)</f>
        <v>2</v>
      </c>
      <c r="F1112" s="1" t="str">
        <f>IFERROR(__xludf.DUMMYFUNCTION("""COMPUTED_VALUE"""),"Female")</f>
        <v>Female</v>
      </c>
      <c r="G1112" s="4" t="b">
        <f>IFERROR(__xludf.DUMMYFUNCTION("""COMPUTED_VALUE"""),TRUE)</f>
        <v>1</v>
      </c>
      <c r="H1112" s="4" t="b">
        <f>IFERROR(__xludf.DUMMYFUNCTION("""COMPUTED_VALUE"""),FALSE)</f>
        <v>0</v>
      </c>
      <c r="I1112" s="4">
        <f>IFERROR(__xludf.DUMMYFUNCTION("""COMPUTED_VALUE"""),0.2549440625)</f>
        <v>0.2549440625</v>
      </c>
      <c r="J1112" s="4">
        <f>IFERROR(__xludf.DUMMYFUNCTION("""COMPUTED_VALUE"""),45949.2732948558)</f>
        <v>45949.27329</v>
      </c>
      <c r="K1112" s="4" t="str">
        <f>IFERROR(__xludf.DUMMYFUNCTION("""COMPUTED_VALUE"""),"")</f>
        <v/>
      </c>
      <c r="L1112" s="4">
        <f>IFERROR(__xludf.DUMMYFUNCTION("""COMPUTED_VALUE"""),45949.28586961749)</f>
        <v>45949.28587</v>
      </c>
      <c r="M1112" s="1" t="str">
        <f>IFERROR(__xludf.DUMMYFUNCTION("""COMPUTED_VALUE"""),"RFID")</f>
        <v>RFID</v>
      </c>
      <c r="N1112" s="5">
        <f>IFERROR(__xludf.DUMMYFUNCTION("""COMPUTED_VALUE"""),0.0073403194444444445)</f>
        <v>0.007340319444</v>
      </c>
      <c r="O1112" s="5" t="str">
        <f>IFERROR(__xludf.DUMMYFUNCTION("""COMPUTED_VALUE"""),"")</f>
        <v/>
      </c>
      <c r="P1112" s="5" t="str">
        <f>IFERROR(__xludf.DUMMYFUNCTION("""COMPUTED_VALUE"""),"")</f>
        <v/>
      </c>
      <c r="Q1112" s="5">
        <f>IFERROR(__xludf.DUMMYFUNCTION("""COMPUTED_VALUE"""),0.006185111111111111)</f>
        <v>0.006185111111</v>
      </c>
      <c r="R1112" s="4">
        <f>IFERROR(__xludf.DUMMYFUNCTION("""COMPUTED_VALUE"""),45949.03092555499)</f>
        <v>45949.03093</v>
      </c>
      <c r="S1112" s="1" t="b">
        <f>IFERROR(__xludf.DUMMYFUNCTION("""COMPUTED_VALUE"""),TRUE)</f>
        <v>1</v>
      </c>
      <c r="T1112" s="1" t="b">
        <f>IFERROR(__xludf.DUMMYFUNCTION("""COMPUTED_VALUE"""),FALSE)</f>
        <v>0</v>
      </c>
      <c r="U1112" s="1" t="str">
        <f>IFERROR(__xludf.DUMMYFUNCTION("""COMPUTED_VALUE"""),"VALID")</f>
        <v>VALID</v>
      </c>
      <c r="V1112" s="1">
        <f>IFERROR(__xludf.DUMMYFUNCTION("""COMPUTED_VALUE"""),92.0)</f>
        <v>92</v>
      </c>
      <c r="W1112" s="1">
        <f>IFERROR(__xludf.DUMMYFUNCTION("""COMPUTED_VALUE"""),631.0)</f>
        <v>631</v>
      </c>
      <c r="X1112" s="1">
        <f>IFERROR(__xludf.DUMMYFUNCTION("""COMPUTED_VALUE"""),117.0)</f>
        <v>117</v>
      </c>
      <c r="Y1112" s="2"/>
      <c r="Z1112" s="2"/>
    </row>
    <row r="1113">
      <c r="A1113" s="1">
        <f>IFERROR(__xludf.DUMMYFUNCTION("""COMPUTED_VALUE"""),1112.0)</f>
        <v>1112</v>
      </c>
      <c r="B1113" s="1">
        <f>IFERROR(__xludf.DUMMYFUNCTION("""COMPUTED_VALUE"""),5113.0)</f>
        <v>5113</v>
      </c>
      <c r="C1113" s="2" t="str">
        <f>IFERROR(__xludf.DUMMYFUNCTION("""COMPUTED_VALUE"""),"Sundari")</f>
        <v>Sundari</v>
      </c>
      <c r="D1113" s="2" t="str">
        <f>IFERROR(__xludf.DUMMYFUNCTION("""COMPUTED_VALUE"""),"5KM OVERALL F")</f>
        <v>5KM OVERALL F</v>
      </c>
      <c r="E1113" s="1">
        <f>IFERROR(__xludf.DUMMYFUNCTION("""COMPUTED_VALUE"""),2.0)</f>
        <v>2</v>
      </c>
      <c r="F1113" s="1" t="str">
        <f>IFERROR(__xludf.DUMMYFUNCTION("""COMPUTED_VALUE"""),"Female")</f>
        <v>Female</v>
      </c>
      <c r="G1113" s="4" t="b">
        <f>IFERROR(__xludf.DUMMYFUNCTION("""COMPUTED_VALUE"""),TRUE)</f>
        <v>1</v>
      </c>
      <c r="H1113" s="4" t="b">
        <f>IFERROR(__xludf.DUMMYFUNCTION("""COMPUTED_VALUE"""),FALSE)</f>
        <v>0</v>
      </c>
      <c r="I1113" s="4">
        <f>IFERROR(__xludf.DUMMYFUNCTION("""COMPUTED_VALUE"""),0.2549440625)</f>
        <v>0.2549440625</v>
      </c>
      <c r="J1113" s="4">
        <f>IFERROR(__xludf.DUMMYFUNCTION("""COMPUTED_VALUE"""),45949.26790869326)</f>
        <v>45949.26791</v>
      </c>
      <c r="K1113" s="4" t="str">
        <f>IFERROR(__xludf.DUMMYFUNCTION("""COMPUTED_VALUE"""),"")</f>
        <v/>
      </c>
      <c r="L1113" s="4">
        <f>IFERROR(__xludf.DUMMYFUNCTION("""COMPUTED_VALUE"""),45949.27824461647)</f>
        <v>45949.27824</v>
      </c>
      <c r="M1113" s="1" t="str">
        <f>IFERROR(__xludf.DUMMYFUNCTION("""COMPUTED_VALUE"""),"RFID")</f>
        <v>RFID</v>
      </c>
      <c r="N1113" s="5">
        <f>IFERROR(__xludf.DUMMYFUNCTION("""COMPUTED_VALUE"""),0.005185851851851852)</f>
        <v>0.005185851852</v>
      </c>
      <c r="O1113" s="5" t="str">
        <f>IFERROR(__xludf.DUMMYFUNCTION("""COMPUTED_VALUE"""),"")</f>
        <v/>
      </c>
      <c r="P1113" s="5" t="str">
        <f>IFERROR(__xludf.DUMMYFUNCTION("""COMPUTED_VALUE"""),"")</f>
        <v/>
      </c>
      <c r="Q1113" s="5">
        <f>IFERROR(__xludf.DUMMYFUNCTION("""COMPUTED_VALUE"""),0.0046601111111111105)</f>
        <v>0.004660111111</v>
      </c>
      <c r="R1113" s="4">
        <f>IFERROR(__xludf.DUMMYFUNCTION("""COMPUTED_VALUE"""),45949.02330055397)</f>
        <v>45949.0233</v>
      </c>
      <c r="S1113" s="1" t="b">
        <f>IFERROR(__xludf.DUMMYFUNCTION("""COMPUTED_VALUE"""),TRUE)</f>
        <v>1</v>
      </c>
      <c r="T1113" s="1" t="b">
        <f>IFERROR(__xludf.DUMMYFUNCTION("""COMPUTED_VALUE"""),FALSE)</f>
        <v>0</v>
      </c>
      <c r="U1113" s="1" t="str">
        <f>IFERROR(__xludf.DUMMYFUNCTION("""COMPUTED_VALUE"""),"VALID")</f>
        <v>VALID</v>
      </c>
      <c r="V1113" s="1">
        <f>IFERROR(__xludf.DUMMYFUNCTION("""COMPUTED_VALUE"""),19.0)</f>
        <v>19</v>
      </c>
      <c r="W1113" s="1">
        <f>IFERROR(__xludf.DUMMYFUNCTION("""COMPUTED_VALUE"""),226.0)</f>
        <v>226</v>
      </c>
      <c r="X1113" s="1">
        <f>IFERROR(__xludf.DUMMYFUNCTION("""COMPUTED_VALUE"""),29.0)</f>
        <v>29</v>
      </c>
      <c r="Y1113" s="2"/>
      <c r="Z1113" s="2"/>
    </row>
    <row r="1114">
      <c r="A1114" s="1">
        <f>IFERROR(__xludf.DUMMYFUNCTION("""COMPUTED_VALUE"""),1113.0)</f>
        <v>1113</v>
      </c>
      <c r="B1114" s="1">
        <f>IFERROR(__xludf.DUMMYFUNCTION("""COMPUTED_VALUE"""),5114.0)</f>
        <v>5114</v>
      </c>
      <c r="C1114" s="2" t="str">
        <f>IFERROR(__xludf.DUMMYFUNCTION("""COMPUTED_VALUE"""),"Frenda")</f>
        <v>Frenda</v>
      </c>
      <c r="D1114" s="2" t="str">
        <f>IFERROR(__xludf.DUMMYFUNCTION("""COMPUTED_VALUE"""),"5KM OVERALL F")</f>
        <v>5KM OVERALL F</v>
      </c>
      <c r="E1114" s="1">
        <f>IFERROR(__xludf.DUMMYFUNCTION("""COMPUTED_VALUE"""),2.0)</f>
        <v>2</v>
      </c>
      <c r="F1114" s="1" t="str">
        <f>IFERROR(__xludf.DUMMYFUNCTION("""COMPUTED_VALUE"""),"Female")</f>
        <v>Female</v>
      </c>
      <c r="G1114" s="4" t="b">
        <f>IFERROR(__xludf.DUMMYFUNCTION("""COMPUTED_VALUE"""),TRUE)</f>
        <v>1</v>
      </c>
      <c r="H1114" s="4" t="b">
        <f>IFERROR(__xludf.DUMMYFUNCTION("""COMPUTED_VALUE"""),TRUE)</f>
        <v>1</v>
      </c>
      <c r="I1114" s="4">
        <f>IFERROR(__xludf.DUMMYFUNCTION("""COMPUTED_VALUE"""),0.2549440625)</f>
        <v>0.2549440625</v>
      </c>
      <c r="J1114" s="4">
        <f>IFERROR(__xludf.DUMMYFUNCTION("""COMPUTED_VALUE"""),45949.27750243344)</f>
        <v>45949.2775</v>
      </c>
      <c r="K1114" s="4" t="str">
        <f>IFERROR(__xludf.DUMMYFUNCTION("""COMPUTED_VALUE"""),"")</f>
        <v/>
      </c>
      <c r="L1114" s="4">
        <f>IFERROR(__xludf.DUMMYFUNCTION("""COMPUTED_VALUE"""),45949.29378629615)</f>
        <v>45949.29379</v>
      </c>
      <c r="M1114" s="1" t="str">
        <f>IFERROR(__xludf.DUMMYFUNCTION("""COMPUTED_VALUE"""),"RFID")</f>
        <v>RFID</v>
      </c>
      <c r="N1114" s="5">
        <f>IFERROR(__xludf.DUMMYFUNCTION("""COMPUTED_VALUE"""),0.009023347222222223)</f>
        <v>0.009023347222</v>
      </c>
      <c r="O1114" s="5" t="str">
        <f>IFERROR(__xludf.DUMMYFUNCTION("""COMPUTED_VALUE"""),"")</f>
        <v/>
      </c>
      <c r="P1114" s="5" t="str">
        <f>IFERROR(__xludf.DUMMYFUNCTION("""COMPUTED_VALUE"""),"")</f>
        <v/>
      </c>
      <c r="Q1114" s="5">
        <f>IFERROR(__xludf.DUMMYFUNCTION("""COMPUTED_VALUE"""),0.00776844675925926)</f>
        <v>0.007768446759</v>
      </c>
      <c r="R1114" s="4">
        <f>IFERROR(__xludf.DUMMYFUNCTION("""COMPUTED_VALUE"""),45949.03884223365)</f>
        <v>45949.03884</v>
      </c>
      <c r="S1114" s="1" t="b">
        <f>IFERROR(__xludf.DUMMYFUNCTION("""COMPUTED_VALUE"""),TRUE)</f>
        <v>1</v>
      </c>
      <c r="T1114" s="1" t="b">
        <f>IFERROR(__xludf.DUMMYFUNCTION("""COMPUTED_VALUE"""),FALSE)</f>
        <v>0</v>
      </c>
      <c r="U1114" s="1" t="str">
        <f>IFERROR(__xludf.DUMMYFUNCTION("""COMPUTED_VALUE"""),"VALID")</f>
        <v>VALID</v>
      </c>
      <c r="V1114" s="1">
        <f>IFERROR(__xludf.DUMMYFUNCTION("""COMPUTED_VALUE"""),279.0)</f>
        <v>279</v>
      </c>
      <c r="W1114" s="1">
        <f>IFERROR(__xludf.DUMMYFUNCTION("""COMPUTED_VALUE"""),1160.0)</f>
        <v>1160</v>
      </c>
      <c r="X1114" s="1">
        <f>IFERROR(__xludf.DUMMYFUNCTION("""COMPUTED_VALUE"""),338.0)</f>
        <v>338</v>
      </c>
      <c r="Y1114" s="2"/>
      <c r="Z1114" s="2"/>
    </row>
    <row r="1115">
      <c r="A1115" s="1">
        <f>IFERROR(__xludf.DUMMYFUNCTION("""COMPUTED_VALUE"""),1114.0)</f>
        <v>1114</v>
      </c>
      <c r="B1115" s="1">
        <f>IFERROR(__xludf.DUMMYFUNCTION("""COMPUTED_VALUE"""),5115.0)</f>
        <v>5115</v>
      </c>
      <c r="C1115" s="2" t="str">
        <f>IFERROR(__xludf.DUMMYFUNCTION("""COMPUTED_VALUE"""),"lusdina")</f>
        <v>lusdina</v>
      </c>
      <c r="D1115" s="2" t="str">
        <f>IFERROR(__xludf.DUMMYFUNCTION("""COMPUTED_VALUE"""),"5KM OVERALL F")</f>
        <v>5KM OVERALL F</v>
      </c>
      <c r="E1115" s="1">
        <f>IFERROR(__xludf.DUMMYFUNCTION("""COMPUTED_VALUE"""),2.0)</f>
        <v>2</v>
      </c>
      <c r="F1115" s="1" t="str">
        <f>IFERROR(__xludf.DUMMYFUNCTION("""COMPUTED_VALUE"""),"Female")</f>
        <v>Female</v>
      </c>
      <c r="G1115" s="4" t="b">
        <f>IFERROR(__xludf.DUMMYFUNCTION("""COMPUTED_VALUE"""),TRUE)</f>
        <v>1</v>
      </c>
      <c r="H1115" s="4" t="b">
        <f>IFERROR(__xludf.DUMMYFUNCTION("""COMPUTED_VALUE"""),FALSE)</f>
        <v>0</v>
      </c>
      <c r="I1115" s="4">
        <f>IFERROR(__xludf.DUMMYFUNCTION("""COMPUTED_VALUE"""),0.2549440625)</f>
        <v>0.2549440625</v>
      </c>
      <c r="J1115" s="4">
        <f>IFERROR(__xludf.DUMMYFUNCTION("""COMPUTED_VALUE"""),45949.27159968594)</f>
        <v>45949.2716</v>
      </c>
      <c r="K1115" s="4" t="str">
        <f>IFERROR(__xludf.DUMMYFUNCTION("""COMPUTED_VALUE"""),"")</f>
        <v/>
      </c>
      <c r="L1115" s="4">
        <f>IFERROR(__xludf.DUMMYFUNCTION("""COMPUTED_VALUE"""),45949.28353970326)</f>
        <v>45949.28354</v>
      </c>
      <c r="M1115" s="1" t="str">
        <f>IFERROR(__xludf.DUMMYFUNCTION("""COMPUTED_VALUE"""),"RFID")</f>
        <v>RFID</v>
      </c>
      <c r="N1115" s="5">
        <f>IFERROR(__xludf.DUMMYFUNCTION("""COMPUTED_VALUE"""),0.00666225)</f>
        <v>0.00666225</v>
      </c>
      <c r="O1115" s="5" t="str">
        <f>IFERROR(__xludf.DUMMYFUNCTION("""COMPUTED_VALUE"""),"")</f>
        <v/>
      </c>
      <c r="P1115" s="5" t="str">
        <f>IFERROR(__xludf.DUMMYFUNCTION("""COMPUTED_VALUE"""),"")</f>
        <v/>
      </c>
      <c r="Q1115" s="5">
        <f>IFERROR(__xludf.DUMMYFUNCTION("""COMPUTED_VALUE"""),0.005719127314814815)</f>
        <v>0.005719127315</v>
      </c>
      <c r="R1115" s="4">
        <f>IFERROR(__xludf.DUMMYFUNCTION("""COMPUTED_VALUE"""),45949.02859564076)</f>
        <v>45949.0286</v>
      </c>
      <c r="S1115" s="1" t="b">
        <f>IFERROR(__xludf.DUMMYFUNCTION("""COMPUTED_VALUE"""),TRUE)</f>
        <v>1</v>
      </c>
      <c r="T1115" s="1" t="b">
        <f>IFERROR(__xludf.DUMMYFUNCTION("""COMPUTED_VALUE"""),FALSE)</f>
        <v>0</v>
      </c>
      <c r="U1115" s="1" t="str">
        <f>IFERROR(__xludf.DUMMYFUNCTION("""COMPUTED_VALUE"""),"VALID")</f>
        <v>VALID</v>
      </c>
      <c r="V1115" s="1">
        <f>IFERROR(__xludf.DUMMYFUNCTION("""COMPUTED_VALUE"""),48.0)</f>
        <v>48</v>
      </c>
      <c r="W1115" s="1">
        <f>IFERROR(__xludf.DUMMYFUNCTION("""COMPUTED_VALUE"""),465.0)</f>
        <v>465</v>
      </c>
      <c r="X1115" s="1">
        <f>IFERROR(__xludf.DUMMYFUNCTION("""COMPUTED_VALUE"""),69.0)</f>
        <v>69</v>
      </c>
      <c r="Y1115" s="2"/>
      <c r="Z1115" s="2"/>
    </row>
    <row r="1116">
      <c r="A1116" s="1">
        <f>IFERROR(__xludf.DUMMYFUNCTION("""COMPUTED_VALUE"""),1115.0)</f>
        <v>1115</v>
      </c>
      <c r="B1116" s="1">
        <f>IFERROR(__xludf.DUMMYFUNCTION("""COMPUTED_VALUE"""),5118.0)</f>
        <v>5118</v>
      </c>
      <c r="C1116" s="2" t="str">
        <f>IFERROR(__xludf.DUMMYFUNCTION("""COMPUTED_VALUE"""),"Eben Haezer")</f>
        <v>Eben Haezer</v>
      </c>
      <c r="D1116" s="2" t="str">
        <f>IFERROR(__xludf.DUMMYFUNCTION("""COMPUTED_VALUE"""),"5KM OVERALL F")</f>
        <v>5KM OVERALL F</v>
      </c>
      <c r="E1116" s="1">
        <f>IFERROR(__xludf.DUMMYFUNCTION("""COMPUTED_VALUE"""),2.0)</f>
        <v>2</v>
      </c>
      <c r="F1116" s="1" t="str">
        <f>IFERROR(__xludf.DUMMYFUNCTION("""COMPUTED_VALUE"""),"Female")</f>
        <v>Female</v>
      </c>
      <c r="G1116" s="4" t="b">
        <f>IFERROR(__xludf.DUMMYFUNCTION("""COMPUTED_VALUE"""),TRUE)</f>
        <v>1</v>
      </c>
      <c r="H1116" s="4" t="b">
        <f>IFERROR(__xludf.DUMMYFUNCTION("""COMPUTED_VALUE"""),FALSE)</f>
        <v>0</v>
      </c>
      <c r="I1116" s="4">
        <f>IFERROR(__xludf.DUMMYFUNCTION("""COMPUTED_VALUE"""),0.2549440625)</f>
        <v>0.2549440625</v>
      </c>
      <c r="J1116" s="4">
        <f>IFERROR(__xludf.DUMMYFUNCTION("""COMPUTED_VALUE"""),45949.27188104931)</f>
        <v>45949.27188</v>
      </c>
      <c r="K1116" s="4" t="str">
        <f>IFERROR(__xludf.DUMMYFUNCTION("""COMPUTED_VALUE"""),"")</f>
        <v/>
      </c>
      <c r="L1116" s="4">
        <f>IFERROR(__xludf.DUMMYFUNCTION("""COMPUTED_VALUE"""),45949.28487304117)</f>
        <v>45949.28487</v>
      </c>
      <c r="M1116" s="1" t="str">
        <f>IFERROR(__xludf.DUMMYFUNCTION("""COMPUTED_VALUE"""),"RFID")</f>
        <v>RFID</v>
      </c>
      <c r="N1116" s="5">
        <f>IFERROR(__xludf.DUMMYFUNCTION("""COMPUTED_VALUE"""),0.006774796296296297)</f>
        <v>0.006774796296</v>
      </c>
      <c r="O1116" s="5" t="str">
        <f>IFERROR(__xludf.DUMMYFUNCTION("""COMPUTED_VALUE"""),"")</f>
        <v/>
      </c>
      <c r="P1116" s="5" t="str">
        <f>IFERROR(__xludf.DUMMYFUNCTION("""COMPUTED_VALUE"""),"")</f>
        <v/>
      </c>
      <c r="Q1116" s="5">
        <f>IFERROR(__xludf.DUMMYFUNCTION("""COMPUTED_VALUE"""),0.005985796296296296)</f>
        <v>0.005985796296</v>
      </c>
      <c r="R1116" s="4">
        <f>IFERROR(__xludf.DUMMYFUNCTION("""COMPUTED_VALUE"""),45949.02992897867)</f>
        <v>45949.02993</v>
      </c>
      <c r="S1116" s="1" t="b">
        <f>IFERROR(__xludf.DUMMYFUNCTION("""COMPUTED_VALUE"""),TRUE)</f>
        <v>1</v>
      </c>
      <c r="T1116" s="1" t="b">
        <f>IFERROR(__xludf.DUMMYFUNCTION("""COMPUTED_VALUE"""),FALSE)</f>
        <v>0</v>
      </c>
      <c r="U1116" s="1" t="str">
        <f>IFERROR(__xludf.DUMMYFUNCTION("""COMPUTED_VALUE"""),"VALID")</f>
        <v>VALID</v>
      </c>
      <c r="V1116" s="1">
        <f>IFERROR(__xludf.DUMMYFUNCTION("""COMPUTED_VALUE"""),72.0)</f>
        <v>72</v>
      </c>
      <c r="W1116" s="1">
        <f>IFERROR(__xludf.DUMMYFUNCTION("""COMPUTED_VALUE"""),567.0)</f>
        <v>567</v>
      </c>
      <c r="X1116" s="1">
        <f>IFERROR(__xludf.DUMMYFUNCTION("""COMPUTED_VALUE"""),94.0)</f>
        <v>94</v>
      </c>
      <c r="Y1116" s="2"/>
      <c r="Z1116" s="2"/>
    </row>
    <row r="1117">
      <c r="A1117" s="1">
        <f>IFERROR(__xludf.DUMMYFUNCTION("""COMPUTED_VALUE"""),1116.0)</f>
        <v>1116</v>
      </c>
      <c r="B1117" s="1">
        <f>IFERROR(__xludf.DUMMYFUNCTION("""COMPUTED_VALUE"""),5120.0)</f>
        <v>5120</v>
      </c>
      <c r="C1117" s="2" t="str">
        <f>IFERROR(__xludf.DUMMYFUNCTION("""COMPUTED_VALUE"""),"Nada")</f>
        <v>Nada</v>
      </c>
      <c r="D1117" s="2" t="str">
        <f>IFERROR(__xludf.DUMMYFUNCTION("""COMPUTED_VALUE"""),"5KM OVERALL F")</f>
        <v>5KM OVERALL F</v>
      </c>
      <c r="E1117" s="1">
        <f>IFERROR(__xludf.DUMMYFUNCTION("""COMPUTED_VALUE"""),2.0)</f>
        <v>2</v>
      </c>
      <c r="F1117" s="1" t="str">
        <f>IFERROR(__xludf.DUMMYFUNCTION("""COMPUTED_VALUE"""),"Female")</f>
        <v>Female</v>
      </c>
      <c r="G1117" s="4" t="str">
        <f>IFERROR(__xludf.DUMMYFUNCTION("""COMPUTED_VALUE"""),"")</f>
        <v/>
      </c>
      <c r="H1117" s="4" t="b">
        <f>IFERROR(__xludf.DUMMYFUNCTION("""COMPUTED_VALUE"""),FALSE)</f>
        <v>0</v>
      </c>
      <c r="I1117" s="4">
        <f>IFERROR(__xludf.DUMMYFUNCTION("""COMPUTED_VALUE"""),0.2549440625)</f>
        <v>0.2549440625</v>
      </c>
      <c r="J1117" s="4" t="str">
        <f>IFERROR(__xludf.DUMMYFUNCTION("""COMPUTED_VALUE"""),"")</f>
        <v/>
      </c>
      <c r="K1117" s="4" t="str">
        <f>IFERROR(__xludf.DUMMYFUNCTION("""COMPUTED_VALUE"""),"")</f>
        <v/>
      </c>
      <c r="L1117" s="4" t="str">
        <f>IFERROR(__xludf.DUMMYFUNCTION("""COMPUTED_VALUE"""),"")</f>
        <v/>
      </c>
      <c r="M1117" s="1" t="str">
        <f>IFERROR(__xludf.DUMMYFUNCTION("""COMPUTED_VALUE"""),"RFID")</f>
        <v>RFID</v>
      </c>
      <c r="N1117" s="5" t="str">
        <f>IFERROR(__xludf.DUMMYFUNCTION("""COMPUTED_VALUE"""),"")</f>
        <v/>
      </c>
      <c r="O1117" s="5" t="str">
        <f>IFERROR(__xludf.DUMMYFUNCTION("""COMPUTED_VALUE"""),"")</f>
        <v/>
      </c>
      <c r="P1117" s="5" t="str">
        <f>IFERROR(__xludf.DUMMYFUNCTION("""COMPUTED_VALUE"""),"")</f>
        <v/>
      </c>
      <c r="Q1117" s="5" t="str">
        <f>IFERROR(__xludf.DUMMYFUNCTION("""COMPUTED_VALUE"""),"")</f>
        <v/>
      </c>
      <c r="R1117" s="4" t="str">
        <f>IFERROR(__xludf.DUMMYFUNCTION("""COMPUTED_VALUE"""),"")</f>
        <v/>
      </c>
      <c r="S1117" s="1" t="b">
        <f>IFERROR(__xludf.DUMMYFUNCTION("""COMPUTED_VALUE"""),FALSE)</f>
        <v>0</v>
      </c>
      <c r="T1117" s="1" t="b">
        <f>IFERROR(__xludf.DUMMYFUNCTION("""COMPUTED_VALUE"""),FALSE)</f>
        <v>0</v>
      </c>
      <c r="U1117" s="1" t="str">
        <f>IFERROR(__xludf.DUMMYFUNCTION("""COMPUTED_VALUE"""),"DSQ")</f>
        <v>DSQ</v>
      </c>
      <c r="V1117" s="1" t="str">
        <f>IFERROR(__xludf.DUMMYFUNCTION("""COMPUTED_VALUE"""),"DSQ")</f>
        <v>DSQ</v>
      </c>
      <c r="W1117" s="1" t="str">
        <f>IFERROR(__xludf.DUMMYFUNCTION("""COMPUTED_VALUE"""),"DSQ")</f>
        <v>DSQ</v>
      </c>
      <c r="X1117" s="1" t="str">
        <f>IFERROR(__xludf.DUMMYFUNCTION("""COMPUTED_VALUE"""),"DSQ")</f>
        <v>DSQ</v>
      </c>
      <c r="Y1117" s="2"/>
      <c r="Z1117" s="2" t="str">
        <f>IFERROR(__xludf.DUMMYFUNCTION("""COMPUTED_VALUE"""),"")</f>
        <v/>
      </c>
    </row>
    <row r="1118">
      <c r="A1118" s="1">
        <f>IFERROR(__xludf.DUMMYFUNCTION("""COMPUTED_VALUE"""),1117.0)</f>
        <v>1117</v>
      </c>
      <c r="B1118" s="1">
        <f>IFERROR(__xludf.DUMMYFUNCTION("""COMPUTED_VALUE"""),5121.0)</f>
        <v>5121</v>
      </c>
      <c r="C1118" s="2" t="str">
        <f>IFERROR(__xludf.DUMMYFUNCTION("""COMPUTED_VALUE"""),"MIA")</f>
        <v>MIA</v>
      </c>
      <c r="D1118" s="2" t="str">
        <f>IFERROR(__xludf.DUMMYFUNCTION("""COMPUTED_VALUE"""),"5KM OVERALL F")</f>
        <v>5KM OVERALL F</v>
      </c>
      <c r="E1118" s="1">
        <f>IFERROR(__xludf.DUMMYFUNCTION("""COMPUTED_VALUE"""),2.0)</f>
        <v>2</v>
      </c>
      <c r="F1118" s="1" t="str">
        <f>IFERROR(__xludf.DUMMYFUNCTION("""COMPUTED_VALUE"""),"Female")</f>
        <v>Female</v>
      </c>
      <c r="G1118" s="4" t="b">
        <f>IFERROR(__xludf.DUMMYFUNCTION("""COMPUTED_VALUE"""),TRUE)</f>
        <v>1</v>
      </c>
      <c r="H1118" s="4" t="b">
        <f>IFERROR(__xludf.DUMMYFUNCTION("""COMPUTED_VALUE"""),TRUE)</f>
        <v>1</v>
      </c>
      <c r="I1118" s="4">
        <f>IFERROR(__xludf.DUMMYFUNCTION("""COMPUTED_VALUE"""),0.2549440625)</f>
        <v>0.2549440625</v>
      </c>
      <c r="J1118" s="4">
        <f>IFERROR(__xludf.DUMMYFUNCTION("""COMPUTED_VALUE"""),45949.28211008296)</f>
        <v>45949.28211</v>
      </c>
      <c r="K1118" s="4" t="str">
        <f>IFERROR(__xludf.DUMMYFUNCTION("""COMPUTED_VALUE"""),"")</f>
        <v/>
      </c>
      <c r="L1118" s="4">
        <f>IFERROR(__xludf.DUMMYFUNCTION("""COMPUTED_VALUE"""),45949.303786265424)</f>
        <v>45949.30379</v>
      </c>
      <c r="M1118" s="1" t="str">
        <f>IFERROR(__xludf.DUMMYFUNCTION("""COMPUTED_VALUE"""),"RFID")</f>
        <v>RFID</v>
      </c>
      <c r="N1118" s="5">
        <f>IFERROR(__xludf.DUMMYFUNCTION("""COMPUTED_VALUE"""),0.010866407407407406)</f>
        <v>0.01086640741</v>
      </c>
      <c r="O1118" s="5" t="str">
        <f>IFERROR(__xludf.DUMMYFUNCTION("""COMPUTED_VALUE"""),"")</f>
        <v/>
      </c>
      <c r="P1118" s="5" t="str">
        <f>IFERROR(__xludf.DUMMYFUNCTION("""COMPUTED_VALUE"""),"")</f>
        <v/>
      </c>
      <c r="Q1118" s="5">
        <f>IFERROR(__xludf.DUMMYFUNCTION("""COMPUTED_VALUE"""),0.009768439814814815)</f>
        <v>0.009768439815</v>
      </c>
      <c r="R1118" s="4">
        <f>IFERROR(__xludf.DUMMYFUNCTION("""COMPUTED_VALUE"""),45949.04884220292)</f>
        <v>45949.04884</v>
      </c>
      <c r="S1118" s="1" t="b">
        <f>IFERROR(__xludf.DUMMYFUNCTION("""COMPUTED_VALUE"""),TRUE)</f>
        <v>1</v>
      </c>
      <c r="T1118" s="1" t="b">
        <f>IFERROR(__xludf.DUMMYFUNCTION("""COMPUTED_VALUE"""),FALSE)</f>
        <v>0</v>
      </c>
      <c r="U1118" s="1" t="str">
        <f>IFERROR(__xludf.DUMMYFUNCTION("""COMPUTED_VALUE"""),"VALID")</f>
        <v>VALID</v>
      </c>
      <c r="V1118" s="1">
        <f>IFERROR(__xludf.DUMMYFUNCTION("""COMPUTED_VALUE"""),481.0)</f>
        <v>481</v>
      </c>
      <c r="W1118" s="1">
        <f>IFERROR(__xludf.DUMMYFUNCTION("""COMPUTED_VALUE"""),1560.0)</f>
        <v>1560</v>
      </c>
      <c r="X1118" s="1">
        <f>IFERROR(__xludf.DUMMYFUNCTION("""COMPUTED_VALUE"""),587.0)</f>
        <v>587</v>
      </c>
      <c r="Y1118" s="2"/>
      <c r="Z1118" s="2"/>
    </row>
    <row r="1119">
      <c r="A1119" s="1">
        <f>IFERROR(__xludf.DUMMYFUNCTION("""COMPUTED_VALUE"""),1118.0)</f>
        <v>1118</v>
      </c>
      <c r="B1119" s="1">
        <f>IFERROR(__xludf.DUMMYFUNCTION("""COMPUTED_VALUE"""),5124.0)</f>
        <v>5124</v>
      </c>
      <c r="C1119" s="2" t="str">
        <f>IFERROR(__xludf.DUMMYFUNCTION("""COMPUTED_VALUE"""),"Ayu")</f>
        <v>Ayu</v>
      </c>
      <c r="D1119" s="2" t="str">
        <f>IFERROR(__xludf.DUMMYFUNCTION("""COMPUTED_VALUE"""),"5KM OVERALL F")</f>
        <v>5KM OVERALL F</v>
      </c>
      <c r="E1119" s="1">
        <f>IFERROR(__xludf.DUMMYFUNCTION("""COMPUTED_VALUE"""),2.0)</f>
        <v>2</v>
      </c>
      <c r="F1119" s="1" t="str">
        <f>IFERROR(__xludf.DUMMYFUNCTION("""COMPUTED_VALUE"""),"Female")</f>
        <v>Female</v>
      </c>
      <c r="G1119" s="4" t="b">
        <f>IFERROR(__xludf.DUMMYFUNCTION("""COMPUTED_VALUE"""),TRUE)</f>
        <v>1</v>
      </c>
      <c r="H1119" s="4" t="b">
        <f>IFERROR(__xludf.DUMMYFUNCTION("""COMPUTED_VALUE"""),TRUE)</f>
        <v>1</v>
      </c>
      <c r="I1119" s="4">
        <f>IFERROR(__xludf.DUMMYFUNCTION("""COMPUTED_VALUE"""),0.2549440625)</f>
        <v>0.2549440625</v>
      </c>
      <c r="J1119" s="4">
        <f>IFERROR(__xludf.DUMMYFUNCTION("""COMPUTED_VALUE"""),45949.28235314879)</f>
        <v>45949.28235</v>
      </c>
      <c r="K1119" s="4" t="str">
        <f>IFERROR(__xludf.DUMMYFUNCTION("""COMPUTED_VALUE"""),"")</f>
        <v/>
      </c>
      <c r="L1119" s="4">
        <f>IFERROR(__xludf.DUMMYFUNCTION("""COMPUTED_VALUE"""),45949.3026508625)</f>
        <v>45949.30265</v>
      </c>
      <c r="M1119" s="1" t="str">
        <f>IFERROR(__xludf.DUMMYFUNCTION("""COMPUTED_VALUE"""),"RFID")</f>
        <v>RFID</v>
      </c>
      <c r="N1119" s="5">
        <f>IFERROR(__xludf.DUMMYFUNCTION("""COMPUTED_VALUE"""),0.01096363425925926)</f>
        <v>0.01096363426</v>
      </c>
      <c r="O1119" s="5" t="str">
        <f>IFERROR(__xludf.DUMMYFUNCTION("""COMPUTED_VALUE"""),"")</f>
        <v/>
      </c>
      <c r="P1119" s="5" t="str">
        <f>IFERROR(__xludf.DUMMYFUNCTION("""COMPUTED_VALUE"""),"")</f>
        <v/>
      </c>
      <c r="Q1119" s="5">
        <f>IFERROR(__xludf.DUMMYFUNCTION("""COMPUTED_VALUE"""),0.009541361111111112)</f>
        <v>0.009541361111</v>
      </c>
      <c r="R1119" s="4">
        <f>IFERROR(__xludf.DUMMYFUNCTION("""COMPUTED_VALUE"""),45949.0477068)</f>
        <v>45949.04771</v>
      </c>
      <c r="S1119" s="1" t="b">
        <f>IFERROR(__xludf.DUMMYFUNCTION("""COMPUTED_VALUE"""),TRUE)</f>
        <v>1</v>
      </c>
      <c r="T1119" s="1" t="b">
        <f>IFERROR(__xludf.DUMMYFUNCTION("""COMPUTED_VALUE"""),FALSE)</f>
        <v>0</v>
      </c>
      <c r="U1119" s="1" t="str">
        <f>IFERROR(__xludf.DUMMYFUNCTION("""COMPUTED_VALUE"""),"VALID")</f>
        <v>VALID</v>
      </c>
      <c r="V1119" s="1">
        <f>IFERROR(__xludf.DUMMYFUNCTION("""COMPUTED_VALUE"""),467.0)</f>
        <v>467</v>
      </c>
      <c r="W1119" s="1">
        <f>IFERROR(__xludf.DUMMYFUNCTION("""COMPUTED_VALUE"""),1531.0)</f>
        <v>1531</v>
      </c>
      <c r="X1119" s="1">
        <f>IFERROR(__xludf.DUMMYFUNCTION("""COMPUTED_VALUE"""),569.0)</f>
        <v>569</v>
      </c>
      <c r="Y1119" s="2"/>
      <c r="Z1119" s="2"/>
    </row>
    <row r="1120">
      <c r="A1120" s="1">
        <f>IFERROR(__xludf.DUMMYFUNCTION("""COMPUTED_VALUE"""),1119.0)</f>
        <v>1119</v>
      </c>
      <c r="B1120" s="1">
        <f>IFERROR(__xludf.DUMMYFUNCTION("""COMPUTED_VALUE"""),5125.0)</f>
        <v>5125</v>
      </c>
      <c r="C1120" s="2" t="str">
        <f>IFERROR(__xludf.DUMMYFUNCTION("""COMPUTED_VALUE"""),"Ellen Lelian")</f>
        <v>Ellen Lelian</v>
      </c>
      <c r="D1120" s="2" t="str">
        <f>IFERROR(__xludf.DUMMYFUNCTION("""COMPUTED_VALUE"""),"5KM OVERALL F")</f>
        <v>5KM OVERALL F</v>
      </c>
      <c r="E1120" s="1">
        <f>IFERROR(__xludf.DUMMYFUNCTION("""COMPUTED_VALUE"""),2.0)</f>
        <v>2</v>
      </c>
      <c r="F1120" s="1" t="str">
        <f>IFERROR(__xludf.DUMMYFUNCTION("""COMPUTED_VALUE"""),"Female")</f>
        <v>Female</v>
      </c>
      <c r="G1120" s="4" t="b">
        <f>IFERROR(__xludf.DUMMYFUNCTION("""COMPUTED_VALUE"""),TRUE)</f>
        <v>1</v>
      </c>
      <c r="H1120" s="4" t="b">
        <f>IFERROR(__xludf.DUMMYFUNCTION("""COMPUTED_VALUE"""),TRUE)</f>
        <v>1</v>
      </c>
      <c r="I1120" s="4">
        <f>IFERROR(__xludf.DUMMYFUNCTION("""COMPUTED_VALUE"""),0.2549440625)</f>
        <v>0.2549440625</v>
      </c>
      <c r="J1120" s="4">
        <f>IFERROR(__xludf.DUMMYFUNCTION("""COMPUTED_VALUE"""),45949.280120501186)</f>
        <v>45949.28012</v>
      </c>
      <c r="K1120" s="4" t="str">
        <f>IFERROR(__xludf.DUMMYFUNCTION("""COMPUTED_VALUE"""),"")</f>
        <v/>
      </c>
      <c r="L1120" s="4">
        <f>IFERROR(__xludf.DUMMYFUNCTION("""COMPUTED_VALUE"""),45949.2987237799)</f>
        <v>45949.29872</v>
      </c>
      <c r="M1120" s="1" t="str">
        <f>IFERROR(__xludf.DUMMYFUNCTION("""COMPUTED_VALUE"""),"RFID")</f>
        <v>RFID</v>
      </c>
      <c r="N1120" s="5">
        <f>IFERROR(__xludf.DUMMYFUNCTION("""COMPUTED_VALUE"""),0.010070574074074076)</f>
        <v>0.01007057407</v>
      </c>
      <c r="O1120" s="5" t="str">
        <f>IFERROR(__xludf.DUMMYFUNCTION("""COMPUTED_VALUE"""),"")</f>
        <v/>
      </c>
      <c r="P1120" s="5" t="str">
        <f>IFERROR(__xludf.DUMMYFUNCTION("""COMPUTED_VALUE"""),"")</f>
        <v/>
      </c>
      <c r="Q1120" s="5">
        <f>IFERROR(__xludf.DUMMYFUNCTION("""COMPUTED_VALUE"""),0.008755944444444445)</f>
        <v>0.008755944444</v>
      </c>
      <c r="R1120" s="4">
        <f>IFERROR(__xludf.DUMMYFUNCTION("""COMPUTED_VALUE"""),45949.0437797174)</f>
        <v>45949.04378</v>
      </c>
      <c r="S1120" s="1" t="b">
        <f>IFERROR(__xludf.DUMMYFUNCTION("""COMPUTED_VALUE"""),TRUE)</f>
        <v>1</v>
      </c>
      <c r="T1120" s="1" t="b">
        <f>IFERROR(__xludf.DUMMYFUNCTION("""COMPUTED_VALUE"""),FALSE)</f>
        <v>0</v>
      </c>
      <c r="U1120" s="1" t="str">
        <f>IFERROR(__xludf.DUMMYFUNCTION("""COMPUTED_VALUE"""),"VALID")</f>
        <v>VALID</v>
      </c>
      <c r="V1120" s="1">
        <f>IFERROR(__xludf.DUMMYFUNCTION("""COMPUTED_VALUE"""),395.0)</f>
        <v>395</v>
      </c>
      <c r="W1120" s="1">
        <f>IFERROR(__xludf.DUMMYFUNCTION("""COMPUTED_VALUE"""),1398.0)</f>
        <v>1398</v>
      </c>
      <c r="X1120" s="1">
        <f>IFERROR(__xludf.DUMMYFUNCTION("""COMPUTED_VALUE"""),478.0)</f>
        <v>478</v>
      </c>
      <c r="Y1120" s="2"/>
      <c r="Z1120" s="2"/>
    </row>
    <row r="1121">
      <c r="A1121" s="1">
        <f>IFERROR(__xludf.DUMMYFUNCTION("""COMPUTED_VALUE"""),1120.0)</f>
        <v>1120</v>
      </c>
      <c r="B1121" s="1">
        <f>IFERROR(__xludf.DUMMYFUNCTION("""COMPUTED_VALUE"""),5126.0)</f>
        <v>5126</v>
      </c>
      <c r="C1121" s="2" t="str">
        <f>IFERROR(__xludf.DUMMYFUNCTION("""COMPUTED_VALUE"""),"Saly")</f>
        <v>Saly</v>
      </c>
      <c r="D1121" s="2" t="str">
        <f>IFERROR(__xludf.DUMMYFUNCTION("""COMPUTED_VALUE"""),"5KM OVERALL F")</f>
        <v>5KM OVERALL F</v>
      </c>
      <c r="E1121" s="1">
        <f>IFERROR(__xludf.DUMMYFUNCTION("""COMPUTED_VALUE"""),2.0)</f>
        <v>2</v>
      </c>
      <c r="F1121" s="1" t="str">
        <f>IFERROR(__xludf.DUMMYFUNCTION("""COMPUTED_VALUE"""),"Female")</f>
        <v>Female</v>
      </c>
      <c r="G1121" s="4" t="b">
        <f>IFERROR(__xludf.DUMMYFUNCTION("""COMPUTED_VALUE"""),TRUE)</f>
        <v>1</v>
      </c>
      <c r="H1121" s="4" t="b">
        <f>IFERROR(__xludf.DUMMYFUNCTION("""COMPUTED_VALUE"""),FALSE)</f>
        <v>0</v>
      </c>
      <c r="I1121" s="4">
        <f>IFERROR(__xludf.DUMMYFUNCTION("""COMPUTED_VALUE"""),0.2549440625)</f>
        <v>0.2549440625</v>
      </c>
      <c r="J1121" s="4">
        <f>IFERROR(__xludf.DUMMYFUNCTION("""COMPUTED_VALUE"""),45949.27226285544)</f>
        <v>45949.27226</v>
      </c>
      <c r="K1121" s="4" t="str">
        <f>IFERROR(__xludf.DUMMYFUNCTION("""COMPUTED_VALUE"""),"")</f>
        <v/>
      </c>
      <c r="L1121" s="4">
        <f>IFERROR(__xludf.DUMMYFUNCTION("""COMPUTED_VALUE"""),45949.28651197488)</f>
        <v>45949.28651</v>
      </c>
      <c r="M1121" s="1" t="str">
        <f>IFERROR(__xludf.DUMMYFUNCTION("""COMPUTED_VALUE"""),"RFID")</f>
        <v>RFID</v>
      </c>
      <c r="N1121" s="5">
        <f>IFERROR(__xludf.DUMMYFUNCTION("""COMPUTED_VALUE"""),0.006927518518518519)</f>
        <v>0.006927518519</v>
      </c>
      <c r="O1121" s="5" t="str">
        <f>IFERROR(__xludf.DUMMYFUNCTION("""COMPUTED_VALUE"""),"")</f>
        <v/>
      </c>
      <c r="P1121" s="5" t="str">
        <f>IFERROR(__xludf.DUMMYFUNCTION("""COMPUTED_VALUE"""),"")</f>
        <v/>
      </c>
      <c r="Q1121" s="5">
        <f>IFERROR(__xludf.DUMMYFUNCTION("""COMPUTED_VALUE"""),0.006313583333333333)</f>
        <v>0.006313583333</v>
      </c>
      <c r="R1121" s="4">
        <f>IFERROR(__xludf.DUMMYFUNCTION("""COMPUTED_VALUE"""),45949.03156791238)</f>
        <v>45949.03157</v>
      </c>
      <c r="S1121" s="1" t="b">
        <f>IFERROR(__xludf.DUMMYFUNCTION("""COMPUTED_VALUE"""),TRUE)</f>
        <v>1</v>
      </c>
      <c r="T1121" s="1" t="b">
        <f>IFERROR(__xludf.DUMMYFUNCTION("""COMPUTED_VALUE"""),FALSE)</f>
        <v>0</v>
      </c>
      <c r="U1121" s="1" t="str">
        <f>IFERROR(__xludf.DUMMYFUNCTION("""COMPUTED_VALUE"""),"VALID")</f>
        <v>VALID</v>
      </c>
      <c r="V1121" s="1">
        <f>IFERROR(__xludf.DUMMYFUNCTION("""COMPUTED_VALUE"""),102.0)</f>
        <v>102</v>
      </c>
      <c r="W1121" s="1">
        <f>IFERROR(__xludf.DUMMYFUNCTION("""COMPUTED_VALUE"""),670.0)</f>
        <v>670</v>
      </c>
      <c r="X1121" s="1">
        <f>IFERROR(__xludf.DUMMYFUNCTION("""COMPUTED_VALUE"""),129.0)</f>
        <v>129</v>
      </c>
      <c r="Y1121" s="2"/>
      <c r="Z1121" s="2"/>
    </row>
    <row r="1122">
      <c r="A1122" s="1">
        <f>IFERROR(__xludf.DUMMYFUNCTION("""COMPUTED_VALUE"""),1121.0)</f>
        <v>1121</v>
      </c>
      <c r="B1122" s="1">
        <f>IFERROR(__xludf.DUMMYFUNCTION("""COMPUTED_VALUE"""),5130.0)</f>
        <v>5130</v>
      </c>
      <c r="C1122" s="2" t="str">
        <f>IFERROR(__xludf.DUMMYFUNCTION("""COMPUTED_VALUE"""),"KIKI")</f>
        <v>KIKI</v>
      </c>
      <c r="D1122" s="2" t="str">
        <f>IFERROR(__xludf.DUMMYFUNCTION("""COMPUTED_VALUE"""),"5KM OVERALL F")</f>
        <v>5KM OVERALL F</v>
      </c>
      <c r="E1122" s="1">
        <f>IFERROR(__xludf.DUMMYFUNCTION("""COMPUTED_VALUE"""),2.0)</f>
        <v>2</v>
      </c>
      <c r="F1122" s="1" t="str">
        <f>IFERROR(__xludf.DUMMYFUNCTION("""COMPUTED_VALUE"""),"Female")</f>
        <v>Female</v>
      </c>
      <c r="G1122" s="4" t="b">
        <f>IFERROR(__xludf.DUMMYFUNCTION("""COMPUTED_VALUE"""),TRUE)</f>
        <v>1</v>
      </c>
      <c r="H1122" s="4" t="b">
        <f>IFERROR(__xludf.DUMMYFUNCTION("""COMPUTED_VALUE"""),FALSE)</f>
        <v>0</v>
      </c>
      <c r="I1122" s="4">
        <f>IFERROR(__xludf.DUMMYFUNCTION("""COMPUTED_VALUE"""),0.2549440625)</f>
        <v>0.2549440625</v>
      </c>
      <c r="J1122" s="4">
        <f>IFERROR(__xludf.DUMMYFUNCTION("""COMPUTED_VALUE"""),45949.279106547794)</f>
        <v>45949.27911</v>
      </c>
      <c r="K1122" s="4" t="str">
        <f>IFERROR(__xludf.DUMMYFUNCTION("""COMPUTED_VALUE"""),"")</f>
        <v/>
      </c>
      <c r="L1122" s="4">
        <f>IFERROR(__xludf.DUMMYFUNCTION("""COMPUTED_VALUE"""),45949.29930019253)</f>
        <v>45949.2993</v>
      </c>
      <c r="M1122" s="1" t="str">
        <f>IFERROR(__xludf.DUMMYFUNCTION("""COMPUTED_VALUE"""),"RFID")</f>
        <v>RFID</v>
      </c>
      <c r="N1122" s="5">
        <f>IFERROR(__xludf.DUMMYFUNCTION("""COMPUTED_VALUE"""),0.00966499537037037)</f>
        <v>0.00966499537</v>
      </c>
      <c r="O1122" s="5" t="str">
        <f>IFERROR(__xludf.DUMMYFUNCTION("""COMPUTED_VALUE"""),"")</f>
        <v/>
      </c>
      <c r="P1122" s="5" t="str">
        <f>IFERROR(__xludf.DUMMYFUNCTION("""COMPUTED_VALUE"""),"")</f>
        <v/>
      </c>
      <c r="Q1122" s="5">
        <f>IFERROR(__xludf.DUMMYFUNCTION("""COMPUTED_VALUE"""),0.008871226851851852)</f>
        <v>0.008871226852</v>
      </c>
      <c r="R1122" s="4">
        <f>IFERROR(__xludf.DUMMYFUNCTION("""COMPUTED_VALUE"""),45949.04435613003)</f>
        <v>45949.04436</v>
      </c>
      <c r="S1122" s="1" t="b">
        <f>IFERROR(__xludf.DUMMYFUNCTION("""COMPUTED_VALUE"""),TRUE)</f>
        <v>1</v>
      </c>
      <c r="T1122" s="1" t="b">
        <f>IFERROR(__xludf.DUMMYFUNCTION("""COMPUTED_VALUE"""),FALSE)</f>
        <v>0</v>
      </c>
      <c r="U1122" s="1" t="str">
        <f>IFERROR(__xludf.DUMMYFUNCTION("""COMPUTED_VALUE"""),"VALID")</f>
        <v>VALID</v>
      </c>
      <c r="V1122" s="1">
        <f>IFERROR(__xludf.DUMMYFUNCTION("""COMPUTED_VALUE"""),403.0)</f>
        <v>403</v>
      </c>
      <c r="W1122" s="1">
        <f>IFERROR(__xludf.DUMMYFUNCTION("""COMPUTED_VALUE"""),1421.0)</f>
        <v>1421</v>
      </c>
      <c r="X1122" s="1">
        <f>IFERROR(__xludf.DUMMYFUNCTION("""COMPUTED_VALUE"""),494.0)</f>
        <v>494</v>
      </c>
      <c r="Y1122" s="2"/>
      <c r="Z1122" s="2"/>
    </row>
    <row r="1123">
      <c r="A1123" s="1">
        <f>IFERROR(__xludf.DUMMYFUNCTION("""COMPUTED_VALUE"""),1122.0)</f>
        <v>1122</v>
      </c>
      <c r="B1123" s="1">
        <f>IFERROR(__xludf.DUMMYFUNCTION("""COMPUTED_VALUE"""),5131.0)</f>
        <v>5131</v>
      </c>
      <c r="C1123" s="2" t="str">
        <f>IFERROR(__xludf.DUMMYFUNCTION("""COMPUTED_VALUE"""),"Sweety")</f>
        <v>Sweety</v>
      </c>
      <c r="D1123" s="2" t="str">
        <f>IFERROR(__xludf.DUMMYFUNCTION("""COMPUTED_VALUE"""),"5KM OVERALL F")</f>
        <v>5KM OVERALL F</v>
      </c>
      <c r="E1123" s="1">
        <f>IFERROR(__xludf.DUMMYFUNCTION("""COMPUTED_VALUE"""),2.0)</f>
        <v>2</v>
      </c>
      <c r="F1123" s="1" t="str">
        <f>IFERROR(__xludf.DUMMYFUNCTION("""COMPUTED_VALUE"""),"Female")</f>
        <v>Female</v>
      </c>
      <c r="G1123" s="4" t="b">
        <f>IFERROR(__xludf.DUMMYFUNCTION("""COMPUTED_VALUE"""),TRUE)</f>
        <v>1</v>
      </c>
      <c r="H1123" s="4" t="b">
        <f>IFERROR(__xludf.DUMMYFUNCTION("""COMPUTED_VALUE"""),TRUE)</f>
        <v>1</v>
      </c>
      <c r="I1123" s="4">
        <f>IFERROR(__xludf.DUMMYFUNCTION("""COMPUTED_VALUE"""),0.2549440625)</f>
        <v>0.2549440625</v>
      </c>
      <c r="J1123" s="4">
        <f>IFERROR(__xludf.DUMMYFUNCTION("""COMPUTED_VALUE"""),45949.27622809029)</f>
        <v>45949.27623</v>
      </c>
      <c r="K1123" s="4" t="str">
        <f>IFERROR(__xludf.DUMMYFUNCTION("""COMPUTED_VALUE"""),"")</f>
        <v/>
      </c>
      <c r="L1123" s="4">
        <f>IFERROR(__xludf.DUMMYFUNCTION("""COMPUTED_VALUE"""),45949.29040775823)</f>
        <v>45949.29041</v>
      </c>
      <c r="M1123" s="1" t="str">
        <f>IFERROR(__xludf.DUMMYFUNCTION("""COMPUTED_VALUE"""),"RFID")</f>
        <v>RFID</v>
      </c>
      <c r="N1123" s="5">
        <f>IFERROR(__xludf.DUMMYFUNCTION("""COMPUTED_VALUE"""),0.00851361111111111)</f>
        <v>0.008513611111</v>
      </c>
      <c r="O1123" s="5" t="str">
        <f>IFERROR(__xludf.DUMMYFUNCTION("""COMPUTED_VALUE"""),"")</f>
        <v/>
      </c>
      <c r="P1123" s="5" t="str">
        <f>IFERROR(__xludf.DUMMYFUNCTION("""COMPUTED_VALUE"""),"")</f>
        <v/>
      </c>
      <c r="Q1123" s="5">
        <f>IFERROR(__xludf.DUMMYFUNCTION("""COMPUTED_VALUE"""),0.007092738425925926)</f>
        <v>0.007092738426</v>
      </c>
      <c r="R1123" s="4">
        <f>IFERROR(__xludf.DUMMYFUNCTION("""COMPUTED_VALUE"""),45949.03546369573)</f>
        <v>45949.03546</v>
      </c>
      <c r="S1123" s="1" t="b">
        <f>IFERROR(__xludf.DUMMYFUNCTION("""COMPUTED_VALUE"""),TRUE)</f>
        <v>1</v>
      </c>
      <c r="T1123" s="1" t="b">
        <f>IFERROR(__xludf.DUMMYFUNCTION("""COMPUTED_VALUE"""),FALSE)</f>
        <v>0</v>
      </c>
      <c r="U1123" s="1" t="str">
        <f>IFERROR(__xludf.DUMMYFUNCTION("""COMPUTED_VALUE"""),"VALID")</f>
        <v>VALID</v>
      </c>
      <c r="V1123" s="1">
        <f>IFERROR(__xludf.DUMMYFUNCTION("""COMPUTED_VALUE"""),170.0)</f>
        <v>170</v>
      </c>
      <c r="W1123" s="1">
        <f>IFERROR(__xludf.DUMMYFUNCTION("""COMPUTED_VALUE"""),915.0)</f>
        <v>915</v>
      </c>
      <c r="X1123" s="1">
        <f>IFERROR(__xludf.DUMMYFUNCTION("""COMPUTED_VALUE"""),212.0)</f>
        <v>212</v>
      </c>
      <c r="Y1123" s="2"/>
      <c r="Z1123" s="2"/>
    </row>
    <row r="1124">
      <c r="A1124" s="1">
        <f>IFERROR(__xludf.DUMMYFUNCTION("""COMPUTED_VALUE"""),1123.0)</f>
        <v>1123</v>
      </c>
      <c r="B1124" s="1">
        <f>IFERROR(__xludf.DUMMYFUNCTION("""COMPUTED_VALUE"""),5133.0)</f>
        <v>5133</v>
      </c>
      <c r="C1124" s="2" t="str">
        <f>IFERROR(__xludf.DUMMYFUNCTION("""COMPUTED_VALUE"""),"cynthiap")</f>
        <v>cynthiap</v>
      </c>
      <c r="D1124" s="2" t="str">
        <f>IFERROR(__xludf.DUMMYFUNCTION("""COMPUTED_VALUE"""),"5KM OVERALL F")</f>
        <v>5KM OVERALL F</v>
      </c>
      <c r="E1124" s="1">
        <f>IFERROR(__xludf.DUMMYFUNCTION("""COMPUTED_VALUE"""),2.0)</f>
        <v>2</v>
      </c>
      <c r="F1124" s="1" t="str">
        <f>IFERROR(__xludf.DUMMYFUNCTION("""COMPUTED_VALUE"""),"Female")</f>
        <v>Female</v>
      </c>
      <c r="G1124" s="4" t="b">
        <f>IFERROR(__xludf.DUMMYFUNCTION("""COMPUTED_VALUE"""),TRUE)</f>
        <v>1</v>
      </c>
      <c r="H1124" s="4" t="b">
        <f>IFERROR(__xludf.DUMMYFUNCTION("""COMPUTED_VALUE"""),FALSE)</f>
        <v>0</v>
      </c>
      <c r="I1124" s="4">
        <f>IFERROR(__xludf.DUMMYFUNCTION("""COMPUTED_VALUE"""),0.2549440625)</f>
        <v>0.2549440625</v>
      </c>
      <c r="J1124" s="4">
        <f>IFERROR(__xludf.DUMMYFUNCTION("""COMPUTED_VALUE"""),45949.276419108595)</f>
        <v>45949.27642</v>
      </c>
      <c r="K1124" s="4" t="str">
        <f>IFERROR(__xludf.DUMMYFUNCTION("""COMPUTED_VALUE"""),"")</f>
        <v/>
      </c>
      <c r="L1124" s="4">
        <f>IFERROR(__xludf.DUMMYFUNCTION("""COMPUTED_VALUE"""),45949.29133832779)</f>
        <v>45949.29134</v>
      </c>
      <c r="M1124" s="1" t="str">
        <f>IFERROR(__xludf.DUMMYFUNCTION("""COMPUTED_VALUE"""),"RFID")</f>
        <v>RFID</v>
      </c>
      <c r="N1124" s="5">
        <f>IFERROR(__xludf.DUMMYFUNCTION("""COMPUTED_VALUE"""),0.008590018518518518)</f>
        <v>0.008590018519</v>
      </c>
      <c r="O1124" s="5" t="str">
        <f>IFERROR(__xludf.DUMMYFUNCTION("""COMPUTED_VALUE"""),"")</f>
        <v/>
      </c>
      <c r="P1124" s="5" t="str">
        <f>IFERROR(__xludf.DUMMYFUNCTION("""COMPUTED_VALUE"""),"")</f>
        <v/>
      </c>
      <c r="Q1124" s="5">
        <f>IFERROR(__xludf.DUMMYFUNCTION("""COMPUTED_VALUE"""),0.007278854166666666)</f>
        <v>0.007278854167</v>
      </c>
      <c r="R1124" s="4">
        <f>IFERROR(__xludf.DUMMYFUNCTION("""COMPUTED_VALUE"""),45949.03639426529)</f>
        <v>45949.03639</v>
      </c>
      <c r="S1124" s="1" t="b">
        <f>IFERROR(__xludf.DUMMYFUNCTION("""COMPUTED_VALUE"""),TRUE)</f>
        <v>1</v>
      </c>
      <c r="T1124" s="1" t="b">
        <f>IFERROR(__xludf.DUMMYFUNCTION("""COMPUTED_VALUE"""),FALSE)</f>
        <v>0</v>
      </c>
      <c r="U1124" s="1" t="str">
        <f>IFERROR(__xludf.DUMMYFUNCTION("""COMPUTED_VALUE"""),"VALID")</f>
        <v>VALID</v>
      </c>
      <c r="V1124" s="1">
        <f>IFERROR(__xludf.DUMMYFUNCTION("""COMPUTED_VALUE"""),200.0)</f>
        <v>200</v>
      </c>
      <c r="W1124" s="1">
        <f>IFERROR(__xludf.DUMMYFUNCTION("""COMPUTED_VALUE"""),988.0)</f>
        <v>988</v>
      </c>
      <c r="X1124" s="1">
        <f>IFERROR(__xludf.DUMMYFUNCTION("""COMPUTED_VALUE"""),251.0)</f>
        <v>251</v>
      </c>
      <c r="Y1124" s="2"/>
      <c r="Z1124" s="2"/>
    </row>
    <row r="1125">
      <c r="A1125" s="1">
        <f>IFERROR(__xludf.DUMMYFUNCTION("""COMPUTED_VALUE"""),1124.0)</f>
        <v>1124</v>
      </c>
      <c r="B1125" s="1">
        <f>IFERROR(__xludf.DUMMYFUNCTION("""COMPUTED_VALUE"""),5136.0)</f>
        <v>5136</v>
      </c>
      <c r="C1125" s="2" t="str">
        <f>IFERROR(__xludf.DUMMYFUNCTION("""COMPUTED_VALUE"""),"widieska maharani")</f>
        <v>widieska maharani</v>
      </c>
      <c r="D1125" s="2" t="str">
        <f>IFERROR(__xludf.DUMMYFUNCTION("""COMPUTED_VALUE"""),"5KM OVERALL F")</f>
        <v>5KM OVERALL F</v>
      </c>
      <c r="E1125" s="1">
        <f>IFERROR(__xludf.DUMMYFUNCTION("""COMPUTED_VALUE"""),2.0)</f>
        <v>2</v>
      </c>
      <c r="F1125" s="1" t="str">
        <f>IFERROR(__xludf.DUMMYFUNCTION("""COMPUTED_VALUE"""),"Female")</f>
        <v>Female</v>
      </c>
      <c r="G1125" s="4" t="b">
        <f>IFERROR(__xludf.DUMMYFUNCTION("""COMPUTED_VALUE"""),TRUE)</f>
        <v>1</v>
      </c>
      <c r="H1125" s="4" t="b">
        <f>IFERROR(__xludf.DUMMYFUNCTION("""COMPUTED_VALUE"""),TRUE)</f>
        <v>1</v>
      </c>
      <c r="I1125" s="4">
        <f>IFERROR(__xludf.DUMMYFUNCTION("""COMPUTED_VALUE"""),0.2549440625)</f>
        <v>0.2549440625</v>
      </c>
      <c r="J1125" s="4">
        <f>IFERROR(__xludf.DUMMYFUNCTION("""COMPUTED_VALUE"""),45949.28076629111)</f>
        <v>45949.28077</v>
      </c>
      <c r="K1125" s="4" t="str">
        <f>IFERROR(__xludf.DUMMYFUNCTION("""COMPUTED_VALUE"""),"")</f>
        <v/>
      </c>
      <c r="L1125" s="4">
        <f>IFERROR(__xludf.DUMMYFUNCTION("""COMPUTED_VALUE"""),45949.2995154547)</f>
        <v>45949.29952</v>
      </c>
      <c r="M1125" s="1" t="str">
        <f>IFERROR(__xludf.DUMMYFUNCTION("""COMPUTED_VALUE"""),"RFID")</f>
        <v>RFID</v>
      </c>
      <c r="N1125" s="5">
        <f>IFERROR(__xludf.DUMMYFUNCTION("""COMPUTED_VALUE"""),0.01032889351851852)</f>
        <v>0.01032889352</v>
      </c>
      <c r="O1125" s="5" t="str">
        <f>IFERROR(__xludf.DUMMYFUNCTION("""COMPUTED_VALUE"""),"")</f>
        <v/>
      </c>
      <c r="P1125" s="5" t="str">
        <f>IFERROR(__xludf.DUMMYFUNCTION("""COMPUTED_VALUE"""),"")</f>
        <v/>
      </c>
      <c r="Q1125" s="5">
        <f>IFERROR(__xludf.DUMMYFUNCTION("""COMPUTED_VALUE"""),0.008914277777777778)</f>
        <v>0.008914277778</v>
      </c>
      <c r="R1125" s="4">
        <f>IFERROR(__xludf.DUMMYFUNCTION("""COMPUTED_VALUE"""),45949.0445713922)</f>
        <v>45949.04457</v>
      </c>
      <c r="S1125" s="1" t="b">
        <f>IFERROR(__xludf.DUMMYFUNCTION("""COMPUTED_VALUE"""),TRUE)</f>
        <v>1</v>
      </c>
      <c r="T1125" s="1" t="b">
        <f>IFERROR(__xludf.DUMMYFUNCTION("""COMPUTED_VALUE"""),FALSE)</f>
        <v>0</v>
      </c>
      <c r="U1125" s="1" t="str">
        <f>IFERROR(__xludf.DUMMYFUNCTION("""COMPUTED_VALUE"""),"VALID")</f>
        <v>VALID</v>
      </c>
      <c r="V1125" s="1">
        <f>IFERROR(__xludf.DUMMYFUNCTION("""COMPUTED_VALUE"""),408.0)</f>
        <v>408</v>
      </c>
      <c r="W1125" s="1">
        <f>IFERROR(__xludf.DUMMYFUNCTION("""COMPUTED_VALUE"""),1433.0)</f>
        <v>1433</v>
      </c>
      <c r="X1125" s="1">
        <f>IFERROR(__xludf.DUMMYFUNCTION("""COMPUTED_VALUE"""),501.0)</f>
        <v>501</v>
      </c>
      <c r="Y1125" s="2"/>
      <c r="Z1125" s="2"/>
    </row>
    <row r="1126">
      <c r="A1126" s="1">
        <f>IFERROR(__xludf.DUMMYFUNCTION("""COMPUTED_VALUE"""),1125.0)</f>
        <v>1125</v>
      </c>
      <c r="B1126" s="1">
        <f>IFERROR(__xludf.DUMMYFUNCTION("""COMPUTED_VALUE"""),5141.0)</f>
        <v>5141</v>
      </c>
      <c r="C1126" s="2" t="str">
        <f>IFERROR(__xludf.DUMMYFUNCTION("""COMPUTED_VALUE"""),"Shof")</f>
        <v>Shof</v>
      </c>
      <c r="D1126" s="2" t="str">
        <f>IFERROR(__xludf.DUMMYFUNCTION("""COMPUTED_VALUE"""),"5KM OVERALL F")</f>
        <v>5KM OVERALL F</v>
      </c>
      <c r="E1126" s="1">
        <f>IFERROR(__xludf.DUMMYFUNCTION("""COMPUTED_VALUE"""),2.0)</f>
        <v>2</v>
      </c>
      <c r="F1126" s="1" t="str">
        <f>IFERROR(__xludf.DUMMYFUNCTION("""COMPUTED_VALUE"""),"Female")</f>
        <v>Female</v>
      </c>
      <c r="G1126" s="4" t="b">
        <f>IFERROR(__xludf.DUMMYFUNCTION("""COMPUTED_VALUE"""),TRUE)</f>
        <v>1</v>
      </c>
      <c r="H1126" s="4" t="b">
        <f>IFERROR(__xludf.DUMMYFUNCTION("""COMPUTED_VALUE"""),TRUE)</f>
        <v>1</v>
      </c>
      <c r="I1126" s="4">
        <f>IFERROR(__xludf.DUMMYFUNCTION("""COMPUTED_VALUE"""),0.2549440625)</f>
        <v>0.2549440625</v>
      </c>
      <c r="J1126" s="4">
        <f>IFERROR(__xludf.DUMMYFUNCTION("""COMPUTED_VALUE"""),45949.27820730432)</f>
        <v>45949.27821</v>
      </c>
      <c r="K1126" s="4" t="str">
        <f>IFERROR(__xludf.DUMMYFUNCTION("""COMPUTED_VALUE"""),"")</f>
        <v/>
      </c>
      <c r="L1126" s="4">
        <f>IFERROR(__xludf.DUMMYFUNCTION("""COMPUTED_VALUE"""),45949.29635573025)</f>
        <v>45949.29636</v>
      </c>
      <c r="M1126" s="1" t="str">
        <f>IFERROR(__xludf.DUMMYFUNCTION("""COMPUTED_VALUE"""),"RFID")</f>
        <v>RFID</v>
      </c>
      <c r="N1126" s="5">
        <f>IFERROR(__xludf.DUMMYFUNCTION("""COMPUTED_VALUE"""),0.009305296296296296)</f>
        <v>0.009305296296</v>
      </c>
      <c r="O1126" s="5" t="str">
        <f>IFERROR(__xludf.DUMMYFUNCTION("""COMPUTED_VALUE"""),"")</f>
        <v/>
      </c>
      <c r="P1126" s="5" t="str">
        <f>IFERROR(__xludf.DUMMYFUNCTION("""COMPUTED_VALUE"""),"")</f>
        <v/>
      </c>
      <c r="Q1126" s="5">
        <f>IFERROR(__xludf.DUMMYFUNCTION("""COMPUTED_VALUE"""),0.008282333333333333)</f>
        <v>0.008282333333</v>
      </c>
      <c r="R1126" s="4">
        <f>IFERROR(__xludf.DUMMYFUNCTION("""COMPUTED_VALUE"""),45949.04141166775)</f>
        <v>45949.04141</v>
      </c>
      <c r="S1126" s="1" t="b">
        <f>IFERROR(__xludf.DUMMYFUNCTION("""COMPUTED_VALUE"""),TRUE)</f>
        <v>1</v>
      </c>
      <c r="T1126" s="1" t="b">
        <f>IFERROR(__xludf.DUMMYFUNCTION("""COMPUTED_VALUE"""),FALSE)</f>
        <v>0</v>
      </c>
      <c r="U1126" s="1" t="str">
        <f>IFERROR(__xludf.DUMMYFUNCTION("""COMPUTED_VALUE"""),"VALID")</f>
        <v>VALID</v>
      </c>
      <c r="V1126" s="1">
        <f>IFERROR(__xludf.DUMMYFUNCTION("""COMPUTED_VALUE"""),346.0)</f>
        <v>346</v>
      </c>
      <c r="W1126" s="1">
        <f>IFERROR(__xludf.DUMMYFUNCTION("""COMPUTED_VALUE"""),1306.0)</f>
        <v>1306</v>
      </c>
      <c r="X1126" s="1">
        <f>IFERROR(__xludf.DUMMYFUNCTION("""COMPUTED_VALUE"""),420.0)</f>
        <v>420</v>
      </c>
      <c r="Y1126" s="2"/>
      <c r="Z1126" s="2"/>
    </row>
    <row r="1127">
      <c r="A1127" s="1">
        <f>IFERROR(__xludf.DUMMYFUNCTION("""COMPUTED_VALUE"""),1126.0)</f>
        <v>1126</v>
      </c>
      <c r="B1127" s="1">
        <f>IFERROR(__xludf.DUMMYFUNCTION("""COMPUTED_VALUE"""),5143.0)</f>
        <v>5143</v>
      </c>
      <c r="C1127" s="2" t="str">
        <f>IFERROR(__xludf.DUMMYFUNCTION("""COMPUTED_VALUE"""),"Devia Gustiana Maulida")</f>
        <v>Devia Gustiana Maulida</v>
      </c>
      <c r="D1127" s="2" t="str">
        <f>IFERROR(__xludf.DUMMYFUNCTION("""COMPUTED_VALUE"""),"5KM OVERALL F")</f>
        <v>5KM OVERALL F</v>
      </c>
      <c r="E1127" s="1">
        <f>IFERROR(__xludf.DUMMYFUNCTION("""COMPUTED_VALUE"""),2.0)</f>
        <v>2</v>
      </c>
      <c r="F1127" s="1" t="str">
        <f>IFERROR(__xludf.DUMMYFUNCTION("""COMPUTED_VALUE"""),"Female")</f>
        <v>Female</v>
      </c>
      <c r="G1127" s="4" t="b">
        <f>IFERROR(__xludf.DUMMYFUNCTION("""COMPUTED_VALUE"""),TRUE)</f>
        <v>1</v>
      </c>
      <c r="H1127" s="4" t="b">
        <f>IFERROR(__xludf.DUMMYFUNCTION("""COMPUTED_VALUE"""),TRUE)</f>
        <v>1</v>
      </c>
      <c r="I1127" s="4">
        <f>IFERROR(__xludf.DUMMYFUNCTION("""COMPUTED_VALUE"""),0.2549440625)</f>
        <v>0.2549440625</v>
      </c>
      <c r="J1127" s="4">
        <f>IFERROR(__xludf.DUMMYFUNCTION("""COMPUTED_VALUE"""),45949.27962044627)</f>
        <v>45949.27962</v>
      </c>
      <c r="K1127" s="4" t="str">
        <f>IFERROR(__xludf.DUMMYFUNCTION("""COMPUTED_VALUE"""),"")</f>
        <v/>
      </c>
      <c r="L1127" s="4">
        <f>IFERROR(__xludf.DUMMYFUNCTION("""COMPUTED_VALUE"""),45949.29889739605)</f>
        <v>45949.2989</v>
      </c>
      <c r="M1127" s="1" t="str">
        <f>IFERROR(__xludf.DUMMYFUNCTION("""COMPUTED_VALUE"""),"RFID")</f>
        <v>RFID</v>
      </c>
      <c r="N1127" s="5">
        <f>IFERROR(__xludf.DUMMYFUNCTION("""COMPUTED_VALUE"""),0.009870555555555556)</f>
        <v>0.009870555556</v>
      </c>
      <c r="O1127" s="5" t="str">
        <f>IFERROR(__xludf.DUMMYFUNCTION("""COMPUTED_VALUE"""),"")</f>
        <v/>
      </c>
      <c r="P1127" s="5" t="str">
        <f>IFERROR(__xludf.DUMMYFUNCTION("""COMPUTED_VALUE"""),"")</f>
        <v/>
      </c>
      <c r="Q1127" s="5">
        <f>IFERROR(__xludf.DUMMYFUNCTION("""COMPUTED_VALUE"""),0.008790666666666667)</f>
        <v>0.008790666667</v>
      </c>
      <c r="R1127" s="4">
        <f>IFERROR(__xludf.DUMMYFUNCTION("""COMPUTED_VALUE"""),45949.04395333355)</f>
        <v>45949.04395</v>
      </c>
      <c r="S1127" s="1" t="b">
        <f>IFERROR(__xludf.DUMMYFUNCTION("""COMPUTED_VALUE"""),TRUE)</f>
        <v>1</v>
      </c>
      <c r="T1127" s="1" t="b">
        <f>IFERROR(__xludf.DUMMYFUNCTION("""COMPUTED_VALUE"""),FALSE)</f>
        <v>0</v>
      </c>
      <c r="U1127" s="1" t="str">
        <f>IFERROR(__xludf.DUMMYFUNCTION("""COMPUTED_VALUE"""),"VALID")</f>
        <v>VALID</v>
      </c>
      <c r="V1127" s="1">
        <f>IFERROR(__xludf.DUMMYFUNCTION("""COMPUTED_VALUE"""),398.0)</f>
        <v>398</v>
      </c>
      <c r="W1127" s="1">
        <f>IFERROR(__xludf.DUMMYFUNCTION("""COMPUTED_VALUE"""),1405.0)</f>
        <v>1405</v>
      </c>
      <c r="X1127" s="1">
        <f>IFERROR(__xludf.DUMMYFUNCTION("""COMPUTED_VALUE"""),483.0)</f>
        <v>483</v>
      </c>
      <c r="Y1127" s="2"/>
      <c r="Z1127" s="2"/>
    </row>
    <row r="1128">
      <c r="A1128" s="1">
        <f>IFERROR(__xludf.DUMMYFUNCTION("""COMPUTED_VALUE"""),1127.0)</f>
        <v>1127</v>
      </c>
      <c r="B1128" s="1">
        <f>IFERROR(__xludf.DUMMYFUNCTION("""COMPUTED_VALUE"""),5148.0)</f>
        <v>5148</v>
      </c>
      <c r="C1128" s="2" t="str">
        <f>IFERROR(__xludf.DUMMYFUNCTION("""COMPUTED_VALUE"""),"Rujaida")</f>
        <v>Rujaida</v>
      </c>
      <c r="D1128" s="2" t="str">
        <f>IFERROR(__xludf.DUMMYFUNCTION("""COMPUTED_VALUE"""),"5KM OVERALL F")</f>
        <v>5KM OVERALL F</v>
      </c>
      <c r="E1128" s="1">
        <f>IFERROR(__xludf.DUMMYFUNCTION("""COMPUTED_VALUE"""),2.0)</f>
        <v>2</v>
      </c>
      <c r="F1128" s="1" t="str">
        <f>IFERROR(__xludf.DUMMYFUNCTION("""COMPUTED_VALUE"""),"Female")</f>
        <v>Female</v>
      </c>
      <c r="G1128" s="4" t="b">
        <f>IFERROR(__xludf.DUMMYFUNCTION("""COMPUTED_VALUE"""),TRUE)</f>
        <v>1</v>
      </c>
      <c r="H1128" s="4" t="b">
        <f>IFERROR(__xludf.DUMMYFUNCTION("""COMPUTED_VALUE"""),TRUE)</f>
        <v>1</v>
      </c>
      <c r="I1128" s="4">
        <f>IFERROR(__xludf.DUMMYFUNCTION("""COMPUTED_VALUE"""),0.2549440625)</f>
        <v>0.2549440625</v>
      </c>
      <c r="J1128" s="4">
        <f>IFERROR(__xludf.DUMMYFUNCTION("""COMPUTED_VALUE"""),45949.27413781304)</f>
        <v>45949.27414</v>
      </c>
      <c r="K1128" s="4" t="str">
        <f>IFERROR(__xludf.DUMMYFUNCTION("""COMPUTED_VALUE"""),"")</f>
        <v/>
      </c>
      <c r="L1128" s="4">
        <f>IFERROR(__xludf.DUMMYFUNCTION("""COMPUTED_VALUE"""),45949.28853281106)</f>
        <v>45949.28853</v>
      </c>
      <c r="M1128" s="1" t="str">
        <f>IFERROR(__xludf.DUMMYFUNCTION("""COMPUTED_VALUE"""),"RFID")</f>
        <v>RFID</v>
      </c>
      <c r="N1128" s="5">
        <f>IFERROR(__xludf.DUMMYFUNCTION("""COMPUTED_VALUE"""),0.007677499999999999)</f>
        <v>0.0076775</v>
      </c>
      <c r="O1128" s="5" t="str">
        <f>IFERROR(__xludf.DUMMYFUNCTION("""COMPUTED_VALUE"""),"")</f>
        <v/>
      </c>
      <c r="P1128" s="5" t="str">
        <f>IFERROR(__xludf.DUMMYFUNCTION("""COMPUTED_VALUE"""),"")</f>
        <v/>
      </c>
      <c r="Q1128" s="5">
        <f>IFERROR(__xludf.DUMMYFUNCTION("""COMPUTED_VALUE"""),0.00671775)</f>
        <v>0.00671775</v>
      </c>
      <c r="R1128" s="4">
        <f>IFERROR(__xludf.DUMMYFUNCTION("""COMPUTED_VALUE"""),45949.033588748556)</f>
        <v>45949.03359</v>
      </c>
      <c r="S1128" s="1" t="b">
        <f>IFERROR(__xludf.DUMMYFUNCTION("""COMPUTED_VALUE"""),TRUE)</f>
        <v>1</v>
      </c>
      <c r="T1128" s="1" t="b">
        <f>IFERROR(__xludf.DUMMYFUNCTION("""COMPUTED_VALUE"""),FALSE)</f>
        <v>0</v>
      </c>
      <c r="U1128" s="1" t="str">
        <f>IFERROR(__xludf.DUMMYFUNCTION("""COMPUTED_VALUE"""),"VALID")</f>
        <v>VALID</v>
      </c>
      <c r="V1128" s="1">
        <f>IFERROR(__xludf.DUMMYFUNCTION("""COMPUTED_VALUE"""),142.0)</f>
        <v>142</v>
      </c>
      <c r="W1128" s="1">
        <f>IFERROR(__xludf.DUMMYFUNCTION("""COMPUTED_VALUE"""),814.0)</f>
        <v>814</v>
      </c>
      <c r="X1128" s="1">
        <f>IFERROR(__xludf.DUMMYFUNCTION("""COMPUTED_VALUE"""),176.0)</f>
        <v>176</v>
      </c>
      <c r="Y1128" s="2"/>
      <c r="Z1128" s="2"/>
    </row>
    <row r="1129">
      <c r="A1129" s="1">
        <f>IFERROR(__xludf.DUMMYFUNCTION("""COMPUTED_VALUE"""),1128.0)</f>
        <v>1128</v>
      </c>
      <c r="B1129" s="1">
        <f>IFERROR(__xludf.DUMMYFUNCTION("""COMPUTED_VALUE"""),5149.0)</f>
        <v>5149</v>
      </c>
      <c r="C1129" s="2" t="str">
        <f>IFERROR(__xludf.DUMMYFUNCTION("""COMPUTED_VALUE"""),"Desiagian")</f>
        <v>Desiagian</v>
      </c>
      <c r="D1129" s="2" t="str">
        <f>IFERROR(__xludf.DUMMYFUNCTION("""COMPUTED_VALUE"""),"5KM OVERALL F")</f>
        <v>5KM OVERALL F</v>
      </c>
      <c r="E1129" s="1">
        <f>IFERROR(__xludf.DUMMYFUNCTION("""COMPUTED_VALUE"""),2.0)</f>
        <v>2</v>
      </c>
      <c r="F1129" s="1" t="str">
        <f>IFERROR(__xludf.DUMMYFUNCTION("""COMPUTED_VALUE"""),"Female")</f>
        <v>Female</v>
      </c>
      <c r="G1129" s="4" t="b">
        <f>IFERROR(__xludf.DUMMYFUNCTION("""COMPUTED_VALUE"""),TRUE)</f>
        <v>1</v>
      </c>
      <c r="H1129" s="4" t="b">
        <f>IFERROR(__xludf.DUMMYFUNCTION("""COMPUTED_VALUE"""),TRUE)</f>
        <v>1</v>
      </c>
      <c r="I1129" s="4">
        <f>IFERROR(__xludf.DUMMYFUNCTION("""COMPUTED_VALUE"""),0.2549440625)</f>
        <v>0.2549440625</v>
      </c>
      <c r="J1129" s="4">
        <f>IFERROR(__xludf.DUMMYFUNCTION("""COMPUTED_VALUE"""),45949.27897121341)</f>
        <v>45949.27897</v>
      </c>
      <c r="K1129" s="4" t="str">
        <f>IFERROR(__xludf.DUMMYFUNCTION("""COMPUTED_VALUE"""),"")</f>
        <v/>
      </c>
      <c r="L1129" s="4">
        <f>IFERROR(__xludf.DUMMYFUNCTION("""COMPUTED_VALUE"""),45949.29638351142)</f>
        <v>45949.29638</v>
      </c>
      <c r="M1129" s="1" t="str">
        <f>IFERROR(__xludf.DUMMYFUNCTION("""COMPUTED_VALUE"""),"RFID")</f>
        <v>RFID</v>
      </c>
      <c r="N1129" s="5">
        <f>IFERROR(__xludf.DUMMYFUNCTION("""COMPUTED_VALUE"""),0.00961086111111111)</f>
        <v>0.009610861111</v>
      </c>
      <c r="O1129" s="5" t="str">
        <f>IFERROR(__xludf.DUMMYFUNCTION("""COMPUTED_VALUE"""),"")</f>
        <v/>
      </c>
      <c r="P1129" s="5" t="str">
        <f>IFERROR(__xludf.DUMMYFUNCTION("""COMPUTED_VALUE"""),"")</f>
        <v/>
      </c>
      <c r="Q1129" s="5">
        <f>IFERROR(__xludf.DUMMYFUNCTION("""COMPUTED_VALUE"""),0.00828788888888889)</f>
        <v>0.008287888889</v>
      </c>
      <c r="R1129" s="4">
        <f>IFERROR(__xludf.DUMMYFUNCTION("""COMPUTED_VALUE"""),45949.04143944892)</f>
        <v>45949.04144</v>
      </c>
      <c r="S1129" s="1" t="b">
        <f>IFERROR(__xludf.DUMMYFUNCTION("""COMPUTED_VALUE"""),TRUE)</f>
        <v>1</v>
      </c>
      <c r="T1129" s="1" t="b">
        <f>IFERROR(__xludf.DUMMYFUNCTION("""COMPUTED_VALUE"""),FALSE)</f>
        <v>0</v>
      </c>
      <c r="U1129" s="1" t="str">
        <f>IFERROR(__xludf.DUMMYFUNCTION("""COMPUTED_VALUE"""),"VALID")</f>
        <v>VALID</v>
      </c>
      <c r="V1129" s="1">
        <f>IFERROR(__xludf.DUMMYFUNCTION("""COMPUTED_VALUE"""),347.0)</f>
        <v>347</v>
      </c>
      <c r="W1129" s="1">
        <f>IFERROR(__xludf.DUMMYFUNCTION("""COMPUTED_VALUE"""),1309.0)</f>
        <v>1309</v>
      </c>
      <c r="X1129" s="1">
        <f>IFERROR(__xludf.DUMMYFUNCTION("""COMPUTED_VALUE"""),421.0)</f>
        <v>421</v>
      </c>
      <c r="Y1129" s="2"/>
      <c r="Z1129" s="2"/>
    </row>
    <row r="1130">
      <c r="A1130" s="1">
        <f>IFERROR(__xludf.DUMMYFUNCTION("""COMPUTED_VALUE"""),1129.0)</f>
        <v>1129</v>
      </c>
      <c r="B1130" s="1">
        <f>IFERROR(__xludf.DUMMYFUNCTION("""COMPUTED_VALUE"""),5153.0)</f>
        <v>5153</v>
      </c>
      <c r="C1130" s="2" t="str">
        <f>IFERROR(__xludf.DUMMYFUNCTION("""COMPUTED_VALUE"""),"Mirna")</f>
        <v>Mirna</v>
      </c>
      <c r="D1130" s="2" t="str">
        <f>IFERROR(__xludf.DUMMYFUNCTION("""COMPUTED_VALUE"""),"5KM OVERALL F")</f>
        <v>5KM OVERALL F</v>
      </c>
      <c r="E1130" s="1">
        <f>IFERROR(__xludf.DUMMYFUNCTION("""COMPUTED_VALUE"""),2.0)</f>
        <v>2</v>
      </c>
      <c r="F1130" s="1" t="str">
        <f>IFERROR(__xludf.DUMMYFUNCTION("""COMPUTED_VALUE"""),"Female")</f>
        <v>Female</v>
      </c>
      <c r="G1130" s="4" t="b">
        <f>IFERROR(__xludf.DUMMYFUNCTION("""COMPUTED_VALUE"""),TRUE)</f>
        <v>1</v>
      </c>
      <c r="H1130" s="4" t="b">
        <f>IFERROR(__xludf.DUMMYFUNCTION("""COMPUTED_VALUE"""),TRUE)</f>
        <v>1</v>
      </c>
      <c r="I1130" s="4">
        <f>IFERROR(__xludf.DUMMYFUNCTION("""COMPUTED_VALUE"""),0.2549440625)</f>
        <v>0.2549440625</v>
      </c>
      <c r="J1130" s="4">
        <f>IFERROR(__xludf.DUMMYFUNCTION("""COMPUTED_VALUE"""),45949.27637391601)</f>
        <v>45949.27637</v>
      </c>
      <c r="K1130" s="4" t="str">
        <f>IFERROR(__xludf.DUMMYFUNCTION("""COMPUTED_VALUE"""),"")</f>
        <v/>
      </c>
      <c r="L1130" s="4">
        <f>IFERROR(__xludf.DUMMYFUNCTION("""COMPUTED_VALUE"""),45949.29330418638)</f>
        <v>45949.2933</v>
      </c>
      <c r="M1130" s="1" t="str">
        <f>IFERROR(__xludf.DUMMYFUNCTION("""COMPUTED_VALUE"""),"RFID")</f>
        <v>RFID</v>
      </c>
      <c r="N1130" s="5">
        <f>IFERROR(__xludf.DUMMYFUNCTION("""COMPUTED_VALUE"""),0.008571939814814815)</f>
        <v>0.008571939815</v>
      </c>
      <c r="O1130" s="5" t="str">
        <f>IFERROR(__xludf.DUMMYFUNCTION("""COMPUTED_VALUE"""),"")</f>
        <v/>
      </c>
      <c r="P1130" s="5" t="str">
        <f>IFERROR(__xludf.DUMMYFUNCTION("""COMPUTED_VALUE"""),"")</f>
        <v/>
      </c>
      <c r="Q1130" s="5">
        <f>IFERROR(__xludf.DUMMYFUNCTION("""COMPUTED_VALUE"""),0.007672025462962963)</f>
        <v>0.007672025463</v>
      </c>
      <c r="R1130" s="4">
        <f>IFERROR(__xludf.DUMMYFUNCTION("""COMPUTED_VALUE"""),45949.03836012388)</f>
        <v>45949.03836</v>
      </c>
      <c r="S1130" s="1" t="b">
        <f>IFERROR(__xludf.DUMMYFUNCTION("""COMPUTED_VALUE"""),TRUE)</f>
        <v>1</v>
      </c>
      <c r="T1130" s="1" t="b">
        <f>IFERROR(__xludf.DUMMYFUNCTION("""COMPUTED_VALUE"""),FALSE)</f>
        <v>0</v>
      </c>
      <c r="U1130" s="1" t="str">
        <f>IFERROR(__xludf.DUMMYFUNCTION("""COMPUTED_VALUE"""),"VALID")</f>
        <v>VALID</v>
      </c>
      <c r="V1130" s="1">
        <f>IFERROR(__xludf.DUMMYFUNCTION("""COMPUTED_VALUE"""),263.0)</f>
        <v>263</v>
      </c>
      <c r="W1130" s="1">
        <f>IFERROR(__xludf.DUMMYFUNCTION("""COMPUTED_VALUE"""),1125.0)</f>
        <v>1125</v>
      </c>
      <c r="X1130" s="1">
        <f>IFERROR(__xludf.DUMMYFUNCTION("""COMPUTED_VALUE"""),322.0)</f>
        <v>322</v>
      </c>
      <c r="Y1130" s="2"/>
      <c r="Z1130" s="2"/>
    </row>
    <row r="1131">
      <c r="A1131" s="1">
        <f>IFERROR(__xludf.DUMMYFUNCTION("""COMPUTED_VALUE"""),1130.0)</f>
        <v>1130</v>
      </c>
      <c r="B1131" s="1">
        <f>IFERROR(__xludf.DUMMYFUNCTION("""COMPUTED_VALUE"""),5156.0)</f>
        <v>5156</v>
      </c>
      <c r="C1131" s="2" t="str">
        <f>IFERROR(__xludf.DUMMYFUNCTION("""COMPUTED_VALUE"""),"SRI WAHYU NINGSIH")</f>
        <v>SRI WAHYU NINGSIH</v>
      </c>
      <c r="D1131" s="2" t="str">
        <f>IFERROR(__xludf.DUMMYFUNCTION("""COMPUTED_VALUE"""),"5KM OVERALL F")</f>
        <v>5KM OVERALL F</v>
      </c>
      <c r="E1131" s="1">
        <f>IFERROR(__xludf.DUMMYFUNCTION("""COMPUTED_VALUE"""),2.0)</f>
        <v>2</v>
      </c>
      <c r="F1131" s="1" t="str">
        <f>IFERROR(__xludf.DUMMYFUNCTION("""COMPUTED_VALUE"""),"Female")</f>
        <v>Female</v>
      </c>
      <c r="G1131" s="4" t="str">
        <f>IFERROR(__xludf.DUMMYFUNCTION("""COMPUTED_VALUE"""),"")</f>
        <v/>
      </c>
      <c r="H1131" s="4" t="b">
        <f>IFERROR(__xludf.DUMMYFUNCTION("""COMPUTED_VALUE"""),FALSE)</f>
        <v>0</v>
      </c>
      <c r="I1131" s="4">
        <f>IFERROR(__xludf.DUMMYFUNCTION("""COMPUTED_VALUE"""),0.2549440625)</f>
        <v>0.2549440625</v>
      </c>
      <c r="J1131" s="4" t="str">
        <f>IFERROR(__xludf.DUMMYFUNCTION("""COMPUTED_VALUE"""),"")</f>
        <v/>
      </c>
      <c r="K1131" s="4" t="str">
        <f>IFERROR(__xludf.DUMMYFUNCTION("""COMPUTED_VALUE"""),"")</f>
        <v/>
      </c>
      <c r="L1131" s="4" t="str">
        <f>IFERROR(__xludf.DUMMYFUNCTION("""COMPUTED_VALUE"""),"")</f>
        <v/>
      </c>
      <c r="M1131" s="1" t="str">
        <f>IFERROR(__xludf.DUMMYFUNCTION("""COMPUTED_VALUE"""),"RFID")</f>
        <v>RFID</v>
      </c>
      <c r="N1131" s="5" t="str">
        <f>IFERROR(__xludf.DUMMYFUNCTION("""COMPUTED_VALUE"""),"")</f>
        <v/>
      </c>
      <c r="O1131" s="5" t="str">
        <f>IFERROR(__xludf.DUMMYFUNCTION("""COMPUTED_VALUE"""),"")</f>
        <v/>
      </c>
      <c r="P1131" s="5" t="str">
        <f>IFERROR(__xludf.DUMMYFUNCTION("""COMPUTED_VALUE"""),"")</f>
        <v/>
      </c>
      <c r="Q1131" s="5" t="str">
        <f>IFERROR(__xludf.DUMMYFUNCTION("""COMPUTED_VALUE"""),"")</f>
        <v/>
      </c>
      <c r="R1131" s="4" t="str">
        <f>IFERROR(__xludf.DUMMYFUNCTION("""COMPUTED_VALUE"""),"")</f>
        <v/>
      </c>
      <c r="S1131" s="1" t="b">
        <f>IFERROR(__xludf.DUMMYFUNCTION("""COMPUTED_VALUE"""),FALSE)</f>
        <v>0</v>
      </c>
      <c r="T1131" s="1" t="b">
        <f>IFERROR(__xludf.DUMMYFUNCTION("""COMPUTED_VALUE"""),FALSE)</f>
        <v>0</v>
      </c>
      <c r="U1131" s="1" t="str">
        <f>IFERROR(__xludf.DUMMYFUNCTION("""COMPUTED_VALUE"""),"DSQ")</f>
        <v>DSQ</v>
      </c>
      <c r="V1131" s="1" t="str">
        <f>IFERROR(__xludf.DUMMYFUNCTION("""COMPUTED_VALUE"""),"DSQ")</f>
        <v>DSQ</v>
      </c>
      <c r="W1131" s="1" t="str">
        <f>IFERROR(__xludf.DUMMYFUNCTION("""COMPUTED_VALUE"""),"DSQ")</f>
        <v>DSQ</v>
      </c>
      <c r="X1131" s="1" t="str">
        <f>IFERROR(__xludf.DUMMYFUNCTION("""COMPUTED_VALUE"""),"DSQ")</f>
        <v>DSQ</v>
      </c>
      <c r="Y1131" s="2"/>
      <c r="Z1131" s="2" t="str">
        <f>IFERROR(__xludf.DUMMYFUNCTION("""COMPUTED_VALUE"""),"")</f>
        <v/>
      </c>
    </row>
    <row r="1132">
      <c r="A1132" s="1">
        <f>IFERROR(__xludf.DUMMYFUNCTION("""COMPUTED_VALUE"""),1131.0)</f>
        <v>1131</v>
      </c>
      <c r="B1132" s="1">
        <f>IFERROR(__xludf.DUMMYFUNCTION("""COMPUTED_VALUE"""),5158.0)</f>
        <v>5158</v>
      </c>
      <c r="C1132" s="2" t="str">
        <f>IFERROR(__xludf.DUMMYFUNCTION("""COMPUTED_VALUE"""),"Eifni")</f>
        <v>Eifni</v>
      </c>
      <c r="D1132" s="2" t="str">
        <f>IFERROR(__xludf.DUMMYFUNCTION("""COMPUTED_VALUE"""),"5KM OVERALL F")</f>
        <v>5KM OVERALL F</v>
      </c>
      <c r="E1132" s="1">
        <f>IFERROR(__xludf.DUMMYFUNCTION("""COMPUTED_VALUE"""),2.0)</f>
        <v>2</v>
      </c>
      <c r="F1132" s="1" t="str">
        <f>IFERROR(__xludf.DUMMYFUNCTION("""COMPUTED_VALUE"""),"Female")</f>
        <v>Female</v>
      </c>
      <c r="G1132" s="4" t="str">
        <f>IFERROR(__xludf.DUMMYFUNCTION("""COMPUTED_VALUE"""),"")</f>
        <v/>
      </c>
      <c r="H1132" s="4" t="b">
        <f>IFERROR(__xludf.DUMMYFUNCTION("""COMPUTED_VALUE"""),FALSE)</f>
        <v>0</v>
      </c>
      <c r="I1132" s="4">
        <f>IFERROR(__xludf.DUMMYFUNCTION("""COMPUTED_VALUE"""),0.2549440625)</f>
        <v>0.2549440625</v>
      </c>
      <c r="J1132" s="4" t="str">
        <f>IFERROR(__xludf.DUMMYFUNCTION("""COMPUTED_VALUE"""),"")</f>
        <v/>
      </c>
      <c r="K1132" s="4" t="str">
        <f>IFERROR(__xludf.DUMMYFUNCTION("""COMPUTED_VALUE"""),"")</f>
        <v/>
      </c>
      <c r="L1132" s="4" t="str">
        <f>IFERROR(__xludf.DUMMYFUNCTION("""COMPUTED_VALUE"""),"")</f>
        <v/>
      </c>
      <c r="M1132" s="1" t="str">
        <f>IFERROR(__xludf.DUMMYFUNCTION("""COMPUTED_VALUE"""),"RFID")</f>
        <v>RFID</v>
      </c>
      <c r="N1132" s="5" t="str">
        <f>IFERROR(__xludf.DUMMYFUNCTION("""COMPUTED_VALUE"""),"")</f>
        <v/>
      </c>
      <c r="O1132" s="5" t="str">
        <f>IFERROR(__xludf.DUMMYFUNCTION("""COMPUTED_VALUE"""),"")</f>
        <v/>
      </c>
      <c r="P1132" s="5" t="str">
        <f>IFERROR(__xludf.DUMMYFUNCTION("""COMPUTED_VALUE"""),"")</f>
        <v/>
      </c>
      <c r="Q1132" s="5" t="str">
        <f>IFERROR(__xludf.DUMMYFUNCTION("""COMPUTED_VALUE"""),"")</f>
        <v/>
      </c>
      <c r="R1132" s="4" t="str">
        <f>IFERROR(__xludf.DUMMYFUNCTION("""COMPUTED_VALUE"""),"")</f>
        <v/>
      </c>
      <c r="S1132" s="1" t="b">
        <f>IFERROR(__xludf.DUMMYFUNCTION("""COMPUTED_VALUE"""),FALSE)</f>
        <v>0</v>
      </c>
      <c r="T1132" s="1" t="b">
        <f>IFERROR(__xludf.DUMMYFUNCTION("""COMPUTED_VALUE"""),FALSE)</f>
        <v>0</v>
      </c>
      <c r="U1132" s="1" t="str">
        <f>IFERROR(__xludf.DUMMYFUNCTION("""COMPUTED_VALUE"""),"DSQ")</f>
        <v>DSQ</v>
      </c>
      <c r="V1132" s="1" t="str">
        <f>IFERROR(__xludf.DUMMYFUNCTION("""COMPUTED_VALUE"""),"DSQ")</f>
        <v>DSQ</v>
      </c>
      <c r="W1132" s="1" t="str">
        <f>IFERROR(__xludf.DUMMYFUNCTION("""COMPUTED_VALUE"""),"DSQ")</f>
        <v>DSQ</v>
      </c>
      <c r="X1132" s="1" t="str">
        <f>IFERROR(__xludf.DUMMYFUNCTION("""COMPUTED_VALUE"""),"DSQ")</f>
        <v>DSQ</v>
      </c>
      <c r="Y1132" s="2"/>
      <c r="Z1132" s="2" t="str">
        <f>IFERROR(__xludf.DUMMYFUNCTION("""COMPUTED_VALUE"""),"")</f>
        <v/>
      </c>
    </row>
    <row r="1133">
      <c r="A1133" s="1">
        <f>IFERROR(__xludf.DUMMYFUNCTION("""COMPUTED_VALUE"""),1132.0)</f>
        <v>1132</v>
      </c>
      <c r="B1133" s="1">
        <f>IFERROR(__xludf.DUMMYFUNCTION("""COMPUTED_VALUE"""),5162.0)</f>
        <v>5162</v>
      </c>
      <c r="C1133" s="2" t="str">
        <f>IFERROR(__xludf.DUMMYFUNCTION("""COMPUTED_VALUE"""),"Andini Arun")</f>
        <v>Andini Arun</v>
      </c>
      <c r="D1133" s="2" t="str">
        <f>IFERROR(__xludf.DUMMYFUNCTION("""COMPUTED_VALUE"""),"5KM OVERALL F")</f>
        <v>5KM OVERALL F</v>
      </c>
      <c r="E1133" s="1">
        <f>IFERROR(__xludf.DUMMYFUNCTION("""COMPUTED_VALUE"""),2.0)</f>
        <v>2</v>
      </c>
      <c r="F1133" s="1" t="str">
        <f>IFERROR(__xludf.DUMMYFUNCTION("""COMPUTED_VALUE"""),"Female")</f>
        <v>Female</v>
      </c>
      <c r="G1133" s="4" t="b">
        <f>IFERROR(__xludf.DUMMYFUNCTION("""COMPUTED_VALUE"""),TRUE)</f>
        <v>1</v>
      </c>
      <c r="H1133" s="4" t="b">
        <f>IFERROR(__xludf.DUMMYFUNCTION("""COMPUTED_VALUE"""),TRUE)</f>
        <v>1</v>
      </c>
      <c r="I1133" s="4">
        <f>IFERROR(__xludf.DUMMYFUNCTION("""COMPUTED_VALUE"""),0.2549440625)</f>
        <v>0.2549440625</v>
      </c>
      <c r="J1133" s="4">
        <f>IFERROR(__xludf.DUMMYFUNCTION("""COMPUTED_VALUE"""),45949.28391216743)</f>
        <v>45949.28391</v>
      </c>
      <c r="K1133" s="4" t="str">
        <f>IFERROR(__xludf.DUMMYFUNCTION("""COMPUTED_VALUE"""),"")</f>
        <v/>
      </c>
      <c r="L1133" s="4">
        <f>IFERROR(__xludf.DUMMYFUNCTION("""COMPUTED_VALUE"""),45949.29957794743)</f>
        <v>45949.29958</v>
      </c>
      <c r="M1133" s="1" t="str">
        <f>IFERROR(__xludf.DUMMYFUNCTION("""COMPUTED_VALUE"""),"RFID")</f>
        <v>RFID</v>
      </c>
      <c r="N1133" s="5">
        <f>IFERROR(__xludf.DUMMYFUNCTION("""COMPUTED_VALUE"""),0.011587240740740742)</f>
        <v>0.01158724074</v>
      </c>
      <c r="O1133" s="5" t="str">
        <f>IFERROR(__xludf.DUMMYFUNCTION("""COMPUTED_VALUE"""),"")</f>
        <v/>
      </c>
      <c r="P1133" s="5" t="str">
        <f>IFERROR(__xludf.DUMMYFUNCTION("""COMPUTED_VALUE"""),"")</f>
        <v/>
      </c>
      <c r="Q1133" s="5">
        <f>IFERROR(__xludf.DUMMYFUNCTION("""COMPUTED_VALUE"""),0.008926777777777778)</f>
        <v>0.008926777778</v>
      </c>
      <c r="R1133" s="4">
        <f>IFERROR(__xludf.DUMMYFUNCTION("""COMPUTED_VALUE"""),45949.04463388493)</f>
        <v>45949.04463</v>
      </c>
      <c r="S1133" s="1" t="b">
        <f>IFERROR(__xludf.DUMMYFUNCTION("""COMPUTED_VALUE"""),TRUE)</f>
        <v>1</v>
      </c>
      <c r="T1133" s="1" t="b">
        <f>IFERROR(__xludf.DUMMYFUNCTION("""COMPUTED_VALUE"""),FALSE)</f>
        <v>0</v>
      </c>
      <c r="U1133" s="1" t="str">
        <f>IFERROR(__xludf.DUMMYFUNCTION("""COMPUTED_VALUE"""),"VALID")</f>
        <v>VALID</v>
      </c>
      <c r="V1133" s="1">
        <f>IFERROR(__xludf.DUMMYFUNCTION("""COMPUTED_VALUE"""),410.0)</f>
        <v>410</v>
      </c>
      <c r="W1133" s="1">
        <f>IFERROR(__xludf.DUMMYFUNCTION("""COMPUTED_VALUE"""),1438.0)</f>
        <v>1438</v>
      </c>
      <c r="X1133" s="1">
        <f>IFERROR(__xludf.DUMMYFUNCTION("""COMPUTED_VALUE"""),503.0)</f>
        <v>503</v>
      </c>
      <c r="Y1133" s="2"/>
      <c r="Z1133" s="2"/>
    </row>
    <row r="1134">
      <c r="A1134" s="1">
        <f>IFERROR(__xludf.DUMMYFUNCTION("""COMPUTED_VALUE"""),1133.0)</f>
        <v>1133</v>
      </c>
      <c r="B1134" s="1">
        <f>IFERROR(__xludf.DUMMYFUNCTION("""COMPUTED_VALUE"""),5165.0)</f>
        <v>5165</v>
      </c>
      <c r="C1134" s="2" t="str">
        <f>IFERROR(__xludf.DUMMYFUNCTION("""COMPUTED_VALUE"""),"Desy")</f>
        <v>Desy</v>
      </c>
      <c r="D1134" s="2" t="str">
        <f>IFERROR(__xludf.DUMMYFUNCTION("""COMPUTED_VALUE"""),"5KM OVERALL F")</f>
        <v>5KM OVERALL F</v>
      </c>
      <c r="E1134" s="1">
        <f>IFERROR(__xludf.DUMMYFUNCTION("""COMPUTED_VALUE"""),2.0)</f>
        <v>2</v>
      </c>
      <c r="F1134" s="1" t="str">
        <f>IFERROR(__xludf.DUMMYFUNCTION("""COMPUTED_VALUE"""),"Female")</f>
        <v>Female</v>
      </c>
      <c r="G1134" s="4" t="b">
        <f>IFERROR(__xludf.DUMMYFUNCTION("""COMPUTED_VALUE"""),TRUE)</f>
        <v>1</v>
      </c>
      <c r="H1134" s="4" t="b">
        <f>IFERROR(__xludf.DUMMYFUNCTION("""COMPUTED_VALUE"""),FALSE)</f>
        <v>0</v>
      </c>
      <c r="I1134" s="4">
        <f>IFERROR(__xludf.DUMMYFUNCTION("""COMPUTED_VALUE"""),0.2549440625)</f>
        <v>0.2549440625</v>
      </c>
      <c r="J1134" s="4">
        <f>IFERROR(__xludf.DUMMYFUNCTION("""COMPUTED_VALUE"""),45949.283995434045)</f>
        <v>45949.284</v>
      </c>
      <c r="K1134" s="4" t="str">
        <f>IFERROR(__xludf.DUMMYFUNCTION("""COMPUTED_VALUE"""),"")</f>
        <v/>
      </c>
      <c r="L1134" s="4">
        <f>IFERROR(__xludf.DUMMYFUNCTION("""COMPUTED_VALUE"""),45949.30551193991)</f>
        <v>45949.30551</v>
      </c>
      <c r="M1134" s="1" t="str">
        <f>IFERROR(__xludf.DUMMYFUNCTION("""COMPUTED_VALUE"""),"RFID")</f>
        <v>RFID</v>
      </c>
      <c r="N1134" s="5">
        <f>IFERROR(__xludf.DUMMYFUNCTION("""COMPUTED_VALUE"""),0.011620550925925927)</f>
        <v>0.01162055093</v>
      </c>
      <c r="O1134" s="5" t="str">
        <f>IFERROR(__xludf.DUMMYFUNCTION("""COMPUTED_VALUE"""),"")</f>
        <v/>
      </c>
      <c r="P1134" s="5" t="str">
        <f>IFERROR(__xludf.DUMMYFUNCTION("""COMPUTED_VALUE"""),"")</f>
        <v/>
      </c>
      <c r="Q1134" s="5">
        <f>IFERROR(__xludf.DUMMYFUNCTION("""COMPUTED_VALUE"""),0.010113576388888889)</f>
        <v>0.01011357639</v>
      </c>
      <c r="R1134" s="4">
        <f>IFERROR(__xludf.DUMMYFUNCTION("""COMPUTED_VALUE"""),45949.050567877406)</f>
        <v>45949.05057</v>
      </c>
      <c r="S1134" s="1" t="b">
        <f>IFERROR(__xludf.DUMMYFUNCTION("""COMPUTED_VALUE"""),TRUE)</f>
        <v>1</v>
      </c>
      <c r="T1134" s="1" t="b">
        <f>IFERROR(__xludf.DUMMYFUNCTION("""COMPUTED_VALUE"""),FALSE)</f>
        <v>0</v>
      </c>
      <c r="U1134" s="1" t="str">
        <f>IFERROR(__xludf.DUMMYFUNCTION("""COMPUTED_VALUE"""),"VALID")</f>
        <v>VALID</v>
      </c>
      <c r="V1134" s="1">
        <f>IFERROR(__xludf.DUMMYFUNCTION("""COMPUTED_VALUE"""),491.0)</f>
        <v>491</v>
      </c>
      <c r="W1134" s="1">
        <f>IFERROR(__xludf.DUMMYFUNCTION("""COMPUTED_VALUE"""),1581.0)</f>
        <v>1581</v>
      </c>
      <c r="X1134" s="1">
        <f>IFERROR(__xludf.DUMMYFUNCTION("""COMPUTED_VALUE"""),601.0)</f>
        <v>601</v>
      </c>
      <c r="Y1134" s="2"/>
      <c r="Z1134" s="2"/>
    </row>
    <row r="1135">
      <c r="A1135" s="1">
        <f>IFERROR(__xludf.DUMMYFUNCTION("""COMPUTED_VALUE"""),1134.0)</f>
        <v>1134</v>
      </c>
      <c r="B1135" s="1">
        <f>IFERROR(__xludf.DUMMYFUNCTION("""COMPUTED_VALUE"""),5167.0)</f>
        <v>5167</v>
      </c>
      <c r="C1135" s="2" t="str">
        <f>IFERROR(__xludf.DUMMYFUNCTION("""COMPUTED_VALUE"""),"fidah")</f>
        <v>fidah</v>
      </c>
      <c r="D1135" s="2" t="str">
        <f>IFERROR(__xludf.DUMMYFUNCTION("""COMPUTED_VALUE"""),"5KM OVERALL F")</f>
        <v>5KM OVERALL F</v>
      </c>
      <c r="E1135" s="1">
        <f>IFERROR(__xludf.DUMMYFUNCTION("""COMPUTED_VALUE"""),2.0)</f>
        <v>2</v>
      </c>
      <c r="F1135" s="1" t="str">
        <f>IFERROR(__xludf.DUMMYFUNCTION("""COMPUTED_VALUE"""),"Female")</f>
        <v>Female</v>
      </c>
      <c r="G1135" s="4" t="b">
        <f>IFERROR(__xludf.DUMMYFUNCTION("""COMPUTED_VALUE"""),TRUE)</f>
        <v>1</v>
      </c>
      <c r="H1135" s="4" t="b">
        <f>IFERROR(__xludf.DUMMYFUNCTION("""COMPUTED_VALUE"""),FALSE)</f>
        <v>0</v>
      </c>
      <c r="I1135" s="4">
        <f>IFERROR(__xludf.DUMMYFUNCTION("""COMPUTED_VALUE"""),0.2549440625)</f>
        <v>0.2549440625</v>
      </c>
      <c r="J1135" s="4">
        <f>IFERROR(__xludf.DUMMYFUNCTION("""COMPUTED_VALUE"""),45949.26686350668)</f>
        <v>45949.26686</v>
      </c>
      <c r="K1135" s="4" t="str">
        <f>IFERROR(__xludf.DUMMYFUNCTION("""COMPUTED_VALUE"""),"")</f>
        <v/>
      </c>
      <c r="L1135" s="4">
        <f>IFERROR(__xludf.DUMMYFUNCTION("""COMPUTED_VALUE"""),45949.275748092354)</f>
        <v>45949.27575</v>
      </c>
      <c r="M1135" s="1" t="str">
        <f>IFERROR(__xludf.DUMMYFUNCTION("""COMPUTED_VALUE"""),"RFID")</f>
        <v>RFID</v>
      </c>
      <c r="N1135" s="5">
        <f>IFERROR(__xludf.DUMMYFUNCTION("""COMPUTED_VALUE"""),0.004767777777777778)</f>
        <v>0.004767777778</v>
      </c>
      <c r="O1135" s="5" t="str">
        <f>IFERROR(__xludf.DUMMYFUNCTION("""COMPUTED_VALUE"""),"")</f>
        <v/>
      </c>
      <c r="P1135" s="5" t="str">
        <f>IFERROR(__xludf.DUMMYFUNCTION("""COMPUTED_VALUE"""),"")</f>
        <v/>
      </c>
      <c r="Q1135" s="5">
        <f>IFERROR(__xludf.DUMMYFUNCTION("""COMPUTED_VALUE"""),0.004160805555555556)</f>
        <v>0.004160805556</v>
      </c>
      <c r="R1135" s="4">
        <f>IFERROR(__xludf.DUMMYFUNCTION("""COMPUTED_VALUE"""),45949.02080402985)</f>
        <v>45949.0208</v>
      </c>
      <c r="S1135" s="1" t="b">
        <f>IFERROR(__xludf.DUMMYFUNCTION("""COMPUTED_VALUE"""),TRUE)</f>
        <v>1</v>
      </c>
      <c r="T1135" s="1" t="b">
        <f>IFERROR(__xludf.DUMMYFUNCTION("""COMPUTED_VALUE"""),FALSE)</f>
        <v>0</v>
      </c>
      <c r="U1135" s="1" t="str">
        <f>IFERROR(__xludf.DUMMYFUNCTION("""COMPUTED_VALUE"""),"VALID")</f>
        <v>VALID</v>
      </c>
      <c r="V1135" s="1">
        <f>IFERROR(__xludf.DUMMYFUNCTION("""COMPUTED_VALUE"""),8.0)</f>
        <v>8</v>
      </c>
      <c r="W1135" s="1">
        <f>IFERROR(__xludf.DUMMYFUNCTION("""COMPUTED_VALUE"""),136.0)</f>
        <v>136</v>
      </c>
      <c r="X1135" s="1">
        <f>IFERROR(__xludf.DUMMYFUNCTION("""COMPUTED_VALUE"""),13.0)</f>
        <v>13</v>
      </c>
      <c r="Y1135" s="2"/>
      <c r="Z1135" s="2"/>
    </row>
    <row r="1136">
      <c r="A1136" s="1">
        <f>IFERROR(__xludf.DUMMYFUNCTION("""COMPUTED_VALUE"""),1135.0)</f>
        <v>1135</v>
      </c>
      <c r="B1136" s="1">
        <f>IFERROR(__xludf.DUMMYFUNCTION("""COMPUTED_VALUE"""),5168.0)</f>
        <v>5168</v>
      </c>
      <c r="C1136" s="2" t="str">
        <f>IFERROR(__xludf.DUMMYFUNCTION("""COMPUTED_VALUE"""),"Laila Ramlan")</f>
        <v>Laila Ramlan</v>
      </c>
      <c r="D1136" s="2" t="str">
        <f>IFERROR(__xludf.DUMMYFUNCTION("""COMPUTED_VALUE"""),"5KM OVERALL F")</f>
        <v>5KM OVERALL F</v>
      </c>
      <c r="E1136" s="1">
        <f>IFERROR(__xludf.DUMMYFUNCTION("""COMPUTED_VALUE"""),2.0)</f>
        <v>2</v>
      </c>
      <c r="F1136" s="1" t="str">
        <f>IFERROR(__xludf.DUMMYFUNCTION("""COMPUTED_VALUE"""),"Female")</f>
        <v>Female</v>
      </c>
      <c r="G1136" s="4" t="b">
        <f>IFERROR(__xludf.DUMMYFUNCTION("""COMPUTED_VALUE"""),TRUE)</f>
        <v>1</v>
      </c>
      <c r="H1136" s="4" t="b">
        <f>IFERROR(__xludf.DUMMYFUNCTION("""COMPUTED_VALUE"""),TRUE)</f>
        <v>1</v>
      </c>
      <c r="I1136" s="4">
        <f>IFERROR(__xludf.DUMMYFUNCTION("""COMPUTED_VALUE"""),0.2549440625)</f>
        <v>0.2549440625</v>
      </c>
      <c r="J1136" s="4">
        <f>IFERROR(__xludf.DUMMYFUNCTION("""COMPUTED_VALUE"""),45949.27840169435)</f>
        <v>45949.2784</v>
      </c>
      <c r="K1136" s="4" t="str">
        <f>IFERROR(__xludf.DUMMYFUNCTION("""COMPUTED_VALUE"""),"")</f>
        <v/>
      </c>
      <c r="L1136" s="4">
        <f>IFERROR(__xludf.DUMMYFUNCTION("""COMPUTED_VALUE"""),45949.291821010775)</f>
        <v>45949.29182</v>
      </c>
      <c r="M1136" s="1" t="str">
        <f>IFERROR(__xludf.DUMMYFUNCTION("""COMPUTED_VALUE"""),"RFID")</f>
        <v>RFID</v>
      </c>
      <c r="N1136" s="5">
        <f>IFERROR(__xludf.DUMMYFUNCTION("""COMPUTED_VALUE"""),0.009383050925925927)</f>
        <v>0.009383050926</v>
      </c>
      <c r="O1136" s="5" t="str">
        <f>IFERROR(__xludf.DUMMYFUNCTION("""COMPUTED_VALUE"""),"")</f>
        <v/>
      </c>
      <c r="P1136" s="5" t="str">
        <f>IFERROR(__xludf.DUMMYFUNCTION("""COMPUTED_VALUE"""),"")</f>
        <v/>
      </c>
      <c r="Q1136" s="5">
        <f>IFERROR(__xludf.DUMMYFUNCTION("""COMPUTED_VALUE"""),0.00737538888888889)</f>
        <v>0.007375388889</v>
      </c>
      <c r="R1136" s="4">
        <f>IFERROR(__xludf.DUMMYFUNCTION("""COMPUTED_VALUE"""),45949.036876948274)</f>
        <v>45949.03688</v>
      </c>
      <c r="S1136" s="1" t="b">
        <f>IFERROR(__xludf.DUMMYFUNCTION("""COMPUTED_VALUE"""),TRUE)</f>
        <v>1</v>
      </c>
      <c r="T1136" s="1" t="b">
        <f>IFERROR(__xludf.DUMMYFUNCTION("""COMPUTED_VALUE"""),FALSE)</f>
        <v>0</v>
      </c>
      <c r="U1136" s="1" t="str">
        <f>IFERROR(__xludf.DUMMYFUNCTION("""COMPUTED_VALUE"""),"VALID")</f>
        <v>VALID</v>
      </c>
      <c r="V1136" s="1">
        <f>IFERROR(__xludf.DUMMYFUNCTION("""COMPUTED_VALUE"""),215.0)</f>
        <v>215</v>
      </c>
      <c r="W1136" s="1">
        <f>IFERROR(__xludf.DUMMYFUNCTION("""COMPUTED_VALUE"""),1022.0)</f>
        <v>1022</v>
      </c>
      <c r="X1136" s="1">
        <f>IFERROR(__xludf.DUMMYFUNCTION("""COMPUTED_VALUE"""),267.0)</f>
        <v>267</v>
      </c>
      <c r="Y1136" s="2"/>
      <c r="Z1136" s="2"/>
    </row>
    <row r="1137">
      <c r="A1137" s="1">
        <f>IFERROR(__xludf.DUMMYFUNCTION("""COMPUTED_VALUE"""),1136.0)</f>
        <v>1136</v>
      </c>
      <c r="B1137" s="1">
        <f>IFERROR(__xludf.DUMMYFUNCTION("""COMPUTED_VALUE"""),5171.0)</f>
        <v>5171</v>
      </c>
      <c r="C1137" s="2" t="str">
        <f>IFERROR(__xludf.DUMMYFUNCTION("""COMPUTED_VALUE"""),"angelpuw")</f>
        <v>angelpuw</v>
      </c>
      <c r="D1137" s="2" t="str">
        <f>IFERROR(__xludf.DUMMYFUNCTION("""COMPUTED_VALUE"""),"5KM OVERALL F")</f>
        <v>5KM OVERALL F</v>
      </c>
      <c r="E1137" s="1">
        <f>IFERROR(__xludf.DUMMYFUNCTION("""COMPUTED_VALUE"""),2.0)</f>
        <v>2</v>
      </c>
      <c r="F1137" s="1" t="str">
        <f>IFERROR(__xludf.DUMMYFUNCTION("""COMPUTED_VALUE"""),"Female")</f>
        <v>Female</v>
      </c>
      <c r="G1137" s="4" t="b">
        <f>IFERROR(__xludf.DUMMYFUNCTION("""COMPUTED_VALUE"""),TRUE)</f>
        <v>1</v>
      </c>
      <c r="H1137" s="4" t="b">
        <f>IFERROR(__xludf.DUMMYFUNCTION("""COMPUTED_VALUE"""),TRUE)</f>
        <v>1</v>
      </c>
      <c r="I1137" s="4">
        <f>IFERROR(__xludf.DUMMYFUNCTION("""COMPUTED_VALUE"""),0.2549440625)</f>
        <v>0.2549440625</v>
      </c>
      <c r="J1137" s="4">
        <f>IFERROR(__xludf.DUMMYFUNCTION("""COMPUTED_VALUE"""),45949.26462397312)</f>
        <v>45949.26462</v>
      </c>
      <c r="K1137" s="4" t="str">
        <f>IFERROR(__xludf.DUMMYFUNCTION("""COMPUTED_VALUE"""),"")</f>
        <v/>
      </c>
      <c r="L1137" s="4">
        <f>IFERROR(__xludf.DUMMYFUNCTION("""COMPUTED_VALUE"""),45949.272939814815)</f>
        <v>45949.27294</v>
      </c>
      <c r="M1137" s="1" t="str">
        <f>IFERROR(__xludf.DUMMYFUNCTION("""COMPUTED_VALUE"""),"RFID")</f>
        <v>RFID</v>
      </c>
      <c r="N1137" s="5">
        <f>IFERROR(__xludf.DUMMYFUNCTION("""COMPUTED_VALUE"""),0.0038719629629629633)</f>
        <v>0.003871962963</v>
      </c>
      <c r="O1137" s="5" t="str">
        <f>IFERROR(__xludf.DUMMYFUNCTION("""COMPUTED_VALUE"""),"")</f>
        <v/>
      </c>
      <c r="P1137" s="5" t="str">
        <f>IFERROR(__xludf.DUMMYFUNCTION("""COMPUTED_VALUE"""),"")</f>
        <v/>
      </c>
      <c r="Q1137" s="5">
        <f>IFERROR(__xludf.DUMMYFUNCTION("""COMPUTED_VALUE"""),0.0035991504629629633)</f>
        <v>0.003599150463</v>
      </c>
      <c r="R1137" s="4">
        <f>IFERROR(__xludf.DUMMYFUNCTION("""COMPUTED_VALUE"""),45949.017995752314)</f>
        <v>45949.018</v>
      </c>
      <c r="S1137" s="1" t="b">
        <f>IFERROR(__xludf.DUMMYFUNCTION("""COMPUTED_VALUE"""),TRUE)</f>
        <v>1</v>
      </c>
      <c r="T1137" s="1" t="b">
        <f>IFERROR(__xludf.DUMMYFUNCTION("""COMPUTED_VALUE"""),FALSE)</f>
        <v>0</v>
      </c>
      <c r="U1137" s="1" t="str">
        <f>IFERROR(__xludf.DUMMYFUNCTION("""COMPUTED_VALUE"""),"VALID")</f>
        <v>VALID</v>
      </c>
      <c r="V1137" s="1">
        <f>IFERROR(__xludf.DUMMYFUNCTION("""COMPUTED_VALUE"""),2.0)</f>
        <v>2</v>
      </c>
      <c r="W1137" s="1">
        <f>IFERROR(__xludf.DUMMYFUNCTION("""COMPUTED_VALUE"""),53.0)</f>
        <v>53</v>
      </c>
      <c r="X1137" s="1">
        <f>IFERROR(__xludf.DUMMYFUNCTION("""COMPUTED_VALUE"""),3.0)</f>
        <v>3</v>
      </c>
      <c r="Y1137" s="2"/>
      <c r="Z1137" s="2"/>
    </row>
    <row r="1138">
      <c r="A1138" s="1">
        <f>IFERROR(__xludf.DUMMYFUNCTION("""COMPUTED_VALUE"""),1137.0)</f>
        <v>1137</v>
      </c>
      <c r="B1138" s="1">
        <f>IFERROR(__xludf.DUMMYFUNCTION("""COMPUTED_VALUE"""),5172.0)</f>
        <v>5172</v>
      </c>
      <c r="C1138" s="2" t="str">
        <f>IFERROR(__xludf.DUMMYFUNCTION("""COMPUTED_VALUE"""),"Raras")</f>
        <v>Raras</v>
      </c>
      <c r="D1138" s="2" t="str">
        <f>IFERROR(__xludf.DUMMYFUNCTION("""COMPUTED_VALUE"""),"5KM OVERALL F")</f>
        <v>5KM OVERALL F</v>
      </c>
      <c r="E1138" s="1">
        <f>IFERROR(__xludf.DUMMYFUNCTION("""COMPUTED_VALUE"""),2.0)</f>
        <v>2</v>
      </c>
      <c r="F1138" s="1" t="str">
        <f>IFERROR(__xludf.DUMMYFUNCTION("""COMPUTED_VALUE"""),"Female")</f>
        <v>Female</v>
      </c>
      <c r="G1138" s="4" t="b">
        <f>IFERROR(__xludf.DUMMYFUNCTION("""COMPUTED_VALUE"""),TRUE)</f>
        <v>1</v>
      </c>
      <c r="H1138" s="4" t="b">
        <f>IFERROR(__xludf.DUMMYFUNCTION("""COMPUTED_VALUE"""),TRUE)</f>
        <v>1</v>
      </c>
      <c r="I1138" s="4">
        <f>IFERROR(__xludf.DUMMYFUNCTION("""COMPUTED_VALUE"""),0.2549440625)</f>
        <v>0.2549440625</v>
      </c>
      <c r="J1138" s="4">
        <f>IFERROR(__xludf.DUMMYFUNCTION("""COMPUTED_VALUE"""),45949.27957879485)</f>
        <v>45949.27958</v>
      </c>
      <c r="K1138" s="4" t="str">
        <f>IFERROR(__xludf.DUMMYFUNCTION("""COMPUTED_VALUE"""),"")</f>
        <v/>
      </c>
      <c r="L1138" s="4">
        <f>IFERROR(__xludf.DUMMYFUNCTION("""COMPUTED_VALUE"""),45949.295144678515)</f>
        <v>45949.29514</v>
      </c>
      <c r="M1138" s="1" t="str">
        <f>IFERROR(__xludf.DUMMYFUNCTION("""COMPUTED_VALUE"""),"RFID")</f>
        <v>RFID</v>
      </c>
      <c r="N1138" s="5">
        <f>IFERROR(__xludf.DUMMYFUNCTION("""COMPUTED_VALUE"""),0.009853893518518519)</f>
        <v>0.009853893519</v>
      </c>
      <c r="O1138" s="5" t="str">
        <f>IFERROR(__xludf.DUMMYFUNCTION("""COMPUTED_VALUE"""),"")</f>
        <v/>
      </c>
      <c r="P1138" s="5" t="str">
        <f>IFERROR(__xludf.DUMMYFUNCTION("""COMPUTED_VALUE"""),"")</f>
        <v/>
      </c>
      <c r="Q1138" s="5">
        <f>IFERROR(__xludf.DUMMYFUNCTION("""COMPUTED_VALUE"""),0.008040122685185187)</f>
        <v>0.008040122685</v>
      </c>
      <c r="R1138" s="4">
        <f>IFERROR(__xludf.DUMMYFUNCTION("""COMPUTED_VALUE"""),45949.040200616015)</f>
        <v>45949.0402</v>
      </c>
      <c r="S1138" s="1" t="b">
        <f>IFERROR(__xludf.DUMMYFUNCTION("""COMPUTED_VALUE"""),TRUE)</f>
        <v>1</v>
      </c>
      <c r="T1138" s="1" t="b">
        <f>IFERROR(__xludf.DUMMYFUNCTION("""COMPUTED_VALUE"""),FALSE)</f>
        <v>0</v>
      </c>
      <c r="U1138" s="1" t="str">
        <f>IFERROR(__xludf.DUMMYFUNCTION("""COMPUTED_VALUE"""),"VALID")</f>
        <v>VALID</v>
      </c>
      <c r="V1138" s="1">
        <f>IFERROR(__xludf.DUMMYFUNCTION("""COMPUTED_VALUE"""),325.0)</f>
        <v>325</v>
      </c>
      <c r="W1138" s="1">
        <f>IFERROR(__xludf.DUMMYFUNCTION("""COMPUTED_VALUE"""),1252.0)</f>
        <v>1252</v>
      </c>
      <c r="X1138" s="1">
        <f>IFERROR(__xludf.DUMMYFUNCTION("""COMPUTED_VALUE"""),394.0)</f>
        <v>394</v>
      </c>
      <c r="Y1138" s="2"/>
      <c r="Z1138" s="2"/>
    </row>
    <row r="1139">
      <c r="A1139" s="1">
        <f>IFERROR(__xludf.DUMMYFUNCTION("""COMPUTED_VALUE"""),1138.0)</f>
        <v>1138</v>
      </c>
      <c r="B1139" s="1">
        <f>IFERROR(__xludf.DUMMYFUNCTION("""COMPUTED_VALUE"""),5173.0)</f>
        <v>5173</v>
      </c>
      <c r="C1139" s="2" t="str">
        <f>IFERROR(__xludf.DUMMYFUNCTION("""COMPUTED_VALUE"""),"GHINA")</f>
        <v>GHINA</v>
      </c>
      <c r="D1139" s="2" t="str">
        <f>IFERROR(__xludf.DUMMYFUNCTION("""COMPUTED_VALUE"""),"5KM OVERALL F")</f>
        <v>5KM OVERALL F</v>
      </c>
      <c r="E1139" s="1">
        <f>IFERROR(__xludf.DUMMYFUNCTION("""COMPUTED_VALUE"""),2.0)</f>
        <v>2</v>
      </c>
      <c r="F1139" s="1" t="str">
        <f>IFERROR(__xludf.DUMMYFUNCTION("""COMPUTED_VALUE"""),"Female")</f>
        <v>Female</v>
      </c>
      <c r="G1139" s="4" t="b">
        <f>IFERROR(__xludf.DUMMYFUNCTION("""COMPUTED_VALUE"""),TRUE)</f>
        <v>1</v>
      </c>
      <c r="H1139" s="4" t="b">
        <f>IFERROR(__xludf.DUMMYFUNCTION("""COMPUTED_VALUE"""),TRUE)</f>
        <v>1</v>
      </c>
      <c r="I1139" s="4">
        <f>IFERROR(__xludf.DUMMYFUNCTION("""COMPUTED_VALUE"""),0.2549440625)</f>
        <v>0.2549440625</v>
      </c>
      <c r="J1139" s="4">
        <f>IFERROR(__xludf.DUMMYFUNCTION("""COMPUTED_VALUE"""),45949.28023855079)</f>
        <v>45949.28024</v>
      </c>
      <c r="K1139" s="4" t="str">
        <f>IFERROR(__xludf.DUMMYFUNCTION("""COMPUTED_VALUE"""),"")</f>
        <v/>
      </c>
      <c r="L1139" s="4">
        <f>IFERROR(__xludf.DUMMYFUNCTION("""COMPUTED_VALUE"""),45949.29852929942)</f>
        <v>45949.29853</v>
      </c>
      <c r="M1139" s="1" t="str">
        <f>IFERROR(__xludf.DUMMYFUNCTION("""COMPUTED_VALUE"""),"RFID")</f>
        <v>RFID</v>
      </c>
      <c r="N1139" s="5">
        <f>IFERROR(__xludf.DUMMYFUNCTION("""COMPUTED_VALUE"""),0.010117796296296295)</f>
        <v>0.0101177963</v>
      </c>
      <c r="O1139" s="5" t="str">
        <f>IFERROR(__xludf.DUMMYFUNCTION("""COMPUTED_VALUE"""),"")</f>
        <v/>
      </c>
      <c r="P1139" s="5" t="str">
        <f>IFERROR(__xludf.DUMMYFUNCTION("""COMPUTED_VALUE"""),"")</f>
        <v/>
      </c>
      <c r="Q1139" s="5">
        <f>IFERROR(__xludf.DUMMYFUNCTION("""COMPUTED_VALUE"""),0.008717046296296296)</f>
        <v>0.008717046296</v>
      </c>
      <c r="R1139" s="4">
        <f>IFERROR(__xludf.DUMMYFUNCTION("""COMPUTED_VALUE"""),45949.04358523692)</f>
        <v>45949.04359</v>
      </c>
      <c r="S1139" s="1" t="b">
        <f>IFERROR(__xludf.DUMMYFUNCTION("""COMPUTED_VALUE"""),TRUE)</f>
        <v>1</v>
      </c>
      <c r="T1139" s="1" t="b">
        <f>IFERROR(__xludf.DUMMYFUNCTION("""COMPUTED_VALUE"""),FALSE)</f>
        <v>0</v>
      </c>
      <c r="U1139" s="1" t="str">
        <f>IFERROR(__xludf.DUMMYFUNCTION("""COMPUTED_VALUE"""),"VALID")</f>
        <v>VALID</v>
      </c>
      <c r="V1139" s="1">
        <f>IFERROR(__xludf.DUMMYFUNCTION("""COMPUTED_VALUE"""),386.0)</f>
        <v>386</v>
      </c>
      <c r="W1139" s="1">
        <f>IFERROR(__xludf.DUMMYFUNCTION("""COMPUTED_VALUE"""),1379.0)</f>
        <v>1379</v>
      </c>
      <c r="X1139" s="1">
        <f>IFERROR(__xludf.DUMMYFUNCTION("""COMPUTED_VALUE"""),468.0)</f>
        <v>468</v>
      </c>
      <c r="Y1139" s="2"/>
      <c r="Z1139" s="2"/>
    </row>
    <row r="1140">
      <c r="A1140" s="1">
        <f>IFERROR(__xludf.DUMMYFUNCTION("""COMPUTED_VALUE"""),1139.0)</f>
        <v>1139</v>
      </c>
      <c r="B1140" s="1">
        <f>IFERROR(__xludf.DUMMYFUNCTION("""COMPUTED_VALUE"""),5174.0)</f>
        <v>5174</v>
      </c>
      <c r="C1140" s="2" t="str">
        <f>IFERROR(__xludf.DUMMYFUNCTION("""COMPUTED_VALUE"""),"Naufa Hafizha")</f>
        <v>Naufa Hafizha</v>
      </c>
      <c r="D1140" s="2" t="str">
        <f>IFERROR(__xludf.DUMMYFUNCTION("""COMPUTED_VALUE"""),"5KM OVERALL F")</f>
        <v>5KM OVERALL F</v>
      </c>
      <c r="E1140" s="1">
        <f>IFERROR(__xludf.DUMMYFUNCTION("""COMPUTED_VALUE"""),2.0)</f>
        <v>2</v>
      </c>
      <c r="F1140" s="1" t="str">
        <f>IFERROR(__xludf.DUMMYFUNCTION("""COMPUTED_VALUE"""),"Female")</f>
        <v>Female</v>
      </c>
      <c r="G1140" s="4" t="b">
        <f>IFERROR(__xludf.DUMMYFUNCTION("""COMPUTED_VALUE"""),TRUE)</f>
        <v>1</v>
      </c>
      <c r="H1140" s="4" t="b">
        <f>IFERROR(__xludf.DUMMYFUNCTION("""COMPUTED_VALUE"""),TRUE)</f>
        <v>1</v>
      </c>
      <c r="I1140" s="4">
        <f>IFERROR(__xludf.DUMMYFUNCTION("""COMPUTED_VALUE"""),0.2549440625)</f>
        <v>0.2549440625</v>
      </c>
      <c r="J1140" s="4">
        <f>IFERROR(__xludf.DUMMYFUNCTION("""COMPUTED_VALUE"""),45949.27268644811)</f>
        <v>45949.27269</v>
      </c>
      <c r="K1140" s="4" t="str">
        <f>IFERROR(__xludf.DUMMYFUNCTION("""COMPUTED_VALUE"""),"")</f>
        <v/>
      </c>
      <c r="L1140" s="4">
        <f>IFERROR(__xludf.DUMMYFUNCTION("""COMPUTED_VALUE"""),45949.285709898)</f>
        <v>45949.28571</v>
      </c>
      <c r="M1140" s="1" t="str">
        <f>IFERROR(__xludf.DUMMYFUNCTION("""COMPUTED_VALUE"""),"RFID")</f>
        <v>RFID</v>
      </c>
      <c r="N1140" s="5">
        <f>IFERROR(__xludf.DUMMYFUNCTION("""COMPUTED_VALUE"""),0.007096953703703704)</f>
        <v>0.007096953704</v>
      </c>
      <c r="O1140" s="5" t="str">
        <f>IFERROR(__xludf.DUMMYFUNCTION("""COMPUTED_VALUE"""),"")</f>
        <v/>
      </c>
      <c r="P1140" s="5" t="str">
        <f>IFERROR(__xludf.DUMMYFUNCTION("""COMPUTED_VALUE"""),"")</f>
        <v/>
      </c>
      <c r="Q1140" s="5">
        <f>IFERROR(__xludf.DUMMYFUNCTION("""COMPUTED_VALUE"""),0.006153166666666667)</f>
        <v>0.006153166667</v>
      </c>
      <c r="R1140" s="4">
        <f>IFERROR(__xludf.DUMMYFUNCTION("""COMPUTED_VALUE"""),45949.0307658355)</f>
        <v>45949.03077</v>
      </c>
      <c r="S1140" s="1" t="b">
        <f>IFERROR(__xludf.DUMMYFUNCTION("""COMPUTED_VALUE"""),TRUE)</f>
        <v>1</v>
      </c>
      <c r="T1140" s="1" t="b">
        <f>IFERROR(__xludf.DUMMYFUNCTION("""COMPUTED_VALUE"""),FALSE)</f>
        <v>0</v>
      </c>
      <c r="U1140" s="1" t="str">
        <f>IFERROR(__xludf.DUMMYFUNCTION("""COMPUTED_VALUE"""),"VALID")</f>
        <v>VALID</v>
      </c>
      <c r="V1140" s="1">
        <f>IFERROR(__xludf.DUMMYFUNCTION("""COMPUTED_VALUE"""),88.0)</f>
        <v>88</v>
      </c>
      <c r="W1140" s="1">
        <f>IFERROR(__xludf.DUMMYFUNCTION("""COMPUTED_VALUE"""),617.0)</f>
        <v>617</v>
      </c>
      <c r="X1140" s="1">
        <f>IFERROR(__xludf.DUMMYFUNCTION("""COMPUTED_VALUE"""),112.0)</f>
        <v>112</v>
      </c>
      <c r="Y1140" s="2"/>
      <c r="Z1140" s="2"/>
    </row>
    <row r="1141">
      <c r="A1141" s="1">
        <f>IFERROR(__xludf.DUMMYFUNCTION("""COMPUTED_VALUE"""),1140.0)</f>
        <v>1140</v>
      </c>
      <c r="B1141" s="1">
        <f>IFERROR(__xludf.DUMMYFUNCTION("""COMPUTED_VALUE"""),5179.0)</f>
        <v>5179</v>
      </c>
      <c r="C1141" s="2" t="str">
        <f>IFERROR(__xludf.DUMMYFUNCTION("""COMPUTED_VALUE"""),"siska")</f>
        <v>siska</v>
      </c>
      <c r="D1141" s="2" t="str">
        <f>IFERROR(__xludf.DUMMYFUNCTION("""COMPUTED_VALUE"""),"5KM OVERALL F")</f>
        <v>5KM OVERALL F</v>
      </c>
      <c r="E1141" s="1">
        <f>IFERROR(__xludf.DUMMYFUNCTION("""COMPUTED_VALUE"""),2.0)</f>
        <v>2</v>
      </c>
      <c r="F1141" s="1" t="str">
        <f>IFERROR(__xludf.DUMMYFUNCTION("""COMPUTED_VALUE"""),"Female")</f>
        <v>Female</v>
      </c>
      <c r="G1141" s="4" t="b">
        <f>IFERROR(__xludf.DUMMYFUNCTION("""COMPUTED_VALUE"""),TRUE)</f>
        <v>1</v>
      </c>
      <c r="H1141" s="4" t="b">
        <f>IFERROR(__xludf.DUMMYFUNCTION("""COMPUTED_VALUE"""),TRUE)</f>
        <v>1</v>
      </c>
      <c r="I1141" s="4">
        <f>IFERROR(__xludf.DUMMYFUNCTION("""COMPUTED_VALUE"""),0.2549440625)</f>
        <v>0.2549440625</v>
      </c>
      <c r="J1141" s="4">
        <f>IFERROR(__xludf.DUMMYFUNCTION("""COMPUTED_VALUE"""),45949.27759266708)</f>
        <v>45949.27759</v>
      </c>
      <c r="K1141" s="4" t="str">
        <f>IFERROR(__xludf.DUMMYFUNCTION("""COMPUTED_VALUE"""),"")</f>
        <v/>
      </c>
      <c r="L1141" s="4">
        <f>IFERROR(__xludf.DUMMYFUNCTION("""COMPUTED_VALUE"""),45949.29430711269)</f>
        <v>45949.29431</v>
      </c>
      <c r="M1141" s="1" t="str">
        <f>IFERROR(__xludf.DUMMYFUNCTION("""COMPUTED_VALUE"""),"RFID")</f>
        <v>RFID</v>
      </c>
      <c r="N1141" s="5">
        <f>IFERROR(__xludf.DUMMYFUNCTION("""COMPUTED_VALUE"""),0.009059439814814814)</f>
        <v>0.009059439815</v>
      </c>
      <c r="O1141" s="5" t="str">
        <f>IFERROR(__xludf.DUMMYFUNCTION("""COMPUTED_VALUE"""),"")</f>
        <v/>
      </c>
      <c r="P1141" s="5" t="str">
        <f>IFERROR(__xludf.DUMMYFUNCTION("""COMPUTED_VALUE"""),"")</f>
        <v/>
      </c>
      <c r="Q1141" s="5">
        <f>IFERROR(__xludf.DUMMYFUNCTION("""COMPUTED_VALUE"""),0.007872611111111111)</f>
        <v>0.007872611111</v>
      </c>
      <c r="R1141" s="4">
        <f>IFERROR(__xludf.DUMMYFUNCTION("""COMPUTED_VALUE"""),45949.039363050186)</f>
        <v>45949.03936</v>
      </c>
      <c r="S1141" s="1" t="b">
        <f>IFERROR(__xludf.DUMMYFUNCTION("""COMPUTED_VALUE"""),TRUE)</f>
        <v>1</v>
      </c>
      <c r="T1141" s="1" t="b">
        <f>IFERROR(__xludf.DUMMYFUNCTION("""COMPUTED_VALUE"""),FALSE)</f>
        <v>0</v>
      </c>
      <c r="U1141" s="1" t="str">
        <f>IFERROR(__xludf.DUMMYFUNCTION("""COMPUTED_VALUE"""),"VALID")</f>
        <v>VALID</v>
      </c>
      <c r="V1141" s="1">
        <f>IFERROR(__xludf.DUMMYFUNCTION("""COMPUTED_VALUE"""),299.0)</f>
        <v>299</v>
      </c>
      <c r="W1141" s="1">
        <f>IFERROR(__xludf.DUMMYFUNCTION("""COMPUTED_VALUE"""),1200.0)</f>
        <v>1200</v>
      </c>
      <c r="X1141" s="1">
        <f>IFERROR(__xludf.DUMMYFUNCTION("""COMPUTED_VALUE"""),362.0)</f>
        <v>362</v>
      </c>
      <c r="Y1141" s="2"/>
      <c r="Z1141" s="2"/>
    </row>
    <row r="1142">
      <c r="A1142" s="1">
        <f>IFERROR(__xludf.DUMMYFUNCTION("""COMPUTED_VALUE"""),1141.0)</f>
        <v>1141</v>
      </c>
      <c r="B1142" s="1">
        <f>IFERROR(__xludf.DUMMYFUNCTION("""COMPUTED_VALUE"""),5180.0)</f>
        <v>5180</v>
      </c>
      <c r="C1142" s="2" t="str">
        <f>IFERROR(__xludf.DUMMYFUNCTION("""COMPUTED_VALUE"""),"Meridha")</f>
        <v>Meridha</v>
      </c>
      <c r="D1142" s="2" t="str">
        <f>IFERROR(__xludf.DUMMYFUNCTION("""COMPUTED_VALUE"""),"5KM OVERALL F")</f>
        <v>5KM OVERALL F</v>
      </c>
      <c r="E1142" s="1">
        <f>IFERROR(__xludf.DUMMYFUNCTION("""COMPUTED_VALUE"""),2.0)</f>
        <v>2</v>
      </c>
      <c r="F1142" s="1" t="str">
        <f>IFERROR(__xludf.DUMMYFUNCTION("""COMPUTED_VALUE"""),"Female")</f>
        <v>Female</v>
      </c>
      <c r="G1142" s="4" t="b">
        <f>IFERROR(__xludf.DUMMYFUNCTION("""COMPUTED_VALUE"""),TRUE)</f>
        <v>1</v>
      </c>
      <c r="H1142" s="4" t="b">
        <f>IFERROR(__xludf.DUMMYFUNCTION("""COMPUTED_VALUE"""),TRUE)</f>
        <v>1</v>
      </c>
      <c r="I1142" s="4">
        <f>IFERROR(__xludf.DUMMYFUNCTION("""COMPUTED_VALUE"""),0.2549440625)</f>
        <v>0.2549440625</v>
      </c>
      <c r="J1142" s="4">
        <f>IFERROR(__xludf.DUMMYFUNCTION("""COMPUTED_VALUE"""),45949.274693417334)</f>
        <v>45949.27469</v>
      </c>
      <c r="K1142" s="4" t="str">
        <f>IFERROR(__xludf.DUMMYFUNCTION("""COMPUTED_VALUE"""),"")</f>
        <v/>
      </c>
      <c r="L1142" s="4">
        <f>IFERROR(__xludf.DUMMYFUNCTION("""COMPUTED_VALUE"""),45949.28894253956)</f>
        <v>45949.28894</v>
      </c>
      <c r="M1142" s="1" t="str">
        <f>IFERROR(__xludf.DUMMYFUNCTION("""COMPUTED_VALUE"""),"RFID")</f>
        <v>RFID</v>
      </c>
      <c r="N1142" s="5">
        <f>IFERROR(__xludf.DUMMYFUNCTION("""COMPUTED_VALUE"""),0.00789974074074074)</f>
        <v>0.007899740741</v>
      </c>
      <c r="O1142" s="5" t="str">
        <f>IFERROR(__xludf.DUMMYFUNCTION("""COMPUTED_VALUE"""),"")</f>
        <v/>
      </c>
      <c r="P1142" s="5" t="str">
        <f>IFERROR(__xludf.DUMMYFUNCTION("""COMPUTED_VALUE"""),"")</f>
        <v/>
      </c>
      <c r="Q1142" s="5">
        <f>IFERROR(__xludf.DUMMYFUNCTION("""COMPUTED_VALUE"""),0.006799694444444444)</f>
        <v>0.006799694444</v>
      </c>
      <c r="R1142" s="4">
        <f>IFERROR(__xludf.DUMMYFUNCTION("""COMPUTED_VALUE"""),45949.03399847706)</f>
        <v>45949.034</v>
      </c>
      <c r="S1142" s="1" t="b">
        <f>IFERROR(__xludf.DUMMYFUNCTION("""COMPUTED_VALUE"""),TRUE)</f>
        <v>1</v>
      </c>
      <c r="T1142" s="1" t="b">
        <f>IFERROR(__xludf.DUMMYFUNCTION("""COMPUTED_VALUE"""),FALSE)</f>
        <v>0</v>
      </c>
      <c r="U1142" s="1" t="str">
        <f>IFERROR(__xludf.DUMMYFUNCTION("""COMPUTED_VALUE"""),"VALID")</f>
        <v>VALID</v>
      </c>
      <c r="V1142" s="1">
        <f>IFERROR(__xludf.DUMMYFUNCTION("""COMPUTED_VALUE"""),150.0)</f>
        <v>150</v>
      </c>
      <c r="W1142" s="1">
        <f>IFERROR(__xludf.DUMMYFUNCTION("""COMPUTED_VALUE"""),843.0)</f>
        <v>843</v>
      </c>
      <c r="X1142" s="1">
        <f>IFERROR(__xludf.DUMMYFUNCTION("""COMPUTED_VALUE"""),185.0)</f>
        <v>185</v>
      </c>
      <c r="Y1142" s="2"/>
      <c r="Z1142" s="2"/>
    </row>
    <row r="1143">
      <c r="A1143" s="1">
        <f>IFERROR(__xludf.DUMMYFUNCTION("""COMPUTED_VALUE"""),1142.0)</f>
        <v>1142</v>
      </c>
      <c r="B1143" s="1">
        <f>IFERROR(__xludf.DUMMYFUNCTION("""COMPUTED_VALUE"""),5181.0)</f>
        <v>5181</v>
      </c>
      <c r="C1143" s="2" t="str">
        <f>IFERROR(__xludf.DUMMYFUNCTION("""COMPUTED_VALUE"""),"Nunik Fitriyanti")</f>
        <v>Nunik Fitriyanti</v>
      </c>
      <c r="D1143" s="2" t="str">
        <f>IFERROR(__xludf.DUMMYFUNCTION("""COMPUTED_VALUE"""),"5KM OVERALL F")</f>
        <v>5KM OVERALL F</v>
      </c>
      <c r="E1143" s="1">
        <f>IFERROR(__xludf.DUMMYFUNCTION("""COMPUTED_VALUE"""),2.0)</f>
        <v>2</v>
      </c>
      <c r="F1143" s="1" t="str">
        <f>IFERROR(__xludf.DUMMYFUNCTION("""COMPUTED_VALUE"""),"Female")</f>
        <v>Female</v>
      </c>
      <c r="G1143" s="4" t="b">
        <f>IFERROR(__xludf.DUMMYFUNCTION("""COMPUTED_VALUE"""),TRUE)</f>
        <v>1</v>
      </c>
      <c r="H1143" s="4" t="b">
        <f>IFERROR(__xludf.DUMMYFUNCTION("""COMPUTED_VALUE"""),TRUE)</f>
        <v>1</v>
      </c>
      <c r="I1143" s="4">
        <f>IFERROR(__xludf.DUMMYFUNCTION("""COMPUTED_VALUE"""),0.2549440625)</f>
        <v>0.2549440625</v>
      </c>
      <c r="J1143" s="4">
        <f>IFERROR(__xludf.DUMMYFUNCTION("""COMPUTED_VALUE"""),45949.279783694255)</f>
        <v>45949.27978</v>
      </c>
      <c r="K1143" s="4" t="str">
        <f>IFERROR(__xludf.DUMMYFUNCTION("""COMPUTED_VALUE"""),"")</f>
        <v/>
      </c>
      <c r="L1143" s="4">
        <f>IFERROR(__xludf.DUMMYFUNCTION("""COMPUTED_VALUE"""),45949.2976439197)</f>
        <v>45949.29764</v>
      </c>
      <c r="M1143" s="1" t="str">
        <f>IFERROR(__xludf.DUMMYFUNCTION("""COMPUTED_VALUE"""),"RFID")</f>
        <v>RFID</v>
      </c>
      <c r="N1143" s="5">
        <f>IFERROR(__xludf.DUMMYFUNCTION("""COMPUTED_VALUE"""),0.009935851851851852)</f>
        <v>0.009935851852</v>
      </c>
      <c r="O1143" s="5" t="str">
        <f>IFERROR(__xludf.DUMMYFUNCTION("""COMPUTED_VALUE"""),"")</f>
        <v/>
      </c>
      <c r="P1143" s="5" t="str">
        <f>IFERROR(__xludf.DUMMYFUNCTION("""COMPUTED_VALUE"""),"")</f>
        <v/>
      </c>
      <c r="Q1143" s="5">
        <f>IFERROR(__xludf.DUMMYFUNCTION("""COMPUTED_VALUE"""),0.008539972222222223)</f>
        <v>0.008539972222</v>
      </c>
      <c r="R1143" s="4">
        <f>IFERROR(__xludf.DUMMYFUNCTION("""COMPUTED_VALUE"""),45949.0426998572)</f>
        <v>45949.0427</v>
      </c>
      <c r="S1143" s="1" t="b">
        <f>IFERROR(__xludf.DUMMYFUNCTION("""COMPUTED_VALUE"""),TRUE)</f>
        <v>1</v>
      </c>
      <c r="T1143" s="1" t="b">
        <f>IFERROR(__xludf.DUMMYFUNCTION("""COMPUTED_VALUE"""),FALSE)</f>
        <v>0</v>
      </c>
      <c r="U1143" s="1" t="str">
        <f>IFERROR(__xludf.DUMMYFUNCTION("""COMPUTED_VALUE"""),"VALID")</f>
        <v>VALID</v>
      </c>
      <c r="V1143" s="1">
        <f>IFERROR(__xludf.DUMMYFUNCTION("""COMPUTED_VALUE"""),368.0)</f>
        <v>368</v>
      </c>
      <c r="W1143" s="1">
        <f>IFERROR(__xludf.DUMMYFUNCTION("""COMPUTED_VALUE"""),1350.0)</f>
        <v>1350</v>
      </c>
      <c r="X1143" s="1">
        <f>IFERROR(__xludf.DUMMYFUNCTION("""COMPUTED_VALUE"""),447.0)</f>
        <v>447</v>
      </c>
      <c r="Y1143" s="2"/>
      <c r="Z1143" s="2"/>
    </row>
    <row r="1144">
      <c r="A1144" s="1">
        <f>IFERROR(__xludf.DUMMYFUNCTION("""COMPUTED_VALUE"""),1143.0)</f>
        <v>1143</v>
      </c>
      <c r="B1144" s="1">
        <f>IFERROR(__xludf.DUMMYFUNCTION("""COMPUTED_VALUE"""),5182.0)</f>
        <v>5182</v>
      </c>
      <c r="C1144" s="2" t="str">
        <f>IFERROR(__xludf.DUMMYFUNCTION("""COMPUTED_VALUE"""),"Annisa")</f>
        <v>Annisa</v>
      </c>
      <c r="D1144" s="2" t="str">
        <f>IFERROR(__xludf.DUMMYFUNCTION("""COMPUTED_VALUE"""),"5KM OVERALL F")</f>
        <v>5KM OVERALL F</v>
      </c>
      <c r="E1144" s="1">
        <f>IFERROR(__xludf.DUMMYFUNCTION("""COMPUTED_VALUE"""),2.0)</f>
        <v>2</v>
      </c>
      <c r="F1144" s="1" t="str">
        <f>IFERROR(__xludf.DUMMYFUNCTION("""COMPUTED_VALUE"""),"Female")</f>
        <v>Female</v>
      </c>
      <c r="G1144" s="4" t="b">
        <f>IFERROR(__xludf.DUMMYFUNCTION("""COMPUTED_VALUE"""),TRUE)</f>
        <v>1</v>
      </c>
      <c r="H1144" s="4" t="b">
        <f>IFERROR(__xludf.DUMMYFUNCTION("""COMPUTED_VALUE"""),FALSE)</f>
        <v>0</v>
      </c>
      <c r="I1144" s="4">
        <f>IFERROR(__xludf.DUMMYFUNCTION("""COMPUTED_VALUE"""),0.2549440625)</f>
        <v>0.2549440625</v>
      </c>
      <c r="J1144" s="4">
        <f>IFERROR(__xludf.DUMMYFUNCTION("""COMPUTED_VALUE"""),45949.28250932424)</f>
        <v>45949.28251</v>
      </c>
      <c r="K1144" s="4" t="str">
        <f>IFERROR(__xludf.DUMMYFUNCTION("""COMPUTED_VALUE"""),"")</f>
        <v/>
      </c>
      <c r="L1144" s="4">
        <f>IFERROR(__xludf.DUMMYFUNCTION("""COMPUTED_VALUE"""),45949.302905035554)</f>
        <v>45949.30291</v>
      </c>
      <c r="M1144" s="1" t="str">
        <f>IFERROR(__xludf.DUMMYFUNCTION("""COMPUTED_VALUE"""),"RFID")</f>
        <v>RFID</v>
      </c>
      <c r="N1144" s="5">
        <f>IFERROR(__xludf.DUMMYFUNCTION("""COMPUTED_VALUE"""),0.011026106481481482)</f>
        <v>0.01102610648</v>
      </c>
      <c r="O1144" s="5" t="str">
        <f>IFERROR(__xludf.DUMMYFUNCTION("""COMPUTED_VALUE"""),"")</f>
        <v/>
      </c>
      <c r="P1144" s="5" t="str">
        <f>IFERROR(__xludf.DUMMYFUNCTION("""COMPUTED_VALUE"""),"")</f>
        <v/>
      </c>
      <c r="Q1144" s="5">
        <f>IFERROR(__xludf.DUMMYFUNCTION("""COMPUTED_VALUE"""),0.009592194444444445)</f>
        <v>0.009592194444</v>
      </c>
      <c r="R1144" s="4">
        <f>IFERROR(__xludf.DUMMYFUNCTION("""COMPUTED_VALUE"""),45949.047960973054)</f>
        <v>45949.04796</v>
      </c>
      <c r="S1144" s="1" t="b">
        <f>IFERROR(__xludf.DUMMYFUNCTION("""COMPUTED_VALUE"""),TRUE)</f>
        <v>1</v>
      </c>
      <c r="T1144" s="1" t="b">
        <f>IFERROR(__xludf.DUMMYFUNCTION("""COMPUTED_VALUE"""),FALSE)</f>
        <v>0</v>
      </c>
      <c r="U1144" s="1" t="str">
        <f>IFERROR(__xludf.DUMMYFUNCTION("""COMPUTED_VALUE"""),"VALID")</f>
        <v>VALID</v>
      </c>
      <c r="V1144" s="1">
        <f>IFERROR(__xludf.DUMMYFUNCTION("""COMPUTED_VALUE"""),474.0)</f>
        <v>474</v>
      </c>
      <c r="W1144" s="1">
        <f>IFERROR(__xludf.DUMMYFUNCTION("""COMPUTED_VALUE"""),1542.0)</f>
        <v>1542</v>
      </c>
      <c r="X1144" s="1">
        <f>IFERROR(__xludf.DUMMYFUNCTION("""COMPUTED_VALUE"""),577.0)</f>
        <v>577</v>
      </c>
      <c r="Y1144" s="2"/>
      <c r="Z1144" s="2"/>
    </row>
    <row r="1145">
      <c r="A1145" s="1">
        <f>IFERROR(__xludf.DUMMYFUNCTION("""COMPUTED_VALUE"""),1144.0)</f>
        <v>1144</v>
      </c>
      <c r="B1145" s="1">
        <f>IFERROR(__xludf.DUMMYFUNCTION("""COMPUTED_VALUE"""),5183.0)</f>
        <v>5183</v>
      </c>
      <c r="C1145" s="2" t="str">
        <f>IFERROR(__xludf.DUMMYFUNCTION("""COMPUTED_VALUE"""),"Mega Winarti")</f>
        <v>Mega Winarti</v>
      </c>
      <c r="D1145" s="2" t="str">
        <f>IFERROR(__xludf.DUMMYFUNCTION("""COMPUTED_VALUE"""),"5KM OVERALL F")</f>
        <v>5KM OVERALL F</v>
      </c>
      <c r="E1145" s="1">
        <f>IFERROR(__xludf.DUMMYFUNCTION("""COMPUTED_VALUE"""),2.0)</f>
        <v>2</v>
      </c>
      <c r="F1145" s="1" t="str">
        <f>IFERROR(__xludf.DUMMYFUNCTION("""COMPUTED_VALUE"""),"Female")</f>
        <v>Female</v>
      </c>
      <c r="G1145" s="4" t="b">
        <f>IFERROR(__xludf.DUMMYFUNCTION("""COMPUTED_VALUE"""),TRUE)</f>
        <v>1</v>
      </c>
      <c r="H1145" s="4" t="b">
        <f>IFERROR(__xludf.DUMMYFUNCTION("""COMPUTED_VALUE"""),TRUE)</f>
        <v>1</v>
      </c>
      <c r="I1145" s="4">
        <f>IFERROR(__xludf.DUMMYFUNCTION("""COMPUTED_VALUE"""),0.2549440625)</f>
        <v>0.2549440625</v>
      </c>
      <c r="J1145" s="4">
        <f>IFERROR(__xludf.DUMMYFUNCTION("""COMPUTED_VALUE"""),45949.28589821421)</f>
        <v>45949.2859</v>
      </c>
      <c r="K1145" s="4" t="str">
        <f>IFERROR(__xludf.DUMMYFUNCTION("""COMPUTED_VALUE"""),"")</f>
        <v/>
      </c>
      <c r="L1145" s="4">
        <f>IFERROR(__xludf.DUMMYFUNCTION("""COMPUTED_VALUE"""),45949.30517860356)</f>
        <v>45949.30518</v>
      </c>
      <c r="M1145" s="1" t="str">
        <f>IFERROR(__xludf.DUMMYFUNCTION("""COMPUTED_VALUE"""),"RFID")</f>
        <v>RFID</v>
      </c>
      <c r="N1145" s="5">
        <f>IFERROR(__xludf.DUMMYFUNCTION("""COMPUTED_VALUE"""),0.012381662037037037)</f>
        <v>0.01238166204</v>
      </c>
      <c r="O1145" s="5" t="str">
        <f>IFERROR(__xludf.DUMMYFUNCTION("""COMPUTED_VALUE"""),"")</f>
        <v/>
      </c>
      <c r="P1145" s="5" t="str">
        <f>IFERROR(__xludf.DUMMYFUNCTION("""COMPUTED_VALUE"""),"")</f>
        <v/>
      </c>
      <c r="Q1145" s="5">
        <f>IFERROR(__xludf.DUMMYFUNCTION("""COMPUTED_VALUE"""),0.010046907407407407)</f>
        <v>0.01004690741</v>
      </c>
      <c r="R1145" s="4">
        <f>IFERROR(__xludf.DUMMYFUNCTION("""COMPUTED_VALUE"""),45949.05023454106)</f>
        <v>45949.05023</v>
      </c>
      <c r="S1145" s="1" t="b">
        <f>IFERROR(__xludf.DUMMYFUNCTION("""COMPUTED_VALUE"""),TRUE)</f>
        <v>1</v>
      </c>
      <c r="T1145" s="1" t="b">
        <f>IFERROR(__xludf.DUMMYFUNCTION("""COMPUTED_VALUE"""),FALSE)</f>
        <v>0</v>
      </c>
      <c r="U1145" s="1" t="str">
        <f>IFERROR(__xludf.DUMMYFUNCTION("""COMPUTED_VALUE"""),"VALID")</f>
        <v>VALID</v>
      </c>
      <c r="V1145" s="1">
        <f>IFERROR(__xludf.DUMMYFUNCTION("""COMPUTED_VALUE"""),488.0)</f>
        <v>488</v>
      </c>
      <c r="W1145" s="1">
        <f>IFERROR(__xludf.DUMMYFUNCTION("""COMPUTED_VALUE"""),1576.0)</f>
        <v>1576</v>
      </c>
      <c r="X1145" s="1">
        <f>IFERROR(__xludf.DUMMYFUNCTION("""COMPUTED_VALUE"""),597.0)</f>
        <v>597</v>
      </c>
      <c r="Y1145" s="2"/>
      <c r="Z1145" s="2"/>
    </row>
    <row r="1146">
      <c r="A1146" s="1">
        <f>IFERROR(__xludf.DUMMYFUNCTION("""COMPUTED_VALUE"""),1145.0)</f>
        <v>1145</v>
      </c>
      <c r="B1146" s="1">
        <f>IFERROR(__xludf.DUMMYFUNCTION("""COMPUTED_VALUE"""),5186.0)</f>
        <v>5186</v>
      </c>
      <c r="C1146" s="2" t="str">
        <f>IFERROR(__xludf.DUMMYFUNCTION("""COMPUTED_VALUE"""),"Amelia Safitri")</f>
        <v>Amelia Safitri</v>
      </c>
      <c r="D1146" s="2" t="str">
        <f>IFERROR(__xludf.DUMMYFUNCTION("""COMPUTED_VALUE"""),"5KM OVERALL F")</f>
        <v>5KM OVERALL F</v>
      </c>
      <c r="E1146" s="1">
        <f>IFERROR(__xludf.DUMMYFUNCTION("""COMPUTED_VALUE"""),2.0)</f>
        <v>2</v>
      </c>
      <c r="F1146" s="1" t="str">
        <f>IFERROR(__xludf.DUMMYFUNCTION("""COMPUTED_VALUE"""),"Female")</f>
        <v>Female</v>
      </c>
      <c r="G1146" s="4" t="b">
        <f>IFERROR(__xludf.DUMMYFUNCTION("""COMPUTED_VALUE"""),TRUE)</f>
        <v>1</v>
      </c>
      <c r="H1146" s="4" t="b">
        <f>IFERROR(__xludf.DUMMYFUNCTION("""COMPUTED_VALUE"""),FALSE)</f>
        <v>0</v>
      </c>
      <c r="I1146" s="4">
        <f>IFERROR(__xludf.DUMMYFUNCTION("""COMPUTED_VALUE"""),0.2549440625)</f>
        <v>0.2549440625</v>
      </c>
      <c r="J1146" s="4">
        <f>IFERROR(__xludf.DUMMYFUNCTION("""COMPUTED_VALUE"""),45949.27221768398)</f>
        <v>45949.27222</v>
      </c>
      <c r="K1146" s="4" t="str">
        <f>IFERROR(__xludf.DUMMYFUNCTION("""COMPUTED_VALUE"""),"")</f>
        <v/>
      </c>
      <c r="L1146" s="4">
        <f>IFERROR(__xludf.DUMMYFUNCTION("""COMPUTED_VALUE"""),45949.2851542888)</f>
        <v>45949.28515</v>
      </c>
      <c r="M1146" s="1" t="str">
        <f>IFERROR(__xludf.DUMMYFUNCTION("""COMPUTED_VALUE"""),"RFID")</f>
        <v>RFID</v>
      </c>
      <c r="N1146" s="5">
        <f>IFERROR(__xludf.DUMMYFUNCTION("""COMPUTED_VALUE"""),0.006909449074074074)</f>
        <v>0.006909449074</v>
      </c>
      <c r="O1146" s="5" t="str">
        <f>IFERROR(__xludf.DUMMYFUNCTION("""COMPUTED_VALUE"""),"")</f>
        <v/>
      </c>
      <c r="P1146" s="5" t="str">
        <f>IFERROR(__xludf.DUMMYFUNCTION("""COMPUTED_VALUE"""),"")</f>
        <v/>
      </c>
      <c r="Q1146" s="5">
        <f>IFERROR(__xludf.DUMMYFUNCTION("""COMPUTED_VALUE"""),0.006042046296296297)</f>
        <v>0.006042046296</v>
      </c>
      <c r="R1146" s="4">
        <f>IFERROR(__xludf.DUMMYFUNCTION("""COMPUTED_VALUE"""),45949.0302102263)</f>
        <v>45949.03021</v>
      </c>
      <c r="S1146" s="1" t="b">
        <f>IFERROR(__xludf.DUMMYFUNCTION("""COMPUTED_VALUE"""),TRUE)</f>
        <v>1</v>
      </c>
      <c r="T1146" s="1" t="b">
        <f>IFERROR(__xludf.DUMMYFUNCTION("""COMPUTED_VALUE"""),FALSE)</f>
        <v>0</v>
      </c>
      <c r="U1146" s="1" t="str">
        <f>IFERROR(__xludf.DUMMYFUNCTION("""COMPUTED_VALUE"""),"VALID")</f>
        <v>VALID</v>
      </c>
      <c r="V1146" s="1">
        <f>IFERROR(__xludf.DUMMYFUNCTION("""COMPUTED_VALUE"""),76.0)</f>
        <v>76</v>
      </c>
      <c r="W1146" s="1">
        <f>IFERROR(__xludf.DUMMYFUNCTION("""COMPUTED_VALUE"""),581.0)</f>
        <v>581</v>
      </c>
      <c r="X1146" s="1">
        <f>IFERROR(__xludf.DUMMYFUNCTION("""COMPUTED_VALUE"""),99.0)</f>
        <v>99</v>
      </c>
      <c r="Y1146" s="2"/>
      <c r="Z1146" s="2"/>
    </row>
    <row r="1147">
      <c r="A1147" s="1">
        <f>IFERROR(__xludf.DUMMYFUNCTION("""COMPUTED_VALUE"""),1146.0)</f>
        <v>1146</v>
      </c>
      <c r="B1147" s="1">
        <f>IFERROR(__xludf.DUMMYFUNCTION("""COMPUTED_VALUE"""),5187.0)</f>
        <v>5187</v>
      </c>
      <c r="C1147" s="2" t="str">
        <f>IFERROR(__xludf.DUMMYFUNCTION("""COMPUTED_VALUE"""),"gina")</f>
        <v>gina</v>
      </c>
      <c r="D1147" s="2" t="str">
        <f>IFERROR(__xludf.DUMMYFUNCTION("""COMPUTED_VALUE"""),"5KM OVERALL F")</f>
        <v>5KM OVERALL F</v>
      </c>
      <c r="E1147" s="1">
        <f>IFERROR(__xludf.DUMMYFUNCTION("""COMPUTED_VALUE"""),2.0)</f>
        <v>2</v>
      </c>
      <c r="F1147" s="1" t="str">
        <f>IFERROR(__xludf.DUMMYFUNCTION("""COMPUTED_VALUE"""),"Female")</f>
        <v>Female</v>
      </c>
      <c r="G1147" s="4" t="b">
        <f>IFERROR(__xludf.DUMMYFUNCTION("""COMPUTED_VALUE"""),TRUE)</f>
        <v>1</v>
      </c>
      <c r="H1147" s="4" t="b">
        <f>IFERROR(__xludf.DUMMYFUNCTION("""COMPUTED_VALUE"""),TRUE)</f>
        <v>1</v>
      </c>
      <c r="I1147" s="4">
        <f>IFERROR(__xludf.DUMMYFUNCTION("""COMPUTED_VALUE"""),0.2549440625)</f>
        <v>0.2549440625</v>
      </c>
      <c r="J1147" s="4">
        <f>IFERROR(__xludf.DUMMYFUNCTION("""COMPUTED_VALUE"""),45949.278297581935)</f>
        <v>45949.2783</v>
      </c>
      <c r="K1147" s="4" t="str">
        <f>IFERROR(__xludf.DUMMYFUNCTION("""COMPUTED_VALUE"""),"")</f>
        <v/>
      </c>
      <c r="L1147" s="4">
        <f>IFERROR(__xludf.DUMMYFUNCTION("""COMPUTED_VALUE"""),45949.293831417046)</f>
        <v>45949.29383</v>
      </c>
      <c r="M1147" s="1" t="str">
        <f>IFERROR(__xludf.DUMMYFUNCTION("""COMPUTED_VALUE"""),"RFID")</f>
        <v>RFID</v>
      </c>
      <c r="N1147" s="5">
        <f>IFERROR(__xludf.DUMMYFUNCTION("""COMPUTED_VALUE"""),0.009341407407407406)</f>
        <v>0.009341407407</v>
      </c>
      <c r="O1147" s="5" t="str">
        <f>IFERROR(__xludf.DUMMYFUNCTION("""COMPUTED_VALUE"""),"")</f>
        <v/>
      </c>
      <c r="P1147" s="5" t="str">
        <f>IFERROR(__xludf.DUMMYFUNCTION("""COMPUTED_VALUE"""),"")</f>
        <v/>
      </c>
      <c r="Q1147" s="5">
        <f>IFERROR(__xludf.DUMMYFUNCTION("""COMPUTED_VALUE"""),0.007777469907407408)</f>
        <v>0.007777469907</v>
      </c>
      <c r="R1147" s="4">
        <f>IFERROR(__xludf.DUMMYFUNCTION("""COMPUTED_VALUE"""),45949.038887354545)</f>
        <v>45949.03889</v>
      </c>
      <c r="S1147" s="1" t="b">
        <f>IFERROR(__xludf.DUMMYFUNCTION("""COMPUTED_VALUE"""),TRUE)</f>
        <v>1</v>
      </c>
      <c r="T1147" s="1" t="b">
        <f>IFERROR(__xludf.DUMMYFUNCTION("""COMPUTED_VALUE"""),FALSE)</f>
        <v>0</v>
      </c>
      <c r="U1147" s="1" t="str">
        <f>IFERROR(__xludf.DUMMYFUNCTION("""COMPUTED_VALUE"""),"VALID")</f>
        <v>VALID</v>
      </c>
      <c r="V1147" s="1">
        <f>IFERROR(__xludf.DUMMYFUNCTION("""COMPUTED_VALUE"""),282.0)</f>
        <v>282</v>
      </c>
      <c r="W1147" s="1">
        <f>IFERROR(__xludf.DUMMYFUNCTION("""COMPUTED_VALUE"""),1163.0)</f>
        <v>1163</v>
      </c>
      <c r="X1147" s="1">
        <f>IFERROR(__xludf.DUMMYFUNCTION("""COMPUTED_VALUE"""),341.0)</f>
        <v>341</v>
      </c>
      <c r="Y1147" s="2"/>
      <c r="Z1147" s="2"/>
    </row>
    <row r="1148">
      <c r="A1148" s="1">
        <f>IFERROR(__xludf.DUMMYFUNCTION("""COMPUTED_VALUE"""),1147.0)</f>
        <v>1147</v>
      </c>
      <c r="B1148" s="1">
        <f>IFERROR(__xludf.DUMMYFUNCTION("""COMPUTED_VALUE"""),5189.0)</f>
        <v>5189</v>
      </c>
      <c r="C1148" s="2" t="str">
        <f>IFERROR(__xludf.DUMMYFUNCTION("""COMPUTED_VALUE"""),"Angie Afreini Hasyim")</f>
        <v>Angie Afreini Hasyim</v>
      </c>
      <c r="D1148" s="2" t="str">
        <f>IFERROR(__xludf.DUMMYFUNCTION("""COMPUTED_VALUE"""),"5KM OVERALL F")</f>
        <v>5KM OVERALL F</v>
      </c>
      <c r="E1148" s="1">
        <f>IFERROR(__xludf.DUMMYFUNCTION("""COMPUTED_VALUE"""),2.0)</f>
        <v>2</v>
      </c>
      <c r="F1148" s="1" t="str">
        <f>IFERROR(__xludf.DUMMYFUNCTION("""COMPUTED_VALUE"""),"Female")</f>
        <v>Female</v>
      </c>
      <c r="G1148" s="4" t="b">
        <f>IFERROR(__xludf.DUMMYFUNCTION("""COMPUTED_VALUE"""),TRUE)</f>
        <v>1</v>
      </c>
      <c r="H1148" s="4" t="b">
        <f>IFERROR(__xludf.DUMMYFUNCTION("""COMPUTED_VALUE"""),TRUE)</f>
        <v>1</v>
      </c>
      <c r="I1148" s="4">
        <f>IFERROR(__xludf.DUMMYFUNCTION("""COMPUTED_VALUE"""),0.2549440625)</f>
        <v>0.2549440625</v>
      </c>
      <c r="J1148" s="4">
        <f>IFERROR(__xludf.DUMMYFUNCTION("""COMPUTED_VALUE"""),45949.27668647258)</f>
        <v>45949.27669</v>
      </c>
      <c r="K1148" s="4" t="str">
        <f>IFERROR(__xludf.DUMMYFUNCTION("""COMPUTED_VALUE"""),"")</f>
        <v/>
      </c>
      <c r="L1148" s="4">
        <f>IFERROR(__xludf.DUMMYFUNCTION("""COMPUTED_VALUE"""),45949.29308839041)</f>
        <v>45949.29309</v>
      </c>
      <c r="M1148" s="1" t="str">
        <f>IFERROR(__xludf.DUMMYFUNCTION("""COMPUTED_VALUE"""),"RFID")</f>
        <v>RFID</v>
      </c>
      <c r="N1148" s="5">
        <f>IFERROR(__xludf.DUMMYFUNCTION("""COMPUTED_VALUE"""),0.008696962962962964)</f>
        <v>0.008696962963</v>
      </c>
      <c r="O1148" s="5" t="str">
        <f>IFERROR(__xludf.DUMMYFUNCTION("""COMPUTED_VALUE"""),"")</f>
        <v/>
      </c>
      <c r="P1148" s="5" t="str">
        <f>IFERROR(__xludf.DUMMYFUNCTION("""COMPUTED_VALUE"""),"")</f>
        <v/>
      </c>
      <c r="Q1148" s="5">
        <f>IFERROR(__xludf.DUMMYFUNCTION("""COMPUTED_VALUE"""),0.007628865740740741)</f>
        <v>0.007628865741</v>
      </c>
      <c r="R1148" s="4">
        <f>IFERROR(__xludf.DUMMYFUNCTION("""COMPUTED_VALUE"""),45949.03814432791)</f>
        <v>45949.03814</v>
      </c>
      <c r="S1148" s="1" t="b">
        <f>IFERROR(__xludf.DUMMYFUNCTION("""COMPUTED_VALUE"""),TRUE)</f>
        <v>1</v>
      </c>
      <c r="T1148" s="1" t="b">
        <f>IFERROR(__xludf.DUMMYFUNCTION("""COMPUTED_VALUE"""),FALSE)</f>
        <v>0</v>
      </c>
      <c r="U1148" s="1" t="str">
        <f>IFERROR(__xludf.DUMMYFUNCTION("""COMPUTED_VALUE"""),"VALID")</f>
        <v>VALID</v>
      </c>
      <c r="V1148" s="1">
        <f>IFERROR(__xludf.DUMMYFUNCTION("""COMPUTED_VALUE"""),254.0)</f>
        <v>254</v>
      </c>
      <c r="W1148" s="1">
        <f>IFERROR(__xludf.DUMMYFUNCTION("""COMPUTED_VALUE"""),1109.0)</f>
        <v>1109</v>
      </c>
      <c r="X1148" s="1">
        <f>IFERROR(__xludf.DUMMYFUNCTION("""COMPUTED_VALUE"""),311.0)</f>
        <v>311</v>
      </c>
      <c r="Y1148" s="2"/>
      <c r="Z1148" s="2"/>
    </row>
    <row r="1149">
      <c r="A1149" s="1">
        <f>IFERROR(__xludf.DUMMYFUNCTION("""COMPUTED_VALUE"""),1148.0)</f>
        <v>1148</v>
      </c>
      <c r="B1149" s="1">
        <f>IFERROR(__xludf.DUMMYFUNCTION("""COMPUTED_VALUE"""),5190.0)</f>
        <v>5190</v>
      </c>
      <c r="C1149" s="2" t="str">
        <f>IFERROR(__xludf.DUMMYFUNCTION("""COMPUTED_VALUE"""),"Dahlia")</f>
        <v>Dahlia</v>
      </c>
      <c r="D1149" s="2" t="str">
        <f>IFERROR(__xludf.DUMMYFUNCTION("""COMPUTED_VALUE"""),"5KM OVERALL F")</f>
        <v>5KM OVERALL F</v>
      </c>
      <c r="E1149" s="1">
        <f>IFERROR(__xludf.DUMMYFUNCTION("""COMPUTED_VALUE"""),2.0)</f>
        <v>2</v>
      </c>
      <c r="F1149" s="1" t="str">
        <f>IFERROR(__xludf.DUMMYFUNCTION("""COMPUTED_VALUE"""),"Female")</f>
        <v>Female</v>
      </c>
      <c r="G1149" s="4" t="b">
        <f>IFERROR(__xludf.DUMMYFUNCTION("""COMPUTED_VALUE"""),TRUE)</f>
        <v>1</v>
      </c>
      <c r="H1149" s="4" t="b">
        <f>IFERROR(__xludf.DUMMYFUNCTION("""COMPUTED_VALUE"""),TRUE)</f>
        <v>1</v>
      </c>
      <c r="I1149" s="4">
        <f>IFERROR(__xludf.DUMMYFUNCTION("""COMPUTED_VALUE"""),0.2549440625)</f>
        <v>0.2549440625</v>
      </c>
      <c r="J1149" s="4">
        <f>IFERROR(__xludf.DUMMYFUNCTION("""COMPUTED_VALUE"""),45949.27756144723)</f>
        <v>45949.27756</v>
      </c>
      <c r="K1149" s="4" t="str">
        <f>IFERROR(__xludf.DUMMYFUNCTION("""COMPUTED_VALUE"""),"")</f>
        <v/>
      </c>
      <c r="L1149" s="4">
        <f>IFERROR(__xludf.DUMMYFUNCTION("""COMPUTED_VALUE"""),45949.29431060819)</f>
        <v>45949.29431</v>
      </c>
      <c r="M1149" s="1" t="str">
        <f>IFERROR(__xludf.DUMMYFUNCTION("""COMPUTED_VALUE"""),"RFID")</f>
        <v>RFID</v>
      </c>
      <c r="N1149" s="5">
        <f>IFERROR(__xludf.DUMMYFUNCTION("""COMPUTED_VALUE"""),0.009046953703703705)</f>
        <v>0.009046953704</v>
      </c>
      <c r="O1149" s="5" t="str">
        <f>IFERROR(__xludf.DUMMYFUNCTION("""COMPUTED_VALUE"""),"")</f>
        <v/>
      </c>
      <c r="P1149" s="5" t="str">
        <f>IFERROR(__xludf.DUMMYFUNCTION("""COMPUTED_VALUE"""),"")</f>
        <v/>
      </c>
      <c r="Q1149" s="5">
        <f>IFERROR(__xludf.DUMMYFUNCTION("""COMPUTED_VALUE"""),0.007873310185185185)</f>
        <v>0.007873310185</v>
      </c>
      <c r="R1149" s="4">
        <f>IFERROR(__xludf.DUMMYFUNCTION("""COMPUTED_VALUE"""),45949.03936654569)</f>
        <v>45949.03937</v>
      </c>
      <c r="S1149" s="1" t="b">
        <f>IFERROR(__xludf.DUMMYFUNCTION("""COMPUTED_VALUE"""),TRUE)</f>
        <v>1</v>
      </c>
      <c r="T1149" s="1" t="b">
        <f>IFERROR(__xludf.DUMMYFUNCTION("""COMPUTED_VALUE"""),FALSE)</f>
        <v>0</v>
      </c>
      <c r="U1149" s="1" t="str">
        <f>IFERROR(__xludf.DUMMYFUNCTION("""COMPUTED_VALUE"""),"VALID")</f>
        <v>VALID</v>
      </c>
      <c r="V1149" s="1">
        <f>IFERROR(__xludf.DUMMYFUNCTION("""COMPUTED_VALUE"""),300.0)</f>
        <v>300</v>
      </c>
      <c r="W1149" s="1">
        <f>IFERROR(__xludf.DUMMYFUNCTION("""COMPUTED_VALUE"""),1201.0)</f>
        <v>1201</v>
      </c>
      <c r="X1149" s="1">
        <f>IFERROR(__xludf.DUMMYFUNCTION("""COMPUTED_VALUE"""),363.0)</f>
        <v>363</v>
      </c>
      <c r="Y1149" s="2"/>
      <c r="Z1149" s="2"/>
    </row>
    <row r="1150">
      <c r="A1150" s="1">
        <f>IFERROR(__xludf.DUMMYFUNCTION("""COMPUTED_VALUE"""),1149.0)</f>
        <v>1149</v>
      </c>
      <c r="B1150" s="1">
        <f>IFERROR(__xludf.DUMMYFUNCTION("""COMPUTED_VALUE"""),5191.0)</f>
        <v>5191</v>
      </c>
      <c r="C1150" s="2" t="str">
        <f>IFERROR(__xludf.DUMMYFUNCTION("""COMPUTED_VALUE"""),"Caca")</f>
        <v>Caca</v>
      </c>
      <c r="D1150" s="2" t="str">
        <f>IFERROR(__xludf.DUMMYFUNCTION("""COMPUTED_VALUE"""),"5KM OVERALL F")</f>
        <v>5KM OVERALL F</v>
      </c>
      <c r="E1150" s="1">
        <f>IFERROR(__xludf.DUMMYFUNCTION("""COMPUTED_VALUE"""),2.0)</f>
        <v>2</v>
      </c>
      <c r="F1150" s="1" t="str">
        <f>IFERROR(__xludf.DUMMYFUNCTION("""COMPUTED_VALUE"""),"Female")</f>
        <v>Female</v>
      </c>
      <c r="G1150" s="4" t="b">
        <f>IFERROR(__xludf.DUMMYFUNCTION("""COMPUTED_VALUE"""),TRUE)</f>
        <v>1</v>
      </c>
      <c r="H1150" s="4" t="b">
        <f>IFERROR(__xludf.DUMMYFUNCTION("""COMPUTED_VALUE"""),FALSE)</f>
        <v>0</v>
      </c>
      <c r="I1150" s="4">
        <f>IFERROR(__xludf.DUMMYFUNCTION("""COMPUTED_VALUE"""),0.2549440625)</f>
        <v>0.2549440625</v>
      </c>
      <c r="J1150" s="4">
        <f>IFERROR(__xludf.DUMMYFUNCTION("""COMPUTED_VALUE"""),45949.27146107387)</f>
        <v>45949.27146</v>
      </c>
      <c r="K1150" s="4" t="str">
        <f>IFERROR(__xludf.DUMMYFUNCTION("""COMPUTED_VALUE"""),"")</f>
        <v/>
      </c>
      <c r="L1150" s="4">
        <f>IFERROR(__xludf.DUMMYFUNCTION("""COMPUTED_VALUE"""),45949.28426895875)</f>
        <v>45949.28427</v>
      </c>
      <c r="M1150" s="1" t="str">
        <f>IFERROR(__xludf.DUMMYFUNCTION("""COMPUTED_VALUE"""),"RFID")</f>
        <v>RFID</v>
      </c>
      <c r="N1150" s="5">
        <f>IFERROR(__xludf.DUMMYFUNCTION("""COMPUTED_VALUE"""),0.006606805555555555)</f>
        <v>0.006606805556</v>
      </c>
      <c r="O1150" s="5" t="str">
        <f>IFERROR(__xludf.DUMMYFUNCTION("""COMPUTED_VALUE"""),"")</f>
        <v/>
      </c>
      <c r="P1150" s="5" t="str">
        <f>IFERROR(__xludf.DUMMYFUNCTION("""COMPUTED_VALUE"""),"")</f>
        <v/>
      </c>
      <c r="Q1150" s="5">
        <f>IFERROR(__xludf.DUMMYFUNCTION("""COMPUTED_VALUE"""),0.005864979166666666)</f>
        <v>0.005864979167</v>
      </c>
      <c r="R1150" s="4">
        <f>IFERROR(__xludf.DUMMYFUNCTION("""COMPUTED_VALUE"""),45949.02932489625)</f>
        <v>45949.02932</v>
      </c>
      <c r="S1150" s="1" t="b">
        <f>IFERROR(__xludf.DUMMYFUNCTION("""COMPUTED_VALUE"""),TRUE)</f>
        <v>1</v>
      </c>
      <c r="T1150" s="1" t="b">
        <f>IFERROR(__xludf.DUMMYFUNCTION("""COMPUTED_VALUE"""),FALSE)</f>
        <v>0</v>
      </c>
      <c r="U1150" s="1" t="str">
        <f>IFERROR(__xludf.DUMMYFUNCTION("""COMPUTED_VALUE"""),"VALID")</f>
        <v>VALID</v>
      </c>
      <c r="V1150" s="1">
        <f>IFERROR(__xludf.DUMMYFUNCTION("""COMPUTED_VALUE"""),56.0)</f>
        <v>56</v>
      </c>
      <c r="W1150" s="1">
        <f>IFERROR(__xludf.DUMMYFUNCTION("""COMPUTED_VALUE"""),520.0)</f>
        <v>520</v>
      </c>
      <c r="X1150" s="1">
        <f>IFERROR(__xludf.DUMMYFUNCTION("""COMPUTED_VALUE"""),78.0)</f>
        <v>78</v>
      </c>
      <c r="Y1150" s="2"/>
      <c r="Z1150" s="2"/>
    </row>
    <row r="1151">
      <c r="A1151" s="1">
        <f>IFERROR(__xludf.DUMMYFUNCTION("""COMPUTED_VALUE"""),1150.0)</f>
        <v>1150</v>
      </c>
      <c r="B1151" s="1">
        <f>IFERROR(__xludf.DUMMYFUNCTION("""COMPUTED_VALUE"""),5196.0)</f>
        <v>5196</v>
      </c>
      <c r="C1151" s="2" t="str">
        <f>IFERROR(__xludf.DUMMYFUNCTION("""COMPUTED_VALUE"""),"Ika Widiya Apriliani")</f>
        <v>Ika Widiya Apriliani</v>
      </c>
      <c r="D1151" s="2" t="str">
        <f>IFERROR(__xludf.DUMMYFUNCTION("""COMPUTED_VALUE"""),"5KM OVERALL F")</f>
        <v>5KM OVERALL F</v>
      </c>
      <c r="E1151" s="1">
        <f>IFERROR(__xludf.DUMMYFUNCTION("""COMPUTED_VALUE"""),2.0)</f>
        <v>2</v>
      </c>
      <c r="F1151" s="1" t="str">
        <f>IFERROR(__xludf.DUMMYFUNCTION("""COMPUTED_VALUE"""),"Female")</f>
        <v>Female</v>
      </c>
      <c r="G1151" s="4" t="b">
        <f>IFERROR(__xludf.DUMMYFUNCTION("""COMPUTED_VALUE"""),TRUE)</f>
        <v>1</v>
      </c>
      <c r="H1151" s="4" t="b">
        <f>IFERROR(__xludf.DUMMYFUNCTION("""COMPUTED_VALUE"""),TRUE)</f>
        <v>1</v>
      </c>
      <c r="I1151" s="4">
        <f>IFERROR(__xludf.DUMMYFUNCTION("""COMPUTED_VALUE"""),0.2549440625)</f>
        <v>0.2549440625</v>
      </c>
      <c r="J1151" s="4">
        <f>IFERROR(__xludf.DUMMYFUNCTION("""COMPUTED_VALUE"""),45949.27838435129)</f>
        <v>45949.27838</v>
      </c>
      <c r="K1151" s="4" t="str">
        <f>IFERROR(__xludf.DUMMYFUNCTION("""COMPUTED_VALUE"""),"")</f>
        <v/>
      </c>
      <c r="L1151" s="4">
        <f>IFERROR(__xludf.DUMMYFUNCTION("""COMPUTED_VALUE"""),45949.29474115124)</f>
        <v>45949.29474</v>
      </c>
      <c r="M1151" s="1" t="str">
        <f>IFERROR(__xludf.DUMMYFUNCTION("""COMPUTED_VALUE"""),"RFID")</f>
        <v>RFID</v>
      </c>
      <c r="N1151" s="5">
        <f>IFERROR(__xludf.DUMMYFUNCTION("""COMPUTED_VALUE"""),0.00937611574074074)</f>
        <v>0.009376115741</v>
      </c>
      <c r="O1151" s="5" t="str">
        <f>IFERROR(__xludf.DUMMYFUNCTION("""COMPUTED_VALUE"""),"")</f>
        <v/>
      </c>
      <c r="P1151" s="5" t="str">
        <f>IFERROR(__xludf.DUMMYFUNCTION("""COMPUTED_VALUE"""),"")</f>
        <v/>
      </c>
      <c r="Q1151" s="5">
        <f>IFERROR(__xludf.DUMMYFUNCTION("""COMPUTED_VALUE"""),0.007959416666666667)</f>
        <v>0.007959416667</v>
      </c>
      <c r="R1151" s="4">
        <f>IFERROR(__xludf.DUMMYFUNCTION("""COMPUTED_VALUE"""),45949.03979708874)</f>
        <v>45949.0398</v>
      </c>
      <c r="S1151" s="1" t="b">
        <f>IFERROR(__xludf.DUMMYFUNCTION("""COMPUTED_VALUE"""),TRUE)</f>
        <v>1</v>
      </c>
      <c r="T1151" s="1" t="b">
        <f>IFERROR(__xludf.DUMMYFUNCTION("""COMPUTED_VALUE"""),FALSE)</f>
        <v>0</v>
      </c>
      <c r="U1151" s="1" t="str">
        <f>IFERROR(__xludf.DUMMYFUNCTION("""COMPUTED_VALUE"""),"VALID")</f>
        <v>VALID</v>
      </c>
      <c r="V1151" s="1">
        <f>IFERROR(__xludf.DUMMYFUNCTION("""COMPUTED_VALUE"""),315.0)</f>
        <v>315</v>
      </c>
      <c r="W1151" s="1">
        <f>IFERROR(__xludf.DUMMYFUNCTION("""COMPUTED_VALUE"""),1234.0)</f>
        <v>1234</v>
      </c>
      <c r="X1151" s="1">
        <f>IFERROR(__xludf.DUMMYFUNCTION("""COMPUTED_VALUE"""),381.0)</f>
        <v>381</v>
      </c>
      <c r="Y1151" s="2"/>
      <c r="Z1151" s="2"/>
    </row>
    <row r="1152">
      <c r="A1152" s="1">
        <f>IFERROR(__xludf.DUMMYFUNCTION("""COMPUTED_VALUE"""),1151.0)</f>
        <v>1151</v>
      </c>
      <c r="B1152" s="1">
        <f>IFERROR(__xludf.DUMMYFUNCTION("""COMPUTED_VALUE"""),5197.0)</f>
        <v>5197</v>
      </c>
      <c r="C1152" s="2" t="str">
        <f>IFERROR(__xludf.DUMMYFUNCTION("""COMPUTED_VALUE"""),"Lina")</f>
        <v>Lina</v>
      </c>
      <c r="D1152" s="2" t="str">
        <f>IFERROR(__xludf.DUMMYFUNCTION("""COMPUTED_VALUE"""),"5KM OVERALL F")</f>
        <v>5KM OVERALL F</v>
      </c>
      <c r="E1152" s="1">
        <f>IFERROR(__xludf.DUMMYFUNCTION("""COMPUTED_VALUE"""),2.0)</f>
        <v>2</v>
      </c>
      <c r="F1152" s="1" t="str">
        <f>IFERROR(__xludf.DUMMYFUNCTION("""COMPUTED_VALUE"""),"Female")</f>
        <v>Female</v>
      </c>
      <c r="G1152" s="4" t="b">
        <f>IFERROR(__xludf.DUMMYFUNCTION("""COMPUTED_VALUE"""),TRUE)</f>
        <v>1</v>
      </c>
      <c r="H1152" s="4" t="b">
        <f>IFERROR(__xludf.DUMMYFUNCTION("""COMPUTED_VALUE"""),TRUE)</f>
        <v>1</v>
      </c>
      <c r="I1152" s="4">
        <f>IFERROR(__xludf.DUMMYFUNCTION("""COMPUTED_VALUE"""),0.2549440625)</f>
        <v>0.2549440625</v>
      </c>
      <c r="J1152" s="4">
        <f>IFERROR(__xludf.DUMMYFUNCTION("""COMPUTED_VALUE"""),45949.28038786702)</f>
        <v>45949.28039</v>
      </c>
      <c r="K1152" s="4" t="str">
        <f>IFERROR(__xludf.DUMMYFUNCTION("""COMPUTED_VALUE"""),"")</f>
        <v/>
      </c>
      <c r="L1152" s="4">
        <f>IFERROR(__xludf.DUMMYFUNCTION("""COMPUTED_VALUE"""),45949.29861267237)</f>
        <v>45949.29861</v>
      </c>
      <c r="M1152" s="1" t="str">
        <f>IFERROR(__xludf.DUMMYFUNCTION("""COMPUTED_VALUE"""),"RFID")</f>
        <v>RFID</v>
      </c>
      <c r="N1152" s="5">
        <f>IFERROR(__xludf.DUMMYFUNCTION("""COMPUTED_VALUE"""),0.010177523148148147)</f>
        <v>0.01017752315</v>
      </c>
      <c r="O1152" s="5" t="str">
        <f>IFERROR(__xludf.DUMMYFUNCTION("""COMPUTED_VALUE"""),"")</f>
        <v/>
      </c>
      <c r="P1152" s="5" t="str">
        <f>IFERROR(__xludf.DUMMYFUNCTION("""COMPUTED_VALUE"""),"")</f>
        <v/>
      </c>
      <c r="Q1152" s="5">
        <f>IFERROR(__xludf.DUMMYFUNCTION("""COMPUTED_VALUE"""),0.008733722222222223)</f>
        <v>0.008733722222</v>
      </c>
      <c r="R1152" s="4">
        <f>IFERROR(__xludf.DUMMYFUNCTION("""COMPUTED_VALUE"""),45949.04366860987)</f>
        <v>45949.04367</v>
      </c>
      <c r="S1152" s="1" t="b">
        <f>IFERROR(__xludf.DUMMYFUNCTION("""COMPUTED_VALUE"""),TRUE)</f>
        <v>1</v>
      </c>
      <c r="T1152" s="1" t="b">
        <f>IFERROR(__xludf.DUMMYFUNCTION("""COMPUTED_VALUE"""),FALSE)</f>
        <v>0</v>
      </c>
      <c r="U1152" s="1" t="str">
        <f>IFERROR(__xludf.DUMMYFUNCTION("""COMPUTED_VALUE"""),"VALID")</f>
        <v>VALID</v>
      </c>
      <c r="V1152" s="1">
        <f>IFERROR(__xludf.DUMMYFUNCTION("""COMPUTED_VALUE"""),391.0)</f>
        <v>391</v>
      </c>
      <c r="W1152" s="1">
        <f>IFERROR(__xludf.DUMMYFUNCTION("""COMPUTED_VALUE"""),1387.0)</f>
        <v>1387</v>
      </c>
      <c r="X1152" s="1">
        <f>IFERROR(__xludf.DUMMYFUNCTION("""COMPUTED_VALUE"""),473.0)</f>
        <v>473</v>
      </c>
      <c r="Y1152" s="2"/>
      <c r="Z1152" s="2"/>
    </row>
    <row r="1153">
      <c r="A1153" s="1">
        <f>IFERROR(__xludf.DUMMYFUNCTION("""COMPUTED_VALUE"""),1152.0)</f>
        <v>1152</v>
      </c>
      <c r="B1153" s="1">
        <f>IFERROR(__xludf.DUMMYFUNCTION("""COMPUTED_VALUE"""),5209.0)</f>
        <v>5209</v>
      </c>
      <c r="C1153" s="2" t="str">
        <f>IFERROR(__xludf.DUMMYFUNCTION("""COMPUTED_VALUE"""),"Nur Izzatul Fahmah")</f>
        <v>Nur Izzatul Fahmah</v>
      </c>
      <c r="D1153" s="2" t="str">
        <f>IFERROR(__xludf.DUMMYFUNCTION("""COMPUTED_VALUE"""),"5KM OVERALL F")</f>
        <v>5KM OVERALL F</v>
      </c>
      <c r="E1153" s="1">
        <f>IFERROR(__xludf.DUMMYFUNCTION("""COMPUTED_VALUE"""),2.0)</f>
        <v>2</v>
      </c>
      <c r="F1153" s="1" t="str">
        <f>IFERROR(__xludf.DUMMYFUNCTION("""COMPUTED_VALUE"""),"Female")</f>
        <v>Female</v>
      </c>
      <c r="G1153" s="4" t="b">
        <f>IFERROR(__xludf.DUMMYFUNCTION("""COMPUTED_VALUE"""),TRUE)</f>
        <v>1</v>
      </c>
      <c r="H1153" s="4" t="b">
        <f>IFERROR(__xludf.DUMMYFUNCTION("""COMPUTED_VALUE"""),FALSE)</f>
        <v>0</v>
      </c>
      <c r="I1153" s="4">
        <f>IFERROR(__xludf.DUMMYFUNCTION("""COMPUTED_VALUE"""),0.2549440625)</f>
        <v>0.2549440625</v>
      </c>
      <c r="J1153" s="4">
        <f>IFERROR(__xludf.DUMMYFUNCTION("""COMPUTED_VALUE"""),45949.26993301157)</f>
        <v>45949.26993</v>
      </c>
      <c r="K1153" s="4" t="str">
        <f>IFERROR(__xludf.DUMMYFUNCTION("""COMPUTED_VALUE"""),"")</f>
        <v/>
      </c>
      <c r="L1153" s="4">
        <f>IFERROR(__xludf.DUMMYFUNCTION("""COMPUTED_VALUE"""),45949.281602255265)</f>
        <v>45949.2816</v>
      </c>
      <c r="M1153" s="1" t="str">
        <f>IFERROR(__xludf.DUMMYFUNCTION("""COMPUTED_VALUE"""),"RFID")</f>
        <v>RFID</v>
      </c>
      <c r="N1153" s="5">
        <f>IFERROR(__xludf.DUMMYFUNCTION("""COMPUTED_VALUE"""),0.005995578703703704)</f>
        <v>0.005995578704</v>
      </c>
      <c r="O1153" s="5" t="str">
        <f>IFERROR(__xludf.DUMMYFUNCTION("""COMPUTED_VALUE"""),"")</f>
        <v/>
      </c>
      <c r="P1153" s="5" t="str">
        <f>IFERROR(__xludf.DUMMYFUNCTION("""COMPUTED_VALUE"""),"")</f>
        <v/>
      </c>
      <c r="Q1153" s="5">
        <f>IFERROR(__xludf.DUMMYFUNCTION("""COMPUTED_VALUE"""),0.005331638888888889)</f>
        <v>0.005331638889</v>
      </c>
      <c r="R1153" s="4">
        <f>IFERROR(__xludf.DUMMYFUNCTION("""COMPUTED_VALUE"""),45949.026658192764)</f>
        <v>45949.02666</v>
      </c>
      <c r="S1153" s="1" t="b">
        <f>IFERROR(__xludf.DUMMYFUNCTION("""COMPUTED_VALUE"""),TRUE)</f>
        <v>1</v>
      </c>
      <c r="T1153" s="1" t="b">
        <f>IFERROR(__xludf.DUMMYFUNCTION("""COMPUTED_VALUE"""),FALSE)</f>
        <v>0</v>
      </c>
      <c r="U1153" s="1" t="str">
        <f>IFERROR(__xludf.DUMMYFUNCTION("""COMPUTED_VALUE"""),"VALID")</f>
        <v>VALID</v>
      </c>
      <c r="V1153" s="1">
        <f>IFERROR(__xludf.DUMMYFUNCTION("""COMPUTED_VALUE"""),35.0)</f>
        <v>35</v>
      </c>
      <c r="W1153" s="1">
        <f>IFERROR(__xludf.DUMMYFUNCTION("""COMPUTED_VALUE"""),372.0)</f>
        <v>372</v>
      </c>
      <c r="X1153" s="1">
        <f>IFERROR(__xludf.DUMMYFUNCTION("""COMPUTED_VALUE"""),54.0)</f>
        <v>54</v>
      </c>
      <c r="Y1153" s="2"/>
      <c r="Z1153" s="2"/>
    </row>
    <row r="1154">
      <c r="A1154" s="1">
        <f>IFERROR(__xludf.DUMMYFUNCTION("""COMPUTED_VALUE"""),1153.0)</f>
        <v>1153</v>
      </c>
      <c r="B1154" s="1">
        <f>IFERROR(__xludf.DUMMYFUNCTION("""COMPUTED_VALUE"""),5212.0)</f>
        <v>5212</v>
      </c>
      <c r="C1154" s="2" t="str">
        <f>IFERROR(__xludf.DUMMYFUNCTION("""COMPUTED_VALUE"""),"Tio SM Bey Tambunan")</f>
        <v>Tio SM Bey Tambunan</v>
      </c>
      <c r="D1154" s="2" t="str">
        <f>IFERROR(__xludf.DUMMYFUNCTION("""COMPUTED_VALUE"""),"5KM OVERALL F")</f>
        <v>5KM OVERALL F</v>
      </c>
      <c r="E1154" s="1">
        <f>IFERROR(__xludf.DUMMYFUNCTION("""COMPUTED_VALUE"""),2.0)</f>
        <v>2</v>
      </c>
      <c r="F1154" s="1" t="str">
        <f>IFERROR(__xludf.DUMMYFUNCTION("""COMPUTED_VALUE"""),"Female")</f>
        <v>Female</v>
      </c>
      <c r="G1154" s="4" t="b">
        <f>IFERROR(__xludf.DUMMYFUNCTION("""COMPUTED_VALUE"""),TRUE)</f>
        <v>1</v>
      </c>
      <c r="H1154" s="4" t="b">
        <f>IFERROR(__xludf.DUMMYFUNCTION("""COMPUTED_VALUE"""),FALSE)</f>
        <v>0</v>
      </c>
      <c r="I1154" s="4">
        <f>IFERROR(__xludf.DUMMYFUNCTION("""COMPUTED_VALUE"""),0.2549440625)</f>
        <v>0.2549440625</v>
      </c>
      <c r="J1154" s="4">
        <f>IFERROR(__xludf.DUMMYFUNCTION("""COMPUTED_VALUE"""),45949.28156491231)</f>
        <v>45949.28156</v>
      </c>
      <c r="K1154" s="4" t="str">
        <f>IFERROR(__xludf.DUMMYFUNCTION("""COMPUTED_VALUE"""),"")</f>
        <v/>
      </c>
      <c r="L1154" s="4">
        <f>IFERROR(__xludf.DUMMYFUNCTION("""COMPUTED_VALUE"""),45949.30127241836)</f>
        <v>45949.30127</v>
      </c>
      <c r="M1154" s="1" t="str">
        <f>IFERROR(__xludf.DUMMYFUNCTION("""COMPUTED_VALUE"""),"RFID")</f>
        <v>RFID</v>
      </c>
      <c r="N1154" s="5">
        <f>IFERROR(__xludf.DUMMYFUNCTION("""COMPUTED_VALUE"""),0.010648337962962964)</f>
        <v>0.01064833796</v>
      </c>
      <c r="O1154" s="5" t="str">
        <f>IFERROR(__xludf.DUMMYFUNCTION("""COMPUTED_VALUE"""),"")</f>
        <v/>
      </c>
      <c r="P1154" s="5" t="str">
        <f>IFERROR(__xludf.DUMMYFUNCTION("""COMPUTED_VALUE"""),"")</f>
        <v/>
      </c>
      <c r="Q1154" s="5">
        <f>IFERROR(__xludf.DUMMYFUNCTION("""COMPUTED_VALUE"""),0.009265671296296296)</f>
        <v>0.009265671296</v>
      </c>
      <c r="R1154" s="4">
        <f>IFERROR(__xludf.DUMMYFUNCTION("""COMPUTED_VALUE"""),45949.04632835586)</f>
        <v>45949.04633</v>
      </c>
      <c r="S1154" s="1" t="b">
        <f>IFERROR(__xludf.DUMMYFUNCTION("""COMPUTED_VALUE"""),TRUE)</f>
        <v>1</v>
      </c>
      <c r="T1154" s="1" t="b">
        <f>IFERROR(__xludf.DUMMYFUNCTION("""COMPUTED_VALUE"""),FALSE)</f>
        <v>0</v>
      </c>
      <c r="U1154" s="1" t="str">
        <f>IFERROR(__xludf.DUMMYFUNCTION("""COMPUTED_VALUE"""),"VALID")</f>
        <v>VALID</v>
      </c>
      <c r="V1154" s="1">
        <f>IFERROR(__xludf.DUMMYFUNCTION("""COMPUTED_VALUE"""),451.0)</f>
        <v>451</v>
      </c>
      <c r="W1154" s="1">
        <f>IFERROR(__xludf.DUMMYFUNCTION("""COMPUTED_VALUE"""),1505.0)</f>
        <v>1505</v>
      </c>
      <c r="X1154" s="1">
        <f>IFERROR(__xludf.DUMMYFUNCTION("""COMPUTED_VALUE"""),549.0)</f>
        <v>549</v>
      </c>
      <c r="Y1154" s="2"/>
      <c r="Z1154" s="2"/>
    </row>
    <row r="1155">
      <c r="A1155" s="1">
        <f>IFERROR(__xludf.DUMMYFUNCTION("""COMPUTED_VALUE"""),1154.0)</f>
        <v>1154</v>
      </c>
      <c r="B1155" s="1">
        <f>IFERROR(__xludf.DUMMYFUNCTION("""COMPUTED_VALUE"""),5216.0)</f>
        <v>5216</v>
      </c>
      <c r="C1155" s="2" t="str">
        <f>IFERROR(__xludf.DUMMYFUNCTION("""COMPUTED_VALUE"""),"Helda")</f>
        <v>Helda</v>
      </c>
      <c r="D1155" s="2" t="str">
        <f>IFERROR(__xludf.DUMMYFUNCTION("""COMPUTED_VALUE"""),"5KM OVERALL F")</f>
        <v>5KM OVERALL F</v>
      </c>
      <c r="E1155" s="1">
        <f>IFERROR(__xludf.DUMMYFUNCTION("""COMPUTED_VALUE"""),2.0)</f>
        <v>2</v>
      </c>
      <c r="F1155" s="1" t="str">
        <f>IFERROR(__xludf.DUMMYFUNCTION("""COMPUTED_VALUE"""),"Female")</f>
        <v>Female</v>
      </c>
      <c r="G1155" s="4" t="b">
        <f>IFERROR(__xludf.DUMMYFUNCTION("""COMPUTED_VALUE"""),TRUE)</f>
        <v>1</v>
      </c>
      <c r="H1155" s="4" t="b">
        <f>IFERROR(__xludf.DUMMYFUNCTION("""COMPUTED_VALUE"""),FALSE)</f>
        <v>0</v>
      </c>
      <c r="I1155" s="4">
        <f>IFERROR(__xludf.DUMMYFUNCTION("""COMPUTED_VALUE"""),0.2549440625)</f>
        <v>0.2549440625</v>
      </c>
      <c r="J1155" s="4">
        <f>IFERROR(__xludf.DUMMYFUNCTION("""COMPUTED_VALUE"""),45950.27587962963)</f>
        <v>45950.27588</v>
      </c>
      <c r="K1155" s="4" t="str">
        <f>IFERROR(__xludf.DUMMYFUNCTION("""COMPUTED_VALUE"""),"")</f>
        <v/>
      </c>
      <c r="L1155" s="4">
        <f>IFERROR(__xludf.DUMMYFUNCTION("""COMPUTED_VALUE"""),45949.29255713959)</f>
        <v>45949.29256</v>
      </c>
      <c r="M1155" s="1" t="str">
        <f>IFERROR(__xludf.DUMMYFUNCTION("""COMPUTED_VALUE"""),"RFID")</f>
        <v>RFID</v>
      </c>
      <c r="N1155" s="5">
        <f>IFERROR(__xludf.DUMMYFUNCTION("""COMPUTED_VALUE"""),0.008374226851851853)</f>
        <v>0.008374226852</v>
      </c>
      <c r="O1155" s="5" t="str">
        <f>IFERROR(__xludf.DUMMYFUNCTION("""COMPUTED_VALUE"""),"")</f>
        <v/>
      </c>
      <c r="P1155" s="5" t="str">
        <f>IFERROR(__xludf.DUMMYFUNCTION("""COMPUTED_VALUE"""),"")</f>
        <v/>
      </c>
      <c r="Q1155" s="5">
        <f>IFERROR(__xludf.DUMMYFUNCTION("""COMPUTED_VALUE"""),0.00752261574074074)</f>
        <v>0.007522615741</v>
      </c>
      <c r="R1155" s="4">
        <f>IFERROR(__xludf.DUMMYFUNCTION("""COMPUTED_VALUE"""),45949.03761307709)</f>
        <v>45949.03761</v>
      </c>
      <c r="S1155" s="1" t="b">
        <f>IFERROR(__xludf.DUMMYFUNCTION("""COMPUTED_VALUE"""),TRUE)</f>
        <v>1</v>
      </c>
      <c r="T1155" s="1" t="b">
        <f>IFERROR(__xludf.DUMMYFUNCTION("""COMPUTED_VALUE"""),FALSE)</f>
        <v>0</v>
      </c>
      <c r="U1155" s="1" t="str">
        <f>IFERROR(__xludf.DUMMYFUNCTION("""COMPUTED_VALUE"""),"VALID")</f>
        <v>VALID</v>
      </c>
      <c r="V1155" s="1">
        <f>IFERROR(__xludf.DUMMYFUNCTION("""COMPUTED_VALUE"""),237.0)</f>
        <v>237</v>
      </c>
      <c r="W1155" s="1">
        <f>IFERROR(__xludf.DUMMYFUNCTION("""COMPUTED_VALUE"""),1071.0)</f>
        <v>1071</v>
      </c>
      <c r="X1155" s="1">
        <f>IFERROR(__xludf.DUMMYFUNCTION("""COMPUTED_VALUE"""),292.0)</f>
        <v>292</v>
      </c>
      <c r="Y1155" s="2"/>
      <c r="Z1155" s="2"/>
    </row>
    <row r="1156">
      <c r="A1156" s="1">
        <f>IFERROR(__xludf.DUMMYFUNCTION("""COMPUTED_VALUE"""),1155.0)</f>
        <v>1155</v>
      </c>
      <c r="B1156" s="1">
        <f>IFERROR(__xludf.DUMMYFUNCTION("""COMPUTED_VALUE"""),5217.0)</f>
        <v>5217</v>
      </c>
      <c r="C1156" s="2" t="str">
        <f>IFERROR(__xludf.DUMMYFUNCTION("""COMPUTED_VALUE"""),"Salma")</f>
        <v>Salma</v>
      </c>
      <c r="D1156" s="2" t="str">
        <f>IFERROR(__xludf.DUMMYFUNCTION("""COMPUTED_VALUE"""),"5KM OVERALL F")</f>
        <v>5KM OVERALL F</v>
      </c>
      <c r="E1156" s="1">
        <f>IFERROR(__xludf.DUMMYFUNCTION("""COMPUTED_VALUE"""),2.0)</f>
        <v>2</v>
      </c>
      <c r="F1156" s="1" t="str">
        <f>IFERROR(__xludf.DUMMYFUNCTION("""COMPUTED_VALUE"""),"Female")</f>
        <v>Female</v>
      </c>
      <c r="G1156" s="4" t="b">
        <f>IFERROR(__xludf.DUMMYFUNCTION("""COMPUTED_VALUE"""),TRUE)</f>
        <v>1</v>
      </c>
      <c r="H1156" s="4" t="b">
        <f>IFERROR(__xludf.DUMMYFUNCTION("""COMPUTED_VALUE"""),TRUE)</f>
        <v>1</v>
      </c>
      <c r="I1156" s="4">
        <f>IFERROR(__xludf.DUMMYFUNCTION("""COMPUTED_VALUE"""),0.2549440625)</f>
        <v>0.2549440625</v>
      </c>
      <c r="J1156" s="4">
        <f>IFERROR(__xludf.DUMMYFUNCTION("""COMPUTED_VALUE"""),45949.26708571686)</f>
        <v>45949.26709</v>
      </c>
      <c r="K1156" s="4" t="str">
        <f>IFERROR(__xludf.DUMMYFUNCTION("""COMPUTED_VALUE"""),"")</f>
        <v/>
      </c>
      <c r="L1156" s="4">
        <f>IFERROR(__xludf.DUMMYFUNCTION("""COMPUTED_VALUE"""),45949.2774425377)</f>
        <v>45949.27744</v>
      </c>
      <c r="M1156" s="1" t="str">
        <f>IFERROR(__xludf.DUMMYFUNCTION("""COMPUTED_VALUE"""),"RFID")</f>
        <v>RFID</v>
      </c>
      <c r="N1156" s="5">
        <f>IFERROR(__xludf.DUMMYFUNCTION("""COMPUTED_VALUE"""),0.004856662037037037)</f>
        <v>0.004856662037</v>
      </c>
      <c r="O1156" s="5" t="str">
        <f>IFERROR(__xludf.DUMMYFUNCTION("""COMPUTED_VALUE"""),"")</f>
        <v/>
      </c>
      <c r="P1156" s="5" t="str">
        <f>IFERROR(__xludf.DUMMYFUNCTION("""COMPUTED_VALUE"""),"")</f>
        <v/>
      </c>
      <c r="Q1156" s="5">
        <f>IFERROR(__xludf.DUMMYFUNCTION("""COMPUTED_VALUE"""),0.004499694444444444)</f>
        <v>0.004499694444</v>
      </c>
      <c r="R1156" s="4">
        <f>IFERROR(__xludf.DUMMYFUNCTION("""COMPUTED_VALUE"""),45949.0224984752)</f>
        <v>45949.0225</v>
      </c>
      <c r="S1156" s="1" t="b">
        <f>IFERROR(__xludf.DUMMYFUNCTION("""COMPUTED_VALUE"""),TRUE)</f>
        <v>1</v>
      </c>
      <c r="T1156" s="1" t="b">
        <f>IFERROR(__xludf.DUMMYFUNCTION("""COMPUTED_VALUE"""),FALSE)</f>
        <v>0</v>
      </c>
      <c r="U1156" s="1" t="str">
        <f>IFERROR(__xludf.DUMMYFUNCTION("""COMPUTED_VALUE"""),"VALID")</f>
        <v>VALID</v>
      </c>
      <c r="V1156" s="1">
        <f>IFERROR(__xludf.DUMMYFUNCTION("""COMPUTED_VALUE"""),14.0)</f>
        <v>14</v>
      </c>
      <c r="W1156" s="1">
        <f>IFERROR(__xludf.DUMMYFUNCTION("""COMPUTED_VALUE"""),186.0)</f>
        <v>186</v>
      </c>
      <c r="X1156" s="1">
        <f>IFERROR(__xludf.DUMMYFUNCTION("""COMPUTED_VALUE"""),22.0)</f>
        <v>22</v>
      </c>
      <c r="Y1156" s="2"/>
      <c r="Z1156" s="2"/>
    </row>
    <row r="1157">
      <c r="A1157" s="1">
        <f>IFERROR(__xludf.DUMMYFUNCTION("""COMPUTED_VALUE"""),1156.0)</f>
        <v>1156</v>
      </c>
      <c r="B1157" s="1">
        <f>IFERROR(__xludf.DUMMYFUNCTION("""COMPUTED_VALUE"""),5219.0)</f>
        <v>5219</v>
      </c>
      <c r="C1157" s="2" t="str">
        <f>IFERROR(__xludf.DUMMYFUNCTION("""COMPUTED_VALUE"""),"NOFALIA")</f>
        <v>NOFALIA</v>
      </c>
      <c r="D1157" s="2" t="str">
        <f>IFERROR(__xludf.DUMMYFUNCTION("""COMPUTED_VALUE"""),"5KM OVERALL F")</f>
        <v>5KM OVERALL F</v>
      </c>
      <c r="E1157" s="1">
        <f>IFERROR(__xludf.DUMMYFUNCTION("""COMPUTED_VALUE"""),2.0)</f>
        <v>2</v>
      </c>
      <c r="F1157" s="1" t="str">
        <f>IFERROR(__xludf.DUMMYFUNCTION("""COMPUTED_VALUE"""),"Female")</f>
        <v>Female</v>
      </c>
      <c r="G1157" s="4" t="b">
        <f>IFERROR(__xludf.DUMMYFUNCTION("""COMPUTED_VALUE"""),TRUE)</f>
        <v>1</v>
      </c>
      <c r="H1157" s="4" t="b">
        <f>IFERROR(__xludf.DUMMYFUNCTION("""COMPUTED_VALUE"""),FALSE)</f>
        <v>0</v>
      </c>
      <c r="I1157" s="4">
        <f>IFERROR(__xludf.DUMMYFUNCTION("""COMPUTED_VALUE"""),0.2549440625)</f>
        <v>0.2549440625</v>
      </c>
      <c r="J1157" s="4">
        <f>IFERROR(__xludf.DUMMYFUNCTION("""COMPUTED_VALUE"""),45949.27433224726)</f>
        <v>45949.27433</v>
      </c>
      <c r="K1157" s="4" t="str">
        <f>IFERROR(__xludf.DUMMYFUNCTION("""COMPUTED_VALUE"""),"")</f>
        <v/>
      </c>
      <c r="L1157" s="4">
        <f>IFERROR(__xludf.DUMMYFUNCTION("""COMPUTED_VALUE"""),45949.29174810668)</f>
        <v>45949.29175</v>
      </c>
      <c r="M1157" s="1" t="str">
        <f>IFERROR(__xludf.DUMMYFUNCTION("""COMPUTED_VALUE"""),"RFID")</f>
        <v>RFID</v>
      </c>
      <c r="N1157" s="5">
        <f>IFERROR(__xludf.DUMMYFUNCTION("""COMPUTED_VALUE"""),0.007755273148148148)</f>
        <v>0.007755273148</v>
      </c>
      <c r="O1157" s="5" t="str">
        <f>IFERROR(__xludf.DUMMYFUNCTION("""COMPUTED_VALUE"""),"")</f>
        <v/>
      </c>
      <c r="P1157" s="5" t="str">
        <f>IFERROR(__xludf.DUMMYFUNCTION("""COMPUTED_VALUE"""),"")</f>
        <v/>
      </c>
      <c r="Q1157" s="5">
        <f>IFERROR(__xludf.DUMMYFUNCTION("""COMPUTED_VALUE"""),0.007360807870370372)</f>
        <v>0.00736080787</v>
      </c>
      <c r="R1157" s="4">
        <f>IFERROR(__xludf.DUMMYFUNCTION("""COMPUTED_VALUE"""),45949.03680404418)</f>
        <v>45949.0368</v>
      </c>
      <c r="S1157" s="1" t="b">
        <f>IFERROR(__xludf.DUMMYFUNCTION("""COMPUTED_VALUE"""),TRUE)</f>
        <v>1</v>
      </c>
      <c r="T1157" s="1" t="b">
        <f>IFERROR(__xludf.DUMMYFUNCTION("""COMPUTED_VALUE"""),FALSE)</f>
        <v>0</v>
      </c>
      <c r="U1157" s="1" t="str">
        <f>IFERROR(__xludf.DUMMYFUNCTION("""COMPUTED_VALUE"""),"VALID")</f>
        <v>VALID</v>
      </c>
      <c r="V1157" s="1">
        <f>IFERROR(__xludf.DUMMYFUNCTION("""COMPUTED_VALUE"""),211.0)</f>
        <v>211</v>
      </c>
      <c r="W1157" s="1">
        <f>IFERROR(__xludf.DUMMYFUNCTION("""COMPUTED_VALUE"""),1015.0)</f>
        <v>1015</v>
      </c>
      <c r="X1157" s="1">
        <f>IFERROR(__xludf.DUMMYFUNCTION("""COMPUTED_VALUE"""),263.0)</f>
        <v>263</v>
      </c>
      <c r="Y1157" s="2"/>
      <c r="Z1157" s="2"/>
    </row>
    <row r="1158">
      <c r="A1158" s="1">
        <f>IFERROR(__xludf.DUMMYFUNCTION("""COMPUTED_VALUE"""),1157.0)</f>
        <v>1157</v>
      </c>
      <c r="B1158" s="1">
        <f>IFERROR(__xludf.DUMMYFUNCTION("""COMPUTED_VALUE"""),5222.0)</f>
        <v>5222</v>
      </c>
      <c r="C1158" s="2" t="str">
        <f>IFERROR(__xludf.DUMMYFUNCTION("""COMPUTED_VALUE"""),"Sanah")</f>
        <v>Sanah</v>
      </c>
      <c r="D1158" s="2" t="str">
        <f>IFERROR(__xludf.DUMMYFUNCTION("""COMPUTED_VALUE"""),"5KM OVERALL F")</f>
        <v>5KM OVERALL F</v>
      </c>
      <c r="E1158" s="1">
        <f>IFERROR(__xludf.DUMMYFUNCTION("""COMPUTED_VALUE"""),2.0)</f>
        <v>2</v>
      </c>
      <c r="F1158" s="1" t="str">
        <f>IFERROR(__xludf.DUMMYFUNCTION("""COMPUTED_VALUE"""),"Female")</f>
        <v>Female</v>
      </c>
      <c r="G1158" s="4" t="b">
        <f>IFERROR(__xludf.DUMMYFUNCTION("""COMPUTED_VALUE"""),TRUE)</f>
        <v>1</v>
      </c>
      <c r="H1158" s="4" t="b">
        <f>IFERROR(__xludf.DUMMYFUNCTION("""COMPUTED_VALUE"""),TRUE)</f>
        <v>1</v>
      </c>
      <c r="I1158" s="4">
        <f>IFERROR(__xludf.DUMMYFUNCTION("""COMPUTED_VALUE"""),0.2549440625)</f>
        <v>0.2549440625</v>
      </c>
      <c r="J1158" s="4">
        <f>IFERROR(__xludf.DUMMYFUNCTION("""COMPUTED_VALUE"""),45949.27364897821)</f>
        <v>45949.27365</v>
      </c>
      <c r="K1158" s="4" t="str">
        <f>IFERROR(__xludf.DUMMYFUNCTION("""COMPUTED_VALUE"""),"")</f>
        <v/>
      </c>
      <c r="L1158" s="4">
        <f>IFERROR(__xludf.DUMMYFUNCTION("""COMPUTED_VALUE"""),45949.284619620936)</f>
        <v>45949.28462</v>
      </c>
      <c r="M1158" s="1" t="str">
        <f>IFERROR(__xludf.DUMMYFUNCTION("""COMPUTED_VALUE"""),"RFID")</f>
        <v>RFID</v>
      </c>
      <c r="N1158" s="5">
        <f>IFERROR(__xludf.DUMMYFUNCTION("""COMPUTED_VALUE"""),0.007481967592592592)</f>
        <v>0.007481967593</v>
      </c>
      <c r="O1158" s="5" t="str">
        <f>IFERROR(__xludf.DUMMYFUNCTION("""COMPUTED_VALUE"""),"")</f>
        <v/>
      </c>
      <c r="P1158" s="5" t="str">
        <f>IFERROR(__xludf.DUMMYFUNCTION("""COMPUTED_VALUE"""),"")</f>
        <v/>
      </c>
      <c r="Q1158" s="5">
        <f>IFERROR(__xludf.DUMMYFUNCTION("""COMPUTED_VALUE"""),0.005935111111111111)</f>
        <v>0.005935111111</v>
      </c>
      <c r="R1158" s="4">
        <f>IFERROR(__xludf.DUMMYFUNCTION("""COMPUTED_VALUE"""),45949.029675558435)</f>
        <v>45949.02968</v>
      </c>
      <c r="S1158" s="1" t="b">
        <f>IFERROR(__xludf.DUMMYFUNCTION("""COMPUTED_VALUE"""),TRUE)</f>
        <v>1</v>
      </c>
      <c r="T1158" s="1" t="b">
        <f>IFERROR(__xludf.DUMMYFUNCTION("""COMPUTED_VALUE"""),FALSE)</f>
        <v>0</v>
      </c>
      <c r="U1158" s="1" t="str">
        <f>IFERROR(__xludf.DUMMYFUNCTION("""COMPUTED_VALUE"""),"VALID")</f>
        <v>VALID</v>
      </c>
      <c r="V1158" s="1">
        <f>IFERROR(__xludf.DUMMYFUNCTION("""COMPUTED_VALUE"""),68.0)</f>
        <v>68</v>
      </c>
      <c r="W1158" s="1">
        <f>IFERROR(__xludf.DUMMYFUNCTION("""COMPUTED_VALUE"""),552.0)</f>
        <v>552</v>
      </c>
      <c r="X1158" s="1">
        <f>IFERROR(__xludf.DUMMYFUNCTION("""COMPUTED_VALUE"""),90.0)</f>
        <v>90</v>
      </c>
      <c r="Y1158" s="2"/>
      <c r="Z1158" s="2"/>
    </row>
    <row r="1159">
      <c r="A1159" s="1">
        <f>IFERROR(__xludf.DUMMYFUNCTION("""COMPUTED_VALUE"""),1158.0)</f>
        <v>1158</v>
      </c>
      <c r="B1159" s="1">
        <f>IFERROR(__xludf.DUMMYFUNCTION("""COMPUTED_VALUE"""),5223.0)</f>
        <v>5223</v>
      </c>
      <c r="C1159" s="2" t="str">
        <f>IFERROR(__xludf.DUMMYFUNCTION("""COMPUTED_VALUE"""),"Wulan")</f>
        <v>Wulan</v>
      </c>
      <c r="D1159" s="2" t="str">
        <f>IFERROR(__xludf.DUMMYFUNCTION("""COMPUTED_VALUE"""),"5KM OVERALL F")</f>
        <v>5KM OVERALL F</v>
      </c>
      <c r="E1159" s="1">
        <f>IFERROR(__xludf.DUMMYFUNCTION("""COMPUTED_VALUE"""),2.0)</f>
        <v>2</v>
      </c>
      <c r="F1159" s="1" t="str">
        <f>IFERROR(__xludf.DUMMYFUNCTION("""COMPUTED_VALUE"""),"Female")</f>
        <v>Female</v>
      </c>
      <c r="G1159" s="4" t="str">
        <f>IFERROR(__xludf.DUMMYFUNCTION("""COMPUTED_VALUE"""),"")</f>
        <v/>
      </c>
      <c r="H1159" s="4" t="b">
        <f>IFERROR(__xludf.DUMMYFUNCTION("""COMPUTED_VALUE"""),FALSE)</f>
        <v>0</v>
      </c>
      <c r="I1159" s="4">
        <f>IFERROR(__xludf.DUMMYFUNCTION("""COMPUTED_VALUE"""),0.2549440625)</f>
        <v>0.2549440625</v>
      </c>
      <c r="J1159" s="4" t="str">
        <f>IFERROR(__xludf.DUMMYFUNCTION("""COMPUTED_VALUE"""),"")</f>
        <v/>
      </c>
      <c r="K1159" s="4" t="str">
        <f>IFERROR(__xludf.DUMMYFUNCTION("""COMPUTED_VALUE"""),"")</f>
        <v/>
      </c>
      <c r="L1159" s="4" t="str">
        <f>IFERROR(__xludf.DUMMYFUNCTION("""COMPUTED_VALUE"""),"")</f>
        <v/>
      </c>
      <c r="M1159" s="1" t="str">
        <f>IFERROR(__xludf.DUMMYFUNCTION("""COMPUTED_VALUE"""),"RFID")</f>
        <v>RFID</v>
      </c>
      <c r="N1159" s="5" t="str">
        <f>IFERROR(__xludf.DUMMYFUNCTION("""COMPUTED_VALUE"""),"")</f>
        <v/>
      </c>
      <c r="O1159" s="5" t="str">
        <f>IFERROR(__xludf.DUMMYFUNCTION("""COMPUTED_VALUE"""),"")</f>
        <v/>
      </c>
      <c r="P1159" s="5" t="str">
        <f>IFERROR(__xludf.DUMMYFUNCTION("""COMPUTED_VALUE"""),"")</f>
        <v/>
      </c>
      <c r="Q1159" s="5" t="str">
        <f>IFERROR(__xludf.DUMMYFUNCTION("""COMPUTED_VALUE"""),"")</f>
        <v/>
      </c>
      <c r="R1159" s="4" t="str">
        <f>IFERROR(__xludf.DUMMYFUNCTION("""COMPUTED_VALUE"""),"")</f>
        <v/>
      </c>
      <c r="S1159" s="1" t="b">
        <f>IFERROR(__xludf.DUMMYFUNCTION("""COMPUTED_VALUE"""),FALSE)</f>
        <v>0</v>
      </c>
      <c r="T1159" s="1" t="b">
        <f>IFERROR(__xludf.DUMMYFUNCTION("""COMPUTED_VALUE"""),FALSE)</f>
        <v>0</v>
      </c>
      <c r="U1159" s="1" t="str">
        <f>IFERROR(__xludf.DUMMYFUNCTION("""COMPUTED_VALUE"""),"DSQ")</f>
        <v>DSQ</v>
      </c>
      <c r="V1159" s="1" t="str">
        <f>IFERROR(__xludf.DUMMYFUNCTION("""COMPUTED_VALUE"""),"DSQ")</f>
        <v>DSQ</v>
      </c>
      <c r="W1159" s="1" t="str">
        <f>IFERROR(__xludf.DUMMYFUNCTION("""COMPUTED_VALUE"""),"DSQ")</f>
        <v>DSQ</v>
      </c>
      <c r="X1159" s="1" t="str">
        <f>IFERROR(__xludf.DUMMYFUNCTION("""COMPUTED_VALUE"""),"DSQ")</f>
        <v>DSQ</v>
      </c>
      <c r="Y1159" s="2"/>
      <c r="Z1159" s="2" t="str">
        <f>IFERROR(__xludf.DUMMYFUNCTION("""COMPUTED_VALUE"""),"")</f>
        <v/>
      </c>
    </row>
    <row r="1160">
      <c r="A1160" s="1">
        <f>IFERROR(__xludf.DUMMYFUNCTION("""COMPUTED_VALUE"""),1159.0)</f>
        <v>1159</v>
      </c>
      <c r="B1160" s="1">
        <f>IFERROR(__xludf.DUMMYFUNCTION("""COMPUTED_VALUE"""),5225.0)</f>
        <v>5225</v>
      </c>
      <c r="C1160" s="2" t="str">
        <f>IFERROR(__xludf.DUMMYFUNCTION("""COMPUTED_VALUE"""),"Chairunnisa")</f>
        <v>Chairunnisa</v>
      </c>
      <c r="D1160" s="2" t="str">
        <f>IFERROR(__xludf.DUMMYFUNCTION("""COMPUTED_VALUE"""),"5KM OVERALL F")</f>
        <v>5KM OVERALL F</v>
      </c>
      <c r="E1160" s="1">
        <f>IFERROR(__xludf.DUMMYFUNCTION("""COMPUTED_VALUE"""),2.0)</f>
        <v>2</v>
      </c>
      <c r="F1160" s="1" t="str">
        <f>IFERROR(__xludf.DUMMYFUNCTION("""COMPUTED_VALUE"""),"Female")</f>
        <v>Female</v>
      </c>
      <c r="G1160" s="4" t="b">
        <f>IFERROR(__xludf.DUMMYFUNCTION("""COMPUTED_VALUE"""),TRUE)</f>
        <v>1</v>
      </c>
      <c r="H1160" s="4" t="b">
        <f>IFERROR(__xludf.DUMMYFUNCTION("""COMPUTED_VALUE"""),TRUE)</f>
        <v>1</v>
      </c>
      <c r="I1160" s="4">
        <f>IFERROR(__xludf.DUMMYFUNCTION("""COMPUTED_VALUE"""),0.2549440625)</f>
        <v>0.2549440625</v>
      </c>
      <c r="J1160" s="4">
        <f>IFERROR(__xludf.DUMMYFUNCTION("""COMPUTED_VALUE"""),45949.275953847435)</f>
        <v>45949.27595</v>
      </c>
      <c r="K1160" s="4" t="str">
        <f>IFERROR(__xludf.DUMMYFUNCTION("""COMPUTED_VALUE"""),"")</f>
        <v/>
      </c>
      <c r="L1160" s="4">
        <f>IFERROR(__xludf.DUMMYFUNCTION("""COMPUTED_VALUE"""),45949.29182795256)</f>
        <v>45949.29183</v>
      </c>
      <c r="M1160" s="1" t="str">
        <f>IFERROR(__xludf.DUMMYFUNCTION("""COMPUTED_VALUE"""),"RFID")</f>
        <v>RFID</v>
      </c>
      <c r="N1160" s="5">
        <f>IFERROR(__xludf.DUMMYFUNCTION("""COMPUTED_VALUE"""),0.008403912037037036)</f>
        <v>0.008403912037</v>
      </c>
      <c r="O1160" s="5" t="str">
        <f>IFERROR(__xludf.DUMMYFUNCTION("""COMPUTED_VALUE"""),"")</f>
        <v/>
      </c>
      <c r="P1160" s="5" t="str">
        <f>IFERROR(__xludf.DUMMYFUNCTION("""COMPUTED_VALUE"""),"")</f>
        <v/>
      </c>
      <c r="Q1160" s="5">
        <f>IFERROR(__xludf.DUMMYFUNCTION("""COMPUTED_VALUE"""),0.007376777777777778)</f>
        <v>0.007376777778</v>
      </c>
      <c r="R1160" s="4">
        <f>IFERROR(__xludf.DUMMYFUNCTION("""COMPUTED_VALUE"""),45949.03688389006)</f>
        <v>45949.03688</v>
      </c>
      <c r="S1160" s="1" t="b">
        <f>IFERROR(__xludf.DUMMYFUNCTION("""COMPUTED_VALUE"""),TRUE)</f>
        <v>1</v>
      </c>
      <c r="T1160" s="1" t="b">
        <f>IFERROR(__xludf.DUMMYFUNCTION("""COMPUTED_VALUE"""),FALSE)</f>
        <v>0</v>
      </c>
      <c r="U1160" s="1" t="str">
        <f>IFERROR(__xludf.DUMMYFUNCTION("""COMPUTED_VALUE"""),"VALID")</f>
        <v>VALID</v>
      </c>
      <c r="V1160" s="1">
        <f>IFERROR(__xludf.DUMMYFUNCTION("""COMPUTED_VALUE"""),216.0)</f>
        <v>216</v>
      </c>
      <c r="W1160" s="1">
        <f>IFERROR(__xludf.DUMMYFUNCTION("""COMPUTED_VALUE"""),1024.0)</f>
        <v>1024</v>
      </c>
      <c r="X1160" s="1">
        <f>IFERROR(__xludf.DUMMYFUNCTION("""COMPUTED_VALUE"""),268.0)</f>
        <v>268</v>
      </c>
      <c r="Y1160" s="2"/>
      <c r="Z1160" s="2"/>
    </row>
    <row r="1161">
      <c r="A1161" s="1">
        <f>IFERROR(__xludf.DUMMYFUNCTION("""COMPUTED_VALUE"""),1160.0)</f>
        <v>1160</v>
      </c>
      <c r="B1161" s="1">
        <f>IFERROR(__xludf.DUMMYFUNCTION("""COMPUTED_VALUE"""),5226.0)</f>
        <v>5226</v>
      </c>
      <c r="C1161" s="2" t="str">
        <f>IFERROR(__xludf.DUMMYFUNCTION("""COMPUTED_VALUE"""),"intan")</f>
        <v>intan</v>
      </c>
      <c r="D1161" s="2" t="str">
        <f>IFERROR(__xludf.DUMMYFUNCTION("""COMPUTED_VALUE"""),"5KM OVERALL F")</f>
        <v>5KM OVERALL F</v>
      </c>
      <c r="E1161" s="1">
        <f>IFERROR(__xludf.DUMMYFUNCTION("""COMPUTED_VALUE"""),2.0)</f>
        <v>2</v>
      </c>
      <c r="F1161" s="1" t="str">
        <f>IFERROR(__xludf.DUMMYFUNCTION("""COMPUTED_VALUE"""),"Female")</f>
        <v>Female</v>
      </c>
      <c r="G1161" s="4" t="b">
        <f>IFERROR(__xludf.DUMMYFUNCTION("""COMPUTED_VALUE"""),TRUE)</f>
        <v>1</v>
      </c>
      <c r="H1161" s="4" t="b">
        <f>IFERROR(__xludf.DUMMYFUNCTION("""COMPUTED_VALUE"""),FALSE)</f>
        <v>0</v>
      </c>
      <c r="I1161" s="4">
        <f>IFERROR(__xludf.DUMMYFUNCTION("""COMPUTED_VALUE"""),0.2549440625)</f>
        <v>0.2549440625</v>
      </c>
      <c r="J1161" s="4">
        <f>IFERROR(__xludf.DUMMYFUNCTION("""COMPUTED_VALUE"""),45949.27475586597)</f>
        <v>45949.27476</v>
      </c>
      <c r="K1161" s="4" t="str">
        <f>IFERROR(__xludf.DUMMYFUNCTION("""COMPUTED_VALUE"""),"")</f>
        <v/>
      </c>
      <c r="L1161" s="4">
        <f>IFERROR(__xludf.DUMMYFUNCTION("""COMPUTED_VALUE"""),45949.28866825542)</f>
        <v>45949.28867</v>
      </c>
      <c r="M1161" s="1" t="str">
        <f>IFERROR(__xludf.DUMMYFUNCTION("""COMPUTED_VALUE"""),"RFID")</f>
        <v>RFID</v>
      </c>
      <c r="N1161" s="5">
        <f>IFERROR(__xludf.DUMMYFUNCTION("""COMPUTED_VALUE"""),0.007924722222222222)</f>
        <v>0.007924722222</v>
      </c>
      <c r="O1161" s="5" t="str">
        <f>IFERROR(__xludf.DUMMYFUNCTION("""COMPUTED_VALUE"""),"")</f>
        <v/>
      </c>
      <c r="P1161" s="5" t="str">
        <f>IFERROR(__xludf.DUMMYFUNCTION("""COMPUTED_VALUE"""),"")</f>
        <v/>
      </c>
      <c r="Q1161" s="5">
        <f>IFERROR(__xludf.DUMMYFUNCTION("""COMPUTED_VALUE"""),0.006744837962962963)</f>
        <v>0.006744837963</v>
      </c>
      <c r="R1161" s="4">
        <f>IFERROR(__xludf.DUMMYFUNCTION("""COMPUTED_VALUE"""),45949.03372419292)</f>
        <v>45949.03372</v>
      </c>
      <c r="S1161" s="1" t="b">
        <f>IFERROR(__xludf.DUMMYFUNCTION("""COMPUTED_VALUE"""),TRUE)</f>
        <v>1</v>
      </c>
      <c r="T1161" s="1" t="b">
        <f>IFERROR(__xludf.DUMMYFUNCTION("""COMPUTED_VALUE"""),FALSE)</f>
        <v>0</v>
      </c>
      <c r="U1161" s="1" t="str">
        <f>IFERROR(__xludf.DUMMYFUNCTION("""COMPUTED_VALUE"""),"VALID")</f>
        <v>VALID</v>
      </c>
      <c r="V1161" s="1">
        <f>IFERROR(__xludf.DUMMYFUNCTION("""COMPUTED_VALUE"""),144.0)</f>
        <v>144</v>
      </c>
      <c r="W1161" s="1">
        <f>IFERROR(__xludf.DUMMYFUNCTION("""COMPUTED_VALUE"""),820.0)</f>
        <v>820</v>
      </c>
      <c r="X1161" s="1">
        <f>IFERROR(__xludf.DUMMYFUNCTION("""COMPUTED_VALUE"""),178.0)</f>
        <v>178</v>
      </c>
      <c r="Y1161" s="2"/>
      <c r="Z1161" s="2"/>
    </row>
    <row r="1162">
      <c r="A1162" s="1">
        <f>IFERROR(__xludf.DUMMYFUNCTION("""COMPUTED_VALUE"""),1161.0)</f>
        <v>1161</v>
      </c>
      <c r="B1162" s="1">
        <f>IFERROR(__xludf.DUMMYFUNCTION("""COMPUTED_VALUE"""),5227.0)</f>
        <v>5227</v>
      </c>
      <c r="C1162" s="2" t="str">
        <f>IFERROR(__xludf.DUMMYFUNCTION("""COMPUTED_VALUE"""),"Yada")</f>
        <v>Yada</v>
      </c>
      <c r="D1162" s="2" t="str">
        <f>IFERROR(__xludf.DUMMYFUNCTION("""COMPUTED_VALUE"""),"5KM OVERALL F")</f>
        <v>5KM OVERALL F</v>
      </c>
      <c r="E1162" s="1">
        <f>IFERROR(__xludf.DUMMYFUNCTION("""COMPUTED_VALUE"""),2.0)</f>
        <v>2</v>
      </c>
      <c r="F1162" s="1" t="str">
        <f>IFERROR(__xludf.DUMMYFUNCTION("""COMPUTED_VALUE"""),"Female")</f>
        <v>Female</v>
      </c>
      <c r="G1162" s="4" t="b">
        <f>IFERROR(__xludf.DUMMYFUNCTION("""COMPUTED_VALUE"""),TRUE)</f>
        <v>1</v>
      </c>
      <c r="H1162" s="4" t="b">
        <f>IFERROR(__xludf.DUMMYFUNCTION("""COMPUTED_VALUE"""),TRUE)</f>
        <v>1</v>
      </c>
      <c r="I1162" s="4">
        <f>IFERROR(__xludf.DUMMYFUNCTION("""COMPUTED_VALUE"""),0.2549440625)</f>
        <v>0.2549440625</v>
      </c>
      <c r="J1162" s="4">
        <f>IFERROR(__xludf.DUMMYFUNCTION("""COMPUTED_VALUE"""),45949.26516564652)</f>
        <v>45949.26517</v>
      </c>
      <c r="K1162" s="4" t="str">
        <f>IFERROR(__xludf.DUMMYFUNCTION("""COMPUTED_VALUE"""),"")</f>
        <v/>
      </c>
      <c r="L1162" s="4">
        <f>IFERROR(__xludf.DUMMYFUNCTION("""COMPUTED_VALUE"""),45949.273498104005)</f>
        <v>45949.2735</v>
      </c>
      <c r="M1162" s="1" t="str">
        <f>IFERROR(__xludf.DUMMYFUNCTION("""COMPUTED_VALUE"""),"RFID")</f>
        <v>RFID</v>
      </c>
      <c r="N1162" s="5">
        <f>IFERROR(__xludf.DUMMYFUNCTION("""COMPUTED_VALUE"""),0.004088634259259259)</f>
        <v>0.004088634259</v>
      </c>
      <c r="O1162" s="5" t="str">
        <f>IFERROR(__xludf.DUMMYFUNCTION("""COMPUTED_VALUE"""),"")</f>
        <v/>
      </c>
      <c r="P1162" s="5" t="str">
        <f>IFERROR(__xludf.DUMMYFUNCTION("""COMPUTED_VALUE"""),"")</f>
        <v/>
      </c>
      <c r="Q1162" s="5">
        <f>IFERROR(__xludf.DUMMYFUNCTION("""COMPUTED_VALUE"""),0.0037108078703703704)</f>
        <v>0.00371080787</v>
      </c>
      <c r="R1162" s="4">
        <f>IFERROR(__xludf.DUMMYFUNCTION("""COMPUTED_VALUE"""),45949.018554041504)</f>
        <v>45949.01855</v>
      </c>
      <c r="S1162" s="1" t="b">
        <f>IFERROR(__xludf.DUMMYFUNCTION("""COMPUTED_VALUE"""),TRUE)</f>
        <v>1</v>
      </c>
      <c r="T1162" s="1" t="b">
        <f>IFERROR(__xludf.DUMMYFUNCTION("""COMPUTED_VALUE"""),FALSE)</f>
        <v>0</v>
      </c>
      <c r="U1162" s="1" t="str">
        <f>IFERROR(__xludf.DUMMYFUNCTION("""COMPUTED_VALUE"""),"VALID")</f>
        <v>VALID</v>
      </c>
      <c r="V1162" s="1">
        <f>IFERROR(__xludf.DUMMYFUNCTION("""COMPUTED_VALUE"""),4.0)</f>
        <v>4</v>
      </c>
      <c r="W1162" s="1">
        <f>IFERROR(__xludf.DUMMYFUNCTION("""COMPUTED_VALUE"""),73.0)</f>
        <v>73</v>
      </c>
      <c r="X1162" s="1">
        <f>IFERROR(__xludf.DUMMYFUNCTION("""COMPUTED_VALUE"""),6.0)</f>
        <v>6</v>
      </c>
      <c r="Y1162" s="2"/>
      <c r="Z1162" s="2"/>
    </row>
    <row r="1163">
      <c r="A1163" s="1">
        <f>IFERROR(__xludf.DUMMYFUNCTION("""COMPUTED_VALUE"""),1162.0)</f>
        <v>1162</v>
      </c>
      <c r="B1163" s="1">
        <f>IFERROR(__xludf.DUMMYFUNCTION("""COMPUTED_VALUE"""),5232.0)</f>
        <v>5232</v>
      </c>
      <c r="C1163" s="2" t="str">
        <f>IFERROR(__xludf.DUMMYFUNCTION("""COMPUTED_VALUE"""),"INDRIANA D W")</f>
        <v>INDRIANA D W</v>
      </c>
      <c r="D1163" s="2" t="str">
        <f>IFERROR(__xludf.DUMMYFUNCTION("""COMPUTED_VALUE"""),"5KM OVERALL F")</f>
        <v>5KM OVERALL F</v>
      </c>
      <c r="E1163" s="1">
        <f>IFERROR(__xludf.DUMMYFUNCTION("""COMPUTED_VALUE"""),2.0)</f>
        <v>2</v>
      </c>
      <c r="F1163" s="1" t="str">
        <f>IFERROR(__xludf.DUMMYFUNCTION("""COMPUTED_VALUE"""),"Female")</f>
        <v>Female</v>
      </c>
      <c r="G1163" s="4" t="str">
        <f>IFERROR(__xludf.DUMMYFUNCTION("""COMPUTED_VALUE"""),"")</f>
        <v/>
      </c>
      <c r="H1163" s="4" t="b">
        <f>IFERROR(__xludf.DUMMYFUNCTION("""COMPUTED_VALUE"""),FALSE)</f>
        <v>0</v>
      </c>
      <c r="I1163" s="4">
        <f>IFERROR(__xludf.DUMMYFUNCTION("""COMPUTED_VALUE"""),0.2549440625)</f>
        <v>0.2549440625</v>
      </c>
      <c r="J1163" s="4" t="str">
        <f>IFERROR(__xludf.DUMMYFUNCTION("""COMPUTED_VALUE"""),"")</f>
        <v/>
      </c>
      <c r="K1163" s="4" t="str">
        <f>IFERROR(__xludf.DUMMYFUNCTION("""COMPUTED_VALUE"""),"")</f>
        <v/>
      </c>
      <c r="L1163" s="4" t="str">
        <f>IFERROR(__xludf.DUMMYFUNCTION("""COMPUTED_VALUE"""),"")</f>
        <v/>
      </c>
      <c r="M1163" s="1" t="str">
        <f>IFERROR(__xludf.DUMMYFUNCTION("""COMPUTED_VALUE"""),"RFID")</f>
        <v>RFID</v>
      </c>
      <c r="N1163" s="5" t="str">
        <f>IFERROR(__xludf.DUMMYFUNCTION("""COMPUTED_VALUE"""),"")</f>
        <v/>
      </c>
      <c r="O1163" s="5" t="str">
        <f>IFERROR(__xludf.DUMMYFUNCTION("""COMPUTED_VALUE"""),"")</f>
        <v/>
      </c>
      <c r="P1163" s="5" t="str">
        <f>IFERROR(__xludf.DUMMYFUNCTION("""COMPUTED_VALUE"""),"")</f>
        <v/>
      </c>
      <c r="Q1163" s="5" t="str">
        <f>IFERROR(__xludf.DUMMYFUNCTION("""COMPUTED_VALUE"""),"")</f>
        <v/>
      </c>
      <c r="R1163" s="4" t="str">
        <f>IFERROR(__xludf.DUMMYFUNCTION("""COMPUTED_VALUE"""),"")</f>
        <v/>
      </c>
      <c r="S1163" s="1" t="b">
        <f>IFERROR(__xludf.DUMMYFUNCTION("""COMPUTED_VALUE"""),FALSE)</f>
        <v>0</v>
      </c>
      <c r="T1163" s="1" t="b">
        <f>IFERROR(__xludf.DUMMYFUNCTION("""COMPUTED_VALUE"""),FALSE)</f>
        <v>0</v>
      </c>
      <c r="U1163" s="1" t="str">
        <f>IFERROR(__xludf.DUMMYFUNCTION("""COMPUTED_VALUE"""),"DSQ")</f>
        <v>DSQ</v>
      </c>
      <c r="V1163" s="1" t="str">
        <f>IFERROR(__xludf.DUMMYFUNCTION("""COMPUTED_VALUE"""),"DSQ")</f>
        <v>DSQ</v>
      </c>
      <c r="W1163" s="1" t="str">
        <f>IFERROR(__xludf.DUMMYFUNCTION("""COMPUTED_VALUE"""),"DSQ")</f>
        <v>DSQ</v>
      </c>
      <c r="X1163" s="1" t="str">
        <f>IFERROR(__xludf.DUMMYFUNCTION("""COMPUTED_VALUE"""),"DSQ")</f>
        <v>DSQ</v>
      </c>
      <c r="Y1163" s="2"/>
      <c r="Z1163" s="2" t="str">
        <f>IFERROR(__xludf.DUMMYFUNCTION("""COMPUTED_VALUE"""),"")</f>
        <v/>
      </c>
    </row>
    <row r="1164">
      <c r="A1164" s="1">
        <f>IFERROR(__xludf.DUMMYFUNCTION("""COMPUTED_VALUE"""),1163.0)</f>
        <v>1163</v>
      </c>
      <c r="B1164" s="1">
        <f>IFERROR(__xludf.DUMMYFUNCTION("""COMPUTED_VALUE"""),5235.0)</f>
        <v>5235</v>
      </c>
      <c r="C1164" s="2" t="str">
        <f>IFERROR(__xludf.DUMMYFUNCTION("""COMPUTED_VALUE"""),"NURUL")</f>
        <v>NURUL</v>
      </c>
      <c r="D1164" s="2" t="str">
        <f>IFERROR(__xludf.DUMMYFUNCTION("""COMPUTED_VALUE"""),"5KM OVERALL F")</f>
        <v>5KM OVERALL F</v>
      </c>
      <c r="E1164" s="1">
        <f>IFERROR(__xludf.DUMMYFUNCTION("""COMPUTED_VALUE"""),2.0)</f>
        <v>2</v>
      </c>
      <c r="F1164" s="1" t="str">
        <f>IFERROR(__xludf.DUMMYFUNCTION("""COMPUTED_VALUE"""),"Female")</f>
        <v>Female</v>
      </c>
      <c r="G1164" s="4" t="b">
        <f>IFERROR(__xludf.DUMMYFUNCTION("""COMPUTED_VALUE"""),TRUE)</f>
        <v>1</v>
      </c>
      <c r="H1164" s="4" t="b">
        <f>IFERROR(__xludf.DUMMYFUNCTION("""COMPUTED_VALUE"""),TRUE)</f>
        <v>1</v>
      </c>
      <c r="I1164" s="4">
        <f>IFERROR(__xludf.DUMMYFUNCTION("""COMPUTED_VALUE"""),0.2549440625)</f>
        <v>0.2549440625</v>
      </c>
      <c r="J1164" s="4">
        <f>IFERROR(__xludf.DUMMYFUNCTION("""COMPUTED_VALUE"""),45949.28128716418)</f>
        <v>45949.28129</v>
      </c>
      <c r="K1164" s="4" t="str">
        <f>IFERROR(__xludf.DUMMYFUNCTION("""COMPUTED_VALUE"""),"")</f>
        <v/>
      </c>
      <c r="L1164" s="4">
        <f>IFERROR(__xludf.DUMMYFUNCTION("""COMPUTED_VALUE"""),45949.30001921906)</f>
        <v>45949.30002</v>
      </c>
      <c r="M1164" s="1" t="str">
        <f>IFERROR(__xludf.DUMMYFUNCTION("""COMPUTED_VALUE"""),"RFID")</f>
        <v>RFID</v>
      </c>
      <c r="N1164" s="5">
        <f>IFERROR(__xludf.DUMMYFUNCTION("""COMPUTED_VALUE"""),0.01053724074074074)</f>
        <v>0.01053724074</v>
      </c>
      <c r="O1164" s="5" t="str">
        <f>IFERROR(__xludf.DUMMYFUNCTION("""COMPUTED_VALUE"""),"")</f>
        <v/>
      </c>
      <c r="P1164" s="5" t="str">
        <f>IFERROR(__xludf.DUMMYFUNCTION("""COMPUTED_VALUE"""),"")</f>
        <v/>
      </c>
      <c r="Q1164" s="5">
        <f>IFERROR(__xludf.DUMMYFUNCTION("""COMPUTED_VALUE"""),0.009015032407407409)</f>
        <v>0.009015032407</v>
      </c>
      <c r="R1164" s="4">
        <f>IFERROR(__xludf.DUMMYFUNCTION("""COMPUTED_VALUE"""),45949.04507515656)</f>
        <v>45949.04508</v>
      </c>
      <c r="S1164" s="1" t="b">
        <f>IFERROR(__xludf.DUMMYFUNCTION("""COMPUTED_VALUE"""),TRUE)</f>
        <v>1</v>
      </c>
      <c r="T1164" s="1" t="b">
        <f>IFERROR(__xludf.DUMMYFUNCTION("""COMPUTED_VALUE"""),FALSE)</f>
        <v>0</v>
      </c>
      <c r="U1164" s="1" t="str">
        <f>IFERROR(__xludf.DUMMYFUNCTION("""COMPUTED_VALUE"""),"VALID")</f>
        <v>VALID</v>
      </c>
      <c r="V1164" s="1">
        <f>IFERROR(__xludf.DUMMYFUNCTION("""COMPUTED_VALUE"""),417.0)</f>
        <v>417</v>
      </c>
      <c r="W1164" s="1">
        <f>IFERROR(__xludf.DUMMYFUNCTION("""COMPUTED_VALUE"""),1449.0)</f>
        <v>1449</v>
      </c>
      <c r="X1164" s="1">
        <f>IFERROR(__xludf.DUMMYFUNCTION("""COMPUTED_VALUE"""),511.0)</f>
        <v>511</v>
      </c>
      <c r="Y1164" s="2"/>
      <c r="Z1164" s="2"/>
    </row>
    <row r="1165">
      <c r="A1165" s="1">
        <f>IFERROR(__xludf.DUMMYFUNCTION("""COMPUTED_VALUE"""),1164.0)</f>
        <v>1164</v>
      </c>
      <c r="B1165" s="1">
        <f>IFERROR(__xludf.DUMMYFUNCTION("""COMPUTED_VALUE"""),5237.0)</f>
        <v>5237</v>
      </c>
      <c r="C1165" s="2" t="str">
        <f>IFERROR(__xludf.DUMMYFUNCTION("""COMPUTED_VALUE"""),"Titis Septiana")</f>
        <v>Titis Septiana</v>
      </c>
      <c r="D1165" s="2" t="str">
        <f>IFERROR(__xludf.DUMMYFUNCTION("""COMPUTED_VALUE"""),"5KM OVERALL F")</f>
        <v>5KM OVERALL F</v>
      </c>
      <c r="E1165" s="1">
        <f>IFERROR(__xludf.DUMMYFUNCTION("""COMPUTED_VALUE"""),2.0)</f>
        <v>2</v>
      </c>
      <c r="F1165" s="1" t="str">
        <f>IFERROR(__xludf.DUMMYFUNCTION("""COMPUTED_VALUE"""),"Female")</f>
        <v>Female</v>
      </c>
      <c r="G1165" s="4" t="b">
        <f>IFERROR(__xludf.DUMMYFUNCTION("""COMPUTED_VALUE"""),TRUE)</f>
        <v>1</v>
      </c>
      <c r="H1165" s="4" t="b">
        <f>IFERROR(__xludf.DUMMYFUNCTION("""COMPUTED_VALUE"""),FALSE)</f>
        <v>0</v>
      </c>
      <c r="I1165" s="4">
        <f>IFERROR(__xludf.DUMMYFUNCTION("""COMPUTED_VALUE"""),0.2549440625)</f>
        <v>0.2549440625</v>
      </c>
      <c r="J1165" s="4">
        <f>IFERROR(__xludf.DUMMYFUNCTION("""COMPUTED_VALUE"""),45949.280255863836)</f>
        <v>45949.28026</v>
      </c>
      <c r="K1165" s="4" t="str">
        <f>IFERROR(__xludf.DUMMYFUNCTION("""COMPUTED_VALUE"""),"")</f>
        <v/>
      </c>
      <c r="L1165" s="4">
        <f>IFERROR(__xludf.DUMMYFUNCTION("""COMPUTED_VALUE"""),45949.30001197585)</f>
        <v>45949.30001</v>
      </c>
      <c r="M1165" s="1" t="str">
        <f>IFERROR(__xludf.DUMMYFUNCTION("""COMPUTED_VALUE"""),"RFID")</f>
        <v>RFID</v>
      </c>
      <c r="N1165" s="5">
        <f>IFERROR(__xludf.DUMMYFUNCTION("""COMPUTED_VALUE"""),0.010124722222222222)</f>
        <v>0.01012472222</v>
      </c>
      <c r="O1165" s="5" t="str">
        <f>IFERROR(__xludf.DUMMYFUNCTION("""COMPUTED_VALUE"""),"")</f>
        <v/>
      </c>
      <c r="P1165" s="5" t="str">
        <f>IFERROR(__xludf.DUMMYFUNCTION("""COMPUTED_VALUE"""),"")</f>
        <v/>
      </c>
      <c r="Q1165" s="5">
        <f>IFERROR(__xludf.DUMMYFUNCTION("""COMPUTED_VALUE"""),0.009013583333333334)</f>
        <v>0.009013583333</v>
      </c>
      <c r="R1165" s="4">
        <f>IFERROR(__xludf.DUMMYFUNCTION("""COMPUTED_VALUE"""),45949.04506791335)</f>
        <v>45949.04507</v>
      </c>
      <c r="S1165" s="1" t="b">
        <f>IFERROR(__xludf.DUMMYFUNCTION("""COMPUTED_VALUE"""),TRUE)</f>
        <v>1</v>
      </c>
      <c r="T1165" s="1" t="b">
        <f>IFERROR(__xludf.DUMMYFUNCTION("""COMPUTED_VALUE"""),FALSE)</f>
        <v>0</v>
      </c>
      <c r="U1165" s="1" t="str">
        <f>IFERROR(__xludf.DUMMYFUNCTION("""COMPUTED_VALUE"""),"VALID")</f>
        <v>VALID</v>
      </c>
      <c r="V1165" s="1">
        <f>IFERROR(__xludf.DUMMYFUNCTION("""COMPUTED_VALUE"""),416.0)</f>
        <v>416</v>
      </c>
      <c r="W1165" s="1">
        <f>IFERROR(__xludf.DUMMYFUNCTION("""COMPUTED_VALUE"""),1448.0)</f>
        <v>1448</v>
      </c>
      <c r="X1165" s="1">
        <f>IFERROR(__xludf.DUMMYFUNCTION("""COMPUTED_VALUE"""),510.0)</f>
        <v>510</v>
      </c>
      <c r="Y1165" s="2"/>
      <c r="Z1165" s="2"/>
    </row>
    <row r="1166">
      <c r="A1166" s="1">
        <f>IFERROR(__xludf.DUMMYFUNCTION("""COMPUTED_VALUE"""),1165.0)</f>
        <v>1165</v>
      </c>
      <c r="B1166" s="1">
        <f>IFERROR(__xludf.DUMMYFUNCTION("""COMPUTED_VALUE"""),5238.0)</f>
        <v>5238</v>
      </c>
      <c r="C1166" s="2" t="str">
        <f>IFERROR(__xludf.DUMMYFUNCTION("""COMPUTED_VALUE"""),"INTAN S.P.D")</f>
        <v>INTAN S.P.D</v>
      </c>
      <c r="D1166" s="2" t="str">
        <f>IFERROR(__xludf.DUMMYFUNCTION("""COMPUTED_VALUE"""),"5KM OVERALL F")</f>
        <v>5KM OVERALL F</v>
      </c>
      <c r="E1166" s="1">
        <f>IFERROR(__xludf.DUMMYFUNCTION("""COMPUTED_VALUE"""),2.0)</f>
        <v>2</v>
      </c>
      <c r="F1166" s="1" t="str">
        <f>IFERROR(__xludf.DUMMYFUNCTION("""COMPUTED_VALUE"""),"Female")</f>
        <v>Female</v>
      </c>
      <c r="G1166" s="4" t="b">
        <f>IFERROR(__xludf.DUMMYFUNCTION("""COMPUTED_VALUE"""),TRUE)</f>
        <v>1</v>
      </c>
      <c r="H1166" s="4" t="b">
        <f>IFERROR(__xludf.DUMMYFUNCTION("""COMPUTED_VALUE"""),FALSE)</f>
        <v>0</v>
      </c>
      <c r="I1166" s="4">
        <f>IFERROR(__xludf.DUMMYFUNCTION("""COMPUTED_VALUE"""),0.2549440625)</f>
        <v>0.2549440625</v>
      </c>
      <c r="J1166" s="4">
        <f>IFERROR(__xludf.DUMMYFUNCTION("""COMPUTED_VALUE"""),45949.274281155456)</f>
        <v>45949.27428</v>
      </c>
      <c r="K1166" s="4" t="str">
        <f>IFERROR(__xludf.DUMMYFUNCTION("""COMPUTED_VALUE"""),"")</f>
        <v/>
      </c>
      <c r="L1166" s="4">
        <f>IFERROR(__xludf.DUMMYFUNCTION("""COMPUTED_VALUE"""),45949.28915434336)</f>
        <v>45949.28915</v>
      </c>
      <c r="M1166" s="1" t="str">
        <f>IFERROR(__xludf.DUMMYFUNCTION("""COMPUTED_VALUE"""),"RFID")</f>
        <v>RFID</v>
      </c>
      <c r="N1166" s="5">
        <f>IFERROR(__xludf.DUMMYFUNCTION("""COMPUTED_VALUE"""),0.0077348379629629625)</f>
        <v>0.007734837963</v>
      </c>
      <c r="O1166" s="5" t="str">
        <f>IFERROR(__xludf.DUMMYFUNCTION("""COMPUTED_VALUE"""),"")</f>
        <v/>
      </c>
      <c r="P1166" s="5" t="str">
        <f>IFERROR(__xludf.DUMMYFUNCTION("""COMPUTED_VALUE"""),"")</f>
        <v/>
      </c>
      <c r="Q1166" s="5">
        <f>IFERROR(__xludf.DUMMYFUNCTION("""COMPUTED_VALUE"""),0.006842055555555555)</f>
        <v>0.006842055556</v>
      </c>
      <c r="R1166" s="4">
        <f>IFERROR(__xludf.DUMMYFUNCTION("""COMPUTED_VALUE"""),45949.03421028086)</f>
        <v>45949.03421</v>
      </c>
      <c r="S1166" s="1" t="b">
        <f>IFERROR(__xludf.DUMMYFUNCTION("""COMPUTED_VALUE"""),TRUE)</f>
        <v>1</v>
      </c>
      <c r="T1166" s="1" t="b">
        <f>IFERROR(__xludf.DUMMYFUNCTION("""COMPUTED_VALUE"""),FALSE)</f>
        <v>0</v>
      </c>
      <c r="U1166" s="1" t="str">
        <f>IFERROR(__xludf.DUMMYFUNCTION("""COMPUTED_VALUE"""),"VALID")</f>
        <v>VALID</v>
      </c>
      <c r="V1166" s="1">
        <f>IFERROR(__xludf.DUMMYFUNCTION("""COMPUTED_VALUE"""),153.0)</f>
        <v>153</v>
      </c>
      <c r="W1166" s="1">
        <f>IFERROR(__xludf.DUMMYFUNCTION("""COMPUTED_VALUE"""),852.0)</f>
        <v>852</v>
      </c>
      <c r="X1166" s="1">
        <f>IFERROR(__xludf.DUMMYFUNCTION("""COMPUTED_VALUE"""),188.0)</f>
        <v>188</v>
      </c>
      <c r="Y1166" s="2"/>
      <c r="Z1166" s="2"/>
    </row>
    <row r="1167">
      <c r="A1167" s="1">
        <f>IFERROR(__xludf.DUMMYFUNCTION("""COMPUTED_VALUE"""),1166.0)</f>
        <v>1166</v>
      </c>
      <c r="B1167" s="1">
        <f>IFERROR(__xludf.DUMMYFUNCTION("""COMPUTED_VALUE"""),5249.0)</f>
        <v>5249</v>
      </c>
      <c r="C1167" s="2" t="str">
        <f>IFERROR(__xludf.DUMMYFUNCTION("""COMPUTED_VALUE"""),"Eka Sari Nurul Khotimah")</f>
        <v>Eka Sari Nurul Khotimah</v>
      </c>
      <c r="D1167" s="2" t="str">
        <f>IFERROR(__xludf.DUMMYFUNCTION("""COMPUTED_VALUE"""),"5KM OVERALL F")</f>
        <v>5KM OVERALL F</v>
      </c>
      <c r="E1167" s="1">
        <f>IFERROR(__xludf.DUMMYFUNCTION("""COMPUTED_VALUE"""),2.0)</f>
        <v>2</v>
      </c>
      <c r="F1167" s="1" t="str">
        <f>IFERROR(__xludf.DUMMYFUNCTION("""COMPUTED_VALUE"""),"Female")</f>
        <v>Female</v>
      </c>
      <c r="G1167" s="4" t="b">
        <f>IFERROR(__xludf.DUMMYFUNCTION("""COMPUTED_VALUE"""),TRUE)</f>
        <v>1</v>
      </c>
      <c r="H1167" s="4" t="b">
        <f>IFERROR(__xludf.DUMMYFUNCTION("""COMPUTED_VALUE"""),TRUE)</f>
        <v>1</v>
      </c>
      <c r="I1167" s="4">
        <f>IFERROR(__xludf.DUMMYFUNCTION("""COMPUTED_VALUE"""),0.2549440625)</f>
        <v>0.2549440625</v>
      </c>
      <c r="J1167" s="4">
        <f>IFERROR(__xludf.DUMMYFUNCTION("""COMPUTED_VALUE"""),45949.27487743283)</f>
        <v>45949.27488</v>
      </c>
      <c r="K1167" s="4" t="str">
        <f>IFERROR(__xludf.DUMMYFUNCTION("""COMPUTED_VALUE"""),"")</f>
        <v/>
      </c>
      <c r="L1167" s="4">
        <f>IFERROR(__xludf.DUMMYFUNCTION("""COMPUTED_VALUE"""),45949.291234216646)</f>
        <v>45949.29123</v>
      </c>
      <c r="M1167" s="1" t="str">
        <f>IFERROR(__xludf.DUMMYFUNCTION("""COMPUTED_VALUE"""),"RFID")</f>
        <v>RFID</v>
      </c>
      <c r="N1167" s="5">
        <f>IFERROR(__xludf.DUMMYFUNCTION("""COMPUTED_VALUE"""),0.007973347222222222)</f>
        <v>0.007973347222</v>
      </c>
      <c r="O1167" s="5" t="str">
        <f>IFERROR(__xludf.DUMMYFUNCTION("""COMPUTED_VALUE"""),"")</f>
        <v/>
      </c>
      <c r="P1167" s="5" t="str">
        <f>IFERROR(__xludf.DUMMYFUNCTION("""COMPUTED_VALUE"""),"")</f>
        <v/>
      </c>
      <c r="Q1167" s="5">
        <f>IFERROR(__xludf.DUMMYFUNCTION("""COMPUTED_VALUE"""),0.007258030092592594)</f>
        <v>0.007258030093</v>
      </c>
      <c r="R1167" s="4">
        <f>IFERROR(__xludf.DUMMYFUNCTION("""COMPUTED_VALUE"""),45949.036290154145)</f>
        <v>45949.03629</v>
      </c>
      <c r="S1167" s="1" t="b">
        <f>IFERROR(__xludf.DUMMYFUNCTION("""COMPUTED_VALUE"""),TRUE)</f>
        <v>1</v>
      </c>
      <c r="T1167" s="1" t="b">
        <f>IFERROR(__xludf.DUMMYFUNCTION("""COMPUTED_VALUE"""),FALSE)</f>
        <v>0</v>
      </c>
      <c r="U1167" s="1" t="str">
        <f>IFERROR(__xludf.DUMMYFUNCTION("""COMPUTED_VALUE"""),"VALID")</f>
        <v>VALID</v>
      </c>
      <c r="V1167" s="1">
        <f>IFERROR(__xludf.DUMMYFUNCTION("""COMPUTED_VALUE"""),192.0)</f>
        <v>192</v>
      </c>
      <c r="W1167" s="1">
        <f>IFERROR(__xludf.DUMMYFUNCTION("""COMPUTED_VALUE"""),977.0)</f>
        <v>977</v>
      </c>
      <c r="X1167" s="1">
        <f>IFERROR(__xludf.DUMMYFUNCTION("""COMPUTED_VALUE"""),242.0)</f>
        <v>242</v>
      </c>
      <c r="Y1167" s="2"/>
      <c r="Z1167" s="2"/>
    </row>
    <row r="1168">
      <c r="A1168" s="1">
        <f>IFERROR(__xludf.DUMMYFUNCTION("""COMPUTED_VALUE"""),1167.0)</f>
        <v>1167</v>
      </c>
      <c r="B1168" s="1">
        <f>IFERROR(__xludf.DUMMYFUNCTION("""COMPUTED_VALUE"""),5250.0)</f>
        <v>5250</v>
      </c>
      <c r="C1168" s="2" t="str">
        <f>IFERROR(__xludf.DUMMYFUNCTION("""COMPUTED_VALUE"""),"nonik")</f>
        <v>nonik</v>
      </c>
      <c r="D1168" s="2" t="str">
        <f>IFERROR(__xludf.DUMMYFUNCTION("""COMPUTED_VALUE"""),"5KM OVERALL F")</f>
        <v>5KM OVERALL F</v>
      </c>
      <c r="E1168" s="1">
        <f>IFERROR(__xludf.DUMMYFUNCTION("""COMPUTED_VALUE"""),2.0)</f>
        <v>2</v>
      </c>
      <c r="F1168" s="1" t="str">
        <f>IFERROR(__xludf.DUMMYFUNCTION("""COMPUTED_VALUE"""),"Female")</f>
        <v>Female</v>
      </c>
      <c r="G1168" s="4" t="b">
        <f>IFERROR(__xludf.DUMMYFUNCTION("""COMPUTED_VALUE"""),TRUE)</f>
        <v>1</v>
      </c>
      <c r="H1168" s="4" t="b">
        <f>IFERROR(__xludf.DUMMYFUNCTION("""COMPUTED_VALUE"""),FALSE)</f>
        <v>0</v>
      </c>
      <c r="I1168" s="4">
        <f>IFERROR(__xludf.DUMMYFUNCTION("""COMPUTED_VALUE"""),0.2549440625)</f>
        <v>0.2549440625</v>
      </c>
      <c r="J1168" s="4">
        <f>IFERROR(__xludf.DUMMYFUNCTION("""COMPUTED_VALUE"""),45949.27740174194)</f>
        <v>45949.2774</v>
      </c>
      <c r="K1168" s="4" t="str">
        <f>IFERROR(__xludf.DUMMYFUNCTION("""COMPUTED_VALUE"""),"")</f>
        <v/>
      </c>
      <c r="L1168" s="4">
        <f>IFERROR(__xludf.DUMMYFUNCTION("""COMPUTED_VALUE"""),45949.293192555524)</f>
        <v>45949.29319</v>
      </c>
      <c r="M1168" s="1" t="str">
        <f>IFERROR(__xludf.DUMMYFUNCTION("""COMPUTED_VALUE"""),"RFID")</f>
        <v>RFID</v>
      </c>
      <c r="N1168" s="5">
        <f>IFERROR(__xludf.DUMMYFUNCTION("""COMPUTED_VALUE"""),0.008983074074074074)</f>
        <v>0.008983074074</v>
      </c>
      <c r="O1168" s="5" t="str">
        <f>IFERROR(__xludf.DUMMYFUNCTION("""COMPUTED_VALUE"""),"")</f>
        <v/>
      </c>
      <c r="P1168" s="5" t="str">
        <f>IFERROR(__xludf.DUMMYFUNCTION("""COMPUTED_VALUE"""),"")</f>
        <v/>
      </c>
      <c r="Q1168" s="5">
        <f>IFERROR(__xludf.DUMMYFUNCTION("""COMPUTED_VALUE"""),0.007649699074074074)</f>
        <v>0.007649699074</v>
      </c>
      <c r="R1168" s="4">
        <f>IFERROR(__xludf.DUMMYFUNCTION("""COMPUTED_VALUE"""),45949.03824849302)</f>
        <v>45949.03825</v>
      </c>
      <c r="S1168" s="1" t="b">
        <f>IFERROR(__xludf.DUMMYFUNCTION("""COMPUTED_VALUE"""),TRUE)</f>
        <v>1</v>
      </c>
      <c r="T1168" s="1" t="b">
        <f>IFERROR(__xludf.DUMMYFUNCTION("""COMPUTED_VALUE"""),FALSE)</f>
        <v>0</v>
      </c>
      <c r="U1168" s="1" t="str">
        <f>IFERROR(__xludf.DUMMYFUNCTION("""COMPUTED_VALUE"""),"VALID")</f>
        <v>VALID</v>
      </c>
      <c r="V1168" s="1">
        <f>IFERROR(__xludf.DUMMYFUNCTION("""COMPUTED_VALUE"""),259.0)</f>
        <v>259</v>
      </c>
      <c r="W1168" s="1">
        <f>IFERROR(__xludf.DUMMYFUNCTION("""COMPUTED_VALUE"""),1118.0)</f>
        <v>1118</v>
      </c>
      <c r="X1168" s="1">
        <f>IFERROR(__xludf.DUMMYFUNCTION("""COMPUTED_VALUE"""),317.0)</f>
        <v>317</v>
      </c>
      <c r="Y1168" s="2"/>
      <c r="Z1168" s="2"/>
    </row>
    <row r="1169">
      <c r="A1169" s="1">
        <f>IFERROR(__xludf.DUMMYFUNCTION("""COMPUTED_VALUE"""),1168.0)</f>
        <v>1168</v>
      </c>
      <c r="B1169" s="1">
        <f>IFERROR(__xludf.DUMMYFUNCTION("""COMPUTED_VALUE"""),5254.0)</f>
        <v>5254</v>
      </c>
      <c r="C1169" s="2" t="str">
        <f>IFERROR(__xludf.DUMMYFUNCTION("""COMPUTED_VALUE"""),"Suci")</f>
        <v>Suci</v>
      </c>
      <c r="D1169" s="2" t="str">
        <f>IFERROR(__xludf.DUMMYFUNCTION("""COMPUTED_VALUE"""),"5KM OVERALL F")</f>
        <v>5KM OVERALL F</v>
      </c>
      <c r="E1169" s="1">
        <f>IFERROR(__xludf.DUMMYFUNCTION("""COMPUTED_VALUE"""),2.0)</f>
        <v>2</v>
      </c>
      <c r="F1169" s="1" t="str">
        <f>IFERROR(__xludf.DUMMYFUNCTION("""COMPUTED_VALUE"""),"Female")</f>
        <v>Female</v>
      </c>
      <c r="G1169" s="4" t="b">
        <f>IFERROR(__xludf.DUMMYFUNCTION("""COMPUTED_VALUE"""),TRUE)</f>
        <v>1</v>
      </c>
      <c r="H1169" s="4" t="b">
        <f>IFERROR(__xludf.DUMMYFUNCTION("""COMPUTED_VALUE"""),TRUE)</f>
        <v>1</v>
      </c>
      <c r="I1169" s="4">
        <f>IFERROR(__xludf.DUMMYFUNCTION("""COMPUTED_VALUE"""),0.2549440625)</f>
        <v>0.2549440625</v>
      </c>
      <c r="J1169" s="4">
        <f>IFERROR(__xludf.DUMMYFUNCTION("""COMPUTED_VALUE"""),45949.278866986904)</f>
        <v>45949.27887</v>
      </c>
      <c r="K1169" s="4" t="str">
        <f>IFERROR(__xludf.DUMMYFUNCTION("""COMPUTED_VALUE"""),"")</f>
        <v/>
      </c>
      <c r="L1169" s="4">
        <f>IFERROR(__xludf.DUMMYFUNCTION("""COMPUTED_VALUE"""),45949.29643560402)</f>
        <v>45949.29644</v>
      </c>
      <c r="M1169" s="1" t="str">
        <f>IFERROR(__xludf.DUMMYFUNCTION("""COMPUTED_VALUE"""),"RFID")</f>
        <v>RFID</v>
      </c>
      <c r="N1169" s="5">
        <f>IFERROR(__xludf.DUMMYFUNCTION("""COMPUTED_VALUE"""),0.009569171296296296)</f>
        <v>0.009569171296</v>
      </c>
      <c r="O1169" s="5" t="str">
        <f>IFERROR(__xludf.DUMMYFUNCTION("""COMPUTED_VALUE"""),"")</f>
        <v/>
      </c>
      <c r="P1169" s="5" t="str">
        <f>IFERROR(__xludf.DUMMYFUNCTION("""COMPUTED_VALUE"""),"")</f>
        <v/>
      </c>
      <c r="Q1169" s="5">
        <f>IFERROR(__xludf.DUMMYFUNCTION("""COMPUTED_VALUE"""),0.00829830787037037)</f>
        <v>0.00829830787</v>
      </c>
      <c r="R1169" s="4">
        <f>IFERROR(__xludf.DUMMYFUNCTION("""COMPUTED_VALUE"""),45949.04149154152)</f>
        <v>45949.04149</v>
      </c>
      <c r="S1169" s="1" t="b">
        <f>IFERROR(__xludf.DUMMYFUNCTION("""COMPUTED_VALUE"""),TRUE)</f>
        <v>1</v>
      </c>
      <c r="T1169" s="1" t="b">
        <f>IFERROR(__xludf.DUMMYFUNCTION("""COMPUTED_VALUE"""),FALSE)</f>
        <v>0</v>
      </c>
      <c r="U1169" s="1" t="str">
        <f>IFERROR(__xludf.DUMMYFUNCTION("""COMPUTED_VALUE"""),"VALID")</f>
        <v>VALID</v>
      </c>
      <c r="V1169" s="1">
        <f>IFERROR(__xludf.DUMMYFUNCTION("""COMPUTED_VALUE"""),349.0)</f>
        <v>349</v>
      </c>
      <c r="W1169" s="1">
        <f>IFERROR(__xludf.DUMMYFUNCTION("""COMPUTED_VALUE"""),1312.0)</f>
        <v>1312</v>
      </c>
      <c r="X1169" s="1">
        <f>IFERROR(__xludf.DUMMYFUNCTION("""COMPUTED_VALUE"""),423.0)</f>
        <v>423</v>
      </c>
      <c r="Y1169" s="2"/>
      <c r="Z1169" s="2"/>
    </row>
    <row r="1170">
      <c r="A1170" s="1">
        <f>IFERROR(__xludf.DUMMYFUNCTION("""COMPUTED_VALUE"""),1169.0)</f>
        <v>1169</v>
      </c>
      <c r="B1170" s="1">
        <f>IFERROR(__xludf.DUMMYFUNCTION("""COMPUTED_VALUE"""),5256.0)</f>
        <v>5256</v>
      </c>
      <c r="C1170" s="2" t="str">
        <f>IFERROR(__xludf.DUMMYFUNCTION("""COMPUTED_VALUE"""),"Ria Puspita")</f>
        <v>Ria Puspita</v>
      </c>
      <c r="D1170" s="2" t="str">
        <f>IFERROR(__xludf.DUMMYFUNCTION("""COMPUTED_VALUE"""),"5KM OVERALL F")</f>
        <v>5KM OVERALL F</v>
      </c>
      <c r="E1170" s="1">
        <f>IFERROR(__xludf.DUMMYFUNCTION("""COMPUTED_VALUE"""),2.0)</f>
        <v>2</v>
      </c>
      <c r="F1170" s="1" t="str">
        <f>IFERROR(__xludf.DUMMYFUNCTION("""COMPUTED_VALUE"""),"Female")</f>
        <v>Female</v>
      </c>
      <c r="G1170" s="4" t="b">
        <f>IFERROR(__xludf.DUMMYFUNCTION("""COMPUTED_VALUE"""),TRUE)</f>
        <v>1</v>
      </c>
      <c r="H1170" s="4" t="b">
        <f>IFERROR(__xludf.DUMMYFUNCTION("""COMPUTED_VALUE"""),TRUE)</f>
        <v>1</v>
      </c>
      <c r="I1170" s="4">
        <f>IFERROR(__xludf.DUMMYFUNCTION("""COMPUTED_VALUE"""),0.2549440625)</f>
        <v>0.2549440625</v>
      </c>
      <c r="J1170" s="4">
        <f>IFERROR(__xludf.DUMMYFUNCTION("""COMPUTED_VALUE"""),45949.27821767297)</f>
        <v>45949.27822</v>
      </c>
      <c r="K1170" s="4" t="str">
        <f>IFERROR(__xludf.DUMMYFUNCTION("""COMPUTED_VALUE"""),"")</f>
        <v/>
      </c>
      <c r="L1170" s="4">
        <f>IFERROR(__xludf.DUMMYFUNCTION("""COMPUTED_VALUE"""),45949.295491148936)</f>
        <v>45949.29549</v>
      </c>
      <c r="M1170" s="1" t="str">
        <f>IFERROR(__xludf.DUMMYFUNCTION("""COMPUTED_VALUE"""),"RFID")</f>
        <v>RFID</v>
      </c>
      <c r="N1170" s="5">
        <f>IFERROR(__xludf.DUMMYFUNCTION("""COMPUTED_VALUE"""),0.009309444444444443)</f>
        <v>0.009309444444</v>
      </c>
      <c r="O1170" s="5" t="str">
        <f>IFERROR(__xludf.DUMMYFUNCTION("""COMPUTED_VALUE"""),"")</f>
        <v/>
      </c>
      <c r="P1170" s="5" t="str">
        <f>IFERROR(__xludf.DUMMYFUNCTION("""COMPUTED_VALUE"""),"")</f>
        <v/>
      </c>
      <c r="Q1170" s="5">
        <f>IFERROR(__xludf.DUMMYFUNCTION("""COMPUTED_VALUE"""),0.008109416666666666)</f>
        <v>0.008109416667</v>
      </c>
      <c r="R1170" s="4">
        <f>IFERROR(__xludf.DUMMYFUNCTION("""COMPUTED_VALUE"""),45949.040547086435)</f>
        <v>45949.04055</v>
      </c>
      <c r="S1170" s="1" t="b">
        <f>IFERROR(__xludf.DUMMYFUNCTION("""COMPUTED_VALUE"""),TRUE)</f>
        <v>1</v>
      </c>
      <c r="T1170" s="1" t="b">
        <f>IFERROR(__xludf.DUMMYFUNCTION("""COMPUTED_VALUE"""),FALSE)</f>
        <v>0</v>
      </c>
      <c r="U1170" s="1" t="str">
        <f>IFERROR(__xludf.DUMMYFUNCTION("""COMPUTED_VALUE"""),"VALID")</f>
        <v>VALID</v>
      </c>
      <c r="V1170" s="1">
        <f>IFERROR(__xludf.DUMMYFUNCTION("""COMPUTED_VALUE"""),331.0)</f>
        <v>331</v>
      </c>
      <c r="W1170" s="1">
        <f>IFERROR(__xludf.DUMMYFUNCTION("""COMPUTED_VALUE"""),1272.0)</f>
        <v>1272</v>
      </c>
      <c r="X1170" s="1">
        <f>IFERROR(__xludf.DUMMYFUNCTION("""COMPUTED_VALUE"""),401.0)</f>
        <v>401</v>
      </c>
      <c r="Y1170" s="2"/>
      <c r="Z1170" s="2"/>
    </row>
    <row r="1171">
      <c r="A1171" s="1">
        <f>IFERROR(__xludf.DUMMYFUNCTION("""COMPUTED_VALUE"""),1170.0)</f>
        <v>1170</v>
      </c>
      <c r="B1171" s="1">
        <f>IFERROR(__xludf.DUMMYFUNCTION("""COMPUTED_VALUE"""),5257.0)</f>
        <v>5257</v>
      </c>
      <c r="C1171" s="2" t="str">
        <f>IFERROR(__xludf.DUMMYFUNCTION("""COMPUTED_VALUE"""),"Lia")</f>
        <v>Lia</v>
      </c>
      <c r="D1171" s="2" t="str">
        <f>IFERROR(__xludf.DUMMYFUNCTION("""COMPUTED_VALUE"""),"5KM OVERALL F")</f>
        <v>5KM OVERALL F</v>
      </c>
      <c r="E1171" s="1">
        <f>IFERROR(__xludf.DUMMYFUNCTION("""COMPUTED_VALUE"""),2.0)</f>
        <v>2</v>
      </c>
      <c r="F1171" s="1" t="str">
        <f>IFERROR(__xludf.DUMMYFUNCTION("""COMPUTED_VALUE"""),"Female")</f>
        <v>Female</v>
      </c>
      <c r="G1171" s="4" t="b">
        <f>IFERROR(__xludf.DUMMYFUNCTION("""COMPUTED_VALUE"""),TRUE)</f>
        <v>1</v>
      </c>
      <c r="H1171" s="4" t="b">
        <f>IFERROR(__xludf.DUMMYFUNCTION("""COMPUTED_VALUE"""),FALSE)</f>
        <v>0</v>
      </c>
      <c r="I1171" s="4">
        <f>IFERROR(__xludf.DUMMYFUNCTION("""COMPUTED_VALUE"""),0.2549440625)</f>
        <v>0.2549440625</v>
      </c>
      <c r="J1171" s="4">
        <f>IFERROR(__xludf.DUMMYFUNCTION("""COMPUTED_VALUE"""),45949.27555447993)</f>
        <v>45949.27555</v>
      </c>
      <c r="K1171" s="4" t="str">
        <f>IFERROR(__xludf.DUMMYFUNCTION("""COMPUTED_VALUE"""),"")</f>
        <v/>
      </c>
      <c r="L1171" s="4">
        <f>IFERROR(__xludf.DUMMYFUNCTION("""COMPUTED_VALUE"""),45949.29385225517)</f>
        <v>45949.29385</v>
      </c>
      <c r="M1171" s="1" t="str">
        <f>IFERROR(__xludf.DUMMYFUNCTION("""COMPUTED_VALUE"""),"RFID")</f>
        <v>RFID</v>
      </c>
      <c r="N1171" s="5">
        <f>IFERROR(__xludf.DUMMYFUNCTION("""COMPUTED_VALUE"""),0.008244166666666667)</f>
        <v>0.008244166667</v>
      </c>
      <c r="O1171" s="5" t="str">
        <f>IFERROR(__xludf.DUMMYFUNCTION("""COMPUTED_VALUE"""),"")</f>
        <v/>
      </c>
      <c r="P1171" s="5" t="str">
        <f>IFERROR(__xludf.DUMMYFUNCTION("""COMPUTED_VALUE"""),"")</f>
        <v/>
      </c>
      <c r="Q1171" s="5">
        <f>IFERROR(__xludf.DUMMYFUNCTION("""COMPUTED_VALUE"""),0.007781638888888889)</f>
        <v>0.007781638889</v>
      </c>
      <c r="R1171" s="4">
        <f>IFERROR(__xludf.DUMMYFUNCTION("""COMPUTED_VALUE"""),45949.03890819267)</f>
        <v>45949.03891</v>
      </c>
      <c r="S1171" s="1" t="b">
        <f>IFERROR(__xludf.DUMMYFUNCTION("""COMPUTED_VALUE"""),TRUE)</f>
        <v>1</v>
      </c>
      <c r="T1171" s="1" t="b">
        <f>IFERROR(__xludf.DUMMYFUNCTION("""COMPUTED_VALUE"""),FALSE)</f>
        <v>0</v>
      </c>
      <c r="U1171" s="1" t="str">
        <f>IFERROR(__xludf.DUMMYFUNCTION("""COMPUTED_VALUE"""),"VALID")</f>
        <v>VALID</v>
      </c>
      <c r="V1171" s="1">
        <f>IFERROR(__xludf.DUMMYFUNCTION("""COMPUTED_VALUE"""),283.0)</f>
        <v>283</v>
      </c>
      <c r="W1171" s="1">
        <f>IFERROR(__xludf.DUMMYFUNCTION("""COMPUTED_VALUE"""),1164.0)</f>
        <v>1164</v>
      </c>
      <c r="X1171" s="1">
        <f>IFERROR(__xludf.DUMMYFUNCTION("""COMPUTED_VALUE"""),342.0)</f>
        <v>342</v>
      </c>
      <c r="Y1171" s="2"/>
      <c r="Z1171" s="2"/>
    </row>
    <row r="1172">
      <c r="A1172" s="1">
        <f>IFERROR(__xludf.DUMMYFUNCTION("""COMPUTED_VALUE"""),1171.0)</f>
        <v>1171</v>
      </c>
      <c r="B1172" s="1">
        <f>IFERROR(__xludf.DUMMYFUNCTION("""COMPUTED_VALUE"""),5258.0)</f>
        <v>5258</v>
      </c>
      <c r="C1172" s="2" t="str">
        <f>IFERROR(__xludf.DUMMYFUNCTION("""COMPUTED_VALUE"""),"desprina")</f>
        <v>desprina</v>
      </c>
      <c r="D1172" s="2" t="str">
        <f>IFERROR(__xludf.DUMMYFUNCTION("""COMPUTED_VALUE"""),"5KM OVERALL F")</f>
        <v>5KM OVERALL F</v>
      </c>
      <c r="E1172" s="1">
        <f>IFERROR(__xludf.DUMMYFUNCTION("""COMPUTED_VALUE"""),2.0)</f>
        <v>2</v>
      </c>
      <c r="F1172" s="1" t="str">
        <f>IFERROR(__xludf.DUMMYFUNCTION("""COMPUTED_VALUE"""),"Female")</f>
        <v>Female</v>
      </c>
      <c r="G1172" s="4" t="b">
        <f>IFERROR(__xludf.DUMMYFUNCTION("""COMPUTED_VALUE"""),TRUE)</f>
        <v>1</v>
      </c>
      <c r="H1172" s="4" t="b">
        <f>IFERROR(__xludf.DUMMYFUNCTION("""COMPUTED_VALUE"""),FALSE)</f>
        <v>0</v>
      </c>
      <c r="I1172" s="4">
        <f>IFERROR(__xludf.DUMMYFUNCTION("""COMPUTED_VALUE"""),0.2549440625)</f>
        <v>0.2549440625</v>
      </c>
      <c r="J1172" s="4">
        <f>IFERROR(__xludf.DUMMYFUNCTION("""COMPUTED_VALUE"""),45949.281714183155)</f>
        <v>45949.28171</v>
      </c>
      <c r="K1172" s="4" t="str">
        <f>IFERROR(__xludf.DUMMYFUNCTION("""COMPUTED_VALUE"""),"")</f>
        <v/>
      </c>
      <c r="L1172" s="4">
        <f>IFERROR(__xludf.DUMMYFUNCTION("""COMPUTED_VALUE"""),45949.304494621545)</f>
        <v>45949.30449</v>
      </c>
      <c r="M1172" s="1" t="str">
        <f>IFERROR(__xludf.DUMMYFUNCTION("""COMPUTED_VALUE"""),"RFID")</f>
        <v>RFID</v>
      </c>
      <c r="N1172" s="5">
        <f>IFERROR(__xludf.DUMMYFUNCTION("""COMPUTED_VALUE"""),0.010708046296296297)</f>
        <v>0.0107080463</v>
      </c>
      <c r="O1172" s="5" t="str">
        <f>IFERROR(__xludf.DUMMYFUNCTION("""COMPUTED_VALUE"""),"")</f>
        <v/>
      </c>
      <c r="P1172" s="5" t="str">
        <f>IFERROR(__xludf.DUMMYFUNCTION("""COMPUTED_VALUE"""),"")</f>
        <v/>
      </c>
      <c r="Q1172" s="5">
        <f>IFERROR(__xludf.DUMMYFUNCTION("""COMPUTED_VALUE"""),0.009910111111111109)</f>
        <v>0.009910111111</v>
      </c>
      <c r="R1172" s="4">
        <f>IFERROR(__xludf.DUMMYFUNCTION("""COMPUTED_VALUE"""),45949.049550559044)</f>
        <v>45949.04955</v>
      </c>
      <c r="S1172" s="1" t="b">
        <f>IFERROR(__xludf.DUMMYFUNCTION("""COMPUTED_VALUE"""),TRUE)</f>
        <v>1</v>
      </c>
      <c r="T1172" s="1" t="b">
        <f>IFERROR(__xludf.DUMMYFUNCTION("""COMPUTED_VALUE"""),FALSE)</f>
        <v>0</v>
      </c>
      <c r="U1172" s="1" t="str">
        <f>IFERROR(__xludf.DUMMYFUNCTION("""COMPUTED_VALUE"""),"VALID")</f>
        <v>VALID</v>
      </c>
      <c r="V1172" s="1">
        <f>IFERROR(__xludf.DUMMYFUNCTION("""COMPUTED_VALUE"""),483.0)</f>
        <v>483</v>
      </c>
      <c r="W1172" s="1">
        <f>IFERROR(__xludf.DUMMYFUNCTION("""COMPUTED_VALUE"""),1568.0)</f>
        <v>1568</v>
      </c>
      <c r="X1172" s="1">
        <f>IFERROR(__xludf.DUMMYFUNCTION("""COMPUTED_VALUE"""),592.0)</f>
        <v>592</v>
      </c>
      <c r="Y1172" s="2"/>
      <c r="Z1172" s="2"/>
    </row>
    <row r="1173">
      <c r="A1173" s="1">
        <f>IFERROR(__xludf.DUMMYFUNCTION("""COMPUTED_VALUE"""),1172.0)</f>
        <v>1172</v>
      </c>
      <c r="B1173" s="1">
        <f>IFERROR(__xludf.DUMMYFUNCTION("""COMPUTED_VALUE"""),5262.0)</f>
        <v>5262</v>
      </c>
      <c r="C1173" s="2" t="str">
        <f>IFERROR(__xludf.DUMMYFUNCTION("""COMPUTED_VALUE"""),"Halimah Abdul")</f>
        <v>Halimah Abdul</v>
      </c>
      <c r="D1173" s="2" t="str">
        <f>IFERROR(__xludf.DUMMYFUNCTION("""COMPUTED_VALUE"""),"5KM OVERALL F")</f>
        <v>5KM OVERALL F</v>
      </c>
      <c r="E1173" s="1">
        <f>IFERROR(__xludf.DUMMYFUNCTION("""COMPUTED_VALUE"""),2.0)</f>
        <v>2</v>
      </c>
      <c r="F1173" s="1" t="str">
        <f>IFERROR(__xludf.DUMMYFUNCTION("""COMPUTED_VALUE"""),"Female")</f>
        <v>Female</v>
      </c>
      <c r="G1173" s="4" t="b">
        <f>IFERROR(__xludf.DUMMYFUNCTION("""COMPUTED_VALUE"""),TRUE)</f>
        <v>1</v>
      </c>
      <c r="H1173" s="4" t="b">
        <f>IFERROR(__xludf.DUMMYFUNCTION("""COMPUTED_VALUE"""),FALSE)</f>
        <v>0</v>
      </c>
      <c r="I1173" s="4">
        <f>IFERROR(__xludf.DUMMYFUNCTION("""COMPUTED_VALUE"""),0.2549440625)</f>
        <v>0.2549440625</v>
      </c>
      <c r="J1173" s="4">
        <f>IFERROR(__xludf.DUMMYFUNCTION("""COMPUTED_VALUE"""),45949.277658688596)</f>
        <v>45949.27766</v>
      </c>
      <c r="K1173" s="4" t="str">
        <f>IFERROR(__xludf.DUMMYFUNCTION("""COMPUTED_VALUE"""),"")</f>
        <v/>
      </c>
      <c r="L1173" s="4">
        <f>IFERROR(__xludf.DUMMYFUNCTION("""COMPUTED_VALUE"""),45949.29488699886)</f>
        <v>45949.29489</v>
      </c>
      <c r="M1173" s="1" t="str">
        <f>IFERROR(__xludf.DUMMYFUNCTION("""COMPUTED_VALUE"""),"RFID")</f>
        <v>RFID</v>
      </c>
      <c r="N1173" s="5">
        <f>IFERROR(__xludf.DUMMYFUNCTION("""COMPUTED_VALUE"""),0.009085851851851852)</f>
        <v>0.009085851852</v>
      </c>
      <c r="O1173" s="5" t="str">
        <f>IFERROR(__xludf.DUMMYFUNCTION("""COMPUTED_VALUE"""),"")</f>
        <v/>
      </c>
      <c r="P1173" s="5" t="str">
        <f>IFERROR(__xludf.DUMMYFUNCTION("""COMPUTED_VALUE"""),"")</f>
        <v/>
      </c>
      <c r="Q1173" s="5">
        <f>IFERROR(__xludf.DUMMYFUNCTION("""COMPUTED_VALUE"""),0.007988587962962963)</f>
        <v>0.007988587963</v>
      </c>
      <c r="R1173" s="4">
        <f>IFERROR(__xludf.DUMMYFUNCTION("""COMPUTED_VALUE"""),45949.03994293636)</f>
        <v>45949.03994</v>
      </c>
      <c r="S1173" s="1" t="b">
        <f>IFERROR(__xludf.DUMMYFUNCTION("""COMPUTED_VALUE"""),TRUE)</f>
        <v>1</v>
      </c>
      <c r="T1173" s="1" t="b">
        <f>IFERROR(__xludf.DUMMYFUNCTION("""COMPUTED_VALUE"""),FALSE)</f>
        <v>0</v>
      </c>
      <c r="U1173" s="1" t="str">
        <f>IFERROR(__xludf.DUMMYFUNCTION("""COMPUTED_VALUE"""),"VALID")</f>
        <v>VALID</v>
      </c>
      <c r="V1173" s="1">
        <f>IFERROR(__xludf.DUMMYFUNCTION("""COMPUTED_VALUE"""),319.0)</f>
        <v>319</v>
      </c>
      <c r="W1173" s="1">
        <f>IFERROR(__xludf.DUMMYFUNCTION("""COMPUTED_VALUE"""),1242.0)</f>
        <v>1242</v>
      </c>
      <c r="X1173" s="1">
        <f>IFERROR(__xludf.DUMMYFUNCTION("""COMPUTED_VALUE"""),386.0)</f>
        <v>386</v>
      </c>
      <c r="Y1173" s="2"/>
      <c r="Z1173" s="2"/>
    </row>
    <row r="1174">
      <c r="A1174" s="1">
        <f>IFERROR(__xludf.DUMMYFUNCTION("""COMPUTED_VALUE"""),1173.0)</f>
        <v>1173</v>
      </c>
      <c r="B1174" s="1">
        <f>IFERROR(__xludf.DUMMYFUNCTION("""COMPUTED_VALUE"""),5271.0)</f>
        <v>5271</v>
      </c>
      <c r="C1174" s="2" t="str">
        <f>IFERROR(__xludf.DUMMYFUNCTION("""COMPUTED_VALUE"""),"Ema")</f>
        <v>Ema</v>
      </c>
      <c r="D1174" s="2" t="str">
        <f>IFERROR(__xludf.DUMMYFUNCTION("""COMPUTED_VALUE"""),"5KM OVERALL F")</f>
        <v>5KM OVERALL F</v>
      </c>
      <c r="E1174" s="1">
        <f>IFERROR(__xludf.DUMMYFUNCTION("""COMPUTED_VALUE"""),2.0)</f>
        <v>2</v>
      </c>
      <c r="F1174" s="1" t="str">
        <f>IFERROR(__xludf.DUMMYFUNCTION("""COMPUTED_VALUE"""),"Female")</f>
        <v>Female</v>
      </c>
      <c r="G1174" s="4" t="b">
        <f>IFERROR(__xludf.DUMMYFUNCTION("""COMPUTED_VALUE"""),TRUE)</f>
        <v>1</v>
      </c>
      <c r="H1174" s="4" t="b">
        <f>IFERROR(__xludf.DUMMYFUNCTION("""COMPUTED_VALUE"""),FALSE)</f>
        <v>0</v>
      </c>
      <c r="I1174" s="4">
        <f>IFERROR(__xludf.DUMMYFUNCTION("""COMPUTED_VALUE"""),0.2549440625)</f>
        <v>0.2549440625</v>
      </c>
      <c r="J1174" s="4">
        <f>IFERROR(__xludf.DUMMYFUNCTION("""COMPUTED_VALUE"""),45949.277016270986)</f>
        <v>45949.27702</v>
      </c>
      <c r="K1174" s="4" t="str">
        <f>IFERROR(__xludf.DUMMYFUNCTION("""COMPUTED_VALUE"""),"")</f>
        <v/>
      </c>
      <c r="L1174" s="4">
        <f>IFERROR(__xludf.DUMMYFUNCTION("""COMPUTED_VALUE"""),45949.29380711501)</f>
        <v>45949.29381</v>
      </c>
      <c r="M1174" s="1" t="str">
        <f>IFERROR(__xludf.DUMMYFUNCTION("""COMPUTED_VALUE"""),"RFID")</f>
        <v>RFID</v>
      </c>
      <c r="N1174" s="5">
        <f>IFERROR(__xludf.DUMMYFUNCTION("""COMPUTED_VALUE"""),0.008828884259259259)</f>
        <v>0.008828884259</v>
      </c>
      <c r="O1174" s="5" t="str">
        <f>IFERROR(__xludf.DUMMYFUNCTION("""COMPUTED_VALUE"""),"")</f>
        <v/>
      </c>
      <c r="P1174" s="5" t="str">
        <f>IFERROR(__xludf.DUMMYFUNCTION("""COMPUTED_VALUE"""),"")</f>
        <v/>
      </c>
      <c r="Q1174" s="5">
        <f>IFERROR(__xludf.DUMMYFUNCTION("""COMPUTED_VALUE"""),0.00777261111111111)</f>
        <v>0.007772611111</v>
      </c>
      <c r="R1174" s="4">
        <f>IFERROR(__xludf.DUMMYFUNCTION("""COMPUTED_VALUE"""),45949.03886305251)</f>
        <v>45949.03886</v>
      </c>
      <c r="S1174" s="1" t="b">
        <f>IFERROR(__xludf.DUMMYFUNCTION("""COMPUTED_VALUE"""),TRUE)</f>
        <v>1</v>
      </c>
      <c r="T1174" s="1" t="b">
        <f>IFERROR(__xludf.DUMMYFUNCTION("""COMPUTED_VALUE"""),FALSE)</f>
        <v>0</v>
      </c>
      <c r="U1174" s="1" t="str">
        <f>IFERROR(__xludf.DUMMYFUNCTION("""COMPUTED_VALUE"""),"VALID")</f>
        <v>VALID</v>
      </c>
      <c r="V1174" s="1">
        <f>IFERROR(__xludf.DUMMYFUNCTION("""COMPUTED_VALUE"""),280.0)</f>
        <v>280</v>
      </c>
      <c r="W1174" s="1">
        <f>IFERROR(__xludf.DUMMYFUNCTION("""COMPUTED_VALUE"""),1161.0)</f>
        <v>1161</v>
      </c>
      <c r="X1174" s="1">
        <f>IFERROR(__xludf.DUMMYFUNCTION("""COMPUTED_VALUE"""),339.0)</f>
        <v>339</v>
      </c>
      <c r="Y1174" s="2"/>
      <c r="Z1174" s="2"/>
    </row>
    <row r="1175">
      <c r="A1175" s="1">
        <f>IFERROR(__xludf.DUMMYFUNCTION("""COMPUTED_VALUE"""),1174.0)</f>
        <v>1174</v>
      </c>
      <c r="B1175" s="1">
        <f>IFERROR(__xludf.DUMMYFUNCTION("""COMPUTED_VALUE"""),5273.0)</f>
        <v>5273</v>
      </c>
      <c r="C1175" s="2" t="str">
        <f>IFERROR(__xludf.DUMMYFUNCTION("""COMPUTED_VALUE"""),"atiksuryandari")</f>
        <v>atiksuryandari</v>
      </c>
      <c r="D1175" s="2" t="str">
        <f>IFERROR(__xludf.DUMMYFUNCTION("""COMPUTED_VALUE"""),"5KM OVERALL F")</f>
        <v>5KM OVERALL F</v>
      </c>
      <c r="E1175" s="1">
        <f>IFERROR(__xludf.DUMMYFUNCTION("""COMPUTED_VALUE"""),2.0)</f>
        <v>2</v>
      </c>
      <c r="F1175" s="1" t="str">
        <f>IFERROR(__xludf.DUMMYFUNCTION("""COMPUTED_VALUE"""),"Female")</f>
        <v>Female</v>
      </c>
      <c r="G1175" s="4" t="b">
        <f>IFERROR(__xludf.DUMMYFUNCTION("""COMPUTED_VALUE"""),TRUE)</f>
        <v>1</v>
      </c>
      <c r="H1175" s="4" t="b">
        <f>IFERROR(__xludf.DUMMYFUNCTION("""COMPUTED_VALUE"""),TRUE)</f>
        <v>1</v>
      </c>
      <c r="I1175" s="4">
        <f>IFERROR(__xludf.DUMMYFUNCTION("""COMPUTED_VALUE"""),0.2549440625)</f>
        <v>0.2549440625</v>
      </c>
      <c r="J1175" s="4">
        <f>IFERROR(__xludf.DUMMYFUNCTION("""COMPUTED_VALUE"""),45949.27668651888)</f>
        <v>45949.27669</v>
      </c>
      <c r="K1175" s="4" t="str">
        <f>IFERROR(__xludf.DUMMYFUNCTION("""COMPUTED_VALUE"""),"")</f>
        <v/>
      </c>
      <c r="L1175" s="4">
        <f>IFERROR(__xludf.DUMMYFUNCTION("""COMPUTED_VALUE"""),45949.292199480245)</f>
        <v>45949.2922</v>
      </c>
      <c r="M1175" s="1" t="str">
        <f>IFERROR(__xludf.DUMMYFUNCTION("""COMPUTED_VALUE"""),"RFID")</f>
        <v>RFID</v>
      </c>
      <c r="N1175" s="5">
        <f>IFERROR(__xludf.DUMMYFUNCTION("""COMPUTED_VALUE"""),0.008696981481481483)</f>
        <v>0.008696981481</v>
      </c>
      <c r="O1175" s="5" t="str">
        <f>IFERROR(__xludf.DUMMYFUNCTION("""COMPUTED_VALUE"""),"")</f>
        <v/>
      </c>
      <c r="P1175" s="5" t="str">
        <f>IFERROR(__xludf.DUMMYFUNCTION("""COMPUTED_VALUE"""),"")</f>
        <v/>
      </c>
      <c r="Q1175" s="5">
        <f>IFERROR(__xludf.DUMMYFUNCTION("""COMPUTED_VALUE"""),0.007451083333333333)</f>
        <v>0.007451083333</v>
      </c>
      <c r="R1175" s="4">
        <f>IFERROR(__xludf.DUMMYFUNCTION("""COMPUTED_VALUE"""),45949.037255417745)</f>
        <v>45949.03726</v>
      </c>
      <c r="S1175" s="1" t="b">
        <f>IFERROR(__xludf.DUMMYFUNCTION("""COMPUTED_VALUE"""),TRUE)</f>
        <v>1</v>
      </c>
      <c r="T1175" s="1" t="b">
        <f>IFERROR(__xludf.DUMMYFUNCTION("""COMPUTED_VALUE"""),FALSE)</f>
        <v>0</v>
      </c>
      <c r="U1175" s="1" t="str">
        <f>IFERROR(__xludf.DUMMYFUNCTION("""COMPUTED_VALUE"""),"VALID")</f>
        <v>VALID</v>
      </c>
      <c r="V1175" s="1">
        <f>IFERROR(__xludf.DUMMYFUNCTION("""COMPUTED_VALUE"""),227.0)</f>
        <v>227</v>
      </c>
      <c r="W1175" s="1">
        <f>IFERROR(__xludf.DUMMYFUNCTION("""COMPUTED_VALUE"""),1044.0)</f>
        <v>1044</v>
      </c>
      <c r="X1175" s="1">
        <f>IFERROR(__xludf.DUMMYFUNCTION("""COMPUTED_VALUE"""),280.0)</f>
        <v>280</v>
      </c>
      <c r="Y1175" s="2"/>
      <c r="Z1175" s="2"/>
    </row>
    <row r="1176">
      <c r="A1176" s="1">
        <f>IFERROR(__xludf.DUMMYFUNCTION("""COMPUTED_VALUE"""),1175.0)</f>
        <v>1175</v>
      </c>
      <c r="B1176" s="1">
        <f>IFERROR(__xludf.DUMMYFUNCTION("""COMPUTED_VALUE"""),5275.0)</f>
        <v>5275</v>
      </c>
      <c r="C1176" s="2" t="str">
        <f>IFERROR(__xludf.DUMMYFUNCTION("""COMPUTED_VALUE"""),"Binta Rizqi")</f>
        <v>Binta Rizqi</v>
      </c>
      <c r="D1176" s="2" t="str">
        <f>IFERROR(__xludf.DUMMYFUNCTION("""COMPUTED_VALUE"""),"5KM OVERALL F")</f>
        <v>5KM OVERALL F</v>
      </c>
      <c r="E1176" s="1">
        <f>IFERROR(__xludf.DUMMYFUNCTION("""COMPUTED_VALUE"""),2.0)</f>
        <v>2</v>
      </c>
      <c r="F1176" s="1" t="str">
        <f>IFERROR(__xludf.DUMMYFUNCTION("""COMPUTED_VALUE"""),"Female")</f>
        <v>Female</v>
      </c>
      <c r="G1176" s="4" t="b">
        <f>IFERROR(__xludf.DUMMYFUNCTION("""COMPUTED_VALUE"""),TRUE)</f>
        <v>1</v>
      </c>
      <c r="H1176" s="4" t="b">
        <f>IFERROR(__xludf.DUMMYFUNCTION("""COMPUTED_VALUE"""),TRUE)</f>
        <v>1</v>
      </c>
      <c r="I1176" s="4">
        <f>IFERROR(__xludf.DUMMYFUNCTION("""COMPUTED_VALUE"""),0.2549440625)</f>
        <v>0.2549440625</v>
      </c>
      <c r="J1176" s="4">
        <f>IFERROR(__xludf.DUMMYFUNCTION("""COMPUTED_VALUE"""),45949.28184619364)</f>
        <v>45949.28185</v>
      </c>
      <c r="K1176" s="4" t="str">
        <f>IFERROR(__xludf.DUMMYFUNCTION("""COMPUTED_VALUE"""),"")</f>
        <v/>
      </c>
      <c r="L1176" s="4">
        <f>IFERROR(__xludf.DUMMYFUNCTION("""COMPUTED_VALUE"""),45949.301209927435)</f>
        <v>45949.30121</v>
      </c>
      <c r="M1176" s="1" t="str">
        <f>IFERROR(__xludf.DUMMYFUNCTION("""COMPUTED_VALUE"""),"RFID")</f>
        <v>RFID</v>
      </c>
      <c r="N1176" s="5">
        <f>IFERROR(__xludf.DUMMYFUNCTION("""COMPUTED_VALUE"""),0.010760851851851851)</f>
        <v>0.01076085185</v>
      </c>
      <c r="O1176" s="5" t="str">
        <f>IFERROR(__xludf.DUMMYFUNCTION("""COMPUTED_VALUE"""),"")</f>
        <v/>
      </c>
      <c r="P1176" s="5" t="str">
        <f>IFERROR(__xludf.DUMMYFUNCTION("""COMPUTED_VALUE"""),"")</f>
        <v/>
      </c>
      <c r="Q1176" s="5">
        <f>IFERROR(__xludf.DUMMYFUNCTION("""COMPUTED_VALUE"""),0.009253173611111111)</f>
        <v>0.009253173611</v>
      </c>
      <c r="R1176" s="4">
        <f>IFERROR(__xludf.DUMMYFUNCTION("""COMPUTED_VALUE"""),45949.046265864934)</f>
        <v>45949.04627</v>
      </c>
      <c r="S1176" s="1" t="b">
        <f>IFERROR(__xludf.DUMMYFUNCTION("""COMPUTED_VALUE"""),TRUE)</f>
        <v>1</v>
      </c>
      <c r="T1176" s="1" t="b">
        <f>IFERROR(__xludf.DUMMYFUNCTION("""COMPUTED_VALUE"""),FALSE)</f>
        <v>0</v>
      </c>
      <c r="U1176" s="1" t="str">
        <f>IFERROR(__xludf.DUMMYFUNCTION("""COMPUTED_VALUE"""),"VALID")</f>
        <v>VALID</v>
      </c>
      <c r="V1176" s="1">
        <f>IFERROR(__xludf.DUMMYFUNCTION("""COMPUTED_VALUE"""),450.0)</f>
        <v>450</v>
      </c>
      <c r="W1176" s="1">
        <f>IFERROR(__xludf.DUMMYFUNCTION("""COMPUTED_VALUE"""),1501.0)</f>
        <v>1501</v>
      </c>
      <c r="X1176" s="1">
        <f>IFERROR(__xludf.DUMMYFUNCTION("""COMPUTED_VALUE"""),548.0)</f>
        <v>548</v>
      </c>
      <c r="Y1176" s="2"/>
      <c r="Z1176" s="2"/>
    </row>
    <row r="1177">
      <c r="A1177" s="1">
        <f>IFERROR(__xludf.DUMMYFUNCTION("""COMPUTED_VALUE"""),1176.0)</f>
        <v>1176</v>
      </c>
      <c r="B1177" s="1">
        <f>IFERROR(__xludf.DUMMYFUNCTION("""COMPUTED_VALUE"""),5276.0)</f>
        <v>5276</v>
      </c>
      <c r="C1177" s="2" t="str">
        <f>IFERROR(__xludf.DUMMYFUNCTION("""COMPUTED_VALUE"""),"Dewi")</f>
        <v>Dewi</v>
      </c>
      <c r="D1177" s="2" t="str">
        <f>IFERROR(__xludf.DUMMYFUNCTION("""COMPUTED_VALUE"""),"5KM OVERALL F")</f>
        <v>5KM OVERALL F</v>
      </c>
      <c r="E1177" s="1">
        <f>IFERROR(__xludf.DUMMYFUNCTION("""COMPUTED_VALUE"""),2.0)</f>
        <v>2</v>
      </c>
      <c r="F1177" s="1" t="str">
        <f>IFERROR(__xludf.DUMMYFUNCTION("""COMPUTED_VALUE"""),"Female")</f>
        <v>Female</v>
      </c>
      <c r="G1177" s="4" t="b">
        <f>IFERROR(__xludf.DUMMYFUNCTION("""COMPUTED_VALUE"""),TRUE)</f>
        <v>1</v>
      </c>
      <c r="H1177" s="4" t="b">
        <f>IFERROR(__xludf.DUMMYFUNCTION("""COMPUTED_VALUE"""),TRUE)</f>
        <v>1</v>
      </c>
      <c r="I1177" s="4">
        <f>IFERROR(__xludf.DUMMYFUNCTION("""COMPUTED_VALUE"""),0.2549440625)</f>
        <v>0.2549440625</v>
      </c>
      <c r="J1177" s="4">
        <f>IFERROR(__xludf.DUMMYFUNCTION("""COMPUTED_VALUE"""),45949.27353022315)</f>
        <v>45949.27353</v>
      </c>
      <c r="K1177" s="4" t="str">
        <f>IFERROR(__xludf.DUMMYFUNCTION("""COMPUTED_VALUE"""),"")</f>
        <v/>
      </c>
      <c r="L1177" s="4">
        <f>IFERROR(__xludf.DUMMYFUNCTION("""COMPUTED_VALUE"""),45949.28857100198)</f>
        <v>45949.28857</v>
      </c>
      <c r="M1177" s="1" t="str">
        <f>IFERROR(__xludf.DUMMYFUNCTION("""COMPUTED_VALUE"""),"RFID")</f>
        <v>RFID</v>
      </c>
      <c r="N1177" s="5">
        <f>IFERROR(__xludf.DUMMYFUNCTION("""COMPUTED_VALUE"""),0.007434462962962964)</f>
        <v>0.007434462963</v>
      </c>
      <c r="O1177" s="5" t="str">
        <f>IFERROR(__xludf.DUMMYFUNCTION("""COMPUTED_VALUE"""),"")</f>
        <v/>
      </c>
      <c r="P1177" s="5" t="str">
        <f>IFERROR(__xludf.DUMMYFUNCTION("""COMPUTED_VALUE"""),"")</f>
        <v/>
      </c>
      <c r="Q1177" s="5">
        <f>IFERROR(__xludf.DUMMYFUNCTION("""COMPUTED_VALUE"""),0.006725388888888889)</f>
        <v>0.006725388889</v>
      </c>
      <c r="R1177" s="4">
        <f>IFERROR(__xludf.DUMMYFUNCTION("""COMPUTED_VALUE"""),45949.033626939476)</f>
        <v>45949.03363</v>
      </c>
      <c r="S1177" s="1" t="b">
        <f>IFERROR(__xludf.DUMMYFUNCTION("""COMPUTED_VALUE"""),TRUE)</f>
        <v>1</v>
      </c>
      <c r="T1177" s="1" t="b">
        <f>IFERROR(__xludf.DUMMYFUNCTION("""COMPUTED_VALUE"""),FALSE)</f>
        <v>0</v>
      </c>
      <c r="U1177" s="1" t="str">
        <f>IFERROR(__xludf.DUMMYFUNCTION("""COMPUTED_VALUE"""),"VALID")</f>
        <v>VALID</v>
      </c>
      <c r="V1177" s="1">
        <f>IFERROR(__xludf.DUMMYFUNCTION("""COMPUTED_VALUE"""),143.0)</f>
        <v>143</v>
      </c>
      <c r="W1177" s="1">
        <f>IFERROR(__xludf.DUMMYFUNCTION("""COMPUTED_VALUE"""),817.0)</f>
        <v>817</v>
      </c>
      <c r="X1177" s="1">
        <f>IFERROR(__xludf.DUMMYFUNCTION("""COMPUTED_VALUE"""),177.0)</f>
        <v>177</v>
      </c>
      <c r="Y1177" s="2"/>
      <c r="Z1177" s="2"/>
    </row>
    <row r="1178">
      <c r="A1178" s="1">
        <f>IFERROR(__xludf.DUMMYFUNCTION("""COMPUTED_VALUE"""),1177.0)</f>
        <v>1177</v>
      </c>
      <c r="B1178" s="1">
        <f>IFERROR(__xludf.DUMMYFUNCTION("""COMPUTED_VALUE"""),5277.0)</f>
        <v>5277</v>
      </c>
      <c r="C1178" s="2" t="str">
        <f>IFERROR(__xludf.DUMMYFUNCTION("""COMPUTED_VALUE"""),"HALIMAH")</f>
        <v>HALIMAH</v>
      </c>
      <c r="D1178" s="2" t="str">
        <f>IFERROR(__xludf.DUMMYFUNCTION("""COMPUTED_VALUE"""),"5KM OVERALL F")</f>
        <v>5KM OVERALL F</v>
      </c>
      <c r="E1178" s="1">
        <f>IFERROR(__xludf.DUMMYFUNCTION("""COMPUTED_VALUE"""),2.0)</f>
        <v>2</v>
      </c>
      <c r="F1178" s="1" t="str">
        <f>IFERROR(__xludf.DUMMYFUNCTION("""COMPUTED_VALUE"""),"Female")</f>
        <v>Female</v>
      </c>
      <c r="G1178" s="4" t="str">
        <f>IFERROR(__xludf.DUMMYFUNCTION("""COMPUTED_VALUE"""),"")</f>
        <v/>
      </c>
      <c r="H1178" s="4" t="b">
        <f>IFERROR(__xludf.DUMMYFUNCTION("""COMPUTED_VALUE"""),FALSE)</f>
        <v>0</v>
      </c>
      <c r="I1178" s="4">
        <f>IFERROR(__xludf.DUMMYFUNCTION("""COMPUTED_VALUE"""),0.2549440625)</f>
        <v>0.2549440625</v>
      </c>
      <c r="J1178" s="4" t="str">
        <f>IFERROR(__xludf.DUMMYFUNCTION("""COMPUTED_VALUE"""),"")</f>
        <v/>
      </c>
      <c r="K1178" s="4" t="str">
        <f>IFERROR(__xludf.DUMMYFUNCTION("""COMPUTED_VALUE"""),"")</f>
        <v/>
      </c>
      <c r="L1178" s="4" t="str">
        <f>IFERROR(__xludf.DUMMYFUNCTION("""COMPUTED_VALUE"""),"")</f>
        <v/>
      </c>
      <c r="M1178" s="1" t="str">
        <f>IFERROR(__xludf.DUMMYFUNCTION("""COMPUTED_VALUE"""),"RFID")</f>
        <v>RFID</v>
      </c>
      <c r="N1178" s="5" t="str">
        <f>IFERROR(__xludf.DUMMYFUNCTION("""COMPUTED_VALUE"""),"")</f>
        <v/>
      </c>
      <c r="O1178" s="5" t="str">
        <f>IFERROR(__xludf.DUMMYFUNCTION("""COMPUTED_VALUE"""),"")</f>
        <v/>
      </c>
      <c r="P1178" s="5" t="str">
        <f>IFERROR(__xludf.DUMMYFUNCTION("""COMPUTED_VALUE"""),"")</f>
        <v/>
      </c>
      <c r="Q1178" s="5" t="str">
        <f>IFERROR(__xludf.DUMMYFUNCTION("""COMPUTED_VALUE"""),"")</f>
        <v/>
      </c>
      <c r="R1178" s="4" t="str">
        <f>IFERROR(__xludf.DUMMYFUNCTION("""COMPUTED_VALUE"""),"")</f>
        <v/>
      </c>
      <c r="S1178" s="1" t="b">
        <f>IFERROR(__xludf.DUMMYFUNCTION("""COMPUTED_VALUE"""),FALSE)</f>
        <v>0</v>
      </c>
      <c r="T1178" s="1" t="b">
        <f>IFERROR(__xludf.DUMMYFUNCTION("""COMPUTED_VALUE"""),FALSE)</f>
        <v>0</v>
      </c>
      <c r="U1178" s="1" t="str">
        <f>IFERROR(__xludf.DUMMYFUNCTION("""COMPUTED_VALUE"""),"DSQ")</f>
        <v>DSQ</v>
      </c>
      <c r="V1178" s="1" t="str">
        <f>IFERROR(__xludf.DUMMYFUNCTION("""COMPUTED_VALUE"""),"DSQ")</f>
        <v>DSQ</v>
      </c>
      <c r="W1178" s="1" t="str">
        <f>IFERROR(__xludf.DUMMYFUNCTION("""COMPUTED_VALUE"""),"DSQ")</f>
        <v>DSQ</v>
      </c>
      <c r="X1178" s="1" t="str">
        <f>IFERROR(__xludf.DUMMYFUNCTION("""COMPUTED_VALUE"""),"DSQ")</f>
        <v>DSQ</v>
      </c>
      <c r="Y1178" s="2"/>
      <c r="Z1178" s="2" t="str">
        <f>IFERROR(__xludf.DUMMYFUNCTION("""COMPUTED_VALUE"""),"")</f>
        <v/>
      </c>
    </row>
    <row r="1179">
      <c r="A1179" s="1">
        <f>IFERROR(__xludf.DUMMYFUNCTION("""COMPUTED_VALUE"""),1178.0)</f>
        <v>1178</v>
      </c>
      <c r="B1179" s="1">
        <f>IFERROR(__xludf.DUMMYFUNCTION("""COMPUTED_VALUE"""),5282.0)</f>
        <v>5282</v>
      </c>
      <c r="C1179" s="2" t="str">
        <f>IFERROR(__xludf.DUMMYFUNCTION("""COMPUTED_VALUE"""),"Nova Ersaria")</f>
        <v>Nova Ersaria</v>
      </c>
      <c r="D1179" s="2" t="str">
        <f>IFERROR(__xludf.DUMMYFUNCTION("""COMPUTED_VALUE"""),"5KM OVERALL F")</f>
        <v>5KM OVERALL F</v>
      </c>
      <c r="E1179" s="1">
        <f>IFERROR(__xludf.DUMMYFUNCTION("""COMPUTED_VALUE"""),2.0)</f>
        <v>2</v>
      </c>
      <c r="F1179" s="1" t="str">
        <f>IFERROR(__xludf.DUMMYFUNCTION("""COMPUTED_VALUE"""),"Female")</f>
        <v>Female</v>
      </c>
      <c r="G1179" s="4" t="b">
        <f>IFERROR(__xludf.DUMMYFUNCTION("""COMPUTED_VALUE"""),TRUE)</f>
        <v>1</v>
      </c>
      <c r="H1179" s="4" t="b">
        <f>IFERROR(__xludf.DUMMYFUNCTION("""COMPUTED_VALUE"""),TRUE)</f>
        <v>1</v>
      </c>
      <c r="I1179" s="4">
        <f>IFERROR(__xludf.DUMMYFUNCTION("""COMPUTED_VALUE"""),0.2549440625)</f>
        <v>0.2549440625</v>
      </c>
      <c r="J1179" s="4">
        <f>IFERROR(__xludf.DUMMYFUNCTION("""COMPUTED_VALUE"""),45949.282332303585)</f>
        <v>45949.28233</v>
      </c>
      <c r="K1179" s="4" t="str">
        <f>IFERROR(__xludf.DUMMYFUNCTION("""COMPUTED_VALUE"""),"")</f>
        <v/>
      </c>
      <c r="L1179" s="4">
        <f>IFERROR(__xludf.DUMMYFUNCTION("""COMPUTED_VALUE"""),45949.30101545988)</f>
        <v>45949.30102</v>
      </c>
      <c r="M1179" s="1" t="str">
        <f>IFERROR(__xludf.DUMMYFUNCTION("""COMPUTED_VALUE"""),"RFID")</f>
        <v>RFID</v>
      </c>
      <c r="N1179" s="5">
        <f>IFERROR(__xludf.DUMMYFUNCTION("""COMPUTED_VALUE"""),0.010955296296296296)</f>
        <v>0.0109552963</v>
      </c>
      <c r="O1179" s="5" t="str">
        <f>IFERROR(__xludf.DUMMYFUNCTION("""COMPUTED_VALUE"""),"")</f>
        <v/>
      </c>
      <c r="P1179" s="5" t="str">
        <f>IFERROR(__xludf.DUMMYFUNCTION("""COMPUTED_VALUE"""),"")</f>
        <v/>
      </c>
      <c r="Q1179" s="5">
        <f>IFERROR(__xludf.DUMMYFUNCTION("""COMPUTED_VALUE"""),0.009214280092592593)</f>
        <v>0.009214280093</v>
      </c>
      <c r="R1179" s="4">
        <f>IFERROR(__xludf.DUMMYFUNCTION("""COMPUTED_VALUE"""),45949.04607139738)</f>
        <v>45949.04607</v>
      </c>
      <c r="S1179" s="1" t="b">
        <f>IFERROR(__xludf.DUMMYFUNCTION("""COMPUTED_VALUE"""),TRUE)</f>
        <v>1</v>
      </c>
      <c r="T1179" s="1" t="b">
        <f>IFERROR(__xludf.DUMMYFUNCTION("""COMPUTED_VALUE"""),FALSE)</f>
        <v>0</v>
      </c>
      <c r="U1179" s="1" t="str">
        <f>IFERROR(__xludf.DUMMYFUNCTION("""COMPUTED_VALUE"""),"VALID")</f>
        <v>VALID</v>
      </c>
      <c r="V1179" s="1">
        <f>IFERROR(__xludf.DUMMYFUNCTION("""COMPUTED_VALUE"""),441.0)</f>
        <v>441</v>
      </c>
      <c r="W1179" s="1">
        <f>IFERROR(__xludf.DUMMYFUNCTION("""COMPUTED_VALUE"""),1486.0)</f>
        <v>1486</v>
      </c>
      <c r="X1179" s="1">
        <f>IFERROR(__xludf.DUMMYFUNCTION("""COMPUTED_VALUE"""),539.0)</f>
        <v>539</v>
      </c>
      <c r="Y1179" s="2"/>
      <c r="Z1179" s="2"/>
    </row>
    <row r="1180">
      <c r="A1180" s="1">
        <f>IFERROR(__xludf.DUMMYFUNCTION("""COMPUTED_VALUE"""),1179.0)</f>
        <v>1179</v>
      </c>
      <c r="B1180" s="1">
        <f>IFERROR(__xludf.DUMMYFUNCTION("""COMPUTED_VALUE"""),5284.0)</f>
        <v>5284</v>
      </c>
      <c r="C1180" s="2" t="str">
        <f>IFERROR(__xludf.DUMMYFUNCTION("""COMPUTED_VALUE"""),"Aulia_asen")</f>
        <v>Aulia_asen</v>
      </c>
      <c r="D1180" s="2" t="str">
        <f>IFERROR(__xludf.DUMMYFUNCTION("""COMPUTED_VALUE"""),"5KM OVERALL F")</f>
        <v>5KM OVERALL F</v>
      </c>
      <c r="E1180" s="1">
        <f>IFERROR(__xludf.DUMMYFUNCTION("""COMPUTED_VALUE"""),2.0)</f>
        <v>2</v>
      </c>
      <c r="F1180" s="1" t="str">
        <f>IFERROR(__xludf.DUMMYFUNCTION("""COMPUTED_VALUE"""),"Female")</f>
        <v>Female</v>
      </c>
      <c r="G1180" s="4" t="b">
        <f>IFERROR(__xludf.DUMMYFUNCTION("""COMPUTED_VALUE"""),TRUE)</f>
        <v>1</v>
      </c>
      <c r="H1180" s="4" t="b">
        <f>IFERROR(__xludf.DUMMYFUNCTION("""COMPUTED_VALUE"""),FALSE)</f>
        <v>0</v>
      </c>
      <c r="I1180" s="4">
        <f>IFERROR(__xludf.DUMMYFUNCTION("""COMPUTED_VALUE"""),0.2549440625)</f>
        <v>0.2549440625</v>
      </c>
      <c r="J1180" s="4">
        <f>IFERROR(__xludf.DUMMYFUNCTION("""COMPUTED_VALUE"""),45949.26797113041)</f>
        <v>45949.26797</v>
      </c>
      <c r="K1180" s="4" t="str">
        <f>IFERROR(__xludf.DUMMYFUNCTION("""COMPUTED_VALUE"""),"")</f>
        <v/>
      </c>
      <c r="L1180" s="4">
        <f>IFERROR(__xludf.DUMMYFUNCTION("""COMPUTED_VALUE"""),45949.27746337265)</f>
        <v>45949.27746</v>
      </c>
      <c r="M1180" s="1" t="str">
        <f>IFERROR(__xludf.DUMMYFUNCTION("""COMPUTED_VALUE"""),"RFID")</f>
        <v>RFID</v>
      </c>
      <c r="N1180" s="5">
        <f>IFERROR(__xludf.DUMMYFUNCTION("""COMPUTED_VALUE"""),0.005210828703703704)</f>
        <v>0.005210828704</v>
      </c>
      <c r="O1180" s="5" t="str">
        <f>IFERROR(__xludf.DUMMYFUNCTION("""COMPUTED_VALUE"""),"")</f>
        <v/>
      </c>
      <c r="P1180" s="5" t="str">
        <f>IFERROR(__xludf.DUMMYFUNCTION("""COMPUTED_VALUE"""),"")</f>
        <v/>
      </c>
      <c r="Q1180" s="5">
        <f>IFERROR(__xludf.DUMMYFUNCTION("""COMPUTED_VALUE"""),0.00450386111111111)</f>
        <v>0.004503861111</v>
      </c>
      <c r="R1180" s="4">
        <f>IFERROR(__xludf.DUMMYFUNCTION("""COMPUTED_VALUE"""),45949.02251931015)</f>
        <v>45949.02252</v>
      </c>
      <c r="S1180" s="1" t="b">
        <f>IFERROR(__xludf.DUMMYFUNCTION("""COMPUTED_VALUE"""),TRUE)</f>
        <v>1</v>
      </c>
      <c r="T1180" s="1" t="b">
        <f>IFERROR(__xludf.DUMMYFUNCTION("""COMPUTED_VALUE"""),FALSE)</f>
        <v>0</v>
      </c>
      <c r="U1180" s="1" t="str">
        <f>IFERROR(__xludf.DUMMYFUNCTION("""COMPUTED_VALUE"""),"VALID")</f>
        <v>VALID</v>
      </c>
      <c r="V1180" s="1">
        <f>IFERROR(__xludf.DUMMYFUNCTION("""COMPUTED_VALUE"""),15.0)</f>
        <v>15</v>
      </c>
      <c r="W1180" s="1">
        <f>IFERROR(__xludf.DUMMYFUNCTION("""COMPUTED_VALUE"""),188.0)</f>
        <v>188</v>
      </c>
      <c r="X1180" s="1">
        <f>IFERROR(__xludf.DUMMYFUNCTION("""COMPUTED_VALUE"""),23.0)</f>
        <v>23</v>
      </c>
      <c r="Y1180" s="2"/>
      <c r="Z1180" s="2"/>
    </row>
    <row r="1181">
      <c r="A1181" s="1">
        <f>IFERROR(__xludf.DUMMYFUNCTION("""COMPUTED_VALUE"""),1180.0)</f>
        <v>1180</v>
      </c>
      <c r="B1181" s="1">
        <f>IFERROR(__xludf.DUMMYFUNCTION("""COMPUTED_VALUE"""),5285.0)</f>
        <v>5285</v>
      </c>
      <c r="C1181" s="2" t="str">
        <f>IFERROR(__xludf.DUMMYFUNCTION("""COMPUTED_VALUE"""),"Erin")</f>
        <v>Erin</v>
      </c>
      <c r="D1181" s="2" t="str">
        <f>IFERROR(__xludf.DUMMYFUNCTION("""COMPUTED_VALUE"""),"5KM OVERALL F")</f>
        <v>5KM OVERALL F</v>
      </c>
      <c r="E1181" s="1">
        <f>IFERROR(__xludf.DUMMYFUNCTION("""COMPUTED_VALUE"""),2.0)</f>
        <v>2</v>
      </c>
      <c r="F1181" s="1" t="str">
        <f>IFERROR(__xludf.DUMMYFUNCTION("""COMPUTED_VALUE"""),"Female")</f>
        <v>Female</v>
      </c>
      <c r="G1181" s="4" t="b">
        <f>IFERROR(__xludf.DUMMYFUNCTION("""COMPUTED_VALUE"""),TRUE)</f>
        <v>1</v>
      </c>
      <c r="H1181" s="4" t="b">
        <f>IFERROR(__xludf.DUMMYFUNCTION("""COMPUTED_VALUE"""),TRUE)</f>
        <v>1</v>
      </c>
      <c r="I1181" s="4">
        <f>IFERROR(__xludf.DUMMYFUNCTION("""COMPUTED_VALUE"""),0.2549440625)</f>
        <v>0.2549440625</v>
      </c>
      <c r="J1181" s="4">
        <f>IFERROR(__xludf.DUMMYFUNCTION("""COMPUTED_VALUE"""),45949.27637049931)</f>
        <v>45949.27637</v>
      </c>
      <c r="K1181" s="4" t="str">
        <f>IFERROR(__xludf.DUMMYFUNCTION("""COMPUTED_VALUE"""),"")</f>
        <v/>
      </c>
      <c r="L1181" s="4">
        <f>IFERROR(__xludf.DUMMYFUNCTION("""COMPUTED_VALUE"""),45949.292650813295)</f>
        <v>45949.29265</v>
      </c>
      <c r="M1181" s="1" t="str">
        <f>IFERROR(__xludf.DUMMYFUNCTION("""COMPUTED_VALUE"""),"RFID")</f>
        <v>RFID</v>
      </c>
      <c r="N1181" s="5">
        <f>IFERROR(__xludf.DUMMYFUNCTION("""COMPUTED_VALUE"""),0.008570574074074074)</f>
        <v>0.008570574074</v>
      </c>
      <c r="O1181" s="5" t="str">
        <f>IFERROR(__xludf.DUMMYFUNCTION("""COMPUTED_VALUE"""),"")</f>
        <v/>
      </c>
      <c r="P1181" s="5" t="str">
        <f>IFERROR(__xludf.DUMMYFUNCTION("""COMPUTED_VALUE"""),"")</f>
        <v/>
      </c>
      <c r="Q1181" s="5">
        <f>IFERROR(__xludf.DUMMYFUNCTION("""COMPUTED_VALUE"""),0.007541349537037037)</f>
        <v>0.007541349537</v>
      </c>
      <c r="R1181" s="4">
        <f>IFERROR(__xludf.DUMMYFUNCTION("""COMPUTED_VALUE"""),45949.037706750794)</f>
        <v>45949.03771</v>
      </c>
      <c r="S1181" s="1" t="b">
        <f>IFERROR(__xludf.DUMMYFUNCTION("""COMPUTED_VALUE"""),TRUE)</f>
        <v>1</v>
      </c>
      <c r="T1181" s="1" t="b">
        <f>IFERROR(__xludf.DUMMYFUNCTION("""COMPUTED_VALUE"""),FALSE)</f>
        <v>0</v>
      </c>
      <c r="U1181" s="1" t="str">
        <f>IFERROR(__xludf.DUMMYFUNCTION("""COMPUTED_VALUE"""),"VALID")</f>
        <v>VALID</v>
      </c>
      <c r="V1181" s="1">
        <f>IFERROR(__xludf.DUMMYFUNCTION("""COMPUTED_VALUE"""),244.0)</f>
        <v>244</v>
      </c>
      <c r="W1181" s="1">
        <f>IFERROR(__xludf.DUMMYFUNCTION("""COMPUTED_VALUE"""),1081.0)</f>
        <v>1081</v>
      </c>
      <c r="X1181" s="1">
        <f>IFERROR(__xludf.DUMMYFUNCTION("""COMPUTED_VALUE"""),299.0)</f>
        <v>299</v>
      </c>
      <c r="Y1181" s="2"/>
      <c r="Z1181" s="2"/>
    </row>
    <row r="1182">
      <c r="A1182" s="1">
        <f>IFERROR(__xludf.DUMMYFUNCTION("""COMPUTED_VALUE"""),1181.0)</f>
        <v>1181</v>
      </c>
      <c r="B1182" s="1">
        <f>IFERROR(__xludf.DUMMYFUNCTION("""COMPUTED_VALUE"""),5286.0)</f>
        <v>5286</v>
      </c>
      <c r="C1182" s="2" t="str">
        <f>IFERROR(__xludf.DUMMYFUNCTION("""COMPUTED_VALUE"""),"Lira")</f>
        <v>Lira</v>
      </c>
      <c r="D1182" s="2" t="str">
        <f>IFERROR(__xludf.DUMMYFUNCTION("""COMPUTED_VALUE"""),"5KM OVERALL F")</f>
        <v>5KM OVERALL F</v>
      </c>
      <c r="E1182" s="1">
        <f>IFERROR(__xludf.DUMMYFUNCTION("""COMPUTED_VALUE"""),2.0)</f>
        <v>2</v>
      </c>
      <c r="F1182" s="1" t="str">
        <f>IFERROR(__xludf.DUMMYFUNCTION("""COMPUTED_VALUE"""),"Female")</f>
        <v>Female</v>
      </c>
      <c r="G1182" s="4" t="b">
        <f>IFERROR(__xludf.DUMMYFUNCTION("""COMPUTED_VALUE"""),TRUE)</f>
        <v>1</v>
      </c>
      <c r="H1182" s="4" t="b">
        <f>IFERROR(__xludf.DUMMYFUNCTION("""COMPUTED_VALUE"""),FALSE)</f>
        <v>0</v>
      </c>
      <c r="I1182" s="4">
        <f>IFERROR(__xludf.DUMMYFUNCTION("""COMPUTED_VALUE"""),0.2549440625)</f>
        <v>0.2549440625</v>
      </c>
      <c r="J1182" s="4">
        <f>IFERROR(__xludf.DUMMYFUNCTION("""COMPUTED_VALUE"""),45949.27745728763)</f>
        <v>45949.27746</v>
      </c>
      <c r="K1182" s="4" t="str">
        <f>IFERROR(__xludf.DUMMYFUNCTION("""COMPUTED_VALUE"""),"")</f>
        <v/>
      </c>
      <c r="L1182" s="4">
        <f>IFERROR(__xludf.DUMMYFUNCTION("""COMPUTED_VALUE"""),45949.293036288014)</f>
        <v>45949.29304</v>
      </c>
      <c r="M1182" s="1" t="str">
        <f>IFERROR(__xludf.DUMMYFUNCTION("""COMPUTED_VALUE"""),"RFID")</f>
        <v>RFID</v>
      </c>
      <c r="N1182" s="5">
        <f>IFERROR(__xludf.DUMMYFUNCTION("""COMPUTED_VALUE"""),0.009005291666666667)</f>
        <v>0.009005291667</v>
      </c>
      <c r="O1182" s="5" t="str">
        <f>IFERROR(__xludf.DUMMYFUNCTION("""COMPUTED_VALUE"""),"")</f>
        <v/>
      </c>
      <c r="P1182" s="5" t="str">
        <f>IFERROR(__xludf.DUMMYFUNCTION("""COMPUTED_VALUE"""),"")</f>
        <v/>
      </c>
      <c r="Q1182" s="5">
        <f>IFERROR(__xludf.DUMMYFUNCTION("""COMPUTED_VALUE"""),0.007618444444444444)</f>
        <v>0.007618444444</v>
      </c>
      <c r="R1182" s="4">
        <f>IFERROR(__xludf.DUMMYFUNCTION("""COMPUTED_VALUE"""),45949.03809222551)</f>
        <v>45949.03809</v>
      </c>
      <c r="S1182" s="1" t="b">
        <f>IFERROR(__xludf.DUMMYFUNCTION("""COMPUTED_VALUE"""),TRUE)</f>
        <v>1</v>
      </c>
      <c r="T1182" s="1" t="b">
        <f>IFERROR(__xludf.DUMMYFUNCTION("""COMPUTED_VALUE"""),FALSE)</f>
        <v>0</v>
      </c>
      <c r="U1182" s="1" t="str">
        <f>IFERROR(__xludf.DUMMYFUNCTION("""COMPUTED_VALUE"""),"VALID")</f>
        <v>VALID</v>
      </c>
      <c r="V1182" s="1">
        <f>IFERROR(__xludf.DUMMYFUNCTION("""COMPUTED_VALUE"""),253.0)</f>
        <v>253</v>
      </c>
      <c r="W1182" s="1">
        <f>IFERROR(__xludf.DUMMYFUNCTION("""COMPUTED_VALUE"""),1106.0)</f>
        <v>1106</v>
      </c>
      <c r="X1182" s="1">
        <f>IFERROR(__xludf.DUMMYFUNCTION("""COMPUTED_VALUE"""),310.0)</f>
        <v>310</v>
      </c>
      <c r="Y1182" s="2"/>
      <c r="Z1182" s="2"/>
    </row>
    <row r="1183">
      <c r="A1183" s="1">
        <f>IFERROR(__xludf.DUMMYFUNCTION("""COMPUTED_VALUE"""),1182.0)</f>
        <v>1182</v>
      </c>
      <c r="B1183" s="1">
        <f>IFERROR(__xludf.DUMMYFUNCTION("""COMPUTED_VALUE"""),5288.0)</f>
        <v>5288</v>
      </c>
      <c r="C1183" s="2" t="str">
        <f>IFERROR(__xludf.DUMMYFUNCTION("""COMPUTED_VALUE"""),"Ghina")</f>
        <v>Ghina</v>
      </c>
      <c r="D1183" s="2" t="str">
        <f>IFERROR(__xludf.DUMMYFUNCTION("""COMPUTED_VALUE"""),"5KM OVERALL F")</f>
        <v>5KM OVERALL F</v>
      </c>
      <c r="E1183" s="1">
        <f>IFERROR(__xludf.DUMMYFUNCTION("""COMPUTED_VALUE"""),2.0)</f>
        <v>2</v>
      </c>
      <c r="F1183" s="1" t="str">
        <f>IFERROR(__xludf.DUMMYFUNCTION("""COMPUTED_VALUE"""),"Female")</f>
        <v>Female</v>
      </c>
      <c r="G1183" s="4" t="b">
        <f>IFERROR(__xludf.DUMMYFUNCTION("""COMPUTED_VALUE"""),TRUE)</f>
        <v>1</v>
      </c>
      <c r="H1183" s="4" t="b">
        <f>IFERROR(__xludf.DUMMYFUNCTION("""COMPUTED_VALUE"""),TRUE)</f>
        <v>1</v>
      </c>
      <c r="I1183" s="4">
        <f>IFERROR(__xludf.DUMMYFUNCTION("""COMPUTED_VALUE"""),0.2549440625)</f>
        <v>0.2549440625</v>
      </c>
      <c r="J1183" s="4">
        <f>IFERROR(__xludf.DUMMYFUNCTION("""COMPUTED_VALUE"""),45949.27015864577)</f>
        <v>45949.27016</v>
      </c>
      <c r="K1183" s="4" t="str">
        <f>IFERROR(__xludf.DUMMYFUNCTION("""COMPUTED_VALUE"""),"")</f>
        <v/>
      </c>
      <c r="L1183" s="4">
        <f>IFERROR(__xludf.DUMMYFUNCTION("""COMPUTED_VALUE"""),45949.28147725291)</f>
        <v>45949.28148</v>
      </c>
      <c r="M1183" s="1" t="str">
        <f>IFERROR(__xludf.DUMMYFUNCTION("""COMPUTED_VALUE"""),"RFID")</f>
        <v>RFID</v>
      </c>
      <c r="N1183" s="5">
        <f>IFERROR(__xludf.DUMMYFUNCTION("""COMPUTED_VALUE"""),0.006085833333333334)</f>
        <v>0.006085833333</v>
      </c>
      <c r="O1183" s="5" t="str">
        <f>IFERROR(__xludf.DUMMYFUNCTION("""COMPUTED_VALUE"""),"")</f>
        <v/>
      </c>
      <c r="P1183" s="5" t="str">
        <f>IFERROR(__xludf.DUMMYFUNCTION("""COMPUTED_VALUE"""),"")</f>
        <v/>
      </c>
      <c r="Q1183" s="5">
        <f>IFERROR(__xludf.DUMMYFUNCTION("""COMPUTED_VALUE"""),0.0053066388888888885)</f>
        <v>0.005306638889</v>
      </c>
      <c r="R1183" s="4">
        <f>IFERROR(__xludf.DUMMYFUNCTION("""COMPUTED_VALUE"""),45949.02653319041)</f>
        <v>45949.02653</v>
      </c>
      <c r="S1183" s="1" t="b">
        <f>IFERROR(__xludf.DUMMYFUNCTION("""COMPUTED_VALUE"""),TRUE)</f>
        <v>1</v>
      </c>
      <c r="T1183" s="1" t="b">
        <f>IFERROR(__xludf.DUMMYFUNCTION("""COMPUTED_VALUE"""),FALSE)</f>
        <v>0</v>
      </c>
      <c r="U1183" s="1" t="str">
        <f>IFERROR(__xludf.DUMMYFUNCTION("""COMPUTED_VALUE"""),"VALID")</f>
        <v>VALID</v>
      </c>
      <c r="V1183" s="1">
        <f>IFERROR(__xludf.DUMMYFUNCTION("""COMPUTED_VALUE"""),33.0)</f>
        <v>33</v>
      </c>
      <c r="W1183" s="1">
        <f>IFERROR(__xludf.DUMMYFUNCTION("""COMPUTED_VALUE"""),363.0)</f>
        <v>363</v>
      </c>
      <c r="X1183" s="1">
        <f>IFERROR(__xludf.DUMMYFUNCTION("""COMPUTED_VALUE"""),51.0)</f>
        <v>51</v>
      </c>
      <c r="Y1183" s="2"/>
      <c r="Z1183" s="2"/>
    </row>
    <row r="1184">
      <c r="A1184" s="1">
        <f>IFERROR(__xludf.DUMMYFUNCTION("""COMPUTED_VALUE"""),1183.0)</f>
        <v>1183</v>
      </c>
      <c r="B1184" s="1">
        <f>IFERROR(__xludf.DUMMYFUNCTION("""COMPUTED_VALUE"""),5289.0)</f>
        <v>5289</v>
      </c>
      <c r="C1184" s="2" t="str">
        <f>IFERROR(__xludf.DUMMYFUNCTION("""COMPUTED_VALUE"""),"Zahrasft")</f>
        <v>Zahrasft</v>
      </c>
      <c r="D1184" s="2" t="str">
        <f>IFERROR(__xludf.DUMMYFUNCTION("""COMPUTED_VALUE"""),"5KM OVERALL F")</f>
        <v>5KM OVERALL F</v>
      </c>
      <c r="E1184" s="1">
        <f>IFERROR(__xludf.DUMMYFUNCTION("""COMPUTED_VALUE"""),2.0)</f>
        <v>2</v>
      </c>
      <c r="F1184" s="1" t="str">
        <f>IFERROR(__xludf.DUMMYFUNCTION("""COMPUTED_VALUE"""),"Female")</f>
        <v>Female</v>
      </c>
      <c r="G1184" s="4" t="b">
        <f>IFERROR(__xludf.DUMMYFUNCTION("""COMPUTED_VALUE"""),TRUE)</f>
        <v>1</v>
      </c>
      <c r="H1184" s="4" t="b">
        <f>IFERROR(__xludf.DUMMYFUNCTION("""COMPUTED_VALUE"""),TRUE)</f>
        <v>1</v>
      </c>
      <c r="I1184" s="4">
        <f>IFERROR(__xludf.DUMMYFUNCTION("""COMPUTED_VALUE"""),0.2549440625)</f>
        <v>0.2549440625</v>
      </c>
      <c r="J1184" s="4">
        <f>IFERROR(__xludf.DUMMYFUNCTION("""COMPUTED_VALUE"""),45949.276398231465)</f>
        <v>45949.2764</v>
      </c>
      <c r="K1184" s="4" t="str">
        <f>IFERROR(__xludf.DUMMYFUNCTION("""COMPUTED_VALUE"""),"")</f>
        <v/>
      </c>
      <c r="L1184" s="4">
        <f>IFERROR(__xludf.DUMMYFUNCTION("""COMPUTED_VALUE"""),45949.291765452865)</f>
        <v>45949.29177</v>
      </c>
      <c r="M1184" s="1" t="str">
        <f>IFERROR(__xludf.DUMMYFUNCTION("""COMPUTED_VALUE"""),"RFID")</f>
        <v>RFID</v>
      </c>
      <c r="N1184" s="5">
        <f>IFERROR(__xludf.DUMMYFUNCTION("""COMPUTED_VALUE"""),0.008581666666666666)</f>
        <v>0.008581666667</v>
      </c>
      <c r="O1184" s="5" t="str">
        <f>IFERROR(__xludf.DUMMYFUNCTION("""COMPUTED_VALUE"""),"")</f>
        <v/>
      </c>
      <c r="P1184" s="5" t="str">
        <f>IFERROR(__xludf.DUMMYFUNCTION("""COMPUTED_VALUE"""),"")</f>
        <v/>
      </c>
      <c r="Q1184" s="5">
        <f>IFERROR(__xludf.DUMMYFUNCTION("""COMPUTED_VALUE"""),0.007364277777777778)</f>
        <v>0.007364277778</v>
      </c>
      <c r="R1184" s="4">
        <f>IFERROR(__xludf.DUMMYFUNCTION("""COMPUTED_VALUE"""),45949.036821390364)</f>
        <v>45949.03682</v>
      </c>
      <c r="S1184" s="1" t="b">
        <f>IFERROR(__xludf.DUMMYFUNCTION("""COMPUTED_VALUE"""),TRUE)</f>
        <v>1</v>
      </c>
      <c r="T1184" s="1" t="b">
        <f>IFERROR(__xludf.DUMMYFUNCTION("""COMPUTED_VALUE"""),FALSE)</f>
        <v>0</v>
      </c>
      <c r="U1184" s="1" t="str">
        <f>IFERROR(__xludf.DUMMYFUNCTION("""COMPUTED_VALUE"""),"VALID")</f>
        <v>VALID</v>
      </c>
      <c r="V1184" s="1">
        <f>IFERROR(__xludf.DUMMYFUNCTION("""COMPUTED_VALUE"""),212.0)</f>
        <v>212</v>
      </c>
      <c r="W1184" s="1">
        <f>IFERROR(__xludf.DUMMYFUNCTION("""COMPUTED_VALUE"""),1017.0)</f>
        <v>1017</v>
      </c>
      <c r="X1184" s="1">
        <f>IFERROR(__xludf.DUMMYFUNCTION("""COMPUTED_VALUE"""),264.0)</f>
        <v>264</v>
      </c>
      <c r="Y1184" s="2"/>
      <c r="Z1184" s="2"/>
    </row>
    <row r="1185">
      <c r="A1185" s="1">
        <f>IFERROR(__xludf.DUMMYFUNCTION("""COMPUTED_VALUE"""),1184.0)</f>
        <v>1184</v>
      </c>
      <c r="B1185" s="1">
        <f>IFERROR(__xludf.DUMMYFUNCTION("""COMPUTED_VALUE"""),5293.0)</f>
        <v>5293</v>
      </c>
      <c r="C1185" s="2" t="str">
        <f>IFERROR(__xludf.DUMMYFUNCTION("""COMPUTED_VALUE"""),"Fatimah")</f>
        <v>Fatimah</v>
      </c>
      <c r="D1185" s="2" t="str">
        <f>IFERROR(__xludf.DUMMYFUNCTION("""COMPUTED_VALUE"""),"5KM OVERALL F")</f>
        <v>5KM OVERALL F</v>
      </c>
      <c r="E1185" s="1">
        <f>IFERROR(__xludf.DUMMYFUNCTION("""COMPUTED_VALUE"""),2.0)</f>
        <v>2</v>
      </c>
      <c r="F1185" s="1" t="str">
        <f>IFERROR(__xludf.DUMMYFUNCTION("""COMPUTED_VALUE"""),"Female")</f>
        <v>Female</v>
      </c>
      <c r="G1185" s="4" t="b">
        <f>IFERROR(__xludf.DUMMYFUNCTION("""COMPUTED_VALUE"""),TRUE)</f>
        <v>1</v>
      </c>
      <c r="H1185" s="4" t="b">
        <f>IFERROR(__xludf.DUMMYFUNCTION("""COMPUTED_VALUE"""),TRUE)</f>
        <v>1</v>
      </c>
      <c r="I1185" s="4">
        <f>IFERROR(__xludf.DUMMYFUNCTION("""COMPUTED_VALUE"""),0.2549440625)</f>
        <v>0.2549440625</v>
      </c>
      <c r="J1185" s="4">
        <f>IFERROR(__xludf.DUMMYFUNCTION("""COMPUTED_VALUE"""),45949.27246072919)</f>
        <v>45949.27246</v>
      </c>
      <c r="K1185" s="4" t="str">
        <f>IFERROR(__xludf.DUMMYFUNCTION("""COMPUTED_VALUE"""),"")</f>
        <v/>
      </c>
      <c r="L1185" s="4">
        <f>IFERROR(__xludf.DUMMYFUNCTION("""COMPUTED_VALUE"""),45949.28652930079)</f>
        <v>45949.28653</v>
      </c>
      <c r="M1185" s="1" t="str">
        <f>IFERROR(__xludf.DUMMYFUNCTION("""COMPUTED_VALUE"""),"RFID")</f>
        <v>RFID</v>
      </c>
      <c r="N1185" s="5">
        <f>IFERROR(__xludf.DUMMYFUNCTION("""COMPUTED_VALUE"""),0.007006666666666666)</f>
        <v>0.007006666667</v>
      </c>
      <c r="O1185" s="5" t="str">
        <f>IFERROR(__xludf.DUMMYFUNCTION("""COMPUTED_VALUE"""),"")</f>
        <v/>
      </c>
      <c r="P1185" s="5" t="str">
        <f>IFERROR(__xludf.DUMMYFUNCTION("""COMPUTED_VALUE"""),"")</f>
        <v/>
      </c>
      <c r="Q1185" s="5">
        <f>IFERROR(__xludf.DUMMYFUNCTION("""COMPUTED_VALUE"""),0.006317048611111112)</f>
        <v>0.006317048611</v>
      </c>
      <c r="R1185" s="4">
        <f>IFERROR(__xludf.DUMMYFUNCTION("""COMPUTED_VALUE"""),45949.03158523829)</f>
        <v>45949.03159</v>
      </c>
      <c r="S1185" s="1" t="b">
        <f>IFERROR(__xludf.DUMMYFUNCTION("""COMPUTED_VALUE"""),TRUE)</f>
        <v>1</v>
      </c>
      <c r="T1185" s="1" t="b">
        <f>IFERROR(__xludf.DUMMYFUNCTION("""COMPUTED_VALUE"""),FALSE)</f>
        <v>0</v>
      </c>
      <c r="U1185" s="1" t="str">
        <f>IFERROR(__xludf.DUMMYFUNCTION("""COMPUTED_VALUE"""),"VALID")</f>
        <v>VALID</v>
      </c>
      <c r="V1185" s="1">
        <f>IFERROR(__xludf.DUMMYFUNCTION("""COMPUTED_VALUE"""),103.0)</f>
        <v>103</v>
      </c>
      <c r="W1185" s="1">
        <f>IFERROR(__xludf.DUMMYFUNCTION("""COMPUTED_VALUE"""),673.0)</f>
        <v>673</v>
      </c>
      <c r="X1185" s="1">
        <f>IFERROR(__xludf.DUMMYFUNCTION("""COMPUTED_VALUE"""),130.0)</f>
        <v>130</v>
      </c>
      <c r="Y1185" s="2"/>
      <c r="Z1185" s="2"/>
    </row>
    <row r="1186">
      <c r="A1186" s="1">
        <f>IFERROR(__xludf.DUMMYFUNCTION("""COMPUTED_VALUE"""),1185.0)</f>
        <v>1185</v>
      </c>
      <c r="B1186" s="1">
        <f>IFERROR(__xludf.DUMMYFUNCTION("""COMPUTED_VALUE"""),5294.0)</f>
        <v>5294</v>
      </c>
      <c r="C1186" s="2" t="str">
        <f>IFERROR(__xludf.DUMMYFUNCTION("""COMPUTED_VALUE"""),"Thania Rani")</f>
        <v>Thania Rani</v>
      </c>
      <c r="D1186" s="2" t="str">
        <f>IFERROR(__xludf.DUMMYFUNCTION("""COMPUTED_VALUE"""),"5KM OVERALL F")</f>
        <v>5KM OVERALL F</v>
      </c>
      <c r="E1186" s="1">
        <f>IFERROR(__xludf.DUMMYFUNCTION("""COMPUTED_VALUE"""),2.0)</f>
        <v>2</v>
      </c>
      <c r="F1186" s="1" t="str">
        <f>IFERROR(__xludf.DUMMYFUNCTION("""COMPUTED_VALUE"""),"Female")</f>
        <v>Female</v>
      </c>
      <c r="G1186" s="4" t="b">
        <f>IFERROR(__xludf.DUMMYFUNCTION("""COMPUTED_VALUE"""),TRUE)</f>
        <v>1</v>
      </c>
      <c r="H1186" s="4" t="b">
        <f>IFERROR(__xludf.DUMMYFUNCTION("""COMPUTED_VALUE"""),TRUE)</f>
        <v>1</v>
      </c>
      <c r="I1186" s="4">
        <f>IFERROR(__xludf.DUMMYFUNCTION("""COMPUTED_VALUE"""),0.2549440625)</f>
        <v>0.2549440625</v>
      </c>
      <c r="J1186" s="4">
        <f>IFERROR(__xludf.DUMMYFUNCTION("""COMPUTED_VALUE"""),45949.279794101385)</f>
        <v>45949.27979</v>
      </c>
      <c r="K1186" s="4" t="str">
        <f>IFERROR(__xludf.DUMMYFUNCTION("""COMPUTED_VALUE"""),"")</f>
        <v/>
      </c>
      <c r="L1186" s="4">
        <f>IFERROR(__xludf.DUMMYFUNCTION("""COMPUTED_VALUE"""),45949.296123782675)</f>
        <v>45949.29612</v>
      </c>
      <c r="M1186" s="1" t="str">
        <f>IFERROR(__xludf.DUMMYFUNCTION("""COMPUTED_VALUE"""),"RFID")</f>
        <v>RFID</v>
      </c>
      <c r="N1186" s="5">
        <f>IFERROR(__xludf.DUMMYFUNCTION("""COMPUTED_VALUE"""),0.009940013888888889)</f>
        <v>0.009940013889</v>
      </c>
      <c r="O1186" s="5" t="str">
        <f>IFERROR(__xludf.DUMMYFUNCTION("""COMPUTED_VALUE"""),"")</f>
        <v/>
      </c>
      <c r="P1186" s="5" t="str">
        <f>IFERROR(__xludf.DUMMYFUNCTION("""COMPUTED_VALUE"""),"")</f>
        <v/>
      </c>
      <c r="Q1186" s="5">
        <f>IFERROR(__xludf.DUMMYFUNCTION("""COMPUTED_VALUE"""),0.008235944444444445)</f>
        <v>0.008235944444</v>
      </c>
      <c r="R1186" s="4">
        <f>IFERROR(__xludf.DUMMYFUNCTION("""COMPUTED_VALUE"""),45949.041179720174)</f>
        <v>45949.04118</v>
      </c>
      <c r="S1186" s="1" t="b">
        <f>IFERROR(__xludf.DUMMYFUNCTION("""COMPUTED_VALUE"""),TRUE)</f>
        <v>1</v>
      </c>
      <c r="T1186" s="1" t="b">
        <f>IFERROR(__xludf.DUMMYFUNCTION("""COMPUTED_VALUE"""),FALSE)</f>
        <v>0</v>
      </c>
      <c r="U1186" s="1" t="str">
        <f>IFERROR(__xludf.DUMMYFUNCTION("""COMPUTED_VALUE"""),"VALID")</f>
        <v>VALID</v>
      </c>
      <c r="V1186" s="1">
        <f>IFERROR(__xludf.DUMMYFUNCTION("""COMPUTED_VALUE"""),343.0)</f>
        <v>343</v>
      </c>
      <c r="W1186" s="1">
        <f>IFERROR(__xludf.DUMMYFUNCTION("""COMPUTED_VALUE"""),1294.0)</f>
        <v>1294</v>
      </c>
      <c r="X1186" s="1">
        <f>IFERROR(__xludf.DUMMYFUNCTION("""COMPUTED_VALUE"""),416.0)</f>
        <v>416</v>
      </c>
      <c r="Y1186" s="2"/>
      <c r="Z1186" s="2"/>
    </row>
    <row r="1187">
      <c r="A1187" s="1">
        <f>IFERROR(__xludf.DUMMYFUNCTION("""COMPUTED_VALUE"""),1186.0)</f>
        <v>1186</v>
      </c>
      <c r="B1187" s="1">
        <f>IFERROR(__xludf.DUMMYFUNCTION("""COMPUTED_VALUE"""),5302.0)</f>
        <v>5302</v>
      </c>
      <c r="C1187" s="2" t="str">
        <f>IFERROR(__xludf.DUMMYFUNCTION("""COMPUTED_VALUE"""),"Annea_Sandie")</f>
        <v>Annea_Sandie</v>
      </c>
      <c r="D1187" s="2" t="str">
        <f>IFERROR(__xludf.DUMMYFUNCTION("""COMPUTED_VALUE"""),"5KM OVERALL F")</f>
        <v>5KM OVERALL F</v>
      </c>
      <c r="E1187" s="1">
        <f>IFERROR(__xludf.DUMMYFUNCTION("""COMPUTED_VALUE"""),2.0)</f>
        <v>2</v>
      </c>
      <c r="F1187" s="1" t="str">
        <f>IFERROR(__xludf.DUMMYFUNCTION("""COMPUTED_VALUE"""),"Female")</f>
        <v>Female</v>
      </c>
      <c r="G1187" s="4" t="b">
        <f>IFERROR(__xludf.DUMMYFUNCTION("""COMPUTED_VALUE"""),TRUE)</f>
        <v>1</v>
      </c>
      <c r="H1187" s="4" t="b">
        <f>IFERROR(__xludf.DUMMYFUNCTION("""COMPUTED_VALUE"""),TRUE)</f>
        <v>1</v>
      </c>
      <c r="I1187" s="4">
        <f>IFERROR(__xludf.DUMMYFUNCTION("""COMPUTED_VALUE"""),0.2549440625)</f>
        <v>0.2549440625</v>
      </c>
      <c r="J1187" s="4">
        <f>IFERROR(__xludf.DUMMYFUNCTION("""COMPUTED_VALUE"""),45949.278408662256)</f>
        <v>45949.27841</v>
      </c>
      <c r="K1187" s="4" t="str">
        <f>IFERROR(__xludf.DUMMYFUNCTION("""COMPUTED_VALUE"""),"")</f>
        <v/>
      </c>
      <c r="L1187" s="4">
        <f>IFERROR(__xludf.DUMMYFUNCTION("""COMPUTED_VALUE"""),45949.29644601174)</f>
        <v>45949.29645</v>
      </c>
      <c r="M1187" s="1" t="str">
        <f>IFERROR(__xludf.DUMMYFUNCTION("""COMPUTED_VALUE"""),"RFID")</f>
        <v>RFID</v>
      </c>
      <c r="N1187" s="5">
        <f>IFERROR(__xludf.DUMMYFUNCTION("""COMPUTED_VALUE"""),0.009385837962962962)</f>
        <v>0.009385837963</v>
      </c>
      <c r="O1187" s="5" t="str">
        <f>IFERROR(__xludf.DUMMYFUNCTION("""COMPUTED_VALUE"""),"")</f>
        <v/>
      </c>
      <c r="P1187" s="5" t="str">
        <f>IFERROR(__xludf.DUMMYFUNCTION("""COMPUTED_VALUE"""),"")</f>
        <v/>
      </c>
      <c r="Q1187" s="5">
        <f>IFERROR(__xludf.DUMMYFUNCTION("""COMPUTED_VALUE"""),0.008300388888888888)</f>
        <v>0.008300388889</v>
      </c>
      <c r="R1187" s="4">
        <f>IFERROR(__xludf.DUMMYFUNCTION("""COMPUTED_VALUE"""),45949.041501949236)</f>
        <v>45949.0415</v>
      </c>
      <c r="S1187" s="1" t="b">
        <f>IFERROR(__xludf.DUMMYFUNCTION("""COMPUTED_VALUE"""),TRUE)</f>
        <v>1</v>
      </c>
      <c r="T1187" s="1" t="b">
        <f>IFERROR(__xludf.DUMMYFUNCTION("""COMPUTED_VALUE"""),FALSE)</f>
        <v>0</v>
      </c>
      <c r="U1187" s="1" t="str">
        <f>IFERROR(__xludf.DUMMYFUNCTION("""COMPUTED_VALUE"""),"VALID")</f>
        <v>VALID</v>
      </c>
      <c r="V1187" s="1">
        <f>IFERROR(__xludf.DUMMYFUNCTION("""COMPUTED_VALUE"""),350.0)</f>
        <v>350</v>
      </c>
      <c r="W1187" s="1">
        <f>IFERROR(__xludf.DUMMYFUNCTION("""COMPUTED_VALUE"""),1313.0)</f>
        <v>1313</v>
      </c>
      <c r="X1187" s="1">
        <f>IFERROR(__xludf.DUMMYFUNCTION("""COMPUTED_VALUE"""),424.0)</f>
        <v>424</v>
      </c>
      <c r="Y1187" s="2"/>
      <c r="Z1187" s="2"/>
    </row>
    <row r="1188">
      <c r="A1188" s="1">
        <f>IFERROR(__xludf.DUMMYFUNCTION("""COMPUTED_VALUE"""),1187.0)</f>
        <v>1187</v>
      </c>
      <c r="B1188" s="1">
        <f>IFERROR(__xludf.DUMMYFUNCTION("""COMPUTED_VALUE"""),5303.0)</f>
        <v>5303</v>
      </c>
      <c r="C1188" s="2" t="str">
        <f>IFERROR(__xludf.DUMMYFUNCTION("""COMPUTED_VALUE"""),"Eflin")</f>
        <v>Eflin</v>
      </c>
      <c r="D1188" s="2" t="str">
        <f>IFERROR(__xludf.DUMMYFUNCTION("""COMPUTED_VALUE"""),"5KM OVERALL F")</f>
        <v>5KM OVERALL F</v>
      </c>
      <c r="E1188" s="1">
        <f>IFERROR(__xludf.DUMMYFUNCTION("""COMPUTED_VALUE"""),2.0)</f>
        <v>2</v>
      </c>
      <c r="F1188" s="1" t="str">
        <f>IFERROR(__xludf.DUMMYFUNCTION("""COMPUTED_VALUE"""),"Female")</f>
        <v>Female</v>
      </c>
      <c r="G1188" s="4" t="b">
        <f>IFERROR(__xludf.DUMMYFUNCTION("""COMPUTED_VALUE"""),TRUE)</f>
        <v>1</v>
      </c>
      <c r="H1188" s="4" t="b">
        <f>IFERROR(__xludf.DUMMYFUNCTION("""COMPUTED_VALUE"""),TRUE)</f>
        <v>1</v>
      </c>
      <c r="I1188" s="4">
        <f>IFERROR(__xludf.DUMMYFUNCTION("""COMPUTED_VALUE"""),0.2549440625)</f>
        <v>0.2549440625</v>
      </c>
      <c r="J1188" s="4">
        <f>IFERROR(__xludf.DUMMYFUNCTION("""COMPUTED_VALUE"""),45949.286294043966)</f>
        <v>45949.28629</v>
      </c>
      <c r="K1188" s="4" t="str">
        <f>IFERROR(__xludf.DUMMYFUNCTION("""COMPUTED_VALUE"""),"")</f>
        <v/>
      </c>
      <c r="L1188" s="4">
        <f>IFERROR(__xludf.DUMMYFUNCTION("""COMPUTED_VALUE"""),45949.31213694458)</f>
        <v>45949.31214</v>
      </c>
      <c r="M1188" s="1" t="str">
        <f>IFERROR(__xludf.DUMMYFUNCTION("""COMPUTED_VALUE"""),"RFID")</f>
        <v>RFID</v>
      </c>
      <c r="N1188" s="5">
        <f>IFERROR(__xludf.DUMMYFUNCTION("""COMPUTED_VALUE"""),0.012539990740740739)</f>
        <v>0.01253999074</v>
      </c>
      <c r="O1188" s="5" t="str">
        <f>IFERROR(__xludf.DUMMYFUNCTION("""COMPUTED_VALUE"""),"")</f>
        <v/>
      </c>
      <c r="P1188" s="5" t="str">
        <f>IFERROR(__xludf.DUMMYFUNCTION("""COMPUTED_VALUE"""),"")</f>
        <v/>
      </c>
      <c r="Q1188" s="5">
        <f>IFERROR(__xludf.DUMMYFUNCTION("""COMPUTED_VALUE"""),0.011438576388888889)</f>
        <v>0.01143857639</v>
      </c>
      <c r="R1188" s="4">
        <f>IFERROR(__xludf.DUMMYFUNCTION("""COMPUTED_VALUE"""),45949.05719288208)</f>
        <v>45949.05719</v>
      </c>
      <c r="S1188" s="1" t="b">
        <f>IFERROR(__xludf.DUMMYFUNCTION("""COMPUTED_VALUE"""),TRUE)</f>
        <v>1</v>
      </c>
      <c r="T1188" s="1" t="b">
        <f>IFERROR(__xludf.DUMMYFUNCTION("""COMPUTED_VALUE"""),FALSE)</f>
        <v>0</v>
      </c>
      <c r="U1188" s="1" t="str">
        <f>IFERROR(__xludf.DUMMYFUNCTION("""COMPUTED_VALUE"""),"VALID")</f>
        <v>VALID</v>
      </c>
      <c r="V1188" s="1">
        <f>IFERROR(__xludf.DUMMYFUNCTION("""COMPUTED_VALUE"""),508.0)</f>
        <v>508</v>
      </c>
      <c r="W1188" s="1">
        <f>IFERROR(__xludf.DUMMYFUNCTION("""COMPUTED_VALUE"""),1608.0)</f>
        <v>1608</v>
      </c>
      <c r="X1188" s="1">
        <f>IFERROR(__xludf.DUMMYFUNCTION("""COMPUTED_VALUE"""),643.0)</f>
        <v>643</v>
      </c>
      <c r="Y1188" s="2"/>
      <c r="Z1188" s="2"/>
    </row>
    <row r="1189">
      <c r="A1189" s="1">
        <f>IFERROR(__xludf.DUMMYFUNCTION("""COMPUTED_VALUE"""),1188.0)</f>
        <v>1188</v>
      </c>
      <c r="B1189" s="1">
        <f>IFERROR(__xludf.DUMMYFUNCTION("""COMPUTED_VALUE"""),5305.0)</f>
        <v>5305</v>
      </c>
      <c r="C1189" s="2" t="str">
        <f>IFERROR(__xludf.DUMMYFUNCTION("""COMPUTED_VALUE"""),"elsa riyanti")</f>
        <v>elsa riyanti</v>
      </c>
      <c r="D1189" s="2" t="str">
        <f>IFERROR(__xludf.DUMMYFUNCTION("""COMPUTED_VALUE"""),"5KM OVERALL F")</f>
        <v>5KM OVERALL F</v>
      </c>
      <c r="E1189" s="1">
        <f>IFERROR(__xludf.DUMMYFUNCTION("""COMPUTED_VALUE"""),2.0)</f>
        <v>2</v>
      </c>
      <c r="F1189" s="1" t="str">
        <f>IFERROR(__xludf.DUMMYFUNCTION("""COMPUTED_VALUE"""),"Female")</f>
        <v>Female</v>
      </c>
      <c r="G1189" s="4" t="b">
        <f>IFERROR(__xludf.DUMMYFUNCTION("""COMPUTED_VALUE"""),TRUE)</f>
        <v>1</v>
      </c>
      <c r="H1189" s="4" t="b">
        <f>IFERROR(__xludf.DUMMYFUNCTION("""COMPUTED_VALUE"""),TRUE)</f>
        <v>1</v>
      </c>
      <c r="I1189" s="4">
        <f>IFERROR(__xludf.DUMMYFUNCTION("""COMPUTED_VALUE"""),0.2549440625)</f>
        <v>0.2549440625</v>
      </c>
      <c r="J1189" s="4">
        <f>IFERROR(__xludf.DUMMYFUNCTION("""COMPUTED_VALUE"""),45949.27965869557)</f>
        <v>45949.27966</v>
      </c>
      <c r="K1189" s="4" t="str">
        <f>IFERROR(__xludf.DUMMYFUNCTION("""COMPUTED_VALUE"""),"")</f>
        <v/>
      </c>
      <c r="L1189" s="4">
        <f>IFERROR(__xludf.DUMMYFUNCTION("""COMPUTED_VALUE"""),45949.29890433621)</f>
        <v>45949.2989</v>
      </c>
      <c r="M1189" s="1" t="str">
        <f>IFERROR(__xludf.DUMMYFUNCTION("""COMPUTED_VALUE"""),"RFID")</f>
        <v>RFID</v>
      </c>
      <c r="N1189" s="5">
        <f>IFERROR(__xludf.DUMMYFUNCTION("""COMPUTED_VALUE"""),0.009885851851851852)</f>
        <v>0.009885851852</v>
      </c>
      <c r="O1189" s="5" t="str">
        <f>IFERROR(__xludf.DUMMYFUNCTION("""COMPUTED_VALUE"""),"")</f>
        <v/>
      </c>
      <c r="P1189" s="5" t="str">
        <f>IFERROR(__xludf.DUMMYFUNCTION("""COMPUTED_VALUE"""),"")</f>
        <v/>
      </c>
      <c r="Q1189" s="5">
        <f>IFERROR(__xludf.DUMMYFUNCTION("""COMPUTED_VALUE"""),0.008792055555555556)</f>
        <v>0.008792055556</v>
      </c>
      <c r="R1189" s="4">
        <f>IFERROR(__xludf.DUMMYFUNCTION("""COMPUTED_VALUE"""),45949.04396027371)</f>
        <v>45949.04396</v>
      </c>
      <c r="S1189" s="1" t="b">
        <f>IFERROR(__xludf.DUMMYFUNCTION("""COMPUTED_VALUE"""),TRUE)</f>
        <v>1</v>
      </c>
      <c r="T1189" s="1" t="b">
        <f>IFERROR(__xludf.DUMMYFUNCTION("""COMPUTED_VALUE"""),FALSE)</f>
        <v>0</v>
      </c>
      <c r="U1189" s="1" t="str">
        <f>IFERROR(__xludf.DUMMYFUNCTION("""COMPUTED_VALUE"""),"VALID")</f>
        <v>VALID</v>
      </c>
      <c r="V1189" s="1">
        <f>IFERROR(__xludf.DUMMYFUNCTION("""COMPUTED_VALUE"""),399.0)</f>
        <v>399</v>
      </c>
      <c r="W1189" s="1">
        <f>IFERROR(__xludf.DUMMYFUNCTION("""COMPUTED_VALUE"""),1406.0)</f>
        <v>1406</v>
      </c>
      <c r="X1189" s="1">
        <f>IFERROR(__xludf.DUMMYFUNCTION("""COMPUTED_VALUE"""),484.0)</f>
        <v>484</v>
      </c>
      <c r="Y1189" s="2"/>
      <c r="Z1189" s="2"/>
    </row>
    <row r="1190">
      <c r="A1190" s="1">
        <f>IFERROR(__xludf.DUMMYFUNCTION("""COMPUTED_VALUE"""),1189.0)</f>
        <v>1189</v>
      </c>
      <c r="B1190" s="1">
        <f>IFERROR(__xludf.DUMMYFUNCTION("""COMPUTED_VALUE"""),5308.0)</f>
        <v>5308</v>
      </c>
      <c r="C1190" s="2" t="str">
        <f>IFERROR(__xludf.DUMMYFUNCTION("""COMPUTED_VALUE"""),"Novia")</f>
        <v>Novia</v>
      </c>
      <c r="D1190" s="2" t="str">
        <f>IFERROR(__xludf.DUMMYFUNCTION("""COMPUTED_VALUE"""),"5KM OVERALL F")</f>
        <v>5KM OVERALL F</v>
      </c>
      <c r="E1190" s="1">
        <f>IFERROR(__xludf.DUMMYFUNCTION("""COMPUTED_VALUE"""),2.0)</f>
        <v>2</v>
      </c>
      <c r="F1190" s="1" t="str">
        <f>IFERROR(__xludf.DUMMYFUNCTION("""COMPUTED_VALUE"""),"Female")</f>
        <v>Female</v>
      </c>
      <c r="G1190" s="4" t="b">
        <f>IFERROR(__xludf.DUMMYFUNCTION("""COMPUTED_VALUE"""),TRUE)</f>
        <v>1</v>
      </c>
      <c r="H1190" s="4" t="b">
        <f>IFERROR(__xludf.DUMMYFUNCTION("""COMPUTED_VALUE"""),FALSE)</f>
        <v>0</v>
      </c>
      <c r="I1190" s="4">
        <f>IFERROR(__xludf.DUMMYFUNCTION("""COMPUTED_VALUE"""),0.2549440625)</f>
        <v>0.2549440625</v>
      </c>
      <c r="J1190" s="4">
        <f>IFERROR(__xludf.DUMMYFUNCTION("""COMPUTED_VALUE"""),45949.28036355607)</f>
        <v>45949.28036</v>
      </c>
      <c r="K1190" s="4" t="str">
        <f>IFERROR(__xludf.DUMMYFUNCTION("""COMPUTED_VALUE"""),"")</f>
        <v/>
      </c>
      <c r="L1190" s="4">
        <f>IFERROR(__xludf.DUMMYFUNCTION("""COMPUTED_VALUE"""),45949.30040138491)</f>
        <v>45949.3004</v>
      </c>
      <c r="M1190" s="1" t="str">
        <f>IFERROR(__xludf.DUMMYFUNCTION("""COMPUTED_VALUE"""),"RFID")</f>
        <v>RFID</v>
      </c>
      <c r="N1190" s="5">
        <f>IFERROR(__xludf.DUMMYFUNCTION("""COMPUTED_VALUE"""),0.010167796296296296)</f>
        <v>0.0101677963</v>
      </c>
      <c r="O1190" s="5" t="str">
        <f>IFERROR(__xludf.DUMMYFUNCTION("""COMPUTED_VALUE"""),"")</f>
        <v/>
      </c>
      <c r="P1190" s="5" t="str">
        <f>IFERROR(__xludf.DUMMYFUNCTION("""COMPUTED_VALUE"""),"")</f>
        <v/>
      </c>
      <c r="Q1190" s="5">
        <f>IFERROR(__xludf.DUMMYFUNCTION("""COMPUTED_VALUE"""),0.009091465277777776)</f>
        <v>0.009091465278</v>
      </c>
      <c r="R1190" s="4">
        <f>IFERROR(__xludf.DUMMYFUNCTION("""COMPUTED_VALUE"""),45949.04545732241)</f>
        <v>45949.04546</v>
      </c>
      <c r="S1190" s="1" t="b">
        <f>IFERROR(__xludf.DUMMYFUNCTION("""COMPUTED_VALUE"""),TRUE)</f>
        <v>1</v>
      </c>
      <c r="T1190" s="1" t="b">
        <f>IFERROR(__xludf.DUMMYFUNCTION("""COMPUTED_VALUE"""),FALSE)</f>
        <v>0</v>
      </c>
      <c r="U1190" s="1" t="str">
        <f>IFERROR(__xludf.DUMMYFUNCTION("""COMPUTED_VALUE"""),"VALID")</f>
        <v>VALID</v>
      </c>
      <c r="V1190" s="1">
        <f>IFERROR(__xludf.DUMMYFUNCTION("""COMPUTED_VALUE"""),427.0)</f>
        <v>427</v>
      </c>
      <c r="W1190" s="1">
        <f>IFERROR(__xludf.DUMMYFUNCTION("""COMPUTED_VALUE"""),1463.0)</f>
        <v>1463</v>
      </c>
      <c r="X1190" s="1">
        <f>IFERROR(__xludf.DUMMYFUNCTION("""COMPUTED_VALUE"""),522.0)</f>
        <v>522</v>
      </c>
      <c r="Y1190" s="2"/>
      <c r="Z1190" s="2"/>
    </row>
    <row r="1191">
      <c r="A1191" s="1">
        <f>IFERROR(__xludf.DUMMYFUNCTION("""COMPUTED_VALUE"""),1190.0)</f>
        <v>1190</v>
      </c>
      <c r="B1191" s="1">
        <f>IFERROR(__xludf.DUMMYFUNCTION("""COMPUTED_VALUE"""),5310.0)</f>
        <v>5310</v>
      </c>
      <c r="C1191" s="2" t="str">
        <f>IFERROR(__xludf.DUMMYFUNCTION("""COMPUTED_VALUE"""),"AYU")</f>
        <v>AYU</v>
      </c>
      <c r="D1191" s="2" t="str">
        <f>IFERROR(__xludf.DUMMYFUNCTION("""COMPUTED_VALUE"""),"5KM OVERALL F")</f>
        <v>5KM OVERALL F</v>
      </c>
      <c r="E1191" s="1">
        <f>IFERROR(__xludf.DUMMYFUNCTION("""COMPUTED_VALUE"""),2.0)</f>
        <v>2</v>
      </c>
      <c r="F1191" s="1" t="str">
        <f>IFERROR(__xludf.DUMMYFUNCTION("""COMPUTED_VALUE"""),"Female")</f>
        <v>Female</v>
      </c>
      <c r="G1191" s="4" t="str">
        <f>IFERROR(__xludf.DUMMYFUNCTION("""COMPUTED_VALUE"""),"")</f>
        <v/>
      </c>
      <c r="H1191" s="4" t="b">
        <f>IFERROR(__xludf.DUMMYFUNCTION("""COMPUTED_VALUE"""),FALSE)</f>
        <v>0</v>
      </c>
      <c r="I1191" s="4">
        <f>IFERROR(__xludf.DUMMYFUNCTION("""COMPUTED_VALUE"""),0.2549440625)</f>
        <v>0.2549440625</v>
      </c>
      <c r="J1191" s="4" t="str">
        <f>IFERROR(__xludf.DUMMYFUNCTION("""COMPUTED_VALUE"""),"")</f>
        <v/>
      </c>
      <c r="K1191" s="4" t="str">
        <f>IFERROR(__xludf.DUMMYFUNCTION("""COMPUTED_VALUE"""),"")</f>
        <v/>
      </c>
      <c r="L1191" s="4" t="str">
        <f>IFERROR(__xludf.DUMMYFUNCTION("""COMPUTED_VALUE"""),"")</f>
        <v/>
      </c>
      <c r="M1191" s="1" t="str">
        <f>IFERROR(__xludf.DUMMYFUNCTION("""COMPUTED_VALUE"""),"RFID")</f>
        <v>RFID</v>
      </c>
      <c r="N1191" s="5" t="str">
        <f>IFERROR(__xludf.DUMMYFUNCTION("""COMPUTED_VALUE"""),"")</f>
        <v/>
      </c>
      <c r="O1191" s="5" t="str">
        <f>IFERROR(__xludf.DUMMYFUNCTION("""COMPUTED_VALUE"""),"")</f>
        <v/>
      </c>
      <c r="P1191" s="5" t="str">
        <f>IFERROR(__xludf.DUMMYFUNCTION("""COMPUTED_VALUE"""),"")</f>
        <v/>
      </c>
      <c r="Q1191" s="5" t="str">
        <f>IFERROR(__xludf.DUMMYFUNCTION("""COMPUTED_VALUE"""),"")</f>
        <v/>
      </c>
      <c r="R1191" s="4" t="str">
        <f>IFERROR(__xludf.DUMMYFUNCTION("""COMPUTED_VALUE"""),"")</f>
        <v/>
      </c>
      <c r="S1191" s="1" t="b">
        <f>IFERROR(__xludf.DUMMYFUNCTION("""COMPUTED_VALUE"""),FALSE)</f>
        <v>0</v>
      </c>
      <c r="T1191" s="1" t="b">
        <f>IFERROR(__xludf.DUMMYFUNCTION("""COMPUTED_VALUE"""),FALSE)</f>
        <v>0</v>
      </c>
      <c r="U1191" s="1" t="str">
        <f>IFERROR(__xludf.DUMMYFUNCTION("""COMPUTED_VALUE"""),"DSQ")</f>
        <v>DSQ</v>
      </c>
      <c r="V1191" s="1" t="str">
        <f>IFERROR(__xludf.DUMMYFUNCTION("""COMPUTED_VALUE"""),"DSQ")</f>
        <v>DSQ</v>
      </c>
      <c r="W1191" s="1" t="str">
        <f>IFERROR(__xludf.DUMMYFUNCTION("""COMPUTED_VALUE"""),"DSQ")</f>
        <v>DSQ</v>
      </c>
      <c r="X1191" s="1" t="str">
        <f>IFERROR(__xludf.DUMMYFUNCTION("""COMPUTED_VALUE"""),"DSQ")</f>
        <v>DSQ</v>
      </c>
      <c r="Y1191" s="2"/>
      <c r="Z1191" s="2" t="str">
        <f>IFERROR(__xludf.DUMMYFUNCTION("""COMPUTED_VALUE"""),"")</f>
        <v/>
      </c>
    </row>
    <row r="1192">
      <c r="A1192" s="1">
        <f>IFERROR(__xludf.DUMMYFUNCTION("""COMPUTED_VALUE"""),1191.0)</f>
        <v>1191</v>
      </c>
      <c r="B1192" s="1">
        <f>IFERROR(__xludf.DUMMYFUNCTION("""COMPUTED_VALUE"""),5313.0)</f>
        <v>5313</v>
      </c>
      <c r="C1192" s="2" t="str">
        <f>IFERROR(__xludf.DUMMYFUNCTION("""COMPUTED_VALUE"""),"Mayaaa")</f>
        <v>Mayaaa</v>
      </c>
      <c r="D1192" s="2" t="str">
        <f>IFERROR(__xludf.DUMMYFUNCTION("""COMPUTED_VALUE"""),"5KM OVERALL F")</f>
        <v>5KM OVERALL F</v>
      </c>
      <c r="E1192" s="1">
        <f>IFERROR(__xludf.DUMMYFUNCTION("""COMPUTED_VALUE"""),2.0)</f>
        <v>2</v>
      </c>
      <c r="F1192" s="1" t="str">
        <f>IFERROR(__xludf.DUMMYFUNCTION("""COMPUTED_VALUE"""),"Female")</f>
        <v>Female</v>
      </c>
      <c r="G1192" s="4" t="b">
        <f>IFERROR(__xludf.DUMMYFUNCTION("""COMPUTED_VALUE"""),TRUE)</f>
        <v>1</v>
      </c>
      <c r="H1192" s="4" t="b">
        <f>IFERROR(__xludf.DUMMYFUNCTION("""COMPUTED_VALUE"""),TRUE)</f>
        <v>1</v>
      </c>
      <c r="I1192" s="4">
        <f>IFERROR(__xludf.DUMMYFUNCTION("""COMPUTED_VALUE"""),0.2549440625)</f>
        <v>0.2549440625</v>
      </c>
      <c r="J1192" s="4">
        <f>IFERROR(__xludf.DUMMYFUNCTION("""COMPUTED_VALUE"""),45949.27830100017)</f>
        <v>45949.2783</v>
      </c>
      <c r="K1192" s="4" t="str">
        <f>IFERROR(__xludf.DUMMYFUNCTION("""COMPUTED_VALUE"""),"")</f>
        <v/>
      </c>
      <c r="L1192" s="4">
        <f>IFERROR(__xludf.DUMMYFUNCTION("""COMPUTED_VALUE"""),45949.29520989873)</f>
        <v>45949.29521</v>
      </c>
      <c r="M1192" s="1" t="str">
        <f>IFERROR(__xludf.DUMMYFUNCTION("""COMPUTED_VALUE"""),"RFID")</f>
        <v>RFID</v>
      </c>
      <c r="N1192" s="5">
        <f>IFERROR(__xludf.DUMMYFUNCTION("""COMPUTED_VALUE"""),0.009342773148148149)</f>
        <v>0.009342773148</v>
      </c>
      <c r="O1192" s="5" t="str">
        <f>IFERROR(__xludf.DUMMYFUNCTION("""COMPUTED_VALUE"""),"")</f>
        <v/>
      </c>
      <c r="P1192" s="5" t="str">
        <f>IFERROR(__xludf.DUMMYFUNCTION("""COMPUTED_VALUE"""),"")</f>
        <v/>
      </c>
      <c r="Q1192" s="5">
        <f>IFERROR(__xludf.DUMMYFUNCTION("""COMPUTED_VALUE"""),0.008053166666666667)</f>
        <v>0.008053166667</v>
      </c>
      <c r="R1192" s="4">
        <f>IFERROR(__xludf.DUMMYFUNCTION("""COMPUTED_VALUE"""),45949.04026583623)</f>
        <v>45949.04027</v>
      </c>
      <c r="S1192" s="1" t="b">
        <f>IFERROR(__xludf.DUMMYFUNCTION("""COMPUTED_VALUE"""),TRUE)</f>
        <v>1</v>
      </c>
      <c r="T1192" s="1" t="b">
        <f>IFERROR(__xludf.DUMMYFUNCTION("""COMPUTED_VALUE"""),FALSE)</f>
        <v>0</v>
      </c>
      <c r="U1192" s="1" t="str">
        <f>IFERROR(__xludf.DUMMYFUNCTION("""COMPUTED_VALUE"""),"VALID")</f>
        <v>VALID</v>
      </c>
      <c r="V1192" s="1">
        <f>IFERROR(__xludf.DUMMYFUNCTION("""COMPUTED_VALUE"""),326.0)</f>
        <v>326</v>
      </c>
      <c r="W1192" s="1">
        <f>IFERROR(__xludf.DUMMYFUNCTION("""COMPUTED_VALUE"""),1254.0)</f>
        <v>1254</v>
      </c>
      <c r="X1192" s="1">
        <f>IFERROR(__xludf.DUMMYFUNCTION("""COMPUTED_VALUE"""),395.0)</f>
        <v>395</v>
      </c>
      <c r="Y1192" s="2"/>
      <c r="Z1192" s="2"/>
    </row>
    <row r="1193">
      <c r="A1193" s="1">
        <f>IFERROR(__xludf.DUMMYFUNCTION("""COMPUTED_VALUE"""),1192.0)</f>
        <v>1192</v>
      </c>
      <c r="B1193" s="1">
        <f>IFERROR(__xludf.DUMMYFUNCTION("""COMPUTED_VALUE"""),5314.0)</f>
        <v>5314</v>
      </c>
      <c r="C1193" s="2" t="str">
        <f>IFERROR(__xludf.DUMMYFUNCTION("""COMPUTED_VALUE"""),"Mina")</f>
        <v>Mina</v>
      </c>
      <c r="D1193" s="2" t="str">
        <f>IFERROR(__xludf.DUMMYFUNCTION("""COMPUTED_VALUE"""),"5KM OVERALL F")</f>
        <v>5KM OVERALL F</v>
      </c>
      <c r="E1193" s="1">
        <f>IFERROR(__xludf.DUMMYFUNCTION("""COMPUTED_VALUE"""),2.0)</f>
        <v>2</v>
      </c>
      <c r="F1193" s="1" t="str">
        <f>IFERROR(__xludf.DUMMYFUNCTION("""COMPUTED_VALUE"""),"Female")</f>
        <v>Female</v>
      </c>
      <c r="G1193" s="4" t="b">
        <f>IFERROR(__xludf.DUMMYFUNCTION("""COMPUTED_VALUE"""),TRUE)</f>
        <v>1</v>
      </c>
      <c r="H1193" s="4" t="b">
        <f>IFERROR(__xludf.DUMMYFUNCTION("""COMPUTED_VALUE"""),FALSE)</f>
        <v>0</v>
      </c>
      <c r="I1193" s="4">
        <f>IFERROR(__xludf.DUMMYFUNCTION("""COMPUTED_VALUE"""),0.2549440625)</f>
        <v>0.2549440625</v>
      </c>
      <c r="J1193" s="4">
        <f>IFERROR(__xludf.DUMMYFUNCTION("""COMPUTED_VALUE"""),45949.274242422805)</f>
        <v>45949.27424</v>
      </c>
      <c r="K1193" s="4" t="str">
        <f>IFERROR(__xludf.DUMMYFUNCTION("""COMPUTED_VALUE"""),"")</f>
        <v/>
      </c>
      <c r="L1193" s="4">
        <f>IFERROR(__xludf.DUMMYFUNCTION("""COMPUTED_VALUE"""),45949.28779670721)</f>
        <v>45949.2878</v>
      </c>
      <c r="M1193" s="1" t="str">
        <f>IFERROR(__xludf.DUMMYFUNCTION("""COMPUTED_VALUE"""),"RFID")</f>
        <v>RFID</v>
      </c>
      <c r="N1193" s="5">
        <f>IFERROR(__xludf.DUMMYFUNCTION("""COMPUTED_VALUE"""),0.007719342592592593)</f>
        <v>0.007719342593</v>
      </c>
      <c r="O1193" s="5" t="str">
        <f>IFERROR(__xludf.DUMMYFUNCTION("""COMPUTED_VALUE"""),"")</f>
        <v/>
      </c>
      <c r="P1193" s="5" t="str">
        <f>IFERROR(__xludf.DUMMYFUNCTION("""COMPUTED_VALUE"""),"")</f>
        <v/>
      </c>
      <c r="Q1193" s="5">
        <f>IFERROR(__xludf.DUMMYFUNCTION("""COMPUTED_VALUE"""),0.006570530092592593)</f>
        <v>0.006570530093</v>
      </c>
      <c r="R1193" s="4">
        <f>IFERROR(__xludf.DUMMYFUNCTION("""COMPUTED_VALUE"""),45949.03285264471)</f>
        <v>45949.03285</v>
      </c>
      <c r="S1193" s="1" t="b">
        <f>IFERROR(__xludf.DUMMYFUNCTION("""COMPUTED_VALUE"""),TRUE)</f>
        <v>1</v>
      </c>
      <c r="T1193" s="1" t="b">
        <f>IFERROR(__xludf.DUMMYFUNCTION("""COMPUTED_VALUE"""),FALSE)</f>
        <v>0</v>
      </c>
      <c r="U1193" s="1" t="str">
        <f>IFERROR(__xludf.DUMMYFUNCTION("""COMPUTED_VALUE"""),"VALID")</f>
        <v>VALID</v>
      </c>
      <c r="V1193" s="1">
        <f>IFERROR(__xludf.DUMMYFUNCTION("""COMPUTED_VALUE"""),126.0)</f>
        <v>126</v>
      </c>
      <c r="W1193" s="1">
        <f>IFERROR(__xludf.DUMMYFUNCTION("""COMPUTED_VALUE"""),764.0)</f>
        <v>764</v>
      </c>
      <c r="X1193" s="1">
        <f>IFERROR(__xludf.DUMMYFUNCTION("""COMPUTED_VALUE"""),159.0)</f>
        <v>159</v>
      </c>
      <c r="Y1193" s="2"/>
      <c r="Z1193" s="2"/>
    </row>
    <row r="1194">
      <c r="A1194" s="1">
        <f>IFERROR(__xludf.DUMMYFUNCTION("""COMPUTED_VALUE"""),1193.0)</f>
        <v>1193</v>
      </c>
      <c r="B1194" s="1">
        <f>IFERROR(__xludf.DUMMYFUNCTION("""COMPUTED_VALUE"""),5316.0)</f>
        <v>5316</v>
      </c>
      <c r="C1194" s="2" t="str">
        <f>IFERROR(__xludf.DUMMYFUNCTION("""COMPUTED_VALUE"""),"Emelda")</f>
        <v>Emelda</v>
      </c>
      <c r="D1194" s="2" t="str">
        <f>IFERROR(__xludf.DUMMYFUNCTION("""COMPUTED_VALUE"""),"5KM OVERALL F")</f>
        <v>5KM OVERALL F</v>
      </c>
      <c r="E1194" s="1">
        <f>IFERROR(__xludf.DUMMYFUNCTION("""COMPUTED_VALUE"""),2.0)</f>
        <v>2</v>
      </c>
      <c r="F1194" s="1" t="str">
        <f>IFERROR(__xludf.DUMMYFUNCTION("""COMPUTED_VALUE"""),"Female")</f>
        <v>Female</v>
      </c>
      <c r="G1194" s="4" t="b">
        <f>IFERROR(__xludf.DUMMYFUNCTION("""COMPUTED_VALUE"""),TRUE)</f>
        <v>1</v>
      </c>
      <c r="H1194" s="4" t="b">
        <f>IFERROR(__xludf.DUMMYFUNCTION("""COMPUTED_VALUE"""),TRUE)</f>
        <v>1</v>
      </c>
      <c r="I1194" s="4">
        <f>IFERROR(__xludf.DUMMYFUNCTION("""COMPUTED_VALUE"""),0.2549440625)</f>
        <v>0.2549440625</v>
      </c>
      <c r="J1194" s="4">
        <f>IFERROR(__xludf.DUMMYFUNCTION("""COMPUTED_VALUE"""),45949.28151974443)</f>
        <v>45949.28152</v>
      </c>
      <c r="K1194" s="4" t="str">
        <f>IFERROR(__xludf.DUMMYFUNCTION("""COMPUTED_VALUE"""),"")</f>
        <v/>
      </c>
      <c r="L1194" s="4">
        <f>IFERROR(__xludf.DUMMYFUNCTION("""COMPUTED_VALUE"""),45949.30092517065)</f>
        <v>45949.30093</v>
      </c>
      <c r="M1194" s="1" t="str">
        <f>IFERROR(__xludf.DUMMYFUNCTION("""COMPUTED_VALUE"""),"RFID")</f>
        <v>RFID</v>
      </c>
      <c r="N1194" s="5">
        <f>IFERROR(__xludf.DUMMYFUNCTION("""COMPUTED_VALUE"""),0.010630273148148149)</f>
        <v>0.01063027315</v>
      </c>
      <c r="O1194" s="5" t="str">
        <f>IFERROR(__xludf.DUMMYFUNCTION("""COMPUTED_VALUE"""),"")</f>
        <v/>
      </c>
      <c r="P1194" s="5" t="str">
        <f>IFERROR(__xludf.DUMMYFUNCTION("""COMPUTED_VALUE"""),"")</f>
        <v/>
      </c>
      <c r="Q1194" s="5">
        <f>IFERROR(__xludf.DUMMYFUNCTION("""COMPUTED_VALUE"""),0.009196222222222222)</f>
        <v>0.009196222222</v>
      </c>
      <c r="R1194" s="4">
        <f>IFERROR(__xludf.DUMMYFUNCTION("""COMPUTED_VALUE"""),45949.04598110815)</f>
        <v>45949.04598</v>
      </c>
      <c r="S1194" s="1" t="b">
        <f>IFERROR(__xludf.DUMMYFUNCTION("""COMPUTED_VALUE"""),TRUE)</f>
        <v>1</v>
      </c>
      <c r="T1194" s="1" t="b">
        <f>IFERROR(__xludf.DUMMYFUNCTION("""COMPUTED_VALUE"""),FALSE)</f>
        <v>0</v>
      </c>
      <c r="U1194" s="1" t="str">
        <f>IFERROR(__xludf.DUMMYFUNCTION("""COMPUTED_VALUE"""),"VALID")</f>
        <v>VALID</v>
      </c>
      <c r="V1194" s="1">
        <f>IFERROR(__xludf.DUMMYFUNCTION("""COMPUTED_VALUE"""),439.0)</f>
        <v>439</v>
      </c>
      <c r="W1194" s="1">
        <f>IFERROR(__xludf.DUMMYFUNCTION("""COMPUTED_VALUE"""),1483.0)</f>
        <v>1483</v>
      </c>
      <c r="X1194" s="1">
        <f>IFERROR(__xludf.DUMMYFUNCTION("""COMPUTED_VALUE"""),536.0)</f>
        <v>536</v>
      </c>
      <c r="Y1194" s="2"/>
      <c r="Z1194" s="2"/>
    </row>
    <row r="1195">
      <c r="A1195" s="1">
        <f>IFERROR(__xludf.DUMMYFUNCTION("""COMPUTED_VALUE"""),1194.0)</f>
        <v>1194</v>
      </c>
      <c r="B1195" s="1">
        <f>IFERROR(__xludf.DUMMYFUNCTION("""COMPUTED_VALUE"""),5320.0)</f>
        <v>5320</v>
      </c>
      <c r="C1195" s="2" t="str">
        <f>IFERROR(__xludf.DUMMYFUNCTION("""COMPUTED_VALUE"""),"ifa")</f>
        <v>ifa</v>
      </c>
      <c r="D1195" s="2" t="str">
        <f>IFERROR(__xludf.DUMMYFUNCTION("""COMPUTED_VALUE"""),"5KM OVERALL F")</f>
        <v>5KM OVERALL F</v>
      </c>
      <c r="E1195" s="1">
        <f>IFERROR(__xludf.DUMMYFUNCTION("""COMPUTED_VALUE"""),2.0)</f>
        <v>2</v>
      </c>
      <c r="F1195" s="1" t="str">
        <f>IFERROR(__xludf.DUMMYFUNCTION("""COMPUTED_VALUE"""),"Female")</f>
        <v>Female</v>
      </c>
      <c r="G1195" s="4" t="b">
        <f>IFERROR(__xludf.DUMMYFUNCTION("""COMPUTED_VALUE"""),TRUE)</f>
        <v>1</v>
      </c>
      <c r="H1195" s="4" t="b">
        <f>IFERROR(__xludf.DUMMYFUNCTION("""COMPUTED_VALUE"""),TRUE)</f>
        <v>1</v>
      </c>
      <c r="I1195" s="4">
        <f>IFERROR(__xludf.DUMMYFUNCTION("""COMPUTED_VALUE"""),0.2549440625)</f>
        <v>0.2549440625</v>
      </c>
      <c r="J1195" s="4">
        <f>IFERROR(__xludf.DUMMYFUNCTION("""COMPUTED_VALUE"""),45949.28121774721)</f>
        <v>45949.28122</v>
      </c>
      <c r="K1195" s="4" t="str">
        <f>IFERROR(__xludf.DUMMYFUNCTION("""COMPUTED_VALUE"""),"")</f>
        <v/>
      </c>
      <c r="L1195" s="4">
        <f>IFERROR(__xludf.DUMMYFUNCTION("""COMPUTED_VALUE"""),45949.301310593764)</f>
        <v>45949.30131</v>
      </c>
      <c r="M1195" s="1" t="str">
        <f>IFERROR(__xludf.DUMMYFUNCTION("""COMPUTED_VALUE"""),"RFID")</f>
        <v>RFID</v>
      </c>
      <c r="N1195" s="5">
        <f>IFERROR(__xludf.DUMMYFUNCTION("""COMPUTED_VALUE"""),0.010509472222222222)</f>
        <v>0.01050947222</v>
      </c>
      <c r="O1195" s="5" t="str">
        <f>IFERROR(__xludf.DUMMYFUNCTION("""COMPUTED_VALUE"""),"")</f>
        <v/>
      </c>
      <c r="P1195" s="5" t="str">
        <f>IFERROR(__xludf.DUMMYFUNCTION("""COMPUTED_VALUE"""),"")</f>
        <v/>
      </c>
      <c r="Q1195" s="5">
        <f>IFERROR(__xludf.DUMMYFUNCTION("""COMPUTED_VALUE"""),0.009273305555555555)</f>
        <v>0.009273305556</v>
      </c>
      <c r="R1195" s="4">
        <f>IFERROR(__xludf.DUMMYFUNCTION("""COMPUTED_VALUE"""),45949.04636653126)</f>
        <v>45949.04637</v>
      </c>
      <c r="S1195" s="1" t="b">
        <f>IFERROR(__xludf.DUMMYFUNCTION("""COMPUTED_VALUE"""),TRUE)</f>
        <v>1</v>
      </c>
      <c r="T1195" s="1" t="b">
        <f>IFERROR(__xludf.DUMMYFUNCTION("""COMPUTED_VALUE"""),FALSE)</f>
        <v>0</v>
      </c>
      <c r="U1195" s="1" t="str">
        <f>IFERROR(__xludf.DUMMYFUNCTION("""COMPUTED_VALUE"""),"VALID")</f>
        <v>VALID</v>
      </c>
      <c r="V1195" s="1">
        <f>IFERROR(__xludf.DUMMYFUNCTION("""COMPUTED_VALUE"""),452.0)</f>
        <v>452</v>
      </c>
      <c r="W1195" s="1">
        <f>IFERROR(__xludf.DUMMYFUNCTION("""COMPUTED_VALUE"""),1506.0)</f>
        <v>1506</v>
      </c>
      <c r="X1195" s="1">
        <f>IFERROR(__xludf.DUMMYFUNCTION("""COMPUTED_VALUE"""),550.0)</f>
        <v>550</v>
      </c>
      <c r="Y1195" s="2"/>
      <c r="Z1195" s="2"/>
    </row>
    <row r="1196">
      <c r="A1196" s="1">
        <f>IFERROR(__xludf.DUMMYFUNCTION("""COMPUTED_VALUE"""),1195.0)</f>
        <v>1195</v>
      </c>
      <c r="B1196" s="1">
        <f>IFERROR(__xludf.DUMMYFUNCTION("""COMPUTED_VALUE"""),5323.0)</f>
        <v>5323</v>
      </c>
      <c r="C1196" s="2" t="str">
        <f>IFERROR(__xludf.DUMMYFUNCTION("""COMPUTED_VALUE"""),"SUSAN MUSDALIFAH")</f>
        <v>SUSAN MUSDALIFAH</v>
      </c>
      <c r="D1196" s="2" t="str">
        <f>IFERROR(__xludf.DUMMYFUNCTION("""COMPUTED_VALUE"""),"5KM OVERALL F")</f>
        <v>5KM OVERALL F</v>
      </c>
      <c r="E1196" s="1">
        <f>IFERROR(__xludf.DUMMYFUNCTION("""COMPUTED_VALUE"""),2.0)</f>
        <v>2</v>
      </c>
      <c r="F1196" s="1" t="str">
        <f>IFERROR(__xludf.DUMMYFUNCTION("""COMPUTED_VALUE"""),"Female")</f>
        <v>Female</v>
      </c>
      <c r="G1196" s="4" t="b">
        <f>IFERROR(__xludf.DUMMYFUNCTION("""COMPUTED_VALUE"""),TRUE)</f>
        <v>1</v>
      </c>
      <c r="H1196" s="4" t="b">
        <f>IFERROR(__xludf.DUMMYFUNCTION("""COMPUTED_VALUE"""),TRUE)</f>
        <v>1</v>
      </c>
      <c r="I1196" s="4">
        <f>IFERROR(__xludf.DUMMYFUNCTION("""COMPUTED_VALUE"""),0.2549440625)</f>
        <v>0.2549440625</v>
      </c>
      <c r="J1196" s="4">
        <f>IFERROR(__xludf.DUMMYFUNCTION("""COMPUTED_VALUE"""),45949.27550932487)</f>
        <v>45949.27551</v>
      </c>
      <c r="K1196" s="4" t="str">
        <f>IFERROR(__xludf.DUMMYFUNCTION("""COMPUTED_VALUE"""),"")</f>
        <v/>
      </c>
      <c r="L1196" s="4">
        <f>IFERROR(__xludf.DUMMYFUNCTION("""COMPUTED_VALUE"""),45949.29042169955)</f>
        <v>45949.29042</v>
      </c>
      <c r="M1196" s="1" t="str">
        <f>IFERROR(__xludf.DUMMYFUNCTION("""COMPUTED_VALUE"""),"RFID")</f>
        <v>RFID</v>
      </c>
      <c r="N1196" s="5">
        <f>IFERROR(__xludf.DUMMYFUNCTION("""COMPUTED_VALUE"""),0.00822610648148148)</f>
        <v>0.008226106481</v>
      </c>
      <c r="O1196" s="5" t="str">
        <f>IFERROR(__xludf.DUMMYFUNCTION("""COMPUTED_VALUE"""),"")</f>
        <v/>
      </c>
      <c r="P1196" s="5" t="str">
        <f>IFERROR(__xludf.DUMMYFUNCTION("""COMPUTED_VALUE"""),"")</f>
        <v/>
      </c>
      <c r="Q1196" s="5">
        <f>IFERROR(__xludf.DUMMYFUNCTION("""COMPUTED_VALUE"""),0.007095527777777779)</f>
        <v>0.007095527778</v>
      </c>
      <c r="R1196" s="4">
        <f>IFERROR(__xludf.DUMMYFUNCTION("""COMPUTED_VALUE"""),45949.03547763705)</f>
        <v>45949.03548</v>
      </c>
      <c r="S1196" s="1" t="b">
        <f>IFERROR(__xludf.DUMMYFUNCTION("""COMPUTED_VALUE"""),TRUE)</f>
        <v>1</v>
      </c>
      <c r="T1196" s="1" t="b">
        <f>IFERROR(__xludf.DUMMYFUNCTION("""COMPUTED_VALUE"""),FALSE)</f>
        <v>0</v>
      </c>
      <c r="U1196" s="1" t="str">
        <f>IFERROR(__xludf.DUMMYFUNCTION("""COMPUTED_VALUE"""),"VALID")</f>
        <v>VALID</v>
      </c>
      <c r="V1196" s="1">
        <f>IFERROR(__xludf.DUMMYFUNCTION("""COMPUTED_VALUE"""),171.0)</f>
        <v>171</v>
      </c>
      <c r="W1196" s="1">
        <f>IFERROR(__xludf.DUMMYFUNCTION("""COMPUTED_VALUE"""),916.0)</f>
        <v>916</v>
      </c>
      <c r="X1196" s="1">
        <f>IFERROR(__xludf.DUMMYFUNCTION("""COMPUTED_VALUE"""),213.0)</f>
        <v>213</v>
      </c>
      <c r="Y1196" s="2"/>
      <c r="Z1196" s="2"/>
    </row>
    <row r="1197">
      <c r="A1197" s="1">
        <f>IFERROR(__xludf.DUMMYFUNCTION("""COMPUTED_VALUE"""),1196.0)</f>
        <v>1196</v>
      </c>
      <c r="B1197" s="1">
        <f>IFERROR(__xludf.DUMMYFUNCTION("""COMPUTED_VALUE"""),5326.0)</f>
        <v>5326</v>
      </c>
      <c r="C1197" s="2" t="str">
        <f>IFERROR(__xludf.DUMMYFUNCTION("""COMPUTED_VALUE"""),"Noor cahya")</f>
        <v>Noor cahya</v>
      </c>
      <c r="D1197" s="2" t="str">
        <f>IFERROR(__xludf.DUMMYFUNCTION("""COMPUTED_VALUE"""),"5KM OVERALL F")</f>
        <v>5KM OVERALL F</v>
      </c>
      <c r="E1197" s="1">
        <f>IFERROR(__xludf.DUMMYFUNCTION("""COMPUTED_VALUE"""),2.0)</f>
        <v>2</v>
      </c>
      <c r="F1197" s="1" t="str">
        <f>IFERROR(__xludf.DUMMYFUNCTION("""COMPUTED_VALUE"""),"Female")</f>
        <v>Female</v>
      </c>
      <c r="G1197" s="4" t="b">
        <f>IFERROR(__xludf.DUMMYFUNCTION("""COMPUTED_VALUE"""),TRUE)</f>
        <v>1</v>
      </c>
      <c r="H1197" s="4" t="b">
        <f>IFERROR(__xludf.DUMMYFUNCTION("""COMPUTED_VALUE"""),TRUE)</f>
        <v>1</v>
      </c>
      <c r="I1197" s="4">
        <f>IFERROR(__xludf.DUMMYFUNCTION("""COMPUTED_VALUE"""),0.2549440625)</f>
        <v>0.2549440625</v>
      </c>
      <c r="J1197" s="4">
        <f>IFERROR(__xludf.DUMMYFUNCTION("""COMPUTED_VALUE"""),45949.283485025284)</f>
        <v>45949.28349</v>
      </c>
      <c r="K1197" s="4" t="str">
        <f>IFERROR(__xludf.DUMMYFUNCTION("""COMPUTED_VALUE"""),"")</f>
        <v/>
      </c>
      <c r="L1197" s="4">
        <f>IFERROR(__xludf.DUMMYFUNCTION("""COMPUTED_VALUE"""),45949.301963363825)</f>
        <v>45949.30196</v>
      </c>
      <c r="M1197" s="1" t="str">
        <f>IFERROR(__xludf.DUMMYFUNCTION("""COMPUTED_VALUE"""),"RFID")</f>
        <v>RFID</v>
      </c>
      <c r="N1197" s="5">
        <f>IFERROR(__xludf.DUMMYFUNCTION("""COMPUTED_VALUE"""),0.011416384259259258)</f>
        <v>0.01141638426</v>
      </c>
      <c r="O1197" s="5" t="str">
        <f>IFERROR(__xludf.DUMMYFUNCTION("""COMPUTED_VALUE"""),"")</f>
        <v/>
      </c>
      <c r="P1197" s="5" t="str">
        <f>IFERROR(__xludf.DUMMYFUNCTION("""COMPUTED_VALUE"""),"")</f>
        <v/>
      </c>
      <c r="Q1197" s="5">
        <f>IFERROR(__xludf.DUMMYFUNCTION("""COMPUTED_VALUE"""),0.009403861111111111)</f>
        <v>0.009403861111</v>
      </c>
      <c r="R1197" s="4">
        <f>IFERROR(__xludf.DUMMYFUNCTION("""COMPUTED_VALUE"""),45949.047019301324)</f>
        <v>45949.04702</v>
      </c>
      <c r="S1197" s="1" t="b">
        <f>IFERROR(__xludf.DUMMYFUNCTION("""COMPUTED_VALUE"""),TRUE)</f>
        <v>1</v>
      </c>
      <c r="T1197" s="1" t="b">
        <f>IFERROR(__xludf.DUMMYFUNCTION("""COMPUTED_VALUE"""),FALSE)</f>
        <v>0</v>
      </c>
      <c r="U1197" s="1" t="str">
        <f>IFERROR(__xludf.DUMMYFUNCTION("""COMPUTED_VALUE"""),"VALID")</f>
        <v>VALID</v>
      </c>
      <c r="V1197" s="1">
        <f>IFERROR(__xludf.DUMMYFUNCTION("""COMPUTED_VALUE"""),461.0)</f>
        <v>461</v>
      </c>
      <c r="W1197" s="1">
        <f>IFERROR(__xludf.DUMMYFUNCTION("""COMPUTED_VALUE"""),1517.0)</f>
        <v>1517</v>
      </c>
      <c r="X1197" s="1">
        <f>IFERROR(__xludf.DUMMYFUNCTION("""COMPUTED_VALUE"""),561.0)</f>
        <v>561</v>
      </c>
      <c r="Y1197" s="2"/>
      <c r="Z1197" s="2"/>
    </row>
    <row r="1198">
      <c r="A1198" s="1">
        <f>IFERROR(__xludf.DUMMYFUNCTION("""COMPUTED_VALUE"""),1197.0)</f>
        <v>1197</v>
      </c>
      <c r="B1198" s="1">
        <f>IFERROR(__xludf.DUMMYFUNCTION("""COMPUTED_VALUE"""),5328.0)</f>
        <v>5328</v>
      </c>
      <c r="C1198" s="2" t="str">
        <f>IFERROR(__xludf.DUMMYFUNCTION("""COMPUTED_VALUE"""),"Ummu Sema")</f>
        <v>Ummu Sema</v>
      </c>
      <c r="D1198" s="2" t="str">
        <f>IFERROR(__xludf.DUMMYFUNCTION("""COMPUTED_VALUE"""),"5KM OVERALL F")</f>
        <v>5KM OVERALL F</v>
      </c>
      <c r="E1198" s="1">
        <f>IFERROR(__xludf.DUMMYFUNCTION("""COMPUTED_VALUE"""),2.0)</f>
        <v>2</v>
      </c>
      <c r="F1198" s="1" t="str">
        <f>IFERROR(__xludf.DUMMYFUNCTION("""COMPUTED_VALUE"""),"Female")</f>
        <v>Female</v>
      </c>
      <c r="G1198" s="4" t="b">
        <f>IFERROR(__xludf.DUMMYFUNCTION("""COMPUTED_VALUE"""),TRUE)</f>
        <v>1</v>
      </c>
      <c r="H1198" s="4" t="b">
        <f>IFERROR(__xludf.DUMMYFUNCTION("""COMPUTED_VALUE"""),TRUE)</f>
        <v>1</v>
      </c>
      <c r="I1198" s="4">
        <f>IFERROR(__xludf.DUMMYFUNCTION("""COMPUTED_VALUE"""),0.2549440625)</f>
        <v>0.2549440625</v>
      </c>
      <c r="J1198" s="4">
        <f>IFERROR(__xludf.DUMMYFUNCTION("""COMPUTED_VALUE"""),45949.27811701457)</f>
        <v>45949.27812</v>
      </c>
      <c r="K1198" s="4" t="str">
        <f>IFERROR(__xludf.DUMMYFUNCTION("""COMPUTED_VALUE"""),"")</f>
        <v/>
      </c>
      <c r="L1198" s="4">
        <f>IFERROR(__xludf.DUMMYFUNCTION("""COMPUTED_VALUE"""),45949.292904568974)</f>
        <v>45949.2929</v>
      </c>
      <c r="M1198" s="1" t="str">
        <f>IFERROR(__xludf.DUMMYFUNCTION("""COMPUTED_VALUE"""),"RFID")</f>
        <v>RFID</v>
      </c>
      <c r="N1198" s="5">
        <f>IFERROR(__xludf.DUMMYFUNCTION("""COMPUTED_VALUE"""),0.009269180555555557)</f>
        <v>0.009269180556</v>
      </c>
      <c r="O1198" s="5" t="str">
        <f>IFERROR(__xludf.DUMMYFUNCTION("""COMPUTED_VALUE"""),"")</f>
        <v/>
      </c>
      <c r="P1198" s="5" t="str">
        <f>IFERROR(__xludf.DUMMYFUNCTION("""COMPUTED_VALUE"""),"")</f>
        <v/>
      </c>
      <c r="Q1198" s="5">
        <f>IFERROR(__xludf.DUMMYFUNCTION("""COMPUTED_VALUE"""),0.007592101851851852)</f>
        <v>0.007592101852</v>
      </c>
      <c r="R1198" s="4">
        <f>IFERROR(__xludf.DUMMYFUNCTION("""COMPUTED_VALUE"""),45949.03796050647)</f>
        <v>45949.03796</v>
      </c>
      <c r="S1198" s="1" t="b">
        <f>IFERROR(__xludf.DUMMYFUNCTION("""COMPUTED_VALUE"""),TRUE)</f>
        <v>1</v>
      </c>
      <c r="T1198" s="1" t="b">
        <f>IFERROR(__xludf.DUMMYFUNCTION("""COMPUTED_VALUE"""),FALSE)</f>
        <v>0</v>
      </c>
      <c r="U1198" s="1" t="str">
        <f>IFERROR(__xludf.DUMMYFUNCTION("""COMPUTED_VALUE"""),"VALID")</f>
        <v>VALID</v>
      </c>
      <c r="V1198" s="1">
        <f>IFERROR(__xludf.DUMMYFUNCTION("""COMPUTED_VALUE"""),251.0)</f>
        <v>251</v>
      </c>
      <c r="W1198" s="1">
        <f>IFERROR(__xludf.DUMMYFUNCTION("""COMPUTED_VALUE"""),1098.0)</f>
        <v>1098</v>
      </c>
      <c r="X1198" s="1">
        <f>IFERROR(__xludf.DUMMYFUNCTION("""COMPUTED_VALUE"""),308.0)</f>
        <v>308</v>
      </c>
      <c r="Y1198" s="2"/>
      <c r="Z1198" s="2"/>
    </row>
    <row r="1199">
      <c r="A1199" s="1">
        <f>IFERROR(__xludf.DUMMYFUNCTION("""COMPUTED_VALUE"""),1198.0)</f>
        <v>1198</v>
      </c>
      <c r="B1199" s="1">
        <f>IFERROR(__xludf.DUMMYFUNCTION("""COMPUTED_VALUE"""),5335.0)</f>
        <v>5335</v>
      </c>
      <c r="C1199" s="2" t="str">
        <f>IFERROR(__xludf.DUMMYFUNCTION("""COMPUTED_VALUE"""),"SPY")</f>
        <v>SPY</v>
      </c>
      <c r="D1199" s="2" t="str">
        <f>IFERROR(__xludf.DUMMYFUNCTION("""COMPUTED_VALUE"""),"5KM OVERALL F")</f>
        <v>5KM OVERALL F</v>
      </c>
      <c r="E1199" s="1">
        <f>IFERROR(__xludf.DUMMYFUNCTION("""COMPUTED_VALUE"""),2.0)</f>
        <v>2</v>
      </c>
      <c r="F1199" s="1" t="str">
        <f>IFERROR(__xludf.DUMMYFUNCTION("""COMPUTED_VALUE"""),"Female")</f>
        <v>Female</v>
      </c>
      <c r="G1199" s="4" t="b">
        <f>IFERROR(__xludf.DUMMYFUNCTION("""COMPUTED_VALUE"""),TRUE)</f>
        <v>1</v>
      </c>
      <c r="H1199" s="4" t="b">
        <f>IFERROR(__xludf.DUMMYFUNCTION("""COMPUTED_VALUE"""),FALSE)</f>
        <v>0</v>
      </c>
      <c r="I1199" s="4">
        <f>IFERROR(__xludf.DUMMYFUNCTION("""COMPUTED_VALUE"""),0.2549440625)</f>
        <v>0.2549440625</v>
      </c>
      <c r="J1199" s="4">
        <f>IFERROR(__xludf.DUMMYFUNCTION("""COMPUTED_VALUE"""),45949.28125933466)</f>
        <v>45949.28126</v>
      </c>
      <c r="K1199" s="4" t="str">
        <f>IFERROR(__xludf.DUMMYFUNCTION("""COMPUTED_VALUE"""),"")</f>
        <v/>
      </c>
      <c r="L1199" s="4">
        <f>IFERROR(__xludf.DUMMYFUNCTION("""COMPUTED_VALUE"""),45949.30132482865)</f>
        <v>45949.30132</v>
      </c>
      <c r="M1199" s="1" t="str">
        <f>IFERROR(__xludf.DUMMYFUNCTION("""COMPUTED_VALUE"""),"RFID")</f>
        <v>RFID</v>
      </c>
      <c r="N1199" s="5">
        <f>IFERROR(__xludf.DUMMYFUNCTION("""COMPUTED_VALUE"""),0.010526111111111111)</f>
        <v>0.01052611111</v>
      </c>
      <c r="O1199" s="5" t="str">
        <f>IFERROR(__xludf.DUMMYFUNCTION("""COMPUTED_VALUE"""),"")</f>
        <v/>
      </c>
      <c r="P1199" s="5" t="str">
        <f>IFERROR(__xludf.DUMMYFUNCTION("""COMPUTED_VALUE"""),"")</f>
        <v/>
      </c>
      <c r="Q1199" s="5">
        <f>IFERROR(__xludf.DUMMYFUNCTION("""COMPUTED_VALUE"""),0.009276152777777777)</f>
        <v>0.009276152778</v>
      </c>
      <c r="R1199" s="4">
        <f>IFERROR(__xludf.DUMMYFUNCTION("""COMPUTED_VALUE"""),45949.04638076615)</f>
        <v>45949.04638</v>
      </c>
      <c r="S1199" s="1" t="b">
        <f>IFERROR(__xludf.DUMMYFUNCTION("""COMPUTED_VALUE"""),TRUE)</f>
        <v>1</v>
      </c>
      <c r="T1199" s="1" t="b">
        <f>IFERROR(__xludf.DUMMYFUNCTION("""COMPUTED_VALUE"""),FALSE)</f>
        <v>0</v>
      </c>
      <c r="U1199" s="1" t="str">
        <f>IFERROR(__xludf.DUMMYFUNCTION("""COMPUTED_VALUE"""),"VALID")</f>
        <v>VALID</v>
      </c>
      <c r="V1199" s="1">
        <f>IFERROR(__xludf.DUMMYFUNCTION("""COMPUTED_VALUE"""),453.0)</f>
        <v>453</v>
      </c>
      <c r="W1199" s="1">
        <f>IFERROR(__xludf.DUMMYFUNCTION("""COMPUTED_VALUE"""),1507.0)</f>
        <v>1507</v>
      </c>
      <c r="X1199" s="1">
        <f>IFERROR(__xludf.DUMMYFUNCTION("""COMPUTED_VALUE"""),551.0)</f>
        <v>551</v>
      </c>
      <c r="Y1199" s="2"/>
      <c r="Z1199" s="2"/>
    </row>
    <row r="1200">
      <c r="A1200" s="1">
        <f>IFERROR(__xludf.DUMMYFUNCTION("""COMPUTED_VALUE"""),1199.0)</f>
        <v>1199</v>
      </c>
      <c r="B1200" s="1">
        <f>IFERROR(__xludf.DUMMYFUNCTION("""COMPUTED_VALUE"""),5337.0)</f>
        <v>5337</v>
      </c>
      <c r="C1200" s="2" t="str">
        <f>IFERROR(__xludf.DUMMYFUNCTION("""COMPUTED_VALUE"""),"INTAN INDAH")</f>
        <v>INTAN INDAH</v>
      </c>
      <c r="D1200" s="2" t="str">
        <f>IFERROR(__xludf.DUMMYFUNCTION("""COMPUTED_VALUE"""),"5KM OVERALL F")</f>
        <v>5KM OVERALL F</v>
      </c>
      <c r="E1200" s="1">
        <f>IFERROR(__xludf.DUMMYFUNCTION("""COMPUTED_VALUE"""),2.0)</f>
        <v>2</v>
      </c>
      <c r="F1200" s="1" t="str">
        <f>IFERROR(__xludf.DUMMYFUNCTION("""COMPUTED_VALUE"""),"Female")</f>
        <v>Female</v>
      </c>
      <c r="G1200" s="4" t="b">
        <f>IFERROR(__xludf.DUMMYFUNCTION("""COMPUTED_VALUE"""),TRUE)</f>
        <v>1</v>
      </c>
      <c r="H1200" s="4" t="b">
        <f>IFERROR(__xludf.DUMMYFUNCTION("""COMPUTED_VALUE"""),FALSE)</f>
        <v>0</v>
      </c>
      <c r="I1200" s="4">
        <f>IFERROR(__xludf.DUMMYFUNCTION("""COMPUTED_VALUE"""),0.2549440625)</f>
        <v>0.2549440625</v>
      </c>
      <c r="J1200" s="4">
        <f>IFERROR(__xludf.DUMMYFUNCTION("""COMPUTED_VALUE"""),45949.27580101078)</f>
        <v>45949.2758</v>
      </c>
      <c r="K1200" s="4" t="str">
        <f>IFERROR(__xludf.DUMMYFUNCTION("""COMPUTED_VALUE"""),"")</f>
        <v/>
      </c>
      <c r="L1200" s="4">
        <f>IFERROR(__xludf.DUMMYFUNCTION("""COMPUTED_VALUE"""),45949.290706427506)</f>
        <v>45949.29071</v>
      </c>
      <c r="M1200" s="1" t="str">
        <f>IFERROR(__xludf.DUMMYFUNCTION("""COMPUTED_VALUE"""),"RFID")</f>
        <v>RFID</v>
      </c>
      <c r="N1200" s="5">
        <f>IFERROR(__xludf.DUMMYFUNCTION("""COMPUTED_VALUE"""),0.008342777777777779)</f>
        <v>0.008342777778</v>
      </c>
      <c r="O1200" s="5" t="str">
        <f>IFERROR(__xludf.DUMMYFUNCTION("""COMPUTED_VALUE"""),"")</f>
        <v/>
      </c>
      <c r="P1200" s="5" t="str">
        <f>IFERROR(__xludf.DUMMYFUNCTION("""COMPUTED_VALUE"""),"")</f>
        <v/>
      </c>
      <c r="Q1200" s="5">
        <f>IFERROR(__xludf.DUMMYFUNCTION("""COMPUTED_VALUE"""),0.007152472222222222)</f>
        <v>0.007152472222</v>
      </c>
      <c r="R1200" s="4">
        <f>IFERROR(__xludf.DUMMYFUNCTION("""COMPUTED_VALUE"""),45949.035762365005)</f>
        <v>45949.03576</v>
      </c>
      <c r="S1200" s="1" t="b">
        <f>IFERROR(__xludf.DUMMYFUNCTION("""COMPUTED_VALUE"""),TRUE)</f>
        <v>1</v>
      </c>
      <c r="T1200" s="1" t="b">
        <f>IFERROR(__xludf.DUMMYFUNCTION("""COMPUTED_VALUE"""),FALSE)</f>
        <v>0</v>
      </c>
      <c r="U1200" s="1" t="str">
        <f>IFERROR(__xludf.DUMMYFUNCTION("""COMPUTED_VALUE"""),"VALID")</f>
        <v>VALID</v>
      </c>
      <c r="V1200" s="1">
        <f>IFERROR(__xludf.DUMMYFUNCTION("""COMPUTED_VALUE"""),177.0)</f>
        <v>177</v>
      </c>
      <c r="W1200" s="1">
        <f>IFERROR(__xludf.DUMMYFUNCTION("""COMPUTED_VALUE"""),940.0)</f>
        <v>940</v>
      </c>
      <c r="X1200" s="1">
        <f>IFERROR(__xludf.DUMMYFUNCTION("""COMPUTED_VALUE"""),222.0)</f>
        <v>222</v>
      </c>
      <c r="Y1200" s="2"/>
      <c r="Z1200" s="2"/>
    </row>
    <row r="1201">
      <c r="A1201" s="1">
        <f>IFERROR(__xludf.DUMMYFUNCTION("""COMPUTED_VALUE"""),1200.0)</f>
        <v>1200</v>
      </c>
      <c r="B1201" s="1">
        <f>IFERROR(__xludf.DUMMYFUNCTION("""COMPUTED_VALUE"""),5342.0)</f>
        <v>5342</v>
      </c>
      <c r="C1201" s="2" t="str">
        <f>IFERROR(__xludf.DUMMYFUNCTION("""COMPUTED_VALUE"""),"Dini Ayu")</f>
        <v>Dini Ayu</v>
      </c>
      <c r="D1201" s="2" t="str">
        <f>IFERROR(__xludf.DUMMYFUNCTION("""COMPUTED_VALUE"""),"5KM OVERALL F")</f>
        <v>5KM OVERALL F</v>
      </c>
      <c r="E1201" s="1">
        <f>IFERROR(__xludf.DUMMYFUNCTION("""COMPUTED_VALUE"""),2.0)</f>
        <v>2</v>
      </c>
      <c r="F1201" s="1" t="str">
        <f>IFERROR(__xludf.DUMMYFUNCTION("""COMPUTED_VALUE"""),"Female")</f>
        <v>Female</v>
      </c>
      <c r="G1201" s="4" t="b">
        <f>IFERROR(__xludf.DUMMYFUNCTION("""COMPUTED_VALUE"""),TRUE)</f>
        <v>1</v>
      </c>
      <c r="H1201" s="4" t="b">
        <f>IFERROR(__xludf.DUMMYFUNCTION("""COMPUTED_VALUE"""),TRUE)</f>
        <v>1</v>
      </c>
      <c r="I1201" s="4">
        <f>IFERROR(__xludf.DUMMYFUNCTION("""COMPUTED_VALUE"""),0.2549440625)</f>
        <v>0.2549440625</v>
      </c>
      <c r="J1201" s="4">
        <f>IFERROR(__xludf.DUMMYFUNCTION("""COMPUTED_VALUE"""),45949.26987044439)</f>
        <v>45949.26987</v>
      </c>
      <c r="K1201" s="4" t="str">
        <f>IFERROR(__xludf.DUMMYFUNCTION("""COMPUTED_VALUE"""),"")</f>
        <v/>
      </c>
      <c r="L1201" s="4">
        <f>IFERROR(__xludf.DUMMYFUNCTION("""COMPUTED_VALUE"""),45949.27984530754)</f>
        <v>45949.27985</v>
      </c>
      <c r="M1201" s="1" t="str">
        <f>IFERROR(__xludf.DUMMYFUNCTION("""COMPUTED_VALUE"""),"RFID")</f>
        <v>RFID</v>
      </c>
      <c r="N1201" s="5">
        <f>IFERROR(__xludf.DUMMYFUNCTION("""COMPUTED_VALUE"""),0.005970550925925926)</f>
        <v>0.005970550926</v>
      </c>
      <c r="O1201" s="5" t="str">
        <f>IFERROR(__xludf.DUMMYFUNCTION("""COMPUTED_VALUE"""),"")</f>
        <v/>
      </c>
      <c r="P1201" s="5" t="str">
        <f>IFERROR(__xludf.DUMMYFUNCTION("""COMPUTED_VALUE"""),"")</f>
        <v/>
      </c>
      <c r="Q1201" s="5">
        <f>IFERROR(__xludf.DUMMYFUNCTION("""COMPUTED_VALUE"""),0.00498025)</f>
        <v>0.00498025</v>
      </c>
      <c r="R1201" s="4">
        <f>IFERROR(__xludf.DUMMYFUNCTION("""COMPUTED_VALUE"""),45949.02490124504)</f>
        <v>45949.0249</v>
      </c>
      <c r="S1201" s="1" t="b">
        <f>IFERROR(__xludf.DUMMYFUNCTION("""COMPUTED_VALUE"""),TRUE)</f>
        <v>1</v>
      </c>
      <c r="T1201" s="1" t="b">
        <f>IFERROR(__xludf.DUMMYFUNCTION("""COMPUTED_VALUE"""),FALSE)</f>
        <v>0</v>
      </c>
      <c r="U1201" s="1" t="str">
        <f>IFERROR(__xludf.DUMMYFUNCTION("""COMPUTED_VALUE"""),"VALID")</f>
        <v>VALID</v>
      </c>
      <c r="V1201" s="1">
        <f>IFERROR(__xludf.DUMMYFUNCTION("""COMPUTED_VALUE"""),24.0)</f>
        <v>24</v>
      </c>
      <c r="W1201" s="1">
        <f>IFERROR(__xludf.DUMMYFUNCTION("""COMPUTED_VALUE"""),281.0)</f>
        <v>281</v>
      </c>
      <c r="X1201" s="1">
        <f>IFERROR(__xludf.DUMMYFUNCTION("""COMPUTED_VALUE"""),36.0)</f>
        <v>36</v>
      </c>
      <c r="Y1201" s="2"/>
      <c r="Z1201" s="2"/>
    </row>
    <row r="1202">
      <c r="A1202" s="1">
        <f>IFERROR(__xludf.DUMMYFUNCTION("""COMPUTED_VALUE"""),1201.0)</f>
        <v>1201</v>
      </c>
      <c r="B1202" s="1">
        <f>IFERROR(__xludf.DUMMYFUNCTION("""COMPUTED_VALUE"""),5343.0)</f>
        <v>5343</v>
      </c>
      <c r="C1202" s="2" t="str">
        <f>IFERROR(__xludf.DUMMYFUNCTION("""COMPUTED_VALUE"""),"Trisnainha")</f>
        <v>Trisnainha</v>
      </c>
      <c r="D1202" s="2" t="str">
        <f>IFERROR(__xludf.DUMMYFUNCTION("""COMPUTED_VALUE"""),"5KM OVERALL F")</f>
        <v>5KM OVERALL F</v>
      </c>
      <c r="E1202" s="1">
        <f>IFERROR(__xludf.DUMMYFUNCTION("""COMPUTED_VALUE"""),2.0)</f>
        <v>2</v>
      </c>
      <c r="F1202" s="1" t="str">
        <f>IFERROR(__xludf.DUMMYFUNCTION("""COMPUTED_VALUE"""),"Female")</f>
        <v>Female</v>
      </c>
      <c r="G1202" s="4" t="b">
        <f>IFERROR(__xludf.DUMMYFUNCTION("""COMPUTED_VALUE"""),TRUE)</f>
        <v>1</v>
      </c>
      <c r="H1202" s="4" t="b">
        <f>IFERROR(__xludf.DUMMYFUNCTION("""COMPUTED_VALUE"""),TRUE)</f>
        <v>1</v>
      </c>
      <c r="I1202" s="4">
        <f>IFERROR(__xludf.DUMMYFUNCTION("""COMPUTED_VALUE"""),0.2549440625)</f>
        <v>0.2549440625</v>
      </c>
      <c r="J1202" s="4">
        <f>IFERROR(__xludf.DUMMYFUNCTION("""COMPUTED_VALUE"""),45949.27548156049)</f>
        <v>45949.27548</v>
      </c>
      <c r="K1202" s="4" t="str">
        <f>IFERROR(__xludf.DUMMYFUNCTION("""COMPUTED_VALUE"""),"")</f>
        <v/>
      </c>
      <c r="L1202" s="4">
        <f>IFERROR(__xludf.DUMMYFUNCTION("""COMPUTED_VALUE"""),45949.29131060646)</f>
        <v>45949.29131</v>
      </c>
      <c r="M1202" s="1" t="str">
        <f>IFERROR(__xludf.DUMMYFUNCTION("""COMPUTED_VALUE"""),"RFID")</f>
        <v>RFID</v>
      </c>
      <c r="N1202" s="5">
        <f>IFERROR(__xludf.DUMMYFUNCTION("""COMPUTED_VALUE"""),0.008215)</f>
        <v>0.008215</v>
      </c>
      <c r="O1202" s="5" t="str">
        <f>IFERROR(__xludf.DUMMYFUNCTION("""COMPUTED_VALUE"""),"")</f>
        <v/>
      </c>
      <c r="P1202" s="5" t="str">
        <f>IFERROR(__xludf.DUMMYFUNCTION("""COMPUTED_VALUE"""),"")</f>
        <v/>
      </c>
      <c r="Q1202" s="5">
        <f>IFERROR(__xludf.DUMMYFUNCTION("""COMPUTED_VALUE"""),0.00727330787037037)</f>
        <v>0.00727330787</v>
      </c>
      <c r="R1202" s="4">
        <f>IFERROR(__xludf.DUMMYFUNCTION("""COMPUTED_VALUE"""),45949.03636654396)</f>
        <v>45949.03637</v>
      </c>
      <c r="S1202" s="1" t="b">
        <f>IFERROR(__xludf.DUMMYFUNCTION("""COMPUTED_VALUE"""),TRUE)</f>
        <v>1</v>
      </c>
      <c r="T1202" s="1" t="b">
        <f>IFERROR(__xludf.DUMMYFUNCTION("""COMPUTED_VALUE"""),FALSE)</f>
        <v>0</v>
      </c>
      <c r="U1202" s="1" t="str">
        <f>IFERROR(__xludf.DUMMYFUNCTION("""COMPUTED_VALUE"""),"VALID")</f>
        <v>VALID</v>
      </c>
      <c r="V1202" s="1">
        <f>IFERROR(__xludf.DUMMYFUNCTION("""COMPUTED_VALUE"""),199.0)</f>
        <v>199</v>
      </c>
      <c r="W1202" s="1">
        <f>IFERROR(__xludf.DUMMYFUNCTION("""COMPUTED_VALUE"""),986.0)</f>
        <v>986</v>
      </c>
      <c r="X1202" s="1">
        <f>IFERROR(__xludf.DUMMYFUNCTION("""COMPUTED_VALUE"""),250.0)</f>
        <v>250</v>
      </c>
      <c r="Y1202" s="2"/>
      <c r="Z1202" s="2"/>
    </row>
    <row r="1203">
      <c r="A1203" s="1">
        <f>IFERROR(__xludf.DUMMYFUNCTION("""COMPUTED_VALUE"""),1202.0)</f>
        <v>1202</v>
      </c>
      <c r="B1203" s="1">
        <f>IFERROR(__xludf.DUMMYFUNCTION("""COMPUTED_VALUE"""),5345.0)</f>
        <v>5345</v>
      </c>
      <c r="C1203" s="2" t="str">
        <f>IFERROR(__xludf.DUMMYFUNCTION("""COMPUTED_VALUE"""),"Zi")</f>
        <v>Zi</v>
      </c>
      <c r="D1203" s="2" t="str">
        <f>IFERROR(__xludf.DUMMYFUNCTION("""COMPUTED_VALUE"""),"5KM OVERALL F")</f>
        <v>5KM OVERALL F</v>
      </c>
      <c r="E1203" s="1">
        <f>IFERROR(__xludf.DUMMYFUNCTION("""COMPUTED_VALUE"""),2.0)</f>
        <v>2</v>
      </c>
      <c r="F1203" s="1" t="str">
        <f>IFERROR(__xludf.DUMMYFUNCTION("""COMPUTED_VALUE"""),"Female")</f>
        <v>Female</v>
      </c>
      <c r="G1203" s="4" t="b">
        <f>IFERROR(__xludf.DUMMYFUNCTION("""COMPUTED_VALUE"""),TRUE)</f>
        <v>1</v>
      </c>
      <c r="H1203" s="4" t="b">
        <f>IFERROR(__xludf.DUMMYFUNCTION("""COMPUTED_VALUE"""),TRUE)</f>
        <v>1</v>
      </c>
      <c r="I1203" s="4">
        <f>IFERROR(__xludf.DUMMYFUNCTION("""COMPUTED_VALUE"""),0.2549440625)</f>
        <v>0.2549440625</v>
      </c>
      <c r="J1203" s="4">
        <f>IFERROR(__xludf.DUMMYFUNCTION("""COMPUTED_VALUE"""),45949.27580799091)</f>
        <v>45949.27581</v>
      </c>
      <c r="K1203" s="4" t="str">
        <f>IFERROR(__xludf.DUMMYFUNCTION("""COMPUTED_VALUE"""),"")</f>
        <v/>
      </c>
      <c r="L1203" s="4">
        <f>IFERROR(__xludf.DUMMYFUNCTION("""COMPUTED_VALUE"""),45949.29267860128)</f>
        <v>45949.29268</v>
      </c>
      <c r="M1203" s="1" t="str">
        <f>IFERROR(__xludf.DUMMYFUNCTION("""COMPUTED_VALUE"""),"RFID")</f>
        <v>RFID</v>
      </c>
      <c r="N1203" s="5">
        <f>IFERROR(__xludf.DUMMYFUNCTION("""COMPUTED_VALUE"""),0.008345569444444445)</f>
        <v>0.008345569444</v>
      </c>
      <c r="O1203" s="5" t="str">
        <f>IFERROR(__xludf.DUMMYFUNCTION("""COMPUTED_VALUE"""),"")</f>
        <v/>
      </c>
      <c r="P1203" s="5" t="str">
        <f>IFERROR(__xludf.DUMMYFUNCTION("""COMPUTED_VALUE"""),"")</f>
        <v/>
      </c>
      <c r="Q1203" s="5">
        <f>IFERROR(__xludf.DUMMYFUNCTION("""COMPUTED_VALUE"""),0.0075469074074074076)</f>
        <v>0.007546907407</v>
      </c>
      <c r="R1203" s="4">
        <f>IFERROR(__xludf.DUMMYFUNCTION("""COMPUTED_VALUE"""),45949.03773453878)</f>
        <v>45949.03773</v>
      </c>
      <c r="S1203" s="1" t="b">
        <f>IFERROR(__xludf.DUMMYFUNCTION("""COMPUTED_VALUE"""),TRUE)</f>
        <v>1</v>
      </c>
      <c r="T1203" s="1" t="b">
        <f>IFERROR(__xludf.DUMMYFUNCTION("""COMPUTED_VALUE"""),FALSE)</f>
        <v>0</v>
      </c>
      <c r="U1203" s="1" t="str">
        <f>IFERROR(__xludf.DUMMYFUNCTION("""COMPUTED_VALUE"""),"VALID")</f>
        <v>VALID</v>
      </c>
      <c r="V1203" s="1">
        <f>IFERROR(__xludf.DUMMYFUNCTION("""COMPUTED_VALUE"""),246.0)</f>
        <v>246</v>
      </c>
      <c r="W1203" s="1">
        <f>IFERROR(__xludf.DUMMYFUNCTION("""COMPUTED_VALUE"""),1084.0)</f>
        <v>1084</v>
      </c>
      <c r="X1203" s="1">
        <f>IFERROR(__xludf.DUMMYFUNCTION("""COMPUTED_VALUE"""),301.0)</f>
        <v>301</v>
      </c>
      <c r="Y1203" s="2"/>
      <c r="Z1203" s="2"/>
    </row>
    <row r="1204">
      <c r="A1204" s="1">
        <f>IFERROR(__xludf.DUMMYFUNCTION("""COMPUTED_VALUE"""),1203.0)</f>
        <v>1203</v>
      </c>
      <c r="B1204" s="1">
        <f>IFERROR(__xludf.DUMMYFUNCTION("""COMPUTED_VALUE"""),5350.0)</f>
        <v>5350</v>
      </c>
      <c r="C1204" s="2" t="str">
        <f>IFERROR(__xludf.DUMMYFUNCTION("""COMPUTED_VALUE"""),"Dwi purnamawati")</f>
        <v>Dwi purnamawati</v>
      </c>
      <c r="D1204" s="2" t="str">
        <f>IFERROR(__xludf.DUMMYFUNCTION("""COMPUTED_VALUE"""),"5KM OVERALL F")</f>
        <v>5KM OVERALL F</v>
      </c>
      <c r="E1204" s="1">
        <f>IFERROR(__xludf.DUMMYFUNCTION("""COMPUTED_VALUE"""),2.0)</f>
        <v>2</v>
      </c>
      <c r="F1204" s="1" t="str">
        <f>IFERROR(__xludf.DUMMYFUNCTION("""COMPUTED_VALUE"""),"Female")</f>
        <v>Female</v>
      </c>
      <c r="G1204" s="4" t="b">
        <f>IFERROR(__xludf.DUMMYFUNCTION("""COMPUTED_VALUE"""),TRUE)</f>
        <v>1</v>
      </c>
      <c r="H1204" s="4" t="b">
        <f>IFERROR(__xludf.DUMMYFUNCTION("""COMPUTED_VALUE"""),TRUE)</f>
        <v>1</v>
      </c>
      <c r="I1204" s="4">
        <f>IFERROR(__xludf.DUMMYFUNCTION("""COMPUTED_VALUE"""),0.2549440625)</f>
        <v>0.2549440625</v>
      </c>
      <c r="J1204" s="4">
        <f>IFERROR(__xludf.DUMMYFUNCTION("""COMPUTED_VALUE"""),45949.26499548924)</f>
        <v>45949.265</v>
      </c>
      <c r="K1204" s="4" t="str">
        <f>IFERROR(__xludf.DUMMYFUNCTION("""COMPUTED_VALUE"""),"")</f>
        <v/>
      </c>
      <c r="L1204" s="4">
        <f>IFERROR(__xludf.DUMMYFUNCTION("""COMPUTED_VALUE"""),45949.27316476678)</f>
        <v>45949.27316</v>
      </c>
      <c r="M1204" s="1" t="str">
        <f>IFERROR(__xludf.DUMMYFUNCTION("""COMPUTED_VALUE"""),"RFID")</f>
        <v>RFID</v>
      </c>
      <c r="N1204" s="5">
        <f>IFERROR(__xludf.DUMMYFUNCTION("""COMPUTED_VALUE"""),0.004020569444444445)</f>
        <v>0.004020569444</v>
      </c>
      <c r="O1204" s="5" t="str">
        <f>IFERROR(__xludf.DUMMYFUNCTION("""COMPUTED_VALUE"""),"")</f>
        <v/>
      </c>
      <c r="P1204" s="5" t="str">
        <f>IFERROR(__xludf.DUMMYFUNCTION("""COMPUTED_VALUE"""),"")</f>
        <v/>
      </c>
      <c r="Q1204" s="5">
        <f>IFERROR(__xludf.DUMMYFUNCTION("""COMPUTED_VALUE"""),0.003644141203703704)</f>
        <v>0.003644141204</v>
      </c>
      <c r="R1204" s="4">
        <f>IFERROR(__xludf.DUMMYFUNCTION("""COMPUTED_VALUE"""),45949.01822070428)</f>
        <v>45949.01822</v>
      </c>
      <c r="S1204" s="1" t="b">
        <f>IFERROR(__xludf.DUMMYFUNCTION("""COMPUTED_VALUE"""),TRUE)</f>
        <v>1</v>
      </c>
      <c r="T1204" s="1" t="b">
        <f>IFERROR(__xludf.DUMMYFUNCTION("""COMPUTED_VALUE"""),FALSE)</f>
        <v>0</v>
      </c>
      <c r="U1204" s="1" t="str">
        <f>IFERROR(__xludf.DUMMYFUNCTION("""COMPUTED_VALUE"""),"VALID")</f>
        <v>VALID</v>
      </c>
      <c r="V1204" s="1">
        <f>IFERROR(__xludf.DUMMYFUNCTION("""COMPUTED_VALUE"""),3.0)</f>
        <v>3</v>
      </c>
      <c r="W1204" s="1">
        <f>IFERROR(__xludf.DUMMYFUNCTION("""COMPUTED_VALUE"""),61.0)</f>
        <v>61</v>
      </c>
      <c r="X1204" s="1">
        <f>IFERROR(__xludf.DUMMYFUNCTION("""COMPUTED_VALUE"""),4.0)</f>
        <v>4</v>
      </c>
      <c r="Y1204" s="2"/>
      <c r="Z1204" s="2"/>
    </row>
    <row r="1205">
      <c r="A1205" s="1">
        <f>IFERROR(__xludf.DUMMYFUNCTION("""COMPUTED_VALUE"""),1204.0)</f>
        <v>1204</v>
      </c>
      <c r="B1205" s="1">
        <f>IFERROR(__xludf.DUMMYFUNCTION("""COMPUTED_VALUE"""),5352.0)</f>
        <v>5352</v>
      </c>
      <c r="C1205" s="2" t="str">
        <f>IFERROR(__xludf.DUMMYFUNCTION("""COMPUTED_VALUE"""),"Maya Anjelita")</f>
        <v>Maya Anjelita</v>
      </c>
      <c r="D1205" s="2" t="str">
        <f>IFERROR(__xludf.DUMMYFUNCTION("""COMPUTED_VALUE"""),"5KM OVERALL F")</f>
        <v>5KM OVERALL F</v>
      </c>
      <c r="E1205" s="1">
        <f>IFERROR(__xludf.DUMMYFUNCTION("""COMPUTED_VALUE"""),2.0)</f>
        <v>2</v>
      </c>
      <c r="F1205" s="1" t="str">
        <f>IFERROR(__xludf.DUMMYFUNCTION("""COMPUTED_VALUE"""),"Female")</f>
        <v>Female</v>
      </c>
      <c r="G1205" s="4" t="b">
        <f>IFERROR(__xludf.DUMMYFUNCTION("""COMPUTED_VALUE"""),TRUE)</f>
        <v>1</v>
      </c>
      <c r="H1205" s="4" t="b">
        <f>IFERROR(__xludf.DUMMYFUNCTION("""COMPUTED_VALUE"""),FALSE)</f>
        <v>0</v>
      </c>
      <c r="I1205" s="4">
        <f>IFERROR(__xludf.DUMMYFUNCTION("""COMPUTED_VALUE"""),0.2549440625)</f>
        <v>0.2549440625</v>
      </c>
      <c r="J1205" s="4">
        <f>IFERROR(__xludf.DUMMYFUNCTION("""COMPUTED_VALUE"""),45949.277512820845)</f>
        <v>45949.27751</v>
      </c>
      <c r="K1205" s="4" t="str">
        <f>IFERROR(__xludf.DUMMYFUNCTION("""COMPUTED_VALUE"""),"")</f>
        <v/>
      </c>
      <c r="L1205" s="4">
        <f>IFERROR(__xludf.DUMMYFUNCTION("""COMPUTED_VALUE"""),45949.29434878698)</f>
        <v>45949.29435</v>
      </c>
      <c r="M1205" s="1" t="str">
        <f>IFERROR(__xludf.DUMMYFUNCTION("""COMPUTED_VALUE"""),"RFID")</f>
        <v>RFID</v>
      </c>
      <c r="N1205" s="5">
        <f>IFERROR(__xludf.DUMMYFUNCTION("""COMPUTED_VALUE"""),0.00902750462962963)</f>
        <v>0.00902750463</v>
      </c>
      <c r="O1205" s="5" t="str">
        <f>IFERROR(__xludf.DUMMYFUNCTION("""COMPUTED_VALUE"""),"")</f>
        <v/>
      </c>
      <c r="P1205" s="5" t="str">
        <f>IFERROR(__xludf.DUMMYFUNCTION("""COMPUTED_VALUE"""),"")</f>
        <v/>
      </c>
      <c r="Q1205" s="5">
        <f>IFERROR(__xludf.DUMMYFUNCTION("""COMPUTED_VALUE"""),0.007880944444444444)</f>
        <v>0.007880944444</v>
      </c>
      <c r="R1205" s="4">
        <f>IFERROR(__xludf.DUMMYFUNCTION("""COMPUTED_VALUE"""),45949.03940472448)</f>
        <v>45949.0394</v>
      </c>
      <c r="S1205" s="1" t="b">
        <f>IFERROR(__xludf.DUMMYFUNCTION("""COMPUTED_VALUE"""),TRUE)</f>
        <v>1</v>
      </c>
      <c r="T1205" s="1" t="b">
        <f>IFERROR(__xludf.DUMMYFUNCTION("""COMPUTED_VALUE"""),FALSE)</f>
        <v>0</v>
      </c>
      <c r="U1205" s="1" t="str">
        <f>IFERROR(__xludf.DUMMYFUNCTION("""COMPUTED_VALUE"""),"VALID")</f>
        <v>VALID</v>
      </c>
      <c r="V1205" s="1">
        <f>IFERROR(__xludf.DUMMYFUNCTION("""COMPUTED_VALUE"""),302.0)</f>
        <v>302</v>
      </c>
      <c r="W1205" s="1">
        <f>IFERROR(__xludf.DUMMYFUNCTION("""COMPUTED_VALUE"""),1204.0)</f>
        <v>1204</v>
      </c>
      <c r="X1205" s="1">
        <f>IFERROR(__xludf.DUMMYFUNCTION("""COMPUTED_VALUE"""),366.0)</f>
        <v>366</v>
      </c>
      <c r="Y1205" s="2"/>
      <c r="Z1205" s="2"/>
    </row>
    <row r="1206">
      <c r="A1206" s="1">
        <f>IFERROR(__xludf.DUMMYFUNCTION("""COMPUTED_VALUE"""),1205.0)</f>
        <v>1205</v>
      </c>
      <c r="B1206" s="1">
        <f>IFERROR(__xludf.DUMMYFUNCTION("""COMPUTED_VALUE"""),5364.0)</f>
        <v>5364</v>
      </c>
      <c r="C1206" s="2" t="str">
        <f>IFERROR(__xludf.DUMMYFUNCTION("""COMPUTED_VALUE"""),"Mylee")</f>
        <v>Mylee</v>
      </c>
      <c r="D1206" s="2" t="str">
        <f>IFERROR(__xludf.DUMMYFUNCTION("""COMPUTED_VALUE"""),"5KM OVERALL F")</f>
        <v>5KM OVERALL F</v>
      </c>
      <c r="E1206" s="1">
        <f>IFERROR(__xludf.DUMMYFUNCTION("""COMPUTED_VALUE"""),2.0)</f>
        <v>2</v>
      </c>
      <c r="F1206" s="1" t="str">
        <f>IFERROR(__xludf.DUMMYFUNCTION("""COMPUTED_VALUE"""),"Female")</f>
        <v>Female</v>
      </c>
      <c r="G1206" s="4" t="b">
        <f>IFERROR(__xludf.DUMMYFUNCTION("""COMPUTED_VALUE"""),TRUE)</f>
        <v>1</v>
      </c>
      <c r="H1206" s="4" t="b">
        <f>IFERROR(__xludf.DUMMYFUNCTION("""COMPUTED_VALUE"""),FALSE)</f>
        <v>0</v>
      </c>
      <c r="I1206" s="4">
        <f>IFERROR(__xludf.DUMMYFUNCTION("""COMPUTED_VALUE"""),0.2549440625)</f>
        <v>0.2549440625</v>
      </c>
      <c r="J1206" s="4">
        <f>IFERROR(__xludf.DUMMYFUNCTION("""COMPUTED_VALUE"""),45949.26759614496)</f>
        <v>45949.2676</v>
      </c>
      <c r="K1206" s="4" t="str">
        <f>IFERROR(__xludf.DUMMYFUNCTION("""COMPUTED_VALUE"""),"")</f>
        <v/>
      </c>
      <c r="L1206" s="4">
        <f>IFERROR(__xludf.DUMMYFUNCTION("""COMPUTED_VALUE"""),45949.27773761917)</f>
        <v>45949.27774</v>
      </c>
      <c r="M1206" s="1" t="str">
        <f>IFERROR(__xludf.DUMMYFUNCTION("""COMPUTED_VALUE"""),"RFID")</f>
        <v>RFID</v>
      </c>
      <c r="N1206" s="5">
        <f>IFERROR(__xludf.DUMMYFUNCTION("""COMPUTED_VALUE"""),0.005060833333333334)</f>
        <v>0.005060833333</v>
      </c>
      <c r="O1206" s="5" t="str">
        <f>IFERROR(__xludf.DUMMYFUNCTION("""COMPUTED_VALUE"""),"")</f>
        <v/>
      </c>
      <c r="P1206" s="5" t="str">
        <f>IFERROR(__xludf.DUMMYFUNCTION("""COMPUTED_VALUE"""),"")</f>
        <v/>
      </c>
      <c r="Q1206" s="5">
        <f>IFERROR(__xludf.DUMMYFUNCTION("""COMPUTED_VALUE"""),0.0045587106481481485)</f>
        <v>0.004558710648</v>
      </c>
      <c r="R1206" s="4">
        <f>IFERROR(__xludf.DUMMYFUNCTION("""COMPUTED_VALUE"""),45949.02279355667)</f>
        <v>45949.02279</v>
      </c>
      <c r="S1206" s="1" t="b">
        <f>IFERROR(__xludf.DUMMYFUNCTION("""COMPUTED_VALUE"""),TRUE)</f>
        <v>1</v>
      </c>
      <c r="T1206" s="1" t="b">
        <f>IFERROR(__xludf.DUMMYFUNCTION("""COMPUTED_VALUE"""),FALSE)</f>
        <v>0</v>
      </c>
      <c r="U1206" s="1" t="str">
        <f>IFERROR(__xludf.DUMMYFUNCTION("""COMPUTED_VALUE"""),"VALID")</f>
        <v>VALID</v>
      </c>
      <c r="V1206" s="1">
        <f>IFERROR(__xludf.DUMMYFUNCTION("""COMPUTED_VALUE"""),17.0)</f>
        <v>17</v>
      </c>
      <c r="W1206" s="1">
        <f>IFERROR(__xludf.DUMMYFUNCTION("""COMPUTED_VALUE"""),201.0)</f>
        <v>201</v>
      </c>
      <c r="X1206" s="1">
        <f>IFERROR(__xludf.DUMMYFUNCTION("""COMPUTED_VALUE"""),26.0)</f>
        <v>26</v>
      </c>
      <c r="Y1206" s="2"/>
      <c r="Z1206" s="2"/>
    </row>
    <row r="1207">
      <c r="A1207" s="1">
        <f>IFERROR(__xludf.DUMMYFUNCTION("""COMPUTED_VALUE"""),1206.0)</f>
        <v>1206</v>
      </c>
      <c r="B1207" s="1">
        <f>IFERROR(__xludf.DUMMYFUNCTION("""COMPUTED_VALUE"""),5367.0)</f>
        <v>5367</v>
      </c>
      <c r="C1207" s="2" t="str">
        <f>IFERROR(__xludf.DUMMYFUNCTION("""COMPUTED_VALUE"""),"PuTRi..")</f>
        <v>PuTRi..</v>
      </c>
      <c r="D1207" s="2" t="str">
        <f>IFERROR(__xludf.DUMMYFUNCTION("""COMPUTED_VALUE"""),"5KM OVERALL F")</f>
        <v>5KM OVERALL F</v>
      </c>
      <c r="E1207" s="1">
        <f>IFERROR(__xludf.DUMMYFUNCTION("""COMPUTED_VALUE"""),2.0)</f>
        <v>2</v>
      </c>
      <c r="F1207" s="1" t="str">
        <f>IFERROR(__xludf.DUMMYFUNCTION("""COMPUTED_VALUE"""),"Female")</f>
        <v>Female</v>
      </c>
      <c r="G1207" s="4" t="b">
        <f>IFERROR(__xludf.DUMMYFUNCTION("""COMPUTED_VALUE"""),TRUE)</f>
        <v>1</v>
      </c>
      <c r="H1207" s="4" t="b">
        <f>IFERROR(__xludf.DUMMYFUNCTION("""COMPUTED_VALUE"""),FALSE)</f>
        <v>0</v>
      </c>
      <c r="I1207" s="4">
        <f>IFERROR(__xludf.DUMMYFUNCTION("""COMPUTED_VALUE"""),0.2549440625)</f>
        <v>0.2549440625</v>
      </c>
      <c r="J1207" s="4">
        <f>IFERROR(__xludf.DUMMYFUNCTION("""COMPUTED_VALUE"""),45949.271523467374)</f>
        <v>45949.27152</v>
      </c>
      <c r="K1207" s="4" t="str">
        <f>IFERROR(__xludf.DUMMYFUNCTION("""COMPUTED_VALUE"""),"")</f>
        <v/>
      </c>
      <c r="L1207" s="4">
        <f>IFERROR(__xludf.DUMMYFUNCTION("""COMPUTED_VALUE"""),45949.284258525164)</f>
        <v>45949.28426</v>
      </c>
      <c r="M1207" s="1" t="str">
        <f>IFERROR(__xludf.DUMMYFUNCTION("""COMPUTED_VALUE"""),"RFID")</f>
        <v>RFID</v>
      </c>
      <c r="N1207" s="5">
        <f>IFERROR(__xludf.DUMMYFUNCTION("""COMPUTED_VALUE"""),0.006631763888888889)</f>
        <v>0.006631763889</v>
      </c>
      <c r="O1207" s="5" t="str">
        <f>IFERROR(__xludf.DUMMYFUNCTION("""COMPUTED_VALUE"""),"")</f>
        <v/>
      </c>
      <c r="P1207" s="5" t="str">
        <f>IFERROR(__xludf.DUMMYFUNCTION("""COMPUTED_VALUE"""),"")</f>
        <v/>
      </c>
      <c r="Q1207" s="5">
        <f>IFERROR(__xludf.DUMMYFUNCTION("""COMPUTED_VALUE"""),0.005862893518518519)</f>
        <v>0.005862893519</v>
      </c>
      <c r="R1207" s="4">
        <f>IFERROR(__xludf.DUMMYFUNCTION("""COMPUTED_VALUE"""),45949.02931446266)</f>
        <v>45949.02931</v>
      </c>
      <c r="S1207" s="1" t="b">
        <f>IFERROR(__xludf.DUMMYFUNCTION("""COMPUTED_VALUE"""),TRUE)</f>
        <v>1</v>
      </c>
      <c r="T1207" s="1" t="b">
        <f>IFERROR(__xludf.DUMMYFUNCTION("""COMPUTED_VALUE"""),FALSE)</f>
        <v>0</v>
      </c>
      <c r="U1207" s="1" t="str">
        <f>IFERROR(__xludf.DUMMYFUNCTION("""COMPUTED_VALUE"""),"VALID")</f>
        <v>VALID</v>
      </c>
      <c r="V1207" s="1">
        <f>IFERROR(__xludf.DUMMYFUNCTION("""COMPUTED_VALUE"""),55.0)</f>
        <v>55</v>
      </c>
      <c r="W1207" s="1">
        <f>IFERROR(__xludf.DUMMYFUNCTION("""COMPUTED_VALUE"""),518.0)</f>
        <v>518</v>
      </c>
      <c r="X1207" s="1">
        <f>IFERROR(__xludf.DUMMYFUNCTION("""COMPUTED_VALUE"""),77.0)</f>
        <v>77</v>
      </c>
      <c r="Y1207" s="2"/>
      <c r="Z1207" s="2"/>
    </row>
    <row r="1208">
      <c r="A1208" s="1">
        <f>IFERROR(__xludf.DUMMYFUNCTION("""COMPUTED_VALUE"""),1207.0)</f>
        <v>1207</v>
      </c>
      <c r="B1208" s="1">
        <f>IFERROR(__xludf.DUMMYFUNCTION("""COMPUTED_VALUE"""),5369.0)</f>
        <v>5369</v>
      </c>
      <c r="C1208" s="2" t="str">
        <f>IFERROR(__xludf.DUMMYFUNCTION("""COMPUTED_VALUE"""),"PUNDY NANDHIRA")</f>
        <v>PUNDY NANDHIRA</v>
      </c>
      <c r="D1208" s="2" t="str">
        <f>IFERROR(__xludf.DUMMYFUNCTION("""COMPUTED_VALUE"""),"5KM OVERALL F")</f>
        <v>5KM OVERALL F</v>
      </c>
      <c r="E1208" s="1">
        <f>IFERROR(__xludf.DUMMYFUNCTION("""COMPUTED_VALUE"""),2.0)</f>
        <v>2</v>
      </c>
      <c r="F1208" s="1" t="str">
        <f>IFERROR(__xludf.DUMMYFUNCTION("""COMPUTED_VALUE"""),"Female")</f>
        <v>Female</v>
      </c>
      <c r="G1208" s="4" t="b">
        <f>IFERROR(__xludf.DUMMYFUNCTION("""COMPUTED_VALUE"""),TRUE)</f>
        <v>1</v>
      </c>
      <c r="H1208" s="4" t="b">
        <f>IFERROR(__xludf.DUMMYFUNCTION("""COMPUTED_VALUE"""),TRUE)</f>
        <v>1</v>
      </c>
      <c r="I1208" s="4">
        <f>IFERROR(__xludf.DUMMYFUNCTION("""COMPUTED_VALUE"""),0.2549440625)</f>
        <v>0.2549440625</v>
      </c>
      <c r="J1208" s="4">
        <f>IFERROR(__xludf.DUMMYFUNCTION("""COMPUTED_VALUE"""),45949.282877406535)</f>
        <v>45949.28288</v>
      </c>
      <c r="K1208" s="4" t="str">
        <f>IFERROR(__xludf.DUMMYFUNCTION("""COMPUTED_VALUE"""),"")</f>
        <v/>
      </c>
      <c r="L1208" s="4">
        <f>IFERROR(__xludf.DUMMYFUNCTION("""COMPUTED_VALUE"""),45949.30076892587)</f>
        <v>45949.30077</v>
      </c>
      <c r="M1208" s="1" t="str">
        <f>IFERROR(__xludf.DUMMYFUNCTION("""COMPUTED_VALUE"""),"RFID")</f>
        <v>RFID</v>
      </c>
      <c r="N1208" s="5">
        <f>IFERROR(__xludf.DUMMYFUNCTION("""COMPUTED_VALUE"""),0.011173337962962961)</f>
        <v>0.01117333796</v>
      </c>
      <c r="O1208" s="5" t="str">
        <f>IFERROR(__xludf.DUMMYFUNCTION("""COMPUTED_VALUE"""),"")</f>
        <v/>
      </c>
      <c r="P1208" s="5" t="str">
        <f>IFERROR(__xludf.DUMMYFUNCTION("""COMPUTED_VALUE"""),"")</f>
        <v/>
      </c>
      <c r="Q1208" s="5">
        <f>IFERROR(__xludf.DUMMYFUNCTION("""COMPUTED_VALUE"""),0.009164972222222224)</f>
        <v>0.009164972222</v>
      </c>
      <c r="R1208" s="4">
        <f>IFERROR(__xludf.DUMMYFUNCTION("""COMPUTED_VALUE"""),45949.045824863366)</f>
        <v>45949.04582</v>
      </c>
      <c r="S1208" s="1" t="b">
        <f>IFERROR(__xludf.DUMMYFUNCTION("""COMPUTED_VALUE"""),TRUE)</f>
        <v>1</v>
      </c>
      <c r="T1208" s="1" t="b">
        <f>IFERROR(__xludf.DUMMYFUNCTION("""COMPUTED_VALUE"""),FALSE)</f>
        <v>0</v>
      </c>
      <c r="U1208" s="1" t="str">
        <f>IFERROR(__xludf.DUMMYFUNCTION("""COMPUTED_VALUE"""),"VALID")</f>
        <v>VALID</v>
      </c>
      <c r="V1208" s="1">
        <f>IFERROR(__xludf.DUMMYFUNCTION("""COMPUTED_VALUE"""),437.0)</f>
        <v>437</v>
      </c>
      <c r="W1208" s="1">
        <f>IFERROR(__xludf.DUMMYFUNCTION("""COMPUTED_VALUE"""),1480.0)</f>
        <v>1480</v>
      </c>
      <c r="X1208" s="1">
        <f>IFERROR(__xludf.DUMMYFUNCTION("""COMPUTED_VALUE"""),534.0)</f>
        <v>534</v>
      </c>
      <c r="Y1208" s="2"/>
      <c r="Z1208" s="2"/>
    </row>
    <row r="1209">
      <c r="A1209" s="1">
        <f>IFERROR(__xludf.DUMMYFUNCTION("""COMPUTED_VALUE"""),1208.0)</f>
        <v>1208</v>
      </c>
      <c r="B1209" s="1">
        <f>IFERROR(__xludf.DUMMYFUNCTION("""COMPUTED_VALUE"""),5370.0)</f>
        <v>5370</v>
      </c>
      <c r="C1209" s="2" t="str">
        <f>IFERROR(__xludf.DUMMYFUNCTION("""COMPUTED_VALUE"""),"EMILDA")</f>
        <v>EMILDA</v>
      </c>
      <c r="D1209" s="2" t="str">
        <f>IFERROR(__xludf.DUMMYFUNCTION("""COMPUTED_VALUE"""),"5KM OVERALL F")</f>
        <v>5KM OVERALL F</v>
      </c>
      <c r="E1209" s="1">
        <f>IFERROR(__xludf.DUMMYFUNCTION("""COMPUTED_VALUE"""),2.0)</f>
        <v>2</v>
      </c>
      <c r="F1209" s="1" t="str">
        <f>IFERROR(__xludf.DUMMYFUNCTION("""COMPUTED_VALUE"""),"Female")</f>
        <v>Female</v>
      </c>
      <c r="G1209" s="4" t="b">
        <f>IFERROR(__xludf.DUMMYFUNCTION("""COMPUTED_VALUE"""),TRUE)</f>
        <v>1</v>
      </c>
      <c r="H1209" s="4" t="b">
        <f>IFERROR(__xludf.DUMMYFUNCTION("""COMPUTED_VALUE"""),TRUE)</f>
        <v>1</v>
      </c>
      <c r="I1209" s="4">
        <f>IFERROR(__xludf.DUMMYFUNCTION("""COMPUTED_VALUE"""),0.2549440625)</f>
        <v>0.2549440625</v>
      </c>
      <c r="J1209" s="4">
        <f>IFERROR(__xludf.DUMMYFUNCTION("""COMPUTED_VALUE"""),45949.28425934568)</f>
        <v>45949.28426</v>
      </c>
      <c r="K1209" s="4" t="str">
        <f>IFERROR(__xludf.DUMMYFUNCTION("""COMPUTED_VALUE"""),"")</f>
        <v/>
      </c>
      <c r="L1209" s="4">
        <f>IFERROR(__xludf.DUMMYFUNCTION("""COMPUTED_VALUE"""),45949.30536614806)</f>
        <v>45949.30537</v>
      </c>
      <c r="M1209" s="1" t="str">
        <f>IFERROR(__xludf.DUMMYFUNCTION("""COMPUTED_VALUE"""),"RFID")</f>
        <v>RFID</v>
      </c>
      <c r="N1209" s="5">
        <f>IFERROR(__xludf.DUMMYFUNCTION("""COMPUTED_VALUE"""),0.011726111111111112)</f>
        <v>0.01172611111</v>
      </c>
      <c r="O1209" s="5" t="str">
        <f>IFERROR(__xludf.DUMMYFUNCTION("""COMPUTED_VALUE"""),"")</f>
        <v/>
      </c>
      <c r="P1209" s="5" t="str">
        <f>IFERROR(__xludf.DUMMYFUNCTION("""COMPUTED_VALUE"""),"")</f>
        <v/>
      </c>
      <c r="Q1209" s="5">
        <f>IFERROR(__xludf.DUMMYFUNCTION("""COMPUTED_VALUE"""),0.010084416666666667)</f>
        <v>0.01008441667</v>
      </c>
      <c r="R1209" s="4">
        <f>IFERROR(__xludf.DUMMYFUNCTION("""COMPUTED_VALUE"""),45949.05042208556)</f>
        <v>45949.05042</v>
      </c>
      <c r="S1209" s="1" t="b">
        <f>IFERROR(__xludf.DUMMYFUNCTION("""COMPUTED_VALUE"""),TRUE)</f>
        <v>1</v>
      </c>
      <c r="T1209" s="1" t="b">
        <f>IFERROR(__xludf.DUMMYFUNCTION("""COMPUTED_VALUE"""),FALSE)</f>
        <v>0</v>
      </c>
      <c r="U1209" s="1" t="str">
        <f>IFERROR(__xludf.DUMMYFUNCTION("""COMPUTED_VALUE"""),"VALID")</f>
        <v>VALID</v>
      </c>
      <c r="V1209" s="1">
        <f>IFERROR(__xludf.DUMMYFUNCTION("""COMPUTED_VALUE"""),490.0)</f>
        <v>490</v>
      </c>
      <c r="W1209" s="1">
        <f>IFERROR(__xludf.DUMMYFUNCTION("""COMPUTED_VALUE"""),1579.0)</f>
        <v>1579</v>
      </c>
      <c r="X1209" s="1">
        <f>IFERROR(__xludf.DUMMYFUNCTION("""COMPUTED_VALUE"""),599.0)</f>
        <v>599</v>
      </c>
      <c r="Y1209" s="2"/>
      <c r="Z1209" s="2"/>
    </row>
    <row r="1210">
      <c r="A1210" s="1">
        <f>IFERROR(__xludf.DUMMYFUNCTION("""COMPUTED_VALUE"""),1209.0)</f>
        <v>1209</v>
      </c>
      <c r="B1210" s="1">
        <f>IFERROR(__xludf.DUMMYFUNCTION("""COMPUTED_VALUE"""),5372.0)</f>
        <v>5372</v>
      </c>
      <c r="C1210" s="2" t="str">
        <f>IFERROR(__xludf.DUMMYFUNCTION("""COMPUTED_VALUE"""),"MIFTAH")</f>
        <v>MIFTAH</v>
      </c>
      <c r="D1210" s="2" t="str">
        <f>IFERROR(__xludf.DUMMYFUNCTION("""COMPUTED_VALUE"""),"5KM OVERALL F")</f>
        <v>5KM OVERALL F</v>
      </c>
      <c r="E1210" s="1">
        <f>IFERROR(__xludf.DUMMYFUNCTION("""COMPUTED_VALUE"""),2.0)</f>
        <v>2</v>
      </c>
      <c r="F1210" s="1" t="str">
        <f>IFERROR(__xludf.DUMMYFUNCTION("""COMPUTED_VALUE"""),"Female")</f>
        <v>Female</v>
      </c>
      <c r="G1210" s="4" t="b">
        <f>IFERROR(__xludf.DUMMYFUNCTION("""COMPUTED_VALUE"""),TRUE)</f>
        <v>1</v>
      </c>
      <c r="H1210" s="4" t="b">
        <f>IFERROR(__xludf.DUMMYFUNCTION("""COMPUTED_VALUE"""),FALSE)</f>
        <v>0</v>
      </c>
      <c r="I1210" s="4">
        <f>IFERROR(__xludf.DUMMYFUNCTION("""COMPUTED_VALUE"""),0.2549440625)</f>
        <v>0.2549440625</v>
      </c>
      <c r="J1210" s="4">
        <f>IFERROR(__xludf.DUMMYFUNCTION("""COMPUTED_VALUE"""),45949.271353078795)</f>
        <v>45949.27135</v>
      </c>
      <c r="K1210" s="4" t="str">
        <f>IFERROR(__xludf.DUMMYFUNCTION("""COMPUTED_VALUE"""),"")</f>
        <v/>
      </c>
      <c r="L1210" s="4">
        <f>IFERROR(__xludf.DUMMYFUNCTION("""COMPUTED_VALUE"""),45949.2841682352)</f>
        <v>45949.28417</v>
      </c>
      <c r="M1210" s="1" t="str">
        <f>IFERROR(__xludf.DUMMYFUNCTION("""COMPUTED_VALUE"""),"RFID")</f>
        <v>RFID</v>
      </c>
      <c r="N1210" s="5">
        <f>IFERROR(__xludf.DUMMYFUNCTION("""COMPUTED_VALUE"""),0.006563606481481482)</f>
        <v>0.006563606481</v>
      </c>
      <c r="O1210" s="5" t="str">
        <f>IFERROR(__xludf.DUMMYFUNCTION("""COMPUTED_VALUE"""),"")</f>
        <v/>
      </c>
      <c r="P1210" s="5" t="str">
        <f>IFERROR(__xludf.DUMMYFUNCTION("""COMPUTED_VALUE"""),"")</f>
        <v/>
      </c>
      <c r="Q1210" s="5">
        <f>IFERROR(__xludf.DUMMYFUNCTION("""COMPUTED_VALUE"""),0.005844835648148148)</f>
        <v>0.005844835648</v>
      </c>
      <c r="R1210" s="4">
        <f>IFERROR(__xludf.DUMMYFUNCTION("""COMPUTED_VALUE"""),45949.0292241727)</f>
        <v>45949.02922</v>
      </c>
      <c r="S1210" s="1" t="b">
        <f>IFERROR(__xludf.DUMMYFUNCTION("""COMPUTED_VALUE"""),TRUE)</f>
        <v>1</v>
      </c>
      <c r="T1210" s="1" t="b">
        <f>IFERROR(__xludf.DUMMYFUNCTION("""COMPUTED_VALUE"""),FALSE)</f>
        <v>0</v>
      </c>
      <c r="U1210" s="1" t="str">
        <f>IFERROR(__xludf.DUMMYFUNCTION("""COMPUTED_VALUE"""),"VALID")</f>
        <v>VALID</v>
      </c>
      <c r="V1210" s="1">
        <f>IFERROR(__xludf.DUMMYFUNCTION("""COMPUTED_VALUE"""),53.0)</f>
        <v>53</v>
      </c>
      <c r="W1210" s="1">
        <f>IFERROR(__xludf.DUMMYFUNCTION("""COMPUTED_VALUE"""),508.0)</f>
        <v>508</v>
      </c>
      <c r="X1210" s="1">
        <f>IFERROR(__xludf.DUMMYFUNCTION("""COMPUTED_VALUE"""),74.0)</f>
        <v>74</v>
      </c>
      <c r="Y1210" s="2"/>
      <c r="Z1210" s="2"/>
    </row>
    <row r="1211">
      <c r="A1211" s="1">
        <f>IFERROR(__xludf.DUMMYFUNCTION("""COMPUTED_VALUE"""),1210.0)</f>
        <v>1210</v>
      </c>
      <c r="B1211" s="1">
        <f>IFERROR(__xludf.DUMMYFUNCTION("""COMPUTED_VALUE"""),5375.0)</f>
        <v>5375</v>
      </c>
      <c r="C1211" s="2" t="str">
        <f>IFERROR(__xludf.DUMMYFUNCTION("""COMPUTED_VALUE"""),"Theresia")</f>
        <v>Theresia</v>
      </c>
      <c r="D1211" s="2" t="str">
        <f>IFERROR(__xludf.DUMMYFUNCTION("""COMPUTED_VALUE"""),"5KM OVERALL F")</f>
        <v>5KM OVERALL F</v>
      </c>
      <c r="E1211" s="1">
        <f>IFERROR(__xludf.DUMMYFUNCTION("""COMPUTED_VALUE"""),2.0)</f>
        <v>2</v>
      </c>
      <c r="F1211" s="1" t="str">
        <f>IFERROR(__xludf.DUMMYFUNCTION("""COMPUTED_VALUE"""),"Female")</f>
        <v>Female</v>
      </c>
      <c r="G1211" s="4" t="b">
        <f>IFERROR(__xludf.DUMMYFUNCTION("""COMPUTED_VALUE"""),TRUE)</f>
        <v>1</v>
      </c>
      <c r="H1211" s="4" t="b">
        <f>IFERROR(__xludf.DUMMYFUNCTION("""COMPUTED_VALUE"""),TRUE)</f>
        <v>1</v>
      </c>
      <c r="I1211" s="4">
        <f>IFERROR(__xludf.DUMMYFUNCTION("""COMPUTED_VALUE"""),0.2549440625)</f>
        <v>0.2549440625</v>
      </c>
      <c r="J1211" s="4">
        <f>IFERROR(__xludf.DUMMYFUNCTION("""COMPUTED_VALUE"""),45949.281707294525)</f>
        <v>45949.28171</v>
      </c>
      <c r="K1211" s="4" t="str">
        <f>IFERROR(__xludf.DUMMYFUNCTION("""COMPUTED_VALUE"""),"")</f>
        <v/>
      </c>
      <c r="L1211" s="4">
        <f>IFERROR(__xludf.DUMMYFUNCTION("""COMPUTED_VALUE"""),45949.301189060876)</f>
        <v>45949.30119</v>
      </c>
      <c r="M1211" s="1" t="str">
        <f>IFERROR(__xludf.DUMMYFUNCTION("""COMPUTED_VALUE"""),"RFID")</f>
        <v>RFID</v>
      </c>
      <c r="N1211" s="5">
        <f>IFERROR(__xludf.DUMMYFUNCTION("""COMPUTED_VALUE"""),0.010705291666666667)</f>
        <v>0.01070529167</v>
      </c>
      <c r="O1211" s="5" t="str">
        <f>IFERROR(__xludf.DUMMYFUNCTION("""COMPUTED_VALUE"""),"")</f>
        <v/>
      </c>
      <c r="P1211" s="5" t="str">
        <f>IFERROR(__xludf.DUMMYFUNCTION("""COMPUTED_VALUE"""),"")</f>
        <v/>
      </c>
      <c r="Q1211" s="5">
        <f>IFERROR(__xludf.DUMMYFUNCTION("""COMPUTED_VALUE"""),0.009249)</f>
        <v>0.009249</v>
      </c>
      <c r="R1211" s="4">
        <f>IFERROR(__xludf.DUMMYFUNCTION("""COMPUTED_VALUE"""),45949.046244998375)</f>
        <v>45949.04624</v>
      </c>
      <c r="S1211" s="1" t="b">
        <f>IFERROR(__xludf.DUMMYFUNCTION("""COMPUTED_VALUE"""),TRUE)</f>
        <v>1</v>
      </c>
      <c r="T1211" s="1" t="b">
        <f>IFERROR(__xludf.DUMMYFUNCTION("""COMPUTED_VALUE"""),FALSE)</f>
        <v>0</v>
      </c>
      <c r="U1211" s="1" t="str">
        <f>IFERROR(__xludf.DUMMYFUNCTION("""COMPUTED_VALUE"""),"VALID")</f>
        <v>VALID</v>
      </c>
      <c r="V1211" s="1">
        <f>IFERROR(__xludf.DUMMYFUNCTION("""COMPUTED_VALUE"""),449.0)</f>
        <v>449</v>
      </c>
      <c r="W1211" s="1">
        <f>IFERROR(__xludf.DUMMYFUNCTION("""COMPUTED_VALUE"""),1500.0)</f>
        <v>1500</v>
      </c>
      <c r="X1211" s="1">
        <f>IFERROR(__xludf.DUMMYFUNCTION("""COMPUTED_VALUE"""),547.0)</f>
        <v>547</v>
      </c>
      <c r="Y1211" s="2"/>
      <c r="Z1211" s="2"/>
    </row>
    <row r="1212">
      <c r="A1212" s="1">
        <f>IFERROR(__xludf.DUMMYFUNCTION("""COMPUTED_VALUE"""),1211.0)</f>
        <v>1211</v>
      </c>
      <c r="B1212" s="1">
        <f>IFERROR(__xludf.DUMMYFUNCTION("""COMPUTED_VALUE"""),5376.0)</f>
        <v>5376</v>
      </c>
      <c r="C1212" s="2" t="str">
        <f>IFERROR(__xludf.DUMMYFUNCTION("""COMPUTED_VALUE"""),"DIMAZ FL")</f>
        <v>DIMAZ FL</v>
      </c>
      <c r="D1212" s="2" t="str">
        <f>IFERROR(__xludf.DUMMYFUNCTION("""COMPUTED_VALUE"""),"5KM OVERALL F")</f>
        <v>5KM OVERALL F</v>
      </c>
      <c r="E1212" s="1">
        <f>IFERROR(__xludf.DUMMYFUNCTION("""COMPUTED_VALUE"""),2.0)</f>
        <v>2</v>
      </c>
      <c r="F1212" s="1" t="str">
        <f>IFERROR(__xludf.DUMMYFUNCTION("""COMPUTED_VALUE"""),"Female")</f>
        <v>Female</v>
      </c>
      <c r="G1212" s="4" t="b">
        <f>IFERROR(__xludf.DUMMYFUNCTION("""COMPUTED_VALUE"""),TRUE)</f>
        <v>1</v>
      </c>
      <c r="H1212" s="4" t="b">
        <f>IFERROR(__xludf.DUMMYFUNCTION("""COMPUTED_VALUE"""),TRUE)</f>
        <v>1</v>
      </c>
      <c r="I1212" s="4">
        <f>IFERROR(__xludf.DUMMYFUNCTION("""COMPUTED_VALUE"""),0.2549440625)</f>
        <v>0.2549440625</v>
      </c>
      <c r="J1212" s="4">
        <f>IFERROR(__xludf.DUMMYFUNCTION("""COMPUTED_VALUE"""),45949.278620464196)</f>
        <v>45949.27862</v>
      </c>
      <c r="K1212" s="4" t="str">
        <f>IFERROR(__xludf.DUMMYFUNCTION("""COMPUTED_VALUE"""),"")</f>
        <v/>
      </c>
      <c r="L1212" s="4">
        <f>IFERROR(__xludf.DUMMYFUNCTION("""COMPUTED_VALUE"""),45949.300741144994)</f>
        <v>45949.30074</v>
      </c>
      <c r="M1212" s="1" t="str">
        <f>IFERROR(__xludf.DUMMYFUNCTION("""COMPUTED_VALUE"""),"RFID")</f>
        <v>RFID</v>
      </c>
      <c r="N1212" s="5">
        <f>IFERROR(__xludf.DUMMYFUNCTION("""COMPUTED_VALUE"""),0.009470560185185186)</f>
        <v>0.009470560185</v>
      </c>
      <c r="O1212" s="5" t="str">
        <f>IFERROR(__xludf.DUMMYFUNCTION("""COMPUTED_VALUE"""),"")</f>
        <v/>
      </c>
      <c r="P1212" s="5" t="str">
        <f>IFERROR(__xludf.DUMMYFUNCTION("""COMPUTED_VALUE"""),"")</f>
        <v/>
      </c>
      <c r="Q1212" s="5">
        <f>IFERROR(__xludf.DUMMYFUNCTION("""COMPUTED_VALUE"""),0.009159416666666666)</f>
        <v>0.009159416667</v>
      </c>
      <c r="R1212" s="4">
        <f>IFERROR(__xludf.DUMMYFUNCTION("""COMPUTED_VALUE"""),45949.045797082494)</f>
        <v>45949.0458</v>
      </c>
      <c r="S1212" s="1" t="b">
        <f>IFERROR(__xludf.DUMMYFUNCTION("""COMPUTED_VALUE"""),TRUE)</f>
        <v>1</v>
      </c>
      <c r="T1212" s="1" t="b">
        <f>IFERROR(__xludf.DUMMYFUNCTION("""COMPUTED_VALUE"""),FALSE)</f>
        <v>0</v>
      </c>
      <c r="U1212" s="1" t="str">
        <f>IFERROR(__xludf.DUMMYFUNCTION("""COMPUTED_VALUE"""),"VALID")</f>
        <v>VALID</v>
      </c>
      <c r="V1212" s="1">
        <f>IFERROR(__xludf.DUMMYFUNCTION("""COMPUTED_VALUE"""),436.0)</f>
        <v>436</v>
      </c>
      <c r="W1212" s="1">
        <f>IFERROR(__xludf.DUMMYFUNCTION("""COMPUTED_VALUE"""),1477.0)</f>
        <v>1477</v>
      </c>
      <c r="X1212" s="1">
        <f>IFERROR(__xludf.DUMMYFUNCTION("""COMPUTED_VALUE"""),533.0)</f>
        <v>533</v>
      </c>
      <c r="Y1212" s="2"/>
      <c r="Z1212" s="2"/>
    </row>
    <row r="1213">
      <c r="A1213" s="1">
        <f>IFERROR(__xludf.DUMMYFUNCTION("""COMPUTED_VALUE"""),1212.0)</f>
        <v>1212</v>
      </c>
      <c r="B1213" s="1">
        <f>IFERROR(__xludf.DUMMYFUNCTION("""COMPUTED_VALUE"""),5377.0)</f>
        <v>5377</v>
      </c>
      <c r="C1213" s="2" t="str">
        <f>IFERROR(__xludf.DUMMYFUNCTION("""COMPUTED_VALUE"""),"Wawa")</f>
        <v>Wawa</v>
      </c>
      <c r="D1213" s="2" t="str">
        <f>IFERROR(__xludf.DUMMYFUNCTION("""COMPUTED_VALUE"""),"5KM OVERALL F")</f>
        <v>5KM OVERALL F</v>
      </c>
      <c r="E1213" s="1">
        <f>IFERROR(__xludf.DUMMYFUNCTION("""COMPUTED_VALUE"""),2.0)</f>
        <v>2</v>
      </c>
      <c r="F1213" s="1" t="str">
        <f>IFERROR(__xludf.DUMMYFUNCTION("""COMPUTED_VALUE"""),"Female")</f>
        <v>Female</v>
      </c>
      <c r="G1213" s="4" t="b">
        <f>IFERROR(__xludf.DUMMYFUNCTION("""COMPUTED_VALUE"""),TRUE)</f>
        <v>1</v>
      </c>
      <c r="H1213" s="4" t="b">
        <f>IFERROR(__xludf.DUMMYFUNCTION("""COMPUTED_VALUE"""),FALSE)</f>
        <v>0</v>
      </c>
      <c r="I1213" s="4">
        <f>IFERROR(__xludf.DUMMYFUNCTION("""COMPUTED_VALUE"""),0.2549440625)</f>
        <v>0.2549440625</v>
      </c>
      <c r="J1213" s="4">
        <f>IFERROR(__xludf.DUMMYFUNCTION("""COMPUTED_VALUE"""),45949.27651639735)</f>
        <v>45949.27652</v>
      </c>
      <c r="K1213" s="4" t="str">
        <f>IFERROR(__xludf.DUMMYFUNCTION("""COMPUTED_VALUE"""),"")</f>
        <v/>
      </c>
      <c r="L1213" s="4">
        <f>IFERROR(__xludf.DUMMYFUNCTION("""COMPUTED_VALUE"""),45949.29363698377)</f>
        <v>45949.29364</v>
      </c>
      <c r="M1213" s="1" t="str">
        <f>IFERROR(__xludf.DUMMYFUNCTION("""COMPUTED_VALUE"""),"RFID")</f>
        <v>RFID</v>
      </c>
      <c r="N1213" s="5">
        <f>IFERROR(__xludf.DUMMYFUNCTION("""COMPUTED_VALUE"""),0.008628935185185186)</f>
        <v>0.008628935185</v>
      </c>
      <c r="O1213" s="5" t="str">
        <f>IFERROR(__xludf.DUMMYFUNCTION("""COMPUTED_VALUE"""),"")</f>
        <v/>
      </c>
      <c r="P1213" s="5" t="str">
        <f>IFERROR(__xludf.DUMMYFUNCTION("""COMPUTED_VALUE"""),"")</f>
        <v/>
      </c>
      <c r="Q1213" s="5">
        <f>IFERROR(__xludf.DUMMYFUNCTION("""COMPUTED_VALUE"""),0.007738583333333333)</f>
        <v>0.007738583333</v>
      </c>
      <c r="R1213" s="4">
        <f>IFERROR(__xludf.DUMMYFUNCTION("""COMPUTED_VALUE"""),45949.03869292127)</f>
        <v>45949.03869</v>
      </c>
      <c r="S1213" s="1" t="b">
        <f>IFERROR(__xludf.DUMMYFUNCTION("""COMPUTED_VALUE"""),TRUE)</f>
        <v>1</v>
      </c>
      <c r="T1213" s="1" t="b">
        <f>IFERROR(__xludf.DUMMYFUNCTION("""COMPUTED_VALUE"""),FALSE)</f>
        <v>0</v>
      </c>
      <c r="U1213" s="1" t="str">
        <f>IFERROR(__xludf.DUMMYFUNCTION("""COMPUTED_VALUE"""),"VALID")</f>
        <v>VALID</v>
      </c>
      <c r="V1213" s="1">
        <f>IFERROR(__xludf.DUMMYFUNCTION("""COMPUTED_VALUE"""),270.0)</f>
        <v>270</v>
      </c>
      <c r="W1213" s="1">
        <f>IFERROR(__xludf.DUMMYFUNCTION("""COMPUTED_VALUE"""),1141.0)</f>
        <v>1141</v>
      </c>
      <c r="X1213" s="1">
        <f>IFERROR(__xludf.DUMMYFUNCTION("""COMPUTED_VALUE"""),329.0)</f>
        <v>329</v>
      </c>
      <c r="Y1213" s="2"/>
      <c r="Z1213" s="2"/>
    </row>
    <row r="1214">
      <c r="A1214" s="1">
        <f>IFERROR(__xludf.DUMMYFUNCTION("""COMPUTED_VALUE"""),1213.0)</f>
        <v>1213</v>
      </c>
      <c r="B1214" s="1">
        <f>IFERROR(__xludf.DUMMYFUNCTION("""COMPUTED_VALUE"""),5378.0)</f>
        <v>5378</v>
      </c>
      <c r="C1214" s="2" t="str">
        <f>IFERROR(__xludf.DUMMYFUNCTION("""COMPUTED_VALUE"""),"Mah Y.A.E.")</f>
        <v>Mah Y.A.E.</v>
      </c>
      <c r="D1214" s="2" t="str">
        <f>IFERROR(__xludf.DUMMYFUNCTION("""COMPUTED_VALUE"""),"5KM OVERALL F")</f>
        <v>5KM OVERALL F</v>
      </c>
      <c r="E1214" s="1">
        <f>IFERROR(__xludf.DUMMYFUNCTION("""COMPUTED_VALUE"""),2.0)</f>
        <v>2</v>
      </c>
      <c r="F1214" s="1" t="str">
        <f>IFERROR(__xludf.DUMMYFUNCTION("""COMPUTED_VALUE"""),"Female")</f>
        <v>Female</v>
      </c>
      <c r="G1214" s="4" t="b">
        <f>IFERROR(__xludf.DUMMYFUNCTION("""COMPUTED_VALUE"""),TRUE)</f>
        <v>1</v>
      </c>
      <c r="H1214" s="4" t="b">
        <f>IFERROR(__xludf.DUMMYFUNCTION("""COMPUTED_VALUE"""),FALSE)</f>
        <v>0</v>
      </c>
      <c r="I1214" s="4">
        <f>IFERROR(__xludf.DUMMYFUNCTION("""COMPUTED_VALUE"""),0.2549440625)</f>
        <v>0.2549440625</v>
      </c>
      <c r="J1214" s="4">
        <f>IFERROR(__xludf.DUMMYFUNCTION("""COMPUTED_VALUE"""),45949.27491904829)</f>
        <v>45949.27492</v>
      </c>
      <c r="K1214" s="4" t="str">
        <f>IFERROR(__xludf.DUMMYFUNCTION("""COMPUTED_VALUE"""),"")</f>
        <v/>
      </c>
      <c r="L1214" s="4">
        <f>IFERROR(__xludf.DUMMYFUNCTION("""COMPUTED_VALUE"""),45949.28952586561)</f>
        <v>45949.28953</v>
      </c>
      <c r="M1214" s="1" t="str">
        <f>IFERROR(__xludf.DUMMYFUNCTION("""COMPUTED_VALUE"""),"RFID")</f>
        <v>RFID</v>
      </c>
      <c r="N1214" s="5">
        <f>IFERROR(__xludf.DUMMYFUNCTION("""COMPUTED_VALUE"""),0.00798999537037037)</f>
        <v>0.00798999537</v>
      </c>
      <c r="O1214" s="5" t="str">
        <f>IFERROR(__xludf.DUMMYFUNCTION("""COMPUTED_VALUE"""),"")</f>
        <v/>
      </c>
      <c r="P1214" s="5" t="str">
        <f>IFERROR(__xludf.DUMMYFUNCTION("""COMPUTED_VALUE"""),"")</f>
        <v/>
      </c>
      <c r="Q1214" s="5">
        <f>IFERROR(__xludf.DUMMYFUNCTION("""COMPUTED_VALUE"""),0.006916361111111111)</f>
        <v>0.006916361111</v>
      </c>
      <c r="R1214" s="4">
        <f>IFERROR(__xludf.DUMMYFUNCTION("""COMPUTED_VALUE"""),45949.03458180311)</f>
        <v>45949.03458</v>
      </c>
      <c r="S1214" s="1" t="b">
        <f>IFERROR(__xludf.DUMMYFUNCTION("""COMPUTED_VALUE"""),TRUE)</f>
        <v>1</v>
      </c>
      <c r="T1214" s="1" t="b">
        <f>IFERROR(__xludf.DUMMYFUNCTION("""COMPUTED_VALUE"""),FALSE)</f>
        <v>0</v>
      </c>
      <c r="U1214" s="1" t="str">
        <f>IFERROR(__xludf.DUMMYFUNCTION("""COMPUTED_VALUE"""),"VALID")</f>
        <v>VALID</v>
      </c>
      <c r="V1214" s="1">
        <f>IFERROR(__xludf.DUMMYFUNCTION("""COMPUTED_VALUE"""),156.0)</f>
        <v>156</v>
      </c>
      <c r="W1214" s="1">
        <f>IFERROR(__xludf.DUMMYFUNCTION("""COMPUTED_VALUE"""),869.0)</f>
        <v>869</v>
      </c>
      <c r="X1214" s="1">
        <f>IFERROR(__xludf.DUMMYFUNCTION("""COMPUTED_VALUE"""),195.0)</f>
        <v>195</v>
      </c>
      <c r="Y1214" s="2"/>
      <c r="Z1214" s="2"/>
    </row>
    <row r="1215">
      <c r="A1215" s="1">
        <f>IFERROR(__xludf.DUMMYFUNCTION("""COMPUTED_VALUE"""),1214.0)</f>
        <v>1214</v>
      </c>
      <c r="B1215" s="1">
        <f>IFERROR(__xludf.DUMMYFUNCTION("""COMPUTED_VALUE"""),5380.0)</f>
        <v>5380</v>
      </c>
      <c r="C1215" s="2" t="str">
        <f>IFERROR(__xludf.DUMMYFUNCTION("""COMPUTED_VALUE"""),"Nasmil")</f>
        <v>Nasmil</v>
      </c>
      <c r="D1215" s="2" t="str">
        <f>IFERROR(__xludf.DUMMYFUNCTION("""COMPUTED_VALUE"""),"5KM OVERALL F")</f>
        <v>5KM OVERALL F</v>
      </c>
      <c r="E1215" s="1">
        <f>IFERROR(__xludf.DUMMYFUNCTION("""COMPUTED_VALUE"""),2.0)</f>
        <v>2</v>
      </c>
      <c r="F1215" s="1" t="str">
        <f>IFERROR(__xludf.DUMMYFUNCTION("""COMPUTED_VALUE"""),"Female")</f>
        <v>Female</v>
      </c>
      <c r="G1215" s="4" t="b">
        <f>IFERROR(__xludf.DUMMYFUNCTION("""COMPUTED_VALUE"""),TRUE)</f>
        <v>1</v>
      </c>
      <c r="H1215" s="4" t="b">
        <f>IFERROR(__xludf.DUMMYFUNCTION("""COMPUTED_VALUE"""),TRUE)</f>
        <v>1</v>
      </c>
      <c r="I1215" s="4">
        <f>IFERROR(__xludf.DUMMYFUNCTION("""COMPUTED_VALUE"""),0.2549440625)</f>
        <v>0.2549440625</v>
      </c>
      <c r="J1215" s="4">
        <f>IFERROR(__xludf.DUMMYFUNCTION("""COMPUTED_VALUE"""),45949.28180103999)</f>
        <v>45949.2818</v>
      </c>
      <c r="K1215" s="4" t="str">
        <f>IFERROR(__xludf.DUMMYFUNCTION("""COMPUTED_VALUE"""),"")</f>
        <v/>
      </c>
      <c r="L1215" s="4">
        <f>IFERROR(__xludf.DUMMYFUNCTION("""COMPUTED_VALUE"""),45949.301053661824)</f>
        <v>45949.30105</v>
      </c>
      <c r="M1215" s="1" t="str">
        <f>IFERROR(__xludf.DUMMYFUNCTION("""COMPUTED_VALUE"""),"RFID")</f>
        <v>RFID</v>
      </c>
      <c r="N1215" s="5">
        <f>IFERROR(__xludf.DUMMYFUNCTION("""COMPUTED_VALUE"""),0.010742791666666668)</f>
        <v>0.01074279167</v>
      </c>
      <c r="O1215" s="5" t="str">
        <f>IFERROR(__xludf.DUMMYFUNCTION("""COMPUTED_VALUE"""),"")</f>
        <v/>
      </c>
      <c r="P1215" s="5" t="str">
        <f>IFERROR(__xludf.DUMMYFUNCTION("""COMPUTED_VALUE"""),"")</f>
        <v/>
      </c>
      <c r="Q1215" s="5">
        <f>IFERROR(__xludf.DUMMYFUNCTION("""COMPUTED_VALUE"""),0.009221918981481482)</f>
        <v>0.009221918981</v>
      </c>
      <c r="R1215" s="4">
        <f>IFERROR(__xludf.DUMMYFUNCTION("""COMPUTED_VALUE"""),45949.04610959932)</f>
        <v>45949.04611</v>
      </c>
      <c r="S1215" s="1" t="b">
        <f>IFERROR(__xludf.DUMMYFUNCTION("""COMPUTED_VALUE"""),TRUE)</f>
        <v>1</v>
      </c>
      <c r="T1215" s="1" t="b">
        <f>IFERROR(__xludf.DUMMYFUNCTION("""COMPUTED_VALUE"""),FALSE)</f>
        <v>0</v>
      </c>
      <c r="U1215" s="1" t="str">
        <f>IFERROR(__xludf.DUMMYFUNCTION("""COMPUTED_VALUE"""),"VALID")</f>
        <v>VALID</v>
      </c>
      <c r="V1215" s="1">
        <f>IFERROR(__xludf.DUMMYFUNCTION("""COMPUTED_VALUE"""),444.0)</f>
        <v>444</v>
      </c>
      <c r="W1215" s="1">
        <f>IFERROR(__xludf.DUMMYFUNCTION("""COMPUTED_VALUE"""),1490.0)</f>
        <v>1490</v>
      </c>
      <c r="X1215" s="1">
        <f>IFERROR(__xludf.DUMMYFUNCTION("""COMPUTED_VALUE"""),542.0)</f>
        <v>542</v>
      </c>
      <c r="Y1215" s="2"/>
      <c r="Z1215" s="2"/>
    </row>
    <row r="1216">
      <c r="A1216" s="1">
        <f>IFERROR(__xludf.DUMMYFUNCTION("""COMPUTED_VALUE"""),1215.0)</f>
        <v>1215</v>
      </c>
      <c r="B1216" s="1">
        <f>IFERROR(__xludf.DUMMYFUNCTION("""COMPUTED_VALUE"""),5381.0)</f>
        <v>5381</v>
      </c>
      <c r="C1216" s="2" t="str">
        <f>IFERROR(__xludf.DUMMYFUNCTION("""COMPUTED_VALUE"""),"SARTIKA")</f>
        <v>SARTIKA</v>
      </c>
      <c r="D1216" s="2" t="str">
        <f>IFERROR(__xludf.DUMMYFUNCTION("""COMPUTED_VALUE"""),"5KM OVERALL F")</f>
        <v>5KM OVERALL F</v>
      </c>
      <c r="E1216" s="1">
        <f>IFERROR(__xludf.DUMMYFUNCTION("""COMPUTED_VALUE"""),2.0)</f>
        <v>2</v>
      </c>
      <c r="F1216" s="1" t="str">
        <f>IFERROR(__xludf.DUMMYFUNCTION("""COMPUTED_VALUE"""),"Female")</f>
        <v>Female</v>
      </c>
      <c r="G1216" s="4" t="b">
        <f>IFERROR(__xludf.DUMMYFUNCTION("""COMPUTED_VALUE"""),TRUE)</f>
        <v>1</v>
      </c>
      <c r="H1216" s="4" t="b">
        <f>IFERROR(__xludf.DUMMYFUNCTION("""COMPUTED_VALUE"""),TRUE)</f>
        <v>1</v>
      </c>
      <c r="I1216" s="4">
        <f>IFERROR(__xludf.DUMMYFUNCTION("""COMPUTED_VALUE"""),0.2549440625)</f>
        <v>0.2549440625</v>
      </c>
      <c r="J1216" s="4">
        <f>IFERROR(__xludf.DUMMYFUNCTION("""COMPUTED_VALUE"""),45949.27600591717)</f>
        <v>45949.27601</v>
      </c>
      <c r="K1216" s="4" t="str">
        <f>IFERROR(__xludf.DUMMYFUNCTION("""COMPUTED_VALUE"""),"")</f>
        <v/>
      </c>
      <c r="L1216" s="4">
        <f>IFERROR(__xludf.DUMMYFUNCTION("""COMPUTED_VALUE"""),45949.290890484655)</f>
        <v>45949.29089</v>
      </c>
      <c r="M1216" s="1" t="str">
        <f>IFERROR(__xludf.DUMMYFUNCTION("""COMPUTED_VALUE"""),"RFID")</f>
        <v>RFID</v>
      </c>
      <c r="N1216" s="5">
        <f>IFERROR(__xludf.DUMMYFUNCTION("""COMPUTED_VALUE"""),0.008424740740740741)</f>
        <v>0.008424740741</v>
      </c>
      <c r="O1216" s="5" t="str">
        <f>IFERROR(__xludf.DUMMYFUNCTION("""COMPUTED_VALUE"""),"")</f>
        <v/>
      </c>
      <c r="P1216" s="5" t="str">
        <f>IFERROR(__xludf.DUMMYFUNCTION("""COMPUTED_VALUE"""),"")</f>
        <v/>
      </c>
      <c r="Q1216" s="5">
        <f>IFERROR(__xludf.DUMMYFUNCTION("""COMPUTED_VALUE"""),0.007189284722222222)</f>
        <v>0.007189284722</v>
      </c>
      <c r="R1216" s="4">
        <f>IFERROR(__xludf.DUMMYFUNCTION("""COMPUTED_VALUE"""),45949.035946422155)</f>
        <v>45949.03595</v>
      </c>
      <c r="S1216" s="1" t="b">
        <f>IFERROR(__xludf.DUMMYFUNCTION("""COMPUTED_VALUE"""),TRUE)</f>
        <v>1</v>
      </c>
      <c r="T1216" s="1" t="b">
        <f>IFERROR(__xludf.DUMMYFUNCTION("""COMPUTED_VALUE"""),FALSE)</f>
        <v>0</v>
      </c>
      <c r="U1216" s="1" t="str">
        <f>IFERROR(__xludf.DUMMYFUNCTION("""COMPUTED_VALUE"""),"VALID")</f>
        <v>VALID</v>
      </c>
      <c r="V1216" s="1">
        <f>IFERROR(__xludf.DUMMYFUNCTION("""COMPUTED_VALUE"""),187.0)</f>
        <v>187</v>
      </c>
      <c r="W1216" s="1">
        <f>IFERROR(__xludf.DUMMYFUNCTION("""COMPUTED_VALUE"""),956.0)</f>
        <v>956</v>
      </c>
      <c r="X1216" s="1">
        <f>IFERROR(__xludf.DUMMYFUNCTION("""COMPUTED_VALUE"""),235.0)</f>
        <v>235</v>
      </c>
      <c r="Y1216" s="2"/>
      <c r="Z1216" s="2"/>
    </row>
    <row r="1217">
      <c r="A1217" s="1">
        <f>IFERROR(__xludf.DUMMYFUNCTION("""COMPUTED_VALUE"""),1216.0)</f>
        <v>1216</v>
      </c>
      <c r="B1217" s="1">
        <f>IFERROR(__xludf.DUMMYFUNCTION("""COMPUTED_VALUE"""),5382.0)</f>
        <v>5382</v>
      </c>
      <c r="C1217" s="2" t="str">
        <f>IFERROR(__xludf.DUMMYFUNCTION("""COMPUTED_VALUE"""),"geby")</f>
        <v>geby</v>
      </c>
      <c r="D1217" s="2" t="str">
        <f>IFERROR(__xludf.DUMMYFUNCTION("""COMPUTED_VALUE"""),"5KM OVERALL F")</f>
        <v>5KM OVERALL F</v>
      </c>
      <c r="E1217" s="1">
        <f>IFERROR(__xludf.DUMMYFUNCTION("""COMPUTED_VALUE"""),2.0)</f>
        <v>2</v>
      </c>
      <c r="F1217" s="1" t="str">
        <f>IFERROR(__xludf.DUMMYFUNCTION("""COMPUTED_VALUE"""),"Female")</f>
        <v>Female</v>
      </c>
      <c r="G1217" s="4" t="str">
        <f>IFERROR(__xludf.DUMMYFUNCTION("""COMPUTED_VALUE"""),"")</f>
        <v/>
      </c>
      <c r="H1217" s="4" t="b">
        <f>IFERROR(__xludf.DUMMYFUNCTION("""COMPUTED_VALUE"""),FALSE)</f>
        <v>0</v>
      </c>
      <c r="I1217" s="4">
        <f>IFERROR(__xludf.DUMMYFUNCTION("""COMPUTED_VALUE"""),0.2549440625)</f>
        <v>0.2549440625</v>
      </c>
      <c r="J1217" s="4" t="str">
        <f>IFERROR(__xludf.DUMMYFUNCTION("""COMPUTED_VALUE"""),"")</f>
        <v/>
      </c>
      <c r="K1217" s="4" t="str">
        <f>IFERROR(__xludf.DUMMYFUNCTION("""COMPUTED_VALUE"""),"")</f>
        <v/>
      </c>
      <c r="L1217" s="4" t="str">
        <f>IFERROR(__xludf.DUMMYFUNCTION("""COMPUTED_VALUE"""),"")</f>
        <v/>
      </c>
      <c r="M1217" s="1" t="str">
        <f>IFERROR(__xludf.DUMMYFUNCTION("""COMPUTED_VALUE"""),"RFID")</f>
        <v>RFID</v>
      </c>
      <c r="N1217" s="5" t="str">
        <f>IFERROR(__xludf.DUMMYFUNCTION("""COMPUTED_VALUE"""),"")</f>
        <v/>
      </c>
      <c r="O1217" s="5" t="str">
        <f>IFERROR(__xludf.DUMMYFUNCTION("""COMPUTED_VALUE"""),"")</f>
        <v/>
      </c>
      <c r="P1217" s="5" t="str">
        <f>IFERROR(__xludf.DUMMYFUNCTION("""COMPUTED_VALUE"""),"")</f>
        <v/>
      </c>
      <c r="Q1217" s="5" t="str">
        <f>IFERROR(__xludf.DUMMYFUNCTION("""COMPUTED_VALUE"""),"")</f>
        <v/>
      </c>
      <c r="R1217" s="4" t="str">
        <f>IFERROR(__xludf.DUMMYFUNCTION("""COMPUTED_VALUE"""),"")</f>
        <v/>
      </c>
      <c r="S1217" s="1" t="b">
        <f>IFERROR(__xludf.DUMMYFUNCTION("""COMPUTED_VALUE"""),FALSE)</f>
        <v>0</v>
      </c>
      <c r="T1217" s="1" t="b">
        <f>IFERROR(__xludf.DUMMYFUNCTION("""COMPUTED_VALUE"""),FALSE)</f>
        <v>0</v>
      </c>
      <c r="U1217" s="1" t="str">
        <f>IFERROR(__xludf.DUMMYFUNCTION("""COMPUTED_VALUE"""),"DSQ")</f>
        <v>DSQ</v>
      </c>
      <c r="V1217" s="1" t="str">
        <f>IFERROR(__xludf.DUMMYFUNCTION("""COMPUTED_VALUE"""),"DSQ")</f>
        <v>DSQ</v>
      </c>
      <c r="W1217" s="1" t="str">
        <f>IFERROR(__xludf.DUMMYFUNCTION("""COMPUTED_VALUE"""),"DSQ")</f>
        <v>DSQ</v>
      </c>
      <c r="X1217" s="1" t="str">
        <f>IFERROR(__xludf.DUMMYFUNCTION("""COMPUTED_VALUE"""),"DSQ")</f>
        <v>DSQ</v>
      </c>
      <c r="Y1217" s="2"/>
      <c r="Z1217" s="2" t="str">
        <f>IFERROR(__xludf.DUMMYFUNCTION("""COMPUTED_VALUE"""),"")</f>
        <v/>
      </c>
    </row>
    <row r="1218">
      <c r="A1218" s="1">
        <f>IFERROR(__xludf.DUMMYFUNCTION("""COMPUTED_VALUE"""),1217.0)</f>
        <v>1217</v>
      </c>
      <c r="B1218" s="1">
        <f>IFERROR(__xludf.DUMMYFUNCTION("""COMPUTED_VALUE"""),5384.0)</f>
        <v>5384</v>
      </c>
      <c r="C1218" s="2" t="str">
        <f>IFERROR(__xludf.DUMMYFUNCTION("""COMPUTED_VALUE"""),"Hiel")</f>
        <v>Hiel</v>
      </c>
      <c r="D1218" s="2" t="str">
        <f>IFERROR(__xludf.DUMMYFUNCTION("""COMPUTED_VALUE"""),"5KM OVERALL F")</f>
        <v>5KM OVERALL F</v>
      </c>
      <c r="E1218" s="1">
        <f>IFERROR(__xludf.DUMMYFUNCTION("""COMPUTED_VALUE"""),2.0)</f>
        <v>2</v>
      </c>
      <c r="F1218" s="1" t="str">
        <f>IFERROR(__xludf.DUMMYFUNCTION("""COMPUTED_VALUE"""),"Female")</f>
        <v>Female</v>
      </c>
      <c r="G1218" s="4" t="b">
        <f>IFERROR(__xludf.DUMMYFUNCTION("""COMPUTED_VALUE"""),TRUE)</f>
        <v>1</v>
      </c>
      <c r="H1218" s="4" t="b">
        <f>IFERROR(__xludf.DUMMYFUNCTION("""COMPUTED_VALUE"""),TRUE)</f>
        <v>1</v>
      </c>
      <c r="I1218" s="4">
        <f>IFERROR(__xludf.DUMMYFUNCTION("""COMPUTED_VALUE"""),0.2549440625)</f>
        <v>0.2549440625</v>
      </c>
      <c r="J1218" s="4">
        <f>IFERROR(__xludf.DUMMYFUNCTION("""COMPUTED_VALUE"""),45949.27816564087)</f>
        <v>45949.27817</v>
      </c>
      <c r="K1218" s="4" t="str">
        <f>IFERROR(__xludf.DUMMYFUNCTION("""COMPUTED_VALUE"""),"")</f>
        <v/>
      </c>
      <c r="L1218" s="4">
        <f>IFERROR(__xludf.DUMMYFUNCTION("""COMPUTED_VALUE"""),45949.2943210173)</f>
        <v>45949.29432</v>
      </c>
      <c r="M1218" s="1" t="str">
        <f>IFERROR(__xludf.DUMMYFUNCTION("""COMPUTED_VALUE"""),"RFID")</f>
        <v>RFID</v>
      </c>
      <c r="N1218" s="5">
        <f>IFERROR(__xludf.DUMMYFUNCTION("""COMPUTED_VALUE"""),0.00928862962962963)</f>
        <v>0.00928862963</v>
      </c>
      <c r="O1218" s="5" t="str">
        <f>IFERROR(__xludf.DUMMYFUNCTION("""COMPUTED_VALUE"""),"")</f>
        <v/>
      </c>
      <c r="P1218" s="5" t="str">
        <f>IFERROR(__xludf.DUMMYFUNCTION("""COMPUTED_VALUE"""),"")</f>
        <v/>
      </c>
      <c r="Q1218" s="5">
        <f>IFERROR(__xludf.DUMMYFUNCTION("""COMPUTED_VALUE"""),0.007875391203703704)</f>
        <v>0.007875391204</v>
      </c>
      <c r="R1218" s="4">
        <f>IFERROR(__xludf.DUMMYFUNCTION("""COMPUTED_VALUE"""),45949.0393769548)</f>
        <v>45949.03938</v>
      </c>
      <c r="S1218" s="1" t="b">
        <f>IFERROR(__xludf.DUMMYFUNCTION("""COMPUTED_VALUE"""),TRUE)</f>
        <v>1</v>
      </c>
      <c r="T1218" s="1" t="b">
        <f>IFERROR(__xludf.DUMMYFUNCTION("""COMPUTED_VALUE"""),FALSE)</f>
        <v>0</v>
      </c>
      <c r="U1218" s="1" t="str">
        <f>IFERROR(__xludf.DUMMYFUNCTION("""COMPUTED_VALUE"""),"VALID")</f>
        <v>VALID</v>
      </c>
      <c r="V1218" s="1">
        <f>IFERROR(__xludf.DUMMYFUNCTION("""COMPUTED_VALUE"""),301.0)</f>
        <v>301</v>
      </c>
      <c r="W1218" s="1">
        <f>IFERROR(__xludf.DUMMYFUNCTION("""COMPUTED_VALUE"""),1202.0)</f>
        <v>1202</v>
      </c>
      <c r="X1218" s="1">
        <f>IFERROR(__xludf.DUMMYFUNCTION("""COMPUTED_VALUE"""),364.0)</f>
        <v>364</v>
      </c>
      <c r="Y1218" s="2"/>
      <c r="Z1218" s="2"/>
    </row>
    <row r="1219">
      <c r="A1219" s="1">
        <f>IFERROR(__xludf.DUMMYFUNCTION("""COMPUTED_VALUE"""),1218.0)</f>
        <v>1218</v>
      </c>
      <c r="B1219" s="1">
        <f>IFERROR(__xludf.DUMMYFUNCTION("""COMPUTED_VALUE"""),5385.0)</f>
        <v>5385</v>
      </c>
      <c r="C1219" s="2" t="str">
        <f>IFERROR(__xludf.DUMMYFUNCTION("""COMPUTED_VALUE"""),"Annisa")</f>
        <v>Annisa</v>
      </c>
      <c r="D1219" s="2" t="str">
        <f>IFERROR(__xludf.DUMMYFUNCTION("""COMPUTED_VALUE"""),"5KM OVERALL F")</f>
        <v>5KM OVERALL F</v>
      </c>
      <c r="E1219" s="1">
        <f>IFERROR(__xludf.DUMMYFUNCTION("""COMPUTED_VALUE"""),2.0)</f>
        <v>2</v>
      </c>
      <c r="F1219" s="1" t="str">
        <f>IFERROR(__xludf.DUMMYFUNCTION("""COMPUTED_VALUE"""),"Female")</f>
        <v>Female</v>
      </c>
      <c r="G1219" s="4" t="b">
        <f>IFERROR(__xludf.DUMMYFUNCTION("""COMPUTED_VALUE"""),TRUE)</f>
        <v>1</v>
      </c>
      <c r="H1219" s="4" t="b">
        <f>IFERROR(__xludf.DUMMYFUNCTION("""COMPUTED_VALUE"""),TRUE)</f>
        <v>1</v>
      </c>
      <c r="I1219" s="4">
        <f>IFERROR(__xludf.DUMMYFUNCTION("""COMPUTED_VALUE"""),0.2549440625)</f>
        <v>0.2549440625</v>
      </c>
      <c r="J1219" s="4">
        <f>IFERROR(__xludf.DUMMYFUNCTION("""COMPUTED_VALUE"""),45949.282307951864)</f>
        <v>45949.28231</v>
      </c>
      <c r="K1219" s="4" t="str">
        <f>IFERROR(__xludf.DUMMYFUNCTION("""COMPUTED_VALUE"""),"")</f>
        <v/>
      </c>
      <c r="L1219" s="4">
        <f>IFERROR(__xludf.DUMMYFUNCTION("""COMPUTED_VALUE"""),45949.30022377967)</f>
        <v>45949.30022</v>
      </c>
      <c r="M1219" s="1" t="str">
        <f>IFERROR(__xludf.DUMMYFUNCTION("""COMPUTED_VALUE"""),"RFID")</f>
        <v>RFID</v>
      </c>
      <c r="N1219" s="5">
        <f>IFERROR(__xludf.DUMMYFUNCTION("""COMPUTED_VALUE"""),0.010945555555555554)</f>
        <v>0.01094555556</v>
      </c>
      <c r="O1219" s="5" t="str">
        <f>IFERROR(__xludf.DUMMYFUNCTION("""COMPUTED_VALUE"""),"")</f>
        <v/>
      </c>
      <c r="P1219" s="5" t="str">
        <f>IFERROR(__xludf.DUMMYFUNCTION("""COMPUTED_VALUE"""),"")</f>
        <v/>
      </c>
      <c r="Q1219" s="5">
        <f>IFERROR(__xludf.DUMMYFUNCTION("""COMPUTED_VALUE"""),0.009055944444444445)</f>
        <v>0.009055944444</v>
      </c>
      <c r="R1219" s="4">
        <f>IFERROR(__xludf.DUMMYFUNCTION("""COMPUTED_VALUE"""),45949.04527971717)</f>
        <v>45949.04528</v>
      </c>
      <c r="S1219" s="1" t="b">
        <f>IFERROR(__xludf.DUMMYFUNCTION("""COMPUTED_VALUE"""),TRUE)</f>
        <v>1</v>
      </c>
      <c r="T1219" s="1" t="b">
        <f>IFERROR(__xludf.DUMMYFUNCTION("""COMPUTED_VALUE"""),FALSE)</f>
        <v>0</v>
      </c>
      <c r="U1219" s="1" t="str">
        <f>IFERROR(__xludf.DUMMYFUNCTION("""COMPUTED_VALUE"""),"VALID")</f>
        <v>VALID</v>
      </c>
      <c r="V1219" s="1">
        <f>IFERROR(__xludf.DUMMYFUNCTION("""COMPUTED_VALUE"""),425.0)</f>
        <v>425</v>
      </c>
      <c r="W1219" s="1">
        <f>IFERROR(__xludf.DUMMYFUNCTION("""COMPUTED_VALUE"""),1460.0)</f>
        <v>1460</v>
      </c>
      <c r="X1219" s="1">
        <f>IFERROR(__xludf.DUMMYFUNCTION("""COMPUTED_VALUE"""),520.0)</f>
        <v>520</v>
      </c>
      <c r="Y1219" s="2"/>
      <c r="Z1219" s="2"/>
    </row>
    <row r="1220">
      <c r="A1220" s="1">
        <f>IFERROR(__xludf.DUMMYFUNCTION("""COMPUTED_VALUE"""),1219.0)</f>
        <v>1219</v>
      </c>
      <c r="B1220" s="1">
        <f>IFERROR(__xludf.DUMMYFUNCTION("""COMPUTED_VALUE"""),5390.0)</f>
        <v>5390</v>
      </c>
      <c r="C1220" s="2" t="str">
        <f>IFERROR(__xludf.DUMMYFUNCTION("""COMPUTED_VALUE"""),"Ratih Puspa")</f>
        <v>Ratih Puspa</v>
      </c>
      <c r="D1220" s="2" t="str">
        <f>IFERROR(__xludf.DUMMYFUNCTION("""COMPUTED_VALUE"""),"5KM OVERALL F")</f>
        <v>5KM OVERALL F</v>
      </c>
      <c r="E1220" s="1">
        <f>IFERROR(__xludf.DUMMYFUNCTION("""COMPUTED_VALUE"""),2.0)</f>
        <v>2</v>
      </c>
      <c r="F1220" s="1" t="str">
        <f>IFERROR(__xludf.DUMMYFUNCTION("""COMPUTED_VALUE"""),"Female")</f>
        <v>Female</v>
      </c>
      <c r="G1220" s="4" t="b">
        <f>IFERROR(__xludf.DUMMYFUNCTION("""COMPUTED_VALUE"""),TRUE)</f>
        <v>1</v>
      </c>
      <c r="H1220" s="4" t="b">
        <f>IFERROR(__xludf.DUMMYFUNCTION("""COMPUTED_VALUE"""),FALSE)</f>
        <v>0</v>
      </c>
      <c r="I1220" s="4">
        <f>IFERROR(__xludf.DUMMYFUNCTION("""COMPUTED_VALUE"""),0.2549440625)</f>
        <v>0.2549440625</v>
      </c>
      <c r="J1220" s="4">
        <f>IFERROR(__xludf.DUMMYFUNCTION("""COMPUTED_VALUE"""),45949.27356838709)</f>
        <v>45949.27357</v>
      </c>
      <c r="K1220" s="4" t="str">
        <f>IFERROR(__xludf.DUMMYFUNCTION("""COMPUTED_VALUE"""),"")</f>
        <v/>
      </c>
      <c r="L1220" s="4">
        <f>IFERROR(__xludf.DUMMYFUNCTION("""COMPUTED_VALUE"""),45949.28765087807)</f>
        <v>45949.28765</v>
      </c>
      <c r="M1220" s="1" t="str">
        <f>IFERROR(__xludf.DUMMYFUNCTION("""COMPUTED_VALUE"""),"RFID")</f>
        <v>RFID</v>
      </c>
      <c r="N1220" s="5">
        <f>IFERROR(__xludf.DUMMYFUNCTION("""COMPUTED_VALUE"""),0.0074497314814814825)</f>
        <v>0.007449731481</v>
      </c>
      <c r="O1220" s="5" t="str">
        <f>IFERROR(__xludf.DUMMYFUNCTION("""COMPUTED_VALUE"""),"")</f>
        <v/>
      </c>
      <c r="P1220" s="5" t="str">
        <f>IFERROR(__xludf.DUMMYFUNCTION("""COMPUTED_VALUE"""),"")</f>
        <v/>
      </c>
      <c r="Q1220" s="5">
        <f>IFERROR(__xludf.DUMMYFUNCTION("""COMPUTED_VALUE"""),0.006541363425925926)</f>
        <v>0.006541363426</v>
      </c>
      <c r="R1220" s="4">
        <f>IFERROR(__xludf.DUMMYFUNCTION("""COMPUTED_VALUE"""),45949.03270681557)</f>
        <v>45949.03271</v>
      </c>
      <c r="S1220" s="1" t="b">
        <f>IFERROR(__xludf.DUMMYFUNCTION("""COMPUTED_VALUE"""),TRUE)</f>
        <v>1</v>
      </c>
      <c r="T1220" s="1" t="b">
        <f>IFERROR(__xludf.DUMMYFUNCTION("""COMPUTED_VALUE"""),FALSE)</f>
        <v>0</v>
      </c>
      <c r="U1220" s="1" t="str">
        <f>IFERROR(__xludf.DUMMYFUNCTION("""COMPUTED_VALUE"""),"VALID")</f>
        <v>VALID</v>
      </c>
      <c r="V1220" s="1">
        <f>IFERROR(__xludf.DUMMYFUNCTION("""COMPUTED_VALUE"""),119.0)</f>
        <v>119</v>
      </c>
      <c r="W1220" s="1">
        <f>IFERROR(__xludf.DUMMYFUNCTION("""COMPUTED_VALUE"""),748.0)</f>
        <v>748</v>
      </c>
      <c r="X1220" s="1">
        <f>IFERROR(__xludf.DUMMYFUNCTION("""COMPUTED_VALUE"""),151.0)</f>
        <v>151</v>
      </c>
      <c r="Y1220" s="2"/>
      <c r="Z1220" s="2"/>
    </row>
    <row r="1221">
      <c r="A1221" s="1">
        <f>IFERROR(__xludf.DUMMYFUNCTION("""COMPUTED_VALUE"""),1220.0)</f>
        <v>1220</v>
      </c>
      <c r="B1221" s="1">
        <f>IFERROR(__xludf.DUMMYFUNCTION("""COMPUTED_VALUE"""),5397.0)</f>
        <v>5397</v>
      </c>
      <c r="C1221" s="2" t="str">
        <f>IFERROR(__xludf.DUMMYFUNCTION("""COMPUTED_VALUE"""),"Hasna")</f>
        <v>Hasna</v>
      </c>
      <c r="D1221" s="2" t="str">
        <f>IFERROR(__xludf.DUMMYFUNCTION("""COMPUTED_VALUE"""),"5KM OVERALL F")</f>
        <v>5KM OVERALL F</v>
      </c>
      <c r="E1221" s="1">
        <f>IFERROR(__xludf.DUMMYFUNCTION("""COMPUTED_VALUE"""),2.0)</f>
        <v>2</v>
      </c>
      <c r="F1221" s="1" t="str">
        <f>IFERROR(__xludf.DUMMYFUNCTION("""COMPUTED_VALUE"""),"Female")</f>
        <v>Female</v>
      </c>
      <c r="G1221" s="4" t="b">
        <f>IFERROR(__xludf.DUMMYFUNCTION("""COMPUTED_VALUE"""),TRUE)</f>
        <v>1</v>
      </c>
      <c r="H1221" s="4" t="b">
        <f>IFERROR(__xludf.DUMMYFUNCTION("""COMPUTED_VALUE"""),TRUE)</f>
        <v>1</v>
      </c>
      <c r="I1221" s="4">
        <f>IFERROR(__xludf.DUMMYFUNCTION("""COMPUTED_VALUE"""),0.2549440625)</f>
        <v>0.2549440625</v>
      </c>
      <c r="J1221" s="4">
        <f>IFERROR(__xludf.DUMMYFUNCTION("""COMPUTED_VALUE"""),45949.28243641321)</f>
        <v>45949.28244</v>
      </c>
      <c r="K1221" s="4" t="str">
        <f>IFERROR(__xludf.DUMMYFUNCTION("""COMPUTED_VALUE"""),"")</f>
        <v/>
      </c>
      <c r="L1221" s="4">
        <f>IFERROR(__xludf.DUMMYFUNCTION("""COMPUTED_VALUE"""),45949.300265399484)</f>
        <v>45949.30027</v>
      </c>
      <c r="M1221" s="1" t="str">
        <f>IFERROR(__xludf.DUMMYFUNCTION("""COMPUTED_VALUE"""),"RFID")</f>
        <v>RFID</v>
      </c>
      <c r="N1221" s="5">
        <f>IFERROR(__xludf.DUMMYFUNCTION("""COMPUTED_VALUE"""),0.010996939814814814)</f>
        <v>0.01099693981</v>
      </c>
      <c r="O1221" s="5" t="str">
        <f>IFERROR(__xludf.DUMMYFUNCTION("""COMPUTED_VALUE"""),"")</f>
        <v/>
      </c>
      <c r="P1221" s="5" t="str">
        <f>IFERROR(__xludf.DUMMYFUNCTION("""COMPUTED_VALUE"""),"")</f>
        <v/>
      </c>
      <c r="Q1221" s="5">
        <f>IFERROR(__xludf.DUMMYFUNCTION("""COMPUTED_VALUE"""),0.009064268518518518)</f>
        <v>0.009064268519</v>
      </c>
      <c r="R1221" s="4">
        <f>IFERROR(__xludf.DUMMYFUNCTION("""COMPUTED_VALUE"""),45949.045321336984)</f>
        <v>45949.04532</v>
      </c>
      <c r="S1221" s="1" t="b">
        <f>IFERROR(__xludf.DUMMYFUNCTION("""COMPUTED_VALUE"""),TRUE)</f>
        <v>1</v>
      </c>
      <c r="T1221" s="1" t="b">
        <f>IFERROR(__xludf.DUMMYFUNCTION("""COMPUTED_VALUE"""),FALSE)</f>
        <v>0</v>
      </c>
      <c r="U1221" s="1" t="str">
        <f>IFERROR(__xludf.DUMMYFUNCTION("""COMPUTED_VALUE"""),"VALID")</f>
        <v>VALID</v>
      </c>
      <c r="V1221" s="1">
        <f>IFERROR(__xludf.DUMMYFUNCTION("""COMPUTED_VALUE"""),426.0)</f>
        <v>426</v>
      </c>
      <c r="W1221" s="1">
        <f>IFERROR(__xludf.DUMMYFUNCTION("""COMPUTED_VALUE"""),1461.0)</f>
        <v>1461</v>
      </c>
      <c r="X1221" s="1">
        <f>IFERROR(__xludf.DUMMYFUNCTION("""COMPUTED_VALUE"""),521.0)</f>
        <v>521</v>
      </c>
      <c r="Y1221" s="2"/>
      <c r="Z1221" s="2"/>
    </row>
    <row r="1222">
      <c r="A1222" s="1">
        <f>IFERROR(__xludf.DUMMYFUNCTION("""COMPUTED_VALUE"""),1221.0)</f>
        <v>1221</v>
      </c>
      <c r="B1222" s="1">
        <f>IFERROR(__xludf.DUMMYFUNCTION("""COMPUTED_VALUE"""),5399.0)</f>
        <v>5399</v>
      </c>
      <c r="C1222" s="2" t="str">
        <f>IFERROR(__xludf.DUMMYFUNCTION("""COMPUTED_VALUE"""),"Niken")</f>
        <v>Niken</v>
      </c>
      <c r="D1222" s="2" t="str">
        <f>IFERROR(__xludf.DUMMYFUNCTION("""COMPUTED_VALUE"""),"5KM OVERALL F")</f>
        <v>5KM OVERALL F</v>
      </c>
      <c r="E1222" s="1">
        <f>IFERROR(__xludf.DUMMYFUNCTION("""COMPUTED_VALUE"""),2.0)</f>
        <v>2</v>
      </c>
      <c r="F1222" s="1" t="str">
        <f>IFERROR(__xludf.DUMMYFUNCTION("""COMPUTED_VALUE"""),"Female")</f>
        <v>Female</v>
      </c>
      <c r="G1222" s="4" t="b">
        <f>IFERROR(__xludf.DUMMYFUNCTION("""COMPUTED_VALUE"""),TRUE)</f>
        <v>1</v>
      </c>
      <c r="H1222" s="4" t="b">
        <f>IFERROR(__xludf.DUMMYFUNCTION("""COMPUTED_VALUE"""),FALSE)</f>
        <v>0</v>
      </c>
      <c r="I1222" s="4">
        <f>IFERROR(__xludf.DUMMYFUNCTION("""COMPUTED_VALUE"""),0.2549440625)</f>
        <v>0.2549440625</v>
      </c>
      <c r="J1222" s="4">
        <f>IFERROR(__xludf.DUMMYFUNCTION("""COMPUTED_VALUE"""),45949.28034267232)</f>
        <v>45949.28034</v>
      </c>
      <c r="K1222" s="4" t="str">
        <f>IFERROR(__xludf.DUMMYFUNCTION("""COMPUTED_VALUE"""),"")</f>
        <v/>
      </c>
      <c r="L1222" s="4">
        <f>IFERROR(__xludf.DUMMYFUNCTION("""COMPUTED_VALUE"""),45949.30017864472)</f>
        <v>45949.30018</v>
      </c>
      <c r="M1222" s="1" t="str">
        <f>IFERROR(__xludf.DUMMYFUNCTION("""COMPUTED_VALUE"""),"RFID")</f>
        <v>RFID</v>
      </c>
      <c r="N1222" s="5">
        <f>IFERROR(__xludf.DUMMYFUNCTION("""COMPUTED_VALUE"""),0.010159444444444445)</f>
        <v>0.01015944444</v>
      </c>
      <c r="O1222" s="5" t="str">
        <f>IFERROR(__xludf.DUMMYFUNCTION("""COMPUTED_VALUE"""),"")</f>
        <v/>
      </c>
      <c r="P1222" s="5" t="str">
        <f>IFERROR(__xludf.DUMMYFUNCTION("""COMPUTED_VALUE"""),"")</f>
        <v/>
      </c>
      <c r="Q1222" s="5">
        <f>IFERROR(__xludf.DUMMYFUNCTION("""COMPUTED_VALUE"""),0.009046916666666667)</f>
        <v>0.009046916667</v>
      </c>
      <c r="R1222" s="4">
        <f>IFERROR(__xludf.DUMMYFUNCTION("""COMPUTED_VALUE"""),45949.04523458222)</f>
        <v>45949.04523</v>
      </c>
      <c r="S1222" s="1" t="b">
        <f>IFERROR(__xludf.DUMMYFUNCTION("""COMPUTED_VALUE"""),TRUE)</f>
        <v>1</v>
      </c>
      <c r="T1222" s="1" t="b">
        <f>IFERROR(__xludf.DUMMYFUNCTION("""COMPUTED_VALUE"""),FALSE)</f>
        <v>0</v>
      </c>
      <c r="U1222" s="1" t="str">
        <f>IFERROR(__xludf.DUMMYFUNCTION("""COMPUTED_VALUE"""),"VALID")</f>
        <v>VALID</v>
      </c>
      <c r="V1222" s="1">
        <f>IFERROR(__xludf.DUMMYFUNCTION("""COMPUTED_VALUE"""),423.0)</f>
        <v>423</v>
      </c>
      <c r="W1222" s="1">
        <f>IFERROR(__xludf.DUMMYFUNCTION("""COMPUTED_VALUE"""),1458.0)</f>
        <v>1458</v>
      </c>
      <c r="X1222" s="1">
        <f>IFERROR(__xludf.DUMMYFUNCTION("""COMPUTED_VALUE"""),518.0)</f>
        <v>518</v>
      </c>
      <c r="Y1222" s="2"/>
      <c r="Z1222" s="2"/>
    </row>
    <row r="1223">
      <c r="A1223" s="1">
        <f>IFERROR(__xludf.DUMMYFUNCTION("""COMPUTED_VALUE"""),1222.0)</f>
        <v>1222</v>
      </c>
      <c r="B1223" s="1">
        <f>IFERROR(__xludf.DUMMYFUNCTION("""COMPUTED_VALUE"""),5402.0)</f>
        <v>5402</v>
      </c>
      <c r="C1223" s="2" t="str">
        <f>IFERROR(__xludf.DUMMYFUNCTION("""COMPUTED_VALUE"""),"Evytabela")</f>
        <v>Evytabela</v>
      </c>
      <c r="D1223" s="2" t="str">
        <f>IFERROR(__xludf.DUMMYFUNCTION("""COMPUTED_VALUE"""),"5KM OVERALL F")</f>
        <v>5KM OVERALL F</v>
      </c>
      <c r="E1223" s="1">
        <f>IFERROR(__xludf.DUMMYFUNCTION("""COMPUTED_VALUE"""),2.0)</f>
        <v>2</v>
      </c>
      <c r="F1223" s="1" t="str">
        <f>IFERROR(__xludf.DUMMYFUNCTION("""COMPUTED_VALUE"""),"Female")</f>
        <v>Female</v>
      </c>
      <c r="G1223" s="4" t="b">
        <f>IFERROR(__xludf.DUMMYFUNCTION("""COMPUTED_VALUE"""),TRUE)</f>
        <v>1</v>
      </c>
      <c r="H1223" s="4" t="b">
        <f>IFERROR(__xludf.DUMMYFUNCTION("""COMPUTED_VALUE"""),TRUE)</f>
        <v>1</v>
      </c>
      <c r="I1223" s="4">
        <f>IFERROR(__xludf.DUMMYFUNCTION("""COMPUTED_VALUE"""),0.2549440625)</f>
        <v>0.2549440625</v>
      </c>
      <c r="J1223" s="4">
        <f>IFERROR(__xludf.DUMMYFUNCTION("""COMPUTED_VALUE"""),45949.2802801718)</f>
        <v>45949.28028</v>
      </c>
      <c r="K1223" s="4" t="str">
        <f>IFERROR(__xludf.DUMMYFUNCTION("""COMPUTED_VALUE"""),"")</f>
        <v/>
      </c>
      <c r="L1223" s="4">
        <f>IFERROR(__xludf.DUMMYFUNCTION("""COMPUTED_VALUE"""),45949.29864040215)</f>
        <v>45949.29864</v>
      </c>
      <c r="M1223" s="1" t="str">
        <f>IFERROR(__xludf.DUMMYFUNCTION("""COMPUTED_VALUE"""),"RFID")</f>
        <v>RFID</v>
      </c>
      <c r="N1223" s="5">
        <f>IFERROR(__xludf.DUMMYFUNCTION("""COMPUTED_VALUE"""),0.010134444444444444)</f>
        <v>0.01013444444</v>
      </c>
      <c r="O1223" s="5" t="str">
        <f>IFERROR(__xludf.DUMMYFUNCTION("""COMPUTED_VALUE"""),"")</f>
        <v/>
      </c>
      <c r="P1223" s="5" t="str">
        <f>IFERROR(__xludf.DUMMYFUNCTION("""COMPUTED_VALUE"""),"")</f>
        <v/>
      </c>
      <c r="Q1223" s="5">
        <f>IFERROR(__xludf.DUMMYFUNCTION("""COMPUTED_VALUE"""),0.008739268518518518)</f>
        <v>0.008739268519</v>
      </c>
      <c r="R1223" s="4">
        <f>IFERROR(__xludf.DUMMYFUNCTION("""COMPUTED_VALUE"""),45949.04369633965)</f>
        <v>45949.0437</v>
      </c>
      <c r="S1223" s="1" t="b">
        <f>IFERROR(__xludf.DUMMYFUNCTION("""COMPUTED_VALUE"""),TRUE)</f>
        <v>1</v>
      </c>
      <c r="T1223" s="1" t="b">
        <f>IFERROR(__xludf.DUMMYFUNCTION("""COMPUTED_VALUE"""),FALSE)</f>
        <v>0</v>
      </c>
      <c r="U1223" s="1" t="str">
        <f>IFERROR(__xludf.DUMMYFUNCTION("""COMPUTED_VALUE"""),"VALID")</f>
        <v>VALID</v>
      </c>
      <c r="V1223" s="1">
        <f>IFERROR(__xludf.DUMMYFUNCTION("""COMPUTED_VALUE"""),392.0)</f>
        <v>392</v>
      </c>
      <c r="W1223" s="1">
        <f>IFERROR(__xludf.DUMMYFUNCTION("""COMPUTED_VALUE"""),1392.0)</f>
        <v>1392</v>
      </c>
      <c r="X1223" s="1">
        <f>IFERROR(__xludf.DUMMYFUNCTION("""COMPUTED_VALUE"""),474.0)</f>
        <v>474</v>
      </c>
      <c r="Y1223" s="2"/>
      <c r="Z1223" s="2"/>
    </row>
    <row r="1224">
      <c r="A1224" s="1">
        <f>IFERROR(__xludf.DUMMYFUNCTION("""COMPUTED_VALUE"""),1223.0)</f>
        <v>1223</v>
      </c>
      <c r="B1224" s="1">
        <f>IFERROR(__xludf.DUMMYFUNCTION("""COMPUTED_VALUE"""),5403.0)</f>
        <v>5403</v>
      </c>
      <c r="C1224" s="2" t="str">
        <f>IFERROR(__xludf.DUMMYFUNCTION("""COMPUTED_VALUE"""),"chendess")</f>
        <v>chendess</v>
      </c>
      <c r="D1224" s="2" t="str">
        <f>IFERROR(__xludf.DUMMYFUNCTION("""COMPUTED_VALUE"""),"5KM OVERALL F")</f>
        <v>5KM OVERALL F</v>
      </c>
      <c r="E1224" s="1">
        <f>IFERROR(__xludf.DUMMYFUNCTION("""COMPUTED_VALUE"""),2.0)</f>
        <v>2</v>
      </c>
      <c r="F1224" s="1" t="str">
        <f>IFERROR(__xludf.DUMMYFUNCTION("""COMPUTED_VALUE"""),"Female")</f>
        <v>Female</v>
      </c>
      <c r="G1224" s="4" t="b">
        <f>IFERROR(__xludf.DUMMYFUNCTION("""COMPUTED_VALUE"""),TRUE)</f>
        <v>1</v>
      </c>
      <c r="H1224" s="4" t="b">
        <f>IFERROR(__xludf.DUMMYFUNCTION("""COMPUTED_VALUE"""),TRUE)</f>
        <v>1</v>
      </c>
      <c r="I1224" s="4">
        <f>IFERROR(__xludf.DUMMYFUNCTION("""COMPUTED_VALUE"""),0.2549440625)</f>
        <v>0.2549440625</v>
      </c>
      <c r="J1224" s="4">
        <f>IFERROR(__xludf.DUMMYFUNCTION("""COMPUTED_VALUE"""),45949.279547531194)</f>
        <v>45949.27955</v>
      </c>
      <c r="K1224" s="4" t="str">
        <f>IFERROR(__xludf.DUMMYFUNCTION("""COMPUTED_VALUE"""),"")</f>
        <v/>
      </c>
      <c r="L1224" s="4">
        <f>IFERROR(__xludf.DUMMYFUNCTION("""COMPUTED_VALUE"""),45949.29522425995)</f>
        <v>45949.29522</v>
      </c>
      <c r="M1224" s="1" t="str">
        <f>IFERROR(__xludf.DUMMYFUNCTION("""COMPUTED_VALUE"""),"RFID")</f>
        <v>RFID</v>
      </c>
      <c r="N1224" s="5">
        <f>IFERROR(__xludf.DUMMYFUNCTION("""COMPUTED_VALUE"""),0.009841388888888889)</f>
        <v>0.009841388889</v>
      </c>
      <c r="O1224" s="5" t="str">
        <f>IFERROR(__xludf.DUMMYFUNCTION("""COMPUTED_VALUE"""),"")</f>
        <v/>
      </c>
      <c r="P1224" s="5" t="str">
        <f>IFERROR(__xludf.DUMMYFUNCTION("""COMPUTED_VALUE"""),"")</f>
        <v/>
      </c>
      <c r="Q1224" s="5">
        <f>IFERROR(__xludf.DUMMYFUNCTION("""COMPUTED_VALUE"""),0.00805603935185185)</f>
        <v>0.008056039352</v>
      </c>
      <c r="R1224" s="4">
        <f>IFERROR(__xludf.DUMMYFUNCTION("""COMPUTED_VALUE"""),45949.04028019745)</f>
        <v>45949.04028</v>
      </c>
      <c r="S1224" s="1" t="b">
        <f>IFERROR(__xludf.DUMMYFUNCTION("""COMPUTED_VALUE"""),TRUE)</f>
        <v>1</v>
      </c>
      <c r="T1224" s="1" t="b">
        <f>IFERROR(__xludf.DUMMYFUNCTION("""COMPUTED_VALUE"""),FALSE)</f>
        <v>0</v>
      </c>
      <c r="U1224" s="1" t="str">
        <f>IFERROR(__xludf.DUMMYFUNCTION("""COMPUTED_VALUE"""),"VALID")</f>
        <v>VALID</v>
      </c>
      <c r="V1224" s="1">
        <f>IFERROR(__xludf.DUMMYFUNCTION("""COMPUTED_VALUE"""),327.0)</f>
        <v>327</v>
      </c>
      <c r="W1224" s="1">
        <f>IFERROR(__xludf.DUMMYFUNCTION("""COMPUTED_VALUE"""),1255.0)</f>
        <v>1255</v>
      </c>
      <c r="X1224" s="1">
        <f>IFERROR(__xludf.DUMMYFUNCTION("""COMPUTED_VALUE"""),396.0)</f>
        <v>396</v>
      </c>
      <c r="Y1224" s="2"/>
      <c r="Z1224" s="2"/>
    </row>
    <row r="1225">
      <c r="A1225" s="1">
        <f>IFERROR(__xludf.DUMMYFUNCTION("""COMPUTED_VALUE"""),1224.0)</f>
        <v>1224</v>
      </c>
      <c r="B1225" s="1">
        <f>IFERROR(__xludf.DUMMYFUNCTION("""COMPUTED_VALUE"""),5408.0)</f>
        <v>5408</v>
      </c>
      <c r="C1225" s="2" t="str">
        <f>IFERROR(__xludf.DUMMYFUNCTION("""COMPUTED_VALUE"""),"Edelia")</f>
        <v>Edelia</v>
      </c>
      <c r="D1225" s="2" t="str">
        <f>IFERROR(__xludf.DUMMYFUNCTION("""COMPUTED_VALUE"""),"5KM OVERALL F")</f>
        <v>5KM OVERALL F</v>
      </c>
      <c r="E1225" s="1">
        <f>IFERROR(__xludf.DUMMYFUNCTION("""COMPUTED_VALUE"""),2.0)</f>
        <v>2</v>
      </c>
      <c r="F1225" s="1" t="str">
        <f>IFERROR(__xludf.DUMMYFUNCTION("""COMPUTED_VALUE"""),"Female")</f>
        <v>Female</v>
      </c>
      <c r="G1225" s="4" t="b">
        <f>IFERROR(__xludf.DUMMYFUNCTION("""COMPUTED_VALUE"""),TRUE)</f>
        <v>1</v>
      </c>
      <c r="H1225" s="4" t="b">
        <f>IFERROR(__xludf.DUMMYFUNCTION("""COMPUTED_VALUE"""),TRUE)</f>
        <v>1</v>
      </c>
      <c r="I1225" s="4">
        <f>IFERROR(__xludf.DUMMYFUNCTION("""COMPUTED_VALUE"""),0.2549440625)</f>
        <v>0.2549440625</v>
      </c>
      <c r="J1225" s="4">
        <f>IFERROR(__xludf.DUMMYFUNCTION("""COMPUTED_VALUE"""),45949.27637745278)</f>
        <v>45949.27638</v>
      </c>
      <c r="K1225" s="4" t="str">
        <f>IFERROR(__xludf.DUMMYFUNCTION("""COMPUTED_VALUE"""),"")</f>
        <v/>
      </c>
      <c r="L1225" s="4">
        <f>IFERROR(__xludf.DUMMYFUNCTION("""COMPUTED_VALUE"""),45949.292352254735)</f>
        <v>45949.29235</v>
      </c>
      <c r="M1225" s="1" t="str">
        <f>IFERROR(__xludf.DUMMYFUNCTION("""COMPUTED_VALUE"""),"RFID")</f>
        <v>RFID</v>
      </c>
      <c r="N1225" s="5">
        <f>IFERROR(__xludf.DUMMYFUNCTION("""COMPUTED_VALUE"""),0.00857335648148148)</f>
        <v>0.008573356481</v>
      </c>
      <c r="O1225" s="5" t="str">
        <f>IFERROR(__xludf.DUMMYFUNCTION("""COMPUTED_VALUE"""),"")</f>
        <v/>
      </c>
      <c r="P1225" s="5" t="str">
        <f>IFERROR(__xludf.DUMMYFUNCTION("""COMPUTED_VALUE"""),"")</f>
        <v/>
      </c>
      <c r="Q1225" s="5">
        <f>IFERROR(__xludf.DUMMYFUNCTION("""COMPUTED_VALUE"""),0.007481638888888889)</f>
        <v>0.007481638889</v>
      </c>
      <c r="R1225" s="4">
        <f>IFERROR(__xludf.DUMMYFUNCTION("""COMPUTED_VALUE"""),45949.037408192235)</f>
        <v>45949.03741</v>
      </c>
      <c r="S1225" s="1" t="b">
        <f>IFERROR(__xludf.DUMMYFUNCTION("""COMPUTED_VALUE"""),TRUE)</f>
        <v>1</v>
      </c>
      <c r="T1225" s="1" t="b">
        <f>IFERROR(__xludf.DUMMYFUNCTION("""COMPUTED_VALUE"""),FALSE)</f>
        <v>0</v>
      </c>
      <c r="U1225" s="1" t="str">
        <f>IFERROR(__xludf.DUMMYFUNCTION("""COMPUTED_VALUE"""),"VALID")</f>
        <v>VALID</v>
      </c>
      <c r="V1225" s="1">
        <f>IFERROR(__xludf.DUMMYFUNCTION("""COMPUTED_VALUE"""),231.0)</f>
        <v>231</v>
      </c>
      <c r="W1225" s="1">
        <f>IFERROR(__xludf.DUMMYFUNCTION("""COMPUTED_VALUE"""),1053.0)</f>
        <v>1053</v>
      </c>
      <c r="X1225" s="1">
        <f>IFERROR(__xludf.DUMMYFUNCTION("""COMPUTED_VALUE"""),284.0)</f>
        <v>284</v>
      </c>
      <c r="Y1225" s="2"/>
      <c r="Z1225" s="2"/>
    </row>
    <row r="1226">
      <c r="A1226" s="1">
        <f>IFERROR(__xludf.DUMMYFUNCTION("""COMPUTED_VALUE"""),1225.0)</f>
        <v>1225</v>
      </c>
      <c r="B1226" s="1">
        <f>IFERROR(__xludf.DUMMYFUNCTION("""COMPUTED_VALUE"""),5409.0)</f>
        <v>5409</v>
      </c>
      <c r="C1226" s="2" t="str">
        <f>IFERROR(__xludf.DUMMYFUNCTION("""COMPUTED_VALUE"""),"Bal")</f>
        <v>Bal</v>
      </c>
      <c r="D1226" s="2" t="str">
        <f>IFERROR(__xludf.DUMMYFUNCTION("""COMPUTED_VALUE"""),"5KM OVERALL F")</f>
        <v>5KM OVERALL F</v>
      </c>
      <c r="E1226" s="1">
        <f>IFERROR(__xludf.DUMMYFUNCTION("""COMPUTED_VALUE"""),2.0)</f>
        <v>2</v>
      </c>
      <c r="F1226" s="1" t="str">
        <f>IFERROR(__xludf.DUMMYFUNCTION("""COMPUTED_VALUE"""),"Female")</f>
        <v>Female</v>
      </c>
      <c r="G1226" s="4" t="b">
        <f>IFERROR(__xludf.DUMMYFUNCTION("""COMPUTED_VALUE"""),TRUE)</f>
        <v>1</v>
      </c>
      <c r="H1226" s="4" t="b">
        <f>IFERROR(__xludf.DUMMYFUNCTION("""COMPUTED_VALUE"""),TRUE)</f>
        <v>1</v>
      </c>
      <c r="I1226" s="4">
        <f>IFERROR(__xludf.DUMMYFUNCTION("""COMPUTED_VALUE"""),0.2549440625)</f>
        <v>0.2549440625</v>
      </c>
      <c r="J1226" s="4">
        <f>IFERROR(__xludf.DUMMYFUNCTION("""COMPUTED_VALUE"""),45949.27093995485)</f>
        <v>45949.27094</v>
      </c>
      <c r="K1226" s="4" t="str">
        <f>IFERROR(__xludf.DUMMYFUNCTION("""COMPUTED_VALUE"""),"")</f>
        <v/>
      </c>
      <c r="L1226" s="4">
        <f>IFERROR(__xludf.DUMMYFUNCTION("""COMPUTED_VALUE"""),45949.28235227819)</f>
        <v>45949.28235</v>
      </c>
      <c r="M1226" s="1" t="str">
        <f>IFERROR(__xludf.DUMMYFUNCTION("""COMPUTED_VALUE"""),"RFID")</f>
        <v>RFID</v>
      </c>
      <c r="N1226" s="5">
        <f>IFERROR(__xludf.DUMMYFUNCTION("""COMPUTED_VALUE"""),0.006398356481481482)</f>
        <v>0.006398356481</v>
      </c>
      <c r="O1226" s="5" t="str">
        <f>IFERROR(__xludf.DUMMYFUNCTION("""COMPUTED_VALUE"""),"")</f>
        <v/>
      </c>
      <c r="P1226" s="5" t="str">
        <f>IFERROR(__xludf.DUMMYFUNCTION("""COMPUTED_VALUE"""),"")</f>
        <v/>
      </c>
      <c r="Q1226" s="5">
        <f>IFERROR(__xludf.DUMMYFUNCTION("""COMPUTED_VALUE"""),0.005481643518518519)</f>
        <v>0.005481643519</v>
      </c>
      <c r="R1226" s="4">
        <f>IFERROR(__xludf.DUMMYFUNCTION("""COMPUTED_VALUE"""),45949.02740821569)</f>
        <v>45949.02741</v>
      </c>
      <c r="S1226" s="1" t="b">
        <f>IFERROR(__xludf.DUMMYFUNCTION("""COMPUTED_VALUE"""),TRUE)</f>
        <v>1</v>
      </c>
      <c r="T1226" s="1" t="b">
        <f>IFERROR(__xludf.DUMMYFUNCTION("""COMPUTED_VALUE"""),FALSE)</f>
        <v>0</v>
      </c>
      <c r="U1226" s="1" t="str">
        <f>IFERROR(__xludf.DUMMYFUNCTION("""COMPUTED_VALUE"""),"VALID")</f>
        <v>VALID</v>
      </c>
      <c r="V1226" s="1">
        <f>IFERROR(__xludf.DUMMYFUNCTION("""COMPUTED_VALUE"""),39.0)</f>
        <v>39</v>
      </c>
      <c r="W1226" s="1">
        <f>IFERROR(__xludf.DUMMYFUNCTION("""COMPUTED_VALUE"""),399.0)</f>
        <v>399</v>
      </c>
      <c r="X1226" s="1">
        <f>IFERROR(__xludf.DUMMYFUNCTION("""COMPUTED_VALUE"""),58.0)</f>
        <v>58</v>
      </c>
      <c r="Y1226" s="2"/>
      <c r="Z1226" s="2"/>
    </row>
    <row r="1227">
      <c r="A1227" s="1">
        <f>IFERROR(__xludf.DUMMYFUNCTION("""COMPUTED_VALUE"""),1226.0)</f>
        <v>1226</v>
      </c>
      <c r="B1227" s="1">
        <f>IFERROR(__xludf.DUMMYFUNCTION("""COMPUTED_VALUE"""),5411.0)</f>
        <v>5411</v>
      </c>
      <c r="C1227" s="2" t="str">
        <f>IFERROR(__xludf.DUMMYFUNCTION("""COMPUTED_VALUE"""),"Sonya")</f>
        <v>Sonya</v>
      </c>
      <c r="D1227" s="2" t="str">
        <f>IFERROR(__xludf.DUMMYFUNCTION("""COMPUTED_VALUE"""),"5KM OVERALL F")</f>
        <v>5KM OVERALL F</v>
      </c>
      <c r="E1227" s="1">
        <f>IFERROR(__xludf.DUMMYFUNCTION("""COMPUTED_VALUE"""),2.0)</f>
        <v>2</v>
      </c>
      <c r="F1227" s="1" t="str">
        <f>IFERROR(__xludf.DUMMYFUNCTION("""COMPUTED_VALUE"""),"Female")</f>
        <v>Female</v>
      </c>
      <c r="G1227" s="4" t="b">
        <f>IFERROR(__xludf.DUMMYFUNCTION("""COMPUTED_VALUE"""),TRUE)</f>
        <v>1</v>
      </c>
      <c r="H1227" s="4" t="b">
        <f>IFERROR(__xludf.DUMMYFUNCTION("""COMPUTED_VALUE"""),FALSE)</f>
        <v>0</v>
      </c>
      <c r="I1227" s="4">
        <f>IFERROR(__xludf.DUMMYFUNCTION("""COMPUTED_VALUE"""),0.2549440625)</f>
        <v>0.2549440625</v>
      </c>
      <c r="J1227" s="4">
        <f>IFERROR(__xludf.DUMMYFUNCTION("""COMPUTED_VALUE"""),45949.274752387)</f>
        <v>45949.27475</v>
      </c>
      <c r="K1227" s="4" t="str">
        <f>IFERROR(__xludf.DUMMYFUNCTION("""COMPUTED_VALUE"""),"")</f>
        <v/>
      </c>
      <c r="L1227" s="4">
        <f>IFERROR(__xludf.DUMMYFUNCTION("""COMPUTED_VALUE"""),45949.28984532677)</f>
        <v>45949.28985</v>
      </c>
      <c r="M1227" s="1" t="str">
        <f>IFERROR(__xludf.DUMMYFUNCTION("""COMPUTED_VALUE"""),"RFID")</f>
        <v>RFID</v>
      </c>
      <c r="N1227" s="5">
        <f>IFERROR(__xludf.DUMMYFUNCTION("""COMPUTED_VALUE"""),0.007923328703703703)</f>
        <v>0.007923328704</v>
      </c>
      <c r="O1227" s="5" t="str">
        <f>IFERROR(__xludf.DUMMYFUNCTION("""COMPUTED_VALUE"""),"")</f>
        <v/>
      </c>
      <c r="P1227" s="5" t="str">
        <f>IFERROR(__xludf.DUMMYFUNCTION("""COMPUTED_VALUE"""),"")</f>
        <v/>
      </c>
      <c r="Q1227" s="5">
        <f>IFERROR(__xludf.DUMMYFUNCTION("""COMPUTED_VALUE"""),0.006980252314814815)</f>
        <v>0.006980252315</v>
      </c>
      <c r="R1227" s="4">
        <f>IFERROR(__xludf.DUMMYFUNCTION("""COMPUTED_VALUE"""),45949.03490126427)</f>
        <v>45949.0349</v>
      </c>
      <c r="S1227" s="1" t="b">
        <f>IFERROR(__xludf.DUMMYFUNCTION("""COMPUTED_VALUE"""),TRUE)</f>
        <v>1</v>
      </c>
      <c r="T1227" s="1" t="b">
        <f>IFERROR(__xludf.DUMMYFUNCTION("""COMPUTED_VALUE"""),FALSE)</f>
        <v>0</v>
      </c>
      <c r="U1227" s="1" t="str">
        <f>IFERROR(__xludf.DUMMYFUNCTION("""COMPUTED_VALUE"""),"VALID")</f>
        <v>VALID</v>
      </c>
      <c r="V1227" s="1">
        <f>IFERROR(__xludf.DUMMYFUNCTION("""COMPUTED_VALUE"""),160.0)</f>
        <v>160</v>
      </c>
      <c r="W1227" s="1">
        <f>IFERROR(__xludf.DUMMYFUNCTION("""COMPUTED_VALUE"""),884.0)</f>
        <v>884</v>
      </c>
      <c r="X1227" s="1">
        <f>IFERROR(__xludf.DUMMYFUNCTION("""COMPUTED_VALUE"""),200.0)</f>
        <v>200</v>
      </c>
      <c r="Y1227" s="2"/>
      <c r="Z1227" s="2"/>
    </row>
    <row r="1228">
      <c r="A1228" s="1">
        <f>IFERROR(__xludf.DUMMYFUNCTION("""COMPUTED_VALUE"""),1227.0)</f>
        <v>1227</v>
      </c>
      <c r="B1228" s="1">
        <f>IFERROR(__xludf.DUMMYFUNCTION("""COMPUTED_VALUE"""),5412.0)</f>
        <v>5412</v>
      </c>
      <c r="C1228" s="2" t="str">
        <f>IFERROR(__xludf.DUMMYFUNCTION("""COMPUTED_VALUE"""),"Bella")</f>
        <v>Bella</v>
      </c>
      <c r="D1228" s="2" t="str">
        <f>IFERROR(__xludf.DUMMYFUNCTION("""COMPUTED_VALUE"""),"5KM OVERALL F")</f>
        <v>5KM OVERALL F</v>
      </c>
      <c r="E1228" s="1">
        <f>IFERROR(__xludf.DUMMYFUNCTION("""COMPUTED_VALUE"""),2.0)</f>
        <v>2</v>
      </c>
      <c r="F1228" s="1" t="str">
        <f>IFERROR(__xludf.DUMMYFUNCTION("""COMPUTED_VALUE"""),"Female")</f>
        <v>Female</v>
      </c>
      <c r="G1228" s="4" t="str">
        <f>IFERROR(__xludf.DUMMYFUNCTION("""COMPUTED_VALUE"""),"")</f>
        <v/>
      </c>
      <c r="H1228" s="4" t="b">
        <f>IFERROR(__xludf.DUMMYFUNCTION("""COMPUTED_VALUE"""),FALSE)</f>
        <v>0</v>
      </c>
      <c r="I1228" s="4">
        <f>IFERROR(__xludf.DUMMYFUNCTION("""COMPUTED_VALUE"""),0.2549440625)</f>
        <v>0.2549440625</v>
      </c>
      <c r="J1228" s="4" t="str">
        <f>IFERROR(__xludf.DUMMYFUNCTION("""COMPUTED_VALUE"""),"")</f>
        <v/>
      </c>
      <c r="K1228" s="4" t="str">
        <f>IFERROR(__xludf.DUMMYFUNCTION("""COMPUTED_VALUE"""),"")</f>
        <v/>
      </c>
      <c r="L1228" s="4" t="str">
        <f>IFERROR(__xludf.DUMMYFUNCTION("""COMPUTED_VALUE"""),"")</f>
        <v/>
      </c>
      <c r="M1228" s="1" t="str">
        <f>IFERROR(__xludf.DUMMYFUNCTION("""COMPUTED_VALUE"""),"RFID")</f>
        <v>RFID</v>
      </c>
      <c r="N1228" s="5" t="str">
        <f>IFERROR(__xludf.DUMMYFUNCTION("""COMPUTED_VALUE"""),"")</f>
        <v/>
      </c>
      <c r="O1228" s="5" t="str">
        <f>IFERROR(__xludf.DUMMYFUNCTION("""COMPUTED_VALUE"""),"")</f>
        <v/>
      </c>
      <c r="P1228" s="5" t="str">
        <f>IFERROR(__xludf.DUMMYFUNCTION("""COMPUTED_VALUE"""),"")</f>
        <v/>
      </c>
      <c r="Q1228" s="5" t="str">
        <f>IFERROR(__xludf.DUMMYFUNCTION("""COMPUTED_VALUE"""),"")</f>
        <v/>
      </c>
      <c r="R1228" s="4" t="str">
        <f>IFERROR(__xludf.DUMMYFUNCTION("""COMPUTED_VALUE"""),"")</f>
        <v/>
      </c>
      <c r="S1228" s="1" t="b">
        <f>IFERROR(__xludf.DUMMYFUNCTION("""COMPUTED_VALUE"""),FALSE)</f>
        <v>0</v>
      </c>
      <c r="T1228" s="1" t="b">
        <f>IFERROR(__xludf.DUMMYFUNCTION("""COMPUTED_VALUE"""),FALSE)</f>
        <v>0</v>
      </c>
      <c r="U1228" s="1" t="str">
        <f>IFERROR(__xludf.DUMMYFUNCTION("""COMPUTED_VALUE"""),"DSQ")</f>
        <v>DSQ</v>
      </c>
      <c r="V1228" s="1" t="str">
        <f>IFERROR(__xludf.DUMMYFUNCTION("""COMPUTED_VALUE"""),"DSQ")</f>
        <v>DSQ</v>
      </c>
      <c r="W1228" s="1" t="str">
        <f>IFERROR(__xludf.DUMMYFUNCTION("""COMPUTED_VALUE"""),"DSQ")</f>
        <v>DSQ</v>
      </c>
      <c r="X1228" s="1" t="str">
        <f>IFERROR(__xludf.DUMMYFUNCTION("""COMPUTED_VALUE"""),"DSQ")</f>
        <v>DSQ</v>
      </c>
      <c r="Y1228" s="2"/>
      <c r="Z1228" s="2" t="str">
        <f>IFERROR(__xludf.DUMMYFUNCTION("""COMPUTED_VALUE"""),"")</f>
        <v/>
      </c>
    </row>
    <row r="1229">
      <c r="A1229" s="1">
        <f>IFERROR(__xludf.DUMMYFUNCTION("""COMPUTED_VALUE"""),1228.0)</f>
        <v>1228</v>
      </c>
      <c r="B1229" s="1">
        <f>IFERROR(__xludf.DUMMYFUNCTION("""COMPUTED_VALUE"""),5413.0)</f>
        <v>5413</v>
      </c>
      <c r="C1229" s="2" t="str">
        <f>IFERROR(__xludf.DUMMYFUNCTION("""COMPUTED_VALUE"""),"LUSI INTI R")</f>
        <v>LUSI INTI R</v>
      </c>
      <c r="D1229" s="2" t="str">
        <f>IFERROR(__xludf.DUMMYFUNCTION("""COMPUTED_VALUE"""),"5KM OVERALL F")</f>
        <v>5KM OVERALL F</v>
      </c>
      <c r="E1229" s="1">
        <f>IFERROR(__xludf.DUMMYFUNCTION("""COMPUTED_VALUE"""),2.0)</f>
        <v>2</v>
      </c>
      <c r="F1229" s="1" t="str">
        <f>IFERROR(__xludf.DUMMYFUNCTION("""COMPUTED_VALUE"""),"Female")</f>
        <v>Female</v>
      </c>
      <c r="G1229" s="4" t="b">
        <f>IFERROR(__xludf.DUMMYFUNCTION("""COMPUTED_VALUE"""),TRUE)</f>
        <v>1</v>
      </c>
      <c r="H1229" s="4" t="b">
        <f>IFERROR(__xludf.DUMMYFUNCTION("""COMPUTED_VALUE"""),FALSE)</f>
        <v>0</v>
      </c>
      <c r="I1229" s="4">
        <f>IFERROR(__xludf.DUMMYFUNCTION("""COMPUTED_VALUE"""),0.2549440625)</f>
        <v>0.2549440625</v>
      </c>
      <c r="J1229" s="4">
        <f>IFERROR(__xludf.DUMMYFUNCTION("""COMPUTED_VALUE"""),45949.26855446152)</f>
        <v>45949.26855</v>
      </c>
      <c r="K1229" s="4" t="str">
        <f>IFERROR(__xludf.DUMMYFUNCTION("""COMPUTED_VALUE"""),"")</f>
        <v/>
      </c>
      <c r="L1229" s="4">
        <f>IFERROR(__xludf.DUMMYFUNCTION("""COMPUTED_VALUE"""),45949.27960574794)</f>
        <v>45949.27961</v>
      </c>
      <c r="M1229" s="1" t="str">
        <f>IFERROR(__xludf.DUMMYFUNCTION("""COMPUTED_VALUE"""),"RFID")</f>
        <v>RFID</v>
      </c>
      <c r="N1229" s="5">
        <f>IFERROR(__xludf.DUMMYFUNCTION("""COMPUTED_VALUE"""),0.005444157407407408)</f>
        <v>0.005444157407</v>
      </c>
      <c r="O1229" s="5" t="str">
        <f>IFERROR(__xludf.DUMMYFUNCTION("""COMPUTED_VALUE"""),"")</f>
        <v/>
      </c>
      <c r="P1229" s="5" t="str">
        <f>IFERROR(__xludf.DUMMYFUNCTION("""COMPUTED_VALUE"""),"")</f>
        <v/>
      </c>
      <c r="Q1229" s="5">
        <f>IFERROR(__xludf.DUMMYFUNCTION("""COMPUTED_VALUE"""),0.004932337962962963)</f>
        <v>0.004932337963</v>
      </c>
      <c r="R1229" s="4">
        <f>IFERROR(__xludf.DUMMYFUNCTION("""COMPUTED_VALUE"""),45949.02466168544)</f>
        <v>45949.02466</v>
      </c>
      <c r="S1229" s="1" t="b">
        <f>IFERROR(__xludf.DUMMYFUNCTION("""COMPUTED_VALUE"""),TRUE)</f>
        <v>1</v>
      </c>
      <c r="T1229" s="1" t="b">
        <f>IFERROR(__xludf.DUMMYFUNCTION("""COMPUTED_VALUE"""),FALSE)</f>
        <v>0</v>
      </c>
      <c r="U1229" s="1" t="str">
        <f>IFERROR(__xludf.DUMMYFUNCTION("""COMPUTED_VALUE"""),"VALID")</f>
        <v>VALID</v>
      </c>
      <c r="V1229" s="1">
        <f>IFERROR(__xludf.DUMMYFUNCTION("""COMPUTED_VALUE"""),23.0)</f>
        <v>23</v>
      </c>
      <c r="W1229" s="1">
        <f>IFERROR(__xludf.DUMMYFUNCTION("""COMPUTED_VALUE"""),271.0)</f>
        <v>271</v>
      </c>
      <c r="X1229" s="1">
        <f>IFERROR(__xludf.DUMMYFUNCTION("""COMPUTED_VALUE"""),35.0)</f>
        <v>35</v>
      </c>
      <c r="Y1229" s="2"/>
      <c r="Z1229" s="2"/>
    </row>
    <row r="1230">
      <c r="A1230" s="1">
        <f>IFERROR(__xludf.DUMMYFUNCTION("""COMPUTED_VALUE"""),1229.0)</f>
        <v>1229</v>
      </c>
      <c r="B1230" s="1">
        <f>IFERROR(__xludf.DUMMYFUNCTION("""COMPUTED_VALUE"""),5416.0)</f>
        <v>5416</v>
      </c>
      <c r="C1230" s="2" t="str">
        <f>IFERROR(__xludf.DUMMYFUNCTION("""COMPUTED_VALUE"""),"Amoy")</f>
        <v>Amoy</v>
      </c>
      <c r="D1230" s="2" t="str">
        <f>IFERROR(__xludf.DUMMYFUNCTION("""COMPUTED_VALUE"""),"5KM OVERALL F")</f>
        <v>5KM OVERALL F</v>
      </c>
      <c r="E1230" s="1">
        <f>IFERROR(__xludf.DUMMYFUNCTION("""COMPUTED_VALUE"""),2.0)</f>
        <v>2</v>
      </c>
      <c r="F1230" s="1" t="str">
        <f>IFERROR(__xludf.DUMMYFUNCTION("""COMPUTED_VALUE"""),"Female")</f>
        <v>Female</v>
      </c>
      <c r="G1230" s="4" t="str">
        <f>IFERROR(__xludf.DUMMYFUNCTION("""COMPUTED_VALUE"""),"")</f>
        <v/>
      </c>
      <c r="H1230" s="4" t="b">
        <f>IFERROR(__xludf.DUMMYFUNCTION("""COMPUTED_VALUE"""),FALSE)</f>
        <v>0</v>
      </c>
      <c r="I1230" s="4">
        <f>IFERROR(__xludf.DUMMYFUNCTION("""COMPUTED_VALUE"""),0.2549440625)</f>
        <v>0.2549440625</v>
      </c>
      <c r="J1230" s="4" t="str">
        <f>IFERROR(__xludf.DUMMYFUNCTION("""COMPUTED_VALUE"""),"")</f>
        <v/>
      </c>
      <c r="K1230" s="4" t="str">
        <f>IFERROR(__xludf.DUMMYFUNCTION("""COMPUTED_VALUE"""),"")</f>
        <v/>
      </c>
      <c r="L1230" s="4" t="str">
        <f>IFERROR(__xludf.DUMMYFUNCTION("""COMPUTED_VALUE"""),"")</f>
        <v/>
      </c>
      <c r="M1230" s="1" t="str">
        <f>IFERROR(__xludf.DUMMYFUNCTION("""COMPUTED_VALUE"""),"RFID")</f>
        <v>RFID</v>
      </c>
      <c r="N1230" s="5" t="str">
        <f>IFERROR(__xludf.DUMMYFUNCTION("""COMPUTED_VALUE"""),"")</f>
        <v/>
      </c>
      <c r="O1230" s="5" t="str">
        <f>IFERROR(__xludf.DUMMYFUNCTION("""COMPUTED_VALUE"""),"")</f>
        <v/>
      </c>
      <c r="P1230" s="5" t="str">
        <f>IFERROR(__xludf.DUMMYFUNCTION("""COMPUTED_VALUE"""),"")</f>
        <v/>
      </c>
      <c r="Q1230" s="5" t="str">
        <f>IFERROR(__xludf.DUMMYFUNCTION("""COMPUTED_VALUE"""),"")</f>
        <v/>
      </c>
      <c r="R1230" s="4" t="str">
        <f>IFERROR(__xludf.DUMMYFUNCTION("""COMPUTED_VALUE"""),"")</f>
        <v/>
      </c>
      <c r="S1230" s="1" t="b">
        <f>IFERROR(__xludf.DUMMYFUNCTION("""COMPUTED_VALUE"""),FALSE)</f>
        <v>0</v>
      </c>
      <c r="T1230" s="1" t="b">
        <f>IFERROR(__xludf.DUMMYFUNCTION("""COMPUTED_VALUE"""),FALSE)</f>
        <v>0</v>
      </c>
      <c r="U1230" s="1" t="str">
        <f>IFERROR(__xludf.DUMMYFUNCTION("""COMPUTED_VALUE"""),"DSQ")</f>
        <v>DSQ</v>
      </c>
      <c r="V1230" s="1" t="str">
        <f>IFERROR(__xludf.DUMMYFUNCTION("""COMPUTED_VALUE"""),"DSQ")</f>
        <v>DSQ</v>
      </c>
      <c r="W1230" s="1" t="str">
        <f>IFERROR(__xludf.DUMMYFUNCTION("""COMPUTED_VALUE"""),"DSQ")</f>
        <v>DSQ</v>
      </c>
      <c r="X1230" s="1" t="str">
        <f>IFERROR(__xludf.DUMMYFUNCTION("""COMPUTED_VALUE"""),"DSQ")</f>
        <v>DSQ</v>
      </c>
      <c r="Y1230" s="2"/>
      <c r="Z1230" s="2" t="str">
        <f>IFERROR(__xludf.DUMMYFUNCTION("""COMPUTED_VALUE"""),"")</f>
        <v/>
      </c>
    </row>
    <row r="1231">
      <c r="A1231" s="1">
        <f>IFERROR(__xludf.DUMMYFUNCTION("""COMPUTED_VALUE"""),1230.0)</f>
        <v>1230</v>
      </c>
      <c r="B1231" s="1">
        <f>IFERROR(__xludf.DUMMYFUNCTION("""COMPUTED_VALUE"""),5423.0)</f>
        <v>5423</v>
      </c>
      <c r="C1231" s="2" t="str">
        <f>IFERROR(__xludf.DUMMYFUNCTION("""COMPUTED_VALUE"""),"fiqa")</f>
        <v>fiqa</v>
      </c>
      <c r="D1231" s="2" t="str">
        <f>IFERROR(__xludf.DUMMYFUNCTION("""COMPUTED_VALUE"""),"5KM OVERALL F")</f>
        <v>5KM OVERALL F</v>
      </c>
      <c r="E1231" s="1">
        <f>IFERROR(__xludf.DUMMYFUNCTION("""COMPUTED_VALUE"""),2.0)</f>
        <v>2</v>
      </c>
      <c r="F1231" s="1" t="str">
        <f>IFERROR(__xludf.DUMMYFUNCTION("""COMPUTED_VALUE"""),"Female")</f>
        <v>Female</v>
      </c>
      <c r="G1231" s="4" t="b">
        <f>IFERROR(__xludf.DUMMYFUNCTION("""COMPUTED_VALUE"""),TRUE)</f>
        <v>1</v>
      </c>
      <c r="H1231" s="4" t="b">
        <f>IFERROR(__xludf.DUMMYFUNCTION("""COMPUTED_VALUE"""),FALSE)</f>
        <v>0</v>
      </c>
      <c r="I1231" s="4">
        <f>IFERROR(__xludf.DUMMYFUNCTION("""COMPUTED_VALUE"""),0.2549440625)</f>
        <v>0.2549440625</v>
      </c>
      <c r="J1231" s="4">
        <f>IFERROR(__xludf.DUMMYFUNCTION("""COMPUTED_VALUE"""),45949.27659960551)</f>
        <v>45949.2766</v>
      </c>
      <c r="K1231" s="4" t="str">
        <f>IFERROR(__xludf.DUMMYFUNCTION("""COMPUTED_VALUE"""),"")</f>
        <v/>
      </c>
      <c r="L1231" s="4">
        <f>IFERROR(__xludf.DUMMYFUNCTION("""COMPUTED_VALUE"""),45949.29205365774)</f>
        <v>45949.29205</v>
      </c>
      <c r="M1231" s="1" t="str">
        <f>IFERROR(__xludf.DUMMYFUNCTION("""COMPUTED_VALUE"""),"RFID")</f>
        <v>RFID</v>
      </c>
      <c r="N1231" s="5">
        <f>IFERROR(__xludf.DUMMYFUNCTION("""COMPUTED_VALUE"""),0.008662217592592593)</f>
        <v>0.008662217593</v>
      </c>
      <c r="O1231" s="5" t="str">
        <f>IFERROR(__xludf.DUMMYFUNCTION("""COMPUTED_VALUE"""),"")</f>
        <v/>
      </c>
      <c r="P1231" s="5" t="str">
        <f>IFERROR(__xludf.DUMMYFUNCTION("""COMPUTED_VALUE"""),"")</f>
        <v/>
      </c>
      <c r="Q1231" s="5">
        <f>IFERROR(__xludf.DUMMYFUNCTION("""COMPUTED_VALUE"""),0.007421918981481481)</f>
        <v>0.007421918981</v>
      </c>
      <c r="R1231" s="4">
        <f>IFERROR(__xludf.DUMMYFUNCTION("""COMPUTED_VALUE"""),45949.037109595236)</f>
        <v>45949.03711</v>
      </c>
      <c r="S1231" s="1" t="b">
        <f>IFERROR(__xludf.DUMMYFUNCTION("""COMPUTED_VALUE"""),TRUE)</f>
        <v>1</v>
      </c>
      <c r="T1231" s="1" t="b">
        <f>IFERROR(__xludf.DUMMYFUNCTION("""COMPUTED_VALUE"""),FALSE)</f>
        <v>0</v>
      </c>
      <c r="U1231" s="1" t="str">
        <f>IFERROR(__xludf.DUMMYFUNCTION("""COMPUTED_VALUE"""),"VALID")</f>
        <v>VALID</v>
      </c>
      <c r="V1231" s="1">
        <f>IFERROR(__xludf.DUMMYFUNCTION("""COMPUTED_VALUE"""),223.0)</f>
        <v>223</v>
      </c>
      <c r="W1231" s="1">
        <f>IFERROR(__xludf.DUMMYFUNCTION("""COMPUTED_VALUE"""),1035.0)</f>
        <v>1035</v>
      </c>
      <c r="X1231" s="1">
        <f>IFERROR(__xludf.DUMMYFUNCTION("""COMPUTED_VALUE"""),275.0)</f>
        <v>275</v>
      </c>
      <c r="Y1231" s="2"/>
      <c r="Z1231" s="2"/>
    </row>
    <row r="1232">
      <c r="A1232" s="1">
        <f>IFERROR(__xludf.DUMMYFUNCTION("""COMPUTED_VALUE"""),1231.0)</f>
        <v>1231</v>
      </c>
      <c r="B1232" s="1">
        <f>IFERROR(__xludf.DUMMYFUNCTION("""COMPUTED_VALUE"""),5427.0)</f>
        <v>5427</v>
      </c>
      <c r="C1232" s="2" t="str">
        <f>IFERROR(__xludf.DUMMYFUNCTION("""COMPUTED_VALUE"""),"NOVA")</f>
        <v>NOVA</v>
      </c>
      <c r="D1232" s="2" t="str">
        <f>IFERROR(__xludf.DUMMYFUNCTION("""COMPUTED_VALUE"""),"5KM OVERALL F")</f>
        <v>5KM OVERALL F</v>
      </c>
      <c r="E1232" s="1">
        <f>IFERROR(__xludf.DUMMYFUNCTION("""COMPUTED_VALUE"""),2.0)</f>
        <v>2</v>
      </c>
      <c r="F1232" s="1" t="str">
        <f>IFERROR(__xludf.DUMMYFUNCTION("""COMPUTED_VALUE"""),"Female")</f>
        <v>Female</v>
      </c>
      <c r="G1232" s="4" t="b">
        <f>IFERROR(__xludf.DUMMYFUNCTION("""COMPUTED_VALUE"""),TRUE)</f>
        <v>1</v>
      </c>
      <c r="H1232" s="4" t="b">
        <f>IFERROR(__xludf.DUMMYFUNCTION("""COMPUTED_VALUE"""),TRUE)</f>
        <v>1</v>
      </c>
      <c r="I1232" s="4">
        <f>IFERROR(__xludf.DUMMYFUNCTION("""COMPUTED_VALUE"""),0.2549440625)</f>
        <v>0.2549440625</v>
      </c>
      <c r="J1232" s="4">
        <f>IFERROR(__xludf.DUMMYFUNCTION("""COMPUTED_VALUE"""),45949.27836005705)</f>
        <v>45949.27836</v>
      </c>
      <c r="K1232" s="4" t="str">
        <f>IFERROR(__xludf.DUMMYFUNCTION("""COMPUTED_VALUE"""),"")</f>
        <v/>
      </c>
      <c r="L1232" s="4">
        <f>IFERROR(__xludf.DUMMYFUNCTION("""COMPUTED_VALUE"""),45949.29599461951)</f>
        <v>45949.29599</v>
      </c>
      <c r="M1232" s="1" t="str">
        <f>IFERROR(__xludf.DUMMYFUNCTION("""COMPUTED_VALUE"""),"RFID")</f>
        <v>RFID</v>
      </c>
      <c r="N1232" s="5">
        <f>IFERROR(__xludf.DUMMYFUNCTION("""COMPUTED_VALUE"""),0.009366398148148148)</f>
        <v>0.009366398148</v>
      </c>
      <c r="O1232" s="5" t="str">
        <f>IFERROR(__xludf.DUMMYFUNCTION("""COMPUTED_VALUE"""),"")</f>
        <v/>
      </c>
      <c r="P1232" s="5" t="str">
        <f>IFERROR(__xludf.DUMMYFUNCTION("""COMPUTED_VALUE"""),"")</f>
        <v/>
      </c>
      <c r="Q1232" s="5">
        <f>IFERROR(__xludf.DUMMYFUNCTION("""COMPUTED_VALUE"""),0.00821011111111111)</f>
        <v>0.008210111111</v>
      </c>
      <c r="R1232" s="4">
        <f>IFERROR(__xludf.DUMMYFUNCTION("""COMPUTED_VALUE"""),45949.04105055701)</f>
        <v>45949.04105</v>
      </c>
      <c r="S1232" s="1" t="b">
        <f>IFERROR(__xludf.DUMMYFUNCTION("""COMPUTED_VALUE"""),TRUE)</f>
        <v>1</v>
      </c>
      <c r="T1232" s="1" t="b">
        <f>IFERROR(__xludf.DUMMYFUNCTION("""COMPUTED_VALUE"""),FALSE)</f>
        <v>0</v>
      </c>
      <c r="U1232" s="1" t="str">
        <f>IFERROR(__xludf.DUMMYFUNCTION("""COMPUTED_VALUE"""),"VALID")</f>
        <v>VALID</v>
      </c>
      <c r="V1232" s="1">
        <f>IFERROR(__xludf.DUMMYFUNCTION("""COMPUTED_VALUE"""),342.0)</f>
        <v>342</v>
      </c>
      <c r="W1232" s="1">
        <f>IFERROR(__xludf.DUMMYFUNCTION("""COMPUTED_VALUE"""),1290.0)</f>
        <v>1290</v>
      </c>
      <c r="X1232" s="1">
        <f>IFERROR(__xludf.DUMMYFUNCTION("""COMPUTED_VALUE"""),414.0)</f>
        <v>414</v>
      </c>
      <c r="Y1232" s="2"/>
      <c r="Z1232" s="2"/>
    </row>
    <row r="1233">
      <c r="A1233" s="1">
        <f>IFERROR(__xludf.DUMMYFUNCTION("""COMPUTED_VALUE"""),1232.0)</f>
        <v>1232</v>
      </c>
      <c r="B1233" s="1">
        <f>IFERROR(__xludf.DUMMYFUNCTION("""COMPUTED_VALUE"""),5428.0)</f>
        <v>5428</v>
      </c>
      <c r="C1233" s="2" t="str">
        <f>IFERROR(__xludf.DUMMYFUNCTION("""COMPUTED_VALUE"""),"Gusti Ayu")</f>
        <v>Gusti Ayu</v>
      </c>
      <c r="D1233" s="2" t="str">
        <f>IFERROR(__xludf.DUMMYFUNCTION("""COMPUTED_VALUE"""),"5KM OVERALL F")</f>
        <v>5KM OVERALL F</v>
      </c>
      <c r="E1233" s="1">
        <f>IFERROR(__xludf.DUMMYFUNCTION("""COMPUTED_VALUE"""),2.0)</f>
        <v>2</v>
      </c>
      <c r="F1233" s="1" t="str">
        <f>IFERROR(__xludf.DUMMYFUNCTION("""COMPUTED_VALUE"""),"Female")</f>
        <v>Female</v>
      </c>
      <c r="G1233" s="4" t="str">
        <f>IFERROR(__xludf.DUMMYFUNCTION("""COMPUTED_VALUE"""),"")</f>
        <v/>
      </c>
      <c r="H1233" s="4" t="b">
        <f>IFERROR(__xludf.DUMMYFUNCTION("""COMPUTED_VALUE"""),FALSE)</f>
        <v>0</v>
      </c>
      <c r="I1233" s="4">
        <f>IFERROR(__xludf.DUMMYFUNCTION("""COMPUTED_VALUE"""),0.2549440625)</f>
        <v>0.2549440625</v>
      </c>
      <c r="J1233" s="4" t="str">
        <f>IFERROR(__xludf.DUMMYFUNCTION("""COMPUTED_VALUE"""),"")</f>
        <v/>
      </c>
      <c r="K1233" s="4" t="str">
        <f>IFERROR(__xludf.DUMMYFUNCTION("""COMPUTED_VALUE"""),"")</f>
        <v/>
      </c>
      <c r="L1233" s="4" t="str">
        <f>IFERROR(__xludf.DUMMYFUNCTION("""COMPUTED_VALUE"""),"")</f>
        <v/>
      </c>
      <c r="M1233" s="1" t="str">
        <f>IFERROR(__xludf.DUMMYFUNCTION("""COMPUTED_VALUE"""),"RFID")</f>
        <v>RFID</v>
      </c>
      <c r="N1233" s="5" t="str">
        <f>IFERROR(__xludf.DUMMYFUNCTION("""COMPUTED_VALUE"""),"")</f>
        <v/>
      </c>
      <c r="O1233" s="5" t="str">
        <f>IFERROR(__xludf.DUMMYFUNCTION("""COMPUTED_VALUE"""),"")</f>
        <v/>
      </c>
      <c r="P1233" s="5" t="str">
        <f>IFERROR(__xludf.DUMMYFUNCTION("""COMPUTED_VALUE"""),"")</f>
        <v/>
      </c>
      <c r="Q1233" s="5" t="str">
        <f>IFERROR(__xludf.DUMMYFUNCTION("""COMPUTED_VALUE"""),"")</f>
        <v/>
      </c>
      <c r="R1233" s="4" t="str">
        <f>IFERROR(__xludf.DUMMYFUNCTION("""COMPUTED_VALUE"""),"")</f>
        <v/>
      </c>
      <c r="S1233" s="1" t="b">
        <f>IFERROR(__xludf.DUMMYFUNCTION("""COMPUTED_VALUE"""),FALSE)</f>
        <v>0</v>
      </c>
      <c r="T1233" s="1" t="b">
        <f>IFERROR(__xludf.DUMMYFUNCTION("""COMPUTED_VALUE"""),FALSE)</f>
        <v>0</v>
      </c>
      <c r="U1233" s="1" t="str">
        <f>IFERROR(__xludf.DUMMYFUNCTION("""COMPUTED_VALUE"""),"DSQ")</f>
        <v>DSQ</v>
      </c>
      <c r="V1233" s="1" t="str">
        <f>IFERROR(__xludf.DUMMYFUNCTION("""COMPUTED_VALUE"""),"DSQ")</f>
        <v>DSQ</v>
      </c>
      <c r="W1233" s="1" t="str">
        <f>IFERROR(__xludf.DUMMYFUNCTION("""COMPUTED_VALUE"""),"DSQ")</f>
        <v>DSQ</v>
      </c>
      <c r="X1233" s="1" t="str">
        <f>IFERROR(__xludf.DUMMYFUNCTION("""COMPUTED_VALUE"""),"DSQ")</f>
        <v>DSQ</v>
      </c>
      <c r="Y1233" s="2"/>
      <c r="Z1233" s="2" t="str">
        <f>IFERROR(__xludf.DUMMYFUNCTION("""COMPUTED_VALUE"""),"")</f>
        <v/>
      </c>
    </row>
    <row r="1234">
      <c r="A1234" s="1">
        <f>IFERROR(__xludf.DUMMYFUNCTION("""COMPUTED_VALUE"""),1233.0)</f>
        <v>1233</v>
      </c>
      <c r="B1234" s="1">
        <f>IFERROR(__xludf.DUMMYFUNCTION("""COMPUTED_VALUE"""),5429.0)</f>
        <v>5429</v>
      </c>
      <c r="C1234" s="2" t="str">
        <f>IFERROR(__xludf.DUMMYFUNCTION("""COMPUTED_VALUE"""),"LESTARI")</f>
        <v>LESTARI</v>
      </c>
      <c r="D1234" s="2" t="str">
        <f>IFERROR(__xludf.DUMMYFUNCTION("""COMPUTED_VALUE"""),"5KM OVERALL F")</f>
        <v>5KM OVERALL F</v>
      </c>
      <c r="E1234" s="1">
        <f>IFERROR(__xludf.DUMMYFUNCTION("""COMPUTED_VALUE"""),2.0)</f>
        <v>2</v>
      </c>
      <c r="F1234" s="1" t="str">
        <f>IFERROR(__xludf.DUMMYFUNCTION("""COMPUTED_VALUE"""),"Female")</f>
        <v>Female</v>
      </c>
      <c r="G1234" s="4" t="str">
        <f>IFERROR(__xludf.DUMMYFUNCTION("""COMPUTED_VALUE"""),"")</f>
        <v/>
      </c>
      <c r="H1234" s="4" t="b">
        <f>IFERROR(__xludf.DUMMYFUNCTION("""COMPUTED_VALUE"""),FALSE)</f>
        <v>0</v>
      </c>
      <c r="I1234" s="4">
        <f>IFERROR(__xludf.DUMMYFUNCTION("""COMPUTED_VALUE"""),0.2549440625)</f>
        <v>0.2549440625</v>
      </c>
      <c r="J1234" s="4" t="str">
        <f>IFERROR(__xludf.DUMMYFUNCTION("""COMPUTED_VALUE"""),"")</f>
        <v/>
      </c>
      <c r="K1234" s="4" t="str">
        <f>IFERROR(__xludf.DUMMYFUNCTION("""COMPUTED_VALUE"""),"")</f>
        <v/>
      </c>
      <c r="L1234" s="4" t="str">
        <f>IFERROR(__xludf.DUMMYFUNCTION("""COMPUTED_VALUE"""),"")</f>
        <v/>
      </c>
      <c r="M1234" s="1" t="str">
        <f>IFERROR(__xludf.DUMMYFUNCTION("""COMPUTED_VALUE"""),"RFID")</f>
        <v>RFID</v>
      </c>
      <c r="N1234" s="5" t="str">
        <f>IFERROR(__xludf.DUMMYFUNCTION("""COMPUTED_VALUE"""),"")</f>
        <v/>
      </c>
      <c r="O1234" s="5" t="str">
        <f>IFERROR(__xludf.DUMMYFUNCTION("""COMPUTED_VALUE"""),"")</f>
        <v/>
      </c>
      <c r="P1234" s="5" t="str">
        <f>IFERROR(__xludf.DUMMYFUNCTION("""COMPUTED_VALUE"""),"")</f>
        <v/>
      </c>
      <c r="Q1234" s="5" t="str">
        <f>IFERROR(__xludf.DUMMYFUNCTION("""COMPUTED_VALUE"""),"")</f>
        <v/>
      </c>
      <c r="R1234" s="4" t="str">
        <f>IFERROR(__xludf.DUMMYFUNCTION("""COMPUTED_VALUE"""),"")</f>
        <v/>
      </c>
      <c r="S1234" s="1" t="b">
        <f>IFERROR(__xludf.DUMMYFUNCTION("""COMPUTED_VALUE"""),FALSE)</f>
        <v>0</v>
      </c>
      <c r="T1234" s="1" t="b">
        <f>IFERROR(__xludf.DUMMYFUNCTION("""COMPUTED_VALUE"""),FALSE)</f>
        <v>0</v>
      </c>
      <c r="U1234" s="1" t="str">
        <f>IFERROR(__xludf.DUMMYFUNCTION("""COMPUTED_VALUE"""),"DSQ")</f>
        <v>DSQ</v>
      </c>
      <c r="V1234" s="1" t="str">
        <f>IFERROR(__xludf.DUMMYFUNCTION("""COMPUTED_VALUE"""),"DSQ")</f>
        <v>DSQ</v>
      </c>
      <c r="W1234" s="1" t="str">
        <f>IFERROR(__xludf.DUMMYFUNCTION("""COMPUTED_VALUE"""),"DSQ")</f>
        <v>DSQ</v>
      </c>
      <c r="X1234" s="1" t="str">
        <f>IFERROR(__xludf.DUMMYFUNCTION("""COMPUTED_VALUE"""),"DSQ")</f>
        <v>DSQ</v>
      </c>
      <c r="Y1234" s="2"/>
      <c r="Z1234" s="2" t="str">
        <f>IFERROR(__xludf.DUMMYFUNCTION("""COMPUTED_VALUE"""),"")</f>
        <v/>
      </c>
    </row>
    <row r="1235">
      <c r="A1235" s="1">
        <f>IFERROR(__xludf.DUMMYFUNCTION("""COMPUTED_VALUE"""),1234.0)</f>
        <v>1234</v>
      </c>
      <c r="B1235" s="1">
        <f>IFERROR(__xludf.DUMMYFUNCTION("""COMPUTED_VALUE"""),5433.0)</f>
        <v>5433</v>
      </c>
      <c r="C1235" s="2" t="str">
        <f>IFERROR(__xludf.DUMMYFUNCTION("""COMPUTED_VALUE"""),"Andree")</f>
        <v>Andree</v>
      </c>
      <c r="D1235" s="2" t="str">
        <f>IFERROR(__xludf.DUMMYFUNCTION("""COMPUTED_VALUE"""),"5KM OVERALL F")</f>
        <v>5KM OVERALL F</v>
      </c>
      <c r="E1235" s="1">
        <f>IFERROR(__xludf.DUMMYFUNCTION("""COMPUTED_VALUE"""),2.0)</f>
        <v>2</v>
      </c>
      <c r="F1235" s="1" t="str">
        <f>IFERROR(__xludf.DUMMYFUNCTION("""COMPUTED_VALUE"""),"Female")</f>
        <v>Female</v>
      </c>
      <c r="G1235" s="4" t="b">
        <f>IFERROR(__xludf.DUMMYFUNCTION("""COMPUTED_VALUE"""),TRUE)</f>
        <v>1</v>
      </c>
      <c r="H1235" s="4" t="b">
        <f>IFERROR(__xludf.DUMMYFUNCTION("""COMPUTED_VALUE"""),TRUE)</f>
        <v>1</v>
      </c>
      <c r="I1235" s="4">
        <f>IFERROR(__xludf.DUMMYFUNCTION("""COMPUTED_VALUE"""),0.2549440625)</f>
        <v>0.2549440625</v>
      </c>
      <c r="J1235" s="4">
        <f>IFERROR(__xludf.DUMMYFUNCTION("""COMPUTED_VALUE"""),45949.27523855598)</f>
        <v>45949.27524</v>
      </c>
      <c r="K1235" s="4" t="str">
        <f>IFERROR(__xludf.DUMMYFUNCTION("""COMPUTED_VALUE"""),"")</f>
        <v/>
      </c>
      <c r="L1235" s="4">
        <f>IFERROR(__xludf.DUMMYFUNCTION("""COMPUTED_VALUE"""),45949.29126197424)</f>
        <v>45949.29126</v>
      </c>
      <c r="M1235" s="1" t="str">
        <f>IFERROR(__xludf.DUMMYFUNCTION("""COMPUTED_VALUE"""),"RFID")</f>
        <v>RFID</v>
      </c>
      <c r="N1235" s="5">
        <f>IFERROR(__xludf.DUMMYFUNCTION("""COMPUTED_VALUE"""),0.008117796296296297)</f>
        <v>0.008117796296</v>
      </c>
      <c r="O1235" s="5" t="str">
        <f>IFERROR(__xludf.DUMMYFUNCTION("""COMPUTED_VALUE"""),"")</f>
        <v/>
      </c>
      <c r="P1235" s="5" t="str">
        <f>IFERROR(__xludf.DUMMYFUNCTION("""COMPUTED_VALUE"""),"")</f>
        <v/>
      </c>
      <c r="Q1235" s="5">
        <f>IFERROR(__xludf.DUMMYFUNCTION("""COMPUTED_VALUE"""),0.007263583333333333)</f>
        <v>0.007263583333</v>
      </c>
      <c r="R1235" s="4">
        <f>IFERROR(__xludf.DUMMYFUNCTION("""COMPUTED_VALUE"""),45949.03631791174)</f>
        <v>45949.03632</v>
      </c>
      <c r="S1235" s="1" t="b">
        <f>IFERROR(__xludf.DUMMYFUNCTION("""COMPUTED_VALUE"""),TRUE)</f>
        <v>1</v>
      </c>
      <c r="T1235" s="1" t="b">
        <f>IFERROR(__xludf.DUMMYFUNCTION("""COMPUTED_VALUE"""),FALSE)</f>
        <v>0</v>
      </c>
      <c r="U1235" s="1" t="str">
        <f>IFERROR(__xludf.DUMMYFUNCTION("""COMPUTED_VALUE"""),"VALID")</f>
        <v>VALID</v>
      </c>
      <c r="V1235" s="1">
        <f>IFERROR(__xludf.DUMMYFUNCTION("""COMPUTED_VALUE"""),195.0)</f>
        <v>195</v>
      </c>
      <c r="W1235" s="1">
        <f>IFERROR(__xludf.DUMMYFUNCTION("""COMPUTED_VALUE"""),981.0)</f>
        <v>981</v>
      </c>
      <c r="X1235" s="1">
        <f>IFERROR(__xludf.DUMMYFUNCTION("""COMPUTED_VALUE"""),245.0)</f>
        <v>245</v>
      </c>
      <c r="Y1235" s="2"/>
      <c r="Z1235" s="2"/>
    </row>
    <row r="1236">
      <c r="A1236" s="1">
        <f>IFERROR(__xludf.DUMMYFUNCTION("""COMPUTED_VALUE"""),1235.0)</f>
        <v>1235</v>
      </c>
      <c r="B1236" s="1">
        <f>IFERROR(__xludf.DUMMYFUNCTION("""COMPUTED_VALUE"""),5434.0)</f>
        <v>5434</v>
      </c>
      <c r="C1236" s="2" t="str">
        <f>IFERROR(__xludf.DUMMYFUNCTION("""COMPUTED_VALUE"""),"VIA")</f>
        <v>VIA</v>
      </c>
      <c r="D1236" s="2" t="str">
        <f>IFERROR(__xludf.DUMMYFUNCTION("""COMPUTED_VALUE"""),"5KM OVERALL F")</f>
        <v>5KM OVERALL F</v>
      </c>
      <c r="E1236" s="1">
        <f>IFERROR(__xludf.DUMMYFUNCTION("""COMPUTED_VALUE"""),2.0)</f>
        <v>2</v>
      </c>
      <c r="F1236" s="1" t="str">
        <f>IFERROR(__xludf.DUMMYFUNCTION("""COMPUTED_VALUE"""),"Female")</f>
        <v>Female</v>
      </c>
      <c r="G1236" s="4" t="b">
        <f>IFERROR(__xludf.DUMMYFUNCTION("""COMPUTED_VALUE"""),TRUE)</f>
        <v>1</v>
      </c>
      <c r="H1236" s="4" t="b">
        <f>IFERROR(__xludf.DUMMYFUNCTION("""COMPUTED_VALUE"""),FALSE)</f>
        <v>0</v>
      </c>
      <c r="I1236" s="4">
        <f>IFERROR(__xludf.DUMMYFUNCTION("""COMPUTED_VALUE"""),0.2549440625)</f>
        <v>0.2549440625</v>
      </c>
      <c r="J1236" s="4">
        <f>IFERROR(__xludf.DUMMYFUNCTION("""COMPUTED_VALUE"""),45949.287374658445)</f>
        <v>45949.28737</v>
      </c>
      <c r="K1236" s="4" t="str">
        <f>IFERROR(__xludf.DUMMYFUNCTION("""COMPUTED_VALUE"""),"")</f>
        <v/>
      </c>
      <c r="L1236" s="4">
        <f>IFERROR(__xludf.DUMMYFUNCTION("""COMPUTED_VALUE"""),45949.30895990234)</f>
        <v>45949.30896</v>
      </c>
      <c r="M1236" s="1" t="str">
        <f>IFERROR(__xludf.DUMMYFUNCTION("""COMPUTED_VALUE"""),"RFID")</f>
        <v>RFID</v>
      </c>
      <c r="N1236" s="5">
        <f>IFERROR(__xludf.DUMMYFUNCTION("""COMPUTED_VALUE"""),0.012972236111111113)</f>
        <v>0.01297223611</v>
      </c>
      <c r="O1236" s="5" t="str">
        <f>IFERROR(__xludf.DUMMYFUNCTION("""COMPUTED_VALUE"""),"")</f>
        <v/>
      </c>
      <c r="P1236" s="5" t="str">
        <f>IFERROR(__xludf.DUMMYFUNCTION("""COMPUTED_VALUE"""),"")</f>
        <v/>
      </c>
      <c r="Q1236" s="5">
        <f>IFERROR(__xludf.DUMMYFUNCTION("""COMPUTED_VALUE"""),0.010803168981481481)</f>
        <v>0.01080316898</v>
      </c>
      <c r="R1236" s="4">
        <f>IFERROR(__xludf.DUMMYFUNCTION("""COMPUTED_VALUE"""),45949.054015839836)</f>
        <v>45949.05402</v>
      </c>
      <c r="S1236" s="1" t="b">
        <f>IFERROR(__xludf.DUMMYFUNCTION("""COMPUTED_VALUE"""),TRUE)</f>
        <v>1</v>
      </c>
      <c r="T1236" s="1" t="b">
        <f>IFERROR(__xludf.DUMMYFUNCTION("""COMPUTED_VALUE"""),FALSE)</f>
        <v>0</v>
      </c>
      <c r="U1236" s="1" t="str">
        <f>IFERROR(__xludf.DUMMYFUNCTION("""COMPUTED_VALUE"""),"VALID")</f>
        <v>VALID</v>
      </c>
      <c r="V1236" s="1">
        <f>IFERROR(__xludf.DUMMYFUNCTION("""COMPUTED_VALUE"""),503.0)</f>
        <v>503</v>
      </c>
      <c r="W1236" s="1">
        <f>IFERROR(__xludf.DUMMYFUNCTION("""COMPUTED_VALUE"""),1600.0)</f>
        <v>1600</v>
      </c>
      <c r="X1236" s="1">
        <f>IFERROR(__xludf.DUMMYFUNCTION("""COMPUTED_VALUE"""),622.0)</f>
        <v>622</v>
      </c>
      <c r="Y1236" s="2"/>
      <c r="Z1236" s="2"/>
    </row>
    <row r="1237">
      <c r="A1237" s="1">
        <f>IFERROR(__xludf.DUMMYFUNCTION("""COMPUTED_VALUE"""),1236.0)</f>
        <v>1236</v>
      </c>
      <c r="B1237" s="1">
        <f>IFERROR(__xludf.DUMMYFUNCTION("""COMPUTED_VALUE"""),5436.0)</f>
        <v>5436</v>
      </c>
      <c r="C1237" s="2" t="str">
        <f>IFERROR(__xludf.DUMMYFUNCTION("""COMPUTED_VALUE"""),"Dewi")</f>
        <v>Dewi</v>
      </c>
      <c r="D1237" s="2" t="str">
        <f>IFERROR(__xludf.DUMMYFUNCTION("""COMPUTED_VALUE"""),"5KM OVERALL F")</f>
        <v>5KM OVERALL F</v>
      </c>
      <c r="E1237" s="1">
        <f>IFERROR(__xludf.DUMMYFUNCTION("""COMPUTED_VALUE"""),2.0)</f>
        <v>2</v>
      </c>
      <c r="F1237" s="1" t="str">
        <f>IFERROR(__xludf.DUMMYFUNCTION("""COMPUTED_VALUE"""),"Female")</f>
        <v>Female</v>
      </c>
      <c r="G1237" s="4" t="b">
        <f>IFERROR(__xludf.DUMMYFUNCTION("""COMPUTED_VALUE"""),TRUE)</f>
        <v>1</v>
      </c>
      <c r="H1237" s="4" t="b">
        <f>IFERROR(__xludf.DUMMYFUNCTION("""COMPUTED_VALUE"""),TRUE)</f>
        <v>1</v>
      </c>
      <c r="I1237" s="4">
        <f>IFERROR(__xludf.DUMMYFUNCTION("""COMPUTED_VALUE"""),0.2549440625)</f>
        <v>0.2549440625</v>
      </c>
      <c r="J1237" s="4">
        <f>IFERROR(__xludf.DUMMYFUNCTION("""COMPUTED_VALUE"""),45949.27969682729)</f>
        <v>45949.2797</v>
      </c>
      <c r="K1237" s="4" t="str">
        <f>IFERROR(__xludf.DUMMYFUNCTION("""COMPUTED_VALUE"""),"")</f>
        <v/>
      </c>
      <c r="L1237" s="4">
        <f>IFERROR(__xludf.DUMMYFUNCTION("""COMPUTED_VALUE"""),45949.297119628274)</f>
        <v>45949.29712</v>
      </c>
      <c r="M1237" s="1" t="str">
        <f>IFERROR(__xludf.DUMMYFUNCTION("""COMPUTED_VALUE"""),"RFID")</f>
        <v>RFID</v>
      </c>
      <c r="N1237" s="5">
        <f>IFERROR(__xludf.DUMMYFUNCTION("""COMPUTED_VALUE"""),0.009901106481481483)</f>
        <v>0.009901106481</v>
      </c>
      <c r="O1237" s="5" t="str">
        <f>IFERROR(__xludf.DUMMYFUNCTION("""COMPUTED_VALUE"""),"")</f>
        <v/>
      </c>
      <c r="P1237" s="5" t="str">
        <f>IFERROR(__xludf.DUMMYFUNCTION("""COMPUTED_VALUE"""),"")</f>
        <v/>
      </c>
      <c r="Q1237" s="5">
        <f>IFERROR(__xludf.DUMMYFUNCTION("""COMPUTED_VALUE"""),0.008435113425925926)</f>
        <v>0.008435113426</v>
      </c>
      <c r="R1237" s="4">
        <f>IFERROR(__xludf.DUMMYFUNCTION("""COMPUTED_VALUE"""),45949.04217556577)</f>
        <v>45949.04218</v>
      </c>
      <c r="S1237" s="1" t="b">
        <f>IFERROR(__xludf.DUMMYFUNCTION("""COMPUTED_VALUE"""),TRUE)</f>
        <v>1</v>
      </c>
      <c r="T1237" s="1" t="b">
        <f>IFERROR(__xludf.DUMMYFUNCTION("""COMPUTED_VALUE"""),FALSE)</f>
        <v>0</v>
      </c>
      <c r="U1237" s="1" t="str">
        <f>IFERROR(__xludf.DUMMYFUNCTION("""COMPUTED_VALUE"""),"VALID")</f>
        <v>VALID</v>
      </c>
      <c r="V1237" s="1">
        <f>IFERROR(__xludf.DUMMYFUNCTION("""COMPUTED_VALUE"""),360.0)</f>
        <v>360</v>
      </c>
      <c r="W1237" s="1">
        <f>IFERROR(__xludf.DUMMYFUNCTION("""COMPUTED_VALUE"""),1337.0)</f>
        <v>1337</v>
      </c>
      <c r="X1237" s="1">
        <f>IFERROR(__xludf.DUMMYFUNCTION("""COMPUTED_VALUE"""),438.0)</f>
        <v>438</v>
      </c>
      <c r="Y1237" s="2"/>
      <c r="Z1237" s="2"/>
    </row>
    <row r="1238">
      <c r="A1238" s="1">
        <f>IFERROR(__xludf.DUMMYFUNCTION("""COMPUTED_VALUE"""),1237.0)</f>
        <v>1237</v>
      </c>
      <c r="B1238" s="1">
        <f>IFERROR(__xludf.DUMMYFUNCTION("""COMPUTED_VALUE"""),5437.0)</f>
        <v>5437</v>
      </c>
      <c r="C1238" s="2" t="str">
        <f>IFERROR(__xludf.DUMMYFUNCTION("""COMPUTED_VALUE"""),"Adibah Zahro Sigit")</f>
        <v>Adibah Zahro Sigit</v>
      </c>
      <c r="D1238" s="2" t="str">
        <f>IFERROR(__xludf.DUMMYFUNCTION("""COMPUTED_VALUE"""),"5KM OVERALL F")</f>
        <v>5KM OVERALL F</v>
      </c>
      <c r="E1238" s="1">
        <f>IFERROR(__xludf.DUMMYFUNCTION("""COMPUTED_VALUE"""),2.0)</f>
        <v>2</v>
      </c>
      <c r="F1238" s="1" t="str">
        <f>IFERROR(__xludf.DUMMYFUNCTION("""COMPUTED_VALUE"""),"Female")</f>
        <v>Female</v>
      </c>
      <c r="G1238" s="4" t="b">
        <f>IFERROR(__xludf.DUMMYFUNCTION("""COMPUTED_VALUE"""),TRUE)</f>
        <v>1</v>
      </c>
      <c r="H1238" s="4" t="b">
        <f>IFERROR(__xludf.DUMMYFUNCTION("""COMPUTED_VALUE"""),TRUE)</f>
        <v>1</v>
      </c>
      <c r="I1238" s="4">
        <f>IFERROR(__xludf.DUMMYFUNCTION("""COMPUTED_VALUE"""),0.2549440625)</f>
        <v>0.2549440625</v>
      </c>
      <c r="J1238" s="4">
        <f>IFERROR(__xludf.DUMMYFUNCTION("""COMPUTED_VALUE"""),45949.28356841828)</f>
        <v>45949.28357</v>
      </c>
      <c r="K1238" s="4" t="str">
        <f>IFERROR(__xludf.DUMMYFUNCTION("""COMPUTED_VALUE"""),"")</f>
        <v/>
      </c>
      <c r="L1238" s="4">
        <f>IFERROR(__xludf.DUMMYFUNCTION("""COMPUTED_VALUE"""),45949.302907781996)</f>
        <v>45949.30291</v>
      </c>
      <c r="M1238" s="1" t="str">
        <f>IFERROR(__xludf.DUMMYFUNCTION("""COMPUTED_VALUE"""),"RFID")</f>
        <v>RFID</v>
      </c>
      <c r="N1238" s="5">
        <f>IFERROR(__xludf.DUMMYFUNCTION("""COMPUTED_VALUE"""),0.01144974074074074)</f>
        <v>0.01144974074</v>
      </c>
      <c r="O1238" s="5" t="str">
        <f>IFERROR(__xludf.DUMMYFUNCTION("""COMPUTED_VALUE"""),"")</f>
        <v/>
      </c>
      <c r="P1238" s="5" t="str">
        <f>IFERROR(__xludf.DUMMYFUNCTION("""COMPUTED_VALUE"""),"")</f>
        <v/>
      </c>
      <c r="Q1238" s="5">
        <f>IFERROR(__xludf.DUMMYFUNCTION("""COMPUTED_VALUE"""),0.009592743055555554)</f>
        <v>0.009592743056</v>
      </c>
      <c r="R1238" s="4">
        <f>IFERROR(__xludf.DUMMYFUNCTION("""COMPUTED_VALUE"""),45949.047963719495)</f>
        <v>45949.04796</v>
      </c>
      <c r="S1238" s="1" t="b">
        <f>IFERROR(__xludf.DUMMYFUNCTION("""COMPUTED_VALUE"""),TRUE)</f>
        <v>1</v>
      </c>
      <c r="T1238" s="1" t="b">
        <f>IFERROR(__xludf.DUMMYFUNCTION("""COMPUTED_VALUE"""),FALSE)</f>
        <v>0</v>
      </c>
      <c r="U1238" s="1" t="str">
        <f>IFERROR(__xludf.DUMMYFUNCTION("""COMPUTED_VALUE"""),"VALID")</f>
        <v>VALID</v>
      </c>
      <c r="V1238" s="1">
        <f>IFERROR(__xludf.DUMMYFUNCTION("""COMPUTED_VALUE"""),475.0)</f>
        <v>475</v>
      </c>
      <c r="W1238" s="1">
        <f>IFERROR(__xludf.DUMMYFUNCTION("""COMPUTED_VALUE"""),1543.0)</f>
        <v>1543</v>
      </c>
      <c r="X1238" s="1">
        <f>IFERROR(__xludf.DUMMYFUNCTION("""COMPUTED_VALUE"""),578.0)</f>
        <v>578</v>
      </c>
      <c r="Y1238" s="2"/>
      <c r="Z1238" s="2"/>
    </row>
    <row r="1239">
      <c r="A1239" s="1">
        <f>IFERROR(__xludf.DUMMYFUNCTION("""COMPUTED_VALUE"""),1238.0)</f>
        <v>1238</v>
      </c>
      <c r="B1239" s="1">
        <f>IFERROR(__xludf.DUMMYFUNCTION("""COMPUTED_VALUE"""),5440.0)</f>
        <v>5440</v>
      </c>
      <c r="C1239" s="2" t="str">
        <f>IFERROR(__xludf.DUMMYFUNCTION("""COMPUTED_VALUE"""),"Erika")</f>
        <v>Erika</v>
      </c>
      <c r="D1239" s="2" t="str">
        <f>IFERROR(__xludf.DUMMYFUNCTION("""COMPUTED_VALUE"""),"5KM OVERALL F")</f>
        <v>5KM OVERALL F</v>
      </c>
      <c r="E1239" s="1">
        <f>IFERROR(__xludf.DUMMYFUNCTION("""COMPUTED_VALUE"""),2.0)</f>
        <v>2</v>
      </c>
      <c r="F1239" s="1" t="str">
        <f>IFERROR(__xludf.DUMMYFUNCTION("""COMPUTED_VALUE"""),"Female")</f>
        <v>Female</v>
      </c>
      <c r="G1239" s="4" t="str">
        <f>IFERROR(__xludf.DUMMYFUNCTION("""COMPUTED_VALUE"""),"")</f>
        <v/>
      </c>
      <c r="H1239" s="4" t="b">
        <f>IFERROR(__xludf.DUMMYFUNCTION("""COMPUTED_VALUE"""),FALSE)</f>
        <v>0</v>
      </c>
      <c r="I1239" s="4">
        <f>IFERROR(__xludf.DUMMYFUNCTION("""COMPUTED_VALUE"""),0.2549440625)</f>
        <v>0.2549440625</v>
      </c>
      <c r="J1239" s="4" t="str">
        <f>IFERROR(__xludf.DUMMYFUNCTION("""COMPUTED_VALUE"""),"")</f>
        <v/>
      </c>
      <c r="K1239" s="4" t="str">
        <f>IFERROR(__xludf.DUMMYFUNCTION("""COMPUTED_VALUE"""),"")</f>
        <v/>
      </c>
      <c r="L1239" s="4" t="str">
        <f>IFERROR(__xludf.DUMMYFUNCTION("""COMPUTED_VALUE"""),"")</f>
        <v/>
      </c>
      <c r="M1239" s="1" t="str">
        <f>IFERROR(__xludf.DUMMYFUNCTION("""COMPUTED_VALUE"""),"RFID")</f>
        <v>RFID</v>
      </c>
      <c r="N1239" s="5" t="str">
        <f>IFERROR(__xludf.DUMMYFUNCTION("""COMPUTED_VALUE"""),"")</f>
        <v/>
      </c>
      <c r="O1239" s="5" t="str">
        <f>IFERROR(__xludf.DUMMYFUNCTION("""COMPUTED_VALUE"""),"")</f>
        <v/>
      </c>
      <c r="P1239" s="5" t="str">
        <f>IFERROR(__xludf.DUMMYFUNCTION("""COMPUTED_VALUE"""),"")</f>
        <v/>
      </c>
      <c r="Q1239" s="5" t="str">
        <f>IFERROR(__xludf.DUMMYFUNCTION("""COMPUTED_VALUE"""),"")</f>
        <v/>
      </c>
      <c r="R1239" s="4" t="str">
        <f>IFERROR(__xludf.DUMMYFUNCTION("""COMPUTED_VALUE"""),"")</f>
        <v/>
      </c>
      <c r="S1239" s="1" t="b">
        <f>IFERROR(__xludf.DUMMYFUNCTION("""COMPUTED_VALUE"""),FALSE)</f>
        <v>0</v>
      </c>
      <c r="T1239" s="1" t="b">
        <f>IFERROR(__xludf.DUMMYFUNCTION("""COMPUTED_VALUE"""),FALSE)</f>
        <v>0</v>
      </c>
      <c r="U1239" s="1" t="str">
        <f>IFERROR(__xludf.DUMMYFUNCTION("""COMPUTED_VALUE"""),"DSQ")</f>
        <v>DSQ</v>
      </c>
      <c r="V1239" s="1" t="str">
        <f>IFERROR(__xludf.DUMMYFUNCTION("""COMPUTED_VALUE"""),"DSQ")</f>
        <v>DSQ</v>
      </c>
      <c r="W1239" s="1" t="str">
        <f>IFERROR(__xludf.DUMMYFUNCTION("""COMPUTED_VALUE"""),"DSQ")</f>
        <v>DSQ</v>
      </c>
      <c r="X1239" s="1" t="str">
        <f>IFERROR(__xludf.DUMMYFUNCTION("""COMPUTED_VALUE"""),"DSQ")</f>
        <v>DSQ</v>
      </c>
      <c r="Y1239" s="2"/>
      <c r="Z1239" s="2" t="str">
        <f>IFERROR(__xludf.DUMMYFUNCTION("""COMPUTED_VALUE"""),"")</f>
        <v/>
      </c>
    </row>
    <row r="1240">
      <c r="A1240" s="1">
        <f>IFERROR(__xludf.DUMMYFUNCTION("""COMPUTED_VALUE"""),1239.0)</f>
        <v>1239</v>
      </c>
      <c r="B1240" s="1">
        <f>IFERROR(__xludf.DUMMYFUNCTION("""COMPUTED_VALUE"""),5442.0)</f>
        <v>5442</v>
      </c>
      <c r="C1240" s="2" t="str">
        <f>IFERROR(__xludf.DUMMYFUNCTION("""COMPUTED_VALUE"""),"SagitaFitri")</f>
        <v>SagitaFitri</v>
      </c>
      <c r="D1240" s="2" t="str">
        <f>IFERROR(__xludf.DUMMYFUNCTION("""COMPUTED_VALUE"""),"5KM OVERALL F")</f>
        <v>5KM OVERALL F</v>
      </c>
      <c r="E1240" s="1">
        <f>IFERROR(__xludf.DUMMYFUNCTION("""COMPUTED_VALUE"""),2.0)</f>
        <v>2</v>
      </c>
      <c r="F1240" s="1" t="str">
        <f>IFERROR(__xludf.DUMMYFUNCTION("""COMPUTED_VALUE"""),"Female")</f>
        <v>Female</v>
      </c>
      <c r="G1240" s="4" t="b">
        <f>IFERROR(__xludf.DUMMYFUNCTION("""COMPUTED_VALUE"""),TRUE)</f>
        <v>1</v>
      </c>
      <c r="H1240" s="4" t="b">
        <f>IFERROR(__xludf.DUMMYFUNCTION("""COMPUTED_VALUE"""),FALSE)</f>
        <v>0</v>
      </c>
      <c r="I1240" s="4">
        <f>IFERROR(__xludf.DUMMYFUNCTION("""COMPUTED_VALUE"""),0.2549440625)</f>
        <v>0.2549440625</v>
      </c>
      <c r="J1240" s="4">
        <f>IFERROR(__xludf.DUMMYFUNCTION("""COMPUTED_VALUE"""),45949.27608229969)</f>
        <v>45949.27608</v>
      </c>
      <c r="K1240" s="4" t="str">
        <f>IFERROR(__xludf.DUMMYFUNCTION("""COMPUTED_VALUE"""),"")</f>
        <v/>
      </c>
      <c r="L1240" s="4">
        <f>IFERROR(__xludf.DUMMYFUNCTION("""COMPUTED_VALUE"""),45949.29062310969)</f>
        <v>45949.29062</v>
      </c>
      <c r="M1240" s="1" t="str">
        <f>IFERROR(__xludf.DUMMYFUNCTION("""COMPUTED_VALUE"""),"RFID")</f>
        <v>RFID</v>
      </c>
      <c r="N1240" s="5">
        <f>IFERROR(__xludf.DUMMYFUNCTION("""COMPUTED_VALUE"""),0.008455296296296298)</f>
        <v>0.008455296296</v>
      </c>
      <c r="O1240" s="5" t="str">
        <f>IFERROR(__xludf.DUMMYFUNCTION("""COMPUTED_VALUE"""),"")</f>
        <v/>
      </c>
      <c r="P1240" s="5" t="str">
        <f>IFERROR(__xludf.DUMMYFUNCTION("""COMPUTED_VALUE"""),"")</f>
        <v/>
      </c>
      <c r="Q1240" s="5">
        <f>IFERROR(__xludf.DUMMYFUNCTION("""COMPUTED_VALUE"""),0.007135810185185186)</f>
        <v>0.007135810185</v>
      </c>
      <c r="R1240" s="4">
        <f>IFERROR(__xludf.DUMMYFUNCTION("""COMPUTED_VALUE"""),45949.03567904719)</f>
        <v>45949.03568</v>
      </c>
      <c r="S1240" s="1" t="b">
        <f>IFERROR(__xludf.DUMMYFUNCTION("""COMPUTED_VALUE"""),TRUE)</f>
        <v>1</v>
      </c>
      <c r="T1240" s="1" t="b">
        <f>IFERROR(__xludf.DUMMYFUNCTION("""COMPUTED_VALUE"""),TRUE)</f>
        <v>1</v>
      </c>
      <c r="U1240" s="1" t="str">
        <f>IFERROR(__xludf.DUMMYFUNCTION("""COMPUTED_VALUE"""),"DSQ")</f>
        <v>DSQ</v>
      </c>
      <c r="V1240" s="1" t="str">
        <f>IFERROR(__xludf.DUMMYFUNCTION("""COMPUTED_VALUE"""),"DSQ")</f>
        <v>DSQ</v>
      </c>
      <c r="W1240" s="1" t="str">
        <f>IFERROR(__xludf.DUMMYFUNCTION("""COMPUTED_VALUE"""),"DSQ")</f>
        <v>DSQ</v>
      </c>
      <c r="X1240" s="1" t="str">
        <f>IFERROR(__xludf.DUMMYFUNCTION("""COMPUTED_VALUE"""),"DSQ")</f>
        <v>DSQ</v>
      </c>
      <c r="Y1240" s="2" t="str">
        <f>IFERROR(__xludf.DUMMYFUNCTION("""COMPUTED_VALUE"""),"gk ada di video")</f>
        <v>gk ada di video</v>
      </c>
      <c r="Z1240" s="2"/>
    </row>
    <row r="1241">
      <c r="A1241" s="1">
        <f>IFERROR(__xludf.DUMMYFUNCTION("""COMPUTED_VALUE"""),1240.0)</f>
        <v>1240</v>
      </c>
      <c r="B1241" s="1">
        <f>IFERROR(__xludf.DUMMYFUNCTION("""COMPUTED_VALUE"""),5444.0)</f>
        <v>5444</v>
      </c>
      <c r="C1241" s="2" t="str">
        <f>IFERROR(__xludf.DUMMYFUNCTION("""COMPUTED_VALUE"""),"JANA")</f>
        <v>JANA</v>
      </c>
      <c r="D1241" s="2" t="str">
        <f>IFERROR(__xludf.DUMMYFUNCTION("""COMPUTED_VALUE"""),"5KM OVERALL F")</f>
        <v>5KM OVERALL F</v>
      </c>
      <c r="E1241" s="1">
        <f>IFERROR(__xludf.DUMMYFUNCTION("""COMPUTED_VALUE"""),2.0)</f>
        <v>2</v>
      </c>
      <c r="F1241" s="1" t="str">
        <f>IFERROR(__xludf.DUMMYFUNCTION("""COMPUTED_VALUE"""),"Female")</f>
        <v>Female</v>
      </c>
      <c r="G1241" s="4" t="b">
        <f>IFERROR(__xludf.DUMMYFUNCTION("""COMPUTED_VALUE"""),TRUE)</f>
        <v>1</v>
      </c>
      <c r="H1241" s="4" t="b">
        <f>IFERROR(__xludf.DUMMYFUNCTION("""COMPUTED_VALUE"""),TRUE)</f>
        <v>1</v>
      </c>
      <c r="I1241" s="4">
        <f>IFERROR(__xludf.DUMMYFUNCTION("""COMPUTED_VALUE"""),0.2549440625)</f>
        <v>0.2549440625</v>
      </c>
      <c r="J1241" s="4">
        <f>IFERROR(__xludf.DUMMYFUNCTION("""COMPUTED_VALUE"""),45949.29644755355)</f>
        <v>45949.29645</v>
      </c>
      <c r="K1241" s="4" t="str">
        <f>IFERROR(__xludf.DUMMYFUNCTION("""COMPUTED_VALUE"""),"")</f>
        <v/>
      </c>
      <c r="L1241" s="4">
        <f>IFERROR(__xludf.DUMMYFUNCTION("""COMPUTED_VALUE"""),45949.26830633381)</f>
        <v>45949.26831</v>
      </c>
      <c r="M1241" s="1" t="str">
        <f>IFERROR(__xludf.DUMMYFUNCTION("""COMPUTED_VALUE"""),"RFID")</f>
        <v>RFID</v>
      </c>
      <c r="N1241" s="5">
        <f>IFERROR(__xludf.DUMMYFUNCTION("""COMPUTED_VALUE"""),0.016601398148148146)</f>
        <v>0.01660139815</v>
      </c>
      <c r="O1241" s="5" t="str">
        <f>IFERROR(__xludf.DUMMYFUNCTION("""COMPUTED_VALUE"""),"")</f>
        <v/>
      </c>
      <c r="P1241" s="5" t="str">
        <f>IFERROR(__xludf.DUMMYFUNCTION("""COMPUTED_VALUE"""),"")</f>
        <v/>
      </c>
      <c r="Q1241" s="5">
        <f>IFERROR(__xludf.DUMMYFUNCTION("""COMPUTED_VALUE"""),0.002672453703703704)</f>
        <v>0.002672453704</v>
      </c>
      <c r="R1241" s="4">
        <f>IFERROR(__xludf.DUMMYFUNCTION("""COMPUTED_VALUE"""),45949.01336227131)</f>
        <v>45949.01336</v>
      </c>
      <c r="S1241" s="1" t="b">
        <f>IFERROR(__xludf.DUMMYFUNCTION("""COMPUTED_VALUE"""),TRUE)</f>
        <v>1</v>
      </c>
      <c r="T1241" s="1" t="b">
        <f>IFERROR(__xludf.DUMMYFUNCTION("""COMPUTED_VALUE"""),TRUE)</f>
        <v>1</v>
      </c>
      <c r="U1241" s="1" t="str">
        <f>IFERROR(__xludf.DUMMYFUNCTION("""COMPUTED_VALUE"""),"DSQ")</f>
        <v>DSQ</v>
      </c>
      <c r="V1241" s="1" t="str">
        <f>IFERROR(__xludf.DUMMYFUNCTION("""COMPUTED_VALUE"""),"DSQ")</f>
        <v>DSQ</v>
      </c>
      <c r="W1241" s="1" t="str">
        <f>IFERROR(__xludf.DUMMYFUNCTION("""COMPUTED_VALUE"""),"DSQ")</f>
        <v>DSQ</v>
      </c>
      <c r="X1241" s="1" t="str">
        <f>IFERROR(__xludf.DUMMYFUNCTION("""COMPUTED_VALUE"""),"DSQ")</f>
        <v>DSQ</v>
      </c>
      <c r="Y1241" s="2" t="str">
        <f>IFERROR(__xludf.DUMMYFUNCTION("""COMPUTED_VALUE"""),"start setelah batas waktu")</f>
        <v>start setelah batas waktu</v>
      </c>
      <c r="Z1241" s="2"/>
    </row>
    <row r="1242">
      <c r="A1242" s="1">
        <f>IFERROR(__xludf.DUMMYFUNCTION("""COMPUTED_VALUE"""),1241.0)</f>
        <v>1241</v>
      </c>
      <c r="B1242" s="1">
        <f>IFERROR(__xludf.DUMMYFUNCTION("""COMPUTED_VALUE"""),5446.0)</f>
        <v>5446</v>
      </c>
      <c r="C1242" s="2" t="str">
        <f>IFERROR(__xludf.DUMMYFUNCTION("""COMPUTED_VALUE"""),"ayu permata suyanto")</f>
        <v>ayu permata suyanto</v>
      </c>
      <c r="D1242" s="2" t="str">
        <f>IFERROR(__xludf.DUMMYFUNCTION("""COMPUTED_VALUE"""),"5KM OVERALL F")</f>
        <v>5KM OVERALL F</v>
      </c>
      <c r="E1242" s="1">
        <f>IFERROR(__xludf.DUMMYFUNCTION("""COMPUTED_VALUE"""),2.0)</f>
        <v>2</v>
      </c>
      <c r="F1242" s="1" t="str">
        <f>IFERROR(__xludf.DUMMYFUNCTION("""COMPUTED_VALUE"""),"Female")</f>
        <v>Female</v>
      </c>
      <c r="G1242" s="4" t="b">
        <f>IFERROR(__xludf.DUMMYFUNCTION("""COMPUTED_VALUE"""),TRUE)</f>
        <v>1</v>
      </c>
      <c r="H1242" s="4" t="b">
        <f>IFERROR(__xludf.DUMMYFUNCTION("""COMPUTED_VALUE"""),TRUE)</f>
        <v>1</v>
      </c>
      <c r="I1242" s="4">
        <f>IFERROR(__xludf.DUMMYFUNCTION("""COMPUTED_VALUE"""),0.2549440625)</f>
        <v>0.2549440625</v>
      </c>
      <c r="J1242" s="4">
        <f>IFERROR(__xludf.DUMMYFUNCTION("""COMPUTED_VALUE"""),45949.29644753042)</f>
        <v>45949.29645</v>
      </c>
      <c r="K1242" s="4" t="str">
        <f>IFERROR(__xludf.DUMMYFUNCTION("""COMPUTED_VALUE"""),"")</f>
        <v/>
      </c>
      <c r="L1242" s="4">
        <f>IFERROR(__xludf.DUMMYFUNCTION("""COMPUTED_VALUE"""),45949.26832371583)</f>
        <v>45949.26832</v>
      </c>
      <c r="M1242" s="1" t="str">
        <f>IFERROR(__xludf.DUMMYFUNCTION("""COMPUTED_VALUE"""),"RFID")</f>
        <v>RFID</v>
      </c>
      <c r="N1242" s="5">
        <f>IFERROR(__xludf.DUMMYFUNCTION("""COMPUTED_VALUE"""),0.01660138888888889)</f>
        <v>0.01660138889</v>
      </c>
      <c r="O1242" s="5" t="str">
        <f>IFERROR(__xludf.DUMMYFUNCTION("""COMPUTED_VALUE"""),"")</f>
        <v/>
      </c>
      <c r="P1242" s="5" t="str">
        <f>IFERROR(__xludf.DUMMYFUNCTION("""COMPUTED_VALUE"""),"")</f>
        <v/>
      </c>
      <c r="Q1242" s="5">
        <f>IFERROR(__xludf.DUMMYFUNCTION("""COMPUTED_VALUE"""),0.0026759305555555555)</f>
        <v>0.002675930556</v>
      </c>
      <c r="R1242" s="4">
        <f>IFERROR(__xludf.DUMMYFUNCTION("""COMPUTED_VALUE"""),45949.01337965333)</f>
        <v>45949.01338</v>
      </c>
      <c r="S1242" s="1" t="b">
        <f>IFERROR(__xludf.DUMMYFUNCTION("""COMPUTED_VALUE"""),TRUE)</f>
        <v>1</v>
      </c>
      <c r="T1242" s="1" t="b">
        <f>IFERROR(__xludf.DUMMYFUNCTION("""COMPUTED_VALUE"""),TRUE)</f>
        <v>1</v>
      </c>
      <c r="U1242" s="1" t="str">
        <f>IFERROR(__xludf.DUMMYFUNCTION("""COMPUTED_VALUE"""),"DSQ")</f>
        <v>DSQ</v>
      </c>
      <c r="V1242" s="1" t="str">
        <f>IFERROR(__xludf.DUMMYFUNCTION("""COMPUTED_VALUE"""),"DSQ")</f>
        <v>DSQ</v>
      </c>
      <c r="W1242" s="1" t="str">
        <f>IFERROR(__xludf.DUMMYFUNCTION("""COMPUTED_VALUE"""),"DSQ")</f>
        <v>DSQ</v>
      </c>
      <c r="X1242" s="1" t="str">
        <f>IFERROR(__xludf.DUMMYFUNCTION("""COMPUTED_VALUE"""),"DSQ")</f>
        <v>DSQ</v>
      </c>
      <c r="Y1242" s="2" t="str">
        <f>IFERROR(__xludf.DUMMYFUNCTION("""COMPUTED_VALUE"""),"start setelah batas waktu")</f>
        <v>start setelah batas waktu</v>
      </c>
      <c r="Z1242" s="2"/>
    </row>
    <row r="1243">
      <c r="A1243" s="1">
        <f>IFERROR(__xludf.DUMMYFUNCTION("""COMPUTED_VALUE"""),1242.0)</f>
        <v>1242</v>
      </c>
      <c r="B1243" s="1">
        <f>IFERROR(__xludf.DUMMYFUNCTION("""COMPUTED_VALUE"""),5448.0)</f>
        <v>5448</v>
      </c>
      <c r="C1243" s="2" t="str">
        <f>IFERROR(__xludf.DUMMYFUNCTION("""COMPUTED_VALUE"""),"Putrinrhzyh")</f>
        <v>Putrinrhzyh</v>
      </c>
      <c r="D1243" s="2" t="str">
        <f>IFERROR(__xludf.DUMMYFUNCTION("""COMPUTED_VALUE"""),"5KM OVERALL F")</f>
        <v>5KM OVERALL F</v>
      </c>
      <c r="E1243" s="1">
        <f>IFERROR(__xludf.DUMMYFUNCTION("""COMPUTED_VALUE"""),2.0)</f>
        <v>2</v>
      </c>
      <c r="F1243" s="1" t="str">
        <f>IFERROR(__xludf.DUMMYFUNCTION("""COMPUTED_VALUE"""),"Female")</f>
        <v>Female</v>
      </c>
      <c r="G1243" s="4" t="b">
        <f>IFERROR(__xludf.DUMMYFUNCTION("""COMPUTED_VALUE"""),TRUE)</f>
        <v>1</v>
      </c>
      <c r="H1243" s="4" t="b">
        <f>IFERROR(__xludf.DUMMYFUNCTION("""COMPUTED_VALUE"""),FALSE)</f>
        <v>0</v>
      </c>
      <c r="I1243" s="4">
        <f>IFERROR(__xludf.DUMMYFUNCTION("""COMPUTED_VALUE"""),0.2549440625)</f>
        <v>0.2549440625</v>
      </c>
      <c r="J1243" s="4">
        <f>IFERROR(__xludf.DUMMYFUNCTION("""COMPUTED_VALUE"""),45949.275814884015)</f>
        <v>45949.27581</v>
      </c>
      <c r="K1243" s="4" t="str">
        <f>IFERROR(__xludf.DUMMYFUNCTION("""COMPUTED_VALUE"""),"")</f>
        <v/>
      </c>
      <c r="L1243" s="4">
        <f>IFERROR(__xludf.DUMMYFUNCTION("""COMPUTED_VALUE"""),45949.29084878845)</f>
        <v>45949.29085</v>
      </c>
      <c r="M1243" s="1" t="str">
        <f>IFERROR(__xludf.DUMMYFUNCTION("""COMPUTED_VALUE"""),"RFID")</f>
        <v>RFID</v>
      </c>
      <c r="N1243" s="5">
        <f>IFERROR(__xludf.DUMMYFUNCTION("""COMPUTED_VALUE"""),0.008348328703703705)</f>
        <v>0.008348328704</v>
      </c>
      <c r="O1243" s="5" t="str">
        <f>IFERROR(__xludf.DUMMYFUNCTION("""COMPUTED_VALUE"""),"")</f>
        <v/>
      </c>
      <c r="P1243" s="5" t="str">
        <f>IFERROR(__xludf.DUMMYFUNCTION("""COMPUTED_VALUE"""),"")</f>
        <v/>
      </c>
      <c r="Q1243" s="5">
        <f>IFERROR(__xludf.DUMMYFUNCTION("""COMPUTED_VALUE"""),0.0071809444444444455)</f>
        <v>0.007180944444</v>
      </c>
      <c r="R1243" s="4">
        <f>IFERROR(__xludf.DUMMYFUNCTION("""COMPUTED_VALUE"""),45949.03590472595)</f>
        <v>45949.0359</v>
      </c>
      <c r="S1243" s="1" t="b">
        <f>IFERROR(__xludf.DUMMYFUNCTION("""COMPUTED_VALUE"""),TRUE)</f>
        <v>1</v>
      </c>
      <c r="T1243" s="1" t="b">
        <f>IFERROR(__xludf.DUMMYFUNCTION("""COMPUTED_VALUE"""),FALSE)</f>
        <v>0</v>
      </c>
      <c r="U1243" s="1" t="str">
        <f>IFERROR(__xludf.DUMMYFUNCTION("""COMPUTED_VALUE"""),"VALID")</f>
        <v>VALID</v>
      </c>
      <c r="V1243" s="1">
        <f>IFERROR(__xludf.DUMMYFUNCTION("""COMPUTED_VALUE"""),184.0)</f>
        <v>184</v>
      </c>
      <c r="W1243" s="1">
        <f>IFERROR(__xludf.DUMMYFUNCTION("""COMPUTED_VALUE"""),952.0)</f>
        <v>952</v>
      </c>
      <c r="X1243" s="1">
        <f>IFERROR(__xludf.DUMMYFUNCTION("""COMPUTED_VALUE"""),232.0)</f>
        <v>232</v>
      </c>
      <c r="Y1243" s="2"/>
      <c r="Z1243" s="2"/>
    </row>
    <row r="1244">
      <c r="A1244" s="1">
        <f>IFERROR(__xludf.DUMMYFUNCTION("""COMPUTED_VALUE"""),1243.0)</f>
        <v>1243</v>
      </c>
      <c r="B1244" s="1">
        <f>IFERROR(__xludf.DUMMYFUNCTION("""COMPUTED_VALUE"""),5449.0)</f>
        <v>5449</v>
      </c>
      <c r="C1244" s="2" t="str">
        <f>IFERROR(__xludf.DUMMYFUNCTION("""COMPUTED_VALUE"""),"YAN JSA")</f>
        <v>YAN JSA</v>
      </c>
      <c r="D1244" s="2" t="str">
        <f>IFERROR(__xludf.DUMMYFUNCTION("""COMPUTED_VALUE"""),"5KM OVERALL F")</f>
        <v>5KM OVERALL F</v>
      </c>
      <c r="E1244" s="1">
        <f>IFERROR(__xludf.DUMMYFUNCTION("""COMPUTED_VALUE"""),2.0)</f>
        <v>2</v>
      </c>
      <c r="F1244" s="1" t="str">
        <f>IFERROR(__xludf.DUMMYFUNCTION("""COMPUTED_VALUE"""),"Female")</f>
        <v>Female</v>
      </c>
      <c r="G1244" s="4" t="str">
        <f>IFERROR(__xludf.DUMMYFUNCTION("""COMPUTED_VALUE"""),"")</f>
        <v/>
      </c>
      <c r="H1244" s="4" t="b">
        <f>IFERROR(__xludf.DUMMYFUNCTION("""COMPUTED_VALUE"""),FALSE)</f>
        <v>0</v>
      </c>
      <c r="I1244" s="4">
        <f>IFERROR(__xludf.DUMMYFUNCTION("""COMPUTED_VALUE"""),0.2549440625)</f>
        <v>0.2549440625</v>
      </c>
      <c r="J1244" s="4" t="str">
        <f>IFERROR(__xludf.DUMMYFUNCTION("""COMPUTED_VALUE"""),"")</f>
        <v/>
      </c>
      <c r="K1244" s="4" t="str">
        <f>IFERROR(__xludf.DUMMYFUNCTION("""COMPUTED_VALUE"""),"")</f>
        <v/>
      </c>
      <c r="L1244" s="4" t="str">
        <f>IFERROR(__xludf.DUMMYFUNCTION("""COMPUTED_VALUE"""),"")</f>
        <v/>
      </c>
      <c r="M1244" s="1" t="str">
        <f>IFERROR(__xludf.DUMMYFUNCTION("""COMPUTED_VALUE"""),"RFID")</f>
        <v>RFID</v>
      </c>
      <c r="N1244" s="5" t="str">
        <f>IFERROR(__xludf.DUMMYFUNCTION("""COMPUTED_VALUE"""),"")</f>
        <v/>
      </c>
      <c r="O1244" s="5" t="str">
        <f>IFERROR(__xludf.DUMMYFUNCTION("""COMPUTED_VALUE"""),"")</f>
        <v/>
      </c>
      <c r="P1244" s="5" t="str">
        <f>IFERROR(__xludf.DUMMYFUNCTION("""COMPUTED_VALUE"""),"")</f>
        <v/>
      </c>
      <c r="Q1244" s="5" t="str">
        <f>IFERROR(__xludf.DUMMYFUNCTION("""COMPUTED_VALUE"""),"")</f>
        <v/>
      </c>
      <c r="R1244" s="4" t="str">
        <f>IFERROR(__xludf.DUMMYFUNCTION("""COMPUTED_VALUE"""),"")</f>
        <v/>
      </c>
      <c r="S1244" s="1" t="b">
        <f>IFERROR(__xludf.DUMMYFUNCTION("""COMPUTED_VALUE"""),FALSE)</f>
        <v>0</v>
      </c>
      <c r="T1244" s="1" t="b">
        <f>IFERROR(__xludf.DUMMYFUNCTION("""COMPUTED_VALUE"""),FALSE)</f>
        <v>0</v>
      </c>
      <c r="U1244" s="1" t="str">
        <f>IFERROR(__xludf.DUMMYFUNCTION("""COMPUTED_VALUE"""),"DSQ")</f>
        <v>DSQ</v>
      </c>
      <c r="V1244" s="1" t="str">
        <f>IFERROR(__xludf.DUMMYFUNCTION("""COMPUTED_VALUE"""),"DSQ")</f>
        <v>DSQ</v>
      </c>
      <c r="W1244" s="1" t="str">
        <f>IFERROR(__xludf.DUMMYFUNCTION("""COMPUTED_VALUE"""),"DSQ")</f>
        <v>DSQ</v>
      </c>
      <c r="X1244" s="1" t="str">
        <f>IFERROR(__xludf.DUMMYFUNCTION("""COMPUTED_VALUE"""),"DSQ")</f>
        <v>DSQ</v>
      </c>
      <c r="Y1244" s="2"/>
      <c r="Z1244" s="2" t="str">
        <f>IFERROR(__xludf.DUMMYFUNCTION("""COMPUTED_VALUE"""),"")</f>
        <v/>
      </c>
    </row>
    <row r="1245">
      <c r="A1245" s="1">
        <f>IFERROR(__xludf.DUMMYFUNCTION("""COMPUTED_VALUE"""),1244.0)</f>
        <v>1244</v>
      </c>
      <c r="B1245" s="1">
        <f>IFERROR(__xludf.DUMMYFUNCTION("""COMPUTED_VALUE"""),5451.0)</f>
        <v>5451</v>
      </c>
      <c r="C1245" s="2" t="str">
        <f>IFERROR(__xludf.DUMMYFUNCTION("""COMPUTED_VALUE"""),"Regina Dwi")</f>
        <v>Regina Dwi</v>
      </c>
      <c r="D1245" s="2" t="str">
        <f>IFERROR(__xludf.DUMMYFUNCTION("""COMPUTED_VALUE"""),"5KM OVERALL F")</f>
        <v>5KM OVERALL F</v>
      </c>
      <c r="E1245" s="1">
        <f>IFERROR(__xludf.DUMMYFUNCTION("""COMPUTED_VALUE"""),2.0)</f>
        <v>2</v>
      </c>
      <c r="F1245" s="1" t="str">
        <f>IFERROR(__xludf.DUMMYFUNCTION("""COMPUTED_VALUE"""),"Female")</f>
        <v>Female</v>
      </c>
      <c r="G1245" s="4" t="b">
        <f>IFERROR(__xludf.DUMMYFUNCTION("""COMPUTED_VALUE"""),TRUE)</f>
        <v>1</v>
      </c>
      <c r="H1245" s="4" t="b">
        <f>IFERROR(__xludf.DUMMYFUNCTION("""COMPUTED_VALUE"""),TRUE)</f>
        <v>1</v>
      </c>
      <c r="I1245" s="4">
        <f>IFERROR(__xludf.DUMMYFUNCTION("""COMPUTED_VALUE"""),0.2549440625)</f>
        <v>0.2549440625</v>
      </c>
      <c r="J1245" s="4">
        <f>IFERROR(__xludf.DUMMYFUNCTION("""COMPUTED_VALUE"""),45949.2744850345)</f>
        <v>45949.27449</v>
      </c>
      <c r="K1245" s="4" t="str">
        <f>IFERROR(__xludf.DUMMYFUNCTION("""COMPUTED_VALUE"""),"")</f>
        <v/>
      </c>
      <c r="L1245" s="4">
        <f>IFERROR(__xludf.DUMMYFUNCTION("""COMPUTED_VALUE"""),45949.28930017728)</f>
        <v>45949.2893</v>
      </c>
      <c r="M1245" s="1" t="str">
        <f>IFERROR(__xludf.DUMMYFUNCTION("""COMPUTED_VALUE"""),"RFID")</f>
        <v>RFID</v>
      </c>
      <c r="N1245" s="5">
        <f>IFERROR(__xludf.DUMMYFUNCTION("""COMPUTED_VALUE"""),0.007816388888888888)</f>
        <v>0.007816388889</v>
      </c>
      <c r="O1245" s="5" t="str">
        <f>IFERROR(__xludf.DUMMYFUNCTION("""COMPUTED_VALUE"""),"")</f>
        <v/>
      </c>
      <c r="P1245" s="5" t="str">
        <f>IFERROR(__xludf.DUMMYFUNCTION("""COMPUTED_VALUE"""),"")</f>
        <v/>
      </c>
      <c r="Q1245" s="5">
        <f>IFERROR(__xludf.DUMMYFUNCTION("""COMPUTED_VALUE"""),0.006871222222222221)</f>
        <v>0.006871222222</v>
      </c>
      <c r="R1245" s="4">
        <f>IFERROR(__xludf.DUMMYFUNCTION("""COMPUTED_VALUE"""),45949.03435611478)</f>
        <v>45949.03436</v>
      </c>
      <c r="S1245" s="1" t="b">
        <f>IFERROR(__xludf.DUMMYFUNCTION("""COMPUTED_VALUE"""),TRUE)</f>
        <v>1</v>
      </c>
      <c r="T1245" s="1" t="b">
        <f>IFERROR(__xludf.DUMMYFUNCTION("""COMPUTED_VALUE"""),FALSE)</f>
        <v>0</v>
      </c>
      <c r="U1245" s="1" t="str">
        <f>IFERROR(__xludf.DUMMYFUNCTION("""COMPUTED_VALUE"""),"VALID")</f>
        <v>VALID</v>
      </c>
      <c r="V1245" s="1">
        <f>IFERROR(__xludf.DUMMYFUNCTION("""COMPUTED_VALUE"""),154.0)</f>
        <v>154</v>
      </c>
      <c r="W1245" s="1">
        <f>IFERROR(__xludf.DUMMYFUNCTION("""COMPUTED_VALUE"""),861.0)</f>
        <v>861</v>
      </c>
      <c r="X1245" s="1">
        <f>IFERROR(__xludf.DUMMYFUNCTION("""COMPUTED_VALUE"""),191.0)</f>
        <v>191</v>
      </c>
      <c r="Y1245" s="2"/>
      <c r="Z1245" s="2"/>
    </row>
    <row r="1246">
      <c r="A1246" s="1">
        <f>IFERROR(__xludf.DUMMYFUNCTION("""COMPUTED_VALUE"""),1245.0)</f>
        <v>1245</v>
      </c>
      <c r="B1246" s="1">
        <f>IFERROR(__xludf.DUMMYFUNCTION("""COMPUTED_VALUE"""),5452.0)</f>
        <v>5452</v>
      </c>
      <c r="C1246" s="2" t="str">
        <f>IFERROR(__xludf.DUMMYFUNCTION("""COMPUTED_VALUE"""),"Lina")</f>
        <v>Lina</v>
      </c>
      <c r="D1246" s="2" t="str">
        <f>IFERROR(__xludf.DUMMYFUNCTION("""COMPUTED_VALUE"""),"5KM OVERALL F")</f>
        <v>5KM OVERALL F</v>
      </c>
      <c r="E1246" s="1">
        <f>IFERROR(__xludf.DUMMYFUNCTION("""COMPUTED_VALUE"""),2.0)</f>
        <v>2</v>
      </c>
      <c r="F1246" s="1" t="str">
        <f>IFERROR(__xludf.DUMMYFUNCTION("""COMPUTED_VALUE"""),"Female")</f>
        <v>Female</v>
      </c>
      <c r="G1246" s="4" t="b">
        <f>IFERROR(__xludf.DUMMYFUNCTION("""COMPUTED_VALUE"""),TRUE)</f>
        <v>1</v>
      </c>
      <c r="H1246" s="4" t="b">
        <f>IFERROR(__xludf.DUMMYFUNCTION("""COMPUTED_VALUE"""),FALSE)</f>
        <v>0</v>
      </c>
      <c r="I1246" s="4">
        <f>IFERROR(__xludf.DUMMYFUNCTION("""COMPUTED_VALUE"""),0.2549440625)</f>
        <v>0.2549440625</v>
      </c>
      <c r="J1246" s="4">
        <f>IFERROR(__xludf.DUMMYFUNCTION("""COMPUTED_VALUE"""),45949.27451975343)</f>
        <v>45949.27452</v>
      </c>
      <c r="K1246" s="4" t="str">
        <f>IFERROR(__xludf.DUMMYFUNCTION("""COMPUTED_VALUE"""),"")</f>
        <v/>
      </c>
      <c r="L1246" s="4">
        <f>IFERROR(__xludf.DUMMYFUNCTION("""COMPUTED_VALUE"""),45949.290157876196)</f>
        <v>45949.29016</v>
      </c>
      <c r="M1246" s="1" t="str">
        <f>IFERROR(__xludf.DUMMYFUNCTION("""COMPUTED_VALUE"""),"RFID")</f>
        <v>RFID</v>
      </c>
      <c r="N1246" s="5">
        <f>IFERROR(__xludf.DUMMYFUNCTION("""COMPUTED_VALUE"""),0.007830277777777778)</f>
        <v>0.007830277778</v>
      </c>
      <c r="O1246" s="5" t="str">
        <f>IFERROR(__xludf.DUMMYFUNCTION("""COMPUTED_VALUE"""),"")</f>
        <v/>
      </c>
      <c r="P1246" s="5" t="str">
        <f>IFERROR(__xludf.DUMMYFUNCTION("""COMPUTED_VALUE"""),"")</f>
        <v/>
      </c>
      <c r="Q1246" s="5">
        <f>IFERROR(__xludf.DUMMYFUNCTION("""COMPUTED_VALUE"""),0.007042763888888889)</f>
        <v>0.007042763889</v>
      </c>
      <c r="R1246" s="4">
        <f>IFERROR(__xludf.DUMMYFUNCTION("""COMPUTED_VALUE"""),45949.035213813695)</f>
        <v>45949.03521</v>
      </c>
      <c r="S1246" s="1" t="b">
        <f>IFERROR(__xludf.DUMMYFUNCTION("""COMPUTED_VALUE"""),TRUE)</f>
        <v>1</v>
      </c>
      <c r="T1246" s="1" t="b">
        <f>IFERROR(__xludf.DUMMYFUNCTION("""COMPUTED_VALUE"""),FALSE)</f>
        <v>0</v>
      </c>
      <c r="U1246" s="1" t="str">
        <f>IFERROR(__xludf.DUMMYFUNCTION("""COMPUTED_VALUE"""),"VALID")</f>
        <v>VALID</v>
      </c>
      <c r="V1246" s="1">
        <f>IFERROR(__xludf.DUMMYFUNCTION("""COMPUTED_VALUE"""),167.0)</f>
        <v>167</v>
      </c>
      <c r="W1246" s="1">
        <f>IFERROR(__xludf.DUMMYFUNCTION("""COMPUTED_VALUE"""),898.0)</f>
        <v>898</v>
      </c>
      <c r="X1246" s="1">
        <f>IFERROR(__xludf.DUMMYFUNCTION("""COMPUTED_VALUE"""),207.0)</f>
        <v>207</v>
      </c>
      <c r="Y1246" s="2"/>
      <c r="Z1246" s="2"/>
    </row>
    <row r="1247">
      <c r="A1247" s="1">
        <f>IFERROR(__xludf.DUMMYFUNCTION("""COMPUTED_VALUE"""),1246.0)</f>
        <v>1246</v>
      </c>
      <c r="B1247" s="1">
        <f>IFERROR(__xludf.DUMMYFUNCTION("""COMPUTED_VALUE"""),5454.0)</f>
        <v>5454</v>
      </c>
      <c r="C1247" s="2" t="str">
        <f>IFERROR(__xludf.DUMMYFUNCTION("""COMPUTED_VALUE"""),"Anik")</f>
        <v>Anik</v>
      </c>
      <c r="D1247" s="2" t="str">
        <f>IFERROR(__xludf.DUMMYFUNCTION("""COMPUTED_VALUE"""),"5KM OVERALL F")</f>
        <v>5KM OVERALL F</v>
      </c>
      <c r="E1247" s="1">
        <f>IFERROR(__xludf.DUMMYFUNCTION("""COMPUTED_VALUE"""),2.0)</f>
        <v>2</v>
      </c>
      <c r="F1247" s="1" t="str">
        <f>IFERROR(__xludf.DUMMYFUNCTION("""COMPUTED_VALUE"""),"Female")</f>
        <v>Female</v>
      </c>
      <c r="G1247" s="4" t="str">
        <f>IFERROR(__xludf.DUMMYFUNCTION("""COMPUTED_VALUE"""),"")</f>
        <v/>
      </c>
      <c r="H1247" s="4" t="b">
        <f>IFERROR(__xludf.DUMMYFUNCTION("""COMPUTED_VALUE"""),FALSE)</f>
        <v>0</v>
      </c>
      <c r="I1247" s="4">
        <f>IFERROR(__xludf.DUMMYFUNCTION("""COMPUTED_VALUE"""),0.2549440625)</f>
        <v>0.2549440625</v>
      </c>
      <c r="J1247" s="4">
        <f>IFERROR(__xludf.DUMMYFUNCTION("""COMPUTED_VALUE"""),45949.28179757373)</f>
        <v>45949.2818</v>
      </c>
      <c r="K1247" s="4" t="str">
        <f>IFERROR(__xludf.DUMMYFUNCTION("""COMPUTED_VALUE"""),"")</f>
        <v/>
      </c>
      <c r="L1247" s="4">
        <f>IFERROR(__xludf.DUMMYFUNCTION("""COMPUTED_VALUE"""),45949.30097032003)</f>
        <v>45949.30097</v>
      </c>
      <c r="M1247" s="1" t="str">
        <f>IFERROR(__xludf.DUMMYFUNCTION("""COMPUTED_VALUE"""),"RFID")</f>
        <v>RFID</v>
      </c>
      <c r="N1247" s="5">
        <f>IFERROR(__xludf.DUMMYFUNCTION("""COMPUTED_VALUE"""),0.010741402777777779)</f>
        <v>0.01074140278</v>
      </c>
      <c r="O1247" s="5" t="str">
        <f>IFERROR(__xludf.DUMMYFUNCTION("""COMPUTED_VALUE"""),"")</f>
        <v/>
      </c>
      <c r="P1247" s="5" t="str">
        <f>IFERROR(__xludf.DUMMYFUNCTION("""COMPUTED_VALUE"""),"")</f>
        <v/>
      </c>
      <c r="Q1247" s="5">
        <f>IFERROR(__xludf.DUMMYFUNCTION("""COMPUTED_VALUE"""),0.009205252314814814)</f>
        <v>0.009205252315</v>
      </c>
      <c r="R1247" s="4">
        <f>IFERROR(__xludf.DUMMYFUNCTION("""COMPUTED_VALUE"""),45949.04602625753)</f>
        <v>45949.04603</v>
      </c>
      <c r="S1247" s="1" t="b">
        <f>IFERROR(__xludf.DUMMYFUNCTION("""COMPUTED_VALUE"""),FALSE)</f>
        <v>0</v>
      </c>
      <c r="T1247" s="1" t="b">
        <f>IFERROR(__xludf.DUMMYFUNCTION("""COMPUTED_VALUE"""),FALSE)</f>
        <v>0</v>
      </c>
      <c r="U1247" s="1" t="str">
        <f>IFERROR(__xludf.DUMMYFUNCTION("""COMPUTED_VALUE"""),"DSQ")</f>
        <v>DSQ</v>
      </c>
      <c r="V1247" s="1" t="str">
        <f>IFERROR(__xludf.DUMMYFUNCTION("""COMPUTED_VALUE"""),"DSQ")</f>
        <v>DSQ</v>
      </c>
      <c r="W1247" s="1" t="str">
        <f>IFERROR(__xludf.DUMMYFUNCTION("""COMPUTED_VALUE"""),"DSQ")</f>
        <v>DSQ</v>
      </c>
      <c r="X1247" s="1" t="str">
        <f>IFERROR(__xludf.DUMMYFUNCTION("""COMPUTED_VALUE"""),"DSQ")</f>
        <v>DSQ</v>
      </c>
      <c r="Y1247" s="2"/>
      <c r="Z1247" s="2"/>
    </row>
    <row r="1248">
      <c r="A1248" s="1">
        <f>IFERROR(__xludf.DUMMYFUNCTION("""COMPUTED_VALUE"""),1247.0)</f>
        <v>1247</v>
      </c>
      <c r="B1248" s="1">
        <f>IFERROR(__xludf.DUMMYFUNCTION("""COMPUTED_VALUE"""),5456.0)</f>
        <v>5456</v>
      </c>
      <c r="C1248" s="2" t="str">
        <f>IFERROR(__xludf.DUMMYFUNCTION("""COMPUTED_VALUE"""),"Abdi Sustiawan")</f>
        <v>Abdi Sustiawan</v>
      </c>
      <c r="D1248" s="2" t="str">
        <f>IFERROR(__xludf.DUMMYFUNCTION("""COMPUTED_VALUE"""),"5KM OVERALL F")</f>
        <v>5KM OVERALL F</v>
      </c>
      <c r="E1248" s="1">
        <f>IFERROR(__xludf.DUMMYFUNCTION("""COMPUTED_VALUE"""),2.0)</f>
        <v>2</v>
      </c>
      <c r="F1248" s="1" t="str">
        <f>IFERROR(__xludf.DUMMYFUNCTION("""COMPUTED_VALUE"""),"Female")</f>
        <v>Female</v>
      </c>
      <c r="G1248" s="4" t="b">
        <f>IFERROR(__xludf.DUMMYFUNCTION("""COMPUTED_VALUE"""),TRUE)</f>
        <v>1</v>
      </c>
      <c r="H1248" s="4" t="b">
        <f>IFERROR(__xludf.DUMMYFUNCTION("""COMPUTED_VALUE"""),FALSE)</f>
        <v>0</v>
      </c>
      <c r="I1248" s="4">
        <f>IFERROR(__xludf.DUMMYFUNCTION("""COMPUTED_VALUE"""),0.2549440625)</f>
        <v>0.2549440625</v>
      </c>
      <c r="J1248" s="4">
        <f>IFERROR(__xludf.DUMMYFUNCTION("""COMPUTED_VALUE"""),45949.27462050931)</f>
        <v>45949.27462</v>
      </c>
      <c r="K1248" s="4" t="str">
        <f>IFERROR(__xludf.DUMMYFUNCTION("""COMPUTED_VALUE"""),"")</f>
        <v/>
      </c>
      <c r="L1248" s="4">
        <f>IFERROR(__xludf.DUMMYFUNCTION("""COMPUTED_VALUE"""),45949.287386938515)</f>
        <v>45949.28739</v>
      </c>
      <c r="M1248" s="1" t="str">
        <f>IFERROR(__xludf.DUMMYFUNCTION("""COMPUTED_VALUE"""),"RFID")</f>
        <v>RFID</v>
      </c>
      <c r="N1248" s="5">
        <f>IFERROR(__xludf.DUMMYFUNCTION("""COMPUTED_VALUE"""),0.007870578703703704)</f>
        <v>0.007870578704</v>
      </c>
      <c r="O1248" s="5" t="str">
        <f>IFERROR(__xludf.DUMMYFUNCTION("""COMPUTED_VALUE"""),"")</f>
        <v/>
      </c>
      <c r="P1248" s="5" t="str">
        <f>IFERROR(__xludf.DUMMYFUNCTION("""COMPUTED_VALUE"""),"")</f>
        <v/>
      </c>
      <c r="Q1248" s="5">
        <f>IFERROR(__xludf.DUMMYFUNCTION("""COMPUTED_VALUE"""),0.0064885740740740746)</f>
        <v>0.006488574074</v>
      </c>
      <c r="R1248" s="4">
        <f>IFERROR(__xludf.DUMMYFUNCTION("""COMPUTED_VALUE"""),45949.032442876014)</f>
        <v>45949.03244</v>
      </c>
      <c r="S1248" s="1" t="b">
        <f>IFERROR(__xludf.DUMMYFUNCTION("""COMPUTED_VALUE"""),TRUE)</f>
        <v>1</v>
      </c>
      <c r="T1248" s="1" t="b">
        <f>IFERROR(__xludf.DUMMYFUNCTION("""COMPUTED_VALUE"""),FALSE)</f>
        <v>0</v>
      </c>
      <c r="U1248" s="1" t="str">
        <f>IFERROR(__xludf.DUMMYFUNCTION("""COMPUTED_VALUE"""),"VALID")</f>
        <v>VALID</v>
      </c>
      <c r="V1248" s="1">
        <f>IFERROR(__xludf.DUMMYFUNCTION("""COMPUTED_VALUE"""),113.0)</f>
        <v>113</v>
      </c>
      <c r="W1248" s="1">
        <f>IFERROR(__xludf.DUMMYFUNCTION("""COMPUTED_VALUE"""),727.0)</f>
        <v>727</v>
      </c>
      <c r="X1248" s="1">
        <f>IFERROR(__xludf.DUMMYFUNCTION("""COMPUTED_VALUE"""),142.0)</f>
        <v>142</v>
      </c>
      <c r="Y1248" s="2"/>
      <c r="Z1248" s="2"/>
    </row>
    <row r="1249">
      <c r="A1249" s="1">
        <f>IFERROR(__xludf.DUMMYFUNCTION("""COMPUTED_VALUE"""),1248.0)</f>
        <v>1248</v>
      </c>
      <c r="B1249" s="1">
        <f>IFERROR(__xludf.DUMMYFUNCTION("""COMPUTED_VALUE"""),5458.0)</f>
        <v>5458</v>
      </c>
      <c r="C1249" s="2" t="str">
        <f>IFERROR(__xludf.DUMMYFUNCTION("""COMPUTED_VALUE"""),"RANI")</f>
        <v>RANI</v>
      </c>
      <c r="D1249" s="2" t="str">
        <f>IFERROR(__xludf.DUMMYFUNCTION("""COMPUTED_VALUE"""),"5KM OVERALL F")</f>
        <v>5KM OVERALL F</v>
      </c>
      <c r="E1249" s="1">
        <f>IFERROR(__xludf.DUMMYFUNCTION("""COMPUTED_VALUE"""),2.0)</f>
        <v>2</v>
      </c>
      <c r="F1249" s="1" t="str">
        <f>IFERROR(__xludf.DUMMYFUNCTION("""COMPUTED_VALUE"""),"Female")</f>
        <v>Female</v>
      </c>
      <c r="G1249" s="4" t="b">
        <f>IFERROR(__xludf.DUMMYFUNCTION("""COMPUTED_VALUE"""),TRUE)</f>
        <v>1</v>
      </c>
      <c r="H1249" s="4" t="b">
        <f>IFERROR(__xludf.DUMMYFUNCTION("""COMPUTED_VALUE"""),FALSE)</f>
        <v>0</v>
      </c>
      <c r="I1249" s="4">
        <f>IFERROR(__xludf.DUMMYFUNCTION("""COMPUTED_VALUE"""),0.2549440625)</f>
        <v>0.2549440625</v>
      </c>
      <c r="J1249" s="4">
        <f>IFERROR(__xludf.DUMMYFUNCTION("""COMPUTED_VALUE"""),45949.275717672164)</f>
        <v>45949.27572</v>
      </c>
      <c r="K1249" s="4" t="str">
        <f>IFERROR(__xludf.DUMMYFUNCTION("""COMPUTED_VALUE"""),"")</f>
        <v/>
      </c>
      <c r="L1249" s="4">
        <f>IFERROR(__xludf.DUMMYFUNCTION("""COMPUTED_VALUE"""),45949.29097031717)</f>
        <v>45949.29097</v>
      </c>
      <c r="M1249" s="1" t="str">
        <f>IFERROR(__xludf.DUMMYFUNCTION("""COMPUTED_VALUE"""),"RFID")</f>
        <v>RFID</v>
      </c>
      <c r="N1249" s="5">
        <f>IFERROR(__xludf.DUMMYFUNCTION("""COMPUTED_VALUE"""),0.008309444444444444)</f>
        <v>0.008309444444</v>
      </c>
      <c r="O1249" s="5" t="str">
        <f>IFERROR(__xludf.DUMMYFUNCTION("""COMPUTED_VALUE"""),"")</f>
        <v/>
      </c>
      <c r="P1249" s="5" t="str">
        <f>IFERROR(__xludf.DUMMYFUNCTION("""COMPUTED_VALUE"""),"")</f>
        <v/>
      </c>
      <c r="Q1249" s="5">
        <f>IFERROR(__xludf.DUMMYFUNCTION("""COMPUTED_VALUE"""),0.007205250000000001)</f>
        <v>0.00720525</v>
      </c>
      <c r="R1249" s="4">
        <f>IFERROR(__xludf.DUMMYFUNCTION("""COMPUTED_VALUE"""),45949.03602625467)</f>
        <v>45949.03603</v>
      </c>
      <c r="S1249" s="1" t="b">
        <f>IFERROR(__xludf.DUMMYFUNCTION("""COMPUTED_VALUE"""),TRUE)</f>
        <v>1</v>
      </c>
      <c r="T1249" s="1" t="b">
        <f>IFERROR(__xludf.DUMMYFUNCTION("""COMPUTED_VALUE"""),FALSE)</f>
        <v>0</v>
      </c>
      <c r="U1249" s="1" t="str">
        <f>IFERROR(__xludf.DUMMYFUNCTION("""COMPUTED_VALUE"""),"VALID")</f>
        <v>VALID</v>
      </c>
      <c r="V1249" s="1">
        <f>IFERROR(__xludf.DUMMYFUNCTION("""COMPUTED_VALUE"""),189.0)</f>
        <v>189</v>
      </c>
      <c r="W1249" s="1">
        <f>IFERROR(__xludf.DUMMYFUNCTION("""COMPUTED_VALUE"""),961.0)</f>
        <v>961</v>
      </c>
      <c r="X1249" s="1">
        <f>IFERROR(__xludf.DUMMYFUNCTION("""COMPUTED_VALUE"""),238.0)</f>
        <v>238</v>
      </c>
      <c r="Y1249" s="2"/>
      <c r="Z1249" s="2"/>
    </row>
    <row r="1250">
      <c r="A1250" s="1">
        <f>IFERROR(__xludf.DUMMYFUNCTION("""COMPUTED_VALUE"""),1249.0)</f>
        <v>1249</v>
      </c>
      <c r="B1250" s="1">
        <f>IFERROR(__xludf.DUMMYFUNCTION("""COMPUTED_VALUE"""),5459.0)</f>
        <v>5459</v>
      </c>
      <c r="C1250" s="2" t="str">
        <f>IFERROR(__xludf.DUMMYFUNCTION("""COMPUTED_VALUE"""),"Uyun")</f>
        <v>Uyun</v>
      </c>
      <c r="D1250" s="2" t="str">
        <f>IFERROR(__xludf.DUMMYFUNCTION("""COMPUTED_VALUE"""),"5KM OVERALL F")</f>
        <v>5KM OVERALL F</v>
      </c>
      <c r="E1250" s="1">
        <f>IFERROR(__xludf.DUMMYFUNCTION("""COMPUTED_VALUE"""),2.0)</f>
        <v>2</v>
      </c>
      <c r="F1250" s="1" t="str">
        <f>IFERROR(__xludf.DUMMYFUNCTION("""COMPUTED_VALUE"""),"Female")</f>
        <v>Female</v>
      </c>
      <c r="G1250" s="4" t="str">
        <f>IFERROR(__xludf.DUMMYFUNCTION("""COMPUTED_VALUE"""),"")</f>
        <v/>
      </c>
      <c r="H1250" s="4" t="b">
        <f>IFERROR(__xludf.DUMMYFUNCTION("""COMPUTED_VALUE"""),FALSE)</f>
        <v>0</v>
      </c>
      <c r="I1250" s="4">
        <f>IFERROR(__xludf.DUMMYFUNCTION("""COMPUTED_VALUE"""),0.2549440625)</f>
        <v>0.2549440625</v>
      </c>
      <c r="J1250" s="4">
        <f>IFERROR(__xludf.DUMMYFUNCTION("""COMPUTED_VALUE"""),45949.27745727605)</f>
        <v>45949.27746</v>
      </c>
      <c r="K1250" s="4" t="str">
        <f>IFERROR(__xludf.DUMMYFUNCTION("""COMPUTED_VALUE"""),"")</f>
        <v/>
      </c>
      <c r="L1250" s="4">
        <f>IFERROR(__xludf.DUMMYFUNCTION("""COMPUTED_VALUE"""),45949.29587656254)</f>
        <v>45949.29588</v>
      </c>
      <c r="M1250" s="1" t="str">
        <f>IFERROR(__xludf.DUMMYFUNCTION("""COMPUTED_VALUE"""),"RFID")</f>
        <v>RFID</v>
      </c>
      <c r="N1250" s="5">
        <f>IFERROR(__xludf.DUMMYFUNCTION("""COMPUTED_VALUE"""),0.009005287037037037)</f>
        <v>0.009005287037</v>
      </c>
      <c r="O1250" s="5" t="str">
        <f>IFERROR(__xludf.DUMMYFUNCTION("""COMPUTED_VALUE"""),"")</f>
        <v/>
      </c>
      <c r="P1250" s="5" t="str">
        <f>IFERROR(__xludf.DUMMYFUNCTION("""COMPUTED_VALUE"""),"")</f>
        <v/>
      </c>
      <c r="Q1250" s="5">
        <f>IFERROR(__xludf.DUMMYFUNCTION("""COMPUTED_VALUE"""),0.008186500000000001)</f>
        <v>0.0081865</v>
      </c>
      <c r="R1250" s="4">
        <f>IFERROR(__xludf.DUMMYFUNCTION("""COMPUTED_VALUE"""),45949.04093250004)</f>
        <v>45949.04093</v>
      </c>
      <c r="S1250" s="1" t="b">
        <f>IFERROR(__xludf.DUMMYFUNCTION("""COMPUTED_VALUE"""),FALSE)</f>
        <v>0</v>
      </c>
      <c r="T1250" s="1" t="b">
        <f>IFERROR(__xludf.DUMMYFUNCTION("""COMPUTED_VALUE"""),FALSE)</f>
        <v>0</v>
      </c>
      <c r="U1250" s="1" t="str">
        <f>IFERROR(__xludf.DUMMYFUNCTION("""COMPUTED_VALUE"""),"DSQ")</f>
        <v>DSQ</v>
      </c>
      <c r="V1250" s="1" t="str">
        <f>IFERROR(__xludf.DUMMYFUNCTION("""COMPUTED_VALUE"""),"DSQ")</f>
        <v>DSQ</v>
      </c>
      <c r="W1250" s="1" t="str">
        <f>IFERROR(__xludf.DUMMYFUNCTION("""COMPUTED_VALUE"""),"DSQ")</f>
        <v>DSQ</v>
      </c>
      <c r="X1250" s="1" t="str">
        <f>IFERROR(__xludf.DUMMYFUNCTION("""COMPUTED_VALUE"""),"DSQ")</f>
        <v>DSQ</v>
      </c>
      <c r="Y1250" s="2"/>
      <c r="Z1250" s="2"/>
    </row>
    <row r="1251">
      <c r="A1251" s="1">
        <f>IFERROR(__xludf.DUMMYFUNCTION("""COMPUTED_VALUE"""),1250.0)</f>
        <v>1250</v>
      </c>
      <c r="B1251" s="1">
        <f>IFERROR(__xludf.DUMMYFUNCTION("""COMPUTED_VALUE"""),5464.0)</f>
        <v>5464</v>
      </c>
      <c r="C1251" s="2" t="str">
        <f>IFERROR(__xludf.DUMMYFUNCTION("""COMPUTED_VALUE"""),"Rahmawati")</f>
        <v>Rahmawati</v>
      </c>
      <c r="D1251" s="2" t="str">
        <f>IFERROR(__xludf.DUMMYFUNCTION("""COMPUTED_VALUE"""),"5KM OVERALL F")</f>
        <v>5KM OVERALL F</v>
      </c>
      <c r="E1251" s="1">
        <f>IFERROR(__xludf.DUMMYFUNCTION("""COMPUTED_VALUE"""),2.0)</f>
        <v>2</v>
      </c>
      <c r="F1251" s="1" t="str">
        <f>IFERROR(__xludf.DUMMYFUNCTION("""COMPUTED_VALUE"""),"Female")</f>
        <v>Female</v>
      </c>
      <c r="G1251" s="4" t="b">
        <f>IFERROR(__xludf.DUMMYFUNCTION("""COMPUTED_VALUE"""),TRUE)</f>
        <v>1</v>
      </c>
      <c r="H1251" s="4" t="b">
        <f>IFERROR(__xludf.DUMMYFUNCTION("""COMPUTED_VALUE"""),FALSE)</f>
        <v>0</v>
      </c>
      <c r="I1251" s="4">
        <f>IFERROR(__xludf.DUMMYFUNCTION("""COMPUTED_VALUE"""),0.2549440625)</f>
        <v>0.2549440625</v>
      </c>
      <c r="J1251" s="4">
        <f>IFERROR(__xludf.DUMMYFUNCTION("""COMPUTED_VALUE"""),45949.281564889156)</f>
        <v>45949.28156</v>
      </c>
      <c r="K1251" s="4" t="str">
        <f>IFERROR(__xludf.DUMMYFUNCTION("""COMPUTED_VALUE"""),"")</f>
        <v/>
      </c>
      <c r="L1251" s="4">
        <f>IFERROR(__xludf.DUMMYFUNCTION("""COMPUTED_VALUE"""),45949.300202951046)</f>
        <v>45949.3002</v>
      </c>
      <c r="M1251" s="1" t="str">
        <f>IFERROR(__xludf.DUMMYFUNCTION("""COMPUTED_VALUE"""),"RFID")</f>
        <v>RFID</v>
      </c>
      <c r="N1251" s="5">
        <f>IFERROR(__xludf.DUMMYFUNCTION("""COMPUTED_VALUE"""),0.010648328703703705)</f>
        <v>0.0106483287</v>
      </c>
      <c r="O1251" s="5" t="str">
        <f>IFERROR(__xludf.DUMMYFUNCTION("""COMPUTED_VALUE"""),"")</f>
        <v/>
      </c>
      <c r="P1251" s="5" t="str">
        <f>IFERROR(__xludf.DUMMYFUNCTION("""COMPUTED_VALUE"""),"")</f>
        <v/>
      </c>
      <c r="Q1251" s="5">
        <f>IFERROR(__xludf.DUMMYFUNCTION("""COMPUTED_VALUE"""),0.009051777777777778)</f>
        <v>0.009051777778</v>
      </c>
      <c r="R1251" s="4">
        <f>IFERROR(__xludf.DUMMYFUNCTION("""COMPUTED_VALUE"""),45949.045258888546)</f>
        <v>45949.04526</v>
      </c>
      <c r="S1251" s="1" t="b">
        <f>IFERROR(__xludf.DUMMYFUNCTION("""COMPUTED_VALUE"""),TRUE)</f>
        <v>1</v>
      </c>
      <c r="T1251" s="1" t="b">
        <f>IFERROR(__xludf.DUMMYFUNCTION("""COMPUTED_VALUE"""),FALSE)</f>
        <v>0</v>
      </c>
      <c r="U1251" s="1" t="str">
        <f>IFERROR(__xludf.DUMMYFUNCTION("""COMPUTED_VALUE"""),"VALID")</f>
        <v>VALID</v>
      </c>
      <c r="V1251" s="1">
        <f>IFERROR(__xludf.DUMMYFUNCTION("""COMPUTED_VALUE"""),424.0)</f>
        <v>424</v>
      </c>
      <c r="W1251" s="1">
        <f>IFERROR(__xludf.DUMMYFUNCTION("""COMPUTED_VALUE"""),1459.0)</f>
        <v>1459</v>
      </c>
      <c r="X1251" s="1">
        <f>IFERROR(__xludf.DUMMYFUNCTION("""COMPUTED_VALUE"""),519.0)</f>
        <v>519</v>
      </c>
      <c r="Y1251" s="2"/>
      <c r="Z1251" s="2"/>
    </row>
    <row r="1252">
      <c r="A1252" s="1">
        <f>IFERROR(__xludf.DUMMYFUNCTION("""COMPUTED_VALUE"""),1251.0)</f>
        <v>1251</v>
      </c>
      <c r="B1252" s="1">
        <f>IFERROR(__xludf.DUMMYFUNCTION("""COMPUTED_VALUE"""),5466.0)</f>
        <v>5466</v>
      </c>
      <c r="C1252" s="2" t="str">
        <f>IFERROR(__xludf.DUMMYFUNCTION("""COMPUTED_VALUE"""),"LILIA OCTA")</f>
        <v>LILIA OCTA</v>
      </c>
      <c r="D1252" s="2" t="str">
        <f>IFERROR(__xludf.DUMMYFUNCTION("""COMPUTED_VALUE"""),"5KM OVERALL F")</f>
        <v>5KM OVERALL F</v>
      </c>
      <c r="E1252" s="1">
        <f>IFERROR(__xludf.DUMMYFUNCTION("""COMPUTED_VALUE"""),2.0)</f>
        <v>2</v>
      </c>
      <c r="F1252" s="1" t="str">
        <f>IFERROR(__xludf.DUMMYFUNCTION("""COMPUTED_VALUE"""),"Female")</f>
        <v>Female</v>
      </c>
      <c r="G1252" s="4" t="str">
        <f>IFERROR(__xludf.DUMMYFUNCTION("""COMPUTED_VALUE"""),"")</f>
        <v/>
      </c>
      <c r="H1252" s="4" t="b">
        <f>IFERROR(__xludf.DUMMYFUNCTION("""COMPUTED_VALUE"""),FALSE)</f>
        <v>0</v>
      </c>
      <c r="I1252" s="4">
        <f>IFERROR(__xludf.DUMMYFUNCTION("""COMPUTED_VALUE"""),0.2549440625)</f>
        <v>0.2549440625</v>
      </c>
      <c r="J1252" s="4" t="str">
        <f>IFERROR(__xludf.DUMMYFUNCTION("""COMPUTED_VALUE"""),"")</f>
        <v/>
      </c>
      <c r="K1252" s="4" t="str">
        <f>IFERROR(__xludf.DUMMYFUNCTION("""COMPUTED_VALUE"""),"")</f>
        <v/>
      </c>
      <c r="L1252" s="4" t="str">
        <f>IFERROR(__xludf.DUMMYFUNCTION("""COMPUTED_VALUE"""),"")</f>
        <v/>
      </c>
      <c r="M1252" s="1" t="str">
        <f>IFERROR(__xludf.DUMMYFUNCTION("""COMPUTED_VALUE"""),"RFID")</f>
        <v>RFID</v>
      </c>
      <c r="N1252" s="5" t="str">
        <f>IFERROR(__xludf.DUMMYFUNCTION("""COMPUTED_VALUE"""),"")</f>
        <v/>
      </c>
      <c r="O1252" s="5" t="str">
        <f>IFERROR(__xludf.DUMMYFUNCTION("""COMPUTED_VALUE"""),"")</f>
        <v/>
      </c>
      <c r="P1252" s="5" t="str">
        <f>IFERROR(__xludf.DUMMYFUNCTION("""COMPUTED_VALUE"""),"")</f>
        <v/>
      </c>
      <c r="Q1252" s="5" t="str">
        <f>IFERROR(__xludf.DUMMYFUNCTION("""COMPUTED_VALUE"""),"")</f>
        <v/>
      </c>
      <c r="R1252" s="4" t="str">
        <f>IFERROR(__xludf.DUMMYFUNCTION("""COMPUTED_VALUE"""),"")</f>
        <v/>
      </c>
      <c r="S1252" s="1" t="b">
        <f>IFERROR(__xludf.DUMMYFUNCTION("""COMPUTED_VALUE"""),FALSE)</f>
        <v>0</v>
      </c>
      <c r="T1252" s="1" t="b">
        <f>IFERROR(__xludf.DUMMYFUNCTION("""COMPUTED_VALUE"""),FALSE)</f>
        <v>0</v>
      </c>
      <c r="U1252" s="1" t="str">
        <f>IFERROR(__xludf.DUMMYFUNCTION("""COMPUTED_VALUE"""),"DSQ")</f>
        <v>DSQ</v>
      </c>
      <c r="V1252" s="1" t="str">
        <f>IFERROR(__xludf.DUMMYFUNCTION("""COMPUTED_VALUE"""),"DSQ")</f>
        <v>DSQ</v>
      </c>
      <c r="W1252" s="1" t="str">
        <f>IFERROR(__xludf.DUMMYFUNCTION("""COMPUTED_VALUE"""),"DSQ")</f>
        <v>DSQ</v>
      </c>
      <c r="X1252" s="1" t="str">
        <f>IFERROR(__xludf.DUMMYFUNCTION("""COMPUTED_VALUE"""),"DSQ")</f>
        <v>DSQ</v>
      </c>
      <c r="Y1252" s="2"/>
      <c r="Z1252" s="2" t="str">
        <f>IFERROR(__xludf.DUMMYFUNCTION("""COMPUTED_VALUE"""),"")</f>
        <v/>
      </c>
    </row>
    <row r="1253">
      <c r="A1253" s="1">
        <f>IFERROR(__xludf.DUMMYFUNCTION("""COMPUTED_VALUE"""),1252.0)</f>
        <v>1252</v>
      </c>
      <c r="B1253" s="1">
        <f>IFERROR(__xludf.DUMMYFUNCTION("""COMPUTED_VALUE"""),5468.0)</f>
        <v>5468</v>
      </c>
      <c r="C1253" s="2" t="str">
        <f>IFERROR(__xludf.DUMMYFUNCTION("""COMPUTED_VALUE"""),"Regista Tri Puspitasari")</f>
        <v>Regista Tri Puspitasari</v>
      </c>
      <c r="D1253" s="2" t="str">
        <f>IFERROR(__xludf.DUMMYFUNCTION("""COMPUTED_VALUE"""),"5KM OVERALL F")</f>
        <v>5KM OVERALL F</v>
      </c>
      <c r="E1253" s="1">
        <f>IFERROR(__xludf.DUMMYFUNCTION("""COMPUTED_VALUE"""),2.0)</f>
        <v>2</v>
      </c>
      <c r="F1253" s="1" t="str">
        <f>IFERROR(__xludf.DUMMYFUNCTION("""COMPUTED_VALUE"""),"Female")</f>
        <v>Female</v>
      </c>
      <c r="G1253" s="4" t="b">
        <f>IFERROR(__xludf.DUMMYFUNCTION("""COMPUTED_VALUE"""),TRUE)</f>
        <v>1</v>
      </c>
      <c r="H1253" s="4" t="b">
        <f>IFERROR(__xludf.DUMMYFUNCTION("""COMPUTED_VALUE"""),FALSE)</f>
        <v>0</v>
      </c>
      <c r="I1253" s="4">
        <f>IFERROR(__xludf.DUMMYFUNCTION("""COMPUTED_VALUE"""),0.2549440625)</f>
        <v>0.2549440625</v>
      </c>
      <c r="J1253" s="4">
        <f>IFERROR(__xludf.DUMMYFUNCTION("""COMPUTED_VALUE"""),45949.28156492388)</f>
        <v>45949.28156</v>
      </c>
      <c r="K1253" s="4" t="str">
        <f>IFERROR(__xludf.DUMMYFUNCTION("""COMPUTED_VALUE"""),"")</f>
        <v/>
      </c>
      <c r="L1253" s="4">
        <f>IFERROR(__xludf.DUMMYFUNCTION("""COMPUTED_VALUE"""),45949.30017517592)</f>
        <v>45949.30018</v>
      </c>
      <c r="M1253" s="1" t="str">
        <f>IFERROR(__xludf.DUMMYFUNCTION("""COMPUTED_VALUE"""),"RFID")</f>
        <v>RFID</v>
      </c>
      <c r="N1253" s="5">
        <f>IFERROR(__xludf.DUMMYFUNCTION("""COMPUTED_VALUE"""),0.010648342592592593)</f>
        <v>0.01064834259</v>
      </c>
      <c r="O1253" s="5" t="str">
        <f>IFERROR(__xludf.DUMMYFUNCTION("""COMPUTED_VALUE"""),"")</f>
        <v/>
      </c>
      <c r="P1253" s="5" t="str">
        <f>IFERROR(__xludf.DUMMYFUNCTION("""COMPUTED_VALUE"""),"")</f>
        <v/>
      </c>
      <c r="Q1253" s="5">
        <f>IFERROR(__xludf.DUMMYFUNCTION("""COMPUTED_VALUE"""),0.009046222222222223)</f>
        <v>0.009046222222</v>
      </c>
      <c r="R1253" s="4">
        <f>IFERROR(__xludf.DUMMYFUNCTION("""COMPUTED_VALUE"""),45949.04523111342)</f>
        <v>45949.04523</v>
      </c>
      <c r="S1253" s="1" t="b">
        <f>IFERROR(__xludf.DUMMYFUNCTION("""COMPUTED_VALUE"""),TRUE)</f>
        <v>1</v>
      </c>
      <c r="T1253" s="1" t="b">
        <f>IFERROR(__xludf.DUMMYFUNCTION("""COMPUTED_VALUE"""),FALSE)</f>
        <v>0</v>
      </c>
      <c r="U1253" s="1" t="str">
        <f>IFERROR(__xludf.DUMMYFUNCTION("""COMPUTED_VALUE"""),"VALID")</f>
        <v>VALID</v>
      </c>
      <c r="V1253" s="1">
        <f>IFERROR(__xludf.DUMMYFUNCTION("""COMPUTED_VALUE"""),422.0)</f>
        <v>422</v>
      </c>
      <c r="W1253" s="1">
        <f>IFERROR(__xludf.DUMMYFUNCTION("""COMPUTED_VALUE"""),1457.0)</f>
        <v>1457</v>
      </c>
      <c r="X1253" s="1">
        <f>IFERROR(__xludf.DUMMYFUNCTION("""COMPUTED_VALUE"""),517.0)</f>
        <v>517</v>
      </c>
      <c r="Y1253" s="2"/>
      <c r="Z1253" s="2"/>
    </row>
    <row r="1254">
      <c r="A1254" s="1">
        <f>IFERROR(__xludf.DUMMYFUNCTION("""COMPUTED_VALUE"""),1253.0)</f>
        <v>1253</v>
      </c>
      <c r="B1254" s="1">
        <f>IFERROR(__xludf.DUMMYFUNCTION("""COMPUTED_VALUE"""),5470.0)</f>
        <v>5470</v>
      </c>
      <c r="C1254" s="2" t="str">
        <f>IFERROR(__xludf.DUMMYFUNCTION("""COMPUTED_VALUE"""),"Elya Dwi Apriyani")</f>
        <v>Elya Dwi Apriyani</v>
      </c>
      <c r="D1254" s="2" t="str">
        <f>IFERROR(__xludf.DUMMYFUNCTION("""COMPUTED_VALUE"""),"5KM OVERALL F")</f>
        <v>5KM OVERALL F</v>
      </c>
      <c r="E1254" s="1">
        <f>IFERROR(__xludf.DUMMYFUNCTION("""COMPUTED_VALUE"""),2.0)</f>
        <v>2</v>
      </c>
      <c r="F1254" s="1" t="str">
        <f>IFERROR(__xludf.DUMMYFUNCTION("""COMPUTED_VALUE"""),"Female")</f>
        <v>Female</v>
      </c>
      <c r="G1254" s="4" t="str">
        <f>IFERROR(__xludf.DUMMYFUNCTION("""COMPUTED_VALUE"""),"")</f>
        <v/>
      </c>
      <c r="H1254" s="4" t="b">
        <f>IFERROR(__xludf.DUMMYFUNCTION("""COMPUTED_VALUE"""),FALSE)</f>
        <v>0</v>
      </c>
      <c r="I1254" s="4">
        <f>IFERROR(__xludf.DUMMYFUNCTION("""COMPUTED_VALUE"""),0.2549440625)</f>
        <v>0.2549440625</v>
      </c>
      <c r="J1254" s="4" t="str">
        <f>IFERROR(__xludf.DUMMYFUNCTION("""COMPUTED_VALUE"""),"")</f>
        <v/>
      </c>
      <c r="K1254" s="4" t="str">
        <f>IFERROR(__xludf.DUMMYFUNCTION("""COMPUTED_VALUE"""),"")</f>
        <v/>
      </c>
      <c r="L1254" s="4" t="str">
        <f>IFERROR(__xludf.DUMMYFUNCTION("""COMPUTED_VALUE"""),"")</f>
        <v/>
      </c>
      <c r="M1254" s="1" t="str">
        <f>IFERROR(__xludf.DUMMYFUNCTION("""COMPUTED_VALUE"""),"RFID")</f>
        <v>RFID</v>
      </c>
      <c r="N1254" s="5" t="str">
        <f>IFERROR(__xludf.DUMMYFUNCTION("""COMPUTED_VALUE"""),"")</f>
        <v/>
      </c>
      <c r="O1254" s="5" t="str">
        <f>IFERROR(__xludf.DUMMYFUNCTION("""COMPUTED_VALUE"""),"")</f>
        <v/>
      </c>
      <c r="P1254" s="5" t="str">
        <f>IFERROR(__xludf.DUMMYFUNCTION("""COMPUTED_VALUE"""),"")</f>
        <v/>
      </c>
      <c r="Q1254" s="5" t="str">
        <f>IFERROR(__xludf.DUMMYFUNCTION("""COMPUTED_VALUE"""),"")</f>
        <v/>
      </c>
      <c r="R1254" s="4" t="str">
        <f>IFERROR(__xludf.DUMMYFUNCTION("""COMPUTED_VALUE"""),"")</f>
        <v/>
      </c>
      <c r="S1254" s="1" t="b">
        <f>IFERROR(__xludf.DUMMYFUNCTION("""COMPUTED_VALUE"""),FALSE)</f>
        <v>0</v>
      </c>
      <c r="T1254" s="1" t="b">
        <f>IFERROR(__xludf.DUMMYFUNCTION("""COMPUTED_VALUE"""),FALSE)</f>
        <v>0</v>
      </c>
      <c r="U1254" s="1" t="str">
        <f>IFERROR(__xludf.DUMMYFUNCTION("""COMPUTED_VALUE"""),"DSQ")</f>
        <v>DSQ</v>
      </c>
      <c r="V1254" s="1" t="str">
        <f>IFERROR(__xludf.DUMMYFUNCTION("""COMPUTED_VALUE"""),"DSQ")</f>
        <v>DSQ</v>
      </c>
      <c r="W1254" s="1" t="str">
        <f>IFERROR(__xludf.DUMMYFUNCTION("""COMPUTED_VALUE"""),"DSQ")</f>
        <v>DSQ</v>
      </c>
      <c r="X1254" s="1" t="str">
        <f>IFERROR(__xludf.DUMMYFUNCTION("""COMPUTED_VALUE"""),"DSQ")</f>
        <v>DSQ</v>
      </c>
      <c r="Y1254" s="2"/>
      <c r="Z1254" s="2" t="str">
        <f>IFERROR(__xludf.DUMMYFUNCTION("""COMPUTED_VALUE"""),"")</f>
        <v/>
      </c>
    </row>
    <row r="1255">
      <c r="A1255" s="1">
        <f>IFERROR(__xludf.DUMMYFUNCTION("""COMPUTED_VALUE"""),1254.0)</f>
        <v>1254</v>
      </c>
      <c r="B1255" s="1">
        <f>IFERROR(__xludf.DUMMYFUNCTION("""COMPUTED_VALUE"""),5476.0)</f>
        <v>5476</v>
      </c>
      <c r="C1255" s="2" t="str">
        <f>IFERROR(__xludf.DUMMYFUNCTION("""COMPUTED_VALUE"""),"Ratna")</f>
        <v>Ratna</v>
      </c>
      <c r="D1255" s="2" t="str">
        <f>IFERROR(__xludf.DUMMYFUNCTION("""COMPUTED_VALUE"""),"5KM OVERALL F")</f>
        <v>5KM OVERALL F</v>
      </c>
      <c r="E1255" s="1">
        <f>IFERROR(__xludf.DUMMYFUNCTION("""COMPUTED_VALUE"""),2.0)</f>
        <v>2</v>
      </c>
      <c r="F1255" s="1" t="str">
        <f>IFERROR(__xludf.DUMMYFUNCTION("""COMPUTED_VALUE"""),"Female")</f>
        <v>Female</v>
      </c>
      <c r="G1255" s="4" t="b">
        <f>IFERROR(__xludf.DUMMYFUNCTION("""COMPUTED_VALUE"""),TRUE)</f>
        <v>1</v>
      </c>
      <c r="H1255" s="4" t="b">
        <f>IFERROR(__xludf.DUMMYFUNCTION("""COMPUTED_VALUE"""),TRUE)</f>
        <v>1</v>
      </c>
      <c r="I1255" s="4">
        <f>IFERROR(__xludf.DUMMYFUNCTION("""COMPUTED_VALUE"""),0.2549440625)</f>
        <v>0.2549440625</v>
      </c>
      <c r="J1255" s="4">
        <f>IFERROR(__xludf.DUMMYFUNCTION("""COMPUTED_VALUE"""),45949.284255927334)</f>
        <v>45949.28426</v>
      </c>
      <c r="K1255" s="4" t="str">
        <f>IFERROR(__xludf.DUMMYFUNCTION("""COMPUTED_VALUE"""),"")</f>
        <v/>
      </c>
      <c r="L1255" s="4">
        <f>IFERROR(__xludf.DUMMYFUNCTION("""COMPUTED_VALUE"""),45949.30367165286)</f>
        <v>45949.30367</v>
      </c>
      <c r="M1255" s="1" t="str">
        <f>IFERROR(__xludf.DUMMYFUNCTION("""COMPUTED_VALUE"""),"RFID")</f>
        <v>RFID</v>
      </c>
      <c r="N1255" s="5">
        <f>IFERROR(__xludf.DUMMYFUNCTION("""COMPUTED_VALUE"""),0.011724745370370371)</f>
        <v>0.01172474537</v>
      </c>
      <c r="O1255" s="5" t="str">
        <f>IFERROR(__xludf.DUMMYFUNCTION("""COMPUTED_VALUE"""),"")</f>
        <v/>
      </c>
      <c r="P1255" s="5" t="str">
        <f>IFERROR(__xludf.DUMMYFUNCTION("""COMPUTED_VALUE"""),"")</f>
        <v/>
      </c>
      <c r="Q1255" s="5">
        <f>IFERROR(__xludf.DUMMYFUNCTION("""COMPUTED_VALUE"""),0.009745518518518518)</f>
        <v>0.009745518519</v>
      </c>
      <c r="R1255" s="4">
        <f>IFERROR(__xludf.DUMMYFUNCTION("""COMPUTED_VALUE"""),45949.04872759036)</f>
        <v>45949.04873</v>
      </c>
      <c r="S1255" s="1" t="b">
        <f>IFERROR(__xludf.DUMMYFUNCTION("""COMPUTED_VALUE"""),TRUE)</f>
        <v>1</v>
      </c>
      <c r="T1255" s="1" t="b">
        <f>IFERROR(__xludf.DUMMYFUNCTION("""COMPUTED_VALUE"""),FALSE)</f>
        <v>0</v>
      </c>
      <c r="U1255" s="1" t="str">
        <f>IFERROR(__xludf.DUMMYFUNCTION("""COMPUTED_VALUE"""),"VALID")</f>
        <v>VALID</v>
      </c>
      <c r="V1255" s="1">
        <f>IFERROR(__xludf.DUMMYFUNCTION("""COMPUTED_VALUE"""),480.0)</f>
        <v>480</v>
      </c>
      <c r="W1255" s="1">
        <f>IFERROR(__xludf.DUMMYFUNCTION("""COMPUTED_VALUE"""),1558.0)</f>
        <v>1558</v>
      </c>
      <c r="X1255" s="1">
        <f>IFERROR(__xludf.DUMMYFUNCTION("""COMPUTED_VALUE"""),586.0)</f>
        <v>586</v>
      </c>
      <c r="Y1255" s="2"/>
      <c r="Z1255" s="2"/>
    </row>
    <row r="1256">
      <c r="A1256" s="1">
        <f>IFERROR(__xludf.DUMMYFUNCTION("""COMPUTED_VALUE"""),1255.0)</f>
        <v>1255</v>
      </c>
      <c r="B1256" s="1">
        <f>IFERROR(__xludf.DUMMYFUNCTION("""COMPUTED_VALUE"""),5477.0)</f>
        <v>5477</v>
      </c>
      <c r="C1256" s="2" t="str">
        <f>IFERROR(__xludf.DUMMYFUNCTION("""COMPUTED_VALUE"""),"Siti Asphia")</f>
        <v>Siti Asphia</v>
      </c>
      <c r="D1256" s="2" t="str">
        <f>IFERROR(__xludf.DUMMYFUNCTION("""COMPUTED_VALUE"""),"5KM OVERALL F")</f>
        <v>5KM OVERALL F</v>
      </c>
      <c r="E1256" s="1">
        <f>IFERROR(__xludf.DUMMYFUNCTION("""COMPUTED_VALUE"""),2.0)</f>
        <v>2</v>
      </c>
      <c r="F1256" s="1" t="str">
        <f>IFERROR(__xludf.DUMMYFUNCTION("""COMPUTED_VALUE"""),"Female")</f>
        <v>Female</v>
      </c>
      <c r="G1256" s="4" t="b">
        <f>IFERROR(__xludf.DUMMYFUNCTION("""COMPUTED_VALUE"""),TRUE)</f>
        <v>1</v>
      </c>
      <c r="H1256" s="4" t="b">
        <f>IFERROR(__xludf.DUMMYFUNCTION("""COMPUTED_VALUE"""),FALSE)</f>
        <v>0</v>
      </c>
      <c r="I1256" s="4">
        <f>IFERROR(__xludf.DUMMYFUNCTION("""COMPUTED_VALUE"""),0.2549440625)</f>
        <v>0.2549440625</v>
      </c>
      <c r="J1256" s="4">
        <f>IFERROR(__xludf.DUMMYFUNCTION("""COMPUTED_VALUE"""),45949.276679518975)</f>
        <v>45949.27668</v>
      </c>
      <c r="K1256" s="4" t="str">
        <f>IFERROR(__xludf.DUMMYFUNCTION("""COMPUTED_VALUE"""),"")</f>
        <v/>
      </c>
      <c r="L1256" s="4">
        <f>IFERROR(__xludf.DUMMYFUNCTION("""COMPUTED_VALUE"""),45949.292789735344)</f>
        <v>45949.29279</v>
      </c>
      <c r="M1256" s="1" t="str">
        <f>IFERROR(__xludf.DUMMYFUNCTION("""COMPUTED_VALUE"""),"RFID")</f>
        <v>RFID</v>
      </c>
      <c r="N1256" s="5">
        <f>IFERROR(__xludf.DUMMYFUNCTION("""COMPUTED_VALUE"""),0.008694180555555556)</f>
        <v>0.008694180556</v>
      </c>
      <c r="O1256" s="5" t="str">
        <f>IFERROR(__xludf.DUMMYFUNCTION("""COMPUTED_VALUE"""),"")</f>
        <v/>
      </c>
      <c r="P1256" s="5" t="str">
        <f>IFERROR(__xludf.DUMMYFUNCTION("""COMPUTED_VALUE"""),"")</f>
        <v/>
      </c>
      <c r="Q1256" s="5">
        <f>IFERROR(__xludf.DUMMYFUNCTION("""COMPUTED_VALUE"""),0.00756913425925926)</f>
        <v>0.007569134259</v>
      </c>
      <c r="R1256" s="4">
        <f>IFERROR(__xludf.DUMMYFUNCTION("""COMPUTED_VALUE"""),45949.03784567284)</f>
        <v>45949.03785</v>
      </c>
      <c r="S1256" s="1" t="b">
        <f>IFERROR(__xludf.DUMMYFUNCTION("""COMPUTED_VALUE"""),TRUE)</f>
        <v>1</v>
      </c>
      <c r="T1256" s="1" t="b">
        <f>IFERROR(__xludf.DUMMYFUNCTION("""COMPUTED_VALUE"""),FALSE)</f>
        <v>0</v>
      </c>
      <c r="U1256" s="1" t="str">
        <f>IFERROR(__xludf.DUMMYFUNCTION("""COMPUTED_VALUE"""),"VALID")</f>
        <v>VALID</v>
      </c>
      <c r="V1256" s="1">
        <f>IFERROR(__xludf.DUMMYFUNCTION("""COMPUTED_VALUE"""),249.0)</f>
        <v>249</v>
      </c>
      <c r="W1256" s="1">
        <f>IFERROR(__xludf.DUMMYFUNCTION("""COMPUTED_VALUE"""),1092.0)</f>
        <v>1092</v>
      </c>
      <c r="X1256" s="1">
        <f>IFERROR(__xludf.DUMMYFUNCTION("""COMPUTED_VALUE"""),306.0)</f>
        <v>306</v>
      </c>
      <c r="Y1256" s="2"/>
      <c r="Z1256" s="2"/>
    </row>
    <row r="1257">
      <c r="A1257" s="1">
        <f>IFERROR(__xludf.DUMMYFUNCTION("""COMPUTED_VALUE"""),1256.0)</f>
        <v>1256</v>
      </c>
      <c r="B1257" s="1">
        <f>IFERROR(__xludf.DUMMYFUNCTION("""COMPUTED_VALUE"""),5478.0)</f>
        <v>5478</v>
      </c>
      <c r="C1257" s="2" t="str">
        <f>IFERROR(__xludf.DUMMYFUNCTION("""COMPUTED_VALUE"""),"Hestyusda")</f>
        <v>Hestyusda</v>
      </c>
      <c r="D1257" s="2" t="str">
        <f>IFERROR(__xludf.DUMMYFUNCTION("""COMPUTED_VALUE"""),"5KM OVERALL F")</f>
        <v>5KM OVERALL F</v>
      </c>
      <c r="E1257" s="1">
        <f>IFERROR(__xludf.DUMMYFUNCTION("""COMPUTED_VALUE"""),2.0)</f>
        <v>2</v>
      </c>
      <c r="F1257" s="1" t="str">
        <f>IFERROR(__xludf.DUMMYFUNCTION("""COMPUTED_VALUE"""),"Female")</f>
        <v>Female</v>
      </c>
      <c r="G1257" s="4" t="b">
        <f>IFERROR(__xludf.DUMMYFUNCTION("""COMPUTED_VALUE"""),TRUE)</f>
        <v>1</v>
      </c>
      <c r="H1257" s="4" t="b">
        <f>IFERROR(__xludf.DUMMYFUNCTION("""COMPUTED_VALUE"""),TRUE)</f>
        <v>1</v>
      </c>
      <c r="I1257" s="4">
        <f>IFERROR(__xludf.DUMMYFUNCTION("""COMPUTED_VALUE"""),0.2549440625)</f>
        <v>0.2549440625</v>
      </c>
      <c r="J1257" s="4">
        <f>IFERROR(__xludf.DUMMYFUNCTION("""COMPUTED_VALUE"""),45949.276082322845)</f>
        <v>45949.27608</v>
      </c>
      <c r="K1257" s="4" t="str">
        <f>IFERROR(__xludf.DUMMYFUNCTION("""COMPUTED_VALUE"""),"")</f>
        <v/>
      </c>
      <c r="L1257" s="4">
        <f>IFERROR(__xludf.DUMMYFUNCTION("""COMPUTED_VALUE"""),45949.29153727164)</f>
        <v>45949.29154</v>
      </c>
      <c r="M1257" s="1" t="str">
        <f>IFERROR(__xludf.DUMMYFUNCTION("""COMPUTED_VALUE"""),"RFID")</f>
        <v>RFID</v>
      </c>
      <c r="N1257" s="5">
        <f>IFERROR(__xludf.DUMMYFUNCTION("""COMPUTED_VALUE"""),0.008455305555555556)</f>
        <v>0.008455305556</v>
      </c>
      <c r="O1257" s="5" t="str">
        <f>IFERROR(__xludf.DUMMYFUNCTION("""COMPUTED_VALUE"""),"")</f>
        <v/>
      </c>
      <c r="P1257" s="5" t="str">
        <f>IFERROR(__xludf.DUMMYFUNCTION("""COMPUTED_VALUE"""),"")</f>
        <v/>
      </c>
      <c r="Q1257" s="5">
        <f>IFERROR(__xludf.DUMMYFUNCTION("""COMPUTED_VALUE"""),0.007318641203703703)</f>
        <v>0.007318641204</v>
      </c>
      <c r="R1257" s="4">
        <f>IFERROR(__xludf.DUMMYFUNCTION("""COMPUTED_VALUE"""),45949.03659320914)</f>
        <v>45949.03659</v>
      </c>
      <c r="S1257" s="1" t="b">
        <f>IFERROR(__xludf.DUMMYFUNCTION("""COMPUTED_VALUE"""),TRUE)</f>
        <v>1</v>
      </c>
      <c r="T1257" s="1" t="b">
        <f>IFERROR(__xludf.DUMMYFUNCTION("""COMPUTED_VALUE"""),FALSE)</f>
        <v>0</v>
      </c>
      <c r="U1257" s="1" t="str">
        <f>IFERROR(__xludf.DUMMYFUNCTION("""COMPUTED_VALUE"""),"VALID")</f>
        <v>VALID</v>
      </c>
      <c r="V1257" s="1">
        <f>IFERROR(__xludf.DUMMYFUNCTION("""COMPUTED_VALUE"""),205.0)</f>
        <v>205</v>
      </c>
      <c r="W1257" s="1">
        <f>IFERROR(__xludf.DUMMYFUNCTION("""COMPUTED_VALUE"""),1000.0)</f>
        <v>1000</v>
      </c>
      <c r="X1257" s="1">
        <f>IFERROR(__xludf.DUMMYFUNCTION("""COMPUTED_VALUE"""),256.0)</f>
        <v>256</v>
      </c>
      <c r="Y1257" s="2"/>
      <c r="Z1257" s="2"/>
    </row>
    <row r="1258">
      <c r="A1258" s="1">
        <f>IFERROR(__xludf.DUMMYFUNCTION("""COMPUTED_VALUE"""),1257.0)</f>
        <v>1257</v>
      </c>
      <c r="B1258" s="1">
        <f>IFERROR(__xludf.DUMMYFUNCTION("""COMPUTED_VALUE"""),5480.0)</f>
        <v>5480</v>
      </c>
      <c r="C1258" s="2" t="str">
        <f>IFERROR(__xludf.DUMMYFUNCTION("""COMPUTED_VALUE"""),"ENO")</f>
        <v>ENO</v>
      </c>
      <c r="D1258" s="2" t="str">
        <f>IFERROR(__xludf.DUMMYFUNCTION("""COMPUTED_VALUE"""),"5KM OVERALL F")</f>
        <v>5KM OVERALL F</v>
      </c>
      <c r="E1258" s="1">
        <f>IFERROR(__xludf.DUMMYFUNCTION("""COMPUTED_VALUE"""),2.0)</f>
        <v>2</v>
      </c>
      <c r="F1258" s="1" t="str">
        <f>IFERROR(__xludf.DUMMYFUNCTION("""COMPUTED_VALUE"""),"Female")</f>
        <v>Female</v>
      </c>
      <c r="G1258" s="4" t="b">
        <f>IFERROR(__xludf.DUMMYFUNCTION("""COMPUTED_VALUE"""),TRUE)</f>
        <v>1</v>
      </c>
      <c r="H1258" s="4" t="b">
        <f>IFERROR(__xludf.DUMMYFUNCTION("""COMPUTED_VALUE"""),TRUE)</f>
        <v>1</v>
      </c>
      <c r="I1258" s="4">
        <f>IFERROR(__xludf.DUMMYFUNCTION("""COMPUTED_VALUE"""),0.2549440625)</f>
        <v>0.2549440625</v>
      </c>
      <c r="J1258" s="4">
        <f>IFERROR(__xludf.DUMMYFUNCTION("""COMPUTED_VALUE"""),45949.27717260442)</f>
        <v>45949.27717</v>
      </c>
      <c r="K1258" s="4" t="str">
        <f>IFERROR(__xludf.DUMMYFUNCTION("""COMPUTED_VALUE"""),"")</f>
        <v/>
      </c>
      <c r="L1258" s="4">
        <f>IFERROR(__xludf.DUMMYFUNCTION("""COMPUTED_VALUE"""),45949.29370989191)</f>
        <v>45949.29371</v>
      </c>
      <c r="M1258" s="1" t="str">
        <f>IFERROR(__xludf.DUMMYFUNCTION("""COMPUTED_VALUE"""),"RFID")</f>
        <v>RFID</v>
      </c>
      <c r="N1258" s="5">
        <f>IFERROR(__xludf.DUMMYFUNCTION("""COMPUTED_VALUE"""),0.008891416666666667)</f>
        <v>0.008891416667</v>
      </c>
      <c r="O1258" s="5" t="str">
        <f>IFERROR(__xludf.DUMMYFUNCTION("""COMPUTED_VALUE"""),"")</f>
        <v/>
      </c>
      <c r="P1258" s="5" t="str">
        <f>IFERROR(__xludf.DUMMYFUNCTION("""COMPUTED_VALUE"""),"")</f>
        <v/>
      </c>
      <c r="Q1258" s="5">
        <f>IFERROR(__xludf.DUMMYFUNCTION("""COMPUTED_VALUE"""),0.007753166666666667)</f>
        <v>0.007753166667</v>
      </c>
      <c r="R1258" s="4">
        <f>IFERROR(__xludf.DUMMYFUNCTION("""COMPUTED_VALUE"""),45949.038765829406)</f>
        <v>45949.03877</v>
      </c>
      <c r="S1258" s="1" t="b">
        <f>IFERROR(__xludf.DUMMYFUNCTION("""COMPUTED_VALUE"""),TRUE)</f>
        <v>1</v>
      </c>
      <c r="T1258" s="1" t="b">
        <f>IFERROR(__xludf.DUMMYFUNCTION("""COMPUTED_VALUE"""),FALSE)</f>
        <v>0</v>
      </c>
      <c r="U1258" s="1" t="str">
        <f>IFERROR(__xludf.DUMMYFUNCTION("""COMPUTED_VALUE"""),"VALID")</f>
        <v>VALID</v>
      </c>
      <c r="V1258" s="1">
        <f>IFERROR(__xludf.DUMMYFUNCTION("""COMPUTED_VALUE"""),275.0)</f>
        <v>275</v>
      </c>
      <c r="W1258" s="1">
        <f>IFERROR(__xludf.DUMMYFUNCTION("""COMPUTED_VALUE"""),1151.0)</f>
        <v>1151</v>
      </c>
      <c r="X1258" s="1">
        <f>IFERROR(__xludf.DUMMYFUNCTION("""COMPUTED_VALUE"""),334.0)</f>
        <v>334</v>
      </c>
      <c r="Y1258" s="2"/>
      <c r="Z1258" s="2"/>
    </row>
    <row r="1259">
      <c r="A1259" s="1">
        <f>IFERROR(__xludf.DUMMYFUNCTION("""COMPUTED_VALUE"""),1258.0)</f>
        <v>1258</v>
      </c>
      <c r="B1259" s="1">
        <f>IFERROR(__xludf.DUMMYFUNCTION("""COMPUTED_VALUE"""),5481.0)</f>
        <v>5481</v>
      </c>
      <c r="C1259" s="2" t="str">
        <f>IFERROR(__xludf.DUMMYFUNCTION("""COMPUTED_VALUE"""),"windaekaliya")</f>
        <v>windaekaliya</v>
      </c>
      <c r="D1259" s="2" t="str">
        <f>IFERROR(__xludf.DUMMYFUNCTION("""COMPUTED_VALUE"""),"5KM OVERALL F")</f>
        <v>5KM OVERALL F</v>
      </c>
      <c r="E1259" s="1">
        <f>IFERROR(__xludf.DUMMYFUNCTION("""COMPUTED_VALUE"""),2.0)</f>
        <v>2</v>
      </c>
      <c r="F1259" s="1" t="str">
        <f>IFERROR(__xludf.DUMMYFUNCTION("""COMPUTED_VALUE"""),"Female")</f>
        <v>Female</v>
      </c>
      <c r="G1259" s="4" t="b">
        <f>IFERROR(__xludf.DUMMYFUNCTION("""COMPUTED_VALUE"""),TRUE)</f>
        <v>1</v>
      </c>
      <c r="H1259" s="4" t="b">
        <f>IFERROR(__xludf.DUMMYFUNCTION("""COMPUTED_VALUE"""),FALSE)</f>
        <v>0</v>
      </c>
      <c r="I1259" s="4">
        <f>IFERROR(__xludf.DUMMYFUNCTION("""COMPUTED_VALUE"""),0.2549440625)</f>
        <v>0.2549440625</v>
      </c>
      <c r="J1259" s="4">
        <f>IFERROR(__xludf.DUMMYFUNCTION("""COMPUTED_VALUE"""),45949.272214250406)</f>
        <v>45949.27221</v>
      </c>
      <c r="K1259" s="4" t="str">
        <f>IFERROR(__xludf.DUMMYFUNCTION("""COMPUTED_VALUE"""),"")</f>
        <v/>
      </c>
      <c r="L1259" s="4">
        <f>IFERROR(__xludf.DUMMYFUNCTION("""COMPUTED_VALUE"""),45949.285442537664)</f>
        <v>45949.28544</v>
      </c>
      <c r="M1259" s="1" t="str">
        <f>IFERROR(__xludf.DUMMYFUNCTION("""COMPUTED_VALUE"""),"RFID")</f>
        <v>RFID</v>
      </c>
      <c r="N1259" s="5">
        <f>IFERROR(__xludf.DUMMYFUNCTION("""COMPUTED_VALUE"""),0.006908074074074073)</f>
        <v>0.006908074074</v>
      </c>
      <c r="O1259" s="5" t="str">
        <f>IFERROR(__xludf.DUMMYFUNCTION("""COMPUTED_VALUE"""),"")</f>
        <v/>
      </c>
      <c r="P1259" s="5" t="str">
        <f>IFERROR(__xludf.DUMMYFUNCTION("""COMPUTED_VALUE"""),"")</f>
        <v/>
      </c>
      <c r="Q1259" s="5">
        <f>IFERROR(__xludf.DUMMYFUNCTION("""COMPUTED_VALUE"""),0.006099694444444445)</f>
        <v>0.006099694444</v>
      </c>
      <c r="R1259" s="4">
        <f>IFERROR(__xludf.DUMMYFUNCTION("""COMPUTED_VALUE"""),45949.030498475164)</f>
        <v>45949.0305</v>
      </c>
      <c r="S1259" s="1" t="b">
        <f>IFERROR(__xludf.DUMMYFUNCTION("""COMPUTED_VALUE"""),TRUE)</f>
        <v>1</v>
      </c>
      <c r="T1259" s="1" t="b">
        <f>IFERROR(__xludf.DUMMYFUNCTION("""COMPUTED_VALUE"""),FALSE)</f>
        <v>0</v>
      </c>
      <c r="U1259" s="1" t="str">
        <f>IFERROR(__xludf.DUMMYFUNCTION("""COMPUTED_VALUE"""),"VALID")</f>
        <v>VALID</v>
      </c>
      <c r="V1259" s="1">
        <f>IFERROR(__xludf.DUMMYFUNCTION("""COMPUTED_VALUE"""),83.0)</f>
        <v>83</v>
      </c>
      <c r="W1259" s="1">
        <f>IFERROR(__xludf.DUMMYFUNCTION("""COMPUTED_VALUE"""),600.0)</f>
        <v>600</v>
      </c>
      <c r="X1259" s="1">
        <f>IFERROR(__xludf.DUMMYFUNCTION("""COMPUTED_VALUE"""),106.0)</f>
        <v>106</v>
      </c>
      <c r="Y1259" s="2"/>
      <c r="Z1259" s="2"/>
    </row>
    <row r="1260">
      <c r="A1260" s="1">
        <f>IFERROR(__xludf.DUMMYFUNCTION("""COMPUTED_VALUE"""),1259.0)</f>
        <v>1259</v>
      </c>
      <c r="B1260" s="1">
        <f>IFERROR(__xludf.DUMMYFUNCTION("""COMPUTED_VALUE"""),5483.0)</f>
        <v>5483</v>
      </c>
      <c r="C1260" s="2" t="str">
        <f>IFERROR(__xludf.DUMMYFUNCTION("""COMPUTED_VALUE"""),"Indriani Putri")</f>
        <v>Indriani Putri</v>
      </c>
      <c r="D1260" s="2" t="str">
        <f>IFERROR(__xludf.DUMMYFUNCTION("""COMPUTED_VALUE"""),"5KM OVERALL F")</f>
        <v>5KM OVERALL F</v>
      </c>
      <c r="E1260" s="1">
        <f>IFERROR(__xludf.DUMMYFUNCTION("""COMPUTED_VALUE"""),2.0)</f>
        <v>2</v>
      </c>
      <c r="F1260" s="1" t="str">
        <f>IFERROR(__xludf.DUMMYFUNCTION("""COMPUTED_VALUE"""),"Female")</f>
        <v>Female</v>
      </c>
      <c r="G1260" s="4" t="b">
        <f>IFERROR(__xludf.DUMMYFUNCTION("""COMPUTED_VALUE"""),TRUE)</f>
        <v>1</v>
      </c>
      <c r="H1260" s="4" t="b">
        <f>IFERROR(__xludf.DUMMYFUNCTION("""COMPUTED_VALUE"""),TRUE)</f>
        <v>1</v>
      </c>
      <c r="I1260" s="4">
        <f>IFERROR(__xludf.DUMMYFUNCTION("""COMPUTED_VALUE"""),0.2549440625)</f>
        <v>0.2549440625</v>
      </c>
      <c r="J1260" s="4">
        <f>IFERROR(__xludf.DUMMYFUNCTION("""COMPUTED_VALUE"""),45949.276957295995)</f>
        <v>45949.27696</v>
      </c>
      <c r="K1260" s="4" t="str">
        <f>IFERROR(__xludf.DUMMYFUNCTION("""COMPUTED_VALUE"""),"")</f>
        <v/>
      </c>
      <c r="L1260" s="4">
        <f>IFERROR(__xludf.DUMMYFUNCTION("""COMPUTED_VALUE"""),45949.29456059305)</f>
        <v>45949.29456</v>
      </c>
      <c r="M1260" s="1" t="str">
        <f>IFERROR(__xludf.DUMMYFUNCTION("""COMPUTED_VALUE"""),"RFID")</f>
        <v>RFID</v>
      </c>
      <c r="N1260" s="5">
        <f>IFERROR(__xludf.DUMMYFUNCTION("""COMPUTED_VALUE"""),0.008805291666666666)</f>
        <v>0.008805291667</v>
      </c>
      <c r="O1260" s="5" t="str">
        <f>IFERROR(__xludf.DUMMYFUNCTION("""COMPUTED_VALUE"""),"")</f>
        <v/>
      </c>
      <c r="P1260" s="5" t="str">
        <f>IFERROR(__xludf.DUMMYFUNCTION("""COMPUTED_VALUE"""),"")</f>
        <v/>
      </c>
      <c r="Q1260" s="5">
        <f>IFERROR(__xludf.DUMMYFUNCTION("""COMPUTED_VALUE"""),0.007923305555555555)</f>
        <v>0.007923305556</v>
      </c>
      <c r="R1260" s="4">
        <f>IFERROR(__xludf.DUMMYFUNCTION("""COMPUTED_VALUE"""),45949.03961653055)</f>
        <v>45949.03962</v>
      </c>
      <c r="S1260" s="1" t="b">
        <f>IFERROR(__xludf.DUMMYFUNCTION("""COMPUTED_VALUE"""),TRUE)</f>
        <v>1</v>
      </c>
      <c r="T1260" s="1" t="b">
        <f>IFERROR(__xludf.DUMMYFUNCTION("""COMPUTED_VALUE"""),FALSE)</f>
        <v>0</v>
      </c>
      <c r="U1260" s="1" t="str">
        <f>IFERROR(__xludf.DUMMYFUNCTION("""COMPUTED_VALUE"""),"VALID")</f>
        <v>VALID</v>
      </c>
      <c r="V1260" s="1">
        <f>IFERROR(__xludf.DUMMYFUNCTION("""COMPUTED_VALUE"""),309.0)</f>
        <v>309</v>
      </c>
      <c r="W1260" s="1">
        <f>IFERROR(__xludf.DUMMYFUNCTION("""COMPUTED_VALUE"""),1225.0)</f>
        <v>1225</v>
      </c>
      <c r="X1260" s="1">
        <f>IFERROR(__xludf.DUMMYFUNCTION("""COMPUTED_VALUE"""),375.0)</f>
        <v>375</v>
      </c>
      <c r="Y1260" s="2"/>
      <c r="Z1260" s="2"/>
    </row>
    <row r="1261">
      <c r="A1261" s="1">
        <f>IFERROR(__xludf.DUMMYFUNCTION("""COMPUTED_VALUE"""),1260.0)</f>
        <v>1260</v>
      </c>
      <c r="B1261" s="1">
        <f>IFERROR(__xludf.DUMMYFUNCTION("""COMPUTED_VALUE"""),5484.0)</f>
        <v>5484</v>
      </c>
      <c r="C1261" s="2" t="str">
        <f>IFERROR(__xludf.DUMMYFUNCTION("""COMPUTED_VALUE"""),"NanettaFP")</f>
        <v>NanettaFP</v>
      </c>
      <c r="D1261" s="2" t="str">
        <f>IFERROR(__xludf.DUMMYFUNCTION("""COMPUTED_VALUE"""),"5KM OVERALL F")</f>
        <v>5KM OVERALL F</v>
      </c>
      <c r="E1261" s="1">
        <f>IFERROR(__xludf.DUMMYFUNCTION("""COMPUTED_VALUE"""),2.0)</f>
        <v>2</v>
      </c>
      <c r="F1261" s="1" t="str">
        <f>IFERROR(__xludf.DUMMYFUNCTION("""COMPUTED_VALUE"""),"Female")</f>
        <v>Female</v>
      </c>
      <c r="G1261" s="4" t="b">
        <f>IFERROR(__xludf.DUMMYFUNCTION("""COMPUTED_VALUE"""),TRUE)</f>
        <v>1</v>
      </c>
      <c r="H1261" s="4" t="b">
        <f>IFERROR(__xludf.DUMMYFUNCTION("""COMPUTED_VALUE"""),FALSE)</f>
        <v>0</v>
      </c>
      <c r="I1261" s="4">
        <f>IFERROR(__xludf.DUMMYFUNCTION("""COMPUTED_VALUE"""),0.2549440625)</f>
        <v>0.2549440625</v>
      </c>
      <c r="J1261" s="4">
        <f>IFERROR(__xludf.DUMMYFUNCTION("""COMPUTED_VALUE"""),45949.27218640358)</f>
        <v>45949.27219</v>
      </c>
      <c r="K1261" s="4" t="str">
        <f>IFERROR(__xludf.DUMMYFUNCTION("""COMPUTED_VALUE"""),"")</f>
        <v/>
      </c>
      <c r="L1261" s="4">
        <f>IFERROR(__xludf.DUMMYFUNCTION("""COMPUTED_VALUE"""),45949.2851751238)</f>
        <v>45949.28518</v>
      </c>
      <c r="M1261" s="1" t="str">
        <f>IFERROR(__xludf.DUMMYFUNCTION("""COMPUTED_VALUE"""),"RFID")</f>
        <v>RFID</v>
      </c>
      <c r="N1261" s="5">
        <f>IFERROR(__xludf.DUMMYFUNCTION("""COMPUTED_VALUE"""),0.006896935185185185)</f>
        <v>0.006896935185</v>
      </c>
      <c r="O1261" s="5" t="str">
        <f>IFERROR(__xludf.DUMMYFUNCTION("""COMPUTED_VALUE"""),"")</f>
        <v/>
      </c>
      <c r="P1261" s="5" t="str">
        <f>IFERROR(__xludf.DUMMYFUNCTION("""COMPUTED_VALUE"""),"")</f>
        <v/>
      </c>
      <c r="Q1261" s="5">
        <f>IFERROR(__xludf.DUMMYFUNCTION("""COMPUTED_VALUE"""),0.006046212962962963)</f>
        <v>0.006046212963</v>
      </c>
      <c r="R1261" s="4">
        <f>IFERROR(__xludf.DUMMYFUNCTION("""COMPUTED_VALUE"""),45949.0302310613)</f>
        <v>45949.03023</v>
      </c>
      <c r="S1261" s="1" t="b">
        <f>IFERROR(__xludf.DUMMYFUNCTION("""COMPUTED_VALUE"""),TRUE)</f>
        <v>1</v>
      </c>
      <c r="T1261" s="1" t="b">
        <f>IFERROR(__xludf.DUMMYFUNCTION("""COMPUTED_VALUE"""),FALSE)</f>
        <v>0</v>
      </c>
      <c r="U1261" s="1" t="str">
        <f>IFERROR(__xludf.DUMMYFUNCTION("""COMPUTED_VALUE"""),"VALID")</f>
        <v>VALID</v>
      </c>
      <c r="V1261" s="1">
        <f>IFERROR(__xludf.DUMMYFUNCTION("""COMPUTED_VALUE"""),77.0)</f>
        <v>77</v>
      </c>
      <c r="W1261" s="1">
        <f>IFERROR(__xludf.DUMMYFUNCTION("""COMPUTED_VALUE"""),582.0)</f>
        <v>582</v>
      </c>
      <c r="X1261" s="1">
        <f>IFERROR(__xludf.DUMMYFUNCTION("""COMPUTED_VALUE"""),100.0)</f>
        <v>100</v>
      </c>
      <c r="Y1261" s="2"/>
      <c r="Z1261" s="2"/>
    </row>
    <row r="1262">
      <c r="A1262" s="1">
        <f>IFERROR(__xludf.DUMMYFUNCTION("""COMPUTED_VALUE"""),1261.0)</f>
        <v>1261</v>
      </c>
      <c r="B1262" s="1">
        <f>IFERROR(__xludf.DUMMYFUNCTION("""COMPUTED_VALUE"""),5485.0)</f>
        <v>5485</v>
      </c>
      <c r="C1262" s="2" t="str">
        <f>IFERROR(__xludf.DUMMYFUNCTION("""COMPUTED_VALUE"""),"Meike")</f>
        <v>Meike</v>
      </c>
      <c r="D1262" s="2" t="str">
        <f>IFERROR(__xludf.DUMMYFUNCTION("""COMPUTED_VALUE"""),"5KM OVERALL F")</f>
        <v>5KM OVERALL F</v>
      </c>
      <c r="E1262" s="1">
        <f>IFERROR(__xludf.DUMMYFUNCTION("""COMPUTED_VALUE"""),2.0)</f>
        <v>2</v>
      </c>
      <c r="F1262" s="1" t="str">
        <f>IFERROR(__xludf.DUMMYFUNCTION("""COMPUTED_VALUE"""),"Female")</f>
        <v>Female</v>
      </c>
      <c r="G1262" s="4" t="b">
        <f>IFERROR(__xludf.DUMMYFUNCTION("""COMPUTED_VALUE"""),TRUE)</f>
        <v>1</v>
      </c>
      <c r="H1262" s="4" t="b">
        <f>IFERROR(__xludf.DUMMYFUNCTION("""COMPUTED_VALUE"""),TRUE)</f>
        <v>1</v>
      </c>
      <c r="I1262" s="4">
        <f>IFERROR(__xludf.DUMMYFUNCTION("""COMPUTED_VALUE"""),0.2549440625)</f>
        <v>0.2549440625</v>
      </c>
      <c r="J1262" s="4">
        <f>IFERROR(__xludf.DUMMYFUNCTION("""COMPUTED_VALUE"""),45949.28424197705)</f>
        <v>45949.28424</v>
      </c>
      <c r="K1262" s="4" t="str">
        <f>IFERROR(__xludf.DUMMYFUNCTION("""COMPUTED_VALUE"""),"")</f>
        <v/>
      </c>
      <c r="L1262" s="4">
        <f>IFERROR(__xludf.DUMMYFUNCTION("""COMPUTED_VALUE"""),45949.30825850189)</f>
        <v>45949.30826</v>
      </c>
      <c r="M1262" s="1" t="str">
        <f>IFERROR(__xludf.DUMMYFUNCTION("""COMPUTED_VALUE"""),"RFID")</f>
        <v>RFID</v>
      </c>
      <c r="N1262" s="5">
        <f>IFERROR(__xludf.DUMMYFUNCTION("""COMPUTED_VALUE"""),0.011719166666666668)</f>
        <v>0.01171916667</v>
      </c>
      <c r="O1262" s="5" t="str">
        <f>IFERROR(__xludf.DUMMYFUNCTION("""COMPUTED_VALUE"""),"")</f>
        <v/>
      </c>
      <c r="P1262" s="5" t="str">
        <f>IFERROR(__xludf.DUMMYFUNCTION("""COMPUTED_VALUE"""),"")</f>
        <v/>
      </c>
      <c r="Q1262" s="5">
        <f>IFERROR(__xludf.DUMMYFUNCTION("""COMPUTED_VALUE"""),0.01066288888888889)</f>
        <v>0.01066288889</v>
      </c>
      <c r="R1262" s="4">
        <f>IFERROR(__xludf.DUMMYFUNCTION("""COMPUTED_VALUE"""),45949.05331443939)</f>
        <v>45949.05331</v>
      </c>
      <c r="S1262" s="1" t="b">
        <f>IFERROR(__xludf.DUMMYFUNCTION("""COMPUTED_VALUE"""),TRUE)</f>
        <v>1</v>
      </c>
      <c r="T1262" s="1" t="b">
        <f>IFERROR(__xludf.DUMMYFUNCTION("""COMPUTED_VALUE"""),FALSE)</f>
        <v>0</v>
      </c>
      <c r="U1262" s="1" t="str">
        <f>IFERROR(__xludf.DUMMYFUNCTION("""COMPUTED_VALUE"""),"VALID")</f>
        <v>VALID</v>
      </c>
      <c r="V1262" s="1">
        <f>IFERROR(__xludf.DUMMYFUNCTION("""COMPUTED_VALUE"""),496.0)</f>
        <v>496</v>
      </c>
      <c r="W1262" s="1">
        <f>IFERROR(__xludf.DUMMYFUNCTION("""COMPUTED_VALUE"""),1591.0)</f>
        <v>1591</v>
      </c>
      <c r="X1262" s="1">
        <f>IFERROR(__xludf.DUMMYFUNCTION("""COMPUTED_VALUE"""),615.0)</f>
        <v>615</v>
      </c>
      <c r="Y1262" s="2"/>
      <c r="Z1262" s="2"/>
    </row>
    <row r="1263">
      <c r="A1263" s="1">
        <f>IFERROR(__xludf.DUMMYFUNCTION("""COMPUTED_VALUE"""),1262.0)</f>
        <v>1262</v>
      </c>
      <c r="B1263" s="1">
        <f>IFERROR(__xludf.DUMMYFUNCTION("""COMPUTED_VALUE"""),5486.0)</f>
        <v>5486</v>
      </c>
      <c r="C1263" s="2" t="str">
        <f>IFERROR(__xludf.DUMMYFUNCTION("""COMPUTED_VALUE"""),"Natalisa")</f>
        <v>Natalisa</v>
      </c>
      <c r="D1263" s="2" t="str">
        <f>IFERROR(__xludf.DUMMYFUNCTION("""COMPUTED_VALUE"""),"5KM OVERALL F")</f>
        <v>5KM OVERALL F</v>
      </c>
      <c r="E1263" s="1">
        <f>IFERROR(__xludf.DUMMYFUNCTION("""COMPUTED_VALUE"""),2.0)</f>
        <v>2</v>
      </c>
      <c r="F1263" s="1" t="str">
        <f>IFERROR(__xludf.DUMMYFUNCTION("""COMPUTED_VALUE"""),"Female")</f>
        <v>Female</v>
      </c>
      <c r="G1263" s="4" t="b">
        <f>IFERROR(__xludf.DUMMYFUNCTION("""COMPUTED_VALUE"""),TRUE)</f>
        <v>1</v>
      </c>
      <c r="H1263" s="4" t="b">
        <f>IFERROR(__xludf.DUMMYFUNCTION("""COMPUTED_VALUE"""),TRUE)</f>
        <v>1</v>
      </c>
      <c r="I1263" s="4">
        <f>IFERROR(__xludf.DUMMYFUNCTION("""COMPUTED_VALUE"""),0.2549440625)</f>
        <v>0.2549440625</v>
      </c>
      <c r="J1263" s="4">
        <f>IFERROR(__xludf.DUMMYFUNCTION("""COMPUTED_VALUE"""),45949.26663437835)</f>
        <v>45949.26663</v>
      </c>
      <c r="K1263" s="4" t="str">
        <f>IFERROR(__xludf.DUMMYFUNCTION("""COMPUTED_VALUE"""),"")</f>
        <v/>
      </c>
      <c r="L1263" s="4">
        <f>IFERROR(__xludf.DUMMYFUNCTION("""COMPUTED_VALUE"""),45949.27620295472)</f>
        <v>45949.2762</v>
      </c>
      <c r="M1263" s="1" t="str">
        <f>IFERROR(__xludf.DUMMYFUNCTION("""COMPUTED_VALUE"""),"RFID")</f>
        <v>RFID</v>
      </c>
      <c r="N1263" s="5">
        <f>IFERROR(__xludf.DUMMYFUNCTION("""COMPUTED_VALUE"""),0.004676125)</f>
        <v>0.004676125</v>
      </c>
      <c r="O1263" s="5" t="str">
        <f>IFERROR(__xludf.DUMMYFUNCTION("""COMPUTED_VALUE"""),"")</f>
        <v/>
      </c>
      <c r="P1263" s="5" t="str">
        <f>IFERROR(__xludf.DUMMYFUNCTION("""COMPUTED_VALUE"""),"")</f>
        <v/>
      </c>
      <c r="Q1263" s="5">
        <f>IFERROR(__xludf.DUMMYFUNCTION("""COMPUTED_VALUE"""),0.004251777777777778)</f>
        <v>0.004251777778</v>
      </c>
      <c r="R1263" s="4">
        <f>IFERROR(__xludf.DUMMYFUNCTION("""COMPUTED_VALUE"""),45949.02125889222)</f>
        <v>45949.02126</v>
      </c>
      <c r="S1263" s="1" t="b">
        <f>IFERROR(__xludf.DUMMYFUNCTION("""COMPUTED_VALUE"""),TRUE)</f>
        <v>1</v>
      </c>
      <c r="T1263" s="1" t="b">
        <f>IFERROR(__xludf.DUMMYFUNCTION("""COMPUTED_VALUE"""),FALSE)</f>
        <v>0</v>
      </c>
      <c r="U1263" s="1" t="str">
        <f>IFERROR(__xludf.DUMMYFUNCTION("""COMPUTED_VALUE"""),"VALID")</f>
        <v>VALID</v>
      </c>
      <c r="V1263" s="1">
        <f>IFERROR(__xludf.DUMMYFUNCTION("""COMPUTED_VALUE"""),10.0)</f>
        <v>10</v>
      </c>
      <c r="W1263" s="1">
        <f>IFERROR(__xludf.DUMMYFUNCTION("""COMPUTED_VALUE"""),152.0)</f>
        <v>152</v>
      </c>
      <c r="X1263" s="1">
        <f>IFERROR(__xludf.DUMMYFUNCTION("""COMPUTED_VALUE"""),17.0)</f>
        <v>17</v>
      </c>
      <c r="Y1263" s="2"/>
      <c r="Z1263" s="2"/>
    </row>
    <row r="1264">
      <c r="A1264" s="1">
        <f>IFERROR(__xludf.DUMMYFUNCTION("""COMPUTED_VALUE"""),1263.0)</f>
        <v>1263</v>
      </c>
      <c r="B1264" s="1">
        <f>IFERROR(__xludf.DUMMYFUNCTION("""COMPUTED_VALUE"""),5487.0)</f>
        <v>5487</v>
      </c>
      <c r="C1264" s="2" t="str">
        <f>IFERROR(__xludf.DUMMYFUNCTION("""COMPUTED_VALUE"""),"KIM")</f>
        <v>KIM</v>
      </c>
      <c r="D1264" s="2" t="str">
        <f>IFERROR(__xludf.DUMMYFUNCTION("""COMPUTED_VALUE"""),"5KM OVERALL F")</f>
        <v>5KM OVERALL F</v>
      </c>
      <c r="E1264" s="1">
        <f>IFERROR(__xludf.DUMMYFUNCTION("""COMPUTED_VALUE"""),2.0)</f>
        <v>2</v>
      </c>
      <c r="F1264" s="1" t="str">
        <f>IFERROR(__xludf.DUMMYFUNCTION("""COMPUTED_VALUE"""),"Female")</f>
        <v>Female</v>
      </c>
      <c r="G1264" s="4" t="b">
        <f>IFERROR(__xludf.DUMMYFUNCTION("""COMPUTED_VALUE"""),TRUE)</f>
        <v>1</v>
      </c>
      <c r="H1264" s="4" t="b">
        <f>IFERROR(__xludf.DUMMYFUNCTION("""COMPUTED_VALUE"""),FALSE)</f>
        <v>0</v>
      </c>
      <c r="I1264" s="4">
        <f>IFERROR(__xludf.DUMMYFUNCTION("""COMPUTED_VALUE"""),0.2549440625)</f>
        <v>0.2549440625</v>
      </c>
      <c r="J1264" s="4">
        <f>IFERROR(__xludf.DUMMYFUNCTION("""COMPUTED_VALUE"""),45949.274242445936)</f>
        <v>45949.27424</v>
      </c>
      <c r="K1264" s="4" t="str">
        <f>IFERROR(__xludf.DUMMYFUNCTION("""COMPUTED_VALUE"""),"")</f>
        <v/>
      </c>
      <c r="L1264" s="4">
        <f>IFERROR(__xludf.DUMMYFUNCTION("""COMPUTED_VALUE"""),45949.28744253201)</f>
        <v>45949.28744</v>
      </c>
      <c r="M1264" s="1" t="str">
        <f>IFERROR(__xludf.DUMMYFUNCTION("""COMPUTED_VALUE"""),"RFID")</f>
        <v>RFID</v>
      </c>
      <c r="N1264" s="5">
        <f>IFERROR(__xludf.DUMMYFUNCTION("""COMPUTED_VALUE"""),0.007719351851851852)</f>
        <v>0.007719351852</v>
      </c>
      <c r="O1264" s="5" t="str">
        <f>IFERROR(__xludf.DUMMYFUNCTION("""COMPUTED_VALUE"""),"")</f>
        <v/>
      </c>
      <c r="P1264" s="5" t="str">
        <f>IFERROR(__xludf.DUMMYFUNCTION("""COMPUTED_VALUE"""),"")</f>
        <v/>
      </c>
      <c r="Q1264" s="5">
        <f>IFERROR(__xludf.DUMMYFUNCTION("""COMPUTED_VALUE"""),0.006499694444444444)</f>
        <v>0.006499694444</v>
      </c>
      <c r="R1264" s="4">
        <f>IFERROR(__xludf.DUMMYFUNCTION("""COMPUTED_VALUE"""),45949.03249846951)</f>
        <v>45949.0325</v>
      </c>
      <c r="S1264" s="1" t="b">
        <f>IFERROR(__xludf.DUMMYFUNCTION("""COMPUTED_VALUE"""),TRUE)</f>
        <v>1</v>
      </c>
      <c r="T1264" s="1" t="b">
        <f>IFERROR(__xludf.DUMMYFUNCTION("""COMPUTED_VALUE"""),FALSE)</f>
        <v>0</v>
      </c>
      <c r="U1264" s="1" t="str">
        <f>IFERROR(__xludf.DUMMYFUNCTION("""COMPUTED_VALUE"""),"VALID")</f>
        <v>VALID</v>
      </c>
      <c r="V1264" s="1">
        <f>IFERROR(__xludf.DUMMYFUNCTION("""COMPUTED_VALUE"""),116.0)</f>
        <v>116</v>
      </c>
      <c r="W1264" s="1">
        <f>IFERROR(__xludf.DUMMYFUNCTION("""COMPUTED_VALUE"""),733.0)</f>
        <v>733</v>
      </c>
      <c r="X1264" s="1">
        <f>IFERROR(__xludf.DUMMYFUNCTION("""COMPUTED_VALUE"""),146.0)</f>
        <v>146</v>
      </c>
      <c r="Y1264" s="2"/>
      <c r="Z1264" s="2"/>
    </row>
    <row r="1265">
      <c r="A1265" s="1">
        <f>IFERROR(__xludf.DUMMYFUNCTION("""COMPUTED_VALUE"""),1264.0)</f>
        <v>1264</v>
      </c>
      <c r="B1265" s="1">
        <f>IFERROR(__xludf.DUMMYFUNCTION("""COMPUTED_VALUE"""),5488.0)</f>
        <v>5488</v>
      </c>
      <c r="C1265" s="2" t="str">
        <f>IFERROR(__xludf.DUMMYFUNCTION("""COMPUTED_VALUE"""),"Aulia")</f>
        <v>Aulia</v>
      </c>
      <c r="D1265" s="2" t="str">
        <f>IFERROR(__xludf.DUMMYFUNCTION("""COMPUTED_VALUE"""),"5KM OVERALL F")</f>
        <v>5KM OVERALL F</v>
      </c>
      <c r="E1265" s="1">
        <f>IFERROR(__xludf.DUMMYFUNCTION("""COMPUTED_VALUE"""),2.0)</f>
        <v>2</v>
      </c>
      <c r="F1265" s="1" t="str">
        <f>IFERROR(__xludf.DUMMYFUNCTION("""COMPUTED_VALUE"""),"Female")</f>
        <v>Female</v>
      </c>
      <c r="G1265" s="4" t="b">
        <f>IFERROR(__xludf.DUMMYFUNCTION("""COMPUTED_VALUE"""),TRUE)</f>
        <v>1</v>
      </c>
      <c r="H1265" s="4" t="b">
        <f>IFERROR(__xludf.DUMMYFUNCTION("""COMPUTED_VALUE"""),TRUE)</f>
        <v>1</v>
      </c>
      <c r="I1265" s="4">
        <f>IFERROR(__xludf.DUMMYFUNCTION("""COMPUTED_VALUE"""),0.2549440625)</f>
        <v>0.2549440625</v>
      </c>
      <c r="J1265" s="4">
        <f>IFERROR(__xludf.DUMMYFUNCTION("""COMPUTED_VALUE"""),45949.274319050244)</f>
        <v>45949.27432</v>
      </c>
      <c r="K1265" s="4" t="str">
        <f>IFERROR(__xludf.DUMMYFUNCTION("""COMPUTED_VALUE"""),"")</f>
        <v/>
      </c>
      <c r="L1265" s="4">
        <f>IFERROR(__xludf.DUMMYFUNCTION("""COMPUTED_VALUE"""),45949.286730677304)</f>
        <v>45949.28673</v>
      </c>
      <c r="M1265" s="1" t="str">
        <f>IFERROR(__xludf.DUMMYFUNCTION("""COMPUTED_VALUE"""),"RFID")</f>
        <v>RFID</v>
      </c>
      <c r="N1265" s="5">
        <f>IFERROR(__xludf.DUMMYFUNCTION("""COMPUTED_VALUE"""),0.007749995370370371)</f>
        <v>0.00774999537</v>
      </c>
      <c r="O1265" s="5" t="str">
        <f>IFERROR(__xludf.DUMMYFUNCTION("""COMPUTED_VALUE"""),"")</f>
        <v/>
      </c>
      <c r="P1265" s="5" t="str">
        <f>IFERROR(__xludf.DUMMYFUNCTION("""COMPUTED_VALUE"""),"")</f>
        <v/>
      </c>
      <c r="Q1265" s="5">
        <f>IFERROR(__xludf.DUMMYFUNCTION("""COMPUTED_VALUE"""),0.006357324074074073)</f>
        <v>0.006357324074</v>
      </c>
      <c r="R1265" s="4">
        <f>IFERROR(__xludf.DUMMYFUNCTION("""COMPUTED_VALUE"""),45949.0317866148)</f>
        <v>45949.03179</v>
      </c>
      <c r="S1265" s="1" t="b">
        <f>IFERROR(__xludf.DUMMYFUNCTION("""COMPUTED_VALUE"""),TRUE)</f>
        <v>1</v>
      </c>
      <c r="T1265" s="1" t="b">
        <f>IFERROR(__xludf.DUMMYFUNCTION("""COMPUTED_VALUE"""),FALSE)</f>
        <v>0</v>
      </c>
      <c r="U1265" s="1" t="str">
        <f>IFERROR(__xludf.DUMMYFUNCTION("""COMPUTED_VALUE"""),"VALID")</f>
        <v>VALID</v>
      </c>
      <c r="V1265" s="1">
        <f>IFERROR(__xludf.DUMMYFUNCTION("""COMPUTED_VALUE"""),107.0)</f>
        <v>107</v>
      </c>
      <c r="W1265" s="1">
        <f>IFERROR(__xludf.DUMMYFUNCTION("""COMPUTED_VALUE"""),686.0)</f>
        <v>686</v>
      </c>
      <c r="X1265" s="1">
        <f>IFERROR(__xludf.DUMMYFUNCTION("""COMPUTED_VALUE"""),134.0)</f>
        <v>134</v>
      </c>
      <c r="Y1265" s="2"/>
      <c r="Z1265" s="2"/>
    </row>
    <row r="1266">
      <c r="A1266" s="1">
        <f>IFERROR(__xludf.DUMMYFUNCTION("""COMPUTED_VALUE"""),1265.0)</f>
        <v>1265</v>
      </c>
      <c r="B1266" s="1">
        <f>IFERROR(__xludf.DUMMYFUNCTION("""COMPUTED_VALUE"""),5490.0)</f>
        <v>5490</v>
      </c>
      <c r="C1266" s="2" t="str">
        <f>IFERROR(__xludf.DUMMYFUNCTION("""COMPUTED_VALUE"""),"Zulfa Hikamtiah")</f>
        <v>Zulfa Hikamtiah</v>
      </c>
      <c r="D1266" s="2" t="str">
        <f>IFERROR(__xludf.DUMMYFUNCTION("""COMPUTED_VALUE"""),"5KM OVERALL F")</f>
        <v>5KM OVERALL F</v>
      </c>
      <c r="E1266" s="1">
        <f>IFERROR(__xludf.DUMMYFUNCTION("""COMPUTED_VALUE"""),2.0)</f>
        <v>2</v>
      </c>
      <c r="F1266" s="1" t="str">
        <f>IFERROR(__xludf.DUMMYFUNCTION("""COMPUTED_VALUE"""),"Female")</f>
        <v>Female</v>
      </c>
      <c r="G1266" s="4" t="b">
        <f>IFERROR(__xludf.DUMMYFUNCTION("""COMPUTED_VALUE"""),TRUE)</f>
        <v>1</v>
      </c>
      <c r="H1266" s="4" t="b">
        <f>IFERROR(__xludf.DUMMYFUNCTION("""COMPUTED_VALUE"""),TRUE)</f>
        <v>1</v>
      </c>
      <c r="I1266" s="4">
        <f>IFERROR(__xludf.DUMMYFUNCTION("""COMPUTED_VALUE"""),0.2549440625)</f>
        <v>0.2549440625</v>
      </c>
      <c r="J1266" s="4">
        <f>IFERROR(__xludf.DUMMYFUNCTION("""COMPUTED_VALUE"""),45949.276974608336)</f>
        <v>45949.27697</v>
      </c>
      <c r="K1266" s="4" t="str">
        <f>IFERROR(__xludf.DUMMYFUNCTION("""COMPUTED_VALUE"""),"")</f>
        <v/>
      </c>
      <c r="L1266" s="4">
        <f>IFERROR(__xludf.DUMMYFUNCTION("""COMPUTED_VALUE"""),45949.29462309716)</f>
        <v>45949.29462</v>
      </c>
      <c r="M1266" s="1" t="str">
        <f>IFERROR(__xludf.DUMMYFUNCTION("""COMPUTED_VALUE"""),"RFID")</f>
        <v>RFID</v>
      </c>
      <c r="N1266" s="5">
        <f>IFERROR(__xludf.DUMMYFUNCTION("""COMPUTED_VALUE"""),0.008812217592592594)</f>
        <v>0.008812217593</v>
      </c>
      <c r="O1266" s="5" t="str">
        <f>IFERROR(__xludf.DUMMYFUNCTION("""COMPUTED_VALUE"""),"")</f>
        <v/>
      </c>
      <c r="P1266" s="5" t="str">
        <f>IFERROR(__xludf.DUMMYFUNCTION("""COMPUTED_VALUE"""),"")</f>
        <v/>
      </c>
      <c r="Q1266" s="5">
        <f>IFERROR(__xludf.DUMMYFUNCTION("""COMPUTED_VALUE"""),0.00793580787037037)</f>
        <v>0.00793580787</v>
      </c>
      <c r="R1266" s="4">
        <f>IFERROR(__xludf.DUMMYFUNCTION("""COMPUTED_VALUE"""),45949.03967903466)</f>
        <v>45949.03968</v>
      </c>
      <c r="S1266" s="1" t="b">
        <f>IFERROR(__xludf.DUMMYFUNCTION("""COMPUTED_VALUE"""),TRUE)</f>
        <v>1</v>
      </c>
      <c r="T1266" s="1" t="b">
        <f>IFERROR(__xludf.DUMMYFUNCTION("""COMPUTED_VALUE"""),FALSE)</f>
        <v>0</v>
      </c>
      <c r="U1266" s="1" t="str">
        <f>IFERROR(__xludf.DUMMYFUNCTION("""COMPUTED_VALUE"""),"VALID")</f>
        <v>VALID</v>
      </c>
      <c r="V1266" s="1">
        <f>IFERROR(__xludf.DUMMYFUNCTION("""COMPUTED_VALUE"""),312.0)</f>
        <v>312</v>
      </c>
      <c r="W1266" s="1">
        <f>IFERROR(__xludf.DUMMYFUNCTION("""COMPUTED_VALUE"""),1228.0)</f>
        <v>1228</v>
      </c>
      <c r="X1266" s="1">
        <f>IFERROR(__xludf.DUMMYFUNCTION("""COMPUTED_VALUE"""),378.0)</f>
        <v>378</v>
      </c>
      <c r="Y1266" s="2"/>
      <c r="Z1266" s="2"/>
    </row>
    <row r="1267">
      <c r="A1267" s="1">
        <f>IFERROR(__xludf.DUMMYFUNCTION("""COMPUTED_VALUE"""),1266.0)</f>
        <v>1266</v>
      </c>
      <c r="B1267" s="1">
        <f>IFERROR(__xludf.DUMMYFUNCTION("""COMPUTED_VALUE"""),5491.0)</f>
        <v>5491</v>
      </c>
      <c r="C1267" s="2" t="str">
        <f>IFERROR(__xludf.DUMMYFUNCTION("""COMPUTED_VALUE"""),"Sherlyneus")</f>
        <v>Sherlyneus</v>
      </c>
      <c r="D1267" s="2" t="str">
        <f>IFERROR(__xludf.DUMMYFUNCTION("""COMPUTED_VALUE"""),"5KM OVERALL F")</f>
        <v>5KM OVERALL F</v>
      </c>
      <c r="E1267" s="1">
        <f>IFERROR(__xludf.DUMMYFUNCTION("""COMPUTED_VALUE"""),2.0)</f>
        <v>2</v>
      </c>
      <c r="F1267" s="1" t="str">
        <f>IFERROR(__xludf.DUMMYFUNCTION("""COMPUTED_VALUE"""),"Female")</f>
        <v>Female</v>
      </c>
      <c r="G1267" s="4" t="b">
        <f>IFERROR(__xludf.DUMMYFUNCTION("""COMPUTED_VALUE"""),TRUE)</f>
        <v>1</v>
      </c>
      <c r="H1267" s="4" t="b">
        <f>IFERROR(__xludf.DUMMYFUNCTION("""COMPUTED_VALUE"""),TRUE)</f>
        <v>1</v>
      </c>
      <c r="I1267" s="4">
        <f>IFERROR(__xludf.DUMMYFUNCTION("""COMPUTED_VALUE"""),0.2549440625)</f>
        <v>0.2549440625</v>
      </c>
      <c r="J1267" s="4">
        <f>IFERROR(__xludf.DUMMYFUNCTION("""COMPUTED_VALUE"""),45949.280575295874)</f>
        <v>45949.28058</v>
      </c>
      <c r="K1267" s="4" t="str">
        <f>IFERROR(__xludf.DUMMYFUNCTION("""COMPUTED_VALUE"""),"")</f>
        <v/>
      </c>
      <c r="L1267" s="4">
        <f>IFERROR(__xludf.DUMMYFUNCTION("""COMPUTED_VALUE"""),45949.299220655135)</f>
        <v>45949.29922</v>
      </c>
      <c r="M1267" s="1" t="str">
        <f>IFERROR(__xludf.DUMMYFUNCTION("""COMPUTED_VALUE"""),"RFID")</f>
        <v>RFID</v>
      </c>
      <c r="N1267" s="5">
        <f>IFERROR(__xludf.DUMMYFUNCTION("""COMPUTED_VALUE"""),0.01025249537037037)</f>
        <v>0.01025249537</v>
      </c>
      <c r="O1267" s="5" t="str">
        <f>IFERROR(__xludf.DUMMYFUNCTION("""COMPUTED_VALUE"""),"")</f>
        <v/>
      </c>
      <c r="P1267" s="5" t="str">
        <f>IFERROR(__xludf.DUMMYFUNCTION("""COMPUTED_VALUE"""),"")</f>
        <v/>
      </c>
      <c r="Q1267" s="5">
        <f>IFERROR(__xludf.DUMMYFUNCTION("""COMPUTED_VALUE"""),0.008855319444444443)</f>
        <v>0.008855319444</v>
      </c>
      <c r="R1267" s="4">
        <f>IFERROR(__xludf.DUMMYFUNCTION("""COMPUTED_VALUE"""),45949.044276592635)</f>
        <v>45949.04428</v>
      </c>
      <c r="S1267" s="1" t="b">
        <f>IFERROR(__xludf.DUMMYFUNCTION("""COMPUTED_VALUE"""),TRUE)</f>
        <v>1</v>
      </c>
      <c r="T1267" s="1" t="b">
        <f>IFERROR(__xludf.DUMMYFUNCTION("""COMPUTED_VALUE"""),FALSE)</f>
        <v>0</v>
      </c>
      <c r="U1267" s="1" t="str">
        <f>IFERROR(__xludf.DUMMYFUNCTION("""COMPUTED_VALUE"""),"VALID")</f>
        <v>VALID</v>
      </c>
      <c r="V1267" s="1">
        <f>IFERROR(__xludf.DUMMYFUNCTION("""COMPUTED_VALUE"""),401.0)</f>
        <v>401</v>
      </c>
      <c r="W1267" s="1">
        <f>IFERROR(__xludf.DUMMYFUNCTION("""COMPUTED_VALUE"""),1417.0)</f>
        <v>1417</v>
      </c>
      <c r="X1267" s="1">
        <f>IFERROR(__xludf.DUMMYFUNCTION("""COMPUTED_VALUE"""),489.0)</f>
        <v>489</v>
      </c>
      <c r="Y1267" s="2"/>
      <c r="Z1267" s="2"/>
    </row>
    <row r="1268">
      <c r="A1268" s="1">
        <f>IFERROR(__xludf.DUMMYFUNCTION("""COMPUTED_VALUE"""),1267.0)</f>
        <v>1267</v>
      </c>
      <c r="B1268" s="1">
        <f>IFERROR(__xludf.DUMMYFUNCTION("""COMPUTED_VALUE"""),5494.0)</f>
        <v>5494</v>
      </c>
      <c r="C1268" s="2" t="str">
        <f>IFERROR(__xludf.DUMMYFUNCTION("""COMPUTED_VALUE"""),"Resapita")</f>
        <v>Resapita</v>
      </c>
      <c r="D1268" s="2" t="str">
        <f>IFERROR(__xludf.DUMMYFUNCTION("""COMPUTED_VALUE"""),"5KM OVERALL F")</f>
        <v>5KM OVERALL F</v>
      </c>
      <c r="E1268" s="1">
        <f>IFERROR(__xludf.DUMMYFUNCTION("""COMPUTED_VALUE"""),2.0)</f>
        <v>2</v>
      </c>
      <c r="F1268" s="1" t="str">
        <f>IFERROR(__xludf.DUMMYFUNCTION("""COMPUTED_VALUE"""),"Female")</f>
        <v>Female</v>
      </c>
      <c r="G1268" s="4" t="b">
        <f>IFERROR(__xludf.DUMMYFUNCTION("""COMPUTED_VALUE"""),TRUE)</f>
        <v>1</v>
      </c>
      <c r="H1268" s="4" t="b">
        <f>IFERROR(__xludf.DUMMYFUNCTION("""COMPUTED_VALUE"""),FALSE)</f>
        <v>0</v>
      </c>
      <c r="I1268" s="4">
        <f>IFERROR(__xludf.DUMMYFUNCTION("""COMPUTED_VALUE"""),0.2549440625)</f>
        <v>0.2549440625</v>
      </c>
      <c r="J1268" s="4">
        <f>IFERROR(__xludf.DUMMYFUNCTION("""COMPUTED_VALUE"""),45949.2767454526)</f>
        <v>45949.27675</v>
      </c>
      <c r="K1268" s="4" t="str">
        <f>IFERROR(__xludf.DUMMYFUNCTION("""COMPUTED_VALUE"""),"")</f>
        <v/>
      </c>
      <c r="L1268" s="4">
        <f>IFERROR(__xludf.DUMMYFUNCTION("""COMPUTED_VALUE"""),45949.29584183926)</f>
        <v>45949.29584</v>
      </c>
      <c r="M1268" s="1" t="str">
        <f>IFERROR(__xludf.DUMMYFUNCTION("""COMPUTED_VALUE"""),"RFID")</f>
        <v>RFID</v>
      </c>
      <c r="N1268" s="5">
        <f>IFERROR(__xludf.DUMMYFUNCTION("""COMPUTED_VALUE"""),0.008720555555555556)</f>
        <v>0.008720555556</v>
      </c>
      <c r="O1268" s="5" t="str">
        <f>IFERROR(__xludf.DUMMYFUNCTION("""COMPUTED_VALUE"""),"")</f>
        <v/>
      </c>
      <c r="P1268" s="5" t="str">
        <f>IFERROR(__xludf.DUMMYFUNCTION("""COMPUTED_VALUE"""),"")</f>
        <v/>
      </c>
      <c r="Q1268" s="5">
        <f>IFERROR(__xludf.DUMMYFUNCTION("""COMPUTED_VALUE"""),0.008179555555555556)</f>
        <v>0.008179555556</v>
      </c>
      <c r="R1268" s="4">
        <f>IFERROR(__xludf.DUMMYFUNCTION("""COMPUTED_VALUE"""),45949.04089777676)</f>
        <v>45949.0409</v>
      </c>
      <c r="S1268" s="1" t="b">
        <f>IFERROR(__xludf.DUMMYFUNCTION("""COMPUTED_VALUE"""),TRUE)</f>
        <v>1</v>
      </c>
      <c r="T1268" s="1" t="b">
        <f>IFERROR(__xludf.DUMMYFUNCTION("""COMPUTED_VALUE"""),FALSE)</f>
        <v>0</v>
      </c>
      <c r="U1268" s="1" t="str">
        <f>IFERROR(__xludf.DUMMYFUNCTION("""COMPUTED_VALUE"""),"VALID")</f>
        <v>VALID</v>
      </c>
      <c r="V1268" s="1">
        <f>IFERROR(__xludf.DUMMYFUNCTION("""COMPUTED_VALUE"""),339.0)</f>
        <v>339</v>
      </c>
      <c r="W1268" s="1">
        <f>IFERROR(__xludf.DUMMYFUNCTION("""COMPUTED_VALUE"""),1283.0)</f>
        <v>1283</v>
      </c>
      <c r="X1268" s="1">
        <f>IFERROR(__xludf.DUMMYFUNCTION("""COMPUTED_VALUE"""),409.0)</f>
        <v>409</v>
      </c>
      <c r="Y1268" s="2"/>
      <c r="Z1268" s="2"/>
    </row>
    <row r="1269">
      <c r="A1269" s="1">
        <f>IFERROR(__xludf.DUMMYFUNCTION("""COMPUTED_VALUE"""),1268.0)</f>
        <v>1268</v>
      </c>
      <c r="B1269" s="1">
        <f>IFERROR(__xludf.DUMMYFUNCTION("""COMPUTED_VALUE"""),5495.0)</f>
        <v>5495</v>
      </c>
      <c r="C1269" s="2" t="str">
        <f>IFERROR(__xludf.DUMMYFUNCTION("""COMPUTED_VALUE"""),"Rina")</f>
        <v>Rina</v>
      </c>
      <c r="D1269" s="2" t="str">
        <f>IFERROR(__xludf.DUMMYFUNCTION("""COMPUTED_VALUE"""),"5KM OVERALL F")</f>
        <v>5KM OVERALL F</v>
      </c>
      <c r="E1269" s="1">
        <f>IFERROR(__xludf.DUMMYFUNCTION("""COMPUTED_VALUE"""),2.0)</f>
        <v>2</v>
      </c>
      <c r="F1269" s="1" t="str">
        <f>IFERROR(__xludf.DUMMYFUNCTION("""COMPUTED_VALUE"""),"Female")</f>
        <v>Female</v>
      </c>
      <c r="G1269" s="4" t="b">
        <f>IFERROR(__xludf.DUMMYFUNCTION("""COMPUTED_VALUE"""),TRUE)</f>
        <v>1</v>
      </c>
      <c r="H1269" s="4" t="b">
        <f>IFERROR(__xludf.DUMMYFUNCTION("""COMPUTED_VALUE"""),TRUE)</f>
        <v>1</v>
      </c>
      <c r="I1269" s="4">
        <f>IFERROR(__xludf.DUMMYFUNCTION("""COMPUTED_VALUE"""),0.2549440625)</f>
        <v>0.2549440625</v>
      </c>
      <c r="J1269" s="4">
        <f>IFERROR(__xludf.DUMMYFUNCTION("""COMPUTED_VALUE"""),45949.27212738315)</f>
        <v>45949.27213</v>
      </c>
      <c r="K1269" s="4" t="str">
        <f>IFERROR(__xludf.DUMMYFUNCTION("""COMPUTED_VALUE"""),"")</f>
        <v/>
      </c>
      <c r="L1269" s="4">
        <f>IFERROR(__xludf.DUMMYFUNCTION("""COMPUTED_VALUE"""),45949.28476891867)</f>
        <v>45949.28477</v>
      </c>
      <c r="M1269" s="1" t="str">
        <f>IFERROR(__xludf.DUMMYFUNCTION("""COMPUTED_VALUE"""),"RFID")</f>
        <v>RFID</v>
      </c>
      <c r="N1269" s="5">
        <f>IFERROR(__xludf.DUMMYFUNCTION("""COMPUTED_VALUE"""),0.006873328703703703)</f>
        <v>0.006873328704</v>
      </c>
      <c r="O1269" s="5" t="str">
        <f>IFERROR(__xludf.DUMMYFUNCTION("""COMPUTED_VALUE"""),"")</f>
        <v/>
      </c>
      <c r="P1269" s="5" t="str">
        <f>IFERROR(__xludf.DUMMYFUNCTION("""COMPUTED_VALUE"""),"")</f>
        <v/>
      </c>
      <c r="Q1269" s="5">
        <f>IFERROR(__xludf.DUMMYFUNCTION("""COMPUTED_VALUE"""),0.005964972222222222)</f>
        <v>0.005964972222</v>
      </c>
      <c r="R1269" s="4">
        <f>IFERROR(__xludf.DUMMYFUNCTION("""COMPUTED_VALUE"""),45949.02982485617)</f>
        <v>45949.02982</v>
      </c>
      <c r="S1269" s="1" t="b">
        <f>IFERROR(__xludf.DUMMYFUNCTION("""COMPUTED_VALUE"""),TRUE)</f>
        <v>1</v>
      </c>
      <c r="T1269" s="1" t="b">
        <f>IFERROR(__xludf.DUMMYFUNCTION("""COMPUTED_VALUE"""),FALSE)</f>
        <v>0</v>
      </c>
      <c r="U1269" s="1" t="str">
        <f>IFERROR(__xludf.DUMMYFUNCTION("""COMPUTED_VALUE"""),"VALID")</f>
        <v>VALID</v>
      </c>
      <c r="V1269" s="1">
        <f>IFERROR(__xludf.DUMMYFUNCTION("""COMPUTED_VALUE"""),71.0)</f>
        <v>71</v>
      </c>
      <c r="W1269" s="1">
        <f>IFERROR(__xludf.DUMMYFUNCTION("""COMPUTED_VALUE"""),560.0)</f>
        <v>560</v>
      </c>
      <c r="X1269" s="1">
        <f>IFERROR(__xludf.DUMMYFUNCTION("""COMPUTED_VALUE"""),93.0)</f>
        <v>93</v>
      </c>
      <c r="Y1269" s="2"/>
      <c r="Z1269" s="2"/>
    </row>
    <row r="1270">
      <c r="A1270" s="1">
        <f>IFERROR(__xludf.DUMMYFUNCTION("""COMPUTED_VALUE"""),1269.0)</f>
        <v>1269</v>
      </c>
      <c r="B1270" s="1">
        <f>IFERROR(__xludf.DUMMYFUNCTION("""COMPUTED_VALUE"""),5499.0)</f>
        <v>5499</v>
      </c>
      <c r="C1270" s="2" t="str">
        <f>IFERROR(__xludf.DUMMYFUNCTION("""COMPUTED_VALUE"""),"mumud")</f>
        <v>mumud</v>
      </c>
      <c r="D1270" s="2" t="str">
        <f>IFERROR(__xludf.DUMMYFUNCTION("""COMPUTED_VALUE"""),"5KM OVERALL F")</f>
        <v>5KM OVERALL F</v>
      </c>
      <c r="E1270" s="1">
        <f>IFERROR(__xludf.DUMMYFUNCTION("""COMPUTED_VALUE"""),2.0)</f>
        <v>2</v>
      </c>
      <c r="F1270" s="1" t="str">
        <f>IFERROR(__xludf.DUMMYFUNCTION("""COMPUTED_VALUE"""),"Female")</f>
        <v>Female</v>
      </c>
      <c r="G1270" s="4" t="b">
        <f>IFERROR(__xludf.DUMMYFUNCTION("""COMPUTED_VALUE"""),TRUE)</f>
        <v>1</v>
      </c>
      <c r="H1270" s="4" t="b">
        <f>IFERROR(__xludf.DUMMYFUNCTION("""COMPUTED_VALUE"""),FALSE)</f>
        <v>0</v>
      </c>
      <c r="I1270" s="4">
        <f>IFERROR(__xludf.DUMMYFUNCTION("""COMPUTED_VALUE"""),0.2549440625)</f>
        <v>0.2549440625</v>
      </c>
      <c r="J1270" s="4">
        <f>IFERROR(__xludf.DUMMYFUNCTION("""COMPUTED_VALUE"""),45949.27084968432)</f>
        <v>45949.27085</v>
      </c>
      <c r="K1270" s="4" t="str">
        <f>IFERROR(__xludf.DUMMYFUNCTION("""COMPUTED_VALUE"""),"")</f>
        <v/>
      </c>
      <c r="L1270" s="4">
        <f>IFERROR(__xludf.DUMMYFUNCTION("""COMPUTED_VALUE"""),45949.28431754027)</f>
        <v>45949.28432</v>
      </c>
      <c r="M1270" s="1" t="str">
        <f>IFERROR(__xludf.DUMMYFUNCTION("""COMPUTED_VALUE"""),"RFID")</f>
        <v>RFID</v>
      </c>
      <c r="N1270" s="5">
        <f>IFERROR(__xludf.DUMMYFUNCTION("""COMPUTED_VALUE"""),0.00636225)</f>
        <v>0.00636225</v>
      </c>
      <c r="O1270" s="5" t="str">
        <f>IFERROR(__xludf.DUMMYFUNCTION("""COMPUTED_VALUE"""),"")</f>
        <v/>
      </c>
      <c r="P1270" s="5" t="str">
        <f>IFERROR(__xludf.DUMMYFUNCTION("""COMPUTED_VALUE"""),"")</f>
        <v/>
      </c>
      <c r="Q1270" s="5">
        <f>IFERROR(__xludf.DUMMYFUNCTION("""COMPUTED_VALUE"""),0.0058746944444444445)</f>
        <v>0.005874694444</v>
      </c>
      <c r="R1270" s="4">
        <f>IFERROR(__xludf.DUMMYFUNCTION("""COMPUTED_VALUE"""),45949.029373477766)</f>
        <v>45949.02937</v>
      </c>
      <c r="S1270" s="1" t="b">
        <f>IFERROR(__xludf.DUMMYFUNCTION("""COMPUTED_VALUE"""),TRUE)</f>
        <v>1</v>
      </c>
      <c r="T1270" s="1" t="b">
        <f>IFERROR(__xludf.DUMMYFUNCTION("""COMPUTED_VALUE"""),FALSE)</f>
        <v>0</v>
      </c>
      <c r="U1270" s="1" t="str">
        <f>IFERROR(__xludf.DUMMYFUNCTION("""COMPUTED_VALUE"""),"VALID")</f>
        <v>VALID</v>
      </c>
      <c r="V1270" s="1">
        <f>IFERROR(__xludf.DUMMYFUNCTION("""COMPUTED_VALUE"""),57.0)</f>
        <v>57</v>
      </c>
      <c r="W1270" s="1">
        <f>IFERROR(__xludf.DUMMYFUNCTION("""COMPUTED_VALUE"""),523.0)</f>
        <v>523</v>
      </c>
      <c r="X1270" s="1">
        <f>IFERROR(__xludf.DUMMYFUNCTION("""COMPUTED_VALUE"""),79.0)</f>
        <v>79</v>
      </c>
      <c r="Y1270" s="2"/>
      <c r="Z1270" s="2"/>
    </row>
    <row r="1271">
      <c r="A1271" s="1">
        <f>IFERROR(__xludf.DUMMYFUNCTION("""COMPUTED_VALUE"""),1270.0)</f>
        <v>1270</v>
      </c>
      <c r="B1271" s="1">
        <f>IFERROR(__xludf.DUMMYFUNCTION("""COMPUTED_VALUE"""),5501.0)</f>
        <v>5501</v>
      </c>
      <c r="C1271" s="2" t="str">
        <f>IFERROR(__xludf.DUMMYFUNCTION("""COMPUTED_VALUE"""),"adisha")</f>
        <v>adisha</v>
      </c>
      <c r="D1271" s="2" t="str">
        <f>IFERROR(__xludf.DUMMYFUNCTION("""COMPUTED_VALUE"""),"5KM OVERALL F")</f>
        <v>5KM OVERALL F</v>
      </c>
      <c r="E1271" s="1">
        <f>IFERROR(__xludf.DUMMYFUNCTION("""COMPUTED_VALUE"""),2.0)</f>
        <v>2</v>
      </c>
      <c r="F1271" s="1" t="str">
        <f>IFERROR(__xludf.DUMMYFUNCTION("""COMPUTED_VALUE"""),"Female")</f>
        <v>Female</v>
      </c>
      <c r="G1271" s="4" t="str">
        <f>IFERROR(__xludf.DUMMYFUNCTION("""COMPUTED_VALUE"""),"")</f>
        <v/>
      </c>
      <c r="H1271" s="4" t="b">
        <f>IFERROR(__xludf.DUMMYFUNCTION("""COMPUTED_VALUE"""),FALSE)</f>
        <v>0</v>
      </c>
      <c r="I1271" s="4">
        <f>IFERROR(__xludf.DUMMYFUNCTION("""COMPUTED_VALUE"""),0.2549440625)</f>
        <v>0.2549440625</v>
      </c>
      <c r="J1271" s="4" t="str">
        <f>IFERROR(__xludf.DUMMYFUNCTION("""COMPUTED_VALUE"""),"")</f>
        <v/>
      </c>
      <c r="K1271" s="4" t="str">
        <f>IFERROR(__xludf.DUMMYFUNCTION("""COMPUTED_VALUE"""),"")</f>
        <v/>
      </c>
      <c r="L1271" s="4" t="str">
        <f>IFERROR(__xludf.DUMMYFUNCTION("""COMPUTED_VALUE"""),"")</f>
        <v/>
      </c>
      <c r="M1271" s="1" t="str">
        <f>IFERROR(__xludf.DUMMYFUNCTION("""COMPUTED_VALUE"""),"RFID")</f>
        <v>RFID</v>
      </c>
      <c r="N1271" s="5" t="str">
        <f>IFERROR(__xludf.DUMMYFUNCTION("""COMPUTED_VALUE"""),"")</f>
        <v/>
      </c>
      <c r="O1271" s="5" t="str">
        <f>IFERROR(__xludf.DUMMYFUNCTION("""COMPUTED_VALUE"""),"")</f>
        <v/>
      </c>
      <c r="P1271" s="5" t="str">
        <f>IFERROR(__xludf.DUMMYFUNCTION("""COMPUTED_VALUE"""),"")</f>
        <v/>
      </c>
      <c r="Q1271" s="5" t="str">
        <f>IFERROR(__xludf.DUMMYFUNCTION("""COMPUTED_VALUE"""),"")</f>
        <v/>
      </c>
      <c r="R1271" s="4" t="str">
        <f>IFERROR(__xludf.DUMMYFUNCTION("""COMPUTED_VALUE"""),"")</f>
        <v/>
      </c>
      <c r="S1271" s="1" t="b">
        <f>IFERROR(__xludf.DUMMYFUNCTION("""COMPUTED_VALUE"""),FALSE)</f>
        <v>0</v>
      </c>
      <c r="T1271" s="1" t="b">
        <f>IFERROR(__xludf.DUMMYFUNCTION("""COMPUTED_VALUE"""),FALSE)</f>
        <v>0</v>
      </c>
      <c r="U1271" s="1" t="str">
        <f>IFERROR(__xludf.DUMMYFUNCTION("""COMPUTED_VALUE"""),"DSQ")</f>
        <v>DSQ</v>
      </c>
      <c r="V1271" s="1" t="str">
        <f>IFERROR(__xludf.DUMMYFUNCTION("""COMPUTED_VALUE"""),"DSQ")</f>
        <v>DSQ</v>
      </c>
      <c r="W1271" s="1" t="str">
        <f>IFERROR(__xludf.DUMMYFUNCTION("""COMPUTED_VALUE"""),"DSQ")</f>
        <v>DSQ</v>
      </c>
      <c r="X1271" s="1" t="str">
        <f>IFERROR(__xludf.DUMMYFUNCTION("""COMPUTED_VALUE"""),"DSQ")</f>
        <v>DSQ</v>
      </c>
      <c r="Y1271" s="2"/>
      <c r="Z1271" s="2" t="str">
        <f>IFERROR(__xludf.DUMMYFUNCTION("""COMPUTED_VALUE"""),"")</f>
        <v/>
      </c>
    </row>
    <row r="1272">
      <c r="A1272" s="1">
        <f>IFERROR(__xludf.DUMMYFUNCTION("""COMPUTED_VALUE"""),1271.0)</f>
        <v>1271</v>
      </c>
      <c r="B1272" s="1">
        <f>IFERROR(__xludf.DUMMYFUNCTION("""COMPUTED_VALUE"""),5502.0)</f>
        <v>5502</v>
      </c>
      <c r="C1272" s="2" t="str">
        <f>IFERROR(__xludf.DUMMYFUNCTION("""COMPUTED_VALUE"""),"MILA")</f>
        <v>MILA</v>
      </c>
      <c r="D1272" s="2" t="str">
        <f>IFERROR(__xludf.DUMMYFUNCTION("""COMPUTED_VALUE"""),"5KM OVERALL F")</f>
        <v>5KM OVERALL F</v>
      </c>
      <c r="E1272" s="1">
        <f>IFERROR(__xludf.DUMMYFUNCTION("""COMPUTED_VALUE"""),2.0)</f>
        <v>2</v>
      </c>
      <c r="F1272" s="1" t="str">
        <f>IFERROR(__xludf.DUMMYFUNCTION("""COMPUTED_VALUE"""),"Female")</f>
        <v>Female</v>
      </c>
      <c r="G1272" s="4" t="b">
        <f>IFERROR(__xludf.DUMMYFUNCTION("""COMPUTED_VALUE"""),TRUE)</f>
        <v>1</v>
      </c>
      <c r="H1272" s="4" t="b">
        <f>IFERROR(__xludf.DUMMYFUNCTION("""COMPUTED_VALUE"""),FALSE)</f>
        <v>0</v>
      </c>
      <c r="I1272" s="4">
        <f>IFERROR(__xludf.DUMMYFUNCTION("""COMPUTED_VALUE"""),0.2549440625)</f>
        <v>0.2549440625</v>
      </c>
      <c r="J1272" s="4">
        <f>IFERROR(__xludf.DUMMYFUNCTION("""COMPUTED_VALUE"""),45949.27877326575)</f>
        <v>45949.27877</v>
      </c>
      <c r="K1272" s="4" t="str">
        <f>IFERROR(__xludf.DUMMYFUNCTION("""COMPUTED_VALUE"""),"")</f>
        <v/>
      </c>
      <c r="L1272" s="4">
        <f>IFERROR(__xludf.DUMMYFUNCTION("""COMPUTED_VALUE"""),45949.29663351806)</f>
        <v>45949.29663</v>
      </c>
      <c r="M1272" s="1" t="str">
        <f>IFERROR(__xludf.DUMMYFUNCTION("""COMPUTED_VALUE"""),"RFID")</f>
        <v>RFID</v>
      </c>
      <c r="N1272" s="5">
        <f>IFERROR(__xludf.DUMMYFUNCTION("""COMPUTED_VALUE"""),0.009531680555555555)</f>
        <v>0.009531680556</v>
      </c>
      <c r="O1272" s="5" t="str">
        <f>IFERROR(__xludf.DUMMYFUNCTION("""COMPUTED_VALUE"""),"")</f>
        <v/>
      </c>
      <c r="P1272" s="5" t="str">
        <f>IFERROR(__xludf.DUMMYFUNCTION("""COMPUTED_VALUE"""),"")</f>
        <v/>
      </c>
      <c r="Q1272" s="5">
        <f>IFERROR(__xludf.DUMMYFUNCTION("""COMPUTED_VALUE"""),0.008337891203703703)</f>
        <v>0.008337891204</v>
      </c>
      <c r="R1272" s="4">
        <f>IFERROR(__xludf.DUMMYFUNCTION("""COMPUTED_VALUE"""),45949.04168945556)</f>
        <v>45949.04169</v>
      </c>
      <c r="S1272" s="1" t="b">
        <f>IFERROR(__xludf.DUMMYFUNCTION("""COMPUTED_VALUE"""),TRUE)</f>
        <v>1</v>
      </c>
      <c r="T1272" s="1" t="b">
        <f>IFERROR(__xludf.DUMMYFUNCTION("""COMPUTED_VALUE"""),FALSE)</f>
        <v>0</v>
      </c>
      <c r="U1272" s="1" t="str">
        <f>IFERROR(__xludf.DUMMYFUNCTION("""COMPUTED_VALUE"""),"VALID")</f>
        <v>VALID</v>
      </c>
      <c r="V1272" s="1">
        <f>IFERROR(__xludf.DUMMYFUNCTION("""COMPUTED_VALUE"""),353.0)</f>
        <v>353</v>
      </c>
      <c r="W1272" s="1">
        <f>IFERROR(__xludf.DUMMYFUNCTION("""COMPUTED_VALUE"""),1320.0)</f>
        <v>1320</v>
      </c>
      <c r="X1272" s="1">
        <f>IFERROR(__xludf.DUMMYFUNCTION("""COMPUTED_VALUE"""),428.0)</f>
        <v>428</v>
      </c>
      <c r="Y1272" s="2"/>
      <c r="Z1272" s="2"/>
    </row>
    <row r="1273">
      <c r="A1273" s="1">
        <f>IFERROR(__xludf.DUMMYFUNCTION("""COMPUTED_VALUE"""),1272.0)</f>
        <v>1272</v>
      </c>
      <c r="B1273" s="1">
        <f>IFERROR(__xludf.DUMMYFUNCTION("""COMPUTED_VALUE"""),5503.0)</f>
        <v>5503</v>
      </c>
      <c r="C1273" s="2" t="str">
        <f>IFERROR(__xludf.DUMMYFUNCTION("""COMPUTED_VALUE"""),"affrida")</f>
        <v>affrida</v>
      </c>
      <c r="D1273" s="2" t="str">
        <f>IFERROR(__xludf.DUMMYFUNCTION("""COMPUTED_VALUE"""),"5KM OVERALL F")</f>
        <v>5KM OVERALL F</v>
      </c>
      <c r="E1273" s="1">
        <f>IFERROR(__xludf.DUMMYFUNCTION("""COMPUTED_VALUE"""),2.0)</f>
        <v>2</v>
      </c>
      <c r="F1273" s="1" t="str">
        <f>IFERROR(__xludf.DUMMYFUNCTION("""COMPUTED_VALUE"""),"Female")</f>
        <v>Female</v>
      </c>
      <c r="G1273" s="4" t="b">
        <f>IFERROR(__xludf.DUMMYFUNCTION("""COMPUTED_VALUE"""),TRUE)</f>
        <v>1</v>
      </c>
      <c r="H1273" s="4" t="b">
        <f>IFERROR(__xludf.DUMMYFUNCTION("""COMPUTED_VALUE"""),FALSE)</f>
        <v>0</v>
      </c>
      <c r="I1273" s="4">
        <f>IFERROR(__xludf.DUMMYFUNCTION("""COMPUTED_VALUE"""),0.2549440625)</f>
        <v>0.2549440625</v>
      </c>
      <c r="J1273" s="4">
        <f>IFERROR(__xludf.DUMMYFUNCTION("""COMPUTED_VALUE"""),45949.28432535402)</f>
        <v>45949.28433</v>
      </c>
      <c r="K1273" s="4" t="str">
        <f>IFERROR(__xludf.DUMMYFUNCTION("""COMPUTED_VALUE"""),"")</f>
        <v/>
      </c>
      <c r="L1273" s="4">
        <f>IFERROR(__xludf.DUMMYFUNCTION("""COMPUTED_VALUE"""),45949.30828281238)</f>
        <v>45949.30828</v>
      </c>
      <c r="M1273" s="1" t="str">
        <f>IFERROR(__xludf.DUMMYFUNCTION("""COMPUTED_VALUE"""),"RFID")</f>
        <v>RFID</v>
      </c>
      <c r="N1273" s="5">
        <f>IFERROR(__xludf.DUMMYFUNCTION("""COMPUTED_VALUE"""),0.011752518518518518)</f>
        <v>0.01175251852</v>
      </c>
      <c r="O1273" s="5" t="str">
        <f>IFERROR(__xludf.DUMMYFUNCTION("""COMPUTED_VALUE"""),"")</f>
        <v/>
      </c>
      <c r="P1273" s="5" t="str">
        <f>IFERROR(__xludf.DUMMYFUNCTION("""COMPUTED_VALUE"""),"")</f>
        <v/>
      </c>
      <c r="Q1273" s="5">
        <f>IFERROR(__xludf.DUMMYFUNCTION("""COMPUTED_VALUE"""),0.01066775)</f>
        <v>0.01066775</v>
      </c>
      <c r="R1273" s="4">
        <f>IFERROR(__xludf.DUMMYFUNCTION("""COMPUTED_VALUE"""),45949.05333874988)</f>
        <v>45949.05334</v>
      </c>
      <c r="S1273" s="1" t="b">
        <f>IFERROR(__xludf.DUMMYFUNCTION("""COMPUTED_VALUE"""),TRUE)</f>
        <v>1</v>
      </c>
      <c r="T1273" s="1" t="b">
        <f>IFERROR(__xludf.DUMMYFUNCTION("""COMPUTED_VALUE"""),FALSE)</f>
        <v>0</v>
      </c>
      <c r="U1273" s="1" t="str">
        <f>IFERROR(__xludf.DUMMYFUNCTION("""COMPUTED_VALUE"""),"VALID")</f>
        <v>VALID</v>
      </c>
      <c r="V1273" s="1">
        <f>IFERROR(__xludf.DUMMYFUNCTION("""COMPUTED_VALUE"""),499.0)</f>
        <v>499</v>
      </c>
      <c r="W1273" s="1">
        <f>IFERROR(__xludf.DUMMYFUNCTION("""COMPUTED_VALUE"""),1594.0)</f>
        <v>1594</v>
      </c>
      <c r="X1273" s="1">
        <f>IFERROR(__xludf.DUMMYFUNCTION("""COMPUTED_VALUE"""),618.0)</f>
        <v>618</v>
      </c>
      <c r="Y1273" s="2"/>
      <c r="Z1273" s="2"/>
    </row>
    <row r="1274">
      <c r="A1274" s="1">
        <f>IFERROR(__xludf.DUMMYFUNCTION("""COMPUTED_VALUE"""),1273.0)</f>
        <v>1273</v>
      </c>
      <c r="B1274" s="1">
        <f>IFERROR(__xludf.DUMMYFUNCTION("""COMPUTED_VALUE"""),5504.0)</f>
        <v>5504</v>
      </c>
      <c r="C1274" s="2" t="str">
        <f>IFERROR(__xludf.DUMMYFUNCTION("""COMPUTED_VALUE"""),"MAHA")</f>
        <v>MAHA</v>
      </c>
      <c r="D1274" s="2" t="str">
        <f>IFERROR(__xludf.DUMMYFUNCTION("""COMPUTED_VALUE"""),"5KM OVERALL F")</f>
        <v>5KM OVERALL F</v>
      </c>
      <c r="E1274" s="1">
        <f>IFERROR(__xludf.DUMMYFUNCTION("""COMPUTED_VALUE"""),2.0)</f>
        <v>2</v>
      </c>
      <c r="F1274" s="1" t="str">
        <f>IFERROR(__xludf.DUMMYFUNCTION("""COMPUTED_VALUE"""),"Female")</f>
        <v>Female</v>
      </c>
      <c r="G1274" s="4" t="b">
        <f>IFERROR(__xludf.DUMMYFUNCTION("""COMPUTED_VALUE"""),TRUE)</f>
        <v>1</v>
      </c>
      <c r="H1274" s="4" t="b">
        <f>IFERROR(__xludf.DUMMYFUNCTION("""COMPUTED_VALUE"""),FALSE)</f>
        <v>0</v>
      </c>
      <c r="I1274" s="4">
        <f>IFERROR(__xludf.DUMMYFUNCTION("""COMPUTED_VALUE"""),0.2549440625)</f>
        <v>0.2549440625</v>
      </c>
      <c r="J1274" s="4">
        <f>IFERROR(__xludf.DUMMYFUNCTION("""COMPUTED_VALUE"""),45949.27471449205)</f>
        <v>45949.27471</v>
      </c>
      <c r="K1274" s="4" t="str">
        <f>IFERROR(__xludf.DUMMYFUNCTION("""COMPUTED_VALUE"""),"")</f>
        <v/>
      </c>
      <c r="L1274" s="4">
        <f>IFERROR(__xludf.DUMMYFUNCTION("""COMPUTED_VALUE"""),45949.29065086924)</f>
        <v>45949.29065</v>
      </c>
      <c r="M1274" s="1" t="str">
        <f>IFERROR(__xludf.DUMMYFUNCTION("""COMPUTED_VALUE"""),"RFID")</f>
        <v>RFID</v>
      </c>
      <c r="N1274" s="5">
        <f>IFERROR(__xludf.DUMMYFUNCTION("""COMPUTED_VALUE"""),0.007908171296296295)</f>
        <v>0.007908171296</v>
      </c>
      <c r="O1274" s="5" t="str">
        <f>IFERROR(__xludf.DUMMYFUNCTION("""COMPUTED_VALUE"""),"")</f>
        <v/>
      </c>
      <c r="P1274" s="5" t="str">
        <f>IFERROR(__xludf.DUMMYFUNCTION("""COMPUTED_VALUE"""),"")</f>
        <v/>
      </c>
      <c r="Q1274" s="5">
        <f>IFERROR(__xludf.DUMMYFUNCTION("""COMPUTED_VALUE"""),0.007141361111111112)</f>
        <v>0.007141361111</v>
      </c>
      <c r="R1274" s="4">
        <f>IFERROR(__xludf.DUMMYFUNCTION("""COMPUTED_VALUE"""),45949.03570680674)</f>
        <v>45949.03571</v>
      </c>
      <c r="S1274" s="1" t="b">
        <f>IFERROR(__xludf.DUMMYFUNCTION("""COMPUTED_VALUE"""),TRUE)</f>
        <v>1</v>
      </c>
      <c r="T1274" s="1" t="b">
        <f>IFERROR(__xludf.DUMMYFUNCTION("""COMPUTED_VALUE"""),FALSE)</f>
        <v>0</v>
      </c>
      <c r="U1274" s="1" t="str">
        <f>IFERROR(__xludf.DUMMYFUNCTION("""COMPUTED_VALUE"""),"VALID")</f>
        <v>VALID</v>
      </c>
      <c r="V1274" s="1">
        <f>IFERROR(__xludf.DUMMYFUNCTION("""COMPUTED_VALUE"""),175.0)</f>
        <v>175</v>
      </c>
      <c r="W1274" s="1">
        <f>IFERROR(__xludf.DUMMYFUNCTION("""COMPUTED_VALUE"""),934.0)</f>
        <v>934</v>
      </c>
      <c r="X1274" s="1">
        <f>IFERROR(__xludf.DUMMYFUNCTION("""COMPUTED_VALUE"""),220.0)</f>
        <v>220</v>
      </c>
      <c r="Y1274" s="2"/>
      <c r="Z1274" s="2"/>
    </row>
    <row r="1275">
      <c r="A1275" s="1">
        <f>IFERROR(__xludf.DUMMYFUNCTION("""COMPUTED_VALUE"""),1274.0)</f>
        <v>1274</v>
      </c>
      <c r="B1275" s="1">
        <f>IFERROR(__xludf.DUMMYFUNCTION("""COMPUTED_VALUE"""),5505.0)</f>
        <v>5505</v>
      </c>
      <c r="C1275" s="2" t="str">
        <f>IFERROR(__xludf.DUMMYFUNCTION("""COMPUTED_VALUE"""),"Sefti")</f>
        <v>Sefti</v>
      </c>
      <c r="D1275" s="2" t="str">
        <f>IFERROR(__xludf.DUMMYFUNCTION("""COMPUTED_VALUE"""),"5KM OVERALL F")</f>
        <v>5KM OVERALL F</v>
      </c>
      <c r="E1275" s="1">
        <f>IFERROR(__xludf.DUMMYFUNCTION("""COMPUTED_VALUE"""),2.0)</f>
        <v>2</v>
      </c>
      <c r="F1275" s="1" t="str">
        <f>IFERROR(__xludf.DUMMYFUNCTION("""COMPUTED_VALUE"""),"Female")</f>
        <v>Female</v>
      </c>
      <c r="G1275" s="4" t="str">
        <f>IFERROR(__xludf.DUMMYFUNCTION("""COMPUTED_VALUE"""),"")</f>
        <v/>
      </c>
      <c r="H1275" s="4" t="b">
        <f>IFERROR(__xludf.DUMMYFUNCTION("""COMPUTED_VALUE"""),FALSE)</f>
        <v>0</v>
      </c>
      <c r="I1275" s="4">
        <f>IFERROR(__xludf.DUMMYFUNCTION("""COMPUTED_VALUE"""),0.2549440625)</f>
        <v>0.2549440625</v>
      </c>
      <c r="J1275" s="4" t="str">
        <f>IFERROR(__xludf.DUMMYFUNCTION("""COMPUTED_VALUE"""),"")</f>
        <v/>
      </c>
      <c r="K1275" s="4" t="str">
        <f>IFERROR(__xludf.DUMMYFUNCTION("""COMPUTED_VALUE"""),"")</f>
        <v/>
      </c>
      <c r="L1275" s="4" t="str">
        <f>IFERROR(__xludf.DUMMYFUNCTION("""COMPUTED_VALUE"""),"")</f>
        <v/>
      </c>
      <c r="M1275" s="1" t="str">
        <f>IFERROR(__xludf.DUMMYFUNCTION("""COMPUTED_VALUE"""),"RFID")</f>
        <v>RFID</v>
      </c>
      <c r="N1275" s="5" t="str">
        <f>IFERROR(__xludf.DUMMYFUNCTION("""COMPUTED_VALUE"""),"")</f>
        <v/>
      </c>
      <c r="O1275" s="5" t="str">
        <f>IFERROR(__xludf.DUMMYFUNCTION("""COMPUTED_VALUE"""),"")</f>
        <v/>
      </c>
      <c r="P1275" s="5" t="str">
        <f>IFERROR(__xludf.DUMMYFUNCTION("""COMPUTED_VALUE"""),"")</f>
        <v/>
      </c>
      <c r="Q1275" s="5" t="str">
        <f>IFERROR(__xludf.DUMMYFUNCTION("""COMPUTED_VALUE"""),"")</f>
        <v/>
      </c>
      <c r="R1275" s="4" t="str">
        <f>IFERROR(__xludf.DUMMYFUNCTION("""COMPUTED_VALUE"""),"")</f>
        <v/>
      </c>
      <c r="S1275" s="1" t="b">
        <f>IFERROR(__xludf.DUMMYFUNCTION("""COMPUTED_VALUE"""),FALSE)</f>
        <v>0</v>
      </c>
      <c r="T1275" s="1" t="b">
        <f>IFERROR(__xludf.DUMMYFUNCTION("""COMPUTED_VALUE"""),FALSE)</f>
        <v>0</v>
      </c>
      <c r="U1275" s="1" t="str">
        <f>IFERROR(__xludf.DUMMYFUNCTION("""COMPUTED_VALUE"""),"DSQ")</f>
        <v>DSQ</v>
      </c>
      <c r="V1275" s="1" t="str">
        <f>IFERROR(__xludf.DUMMYFUNCTION("""COMPUTED_VALUE"""),"DSQ")</f>
        <v>DSQ</v>
      </c>
      <c r="W1275" s="1" t="str">
        <f>IFERROR(__xludf.DUMMYFUNCTION("""COMPUTED_VALUE"""),"DSQ")</f>
        <v>DSQ</v>
      </c>
      <c r="X1275" s="1" t="str">
        <f>IFERROR(__xludf.DUMMYFUNCTION("""COMPUTED_VALUE"""),"DSQ")</f>
        <v>DSQ</v>
      </c>
      <c r="Y1275" s="2"/>
      <c r="Z1275" s="2" t="str">
        <f>IFERROR(__xludf.DUMMYFUNCTION("""COMPUTED_VALUE"""),"")</f>
        <v/>
      </c>
    </row>
    <row r="1276">
      <c r="A1276" s="1">
        <f>IFERROR(__xludf.DUMMYFUNCTION("""COMPUTED_VALUE"""),1275.0)</f>
        <v>1275</v>
      </c>
      <c r="B1276" s="1">
        <f>IFERROR(__xludf.DUMMYFUNCTION("""COMPUTED_VALUE"""),5510.0)</f>
        <v>5510</v>
      </c>
      <c r="C1276" s="2" t="str">
        <f>IFERROR(__xludf.DUMMYFUNCTION("""COMPUTED_VALUE"""),"Yoyo")</f>
        <v>Yoyo</v>
      </c>
      <c r="D1276" s="2" t="str">
        <f>IFERROR(__xludf.DUMMYFUNCTION("""COMPUTED_VALUE"""),"5KM OVERALL F")</f>
        <v>5KM OVERALL F</v>
      </c>
      <c r="E1276" s="1">
        <f>IFERROR(__xludf.DUMMYFUNCTION("""COMPUTED_VALUE"""),2.0)</f>
        <v>2</v>
      </c>
      <c r="F1276" s="1" t="str">
        <f>IFERROR(__xludf.DUMMYFUNCTION("""COMPUTED_VALUE"""),"Female")</f>
        <v>Female</v>
      </c>
      <c r="G1276" s="4" t="b">
        <f>IFERROR(__xludf.DUMMYFUNCTION("""COMPUTED_VALUE"""),TRUE)</f>
        <v>1</v>
      </c>
      <c r="H1276" s="4" t="b">
        <f>IFERROR(__xludf.DUMMYFUNCTION("""COMPUTED_VALUE"""),TRUE)</f>
        <v>1</v>
      </c>
      <c r="I1276" s="4">
        <f>IFERROR(__xludf.DUMMYFUNCTION("""COMPUTED_VALUE"""),0.2549440625)</f>
        <v>0.2549440625</v>
      </c>
      <c r="J1276" s="4">
        <f>IFERROR(__xludf.DUMMYFUNCTION("""COMPUTED_VALUE"""),45949.272648222686)</f>
        <v>45949.27265</v>
      </c>
      <c r="K1276" s="4" t="str">
        <f>IFERROR(__xludf.DUMMYFUNCTION("""COMPUTED_VALUE"""),"")</f>
        <v/>
      </c>
      <c r="L1276" s="4">
        <f>IFERROR(__xludf.DUMMYFUNCTION("""COMPUTED_VALUE"""),45949.28540782644)</f>
        <v>45949.28541</v>
      </c>
      <c r="M1276" s="1" t="str">
        <f>IFERROR(__xludf.DUMMYFUNCTION("""COMPUTED_VALUE"""),"RFID")</f>
        <v>RFID</v>
      </c>
      <c r="N1276" s="5">
        <f>IFERROR(__xludf.DUMMYFUNCTION("""COMPUTED_VALUE"""),0.007081662037037037)</f>
        <v>0.007081662037</v>
      </c>
      <c r="O1276" s="5" t="str">
        <f>IFERROR(__xludf.DUMMYFUNCTION("""COMPUTED_VALUE"""),"")</f>
        <v/>
      </c>
      <c r="P1276" s="5" t="str">
        <f>IFERROR(__xludf.DUMMYFUNCTION("""COMPUTED_VALUE"""),"")</f>
        <v/>
      </c>
      <c r="Q1276" s="5">
        <f>IFERROR(__xludf.DUMMYFUNCTION("""COMPUTED_VALUE"""),0.006092752314814815)</f>
        <v>0.006092752315</v>
      </c>
      <c r="R1276" s="4">
        <f>IFERROR(__xludf.DUMMYFUNCTION("""COMPUTED_VALUE"""),45949.03046376394)</f>
        <v>45949.03046</v>
      </c>
      <c r="S1276" s="1" t="b">
        <f>IFERROR(__xludf.DUMMYFUNCTION("""COMPUTED_VALUE"""),TRUE)</f>
        <v>1</v>
      </c>
      <c r="T1276" s="1" t="b">
        <f>IFERROR(__xludf.DUMMYFUNCTION("""COMPUTED_VALUE"""),FALSE)</f>
        <v>0</v>
      </c>
      <c r="U1276" s="1" t="str">
        <f>IFERROR(__xludf.DUMMYFUNCTION("""COMPUTED_VALUE"""),"VALID")</f>
        <v>VALID</v>
      </c>
      <c r="V1276" s="1">
        <f>IFERROR(__xludf.DUMMYFUNCTION("""COMPUTED_VALUE"""),80.0)</f>
        <v>80</v>
      </c>
      <c r="W1276" s="1">
        <f>IFERROR(__xludf.DUMMYFUNCTION("""COMPUTED_VALUE"""),597.0)</f>
        <v>597</v>
      </c>
      <c r="X1276" s="1">
        <f>IFERROR(__xludf.DUMMYFUNCTION("""COMPUTED_VALUE"""),103.0)</f>
        <v>103</v>
      </c>
      <c r="Y1276" s="2"/>
      <c r="Z1276" s="2"/>
    </row>
    <row r="1277">
      <c r="A1277" s="1">
        <f>IFERROR(__xludf.DUMMYFUNCTION("""COMPUTED_VALUE"""),1276.0)</f>
        <v>1276</v>
      </c>
      <c r="B1277" s="1">
        <f>IFERROR(__xludf.DUMMYFUNCTION("""COMPUTED_VALUE"""),5515.0)</f>
        <v>5515</v>
      </c>
      <c r="C1277" s="2" t="str">
        <f>IFERROR(__xludf.DUMMYFUNCTION("""COMPUTED_VALUE"""),"Ucit")</f>
        <v>Ucit</v>
      </c>
      <c r="D1277" s="2" t="str">
        <f>IFERROR(__xludf.DUMMYFUNCTION("""COMPUTED_VALUE"""),"5KM OVERALL F")</f>
        <v>5KM OVERALL F</v>
      </c>
      <c r="E1277" s="1">
        <f>IFERROR(__xludf.DUMMYFUNCTION("""COMPUTED_VALUE"""),2.0)</f>
        <v>2</v>
      </c>
      <c r="F1277" s="1" t="str">
        <f>IFERROR(__xludf.DUMMYFUNCTION("""COMPUTED_VALUE"""),"Female")</f>
        <v>Female</v>
      </c>
      <c r="G1277" s="4" t="b">
        <f>IFERROR(__xludf.DUMMYFUNCTION("""COMPUTED_VALUE"""),TRUE)</f>
        <v>1</v>
      </c>
      <c r="H1277" s="4" t="b">
        <f>IFERROR(__xludf.DUMMYFUNCTION("""COMPUTED_VALUE"""),TRUE)</f>
        <v>1</v>
      </c>
      <c r="I1277" s="4">
        <f>IFERROR(__xludf.DUMMYFUNCTION("""COMPUTED_VALUE"""),0.2549440625)</f>
        <v>0.2549440625</v>
      </c>
      <c r="J1277" s="4">
        <f>IFERROR(__xludf.DUMMYFUNCTION("""COMPUTED_VALUE"""),45949.27433227041)</f>
        <v>45949.27433</v>
      </c>
      <c r="K1277" s="4" t="str">
        <f>IFERROR(__xludf.DUMMYFUNCTION("""COMPUTED_VALUE"""),"")</f>
        <v/>
      </c>
      <c r="L1277" s="4">
        <f>IFERROR(__xludf.DUMMYFUNCTION("""COMPUTED_VALUE"""),45949.28786962378)</f>
        <v>45949.28787</v>
      </c>
      <c r="M1277" s="1" t="str">
        <f>IFERROR(__xludf.DUMMYFUNCTION("""COMPUTED_VALUE"""),"RFID")</f>
        <v>RFID</v>
      </c>
      <c r="N1277" s="5">
        <f>IFERROR(__xludf.DUMMYFUNCTION("""COMPUTED_VALUE"""),0.007755282407407407)</f>
        <v>0.007755282407</v>
      </c>
      <c r="O1277" s="5" t="str">
        <f>IFERROR(__xludf.DUMMYFUNCTION("""COMPUTED_VALUE"""),"")</f>
        <v/>
      </c>
      <c r="P1277" s="5" t="str">
        <f>IFERROR(__xludf.DUMMYFUNCTION("""COMPUTED_VALUE"""),"")</f>
        <v/>
      </c>
      <c r="Q1277" s="5">
        <f>IFERROR(__xludf.DUMMYFUNCTION("""COMPUTED_VALUE"""),0.006585111111111111)</f>
        <v>0.006585111111</v>
      </c>
      <c r="R1277" s="4">
        <f>IFERROR(__xludf.DUMMYFUNCTION("""COMPUTED_VALUE"""),45949.03292556128)</f>
        <v>45949.03293</v>
      </c>
      <c r="S1277" s="1" t="b">
        <f>IFERROR(__xludf.DUMMYFUNCTION("""COMPUTED_VALUE"""),TRUE)</f>
        <v>1</v>
      </c>
      <c r="T1277" s="1" t="b">
        <f>IFERROR(__xludf.DUMMYFUNCTION("""COMPUTED_VALUE"""),FALSE)</f>
        <v>0</v>
      </c>
      <c r="U1277" s="1" t="str">
        <f>IFERROR(__xludf.DUMMYFUNCTION("""COMPUTED_VALUE"""),"VALID")</f>
        <v>VALID</v>
      </c>
      <c r="V1277" s="1">
        <f>IFERROR(__xludf.DUMMYFUNCTION("""COMPUTED_VALUE"""),127.0)</f>
        <v>127</v>
      </c>
      <c r="W1277" s="1">
        <f>IFERROR(__xludf.DUMMYFUNCTION("""COMPUTED_VALUE"""),768.0)</f>
        <v>768</v>
      </c>
      <c r="X1277" s="1">
        <f>IFERROR(__xludf.DUMMYFUNCTION("""COMPUTED_VALUE"""),160.0)</f>
        <v>160</v>
      </c>
      <c r="Y1277" s="2"/>
      <c r="Z1277" s="2"/>
    </row>
    <row r="1278">
      <c r="A1278" s="1">
        <f>IFERROR(__xludf.DUMMYFUNCTION("""COMPUTED_VALUE"""),1277.0)</f>
        <v>1277</v>
      </c>
      <c r="B1278" s="1">
        <f>IFERROR(__xludf.DUMMYFUNCTION("""COMPUTED_VALUE"""),5516.0)</f>
        <v>5516</v>
      </c>
      <c r="C1278" s="2" t="str">
        <f>IFERROR(__xludf.DUMMYFUNCTION("""COMPUTED_VALUE"""),"TRIANI")</f>
        <v>TRIANI</v>
      </c>
      <c r="D1278" s="2" t="str">
        <f>IFERROR(__xludf.DUMMYFUNCTION("""COMPUTED_VALUE"""),"5KM OVERALL F")</f>
        <v>5KM OVERALL F</v>
      </c>
      <c r="E1278" s="1">
        <f>IFERROR(__xludf.DUMMYFUNCTION("""COMPUTED_VALUE"""),2.0)</f>
        <v>2</v>
      </c>
      <c r="F1278" s="1" t="str">
        <f>IFERROR(__xludf.DUMMYFUNCTION("""COMPUTED_VALUE"""),"Female")</f>
        <v>Female</v>
      </c>
      <c r="G1278" s="4" t="b">
        <f>IFERROR(__xludf.DUMMYFUNCTION("""COMPUTED_VALUE"""),TRUE)</f>
        <v>1</v>
      </c>
      <c r="H1278" s="4" t="b">
        <f>IFERROR(__xludf.DUMMYFUNCTION("""COMPUTED_VALUE"""),FALSE)</f>
        <v>0</v>
      </c>
      <c r="I1278" s="4">
        <f>IFERROR(__xludf.DUMMYFUNCTION("""COMPUTED_VALUE"""),0.2549440625)</f>
        <v>0.2549440625</v>
      </c>
      <c r="J1278" s="4">
        <f>IFERROR(__xludf.DUMMYFUNCTION("""COMPUTED_VALUE"""),45949.27764474286)</f>
        <v>45949.27764</v>
      </c>
      <c r="K1278" s="4" t="str">
        <f>IFERROR(__xludf.DUMMYFUNCTION("""COMPUTED_VALUE"""),"")</f>
        <v/>
      </c>
      <c r="L1278" s="4">
        <f>IFERROR(__xludf.DUMMYFUNCTION("""COMPUTED_VALUE"""),45949.29470642182)</f>
        <v>45949.29471</v>
      </c>
      <c r="M1278" s="1" t="str">
        <f>IFERROR(__xludf.DUMMYFUNCTION("""COMPUTED_VALUE"""),"RFID")</f>
        <v>RFID</v>
      </c>
      <c r="N1278" s="5">
        <f>IFERROR(__xludf.DUMMYFUNCTION("""COMPUTED_VALUE"""),0.009080273148148148)</f>
        <v>0.009080273148</v>
      </c>
      <c r="O1278" s="5" t="str">
        <f>IFERROR(__xludf.DUMMYFUNCTION("""COMPUTED_VALUE"""),"")</f>
        <v/>
      </c>
      <c r="P1278" s="5" t="str">
        <f>IFERROR(__xludf.DUMMYFUNCTION("""COMPUTED_VALUE"""),"")</f>
        <v/>
      </c>
      <c r="Q1278" s="5">
        <f>IFERROR(__xludf.DUMMYFUNCTION("""COMPUTED_VALUE"""),0.007952472222222222)</f>
        <v>0.007952472222</v>
      </c>
      <c r="R1278" s="4">
        <f>IFERROR(__xludf.DUMMYFUNCTION("""COMPUTED_VALUE"""),45949.039762359316)</f>
        <v>45949.03976</v>
      </c>
      <c r="S1278" s="1" t="b">
        <f>IFERROR(__xludf.DUMMYFUNCTION("""COMPUTED_VALUE"""),TRUE)</f>
        <v>1</v>
      </c>
      <c r="T1278" s="1" t="b">
        <f>IFERROR(__xludf.DUMMYFUNCTION("""COMPUTED_VALUE"""),FALSE)</f>
        <v>0</v>
      </c>
      <c r="U1278" s="1" t="str">
        <f>IFERROR(__xludf.DUMMYFUNCTION("""COMPUTED_VALUE"""),"VALID")</f>
        <v>VALID</v>
      </c>
      <c r="V1278" s="1">
        <f>IFERROR(__xludf.DUMMYFUNCTION("""COMPUTED_VALUE"""),313.0)</f>
        <v>313</v>
      </c>
      <c r="W1278" s="1">
        <f>IFERROR(__xludf.DUMMYFUNCTION("""COMPUTED_VALUE"""),1231.0)</f>
        <v>1231</v>
      </c>
      <c r="X1278" s="1">
        <f>IFERROR(__xludf.DUMMYFUNCTION("""COMPUTED_VALUE"""),379.0)</f>
        <v>379</v>
      </c>
      <c r="Y1278" s="2"/>
      <c r="Z1278" s="2"/>
    </row>
    <row r="1279">
      <c r="A1279" s="1">
        <f>IFERROR(__xludf.DUMMYFUNCTION("""COMPUTED_VALUE"""),1278.0)</f>
        <v>1278</v>
      </c>
      <c r="B1279" s="1">
        <f>IFERROR(__xludf.DUMMYFUNCTION("""COMPUTED_VALUE"""),5520.0)</f>
        <v>5520</v>
      </c>
      <c r="C1279" s="2" t="str">
        <f>IFERROR(__xludf.DUMMYFUNCTION("""COMPUTED_VALUE"""),"Bu Ayu")</f>
        <v>Bu Ayu</v>
      </c>
      <c r="D1279" s="2" t="str">
        <f>IFERROR(__xludf.DUMMYFUNCTION("""COMPUTED_VALUE"""),"5KM OVERALL F")</f>
        <v>5KM OVERALL F</v>
      </c>
      <c r="E1279" s="1">
        <f>IFERROR(__xludf.DUMMYFUNCTION("""COMPUTED_VALUE"""),2.0)</f>
        <v>2</v>
      </c>
      <c r="F1279" s="1" t="str">
        <f>IFERROR(__xludf.DUMMYFUNCTION("""COMPUTED_VALUE"""),"Female")</f>
        <v>Female</v>
      </c>
      <c r="G1279" s="4" t="str">
        <f>IFERROR(__xludf.DUMMYFUNCTION("""COMPUTED_VALUE"""),"")</f>
        <v/>
      </c>
      <c r="H1279" s="4" t="b">
        <f>IFERROR(__xludf.DUMMYFUNCTION("""COMPUTED_VALUE"""),FALSE)</f>
        <v>0</v>
      </c>
      <c r="I1279" s="4">
        <f>IFERROR(__xludf.DUMMYFUNCTION("""COMPUTED_VALUE"""),0.2549440625)</f>
        <v>0.2549440625</v>
      </c>
      <c r="J1279" s="4" t="str">
        <f>IFERROR(__xludf.DUMMYFUNCTION("""COMPUTED_VALUE"""),"")</f>
        <v/>
      </c>
      <c r="K1279" s="4" t="str">
        <f>IFERROR(__xludf.DUMMYFUNCTION("""COMPUTED_VALUE"""),"")</f>
        <v/>
      </c>
      <c r="L1279" s="4" t="str">
        <f>IFERROR(__xludf.DUMMYFUNCTION("""COMPUTED_VALUE"""),"")</f>
        <v/>
      </c>
      <c r="M1279" s="1" t="str">
        <f>IFERROR(__xludf.DUMMYFUNCTION("""COMPUTED_VALUE"""),"RFID")</f>
        <v>RFID</v>
      </c>
      <c r="N1279" s="5" t="str">
        <f>IFERROR(__xludf.DUMMYFUNCTION("""COMPUTED_VALUE"""),"")</f>
        <v/>
      </c>
      <c r="O1279" s="5" t="str">
        <f>IFERROR(__xludf.DUMMYFUNCTION("""COMPUTED_VALUE"""),"")</f>
        <v/>
      </c>
      <c r="P1279" s="5" t="str">
        <f>IFERROR(__xludf.DUMMYFUNCTION("""COMPUTED_VALUE"""),"")</f>
        <v/>
      </c>
      <c r="Q1279" s="5" t="str">
        <f>IFERROR(__xludf.DUMMYFUNCTION("""COMPUTED_VALUE"""),"")</f>
        <v/>
      </c>
      <c r="R1279" s="4" t="str">
        <f>IFERROR(__xludf.DUMMYFUNCTION("""COMPUTED_VALUE"""),"")</f>
        <v/>
      </c>
      <c r="S1279" s="1" t="b">
        <f>IFERROR(__xludf.DUMMYFUNCTION("""COMPUTED_VALUE"""),FALSE)</f>
        <v>0</v>
      </c>
      <c r="T1279" s="1" t="b">
        <f>IFERROR(__xludf.DUMMYFUNCTION("""COMPUTED_VALUE"""),FALSE)</f>
        <v>0</v>
      </c>
      <c r="U1279" s="1" t="str">
        <f>IFERROR(__xludf.DUMMYFUNCTION("""COMPUTED_VALUE"""),"DSQ")</f>
        <v>DSQ</v>
      </c>
      <c r="V1279" s="1" t="str">
        <f>IFERROR(__xludf.DUMMYFUNCTION("""COMPUTED_VALUE"""),"DSQ")</f>
        <v>DSQ</v>
      </c>
      <c r="W1279" s="1" t="str">
        <f>IFERROR(__xludf.DUMMYFUNCTION("""COMPUTED_VALUE"""),"DSQ")</f>
        <v>DSQ</v>
      </c>
      <c r="X1279" s="1" t="str">
        <f>IFERROR(__xludf.DUMMYFUNCTION("""COMPUTED_VALUE"""),"DSQ")</f>
        <v>DSQ</v>
      </c>
      <c r="Y1279" s="2"/>
      <c r="Z1279" s="2" t="str">
        <f>IFERROR(__xludf.DUMMYFUNCTION("""COMPUTED_VALUE"""),"")</f>
        <v/>
      </c>
    </row>
    <row r="1280">
      <c r="A1280" s="1">
        <f>IFERROR(__xludf.DUMMYFUNCTION("""COMPUTED_VALUE"""),1279.0)</f>
        <v>1279</v>
      </c>
      <c r="B1280" s="1">
        <f>IFERROR(__xludf.DUMMYFUNCTION("""COMPUTED_VALUE"""),5522.0)</f>
        <v>5522</v>
      </c>
      <c r="C1280" s="2" t="str">
        <f>IFERROR(__xludf.DUMMYFUNCTION("""COMPUTED_VALUE"""),"MAE")</f>
        <v>MAE</v>
      </c>
      <c r="D1280" s="2" t="str">
        <f>IFERROR(__xludf.DUMMYFUNCTION("""COMPUTED_VALUE"""),"5KM OVERALL F")</f>
        <v>5KM OVERALL F</v>
      </c>
      <c r="E1280" s="1">
        <f>IFERROR(__xludf.DUMMYFUNCTION("""COMPUTED_VALUE"""),2.0)</f>
        <v>2</v>
      </c>
      <c r="F1280" s="1" t="str">
        <f>IFERROR(__xludf.DUMMYFUNCTION("""COMPUTED_VALUE"""),"Female")</f>
        <v>Female</v>
      </c>
      <c r="G1280" s="4" t="b">
        <f>IFERROR(__xludf.DUMMYFUNCTION("""COMPUTED_VALUE"""),TRUE)</f>
        <v>1</v>
      </c>
      <c r="H1280" s="4" t="b">
        <f>IFERROR(__xludf.DUMMYFUNCTION("""COMPUTED_VALUE"""),FALSE)</f>
        <v>0</v>
      </c>
      <c r="I1280" s="4">
        <f>IFERROR(__xludf.DUMMYFUNCTION("""COMPUTED_VALUE"""),0.2549440625)</f>
        <v>0.2549440625</v>
      </c>
      <c r="J1280" s="4">
        <f>IFERROR(__xludf.DUMMYFUNCTION("""COMPUTED_VALUE"""),45949.27675934559)</f>
        <v>45949.27676</v>
      </c>
      <c r="K1280" s="4" t="str">
        <f>IFERROR(__xludf.DUMMYFUNCTION("""COMPUTED_VALUE"""),"")</f>
        <v/>
      </c>
      <c r="L1280" s="4">
        <f>IFERROR(__xludf.DUMMYFUNCTION("""COMPUTED_VALUE"""),45949.294289751364)</f>
        <v>45949.29429</v>
      </c>
      <c r="M1280" s="1" t="str">
        <f>IFERROR(__xludf.DUMMYFUNCTION("""COMPUTED_VALUE"""),"RFID")</f>
        <v>RFID</v>
      </c>
      <c r="N1280" s="5">
        <f>IFERROR(__xludf.DUMMYFUNCTION("""COMPUTED_VALUE"""),0.008726111111111112)</f>
        <v>0.008726111111</v>
      </c>
      <c r="O1280" s="5" t="str">
        <f>IFERROR(__xludf.DUMMYFUNCTION("""COMPUTED_VALUE"""),"")</f>
        <v/>
      </c>
      <c r="P1280" s="5" t="str">
        <f>IFERROR(__xludf.DUMMYFUNCTION("""COMPUTED_VALUE"""),"")</f>
        <v/>
      </c>
      <c r="Q1280" s="5">
        <f>IFERROR(__xludf.DUMMYFUNCTION("""COMPUTED_VALUE"""),0.007869138888888887)</f>
        <v>0.007869138889</v>
      </c>
      <c r="R1280" s="4">
        <f>IFERROR(__xludf.DUMMYFUNCTION("""COMPUTED_VALUE"""),45949.03934568886)</f>
        <v>45949.03935</v>
      </c>
      <c r="S1280" s="1" t="b">
        <f>IFERROR(__xludf.DUMMYFUNCTION("""COMPUTED_VALUE"""),TRUE)</f>
        <v>1</v>
      </c>
      <c r="T1280" s="1" t="b">
        <f>IFERROR(__xludf.DUMMYFUNCTION("""COMPUTED_VALUE"""),FALSE)</f>
        <v>0</v>
      </c>
      <c r="U1280" s="1" t="str">
        <f>IFERROR(__xludf.DUMMYFUNCTION("""COMPUTED_VALUE"""),"VALID")</f>
        <v>VALID</v>
      </c>
      <c r="V1280" s="1">
        <f>IFERROR(__xludf.DUMMYFUNCTION("""COMPUTED_VALUE"""),297.0)</f>
        <v>297</v>
      </c>
      <c r="W1280" s="1">
        <f>IFERROR(__xludf.DUMMYFUNCTION("""COMPUTED_VALUE"""),1198.0)</f>
        <v>1198</v>
      </c>
      <c r="X1280" s="1">
        <f>IFERROR(__xludf.DUMMYFUNCTION("""COMPUTED_VALUE"""),360.0)</f>
        <v>360</v>
      </c>
      <c r="Y1280" s="2"/>
      <c r="Z1280" s="2"/>
    </row>
    <row r="1281">
      <c r="A1281" s="1">
        <f>IFERROR(__xludf.DUMMYFUNCTION("""COMPUTED_VALUE"""),1280.0)</f>
        <v>1280</v>
      </c>
      <c r="B1281" s="1">
        <f>IFERROR(__xludf.DUMMYFUNCTION("""COMPUTED_VALUE"""),5524.0)</f>
        <v>5524</v>
      </c>
      <c r="C1281" s="2" t="str">
        <f>IFERROR(__xludf.DUMMYFUNCTION("""COMPUTED_VALUE"""),"Nor Azizah")</f>
        <v>Nor Azizah</v>
      </c>
      <c r="D1281" s="2" t="str">
        <f>IFERROR(__xludf.DUMMYFUNCTION("""COMPUTED_VALUE"""),"5KM OVERALL F")</f>
        <v>5KM OVERALL F</v>
      </c>
      <c r="E1281" s="1">
        <f>IFERROR(__xludf.DUMMYFUNCTION("""COMPUTED_VALUE"""),2.0)</f>
        <v>2</v>
      </c>
      <c r="F1281" s="1" t="str">
        <f>IFERROR(__xludf.DUMMYFUNCTION("""COMPUTED_VALUE"""),"Female")</f>
        <v>Female</v>
      </c>
      <c r="G1281" s="4" t="b">
        <f>IFERROR(__xludf.DUMMYFUNCTION("""COMPUTED_VALUE"""),TRUE)</f>
        <v>1</v>
      </c>
      <c r="H1281" s="4" t="b">
        <f>IFERROR(__xludf.DUMMYFUNCTION("""COMPUTED_VALUE"""),FALSE)</f>
        <v>0</v>
      </c>
      <c r="I1281" s="4">
        <f>IFERROR(__xludf.DUMMYFUNCTION("""COMPUTED_VALUE"""),0.2549440625)</f>
        <v>0.2549440625</v>
      </c>
      <c r="J1281" s="4">
        <f>IFERROR(__xludf.DUMMYFUNCTION("""COMPUTED_VALUE"""),45950.27442129629)</f>
        <v>45950.27442</v>
      </c>
      <c r="K1281" s="4" t="str">
        <f>IFERROR(__xludf.DUMMYFUNCTION("""COMPUTED_VALUE"""),"")</f>
        <v/>
      </c>
      <c r="L1281" s="4">
        <f>IFERROR(__xludf.DUMMYFUNCTION("""COMPUTED_VALUE"""),45949.28740434409)</f>
        <v>45949.2874</v>
      </c>
      <c r="M1281" s="1" t="str">
        <f>IFERROR(__xludf.DUMMYFUNCTION("""COMPUTED_VALUE"""),"RFID")</f>
        <v>RFID</v>
      </c>
      <c r="N1281" s="5">
        <f>IFERROR(__xludf.DUMMYFUNCTION("""COMPUTED_VALUE"""),0.007790893518518518)</f>
        <v>0.007790893519</v>
      </c>
      <c r="O1281" s="5" t="str">
        <f>IFERROR(__xludf.DUMMYFUNCTION("""COMPUTED_VALUE"""),"")</f>
        <v/>
      </c>
      <c r="P1281" s="5" t="str">
        <f>IFERROR(__xludf.DUMMYFUNCTION("""COMPUTED_VALUE"""),"")</f>
        <v/>
      </c>
      <c r="Q1281" s="5">
        <f>IFERROR(__xludf.DUMMYFUNCTION("""COMPUTED_VALUE"""),0.0064920555555555565)</f>
        <v>0.006492055556</v>
      </c>
      <c r="R1281" s="4">
        <f>IFERROR(__xludf.DUMMYFUNCTION("""COMPUTED_VALUE"""),45949.03246028159)</f>
        <v>45949.03246</v>
      </c>
      <c r="S1281" s="1" t="b">
        <f>IFERROR(__xludf.DUMMYFUNCTION("""COMPUTED_VALUE"""),TRUE)</f>
        <v>1</v>
      </c>
      <c r="T1281" s="1" t="b">
        <f>IFERROR(__xludf.DUMMYFUNCTION("""COMPUTED_VALUE"""),FALSE)</f>
        <v>0</v>
      </c>
      <c r="U1281" s="1" t="str">
        <f>IFERROR(__xludf.DUMMYFUNCTION("""COMPUTED_VALUE"""),"VALID")</f>
        <v>VALID</v>
      </c>
      <c r="V1281" s="1">
        <f>IFERROR(__xludf.DUMMYFUNCTION("""COMPUTED_VALUE"""),115.0)</f>
        <v>115</v>
      </c>
      <c r="W1281" s="1">
        <f>IFERROR(__xludf.DUMMYFUNCTION("""COMPUTED_VALUE"""),729.0)</f>
        <v>729</v>
      </c>
      <c r="X1281" s="1">
        <f>IFERROR(__xludf.DUMMYFUNCTION("""COMPUTED_VALUE"""),144.0)</f>
        <v>144</v>
      </c>
      <c r="Y1281" s="2" t="str">
        <f>IFERROR(__xludf.DUMMYFUNCTION("""COMPUTED_VALUE"""),"dipakai laki2")</f>
        <v>dipakai laki2</v>
      </c>
      <c r="Z1281" s="2" t="str">
        <f>IFERROR(__xludf.DUMMYFUNCTION("""COMPUTED_VALUE"""),"C")</f>
        <v>C</v>
      </c>
    </row>
    <row r="1282">
      <c r="A1282" s="1">
        <f>IFERROR(__xludf.DUMMYFUNCTION("""COMPUTED_VALUE"""),1281.0)</f>
        <v>1281</v>
      </c>
      <c r="B1282" s="1">
        <f>IFERROR(__xludf.DUMMYFUNCTION("""COMPUTED_VALUE"""),5525.0)</f>
        <v>5525</v>
      </c>
      <c r="C1282" s="2" t="str">
        <f>IFERROR(__xludf.DUMMYFUNCTION("""COMPUTED_VALUE"""),"Nida Mufidah")</f>
        <v>Nida Mufidah</v>
      </c>
      <c r="D1282" s="2" t="str">
        <f>IFERROR(__xludf.DUMMYFUNCTION("""COMPUTED_VALUE"""),"5KM OVERALL F")</f>
        <v>5KM OVERALL F</v>
      </c>
      <c r="E1282" s="1">
        <f>IFERROR(__xludf.DUMMYFUNCTION("""COMPUTED_VALUE"""),2.0)</f>
        <v>2</v>
      </c>
      <c r="F1282" s="1" t="str">
        <f>IFERROR(__xludf.DUMMYFUNCTION("""COMPUTED_VALUE"""),"Female")</f>
        <v>Female</v>
      </c>
      <c r="G1282" s="4" t="b">
        <f>IFERROR(__xludf.DUMMYFUNCTION("""COMPUTED_VALUE"""),TRUE)</f>
        <v>1</v>
      </c>
      <c r="H1282" s="4" t="b">
        <f>IFERROR(__xludf.DUMMYFUNCTION("""COMPUTED_VALUE"""),TRUE)</f>
        <v>1</v>
      </c>
      <c r="I1282" s="4">
        <f>IFERROR(__xludf.DUMMYFUNCTION("""COMPUTED_VALUE"""),0.2549440625)</f>
        <v>0.2549440625</v>
      </c>
      <c r="J1282" s="4">
        <f>IFERROR(__xludf.DUMMYFUNCTION("""COMPUTED_VALUE"""),45949.27636354469)</f>
        <v>45949.27636</v>
      </c>
      <c r="K1282" s="4" t="str">
        <f>IFERROR(__xludf.DUMMYFUNCTION("""COMPUTED_VALUE"""),"")</f>
        <v/>
      </c>
      <c r="L1282" s="4">
        <f>IFERROR(__xludf.DUMMYFUNCTION("""COMPUTED_VALUE"""),45949.29254671301)</f>
        <v>45949.29255</v>
      </c>
      <c r="M1282" s="1" t="str">
        <f>IFERROR(__xludf.DUMMYFUNCTION("""COMPUTED_VALUE"""),"RFID")</f>
        <v>RFID</v>
      </c>
      <c r="N1282" s="5">
        <f>IFERROR(__xludf.DUMMYFUNCTION("""COMPUTED_VALUE"""),0.008567791666666668)</f>
        <v>0.008567791667</v>
      </c>
      <c r="O1282" s="5" t="str">
        <f>IFERROR(__xludf.DUMMYFUNCTION("""COMPUTED_VALUE"""),"")</f>
        <v/>
      </c>
      <c r="P1282" s="5" t="str">
        <f>IFERROR(__xludf.DUMMYFUNCTION("""COMPUTED_VALUE"""),"")</f>
        <v/>
      </c>
      <c r="Q1282" s="5">
        <f>IFERROR(__xludf.DUMMYFUNCTION("""COMPUTED_VALUE"""),0.007520530092592593)</f>
        <v>0.007520530093</v>
      </c>
      <c r="R1282" s="4">
        <f>IFERROR(__xludf.DUMMYFUNCTION("""COMPUTED_VALUE"""),45949.03760265051)</f>
        <v>45949.0376</v>
      </c>
      <c r="S1282" s="1" t="b">
        <f>IFERROR(__xludf.DUMMYFUNCTION("""COMPUTED_VALUE"""),TRUE)</f>
        <v>1</v>
      </c>
      <c r="T1282" s="1" t="b">
        <f>IFERROR(__xludf.DUMMYFUNCTION("""COMPUTED_VALUE"""),FALSE)</f>
        <v>0</v>
      </c>
      <c r="U1282" s="1" t="str">
        <f>IFERROR(__xludf.DUMMYFUNCTION("""COMPUTED_VALUE"""),"VALID")</f>
        <v>VALID</v>
      </c>
      <c r="V1282" s="1">
        <f>IFERROR(__xludf.DUMMYFUNCTION("""COMPUTED_VALUE"""),236.0)</f>
        <v>236</v>
      </c>
      <c r="W1282" s="1">
        <f>IFERROR(__xludf.DUMMYFUNCTION("""COMPUTED_VALUE"""),1068.0)</f>
        <v>1068</v>
      </c>
      <c r="X1282" s="1">
        <f>IFERROR(__xludf.DUMMYFUNCTION("""COMPUTED_VALUE"""),290.0)</f>
        <v>290</v>
      </c>
      <c r="Y1282" s="2"/>
      <c r="Z1282" s="2"/>
    </row>
    <row r="1283">
      <c r="A1283" s="1">
        <f>IFERROR(__xludf.DUMMYFUNCTION("""COMPUTED_VALUE"""),1282.0)</f>
        <v>1282</v>
      </c>
      <c r="B1283" s="1">
        <f>IFERROR(__xludf.DUMMYFUNCTION("""COMPUTED_VALUE"""),5532.0)</f>
        <v>5532</v>
      </c>
      <c r="C1283" s="2" t="str">
        <f>IFERROR(__xludf.DUMMYFUNCTION("""COMPUTED_VALUE"""),"BIA")</f>
        <v>BIA</v>
      </c>
      <c r="D1283" s="2" t="str">
        <f>IFERROR(__xludf.DUMMYFUNCTION("""COMPUTED_VALUE"""),"5KM OVERALL F")</f>
        <v>5KM OVERALL F</v>
      </c>
      <c r="E1283" s="1">
        <f>IFERROR(__xludf.DUMMYFUNCTION("""COMPUTED_VALUE"""),2.0)</f>
        <v>2</v>
      </c>
      <c r="F1283" s="1" t="str">
        <f>IFERROR(__xludf.DUMMYFUNCTION("""COMPUTED_VALUE"""),"Female")</f>
        <v>Female</v>
      </c>
      <c r="G1283" s="4" t="b">
        <f>IFERROR(__xludf.DUMMYFUNCTION("""COMPUTED_VALUE"""),TRUE)</f>
        <v>1</v>
      </c>
      <c r="H1283" s="4" t="b">
        <f>IFERROR(__xludf.DUMMYFUNCTION("""COMPUTED_VALUE"""),TRUE)</f>
        <v>1</v>
      </c>
      <c r="I1283" s="4">
        <f>IFERROR(__xludf.DUMMYFUNCTION("""COMPUTED_VALUE"""),0.2549440625)</f>
        <v>0.2549440625</v>
      </c>
      <c r="J1283" s="4">
        <f>IFERROR(__xludf.DUMMYFUNCTION("""COMPUTED_VALUE"""),45949.28434961306)</f>
        <v>45949.28435</v>
      </c>
      <c r="K1283" s="4" t="str">
        <f>IFERROR(__xludf.DUMMYFUNCTION("""COMPUTED_VALUE"""),"")</f>
        <v/>
      </c>
      <c r="L1283" s="4">
        <f>IFERROR(__xludf.DUMMYFUNCTION("""COMPUTED_VALUE"""),45949.30833142872)</f>
        <v>45949.30833</v>
      </c>
      <c r="M1283" s="1" t="str">
        <f>IFERROR(__xludf.DUMMYFUNCTION("""COMPUTED_VALUE"""),"RFID")</f>
        <v>RFID</v>
      </c>
      <c r="N1283" s="5">
        <f>IFERROR(__xludf.DUMMYFUNCTION("""COMPUTED_VALUE"""),0.01176222222222222)</f>
        <v>0.01176222222</v>
      </c>
      <c r="O1283" s="5" t="str">
        <f>IFERROR(__xludf.DUMMYFUNCTION("""COMPUTED_VALUE"""),"")</f>
        <v/>
      </c>
      <c r="P1283" s="5" t="str">
        <f>IFERROR(__xludf.DUMMYFUNCTION("""COMPUTED_VALUE"""),"")</f>
        <v/>
      </c>
      <c r="Q1283" s="5">
        <f>IFERROR(__xludf.DUMMYFUNCTION("""COMPUTED_VALUE"""),0.010677472222222222)</f>
        <v>0.01067747222</v>
      </c>
      <c r="R1283" s="4">
        <f>IFERROR(__xludf.DUMMYFUNCTION("""COMPUTED_VALUE"""),45949.05338736622)</f>
        <v>45949.05339</v>
      </c>
      <c r="S1283" s="1" t="b">
        <f>IFERROR(__xludf.DUMMYFUNCTION("""COMPUTED_VALUE"""),TRUE)</f>
        <v>1</v>
      </c>
      <c r="T1283" s="1" t="b">
        <f>IFERROR(__xludf.DUMMYFUNCTION("""COMPUTED_VALUE"""),FALSE)</f>
        <v>0</v>
      </c>
      <c r="U1283" s="1" t="str">
        <f>IFERROR(__xludf.DUMMYFUNCTION("""COMPUTED_VALUE"""),"VALID")</f>
        <v>VALID</v>
      </c>
      <c r="V1283" s="1">
        <f>IFERROR(__xludf.DUMMYFUNCTION("""COMPUTED_VALUE"""),500.0)</f>
        <v>500</v>
      </c>
      <c r="W1283" s="1">
        <f>IFERROR(__xludf.DUMMYFUNCTION("""COMPUTED_VALUE"""),1595.0)</f>
        <v>1595</v>
      </c>
      <c r="X1283" s="1">
        <f>IFERROR(__xludf.DUMMYFUNCTION("""COMPUTED_VALUE"""),619.0)</f>
        <v>619</v>
      </c>
      <c r="Y1283" s="2"/>
      <c r="Z1283" s="2"/>
    </row>
    <row r="1284">
      <c r="A1284" s="1">
        <f>IFERROR(__xludf.DUMMYFUNCTION("""COMPUTED_VALUE"""),1283.0)</f>
        <v>1283</v>
      </c>
      <c r="B1284" s="1">
        <f>IFERROR(__xludf.DUMMYFUNCTION("""COMPUTED_VALUE"""),5536.0)</f>
        <v>5536</v>
      </c>
      <c r="C1284" s="2" t="str">
        <f>IFERROR(__xludf.DUMMYFUNCTION("""COMPUTED_VALUE"""),"Ismi DW")</f>
        <v>Ismi DW</v>
      </c>
      <c r="D1284" s="2" t="str">
        <f>IFERROR(__xludf.DUMMYFUNCTION("""COMPUTED_VALUE"""),"5KM OVERALL F")</f>
        <v>5KM OVERALL F</v>
      </c>
      <c r="E1284" s="1">
        <f>IFERROR(__xludf.DUMMYFUNCTION("""COMPUTED_VALUE"""),2.0)</f>
        <v>2</v>
      </c>
      <c r="F1284" s="1" t="str">
        <f>IFERROR(__xludf.DUMMYFUNCTION("""COMPUTED_VALUE"""),"Female")</f>
        <v>Female</v>
      </c>
      <c r="G1284" s="4" t="str">
        <f>IFERROR(__xludf.DUMMYFUNCTION("""COMPUTED_VALUE"""),"")</f>
        <v/>
      </c>
      <c r="H1284" s="4" t="b">
        <f>IFERROR(__xludf.DUMMYFUNCTION("""COMPUTED_VALUE"""),FALSE)</f>
        <v>0</v>
      </c>
      <c r="I1284" s="4">
        <f>IFERROR(__xludf.DUMMYFUNCTION("""COMPUTED_VALUE"""),0.2549440625)</f>
        <v>0.2549440625</v>
      </c>
      <c r="J1284" s="4" t="str">
        <f>IFERROR(__xludf.DUMMYFUNCTION("""COMPUTED_VALUE"""),"")</f>
        <v/>
      </c>
      <c r="K1284" s="4" t="str">
        <f>IFERROR(__xludf.DUMMYFUNCTION("""COMPUTED_VALUE"""),"")</f>
        <v/>
      </c>
      <c r="L1284" s="4" t="str">
        <f>IFERROR(__xludf.DUMMYFUNCTION("""COMPUTED_VALUE"""),"")</f>
        <v/>
      </c>
      <c r="M1284" s="1" t="str">
        <f>IFERROR(__xludf.DUMMYFUNCTION("""COMPUTED_VALUE"""),"RFID")</f>
        <v>RFID</v>
      </c>
      <c r="N1284" s="5" t="str">
        <f>IFERROR(__xludf.DUMMYFUNCTION("""COMPUTED_VALUE"""),"")</f>
        <v/>
      </c>
      <c r="O1284" s="5" t="str">
        <f>IFERROR(__xludf.DUMMYFUNCTION("""COMPUTED_VALUE"""),"")</f>
        <v/>
      </c>
      <c r="P1284" s="5" t="str">
        <f>IFERROR(__xludf.DUMMYFUNCTION("""COMPUTED_VALUE"""),"")</f>
        <v/>
      </c>
      <c r="Q1284" s="5" t="str">
        <f>IFERROR(__xludf.DUMMYFUNCTION("""COMPUTED_VALUE"""),"")</f>
        <v/>
      </c>
      <c r="R1284" s="4" t="str">
        <f>IFERROR(__xludf.DUMMYFUNCTION("""COMPUTED_VALUE"""),"")</f>
        <v/>
      </c>
      <c r="S1284" s="1" t="b">
        <f>IFERROR(__xludf.DUMMYFUNCTION("""COMPUTED_VALUE"""),FALSE)</f>
        <v>0</v>
      </c>
      <c r="T1284" s="1" t="b">
        <f>IFERROR(__xludf.DUMMYFUNCTION("""COMPUTED_VALUE"""),FALSE)</f>
        <v>0</v>
      </c>
      <c r="U1284" s="1" t="str">
        <f>IFERROR(__xludf.DUMMYFUNCTION("""COMPUTED_VALUE"""),"DSQ")</f>
        <v>DSQ</v>
      </c>
      <c r="V1284" s="1" t="str">
        <f>IFERROR(__xludf.DUMMYFUNCTION("""COMPUTED_VALUE"""),"DSQ")</f>
        <v>DSQ</v>
      </c>
      <c r="W1284" s="1" t="str">
        <f>IFERROR(__xludf.DUMMYFUNCTION("""COMPUTED_VALUE"""),"DSQ")</f>
        <v>DSQ</v>
      </c>
      <c r="X1284" s="1" t="str">
        <f>IFERROR(__xludf.DUMMYFUNCTION("""COMPUTED_VALUE"""),"DSQ")</f>
        <v>DSQ</v>
      </c>
      <c r="Y1284" s="2"/>
      <c r="Z1284" s="2" t="str">
        <f>IFERROR(__xludf.DUMMYFUNCTION("""COMPUTED_VALUE"""),"")</f>
        <v/>
      </c>
    </row>
    <row r="1285">
      <c r="A1285" s="1">
        <f>IFERROR(__xludf.DUMMYFUNCTION("""COMPUTED_VALUE"""),1284.0)</f>
        <v>1284</v>
      </c>
      <c r="B1285" s="1">
        <f>IFERROR(__xludf.DUMMYFUNCTION("""COMPUTED_VALUE"""),5537.0)</f>
        <v>5537</v>
      </c>
      <c r="C1285" s="2" t="str">
        <f>IFERROR(__xludf.DUMMYFUNCTION("""COMPUTED_VALUE"""),"Fadhilla Meiliza")</f>
        <v>Fadhilla Meiliza</v>
      </c>
      <c r="D1285" s="2" t="str">
        <f>IFERROR(__xludf.DUMMYFUNCTION("""COMPUTED_VALUE"""),"5KM OVERALL F")</f>
        <v>5KM OVERALL F</v>
      </c>
      <c r="E1285" s="1">
        <f>IFERROR(__xludf.DUMMYFUNCTION("""COMPUTED_VALUE"""),2.0)</f>
        <v>2</v>
      </c>
      <c r="F1285" s="1" t="str">
        <f>IFERROR(__xludf.DUMMYFUNCTION("""COMPUTED_VALUE"""),"Female")</f>
        <v>Female</v>
      </c>
      <c r="G1285" s="4" t="b">
        <f>IFERROR(__xludf.DUMMYFUNCTION("""COMPUTED_VALUE"""),TRUE)</f>
        <v>1</v>
      </c>
      <c r="H1285" s="4" t="b">
        <f>IFERROR(__xludf.DUMMYFUNCTION("""COMPUTED_VALUE"""),TRUE)</f>
        <v>1</v>
      </c>
      <c r="I1285" s="4">
        <f>IFERROR(__xludf.DUMMYFUNCTION("""COMPUTED_VALUE"""),0.2549440625)</f>
        <v>0.2549440625</v>
      </c>
      <c r="J1285" s="4">
        <f>IFERROR(__xludf.DUMMYFUNCTION("""COMPUTED_VALUE"""),45949.27884961482)</f>
        <v>45949.27885</v>
      </c>
      <c r="K1285" s="4" t="str">
        <f>IFERROR(__xludf.DUMMYFUNCTION("""COMPUTED_VALUE"""),"")</f>
        <v/>
      </c>
      <c r="L1285" s="4">
        <f>IFERROR(__xludf.DUMMYFUNCTION("""COMPUTED_VALUE"""),45949.295425188015)</f>
        <v>45949.29543</v>
      </c>
      <c r="M1285" s="1" t="str">
        <f>IFERROR(__xludf.DUMMYFUNCTION("""COMPUTED_VALUE"""),"RFID")</f>
        <v>RFID</v>
      </c>
      <c r="N1285" s="5">
        <f>IFERROR(__xludf.DUMMYFUNCTION("""COMPUTED_VALUE"""),0.009562222222222222)</f>
        <v>0.009562222222</v>
      </c>
      <c r="O1285" s="5" t="str">
        <f>IFERROR(__xludf.DUMMYFUNCTION("""COMPUTED_VALUE"""),"")</f>
        <v/>
      </c>
      <c r="P1285" s="5" t="str">
        <f>IFERROR(__xludf.DUMMYFUNCTION("""COMPUTED_VALUE"""),"")</f>
        <v/>
      </c>
      <c r="Q1285" s="5">
        <f>IFERROR(__xludf.DUMMYFUNCTION("""COMPUTED_VALUE"""),0.008096224537037037)</f>
        <v>0.008096224537</v>
      </c>
      <c r="R1285" s="4">
        <f>IFERROR(__xludf.DUMMYFUNCTION("""COMPUTED_VALUE"""),45949.040481125514)</f>
        <v>45949.04048</v>
      </c>
      <c r="S1285" s="1" t="b">
        <f>IFERROR(__xludf.DUMMYFUNCTION("""COMPUTED_VALUE"""),TRUE)</f>
        <v>1</v>
      </c>
      <c r="T1285" s="1" t="b">
        <f>IFERROR(__xludf.DUMMYFUNCTION("""COMPUTED_VALUE"""),FALSE)</f>
        <v>0</v>
      </c>
      <c r="U1285" s="1" t="str">
        <f>IFERROR(__xludf.DUMMYFUNCTION("""COMPUTED_VALUE"""),"VALID")</f>
        <v>VALID</v>
      </c>
      <c r="V1285" s="1">
        <f>IFERROR(__xludf.DUMMYFUNCTION("""COMPUTED_VALUE"""),330.0)</f>
        <v>330</v>
      </c>
      <c r="W1285" s="1">
        <f>IFERROR(__xludf.DUMMYFUNCTION("""COMPUTED_VALUE"""),1271.0)</f>
        <v>1271</v>
      </c>
      <c r="X1285" s="1">
        <f>IFERROR(__xludf.DUMMYFUNCTION("""COMPUTED_VALUE"""),400.0)</f>
        <v>400</v>
      </c>
      <c r="Y1285" s="2"/>
      <c r="Z1285" s="2"/>
    </row>
    <row r="1286">
      <c r="A1286" s="1">
        <f>IFERROR(__xludf.DUMMYFUNCTION("""COMPUTED_VALUE"""),1285.0)</f>
        <v>1285</v>
      </c>
      <c r="B1286" s="1">
        <f>IFERROR(__xludf.DUMMYFUNCTION("""COMPUTED_VALUE"""),5547.0)</f>
        <v>5547</v>
      </c>
      <c r="C1286" s="2" t="str">
        <f>IFERROR(__xludf.DUMMYFUNCTION("""COMPUTED_VALUE"""),"Debbi")</f>
        <v>Debbi</v>
      </c>
      <c r="D1286" s="2" t="str">
        <f>IFERROR(__xludf.DUMMYFUNCTION("""COMPUTED_VALUE"""),"5KM OVERALL F")</f>
        <v>5KM OVERALL F</v>
      </c>
      <c r="E1286" s="1">
        <f>IFERROR(__xludf.DUMMYFUNCTION("""COMPUTED_VALUE"""),2.0)</f>
        <v>2</v>
      </c>
      <c r="F1286" s="1" t="str">
        <f>IFERROR(__xludf.DUMMYFUNCTION("""COMPUTED_VALUE"""),"Female")</f>
        <v>Female</v>
      </c>
      <c r="G1286" s="4" t="b">
        <f>IFERROR(__xludf.DUMMYFUNCTION("""COMPUTED_VALUE"""),TRUE)</f>
        <v>1</v>
      </c>
      <c r="H1286" s="4" t="b">
        <f>IFERROR(__xludf.DUMMYFUNCTION("""COMPUTED_VALUE"""),FALSE)</f>
        <v>0</v>
      </c>
      <c r="I1286" s="4">
        <f>IFERROR(__xludf.DUMMYFUNCTION("""COMPUTED_VALUE"""),0.2549440625)</f>
        <v>0.2549440625</v>
      </c>
      <c r="J1286" s="4">
        <f>IFERROR(__xludf.DUMMYFUNCTION("""COMPUTED_VALUE"""),45949.279731598865)</f>
        <v>45949.27973</v>
      </c>
      <c r="K1286" s="4" t="str">
        <f>IFERROR(__xludf.DUMMYFUNCTION("""COMPUTED_VALUE"""),"")</f>
        <v/>
      </c>
      <c r="L1286" s="4">
        <f>IFERROR(__xludf.DUMMYFUNCTION("""COMPUTED_VALUE"""),45949.29593905663)</f>
        <v>45949.29594</v>
      </c>
      <c r="M1286" s="1" t="str">
        <f>IFERROR(__xludf.DUMMYFUNCTION("""COMPUTED_VALUE"""),"RFID")</f>
        <v>RFID</v>
      </c>
      <c r="N1286" s="5">
        <f>IFERROR(__xludf.DUMMYFUNCTION("""COMPUTED_VALUE"""),0.00991501388888889)</f>
        <v>0.009915013889</v>
      </c>
      <c r="O1286" s="5" t="str">
        <f>IFERROR(__xludf.DUMMYFUNCTION("""COMPUTED_VALUE"""),"")</f>
        <v/>
      </c>
      <c r="P1286" s="5" t="str">
        <f>IFERROR(__xludf.DUMMYFUNCTION("""COMPUTED_VALUE"""),"")</f>
        <v/>
      </c>
      <c r="Q1286" s="5">
        <f>IFERROR(__xludf.DUMMYFUNCTION("""COMPUTED_VALUE"""),0.008198997685185186)</f>
        <v>0.008198997685</v>
      </c>
      <c r="R1286" s="4">
        <f>IFERROR(__xludf.DUMMYFUNCTION("""COMPUTED_VALUE"""),45949.04099499413)</f>
        <v>45949.04099</v>
      </c>
      <c r="S1286" s="1" t="b">
        <f>IFERROR(__xludf.DUMMYFUNCTION("""COMPUTED_VALUE"""),TRUE)</f>
        <v>1</v>
      </c>
      <c r="T1286" s="1" t="b">
        <f>IFERROR(__xludf.DUMMYFUNCTION("""COMPUTED_VALUE"""),FALSE)</f>
        <v>0</v>
      </c>
      <c r="U1286" s="1" t="str">
        <f>IFERROR(__xludf.DUMMYFUNCTION("""COMPUTED_VALUE"""),"VALID")</f>
        <v>VALID</v>
      </c>
      <c r="V1286" s="1">
        <f>IFERROR(__xludf.DUMMYFUNCTION("""COMPUTED_VALUE"""),340.0)</f>
        <v>340</v>
      </c>
      <c r="W1286" s="1">
        <f>IFERROR(__xludf.DUMMYFUNCTION("""COMPUTED_VALUE"""),1284.0)</f>
        <v>1284</v>
      </c>
      <c r="X1286" s="1">
        <f>IFERROR(__xludf.DUMMYFUNCTION("""COMPUTED_VALUE"""),411.0)</f>
        <v>411</v>
      </c>
      <c r="Y1286" s="2"/>
      <c r="Z1286" s="2"/>
    </row>
    <row r="1287">
      <c r="A1287" s="1">
        <f>IFERROR(__xludf.DUMMYFUNCTION("""COMPUTED_VALUE"""),1286.0)</f>
        <v>1286</v>
      </c>
      <c r="B1287" s="1">
        <f>IFERROR(__xludf.DUMMYFUNCTION("""COMPUTED_VALUE"""),5552.0)</f>
        <v>5552</v>
      </c>
      <c r="C1287" s="2" t="str">
        <f>IFERROR(__xludf.DUMMYFUNCTION("""COMPUTED_VALUE"""),"Sarah")</f>
        <v>Sarah</v>
      </c>
      <c r="D1287" s="2" t="str">
        <f>IFERROR(__xludf.DUMMYFUNCTION("""COMPUTED_VALUE"""),"5KM OVERALL F")</f>
        <v>5KM OVERALL F</v>
      </c>
      <c r="E1287" s="1">
        <f>IFERROR(__xludf.DUMMYFUNCTION("""COMPUTED_VALUE"""),2.0)</f>
        <v>2</v>
      </c>
      <c r="F1287" s="1" t="str">
        <f>IFERROR(__xludf.DUMMYFUNCTION("""COMPUTED_VALUE"""),"Female")</f>
        <v>Female</v>
      </c>
      <c r="G1287" s="4" t="str">
        <f>IFERROR(__xludf.DUMMYFUNCTION("""COMPUTED_VALUE"""),"")</f>
        <v/>
      </c>
      <c r="H1287" s="4" t="b">
        <f>IFERROR(__xludf.DUMMYFUNCTION("""COMPUTED_VALUE"""),FALSE)</f>
        <v>0</v>
      </c>
      <c r="I1287" s="4">
        <f>IFERROR(__xludf.DUMMYFUNCTION("""COMPUTED_VALUE"""),0.2549440625)</f>
        <v>0.2549440625</v>
      </c>
      <c r="J1287" s="4" t="str">
        <f>IFERROR(__xludf.DUMMYFUNCTION("""COMPUTED_VALUE"""),"")</f>
        <v/>
      </c>
      <c r="K1287" s="4" t="str">
        <f>IFERROR(__xludf.DUMMYFUNCTION("""COMPUTED_VALUE"""),"")</f>
        <v/>
      </c>
      <c r="L1287" s="4" t="str">
        <f>IFERROR(__xludf.DUMMYFUNCTION("""COMPUTED_VALUE"""),"")</f>
        <v/>
      </c>
      <c r="M1287" s="1" t="str">
        <f>IFERROR(__xludf.DUMMYFUNCTION("""COMPUTED_VALUE"""),"RFID")</f>
        <v>RFID</v>
      </c>
      <c r="N1287" s="5" t="str">
        <f>IFERROR(__xludf.DUMMYFUNCTION("""COMPUTED_VALUE"""),"")</f>
        <v/>
      </c>
      <c r="O1287" s="5" t="str">
        <f>IFERROR(__xludf.DUMMYFUNCTION("""COMPUTED_VALUE"""),"")</f>
        <v/>
      </c>
      <c r="P1287" s="5" t="str">
        <f>IFERROR(__xludf.DUMMYFUNCTION("""COMPUTED_VALUE"""),"")</f>
        <v/>
      </c>
      <c r="Q1287" s="5" t="str">
        <f>IFERROR(__xludf.DUMMYFUNCTION("""COMPUTED_VALUE"""),"")</f>
        <v/>
      </c>
      <c r="R1287" s="4" t="str">
        <f>IFERROR(__xludf.DUMMYFUNCTION("""COMPUTED_VALUE"""),"")</f>
        <v/>
      </c>
      <c r="S1287" s="1" t="b">
        <f>IFERROR(__xludf.DUMMYFUNCTION("""COMPUTED_VALUE"""),FALSE)</f>
        <v>0</v>
      </c>
      <c r="T1287" s="1" t="b">
        <f>IFERROR(__xludf.DUMMYFUNCTION("""COMPUTED_VALUE"""),FALSE)</f>
        <v>0</v>
      </c>
      <c r="U1287" s="1" t="str">
        <f>IFERROR(__xludf.DUMMYFUNCTION("""COMPUTED_VALUE"""),"DSQ")</f>
        <v>DSQ</v>
      </c>
      <c r="V1287" s="1" t="str">
        <f>IFERROR(__xludf.DUMMYFUNCTION("""COMPUTED_VALUE"""),"DSQ")</f>
        <v>DSQ</v>
      </c>
      <c r="W1287" s="1" t="str">
        <f>IFERROR(__xludf.DUMMYFUNCTION("""COMPUTED_VALUE"""),"DSQ")</f>
        <v>DSQ</v>
      </c>
      <c r="X1287" s="1" t="str">
        <f>IFERROR(__xludf.DUMMYFUNCTION("""COMPUTED_VALUE"""),"DSQ")</f>
        <v>DSQ</v>
      </c>
      <c r="Y1287" s="2"/>
      <c r="Z1287" s="2" t="str">
        <f>IFERROR(__xludf.DUMMYFUNCTION("""COMPUTED_VALUE"""),"")</f>
        <v/>
      </c>
    </row>
    <row r="1288">
      <c r="A1288" s="1">
        <f>IFERROR(__xludf.DUMMYFUNCTION("""COMPUTED_VALUE"""),1287.0)</f>
        <v>1287</v>
      </c>
      <c r="B1288" s="1">
        <f>IFERROR(__xludf.DUMMYFUNCTION("""COMPUTED_VALUE"""),5558.0)</f>
        <v>5558</v>
      </c>
      <c r="C1288" s="2" t="str">
        <f>IFERROR(__xludf.DUMMYFUNCTION("""COMPUTED_VALUE"""),"ririn")</f>
        <v>ririn</v>
      </c>
      <c r="D1288" s="2" t="str">
        <f>IFERROR(__xludf.DUMMYFUNCTION("""COMPUTED_VALUE"""),"5KM OVERALL F")</f>
        <v>5KM OVERALL F</v>
      </c>
      <c r="E1288" s="1">
        <f>IFERROR(__xludf.DUMMYFUNCTION("""COMPUTED_VALUE"""),2.0)</f>
        <v>2</v>
      </c>
      <c r="F1288" s="1" t="str">
        <f>IFERROR(__xludf.DUMMYFUNCTION("""COMPUTED_VALUE"""),"Female")</f>
        <v>Female</v>
      </c>
      <c r="G1288" s="4" t="b">
        <f>IFERROR(__xludf.DUMMYFUNCTION("""COMPUTED_VALUE"""),TRUE)</f>
        <v>1</v>
      </c>
      <c r="H1288" s="4" t="b">
        <f>IFERROR(__xludf.DUMMYFUNCTION("""COMPUTED_VALUE"""),TRUE)</f>
        <v>1</v>
      </c>
      <c r="I1288" s="4">
        <f>IFERROR(__xludf.DUMMYFUNCTION("""COMPUTED_VALUE"""),0.2549440625)</f>
        <v>0.2549440625</v>
      </c>
      <c r="J1288" s="4">
        <f>IFERROR(__xludf.DUMMYFUNCTION("""COMPUTED_VALUE"""),45949.2802038414)</f>
        <v>45949.2802</v>
      </c>
      <c r="K1288" s="4" t="str">
        <f>IFERROR(__xludf.DUMMYFUNCTION("""COMPUTED_VALUE"""),"")</f>
        <v/>
      </c>
      <c r="L1288" s="4">
        <f>IFERROR(__xludf.DUMMYFUNCTION("""COMPUTED_VALUE"""),45949.29621683634)</f>
        <v>45949.29622</v>
      </c>
      <c r="M1288" s="1" t="str">
        <f>IFERROR(__xludf.DUMMYFUNCTION("""COMPUTED_VALUE"""),"RFID")</f>
        <v>RFID</v>
      </c>
      <c r="N1288" s="5">
        <f>IFERROR(__xludf.DUMMYFUNCTION("""COMPUTED_VALUE"""),0.010103912037037038)</f>
        <v>0.01010391204</v>
      </c>
      <c r="O1288" s="5" t="str">
        <f>IFERROR(__xludf.DUMMYFUNCTION("""COMPUTED_VALUE"""),"")</f>
        <v/>
      </c>
      <c r="P1288" s="5" t="str">
        <f>IFERROR(__xludf.DUMMYFUNCTION("""COMPUTED_VALUE"""),"")</f>
        <v/>
      </c>
      <c r="Q1288" s="5">
        <f>IFERROR(__xludf.DUMMYFUNCTION("""COMPUTED_VALUE"""),0.008254555555555555)</f>
        <v>0.008254555556</v>
      </c>
      <c r="R1288" s="4">
        <f>IFERROR(__xludf.DUMMYFUNCTION("""COMPUTED_VALUE"""),45949.04127277384)</f>
        <v>45949.04127</v>
      </c>
      <c r="S1288" s="1" t="b">
        <f>IFERROR(__xludf.DUMMYFUNCTION("""COMPUTED_VALUE"""),TRUE)</f>
        <v>1</v>
      </c>
      <c r="T1288" s="1" t="b">
        <f>IFERROR(__xludf.DUMMYFUNCTION("""COMPUTED_VALUE"""),FALSE)</f>
        <v>0</v>
      </c>
      <c r="U1288" s="1" t="str">
        <f>IFERROR(__xludf.DUMMYFUNCTION("""COMPUTED_VALUE"""),"VALID")</f>
        <v>VALID</v>
      </c>
      <c r="V1288" s="1">
        <f>IFERROR(__xludf.DUMMYFUNCTION("""COMPUTED_VALUE"""),344.0)</f>
        <v>344</v>
      </c>
      <c r="W1288" s="1">
        <f>IFERROR(__xludf.DUMMYFUNCTION("""COMPUTED_VALUE"""),1299.0)</f>
        <v>1299</v>
      </c>
      <c r="X1288" s="1">
        <f>IFERROR(__xludf.DUMMYFUNCTION("""COMPUTED_VALUE"""),417.0)</f>
        <v>417</v>
      </c>
      <c r="Y1288" s="2"/>
      <c r="Z1288" s="2"/>
    </row>
    <row r="1289">
      <c r="A1289" s="1">
        <f>IFERROR(__xludf.DUMMYFUNCTION("""COMPUTED_VALUE"""),1288.0)</f>
        <v>1288</v>
      </c>
      <c r="B1289" s="1">
        <f>IFERROR(__xludf.DUMMYFUNCTION("""COMPUTED_VALUE"""),5559.0)</f>
        <v>5559</v>
      </c>
      <c r="C1289" s="2" t="str">
        <f>IFERROR(__xludf.DUMMYFUNCTION("""COMPUTED_VALUE"""),"Ratna")</f>
        <v>Ratna</v>
      </c>
      <c r="D1289" s="2" t="str">
        <f>IFERROR(__xludf.DUMMYFUNCTION("""COMPUTED_VALUE"""),"5KM OVERALL F")</f>
        <v>5KM OVERALL F</v>
      </c>
      <c r="E1289" s="1">
        <f>IFERROR(__xludf.DUMMYFUNCTION("""COMPUTED_VALUE"""),2.0)</f>
        <v>2</v>
      </c>
      <c r="F1289" s="1" t="str">
        <f>IFERROR(__xludf.DUMMYFUNCTION("""COMPUTED_VALUE"""),"Female")</f>
        <v>Female</v>
      </c>
      <c r="G1289" s="4" t="b">
        <f>IFERROR(__xludf.DUMMYFUNCTION("""COMPUTED_VALUE"""),TRUE)</f>
        <v>1</v>
      </c>
      <c r="H1289" s="4" t="b">
        <f>IFERROR(__xludf.DUMMYFUNCTION("""COMPUTED_VALUE"""),TRUE)</f>
        <v>1</v>
      </c>
      <c r="I1289" s="4">
        <f>IFERROR(__xludf.DUMMYFUNCTION("""COMPUTED_VALUE"""),0.2549440625)</f>
        <v>0.2549440625</v>
      </c>
      <c r="J1289" s="4">
        <f>IFERROR(__xludf.DUMMYFUNCTION("""COMPUTED_VALUE"""),45950.272673611114)</f>
        <v>45950.27267</v>
      </c>
      <c r="K1289" s="4" t="str">
        <f>IFERROR(__xludf.DUMMYFUNCTION("""COMPUTED_VALUE"""),"")</f>
        <v/>
      </c>
      <c r="L1289" s="4">
        <f>IFERROR(__xludf.DUMMYFUNCTION("""COMPUTED_VALUE"""),45949.28578977125)</f>
        <v>45949.28579</v>
      </c>
      <c r="M1289" s="1" t="str">
        <f>IFERROR(__xludf.DUMMYFUNCTION("""COMPUTED_VALUE"""),"RFID")</f>
        <v>RFID</v>
      </c>
      <c r="N1289" s="5">
        <f>IFERROR(__xludf.DUMMYFUNCTION("""COMPUTED_VALUE"""),0.007091819444444444)</f>
        <v>0.007091819444</v>
      </c>
      <c r="O1289" s="5" t="str">
        <f>IFERROR(__xludf.DUMMYFUNCTION("""COMPUTED_VALUE"""),"")</f>
        <v/>
      </c>
      <c r="P1289" s="5" t="str">
        <f>IFERROR(__xludf.DUMMYFUNCTION("""COMPUTED_VALUE"""),"")</f>
        <v/>
      </c>
      <c r="Q1289" s="5">
        <f>IFERROR(__xludf.DUMMYFUNCTION("""COMPUTED_VALUE"""),0.006169141203703704)</f>
        <v>0.006169141204</v>
      </c>
      <c r="R1289" s="4">
        <f>IFERROR(__xludf.DUMMYFUNCTION("""COMPUTED_VALUE"""),45949.03084570875)</f>
        <v>45949.03085</v>
      </c>
      <c r="S1289" s="1" t="b">
        <f>IFERROR(__xludf.DUMMYFUNCTION("""COMPUTED_VALUE"""),TRUE)</f>
        <v>1</v>
      </c>
      <c r="T1289" s="1" t="b">
        <f>IFERROR(__xludf.DUMMYFUNCTION("""COMPUTED_VALUE"""),FALSE)</f>
        <v>0</v>
      </c>
      <c r="U1289" s="1" t="str">
        <f>IFERROR(__xludf.DUMMYFUNCTION("""COMPUTED_VALUE"""),"VALID")</f>
        <v>VALID</v>
      </c>
      <c r="V1289" s="1">
        <f>IFERROR(__xludf.DUMMYFUNCTION("""COMPUTED_VALUE"""),89.0)</f>
        <v>89</v>
      </c>
      <c r="W1289" s="1">
        <f>IFERROR(__xludf.DUMMYFUNCTION("""COMPUTED_VALUE"""),622.0)</f>
        <v>622</v>
      </c>
      <c r="X1289" s="1">
        <f>IFERROR(__xludf.DUMMYFUNCTION("""COMPUTED_VALUE"""),114.0)</f>
        <v>114</v>
      </c>
      <c r="Y1289" s="2"/>
      <c r="Z1289" s="2"/>
    </row>
    <row r="1290">
      <c r="A1290" s="1">
        <f>IFERROR(__xludf.DUMMYFUNCTION("""COMPUTED_VALUE"""),1289.0)</f>
        <v>1289</v>
      </c>
      <c r="B1290" s="1">
        <f>IFERROR(__xludf.DUMMYFUNCTION("""COMPUTED_VALUE"""),5563.0)</f>
        <v>5563</v>
      </c>
      <c r="C1290" s="2" t="str">
        <f>IFERROR(__xludf.DUMMYFUNCTION("""COMPUTED_VALUE"""),"FIA DESTI KASIH")</f>
        <v>FIA DESTI KASIH</v>
      </c>
      <c r="D1290" s="2" t="str">
        <f>IFERROR(__xludf.DUMMYFUNCTION("""COMPUTED_VALUE"""),"5KM OVERALL F")</f>
        <v>5KM OVERALL F</v>
      </c>
      <c r="E1290" s="1">
        <f>IFERROR(__xludf.DUMMYFUNCTION("""COMPUTED_VALUE"""),2.0)</f>
        <v>2</v>
      </c>
      <c r="F1290" s="1" t="str">
        <f>IFERROR(__xludf.DUMMYFUNCTION("""COMPUTED_VALUE"""),"Female")</f>
        <v>Female</v>
      </c>
      <c r="G1290" s="4" t="b">
        <f>IFERROR(__xludf.DUMMYFUNCTION("""COMPUTED_VALUE"""),TRUE)</f>
        <v>1</v>
      </c>
      <c r="H1290" s="4" t="b">
        <f>IFERROR(__xludf.DUMMYFUNCTION("""COMPUTED_VALUE"""),FALSE)</f>
        <v>0</v>
      </c>
      <c r="I1290" s="4">
        <f>IFERROR(__xludf.DUMMYFUNCTION("""COMPUTED_VALUE"""),0.2549440625)</f>
        <v>0.2549440625</v>
      </c>
      <c r="J1290" s="4">
        <f>IFERROR(__xludf.DUMMYFUNCTION("""COMPUTED_VALUE"""),45949.27221767242)</f>
        <v>45949.27222</v>
      </c>
      <c r="K1290" s="4" t="str">
        <f>IFERROR(__xludf.DUMMYFUNCTION("""COMPUTED_VALUE"""),"")</f>
        <v/>
      </c>
      <c r="L1290" s="4">
        <f>IFERROR(__xludf.DUMMYFUNCTION("""COMPUTED_VALUE"""),45949.28635568086)</f>
        <v>45949.28636</v>
      </c>
      <c r="M1290" s="1" t="str">
        <f>IFERROR(__xludf.DUMMYFUNCTION("""COMPUTED_VALUE"""),"RFID")</f>
        <v>RFID</v>
      </c>
      <c r="N1290" s="5">
        <f>IFERROR(__xludf.DUMMYFUNCTION("""COMPUTED_VALUE"""),0.006909444444444445)</f>
        <v>0.006909444444</v>
      </c>
      <c r="O1290" s="5" t="str">
        <f>IFERROR(__xludf.DUMMYFUNCTION("""COMPUTED_VALUE"""),"")</f>
        <v/>
      </c>
      <c r="P1290" s="5" t="str">
        <f>IFERROR(__xludf.DUMMYFUNCTION("""COMPUTED_VALUE"""),"")</f>
        <v/>
      </c>
      <c r="Q1290" s="5">
        <f>IFERROR(__xludf.DUMMYFUNCTION("""COMPUTED_VALUE"""),0.006282324074074074)</f>
        <v>0.006282324074</v>
      </c>
      <c r="R1290" s="4">
        <f>IFERROR(__xludf.DUMMYFUNCTION("""COMPUTED_VALUE"""),45949.03141161836)</f>
        <v>45949.03141</v>
      </c>
      <c r="S1290" s="1" t="b">
        <f>IFERROR(__xludf.DUMMYFUNCTION("""COMPUTED_VALUE"""),TRUE)</f>
        <v>1</v>
      </c>
      <c r="T1290" s="1" t="b">
        <f>IFERROR(__xludf.DUMMYFUNCTION("""COMPUTED_VALUE"""),FALSE)</f>
        <v>0</v>
      </c>
      <c r="U1290" s="1" t="str">
        <f>IFERROR(__xludf.DUMMYFUNCTION("""COMPUTED_VALUE"""),"VALID")</f>
        <v>VALID</v>
      </c>
      <c r="V1290" s="1">
        <f>IFERROR(__xludf.DUMMYFUNCTION("""COMPUTED_VALUE"""),97.0)</f>
        <v>97</v>
      </c>
      <c r="W1290" s="1">
        <f>IFERROR(__xludf.DUMMYFUNCTION("""COMPUTED_VALUE"""),652.0)</f>
        <v>652</v>
      </c>
      <c r="X1290" s="1">
        <f>IFERROR(__xludf.DUMMYFUNCTION("""COMPUTED_VALUE"""),124.0)</f>
        <v>124</v>
      </c>
      <c r="Y1290" s="2"/>
      <c r="Z1290" s="2"/>
    </row>
    <row r="1291">
      <c r="A1291" s="1">
        <f>IFERROR(__xludf.DUMMYFUNCTION("""COMPUTED_VALUE"""),1290.0)</f>
        <v>1290</v>
      </c>
      <c r="B1291" s="1">
        <f>IFERROR(__xludf.DUMMYFUNCTION("""COMPUTED_VALUE"""),5564.0)</f>
        <v>5564</v>
      </c>
      <c r="C1291" s="2" t="str">
        <f>IFERROR(__xludf.DUMMYFUNCTION("""COMPUTED_VALUE"""),"HELDA SANTI")</f>
        <v>HELDA SANTI</v>
      </c>
      <c r="D1291" s="2" t="str">
        <f>IFERROR(__xludf.DUMMYFUNCTION("""COMPUTED_VALUE"""),"5KM OVERALL F")</f>
        <v>5KM OVERALL F</v>
      </c>
      <c r="E1291" s="1">
        <f>IFERROR(__xludf.DUMMYFUNCTION("""COMPUTED_VALUE"""),2.0)</f>
        <v>2</v>
      </c>
      <c r="F1291" s="1" t="str">
        <f>IFERROR(__xludf.DUMMYFUNCTION("""COMPUTED_VALUE"""),"Female")</f>
        <v>Female</v>
      </c>
      <c r="G1291" s="4" t="b">
        <f>IFERROR(__xludf.DUMMYFUNCTION("""COMPUTED_VALUE"""),TRUE)</f>
        <v>1</v>
      </c>
      <c r="H1291" s="4" t="b">
        <f>IFERROR(__xludf.DUMMYFUNCTION("""COMPUTED_VALUE"""),FALSE)</f>
        <v>0</v>
      </c>
      <c r="I1291" s="4">
        <f>IFERROR(__xludf.DUMMYFUNCTION("""COMPUTED_VALUE"""),0.2549440625)</f>
        <v>0.2549440625</v>
      </c>
      <c r="J1291" s="4">
        <f>IFERROR(__xludf.DUMMYFUNCTION("""COMPUTED_VALUE"""),45949.27662392293)</f>
        <v>45949.27662</v>
      </c>
      <c r="K1291" s="4" t="str">
        <f>IFERROR(__xludf.DUMMYFUNCTION("""COMPUTED_VALUE"""),"")</f>
        <v/>
      </c>
      <c r="L1291" s="4">
        <f>IFERROR(__xludf.DUMMYFUNCTION("""COMPUTED_VALUE"""),45949.291505034555)</f>
        <v>45949.29151</v>
      </c>
      <c r="M1291" s="1" t="str">
        <f>IFERROR(__xludf.DUMMYFUNCTION("""COMPUTED_VALUE"""),"RFID")</f>
        <v>RFID</v>
      </c>
      <c r="N1291" s="5">
        <f>IFERROR(__xludf.DUMMYFUNCTION("""COMPUTED_VALUE"""),0.008671944444444444)</f>
        <v>0.008671944444</v>
      </c>
      <c r="O1291" s="5" t="str">
        <f>IFERROR(__xludf.DUMMYFUNCTION("""COMPUTED_VALUE"""),"")</f>
        <v/>
      </c>
      <c r="P1291" s="5" t="str">
        <f>IFERROR(__xludf.DUMMYFUNCTION("""COMPUTED_VALUE"""),"")</f>
        <v/>
      </c>
      <c r="Q1291" s="5">
        <f>IFERROR(__xludf.DUMMYFUNCTION("""COMPUTED_VALUE"""),0.007312194444444445)</f>
        <v>0.007312194444</v>
      </c>
      <c r="R1291" s="4">
        <f>IFERROR(__xludf.DUMMYFUNCTION("""COMPUTED_VALUE"""),45949.036560972054)</f>
        <v>45949.03656</v>
      </c>
      <c r="S1291" s="1" t="b">
        <f>IFERROR(__xludf.DUMMYFUNCTION("""COMPUTED_VALUE"""),TRUE)</f>
        <v>1</v>
      </c>
      <c r="T1291" s="1" t="b">
        <f>IFERROR(__xludf.DUMMYFUNCTION("""COMPUTED_VALUE"""),FALSE)</f>
        <v>0</v>
      </c>
      <c r="U1291" s="1" t="str">
        <f>IFERROR(__xludf.DUMMYFUNCTION("""COMPUTED_VALUE"""),"VALID")</f>
        <v>VALID</v>
      </c>
      <c r="V1291" s="1">
        <f>IFERROR(__xludf.DUMMYFUNCTION("""COMPUTED_VALUE"""),203.0)</f>
        <v>203</v>
      </c>
      <c r="W1291" s="1">
        <f>IFERROR(__xludf.DUMMYFUNCTION("""COMPUTED_VALUE"""),998.0)</f>
        <v>998</v>
      </c>
      <c r="X1291" s="1">
        <f>IFERROR(__xludf.DUMMYFUNCTION("""COMPUTED_VALUE"""),254.0)</f>
        <v>254</v>
      </c>
      <c r="Y1291" s="2"/>
      <c r="Z1291" s="2"/>
    </row>
    <row r="1292">
      <c r="A1292" s="1">
        <f>IFERROR(__xludf.DUMMYFUNCTION("""COMPUTED_VALUE"""),1291.0)</f>
        <v>1291</v>
      </c>
      <c r="B1292" s="1">
        <f>IFERROR(__xludf.DUMMYFUNCTION("""COMPUTED_VALUE"""),5567.0)</f>
        <v>5567</v>
      </c>
      <c r="C1292" s="2" t="str">
        <f>IFERROR(__xludf.DUMMYFUNCTION("""COMPUTED_VALUE"""),"Resty16")</f>
        <v>Resty16</v>
      </c>
      <c r="D1292" s="2" t="str">
        <f>IFERROR(__xludf.DUMMYFUNCTION("""COMPUTED_VALUE"""),"5KM OVERALL F")</f>
        <v>5KM OVERALL F</v>
      </c>
      <c r="E1292" s="1">
        <f>IFERROR(__xludf.DUMMYFUNCTION("""COMPUTED_VALUE"""),2.0)</f>
        <v>2</v>
      </c>
      <c r="F1292" s="1" t="str">
        <f>IFERROR(__xludf.DUMMYFUNCTION("""COMPUTED_VALUE"""),"Female")</f>
        <v>Female</v>
      </c>
      <c r="G1292" s="4" t="b">
        <f>IFERROR(__xludf.DUMMYFUNCTION("""COMPUTED_VALUE"""),TRUE)</f>
        <v>1</v>
      </c>
      <c r="H1292" s="4" t="b">
        <f>IFERROR(__xludf.DUMMYFUNCTION("""COMPUTED_VALUE"""),TRUE)</f>
        <v>1</v>
      </c>
      <c r="I1292" s="4">
        <f>IFERROR(__xludf.DUMMYFUNCTION("""COMPUTED_VALUE"""),0.2549440625)</f>
        <v>0.2549440625</v>
      </c>
      <c r="J1292" s="4">
        <f>IFERROR(__xludf.DUMMYFUNCTION("""COMPUTED_VALUE"""),45949.277255930836)</f>
        <v>45949.27726</v>
      </c>
      <c r="K1292" s="4" t="str">
        <f>IFERROR(__xludf.DUMMYFUNCTION("""COMPUTED_VALUE"""),"")</f>
        <v/>
      </c>
      <c r="L1292" s="4">
        <f>IFERROR(__xludf.DUMMYFUNCTION("""COMPUTED_VALUE"""),45949.29401541111)</f>
        <v>45949.29402</v>
      </c>
      <c r="M1292" s="1" t="str">
        <f>IFERROR(__xludf.DUMMYFUNCTION("""COMPUTED_VALUE"""),"RFID")</f>
        <v>RFID</v>
      </c>
      <c r="N1292" s="5">
        <f>IFERROR(__xludf.DUMMYFUNCTION("""COMPUTED_VALUE"""),0.00892474537037037)</f>
        <v>0.00892474537</v>
      </c>
      <c r="O1292" s="5" t="str">
        <f>IFERROR(__xludf.DUMMYFUNCTION("""COMPUTED_VALUE"""),"")</f>
        <v/>
      </c>
      <c r="P1292" s="5" t="str">
        <f>IFERROR(__xludf.DUMMYFUNCTION("""COMPUTED_VALUE"""),"")</f>
        <v/>
      </c>
      <c r="Q1292" s="5">
        <f>IFERROR(__xludf.DUMMYFUNCTION("""COMPUTED_VALUE"""),0.007814270833333333)</f>
        <v>0.007814270833</v>
      </c>
      <c r="R1292" s="4">
        <f>IFERROR(__xludf.DUMMYFUNCTION("""COMPUTED_VALUE"""),45949.03907134861)</f>
        <v>45949.03907</v>
      </c>
      <c r="S1292" s="1" t="b">
        <f>IFERROR(__xludf.DUMMYFUNCTION("""COMPUTED_VALUE"""),TRUE)</f>
        <v>1</v>
      </c>
      <c r="T1292" s="1" t="b">
        <f>IFERROR(__xludf.DUMMYFUNCTION("""COMPUTED_VALUE"""),FALSE)</f>
        <v>0</v>
      </c>
      <c r="U1292" s="1" t="str">
        <f>IFERROR(__xludf.DUMMYFUNCTION("""COMPUTED_VALUE"""),"VALID")</f>
        <v>VALID</v>
      </c>
      <c r="V1292" s="1">
        <f>IFERROR(__xludf.DUMMYFUNCTION("""COMPUTED_VALUE"""),288.0)</f>
        <v>288</v>
      </c>
      <c r="W1292" s="1">
        <f>IFERROR(__xludf.DUMMYFUNCTION("""COMPUTED_VALUE"""),1177.0)</f>
        <v>1177</v>
      </c>
      <c r="X1292" s="1">
        <f>IFERROR(__xludf.DUMMYFUNCTION("""COMPUTED_VALUE"""),347.0)</f>
        <v>347</v>
      </c>
      <c r="Y1292" s="2"/>
      <c r="Z1292" s="2"/>
    </row>
    <row r="1293">
      <c r="A1293" s="1">
        <f>IFERROR(__xludf.DUMMYFUNCTION("""COMPUTED_VALUE"""),1292.0)</f>
        <v>1292</v>
      </c>
      <c r="B1293" s="1">
        <f>IFERROR(__xludf.DUMMYFUNCTION("""COMPUTED_VALUE"""),5568.0)</f>
        <v>5568</v>
      </c>
      <c r="C1293" s="2" t="str">
        <f>IFERROR(__xludf.DUMMYFUNCTION("""COMPUTED_VALUE"""),"RISA")</f>
        <v>RISA</v>
      </c>
      <c r="D1293" s="2" t="str">
        <f>IFERROR(__xludf.DUMMYFUNCTION("""COMPUTED_VALUE"""),"5KM OVERALL F")</f>
        <v>5KM OVERALL F</v>
      </c>
      <c r="E1293" s="1">
        <f>IFERROR(__xludf.DUMMYFUNCTION("""COMPUTED_VALUE"""),2.0)</f>
        <v>2</v>
      </c>
      <c r="F1293" s="1" t="str">
        <f>IFERROR(__xludf.DUMMYFUNCTION("""COMPUTED_VALUE"""),"Female")</f>
        <v>Female</v>
      </c>
      <c r="G1293" s="4" t="b">
        <f>IFERROR(__xludf.DUMMYFUNCTION("""COMPUTED_VALUE"""),TRUE)</f>
        <v>1</v>
      </c>
      <c r="H1293" s="4" t="b">
        <f>IFERROR(__xludf.DUMMYFUNCTION("""COMPUTED_VALUE"""),FALSE)</f>
        <v>0</v>
      </c>
      <c r="I1293" s="4">
        <f>IFERROR(__xludf.DUMMYFUNCTION("""COMPUTED_VALUE"""),0.2549440625)</f>
        <v>0.2549440625</v>
      </c>
      <c r="J1293" s="4">
        <f>IFERROR(__xludf.DUMMYFUNCTION("""COMPUTED_VALUE"""),45949.27779062799)</f>
        <v>45949.27779</v>
      </c>
      <c r="K1293" s="4" t="str">
        <f>IFERROR(__xludf.DUMMYFUNCTION("""COMPUTED_VALUE"""),"")</f>
        <v/>
      </c>
      <c r="L1293" s="4">
        <f>IFERROR(__xludf.DUMMYFUNCTION("""COMPUTED_VALUE"""),45949.29330418638)</f>
        <v>45949.2933</v>
      </c>
      <c r="M1293" s="1" t="str">
        <f>IFERROR(__xludf.DUMMYFUNCTION("""COMPUTED_VALUE"""),"RFID")</f>
        <v>RFID</v>
      </c>
      <c r="N1293" s="5">
        <f>IFERROR(__xludf.DUMMYFUNCTION("""COMPUTED_VALUE"""),0.009138625000000001)</f>
        <v>0.009138625</v>
      </c>
      <c r="O1293" s="5" t="str">
        <f>IFERROR(__xludf.DUMMYFUNCTION("""COMPUTED_VALUE"""),"")</f>
        <v/>
      </c>
      <c r="P1293" s="5" t="str">
        <f>IFERROR(__xludf.DUMMYFUNCTION("""COMPUTED_VALUE"""),"")</f>
        <v/>
      </c>
      <c r="Q1293" s="5">
        <f>IFERROR(__xludf.DUMMYFUNCTION("""COMPUTED_VALUE"""),0.007672025462962963)</f>
        <v>0.007672025463</v>
      </c>
      <c r="R1293" s="4">
        <f>IFERROR(__xludf.DUMMYFUNCTION("""COMPUTED_VALUE"""),45949.03836012388)</f>
        <v>45949.03836</v>
      </c>
      <c r="S1293" s="1" t="b">
        <f>IFERROR(__xludf.DUMMYFUNCTION("""COMPUTED_VALUE"""),TRUE)</f>
        <v>1</v>
      </c>
      <c r="T1293" s="1" t="b">
        <f>IFERROR(__xludf.DUMMYFUNCTION("""COMPUTED_VALUE"""),FALSE)</f>
        <v>0</v>
      </c>
      <c r="U1293" s="1" t="str">
        <f>IFERROR(__xludf.DUMMYFUNCTION("""COMPUTED_VALUE"""),"VALID")</f>
        <v>VALID</v>
      </c>
      <c r="V1293" s="1">
        <f>IFERROR(__xludf.DUMMYFUNCTION("""COMPUTED_VALUE"""),262.0)</f>
        <v>262</v>
      </c>
      <c r="W1293" s="1">
        <f>IFERROR(__xludf.DUMMYFUNCTION("""COMPUTED_VALUE"""),1124.0)</f>
        <v>1124</v>
      </c>
      <c r="X1293" s="1">
        <f>IFERROR(__xludf.DUMMYFUNCTION("""COMPUTED_VALUE"""),321.0)</f>
        <v>321</v>
      </c>
      <c r="Y1293" s="2"/>
      <c r="Z1293" s="2"/>
    </row>
    <row r="1294">
      <c r="A1294" s="1">
        <f>IFERROR(__xludf.DUMMYFUNCTION("""COMPUTED_VALUE"""),1293.0)</f>
        <v>1293</v>
      </c>
      <c r="B1294" s="1">
        <f>IFERROR(__xludf.DUMMYFUNCTION("""COMPUTED_VALUE"""),5573.0)</f>
        <v>5573</v>
      </c>
      <c r="C1294" s="2" t="str">
        <f>IFERROR(__xludf.DUMMYFUNCTION("""COMPUTED_VALUE"""),"AndReaPutri")</f>
        <v>AndReaPutri</v>
      </c>
      <c r="D1294" s="2" t="str">
        <f>IFERROR(__xludf.DUMMYFUNCTION("""COMPUTED_VALUE"""),"5KM OVERALL F")</f>
        <v>5KM OVERALL F</v>
      </c>
      <c r="E1294" s="1">
        <f>IFERROR(__xludf.DUMMYFUNCTION("""COMPUTED_VALUE"""),2.0)</f>
        <v>2</v>
      </c>
      <c r="F1294" s="1" t="str">
        <f>IFERROR(__xludf.DUMMYFUNCTION("""COMPUTED_VALUE"""),"Female")</f>
        <v>Female</v>
      </c>
      <c r="G1294" s="4" t="b">
        <f>IFERROR(__xludf.DUMMYFUNCTION("""COMPUTED_VALUE"""),TRUE)</f>
        <v>1</v>
      </c>
      <c r="H1294" s="4" t="b">
        <f>IFERROR(__xludf.DUMMYFUNCTION("""COMPUTED_VALUE"""),TRUE)</f>
        <v>1</v>
      </c>
      <c r="I1294" s="4">
        <f>IFERROR(__xludf.DUMMYFUNCTION("""COMPUTED_VALUE"""),0.2549440625)</f>
        <v>0.2549440625</v>
      </c>
      <c r="J1294" s="4">
        <f>IFERROR(__xludf.DUMMYFUNCTION("""COMPUTED_VALUE"""),45949.27829059872)</f>
        <v>45949.27829</v>
      </c>
      <c r="K1294" s="4" t="str">
        <f>IFERROR(__xludf.DUMMYFUNCTION("""COMPUTED_VALUE"""),"")</f>
        <v/>
      </c>
      <c r="L1294" s="4">
        <f>IFERROR(__xludf.DUMMYFUNCTION("""COMPUTED_VALUE"""),45949.29550850593)</f>
        <v>45949.29551</v>
      </c>
      <c r="M1294" s="1" t="str">
        <f>IFERROR(__xludf.DUMMYFUNCTION("""COMPUTED_VALUE"""),"RFID")</f>
        <v>RFID</v>
      </c>
      <c r="N1294" s="5">
        <f>IFERROR(__xludf.DUMMYFUNCTION("""COMPUTED_VALUE"""),0.009338615740740741)</f>
        <v>0.009338615741</v>
      </c>
      <c r="O1294" s="5" t="str">
        <f>IFERROR(__xludf.DUMMYFUNCTION("""COMPUTED_VALUE"""),"")</f>
        <v/>
      </c>
      <c r="P1294" s="5" t="str">
        <f>IFERROR(__xludf.DUMMYFUNCTION("""COMPUTED_VALUE"""),"")</f>
        <v/>
      </c>
      <c r="Q1294" s="5">
        <f>IFERROR(__xludf.DUMMYFUNCTION("""COMPUTED_VALUE"""),0.008112888888888888)</f>
        <v>0.008112888889</v>
      </c>
      <c r="R1294" s="4">
        <f>IFERROR(__xludf.DUMMYFUNCTION("""COMPUTED_VALUE"""),45949.04056444343)</f>
        <v>45949.04056</v>
      </c>
      <c r="S1294" s="1" t="b">
        <f>IFERROR(__xludf.DUMMYFUNCTION("""COMPUTED_VALUE"""),TRUE)</f>
        <v>1</v>
      </c>
      <c r="T1294" s="1" t="b">
        <f>IFERROR(__xludf.DUMMYFUNCTION("""COMPUTED_VALUE"""),FALSE)</f>
        <v>0</v>
      </c>
      <c r="U1294" s="1" t="str">
        <f>IFERROR(__xludf.DUMMYFUNCTION("""COMPUTED_VALUE"""),"VALID")</f>
        <v>VALID</v>
      </c>
      <c r="V1294" s="1">
        <f>IFERROR(__xludf.DUMMYFUNCTION("""COMPUTED_VALUE"""),332.0)</f>
        <v>332</v>
      </c>
      <c r="W1294" s="1">
        <f>IFERROR(__xludf.DUMMYFUNCTION("""COMPUTED_VALUE"""),1273.0)</f>
        <v>1273</v>
      </c>
      <c r="X1294" s="1">
        <f>IFERROR(__xludf.DUMMYFUNCTION("""COMPUTED_VALUE"""),402.0)</f>
        <v>402</v>
      </c>
      <c r="Y1294" s="2"/>
      <c r="Z1294" s="2"/>
    </row>
    <row r="1295">
      <c r="A1295" s="1">
        <f>IFERROR(__xludf.DUMMYFUNCTION("""COMPUTED_VALUE"""),1294.0)</f>
        <v>1294</v>
      </c>
      <c r="B1295" s="1">
        <f>IFERROR(__xludf.DUMMYFUNCTION("""COMPUTED_VALUE"""),5574.0)</f>
        <v>5574</v>
      </c>
      <c r="C1295" s="2" t="str">
        <f>IFERROR(__xludf.DUMMYFUNCTION("""COMPUTED_VALUE"""),"FAUZIYA")</f>
        <v>FAUZIYA</v>
      </c>
      <c r="D1295" s="2" t="str">
        <f>IFERROR(__xludf.DUMMYFUNCTION("""COMPUTED_VALUE"""),"5KM OVERALL F")</f>
        <v>5KM OVERALL F</v>
      </c>
      <c r="E1295" s="1">
        <f>IFERROR(__xludf.DUMMYFUNCTION("""COMPUTED_VALUE"""),2.0)</f>
        <v>2</v>
      </c>
      <c r="F1295" s="1" t="str">
        <f>IFERROR(__xludf.DUMMYFUNCTION("""COMPUTED_VALUE"""),"Female")</f>
        <v>Female</v>
      </c>
      <c r="G1295" s="4" t="b">
        <f>IFERROR(__xludf.DUMMYFUNCTION("""COMPUTED_VALUE"""),TRUE)</f>
        <v>1</v>
      </c>
      <c r="H1295" s="4" t="b">
        <f>IFERROR(__xludf.DUMMYFUNCTION("""COMPUTED_VALUE"""),TRUE)</f>
        <v>1</v>
      </c>
      <c r="I1295" s="4">
        <f>IFERROR(__xludf.DUMMYFUNCTION("""COMPUTED_VALUE"""),0.2549440625)</f>
        <v>0.2549440625</v>
      </c>
      <c r="J1295" s="4">
        <f>IFERROR(__xludf.DUMMYFUNCTION("""COMPUTED_VALUE"""),45949.27853715888)</f>
        <v>45949.27854</v>
      </c>
      <c r="K1295" s="4" t="str">
        <f>IFERROR(__xludf.DUMMYFUNCTION("""COMPUTED_VALUE"""),"")</f>
        <v/>
      </c>
      <c r="L1295" s="4">
        <f>IFERROR(__xludf.DUMMYFUNCTION("""COMPUTED_VALUE"""),45949.295119565206)</f>
        <v>45949.29512</v>
      </c>
      <c r="M1295" s="1" t="str">
        <f>IFERROR(__xludf.DUMMYFUNCTION("""COMPUTED_VALUE"""),"RFID")</f>
        <v>RFID</v>
      </c>
      <c r="N1295" s="5">
        <f>IFERROR(__xludf.DUMMYFUNCTION("""COMPUTED_VALUE"""),0.00943724074074074)</f>
        <v>0.009437240741</v>
      </c>
      <c r="O1295" s="5" t="str">
        <f>IFERROR(__xludf.DUMMYFUNCTION("""COMPUTED_VALUE"""),"")</f>
        <v/>
      </c>
      <c r="P1295" s="5" t="str">
        <f>IFERROR(__xludf.DUMMYFUNCTION("""COMPUTED_VALUE"""),"")</f>
        <v/>
      </c>
      <c r="Q1295" s="5">
        <f>IFERROR(__xludf.DUMMYFUNCTION("""COMPUTED_VALUE"""),0.008035099537037037)</f>
        <v>0.008035099537</v>
      </c>
      <c r="R1295" s="4">
        <f>IFERROR(__xludf.DUMMYFUNCTION("""COMPUTED_VALUE"""),45949.040175502705)</f>
        <v>45949.04018</v>
      </c>
      <c r="S1295" s="1" t="b">
        <f>IFERROR(__xludf.DUMMYFUNCTION("""COMPUTED_VALUE"""),TRUE)</f>
        <v>1</v>
      </c>
      <c r="T1295" s="1" t="b">
        <f>IFERROR(__xludf.DUMMYFUNCTION("""COMPUTED_VALUE"""),FALSE)</f>
        <v>0</v>
      </c>
      <c r="U1295" s="1" t="str">
        <f>IFERROR(__xludf.DUMMYFUNCTION("""COMPUTED_VALUE"""),"VALID")</f>
        <v>VALID</v>
      </c>
      <c r="V1295" s="1">
        <f>IFERROR(__xludf.DUMMYFUNCTION("""COMPUTED_VALUE"""),324.0)</f>
        <v>324</v>
      </c>
      <c r="W1295" s="1">
        <f>IFERROR(__xludf.DUMMYFUNCTION("""COMPUTED_VALUE"""),1250.0)</f>
        <v>1250</v>
      </c>
      <c r="X1295" s="1">
        <f>IFERROR(__xludf.DUMMYFUNCTION("""COMPUTED_VALUE"""),393.0)</f>
        <v>393</v>
      </c>
      <c r="Y1295" s="2"/>
      <c r="Z1295" s="2"/>
    </row>
    <row r="1296">
      <c r="A1296" s="1">
        <f>IFERROR(__xludf.DUMMYFUNCTION("""COMPUTED_VALUE"""),1295.0)</f>
        <v>1295</v>
      </c>
      <c r="B1296" s="1">
        <f>IFERROR(__xludf.DUMMYFUNCTION("""COMPUTED_VALUE"""),5580.0)</f>
        <v>5580</v>
      </c>
      <c r="C1296" s="2" t="str">
        <f>IFERROR(__xludf.DUMMYFUNCTION("""COMPUTED_VALUE"""),"Nada")</f>
        <v>Nada</v>
      </c>
      <c r="D1296" s="2" t="str">
        <f>IFERROR(__xludf.DUMMYFUNCTION("""COMPUTED_VALUE"""),"5KM OVERALL F")</f>
        <v>5KM OVERALL F</v>
      </c>
      <c r="E1296" s="1">
        <f>IFERROR(__xludf.DUMMYFUNCTION("""COMPUTED_VALUE"""),2.0)</f>
        <v>2</v>
      </c>
      <c r="F1296" s="1" t="str">
        <f>IFERROR(__xludf.DUMMYFUNCTION("""COMPUTED_VALUE"""),"Female")</f>
        <v>Female</v>
      </c>
      <c r="G1296" s="4" t="b">
        <f>IFERROR(__xludf.DUMMYFUNCTION("""COMPUTED_VALUE"""),TRUE)</f>
        <v>1</v>
      </c>
      <c r="H1296" s="4" t="b">
        <f>IFERROR(__xludf.DUMMYFUNCTION("""COMPUTED_VALUE"""),TRUE)</f>
        <v>1</v>
      </c>
      <c r="I1296" s="4">
        <f>IFERROR(__xludf.DUMMYFUNCTION("""COMPUTED_VALUE"""),0.2549440625)</f>
        <v>0.2549440625</v>
      </c>
      <c r="J1296" s="4">
        <f>IFERROR(__xludf.DUMMYFUNCTION("""COMPUTED_VALUE"""),45949.26634265949)</f>
        <v>45949.26634</v>
      </c>
      <c r="K1296" s="4" t="str">
        <f>IFERROR(__xludf.DUMMYFUNCTION("""COMPUTED_VALUE"""),"")</f>
        <v/>
      </c>
      <c r="L1296" s="4">
        <f>IFERROR(__xludf.DUMMYFUNCTION("""COMPUTED_VALUE"""),45949.276009623114)</f>
        <v>45949.27601</v>
      </c>
      <c r="M1296" s="1" t="str">
        <f>IFERROR(__xludf.DUMMYFUNCTION("""COMPUTED_VALUE"""),"RFID")</f>
        <v>RFID</v>
      </c>
      <c r="N1296" s="5">
        <f>IFERROR(__xludf.DUMMYFUNCTION("""COMPUTED_VALUE"""),0.004559439814814815)</f>
        <v>0.004559439815</v>
      </c>
      <c r="O1296" s="5" t="str">
        <f>IFERROR(__xludf.DUMMYFUNCTION("""COMPUTED_VALUE"""),"")</f>
        <v/>
      </c>
      <c r="P1296" s="5" t="str">
        <f>IFERROR(__xludf.DUMMYFUNCTION("""COMPUTED_VALUE"""),"")</f>
        <v/>
      </c>
      <c r="Q1296" s="5">
        <f>IFERROR(__xludf.DUMMYFUNCTION("""COMPUTED_VALUE"""),0.004213111111111111)</f>
        <v>0.004213111111</v>
      </c>
      <c r="R1296" s="4">
        <f>IFERROR(__xludf.DUMMYFUNCTION("""COMPUTED_VALUE"""),45949.02106556061)</f>
        <v>45949.02107</v>
      </c>
      <c r="S1296" s="1" t="b">
        <f>IFERROR(__xludf.DUMMYFUNCTION("""COMPUTED_VALUE"""),TRUE)</f>
        <v>1</v>
      </c>
      <c r="T1296" s="1" t="b">
        <f>IFERROR(__xludf.DUMMYFUNCTION("""COMPUTED_VALUE"""),FALSE)</f>
        <v>0</v>
      </c>
      <c r="U1296" s="1" t="str">
        <f>IFERROR(__xludf.DUMMYFUNCTION("""COMPUTED_VALUE"""),"VALID")</f>
        <v>VALID</v>
      </c>
      <c r="V1296" s="1">
        <f>IFERROR(__xludf.DUMMYFUNCTION("""COMPUTED_VALUE"""),9.0)</f>
        <v>9</v>
      </c>
      <c r="W1296" s="1">
        <f>IFERROR(__xludf.DUMMYFUNCTION("""COMPUTED_VALUE"""),145.0)</f>
        <v>145</v>
      </c>
      <c r="X1296" s="1">
        <f>IFERROR(__xludf.DUMMYFUNCTION("""COMPUTED_VALUE"""),16.0)</f>
        <v>16</v>
      </c>
      <c r="Y1296" s="2"/>
      <c r="Z1296" s="2"/>
    </row>
    <row r="1297">
      <c r="A1297" s="1">
        <f>IFERROR(__xludf.DUMMYFUNCTION("""COMPUTED_VALUE"""),1296.0)</f>
        <v>1296</v>
      </c>
      <c r="B1297" s="1">
        <f>IFERROR(__xludf.DUMMYFUNCTION("""COMPUTED_VALUE"""),5584.0)</f>
        <v>5584</v>
      </c>
      <c r="C1297" s="2" t="str">
        <f>IFERROR(__xludf.DUMMYFUNCTION("""COMPUTED_VALUE"""),"NANIK")</f>
        <v>NANIK</v>
      </c>
      <c r="D1297" s="2" t="str">
        <f>IFERROR(__xludf.DUMMYFUNCTION("""COMPUTED_VALUE"""),"5KM OVERALL F")</f>
        <v>5KM OVERALL F</v>
      </c>
      <c r="E1297" s="1">
        <f>IFERROR(__xludf.DUMMYFUNCTION("""COMPUTED_VALUE"""),2.0)</f>
        <v>2</v>
      </c>
      <c r="F1297" s="1" t="str">
        <f>IFERROR(__xludf.DUMMYFUNCTION("""COMPUTED_VALUE"""),"Female")</f>
        <v>Female</v>
      </c>
      <c r="G1297" s="4" t="b">
        <f>IFERROR(__xludf.DUMMYFUNCTION("""COMPUTED_VALUE"""),TRUE)</f>
        <v>1</v>
      </c>
      <c r="H1297" s="4" t="b">
        <f>IFERROR(__xludf.DUMMYFUNCTION("""COMPUTED_VALUE"""),TRUE)</f>
        <v>1</v>
      </c>
      <c r="I1297" s="4">
        <f>IFERROR(__xludf.DUMMYFUNCTION("""COMPUTED_VALUE"""),0.2549440625)</f>
        <v>0.2549440625</v>
      </c>
      <c r="J1297" s="4" t="str">
        <f>IFERROR(__xludf.DUMMYFUNCTION("""COMPUTED_VALUE"""),"")</f>
        <v/>
      </c>
      <c r="K1297" s="4" t="str">
        <f>IFERROR(__xludf.DUMMYFUNCTION("""COMPUTED_VALUE"""),"")</f>
        <v/>
      </c>
      <c r="L1297" s="4">
        <f>IFERROR(__xludf.DUMMYFUNCTION("""COMPUTED_VALUE"""),45949.277060590815)</f>
        <v>45949.27706</v>
      </c>
      <c r="M1297" s="1" t="str">
        <f>IFERROR(__xludf.DUMMYFUNCTION("""COMPUTED_VALUE"""),"RFID")</f>
        <v>RFID</v>
      </c>
      <c r="N1297" s="5" t="str">
        <f>IFERROR(__xludf.DUMMYFUNCTION("""COMPUTED_VALUE"""),"")</f>
        <v/>
      </c>
      <c r="O1297" s="5" t="str">
        <f>IFERROR(__xludf.DUMMYFUNCTION("""COMPUTED_VALUE"""),"")</f>
        <v/>
      </c>
      <c r="P1297" s="5" t="str">
        <f>IFERROR(__xludf.DUMMYFUNCTION("""COMPUTED_VALUE"""),"")</f>
        <v/>
      </c>
      <c r="Q1297" s="5">
        <f>IFERROR(__xludf.DUMMYFUNCTION("""COMPUTED_VALUE"""),0.004423305555555555)</f>
        <v>0.004423305556</v>
      </c>
      <c r="R1297" s="4">
        <f>IFERROR(__xludf.DUMMYFUNCTION("""COMPUTED_VALUE"""),45949.022116528315)</f>
        <v>45949.02212</v>
      </c>
      <c r="S1297" s="1" t="b">
        <f>IFERROR(__xludf.DUMMYFUNCTION("""COMPUTED_VALUE"""),FALSE)</f>
        <v>0</v>
      </c>
      <c r="T1297" s="1" t="b">
        <f>IFERROR(__xludf.DUMMYFUNCTION("""COMPUTED_VALUE"""),FALSE)</f>
        <v>0</v>
      </c>
      <c r="U1297" s="1" t="str">
        <f>IFERROR(__xludf.DUMMYFUNCTION("""COMPUTED_VALUE"""),"DSQ")</f>
        <v>DSQ</v>
      </c>
      <c r="V1297" s="1" t="str">
        <f>IFERROR(__xludf.DUMMYFUNCTION("""COMPUTED_VALUE"""),"DSQ")</f>
        <v>DSQ</v>
      </c>
      <c r="W1297" s="1" t="str">
        <f>IFERROR(__xludf.DUMMYFUNCTION("""COMPUTED_VALUE"""),"DSQ")</f>
        <v>DSQ</v>
      </c>
      <c r="X1297" s="1" t="str">
        <f>IFERROR(__xludf.DUMMYFUNCTION("""COMPUTED_VALUE"""),"DSQ")</f>
        <v>DSQ</v>
      </c>
      <c r="Y1297" s="2" t="str">
        <f>IFERROR(__xludf.DUMMYFUNCTION("""COMPUTED_VALUE"""),"tidak ada di checkpoint 1")</f>
        <v>tidak ada di checkpoint 1</v>
      </c>
      <c r="Z1297" s="2" t="str">
        <f>IFERROR(__xludf.DUMMYFUNCTION("""COMPUTED_VALUE"""),"")</f>
        <v/>
      </c>
    </row>
    <row r="1298">
      <c r="A1298" s="1">
        <f>IFERROR(__xludf.DUMMYFUNCTION("""COMPUTED_VALUE"""),1297.0)</f>
        <v>1297</v>
      </c>
      <c r="B1298" s="1">
        <f>IFERROR(__xludf.DUMMYFUNCTION("""COMPUTED_VALUE"""),5586.0)</f>
        <v>5586</v>
      </c>
      <c r="C1298" s="2" t="str">
        <f>IFERROR(__xludf.DUMMYFUNCTION("""COMPUTED_VALUE"""),"HENI")</f>
        <v>HENI</v>
      </c>
      <c r="D1298" s="2" t="str">
        <f>IFERROR(__xludf.DUMMYFUNCTION("""COMPUTED_VALUE"""),"5KM OVERALL F")</f>
        <v>5KM OVERALL F</v>
      </c>
      <c r="E1298" s="1">
        <f>IFERROR(__xludf.DUMMYFUNCTION("""COMPUTED_VALUE"""),2.0)</f>
        <v>2</v>
      </c>
      <c r="F1298" s="1" t="str">
        <f>IFERROR(__xludf.DUMMYFUNCTION("""COMPUTED_VALUE"""),"Female")</f>
        <v>Female</v>
      </c>
      <c r="G1298" s="4" t="b">
        <f>IFERROR(__xludf.DUMMYFUNCTION("""COMPUTED_VALUE"""),TRUE)</f>
        <v>1</v>
      </c>
      <c r="H1298" s="4" t="b">
        <f>IFERROR(__xludf.DUMMYFUNCTION("""COMPUTED_VALUE"""),FALSE)</f>
        <v>0</v>
      </c>
      <c r="I1298" s="4">
        <f>IFERROR(__xludf.DUMMYFUNCTION("""COMPUTED_VALUE"""),0.2549440625)</f>
        <v>0.2549440625</v>
      </c>
      <c r="J1298" s="4">
        <f>IFERROR(__xludf.DUMMYFUNCTION("""COMPUTED_VALUE"""),45949.27275240855)</f>
        <v>45949.27275</v>
      </c>
      <c r="K1298" s="4" t="str">
        <f>IFERROR(__xludf.DUMMYFUNCTION("""COMPUTED_VALUE"""),"")</f>
        <v/>
      </c>
      <c r="L1298" s="4">
        <f>IFERROR(__xludf.DUMMYFUNCTION("""COMPUTED_VALUE"""),45949.28751545223)</f>
        <v>45949.28752</v>
      </c>
      <c r="M1298" s="1" t="str">
        <f>IFERROR(__xludf.DUMMYFUNCTION("""COMPUTED_VALUE"""),"RFID")</f>
        <v>RFID</v>
      </c>
      <c r="N1298" s="5">
        <f>IFERROR(__xludf.DUMMYFUNCTION("""COMPUTED_VALUE"""),0.007123337962962964)</f>
        <v>0.007123337963</v>
      </c>
      <c r="O1298" s="5" t="str">
        <f>IFERROR(__xludf.DUMMYFUNCTION("""COMPUTED_VALUE"""),"")</f>
        <v/>
      </c>
      <c r="P1298" s="5" t="str">
        <f>IFERROR(__xludf.DUMMYFUNCTION("""COMPUTED_VALUE"""),"")</f>
        <v/>
      </c>
      <c r="Q1298" s="5">
        <f>IFERROR(__xludf.DUMMYFUNCTION("""COMPUTED_VALUE"""),0.0065142777777777786)</f>
        <v>0.006514277778</v>
      </c>
      <c r="R1298" s="4">
        <f>IFERROR(__xludf.DUMMYFUNCTION("""COMPUTED_VALUE"""),45949.03257138973)</f>
        <v>45949.03257</v>
      </c>
      <c r="S1298" s="1" t="b">
        <f>IFERROR(__xludf.DUMMYFUNCTION("""COMPUTED_VALUE"""),TRUE)</f>
        <v>1</v>
      </c>
      <c r="T1298" s="1" t="b">
        <f>IFERROR(__xludf.DUMMYFUNCTION("""COMPUTED_VALUE"""),FALSE)</f>
        <v>0</v>
      </c>
      <c r="U1298" s="1" t="str">
        <f>IFERROR(__xludf.DUMMYFUNCTION("""COMPUTED_VALUE"""),"VALID")</f>
        <v>VALID</v>
      </c>
      <c r="V1298" s="1">
        <f>IFERROR(__xludf.DUMMYFUNCTION("""COMPUTED_VALUE"""),117.0)</f>
        <v>117</v>
      </c>
      <c r="W1298" s="1">
        <f>IFERROR(__xludf.DUMMYFUNCTION("""COMPUTED_VALUE"""),736.0)</f>
        <v>736</v>
      </c>
      <c r="X1298" s="1">
        <f>IFERROR(__xludf.DUMMYFUNCTION("""COMPUTED_VALUE"""),147.0)</f>
        <v>147</v>
      </c>
      <c r="Y1298" s="2"/>
      <c r="Z1298" s="2"/>
    </row>
    <row r="1299">
      <c r="A1299" s="1">
        <f>IFERROR(__xludf.DUMMYFUNCTION("""COMPUTED_VALUE"""),1298.0)</f>
        <v>1298</v>
      </c>
      <c r="B1299" s="1">
        <f>IFERROR(__xludf.DUMMYFUNCTION("""COMPUTED_VALUE"""),5587.0)</f>
        <v>5587</v>
      </c>
      <c r="C1299" s="2" t="str">
        <f>IFERROR(__xludf.DUMMYFUNCTION("""COMPUTED_VALUE"""),"Chindy")</f>
        <v>Chindy</v>
      </c>
      <c r="D1299" s="2" t="str">
        <f>IFERROR(__xludf.DUMMYFUNCTION("""COMPUTED_VALUE"""),"5KM OVERALL F")</f>
        <v>5KM OVERALL F</v>
      </c>
      <c r="E1299" s="1">
        <f>IFERROR(__xludf.DUMMYFUNCTION("""COMPUTED_VALUE"""),2.0)</f>
        <v>2</v>
      </c>
      <c r="F1299" s="1" t="str">
        <f>IFERROR(__xludf.DUMMYFUNCTION("""COMPUTED_VALUE"""),"Female")</f>
        <v>Female</v>
      </c>
      <c r="G1299" s="4" t="b">
        <f>IFERROR(__xludf.DUMMYFUNCTION("""COMPUTED_VALUE"""),TRUE)</f>
        <v>1</v>
      </c>
      <c r="H1299" s="4" t="b">
        <f>IFERROR(__xludf.DUMMYFUNCTION("""COMPUTED_VALUE"""),FALSE)</f>
        <v>0</v>
      </c>
      <c r="I1299" s="4">
        <f>IFERROR(__xludf.DUMMYFUNCTION("""COMPUTED_VALUE"""),0.2549440625)</f>
        <v>0.2549440625</v>
      </c>
      <c r="J1299" s="4">
        <f>IFERROR(__xludf.DUMMYFUNCTION("""COMPUTED_VALUE"""),45949.27165523302)</f>
        <v>45949.27166</v>
      </c>
      <c r="K1299" s="4" t="str">
        <f>IFERROR(__xludf.DUMMYFUNCTION("""COMPUTED_VALUE"""),"")</f>
        <v/>
      </c>
      <c r="L1299" s="4">
        <f>IFERROR(__xludf.DUMMYFUNCTION("""COMPUTED_VALUE"""),45949.283672044614)</f>
        <v>45949.28367</v>
      </c>
      <c r="M1299" s="1" t="str">
        <f>IFERROR(__xludf.DUMMYFUNCTION("""COMPUTED_VALUE"""),"RFID")</f>
        <v>RFID</v>
      </c>
      <c r="N1299" s="5">
        <f>IFERROR(__xludf.DUMMYFUNCTION("""COMPUTED_VALUE"""),0.0066844675925925925)</f>
        <v>0.006684467593</v>
      </c>
      <c r="O1299" s="5" t="str">
        <f>IFERROR(__xludf.DUMMYFUNCTION("""COMPUTED_VALUE"""),"")</f>
        <v/>
      </c>
      <c r="P1299" s="5" t="str">
        <f>IFERROR(__xludf.DUMMYFUNCTION("""COMPUTED_VALUE"""),"")</f>
        <v/>
      </c>
      <c r="Q1299" s="5">
        <f>IFERROR(__xludf.DUMMYFUNCTION("""COMPUTED_VALUE"""),0.005745597222222222)</f>
        <v>0.005745597222</v>
      </c>
      <c r="R1299" s="4">
        <f>IFERROR(__xludf.DUMMYFUNCTION("""COMPUTED_VALUE"""),45949.02872798211)</f>
        <v>45949.02873</v>
      </c>
      <c r="S1299" s="1" t="b">
        <f>IFERROR(__xludf.DUMMYFUNCTION("""COMPUTED_VALUE"""),TRUE)</f>
        <v>1</v>
      </c>
      <c r="T1299" s="1" t="b">
        <f>IFERROR(__xludf.DUMMYFUNCTION("""COMPUTED_VALUE"""),FALSE)</f>
        <v>0</v>
      </c>
      <c r="U1299" s="1" t="str">
        <f>IFERROR(__xludf.DUMMYFUNCTION("""COMPUTED_VALUE"""),"VALID")</f>
        <v>VALID</v>
      </c>
      <c r="V1299" s="1">
        <f>IFERROR(__xludf.DUMMYFUNCTION("""COMPUTED_VALUE"""),49.0)</f>
        <v>49</v>
      </c>
      <c r="W1299" s="1">
        <f>IFERROR(__xludf.DUMMYFUNCTION("""COMPUTED_VALUE"""),472.0)</f>
        <v>472</v>
      </c>
      <c r="X1299" s="1">
        <f>IFERROR(__xludf.DUMMYFUNCTION("""COMPUTED_VALUE"""),70.0)</f>
        <v>70</v>
      </c>
      <c r="Y1299" s="2"/>
      <c r="Z1299" s="2"/>
    </row>
    <row r="1300">
      <c r="A1300" s="1">
        <f>IFERROR(__xludf.DUMMYFUNCTION("""COMPUTED_VALUE"""),1299.0)</f>
        <v>1299</v>
      </c>
      <c r="B1300" s="1">
        <f>IFERROR(__xludf.DUMMYFUNCTION("""COMPUTED_VALUE"""),5594.0)</f>
        <v>5594</v>
      </c>
      <c r="C1300" s="2" t="str">
        <f>IFERROR(__xludf.DUMMYFUNCTION("""COMPUTED_VALUE"""),"Nadila Satifa")</f>
        <v>Nadila Satifa</v>
      </c>
      <c r="D1300" s="2" t="str">
        <f>IFERROR(__xludf.DUMMYFUNCTION("""COMPUTED_VALUE"""),"5KM OVERALL F")</f>
        <v>5KM OVERALL F</v>
      </c>
      <c r="E1300" s="1">
        <f>IFERROR(__xludf.DUMMYFUNCTION("""COMPUTED_VALUE"""),2.0)</f>
        <v>2</v>
      </c>
      <c r="F1300" s="1" t="str">
        <f>IFERROR(__xludf.DUMMYFUNCTION("""COMPUTED_VALUE"""),"Female")</f>
        <v>Female</v>
      </c>
      <c r="G1300" s="4" t="b">
        <f>IFERROR(__xludf.DUMMYFUNCTION("""COMPUTED_VALUE"""),TRUE)</f>
        <v>1</v>
      </c>
      <c r="H1300" s="4" t="b">
        <f>IFERROR(__xludf.DUMMYFUNCTION("""COMPUTED_VALUE"""),TRUE)</f>
        <v>1</v>
      </c>
      <c r="I1300" s="4">
        <f>IFERROR(__xludf.DUMMYFUNCTION("""COMPUTED_VALUE"""),0.2549440625)</f>
        <v>0.2549440625</v>
      </c>
      <c r="J1300" s="4">
        <f>IFERROR(__xludf.DUMMYFUNCTION("""COMPUTED_VALUE"""),45949.27084966102)</f>
        <v>45949.27085</v>
      </c>
      <c r="K1300" s="4" t="str">
        <f>IFERROR(__xludf.DUMMYFUNCTION("""COMPUTED_VALUE"""),"")</f>
        <v/>
      </c>
      <c r="L1300" s="4">
        <f>IFERROR(__xludf.DUMMYFUNCTION("""COMPUTED_VALUE"""),45949.28438003952)</f>
        <v>45949.28438</v>
      </c>
      <c r="M1300" s="1" t="str">
        <f>IFERROR(__xludf.DUMMYFUNCTION("""COMPUTED_VALUE"""),"RFID")</f>
        <v>RFID</v>
      </c>
      <c r="N1300" s="5">
        <f>IFERROR(__xludf.DUMMYFUNCTION("""COMPUTED_VALUE"""),0.00636224074074074)</f>
        <v>0.006362240741</v>
      </c>
      <c r="O1300" s="5" t="str">
        <f>IFERROR(__xludf.DUMMYFUNCTION("""COMPUTED_VALUE"""),"")</f>
        <v/>
      </c>
      <c r="P1300" s="5" t="str">
        <f>IFERROR(__xludf.DUMMYFUNCTION("""COMPUTED_VALUE"""),"")</f>
        <v/>
      </c>
      <c r="Q1300" s="5">
        <f>IFERROR(__xludf.DUMMYFUNCTION("""COMPUTED_VALUE"""),0.005887194444444444)</f>
        <v>0.005887194444</v>
      </c>
      <c r="R1300" s="4">
        <f>IFERROR(__xludf.DUMMYFUNCTION("""COMPUTED_VALUE"""),45949.02943597702)</f>
        <v>45949.02944</v>
      </c>
      <c r="S1300" s="1" t="b">
        <f>IFERROR(__xludf.DUMMYFUNCTION("""COMPUTED_VALUE"""),TRUE)</f>
        <v>1</v>
      </c>
      <c r="T1300" s="1" t="b">
        <f>IFERROR(__xludf.DUMMYFUNCTION("""COMPUTED_VALUE"""),FALSE)</f>
        <v>0</v>
      </c>
      <c r="U1300" s="1" t="str">
        <f>IFERROR(__xludf.DUMMYFUNCTION("""COMPUTED_VALUE"""),"VALID")</f>
        <v>VALID</v>
      </c>
      <c r="V1300" s="1">
        <f>IFERROR(__xludf.DUMMYFUNCTION("""COMPUTED_VALUE"""),61.0)</f>
        <v>61</v>
      </c>
      <c r="W1300" s="1">
        <f>IFERROR(__xludf.DUMMYFUNCTION("""COMPUTED_VALUE"""),531.0)</f>
        <v>531</v>
      </c>
      <c r="X1300" s="1">
        <f>IFERROR(__xludf.DUMMYFUNCTION("""COMPUTED_VALUE"""),83.0)</f>
        <v>83</v>
      </c>
      <c r="Y1300" s="2"/>
      <c r="Z1300" s="2"/>
    </row>
    <row r="1301">
      <c r="A1301" s="1">
        <f>IFERROR(__xludf.DUMMYFUNCTION("""COMPUTED_VALUE"""),1300.0)</f>
        <v>1300</v>
      </c>
      <c r="B1301" s="1">
        <f>IFERROR(__xludf.DUMMYFUNCTION("""COMPUTED_VALUE"""),5596.0)</f>
        <v>5596</v>
      </c>
      <c r="C1301" s="2" t="str">
        <f>IFERROR(__xludf.DUMMYFUNCTION("""COMPUTED_VALUE"""),"Apink")</f>
        <v>Apink</v>
      </c>
      <c r="D1301" s="2" t="str">
        <f>IFERROR(__xludf.DUMMYFUNCTION("""COMPUTED_VALUE"""),"5KM OVERALL F")</f>
        <v>5KM OVERALL F</v>
      </c>
      <c r="E1301" s="1">
        <f>IFERROR(__xludf.DUMMYFUNCTION("""COMPUTED_VALUE"""),2.0)</f>
        <v>2</v>
      </c>
      <c r="F1301" s="1" t="str">
        <f>IFERROR(__xludf.DUMMYFUNCTION("""COMPUTED_VALUE"""),"Female")</f>
        <v>Female</v>
      </c>
      <c r="G1301" s="4" t="b">
        <f>IFERROR(__xludf.DUMMYFUNCTION("""COMPUTED_VALUE"""),TRUE)</f>
        <v>1</v>
      </c>
      <c r="H1301" s="4" t="b">
        <f>IFERROR(__xludf.DUMMYFUNCTION("""COMPUTED_VALUE"""),FALSE)</f>
        <v>0</v>
      </c>
      <c r="I1301" s="4">
        <f>IFERROR(__xludf.DUMMYFUNCTION("""COMPUTED_VALUE"""),0.2549440625)</f>
        <v>0.2549440625</v>
      </c>
      <c r="J1301" s="4">
        <f>IFERROR(__xludf.DUMMYFUNCTION("""COMPUTED_VALUE"""),45949.27733231369)</f>
        <v>45949.27733</v>
      </c>
      <c r="K1301" s="4" t="str">
        <f>IFERROR(__xludf.DUMMYFUNCTION("""COMPUTED_VALUE"""),"")</f>
        <v/>
      </c>
      <c r="L1301" s="4">
        <f>IFERROR(__xludf.DUMMYFUNCTION("""COMPUTED_VALUE"""),45949.29418212289)</f>
        <v>45949.29418</v>
      </c>
      <c r="M1301" s="1" t="str">
        <f>IFERROR(__xludf.DUMMYFUNCTION("""COMPUTED_VALUE"""),"RFID")</f>
        <v>RFID</v>
      </c>
      <c r="N1301" s="5">
        <f>IFERROR(__xludf.DUMMYFUNCTION("""COMPUTED_VALUE"""),0.008955300925925926)</f>
        <v>0.008955300926</v>
      </c>
      <c r="O1301" s="5" t="str">
        <f>IFERROR(__xludf.DUMMYFUNCTION("""COMPUTED_VALUE"""),"")</f>
        <v/>
      </c>
      <c r="P1301" s="5" t="str">
        <f>IFERROR(__xludf.DUMMYFUNCTION("""COMPUTED_VALUE"""),"")</f>
        <v/>
      </c>
      <c r="Q1301" s="5">
        <f>IFERROR(__xludf.DUMMYFUNCTION("""COMPUTED_VALUE"""),0.00784761111111111)</f>
        <v>0.007847611111</v>
      </c>
      <c r="R1301" s="4">
        <f>IFERROR(__xludf.DUMMYFUNCTION("""COMPUTED_VALUE"""),45949.03923806039)</f>
        <v>45949.03924</v>
      </c>
      <c r="S1301" s="1" t="b">
        <f>IFERROR(__xludf.DUMMYFUNCTION("""COMPUTED_VALUE"""),TRUE)</f>
        <v>1</v>
      </c>
      <c r="T1301" s="1" t="b">
        <f>IFERROR(__xludf.DUMMYFUNCTION("""COMPUTED_VALUE"""),FALSE)</f>
        <v>0</v>
      </c>
      <c r="U1301" s="1" t="str">
        <f>IFERROR(__xludf.DUMMYFUNCTION("""COMPUTED_VALUE"""),"VALID")</f>
        <v>VALID</v>
      </c>
      <c r="V1301" s="1">
        <f>IFERROR(__xludf.DUMMYFUNCTION("""COMPUTED_VALUE"""),294.0)</f>
        <v>294</v>
      </c>
      <c r="W1301" s="1">
        <f>IFERROR(__xludf.DUMMYFUNCTION("""COMPUTED_VALUE"""),1192.0)</f>
        <v>1192</v>
      </c>
      <c r="X1301" s="1">
        <f>IFERROR(__xludf.DUMMYFUNCTION("""COMPUTED_VALUE"""),355.0)</f>
        <v>355</v>
      </c>
      <c r="Y1301" s="2"/>
      <c r="Z1301" s="2"/>
    </row>
    <row r="1302">
      <c r="A1302" s="1">
        <f>IFERROR(__xludf.DUMMYFUNCTION("""COMPUTED_VALUE"""),1301.0)</f>
        <v>1301</v>
      </c>
      <c r="B1302" s="1">
        <f>IFERROR(__xludf.DUMMYFUNCTION("""COMPUTED_VALUE"""),5599.0)</f>
        <v>5599</v>
      </c>
      <c r="C1302" s="2" t="str">
        <f>IFERROR(__xludf.DUMMYFUNCTION("""COMPUTED_VALUE"""),"Bella")</f>
        <v>Bella</v>
      </c>
      <c r="D1302" s="2" t="str">
        <f>IFERROR(__xludf.DUMMYFUNCTION("""COMPUTED_VALUE"""),"5KM OVERALL F")</f>
        <v>5KM OVERALL F</v>
      </c>
      <c r="E1302" s="1">
        <f>IFERROR(__xludf.DUMMYFUNCTION("""COMPUTED_VALUE"""),2.0)</f>
        <v>2</v>
      </c>
      <c r="F1302" s="1" t="str">
        <f>IFERROR(__xludf.DUMMYFUNCTION("""COMPUTED_VALUE"""),"Female")</f>
        <v>Female</v>
      </c>
      <c r="G1302" s="4" t="b">
        <f>IFERROR(__xludf.DUMMYFUNCTION("""COMPUTED_VALUE"""),TRUE)</f>
        <v>1</v>
      </c>
      <c r="H1302" s="4" t="b">
        <f>IFERROR(__xludf.DUMMYFUNCTION("""COMPUTED_VALUE"""),TRUE)</f>
        <v>1</v>
      </c>
      <c r="I1302" s="4">
        <f>IFERROR(__xludf.DUMMYFUNCTION("""COMPUTED_VALUE"""),0.2549440625)</f>
        <v>0.2549440625</v>
      </c>
      <c r="J1302" s="4">
        <f>IFERROR(__xludf.DUMMYFUNCTION("""COMPUTED_VALUE"""),45949.274854022144)</f>
        <v>45949.27485</v>
      </c>
      <c r="K1302" s="4" t="str">
        <f>IFERROR(__xludf.DUMMYFUNCTION("""COMPUTED_VALUE"""),"")</f>
        <v/>
      </c>
      <c r="L1302" s="4">
        <f>IFERROR(__xludf.DUMMYFUNCTION("""COMPUTED_VALUE"""),45949.28884184588)</f>
        <v>45949.28884</v>
      </c>
      <c r="M1302" s="1" t="str">
        <f>IFERROR(__xludf.DUMMYFUNCTION("""COMPUTED_VALUE"""),"RFID")</f>
        <v>RFID</v>
      </c>
      <c r="N1302" s="5">
        <f>IFERROR(__xludf.DUMMYFUNCTION("""COMPUTED_VALUE"""),0.007963986111111111)</f>
        <v>0.007963986111</v>
      </c>
      <c r="O1302" s="5" t="str">
        <f>IFERROR(__xludf.DUMMYFUNCTION("""COMPUTED_VALUE"""),"")</f>
        <v/>
      </c>
      <c r="P1302" s="5" t="str">
        <f>IFERROR(__xludf.DUMMYFUNCTION("""COMPUTED_VALUE"""),"")</f>
        <v/>
      </c>
      <c r="Q1302" s="5">
        <f>IFERROR(__xludf.DUMMYFUNCTION("""COMPUTED_VALUE"""),0.006779555555555555)</f>
        <v>0.006779555556</v>
      </c>
      <c r="R1302" s="4">
        <f>IFERROR(__xludf.DUMMYFUNCTION("""COMPUTED_VALUE"""),45949.03389778338)</f>
        <v>45949.0339</v>
      </c>
      <c r="S1302" s="1" t="b">
        <f>IFERROR(__xludf.DUMMYFUNCTION("""COMPUTED_VALUE"""),TRUE)</f>
        <v>1</v>
      </c>
      <c r="T1302" s="1" t="b">
        <f>IFERROR(__xludf.DUMMYFUNCTION("""COMPUTED_VALUE"""),FALSE)</f>
        <v>0</v>
      </c>
      <c r="U1302" s="1" t="str">
        <f>IFERROR(__xludf.DUMMYFUNCTION("""COMPUTED_VALUE"""),"VALID")</f>
        <v>VALID</v>
      </c>
      <c r="V1302" s="1">
        <f>IFERROR(__xludf.DUMMYFUNCTION("""COMPUTED_VALUE"""),148.0)</f>
        <v>148</v>
      </c>
      <c r="W1302" s="1">
        <f>IFERROR(__xludf.DUMMYFUNCTION("""COMPUTED_VALUE"""),835.0)</f>
        <v>835</v>
      </c>
      <c r="X1302" s="1">
        <f>IFERROR(__xludf.DUMMYFUNCTION("""COMPUTED_VALUE"""),183.0)</f>
        <v>183</v>
      </c>
      <c r="Y1302" s="2"/>
      <c r="Z1302" s="2"/>
    </row>
    <row r="1303">
      <c r="A1303" s="1">
        <f>IFERROR(__xludf.DUMMYFUNCTION("""COMPUTED_VALUE"""),1302.0)</f>
        <v>1302</v>
      </c>
      <c r="B1303" s="1">
        <f>IFERROR(__xludf.DUMMYFUNCTION("""COMPUTED_VALUE"""),5602.0)</f>
        <v>5602</v>
      </c>
      <c r="C1303" s="2" t="str">
        <f>IFERROR(__xludf.DUMMYFUNCTION("""COMPUTED_VALUE"""),"Tri Indah Permata")</f>
        <v>Tri Indah Permata</v>
      </c>
      <c r="D1303" s="2" t="str">
        <f>IFERROR(__xludf.DUMMYFUNCTION("""COMPUTED_VALUE"""),"5KM OVERALL F")</f>
        <v>5KM OVERALL F</v>
      </c>
      <c r="E1303" s="1">
        <f>IFERROR(__xludf.DUMMYFUNCTION("""COMPUTED_VALUE"""),2.0)</f>
        <v>2</v>
      </c>
      <c r="F1303" s="1" t="str">
        <f>IFERROR(__xludf.DUMMYFUNCTION("""COMPUTED_VALUE"""),"Female")</f>
        <v>Female</v>
      </c>
      <c r="G1303" s="4" t="b">
        <f>IFERROR(__xludf.DUMMYFUNCTION("""COMPUTED_VALUE"""),TRUE)</f>
        <v>1</v>
      </c>
      <c r="H1303" s="4" t="b">
        <f>IFERROR(__xludf.DUMMYFUNCTION("""COMPUTED_VALUE"""),TRUE)</f>
        <v>1</v>
      </c>
      <c r="I1303" s="4">
        <f>IFERROR(__xludf.DUMMYFUNCTION("""COMPUTED_VALUE"""),0.2549440625)</f>
        <v>0.2549440625</v>
      </c>
      <c r="J1303" s="4">
        <f>IFERROR(__xludf.DUMMYFUNCTION("""COMPUTED_VALUE"""),45949.280557933474)</f>
        <v>45949.28056</v>
      </c>
      <c r="K1303" s="4" t="str">
        <f>IFERROR(__xludf.DUMMYFUNCTION("""COMPUTED_VALUE"""),"")</f>
        <v/>
      </c>
      <c r="L1303" s="4">
        <f>IFERROR(__xludf.DUMMYFUNCTION("""COMPUTED_VALUE"""),45949.30053687655)</f>
        <v>45949.30054</v>
      </c>
      <c r="M1303" s="1" t="str">
        <f>IFERROR(__xludf.DUMMYFUNCTION("""COMPUTED_VALUE"""),"RFID")</f>
        <v>RFID</v>
      </c>
      <c r="N1303" s="5">
        <f>IFERROR(__xludf.DUMMYFUNCTION("""COMPUTED_VALUE"""),0.010245546296296298)</f>
        <v>0.0102455463</v>
      </c>
      <c r="O1303" s="5" t="str">
        <f>IFERROR(__xludf.DUMMYFUNCTION("""COMPUTED_VALUE"""),"")</f>
        <v/>
      </c>
      <c r="P1303" s="5" t="str">
        <f>IFERROR(__xludf.DUMMYFUNCTION("""COMPUTED_VALUE"""),"")</f>
        <v/>
      </c>
      <c r="Q1303" s="5">
        <f>IFERROR(__xludf.DUMMYFUNCTION("""COMPUTED_VALUE"""),0.0091185625)</f>
        <v>0.0091185625</v>
      </c>
      <c r="R1303" s="4">
        <f>IFERROR(__xludf.DUMMYFUNCTION("""COMPUTED_VALUE"""),45949.04559281405)</f>
        <v>45949.04559</v>
      </c>
      <c r="S1303" s="1" t="b">
        <f>IFERROR(__xludf.DUMMYFUNCTION("""COMPUTED_VALUE"""),TRUE)</f>
        <v>1</v>
      </c>
      <c r="T1303" s="1" t="b">
        <f>IFERROR(__xludf.DUMMYFUNCTION("""COMPUTED_VALUE"""),FALSE)</f>
        <v>0</v>
      </c>
      <c r="U1303" s="1" t="str">
        <f>IFERROR(__xludf.DUMMYFUNCTION("""COMPUTED_VALUE"""),"VALID")</f>
        <v>VALID</v>
      </c>
      <c r="V1303" s="1">
        <f>IFERROR(__xludf.DUMMYFUNCTION("""COMPUTED_VALUE"""),431.0)</f>
        <v>431</v>
      </c>
      <c r="W1303" s="1">
        <f>IFERROR(__xludf.DUMMYFUNCTION("""COMPUTED_VALUE"""),1471.0)</f>
        <v>1471</v>
      </c>
      <c r="X1303" s="1">
        <f>IFERROR(__xludf.DUMMYFUNCTION("""COMPUTED_VALUE"""),526.0)</f>
        <v>526</v>
      </c>
      <c r="Y1303" s="2"/>
      <c r="Z1303" s="2"/>
    </row>
    <row r="1304">
      <c r="A1304" s="1">
        <f>IFERROR(__xludf.DUMMYFUNCTION("""COMPUTED_VALUE"""),1303.0)</f>
        <v>1303</v>
      </c>
      <c r="B1304" s="1">
        <f>IFERROR(__xludf.DUMMYFUNCTION("""COMPUTED_VALUE"""),5604.0)</f>
        <v>5604</v>
      </c>
      <c r="C1304" s="2" t="str">
        <f>IFERROR(__xludf.DUMMYFUNCTION("""COMPUTED_VALUE"""),"Veronika okta Permatasari")</f>
        <v>Veronika okta Permatasari</v>
      </c>
      <c r="D1304" s="2" t="str">
        <f>IFERROR(__xludf.DUMMYFUNCTION("""COMPUTED_VALUE"""),"5KM OVERALL F")</f>
        <v>5KM OVERALL F</v>
      </c>
      <c r="E1304" s="1">
        <f>IFERROR(__xludf.DUMMYFUNCTION("""COMPUTED_VALUE"""),2.0)</f>
        <v>2</v>
      </c>
      <c r="F1304" s="1" t="str">
        <f>IFERROR(__xludf.DUMMYFUNCTION("""COMPUTED_VALUE"""),"Female")</f>
        <v>Female</v>
      </c>
      <c r="G1304" s="4" t="b">
        <f>IFERROR(__xludf.DUMMYFUNCTION("""COMPUTED_VALUE"""),TRUE)</f>
        <v>1</v>
      </c>
      <c r="H1304" s="4" t="b">
        <f>IFERROR(__xludf.DUMMYFUNCTION("""COMPUTED_VALUE"""),TRUE)</f>
        <v>1</v>
      </c>
      <c r="I1304" s="4">
        <f>IFERROR(__xludf.DUMMYFUNCTION("""COMPUTED_VALUE"""),0.2549440625)</f>
        <v>0.2549440625</v>
      </c>
      <c r="J1304" s="4">
        <f>IFERROR(__xludf.DUMMYFUNCTION("""COMPUTED_VALUE"""),45949.279099612424)</f>
        <v>45949.2791</v>
      </c>
      <c r="K1304" s="4" t="str">
        <f>IFERROR(__xludf.DUMMYFUNCTION("""COMPUTED_VALUE"""),"")</f>
        <v/>
      </c>
      <c r="L1304" s="4">
        <f>IFERROR(__xludf.DUMMYFUNCTION("""COMPUTED_VALUE"""),45949.297074499904)</f>
        <v>45949.29707</v>
      </c>
      <c r="M1304" s="1" t="str">
        <f>IFERROR(__xludf.DUMMYFUNCTION("""COMPUTED_VALUE"""),"RFID")</f>
        <v>RFID</v>
      </c>
      <c r="N1304" s="5">
        <f>IFERROR(__xludf.DUMMYFUNCTION("""COMPUTED_VALUE"""),0.009662222222222221)</f>
        <v>0.009662222222</v>
      </c>
      <c r="O1304" s="5" t="str">
        <f>IFERROR(__xludf.DUMMYFUNCTION("""COMPUTED_VALUE"""),"")</f>
        <v/>
      </c>
      <c r="P1304" s="5" t="str">
        <f>IFERROR(__xludf.DUMMYFUNCTION("""COMPUTED_VALUE"""),"")</f>
        <v/>
      </c>
      <c r="Q1304" s="5">
        <f>IFERROR(__xludf.DUMMYFUNCTION("""COMPUTED_VALUE"""),0.008426087962962963)</f>
        <v>0.008426087963</v>
      </c>
      <c r="R1304" s="4">
        <f>IFERROR(__xludf.DUMMYFUNCTION("""COMPUTED_VALUE"""),45949.0421304374)</f>
        <v>45949.04213</v>
      </c>
      <c r="S1304" s="1" t="b">
        <f>IFERROR(__xludf.DUMMYFUNCTION("""COMPUTED_VALUE"""),TRUE)</f>
        <v>1</v>
      </c>
      <c r="T1304" s="1" t="b">
        <f>IFERROR(__xludf.DUMMYFUNCTION("""COMPUTED_VALUE"""),FALSE)</f>
        <v>0</v>
      </c>
      <c r="U1304" s="1" t="str">
        <f>IFERROR(__xludf.DUMMYFUNCTION("""COMPUTED_VALUE"""),"VALID")</f>
        <v>VALID</v>
      </c>
      <c r="V1304" s="1">
        <f>IFERROR(__xludf.DUMMYFUNCTION("""COMPUTED_VALUE"""),358.0)</f>
        <v>358</v>
      </c>
      <c r="W1304" s="1">
        <f>IFERROR(__xludf.DUMMYFUNCTION("""COMPUTED_VALUE"""),1333.0)</f>
        <v>1333</v>
      </c>
      <c r="X1304" s="1">
        <f>IFERROR(__xludf.DUMMYFUNCTION("""COMPUTED_VALUE"""),436.0)</f>
        <v>436</v>
      </c>
      <c r="Y1304" s="2"/>
      <c r="Z1304" s="2"/>
    </row>
    <row r="1305">
      <c r="A1305" s="1">
        <f>IFERROR(__xludf.DUMMYFUNCTION("""COMPUTED_VALUE"""),1304.0)</f>
        <v>1304</v>
      </c>
      <c r="B1305" s="1">
        <f>IFERROR(__xludf.DUMMYFUNCTION("""COMPUTED_VALUE"""),5606.0)</f>
        <v>5606</v>
      </c>
      <c r="C1305" s="2" t="str">
        <f>IFERROR(__xludf.DUMMYFUNCTION("""COMPUTED_VALUE"""),"cici lyna")</f>
        <v>cici lyna</v>
      </c>
      <c r="D1305" s="2" t="str">
        <f>IFERROR(__xludf.DUMMYFUNCTION("""COMPUTED_VALUE"""),"5KM OVERALL F")</f>
        <v>5KM OVERALL F</v>
      </c>
      <c r="E1305" s="1">
        <f>IFERROR(__xludf.DUMMYFUNCTION("""COMPUTED_VALUE"""),2.0)</f>
        <v>2</v>
      </c>
      <c r="F1305" s="1" t="str">
        <f>IFERROR(__xludf.DUMMYFUNCTION("""COMPUTED_VALUE"""),"Female")</f>
        <v>Female</v>
      </c>
      <c r="G1305" s="4" t="b">
        <f>IFERROR(__xludf.DUMMYFUNCTION("""COMPUTED_VALUE"""),TRUE)</f>
        <v>1</v>
      </c>
      <c r="H1305" s="4" t="b">
        <f>IFERROR(__xludf.DUMMYFUNCTION("""COMPUTED_VALUE"""),TRUE)</f>
        <v>1</v>
      </c>
      <c r="I1305" s="4">
        <f>IFERROR(__xludf.DUMMYFUNCTION("""COMPUTED_VALUE"""),0.2549440625)</f>
        <v>0.2549440625</v>
      </c>
      <c r="J1305" s="4">
        <f>IFERROR(__xludf.DUMMYFUNCTION("""COMPUTED_VALUE"""),45949.271752375826)</f>
        <v>45949.27175</v>
      </c>
      <c r="K1305" s="4" t="str">
        <f>IFERROR(__xludf.DUMMYFUNCTION("""COMPUTED_VALUE"""),"")</f>
        <v/>
      </c>
      <c r="L1305" s="4">
        <f>IFERROR(__xludf.DUMMYFUNCTION("""COMPUTED_VALUE"""),45949.28535225958)</f>
        <v>45949.28535</v>
      </c>
      <c r="M1305" s="1" t="str">
        <f>IFERROR(__xludf.DUMMYFUNCTION("""COMPUTED_VALUE"""),"RFID")</f>
        <v>RFID</v>
      </c>
      <c r="N1305" s="5">
        <f>IFERROR(__xludf.DUMMYFUNCTION("""COMPUTED_VALUE"""),0.006723324074074074)</f>
        <v>0.006723324074</v>
      </c>
      <c r="O1305" s="5" t="str">
        <f>IFERROR(__xludf.DUMMYFUNCTION("""COMPUTED_VALUE"""),"")</f>
        <v/>
      </c>
      <c r="P1305" s="5" t="str">
        <f>IFERROR(__xludf.DUMMYFUNCTION("""COMPUTED_VALUE"""),"")</f>
        <v/>
      </c>
      <c r="Q1305" s="5">
        <f>IFERROR(__xludf.DUMMYFUNCTION("""COMPUTED_VALUE"""),0.006081638888888889)</f>
        <v>0.006081638889</v>
      </c>
      <c r="R1305" s="4">
        <f>IFERROR(__xludf.DUMMYFUNCTION("""COMPUTED_VALUE"""),45949.03040819708)</f>
        <v>45949.03041</v>
      </c>
      <c r="S1305" s="1" t="b">
        <f>IFERROR(__xludf.DUMMYFUNCTION("""COMPUTED_VALUE"""),TRUE)</f>
        <v>1</v>
      </c>
      <c r="T1305" s="1" t="b">
        <f>IFERROR(__xludf.DUMMYFUNCTION("""COMPUTED_VALUE"""),FALSE)</f>
        <v>0</v>
      </c>
      <c r="U1305" s="1" t="str">
        <f>IFERROR(__xludf.DUMMYFUNCTION("""COMPUTED_VALUE"""),"VALID")</f>
        <v>VALID</v>
      </c>
      <c r="V1305" s="1">
        <f>IFERROR(__xludf.DUMMYFUNCTION("""COMPUTED_VALUE"""),78.0)</f>
        <v>78</v>
      </c>
      <c r="W1305" s="1">
        <f>IFERROR(__xludf.DUMMYFUNCTION("""COMPUTED_VALUE"""),594.0)</f>
        <v>594</v>
      </c>
      <c r="X1305" s="1">
        <f>IFERROR(__xludf.DUMMYFUNCTION("""COMPUTED_VALUE"""),101.0)</f>
        <v>101</v>
      </c>
      <c r="Y1305" s="2"/>
      <c r="Z1305" s="2"/>
    </row>
    <row r="1306">
      <c r="A1306" s="1">
        <f>IFERROR(__xludf.DUMMYFUNCTION("""COMPUTED_VALUE"""),1305.0)</f>
        <v>1305</v>
      </c>
      <c r="B1306" s="1">
        <f>IFERROR(__xludf.DUMMYFUNCTION("""COMPUTED_VALUE"""),5610.0)</f>
        <v>5610</v>
      </c>
      <c r="C1306" s="2" t="str">
        <f>IFERROR(__xludf.DUMMYFUNCTION("""COMPUTED_VALUE"""),"Rissa")</f>
        <v>Rissa</v>
      </c>
      <c r="D1306" s="2" t="str">
        <f>IFERROR(__xludf.DUMMYFUNCTION("""COMPUTED_VALUE"""),"5KM OVERALL F")</f>
        <v>5KM OVERALL F</v>
      </c>
      <c r="E1306" s="1">
        <f>IFERROR(__xludf.DUMMYFUNCTION("""COMPUTED_VALUE"""),2.0)</f>
        <v>2</v>
      </c>
      <c r="F1306" s="1" t="str">
        <f>IFERROR(__xludf.DUMMYFUNCTION("""COMPUTED_VALUE"""),"Female")</f>
        <v>Female</v>
      </c>
      <c r="G1306" s="4" t="b">
        <f>IFERROR(__xludf.DUMMYFUNCTION("""COMPUTED_VALUE"""),TRUE)</f>
        <v>1</v>
      </c>
      <c r="H1306" s="4" t="b">
        <f>IFERROR(__xludf.DUMMYFUNCTION("""COMPUTED_VALUE"""),TRUE)</f>
        <v>1</v>
      </c>
      <c r="I1306" s="4">
        <f>IFERROR(__xludf.DUMMYFUNCTION("""COMPUTED_VALUE"""),0.2549440625)</f>
        <v>0.2549440625</v>
      </c>
      <c r="J1306" s="4">
        <f>IFERROR(__xludf.DUMMYFUNCTION("""COMPUTED_VALUE"""),45949.28239822247)</f>
        <v>45949.2824</v>
      </c>
      <c r="K1306" s="4" t="str">
        <f>IFERROR(__xludf.DUMMYFUNCTION("""COMPUTED_VALUE"""),"")</f>
        <v/>
      </c>
      <c r="L1306" s="4">
        <f>IFERROR(__xludf.DUMMYFUNCTION("""COMPUTED_VALUE"""),45949.30008490735)</f>
        <v>45949.30008</v>
      </c>
      <c r="M1306" s="1" t="str">
        <f>IFERROR(__xludf.DUMMYFUNCTION("""COMPUTED_VALUE"""),"RFID")</f>
        <v>RFID</v>
      </c>
      <c r="N1306" s="5">
        <f>IFERROR(__xludf.DUMMYFUNCTION("""COMPUTED_VALUE"""),0.010981662037037038)</f>
        <v>0.01098166204</v>
      </c>
      <c r="O1306" s="5" t="str">
        <f>IFERROR(__xludf.DUMMYFUNCTION("""COMPUTED_VALUE"""),"")</f>
        <v/>
      </c>
      <c r="P1306" s="5" t="str">
        <f>IFERROR(__xludf.DUMMYFUNCTION("""COMPUTED_VALUE"""),"")</f>
        <v/>
      </c>
      <c r="Q1306" s="5">
        <f>IFERROR(__xludf.DUMMYFUNCTION("""COMPUTED_VALUE"""),0.00902816898148148)</f>
        <v>0.009028168981</v>
      </c>
      <c r="R1306" s="4">
        <f>IFERROR(__xludf.DUMMYFUNCTION("""COMPUTED_VALUE"""),45949.04514084485)</f>
        <v>45949.04514</v>
      </c>
      <c r="S1306" s="1" t="b">
        <f>IFERROR(__xludf.DUMMYFUNCTION("""COMPUTED_VALUE"""),TRUE)</f>
        <v>1</v>
      </c>
      <c r="T1306" s="1" t="b">
        <f>IFERROR(__xludf.DUMMYFUNCTION("""COMPUTED_VALUE"""),FALSE)</f>
        <v>0</v>
      </c>
      <c r="U1306" s="1" t="str">
        <f>IFERROR(__xludf.DUMMYFUNCTION("""COMPUTED_VALUE"""),"VALID")</f>
        <v>VALID</v>
      </c>
      <c r="V1306" s="1">
        <f>IFERROR(__xludf.DUMMYFUNCTION("""COMPUTED_VALUE"""),421.0)</f>
        <v>421</v>
      </c>
      <c r="W1306" s="1">
        <f>IFERROR(__xludf.DUMMYFUNCTION("""COMPUTED_VALUE"""),1456.0)</f>
        <v>1456</v>
      </c>
      <c r="X1306" s="1">
        <f>IFERROR(__xludf.DUMMYFUNCTION("""COMPUTED_VALUE"""),516.0)</f>
        <v>516</v>
      </c>
      <c r="Y1306" s="2"/>
      <c r="Z1306" s="2"/>
    </row>
    <row r="1307">
      <c r="A1307" s="1">
        <f>IFERROR(__xludf.DUMMYFUNCTION("""COMPUTED_VALUE"""),1306.0)</f>
        <v>1306</v>
      </c>
      <c r="B1307" s="1">
        <f>IFERROR(__xludf.DUMMYFUNCTION("""COMPUTED_VALUE"""),5611.0)</f>
        <v>5611</v>
      </c>
      <c r="C1307" s="2" t="str">
        <f>IFERROR(__xludf.DUMMYFUNCTION("""COMPUTED_VALUE"""),"nisa")</f>
        <v>nisa</v>
      </c>
      <c r="D1307" s="2" t="str">
        <f>IFERROR(__xludf.DUMMYFUNCTION("""COMPUTED_VALUE"""),"5KM OVERALL F")</f>
        <v>5KM OVERALL F</v>
      </c>
      <c r="E1307" s="1">
        <f>IFERROR(__xludf.DUMMYFUNCTION("""COMPUTED_VALUE"""),2.0)</f>
        <v>2</v>
      </c>
      <c r="F1307" s="1" t="str">
        <f>IFERROR(__xludf.DUMMYFUNCTION("""COMPUTED_VALUE"""),"Female")</f>
        <v>Female</v>
      </c>
      <c r="G1307" s="4" t="b">
        <f>IFERROR(__xludf.DUMMYFUNCTION("""COMPUTED_VALUE"""),TRUE)</f>
        <v>1</v>
      </c>
      <c r="H1307" s="4" t="b">
        <f>IFERROR(__xludf.DUMMYFUNCTION("""COMPUTED_VALUE"""),TRUE)</f>
        <v>1</v>
      </c>
      <c r="I1307" s="4">
        <f>IFERROR(__xludf.DUMMYFUNCTION("""COMPUTED_VALUE"""),0.2549440625)</f>
        <v>0.2549440625</v>
      </c>
      <c r="J1307" s="4">
        <f>IFERROR(__xludf.DUMMYFUNCTION("""COMPUTED_VALUE"""),45949.27674546413)</f>
        <v>45949.27675</v>
      </c>
      <c r="K1307" s="4" t="str">
        <f>IFERROR(__xludf.DUMMYFUNCTION("""COMPUTED_VALUE"""),"")</f>
        <v/>
      </c>
      <c r="L1307" s="4">
        <f>IFERROR(__xludf.DUMMYFUNCTION("""COMPUTED_VALUE"""),45949.292744629136)</f>
        <v>45949.29274</v>
      </c>
      <c r="M1307" s="1" t="str">
        <f>IFERROR(__xludf.DUMMYFUNCTION("""COMPUTED_VALUE"""),"RFID")</f>
        <v>RFID</v>
      </c>
      <c r="N1307" s="5">
        <f>IFERROR(__xludf.DUMMYFUNCTION("""COMPUTED_VALUE"""),0.008720560185185185)</f>
        <v>0.008720560185</v>
      </c>
      <c r="O1307" s="5" t="str">
        <f>IFERROR(__xludf.DUMMYFUNCTION("""COMPUTED_VALUE"""),"")</f>
        <v/>
      </c>
      <c r="P1307" s="5" t="str">
        <f>IFERROR(__xludf.DUMMYFUNCTION("""COMPUTED_VALUE"""),"")</f>
        <v/>
      </c>
      <c r="Q1307" s="5">
        <f>IFERROR(__xludf.DUMMYFUNCTION("""COMPUTED_VALUE"""),0.007560113425925927)</f>
        <v>0.007560113426</v>
      </c>
      <c r="R1307" s="4">
        <f>IFERROR(__xludf.DUMMYFUNCTION("""COMPUTED_VALUE"""),45949.037800566635)</f>
        <v>45949.0378</v>
      </c>
      <c r="S1307" s="1" t="b">
        <f>IFERROR(__xludf.DUMMYFUNCTION("""COMPUTED_VALUE"""),TRUE)</f>
        <v>1</v>
      </c>
      <c r="T1307" s="1" t="b">
        <f>IFERROR(__xludf.DUMMYFUNCTION("""COMPUTED_VALUE"""),FALSE)</f>
        <v>0</v>
      </c>
      <c r="U1307" s="1" t="str">
        <f>IFERROR(__xludf.DUMMYFUNCTION("""COMPUTED_VALUE"""),"VALID")</f>
        <v>VALID</v>
      </c>
      <c r="V1307" s="1">
        <f>IFERROR(__xludf.DUMMYFUNCTION("""COMPUTED_VALUE"""),247.0)</f>
        <v>247</v>
      </c>
      <c r="W1307" s="1">
        <f>IFERROR(__xludf.DUMMYFUNCTION("""COMPUTED_VALUE"""),1089.0)</f>
        <v>1089</v>
      </c>
      <c r="X1307" s="1">
        <f>IFERROR(__xludf.DUMMYFUNCTION("""COMPUTED_VALUE"""),304.0)</f>
        <v>304</v>
      </c>
      <c r="Y1307" s="2"/>
      <c r="Z1307" s="2"/>
    </row>
    <row r="1308">
      <c r="A1308" s="1">
        <f>IFERROR(__xludf.DUMMYFUNCTION("""COMPUTED_VALUE"""),1307.0)</f>
        <v>1307</v>
      </c>
      <c r="B1308" s="1">
        <f>IFERROR(__xludf.DUMMYFUNCTION("""COMPUTED_VALUE"""),5612.0)</f>
        <v>5612</v>
      </c>
      <c r="C1308" s="2" t="str">
        <f>IFERROR(__xludf.DUMMYFUNCTION("""COMPUTED_VALUE"""),"Rahimah")</f>
        <v>Rahimah</v>
      </c>
      <c r="D1308" s="2" t="str">
        <f>IFERROR(__xludf.DUMMYFUNCTION("""COMPUTED_VALUE"""),"5KM OVERALL F")</f>
        <v>5KM OVERALL F</v>
      </c>
      <c r="E1308" s="1">
        <f>IFERROR(__xludf.DUMMYFUNCTION("""COMPUTED_VALUE"""),2.0)</f>
        <v>2</v>
      </c>
      <c r="F1308" s="1" t="str">
        <f>IFERROR(__xludf.DUMMYFUNCTION("""COMPUTED_VALUE"""),"Female")</f>
        <v>Female</v>
      </c>
      <c r="G1308" s="4" t="b">
        <f>IFERROR(__xludf.DUMMYFUNCTION("""COMPUTED_VALUE"""),TRUE)</f>
        <v>1</v>
      </c>
      <c r="H1308" s="4" t="b">
        <f>IFERROR(__xludf.DUMMYFUNCTION("""COMPUTED_VALUE"""),FALSE)</f>
        <v>0</v>
      </c>
      <c r="I1308" s="4">
        <f>IFERROR(__xludf.DUMMYFUNCTION("""COMPUTED_VALUE"""),0.2549440625)</f>
        <v>0.2549440625</v>
      </c>
      <c r="J1308" s="4">
        <f>IFERROR(__xludf.DUMMYFUNCTION("""COMPUTED_VALUE"""),45949.27388779588)</f>
        <v>45949.27389</v>
      </c>
      <c r="K1308" s="4" t="str">
        <f>IFERROR(__xludf.DUMMYFUNCTION("""COMPUTED_VALUE"""),"")</f>
        <v/>
      </c>
      <c r="L1308" s="4">
        <f>IFERROR(__xludf.DUMMYFUNCTION("""COMPUTED_VALUE"""),45949.28829671863)</f>
        <v>45949.2883</v>
      </c>
      <c r="M1308" s="1" t="str">
        <f>IFERROR(__xludf.DUMMYFUNCTION("""COMPUTED_VALUE"""),"RFID")</f>
        <v>RFID</v>
      </c>
      <c r="N1308" s="5">
        <f>IFERROR(__xludf.DUMMYFUNCTION("""COMPUTED_VALUE"""),0.00757749537037037)</f>
        <v>0.00757749537</v>
      </c>
      <c r="O1308" s="5" t="str">
        <f>IFERROR(__xludf.DUMMYFUNCTION("""COMPUTED_VALUE"""),"")</f>
        <v/>
      </c>
      <c r="P1308" s="5" t="str">
        <f>IFERROR(__xludf.DUMMYFUNCTION("""COMPUTED_VALUE"""),"")</f>
        <v/>
      </c>
      <c r="Q1308" s="5">
        <f>IFERROR(__xludf.DUMMYFUNCTION("""COMPUTED_VALUE"""),0.0066705300925925925)</f>
        <v>0.006670530093</v>
      </c>
      <c r="R1308" s="4">
        <f>IFERROR(__xludf.DUMMYFUNCTION("""COMPUTED_VALUE"""),45949.03335265613)</f>
        <v>45949.03335</v>
      </c>
      <c r="S1308" s="1" t="b">
        <f>IFERROR(__xludf.DUMMYFUNCTION("""COMPUTED_VALUE"""),TRUE)</f>
        <v>1</v>
      </c>
      <c r="T1308" s="1" t="b">
        <f>IFERROR(__xludf.DUMMYFUNCTION("""COMPUTED_VALUE"""),FALSE)</f>
        <v>0</v>
      </c>
      <c r="U1308" s="1" t="str">
        <f>IFERROR(__xludf.DUMMYFUNCTION("""COMPUTED_VALUE"""),"VALID")</f>
        <v>VALID</v>
      </c>
      <c r="V1308" s="1">
        <f>IFERROR(__xludf.DUMMYFUNCTION("""COMPUTED_VALUE"""),133.0)</f>
        <v>133</v>
      </c>
      <c r="W1308" s="1">
        <f>IFERROR(__xludf.DUMMYFUNCTION("""COMPUTED_VALUE"""),797.0)</f>
        <v>797</v>
      </c>
      <c r="X1308" s="1">
        <f>IFERROR(__xludf.DUMMYFUNCTION("""COMPUTED_VALUE"""),167.0)</f>
        <v>167</v>
      </c>
      <c r="Y1308" s="2"/>
      <c r="Z1308" s="2"/>
    </row>
    <row r="1309">
      <c r="A1309" s="1">
        <f>IFERROR(__xludf.DUMMYFUNCTION("""COMPUTED_VALUE"""),1308.0)</f>
        <v>1308</v>
      </c>
      <c r="B1309" s="1">
        <f>IFERROR(__xludf.DUMMYFUNCTION("""COMPUTED_VALUE"""),5615.0)</f>
        <v>5615</v>
      </c>
      <c r="C1309" s="2" t="str">
        <f>IFERROR(__xludf.DUMMYFUNCTION("""COMPUTED_VALUE"""),"ANSIA TIARA")</f>
        <v>ANSIA TIARA</v>
      </c>
      <c r="D1309" s="2" t="str">
        <f>IFERROR(__xludf.DUMMYFUNCTION("""COMPUTED_VALUE"""),"5KM OVERALL F")</f>
        <v>5KM OVERALL F</v>
      </c>
      <c r="E1309" s="1">
        <f>IFERROR(__xludf.DUMMYFUNCTION("""COMPUTED_VALUE"""),2.0)</f>
        <v>2</v>
      </c>
      <c r="F1309" s="1" t="str">
        <f>IFERROR(__xludf.DUMMYFUNCTION("""COMPUTED_VALUE"""),"Female")</f>
        <v>Female</v>
      </c>
      <c r="G1309" s="4" t="b">
        <f>IFERROR(__xludf.DUMMYFUNCTION("""COMPUTED_VALUE"""),TRUE)</f>
        <v>1</v>
      </c>
      <c r="H1309" s="4" t="b">
        <f>IFERROR(__xludf.DUMMYFUNCTION("""COMPUTED_VALUE"""),FALSE)</f>
        <v>0</v>
      </c>
      <c r="I1309" s="4">
        <f>IFERROR(__xludf.DUMMYFUNCTION("""COMPUTED_VALUE"""),0.2549440625)</f>
        <v>0.2549440625</v>
      </c>
      <c r="J1309" s="4">
        <f>IFERROR(__xludf.DUMMYFUNCTION("""COMPUTED_VALUE"""),45949.280172521554)</f>
        <v>45949.28017</v>
      </c>
      <c r="K1309" s="4" t="str">
        <f>IFERROR(__xludf.DUMMYFUNCTION("""COMPUTED_VALUE"""),"")</f>
        <v/>
      </c>
      <c r="L1309" s="4">
        <f>IFERROR(__xludf.DUMMYFUNCTION("""COMPUTED_VALUE"""),45949.29853977001)</f>
        <v>45949.29854</v>
      </c>
      <c r="M1309" s="1" t="str">
        <f>IFERROR(__xludf.DUMMYFUNCTION("""COMPUTED_VALUE"""),"RFID")</f>
        <v>RFID</v>
      </c>
      <c r="N1309" s="5">
        <f>IFERROR(__xludf.DUMMYFUNCTION("""COMPUTED_VALUE"""),0.010091384259259258)</f>
        <v>0.01009138426</v>
      </c>
      <c r="O1309" s="5" t="str">
        <f>IFERROR(__xludf.DUMMYFUNCTION("""COMPUTED_VALUE"""),"")</f>
        <v/>
      </c>
      <c r="P1309" s="5" t="str">
        <f>IFERROR(__xludf.DUMMYFUNCTION("""COMPUTED_VALUE"""),"")</f>
        <v/>
      </c>
      <c r="Q1309" s="5">
        <f>IFERROR(__xludf.DUMMYFUNCTION("""COMPUTED_VALUE"""),0.008719141203703703)</f>
        <v>0.008719141204</v>
      </c>
      <c r="R1309" s="4">
        <f>IFERROR(__xludf.DUMMYFUNCTION("""COMPUTED_VALUE"""),45949.04359570751)</f>
        <v>45949.0436</v>
      </c>
      <c r="S1309" s="1" t="b">
        <f>IFERROR(__xludf.DUMMYFUNCTION("""COMPUTED_VALUE"""),TRUE)</f>
        <v>1</v>
      </c>
      <c r="T1309" s="1" t="b">
        <f>IFERROR(__xludf.DUMMYFUNCTION("""COMPUTED_VALUE"""),FALSE)</f>
        <v>0</v>
      </c>
      <c r="U1309" s="1" t="str">
        <f>IFERROR(__xludf.DUMMYFUNCTION("""COMPUTED_VALUE"""),"VALID")</f>
        <v>VALID</v>
      </c>
      <c r="V1309" s="1">
        <f>IFERROR(__xludf.DUMMYFUNCTION("""COMPUTED_VALUE"""),387.0)</f>
        <v>387</v>
      </c>
      <c r="W1309" s="1">
        <f>IFERROR(__xludf.DUMMYFUNCTION("""COMPUTED_VALUE"""),1381.0)</f>
        <v>1381</v>
      </c>
      <c r="X1309" s="1">
        <f>IFERROR(__xludf.DUMMYFUNCTION("""COMPUTED_VALUE"""),469.0)</f>
        <v>469</v>
      </c>
      <c r="Y1309" s="2"/>
      <c r="Z1309" s="2"/>
    </row>
    <row r="1310">
      <c r="A1310" s="1">
        <f>IFERROR(__xludf.DUMMYFUNCTION("""COMPUTED_VALUE"""),1309.0)</f>
        <v>1309</v>
      </c>
      <c r="B1310" s="1">
        <f>IFERROR(__xludf.DUMMYFUNCTION("""COMPUTED_VALUE"""),5623.0)</f>
        <v>5623</v>
      </c>
      <c r="C1310" s="2" t="str">
        <f>IFERROR(__xludf.DUMMYFUNCTION("""COMPUTED_VALUE"""),"Elvira Zahra Fonna")</f>
        <v>Elvira Zahra Fonna</v>
      </c>
      <c r="D1310" s="2" t="str">
        <f>IFERROR(__xludf.DUMMYFUNCTION("""COMPUTED_VALUE"""),"5KM OVERALL F")</f>
        <v>5KM OVERALL F</v>
      </c>
      <c r="E1310" s="1">
        <f>IFERROR(__xludf.DUMMYFUNCTION("""COMPUTED_VALUE"""),2.0)</f>
        <v>2</v>
      </c>
      <c r="F1310" s="1" t="str">
        <f>IFERROR(__xludf.DUMMYFUNCTION("""COMPUTED_VALUE"""),"Female")</f>
        <v>Female</v>
      </c>
      <c r="G1310" s="4" t="b">
        <f>IFERROR(__xludf.DUMMYFUNCTION("""COMPUTED_VALUE"""),TRUE)</f>
        <v>1</v>
      </c>
      <c r="H1310" s="4" t="b">
        <f>IFERROR(__xludf.DUMMYFUNCTION("""COMPUTED_VALUE"""),TRUE)</f>
        <v>1</v>
      </c>
      <c r="I1310" s="4">
        <f>IFERROR(__xludf.DUMMYFUNCTION("""COMPUTED_VALUE"""),0.2549440625)</f>
        <v>0.2549440625</v>
      </c>
      <c r="J1310" s="4">
        <f>IFERROR(__xludf.DUMMYFUNCTION("""COMPUTED_VALUE"""),45949.28057183643)</f>
        <v>45949.28057</v>
      </c>
      <c r="K1310" s="4" t="str">
        <f>IFERROR(__xludf.DUMMYFUNCTION("""COMPUTED_VALUE"""),"")</f>
        <v/>
      </c>
      <c r="L1310" s="4">
        <f>IFERROR(__xludf.DUMMYFUNCTION("""COMPUTED_VALUE"""),45949.30053686453)</f>
        <v>45949.30054</v>
      </c>
      <c r="M1310" s="1" t="str">
        <f>IFERROR(__xludf.DUMMYFUNCTION("""COMPUTED_VALUE"""),"RFID")</f>
        <v>RFID</v>
      </c>
      <c r="N1310" s="5">
        <f>IFERROR(__xludf.DUMMYFUNCTION("""COMPUTED_VALUE"""),0.01025111111111111)</f>
        <v>0.01025111111</v>
      </c>
      <c r="O1310" s="5" t="str">
        <f>IFERROR(__xludf.DUMMYFUNCTION("""COMPUTED_VALUE"""),"")</f>
        <v/>
      </c>
      <c r="P1310" s="5" t="str">
        <f>IFERROR(__xludf.DUMMYFUNCTION("""COMPUTED_VALUE"""),"")</f>
        <v/>
      </c>
      <c r="Q1310" s="5">
        <f>IFERROR(__xludf.DUMMYFUNCTION("""COMPUTED_VALUE"""),0.009118560185185184)</f>
        <v>0.009118560185</v>
      </c>
      <c r="R1310" s="4">
        <f>IFERROR(__xludf.DUMMYFUNCTION("""COMPUTED_VALUE"""),45949.04559280203)</f>
        <v>45949.04559</v>
      </c>
      <c r="S1310" s="1" t="b">
        <f>IFERROR(__xludf.DUMMYFUNCTION("""COMPUTED_VALUE"""),TRUE)</f>
        <v>1</v>
      </c>
      <c r="T1310" s="1" t="b">
        <f>IFERROR(__xludf.DUMMYFUNCTION("""COMPUTED_VALUE"""),FALSE)</f>
        <v>0</v>
      </c>
      <c r="U1310" s="1" t="str">
        <f>IFERROR(__xludf.DUMMYFUNCTION("""COMPUTED_VALUE"""),"VALID")</f>
        <v>VALID</v>
      </c>
      <c r="V1310" s="1">
        <f>IFERROR(__xludf.DUMMYFUNCTION("""COMPUTED_VALUE"""),430.0)</f>
        <v>430</v>
      </c>
      <c r="W1310" s="1">
        <f>IFERROR(__xludf.DUMMYFUNCTION("""COMPUTED_VALUE"""),1470.0)</f>
        <v>1470</v>
      </c>
      <c r="X1310" s="1">
        <f>IFERROR(__xludf.DUMMYFUNCTION("""COMPUTED_VALUE"""),525.0)</f>
        <v>525</v>
      </c>
      <c r="Y1310" s="2"/>
      <c r="Z1310" s="2"/>
    </row>
    <row r="1311">
      <c r="A1311" s="1">
        <f>IFERROR(__xludf.DUMMYFUNCTION("""COMPUTED_VALUE"""),1310.0)</f>
        <v>1310</v>
      </c>
      <c r="B1311" s="1">
        <f>IFERROR(__xludf.DUMMYFUNCTION("""COMPUTED_VALUE"""),5628.0)</f>
        <v>5628</v>
      </c>
      <c r="C1311" s="2" t="str">
        <f>IFERROR(__xludf.DUMMYFUNCTION("""COMPUTED_VALUE"""),"ILA")</f>
        <v>ILA</v>
      </c>
      <c r="D1311" s="2" t="str">
        <f>IFERROR(__xludf.DUMMYFUNCTION("""COMPUTED_VALUE"""),"5KM OVERALL F")</f>
        <v>5KM OVERALL F</v>
      </c>
      <c r="E1311" s="1">
        <f>IFERROR(__xludf.DUMMYFUNCTION("""COMPUTED_VALUE"""),2.0)</f>
        <v>2</v>
      </c>
      <c r="F1311" s="1" t="str">
        <f>IFERROR(__xludf.DUMMYFUNCTION("""COMPUTED_VALUE"""),"Female")</f>
        <v>Female</v>
      </c>
      <c r="G1311" s="4" t="b">
        <f>IFERROR(__xludf.DUMMYFUNCTION("""COMPUTED_VALUE"""),TRUE)</f>
        <v>1</v>
      </c>
      <c r="H1311" s="4" t="b">
        <f>IFERROR(__xludf.DUMMYFUNCTION("""COMPUTED_VALUE"""),TRUE)</f>
        <v>1</v>
      </c>
      <c r="I1311" s="4">
        <f>IFERROR(__xludf.DUMMYFUNCTION("""COMPUTED_VALUE"""),0.2549440625)</f>
        <v>0.2549440625</v>
      </c>
      <c r="J1311" s="4">
        <f>IFERROR(__xludf.DUMMYFUNCTION("""COMPUTED_VALUE"""),45949.279881021524)</f>
        <v>45949.27988</v>
      </c>
      <c r="K1311" s="4" t="str">
        <f>IFERROR(__xludf.DUMMYFUNCTION("""COMPUTED_VALUE"""),"")</f>
        <v/>
      </c>
      <c r="L1311" s="4">
        <f>IFERROR(__xludf.DUMMYFUNCTION("""COMPUTED_VALUE"""),45949.29658837647)</f>
        <v>45949.29659</v>
      </c>
      <c r="M1311" s="1" t="str">
        <f>IFERROR(__xludf.DUMMYFUNCTION("""COMPUTED_VALUE"""),"RFID")</f>
        <v>RFID</v>
      </c>
      <c r="N1311" s="5">
        <f>IFERROR(__xludf.DUMMYFUNCTION("""COMPUTED_VALUE"""),0.009974782407407406)</f>
        <v>0.009974782407</v>
      </c>
      <c r="O1311" s="5" t="str">
        <f>IFERROR(__xludf.DUMMYFUNCTION("""COMPUTED_VALUE"""),"")</f>
        <v/>
      </c>
      <c r="P1311" s="5" t="str">
        <f>IFERROR(__xludf.DUMMYFUNCTION("""COMPUTED_VALUE"""),"")</f>
        <v/>
      </c>
      <c r="Q1311" s="5">
        <f>IFERROR(__xludf.DUMMYFUNCTION("""COMPUTED_VALUE"""),0.008328863425925925)</f>
        <v>0.008328863426</v>
      </c>
      <c r="R1311" s="4">
        <f>IFERROR(__xludf.DUMMYFUNCTION("""COMPUTED_VALUE"""),45949.04164431397)</f>
        <v>45949.04164</v>
      </c>
      <c r="S1311" s="1" t="b">
        <f>IFERROR(__xludf.DUMMYFUNCTION("""COMPUTED_VALUE"""),TRUE)</f>
        <v>1</v>
      </c>
      <c r="T1311" s="1" t="b">
        <f>IFERROR(__xludf.DUMMYFUNCTION("""COMPUTED_VALUE"""),FALSE)</f>
        <v>0</v>
      </c>
      <c r="U1311" s="1" t="str">
        <f>IFERROR(__xludf.DUMMYFUNCTION("""COMPUTED_VALUE"""),"VALID")</f>
        <v>VALID</v>
      </c>
      <c r="V1311" s="1">
        <f>IFERROR(__xludf.DUMMYFUNCTION("""COMPUTED_VALUE"""),352.0)</f>
        <v>352</v>
      </c>
      <c r="W1311" s="1">
        <f>IFERROR(__xludf.DUMMYFUNCTION("""COMPUTED_VALUE"""),1319.0)</f>
        <v>1319</v>
      </c>
      <c r="X1311" s="1">
        <f>IFERROR(__xludf.DUMMYFUNCTION("""COMPUTED_VALUE"""),427.0)</f>
        <v>427</v>
      </c>
      <c r="Y1311" s="2"/>
      <c r="Z1311" s="2"/>
    </row>
    <row r="1312">
      <c r="A1312" s="1">
        <f>IFERROR(__xludf.DUMMYFUNCTION("""COMPUTED_VALUE"""),1311.0)</f>
        <v>1311</v>
      </c>
      <c r="B1312" s="1">
        <f>IFERROR(__xludf.DUMMYFUNCTION("""COMPUTED_VALUE"""),5629.0)</f>
        <v>5629</v>
      </c>
      <c r="C1312" s="2" t="str">
        <f>IFERROR(__xludf.DUMMYFUNCTION("""COMPUTED_VALUE"""),"Rahma")</f>
        <v>Rahma</v>
      </c>
      <c r="D1312" s="2" t="str">
        <f>IFERROR(__xludf.DUMMYFUNCTION("""COMPUTED_VALUE"""),"5KM OVERALL F")</f>
        <v>5KM OVERALL F</v>
      </c>
      <c r="E1312" s="1">
        <f>IFERROR(__xludf.DUMMYFUNCTION("""COMPUTED_VALUE"""),2.0)</f>
        <v>2</v>
      </c>
      <c r="F1312" s="1" t="str">
        <f>IFERROR(__xludf.DUMMYFUNCTION("""COMPUTED_VALUE"""),"Female")</f>
        <v>Female</v>
      </c>
      <c r="G1312" s="4" t="b">
        <f>IFERROR(__xludf.DUMMYFUNCTION("""COMPUTED_VALUE"""),TRUE)</f>
        <v>1</v>
      </c>
      <c r="H1312" s="4" t="b">
        <f>IFERROR(__xludf.DUMMYFUNCTION("""COMPUTED_VALUE"""),TRUE)</f>
        <v>1</v>
      </c>
      <c r="I1312" s="4">
        <f>IFERROR(__xludf.DUMMYFUNCTION("""COMPUTED_VALUE"""),0.2549440625)</f>
        <v>0.2549440625</v>
      </c>
      <c r="J1312" s="4">
        <f>IFERROR(__xludf.DUMMYFUNCTION("""COMPUTED_VALUE"""),45949.27082538443)</f>
        <v>45949.27083</v>
      </c>
      <c r="K1312" s="4" t="str">
        <f>IFERROR(__xludf.DUMMYFUNCTION("""COMPUTED_VALUE"""),"")</f>
        <v/>
      </c>
      <c r="L1312" s="4">
        <f>IFERROR(__xludf.DUMMYFUNCTION("""COMPUTED_VALUE"""),45949.28417864834)</f>
        <v>45949.28418</v>
      </c>
      <c r="M1312" s="1" t="str">
        <f>IFERROR(__xludf.DUMMYFUNCTION("""COMPUTED_VALUE"""),"RFID")</f>
        <v>RFID</v>
      </c>
      <c r="N1312" s="5">
        <f>IFERROR(__xludf.DUMMYFUNCTION("""COMPUTED_VALUE"""),0.006352527777777778)</f>
        <v>0.006352527778</v>
      </c>
      <c r="O1312" s="5" t="str">
        <f>IFERROR(__xludf.DUMMYFUNCTION("""COMPUTED_VALUE"""),"")</f>
        <v/>
      </c>
      <c r="P1312" s="5" t="str">
        <f>IFERROR(__xludf.DUMMYFUNCTION("""COMPUTED_VALUE"""),"")</f>
        <v/>
      </c>
      <c r="Q1312" s="5">
        <f>IFERROR(__xludf.DUMMYFUNCTION("""COMPUTED_VALUE"""),0.005846916666666666)</f>
        <v>0.005846916667</v>
      </c>
      <c r="R1312" s="4">
        <f>IFERROR(__xludf.DUMMYFUNCTION("""COMPUTED_VALUE"""),45949.02923458584)</f>
        <v>45949.02923</v>
      </c>
      <c r="S1312" s="1" t="b">
        <f>IFERROR(__xludf.DUMMYFUNCTION("""COMPUTED_VALUE"""),TRUE)</f>
        <v>1</v>
      </c>
      <c r="T1312" s="1" t="b">
        <f>IFERROR(__xludf.DUMMYFUNCTION("""COMPUTED_VALUE"""),FALSE)</f>
        <v>0</v>
      </c>
      <c r="U1312" s="1" t="str">
        <f>IFERROR(__xludf.DUMMYFUNCTION("""COMPUTED_VALUE"""),"VALID")</f>
        <v>VALID</v>
      </c>
      <c r="V1312" s="1">
        <f>IFERROR(__xludf.DUMMYFUNCTION("""COMPUTED_VALUE"""),54.0)</f>
        <v>54</v>
      </c>
      <c r="W1312" s="1">
        <f>IFERROR(__xludf.DUMMYFUNCTION("""COMPUTED_VALUE"""),511.0)</f>
        <v>511</v>
      </c>
      <c r="X1312" s="1">
        <f>IFERROR(__xludf.DUMMYFUNCTION("""COMPUTED_VALUE"""),76.0)</f>
        <v>76</v>
      </c>
      <c r="Y1312" s="2"/>
      <c r="Z1312" s="2"/>
    </row>
    <row r="1313">
      <c r="A1313" s="1">
        <f>IFERROR(__xludf.DUMMYFUNCTION("""COMPUTED_VALUE"""),1312.0)</f>
        <v>1312</v>
      </c>
      <c r="B1313" s="1">
        <f>IFERROR(__xludf.DUMMYFUNCTION("""COMPUTED_VALUE"""),5630.0)</f>
        <v>5630</v>
      </c>
      <c r="C1313" s="2" t="str">
        <f>IFERROR(__xludf.DUMMYFUNCTION("""COMPUTED_VALUE"""),"ALFI SYAHRINA")</f>
        <v>ALFI SYAHRINA</v>
      </c>
      <c r="D1313" s="2" t="str">
        <f>IFERROR(__xludf.DUMMYFUNCTION("""COMPUTED_VALUE"""),"5KM OVERALL F")</f>
        <v>5KM OVERALL F</v>
      </c>
      <c r="E1313" s="1">
        <f>IFERROR(__xludf.DUMMYFUNCTION("""COMPUTED_VALUE"""),2.0)</f>
        <v>2</v>
      </c>
      <c r="F1313" s="1" t="str">
        <f>IFERROR(__xludf.DUMMYFUNCTION("""COMPUTED_VALUE"""),"Female")</f>
        <v>Female</v>
      </c>
      <c r="G1313" s="4" t="b">
        <f>IFERROR(__xludf.DUMMYFUNCTION("""COMPUTED_VALUE"""),TRUE)</f>
        <v>1</v>
      </c>
      <c r="H1313" s="4" t="b">
        <f>IFERROR(__xludf.DUMMYFUNCTION("""COMPUTED_VALUE"""),FALSE)</f>
        <v>0</v>
      </c>
      <c r="I1313" s="4">
        <f>IFERROR(__xludf.DUMMYFUNCTION("""COMPUTED_VALUE"""),0.2549440625)</f>
        <v>0.2549440625</v>
      </c>
      <c r="J1313" s="4">
        <f>IFERROR(__xludf.DUMMYFUNCTION("""COMPUTED_VALUE"""),45949.26862739471)</f>
        <v>45949.26863</v>
      </c>
      <c r="K1313" s="4" t="str">
        <f>IFERROR(__xludf.DUMMYFUNCTION("""COMPUTED_VALUE"""),"")</f>
        <v/>
      </c>
      <c r="L1313" s="4">
        <f>IFERROR(__xludf.DUMMYFUNCTION("""COMPUTED_VALUE"""),45949.28000503405)</f>
        <v>45949.28001</v>
      </c>
      <c r="M1313" s="1" t="str">
        <f>IFERROR(__xludf.DUMMYFUNCTION("""COMPUTED_VALUE"""),"RFID")</f>
        <v>RFID</v>
      </c>
      <c r="N1313" s="5">
        <f>IFERROR(__xludf.DUMMYFUNCTION("""COMPUTED_VALUE"""),0.0054733333333333335)</f>
        <v>0.005473333333</v>
      </c>
      <c r="O1313" s="5" t="str">
        <f>IFERROR(__xludf.DUMMYFUNCTION("""COMPUTED_VALUE"""),"")</f>
        <v/>
      </c>
      <c r="P1313" s="5" t="str">
        <f>IFERROR(__xludf.DUMMYFUNCTION("""COMPUTED_VALUE"""),"")</f>
        <v/>
      </c>
      <c r="Q1313" s="5">
        <f>IFERROR(__xludf.DUMMYFUNCTION("""COMPUTED_VALUE"""),0.005012194444444445)</f>
        <v>0.005012194444</v>
      </c>
      <c r="R1313" s="4">
        <f>IFERROR(__xludf.DUMMYFUNCTION("""COMPUTED_VALUE"""),45949.02506097155)</f>
        <v>45949.02506</v>
      </c>
      <c r="S1313" s="1" t="b">
        <f>IFERROR(__xludf.DUMMYFUNCTION("""COMPUTED_VALUE"""),TRUE)</f>
        <v>1</v>
      </c>
      <c r="T1313" s="1" t="b">
        <f>IFERROR(__xludf.DUMMYFUNCTION("""COMPUTED_VALUE"""),FALSE)</f>
        <v>0</v>
      </c>
      <c r="U1313" s="1" t="str">
        <f>IFERROR(__xludf.DUMMYFUNCTION("""COMPUTED_VALUE"""),"VALID")</f>
        <v>VALID</v>
      </c>
      <c r="V1313" s="1">
        <f>IFERROR(__xludf.DUMMYFUNCTION("""COMPUTED_VALUE"""),26.0)</f>
        <v>26</v>
      </c>
      <c r="W1313" s="1">
        <f>IFERROR(__xludf.DUMMYFUNCTION("""COMPUTED_VALUE"""),289.0)</f>
        <v>289</v>
      </c>
      <c r="X1313" s="1">
        <f>IFERROR(__xludf.DUMMYFUNCTION("""COMPUTED_VALUE"""),39.0)</f>
        <v>39</v>
      </c>
      <c r="Y1313" s="2"/>
      <c r="Z1313" s="2"/>
    </row>
    <row r="1314">
      <c r="A1314" s="1">
        <f>IFERROR(__xludf.DUMMYFUNCTION("""COMPUTED_VALUE"""),1313.0)</f>
        <v>1313</v>
      </c>
      <c r="B1314" s="1">
        <f>IFERROR(__xludf.DUMMYFUNCTION("""COMPUTED_VALUE"""),5632.0)</f>
        <v>5632</v>
      </c>
      <c r="C1314" s="2" t="str">
        <f>IFERROR(__xludf.DUMMYFUNCTION("""COMPUTED_VALUE"""),"Evy")</f>
        <v>Evy</v>
      </c>
      <c r="D1314" s="2" t="str">
        <f>IFERROR(__xludf.DUMMYFUNCTION("""COMPUTED_VALUE"""),"5KM OVERALL F")</f>
        <v>5KM OVERALL F</v>
      </c>
      <c r="E1314" s="1">
        <f>IFERROR(__xludf.DUMMYFUNCTION("""COMPUTED_VALUE"""),2.0)</f>
        <v>2</v>
      </c>
      <c r="F1314" s="1" t="str">
        <f>IFERROR(__xludf.DUMMYFUNCTION("""COMPUTED_VALUE"""),"Female")</f>
        <v>Female</v>
      </c>
      <c r="G1314" s="4" t="b">
        <f>IFERROR(__xludf.DUMMYFUNCTION("""COMPUTED_VALUE"""),TRUE)</f>
        <v>1</v>
      </c>
      <c r="H1314" s="4" t="b">
        <f>IFERROR(__xludf.DUMMYFUNCTION("""COMPUTED_VALUE"""),FALSE)</f>
        <v>0</v>
      </c>
      <c r="I1314" s="4">
        <f>IFERROR(__xludf.DUMMYFUNCTION("""COMPUTED_VALUE"""),0.2549440625)</f>
        <v>0.2549440625</v>
      </c>
      <c r="J1314" s="4">
        <f>IFERROR(__xludf.DUMMYFUNCTION("""COMPUTED_VALUE"""),45949.27772812803)</f>
        <v>45949.27773</v>
      </c>
      <c r="K1314" s="4" t="str">
        <f>IFERROR(__xludf.DUMMYFUNCTION("""COMPUTED_VALUE"""),"")</f>
        <v/>
      </c>
      <c r="L1314" s="4">
        <f>IFERROR(__xludf.DUMMYFUNCTION("""COMPUTED_VALUE"""),45949.292991140734)</f>
        <v>45949.29299</v>
      </c>
      <c r="M1314" s="1" t="str">
        <f>IFERROR(__xludf.DUMMYFUNCTION("""COMPUTED_VALUE"""),"RFID")</f>
        <v>RFID</v>
      </c>
      <c r="N1314" s="5">
        <f>IFERROR(__xludf.DUMMYFUNCTION("""COMPUTED_VALUE"""),0.009113624999999998)</f>
        <v>0.009113625</v>
      </c>
      <c r="O1314" s="5" t="str">
        <f>IFERROR(__xludf.DUMMYFUNCTION("""COMPUTED_VALUE"""),"")</f>
        <v/>
      </c>
      <c r="P1314" s="5" t="str">
        <f>IFERROR(__xludf.DUMMYFUNCTION("""COMPUTED_VALUE"""),"")</f>
        <v/>
      </c>
      <c r="Q1314" s="5">
        <f>IFERROR(__xludf.DUMMYFUNCTION("""COMPUTED_VALUE"""),0.007609416666666667)</f>
        <v>0.007609416667</v>
      </c>
      <c r="R1314" s="4">
        <f>IFERROR(__xludf.DUMMYFUNCTION("""COMPUTED_VALUE"""),45949.03804707823)</f>
        <v>45949.03805</v>
      </c>
      <c r="S1314" s="1" t="b">
        <f>IFERROR(__xludf.DUMMYFUNCTION("""COMPUTED_VALUE"""),TRUE)</f>
        <v>1</v>
      </c>
      <c r="T1314" s="1" t="b">
        <f>IFERROR(__xludf.DUMMYFUNCTION("""COMPUTED_VALUE"""),FALSE)</f>
        <v>0</v>
      </c>
      <c r="U1314" s="1" t="str">
        <f>IFERROR(__xludf.DUMMYFUNCTION("""COMPUTED_VALUE"""),"VALID")</f>
        <v>VALID</v>
      </c>
      <c r="V1314" s="1">
        <f>IFERROR(__xludf.DUMMYFUNCTION("""COMPUTED_VALUE"""),252.0)</f>
        <v>252</v>
      </c>
      <c r="W1314" s="1">
        <f>IFERROR(__xludf.DUMMYFUNCTION("""COMPUTED_VALUE"""),1104.0)</f>
        <v>1104</v>
      </c>
      <c r="X1314" s="1">
        <f>IFERROR(__xludf.DUMMYFUNCTION("""COMPUTED_VALUE"""),309.0)</f>
        <v>309</v>
      </c>
      <c r="Y1314" s="2"/>
      <c r="Z1314" s="2"/>
    </row>
    <row r="1315">
      <c r="A1315" s="1">
        <f>IFERROR(__xludf.DUMMYFUNCTION("""COMPUTED_VALUE"""),1314.0)</f>
        <v>1314</v>
      </c>
      <c r="B1315" s="1">
        <f>IFERROR(__xludf.DUMMYFUNCTION("""COMPUTED_VALUE"""),5634.0)</f>
        <v>5634</v>
      </c>
      <c r="C1315" s="2" t="str">
        <f>IFERROR(__xludf.DUMMYFUNCTION("""COMPUTED_VALUE"""),"R. Ananda")</f>
        <v>R. Ananda</v>
      </c>
      <c r="D1315" s="2" t="str">
        <f>IFERROR(__xludf.DUMMYFUNCTION("""COMPUTED_VALUE"""),"5KM OVERALL F")</f>
        <v>5KM OVERALL F</v>
      </c>
      <c r="E1315" s="1">
        <f>IFERROR(__xludf.DUMMYFUNCTION("""COMPUTED_VALUE"""),2.0)</f>
        <v>2</v>
      </c>
      <c r="F1315" s="1" t="str">
        <f>IFERROR(__xludf.DUMMYFUNCTION("""COMPUTED_VALUE"""),"Female")</f>
        <v>Female</v>
      </c>
      <c r="G1315" s="4" t="str">
        <f>IFERROR(__xludf.DUMMYFUNCTION("""COMPUTED_VALUE"""),"")</f>
        <v/>
      </c>
      <c r="H1315" s="4" t="b">
        <f>IFERROR(__xludf.DUMMYFUNCTION("""COMPUTED_VALUE"""),FALSE)</f>
        <v>0</v>
      </c>
      <c r="I1315" s="4">
        <f>IFERROR(__xludf.DUMMYFUNCTION("""COMPUTED_VALUE"""),0.2549440625)</f>
        <v>0.2549440625</v>
      </c>
      <c r="J1315" s="4" t="str">
        <f>IFERROR(__xludf.DUMMYFUNCTION("""COMPUTED_VALUE"""),"")</f>
        <v/>
      </c>
      <c r="K1315" s="4" t="str">
        <f>IFERROR(__xludf.DUMMYFUNCTION("""COMPUTED_VALUE"""),"")</f>
        <v/>
      </c>
      <c r="L1315" s="4" t="str">
        <f>IFERROR(__xludf.DUMMYFUNCTION("""COMPUTED_VALUE"""),"")</f>
        <v/>
      </c>
      <c r="M1315" s="1" t="str">
        <f>IFERROR(__xludf.DUMMYFUNCTION("""COMPUTED_VALUE"""),"RFID")</f>
        <v>RFID</v>
      </c>
      <c r="N1315" s="5" t="str">
        <f>IFERROR(__xludf.DUMMYFUNCTION("""COMPUTED_VALUE"""),"")</f>
        <v/>
      </c>
      <c r="O1315" s="5" t="str">
        <f>IFERROR(__xludf.DUMMYFUNCTION("""COMPUTED_VALUE"""),"")</f>
        <v/>
      </c>
      <c r="P1315" s="5" t="str">
        <f>IFERROR(__xludf.DUMMYFUNCTION("""COMPUTED_VALUE"""),"")</f>
        <v/>
      </c>
      <c r="Q1315" s="5" t="str">
        <f>IFERROR(__xludf.DUMMYFUNCTION("""COMPUTED_VALUE"""),"")</f>
        <v/>
      </c>
      <c r="R1315" s="4" t="str">
        <f>IFERROR(__xludf.DUMMYFUNCTION("""COMPUTED_VALUE"""),"")</f>
        <v/>
      </c>
      <c r="S1315" s="1" t="b">
        <f>IFERROR(__xludf.DUMMYFUNCTION("""COMPUTED_VALUE"""),FALSE)</f>
        <v>0</v>
      </c>
      <c r="T1315" s="1" t="b">
        <f>IFERROR(__xludf.DUMMYFUNCTION("""COMPUTED_VALUE"""),FALSE)</f>
        <v>0</v>
      </c>
      <c r="U1315" s="1" t="str">
        <f>IFERROR(__xludf.DUMMYFUNCTION("""COMPUTED_VALUE"""),"DSQ")</f>
        <v>DSQ</v>
      </c>
      <c r="V1315" s="1" t="str">
        <f>IFERROR(__xludf.DUMMYFUNCTION("""COMPUTED_VALUE"""),"DSQ")</f>
        <v>DSQ</v>
      </c>
      <c r="W1315" s="1" t="str">
        <f>IFERROR(__xludf.DUMMYFUNCTION("""COMPUTED_VALUE"""),"DSQ")</f>
        <v>DSQ</v>
      </c>
      <c r="X1315" s="1" t="str">
        <f>IFERROR(__xludf.DUMMYFUNCTION("""COMPUTED_VALUE"""),"DSQ")</f>
        <v>DSQ</v>
      </c>
      <c r="Y1315" s="2"/>
      <c r="Z1315" s="2" t="str">
        <f>IFERROR(__xludf.DUMMYFUNCTION("""COMPUTED_VALUE"""),"")</f>
        <v/>
      </c>
    </row>
    <row r="1316">
      <c r="A1316" s="1">
        <f>IFERROR(__xludf.DUMMYFUNCTION("""COMPUTED_VALUE"""),1315.0)</f>
        <v>1315</v>
      </c>
      <c r="B1316" s="1">
        <f>IFERROR(__xludf.DUMMYFUNCTION("""COMPUTED_VALUE"""),5637.0)</f>
        <v>5637</v>
      </c>
      <c r="C1316" s="2" t="str">
        <f>IFERROR(__xludf.DUMMYFUNCTION("""COMPUTED_VALUE"""),"Adistrinade")</f>
        <v>Adistrinade</v>
      </c>
      <c r="D1316" s="2" t="str">
        <f>IFERROR(__xludf.DUMMYFUNCTION("""COMPUTED_VALUE"""),"5KM OVERALL F")</f>
        <v>5KM OVERALL F</v>
      </c>
      <c r="E1316" s="1">
        <f>IFERROR(__xludf.DUMMYFUNCTION("""COMPUTED_VALUE"""),2.0)</f>
        <v>2</v>
      </c>
      <c r="F1316" s="1" t="str">
        <f>IFERROR(__xludf.DUMMYFUNCTION("""COMPUTED_VALUE"""),"Female")</f>
        <v>Female</v>
      </c>
      <c r="G1316" s="4" t="b">
        <f>IFERROR(__xludf.DUMMYFUNCTION("""COMPUTED_VALUE"""),TRUE)</f>
        <v>1</v>
      </c>
      <c r="H1316" s="4" t="b">
        <f>IFERROR(__xludf.DUMMYFUNCTION("""COMPUTED_VALUE"""),FALSE)</f>
        <v>0</v>
      </c>
      <c r="I1316" s="4">
        <f>IFERROR(__xludf.DUMMYFUNCTION("""COMPUTED_VALUE"""),0.2549440625)</f>
        <v>0.2549440625</v>
      </c>
      <c r="J1316" s="4">
        <f>IFERROR(__xludf.DUMMYFUNCTION("""COMPUTED_VALUE"""),45949.27655100713)</f>
        <v>45949.27655</v>
      </c>
      <c r="K1316" s="4" t="str">
        <f>IFERROR(__xludf.DUMMYFUNCTION("""COMPUTED_VALUE"""),"")</f>
        <v/>
      </c>
      <c r="L1316" s="4">
        <f>IFERROR(__xludf.DUMMYFUNCTION("""COMPUTED_VALUE"""),45949.29412303761)</f>
        <v>45949.29412</v>
      </c>
      <c r="M1316" s="1" t="str">
        <f>IFERROR(__xludf.DUMMYFUNCTION("""COMPUTED_VALUE"""),"RFID")</f>
        <v>RFID</v>
      </c>
      <c r="N1316" s="5">
        <f>IFERROR(__xludf.DUMMYFUNCTION("""COMPUTED_VALUE"""),0.008642777777777777)</f>
        <v>0.008642777778</v>
      </c>
      <c r="O1316" s="5" t="str">
        <f>IFERROR(__xludf.DUMMYFUNCTION("""COMPUTED_VALUE"""),"")</f>
        <v/>
      </c>
      <c r="P1316" s="5" t="str">
        <f>IFERROR(__xludf.DUMMYFUNCTION("""COMPUTED_VALUE"""),"")</f>
        <v/>
      </c>
      <c r="Q1316" s="5">
        <f>IFERROR(__xludf.DUMMYFUNCTION("""COMPUTED_VALUE"""),0.007835793981481482)</f>
        <v>0.007835793981</v>
      </c>
      <c r="R1316" s="4">
        <f>IFERROR(__xludf.DUMMYFUNCTION("""COMPUTED_VALUE"""),45949.03917897511)</f>
        <v>45949.03918</v>
      </c>
      <c r="S1316" s="1" t="b">
        <f>IFERROR(__xludf.DUMMYFUNCTION("""COMPUTED_VALUE"""),TRUE)</f>
        <v>1</v>
      </c>
      <c r="T1316" s="1" t="b">
        <f>IFERROR(__xludf.DUMMYFUNCTION("""COMPUTED_VALUE"""),FALSE)</f>
        <v>0</v>
      </c>
      <c r="U1316" s="1" t="str">
        <f>IFERROR(__xludf.DUMMYFUNCTION("""COMPUTED_VALUE"""),"VALID")</f>
        <v>VALID</v>
      </c>
      <c r="V1316" s="1">
        <f>IFERROR(__xludf.DUMMYFUNCTION("""COMPUTED_VALUE"""),291.0)</f>
        <v>291</v>
      </c>
      <c r="W1316" s="1">
        <f>IFERROR(__xludf.DUMMYFUNCTION("""COMPUTED_VALUE"""),1184.0)</f>
        <v>1184</v>
      </c>
      <c r="X1316" s="1">
        <f>IFERROR(__xludf.DUMMYFUNCTION("""COMPUTED_VALUE"""),351.0)</f>
        <v>351</v>
      </c>
      <c r="Y1316" s="2"/>
      <c r="Z1316" s="2"/>
    </row>
    <row r="1317">
      <c r="A1317" s="1">
        <f>IFERROR(__xludf.DUMMYFUNCTION("""COMPUTED_VALUE"""),1316.0)</f>
        <v>1316</v>
      </c>
      <c r="B1317" s="1">
        <f>IFERROR(__xludf.DUMMYFUNCTION("""COMPUTED_VALUE"""),5642.0)</f>
        <v>5642</v>
      </c>
      <c r="C1317" s="2" t="str">
        <f>IFERROR(__xludf.DUMMYFUNCTION("""COMPUTED_VALUE"""),"ANNIE")</f>
        <v>ANNIE</v>
      </c>
      <c r="D1317" s="2" t="str">
        <f>IFERROR(__xludf.DUMMYFUNCTION("""COMPUTED_VALUE"""),"5KM OVERALL F")</f>
        <v>5KM OVERALL F</v>
      </c>
      <c r="E1317" s="1">
        <f>IFERROR(__xludf.DUMMYFUNCTION("""COMPUTED_VALUE"""),2.0)</f>
        <v>2</v>
      </c>
      <c r="F1317" s="1" t="str">
        <f>IFERROR(__xludf.DUMMYFUNCTION("""COMPUTED_VALUE"""),"Female")</f>
        <v>Female</v>
      </c>
      <c r="G1317" s="4" t="b">
        <f>IFERROR(__xludf.DUMMYFUNCTION("""COMPUTED_VALUE"""),TRUE)</f>
        <v>1</v>
      </c>
      <c r="H1317" s="4" t="b">
        <f>IFERROR(__xludf.DUMMYFUNCTION("""COMPUTED_VALUE"""),FALSE)</f>
        <v>0</v>
      </c>
      <c r="I1317" s="4">
        <f>IFERROR(__xludf.DUMMYFUNCTION("""COMPUTED_VALUE"""),0.2549440625)</f>
        <v>0.2549440625</v>
      </c>
      <c r="J1317" s="4">
        <f>IFERROR(__xludf.DUMMYFUNCTION("""COMPUTED_VALUE"""),45949.27540516836)</f>
        <v>45949.27541</v>
      </c>
      <c r="K1317" s="4" t="str">
        <f>IFERROR(__xludf.DUMMYFUNCTION("""COMPUTED_VALUE"""),"")</f>
        <v/>
      </c>
      <c r="L1317" s="4">
        <f>IFERROR(__xludf.DUMMYFUNCTION("""COMPUTED_VALUE"""),45949.29080706391)</f>
        <v>45949.29081</v>
      </c>
      <c r="M1317" s="1" t="str">
        <f>IFERROR(__xludf.DUMMYFUNCTION("""COMPUTED_VALUE"""),"RFID")</f>
        <v>RFID</v>
      </c>
      <c r="N1317" s="5">
        <f>IFERROR(__xludf.DUMMYFUNCTION("""COMPUTED_VALUE"""),0.008184444444444444)</f>
        <v>0.008184444444</v>
      </c>
      <c r="O1317" s="5" t="str">
        <f>IFERROR(__xludf.DUMMYFUNCTION("""COMPUTED_VALUE"""),"")</f>
        <v/>
      </c>
      <c r="P1317" s="5" t="str">
        <f>IFERROR(__xludf.DUMMYFUNCTION("""COMPUTED_VALUE"""),"")</f>
        <v/>
      </c>
      <c r="Q1317" s="5">
        <f>IFERROR(__xludf.DUMMYFUNCTION("""COMPUTED_VALUE"""),0.007172599537037037)</f>
        <v>0.007172599537</v>
      </c>
      <c r="R1317" s="4">
        <f>IFERROR(__xludf.DUMMYFUNCTION("""COMPUTED_VALUE"""),45949.03586300141)</f>
        <v>45949.03586</v>
      </c>
      <c r="S1317" s="1" t="b">
        <f>IFERROR(__xludf.DUMMYFUNCTION("""COMPUTED_VALUE"""),TRUE)</f>
        <v>1</v>
      </c>
      <c r="T1317" s="1" t="b">
        <f>IFERROR(__xludf.DUMMYFUNCTION("""COMPUTED_VALUE"""),FALSE)</f>
        <v>0</v>
      </c>
      <c r="U1317" s="1" t="str">
        <f>IFERROR(__xludf.DUMMYFUNCTION("""COMPUTED_VALUE"""),"VALID")</f>
        <v>VALID</v>
      </c>
      <c r="V1317" s="1">
        <f>IFERROR(__xludf.DUMMYFUNCTION("""COMPUTED_VALUE"""),182.0)</f>
        <v>182</v>
      </c>
      <c r="W1317" s="1">
        <f>IFERROR(__xludf.DUMMYFUNCTION("""COMPUTED_VALUE"""),949.0)</f>
        <v>949</v>
      </c>
      <c r="X1317" s="1">
        <f>IFERROR(__xludf.DUMMYFUNCTION("""COMPUTED_VALUE"""),229.0)</f>
        <v>229</v>
      </c>
      <c r="Y1317" s="2"/>
      <c r="Z1317" s="2"/>
    </row>
    <row r="1318">
      <c r="A1318" s="1">
        <f>IFERROR(__xludf.DUMMYFUNCTION("""COMPUTED_VALUE"""),1317.0)</f>
        <v>1317</v>
      </c>
      <c r="B1318" s="1">
        <f>IFERROR(__xludf.DUMMYFUNCTION("""COMPUTED_VALUE"""),5643.0)</f>
        <v>5643</v>
      </c>
      <c r="C1318" s="2" t="str">
        <f>IFERROR(__xludf.DUMMYFUNCTION("""COMPUTED_VALUE"""),"BANG HOTANG")</f>
        <v>BANG HOTANG</v>
      </c>
      <c r="D1318" s="2" t="str">
        <f>IFERROR(__xludf.DUMMYFUNCTION("""COMPUTED_VALUE"""),"5KM OVERALL F")</f>
        <v>5KM OVERALL F</v>
      </c>
      <c r="E1318" s="1">
        <f>IFERROR(__xludf.DUMMYFUNCTION("""COMPUTED_VALUE"""),2.0)</f>
        <v>2</v>
      </c>
      <c r="F1318" s="1" t="str">
        <f>IFERROR(__xludf.DUMMYFUNCTION("""COMPUTED_VALUE"""),"Female")</f>
        <v>Female</v>
      </c>
      <c r="G1318" s="4" t="b">
        <f>IFERROR(__xludf.DUMMYFUNCTION("""COMPUTED_VALUE"""),TRUE)</f>
        <v>1</v>
      </c>
      <c r="H1318" s="4" t="b">
        <f>IFERROR(__xludf.DUMMYFUNCTION("""COMPUTED_VALUE"""),TRUE)</f>
        <v>1</v>
      </c>
      <c r="I1318" s="4">
        <f>IFERROR(__xludf.DUMMYFUNCTION("""COMPUTED_VALUE"""),0.2549440625)</f>
        <v>0.2549440625</v>
      </c>
      <c r="J1318" s="4">
        <f>IFERROR(__xludf.DUMMYFUNCTION("""COMPUTED_VALUE"""),45949.26822460405)</f>
        <v>45949.26822</v>
      </c>
      <c r="K1318" s="4" t="str">
        <f>IFERROR(__xludf.DUMMYFUNCTION("""COMPUTED_VALUE"""),"")</f>
        <v/>
      </c>
      <c r="L1318" s="4">
        <f>IFERROR(__xludf.DUMMYFUNCTION("""COMPUTED_VALUE"""),45949.28103628589)</f>
        <v>45949.28104</v>
      </c>
      <c r="M1318" s="1" t="str">
        <f>IFERROR(__xludf.DUMMYFUNCTION("""COMPUTED_VALUE"""),"RFID")</f>
        <v>RFID</v>
      </c>
      <c r="N1318" s="5">
        <f>IFERROR(__xludf.DUMMYFUNCTION("""COMPUTED_VALUE"""),0.005312217592592592)</f>
        <v>0.005312217593</v>
      </c>
      <c r="O1318" s="5" t="str">
        <f>IFERROR(__xludf.DUMMYFUNCTION("""COMPUTED_VALUE"""),"")</f>
        <v/>
      </c>
      <c r="P1318" s="5" t="str">
        <f>IFERROR(__xludf.DUMMYFUNCTION("""COMPUTED_VALUE"""),"")</f>
        <v/>
      </c>
      <c r="Q1318" s="5">
        <f>IFERROR(__xludf.DUMMYFUNCTION("""COMPUTED_VALUE"""),0.005218444444444444)</f>
        <v>0.005218444444</v>
      </c>
      <c r="R1318" s="4">
        <f>IFERROR(__xludf.DUMMYFUNCTION("""COMPUTED_VALUE"""),45949.02609222339)</f>
        <v>45949.02609</v>
      </c>
      <c r="S1318" s="1" t="b">
        <f>IFERROR(__xludf.DUMMYFUNCTION("""COMPUTED_VALUE"""),TRUE)</f>
        <v>1</v>
      </c>
      <c r="T1318" s="1" t="b">
        <f>IFERROR(__xludf.DUMMYFUNCTION("""COMPUTED_VALUE"""),FALSE)</f>
        <v>0</v>
      </c>
      <c r="U1318" s="1" t="str">
        <f>IFERROR(__xludf.DUMMYFUNCTION("""COMPUTED_VALUE"""),"VALID")</f>
        <v>VALID</v>
      </c>
      <c r="V1318" s="1">
        <f>IFERROR(__xludf.DUMMYFUNCTION("""COMPUTED_VALUE"""),30.0)</f>
        <v>30</v>
      </c>
      <c r="W1318" s="1">
        <f>IFERROR(__xludf.DUMMYFUNCTION("""COMPUTED_VALUE"""),338.0)</f>
        <v>338</v>
      </c>
      <c r="X1318" s="1">
        <f>IFERROR(__xludf.DUMMYFUNCTION("""COMPUTED_VALUE"""),45.0)</f>
        <v>45</v>
      </c>
      <c r="Y1318" s="2"/>
      <c r="Z1318" s="2"/>
    </row>
    <row r="1319">
      <c r="A1319" s="1">
        <f>IFERROR(__xludf.DUMMYFUNCTION("""COMPUTED_VALUE"""),1318.0)</f>
        <v>1318</v>
      </c>
      <c r="B1319" s="1">
        <f>IFERROR(__xludf.DUMMYFUNCTION("""COMPUTED_VALUE"""),5648.0)</f>
        <v>5648</v>
      </c>
      <c r="C1319" s="2" t="str">
        <f>IFERROR(__xludf.DUMMYFUNCTION("""COMPUTED_VALUE"""),"ykziramin")</f>
        <v>ykziramin</v>
      </c>
      <c r="D1319" s="2" t="str">
        <f>IFERROR(__xludf.DUMMYFUNCTION("""COMPUTED_VALUE"""),"5KM OVERALL F")</f>
        <v>5KM OVERALL F</v>
      </c>
      <c r="E1319" s="1">
        <f>IFERROR(__xludf.DUMMYFUNCTION("""COMPUTED_VALUE"""),2.0)</f>
        <v>2</v>
      </c>
      <c r="F1319" s="1" t="str">
        <f>IFERROR(__xludf.DUMMYFUNCTION("""COMPUTED_VALUE"""),"Female")</f>
        <v>Female</v>
      </c>
      <c r="G1319" s="4" t="b">
        <f>IFERROR(__xludf.DUMMYFUNCTION("""COMPUTED_VALUE"""),TRUE)</f>
        <v>1</v>
      </c>
      <c r="H1319" s="4" t="b">
        <f>IFERROR(__xludf.DUMMYFUNCTION("""COMPUTED_VALUE"""),TRUE)</f>
        <v>1</v>
      </c>
      <c r="I1319" s="4">
        <f>IFERROR(__xludf.DUMMYFUNCTION("""COMPUTED_VALUE"""),0.2549440625)</f>
        <v>0.2549440625</v>
      </c>
      <c r="J1319" s="4">
        <f>IFERROR(__xludf.DUMMYFUNCTION("""COMPUTED_VALUE"""),45949.277623923976)</f>
        <v>45949.27762</v>
      </c>
      <c r="K1319" s="4" t="str">
        <f>IFERROR(__xludf.DUMMYFUNCTION("""COMPUTED_VALUE"""),"")</f>
        <v/>
      </c>
      <c r="L1319" s="4">
        <f>IFERROR(__xludf.DUMMYFUNCTION("""COMPUTED_VALUE"""),45949.292612683)</f>
        <v>45949.29261</v>
      </c>
      <c r="M1319" s="1" t="str">
        <f>IFERROR(__xludf.DUMMYFUNCTION("""COMPUTED_VALUE"""),"RFID")</f>
        <v>RFID</v>
      </c>
      <c r="N1319" s="5">
        <f>IFERROR(__xludf.DUMMYFUNCTION("""COMPUTED_VALUE"""),0.009071944444444443)</f>
        <v>0.009071944444</v>
      </c>
      <c r="O1319" s="5" t="str">
        <f>IFERROR(__xludf.DUMMYFUNCTION("""COMPUTED_VALUE"""),"")</f>
        <v/>
      </c>
      <c r="P1319" s="5" t="str">
        <f>IFERROR(__xludf.DUMMYFUNCTION("""COMPUTED_VALUE"""),"")</f>
        <v/>
      </c>
      <c r="Q1319" s="5">
        <f>IFERROR(__xludf.DUMMYFUNCTION("""COMPUTED_VALUE"""),0.007533724537037037)</f>
        <v>0.007533724537</v>
      </c>
      <c r="R1319" s="4">
        <f>IFERROR(__xludf.DUMMYFUNCTION("""COMPUTED_VALUE"""),45949.0376686205)</f>
        <v>45949.03767</v>
      </c>
      <c r="S1319" s="1" t="b">
        <f>IFERROR(__xludf.DUMMYFUNCTION("""COMPUTED_VALUE"""),TRUE)</f>
        <v>1</v>
      </c>
      <c r="T1319" s="1" t="b">
        <f>IFERROR(__xludf.DUMMYFUNCTION("""COMPUTED_VALUE"""),FALSE)</f>
        <v>0</v>
      </c>
      <c r="U1319" s="1" t="str">
        <f>IFERROR(__xludf.DUMMYFUNCTION("""COMPUTED_VALUE"""),"VALID")</f>
        <v>VALID</v>
      </c>
      <c r="V1319" s="1">
        <f>IFERROR(__xludf.DUMMYFUNCTION("""COMPUTED_VALUE"""),238.0)</f>
        <v>238</v>
      </c>
      <c r="W1319" s="1">
        <f>IFERROR(__xludf.DUMMYFUNCTION("""COMPUTED_VALUE"""),1074.0)</f>
        <v>1074</v>
      </c>
      <c r="X1319" s="1">
        <f>IFERROR(__xludf.DUMMYFUNCTION("""COMPUTED_VALUE"""),293.0)</f>
        <v>293</v>
      </c>
      <c r="Y1319" s="2"/>
      <c r="Z1319" s="2"/>
    </row>
    <row r="1320">
      <c r="A1320" s="1">
        <f>IFERROR(__xludf.DUMMYFUNCTION("""COMPUTED_VALUE"""),1319.0)</f>
        <v>1319</v>
      </c>
      <c r="B1320" s="1">
        <f>IFERROR(__xludf.DUMMYFUNCTION("""COMPUTED_VALUE"""),5649.0)</f>
        <v>5649</v>
      </c>
      <c r="C1320" s="2" t="str">
        <f>IFERROR(__xludf.DUMMYFUNCTION("""COMPUTED_VALUE"""),"kiky")</f>
        <v>kiky</v>
      </c>
      <c r="D1320" s="2" t="str">
        <f>IFERROR(__xludf.DUMMYFUNCTION("""COMPUTED_VALUE"""),"5KM OVERALL F")</f>
        <v>5KM OVERALL F</v>
      </c>
      <c r="E1320" s="1">
        <f>IFERROR(__xludf.DUMMYFUNCTION("""COMPUTED_VALUE"""),2.0)</f>
        <v>2</v>
      </c>
      <c r="F1320" s="1" t="str">
        <f>IFERROR(__xludf.DUMMYFUNCTION("""COMPUTED_VALUE"""),"Female")</f>
        <v>Female</v>
      </c>
      <c r="G1320" s="4" t="b">
        <f>IFERROR(__xludf.DUMMYFUNCTION("""COMPUTED_VALUE"""),TRUE)</f>
        <v>1</v>
      </c>
      <c r="H1320" s="4" t="b">
        <f>IFERROR(__xludf.DUMMYFUNCTION("""COMPUTED_VALUE"""),TRUE)</f>
        <v>1</v>
      </c>
      <c r="I1320" s="4">
        <f>IFERROR(__xludf.DUMMYFUNCTION("""COMPUTED_VALUE"""),0.2549440625)</f>
        <v>0.2549440625</v>
      </c>
      <c r="J1320" s="4">
        <f>IFERROR(__xludf.DUMMYFUNCTION("""COMPUTED_VALUE"""),45949.27807188794)</f>
        <v>45949.27807</v>
      </c>
      <c r="K1320" s="4" t="str">
        <f>IFERROR(__xludf.DUMMYFUNCTION("""COMPUTED_VALUE"""),"")</f>
        <v/>
      </c>
      <c r="L1320" s="4">
        <f>IFERROR(__xludf.DUMMYFUNCTION("""COMPUTED_VALUE"""),45949.29969253422)</f>
        <v>45949.29969</v>
      </c>
      <c r="M1320" s="1" t="str">
        <f>IFERROR(__xludf.DUMMYFUNCTION("""COMPUTED_VALUE"""),"RFID")</f>
        <v>RFID</v>
      </c>
      <c r="N1320" s="5">
        <f>IFERROR(__xludf.DUMMYFUNCTION("""COMPUTED_VALUE"""),0.009251129629629628)</f>
        <v>0.00925112963</v>
      </c>
      <c r="O1320" s="5" t="str">
        <f>IFERROR(__xludf.DUMMYFUNCTION("""COMPUTED_VALUE"""),"")</f>
        <v/>
      </c>
      <c r="P1320" s="5" t="str">
        <f>IFERROR(__xludf.DUMMYFUNCTION("""COMPUTED_VALUE"""),"")</f>
        <v/>
      </c>
      <c r="Q1320" s="5">
        <f>IFERROR(__xludf.DUMMYFUNCTION("""COMPUTED_VALUE"""),0.008949694444444444)</f>
        <v>0.008949694444</v>
      </c>
      <c r="R1320" s="4">
        <f>IFERROR(__xludf.DUMMYFUNCTION("""COMPUTED_VALUE"""),45949.04474847172)</f>
        <v>45949.04475</v>
      </c>
      <c r="S1320" s="1" t="b">
        <f>IFERROR(__xludf.DUMMYFUNCTION("""COMPUTED_VALUE"""),TRUE)</f>
        <v>1</v>
      </c>
      <c r="T1320" s="1" t="b">
        <f>IFERROR(__xludf.DUMMYFUNCTION("""COMPUTED_VALUE"""),FALSE)</f>
        <v>0</v>
      </c>
      <c r="U1320" s="1" t="str">
        <f>IFERROR(__xludf.DUMMYFUNCTION("""COMPUTED_VALUE"""),"VALID")</f>
        <v>VALID</v>
      </c>
      <c r="V1320" s="1">
        <f>IFERROR(__xludf.DUMMYFUNCTION("""COMPUTED_VALUE"""),412.0)</f>
        <v>412</v>
      </c>
      <c r="W1320" s="1">
        <f>IFERROR(__xludf.DUMMYFUNCTION("""COMPUTED_VALUE"""),1441.0)</f>
        <v>1441</v>
      </c>
      <c r="X1320" s="1">
        <f>IFERROR(__xludf.DUMMYFUNCTION("""COMPUTED_VALUE"""),505.0)</f>
        <v>505</v>
      </c>
      <c r="Y1320" s="2"/>
      <c r="Z1320" s="2"/>
    </row>
    <row r="1321">
      <c r="A1321" s="1">
        <f>IFERROR(__xludf.DUMMYFUNCTION("""COMPUTED_VALUE"""),1320.0)</f>
        <v>1320</v>
      </c>
      <c r="B1321" s="1">
        <f>IFERROR(__xludf.DUMMYFUNCTION("""COMPUTED_VALUE"""),5650.0)</f>
        <v>5650</v>
      </c>
      <c r="C1321" s="2" t="str">
        <f>IFERROR(__xludf.DUMMYFUNCTION("""COMPUTED_VALUE"""),"EMA")</f>
        <v>EMA</v>
      </c>
      <c r="D1321" s="2" t="str">
        <f>IFERROR(__xludf.DUMMYFUNCTION("""COMPUTED_VALUE"""),"5KM OVERALL F")</f>
        <v>5KM OVERALL F</v>
      </c>
      <c r="E1321" s="1">
        <f>IFERROR(__xludf.DUMMYFUNCTION("""COMPUTED_VALUE"""),2.0)</f>
        <v>2</v>
      </c>
      <c r="F1321" s="1" t="str">
        <f>IFERROR(__xludf.DUMMYFUNCTION("""COMPUTED_VALUE"""),"Female")</f>
        <v>Female</v>
      </c>
      <c r="G1321" s="4" t="b">
        <f>IFERROR(__xludf.DUMMYFUNCTION("""COMPUTED_VALUE"""),TRUE)</f>
        <v>1</v>
      </c>
      <c r="H1321" s="4" t="b">
        <f>IFERROR(__xludf.DUMMYFUNCTION("""COMPUTED_VALUE"""),TRUE)</f>
        <v>1</v>
      </c>
      <c r="I1321" s="4">
        <f>IFERROR(__xludf.DUMMYFUNCTION("""COMPUTED_VALUE"""),0.2549440625)</f>
        <v>0.2549440625</v>
      </c>
      <c r="J1321" s="4">
        <f>IFERROR(__xludf.DUMMYFUNCTION("""COMPUTED_VALUE"""),45949.27328363912)</f>
        <v>45949.27328</v>
      </c>
      <c r="K1321" s="4" t="str">
        <f>IFERROR(__xludf.DUMMYFUNCTION("""COMPUTED_VALUE"""),"")</f>
        <v/>
      </c>
      <c r="L1321" s="4">
        <f>IFERROR(__xludf.DUMMYFUNCTION("""COMPUTED_VALUE"""),45949.28815781722)</f>
        <v>45949.28816</v>
      </c>
      <c r="M1321" s="1" t="str">
        <f>IFERROR(__xludf.DUMMYFUNCTION("""COMPUTED_VALUE"""),"RFID")</f>
        <v>RFID</v>
      </c>
      <c r="N1321" s="5">
        <f>IFERROR(__xludf.DUMMYFUNCTION("""COMPUTED_VALUE"""),0.007335828703703704)</f>
        <v>0.007335828704</v>
      </c>
      <c r="O1321" s="5" t="str">
        <f>IFERROR(__xludf.DUMMYFUNCTION("""COMPUTED_VALUE"""),"")</f>
        <v/>
      </c>
      <c r="P1321" s="5" t="str">
        <f>IFERROR(__xludf.DUMMYFUNCTION("""COMPUTED_VALUE"""),"")</f>
        <v/>
      </c>
      <c r="Q1321" s="5">
        <f>IFERROR(__xludf.DUMMYFUNCTION("""COMPUTED_VALUE"""),0.00664275)</f>
        <v>0.00664275</v>
      </c>
      <c r="R1321" s="4">
        <f>IFERROR(__xludf.DUMMYFUNCTION("""COMPUTED_VALUE"""),45949.033213754716)</f>
        <v>45949.03321</v>
      </c>
      <c r="S1321" s="1" t="b">
        <f>IFERROR(__xludf.DUMMYFUNCTION("""COMPUTED_VALUE"""),TRUE)</f>
        <v>1</v>
      </c>
      <c r="T1321" s="1" t="b">
        <f>IFERROR(__xludf.DUMMYFUNCTION("""COMPUTED_VALUE"""),FALSE)</f>
        <v>0</v>
      </c>
      <c r="U1321" s="1" t="str">
        <f>IFERROR(__xludf.DUMMYFUNCTION("""COMPUTED_VALUE"""),"VALID")</f>
        <v>VALID</v>
      </c>
      <c r="V1321" s="1">
        <f>IFERROR(__xludf.DUMMYFUNCTION("""COMPUTED_VALUE"""),130.0)</f>
        <v>130</v>
      </c>
      <c r="W1321" s="1">
        <f>IFERROR(__xludf.DUMMYFUNCTION("""COMPUTED_VALUE"""),786.0)</f>
        <v>786</v>
      </c>
      <c r="X1321" s="1">
        <f>IFERROR(__xludf.DUMMYFUNCTION("""COMPUTED_VALUE"""),163.0)</f>
        <v>163</v>
      </c>
      <c r="Y1321" s="2"/>
      <c r="Z1321" s="2"/>
    </row>
    <row r="1322">
      <c r="A1322" s="1">
        <f>IFERROR(__xludf.DUMMYFUNCTION("""COMPUTED_VALUE"""),1321.0)</f>
        <v>1321</v>
      </c>
      <c r="B1322" s="1">
        <f>IFERROR(__xludf.DUMMYFUNCTION("""COMPUTED_VALUE"""),5654.0)</f>
        <v>5654</v>
      </c>
      <c r="C1322" s="2" t="str">
        <f>IFERROR(__xludf.DUMMYFUNCTION("""COMPUTED_VALUE"""),"-")</f>
        <v>-</v>
      </c>
      <c r="D1322" s="2" t="str">
        <f>IFERROR(__xludf.DUMMYFUNCTION("""COMPUTED_VALUE"""),"5KM OVERALL F")</f>
        <v>5KM OVERALL F</v>
      </c>
      <c r="E1322" s="1">
        <f>IFERROR(__xludf.DUMMYFUNCTION("""COMPUTED_VALUE"""),2.0)</f>
        <v>2</v>
      </c>
      <c r="F1322" s="1" t="str">
        <f>IFERROR(__xludf.DUMMYFUNCTION("""COMPUTED_VALUE"""),"Female")</f>
        <v>Female</v>
      </c>
      <c r="G1322" s="4" t="str">
        <f>IFERROR(__xludf.DUMMYFUNCTION("""COMPUTED_VALUE"""),"")</f>
        <v/>
      </c>
      <c r="H1322" s="4" t="b">
        <f>IFERROR(__xludf.DUMMYFUNCTION("""COMPUTED_VALUE"""),FALSE)</f>
        <v>0</v>
      </c>
      <c r="I1322" s="4">
        <f>IFERROR(__xludf.DUMMYFUNCTION("""COMPUTED_VALUE"""),0.2549440625)</f>
        <v>0.2549440625</v>
      </c>
      <c r="J1322" s="4" t="str">
        <f>IFERROR(__xludf.DUMMYFUNCTION("""COMPUTED_VALUE"""),"")</f>
        <v/>
      </c>
      <c r="K1322" s="4" t="str">
        <f>IFERROR(__xludf.DUMMYFUNCTION("""COMPUTED_VALUE"""),"")</f>
        <v/>
      </c>
      <c r="L1322" s="4" t="str">
        <f>IFERROR(__xludf.DUMMYFUNCTION("""COMPUTED_VALUE"""),"")</f>
        <v/>
      </c>
      <c r="M1322" s="1" t="str">
        <f>IFERROR(__xludf.DUMMYFUNCTION("""COMPUTED_VALUE"""),"RFID")</f>
        <v>RFID</v>
      </c>
      <c r="N1322" s="5" t="str">
        <f>IFERROR(__xludf.DUMMYFUNCTION("""COMPUTED_VALUE"""),"")</f>
        <v/>
      </c>
      <c r="O1322" s="5" t="str">
        <f>IFERROR(__xludf.DUMMYFUNCTION("""COMPUTED_VALUE"""),"")</f>
        <v/>
      </c>
      <c r="P1322" s="5" t="str">
        <f>IFERROR(__xludf.DUMMYFUNCTION("""COMPUTED_VALUE"""),"")</f>
        <v/>
      </c>
      <c r="Q1322" s="5" t="str">
        <f>IFERROR(__xludf.DUMMYFUNCTION("""COMPUTED_VALUE"""),"")</f>
        <v/>
      </c>
      <c r="R1322" s="4" t="str">
        <f>IFERROR(__xludf.DUMMYFUNCTION("""COMPUTED_VALUE"""),"")</f>
        <v/>
      </c>
      <c r="S1322" s="1" t="b">
        <f>IFERROR(__xludf.DUMMYFUNCTION("""COMPUTED_VALUE"""),FALSE)</f>
        <v>0</v>
      </c>
      <c r="T1322" s="1" t="b">
        <f>IFERROR(__xludf.DUMMYFUNCTION("""COMPUTED_VALUE"""),FALSE)</f>
        <v>0</v>
      </c>
      <c r="U1322" s="1" t="str">
        <f>IFERROR(__xludf.DUMMYFUNCTION("""COMPUTED_VALUE"""),"DSQ")</f>
        <v>DSQ</v>
      </c>
      <c r="V1322" s="1" t="str">
        <f>IFERROR(__xludf.DUMMYFUNCTION("""COMPUTED_VALUE"""),"DSQ")</f>
        <v>DSQ</v>
      </c>
      <c r="W1322" s="1" t="str">
        <f>IFERROR(__xludf.DUMMYFUNCTION("""COMPUTED_VALUE"""),"DSQ")</f>
        <v>DSQ</v>
      </c>
      <c r="X1322" s="1" t="str">
        <f>IFERROR(__xludf.DUMMYFUNCTION("""COMPUTED_VALUE"""),"DSQ")</f>
        <v>DSQ</v>
      </c>
      <c r="Y1322" s="2"/>
      <c r="Z1322" s="2" t="str">
        <f>IFERROR(__xludf.DUMMYFUNCTION("""COMPUTED_VALUE"""),"")</f>
        <v/>
      </c>
    </row>
    <row r="1323">
      <c r="A1323" s="1">
        <f>IFERROR(__xludf.DUMMYFUNCTION("""COMPUTED_VALUE"""),1322.0)</f>
        <v>1322</v>
      </c>
      <c r="B1323" s="1">
        <f>IFERROR(__xludf.DUMMYFUNCTION("""COMPUTED_VALUE"""),5656.0)</f>
        <v>5656</v>
      </c>
      <c r="C1323" s="2" t="str">
        <f>IFERROR(__xludf.DUMMYFUNCTION("""COMPUTED_VALUE"""),"putriAyu")</f>
        <v>putriAyu</v>
      </c>
      <c r="D1323" s="2" t="str">
        <f>IFERROR(__xludf.DUMMYFUNCTION("""COMPUTED_VALUE"""),"5KM OVERALL F")</f>
        <v>5KM OVERALL F</v>
      </c>
      <c r="E1323" s="1">
        <f>IFERROR(__xludf.DUMMYFUNCTION("""COMPUTED_VALUE"""),2.0)</f>
        <v>2</v>
      </c>
      <c r="F1323" s="1" t="str">
        <f>IFERROR(__xludf.DUMMYFUNCTION("""COMPUTED_VALUE"""),"Female")</f>
        <v>Female</v>
      </c>
      <c r="G1323" s="4" t="b">
        <f>IFERROR(__xludf.DUMMYFUNCTION("""COMPUTED_VALUE"""),TRUE)</f>
        <v>1</v>
      </c>
      <c r="H1323" s="4" t="b">
        <f>IFERROR(__xludf.DUMMYFUNCTION("""COMPUTED_VALUE"""),FALSE)</f>
        <v>0</v>
      </c>
      <c r="I1323" s="4">
        <f>IFERROR(__xludf.DUMMYFUNCTION("""COMPUTED_VALUE"""),0.2549440625)</f>
        <v>0.2549440625</v>
      </c>
      <c r="J1323" s="4">
        <f>IFERROR(__xludf.DUMMYFUNCTION("""COMPUTED_VALUE"""),45949.28067253314)</f>
        <v>45949.28067</v>
      </c>
      <c r="K1323" s="4" t="str">
        <f>IFERROR(__xludf.DUMMYFUNCTION("""COMPUTED_VALUE"""),"")</f>
        <v/>
      </c>
      <c r="L1323" s="4">
        <f>IFERROR(__xludf.DUMMYFUNCTION("""COMPUTED_VALUE"""),45949.29991477177)</f>
        <v>45949.29991</v>
      </c>
      <c r="M1323" s="1" t="str">
        <f>IFERROR(__xludf.DUMMYFUNCTION("""COMPUTED_VALUE"""),"RFID")</f>
        <v>RFID</v>
      </c>
      <c r="N1323" s="5">
        <f>IFERROR(__xludf.DUMMYFUNCTION("""COMPUTED_VALUE"""),0.010291388888888888)</f>
        <v>0.01029138889</v>
      </c>
      <c r="O1323" s="5" t="str">
        <f>IFERROR(__xludf.DUMMYFUNCTION("""COMPUTED_VALUE"""),"")</f>
        <v/>
      </c>
      <c r="P1323" s="5" t="str">
        <f>IFERROR(__xludf.DUMMYFUNCTION("""COMPUTED_VALUE"""),"")</f>
        <v/>
      </c>
      <c r="Q1323" s="5">
        <f>IFERROR(__xludf.DUMMYFUNCTION("""COMPUTED_VALUE"""),0.008994141203703704)</f>
        <v>0.008994141204</v>
      </c>
      <c r="R1323" s="4">
        <f>IFERROR(__xludf.DUMMYFUNCTION("""COMPUTED_VALUE"""),45949.04497070927)</f>
        <v>45949.04497</v>
      </c>
      <c r="S1323" s="1" t="b">
        <f>IFERROR(__xludf.DUMMYFUNCTION("""COMPUTED_VALUE"""),TRUE)</f>
        <v>1</v>
      </c>
      <c r="T1323" s="1" t="b">
        <f>IFERROR(__xludf.DUMMYFUNCTION("""COMPUTED_VALUE"""),FALSE)</f>
        <v>0</v>
      </c>
      <c r="U1323" s="1" t="str">
        <f>IFERROR(__xludf.DUMMYFUNCTION("""COMPUTED_VALUE"""),"VALID")</f>
        <v>VALID</v>
      </c>
      <c r="V1323" s="1">
        <f>IFERROR(__xludf.DUMMYFUNCTION("""COMPUTED_VALUE"""),415.0)</f>
        <v>415</v>
      </c>
      <c r="W1323" s="1">
        <f>IFERROR(__xludf.DUMMYFUNCTION("""COMPUTED_VALUE"""),1447.0)</f>
        <v>1447</v>
      </c>
      <c r="X1323" s="1">
        <f>IFERROR(__xludf.DUMMYFUNCTION("""COMPUTED_VALUE"""),508.0)</f>
        <v>508</v>
      </c>
      <c r="Y1323" s="2"/>
      <c r="Z1323" s="2"/>
    </row>
    <row r="1324">
      <c r="A1324" s="1">
        <f>IFERROR(__xludf.DUMMYFUNCTION("""COMPUTED_VALUE"""),1323.0)</f>
        <v>1323</v>
      </c>
      <c r="B1324" s="1">
        <f>IFERROR(__xludf.DUMMYFUNCTION("""COMPUTED_VALUE"""),5657.0)</f>
        <v>5657</v>
      </c>
      <c r="C1324" s="2" t="str">
        <f>IFERROR(__xludf.DUMMYFUNCTION("""COMPUTED_VALUE"""),"Mina")</f>
        <v>Mina</v>
      </c>
      <c r="D1324" s="2" t="str">
        <f>IFERROR(__xludf.DUMMYFUNCTION("""COMPUTED_VALUE"""),"5KM OVERALL F")</f>
        <v>5KM OVERALL F</v>
      </c>
      <c r="E1324" s="1">
        <f>IFERROR(__xludf.DUMMYFUNCTION("""COMPUTED_VALUE"""),2.0)</f>
        <v>2</v>
      </c>
      <c r="F1324" s="1" t="str">
        <f>IFERROR(__xludf.DUMMYFUNCTION("""COMPUTED_VALUE"""),"Female")</f>
        <v>Female</v>
      </c>
      <c r="G1324" s="4" t="b">
        <f>IFERROR(__xludf.DUMMYFUNCTION("""COMPUTED_VALUE"""),TRUE)</f>
        <v>1</v>
      </c>
      <c r="H1324" s="4" t="b">
        <f>IFERROR(__xludf.DUMMYFUNCTION("""COMPUTED_VALUE"""),TRUE)</f>
        <v>1</v>
      </c>
      <c r="I1324" s="4">
        <f>IFERROR(__xludf.DUMMYFUNCTION("""COMPUTED_VALUE"""),0.2549440625)</f>
        <v>0.2549440625</v>
      </c>
      <c r="J1324" s="4">
        <f>IFERROR(__xludf.DUMMYFUNCTION("""COMPUTED_VALUE"""),45949.28072114623)</f>
        <v>45949.28072</v>
      </c>
      <c r="K1324" s="4" t="str">
        <f>IFERROR(__xludf.DUMMYFUNCTION("""COMPUTED_VALUE"""),"")</f>
        <v/>
      </c>
      <c r="L1324" s="4">
        <f>IFERROR(__xludf.DUMMYFUNCTION("""COMPUTED_VALUE"""),45949.30048421524)</f>
        <v>45949.30048</v>
      </c>
      <c r="M1324" s="1" t="str">
        <f>IFERROR(__xludf.DUMMYFUNCTION("""COMPUTED_VALUE"""),"RFID")</f>
        <v>RFID</v>
      </c>
      <c r="N1324" s="5">
        <f>IFERROR(__xludf.DUMMYFUNCTION("""COMPUTED_VALUE"""),0.010310833333333333)</f>
        <v>0.01031083333</v>
      </c>
      <c r="O1324" s="5" t="str">
        <f>IFERROR(__xludf.DUMMYFUNCTION("""COMPUTED_VALUE"""),"")</f>
        <v/>
      </c>
      <c r="P1324" s="5" t="str">
        <f>IFERROR(__xludf.DUMMYFUNCTION("""COMPUTED_VALUE"""),"")</f>
        <v/>
      </c>
      <c r="Q1324" s="5">
        <f>IFERROR(__xludf.DUMMYFUNCTION("""COMPUTED_VALUE"""),0.009108030092592593)</f>
        <v>0.009108030093</v>
      </c>
      <c r="R1324" s="4">
        <f>IFERROR(__xludf.DUMMYFUNCTION("""COMPUTED_VALUE"""),45949.045540152736)</f>
        <v>45949.04554</v>
      </c>
      <c r="S1324" s="1" t="b">
        <f>IFERROR(__xludf.DUMMYFUNCTION("""COMPUTED_VALUE"""),TRUE)</f>
        <v>1</v>
      </c>
      <c r="T1324" s="1" t="b">
        <f>IFERROR(__xludf.DUMMYFUNCTION("""COMPUTED_VALUE"""),FALSE)</f>
        <v>0</v>
      </c>
      <c r="U1324" s="1" t="str">
        <f>IFERROR(__xludf.DUMMYFUNCTION("""COMPUTED_VALUE"""),"VALID")</f>
        <v>VALID</v>
      </c>
      <c r="V1324" s="1">
        <f>IFERROR(__xludf.DUMMYFUNCTION("""COMPUTED_VALUE"""),429.0)</f>
        <v>429</v>
      </c>
      <c r="W1324" s="1">
        <f>IFERROR(__xludf.DUMMYFUNCTION("""COMPUTED_VALUE"""),1467.0)</f>
        <v>1467</v>
      </c>
      <c r="X1324" s="1">
        <f>IFERROR(__xludf.DUMMYFUNCTION("""COMPUTED_VALUE"""),524.0)</f>
        <v>524</v>
      </c>
      <c r="Y1324" s="2"/>
      <c r="Z1324" s="2"/>
    </row>
    <row r="1325">
      <c r="A1325" s="1">
        <f>IFERROR(__xludf.DUMMYFUNCTION("""COMPUTED_VALUE"""),1324.0)</f>
        <v>1324</v>
      </c>
      <c r="B1325" s="1">
        <f>IFERROR(__xludf.DUMMYFUNCTION("""COMPUTED_VALUE"""),5663.0)</f>
        <v>5663</v>
      </c>
      <c r="C1325" s="2" t="str">
        <f>IFERROR(__xludf.DUMMYFUNCTION("""COMPUTED_VALUE"""),"Shanah")</f>
        <v>Shanah</v>
      </c>
      <c r="D1325" s="2" t="str">
        <f>IFERROR(__xludf.DUMMYFUNCTION("""COMPUTED_VALUE"""),"5KM OVERALL F")</f>
        <v>5KM OVERALL F</v>
      </c>
      <c r="E1325" s="1">
        <f>IFERROR(__xludf.DUMMYFUNCTION("""COMPUTED_VALUE"""),2.0)</f>
        <v>2</v>
      </c>
      <c r="F1325" s="1" t="str">
        <f>IFERROR(__xludf.DUMMYFUNCTION("""COMPUTED_VALUE"""),"Female")</f>
        <v>Female</v>
      </c>
      <c r="G1325" s="4" t="b">
        <f>IFERROR(__xludf.DUMMYFUNCTION("""COMPUTED_VALUE"""),TRUE)</f>
        <v>1</v>
      </c>
      <c r="H1325" s="4" t="b">
        <f>IFERROR(__xludf.DUMMYFUNCTION("""COMPUTED_VALUE"""),FALSE)</f>
        <v>0</v>
      </c>
      <c r="I1325" s="4">
        <f>IFERROR(__xludf.DUMMYFUNCTION("""COMPUTED_VALUE"""),0.2549440625)</f>
        <v>0.2549440625</v>
      </c>
      <c r="J1325" s="4">
        <f>IFERROR(__xludf.DUMMYFUNCTION("""COMPUTED_VALUE"""),45949.27539474071)</f>
        <v>45949.27539</v>
      </c>
      <c r="K1325" s="4" t="str">
        <f>IFERROR(__xludf.DUMMYFUNCTION("""COMPUTED_VALUE"""),"")</f>
        <v/>
      </c>
      <c r="L1325" s="4">
        <f>IFERROR(__xludf.DUMMYFUNCTION("""COMPUTED_VALUE"""),45949.29079318812)</f>
        <v>45949.29079</v>
      </c>
      <c r="M1325" s="1" t="str">
        <f>IFERROR(__xludf.DUMMYFUNCTION("""COMPUTED_VALUE"""),"RFID")</f>
        <v>RFID</v>
      </c>
      <c r="N1325" s="5">
        <f>IFERROR(__xludf.DUMMYFUNCTION("""COMPUTED_VALUE"""),0.008180273148148148)</f>
        <v>0.008180273148</v>
      </c>
      <c r="O1325" s="5" t="str">
        <f>IFERROR(__xludf.DUMMYFUNCTION("""COMPUTED_VALUE"""),"")</f>
        <v/>
      </c>
      <c r="P1325" s="5" t="str">
        <f>IFERROR(__xludf.DUMMYFUNCTION("""COMPUTED_VALUE"""),"")</f>
        <v/>
      </c>
      <c r="Q1325" s="5">
        <f>IFERROR(__xludf.DUMMYFUNCTION("""COMPUTED_VALUE"""),0.007169824074074074)</f>
        <v>0.007169824074</v>
      </c>
      <c r="R1325" s="4">
        <f>IFERROR(__xludf.DUMMYFUNCTION("""COMPUTED_VALUE"""),45949.03584912562)</f>
        <v>45949.03585</v>
      </c>
      <c r="S1325" s="1" t="b">
        <f>IFERROR(__xludf.DUMMYFUNCTION("""COMPUTED_VALUE"""),TRUE)</f>
        <v>1</v>
      </c>
      <c r="T1325" s="1" t="b">
        <f>IFERROR(__xludf.DUMMYFUNCTION("""COMPUTED_VALUE"""),FALSE)</f>
        <v>0</v>
      </c>
      <c r="U1325" s="1" t="str">
        <f>IFERROR(__xludf.DUMMYFUNCTION("""COMPUTED_VALUE"""),"VALID")</f>
        <v>VALID</v>
      </c>
      <c r="V1325" s="1">
        <f>IFERROR(__xludf.DUMMYFUNCTION("""COMPUTED_VALUE"""),181.0)</f>
        <v>181</v>
      </c>
      <c r="W1325" s="1">
        <f>IFERROR(__xludf.DUMMYFUNCTION("""COMPUTED_VALUE"""),948.0)</f>
        <v>948</v>
      </c>
      <c r="X1325" s="1">
        <f>IFERROR(__xludf.DUMMYFUNCTION("""COMPUTED_VALUE"""),228.0)</f>
        <v>228</v>
      </c>
      <c r="Y1325" s="2"/>
      <c r="Z1325" s="2"/>
    </row>
    <row r="1326">
      <c r="A1326" s="1">
        <f>IFERROR(__xludf.DUMMYFUNCTION("""COMPUTED_VALUE"""),1325.0)</f>
        <v>1325</v>
      </c>
      <c r="B1326" s="1">
        <f>IFERROR(__xludf.DUMMYFUNCTION("""COMPUTED_VALUE"""),5664.0)</f>
        <v>5664</v>
      </c>
      <c r="C1326" s="2" t="str">
        <f>IFERROR(__xludf.DUMMYFUNCTION("""COMPUTED_VALUE"""),"lia")</f>
        <v>lia</v>
      </c>
      <c r="D1326" s="2" t="str">
        <f>IFERROR(__xludf.DUMMYFUNCTION("""COMPUTED_VALUE"""),"5KM OVERALL F")</f>
        <v>5KM OVERALL F</v>
      </c>
      <c r="E1326" s="1">
        <f>IFERROR(__xludf.DUMMYFUNCTION("""COMPUTED_VALUE"""),2.0)</f>
        <v>2</v>
      </c>
      <c r="F1326" s="1" t="str">
        <f>IFERROR(__xludf.DUMMYFUNCTION("""COMPUTED_VALUE"""),"Female")</f>
        <v>Female</v>
      </c>
      <c r="G1326" s="4" t="b">
        <f>IFERROR(__xludf.DUMMYFUNCTION("""COMPUTED_VALUE"""),TRUE)</f>
        <v>1</v>
      </c>
      <c r="H1326" s="4" t="b">
        <f>IFERROR(__xludf.DUMMYFUNCTION("""COMPUTED_VALUE"""),FALSE)</f>
        <v>0</v>
      </c>
      <c r="I1326" s="4">
        <f>IFERROR(__xludf.DUMMYFUNCTION("""COMPUTED_VALUE"""),0.2549440625)</f>
        <v>0.2549440625</v>
      </c>
      <c r="J1326" s="4">
        <f>IFERROR(__xludf.DUMMYFUNCTION("""COMPUTED_VALUE"""),45949.27817599256)</f>
        <v>45949.27818</v>
      </c>
      <c r="K1326" s="4" t="str">
        <f>IFERROR(__xludf.DUMMYFUNCTION("""COMPUTED_VALUE"""),"")</f>
        <v/>
      </c>
      <c r="L1326" s="4">
        <f>IFERROR(__xludf.DUMMYFUNCTION("""COMPUTED_VALUE"""),45949.2956720503)</f>
        <v>45949.29567</v>
      </c>
      <c r="M1326" s="1" t="str">
        <f>IFERROR(__xludf.DUMMYFUNCTION("""COMPUTED_VALUE"""),"RFID")</f>
        <v>RFID</v>
      </c>
      <c r="N1326" s="5">
        <f>IFERROR(__xludf.DUMMYFUNCTION("""COMPUTED_VALUE"""),0.009292773148148147)</f>
        <v>0.009292773148</v>
      </c>
      <c r="O1326" s="5" t="str">
        <f>IFERROR(__xludf.DUMMYFUNCTION("""COMPUTED_VALUE"""),"")</f>
        <v/>
      </c>
      <c r="P1326" s="5" t="str">
        <f>IFERROR(__xludf.DUMMYFUNCTION("""COMPUTED_VALUE"""),"")</f>
        <v/>
      </c>
      <c r="Q1326" s="5">
        <f>IFERROR(__xludf.DUMMYFUNCTION("""COMPUTED_VALUE"""),0.008145597222222222)</f>
        <v>0.008145597222</v>
      </c>
      <c r="R1326" s="4">
        <f>IFERROR(__xludf.DUMMYFUNCTION("""COMPUTED_VALUE"""),45949.0407279878)</f>
        <v>45949.04073</v>
      </c>
      <c r="S1326" s="1" t="b">
        <f>IFERROR(__xludf.DUMMYFUNCTION("""COMPUTED_VALUE"""),TRUE)</f>
        <v>1</v>
      </c>
      <c r="T1326" s="1" t="b">
        <f>IFERROR(__xludf.DUMMYFUNCTION("""COMPUTED_VALUE"""),FALSE)</f>
        <v>0</v>
      </c>
      <c r="U1326" s="1" t="str">
        <f>IFERROR(__xludf.DUMMYFUNCTION("""COMPUTED_VALUE"""),"VALID")</f>
        <v>VALID</v>
      </c>
      <c r="V1326" s="1">
        <f>IFERROR(__xludf.DUMMYFUNCTION("""COMPUTED_VALUE"""),334.0)</f>
        <v>334</v>
      </c>
      <c r="W1326" s="1">
        <f>IFERROR(__xludf.DUMMYFUNCTION("""COMPUTED_VALUE"""),1278.0)</f>
        <v>1278</v>
      </c>
      <c r="X1326" s="1">
        <f>IFERROR(__xludf.DUMMYFUNCTION("""COMPUTED_VALUE"""),404.0)</f>
        <v>404</v>
      </c>
      <c r="Y1326" s="2"/>
      <c r="Z1326" s="2"/>
    </row>
    <row r="1327">
      <c r="A1327" s="1">
        <f>IFERROR(__xludf.DUMMYFUNCTION("""COMPUTED_VALUE"""),1326.0)</f>
        <v>1326</v>
      </c>
      <c r="B1327" s="1">
        <f>IFERROR(__xludf.DUMMYFUNCTION("""COMPUTED_VALUE"""),5666.0)</f>
        <v>5666</v>
      </c>
      <c r="C1327" s="2" t="str">
        <f>IFERROR(__xludf.DUMMYFUNCTION("""COMPUTED_VALUE"""),"Astrina Karunia Marta DK")</f>
        <v>Astrina Karunia Marta DK</v>
      </c>
      <c r="D1327" s="2" t="str">
        <f>IFERROR(__xludf.DUMMYFUNCTION("""COMPUTED_VALUE"""),"5KM OVERALL F")</f>
        <v>5KM OVERALL F</v>
      </c>
      <c r="E1327" s="1">
        <f>IFERROR(__xludf.DUMMYFUNCTION("""COMPUTED_VALUE"""),2.0)</f>
        <v>2</v>
      </c>
      <c r="F1327" s="1" t="str">
        <f>IFERROR(__xludf.DUMMYFUNCTION("""COMPUTED_VALUE"""),"Female")</f>
        <v>Female</v>
      </c>
      <c r="G1327" s="4" t="b">
        <f>IFERROR(__xludf.DUMMYFUNCTION("""COMPUTED_VALUE"""),TRUE)</f>
        <v>1</v>
      </c>
      <c r="H1327" s="4" t="b">
        <f>IFERROR(__xludf.DUMMYFUNCTION("""COMPUTED_VALUE"""),FALSE)</f>
        <v>0</v>
      </c>
      <c r="I1327" s="4">
        <f>IFERROR(__xludf.DUMMYFUNCTION("""COMPUTED_VALUE"""),0.2549440625)</f>
        <v>0.2549440625</v>
      </c>
      <c r="J1327" s="4">
        <f>IFERROR(__xludf.DUMMYFUNCTION("""COMPUTED_VALUE"""),45949.28228016151)</f>
        <v>45949.28228</v>
      </c>
      <c r="K1327" s="4" t="str">
        <f>IFERROR(__xludf.DUMMYFUNCTION("""COMPUTED_VALUE"""),"")</f>
        <v/>
      </c>
      <c r="L1327" s="4">
        <f>IFERROR(__xludf.DUMMYFUNCTION("""COMPUTED_VALUE"""),45949.30103282603)</f>
        <v>45949.30103</v>
      </c>
      <c r="M1327" s="1" t="str">
        <f>IFERROR(__xludf.DUMMYFUNCTION("""COMPUTED_VALUE"""),"RFID")</f>
        <v>RFID</v>
      </c>
      <c r="N1327" s="5">
        <f>IFERROR(__xludf.DUMMYFUNCTION("""COMPUTED_VALUE"""),0.010934439814814814)</f>
        <v>0.01093443981</v>
      </c>
      <c r="O1327" s="5" t="str">
        <f>IFERROR(__xludf.DUMMYFUNCTION("""COMPUTED_VALUE"""),"")</f>
        <v/>
      </c>
      <c r="P1327" s="5" t="str">
        <f>IFERROR(__xludf.DUMMYFUNCTION("""COMPUTED_VALUE"""),"")</f>
        <v/>
      </c>
      <c r="Q1327" s="5">
        <f>IFERROR(__xludf.DUMMYFUNCTION("""COMPUTED_VALUE"""),0.009217752314814814)</f>
        <v>0.009217752315</v>
      </c>
      <c r="R1327" s="4">
        <f>IFERROR(__xludf.DUMMYFUNCTION("""COMPUTED_VALUE"""),45949.04608876353)</f>
        <v>45949.04609</v>
      </c>
      <c r="S1327" s="1" t="b">
        <f>IFERROR(__xludf.DUMMYFUNCTION("""COMPUTED_VALUE"""),TRUE)</f>
        <v>1</v>
      </c>
      <c r="T1327" s="1" t="b">
        <f>IFERROR(__xludf.DUMMYFUNCTION("""COMPUTED_VALUE"""),FALSE)</f>
        <v>0</v>
      </c>
      <c r="U1327" s="1" t="str">
        <f>IFERROR(__xludf.DUMMYFUNCTION("""COMPUTED_VALUE"""),"VALID")</f>
        <v>VALID</v>
      </c>
      <c r="V1327" s="1">
        <f>IFERROR(__xludf.DUMMYFUNCTION("""COMPUTED_VALUE"""),443.0)</f>
        <v>443</v>
      </c>
      <c r="W1327" s="1">
        <f>IFERROR(__xludf.DUMMYFUNCTION("""COMPUTED_VALUE"""),1489.0)</f>
        <v>1489</v>
      </c>
      <c r="X1327" s="1">
        <f>IFERROR(__xludf.DUMMYFUNCTION("""COMPUTED_VALUE"""),541.0)</f>
        <v>541</v>
      </c>
      <c r="Y1327" s="2"/>
      <c r="Z1327" s="2"/>
    </row>
    <row r="1328">
      <c r="A1328" s="1">
        <f>IFERROR(__xludf.DUMMYFUNCTION("""COMPUTED_VALUE"""),1327.0)</f>
        <v>1327</v>
      </c>
      <c r="B1328" s="1">
        <f>IFERROR(__xludf.DUMMYFUNCTION("""COMPUTED_VALUE"""),5667.0)</f>
        <v>5667</v>
      </c>
      <c r="C1328" s="2" t="str">
        <f>IFERROR(__xludf.DUMMYFUNCTION("""COMPUTED_VALUE"""),"nikenss")</f>
        <v>nikenss</v>
      </c>
      <c r="D1328" s="2" t="str">
        <f>IFERROR(__xludf.DUMMYFUNCTION("""COMPUTED_VALUE"""),"5KM OVERALL F")</f>
        <v>5KM OVERALL F</v>
      </c>
      <c r="E1328" s="1">
        <f>IFERROR(__xludf.DUMMYFUNCTION("""COMPUTED_VALUE"""),2.0)</f>
        <v>2</v>
      </c>
      <c r="F1328" s="1" t="str">
        <f>IFERROR(__xludf.DUMMYFUNCTION("""COMPUTED_VALUE"""),"Female")</f>
        <v>Female</v>
      </c>
      <c r="G1328" s="4" t="b">
        <f>IFERROR(__xludf.DUMMYFUNCTION("""COMPUTED_VALUE"""),TRUE)</f>
        <v>1</v>
      </c>
      <c r="H1328" s="4" t="b">
        <f>IFERROR(__xludf.DUMMYFUNCTION("""COMPUTED_VALUE"""),TRUE)</f>
        <v>1</v>
      </c>
      <c r="I1328" s="4">
        <f>IFERROR(__xludf.DUMMYFUNCTION("""COMPUTED_VALUE"""),0.2549440625)</f>
        <v>0.2549440625</v>
      </c>
      <c r="J1328" s="4">
        <f>IFERROR(__xludf.DUMMYFUNCTION("""COMPUTED_VALUE"""),45949.276130917846)</f>
        <v>45949.27613</v>
      </c>
      <c r="K1328" s="4" t="str">
        <f>IFERROR(__xludf.DUMMYFUNCTION("""COMPUTED_VALUE"""),"")</f>
        <v/>
      </c>
      <c r="L1328" s="4">
        <f>IFERROR(__xludf.DUMMYFUNCTION("""COMPUTED_VALUE"""),45949.29067860684)</f>
        <v>45949.29068</v>
      </c>
      <c r="M1328" s="1" t="str">
        <f>IFERROR(__xludf.DUMMYFUNCTION("""COMPUTED_VALUE"""),"RFID")</f>
        <v>RFID</v>
      </c>
      <c r="N1328" s="5">
        <f>IFERROR(__xludf.DUMMYFUNCTION("""COMPUTED_VALUE"""),0.008474740740740741)</f>
        <v>0.008474740741</v>
      </c>
      <c r="O1328" s="5" t="str">
        <f>IFERROR(__xludf.DUMMYFUNCTION("""COMPUTED_VALUE"""),"")</f>
        <v/>
      </c>
      <c r="P1328" s="5" t="str">
        <f>IFERROR(__xludf.DUMMYFUNCTION("""COMPUTED_VALUE"""),"")</f>
        <v/>
      </c>
      <c r="Q1328" s="5">
        <f>IFERROR(__xludf.DUMMYFUNCTION("""COMPUTED_VALUE"""),0.007146909722222222)</f>
        <v>0.007146909722</v>
      </c>
      <c r="R1328" s="4">
        <f>IFERROR(__xludf.DUMMYFUNCTION("""COMPUTED_VALUE"""),45949.03573454434)</f>
        <v>45949.03573</v>
      </c>
      <c r="S1328" s="1" t="b">
        <f>IFERROR(__xludf.DUMMYFUNCTION("""COMPUTED_VALUE"""),TRUE)</f>
        <v>1</v>
      </c>
      <c r="T1328" s="1" t="b">
        <f>IFERROR(__xludf.DUMMYFUNCTION("""COMPUTED_VALUE"""),FALSE)</f>
        <v>0</v>
      </c>
      <c r="U1328" s="1" t="str">
        <f>IFERROR(__xludf.DUMMYFUNCTION("""COMPUTED_VALUE"""),"VALID")</f>
        <v>VALID</v>
      </c>
      <c r="V1328" s="1">
        <f>IFERROR(__xludf.DUMMYFUNCTION("""COMPUTED_VALUE"""),176.0)</f>
        <v>176</v>
      </c>
      <c r="W1328" s="1">
        <f>IFERROR(__xludf.DUMMYFUNCTION("""COMPUTED_VALUE"""),937.0)</f>
        <v>937</v>
      </c>
      <c r="X1328" s="1">
        <f>IFERROR(__xludf.DUMMYFUNCTION("""COMPUTED_VALUE"""),221.0)</f>
        <v>221</v>
      </c>
      <c r="Y1328" s="2"/>
      <c r="Z1328" s="2"/>
    </row>
    <row r="1329">
      <c r="A1329" s="1">
        <f>IFERROR(__xludf.DUMMYFUNCTION("""COMPUTED_VALUE"""),1328.0)</f>
        <v>1328</v>
      </c>
      <c r="B1329" s="1">
        <f>IFERROR(__xludf.DUMMYFUNCTION("""COMPUTED_VALUE"""),5676.0)</f>
        <v>5676</v>
      </c>
      <c r="C1329" s="2" t="str">
        <f>IFERROR(__xludf.DUMMYFUNCTION("""COMPUTED_VALUE"""),"RIGEL")</f>
        <v>RIGEL</v>
      </c>
      <c r="D1329" s="2" t="str">
        <f>IFERROR(__xludf.DUMMYFUNCTION("""COMPUTED_VALUE"""),"5KM OVERALL F")</f>
        <v>5KM OVERALL F</v>
      </c>
      <c r="E1329" s="1">
        <f>IFERROR(__xludf.DUMMYFUNCTION("""COMPUTED_VALUE"""),2.0)</f>
        <v>2</v>
      </c>
      <c r="F1329" s="1" t="str">
        <f>IFERROR(__xludf.DUMMYFUNCTION("""COMPUTED_VALUE"""),"Female")</f>
        <v>Female</v>
      </c>
      <c r="G1329" s="4" t="b">
        <f>IFERROR(__xludf.DUMMYFUNCTION("""COMPUTED_VALUE"""),TRUE)</f>
        <v>1</v>
      </c>
      <c r="H1329" s="4" t="b">
        <f>IFERROR(__xludf.DUMMYFUNCTION("""COMPUTED_VALUE"""),TRUE)</f>
        <v>1</v>
      </c>
      <c r="I1329" s="4">
        <f>IFERROR(__xludf.DUMMYFUNCTION("""COMPUTED_VALUE"""),0.2549440625)</f>
        <v>0.2549440625</v>
      </c>
      <c r="J1329" s="4">
        <f>IFERROR(__xludf.DUMMYFUNCTION("""COMPUTED_VALUE"""),45949.276325369494)</f>
        <v>45949.27633</v>
      </c>
      <c r="K1329" s="4" t="str">
        <f>IFERROR(__xludf.DUMMYFUNCTION("""COMPUTED_VALUE"""),"")</f>
        <v/>
      </c>
      <c r="L1329" s="4">
        <f>IFERROR(__xludf.DUMMYFUNCTION("""COMPUTED_VALUE"""),45949.291897396906)</f>
        <v>45949.2919</v>
      </c>
      <c r="M1329" s="1" t="str">
        <f>IFERROR(__xludf.DUMMYFUNCTION("""COMPUTED_VALUE"""),"RFID")</f>
        <v>RFID</v>
      </c>
      <c r="N1329" s="5">
        <f>IFERROR(__xludf.DUMMYFUNCTION("""COMPUTED_VALUE"""),0.00855252314814815)</f>
        <v>0.008552523148</v>
      </c>
      <c r="O1329" s="5" t="str">
        <f>IFERROR(__xludf.DUMMYFUNCTION("""COMPUTED_VALUE"""),"")</f>
        <v/>
      </c>
      <c r="P1329" s="5" t="str">
        <f>IFERROR(__xludf.DUMMYFUNCTION("""COMPUTED_VALUE"""),"")</f>
        <v/>
      </c>
      <c r="Q1329" s="5">
        <f>IFERROR(__xludf.DUMMYFUNCTION("""COMPUTED_VALUE"""),0.007390666666666666)</f>
        <v>0.007390666667</v>
      </c>
      <c r="R1329" s="4">
        <f>IFERROR(__xludf.DUMMYFUNCTION("""COMPUTED_VALUE"""),45949.036953334406)</f>
        <v>45949.03695</v>
      </c>
      <c r="S1329" s="1" t="b">
        <f>IFERROR(__xludf.DUMMYFUNCTION("""COMPUTED_VALUE"""),TRUE)</f>
        <v>1</v>
      </c>
      <c r="T1329" s="1" t="b">
        <f>IFERROR(__xludf.DUMMYFUNCTION("""COMPUTED_VALUE"""),FALSE)</f>
        <v>0</v>
      </c>
      <c r="U1329" s="1" t="str">
        <f>IFERROR(__xludf.DUMMYFUNCTION("""COMPUTED_VALUE"""),"VALID")</f>
        <v>VALID</v>
      </c>
      <c r="V1329" s="1">
        <f>IFERROR(__xludf.DUMMYFUNCTION("""COMPUTED_VALUE"""),218.0)</f>
        <v>218</v>
      </c>
      <c r="W1329" s="1">
        <f>IFERROR(__xludf.DUMMYFUNCTION("""COMPUTED_VALUE"""),1026.0)</f>
        <v>1026</v>
      </c>
      <c r="X1329" s="1">
        <f>IFERROR(__xludf.DUMMYFUNCTION("""COMPUTED_VALUE"""),270.0)</f>
        <v>270</v>
      </c>
      <c r="Y1329" s="2"/>
      <c r="Z1329" s="2"/>
    </row>
    <row r="1330">
      <c r="A1330" s="1">
        <f>IFERROR(__xludf.DUMMYFUNCTION("""COMPUTED_VALUE"""),1329.0)</f>
        <v>1329</v>
      </c>
      <c r="B1330" s="1">
        <f>IFERROR(__xludf.DUMMYFUNCTION("""COMPUTED_VALUE"""),5680.0)</f>
        <v>5680</v>
      </c>
      <c r="C1330" s="2" t="str">
        <f>IFERROR(__xludf.DUMMYFUNCTION("""COMPUTED_VALUE"""),"Nisa")</f>
        <v>Nisa</v>
      </c>
      <c r="D1330" s="2" t="str">
        <f>IFERROR(__xludf.DUMMYFUNCTION("""COMPUTED_VALUE"""),"5KM OVERALL F")</f>
        <v>5KM OVERALL F</v>
      </c>
      <c r="E1330" s="1">
        <f>IFERROR(__xludf.DUMMYFUNCTION("""COMPUTED_VALUE"""),2.0)</f>
        <v>2</v>
      </c>
      <c r="F1330" s="1" t="str">
        <f>IFERROR(__xludf.DUMMYFUNCTION("""COMPUTED_VALUE"""),"Female")</f>
        <v>Female</v>
      </c>
      <c r="G1330" s="4" t="b">
        <f>IFERROR(__xludf.DUMMYFUNCTION("""COMPUTED_VALUE"""),TRUE)</f>
        <v>1</v>
      </c>
      <c r="H1330" s="4" t="b">
        <f>IFERROR(__xludf.DUMMYFUNCTION("""COMPUTED_VALUE"""),FALSE)</f>
        <v>0</v>
      </c>
      <c r="I1330" s="4">
        <f>IFERROR(__xludf.DUMMYFUNCTION("""COMPUTED_VALUE"""),0.2549440625)</f>
        <v>0.2549440625</v>
      </c>
      <c r="J1330" s="4">
        <f>IFERROR(__xludf.DUMMYFUNCTION("""COMPUTED_VALUE"""),45949.27834267458)</f>
        <v>45949.27834</v>
      </c>
      <c r="K1330" s="4" t="str">
        <f>IFERROR(__xludf.DUMMYFUNCTION("""COMPUTED_VALUE"""),"")</f>
        <v/>
      </c>
      <c r="L1330" s="4">
        <f>IFERROR(__xludf.DUMMYFUNCTION("""COMPUTED_VALUE"""),45949.2974529631)</f>
        <v>45949.29745</v>
      </c>
      <c r="M1330" s="1" t="str">
        <f>IFERROR(__xludf.DUMMYFUNCTION("""COMPUTED_VALUE"""),"RFID")</f>
        <v>RFID</v>
      </c>
      <c r="N1330" s="5">
        <f>IFERROR(__xludf.DUMMYFUNCTION("""COMPUTED_VALUE"""),0.009359444444444445)</f>
        <v>0.009359444444</v>
      </c>
      <c r="O1330" s="5" t="str">
        <f>IFERROR(__xludf.DUMMYFUNCTION("""COMPUTED_VALUE"""),"")</f>
        <v/>
      </c>
      <c r="P1330" s="5" t="str">
        <f>IFERROR(__xludf.DUMMYFUNCTION("""COMPUTED_VALUE"""),"")</f>
        <v/>
      </c>
      <c r="Q1330" s="5">
        <f>IFERROR(__xludf.DUMMYFUNCTION("""COMPUTED_VALUE"""),0.008501780092592592)</f>
        <v>0.008501780093</v>
      </c>
      <c r="R1330" s="4">
        <f>IFERROR(__xludf.DUMMYFUNCTION("""COMPUTED_VALUE"""),45949.0425089006)</f>
        <v>45949.04251</v>
      </c>
      <c r="S1330" s="1" t="b">
        <f>IFERROR(__xludf.DUMMYFUNCTION("""COMPUTED_VALUE"""),TRUE)</f>
        <v>1</v>
      </c>
      <c r="T1330" s="1" t="b">
        <f>IFERROR(__xludf.DUMMYFUNCTION("""COMPUTED_VALUE"""),FALSE)</f>
        <v>0</v>
      </c>
      <c r="U1330" s="1" t="str">
        <f>IFERROR(__xludf.DUMMYFUNCTION("""COMPUTED_VALUE"""),"VALID")</f>
        <v>VALID</v>
      </c>
      <c r="V1330" s="1">
        <f>IFERROR(__xludf.DUMMYFUNCTION("""COMPUTED_VALUE"""),366.0)</f>
        <v>366</v>
      </c>
      <c r="W1330" s="1">
        <f>IFERROR(__xludf.DUMMYFUNCTION("""COMPUTED_VALUE"""),1346.0)</f>
        <v>1346</v>
      </c>
      <c r="X1330" s="1">
        <f>IFERROR(__xludf.DUMMYFUNCTION("""COMPUTED_VALUE"""),445.0)</f>
        <v>445</v>
      </c>
      <c r="Y1330" s="2"/>
      <c r="Z1330" s="2"/>
    </row>
    <row r="1331">
      <c r="A1331" s="1">
        <f>IFERROR(__xludf.DUMMYFUNCTION("""COMPUTED_VALUE"""),1330.0)</f>
        <v>1330</v>
      </c>
      <c r="B1331" s="1">
        <f>IFERROR(__xludf.DUMMYFUNCTION("""COMPUTED_VALUE"""),5682.0)</f>
        <v>5682</v>
      </c>
      <c r="C1331" s="2" t="str">
        <f>IFERROR(__xludf.DUMMYFUNCTION("""COMPUTED_VALUE"""),"PINKY")</f>
        <v>PINKY</v>
      </c>
      <c r="D1331" s="2" t="str">
        <f>IFERROR(__xludf.DUMMYFUNCTION("""COMPUTED_VALUE"""),"5KM OVERALL F")</f>
        <v>5KM OVERALL F</v>
      </c>
      <c r="E1331" s="1">
        <f>IFERROR(__xludf.DUMMYFUNCTION("""COMPUTED_VALUE"""),2.0)</f>
        <v>2</v>
      </c>
      <c r="F1331" s="1" t="str">
        <f>IFERROR(__xludf.DUMMYFUNCTION("""COMPUTED_VALUE"""),"Female")</f>
        <v>Female</v>
      </c>
      <c r="G1331" s="4" t="str">
        <f>IFERROR(__xludf.DUMMYFUNCTION("""COMPUTED_VALUE"""),"")</f>
        <v/>
      </c>
      <c r="H1331" s="4" t="b">
        <f>IFERROR(__xludf.DUMMYFUNCTION("""COMPUTED_VALUE"""),FALSE)</f>
        <v>0</v>
      </c>
      <c r="I1331" s="4">
        <f>IFERROR(__xludf.DUMMYFUNCTION("""COMPUTED_VALUE"""),0.2549440625)</f>
        <v>0.2549440625</v>
      </c>
      <c r="J1331" s="4" t="str">
        <f>IFERROR(__xludf.DUMMYFUNCTION("""COMPUTED_VALUE"""),"")</f>
        <v/>
      </c>
      <c r="K1331" s="4" t="str">
        <f>IFERROR(__xludf.DUMMYFUNCTION("""COMPUTED_VALUE"""),"")</f>
        <v/>
      </c>
      <c r="L1331" s="4" t="str">
        <f>IFERROR(__xludf.DUMMYFUNCTION("""COMPUTED_VALUE"""),"")</f>
        <v/>
      </c>
      <c r="M1331" s="1" t="str">
        <f>IFERROR(__xludf.DUMMYFUNCTION("""COMPUTED_VALUE"""),"RFID")</f>
        <v>RFID</v>
      </c>
      <c r="N1331" s="5" t="str">
        <f>IFERROR(__xludf.DUMMYFUNCTION("""COMPUTED_VALUE"""),"")</f>
        <v/>
      </c>
      <c r="O1331" s="5" t="str">
        <f>IFERROR(__xludf.DUMMYFUNCTION("""COMPUTED_VALUE"""),"")</f>
        <v/>
      </c>
      <c r="P1331" s="5" t="str">
        <f>IFERROR(__xludf.DUMMYFUNCTION("""COMPUTED_VALUE"""),"")</f>
        <v/>
      </c>
      <c r="Q1331" s="5" t="str">
        <f>IFERROR(__xludf.DUMMYFUNCTION("""COMPUTED_VALUE"""),"")</f>
        <v/>
      </c>
      <c r="R1331" s="4" t="str">
        <f>IFERROR(__xludf.DUMMYFUNCTION("""COMPUTED_VALUE"""),"")</f>
        <v/>
      </c>
      <c r="S1331" s="1" t="b">
        <f>IFERROR(__xludf.DUMMYFUNCTION("""COMPUTED_VALUE"""),FALSE)</f>
        <v>0</v>
      </c>
      <c r="T1331" s="1" t="b">
        <f>IFERROR(__xludf.DUMMYFUNCTION("""COMPUTED_VALUE"""),FALSE)</f>
        <v>0</v>
      </c>
      <c r="U1331" s="1" t="str">
        <f>IFERROR(__xludf.DUMMYFUNCTION("""COMPUTED_VALUE"""),"DSQ")</f>
        <v>DSQ</v>
      </c>
      <c r="V1331" s="1" t="str">
        <f>IFERROR(__xludf.DUMMYFUNCTION("""COMPUTED_VALUE"""),"DSQ")</f>
        <v>DSQ</v>
      </c>
      <c r="W1331" s="1" t="str">
        <f>IFERROR(__xludf.DUMMYFUNCTION("""COMPUTED_VALUE"""),"DSQ")</f>
        <v>DSQ</v>
      </c>
      <c r="X1331" s="1" t="str">
        <f>IFERROR(__xludf.DUMMYFUNCTION("""COMPUTED_VALUE"""),"DSQ")</f>
        <v>DSQ</v>
      </c>
      <c r="Y1331" s="2"/>
      <c r="Z1331" s="2" t="str">
        <f>IFERROR(__xludf.DUMMYFUNCTION("""COMPUTED_VALUE"""),"")</f>
        <v/>
      </c>
    </row>
    <row r="1332">
      <c r="A1332" s="1">
        <f>IFERROR(__xludf.DUMMYFUNCTION("""COMPUTED_VALUE"""),1331.0)</f>
        <v>1331</v>
      </c>
      <c r="B1332" s="1">
        <f>IFERROR(__xludf.DUMMYFUNCTION("""COMPUTED_VALUE"""),5695.0)</f>
        <v>5695</v>
      </c>
      <c r="C1332" s="2" t="str">
        <f>IFERROR(__xludf.DUMMYFUNCTION("""COMPUTED_VALUE"""),"Helda Mahtuni")</f>
        <v>Helda Mahtuni</v>
      </c>
      <c r="D1332" s="2" t="str">
        <f>IFERROR(__xludf.DUMMYFUNCTION("""COMPUTED_VALUE"""),"5KM OVERALL F")</f>
        <v>5KM OVERALL F</v>
      </c>
      <c r="E1332" s="1">
        <f>IFERROR(__xludf.DUMMYFUNCTION("""COMPUTED_VALUE"""),2.0)</f>
        <v>2</v>
      </c>
      <c r="F1332" s="1" t="str">
        <f>IFERROR(__xludf.DUMMYFUNCTION("""COMPUTED_VALUE"""),"Female")</f>
        <v>Female</v>
      </c>
      <c r="G1332" s="4" t="b">
        <f>IFERROR(__xludf.DUMMYFUNCTION("""COMPUTED_VALUE"""),TRUE)</f>
        <v>1</v>
      </c>
      <c r="H1332" s="4" t="b">
        <f>IFERROR(__xludf.DUMMYFUNCTION("""COMPUTED_VALUE"""),TRUE)</f>
        <v>1</v>
      </c>
      <c r="I1332" s="4">
        <f>IFERROR(__xludf.DUMMYFUNCTION("""COMPUTED_VALUE"""),0.2549440625)</f>
        <v>0.2549440625</v>
      </c>
      <c r="J1332" s="4">
        <f>IFERROR(__xludf.DUMMYFUNCTION("""COMPUTED_VALUE"""),45949.277676002705)</f>
        <v>45949.27768</v>
      </c>
      <c r="K1332" s="4" t="str">
        <f>IFERROR(__xludf.DUMMYFUNCTION("""COMPUTED_VALUE"""),"")</f>
        <v/>
      </c>
      <c r="L1332" s="4">
        <f>IFERROR(__xludf.DUMMYFUNCTION("""COMPUTED_VALUE"""),45949.29393554696)</f>
        <v>45949.29394</v>
      </c>
      <c r="M1332" s="1" t="str">
        <f>IFERROR(__xludf.DUMMYFUNCTION("""COMPUTED_VALUE"""),"RFID")</f>
        <v>RFID</v>
      </c>
      <c r="N1332" s="5">
        <f>IFERROR(__xludf.DUMMYFUNCTION("""COMPUTED_VALUE"""),0.009092777777777778)</f>
        <v>0.009092777778</v>
      </c>
      <c r="O1332" s="5" t="str">
        <f>IFERROR(__xludf.DUMMYFUNCTION("""COMPUTED_VALUE"""),"")</f>
        <v/>
      </c>
      <c r="P1332" s="5" t="str">
        <f>IFERROR(__xludf.DUMMYFUNCTION("""COMPUTED_VALUE"""),"")</f>
        <v/>
      </c>
      <c r="Q1332" s="5">
        <f>IFERROR(__xludf.DUMMYFUNCTION("""COMPUTED_VALUE"""),0.007798296296296296)</f>
        <v>0.007798296296</v>
      </c>
      <c r="R1332" s="4">
        <f>IFERROR(__xludf.DUMMYFUNCTION("""COMPUTED_VALUE"""),45949.038991484456)</f>
        <v>45949.03899</v>
      </c>
      <c r="S1332" s="1" t="b">
        <f>IFERROR(__xludf.DUMMYFUNCTION("""COMPUTED_VALUE"""),TRUE)</f>
        <v>1</v>
      </c>
      <c r="T1332" s="1" t="b">
        <f>IFERROR(__xludf.DUMMYFUNCTION("""COMPUTED_VALUE"""),FALSE)</f>
        <v>0</v>
      </c>
      <c r="U1332" s="1" t="str">
        <f>IFERROR(__xludf.DUMMYFUNCTION("""COMPUTED_VALUE"""),"VALID")</f>
        <v>VALID</v>
      </c>
      <c r="V1332" s="1">
        <f>IFERROR(__xludf.DUMMYFUNCTION("""COMPUTED_VALUE"""),285.0)</f>
        <v>285</v>
      </c>
      <c r="W1332" s="1">
        <f>IFERROR(__xludf.DUMMYFUNCTION("""COMPUTED_VALUE"""),1171.0)</f>
        <v>1171</v>
      </c>
      <c r="X1332" s="1">
        <f>IFERROR(__xludf.DUMMYFUNCTION("""COMPUTED_VALUE"""),344.0)</f>
        <v>344</v>
      </c>
      <c r="Y1332" s="2"/>
      <c r="Z1332" s="2"/>
    </row>
    <row r="1333">
      <c r="A1333" s="1">
        <f>IFERROR(__xludf.DUMMYFUNCTION("""COMPUTED_VALUE"""),1332.0)</f>
        <v>1332</v>
      </c>
      <c r="B1333" s="1">
        <f>IFERROR(__xludf.DUMMYFUNCTION("""COMPUTED_VALUE"""),5700.0)</f>
        <v>5700</v>
      </c>
      <c r="C1333" s="2" t="str">
        <f>IFERROR(__xludf.DUMMYFUNCTION("""COMPUTED_VALUE"""),"Niniek")</f>
        <v>Niniek</v>
      </c>
      <c r="D1333" s="2" t="str">
        <f>IFERROR(__xludf.DUMMYFUNCTION("""COMPUTED_VALUE"""),"5KM OVERALL F")</f>
        <v>5KM OVERALL F</v>
      </c>
      <c r="E1333" s="1">
        <f>IFERROR(__xludf.DUMMYFUNCTION("""COMPUTED_VALUE"""),2.0)</f>
        <v>2</v>
      </c>
      <c r="F1333" s="1" t="str">
        <f>IFERROR(__xludf.DUMMYFUNCTION("""COMPUTED_VALUE"""),"Female")</f>
        <v>Female</v>
      </c>
      <c r="G1333" s="4" t="b">
        <f>IFERROR(__xludf.DUMMYFUNCTION("""COMPUTED_VALUE"""),TRUE)</f>
        <v>1</v>
      </c>
      <c r="H1333" s="4" t="b">
        <f>IFERROR(__xludf.DUMMYFUNCTION("""COMPUTED_VALUE"""),FALSE)</f>
        <v>0</v>
      </c>
      <c r="I1333" s="4">
        <f>IFERROR(__xludf.DUMMYFUNCTION("""COMPUTED_VALUE"""),0.2549440625)</f>
        <v>0.2549440625</v>
      </c>
      <c r="J1333" s="4">
        <f>IFERROR(__xludf.DUMMYFUNCTION("""COMPUTED_VALUE"""),45949.26703363127)</f>
        <v>45949.26703</v>
      </c>
      <c r="K1333" s="4" t="str">
        <f>IFERROR(__xludf.DUMMYFUNCTION("""COMPUTED_VALUE"""),"")</f>
        <v/>
      </c>
      <c r="L1333" s="4">
        <f>IFERROR(__xludf.DUMMYFUNCTION("""COMPUTED_VALUE"""),45949.27676199492)</f>
        <v>45949.27676</v>
      </c>
      <c r="M1333" s="1" t="str">
        <f>IFERROR(__xludf.DUMMYFUNCTION("""COMPUTED_VALUE"""),"RFID")</f>
        <v>RFID</v>
      </c>
      <c r="N1333" s="5">
        <f>IFERROR(__xludf.DUMMYFUNCTION("""COMPUTED_VALUE"""),0.004835828703703704)</f>
        <v>0.004835828704</v>
      </c>
      <c r="O1333" s="5" t="str">
        <f>IFERROR(__xludf.DUMMYFUNCTION("""COMPUTED_VALUE"""),"")</f>
        <v/>
      </c>
      <c r="P1333" s="5" t="str">
        <f>IFERROR(__xludf.DUMMYFUNCTION("""COMPUTED_VALUE"""),"")</f>
        <v/>
      </c>
      <c r="Q1333" s="5">
        <f>IFERROR(__xludf.DUMMYFUNCTION("""COMPUTED_VALUE"""),0.004363585648148148)</f>
        <v>0.004363585648</v>
      </c>
      <c r="R1333" s="4">
        <f>IFERROR(__xludf.DUMMYFUNCTION("""COMPUTED_VALUE"""),45949.02181793242)</f>
        <v>45949.02182</v>
      </c>
      <c r="S1333" s="1" t="b">
        <f>IFERROR(__xludf.DUMMYFUNCTION("""COMPUTED_VALUE"""),TRUE)</f>
        <v>1</v>
      </c>
      <c r="T1333" s="1" t="b">
        <f>IFERROR(__xludf.DUMMYFUNCTION("""COMPUTED_VALUE"""),FALSE)</f>
        <v>0</v>
      </c>
      <c r="U1333" s="1" t="str">
        <f>IFERROR(__xludf.DUMMYFUNCTION("""COMPUTED_VALUE"""),"VALID")</f>
        <v>VALID</v>
      </c>
      <c r="V1333" s="1">
        <f>IFERROR(__xludf.DUMMYFUNCTION("""COMPUTED_VALUE"""),13.0)</f>
        <v>13</v>
      </c>
      <c r="W1333" s="1">
        <f>IFERROR(__xludf.DUMMYFUNCTION("""COMPUTED_VALUE"""),169.0)</f>
        <v>169</v>
      </c>
      <c r="X1333" s="1">
        <f>IFERROR(__xludf.DUMMYFUNCTION("""COMPUTED_VALUE"""),20.0)</f>
        <v>20</v>
      </c>
      <c r="Y1333" s="2"/>
      <c r="Z1333" s="2"/>
    </row>
    <row r="1334">
      <c r="A1334" s="1">
        <f>IFERROR(__xludf.DUMMYFUNCTION("""COMPUTED_VALUE"""),1333.0)</f>
        <v>1333</v>
      </c>
      <c r="B1334" s="1">
        <f>IFERROR(__xludf.DUMMYFUNCTION("""COMPUTED_VALUE"""),5701.0)</f>
        <v>5701</v>
      </c>
      <c r="C1334" s="2" t="str">
        <f>IFERROR(__xludf.DUMMYFUNCTION("""COMPUTED_VALUE"""),"MOY")</f>
        <v>MOY</v>
      </c>
      <c r="D1334" s="2" t="str">
        <f>IFERROR(__xludf.DUMMYFUNCTION("""COMPUTED_VALUE"""),"5KM OVERALL F")</f>
        <v>5KM OVERALL F</v>
      </c>
      <c r="E1334" s="1">
        <f>IFERROR(__xludf.DUMMYFUNCTION("""COMPUTED_VALUE"""),2.0)</f>
        <v>2</v>
      </c>
      <c r="F1334" s="1" t="str">
        <f>IFERROR(__xludf.DUMMYFUNCTION("""COMPUTED_VALUE"""),"Female")</f>
        <v>Female</v>
      </c>
      <c r="G1334" s="4" t="str">
        <f>IFERROR(__xludf.DUMMYFUNCTION("""COMPUTED_VALUE"""),"")</f>
        <v/>
      </c>
      <c r="H1334" s="4" t="b">
        <f>IFERROR(__xludf.DUMMYFUNCTION("""COMPUTED_VALUE"""),FALSE)</f>
        <v>0</v>
      </c>
      <c r="I1334" s="4">
        <f>IFERROR(__xludf.DUMMYFUNCTION("""COMPUTED_VALUE"""),0.2549440625)</f>
        <v>0.2549440625</v>
      </c>
      <c r="J1334" s="4" t="str">
        <f>IFERROR(__xludf.DUMMYFUNCTION("""COMPUTED_VALUE"""),"")</f>
        <v/>
      </c>
      <c r="K1334" s="4" t="str">
        <f>IFERROR(__xludf.DUMMYFUNCTION("""COMPUTED_VALUE"""),"")</f>
        <v/>
      </c>
      <c r="L1334" s="4" t="str">
        <f>IFERROR(__xludf.DUMMYFUNCTION("""COMPUTED_VALUE"""),"")</f>
        <v/>
      </c>
      <c r="M1334" s="1" t="str">
        <f>IFERROR(__xludf.DUMMYFUNCTION("""COMPUTED_VALUE"""),"RFID")</f>
        <v>RFID</v>
      </c>
      <c r="N1334" s="5" t="str">
        <f>IFERROR(__xludf.DUMMYFUNCTION("""COMPUTED_VALUE"""),"")</f>
        <v/>
      </c>
      <c r="O1334" s="5" t="str">
        <f>IFERROR(__xludf.DUMMYFUNCTION("""COMPUTED_VALUE"""),"")</f>
        <v/>
      </c>
      <c r="P1334" s="5" t="str">
        <f>IFERROR(__xludf.DUMMYFUNCTION("""COMPUTED_VALUE"""),"")</f>
        <v/>
      </c>
      <c r="Q1334" s="5" t="str">
        <f>IFERROR(__xludf.DUMMYFUNCTION("""COMPUTED_VALUE"""),"")</f>
        <v/>
      </c>
      <c r="R1334" s="4" t="str">
        <f>IFERROR(__xludf.DUMMYFUNCTION("""COMPUTED_VALUE"""),"")</f>
        <v/>
      </c>
      <c r="S1334" s="1" t="b">
        <f>IFERROR(__xludf.DUMMYFUNCTION("""COMPUTED_VALUE"""),FALSE)</f>
        <v>0</v>
      </c>
      <c r="T1334" s="1" t="b">
        <f>IFERROR(__xludf.DUMMYFUNCTION("""COMPUTED_VALUE"""),FALSE)</f>
        <v>0</v>
      </c>
      <c r="U1334" s="1" t="str">
        <f>IFERROR(__xludf.DUMMYFUNCTION("""COMPUTED_VALUE"""),"DSQ")</f>
        <v>DSQ</v>
      </c>
      <c r="V1334" s="1" t="str">
        <f>IFERROR(__xludf.DUMMYFUNCTION("""COMPUTED_VALUE"""),"DSQ")</f>
        <v>DSQ</v>
      </c>
      <c r="W1334" s="1" t="str">
        <f>IFERROR(__xludf.DUMMYFUNCTION("""COMPUTED_VALUE"""),"DSQ")</f>
        <v>DSQ</v>
      </c>
      <c r="X1334" s="1" t="str">
        <f>IFERROR(__xludf.DUMMYFUNCTION("""COMPUTED_VALUE"""),"DSQ")</f>
        <v>DSQ</v>
      </c>
      <c r="Y1334" s="2"/>
      <c r="Z1334" s="2" t="str">
        <f>IFERROR(__xludf.DUMMYFUNCTION("""COMPUTED_VALUE"""),"")</f>
        <v/>
      </c>
    </row>
    <row r="1335">
      <c r="A1335" s="1">
        <f>IFERROR(__xludf.DUMMYFUNCTION("""COMPUTED_VALUE"""),1334.0)</f>
        <v>1334</v>
      </c>
      <c r="B1335" s="1">
        <f>IFERROR(__xludf.DUMMYFUNCTION("""COMPUTED_VALUE"""),5705.0)</f>
        <v>5705</v>
      </c>
      <c r="C1335" s="2" t="str">
        <f>IFERROR(__xludf.DUMMYFUNCTION("""COMPUTED_VALUE"""),"fauziah.nst91@gmail.com")</f>
        <v>fauziah.nst91@gmail.com</v>
      </c>
      <c r="D1335" s="2" t="str">
        <f>IFERROR(__xludf.DUMMYFUNCTION("""COMPUTED_VALUE"""),"5KM OVERALL F")</f>
        <v>5KM OVERALL F</v>
      </c>
      <c r="E1335" s="1">
        <f>IFERROR(__xludf.DUMMYFUNCTION("""COMPUTED_VALUE"""),2.0)</f>
        <v>2</v>
      </c>
      <c r="F1335" s="1" t="str">
        <f>IFERROR(__xludf.DUMMYFUNCTION("""COMPUTED_VALUE"""),"Female")</f>
        <v>Female</v>
      </c>
      <c r="G1335" s="4" t="b">
        <f>IFERROR(__xludf.DUMMYFUNCTION("""COMPUTED_VALUE"""),TRUE)</f>
        <v>1</v>
      </c>
      <c r="H1335" s="4" t="b">
        <f>IFERROR(__xludf.DUMMYFUNCTION("""COMPUTED_VALUE"""),TRUE)</f>
        <v>1</v>
      </c>
      <c r="I1335" s="4">
        <f>IFERROR(__xludf.DUMMYFUNCTION("""COMPUTED_VALUE"""),0.2549440625)</f>
        <v>0.2549440625</v>
      </c>
      <c r="J1335" s="4">
        <f>IFERROR(__xludf.DUMMYFUNCTION("""COMPUTED_VALUE"""),45949.2724781065)</f>
        <v>45949.27248</v>
      </c>
      <c r="K1335" s="4" t="str">
        <f>IFERROR(__xludf.DUMMYFUNCTION("""COMPUTED_VALUE"""),"")</f>
        <v/>
      </c>
      <c r="L1335" s="4">
        <f>IFERROR(__xludf.DUMMYFUNCTION("""COMPUTED_VALUE"""),45949.28637308645)</f>
        <v>45949.28637</v>
      </c>
      <c r="M1335" s="1" t="str">
        <f>IFERROR(__xludf.DUMMYFUNCTION("""COMPUTED_VALUE"""),"RFID")</f>
        <v>RFID</v>
      </c>
      <c r="N1335" s="5">
        <f>IFERROR(__xludf.DUMMYFUNCTION("""COMPUTED_VALUE"""),0.00701361574074074)</f>
        <v>0.007013615741</v>
      </c>
      <c r="O1335" s="5" t="str">
        <f>IFERROR(__xludf.DUMMYFUNCTION("""COMPUTED_VALUE"""),"")</f>
        <v/>
      </c>
      <c r="P1335" s="5" t="str">
        <f>IFERROR(__xludf.DUMMYFUNCTION("""COMPUTED_VALUE"""),"")</f>
        <v/>
      </c>
      <c r="Q1335" s="5">
        <f>IFERROR(__xludf.DUMMYFUNCTION("""COMPUTED_VALUE"""),0.006285805555555556)</f>
        <v>0.006285805556</v>
      </c>
      <c r="R1335" s="4">
        <f>IFERROR(__xludf.DUMMYFUNCTION("""COMPUTED_VALUE"""),45949.03142902395)</f>
        <v>45949.03143</v>
      </c>
      <c r="S1335" s="1" t="b">
        <f>IFERROR(__xludf.DUMMYFUNCTION("""COMPUTED_VALUE"""),TRUE)</f>
        <v>1</v>
      </c>
      <c r="T1335" s="1" t="b">
        <f>IFERROR(__xludf.DUMMYFUNCTION("""COMPUTED_VALUE"""),FALSE)</f>
        <v>0</v>
      </c>
      <c r="U1335" s="1" t="str">
        <f>IFERROR(__xludf.DUMMYFUNCTION("""COMPUTED_VALUE"""),"VALID")</f>
        <v>VALID</v>
      </c>
      <c r="V1335" s="1">
        <f>IFERROR(__xludf.DUMMYFUNCTION("""COMPUTED_VALUE"""),98.0)</f>
        <v>98</v>
      </c>
      <c r="W1335" s="1">
        <f>IFERROR(__xludf.DUMMYFUNCTION("""COMPUTED_VALUE"""),654.0)</f>
        <v>654</v>
      </c>
      <c r="X1335" s="1">
        <f>IFERROR(__xludf.DUMMYFUNCTION("""COMPUTED_VALUE"""),125.0)</f>
        <v>125</v>
      </c>
      <c r="Y1335" s="2"/>
      <c r="Z1335" s="2"/>
    </row>
    <row r="1336">
      <c r="A1336" s="1">
        <f>IFERROR(__xludf.DUMMYFUNCTION("""COMPUTED_VALUE"""),1335.0)</f>
        <v>1335</v>
      </c>
      <c r="B1336" s="1">
        <f>IFERROR(__xludf.DUMMYFUNCTION("""COMPUTED_VALUE"""),5708.0)</f>
        <v>5708</v>
      </c>
      <c r="C1336" s="2" t="str">
        <f>IFERROR(__xludf.DUMMYFUNCTION("""COMPUTED_VALUE"""),"KARINA")</f>
        <v>KARINA</v>
      </c>
      <c r="D1336" s="2" t="str">
        <f>IFERROR(__xludf.DUMMYFUNCTION("""COMPUTED_VALUE"""),"5KM OVERALL F")</f>
        <v>5KM OVERALL F</v>
      </c>
      <c r="E1336" s="1">
        <f>IFERROR(__xludf.DUMMYFUNCTION("""COMPUTED_VALUE"""),2.0)</f>
        <v>2</v>
      </c>
      <c r="F1336" s="1" t="str">
        <f>IFERROR(__xludf.DUMMYFUNCTION("""COMPUTED_VALUE"""),"Female")</f>
        <v>Female</v>
      </c>
      <c r="G1336" s="4" t="b">
        <f>IFERROR(__xludf.DUMMYFUNCTION("""COMPUTED_VALUE"""),TRUE)</f>
        <v>1</v>
      </c>
      <c r="H1336" s="4" t="b">
        <f>IFERROR(__xludf.DUMMYFUNCTION("""COMPUTED_VALUE"""),TRUE)</f>
        <v>1</v>
      </c>
      <c r="I1336" s="4">
        <f>IFERROR(__xludf.DUMMYFUNCTION("""COMPUTED_VALUE"""),0.2549440625)</f>
        <v>0.2549440625</v>
      </c>
      <c r="J1336" s="4">
        <f>IFERROR(__xludf.DUMMYFUNCTION("""COMPUTED_VALUE"""),45949.277040662404)</f>
        <v>45949.27704</v>
      </c>
      <c r="K1336" s="4" t="str">
        <f>IFERROR(__xludf.DUMMYFUNCTION("""COMPUTED_VALUE"""),"")</f>
        <v/>
      </c>
      <c r="L1336" s="4">
        <f>IFERROR(__xludf.DUMMYFUNCTION("""COMPUTED_VALUE"""),45949.29410919609)</f>
        <v>45949.29411</v>
      </c>
      <c r="M1336" s="1" t="str">
        <f>IFERROR(__xludf.DUMMYFUNCTION("""COMPUTED_VALUE"""),"RFID")</f>
        <v>RFID</v>
      </c>
      <c r="N1336" s="5">
        <f>IFERROR(__xludf.DUMMYFUNCTION("""COMPUTED_VALUE"""),0.008838638888888889)</f>
        <v>0.008838638889</v>
      </c>
      <c r="O1336" s="5" t="str">
        <f>IFERROR(__xludf.DUMMYFUNCTION("""COMPUTED_VALUE"""),"")</f>
        <v/>
      </c>
      <c r="P1336" s="5" t="str">
        <f>IFERROR(__xludf.DUMMYFUNCTION("""COMPUTED_VALUE"""),"")</f>
        <v/>
      </c>
      <c r="Q1336" s="5">
        <f>IFERROR(__xludf.DUMMYFUNCTION("""COMPUTED_VALUE"""),0.007833027777777777)</f>
        <v>0.007833027778</v>
      </c>
      <c r="R1336" s="4">
        <f>IFERROR(__xludf.DUMMYFUNCTION("""COMPUTED_VALUE"""),45949.03916513359)</f>
        <v>45949.03917</v>
      </c>
      <c r="S1336" s="1" t="b">
        <f>IFERROR(__xludf.DUMMYFUNCTION("""COMPUTED_VALUE"""),TRUE)</f>
        <v>1</v>
      </c>
      <c r="T1336" s="1" t="b">
        <f>IFERROR(__xludf.DUMMYFUNCTION("""COMPUTED_VALUE"""),FALSE)</f>
        <v>0</v>
      </c>
      <c r="U1336" s="1" t="str">
        <f>IFERROR(__xludf.DUMMYFUNCTION("""COMPUTED_VALUE"""),"VALID")</f>
        <v>VALID</v>
      </c>
      <c r="V1336" s="1">
        <f>IFERROR(__xludf.DUMMYFUNCTION("""COMPUTED_VALUE"""),290.0)</f>
        <v>290</v>
      </c>
      <c r="W1336" s="1">
        <f>IFERROR(__xludf.DUMMYFUNCTION("""COMPUTED_VALUE"""),1183.0)</f>
        <v>1183</v>
      </c>
      <c r="X1336" s="1">
        <f>IFERROR(__xludf.DUMMYFUNCTION("""COMPUTED_VALUE"""),350.0)</f>
        <v>350</v>
      </c>
      <c r="Y1336" s="2"/>
      <c r="Z1336" s="2"/>
    </row>
    <row r="1337">
      <c r="A1337" s="1">
        <f>IFERROR(__xludf.DUMMYFUNCTION("""COMPUTED_VALUE"""),1336.0)</f>
        <v>1336</v>
      </c>
      <c r="B1337" s="1">
        <f>IFERROR(__xludf.DUMMYFUNCTION("""COMPUTED_VALUE"""),5711.0)</f>
        <v>5711</v>
      </c>
      <c r="C1337" s="2" t="str">
        <f>IFERROR(__xludf.DUMMYFUNCTION("""COMPUTED_VALUE"""),"aisah")</f>
        <v>aisah</v>
      </c>
      <c r="D1337" s="2" t="str">
        <f>IFERROR(__xludf.DUMMYFUNCTION("""COMPUTED_VALUE"""),"5KM OVERALL F")</f>
        <v>5KM OVERALL F</v>
      </c>
      <c r="E1337" s="1">
        <f>IFERROR(__xludf.DUMMYFUNCTION("""COMPUTED_VALUE"""),2.0)</f>
        <v>2</v>
      </c>
      <c r="F1337" s="1" t="str">
        <f>IFERROR(__xludf.DUMMYFUNCTION("""COMPUTED_VALUE"""),"Female")</f>
        <v>Female</v>
      </c>
      <c r="G1337" s="4" t="b">
        <f>IFERROR(__xludf.DUMMYFUNCTION("""COMPUTED_VALUE"""),TRUE)</f>
        <v>1</v>
      </c>
      <c r="H1337" s="4" t="b">
        <f>IFERROR(__xludf.DUMMYFUNCTION("""COMPUTED_VALUE"""),TRUE)</f>
        <v>1</v>
      </c>
      <c r="I1337" s="4">
        <f>IFERROR(__xludf.DUMMYFUNCTION("""COMPUTED_VALUE"""),0.2549440625)</f>
        <v>0.2549440625</v>
      </c>
      <c r="J1337" s="4">
        <f>IFERROR(__xludf.DUMMYFUNCTION("""COMPUTED_VALUE"""),45949.266471139956)</f>
        <v>45949.26647</v>
      </c>
      <c r="K1337" s="4" t="str">
        <f>IFERROR(__xludf.DUMMYFUNCTION("""COMPUTED_VALUE"""),"")</f>
        <v/>
      </c>
      <c r="L1337" s="4">
        <f>IFERROR(__xludf.DUMMYFUNCTION("""COMPUTED_VALUE"""),45949.27622379046)</f>
        <v>45949.27622</v>
      </c>
      <c r="M1337" s="1" t="str">
        <f>IFERROR(__xludf.DUMMYFUNCTION("""COMPUTED_VALUE"""),"RFID")</f>
        <v>RFID</v>
      </c>
      <c r="N1337" s="5">
        <f>IFERROR(__xludf.DUMMYFUNCTION("""COMPUTED_VALUE"""),0.004610828703703704)</f>
        <v>0.004610828704</v>
      </c>
      <c r="O1337" s="5" t="str">
        <f>IFERROR(__xludf.DUMMYFUNCTION("""COMPUTED_VALUE"""),"")</f>
        <v/>
      </c>
      <c r="P1337" s="5" t="str">
        <f>IFERROR(__xludf.DUMMYFUNCTION("""COMPUTED_VALUE"""),"")</f>
        <v/>
      </c>
      <c r="Q1337" s="5">
        <f>IFERROR(__xludf.DUMMYFUNCTION("""COMPUTED_VALUE"""),0.004255944444444444)</f>
        <v>0.004255944444</v>
      </c>
      <c r="R1337" s="4">
        <f>IFERROR(__xludf.DUMMYFUNCTION("""COMPUTED_VALUE"""),45949.02127972796)</f>
        <v>45949.02128</v>
      </c>
      <c r="S1337" s="1" t="b">
        <f>IFERROR(__xludf.DUMMYFUNCTION("""COMPUTED_VALUE"""),TRUE)</f>
        <v>1</v>
      </c>
      <c r="T1337" s="1" t="b">
        <f>IFERROR(__xludf.DUMMYFUNCTION("""COMPUTED_VALUE"""),FALSE)</f>
        <v>0</v>
      </c>
      <c r="U1337" s="1" t="str">
        <f>IFERROR(__xludf.DUMMYFUNCTION("""COMPUTED_VALUE"""),"VALID")</f>
        <v>VALID</v>
      </c>
      <c r="V1337" s="1">
        <f>IFERROR(__xludf.DUMMYFUNCTION("""COMPUTED_VALUE"""),11.0)</f>
        <v>11</v>
      </c>
      <c r="W1337" s="1">
        <f>IFERROR(__xludf.DUMMYFUNCTION("""COMPUTED_VALUE"""),153.0)</f>
        <v>153</v>
      </c>
      <c r="X1337" s="1">
        <f>IFERROR(__xludf.DUMMYFUNCTION("""COMPUTED_VALUE"""),18.0)</f>
        <v>18</v>
      </c>
      <c r="Y1337" s="2"/>
      <c r="Z1337" s="2"/>
    </row>
    <row r="1338">
      <c r="A1338" s="1">
        <f>IFERROR(__xludf.DUMMYFUNCTION("""COMPUTED_VALUE"""),1337.0)</f>
        <v>1337</v>
      </c>
      <c r="B1338" s="1">
        <f>IFERROR(__xludf.DUMMYFUNCTION("""COMPUTED_VALUE"""),5715.0)</f>
        <v>5715</v>
      </c>
      <c r="C1338" s="2" t="str">
        <f>IFERROR(__xludf.DUMMYFUNCTION("""COMPUTED_VALUE"""),"Annisa Apriliyanti")</f>
        <v>Annisa Apriliyanti</v>
      </c>
      <c r="D1338" s="2" t="str">
        <f>IFERROR(__xludf.DUMMYFUNCTION("""COMPUTED_VALUE"""),"5KM OVERALL F")</f>
        <v>5KM OVERALL F</v>
      </c>
      <c r="E1338" s="1">
        <f>IFERROR(__xludf.DUMMYFUNCTION("""COMPUTED_VALUE"""),2.0)</f>
        <v>2</v>
      </c>
      <c r="F1338" s="1" t="str">
        <f>IFERROR(__xludf.DUMMYFUNCTION("""COMPUTED_VALUE"""),"Female")</f>
        <v>Female</v>
      </c>
      <c r="G1338" s="4" t="b">
        <f>IFERROR(__xludf.DUMMYFUNCTION("""COMPUTED_VALUE"""),TRUE)</f>
        <v>1</v>
      </c>
      <c r="H1338" s="4" t="b">
        <f>IFERROR(__xludf.DUMMYFUNCTION("""COMPUTED_VALUE"""),TRUE)</f>
        <v>1</v>
      </c>
      <c r="I1338" s="4">
        <f>IFERROR(__xludf.DUMMYFUNCTION("""COMPUTED_VALUE"""),0.2549440625)</f>
        <v>0.2549440625</v>
      </c>
      <c r="J1338" s="4">
        <f>IFERROR(__xludf.DUMMYFUNCTION("""COMPUTED_VALUE"""),45949.272856554715)</f>
        <v>45949.27286</v>
      </c>
      <c r="K1338" s="4" t="str">
        <f>IFERROR(__xludf.DUMMYFUNCTION("""COMPUTED_VALUE"""),"")</f>
        <v/>
      </c>
      <c r="L1338" s="4">
        <f>IFERROR(__xludf.DUMMYFUNCTION("""COMPUTED_VALUE"""),45949.284043228174)</f>
        <v>45949.28404</v>
      </c>
      <c r="M1338" s="1" t="str">
        <f>IFERROR(__xludf.DUMMYFUNCTION("""COMPUTED_VALUE"""),"RFID")</f>
        <v>RFID</v>
      </c>
      <c r="N1338" s="5">
        <f>IFERROR(__xludf.DUMMYFUNCTION("""COMPUTED_VALUE"""),0.007164995370370369)</f>
        <v>0.00716499537</v>
      </c>
      <c r="O1338" s="5" t="str">
        <f>IFERROR(__xludf.DUMMYFUNCTION("""COMPUTED_VALUE"""),"")</f>
        <v/>
      </c>
      <c r="P1338" s="5" t="str">
        <f>IFERROR(__xludf.DUMMYFUNCTION("""COMPUTED_VALUE"""),"")</f>
        <v/>
      </c>
      <c r="Q1338" s="5">
        <f>IFERROR(__xludf.DUMMYFUNCTION("""COMPUTED_VALUE"""),0.005819833333333334)</f>
        <v>0.005819833333</v>
      </c>
      <c r="R1338" s="4">
        <f>IFERROR(__xludf.DUMMYFUNCTION("""COMPUTED_VALUE"""),45949.02909916567)</f>
        <v>45949.0291</v>
      </c>
      <c r="S1338" s="1" t="b">
        <f>IFERROR(__xludf.DUMMYFUNCTION("""COMPUTED_VALUE"""),TRUE)</f>
        <v>1</v>
      </c>
      <c r="T1338" s="1" t="b">
        <f>IFERROR(__xludf.DUMMYFUNCTION("""COMPUTED_VALUE"""),FALSE)</f>
        <v>0</v>
      </c>
      <c r="U1338" s="1" t="str">
        <f>IFERROR(__xludf.DUMMYFUNCTION("""COMPUTED_VALUE"""),"VALID")</f>
        <v>VALID</v>
      </c>
      <c r="V1338" s="1">
        <f>IFERROR(__xludf.DUMMYFUNCTION("""COMPUTED_VALUE"""),52.0)</f>
        <v>52</v>
      </c>
      <c r="W1338" s="1">
        <f>IFERROR(__xludf.DUMMYFUNCTION("""COMPUTED_VALUE"""),501.0)</f>
        <v>501</v>
      </c>
      <c r="X1338" s="1">
        <f>IFERROR(__xludf.DUMMYFUNCTION("""COMPUTED_VALUE"""),73.0)</f>
        <v>73</v>
      </c>
      <c r="Y1338" s="2"/>
      <c r="Z1338" s="2"/>
    </row>
    <row r="1339">
      <c r="A1339" s="1">
        <f>IFERROR(__xludf.DUMMYFUNCTION("""COMPUTED_VALUE"""),1338.0)</f>
        <v>1338</v>
      </c>
      <c r="B1339" s="1">
        <f>IFERROR(__xludf.DUMMYFUNCTION("""COMPUTED_VALUE"""),5717.0)</f>
        <v>5717</v>
      </c>
      <c r="C1339" s="2" t="str">
        <f>IFERROR(__xludf.DUMMYFUNCTION("""COMPUTED_VALUE"""),"Linda Rania")</f>
        <v>Linda Rania</v>
      </c>
      <c r="D1339" s="2" t="str">
        <f>IFERROR(__xludf.DUMMYFUNCTION("""COMPUTED_VALUE"""),"5KM OVERALL F")</f>
        <v>5KM OVERALL F</v>
      </c>
      <c r="E1339" s="1">
        <f>IFERROR(__xludf.DUMMYFUNCTION("""COMPUTED_VALUE"""),2.0)</f>
        <v>2</v>
      </c>
      <c r="F1339" s="1" t="str">
        <f>IFERROR(__xludf.DUMMYFUNCTION("""COMPUTED_VALUE"""),"Female")</f>
        <v>Female</v>
      </c>
      <c r="G1339" s="4" t="b">
        <f>IFERROR(__xludf.DUMMYFUNCTION("""COMPUTED_VALUE"""),TRUE)</f>
        <v>1</v>
      </c>
      <c r="H1339" s="4" t="b">
        <f>IFERROR(__xludf.DUMMYFUNCTION("""COMPUTED_VALUE"""),TRUE)</f>
        <v>1</v>
      </c>
      <c r="I1339" s="4">
        <f>IFERROR(__xludf.DUMMYFUNCTION("""COMPUTED_VALUE"""),0.2549440625)</f>
        <v>0.2549440625</v>
      </c>
      <c r="J1339" s="4">
        <f>IFERROR(__xludf.DUMMYFUNCTION("""COMPUTED_VALUE"""),45949.27896447549)</f>
        <v>45949.27896</v>
      </c>
      <c r="K1339" s="4" t="str">
        <f>IFERROR(__xludf.DUMMYFUNCTION("""COMPUTED_VALUE"""),"")</f>
        <v/>
      </c>
      <c r="L1339" s="4">
        <f>IFERROR(__xludf.DUMMYFUNCTION("""COMPUTED_VALUE"""),45949.29744254048)</f>
        <v>45949.29744</v>
      </c>
      <c r="M1339" s="1" t="str">
        <f>IFERROR(__xludf.DUMMYFUNCTION("""COMPUTED_VALUE"""),"RFID")</f>
        <v>RFID</v>
      </c>
      <c r="N1339" s="5">
        <f>IFERROR(__xludf.DUMMYFUNCTION("""COMPUTED_VALUE"""),0.009608166666666666)</f>
        <v>0.009608166667</v>
      </c>
      <c r="O1339" s="5" t="str">
        <f>IFERROR(__xludf.DUMMYFUNCTION("""COMPUTED_VALUE"""),"")</f>
        <v/>
      </c>
      <c r="P1339" s="5" t="str">
        <f>IFERROR(__xludf.DUMMYFUNCTION("""COMPUTED_VALUE"""),"")</f>
        <v/>
      </c>
      <c r="Q1339" s="5">
        <f>IFERROR(__xludf.DUMMYFUNCTION("""COMPUTED_VALUE"""),0.008499694444444445)</f>
        <v>0.008499694444</v>
      </c>
      <c r="R1339" s="4">
        <f>IFERROR(__xludf.DUMMYFUNCTION("""COMPUTED_VALUE"""),45949.04249847798)</f>
        <v>45949.0425</v>
      </c>
      <c r="S1339" s="1" t="b">
        <f>IFERROR(__xludf.DUMMYFUNCTION("""COMPUTED_VALUE"""),TRUE)</f>
        <v>1</v>
      </c>
      <c r="T1339" s="1" t="b">
        <f>IFERROR(__xludf.DUMMYFUNCTION("""COMPUTED_VALUE"""),FALSE)</f>
        <v>0</v>
      </c>
      <c r="U1339" s="1" t="str">
        <f>IFERROR(__xludf.DUMMYFUNCTION("""COMPUTED_VALUE"""),"VALID")</f>
        <v>VALID</v>
      </c>
      <c r="V1339" s="1">
        <f>IFERROR(__xludf.DUMMYFUNCTION("""COMPUTED_VALUE"""),365.0)</f>
        <v>365</v>
      </c>
      <c r="W1339" s="1">
        <f>IFERROR(__xludf.DUMMYFUNCTION("""COMPUTED_VALUE"""),1345.0)</f>
        <v>1345</v>
      </c>
      <c r="X1339" s="1">
        <f>IFERROR(__xludf.DUMMYFUNCTION("""COMPUTED_VALUE"""),444.0)</f>
        <v>444</v>
      </c>
      <c r="Y1339" s="2"/>
      <c r="Z1339" s="2"/>
    </row>
    <row r="1340">
      <c r="A1340" s="1">
        <f>IFERROR(__xludf.DUMMYFUNCTION("""COMPUTED_VALUE"""),1339.0)</f>
        <v>1339</v>
      </c>
      <c r="B1340" s="1">
        <f>IFERROR(__xludf.DUMMYFUNCTION("""COMPUTED_VALUE"""),5718.0)</f>
        <v>5718</v>
      </c>
      <c r="C1340" s="2" t="str">
        <f>IFERROR(__xludf.DUMMYFUNCTION("""COMPUTED_VALUE"""),"NELLY R.A.A")</f>
        <v>NELLY R.A.A</v>
      </c>
      <c r="D1340" s="2" t="str">
        <f>IFERROR(__xludf.DUMMYFUNCTION("""COMPUTED_VALUE"""),"5KM OVERALL F")</f>
        <v>5KM OVERALL F</v>
      </c>
      <c r="E1340" s="1">
        <f>IFERROR(__xludf.DUMMYFUNCTION("""COMPUTED_VALUE"""),2.0)</f>
        <v>2</v>
      </c>
      <c r="F1340" s="1" t="str">
        <f>IFERROR(__xludf.DUMMYFUNCTION("""COMPUTED_VALUE"""),"Female")</f>
        <v>Female</v>
      </c>
      <c r="G1340" s="4" t="b">
        <f>IFERROR(__xludf.DUMMYFUNCTION("""COMPUTED_VALUE"""),TRUE)</f>
        <v>1</v>
      </c>
      <c r="H1340" s="4" t="b">
        <f>IFERROR(__xludf.DUMMYFUNCTION("""COMPUTED_VALUE"""),TRUE)</f>
        <v>1</v>
      </c>
      <c r="I1340" s="4">
        <f>IFERROR(__xludf.DUMMYFUNCTION("""COMPUTED_VALUE"""),0.2549440625)</f>
        <v>0.2549440625</v>
      </c>
      <c r="J1340" s="4">
        <f>IFERROR(__xludf.DUMMYFUNCTION("""COMPUTED_VALUE"""),45949.27968642178)</f>
        <v>45949.27969</v>
      </c>
      <c r="K1340" s="4" t="str">
        <f>IFERROR(__xludf.DUMMYFUNCTION("""COMPUTED_VALUE"""),"")</f>
        <v/>
      </c>
      <c r="L1340" s="4">
        <f>IFERROR(__xludf.DUMMYFUNCTION("""COMPUTED_VALUE"""),45949.29913350972)</f>
        <v>45949.29913</v>
      </c>
      <c r="M1340" s="1" t="str">
        <f>IFERROR(__xludf.DUMMYFUNCTION("""COMPUTED_VALUE"""),"RFID")</f>
        <v>RFID</v>
      </c>
      <c r="N1340" s="5">
        <f>IFERROR(__xludf.DUMMYFUNCTION("""COMPUTED_VALUE"""),0.009896944444444443)</f>
        <v>0.009896944444</v>
      </c>
      <c r="O1340" s="5" t="str">
        <f>IFERROR(__xludf.DUMMYFUNCTION("""COMPUTED_VALUE"""),"")</f>
        <v/>
      </c>
      <c r="P1340" s="5" t="str">
        <f>IFERROR(__xludf.DUMMYFUNCTION("""COMPUTED_VALUE"""),"")</f>
        <v/>
      </c>
      <c r="Q1340" s="5">
        <f>IFERROR(__xludf.DUMMYFUNCTION("""COMPUTED_VALUE"""),0.008837888888888888)</f>
        <v>0.008837888889</v>
      </c>
      <c r="R1340" s="4">
        <f>IFERROR(__xludf.DUMMYFUNCTION("""COMPUTED_VALUE"""),45949.04418944722)</f>
        <v>45949.04419</v>
      </c>
      <c r="S1340" s="1" t="b">
        <f>IFERROR(__xludf.DUMMYFUNCTION("""COMPUTED_VALUE"""),TRUE)</f>
        <v>1</v>
      </c>
      <c r="T1340" s="1" t="b">
        <f>IFERROR(__xludf.DUMMYFUNCTION("""COMPUTED_VALUE"""),FALSE)</f>
        <v>0</v>
      </c>
      <c r="U1340" s="1" t="str">
        <f>IFERROR(__xludf.DUMMYFUNCTION("""COMPUTED_VALUE"""),"VALID")</f>
        <v>VALID</v>
      </c>
      <c r="V1340" s="1">
        <f>IFERROR(__xludf.DUMMYFUNCTION("""COMPUTED_VALUE"""),400.0)</f>
        <v>400</v>
      </c>
      <c r="W1340" s="1">
        <f>IFERROR(__xludf.DUMMYFUNCTION("""COMPUTED_VALUE"""),1413.0)</f>
        <v>1413</v>
      </c>
      <c r="X1340" s="1">
        <f>IFERROR(__xludf.DUMMYFUNCTION("""COMPUTED_VALUE"""),488.0)</f>
        <v>488</v>
      </c>
      <c r="Y1340" s="2"/>
      <c r="Z1340" s="2"/>
    </row>
    <row r="1341">
      <c r="A1341" s="1">
        <f>IFERROR(__xludf.DUMMYFUNCTION("""COMPUTED_VALUE"""),1340.0)</f>
        <v>1340</v>
      </c>
      <c r="B1341" s="1">
        <f>IFERROR(__xludf.DUMMYFUNCTION("""COMPUTED_VALUE"""),5722.0)</f>
        <v>5722</v>
      </c>
      <c r="C1341" s="2" t="str">
        <f>IFERROR(__xludf.DUMMYFUNCTION("""COMPUTED_VALUE"""),"docmon")</f>
        <v>docmon</v>
      </c>
      <c r="D1341" s="2" t="str">
        <f>IFERROR(__xludf.DUMMYFUNCTION("""COMPUTED_VALUE"""),"5KM OVERALL F")</f>
        <v>5KM OVERALL F</v>
      </c>
      <c r="E1341" s="1">
        <f>IFERROR(__xludf.DUMMYFUNCTION("""COMPUTED_VALUE"""),2.0)</f>
        <v>2</v>
      </c>
      <c r="F1341" s="1" t="str">
        <f>IFERROR(__xludf.DUMMYFUNCTION("""COMPUTED_VALUE"""),"Female")</f>
        <v>Female</v>
      </c>
      <c r="G1341" s="4" t="b">
        <f>IFERROR(__xludf.DUMMYFUNCTION("""COMPUTED_VALUE"""),TRUE)</f>
        <v>1</v>
      </c>
      <c r="H1341" s="4" t="b">
        <f>IFERROR(__xludf.DUMMYFUNCTION("""COMPUTED_VALUE"""),TRUE)</f>
        <v>1</v>
      </c>
      <c r="I1341" s="4">
        <f>IFERROR(__xludf.DUMMYFUNCTION("""COMPUTED_VALUE"""),0.2549440625)</f>
        <v>0.2549440625</v>
      </c>
      <c r="J1341" s="4">
        <f>IFERROR(__xludf.DUMMYFUNCTION("""COMPUTED_VALUE"""),45949.27291906156)</f>
        <v>45949.27292</v>
      </c>
      <c r="K1341" s="4" t="str">
        <f>IFERROR(__xludf.DUMMYFUNCTION("""COMPUTED_VALUE"""),"")</f>
        <v/>
      </c>
      <c r="L1341" s="4">
        <f>IFERROR(__xludf.DUMMYFUNCTION("""COMPUTED_VALUE"""),45949.28555711479)</f>
        <v>45949.28556</v>
      </c>
      <c r="M1341" s="1" t="str">
        <f>IFERROR(__xludf.DUMMYFUNCTION("""COMPUTED_VALUE"""),"RFID")</f>
        <v>RFID</v>
      </c>
      <c r="N1341" s="5">
        <f>IFERROR(__xludf.DUMMYFUNCTION("""COMPUTED_VALUE"""),0.007189999999999999)</f>
        <v>0.00719</v>
      </c>
      <c r="O1341" s="5" t="str">
        <f>IFERROR(__xludf.DUMMYFUNCTION("""COMPUTED_VALUE"""),"")</f>
        <v/>
      </c>
      <c r="P1341" s="5" t="str">
        <f>IFERROR(__xludf.DUMMYFUNCTION("""COMPUTED_VALUE"""),"")</f>
        <v/>
      </c>
      <c r="Q1341" s="5">
        <f>IFERROR(__xludf.DUMMYFUNCTION("""COMPUTED_VALUE"""),0.006122611111111111)</f>
        <v>0.006122611111</v>
      </c>
      <c r="R1341" s="4">
        <f>IFERROR(__xludf.DUMMYFUNCTION("""COMPUTED_VALUE"""),45949.03061305229)</f>
        <v>45949.03061</v>
      </c>
      <c r="S1341" s="1" t="b">
        <f>IFERROR(__xludf.DUMMYFUNCTION("""COMPUTED_VALUE"""),TRUE)</f>
        <v>1</v>
      </c>
      <c r="T1341" s="1" t="b">
        <f>IFERROR(__xludf.DUMMYFUNCTION("""COMPUTED_VALUE"""),FALSE)</f>
        <v>0</v>
      </c>
      <c r="U1341" s="1" t="str">
        <f>IFERROR(__xludf.DUMMYFUNCTION("""COMPUTED_VALUE"""),"VALID")</f>
        <v>VALID</v>
      </c>
      <c r="V1341" s="1">
        <f>IFERROR(__xludf.DUMMYFUNCTION("""COMPUTED_VALUE"""),85.0)</f>
        <v>85</v>
      </c>
      <c r="W1341" s="1">
        <f>IFERROR(__xludf.DUMMYFUNCTION("""COMPUTED_VALUE"""),608.0)</f>
        <v>608</v>
      </c>
      <c r="X1341" s="1">
        <f>IFERROR(__xludf.DUMMYFUNCTION("""COMPUTED_VALUE"""),109.0)</f>
        <v>109</v>
      </c>
      <c r="Y1341" s="2"/>
      <c r="Z1341" s="2"/>
    </row>
    <row r="1342">
      <c r="A1342" s="1">
        <f>IFERROR(__xludf.DUMMYFUNCTION("""COMPUTED_VALUE"""),1341.0)</f>
        <v>1341</v>
      </c>
      <c r="B1342" s="1">
        <f>IFERROR(__xludf.DUMMYFUNCTION("""COMPUTED_VALUE"""),5723.0)</f>
        <v>5723</v>
      </c>
      <c r="C1342" s="2" t="str">
        <f>IFERROR(__xludf.DUMMYFUNCTION("""COMPUTED_VALUE"""),"Gisel Gabriel")</f>
        <v>Gisel Gabriel</v>
      </c>
      <c r="D1342" s="2" t="str">
        <f>IFERROR(__xludf.DUMMYFUNCTION("""COMPUTED_VALUE"""),"5KM OVERALL F")</f>
        <v>5KM OVERALL F</v>
      </c>
      <c r="E1342" s="1">
        <f>IFERROR(__xludf.DUMMYFUNCTION("""COMPUTED_VALUE"""),2.0)</f>
        <v>2</v>
      </c>
      <c r="F1342" s="1" t="str">
        <f>IFERROR(__xludf.DUMMYFUNCTION("""COMPUTED_VALUE"""),"Female")</f>
        <v>Female</v>
      </c>
      <c r="G1342" s="4" t="b">
        <f>IFERROR(__xludf.DUMMYFUNCTION("""COMPUTED_VALUE"""),TRUE)</f>
        <v>1</v>
      </c>
      <c r="H1342" s="4" t="b">
        <f>IFERROR(__xludf.DUMMYFUNCTION("""COMPUTED_VALUE"""),FALSE)</f>
        <v>0</v>
      </c>
      <c r="I1342" s="4">
        <f>IFERROR(__xludf.DUMMYFUNCTION("""COMPUTED_VALUE"""),0.2549440625)</f>
        <v>0.2549440625</v>
      </c>
      <c r="J1342" s="4">
        <f>IFERROR(__xludf.DUMMYFUNCTION("""COMPUTED_VALUE"""),45949.275797617585)</f>
        <v>45949.2758</v>
      </c>
      <c r="K1342" s="4" t="str">
        <f>IFERROR(__xludf.DUMMYFUNCTION("""COMPUTED_VALUE"""),"")</f>
        <v/>
      </c>
      <c r="L1342" s="4">
        <f>IFERROR(__xludf.DUMMYFUNCTION("""COMPUTED_VALUE"""),45949.2907064392)</f>
        <v>45949.29071</v>
      </c>
      <c r="M1342" s="1" t="str">
        <f>IFERROR(__xludf.DUMMYFUNCTION("""COMPUTED_VALUE"""),"RFID")</f>
        <v>RFID</v>
      </c>
      <c r="N1342" s="5">
        <f>IFERROR(__xludf.DUMMYFUNCTION("""COMPUTED_VALUE"""),0.008341421296296296)</f>
        <v>0.008341421296</v>
      </c>
      <c r="O1342" s="5" t="str">
        <f>IFERROR(__xludf.DUMMYFUNCTION("""COMPUTED_VALUE"""),"")</f>
        <v/>
      </c>
      <c r="P1342" s="5" t="str">
        <f>IFERROR(__xludf.DUMMYFUNCTION("""COMPUTED_VALUE"""),"")</f>
        <v/>
      </c>
      <c r="Q1342" s="5">
        <f>IFERROR(__xludf.DUMMYFUNCTION("""COMPUTED_VALUE"""),0.007152474537037037)</f>
        <v>0.007152474537</v>
      </c>
      <c r="R1342" s="4">
        <f>IFERROR(__xludf.DUMMYFUNCTION("""COMPUTED_VALUE"""),45949.0357623767)</f>
        <v>45949.03576</v>
      </c>
      <c r="S1342" s="1" t="b">
        <f>IFERROR(__xludf.DUMMYFUNCTION("""COMPUTED_VALUE"""),TRUE)</f>
        <v>1</v>
      </c>
      <c r="T1342" s="1" t="b">
        <f>IFERROR(__xludf.DUMMYFUNCTION("""COMPUTED_VALUE"""),FALSE)</f>
        <v>0</v>
      </c>
      <c r="U1342" s="1" t="str">
        <f>IFERROR(__xludf.DUMMYFUNCTION("""COMPUTED_VALUE"""),"VALID")</f>
        <v>VALID</v>
      </c>
      <c r="V1342" s="1">
        <f>IFERROR(__xludf.DUMMYFUNCTION("""COMPUTED_VALUE"""),178.0)</f>
        <v>178</v>
      </c>
      <c r="W1342" s="1">
        <f>IFERROR(__xludf.DUMMYFUNCTION("""COMPUTED_VALUE"""),941.0)</f>
        <v>941</v>
      </c>
      <c r="X1342" s="1">
        <f>IFERROR(__xludf.DUMMYFUNCTION("""COMPUTED_VALUE"""),223.0)</f>
        <v>223</v>
      </c>
      <c r="Y1342" s="2"/>
      <c r="Z1342" s="2"/>
    </row>
    <row r="1343">
      <c r="A1343" s="1">
        <f>IFERROR(__xludf.DUMMYFUNCTION("""COMPUTED_VALUE"""),1342.0)</f>
        <v>1342</v>
      </c>
      <c r="B1343" s="1">
        <f>IFERROR(__xludf.DUMMYFUNCTION("""COMPUTED_VALUE"""),5729.0)</f>
        <v>5729</v>
      </c>
      <c r="C1343" s="2" t="str">
        <f>IFERROR(__xludf.DUMMYFUNCTION("""COMPUTED_VALUE"""),"Fredelica")</f>
        <v>Fredelica</v>
      </c>
      <c r="D1343" s="2" t="str">
        <f>IFERROR(__xludf.DUMMYFUNCTION("""COMPUTED_VALUE"""),"5KM OVERALL F")</f>
        <v>5KM OVERALL F</v>
      </c>
      <c r="E1343" s="1">
        <f>IFERROR(__xludf.DUMMYFUNCTION("""COMPUTED_VALUE"""),2.0)</f>
        <v>2</v>
      </c>
      <c r="F1343" s="1" t="str">
        <f>IFERROR(__xludf.DUMMYFUNCTION("""COMPUTED_VALUE"""),"Female")</f>
        <v>Female</v>
      </c>
      <c r="G1343" s="4" t="b">
        <f>IFERROR(__xludf.DUMMYFUNCTION("""COMPUTED_VALUE"""),TRUE)</f>
        <v>1</v>
      </c>
      <c r="H1343" s="4" t="b">
        <f>IFERROR(__xludf.DUMMYFUNCTION("""COMPUTED_VALUE"""),TRUE)</f>
        <v>1</v>
      </c>
      <c r="I1343" s="4">
        <f>IFERROR(__xludf.DUMMYFUNCTION("""COMPUTED_VALUE"""),0.2549440625)</f>
        <v>0.2549440625</v>
      </c>
      <c r="J1343" s="4">
        <f>IFERROR(__xludf.DUMMYFUNCTION("""COMPUTED_VALUE"""),45949.283460723396)</f>
        <v>45949.28346</v>
      </c>
      <c r="K1343" s="4" t="str">
        <f>IFERROR(__xludf.DUMMYFUNCTION("""COMPUTED_VALUE"""),"")</f>
        <v/>
      </c>
      <c r="L1343" s="4">
        <f>IFERROR(__xludf.DUMMYFUNCTION("""COMPUTED_VALUE"""),45949.301946002066)</f>
        <v>45949.30195</v>
      </c>
      <c r="M1343" s="1" t="str">
        <f>IFERROR(__xludf.DUMMYFUNCTION("""COMPUTED_VALUE"""),"RFID")</f>
        <v>RFID</v>
      </c>
      <c r="N1343" s="5">
        <f>IFERROR(__xludf.DUMMYFUNCTION("""COMPUTED_VALUE"""),0.011406666666666667)</f>
        <v>0.01140666667</v>
      </c>
      <c r="O1343" s="5" t="str">
        <f>IFERROR(__xludf.DUMMYFUNCTION("""COMPUTED_VALUE"""),"")</f>
        <v/>
      </c>
      <c r="P1343" s="5" t="str">
        <f>IFERROR(__xludf.DUMMYFUNCTION("""COMPUTED_VALUE"""),"")</f>
        <v/>
      </c>
      <c r="Q1343" s="5">
        <f>IFERROR(__xludf.DUMMYFUNCTION("""COMPUTED_VALUE"""),0.009400388888888889)</f>
        <v>0.009400388889</v>
      </c>
      <c r="R1343" s="4">
        <f>IFERROR(__xludf.DUMMYFUNCTION("""COMPUTED_VALUE"""),45949.047001939565)</f>
        <v>45949.047</v>
      </c>
      <c r="S1343" s="1" t="b">
        <f>IFERROR(__xludf.DUMMYFUNCTION("""COMPUTED_VALUE"""),TRUE)</f>
        <v>1</v>
      </c>
      <c r="T1343" s="1" t="b">
        <f>IFERROR(__xludf.DUMMYFUNCTION("""COMPUTED_VALUE"""),FALSE)</f>
        <v>0</v>
      </c>
      <c r="U1343" s="1" t="str">
        <f>IFERROR(__xludf.DUMMYFUNCTION("""COMPUTED_VALUE"""),"VALID")</f>
        <v>VALID</v>
      </c>
      <c r="V1343" s="1">
        <f>IFERROR(__xludf.DUMMYFUNCTION("""COMPUTED_VALUE"""),460.0)</f>
        <v>460</v>
      </c>
      <c r="W1343" s="1">
        <f>IFERROR(__xludf.DUMMYFUNCTION("""COMPUTED_VALUE"""),1516.0)</f>
        <v>1516</v>
      </c>
      <c r="X1343" s="1">
        <f>IFERROR(__xludf.DUMMYFUNCTION("""COMPUTED_VALUE"""),560.0)</f>
        <v>560</v>
      </c>
      <c r="Y1343" s="2"/>
      <c r="Z1343" s="2"/>
    </row>
    <row r="1344">
      <c r="A1344" s="1">
        <f>IFERROR(__xludf.DUMMYFUNCTION("""COMPUTED_VALUE"""),1343.0)</f>
        <v>1343</v>
      </c>
      <c r="B1344" s="1">
        <f>IFERROR(__xludf.DUMMYFUNCTION("""COMPUTED_VALUE"""),5735.0)</f>
        <v>5735</v>
      </c>
      <c r="C1344" s="2" t="str">
        <f>IFERROR(__xludf.DUMMYFUNCTION("""COMPUTED_VALUE"""),"ARUM")</f>
        <v>ARUM</v>
      </c>
      <c r="D1344" s="2" t="str">
        <f>IFERROR(__xludf.DUMMYFUNCTION("""COMPUTED_VALUE"""),"5KM OVERALL F")</f>
        <v>5KM OVERALL F</v>
      </c>
      <c r="E1344" s="1">
        <f>IFERROR(__xludf.DUMMYFUNCTION("""COMPUTED_VALUE"""),2.0)</f>
        <v>2</v>
      </c>
      <c r="F1344" s="1" t="str">
        <f>IFERROR(__xludf.DUMMYFUNCTION("""COMPUTED_VALUE"""),"Female")</f>
        <v>Female</v>
      </c>
      <c r="G1344" s="4" t="b">
        <f>IFERROR(__xludf.DUMMYFUNCTION("""COMPUTED_VALUE"""),TRUE)</f>
        <v>1</v>
      </c>
      <c r="H1344" s="4" t="b">
        <f>IFERROR(__xludf.DUMMYFUNCTION("""COMPUTED_VALUE"""),FALSE)</f>
        <v>0</v>
      </c>
      <c r="I1344" s="4">
        <f>IFERROR(__xludf.DUMMYFUNCTION("""COMPUTED_VALUE"""),0.2549440625)</f>
        <v>0.2549440625</v>
      </c>
      <c r="J1344" s="4">
        <f>IFERROR(__xludf.DUMMYFUNCTION("""COMPUTED_VALUE"""),45949.27184613944)</f>
        <v>45949.27185</v>
      </c>
      <c r="K1344" s="4" t="str">
        <f>IFERROR(__xludf.DUMMYFUNCTION("""COMPUTED_VALUE"""),"")</f>
        <v/>
      </c>
      <c r="L1344" s="4">
        <f>IFERROR(__xludf.DUMMYFUNCTION("""COMPUTED_VALUE"""),45949.28658490815)</f>
        <v>45949.28658</v>
      </c>
      <c r="M1344" s="1" t="str">
        <f>IFERROR(__xludf.DUMMYFUNCTION("""COMPUTED_VALUE"""),"RFID")</f>
        <v>RFID</v>
      </c>
      <c r="N1344" s="5">
        <f>IFERROR(__xludf.DUMMYFUNCTION("""COMPUTED_VALUE"""),0.006760828703703703)</f>
        <v>0.006760828704</v>
      </c>
      <c r="O1344" s="5" t="str">
        <f>IFERROR(__xludf.DUMMYFUNCTION("""COMPUTED_VALUE"""),"")</f>
        <v/>
      </c>
      <c r="P1344" s="5" t="str">
        <f>IFERROR(__xludf.DUMMYFUNCTION("""COMPUTED_VALUE"""),"")</f>
        <v/>
      </c>
      <c r="Q1344" s="5">
        <f>IFERROR(__xludf.DUMMYFUNCTION("""COMPUTED_VALUE"""),0.0063281689814814815)</f>
        <v>0.006328168981</v>
      </c>
      <c r="R1344" s="4">
        <f>IFERROR(__xludf.DUMMYFUNCTION("""COMPUTED_VALUE"""),45949.03164084565)</f>
        <v>45949.03164</v>
      </c>
      <c r="S1344" s="1" t="b">
        <f>IFERROR(__xludf.DUMMYFUNCTION("""COMPUTED_VALUE"""),TRUE)</f>
        <v>1</v>
      </c>
      <c r="T1344" s="1" t="b">
        <f>IFERROR(__xludf.DUMMYFUNCTION("""COMPUTED_VALUE"""),FALSE)</f>
        <v>0</v>
      </c>
      <c r="U1344" s="1" t="str">
        <f>IFERROR(__xludf.DUMMYFUNCTION("""COMPUTED_VALUE"""),"VALID")</f>
        <v>VALID</v>
      </c>
      <c r="V1344" s="1">
        <f>IFERROR(__xludf.DUMMYFUNCTION("""COMPUTED_VALUE"""),105.0)</f>
        <v>105</v>
      </c>
      <c r="W1344" s="1">
        <f>IFERROR(__xludf.DUMMYFUNCTION("""COMPUTED_VALUE"""),675.0)</f>
        <v>675</v>
      </c>
      <c r="X1344" s="1">
        <f>IFERROR(__xludf.DUMMYFUNCTION("""COMPUTED_VALUE"""),132.0)</f>
        <v>132</v>
      </c>
      <c r="Y1344" s="2"/>
      <c r="Z1344" s="2"/>
    </row>
    <row r="1345">
      <c r="A1345" s="1">
        <f>IFERROR(__xludf.DUMMYFUNCTION("""COMPUTED_VALUE"""),1344.0)</f>
        <v>1344</v>
      </c>
      <c r="B1345" s="1">
        <f>IFERROR(__xludf.DUMMYFUNCTION("""COMPUTED_VALUE"""),5739.0)</f>
        <v>5739</v>
      </c>
      <c r="C1345" s="2" t="str">
        <f>IFERROR(__xludf.DUMMYFUNCTION("""COMPUTED_VALUE"""),"Ilya Ikrami")</f>
        <v>Ilya Ikrami</v>
      </c>
      <c r="D1345" s="2" t="str">
        <f>IFERROR(__xludf.DUMMYFUNCTION("""COMPUTED_VALUE"""),"5KM OVERALL F")</f>
        <v>5KM OVERALL F</v>
      </c>
      <c r="E1345" s="1">
        <f>IFERROR(__xludf.DUMMYFUNCTION("""COMPUTED_VALUE"""),2.0)</f>
        <v>2</v>
      </c>
      <c r="F1345" s="1" t="str">
        <f>IFERROR(__xludf.DUMMYFUNCTION("""COMPUTED_VALUE"""),"Female")</f>
        <v>Female</v>
      </c>
      <c r="G1345" s="4" t="b">
        <f>IFERROR(__xludf.DUMMYFUNCTION("""COMPUTED_VALUE"""),TRUE)</f>
        <v>1</v>
      </c>
      <c r="H1345" s="4" t="b">
        <f>IFERROR(__xludf.DUMMYFUNCTION("""COMPUTED_VALUE"""),TRUE)</f>
        <v>1</v>
      </c>
      <c r="I1345" s="4">
        <f>IFERROR(__xludf.DUMMYFUNCTION("""COMPUTED_VALUE"""),0.2549440625)</f>
        <v>0.2549440625</v>
      </c>
      <c r="J1345" s="4">
        <f>IFERROR(__xludf.DUMMYFUNCTION("""COMPUTED_VALUE"""),45949.27992599455)</f>
        <v>45949.27993</v>
      </c>
      <c r="K1345" s="4" t="str">
        <f>IFERROR(__xludf.DUMMYFUNCTION("""COMPUTED_VALUE"""),"")</f>
        <v/>
      </c>
      <c r="L1345" s="4">
        <f>IFERROR(__xludf.DUMMYFUNCTION("""COMPUTED_VALUE"""),45949.29844670164)</f>
        <v>45949.29845</v>
      </c>
      <c r="M1345" s="1" t="str">
        <f>IFERROR(__xludf.DUMMYFUNCTION("""COMPUTED_VALUE"""),"RFID")</f>
        <v>RFID</v>
      </c>
      <c r="N1345" s="5">
        <f>IFERROR(__xludf.DUMMYFUNCTION("""COMPUTED_VALUE"""),0.009992773148148146)</f>
        <v>0.009992773148</v>
      </c>
      <c r="O1345" s="5" t="str">
        <f>IFERROR(__xludf.DUMMYFUNCTION("""COMPUTED_VALUE"""),"")</f>
        <v/>
      </c>
      <c r="P1345" s="5" t="str">
        <f>IFERROR(__xludf.DUMMYFUNCTION("""COMPUTED_VALUE"""),"")</f>
        <v/>
      </c>
      <c r="Q1345" s="5">
        <f>IFERROR(__xludf.DUMMYFUNCTION("""COMPUTED_VALUE"""),0.008700527777777778)</f>
        <v>0.008700527778</v>
      </c>
      <c r="R1345" s="4">
        <f>IFERROR(__xludf.DUMMYFUNCTION("""COMPUTED_VALUE"""),45949.04350263914)</f>
        <v>45949.0435</v>
      </c>
      <c r="S1345" s="1" t="b">
        <f>IFERROR(__xludf.DUMMYFUNCTION("""COMPUTED_VALUE"""),TRUE)</f>
        <v>1</v>
      </c>
      <c r="T1345" s="1" t="b">
        <f>IFERROR(__xludf.DUMMYFUNCTION("""COMPUTED_VALUE"""),FALSE)</f>
        <v>0</v>
      </c>
      <c r="U1345" s="1" t="str">
        <f>IFERROR(__xludf.DUMMYFUNCTION("""COMPUTED_VALUE"""),"VALID")</f>
        <v>VALID</v>
      </c>
      <c r="V1345" s="1">
        <f>IFERROR(__xludf.DUMMYFUNCTION("""COMPUTED_VALUE"""),382.0)</f>
        <v>382</v>
      </c>
      <c r="W1345" s="1">
        <f>IFERROR(__xludf.DUMMYFUNCTION("""COMPUTED_VALUE"""),1371.0)</f>
        <v>1371</v>
      </c>
      <c r="X1345" s="1">
        <f>IFERROR(__xludf.DUMMYFUNCTION("""COMPUTED_VALUE"""),463.0)</f>
        <v>463</v>
      </c>
      <c r="Y1345" s="2"/>
      <c r="Z1345" s="2"/>
    </row>
    <row r="1346">
      <c r="A1346" s="1">
        <f>IFERROR(__xludf.DUMMYFUNCTION("""COMPUTED_VALUE"""),1345.0)</f>
        <v>1345</v>
      </c>
      <c r="B1346" s="1">
        <f>IFERROR(__xludf.DUMMYFUNCTION("""COMPUTED_VALUE"""),5741.0)</f>
        <v>5741</v>
      </c>
      <c r="C1346" s="2" t="str">
        <f>IFERROR(__xludf.DUMMYFUNCTION("""COMPUTED_VALUE"""),"RICO")</f>
        <v>RICO</v>
      </c>
      <c r="D1346" s="2" t="str">
        <f>IFERROR(__xludf.DUMMYFUNCTION("""COMPUTED_VALUE"""),"5KM OVERALL F")</f>
        <v>5KM OVERALL F</v>
      </c>
      <c r="E1346" s="1">
        <f>IFERROR(__xludf.DUMMYFUNCTION("""COMPUTED_VALUE"""),2.0)</f>
        <v>2</v>
      </c>
      <c r="F1346" s="1" t="str">
        <f>IFERROR(__xludf.DUMMYFUNCTION("""COMPUTED_VALUE"""),"Female")</f>
        <v>Female</v>
      </c>
      <c r="G1346" s="4" t="b">
        <f>IFERROR(__xludf.DUMMYFUNCTION("""COMPUTED_VALUE"""),TRUE)</f>
        <v>1</v>
      </c>
      <c r="H1346" s="4" t="b">
        <f>IFERROR(__xludf.DUMMYFUNCTION("""COMPUTED_VALUE"""),FALSE)</f>
        <v>0</v>
      </c>
      <c r="I1346" s="4">
        <f>IFERROR(__xludf.DUMMYFUNCTION("""COMPUTED_VALUE"""),0.2549440625)</f>
        <v>0.2549440625</v>
      </c>
      <c r="J1346" s="4">
        <f>IFERROR(__xludf.DUMMYFUNCTION("""COMPUTED_VALUE"""),45949.275502391436)</f>
        <v>45949.2755</v>
      </c>
      <c r="K1346" s="4" t="str">
        <f>IFERROR(__xludf.DUMMYFUNCTION("""COMPUTED_VALUE"""),"")</f>
        <v/>
      </c>
      <c r="L1346" s="4">
        <f>IFERROR(__xludf.DUMMYFUNCTION("""COMPUTED_VALUE"""),45949.28834878629)</f>
        <v>45949.28835</v>
      </c>
      <c r="M1346" s="1" t="str">
        <f>IFERROR(__xludf.DUMMYFUNCTION("""COMPUTED_VALUE"""),"RFID")</f>
        <v>RFID</v>
      </c>
      <c r="N1346" s="5">
        <f>IFERROR(__xludf.DUMMYFUNCTION("""COMPUTED_VALUE"""),0.008223333333333334)</f>
        <v>0.008223333333</v>
      </c>
      <c r="O1346" s="5" t="str">
        <f>IFERROR(__xludf.DUMMYFUNCTION("""COMPUTED_VALUE"""),"")</f>
        <v/>
      </c>
      <c r="P1346" s="5" t="str">
        <f>IFERROR(__xludf.DUMMYFUNCTION("""COMPUTED_VALUE"""),"")</f>
        <v/>
      </c>
      <c r="Q1346" s="5">
        <f>IFERROR(__xludf.DUMMYFUNCTION("""COMPUTED_VALUE"""),0.006680944444444445)</f>
        <v>0.006680944444</v>
      </c>
      <c r="R1346" s="4">
        <f>IFERROR(__xludf.DUMMYFUNCTION("""COMPUTED_VALUE"""),45949.03340472379)</f>
        <v>45949.0334</v>
      </c>
      <c r="S1346" s="1" t="b">
        <f>IFERROR(__xludf.DUMMYFUNCTION("""COMPUTED_VALUE"""),TRUE)</f>
        <v>1</v>
      </c>
      <c r="T1346" s="1" t="b">
        <f>IFERROR(__xludf.DUMMYFUNCTION("""COMPUTED_VALUE"""),FALSE)</f>
        <v>0</v>
      </c>
      <c r="U1346" s="1" t="str">
        <f>IFERROR(__xludf.DUMMYFUNCTION("""COMPUTED_VALUE"""),"VALID")</f>
        <v>VALID</v>
      </c>
      <c r="V1346" s="1">
        <f>IFERROR(__xludf.DUMMYFUNCTION("""COMPUTED_VALUE"""),135.0)</f>
        <v>135</v>
      </c>
      <c r="W1346" s="1">
        <f>IFERROR(__xludf.DUMMYFUNCTION("""COMPUTED_VALUE"""),800.0)</f>
        <v>800</v>
      </c>
      <c r="X1346" s="1">
        <f>IFERROR(__xludf.DUMMYFUNCTION("""COMPUTED_VALUE"""),169.0)</f>
        <v>169</v>
      </c>
      <c r="Y1346" s="2"/>
      <c r="Z1346" s="2"/>
    </row>
    <row r="1347">
      <c r="A1347" s="1">
        <f>IFERROR(__xludf.DUMMYFUNCTION("""COMPUTED_VALUE"""),1346.0)</f>
        <v>1346</v>
      </c>
      <c r="B1347" s="1">
        <f>IFERROR(__xludf.DUMMYFUNCTION("""COMPUTED_VALUE"""),5742.0)</f>
        <v>5742</v>
      </c>
      <c r="C1347" s="2" t="str">
        <f>IFERROR(__xludf.DUMMYFUNCTION("""COMPUTED_VALUE"""),"AYU")</f>
        <v>AYU</v>
      </c>
      <c r="D1347" s="2" t="str">
        <f>IFERROR(__xludf.DUMMYFUNCTION("""COMPUTED_VALUE"""),"5KM OVERALL F")</f>
        <v>5KM OVERALL F</v>
      </c>
      <c r="E1347" s="1">
        <f>IFERROR(__xludf.DUMMYFUNCTION("""COMPUTED_VALUE"""),2.0)</f>
        <v>2</v>
      </c>
      <c r="F1347" s="1" t="str">
        <f>IFERROR(__xludf.DUMMYFUNCTION("""COMPUTED_VALUE"""),"Female")</f>
        <v>Female</v>
      </c>
      <c r="G1347" s="4" t="b">
        <f>IFERROR(__xludf.DUMMYFUNCTION("""COMPUTED_VALUE"""),TRUE)</f>
        <v>1</v>
      </c>
      <c r="H1347" s="4" t="b">
        <f>IFERROR(__xludf.DUMMYFUNCTION("""COMPUTED_VALUE"""),TRUE)</f>
        <v>1</v>
      </c>
      <c r="I1347" s="4">
        <f>IFERROR(__xludf.DUMMYFUNCTION("""COMPUTED_VALUE"""),0.2549440625)</f>
        <v>0.2549440625</v>
      </c>
      <c r="J1347" s="4">
        <f>IFERROR(__xludf.DUMMYFUNCTION("""COMPUTED_VALUE"""),45949.27547113365)</f>
        <v>45949.27547</v>
      </c>
      <c r="K1347" s="4" t="str">
        <f>IFERROR(__xludf.DUMMYFUNCTION("""COMPUTED_VALUE"""),"")</f>
        <v/>
      </c>
      <c r="L1347" s="4">
        <f>IFERROR(__xludf.DUMMYFUNCTION("""COMPUTED_VALUE"""),45949.289515448945)</f>
        <v>45949.28952</v>
      </c>
      <c r="M1347" s="1" t="str">
        <f>IFERROR(__xludf.DUMMYFUNCTION("""COMPUTED_VALUE"""),"RFID")</f>
        <v>RFID</v>
      </c>
      <c r="N1347" s="5">
        <f>IFERROR(__xludf.DUMMYFUNCTION("""COMPUTED_VALUE"""),0.008210828703703705)</f>
        <v>0.008210828704</v>
      </c>
      <c r="O1347" s="5" t="str">
        <f>IFERROR(__xludf.DUMMYFUNCTION("""COMPUTED_VALUE"""),"")</f>
        <v/>
      </c>
      <c r="P1347" s="5" t="str">
        <f>IFERROR(__xludf.DUMMYFUNCTION("""COMPUTED_VALUE"""),"")</f>
        <v/>
      </c>
      <c r="Q1347" s="5">
        <f>IFERROR(__xludf.DUMMYFUNCTION("""COMPUTED_VALUE"""),0.006914277777777778)</f>
        <v>0.006914277778</v>
      </c>
      <c r="R1347" s="4">
        <f>IFERROR(__xludf.DUMMYFUNCTION("""COMPUTED_VALUE"""),45949.034571386444)</f>
        <v>45949.03457</v>
      </c>
      <c r="S1347" s="1" t="b">
        <f>IFERROR(__xludf.DUMMYFUNCTION("""COMPUTED_VALUE"""),TRUE)</f>
        <v>1</v>
      </c>
      <c r="T1347" s="1" t="b">
        <f>IFERROR(__xludf.DUMMYFUNCTION("""COMPUTED_VALUE"""),FALSE)</f>
        <v>0</v>
      </c>
      <c r="U1347" s="1" t="str">
        <f>IFERROR(__xludf.DUMMYFUNCTION("""COMPUTED_VALUE"""),"VALID")</f>
        <v>VALID</v>
      </c>
      <c r="V1347" s="1">
        <f>IFERROR(__xludf.DUMMYFUNCTION("""COMPUTED_VALUE"""),155.0)</f>
        <v>155</v>
      </c>
      <c r="W1347" s="1">
        <f>IFERROR(__xludf.DUMMYFUNCTION("""COMPUTED_VALUE"""),868.0)</f>
        <v>868</v>
      </c>
      <c r="X1347" s="1">
        <f>IFERROR(__xludf.DUMMYFUNCTION("""COMPUTED_VALUE"""),194.0)</f>
        <v>194</v>
      </c>
      <c r="Y1347" s="2"/>
      <c r="Z1347" s="2"/>
    </row>
    <row r="1348">
      <c r="A1348" s="1">
        <f>IFERROR(__xludf.DUMMYFUNCTION("""COMPUTED_VALUE"""),1347.0)</f>
        <v>1347</v>
      </c>
      <c r="B1348" s="1">
        <f>IFERROR(__xludf.DUMMYFUNCTION("""COMPUTED_VALUE"""),5743.0)</f>
        <v>5743</v>
      </c>
      <c r="C1348" s="2" t="str">
        <f>IFERROR(__xludf.DUMMYFUNCTION("""COMPUTED_VALUE"""),"Dinan Anggun")</f>
        <v>Dinan Anggun</v>
      </c>
      <c r="D1348" s="2" t="str">
        <f>IFERROR(__xludf.DUMMYFUNCTION("""COMPUTED_VALUE"""),"5KM OVERALL F")</f>
        <v>5KM OVERALL F</v>
      </c>
      <c r="E1348" s="1">
        <f>IFERROR(__xludf.DUMMYFUNCTION("""COMPUTED_VALUE"""),2.0)</f>
        <v>2</v>
      </c>
      <c r="F1348" s="1" t="str">
        <f>IFERROR(__xludf.DUMMYFUNCTION("""COMPUTED_VALUE"""),"Female")</f>
        <v>Female</v>
      </c>
      <c r="G1348" s="4" t="b">
        <f>IFERROR(__xludf.DUMMYFUNCTION("""COMPUTED_VALUE"""),TRUE)</f>
        <v>1</v>
      </c>
      <c r="H1348" s="4" t="b">
        <f>IFERROR(__xludf.DUMMYFUNCTION("""COMPUTED_VALUE"""),TRUE)</f>
        <v>1</v>
      </c>
      <c r="I1348" s="4">
        <f>IFERROR(__xludf.DUMMYFUNCTION("""COMPUTED_VALUE"""),0.2549440625)</f>
        <v>0.2549440625</v>
      </c>
      <c r="J1348" s="4">
        <f>IFERROR(__xludf.DUMMYFUNCTION("""COMPUTED_VALUE"""),45949.2770684067)</f>
        <v>45949.27707</v>
      </c>
      <c r="K1348" s="4" t="str">
        <f>IFERROR(__xludf.DUMMYFUNCTION("""COMPUTED_VALUE"""),"")</f>
        <v/>
      </c>
      <c r="L1348" s="4">
        <f>IFERROR(__xludf.DUMMYFUNCTION("""COMPUTED_VALUE"""),45949.2923904492)</f>
        <v>45949.29239</v>
      </c>
      <c r="M1348" s="1" t="str">
        <f>IFERROR(__xludf.DUMMYFUNCTION("""COMPUTED_VALUE"""),"RFID")</f>
        <v>RFID</v>
      </c>
      <c r="N1348" s="5">
        <f>IFERROR(__xludf.DUMMYFUNCTION("""COMPUTED_VALUE"""),0.00884973611111111)</f>
        <v>0.008849736111</v>
      </c>
      <c r="O1348" s="5" t="str">
        <f>IFERROR(__xludf.DUMMYFUNCTION("""COMPUTED_VALUE"""),"")</f>
        <v/>
      </c>
      <c r="P1348" s="5" t="str">
        <f>IFERROR(__xludf.DUMMYFUNCTION("""COMPUTED_VALUE"""),"")</f>
        <v/>
      </c>
      <c r="Q1348" s="5">
        <f>IFERROR(__xludf.DUMMYFUNCTION("""COMPUTED_VALUE"""),0.007489277777777778)</f>
        <v>0.007489277778</v>
      </c>
      <c r="R1348" s="4">
        <f>IFERROR(__xludf.DUMMYFUNCTION("""COMPUTED_VALUE"""),45949.0374463867)</f>
        <v>45949.03745</v>
      </c>
      <c r="S1348" s="1" t="b">
        <f>IFERROR(__xludf.DUMMYFUNCTION("""COMPUTED_VALUE"""),TRUE)</f>
        <v>1</v>
      </c>
      <c r="T1348" s="1" t="b">
        <f>IFERROR(__xludf.DUMMYFUNCTION("""COMPUTED_VALUE"""),FALSE)</f>
        <v>0</v>
      </c>
      <c r="U1348" s="1" t="str">
        <f>IFERROR(__xludf.DUMMYFUNCTION("""COMPUTED_VALUE"""),"VALID")</f>
        <v>VALID</v>
      </c>
      <c r="V1348" s="1">
        <f>IFERROR(__xludf.DUMMYFUNCTION("""COMPUTED_VALUE"""),232.0)</f>
        <v>232</v>
      </c>
      <c r="W1348" s="1">
        <f>IFERROR(__xludf.DUMMYFUNCTION("""COMPUTED_VALUE"""),1054.0)</f>
        <v>1054</v>
      </c>
      <c r="X1348" s="1">
        <f>IFERROR(__xludf.DUMMYFUNCTION("""COMPUTED_VALUE"""),285.0)</f>
        <v>285</v>
      </c>
      <c r="Y1348" s="2"/>
      <c r="Z1348" s="2"/>
    </row>
    <row r="1349">
      <c r="A1349" s="1">
        <f>IFERROR(__xludf.DUMMYFUNCTION("""COMPUTED_VALUE"""),1348.0)</f>
        <v>1348</v>
      </c>
      <c r="B1349" s="1">
        <f>IFERROR(__xludf.DUMMYFUNCTION("""COMPUTED_VALUE"""),5744.0)</f>
        <v>5744</v>
      </c>
      <c r="C1349" s="2" t="str">
        <f>IFERROR(__xludf.DUMMYFUNCTION("""COMPUTED_VALUE"""),"SEPTI ULIYANI")</f>
        <v>SEPTI ULIYANI</v>
      </c>
      <c r="D1349" s="2" t="str">
        <f>IFERROR(__xludf.DUMMYFUNCTION("""COMPUTED_VALUE"""),"5KM OVERALL F")</f>
        <v>5KM OVERALL F</v>
      </c>
      <c r="E1349" s="1">
        <f>IFERROR(__xludf.DUMMYFUNCTION("""COMPUTED_VALUE"""),2.0)</f>
        <v>2</v>
      </c>
      <c r="F1349" s="1" t="str">
        <f>IFERROR(__xludf.DUMMYFUNCTION("""COMPUTED_VALUE"""),"Female")</f>
        <v>Female</v>
      </c>
      <c r="G1349" s="4" t="b">
        <f>IFERROR(__xludf.DUMMYFUNCTION("""COMPUTED_VALUE"""),TRUE)</f>
        <v>1</v>
      </c>
      <c r="H1349" s="4" t="b">
        <f>IFERROR(__xludf.DUMMYFUNCTION("""COMPUTED_VALUE"""),TRUE)</f>
        <v>1</v>
      </c>
      <c r="I1349" s="4">
        <f>IFERROR(__xludf.DUMMYFUNCTION("""COMPUTED_VALUE"""),0.2549440625)</f>
        <v>0.2549440625</v>
      </c>
      <c r="J1349" s="4">
        <f>IFERROR(__xludf.DUMMYFUNCTION("""COMPUTED_VALUE"""),45949.28028711059)</f>
        <v>45949.28029</v>
      </c>
      <c r="K1349" s="4" t="str">
        <f>IFERROR(__xludf.DUMMYFUNCTION("""COMPUTED_VALUE"""),"")</f>
        <v/>
      </c>
      <c r="L1349" s="4">
        <f>IFERROR(__xludf.DUMMYFUNCTION("""COMPUTED_VALUE"""),45949.29848415484)</f>
        <v>45949.29848</v>
      </c>
      <c r="M1349" s="1" t="str">
        <f>IFERROR(__xludf.DUMMYFUNCTION("""COMPUTED_VALUE"""),"RFID")</f>
        <v>RFID</v>
      </c>
      <c r="N1349" s="5">
        <f>IFERROR(__xludf.DUMMYFUNCTION("""COMPUTED_VALUE"""),0.010137217592592594)</f>
        <v>0.01013721759</v>
      </c>
      <c r="O1349" s="5" t="str">
        <f>IFERROR(__xludf.DUMMYFUNCTION("""COMPUTED_VALUE"""),"")</f>
        <v/>
      </c>
      <c r="P1349" s="5" t="str">
        <f>IFERROR(__xludf.DUMMYFUNCTION("""COMPUTED_VALUE"""),"")</f>
        <v/>
      </c>
      <c r="Q1349" s="5">
        <f>IFERROR(__xludf.DUMMYFUNCTION("""COMPUTED_VALUE"""),0.00870801851851852)</f>
        <v>0.008708018519</v>
      </c>
      <c r="R1349" s="4">
        <f>IFERROR(__xludf.DUMMYFUNCTION("""COMPUTED_VALUE"""),45949.04354009234)</f>
        <v>45949.04354</v>
      </c>
      <c r="S1349" s="1" t="b">
        <f>IFERROR(__xludf.DUMMYFUNCTION("""COMPUTED_VALUE"""),TRUE)</f>
        <v>1</v>
      </c>
      <c r="T1349" s="1" t="b">
        <f>IFERROR(__xludf.DUMMYFUNCTION("""COMPUTED_VALUE"""),FALSE)</f>
        <v>0</v>
      </c>
      <c r="U1349" s="1" t="str">
        <f>IFERROR(__xludf.DUMMYFUNCTION("""COMPUTED_VALUE"""),"VALID")</f>
        <v>VALID</v>
      </c>
      <c r="V1349" s="1">
        <f>IFERROR(__xludf.DUMMYFUNCTION("""COMPUTED_VALUE"""),384.0)</f>
        <v>384</v>
      </c>
      <c r="W1349" s="1">
        <f>IFERROR(__xludf.DUMMYFUNCTION("""COMPUTED_VALUE"""),1374.0)</f>
        <v>1374</v>
      </c>
      <c r="X1349" s="1">
        <f>IFERROR(__xludf.DUMMYFUNCTION("""COMPUTED_VALUE"""),465.0)</f>
        <v>465</v>
      </c>
      <c r="Y1349" s="2"/>
      <c r="Z1349" s="2"/>
    </row>
    <row r="1350">
      <c r="A1350" s="1">
        <f>IFERROR(__xludf.DUMMYFUNCTION("""COMPUTED_VALUE"""),1349.0)</f>
        <v>1349</v>
      </c>
      <c r="B1350" s="1">
        <f>IFERROR(__xludf.DUMMYFUNCTION("""COMPUTED_VALUE"""),5746.0)</f>
        <v>5746</v>
      </c>
      <c r="C1350" s="2" t="str">
        <f>IFERROR(__xludf.DUMMYFUNCTION("""COMPUTED_VALUE"""),"Omeng 01")</f>
        <v>Omeng 01</v>
      </c>
      <c r="D1350" s="2" t="str">
        <f>IFERROR(__xludf.DUMMYFUNCTION("""COMPUTED_VALUE"""),"5KM OVERALL F")</f>
        <v>5KM OVERALL F</v>
      </c>
      <c r="E1350" s="1">
        <f>IFERROR(__xludf.DUMMYFUNCTION("""COMPUTED_VALUE"""),2.0)</f>
        <v>2</v>
      </c>
      <c r="F1350" s="1" t="str">
        <f>IFERROR(__xludf.DUMMYFUNCTION("""COMPUTED_VALUE"""),"Female")</f>
        <v>Female</v>
      </c>
      <c r="G1350" s="4" t="b">
        <f>IFERROR(__xludf.DUMMYFUNCTION("""COMPUTED_VALUE"""),TRUE)</f>
        <v>1</v>
      </c>
      <c r="H1350" s="4" t="b">
        <f>IFERROR(__xludf.DUMMYFUNCTION("""COMPUTED_VALUE"""),FALSE)</f>
        <v>0</v>
      </c>
      <c r="I1350" s="4">
        <f>IFERROR(__xludf.DUMMYFUNCTION("""COMPUTED_VALUE"""),0.2549440625)</f>
        <v>0.2549440625</v>
      </c>
      <c r="J1350" s="4">
        <f>IFERROR(__xludf.DUMMYFUNCTION("""COMPUTED_VALUE"""),45949.28028018338)</f>
        <v>45949.28028</v>
      </c>
      <c r="K1350" s="4" t="str">
        <f>IFERROR(__xludf.DUMMYFUNCTION("""COMPUTED_VALUE"""),"")</f>
        <v/>
      </c>
      <c r="L1350" s="4">
        <f>IFERROR(__xludf.DUMMYFUNCTION("""COMPUTED_VALUE"""),45949.29848415484)</f>
        <v>45949.29848</v>
      </c>
      <c r="M1350" s="1" t="str">
        <f>IFERROR(__xludf.DUMMYFUNCTION("""COMPUTED_VALUE"""),"RFID")</f>
        <v>RFID</v>
      </c>
      <c r="N1350" s="5">
        <f>IFERROR(__xludf.DUMMYFUNCTION("""COMPUTED_VALUE"""),0.010134449074074073)</f>
        <v>0.01013444907</v>
      </c>
      <c r="O1350" s="5" t="str">
        <f>IFERROR(__xludf.DUMMYFUNCTION("""COMPUTED_VALUE"""),"")</f>
        <v/>
      </c>
      <c r="P1350" s="5" t="str">
        <f>IFERROR(__xludf.DUMMYFUNCTION("""COMPUTED_VALUE"""),"")</f>
        <v/>
      </c>
      <c r="Q1350" s="5">
        <f>IFERROR(__xludf.DUMMYFUNCTION("""COMPUTED_VALUE"""),0.00870801851851852)</f>
        <v>0.008708018519</v>
      </c>
      <c r="R1350" s="4">
        <f>IFERROR(__xludf.DUMMYFUNCTION("""COMPUTED_VALUE"""),45949.04354009234)</f>
        <v>45949.04354</v>
      </c>
      <c r="S1350" s="1" t="b">
        <f>IFERROR(__xludf.DUMMYFUNCTION("""COMPUTED_VALUE"""),TRUE)</f>
        <v>1</v>
      </c>
      <c r="T1350" s="1" t="b">
        <f>IFERROR(__xludf.DUMMYFUNCTION("""COMPUTED_VALUE"""),FALSE)</f>
        <v>0</v>
      </c>
      <c r="U1350" s="1" t="str">
        <f>IFERROR(__xludf.DUMMYFUNCTION("""COMPUTED_VALUE"""),"VALID")</f>
        <v>VALID</v>
      </c>
      <c r="V1350" s="1">
        <f>IFERROR(__xludf.DUMMYFUNCTION("""COMPUTED_VALUE"""),383.0)</f>
        <v>383</v>
      </c>
      <c r="W1350" s="1">
        <f>IFERROR(__xludf.DUMMYFUNCTION("""COMPUTED_VALUE"""),1373.0)</f>
        <v>1373</v>
      </c>
      <c r="X1350" s="1">
        <f>IFERROR(__xludf.DUMMYFUNCTION("""COMPUTED_VALUE"""),464.0)</f>
        <v>464</v>
      </c>
      <c r="Y1350" s="2"/>
      <c r="Z1350" s="2"/>
    </row>
    <row r="1351">
      <c r="A1351" s="1">
        <f>IFERROR(__xludf.DUMMYFUNCTION("""COMPUTED_VALUE"""),1350.0)</f>
        <v>1350</v>
      </c>
      <c r="B1351" s="1">
        <f>IFERROR(__xludf.DUMMYFUNCTION("""COMPUTED_VALUE"""),5749.0)</f>
        <v>5749</v>
      </c>
      <c r="C1351" s="2" t="str">
        <f>IFERROR(__xludf.DUMMYFUNCTION("""COMPUTED_VALUE"""),"BUNGA")</f>
        <v>BUNGA</v>
      </c>
      <c r="D1351" s="2" t="str">
        <f>IFERROR(__xludf.DUMMYFUNCTION("""COMPUTED_VALUE"""),"5KM OVERALL F")</f>
        <v>5KM OVERALL F</v>
      </c>
      <c r="E1351" s="1">
        <f>IFERROR(__xludf.DUMMYFUNCTION("""COMPUTED_VALUE"""),2.0)</f>
        <v>2</v>
      </c>
      <c r="F1351" s="1" t="str">
        <f>IFERROR(__xludf.DUMMYFUNCTION("""COMPUTED_VALUE"""),"Female")</f>
        <v>Female</v>
      </c>
      <c r="G1351" s="4" t="b">
        <f>IFERROR(__xludf.DUMMYFUNCTION("""COMPUTED_VALUE"""),TRUE)</f>
        <v>1</v>
      </c>
      <c r="H1351" s="4" t="b">
        <f>IFERROR(__xludf.DUMMYFUNCTION("""COMPUTED_VALUE"""),TRUE)</f>
        <v>1</v>
      </c>
      <c r="I1351" s="4">
        <f>IFERROR(__xludf.DUMMYFUNCTION("""COMPUTED_VALUE"""),0.2549440625)</f>
        <v>0.2549440625</v>
      </c>
      <c r="J1351" s="4">
        <f>IFERROR(__xludf.DUMMYFUNCTION("""COMPUTED_VALUE"""),45949.281790575515)</f>
        <v>45949.28179</v>
      </c>
      <c r="K1351" s="4" t="str">
        <f>IFERROR(__xludf.DUMMYFUNCTION("""COMPUTED_VALUE"""),"")</f>
        <v/>
      </c>
      <c r="L1351" s="4">
        <f>IFERROR(__xludf.DUMMYFUNCTION("""COMPUTED_VALUE"""),45949.29987760707)</f>
        <v>45949.29988</v>
      </c>
      <c r="M1351" s="1" t="str">
        <f>IFERROR(__xludf.DUMMYFUNCTION("""COMPUTED_VALUE"""),"RFID")</f>
        <v>RFID</v>
      </c>
      <c r="N1351" s="5">
        <f>IFERROR(__xludf.DUMMYFUNCTION("""COMPUTED_VALUE"""),0.010738606481481483)</f>
        <v>0.01073860648</v>
      </c>
      <c r="O1351" s="5" t="str">
        <f>IFERROR(__xludf.DUMMYFUNCTION("""COMPUTED_VALUE"""),"")</f>
        <v/>
      </c>
      <c r="P1351" s="5" t="str">
        <f>IFERROR(__xludf.DUMMYFUNCTION("""COMPUTED_VALUE"""),"")</f>
        <v/>
      </c>
      <c r="Q1351" s="5">
        <f>IFERROR(__xludf.DUMMYFUNCTION("""COMPUTED_VALUE"""),0.008986708333333333)</f>
        <v>0.008986708333</v>
      </c>
      <c r="R1351" s="4">
        <f>IFERROR(__xludf.DUMMYFUNCTION("""COMPUTED_VALUE"""),45949.04493354457)</f>
        <v>45949.04493</v>
      </c>
      <c r="S1351" s="1" t="b">
        <f>IFERROR(__xludf.DUMMYFUNCTION("""COMPUTED_VALUE"""),TRUE)</f>
        <v>1</v>
      </c>
      <c r="T1351" s="1" t="b">
        <f>IFERROR(__xludf.DUMMYFUNCTION("""COMPUTED_VALUE"""),FALSE)</f>
        <v>0</v>
      </c>
      <c r="U1351" s="1" t="str">
        <f>IFERROR(__xludf.DUMMYFUNCTION("""COMPUTED_VALUE"""),"VALID")</f>
        <v>VALID</v>
      </c>
      <c r="V1351" s="1">
        <f>IFERROR(__xludf.DUMMYFUNCTION("""COMPUTED_VALUE"""),414.0)</f>
        <v>414</v>
      </c>
      <c r="W1351" s="1">
        <f>IFERROR(__xludf.DUMMYFUNCTION("""COMPUTED_VALUE"""),1444.0)</f>
        <v>1444</v>
      </c>
      <c r="X1351" s="1">
        <f>IFERROR(__xludf.DUMMYFUNCTION("""COMPUTED_VALUE"""),507.0)</f>
        <v>507</v>
      </c>
      <c r="Y1351" s="2"/>
      <c r="Z1351" s="2"/>
    </row>
    <row r="1352">
      <c r="A1352" s="1">
        <f>IFERROR(__xludf.DUMMYFUNCTION("""COMPUTED_VALUE"""),1351.0)</f>
        <v>1351</v>
      </c>
      <c r="B1352" s="1">
        <f>IFERROR(__xludf.DUMMYFUNCTION("""COMPUTED_VALUE"""),5751.0)</f>
        <v>5751</v>
      </c>
      <c r="C1352" s="2" t="str">
        <f>IFERROR(__xludf.DUMMYFUNCTION("""COMPUTED_VALUE"""),"meluput")</f>
        <v>meluput</v>
      </c>
      <c r="D1352" s="2" t="str">
        <f>IFERROR(__xludf.DUMMYFUNCTION("""COMPUTED_VALUE"""),"5KM OVERALL F")</f>
        <v>5KM OVERALL F</v>
      </c>
      <c r="E1352" s="1">
        <f>IFERROR(__xludf.DUMMYFUNCTION("""COMPUTED_VALUE"""),2.0)</f>
        <v>2</v>
      </c>
      <c r="F1352" s="1" t="str">
        <f>IFERROR(__xludf.DUMMYFUNCTION("""COMPUTED_VALUE"""),"Female")</f>
        <v>Female</v>
      </c>
      <c r="G1352" s="4" t="b">
        <f>IFERROR(__xludf.DUMMYFUNCTION("""COMPUTED_VALUE"""),TRUE)</f>
        <v>1</v>
      </c>
      <c r="H1352" s="4" t="b">
        <f>IFERROR(__xludf.DUMMYFUNCTION("""COMPUTED_VALUE"""),TRUE)</f>
        <v>1</v>
      </c>
      <c r="I1352" s="4">
        <f>IFERROR(__xludf.DUMMYFUNCTION("""COMPUTED_VALUE"""),0.2549440625)</f>
        <v>0.2549440625</v>
      </c>
      <c r="J1352" s="4">
        <f>IFERROR(__xludf.DUMMYFUNCTION("""COMPUTED_VALUE"""),45949.27820036075)</f>
        <v>45949.2782</v>
      </c>
      <c r="K1352" s="4" t="str">
        <f>IFERROR(__xludf.DUMMYFUNCTION("""COMPUTED_VALUE"""),"")</f>
        <v/>
      </c>
      <c r="L1352" s="4">
        <f>IFERROR(__xludf.DUMMYFUNCTION("""COMPUTED_VALUE"""),45949.294786286046)</f>
        <v>45949.29479</v>
      </c>
      <c r="M1352" s="1" t="str">
        <f>IFERROR(__xludf.DUMMYFUNCTION("""COMPUTED_VALUE"""),"RFID")</f>
        <v>RFID</v>
      </c>
      <c r="N1352" s="5">
        <f>IFERROR(__xludf.DUMMYFUNCTION("""COMPUTED_VALUE"""),0.009302518518518519)</f>
        <v>0.009302518519</v>
      </c>
      <c r="O1352" s="5" t="str">
        <f>IFERROR(__xludf.DUMMYFUNCTION("""COMPUTED_VALUE"""),"")</f>
        <v/>
      </c>
      <c r="P1352" s="5" t="str">
        <f>IFERROR(__xludf.DUMMYFUNCTION("""COMPUTED_VALUE"""),"")</f>
        <v/>
      </c>
      <c r="Q1352" s="5">
        <f>IFERROR(__xludf.DUMMYFUNCTION("""COMPUTED_VALUE"""),0.007968444444444445)</f>
        <v>0.007968444444</v>
      </c>
      <c r="R1352" s="4">
        <f>IFERROR(__xludf.DUMMYFUNCTION("""COMPUTED_VALUE"""),45949.039842223545)</f>
        <v>45949.03984</v>
      </c>
      <c r="S1352" s="1" t="b">
        <f>IFERROR(__xludf.DUMMYFUNCTION("""COMPUTED_VALUE"""),TRUE)</f>
        <v>1</v>
      </c>
      <c r="T1352" s="1" t="b">
        <f>IFERROR(__xludf.DUMMYFUNCTION("""COMPUTED_VALUE"""),FALSE)</f>
        <v>0</v>
      </c>
      <c r="U1352" s="1" t="str">
        <f>IFERROR(__xludf.DUMMYFUNCTION("""COMPUTED_VALUE"""),"VALID")</f>
        <v>VALID</v>
      </c>
      <c r="V1352" s="1">
        <f>IFERROR(__xludf.DUMMYFUNCTION("""COMPUTED_VALUE"""),317.0)</f>
        <v>317</v>
      </c>
      <c r="W1352" s="1">
        <f>IFERROR(__xludf.DUMMYFUNCTION("""COMPUTED_VALUE"""),1238.0)</f>
        <v>1238</v>
      </c>
      <c r="X1352" s="1">
        <f>IFERROR(__xludf.DUMMYFUNCTION("""COMPUTED_VALUE"""),384.0)</f>
        <v>384</v>
      </c>
      <c r="Y1352" s="2"/>
      <c r="Z1352" s="2"/>
    </row>
    <row r="1353">
      <c r="A1353" s="1">
        <f>IFERROR(__xludf.DUMMYFUNCTION("""COMPUTED_VALUE"""),1352.0)</f>
        <v>1352</v>
      </c>
      <c r="B1353" s="1">
        <f>IFERROR(__xludf.DUMMYFUNCTION("""COMPUTED_VALUE"""),5756.0)</f>
        <v>5756</v>
      </c>
      <c r="C1353" s="2" t="str">
        <f>IFERROR(__xludf.DUMMYFUNCTION("""COMPUTED_VALUE"""),"Ulya Karimah")</f>
        <v>Ulya Karimah</v>
      </c>
      <c r="D1353" s="2" t="str">
        <f>IFERROR(__xludf.DUMMYFUNCTION("""COMPUTED_VALUE"""),"5KM OVERALL F")</f>
        <v>5KM OVERALL F</v>
      </c>
      <c r="E1353" s="1">
        <f>IFERROR(__xludf.DUMMYFUNCTION("""COMPUTED_VALUE"""),2.0)</f>
        <v>2</v>
      </c>
      <c r="F1353" s="1" t="str">
        <f>IFERROR(__xludf.DUMMYFUNCTION("""COMPUTED_VALUE"""),"Female")</f>
        <v>Female</v>
      </c>
      <c r="G1353" s="4" t="b">
        <f>IFERROR(__xludf.DUMMYFUNCTION("""COMPUTED_VALUE"""),TRUE)</f>
        <v>1</v>
      </c>
      <c r="H1353" s="4" t="b">
        <f>IFERROR(__xludf.DUMMYFUNCTION("""COMPUTED_VALUE"""),TRUE)</f>
        <v>1</v>
      </c>
      <c r="I1353" s="4">
        <f>IFERROR(__xludf.DUMMYFUNCTION("""COMPUTED_VALUE"""),0.2549440625)</f>
        <v>0.2549440625</v>
      </c>
      <c r="J1353" s="4">
        <f>IFERROR(__xludf.DUMMYFUNCTION("""COMPUTED_VALUE"""),45949.288026688875)</f>
        <v>45949.28803</v>
      </c>
      <c r="K1353" s="4" t="str">
        <f>IFERROR(__xludf.DUMMYFUNCTION("""COMPUTED_VALUE"""),"")</f>
        <v/>
      </c>
      <c r="L1353" s="4">
        <f>IFERROR(__xludf.DUMMYFUNCTION("""COMPUTED_VALUE"""),45949.30871684128)</f>
        <v>45949.30872</v>
      </c>
      <c r="M1353" s="1" t="str">
        <f>IFERROR(__xludf.DUMMYFUNCTION("""COMPUTED_VALUE"""),"RFID")</f>
        <v>RFID</v>
      </c>
      <c r="N1353" s="5">
        <f>IFERROR(__xludf.DUMMYFUNCTION("""COMPUTED_VALUE"""),0.013233050925925926)</f>
        <v>0.01323305093</v>
      </c>
      <c r="O1353" s="5" t="str">
        <f>IFERROR(__xludf.DUMMYFUNCTION("""COMPUTED_VALUE"""),"")</f>
        <v/>
      </c>
      <c r="P1353" s="5" t="str">
        <f>IFERROR(__xludf.DUMMYFUNCTION("""COMPUTED_VALUE"""),"")</f>
        <v/>
      </c>
      <c r="Q1353" s="5">
        <f>IFERROR(__xludf.DUMMYFUNCTION("""COMPUTED_VALUE"""),0.010754555555555555)</f>
        <v>0.01075455556</v>
      </c>
      <c r="R1353" s="4">
        <f>IFERROR(__xludf.DUMMYFUNCTION("""COMPUTED_VALUE"""),45949.05377277878)</f>
        <v>45949.05377</v>
      </c>
      <c r="S1353" s="1" t="b">
        <f>IFERROR(__xludf.DUMMYFUNCTION("""COMPUTED_VALUE"""),TRUE)</f>
        <v>1</v>
      </c>
      <c r="T1353" s="1" t="b">
        <f>IFERROR(__xludf.DUMMYFUNCTION("""COMPUTED_VALUE"""),FALSE)</f>
        <v>0</v>
      </c>
      <c r="U1353" s="1" t="str">
        <f>IFERROR(__xludf.DUMMYFUNCTION("""COMPUTED_VALUE"""),"VALID")</f>
        <v>VALID</v>
      </c>
      <c r="V1353" s="1">
        <f>IFERROR(__xludf.DUMMYFUNCTION("""COMPUTED_VALUE"""),501.0)</f>
        <v>501</v>
      </c>
      <c r="W1353" s="1">
        <f>IFERROR(__xludf.DUMMYFUNCTION("""COMPUTED_VALUE"""),1597.0)</f>
        <v>1597</v>
      </c>
      <c r="X1353" s="1">
        <f>IFERROR(__xludf.DUMMYFUNCTION("""COMPUTED_VALUE"""),620.0)</f>
        <v>620</v>
      </c>
      <c r="Y1353" s="2"/>
      <c r="Z1353" s="2"/>
    </row>
    <row r="1354">
      <c r="A1354" s="1">
        <f>IFERROR(__xludf.DUMMYFUNCTION("""COMPUTED_VALUE"""),1353.0)</f>
        <v>1353</v>
      </c>
      <c r="B1354" s="1">
        <f>IFERROR(__xludf.DUMMYFUNCTION("""COMPUTED_VALUE"""),5758.0)</f>
        <v>5758</v>
      </c>
      <c r="C1354" s="2" t="str">
        <f>IFERROR(__xludf.DUMMYFUNCTION("""COMPUTED_VALUE"""),"Mirna")</f>
        <v>Mirna</v>
      </c>
      <c r="D1354" s="2" t="str">
        <f>IFERROR(__xludf.DUMMYFUNCTION("""COMPUTED_VALUE"""),"5KM OVERALL F")</f>
        <v>5KM OVERALL F</v>
      </c>
      <c r="E1354" s="1">
        <f>IFERROR(__xludf.DUMMYFUNCTION("""COMPUTED_VALUE"""),2.0)</f>
        <v>2</v>
      </c>
      <c r="F1354" s="1" t="str">
        <f>IFERROR(__xludf.DUMMYFUNCTION("""COMPUTED_VALUE"""),"Female")</f>
        <v>Female</v>
      </c>
      <c r="G1354" s="4" t="b">
        <f>IFERROR(__xludf.DUMMYFUNCTION("""COMPUTED_VALUE"""),TRUE)</f>
        <v>1</v>
      </c>
      <c r="H1354" s="4" t="b">
        <f>IFERROR(__xludf.DUMMYFUNCTION("""COMPUTED_VALUE"""),FALSE)</f>
        <v>0</v>
      </c>
      <c r="I1354" s="4">
        <f>IFERROR(__xludf.DUMMYFUNCTION("""COMPUTED_VALUE"""),0.2549440625)</f>
        <v>0.2549440625</v>
      </c>
      <c r="J1354" s="4">
        <f>IFERROR(__xludf.DUMMYFUNCTION("""COMPUTED_VALUE"""),45949.279960709726)</f>
        <v>45949.27996</v>
      </c>
      <c r="K1354" s="4" t="str">
        <f>IFERROR(__xludf.DUMMYFUNCTION("""COMPUTED_VALUE"""),"")</f>
        <v/>
      </c>
      <c r="L1354" s="4">
        <f>IFERROR(__xludf.DUMMYFUNCTION("""COMPUTED_VALUE"""),45949.29861267237)</f>
        <v>45949.29861</v>
      </c>
      <c r="M1354" s="1" t="str">
        <f>IFERROR(__xludf.DUMMYFUNCTION("""COMPUTED_VALUE"""),"RFID")</f>
        <v>RFID</v>
      </c>
      <c r="N1354" s="5">
        <f>IFERROR(__xludf.DUMMYFUNCTION("""COMPUTED_VALUE"""),0.010006657407407409)</f>
        <v>0.01000665741</v>
      </c>
      <c r="O1354" s="5" t="str">
        <f>IFERROR(__xludf.DUMMYFUNCTION("""COMPUTED_VALUE"""),"")</f>
        <v/>
      </c>
      <c r="P1354" s="5" t="str">
        <f>IFERROR(__xludf.DUMMYFUNCTION("""COMPUTED_VALUE"""),"")</f>
        <v/>
      </c>
      <c r="Q1354" s="5">
        <f>IFERROR(__xludf.DUMMYFUNCTION("""COMPUTED_VALUE"""),0.008733722222222223)</f>
        <v>0.008733722222</v>
      </c>
      <c r="R1354" s="4">
        <f>IFERROR(__xludf.DUMMYFUNCTION("""COMPUTED_VALUE"""),45949.04366860987)</f>
        <v>45949.04367</v>
      </c>
      <c r="S1354" s="1" t="b">
        <f>IFERROR(__xludf.DUMMYFUNCTION("""COMPUTED_VALUE"""),TRUE)</f>
        <v>1</v>
      </c>
      <c r="T1354" s="1" t="b">
        <f>IFERROR(__xludf.DUMMYFUNCTION("""COMPUTED_VALUE"""),FALSE)</f>
        <v>0</v>
      </c>
      <c r="U1354" s="1" t="str">
        <f>IFERROR(__xludf.DUMMYFUNCTION("""COMPUTED_VALUE"""),"VALID")</f>
        <v>VALID</v>
      </c>
      <c r="V1354" s="1">
        <f>IFERROR(__xludf.DUMMYFUNCTION("""COMPUTED_VALUE"""),390.0)</f>
        <v>390</v>
      </c>
      <c r="W1354" s="1">
        <f>IFERROR(__xludf.DUMMYFUNCTION("""COMPUTED_VALUE"""),1386.0)</f>
        <v>1386</v>
      </c>
      <c r="X1354" s="1">
        <f>IFERROR(__xludf.DUMMYFUNCTION("""COMPUTED_VALUE"""),472.0)</f>
        <v>472</v>
      </c>
      <c r="Y1354" s="2"/>
      <c r="Z1354" s="2"/>
    </row>
    <row r="1355">
      <c r="A1355" s="1">
        <f>IFERROR(__xludf.DUMMYFUNCTION("""COMPUTED_VALUE"""),1354.0)</f>
        <v>1354</v>
      </c>
      <c r="B1355" s="1">
        <f>IFERROR(__xludf.DUMMYFUNCTION("""COMPUTED_VALUE"""),5761.0)</f>
        <v>5761</v>
      </c>
      <c r="C1355" s="2" t="str">
        <f>IFERROR(__xludf.DUMMYFUNCTION("""COMPUTED_VALUE"""),"Ayu")</f>
        <v>Ayu</v>
      </c>
      <c r="D1355" s="2" t="str">
        <f>IFERROR(__xludf.DUMMYFUNCTION("""COMPUTED_VALUE"""),"5KM OVERALL F")</f>
        <v>5KM OVERALL F</v>
      </c>
      <c r="E1355" s="1">
        <f>IFERROR(__xludf.DUMMYFUNCTION("""COMPUTED_VALUE"""),2.0)</f>
        <v>2</v>
      </c>
      <c r="F1355" s="1" t="str">
        <f>IFERROR(__xludf.DUMMYFUNCTION("""COMPUTED_VALUE"""),"Female")</f>
        <v>Female</v>
      </c>
      <c r="G1355" s="4" t="str">
        <f>IFERROR(__xludf.DUMMYFUNCTION("""COMPUTED_VALUE"""),"")</f>
        <v/>
      </c>
      <c r="H1355" s="4" t="b">
        <f>IFERROR(__xludf.DUMMYFUNCTION("""COMPUTED_VALUE"""),FALSE)</f>
        <v>0</v>
      </c>
      <c r="I1355" s="4">
        <f>IFERROR(__xludf.DUMMYFUNCTION("""COMPUTED_VALUE"""),0.2549440625)</f>
        <v>0.2549440625</v>
      </c>
      <c r="J1355" s="4" t="str">
        <f>IFERROR(__xludf.DUMMYFUNCTION("""COMPUTED_VALUE"""),"")</f>
        <v/>
      </c>
      <c r="K1355" s="4" t="str">
        <f>IFERROR(__xludf.DUMMYFUNCTION("""COMPUTED_VALUE"""),"")</f>
        <v/>
      </c>
      <c r="L1355" s="4" t="str">
        <f>IFERROR(__xludf.DUMMYFUNCTION("""COMPUTED_VALUE"""),"")</f>
        <v/>
      </c>
      <c r="M1355" s="1" t="str">
        <f>IFERROR(__xludf.DUMMYFUNCTION("""COMPUTED_VALUE"""),"RFID")</f>
        <v>RFID</v>
      </c>
      <c r="N1355" s="5" t="str">
        <f>IFERROR(__xludf.DUMMYFUNCTION("""COMPUTED_VALUE"""),"")</f>
        <v/>
      </c>
      <c r="O1355" s="5" t="str">
        <f>IFERROR(__xludf.DUMMYFUNCTION("""COMPUTED_VALUE"""),"")</f>
        <v/>
      </c>
      <c r="P1355" s="5" t="str">
        <f>IFERROR(__xludf.DUMMYFUNCTION("""COMPUTED_VALUE"""),"")</f>
        <v/>
      </c>
      <c r="Q1355" s="5" t="str">
        <f>IFERROR(__xludf.DUMMYFUNCTION("""COMPUTED_VALUE"""),"")</f>
        <v/>
      </c>
      <c r="R1355" s="4" t="str">
        <f>IFERROR(__xludf.DUMMYFUNCTION("""COMPUTED_VALUE"""),"")</f>
        <v/>
      </c>
      <c r="S1355" s="1" t="b">
        <f>IFERROR(__xludf.DUMMYFUNCTION("""COMPUTED_VALUE"""),FALSE)</f>
        <v>0</v>
      </c>
      <c r="T1355" s="1" t="b">
        <f>IFERROR(__xludf.DUMMYFUNCTION("""COMPUTED_VALUE"""),FALSE)</f>
        <v>0</v>
      </c>
      <c r="U1355" s="1" t="str">
        <f>IFERROR(__xludf.DUMMYFUNCTION("""COMPUTED_VALUE"""),"DSQ")</f>
        <v>DSQ</v>
      </c>
      <c r="V1355" s="1" t="str">
        <f>IFERROR(__xludf.DUMMYFUNCTION("""COMPUTED_VALUE"""),"DSQ")</f>
        <v>DSQ</v>
      </c>
      <c r="W1355" s="1" t="str">
        <f>IFERROR(__xludf.DUMMYFUNCTION("""COMPUTED_VALUE"""),"DSQ")</f>
        <v>DSQ</v>
      </c>
      <c r="X1355" s="1" t="str">
        <f>IFERROR(__xludf.DUMMYFUNCTION("""COMPUTED_VALUE"""),"DSQ")</f>
        <v>DSQ</v>
      </c>
      <c r="Y1355" s="2"/>
      <c r="Z1355" s="2" t="str">
        <f>IFERROR(__xludf.DUMMYFUNCTION("""COMPUTED_VALUE"""),"")</f>
        <v/>
      </c>
    </row>
    <row r="1356">
      <c r="A1356" s="1">
        <f>IFERROR(__xludf.DUMMYFUNCTION("""COMPUTED_VALUE"""),1355.0)</f>
        <v>1355</v>
      </c>
      <c r="B1356" s="1">
        <f>IFERROR(__xludf.DUMMYFUNCTION("""COMPUTED_VALUE"""),5765.0)</f>
        <v>5765</v>
      </c>
      <c r="C1356" s="2" t="str">
        <f>IFERROR(__xludf.DUMMYFUNCTION("""COMPUTED_VALUE"""),"Venna putri mahrita")</f>
        <v>Venna putri mahrita</v>
      </c>
      <c r="D1356" s="2" t="str">
        <f>IFERROR(__xludf.DUMMYFUNCTION("""COMPUTED_VALUE"""),"5KM OVERALL F")</f>
        <v>5KM OVERALL F</v>
      </c>
      <c r="E1356" s="1">
        <f>IFERROR(__xludf.DUMMYFUNCTION("""COMPUTED_VALUE"""),2.0)</f>
        <v>2</v>
      </c>
      <c r="F1356" s="1" t="str">
        <f>IFERROR(__xludf.DUMMYFUNCTION("""COMPUTED_VALUE"""),"Female")</f>
        <v>Female</v>
      </c>
      <c r="G1356" s="4" t="b">
        <f>IFERROR(__xludf.DUMMYFUNCTION("""COMPUTED_VALUE"""),TRUE)</f>
        <v>1</v>
      </c>
      <c r="H1356" s="4" t="b">
        <f>IFERROR(__xludf.DUMMYFUNCTION("""COMPUTED_VALUE"""),TRUE)</f>
        <v>1</v>
      </c>
      <c r="I1356" s="4">
        <f>IFERROR(__xludf.DUMMYFUNCTION("""COMPUTED_VALUE"""),0.2549440625)</f>
        <v>0.2549440625</v>
      </c>
      <c r="J1356" s="4">
        <f>IFERROR(__xludf.DUMMYFUNCTION("""COMPUTED_VALUE"""),45949.283450370116)</f>
        <v>45949.28345</v>
      </c>
      <c r="K1356" s="4" t="str">
        <f>IFERROR(__xludf.DUMMYFUNCTION("""COMPUTED_VALUE"""),"")</f>
        <v/>
      </c>
      <c r="L1356" s="4">
        <f>IFERROR(__xludf.DUMMYFUNCTION("""COMPUTED_VALUE"""),45949.30286267609)</f>
        <v>45949.30286</v>
      </c>
      <c r="M1356" s="1" t="str">
        <f>IFERROR(__xludf.DUMMYFUNCTION("""COMPUTED_VALUE"""),"RFID")</f>
        <v>RFID</v>
      </c>
      <c r="N1356" s="5">
        <f>IFERROR(__xludf.DUMMYFUNCTION("""COMPUTED_VALUE"""),0.011402523148148148)</f>
        <v>0.01140252315</v>
      </c>
      <c r="O1356" s="5" t="str">
        <f>IFERROR(__xludf.DUMMYFUNCTION("""COMPUTED_VALUE"""),"")</f>
        <v/>
      </c>
      <c r="P1356" s="5" t="str">
        <f>IFERROR(__xludf.DUMMYFUNCTION("""COMPUTED_VALUE"""),"")</f>
        <v/>
      </c>
      <c r="Q1356" s="5">
        <f>IFERROR(__xludf.DUMMYFUNCTION("""COMPUTED_VALUE"""),0.009583722222222221)</f>
        <v>0.009583722222</v>
      </c>
      <c r="R1356" s="4">
        <f>IFERROR(__xludf.DUMMYFUNCTION("""COMPUTED_VALUE"""),45949.04791861359)</f>
        <v>45949.04792</v>
      </c>
      <c r="S1356" s="1" t="b">
        <f>IFERROR(__xludf.DUMMYFUNCTION("""COMPUTED_VALUE"""),TRUE)</f>
        <v>1</v>
      </c>
      <c r="T1356" s="1" t="b">
        <f>IFERROR(__xludf.DUMMYFUNCTION("""COMPUTED_VALUE"""),FALSE)</f>
        <v>0</v>
      </c>
      <c r="U1356" s="1" t="str">
        <f>IFERROR(__xludf.DUMMYFUNCTION("""COMPUTED_VALUE"""),"VALID")</f>
        <v>VALID</v>
      </c>
      <c r="V1356" s="1">
        <f>IFERROR(__xludf.DUMMYFUNCTION("""COMPUTED_VALUE"""),473.0)</f>
        <v>473</v>
      </c>
      <c r="W1356" s="1">
        <f>IFERROR(__xludf.DUMMYFUNCTION("""COMPUTED_VALUE"""),1541.0)</f>
        <v>1541</v>
      </c>
      <c r="X1356" s="1">
        <f>IFERROR(__xludf.DUMMYFUNCTION("""COMPUTED_VALUE"""),576.0)</f>
        <v>576</v>
      </c>
      <c r="Y1356" s="2"/>
      <c r="Z1356" s="2"/>
    </row>
    <row r="1357">
      <c r="A1357" s="1">
        <f>IFERROR(__xludf.DUMMYFUNCTION("""COMPUTED_VALUE"""),1356.0)</f>
        <v>1356</v>
      </c>
      <c r="B1357" s="1">
        <f>IFERROR(__xludf.DUMMYFUNCTION("""COMPUTED_VALUE"""),5768.0)</f>
        <v>5768</v>
      </c>
      <c r="C1357" s="2" t="str">
        <f>IFERROR(__xludf.DUMMYFUNCTION("""COMPUTED_VALUE"""),"Nadya")</f>
        <v>Nadya</v>
      </c>
      <c r="D1357" s="2" t="str">
        <f>IFERROR(__xludf.DUMMYFUNCTION("""COMPUTED_VALUE"""),"5KM OVERALL F")</f>
        <v>5KM OVERALL F</v>
      </c>
      <c r="E1357" s="1">
        <f>IFERROR(__xludf.DUMMYFUNCTION("""COMPUTED_VALUE"""),2.0)</f>
        <v>2</v>
      </c>
      <c r="F1357" s="1" t="str">
        <f>IFERROR(__xludf.DUMMYFUNCTION("""COMPUTED_VALUE"""),"Female")</f>
        <v>Female</v>
      </c>
      <c r="G1357" s="4" t="b">
        <f>IFERROR(__xludf.DUMMYFUNCTION("""COMPUTED_VALUE"""),TRUE)</f>
        <v>1</v>
      </c>
      <c r="H1357" s="4" t="b">
        <f>IFERROR(__xludf.DUMMYFUNCTION("""COMPUTED_VALUE"""),FALSE)</f>
        <v>0</v>
      </c>
      <c r="I1357" s="4">
        <f>IFERROR(__xludf.DUMMYFUNCTION("""COMPUTED_VALUE"""),0.2549440625)</f>
        <v>0.2549440625</v>
      </c>
      <c r="J1357" s="4">
        <f>IFERROR(__xludf.DUMMYFUNCTION("""COMPUTED_VALUE"""),45949.274860033474)</f>
        <v>45949.27486</v>
      </c>
      <c r="K1357" s="4" t="str">
        <f>IFERROR(__xludf.DUMMYFUNCTION("""COMPUTED_VALUE"""),"")</f>
        <v/>
      </c>
      <c r="L1357" s="4">
        <f>IFERROR(__xludf.DUMMYFUNCTION("""COMPUTED_VALUE"""),45949.29156753298)</f>
        <v>45949.29157</v>
      </c>
      <c r="M1357" s="1" t="str">
        <f>IFERROR(__xludf.DUMMYFUNCTION("""COMPUTED_VALUE"""),"RFID")</f>
        <v>RFID</v>
      </c>
      <c r="N1357" s="5">
        <f>IFERROR(__xludf.DUMMYFUNCTION("""COMPUTED_VALUE"""),0.00796638888888889)</f>
        <v>0.007966388889</v>
      </c>
      <c r="O1357" s="5" t="str">
        <f>IFERROR(__xludf.DUMMYFUNCTION("""COMPUTED_VALUE"""),"")</f>
        <v/>
      </c>
      <c r="P1357" s="5" t="str">
        <f>IFERROR(__xludf.DUMMYFUNCTION("""COMPUTED_VALUE"""),"")</f>
        <v/>
      </c>
      <c r="Q1357" s="5">
        <f>IFERROR(__xludf.DUMMYFUNCTION("""COMPUTED_VALUE"""),0.0073246944444444444)</f>
        <v>0.007324694444</v>
      </c>
      <c r="R1357" s="4">
        <f>IFERROR(__xludf.DUMMYFUNCTION("""COMPUTED_VALUE"""),45949.03662347048)</f>
        <v>45949.03662</v>
      </c>
      <c r="S1357" s="1" t="b">
        <f>IFERROR(__xludf.DUMMYFUNCTION("""COMPUTED_VALUE"""),TRUE)</f>
        <v>1</v>
      </c>
      <c r="T1357" s="1" t="b">
        <f>IFERROR(__xludf.DUMMYFUNCTION("""COMPUTED_VALUE"""),FALSE)</f>
        <v>0</v>
      </c>
      <c r="U1357" s="1" t="str">
        <f>IFERROR(__xludf.DUMMYFUNCTION("""COMPUTED_VALUE"""),"VALID")</f>
        <v>VALID</v>
      </c>
      <c r="V1357" s="1">
        <f>IFERROR(__xludf.DUMMYFUNCTION("""COMPUTED_VALUE"""),207.0)</f>
        <v>207</v>
      </c>
      <c r="W1357" s="1">
        <f>IFERROR(__xludf.DUMMYFUNCTION("""COMPUTED_VALUE"""),1002.0)</f>
        <v>1002</v>
      </c>
      <c r="X1357" s="1">
        <f>IFERROR(__xludf.DUMMYFUNCTION("""COMPUTED_VALUE"""),258.0)</f>
        <v>258</v>
      </c>
      <c r="Y1357" s="2"/>
      <c r="Z1357" s="2"/>
    </row>
    <row r="1358">
      <c r="A1358" s="1">
        <f>IFERROR(__xludf.DUMMYFUNCTION("""COMPUTED_VALUE"""),1357.0)</f>
        <v>1357</v>
      </c>
      <c r="B1358" s="1">
        <f>IFERROR(__xludf.DUMMYFUNCTION("""COMPUTED_VALUE"""),5772.0)</f>
        <v>5772</v>
      </c>
      <c r="C1358" s="2" t="str">
        <f>IFERROR(__xludf.DUMMYFUNCTION("""COMPUTED_VALUE"""),"NILNA")</f>
        <v>NILNA</v>
      </c>
      <c r="D1358" s="2" t="str">
        <f>IFERROR(__xludf.DUMMYFUNCTION("""COMPUTED_VALUE"""),"5KM OVERALL F")</f>
        <v>5KM OVERALL F</v>
      </c>
      <c r="E1358" s="1">
        <f>IFERROR(__xludf.DUMMYFUNCTION("""COMPUTED_VALUE"""),2.0)</f>
        <v>2</v>
      </c>
      <c r="F1358" s="1" t="str">
        <f>IFERROR(__xludf.DUMMYFUNCTION("""COMPUTED_VALUE"""),"Female")</f>
        <v>Female</v>
      </c>
      <c r="G1358" s="4" t="b">
        <f>IFERROR(__xludf.DUMMYFUNCTION("""COMPUTED_VALUE"""),TRUE)</f>
        <v>1</v>
      </c>
      <c r="H1358" s="4" t="b">
        <f>IFERROR(__xludf.DUMMYFUNCTION("""COMPUTED_VALUE"""),TRUE)</f>
        <v>1</v>
      </c>
      <c r="I1358" s="4">
        <f>IFERROR(__xludf.DUMMYFUNCTION("""COMPUTED_VALUE"""),0.2549440625)</f>
        <v>0.2549440625</v>
      </c>
      <c r="J1358" s="4">
        <f>IFERROR(__xludf.DUMMYFUNCTION("""COMPUTED_VALUE"""),45949.27870730732)</f>
        <v>45949.27871</v>
      </c>
      <c r="K1358" s="4" t="str">
        <f>IFERROR(__xludf.DUMMYFUNCTION("""COMPUTED_VALUE"""),"")</f>
        <v/>
      </c>
      <c r="L1358" s="4">
        <f>IFERROR(__xludf.DUMMYFUNCTION("""COMPUTED_VALUE"""),45949.298567533675)</f>
        <v>45949.29857</v>
      </c>
      <c r="M1358" s="1" t="str">
        <f>IFERROR(__xludf.DUMMYFUNCTION("""COMPUTED_VALUE"""),"RFID")</f>
        <v>RFID</v>
      </c>
      <c r="N1358" s="5">
        <f>IFERROR(__xludf.DUMMYFUNCTION("""COMPUTED_VALUE"""),0.009505296296296295)</f>
        <v>0.009505296296</v>
      </c>
      <c r="O1358" s="5" t="str">
        <f>IFERROR(__xludf.DUMMYFUNCTION("""COMPUTED_VALUE"""),"")</f>
        <v/>
      </c>
      <c r="P1358" s="5" t="str">
        <f>IFERROR(__xludf.DUMMYFUNCTION("""COMPUTED_VALUE"""),"")</f>
        <v/>
      </c>
      <c r="Q1358" s="5">
        <f>IFERROR(__xludf.DUMMYFUNCTION("""COMPUTED_VALUE"""),0.008724694444444445)</f>
        <v>0.008724694444</v>
      </c>
      <c r="R1358" s="4">
        <f>IFERROR(__xludf.DUMMYFUNCTION("""COMPUTED_VALUE"""),45949.043623471174)</f>
        <v>45949.04362</v>
      </c>
      <c r="S1358" s="1" t="b">
        <f>IFERROR(__xludf.DUMMYFUNCTION("""COMPUTED_VALUE"""),TRUE)</f>
        <v>1</v>
      </c>
      <c r="T1358" s="1" t="b">
        <f>IFERROR(__xludf.DUMMYFUNCTION("""COMPUTED_VALUE"""),FALSE)</f>
        <v>0</v>
      </c>
      <c r="U1358" s="1" t="str">
        <f>IFERROR(__xludf.DUMMYFUNCTION("""COMPUTED_VALUE"""),"VALID")</f>
        <v>VALID</v>
      </c>
      <c r="V1358" s="1">
        <f>IFERROR(__xludf.DUMMYFUNCTION("""COMPUTED_VALUE"""),389.0)</f>
        <v>389</v>
      </c>
      <c r="W1358" s="1">
        <f>IFERROR(__xludf.DUMMYFUNCTION("""COMPUTED_VALUE"""),1385.0)</f>
        <v>1385</v>
      </c>
      <c r="X1358" s="1">
        <f>IFERROR(__xludf.DUMMYFUNCTION("""COMPUTED_VALUE"""),471.0)</f>
        <v>471</v>
      </c>
      <c r="Y1358" s="2"/>
      <c r="Z1358" s="2"/>
    </row>
    <row r="1359">
      <c r="A1359" s="1">
        <f>IFERROR(__xludf.DUMMYFUNCTION("""COMPUTED_VALUE"""),1358.0)</f>
        <v>1358</v>
      </c>
      <c r="B1359" s="1">
        <f>IFERROR(__xludf.DUMMYFUNCTION("""COMPUTED_VALUE"""),5776.0)</f>
        <v>5776</v>
      </c>
      <c r="C1359" s="2" t="str">
        <f>IFERROR(__xludf.DUMMYFUNCTION("""COMPUTED_VALUE"""),"SILVI")</f>
        <v>SILVI</v>
      </c>
      <c r="D1359" s="2" t="str">
        <f>IFERROR(__xludf.DUMMYFUNCTION("""COMPUTED_VALUE"""),"5KM OVERALL F")</f>
        <v>5KM OVERALL F</v>
      </c>
      <c r="E1359" s="1">
        <f>IFERROR(__xludf.DUMMYFUNCTION("""COMPUTED_VALUE"""),2.0)</f>
        <v>2</v>
      </c>
      <c r="F1359" s="1" t="str">
        <f>IFERROR(__xludf.DUMMYFUNCTION("""COMPUTED_VALUE"""),"Female")</f>
        <v>Female</v>
      </c>
      <c r="G1359" s="4" t="b">
        <f>IFERROR(__xludf.DUMMYFUNCTION("""COMPUTED_VALUE"""),TRUE)</f>
        <v>1</v>
      </c>
      <c r="H1359" s="4" t="b">
        <f>IFERROR(__xludf.DUMMYFUNCTION("""COMPUTED_VALUE"""),FALSE)</f>
        <v>0</v>
      </c>
      <c r="I1359" s="4">
        <f>IFERROR(__xludf.DUMMYFUNCTION("""COMPUTED_VALUE"""),0.2549440625)</f>
        <v>0.2549440625</v>
      </c>
      <c r="J1359" s="4">
        <f>IFERROR(__xludf.DUMMYFUNCTION("""COMPUTED_VALUE"""),45949.27673507238)</f>
        <v>45949.27674</v>
      </c>
      <c r="K1359" s="4" t="str">
        <f>IFERROR(__xludf.DUMMYFUNCTION("""COMPUTED_VALUE"""),"")</f>
        <v/>
      </c>
      <c r="L1359" s="4">
        <f>IFERROR(__xludf.DUMMYFUNCTION("""COMPUTED_VALUE"""),45949.29393554696)</f>
        <v>45949.29394</v>
      </c>
      <c r="M1359" s="1" t="str">
        <f>IFERROR(__xludf.DUMMYFUNCTION("""COMPUTED_VALUE"""),"RFID")</f>
        <v>RFID</v>
      </c>
      <c r="N1359" s="5">
        <f>IFERROR(__xludf.DUMMYFUNCTION("""COMPUTED_VALUE"""),0.008716402777777778)</f>
        <v>0.008716402778</v>
      </c>
      <c r="O1359" s="5" t="str">
        <f>IFERROR(__xludf.DUMMYFUNCTION("""COMPUTED_VALUE"""),"")</f>
        <v/>
      </c>
      <c r="P1359" s="5" t="str">
        <f>IFERROR(__xludf.DUMMYFUNCTION("""COMPUTED_VALUE"""),"")</f>
        <v/>
      </c>
      <c r="Q1359" s="5">
        <f>IFERROR(__xludf.DUMMYFUNCTION("""COMPUTED_VALUE"""),0.007798296296296296)</f>
        <v>0.007798296296</v>
      </c>
      <c r="R1359" s="4">
        <f>IFERROR(__xludf.DUMMYFUNCTION("""COMPUTED_VALUE"""),45949.038991484456)</f>
        <v>45949.03899</v>
      </c>
      <c r="S1359" s="1" t="b">
        <f>IFERROR(__xludf.DUMMYFUNCTION("""COMPUTED_VALUE"""),TRUE)</f>
        <v>1</v>
      </c>
      <c r="T1359" s="1" t="b">
        <f>IFERROR(__xludf.DUMMYFUNCTION("""COMPUTED_VALUE"""),FALSE)</f>
        <v>0</v>
      </c>
      <c r="U1359" s="1" t="str">
        <f>IFERROR(__xludf.DUMMYFUNCTION("""COMPUTED_VALUE"""),"VALID")</f>
        <v>VALID</v>
      </c>
      <c r="V1359" s="1">
        <f>IFERROR(__xludf.DUMMYFUNCTION("""COMPUTED_VALUE"""),284.0)</f>
        <v>284</v>
      </c>
      <c r="W1359" s="1">
        <f>IFERROR(__xludf.DUMMYFUNCTION("""COMPUTED_VALUE"""),1170.0)</f>
        <v>1170</v>
      </c>
      <c r="X1359" s="1">
        <f>IFERROR(__xludf.DUMMYFUNCTION("""COMPUTED_VALUE"""),343.0)</f>
        <v>343</v>
      </c>
      <c r="Y1359" s="2"/>
      <c r="Z1359" s="2"/>
    </row>
    <row r="1360">
      <c r="A1360" s="1">
        <f>IFERROR(__xludf.DUMMYFUNCTION("""COMPUTED_VALUE"""),1359.0)</f>
        <v>1359</v>
      </c>
      <c r="B1360" s="1">
        <f>IFERROR(__xludf.DUMMYFUNCTION("""COMPUTED_VALUE"""),5778.0)</f>
        <v>5778</v>
      </c>
      <c r="C1360" s="2" t="str">
        <f>IFERROR(__xludf.DUMMYFUNCTION("""COMPUTED_VALUE"""),"Vieta")</f>
        <v>Vieta</v>
      </c>
      <c r="D1360" s="2" t="str">
        <f>IFERROR(__xludf.DUMMYFUNCTION("""COMPUTED_VALUE"""),"5KM OVERALL F")</f>
        <v>5KM OVERALL F</v>
      </c>
      <c r="E1360" s="1">
        <f>IFERROR(__xludf.DUMMYFUNCTION("""COMPUTED_VALUE"""),2.0)</f>
        <v>2</v>
      </c>
      <c r="F1360" s="1" t="str">
        <f>IFERROR(__xludf.DUMMYFUNCTION("""COMPUTED_VALUE"""),"Female")</f>
        <v>Female</v>
      </c>
      <c r="G1360" s="4" t="b">
        <f>IFERROR(__xludf.DUMMYFUNCTION("""COMPUTED_VALUE"""),TRUE)</f>
        <v>1</v>
      </c>
      <c r="H1360" s="4" t="b">
        <f>IFERROR(__xludf.DUMMYFUNCTION("""COMPUTED_VALUE"""),FALSE)</f>
        <v>0</v>
      </c>
      <c r="I1360" s="4">
        <f>IFERROR(__xludf.DUMMYFUNCTION("""COMPUTED_VALUE"""),0.2549440625)</f>
        <v>0.2549440625</v>
      </c>
      <c r="J1360" s="4">
        <f>IFERROR(__xludf.DUMMYFUNCTION("""COMPUTED_VALUE"""),45949.27765871173)</f>
        <v>45949.27766</v>
      </c>
      <c r="K1360" s="4" t="str">
        <f>IFERROR(__xludf.DUMMYFUNCTION("""COMPUTED_VALUE"""),"")</f>
        <v/>
      </c>
      <c r="L1360" s="4">
        <f>IFERROR(__xludf.DUMMYFUNCTION("""COMPUTED_VALUE"""),45949.295022741964)</f>
        <v>45949.29502</v>
      </c>
      <c r="M1360" s="1" t="str">
        <f>IFERROR(__xludf.DUMMYFUNCTION("""COMPUTED_VALUE"""),"RFID")</f>
        <v>RFID</v>
      </c>
      <c r="N1360" s="5">
        <f>IFERROR(__xludf.DUMMYFUNCTION("""COMPUTED_VALUE"""),0.00908586111111111)</f>
        <v>0.009085861111</v>
      </c>
      <c r="O1360" s="5" t="str">
        <f>IFERROR(__xludf.DUMMYFUNCTION("""COMPUTED_VALUE"""),"")</f>
        <v/>
      </c>
      <c r="P1360" s="5" t="str">
        <f>IFERROR(__xludf.DUMMYFUNCTION("""COMPUTED_VALUE"""),"")</f>
        <v/>
      </c>
      <c r="Q1360" s="5">
        <f>IFERROR(__xludf.DUMMYFUNCTION("""COMPUTED_VALUE"""),0.00801573611111111)</f>
        <v>0.008015736111</v>
      </c>
      <c r="R1360" s="4">
        <f>IFERROR(__xludf.DUMMYFUNCTION("""COMPUTED_VALUE"""),45949.04007867946)</f>
        <v>45949.04008</v>
      </c>
      <c r="S1360" s="1" t="b">
        <f>IFERROR(__xludf.DUMMYFUNCTION("""COMPUTED_VALUE"""),TRUE)</f>
        <v>1</v>
      </c>
      <c r="T1360" s="1" t="b">
        <f>IFERROR(__xludf.DUMMYFUNCTION("""COMPUTED_VALUE"""),FALSE)</f>
        <v>0</v>
      </c>
      <c r="U1360" s="1" t="str">
        <f>IFERROR(__xludf.DUMMYFUNCTION("""COMPUTED_VALUE"""),"VALID")</f>
        <v>VALID</v>
      </c>
      <c r="V1360" s="1">
        <f>IFERROR(__xludf.DUMMYFUNCTION("""COMPUTED_VALUE"""),321.0)</f>
        <v>321</v>
      </c>
      <c r="W1360" s="1">
        <f>IFERROR(__xludf.DUMMYFUNCTION("""COMPUTED_VALUE"""),1245.0)</f>
        <v>1245</v>
      </c>
      <c r="X1360" s="1">
        <f>IFERROR(__xludf.DUMMYFUNCTION("""COMPUTED_VALUE"""),389.0)</f>
        <v>389</v>
      </c>
      <c r="Y1360" s="2"/>
      <c r="Z1360" s="2"/>
    </row>
    <row r="1361">
      <c r="A1361" s="1">
        <f>IFERROR(__xludf.DUMMYFUNCTION("""COMPUTED_VALUE"""),1360.0)</f>
        <v>1360</v>
      </c>
      <c r="B1361" s="1">
        <f>IFERROR(__xludf.DUMMYFUNCTION("""COMPUTED_VALUE"""),5781.0)</f>
        <v>5781</v>
      </c>
      <c r="C1361" s="2" t="str">
        <f>IFERROR(__xludf.DUMMYFUNCTION("""COMPUTED_VALUE"""),"Padang")</f>
        <v>Padang</v>
      </c>
      <c r="D1361" s="2" t="str">
        <f>IFERROR(__xludf.DUMMYFUNCTION("""COMPUTED_VALUE"""),"5KM OVERALL F")</f>
        <v>5KM OVERALL F</v>
      </c>
      <c r="E1361" s="1">
        <f>IFERROR(__xludf.DUMMYFUNCTION("""COMPUTED_VALUE"""),2.0)</f>
        <v>2</v>
      </c>
      <c r="F1361" s="1" t="str">
        <f>IFERROR(__xludf.DUMMYFUNCTION("""COMPUTED_VALUE"""),"Female")</f>
        <v>Female</v>
      </c>
      <c r="G1361" s="4" t="b">
        <f>IFERROR(__xludf.DUMMYFUNCTION("""COMPUTED_VALUE"""),TRUE)</f>
        <v>1</v>
      </c>
      <c r="H1361" s="4" t="b">
        <f>IFERROR(__xludf.DUMMYFUNCTION("""COMPUTED_VALUE"""),FALSE)</f>
        <v>0</v>
      </c>
      <c r="I1361" s="4">
        <f>IFERROR(__xludf.DUMMYFUNCTION("""COMPUTED_VALUE"""),0.2549440625)</f>
        <v>0.2549440625</v>
      </c>
      <c r="J1361" s="4">
        <f>IFERROR(__xludf.DUMMYFUNCTION("""COMPUTED_VALUE"""),45949.27709266128)</f>
        <v>45949.27709</v>
      </c>
      <c r="K1361" s="4" t="str">
        <f>IFERROR(__xludf.DUMMYFUNCTION("""COMPUTED_VALUE"""),"")</f>
        <v/>
      </c>
      <c r="L1361" s="4">
        <f>IFERROR(__xludf.DUMMYFUNCTION("""COMPUTED_VALUE"""),45949.29264046467)</f>
        <v>45949.29264</v>
      </c>
      <c r="M1361" s="1" t="str">
        <f>IFERROR(__xludf.DUMMYFUNCTION("""COMPUTED_VALUE"""),"RFID")</f>
        <v>RFID</v>
      </c>
      <c r="N1361" s="5">
        <f>IFERROR(__xludf.DUMMYFUNCTION("""COMPUTED_VALUE"""),0.008859439814814813)</f>
        <v>0.008859439815</v>
      </c>
      <c r="O1361" s="5" t="str">
        <f>IFERROR(__xludf.DUMMYFUNCTION("""COMPUTED_VALUE"""),"")</f>
        <v/>
      </c>
      <c r="P1361" s="5" t="str">
        <f>IFERROR(__xludf.DUMMYFUNCTION("""COMPUTED_VALUE"""),"")</f>
        <v/>
      </c>
      <c r="Q1361" s="5">
        <f>IFERROR(__xludf.DUMMYFUNCTION("""COMPUTED_VALUE"""),0.007539280092592593)</f>
        <v>0.007539280093</v>
      </c>
      <c r="R1361" s="4">
        <f>IFERROR(__xludf.DUMMYFUNCTION("""COMPUTED_VALUE"""),45949.03769640217)</f>
        <v>45949.0377</v>
      </c>
      <c r="S1361" s="1" t="b">
        <f>IFERROR(__xludf.DUMMYFUNCTION("""COMPUTED_VALUE"""),TRUE)</f>
        <v>1</v>
      </c>
      <c r="T1361" s="1" t="b">
        <f>IFERROR(__xludf.DUMMYFUNCTION("""COMPUTED_VALUE"""),FALSE)</f>
        <v>0</v>
      </c>
      <c r="U1361" s="1" t="str">
        <f>IFERROR(__xludf.DUMMYFUNCTION("""COMPUTED_VALUE"""),"VALID")</f>
        <v>VALID</v>
      </c>
      <c r="V1361" s="1">
        <f>IFERROR(__xludf.DUMMYFUNCTION("""COMPUTED_VALUE"""),242.0)</f>
        <v>242</v>
      </c>
      <c r="W1361" s="1">
        <f>IFERROR(__xludf.DUMMYFUNCTION("""COMPUTED_VALUE"""),1079.0)</f>
        <v>1079</v>
      </c>
      <c r="X1361" s="1">
        <f>IFERROR(__xludf.DUMMYFUNCTION("""COMPUTED_VALUE"""),297.0)</f>
        <v>297</v>
      </c>
      <c r="Y1361" s="2"/>
      <c r="Z1361" s="2"/>
    </row>
    <row r="1362">
      <c r="A1362" s="1">
        <f>IFERROR(__xludf.DUMMYFUNCTION("""COMPUTED_VALUE"""),1361.0)</f>
        <v>1361</v>
      </c>
      <c r="B1362" s="1">
        <f>IFERROR(__xludf.DUMMYFUNCTION("""COMPUTED_VALUE"""),5784.0)</f>
        <v>5784</v>
      </c>
      <c r="C1362" s="2" t="str">
        <f>IFERROR(__xludf.DUMMYFUNCTION("""COMPUTED_VALUE"""),"prasera")</f>
        <v>prasera</v>
      </c>
      <c r="D1362" s="2" t="str">
        <f>IFERROR(__xludf.DUMMYFUNCTION("""COMPUTED_VALUE"""),"5KM OVERALL F")</f>
        <v>5KM OVERALL F</v>
      </c>
      <c r="E1362" s="1">
        <f>IFERROR(__xludf.DUMMYFUNCTION("""COMPUTED_VALUE"""),2.0)</f>
        <v>2</v>
      </c>
      <c r="F1362" s="1" t="str">
        <f>IFERROR(__xludf.DUMMYFUNCTION("""COMPUTED_VALUE"""),"Female")</f>
        <v>Female</v>
      </c>
      <c r="G1362" s="4" t="b">
        <f>IFERROR(__xludf.DUMMYFUNCTION("""COMPUTED_VALUE"""),TRUE)</f>
        <v>1</v>
      </c>
      <c r="H1362" s="4" t="b">
        <f>IFERROR(__xludf.DUMMYFUNCTION("""COMPUTED_VALUE"""),FALSE)</f>
        <v>0</v>
      </c>
      <c r="I1362" s="4">
        <f>IFERROR(__xludf.DUMMYFUNCTION("""COMPUTED_VALUE"""),0.2549440625)</f>
        <v>0.2549440625</v>
      </c>
      <c r="J1362" s="4">
        <f>IFERROR(__xludf.DUMMYFUNCTION("""COMPUTED_VALUE"""),45949.27647461261)</f>
        <v>45949.27647</v>
      </c>
      <c r="K1362" s="4" t="str">
        <f>IFERROR(__xludf.DUMMYFUNCTION("""COMPUTED_VALUE"""),"")</f>
        <v/>
      </c>
      <c r="L1362" s="4">
        <f>IFERROR(__xludf.DUMMYFUNCTION("""COMPUTED_VALUE"""),45949.294133508294)</f>
        <v>45949.29413</v>
      </c>
      <c r="M1362" s="1" t="str">
        <f>IFERROR(__xludf.DUMMYFUNCTION("""COMPUTED_VALUE"""),"RFID")</f>
        <v>RFID</v>
      </c>
      <c r="N1362" s="5">
        <f>IFERROR(__xludf.DUMMYFUNCTION("""COMPUTED_VALUE"""),0.008612222222222223)</f>
        <v>0.008612222222</v>
      </c>
      <c r="O1362" s="5" t="str">
        <f>IFERROR(__xludf.DUMMYFUNCTION("""COMPUTED_VALUE"""),"")</f>
        <v/>
      </c>
      <c r="P1362" s="5" t="str">
        <f>IFERROR(__xludf.DUMMYFUNCTION("""COMPUTED_VALUE"""),"")</f>
        <v/>
      </c>
      <c r="Q1362" s="5">
        <f>IFERROR(__xludf.DUMMYFUNCTION("""COMPUTED_VALUE"""),0.007837888888888889)</f>
        <v>0.007837888889</v>
      </c>
      <c r="R1362" s="4">
        <f>IFERROR(__xludf.DUMMYFUNCTION("""COMPUTED_VALUE"""),45949.03918944579)</f>
        <v>45949.03919</v>
      </c>
      <c r="S1362" s="1" t="b">
        <f>IFERROR(__xludf.DUMMYFUNCTION("""COMPUTED_VALUE"""),TRUE)</f>
        <v>1</v>
      </c>
      <c r="T1362" s="1" t="b">
        <f>IFERROR(__xludf.DUMMYFUNCTION("""COMPUTED_VALUE"""),FALSE)</f>
        <v>0</v>
      </c>
      <c r="U1362" s="1" t="str">
        <f>IFERROR(__xludf.DUMMYFUNCTION("""COMPUTED_VALUE"""),"VALID")</f>
        <v>VALID</v>
      </c>
      <c r="V1362" s="1">
        <f>IFERROR(__xludf.DUMMYFUNCTION("""COMPUTED_VALUE"""),292.0)</f>
        <v>292</v>
      </c>
      <c r="W1362" s="1">
        <f>IFERROR(__xludf.DUMMYFUNCTION("""COMPUTED_VALUE"""),1188.0)</f>
        <v>1188</v>
      </c>
      <c r="X1362" s="1">
        <f>IFERROR(__xludf.DUMMYFUNCTION("""COMPUTED_VALUE"""),353.0)</f>
        <v>353</v>
      </c>
      <c r="Y1362" s="2"/>
      <c r="Z1362" s="2"/>
    </row>
    <row r="1363">
      <c r="A1363" s="1">
        <f>IFERROR(__xludf.DUMMYFUNCTION("""COMPUTED_VALUE"""),1362.0)</f>
        <v>1362</v>
      </c>
      <c r="B1363" s="1">
        <f>IFERROR(__xludf.DUMMYFUNCTION("""COMPUTED_VALUE"""),5786.0)</f>
        <v>5786</v>
      </c>
      <c r="C1363" s="2" t="str">
        <f>IFERROR(__xludf.DUMMYFUNCTION("""COMPUTED_VALUE"""),"Marley")</f>
        <v>Marley</v>
      </c>
      <c r="D1363" s="2" t="str">
        <f>IFERROR(__xludf.DUMMYFUNCTION("""COMPUTED_VALUE"""),"5KM OVERALL F")</f>
        <v>5KM OVERALL F</v>
      </c>
      <c r="E1363" s="1">
        <f>IFERROR(__xludf.DUMMYFUNCTION("""COMPUTED_VALUE"""),2.0)</f>
        <v>2</v>
      </c>
      <c r="F1363" s="1" t="str">
        <f>IFERROR(__xludf.DUMMYFUNCTION("""COMPUTED_VALUE"""),"Female")</f>
        <v>Female</v>
      </c>
      <c r="G1363" s="4" t="b">
        <f>IFERROR(__xludf.DUMMYFUNCTION("""COMPUTED_VALUE"""),TRUE)</f>
        <v>1</v>
      </c>
      <c r="H1363" s="4" t="b">
        <f>IFERROR(__xludf.DUMMYFUNCTION("""COMPUTED_VALUE"""),FALSE)</f>
        <v>0</v>
      </c>
      <c r="I1363" s="4">
        <f>IFERROR(__xludf.DUMMYFUNCTION("""COMPUTED_VALUE"""),0.2549440625)</f>
        <v>0.2549440625</v>
      </c>
      <c r="J1363" s="4">
        <f>IFERROR(__xludf.DUMMYFUNCTION("""COMPUTED_VALUE"""),45949.27709961369)</f>
        <v>45949.2771</v>
      </c>
      <c r="K1363" s="4" t="str">
        <f>IFERROR(__xludf.DUMMYFUNCTION("""COMPUTED_VALUE"""),"")</f>
        <v/>
      </c>
      <c r="L1363" s="4">
        <f>IFERROR(__xludf.DUMMYFUNCTION("""COMPUTED_VALUE"""),45949.29264739868)</f>
        <v>45949.29265</v>
      </c>
      <c r="M1363" s="1" t="str">
        <f>IFERROR(__xludf.DUMMYFUNCTION("""COMPUTED_VALUE"""),"RFID")</f>
        <v>RFID</v>
      </c>
      <c r="N1363" s="5">
        <f>IFERROR(__xludf.DUMMYFUNCTION("""COMPUTED_VALUE"""),0.008862222222222223)</f>
        <v>0.008862222222</v>
      </c>
      <c r="O1363" s="5" t="str">
        <f>IFERROR(__xludf.DUMMYFUNCTION("""COMPUTED_VALUE"""),"")</f>
        <v/>
      </c>
      <c r="P1363" s="5" t="str">
        <f>IFERROR(__xludf.DUMMYFUNCTION("""COMPUTED_VALUE"""),"")</f>
        <v/>
      </c>
      <c r="Q1363" s="5">
        <f>IFERROR(__xludf.DUMMYFUNCTION("""COMPUTED_VALUE"""),0.007540666666666668)</f>
        <v>0.007540666667</v>
      </c>
      <c r="R1363" s="4">
        <f>IFERROR(__xludf.DUMMYFUNCTION("""COMPUTED_VALUE"""),45949.03770333618)</f>
        <v>45949.0377</v>
      </c>
      <c r="S1363" s="1" t="b">
        <f>IFERROR(__xludf.DUMMYFUNCTION("""COMPUTED_VALUE"""),TRUE)</f>
        <v>1</v>
      </c>
      <c r="T1363" s="1" t="b">
        <f>IFERROR(__xludf.DUMMYFUNCTION("""COMPUTED_VALUE"""),FALSE)</f>
        <v>0</v>
      </c>
      <c r="U1363" s="1" t="str">
        <f>IFERROR(__xludf.DUMMYFUNCTION("""COMPUTED_VALUE"""),"VALID")</f>
        <v>VALID</v>
      </c>
      <c r="V1363" s="1">
        <f>IFERROR(__xludf.DUMMYFUNCTION("""COMPUTED_VALUE"""),243.0)</f>
        <v>243</v>
      </c>
      <c r="W1363" s="1">
        <f>IFERROR(__xludf.DUMMYFUNCTION("""COMPUTED_VALUE"""),1080.0)</f>
        <v>1080</v>
      </c>
      <c r="X1363" s="1">
        <f>IFERROR(__xludf.DUMMYFUNCTION("""COMPUTED_VALUE"""),298.0)</f>
        <v>298</v>
      </c>
      <c r="Y1363" s="2"/>
      <c r="Z1363" s="2"/>
    </row>
    <row r="1364">
      <c r="A1364" s="1">
        <f>IFERROR(__xludf.DUMMYFUNCTION("""COMPUTED_VALUE"""),1363.0)</f>
        <v>1363</v>
      </c>
      <c r="B1364" s="1">
        <f>IFERROR(__xludf.DUMMYFUNCTION("""COMPUTED_VALUE"""),5787.0)</f>
        <v>5787</v>
      </c>
      <c r="C1364" s="2" t="str">
        <f>IFERROR(__xludf.DUMMYFUNCTION("""COMPUTED_VALUE"""),"Dara")</f>
        <v>Dara</v>
      </c>
      <c r="D1364" s="2" t="str">
        <f>IFERROR(__xludf.DUMMYFUNCTION("""COMPUTED_VALUE"""),"5KM OVERALL F")</f>
        <v>5KM OVERALL F</v>
      </c>
      <c r="E1364" s="1">
        <f>IFERROR(__xludf.DUMMYFUNCTION("""COMPUTED_VALUE"""),2.0)</f>
        <v>2</v>
      </c>
      <c r="F1364" s="1" t="str">
        <f>IFERROR(__xludf.DUMMYFUNCTION("""COMPUTED_VALUE"""),"Female")</f>
        <v>Female</v>
      </c>
      <c r="G1364" s="4" t="b">
        <f>IFERROR(__xludf.DUMMYFUNCTION("""COMPUTED_VALUE"""),TRUE)</f>
        <v>1</v>
      </c>
      <c r="H1364" s="4" t="b">
        <f>IFERROR(__xludf.DUMMYFUNCTION("""COMPUTED_VALUE"""),TRUE)</f>
        <v>1</v>
      </c>
      <c r="I1364" s="4">
        <f>IFERROR(__xludf.DUMMYFUNCTION("""COMPUTED_VALUE"""),0.2549440625)</f>
        <v>0.2549440625</v>
      </c>
      <c r="J1364" s="4" t="str">
        <f>IFERROR(__xludf.DUMMYFUNCTION("""COMPUTED_VALUE"""),"")</f>
        <v/>
      </c>
      <c r="K1364" s="4" t="str">
        <f>IFERROR(__xludf.DUMMYFUNCTION("""COMPUTED_VALUE"""),"")</f>
        <v/>
      </c>
      <c r="L1364" s="4" t="str">
        <f>IFERROR(__xludf.DUMMYFUNCTION("""COMPUTED_VALUE"""),"")</f>
        <v/>
      </c>
      <c r="M1364" s="1" t="str">
        <f>IFERROR(__xludf.DUMMYFUNCTION("""COMPUTED_VALUE"""),"RFID")</f>
        <v>RFID</v>
      </c>
      <c r="N1364" s="5" t="str">
        <f>IFERROR(__xludf.DUMMYFUNCTION("""COMPUTED_VALUE"""),"")</f>
        <v/>
      </c>
      <c r="O1364" s="5" t="str">
        <f>IFERROR(__xludf.DUMMYFUNCTION("""COMPUTED_VALUE"""),"")</f>
        <v/>
      </c>
      <c r="P1364" s="5" t="str">
        <f>IFERROR(__xludf.DUMMYFUNCTION("""COMPUTED_VALUE"""),"")</f>
        <v/>
      </c>
      <c r="Q1364" s="5" t="str">
        <f>IFERROR(__xludf.DUMMYFUNCTION("""COMPUTED_VALUE"""),"")</f>
        <v/>
      </c>
      <c r="R1364" s="4" t="str">
        <f>IFERROR(__xludf.DUMMYFUNCTION("""COMPUTED_VALUE"""),"")</f>
        <v/>
      </c>
      <c r="S1364" s="1" t="b">
        <f>IFERROR(__xludf.DUMMYFUNCTION("""COMPUTED_VALUE"""),FALSE)</f>
        <v>0</v>
      </c>
      <c r="T1364" s="1" t="b">
        <f>IFERROR(__xludf.DUMMYFUNCTION("""COMPUTED_VALUE"""),FALSE)</f>
        <v>0</v>
      </c>
      <c r="U1364" s="1" t="str">
        <f>IFERROR(__xludf.DUMMYFUNCTION("""COMPUTED_VALUE"""),"DSQ")</f>
        <v>DSQ</v>
      </c>
      <c r="V1364" s="1" t="str">
        <f>IFERROR(__xludf.DUMMYFUNCTION("""COMPUTED_VALUE"""),"DSQ")</f>
        <v>DSQ</v>
      </c>
      <c r="W1364" s="1" t="str">
        <f>IFERROR(__xludf.DUMMYFUNCTION("""COMPUTED_VALUE"""),"DSQ")</f>
        <v>DSQ</v>
      </c>
      <c r="X1364" s="1" t="str">
        <f>IFERROR(__xludf.DUMMYFUNCTION("""COMPUTED_VALUE"""),"DSQ")</f>
        <v>DSQ</v>
      </c>
      <c r="Y1364" s="2"/>
      <c r="Z1364" s="2" t="str">
        <f>IFERROR(__xludf.DUMMYFUNCTION("""COMPUTED_VALUE"""),"")</f>
        <v/>
      </c>
    </row>
    <row r="1365">
      <c r="A1365" s="1">
        <f>IFERROR(__xludf.DUMMYFUNCTION("""COMPUTED_VALUE"""),1364.0)</f>
        <v>1364</v>
      </c>
      <c r="B1365" s="1">
        <f>IFERROR(__xludf.DUMMYFUNCTION("""COMPUTED_VALUE"""),5788.0)</f>
        <v>5788</v>
      </c>
      <c r="C1365" s="2" t="str">
        <f>IFERROR(__xludf.DUMMYFUNCTION("""COMPUTED_VALUE"""),"Nilda")</f>
        <v>Nilda</v>
      </c>
      <c r="D1365" s="2" t="str">
        <f>IFERROR(__xludf.DUMMYFUNCTION("""COMPUTED_VALUE"""),"5KM OVERALL F")</f>
        <v>5KM OVERALL F</v>
      </c>
      <c r="E1365" s="1">
        <f>IFERROR(__xludf.DUMMYFUNCTION("""COMPUTED_VALUE"""),2.0)</f>
        <v>2</v>
      </c>
      <c r="F1365" s="1" t="str">
        <f>IFERROR(__xludf.DUMMYFUNCTION("""COMPUTED_VALUE"""),"Female")</f>
        <v>Female</v>
      </c>
      <c r="G1365" s="4" t="b">
        <f>IFERROR(__xludf.DUMMYFUNCTION("""COMPUTED_VALUE"""),TRUE)</f>
        <v>1</v>
      </c>
      <c r="H1365" s="4" t="b">
        <f>IFERROR(__xludf.DUMMYFUNCTION("""COMPUTED_VALUE"""),FALSE)</f>
        <v>0</v>
      </c>
      <c r="I1365" s="4">
        <f>IFERROR(__xludf.DUMMYFUNCTION("""COMPUTED_VALUE"""),0.2549440625)</f>
        <v>0.2549440625</v>
      </c>
      <c r="J1365" s="4">
        <f>IFERROR(__xludf.DUMMYFUNCTION("""COMPUTED_VALUE"""),45949.2751898948)</f>
        <v>45949.27519</v>
      </c>
      <c r="K1365" s="4" t="str">
        <f>IFERROR(__xludf.DUMMYFUNCTION("""COMPUTED_VALUE"""),"")</f>
        <v/>
      </c>
      <c r="L1365" s="4">
        <f>IFERROR(__xludf.DUMMYFUNCTION("""COMPUTED_VALUE"""),45949.29031409999)</f>
        <v>45949.29031</v>
      </c>
      <c r="M1365" s="1" t="str">
        <f>IFERROR(__xludf.DUMMYFUNCTION("""COMPUTED_VALUE"""),"RFID")</f>
        <v>RFID</v>
      </c>
      <c r="N1365" s="5">
        <f>IFERROR(__xludf.DUMMYFUNCTION("""COMPUTED_VALUE"""),0.008098333333333334)</f>
        <v>0.008098333333</v>
      </c>
      <c r="O1365" s="5" t="str">
        <f>IFERROR(__xludf.DUMMYFUNCTION("""COMPUTED_VALUE"""),"")</f>
        <v/>
      </c>
      <c r="P1365" s="5" t="str">
        <f>IFERROR(__xludf.DUMMYFUNCTION("""COMPUTED_VALUE"""),"")</f>
        <v/>
      </c>
      <c r="Q1365" s="5">
        <f>IFERROR(__xludf.DUMMYFUNCTION("""COMPUTED_VALUE"""),0.007074006944444444)</f>
        <v>0.007074006944</v>
      </c>
      <c r="R1365" s="4">
        <f>IFERROR(__xludf.DUMMYFUNCTION("""COMPUTED_VALUE"""),45949.03537003749)</f>
        <v>45949.03537</v>
      </c>
      <c r="S1365" s="1" t="b">
        <f>IFERROR(__xludf.DUMMYFUNCTION("""COMPUTED_VALUE"""),TRUE)</f>
        <v>1</v>
      </c>
      <c r="T1365" s="1" t="b">
        <f>IFERROR(__xludf.DUMMYFUNCTION("""COMPUTED_VALUE"""),FALSE)</f>
        <v>0</v>
      </c>
      <c r="U1365" s="1" t="str">
        <f>IFERROR(__xludf.DUMMYFUNCTION("""COMPUTED_VALUE"""),"VALID")</f>
        <v>VALID</v>
      </c>
      <c r="V1365" s="1">
        <f>IFERROR(__xludf.DUMMYFUNCTION("""COMPUTED_VALUE"""),169.0)</f>
        <v>169</v>
      </c>
      <c r="W1365" s="1">
        <f>IFERROR(__xludf.DUMMYFUNCTION("""COMPUTED_VALUE"""),908.0)</f>
        <v>908</v>
      </c>
      <c r="X1365" s="1">
        <f>IFERROR(__xludf.DUMMYFUNCTION("""COMPUTED_VALUE"""),211.0)</f>
        <v>211</v>
      </c>
      <c r="Y1365" s="2"/>
      <c r="Z1365" s="2"/>
    </row>
    <row r="1366">
      <c r="A1366" s="1">
        <f>IFERROR(__xludf.DUMMYFUNCTION("""COMPUTED_VALUE"""),1365.0)</f>
        <v>1365</v>
      </c>
      <c r="B1366" s="1">
        <f>IFERROR(__xludf.DUMMYFUNCTION("""COMPUTED_VALUE"""),5789.0)</f>
        <v>5789</v>
      </c>
      <c r="C1366" s="2" t="str">
        <f>IFERROR(__xludf.DUMMYFUNCTION("""COMPUTED_VALUE"""),"Lalaa")</f>
        <v>Lalaa</v>
      </c>
      <c r="D1366" s="2" t="str">
        <f>IFERROR(__xludf.DUMMYFUNCTION("""COMPUTED_VALUE"""),"5KM OVERALL F")</f>
        <v>5KM OVERALL F</v>
      </c>
      <c r="E1366" s="1">
        <f>IFERROR(__xludf.DUMMYFUNCTION("""COMPUTED_VALUE"""),2.0)</f>
        <v>2</v>
      </c>
      <c r="F1366" s="1" t="str">
        <f>IFERROR(__xludf.DUMMYFUNCTION("""COMPUTED_VALUE"""),"Female")</f>
        <v>Female</v>
      </c>
      <c r="G1366" s="4" t="b">
        <f>IFERROR(__xludf.DUMMYFUNCTION("""COMPUTED_VALUE"""),TRUE)</f>
        <v>1</v>
      </c>
      <c r="H1366" s="4" t="b">
        <f>IFERROR(__xludf.DUMMYFUNCTION("""COMPUTED_VALUE"""),TRUE)</f>
        <v>1</v>
      </c>
      <c r="I1366" s="4">
        <f>IFERROR(__xludf.DUMMYFUNCTION("""COMPUTED_VALUE"""),0.2549440625)</f>
        <v>0.2549440625</v>
      </c>
      <c r="J1366" s="4">
        <f>IFERROR(__xludf.DUMMYFUNCTION("""COMPUTED_VALUE"""),45949.2832280846)</f>
        <v>45949.28323</v>
      </c>
      <c r="K1366" s="4" t="str">
        <f>IFERROR(__xludf.DUMMYFUNCTION("""COMPUTED_VALUE"""),"")</f>
        <v/>
      </c>
      <c r="L1366" s="4">
        <f>IFERROR(__xludf.DUMMYFUNCTION("""COMPUTED_VALUE"""),45949.30268906731)</f>
        <v>45949.30269</v>
      </c>
      <c r="M1366" s="1" t="str">
        <f>IFERROR(__xludf.DUMMYFUNCTION("""COMPUTED_VALUE"""),"RFID")</f>
        <v>RFID</v>
      </c>
      <c r="N1366" s="5">
        <f>IFERROR(__xludf.DUMMYFUNCTION("""COMPUTED_VALUE"""),0.011313611111111111)</f>
        <v>0.01131361111</v>
      </c>
      <c r="O1366" s="5" t="str">
        <f>IFERROR(__xludf.DUMMYFUNCTION("""COMPUTED_VALUE"""),"")</f>
        <v/>
      </c>
      <c r="P1366" s="5" t="str">
        <f>IFERROR(__xludf.DUMMYFUNCTION("""COMPUTED_VALUE"""),"")</f>
        <v/>
      </c>
      <c r="Q1366" s="5">
        <f>IFERROR(__xludf.DUMMYFUNCTION("""COMPUTED_VALUE"""),0.009548999999999998)</f>
        <v>0.009549</v>
      </c>
      <c r="R1366" s="4">
        <f>IFERROR(__xludf.DUMMYFUNCTION("""COMPUTED_VALUE"""),45949.04774500481)</f>
        <v>45949.04775</v>
      </c>
      <c r="S1366" s="1" t="b">
        <f>IFERROR(__xludf.DUMMYFUNCTION("""COMPUTED_VALUE"""),TRUE)</f>
        <v>1</v>
      </c>
      <c r="T1366" s="1" t="b">
        <f>IFERROR(__xludf.DUMMYFUNCTION("""COMPUTED_VALUE"""),FALSE)</f>
        <v>0</v>
      </c>
      <c r="U1366" s="1" t="str">
        <f>IFERROR(__xludf.DUMMYFUNCTION("""COMPUTED_VALUE"""),"VALID")</f>
        <v>VALID</v>
      </c>
      <c r="V1366" s="1">
        <f>IFERROR(__xludf.DUMMYFUNCTION("""COMPUTED_VALUE"""),468.0)</f>
        <v>468</v>
      </c>
      <c r="W1366" s="1">
        <f>IFERROR(__xludf.DUMMYFUNCTION("""COMPUTED_VALUE"""),1532.0)</f>
        <v>1532</v>
      </c>
      <c r="X1366" s="1">
        <f>IFERROR(__xludf.DUMMYFUNCTION("""COMPUTED_VALUE"""),570.0)</f>
        <v>570</v>
      </c>
      <c r="Y1366" s="2"/>
      <c r="Z1366" s="2"/>
    </row>
    <row r="1367">
      <c r="A1367" s="1">
        <f>IFERROR(__xludf.DUMMYFUNCTION("""COMPUTED_VALUE"""),1366.0)</f>
        <v>1366</v>
      </c>
      <c r="B1367" s="1">
        <f>IFERROR(__xludf.DUMMYFUNCTION("""COMPUTED_VALUE"""),5790.0)</f>
        <v>5790</v>
      </c>
      <c r="C1367" s="2" t="str">
        <f>IFERROR(__xludf.DUMMYFUNCTION("""COMPUTED_VALUE"""),"Vera R")</f>
        <v>Vera R</v>
      </c>
      <c r="D1367" s="2" t="str">
        <f>IFERROR(__xludf.DUMMYFUNCTION("""COMPUTED_VALUE"""),"5KM OVERALL F")</f>
        <v>5KM OVERALL F</v>
      </c>
      <c r="E1367" s="1">
        <f>IFERROR(__xludf.DUMMYFUNCTION("""COMPUTED_VALUE"""),2.0)</f>
        <v>2</v>
      </c>
      <c r="F1367" s="1" t="str">
        <f>IFERROR(__xludf.DUMMYFUNCTION("""COMPUTED_VALUE"""),"Female")</f>
        <v>Female</v>
      </c>
      <c r="G1367" s="4" t="str">
        <f>IFERROR(__xludf.DUMMYFUNCTION("""COMPUTED_VALUE"""),"")</f>
        <v/>
      </c>
      <c r="H1367" s="4" t="b">
        <f>IFERROR(__xludf.DUMMYFUNCTION("""COMPUTED_VALUE"""),FALSE)</f>
        <v>0</v>
      </c>
      <c r="I1367" s="4">
        <f>IFERROR(__xludf.DUMMYFUNCTION("""COMPUTED_VALUE"""),0.2549440625)</f>
        <v>0.2549440625</v>
      </c>
      <c r="J1367" s="4" t="str">
        <f>IFERROR(__xludf.DUMMYFUNCTION("""COMPUTED_VALUE"""),"")</f>
        <v/>
      </c>
      <c r="K1367" s="4" t="str">
        <f>IFERROR(__xludf.DUMMYFUNCTION("""COMPUTED_VALUE"""),"")</f>
        <v/>
      </c>
      <c r="L1367" s="4" t="str">
        <f>IFERROR(__xludf.DUMMYFUNCTION("""COMPUTED_VALUE"""),"")</f>
        <v/>
      </c>
      <c r="M1367" s="1" t="str">
        <f>IFERROR(__xludf.DUMMYFUNCTION("""COMPUTED_VALUE"""),"RFID")</f>
        <v>RFID</v>
      </c>
      <c r="N1367" s="5" t="str">
        <f>IFERROR(__xludf.DUMMYFUNCTION("""COMPUTED_VALUE"""),"")</f>
        <v/>
      </c>
      <c r="O1367" s="5" t="str">
        <f>IFERROR(__xludf.DUMMYFUNCTION("""COMPUTED_VALUE"""),"")</f>
        <v/>
      </c>
      <c r="P1367" s="5" t="str">
        <f>IFERROR(__xludf.DUMMYFUNCTION("""COMPUTED_VALUE"""),"")</f>
        <v/>
      </c>
      <c r="Q1367" s="5" t="str">
        <f>IFERROR(__xludf.DUMMYFUNCTION("""COMPUTED_VALUE"""),"")</f>
        <v/>
      </c>
      <c r="R1367" s="4" t="str">
        <f>IFERROR(__xludf.DUMMYFUNCTION("""COMPUTED_VALUE"""),"")</f>
        <v/>
      </c>
      <c r="S1367" s="1" t="b">
        <f>IFERROR(__xludf.DUMMYFUNCTION("""COMPUTED_VALUE"""),FALSE)</f>
        <v>0</v>
      </c>
      <c r="T1367" s="1" t="b">
        <f>IFERROR(__xludf.DUMMYFUNCTION("""COMPUTED_VALUE"""),FALSE)</f>
        <v>0</v>
      </c>
      <c r="U1367" s="1" t="str">
        <f>IFERROR(__xludf.DUMMYFUNCTION("""COMPUTED_VALUE"""),"DSQ")</f>
        <v>DSQ</v>
      </c>
      <c r="V1367" s="1" t="str">
        <f>IFERROR(__xludf.DUMMYFUNCTION("""COMPUTED_VALUE"""),"DSQ")</f>
        <v>DSQ</v>
      </c>
      <c r="W1367" s="1" t="str">
        <f>IFERROR(__xludf.DUMMYFUNCTION("""COMPUTED_VALUE"""),"DSQ")</f>
        <v>DSQ</v>
      </c>
      <c r="X1367" s="1" t="str">
        <f>IFERROR(__xludf.DUMMYFUNCTION("""COMPUTED_VALUE"""),"DSQ")</f>
        <v>DSQ</v>
      </c>
      <c r="Y1367" s="2"/>
      <c r="Z1367" s="2" t="str">
        <f>IFERROR(__xludf.DUMMYFUNCTION("""COMPUTED_VALUE"""),"")</f>
        <v/>
      </c>
    </row>
    <row r="1368">
      <c r="A1368" s="1">
        <f>IFERROR(__xludf.DUMMYFUNCTION("""COMPUTED_VALUE"""),1367.0)</f>
        <v>1367</v>
      </c>
      <c r="B1368" s="1">
        <f>IFERROR(__xludf.DUMMYFUNCTION("""COMPUTED_VALUE"""),5791.0)</f>
        <v>5791</v>
      </c>
      <c r="C1368" s="2" t="str">
        <f>IFERROR(__xludf.DUMMYFUNCTION("""COMPUTED_VALUE"""),"ELSA")</f>
        <v>ELSA</v>
      </c>
      <c r="D1368" s="2" t="str">
        <f>IFERROR(__xludf.DUMMYFUNCTION("""COMPUTED_VALUE"""),"5KM OVERALL F")</f>
        <v>5KM OVERALL F</v>
      </c>
      <c r="E1368" s="1">
        <f>IFERROR(__xludf.DUMMYFUNCTION("""COMPUTED_VALUE"""),2.0)</f>
        <v>2</v>
      </c>
      <c r="F1368" s="1" t="str">
        <f>IFERROR(__xludf.DUMMYFUNCTION("""COMPUTED_VALUE"""),"Female")</f>
        <v>Female</v>
      </c>
      <c r="G1368" s="4" t="b">
        <f>IFERROR(__xludf.DUMMYFUNCTION("""COMPUTED_VALUE"""),TRUE)</f>
        <v>1</v>
      </c>
      <c r="H1368" s="4" t="b">
        <f>IFERROR(__xludf.DUMMYFUNCTION("""COMPUTED_VALUE"""),TRUE)</f>
        <v>1</v>
      </c>
      <c r="I1368" s="4">
        <f>IFERROR(__xludf.DUMMYFUNCTION("""COMPUTED_VALUE"""),0.2549440625)</f>
        <v>0.2549440625</v>
      </c>
      <c r="J1368" s="4">
        <f>IFERROR(__xludf.DUMMYFUNCTION("""COMPUTED_VALUE"""),45949.28055795669)</f>
        <v>45949.28056</v>
      </c>
      <c r="K1368" s="4" t="str">
        <f>IFERROR(__xludf.DUMMYFUNCTION("""COMPUTED_VALUE"""),"")</f>
        <v/>
      </c>
      <c r="L1368" s="4">
        <f>IFERROR(__xludf.DUMMYFUNCTION("""COMPUTED_VALUE"""),45949.299363838225)</f>
        <v>45949.29936</v>
      </c>
      <c r="M1368" s="1" t="str">
        <f>IFERROR(__xludf.DUMMYFUNCTION("""COMPUTED_VALUE"""),"RFID")</f>
        <v>RFID</v>
      </c>
      <c r="N1368" s="5">
        <f>IFERROR(__xludf.DUMMYFUNCTION("""COMPUTED_VALUE"""),0.010245555555555555)</f>
        <v>0.01024555556</v>
      </c>
      <c r="O1368" s="5" t="str">
        <f>IFERROR(__xludf.DUMMYFUNCTION("""COMPUTED_VALUE"""),"")</f>
        <v/>
      </c>
      <c r="P1368" s="5" t="str">
        <f>IFERROR(__xludf.DUMMYFUNCTION("""COMPUTED_VALUE"""),"")</f>
        <v/>
      </c>
      <c r="Q1368" s="5">
        <f>IFERROR(__xludf.DUMMYFUNCTION("""COMPUTED_VALUE"""),0.008883956018518518)</f>
        <v>0.008883956019</v>
      </c>
      <c r="R1368" s="4">
        <f>IFERROR(__xludf.DUMMYFUNCTION("""COMPUTED_VALUE"""),45949.044419775724)</f>
        <v>45949.04442</v>
      </c>
      <c r="S1368" s="1" t="b">
        <f>IFERROR(__xludf.DUMMYFUNCTION("""COMPUTED_VALUE"""),TRUE)</f>
        <v>1</v>
      </c>
      <c r="T1368" s="1" t="b">
        <f>IFERROR(__xludf.DUMMYFUNCTION("""COMPUTED_VALUE"""),FALSE)</f>
        <v>0</v>
      </c>
      <c r="U1368" s="1" t="str">
        <f>IFERROR(__xludf.DUMMYFUNCTION("""COMPUTED_VALUE"""),"VALID")</f>
        <v>VALID</v>
      </c>
      <c r="V1368" s="1">
        <f>IFERROR(__xludf.DUMMYFUNCTION("""COMPUTED_VALUE"""),405.0)</f>
        <v>405</v>
      </c>
      <c r="W1368" s="1">
        <f>IFERROR(__xludf.DUMMYFUNCTION("""COMPUTED_VALUE"""),1425.0)</f>
        <v>1425</v>
      </c>
      <c r="X1368" s="1">
        <f>IFERROR(__xludf.DUMMYFUNCTION("""COMPUTED_VALUE"""),496.0)</f>
        <v>496</v>
      </c>
      <c r="Y1368" s="2"/>
      <c r="Z1368" s="2"/>
    </row>
    <row r="1369">
      <c r="A1369" s="1">
        <f>IFERROR(__xludf.DUMMYFUNCTION("""COMPUTED_VALUE"""),1368.0)</f>
        <v>1368</v>
      </c>
      <c r="B1369" s="1">
        <f>IFERROR(__xludf.DUMMYFUNCTION("""COMPUTED_VALUE"""),5794.0)</f>
        <v>5794</v>
      </c>
      <c r="C1369" s="2" t="str">
        <f>IFERROR(__xludf.DUMMYFUNCTION("""COMPUTED_VALUE"""),"Anindita Wikanti N")</f>
        <v>Anindita Wikanti N</v>
      </c>
      <c r="D1369" s="2" t="str">
        <f>IFERROR(__xludf.DUMMYFUNCTION("""COMPUTED_VALUE"""),"5KM OVERALL F")</f>
        <v>5KM OVERALL F</v>
      </c>
      <c r="E1369" s="1">
        <f>IFERROR(__xludf.DUMMYFUNCTION("""COMPUTED_VALUE"""),2.0)</f>
        <v>2</v>
      </c>
      <c r="F1369" s="1" t="str">
        <f>IFERROR(__xludf.DUMMYFUNCTION("""COMPUTED_VALUE"""),"Female")</f>
        <v>Female</v>
      </c>
      <c r="G1369" s="4" t="b">
        <f>IFERROR(__xludf.DUMMYFUNCTION("""COMPUTED_VALUE"""),TRUE)</f>
        <v>1</v>
      </c>
      <c r="H1369" s="4" t="b">
        <f>IFERROR(__xludf.DUMMYFUNCTION("""COMPUTED_VALUE"""),FALSE)</f>
        <v>0</v>
      </c>
      <c r="I1369" s="4">
        <f>IFERROR(__xludf.DUMMYFUNCTION("""COMPUTED_VALUE"""),0.2549440625)</f>
        <v>0.2549440625</v>
      </c>
      <c r="J1369" s="4">
        <f>IFERROR(__xludf.DUMMYFUNCTION("""COMPUTED_VALUE"""),45949.27178016905)</f>
        <v>45949.27178</v>
      </c>
      <c r="K1369" s="4" t="str">
        <f>IFERROR(__xludf.DUMMYFUNCTION("""COMPUTED_VALUE"""),"")</f>
        <v/>
      </c>
      <c r="L1369" s="4">
        <f>IFERROR(__xludf.DUMMYFUNCTION("""COMPUTED_VALUE"""),45949.28461614705)</f>
        <v>45949.28462</v>
      </c>
      <c r="M1369" s="1" t="str">
        <f>IFERROR(__xludf.DUMMYFUNCTION("""COMPUTED_VALUE"""),"RFID")</f>
        <v>RFID</v>
      </c>
      <c r="N1369" s="5">
        <f>IFERROR(__xludf.DUMMYFUNCTION("""COMPUTED_VALUE"""),0.006734444444444444)</f>
        <v>0.006734444444</v>
      </c>
      <c r="O1369" s="5" t="str">
        <f>IFERROR(__xludf.DUMMYFUNCTION("""COMPUTED_VALUE"""),"")</f>
        <v/>
      </c>
      <c r="P1369" s="5" t="str">
        <f>IFERROR(__xludf.DUMMYFUNCTION("""COMPUTED_VALUE"""),"")</f>
        <v/>
      </c>
      <c r="Q1369" s="5">
        <f>IFERROR(__xludf.DUMMYFUNCTION("""COMPUTED_VALUE"""),0.005934416666666667)</f>
        <v>0.005934416667</v>
      </c>
      <c r="R1369" s="4">
        <f>IFERROR(__xludf.DUMMYFUNCTION("""COMPUTED_VALUE"""),45949.02967208455)</f>
        <v>45949.02967</v>
      </c>
      <c r="S1369" s="1" t="b">
        <f>IFERROR(__xludf.DUMMYFUNCTION("""COMPUTED_VALUE"""),TRUE)</f>
        <v>1</v>
      </c>
      <c r="T1369" s="1" t="b">
        <f>IFERROR(__xludf.DUMMYFUNCTION("""COMPUTED_VALUE"""),FALSE)</f>
        <v>0</v>
      </c>
      <c r="U1369" s="1" t="str">
        <f>IFERROR(__xludf.DUMMYFUNCTION("""COMPUTED_VALUE"""),"VALID")</f>
        <v>VALID</v>
      </c>
      <c r="V1369" s="1">
        <f>IFERROR(__xludf.DUMMYFUNCTION("""COMPUTED_VALUE"""),67.0)</f>
        <v>67</v>
      </c>
      <c r="W1369" s="1">
        <f>IFERROR(__xludf.DUMMYFUNCTION("""COMPUTED_VALUE"""),551.0)</f>
        <v>551</v>
      </c>
      <c r="X1369" s="1">
        <f>IFERROR(__xludf.DUMMYFUNCTION("""COMPUTED_VALUE"""),89.0)</f>
        <v>89</v>
      </c>
      <c r="Y1369" s="2"/>
      <c r="Z1369" s="2"/>
    </row>
    <row r="1370">
      <c r="A1370" s="1">
        <f>IFERROR(__xludf.DUMMYFUNCTION("""COMPUTED_VALUE"""),1369.0)</f>
        <v>1369</v>
      </c>
      <c r="B1370" s="1">
        <f>IFERROR(__xludf.DUMMYFUNCTION("""COMPUTED_VALUE"""),5796.0)</f>
        <v>5796</v>
      </c>
      <c r="C1370" s="2" t="str">
        <f>IFERROR(__xludf.DUMMYFUNCTION("""COMPUTED_VALUE"""),"Syafalia Mentayanti")</f>
        <v>Syafalia Mentayanti</v>
      </c>
      <c r="D1370" s="2" t="str">
        <f>IFERROR(__xludf.DUMMYFUNCTION("""COMPUTED_VALUE"""),"5KM OVERALL F")</f>
        <v>5KM OVERALL F</v>
      </c>
      <c r="E1370" s="1">
        <f>IFERROR(__xludf.DUMMYFUNCTION("""COMPUTED_VALUE"""),2.0)</f>
        <v>2</v>
      </c>
      <c r="F1370" s="1" t="str">
        <f>IFERROR(__xludf.DUMMYFUNCTION("""COMPUTED_VALUE"""),"Female")</f>
        <v>Female</v>
      </c>
      <c r="G1370" s="4" t="b">
        <f>IFERROR(__xludf.DUMMYFUNCTION("""COMPUTED_VALUE"""),TRUE)</f>
        <v>1</v>
      </c>
      <c r="H1370" s="4" t="b">
        <f>IFERROR(__xludf.DUMMYFUNCTION("""COMPUTED_VALUE"""),TRUE)</f>
        <v>1</v>
      </c>
      <c r="I1370" s="4">
        <f>IFERROR(__xludf.DUMMYFUNCTION("""COMPUTED_VALUE"""),0.2549440625)</f>
        <v>0.2549440625</v>
      </c>
      <c r="J1370" s="4">
        <f>IFERROR(__xludf.DUMMYFUNCTION("""COMPUTED_VALUE"""),45949.270974625644)</f>
        <v>45949.27097</v>
      </c>
      <c r="K1370" s="4" t="str">
        <f>IFERROR(__xludf.DUMMYFUNCTION("""COMPUTED_VALUE"""),"")</f>
        <v/>
      </c>
      <c r="L1370" s="4">
        <f>IFERROR(__xludf.DUMMYFUNCTION("""COMPUTED_VALUE"""),45949.28351199227)</f>
        <v>45949.28351</v>
      </c>
      <c r="M1370" s="1" t="str">
        <f>IFERROR(__xludf.DUMMYFUNCTION("""COMPUTED_VALUE"""),"RFID")</f>
        <v>RFID</v>
      </c>
      <c r="N1370" s="5">
        <f>IFERROR(__xludf.DUMMYFUNCTION("""COMPUTED_VALUE"""),0.006412226851851851)</f>
        <v>0.006412226852</v>
      </c>
      <c r="O1370" s="5" t="str">
        <f>IFERROR(__xludf.DUMMYFUNCTION("""COMPUTED_VALUE"""),"")</f>
        <v/>
      </c>
      <c r="P1370" s="5" t="str">
        <f>IFERROR(__xludf.DUMMYFUNCTION("""COMPUTED_VALUE"""),"")</f>
        <v/>
      </c>
      <c r="Q1370" s="5">
        <f>IFERROR(__xludf.DUMMYFUNCTION("""COMPUTED_VALUE"""),0.005713585648148148)</f>
        <v>0.005713585648</v>
      </c>
      <c r="R1370" s="4">
        <f>IFERROR(__xludf.DUMMYFUNCTION("""COMPUTED_VALUE"""),45949.02856792977)</f>
        <v>45949.02857</v>
      </c>
      <c r="S1370" s="1" t="b">
        <f>IFERROR(__xludf.DUMMYFUNCTION("""COMPUTED_VALUE"""),TRUE)</f>
        <v>1</v>
      </c>
      <c r="T1370" s="1" t="b">
        <f>IFERROR(__xludf.DUMMYFUNCTION("""COMPUTED_VALUE"""),FALSE)</f>
        <v>0</v>
      </c>
      <c r="U1370" s="1" t="str">
        <f>IFERROR(__xludf.DUMMYFUNCTION("""COMPUTED_VALUE"""),"VALID")</f>
        <v>VALID</v>
      </c>
      <c r="V1370" s="1">
        <f>IFERROR(__xludf.DUMMYFUNCTION("""COMPUTED_VALUE"""),47.0)</f>
        <v>47</v>
      </c>
      <c r="W1370" s="1">
        <f>IFERROR(__xludf.DUMMYFUNCTION("""COMPUTED_VALUE"""),464.0)</f>
        <v>464</v>
      </c>
      <c r="X1370" s="1">
        <f>IFERROR(__xludf.DUMMYFUNCTION("""COMPUTED_VALUE"""),68.0)</f>
        <v>68</v>
      </c>
      <c r="Y1370" s="2"/>
      <c r="Z1370" s="2"/>
    </row>
    <row r="1371">
      <c r="A1371" s="1">
        <f>IFERROR(__xludf.DUMMYFUNCTION("""COMPUTED_VALUE"""),1370.0)</f>
        <v>1370</v>
      </c>
      <c r="B1371" s="1">
        <f>IFERROR(__xludf.DUMMYFUNCTION("""COMPUTED_VALUE"""),5797.0)</f>
        <v>5797</v>
      </c>
      <c r="C1371" s="2" t="str">
        <f>IFERROR(__xludf.DUMMYFUNCTION("""COMPUTED_VALUE"""),"siska")</f>
        <v>siska</v>
      </c>
      <c r="D1371" s="2" t="str">
        <f>IFERROR(__xludf.DUMMYFUNCTION("""COMPUTED_VALUE"""),"5KM OVERALL F")</f>
        <v>5KM OVERALL F</v>
      </c>
      <c r="E1371" s="1">
        <f>IFERROR(__xludf.DUMMYFUNCTION("""COMPUTED_VALUE"""),2.0)</f>
        <v>2</v>
      </c>
      <c r="F1371" s="1" t="str">
        <f>IFERROR(__xludf.DUMMYFUNCTION("""COMPUTED_VALUE"""),"Female")</f>
        <v>Female</v>
      </c>
      <c r="G1371" s="4" t="b">
        <f>IFERROR(__xludf.DUMMYFUNCTION("""COMPUTED_VALUE"""),TRUE)</f>
        <v>1</v>
      </c>
      <c r="H1371" s="4" t="b">
        <f>IFERROR(__xludf.DUMMYFUNCTION("""COMPUTED_VALUE"""),TRUE)</f>
        <v>1</v>
      </c>
      <c r="I1371" s="4">
        <f>IFERROR(__xludf.DUMMYFUNCTION("""COMPUTED_VALUE"""),0.2549440625)</f>
        <v>0.2549440625</v>
      </c>
      <c r="J1371" s="4">
        <f>IFERROR(__xludf.DUMMYFUNCTION("""COMPUTED_VALUE"""),45949.28413091907)</f>
        <v>45949.28413</v>
      </c>
      <c r="K1371" s="4" t="str">
        <f>IFERROR(__xludf.DUMMYFUNCTION("""COMPUTED_VALUE"""),"")</f>
        <v/>
      </c>
      <c r="L1371" s="4">
        <f>IFERROR(__xludf.DUMMYFUNCTION("""COMPUTED_VALUE"""),45949.303057073186)</f>
        <v>45949.30306</v>
      </c>
      <c r="M1371" s="1" t="str">
        <f>IFERROR(__xludf.DUMMYFUNCTION("""COMPUTED_VALUE"""),"RFID")</f>
        <v>RFID</v>
      </c>
      <c r="N1371" s="5">
        <f>IFERROR(__xludf.DUMMYFUNCTION("""COMPUTED_VALUE"""),0.01167474074074074)</f>
        <v>0.01167474074</v>
      </c>
      <c r="O1371" s="5" t="str">
        <f>IFERROR(__xludf.DUMMYFUNCTION("""COMPUTED_VALUE"""),"")</f>
        <v/>
      </c>
      <c r="P1371" s="5" t="str">
        <f>IFERROR(__xludf.DUMMYFUNCTION("""COMPUTED_VALUE"""),"")</f>
        <v/>
      </c>
      <c r="Q1371" s="5">
        <f>IFERROR(__xludf.DUMMYFUNCTION("""COMPUTED_VALUE"""),0.009622601851851851)</f>
        <v>0.009622601852</v>
      </c>
      <c r="R1371" s="4">
        <f>IFERROR(__xludf.DUMMYFUNCTION("""COMPUTED_VALUE"""),45949.048113010685)</f>
        <v>45949.04811</v>
      </c>
      <c r="S1371" s="1" t="b">
        <f>IFERROR(__xludf.DUMMYFUNCTION("""COMPUTED_VALUE"""),TRUE)</f>
        <v>1</v>
      </c>
      <c r="T1371" s="1" t="b">
        <f>IFERROR(__xludf.DUMMYFUNCTION("""COMPUTED_VALUE"""),FALSE)</f>
        <v>0</v>
      </c>
      <c r="U1371" s="1" t="str">
        <f>IFERROR(__xludf.DUMMYFUNCTION("""COMPUTED_VALUE"""),"VALID")</f>
        <v>VALID</v>
      </c>
      <c r="V1371" s="1">
        <f>IFERROR(__xludf.DUMMYFUNCTION("""COMPUTED_VALUE"""),478.0)</f>
        <v>478</v>
      </c>
      <c r="W1371" s="1">
        <f>IFERROR(__xludf.DUMMYFUNCTION("""COMPUTED_VALUE"""),1554.0)</f>
        <v>1554</v>
      </c>
      <c r="X1371" s="1">
        <f>IFERROR(__xludf.DUMMYFUNCTION("""COMPUTED_VALUE"""),581.0)</f>
        <v>581</v>
      </c>
      <c r="Y1371" s="2"/>
      <c r="Z1371" s="2"/>
    </row>
    <row r="1372">
      <c r="A1372" s="1">
        <f>IFERROR(__xludf.DUMMYFUNCTION("""COMPUTED_VALUE"""),1371.0)</f>
        <v>1371</v>
      </c>
      <c r="B1372" s="1">
        <f>IFERROR(__xludf.DUMMYFUNCTION("""COMPUTED_VALUE"""),5798.0)</f>
        <v>5798</v>
      </c>
      <c r="C1372" s="2" t="str">
        <f>IFERROR(__xludf.DUMMYFUNCTION("""COMPUTED_VALUE"""),"Faradita Safitri")</f>
        <v>Faradita Safitri</v>
      </c>
      <c r="D1372" s="2" t="str">
        <f>IFERROR(__xludf.DUMMYFUNCTION("""COMPUTED_VALUE"""),"5KM OVERALL F")</f>
        <v>5KM OVERALL F</v>
      </c>
      <c r="E1372" s="1">
        <f>IFERROR(__xludf.DUMMYFUNCTION("""COMPUTED_VALUE"""),2.0)</f>
        <v>2</v>
      </c>
      <c r="F1372" s="1" t="str">
        <f>IFERROR(__xludf.DUMMYFUNCTION("""COMPUTED_VALUE"""),"Female")</f>
        <v>Female</v>
      </c>
      <c r="G1372" s="4" t="b">
        <f>IFERROR(__xludf.DUMMYFUNCTION("""COMPUTED_VALUE"""),TRUE)</f>
        <v>1</v>
      </c>
      <c r="H1372" s="4" t="b">
        <f>IFERROR(__xludf.DUMMYFUNCTION("""COMPUTED_VALUE"""),TRUE)</f>
        <v>1</v>
      </c>
      <c r="I1372" s="4">
        <f>IFERROR(__xludf.DUMMYFUNCTION("""COMPUTED_VALUE"""),0.2549440625)</f>
        <v>0.2549440625</v>
      </c>
      <c r="J1372" s="4">
        <f>IFERROR(__xludf.DUMMYFUNCTION("""COMPUTED_VALUE"""),45949.27332923183)</f>
        <v>45949.27333</v>
      </c>
      <c r="K1372" s="4" t="str">
        <f>IFERROR(__xludf.DUMMYFUNCTION("""COMPUTED_VALUE"""),"")</f>
        <v/>
      </c>
      <c r="L1372" s="4">
        <f>IFERROR(__xludf.DUMMYFUNCTION("""COMPUTED_VALUE"""),45949.28789739612)</f>
        <v>45949.2879</v>
      </c>
      <c r="M1372" s="1" t="str">
        <f>IFERROR(__xludf.DUMMYFUNCTION("""COMPUTED_VALUE"""),"RFID")</f>
        <v>RFID</v>
      </c>
      <c r="N1372" s="5">
        <f>IFERROR(__xludf.DUMMYFUNCTION("""COMPUTED_VALUE"""),0.007354069444444444)</f>
        <v>0.007354069444</v>
      </c>
      <c r="O1372" s="5" t="str">
        <f>IFERROR(__xludf.DUMMYFUNCTION("""COMPUTED_VALUE"""),"")</f>
        <v/>
      </c>
      <c r="P1372" s="5" t="str">
        <f>IFERROR(__xludf.DUMMYFUNCTION("""COMPUTED_VALUE"""),"")</f>
        <v/>
      </c>
      <c r="Q1372" s="5">
        <f>IFERROR(__xludf.DUMMYFUNCTION("""COMPUTED_VALUE"""),0.0065906666666666665)</f>
        <v>0.006590666667</v>
      </c>
      <c r="R1372" s="4">
        <f>IFERROR(__xludf.DUMMYFUNCTION("""COMPUTED_VALUE"""),45949.03295333362)</f>
        <v>45949.03295</v>
      </c>
      <c r="S1372" s="1" t="b">
        <f>IFERROR(__xludf.DUMMYFUNCTION("""COMPUTED_VALUE"""),TRUE)</f>
        <v>1</v>
      </c>
      <c r="T1372" s="1" t="b">
        <f>IFERROR(__xludf.DUMMYFUNCTION("""COMPUTED_VALUE"""),FALSE)</f>
        <v>0</v>
      </c>
      <c r="U1372" s="1" t="str">
        <f>IFERROR(__xludf.DUMMYFUNCTION("""COMPUTED_VALUE"""),"VALID")</f>
        <v>VALID</v>
      </c>
      <c r="V1372" s="1">
        <f>IFERROR(__xludf.DUMMYFUNCTION("""COMPUTED_VALUE"""),128.0)</f>
        <v>128</v>
      </c>
      <c r="W1372" s="1">
        <f>IFERROR(__xludf.DUMMYFUNCTION("""COMPUTED_VALUE"""),772.0)</f>
        <v>772</v>
      </c>
      <c r="X1372" s="1">
        <f>IFERROR(__xludf.DUMMYFUNCTION("""COMPUTED_VALUE"""),161.0)</f>
        <v>161</v>
      </c>
      <c r="Y1372" s="2"/>
      <c r="Z1372" s="2"/>
    </row>
    <row r="1373">
      <c r="A1373" s="1">
        <f>IFERROR(__xludf.DUMMYFUNCTION("""COMPUTED_VALUE"""),1372.0)</f>
        <v>1372</v>
      </c>
      <c r="B1373" s="1">
        <f>IFERROR(__xludf.DUMMYFUNCTION("""COMPUTED_VALUE"""),5799.0)</f>
        <v>5799</v>
      </c>
      <c r="C1373" s="2" t="str">
        <f>IFERROR(__xludf.DUMMYFUNCTION("""COMPUTED_VALUE"""),"Annida Syahlina")</f>
        <v>Annida Syahlina</v>
      </c>
      <c r="D1373" s="2" t="str">
        <f>IFERROR(__xludf.DUMMYFUNCTION("""COMPUTED_VALUE"""),"5KM OVERALL F")</f>
        <v>5KM OVERALL F</v>
      </c>
      <c r="E1373" s="1">
        <f>IFERROR(__xludf.DUMMYFUNCTION("""COMPUTED_VALUE"""),2.0)</f>
        <v>2</v>
      </c>
      <c r="F1373" s="1" t="str">
        <f>IFERROR(__xludf.DUMMYFUNCTION("""COMPUTED_VALUE"""),"Female")</f>
        <v>Female</v>
      </c>
      <c r="G1373" s="4" t="b">
        <f>IFERROR(__xludf.DUMMYFUNCTION("""COMPUTED_VALUE"""),TRUE)</f>
        <v>1</v>
      </c>
      <c r="H1373" s="4" t="b">
        <f>IFERROR(__xludf.DUMMYFUNCTION("""COMPUTED_VALUE"""),TRUE)</f>
        <v>1</v>
      </c>
      <c r="I1373" s="4">
        <f>IFERROR(__xludf.DUMMYFUNCTION("""COMPUTED_VALUE"""),0.2549440625)</f>
        <v>0.2549440625</v>
      </c>
      <c r="J1373" s="4">
        <f>IFERROR(__xludf.DUMMYFUNCTION("""COMPUTED_VALUE"""),45949.283002392855)</f>
        <v>45949.283</v>
      </c>
      <c r="K1373" s="4" t="str">
        <f>IFERROR(__xludf.DUMMYFUNCTION("""COMPUTED_VALUE"""),"")</f>
        <v/>
      </c>
      <c r="L1373" s="4">
        <f>IFERROR(__xludf.DUMMYFUNCTION("""COMPUTED_VALUE"""),45949.30282100842)</f>
        <v>45949.30282</v>
      </c>
      <c r="M1373" s="1" t="str">
        <f>IFERROR(__xludf.DUMMYFUNCTION("""COMPUTED_VALUE"""),"RFID")</f>
        <v>RFID</v>
      </c>
      <c r="N1373" s="5">
        <f>IFERROR(__xludf.DUMMYFUNCTION("""COMPUTED_VALUE"""),0.011223333333333332)</f>
        <v>0.01122333333</v>
      </c>
      <c r="O1373" s="5" t="str">
        <f>IFERROR(__xludf.DUMMYFUNCTION("""COMPUTED_VALUE"""),"")</f>
        <v/>
      </c>
      <c r="P1373" s="5" t="str">
        <f>IFERROR(__xludf.DUMMYFUNCTION("""COMPUTED_VALUE"""),"")</f>
        <v/>
      </c>
      <c r="Q1373" s="5">
        <f>IFERROR(__xludf.DUMMYFUNCTION("""COMPUTED_VALUE"""),0.009575388888888888)</f>
        <v>0.009575388889</v>
      </c>
      <c r="R1373" s="4">
        <f>IFERROR(__xludf.DUMMYFUNCTION("""COMPUTED_VALUE"""),45949.04787694592)</f>
        <v>45949.04788</v>
      </c>
      <c r="S1373" s="1" t="b">
        <f>IFERROR(__xludf.DUMMYFUNCTION("""COMPUTED_VALUE"""),TRUE)</f>
        <v>1</v>
      </c>
      <c r="T1373" s="1" t="b">
        <f>IFERROR(__xludf.DUMMYFUNCTION("""COMPUTED_VALUE"""),FALSE)</f>
        <v>0</v>
      </c>
      <c r="U1373" s="1" t="str">
        <f>IFERROR(__xludf.DUMMYFUNCTION("""COMPUTED_VALUE"""),"VALID")</f>
        <v>VALID</v>
      </c>
      <c r="V1373" s="1">
        <f>IFERROR(__xludf.DUMMYFUNCTION("""COMPUTED_VALUE"""),470.0)</f>
        <v>470</v>
      </c>
      <c r="W1373" s="1">
        <f>IFERROR(__xludf.DUMMYFUNCTION("""COMPUTED_VALUE"""),1536.0)</f>
        <v>1536</v>
      </c>
      <c r="X1373" s="1">
        <f>IFERROR(__xludf.DUMMYFUNCTION("""COMPUTED_VALUE"""),572.0)</f>
        <v>572</v>
      </c>
      <c r="Y1373" s="2"/>
      <c r="Z1373" s="2"/>
    </row>
    <row r="1374">
      <c r="A1374" s="1">
        <f>IFERROR(__xludf.DUMMYFUNCTION("""COMPUTED_VALUE"""),1373.0)</f>
        <v>1373</v>
      </c>
      <c r="B1374" s="1">
        <f>IFERROR(__xludf.DUMMYFUNCTION("""COMPUTED_VALUE"""),5800.0)</f>
        <v>5800</v>
      </c>
      <c r="C1374" s="2" t="str">
        <f>IFERROR(__xludf.DUMMYFUNCTION("""COMPUTED_VALUE"""),"Imah")</f>
        <v>Imah</v>
      </c>
      <c r="D1374" s="2" t="str">
        <f>IFERROR(__xludf.DUMMYFUNCTION("""COMPUTED_VALUE"""),"5KM OVERALL F")</f>
        <v>5KM OVERALL F</v>
      </c>
      <c r="E1374" s="1">
        <f>IFERROR(__xludf.DUMMYFUNCTION("""COMPUTED_VALUE"""),2.0)</f>
        <v>2</v>
      </c>
      <c r="F1374" s="1" t="str">
        <f>IFERROR(__xludf.DUMMYFUNCTION("""COMPUTED_VALUE"""),"Female")</f>
        <v>Female</v>
      </c>
      <c r="G1374" s="4" t="b">
        <f>IFERROR(__xludf.DUMMYFUNCTION("""COMPUTED_VALUE"""),TRUE)</f>
        <v>1</v>
      </c>
      <c r="H1374" s="4" t="b">
        <f>IFERROR(__xludf.DUMMYFUNCTION("""COMPUTED_VALUE"""),TRUE)</f>
        <v>1</v>
      </c>
      <c r="I1374" s="4">
        <f>IFERROR(__xludf.DUMMYFUNCTION("""COMPUTED_VALUE"""),0.2549440625)</f>
        <v>0.2549440625</v>
      </c>
      <c r="J1374" s="4">
        <f>IFERROR(__xludf.DUMMYFUNCTION("""COMPUTED_VALUE"""),45949.27274544661)</f>
        <v>45949.27275</v>
      </c>
      <c r="K1374" s="4" t="str">
        <f>IFERROR(__xludf.DUMMYFUNCTION("""COMPUTED_VALUE"""),"")</f>
        <v/>
      </c>
      <c r="L1374" s="4">
        <f>IFERROR(__xludf.DUMMYFUNCTION("""COMPUTED_VALUE"""),45949.28593905898)</f>
        <v>45949.28594</v>
      </c>
      <c r="M1374" s="1" t="str">
        <f>IFERROR(__xludf.DUMMYFUNCTION("""COMPUTED_VALUE"""),"RFID")</f>
        <v>RFID</v>
      </c>
      <c r="N1374" s="5">
        <f>IFERROR(__xludf.DUMMYFUNCTION("""COMPUTED_VALUE"""),0.007120555555555555)</f>
        <v>0.007120555556</v>
      </c>
      <c r="O1374" s="5" t="str">
        <f>IFERROR(__xludf.DUMMYFUNCTION("""COMPUTED_VALUE"""),"")</f>
        <v/>
      </c>
      <c r="P1374" s="5" t="str">
        <f>IFERROR(__xludf.DUMMYFUNCTION("""COMPUTED_VALUE"""),"")</f>
        <v/>
      </c>
      <c r="Q1374" s="5">
        <f>IFERROR(__xludf.DUMMYFUNCTION("""COMPUTED_VALUE"""),0.006199)</f>
        <v>0.006199</v>
      </c>
      <c r="R1374" s="4">
        <f>IFERROR(__xludf.DUMMYFUNCTION("""COMPUTED_VALUE"""),45949.03099499648)</f>
        <v>45949.03099</v>
      </c>
      <c r="S1374" s="1" t="b">
        <f>IFERROR(__xludf.DUMMYFUNCTION("""COMPUTED_VALUE"""),TRUE)</f>
        <v>1</v>
      </c>
      <c r="T1374" s="1" t="b">
        <f>IFERROR(__xludf.DUMMYFUNCTION("""COMPUTED_VALUE"""),FALSE)</f>
        <v>0</v>
      </c>
      <c r="U1374" s="1" t="str">
        <f>IFERROR(__xludf.DUMMYFUNCTION("""COMPUTED_VALUE"""),"VALID")</f>
        <v>VALID</v>
      </c>
      <c r="V1374" s="1">
        <f>IFERROR(__xludf.DUMMYFUNCTION("""COMPUTED_VALUE"""),93.0)</f>
        <v>93</v>
      </c>
      <c r="W1374" s="1">
        <f>IFERROR(__xludf.DUMMYFUNCTION("""COMPUTED_VALUE"""),633.0)</f>
        <v>633</v>
      </c>
      <c r="X1374" s="1">
        <f>IFERROR(__xludf.DUMMYFUNCTION("""COMPUTED_VALUE"""),118.0)</f>
        <v>118</v>
      </c>
      <c r="Y1374" s="2"/>
      <c r="Z1374" s="2"/>
    </row>
    <row r="1375">
      <c r="A1375" s="1">
        <f>IFERROR(__xludf.DUMMYFUNCTION("""COMPUTED_VALUE"""),1374.0)</f>
        <v>1374</v>
      </c>
      <c r="B1375" s="1">
        <f>IFERROR(__xludf.DUMMYFUNCTION("""COMPUTED_VALUE"""),5804.0)</f>
        <v>5804</v>
      </c>
      <c r="C1375" s="2" t="str">
        <f>IFERROR(__xludf.DUMMYFUNCTION("""COMPUTED_VALUE"""),"noorijatilhasanah")</f>
        <v>noorijatilhasanah</v>
      </c>
      <c r="D1375" s="2" t="str">
        <f>IFERROR(__xludf.DUMMYFUNCTION("""COMPUTED_VALUE"""),"5KM OVERALL F")</f>
        <v>5KM OVERALL F</v>
      </c>
      <c r="E1375" s="1">
        <f>IFERROR(__xludf.DUMMYFUNCTION("""COMPUTED_VALUE"""),2.0)</f>
        <v>2</v>
      </c>
      <c r="F1375" s="1" t="str">
        <f>IFERROR(__xludf.DUMMYFUNCTION("""COMPUTED_VALUE"""),"Female")</f>
        <v>Female</v>
      </c>
      <c r="G1375" s="4" t="b">
        <f>IFERROR(__xludf.DUMMYFUNCTION("""COMPUTED_VALUE"""),TRUE)</f>
        <v>1</v>
      </c>
      <c r="H1375" s="4" t="b">
        <f>IFERROR(__xludf.DUMMYFUNCTION("""COMPUTED_VALUE"""),FALSE)</f>
        <v>0</v>
      </c>
      <c r="I1375" s="4">
        <f>IFERROR(__xludf.DUMMYFUNCTION("""COMPUTED_VALUE"""),0.2549440625)</f>
        <v>0.2549440625</v>
      </c>
      <c r="J1375" s="4">
        <f>IFERROR(__xludf.DUMMYFUNCTION("""COMPUTED_VALUE"""),45949.28038789015)</f>
        <v>45949.28039</v>
      </c>
      <c r="K1375" s="4" t="str">
        <f>IFERROR(__xludf.DUMMYFUNCTION("""COMPUTED_VALUE"""),"")</f>
        <v/>
      </c>
      <c r="L1375" s="4">
        <f>IFERROR(__xludf.DUMMYFUNCTION("""COMPUTED_VALUE"""),45949.29835920856)</f>
        <v>45949.29836</v>
      </c>
      <c r="M1375" s="1" t="str">
        <f>IFERROR(__xludf.DUMMYFUNCTION("""COMPUTED_VALUE"""),"RFID")</f>
        <v>RFID</v>
      </c>
      <c r="N1375" s="5">
        <f>IFERROR(__xludf.DUMMYFUNCTION("""COMPUTED_VALUE"""),0.010177532407407408)</f>
        <v>0.01017753241</v>
      </c>
      <c r="O1375" s="5" t="str">
        <f>IFERROR(__xludf.DUMMYFUNCTION("""COMPUTED_VALUE"""),"")</f>
        <v/>
      </c>
      <c r="P1375" s="5" t="str">
        <f>IFERROR(__xludf.DUMMYFUNCTION("""COMPUTED_VALUE"""),"")</f>
        <v/>
      </c>
      <c r="Q1375" s="5">
        <f>IFERROR(__xludf.DUMMYFUNCTION("""COMPUTED_VALUE"""),0.008683030092592591)</f>
        <v>0.008683030093</v>
      </c>
      <c r="R1375" s="4">
        <f>IFERROR(__xludf.DUMMYFUNCTION("""COMPUTED_VALUE"""),45949.04341514606)</f>
        <v>45949.04342</v>
      </c>
      <c r="S1375" s="1" t="b">
        <f>IFERROR(__xludf.DUMMYFUNCTION("""COMPUTED_VALUE"""),TRUE)</f>
        <v>1</v>
      </c>
      <c r="T1375" s="1" t="b">
        <f>IFERROR(__xludf.DUMMYFUNCTION("""COMPUTED_VALUE"""),FALSE)</f>
        <v>0</v>
      </c>
      <c r="U1375" s="1" t="str">
        <f>IFERROR(__xludf.DUMMYFUNCTION("""COMPUTED_VALUE"""),"VALID")</f>
        <v>VALID</v>
      </c>
      <c r="V1375" s="1">
        <f>IFERROR(__xludf.DUMMYFUNCTION("""COMPUTED_VALUE"""),380.0)</f>
        <v>380</v>
      </c>
      <c r="W1375" s="1">
        <f>IFERROR(__xludf.DUMMYFUNCTION("""COMPUTED_VALUE"""),1369.0)</f>
        <v>1369</v>
      </c>
      <c r="X1375" s="1">
        <f>IFERROR(__xludf.DUMMYFUNCTION("""COMPUTED_VALUE"""),461.0)</f>
        <v>461</v>
      </c>
      <c r="Y1375" s="2"/>
      <c r="Z1375" s="2"/>
    </row>
    <row r="1376">
      <c r="A1376" s="1">
        <f>IFERROR(__xludf.DUMMYFUNCTION("""COMPUTED_VALUE"""),1375.0)</f>
        <v>1375</v>
      </c>
      <c r="B1376" s="1">
        <f>IFERROR(__xludf.DUMMYFUNCTION("""COMPUTED_VALUE"""),5805.0)</f>
        <v>5805</v>
      </c>
      <c r="C1376" s="2" t="str">
        <f>IFERROR(__xludf.DUMMYFUNCTION("""COMPUTED_VALUE"""),"zsazsabi")</f>
        <v>zsazsabi</v>
      </c>
      <c r="D1376" s="2" t="str">
        <f>IFERROR(__xludf.DUMMYFUNCTION("""COMPUTED_VALUE"""),"5KM OVERALL F")</f>
        <v>5KM OVERALL F</v>
      </c>
      <c r="E1376" s="1">
        <f>IFERROR(__xludf.DUMMYFUNCTION("""COMPUTED_VALUE"""),2.0)</f>
        <v>2</v>
      </c>
      <c r="F1376" s="1" t="str">
        <f>IFERROR(__xludf.DUMMYFUNCTION("""COMPUTED_VALUE"""),"Female")</f>
        <v>Female</v>
      </c>
      <c r="G1376" s="4" t="b">
        <f>IFERROR(__xludf.DUMMYFUNCTION("""COMPUTED_VALUE"""),TRUE)</f>
        <v>1</v>
      </c>
      <c r="H1376" s="4" t="b">
        <f>IFERROR(__xludf.DUMMYFUNCTION("""COMPUTED_VALUE"""),FALSE)</f>
        <v>0</v>
      </c>
      <c r="I1376" s="4">
        <f>IFERROR(__xludf.DUMMYFUNCTION("""COMPUTED_VALUE"""),0.2549440625)</f>
        <v>0.2549440625</v>
      </c>
      <c r="J1376" s="4">
        <f>IFERROR(__xludf.DUMMYFUNCTION("""COMPUTED_VALUE"""),45949.274821873645)</f>
        <v>45949.27482</v>
      </c>
      <c r="K1376" s="4" t="str">
        <f>IFERROR(__xludf.DUMMYFUNCTION("""COMPUTED_VALUE"""),"")</f>
        <v/>
      </c>
      <c r="L1376" s="4">
        <f>IFERROR(__xludf.DUMMYFUNCTION("""COMPUTED_VALUE"""),45949.29116129667)</f>
        <v>45949.29116</v>
      </c>
      <c r="M1376" s="1" t="str">
        <f>IFERROR(__xludf.DUMMYFUNCTION("""COMPUTED_VALUE"""),"RFID")</f>
        <v>RFID</v>
      </c>
      <c r="N1376" s="5">
        <f>IFERROR(__xludf.DUMMYFUNCTION("""COMPUTED_VALUE"""),0.007951125)</f>
        <v>0.007951125</v>
      </c>
      <c r="O1376" s="5" t="str">
        <f>IFERROR(__xludf.DUMMYFUNCTION("""COMPUTED_VALUE"""),"")</f>
        <v/>
      </c>
      <c r="P1376" s="5" t="str">
        <f>IFERROR(__xludf.DUMMYFUNCTION("""COMPUTED_VALUE"""),"")</f>
        <v/>
      </c>
      <c r="Q1376" s="5">
        <f>IFERROR(__xludf.DUMMYFUNCTION("""COMPUTED_VALUE"""),0.0072434467592592585)</f>
        <v>0.007243446759</v>
      </c>
      <c r="R1376" s="4">
        <f>IFERROR(__xludf.DUMMYFUNCTION("""COMPUTED_VALUE"""),45949.03621723417)</f>
        <v>45949.03622</v>
      </c>
      <c r="S1376" s="1" t="b">
        <f>IFERROR(__xludf.DUMMYFUNCTION("""COMPUTED_VALUE"""),TRUE)</f>
        <v>1</v>
      </c>
      <c r="T1376" s="1" t="b">
        <f>IFERROR(__xludf.DUMMYFUNCTION("""COMPUTED_VALUE"""),FALSE)</f>
        <v>0</v>
      </c>
      <c r="U1376" s="1" t="str">
        <f>IFERROR(__xludf.DUMMYFUNCTION("""COMPUTED_VALUE"""),"VALID")</f>
        <v>VALID</v>
      </c>
      <c r="V1376" s="1">
        <f>IFERROR(__xludf.DUMMYFUNCTION("""COMPUTED_VALUE"""),190.0)</f>
        <v>190</v>
      </c>
      <c r="W1376" s="1">
        <f>IFERROR(__xludf.DUMMYFUNCTION("""COMPUTED_VALUE"""),971.0)</f>
        <v>971</v>
      </c>
      <c r="X1376" s="1">
        <f>IFERROR(__xludf.DUMMYFUNCTION("""COMPUTED_VALUE"""),240.0)</f>
        <v>240</v>
      </c>
      <c r="Y1376" s="2"/>
      <c r="Z1376" s="2"/>
    </row>
    <row r="1377">
      <c r="A1377" s="1">
        <f>IFERROR(__xludf.DUMMYFUNCTION("""COMPUTED_VALUE"""),1376.0)</f>
        <v>1376</v>
      </c>
      <c r="B1377" s="1">
        <f>IFERROR(__xludf.DUMMYFUNCTION("""COMPUTED_VALUE"""),5806.0)</f>
        <v>5806</v>
      </c>
      <c r="C1377" s="2" t="str">
        <f>IFERROR(__xludf.DUMMYFUNCTION("""COMPUTED_VALUE"""),"THERESIA")</f>
        <v>THERESIA</v>
      </c>
      <c r="D1377" s="2" t="str">
        <f>IFERROR(__xludf.DUMMYFUNCTION("""COMPUTED_VALUE"""),"5KM OVERALL F")</f>
        <v>5KM OVERALL F</v>
      </c>
      <c r="E1377" s="1">
        <f>IFERROR(__xludf.DUMMYFUNCTION("""COMPUTED_VALUE"""),2.0)</f>
        <v>2</v>
      </c>
      <c r="F1377" s="1" t="str">
        <f>IFERROR(__xludf.DUMMYFUNCTION("""COMPUTED_VALUE"""),"Female")</f>
        <v>Female</v>
      </c>
      <c r="G1377" s="4" t="str">
        <f>IFERROR(__xludf.DUMMYFUNCTION("""COMPUTED_VALUE"""),"")</f>
        <v/>
      </c>
      <c r="H1377" s="4" t="b">
        <f>IFERROR(__xludf.DUMMYFUNCTION("""COMPUTED_VALUE"""),FALSE)</f>
        <v>0</v>
      </c>
      <c r="I1377" s="4">
        <f>IFERROR(__xludf.DUMMYFUNCTION("""COMPUTED_VALUE"""),0.2549440625)</f>
        <v>0.2549440625</v>
      </c>
      <c r="J1377" s="4" t="str">
        <f>IFERROR(__xludf.DUMMYFUNCTION("""COMPUTED_VALUE"""),"")</f>
        <v/>
      </c>
      <c r="K1377" s="4" t="str">
        <f>IFERROR(__xludf.DUMMYFUNCTION("""COMPUTED_VALUE"""),"")</f>
        <v/>
      </c>
      <c r="L1377" s="4" t="str">
        <f>IFERROR(__xludf.DUMMYFUNCTION("""COMPUTED_VALUE"""),"")</f>
        <v/>
      </c>
      <c r="M1377" s="1" t="str">
        <f>IFERROR(__xludf.DUMMYFUNCTION("""COMPUTED_VALUE"""),"RFID")</f>
        <v>RFID</v>
      </c>
      <c r="N1377" s="5" t="str">
        <f>IFERROR(__xludf.DUMMYFUNCTION("""COMPUTED_VALUE"""),"")</f>
        <v/>
      </c>
      <c r="O1377" s="5" t="str">
        <f>IFERROR(__xludf.DUMMYFUNCTION("""COMPUTED_VALUE"""),"")</f>
        <v/>
      </c>
      <c r="P1377" s="5" t="str">
        <f>IFERROR(__xludf.DUMMYFUNCTION("""COMPUTED_VALUE"""),"")</f>
        <v/>
      </c>
      <c r="Q1377" s="5" t="str">
        <f>IFERROR(__xludf.DUMMYFUNCTION("""COMPUTED_VALUE"""),"")</f>
        <v/>
      </c>
      <c r="R1377" s="4" t="str">
        <f>IFERROR(__xludf.DUMMYFUNCTION("""COMPUTED_VALUE"""),"")</f>
        <v/>
      </c>
      <c r="S1377" s="1" t="b">
        <f>IFERROR(__xludf.DUMMYFUNCTION("""COMPUTED_VALUE"""),FALSE)</f>
        <v>0</v>
      </c>
      <c r="T1377" s="1" t="b">
        <f>IFERROR(__xludf.DUMMYFUNCTION("""COMPUTED_VALUE"""),FALSE)</f>
        <v>0</v>
      </c>
      <c r="U1377" s="1" t="str">
        <f>IFERROR(__xludf.DUMMYFUNCTION("""COMPUTED_VALUE"""),"DSQ")</f>
        <v>DSQ</v>
      </c>
      <c r="V1377" s="1" t="str">
        <f>IFERROR(__xludf.DUMMYFUNCTION("""COMPUTED_VALUE"""),"DSQ")</f>
        <v>DSQ</v>
      </c>
      <c r="W1377" s="1" t="str">
        <f>IFERROR(__xludf.DUMMYFUNCTION("""COMPUTED_VALUE"""),"DSQ")</f>
        <v>DSQ</v>
      </c>
      <c r="X1377" s="1" t="str">
        <f>IFERROR(__xludf.DUMMYFUNCTION("""COMPUTED_VALUE"""),"DSQ")</f>
        <v>DSQ</v>
      </c>
      <c r="Y1377" s="2"/>
      <c r="Z1377" s="2" t="str">
        <f>IFERROR(__xludf.DUMMYFUNCTION("""COMPUTED_VALUE"""),"")</f>
        <v/>
      </c>
    </row>
    <row r="1378">
      <c r="A1378" s="1">
        <f>IFERROR(__xludf.DUMMYFUNCTION("""COMPUTED_VALUE"""),1377.0)</f>
        <v>1377</v>
      </c>
      <c r="B1378" s="1">
        <f>IFERROR(__xludf.DUMMYFUNCTION("""COMPUTED_VALUE"""),5807.0)</f>
        <v>5807</v>
      </c>
      <c r="C1378" s="2" t="str">
        <f>IFERROR(__xludf.DUMMYFUNCTION("""COMPUTED_VALUE"""),"Melva")</f>
        <v>Melva</v>
      </c>
      <c r="D1378" s="2" t="str">
        <f>IFERROR(__xludf.DUMMYFUNCTION("""COMPUTED_VALUE"""),"5KM OVERALL F")</f>
        <v>5KM OVERALL F</v>
      </c>
      <c r="E1378" s="1">
        <f>IFERROR(__xludf.DUMMYFUNCTION("""COMPUTED_VALUE"""),2.0)</f>
        <v>2</v>
      </c>
      <c r="F1378" s="1" t="str">
        <f>IFERROR(__xludf.DUMMYFUNCTION("""COMPUTED_VALUE"""),"Female")</f>
        <v>Female</v>
      </c>
      <c r="G1378" s="4" t="b">
        <f>IFERROR(__xludf.DUMMYFUNCTION("""COMPUTED_VALUE"""),TRUE)</f>
        <v>1</v>
      </c>
      <c r="H1378" s="4" t="b">
        <f>IFERROR(__xludf.DUMMYFUNCTION("""COMPUTED_VALUE"""),FALSE)</f>
        <v>0</v>
      </c>
      <c r="I1378" s="4">
        <f>IFERROR(__xludf.DUMMYFUNCTION("""COMPUTED_VALUE"""),0.2549440625)</f>
        <v>0.2549440625</v>
      </c>
      <c r="J1378" s="4">
        <f>IFERROR(__xludf.DUMMYFUNCTION("""COMPUTED_VALUE"""),45949.273696893346)</f>
        <v>45949.2737</v>
      </c>
      <c r="K1378" s="4" t="str">
        <f>IFERROR(__xludf.DUMMYFUNCTION("""COMPUTED_VALUE"""),"")</f>
        <v/>
      </c>
      <c r="L1378" s="4">
        <f>IFERROR(__xludf.DUMMYFUNCTION("""COMPUTED_VALUE"""),45949.28880706271)</f>
        <v>45949.28881</v>
      </c>
      <c r="M1378" s="1" t="str">
        <f>IFERROR(__xludf.DUMMYFUNCTION("""COMPUTED_VALUE"""),"RFID")</f>
        <v>RFID</v>
      </c>
      <c r="N1378" s="5">
        <f>IFERROR(__xludf.DUMMYFUNCTION("""COMPUTED_VALUE"""),0.007501134259259258)</f>
        <v>0.007501134259</v>
      </c>
      <c r="O1378" s="5" t="str">
        <f>IFERROR(__xludf.DUMMYFUNCTION("""COMPUTED_VALUE"""),"")</f>
        <v/>
      </c>
      <c r="P1378" s="5" t="str">
        <f>IFERROR(__xludf.DUMMYFUNCTION("""COMPUTED_VALUE"""),"")</f>
        <v/>
      </c>
      <c r="Q1378" s="5">
        <f>IFERROR(__xludf.DUMMYFUNCTION("""COMPUTED_VALUE"""),0.006772599537037037)</f>
        <v>0.006772599537</v>
      </c>
      <c r="R1378" s="4">
        <f>IFERROR(__xludf.DUMMYFUNCTION("""COMPUTED_VALUE"""),45949.03386300021)</f>
        <v>45949.03386</v>
      </c>
      <c r="S1378" s="1" t="b">
        <f>IFERROR(__xludf.DUMMYFUNCTION("""COMPUTED_VALUE"""),TRUE)</f>
        <v>1</v>
      </c>
      <c r="T1378" s="1" t="b">
        <f>IFERROR(__xludf.DUMMYFUNCTION("""COMPUTED_VALUE"""),FALSE)</f>
        <v>0</v>
      </c>
      <c r="U1378" s="1" t="str">
        <f>IFERROR(__xludf.DUMMYFUNCTION("""COMPUTED_VALUE"""),"VALID")</f>
        <v>VALID</v>
      </c>
      <c r="V1378" s="1">
        <f>IFERROR(__xludf.DUMMYFUNCTION("""COMPUTED_VALUE"""),147.0)</f>
        <v>147</v>
      </c>
      <c r="W1378" s="1">
        <f>IFERROR(__xludf.DUMMYFUNCTION("""COMPUTED_VALUE"""),833.0)</f>
        <v>833</v>
      </c>
      <c r="X1378" s="1">
        <f>IFERROR(__xludf.DUMMYFUNCTION("""COMPUTED_VALUE"""),182.0)</f>
        <v>182</v>
      </c>
      <c r="Y1378" s="2"/>
      <c r="Z1378" s="2"/>
    </row>
    <row r="1379">
      <c r="A1379" s="1">
        <f>IFERROR(__xludf.DUMMYFUNCTION("""COMPUTED_VALUE"""),1378.0)</f>
        <v>1378</v>
      </c>
      <c r="B1379" s="1">
        <f>IFERROR(__xludf.DUMMYFUNCTION("""COMPUTED_VALUE"""),5809.0)</f>
        <v>5809</v>
      </c>
      <c r="C1379" s="2" t="str">
        <f>IFERROR(__xludf.DUMMYFUNCTION("""COMPUTED_VALUE"""),"Nida")</f>
        <v>Nida</v>
      </c>
      <c r="D1379" s="2" t="str">
        <f>IFERROR(__xludf.DUMMYFUNCTION("""COMPUTED_VALUE"""),"5KM OVERALL F")</f>
        <v>5KM OVERALL F</v>
      </c>
      <c r="E1379" s="1">
        <f>IFERROR(__xludf.DUMMYFUNCTION("""COMPUTED_VALUE"""),2.0)</f>
        <v>2</v>
      </c>
      <c r="F1379" s="1" t="str">
        <f>IFERROR(__xludf.DUMMYFUNCTION("""COMPUTED_VALUE"""),"Female")</f>
        <v>Female</v>
      </c>
      <c r="G1379" s="4" t="b">
        <f>IFERROR(__xludf.DUMMYFUNCTION("""COMPUTED_VALUE"""),TRUE)</f>
        <v>1</v>
      </c>
      <c r="H1379" s="4" t="b">
        <f>IFERROR(__xludf.DUMMYFUNCTION("""COMPUTED_VALUE"""),TRUE)</f>
        <v>1</v>
      </c>
      <c r="I1379" s="4">
        <f>IFERROR(__xludf.DUMMYFUNCTION("""COMPUTED_VALUE"""),0.2549440625)</f>
        <v>0.2549440625</v>
      </c>
      <c r="J1379" s="4">
        <f>IFERROR(__xludf.DUMMYFUNCTION("""COMPUTED_VALUE"""),45949.27301974275)</f>
        <v>45949.27302</v>
      </c>
      <c r="K1379" s="4" t="str">
        <f>IFERROR(__xludf.DUMMYFUNCTION("""COMPUTED_VALUE"""),"")</f>
        <v/>
      </c>
      <c r="L1379" s="4">
        <f>IFERROR(__xludf.DUMMYFUNCTION("""COMPUTED_VALUE"""),45949.28903970504)</f>
        <v>45949.28904</v>
      </c>
      <c r="M1379" s="1" t="str">
        <f>IFERROR(__xludf.DUMMYFUNCTION("""COMPUTED_VALUE"""),"RFID")</f>
        <v>RFID</v>
      </c>
      <c r="N1379" s="5">
        <f>IFERROR(__xludf.DUMMYFUNCTION("""COMPUTED_VALUE"""),0.007230273148148149)</f>
        <v>0.007230273148</v>
      </c>
      <c r="O1379" s="5" t="str">
        <f>IFERROR(__xludf.DUMMYFUNCTION("""COMPUTED_VALUE"""),"")</f>
        <v/>
      </c>
      <c r="P1379" s="5" t="str">
        <f>IFERROR(__xludf.DUMMYFUNCTION("""COMPUTED_VALUE"""),"")</f>
        <v/>
      </c>
      <c r="Q1379" s="5">
        <f>IFERROR(__xludf.DUMMYFUNCTION("""COMPUTED_VALUE"""),0.006819129629629629)</f>
        <v>0.00681912963</v>
      </c>
      <c r="R1379" s="4">
        <f>IFERROR(__xludf.DUMMYFUNCTION("""COMPUTED_VALUE"""),45949.03409564254)</f>
        <v>45949.0341</v>
      </c>
      <c r="S1379" s="1" t="b">
        <f>IFERROR(__xludf.DUMMYFUNCTION("""COMPUTED_VALUE"""),TRUE)</f>
        <v>1</v>
      </c>
      <c r="T1379" s="1" t="b">
        <f>IFERROR(__xludf.DUMMYFUNCTION("""COMPUTED_VALUE"""),FALSE)</f>
        <v>0</v>
      </c>
      <c r="U1379" s="1" t="str">
        <f>IFERROR(__xludf.DUMMYFUNCTION("""COMPUTED_VALUE"""),"VALID")</f>
        <v>VALID</v>
      </c>
      <c r="V1379" s="1">
        <f>IFERROR(__xludf.DUMMYFUNCTION("""COMPUTED_VALUE"""),151.0)</f>
        <v>151</v>
      </c>
      <c r="W1379" s="1">
        <f>IFERROR(__xludf.DUMMYFUNCTION("""COMPUTED_VALUE"""),847.0)</f>
        <v>847</v>
      </c>
      <c r="X1379" s="1">
        <f>IFERROR(__xludf.DUMMYFUNCTION("""COMPUTED_VALUE"""),186.0)</f>
        <v>186</v>
      </c>
      <c r="Y1379" s="2"/>
      <c r="Z1379" s="2"/>
    </row>
    <row r="1380">
      <c r="A1380" s="1">
        <f>IFERROR(__xludf.DUMMYFUNCTION("""COMPUTED_VALUE"""),1379.0)</f>
        <v>1379</v>
      </c>
      <c r="B1380" s="1">
        <f>IFERROR(__xludf.DUMMYFUNCTION("""COMPUTED_VALUE"""),5812.0)</f>
        <v>5812</v>
      </c>
      <c r="C1380" s="2" t="str">
        <f>IFERROR(__xludf.DUMMYFUNCTION("""COMPUTED_VALUE"""),"Nurreee")</f>
        <v>Nurreee</v>
      </c>
      <c r="D1380" s="2" t="str">
        <f>IFERROR(__xludf.DUMMYFUNCTION("""COMPUTED_VALUE"""),"5KM OVERALL F")</f>
        <v>5KM OVERALL F</v>
      </c>
      <c r="E1380" s="1">
        <f>IFERROR(__xludf.DUMMYFUNCTION("""COMPUTED_VALUE"""),2.0)</f>
        <v>2</v>
      </c>
      <c r="F1380" s="1" t="str">
        <f>IFERROR(__xludf.DUMMYFUNCTION("""COMPUTED_VALUE"""),"Female")</f>
        <v>Female</v>
      </c>
      <c r="G1380" s="4" t="b">
        <f>IFERROR(__xludf.DUMMYFUNCTION("""COMPUTED_VALUE"""),TRUE)</f>
        <v>1</v>
      </c>
      <c r="H1380" s="4" t="b">
        <f>IFERROR(__xludf.DUMMYFUNCTION("""COMPUTED_VALUE"""),TRUE)</f>
        <v>1</v>
      </c>
      <c r="I1380" s="4">
        <f>IFERROR(__xludf.DUMMYFUNCTION("""COMPUTED_VALUE"""),0.2549440625)</f>
        <v>0.2549440625</v>
      </c>
      <c r="J1380" s="4">
        <f>IFERROR(__xludf.DUMMYFUNCTION("""COMPUTED_VALUE"""),45949.27309274708)</f>
        <v>45949.27309</v>
      </c>
      <c r="K1380" s="4" t="str">
        <f>IFERROR(__xludf.DUMMYFUNCTION("""COMPUTED_VALUE"""),"")</f>
        <v/>
      </c>
      <c r="L1380" s="4">
        <f>IFERROR(__xludf.DUMMYFUNCTION("""COMPUTED_VALUE"""),45949.286675173615)</f>
        <v>45949.28668</v>
      </c>
      <c r="M1380" s="1" t="str">
        <f>IFERROR(__xludf.DUMMYFUNCTION("""COMPUTED_VALUE"""),"RFID")</f>
        <v>RFID</v>
      </c>
      <c r="N1380" s="5">
        <f>IFERROR(__xludf.DUMMYFUNCTION("""COMPUTED_VALUE"""),0.007259472222222223)</f>
        <v>0.007259472222</v>
      </c>
      <c r="O1380" s="5" t="str">
        <f>IFERROR(__xludf.DUMMYFUNCTION("""COMPUTED_VALUE"""),"")</f>
        <v/>
      </c>
      <c r="P1380" s="5" t="str">
        <f>IFERROR(__xludf.DUMMYFUNCTION("""COMPUTED_VALUE"""),"")</f>
        <v/>
      </c>
      <c r="Q1380" s="5">
        <f>IFERROR(__xludf.DUMMYFUNCTION("""COMPUTED_VALUE"""),0.006346222222222223)</f>
        <v>0.006346222222</v>
      </c>
      <c r="R1380" s="4">
        <f>IFERROR(__xludf.DUMMYFUNCTION("""COMPUTED_VALUE"""),45949.031731111114)</f>
        <v>45949.03173</v>
      </c>
      <c r="S1380" s="1" t="b">
        <f>IFERROR(__xludf.DUMMYFUNCTION("""COMPUTED_VALUE"""),TRUE)</f>
        <v>1</v>
      </c>
      <c r="T1380" s="1" t="b">
        <f>IFERROR(__xludf.DUMMYFUNCTION("""COMPUTED_VALUE"""),FALSE)</f>
        <v>0</v>
      </c>
      <c r="U1380" s="1" t="str">
        <f>IFERROR(__xludf.DUMMYFUNCTION("""COMPUTED_VALUE"""),"VALID")</f>
        <v>VALID</v>
      </c>
      <c r="V1380" s="1">
        <f>IFERROR(__xludf.DUMMYFUNCTION("""COMPUTED_VALUE"""),106.0)</f>
        <v>106</v>
      </c>
      <c r="W1380" s="1">
        <f>IFERROR(__xludf.DUMMYFUNCTION("""COMPUTED_VALUE"""),683.0)</f>
        <v>683</v>
      </c>
      <c r="X1380" s="1">
        <f>IFERROR(__xludf.DUMMYFUNCTION("""COMPUTED_VALUE"""),133.0)</f>
        <v>133</v>
      </c>
      <c r="Y1380" s="2"/>
      <c r="Z1380" s="2"/>
    </row>
    <row r="1381">
      <c r="A1381" s="1">
        <f>IFERROR(__xludf.DUMMYFUNCTION("""COMPUTED_VALUE"""),1380.0)</f>
        <v>1380</v>
      </c>
      <c r="B1381" s="1">
        <f>IFERROR(__xludf.DUMMYFUNCTION("""COMPUTED_VALUE"""),5814.0)</f>
        <v>5814</v>
      </c>
      <c r="C1381" s="2" t="str">
        <f>IFERROR(__xludf.DUMMYFUNCTION("""COMPUTED_VALUE"""),"KINAR")</f>
        <v>KINAR</v>
      </c>
      <c r="D1381" s="2" t="str">
        <f>IFERROR(__xludf.DUMMYFUNCTION("""COMPUTED_VALUE"""),"5KM OVERALL F")</f>
        <v>5KM OVERALL F</v>
      </c>
      <c r="E1381" s="1">
        <f>IFERROR(__xludf.DUMMYFUNCTION("""COMPUTED_VALUE"""),2.0)</f>
        <v>2</v>
      </c>
      <c r="F1381" s="1" t="str">
        <f>IFERROR(__xludf.DUMMYFUNCTION("""COMPUTED_VALUE"""),"Female")</f>
        <v>Female</v>
      </c>
      <c r="G1381" s="4" t="b">
        <f>IFERROR(__xludf.DUMMYFUNCTION("""COMPUTED_VALUE"""),TRUE)</f>
        <v>1</v>
      </c>
      <c r="H1381" s="4" t="b">
        <f>IFERROR(__xludf.DUMMYFUNCTION("""COMPUTED_VALUE"""),FALSE)</f>
        <v>0</v>
      </c>
      <c r="I1381" s="4">
        <f>IFERROR(__xludf.DUMMYFUNCTION("""COMPUTED_VALUE"""),0.2549440625)</f>
        <v>0.2549440625</v>
      </c>
      <c r="J1381" s="4">
        <f>IFERROR(__xludf.DUMMYFUNCTION("""COMPUTED_VALUE"""),45949.2806725563)</f>
        <v>45949.28067</v>
      </c>
      <c r="K1381" s="4" t="str">
        <f>IFERROR(__xludf.DUMMYFUNCTION("""COMPUTED_VALUE"""),"")</f>
        <v/>
      </c>
      <c r="L1381" s="4">
        <f>IFERROR(__xludf.DUMMYFUNCTION("""COMPUTED_VALUE"""),45949.298147401605)</f>
        <v>45949.29815</v>
      </c>
      <c r="M1381" s="1" t="str">
        <f>IFERROR(__xludf.DUMMYFUNCTION("""COMPUTED_VALUE"""),"RFID")</f>
        <v>RFID</v>
      </c>
      <c r="N1381" s="5">
        <f>IFERROR(__xludf.DUMMYFUNCTION("""COMPUTED_VALUE"""),0.010291398148148148)</f>
        <v>0.01029139815</v>
      </c>
      <c r="O1381" s="5" t="str">
        <f>IFERROR(__xludf.DUMMYFUNCTION("""COMPUTED_VALUE"""),"")</f>
        <v/>
      </c>
      <c r="P1381" s="5" t="str">
        <f>IFERROR(__xludf.DUMMYFUNCTION("""COMPUTED_VALUE"""),"")</f>
        <v/>
      </c>
      <c r="Q1381" s="5">
        <f>IFERROR(__xludf.DUMMYFUNCTION("""COMPUTED_VALUE"""),0.008640666666666668)</f>
        <v>0.008640666667</v>
      </c>
      <c r="R1381" s="4">
        <f>IFERROR(__xludf.DUMMYFUNCTION("""COMPUTED_VALUE"""),45949.043203339104)</f>
        <v>45949.0432</v>
      </c>
      <c r="S1381" s="1" t="b">
        <f>IFERROR(__xludf.DUMMYFUNCTION("""COMPUTED_VALUE"""),TRUE)</f>
        <v>1</v>
      </c>
      <c r="T1381" s="1" t="b">
        <f>IFERROR(__xludf.DUMMYFUNCTION("""COMPUTED_VALUE"""),FALSE)</f>
        <v>0</v>
      </c>
      <c r="U1381" s="1" t="str">
        <f>IFERROR(__xludf.DUMMYFUNCTION("""COMPUTED_VALUE"""),"VALID")</f>
        <v>VALID</v>
      </c>
      <c r="V1381" s="1">
        <f>IFERROR(__xludf.DUMMYFUNCTION("""COMPUTED_VALUE"""),378.0)</f>
        <v>378</v>
      </c>
      <c r="W1381" s="1">
        <f>IFERROR(__xludf.DUMMYFUNCTION("""COMPUTED_VALUE"""),1365.0)</f>
        <v>1365</v>
      </c>
      <c r="X1381" s="1">
        <f>IFERROR(__xludf.DUMMYFUNCTION("""COMPUTED_VALUE"""),459.0)</f>
        <v>459</v>
      </c>
      <c r="Y1381" s="2"/>
      <c r="Z1381" s="2"/>
    </row>
    <row r="1382">
      <c r="A1382" s="1">
        <f>IFERROR(__xludf.DUMMYFUNCTION("""COMPUTED_VALUE"""),1381.0)</f>
        <v>1381</v>
      </c>
      <c r="B1382" s="1">
        <f>IFERROR(__xludf.DUMMYFUNCTION("""COMPUTED_VALUE"""),5818.0)</f>
        <v>5818</v>
      </c>
      <c r="C1382" s="2" t="str">
        <f>IFERROR(__xludf.DUMMYFUNCTION("""COMPUTED_VALUE"""),"gitaputriyanii")</f>
        <v>gitaputriyanii</v>
      </c>
      <c r="D1382" s="2" t="str">
        <f>IFERROR(__xludf.DUMMYFUNCTION("""COMPUTED_VALUE"""),"5KM OVERALL F")</f>
        <v>5KM OVERALL F</v>
      </c>
      <c r="E1382" s="1">
        <f>IFERROR(__xludf.DUMMYFUNCTION("""COMPUTED_VALUE"""),2.0)</f>
        <v>2</v>
      </c>
      <c r="F1382" s="1" t="str">
        <f>IFERROR(__xludf.DUMMYFUNCTION("""COMPUTED_VALUE"""),"Female")</f>
        <v>Female</v>
      </c>
      <c r="G1382" s="4" t="str">
        <f>IFERROR(__xludf.DUMMYFUNCTION("""COMPUTED_VALUE"""),"")</f>
        <v/>
      </c>
      <c r="H1382" s="4" t="b">
        <f>IFERROR(__xludf.DUMMYFUNCTION("""COMPUTED_VALUE"""),FALSE)</f>
        <v>0</v>
      </c>
      <c r="I1382" s="4">
        <f>IFERROR(__xludf.DUMMYFUNCTION("""COMPUTED_VALUE"""),0.2549440625)</f>
        <v>0.2549440625</v>
      </c>
      <c r="J1382" s="4" t="str">
        <f>IFERROR(__xludf.DUMMYFUNCTION("""COMPUTED_VALUE"""),"")</f>
        <v/>
      </c>
      <c r="K1382" s="4" t="str">
        <f>IFERROR(__xludf.DUMMYFUNCTION("""COMPUTED_VALUE"""),"")</f>
        <v/>
      </c>
      <c r="L1382" s="4" t="str">
        <f>IFERROR(__xludf.DUMMYFUNCTION("""COMPUTED_VALUE"""),"")</f>
        <v/>
      </c>
      <c r="M1382" s="1" t="str">
        <f>IFERROR(__xludf.DUMMYFUNCTION("""COMPUTED_VALUE"""),"RFID")</f>
        <v>RFID</v>
      </c>
      <c r="N1382" s="5" t="str">
        <f>IFERROR(__xludf.DUMMYFUNCTION("""COMPUTED_VALUE"""),"")</f>
        <v/>
      </c>
      <c r="O1382" s="5" t="str">
        <f>IFERROR(__xludf.DUMMYFUNCTION("""COMPUTED_VALUE"""),"")</f>
        <v/>
      </c>
      <c r="P1382" s="5" t="str">
        <f>IFERROR(__xludf.DUMMYFUNCTION("""COMPUTED_VALUE"""),"")</f>
        <v/>
      </c>
      <c r="Q1382" s="5" t="str">
        <f>IFERROR(__xludf.DUMMYFUNCTION("""COMPUTED_VALUE"""),"")</f>
        <v/>
      </c>
      <c r="R1382" s="4" t="str">
        <f>IFERROR(__xludf.DUMMYFUNCTION("""COMPUTED_VALUE"""),"")</f>
        <v/>
      </c>
      <c r="S1382" s="1" t="b">
        <f>IFERROR(__xludf.DUMMYFUNCTION("""COMPUTED_VALUE"""),FALSE)</f>
        <v>0</v>
      </c>
      <c r="T1382" s="1" t="b">
        <f>IFERROR(__xludf.DUMMYFUNCTION("""COMPUTED_VALUE"""),FALSE)</f>
        <v>0</v>
      </c>
      <c r="U1382" s="1" t="str">
        <f>IFERROR(__xludf.DUMMYFUNCTION("""COMPUTED_VALUE"""),"DSQ")</f>
        <v>DSQ</v>
      </c>
      <c r="V1382" s="1" t="str">
        <f>IFERROR(__xludf.DUMMYFUNCTION("""COMPUTED_VALUE"""),"DSQ")</f>
        <v>DSQ</v>
      </c>
      <c r="W1382" s="1" t="str">
        <f>IFERROR(__xludf.DUMMYFUNCTION("""COMPUTED_VALUE"""),"DSQ")</f>
        <v>DSQ</v>
      </c>
      <c r="X1382" s="1" t="str">
        <f>IFERROR(__xludf.DUMMYFUNCTION("""COMPUTED_VALUE"""),"DSQ")</f>
        <v>DSQ</v>
      </c>
      <c r="Y1382" s="2"/>
      <c r="Z1382" s="2" t="str">
        <f>IFERROR(__xludf.DUMMYFUNCTION("""COMPUTED_VALUE"""),"")</f>
        <v/>
      </c>
    </row>
    <row r="1383">
      <c r="A1383" s="1">
        <f>IFERROR(__xludf.DUMMYFUNCTION("""COMPUTED_VALUE"""),1382.0)</f>
        <v>1382</v>
      </c>
      <c r="B1383" s="1">
        <f>IFERROR(__xludf.DUMMYFUNCTION("""COMPUTED_VALUE"""),5821.0)</f>
        <v>5821</v>
      </c>
      <c r="C1383" s="2" t="str">
        <f>IFERROR(__xludf.DUMMYFUNCTION("""COMPUTED_VALUE"""),"simi")</f>
        <v>simi</v>
      </c>
      <c r="D1383" s="2" t="str">
        <f>IFERROR(__xludf.DUMMYFUNCTION("""COMPUTED_VALUE"""),"5KM OVERALL F")</f>
        <v>5KM OVERALL F</v>
      </c>
      <c r="E1383" s="1">
        <f>IFERROR(__xludf.DUMMYFUNCTION("""COMPUTED_VALUE"""),2.0)</f>
        <v>2</v>
      </c>
      <c r="F1383" s="1" t="str">
        <f>IFERROR(__xludf.DUMMYFUNCTION("""COMPUTED_VALUE"""),"Female")</f>
        <v>Female</v>
      </c>
      <c r="G1383" s="4" t="b">
        <f>IFERROR(__xludf.DUMMYFUNCTION("""COMPUTED_VALUE"""),TRUE)</f>
        <v>1</v>
      </c>
      <c r="H1383" s="4" t="b">
        <f>IFERROR(__xludf.DUMMYFUNCTION("""COMPUTED_VALUE"""),TRUE)</f>
        <v>1</v>
      </c>
      <c r="I1383" s="4">
        <f>IFERROR(__xludf.DUMMYFUNCTION("""COMPUTED_VALUE"""),0.2549440625)</f>
        <v>0.2549440625</v>
      </c>
      <c r="J1383" s="4">
        <f>IFERROR(__xludf.DUMMYFUNCTION("""COMPUTED_VALUE"""),45949.285422580375)</f>
        <v>45949.28542</v>
      </c>
      <c r="K1383" s="4" t="str">
        <f>IFERROR(__xludf.DUMMYFUNCTION("""COMPUTED_VALUE"""),"")</f>
        <v/>
      </c>
      <c r="L1383" s="4">
        <f>IFERROR(__xludf.DUMMYFUNCTION("""COMPUTED_VALUE"""),45949.30591898527)</f>
        <v>45949.30592</v>
      </c>
      <c r="M1383" s="1" t="str">
        <f>IFERROR(__xludf.DUMMYFUNCTION("""COMPUTED_VALUE"""),"RFID")</f>
        <v>RFID</v>
      </c>
      <c r="N1383" s="5">
        <f>IFERROR(__xludf.DUMMYFUNCTION("""COMPUTED_VALUE"""),0.012191407407407408)</f>
        <v>0.01219140741</v>
      </c>
      <c r="O1383" s="5" t="str">
        <f>IFERROR(__xludf.DUMMYFUNCTION("""COMPUTED_VALUE"""),"")</f>
        <v/>
      </c>
      <c r="P1383" s="5" t="str">
        <f>IFERROR(__xludf.DUMMYFUNCTION("""COMPUTED_VALUE"""),"")</f>
        <v/>
      </c>
      <c r="Q1383" s="5">
        <f>IFERROR(__xludf.DUMMYFUNCTION("""COMPUTED_VALUE"""),0.010194983796296296)</f>
        <v>0.0101949838</v>
      </c>
      <c r="R1383" s="4">
        <f>IFERROR(__xludf.DUMMYFUNCTION("""COMPUTED_VALUE"""),45949.05097492277)</f>
        <v>45949.05097</v>
      </c>
      <c r="S1383" s="1" t="b">
        <f>IFERROR(__xludf.DUMMYFUNCTION("""COMPUTED_VALUE"""),TRUE)</f>
        <v>1</v>
      </c>
      <c r="T1383" s="1" t="b">
        <f>IFERROR(__xludf.DUMMYFUNCTION("""COMPUTED_VALUE"""),FALSE)</f>
        <v>0</v>
      </c>
      <c r="U1383" s="1" t="str">
        <f>IFERROR(__xludf.DUMMYFUNCTION("""COMPUTED_VALUE"""),"VALID")</f>
        <v>VALID</v>
      </c>
      <c r="V1383" s="1">
        <f>IFERROR(__xludf.DUMMYFUNCTION("""COMPUTED_VALUE"""),492.0)</f>
        <v>492</v>
      </c>
      <c r="W1383" s="1">
        <f>IFERROR(__xludf.DUMMYFUNCTION("""COMPUTED_VALUE"""),1583.0)</f>
        <v>1583</v>
      </c>
      <c r="X1383" s="1">
        <f>IFERROR(__xludf.DUMMYFUNCTION("""COMPUTED_VALUE"""),604.0)</f>
        <v>604</v>
      </c>
      <c r="Y1383" s="2"/>
      <c r="Z1383" s="2"/>
    </row>
    <row r="1384">
      <c r="A1384" s="1">
        <f>IFERROR(__xludf.DUMMYFUNCTION("""COMPUTED_VALUE"""),1383.0)</f>
        <v>1383</v>
      </c>
      <c r="B1384" s="1">
        <f>IFERROR(__xludf.DUMMYFUNCTION("""COMPUTED_VALUE"""),5822.0)</f>
        <v>5822</v>
      </c>
      <c r="C1384" s="2" t="str">
        <f>IFERROR(__xludf.DUMMYFUNCTION("""COMPUTED_VALUE"""),"tata")</f>
        <v>tata</v>
      </c>
      <c r="D1384" s="2" t="str">
        <f>IFERROR(__xludf.DUMMYFUNCTION("""COMPUTED_VALUE"""),"5KM OVERALL F")</f>
        <v>5KM OVERALL F</v>
      </c>
      <c r="E1384" s="1">
        <f>IFERROR(__xludf.DUMMYFUNCTION("""COMPUTED_VALUE"""),2.0)</f>
        <v>2</v>
      </c>
      <c r="F1384" s="1" t="str">
        <f>IFERROR(__xludf.DUMMYFUNCTION("""COMPUTED_VALUE"""),"Female")</f>
        <v>Female</v>
      </c>
      <c r="G1384" s="4" t="b">
        <f>IFERROR(__xludf.DUMMYFUNCTION("""COMPUTED_VALUE"""),TRUE)</f>
        <v>1</v>
      </c>
      <c r="H1384" s="4" t="b">
        <f>IFERROR(__xludf.DUMMYFUNCTION("""COMPUTED_VALUE"""),TRUE)</f>
        <v>1</v>
      </c>
      <c r="I1384" s="4">
        <f>IFERROR(__xludf.DUMMYFUNCTION("""COMPUTED_VALUE"""),0.2549440625)</f>
        <v>0.2549440625</v>
      </c>
      <c r="J1384" s="4">
        <f>IFERROR(__xludf.DUMMYFUNCTION("""COMPUTED_VALUE"""),45949.28412744503)</f>
        <v>45949.28413</v>
      </c>
      <c r="K1384" s="4" t="str">
        <f>IFERROR(__xludf.DUMMYFUNCTION("""COMPUTED_VALUE"""),"")</f>
        <v/>
      </c>
      <c r="L1384" s="4">
        <f>IFERROR(__xludf.DUMMYFUNCTION("""COMPUTED_VALUE"""),45949.303025864734)</f>
        <v>45949.30303</v>
      </c>
      <c r="M1384" s="1" t="str">
        <f>IFERROR(__xludf.DUMMYFUNCTION("""COMPUTED_VALUE"""),"RFID")</f>
        <v>RFID</v>
      </c>
      <c r="N1384" s="5">
        <f>IFERROR(__xludf.DUMMYFUNCTION("""COMPUTED_VALUE"""),0.011673351851851851)</f>
        <v>0.01167335185</v>
      </c>
      <c r="O1384" s="5" t="str">
        <f>IFERROR(__xludf.DUMMYFUNCTION("""COMPUTED_VALUE"""),"")</f>
        <v/>
      </c>
      <c r="P1384" s="5" t="str">
        <f>IFERROR(__xludf.DUMMYFUNCTION("""COMPUTED_VALUE"""),"")</f>
        <v/>
      </c>
      <c r="Q1384" s="5">
        <f>IFERROR(__xludf.DUMMYFUNCTION("""COMPUTED_VALUE"""),0.009616361111111112)</f>
        <v>0.009616361111</v>
      </c>
      <c r="R1384" s="4">
        <f>IFERROR(__xludf.DUMMYFUNCTION("""COMPUTED_VALUE"""),45949.04808180223)</f>
        <v>45949.04808</v>
      </c>
      <c r="S1384" s="1" t="b">
        <f>IFERROR(__xludf.DUMMYFUNCTION("""COMPUTED_VALUE"""),TRUE)</f>
        <v>1</v>
      </c>
      <c r="T1384" s="1" t="b">
        <f>IFERROR(__xludf.DUMMYFUNCTION("""COMPUTED_VALUE"""),FALSE)</f>
        <v>0</v>
      </c>
      <c r="U1384" s="1" t="str">
        <f>IFERROR(__xludf.DUMMYFUNCTION("""COMPUTED_VALUE"""),"VALID")</f>
        <v>VALID</v>
      </c>
      <c r="V1384" s="1">
        <f>IFERROR(__xludf.DUMMYFUNCTION("""COMPUTED_VALUE"""),477.0)</f>
        <v>477</v>
      </c>
      <c r="W1384" s="1">
        <f>IFERROR(__xludf.DUMMYFUNCTION("""COMPUTED_VALUE"""),1553.0)</f>
        <v>1553</v>
      </c>
      <c r="X1384" s="1">
        <f>IFERROR(__xludf.DUMMYFUNCTION("""COMPUTED_VALUE"""),580.0)</f>
        <v>580</v>
      </c>
      <c r="Y1384" s="2"/>
      <c r="Z1384" s="2"/>
    </row>
    <row r="1385">
      <c r="A1385" s="1">
        <f>IFERROR(__xludf.DUMMYFUNCTION("""COMPUTED_VALUE"""),1384.0)</f>
        <v>1384</v>
      </c>
      <c r="B1385" s="1">
        <f>IFERROR(__xludf.DUMMYFUNCTION("""COMPUTED_VALUE"""),5827.0)</f>
        <v>5827</v>
      </c>
      <c r="C1385" s="2" t="str">
        <f>IFERROR(__xludf.DUMMYFUNCTION("""COMPUTED_VALUE"""),"Eka")</f>
        <v>Eka</v>
      </c>
      <c r="D1385" s="2" t="str">
        <f>IFERROR(__xludf.DUMMYFUNCTION("""COMPUTED_VALUE"""),"5KM OVERALL F")</f>
        <v>5KM OVERALL F</v>
      </c>
      <c r="E1385" s="1">
        <f>IFERROR(__xludf.DUMMYFUNCTION("""COMPUTED_VALUE"""),2.0)</f>
        <v>2</v>
      </c>
      <c r="F1385" s="1" t="str">
        <f>IFERROR(__xludf.DUMMYFUNCTION("""COMPUTED_VALUE"""),"Female")</f>
        <v>Female</v>
      </c>
      <c r="G1385" s="4" t="b">
        <f>IFERROR(__xludf.DUMMYFUNCTION("""COMPUTED_VALUE"""),TRUE)</f>
        <v>1</v>
      </c>
      <c r="H1385" s="4" t="b">
        <f>IFERROR(__xludf.DUMMYFUNCTION("""COMPUTED_VALUE"""),TRUE)</f>
        <v>1</v>
      </c>
      <c r="I1385" s="4">
        <f>IFERROR(__xludf.DUMMYFUNCTION("""COMPUTED_VALUE"""),0.2549440625)</f>
        <v>0.2549440625</v>
      </c>
      <c r="J1385" s="4">
        <f>IFERROR(__xludf.DUMMYFUNCTION("""COMPUTED_VALUE"""),45949.27447459846)</f>
        <v>45949.27447</v>
      </c>
      <c r="K1385" s="4" t="str">
        <f>IFERROR(__xludf.DUMMYFUNCTION("""COMPUTED_VALUE"""),"")</f>
        <v/>
      </c>
      <c r="L1385" s="4">
        <f>IFERROR(__xludf.DUMMYFUNCTION("""COMPUTED_VALUE"""),45949.29083491223)</f>
        <v>45949.29083</v>
      </c>
      <c r="M1385" s="1" t="str">
        <f>IFERROR(__xludf.DUMMYFUNCTION("""COMPUTED_VALUE"""),"RFID")</f>
        <v>RFID</v>
      </c>
      <c r="N1385" s="5">
        <f>IFERROR(__xludf.DUMMYFUNCTION("""COMPUTED_VALUE"""),0.0078122129629629635)</f>
        <v>0.007812212963</v>
      </c>
      <c r="O1385" s="5" t="str">
        <f>IFERROR(__xludf.DUMMYFUNCTION("""COMPUTED_VALUE"""),"")</f>
        <v/>
      </c>
      <c r="P1385" s="5" t="str">
        <f>IFERROR(__xludf.DUMMYFUNCTION("""COMPUTED_VALUE"""),"")</f>
        <v/>
      </c>
      <c r="Q1385" s="5">
        <f>IFERROR(__xludf.DUMMYFUNCTION("""COMPUTED_VALUE"""),0.007178168981481482)</f>
        <v>0.007178168981</v>
      </c>
      <c r="R1385" s="4">
        <f>IFERROR(__xludf.DUMMYFUNCTION("""COMPUTED_VALUE"""),45949.03589084973)</f>
        <v>45949.03589</v>
      </c>
      <c r="S1385" s="1" t="b">
        <f>IFERROR(__xludf.DUMMYFUNCTION("""COMPUTED_VALUE"""),TRUE)</f>
        <v>1</v>
      </c>
      <c r="T1385" s="1" t="b">
        <f>IFERROR(__xludf.DUMMYFUNCTION("""COMPUTED_VALUE"""),FALSE)</f>
        <v>0</v>
      </c>
      <c r="U1385" s="1" t="str">
        <f>IFERROR(__xludf.DUMMYFUNCTION("""COMPUTED_VALUE"""),"VALID")</f>
        <v>VALID</v>
      </c>
      <c r="V1385" s="1">
        <f>IFERROR(__xludf.DUMMYFUNCTION("""COMPUTED_VALUE"""),183.0)</f>
        <v>183</v>
      </c>
      <c r="W1385" s="1">
        <f>IFERROR(__xludf.DUMMYFUNCTION("""COMPUTED_VALUE"""),951.0)</f>
        <v>951</v>
      </c>
      <c r="X1385" s="1">
        <f>IFERROR(__xludf.DUMMYFUNCTION("""COMPUTED_VALUE"""),231.0)</f>
        <v>231</v>
      </c>
      <c r="Y1385" s="2"/>
      <c r="Z1385" s="2"/>
    </row>
    <row r="1386">
      <c r="A1386" s="1">
        <f>IFERROR(__xludf.DUMMYFUNCTION("""COMPUTED_VALUE"""),1385.0)</f>
        <v>1385</v>
      </c>
      <c r="B1386" s="1">
        <f>IFERROR(__xludf.DUMMYFUNCTION("""COMPUTED_VALUE"""),5831.0)</f>
        <v>5831</v>
      </c>
      <c r="C1386" s="2" t="str">
        <f>IFERROR(__xludf.DUMMYFUNCTION("""COMPUTED_VALUE"""),"NIHNA")</f>
        <v>NIHNA</v>
      </c>
      <c r="D1386" s="2" t="str">
        <f>IFERROR(__xludf.DUMMYFUNCTION("""COMPUTED_VALUE"""),"5KM OVERALL F")</f>
        <v>5KM OVERALL F</v>
      </c>
      <c r="E1386" s="1">
        <f>IFERROR(__xludf.DUMMYFUNCTION("""COMPUTED_VALUE"""),2.0)</f>
        <v>2</v>
      </c>
      <c r="F1386" s="1" t="str">
        <f>IFERROR(__xludf.DUMMYFUNCTION("""COMPUTED_VALUE"""),"Female")</f>
        <v>Female</v>
      </c>
      <c r="G1386" s="4" t="b">
        <f>IFERROR(__xludf.DUMMYFUNCTION("""COMPUTED_VALUE"""),TRUE)</f>
        <v>1</v>
      </c>
      <c r="H1386" s="4" t="b">
        <f>IFERROR(__xludf.DUMMYFUNCTION("""COMPUTED_VALUE"""),TRUE)</f>
        <v>1</v>
      </c>
      <c r="I1386" s="4">
        <f>IFERROR(__xludf.DUMMYFUNCTION("""COMPUTED_VALUE"""),0.2549440625)</f>
        <v>0.2549440625</v>
      </c>
      <c r="J1386" s="4">
        <f>IFERROR(__xludf.DUMMYFUNCTION("""COMPUTED_VALUE"""),45949.28541216727)</f>
        <v>45949.28541</v>
      </c>
      <c r="K1386" s="4" t="str">
        <f>IFERROR(__xludf.DUMMYFUNCTION("""COMPUTED_VALUE"""),"")</f>
        <v/>
      </c>
      <c r="L1386" s="4">
        <f>IFERROR(__xludf.DUMMYFUNCTION("""COMPUTED_VALUE"""),45949.30389392692)</f>
        <v>45949.30389</v>
      </c>
      <c r="M1386" s="1" t="str">
        <f>IFERROR(__xludf.DUMMYFUNCTION("""COMPUTED_VALUE"""),"RFID")</f>
        <v>RFID</v>
      </c>
      <c r="N1386" s="5">
        <f>IFERROR(__xludf.DUMMYFUNCTION("""COMPUTED_VALUE"""),0.01218724074074074)</f>
        <v>0.01218724074</v>
      </c>
      <c r="O1386" s="5" t="str">
        <f>IFERROR(__xludf.DUMMYFUNCTION("""COMPUTED_VALUE"""),"")</f>
        <v/>
      </c>
      <c r="P1386" s="5" t="str">
        <f>IFERROR(__xludf.DUMMYFUNCTION("""COMPUTED_VALUE"""),"")</f>
        <v/>
      </c>
      <c r="Q1386" s="5">
        <f>IFERROR(__xludf.DUMMYFUNCTION("""COMPUTED_VALUE"""),0.009789972222222222)</f>
        <v>0.009789972222</v>
      </c>
      <c r="R1386" s="4">
        <f>IFERROR(__xludf.DUMMYFUNCTION("""COMPUTED_VALUE"""),45949.04894986442)</f>
        <v>45949.04895</v>
      </c>
      <c r="S1386" s="1" t="b">
        <f>IFERROR(__xludf.DUMMYFUNCTION("""COMPUTED_VALUE"""),TRUE)</f>
        <v>1</v>
      </c>
      <c r="T1386" s="1" t="b">
        <f>IFERROR(__xludf.DUMMYFUNCTION("""COMPUTED_VALUE"""),FALSE)</f>
        <v>0</v>
      </c>
      <c r="U1386" s="1" t="str">
        <f>IFERROR(__xludf.DUMMYFUNCTION("""COMPUTED_VALUE"""),"VALID")</f>
        <v>VALID</v>
      </c>
      <c r="V1386" s="1">
        <f>IFERROR(__xludf.DUMMYFUNCTION("""COMPUTED_VALUE"""),482.0)</f>
        <v>482</v>
      </c>
      <c r="W1386" s="1">
        <f>IFERROR(__xludf.DUMMYFUNCTION("""COMPUTED_VALUE"""),1561.0)</f>
        <v>1561</v>
      </c>
      <c r="X1386" s="1">
        <f>IFERROR(__xludf.DUMMYFUNCTION("""COMPUTED_VALUE"""),588.0)</f>
        <v>588</v>
      </c>
      <c r="Y1386" s="2"/>
      <c r="Z1386" s="2"/>
    </row>
    <row r="1387">
      <c r="A1387" s="1">
        <f>IFERROR(__xludf.DUMMYFUNCTION("""COMPUTED_VALUE"""),1386.0)</f>
        <v>1386</v>
      </c>
      <c r="B1387" s="1">
        <f>IFERROR(__xludf.DUMMYFUNCTION("""COMPUTED_VALUE"""),5837.0)</f>
        <v>5837</v>
      </c>
      <c r="C1387" s="2" t="str">
        <f>IFERROR(__xludf.DUMMYFUNCTION("""COMPUTED_VALUE"""),"Novia")</f>
        <v>Novia</v>
      </c>
      <c r="D1387" s="2" t="str">
        <f>IFERROR(__xludf.DUMMYFUNCTION("""COMPUTED_VALUE"""),"5KM OVERALL F")</f>
        <v>5KM OVERALL F</v>
      </c>
      <c r="E1387" s="1">
        <f>IFERROR(__xludf.DUMMYFUNCTION("""COMPUTED_VALUE"""),2.0)</f>
        <v>2</v>
      </c>
      <c r="F1387" s="1" t="str">
        <f>IFERROR(__xludf.DUMMYFUNCTION("""COMPUTED_VALUE"""),"Female")</f>
        <v>Female</v>
      </c>
      <c r="G1387" s="4" t="str">
        <f>IFERROR(__xludf.DUMMYFUNCTION("""COMPUTED_VALUE"""),"")</f>
        <v/>
      </c>
      <c r="H1387" s="4" t="b">
        <f>IFERROR(__xludf.DUMMYFUNCTION("""COMPUTED_VALUE"""),FALSE)</f>
        <v>0</v>
      </c>
      <c r="I1387" s="4">
        <f>IFERROR(__xludf.DUMMYFUNCTION("""COMPUTED_VALUE"""),0.2549440625)</f>
        <v>0.2549440625</v>
      </c>
      <c r="J1387" s="4" t="str">
        <f>IFERROR(__xludf.DUMMYFUNCTION("""COMPUTED_VALUE"""),"")</f>
        <v/>
      </c>
      <c r="K1387" s="4" t="str">
        <f>IFERROR(__xludf.DUMMYFUNCTION("""COMPUTED_VALUE"""),"")</f>
        <v/>
      </c>
      <c r="L1387" s="4" t="str">
        <f>IFERROR(__xludf.DUMMYFUNCTION("""COMPUTED_VALUE"""),"")</f>
        <v/>
      </c>
      <c r="M1387" s="1" t="str">
        <f>IFERROR(__xludf.DUMMYFUNCTION("""COMPUTED_VALUE"""),"RFID")</f>
        <v>RFID</v>
      </c>
      <c r="N1387" s="5" t="str">
        <f>IFERROR(__xludf.DUMMYFUNCTION("""COMPUTED_VALUE"""),"")</f>
        <v/>
      </c>
      <c r="O1387" s="5" t="str">
        <f>IFERROR(__xludf.DUMMYFUNCTION("""COMPUTED_VALUE"""),"")</f>
        <v/>
      </c>
      <c r="P1387" s="5" t="str">
        <f>IFERROR(__xludf.DUMMYFUNCTION("""COMPUTED_VALUE"""),"")</f>
        <v/>
      </c>
      <c r="Q1387" s="5" t="str">
        <f>IFERROR(__xludf.DUMMYFUNCTION("""COMPUTED_VALUE"""),"")</f>
        <v/>
      </c>
      <c r="R1387" s="4" t="str">
        <f>IFERROR(__xludf.DUMMYFUNCTION("""COMPUTED_VALUE"""),"")</f>
        <v/>
      </c>
      <c r="S1387" s="1" t="b">
        <f>IFERROR(__xludf.DUMMYFUNCTION("""COMPUTED_VALUE"""),FALSE)</f>
        <v>0</v>
      </c>
      <c r="T1387" s="1" t="b">
        <f>IFERROR(__xludf.DUMMYFUNCTION("""COMPUTED_VALUE"""),FALSE)</f>
        <v>0</v>
      </c>
      <c r="U1387" s="1" t="str">
        <f>IFERROR(__xludf.DUMMYFUNCTION("""COMPUTED_VALUE"""),"DSQ")</f>
        <v>DSQ</v>
      </c>
      <c r="V1387" s="1" t="str">
        <f>IFERROR(__xludf.DUMMYFUNCTION("""COMPUTED_VALUE"""),"DSQ")</f>
        <v>DSQ</v>
      </c>
      <c r="W1387" s="1" t="str">
        <f>IFERROR(__xludf.DUMMYFUNCTION("""COMPUTED_VALUE"""),"DSQ")</f>
        <v>DSQ</v>
      </c>
      <c r="X1387" s="1" t="str">
        <f>IFERROR(__xludf.DUMMYFUNCTION("""COMPUTED_VALUE"""),"DSQ")</f>
        <v>DSQ</v>
      </c>
      <c r="Y1387" s="2"/>
      <c r="Z1387" s="2" t="str">
        <f>IFERROR(__xludf.DUMMYFUNCTION("""COMPUTED_VALUE"""),"")</f>
        <v/>
      </c>
    </row>
    <row r="1388">
      <c r="A1388" s="1">
        <f>IFERROR(__xludf.DUMMYFUNCTION("""COMPUTED_VALUE"""),1387.0)</f>
        <v>1387</v>
      </c>
      <c r="B1388" s="1">
        <f>IFERROR(__xludf.DUMMYFUNCTION("""COMPUTED_VALUE"""),5841.0)</f>
        <v>5841</v>
      </c>
      <c r="C1388" s="2" t="str">
        <f>IFERROR(__xludf.DUMMYFUNCTION("""COMPUTED_VALUE"""),"lia")</f>
        <v>lia</v>
      </c>
      <c r="D1388" s="2" t="str">
        <f>IFERROR(__xludf.DUMMYFUNCTION("""COMPUTED_VALUE"""),"5KM OVERALL F")</f>
        <v>5KM OVERALL F</v>
      </c>
      <c r="E1388" s="1">
        <f>IFERROR(__xludf.DUMMYFUNCTION("""COMPUTED_VALUE"""),2.0)</f>
        <v>2</v>
      </c>
      <c r="F1388" s="1" t="str">
        <f>IFERROR(__xludf.DUMMYFUNCTION("""COMPUTED_VALUE"""),"Female")</f>
        <v>Female</v>
      </c>
      <c r="G1388" s="4" t="str">
        <f>IFERROR(__xludf.DUMMYFUNCTION("""COMPUTED_VALUE"""),"")</f>
        <v/>
      </c>
      <c r="H1388" s="4" t="b">
        <f>IFERROR(__xludf.DUMMYFUNCTION("""COMPUTED_VALUE"""),FALSE)</f>
        <v>0</v>
      </c>
      <c r="I1388" s="4">
        <f>IFERROR(__xludf.DUMMYFUNCTION("""COMPUTED_VALUE"""),0.2549440625)</f>
        <v>0.2549440625</v>
      </c>
      <c r="J1388" s="4" t="str">
        <f>IFERROR(__xludf.DUMMYFUNCTION("""COMPUTED_VALUE"""),"")</f>
        <v/>
      </c>
      <c r="K1388" s="4" t="str">
        <f>IFERROR(__xludf.DUMMYFUNCTION("""COMPUTED_VALUE"""),"")</f>
        <v/>
      </c>
      <c r="L1388" s="4" t="str">
        <f>IFERROR(__xludf.DUMMYFUNCTION("""COMPUTED_VALUE"""),"")</f>
        <v/>
      </c>
      <c r="M1388" s="1" t="str">
        <f>IFERROR(__xludf.DUMMYFUNCTION("""COMPUTED_VALUE"""),"RFID")</f>
        <v>RFID</v>
      </c>
      <c r="N1388" s="5" t="str">
        <f>IFERROR(__xludf.DUMMYFUNCTION("""COMPUTED_VALUE"""),"")</f>
        <v/>
      </c>
      <c r="O1388" s="5" t="str">
        <f>IFERROR(__xludf.DUMMYFUNCTION("""COMPUTED_VALUE"""),"")</f>
        <v/>
      </c>
      <c r="P1388" s="5" t="str">
        <f>IFERROR(__xludf.DUMMYFUNCTION("""COMPUTED_VALUE"""),"")</f>
        <v/>
      </c>
      <c r="Q1388" s="5" t="str">
        <f>IFERROR(__xludf.DUMMYFUNCTION("""COMPUTED_VALUE"""),"")</f>
        <v/>
      </c>
      <c r="R1388" s="4" t="str">
        <f>IFERROR(__xludf.DUMMYFUNCTION("""COMPUTED_VALUE"""),"")</f>
        <v/>
      </c>
      <c r="S1388" s="1" t="b">
        <f>IFERROR(__xludf.DUMMYFUNCTION("""COMPUTED_VALUE"""),FALSE)</f>
        <v>0</v>
      </c>
      <c r="T1388" s="1" t="b">
        <f>IFERROR(__xludf.DUMMYFUNCTION("""COMPUTED_VALUE"""),FALSE)</f>
        <v>0</v>
      </c>
      <c r="U1388" s="1" t="str">
        <f>IFERROR(__xludf.DUMMYFUNCTION("""COMPUTED_VALUE"""),"DSQ")</f>
        <v>DSQ</v>
      </c>
      <c r="V1388" s="1" t="str">
        <f>IFERROR(__xludf.DUMMYFUNCTION("""COMPUTED_VALUE"""),"DSQ")</f>
        <v>DSQ</v>
      </c>
      <c r="W1388" s="1" t="str">
        <f>IFERROR(__xludf.DUMMYFUNCTION("""COMPUTED_VALUE"""),"DSQ")</f>
        <v>DSQ</v>
      </c>
      <c r="X1388" s="1" t="str">
        <f>IFERROR(__xludf.DUMMYFUNCTION("""COMPUTED_VALUE"""),"DSQ")</f>
        <v>DSQ</v>
      </c>
      <c r="Y1388" s="2"/>
      <c r="Z1388" s="2" t="str">
        <f>IFERROR(__xludf.DUMMYFUNCTION("""COMPUTED_VALUE"""),"")</f>
        <v/>
      </c>
    </row>
    <row r="1389">
      <c r="A1389" s="1">
        <f>IFERROR(__xludf.DUMMYFUNCTION("""COMPUTED_VALUE"""),1388.0)</f>
        <v>1388</v>
      </c>
      <c r="B1389" s="1">
        <f>IFERROR(__xludf.DUMMYFUNCTION("""COMPUTED_VALUE"""),5843.0)</f>
        <v>5843</v>
      </c>
      <c r="C1389" s="2" t="str">
        <f>IFERROR(__xludf.DUMMYFUNCTION("""COMPUTED_VALUE"""),"Vio")</f>
        <v>Vio</v>
      </c>
      <c r="D1389" s="2" t="str">
        <f>IFERROR(__xludf.DUMMYFUNCTION("""COMPUTED_VALUE"""),"5KM OVERALL F")</f>
        <v>5KM OVERALL F</v>
      </c>
      <c r="E1389" s="1">
        <f>IFERROR(__xludf.DUMMYFUNCTION("""COMPUTED_VALUE"""),2.0)</f>
        <v>2</v>
      </c>
      <c r="F1389" s="1" t="str">
        <f>IFERROR(__xludf.DUMMYFUNCTION("""COMPUTED_VALUE"""),"Female")</f>
        <v>Female</v>
      </c>
      <c r="G1389" s="4" t="b">
        <f>IFERROR(__xludf.DUMMYFUNCTION("""COMPUTED_VALUE"""),TRUE)</f>
        <v>1</v>
      </c>
      <c r="H1389" s="4" t="b">
        <f>IFERROR(__xludf.DUMMYFUNCTION("""COMPUTED_VALUE"""),TRUE)</f>
        <v>1</v>
      </c>
      <c r="I1389" s="4">
        <f>IFERROR(__xludf.DUMMYFUNCTION("""COMPUTED_VALUE"""),0.2549440625)</f>
        <v>0.2549440625</v>
      </c>
      <c r="J1389" s="4">
        <f>IFERROR(__xludf.DUMMYFUNCTION("""COMPUTED_VALUE"""),45949.27831492313)</f>
        <v>45949.27831</v>
      </c>
      <c r="K1389" s="4" t="str">
        <f>IFERROR(__xludf.DUMMYFUNCTION("""COMPUTED_VALUE"""),"")</f>
        <v/>
      </c>
      <c r="L1389" s="4">
        <f>IFERROR(__xludf.DUMMYFUNCTION("""COMPUTED_VALUE"""),45949.29394254103)</f>
        <v>45949.29394</v>
      </c>
      <c r="M1389" s="1" t="str">
        <f>IFERROR(__xludf.DUMMYFUNCTION("""COMPUTED_VALUE"""),"RFID")</f>
        <v>RFID</v>
      </c>
      <c r="N1389" s="5">
        <f>IFERROR(__xludf.DUMMYFUNCTION("""COMPUTED_VALUE"""),0.009348342592592592)</f>
        <v>0.009348342593</v>
      </c>
      <c r="O1389" s="5" t="str">
        <f>IFERROR(__xludf.DUMMYFUNCTION("""COMPUTED_VALUE"""),"")</f>
        <v/>
      </c>
      <c r="P1389" s="5" t="str">
        <f>IFERROR(__xludf.DUMMYFUNCTION("""COMPUTED_VALUE"""),"")</f>
        <v/>
      </c>
      <c r="Q1389" s="5">
        <f>IFERROR(__xludf.DUMMYFUNCTION("""COMPUTED_VALUE"""),0.00779969675925926)</f>
        <v>0.007799696759</v>
      </c>
      <c r="R1389" s="4">
        <f>IFERROR(__xludf.DUMMYFUNCTION("""COMPUTED_VALUE"""),45949.03899847853)</f>
        <v>45949.039</v>
      </c>
      <c r="S1389" s="1" t="b">
        <f>IFERROR(__xludf.DUMMYFUNCTION("""COMPUTED_VALUE"""),TRUE)</f>
        <v>1</v>
      </c>
      <c r="T1389" s="1" t="b">
        <f>IFERROR(__xludf.DUMMYFUNCTION("""COMPUTED_VALUE"""),FALSE)</f>
        <v>0</v>
      </c>
      <c r="U1389" s="1" t="str">
        <f>IFERROR(__xludf.DUMMYFUNCTION("""COMPUTED_VALUE"""),"VALID")</f>
        <v>VALID</v>
      </c>
      <c r="V1389" s="1">
        <f>IFERROR(__xludf.DUMMYFUNCTION("""COMPUTED_VALUE"""),286.0)</f>
        <v>286</v>
      </c>
      <c r="W1389" s="1">
        <f>IFERROR(__xludf.DUMMYFUNCTION("""COMPUTED_VALUE"""),1172.0)</f>
        <v>1172</v>
      </c>
      <c r="X1389" s="1">
        <f>IFERROR(__xludf.DUMMYFUNCTION("""COMPUTED_VALUE"""),345.0)</f>
        <v>345</v>
      </c>
      <c r="Y1389" s="2"/>
      <c r="Z1389" s="2"/>
    </row>
    <row r="1390">
      <c r="A1390" s="1">
        <f>IFERROR(__xludf.DUMMYFUNCTION("""COMPUTED_VALUE"""),1389.0)</f>
        <v>1389</v>
      </c>
      <c r="B1390" s="1">
        <f>IFERROR(__xludf.DUMMYFUNCTION("""COMPUTED_VALUE"""),5852.0)</f>
        <v>5852</v>
      </c>
      <c r="C1390" s="2" t="str">
        <f>IFERROR(__xludf.DUMMYFUNCTION("""COMPUTED_VALUE"""),"Nova")</f>
        <v>Nova</v>
      </c>
      <c r="D1390" s="2" t="str">
        <f>IFERROR(__xludf.DUMMYFUNCTION("""COMPUTED_VALUE"""),"5KM OVERALL F")</f>
        <v>5KM OVERALL F</v>
      </c>
      <c r="E1390" s="1">
        <f>IFERROR(__xludf.DUMMYFUNCTION("""COMPUTED_VALUE"""),2.0)</f>
        <v>2</v>
      </c>
      <c r="F1390" s="1" t="str">
        <f>IFERROR(__xludf.DUMMYFUNCTION("""COMPUTED_VALUE"""),"Female")</f>
        <v>Female</v>
      </c>
      <c r="G1390" s="4" t="b">
        <f>IFERROR(__xludf.DUMMYFUNCTION("""COMPUTED_VALUE"""),TRUE)</f>
        <v>1</v>
      </c>
      <c r="H1390" s="4" t="b">
        <f>IFERROR(__xludf.DUMMYFUNCTION("""COMPUTED_VALUE"""),TRUE)</f>
        <v>1</v>
      </c>
      <c r="I1390" s="4">
        <f>IFERROR(__xludf.DUMMYFUNCTION("""COMPUTED_VALUE"""),0.2549440625)</f>
        <v>0.2549440625</v>
      </c>
      <c r="J1390" s="4">
        <f>IFERROR(__xludf.DUMMYFUNCTION("""COMPUTED_VALUE"""),45949.27705801208)</f>
        <v>45949.27706</v>
      </c>
      <c r="K1390" s="4" t="str">
        <f>IFERROR(__xludf.DUMMYFUNCTION("""COMPUTED_VALUE"""),"")</f>
        <v/>
      </c>
      <c r="L1390" s="4">
        <f>IFERROR(__xludf.DUMMYFUNCTION("""COMPUTED_VALUE"""),45949.29138345422)</f>
        <v>45949.29138</v>
      </c>
      <c r="M1390" s="1" t="str">
        <f>IFERROR(__xludf.DUMMYFUNCTION("""COMPUTED_VALUE"""),"RFID")</f>
        <v>RFID</v>
      </c>
      <c r="N1390" s="5">
        <f>IFERROR(__xludf.DUMMYFUNCTION("""COMPUTED_VALUE"""),0.008845578703703703)</f>
        <v>0.008845578704</v>
      </c>
      <c r="O1390" s="5" t="str">
        <f>IFERROR(__xludf.DUMMYFUNCTION("""COMPUTED_VALUE"""),"")</f>
        <v/>
      </c>
      <c r="P1390" s="5" t="str">
        <f>IFERROR(__xludf.DUMMYFUNCTION("""COMPUTED_VALUE"""),"")</f>
        <v/>
      </c>
      <c r="Q1390" s="5">
        <f>IFERROR(__xludf.DUMMYFUNCTION("""COMPUTED_VALUE"""),0.007287877314814814)</f>
        <v>0.007287877315</v>
      </c>
      <c r="R1390" s="4">
        <f>IFERROR(__xludf.DUMMYFUNCTION("""COMPUTED_VALUE"""),45949.03643939172)</f>
        <v>45949.03644</v>
      </c>
      <c r="S1390" s="1" t="b">
        <f>IFERROR(__xludf.DUMMYFUNCTION("""COMPUTED_VALUE"""),TRUE)</f>
        <v>1</v>
      </c>
      <c r="T1390" s="1" t="b">
        <f>IFERROR(__xludf.DUMMYFUNCTION("""COMPUTED_VALUE"""),FALSE)</f>
        <v>0</v>
      </c>
      <c r="U1390" s="1" t="str">
        <f>IFERROR(__xludf.DUMMYFUNCTION("""COMPUTED_VALUE"""),"VALID")</f>
        <v>VALID</v>
      </c>
      <c r="V1390" s="1">
        <f>IFERROR(__xludf.DUMMYFUNCTION("""COMPUTED_VALUE"""),202.0)</f>
        <v>202</v>
      </c>
      <c r="W1390" s="1">
        <f>IFERROR(__xludf.DUMMYFUNCTION("""COMPUTED_VALUE"""),991.0)</f>
        <v>991</v>
      </c>
      <c r="X1390" s="1">
        <f>IFERROR(__xludf.DUMMYFUNCTION("""COMPUTED_VALUE"""),253.0)</f>
        <v>253</v>
      </c>
      <c r="Y1390" s="2"/>
      <c r="Z1390" s="2"/>
    </row>
    <row r="1391">
      <c r="A1391" s="1">
        <f>IFERROR(__xludf.DUMMYFUNCTION("""COMPUTED_VALUE"""),1390.0)</f>
        <v>1390</v>
      </c>
      <c r="B1391" s="1">
        <f>IFERROR(__xludf.DUMMYFUNCTION("""COMPUTED_VALUE"""),5854.0)</f>
        <v>5854</v>
      </c>
      <c r="C1391" s="2" t="str">
        <f>IFERROR(__xludf.DUMMYFUNCTION("""COMPUTED_VALUE"""),"MIA")</f>
        <v>MIA</v>
      </c>
      <c r="D1391" s="2" t="str">
        <f>IFERROR(__xludf.DUMMYFUNCTION("""COMPUTED_VALUE"""),"5KM OVERALL F")</f>
        <v>5KM OVERALL F</v>
      </c>
      <c r="E1391" s="1">
        <f>IFERROR(__xludf.DUMMYFUNCTION("""COMPUTED_VALUE"""),2.0)</f>
        <v>2</v>
      </c>
      <c r="F1391" s="1" t="str">
        <f>IFERROR(__xludf.DUMMYFUNCTION("""COMPUTED_VALUE"""),"Female")</f>
        <v>Female</v>
      </c>
      <c r="G1391" s="4" t="b">
        <f>IFERROR(__xludf.DUMMYFUNCTION("""COMPUTED_VALUE"""),TRUE)</f>
        <v>1</v>
      </c>
      <c r="H1391" s="4" t="b">
        <f>IFERROR(__xludf.DUMMYFUNCTION("""COMPUTED_VALUE"""),FALSE)</f>
        <v>0</v>
      </c>
      <c r="I1391" s="4">
        <f>IFERROR(__xludf.DUMMYFUNCTION("""COMPUTED_VALUE"""),0.2549440625)</f>
        <v>0.2549440625</v>
      </c>
      <c r="J1391" s="4">
        <f>IFERROR(__xludf.DUMMYFUNCTION("""COMPUTED_VALUE"""),45949.27282877792)</f>
        <v>45949.27283</v>
      </c>
      <c r="K1391" s="4" t="str">
        <f>IFERROR(__xludf.DUMMYFUNCTION("""COMPUTED_VALUE"""),"")</f>
        <v/>
      </c>
      <c r="L1391" s="4">
        <f>IFERROR(__xludf.DUMMYFUNCTION("""COMPUTED_VALUE"""),45949.28494948364)</f>
        <v>45949.28495</v>
      </c>
      <c r="M1391" s="1" t="str">
        <f>IFERROR(__xludf.DUMMYFUNCTION("""COMPUTED_VALUE"""),"RFID")</f>
        <v>RFID</v>
      </c>
      <c r="N1391" s="5">
        <f>IFERROR(__xludf.DUMMYFUNCTION("""COMPUTED_VALUE"""),0.007153884259259259)</f>
        <v>0.007153884259</v>
      </c>
      <c r="O1391" s="5" t="str">
        <f>IFERROR(__xludf.DUMMYFUNCTION("""COMPUTED_VALUE"""),"")</f>
        <v/>
      </c>
      <c r="P1391" s="5" t="str">
        <f>IFERROR(__xludf.DUMMYFUNCTION("""COMPUTED_VALUE"""),"")</f>
        <v/>
      </c>
      <c r="Q1391" s="5">
        <f>IFERROR(__xludf.DUMMYFUNCTION("""COMPUTED_VALUE"""),0.006001083333333333)</f>
        <v>0.006001083333</v>
      </c>
      <c r="R1391" s="4">
        <f>IFERROR(__xludf.DUMMYFUNCTION("""COMPUTED_VALUE"""),45949.03000542114)</f>
        <v>45949.03001</v>
      </c>
      <c r="S1391" s="1" t="b">
        <f>IFERROR(__xludf.DUMMYFUNCTION("""COMPUTED_VALUE"""),TRUE)</f>
        <v>1</v>
      </c>
      <c r="T1391" s="1" t="b">
        <f>IFERROR(__xludf.DUMMYFUNCTION("""COMPUTED_VALUE"""),FALSE)</f>
        <v>0</v>
      </c>
      <c r="U1391" s="1" t="str">
        <f>IFERROR(__xludf.DUMMYFUNCTION("""COMPUTED_VALUE"""),"VALID")</f>
        <v>VALID</v>
      </c>
      <c r="V1391" s="1">
        <f>IFERROR(__xludf.DUMMYFUNCTION("""COMPUTED_VALUE"""),74.0)</f>
        <v>74</v>
      </c>
      <c r="W1391" s="1">
        <f>IFERROR(__xludf.DUMMYFUNCTION("""COMPUTED_VALUE"""),570.0)</f>
        <v>570</v>
      </c>
      <c r="X1391" s="1">
        <f>IFERROR(__xludf.DUMMYFUNCTION("""COMPUTED_VALUE"""),96.0)</f>
        <v>96</v>
      </c>
      <c r="Y1391" s="2"/>
      <c r="Z1391" s="2"/>
    </row>
    <row r="1392">
      <c r="A1392" s="1">
        <f>IFERROR(__xludf.DUMMYFUNCTION("""COMPUTED_VALUE"""),1391.0)</f>
        <v>1391</v>
      </c>
      <c r="B1392" s="1">
        <f>IFERROR(__xludf.DUMMYFUNCTION("""COMPUTED_VALUE"""),5855.0)</f>
        <v>5855</v>
      </c>
      <c r="C1392" s="2" t="str">
        <f>IFERROR(__xludf.DUMMYFUNCTION("""COMPUTED_VALUE"""),"Anis Marsella")</f>
        <v>Anis Marsella</v>
      </c>
      <c r="D1392" s="2" t="str">
        <f>IFERROR(__xludf.DUMMYFUNCTION("""COMPUTED_VALUE"""),"5KM OVERALL F")</f>
        <v>5KM OVERALL F</v>
      </c>
      <c r="E1392" s="1">
        <f>IFERROR(__xludf.DUMMYFUNCTION("""COMPUTED_VALUE"""),2.0)</f>
        <v>2</v>
      </c>
      <c r="F1392" s="1" t="str">
        <f>IFERROR(__xludf.DUMMYFUNCTION("""COMPUTED_VALUE"""),"Female")</f>
        <v>Female</v>
      </c>
      <c r="G1392" s="4" t="b">
        <f>IFERROR(__xludf.DUMMYFUNCTION("""COMPUTED_VALUE"""),TRUE)</f>
        <v>1</v>
      </c>
      <c r="H1392" s="4" t="b">
        <f>IFERROR(__xludf.DUMMYFUNCTION("""COMPUTED_VALUE"""),TRUE)</f>
        <v>1</v>
      </c>
      <c r="I1392" s="4">
        <f>IFERROR(__xludf.DUMMYFUNCTION("""COMPUTED_VALUE"""),0.2549440625)</f>
        <v>0.2549440625</v>
      </c>
      <c r="J1392" s="4">
        <f>IFERROR(__xludf.DUMMYFUNCTION("""COMPUTED_VALUE"""),45949.2728322435)</f>
        <v>45949.27283</v>
      </c>
      <c r="K1392" s="4" t="str">
        <f>IFERROR(__xludf.DUMMYFUNCTION("""COMPUTED_VALUE"""),"")</f>
        <v/>
      </c>
      <c r="L1392" s="4">
        <f>IFERROR(__xludf.DUMMYFUNCTION("""COMPUTED_VALUE"""),45949.28494249121)</f>
        <v>45949.28494</v>
      </c>
      <c r="M1392" s="1" t="str">
        <f>IFERROR(__xludf.DUMMYFUNCTION("""COMPUTED_VALUE"""),"RFID")</f>
        <v>RFID</v>
      </c>
      <c r="N1392" s="5">
        <f>IFERROR(__xludf.DUMMYFUNCTION("""COMPUTED_VALUE"""),0.007155273148148148)</f>
        <v>0.007155273148</v>
      </c>
      <c r="O1392" s="5" t="str">
        <f>IFERROR(__xludf.DUMMYFUNCTION("""COMPUTED_VALUE"""),"")</f>
        <v/>
      </c>
      <c r="P1392" s="5" t="str">
        <f>IFERROR(__xludf.DUMMYFUNCTION("""COMPUTED_VALUE"""),"")</f>
        <v/>
      </c>
      <c r="Q1392" s="5">
        <f>IFERROR(__xludf.DUMMYFUNCTION("""COMPUTED_VALUE"""),0.005999685185185185)</f>
        <v>0.005999685185</v>
      </c>
      <c r="R1392" s="4">
        <f>IFERROR(__xludf.DUMMYFUNCTION("""COMPUTED_VALUE"""),45949.02999842871)</f>
        <v>45949.03</v>
      </c>
      <c r="S1392" s="1" t="b">
        <f>IFERROR(__xludf.DUMMYFUNCTION("""COMPUTED_VALUE"""),TRUE)</f>
        <v>1</v>
      </c>
      <c r="T1392" s="1" t="b">
        <f>IFERROR(__xludf.DUMMYFUNCTION("""COMPUTED_VALUE"""),FALSE)</f>
        <v>0</v>
      </c>
      <c r="U1392" s="1" t="str">
        <f>IFERROR(__xludf.DUMMYFUNCTION("""COMPUTED_VALUE"""),"VALID")</f>
        <v>VALID</v>
      </c>
      <c r="V1392" s="1">
        <f>IFERROR(__xludf.DUMMYFUNCTION("""COMPUTED_VALUE"""),73.0)</f>
        <v>73</v>
      </c>
      <c r="W1392" s="1">
        <f>IFERROR(__xludf.DUMMYFUNCTION("""COMPUTED_VALUE"""),569.0)</f>
        <v>569</v>
      </c>
      <c r="X1392" s="1">
        <f>IFERROR(__xludf.DUMMYFUNCTION("""COMPUTED_VALUE"""),95.0)</f>
        <v>95</v>
      </c>
      <c r="Y1392" s="2"/>
      <c r="Z1392" s="2"/>
    </row>
    <row r="1393">
      <c r="A1393" s="1">
        <f>IFERROR(__xludf.DUMMYFUNCTION("""COMPUTED_VALUE"""),1392.0)</f>
        <v>1392</v>
      </c>
      <c r="B1393" s="1">
        <f>IFERROR(__xludf.DUMMYFUNCTION("""COMPUTED_VALUE"""),5857.0)</f>
        <v>5857</v>
      </c>
      <c r="C1393" s="2" t="str">
        <f>IFERROR(__xludf.DUMMYFUNCTION("""COMPUTED_VALUE"""),"addina")</f>
        <v>addina</v>
      </c>
      <c r="D1393" s="2" t="str">
        <f>IFERROR(__xludf.DUMMYFUNCTION("""COMPUTED_VALUE"""),"5KM OVERALL F")</f>
        <v>5KM OVERALL F</v>
      </c>
      <c r="E1393" s="1">
        <f>IFERROR(__xludf.DUMMYFUNCTION("""COMPUTED_VALUE"""),2.0)</f>
        <v>2</v>
      </c>
      <c r="F1393" s="1" t="str">
        <f>IFERROR(__xludf.DUMMYFUNCTION("""COMPUTED_VALUE"""),"Female")</f>
        <v>Female</v>
      </c>
      <c r="G1393" s="4" t="b">
        <f>IFERROR(__xludf.DUMMYFUNCTION("""COMPUTED_VALUE"""),TRUE)</f>
        <v>1</v>
      </c>
      <c r="H1393" s="4" t="b">
        <f>IFERROR(__xludf.DUMMYFUNCTION("""COMPUTED_VALUE"""),TRUE)</f>
        <v>1</v>
      </c>
      <c r="I1393" s="4">
        <f>IFERROR(__xludf.DUMMYFUNCTION("""COMPUTED_VALUE"""),0.2549440625)</f>
        <v>0.2549440625</v>
      </c>
      <c r="J1393" s="4">
        <f>IFERROR(__xludf.DUMMYFUNCTION("""COMPUTED_VALUE"""),45949.28052321545)</f>
        <v>45949.28052</v>
      </c>
      <c r="K1393" s="4" t="str">
        <f>IFERROR(__xludf.DUMMYFUNCTION("""COMPUTED_VALUE"""),"")</f>
        <v/>
      </c>
      <c r="L1393" s="4">
        <f>IFERROR(__xludf.DUMMYFUNCTION("""COMPUTED_VALUE"""),45949.2973036519)</f>
        <v>45949.2973</v>
      </c>
      <c r="M1393" s="1" t="str">
        <f>IFERROR(__xludf.DUMMYFUNCTION("""COMPUTED_VALUE"""),"RFID")</f>
        <v>RFID</v>
      </c>
      <c r="N1393" s="5">
        <f>IFERROR(__xludf.DUMMYFUNCTION("""COMPUTED_VALUE"""),0.010231662037037039)</f>
        <v>0.01023166204</v>
      </c>
      <c r="O1393" s="5" t="str">
        <f>IFERROR(__xludf.DUMMYFUNCTION("""COMPUTED_VALUE"""),"")</f>
        <v/>
      </c>
      <c r="P1393" s="5" t="str">
        <f>IFERROR(__xludf.DUMMYFUNCTION("""COMPUTED_VALUE"""),"")</f>
        <v/>
      </c>
      <c r="Q1393" s="5">
        <f>IFERROR(__xludf.DUMMYFUNCTION("""COMPUTED_VALUE"""),0.008471918981481481)</f>
        <v>0.008471918981</v>
      </c>
      <c r="R1393" s="4">
        <f>IFERROR(__xludf.DUMMYFUNCTION("""COMPUTED_VALUE"""),45949.0423595894)</f>
        <v>45949.04236</v>
      </c>
      <c r="S1393" s="1" t="b">
        <f>IFERROR(__xludf.DUMMYFUNCTION("""COMPUTED_VALUE"""),TRUE)</f>
        <v>1</v>
      </c>
      <c r="T1393" s="1" t="b">
        <f>IFERROR(__xludf.DUMMYFUNCTION("""COMPUTED_VALUE"""),FALSE)</f>
        <v>0</v>
      </c>
      <c r="U1393" s="1" t="str">
        <f>IFERROR(__xludf.DUMMYFUNCTION("""COMPUTED_VALUE"""),"VALID")</f>
        <v>VALID</v>
      </c>
      <c r="V1393" s="1">
        <f>IFERROR(__xludf.DUMMYFUNCTION("""COMPUTED_VALUE"""),364.0)</f>
        <v>364</v>
      </c>
      <c r="W1393" s="1">
        <f>IFERROR(__xludf.DUMMYFUNCTION("""COMPUTED_VALUE"""),1343.0)</f>
        <v>1343</v>
      </c>
      <c r="X1393" s="1">
        <f>IFERROR(__xludf.DUMMYFUNCTION("""COMPUTED_VALUE"""),442.0)</f>
        <v>442</v>
      </c>
      <c r="Y1393" s="2"/>
      <c r="Z1393" s="2"/>
    </row>
    <row r="1394">
      <c r="A1394" s="1">
        <f>IFERROR(__xludf.DUMMYFUNCTION("""COMPUTED_VALUE"""),1393.0)</f>
        <v>1393</v>
      </c>
      <c r="B1394" s="1">
        <f>IFERROR(__xludf.DUMMYFUNCTION("""COMPUTED_VALUE"""),5862.0)</f>
        <v>5862</v>
      </c>
      <c r="C1394" s="2" t="str">
        <f>IFERROR(__xludf.DUMMYFUNCTION("""COMPUTED_VALUE"""),"Desyna")</f>
        <v>Desyna</v>
      </c>
      <c r="D1394" s="2" t="str">
        <f>IFERROR(__xludf.DUMMYFUNCTION("""COMPUTED_VALUE"""),"5KM OVERALL F")</f>
        <v>5KM OVERALL F</v>
      </c>
      <c r="E1394" s="1">
        <f>IFERROR(__xludf.DUMMYFUNCTION("""COMPUTED_VALUE"""),2.0)</f>
        <v>2</v>
      </c>
      <c r="F1394" s="1" t="str">
        <f>IFERROR(__xludf.DUMMYFUNCTION("""COMPUTED_VALUE"""),"Female")</f>
        <v>Female</v>
      </c>
      <c r="G1394" s="4" t="b">
        <f>IFERROR(__xludf.DUMMYFUNCTION("""COMPUTED_VALUE"""),TRUE)</f>
        <v>1</v>
      </c>
      <c r="H1394" s="4" t="b">
        <f>IFERROR(__xludf.DUMMYFUNCTION("""COMPUTED_VALUE"""),TRUE)</f>
        <v>1</v>
      </c>
      <c r="I1394" s="4">
        <f>IFERROR(__xludf.DUMMYFUNCTION("""COMPUTED_VALUE"""),0.2549440625)</f>
        <v>0.2549440625</v>
      </c>
      <c r="J1394" s="4">
        <f>IFERROR(__xludf.DUMMYFUNCTION("""COMPUTED_VALUE"""),45949.27055100402)</f>
        <v>45949.27055</v>
      </c>
      <c r="K1394" s="4" t="str">
        <f>IFERROR(__xludf.DUMMYFUNCTION("""COMPUTED_VALUE"""),"")</f>
        <v/>
      </c>
      <c r="L1394" s="4">
        <f>IFERROR(__xludf.DUMMYFUNCTION("""COMPUTED_VALUE"""),45949.282234168495)</f>
        <v>45949.28223</v>
      </c>
      <c r="M1394" s="1" t="str">
        <f>IFERROR(__xludf.DUMMYFUNCTION("""COMPUTED_VALUE"""),"RFID")</f>
        <v>RFID</v>
      </c>
      <c r="N1394" s="5">
        <f>IFERROR(__xludf.DUMMYFUNCTION("""COMPUTED_VALUE"""),0.0062427777777777785)</f>
        <v>0.006242777778</v>
      </c>
      <c r="O1394" s="5" t="str">
        <f>IFERROR(__xludf.DUMMYFUNCTION("""COMPUTED_VALUE"""),"")</f>
        <v/>
      </c>
      <c r="P1394" s="5" t="str">
        <f>IFERROR(__xludf.DUMMYFUNCTION("""COMPUTED_VALUE"""),"")</f>
        <v/>
      </c>
      <c r="Q1394" s="5">
        <f>IFERROR(__xludf.DUMMYFUNCTION("""COMPUTED_VALUE"""),0.005458020833333333)</f>
        <v>0.005458020833</v>
      </c>
      <c r="R1394" s="4">
        <f>IFERROR(__xludf.DUMMYFUNCTION("""COMPUTED_VALUE"""),45949.027290105994)</f>
        <v>45949.02729</v>
      </c>
      <c r="S1394" s="1" t="b">
        <f>IFERROR(__xludf.DUMMYFUNCTION("""COMPUTED_VALUE"""),TRUE)</f>
        <v>1</v>
      </c>
      <c r="T1394" s="1" t="b">
        <f>IFERROR(__xludf.DUMMYFUNCTION("""COMPUTED_VALUE"""),FALSE)</f>
        <v>0</v>
      </c>
      <c r="U1394" s="1" t="str">
        <f>IFERROR(__xludf.DUMMYFUNCTION("""COMPUTED_VALUE"""),"VALID")</f>
        <v>VALID</v>
      </c>
      <c r="V1394" s="1">
        <f>IFERROR(__xludf.DUMMYFUNCTION("""COMPUTED_VALUE"""),38.0)</f>
        <v>38</v>
      </c>
      <c r="W1394" s="1">
        <f>IFERROR(__xludf.DUMMYFUNCTION("""COMPUTED_VALUE"""),394.0)</f>
        <v>394</v>
      </c>
      <c r="X1394" s="1">
        <f>IFERROR(__xludf.DUMMYFUNCTION("""COMPUTED_VALUE"""),57.0)</f>
        <v>57</v>
      </c>
      <c r="Y1394" s="2"/>
      <c r="Z1394" s="2"/>
    </row>
    <row r="1395">
      <c r="A1395" s="1">
        <f>IFERROR(__xludf.DUMMYFUNCTION("""COMPUTED_VALUE"""),1394.0)</f>
        <v>1394</v>
      </c>
      <c r="B1395" s="1">
        <f>IFERROR(__xludf.DUMMYFUNCTION("""COMPUTED_VALUE"""),5868.0)</f>
        <v>5868</v>
      </c>
      <c r="C1395" s="2" t="str">
        <f>IFERROR(__xludf.DUMMYFUNCTION("""COMPUTED_VALUE"""),"Aulia")</f>
        <v>Aulia</v>
      </c>
      <c r="D1395" s="2" t="str">
        <f>IFERROR(__xludf.DUMMYFUNCTION("""COMPUTED_VALUE"""),"5KM OVERALL F")</f>
        <v>5KM OVERALL F</v>
      </c>
      <c r="E1395" s="1">
        <f>IFERROR(__xludf.DUMMYFUNCTION("""COMPUTED_VALUE"""),2.0)</f>
        <v>2</v>
      </c>
      <c r="F1395" s="1" t="str">
        <f>IFERROR(__xludf.DUMMYFUNCTION("""COMPUTED_VALUE"""),"Female")</f>
        <v>Female</v>
      </c>
      <c r="G1395" s="4" t="b">
        <f>IFERROR(__xludf.DUMMYFUNCTION("""COMPUTED_VALUE"""),TRUE)</f>
        <v>1</v>
      </c>
      <c r="H1395" s="4" t="b">
        <f>IFERROR(__xludf.DUMMYFUNCTION("""COMPUTED_VALUE"""),TRUE)</f>
        <v>1</v>
      </c>
      <c r="I1395" s="4">
        <f>IFERROR(__xludf.DUMMYFUNCTION("""COMPUTED_VALUE"""),0.2549440625)</f>
        <v>0.2549440625</v>
      </c>
      <c r="J1395" s="4">
        <f>IFERROR(__xludf.DUMMYFUNCTION("""COMPUTED_VALUE"""),45949.28139127486)</f>
        <v>45949.28139</v>
      </c>
      <c r="K1395" s="4" t="str">
        <f>IFERROR(__xludf.DUMMYFUNCTION("""COMPUTED_VALUE"""),"")</f>
        <v/>
      </c>
      <c r="L1395" s="4">
        <f>IFERROR(__xludf.DUMMYFUNCTION("""COMPUTED_VALUE"""),45949.30211268317)</f>
        <v>45949.30211</v>
      </c>
      <c r="M1395" s="1" t="str">
        <f>IFERROR(__xludf.DUMMYFUNCTION("""COMPUTED_VALUE"""),"RFID")</f>
        <v>RFID</v>
      </c>
      <c r="N1395" s="5">
        <f>IFERROR(__xludf.DUMMYFUNCTION("""COMPUTED_VALUE"""),0.01057888425925926)</f>
        <v>0.01057888426</v>
      </c>
      <c r="O1395" s="5" t="str">
        <f>IFERROR(__xludf.DUMMYFUNCTION("""COMPUTED_VALUE"""),"")</f>
        <v/>
      </c>
      <c r="P1395" s="5" t="str">
        <f>IFERROR(__xludf.DUMMYFUNCTION("""COMPUTED_VALUE"""),"")</f>
        <v/>
      </c>
      <c r="Q1395" s="5">
        <f>IFERROR(__xludf.DUMMYFUNCTION("""COMPUTED_VALUE"""),0.009433724537037037)</f>
        <v>0.009433724537</v>
      </c>
      <c r="R1395" s="4">
        <f>IFERROR(__xludf.DUMMYFUNCTION("""COMPUTED_VALUE"""),45949.04716862067)</f>
        <v>45949.04717</v>
      </c>
      <c r="S1395" s="1" t="b">
        <f>IFERROR(__xludf.DUMMYFUNCTION("""COMPUTED_VALUE"""),TRUE)</f>
        <v>1</v>
      </c>
      <c r="T1395" s="1" t="b">
        <f>IFERROR(__xludf.DUMMYFUNCTION("""COMPUTED_VALUE"""),FALSE)</f>
        <v>0</v>
      </c>
      <c r="U1395" s="1" t="str">
        <f>IFERROR(__xludf.DUMMYFUNCTION("""COMPUTED_VALUE"""),"VALID")</f>
        <v>VALID</v>
      </c>
      <c r="V1395" s="1">
        <f>IFERROR(__xludf.DUMMYFUNCTION("""COMPUTED_VALUE"""),465.0)</f>
        <v>465</v>
      </c>
      <c r="W1395" s="1">
        <f>IFERROR(__xludf.DUMMYFUNCTION("""COMPUTED_VALUE"""),1524.0)</f>
        <v>1524</v>
      </c>
      <c r="X1395" s="1">
        <f>IFERROR(__xludf.DUMMYFUNCTION("""COMPUTED_VALUE"""),566.0)</f>
        <v>566</v>
      </c>
      <c r="Y1395" s="2"/>
      <c r="Z1395" s="2"/>
    </row>
    <row r="1396">
      <c r="A1396" s="1">
        <f>IFERROR(__xludf.DUMMYFUNCTION("""COMPUTED_VALUE"""),1395.0)</f>
        <v>1395</v>
      </c>
      <c r="B1396" s="1">
        <f>IFERROR(__xludf.DUMMYFUNCTION("""COMPUTED_VALUE"""),5869.0)</f>
        <v>5869</v>
      </c>
      <c r="C1396" s="2" t="str">
        <f>IFERROR(__xludf.DUMMYFUNCTION("""COMPUTED_VALUE"""),"Rania")</f>
        <v>Rania</v>
      </c>
      <c r="D1396" s="2" t="str">
        <f>IFERROR(__xludf.DUMMYFUNCTION("""COMPUTED_VALUE"""),"5KM OVERALL F")</f>
        <v>5KM OVERALL F</v>
      </c>
      <c r="E1396" s="1">
        <f>IFERROR(__xludf.DUMMYFUNCTION("""COMPUTED_VALUE"""),2.0)</f>
        <v>2</v>
      </c>
      <c r="F1396" s="1" t="str">
        <f>IFERROR(__xludf.DUMMYFUNCTION("""COMPUTED_VALUE"""),"Female")</f>
        <v>Female</v>
      </c>
      <c r="G1396" s="4" t="b">
        <f>IFERROR(__xludf.DUMMYFUNCTION("""COMPUTED_VALUE"""),TRUE)</f>
        <v>1</v>
      </c>
      <c r="H1396" s="4" t="b">
        <f>IFERROR(__xludf.DUMMYFUNCTION("""COMPUTED_VALUE"""),TRUE)</f>
        <v>1</v>
      </c>
      <c r="I1396" s="4">
        <f>IFERROR(__xludf.DUMMYFUNCTION("""COMPUTED_VALUE"""),0.2549440625)</f>
        <v>0.2549440625</v>
      </c>
      <c r="J1396" s="4">
        <f>IFERROR(__xludf.DUMMYFUNCTION("""COMPUTED_VALUE"""),45949.274880906196)</f>
        <v>45949.27488</v>
      </c>
      <c r="K1396" s="4" t="str">
        <f>IFERROR(__xludf.DUMMYFUNCTION("""COMPUTED_VALUE"""),"")</f>
        <v/>
      </c>
      <c r="L1396" s="4">
        <f>IFERROR(__xludf.DUMMYFUNCTION("""COMPUTED_VALUE"""),45949.2870536048)</f>
        <v>45949.28705</v>
      </c>
      <c r="M1396" s="1" t="str">
        <f>IFERROR(__xludf.DUMMYFUNCTION("""COMPUTED_VALUE"""),"RFID")</f>
        <v>RFID</v>
      </c>
      <c r="N1396" s="5">
        <f>IFERROR(__xludf.DUMMYFUNCTION("""COMPUTED_VALUE"""),0.007974736111111111)</f>
        <v>0.007974736111</v>
      </c>
      <c r="O1396" s="5" t="str">
        <f>IFERROR(__xludf.DUMMYFUNCTION("""COMPUTED_VALUE"""),"")</f>
        <v/>
      </c>
      <c r="P1396" s="5" t="str">
        <f>IFERROR(__xludf.DUMMYFUNCTION("""COMPUTED_VALUE"""),"")</f>
        <v/>
      </c>
      <c r="Q1396" s="5">
        <f>IFERROR(__xludf.DUMMYFUNCTION("""COMPUTED_VALUE"""),0.006421907407407408)</f>
        <v>0.006421907407</v>
      </c>
      <c r="R1396" s="4">
        <f>IFERROR(__xludf.DUMMYFUNCTION("""COMPUTED_VALUE"""),45949.0321095423)</f>
        <v>45949.03211</v>
      </c>
      <c r="S1396" s="1" t="b">
        <f>IFERROR(__xludf.DUMMYFUNCTION("""COMPUTED_VALUE"""),TRUE)</f>
        <v>1</v>
      </c>
      <c r="T1396" s="1" t="b">
        <f>IFERROR(__xludf.DUMMYFUNCTION("""COMPUTED_VALUE"""),FALSE)</f>
        <v>0</v>
      </c>
      <c r="U1396" s="1" t="str">
        <f>IFERROR(__xludf.DUMMYFUNCTION("""COMPUTED_VALUE"""),"VALID")</f>
        <v>VALID</v>
      </c>
      <c r="V1396" s="1">
        <f>IFERROR(__xludf.DUMMYFUNCTION("""COMPUTED_VALUE"""),109.0)</f>
        <v>109</v>
      </c>
      <c r="W1396" s="1">
        <f>IFERROR(__xludf.DUMMYFUNCTION("""COMPUTED_VALUE"""),709.0)</f>
        <v>709</v>
      </c>
      <c r="X1396" s="1">
        <f>IFERROR(__xludf.DUMMYFUNCTION("""COMPUTED_VALUE"""),137.0)</f>
        <v>137</v>
      </c>
      <c r="Y1396" s="2"/>
      <c r="Z1396" s="2"/>
    </row>
    <row r="1397">
      <c r="A1397" s="1">
        <f>IFERROR(__xludf.DUMMYFUNCTION("""COMPUTED_VALUE"""),1396.0)</f>
        <v>1396</v>
      </c>
      <c r="B1397" s="1">
        <f>IFERROR(__xludf.DUMMYFUNCTION("""COMPUTED_VALUE"""),5870.0)</f>
        <v>5870</v>
      </c>
      <c r="C1397" s="2" t="str">
        <f>IFERROR(__xludf.DUMMYFUNCTION("""COMPUTED_VALUE"""),"Anggun FA")</f>
        <v>Anggun FA</v>
      </c>
      <c r="D1397" s="2" t="str">
        <f>IFERROR(__xludf.DUMMYFUNCTION("""COMPUTED_VALUE"""),"5KM OVERALL F")</f>
        <v>5KM OVERALL F</v>
      </c>
      <c r="E1397" s="1">
        <f>IFERROR(__xludf.DUMMYFUNCTION("""COMPUTED_VALUE"""),2.0)</f>
        <v>2</v>
      </c>
      <c r="F1397" s="1" t="str">
        <f>IFERROR(__xludf.DUMMYFUNCTION("""COMPUTED_VALUE"""),"Female")</f>
        <v>Female</v>
      </c>
      <c r="G1397" s="4" t="b">
        <f>IFERROR(__xludf.DUMMYFUNCTION("""COMPUTED_VALUE"""),TRUE)</f>
        <v>1</v>
      </c>
      <c r="H1397" s="4" t="b">
        <f>IFERROR(__xludf.DUMMYFUNCTION("""COMPUTED_VALUE"""),TRUE)</f>
        <v>1</v>
      </c>
      <c r="I1397" s="4">
        <f>IFERROR(__xludf.DUMMYFUNCTION("""COMPUTED_VALUE"""),0.2549440625)</f>
        <v>0.2549440625</v>
      </c>
      <c r="J1397" s="4">
        <f>IFERROR(__xludf.DUMMYFUNCTION("""COMPUTED_VALUE"""),45949.28607184031)</f>
        <v>45949.28607</v>
      </c>
      <c r="K1397" s="4" t="str">
        <f>IFERROR(__xludf.DUMMYFUNCTION("""COMPUTED_VALUE"""),"")</f>
        <v/>
      </c>
      <c r="L1397" s="4">
        <f>IFERROR(__xludf.DUMMYFUNCTION("""COMPUTED_VALUE"""),45949.30619601112)</f>
        <v>45949.3062</v>
      </c>
      <c r="M1397" s="1" t="str">
        <f>IFERROR(__xludf.DUMMYFUNCTION("""COMPUTED_VALUE"""),"RFID")</f>
        <v>RFID</v>
      </c>
      <c r="N1397" s="5">
        <f>IFERROR(__xludf.DUMMYFUNCTION("""COMPUTED_VALUE"""),0.01245111111111111)</f>
        <v>0.01245111111</v>
      </c>
      <c r="O1397" s="5" t="str">
        <f>IFERROR(__xludf.DUMMYFUNCTION("""COMPUTED_VALUE"""),"")</f>
        <v/>
      </c>
      <c r="P1397" s="5" t="str">
        <f>IFERROR(__xludf.DUMMYFUNCTION("""COMPUTED_VALUE"""),"")</f>
        <v/>
      </c>
      <c r="Q1397" s="5">
        <f>IFERROR(__xludf.DUMMYFUNCTION("""COMPUTED_VALUE"""),0.010250388888888889)</f>
        <v>0.01025038889</v>
      </c>
      <c r="R1397" s="4">
        <f>IFERROR(__xludf.DUMMYFUNCTION("""COMPUTED_VALUE"""),45949.05125194862)</f>
        <v>45949.05125</v>
      </c>
      <c r="S1397" s="1" t="b">
        <f>IFERROR(__xludf.DUMMYFUNCTION("""COMPUTED_VALUE"""),TRUE)</f>
        <v>1</v>
      </c>
      <c r="T1397" s="1" t="b">
        <f>IFERROR(__xludf.DUMMYFUNCTION("""COMPUTED_VALUE"""),FALSE)</f>
        <v>0</v>
      </c>
      <c r="U1397" s="1" t="str">
        <f>IFERROR(__xludf.DUMMYFUNCTION("""COMPUTED_VALUE"""),"VALID")</f>
        <v>VALID</v>
      </c>
      <c r="V1397" s="1">
        <f>IFERROR(__xludf.DUMMYFUNCTION("""COMPUTED_VALUE"""),493.0)</f>
        <v>493</v>
      </c>
      <c r="W1397" s="1">
        <f>IFERROR(__xludf.DUMMYFUNCTION("""COMPUTED_VALUE"""),1584.0)</f>
        <v>1584</v>
      </c>
      <c r="X1397" s="1">
        <f>IFERROR(__xludf.DUMMYFUNCTION("""COMPUTED_VALUE"""),605.0)</f>
        <v>605</v>
      </c>
      <c r="Y1397" s="2"/>
      <c r="Z1397" s="2"/>
    </row>
    <row r="1398">
      <c r="A1398" s="1">
        <f>IFERROR(__xludf.DUMMYFUNCTION("""COMPUTED_VALUE"""),1397.0)</f>
        <v>1397</v>
      </c>
      <c r="B1398" s="1">
        <f>IFERROR(__xludf.DUMMYFUNCTION("""COMPUTED_VALUE"""),5871.0)</f>
        <v>5871</v>
      </c>
      <c r="C1398" s="2" t="str">
        <f>IFERROR(__xludf.DUMMYFUNCTION("""COMPUTED_VALUE"""),"Restu")</f>
        <v>Restu</v>
      </c>
      <c r="D1398" s="2" t="str">
        <f>IFERROR(__xludf.DUMMYFUNCTION("""COMPUTED_VALUE"""),"5KM OVERALL F")</f>
        <v>5KM OVERALL F</v>
      </c>
      <c r="E1398" s="1">
        <f>IFERROR(__xludf.DUMMYFUNCTION("""COMPUTED_VALUE"""),2.0)</f>
        <v>2</v>
      </c>
      <c r="F1398" s="1" t="str">
        <f>IFERROR(__xludf.DUMMYFUNCTION("""COMPUTED_VALUE"""),"Female")</f>
        <v>Female</v>
      </c>
      <c r="G1398" s="4" t="str">
        <f>IFERROR(__xludf.DUMMYFUNCTION("""COMPUTED_VALUE"""),"")</f>
        <v/>
      </c>
      <c r="H1398" s="4" t="b">
        <f>IFERROR(__xludf.DUMMYFUNCTION("""COMPUTED_VALUE"""),FALSE)</f>
        <v>0</v>
      </c>
      <c r="I1398" s="4">
        <f>IFERROR(__xludf.DUMMYFUNCTION("""COMPUTED_VALUE"""),0.2549440625)</f>
        <v>0.2549440625</v>
      </c>
      <c r="J1398" s="4" t="str">
        <f>IFERROR(__xludf.DUMMYFUNCTION("""COMPUTED_VALUE"""),"")</f>
        <v/>
      </c>
      <c r="K1398" s="4" t="str">
        <f>IFERROR(__xludf.DUMMYFUNCTION("""COMPUTED_VALUE"""),"")</f>
        <v/>
      </c>
      <c r="L1398" s="4" t="str">
        <f>IFERROR(__xludf.DUMMYFUNCTION("""COMPUTED_VALUE"""),"")</f>
        <v/>
      </c>
      <c r="M1398" s="1" t="str">
        <f>IFERROR(__xludf.DUMMYFUNCTION("""COMPUTED_VALUE"""),"RFID")</f>
        <v>RFID</v>
      </c>
      <c r="N1398" s="5" t="str">
        <f>IFERROR(__xludf.DUMMYFUNCTION("""COMPUTED_VALUE"""),"")</f>
        <v/>
      </c>
      <c r="O1398" s="5" t="str">
        <f>IFERROR(__xludf.DUMMYFUNCTION("""COMPUTED_VALUE"""),"")</f>
        <v/>
      </c>
      <c r="P1398" s="5" t="str">
        <f>IFERROR(__xludf.DUMMYFUNCTION("""COMPUTED_VALUE"""),"")</f>
        <v/>
      </c>
      <c r="Q1398" s="5" t="str">
        <f>IFERROR(__xludf.DUMMYFUNCTION("""COMPUTED_VALUE"""),"")</f>
        <v/>
      </c>
      <c r="R1398" s="4" t="str">
        <f>IFERROR(__xludf.DUMMYFUNCTION("""COMPUTED_VALUE"""),"")</f>
        <v/>
      </c>
      <c r="S1398" s="1" t="b">
        <f>IFERROR(__xludf.DUMMYFUNCTION("""COMPUTED_VALUE"""),FALSE)</f>
        <v>0</v>
      </c>
      <c r="T1398" s="1" t="b">
        <f>IFERROR(__xludf.DUMMYFUNCTION("""COMPUTED_VALUE"""),FALSE)</f>
        <v>0</v>
      </c>
      <c r="U1398" s="1" t="str">
        <f>IFERROR(__xludf.DUMMYFUNCTION("""COMPUTED_VALUE"""),"DSQ")</f>
        <v>DSQ</v>
      </c>
      <c r="V1398" s="1" t="str">
        <f>IFERROR(__xludf.DUMMYFUNCTION("""COMPUTED_VALUE"""),"DSQ")</f>
        <v>DSQ</v>
      </c>
      <c r="W1398" s="1" t="str">
        <f>IFERROR(__xludf.DUMMYFUNCTION("""COMPUTED_VALUE"""),"DSQ")</f>
        <v>DSQ</v>
      </c>
      <c r="X1398" s="1" t="str">
        <f>IFERROR(__xludf.DUMMYFUNCTION("""COMPUTED_VALUE"""),"DSQ")</f>
        <v>DSQ</v>
      </c>
      <c r="Y1398" s="2"/>
      <c r="Z1398" s="2" t="str">
        <f>IFERROR(__xludf.DUMMYFUNCTION("""COMPUTED_VALUE"""),"")</f>
        <v/>
      </c>
    </row>
    <row r="1399">
      <c r="A1399" s="1">
        <f>IFERROR(__xludf.DUMMYFUNCTION("""COMPUTED_VALUE"""),1398.0)</f>
        <v>1398</v>
      </c>
      <c r="B1399" s="1">
        <f>IFERROR(__xludf.DUMMYFUNCTION("""COMPUTED_VALUE"""),5872.0)</f>
        <v>5872</v>
      </c>
      <c r="C1399" s="2" t="str">
        <f>IFERROR(__xludf.DUMMYFUNCTION("""COMPUTED_VALUE"""),"Kinasih")</f>
        <v>Kinasih</v>
      </c>
      <c r="D1399" s="2" t="str">
        <f>IFERROR(__xludf.DUMMYFUNCTION("""COMPUTED_VALUE"""),"5KM OVERALL F")</f>
        <v>5KM OVERALL F</v>
      </c>
      <c r="E1399" s="1">
        <f>IFERROR(__xludf.DUMMYFUNCTION("""COMPUTED_VALUE"""),2.0)</f>
        <v>2</v>
      </c>
      <c r="F1399" s="1" t="str">
        <f>IFERROR(__xludf.DUMMYFUNCTION("""COMPUTED_VALUE"""),"Female")</f>
        <v>Female</v>
      </c>
      <c r="G1399" s="4" t="b">
        <f>IFERROR(__xludf.DUMMYFUNCTION("""COMPUTED_VALUE"""),TRUE)</f>
        <v>1</v>
      </c>
      <c r="H1399" s="4" t="b">
        <f>IFERROR(__xludf.DUMMYFUNCTION("""COMPUTED_VALUE"""),TRUE)</f>
        <v>1</v>
      </c>
      <c r="I1399" s="4">
        <f>IFERROR(__xludf.DUMMYFUNCTION("""COMPUTED_VALUE"""),0.2549440625)</f>
        <v>0.2549440625</v>
      </c>
      <c r="J1399" s="4">
        <f>IFERROR(__xludf.DUMMYFUNCTION("""COMPUTED_VALUE"""),45949.271106561195)</f>
        <v>45949.27111</v>
      </c>
      <c r="K1399" s="4" t="str">
        <f>IFERROR(__xludf.DUMMYFUNCTION("""COMPUTED_VALUE"""),"")</f>
        <v/>
      </c>
      <c r="L1399" s="4">
        <f>IFERROR(__xludf.DUMMYFUNCTION("""COMPUTED_VALUE"""),45949.28131481248)</f>
        <v>45949.28131</v>
      </c>
      <c r="M1399" s="1" t="str">
        <f>IFERROR(__xludf.DUMMYFUNCTION("""COMPUTED_VALUE"""),"RFID")</f>
        <v>RFID</v>
      </c>
      <c r="N1399" s="5">
        <f>IFERROR(__xludf.DUMMYFUNCTION("""COMPUTED_VALUE"""),0.006465)</f>
        <v>0.006465</v>
      </c>
      <c r="O1399" s="5" t="str">
        <f>IFERROR(__xludf.DUMMYFUNCTION("""COMPUTED_VALUE"""),"")</f>
        <v/>
      </c>
      <c r="P1399" s="5" t="str">
        <f>IFERROR(__xludf.DUMMYFUNCTION("""COMPUTED_VALUE"""),"")</f>
        <v/>
      </c>
      <c r="Q1399" s="5">
        <f>IFERROR(__xludf.DUMMYFUNCTION("""COMPUTED_VALUE"""),0.005274150462962963)</f>
        <v>0.005274150463</v>
      </c>
      <c r="R1399" s="4">
        <f>IFERROR(__xludf.DUMMYFUNCTION("""COMPUTED_VALUE"""),45949.026370749976)</f>
        <v>45949.02637</v>
      </c>
      <c r="S1399" s="1" t="b">
        <f>IFERROR(__xludf.DUMMYFUNCTION("""COMPUTED_VALUE"""),TRUE)</f>
        <v>1</v>
      </c>
      <c r="T1399" s="1" t="b">
        <f>IFERROR(__xludf.DUMMYFUNCTION("""COMPUTED_VALUE"""),FALSE)</f>
        <v>0</v>
      </c>
      <c r="U1399" s="1" t="str">
        <f>IFERROR(__xludf.DUMMYFUNCTION("""COMPUTED_VALUE"""),"VALID")</f>
        <v>VALID</v>
      </c>
      <c r="V1399" s="1">
        <f>IFERROR(__xludf.DUMMYFUNCTION("""COMPUTED_VALUE"""),31.0)</f>
        <v>31</v>
      </c>
      <c r="W1399" s="1">
        <f>IFERROR(__xludf.DUMMYFUNCTION("""COMPUTED_VALUE"""),351.0)</f>
        <v>351</v>
      </c>
      <c r="X1399" s="1">
        <f>IFERROR(__xludf.DUMMYFUNCTION("""COMPUTED_VALUE"""),49.0)</f>
        <v>49</v>
      </c>
      <c r="Y1399" s="2"/>
      <c r="Z1399" s="2"/>
    </row>
    <row r="1400">
      <c r="A1400" s="1">
        <f>IFERROR(__xludf.DUMMYFUNCTION("""COMPUTED_VALUE"""),1399.0)</f>
        <v>1399</v>
      </c>
      <c r="B1400" s="1">
        <f>IFERROR(__xludf.DUMMYFUNCTION("""COMPUTED_VALUE"""),5873.0)</f>
        <v>5873</v>
      </c>
      <c r="C1400" s="2" t="str">
        <f>IFERROR(__xludf.DUMMYFUNCTION("""COMPUTED_VALUE"""),"Najiha Tantri Yuniati")</f>
        <v>Najiha Tantri Yuniati</v>
      </c>
      <c r="D1400" s="2" t="str">
        <f>IFERROR(__xludf.DUMMYFUNCTION("""COMPUTED_VALUE"""),"5KM OVERALL F")</f>
        <v>5KM OVERALL F</v>
      </c>
      <c r="E1400" s="1">
        <f>IFERROR(__xludf.DUMMYFUNCTION("""COMPUTED_VALUE"""),2.0)</f>
        <v>2</v>
      </c>
      <c r="F1400" s="1" t="str">
        <f>IFERROR(__xludf.DUMMYFUNCTION("""COMPUTED_VALUE"""),"Female")</f>
        <v>Female</v>
      </c>
      <c r="G1400" s="4" t="b">
        <f>IFERROR(__xludf.DUMMYFUNCTION("""COMPUTED_VALUE"""),TRUE)</f>
        <v>1</v>
      </c>
      <c r="H1400" s="4" t="b">
        <f>IFERROR(__xludf.DUMMYFUNCTION("""COMPUTED_VALUE"""),TRUE)</f>
        <v>1</v>
      </c>
      <c r="I1400" s="4">
        <f>IFERROR(__xludf.DUMMYFUNCTION("""COMPUTED_VALUE"""),0.2549440625)</f>
        <v>0.2549440625</v>
      </c>
      <c r="J1400" s="4">
        <f>IFERROR(__xludf.DUMMYFUNCTION("""COMPUTED_VALUE"""),45949.27708919945)</f>
        <v>45949.27709</v>
      </c>
      <c r="K1400" s="4" t="str">
        <f>IFERROR(__xludf.DUMMYFUNCTION("""COMPUTED_VALUE"""),"")</f>
        <v/>
      </c>
      <c r="L1400" s="4">
        <f>IFERROR(__xludf.DUMMYFUNCTION("""COMPUTED_VALUE"""),45949.292630049815)</f>
        <v>45949.29263</v>
      </c>
      <c r="M1400" s="1" t="str">
        <f>IFERROR(__xludf.DUMMYFUNCTION("""COMPUTED_VALUE"""),"RFID")</f>
        <v>RFID</v>
      </c>
      <c r="N1400" s="5">
        <f>IFERROR(__xludf.DUMMYFUNCTION("""COMPUTED_VALUE"""),0.008858055555555555)</f>
        <v>0.008858055556</v>
      </c>
      <c r="O1400" s="5" t="str">
        <f>IFERROR(__xludf.DUMMYFUNCTION("""COMPUTED_VALUE"""),"")</f>
        <v/>
      </c>
      <c r="P1400" s="5" t="str">
        <f>IFERROR(__xludf.DUMMYFUNCTION("""COMPUTED_VALUE"""),"")</f>
        <v/>
      </c>
      <c r="Q1400" s="5">
        <f>IFERROR(__xludf.DUMMYFUNCTION("""COMPUTED_VALUE"""),0.00753719675925926)</f>
        <v>0.007537196759</v>
      </c>
      <c r="R1400" s="4">
        <f>IFERROR(__xludf.DUMMYFUNCTION("""COMPUTED_VALUE"""),45949.037685987314)</f>
        <v>45949.03769</v>
      </c>
      <c r="S1400" s="1" t="b">
        <f>IFERROR(__xludf.DUMMYFUNCTION("""COMPUTED_VALUE"""),TRUE)</f>
        <v>1</v>
      </c>
      <c r="T1400" s="1" t="b">
        <f>IFERROR(__xludf.DUMMYFUNCTION("""COMPUTED_VALUE"""),FALSE)</f>
        <v>0</v>
      </c>
      <c r="U1400" s="1" t="str">
        <f>IFERROR(__xludf.DUMMYFUNCTION("""COMPUTED_VALUE"""),"VALID")</f>
        <v>VALID</v>
      </c>
      <c r="V1400" s="1">
        <f>IFERROR(__xludf.DUMMYFUNCTION("""COMPUTED_VALUE"""),241.0)</f>
        <v>241</v>
      </c>
      <c r="W1400" s="1">
        <f>IFERROR(__xludf.DUMMYFUNCTION("""COMPUTED_VALUE"""),1077.0)</f>
        <v>1077</v>
      </c>
      <c r="X1400" s="1">
        <f>IFERROR(__xludf.DUMMYFUNCTION("""COMPUTED_VALUE"""),296.0)</f>
        <v>296</v>
      </c>
      <c r="Y1400" s="2"/>
      <c r="Z1400" s="2"/>
    </row>
    <row r="1401">
      <c r="A1401" s="1">
        <f>IFERROR(__xludf.DUMMYFUNCTION("""COMPUTED_VALUE"""),1400.0)</f>
        <v>1400</v>
      </c>
      <c r="B1401" s="1">
        <f>IFERROR(__xludf.DUMMYFUNCTION("""COMPUTED_VALUE"""),5880.0)</f>
        <v>5880</v>
      </c>
      <c r="C1401" s="2" t="str">
        <f>IFERROR(__xludf.DUMMYFUNCTION("""COMPUTED_VALUE"""),"rizkiya")</f>
        <v>rizkiya</v>
      </c>
      <c r="D1401" s="2" t="str">
        <f>IFERROR(__xludf.DUMMYFUNCTION("""COMPUTED_VALUE"""),"5KM OVERALL F")</f>
        <v>5KM OVERALL F</v>
      </c>
      <c r="E1401" s="1">
        <f>IFERROR(__xludf.DUMMYFUNCTION("""COMPUTED_VALUE"""),2.0)</f>
        <v>2</v>
      </c>
      <c r="F1401" s="1" t="str">
        <f>IFERROR(__xludf.DUMMYFUNCTION("""COMPUTED_VALUE"""),"Female")</f>
        <v>Female</v>
      </c>
      <c r="G1401" s="4" t="b">
        <f>IFERROR(__xludf.DUMMYFUNCTION("""COMPUTED_VALUE"""),TRUE)</f>
        <v>1</v>
      </c>
      <c r="H1401" s="4" t="b">
        <f>IFERROR(__xludf.DUMMYFUNCTION("""COMPUTED_VALUE"""),TRUE)</f>
        <v>1</v>
      </c>
      <c r="I1401" s="4">
        <f>IFERROR(__xludf.DUMMYFUNCTION("""COMPUTED_VALUE"""),0.2549440625)</f>
        <v>0.2549440625</v>
      </c>
      <c r="J1401" s="4">
        <f>IFERROR(__xludf.DUMMYFUNCTION("""COMPUTED_VALUE"""),45949.265235015184)</f>
        <v>45949.26524</v>
      </c>
      <c r="K1401" s="4" t="str">
        <f>IFERROR(__xludf.DUMMYFUNCTION("""COMPUTED_VALUE"""),"")</f>
        <v/>
      </c>
      <c r="L1401" s="4">
        <f>IFERROR(__xludf.DUMMYFUNCTION("""COMPUTED_VALUE"""),45949.27386261952)</f>
        <v>45949.27386</v>
      </c>
      <c r="M1401" s="1" t="str">
        <f>IFERROR(__xludf.DUMMYFUNCTION("""COMPUTED_VALUE"""),"RFID")</f>
        <v>RFID</v>
      </c>
      <c r="N1401" s="5">
        <f>IFERROR(__xludf.DUMMYFUNCTION("""COMPUTED_VALUE"""),0.0041163796296296296)</f>
        <v>0.00411637963</v>
      </c>
      <c r="O1401" s="5" t="str">
        <f>IFERROR(__xludf.DUMMYFUNCTION("""COMPUTED_VALUE"""),"")</f>
        <v/>
      </c>
      <c r="P1401" s="5" t="str">
        <f>IFERROR(__xludf.DUMMYFUNCTION("""COMPUTED_VALUE"""),"")</f>
        <v/>
      </c>
      <c r="Q1401" s="5">
        <f>IFERROR(__xludf.DUMMYFUNCTION("""COMPUTED_VALUE"""),0.003783710648148148)</f>
        <v>0.003783710648</v>
      </c>
      <c r="R1401" s="4">
        <f>IFERROR(__xludf.DUMMYFUNCTION("""COMPUTED_VALUE"""),45949.01891855702)</f>
        <v>45949.01892</v>
      </c>
      <c r="S1401" s="1" t="b">
        <f>IFERROR(__xludf.DUMMYFUNCTION("""COMPUTED_VALUE"""),TRUE)</f>
        <v>1</v>
      </c>
      <c r="T1401" s="1" t="b">
        <f>IFERROR(__xludf.DUMMYFUNCTION("""COMPUTED_VALUE"""),FALSE)</f>
        <v>0</v>
      </c>
      <c r="U1401" s="1" t="str">
        <f>IFERROR(__xludf.DUMMYFUNCTION("""COMPUTED_VALUE"""),"VALID")</f>
        <v>VALID</v>
      </c>
      <c r="V1401" s="1">
        <f>IFERROR(__xludf.DUMMYFUNCTION("""COMPUTED_VALUE"""),6.0)</f>
        <v>6</v>
      </c>
      <c r="W1401" s="1">
        <f>IFERROR(__xludf.DUMMYFUNCTION("""COMPUTED_VALUE"""),83.0)</f>
        <v>83</v>
      </c>
      <c r="X1401" s="1">
        <f>IFERROR(__xludf.DUMMYFUNCTION("""COMPUTED_VALUE"""),9.0)</f>
        <v>9</v>
      </c>
      <c r="Y1401" s="2"/>
      <c r="Z1401" s="2"/>
    </row>
    <row r="1402">
      <c r="A1402" s="1">
        <f>IFERROR(__xludf.DUMMYFUNCTION("""COMPUTED_VALUE"""),1401.0)</f>
        <v>1401</v>
      </c>
      <c r="B1402" s="1">
        <f>IFERROR(__xludf.DUMMYFUNCTION("""COMPUTED_VALUE"""),5881.0)</f>
        <v>5881</v>
      </c>
      <c r="C1402" s="2" t="str">
        <f>IFERROR(__xludf.DUMMYFUNCTION("""COMPUTED_VALUE"""),"Silvia Sari")</f>
        <v>Silvia Sari</v>
      </c>
      <c r="D1402" s="2" t="str">
        <f>IFERROR(__xludf.DUMMYFUNCTION("""COMPUTED_VALUE"""),"5KM OVERALL F")</f>
        <v>5KM OVERALL F</v>
      </c>
      <c r="E1402" s="1">
        <f>IFERROR(__xludf.DUMMYFUNCTION("""COMPUTED_VALUE"""),2.0)</f>
        <v>2</v>
      </c>
      <c r="F1402" s="1" t="str">
        <f>IFERROR(__xludf.DUMMYFUNCTION("""COMPUTED_VALUE"""),"Female")</f>
        <v>Female</v>
      </c>
      <c r="G1402" s="4" t="b">
        <f>IFERROR(__xludf.DUMMYFUNCTION("""COMPUTED_VALUE"""),TRUE)</f>
        <v>1</v>
      </c>
      <c r="H1402" s="4" t="b">
        <f>IFERROR(__xludf.DUMMYFUNCTION("""COMPUTED_VALUE"""),FALSE)</f>
        <v>0</v>
      </c>
      <c r="I1402" s="4">
        <f>IFERROR(__xludf.DUMMYFUNCTION("""COMPUTED_VALUE"""),0.2549440625)</f>
        <v>0.2549440625</v>
      </c>
      <c r="J1402" s="4">
        <f>IFERROR(__xludf.DUMMYFUNCTION("""COMPUTED_VALUE"""),45949.27631143298)</f>
        <v>45949.27631</v>
      </c>
      <c r="K1402" s="4" t="str">
        <f>IFERROR(__xludf.DUMMYFUNCTION("""COMPUTED_VALUE"""),"")</f>
        <v/>
      </c>
      <c r="L1402" s="4">
        <f>IFERROR(__xludf.DUMMYFUNCTION("""COMPUTED_VALUE"""),45949.293359160794)</f>
        <v>45949.29336</v>
      </c>
      <c r="M1402" s="1" t="str">
        <f>IFERROR(__xludf.DUMMYFUNCTION("""COMPUTED_VALUE"""),"RFID")</f>
        <v>RFID</v>
      </c>
      <c r="N1402" s="5">
        <f>IFERROR(__xludf.DUMMYFUNCTION("""COMPUTED_VALUE"""),0.008546949074074075)</f>
        <v>0.008546949074</v>
      </c>
      <c r="O1402" s="5" t="str">
        <f>IFERROR(__xludf.DUMMYFUNCTION("""COMPUTED_VALUE"""),"")</f>
        <v/>
      </c>
      <c r="P1402" s="5" t="str">
        <f>IFERROR(__xludf.DUMMYFUNCTION("""COMPUTED_VALUE"""),"")</f>
        <v/>
      </c>
      <c r="Q1402" s="5">
        <f>IFERROR(__xludf.DUMMYFUNCTION("""COMPUTED_VALUE"""),0.007683018518518518)</f>
        <v>0.007683018519</v>
      </c>
      <c r="R1402" s="4">
        <f>IFERROR(__xludf.DUMMYFUNCTION("""COMPUTED_VALUE"""),45949.03841509829)</f>
        <v>45949.03842</v>
      </c>
      <c r="S1402" s="1" t="b">
        <f>IFERROR(__xludf.DUMMYFUNCTION("""COMPUTED_VALUE"""),TRUE)</f>
        <v>1</v>
      </c>
      <c r="T1402" s="1" t="b">
        <f>IFERROR(__xludf.DUMMYFUNCTION("""COMPUTED_VALUE"""),FALSE)</f>
        <v>0</v>
      </c>
      <c r="U1402" s="1" t="str">
        <f>IFERROR(__xludf.DUMMYFUNCTION("""COMPUTED_VALUE"""),"VALID")</f>
        <v>VALID</v>
      </c>
      <c r="V1402" s="1">
        <f>IFERROR(__xludf.DUMMYFUNCTION("""COMPUTED_VALUE"""),265.0)</f>
        <v>265</v>
      </c>
      <c r="W1402" s="1">
        <f>IFERROR(__xludf.DUMMYFUNCTION("""COMPUTED_VALUE"""),1127.0)</f>
        <v>1127</v>
      </c>
      <c r="X1402" s="1">
        <f>IFERROR(__xludf.DUMMYFUNCTION("""COMPUTED_VALUE"""),324.0)</f>
        <v>324</v>
      </c>
      <c r="Y1402" s="2"/>
      <c r="Z1402" s="2"/>
    </row>
    <row r="1403">
      <c r="A1403" s="1">
        <f>IFERROR(__xludf.DUMMYFUNCTION("""COMPUTED_VALUE"""),1402.0)</f>
        <v>1402</v>
      </c>
      <c r="B1403" s="1">
        <f>IFERROR(__xludf.DUMMYFUNCTION("""COMPUTED_VALUE"""),5882.0)</f>
        <v>5882</v>
      </c>
      <c r="C1403" s="2" t="str">
        <f>IFERROR(__xludf.DUMMYFUNCTION("""COMPUTED_VALUE"""),"Lieya")</f>
        <v>Lieya</v>
      </c>
      <c r="D1403" s="2" t="str">
        <f>IFERROR(__xludf.DUMMYFUNCTION("""COMPUTED_VALUE"""),"5KM OVERALL F")</f>
        <v>5KM OVERALL F</v>
      </c>
      <c r="E1403" s="1">
        <f>IFERROR(__xludf.DUMMYFUNCTION("""COMPUTED_VALUE"""),2.0)</f>
        <v>2</v>
      </c>
      <c r="F1403" s="1" t="str">
        <f>IFERROR(__xludf.DUMMYFUNCTION("""COMPUTED_VALUE"""),"Female")</f>
        <v>Female</v>
      </c>
      <c r="G1403" s="4" t="b">
        <f>IFERROR(__xludf.DUMMYFUNCTION("""COMPUTED_VALUE"""),TRUE)</f>
        <v>1</v>
      </c>
      <c r="H1403" s="4" t="b">
        <f>IFERROR(__xludf.DUMMYFUNCTION("""COMPUTED_VALUE"""),TRUE)</f>
        <v>1</v>
      </c>
      <c r="I1403" s="4">
        <f>IFERROR(__xludf.DUMMYFUNCTION("""COMPUTED_VALUE"""),0.2549440625)</f>
        <v>0.2549440625</v>
      </c>
      <c r="J1403" s="4">
        <f>IFERROR(__xludf.DUMMYFUNCTION("""COMPUTED_VALUE"""),45949.27978016749)</f>
        <v>45949.27978</v>
      </c>
      <c r="K1403" s="4" t="str">
        <f>IFERROR(__xludf.DUMMYFUNCTION("""COMPUTED_VALUE"""),"")</f>
        <v/>
      </c>
      <c r="L1403" s="4">
        <f>IFERROR(__xludf.DUMMYFUNCTION("""COMPUTED_VALUE"""),45949.29780364938)</f>
        <v>45949.2978</v>
      </c>
      <c r="M1403" s="1" t="str">
        <f>IFERROR(__xludf.DUMMYFUNCTION("""COMPUTED_VALUE"""),"RFID")</f>
        <v>RFID</v>
      </c>
      <c r="N1403" s="5">
        <f>IFERROR(__xludf.DUMMYFUNCTION("""COMPUTED_VALUE"""),0.009934439814814814)</f>
        <v>0.009934439815</v>
      </c>
      <c r="O1403" s="5" t="str">
        <f>IFERROR(__xludf.DUMMYFUNCTION("""COMPUTED_VALUE"""),"")</f>
        <v/>
      </c>
      <c r="P1403" s="5" t="str">
        <f>IFERROR(__xludf.DUMMYFUNCTION("""COMPUTED_VALUE"""),"")</f>
        <v/>
      </c>
      <c r="Q1403" s="5">
        <f>IFERROR(__xludf.DUMMYFUNCTION("""COMPUTED_VALUE"""),0.008571916666666667)</f>
        <v>0.008571916667</v>
      </c>
      <c r="R1403" s="4">
        <f>IFERROR(__xludf.DUMMYFUNCTION("""COMPUTED_VALUE"""),45949.04285958688)</f>
        <v>45949.04286</v>
      </c>
      <c r="S1403" s="1" t="b">
        <f>IFERROR(__xludf.DUMMYFUNCTION("""COMPUTED_VALUE"""),TRUE)</f>
        <v>1</v>
      </c>
      <c r="T1403" s="1" t="b">
        <f>IFERROR(__xludf.DUMMYFUNCTION("""COMPUTED_VALUE"""),FALSE)</f>
        <v>0</v>
      </c>
      <c r="U1403" s="1" t="str">
        <f>IFERROR(__xludf.DUMMYFUNCTION("""COMPUTED_VALUE"""),"VALID")</f>
        <v>VALID</v>
      </c>
      <c r="V1403" s="1">
        <f>IFERROR(__xludf.DUMMYFUNCTION("""COMPUTED_VALUE"""),373.0)</f>
        <v>373</v>
      </c>
      <c r="W1403" s="1">
        <f>IFERROR(__xludf.DUMMYFUNCTION("""COMPUTED_VALUE"""),1358.0)</f>
        <v>1358</v>
      </c>
      <c r="X1403" s="1">
        <f>IFERROR(__xludf.DUMMYFUNCTION("""COMPUTED_VALUE"""),452.0)</f>
        <v>452</v>
      </c>
      <c r="Y1403" s="2"/>
      <c r="Z1403" s="2"/>
    </row>
    <row r="1404">
      <c r="A1404" s="1">
        <f>IFERROR(__xludf.DUMMYFUNCTION("""COMPUTED_VALUE"""),1403.0)</f>
        <v>1403</v>
      </c>
      <c r="B1404" s="1">
        <f>IFERROR(__xludf.DUMMYFUNCTION("""COMPUTED_VALUE"""),5883.0)</f>
        <v>5883</v>
      </c>
      <c r="C1404" s="2" t="str">
        <f>IFERROR(__xludf.DUMMYFUNCTION("""COMPUTED_VALUE"""),"Bukadaco")</f>
        <v>Bukadaco</v>
      </c>
      <c r="D1404" s="2" t="str">
        <f>IFERROR(__xludf.DUMMYFUNCTION("""COMPUTED_VALUE"""),"5KM OVERALL F")</f>
        <v>5KM OVERALL F</v>
      </c>
      <c r="E1404" s="1">
        <f>IFERROR(__xludf.DUMMYFUNCTION("""COMPUTED_VALUE"""),2.0)</f>
        <v>2</v>
      </c>
      <c r="F1404" s="1" t="str">
        <f>IFERROR(__xludf.DUMMYFUNCTION("""COMPUTED_VALUE"""),"Female")</f>
        <v>Female</v>
      </c>
      <c r="G1404" s="4" t="b">
        <f>IFERROR(__xludf.DUMMYFUNCTION("""COMPUTED_VALUE"""),TRUE)</f>
        <v>1</v>
      </c>
      <c r="H1404" s="4" t="b">
        <f>IFERROR(__xludf.DUMMYFUNCTION("""COMPUTED_VALUE"""),TRUE)</f>
        <v>1</v>
      </c>
      <c r="I1404" s="4">
        <f>IFERROR(__xludf.DUMMYFUNCTION("""COMPUTED_VALUE"""),0.2549440625)</f>
        <v>0.2549440625</v>
      </c>
      <c r="J1404" s="4">
        <f>IFERROR(__xludf.DUMMYFUNCTION("""COMPUTED_VALUE"""),45949.272596190414)</f>
        <v>45949.2726</v>
      </c>
      <c r="K1404" s="4" t="str">
        <f>IFERROR(__xludf.DUMMYFUNCTION("""COMPUTED_VALUE"""),"")</f>
        <v/>
      </c>
      <c r="L1404" s="4">
        <f>IFERROR(__xludf.DUMMYFUNCTION("""COMPUTED_VALUE"""),45949.28541476889)</f>
        <v>45949.28541</v>
      </c>
      <c r="M1404" s="1" t="str">
        <f>IFERROR(__xludf.DUMMYFUNCTION("""COMPUTED_VALUE"""),"RFID")</f>
        <v>RFID</v>
      </c>
      <c r="N1404" s="5">
        <f>IFERROR(__xludf.DUMMYFUNCTION("""COMPUTED_VALUE"""),0.007060851851851851)</f>
        <v>0.007060851852</v>
      </c>
      <c r="O1404" s="5" t="str">
        <f>IFERROR(__xludf.DUMMYFUNCTION("""COMPUTED_VALUE"""),"")</f>
        <v/>
      </c>
      <c r="P1404" s="5" t="str">
        <f>IFERROR(__xludf.DUMMYFUNCTION("""COMPUTED_VALUE"""),"")</f>
        <v/>
      </c>
      <c r="Q1404" s="5">
        <f>IFERROR(__xludf.DUMMYFUNCTION("""COMPUTED_VALUE"""),0.006094141203703703)</f>
        <v>0.006094141204</v>
      </c>
      <c r="R1404" s="4">
        <f>IFERROR(__xludf.DUMMYFUNCTION("""COMPUTED_VALUE"""),45949.03047070639)</f>
        <v>45949.03047</v>
      </c>
      <c r="S1404" s="1" t="b">
        <f>IFERROR(__xludf.DUMMYFUNCTION("""COMPUTED_VALUE"""),TRUE)</f>
        <v>1</v>
      </c>
      <c r="T1404" s="1" t="b">
        <f>IFERROR(__xludf.DUMMYFUNCTION("""COMPUTED_VALUE"""),FALSE)</f>
        <v>0</v>
      </c>
      <c r="U1404" s="1" t="str">
        <f>IFERROR(__xludf.DUMMYFUNCTION("""COMPUTED_VALUE"""),"VALID")</f>
        <v>VALID</v>
      </c>
      <c r="V1404" s="1">
        <f>IFERROR(__xludf.DUMMYFUNCTION("""COMPUTED_VALUE"""),81.0)</f>
        <v>81</v>
      </c>
      <c r="W1404" s="1">
        <f>IFERROR(__xludf.DUMMYFUNCTION("""COMPUTED_VALUE"""),598.0)</f>
        <v>598</v>
      </c>
      <c r="X1404" s="1">
        <f>IFERROR(__xludf.DUMMYFUNCTION("""COMPUTED_VALUE"""),104.0)</f>
        <v>104</v>
      </c>
      <c r="Y1404" s="2"/>
      <c r="Z1404" s="2"/>
    </row>
    <row r="1405">
      <c r="A1405" s="1">
        <f>IFERROR(__xludf.DUMMYFUNCTION("""COMPUTED_VALUE"""),1404.0)</f>
        <v>1404</v>
      </c>
      <c r="B1405" s="1">
        <f>IFERROR(__xludf.DUMMYFUNCTION("""COMPUTED_VALUE"""),5885.0)</f>
        <v>5885</v>
      </c>
      <c r="C1405" s="2" t="str">
        <f>IFERROR(__xludf.DUMMYFUNCTION("""COMPUTED_VALUE"""),"Nanad")</f>
        <v>Nanad</v>
      </c>
      <c r="D1405" s="2" t="str">
        <f>IFERROR(__xludf.DUMMYFUNCTION("""COMPUTED_VALUE"""),"5KM OVERALL F")</f>
        <v>5KM OVERALL F</v>
      </c>
      <c r="E1405" s="1">
        <f>IFERROR(__xludf.DUMMYFUNCTION("""COMPUTED_VALUE"""),2.0)</f>
        <v>2</v>
      </c>
      <c r="F1405" s="1" t="str">
        <f>IFERROR(__xludf.DUMMYFUNCTION("""COMPUTED_VALUE"""),"Female")</f>
        <v>Female</v>
      </c>
      <c r="G1405" s="4" t="b">
        <f>IFERROR(__xludf.DUMMYFUNCTION("""COMPUTED_VALUE"""),TRUE)</f>
        <v>1</v>
      </c>
      <c r="H1405" s="4" t="b">
        <f>IFERROR(__xludf.DUMMYFUNCTION("""COMPUTED_VALUE"""),TRUE)</f>
        <v>1</v>
      </c>
      <c r="I1405" s="4">
        <f>IFERROR(__xludf.DUMMYFUNCTION("""COMPUTED_VALUE"""),0.2549440625)</f>
        <v>0.2549440625</v>
      </c>
      <c r="J1405" s="4">
        <f>IFERROR(__xludf.DUMMYFUNCTION("""COMPUTED_VALUE"""),45949.27420724117)</f>
        <v>45949.27421</v>
      </c>
      <c r="K1405" s="4" t="str">
        <f>IFERROR(__xludf.DUMMYFUNCTION("""COMPUTED_VALUE"""),"")</f>
        <v/>
      </c>
      <c r="L1405" s="4">
        <f>IFERROR(__xludf.DUMMYFUNCTION("""COMPUTED_VALUE"""),45949.28736963294)</f>
        <v>45949.28737</v>
      </c>
      <c r="M1405" s="1" t="str">
        <f>IFERROR(__xludf.DUMMYFUNCTION("""COMPUTED_VALUE"""),"RFID")</f>
        <v>RFID</v>
      </c>
      <c r="N1405" s="5">
        <f>IFERROR(__xludf.DUMMYFUNCTION("""COMPUTED_VALUE"""),0.007705273148148148)</f>
        <v>0.007705273148</v>
      </c>
      <c r="O1405" s="5" t="str">
        <f>IFERROR(__xludf.DUMMYFUNCTION("""COMPUTED_VALUE"""),"")</f>
        <v/>
      </c>
      <c r="P1405" s="5" t="str">
        <f>IFERROR(__xludf.DUMMYFUNCTION("""COMPUTED_VALUE"""),"")</f>
        <v/>
      </c>
      <c r="Q1405" s="5">
        <f>IFERROR(__xludf.DUMMYFUNCTION("""COMPUTED_VALUE"""),0.006485113425925925)</f>
        <v>0.006485113426</v>
      </c>
      <c r="R1405" s="4">
        <f>IFERROR(__xludf.DUMMYFUNCTION("""COMPUTED_VALUE"""),45949.03242557044)</f>
        <v>45949.03243</v>
      </c>
      <c r="S1405" s="1" t="b">
        <f>IFERROR(__xludf.DUMMYFUNCTION("""COMPUTED_VALUE"""),TRUE)</f>
        <v>1</v>
      </c>
      <c r="T1405" s="1" t="b">
        <f>IFERROR(__xludf.DUMMYFUNCTION("""COMPUTED_VALUE"""),FALSE)</f>
        <v>0</v>
      </c>
      <c r="U1405" s="1" t="str">
        <f>IFERROR(__xludf.DUMMYFUNCTION("""COMPUTED_VALUE"""),"VALID")</f>
        <v>VALID</v>
      </c>
      <c r="V1405" s="1">
        <f>IFERROR(__xludf.DUMMYFUNCTION("""COMPUTED_VALUE"""),112.0)</f>
        <v>112</v>
      </c>
      <c r="W1405" s="1">
        <f>IFERROR(__xludf.DUMMYFUNCTION("""COMPUTED_VALUE"""),725.0)</f>
        <v>725</v>
      </c>
      <c r="X1405" s="1">
        <f>IFERROR(__xludf.DUMMYFUNCTION("""COMPUTED_VALUE"""),141.0)</f>
        <v>141</v>
      </c>
      <c r="Y1405" s="2"/>
      <c r="Z1405" s="2"/>
    </row>
    <row r="1406">
      <c r="A1406" s="1">
        <f>IFERROR(__xludf.DUMMYFUNCTION("""COMPUTED_VALUE"""),1405.0)</f>
        <v>1405</v>
      </c>
      <c r="B1406" s="1">
        <f>IFERROR(__xludf.DUMMYFUNCTION("""COMPUTED_VALUE"""),5888.0)</f>
        <v>5888</v>
      </c>
      <c r="C1406" s="2" t="str">
        <f>IFERROR(__xludf.DUMMYFUNCTION("""COMPUTED_VALUE"""),"Enokenok")</f>
        <v>Enokenok</v>
      </c>
      <c r="D1406" s="2" t="str">
        <f>IFERROR(__xludf.DUMMYFUNCTION("""COMPUTED_VALUE"""),"5KM OVERALL F")</f>
        <v>5KM OVERALL F</v>
      </c>
      <c r="E1406" s="1">
        <f>IFERROR(__xludf.DUMMYFUNCTION("""COMPUTED_VALUE"""),2.0)</f>
        <v>2</v>
      </c>
      <c r="F1406" s="1" t="str">
        <f>IFERROR(__xludf.DUMMYFUNCTION("""COMPUTED_VALUE"""),"Female")</f>
        <v>Female</v>
      </c>
      <c r="G1406" s="4" t="b">
        <f>IFERROR(__xludf.DUMMYFUNCTION("""COMPUTED_VALUE"""),TRUE)</f>
        <v>1</v>
      </c>
      <c r="H1406" s="4" t="b">
        <f>IFERROR(__xludf.DUMMYFUNCTION("""COMPUTED_VALUE"""),FALSE)</f>
        <v>0</v>
      </c>
      <c r="I1406" s="4">
        <f>IFERROR(__xludf.DUMMYFUNCTION("""COMPUTED_VALUE"""),0.2549440625)</f>
        <v>0.2549440625</v>
      </c>
      <c r="J1406" s="4">
        <f>IFERROR(__xludf.DUMMYFUNCTION("""COMPUTED_VALUE"""),45949.280401722244)</f>
        <v>45949.2804</v>
      </c>
      <c r="K1406" s="4" t="str">
        <f>IFERROR(__xludf.DUMMYFUNCTION("""COMPUTED_VALUE"""),"")</f>
        <v/>
      </c>
      <c r="L1406" s="4">
        <f>IFERROR(__xludf.DUMMYFUNCTION("""COMPUTED_VALUE"""),45949.29818559281)</f>
        <v>45949.29819</v>
      </c>
      <c r="M1406" s="1" t="str">
        <f>IFERROR(__xludf.DUMMYFUNCTION("""COMPUTED_VALUE"""),"RFID")</f>
        <v>RFID</v>
      </c>
      <c r="N1406" s="5">
        <f>IFERROR(__xludf.DUMMYFUNCTION("""COMPUTED_VALUE"""),0.010183064814814815)</f>
        <v>0.01018306481</v>
      </c>
      <c r="O1406" s="5" t="str">
        <f>IFERROR(__xludf.DUMMYFUNCTION("""COMPUTED_VALUE"""),"")</f>
        <v/>
      </c>
      <c r="P1406" s="5" t="str">
        <f>IFERROR(__xludf.DUMMYFUNCTION("""COMPUTED_VALUE"""),"")</f>
        <v/>
      </c>
      <c r="Q1406" s="5">
        <f>IFERROR(__xludf.DUMMYFUNCTION("""COMPUTED_VALUE"""),0.008648305555555557)</f>
        <v>0.008648305556</v>
      </c>
      <c r="R1406" s="4">
        <f>IFERROR(__xludf.DUMMYFUNCTION("""COMPUTED_VALUE"""),45949.04324153031)</f>
        <v>45949.04324</v>
      </c>
      <c r="S1406" s="1" t="b">
        <f>IFERROR(__xludf.DUMMYFUNCTION("""COMPUTED_VALUE"""),TRUE)</f>
        <v>1</v>
      </c>
      <c r="T1406" s="1" t="b">
        <f>IFERROR(__xludf.DUMMYFUNCTION("""COMPUTED_VALUE"""),FALSE)</f>
        <v>0</v>
      </c>
      <c r="U1406" s="1" t="str">
        <f>IFERROR(__xludf.DUMMYFUNCTION("""COMPUTED_VALUE"""),"VALID")</f>
        <v>VALID</v>
      </c>
      <c r="V1406" s="1">
        <f>IFERROR(__xludf.DUMMYFUNCTION("""COMPUTED_VALUE"""),379.0)</f>
        <v>379</v>
      </c>
      <c r="W1406" s="1">
        <f>IFERROR(__xludf.DUMMYFUNCTION("""COMPUTED_VALUE"""),1367.0)</f>
        <v>1367</v>
      </c>
      <c r="X1406" s="1">
        <f>IFERROR(__xludf.DUMMYFUNCTION("""COMPUTED_VALUE"""),460.0)</f>
        <v>460</v>
      </c>
      <c r="Y1406" s="2"/>
      <c r="Z1406" s="2"/>
    </row>
    <row r="1407">
      <c r="A1407" s="1">
        <f>IFERROR(__xludf.DUMMYFUNCTION("""COMPUTED_VALUE"""),1406.0)</f>
        <v>1406</v>
      </c>
      <c r="B1407" s="1">
        <f>IFERROR(__xludf.DUMMYFUNCTION("""COMPUTED_VALUE"""),5894.0)</f>
        <v>5894</v>
      </c>
      <c r="C1407" s="2" t="str">
        <f>IFERROR(__xludf.DUMMYFUNCTION("""COMPUTED_VALUE"""),"IRAWATI")</f>
        <v>IRAWATI</v>
      </c>
      <c r="D1407" s="2" t="str">
        <f>IFERROR(__xludf.DUMMYFUNCTION("""COMPUTED_VALUE"""),"5KM OVERALL F")</f>
        <v>5KM OVERALL F</v>
      </c>
      <c r="E1407" s="1">
        <f>IFERROR(__xludf.DUMMYFUNCTION("""COMPUTED_VALUE"""),2.0)</f>
        <v>2</v>
      </c>
      <c r="F1407" s="1" t="str">
        <f>IFERROR(__xludf.DUMMYFUNCTION("""COMPUTED_VALUE"""),"Female")</f>
        <v>Female</v>
      </c>
      <c r="G1407" s="4" t="b">
        <f>IFERROR(__xludf.DUMMYFUNCTION("""COMPUTED_VALUE"""),TRUE)</f>
        <v>1</v>
      </c>
      <c r="H1407" s="4" t="b">
        <f>IFERROR(__xludf.DUMMYFUNCTION("""COMPUTED_VALUE"""),TRUE)</f>
        <v>1</v>
      </c>
      <c r="I1407" s="4">
        <f>IFERROR(__xludf.DUMMYFUNCTION("""COMPUTED_VALUE"""),0.2549440625)</f>
        <v>0.2549440625</v>
      </c>
      <c r="J1407" s="4">
        <f>IFERROR(__xludf.DUMMYFUNCTION("""COMPUTED_VALUE"""),45949.28289822735)</f>
        <v>45949.2829</v>
      </c>
      <c r="K1407" s="4" t="str">
        <f>IFERROR(__xludf.DUMMYFUNCTION("""COMPUTED_VALUE"""),"")</f>
        <v/>
      </c>
      <c r="L1407" s="4">
        <f>IFERROR(__xludf.DUMMYFUNCTION("""COMPUTED_VALUE"""),45949.302834897026)</f>
        <v>45949.30283</v>
      </c>
      <c r="M1407" s="1" t="str">
        <f>IFERROR(__xludf.DUMMYFUNCTION("""COMPUTED_VALUE"""),"RFID")</f>
        <v>RFID</v>
      </c>
      <c r="N1407" s="5">
        <f>IFERROR(__xludf.DUMMYFUNCTION("""COMPUTED_VALUE"""),0.011181666666666666)</f>
        <v>0.01118166667</v>
      </c>
      <c r="O1407" s="5" t="str">
        <f>IFERROR(__xludf.DUMMYFUNCTION("""COMPUTED_VALUE"""),"")</f>
        <v/>
      </c>
      <c r="P1407" s="5" t="str">
        <f>IFERROR(__xludf.DUMMYFUNCTION("""COMPUTED_VALUE"""),"")</f>
        <v/>
      </c>
      <c r="Q1407" s="5">
        <f>IFERROR(__xludf.DUMMYFUNCTION("""COMPUTED_VALUE"""),0.009578166666666667)</f>
        <v>0.009578166667</v>
      </c>
      <c r="R1407" s="4">
        <f>IFERROR(__xludf.DUMMYFUNCTION("""COMPUTED_VALUE"""),45949.047890834525)</f>
        <v>45949.04789</v>
      </c>
      <c r="S1407" s="1" t="b">
        <f>IFERROR(__xludf.DUMMYFUNCTION("""COMPUTED_VALUE"""),TRUE)</f>
        <v>1</v>
      </c>
      <c r="T1407" s="1" t="b">
        <f>IFERROR(__xludf.DUMMYFUNCTION("""COMPUTED_VALUE"""),FALSE)</f>
        <v>0</v>
      </c>
      <c r="U1407" s="1" t="str">
        <f>IFERROR(__xludf.DUMMYFUNCTION("""COMPUTED_VALUE"""),"VALID")</f>
        <v>VALID</v>
      </c>
      <c r="V1407" s="1">
        <f>IFERROR(__xludf.DUMMYFUNCTION("""COMPUTED_VALUE"""),471.0)</f>
        <v>471</v>
      </c>
      <c r="W1407" s="1">
        <f>IFERROR(__xludf.DUMMYFUNCTION("""COMPUTED_VALUE"""),1537.0)</f>
        <v>1537</v>
      </c>
      <c r="X1407" s="1">
        <f>IFERROR(__xludf.DUMMYFUNCTION("""COMPUTED_VALUE"""),573.0)</f>
        <v>573</v>
      </c>
      <c r="Y1407" s="2"/>
      <c r="Z1407" s="2"/>
    </row>
    <row r="1408">
      <c r="A1408" s="1">
        <f>IFERROR(__xludf.DUMMYFUNCTION("""COMPUTED_VALUE"""),1407.0)</f>
        <v>1407</v>
      </c>
      <c r="B1408" s="1">
        <f>IFERROR(__xludf.DUMMYFUNCTION("""COMPUTED_VALUE"""),5900.0)</f>
        <v>5900</v>
      </c>
      <c r="C1408" s="2" t="str">
        <f>IFERROR(__xludf.DUMMYFUNCTION("""COMPUTED_VALUE"""),"farah")</f>
        <v>farah</v>
      </c>
      <c r="D1408" s="2" t="str">
        <f>IFERROR(__xludf.DUMMYFUNCTION("""COMPUTED_VALUE"""),"5KM OVERALL F")</f>
        <v>5KM OVERALL F</v>
      </c>
      <c r="E1408" s="1">
        <f>IFERROR(__xludf.DUMMYFUNCTION("""COMPUTED_VALUE"""),2.0)</f>
        <v>2</v>
      </c>
      <c r="F1408" s="1" t="str">
        <f>IFERROR(__xludf.DUMMYFUNCTION("""COMPUTED_VALUE"""),"Female")</f>
        <v>Female</v>
      </c>
      <c r="G1408" s="4" t="b">
        <f>IFERROR(__xludf.DUMMYFUNCTION("""COMPUTED_VALUE"""),TRUE)</f>
        <v>1</v>
      </c>
      <c r="H1408" s="4" t="b">
        <f>IFERROR(__xludf.DUMMYFUNCTION("""COMPUTED_VALUE"""),FALSE)</f>
        <v>0</v>
      </c>
      <c r="I1408" s="4">
        <f>IFERROR(__xludf.DUMMYFUNCTION("""COMPUTED_VALUE"""),0.2549440625)</f>
        <v>0.2549440625</v>
      </c>
      <c r="J1408" s="4">
        <f>IFERROR(__xludf.DUMMYFUNCTION("""COMPUTED_VALUE"""),45949.27086349322)</f>
        <v>45949.27086</v>
      </c>
      <c r="K1408" s="4" t="str">
        <f>IFERROR(__xludf.DUMMYFUNCTION("""COMPUTED_VALUE"""),"")</f>
        <v/>
      </c>
      <c r="L1408" s="4">
        <f>IFERROR(__xludf.DUMMYFUNCTION("""COMPUTED_VALUE"""),45949.2837168522)</f>
        <v>45949.28372</v>
      </c>
      <c r="M1408" s="1" t="str">
        <f>IFERROR(__xludf.DUMMYFUNCTION("""COMPUTED_VALUE"""),"RFID")</f>
        <v>RFID</v>
      </c>
      <c r="N1408" s="5">
        <f>IFERROR(__xludf.DUMMYFUNCTION("""COMPUTED_VALUE"""),0.0063677731481481484)</f>
        <v>0.006367773148</v>
      </c>
      <c r="O1408" s="5" t="str">
        <f>IFERROR(__xludf.DUMMYFUNCTION("""COMPUTED_VALUE"""),"")</f>
        <v/>
      </c>
      <c r="P1408" s="5" t="str">
        <f>IFERROR(__xludf.DUMMYFUNCTION("""COMPUTED_VALUE"""),"")</f>
        <v/>
      </c>
      <c r="Q1408" s="5">
        <f>IFERROR(__xludf.DUMMYFUNCTION("""COMPUTED_VALUE"""),0.005754557870370371)</f>
        <v>0.00575455787</v>
      </c>
      <c r="R1408" s="4">
        <f>IFERROR(__xludf.DUMMYFUNCTION("""COMPUTED_VALUE"""),45949.0287727897)</f>
        <v>45949.02877</v>
      </c>
      <c r="S1408" s="1" t="b">
        <f>IFERROR(__xludf.DUMMYFUNCTION("""COMPUTED_VALUE"""),TRUE)</f>
        <v>1</v>
      </c>
      <c r="T1408" s="1" t="b">
        <f>IFERROR(__xludf.DUMMYFUNCTION("""COMPUTED_VALUE"""),FALSE)</f>
        <v>0</v>
      </c>
      <c r="U1408" s="1" t="str">
        <f>IFERROR(__xludf.DUMMYFUNCTION("""COMPUTED_VALUE"""),"VALID")</f>
        <v>VALID</v>
      </c>
      <c r="V1408" s="1">
        <f>IFERROR(__xludf.DUMMYFUNCTION("""COMPUTED_VALUE"""),50.0)</f>
        <v>50</v>
      </c>
      <c r="W1408" s="1">
        <f>IFERROR(__xludf.DUMMYFUNCTION("""COMPUTED_VALUE"""),474.0)</f>
        <v>474</v>
      </c>
      <c r="X1408" s="1">
        <f>IFERROR(__xludf.DUMMYFUNCTION("""COMPUTED_VALUE"""),71.0)</f>
        <v>71</v>
      </c>
      <c r="Y1408" s="2"/>
      <c r="Z1408" s="2"/>
    </row>
    <row r="1409">
      <c r="A1409" s="1">
        <f>IFERROR(__xludf.DUMMYFUNCTION("""COMPUTED_VALUE"""),1408.0)</f>
        <v>1408</v>
      </c>
      <c r="B1409" s="1">
        <f>IFERROR(__xludf.DUMMYFUNCTION("""COMPUTED_VALUE"""),5903.0)</f>
        <v>5903</v>
      </c>
      <c r="C1409" s="2" t="str">
        <f>IFERROR(__xludf.DUMMYFUNCTION("""COMPUTED_VALUE"""),"Friska Julia Evita")</f>
        <v>Friska Julia Evita</v>
      </c>
      <c r="D1409" s="2" t="str">
        <f>IFERROR(__xludf.DUMMYFUNCTION("""COMPUTED_VALUE"""),"5KM OVERALL F")</f>
        <v>5KM OVERALL F</v>
      </c>
      <c r="E1409" s="1">
        <f>IFERROR(__xludf.DUMMYFUNCTION("""COMPUTED_VALUE"""),2.0)</f>
        <v>2</v>
      </c>
      <c r="F1409" s="1" t="str">
        <f>IFERROR(__xludf.DUMMYFUNCTION("""COMPUTED_VALUE"""),"Female")</f>
        <v>Female</v>
      </c>
      <c r="G1409" s="4" t="b">
        <f>IFERROR(__xludf.DUMMYFUNCTION("""COMPUTED_VALUE"""),TRUE)</f>
        <v>1</v>
      </c>
      <c r="H1409" s="4" t="b">
        <f>IFERROR(__xludf.DUMMYFUNCTION("""COMPUTED_VALUE"""),TRUE)</f>
        <v>1</v>
      </c>
      <c r="I1409" s="4">
        <f>IFERROR(__xludf.DUMMYFUNCTION("""COMPUTED_VALUE"""),0.2549440625)</f>
        <v>0.2549440625</v>
      </c>
      <c r="J1409" s="4">
        <f>IFERROR(__xludf.DUMMYFUNCTION("""COMPUTED_VALUE"""),45949.271450306376)</f>
        <v>45949.27145</v>
      </c>
      <c r="K1409" s="4" t="str">
        <f>IFERROR(__xludf.DUMMYFUNCTION("""COMPUTED_VALUE"""),"")</f>
        <v/>
      </c>
      <c r="L1409" s="4">
        <f>IFERROR(__xludf.DUMMYFUNCTION("""COMPUTED_VALUE"""),45949.28439739976)</f>
        <v>45949.2844</v>
      </c>
      <c r="M1409" s="1" t="str">
        <f>IFERROR(__xludf.DUMMYFUNCTION("""COMPUTED_VALUE"""),"RFID")</f>
        <v>RFID</v>
      </c>
      <c r="N1409" s="5">
        <f>IFERROR(__xludf.DUMMYFUNCTION("""COMPUTED_VALUE"""),0.0066024953703703705)</f>
        <v>0.00660249537</v>
      </c>
      <c r="O1409" s="5" t="str">
        <f>IFERROR(__xludf.DUMMYFUNCTION("""COMPUTED_VALUE"""),"")</f>
        <v/>
      </c>
      <c r="P1409" s="5" t="str">
        <f>IFERROR(__xludf.DUMMYFUNCTION("""COMPUTED_VALUE"""),"")</f>
        <v/>
      </c>
      <c r="Q1409" s="5">
        <f>IFERROR(__xludf.DUMMYFUNCTION("""COMPUTED_VALUE"""),0.005890666666666667)</f>
        <v>0.005890666667</v>
      </c>
      <c r="R1409" s="4">
        <f>IFERROR(__xludf.DUMMYFUNCTION("""COMPUTED_VALUE"""),45949.02945333726)</f>
        <v>45949.02945</v>
      </c>
      <c r="S1409" s="1" t="b">
        <f>IFERROR(__xludf.DUMMYFUNCTION("""COMPUTED_VALUE"""),TRUE)</f>
        <v>1</v>
      </c>
      <c r="T1409" s="1" t="b">
        <f>IFERROR(__xludf.DUMMYFUNCTION("""COMPUTED_VALUE"""),FALSE)</f>
        <v>0</v>
      </c>
      <c r="U1409" s="1" t="str">
        <f>IFERROR(__xludf.DUMMYFUNCTION("""COMPUTED_VALUE"""),"VALID")</f>
        <v>VALID</v>
      </c>
      <c r="V1409" s="1">
        <f>IFERROR(__xludf.DUMMYFUNCTION("""COMPUTED_VALUE"""),63.0)</f>
        <v>63</v>
      </c>
      <c r="W1409" s="1">
        <f>IFERROR(__xludf.DUMMYFUNCTION("""COMPUTED_VALUE"""),534.0)</f>
        <v>534</v>
      </c>
      <c r="X1409" s="1">
        <f>IFERROR(__xludf.DUMMYFUNCTION("""COMPUTED_VALUE"""),85.0)</f>
        <v>85</v>
      </c>
      <c r="Y1409" s="2"/>
      <c r="Z1409" s="2"/>
    </row>
    <row r="1410">
      <c r="A1410" s="1">
        <f>IFERROR(__xludf.DUMMYFUNCTION("""COMPUTED_VALUE"""),1409.0)</f>
        <v>1409</v>
      </c>
      <c r="B1410" s="1">
        <f>IFERROR(__xludf.DUMMYFUNCTION("""COMPUTED_VALUE"""),5910.0)</f>
        <v>5910</v>
      </c>
      <c r="C1410" s="2" t="str">
        <f>IFERROR(__xludf.DUMMYFUNCTION("""COMPUTED_VALUE"""),"Rahimah")</f>
        <v>Rahimah</v>
      </c>
      <c r="D1410" s="2" t="str">
        <f>IFERROR(__xludf.DUMMYFUNCTION("""COMPUTED_VALUE"""),"5KM OVERALL F")</f>
        <v>5KM OVERALL F</v>
      </c>
      <c r="E1410" s="1">
        <f>IFERROR(__xludf.DUMMYFUNCTION("""COMPUTED_VALUE"""),2.0)</f>
        <v>2</v>
      </c>
      <c r="F1410" s="1" t="str">
        <f>IFERROR(__xludf.DUMMYFUNCTION("""COMPUTED_VALUE"""),"Female")</f>
        <v>Female</v>
      </c>
      <c r="G1410" s="4" t="b">
        <f>IFERROR(__xludf.DUMMYFUNCTION("""COMPUTED_VALUE"""),TRUE)</f>
        <v>1</v>
      </c>
      <c r="H1410" s="4" t="b">
        <f>IFERROR(__xludf.DUMMYFUNCTION("""COMPUTED_VALUE"""),TRUE)</f>
        <v>1</v>
      </c>
      <c r="I1410" s="4">
        <f>IFERROR(__xludf.DUMMYFUNCTION("""COMPUTED_VALUE"""),0.2549440625)</f>
        <v>0.2549440625</v>
      </c>
      <c r="J1410" s="4">
        <f>IFERROR(__xludf.DUMMYFUNCTION("""COMPUTED_VALUE"""),45949.273853084094)</f>
        <v>45949.27385</v>
      </c>
      <c r="K1410" s="4" t="str">
        <f>IFERROR(__xludf.DUMMYFUNCTION("""COMPUTED_VALUE"""),"")</f>
        <v/>
      </c>
      <c r="L1410" s="4">
        <f>IFERROR(__xludf.DUMMYFUNCTION("""COMPUTED_VALUE"""),45949.28595989677)</f>
        <v>45949.28596</v>
      </c>
      <c r="M1410" s="1" t="str">
        <f>IFERROR(__xludf.DUMMYFUNCTION("""COMPUTED_VALUE"""),"RFID")</f>
        <v>RFID</v>
      </c>
      <c r="N1410" s="5">
        <f>IFERROR(__xludf.DUMMYFUNCTION("""COMPUTED_VALUE"""),0.007563606481481482)</f>
        <v>0.007563606481</v>
      </c>
      <c r="O1410" s="5" t="str">
        <f>IFERROR(__xludf.DUMMYFUNCTION("""COMPUTED_VALUE"""),"")</f>
        <v/>
      </c>
      <c r="P1410" s="5" t="str">
        <f>IFERROR(__xludf.DUMMYFUNCTION("""COMPUTED_VALUE"""),"")</f>
        <v/>
      </c>
      <c r="Q1410" s="5">
        <f>IFERROR(__xludf.DUMMYFUNCTION("""COMPUTED_VALUE"""),0.006203166666666667)</f>
        <v>0.006203166667</v>
      </c>
      <c r="R1410" s="4">
        <f>IFERROR(__xludf.DUMMYFUNCTION("""COMPUTED_VALUE"""),45949.03101583427)</f>
        <v>45949.03102</v>
      </c>
      <c r="S1410" s="1" t="b">
        <f>IFERROR(__xludf.DUMMYFUNCTION("""COMPUTED_VALUE"""),TRUE)</f>
        <v>1</v>
      </c>
      <c r="T1410" s="1" t="b">
        <f>IFERROR(__xludf.DUMMYFUNCTION("""COMPUTED_VALUE"""),FALSE)</f>
        <v>0</v>
      </c>
      <c r="U1410" s="1" t="str">
        <f>IFERROR(__xludf.DUMMYFUNCTION("""COMPUTED_VALUE"""),"VALID")</f>
        <v>VALID</v>
      </c>
      <c r="V1410" s="1">
        <f>IFERROR(__xludf.DUMMYFUNCTION("""COMPUTED_VALUE"""),94.0)</f>
        <v>94</v>
      </c>
      <c r="W1410" s="1">
        <f>IFERROR(__xludf.DUMMYFUNCTION("""COMPUTED_VALUE"""),634.0)</f>
        <v>634</v>
      </c>
      <c r="X1410" s="1">
        <f>IFERROR(__xludf.DUMMYFUNCTION("""COMPUTED_VALUE"""),119.0)</f>
        <v>119</v>
      </c>
      <c r="Y1410" s="2"/>
      <c r="Z1410" s="2"/>
    </row>
    <row r="1411">
      <c r="A1411" s="1">
        <f>IFERROR(__xludf.DUMMYFUNCTION("""COMPUTED_VALUE"""),1410.0)</f>
        <v>1410</v>
      </c>
      <c r="B1411" s="1">
        <f>IFERROR(__xludf.DUMMYFUNCTION("""COMPUTED_VALUE"""),5911.0)</f>
        <v>5911</v>
      </c>
      <c r="C1411" s="2" t="str">
        <f>IFERROR(__xludf.DUMMYFUNCTION("""COMPUTED_VALUE"""),"Firga")</f>
        <v>Firga</v>
      </c>
      <c r="D1411" s="2" t="str">
        <f>IFERROR(__xludf.DUMMYFUNCTION("""COMPUTED_VALUE"""),"5KM OVERALL F")</f>
        <v>5KM OVERALL F</v>
      </c>
      <c r="E1411" s="1">
        <f>IFERROR(__xludf.DUMMYFUNCTION("""COMPUTED_VALUE"""),2.0)</f>
        <v>2</v>
      </c>
      <c r="F1411" s="1" t="str">
        <f>IFERROR(__xludf.DUMMYFUNCTION("""COMPUTED_VALUE"""),"Female")</f>
        <v>Female</v>
      </c>
      <c r="G1411" s="4" t="b">
        <f>IFERROR(__xludf.DUMMYFUNCTION("""COMPUTED_VALUE"""),TRUE)</f>
        <v>1</v>
      </c>
      <c r="H1411" s="4" t="b">
        <f>IFERROR(__xludf.DUMMYFUNCTION("""COMPUTED_VALUE"""),TRUE)</f>
        <v>1</v>
      </c>
      <c r="I1411" s="4">
        <f>IFERROR(__xludf.DUMMYFUNCTION("""COMPUTED_VALUE"""),0.2549440625)</f>
        <v>0.2549440625</v>
      </c>
      <c r="J1411" s="4">
        <f>IFERROR(__xludf.DUMMYFUNCTION("""COMPUTED_VALUE"""),45949.28051633871)</f>
        <v>45949.28052</v>
      </c>
      <c r="K1411" s="4" t="str">
        <f>IFERROR(__xludf.DUMMYFUNCTION("""COMPUTED_VALUE"""),"")</f>
        <v/>
      </c>
      <c r="L1411" s="4">
        <f>IFERROR(__xludf.DUMMYFUNCTION("""COMPUTED_VALUE"""),45949.29865087312)</f>
        <v>45949.29865</v>
      </c>
      <c r="M1411" s="1" t="str">
        <f>IFERROR(__xludf.DUMMYFUNCTION("""COMPUTED_VALUE"""),"RFID")</f>
        <v>RFID</v>
      </c>
      <c r="N1411" s="5">
        <f>IFERROR(__xludf.DUMMYFUNCTION("""COMPUTED_VALUE"""),0.010228912037037038)</f>
        <v>0.01022891204</v>
      </c>
      <c r="O1411" s="5" t="str">
        <f>IFERROR(__xludf.DUMMYFUNCTION("""COMPUTED_VALUE"""),"")</f>
        <v/>
      </c>
      <c r="P1411" s="5" t="str">
        <f>IFERROR(__xludf.DUMMYFUNCTION("""COMPUTED_VALUE"""),"")</f>
        <v/>
      </c>
      <c r="Q1411" s="5">
        <f>IFERROR(__xludf.DUMMYFUNCTION("""COMPUTED_VALUE"""),0.008741361111111111)</f>
        <v>0.008741361111</v>
      </c>
      <c r="R1411" s="4">
        <f>IFERROR(__xludf.DUMMYFUNCTION("""COMPUTED_VALUE"""),45949.04370681062)</f>
        <v>45949.04371</v>
      </c>
      <c r="S1411" s="1" t="b">
        <f>IFERROR(__xludf.DUMMYFUNCTION("""COMPUTED_VALUE"""),TRUE)</f>
        <v>1</v>
      </c>
      <c r="T1411" s="1" t="b">
        <f>IFERROR(__xludf.DUMMYFUNCTION("""COMPUTED_VALUE"""),FALSE)</f>
        <v>0</v>
      </c>
      <c r="U1411" s="1" t="str">
        <f>IFERROR(__xludf.DUMMYFUNCTION("""COMPUTED_VALUE"""),"VALID")</f>
        <v>VALID</v>
      </c>
      <c r="V1411" s="1">
        <f>IFERROR(__xludf.DUMMYFUNCTION("""COMPUTED_VALUE"""),393.0)</f>
        <v>393</v>
      </c>
      <c r="W1411" s="1">
        <f>IFERROR(__xludf.DUMMYFUNCTION("""COMPUTED_VALUE"""),1394.0)</f>
        <v>1394</v>
      </c>
      <c r="X1411" s="1">
        <f>IFERROR(__xludf.DUMMYFUNCTION("""COMPUTED_VALUE"""),476.0)</f>
        <v>476</v>
      </c>
      <c r="Y1411" s="2"/>
      <c r="Z1411" s="2"/>
    </row>
    <row r="1412">
      <c r="A1412" s="1">
        <f>IFERROR(__xludf.DUMMYFUNCTION("""COMPUTED_VALUE"""),1411.0)</f>
        <v>1411</v>
      </c>
      <c r="B1412" s="1">
        <f>IFERROR(__xludf.DUMMYFUNCTION("""COMPUTED_VALUE"""),5917.0)</f>
        <v>5917</v>
      </c>
      <c r="C1412" s="2" t="str">
        <f>IFERROR(__xludf.DUMMYFUNCTION("""COMPUTED_VALUE"""),"norma")</f>
        <v>norma</v>
      </c>
      <c r="D1412" s="2" t="str">
        <f>IFERROR(__xludf.DUMMYFUNCTION("""COMPUTED_VALUE"""),"5KM OVERALL F")</f>
        <v>5KM OVERALL F</v>
      </c>
      <c r="E1412" s="1">
        <f>IFERROR(__xludf.DUMMYFUNCTION("""COMPUTED_VALUE"""),2.0)</f>
        <v>2</v>
      </c>
      <c r="F1412" s="1" t="str">
        <f>IFERROR(__xludf.DUMMYFUNCTION("""COMPUTED_VALUE"""),"Female")</f>
        <v>Female</v>
      </c>
      <c r="G1412" s="4" t="b">
        <f>IFERROR(__xludf.DUMMYFUNCTION("""COMPUTED_VALUE"""),TRUE)</f>
        <v>1</v>
      </c>
      <c r="H1412" s="4" t="b">
        <f>IFERROR(__xludf.DUMMYFUNCTION("""COMPUTED_VALUE"""),TRUE)</f>
        <v>1</v>
      </c>
      <c r="I1412" s="4">
        <f>IFERROR(__xludf.DUMMYFUNCTION("""COMPUTED_VALUE"""),0.2549440625)</f>
        <v>0.2549440625</v>
      </c>
      <c r="J1412" s="4">
        <f>IFERROR(__xludf.DUMMYFUNCTION("""COMPUTED_VALUE"""),45949.27768643445)</f>
        <v>45949.27769</v>
      </c>
      <c r="K1412" s="4" t="str">
        <f>IFERROR(__xludf.DUMMYFUNCTION("""COMPUTED_VALUE"""),"")</f>
        <v/>
      </c>
      <c r="L1412" s="4">
        <f>IFERROR(__xludf.DUMMYFUNCTION("""COMPUTED_VALUE"""),45949.29186268121)</f>
        <v>45949.29186</v>
      </c>
      <c r="M1412" s="1" t="str">
        <f>IFERROR(__xludf.DUMMYFUNCTION("""COMPUTED_VALUE"""),"RFID")</f>
        <v>RFID</v>
      </c>
      <c r="N1412" s="5">
        <f>IFERROR(__xludf.DUMMYFUNCTION("""COMPUTED_VALUE"""),0.009096949074074075)</f>
        <v>0.009096949074</v>
      </c>
      <c r="O1412" s="5" t="str">
        <f>IFERROR(__xludf.DUMMYFUNCTION("""COMPUTED_VALUE"""),"")</f>
        <v/>
      </c>
      <c r="P1412" s="5" t="str">
        <f>IFERROR(__xludf.DUMMYFUNCTION("""COMPUTED_VALUE"""),"")</f>
        <v/>
      </c>
      <c r="Q1412" s="5">
        <f>IFERROR(__xludf.DUMMYFUNCTION("""COMPUTED_VALUE"""),0.007383724537037037)</f>
        <v>0.007383724537</v>
      </c>
      <c r="R1412" s="4">
        <f>IFERROR(__xludf.DUMMYFUNCTION("""COMPUTED_VALUE"""),45949.03691861871)</f>
        <v>45949.03692</v>
      </c>
      <c r="S1412" s="1" t="b">
        <f>IFERROR(__xludf.DUMMYFUNCTION("""COMPUTED_VALUE"""),TRUE)</f>
        <v>1</v>
      </c>
      <c r="T1412" s="1" t="b">
        <f>IFERROR(__xludf.DUMMYFUNCTION("""COMPUTED_VALUE"""),FALSE)</f>
        <v>0</v>
      </c>
      <c r="U1412" s="1" t="str">
        <f>IFERROR(__xludf.DUMMYFUNCTION("""COMPUTED_VALUE"""),"VALID")</f>
        <v>VALID</v>
      </c>
      <c r="V1412" s="1">
        <f>IFERROR(__xludf.DUMMYFUNCTION("""COMPUTED_VALUE"""),217.0)</f>
        <v>217</v>
      </c>
      <c r="W1412" s="1">
        <f>IFERROR(__xludf.DUMMYFUNCTION("""COMPUTED_VALUE"""),1025.0)</f>
        <v>1025</v>
      </c>
      <c r="X1412" s="1">
        <f>IFERROR(__xludf.DUMMYFUNCTION("""COMPUTED_VALUE"""),269.0)</f>
        <v>269</v>
      </c>
      <c r="Y1412" s="2"/>
      <c r="Z1412" s="2"/>
    </row>
    <row r="1413">
      <c r="A1413" s="1">
        <f>IFERROR(__xludf.DUMMYFUNCTION("""COMPUTED_VALUE"""),1412.0)</f>
        <v>1412</v>
      </c>
      <c r="B1413" s="1">
        <f>IFERROR(__xludf.DUMMYFUNCTION("""COMPUTED_VALUE"""),5920.0)</f>
        <v>5920</v>
      </c>
      <c r="C1413" s="2" t="str">
        <f>IFERROR(__xludf.DUMMYFUNCTION("""COMPUTED_VALUE"""),"dewidsy")</f>
        <v>dewidsy</v>
      </c>
      <c r="D1413" s="2" t="str">
        <f>IFERROR(__xludf.DUMMYFUNCTION("""COMPUTED_VALUE"""),"5KM OVERALL F")</f>
        <v>5KM OVERALL F</v>
      </c>
      <c r="E1413" s="1">
        <f>IFERROR(__xludf.DUMMYFUNCTION("""COMPUTED_VALUE"""),2.0)</f>
        <v>2</v>
      </c>
      <c r="F1413" s="1" t="str">
        <f>IFERROR(__xludf.DUMMYFUNCTION("""COMPUTED_VALUE"""),"Female")</f>
        <v>Female</v>
      </c>
      <c r="G1413" s="4" t="b">
        <f>IFERROR(__xludf.DUMMYFUNCTION("""COMPUTED_VALUE"""),TRUE)</f>
        <v>1</v>
      </c>
      <c r="H1413" s="4" t="b">
        <f>IFERROR(__xludf.DUMMYFUNCTION("""COMPUTED_VALUE"""),FALSE)</f>
        <v>0</v>
      </c>
      <c r="I1413" s="4">
        <f>IFERROR(__xludf.DUMMYFUNCTION("""COMPUTED_VALUE"""),0.2549440625)</f>
        <v>0.2549440625</v>
      </c>
      <c r="J1413" s="4">
        <f>IFERROR(__xludf.DUMMYFUNCTION("""COMPUTED_VALUE"""),45949.27328366229)</f>
        <v>45949.27328</v>
      </c>
      <c r="K1413" s="4" t="str">
        <f>IFERROR(__xludf.DUMMYFUNCTION("""COMPUTED_VALUE"""),"")</f>
        <v/>
      </c>
      <c r="L1413" s="4">
        <f>IFERROR(__xludf.DUMMYFUNCTION("""COMPUTED_VALUE"""),45949.287758466475)</f>
        <v>45949.28776</v>
      </c>
      <c r="M1413" s="1" t="str">
        <f>IFERROR(__xludf.DUMMYFUNCTION("""COMPUTED_VALUE"""),"RFID")</f>
        <v>RFID</v>
      </c>
      <c r="N1413" s="5">
        <f>IFERROR(__xludf.DUMMYFUNCTION("""COMPUTED_VALUE"""),0.007335837962962962)</f>
        <v>0.007335837963</v>
      </c>
      <c r="O1413" s="5" t="str">
        <f>IFERROR(__xludf.DUMMYFUNCTION("""COMPUTED_VALUE"""),"")</f>
        <v/>
      </c>
      <c r="P1413" s="5" t="str">
        <f>IFERROR(__xludf.DUMMYFUNCTION("""COMPUTED_VALUE"""),"")</f>
        <v/>
      </c>
      <c r="Q1413" s="5">
        <f>IFERROR(__xludf.DUMMYFUNCTION("""COMPUTED_VALUE"""),0.006562881944444444)</f>
        <v>0.006562881944</v>
      </c>
      <c r="R1413" s="4">
        <f>IFERROR(__xludf.DUMMYFUNCTION("""COMPUTED_VALUE"""),45949.032814403974)</f>
        <v>45949.03281</v>
      </c>
      <c r="S1413" s="1" t="b">
        <f>IFERROR(__xludf.DUMMYFUNCTION("""COMPUTED_VALUE"""),TRUE)</f>
        <v>1</v>
      </c>
      <c r="T1413" s="1" t="b">
        <f>IFERROR(__xludf.DUMMYFUNCTION("""COMPUTED_VALUE"""),FALSE)</f>
        <v>0</v>
      </c>
      <c r="U1413" s="1" t="str">
        <f>IFERROR(__xludf.DUMMYFUNCTION("""COMPUTED_VALUE"""),"VALID")</f>
        <v>VALID</v>
      </c>
      <c r="V1413" s="1">
        <f>IFERROR(__xludf.DUMMYFUNCTION("""COMPUTED_VALUE"""),123.0)</f>
        <v>123</v>
      </c>
      <c r="W1413" s="1">
        <f>IFERROR(__xludf.DUMMYFUNCTION("""COMPUTED_VALUE"""),757.0)</f>
        <v>757</v>
      </c>
      <c r="X1413" s="1">
        <f>IFERROR(__xludf.DUMMYFUNCTION("""COMPUTED_VALUE"""),155.0)</f>
        <v>155</v>
      </c>
      <c r="Y1413" s="2"/>
      <c r="Z1413" s="2"/>
    </row>
    <row r="1414">
      <c r="A1414" s="1">
        <f>IFERROR(__xludf.DUMMYFUNCTION("""COMPUTED_VALUE"""),1413.0)</f>
        <v>1413</v>
      </c>
      <c r="B1414" s="1">
        <f>IFERROR(__xludf.DUMMYFUNCTION("""COMPUTED_VALUE"""),5921.0)</f>
        <v>5921</v>
      </c>
      <c r="C1414" s="2" t="str">
        <f>IFERROR(__xludf.DUMMYFUNCTION("""COMPUTED_VALUE"""),"IRMA LESTARI")</f>
        <v>IRMA LESTARI</v>
      </c>
      <c r="D1414" s="2" t="str">
        <f>IFERROR(__xludf.DUMMYFUNCTION("""COMPUTED_VALUE"""),"5KM OVERALL F")</f>
        <v>5KM OVERALL F</v>
      </c>
      <c r="E1414" s="1">
        <f>IFERROR(__xludf.DUMMYFUNCTION("""COMPUTED_VALUE"""),2.0)</f>
        <v>2</v>
      </c>
      <c r="F1414" s="1" t="str">
        <f>IFERROR(__xludf.DUMMYFUNCTION("""COMPUTED_VALUE"""),"Female")</f>
        <v>Female</v>
      </c>
      <c r="G1414" s="4" t="b">
        <f>IFERROR(__xludf.DUMMYFUNCTION("""COMPUTED_VALUE"""),TRUE)</f>
        <v>1</v>
      </c>
      <c r="H1414" s="4" t="b">
        <f>IFERROR(__xludf.DUMMYFUNCTION("""COMPUTED_VALUE"""),FALSE)</f>
        <v>0</v>
      </c>
      <c r="I1414" s="4">
        <f>IFERROR(__xludf.DUMMYFUNCTION("""COMPUTED_VALUE"""),0.2549440625)</f>
        <v>0.2549440625</v>
      </c>
      <c r="J1414" s="4">
        <f>IFERROR(__xludf.DUMMYFUNCTION("""COMPUTED_VALUE"""),45949.27650934107)</f>
        <v>45949.27651</v>
      </c>
      <c r="K1414" s="4" t="str">
        <f>IFERROR(__xludf.DUMMYFUNCTION("""COMPUTED_VALUE"""),"")</f>
        <v/>
      </c>
      <c r="L1414" s="4">
        <f>IFERROR(__xludf.DUMMYFUNCTION("""COMPUTED_VALUE"""),45949.29231058989)</f>
        <v>45949.29231</v>
      </c>
      <c r="M1414" s="1" t="str">
        <f>IFERROR(__xludf.DUMMYFUNCTION("""COMPUTED_VALUE"""),"RFID")</f>
        <v>RFID</v>
      </c>
      <c r="N1414" s="5">
        <f>IFERROR(__xludf.DUMMYFUNCTION("""COMPUTED_VALUE"""),0.00862611111111111)</f>
        <v>0.008626111111</v>
      </c>
      <c r="O1414" s="5" t="str">
        <f>IFERROR(__xludf.DUMMYFUNCTION("""COMPUTED_VALUE"""),"")</f>
        <v/>
      </c>
      <c r="P1414" s="5" t="str">
        <f>IFERROR(__xludf.DUMMYFUNCTION("""COMPUTED_VALUE"""),"")</f>
        <v/>
      </c>
      <c r="Q1414" s="5">
        <f>IFERROR(__xludf.DUMMYFUNCTION("""COMPUTED_VALUE"""),0.007473305555555555)</f>
        <v>0.007473305556</v>
      </c>
      <c r="R1414" s="4">
        <f>IFERROR(__xludf.DUMMYFUNCTION("""COMPUTED_VALUE"""),45949.03736652739)</f>
        <v>45949.03737</v>
      </c>
      <c r="S1414" s="1" t="b">
        <f>IFERROR(__xludf.DUMMYFUNCTION("""COMPUTED_VALUE"""),TRUE)</f>
        <v>1</v>
      </c>
      <c r="T1414" s="1" t="b">
        <f>IFERROR(__xludf.DUMMYFUNCTION("""COMPUTED_VALUE"""),FALSE)</f>
        <v>0</v>
      </c>
      <c r="U1414" s="1" t="str">
        <f>IFERROR(__xludf.DUMMYFUNCTION("""COMPUTED_VALUE"""),"VALID")</f>
        <v>VALID</v>
      </c>
      <c r="V1414" s="1">
        <f>IFERROR(__xludf.DUMMYFUNCTION("""COMPUTED_VALUE"""),229.0)</f>
        <v>229</v>
      </c>
      <c r="W1414" s="1">
        <f>IFERROR(__xludf.DUMMYFUNCTION("""COMPUTED_VALUE"""),1051.0)</f>
        <v>1051</v>
      </c>
      <c r="X1414" s="1">
        <f>IFERROR(__xludf.DUMMYFUNCTION("""COMPUTED_VALUE"""),282.0)</f>
        <v>282</v>
      </c>
      <c r="Y1414" s="2"/>
      <c r="Z1414" s="2"/>
    </row>
    <row r="1415">
      <c r="A1415" s="1">
        <f>IFERROR(__xludf.DUMMYFUNCTION("""COMPUTED_VALUE"""),1414.0)</f>
        <v>1414</v>
      </c>
      <c r="B1415" s="1">
        <f>IFERROR(__xludf.DUMMYFUNCTION("""COMPUTED_VALUE"""),5922.0)</f>
        <v>5922</v>
      </c>
      <c r="C1415" s="2" t="str">
        <f>IFERROR(__xludf.DUMMYFUNCTION("""COMPUTED_VALUE"""),"TRISNAWATI SARI DEWI")</f>
        <v>TRISNAWATI SARI DEWI</v>
      </c>
      <c r="D1415" s="2" t="str">
        <f>IFERROR(__xludf.DUMMYFUNCTION("""COMPUTED_VALUE"""),"5KM OVERALL F")</f>
        <v>5KM OVERALL F</v>
      </c>
      <c r="E1415" s="1">
        <f>IFERROR(__xludf.DUMMYFUNCTION("""COMPUTED_VALUE"""),2.0)</f>
        <v>2</v>
      </c>
      <c r="F1415" s="1" t="str">
        <f>IFERROR(__xludf.DUMMYFUNCTION("""COMPUTED_VALUE"""),"Female")</f>
        <v>Female</v>
      </c>
      <c r="G1415" s="4" t="b">
        <f>IFERROR(__xludf.DUMMYFUNCTION("""COMPUTED_VALUE"""),TRUE)</f>
        <v>1</v>
      </c>
      <c r="H1415" s="4" t="b">
        <f>IFERROR(__xludf.DUMMYFUNCTION("""COMPUTED_VALUE"""),FALSE)</f>
        <v>0</v>
      </c>
      <c r="I1415" s="4">
        <f>IFERROR(__xludf.DUMMYFUNCTION("""COMPUTED_VALUE"""),0.2549440625)</f>
        <v>0.2549440625</v>
      </c>
      <c r="J1415" s="4">
        <f>IFERROR(__xludf.DUMMYFUNCTION("""COMPUTED_VALUE"""),45949.27745726447)</f>
        <v>45949.27746</v>
      </c>
      <c r="K1415" s="4" t="str">
        <f>IFERROR(__xludf.DUMMYFUNCTION("""COMPUTED_VALUE"""),"")</f>
        <v/>
      </c>
      <c r="L1415" s="4">
        <f>IFERROR(__xludf.DUMMYFUNCTION("""COMPUTED_VALUE"""),45949.295991161125)</f>
        <v>45949.29599</v>
      </c>
      <c r="M1415" s="1" t="str">
        <f>IFERROR(__xludf.DUMMYFUNCTION("""COMPUTED_VALUE"""),"RFID")</f>
        <v>RFID</v>
      </c>
      <c r="N1415" s="5">
        <f>IFERROR(__xludf.DUMMYFUNCTION("""COMPUTED_VALUE"""),0.009005282407407408)</f>
        <v>0.009005282407</v>
      </c>
      <c r="O1415" s="5" t="str">
        <f>IFERROR(__xludf.DUMMYFUNCTION("""COMPUTED_VALUE"""),"")</f>
        <v/>
      </c>
      <c r="P1415" s="5" t="str">
        <f>IFERROR(__xludf.DUMMYFUNCTION("""COMPUTED_VALUE"""),"")</f>
        <v/>
      </c>
      <c r="Q1415" s="5">
        <f>IFERROR(__xludf.DUMMYFUNCTION("""COMPUTED_VALUE"""),0.00820941898148148)</f>
        <v>0.008209418981</v>
      </c>
      <c r="R1415" s="4">
        <f>IFERROR(__xludf.DUMMYFUNCTION("""COMPUTED_VALUE"""),45949.041047098624)</f>
        <v>45949.04105</v>
      </c>
      <c r="S1415" s="1" t="b">
        <f>IFERROR(__xludf.DUMMYFUNCTION("""COMPUTED_VALUE"""),TRUE)</f>
        <v>1</v>
      </c>
      <c r="T1415" s="1" t="b">
        <f>IFERROR(__xludf.DUMMYFUNCTION("""COMPUTED_VALUE"""),FALSE)</f>
        <v>0</v>
      </c>
      <c r="U1415" s="1" t="str">
        <f>IFERROR(__xludf.DUMMYFUNCTION("""COMPUTED_VALUE"""),"VALID")</f>
        <v>VALID</v>
      </c>
      <c r="V1415" s="1">
        <f>IFERROR(__xludf.DUMMYFUNCTION("""COMPUTED_VALUE"""),341.0)</f>
        <v>341</v>
      </c>
      <c r="W1415" s="1">
        <f>IFERROR(__xludf.DUMMYFUNCTION("""COMPUTED_VALUE"""),1289.0)</f>
        <v>1289</v>
      </c>
      <c r="X1415" s="1">
        <f>IFERROR(__xludf.DUMMYFUNCTION("""COMPUTED_VALUE"""),413.0)</f>
        <v>413</v>
      </c>
      <c r="Y1415" s="2"/>
      <c r="Z1415" s="2"/>
    </row>
    <row r="1416">
      <c r="A1416" s="1">
        <f>IFERROR(__xludf.DUMMYFUNCTION("""COMPUTED_VALUE"""),1415.0)</f>
        <v>1415</v>
      </c>
      <c r="B1416" s="1">
        <f>IFERROR(__xludf.DUMMYFUNCTION("""COMPUTED_VALUE"""),5924.0)</f>
        <v>5924</v>
      </c>
      <c r="C1416" s="2" t="str">
        <f>IFERROR(__xludf.DUMMYFUNCTION("""COMPUTED_VALUE"""),"Resti")</f>
        <v>Resti</v>
      </c>
      <c r="D1416" s="2" t="str">
        <f>IFERROR(__xludf.DUMMYFUNCTION("""COMPUTED_VALUE"""),"5KM OVERALL F")</f>
        <v>5KM OVERALL F</v>
      </c>
      <c r="E1416" s="1">
        <f>IFERROR(__xludf.DUMMYFUNCTION("""COMPUTED_VALUE"""),2.0)</f>
        <v>2</v>
      </c>
      <c r="F1416" s="1" t="str">
        <f>IFERROR(__xludf.DUMMYFUNCTION("""COMPUTED_VALUE"""),"Female")</f>
        <v>Female</v>
      </c>
      <c r="G1416" s="4" t="str">
        <f>IFERROR(__xludf.DUMMYFUNCTION("""COMPUTED_VALUE"""),"")</f>
        <v/>
      </c>
      <c r="H1416" s="4" t="b">
        <f>IFERROR(__xludf.DUMMYFUNCTION("""COMPUTED_VALUE"""),FALSE)</f>
        <v>0</v>
      </c>
      <c r="I1416" s="4">
        <f>IFERROR(__xludf.DUMMYFUNCTION("""COMPUTED_VALUE"""),0.2549440625)</f>
        <v>0.2549440625</v>
      </c>
      <c r="J1416" s="4" t="str">
        <f>IFERROR(__xludf.DUMMYFUNCTION("""COMPUTED_VALUE"""),"")</f>
        <v/>
      </c>
      <c r="K1416" s="4" t="str">
        <f>IFERROR(__xludf.DUMMYFUNCTION("""COMPUTED_VALUE"""),"")</f>
        <v/>
      </c>
      <c r="L1416" s="4" t="str">
        <f>IFERROR(__xludf.DUMMYFUNCTION("""COMPUTED_VALUE"""),"")</f>
        <v/>
      </c>
      <c r="M1416" s="1" t="str">
        <f>IFERROR(__xludf.DUMMYFUNCTION("""COMPUTED_VALUE"""),"RFID")</f>
        <v>RFID</v>
      </c>
      <c r="N1416" s="5" t="str">
        <f>IFERROR(__xludf.DUMMYFUNCTION("""COMPUTED_VALUE"""),"")</f>
        <v/>
      </c>
      <c r="O1416" s="5" t="str">
        <f>IFERROR(__xludf.DUMMYFUNCTION("""COMPUTED_VALUE"""),"")</f>
        <v/>
      </c>
      <c r="P1416" s="5" t="str">
        <f>IFERROR(__xludf.DUMMYFUNCTION("""COMPUTED_VALUE"""),"")</f>
        <v/>
      </c>
      <c r="Q1416" s="5" t="str">
        <f>IFERROR(__xludf.DUMMYFUNCTION("""COMPUTED_VALUE"""),"")</f>
        <v/>
      </c>
      <c r="R1416" s="4" t="str">
        <f>IFERROR(__xludf.DUMMYFUNCTION("""COMPUTED_VALUE"""),"")</f>
        <v/>
      </c>
      <c r="S1416" s="1" t="b">
        <f>IFERROR(__xludf.DUMMYFUNCTION("""COMPUTED_VALUE"""),FALSE)</f>
        <v>0</v>
      </c>
      <c r="T1416" s="1" t="b">
        <f>IFERROR(__xludf.DUMMYFUNCTION("""COMPUTED_VALUE"""),FALSE)</f>
        <v>0</v>
      </c>
      <c r="U1416" s="1" t="str">
        <f>IFERROR(__xludf.DUMMYFUNCTION("""COMPUTED_VALUE"""),"DSQ")</f>
        <v>DSQ</v>
      </c>
      <c r="V1416" s="1" t="str">
        <f>IFERROR(__xludf.DUMMYFUNCTION("""COMPUTED_VALUE"""),"DSQ")</f>
        <v>DSQ</v>
      </c>
      <c r="W1416" s="1" t="str">
        <f>IFERROR(__xludf.DUMMYFUNCTION("""COMPUTED_VALUE"""),"DSQ")</f>
        <v>DSQ</v>
      </c>
      <c r="X1416" s="1" t="str">
        <f>IFERROR(__xludf.DUMMYFUNCTION("""COMPUTED_VALUE"""),"DSQ")</f>
        <v>DSQ</v>
      </c>
      <c r="Y1416" s="2"/>
      <c r="Z1416" s="2" t="str">
        <f>IFERROR(__xludf.DUMMYFUNCTION("""COMPUTED_VALUE"""),"")</f>
        <v/>
      </c>
    </row>
    <row r="1417">
      <c r="A1417" s="1">
        <f>IFERROR(__xludf.DUMMYFUNCTION("""COMPUTED_VALUE"""),1416.0)</f>
        <v>1416</v>
      </c>
      <c r="B1417" s="1">
        <f>IFERROR(__xludf.DUMMYFUNCTION("""COMPUTED_VALUE"""),5925.0)</f>
        <v>5925</v>
      </c>
      <c r="C1417" s="2" t="str">
        <f>IFERROR(__xludf.DUMMYFUNCTION("""COMPUTED_VALUE"""),"Melia")</f>
        <v>Melia</v>
      </c>
      <c r="D1417" s="2" t="str">
        <f>IFERROR(__xludf.DUMMYFUNCTION("""COMPUTED_VALUE"""),"5KM OVERALL F")</f>
        <v>5KM OVERALL F</v>
      </c>
      <c r="E1417" s="1">
        <f>IFERROR(__xludf.DUMMYFUNCTION("""COMPUTED_VALUE"""),2.0)</f>
        <v>2</v>
      </c>
      <c r="F1417" s="1" t="str">
        <f>IFERROR(__xludf.DUMMYFUNCTION("""COMPUTED_VALUE"""),"Female")</f>
        <v>Female</v>
      </c>
      <c r="G1417" s="4" t="b">
        <f>IFERROR(__xludf.DUMMYFUNCTION("""COMPUTED_VALUE"""),TRUE)</f>
        <v>1</v>
      </c>
      <c r="H1417" s="4" t="b">
        <f>IFERROR(__xludf.DUMMYFUNCTION("""COMPUTED_VALUE"""),TRUE)</f>
        <v>1</v>
      </c>
      <c r="I1417" s="4">
        <f>IFERROR(__xludf.DUMMYFUNCTION("""COMPUTED_VALUE"""),0.2549440625)</f>
        <v>0.2549440625</v>
      </c>
      <c r="J1417" s="4">
        <f>IFERROR(__xludf.DUMMYFUNCTION("""COMPUTED_VALUE"""),45949.27839127817)</f>
        <v>45949.27839</v>
      </c>
      <c r="K1417" s="4" t="str">
        <f>IFERROR(__xludf.DUMMYFUNCTION("""COMPUTED_VALUE"""),"")</f>
        <v/>
      </c>
      <c r="L1417" s="4">
        <f>IFERROR(__xludf.DUMMYFUNCTION("""COMPUTED_VALUE"""),45949.297678588184)</f>
        <v>45949.29768</v>
      </c>
      <c r="M1417" s="1" t="str">
        <f>IFERROR(__xludf.DUMMYFUNCTION("""COMPUTED_VALUE"""),"RFID")</f>
        <v>RFID</v>
      </c>
      <c r="N1417" s="5">
        <f>IFERROR(__xludf.DUMMYFUNCTION("""COMPUTED_VALUE"""),0.009378884259259259)</f>
        <v>0.009378884259</v>
      </c>
      <c r="O1417" s="5" t="str">
        <f>IFERROR(__xludf.DUMMYFUNCTION("""COMPUTED_VALUE"""),"")</f>
        <v/>
      </c>
      <c r="P1417" s="5" t="str">
        <f>IFERROR(__xludf.DUMMYFUNCTION("""COMPUTED_VALUE"""),"")</f>
        <v/>
      </c>
      <c r="Q1417" s="5">
        <f>IFERROR(__xludf.DUMMYFUNCTION("""COMPUTED_VALUE"""),0.008546905092592592)</f>
        <v>0.008546905093</v>
      </c>
      <c r="R1417" s="4">
        <f>IFERROR(__xludf.DUMMYFUNCTION("""COMPUTED_VALUE"""),45949.04273452568)</f>
        <v>45949.04273</v>
      </c>
      <c r="S1417" s="1" t="b">
        <f>IFERROR(__xludf.DUMMYFUNCTION("""COMPUTED_VALUE"""),TRUE)</f>
        <v>1</v>
      </c>
      <c r="T1417" s="1" t="b">
        <f>IFERROR(__xludf.DUMMYFUNCTION("""COMPUTED_VALUE"""),FALSE)</f>
        <v>0</v>
      </c>
      <c r="U1417" s="1" t="str">
        <f>IFERROR(__xludf.DUMMYFUNCTION("""COMPUTED_VALUE"""),"VALID")</f>
        <v>VALID</v>
      </c>
      <c r="V1417" s="1">
        <f>IFERROR(__xludf.DUMMYFUNCTION("""COMPUTED_VALUE"""),370.0)</f>
        <v>370</v>
      </c>
      <c r="W1417" s="1">
        <f>IFERROR(__xludf.DUMMYFUNCTION("""COMPUTED_VALUE"""),1352.0)</f>
        <v>1352</v>
      </c>
      <c r="X1417" s="1">
        <f>IFERROR(__xludf.DUMMYFUNCTION("""COMPUTED_VALUE"""),449.0)</f>
        <v>449</v>
      </c>
      <c r="Y1417" s="2"/>
      <c r="Z1417" s="2"/>
    </row>
    <row r="1418">
      <c r="A1418" s="1">
        <f>IFERROR(__xludf.DUMMYFUNCTION("""COMPUTED_VALUE"""),1417.0)</f>
        <v>1417</v>
      </c>
      <c r="B1418" s="1">
        <f>IFERROR(__xludf.DUMMYFUNCTION("""COMPUTED_VALUE"""),5926.0)</f>
        <v>5926</v>
      </c>
      <c r="C1418" s="2" t="str">
        <f>IFERROR(__xludf.DUMMYFUNCTION("""COMPUTED_VALUE"""),"LiZul")</f>
        <v>LiZul</v>
      </c>
      <c r="D1418" s="2" t="str">
        <f>IFERROR(__xludf.DUMMYFUNCTION("""COMPUTED_VALUE"""),"5KM OVERALL F")</f>
        <v>5KM OVERALL F</v>
      </c>
      <c r="E1418" s="1">
        <f>IFERROR(__xludf.DUMMYFUNCTION("""COMPUTED_VALUE"""),2.0)</f>
        <v>2</v>
      </c>
      <c r="F1418" s="1" t="str">
        <f>IFERROR(__xludf.DUMMYFUNCTION("""COMPUTED_VALUE"""),"Female")</f>
        <v>Female</v>
      </c>
      <c r="G1418" s="4" t="b">
        <f>IFERROR(__xludf.DUMMYFUNCTION("""COMPUTED_VALUE"""),TRUE)</f>
        <v>1</v>
      </c>
      <c r="H1418" s="4" t="b">
        <f>IFERROR(__xludf.DUMMYFUNCTION("""COMPUTED_VALUE"""),FALSE)</f>
        <v>0</v>
      </c>
      <c r="I1418" s="4">
        <f>IFERROR(__xludf.DUMMYFUNCTION("""COMPUTED_VALUE"""),0.2549440625)</f>
        <v>0.2549440625</v>
      </c>
      <c r="J1418" s="4">
        <f>IFERROR(__xludf.DUMMYFUNCTION("""COMPUTED_VALUE"""),45949.281318816844)</f>
        <v>45949.28132</v>
      </c>
      <c r="K1418" s="4" t="str">
        <f>IFERROR(__xludf.DUMMYFUNCTION("""COMPUTED_VALUE"""),"")</f>
        <v/>
      </c>
      <c r="L1418" s="4">
        <f>IFERROR(__xludf.DUMMYFUNCTION("""COMPUTED_VALUE"""),45949.30001923338)</f>
        <v>45949.30002</v>
      </c>
      <c r="M1418" s="1" t="str">
        <f>IFERROR(__xludf.DUMMYFUNCTION("""COMPUTED_VALUE"""),"RFID")</f>
        <v>RFID</v>
      </c>
      <c r="N1418" s="5">
        <f>IFERROR(__xludf.DUMMYFUNCTION("""COMPUTED_VALUE"""),0.010549902777777778)</f>
        <v>0.01054990278</v>
      </c>
      <c r="O1418" s="5" t="str">
        <f>IFERROR(__xludf.DUMMYFUNCTION("""COMPUTED_VALUE"""),"")</f>
        <v/>
      </c>
      <c r="P1418" s="5" t="str">
        <f>IFERROR(__xludf.DUMMYFUNCTION("""COMPUTED_VALUE"""),"")</f>
        <v/>
      </c>
      <c r="Q1418" s="5">
        <f>IFERROR(__xludf.DUMMYFUNCTION("""COMPUTED_VALUE"""),0.009015034722222221)</f>
        <v>0.009015034722</v>
      </c>
      <c r="R1418" s="4">
        <f>IFERROR(__xludf.DUMMYFUNCTION("""COMPUTED_VALUE"""),45949.04507517088)</f>
        <v>45949.04508</v>
      </c>
      <c r="S1418" s="1" t="b">
        <f>IFERROR(__xludf.DUMMYFUNCTION("""COMPUTED_VALUE"""),TRUE)</f>
        <v>1</v>
      </c>
      <c r="T1418" s="1" t="b">
        <f>IFERROR(__xludf.DUMMYFUNCTION("""COMPUTED_VALUE"""),FALSE)</f>
        <v>0</v>
      </c>
      <c r="U1418" s="1" t="str">
        <f>IFERROR(__xludf.DUMMYFUNCTION("""COMPUTED_VALUE"""),"VALID")</f>
        <v>VALID</v>
      </c>
      <c r="V1418" s="1">
        <f>IFERROR(__xludf.DUMMYFUNCTION("""COMPUTED_VALUE"""),418.0)</f>
        <v>418</v>
      </c>
      <c r="W1418" s="1">
        <f>IFERROR(__xludf.DUMMYFUNCTION("""COMPUTED_VALUE"""),1450.0)</f>
        <v>1450</v>
      </c>
      <c r="X1418" s="1">
        <f>IFERROR(__xludf.DUMMYFUNCTION("""COMPUTED_VALUE"""),512.0)</f>
        <v>512</v>
      </c>
      <c r="Y1418" s="2"/>
      <c r="Z1418" s="2"/>
    </row>
    <row r="1419">
      <c r="A1419" s="1">
        <f>IFERROR(__xludf.DUMMYFUNCTION("""COMPUTED_VALUE"""),1418.0)</f>
        <v>1418</v>
      </c>
      <c r="B1419" s="1">
        <f>IFERROR(__xludf.DUMMYFUNCTION("""COMPUTED_VALUE"""),5933.0)</f>
        <v>5933</v>
      </c>
      <c r="C1419" s="2" t="str">
        <f>IFERROR(__xludf.DUMMYFUNCTION("""COMPUTED_VALUE"""),"Ulfah Inaya")</f>
        <v>Ulfah Inaya</v>
      </c>
      <c r="D1419" s="2" t="str">
        <f>IFERROR(__xludf.DUMMYFUNCTION("""COMPUTED_VALUE"""),"5KM OVERALL F")</f>
        <v>5KM OVERALL F</v>
      </c>
      <c r="E1419" s="1">
        <f>IFERROR(__xludf.DUMMYFUNCTION("""COMPUTED_VALUE"""),2.0)</f>
        <v>2</v>
      </c>
      <c r="F1419" s="1" t="str">
        <f>IFERROR(__xludf.DUMMYFUNCTION("""COMPUTED_VALUE"""),"Female")</f>
        <v>Female</v>
      </c>
      <c r="G1419" s="4" t="b">
        <f>IFERROR(__xludf.DUMMYFUNCTION("""COMPUTED_VALUE"""),TRUE)</f>
        <v>1</v>
      </c>
      <c r="H1419" s="4" t="b">
        <f>IFERROR(__xludf.DUMMYFUNCTION("""COMPUTED_VALUE"""),TRUE)</f>
        <v>1</v>
      </c>
      <c r="I1419" s="4">
        <f>IFERROR(__xludf.DUMMYFUNCTION("""COMPUTED_VALUE"""),0.2549440625)</f>
        <v>0.2549440625</v>
      </c>
      <c r="J1419" s="4">
        <f>IFERROR(__xludf.DUMMYFUNCTION("""COMPUTED_VALUE"""),45949.276363556186)</f>
        <v>45949.27636</v>
      </c>
      <c r="K1419" s="4" t="str">
        <f>IFERROR(__xludf.DUMMYFUNCTION("""COMPUTED_VALUE"""),"")</f>
        <v/>
      </c>
      <c r="L1419" s="4">
        <f>IFERROR(__xludf.DUMMYFUNCTION("""COMPUTED_VALUE"""),45949.29263003237)</f>
        <v>45949.29263</v>
      </c>
      <c r="M1419" s="1" t="str">
        <f>IFERROR(__xludf.DUMMYFUNCTION("""COMPUTED_VALUE"""),"RFID")</f>
        <v>RFID</v>
      </c>
      <c r="N1419" s="5">
        <f>IFERROR(__xludf.DUMMYFUNCTION("""COMPUTED_VALUE"""),0.008567796296296297)</f>
        <v>0.008567796296</v>
      </c>
      <c r="O1419" s="5" t="str">
        <f>IFERROR(__xludf.DUMMYFUNCTION("""COMPUTED_VALUE"""),"")</f>
        <v/>
      </c>
      <c r="P1419" s="5" t="str">
        <f>IFERROR(__xludf.DUMMYFUNCTION("""COMPUTED_VALUE"""),"")</f>
        <v/>
      </c>
      <c r="Q1419" s="5">
        <f>IFERROR(__xludf.DUMMYFUNCTION("""COMPUTED_VALUE"""),0.007537194444444445)</f>
        <v>0.007537194444</v>
      </c>
      <c r="R1419" s="4">
        <f>IFERROR(__xludf.DUMMYFUNCTION("""COMPUTED_VALUE"""),45949.037685969866)</f>
        <v>45949.03769</v>
      </c>
      <c r="S1419" s="1" t="b">
        <f>IFERROR(__xludf.DUMMYFUNCTION("""COMPUTED_VALUE"""),TRUE)</f>
        <v>1</v>
      </c>
      <c r="T1419" s="1" t="b">
        <f>IFERROR(__xludf.DUMMYFUNCTION("""COMPUTED_VALUE"""),FALSE)</f>
        <v>0</v>
      </c>
      <c r="U1419" s="1" t="str">
        <f>IFERROR(__xludf.DUMMYFUNCTION("""COMPUTED_VALUE"""),"VALID")</f>
        <v>VALID</v>
      </c>
      <c r="V1419" s="1">
        <f>IFERROR(__xludf.DUMMYFUNCTION("""COMPUTED_VALUE"""),240.0)</f>
        <v>240</v>
      </c>
      <c r="W1419" s="1">
        <f>IFERROR(__xludf.DUMMYFUNCTION("""COMPUTED_VALUE"""),1076.0)</f>
        <v>1076</v>
      </c>
      <c r="X1419" s="1">
        <f>IFERROR(__xludf.DUMMYFUNCTION("""COMPUTED_VALUE"""),295.0)</f>
        <v>295</v>
      </c>
      <c r="Y1419" s="2"/>
      <c r="Z1419" s="2"/>
    </row>
    <row r="1420">
      <c r="A1420" s="1">
        <f>IFERROR(__xludf.DUMMYFUNCTION("""COMPUTED_VALUE"""),1419.0)</f>
        <v>1419</v>
      </c>
      <c r="B1420" s="1">
        <f>IFERROR(__xludf.DUMMYFUNCTION("""COMPUTED_VALUE"""),5935.0)</f>
        <v>5935</v>
      </c>
      <c r="C1420" s="2" t="str">
        <f>IFERROR(__xludf.DUMMYFUNCTION("""COMPUTED_VALUE"""),"Suci")</f>
        <v>Suci</v>
      </c>
      <c r="D1420" s="2" t="str">
        <f>IFERROR(__xludf.DUMMYFUNCTION("""COMPUTED_VALUE"""),"5KM OVERALL F")</f>
        <v>5KM OVERALL F</v>
      </c>
      <c r="E1420" s="1">
        <f>IFERROR(__xludf.DUMMYFUNCTION("""COMPUTED_VALUE"""),2.0)</f>
        <v>2</v>
      </c>
      <c r="F1420" s="1" t="str">
        <f>IFERROR(__xludf.DUMMYFUNCTION("""COMPUTED_VALUE"""),"Female")</f>
        <v>Female</v>
      </c>
      <c r="G1420" s="4" t="b">
        <f>IFERROR(__xludf.DUMMYFUNCTION("""COMPUTED_VALUE"""),TRUE)</f>
        <v>1</v>
      </c>
      <c r="H1420" s="4" t="b">
        <f>IFERROR(__xludf.DUMMYFUNCTION("""COMPUTED_VALUE"""),FALSE)</f>
        <v>0</v>
      </c>
      <c r="I1420" s="4">
        <f>IFERROR(__xludf.DUMMYFUNCTION("""COMPUTED_VALUE"""),0.2549440625)</f>
        <v>0.2549440625</v>
      </c>
      <c r="J1420" s="4">
        <f>IFERROR(__xludf.DUMMYFUNCTION("""COMPUTED_VALUE"""),45949.27596419767)</f>
        <v>45949.27596</v>
      </c>
      <c r="K1420" s="4" t="str">
        <f>IFERROR(__xludf.DUMMYFUNCTION("""COMPUTED_VALUE"""),"")</f>
        <v/>
      </c>
      <c r="L1420" s="4">
        <f>IFERROR(__xludf.DUMMYFUNCTION("""COMPUTED_VALUE"""),45949.291602253776)</f>
        <v>45949.2916</v>
      </c>
      <c r="M1420" s="1" t="str">
        <f>IFERROR(__xludf.DUMMYFUNCTION("""COMPUTED_VALUE"""),"RFID")</f>
        <v>RFID</v>
      </c>
      <c r="N1420" s="5">
        <f>IFERROR(__xludf.DUMMYFUNCTION("""COMPUTED_VALUE"""),0.008408055555555556)</f>
        <v>0.008408055556</v>
      </c>
      <c r="O1420" s="5" t="str">
        <f>IFERROR(__xludf.DUMMYFUNCTION("""COMPUTED_VALUE"""),"")</f>
        <v/>
      </c>
      <c r="P1420" s="5" t="str">
        <f>IFERROR(__xludf.DUMMYFUNCTION("""COMPUTED_VALUE"""),"")</f>
        <v/>
      </c>
      <c r="Q1420" s="5">
        <f>IFERROR(__xludf.DUMMYFUNCTION("""COMPUTED_VALUE"""),0.007331638888888889)</f>
        <v>0.007331638889</v>
      </c>
      <c r="R1420" s="4">
        <f>IFERROR(__xludf.DUMMYFUNCTION("""COMPUTED_VALUE"""),45949.036658191275)</f>
        <v>45949.03666</v>
      </c>
      <c r="S1420" s="1" t="b">
        <f>IFERROR(__xludf.DUMMYFUNCTION("""COMPUTED_VALUE"""),TRUE)</f>
        <v>1</v>
      </c>
      <c r="T1420" s="1" t="b">
        <f>IFERROR(__xludf.DUMMYFUNCTION("""COMPUTED_VALUE"""),FALSE)</f>
        <v>0</v>
      </c>
      <c r="U1420" s="1" t="str">
        <f>IFERROR(__xludf.DUMMYFUNCTION("""COMPUTED_VALUE"""),"VALID")</f>
        <v>VALID</v>
      </c>
      <c r="V1420" s="1">
        <f>IFERROR(__xludf.DUMMYFUNCTION("""COMPUTED_VALUE"""),209.0)</f>
        <v>209</v>
      </c>
      <c r="W1420" s="1">
        <f>IFERROR(__xludf.DUMMYFUNCTION("""COMPUTED_VALUE"""),1006.0)</f>
        <v>1006</v>
      </c>
      <c r="X1420" s="1">
        <f>IFERROR(__xludf.DUMMYFUNCTION("""COMPUTED_VALUE"""),261.0)</f>
        <v>261</v>
      </c>
      <c r="Y1420" s="2"/>
      <c r="Z1420" s="2"/>
    </row>
    <row r="1421">
      <c r="A1421" s="1">
        <f>IFERROR(__xludf.DUMMYFUNCTION("""COMPUTED_VALUE"""),1420.0)</f>
        <v>1420</v>
      </c>
      <c r="B1421" s="1">
        <f>IFERROR(__xludf.DUMMYFUNCTION("""COMPUTED_VALUE"""),5937.0)</f>
        <v>5937</v>
      </c>
      <c r="C1421" s="2" t="str">
        <f>IFERROR(__xludf.DUMMYFUNCTION("""COMPUTED_VALUE"""),"DINDA DWI LESTARI")</f>
        <v>DINDA DWI LESTARI</v>
      </c>
      <c r="D1421" s="2" t="str">
        <f>IFERROR(__xludf.DUMMYFUNCTION("""COMPUTED_VALUE"""),"5KM OVERALL F")</f>
        <v>5KM OVERALL F</v>
      </c>
      <c r="E1421" s="1">
        <f>IFERROR(__xludf.DUMMYFUNCTION("""COMPUTED_VALUE"""),2.0)</f>
        <v>2</v>
      </c>
      <c r="F1421" s="1" t="str">
        <f>IFERROR(__xludf.DUMMYFUNCTION("""COMPUTED_VALUE"""),"Female")</f>
        <v>Female</v>
      </c>
      <c r="G1421" s="4" t="b">
        <f>IFERROR(__xludf.DUMMYFUNCTION("""COMPUTED_VALUE"""),TRUE)</f>
        <v>1</v>
      </c>
      <c r="H1421" s="4" t="b">
        <f>IFERROR(__xludf.DUMMYFUNCTION("""COMPUTED_VALUE"""),FALSE)</f>
        <v>0</v>
      </c>
      <c r="I1421" s="4">
        <f>IFERROR(__xludf.DUMMYFUNCTION("""COMPUTED_VALUE"""),0.2549440625)</f>
        <v>0.2549440625</v>
      </c>
      <c r="J1421" s="4" t="str">
        <f>IFERROR(__xludf.DUMMYFUNCTION("""COMPUTED_VALUE"""),"")</f>
        <v/>
      </c>
      <c r="K1421" s="4" t="str">
        <f>IFERROR(__xludf.DUMMYFUNCTION("""COMPUTED_VALUE"""),"")</f>
        <v/>
      </c>
      <c r="L1421" s="4">
        <f>IFERROR(__xludf.DUMMYFUNCTION("""COMPUTED_VALUE"""),45949.28671336862)</f>
        <v>45949.28671</v>
      </c>
      <c r="M1421" s="1" t="str">
        <f>IFERROR(__xludf.DUMMYFUNCTION("""COMPUTED_VALUE"""),"RFID")</f>
        <v>RFID</v>
      </c>
      <c r="N1421" s="5" t="str">
        <f>IFERROR(__xludf.DUMMYFUNCTION("""COMPUTED_VALUE"""),"")</f>
        <v/>
      </c>
      <c r="O1421" s="5" t="str">
        <f>IFERROR(__xludf.DUMMYFUNCTION("""COMPUTED_VALUE"""),"")</f>
        <v/>
      </c>
      <c r="P1421" s="5" t="str">
        <f>IFERROR(__xludf.DUMMYFUNCTION("""COMPUTED_VALUE"""),"")</f>
        <v/>
      </c>
      <c r="Q1421" s="5">
        <f>IFERROR(__xludf.DUMMYFUNCTION("""COMPUTED_VALUE"""),0.006353861111111111)</f>
        <v>0.006353861111</v>
      </c>
      <c r="R1421" s="4">
        <f>IFERROR(__xludf.DUMMYFUNCTION("""COMPUTED_VALUE"""),45949.03176930612)</f>
        <v>45949.03177</v>
      </c>
      <c r="S1421" s="1" t="b">
        <f>IFERROR(__xludf.DUMMYFUNCTION("""COMPUTED_VALUE"""),FALSE)</f>
        <v>0</v>
      </c>
      <c r="T1421" s="1" t="b">
        <f>IFERROR(__xludf.DUMMYFUNCTION("""COMPUTED_VALUE"""),FALSE)</f>
        <v>0</v>
      </c>
      <c r="U1421" s="1" t="str">
        <f>IFERROR(__xludf.DUMMYFUNCTION("""COMPUTED_VALUE"""),"DSQ")</f>
        <v>DSQ</v>
      </c>
      <c r="V1421" s="1" t="str">
        <f>IFERROR(__xludf.DUMMYFUNCTION("""COMPUTED_VALUE"""),"DSQ")</f>
        <v>DSQ</v>
      </c>
      <c r="W1421" s="1" t="str">
        <f>IFERROR(__xludf.DUMMYFUNCTION("""COMPUTED_VALUE"""),"DSQ")</f>
        <v>DSQ</v>
      </c>
      <c r="X1421" s="1" t="str">
        <f>IFERROR(__xludf.DUMMYFUNCTION("""COMPUTED_VALUE"""),"DSQ")</f>
        <v>DSQ</v>
      </c>
      <c r="Y1421" s="2" t="str">
        <f>IFERROR(__xludf.DUMMYFUNCTION("""COMPUTED_VALUE"""),"tidak ada di checkpoint 1")</f>
        <v>tidak ada di checkpoint 1</v>
      </c>
      <c r="Z1421" s="2" t="str">
        <f>IFERROR(__xludf.DUMMYFUNCTION("""COMPUTED_VALUE"""),"")</f>
        <v/>
      </c>
    </row>
    <row r="1422">
      <c r="A1422" s="1">
        <f>IFERROR(__xludf.DUMMYFUNCTION("""COMPUTED_VALUE"""),1421.0)</f>
        <v>1421</v>
      </c>
      <c r="B1422" s="1">
        <f>IFERROR(__xludf.DUMMYFUNCTION("""COMPUTED_VALUE"""),5940.0)</f>
        <v>5940</v>
      </c>
      <c r="C1422" s="2" t="str">
        <f>IFERROR(__xludf.DUMMYFUNCTION("""COMPUTED_VALUE"""),"SIVIA CYNTHIA")</f>
        <v>SIVIA CYNTHIA</v>
      </c>
      <c r="D1422" s="2" t="str">
        <f>IFERROR(__xludf.DUMMYFUNCTION("""COMPUTED_VALUE"""),"5KM OVERALL F")</f>
        <v>5KM OVERALL F</v>
      </c>
      <c r="E1422" s="1">
        <f>IFERROR(__xludf.DUMMYFUNCTION("""COMPUTED_VALUE"""),2.0)</f>
        <v>2</v>
      </c>
      <c r="F1422" s="1" t="str">
        <f>IFERROR(__xludf.DUMMYFUNCTION("""COMPUTED_VALUE"""),"Female")</f>
        <v>Female</v>
      </c>
      <c r="G1422" s="4" t="b">
        <f>IFERROR(__xludf.DUMMYFUNCTION("""COMPUTED_VALUE"""),TRUE)</f>
        <v>1</v>
      </c>
      <c r="H1422" s="4" t="b">
        <f>IFERROR(__xludf.DUMMYFUNCTION("""COMPUTED_VALUE"""),FALSE)</f>
        <v>0</v>
      </c>
      <c r="I1422" s="4">
        <f>IFERROR(__xludf.DUMMYFUNCTION("""COMPUTED_VALUE"""),0.2549440625)</f>
        <v>0.2549440625</v>
      </c>
      <c r="J1422" s="4">
        <f>IFERROR(__xludf.DUMMYFUNCTION("""COMPUTED_VALUE"""),45949.28091906194)</f>
        <v>45949.28092</v>
      </c>
      <c r="K1422" s="4" t="str">
        <f>IFERROR(__xludf.DUMMYFUNCTION("""COMPUTED_VALUE"""),"")</f>
        <v/>
      </c>
      <c r="L1422" s="4">
        <f>IFERROR(__xludf.DUMMYFUNCTION("""COMPUTED_VALUE"""),45949.2986960314)</f>
        <v>45949.2987</v>
      </c>
      <c r="M1422" s="1" t="str">
        <f>IFERROR(__xludf.DUMMYFUNCTION("""COMPUTED_VALUE"""),"RFID")</f>
        <v>RFID</v>
      </c>
      <c r="N1422" s="5">
        <f>IFERROR(__xludf.DUMMYFUNCTION("""COMPUTED_VALUE"""),0.01039)</f>
        <v>0.01039</v>
      </c>
      <c r="O1422" s="5" t="str">
        <f>IFERROR(__xludf.DUMMYFUNCTION("""COMPUTED_VALUE"""),"")</f>
        <v/>
      </c>
      <c r="P1422" s="5" t="str">
        <f>IFERROR(__xludf.DUMMYFUNCTION("""COMPUTED_VALUE"""),"")</f>
        <v/>
      </c>
      <c r="Q1422" s="5">
        <f>IFERROR(__xludf.DUMMYFUNCTION("""COMPUTED_VALUE"""),0.008750393518518518)</f>
        <v>0.008750393519</v>
      </c>
      <c r="R1422" s="4">
        <f>IFERROR(__xludf.DUMMYFUNCTION("""COMPUTED_VALUE"""),45949.0437519689)</f>
        <v>45949.04375</v>
      </c>
      <c r="S1422" s="1" t="b">
        <f>IFERROR(__xludf.DUMMYFUNCTION("""COMPUTED_VALUE"""),TRUE)</f>
        <v>1</v>
      </c>
      <c r="T1422" s="1" t="b">
        <f>IFERROR(__xludf.DUMMYFUNCTION("""COMPUTED_VALUE"""),FALSE)</f>
        <v>0</v>
      </c>
      <c r="U1422" s="1" t="str">
        <f>IFERROR(__xludf.DUMMYFUNCTION("""COMPUTED_VALUE"""),"VALID")</f>
        <v>VALID</v>
      </c>
      <c r="V1422" s="1">
        <f>IFERROR(__xludf.DUMMYFUNCTION("""COMPUTED_VALUE"""),394.0)</f>
        <v>394</v>
      </c>
      <c r="W1422" s="1">
        <f>IFERROR(__xludf.DUMMYFUNCTION("""COMPUTED_VALUE"""),1396.0)</f>
        <v>1396</v>
      </c>
      <c r="X1422" s="1">
        <f>IFERROR(__xludf.DUMMYFUNCTION("""COMPUTED_VALUE"""),477.0)</f>
        <v>477</v>
      </c>
      <c r="Y1422" s="2"/>
      <c r="Z1422" s="2"/>
    </row>
    <row r="1423">
      <c r="A1423" s="1">
        <f>IFERROR(__xludf.DUMMYFUNCTION("""COMPUTED_VALUE"""),1422.0)</f>
        <v>1422</v>
      </c>
      <c r="B1423" s="1">
        <f>IFERROR(__xludf.DUMMYFUNCTION("""COMPUTED_VALUE"""),5942.0)</f>
        <v>5942</v>
      </c>
      <c r="C1423" s="2" t="str">
        <f>IFERROR(__xludf.DUMMYFUNCTION("""COMPUTED_VALUE"""),"NURUL HIDAYATI")</f>
        <v>NURUL HIDAYATI</v>
      </c>
      <c r="D1423" s="2" t="str">
        <f>IFERROR(__xludf.DUMMYFUNCTION("""COMPUTED_VALUE"""),"5KM OVERALL F")</f>
        <v>5KM OVERALL F</v>
      </c>
      <c r="E1423" s="1">
        <f>IFERROR(__xludf.DUMMYFUNCTION("""COMPUTED_VALUE"""),2.0)</f>
        <v>2</v>
      </c>
      <c r="F1423" s="1" t="str">
        <f>IFERROR(__xludf.DUMMYFUNCTION("""COMPUTED_VALUE"""),"Female")</f>
        <v>Female</v>
      </c>
      <c r="G1423" s="4" t="b">
        <f>IFERROR(__xludf.DUMMYFUNCTION("""COMPUTED_VALUE"""),TRUE)</f>
        <v>1</v>
      </c>
      <c r="H1423" s="4" t="b">
        <f>IFERROR(__xludf.DUMMYFUNCTION("""COMPUTED_VALUE"""),TRUE)</f>
        <v>1</v>
      </c>
      <c r="I1423" s="4">
        <f>IFERROR(__xludf.DUMMYFUNCTION("""COMPUTED_VALUE"""),0.2549440625)</f>
        <v>0.2549440625</v>
      </c>
      <c r="J1423" s="4">
        <f>IFERROR(__xludf.DUMMYFUNCTION("""COMPUTED_VALUE"""),45949.278391289736)</f>
        <v>45949.27839</v>
      </c>
      <c r="K1423" s="4" t="str">
        <f>IFERROR(__xludf.DUMMYFUNCTION("""COMPUTED_VALUE"""),"")</f>
        <v/>
      </c>
      <c r="L1423" s="4">
        <f>IFERROR(__xludf.DUMMYFUNCTION("""COMPUTED_VALUE"""),45949.2976959555)</f>
        <v>45949.2977</v>
      </c>
      <c r="M1423" s="1" t="str">
        <f>IFERROR(__xludf.DUMMYFUNCTION("""COMPUTED_VALUE"""),"RFID")</f>
        <v>RFID</v>
      </c>
      <c r="N1423" s="5">
        <f>IFERROR(__xludf.DUMMYFUNCTION("""COMPUTED_VALUE"""),0.009378888888888888)</f>
        <v>0.009378888889</v>
      </c>
      <c r="O1423" s="5" t="str">
        <f>IFERROR(__xludf.DUMMYFUNCTION("""COMPUTED_VALUE"""),"")</f>
        <v/>
      </c>
      <c r="P1423" s="5" t="str">
        <f>IFERROR(__xludf.DUMMYFUNCTION("""COMPUTED_VALUE"""),"")</f>
        <v/>
      </c>
      <c r="Q1423" s="5">
        <f>IFERROR(__xludf.DUMMYFUNCTION("""COMPUTED_VALUE"""),0.00855037962962963)</f>
        <v>0.00855037963</v>
      </c>
      <c r="R1423" s="4">
        <f>IFERROR(__xludf.DUMMYFUNCTION("""COMPUTED_VALUE"""),45949.042751893)</f>
        <v>45949.04275</v>
      </c>
      <c r="S1423" s="1" t="b">
        <f>IFERROR(__xludf.DUMMYFUNCTION("""COMPUTED_VALUE"""),TRUE)</f>
        <v>1</v>
      </c>
      <c r="T1423" s="1" t="b">
        <f>IFERROR(__xludf.DUMMYFUNCTION("""COMPUTED_VALUE"""),FALSE)</f>
        <v>0</v>
      </c>
      <c r="U1423" s="1" t="str">
        <f>IFERROR(__xludf.DUMMYFUNCTION("""COMPUTED_VALUE"""),"VALID")</f>
        <v>VALID</v>
      </c>
      <c r="V1423" s="1">
        <f>IFERROR(__xludf.DUMMYFUNCTION("""COMPUTED_VALUE"""),371.0)</f>
        <v>371</v>
      </c>
      <c r="W1423" s="1">
        <f>IFERROR(__xludf.DUMMYFUNCTION("""COMPUTED_VALUE"""),1353.0)</f>
        <v>1353</v>
      </c>
      <c r="X1423" s="1">
        <f>IFERROR(__xludf.DUMMYFUNCTION("""COMPUTED_VALUE"""),450.0)</f>
        <v>450</v>
      </c>
      <c r="Y1423" s="2"/>
      <c r="Z1423" s="2"/>
    </row>
    <row r="1424">
      <c r="A1424" s="1">
        <f>IFERROR(__xludf.DUMMYFUNCTION("""COMPUTED_VALUE"""),1423.0)</f>
        <v>1423</v>
      </c>
      <c r="B1424" s="1">
        <f>IFERROR(__xludf.DUMMYFUNCTION("""COMPUTED_VALUE"""),5945.0)</f>
        <v>5945</v>
      </c>
      <c r="C1424" s="2" t="str">
        <f>IFERROR(__xludf.DUMMYFUNCTION("""COMPUTED_VALUE"""),"ENDAH SOELISTIJONO")</f>
        <v>ENDAH SOELISTIJONO</v>
      </c>
      <c r="D1424" s="2" t="str">
        <f>IFERROR(__xludf.DUMMYFUNCTION("""COMPUTED_VALUE"""),"5KM OVERALL F")</f>
        <v>5KM OVERALL F</v>
      </c>
      <c r="E1424" s="1">
        <f>IFERROR(__xludf.DUMMYFUNCTION("""COMPUTED_VALUE"""),2.0)</f>
        <v>2</v>
      </c>
      <c r="F1424" s="1" t="str">
        <f>IFERROR(__xludf.DUMMYFUNCTION("""COMPUTED_VALUE"""),"Female")</f>
        <v>Female</v>
      </c>
      <c r="G1424" s="4" t="str">
        <f>IFERROR(__xludf.DUMMYFUNCTION("""COMPUTED_VALUE"""),"")</f>
        <v/>
      </c>
      <c r="H1424" s="4" t="b">
        <f>IFERROR(__xludf.DUMMYFUNCTION("""COMPUTED_VALUE"""),FALSE)</f>
        <v>0</v>
      </c>
      <c r="I1424" s="4">
        <f>IFERROR(__xludf.DUMMYFUNCTION("""COMPUTED_VALUE"""),0.2549440625)</f>
        <v>0.2549440625</v>
      </c>
      <c r="J1424" s="4" t="str">
        <f>IFERROR(__xludf.DUMMYFUNCTION("""COMPUTED_VALUE"""),"")</f>
        <v/>
      </c>
      <c r="K1424" s="4" t="str">
        <f>IFERROR(__xludf.DUMMYFUNCTION("""COMPUTED_VALUE"""),"")</f>
        <v/>
      </c>
      <c r="L1424" s="4" t="str">
        <f>IFERROR(__xludf.DUMMYFUNCTION("""COMPUTED_VALUE"""),"")</f>
        <v/>
      </c>
      <c r="M1424" s="1" t="str">
        <f>IFERROR(__xludf.DUMMYFUNCTION("""COMPUTED_VALUE"""),"RFID")</f>
        <v>RFID</v>
      </c>
      <c r="N1424" s="5" t="str">
        <f>IFERROR(__xludf.DUMMYFUNCTION("""COMPUTED_VALUE"""),"")</f>
        <v/>
      </c>
      <c r="O1424" s="5" t="str">
        <f>IFERROR(__xludf.DUMMYFUNCTION("""COMPUTED_VALUE"""),"")</f>
        <v/>
      </c>
      <c r="P1424" s="5" t="str">
        <f>IFERROR(__xludf.DUMMYFUNCTION("""COMPUTED_VALUE"""),"")</f>
        <v/>
      </c>
      <c r="Q1424" s="5" t="str">
        <f>IFERROR(__xludf.DUMMYFUNCTION("""COMPUTED_VALUE"""),"")</f>
        <v/>
      </c>
      <c r="R1424" s="4" t="str">
        <f>IFERROR(__xludf.DUMMYFUNCTION("""COMPUTED_VALUE"""),"")</f>
        <v/>
      </c>
      <c r="S1424" s="1" t="b">
        <f>IFERROR(__xludf.DUMMYFUNCTION("""COMPUTED_VALUE"""),FALSE)</f>
        <v>0</v>
      </c>
      <c r="T1424" s="1" t="b">
        <f>IFERROR(__xludf.DUMMYFUNCTION("""COMPUTED_VALUE"""),FALSE)</f>
        <v>0</v>
      </c>
      <c r="U1424" s="1" t="str">
        <f>IFERROR(__xludf.DUMMYFUNCTION("""COMPUTED_VALUE"""),"DSQ")</f>
        <v>DSQ</v>
      </c>
      <c r="V1424" s="1" t="str">
        <f>IFERROR(__xludf.DUMMYFUNCTION("""COMPUTED_VALUE"""),"DSQ")</f>
        <v>DSQ</v>
      </c>
      <c r="W1424" s="1" t="str">
        <f>IFERROR(__xludf.DUMMYFUNCTION("""COMPUTED_VALUE"""),"DSQ")</f>
        <v>DSQ</v>
      </c>
      <c r="X1424" s="1" t="str">
        <f>IFERROR(__xludf.DUMMYFUNCTION("""COMPUTED_VALUE"""),"DSQ")</f>
        <v>DSQ</v>
      </c>
      <c r="Y1424" s="2"/>
      <c r="Z1424" s="2" t="str">
        <f>IFERROR(__xludf.DUMMYFUNCTION("""COMPUTED_VALUE"""),"")</f>
        <v/>
      </c>
    </row>
    <row r="1425">
      <c r="A1425" s="1">
        <f>IFERROR(__xludf.DUMMYFUNCTION("""COMPUTED_VALUE"""),1424.0)</f>
        <v>1424</v>
      </c>
      <c r="B1425" s="1">
        <f>IFERROR(__xludf.DUMMYFUNCTION("""COMPUTED_VALUE"""),5952.0)</f>
        <v>5952</v>
      </c>
      <c r="C1425" s="2" t="str">
        <f>IFERROR(__xludf.DUMMYFUNCTION("""COMPUTED_VALUE"""),"DFL")</f>
        <v>DFL</v>
      </c>
      <c r="D1425" s="2" t="str">
        <f>IFERROR(__xludf.DUMMYFUNCTION("""COMPUTED_VALUE"""),"5KM OVERALL F")</f>
        <v>5KM OVERALL F</v>
      </c>
      <c r="E1425" s="1">
        <f>IFERROR(__xludf.DUMMYFUNCTION("""COMPUTED_VALUE"""),2.0)</f>
        <v>2</v>
      </c>
      <c r="F1425" s="1" t="str">
        <f>IFERROR(__xludf.DUMMYFUNCTION("""COMPUTED_VALUE"""),"Female")</f>
        <v>Female</v>
      </c>
      <c r="G1425" s="4" t="b">
        <f>IFERROR(__xludf.DUMMYFUNCTION("""COMPUTED_VALUE"""),TRUE)</f>
        <v>1</v>
      </c>
      <c r="H1425" s="4" t="b">
        <f>IFERROR(__xludf.DUMMYFUNCTION("""COMPUTED_VALUE"""),TRUE)</f>
        <v>1</v>
      </c>
      <c r="I1425" s="4">
        <f>IFERROR(__xludf.DUMMYFUNCTION("""COMPUTED_VALUE"""),0.2549440625)</f>
        <v>0.2549440625</v>
      </c>
      <c r="J1425" s="4">
        <f>IFERROR(__xludf.DUMMYFUNCTION("""COMPUTED_VALUE"""),45949.27671081309)</f>
        <v>45949.27671</v>
      </c>
      <c r="K1425" s="4" t="str">
        <f>IFERROR(__xludf.DUMMYFUNCTION("""COMPUTED_VALUE"""),"")</f>
        <v/>
      </c>
      <c r="L1425" s="4">
        <f>IFERROR(__xludf.DUMMYFUNCTION("""COMPUTED_VALUE"""),45949.28996336419)</f>
        <v>45949.28996</v>
      </c>
      <c r="M1425" s="1" t="str">
        <f>IFERROR(__xludf.DUMMYFUNCTION("""COMPUTED_VALUE"""),"RFID")</f>
        <v>RFID</v>
      </c>
      <c r="N1425" s="5">
        <f>IFERROR(__xludf.DUMMYFUNCTION("""COMPUTED_VALUE"""),0.008706699074074075)</f>
        <v>0.008706699074</v>
      </c>
      <c r="O1425" s="5" t="str">
        <f>IFERROR(__xludf.DUMMYFUNCTION("""COMPUTED_VALUE"""),"")</f>
        <v/>
      </c>
      <c r="P1425" s="5" t="str">
        <f>IFERROR(__xludf.DUMMYFUNCTION("""COMPUTED_VALUE"""),"")</f>
        <v/>
      </c>
      <c r="Q1425" s="5">
        <f>IFERROR(__xludf.DUMMYFUNCTION("""COMPUTED_VALUE"""),0.007003861111111111)</f>
        <v>0.007003861111</v>
      </c>
      <c r="R1425" s="4">
        <f>IFERROR(__xludf.DUMMYFUNCTION("""COMPUTED_VALUE"""),45949.035019301686)</f>
        <v>45949.03502</v>
      </c>
      <c r="S1425" s="1" t="b">
        <f>IFERROR(__xludf.DUMMYFUNCTION("""COMPUTED_VALUE"""),TRUE)</f>
        <v>1</v>
      </c>
      <c r="T1425" s="1" t="b">
        <f>IFERROR(__xludf.DUMMYFUNCTION("""COMPUTED_VALUE"""),FALSE)</f>
        <v>0</v>
      </c>
      <c r="U1425" s="1" t="str">
        <f>IFERROR(__xludf.DUMMYFUNCTION("""COMPUTED_VALUE"""),"VALID")</f>
        <v>VALID</v>
      </c>
      <c r="V1425" s="1">
        <f>IFERROR(__xludf.DUMMYFUNCTION("""COMPUTED_VALUE"""),162.0)</f>
        <v>162</v>
      </c>
      <c r="W1425" s="1">
        <f>IFERROR(__xludf.DUMMYFUNCTION("""COMPUTED_VALUE"""),889.0)</f>
        <v>889</v>
      </c>
      <c r="X1425" s="1">
        <f>IFERROR(__xludf.DUMMYFUNCTION("""COMPUTED_VALUE"""),202.0)</f>
        <v>202</v>
      </c>
      <c r="Y1425" s="2"/>
      <c r="Z1425" s="2"/>
    </row>
    <row r="1426">
      <c r="A1426" s="1">
        <f>IFERROR(__xludf.DUMMYFUNCTION("""COMPUTED_VALUE"""),1425.0)</f>
        <v>1425</v>
      </c>
      <c r="B1426" s="1">
        <f>IFERROR(__xludf.DUMMYFUNCTION("""COMPUTED_VALUE"""),5953.0)</f>
        <v>5953</v>
      </c>
      <c r="C1426" s="2" t="str">
        <f>IFERROR(__xludf.DUMMYFUNCTION("""COMPUTED_VALUE"""),"Dena")</f>
        <v>Dena</v>
      </c>
      <c r="D1426" s="2" t="str">
        <f>IFERROR(__xludf.DUMMYFUNCTION("""COMPUTED_VALUE"""),"5KM OVERALL F")</f>
        <v>5KM OVERALL F</v>
      </c>
      <c r="E1426" s="1">
        <f>IFERROR(__xludf.DUMMYFUNCTION("""COMPUTED_VALUE"""),2.0)</f>
        <v>2</v>
      </c>
      <c r="F1426" s="1" t="str">
        <f>IFERROR(__xludf.DUMMYFUNCTION("""COMPUTED_VALUE"""),"Female")</f>
        <v>Female</v>
      </c>
      <c r="G1426" s="4" t="b">
        <f>IFERROR(__xludf.DUMMYFUNCTION("""COMPUTED_VALUE"""),TRUE)</f>
        <v>1</v>
      </c>
      <c r="H1426" s="4" t="b">
        <f>IFERROR(__xludf.DUMMYFUNCTION("""COMPUTED_VALUE"""),TRUE)</f>
        <v>1</v>
      </c>
      <c r="I1426" s="4">
        <f>IFERROR(__xludf.DUMMYFUNCTION("""COMPUTED_VALUE"""),0.2549440625)</f>
        <v>0.2549440625</v>
      </c>
      <c r="J1426" s="4">
        <f>IFERROR(__xludf.DUMMYFUNCTION("""COMPUTED_VALUE"""),45949.276203769325)</f>
        <v>45949.2762</v>
      </c>
      <c r="K1426" s="4" t="str">
        <f>IFERROR(__xludf.DUMMYFUNCTION("""COMPUTED_VALUE"""),"")</f>
        <v/>
      </c>
      <c r="L1426" s="4">
        <f>IFERROR(__xludf.DUMMYFUNCTION("""COMPUTED_VALUE"""),45949.29366128218)</f>
        <v>45949.29366</v>
      </c>
      <c r="M1426" s="1" t="str">
        <f>IFERROR(__xludf.DUMMYFUNCTION("""COMPUTED_VALUE"""),"RFID")</f>
        <v>RFID</v>
      </c>
      <c r="N1426" s="5">
        <f>IFERROR(__xludf.DUMMYFUNCTION("""COMPUTED_VALUE"""),0.00850388425925926)</f>
        <v>0.008503884259</v>
      </c>
      <c r="O1426" s="5" t="str">
        <f>IFERROR(__xludf.DUMMYFUNCTION("""COMPUTED_VALUE"""),"")</f>
        <v/>
      </c>
      <c r="P1426" s="5" t="str">
        <f>IFERROR(__xludf.DUMMYFUNCTION("""COMPUTED_VALUE"""),"")</f>
        <v/>
      </c>
      <c r="Q1426" s="5">
        <f>IFERROR(__xludf.DUMMYFUNCTION("""COMPUTED_VALUE"""),0.007743444444444444)</f>
        <v>0.007743444444</v>
      </c>
      <c r="R1426" s="4">
        <f>IFERROR(__xludf.DUMMYFUNCTION("""COMPUTED_VALUE"""),45949.03871721968)</f>
        <v>45949.03872</v>
      </c>
      <c r="S1426" s="1" t="b">
        <f>IFERROR(__xludf.DUMMYFUNCTION("""COMPUTED_VALUE"""),TRUE)</f>
        <v>1</v>
      </c>
      <c r="T1426" s="1" t="b">
        <f>IFERROR(__xludf.DUMMYFUNCTION("""COMPUTED_VALUE"""),FALSE)</f>
        <v>0</v>
      </c>
      <c r="U1426" s="1" t="str">
        <f>IFERROR(__xludf.DUMMYFUNCTION("""COMPUTED_VALUE"""),"VALID")</f>
        <v>VALID</v>
      </c>
      <c r="V1426" s="1">
        <f>IFERROR(__xludf.DUMMYFUNCTION("""COMPUTED_VALUE"""),272.0)</f>
        <v>272</v>
      </c>
      <c r="W1426" s="1">
        <f>IFERROR(__xludf.DUMMYFUNCTION("""COMPUTED_VALUE"""),1145.0)</f>
        <v>1145</v>
      </c>
      <c r="X1426" s="1">
        <f>IFERROR(__xludf.DUMMYFUNCTION("""COMPUTED_VALUE"""),331.0)</f>
        <v>331</v>
      </c>
      <c r="Y1426" s="2"/>
      <c r="Z1426" s="2"/>
    </row>
    <row r="1427">
      <c r="A1427" s="1">
        <f>IFERROR(__xludf.DUMMYFUNCTION("""COMPUTED_VALUE"""),1426.0)</f>
        <v>1426</v>
      </c>
      <c r="B1427" s="1">
        <f>IFERROR(__xludf.DUMMYFUNCTION("""COMPUTED_VALUE"""),5954.0)</f>
        <v>5954</v>
      </c>
      <c r="C1427" s="2" t="str">
        <f>IFERROR(__xludf.DUMMYFUNCTION("""COMPUTED_VALUE"""),"Sara")</f>
        <v>Sara</v>
      </c>
      <c r="D1427" s="2" t="str">
        <f>IFERROR(__xludf.DUMMYFUNCTION("""COMPUTED_VALUE"""),"5KM OVERALL F")</f>
        <v>5KM OVERALL F</v>
      </c>
      <c r="E1427" s="1">
        <f>IFERROR(__xludf.DUMMYFUNCTION("""COMPUTED_VALUE"""),2.0)</f>
        <v>2</v>
      </c>
      <c r="F1427" s="1" t="str">
        <f>IFERROR(__xludf.DUMMYFUNCTION("""COMPUTED_VALUE"""),"Female")</f>
        <v>Female</v>
      </c>
      <c r="G1427" s="4" t="str">
        <f>IFERROR(__xludf.DUMMYFUNCTION("""COMPUTED_VALUE"""),"")</f>
        <v/>
      </c>
      <c r="H1427" s="4" t="b">
        <f>IFERROR(__xludf.DUMMYFUNCTION("""COMPUTED_VALUE"""),FALSE)</f>
        <v>0</v>
      </c>
      <c r="I1427" s="4">
        <f>IFERROR(__xludf.DUMMYFUNCTION("""COMPUTED_VALUE"""),0.2549440625)</f>
        <v>0.2549440625</v>
      </c>
      <c r="J1427" s="4" t="str">
        <f>IFERROR(__xludf.DUMMYFUNCTION("""COMPUTED_VALUE"""),"")</f>
        <v/>
      </c>
      <c r="K1427" s="4" t="str">
        <f>IFERROR(__xludf.DUMMYFUNCTION("""COMPUTED_VALUE"""),"")</f>
        <v/>
      </c>
      <c r="L1427" s="4" t="str">
        <f>IFERROR(__xludf.DUMMYFUNCTION("""COMPUTED_VALUE"""),"")</f>
        <v/>
      </c>
      <c r="M1427" s="1" t="str">
        <f>IFERROR(__xludf.DUMMYFUNCTION("""COMPUTED_VALUE"""),"RFID")</f>
        <v>RFID</v>
      </c>
      <c r="N1427" s="5" t="str">
        <f>IFERROR(__xludf.DUMMYFUNCTION("""COMPUTED_VALUE"""),"")</f>
        <v/>
      </c>
      <c r="O1427" s="5" t="str">
        <f>IFERROR(__xludf.DUMMYFUNCTION("""COMPUTED_VALUE"""),"")</f>
        <v/>
      </c>
      <c r="P1427" s="5" t="str">
        <f>IFERROR(__xludf.DUMMYFUNCTION("""COMPUTED_VALUE"""),"")</f>
        <v/>
      </c>
      <c r="Q1427" s="5" t="str">
        <f>IFERROR(__xludf.DUMMYFUNCTION("""COMPUTED_VALUE"""),"")</f>
        <v/>
      </c>
      <c r="R1427" s="4" t="str">
        <f>IFERROR(__xludf.DUMMYFUNCTION("""COMPUTED_VALUE"""),"")</f>
        <v/>
      </c>
      <c r="S1427" s="1" t="b">
        <f>IFERROR(__xludf.DUMMYFUNCTION("""COMPUTED_VALUE"""),FALSE)</f>
        <v>0</v>
      </c>
      <c r="T1427" s="1" t="b">
        <f>IFERROR(__xludf.DUMMYFUNCTION("""COMPUTED_VALUE"""),FALSE)</f>
        <v>0</v>
      </c>
      <c r="U1427" s="1" t="str">
        <f>IFERROR(__xludf.DUMMYFUNCTION("""COMPUTED_VALUE"""),"DSQ")</f>
        <v>DSQ</v>
      </c>
      <c r="V1427" s="1" t="str">
        <f>IFERROR(__xludf.DUMMYFUNCTION("""COMPUTED_VALUE"""),"DSQ")</f>
        <v>DSQ</v>
      </c>
      <c r="W1427" s="1" t="str">
        <f>IFERROR(__xludf.DUMMYFUNCTION("""COMPUTED_VALUE"""),"DSQ")</f>
        <v>DSQ</v>
      </c>
      <c r="X1427" s="1" t="str">
        <f>IFERROR(__xludf.DUMMYFUNCTION("""COMPUTED_VALUE"""),"DSQ")</f>
        <v>DSQ</v>
      </c>
      <c r="Y1427" s="2"/>
      <c r="Z1427" s="2" t="str">
        <f>IFERROR(__xludf.DUMMYFUNCTION("""COMPUTED_VALUE"""),"")</f>
        <v/>
      </c>
    </row>
    <row r="1428">
      <c r="A1428" s="1">
        <f>IFERROR(__xludf.DUMMYFUNCTION("""COMPUTED_VALUE"""),1427.0)</f>
        <v>1427</v>
      </c>
      <c r="B1428" s="1">
        <f>IFERROR(__xludf.DUMMYFUNCTION("""COMPUTED_VALUE"""),5958.0)</f>
        <v>5958</v>
      </c>
      <c r="C1428" s="2" t="str">
        <f>IFERROR(__xludf.DUMMYFUNCTION("""COMPUTED_VALUE"""),"Ros")</f>
        <v>Ros</v>
      </c>
      <c r="D1428" s="2" t="str">
        <f>IFERROR(__xludf.DUMMYFUNCTION("""COMPUTED_VALUE"""),"5KM OVERALL F")</f>
        <v>5KM OVERALL F</v>
      </c>
      <c r="E1428" s="1">
        <f>IFERROR(__xludf.DUMMYFUNCTION("""COMPUTED_VALUE"""),2.0)</f>
        <v>2</v>
      </c>
      <c r="F1428" s="1" t="str">
        <f>IFERROR(__xludf.DUMMYFUNCTION("""COMPUTED_VALUE"""),"Female")</f>
        <v>Female</v>
      </c>
      <c r="G1428" s="4" t="b">
        <f>IFERROR(__xludf.DUMMYFUNCTION("""COMPUTED_VALUE"""),TRUE)</f>
        <v>1</v>
      </c>
      <c r="H1428" s="4" t="b">
        <f>IFERROR(__xludf.DUMMYFUNCTION("""COMPUTED_VALUE"""),TRUE)</f>
        <v>1</v>
      </c>
      <c r="I1428" s="4">
        <f>IFERROR(__xludf.DUMMYFUNCTION("""COMPUTED_VALUE"""),0.2549440625)</f>
        <v>0.2549440625</v>
      </c>
      <c r="J1428" s="4">
        <f>IFERROR(__xludf.DUMMYFUNCTION("""COMPUTED_VALUE"""),45949.277446879394)</f>
        <v>45949.27745</v>
      </c>
      <c r="K1428" s="4" t="str">
        <f>IFERROR(__xludf.DUMMYFUNCTION("""COMPUTED_VALUE"""),"")</f>
        <v/>
      </c>
      <c r="L1428" s="4">
        <f>IFERROR(__xludf.DUMMYFUNCTION("""COMPUTED_VALUE"""),45949.292675178694)</f>
        <v>45949.29268</v>
      </c>
      <c r="M1428" s="1" t="str">
        <f>IFERROR(__xludf.DUMMYFUNCTION("""COMPUTED_VALUE"""),"RFID")</f>
        <v>RFID</v>
      </c>
      <c r="N1428" s="5">
        <f>IFERROR(__xludf.DUMMYFUNCTION("""COMPUTED_VALUE"""),0.009001125)</f>
        <v>0.009001125</v>
      </c>
      <c r="O1428" s="5" t="str">
        <f>IFERROR(__xludf.DUMMYFUNCTION("""COMPUTED_VALUE"""),"")</f>
        <v/>
      </c>
      <c r="P1428" s="5" t="str">
        <f>IFERROR(__xludf.DUMMYFUNCTION("""COMPUTED_VALUE"""),"")</f>
        <v/>
      </c>
      <c r="Q1428" s="5">
        <f>IFERROR(__xludf.DUMMYFUNCTION("""COMPUTED_VALUE"""),0.007546222222222222)</f>
        <v>0.007546222222</v>
      </c>
      <c r="R1428" s="4">
        <f>IFERROR(__xludf.DUMMYFUNCTION("""COMPUTED_VALUE"""),45949.037731116194)</f>
        <v>45949.03773</v>
      </c>
      <c r="S1428" s="1" t="b">
        <f>IFERROR(__xludf.DUMMYFUNCTION("""COMPUTED_VALUE"""),TRUE)</f>
        <v>1</v>
      </c>
      <c r="T1428" s="1" t="b">
        <f>IFERROR(__xludf.DUMMYFUNCTION("""COMPUTED_VALUE"""),FALSE)</f>
        <v>0</v>
      </c>
      <c r="U1428" s="1" t="str">
        <f>IFERROR(__xludf.DUMMYFUNCTION("""COMPUTED_VALUE"""),"VALID")</f>
        <v>VALID</v>
      </c>
      <c r="V1428" s="1">
        <f>IFERROR(__xludf.DUMMYFUNCTION("""COMPUTED_VALUE"""),245.0)</f>
        <v>245</v>
      </c>
      <c r="W1428" s="1">
        <f>IFERROR(__xludf.DUMMYFUNCTION("""COMPUTED_VALUE"""),1083.0)</f>
        <v>1083</v>
      </c>
      <c r="X1428" s="1">
        <f>IFERROR(__xludf.DUMMYFUNCTION("""COMPUTED_VALUE"""),300.0)</f>
        <v>300</v>
      </c>
      <c r="Y1428" s="2"/>
      <c r="Z1428" s="2"/>
    </row>
    <row r="1429">
      <c r="A1429" s="1">
        <f>IFERROR(__xludf.DUMMYFUNCTION("""COMPUTED_VALUE"""),1428.0)</f>
        <v>1428</v>
      </c>
      <c r="B1429" s="1">
        <f>IFERROR(__xludf.DUMMYFUNCTION("""COMPUTED_VALUE"""),5960.0)</f>
        <v>5960</v>
      </c>
      <c r="C1429" s="2" t="str">
        <f>IFERROR(__xludf.DUMMYFUNCTION("""COMPUTED_VALUE"""),"ITA")</f>
        <v>ITA</v>
      </c>
      <c r="D1429" s="2" t="str">
        <f>IFERROR(__xludf.DUMMYFUNCTION("""COMPUTED_VALUE"""),"5KM OVERALL F")</f>
        <v>5KM OVERALL F</v>
      </c>
      <c r="E1429" s="1">
        <f>IFERROR(__xludf.DUMMYFUNCTION("""COMPUTED_VALUE"""),2.0)</f>
        <v>2</v>
      </c>
      <c r="F1429" s="1" t="str">
        <f>IFERROR(__xludf.DUMMYFUNCTION("""COMPUTED_VALUE"""),"Female")</f>
        <v>Female</v>
      </c>
      <c r="G1429" s="4" t="b">
        <f>IFERROR(__xludf.DUMMYFUNCTION("""COMPUTED_VALUE"""),TRUE)</f>
        <v>1</v>
      </c>
      <c r="H1429" s="4" t="b">
        <f>IFERROR(__xludf.DUMMYFUNCTION("""COMPUTED_VALUE"""),FALSE)</f>
        <v>0</v>
      </c>
      <c r="I1429" s="4">
        <f>IFERROR(__xludf.DUMMYFUNCTION("""COMPUTED_VALUE"""),0.2549440625)</f>
        <v>0.2549440625</v>
      </c>
      <c r="J1429" s="4">
        <f>IFERROR(__xludf.DUMMYFUNCTION("""COMPUTED_VALUE"""),45949.27743301057)</f>
        <v>45949.27743</v>
      </c>
      <c r="K1429" s="4" t="str">
        <f>IFERROR(__xludf.DUMMYFUNCTION("""COMPUTED_VALUE"""),"")</f>
        <v/>
      </c>
      <c r="L1429" s="4">
        <f>IFERROR(__xludf.DUMMYFUNCTION("""COMPUTED_VALUE"""),45949.29262038698)</f>
        <v>45949.29262</v>
      </c>
      <c r="M1429" s="1" t="str">
        <f>IFERROR(__xludf.DUMMYFUNCTION("""COMPUTED_VALUE"""),"RFID")</f>
        <v>RFID</v>
      </c>
      <c r="N1429" s="5">
        <f>IFERROR(__xludf.DUMMYFUNCTION("""COMPUTED_VALUE"""),0.008995578703703704)</f>
        <v>0.008995578704</v>
      </c>
      <c r="O1429" s="5" t="str">
        <f>IFERROR(__xludf.DUMMYFUNCTION("""COMPUTED_VALUE"""),"")</f>
        <v/>
      </c>
      <c r="P1429" s="5" t="str">
        <f>IFERROR(__xludf.DUMMYFUNCTION("""COMPUTED_VALUE"""),"")</f>
        <v/>
      </c>
      <c r="Q1429" s="5">
        <f>IFERROR(__xludf.DUMMYFUNCTION("""COMPUTED_VALUE"""),0.007535263888888889)</f>
        <v>0.007535263889</v>
      </c>
      <c r="R1429" s="4">
        <f>IFERROR(__xludf.DUMMYFUNCTION("""COMPUTED_VALUE"""),45949.03767632448)</f>
        <v>45949.03768</v>
      </c>
      <c r="S1429" s="1" t="b">
        <f>IFERROR(__xludf.DUMMYFUNCTION("""COMPUTED_VALUE"""),TRUE)</f>
        <v>1</v>
      </c>
      <c r="T1429" s="1" t="b">
        <f>IFERROR(__xludf.DUMMYFUNCTION("""COMPUTED_VALUE"""),FALSE)</f>
        <v>0</v>
      </c>
      <c r="U1429" s="1" t="str">
        <f>IFERROR(__xludf.DUMMYFUNCTION("""COMPUTED_VALUE"""),"VALID")</f>
        <v>VALID</v>
      </c>
      <c r="V1429" s="1">
        <f>IFERROR(__xludf.DUMMYFUNCTION("""COMPUTED_VALUE"""),239.0)</f>
        <v>239</v>
      </c>
      <c r="W1429" s="1">
        <f>IFERROR(__xludf.DUMMYFUNCTION("""COMPUTED_VALUE"""),1075.0)</f>
        <v>1075</v>
      </c>
      <c r="X1429" s="1">
        <f>IFERROR(__xludf.DUMMYFUNCTION("""COMPUTED_VALUE"""),294.0)</f>
        <v>294</v>
      </c>
      <c r="Y1429" s="2"/>
      <c r="Z1429" s="2"/>
    </row>
    <row r="1430">
      <c r="A1430" s="1">
        <f>IFERROR(__xludf.DUMMYFUNCTION("""COMPUTED_VALUE"""),1429.0)</f>
        <v>1429</v>
      </c>
      <c r="B1430" s="1">
        <f>IFERROR(__xludf.DUMMYFUNCTION("""COMPUTED_VALUE"""),5961.0)</f>
        <v>5961</v>
      </c>
      <c r="C1430" s="2" t="str">
        <f>IFERROR(__xludf.DUMMYFUNCTION("""COMPUTED_VALUE"""),"Ribka")</f>
        <v>Ribka</v>
      </c>
      <c r="D1430" s="2" t="str">
        <f>IFERROR(__xludf.DUMMYFUNCTION("""COMPUTED_VALUE"""),"5KM OVERALL F")</f>
        <v>5KM OVERALL F</v>
      </c>
      <c r="E1430" s="1">
        <f>IFERROR(__xludf.DUMMYFUNCTION("""COMPUTED_VALUE"""),2.0)</f>
        <v>2</v>
      </c>
      <c r="F1430" s="1" t="str">
        <f>IFERROR(__xludf.DUMMYFUNCTION("""COMPUTED_VALUE"""),"Female")</f>
        <v>Female</v>
      </c>
      <c r="G1430" s="4" t="str">
        <f>IFERROR(__xludf.DUMMYFUNCTION("""COMPUTED_VALUE"""),"")</f>
        <v/>
      </c>
      <c r="H1430" s="4" t="b">
        <f>IFERROR(__xludf.DUMMYFUNCTION("""COMPUTED_VALUE"""),FALSE)</f>
        <v>0</v>
      </c>
      <c r="I1430" s="4">
        <f>IFERROR(__xludf.DUMMYFUNCTION("""COMPUTED_VALUE"""),0.2549440625)</f>
        <v>0.2549440625</v>
      </c>
      <c r="J1430" s="4" t="str">
        <f>IFERROR(__xludf.DUMMYFUNCTION("""COMPUTED_VALUE"""),"")</f>
        <v/>
      </c>
      <c r="K1430" s="4" t="str">
        <f>IFERROR(__xludf.DUMMYFUNCTION("""COMPUTED_VALUE"""),"")</f>
        <v/>
      </c>
      <c r="L1430" s="4" t="str">
        <f>IFERROR(__xludf.DUMMYFUNCTION("""COMPUTED_VALUE"""),"")</f>
        <v/>
      </c>
      <c r="M1430" s="1" t="str">
        <f>IFERROR(__xludf.DUMMYFUNCTION("""COMPUTED_VALUE"""),"RFID")</f>
        <v>RFID</v>
      </c>
      <c r="N1430" s="5" t="str">
        <f>IFERROR(__xludf.DUMMYFUNCTION("""COMPUTED_VALUE"""),"")</f>
        <v/>
      </c>
      <c r="O1430" s="5" t="str">
        <f>IFERROR(__xludf.DUMMYFUNCTION("""COMPUTED_VALUE"""),"")</f>
        <v/>
      </c>
      <c r="P1430" s="5" t="str">
        <f>IFERROR(__xludf.DUMMYFUNCTION("""COMPUTED_VALUE"""),"")</f>
        <v/>
      </c>
      <c r="Q1430" s="5" t="str">
        <f>IFERROR(__xludf.DUMMYFUNCTION("""COMPUTED_VALUE"""),"")</f>
        <v/>
      </c>
      <c r="R1430" s="4" t="str">
        <f>IFERROR(__xludf.DUMMYFUNCTION("""COMPUTED_VALUE"""),"")</f>
        <v/>
      </c>
      <c r="S1430" s="1" t="b">
        <f>IFERROR(__xludf.DUMMYFUNCTION("""COMPUTED_VALUE"""),FALSE)</f>
        <v>0</v>
      </c>
      <c r="T1430" s="1" t="b">
        <f>IFERROR(__xludf.DUMMYFUNCTION("""COMPUTED_VALUE"""),FALSE)</f>
        <v>0</v>
      </c>
      <c r="U1430" s="1" t="str">
        <f>IFERROR(__xludf.DUMMYFUNCTION("""COMPUTED_VALUE"""),"DSQ")</f>
        <v>DSQ</v>
      </c>
      <c r="V1430" s="1" t="str">
        <f>IFERROR(__xludf.DUMMYFUNCTION("""COMPUTED_VALUE"""),"DSQ")</f>
        <v>DSQ</v>
      </c>
      <c r="W1430" s="1" t="str">
        <f>IFERROR(__xludf.DUMMYFUNCTION("""COMPUTED_VALUE"""),"DSQ")</f>
        <v>DSQ</v>
      </c>
      <c r="X1430" s="1" t="str">
        <f>IFERROR(__xludf.DUMMYFUNCTION("""COMPUTED_VALUE"""),"DSQ")</f>
        <v>DSQ</v>
      </c>
      <c r="Y1430" s="2"/>
      <c r="Z1430" s="2" t="str">
        <f>IFERROR(__xludf.DUMMYFUNCTION("""COMPUTED_VALUE"""),"")</f>
        <v/>
      </c>
    </row>
    <row r="1431">
      <c r="A1431" s="1">
        <f>IFERROR(__xludf.DUMMYFUNCTION("""COMPUTED_VALUE"""),1430.0)</f>
        <v>1430</v>
      </c>
      <c r="B1431" s="1">
        <f>IFERROR(__xludf.DUMMYFUNCTION("""COMPUTED_VALUE"""),5963.0)</f>
        <v>5963</v>
      </c>
      <c r="C1431" s="2" t="str">
        <f>IFERROR(__xludf.DUMMYFUNCTION("""COMPUTED_VALUE"""),"Citra Fajar")</f>
        <v>Citra Fajar</v>
      </c>
      <c r="D1431" s="2" t="str">
        <f>IFERROR(__xludf.DUMMYFUNCTION("""COMPUTED_VALUE"""),"5KM OVERALL F")</f>
        <v>5KM OVERALL F</v>
      </c>
      <c r="E1431" s="1">
        <f>IFERROR(__xludf.DUMMYFUNCTION("""COMPUTED_VALUE"""),2.0)</f>
        <v>2</v>
      </c>
      <c r="F1431" s="1" t="str">
        <f>IFERROR(__xludf.DUMMYFUNCTION("""COMPUTED_VALUE"""),"Female")</f>
        <v>Female</v>
      </c>
      <c r="G1431" s="4" t="b">
        <f>IFERROR(__xludf.DUMMYFUNCTION("""COMPUTED_VALUE"""),TRUE)</f>
        <v>1</v>
      </c>
      <c r="H1431" s="4" t="b">
        <f>IFERROR(__xludf.DUMMYFUNCTION("""COMPUTED_VALUE"""),TRUE)</f>
        <v>1</v>
      </c>
      <c r="I1431" s="4">
        <f>IFERROR(__xludf.DUMMYFUNCTION("""COMPUTED_VALUE"""),0.2549440625)</f>
        <v>0.2549440625</v>
      </c>
      <c r="J1431" s="4">
        <f>IFERROR(__xludf.DUMMYFUNCTION("""COMPUTED_VALUE"""),45949.28372812727)</f>
        <v>45949.28373</v>
      </c>
      <c r="K1431" s="4" t="str">
        <f>IFERROR(__xludf.DUMMYFUNCTION("""COMPUTED_VALUE"""),"")</f>
        <v/>
      </c>
      <c r="L1431" s="4">
        <f>IFERROR(__xludf.DUMMYFUNCTION("""COMPUTED_VALUE"""),45949.30284532868)</f>
        <v>45949.30285</v>
      </c>
      <c r="M1431" s="1" t="str">
        <f>IFERROR(__xludf.DUMMYFUNCTION("""COMPUTED_VALUE"""),"RFID")</f>
        <v>RFID</v>
      </c>
      <c r="N1431" s="5">
        <f>IFERROR(__xludf.DUMMYFUNCTION("""COMPUTED_VALUE"""),0.011513625000000001)</f>
        <v>0.011513625</v>
      </c>
      <c r="O1431" s="5" t="str">
        <f>IFERROR(__xludf.DUMMYFUNCTION("""COMPUTED_VALUE"""),"")</f>
        <v/>
      </c>
      <c r="P1431" s="5" t="str">
        <f>IFERROR(__xludf.DUMMYFUNCTION("""COMPUTED_VALUE"""),"")</f>
        <v/>
      </c>
      <c r="Q1431" s="5">
        <f>IFERROR(__xludf.DUMMYFUNCTION("""COMPUTED_VALUE"""),0.009580252314814814)</f>
        <v>0.009580252315</v>
      </c>
      <c r="R1431" s="4">
        <f>IFERROR(__xludf.DUMMYFUNCTION("""COMPUTED_VALUE"""),45949.04790126618)</f>
        <v>45949.0479</v>
      </c>
      <c r="S1431" s="1" t="b">
        <f>IFERROR(__xludf.DUMMYFUNCTION("""COMPUTED_VALUE"""),TRUE)</f>
        <v>1</v>
      </c>
      <c r="T1431" s="1" t="b">
        <f>IFERROR(__xludf.DUMMYFUNCTION("""COMPUTED_VALUE"""),FALSE)</f>
        <v>0</v>
      </c>
      <c r="U1431" s="1" t="str">
        <f>IFERROR(__xludf.DUMMYFUNCTION("""COMPUTED_VALUE"""),"VALID")</f>
        <v>VALID</v>
      </c>
      <c r="V1431" s="1">
        <f>IFERROR(__xludf.DUMMYFUNCTION("""COMPUTED_VALUE"""),472.0)</f>
        <v>472</v>
      </c>
      <c r="W1431" s="1">
        <f>IFERROR(__xludf.DUMMYFUNCTION("""COMPUTED_VALUE"""),1539.0)</f>
        <v>1539</v>
      </c>
      <c r="X1431" s="1">
        <f>IFERROR(__xludf.DUMMYFUNCTION("""COMPUTED_VALUE"""),575.0)</f>
        <v>575</v>
      </c>
      <c r="Y1431" s="2"/>
      <c r="Z1431" s="2"/>
    </row>
    <row r="1432">
      <c r="A1432" s="1">
        <f>IFERROR(__xludf.DUMMYFUNCTION("""COMPUTED_VALUE"""),1431.0)</f>
        <v>1431</v>
      </c>
      <c r="B1432" s="1">
        <f>IFERROR(__xludf.DUMMYFUNCTION("""COMPUTED_VALUE"""),5964.0)</f>
        <v>5964</v>
      </c>
      <c r="C1432" s="2" t="str">
        <f>IFERROR(__xludf.DUMMYFUNCTION("""COMPUTED_VALUE"""),"Ida")</f>
        <v>Ida</v>
      </c>
      <c r="D1432" s="2" t="str">
        <f>IFERROR(__xludf.DUMMYFUNCTION("""COMPUTED_VALUE"""),"5KM OVERALL F")</f>
        <v>5KM OVERALL F</v>
      </c>
      <c r="E1432" s="1">
        <f>IFERROR(__xludf.DUMMYFUNCTION("""COMPUTED_VALUE"""),2.0)</f>
        <v>2</v>
      </c>
      <c r="F1432" s="1" t="str">
        <f>IFERROR(__xludf.DUMMYFUNCTION("""COMPUTED_VALUE"""),"Female")</f>
        <v>Female</v>
      </c>
      <c r="G1432" s="4" t="b">
        <f>IFERROR(__xludf.DUMMYFUNCTION("""COMPUTED_VALUE"""),TRUE)</f>
        <v>1</v>
      </c>
      <c r="H1432" s="4" t="b">
        <f>IFERROR(__xludf.DUMMYFUNCTION("""COMPUTED_VALUE"""),TRUE)</f>
        <v>1</v>
      </c>
      <c r="I1432" s="4">
        <f>IFERROR(__xludf.DUMMYFUNCTION("""COMPUTED_VALUE"""),0.2549440625)</f>
        <v>0.2549440625</v>
      </c>
      <c r="J1432" s="4">
        <f>IFERROR(__xludf.DUMMYFUNCTION("""COMPUTED_VALUE"""),45949.2741204343)</f>
        <v>45949.27412</v>
      </c>
      <c r="K1432" s="4" t="str">
        <f>IFERROR(__xludf.DUMMYFUNCTION("""COMPUTED_VALUE"""),"")</f>
        <v/>
      </c>
      <c r="L1432" s="4">
        <f>IFERROR(__xludf.DUMMYFUNCTION("""COMPUTED_VALUE"""),45949.287730674885)</f>
        <v>45949.28773</v>
      </c>
      <c r="M1432" s="1" t="str">
        <f>IFERROR(__xludf.DUMMYFUNCTION("""COMPUTED_VALUE"""),"RFID")</f>
        <v>RFID</v>
      </c>
      <c r="N1432" s="5">
        <f>IFERROR(__xludf.DUMMYFUNCTION("""COMPUTED_VALUE"""),0.007670550925925926)</f>
        <v>0.007670550926</v>
      </c>
      <c r="O1432" s="5" t="str">
        <f>IFERROR(__xludf.DUMMYFUNCTION("""COMPUTED_VALUE"""),"")</f>
        <v/>
      </c>
      <c r="P1432" s="5" t="str">
        <f>IFERROR(__xludf.DUMMYFUNCTION("""COMPUTED_VALUE"""),"")</f>
        <v/>
      </c>
      <c r="Q1432" s="5">
        <f>IFERROR(__xludf.DUMMYFUNCTION("""COMPUTED_VALUE"""),0.006557321759259259)</f>
        <v>0.006557321759</v>
      </c>
      <c r="R1432" s="4">
        <f>IFERROR(__xludf.DUMMYFUNCTION("""COMPUTED_VALUE"""),45949.032786612384)</f>
        <v>45949.03279</v>
      </c>
      <c r="S1432" s="1" t="b">
        <f>IFERROR(__xludf.DUMMYFUNCTION("""COMPUTED_VALUE"""),TRUE)</f>
        <v>1</v>
      </c>
      <c r="T1432" s="1" t="b">
        <f>IFERROR(__xludf.DUMMYFUNCTION("""COMPUTED_VALUE"""),FALSE)</f>
        <v>0</v>
      </c>
      <c r="U1432" s="1" t="str">
        <f>IFERROR(__xludf.DUMMYFUNCTION("""COMPUTED_VALUE"""),"VALID")</f>
        <v>VALID</v>
      </c>
      <c r="V1432" s="1">
        <f>IFERROR(__xludf.DUMMYFUNCTION("""COMPUTED_VALUE"""),122.0)</f>
        <v>122</v>
      </c>
      <c r="W1432" s="1">
        <f>IFERROR(__xludf.DUMMYFUNCTION("""COMPUTED_VALUE"""),753.0)</f>
        <v>753</v>
      </c>
      <c r="X1432" s="1">
        <f>IFERROR(__xludf.DUMMYFUNCTION("""COMPUTED_VALUE"""),154.0)</f>
        <v>154</v>
      </c>
      <c r="Y1432" s="2"/>
      <c r="Z1432" s="2"/>
    </row>
    <row r="1433">
      <c r="A1433" s="1">
        <f>IFERROR(__xludf.DUMMYFUNCTION("""COMPUTED_VALUE"""),1432.0)</f>
        <v>1432</v>
      </c>
      <c r="B1433" s="1">
        <f>IFERROR(__xludf.DUMMYFUNCTION("""COMPUTED_VALUE"""),5969.0)</f>
        <v>5969</v>
      </c>
      <c r="C1433" s="2" t="str">
        <f>IFERROR(__xludf.DUMMYFUNCTION("""COMPUTED_VALUE"""),"Indah")</f>
        <v>Indah</v>
      </c>
      <c r="D1433" s="2" t="str">
        <f>IFERROR(__xludf.DUMMYFUNCTION("""COMPUTED_VALUE"""),"5KM OVERALL F")</f>
        <v>5KM OVERALL F</v>
      </c>
      <c r="E1433" s="1">
        <f>IFERROR(__xludf.DUMMYFUNCTION("""COMPUTED_VALUE"""),2.0)</f>
        <v>2</v>
      </c>
      <c r="F1433" s="1" t="str">
        <f>IFERROR(__xludf.DUMMYFUNCTION("""COMPUTED_VALUE"""),"Female")</f>
        <v>Female</v>
      </c>
      <c r="G1433" s="4" t="str">
        <f>IFERROR(__xludf.DUMMYFUNCTION("""COMPUTED_VALUE"""),"")</f>
        <v/>
      </c>
      <c r="H1433" s="4" t="b">
        <f>IFERROR(__xludf.DUMMYFUNCTION("""COMPUTED_VALUE"""),FALSE)</f>
        <v>0</v>
      </c>
      <c r="I1433" s="4">
        <f>IFERROR(__xludf.DUMMYFUNCTION("""COMPUTED_VALUE"""),0.2549440625)</f>
        <v>0.2549440625</v>
      </c>
      <c r="J1433" s="4" t="str">
        <f>IFERROR(__xludf.DUMMYFUNCTION("""COMPUTED_VALUE"""),"")</f>
        <v/>
      </c>
      <c r="K1433" s="4" t="str">
        <f>IFERROR(__xludf.DUMMYFUNCTION("""COMPUTED_VALUE"""),"")</f>
        <v/>
      </c>
      <c r="L1433" s="4" t="str">
        <f>IFERROR(__xludf.DUMMYFUNCTION("""COMPUTED_VALUE"""),"")</f>
        <v/>
      </c>
      <c r="M1433" s="1" t="str">
        <f>IFERROR(__xludf.DUMMYFUNCTION("""COMPUTED_VALUE"""),"RFID")</f>
        <v>RFID</v>
      </c>
      <c r="N1433" s="5" t="str">
        <f>IFERROR(__xludf.DUMMYFUNCTION("""COMPUTED_VALUE"""),"")</f>
        <v/>
      </c>
      <c r="O1433" s="5" t="str">
        <f>IFERROR(__xludf.DUMMYFUNCTION("""COMPUTED_VALUE"""),"")</f>
        <v/>
      </c>
      <c r="P1433" s="5" t="str">
        <f>IFERROR(__xludf.DUMMYFUNCTION("""COMPUTED_VALUE"""),"")</f>
        <v/>
      </c>
      <c r="Q1433" s="5" t="str">
        <f>IFERROR(__xludf.DUMMYFUNCTION("""COMPUTED_VALUE"""),"")</f>
        <v/>
      </c>
      <c r="R1433" s="4" t="str">
        <f>IFERROR(__xludf.DUMMYFUNCTION("""COMPUTED_VALUE"""),"")</f>
        <v/>
      </c>
      <c r="S1433" s="1" t="b">
        <f>IFERROR(__xludf.DUMMYFUNCTION("""COMPUTED_VALUE"""),FALSE)</f>
        <v>0</v>
      </c>
      <c r="T1433" s="1" t="b">
        <f>IFERROR(__xludf.DUMMYFUNCTION("""COMPUTED_VALUE"""),FALSE)</f>
        <v>0</v>
      </c>
      <c r="U1433" s="1" t="str">
        <f>IFERROR(__xludf.DUMMYFUNCTION("""COMPUTED_VALUE"""),"DSQ")</f>
        <v>DSQ</v>
      </c>
      <c r="V1433" s="1" t="str">
        <f>IFERROR(__xludf.DUMMYFUNCTION("""COMPUTED_VALUE"""),"DSQ")</f>
        <v>DSQ</v>
      </c>
      <c r="W1433" s="1" t="str">
        <f>IFERROR(__xludf.DUMMYFUNCTION("""COMPUTED_VALUE"""),"DSQ")</f>
        <v>DSQ</v>
      </c>
      <c r="X1433" s="1" t="str">
        <f>IFERROR(__xludf.DUMMYFUNCTION("""COMPUTED_VALUE"""),"DSQ")</f>
        <v>DSQ</v>
      </c>
      <c r="Y1433" s="2"/>
      <c r="Z1433" s="2" t="str">
        <f>IFERROR(__xludf.DUMMYFUNCTION("""COMPUTED_VALUE"""),"")</f>
        <v/>
      </c>
    </row>
    <row r="1434">
      <c r="A1434" s="1">
        <f>IFERROR(__xludf.DUMMYFUNCTION("""COMPUTED_VALUE"""),1433.0)</f>
        <v>1433</v>
      </c>
      <c r="B1434" s="1">
        <f>IFERROR(__xludf.DUMMYFUNCTION("""COMPUTED_VALUE"""),5973.0)</f>
        <v>5973</v>
      </c>
      <c r="C1434" s="2" t="str">
        <f>IFERROR(__xludf.DUMMYFUNCTION("""COMPUTED_VALUE"""),"lisna Ariyanti")</f>
        <v>lisna Ariyanti</v>
      </c>
      <c r="D1434" s="2" t="str">
        <f>IFERROR(__xludf.DUMMYFUNCTION("""COMPUTED_VALUE"""),"5KM OVERALL F")</f>
        <v>5KM OVERALL F</v>
      </c>
      <c r="E1434" s="1">
        <f>IFERROR(__xludf.DUMMYFUNCTION("""COMPUTED_VALUE"""),2.0)</f>
        <v>2</v>
      </c>
      <c r="F1434" s="1" t="str">
        <f>IFERROR(__xludf.DUMMYFUNCTION("""COMPUTED_VALUE"""),"Female")</f>
        <v>Female</v>
      </c>
      <c r="G1434" s="4" t="b">
        <f>IFERROR(__xludf.DUMMYFUNCTION("""COMPUTED_VALUE"""),TRUE)</f>
        <v>1</v>
      </c>
      <c r="H1434" s="4" t="b">
        <f>IFERROR(__xludf.DUMMYFUNCTION("""COMPUTED_VALUE"""),TRUE)</f>
        <v>1</v>
      </c>
      <c r="I1434" s="4">
        <f>IFERROR(__xludf.DUMMYFUNCTION("""COMPUTED_VALUE"""),0.2549440625)</f>
        <v>0.2549440625</v>
      </c>
      <c r="J1434" s="4">
        <f>IFERROR(__xludf.DUMMYFUNCTION("""COMPUTED_VALUE"""),45949.27628015916)</f>
        <v>45949.27628</v>
      </c>
      <c r="K1434" s="4" t="str">
        <f>IFERROR(__xludf.DUMMYFUNCTION("""COMPUTED_VALUE"""),"")</f>
        <v/>
      </c>
      <c r="L1434" s="4">
        <f>IFERROR(__xludf.DUMMYFUNCTION("""COMPUTED_VALUE"""),45949.29243206107)</f>
        <v>45949.29243</v>
      </c>
      <c r="M1434" s="1" t="str">
        <f>IFERROR(__xludf.DUMMYFUNCTION("""COMPUTED_VALUE"""),"RFID")</f>
        <v>RFID</v>
      </c>
      <c r="N1434" s="5">
        <f>IFERROR(__xludf.DUMMYFUNCTION("""COMPUTED_VALUE"""),0.008534439814814814)</f>
        <v>0.008534439815</v>
      </c>
      <c r="O1434" s="5" t="str">
        <f>IFERROR(__xludf.DUMMYFUNCTION("""COMPUTED_VALUE"""),"")</f>
        <v/>
      </c>
      <c r="P1434" s="5" t="str">
        <f>IFERROR(__xludf.DUMMYFUNCTION("""COMPUTED_VALUE"""),"")</f>
        <v/>
      </c>
      <c r="Q1434" s="5">
        <f>IFERROR(__xludf.DUMMYFUNCTION("""COMPUTED_VALUE"""),0.007497599537037038)</f>
        <v>0.007497599537</v>
      </c>
      <c r="R1434" s="4">
        <f>IFERROR(__xludf.DUMMYFUNCTION("""COMPUTED_VALUE"""),45949.03748799857)</f>
        <v>45949.03749</v>
      </c>
      <c r="S1434" s="1" t="b">
        <f>IFERROR(__xludf.DUMMYFUNCTION("""COMPUTED_VALUE"""),TRUE)</f>
        <v>1</v>
      </c>
      <c r="T1434" s="1" t="b">
        <f>IFERROR(__xludf.DUMMYFUNCTION("""COMPUTED_VALUE"""),FALSE)</f>
        <v>0</v>
      </c>
      <c r="U1434" s="1" t="str">
        <f>IFERROR(__xludf.DUMMYFUNCTION("""COMPUTED_VALUE"""),"VALID")</f>
        <v>VALID</v>
      </c>
      <c r="V1434" s="1">
        <f>IFERROR(__xludf.DUMMYFUNCTION("""COMPUTED_VALUE"""),233.0)</f>
        <v>233</v>
      </c>
      <c r="W1434" s="1">
        <f>IFERROR(__xludf.DUMMYFUNCTION("""COMPUTED_VALUE"""),1055.0)</f>
        <v>1055</v>
      </c>
      <c r="X1434" s="1">
        <f>IFERROR(__xludf.DUMMYFUNCTION("""COMPUTED_VALUE"""),286.0)</f>
        <v>286</v>
      </c>
      <c r="Y1434" s="2"/>
      <c r="Z1434" s="2"/>
    </row>
    <row r="1435">
      <c r="A1435" s="1">
        <f>IFERROR(__xludf.DUMMYFUNCTION("""COMPUTED_VALUE"""),1434.0)</f>
        <v>1434</v>
      </c>
      <c r="B1435" s="1">
        <f>IFERROR(__xludf.DUMMYFUNCTION("""COMPUTED_VALUE"""),5977.0)</f>
        <v>5977</v>
      </c>
      <c r="C1435" s="2" t="str">
        <f>IFERROR(__xludf.DUMMYFUNCTION("""COMPUTED_VALUE"""),"Firanita Dewi")</f>
        <v>Firanita Dewi</v>
      </c>
      <c r="D1435" s="2" t="str">
        <f>IFERROR(__xludf.DUMMYFUNCTION("""COMPUTED_VALUE"""),"5KM OVERALL F")</f>
        <v>5KM OVERALL F</v>
      </c>
      <c r="E1435" s="1">
        <f>IFERROR(__xludf.DUMMYFUNCTION("""COMPUTED_VALUE"""),2.0)</f>
        <v>2</v>
      </c>
      <c r="F1435" s="1" t="str">
        <f>IFERROR(__xludf.DUMMYFUNCTION("""COMPUTED_VALUE"""),"Female")</f>
        <v>Female</v>
      </c>
      <c r="G1435" s="4" t="b">
        <f>IFERROR(__xludf.DUMMYFUNCTION("""COMPUTED_VALUE"""),TRUE)</f>
        <v>1</v>
      </c>
      <c r="H1435" s="4" t="b">
        <f>IFERROR(__xludf.DUMMYFUNCTION("""COMPUTED_VALUE"""),TRUE)</f>
        <v>1</v>
      </c>
      <c r="I1435" s="4">
        <f>IFERROR(__xludf.DUMMYFUNCTION("""COMPUTED_VALUE"""),0.2549440625)</f>
        <v>0.2549440625</v>
      </c>
      <c r="J1435" s="4">
        <f>IFERROR(__xludf.DUMMYFUNCTION("""COMPUTED_VALUE"""),45949.28023501998)</f>
        <v>45949.28024</v>
      </c>
      <c r="K1435" s="4" t="str">
        <f>IFERROR(__xludf.DUMMYFUNCTION("""COMPUTED_VALUE"""),"")</f>
        <v/>
      </c>
      <c r="L1435" s="4">
        <f>IFERROR(__xludf.DUMMYFUNCTION("""COMPUTED_VALUE"""),45949.29757192828)</f>
        <v>45949.29757</v>
      </c>
      <c r="M1435" s="1" t="str">
        <f>IFERROR(__xludf.DUMMYFUNCTION("""COMPUTED_VALUE"""),"RFID")</f>
        <v>RFID</v>
      </c>
      <c r="N1435" s="5">
        <f>IFERROR(__xludf.DUMMYFUNCTION("""COMPUTED_VALUE"""),0.01011638425925926)</f>
        <v>0.01011638426</v>
      </c>
      <c r="O1435" s="5" t="str">
        <f>IFERROR(__xludf.DUMMYFUNCTION("""COMPUTED_VALUE"""),"")</f>
        <v/>
      </c>
      <c r="P1435" s="5" t="str">
        <f>IFERROR(__xludf.DUMMYFUNCTION("""COMPUTED_VALUE"""),"")</f>
        <v/>
      </c>
      <c r="Q1435" s="5">
        <f>IFERROR(__xludf.DUMMYFUNCTION("""COMPUTED_VALUE"""),0.008525574074074073)</f>
        <v>0.008525574074</v>
      </c>
      <c r="R1435" s="4">
        <f>IFERROR(__xludf.DUMMYFUNCTION("""COMPUTED_VALUE"""),45949.042627865776)</f>
        <v>45949.04263</v>
      </c>
      <c r="S1435" s="1" t="b">
        <f>IFERROR(__xludf.DUMMYFUNCTION("""COMPUTED_VALUE"""),TRUE)</f>
        <v>1</v>
      </c>
      <c r="T1435" s="1" t="b">
        <f>IFERROR(__xludf.DUMMYFUNCTION("""COMPUTED_VALUE"""),FALSE)</f>
        <v>0</v>
      </c>
      <c r="U1435" s="1" t="str">
        <f>IFERROR(__xludf.DUMMYFUNCTION("""COMPUTED_VALUE"""),"VALID")</f>
        <v>VALID</v>
      </c>
      <c r="V1435" s="1">
        <f>IFERROR(__xludf.DUMMYFUNCTION("""COMPUTED_VALUE"""),367.0)</f>
        <v>367</v>
      </c>
      <c r="W1435" s="1">
        <f>IFERROR(__xludf.DUMMYFUNCTION("""COMPUTED_VALUE"""),1347.0)</f>
        <v>1347</v>
      </c>
      <c r="X1435" s="1">
        <f>IFERROR(__xludf.DUMMYFUNCTION("""COMPUTED_VALUE"""),446.0)</f>
        <v>446</v>
      </c>
      <c r="Y1435" s="2"/>
      <c r="Z1435" s="2"/>
    </row>
    <row r="1436">
      <c r="A1436" s="1">
        <f>IFERROR(__xludf.DUMMYFUNCTION("""COMPUTED_VALUE"""),1435.0)</f>
        <v>1435</v>
      </c>
      <c r="B1436" s="1">
        <f>IFERROR(__xludf.DUMMYFUNCTION("""COMPUTED_VALUE"""),5979.0)</f>
        <v>5979</v>
      </c>
      <c r="C1436" s="2" t="str">
        <f>IFERROR(__xludf.DUMMYFUNCTION("""COMPUTED_VALUE"""),"Ayuu")</f>
        <v>Ayuu</v>
      </c>
      <c r="D1436" s="2" t="str">
        <f>IFERROR(__xludf.DUMMYFUNCTION("""COMPUTED_VALUE"""),"5KM OVERALL F")</f>
        <v>5KM OVERALL F</v>
      </c>
      <c r="E1436" s="1">
        <f>IFERROR(__xludf.DUMMYFUNCTION("""COMPUTED_VALUE"""),2.0)</f>
        <v>2</v>
      </c>
      <c r="F1436" s="1" t="str">
        <f>IFERROR(__xludf.DUMMYFUNCTION("""COMPUTED_VALUE"""),"Female")</f>
        <v>Female</v>
      </c>
      <c r="G1436" s="4" t="b">
        <f>IFERROR(__xludf.DUMMYFUNCTION("""COMPUTED_VALUE"""),TRUE)</f>
        <v>1</v>
      </c>
      <c r="H1436" s="4" t="b">
        <f>IFERROR(__xludf.DUMMYFUNCTION("""COMPUTED_VALUE"""),FALSE)</f>
        <v>0</v>
      </c>
      <c r="I1436" s="4">
        <f>IFERROR(__xludf.DUMMYFUNCTION("""COMPUTED_VALUE"""),0.2549440625)</f>
        <v>0.2549440625</v>
      </c>
      <c r="J1436" s="4" t="str">
        <f>IFERROR(__xludf.DUMMYFUNCTION("""COMPUTED_VALUE"""),"")</f>
        <v/>
      </c>
      <c r="K1436" s="4" t="str">
        <f>IFERROR(__xludf.DUMMYFUNCTION("""COMPUTED_VALUE"""),"")</f>
        <v/>
      </c>
      <c r="L1436" s="4">
        <f>IFERROR(__xludf.DUMMYFUNCTION("""COMPUTED_VALUE"""),45949.26753548682)</f>
        <v>45949.26754</v>
      </c>
      <c r="M1436" s="1" t="str">
        <f>IFERROR(__xludf.DUMMYFUNCTION("""COMPUTED_VALUE"""),"RFID")</f>
        <v>RFID</v>
      </c>
      <c r="N1436" s="5" t="str">
        <f>IFERROR(__xludf.DUMMYFUNCTION("""COMPUTED_VALUE"""),"")</f>
        <v/>
      </c>
      <c r="O1436" s="5" t="str">
        <f>IFERROR(__xludf.DUMMYFUNCTION("""COMPUTED_VALUE"""),"")</f>
        <v/>
      </c>
      <c r="P1436" s="5" t="str">
        <f>IFERROR(__xludf.DUMMYFUNCTION("""COMPUTED_VALUE"""),"")</f>
        <v/>
      </c>
      <c r="Q1436" s="5">
        <f>IFERROR(__xludf.DUMMYFUNCTION("""COMPUTED_VALUE"""),0.002518284722222222)</f>
        <v>0.002518284722</v>
      </c>
      <c r="R1436" s="4">
        <f>IFERROR(__xludf.DUMMYFUNCTION("""COMPUTED_VALUE"""),45949.01259142432)</f>
        <v>45949.01259</v>
      </c>
      <c r="S1436" s="1" t="b">
        <f>IFERROR(__xludf.DUMMYFUNCTION("""COMPUTED_VALUE"""),FALSE)</f>
        <v>0</v>
      </c>
      <c r="T1436" s="1" t="b">
        <f>IFERROR(__xludf.DUMMYFUNCTION("""COMPUTED_VALUE"""),TRUE)</f>
        <v>1</v>
      </c>
      <c r="U1436" s="1" t="str">
        <f>IFERROR(__xludf.DUMMYFUNCTION("""COMPUTED_VALUE"""),"DSQ")</f>
        <v>DSQ</v>
      </c>
      <c r="V1436" s="1" t="str">
        <f>IFERROR(__xludf.DUMMYFUNCTION("""COMPUTED_VALUE"""),"DSQ")</f>
        <v>DSQ</v>
      </c>
      <c r="W1436" s="1" t="str">
        <f>IFERROR(__xludf.DUMMYFUNCTION("""COMPUTED_VALUE"""),"DSQ")</f>
        <v>DSQ</v>
      </c>
      <c r="X1436" s="1" t="str">
        <f>IFERROR(__xludf.DUMMYFUNCTION("""COMPUTED_VALUE"""),"DSQ")</f>
        <v>DSQ</v>
      </c>
      <c r="Y1436" s="2"/>
      <c r="Z1436" s="2" t="str">
        <f>IFERROR(__xludf.DUMMYFUNCTION("""COMPUTED_VALUE"""),"")</f>
        <v/>
      </c>
    </row>
    <row r="1437">
      <c r="A1437" s="1">
        <f>IFERROR(__xludf.DUMMYFUNCTION("""COMPUTED_VALUE"""),1436.0)</f>
        <v>1436</v>
      </c>
      <c r="B1437" s="1">
        <f>IFERROR(__xludf.DUMMYFUNCTION("""COMPUTED_VALUE"""),5982.0)</f>
        <v>5982</v>
      </c>
      <c r="C1437" s="2" t="str">
        <f>IFERROR(__xludf.DUMMYFUNCTION("""COMPUTED_VALUE"""),"Rani")</f>
        <v>Rani</v>
      </c>
      <c r="D1437" s="2" t="str">
        <f>IFERROR(__xludf.DUMMYFUNCTION("""COMPUTED_VALUE"""),"5KM OVERALL F")</f>
        <v>5KM OVERALL F</v>
      </c>
      <c r="E1437" s="1">
        <f>IFERROR(__xludf.DUMMYFUNCTION("""COMPUTED_VALUE"""),2.0)</f>
        <v>2</v>
      </c>
      <c r="F1437" s="1" t="str">
        <f>IFERROR(__xludf.DUMMYFUNCTION("""COMPUTED_VALUE"""),"Female")</f>
        <v>Female</v>
      </c>
      <c r="G1437" s="4" t="b">
        <f>IFERROR(__xludf.DUMMYFUNCTION("""COMPUTED_VALUE"""),TRUE)</f>
        <v>1</v>
      </c>
      <c r="H1437" s="4" t="b">
        <f>IFERROR(__xludf.DUMMYFUNCTION("""COMPUTED_VALUE"""),TRUE)</f>
        <v>1</v>
      </c>
      <c r="I1437" s="4">
        <f>IFERROR(__xludf.DUMMYFUNCTION("""COMPUTED_VALUE"""),0.2549440625)</f>
        <v>0.2549440625</v>
      </c>
      <c r="J1437" s="4">
        <f>IFERROR(__xludf.DUMMYFUNCTION("""COMPUTED_VALUE"""),45949.28071418467)</f>
        <v>45949.28071</v>
      </c>
      <c r="K1437" s="4" t="str">
        <f>IFERROR(__xludf.DUMMYFUNCTION("""COMPUTED_VALUE"""),"")</f>
        <v/>
      </c>
      <c r="L1437" s="4">
        <f>IFERROR(__xludf.DUMMYFUNCTION("""COMPUTED_VALUE"""),45949.29765792542)</f>
        <v>45949.29766</v>
      </c>
      <c r="M1437" s="1" t="str">
        <f>IFERROR(__xludf.DUMMYFUNCTION("""COMPUTED_VALUE"""),"RFID")</f>
        <v>RFID</v>
      </c>
      <c r="N1437" s="5">
        <f>IFERROR(__xludf.DUMMYFUNCTION("""COMPUTED_VALUE"""),0.010308050925925927)</f>
        <v>0.01030805093</v>
      </c>
      <c r="O1437" s="5" t="str">
        <f>IFERROR(__xludf.DUMMYFUNCTION("""COMPUTED_VALUE"""),"")</f>
        <v/>
      </c>
      <c r="P1437" s="5" t="str">
        <f>IFERROR(__xludf.DUMMYFUNCTION("""COMPUTED_VALUE"""),"")</f>
        <v/>
      </c>
      <c r="Q1437" s="5">
        <f>IFERROR(__xludf.DUMMYFUNCTION("""COMPUTED_VALUE"""),0.008542773148148148)</f>
        <v>0.008542773148</v>
      </c>
      <c r="R1437" s="4">
        <f>IFERROR(__xludf.DUMMYFUNCTION("""COMPUTED_VALUE"""),45949.04271386292)</f>
        <v>45949.04271</v>
      </c>
      <c r="S1437" s="1" t="b">
        <f>IFERROR(__xludf.DUMMYFUNCTION("""COMPUTED_VALUE"""),TRUE)</f>
        <v>1</v>
      </c>
      <c r="T1437" s="1" t="b">
        <f>IFERROR(__xludf.DUMMYFUNCTION("""COMPUTED_VALUE"""),FALSE)</f>
        <v>0</v>
      </c>
      <c r="U1437" s="1" t="str">
        <f>IFERROR(__xludf.DUMMYFUNCTION("""COMPUTED_VALUE"""),"VALID")</f>
        <v>VALID</v>
      </c>
      <c r="V1437" s="1">
        <f>IFERROR(__xludf.DUMMYFUNCTION("""COMPUTED_VALUE"""),369.0)</f>
        <v>369</v>
      </c>
      <c r="W1437" s="1">
        <f>IFERROR(__xludf.DUMMYFUNCTION("""COMPUTED_VALUE"""),1351.0)</f>
        <v>1351</v>
      </c>
      <c r="X1437" s="1">
        <f>IFERROR(__xludf.DUMMYFUNCTION("""COMPUTED_VALUE"""),448.0)</f>
        <v>448</v>
      </c>
      <c r="Y1437" s="2"/>
      <c r="Z1437" s="2"/>
    </row>
    <row r="1438">
      <c r="A1438" s="1">
        <f>IFERROR(__xludf.DUMMYFUNCTION("""COMPUTED_VALUE"""),1437.0)</f>
        <v>1437</v>
      </c>
      <c r="B1438" s="1">
        <f>IFERROR(__xludf.DUMMYFUNCTION("""COMPUTED_VALUE"""),5985.0)</f>
        <v>5985</v>
      </c>
      <c r="C1438" s="2" t="str">
        <f>IFERROR(__xludf.DUMMYFUNCTION("""COMPUTED_VALUE"""),"Mawar")</f>
        <v>Mawar</v>
      </c>
      <c r="D1438" s="2" t="str">
        <f>IFERROR(__xludf.DUMMYFUNCTION("""COMPUTED_VALUE"""),"5KM OVERALL F")</f>
        <v>5KM OVERALL F</v>
      </c>
      <c r="E1438" s="1">
        <f>IFERROR(__xludf.DUMMYFUNCTION("""COMPUTED_VALUE"""),2.0)</f>
        <v>2</v>
      </c>
      <c r="F1438" s="1" t="str">
        <f>IFERROR(__xludf.DUMMYFUNCTION("""COMPUTED_VALUE"""),"Female")</f>
        <v>Female</v>
      </c>
      <c r="G1438" s="4" t="b">
        <f>IFERROR(__xludf.DUMMYFUNCTION("""COMPUTED_VALUE"""),TRUE)</f>
        <v>1</v>
      </c>
      <c r="H1438" s="4" t="b">
        <f>IFERROR(__xludf.DUMMYFUNCTION("""COMPUTED_VALUE"""),TRUE)</f>
        <v>1</v>
      </c>
      <c r="I1438" s="4">
        <f>IFERROR(__xludf.DUMMYFUNCTION("""COMPUTED_VALUE"""),0.2549440625)</f>
        <v>0.2549440625</v>
      </c>
      <c r="J1438" s="4">
        <f>IFERROR(__xludf.DUMMYFUNCTION("""COMPUTED_VALUE"""),45949.28037397337)</f>
        <v>45949.28037</v>
      </c>
      <c r="K1438" s="4" t="str">
        <f>IFERROR(__xludf.DUMMYFUNCTION("""COMPUTED_VALUE"""),"")</f>
        <v/>
      </c>
      <c r="L1438" s="4">
        <f>IFERROR(__xludf.DUMMYFUNCTION("""COMPUTED_VALUE"""),45949.30005712514)</f>
        <v>45949.30006</v>
      </c>
      <c r="M1438" s="1" t="str">
        <f>IFERROR(__xludf.DUMMYFUNCTION("""COMPUTED_VALUE"""),"RFID")</f>
        <v>RFID</v>
      </c>
      <c r="N1438" s="5">
        <f>IFERROR(__xludf.DUMMYFUNCTION("""COMPUTED_VALUE"""),0.010171962962962963)</f>
        <v>0.01017196296</v>
      </c>
      <c r="O1438" s="5" t="str">
        <f>IFERROR(__xludf.DUMMYFUNCTION("""COMPUTED_VALUE"""),"")</f>
        <v/>
      </c>
      <c r="P1438" s="5" t="str">
        <f>IFERROR(__xludf.DUMMYFUNCTION("""COMPUTED_VALUE"""),"")</f>
        <v/>
      </c>
      <c r="Q1438" s="5">
        <f>IFERROR(__xludf.DUMMYFUNCTION("""COMPUTED_VALUE"""),0.009022613425925925)</f>
        <v>0.009022613426</v>
      </c>
      <c r="R1438" s="4">
        <f>IFERROR(__xludf.DUMMYFUNCTION("""COMPUTED_VALUE"""),45949.04511306264)</f>
        <v>45949.04511</v>
      </c>
      <c r="S1438" s="1" t="b">
        <f>IFERROR(__xludf.DUMMYFUNCTION("""COMPUTED_VALUE"""),TRUE)</f>
        <v>1</v>
      </c>
      <c r="T1438" s="1" t="b">
        <f>IFERROR(__xludf.DUMMYFUNCTION("""COMPUTED_VALUE"""),FALSE)</f>
        <v>0</v>
      </c>
      <c r="U1438" s="1" t="str">
        <f>IFERROR(__xludf.DUMMYFUNCTION("""COMPUTED_VALUE"""),"VALID")</f>
        <v>VALID</v>
      </c>
      <c r="V1438" s="1">
        <f>IFERROR(__xludf.DUMMYFUNCTION("""COMPUTED_VALUE"""),420.0)</f>
        <v>420</v>
      </c>
      <c r="W1438" s="1">
        <f>IFERROR(__xludf.DUMMYFUNCTION("""COMPUTED_VALUE"""),1453.0)</f>
        <v>1453</v>
      </c>
      <c r="X1438" s="1">
        <f>IFERROR(__xludf.DUMMYFUNCTION("""COMPUTED_VALUE"""),514.0)</f>
        <v>514</v>
      </c>
      <c r="Y1438" s="2"/>
      <c r="Z1438" s="2"/>
    </row>
    <row r="1439">
      <c r="A1439" s="1">
        <f>IFERROR(__xludf.DUMMYFUNCTION("""COMPUTED_VALUE"""),1438.0)</f>
        <v>1438</v>
      </c>
      <c r="B1439" s="1">
        <f>IFERROR(__xludf.DUMMYFUNCTION("""COMPUTED_VALUE"""),5986.0)</f>
        <v>5986</v>
      </c>
      <c r="C1439" s="2" t="str">
        <f>IFERROR(__xludf.DUMMYFUNCTION("""COMPUTED_VALUE"""),"Helda")</f>
        <v>Helda</v>
      </c>
      <c r="D1439" s="2" t="str">
        <f>IFERROR(__xludf.DUMMYFUNCTION("""COMPUTED_VALUE"""),"5KM OVERALL F")</f>
        <v>5KM OVERALL F</v>
      </c>
      <c r="E1439" s="1">
        <f>IFERROR(__xludf.DUMMYFUNCTION("""COMPUTED_VALUE"""),2.0)</f>
        <v>2</v>
      </c>
      <c r="F1439" s="1" t="str">
        <f>IFERROR(__xludf.DUMMYFUNCTION("""COMPUTED_VALUE"""),"Female")</f>
        <v>Female</v>
      </c>
      <c r="G1439" s="4" t="b">
        <f>IFERROR(__xludf.DUMMYFUNCTION("""COMPUTED_VALUE"""),TRUE)</f>
        <v>1</v>
      </c>
      <c r="H1439" s="4" t="b">
        <f>IFERROR(__xludf.DUMMYFUNCTION("""COMPUTED_VALUE"""),TRUE)</f>
        <v>1</v>
      </c>
      <c r="I1439" s="4">
        <f>IFERROR(__xludf.DUMMYFUNCTION("""COMPUTED_VALUE"""),0.2549440625)</f>
        <v>0.2549440625</v>
      </c>
      <c r="J1439" s="4">
        <f>IFERROR(__xludf.DUMMYFUNCTION("""COMPUTED_VALUE"""),45949.28159265703)</f>
        <v>45949.28159</v>
      </c>
      <c r="K1439" s="4" t="str">
        <f>IFERROR(__xludf.DUMMYFUNCTION("""COMPUTED_VALUE"""),"")</f>
        <v/>
      </c>
      <c r="L1439" s="4">
        <f>IFERROR(__xludf.DUMMYFUNCTION("""COMPUTED_VALUE"""),45949.30113000414)</f>
        <v>45949.30113</v>
      </c>
      <c r="M1439" s="1" t="str">
        <f>IFERROR(__xludf.DUMMYFUNCTION("""COMPUTED_VALUE"""),"RFID")</f>
        <v>RFID</v>
      </c>
      <c r="N1439" s="5">
        <f>IFERROR(__xludf.DUMMYFUNCTION("""COMPUTED_VALUE"""),0.010659439814814814)</f>
        <v>0.01065943981</v>
      </c>
      <c r="O1439" s="5" t="str">
        <f>IFERROR(__xludf.DUMMYFUNCTION("""COMPUTED_VALUE"""),"")</f>
        <v/>
      </c>
      <c r="P1439" s="5" t="str">
        <f>IFERROR(__xludf.DUMMYFUNCTION("""COMPUTED_VALUE"""),"")</f>
        <v/>
      </c>
      <c r="Q1439" s="5">
        <f>IFERROR(__xludf.DUMMYFUNCTION("""COMPUTED_VALUE"""),0.0092371875)</f>
        <v>0.0092371875</v>
      </c>
      <c r="R1439" s="4">
        <f>IFERROR(__xludf.DUMMYFUNCTION("""COMPUTED_VALUE"""),45949.04618594164)</f>
        <v>45949.04619</v>
      </c>
      <c r="S1439" s="1" t="b">
        <f>IFERROR(__xludf.DUMMYFUNCTION("""COMPUTED_VALUE"""),TRUE)</f>
        <v>1</v>
      </c>
      <c r="T1439" s="1" t="b">
        <f>IFERROR(__xludf.DUMMYFUNCTION("""COMPUTED_VALUE"""),FALSE)</f>
        <v>0</v>
      </c>
      <c r="U1439" s="1" t="str">
        <f>IFERROR(__xludf.DUMMYFUNCTION("""COMPUTED_VALUE"""),"VALID")</f>
        <v>VALID</v>
      </c>
      <c r="V1439" s="1">
        <f>IFERROR(__xludf.DUMMYFUNCTION("""COMPUTED_VALUE"""),448.0)</f>
        <v>448</v>
      </c>
      <c r="W1439" s="1">
        <f>IFERROR(__xludf.DUMMYFUNCTION("""COMPUTED_VALUE"""),1496.0)</f>
        <v>1496</v>
      </c>
      <c r="X1439" s="1">
        <f>IFERROR(__xludf.DUMMYFUNCTION("""COMPUTED_VALUE"""),546.0)</f>
        <v>546</v>
      </c>
      <c r="Y1439" s="2"/>
      <c r="Z1439" s="2"/>
    </row>
    <row r="1440">
      <c r="A1440" s="1">
        <f>IFERROR(__xludf.DUMMYFUNCTION("""COMPUTED_VALUE"""),1439.0)</f>
        <v>1439</v>
      </c>
      <c r="B1440" s="1">
        <f>IFERROR(__xludf.DUMMYFUNCTION("""COMPUTED_VALUE"""),5987.0)</f>
        <v>5987</v>
      </c>
      <c r="C1440" s="2" t="str">
        <f>IFERROR(__xludf.DUMMYFUNCTION("""COMPUTED_VALUE"""),"Justitia")</f>
        <v>Justitia</v>
      </c>
      <c r="D1440" s="2" t="str">
        <f>IFERROR(__xludf.DUMMYFUNCTION("""COMPUTED_VALUE"""),"5KM OVERALL F")</f>
        <v>5KM OVERALL F</v>
      </c>
      <c r="E1440" s="1">
        <f>IFERROR(__xludf.DUMMYFUNCTION("""COMPUTED_VALUE"""),2.0)</f>
        <v>2</v>
      </c>
      <c r="F1440" s="1" t="str">
        <f>IFERROR(__xludf.DUMMYFUNCTION("""COMPUTED_VALUE"""),"Female")</f>
        <v>Female</v>
      </c>
      <c r="G1440" s="4" t="b">
        <f>IFERROR(__xludf.DUMMYFUNCTION("""COMPUTED_VALUE"""),TRUE)</f>
        <v>1</v>
      </c>
      <c r="H1440" s="4" t="b">
        <f>IFERROR(__xludf.DUMMYFUNCTION("""COMPUTED_VALUE"""),TRUE)</f>
        <v>1</v>
      </c>
      <c r="I1440" s="4">
        <f>IFERROR(__xludf.DUMMYFUNCTION("""COMPUTED_VALUE"""),0.2549440625)</f>
        <v>0.2549440625</v>
      </c>
      <c r="J1440" s="4">
        <f>IFERROR(__xludf.DUMMYFUNCTION("""COMPUTED_VALUE"""),45949.27404815224)</f>
        <v>45949.27405</v>
      </c>
      <c r="K1440" s="4" t="str">
        <f>IFERROR(__xludf.DUMMYFUNCTION("""COMPUTED_VALUE"""),"")</f>
        <v/>
      </c>
      <c r="L1440" s="4">
        <f>IFERROR(__xludf.DUMMYFUNCTION("""COMPUTED_VALUE"""),45949.28769598381)</f>
        <v>45949.2877</v>
      </c>
      <c r="M1440" s="1" t="str">
        <f>IFERROR(__xludf.DUMMYFUNCTION("""COMPUTED_VALUE"""),"RFID")</f>
        <v>RFID</v>
      </c>
      <c r="N1440" s="5">
        <f>IFERROR(__xludf.DUMMYFUNCTION("""COMPUTED_VALUE"""),0.0076416342592592595)</f>
        <v>0.007641634259</v>
      </c>
      <c r="O1440" s="5" t="str">
        <f>IFERROR(__xludf.DUMMYFUNCTION("""COMPUTED_VALUE"""),"")</f>
        <v/>
      </c>
      <c r="P1440" s="5" t="str">
        <f>IFERROR(__xludf.DUMMYFUNCTION("""COMPUTED_VALUE"""),"")</f>
        <v/>
      </c>
      <c r="Q1440" s="5">
        <f>IFERROR(__xludf.DUMMYFUNCTION("""COMPUTED_VALUE"""),0.006550384259259259)</f>
        <v>0.006550384259</v>
      </c>
      <c r="R1440" s="4">
        <f>IFERROR(__xludf.DUMMYFUNCTION("""COMPUTED_VALUE"""),45949.03275192131)</f>
        <v>45949.03275</v>
      </c>
      <c r="S1440" s="1" t="b">
        <f>IFERROR(__xludf.DUMMYFUNCTION("""COMPUTED_VALUE"""),TRUE)</f>
        <v>1</v>
      </c>
      <c r="T1440" s="1" t="b">
        <f>IFERROR(__xludf.DUMMYFUNCTION("""COMPUTED_VALUE"""),FALSE)</f>
        <v>0</v>
      </c>
      <c r="U1440" s="1" t="str">
        <f>IFERROR(__xludf.DUMMYFUNCTION("""COMPUTED_VALUE"""),"VALID")</f>
        <v>VALID</v>
      </c>
      <c r="V1440" s="1">
        <f>IFERROR(__xludf.DUMMYFUNCTION("""COMPUTED_VALUE"""),121.0)</f>
        <v>121</v>
      </c>
      <c r="W1440" s="1">
        <f>IFERROR(__xludf.DUMMYFUNCTION("""COMPUTED_VALUE"""),751.0)</f>
        <v>751</v>
      </c>
      <c r="X1440" s="1">
        <f>IFERROR(__xludf.DUMMYFUNCTION("""COMPUTED_VALUE"""),153.0)</f>
        <v>153</v>
      </c>
      <c r="Y1440" s="2"/>
      <c r="Z1440" s="2"/>
    </row>
    <row r="1441">
      <c r="A1441" s="1">
        <f>IFERROR(__xludf.DUMMYFUNCTION("""COMPUTED_VALUE"""),1440.0)</f>
        <v>1440</v>
      </c>
      <c r="B1441" s="1">
        <f>IFERROR(__xludf.DUMMYFUNCTION("""COMPUTED_VALUE"""),5989.0)</f>
        <v>5989</v>
      </c>
      <c r="C1441" s="2" t="str">
        <f>IFERROR(__xludf.DUMMYFUNCTION("""COMPUTED_VALUE"""),"Rinda Odelia")</f>
        <v>Rinda Odelia</v>
      </c>
      <c r="D1441" s="2" t="str">
        <f>IFERROR(__xludf.DUMMYFUNCTION("""COMPUTED_VALUE"""),"5KM OVERALL F")</f>
        <v>5KM OVERALL F</v>
      </c>
      <c r="E1441" s="1">
        <f>IFERROR(__xludf.DUMMYFUNCTION("""COMPUTED_VALUE"""),2.0)</f>
        <v>2</v>
      </c>
      <c r="F1441" s="1" t="str">
        <f>IFERROR(__xludf.DUMMYFUNCTION("""COMPUTED_VALUE"""),"Female")</f>
        <v>Female</v>
      </c>
      <c r="G1441" s="4" t="b">
        <f>IFERROR(__xludf.DUMMYFUNCTION("""COMPUTED_VALUE"""),TRUE)</f>
        <v>1</v>
      </c>
      <c r="H1441" s="4" t="b">
        <f>IFERROR(__xludf.DUMMYFUNCTION("""COMPUTED_VALUE"""),TRUE)</f>
        <v>1</v>
      </c>
      <c r="I1441" s="4">
        <f>IFERROR(__xludf.DUMMYFUNCTION("""COMPUTED_VALUE"""),0.2549440625)</f>
        <v>0.2549440625</v>
      </c>
      <c r="J1441" s="4">
        <f>IFERROR(__xludf.DUMMYFUNCTION("""COMPUTED_VALUE"""),45949.2740371382)</f>
        <v>45949.27404</v>
      </c>
      <c r="K1441" s="4" t="str">
        <f>IFERROR(__xludf.DUMMYFUNCTION("""COMPUTED_VALUE"""),"")</f>
        <v/>
      </c>
      <c r="L1441" s="4">
        <f>IFERROR(__xludf.DUMMYFUNCTION("""COMPUTED_VALUE"""),45949.28769597222)</f>
        <v>45949.2877</v>
      </c>
      <c r="M1441" s="1" t="str">
        <f>IFERROR(__xludf.DUMMYFUNCTION("""COMPUTED_VALUE"""),"RFID")</f>
        <v>RFID</v>
      </c>
      <c r="N1441" s="5">
        <f>IFERROR(__xludf.DUMMYFUNCTION("""COMPUTED_VALUE"""),0.007637231481481483)</f>
        <v>0.007637231481</v>
      </c>
      <c r="O1441" s="5" t="str">
        <f>IFERROR(__xludf.DUMMYFUNCTION("""COMPUTED_VALUE"""),"")</f>
        <v/>
      </c>
      <c r="P1441" s="5" t="str">
        <f>IFERROR(__xludf.DUMMYFUNCTION("""COMPUTED_VALUE"""),"")</f>
        <v/>
      </c>
      <c r="Q1441" s="5">
        <f>IFERROR(__xludf.DUMMYFUNCTION("""COMPUTED_VALUE"""),0.006550381944444445)</f>
        <v>0.006550381944</v>
      </c>
      <c r="R1441" s="4">
        <f>IFERROR(__xludf.DUMMYFUNCTION("""COMPUTED_VALUE"""),45949.03275190972)</f>
        <v>45949.03275</v>
      </c>
      <c r="S1441" s="1" t="b">
        <f>IFERROR(__xludf.DUMMYFUNCTION("""COMPUTED_VALUE"""),TRUE)</f>
        <v>1</v>
      </c>
      <c r="T1441" s="1" t="b">
        <f>IFERROR(__xludf.DUMMYFUNCTION("""COMPUTED_VALUE"""),FALSE)</f>
        <v>0</v>
      </c>
      <c r="U1441" s="1" t="str">
        <f>IFERROR(__xludf.DUMMYFUNCTION("""COMPUTED_VALUE"""),"VALID")</f>
        <v>VALID</v>
      </c>
      <c r="V1441" s="1">
        <f>IFERROR(__xludf.DUMMYFUNCTION("""COMPUTED_VALUE"""),120.0)</f>
        <v>120</v>
      </c>
      <c r="W1441" s="1">
        <f>IFERROR(__xludf.DUMMYFUNCTION("""COMPUTED_VALUE"""),750.0)</f>
        <v>750</v>
      </c>
      <c r="X1441" s="1">
        <f>IFERROR(__xludf.DUMMYFUNCTION("""COMPUTED_VALUE"""),152.0)</f>
        <v>152</v>
      </c>
      <c r="Y1441" s="2"/>
      <c r="Z1441" s="2"/>
    </row>
    <row r="1442">
      <c r="A1442" s="1">
        <f>IFERROR(__xludf.DUMMYFUNCTION("""COMPUTED_VALUE"""),1441.0)</f>
        <v>1441</v>
      </c>
      <c r="B1442" s="1">
        <f>IFERROR(__xludf.DUMMYFUNCTION("""COMPUTED_VALUE"""),5990.0)</f>
        <v>5990</v>
      </c>
      <c r="C1442" s="2" t="str">
        <f>IFERROR(__xludf.DUMMYFUNCTION("""COMPUTED_VALUE"""),"AYAZ")</f>
        <v>AYAZ</v>
      </c>
      <c r="D1442" s="2" t="str">
        <f>IFERROR(__xludf.DUMMYFUNCTION("""COMPUTED_VALUE"""),"5KM OVERALL F")</f>
        <v>5KM OVERALL F</v>
      </c>
      <c r="E1442" s="1">
        <f>IFERROR(__xludf.DUMMYFUNCTION("""COMPUTED_VALUE"""),2.0)</f>
        <v>2</v>
      </c>
      <c r="F1442" s="1" t="str">
        <f>IFERROR(__xludf.DUMMYFUNCTION("""COMPUTED_VALUE"""),"Female")</f>
        <v>Female</v>
      </c>
      <c r="G1442" s="4" t="b">
        <f>IFERROR(__xludf.DUMMYFUNCTION("""COMPUTED_VALUE"""),TRUE)</f>
        <v>1</v>
      </c>
      <c r="H1442" s="4" t="b">
        <f>IFERROR(__xludf.DUMMYFUNCTION("""COMPUTED_VALUE"""),FALSE)</f>
        <v>0</v>
      </c>
      <c r="I1442" s="4">
        <f>IFERROR(__xludf.DUMMYFUNCTION("""COMPUTED_VALUE"""),0.2549440625)</f>
        <v>0.2549440625</v>
      </c>
      <c r="J1442" s="4">
        <f>IFERROR(__xludf.DUMMYFUNCTION("""COMPUTED_VALUE"""),45949.27619683715)</f>
        <v>45949.2762</v>
      </c>
      <c r="K1442" s="4" t="str">
        <f>IFERROR(__xludf.DUMMYFUNCTION("""COMPUTED_VALUE"""),"")</f>
        <v/>
      </c>
      <c r="L1442" s="4">
        <f>IFERROR(__xludf.DUMMYFUNCTION("""COMPUTED_VALUE"""),45949.29395990593)</f>
        <v>45949.29396</v>
      </c>
      <c r="M1442" s="1" t="str">
        <f>IFERROR(__xludf.DUMMYFUNCTION("""COMPUTED_VALUE"""),"RFID")</f>
        <v>RFID</v>
      </c>
      <c r="N1442" s="5">
        <f>IFERROR(__xludf.DUMMYFUNCTION("""COMPUTED_VALUE"""),0.00850111111111111)</f>
        <v>0.008501111111</v>
      </c>
      <c r="O1442" s="5" t="str">
        <f>IFERROR(__xludf.DUMMYFUNCTION("""COMPUTED_VALUE"""),"")</f>
        <v/>
      </c>
      <c r="P1442" s="5" t="str">
        <f>IFERROR(__xludf.DUMMYFUNCTION("""COMPUTED_VALUE"""),"")</f>
        <v/>
      </c>
      <c r="Q1442" s="5">
        <f>IFERROR(__xludf.DUMMYFUNCTION("""COMPUTED_VALUE"""),0.007803168981481481)</f>
        <v>0.007803168981</v>
      </c>
      <c r="R1442" s="4">
        <f>IFERROR(__xludf.DUMMYFUNCTION("""COMPUTED_VALUE"""),45949.03901584343)</f>
        <v>45949.03902</v>
      </c>
      <c r="S1442" s="1" t="b">
        <f>IFERROR(__xludf.DUMMYFUNCTION("""COMPUTED_VALUE"""),TRUE)</f>
        <v>1</v>
      </c>
      <c r="T1442" s="1" t="b">
        <f>IFERROR(__xludf.DUMMYFUNCTION("""COMPUTED_VALUE"""),FALSE)</f>
        <v>0</v>
      </c>
      <c r="U1442" s="1" t="str">
        <f>IFERROR(__xludf.DUMMYFUNCTION("""COMPUTED_VALUE"""),"VALID")</f>
        <v>VALID</v>
      </c>
      <c r="V1442" s="1">
        <f>IFERROR(__xludf.DUMMYFUNCTION("""COMPUTED_VALUE"""),287.0)</f>
        <v>287</v>
      </c>
      <c r="W1442" s="1">
        <f>IFERROR(__xludf.DUMMYFUNCTION("""COMPUTED_VALUE"""),1173.0)</f>
        <v>1173</v>
      </c>
      <c r="X1442" s="1">
        <f>IFERROR(__xludf.DUMMYFUNCTION("""COMPUTED_VALUE"""),346.0)</f>
        <v>346</v>
      </c>
      <c r="Y1442" s="2"/>
      <c r="Z1442" s="2"/>
    </row>
    <row r="1443">
      <c r="A1443" s="1">
        <f>IFERROR(__xludf.DUMMYFUNCTION("""COMPUTED_VALUE"""),1442.0)</f>
        <v>1442</v>
      </c>
      <c r="B1443" s="1">
        <f>IFERROR(__xludf.DUMMYFUNCTION("""COMPUTED_VALUE"""),5991.0)</f>
        <v>5991</v>
      </c>
      <c r="C1443" s="2" t="str">
        <f>IFERROR(__xludf.DUMMYFUNCTION("""COMPUTED_VALUE"""),"SAUT")</f>
        <v>SAUT</v>
      </c>
      <c r="D1443" s="2" t="str">
        <f>IFERROR(__xludf.DUMMYFUNCTION("""COMPUTED_VALUE"""),"5KM OVERALL F")</f>
        <v>5KM OVERALL F</v>
      </c>
      <c r="E1443" s="1">
        <f>IFERROR(__xludf.DUMMYFUNCTION("""COMPUTED_VALUE"""),2.0)</f>
        <v>2</v>
      </c>
      <c r="F1443" s="1" t="str">
        <f>IFERROR(__xludf.DUMMYFUNCTION("""COMPUTED_VALUE"""),"Female")</f>
        <v>Female</v>
      </c>
      <c r="G1443" s="4" t="str">
        <f>IFERROR(__xludf.DUMMYFUNCTION("""COMPUTED_VALUE"""),"")</f>
        <v/>
      </c>
      <c r="H1443" s="4" t="b">
        <f>IFERROR(__xludf.DUMMYFUNCTION("""COMPUTED_VALUE"""),FALSE)</f>
        <v>0</v>
      </c>
      <c r="I1443" s="4">
        <f>IFERROR(__xludf.DUMMYFUNCTION("""COMPUTED_VALUE"""),0.2549440625)</f>
        <v>0.2549440625</v>
      </c>
      <c r="J1443" s="4" t="str">
        <f>IFERROR(__xludf.DUMMYFUNCTION("""COMPUTED_VALUE"""),"")</f>
        <v/>
      </c>
      <c r="K1443" s="4" t="str">
        <f>IFERROR(__xludf.DUMMYFUNCTION("""COMPUTED_VALUE"""),"")</f>
        <v/>
      </c>
      <c r="L1443" s="4" t="str">
        <f>IFERROR(__xludf.DUMMYFUNCTION("""COMPUTED_VALUE"""),"")</f>
        <v/>
      </c>
      <c r="M1443" s="1" t="str">
        <f>IFERROR(__xludf.DUMMYFUNCTION("""COMPUTED_VALUE"""),"RFID")</f>
        <v>RFID</v>
      </c>
      <c r="N1443" s="5" t="str">
        <f>IFERROR(__xludf.DUMMYFUNCTION("""COMPUTED_VALUE"""),"")</f>
        <v/>
      </c>
      <c r="O1443" s="5" t="str">
        <f>IFERROR(__xludf.DUMMYFUNCTION("""COMPUTED_VALUE"""),"")</f>
        <v/>
      </c>
      <c r="P1443" s="5" t="str">
        <f>IFERROR(__xludf.DUMMYFUNCTION("""COMPUTED_VALUE"""),"")</f>
        <v/>
      </c>
      <c r="Q1443" s="5" t="str">
        <f>IFERROR(__xludf.DUMMYFUNCTION("""COMPUTED_VALUE"""),"")</f>
        <v/>
      </c>
      <c r="R1443" s="4" t="str">
        <f>IFERROR(__xludf.DUMMYFUNCTION("""COMPUTED_VALUE"""),"")</f>
        <v/>
      </c>
      <c r="S1443" s="1" t="b">
        <f>IFERROR(__xludf.DUMMYFUNCTION("""COMPUTED_VALUE"""),FALSE)</f>
        <v>0</v>
      </c>
      <c r="T1443" s="1" t="b">
        <f>IFERROR(__xludf.DUMMYFUNCTION("""COMPUTED_VALUE"""),FALSE)</f>
        <v>0</v>
      </c>
      <c r="U1443" s="1" t="str">
        <f>IFERROR(__xludf.DUMMYFUNCTION("""COMPUTED_VALUE"""),"DSQ")</f>
        <v>DSQ</v>
      </c>
      <c r="V1443" s="1" t="str">
        <f>IFERROR(__xludf.DUMMYFUNCTION("""COMPUTED_VALUE"""),"DSQ")</f>
        <v>DSQ</v>
      </c>
      <c r="W1443" s="1" t="str">
        <f>IFERROR(__xludf.DUMMYFUNCTION("""COMPUTED_VALUE"""),"DSQ")</f>
        <v>DSQ</v>
      </c>
      <c r="X1443" s="1" t="str">
        <f>IFERROR(__xludf.DUMMYFUNCTION("""COMPUTED_VALUE"""),"DSQ")</f>
        <v>DSQ</v>
      </c>
      <c r="Y1443" s="2"/>
      <c r="Z1443" s="2" t="str">
        <f>IFERROR(__xludf.DUMMYFUNCTION("""COMPUTED_VALUE"""),"")</f>
        <v/>
      </c>
    </row>
    <row r="1444">
      <c r="A1444" s="1">
        <f>IFERROR(__xludf.DUMMYFUNCTION("""COMPUTED_VALUE"""),1443.0)</f>
        <v>1443</v>
      </c>
      <c r="B1444" s="1">
        <f>IFERROR(__xludf.DUMMYFUNCTION("""COMPUTED_VALUE"""),5994.0)</f>
        <v>5994</v>
      </c>
      <c r="C1444" s="2" t="str">
        <f>IFERROR(__xludf.DUMMYFUNCTION("""COMPUTED_VALUE"""),"salsadinaa")</f>
        <v>salsadinaa</v>
      </c>
      <c r="D1444" s="2" t="str">
        <f>IFERROR(__xludf.DUMMYFUNCTION("""COMPUTED_VALUE"""),"5KM OVERALL F")</f>
        <v>5KM OVERALL F</v>
      </c>
      <c r="E1444" s="1">
        <f>IFERROR(__xludf.DUMMYFUNCTION("""COMPUTED_VALUE"""),2.0)</f>
        <v>2</v>
      </c>
      <c r="F1444" s="1" t="str">
        <f>IFERROR(__xludf.DUMMYFUNCTION("""COMPUTED_VALUE"""),"Female")</f>
        <v>Female</v>
      </c>
      <c r="G1444" s="4" t="b">
        <f>IFERROR(__xludf.DUMMYFUNCTION("""COMPUTED_VALUE"""),TRUE)</f>
        <v>1</v>
      </c>
      <c r="H1444" s="4" t="b">
        <f>IFERROR(__xludf.DUMMYFUNCTION("""COMPUTED_VALUE"""),TRUE)</f>
        <v>1</v>
      </c>
      <c r="I1444" s="4">
        <f>IFERROR(__xludf.DUMMYFUNCTION("""COMPUTED_VALUE"""),0.2549440625)</f>
        <v>0.2549440625</v>
      </c>
      <c r="J1444" s="4">
        <f>IFERROR(__xludf.DUMMYFUNCTION("""COMPUTED_VALUE"""),45949.28390516262)</f>
        <v>45949.28391</v>
      </c>
      <c r="K1444" s="4" t="str">
        <f>IFERROR(__xludf.DUMMYFUNCTION("""COMPUTED_VALUE"""),"")</f>
        <v/>
      </c>
      <c r="L1444" s="4">
        <f>IFERROR(__xludf.DUMMYFUNCTION("""COMPUTED_VALUE"""),45949.29958524704)</f>
        <v>45949.29959</v>
      </c>
      <c r="M1444" s="1" t="str">
        <f>IFERROR(__xludf.DUMMYFUNCTION("""COMPUTED_VALUE"""),"RFID")</f>
        <v>RFID</v>
      </c>
      <c r="N1444" s="5">
        <f>IFERROR(__xludf.DUMMYFUNCTION("""COMPUTED_VALUE"""),0.011584439814814815)</f>
        <v>0.01158443981</v>
      </c>
      <c r="O1444" s="5" t="str">
        <f>IFERROR(__xludf.DUMMYFUNCTION("""COMPUTED_VALUE"""),"")</f>
        <v/>
      </c>
      <c r="P1444" s="5" t="str">
        <f>IFERROR(__xludf.DUMMYFUNCTION("""COMPUTED_VALUE"""),"")</f>
        <v/>
      </c>
      <c r="Q1444" s="5">
        <f>IFERROR(__xludf.DUMMYFUNCTION("""COMPUTED_VALUE"""),0.00892823611111111)</f>
        <v>0.008928236111</v>
      </c>
      <c r="R1444" s="4">
        <f>IFERROR(__xludf.DUMMYFUNCTION("""COMPUTED_VALUE"""),45949.04464118454)</f>
        <v>45949.04464</v>
      </c>
      <c r="S1444" s="1" t="b">
        <f>IFERROR(__xludf.DUMMYFUNCTION("""COMPUTED_VALUE"""),TRUE)</f>
        <v>1</v>
      </c>
      <c r="T1444" s="1" t="b">
        <f>IFERROR(__xludf.DUMMYFUNCTION("""COMPUTED_VALUE"""),FALSE)</f>
        <v>0</v>
      </c>
      <c r="U1444" s="1" t="str">
        <f>IFERROR(__xludf.DUMMYFUNCTION("""COMPUTED_VALUE"""),"VALID")</f>
        <v>VALID</v>
      </c>
      <c r="V1444" s="1">
        <f>IFERROR(__xludf.DUMMYFUNCTION("""COMPUTED_VALUE"""),411.0)</f>
        <v>411</v>
      </c>
      <c r="W1444" s="1">
        <f>IFERROR(__xludf.DUMMYFUNCTION("""COMPUTED_VALUE"""),1439.0)</f>
        <v>1439</v>
      </c>
      <c r="X1444" s="1">
        <f>IFERROR(__xludf.DUMMYFUNCTION("""COMPUTED_VALUE"""),504.0)</f>
        <v>504</v>
      </c>
      <c r="Y1444" s="2"/>
      <c r="Z1444" s="2"/>
    </row>
    <row r="1445">
      <c r="A1445" s="1">
        <f>IFERROR(__xludf.DUMMYFUNCTION("""COMPUTED_VALUE"""),1444.0)</f>
        <v>1444</v>
      </c>
      <c r="B1445" s="1">
        <f>IFERROR(__xludf.DUMMYFUNCTION("""COMPUTED_VALUE"""),5995.0)</f>
        <v>5995</v>
      </c>
      <c r="C1445" s="2" t="str">
        <f>IFERROR(__xludf.DUMMYFUNCTION("""COMPUTED_VALUE"""),"putrielp")</f>
        <v>putrielp</v>
      </c>
      <c r="D1445" s="2" t="str">
        <f>IFERROR(__xludf.DUMMYFUNCTION("""COMPUTED_VALUE"""),"5KM OVERALL F")</f>
        <v>5KM OVERALL F</v>
      </c>
      <c r="E1445" s="1">
        <f>IFERROR(__xludf.DUMMYFUNCTION("""COMPUTED_VALUE"""),2.0)</f>
        <v>2</v>
      </c>
      <c r="F1445" s="1" t="str">
        <f>IFERROR(__xludf.DUMMYFUNCTION("""COMPUTED_VALUE"""),"Female")</f>
        <v>Female</v>
      </c>
      <c r="G1445" s="4" t="b">
        <f>IFERROR(__xludf.DUMMYFUNCTION("""COMPUTED_VALUE"""),TRUE)</f>
        <v>1</v>
      </c>
      <c r="H1445" s="4" t="b">
        <f>IFERROR(__xludf.DUMMYFUNCTION("""COMPUTED_VALUE"""),TRUE)</f>
        <v>1</v>
      </c>
      <c r="I1445" s="4">
        <f>IFERROR(__xludf.DUMMYFUNCTION("""COMPUTED_VALUE"""),0.2549440625)</f>
        <v>0.2549440625</v>
      </c>
      <c r="J1445" s="4">
        <f>IFERROR(__xludf.DUMMYFUNCTION("""COMPUTED_VALUE"""),45949.2822176694)</f>
        <v>45949.28222</v>
      </c>
      <c r="K1445" s="4" t="str">
        <f>IFERROR(__xludf.DUMMYFUNCTION("""COMPUTED_VALUE"""),"")</f>
        <v/>
      </c>
      <c r="L1445" s="4">
        <f>IFERROR(__xludf.DUMMYFUNCTION("""COMPUTED_VALUE"""),45949.301112619934)</f>
        <v>45949.30111</v>
      </c>
      <c r="M1445" s="1" t="str">
        <f>IFERROR(__xludf.DUMMYFUNCTION("""COMPUTED_VALUE"""),"RFID")</f>
        <v>RFID</v>
      </c>
      <c r="N1445" s="5">
        <f>IFERROR(__xludf.DUMMYFUNCTION("""COMPUTED_VALUE"""),0.010909444444444446)</f>
        <v>0.01090944444</v>
      </c>
      <c r="O1445" s="5" t="str">
        <f>IFERROR(__xludf.DUMMYFUNCTION("""COMPUTED_VALUE"""),"")</f>
        <v/>
      </c>
      <c r="P1445" s="5" t="str">
        <f>IFERROR(__xludf.DUMMYFUNCTION("""COMPUTED_VALUE"""),"")</f>
        <v/>
      </c>
      <c r="Q1445" s="5">
        <f>IFERROR(__xludf.DUMMYFUNCTION("""COMPUTED_VALUE"""),0.009233710648148149)</f>
        <v>0.009233710648</v>
      </c>
      <c r="R1445" s="4">
        <f>IFERROR(__xludf.DUMMYFUNCTION("""COMPUTED_VALUE"""),45949.046168557434)</f>
        <v>45949.04617</v>
      </c>
      <c r="S1445" s="1" t="b">
        <f>IFERROR(__xludf.DUMMYFUNCTION("""COMPUTED_VALUE"""),TRUE)</f>
        <v>1</v>
      </c>
      <c r="T1445" s="1" t="b">
        <f>IFERROR(__xludf.DUMMYFUNCTION("""COMPUTED_VALUE"""),FALSE)</f>
        <v>0</v>
      </c>
      <c r="U1445" s="1" t="str">
        <f>IFERROR(__xludf.DUMMYFUNCTION("""COMPUTED_VALUE"""),"VALID")</f>
        <v>VALID</v>
      </c>
      <c r="V1445" s="1">
        <f>IFERROR(__xludf.DUMMYFUNCTION("""COMPUTED_VALUE"""),447.0)</f>
        <v>447</v>
      </c>
      <c r="W1445" s="1">
        <f>IFERROR(__xludf.DUMMYFUNCTION("""COMPUTED_VALUE"""),1495.0)</f>
        <v>1495</v>
      </c>
      <c r="X1445" s="1">
        <f>IFERROR(__xludf.DUMMYFUNCTION("""COMPUTED_VALUE"""),545.0)</f>
        <v>545</v>
      </c>
      <c r="Y1445" s="2"/>
      <c r="Z1445" s="2"/>
    </row>
    <row r="1446">
      <c r="A1446" s="1">
        <f>IFERROR(__xludf.DUMMYFUNCTION("""COMPUTED_VALUE"""),1445.0)</f>
        <v>1445</v>
      </c>
      <c r="B1446" s="1">
        <f>IFERROR(__xludf.DUMMYFUNCTION("""COMPUTED_VALUE"""),6000.0)</f>
        <v>6000</v>
      </c>
      <c r="C1446" s="2" t="str">
        <f>IFERROR(__xludf.DUMMYFUNCTION("""COMPUTED_VALUE"""),"Dinda Vika")</f>
        <v>Dinda Vika</v>
      </c>
      <c r="D1446" s="2" t="str">
        <f>IFERROR(__xludf.DUMMYFUNCTION("""COMPUTED_VALUE"""),"5KM OVERALL F")</f>
        <v>5KM OVERALL F</v>
      </c>
      <c r="E1446" s="1">
        <f>IFERROR(__xludf.DUMMYFUNCTION("""COMPUTED_VALUE"""),2.0)</f>
        <v>2</v>
      </c>
      <c r="F1446" s="1" t="str">
        <f>IFERROR(__xludf.DUMMYFUNCTION("""COMPUTED_VALUE"""),"Female")</f>
        <v>Female</v>
      </c>
      <c r="G1446" s="4" t="b">
        <f>IFERROR(__xludf.DUMMYFUNCTION("""COMPUTED_VALUE"""),TRUE)</f>
        <v>1</v>
      </c>
      <c r="H1446" s="4" t="b">
        <f>IFERROR(__xludf.DUMMYFUNCTION("""COMPUTED_VALUE"""),FALSE)</f>
        <v>0</v>
      </c>
      <c r="I1446" s="4">
        <f>IFERROR(__xludf.DUMMYFUNCTION("""COMPUTED_VALUE"""),0.2549440625)</f>
        <v>0.2549440625</v>
      </c>
      <c r="J1446" s="4">
        <f>IFERROR(__xludf.DUMMYFUNCTION("""COMPUTED_VALUE"""),45949.27323155729)</f>
        <v>45949.27323</v>
      </c>
      <c r="K1446" s="4" t="str">
        <f>IFERROR(__xludf.DUMMYFUNCTION("""COMPUTED_VALUE"""),"")</f>
        <v/>
      </c>
      <c r="L1446" s="4">
        <f>IFERROR(__xludf.DUMMYFUNCTION("""COMPUTED_VALUE"""),45949.28646337852)</f>
        <v>45949.28646</v>
      </c>
      <c r="M1446" s="1" t="str">
        <f>IFERROR(__xludf.DUMMYFUNCTION("""COMPUTED_VALUE"""),"RFID")</f>
        <v>RFID</v>
      </c>
      <c r="N1446" s="5">
        <f>IFERROR(__xludf.DUMMYFUNCTION("""COMPUTED_VALUE"""),0.0073149999999999995)</f>
        <v>0.007315</v>
      </c>
      <c r="O1446" s="5" t="str">
        <f>IFERROR(__xludf.DUMMYFUNCTION("""COMPUTED_VALUE"""),"")</f>
        <v/>
      </c>
      <c r="P1446" s="5" t="str">
        <f>IFERROR(__xludf.DUMMYFUNCTION("""COMPUTED_VALUE"""),"")</f>
        <v/>
      </c>
      <c r="Q1446" s="5">
        <f>IFERROR(__xludf.DUMMYFUNCTION("""COMPUTED_VALUE"""),0.0063038634259259246)</f>
        <v>0.006303863426</v>
      </c>
      <c r="R1446" s="4">
        <f>IFERROR(__xludf.DUMMYFUNCTION("""COMPUTED_VALUE"""),45949.03151931602)</f>
        <v>45949.03152</v>
      </c>
      <c r="S1446" s="1" t="b">
        <f>IFERROR(__xludf.DUMMYFUNCTION("""COMPUTED_VALUE"""),TRUE)</f>
        <v>1</v>
      </c>
      <c r="T1446" s="1" t="b">
        <f>IFERROR(__xludf.DUMMYFUNCTION("""COMPUTED_VALUE"""),FALSE)</f>
        <v>0</v>
      </c>
      <c r="U1446" s="1" t="str">
        <f>IFERROR(__xludf.DUMMYFUNCTION("""COMPUTED_VALUE"""),"VALID")</f>
        <v>VALID</v>
      </c>
      <c r="V1446" s="1">
        <f>IFERROR(__xludf.DUMMYFUNCTION("""COMPUTED_VALUE"""),101.0)</f>
        <v>101</v>
      </c>
      <c r="W1446" s="1">
        <f>IFERROR(__xludf.DUMMYFUNCTION("""COMPUTED_VALUE"""),665.0)</f>
        <v>665</v>
      </c>
      <c r="X1446" s="1">
        <f>IFERROR(__xludf.DUMMYFUNCTION("""COMPUTED_VALUE"""),128.0)</f>
        <v>128</v>
      </c>
      <c r="Y1446" s="2"/>
      <c r="Z1446" s="2"/>
    </row>
    <row r="1447">
      <c r="A1447" s="1">
        <f>IFERROR(__xludf.DUMMYFUNCTION("""COMPUTED_VALUE"""),1446.0)</f>
        <v>1446</v>
      </c>
      <c r="B1447" s="1">
        <f>IFERROR(__xludf.DUMMYFUNCTION("""COMPUTED_VALUE"""),6004.0)</f>
        <v>6004</v>
      </c>
      <c r="C1447" s="2" t="str">
        <f>IFERROR(__xludf.DUMMYFUNCTION("""COMPUTED_VALUE"""),"Kamal")</f>
        <v>Kamal</v>
      </c>
      <c r="D1447" s="2" t="str">
        <f>IFERROR(__xludf.DUMMYFUNCTION("""COMPUTED_VALUE"""),"5KM OVERALL F")</f>
        <v>5KM OVERALL F</v>
      </c>
      <c r="E1447" s="1">
        <f>IFERROR(__xludf.DUMMYFUNCTION("""COMPUTED_VALUE"""),2.0)</f>
        <v>2</v>
      </c>
      <c r="F1447" s="1" t="str">
        <f>IFERROR(__xludf.DUMMYFUNCTION("""COMPUTED_VALUE"""),"Female")</f>
        <v>Female</v>
      </c>
      <c r="G1447" s="4" t="b">
        <f>IFERROR(__xludf.DUMMYFUNCTION("""COMPUTED_VALUE"""),TRUE)</f>
        <v>1</v>
      </c>
      <c r="H1447" s="4" t="b">
        <f>IFERROR(__xludf.DUMMYFUNCTION("""COMPUTED_VALUE"""),TRUE)</f>
        <v>1</v>
      </c>
      <c r="I1447" s="4">
        <f>IFERROR(__xludf.DUMMYFUNCTION("""COMPUTED_VALUE"""),0.2549440625)</f>
        <v>0.2549440625</v>
      </c>
      <c r="J1447" s="4">
        <f>IFERROR(__xludf.DUMMYFUNCTION("""COMPUTED_VALUE"""),45949.27849894283)</f>
        <v>45949.2785</v>
      </c>
      <c r="K1447" s="4" t="str">
        <f>IFERROR(__xludf.DUMMYFUNCTION("""COMPUTED_VALUE"""),"")</f>
        <v/>
      </c>
      <c r="L1447" s="4">
        <f>IFERROR(__xludf.DUMMYFUNCTION("""COMPUTED_VALUE"""),45949.29443213498)</f>
        <v>45949.29443</v>
      </c>
      <c r="M1447" s="1" t="str">
        <f>IFERROR(__xludf.DUMMYFUNCTION("""COMPUTED_VALUE"""),"RFID")</f>
        <v>RFID</v>
      </c>
      <c r="N1447" s="5">
        <f>IFERROR(__xludf.DUMMYFUNCTION("""COMPUTED_VALUE"""),0.009421953703703705)</f>
        <v>0.009421953704</v>
      </c>
      <c r="O1447" s="5" t="str">
        <f>IFERROR(__xludf.DUMMYFUNCTION("""COMPUTED_VALUE"""),"")</f>
        <v/>
      </c>
      <c r="P1447" s="5" t="str">
        <f>IFERROR(__xludf.DUMMYFUNCTION("""COMPUTED_VALUE"""),"")</f>
        <v/>
      </c>
      <c r="Q1447" s="5">
        <f>IFERROR(__xludf.DUMMYFUNCTION("""COMPUTED_VALUE"""),0.007897613425925926)</f>
        <v>0.007897613426</v>
      </c>
      <c r="R1447" s="4">
        <f>IFERROR(__xludf.DUMMYFUNCTION("""COMPUTED_VALUE"""),45949.03948807248)</f>
        <v>45949.03949</v>
      </c>
      <c r="S1447" s="1" t="b">
        <f>IFERROR(__xludf.DUMMYFUNCTION("""COMPUTED_VALUE"""),TRUE)</f>
        <v>1</v>
      </c>
      <c r="T1447" s="1" t="b">
        <f>IFERROR(__xludf.DUMMYFUNCTION("""COMPUTED_VALUE"""),FALSE)</f>
        <v>0</v>
      </c>
      <c r="U1447" s="1" t="str">
        <f>IFERROR(__xludf.DUMMYFUNCTION("""COMPUTED_VALUE"""),"VALID")</f>
        <v>VALID</v>
      </c>
      <c r="V1447" s="1">
        <f>IFERROR(__xludf.DUMMYFUNCTION("""COMPUTED_VALUE"""),306.0)</f>
        <v>306</v>
      </c>
      <c r="W1447" s="1">
        <f>IFERROR(__xludf.DUMMYFUNCTION("""COMPUTED_VALUE"""),1215.0)</f>
        <v>1215</v>
      </c>
      <c r="X1447" s="1">
        <f>IFERROR(__xludf.DUMMYFUNCTION("""COMPUTED_VALUE"""),370.0)</f>
        <v>370</v>
      </c>
      <c r="Y1447" s="2"/>
      <c r="Z1447" s="2"/>
    </row>
    <row r="1448">
      <c r="A1448" s="1">
        <f>IFERROR(__xludf.DUMMYFUNCTION("""COMPUTED_VALUE"""),1447.0)</f>
        <v>1447</v>
      </c>
      <c r="B1448" s="1">
        <f>IFERROR(__xludf.DUMMYFUNCTION("""COMPUTED_VALUE"""),6007.0)</f>
        <v>6007</v>
      </c>
      <c r="C1448" s="2" t="str">
        <f>IFERROR(__xludf.DUMMYFUNCTION("""COMPUTED_VALUE"""),"Nurul Latifah")</f>
        <v>Nurul Latifah</v>
      </c>
      <c r="D1448" s="2" t="str">
        <f>IFERROR(__xludf.DUMMYFUNCTION("""COMPUTED_VALUE"""),"5KM OVERALL F")</f>
        <v>5KM OVERALL F</v>
      </c>
      <c r="E1448" s="1">
        <f>IFERROR(__xludf.DUMMYFUNCTION("""COMPUTED_VALUE"""),2.0)</f>
        <v>2</v>
      </c>
      <c r="F1448" s="1" t="str">
        <f>IFERROR(__xludf.DUMMYFUNCTION("""COMPUTED_VALUE"""),"Female")</f>
        <v>Female</v>
      </c>
      <c r="G1448" s="4" t="b">
        <f>IFERROR(__xludf.DUMMYFUNCTION("""COMPUTED_VALUE"""),TRUE)</f>
        <v>1</v>
      </c>
      <c r="H1448" s="4" t="b">
        <f>IFERROR(__xludf.DUMMYFUNCTION("""COMPUTED_VALUE"""),TRUE)</f>
        <v>1</v>
      </c>
      <c r="I1448" s="4">
        <f>IFERROR(__xludf.DUMMYFUNCTION("""COMPUTED_VALUE"""),0.2549440625)</f>
        <v>0.2549440625</v>
      </c>
      <c r="J1448" s="4">
        <f>IFERROR(__xludf.DUMMYFUNCTION("""COMPUTED_VALUE"""),45949.27513781344)</f>
        <v>45949.27514</v>
      </c>
      <c r="K1448" s="4" t="str">
        <f>IFERROR(__xludf.DUMMYFUNCTION("""COMPUTED_VALUE"""),"")</f>
        <v/>
      </c>
      <c r="L1448" s="4">
        <f>IFERROR(__xludf.DUMMYFUNCTION("""COMPUTED_VALUE"""),45949.29123420462)</f>
        <v>45949.29123</v>
      </c>
      <c r="M1448" s="1" t="str">
        <f>IFERROR(__xludf.DUMMYFUNCTION("""COMPUTED_VALUE"""),"RFID")</f>
        <v>RFID</v>
      </c>
      <c r="N1448" s="5">
        <f>IFERROR(__xludf.DUMMYFUNCTION("""COMPUTED_VALUE"""),0.0080775)</f>
        <v>0.0080775</v>
      </c>
      <c r="O1448" s="5" t="str">
        <f>IFERROR(__xludf.DUMMYFUNCTION("""COMPUTED_VALUE"""),"")</f>
        <v/>
      </c>
      <c r="P1448" s="5" t="str">
        <f>IFERROR(__xludf.DUMMYFUNCTION("""COMPUTED_VALUE"""),"")</f>
        <v/>
      </c>
      <c r="Q1448" s="5">
        <f>IFERROR(__xludf.DUMMYFUNCTION("""COMPUTED_VALUE"""),0.007258027777777777)</f>
        <v>0.007258027778</v>
      </c>
      <c r="R1448" s="4">
        <f>IFERROR(__xludf.DUMMYFUNCTION("""COMPUTED_VALUE"""),45949.03629014212)</f>
        <v>45949.03629</v>
      </c>
      <c r="S1448" s="1" t="b">
        <f>IFERROR(__xludf.DUMMYFUNCTION("""COMPUTED_VALUE"""),TRUE)</f>
        <v>1</v>
      </c>
      <c r="T1448" s="1" t="b">
        <f>IFERROR(__xludf.DUMMYFUNCTION("""COMPUTED_VALUE"""),FALSE)</f>
        <v>0</v>
      </c>
      <c r="U1448" s="1" t="str">
        <f>IFERROR(__xludf.DUMMYFUNCTION("""COMPUTED_VALUE"""),"VALID")</f>
        <v>VALID</v>
      </c>
      <c r="V1448" s="1">
        <f>IFERROR(__xludf.DUMMYFUNCTION("""COMPUTED_VALUE"""),191.0)</f>
        <v>191</v>
      </c>
      <c r="W1448" s="1">
        <f>IFERROR(__xludf.DUMMYFUNCTION("""COMPUTED_VALUE"""),975.0)</f>
        <v>975</v>
      </c>
      <c r="X1448" s="1">
        <f>IFERROR(__xludf.DUMMYFUNCTION("""COMPUTED_VALUE"""),241.0)</f>
        <v>241</v>
      </c>
      <c r="Y1448" s="2"/>
      <c r="Z1448" s="2"/>
    </row>
    <row r="1449">
      <c r="A1449" s="1">
        <f>IFERROR(__xludf.DUMMYFUNCTION("""COMPUTED_VALUE"""),1448.0)</f>
        <v>1448</v>
      </c>
      <c r="B1449" s="1">
        <f>IFERROR(__xludf.DUMMYFUNCTION("""COMPUTED_VALUE"""),6008.0)</f>
        <v>6008</v>
      </c>
      <c r="C1449" s="2" t="str">
        <f>IFERROR(__xludf.DUMMYFUNCTION("""COMPUTED_VALUE"""),"AstriAci")</f>
        <v>AstriAci</v>
      </c>
      <c r="D1449" s="2" t="str">
        <f>IFERROR(__xludf.DUMMYFUNCTION("""COMPUTED_VALUE"""),"5KM OVERALL F")</f>
        <v>5KM OVERALL F</v>
      </c>
      <c r="E1449" s="1">
        <f>IFERROR(__xludf.DUMMYFUNCTION("""COMPUTED_VALUE"""),2.0)</f>
        <v>2</v>
      </c>
      <c r="F1449" s="1" t="str">
        <f>IFERROR(__xludf.DUMMYFUNCTION("""COMPUTED_VALUE"""),"Female")</f>
        <v>Female</v>
      </c>
      <c r="G1449" s="4" t="b">
        <f>IFERROR(__xludf.DUMMYFUNCTION("""COMPUTED_VALUE"""),TRUE)</f>
        <v>1</v>
      </c>
      <c r="H1449" s="4" t="b">
        <f>IFERROR(__xludf.DUMMYFUNCTION("""COMPUTED_VALUE"""),FALSE)</f>
        <v>0</v>
      </c>
      <c r="I1449" s="4">
        <f>IFERROR(__xludf.DUMMYFUNCTION("""COMPUTED_VALUE"""),0.2549440625)</f>
        <v>0.2549440625</v>
      </c>
      <c r="J1449" s="4">
        <f>IFERROR(__xludf.DUMMYFUNCTION("""COMPUTED_VALUE"""),45949.27748156602)</f>
        <v>45949.27748</v>
      </c>
      <c r="K1449" s="4" t="str">
        <f>IFERROR(__xludf.DUMMYFUNCTION("""COMPUTED_VALUE"""),"")</f>
        <v/>
      </c>
      <c r="L1449" s="4">
        <f>IFERROR(__xludf.DUMMYFUNCTION("""COMPUTED_VALUE"""),45949.29456755241)</f>
        <v>45949.29457</v>
      </c>
      <c r="M1449" s="1" t="str">
        <f>IFERROR(__xludf.DUMMYFUNCTION("""COMPUTED_VALUE"""),"RFID")</f>
        <v>RFID</v>
      </c>
      <c r="N1449" s="5">
        <f>IFERROR(__xludf.DUMMYFUNCTION("""COMPUTED_VALUE"""),0.009014999999999999)</f>
        <v>0.009015</v>
      </c>
      <c r="O1449" s="5" t="str">
        <f>IFERROR(__xludf.DUMMYFUNCTION("""COMPUTED_VALUE"""),"")</f>
        <v/>
      </c>
      <c r="P1449" s="5" t="str">
        <f>IFERROR(__xludf.DUMMYFUNCTION("""COMPUTED_VALUE"""),"")</f>
        <v/>
      </c>
      <c r="Q1449" s="5">
        <f>IFERROR(__xludf.DUMMYFUNCTION("""COMPUTED_VALUE"""),0.007924699074074074)</f>
        <v>0.007924699074</v>
      </c>
      <c r="R1449" s="4">
        <f>IFERROR(__xludf.DUMMYFUNCTION("""COMPUTED_VALUE"""),45949.03962348991)</f>
        <v>45949.03962</v>
      </c>
      <c r="S1449" s="1" t="b">
        <f>IFERROR(__xludf.DUMMYFUNCTION("""COMPUTED_VALUE"""),TRUE)</f>
        <v>1</v>
      </c>
      <c r="T1449" s="1" t="b">
        <f>IFERROR(__xludf.DUMMYFUNCTION("""COMPUTED_VALUE"""),FALSE)</f>
        <v>0</v>
      </c>
      <c r="U1449" s="1" t="str">
        <f>IFERROR(__xludf.DUMMYFUNCTION("""COMPUTED_VALUE"""),"VALID")</f>
        <v>VALID</v>
      </c>
      <c r="V1449" s="1">
        <f>IFERROR(__xludf.DUMMYFUNCTION("""COMPUTED_VALUE"""),310.0)</f>
        <v>310</v>
      </c>
      <c r="W1449" s="1">
        <f>IFERROR(__xludf.DUMMYFUNCTION("""COMPUTED_VALUE"""),1226.0)</f>
        <v>1226</v>
      </c>
      <c r="X1449" s="1">
        <f>IFERROR(__xludf.DUMMYFUNCTION("""COMPUTED_VALUE"""),376.0)</f>
        <v>376</v>
      </c>
      <c r="Y1449" s="2"/>
      <c r="Z1449" s="2"/>
    </row>
    <row r="1450">
      <c r="A1450" s="1">
        <f>IFERROR(__xludf.DUMMYFUNCTION("""COMPUTED_VALUE"""),1449.0)</f>
        <v>1449</v>
      </c>
      <c r="B1450" s="1">
        <f>IFERROR(__xludf.DUMMYFUNCTION("""COMPUTED_VALUE"""),6010.0)</f>
        <v>6010</v>
      </c>
      <c r="C1450" s="2" t="str">
        <f>IFERROR(__xludf.DUMMYFUNCTION("""COMPUTED_VALUE"""),"ANCHORLADY")</f>
        <v>ANCHORLADY</v>
      </c>
      <c r="D1450" s="2" t="str">
        <f>IFERROR(__xludf.DUMMYFUNCTION("""COMPUTED_VALUE"""),"5KM OVERALL F")</f>
        <v>5KM OVERALL F</v>
      </c>
      <c r="E1450" s="1">
        <f>IFERROR(__xludf.DUMMYFUNCTION("""COMPUTED_VALUE"""),2.0)</f>
        <v>2</v>
      </c>
      <c r="F1450" s="1" t="str">
        <f>IFERROR(__xludf.DUMMYFUNCTION("""COMPUTED_VALUE"""),"Female")</f>
        <v>Female</v>
      </c>
      <c r="G1450" s="4" t="b">
        <f>IFERROR(__xludf.DUMMYFUNCTION("""COMPUTED_VALUE"""),TRUE)</f>
        <v>1</v>
      </c>
      <c r="H1450" s="4" t="b">
        <f>IFERROR(__xludf.DUMMYFUNCTION("""COMPUTED_VALUE"""),TRUE)</f>
        <v>1</v>
      </c>
      <c r="I1450" s="4">
        <f>IFERROR(__xludf.DUMMYFUNCTION("""COMPUTED_VALUE"""),0.2549440625)</f>
        <v>0.2549440625</v>
      </c>
      <c r="J1450" s="4">
        <f>IFERROR(__xludf.DUMMYFUNCTION("""COMPUTED_VALUE"""),45949.27192629035)</f>
        <v>45949.27193</v>
      </c>
      <c r="K1450" s="4" t="str">
        <f>IFERROR(__xludf.DUMMYFUNCTION("""COMPUTED_VALUE"""),"")</f>
        <v/>
      </c>
      <c r="L1450" s="4">
        <f>IFERROR(__xludf.DUMMYFUNCTION("""COMPUTED_VALUE"""),45949.28552650839)</f>
        <v>45949.28553</v>
      </c>
      <c r="M1450" s="1" t="str">
        <f>IFERROR(__xludf.DUMMYFUNCTION("""COMPUTED_VALUE"""),"RFID")</f>
        <v>RFID</v>
      </c>
      <c r="N1450" s="5">
        <f>IFERROR(__xludf.DUMMYFUNCTION("""COMPUTED_VALUE"""),0.006792888888888888)</f>
        <v>0.006792888889</v>
      </c>
      <c r="O1450" s="5" t="str">
        <f>IFERROR(__xludf.DUMMYFUNCTION("""COMPUTED_VALUE"""),"")</f>
        <v/>
      </c>
      <c r="P1450" s="5" t="str">
        <f>IFERROR(__xludf.DUMMYFUNCTION("""COMPUTED_VALUE"""),"")</f>
        <v/>
      </c>
      <c r="Q1450" s="5">
        <f>IFERROR(__xludf.DUMMYFUNCTION("""COMPUTED_VALUE"""),0.006116488425925925)</f>
        <v>0.006116488426</v>
      </c>
      <c r="R1450" s="4">
        <f>IFERROR(__xludf.DUMMYFUNCTION("""COMPUTED_VALUE"""),45949.03058244589)</f>
        <v>45949.03058</v>
      </c>
      <c r="S1450" s="1" t="b">
        <f>IFERROR(__xludf.DUMMYFUNCTION("""COMPUTED_VALUE"""),TRUE)</f>
        <v>1</v>
      </c>
      <c r="T1450" s="1" t="b">
        <f>IFERROR(__xludf.DUMMYFUNCTION("""COMPUTED_VALUE"""),FALSE)</f>
        <v>0</v>
      </c>
      <c r="U1450" s="1" t="str">
        <f>IFERROR(__xludf.DUMMYFUNCTION("""COMPUTED_VALUE"""),"VALID")</f>
        <v>VALID</v>
      </c>
      <c r="V1450" s="1">
        <f>IFERROR(__xludf.DUMMYFUNCTION("""COMPUTED_VALUE"""),84.0)</f>
        <v>84</v>
      </c>
      <c r="W1450" s="1">
        <f>IFERROR(__xludf.DUMMYFUNCTION("""COMPUTED_VALUE"""),605.0)</f>
        <v>605</v>
      </c>
      <c r="X1450" s="1">
        <f>IFERROR(__xludf.DUMMYFUNCTION("""COMPUTED_VALUE"""),107.0)</f>
        <v>107</v>
      </c>
      <c r="Y1450" s="2"/>
      <c r="Z1450" s="2"/>
    </row>
    <row r="1451">
      <c r="A1451" s="1">
        <f>IFERROR(__xludf.DUMMYFUNCTION("""COMPUTED_VALUE"""),1450.0)</f>
        <v>1450</v>
      </c>
      <c r="B1451" s="1">
        <f>IFERROR(__xludf.DUMMYFUNCTION("""COMPUTED_VALUE"""),6013.0)</f>
        <v>6013</v>
      </c>
      <c r="C1451" s="2" t="str">
        <f>IFERROR(__xludf.DUMMYFUNCTION("""COMPUTED_VALUE"""),"admyy")</f>
        <v>admyy</v>
      </c>
      <c r="D1451" s="2" t="str">
        <f>IFERROR(__xludf.DUMMYFUNCTION("""COMPUTED_VALUE"""),"5KM OVERALL F")</f>
        <v>5KM OVERALL F</v>
      </c>
      <c r="E1451" s="1">
        <f>IFERROR(__xludf.DUMMYFUNCTION("""COMPUTED_VALUE"""),2.0)</f>
        <v>2</v>
      </c>
      <c r="F1451" s="1" t="str">
        <f>IFERROR(__xludf.DUMMYFUNCTION("""COMPUTED_VALUE"""),"Female")</f>
        <v>Female</v>
      </c>
      <c r="G1451" s="4" t="b">
        <f>IFERROR(__xludf.DUMMYFUNCTION("""COMPUTED_VALUE"""),TRUE)</f>
        <v>1</v>
      </c>
      <c r="H1451" s="4" t="b">
        <f>IFERROR(__xludf.DUMMYFUNCTION("""COMPUTED_VALUE"""),TRUE)</f>
        <v>1</v>
      </c>
      <c r="I1451" s="4">
        <f>IFERROR(__xludf.DUMMYFUNCTION("""COMPUTED_VALUE"""),0.2549440625)</f>
        <v>0.2549440625</v>
      </c>
      <c r="J1451" s="4">
        <f>IFERROR(__xludf.DUMMYFUNCTION("""COMPUTED_VALUE"""),45949.28195724494)</f>
        <v>45949.28196</v>
      </c>
      <c r="K1451" s="4" t="str">
        <f>IFERROR(__xludf.DUMMYFUNCTION("""COMPUTED_VALUE"""),"")</f>
        <v/>
      </c>
      <c r="L1451" s="4">
        <f>IFERROR(__xludf.DUMMYFUNCTION("""COMPUTED_VALUE"""),45949.29932100695)</f>
        <v>45949.29932</v>
      </c>
      <c r="M1451" s="1" t="str">
        <f>IFERROR(__xludf.DUMMYFUNCTION("""COMPUTED_VALUE"""),"RFID")</f>
        <v>RFID</v>
      </c>
      <c r="N1451" s="5">
        <f>IFERROR(__xludf.DUMMYFUNCTION("""COMPUTED_VALUE"""),0.010805273148148147)</f>
        <v>0.01080527315</v>
      </c>
      <c r="O1451" s="5" t="str">
        <f>IFERROR(__xludf.DUMMYFUNCTION("""COMPUTED_VALUE"""),"")</f>
        <v/>
      </c>
      <c r="P1451" s="5" t="str">
        <f>IFERROR(__xludf.DUMMYFUNCTION("""COMPUTED_VALUE"""),"")</f>
        <v/>
      </c>
      <c r="Q1451" s="5">
        <f>IFERROR(__xludf.DUMMYFUNCTION("""COMPUTED_VALUE"""),0.00887538888888889)</f>
        <v>0.008875388889</v>
      </c>
      <c r="R1451" s="4">
        <f>IFERROR(__xludf.DUMMYFUNCTION("""COMPUTED_VALUE"""),45949.04437694445)</f>
        <v>45949.04438</v>
      </c>
      <c r="S1451" s="1" t="b">
        <f>IFERROR(__xludf.DUMMYFUNCTION("""COMPUTED_VALUE"""),TRUE)</f>
        <v>1</v>
      </c>
      <c r="T1451" s="1" t="b">
        <f>IFERROR(__xludf.DUMMYFUNCTION("""COMPUTED_VALUE"""),FALSE)</f>
        <v>0</v>
      </c>
      <c r="U1451" s="1" t="str">
        <f>IFERROR(__xludf.DUMMYFUNCTION("""COMPUTED_VALUE"""),"VALID")</f>
        <v>VALID</v>
      </c>
      <c r="V1451" s="1">
        <f>IFERROR(__xludf.DUMMYFUNCTION("""COMPUTED_VALUE"""),404.0)</f>
        <v>404</v>
      </c>
      <c r="W1451" s="1">
        <f>IFERROR(__xludf.DUMMYFUNCTION("""COMPUTED_VALUE"""),1422.0)</f>
        <v>1422</v>
      </c>
      <c r="X1451" s="1">
        <f>IFERROR(__xludf.DUMMYFUNCTION("""COMPUTED_VALUE"""),495.0)</f>
        <v>495</v>
      </c>
      <c r="Y1451" s="2"/>
      <c r="Z1451" s="2"/>
    </row>
    <row r="1452">
      <c r="A1452" s="1">
        <f>IFERROR(__xludf.DUMMYFUNCTION("""COMPUTED_VALUE"""),1451.0)</f>
        <v>1451</v>
      </c>
      <c r="B1452" s="1">
        <f>IFERROR(__xludf.DUMMYFUNCTION("""COMPUTED_VALUE"""),6016.0)</f>
        <v>6016</v>
      </c>
      <c r="C1452" s="2" t="str">
        <f>IFERROR(__xludf.DUMMYFUNCTION("""COMPUTED_VALUE"""),"yolanda")</f>
        <v>yolanda</v>
      </c>
      <c r="D1452" s="2" t="str">
        <f>IFERROR(__xludf.DUMMYFUNCTION("""COMPUTED_VALUE"""),"5KM OVERALL F")</f>
        <v>5KM OVERALL F</v>
      </c>
      <c r="E1452" s="1">
        <f>IFERROR(__xludf.DUMMYFUNCTION("""COMPUTED_VALUE"""),2.0)</f>
        <v>2</v>
      </c>
      <c r="F1452" s="1" t="str">
        <f>IFERROR(__xludf.DUMMYFUNCTION("""COMPUTED_VALUE"""),"Female")</f>
        <v>Female</v>
      </c>
      <c r="G1452" s="4" t="b">
        <f>IFERROR(__xludf.DUMMYFUNCTION("""COMPUTED_VALUE"""),TRUE)</f>
        <v>1</v>
      </c>
      <c r="H1452" s="4" t="b">
        <f>IFERROR(__xludf.DUMMYFUNCTION("""COMPUTED_VALUE"""),TRUE)</f>
        <v>1</v>
      </c>
      <c r="I1452" s="4">
        <f>IFERROR(__xludf.DUMMYFUNCTION("""COMPUTED_VALUE"""),0.2549440625)</f>
        <v>0.2549440625</v>
      </c>
      <c r="J1452" s="4">
        <f>IFERROR(__xludf.DUMMYFUNCTION("""COMPUTED_VALUE"""),45949.278721144874)</f>
        <v>45949.27872</v>
      </c>
      <c r="K1452" s="4" t="str">
        <f>IFERROR(__xludf.DUMMYFUNCTION("""COMPUTED_VALUE"""),"")</f>
        <v/>
      </c>
      <c r="L1452" s="4">
        <f>IFERROR(__xludf.DUMMYFUNCTION("""COMPUTED_VALUE"""),45949.29850908789)</f>
        <v>45949.29851</v>
      </c>
      <c r="M1452" s="1" t="str">
        <f>IFERROR(__xludf.DUMMYFUNCTION("""COMPUTED_VALUE"""),"RFID")</f>
        <v>RFID</v>
      </c>
      <c r="N1452" s="5">
        <f>IFERROR(__xludf.DUMMYFUNCTION("""COMPUTED_VALUE"""),0.009510833333333333)</f>
        <v>0.009510833333</v>
      </c>
      <c r="O1452" s="5" t="str">
        <f>IFERROR(__xludf.DUMMYFUNCTION("""COMPUTED_VALUE"""),"")</f>
        <v/>
      </c>
      <c r="P1452" s="5" t="str">
        <f>IFERROR(__xludf.DUMMYFUNCTION("""COMPUTED_VALUE"""),"")</f>
        <v/>
      </c>
      <c r="Q1452" s="5">
        <f>IFERROR(__xludf.DUMMYFUNCTION("""COMPUTED_VALUE"""),0.00871300462962963)</f>
        <v>0.00871300463</v>
      </c>
      <c r="R1452" s="4">
        <f>IFERROR(__xludf.DUMMYFUNCTION("""COMPUTED_VALUE"""),45949.043565025386)</f>
        <v>45949.04357</v>
      </c>
      <c r="S1452" s="1" t="b">
        <f>IFERROR(__xludf.DUMMYFUNCTION("""COMPUTED_VALUE"""),TRUE)</f>
        <v>1</v>
      </c>
      <c r="T1452" s="1" t="b">
        <f>IFERROR(__xludf.DUMMYFUNCTION("""COMPUTED_VALUE"""),FALSE)</f>
        <v>0</v>
      </c>
      <c r="U1452" s="1" t="str">
        <f>IFERROR(__xludf.DUMMYFUNCTION("""COMPUTED_VALUE"""),"VALID")</f>
        <v>VALID</v>
      </c>
      <c r="V1452" s="1">
        <f>IFERROR(__xludf.DUMMYFUNCTION("""COMPUTED_VALUE"""),385.0)</f>
        <v>385</v>
      </c>
      <c r="W1452" s="1">
        <f>IFERROR(__xludf.DUMMYFUNCTION("""COMPUTED_VALUE"""),1376.0)</f>
        <v>1376</v>
      </c>
      <c r="X1452" s="1">
        <f>IFERROR(__xludf.DUMMYFUNCTION("""COMPUTED_VALUE"""),467.0)</f>
        <v>467</v>
      </c>
      <c r="Y1452" s="2"/>
      <c r="Z1452" s="2"/>
    </row>
    <row r="1453">
      <c r="A1453" s="1">
        <f>IFERROR(__xludf.DUMMYFUNCTION("""COMPUTED_VALUE"""),1452.0)</f>
        <v>1452</v>
      </c>
      <c r="B1453" s="1">
        <f>IFERROR(__xludf.DUMMYFUNCTION("""COMPUTED_VALUE"""),6020.0)</f>
        <v>6020</v>
      </c>
      <c r="C1453" s="2" t="str">
        <f>IFERROR(__xludf.DUMMYFUNCTION("""COMPUTED_VALUE"""),"Nady")</f>
        <v>Nady</v>
      </c>
      <c r="D1453" s="2" t="str">
        <f>IFERROR(__xludf.DUMMYFUNCTION("""COMPUTED_VALUE"""),"5KM OVERALL F")</f>
        <v>5KM OVERALL F</v>
      </c>
      <c r="E1453" s="1">
        <f>IFERROR(__xludf.DUMMYFUNCTION("""COMPUTED_VALUE"""),2.0)</f>
        <v>2</v>
      </c>
      <c r="F1453" s="1" t="str">
        <f>IFERROR(__xludf.DUMMYFUNCTION("""COMPUTED_VALUE"""),"Female")</f>
        <v>Female</v>
      </c>
      <c r="G1453" s="4" t="b">
        <f>IFERROR(__xludf.DUMMYFUNCTION("""COMPUTED_VALUE"""),TRUE)</f>
        <v>1</v>
      </c>
      <c r="H1453" s="4" t="b">
        <f>IFERROR(__xludf.DUMMYFUNCTION("""COMPUTED_VALUE"""),TRUE)</f>
        <v>1</v>
      </c>
      <c r="I1453" s="4">
        <f>IFERROR(__xludf.DUMMYFUNCTION("""COMPUTED_VALUE"""),0.2549440625)</f>
        <v>0.2549440625</v>
      </c>
      <c r="J1453" s="4">
        <f>IFERROR(__xludf.DUMMYFUNCTION("""COMPUTED_VALUE"""),45949.27712045242)</f>
        <v>45949.27712</v>
      </c>
      <c r="K1453" s="4" t="str">
        <f>IFERROR(__xludf.DUMMYFUNCTION("""COMPUTED_VALUE"""),"")</f>
        <v/>
      </c>
      <c r="L1453" s="4">
        <f>IFERROR(__xludf.DUMMYFUNCTION("""COMPUTED_VALUE"""),45949.29443212215)</f>
        <v>45949.29443</v>
      </c>
      <c r="M1453" s="1" t="str">
        <f>IFERROR(__xludf.DUMMYFUNCTION("""COMPUTED_VALUE"""),"RFID")</f>
        <v>RFID</v>
      </c>
      <c r="N1453" s="5">
        <f>IFERROR(__xludf.DUMMYFUNCTION("""COMPUTED_VALUE"""),0.008870555555555555)</f>
        <v>0.008870555556</v>
      </c>
      <c r="O1453" s="5" t="str">
        <f>IFERROR(__xludf.DUMMYFUNCTION("""COMPUTED_VALUE"""),"")</f>
        <v/>
      </c>
      <c r="P1453" s="5" t="str">
        <f>IFERROR(__xludf.DUMMYFUNCTION("""COMPUTED_VALUE"""),"")</f>
        <v/>
      </c>
      <c r="Q1453" s="5">
        <f>IFERROR(__xludf.DUMMYFUNCTION("""COMPUTED_VALUE"""),0.00789761111111111)</f>
        <v>0.007897611111</v>
      </c>
      <c r="R1453" s="4">
        <f>IFERROR(__xludf.DUMMYFUNCTION("""COMPUTED_VALUE"""),45949.03948805965)</f>
        <v>45949.03949</v>
      </c>
      <c r="S1453" s="1" t="b">
        <f>IFERROR(__xludf.DUMMYFUNCTION("""COMPUTED_VALUE"""),TRUE)</f>
        <v>1</v>
      </c>
      <c r="T1453" s="1" t="b">
        <f>IFERROR(__xludf.DUMMYFUNCTION("""COMPUTED_VALUE"""),FALSE)</f>
        <v>0</v>
      </c>
      <c r="U1453" s="1" t="str">
        <f>IFERROR(__xludf.DUMMYFUNCTION("""COMPUTED_VALUE"""),"VALID")</f>
        <v>VALID</v>
      </c>
      <c r="V1453" s="1">
        <f>IFERROR(__xludf.DUMMYFUNCTION("""COMPUTED_VALUE"""),305.0)</f>
        <v>305</v>
      </c>
      <c r="W1453" s="1">
        <f>IFERROR(__xludf.DUMMYFUNCTION("""COMPUTED_VALUE"""),1213.0)</f>
        <v>1213</v>
      </c>
      <c r="X1453" s="1">
        <f>IFERROR(__xludf.DUMMYFUNCTION("""COMPUTED_VALUE"""),369.0)</f>
        <v>369</v>
      </c>
      <c r="Y1453" s="2"/>
      <c r="Z1453" s="2"/>
    </row>
    <row r="1454">
      <c r="A1454" s="1">
        <f>IFERROR(__xludf.DUMMYFUNCTION("""COMPUTED_VALUE"""),1453.0)</f>
        <v>1453</v>
      </c>
      <c r="B1454" s="1">
        <f>IFERROR(__xludf.DUMMYFUNCTION("""COMPUTED_VALUE"""),6023.0)</f>
        <v>6023</v>
      </c>
      <c r="C1454" s="2" t="str">
        <f>IFERROR(__xludf.DUMMYFUNCTION("""COMPUTED_VALUE"""),"Rahmah")</f>
        <v>Rahmah</v>
      </c>
      <c r="D1454" s="2" t="str">
        <f>IFERROR(__xludf.DUMMYFUNCTION("""COMPUTED_VALUE"""),"5KM OVERALL F")</f>
        <v>5KM OVERALL F</v>
      </c>
      <c r="E1454" s="1">
        <f>IFERROR(__xludf.DUMMYFUNCTION("""COMPUTED_VALUE"""),2.0)</f>
        <v>2</v>
      </c>
      <c r="F1454" s="1" t="str">
        <f>IFERROR(__xludf.DUMMYFUNCTION("""COMPUTED_VALUE"""),"Female")</f>
        <v>Female</v>
      </c>
      <c r="G1454" s="4" t="b">
        <f>IFERROR(__xludf.DUMMYFUNCTION("""COMPUTED_VALUE"""),TRUE)</f>
        <v>1</v>
      </c>
      <c r="H1454" s="4" t="b">
        <f>IFERROR(__xludf.DUMMYFUNCTION("""COMPUTED_VALUE"""),FALSE)</f>
        <v>0</v>
      </c>
      <c r="I1454" s="4">
        <f>IFERROR(__xludf.DUMMYFUNCTION("""COMPUTED_VALUE"""),0.2549440625)</f>
        <v>0.2549440625</v>
      </c>
      <c r="J1454" s="4">
        <f>IFERROR(__xludf.DUMMYFUNCTION("""COMPUTED_VALUE"""),45949.269585726055)</f>
        <v>45949.26959</v>
      </c>
      <c r="K1454" s="4" t="str">
        <f>IFERROR(__xludf.DUMMYFUNCTION("""COMPUTED_VALUE"""),"")</f>
        <v/>
      </c>
      <c r="L1454" s="4">
        <f>IFERROR(__xludf.DUMMYFUNCTION("""COMPUTED_VALUE"""),45949.28259878852)</f>
        <v>45949.2826</v>
      </c>
      <c r="M1454" s="1" t="str">
        <f>IFERROR(__xludf.DUMMYFUNCTION("""COMPUTED_VALUE"""),"RFID")</f>
        <v>RFID</v>
      </c>
      <c r="N1454" s="5">
        <f>IFERROR(__xludf.DUMMYFUNCTION("""COMPUTED_VALUE"""),0.005856666666666666)</f>
        <v>0.005856666667</v>
      </c>
      <c r="O1454" s="5" t="str">
        <f>IFERROR(__xludf.DUMMYFUNCTION("""COMPUTED_VALUE"""),"")</f>
        <v/>
      </c>
      <c r="P1454" s="5" t="str">
        <f>IFERROR(__xludf.DUMMYFUNCTION("""COMPUTED_VALUE"""),"")</f>
        <v/>
      </c>
      <c r="Q1454" s="5">
        <f>IFERROR(__xludf.DUMMYFUNCTION("""COMPUTED_VALUE"""),0.005530944444444444)</f>
        <v>0.005530944444</v>
      </c>
      <c r="R1454" s="4">
        <f>IFERROR(__xludf.DUMMYFUNCTION("""COMPUTED_VALUE"""),45949.02765472602)</f>
        <v>45949.02765</v>
      </c>
      <c r="S1454" s="1" t="b">
        <f>IFERROR(__xludf.DUMMYFUNCTION("""COMPUTED_VALUE"""),TRUE)</f>
        <v>1</v>
      </c>
      <c r="T1454" s="1" t="b">
        <f>IFERROR(__xludf.DUMMYFUNCTION("""COMPUTED_VALUE"""),FALSE)</f>
        <v>0</v>
      </c>
      <c r="U1454" s="1" t="str">
        <f>IFERROR(__xludf.DUMMYFUNCTION("""COMPUTED_VALUE"""),"VALID")</f>
        <v>VALID</v>
      </c>
      <c r="V1454" s="1">
        <f>IFERROR(__xludf.DUMMYFUNCTION("""COMPUTED_VALUE"""),40.0)</f>
        <v>40</v>
      </c>
      <c r="W1454" s="1">
        <f>IFERROR(__xludf.DUMMYFUNCTION("""COMPUTED_VALUE"""),411.0)</f>
        <v>411</v>
      </c>
      <c r="X1454" s="1">
        <f>IFERROR(__xludf.DUMMYFUNCTION("""COMPUTED_VALUE"""),60.0)</f>
        <v>60</v>
      </c>
      <c r="Y1454" s="2"/>
      <c r="Z1454" s="2"/>
    </row>
    <row r="1455">
      <c r="A1455" s="1">
        <f>IFERROR(__xludf.DUMMYFUNCTION("""COMPUTED_VALUE"""),1454.0)</f>
        <v>1454</v>
      </c>
      <c r="B1455" s="1">
        <f>IFERROR(__xludf.DUMMYFUNCTION("""COMPUTED_VALUE"""),6028.0)</f>
        <v>6028</v>
      </c>
      <c r="C1455" s="2" t="str">
        <f>IFERROR(__xludf.DUMMYFUNCTION("""COMPUTED_VALUE"""),"IME")</f>
        <v>IME</v>
      </c>
      <c r="D1455" s="2" t="str">
        <f>IFERROR(__xludf.DUMMYFUNCTION("""COMPUTED_VALUE"""),"5KM OVERALL F")</f>
        <v>5KM OVERALL F</v>
      </c>
      <c r="E1455" s="1">
        <f>IFERROR(__xludf.DUMMYFUNCTION("""COMPUTED_VALUE"""),2.0)</f>
        <v>2</v>
      </c>
      <c r="F1455" s="1" t="str">
        <f>IFERROR(__xludf.DUMMYFUNCTION("""COMPUTED_VALUE"""),"Female")</f>
        <v>Female</v>
      </c>
      <c r="G1455" s="4" t="b">
        <f>IFERROR(__xludf.DUMMYFUNCTION("""COMPUTED_VALUE"""),TRUE)</f>
        <v>1</v>
      </c>
      <c r="H1455" s="4" t="b">
        <f>IFERROR(__xludf.DUMMYFUNCTION("""COMPUTED_VALUE"""),TRUE)</f>
        <v>1</v>
      </c>
      <c r="I1455" s="4">
        <f>IFERROR(__xludf.DUMMYFUNCTION("""COMPUTED_VALUE"""),0.2549440625)</f>
        <v>0.2549440625</v>
      </c>
      <c r="J1455" s="4">
        <f>IFERROR(__xludf.DUMMYFUNCTION("""COMPUTED_VALUE"""),45949.27879067408)</f>
        <v>45949.27879</v>
      </c>
      <c r="K1455" s="4" t="str">
        <f>IFERROR(__xludf.DUMMYFUNCTION("""COMPUTED_VALUE"""),"")</f>
        <v/>
      </c>
      <c r="L1455" s="4">
        <f>IFERROR(__xludf.DUMMYFUNCTION("""COMPUTED_VALUE"""),45949.296456428914)</f>
        <v>45949.29646</v>
      </c>
      <c r="M1455" s="1" t="str">
        <f>IFERROR(__xludf.DUMMYFUNCTION("""COMPUTED_VALUE"""),"RFID")</f>
        <v>RFID</v>
      </c>
      <c r="N1455" s="5">
        <f>IFERROR(__xludf.DUMMYFUNCTION("""COMPUTED_VALUE"""),0.00953864351851852)</f>
        <v>0.009538643519</v>
      </c>
      <c r="O1455" s="5" t="str">
        <f>IFERROR(__xludf.DUMMYFUNCTION("""COMPUTED_VALUE"""),"")</f>
        <v/>
      </c>
      <c r="P1455" s="5" t="str">
        <f>IFERROR(__xludf.DUMMYFUNCTION("""COMPUTED_VALUE"""),"")</f>
        <v/>
      </c>
      <c r="Q1455" s="5">
        <f>IFERROR(__xludf.DUMMYFUNCTION("""COMPUTED_VALUE"""),0.008302472222222222)</f>
        <v>0.008302472222</v>
      </c>
      <c r="R1455" s="4">
        <f>IFERROR(__xludf.DUMMYFUNCTION("""COMPUTED_VALUE"""),45949.04151236641)</f>
        <v>45949.04151</v>
      </c>
      <c r="S1455" s="1" t="b">
        <f>IFERROR(__xludf.DUMMYFUNCTION("""COMPUTED_VALUE"""),TRUE)</f>
        <v>1</v>
      </c>
      <c r="T1455" s="1" t="b">
        <f>IFERROR(__xludf.DUMMYFUNCTION("""COMPUTED_VALUE"""),FALSE)</f>
        <v>0</v>
      </c>
      <c r="U1455" s="1" t="str">
        <f>IFERROR(__xludf.DUMMYFUNCTION("""COMPUTED_VALUE"""),"VALID")</f>
        <v>VALID</v>
      </c>
      <c r="V1455" s="1">
        <f>IFERROR(__xludf.DUMMYFUNCTION("""COMPUTED_VALUE"""),351.0)</f>
        <v>351</v>
      </c>
      <c r="W1455" s="1">
        <f>IFERROR(__xludf.DUMMYFUNCTION("""COMPUTED_VALUE"""),1314.0)</f>
        <v>1314</v>
      </c>
      <c r="X1455" s="1">
        <f>IFERROR(__xludf.DUMMYFUNCTION("""COMPUTED_VALUE"""),425.0)</f>
        <v>425</v>
      </c>
      <c r="Y1455" s="2"/>
      <c r="Z1455" s="2"/>
    </row>
    <row r="1456">
      <c r="A1456" s="1">
        <f>IFERROR(__xludf.DUMMYFUNCTION("""COMPUTED_VALUE"""),1455.0)</f>
        <v>1455</v>
      </c>
      <c r="B1456" s="1">
        <f>IFERROR(__xludf.DUMMYFUNCTION("""COMPUTED_VALUE"""),6029.0)</f>
        <v>6029</v>
      </c>
      <c r="C1456" s="2" t="str">
        <f>IFERROR(__xludf.DUMMYFUNCTION("""COMPUTED_VALUE"""),"Mama Safatireya")</f>
        <v>Mama Safatireya</v>
      </c>
      <c r="D1456" s="2" t="str">
        <f>IFERROR(__xludf.DUMMYFUNCTION("""COMPUTED_VALUE"""),"5KM OVERALL F")</f>
        <v>5KM OVERALL F</v>
      </c>
      <c r="E1456" s="1">
        <f>IFERROR(__xludf.DUMMYFUNCTION("""COMPUTED_VALUE"""),2.0)</f>
        <v>2</v>
      </c>
      <c r="F1456" s="1" t="str">
        <f>IFERROR(__xludf.DUMMYFUNCTION("""COMPUTED_VALUE"""),"Female")</f>
        <v>Female</v>
      </c>
      <c r="G1456" s="4" t="b">
        <f>IFERROR(__xludf.DUMMYFUNCTION("""COMPUTED_VALUE"""),TRUE)</f>
        <v>1</v>
      </c>
      <c r="H1456" s="4" t="b">
        <f>IFERROR(__xludf.DUMMYFUNCTION("""COMPUTED_VALUE"""),FALSE)</f>
        <v>0</v>
      </c>
      <c r="I1456" s="4">
        <f>IFERROR(__xludf.DUMMYFUNCTION("""COMPUTED_VALUE"""),0.2549440625)</f>
        <v>0.2549440625</v>
      </c>
      <c r="J1456" s="4">
        <f>IFERROR(__xludf.DUMMYFUNCTION("""COMPUTED_VALUE"""),45949.28221769244)</f>
        <v>45949.28222</v>
      </c>
      <c r="K1456" s="4" t="str">
        <f>IFERROR(__xludf.DUMMYFUNCTION("""COMPUTED_VALUE"""),"")</f>
        <v/>
      </c>
      <c r="L1456" s="4">
        <f>IFERROR(__xludf.DUMMYFUNCTION("""COMPUTED_VALUE"""),45949.300970335906)</f>
        <v>45949.30097</v>
      </c>
      <c r="M1456" s="1" t="str">
        <f>IFERROR(__xludf.DUMMYFUNCTION("""COMPUTED_VALUE"""),"RFID")</f>
        <v>RFID</v>
      </c>
      <c r="N1456" s="5">
        <f>IFERROR(__xludf.DUMMYFUNCTION("""COMPUTED_VALUE"""),0.010909453703703702)</f>
        <v>0.0109094537</v>
      </c>
      <c r="O1456" s="5" t="str">
        <f>IFERROR(__xludf.DUMMYFUNCTION("""COMPUTED_VALUE"""),"")</f>
        <v/>
      </c>
      <c r="P1456" s="5" t="str">
        <f>IFERROR(__xludf.DUMMYFUNCTION("""COMPUTED_VALUE"""),"")</f>
        <v/>
      </c>
      <c r="Q1456" s="5">
        <f>IFERROR(__xludf.DUMMYFUNCTION("""COMPUTED_VALUE"""),0.00920525462962963)</f>
        <v>0.00920525463</v>
      </c>
      <c r="R1456" s="4">
        <f>IFERROR(__xludf.DUMMYFUNCTION("""COMPUTED_VALUE"""),45949.046026273405)</f>
        <v>45949.04603</v>
      </c>
      <c r="S1456" s="1" t="b">
        <f>IFERROR(__xludf.DUMMYFUNCTION("""COMPUTED_VALUE"""),TRUE)</f>
        <v>1</v>
      </c>
      <c r="T1456" s="1" t="b">
        <f>IFERROR(__xludf.DUMMYFUNCTION("""COMPUTED_VALUE"""),FALSE)</f>
        <v>0</v>
      </c>
      <c r="U1456" s="1" t="str">
        <f>IFERROR(__xludf.DUMMYFUNCTION("""COMPUTED_VALUE"""),"VALID")</f>
        <v>VALID</v>
      </c>
      <c r="V1456" s="1">
        <f>IFERROR(__xludf.DUMMYFUNCTION("""COMPUTED_VALUE"""),440.0)</f>
        <v>440</v>
      </c>
      <c r="W1456" s="1">
        <f>IFERROR(__xludf.DUMMYFUNCTION("""COMPUTED_VALUE"""),1484.0)</f>
        <v>1484</v>
      </c>
      <c r="X1456" s="1">
        <f>IFERROR(__xludf.DUMMYFUNCTION("""COMPUTED_VALUE"""),538.0)</f>
        <v>538</v>
      </c>
      <c r="Y1456" s="2"/>
      <c r="Z1456" s="2"/>
    </row>
    <row r="1457">
      <c r="A1457" s="1">
        <f>IFERROR(__xludf.DUMMYFUNCTION("""COMPUTED_VALUE"""),1456.0)</f>
        <v>1456</v>
      </c>
      <c r="B1457" s="1">
        <f>IFERROR(__xludf.DUMMYFUNCTION("""COMPUTED_VALUE"""),6031.0)</f>
        <v>6031</v>
      </c>
      <c r="C1457" s="2" t="str">
        <f>IFERROR(__xludf.DUMMYFUNCTION("""COMPUTED_VALUE"""),"Dwika Fresty Dian")</f>
        <v>Dwika Fresty Dian</v>
      </c>
      <c r="D1457" s="2" t="str">
        <f>IFERROR(__xludf.DUMMYFUNCTION("""COMPUTED_VALUE"""),"5KM OVERALL F")</f>
        <v>5KM OVERALL F</v>
      </c>
      <c r="E1457" s="1">
        <f>IFERROR(__xludf.DUMMYFUNCTION("""COMPUTED_VALUE"""),2.0)</f>
        <v>2</v>
      </c>
      <c r="F1457" s="1" t="str">
        <f>IFERROR(__xludf.DUMMYFUNCTION("""COMPUTED_VALUE"""),"Female")</f>
        <v>Female</v>
      </c>
      <c r="G1457" s="4" t="b">
        <f>IFERROR(__xludf.DUMMYFUNCTION("""COMPUTED_VALUE"""),TRUE)</f>
        <v>1</v>
      </c>
      <c r="H1457" s="4" t="b">
        <f>IFERROR(__xludf.DUMMYFUNCTION("""COMPUTED_VALUE"""),TRUE)</f>
        <v>1</v>
      </c>
      <c r="I1457" s="4">
        <f>IFERROR(__xludf.DUMMYFUNCTION("""COMPUTED_VALUE"""),0.2549440625)</f>
        <v>0.2549440625</v>
      </c>
      <c r="J1457" s="4">
        <f>IFERROR(__xludf.DUMMYFUNCTION("""COMPUTED_VALUE"""),45949.27634961608)</f>
        <v>45949.27635</v>
      </c>
      <c r="K1457" s="4" t="str">
        <f>IFERROR(__xludf.DUMMYFUNCTION("""COMPUTED_VALUE"""),"")</f>
        <v/>
      </c>
      <c r="L1457" s="4">
        <f>IFERROR(__xludf.DUMMYFUNCTION("""COMPUTED_VALUE"""),45949.29338692749)</f>
        <v>45949.29339</v>
      </c>
      <c r="M1457" s="1" t="str">
        <f>IFERROR(__xludf.DUMMYFUNCTION("""COMPUTED_VALUE"""),"RFID")</f>
        <v>RFID</v>
      </c>
      <c r="N1457" s="5">
        <f>IFERROR(__xludf.DUMMYFUNCTION("""COMPUTED_VALUE"""),0.008562222222222223)</f>
        <v>0.008562222222</v>
      </c>
      <c r="O1457" s="5" t="str">
        <f>IFERROR(__xludf.DUMMYFUNCTION("""COMPUTED_VALUE"""),"")</f>
        <v/>
      </c>
      <c r="P1457" s="5" t="str">
        <f>IFERROR(__xludf.DUMMYFUNCTION("""COMPUTED_VALUE"""),"")</f>
        <v/>
      </c>
      <c r="Q1457" s="5">
        <f>IFERROR(__xludf.DUMMYFUNCTION("""COMPUTED_VALUE"""),0.007688574074074074)</f>
        <v>0.007688574074</v>
      </c>
      <c r="R1457" s="4">
        <f>IFERROR(__xludf.DUMMYFUNCTION("""COMPUTED_VALUE"""),45949.03844286499)</f>
        <v>45949.03844</v>
      </c>
      <c r="S1457" s="1" t="b">
        <f>IFERROR(__xludf.DUMMYFUNCTION("""COMPUTED_VALUE"""),TRUE)</f>
        <v>1</v>
      </c>
      <c r="T1457" s="1" t="b">
        <f>IFERROR(__xludf.DUMMYFUNCTION("""COMPUTED_VALUE"""),FALSE)</f>
        <v>0</v>
      </c>
      <c r="U1457" s="1" t="str">
        <f>IFERROR(__xludf.DUMMYFUNCTION("""COMPUTED_VALUE"""),"VALID")</f>
        <v>VALID</v>
      </c>
      <c r="V1457" s="1">
        <f>IFERROR(__xludf.DUMMYFUNCTION("""COMPUTED_VALUE"""),267.0)</f>
        <v>267</v>
      </c>
      <c r="W1457" s="1">
        <f>IFERROR(__xludf.DUMMYFUNCTION("""COMPUTED_VALUE"""),1129.0)</f>
        <v>1129</v>
      </c>
      <c r="X1457" s="1">
        <f>IFERROR(__xludf.DUMMYFUNCTION("""COMPUTED_VALUE"""),326.0)</f>
        <v>326</v>
      </c>
      <c r="Y1457" s="2"/>
      <c r="Z1457" s="2"/>
    </row>
    <row r="1458">
      <c r="A1458" s="1">
        <f>IFERROR(__xludf.DUMMYFUNCTION("""COMPUTED_VALUE"""),1457.0)</f>
        <v>1457</v>
      </c>
      <c r="B1458" s="1">
        <f>IFERROR(__xludf.DUMMYFUNCTION("""COMPUTED_VALUE"""),6032.0)</f>
        <v>6032</v>
      </c>
      <c r="C1458" s="2" t="str">
        <f>IFERROR(__xludf.DUMMYFUNCTION("""COMPUTED_VALUE"""),"EGY")</f>
        <v>EGY</v>
      </c>
      <c r="D1458" s="2" t="str">
        <f>IFERROR(__xludf.DUMMYFUNCTION("""COMPUTED_VALUE"""),"5KM OVERALL F")</f>
        <v>5KM OVERALL F</v>
      </c>
      <c r="E1458" s="1">
        <f>IFERROR(__xludf.DUMMYFUNCTION("""COMPUTED_VALUE"""),2.0)</f>
        <v>2</v>
      </c>
      <c r="F1458" s="1" t="str">
        <f>IFERROR(__xludf.DUMMYFUNCTION("""COMPUTED_VALUE"""),"Female")</f>
        <v>Female</v>
      </c>
      <c r="G1458" s="4" t="b">
        <f>IFERROR(__xludf.DUMMYFUNCTION("""COMPUTED_VALUE"""),TRUE)</f>
        <v>1</v>
      </c>
      <c r="H1458" s="4" t="b">
        <f>IFERROR(__xludf.DUMMYFUNCTION("""COMPUTED_VALUE"""),TRUE)</f>
        <v>1</v>
      </c>
      <c r="I1458" s="4">
        <f>IFERROR(__xludf.DUMMYFUNCTION("""COMPUTED_VALUE"""),0.2549440625)</f>
        <v>0.2549440625</v>
      </c>
      <c r="J1458" s="4">
        <f>IFERROR(__xludf.DUMMYFUNCTION("""COMPUTED_VALUE"""),45949.274929468775)</f>
        <v>45949.27493</v>
      </c>
      <c r="K1458" s="4" t="str">
        <f>IFERROR(__xludf.DUMMYFUNCTION("""COMPUTED_VALUE"""),"")</f>
        <v/>
      </c>
      <c r="L1458" s="4">
        <f>IFERROR(__xludf.DUMMYFUNCTION("""COMPUTED_VALUE"""),45949.29047726026)</f>
        <v>45949.29048</v>
      </c>
      <c r="M1458" s="1" t="str">
        <f>IFERROR(__xludf.DUMMYFUNCTION("""COMPUTED_VALUE"""),"RFID")</f>
        <v>RFID</v>
      </c>
      <c r="N1458" s="5">
        <f>IFERROR(__xludf.DUMMYFUNCTION("""COMPUTED_VALUE"""),0.007994162037037037)</f>
        <v>0.007994162037</v>
      </c>
      <c r="O1458" s="5" t="str">
        <f>IFERROR(__xludf.DUMMYFUNCTION("""COMPUTED_VALUE"""),"")</f>
        <v/>
      </c>
      <c r="P1458" s="5" t="str">
        <f>IFERROR(__xludf.DUMMYFUNCTION("""COMPUTED_VALUE"""),"")</f>
        <v/>
      </c>
      <c r="Q1458" s="5">
        <f>IFERROR(__xludf.DUMMYFUNCTION("""COMPUTED_VALUE"""),0.007106638888888889)</f>
        <v>0.007106638889</v>
      </c>
      <c r="R1458" s="4">
        <f>IFERROR(__xludf.DUMMYFUNCTION("""COMPUTED_VALUE"""),45949.03553319776)</f>
        <v>45949.03553</v>
      </c>
      <c r="S1458" s="1" t="b">
        <f>IFERROR(__xludf.DUMMYFUNCTION("""COMPUTED_VALUE"""),TRUE)</f>
        <v>1</v>
      </c>
      <c r="T1458" s="1" t="b">
        <f>IFERROR(__xludf.DUMMYFUNCTION("""COMPUTED_VALUE"""),FALSE)</f>
        <v>0</v>
      </c>
      <c r="U1458" s="1" t="str">
        <f>IFERROR(__xludf.DUMMYFUNCTION("""COMPUTED_VALUE"""),"VALID")</f>
        <v>VALID</v>
      </c>
      <c r="V1458" s="1">
        <f>IFERROR(__xludf.DUMMYFUNCTION("""COMPUTED_VALUE"""),172.0)</f>
        <v>172</v>
      </c>
      <c r="W1458" s="1">
        <f>IFERROR(__xludf.DUMMYFUNCTION("""COMPUTED_VALUE"""),922.0)</f>
        <v>922</v>
      </c>
      <c r="X1458" s="1">
        <f>IFERROR(__xludf.DUMMYFUNCTION("""COMPUTED_VALUE"""),215.0)</f>
        <v>215</v>
      </c>
      <c r="Y1458" s="2"/>
      <c r="Z1458" s="2"/>
    </row>
    <row r="1459">
      <c r="A1459" s="1">
        <f>IFERROR(__xludf.DUMMYFUNCTION("""COMPUTED_VALUE"""),1458.0)</f>
        <v>1458</v>
      </c>
      <c r="B1459" s="1">
        <f>IFERROR(__xludf.DUMMYFUNCTION("""COMPUTED_VALUE"""),6034.0)</f>
        <v>6034</v>
      </c>
      <c r="C1459" s="2" t="str">
        <f>IFERROR(__xludf.DUMMYFUNCTION("""COMPUTED_VALUE"""),"puteri")</f>
        <v>puteri</v>
      </c>
      <c r="D1459" s="2" t="str">
        <f>IFERROR(__xludf.DUMMYFUNCTION("""COMPUTED_VALUE"""),"5KM OVERALL F")</f>
        <v>5KM OVERALL F</v>
      </c>
      <c r="E1459" s="1">
        <f>IFERROR(__xludf.DUMMYFUNCTION("""COMPUTED_VALUE"""),2.0)</f>
        <v>2</v>
      </c>
      <c r="F1459" s="1" t="str">
        <f>IFERROR(__xludf.DUMMYFUNCTION("""COMPUTED_VALUE"""),"Female")</f>
        <v>Female</v>
      </c>
      <c r="G1459" s="4" t="b">
        <f>IFERROR(__xludf.DUMMYFUNCTION("""COMPUTED_VALUE"""),TRUE)</f>
        <v>1</v>
      </c>
      <c r="H1459" s="4" t="b">
        <f>IFERROR(__xludf.DUMMYFUNCTION("""COMPUTED_VALUE"""),TRUE)</f>
        <v>1</v>
      </c>
      <c r="I1459" s="4">
        <f>IFERROR(__xludf.DUMMYFUNCTION("""COMPUTED_VALUE"""),0.2549440625)</f>
        <v>0.2549440625</v>
      </c>
      <c r="J1459" s="4">
        <f>IFERROR(__xludf.DUMMYFUNCTION("""COMPUTED_VALUE"""),45949.281439882856)</f>
        <v>45949.28144</v>
      </c>
      <c r="K1459" s="4" t="str">
        <f>IFERROR(__xludf.DUMMYFUNCTION("""COMPUTED_VALUE"""),"")</f>
        <v/>
      </c>
      <c r="L1459" s="4">
        <f>IFERROR(__xludf.DUMMYFUNCTION("""COMPUTED_VALUE"""),45949.30205706666)</f>
        <v>45949.30206</v>
      </c>
      <c r="M1459" s="1" t="str">
        <f>IFERROR(__xludf.DUMMYFUNCTION("""COMPUTED_VALUE"""),"RFID")</f>
        <v>RFID</v>
      </c>
      <c r="N1459" s="5">
        <f>IFERROR(__xludf.DUMMYFUNCTION("""COMPUTED_VALUE"""),0.010598328703703704)</f>
        <v>0.0105983287</v>
      </c>
      <c r="O1459" s="5" t="str">
        <f>IFERROR(__xludf.DUMMYFUNCTION("""COMPUTED_VALUE"""),"")</f>
        <v/>
      </c>
      <c r="P1459" s="5" t="str">
        <f>IFERROR(__xludf.DUMMYFUNCTION("""COMPUTED_VALUE"""),"")</f>
        <v/>
      </c>
      <c r="Q1459" s="5">
        <f>IFERROR(__xludf.DUMMYFUNCTION("""COMPUTED_VALUE"""),0.009422601851851852)</f>
        <v>0.009422601852</v>
      </c>
      <c r="R1459" s="4">
        <f>IFERROR(__xludf.DUMMYFUNCTION("""COMPUTED_VALUE"""),45949.04711300416)</f>
        <v>45949.04711</v>
      </c>
      <c r="S1459" s="1" t="b">
        <f>IFERROR(__xludf.DUMMYFUNCTION("""COMPUTED_VALUE"""),TRUE)</f>
        <v>1</v>
      </c>
      <c r="T1459" s="1" t="b">
        <f>IFERROR(__xludf.DUMMYFUNCTION("""COMPUTED_VALUE"""),FALSE)</f>
        <v>0</v>
      </c>
      <c r="U1459" s="1" t="str">
        <f>IFERROR(__xludf.DUMMYFUNCTION("""COMPUTED_VALUE"""),"VALID")</f>
        <v>VALID</v>
      </c>
      <c r="V1459" s="1">
        <f>IFERROR(__xludf.DUMMYFUNCTION("""COMPUTED_VALUE"""),463.0)</f>
        <v>463</v>
      </c>
      <c r="W1459" s="1">
        <f>IFERROR(__xludf.DUMMYFUNCTION("""COMPUTED_VALUE"""),1522.0)</f>
        <v>1522</v>
      </c>
      <c r="X1459" s="1">
        <f>IFERROR(__xludf.DUMMYFUNCTION("""COMPUTED_VALUE"""),564.0)</f>
        <v>564</v>
      </c>
      <c r="Y1459" s="2"/>
      <c r="Z1459" s="2"/>
    </row>
    <row r="1460">
      <c r="A1460" s="1">
        <f>IFERROR(__xludf.DUMMYFUNCTION("""COMPUTED_VALUE"""),1459.0)</f>
        <v>1459</v>
      </c>
      <c r="B1460" s="1">
        <f>IFERROR(__xludf.DUMMYFUNCTION("""COMPUTED_VALUE"""),6039.0)</f>
        <v>6039</v>
      </c>
      <c r="C1460" s="2" t="str">
        <f>IFERROR(__xludf.DUMMYFUNCTION("""COMPUTED_VALUE"""),"Yuniar Novitasari")</f>
        <v>Yuniar Novitasari</v>
      </c>
      <c r="D1460" s="2" t="str">
        <f>IFERROR(__xludf.DUMMYFUNCTION("""COMPUTED_VALUE"""),"5KM OVERALL F")</f>
        <v>5KM OVERALL F</v>
      </c>
      <c r="E1460" s="1">
        <f>IFERROR(__xludf.DUMMYFUNCTION("""COMPUTED_VALUE"""),2.0)</f>
        <v>2</v>
      </c>
      <c r="F1460" s="1" t="str">
        <f>IFERROR(__xludf.DUMMYFUNCTION("""COMPUTED_VALUE"""),"Female")</f>
        <v>Female</v>
      </c>
      <c r="G1460" s="4" t="b">
        <f>IFERROR(__xludf.DUMMYFUNCTION("""COMPUTED_VALUE"""),TRUE)</f>
        <v>1</v>
      </c>
      <c r="H1460" s="4" t="b">
        <f>IFERROR(__xludf.DUMMYFUNCTION("""COMPUTED_VALUE"""),TRUE)</f>
        <v>1</v>
      </c>
      <c r="I1460" s="4">
        <f>IFERROR(__xludf.DUMMYFUNCTION("""COMPUTED_VALUE"""),0.2549440625)</f>
        <v>0.2549440625</v>
      </c>
      <c r="J1460" s="4">
        <f>IFERROR(__xludf.DUMMYFUNCTION("""COMPUTED_VALUE"""),45949.271564905735)</f>
        <v>45949.27156</v>
      </c>
      <c r="K1460" s="4" t="str">
        <f>IFERROR(__xludf.DUMMYFUNCTION("""COMPUTED_VALUE"""),"")</f>
        <v/>
      </c>
      <c r="L1460" s="4">
        <f>IFERROR(__xludf.DUMMYFUNCTION("""COMPUTED_VALUE"""),45949.28439046097)</f>
        <v>45949.28439</v>
      </c>
      <c r="M1460" s="1" t="str">
        <f>IFERROR(__xludf.DUMMYFUNCTION("""COMPUTED_VALUE"""),"RFID")</f>
        <v>RFID</v>
      </c>
      <c r="N1460" s="5">
        <f>IFERROR(__xludf.DUMMYFUNCTION("""COMPUTED_VALUE"""),0.006648337962962962)</f>
        <v>0.006648337963</v>
      </c>
      <c r="O1460" s="5" t="str">
        <f>IFERROR(__xludf.DUMMYFUNCTION("""COMPUTED_VALUE"""),"")</f>
        <v/>
      </c>
      <c r="P1460" s="5" t="str">
        <f>IFERROR(__xludf.DUMMYFUNCTION("""COMPUTED_VALUE"""),"")</f>
        <v/>
      </c>
      <c r="Q1460" s="5">
        <f>IFERROR(__xludf.DUMMYFUNCTION("""COMPUTED_VALUE"""),0.005889280092592592)</f>
        <v>0.005889280093</v>
      </c>
      <c r="R1460" s="4">
        <f>IFERROR(__xludf.DUMMYFUNCTION("""COMPUTED_VALUE"""),45949.02944639847)</f>
        <v>45949.02945</v>
      </c>
      <c r="S1460" s="1" t="b">
        <f>IFERROR(__xludf.DUMMYFUNCTION("""COMPUTED_VALUE"""),TRUE)</f>
        <v>1</v>
      </c>
      <c r="T1460" s="1" t="b">
        <f>IFERROR(__xludf.DUMMYFUNCTION("""COMPUTED_VALUE"""),FALSE)</f>
        <v>0</v>
      </c>
      <c r="U1460" s="1" t="str">
        <f>IFERROR(__xludf.DUMMYFUNCTION("""COMPUTED_VALUE"""),"VALID")</f>
        <v>VALID</v>
      </c>
      <c r="V1460" s="1">
        <f>IFERROR(__xludf.DUMMYFUNCTION("""COMPUTED_VALUE"""),62.0)</f>
        <v>62</v>
      </c>
      <c r="W1460" s="1">
        <f>IFERROR(__xludf.DUMMYFUNCTION("""COMPUTED_VALUE"""),533.0)</f>
        <v>533</v>
      </c>
      <c r="X1460" s="1">
        <f>IFERROR(__xludf.DUMMYFUNCTION("""COMPUTED_VALUE"""),84.0)</f>
        <v>84</v>
      </c>
      <c r="Y1460" s="2"/>
      <c r="Z1460" s="2"/>
    </row>
    <row r="1461">
      <c r="A1461" s="1">
        <f>IFERROR(__xludf.DUMMYFUNCTION("""COMPUTED_VALUE"""),1460.0)</f>
        <v>1460</v>
      </c>
      <c r="B1461" s="1">
        <f>IFERROR(__xludf.DUMMYFUNCTION("""COMPUTED_VALUE"""),6040.0)</f>
        <v>6040</v>
      </c>
      <c r="C1461" s="2" t="str">
        <f>IFERROR(__xludf.DUMMYFUNCTION("""COMPUTED_VALUE"""),"salsa")</f>
        <v>salsa</v>
      </c>
      <c r="D1461" s="2" t="str">
        <f>IFERROR(__xludf.DUMMYFUNCTION("""COMPUTED_VALUE"""),"5KM OVERALL F")</f>
        <v>5KM OVERALL F</v>
      </c>
      <c r="E1461" s="1">
        <f>IFERROR(__xludf.DUMMYFUNCTION("""COMPUTED_VALUE"""),2.0)</f>
        <v>2</v>
      </c>
      <c r="F1461" s="1" t="str">
        <f>IFERROR(__xludf.DUMMYFUNCTION("""COMPUTED_VALUE"""),"Female")</f>
        <v>Female</v>
      </c>
      <c r="G1461" s="4" t="b">
        <f>IFERROR(__xludf.DUMMYFUNCTION("""COMPUTED_VALUE"""),TRUE)</f>
        <v>1</v>
      </c>
      <c r="H1461" s="4" t="b">
        <f>IFERROR(__xludf.DUMMYFUNCTION("""COMPUTED_VALUE"""),FALSE)</f>
        <v>0</v>
      </c>
      <c r="I1461" s="4">
        <f>IFERROR(__xludf.DUMMYFUNCTION("""COMPUTED_VALUE"""),0.2549440625)</f>
        <v>0.2549440625</v>
      </c>
      <c r="J1461" s="4">
        <f>IFERROR(__xludf.DUMMYFUNCTION("""COMPUTED_VALUE"""),45949.284259322536)</f>
        <v>45949.28426</v>
      </c>
      <c r="K1461" s="4" t="str">
        <f>IFERROR(__xludf.DUMMYFUNCTION("""COMPUTED_VALUE"""),"")</f>
        <v/>
      </c>
      <c r="L1461" s="4">
        <f>IFERROR(__xludf.DUMMYFUNCTION("""COMPUTED_VALUE"""),45949.30698420418)</f>
        <v>45949.30698</v>
      </c>
      <c r="M1461" s="1" t="str">
        <f>IFERROR(__xludf.DUMMYFUNCTION("""COMPUTED_VALUE"""),"RFID")</f>
        <v>RFID</v>
      </c>
      <c r="N1461" s="5">
        <f>IFERROR(__xludf.DUMMYFUNCTION("""COMPUTED_VALUE"""),0.011726101851851852)</f>
        <v>0.01172610185</v>
      </c>
      <c r="O1461" s="5" t="str">
        <f>IFERROR(__xludf.DUMMYFUNCTION("""COMPUTED_VALUE"""),"")</f>
        <v/>
      </c>
      <c r="P1461" s="5" t="str">
        <f>IFERROR(__xludf.DUMMYFUNCTION("""COMPUTED_VALUE"""),"")</f>
        <v/>
      </c>
      <c r="Q1461" s="5">
        <f>IFERROR(__xludf.DUMMYFUNCTION("""COMPUTED_VALUE"""),0.010408027777777776)</f>
        <v>0.01040802778</v>
      </c>
      <c r="R1461" s="4">
        <f>IFERROR(__xludf.DUMMYFUNCTION("""COMPUTED_VALUE"""),45949.05204014168)</f>
        <v>45949.05204</v>
      </c>
      <c r="S1461" s="1" t="b">
        <f>IFERROR(__xludf.DUMMYFUNCTION("""COMPUTED_VALUE"""),TRUE)</f>
        <v>1</v>
      </c>
      <c r="T1461" s="1" t="b">
        <f>IFERROR(__xludf.DUMMYFUNCTION("""COMPUTED_VALUE"""),FALSE)</f>
        <v>0</v>
      </c>
      <c r="U1461" s="1" t="str">
        <f>IFERROR(__xludf.DUMMYFUNCTION("""COMPUTED_VALUE"""),"VALID")</f>
        <v>VALID</v>
      </c>
      <c r="V1461" s="1">
        <f>IFERROR(__xludf.DUMMYFUNCTION("""COMPUTED_VALUE"""),494.0)</f>
        <v>494</v>
      </c>
      <c r="W1461" s="1">
        <f>IFERROR(__xludf.DUMMYFUNCTION("""COMPUTED_VALUE"""),1586.0)</f>
        <v>1586</v>
      </c>
      <c r="X1461" s="1">
        <f>IFERROR(__xludf.DUMMYFUNCTION("""COMPUTED_VALUE"""),608.0)</f>
        <v>608</v>
      </c>
      <c r="Y1461" s="2"/>
      <c r="Z1461" s="2"/>
    </row>
    <row r="1462">
      <c r="A1462" s="1">
        <f>IFERROR(__xludf.DUMMYFUNCTION("""COMPUTED_VALUE"""),1461.0)</f>
        <v>1461</v>
      </c>
      <c r="B1462" s="1">
        <f>IFERROR(__xludf.DUMMYFUNCTION("""COMPUTED_VALUE"""),6043.0)</f>
        <v>6043</v>
      </c>
      <c r="C1462" s="2" t="str">
        <f>IFERROR(__xludf.DUMMYFUNCTION("""COMPUTED_VALUE"""),"Marmut Suci")</f>
        <v>Marmut Suci</v>
      </c>
      <c r="D1462" s="2" t="str">
        <f>IFERROR(__xludf.DUMMYFUNCTION("""COMPUTED_VALUE"""),"5KM OVERALL F")</f>
        <v>5KM OVERALL F</v>
      </c>
      <c r="E1462" s="1">
        <f>IFERROR(__xludf.DUMMYFUNCTION("""COMPUTED_VALUE"""),2.0)</f>
        <v>2</v>
      </c>
      <c r="F1462" s="1" t="str">
        <f>IFERROR(__xludf.DUMMYFUNCTION("""COMPUTED_VALUE"""),"Female")</f>
        <v>Female</v>
      </c>
      <c r="G1462" s="4" t="b">
        <f>IFERROR(__xludf.DUMMYFUNCTION("""COMPUTED_VALUE"""),TRUE)</f>
        <v>1</v>
      </c>
      <c r="H1462" s="4" t="b">
        <f>IFERROR(__xludf.DUMMYFUNCTION("""COMPUTED_VALUE"""),TRUE)</f>
        <v>1</v>
      </c>
      <c r="I1462" s="4">
        <f>IFERROR(__xludf.DUMMYFUNCTION("""COMPUTED_VALUE"""),0.2549440625)</f>
        <v>0.2549440625</v>
      </c>
      <c r="J1462" s="4">
        <f>IFERROR(__xludf.DUMMYFUNCTION("""COMPUTED_VALUE"""),45949.270099618)</f>
        <v>45949.2701</v>
      </c>
      <c r="K1462" s="4" t="str">
        <f>IFERROR(__xludf.DUMMYFUNCTION("""COMPUTED_VALUE"""),"")</f>
        <v/>
      </c>
      <c r="L1462" s="4">
        <f>IFERROR(__xludf.DUMMYFUNCTION("""COMPUTED_VALUE"""),45949.28048414949)</f>
        <v>45949.28048</v>
      </c>
      <c r="M1462" s="1" t="str">
        <f>IFERROR(__xludf.DUMMYFUNCTION("""COMPUTED_VALUE"""),"RFID")</f>
        <v>RFID</v>
      </c>
      <c r="N1462" s="5">
        <f>IFERROR(__xludf.DUMMYFUNCTION("""COMPUTED_VALUE"""),0.006062222222222222)</f>
        <v>0.006062222222</v>
      </c>
      <c r="O1462" s="5" t="str">
        <f>IFERROR(__xludf.DUMMYFUNCTION("""COMPUTED_VALUE"""),"")</f>
        <v/>
      </c>
      <c r="P1462" s="5" t="str">
        <f>IFERROR(__xludf.DUMMYFUNCTION("""COMPUTED_VALUE"""),"")</f>
        <v/>
      </c>
      <c r="Q1462" s="5">
        <f>IFERROR(__xludf.DUMMYFUNCTION("""COMPUTED_VALUE"""),0.005108018518518519)</f>
        <v>0.005108018519</v>
      </c>
      <c r="R1462" s="4">
        <f>IFERROR(__xludf.DUMMYFUNCTION("""COMPUTED_VALUE"""),45949.02554008699)</f>
        <v>45949.02554</v>
      </c>
      <c r="S1462" s="1" t="b">
        <f>IFERROR(__xludf.DUMMYFUNCTION("""COMPUTED_VALUE"""),TRUE)</f>
        <v>1</v>
      </c>
      <c r="T1462" s="1" t="b">
        <f>IFERROR(__xludf.DUMMYFUNCTION("""COMPUTED_VALUE"""),FALSE)</f>
        <v>0</v>
      </c>
      <c r="U1462" s="1" t="str">
        <f>IFERROR(__xludf.DUMMYFUNCTION("""COMPUTED_VALUE"""),"VALID")</f>
        <v>VALID</v>
      </c>
      <c r="V1462" s="1">
        <f>IFERROR(__xludf.DUMMYFUNCTION("""COMPUTED_VALUE"""),28.0)</f>
        <v>28</v>
      </c>
      <c r="W1462" s="1">
        <f>IFERROR(__xludf.DUMMYFUNCTION("""COMPUTED_VALUE"""),319.0)</f>
        <v>319</v>
      </c>
      <c r="X1462" s="1">
        <f>IFERROR(__xludf.DUMMYFUNCTION("""COMPUTED_VALUE"""),42.0)</f>
        <v>42</v>
      </c>
      <c r="Y1462" s="2"/>
      <c r="Z1462" s="2"/>
    </row>
    <row r="1463">
      <c r="A1463" s="1">
        <f>IFERROR(__xludf.DUMMYFUNCTION("""COMPUTED_VALUE"""),1462.0)</f>
        <v>1462</v>
      </c>
      <c r="B1463" s="1">
        <f>IFERROR(__xludf.DUMMYFUNCTION("""COMPUTED_VALUE"""),6045.0)</f>
        <v>6045</v>
      </c>
      <c r="C1463" s="2" t="str">
        <f>IFERROR(__xludf.DUMMYFUNCTION("""COMPUTED_VALUE"""),"ANITA QURROTA")</f>
        <v>ANITA QURROTA</v>
      </c>
      <c r="D1463" s="2" t="str">
        <f>IFERROR(__xludf.DUMMYFUNCTION("""COMPUTED_VALUE"""),"5KM OVERALL F")</f>
        <v>5KM OVERALL F</v>
      </c>
      <c r="E1463" s="1">
        <f>IFERROR(__xludf.DUMMYFUNCTION("""COMPUTED_VALUE"""),2.0)</f>
        <v>2</v>
      </c>
      <c r="F1463" s="1" t="str">
        <f>IFERROR(__xludf.DUMMYFUNCTION("""COMPUTED_VALUE"""),"Female")</f>
        <v>Female</v>
      </c>
      <c r="G1463" s="4" t="b">
        <f>IFERROR(__xludf.DUMMYFUNCTION("""COMPUTED_VALUE"""),TRUE)</f>
        <v>1</v>
      </c>
      <c r="H1463" s="4" t="b">
        <f>IFERROR(__xludf.DUMMYFUNCTION("""COMPUTED_VALUE"""),TRUE)</f>
        <v>1</v>
      </c>
      <c r="I1463" s="4">
        <f>IFERROR(__xludf.DUMMYFUNCTION("""COMPUTED_VALUE"""),0.2549440625)</f>
        <v>0.2549440625</v>
      </c>
      <c r="J1463" s="4">
        <f>IFERROR(__xludf.DUMMYFUNCTION("""COMPUTED_VALUE"""),45949.27484614291)</f>
        <v>45949.27485</v>
      </c>
      <c r="K1463" s="4" t="str">
        <f>IFERROR(__xludf.DUMMYFUNCTION("""COMPUTED_VALUE"""),"")</f>
        <v/>
      </c>
      <c r="L1463" s="4">
        <f>IFERROR(__xludf.DUMMYFUNCTION("""COMPUTED_VALUE"""),45949.29072378945)</f>
        <v>45949.29072</v>
      </c>
      <c r="M1463" s="1" t="str">
        <f>IFERROR(__xludf.DUMMYFUNCTION("""COMPUTED_VALUE"""),"RFID")</f>
        <v>RFID</v>
      </c>
      <c r="N1463" s="5">
        <f>IFERROR(__xludf.DUMMYFUNCTION("""COMPUTED_VALUE"""),0.007960833333333334)</f>
        <v>0.007960833333</v>
      </c>
      <c r="O1463" s="5" t="str">
        <f>IFERROR(__xludf.DUMMYFUNCTION("""COMPUTED_VALUE"""),"")</f>
        <v/>
      </c>
      <c r="P1463" s="5" t="str">
        <f>IFERROR(__xludf.DUMMYFUNCTION("""COMPUTED_VALUE"""),"")</f>
        <v/>
      </c>
      <c r="Q1463" s="5">
        <f>IFERROR(__xludf.DUMMYFUNCTION("""COMPUTED_VALUE"""),0.007155944444444444)</f>
        <v>0.007155944444</v>
      </c>
      <c r="R1463" s="4">
        <f>IFERROR(__xludf.DUMMYFUNCTION("""COMPUTED_VALUE"""),45949.035779726946)</f>
        <v>45949.03578</v>
      </c>
      <c r="S1463" s="1" t="b">
        <f>IFERROR(__xludf.DUMMYFUNCTION("""COMPUTED_VALUE"""),TRUE)</f>
        <v>1</v>
      </c>
      <c r="T1463" s="1" t="b">
        <f>IFERROR(__xludf.DUMMYFUNCTION("""COMPUTED_VALUE"""),FALSE)</f>
        <v>0</v>
      </c>
      <c r="U1463" s="1" t="str">
        <f>IFERROR(__xludf.DUMMYFUNCTION("""COMPUTED_VALUE"""),"VALID")</f>
        <v>VALID</v>
      </c>
      <c r="V1463" s="1">
        <f>IFERROR(__xludf.DUMMYFUNCTION("""COMPUTED_VALUE"""),179.0)</f>
        <v>179</v>
      </c>
      <c r="W1463" s="1">
        <f>IFERROR(__xludf.DUMMYFUNCTION("""COMPUTED_VALUE"""),943.0)</f>
        <v>943</v>
      </c>
      <c r="X1463" s="1">
        <f>IFERROR(__xludf.DUMMYFUNCTION("""COMPUTED_VALUE"""),224.0)</f>
        <v>224</v>
      </c>
      <c r="Y1463" s="2"/>
      <c r="Z1463" s="2"/>
    </row>
    <row r="1464">
      <c r="A1464" s="1">
        <f>IFERROR(__xludf.DUMMYFUNCTION("""COMPUTED_VALUE"""),1463.0)</f>
        <v>1463</v>
      </c>
      <c r="B1464" s="1">
        <f>IFERROR(__xludf.DUMMYFUNCTION("""COMPUTED_VALUE"""),6050.0)</f>
        <v>6050</v>
      </c>
      <c r="C1464" s="2" t="str">
        <f>IFERROR(__xludf.DUMMYFUNCTION("""COMPUTED_VALUE"""),"Retno")</f>
        <v>Retno</v>
      </c>
      <c r="D1464" s="2" t="str">
        <f>IFERROR(__xludf.DUMMYFUNCTION("""COMPUTED_VALUE"""),"5KM OVERALL F")</f>
        <v>5KM OVERALL F</v>
      </c>
      <c r="E1464" s="1">
        <f>IFERROR(__xludf.DUMMYFUNCTION("""COMPUTED_VALUE"""),2.0)</f>
        <v>2</v>
      </c>
      <c r="F1464" s="1" t="str">
        <f>IFERROR(__xludf.DUMMYFUNCTION("""COMPUTED_VALUE"""),"Female")</f>
        <v>Female</v>
      </c>
      <c r="G1464" s="4" t="b">
        <f>IFERROR(__xludf.DUMMYFUNCTION("""COMPUTED_VALUE"""),TRUE)</f>
        <v>1</v>
      </c>
      <c r="H1464" s="4" t="b">
        <f>IFERROR(__xludf.DUMMYFUNCTION("""COMPUTED_VALUE"""),FALSE)</f>
        <v>0</v>
      </c>
      <c r="I1464" s="4">
        <f>IFERROR(__xludf.DUMMYFUNCTION("""COMPUTED_VALUE"""),0.2549440625)</f>
        <v>0.2549440625</v>
      </c>
      <c r="J1464" s="4">
        <f>IFERROR(__xludf.DUMMYFUNCTION("""COMPUTED_VALUE"""),45949.2771551851)</f>
        <v>45949.27716</v>
      </c>
      <c r="K1464" s="4" t="str">
        <f>IFERROR(__xludf.DUMMYFUNCTION("""COMPUTED_VALUE"""),"")</f>
        <v/>
      </c>
      <c r="L1464" s="4">
        <f>IFERROR(__xludf.DUMMYFUNCTION("""COMPUTED_VALUE"""),45949.29357448512)</f>
        <v>45949.29357</v>
      </c>
      <c r="M1464" s="1" t="str">
        <f>IFERROR(__xludf.DUMMYFUNCTION("""COMPUTED_VALUE"""),"RFID")</f>
        <v>RFID</v>
      </c>
      <c r="N1464" s="5">
        <f>IFERROR(__xludf.DUMMYFUNCTION("""COMPUTED_VALUE"""),0.008884449074074074)</f>
        <v>0.008884449074</v>
      </c>
      <c r="O1464" s="5" t="str">
        <f>IFERROR(__xludf.DUMMYFUNCTION("""COMPUTED_VALUE"""),"")</f>
        <v/>
      </c>
      <c r="P1464" s="5" t="str">
        <f>IFERROR(__xludf.DUMMYFUNCTION("""COMPUTED_VALUE"""),"")</f>
        <v/>
      </c>
      <c r="Q1464" s="5">
        <f>IFERROR(__xludf.DUMMYFUNCTION("""COMPUTED_VALUE"""),0.007726085648148149)</f>
        <v>0.007726085648</v>
      </c>
      <c r="R1464" s="4">
        <f>IFERROR(__xludf.DUMMYFUNCTION("""COMPUTED_VALUE"""),45949.03863042262)</f>
        <v>45949.03863</v>
      </c>
      <c r="S1464" s="1" t="b">
        <f>IFERROR(__xludf.DUMMYFUNCTION("""COMPUTED_VALUE"""),TRUE)</f>
        <v>1</v>
      </c>
      <c r="T1464" s="1" t="b">
        <f>IFERROR(__xludf.DUMMYFUNCTION("""COMPUTED_VALUE"""),FALSE)</f>
        <v>0</v>
      </c>
      <c r="U1464" s="1" t="str">
        <f>IFERROR(__xludf.DUMMYFUNCTION("""COMPUTED_VALUE"""),"VALID")</f>
        <v>VALID</v>
      </c>
      <c r="V1464" s="1">
        <f>IFERROR(__xludf.DUMMYFUNCTION("""COMPUTED_VALUE"""),269.0)</f>
        <v>269</v>
      </c>
      <c r="W1464" s="1">
        <f>IFERROR(__xludf.DUMMYFUNCTION("""COMPUTED_VALUE"""),1139.0)</f>
        <v>1139</v>
      </c>
      <c r="X1464" s="1">
        <f>IFERROR(__xludf.DUMMYFUNCTION("""COMPUTED_VALUE"""),328.0)</f>
        <v>328</v>
      </c>
      <c r="Y1464" s="2"/>
      <c r="Z1464" s="2"/>
    </row>
    <row r="1465">
      <c r="A1465" s="1">
        <f>IFERROR(__xludf.DUMMYFUNCTION("""COMPUTED_VALUE"""),1464.0)</f>
        <v>1464</v>
      </c>
      <c r="B1465" s="1">
        <f>IFERROR(__xludf.DUMMYFUNCTION("""COMPUTED_VALUE"""),6051.0)</f>
        <v>6051</v>
      </c>
      <c r="C1465" s="2" t="str">
        <f>IFERROR(__xludf.DUMMYFUNCTION("""COMPUTED_VALUE"""),"orel")</f>
        <v>orel</v>
      </c>
      <c r="D1465" s="2" t="str">
        <f>IFERROR(__xludf.DUMMYFUNCTION("""COMPUTED_VALUE"""),"5KM OVERALL F")</f>
        <v>5KM OVERALL F</v>
      </c>
      <c r="E1465" s="1">
        <f>IFERROR(__xludf.DUMMYFUNCTION("""COMPUTED_VALUE"""),2.0)</f>
        <v>2</v>
      </c>
      <c r="F1465" s="1" t="str">
        <f>IFERROR(__xludf.DUMMYFUNCTION("""COMPUTED_VALUE"""),"Female")</f>
        <v>Female</v>
      </c>
      <c r="G1465" s="4" t="b">
        <f>IFERROR(__xludf.DUMMYFUNCTION("""COMPUTED_VALUE"""),TRUE)</f>
        <v>1</v>
      </c>
      <c r="H1465" s="4" t="b">
        <f>IFERROR(__xludf.DUMMYFUNCTION("""COMPUTED_VALUE"""),FALSE)</f>
        <v>0</v>
      </c>
      <c r="I1465" s="4">
        <f>IFERROR(__xludf.DUMMYFUNCTION("""COMPUTED_VALUE"""),0.2549440625)</f>
        <v>0.2549440625</v>
      </c>
      <c r="J1465" s="4">
        <f>IFERROR(__xludf.DUMMYFUNCTION("""COMPUTED_VALUE"""),45949.27172808142)</f>
        <v>45949.27173</v>
      </c>
      <c r="K1465" s="4" t="str">
        <f>IFERROR(__xludf.DUMMYFUNCTION("""COMPUTED_VALUE"""),"")</f>
        <v/>
      </c>
      <c r="L1465" s="4">
        <f>IFERROR(__xludf.DUMMYFUNCTION("""COMPUTED_VALUE"""),45949.28435919711)</f>
        <v>45949.28436</v>
      </c>
      <c r="M1465" s="1" t="str">
        <f>IFERROR(__xludf.DUMMYFUNCTION("""COMPUTED_VALUE"""),"RFID")</f>
        <v>RFID</v>
      </c>
      <c r="N1465" s="5">
        <f>IFERROR(__xludf.DUMMYFUNCTION("""COMPUTED_VALUE"""),0.006713606481481481)</f>
        <v>0.006713606481</v>
      </c>
      <c r="O1465" s="5" t="str">
        <f>IFERROR(__xludf.DUMMYFUNCTION("""COMPUTED_VALUE"""),"")</f>
        <v/>
      </c>
      <c r="P1465" s="5" t="str">
        <f>IFERROR(__xludf.DUMMYFUNCTION("""COMPUTED_VALUE"""),"")</f>
        <v/>
      </c>
      <c r="Q1465" s="5">
        <f>IFERROR(__xludf.DUMMYFUNCTION("""COMPUTED_VALUE"""),0.005883027777777777)</f>
        <v>0.005883027778</v>
      </c>
      <c r="R1465" s="4">
        <f>IFERROR(__xludf.DUMMYFUNCTION("""COMPUTED_VALUE"""),45949.02941513461)</f>
        <v>45949.02942</v>
      </c>
      <c r="S1465" s="1" t="b">
        <f>IFERROR(__xludf.DUMMYFUNCTION("""COMPUTED_VALUE"""),TRUE)</f>
        <v>1</v>
      </c>
      <c r="T1465" s="1" t="b">
        <f>IFERROR(__xludf.DUMMYFUNCTION("""COMPUTED_VALUE"""),FALSE)</f>
        <v>0</v>
      </c>
      <c r="U1465" s="1" t="str">
        <f>IFERROR(__xludf.DUMMYFUNCTION("""COMPUTED_VALUE"""),"VALID")</f>
        <v>VALID</v>
      </c>
      <c r="V1465" s="1">
        <f>IFERROR(__xludf.DUMMYFUNCTION("""COMPUTED_VALUE"""),59.0)</f>
        <v>59</v>
      </c>
      <c r="W1465" s="1">
        <f>IFERROR(__xludf.DUMMYFUNCTION("""COMPUTED_VALUE"""),527.0)</f>
        <v>527</v>
      </c>
      <c r="X1465" s="1">
        <f>IFERROR(__xludf.DUMMYFUNCTION("""COMPUTED_VALUE"""),81.0)</f>
        <v>81</v>
      </c>
      <c r="Y1465" s="2"/>
      <c r="Z1465" s="2"/>
    </row>
    <row r="1466">
      <c r="A1466" s="1">
        <f>IFERROR(__xludf.DUMMYFUNCTION("""COMPUTED_VALUE"""),1465.0)</f>
        <v>1465</v>
      </c>
      <c r="B1466" s="1">
        <f>IFERROR(__xludf.DUMMYFUNCTION("""COMPUTED_VALUE"""),6052.0)</f>
        <v>6052</v>
      </c>
      <c r="C1466" s="2" t="str">
        <f>IFERROR(__xludf.DUMMYFUNCTION("""COMPUTED_VALUE"""),"Nabila")</f>
        <v>Nabila</v>
      </c>
      <c r="D1466" s="2" t="str">
        <f>IFERROR(__xludf.DUMMYFUNCTION("""COMPUTED_VALUE"""),"5KM OVERALL F")</f>
        <v>5KM OVERALL F</v>
      </c>
      <c r="E1466" s="1">
        <f>IFERROR(__xludf.DUMMYFUNCTION("""COMPUTED_VALUE"""),2.0)</f>
        <v>2</v>
      </c>
      <c r="F1466" s="1" t="str">
        <f>IFERROR(__xludf.DUMMYFUNCTION("""COMPUTED_VALUE"""),"Female")</f>
        <v>Female</v>
      </c>
      <c r="G1466" s="4" t="b">
        <f>IFERROR(__xludf.DUMMYFUNCTION("""COMPUTED_VALUE"""),TRUE)</f>
        <v>1</v>
      </c>
      <c r="H1466" s="4" t="b">
        <f>IFERROR(__xludf.DUMMYFUNCTION("""COMPUTED_VALUE"""),FALSE)</f>
        <v>0</v>
      </c>
      <c r="I1466" s="4">
        <f>IFERROR(__xludf.DUMMYFUNCTION("""COMPUTED_VALUE"""),0.2549440625)</f>
        <v>0.2549440625</v>
      </c>
      <c r="J1466" s="4">
        <f>IFERROR(__xludf.DUMMYFUNCTION("""COMPUTED_VALUE"""),45949.271721374214)</f>
        <v>45949.27172</v>
      </c>
      <c r="K1466" s="4" t="str">
        <f>IFERROR(__xludf.DUMMYFUNCTION("""COMPUTED_VALUE"""),"")</f>
        <v/>
      </c>
      <c r="L1466" s="4">
        <f>IFERROR(__xludf.DUMMYFUNCTION("""COMPUTED_VALUE"""),45949.28382795618)</f>
        <v>45949.28383</v>
      </c>
      <c r="M1466" s="1" t="str">
        <f>IFERROR(__xludf.DUMMYFUNCTION("""COMPUTED_VALUE"""),"RFID")</f>
        <v>RFID</v>
      </c>
      <c r="N1466" s="5">
        <f>IFERROR(__xludf.DUMMYFUNCTION("""COMPUTED_VALUE"""),0.006710925925925926)</f>
        <v>0.006710925926</v>
      </c>
      <c r="O1466" s="5" t="str">
        <f>IFERROR(__xludf.DUMMYFUNCTION("""COMPUTED_VALUE"""),"")</f>
        <v/>
      </c>
      <c r="P1466" s="5" t="str">
        <f>IFERROR(__xludf.DUMMYFUNCTION("""COMPUTED_VALUE"""),"")</f>
        <v/>
      </c>
      <c r="Q1466" s="5">
        <f>IFERROR(__xludf.DUMMYFUNCTION("""COMPUTED_VALUE"""),0.005776777777777778)</f>
        <v>0.005776777778</v>
      </c>
      <c r="R1466" s="4">
        <f>IFERROR(__xludf.DUMMYFUNCTION("""COMPUTED_VALUE"""),45949.028883893676)</f>
        <v>45949.02888</v>
      </c>
      <c r="S1466" s="1" t="b">
        <f>IFERROR(__xludf.DUMMYFUNCTION("""COMPUTED_VALUE"""),TRUE)</f>
        <v>1</v>
      </c>
      <c r="T1466" s="1" t="b">
        <f>IFERROR(__xludf.DUMMYFUNCTION("""COMPUTED_VALUE"""),FALSE)</f>
        <v>0</v>
      </c>
      <c r="U1466" s="1" t="str">
        <f>IFERROR(__xludf.DUMMYFUNCTION("""COMPUTED_VALUE"""),"VALID")</f>
        <v>VALID</v>
      </c>
      <c r="V1466" s="1">
        <f>IFERROR(__xludf.DUMMYFUNCTION("""COMPUTED_VALUE"""),51.0)</f>
        <v>51</v>
      </c>
      <c r="W1466" s="1">
        <f>IFERROR(__xludf.DUMMYFUNCTION("""COMPUTED_VALUE"""),484.0)</f>
        <v>484</v>
      </c>
      <c r="X1466" s="1">
        <f>IFERROR(__xludf.DUMMYFUNCTION("""COMPUTED_VALUE"""),72.0)</f>
        <v>72</v>
      </c>
      <c r="Y1466" s="2"/>
      <c r="Z1466" s="2"/>
    </row>
    <row r="1467">
      <c r="A1467" s="1">
        <f>IFERROR(__xludf.DUMMYFUNCTION("""COMPUTED_VALUE"""),1466.0)</f>
        <v>1466</v>
      </c>
      <c r="B1467" s="1">
        <f>IFERROR(__xludf.DUMMYFUNCTION("""COMPUTED_VALUE"""),6053.0)</f>
        <v>6053</v>
      </c>
      <c r="C1467" s="2" t="str">
        <f>IFERROR(__xludf.DUMMYFUNCTION("""COMPUTED_VALUE"""),"Ririn")</f>
        <v>Ririn</v>
      </c>
      <c r="D1467" s="2" t="str">
        <f>IFERROR(__xludf.DUMMYFUNCTION("""COMPUTED_VALUE"""),"5KM OVERALL F")</f>
        <v>5KM OVERALL F</v>
      </c>
      <c r="E1467" s="1">
        <f>IFERROR(__xludf.DUMMYFUNCTION("""COMPUTED_VALUE"""),2.0)</f>
        <v>2</v>
      </c>
      <c r="F1467" s="1" t="str">
        <f>IFERROR(__xludf.DUMMYFUNCTION("""COMPUTED_VALUE"""),"Female")</f>
        <v>Female</v>
      </c>
      <c r="G1467" s="4" t="str">
        <f>IFERROR(__xludf.DUMMYFUNCTION("""COMPUTED_VALUE"""),"")</f>
        <v/>
      </c>
      <c r="H1467" s="4" t="b">
        <f>IFERROR(__xludf.DUMMYFUNCTION("""COMPUTED_VALUE"""),FALSE)</f>
        <v>0</v>
      </c>
      <c r="I1467" s="4">
        <f>IFERROR(__xludf.DUMMYFUNCTION("""COMPUTED_VALUE"""),0.2549440625)</f>
        <v>0.2549440625</v>
      </c>
      <c r="J1467" s="4" t="str">
        <f>IFERROR(__xludf.DUMMYFUNCTION("""COMPUTED_VALUE"""),"")</f>
        <v/>
      </c>
      <c r="K1467" s="4" t="str">
        <f>IFERROR(__xludf.DUMMYFUNCTION("""COMPUTED_VALUE"""),"")</f>
        <v/>
      </c>
      <c r="L1467" s="4" t="str">
        <f>IFERROR(__xludf.DUMMYFUNCTION("""COMPUTED_VALUE"""),"")</f>
        <v/>
      </c>
      <c r="M1467" s="1" t="str">
        <f>IFERROR(__xludf.DUMMYFUNCTION("""COMPUTED_VALUE"""),"RFID")</f>
        <v>RFID</v>
      </c>
      <c r="N1467" s="5" t="str">
        <f>IFERROR(__xludf.DUMMYFUNCTION("""COMPUTED_VALUE"""),"")</f>
        <v/>
      </c>
      <c r="O1467" s="5" t="str">
        <f>IFERROR(__xludf.DUMMYFUNCTION("""COMPUTED_VALUE"""),"")</f>
        <v/>
      </c>
      <c r="P1467" s="5" t="str">
        <f>IFERROR(__xludf.DUMMYFUNCTION("""COMPUTED_VALUE"""),"")</f>
        <v/>
      </c>
      <c r="Q1467" s="5" t="str">
        <f>IFERROR(__xludf.DUMMYFUNCTION("""COMPUTED_VALUE"""),"")</f>
        <v/>
      </c>
      <c r="R1467" s="4" t="str">
        <f>IFERROR(__xludf.DUMMYFUNCTION("""COMPUTED_VALUE"""),"")</f>
        <v/>
      </c>
      <c r="S1467" s="1" t="b">
        <f>IFERROR(__xludf.DUMMYFUNCTION("""COMPUTED_VALUE"""),FALSE)</f>
        <v>0</v>
      </c>
      <c r="T1467" s="1" t="b">
        <f>IFERROR(__xludf.DUMMYFUNCTION("""COMPUTED_VALUE"""),FALSE)</f>
        <v>0</v>
      </c>
      <c r="U1467" s="1" t="str">
        <f>IFERROR(__xludf.DUMMYFUNCTION("""COMPUTED_VALUE"""),"DSQ")</f>
        <v>DSQ</v>
      </c>
      <c r="V1467" s="1" t="str">
        <f>IFERROR(__xludf.DUMMYFUNCTION("""COMPUTED_VALUE"""),"DSQ")</f>
        <v>DSQ</v>
      </c>
      <c r="W1467" s="1" t="str">
        <f>IFERROR(__xludf.DUMMYFUNCTION("""COMPUTED_VALUE"""),"DSQ")</f>
        <v>DSQ</v>
      </c>
      <c r="X1467" s="1" t="str">
        <f>IFERROR(__xludf.DUMMYFUNCTION("""COMPUTED_VALUE"""),"DSQ")</f>
        <v>DSQ</v>
      </c>
      <c r="Y1467" s="2"/>
      <c r="Z1467" s="2" t="str">
        <f>IFERROR(__xludf.DUMMYFUNCTION("""COMPUTED_VALUE"""),"")</f>
        <v/>
      </c>
    </row>
    <row r="1468">
      <c r="A1468" s="1">
        <f>IFERROR(__xludf.DUMMYFUNCTION("""COMPUTED_VALUE"""),1467.0)</f>
        <v>1467</v>
      </c>
      <c r="B1468" s="1">
        <f>IFERROR(__xludf.DUMMYFUNCTION("""COMPUTED_VALUE"""),6056.0)</f>
        <v>6056</v>
      </c>
      <c r="C1468" s="2" t="str">
        <f>IFERROR(__xludf.DUMMYFUNCTION("""COMPUTED_VALUE"""),"Nayra")</f>
        <v>Nayra</v>
      </c>
      <c r="D1468" s="2" t="str">
        <f>IFERROR(__xludf.DUMMYFUNCTION("""COMPUTED_VALUE"""),"5KM OVERALL F")</f>
        <v>5KM OVERALL F</v>
      </c>
      <c r="E1468" s="1">
        <f>IFERROR(__xludf.DUMMYFUNCTION("""COMPUTED_VALUE"""),2.0)</f>
        <v>2</v>
      </c>
      <c r="F1468" s="1" t="str">
        <f>IFERROR(__xludf.DUMMYFUNCTION("""COMPUTED_VALUE"""),"Female")</f>
        <v>Female</v>
      </c>
      <c r="G1468" s="4" t="b">
        <f>IFERROR(__xludf.DUMMYFUNCTION("""COMPUTED_VALUE"""),TRUE)</f>
        <v>1</v>
      </c>
      <c r="H1468" s="4" t="b">
        <f>IFERROR(__xludf.DUMMYFUNCTION("""COMPUTED_VALUE"""),TRUE)</f>
        <v>1</v>
      </c>
      <c r="I1468" s="4">
        <f>IFERROR(__xludf.DUMMYFUNCTION("""COMPUTED_VALUE"""),0.2549440625)</f>
        <v>0.2549440625</v>
      </c>
      <c r="J1468" s="4">
        <f>IFERROR(__xludf.DUMMYFUNCTION("""COMPUTED_VALUE"""),45949.280325305015)</f>
        <v>45949.28033</v>
      </c>
      <c r="K1468" s="4" t="str">
        <f>IFERROR(__xludf.DUMMYFUNCTION("""COMPUTED_VALUE"""),"")</f>
        <v/>
      </c>
      <c r="L1468" s="4">
        <f>IFERROR(__xludf.DUMMYFUNCTION("""COMPUTED_VALUE"""),45949.299571002186)</f>
        <v>45949.29957</v>
      </c>
      <c r="M1468" s="1" t="str">
        <f>IFERROR(__xludf.DUMMYFUNCTION("""COMPUTED_VALUE"""),"RFID")</f>
        <v>RFID</v>
      </c>
      <c r="N1468" s="5">
        <f>IFERROR(__xludf.DUMMYFUNCTION("""COMPUTED_VALUE"""),0.010152495370370369)</f>
        <v>0.01015249537</v>
      </c>
      <c r="O1468" s="5" t="str">
        <f>IFERROR(__xludf.DUMMYFUNCTION("""COMPUTED_VALUE"""),"")</f>
        <v/>
      </c>
      <c r="P1468" s="5" t="str">
        <f>IFERROR(__xludf.DUMMYFUNCTION("""COMPUTED_VALUE"""),"")</f>
        <v/>
      </c>
      <c r="Q1468" s="5">
        <f>IFERROR(__xludf.DUMMYFUNCTION("""COMPUTED_VALUE"""),0.008925388888888889)</f>
        <v>0.008925388889</v>
      </c>
      <c r="R1468" s="4">
        <f>IFERROR(__xludf.DUMMYFUNCTION("""COMPUTED_VALUE"""),45949.044626939685)</f>
        <v>45949.04463</v>
      </c>
      <c r="S1468" s="1" t="b">
        <f>IFERROR(__xludf.DUMMYFUNCTION("""COMPUTED_VALUE"""),TRUE)</f>
        <v>1</v>
      </c>
      <c r="T1468" s="1" t="b">
        <f>IFERROR(__xludf.DUMMYFUNCTION("""COMPUTED_VALUE"""),FALSE)</f>
        <v>0</v>
      </c>
      <c r="U1468" s="1" t="str">
        <f>IFERROR(__xludf.DUMMYFUNCTION("""COMPUTED_VALUE"""),"VALID")</f>
        <v>VALID</v>
      </c>
      <c r="V1468" s="1">
        <f>IFERROR(__xludf.DUMMYFUNCTION("""COMPUTED_VALUE"""),409.0)</f>
        <v>409</v>
      </c>
      <c r="W1468" s="1">
        <f>IFERROR(__xludf.DUMMYFUNCTION("""COMPUTED_VALUE"""),1436.0)</f>
        <v>1436</v>
      </c>
      <c r="X1468" s="1">
        <f>IFERROR(__xludf.DUMMYFUNCTION("""COMPUTED_VALUE"""),502.0)</f>
        <v>502</v>
      </c>
      <c r="Y1468" s="2"/>
      <c r="Z1468" s="2"/>
    </row>
    <row r="1469">
      <c r="A1469" s="1">
        <f>IFERROR(__xludf.DUMMYFUNCTION("""COMPUTED_VALUE"""),1468.0)</f>
        <v>1468</v>
      </c>
      <c r="B1469" s="1">
        <f>IFERROR(__xludf.DUMMYFUNCTION("""COMPUTED_VALUE"""),6059.0)</f>
        <v>6059</v>
      </c>
      <c r="C1469" s="2" t="str">
        <f>IFERROR(__xludf.DUMMYFUNCTION("""COMPUTED_VALUE"""),"Aulia R")</f>
        <v>Aulia R</v>
      </c>
      <c r="D1469" s="2" t="str">
        <f>IFERROR(__xludf.DUMMYFUNCTION("""COMPUTED_VALUE"""),"5KM OVERALL F")</f>
        <v>5KM OVERALL F</v>
      </c>
      <c r="E1469" s="1">
        <f>IFERROR(__xludf.DUMMYFUNCTION("""COMPUTED_VALUE"""),2.0)</f>
        <v>2</v>
      </c>
      <c r="F1469" s="1" t="str">
        <f>IFERROR(__xludf.DUMMYFUNCTION("""COMPUTED_VALUE"""),"Female")</f>
        <v>Female</v>
      </c>
      <c r="G1469" s="4" t="b">
        <f>IFERROR(__xludf.DUMMYFUNCTION("""COMPUTED_VALUE"""),TRUE)</f>
        <v>1</v>
      </c>
      <c r="H1469" s="4" t="b">
        <f>IFERROR(__xludf.DUMMYFUNCTION("""COMPUTED_VALUE"""),FALSE)</f>
        <v>0</v>
      </c>
      <c r="I1469" s="4">
        <f>IFERROR(__xludf.DUMMYFUNCTION("""COMPUTED_VALUE"""),0.2549440625)</f>
        <v>0.2549440625</v>
      </c>
      <c r="J1469" s="4">
        <f>IFERROR(__xludf.DUMMYFUNCTION("""COMPUTED_VALUE"""),45949.2774815544)</f>
        <v>45949.27748</v>
      </c>
      <c r="K1469" s="4" t="str">
        <f>IFERROR(__xludf.DUMMYFUNCTION("""COMPUTED_VALUE"""),"")</f>
        <v/>
      </c>
      <c r="L1469" s="4">
        <f>IFERROR(__xludf.DUMMYFUNCTION("""COMPUTED_VALUE"""),45949.29197031203)</f>
        <v>45949.29197</v>
      </c>
      <c r="M1469" s="1" t="str">
        <f>IFERROR(__xludf.DUMMYFUNCTION("""COMPUTED_VALUE"""),"RFID")</f>
        <v>RFID</v>
      </c>
      <c r="N1469" s="5">
        <f>IFERROR(__xludf.DUMMYFUNCTION("""COMPUTED_VALUE"""),0.009014995370370371)</f>
        <v>0.00901499537</v>
      </c>
      <c r="O1469" s="5" t="str">
        <f>IFERROR(__xludf.DUMMYFUNCTION("""COMPUTED_VALUE"""),"")</f>
        <v/>
      </c>
      <c r="P1469" s="5" t="str">
        <f>IFERROR(__xludf.DUMMYFUNCTION("""COMPUTED_VALUE"""),"")</f>
        <v/>
      </c>
      <c r="Q1469" s="5">
        <f>IFERROR(__xludf.DUMMYFUNCTION("""COMPUTED_VALUE"""),0.00740525)</f>
        <v>0.00740525</v>
      </c>
      <c r="R1469" s="4">
        <f>IFERROR(__xludf.DUMMYFUNCTION("""COMPUTED_VALUE"""),45949.03702624953)</f>
        <v>45949.03703</v>
      </c>
      <c r="S1469" s="1" t="b">
        <f>IFERROR(__xludf.DUMMYFUNCTION("""COMPUTED_VALUE"""),TRUE)</f>
        <v>1</v>
      </c>
      <c r="T1469" s="1" t="b">
        <f>IFERROR(__xludf.DUMMYFUNCTION("""COMPUTED_VALUE"""),FALSE)</f>
        <v>0</v>
      </c>
      <c r="U1469" s="1" t="str">
        <f>IFERROR(__xludf.DUMMYFUNCTION("""COMPUTED_VALUE"""),"VALID")</f>
        <v>VALID</v>
      </c>
      <c r="V1469" s="1">
        <f>IFERROR(__xludf.DUMMYFUNCTION("""COMPUTED_VALUE"""),220.0)</f>
        <v>220</v>
      </c>
      <c r="W1469" s="1">
        <f>IFERROR(__xludf.DUMMYFUNCTION("""COMPUTED_VALUE"""),1031.0)</f>
        <v>1031</v>
      </c>
      <c r="X1469" s="1">
        <f>IFERROR(__xludf.DUMMYFUNCTION("""COMPUTED_VALUE"""),272.0)</f>
        <v>272</v>
      </c>
      <c r="Y1469" s="2"/>
      <c r="Z1469" s="2"/>
    </row>
    <row r="1470">
      <c r="A1470" s="1">
        <f>IFERROR(__xludf.DUMMYFUNCTION("""COMPUTED_VALUE"""),1469.0)</f>
        <v>1469</v>
      </c>
      <c r="B1470" s="1">
        <f>IFERROR(__xludf.DUMMYFUNCTION("""COMPUTED_VALUE"""),6061.0)</f>
        <v>6061</v>
      </c>
      <c r="C1470" s="2" t="str">
        <f>IFERROR(__xludf.DUMMYFUNCTION("""COMPUTED_VALUE"""),"srihan")</f>
        <v>srihan</v>
      </c>
      <c r="D1470" s="2" t="str">
        <f>IFERROR(__xludf.DUMMYFUNCTION("""COMPUTED_VALUE"""),"5KM OVERALL F")</f>
        <v>5KM OVERALL F</v>
      </c>
      <c r="E1470" s="1">
        <f>IFERROR(__xludf.DUMMYFUNCTION("""COMPUTED_VALUE"""),2.0)</f>
        <v>2</v>
      </c>
      <c r="F1470" s="1" t="str">
        <f>IFERROR(__xludf.DUMMYFUNCTION("""COMPUTED_VALUE"""),"Female")</f>
        <v>Female</v>
      </c>
      <c r="G1470" s="4" t="b">
        <f>IFERROR(__xludf.DUMMYFUNCTION("""COMPUTED_VALUE"""),TRUE)</f>
        <v>1</v>
      </c>
      <c r="H1470" s="4" t="b">
        <f>IFERROR(__xludf.DUMMYFUNCTION("""COMPUTED_VALUE"""),TRUE)</f>
        <v>1</v>
      </c>
      <c r="I1470" s="4">
        <f>IFERROR(__xludf.DUMMYFUNCTION("""COMPUTED_VALUE"""),0.2549440625)</f>
        <v>0.2549440625</v>
      </c>
      <c r="J1470" s="4">
        <f>IFERROR(__xludf.DUMMYFUNCTION("""COMPUTED_VALUE"""),45949.274832285606)</f>
        <v>45949.27483</v>
      </c>
      <c r="K1470" s="4" t="str">
        <f>IFERROR(__xludf.DUMMYFUNCTION("""COMPUTED_VALUE"""),"")</f>
        <v/>
      </c>
      <c r="L1470" s="4">
        <f>IFERROR(__xludf.DUMMYFUNCTION("""COMPUTED_VALUE"""),45949.28867865114)</f>
        <v>45949.28868</v>
      </c>
      <c r="M1470" s="1" t="str">
        <f>IFERROR(__xludf.DUMMYFUNCTION("""COMPUTED_VALUE"""),"RFID")</f>
        <v>RFID</v>
      </c>
      <c r="N1470" s="5">
        <f>IFERROR(__xludf.DUMMYFUNCTION("""COMPUTED_VALUE"""),0.007955287037037037)</f>
        <v>0.007955287037</v>
      </c>
      <c r="O1470" s="5" t="str">
        <f>IFERROR(__xludf.DUMMYFUNCTION("""COMPUTED_VALUE"""),"")</f>
        <v/>
      </c>
      <c r="P1470" s="5" t="str">
        <f>IFERROR(__xludf.DUMMYFUNCTION("""COMPUTED_VALUE"""),"")</f>
        <v/>
      </c>
      <c r="Q1470" s="5">
        <f>IFERROR(__xludf.DUMMYFUNCTION("""COMPUTED_VALUE"""),0.006746916666666667)</f>
        <v>0.006746916667</v>
      </c>
      <c r="R1470" s="4">
        <f>IFERROR(__xludf.DUMMYFUNCTION("""COMPUTED_VALUE"""),45949.03373458864)</f>
        <v>45949.03373</v>
      </c>
      <c r="S1470" s="1" t="b">
        <f>IFERROR(__xludf.DUMMYFUNCTION("""COMPUTED_VALUE"""),TRUE)</f>
        <v>1</v>
      </c>
      <c r="T1470" s="1" t="b">
        <f>IFERROR(__xludf.DUMMYFUNCTION("""COMPUTED_VALUE"""),FALSE)</f>
        <v>0</v>
      </c>
      <c r="U1470" s="1" t="str">
        <f>IFERROR(__xludf.DUMMYFUNCTION("""COMPUTED_VALUE"""),"VALID")</f>
        <v>VALID</v>
      </c>
      <c r="V1470" s="1">
        <f>IFERROR(__xludf.DUMMYFUNCTION("""COMPUTED_VALUE"""),145.0)</f>
        <v>145</v>
      </c>
      <c r="W1470" s="1">
        <f>IFERROR(__xludf.DUMMYFUNCTION("""COMPUTED_VALUE"""),821.0)</f>
        <v>821</v>
      </c>
      <c r="X1470" s="1">
        <f>IFERROR(__xludf.DUMMYFUNCTION("""COMPUTED_VALUE"""),179.0)</f>
        <v>179</v>
      </c>
      <c r="Y1470" s="2"/>
      <c r="Z1470" s="2"/>
    </row>
    <row r="1471">
      <c r="A1471" s="1">
        <f>IFERROR(__xludf.DUMMYFUNCTION("""COMPUTED_VALUE"""),1470.0)</f>
        <v>1470</v>
      </c>
      <c r="B1471" s="1">
        <f>IFERROR(__xludf.DUMMYFUNCTION("""COMPUTED_VALUE"""),6062.0)</f>
        <v>6062</v>
      </c>
      <c r="C1471" s="2" t="str">
        <f>IFERROR(__xludf.DUMMYFUNCTION("""COMPUTED_VALUE"""),"Dian A")</f>
        <v>Dian A</v>
      </c>
      <c r="D1471" s="2" t="str">
        <f>IFERROR(__xludf.DUMMYFUNCTION("""COMPUTED_VALUE"""),"5KM OVERALL F")</f>
        <v>5KM OVERALL F</v>
      </c>
      <c r="E1471" s="1">
        <f>IFERROR(__xludf.DUMMYFUNCTION("""COMPUTED_VALUE"""),2.0)</f>
        <v>2</v>
      </c>
      <c r="F1471" s="1" t="str">
        <f>IFERROR(__xludf.DUMMYFUNCTION("""COMPUTED_VALUE"""),"Female")</f>
        <v>Female</v>
      </c>
      <c r="G1471" s="4" t="str">
        <f>IFERROR(__xludf.DUMMYFUNCTION("""COMPUTED_VALUE"""),"")</f>
        <v/>
      </c>
      <c r="H1471" s="4" t="b">
        <f>IFERROR(__xludf.DUMMYFUNCTION("""COMPUTED_VALUE"""),FALSE)</f>
        <v>0</v>
      </c>
      <c r="I1471" s="4">
        <f>IFERROR(__xludf.DUMMYFUNCTION("""COMPUTED_VALUE"""),0.2549440625)</f>
        <v>0.2549440625</v>
      </c>
      <c r="J1471" s="4" t="str">
        <f>IFERROR(__xludf.DUMMYFUNCTION("""COMPUTED_VALUE"""),"")</f>
        <v/>
      </c>
      <c r="K1471" s="4" t="str">
        <f>IFERROR(__xludf.DUMMYFUNCTION("""COMPUTED_VALUE"""),"")</f>
        <v/>
      </c>
      <c r="L1471" s="4" t="str">
        <f>IFERROR(__xludf.DUMMYFUNCTION("""COMPUTED_VALUE"""),"")</f>
        <v/>
      </c>
      <c r="M1471" s="1" t="str">
        <f>IFERROR(__xludf.DUMMYFUNCTION("""COMPUTED_VALUE"""),"RFID")</f>
        <v>RFID</v>
      </c>
      <c r="N1471" s="5" t="str">
        <f>IFERROR(__xludf.DUMMYFUNCTION("""COMPUTED_VALUE"""),"")</f>
        <v/>
      </c>
      <c r="O1471" s="5" t="str">
        <f>IFERROR(__xludf.DUMMYFUNCTION("""COMPUTED_VALUE"""),"")</f>
        <v/>
      </c>
      <c r="P1471" s="5" t="str">
        <f>IFERROR(__xludf.DUMMYFUNCTION("""COMPUTED_VALUE"""),"")</f>
        <v/>
      </c>
      <c r="Q1471" s="5" t="str">
        <f>IFERROR(__xludf.DUMMYFUNCTION("""COMPUTED_VALUE"""),"")</f>
        <v/>
      </c>
      <c r="R1471" s="4" t="str">
        <f>IFERROR(__xludf.DUMMYFUNCTION("""COMPUTED_VALUE"""),"")</f>
        <v/>
      </c>
      <c r="S1471" s="1" t="b">
        <f>IFERROR(__xludf.DUMMYFUNCTION("""COMPUTED_VALUE"""),FALSE)</f>
        <v>0</v>
      </c>
      <c r="T1471" s="1" t="b">
        <f>IFERROR(__xludf.DUMMYFUNCTION("""COMPUTED_VALUE"""),FALSE)</f>
        <v>0</v>
      </c>
      <c r="U1471" s="1" t="str">
        <f>IFERROR(__xludf.DUMMYFUNCTION("""COMPUTED_VALUE"""),"DSQ")</f>
        <v>DSQ</v>
      </c>
      <c r="V1471" s="1" t="str">
        <f>IFERROR(__xludf.DUMMYFUNCTION("""COMPUTED_VALUE"""),"DSQ")</f>
        <v>DSQ</v>
      </c>
      <c r="W1471" s="1" t="str">
        <f>IFERROR(__xludf.DUMMYFUNCTION("""COMPUTED_VALUE"""),"DSQ")</f>
        <v>DSQ</v>
      </c>
      <c r="X1471" s="1" t="str">
        <f>IFERROR(__xludf.DUMMYFUNCTION("""COMPUTED_VALUE"""),"DSQ")</f>
        <v>DSQ</v>
      </c>
      <c r="Y1471" s="2"/>
      <c r="Z1471" s="2" t="str">
        <f>IFERROR(__xludf.DUMMYFUNCTION("""COMPUTED_VALUE"""),"")</f>
        <v/>
      </c>
    </row>
    <row r="1472">
      <c r="A1472" s="1">
        <f>IFERROR(__xludf.DUMMYFUNCTION("""COMPUTED_VALUE"""),1471.0)</f>
        <v>1471</v>
      </c>
      <c r="B1472" s="1">
        <f>IFERROR(__xludf.DUMMYFUNCTION("""COMPUTED_VALUE"""),6066.0)</f>
        <v>6066</v>
      </c>
      <c r="C1472" s="2" t="str">
        <f>IFERROR(__xludf.DUMMYFUNCTION("""COMPUTED_VALUE"""),"Rizka Awaliyah R")</f>
        <v>Rizka Awaliyah R</v>
      </c>
      <c r="D1472" s="2" t="str">
        <f>IFERROR(__xludf.DUMMYFUNCTION("""COMPUTED_VALUE"""),"5KM OVERALL F")</f>
        <v>5KM OVERALL F</v>
      </c>
      <c r="E1472" s="1">
        <f>IFERROR(__xludf.DUMMYFUNCTION("""COMPUTED_VALUE"""),2.0)</f>
        <v>2</v>
      </c>
      <c r="F1472" s="1" t="str">
        <f>IFERROR(__xludf.DUMMYFUNCTION("""COMPUTED_VALUE"""),"Female")</f>
        <v>Female</v>
      </c>
      <c r="G1472" s="4" t="b">
        <f>IFERROR(__xludf.DUMMYFUNCTION("""COMPUTED_VALUE"""),TRUE)</f>
        <v>1</v>
      </c>
      <c r="H1472" s="4" t="b">
        <f>IFERROR(__xludf.DUMMYFUNCTION("""COMPUTED_VALUE"""),TRUE)</f>
        <v>1</v>
      </c>
      <c r="I1472" s="4">
        <f>IFERROR(__xludf.DUMMYFUNCTION("""COMPUTED_VALUE"""),0.2549440625)</f>
        <v>0.2549440625</v>
      </c>
      <c r="J1472" s="4">
        <f>IFERROR(__xludf.DUMMYFUNCTION("""COMPUTED_VALUE"""),45949.28223508057)</f>
        <v>45949.28224</v>
      </c>
      <c r="K1472" s="4" t="str">
        <f>IFERROR(__xludf.DUMMYFUNCTION("""COMPUTED_VALUE"""),"")</f>
        <v/>
      </c>
      <c r="L1472" s="4">
        <f>IFERROR(__xludf.DUMMYFUNCTION("""COMPUTED_VALUE"""),45949.30234184433)</f>
        <v>45949.30234</v>
      </c>
      <c r="M1472" s="1" t="str">
        <f>IFERROR(__xludf.DUMMYFUNCTION("""COMPUTED_VALUE"""),"RFID")</f>
        <v>RFID</v>
      </c>
      <c r="N1472" s="5">
        <f>IFERROR(__xludf.DUMMYFUNCTION("""COMPUTED_VALUE"""),0.010916407407407406)</f>
        <v>0.01091640741</v>
      </c>
      <c r="O1472" s="5" t="str">
        <f>IFERROR(__xludf.DUMMYFUNCTION("""COMPUTED_VALUE"""),"")</f>
        <v/>
      </c>
      <c r="P1472" s="5" t="str">
        <f>IFERROR(__xludf.DUMMYFUNCTION("""COMPUTED_VALUE"""),"")</f>
        <v/>
      </c>
      <c r="Q1472" s="5">
        <f>IFERROR(__xludf.DUMMYFUNCTION("""COMPUTED_VALUE"""),0.009479555555555557)</f>
        <v>0.009479555556</v>
      </c>
      <c r="R1472" s="4">
        <f>IFERROR(__xludf.DUMMYFUNCTION("""COMPUTED_VALUE"""),45949.04739778183)</f>
        <v>45949.0474</v>
      </c>
      <c r="S1472" s="1" t="b">
        <f>IFERROR(__xludf.DUMMYFUNCTION("""COMPUTED_VALUE"""),TRUE)</f>
        <v>1</v>
      </c>
      <c r="T1472" s="1" t="b">
        <f>IFERROR(__xludf.DUMMYFUNCTION("""COMPUTED_VALUE"""),FALSE)</f>
        <v>0</v>
      </c>
      <c r="U1472" s="1" t="str">
        <f>IFERROR(__xludf.DUMMYFUNCTION("""COMPUTED_VALUE"""),"VALID")</f>
        <v>VALID</v>
      </c>
      <c r="V1472" s="1">
        <f>IFERROR(__xludf.DUMMYFUNCTION("""COMPUTED_VALUE"""),466.0)</f>
        <v>466</v>
      </c>
      <c r="W1472" s="1">
        <f>IFERROR(__xludf.DUMMYFUNCTION("""COMPUTED_VALUE"""),1525.0)</f>
        <v>1525</v>
      </c>
      <c r="X1472" s="1">
        <f>IFERROR(__xludf.DUMMYFUNCTION("""COMPUTED_VALUE"""),567.0)</f>
        <v>567</v>
      </c>
      <c r="Y1472" s="2"/>
      <c r="Z1472" s="2"/>
    </row>
    <row r="1473">
      <c r="A1473" s="1">
        <f>IFERROR(__xludf.DUMMYFUNCTION("""COMPUTED_VALUE"""),1472.0)</f>
        <v>1472</v>
      </c>
      <c r="B1473" s="1">
        <f>IFERROR(__xludf.DUMMYFUNCTION("""COMPUTED_VALUE"""),6067.0)</f>
        <v>6067</v>
      </c>
      <c r="C1473" s="2" t="str">
        <f>IFERROR(__xludf.DUMMYFUNCTION("""COMPUTED_VALUE"""),"tri")</f>
        <v>tri</v>
      </c>
      <c r="D1473" s="2" t="str">
        <f>IFERROR(__xludf.DUMMYFUNCTION("""COMPUTED_VALUE"""),"5KM OVERALL F")</f>
        <v>5KM OVERALL F</v>
      </c>
      <c r="E1473" s="1">
        <f>IFERROR(__xludf.DUMMYFUNCTION("""COMPUTED_VALUE"""),2.0)</f>
        <v>2</v>
      </c>
      <c r="F1473" s="1" t="str">
        <f>IFERROR(__xludf.DUMMYFUNCTION("""COMPUTED_VALUE"""),"Female")</f>
        <v>Female</v>
      </c>
      <c r="G1473" s="4" t="str">
        <f>IFERROR(__xludf.DUMMYFUNCTION("""COMPUTED_VALUE"""),"")</f>
        <v/>
      </c>
      <c r="H1473" s="4" t="b">
        <f>IFERROR(__xludf.DUMMYFUNCTION("""COMPUTED_VALUE"""),FALSE)</f>
        <v>0</v>
      </c>
      <c r="I1473" s="4">
        <f>IFERROR(__xludf.DUMMYFUNCTION("""COMPUTED_VALUE"""),0.2549440625)</f>
        <v>0.2549440625</v>
      </c>
      <c r="J1473" s="4" t="str">
        <f>IFERROR(__xludf.DUMMYFUNCTION("""COMPUTED_VALUE"""),"")</f>
        <v/>
      </c>
      <c r="K1473" s="4" t="str">
        <f>IFERROR(__xludf.DUMMYFUNCTION("""COMPUTED_VALUE"""),"")</f>
        <v/>
      </c>
      <c r="L1473" s="4" t="str">
        <f>IFERROR(__xludf.DUMMYFUNCTION("""COMPUTED_VALUE"""),"")</f>
        <v/>
      </c>
      <c r="M1473" s="1" t="str">
        <f>IFERROR(__xludf.DUMMYFUNCTION("""COMPUTED_VALUE"""),"RFID")</f>
        <v>RFID</v>
      </c>
      <c r="N1473" s="5" t="str">
        <f>IFERROR(__xludf.DUMMYFUNCTION("""COMPUTED_VALUE"""),"")</f>
        <v/>
      </c>
      <c r="O1473" s="5" t="str">
        <f>IFERROR(__xludf.DUMMYFUNCTION("""COMPUTED_VALUE"""),"")</f>
        <v/>
      </c>
      <c r="P1473" s="5" t="str">
        <f>IFERROR(__xludf.DUMMYFUNCTION("""COMPUTED_VALUE"""),"")</f>
        <v/>
      </c>
      <c r="Q1473" s="5" t="str">
        <f>IFERROR(__xludf.DUMMYFUNCTION("""COMPUTED_VALUE"""),"")</f>
        <v/>
      </c>
      <c r="R1473" s="4" t="str">
        <f>IFERROR(__xludf.DUMMYFUNCTION("""COMPUTED_VALUE"""),"")</f>
        <v/>
      </c>
      <c r="S1473" s="1" t="b">
        <f>IFERROR(__xludf.DUMMYFUNCTION("""COMPUTED_VALUE"""),FALSE)</f>
        <v>0</v>
      </c>
      <c r="T1473" s="1" t="b">
        <f>IFERROR(__xludf.DUMMYFUNCTION("""COMPUTED_VALUE"""),FALSE)</f>
        <v>0</v>
      </c>
      <c r="U1473" s="1" t="str">
        <f>IFERROR(__xludf.DUMMYFUNCTION("""COMPUTED_VALUE"""),"DSQ")</f>
        <v>DSQ</v>
      </c>
      <c r="V1473" s="1" t="str">
        <f>IFERROR(__xludf.DUMMYFUNCTION("""COMPUTED_VALUE"""),"DSQ")</f>
        <v>DSQ</v>
      </c>
      <c r="W1473" s="1" t="str">
        <f>IFERROR(__xludf.DUMMYFUNCTION("""COMPUTED_VALUE"""),"DSQ")</f>
        <v>DSQ</v>
      </c>
      <c r="X1473" s="1" t="str">
        <f>IFERROR(__xludf.DUMMYFUNCTION("""COMPUTED_VALUE"""),"DSQ")</f>
        <v>DSQ</v>
      </c>
      <c r="Y1473" s="2"/>
      <c r="Z1473" s="2" t="str">
        <f>IFERROR(__xludf.DUMMYFUNCTION("""COMPUTED_VALUE"""),"")</f>
        <v/>
      </c>
    </row>
    <row r="1474">
      <c r="A1474" s="1">
        <f>IFERROR(__xludf.DUMMYFUNCTION("""COMPUTED_VALUE"""),1473.0)</f>
        <v>1473</v>
      </c>
      <c r="B1474" s="1">
        <f>IFERROR(__xludf.DUMMYFUNCTION("""COMPUTED_VALUE"""),6069.0)</f>
        <v>6069</v>
      </c>
      <c r="C1474" s="2" t="str">
        <f>IFERROR(__xludf.DUMMYFUNCTION("""COMPUTED_VALUE"""),"Ria Nitasari")</f>
        <v>Ria Nitasari</v>
      </c>
      <c r="D1474" s="2" t="str">
        <f>IFERROR(__xludf.DUMMYFUNCTION("""COMPUTED_VALUE"""),"5KM OVERALL F")</f>
        <v>5KM OVERALL F</v>
      </c>
      <c r="E1474" s="1">
        <f>IFERROR(__xludf.DUMMYFUNCTION("""COMPUTED_VALUE"""),2.0)</f>
        <v>2</v>
      </c>
      <c r="F1474" s="1" t="str">
        <f>IFERROR(__xludf.DUMMYFUNCTION("""COMPUTED_VALUE"""),"Female")</f>
        <v>Female</v>
      </c>
      <c r="G1474" s="4" t="b">
        <f>IFERROR(__xludf.DUMMYFUNCTION("""COMPUTED_VALUE"""),TRUE)</f>
        <v>1</v>
      </c>
      <c r="H1474" s="4" t="b">
        <f>IFERROR(__xludf.DUMMYFUNCTION("""COMPUTED_VALUE"""),TRUE)</f>
        <v>1</v>
      </c>
      <c r="I1474" s="4">
        <f>IFERROR(__xludf.DUMMYFUNCTION("""COMPUTED_VALUE"""),0.2549440625)</f>
        <v>0.2549440625</v>
      </c>
      <c r="J1474" s="4">
        <f>IFERROR(__xludf.DUMMYFUNCTION("""COMPUTED_VALUE"""),45949.27154754457)</f>
        <v>45949.27155</v>
      </c>
      <c r="K1474" s="4" t="str">
        <f>IFERROR(__xludf.DUMMYFUNCTION("""COMPUTED_VALUE"""),"")</f>
        <v/>
      </c>
      <c r="L1474" s="4">
        <f>IFERROR(__xludf.DUMMYFUNCTION("""COMPUTED_VALUE"""),45949.28438003952)</f>
        <v>45949.28438</v>
      </c>
      <c r="M1474" s="1" t="str">
        <f>IFERROR(__xludf.DUMMYFUNCTION("""COMPUTED_VALUE"""),"RFID")</f>
        <v>RFID</v>
      </c>
      <c r="N1474" s="5">
        <f>IFERROR(__xludf.DUMMYFUNCTION("""COMPUTED_VALUE"""),0.006641393518518518)</f>
        <v>0.006641393519</v>
      </c>
      <c r="O1474" s="5" t="str">
        <f>IFERROR(__xludf.DUMMYFUNCTION("""COMPUTED_VALUE"""),"")</f>
        <v/>
      </c>
      <c r="P1474" s="5" t="str">
        <f>IFERROR(__xludf.DUMMYFUNCTION("""COMPUTED_VALUE"""),"")</f>
        <v/>
      </c>
      <c r="Q1474" s="5">
        <f>IFERROR(__xludf.DUMMYFUNCTION("""COMPUTED_VALUE"""),0.005887194444444444)</f>
        <v>0.005887194444</v>
      </c>
      <c r="R1474" s="4">
        <f>IFERROR(__xludf.DUMMYFUNCTION("""COMPUTED_VALUE"""),45949.02943597702)</f>
        <v>45949.02944</v>
      </c>
      <c r="S1474" s="1" t="b">
        <f>IFERROR(__xludf.DUMMYFUNCTION("""COMPUTED_VALUE"""),TRUE)</f>
        <v>1</v>
      </c>
      <c r="T1474" s="1" t="b">
        <f>IFERROR(__xludf.DUMMYFUNCTION("""COMPUTED_VALUE"""),FALSE)</f>
        <v>0</v>
      </c>
      <c r="U1474" s="1" t="str">
        <f>IFERROR(__xludf.DUMMYFUNCTION("""COMPUTED_VALUE"""),"VALID")</f>
        <v>VALID</v>
      </c>
      <c r="V1474" s="1">
        <f>IFERROR(__xludf.DUMMYFUNCTION("""COMPUTED_VALUE"""),60.0)</f>
        <v>60</v>
      </c>
      <c r="W1474" s="1">
        <f>IFERROR(__xludf.DUMMYFUNCTION("""COMPUTED_VALUE"""),530.0)</f>
        <v>530</v>
      </c>
      <c r="X1474" s="1">
        <f>IFERROR(__xludf.DUMMYFUNCTION("""COMPUTED_VALUE"""),82.0)</f>
        <v>82</v>
      </c>
      <c r="Y1474" s="2"/>
      <c r="Z1474" s="2"/>
    </row>
    <row r="1475">
      <c r="A1475" s="1">
        <f>IFERROR(__xludf.DUMMYFUNCTION("""COMPUTED_VALUE"""),1474.0)</f>
        <v>1474</v>
      </c>
      <c r="B1475" s="1">
        <f>IFERROR(__xludf.DUMMYFUNCTION("""COMPUTED_VALUE"""),6070.0)</f>
        <v>6070</v>
      </c>
      <c r="C1475" s="2" t="str">
        <f>IFERROR(__xludf.DUMMYFUNCTION("""COMPUTED_VALUE"""),"Novita")</f>
        <v>Novita</v>
      </c>
      <c r="D1475" s="2" t="str">
        <f>IFERROR(__xludf.DUMMYFUNCTION("""COMPUTED_VALUE"""),"5KM OVERALL F")</f>
        <v>5KM OVERALL F</v>
      </c>
      <c r="E1475" s="1">
        <f>IFERROR(__xludf.DUMMYFUNCTION("""COMPUTED_VALUE"""),2.0)</f>
        <v>2</v>
      </c>
      <c r="F1475" s="1" t="str">
        <f>IFERROR(__xludf.DUMMYFUNCTION("""COMPUTED_VALUE"""),"Female")</f>
        <v>Female</v>
      </c>
      <c r="G1475" s="4" t="b">
        <f>IFERROR(__xludf.DUMMYFUNCTION("""COMPUTED_VALUE"""),TRUE)</f>
        <v>1</v>
      </c>
      <c r="H1475" s="4" t="b">
        <f>IFERROR(__xludf.DUMMYFUNCTION("""COMPUTED_VALUE"""),TRUE)</f>
        <v>1</v>
      </c>
      <c r="I1475" s="4">
        <f>IFERROR(__xludf.DUMMYFUNCTION("""COMPUTED_VALUE"""),0.2549440625)</f>
        <v>0.2549440625</v>
      </c>
      <c r="J1475" s="4">
        <f>IFERROR(__xludf.DUMMYFUNCTION("""COMPUTED_VALUE"""),45949.278620441044)</f>
        <v>45949.27862</v>
      </c>
      <c r="K1475" s="4" t="str">
        <f>IFERROR(__xludf.DUMMYFUNCTION("""COMPUTED_VALUE"""),"")</f>
        <v/>
      </c>
      <c r="L1475" s="4">
        <f>IFERROR(__xludf.DUMMYFUNCTION("""COMPUTED_VALUE"""),45949.29368908175)</f>
        <v>45949.29369</v>
      </c>
      <c r="M1475" s="1" t="str">
        <f>IFERROR(__xludf.DUMMYFUNCTION("""COMPUTED_VALUE"""),"RFID")</f>
        <v>RFID</v>
      </c>
      <c r="N1475" s="5">
        <f>IFERROR(__xludf.DUMMYFUNCTION("""COMPUTED_VALUE"""),0.009470550925925926)</f>
        <v>0.009470550926</v>
      </c>
      <c r="O1475" s="5" t="str">
        <f>IFERROR(__xludf.DUMMYFUNCTION("""COMPUTED_VALUE"""),"")</f>
        <v/>
      </c>
      <c r="P1475" s="5" t="str">
        <f>IFERROR(__xludf.DUMMYFUNCTION("""COMPUTED_VALUE"""),"")</f>
        <v/>
      </c>
      <c r="Q1475" s="5">
        <f>IFERROR(__xludf.DUMMYFUNCTION("""COMPUTED_VALUE"""),0.00774900462962963)</f>
        <v>0.00774900463</v>
      </c>
      <c r="R1475" s="4">
        <f>IFERROR(__xludf.DUMMYFUNCTION("""COMPUTED_VALUE"""),45949.03874501925)</f>
        <v>45949.03875</v>
      </c>
      <c r="S1475" s="1" t="b">
        <f>IFERROR(__xludf.DUMMYFUNCTION("""COMPUTED_VALUE"""),TRUE)</f>
        <v>1</v>
      </c>
      <c r="T1475" s="1" t="b">
        <f>IFERROR(__xludf.DUMMYFUNCTION("""COMPUTED_VALUE"""),FALSE)</f>
        <v>0</v>
      </c>
      <c r="U1475" s="1" t="str">
        <f>IFERROR(__xludf.DUMMYFUNCTION("""COMPUTED_VALUE"""),"VALID")</f>
        <v>VALID</v>
      </c>
      <c r="V1475" s="1">
        <f>IFERROR(__xludf.DUMMYFUNCTION("""COMPUTED_VALUE"""),274.0)</f>
        <v>274</v>
      </c>
      <c r="W1475" s="1">
        <f>IFERROR(__xludf.DUMMYFUNCTION("""COMPUTED_VALUE"""),1148.0)</f>
        <v>1148</v>
      </c>
      <c r="X1475" s="1">
        <f>IFERROR(__xludf.DUMMYFUNCTION("""COMPUTED_VALUE"""),333.0)</f>
        <v>333</v>
      </c>
      <c r="Y1475" s="2"/>
      <c r="Z1475" s="2"/>
    </row>
    <row r="1476">
      <c r="A1476" s="1">
        <f>IFERROR(__xludf.DUMMYFUNCTION("""COMPUTED_VALUE"""),1475.0)</f>
        <v>1475</v>
      </c>
      <c r="B1476" s="1">
        <f>IFERROR(__xludf.DUMMYFUNCTION("""COMPUTED_VALUE"""),6072.0)</f>
        <v>6072</v>
      </c>
      <c r="C1476" s="2" t="str">
        <f>IFERROR(__xludf.DUMMYFUNCTION("""COMPUTED_VALUE"""),"Aryati Wandari")</f>
        <v>Aryati Wandari</v>
      </c>
      <c r="D1476" s="2" t="str">
        <f>IFERROR(__xludf.DUMMYFUNCTION("""COMPUTED_VALUE"""),"5KM OVERALL F")</f>
        <v>5KM OVERALL F</v>
      </c>
      <c r="E1476" s="1">
        <f>IFERROR(__xludf.DUMMYFUNCTION("""COMPUTED_VALUE"""),2.0)</f>
        <v>2</v>
      </c>
      <c r="F1476" s="1" t="str">
        <f>IFERROR(__xludf.DUMMYFUNCTION("""COMPUTED_VALUE"""),"Female")</f>
        <v>Female</v>
      </c>
      <c r="G1476" s="4" t="b">
        <f>IFERROR(__xludf.DUMMYFUNCTION("""COMPUTED_VALUE"""),TRUE)</f>
        <v>1</v>
      </c>
      <c r="H1476" s="4" t="b">
        <f>IFERROR(__xludf.DUMMYFUNCTION("""COMPUTED_VALUE"""),TRUE)</f>
        <v>1</v>
      </c>
      <c r="I1476" s="4">
        <f>IFERROR(__xludf.DUMMYFUNCTION("""COMPUTED_VALUE"""),0.2549440625)</f>
        <v>0.2549440625</v>
      </c>
      <c r="J1476" s="4">
        <f>IFERROR(__xludf.DUMMYFUNCTION("""COMPUTED_VALUE"""),45949.27366904937)</f>
        <v>45949.27367</v>
      </c>
      <c r="K1476" s="4" t="str">
        <f>IFERROR(__xludf.DUMMYFUNCTION("""COMPUTED_VALUE"""),"")</f>
        <v/>
      </c>
      <c r="L1476" s="4">
        <f>IFERROR(__xludf.DUMMYFUNCTION("""COMPUTED_VALUE"""),45949.28819255222)</f>
        <v>45949.28819</v>
      </c>
      <c r="M1476" s="1" t="str">
        <f>IFERROR(__xludf.DUMMYFUNCTION("""COMPUTED_VALUE"""),"RFID")</f>
        <v>RFID</v>
      </c>
      <c r="N1476" s="5">
        <f>IFERROR(__xludf.DUMMYFUNCTION("""COMPUTED_VALUE"""),0.00748999537037037)</f>
        <v>0.00748999537</v>
      </c>
      <c r="O1476" s="5" t="str">
        <f>IFERROR(__xludf.DUMMYFUNCTION("""COMPUTED_VALUE"""),"")</f>
        <v/>
      </c>
      <c r="P1476" s="5" t="str">
        <f>IFERROR(__xludf.DUMMYFUNCTION("""COMPUTED_VALUE"""),"")</f>
        <v/>
      </c>
      <c r="Q1476" s="5">
        <f>IFERROR(__xludf.DUMMYFUNCTION("""COMPUTED_VALUE"""),0.0066496990740740735)</f>
        <v>0.006649699074</v>
      </c>
      <c r="R1476" s="4">
        <f>IFERROR(__xludf.DUMMYFUNCTION("""COMPUTED_VALUE"""),45949.03324848972)</f>
        <v>45949.03325</v>
      </c>
      <c r="S1476" s="1" t="b">
        <f>IFERROR(__xludf.DUMMYFUNCTION("""COMPUTED_VALUE"""),TRUE)</f>
        <v>1</v>
      </c>
      <c r="T1476" s="1" t="b">
        <f>IFERROR(__xludf.DUMMYFUNCTION("""COMPUTED_VALUE"""),FALSE)</f>
        <v>0</v>
      </c>
      <c r="U1476" s="1" t="str">
        <f>IFERROR(__xludf.DUMMYFUNCTION("""COMPUTED_VALUE"""),"VALID")</f>
        <v>VALID</v>
      </c>
      <c r="V1476" s="1">
        <f>IFERROR(__xludf.DUMMYFUNCTION("""COMPUTED_VALUE"""),132.0)</f>
        <v>132</v>
      </c>
      <c r="W1476" s="1">
        <f>IFERROR(__xludf.DUMMYFUNCTION("""COMPUTED_VALUE"""),790.0)</f>
        <v>790</v>
      </c>
      <c r="X1476" s="1">
        <f>IFERROR(__xludf.DUMMYFUNCTION("""COMPUTED_VALUE"""),165.0)</f>
        <v>165</v>
      </c>
      <c r="Y1476" s="2"/>
      <c r="Z1476" s="2"/>
    </row>
    <row r="1477">
      <c r="A1477" s="1">
        <f>IFERROR(__xludf.DUMMYFUNCTION("""COMPUTED_VALUE"""),1476.0)</f>
        <v>1476</v>
      </c>
      <c r="B1477" s="1">
        <f>IFERROR(__xludf.DUMMYFUNCTION("""COMPUTED_VALUE"""),6074.0)</f>
        <v>6074</v>
      </c>
      <c r="C1477" s="2" t="str">
        <f>IFERROR(__xludf.DUMMYFUNCTION("""COMPUTED_VALUE"""),"Viona")</f>
        <v>Viona</v>
      </c>
      <c r="D1477" s="2" t="str">
        <f>IFERROR(__xludf.DUMMYFUNCTION("""COMPUTED_VALUE"""),"5KM OVERALL F")</f>
        <v>5KM OVERALL F</v>
      </c>
      <c r="E1477" s="1">
        <f>IFERROR(__xludf.DUMMYFUNCTION("""COMPUTED_VALUE"""),2.0)</f>
        <v>2</v>
      </c>
      <c r="F1477" s="1" t="str">
        <f>IFERROR(__xludf.DUMMYFUNCTION("""COMPUTED_VALUE"""),"Female")</f>
        <v>Female</v>
      </c>
      <c r="G1477" s="4" t="b">
        <f>IFERROR(__xludf.DUMMYFUNCTION("""COMPUTED_VALUE"""),TRUE)</f>
        <v>1</v>
      </c>
      <c r="H1477" s="4" t="b">
        <f>IFERROR(__xludf.DUMMYFUNCTION("""COMPUTED_VALUE"""),FALSE)</f>
        <v>0</v>
      </c>
      <c r="I1477" s="4">
        <f>IFERROR(__xludf.DUMMYFUNCTION("""COMPUTED_VALUE"""),0.2549440625)</f>
        <v>0.2549440625</v>
      </c>
      <c r="J1477" s="4">
        <f>IFERROR(__xludf.DUMMYFUNCTION("""COMPUTED_VALUE"""),45949.278790650314)</f>
        <v>45949.27879</v>
      </c>
      <c r="K1477" s="4" t="str">
        <f>IFERROR(__xludf.DUMMYFUNCTION("""COMPUTED_VALUE"""),"")</f>
        <v/>
      </c>
      <c r="L1477" s="4">
        <f>IFERROR(__xludf.DUMMYFUNCTION("""COMPUTED_VALUE"""),45949.29577239824)</f>
        <v>45949.29577</v>
      </c>
      <c r="M1477" s="1" t="str">
        <f>IFERROR(__xludf.DUMMYFUNCTION("""COMPUTED_VALUE"""),"RFID")</f>
        <v>RFID</v>
      </c>
      <c r="N1477" s="5">
        <f>IFERROR(__xludf.DUMMYFUNCTION("""COMPUTED_VALUE"""),0.009538634259259259)</f>
        <v>0.009538634259</v>
      </c>
      <c r="O1477" s="5" t="str">
        <f>IFERROR(__xludf.DUMMYFUNCTION("""COMPUTED_VALUE"""),"")</f>
        <v/>
      </c>
      <c r="P1477" s="5" t="str">
        <f>IFERROR(__xludf.DUMMYFUNCTION("""COMPUTED_VALUE"""),"")</f>
        <v/>
      </c>
      <c r="Q1477" s="5">
        <f>IFERROR(__xludf.DUMMYFUNCTION("""COMPUTED_VALUE"""),0.008165666666666667)</f>
        <v>0.008165666667</v>
      </c>
      <c r="R1477" s="4">
        <f>IFERROR(__xludf.DUMMYFUNCTION("""COMPUTED_VALUE"""),45949.04082833574)</f>
        <v>45949.04083</v>
      </c>
      <c r="S1477" s="1" t="b">
        <f>IFERROR(__xludf.DUMMYFUNCTION("""COMPUTED_VALUE"""),TRUE)</f>
        <v>1</v>
      </c>
      <c r="T1477" s="1" t="b">
        <f>IFERROR(__xludf.DUMMYFUNCTION("""COMPUTED_VALUE"""),FALSE)</f>
        <v>0</v>
      </c>
      <c r="U1477" s="1" t="str">
        <f>IFERROR(__xludf.DUMMYFUNCTION("""COMPUTED_VALUE"""),"VALID")</f>
        <v>VALID</v>
      </c>
      <c r="V1477" s="1">
        <f>IFERROR(__xludf.DUMMYFUNCTION("""COMPUTED_VALUE"""),337.0)</f>
        <v>337</v>
      </c>
      <c r="W1477" s="1">
        <f>IFERROR(__xludf.DUMMYFUNCTION("""COMPUTED_VALUE"""),1281.0)</f>
        <v>1281</v>
      </c>
      <c r="X1477" s="1">
        <f>IFERROR(__xludf.DUMMYFUNCTION("""COMPUTED_VALUE"""),407.0)</f>
        <v>407</v>
      </c>
      <c r="Y1477" s="2"/>
      <c r="Z1477" s="2"/>
    </row>
    <row r="1478">
      <c r="A1478" s="1">
        <f>IFERROR(__xludf.DUMMYFUNCTION("""COMPUTED_VALUE"""),1477.0)</f>
        <v>1477</v>
      </c>
      <c r="B1478" s="1">
        <f>IFERROR(__xludf.DUMMYFUNCTION("""COMPUTED_VALUE"""),6075.0)</f>
        <v>6075</v>
      </c>
      <c r="C1478" s="2" t="str">
        <f>IFERROR(__xludf.DUMMYFUNCTION("""COMPUTED_VALUE"""),"gracejoula95@gmail.com")</f>
        <v>gracejoula95@gmail.com</v>
      </c>
      <c r="D1478" s="2" t="str">
        <f>IFERROR(__xludf.DUMMYFUNCTION("""COMPUTED_VALUE"""),"5KM OVERALL F")</f>
        <v>5KM OVERALL F</v>
      </c>
      <c r="E1478" s="1">
        <f>IFERROR(__xludf.DUMMYFUNCTION("""COMPUTED_VALUE"""),2.0)</f>
        <v>2</v>
      </c>
      <c r="F1478" s="1" t="str">
        <f>IFERROR(__xludf.DUMMYFUNCTION("""COMPUTED_VALUE"""),"Female")</f>
        <v>Female</v>
      </c>
      <c r="G1478" s="4" t="b">
        <f>IFERROR(__xludf.DUMMYFUNCTION("""COMPUTED_VALUE"""),TRUE)</f>
        <v>1</v>
      </c>
      <c r="H1478" s="4" t="b">
        <f>IFERROR(__xludf.DUMMYFUNCTION("""COMPUTED_VALUE"""),FALSE)</f>
        <v>0</v>
      </c>
      <c r="I1478" s="4">
        <f>IFERROR(__xludf.DUMMYFUNCTION("""COMPUTED_VALUE"""),0.2549440625)</f>
        <v>0.2549440625</v>
      </c>
      <c r="J1478" s="4">
        <f>IFERROR(__xludf.DUMMYFUNCTION("""COMPUTED_VALUE"""),45949.27872115643)</f>
        <v>45949.27872</v>
      </c>
      <c r="K1478" s="4" t="str">
        <f>IFERROR(__xludf.DUMMYFUNCTION("""COMPUTED_VALUE"""),"")</f>
        <v/>
      </c>
      <c r="L1478" s="4">
        <f>IFERROR(__xludf.DUMMYFUNCTION("""COMPUTED_VALUE"""),45949.295772409976)</f>
        <v>45949.29577</v>
      </c>
      <c r="M1478" s="1" t="str">
        <f>IFERROR(__xludf.DUMMYFUNCTION("""COMPUTED_VALUE"""),"RFID")</f>
        <v>RFID</v>
      </c>
      <c r="N1478" s="5">
        <f>IFERROR(__xludf.DUMMYFUNCTION("""COMPUTED_VALUE"""),0.009510837962962962)</f>
        <v>0.009510837963</v>
      </c>
      <c r="O1478" s="5" t="str">
        <f>IFERROR(__xludf.DUMMYFUNCTION("""COMPUTED_VALUE"""),"")</f>
        <v/>
      </c>
      <c r="P1478" s="5" t="str">
        <f>IFERROR(__xludf.DUMMYFUNCTION("""COMPUTED_VALUE"""),"")</f>
        <v/>
      </c>
      <c r="Q1478" s="5">
        <f>IFERROR(__xludf.DUMMYFUNCTION("""COMPUTED_VALUE"""),0.008165668981481482)</f>
        <v>0.008165668981</v>
      </c>
      <c r="R1478" s="4">
        <f>IFERROR(__xludf.DUMMYFUNCTION("""COMPUTED_VALUE"""),45949.040828347475)</f>
        <v>45949.04083</v>
      </c>
      <c r="S1478" s="1" t="b">
        <f>IFERROR(__xludf.DUMMYFUNCTION("""COMPUTED_VALUE"""),TRUE)</f>
        <v>1</v>
      </c>
      <c r="T1478" s="1" t="b">
        <f>IFERROR(__xludf.DUMMYFUNCTION("""COMPUTED_VALUE"""),FALSE)</f>
        <v>0</v>
      </c>
      <c r="U1478" s="1" t="str">
        <f>IFERROR(__xludf.DUMMYFUNCTION("""COMPUTED_VALUE"""),"VALID")</f>
        <v>VALID</v>
      </c>
      <c r="V1478" s="1">
        <f>IFERROR(__xludf.DUMMYFUNCTION("""COMPUTED_VALUE"""),338.0)</f>
        <v>338</v>
      </c>
      <c r="W1478" s="1">
        <f>IFERROR(__xludf.DUMMYFUNCTION("""COMPUTED_VALUE"""),1282.0)</f>
        <v>1282</v>
      </c>
      <c r="X1478" s="1">
        <f>IFERROR(__xludf.DUMMYFUNCTION("""COMPUTED_VALUE"""),408.0)</f>
        <v>408</v>
      </c>
      <c r="Y1478" s="2"/>
      <c r="Z1478" s="2"/>
    </row>
    <row r="1479">
      <c r="A1479" s="1">
        <f>IFERROR(__xludf.DUMMYFUNCTION("""COMPUTED_VALUE"""),1478.0)</f>
        <v>1478</v>
      </c>
      <c r="B1479" s="1">
        <f>IFERROR(__xludf.DUMMYFUNCTION("""COMPUTED_VALUE"""),6076.0)</f>
        <v>6076</v>
      </c>
      <c r="C1479" s="2" t="str">
        <f>IFERROR(__xludf.DUMMYFUNCTION("""COMPUTED_VALUE"""),"Agnes")</f>
        <v>Agnes</v>
      </c>
      <c r="D1479" s="2" t="str">
        <f>IFERROR(__xludf.DUMMYFUNCTION("""COMPUTED_VALUE"""),"5KM OVERALL F")</f>
        <v>5KM OVERALL F</v>
      </c>
      <c r="E1479" s="1">
        <f>IFERROR(__xludf.DUMMYFUNCTION("""COMPUTED_VALUE"""),2.0)</f>
        <v>2</v>
      </c>
      <c r="F1479" s="1" t="str">
        <f>IFERROR(__xludf.DUMMYFUNCTION("""COMPUTED_VALUE"""),"Female")</f>
        <v>Female</v>
      </c>
      <c r="G1479" s="4" t="b">
        <f>IFERROR(__xludf.DUMMYFUNCTION("""COMPUTED_VALUE"""),TRUE)</f>
        <v>1</v>
      </c>
      <c r="H1479" s="4" t="b">
        <f>IFERROR(__xludf.DUMMYFUNCTION("""COMPUTED_VALUE"""),FALSE)</f>
        <v>0</v>
      </c>
      <c r="I1479" s="4">
        <f>IFERROR(__xludf.DUMMYFUNCTION("""COMPUTED_VALUE"""),0.2549440625)</f>
        <v>0.2549440625</v>
      </c>
      <c r="J1479" s="4">
        <f>IFERROR(__xludf.DUMMYFUNCTION("""COMPUTED_VALUE"""),45949.28030795266)</f>
        <v>45949.28031</v>
      </c>
      <c r="K1479" s="4" t="str">
        <f>IFERROR(__xludf.DUMMYFUNCTION("""COMPUTED_VALUE"""),"")</f>
        <v/>
      </c>
      <c r="L1479" s="4">
        <f>IFERROR(__xludf.DUMMYFUNCTION("""COMPUTED_VALUE"""),45949.29639392278)</f>
        <v>45949.29639</v>
      </c>
      <c r="M1479" s="1" t="str">
        <f>IFERROR(__xludf.DUMMYFUNCTION("""COMPUTED_VALUE"""),"RFID")</f>
        <v>RFID</v>
      </c>
      <c r="N1479" s="5">
        <f>IFERROR(__xludf.DUMMYFUNCTION("""COMPUTED_VALUE"""),0.010145555555555557)</f>
        <v>0.01014555556</v>
      </c>
      <c r="O1479" s="5" t="str">
        <f>IFERROR(__xludf.DUMMYFUNCTION("""COMPUTED_VALUE"""),"")</f>
        <v/>
      </c>
      <c r="P1479" s="5" t="str">
        <f>IFERROR(__xludf.DUMMYFUNCTION("""COMPUTED_VALUE"""),"")</f>
        <v/>
      </c>
      <c r="Q1479" s="5">
        <f>IFERROR(__xludf.DUMMYFUNCTION("""COMPUTED_VALUE"""),0.008289972222222223)</f>
        <v>0.008289972222</v>
      </c>
      <c r="R1479" s="4">
        <f>IFERROR(__xludf.DUMMYFUNCTION("""COMPUTED_VALUE"""),45949.04144986028)</f>
        <v>45949.04145</v>
      </c>
      <c r="S1479" s="1" t="b">
        <f>IFERROR(__xludf.DUMMYFUNCTION("""COMPUTED_VALUE"""),TRUE)</f>
        <v>1</v>
      </c>
      <c r="T1479" s="1" t="b">
        <f>IFERROR(__xludf.DUMMYFUNCTION("""COMPUTED_VALUE"""),FALSE)</f>
        <v>0</v>
      </c>
      <c r="U1479" s="1" t="str">
        <f>IFERROR(__xludf.DUMMYFUNCTION("""COMPUTED_VALUE"""),"VALID")</f>
        <v>VALID</v>
      </c>
      <c r="V1479" s="1">
        <f>IFERROR(__xludf.DUMMYFUNCTION("""COMPUTED_VALUE"""),348.0)</f>
        <v>348</v>
      </c>
      <c r="W1479" s="1">
        <f>IFERROR(__xludf.DUMMYFUNCTION("""COMPUTED_VALUE"""),1310.0)</f>
        <v>1310</v>
      </c>
      <c r="X1479" s="1">
        <f>IFERROR(__xludf.DUMMYFUNCTION("""COMPUTED_VALUE"""),422.0)</f>
        <v>422</v>
      </c>
      <c r="Y1479" s="2"/>
      <c r="Z1479" s="2"/>
    </row>
    <row r="1480">
      <c r="A1480" s="1">
        <f>IFERROR(__xludf.DUMMYFUNCTION("""COMPUTED_VALUE"""),1479.0)</f>
        <v>1479</v>
      </c>
      <c r="B1480" s="1">
        <f>IFERROR(__xludf.DUMMYFUNCTION("""COMPUTED_VALUE"""),6083.0)</f>
        <v>6083</v>
      </c>
      <c r="C1480" s="2" t="str">
        <f>IFERROR(__xludf.DUMMYFUNCTION("""COMPUTED_VALUE"""),"Yukka Dinara")</f>
        <v>Yukka Dinara</v>
      </c>
      <c r="D1480" s="2" t="str">
        <f>IFERROR(__xludf.DUMMYFUNCTION("""COMPUTED_VALUE"""),"5KM OVERALL F")</f>
        <v>5KM OVERALL F</v>
      </c>
      <c r="E1480" s="1">
        <f>IFERROR(__xludf.DUMMYFUNCTION("""COMPUTED_VALUE"""),2.0)</f>
        <v>2</v>
      </c>
      <c r="F1480" s="1" t="str">
        <f>IFERROR(__xludf.DUMMYFUNCTION("""COMPUTED_VALUE"""),"Female")</f>
        <v>Female</v>
      </c>
      <c r="G1480" s="4" t="b">
        <f>IFERROR(__xludf.DUMMYFUNCTION("""COMPUTED_VALUE"""),TRUE)</f>
        <v>1</v>
      </c>
      <c r="H1480" s="4" t="b">
        <f>IFERROR(__xludf.DUMMYFUNCTION("""COMPUTED_VALUE"""),FALSE)</f>
        <v>0</v>
      </c>
      <c r="I1480" s="4">
        <f>IFERROR(__xludf.DUMMYFUNCTION("""COMPUTED_VALUE"""),0.2549440625)</f>
        <v>0.2549440625</v>
      </c>
      <c r="J1480" s="4">
        <f>IFERROR(__xludf.DUMMYFUNCTION("""COMPUTED_VALUE"""),45949.27073953879)</f>
        <v>45949.27074</v>
      </c>
      <c r="K1480" s="4" t="str">
        <f>IFERROR(__xludf.DUMMYFUNCTION("""COMPUTED_VALUE"""),"")</f>
        <v/>
      </c>
      <c r="L1480" s="4">
        <f>IFERROR(__xludf.DUMMYFUNCTION("""COMPUTED_VALUE"""),45949.28261614709)</f>
        <v>45949.28262</v>
      </c>
      <c r="M1480" s="1" t="str">
        <f>IFERROR(__xludf.DUMMYFUNCTION("""COMPUTED_VALUE"""),"RFID")</f>
        <v>RFID</v>
      </c>
      <c r="N1480" s="5">
        <f>IFERROR(__xludf.DUMMYFUNCTION("""COMPUTED_VALUE"""),0.006318189814814815)</f>
        <v>0.006318189815</v>
      </c>
      <c r="O1480" s="5" t="str">
        <f>IFERROR(__xludf.DUMMYFUNCTION("""COMPUTED_VALUE"""),"")</f>
        <v/>
      </c>
      <c r="P1480" s="5" t="str">
        <f>IFERROR(__xludf.DUMMYFUNCTION("""COMPUTED_VALUE"""),"")</f>
        <v/>
      </c>
      <c r="Q1480" s="5">
        <f>IFERROR(__xludf.DUMMYFUNCTION("""COMPUTED_VALUE"""),0.005534416666666667)</f>
        <v>0.005534416667</v>
      </c>
      <c r="R1480" s="4">
        <f>IFERROR(__xludf.DUMMYFUNCTION("""COMPUTED_VALUE"""),45949.02767208459)</f>
        <v>45949.02767</v>
      </c>
      <c r="S1480" s="1" t="b">
        <f>IFERROR(__xludf.DUMMYFUNCTION("""COMPUTED_VALUE"""),TRUE)</f>
        <v>1</v>
      </c>
      <c r="T1480" s="1" t="b">
        <f>IFERROR(__xludf.DUMMYFUNCTION("""COMPUTED_VALUE"""),FALSE)</f>
        <v>0</v>
      </c>
      <c r="U1480" s="1" t="str">
        <f>IFERROR(__xludf.DUMMYFUNCTION("""COMPUTED_VALUE"""),"VALID")</f>
        <v>VALID</v>
      </c>
      <c r="V1480" s="1">
        <f>IFERROR(__xludf.DUMMYFUNCTION("""COMPUTED_VALUE"""),41.0)</f>
        <v>41</v>
      </c>
      <c r="W1480" s="1">
        <f>IFERROR(__xludf.DUMMYFUNCTION("""COMPUTED_VALUE"""),412.0)</f>
        <v>412</v>
      </c>
      <c r="X1480" s="1">
        <f>IFERROR(__xludf.DUMMYFUNCTION("""COMPUTED_VALUE"""),61.0)</f>
        <v>61</v>
      </c>
      <c r="Y1480" s="2"/>
      <c r="Z1480" s="2"/>
    </row>
    <row r="1481">
      <c r="A1481" s="1">
        <f>IFERROR(__xludf.DUMMYFUNCTION("""COMPUTED_VALUE"""),1480.0)</f>
        <v>1480</v>
      </c>
      <c r="B1481" s="1">
        <f>IFERROR(__xludf.DUMMYFUNCTION("""COMPUTED_VALUE"""),6084.0)</f>
        <v>6084</v>
      </c>
      <c r="C1481" s="2" t="str">
        <f>IFERROR(__xludf.DUMMYFUNCTION("""COMPUTED_VALUE"""),"Rana")</f>
        <v>Rana</v>
      </c>
      <c r="D1481" s="2" t="str">
        <f>IFERROR(__xludf.DUMMYFUNCTION("""COMPUTED_VALUE"""),"5KM OVERALL F")</f>
        <v>5KM OVERALL F</v>
      </c>
      <c r="E1481" s="1">
        <f>IFERROR(__xludf.DUMMYFUNCTION("""COMPUTED_VALUE"""),2.0)</f>
        <v>2</v>
      </c>
      <c r="F1481" s="1" t="str">
        <f>IFERROR(__xludf.DUMMYFUNCTION("""COMPUTED_VALUE"""),"Female")</f>
        <v>Female</v>
      </c>
      <c r="G1481" s="4" t="b">
        <f>IFERROR(__xludf.DUMMYFUNCTION("""COMPUTED_VALUE"""),TRUE)</f>
        <v>1</v>
      </c>
      <c r="H1481" s="4" t="b">
        <f>IFERROR(__xludf.DUMMYFUNCTION("""COMPUTED_VALUE"""),TRUE)</f>
        <v>1</v>
      </c>
      <c r="I1481" s="4">
        <f>IFERROR(__xludf.DUMMYFUNCTION("""COMPUTED_VALUE"""),0.2549440625)</f>
        <v>0.2549440625</v>
      </c>
      <c r="J1481" s="4">
        <f>IFERROR(__xludf.DUMMYFUNCTION("""COMPUTED_VALUE"""),45949.267054476535)</f>
        <v>45949.26705</v>
      </c>
      <c r="K1481" s="4" t="str">
        <f>IFERROR(__xludf.DUMMYFUNCTION("""COMPUTED_VALUE"""),"")</f>
        <v/>
      </c>
      <c r="L1481" s="4">
        <f>IFERROR(__xludf.DUMMYFUNCTION("""COMPUTED_VALUE"""),45949.287768929375)</f>
        <v>45949.28777</v>
      </c>
      <c r="M1481" s="1" t="str">
        <f>IFERROR(__xludf.DUMMYFUNCTION("""COMPUTED_VALUE"""),"RFID")</f>
        <v>RFID</v>
      </c>
      <c r="N1481" s="5">
        <f>IFERROR(__xludf.DUMMYFUNCTION("""COMPUTED_VALUE"""),0.004844166666666666)</f>
        <v>0.004844166667</v>
      </c>
      <c r="O1481" s="5" t="str">
        <f>IFERROR(__xludf.DUMMYFUNCTION("""COMPUTED_VALUE"""),"")</f>
        <v/>
      </c>
      <c r="P1481" s="5" t="str">
        <f>IFERROR(__xludf.DUMMYFUNCTION("""COMPUTED_VALUE"""),"")</f>
        <v/>
      </c>
      <c r="Q1481" s="5">
        <f>IFERROR(__xludf.DUMMYFUNCTION("""COMPUTED_VALUE"""),0.006564972222222222)</f>
        <v>0.006564972222</v>
      </c>
      <c r="R1481" s="4">
        <f>IFERROR(__xludf.DUMMYFUNCTION("""COMPUTED_VALUE"""),45949.032824866874)</f>
        <v>45949.03282</v>
      </c>
      <c r="S1481" s="1" t="b">
        <f>IFERROR(__xludf.DUMMYFUNCTION("""COMPUTED_VALUE"""),TRUE)</f>
        <v>1</v>
      </c>
      <c r="T1481" s="1" t="b">
        <f>IFERROR(__xludf.DUMMYFUNCTION("""COMPUTED_VALUE"""),FALSE)</f>
        <v>0</v>
      </c>
      <c r="U1481" s="1" t="str">
        <f>IFERROR(__xludf.DUMMYFUNCTION("""COMPUTED_VALUE"""),"VALID")</f>
        <v>VALID</v>
      </c>
      <c r="V1481" s="1">
        <f>IFERROR(__xludf.DUMMYFUNCTION("""COMPUTED_VALUE"""),124.0)</f>
        <v>124</v>
      </c>
      <c r="W1481" s="1">
        <f>IFERROR(__xludf.DUMMYFUNCTION("""COMPUTED_VALUE"""),759.0)</f>
        <v>759</v>
      </c>
      <c r="X1481" s="1">
        <f>IFERROR(__xludf.DUMMYFUNCTION("""COMPUTED_VALUE"""),156.0)</f>
        <v>156</v>
      </c>
      <c r="Y1481" s="2"/>
      <c r="Z1481" s="2"/>
    </row>
    <row r="1482">
      <c r="A1482" s="1">
        <f>IFERROR(__xludf.DUMMYFUNCTION("""COMPUTED_VALUE"""),1481.0)</f>
        <v>1481</v>
      </c>
      <c r="B1482" s="1">
        <f>IFERROR(__xludf.DUMMYFUNCTION("""COMPUTED_VALUE"""),6086.0)</f>
        <v>6086</v>
      </c>
      <c r="C1482" s="2" t="str">
        <f>IFERROR(__xludf.DUMMYFUNCTION("""COMPUTED_VALUE"""),"YRY")</f>
        <v>YRY</v>
      </c>
      <c r="D1482" s="2" t="str">
        <f>IFERROR(__xludf.DUMMYFUNCTION("""COMPUTED_VALUE"""),"5KM OVERALL F")</f>
        <v>5KM OVERALL F</v>
      </c>
      <c r="E1482" s="1">
        <f>IFERROR(__xludf.DUMMYFUNCTION("""COMPUTED_VALUE"""),2.0)</f>
        <v>2</v>
      </c>
      <c r="F1482" s="1" t="str">
        <f>IFERROR(__xludf.DUMMYFUNCTION("""COMPUTED_VALUE"""),"Female")</f>
        <v>Female</v>
      </c>
      <c r="G1482" s="4" t="b">
        <f>IFERROR(__xludf.DUMMYFUNCTION("""COMPUTED_VALUE"""),TRUE)</f>
        <v>1</v>
      </c>
      <c r="H1482" s="4" t="b">
        <f>IFERROR(__xludf.DUMMYFUNCTION("""COMPUTED_VALUE"""),TRUE)</f>
        <v>1</v>
      </c>
      <c r="I1482" s="4">
        <f>IFERROR(__xludf.DUMMYFUNCTION("""COMPUTED_VALUE"""),0.2549440625)</f>
        <v>0.2549440625</v>
      </c>
      <c r="J1482" s="4">
        <f>IFERROR(__xludf.DUMMYFUNCTION("""COMPUTED_VALUE"""),45949.27735654295)</f>
        <v>45949.27736</v>
      </c>
      <c r="K1482" s="4" t="str">
        <f>IFERROR(__xludf.DUMMYFUNCTION("""COMPUTED_VALUE"""),"")</f>
        <v/>
      </c>
      <c r="L1482" s="4">
        <f>IFERROR(__xludf.DUMMYFUNCTION("""COMPUTED_VALUE"""),45949.29381400793)</f>
        <v>45949.29381</v>
      </c>
      <c r="M1482" s="1" t="str">
        <f>IFERROR(__xludf.DUMMYFUNCTION("""COMPUTED_VALUE"""),"RFID")</f>
        <v>RFID</v>
      </c>
      <c r="N1482" s="5">
        <f>IFERROR(__xludf.DUMMYFUNCTION("""COMPUTED_VALUE"""),0.008964990740740742)</f>
        <v>0.008964990741</v>
      </c>
      <c r="O1482" s="5" t="str">
        <f>IFERROR(__xludf.DUMMYFUNCTION("""COMPUTED_VALUE"""),"")</f>
        <v/>
      </c>
      <c r="P1482" s="5" t="str">
        <f>IFERROR(__xludf.DUMMYFUNCTION("""COMPUTED_VALUE"""),"")</f>
        <v/>
      </c>
      <c r="Q1482" s="5">
        <f>IFERROR(__xludf.DUMMYFUNCTION("""COMPUTED_VALUE"""),0.007773988425925926)</f>
        <v>0.007773988426</v>
      </c>
      <c r="R1482" s="4">
        <f>IFERROR(__xludf.DUMMYFUNCTION("""COMPUTED_VALUE"""),45949.03886994543)</f>
        <v>45949.03887</v>
      </c>
      <c r="S1482" s="1" t="b">
        <f>IFERROR(__xludf.DUMMYFUNCTION("""COMPUTED_VALUE"""),TRUE)</f>
        <v>1</v>
      </c>
      <c r="T1482" s="1" t="b">
        <f>IFERROR(__xludf.DUMMYFUNCTION("""COMPUTED_VALUE"""),FALSE)</f>
        <v>0</v>
      </c>
      <c r="U1482" s="1" t="str">
        <f>IFERROR(__xludf.DUMMYFUNCTION("""COMPUTED_VALUE"""),"VALID")</f>
        <v>VALID</v>
      </c>
      <c r="V1482" s="1">
        <f>IFERROR(__xludf.DUMMYFUNCTION("""COMPUTED_VALUE"""),281.0)</f>
        <v>281</v>
      </c>
      <c r="W1482" s="1">
        <f>IFERROR(__xludf.DUMMYFUNCTION("""COMPUTED_VALUE"""),1162.0)</f>
        <v>1162</v>
      </c>
      <c r="X1482" s="1">
        <f>IFERROR(__xludf.DUMMYFUNCTION("""COMPUTED_VALUE"""),340.0)</f>
        <v>340</v>
      </c>
      <c r="Y1482" s="2"/>
      <c r="Z1482" s="2"/>
    </row>
    <row r="1483">
      <c r="A1483" s="1">
        <f>IFERROR(__xludf.DUMMYFUNCTION("""COMPUTED_VALUE"""),1482.0)</f>
        <v>1482</v>
      </c>
      <c r="B1483" s="1">
        <f>IFERROR(__xludf.DUMMYFUNCTION("""COMPUTED_VALUE"""),6090.0)</f>
        <v>6090</v>
      </c>
      <c r="C1483" s="2" t="str">
        <f>IFERROR(__xludf.DUMMYFUNCTION("""COMPUTED_VALUE"""),"Lili Rahmawati")</f>
        <v>Lili Rahmawati</v>
      </c>
      <c r="D1483" s="2" t="str">
        <f>IFERROR(__xludf.DUMMYFUNCTION("""COMPUTED_VALUE"""),"5KM OVERALL F")</f>
        <v>5KM OVERALL F</v>
      </c>
      <c r="E1483" s="1">
        <f>IFERROR(__xludf.DUMMYFUNCTION("""COMPUTED_VALUE"""),2.0)</f>
        <v>2</v>
      </c>
      <c r="F1483" s="1" t="str">
        <f>IFERROR(__xludf.DUMMYFUNCTION("""COMPUTED_VALUE"""),"Female")</f>
        <v>Female</v>
      </c>
      <c r="G1483" s="4" t="b">
        <f>IFERROR(__xludf.DUMMYFUNCTION("""COMPUTED_VALUE"""),TRUE)</f>
        <v>1</v>
      </c>
      <c r="H1483" s="4" t="b">
        <f>IFERROR(__xludf.DUMMYFUNCTION("""COMPUTED_VALUE"""),TRUE)</f>
        <v>1</v>
      </c>
      <c r="I1483" s="4">
        <f>IFERROR(__xludf.DUMMYFUNCTION("""COMPUTED_VALUE"""),0.2549440625)</f>
        <v>0.2549440625</v>
      </c>
      <c r="J1483" s="4">
        <f>IFERROR(__xludf.DUMMYFUNCTION("""COMPUTED_VALUE"""),45949.27508923118)</f>
        <v>45949.27509</v>
      </c>
      <c r="K1483" s="4" t="str">
        <f>IFERROR(__xludf.DUMMYFUNCTION("""COMPUTED_VALUE"""),"")</f>
        <v/>
      </c>
      <c r="L1483" s="4">
        <f>IFERROR(__xludf.DUMMYFUNCTION("""COMPUTED_VALUE"""),45949.29211614388)</f>
        <v>45949.29212</v>
      </c>
      <c r="M1483" s="1" t="str">
        <f>IFERROR(__xludf.DUMMYFUNCTION("""COMPUTED_VALUE"""),"RFID")</f>
        <v>RFID</v>
      </c>
      <c r="N1483" s="5">
        <f>IFERROR(__xludf.DUMMYFUNCTION("""COMPUTED_VALUE"""),0.008058069444444444)</f>
        <v>0.008058069444</v>
      </c>
      <c r="O1483" s="5" t="str">
        <f>IFERROR(__xludf.DUMMYFUNCTION("""COMPUTED_VALUE"""),"")</f>
        <v/>
      </c>
      <c r="P1483" s="5" t="str">
        <f>IFERROR(__xludf.DUMMYFUNCTION("""COMPUTED_VALUE"""),"")</f>
        <v/>
      </c>
      <c r="Q1483" s="5">
        <f>IFERROR(__xludf.DUMMYFUNCTION("""COMPUTED_VALUE"""),0.007434416666666667)</f>
        <v>0.007434416667</v>
      </c>
      <c r="R1483" s="4">
        <f>IFERROR(__xludf.DUMMYFUNCTION("""COMPUTED_VALUE"""),45949.03717208138)</f>
        <v>45949.03717</v>
      </c>
      <c r="S1483" s="1" t="b">
        <f>IFERROR(__xludf.DUMMYFUNCTION("""COMPUTED_VALUE"""),TRUE)</f>
        <v>1</v>
      </c>
      <c r="T1483" s="1" t="b">
        <f>IFERROR(__xludf.DUMMYFUNCTION("""COMPUTED_VALUE"""),FALSE)</f>
        <v>0</v>
      </c>
      <c r="U1483" s="1" t="str">
        <f>IFERROR(__xludf.DUMMYFUNCTION("""COMPUTED_VALUE"""),"VALID")</f>
        <v>VALID</v>
      </c>
      <c r="V1483" s="1">
        <f>IFERROR(__xludf.DUMMYFUNCTION("""COMPUTED_VALUE"""),225.0)</f>
        <v>225</v>
      </c>
      <c r="W1483" s="1">
        <f>IFERROR(__xludf.DUMMYFUNCTION("""COMPUTED_VALUE"""),1038.0)</f>
        <v>1038</v>
      </c>
      <c r="X1483" s="1">
        <f>IFERROR(__xludf.DUMMYFUNCTION("""COMPUTED_VALUE"""),278.0)</f>
        <v>278</v>
      </c>
      <c r="Y1483" s="2"/>
      <c r="Z1483" s="2"/>
    </row>
    <row r="1484">
      <c r="A1484" s="1">
        <f>IFERROR(__xludf.DUMMYFUNCTION("""COMPUTED_VALUE"""),1483.0)</f>
        <v>1483</v>
      </c>
      <c r="B1484" s="1">
        <f>IFERROR(__xludf.DUMMYFUNCTION("""COMPUTED_VALUE"""),6091.0)</f>
        <v>6091</v>
      </c>
      <c r="C1484" s="2" t="str">
        <f>IFERROR(__xludf.DUMMYFUNCTION("""COMPUTED_VALUE"""),"Wiwid Hardiyanti")</f>
        <v>Wiwid Hardiyanti</v>
      </c>
      <c r="D1484" s="2" t="str">
        <f>IFERROR(__xludf.DUMMYFUNCTION("""COMPUTED_VALUE"""),"5KM OVERALL F")</f>
        <v>5KM OVERALL F</v>
      </c>
      <c r="E1484" s="1">
        <f>IFERROR(__xludf.DUMMYFUNCTION("""COMPUTED_VALUE"""),2.0)</f>
        <v>2</v>
      </c>
      <c r="F1484" s="1" t="str">
        <f>IFERROR(__xludf.DUMMYFUNCTION("""COMPUTED_VALUE"""),"Female")</f>
        <v>Female</v>
      </c>
      <c r="G1484" s="4" t="b">
        <f>IFERROR(__xludf.DUMMYFUNCTION("""COMPUTED_VALUE"""),TRUE)</f>
        <v>1</v>
      </c>
      <c r="H1484" s="4" t="b">
        <f>IFERROR(__xludf.DUMMYFUNCTION("""COMPUTED_VALUE"""),TRUE)</f>
        <v>1</v>
      </c>
      <c r="I1484" s="4">
        <f>IFERROR(__xludf.DUMMYFUNCTION("""COMPUTED_VALUE"""),0.2549440625)</f>
        <v>0.2549440625</v>
      </c>
      <c r="J1484" s="4">
        <f>IFERROR(__xludf.DUMMYFUNCTION("""COMPUTED_VALUE"""),45949.277193407324)</f>
        <v>45949.27719</v>
      </c>
      <c r="K1484" s="4" t="str">
        <f>IFERROR(__xludf.DUMMYFUNCTION("""COMPUTED_VALUE"""),"")</f>
        <v/>
      </c>
      <c r="L1484" s="4">
        <f>IFERROR(__xludf.DUMMYFUNCTION("""COMPUTED_VALUE"""),45949.29338692749)</f>
        <v>45949.29339</v>
      </c>
      <c r="M1484" s="1" t="str">
        <f>IFERROR(__xludf.DUMMYFUNCTION("""COMPUTED_VALUE"""),"RFID")</f>
        <v>RFID</v>
      </c>
      <c r="N1484" s="5">
        <f>IFERROR(__xludf.DUMMYFUNCTION("""COMPUTED_VALUE"""),0.008899736111111112)</f>
        <v>0.008899736111</v>
      </c>
      <c r="O1484" s="5" t="str">
        <f>IFERROR(__xludf.DUMMYFUNCTION("""COMPUTED_VALUE"""),"")</f>
        <v/>
      </c>
      <c r="P1484" s="5" t="str">
        <f>IFERROR(__xludf.DUMMYFUNCTION("""COMPUTED_VALUE"""),"")</f>
        <v/>
      </c>
      <c r="Q1484" s="5">
        <f>IFERROR(__xludf.DUMMYFUNCTION("""COMPUTED_VALUE"""),0.007688574074074074)</f>
        <v>0.007688574074</v>
      </c>
      <c r="R1484" s="4">
        <f>IFERROR(__xludf.DUMMYFUNCTION("""COMPUTED_VALUE"""),45949.03844286499)</f>
        <v>45949.03844</v>
      </c>
      <c r="S1484" s="1" t="b">
        <f>IFERROR(__xludf.DUMMYFUNCTION("""COMPUTED_VALUE"""),TRUE)</f>
        <v>1</v>
      </c>
      <c r="T1484" s="1" t="b">
        <f>IFERROR(__xludf.DUMMYFUNCTION("""COMPUTED_VALUE"""),FALSE)</f>
        <v>0</v>
      </c>
      <c r="U1484" s="1" t="str">
        <f>IFERROR(__xludf.DUMMYFUNCTION("""COMPUTED_VALUE"""),"VALID")</f>
        <v>VALID</v>
      </c>
      <c r="V1484" s="1">
        <f>IFERROR(__xludf.DUMMYFUNCTION("""COMPUTED_VALUE"""),266.0)</f>
        <v>266</v>
      </c>
      <c r="W1484" s="1">
        <f>IFERROR(__xludf.DUMMYFUNCTION("""COMPUTED_VALUE"""),1128.0)</f>
        <v>1128</v>
      </c>
      <c r="X1484" s="1">
        <f>IFERROR(__xludf.DUMMYFUNCTION("""COMPUTED_VALUE"""),325.0)</f>
        <v>325</v>
      </c>
      <c r="Y1484" s="2"/>
      <c r="Z1484" s="2"/>
    </row>
    <row r="1485">
      <c r="A1485" s="1">
        <f>IFERROR(__xludf.DUMMYFUNCTION("""COMPUTED_VALUE"""),1484.0)</f>
        <v>1484</v>
      </c>
      <c r="B1485" s="1">
        <f>IFERROR(__xludf.DUMMYFUNCTION("""COMPUTED_VALUE"""),6098.0)</f>
        <v>6098</v>
      </c>
      <c r="C1485" s="2" t="str">
        <f>IFERROR(__xludf.DUMMYFUNCTION("""COMPUTED_VALUE"""),"Ghina Arih")</f>
        <v>Ghina Arih</v>
      </c>
      <c r="D1485" s="2" t="str">
        <f>IFERROR(__xludf.DUMMYFUNCTION("""COMPUTED_VALUE"""),"5KM OVERALL F")</f>
        <v>5KM OVERALL F</v>
      </c>
      <c r="E1485" s="1">
        <f>IFERROR(__xludf.DUMMYFUNCTION("""COMPUTED_VALUE"""),2.0)</f>
        <v>2</v>
      </c>
      <c r="F1485" s="1" t="str">
        <f>IFERROR(__xludf.DUMMYFUNCTION("""COMPUTED_VALUE"""),"Female")</f>
        <v>Female</v>
      </c>
      <c r="G1485" s="4" t="b">
        <f>IFERROR(__xludf.DUMMYFUNCTION("""COMPUTED_VALUE"""),TRUE)</f>
        <v>1</v>
      </c>
      <c r="H1485" s="4" t="b">
        <f>IFERROR(__xludf.DUMMYFUNCTION("""COMPUTED_VALUE"""),TRUE)</f>
        <v>1</v>
      </c>
      <c r="I1485" s="4">
        <f>IFERROR(__xludf.DUMMYFUNCTION("""COMPUTED_VALUE"""),0.2549440625)</f>
        <v>0.2549440625</v>
      </c>
      <c r="J1485" s="4">
        <f>IFERROR(__xludf.DUMMYFUNCTION("""COMPUTED_VALUE"""),45949.28237049689)</f>
        <v>45949.28237</v>
      </c>
      <c r="K1485" s="4" t="str">
        <f>IFERROR(__xludf.DUMMYFUNCTION("""COMPUTED_VALUE"""),"")</f>
        <v/>
      </c>
      <c r="L1485" s="4">
        <f>IFERROR(__xludf.DUMMYFUNCTION("""COMPUTED_VALUE"""),45949.30202240052)</f>
        <v>45949.30202</v>
      </c>
      <c r="M1485" s="1" t="str">
        <f>IFERROR(__xludf.DUMMYFUNCTION("""COMPUTED_VALUE"""),"RFID")</f>
        <v>RFID</v>
      </c>
      <c r="N1485" s="5">
        <f>IFERROR(__xludf.DUMMYFUNCTION("""COMPUTED_VALUE"""),0.010970574074074074)</f>
        <v>0.01097057407</v>
      </c>
      <c r="O1485" s="5" t="str">
        <f>IFERROR(__xludf.DUMMYFUNCTION("""COMPUTED_VALUE"""),"")</f>
        <v/>
      </c>
      <c r="P1485" s="5" t="str">
        <f>IFERROR(__xludf.DUMMYFUNCTION("""COMPUTED_VALUE"""),"")</f>
        <v/>
      </c>
      <c r="Q1485" s="5">
        <f>IFERROR(__xludf.DUMMYFUNCTION("""COMPUTED_VALUE"""),0.009415666666666666)</f>
        <v>0.009415666667</v>
      </c>
      <c r="R1485" s="4">
        <f>IFERROR(__xludf.DUMMYFUNCTION("""COMPUTED_VALUE"""),45949.04707833802)</f>
        <v>45949.04708</v>
      </c>
      <c r="S1485" s="1" t="b">
        <f>IFERROR(__xludf.DUMMYFUNCTION("""COMPUTED_VALUE"""),TRUE)</f>
        <v>1</v>
      </c>
      <c r="T1485" s="1" t="b">
        <f>IFERROR(__xludf.DUMMYFUNCTION("""COMPUTED_VALUE"""),FALSE)</f>
        <v>0</v>
      </c>
      <c r="U1485" s="1" t="str">
        <f>IFERROR(__xludf.DUMMYFUNCTION("""COMPUTED_VALUE"""),"VALID")</f>
        <v>VALID</v>
      </c>
      <c r="V1485" s="1">
        <f>IFERROR(__xludf.DUMMYFUNCTION("""COMPUTED_VALUE"""),462.0)</f>
        <v>462</v>
      </c>
      <c r="W1485" s="1">
        <f>IFERROR(__xludf.DUMMYFUNCTION("""COMPUTED_VALUE"""),1520.0)</f>
        <v>1520</v>
      </c>
      <c r="X1485" s="1">
        <f>IFERROR(__xludf.DUMMYFUNCTION("""COMPUTED_VALUE"""),563.0)</f>
        <v>563</v>
      </c>
      <c r="Y1485" s="2"/>
      <c r="Z1485" s="2"/>
    </row>
    <row r="1486">
      <c r="A1486" s="1">
        <f>IFERROR(__xludf.DUMMYFUNCTION("""COMPUTED_VALUE"""),1485.0)</f>
        <v>1485</v>
      </c>
      <c r="B1486" s="1">
        <f>IFERROR(__xludf.DUMMYFUNCTION("""COMPUTED_VALUE"""),6099.0)</f>
        <v>6099</v>
      </c>
      <c r="C1486" s="2" t="str">
        <f>IFERROR(__xludf.DUMMYFUNCTION("""COMPUTED_VALUE"""),"Ade Fitria")</f>
        <v>Ade Fitria</v>
      </c>
      <c r="D1486" s="2" t="str">
        <f>IFERROR(__xludf.DUMMYFUNCTION("""COMPUTED_VALUE"""),"5KM OVERALL F")</f>
        <v>5KM OVERALL F</v>
      </c>
      <c r="E1486" s="1">
        <f>IFERROR(__xludf.DUMMYFUNCTION("""COMPUTED_VALUE"""),2.0)</f>
        <v>2</v>
      </c>
      <c r="F1486" s="1" t="str">
        <f>IFERROR(__xludf.DUMMYFUNCTION("""COMPUTED_VALUE"""),"Female")</f>
        <v>Female</v>
      </c>
      <c r="G1486" s="4" t="b">
        <f>IFERROR(__xludf.DUMMYFUNCTION("""COMPUTED_VALUE"""),TRUE)</f>
        <v>1</v>
      </c>
      <c r="H1486" s="4" t="b">
        <f>IFERROR(__xludf.DUMMYFUNCTION("""COMPUTED_VALUE"""),TRUE)</f>
        <v>1</v>
      </c>
      <c r="I1486" s="4">
        <f>IFERROR(__xludf.DUMMYFUNCTION("""COMPUTED_VALUE"""),0.2549440625)</f>
        <v>0.2549440625</v>
      </c>
      <c r="J1486" s="4">
        <f>IFERROR(__xludf.DUMMYFUNCTION("""COMPUTED_VALUE"""),45949.282422594784)</f>
        <v>45949.28242</v>
      </c>
      <c r="K1486" s="4" t="str">
        <f>IFERROR(__xludf.DUMMYFUNCTION("""COMPUTED_VALUE"""),"")</f>
        <v/>
      </c>
      <c r="L1486" s="4">
        <f>IFERROR(__xludf.DUMMYFUNCTION("""COMPUTED_VALUE"""),45949.30207442667)</f>
        <v>45949.30207</v>
      </c>
      <c r="M1486" s="1" t="str">
        <f>IFERROR(__xludf.DUMMYFUNCTION("""COMPUTED_VALUE"""),"RFID")</f>
        <v>RFID</v>
      </c>
      <c r="N1486" s="5">
        <f>IFERROR(__xludf.DUMMYFUNCTION("""COMPUTED_VALUE"""),0.010991412037037036)</f>
        <v>0.01099141204</v>
      </c>
      <c r="O1486" s="5" t="str">
        <f>IFERROR(__xludf.DUMMYFUNCTION("""COMPUTED_VALUE"""),"")</f>
        <v/>
      </c>
      <c r="P1486" s="5" t="str">
        <f>IFERROR(__xludf.DUMMYFUNCTION("""COMPUTED_VALUE"""),"")</f>
        <v/>
      </c>
      <c r="Q1486" s="5">
        <f>IFERROR(__xludf.DUMMYFUNCTION("""COMPUTED_VALUE"""),0.009426071759259259)</f>
        <v>0.009426071759</v>
      </c>
      <c r="R1486" s="4">
        <f>IFERROR(__xludf.DUMMYFUNCTION("""COMPUTED_VALUE"""),45949.04713036417)</f>
        <v>45949.04713</v>
      </c>
      <c r="S1486" s="1" t="b">
        <f>IFERROR(__xludf.DUMMYFUNCTION("""COMPUTED_VALUE"""),TRUE)</f>
        <v>1</v>
      </c>
      <c r="T1486" s="1" t="b">
        <f>IFERROR(__xludf.DUMMYFUNCTION("""COMPUTED_VALUE"""),FALSE)</f>
        <v>0</v>
      </c>
      <c r="U1486" s="1" t="str">
        <f>IFERROR(__xludf.DUMMYFUNCTION("""COMPUTED_VALUE"""),"VALID")</f>
        <v>VALID</v>
      </c>
      <c r="V1486" s="1">
        <f>IFERROR(__xludf.DUMMYFUNCTION("""COMPUTED_VALUE"""),464.0)</f>
        <v>464</v>
      </c>
      <c r="W1486" s="1">
        <f>IFERROR(__xludf.DUMMYFUNCTION("""COMPUTED_VALUE"""),1523.0)</f>
        <v>1523</v>
      </c>
      <c r="X1486" s="1">
        <f>IFERROR(__xludf.DUMMYFUNCTION("""COMPUTED_VALUE"""),565.0)</f>
        <v>565</v>
      </c>
      <c r="Y1486" s="2"/>
      <c r="Z1486" s="2"/>
    </row>
    <row r="1487">
      <c r="A1487" s="1">
        <f>IFERROR(__xludf.DUMMYFUNCTION("""COMPUTED_VALUE"""),1486.0)</f>
        <v>1486</v>
      </c>
      <c r="B1487" s="1">
        <f>IFERROR(__xludf.DUMMYFUNCTION("""COMPUTED_VALUE"""),6100.0)</f>
        <v>6100</v>
      </c>
      <c r="C1487" s="2" t="str">
        <f>IFERROR(__xludf.DUMMYFUNCTION("""COMPUTED_VALUE"""),"RESA")</f>
        <v>RESA</v>
      </c>
      <c r="D1487" s="2" t="str">
        <f>IFERROR(__xludf.DUMMYFUNCTION("""COMPUTED_VALUE"""),"5KM OVERALL F")</f>
        <v>5KM OVERALL F</v>
      </c>
      <c r="E1487" s="1">
        <f>IFERROR(__xludf.DUMMYFUNCTION("""COMPUTED_VALUE"""),2.0)</f>
        <v>2</v>
      </c>
      <c r="F1487" s="1" t="str">
        <f>IFERROR(__xludf.DUMMYFUNCTION("""COMPUTED_VALUE"""),"Female")</f>
        <v>Female</v>
      </c>
      <c r="G1487" s="4" t="str">
        <f>IFERROR(__xludf.DUMMYFUNCTION("""COMPUTED_VALUE"""),"")</f>
        <v/>
      </c>
      <c r="H1487" s="4" t="b">
        <f>IFERROR(__xludf.DUMMYFUNCTION("""COMPUTED_VALUE"""),FALSE)</f>
        <v>0</v>
      </c>
      <c r="I1487" s="4">
        <f>IFERROR(__xludf.DUMMYFUNCTION("""COMPUTED_VALUE"""),0.2549440625)</f>
        <v>0.2549440625</v>
      </c>
      <c r="J1487" s="4" t="str">
        <f>IFERROR(__xludf.DUMMYFUNCTION("""COMPUTED_VALUE"""),"")</f>
        <v/>
      </c>
      <c r="K1487" s="4" t="str">
        <f>IFERROR(__xludf.DUMMYFUNCTION("""COMPUTED_VALUE"""),"")</f>
        <v/>
      </c>
      <c r="L1487" s="4" t="str">
        <f>IFERROR(__xludf.DUMMYFUNCTION("""COMPUTED_VALUE"""),"")</f>
        <v/>
      </c>
      <c r="M1487" s="1" t="str">
        <f>IFERROR(__xludf.DUMMYFUNCTION("""COMPUTED_VALUE"""),"RFID")</f>
        <v>RFID</v>
      </c>
      <c r="N1487" s="5" t="str">
        <f>IFERROR(__xludf.DUMMYFUNCTION("""COMPUTED_VALUE"""),"")</f>
        <v/>
      </c>
      <c r="O1487" s="5" t="str">
        <f>IFERROR(__xludf.DUMMYFUNCTION("""COMPUTED_VALUE"""),"")</f>
        <v/>
      </c>
      <c r="P1487" s="5" t="str">
        <f>IFERROR(__xludf.DUMMYFUNCTION("""COMPUTED_VALUE"""),"")</f>
        <v/>
      </c>
      <c r="Q1487" s="5" t="str">
        <f>IFERROR(__xludf.DUMMYFUNCTION("""COMPUTED_VALUE"""),"")</f>
        <v/>
      </c>
      <c r="R1487" s="4" t="str">
        <f>IFERROR(__xludf.DUMMYFUNCTION("""COMPUTED_VALUE"""),"")</f>
        <v/>
      </c>
      <c r="S1487" s="1" t="b">
        <f>IFERROR(__xludf.DUMMYFUNCTION("""COMPUTED_VALUE"""),FALSE)</f>
        <v>0</v>
      </c>
      <c r="T1487" s="1" t="b">
        <f>IFERROR(__xludf.DUMMYFUNCTION("""COMPUTED_VALUE"""),FALSE)</f>
        <v>0</v>
      </c>
      <c r="U1487" s="1" t="str">
        <f>IFERROR(__xludf.DUMMYFUNCTION("""COMPUTED_VALUE"""),"DSQ")</f>
        <v>DSQ</v>
      </c>
      <c r="V1487" s="1" t="str">
        <f>IFERROR(__xludf.DUMMYFUNCTION("""COMPUTED_VALUE"""),"DSQ")</f>
        <v>DSQ</v>
      </c>
      <c r="W1487" s="1" t="str">
        <f>IFERROR(__xludf.DUMMYFUNCTION("""COMPUTED_VALUE"""),"DSQ")</f>
        <v>DSQ</v>
      </c>
      <c r="X1487" s="1" t="str">
        <f>IFERROR(__xludf.DUMMYFUNCTION("""COMPUTED_VALUE"""),"DSQ")</f>
        <v>DSQ</v>
      </c>
      <c r="Y1487" s="2"/>
      <c r="Z1487" s="2" t="str">
        <f>IFERROR(__xludf.DUMMYFUNCTION("""COMPUTED_VALUE"""),"")</f>
        <v/>
      </c>
    </row>
    <row r="1488">
      <c r="A1488" s="1">
        <f>IFERROR(__xludf.DUMMYFUNCTION("""COMPUTED_VALUE"""),1487.0)</f>
        <v>1487</v>
      </c>
      <c r="B1488" s="1">
        <f>IFERROR(__xludf.DUMMYFUNCTION("""COMPUTED_VALUE"""),6104.0)</f>
        <v>6104</v>
      </c>
      <c r="C1488" s="2" t="str">
        <f>IFERROR(__xludf.DUMMYFUNCTION("""COMPUTED_VALUE"""),"Reny")</f>
        <v>Reny</v>
      </c>
      <c r="D1488" s="2" t="str">
        <f>IFERROR(__xludf.DUMMYFUNCTION("""COMPUTED_VALUE"""),"5KM OVERALL F")</f>
        <v>5KM OVERALL F</v>
      </c>
      <c r="E1488" s="1">
        <f>IFERROR(__xludf.DUMMYFUNCTION("""COMPUTED_VALUE"""),2.0)</f>
        <v>2</v>
      </c>
      <c r="F1488" s="1" t="str">
        <f>IFERROR(__xludf.DUMMYFUNCTION("""COMPUTED_VALUE"""),"Female")</f>
        <v>Female</v>
      </c>
      <c r="G1488" s="4" t="b">
        <f>IFERROR(__xludf.DUMMYFUNCTION("""COMPUTED_VALUE"""),TRUE)</f>
        <v>1</v>
      </c>
      <c r="H1488" s="4" t="b">
        <f>IFERROR(__xludf.DUMMYFUNCTION("""COMPUTED_VALUE"""),TRUE)</f>
        <v>1</v>
      </c>
      <c r="I1488" s="4">
        <f>IFERROR(__xludf.DUMMYFUNCTION("""COMPUTED_VALUE"""),0.2549440625)</f>
        <v>0.2549440625</v>
      </c>
      <c r="J1488" s="4">
        <f>IFERROR(__xludf.DUMMYFUNCTION("""COMPUTED_VALUE"""),45949.27915169114)</f>
        <v>45949.27915</v>
      </c>
      <c r="K1488" s="4" t="str">
        <f>IFERROR(__xludf.DUMMYFUNCTION("""COMPUTED_VALUE"""),"")</f>
        <v/>
      </c>
      <c r="L1488" s="4">
        <f>IFERROR(__xludf.DUMMYFUNCTION("""COMPUTED_VALUE"""),45949.29575503605)</f>
        <v>45949.29576</v>
      </c>
      <c r="M1488" s="1" t="str">
        <f>IFERROR(__xludf.DUMMYFUNCTION("""COMPUTED_VALUE"""),"RFID")</f>
        <v>RFID</v>
      </c>
      <c r="N1488" s="5">
        <f>IFERROR(__xludf.DUMMYFUNCTION("""COMPUTED_VALUE"""),0.009683050925925928)</f>
        <v>0.009683050926</v>
      </c>
      <c r="O1488" s="5" t="str">
        <f>IFERROR(__xludf.DUMMYFUNCTION("""COMPUTED_VALUE"""),"")</f>
        <v/>
      </c>
      <c r="P1488" s="5" t="str">
        <f>IFERROR(__xludf.DUMMYFUNCTION("""COMPUTED_VALUE"""),"")</f>
        <v/>
      </c>
      <c r="Q1488" s="5">
        <f>IFERROR(__xludf.DUMMYFUNCTION("""COMPUTED_VALUE"""),0.008162194444444446)</f>
        <v>0.008162194444</v>
      </c>
      <c r="R1488" s="4">
        <f>IFERROR(__xludf.DUMMYFUNCTION("""COMPUTED_VALUE"""),45949.04081097355)</f>
        <v>45949.04081</v>
      </c>
      <c r="S1488" s="1" t="b">
        <f>IFERROR(__xludf.DUMMYFUNCTION("""COMPUTED_VALUE"""),TRUE)</f>
        <v>1</v>
      </c>
      <c r="T1488" s="1" t="b">
        <f>IFERROR(__xludf.DUMMYFUNCTION("""COMPUTED_VALUE"""),FALSE)</f>
        <v>0</v>
      </c>
      <c r="U1488" s="1" t="str">
        <f>IFERROR(__xludf.DUMMYFUNCTION("""COMPUTED_VALUE"""),"VALID")</f>
        <v>VALID</v>
      </c>
      <c r="V1488" s="1">
        <f>IFERROR(__xludf.DUMMYFUNCTION("""COMPUTED_VALUE"""),336.0)</f>
        <v>336</v>
      </c>
      <c r="W1488" s="1">
        <f>IFERROR(__xludf.DUMMYFUNCTION("""COMPUTED_VALUE"""),1280.0)</f>
        <v>1280</v>
      </c>
      <c r="X1488" s="1">
        <f>IFERROR(__xludf.DUMMYFUNCTION("""COMPUTED_VALUE"""),406.0)</f>
        <v>406</v>
      </c>
      <c r="Y1488" s="2"/>
      <c r="Z1488" s="2"/>
    </row>
    <row r="1489">
      <c r="A1489" s="1">
        <f>IFERROR(__xludf.DUMMYFUNCTION("""COMPUTED_VALUE"""),1488.0)</f>
        <v>1488</v>
      </c>
      <c r="B1489" s="1">
        <f>IFERROR(__xludf.DUMMYFUNCTION("""COMPUTED_VALUE"""),6107.0)</f>
        <v>6107</v>
      </c>
      <c r="C1489" s="2" t="str">
        <f>IFERROR(__xludf.DUMMYFUNCTION("""COMPUTED_VALUE"""),"Mordekai")</f>
        <v>Mordekai</v>
      </c>
      <c r="D1489" s="2" t="str">
        <f>IFERROR(__xludf.DUMMYFUNCTION("""COMPUTED_VALUE"""),"5KM OVERALL F")</f>
        <v>5KM OVERALL F</v>
      </c>
      <c r="E1489" s="1">
        <f>IFERROR(__xludf.DUMMYFUNCTION("""COMPUTED_VALUE"""),2.0)</f>
        <v>2</v>
      </c>
      <c r="F1489" s="1" t="str">
        <f>IFERROR(__xludf.DUMMYFUNCTION("""COMPUTED_VALUE"""),"Female")</f>
        <v>Female</v>
      </c>
      <c r="G1489" s="4" t="b">
        <f>IFERROR(__xludf.DUMMYFUNCTION("""COMPUTED_VALUE"""),TRUE)</f>
        <v>1</v>
      </c>
      <c r="H1489" s="4" t="b">
        <f>IFERROR(__xludf.DUMMYFUNCTION("""COMPUTED_VALUE"""),TRUE)</f>
        <v>1</v>
      </c>
      <c r="I1489" s="4">
        <f>IFERROR(__xludf.DUMMYFUNCTION("""COMPUTED_VALUE"""),0.2549440625)</f>
        <v>0.2549440625</v>
      </c>
      <c r="J1489" s="4">
        <f>IFERROR(__xludf.DUMMYFUNCTION("""COMPUTED_VALUE"""),45949.278356548755)</f>
        <v>45949.27836</v>
      </c>
      <c r="K1489" s="4" t="str">
        <f>IFERROR(__xludf.DUMMYFUNCTION("""COMPUTED_VALUE"""),"")</f>
        <v/>
      </c>
      <c r="L1489" s="4">
        <f>IFERROR(__xludf.DUMMYFUNCTION("""COMPUTED_VALUE"""),45949.29426544968)</f>
        <v>45949.29427</v>
      </c>
      <c r="M1489" s="1" t="str">
        <f>IFERROR(__xludf.DUMMYFUNCTION("""COMPUTED_VALUE"""),"RFID")</f>
        <v>RFID</v>
      </c>
      <c r="N1489" s="5">
        <f>IFERROR(__xludf.DUMMYFUNCTION("""COMPUTED_VALUE"""),0.00936499537037037)</f>
        <v>0.00936499537</v>
      </c>
      <c r="O1489" s="5" t="str">
        <f>IFERROR(__xludf.DUMMYFUNCTION("""COMPUTED_VALUE"""),"")</f>
        <v/>
      </c>
      <c r="P1489" s="5" t="str">
        <f>IFERROR(__xludf.DUMMYFUNCTION("""COMPUTED_VALUE"""),"")</f>
        <v/>
      </c>
      <c r="Q1489" s="5">
        <f>IFERROR(__xludf.DUMMYFUNCTION("""COMPUTED_VALUE"""),0.007864277777777777)</f>
        <v>0.007864277778</v>
      </c>
      <c r="R1489" s="4">
        <f>IFERROR(__xludf.DUMMYFUNCTION("""COMPUTED_VALUE"""),45949.03932138718)</f>
        <v>45949.03932</v>
      </c>
      <c r="S1489" s="1" t="b">
        <f>IFERROR(__xludf.DUMMYFUNCTION("""COMPUTED_VALUE"""),TRUE)</f>
        <v>1</v>
      </c>
      <c r="T1489" s="1" t="b">
        <f>IFERROR(__xludf.DUMMYFUNCTION("""COMPUTED_VALUE"""),FALSE)</f>
        <v>0</v>
      </c>
      <c r="U1489" s="1" t="str">
        <f>IFERROR(__xludf.DUMMYFUNCTION("""COMPUTED_VALUE"""),"VALID")</f>
        <v>VALID</v>
      </c>
      <c r="V1489" s="1">
        <f>IFERROR(__xludf.DUMMYFUNCTION("""COMPUTED_VALUE"""),296.0)</f>
        <v>296</v>
      </c>
      <c r="W1489" s="1">
        <f>IFERROR(__xludf.DUMMYFUNCTION("""COMPUTED_VALUE"""),1196.0)</f>
        <v>1196</v>
      </c>
      <c r="X1489" s="1">
        <f>IFERROR(__xludf.DUMMYFUNCTION("""COMPUTED_VALUE"""),359.0)</f>
        <v>359</v>
      </c>
      <c r="Y1489" s="2"/>
      <c r="Z1489" s="2"/>
    </row>
    <row r="1490">
      <c r="A1490" s="1">
        <f>IFERROR(__xludf.DUMMYFUNCTION("""COMPUTED_VALUE"""),1489.0)</f>
        <v>1489</v>
      </c>
      <c r="B1490" s="1">
        <f>IFERROR(__xludf.DUMMYFUNCTION("""COMPUTED_VALUE"""),6108.0)</f>
        <v>6108</v>
      </c>
      <c r="C1490" s="2" t="str">
        <f>IFERROR(__xludf.DUMMYFUNCTION("""COMPUTED_VALUE"""),"ERV")</f>
        <v>ERV</v>
      </c>
      <c r="D1490" s="2" t="str">
        <f>IFERROR(__xludf.DUMMYFUNCTION("""COMPUTED_VALUE"""),"5KM OVERALL F")</f>
        <v>5KM OVERALL F</v>
      </c>
      <c r="E1490" s="1">
        <f>IFERROR(__xludf.DUMMYFUNCTION("""COMPUTED_VALUE"""),2.0)</f>
        <v>2</v>
      </c>
      <c r="F1490" s="1" t="str">
        <f>IFERROR(__xludf.DUMMYFUNCTION("""COMPUTED_VALUE"""),"Female")</f>
        <v>Female</v>
      </c>
      <c r="G1490" s="4" t="b">
        <f>IFERROR(__xludf.DUMMYFUNCTION("""COMPUTED_VALUE"""),TRUE)</f>
        <v>1</v>
      </c>
      <c r="H1490" s="4" t="b">
        <f>IFERROR(__xludf.DUMMYFUNCTION("""COMPUTED_VALUE"""),TRUE)</f>
        <v>1</v>
      </c>
      <c r="I1490" s="4">
        <f>IFERROR(__xludf.DUMMYFUNCTION("""COMPUTED_VALUE"""),0.2549440625)</f>
        <v>0.2549440625</v>
      </c>
      <c r="J1490" s="4">
        <f>IFERROR(__xludf.DUMMYFUNCTION("""COMPUTED_VALUE"""),45949.276905171966)</f>
        <v>45949.27691</v>
      </c>
      <c r="K1490" s="4" t="str">
        <f>IFERROR(__xludf.DUMMYFUNCTION("""COMPUTED_VALUE"""),"")</f>
        <v/>
      </c>
      <c r="L1490" s="4">
        <f>IFERROR(__xludf.DUMMYFUNCTION("""COMPUTED_VALUE"""),45949.291803661275)</f>
        <v>45949.2918</v>
      </c>
      <c r="M1490" s="1" t="str">
        <f>IFERROR(__xludf.DUMMYFUNCTION("""COMPUTED_VALUE"""),"RFID")</f>
        <v>RFID</v>
      </c>
      <c r="N1490" s="5">
        <f>IFERROR(__xludf.DUMMYFUNCTION("""COMPUTED_VALUE"""),0.008784444444444445)</f>
        <v>0.008784444444</v>
      </c>
      <c r="O1490" s="5" t="str">
        <f>IFERROR(__xludf.DUMMYFUNCTION("""COMPUTED_VALUE"""),"")</f>
        <v/>
      </c>
      <c r="P1490" s="5" t="str">
        <f>IFERROR(__xludf.DUMMYFUNCTION("""COMPUTED_VALUE"""),"")</f>
        <v/>
      </c>
      <c r="Q1490" s="5">
        <f>IFERROR(__xludf.DUMMYFUNCTION("""COMPUTED_VALUE"""),0.007371918981481482)</f>
        <v>0.007371918981</v>
      </c>
      <c r="R1490" s="4">
        <f>IFERROR(__xludf.DUMMYFUNCTION("""COMPUTED_VALUE"""),45949.036859598775)</f>
        <v>45949.03686</v>
      </c>
      <c r="S1490" s="1" t="b">
        <f>IFERROR(__xludf.DUMMYFUNCTION("""COMPUTED_VALUE"""),TRUE)</f>
        <v>1</v>
      </c>
      <c r="T1490" s="1" t="b">
        <f>IFERROR(__xludf.DUMMYFUNCTION("""COMPUTED_VALUE"""),FALSE)</f>
        <v>0</v>
      </c>
      <c r="U1490" s="1" t="str">
        <f>IFERROR(__xludf.DUMMYFUNCTION("""COMPUTED_VALUE"""),"VALID")</f>
        <v>VALID</v>
      </c>
      <c r="V1490" s="1">
        <f>IFERROR(__xludf.DUMMYFUNCTION("""COMPUTED_VALUE"""),214.0)</f>
        <v>214</v>
      </c>
      <c r="W1490" s="1">
        <f>IFERROR(__xludf.DUMMYFUNCTION("""COMPUTED_VALUE"""),1020.0)</f>
        <v>1020</v>
      </c>
      <c r="X1490" s="1">
        <f>IFERROR(__xludf.DUMMYFUNCTION("""COMPUTED_VALUE"""),266.0)</f>
        <v>266</v>
      </c>
      <c r="Y1490" s="2"/>
      <c r="Z1490" s="2"/>
    </row>
    <row r="1491">
      <c r="A1491" s="1">
        <f>IFERROR(__xludf.DUMMYFUNCTION("""COMPUTED_VALUE"""),1490.0)</f>
        <v>1490</v>
      </c>
      <c r="B1491" s="1">
        <f>IFERROR(__xludf.DUMMYFUNCTION("""COMPUTED_VALUE"""),6109.0)</f>
        <v>6109</v>
      </c>
      <c r="C1491" s="2" t="str">
        <f>IFERROR(__xludf.DUMMYFUNCTION("""COMPUTED_VALUE"""),"YOLAN")</f>
        <v>YOLAN</v>
      </c>
      <c r="D1491" s="2" t="str">
        <f>IFERROR(__xludf.DUMMYFUNCTION("""COMPUTED_VALUE"""),"5KM OVERALL F")</f>
        <v>5KM OVERALL F</v>
      </c>
      <c r="E1491" s="1">
        <f>IFERROR(__xludf.DUMMYFUNCTION("""COMPUTED_VALUE"""),2.0)</f>
        <v>2</v>
      </c>
      <c r="F1491" s="1" t="str">
        <f>IFERROR(__xludf.DUMMYFUNCTION("""COMPUTED_VALUE"""),"Female")</f>
        <v>Female</v>
      </c>
      <c r="G1491" s="4" t="b">
        <f>IFERROR(__xludf.DUMMYFUNCTION("""COMPUTED_VALUE"""),TRUE)</f>
        <v>1</v>
      </c>
      <c r="H1491" s="4" t="b">
        <f>IFERROR(__xludf.DUMMYFUNCTION("""COMPUTED_VALUE"""),FALSE)</f>
        <v>0</v>
      </c>
      <c r="I1491" s="4">
        <f>IFERROR(__xludf.DUMMYFUNCTION("""COMPUTED_VALUE"""),0.2549440625)</f>
        <v>0.2549440625</v>
      </c>
      <c r="J1491" s="4">
        <f>IFERROR(__xludf.DUMMYFUNCTION("""COMPUTED_VALUE"""),45949.275311403384)</f>
        <v>45949.27531</v>
      </c>
      <c r="K1491" s="4" t="str">
        <f>IFERROR(__xludf.DUMMYFUNCTION("""COMPUTED_VALUE"""),"")</f>
        <v/>
      </c>
      <c r="L1491" s="4">
        <f>IFERROR(__xludf.DUMMYFUNCTION("""COMPUTED_VALUE"""),45949.29008837473)</f>
        <v>45949.29009</v>
      </c>
      <c r="M1491" s="1" t="str">
        <f>IFERROR(__xludf.DUMMYFUNCTION("""COMPUTED_VALUE"""),"RFID")</f>
        <v>RFID</v>
      </c>
      <c r="N1491" s="5">
        <f>IFERROR(__xludf.DUMMYFUNCTION("""COMPUTED_VALUE"""),0.008146935185185184)</f>
        <v>0.008146935185</v>
      </c>
      <c r="O1491" s="5" t="str">
        <f>IFERROR(__xludf.DUMMYFUNCTION("""COMPUTED_VALUE"""),"")</f>
        <v/>
      </c>
      <c r="P1491" s="5" t="str">
        <f>IFERROR(__xludf.DUMMYFUNCTION("""COMPUTED_VALUE"""),"")</f>
        <v/>
      </c>
      <c r="Q1491" s="5">
        <f>IFERROR(__xludf.DUMMYFUNCTION("""COMPUTED_VALUE"""),0.007028863425925925)</f>
        <v>0.007028863426</v>
      </c>
      <c r="R1491" s="4">
        <f>IFERROR(__xludf.DUMMYFUNCTION("""COMPUTED_VALUE"""),45949.03514431223)</f>
        <v>45949.03514</v>
      </c>
      <c r="S1491" s="1" t="b">
        <f>IFERROR(__xludf.DUMMYFUNCTION("""COMPUTED_VALUE"""),TRUE)</f>
        <v>1</v>
      </c>
      <c r="T1491" s="1" t="b">
        <f>IFERROR(__xludf.DUMMYFUNCTION("""COMPUTED_VALUE"""),FALSE)</f>
        <v>0</v>
      </c>
      <c r="U1491" s="1" t="str">
        <f>IFERROR(__xludf.DUMMYFUNCTION("""COMPUTED_VALUE"""),"VALID")</f>
        <v>VALID</v>
      </c>
      <c r="V1491" s="1">
        <f>IFERROR(__xludf.DUMMYFUNCTION("""COMPUTED_VALUE"""),166.0)</f>
        <v>166</v>
      </c>
      <c r="W1491" s="1">
        <f>IFERROR(__xludf.DUMMYFUNCTION("""COMPUTED_VALUE"""),896.0)</f>
        <v>896</v>
      </c>
      <c r="X1491" s="1">
        <f>IFERROR(__xludf.DUMMYFUNCTION("""COMPUTED_VALUE"""),206.0)</f>
        <v>206</v>
      </c>
      <c r="Y1491" s="2"/>
      <c r="Z1491" s="2"/>
    </row>
    <row r="1492">
      <c r="A1492" s="1">
        <f>IFERROR(__xludf.DUMMYFUNCTION("""COMPUTED_VALUE"""),1491.0)</f>
        <v>1491</v>
      </c>
      <c r="B1492" s="1">
        <f>IFERROR(__xludf.DUMMYFUNCTION("""COMPUTED_VALUE"""),6110.0)</f>
        <v>6110</v>
      </c>
      <c r="C1492" s="2" t="str">
        <f>IFERROR(__xludf.DUMMYFUNCTION("""COMPUTED_VALUE"""),"Mimi Aca and Joy")</f>
        <v>Mimi Aca and Joy</v>
      </c>
      <c r="D1492" s="2" t="str">
        <f>IFERROR(__xludf.DUMMYFUNCTION("""COMPUTED_VALUE"""),"5KM OVERALL F")</f>
        <v>5KM OVERALL F</v>
      </c>
      <c r="E1492" s="1">
        <f>IFERROR(__xludf.DUMMYFUNCTION("""COMPUTED_VALUE"""),2.0)</f>
        <v>2</v>
      </c>
      <c r="F1492" s="1" t="str">
        <f>IFERROR(__xludf.DUMMYFUNCTION("""COMPUTED_VALUE"""),"Female")</f>
        <v>Female</v>
      </c>
      <c r="G1492" s="4" t="b">
        <f>IFERROR(__xludf.DUMMYFUNCTION("""COMPUTED_VALUE"""),TRUE)</f>
        <v>1</v>
      </c>
      <c r="H1492" s="4" t="b">
        <f>IFERROR(__xludf.DUMMYFUNCTION("""COMPUTED_VALUE"""),FALSE)</f>
        <v>0</v>
      </c>
      <c r="I1492" s="4">
        <f>IFERROR(__xludf.DUMMYFUNCTION("""COMPUTED_VALUE"""),0.2549440625)</f>
        <v>0.2549440625</v>
      </c>
      <c r="J1492" s="4">
        <f>IFERROR(__xludf.DUMMYFUNCTION("""COMPUTED_VALUE"""),45949.27928381077)</f>
        <v>45949.27928</v>
      </c>
      <c r="K1492" s="4" t="str">
        <f>IFERROR(__xludf.DUMMYFUNCTION("""COMPUTED_VALUE"""),"")</f>
        <v/>
      </c>
      <c r="L1492" s="4">
        <f>IFERROR(__xludf.DUMMYFUNCTION("""COMPUTED_VALUE"""),45949.29683523983)</f>
        <v>45949.29684</v>
      </c>
      <c r="M1492" s="1" t="str">
        <f>IFERROR(__xludf.DUMMYFUNCTION("""COMPUTED_VALUE"""),"RFID")</f>
        <v>RFID</v>
      </c>
      <c r="N1492" s="5">
        <f>IFERROR(__xludf.DUMMYFUNCTION("""COMPUTED_VALUE"""),0.00973589814814815)</f>
        <v>0.009735898148</v>
      </c>
      <c r="O1492" s="5" t="str">
        <f>IFERROR(__xludf.DUMMYFUNCTION("""COMPUTED_VALUE"""),"")</f>
        <v/>
      </c>
      <c r="P1492" s="5" t="str">
        <f>IFERROR(__xludf.DUMMYFUNCTION("""COMPUTED_VALUE"""),"")</f>
        <v/>
      </c>
      <c r="Q1492" s="5">
        <f>IFERROR(__xludf.DUMMYFUNCTION("""COMPUTED_VALUE"""),0.008378236111111112)</f>
        <v>0.008378236111</v>
      </c>
      <c r="R1492" s="4">
        <f>IFERROR(__xludf.DUMMYFUNCTION("""COMPUTED_VALUE"""),45949.04189117733)</f>
        <v>45949.04189</v>
      </c>
      <c r="S1492" s="1" t="b">
        <f>IFERROR(__xludf.DUMMYFUNCTION("""COMPUTED_VALUE"""),TRUE)</f>
        <v>1</v>
      </c>
      <c r="T1492" s="1" t="b">
        <f>IFERROR(__xludf.DUMMYFUNCTION("""COMPUTED_VALUE"""),FALSE)</f>
        <v>0</v>
      </c>
      <c r="U1492" s="1" t="str">
        <f>IFERROR(__xludf.DUMMYFUNCTION("""COMPUTED_VALUE"""),"VALID")</f>
        <v>VALID</v>
      </c>
      <c r="V1492" s="1">
        <f>IFERROR(__xludf.DUMMYFUNCTION("""COMPUTED_VALUE"""),357.0)</f>
        <v>357</v>
      </c>
      <c r="W1492" s="1">
        <f>IFERROR(__xludf.DUMMYFUNCTION("""COMPUTED_VALUE"""),1328.0)</f>
        <v>1328</v>
      </c>
      <c r="X1492" s="1">
        <f>IFERROR(__xludf.DUMMYFUNCTION("""COMPUTED_VALUE"""),432.0)</f>
        <v>432</v>
      </c>
      <c r="Y1492" s="2"/>
      <c r="Z1492" s="2"/>
    </row>
    <row r="1493">
      <c r="A1493" s="1">
        <f>IFERROR(__xludf.DUMMYFUNCTION("""COMPUTED_VALUE"""),1492.0)</f>
        <v>1492</v>
      </c>
      <c r="B1493" s="1">
        <f>IFERROR(__xludf.DUMMYFUNCTION("""COMPUTED_VALUE"""),6114.0)</f>
        <v>6114</v>
      </c>
      <c r="C1493" s="2" t="str">
        <f>IFERROR(__xludf.DUMMYFUNCTION("""COMPUTED_VALUE"""),"Mita")</f>
        <v>Mita</v>
      </c>
      <c r="D1493" s="2" t="str">
        <f>IFERROR(__xludf.DUMMYFUNCTION("""COMPUTED_VALUE"""),"5KM OVERALL F")</f>
        <v>5KM OVERALL F</v>
      </c>
      <c r="E1493" s="1">
        <f>IFERROR(__xludf.DUMMYFUNCTION("""COMPUTED_VALUE"""),2.0)</f>
        <v>2</v>
      </c>
      <c r="F1493" s="1" t="str">
        <f>IFERROR(__xludf.DUMMYFUNCTION("""COMPUTED_VALUE"""),"Female")</f>
        <v>Female</v>
      </c>
      <c r="G1493" s="4" t="b">
        <f>IFERROR(__xludf.DUMMYFUNCTION("""COMPUTED_VALUE"""),TRUE)</f>
        <v>1</v>
      </c>
      <c r="H1493" s="4" t="b">
        <f>IFERROR(__xludf.DUMMYFUNCTION("""COMPUTED_VALUE"""),TRUE)</f>
        <v>1</v>
      </c>
      <c r="I1493" s="4">
        <f>IFERROR(__xludf.DUMMYFUNCTION("""COMPUTED_VALUE"""),0.2549440625)</f>
        <v>0.2549440625</v>
      </c>
      <c r="J1493" s="4">
        <f>IFERROR(__xludf.DUMMYFUNCTION("""COMPUTED_VALUE"""),45949.275294125364)</f>
        <v>45949.27529</v>
      </c>
      <c r="K1493" s="4" t="str">
        <f>IFERROR(__xludf.DUMMYFUNCTION("""COMPUTED_VALUE"""),"")</f>
        <v/>
      </c>
      <c r="L1493" s="4">
        <f>IFERROR(__xludf.DUMMYFUNCTION("""COMPUTED_VALUE"""),45949.2900154515)</f>
        <v>45949.29002</v>
      </c>
      <c r="M1493" s="1" t="str">
        <f>IFERROR(__xludf.DUMMYFUNCTION("""COMPUTED_VALUE"""),"RFID")</f>
        <v>RFID</v>
      </c>
      <c r="N1493" s="5">
        <f>IFERROR(__xludf.DUMMYFUNCTION("""COMPUTED_VALUE"""),0.008140023148148148)</f>
        <v>0.008140023148</v>
      </c>
      <c r="O1493" s="5" t="str">
        <f>IFERROR(__xludf.DUMMYFUNCTION("""COMPUTED_VALUE"""),"")</f>
        <v/>
      </c>
      <c r="P1493" s="5" t="str">
        <f>IFERROR(__xludf.DUMMYFUNCTION("""COMPUTED_VALUE"""),"")</f>
        <v/>
      </c>
      <c r="Q1493" s="5">
        <f>IFERROR(__xludf.DUMMYFUNCTION("""COMPUTED_VALUE"""),0.007014277777777777)</f>
        <v>0.007014277778</v>
      </c>
      <c r="R1493" s="4">
        <f>IFERROR(__xludf.DUMMYFUNCTION("""COMPUTED_VALUE"""),45949.035071389)</f>
        <v>45949.03507</v>
      </c>
      <c r="S1493" s="1" t="b">
        <f>IFERROR(__xludf.DUMMYFUNCTION("""COMPUTED_VALUE"""),TRUE)</f>
        <v>1</v>
      </c>
      <c r="T1493" s="1" t="b">
        <f>IFERROR(__xludf.DUMMYFUNCTION("""COMPUTED_VALUE"""),FALSE)</f>
        <v>0</v>
      </c>
      <c r="U1493" s="1" t="str">
        <f>IFERROR(__xludf.DUMMYFUNCTION("""COMPUTED_VALUE"""),"VALID")</f>
        <v>VALID</v>
      </c>
      <c r="V1493" s="1">
        <f>IFERROR(__xludf.DUMMYFUNCTION("""COMPUTED_VALUE"""),164.0)</f>
        <v>164</v>
      </c>
      <c r="W1493" s="1">
        <f>IFERROR(__xludf.DUMMYFUNCTION("""COMPUTED_VALUE"""),892.0)</f>
        <v>892</v>
      </c>
      <c r="X1493" s="1">
        <f>IFERROR(__xludf.DUMMYFUNCTION("""COMPUTED_VALUE"""),204.0)</f>
        <v>204</v>
      </c>
      <c r="Y1493" s="2"/>
      <c r="Z1493" s="2"/>
    </row>
    <row r="1494">
      <c r="A1494" s="1">
        <f>IFERROR(__xludf.DUMMYFUNCTION("""COMPUTED_VALUE"""),1493.0)</f>
        <v>1493</v>
      </c>
      <c r="B1494" s="1">
        <f>IFERROR(__xludf.DUMMYFUNCTION("""COMPUTED_VALUE"""),6119.0)</f>
        <v>6119</v>
      </c>
      <c r="C1494" s="2" t="str">
        <f>IFERROR(__xludf.DUMMYFUNCTION("""COMPUTED_VALUE"""),"ridha hafiza")</f>
        <v>ridha hafiza</v>
      </c>
      <c r="D1494" s="2" t="str">
        <f>IFERROR(__xludf.DUMMYFUNCTION("""COMPUTED_VALUE"""),"5KM OVERALL F")</f>
        <v>5KM OVERALL F</v>
      </c>
      <c r="E1494" s="1">
        <f>IFERROR(__xludf.DUMMYFUNCTION("""COMPUTED_VALUE"""),2.0)</f>
        <v>2</v>
      </c>
      <c r="F1494" s="1" t="str">
        <f>IFERROR(__xludf.DUMMYFUNCTION("""COMPUTED_VALUE"""),"Female")</f>
        <v>Female</v>
      </c>
      <c r="G1494" s="4" t="b">
        <f>IFERROR(__xludf.DUMMYFUNCTION("""COMPUTED_VALUE"""),TRUE)</f>
        <v>1</v>
      </c>
      <c r="H1494" s="4" t="b">
        <f>IFERROR(__xludf.DUMMYFUNCTION("""COMPUTED_VALUE"""),FALSE)</f>
        <v>0</v>
      </c>
      <c r="I1494" s="4">
        <f>IFERROR(__xludf.DUMMYFUNCTION("""COMPUTED_VALUE"""),0.2549440625)</f>
        <v>0.2549440625</v>
      </c>
      <c r="J1494" s="4">
        <f>IFERROR(__xludf.DUMMYFUNCTION("""COMPUTED_VALUE"""),45949.286252381215)</f>
        <v>45949.28625</v>
      </c>
      <c r="K1494" s="4" t="str">
        <f>IFERROR(__xludf.DUMMYFUNCTION("""COMPUTED_VALUE"""),"")</f>
        <v/>
      </c>
      <c r="L1494" s="4">
        <f>IFERROR(__xludf.DUMMYFUNCTION("""COMPUTED_VALUE"""),45949.30827586355)</f>
        <v>45949.30828</v>
      </c>
      <c r="M1494" s="1" t="str">
        <f>IFERROR(__xludf.DUMMYFUNCTION("""COMPUTED_VALUE"""),"RFID")</f>
        <v>RFID</v>
      </c>
      <c r="N1494" s="5">
        <f>IFERROR(__xludf.DUMMYFUNCTION("""COMPUTED_VALUE"""),0.012523328703703703)</f>
        <v>0.0125233287</v>
      </c>
      <c r="O1494" s="5" t="str">
        <f>IFERROR(__xludf.DUMMYFUNCTION("""COMPUTED_VALUE"""),"")</f>
        <v/>
      </c>
      <c r="P1494" s="5" t="str">
        <f>IFERROR(__xludf.DUMMYFUNCTION("""COMPUTED_VALUE"""),"")</f>
        <v/>
      </c>
      <c r="Q1494" s="5">
        <f>IFERROR(__xludf.DUMMYFUNCTION("""COMPUTED_VALUE"""),0.010666361111111113)</f>
        <v>0.01066636111</v>
      </c>
      <c r="R1494" s="4">
        <f>IFERROR(__xludf.DUMMYFUNCTION("""COMPUTED_VALUE"""),45949.05333180105)</f>
        <v>45949.05333</v>
      </c>
      <c r="S1494" s="1" t="b">
        <f>IFERROR(__xludf.DUMMYFUNCTION("""COMPUTED_VALUE"""),TRUE)</f>
        <v>1</v>
      </c>
      <c r="T1494" s="1" t="b">
        <f>IFERROR(__xludf.DUMMYFUNCTION("""COMPUTED_VALUE"""),FALSE)</f>
        <v>0</v>
      </c>
      <c r="U1494" s="1" t="str">
        <f>IFERROR(__xludf.DUMMYFUNCTION("""COMPUTED_VALUE"""),"VALID")</f>
        <v>VALID</v>
      </c>
      <c r="V1494" s="1">
        <f>IFERROR(__xludf.DUMMYFUNCTION("""COMPUTED_VALUE"""),497.0)</f>
        <v>497</v>
      </c>
      <c r="W1494" s="1">
        <f>IFERROR(__xludf.DUMMYFUNCTION("""COMPUTED_VALUE"""),1592.0)</f>
        <v>1592</v>
      </c>
      <c r="X1494" s="1">
        <f>IFERROR(__xludf.DUMMYFUNCTION("""COMPUTED_VALUE"""),616.0)</f>
        <v>616</v>
      </c>
      <c r="Y1494" s="2"/>
      <c r="Z1494" s="2"/>
    </row>
    <row r="1495">
      <c r="A1495" s="1">
        <f>IFERROR(__xludf.DUMMYFUNCTION("""COMPUTED_VALUE"""),1494.0)</f>
        <v>1494</v>
      </c>
      <c r="B1495" s="1">
        <f>IFERROR(__xludf.DUMMYFUNCTION("""COMPUTED_VALUE"""),6122.0)</f>
        <v>6122</v>
      </c>
      <c r="C1495" s="2" t="str">
        <f>IFERROR(__xludf.DUMMYFUNCTION("""COMPUTED_VALUE"""),"Fitriyani")</f>
        <v>Fitriyani</v>
      </c>
      <c r="D1495" s="2" t="str">
        <f>IFERROR(__xludf.DUMMYFUNCTION("""COMPUTED_VALUE"""),"5KM OVERALL F")</f>
        <v>5KM OVERALL F</v>
      </c>
      <c r="E1495" s="1">
        <f>IFERROR(__xludf.DUMMYFUNCTION("""COMPUTED_VALUE"""),2.0)</f>
        <v>2</v>
      </c>
      <c r="F1495" s="1" t="str">
        <f>IFERROR(__xludf.DUMMYFUNCTION("""COMPUTED_VALUE"""),"Female")</f>
        <v>Female</v>
      </c>
      <c r="G1495" s="4" t="b">
        <f>IFERROR(__xludf.DUMMYFUNCTION("""COMPUTED_VALUE"""),TRUE)</f>
        <v>1</v>
      </c>
      <c r="H1495" s="4" t="b">
        <f>IFERROR(__xludf.DUMMYFUNCTION("""COMPUTED_VALUE"""),TRUE)</f>
        <v>1</v>
      </c>
      <c r="I1495" s="4">
        <f>IFERROR(__xludf.DUMMYFUNCTION("""COMPUTED_VALUE"""),0.2549440625)</f>
        <v>0.2549440625</v>
      </c>
      <c r="J1495" s="4">
        <f>IFERROR(__xludf.DUMMYFUNCTION("""COMPUTED_VALUE"""),45949.28167251849)</f>
        <v>45949.28167</v>
      </c>
      <c r="K1495" s="4" t="str">
        <f>IFERROR(__xludf.DUMMYFUNCTION("""COMPUTED_VALUE"""),"")</f>
        <v/>
      </c>
      <c r="L1495" s="4">
        <f>IFERROR(__xludf.DUMMYFUNCTION("""COMPUTED_VALUE"""),45949.30450845477)</f>
        <v>45949.30451</v>
      </c>
      <c r="M1495" s="1" t="str">
        <f>IFERROR(__xludf.DUMMYFUNCTION("""COMPUTED_VALUE"""),"RFID")</f>
        <v>RFID</v>
      </c>
      <c r="N1495" s="5">
        <f>IFERROR(__xludf.DUMMYFUNCTION("""COMPUTED_VALUE"""),0.01069138425925926)</f>
        <v>0.01069138426</v>
      </c>
      <c r="O1495" s="5" t="str">
        <f>IFERROR(__xludf.DUMMYFUNCTION("""COMPUTED_VALUE"""),"")</f>
        <v/>
      </c>
      <c r="P1495" s="5" t="str">
        <f>IFERROR(__xludf.DUMMYFUNCTION("""COMPUTED_VALUE"""),"")</f>
        <v/>
      </c>
      <c r="Q1495" s="5">
        <f>IFERROR(__xludf.DUMMYFUNCTION("""COMPUTED_VALUE"""),0.009912877314814815)</f>
        <v>0.009912877315</v>
      </c>
      <c r="R1495" s="4">
        <f>IFERROR(__xludf.DUMMYFUNCTION("""COMPUTED_VALUE"""),45949.04956439227)</f>
        <v>45949.04956</v>
      </c>
      <c r="S1495" s="1" t="b">
        <f>IFERROR(__xludf.DUMMYFUNCTION("""COMPUTED_VALUE"""),TRUE)</f>
        <v>1</v>
      </c>
      <c r="T1495" s="1" t="b">
        <f>IFERROR(__xludf.DUMMYFUNCTION("""COMPUTED_VALUE"""),FALSE)</f>
        <v>0</v>
      </c>
      <c r="U1495" s="1" t="str">
        <f>IFERROR(__xludf.DUMMYFUNCTION("""COMPUTED_VALUE"""),"VALID")</f>
        <v>VALID</v>
      </c>
      <c r="V1495" s="1">
        <f>IFERROR(__xludf.DUMMYFUNCTION("""COMPUTED_VALUE"""),484.0)</f>
        <v>484</v>
      </c>
      <c r="W1495" s="1">
        <f>IFERROR(__xludf.DUMMYFUNCTION("""COMPUTED_VALUE"""),1569.0)</f>
        <v>1569</v>
      </c>
      <c r="X1495" s="1">
        <f>IFERROR(__xludf.DUMMYFUNCTION("""COMPUTED_VALUE"""),593.0)</f>
        <v>593</v>
      </c>
      <c r="Y1495" s="2"/>
      <c r="Z1495" s="2"/>
    </row>
    <row r="1496">
      <c r="A1496" s="1">
        <f>IFERROR(__xludf.DUMMYFUNCTION("""COMPUTED_VALUE"""),1495.0)</f>
        <v>1495</v>
      </c>
      <c r="B1496" s="1">
        <f>IFERROR(__xludf.DUMMYFUNCTION("""COMPUTED_VALUE"""),6123.0)</f>
        <v>6123</v>
      </c>
      <c r="C1496" s="2" t="str">
        <f>IFERROR(__xludf.DUMMYFUNCTION("""COMPUTED_VALUE"""),"Rara")</f>
        <v>Rara</v>
      </c>
      <c r="D1496" s="2" t="str">
        <f>IFERROR(__xludf.DUMMYFUNCTION("""COMPUTED_VALUE"""),"5KM OVERALL F")</f>
        <v>5KM OVERALL F</v>
      </c>
      <c r="E1496" s="1">
        <f>IFERROR(__xludf.DUMMYFUNCTION("""COMPUTED_VALUE"""),2.0)</f>
        <v>2</v>
      </c>
      <c r="F1496" s="1" t="str">
        <f>IFERROR(__xludf.DUMMYFUNCTION("""COMPUTED_VALUE"""),"Female")</f>
        <v>Female</v>
      </c>
      <c r="G1496" s="4" t="b">
        <f>IFERROR(__xludf.DUMMYFUNCTION("""COMPUTED_VALUE"""),TRUE)</f>
        <v>1</v>
      </c>
      <c r="H1496" s="4" t="b">
        <f>IFERROR(__xludf.DUMMYFUNCTION("""COMPUTED_VALUE"""),TRUE)</f>
        <v>1</v>
      </c>
      <c r="I1496" s="4">
        <f>IFERROR(__xludf.DUMMYFUNCTION("""COMPUTED_VALUE"""),0.2549440625)</f>
        <v>0.2549440625</v>
      </c>
      <c r="J1496" s="4">
        <f>IFERROR(__xludf.DUMMYFUNCTION("""COMPUTED_VALUE"""),45949.26762390943)</f>
        <v>45949.26762</v>
      </c>
      <c r="K1496" s="4" t="str">
        <f>IFERROR(__xludf.DUMMYFUNCTION("""COMPUTED_VALUE"""),"")</f>
        <v/>
      </c>
      <c r="L1496" s="4">
        <f>IFERROR(__xludf.DUMMYFUNCTION("""COMPUTED_VALUE"""),45949.27918906822)</f>
        <v>45949.27919</v>
      </c>
      <c r="M1496" s="1" t="str">
        <f>IFERROR(__xludf.DUMMYFUNCTION("""COMPUTED_VALUE"""),"RFID")</f>
        <v>RFID</v>
      </c>
      <c r="N1496" s="5">
        <f>IFERROR(__xludf.DUMMYFUNCTION("""COMPUTED_VALUE"""),0.005071939814814815)</f>
        <v>0.005071939815</v>
      </c>
      <c r="O1496" s="5" t="str">
        <f>IFERROR(__xludf.DUMMYFUNCTION("""COMPUTED_VALUE"""),"")</f>
        <v/>
      </c>
      <c r="P1496" s="5" t="str">
        <f>IFERROR(__xludf.DUMMYFUNCTION("""COMPUTED_VALUE"""),"")</f>
        <v/>
      </c>
      <c r="Q1496" s="5">
        <f>IFERROR(__xludf.DUMMYFUNCTION("""COMPUTED_VALUE"""),0.004849)</f>
        <v>0.004849</v>
      </c>
      <c r="R1496" s="4">
        <f>IFERROR(__xludf.DUMMYFUNCTION("""COMPUTED_VALUE"""),45949.02424500572)</f>
        <v>45949.02425</v>
      </c>
      <c r="S1496" s="1" t="b">
        <f>IFERROR(__xludf.DUMMYFUNCTION("""COMPUTED_VALUE"""),TRUE)</f>
        <v>1</v>
      </c>
      <c r="T1496" s="1" t="b">
        <f>IFERROR(__xludf.DUMMYFUNCTION("""COMPUTED_VALUE"""),FALSE)</f>
        <v>0</v>
      </c>
      <c r="U1496" s="1" t="str">
        <f>IFERROR(__xludf.DUMMYFUNCTION("""COMPUTED_VALUE"""),"VALID")</f>
        <v>VALID</v>
      </c>
      <c r="V1496" s="1">
        <f>IFERROR(__xludf.DUMMYFUNCTION("""COMPUTED_VALUE"""),22.0)</f>
        <v>22</v>
      </c>
      <c r="W1496" s="1">
        <f>IFERROR(__xludf.DUMMYFUNCTION("""COMPUTED_VALUE"""),256.0)</f>
        <v>256</v>
      </c>
      <c r="X1496" s="1">
        <f>IFERROR(__xludf.DUMMYFUNCTION("""COMPUTED_VALUE"""),33.0)</f>
        <v>33</v>
      </c>
      <c r="Y1496" s="2"/>
      <c r="Z1496" s="2"/>
    </row>
    <row r="1497">
      <c r="A1497" s="1">
        <f>IFERROR(__xludf.DUMMYFUNCTION("""COMPUTED_VALUE"""),1496.0)</f>
        <v>1496</v>
      </c>
      <c r="B1497" s="1">
        <f>IFERROR(__xludf.DUMMYFUNCTION("""COMPUTED_VALUE"""),6124.0)</f>
        <v>6124</v>
      </c>
      <c r="C1497" s="2" t="str">
        <f>IFERROR(__xludf.DUMMYFUNCTION("""COMPUTED_VALUE"""),"Peny Puspa")</f>
        <v>Peny Puspa</v>
      </c>
      <c r="D1497" s="2" t="str">
        <f>IFERROR(__xludf.DUMMYFUNCTION("""COMPUTED_VALUE"""),"5KM OVERALL F")</f>
        <v>5KM OVERALL F</v>
      </c>
      <c r="E1497" s="1">
        <f>IFERROR(__xludf.DUMMYFUNCTION("""COMPUTED_VALUE"""),2.0)</f>
        <v>2</v>
      </c>
      <c r="F1497" s="1" t="str">
        <f>IFERROR(__xludf.DUMMYFUNCTION("""COMPUTED_VALUE"""),"Female")</f>
        <v>Female</v>
      </c>
      <c r="G1497" s="4" t="b">
        <f>IFERROR(__xludf.DUMMYFUNCTION("""COMPUTED_VALUE"""),TRUE)</f>
        <v>1</v>
      </c>
      <c r="H1497" s="4" t="b">
        <f>IFERROR(__xludf.DUMMYFUNCTION("""COMPUTED_VALUE"""),TRUE)</f>
        <v>1</v>
      </c>
      <c r="I1497" s="4">
        <f>IFERROR(__xludf.DUMMYFUNCTION("""COMPUTED_VALUE"""),0.2549440625)</f>
        <v>0.2549440625</v>
      </c>
      <c r="J1497" s="4">
        <f>IFERROR(__xludf.DUMMYFUNCTION("""COMPUTED_VALUE"""),45949.27754057352)</f>
        <v>45949.27754</v>
      </c>
      <c r="K1497" s="4" t="str">
        <f>IFERROR(__xludf.DUMMYFUNCTION("""COMPUTED_VALUE"""),"")</f>
        <v/>
      </c>
      <c r="L1497" s="4">
        <f>IFERROR(__xludf.DUMMYFUNCTION("""COMPUTED_VALUE"""),45949.29482158413)</f>
        <v>45949.29482</v>
      </c>
      <c r="M1497" s="1" t="str">
        <f>IFERROR(__xludf.DUMMYFUNCTION("""COMPUTED_VALUE"""),"RFID")</f>
        <v>RFID</v>
      </c>
      <c r="N1497" s="5">
        <f>IFERROR(__xludf.DUMMYFUNCTION("""COMPUTED_VALUE"""),0.00903860648148148)</f>
        <v>0.009038606481</v>
      </c>
      <c r="O1497" s="5" t="str">
        <f>IFERROR(__xludf.DUMMYFUNCTION("""COMPUTED_VALUE"""),"")</f>
        <v/>
      </c>
      <c r="P1497" s="5" t="str">
        <f>IFERROR(__xludf.DUMMYFUNCTION("""COMPUTED_VALUE"""),"")</f>
        <v/>
      </c>
      <c r="Q1497" s="5">
        <f>IFERROR(__xludf.DUMMYFUNCTION("""COMPUTED_VALUE"""),0.007975504629629631)</f>
        <v>0.00797550463</v>
      </c>
      <c r="R1497" s="4">
        <f>IFERROR(__xludf.DUMMYFUNCTION("""COMPUTED_VALUE"""),45949.03987752163)</f>
        <v>45949.03988</v>
      </c>
      <c r="S1497" s="1" t="b">
        <f>IFERROR(__xludf.DUMMYFUNCTION("""COMPUTED_VALUE"""),TRUE)</f>
        <v>1</v>
      </c>
      <c r="T1497" s="1" t="b">
        <f>IFERROR(__xludf.DUMMYFUNCTION("""COMPUTED_VALUE"""),FALSE)</f>
        <v>0</v>
      </c>
      <c r="U1497" s="1" t="str">
        <f>IFERROR(__xludf.DUMMYFUNCTION("""COMPUTED_VALUE"""),"VALID")</f>
        <v>VALID</v>
      </c>
      <c r="V1497" s="1">
        <f>IFERROR(__xludf.DUMMYFUNCTION("""COMPUTED_VALUE"""),318.0)</f>
        <v>318</v>
      </c>
      <c r="W1497" s="1">
        <f>IFERROR(__xludf.DUMMYFUNCTION("""COMPUTED_VALUE"""),1239.0)</f>
        <v>1239</v>
      </c>
      <c r="X1497" s="1">
        <f>IFERROR(__xludf.DUMMYFUNCTION("""COMPUTED_VALUE"""),385.0)</f>
        <v>385</v>
      </c>
      <c r="Y1497" s="2"/>
      <c r="Z1497" s="2"/>
    </row>
    <row r="1498">
      <c r="A1498" s="1">
        <f>IFERROR(__xludf.DUMMYFUNCTION("""COMPUTED_VALUE"""),1497.0)</f>
        <v>1497</v>
      </c>
      <c r="B1498" s="1">
        <f>IFERROR(__xludf.DUMMYFUNCTION("""COMPUTED_VALUE"""),6125.0)</f>
        <v>6125</v>
      </c>
      <c r="C1498" s="2" t="str">
        <f>IFERROR(__xludf.DUMMYFUNCTION("""COMPUTED_VALUE"""),"monica")</f>
        <v>monica</v>
      </c>
      <c r="D1498" s="2" t="str">
        <f>IFERROR(__xludf.DUMMYFUNCTION("""COMPUTED_VALUE"""),"5KM OVERALL F")</f>
        <v>5KM OVERALL F</v>
      </c>
      <c r="E1498" s="1">
        <f>IFERROR(__xludf.DUMMYFUNCTION("""COMPUTED_VALUE"""),2.0)</f>
        <v>2</v>
      </c>
      <c r="F1498" s="1" t="str">
        <f>IFERROR(__xludf.DUMMYFUNCTION("""COMPUTED_VALUE"""),"Female")</f>
        <v>Female</v>
      </c>
      <c r="G1498" s="4" t="b">
        <f>IFERROR(__xludf.DUMMYFUNCTION("""COMPUTED_VALUE"""),TRUE)</f>
        <v>1</v>
      </c>
      <c r="H1498" s="4" t="b">
        <f>IFERROR(__xludf.DUMMYFUNCTION("""COMPUTED_VALUE"""),TRUE)</f>
        <v>1</v>
      </c>
      <c r="I1498" s="4">
        <f>IFERROR(__xludf.DUMMYFUNCTION("""COMPUTED_VALUE"""),0.2549440625)</f>
        <v>0.2549440625</v>
      </c>
      <c r="J1498" s="4">
        <f>IFERROR(__xludf.DUMMYFUNCTION("""COMPUTED_VALUE"""),45949.277898214445)</f>
        <v>45949.2779</v>
      </c>
      <c r="K1498" s="4" t="str">
        <f>IFERROR(__xludf.DUMMYFUNCTION("""COMPUTED_VALUE"""),"")</f>
        <v/>
      </c>
      <c r="L1498" s="4">
        <f>IFERROR(__xludf.DUMMYFUNCTION("""COMPUTED_VALUE"""),45949.29472380108)</f>
        <v>45949.29472</v>
      </c>
      <c r="M1498" s="1" t="str">
        <f>IFERROR(__xludf.DUMMYFUNCTION("""COMPUTED_VALUE"""),"RFID")</f>
        <v>RFID</v>
      </c>
      <c r="N1498" s="5">
        <f>IFERROR(__xludf.DUMMYFUNCTION("""COMPUTED_VALUE"""),0.009181662037037037)</f>
        <v>0.009181662037</v>
      </c>
      <c r="O1498" s="5" t="str">
        <f>IFERROR(__xludf.DUMMYFUNCTION("""COMPUTED_VALUE"""),"")</f>
        <v/>
      </c>
      <c r="P1498" s="5" t="str">
        <f>IFERROR(__xludf.DUMMYFUNCTION("""COMPUTED_VALUE"""),"")</f>
        <v/>
      </c>
      <c r="Q1498" s="5">
        <f>IFERROR(__xludf.DUMMYFUNCTION("""COMPUTED_VALUE"""),0.00795594675925926)</f>
        <v>0.007955946759</v>
      </c>
      <c r="R1498" s="4">
        <f>IFERROR(__xludf.DUMMYFUNCTION("""COMPUTED_VALUE"""),45949.03977973858)</f>
        <v>45949.03978</v>
      </c>
      <c r="S1498" s="1" t="b">
        <f>IFERROR(__xludf.DUMMYFUNCTION("""COMPUTED_VALUE"""),TRUE)</f>
        <v>1</v>
      </c>
      <c r="T1498" s="1" t="b">
        <f>IFERROR(__xludf.DUMMYFUNCTION("""COMPUTED_VALUE"""),FALSE)</f>
        <v>0</v>
      </c>
      <c r="U1498" s="1" t="str">
        <f>IFERROR(__xludf.DUMMYFUNCTION("""COMPUTED_VALUE"""),"VALID")</f>
        <v>VALID</v>
      </c>
      <c r="V1498" s="1">
        <f>IFERROR(__xludf.DUMMYFUNCTION("""COMPUTED_VALUE"""),314.0)</f>
        <v>314</v>
      </c>
      <c r="W1498" s="1">
        <f>IFERROR(__xludf.DUMMYFUNCTION("""COMPUTED_VALUE"""),1233.0)</f>
        <v>1233</v>
      </c>
      <c r="X1498" s="1">
        <f>IFERROR(__xludf.DUMMYFUNCTION("""COMPUTED_VALUE"""),380.0)</f>
        <v>380</v>
      </c>
      <c r="Y1498" s="2"/>
      <c r="Z1498" s="2"/>
    </row>
    <row r="1499">
      <c r="A1499" s="1">
        <f>IFERROR(__xludf.DUMMYFUNCTION("""COMPUTED_VALUE"""),1498.0)</f>
        <v>1498</v>
      </c>
      <c r="B1499" s="1">
        <f>IFERROR(__xludf.DUMMYFUNCTION("""COMPUTED_VALUE"""),6127.0)</f>
        <v>6127</v>
      </c>
      <c r="C1499" s="2" t="str">
        <f>IFERROR(__xludf.DUMMYFUNCTION("""COMPUTED_VALUE"""),"ENJ")</f>
        <v>ENJ</v>
      </c>
      <c r="D1499" s="2" t="str">
        <f>IFERROR(__xludf.DUMMYFUNCTION("""COMPUTED_VALUE"""),"5KM OVERALL F")</f>
        <v>5KM OVERALL F</v>
      </c>
      <c r="E1499" s="1">
        <f>IFERROR(__xludf.DUMMYFUNCTION("""COMPUTED_VALUE"""),2.0)</f>
        <v>2</v>
      </c>
      <c r="F1499" s="1" t="str">
        <f>IFERROR(__xludf.DUMMYFUNCTION("""COMPUTED_VALUE"""),"Female")</f>
        <v>Female</v>
      </c>
      <c r="G1499" s="4" t="b">
        <f>IFERROR(__xludf.DUMMYFUNCTION("""COMPUTED_VALUE"""),TRUE)</f>
        <v>1</v>
      </c>
      <c r="H1499" s="4" t="b">
        <f>IFERROR(__xludf.DUMMYFUNCTION("""COMPUTED_VALUE"""),TRUE)</f>
        <v>1</v>
      </c>
      <c r="I1499" s="4">
        <f>IFERROR(__xludf.DUMMYFUNCTION("""COMPUTED_VALUE"""),0.2549440625)</f>
        <v>0.2549440625</v>
      </c>
      <c r="J1499" s="4">
        <f>IFERROR(__xludf.DUMMYFUNCTION("""COMPUTED_VALUE"""),45949.27595382428)</f>
        <v>45949.27595</v>
      </c>
      <c r="K1499" s="4" t="str">
        <f>IFERROR(__xludf.DUMMYFUNCTION("""COMPUTED_VALUE"""),"")</f>
        <v/>
      </c>
      <c r="L1499" s="4">
        <f>IFERROR(__xludf.DUMMYFUNCTION("""COMPUTED_VALUE"""),45949.29214388296)</f>
        <v>45949.29214</v>
      </c>
      <c r="M1499" s="1" t="str">
        <f>IFERROR(__xludf.DUMMYFUNCTION("""COMPUTED_VALUE"""),"RFID")</f>
        <v>RFID</v>
      </c>
      <c r="N1499" s="5">
        <f>IFERROR(__xludf.DUMMYFUNCTION("""COMPUTED_VALUE"""),0.008403902777777777)</f>
        <v>0.008403902778</v>
      </c>
      <c r="O1499" s="5" t="str">
        <f>IFERROR(__xludf.DUMMYFUNCTION("""COMPUTED_VALUE"""),"")</f>
        <v/>
      </c>
      <c r="P1499" s="5" t="str">
        <f>IFERROR(__xludf.DUMMYFUNCTION("""COMPUTED_VALUE"""),"")</f>
        <v/>
      </c>
      <c r="Q1499" s="5">
        <f>IFERROR(__xludf.DUMMYFUNCTION("""COMPUTED_VALUE"""),0.0074399629629629625)</f>
        <v>0.007439962963</v>
      </c>
      <c r="R1499" s="4">
        <f>IFERROR(__xludf.DUMMYFUNCTION("""COMPUTED_VALUE"""),45949.03719982046)</f>
        <v>45949.0372</v>
      </c>
      <c r="S1499" s="1" t="b">
        <f>IFERROR(__xludf.DUMMYFUNCTION("""COMPUTED_VALUE"""),TRUE)</f>
        <v>1</v>
      </c>
      <c r="T1499" s="1" t="b">
        <f>IFERROR(__xludf.DUMMYFUNCTION("""COMPUTED_VALUE"""),FALSE)</f>
        <v>0</v>
      </c>
      <c r="U1499" s="1" t="str">
        <f>IFERROR(__xludf.DUMMYFUNCTION("""COMPUTED_VALUE"""),"VALID")</f>
        <v>VALID</v>
      </c>
      <c r="V1499" s="1">
        <f>IFERROR(__xludf.DUMMYFUNCTION("""COMPUTED_VALUE"""),226.0)</f>
        <v>226</v>
      </c>
      <c r="W1499" s="1">
        <f>IFERROR(__xludf.DUMMYFUNCTION("""COMPUTED_VALUE"""),1040.0)</f>
        <v>1040</v>
      </c>
      <c r="X1499" s="1">
        <f>IFERROR(__xludf.DUMMYFUNCTION("""COMPUTED_VALUE"""),279.0)</f>
        <v>279</v>
      </c>
      <c r="Y1499" s="2"/>
      <c r="Z1499" s="2"/>
    </row>
    <row r="1500">
      <c r="A1500" s="1">
        <f>IFERROR(__xludf.DUMMYFUNCTION("""COMPUTED_VALUE"""),1499.0)</f>
        <v>1499</v>
      </c>
      <c r="B1500" s="1">
        <f>IFERROR(__xludf.DUMMYFUNCTION("""COMPUTED_VALUE"""),6130.0)</f>
        <v>6130</v>
      </c>
      <c r="C1500" s="2" t="str">
        <f>IFERROR(__xludf.DUMMYFUNCTION("""COMPUTED_VALUE"""),"NINA MARTA SINTIA")</f>
        <v>NINA MARTA SINTIA</v>
      </c>
      <c r="D1500" s="2" t="str">
        <f>IFERROR(__xludf.DUMMYFUNCTION("""COMPUTED_VALUE"""),"5KM OVERALL F")</f>
        <v>5KM OVERALL F</v>
      </c>
      <c r="E1500" s="1">
        <f>IFERROR(__xludf.DUMMYFUNCTION("""COMPUTED_VALUE"""),2.0)</f>
        <v>2</v>
      </c>
      <c r="F1500" s="1" t="str">
        <f>IFERROR(__xludf.DUMMYFUNCTION("""COMPUTED_VALUE"""),"Female")</f>
        <v>Female</v>
      </c>
      <c r="G1500" s="4" t="b">
        <f>IFERROR(__xludf.DUMMYFUNCTION("""COMPUTED_VALUE"""),TRUE)</f>
        <v>1</v>
      </c>
      <c r="H1500" s="4" t="b">
        <f>IFERROR(__xludf.DUMMYFUNCTION("""COMPUTED_VALUE"""),FALSE)</f>
        <v>0</v>
      </c>
      <c r="I1500" s="4">
        <f>IFERROR(__xludf.DUMMYFUNCTION("""COMPUTED_VALUE"""),0.2549440625)</f>
        <v>0.2549440625</v>
      </c>
      <c r="J1500" s="4">
        <f>IFERROR(__xludf.DUMMYFUNCTION("""COMPUTED_VALUE"""),45949.27433630021)</f>
        <v>45949.27434</v>
      </c>
      <c r="K1500" s="4" t="str">
        <f>IFERROR(__xludf.DUMMYFUNCTION("""COMPUTED_VALUE"""),"")</f>
        <v/>
      </c>
      <c r="L1500" s="4">
        <f>IFERROR(__xludf.DUMMYFUNCTION("""COMPUTED_VALUE"""),45949.28838350732)</f>
        <v>45949.28838</v>
      </c>
      <c r="M1500" s="1" t="str">
        <f>IFERROR(__xludf.DUMMYFUNCTION("""COMPUTED_VALUE"""),"RFID")</f>
        <v>RFID</v>
      </c>
      <c r="N1500" s="5">
        <f>IFERROR(__xludf.DUMMYFUNCTION("""COMPUTED_VALUE"""),0.007756893518518519)</f>
        <v>0.007756893519</v>
      </c>
      <c r="O1500" s="5" t="str">
        <f>IFERROR(__xludf.DUMMYFUNCTION("""COMPUTED_VALUE"""),"")</f>
        <v/>
      </c>
      <c r="P1500" s="5" t="str">
        <f>IFERROR(__xludf.DUMMYFUNCTION("""COMPUTED_VALUE"""),"")</f>
        <v/>
      </c>
      <c r="Q1500" s="5">
        <f>IFERROR(__xludf.DUMMYFUNCTION("""COMPUTED_VALUE"""),0.006687888888888889)</f>
        <v>0.006687888889</v>
      </c>
      <c r="R1500" s="4">
        <f>IFERROR(__xludf.DUMMYFUNCTION("""COMPUTED_VALUE"""),45949.03343944482)</f>
        <v>45949.03344</v>
      </c>
      <c r="S1500" s="1" t="b">
        <f>IFERROR(__xludf.DUMMYFUNCTION("""COMPUTED_VALUE"""),TRUE)</f>
        <v>1</v>
      </c>
      <c r="T1500" s="1" t="b">
        <f>IFERROR(__xludf.DUMMYFUNCTION("""COMPUTED_VALUE"""),FALSE)</f>
        <v>0</v>
      </c>
      <c r="U1500" s="1" t="str">
        <f>IFERROR(__xludf.DUMMYFUNCTION("""COMPUTED_VALUE"""),"VALID")</f>
        <v>VALID</v>
      </c>
      <c r="V1500" s="1">
        <f>IFERROR(__xludf.DUMMYFUNCTION("""COMPUTED_VALUE"""),138.0)</f>
        <v>138</v>
      </c>
      <c r="W1500" s="1">
        <f>IFERROR(__xludf.DUMMYFUNCTION("""COMPUTED_VALUE"""),804.0)</f>
        <v>804</v>
      </c>
      <c r="X1500" s="1">
        <f>IFERROR(__xludf.DUMMYFUNCTION("""COMPUTED_VALUE"""),172.0)</f>
        <v>172</v>
      </c>
      <c r="Y1500" s="2"/>
      <c r="Z1500" s="2"/>
    </row>
    <row r="1501">
      <c r="A1501" s="1">
        <f>IFERROR(__xludf.DUMMYFUNCTION("""COMPUTED_VALUE"""),1500.0)</f>
        <v>1500</v>
      </c>
      <c r="B1501" s="1">
        <f>IFERROR(__xludf.DUMMYFUNCTION("""COMPUTED_VALUE"""),6131.0)</f>
        <v>6131</v>
      </c>
      <c r="C1501" s="2" t="str">
        <f>IFERROR(__xludf.DUMMYFUNCTION("""COMPUTED_VALUE"""),"NOVIE")</f>
        <v>NOVIE</v>
      </c>
      <c r="D1501" s="2" t="str">
        <f>IFERROR(__xludf.DUMMYFUNCTION("""COMPUTED_VALUE"""),"5KM OVERALL F")</f>
        <v>5KM OVERALL F</v>
      </c>
      <c r="E1501" s="1">
        <f>IFERROR(__xludf.DUMMYFUNCTION("""COMPUTED_VALUE"""),2.0)</f>
        <v>2</v>
      </c>
      <c r="F1501" s="1" t="str">
        <f>IFERROR(__xludf.DUMMYFUNCTION("""COMPUTED_VALUE"""),"Female")</f>
        <v>Female</v>
      </c>
      <c r="G1501" s="4" t="str">
        <f>IFERROR(__xludf.DUMMYFUNCTION("""COMPUTED_VALUE"""),"")</f>
        <v/>
      </c>
      <c r="H1501" s="4" t="b">
        <f>IFERROR(__xludf.DUMMYFUNCTION("""COMPUTED_VALUE"""),TRUE)</f>
        <v>1</v>
      </c>
      <c r="I1501" s="4">
        <f>IFERROR(__xludf.DUMMYFUNCTION("""COMPUTED_VALUE"""),0.2549440625)</f>
        <v>0.2549440625</v>
      </c>
      <c r="J1501" s="4">
        <f>IFERROR(__xludf.DUMMYFUNCTION("""COMPUTED_VALUE"""),45949.29135661022)</f>
        <v>45949.29136</v>
      </c>
      <c r="K1501" s="4" t="str">
        <f>IFERROR(__xludf.DUMMYFUNCTION("""COMPUTED_VALUE"""),"")</f>
        <v/>
      </c>
      <c r="L1501" s="4">
        <f>IFERROR(__xludf.DUMMYFUNCTION("""COMPUTED_VALUE"""),45949.30814044644)</f>
        <v>45949.30814</v>
      </c>
      <c r="M1501" s="1" t="str">
        <f>IFERROR(__xludf.DUMMYFUNCTION("""COMPUTED_VALUE"""),"RFID")</f>
        <v>RFID</v>
      </c>
      <c r="N1501" s="5">
        <f>IFERROR(__xludf.DUMMYFUNCTION("""COMPUTED_VALUE"""),0.014565018518518519)</f>
        <v>0.01456501852</v>
      </c>
      <c r="O1501" s="5" t="str">
        <f>IFERROR(__xludf.DUMMYFUNCTION("""COMPUTED_VALUE"""),"")</f>
        <v/>
      </c>
      <c r="P1501" s="5" t="str">
        <f>IFERROR(__xludf.DUMMYFUNCTION("""COMPUTED_VALUE"""),"")</f>
        <v/>
      </c>
      <c r="Q1501" s="5">
        <f>IFERROR(__xludf.DUMMYFUNCTION("""COMPUTED_VALUE"""),0.010639277777777777)</f>
        <v>0.01063927778</v>
      </c>
      <c r="R1501" s="4">
        <f>IFERROR(__xludf.DUMMYFUNCTION("""COMPUTED_VALUE"""),45949.05319638394)</f>
        <v>45949.0532</v>
      </c>
      <c r="S1501" s="1" t="b">
        <f>IFERROR(__xludf.DUMMYFUNCTION("""COMPUTED_VALUE"""),TRUE)</f>
        <v>1</v>
      </c>
      <c r="T1501" s="1" t="b">
        <f>IFERROR(__xludf.DUMMYFUNCTION("""COMPUTED_VALUE"""),FALSE)</f>
        <v>0</v>
      </c>
      <c r="U1501" s="1" t="str">
        <f>IFERROR(__xludf.DUMMYFUNCTION("""COMPUTED_VALUE"""),"VALID")</f>
        <v>VALID</v>
      </c>
      <c r="V1501" s="1">
        <f>IFERROR(__xludf.DUMMYFUNCTION("""COMPUTED_VALUE"""),495.0)</f>
        <v>495</v>
      </c>
      <c r="W1501" s="1">
        <f>IFERROR(__xludf.DUMMYFUNCTION("""COMPUTED_VALUE"""),1589.0)</f>
        <v>1589</v>
      </c>
      <c r="X1501" s="1">
        <f>IFERROR(__xludf.DUMMYFUNCTION("""COMPUTED_VALUE"""),614.0)</f>
        <v>614</v>
      </c>
      <c r="Y1501" s="2"/>
      <c r="Z1501" s="2"/>
    </row>
    <row r="1502">
      <c r="A1502" s="1">
        <f>IFERROR(__xludf.DUMMYFUNCTION("""COMPUTED_VALUE"""),1501.0)</f>
        <v>1501</v>
      </c>
      <c r="B1502" s="1">
        <f>IFERROR(__xludf.DUMMYFUNCTION("""COMPUTED_VALUE"""),6134.0)</f>
        <v>6134</v>
      </c>
      <c r="C1502" s="2" t="str">
        <f>IFERROR(__xludf.DUMMYFUNCTION("""COMPUTED_VALUE"""),"cahya")</f>
        <v>cahya</v>
      </c>
      <c r="D1502" s="2" t="str">
        <f>IFERROR(__xludf.DUMMYFUNCTION("""COMPUTED_VALUE"""),"5KM OVERALL F")</f>
        <v>5KM OVERALL F</v>
      </c>
      <c r="E1502" s="1">
        <f>IFERROR(__xludf.DUMMYFUNCTION("""COMPUTED_VALUE"""),2.0)</f>
        <v>2</v>
      </c>
      <c r="F1502" s="1" t="str">
        <f>IFERROR(__xludf.DUMMYFUNCTION("""COMPUTED_VALUE"""),"Female")</f>
        <v>Female</v>
      </c>
      <c r="G1502" s="4" t="b">
        <f>IFERROR(__xludf.DUMMYFUNCTION("""COMPUTED_VALUE"""),TRUE)</f>
        <v>1</v>
      </c>
      <c r="H1502" s="4" t="b">
        <f>IFERROR(__xludf.DUMMYFUNCTION("""COMPUTED_VALUE"""),FALSE)</f>
        <v>0</v>
      </c>
      <c r="I1502" s="4">
        <f>IFERROR(__xludf.DUMMYFUNCTION("""COMPUTED_VALUE"""),0.2549440625)</f>
        <v>0.2549440625</v>
      </c>
      <c r="J1502" s="4">
        <f>IFERROR(__xludf.DUMMYFUNCTION("""COMPUTED_VALUE"""),45949.27630795362)</f>
        <v>45949.27631</v>
      </c>
      <c r="K1502" s="4" t="str">
        <f>IFERROR(__xludf.DUMMYFUNCTION("""COMPUTED_VALUE"""),"")</f>
        <v/>
      </c>
      <c r="L1502" s="4">
        <f>IFERROR(__xludf.DUMMYFUNCTION("""COMPUTED_VALUE"""),45949.29131060646)</f>
        <v>45949.29131</v>
      </c>
      <c r="M1502" s="1" t="str">
        <f>IFERROR(__xludf.DUMMYFUNCTION("""COMPUTED_VALUE"""),"RFID")</f>
        <v>RFID</v>
      </c>
      <c r="N1502" s="5">
        <f>IFERROR(__xludf.DUMMYFUNCTION("""COMPUTED_VALUE"""),0.008545555555555555)</f>
        <v>0.008545555556</v>
      </c>
      <c r="O1502" s="5" t="str">
        <f>IFERROR(__xludf.DUMMYFUNCTION("""COMPUTED_VALUE"""),"")</f>
        <v/>
      </c>
      <c r="P1502" s="5" t="str">
        <f>IFERROR(__xludf.DUMMYFUNCTION("""COMPUTED_VALUE"""),"")</f>
        <v/>
      </c>
      <c r="Q1502" s="5">
        <f>IFERROR(__xludf.DUMMYFUNCTION("""COMPUTED_VALUE"""),0.00727330787037037)</f>
        <v>0.00727330787</v>
      </c>
      <c r="R1502" s="4">
        <f>IFERROR(__xludf.DUMMYFUNCTION("""COMPUTED_VALUE"""),45949.03636654396)</f>
        <v>45949.03637</v>
      </c>
      <c r="S1502" s="1" t="b">
        <f>IFERROR(__xludf.DUMMYFUNCTION("""COMPUTED_VALUE"""),TRUE)</f>
        <v>1</v>
      </c>
      <c r="T1502" s="1" t="b">
        <f>IFERROR(__xludf.DUMMYFUNCTION("""COMPUTED_VALUE"""),FALSE)</f>
        <v>0</v>
      </c>
      <c r="U1502" s="1" t="str">
        <f>IFERROR(__xludf.DUMMYFUNCTION("""COMPUTED_VALUE"""),"VALID")</f>
        <v>VALID</v>
      </c>
      <c r="V1502" s="1">
        <f>IFERROR(__xludf.DUMMYFUNCTION("""COMPUTED_VALUE"""),198.0)</f>
        <v>198</v>
      </c>
      <c r="W1502" s="1">
        <f>IFERROR(__xludf.DUMMYFUNCTION("""COMPUTED_VALUE"""),985.0)</f>
        <v>985</v>
      </c>
      <c r="X1502" s="1">
        <f>IFERROR(__xludf.DUMMYFUNCTION("""COMPUTED_VALUE"""),249.0)</f>
        <v>249</v>
      </c>
      <c r="Y1502" s="2"/>
      <c r="Z1502" s="2"/>
    </row>
    <row r="1503">
      <c r="A1503" s="1">
        <f>IFERROR(__xludf.DUMMYFUNCTION("""COMPUTED_VALUE"""),1502.0)</f>
        <v>1502</v>
      </c>
      <c r="B1503" s="1">
        <f>IFERROR(__xludf.DUMMYFUNCTION("""COMPUTED_VALUE"""),6135.0)</f>
        <v>6135</v>
      </c>
      <c r="C1503" s="2" t="str">
        <f>IFERROR(__xludf.DUMMYFUNCTION("""COMPUTED_VALUE"""),"tiwi")</f>
        <v>tiwi</v>
      </c>
      <c r="D1503" s="2" t="str">
        <f>IFERROR(__xludf.DUMMYFUNCTION("""COMPUTED_VALUE"""),"5KM OVERALL F")</f>
        <v>5KM OVERALL F</v>
      </c>
      <c r="E1503" s="1">
        <f>IFERROR(__xludf.DUMMYFUNCTION("""COMPUTED_VALUE"""),2.0)</f>
        <v>2</v>
      </c>
      <c r="F1503" s="1" t="str">
        <f>IFERROR(__xludf.DUMMYFUNCTION("""COMPUTED_VALUE"""),"Female")</f>
        <v>Female</v>
      </c>
      <c r="G1503" s="4" t="b">
        <f>IFERROR(__xludf.DUMMYFUNCTION("""COMPUTED_VALUE"""),TRUE)</f>
        <v>1</v>
      </c>
      <c r="H1503" s="4" t="b">
        <f>IFERROR(__xludf.DUMMYFUNCTION("""COMPUTED_VALUE"""),FALSE)</f>
        <v>0</v>
      </c>
      <c r="I1503" s="4">
        <f>IFERROR(__xludf.DUMMYFUNCTION("""COMPUTED_VALUE"""),0.2549440625)</f>
        <v>0.2549440625</v>
      </c>
      <c r="J1503" s="4">
        <f>IFERROR(__xludf.DUMMYFUNCTION("""COMPUTED_VALUE"""),45949.2752003521)</f>
        <v>45949.2752</v>
      </c>
      <c r="K1503" s="4" t="str">
        <f>IFERROR(__xludf.DUMMYFUNCTION("""COMPUTED_VALUE"""),"")</f>
        <v/>
      </c>
      <c r="L1503" s="4">
        <f>IFERROR(__xludf.DUMMYFUNCTION("""COMPUTED_VALUE"""),45949.288393930234)</f>
        <v>45949.28839</v>
      </c>
      <c r="M1503" s="1" t="str">
        <f>IFERROR(__xludf.DUMMYFUNCTION("""COMPUTED_VALUE"""),"RFID")</f>
        <v>RFID</v>
      </c>
      <c r="N1503" s="5">
        <f>IFERROR(__xludf.DUMMYFUNCTION("""COMPUTED_VALUE"""),0.008102513888888888)</f>
        <v>0.008102513889</v>
      </c>
      <c r="O1503" s="5" t="str">
        <f>IFERROR(__xludf.DUMMYFUNCTION("""COMPUTED_VALUE"""),"")</f>
        <v/>
      </c>
      <c r="P1503" s="5" t="str">
        <f>IFERROR(__xludf.DUMMYFUNCTION("""COMPUTED_VALUE"""),"")</f>
        <v/>
      </c>
      <c r="Q1503" s="5">
        <f>IFERROR(__xludf.DUMMYFUNCTION("""COMPUTED_VALUE"""),0.006689974537037037)</f>
        <v>0.006689974537</v>
      </c>
      <c r="R1503" s="4">
        <f>IFERROR(__xludf.DUMMYFUNCTION("""COMPUTED_VALUE"""),45949.03344986773)</f>
        <v>45949.03345</v>
      </c>
      <c r="S1503" s="1" t="b">
        <f>IFERROR(__xludf.DUMMYFUNCTION("""COMPUTED_VALUE"""),TRUE)</f>
        <v>1</v>
      </c>
      <c r="T1503" s="1" t="b">
        <f>IFERROR(__xludf.DUMMYFUNCTION("""COMPUTED_VALUE"""),FALSE)</f>
        <v>0</v>
      </c>
      <c r="U1503" s="1" t="str">
        <f>IFERROR(__xludf.DUMMYFUNCTION("""COMPUTED_VALUE"""),"VALID")</f>
        <v>VALID</v>
      </c>
      <c r="V1503" s="1">
        <f>IFERROR(__xludf.DUMMYFUNCTION("""COMPUTED_VALUE"""),139.0)</f>
        <v>139</v>
      </c>
      <c r="W1503" s="1">
        <f>IFERROR(__xludf.DUMMYFUNCTION("""COMPUTED_VALUE"""),805.0)</f>
        <v>805</v>
      </c>
      <c r="X1503" s="1">
        <f>IFERROR(__xludf.DUMMYFUNCTION("""COMPUTED_VALUE"""),173.0)</f>
        <v>173</v>
      </c>
      <c r="Y1503" s="2"/>
      <c r="Z1503" s="2"/>
    </row>
    <row r="1504">
      <c r="A1504" s="1">
        <f>IFERROR(__xludf.DUMMYFUNCTION("""COMPUTED_VALUE"""),1503.0)</f>
        <v>1503</v>
      </c>
      <c r="B1504" s="1">
        <f>IFERROR(__xludf.DUMMYFUNCTION("""COMPUTED_VALUE"""),6149.0)</f>
        <v>6149</v>
      </c>
      <c r="C1504" s="2" t="str">
        <f>IFERROR(__xludf.DUMMYFUNCTION("""COMPUTED_VALUE"""),"wxnda")</f>
        <v>wxnda</v>
      </c>
      <c r="D1504" s="2" t="str">
        <f>IFERROR(__xludf.DUMMYFUNCTION("""COMPUTED_VALUE"""),"5KM OVERALL F")</f>
        <v>5KM OVERALL F</v>
      </c>
      <c r="E1504" s="1">
        <f>IFERROR(__xludf.DUMMYFUNCTION("""COMPUTED_VALUE"""),2.0)</f>
        <v>2</v>
      </c>
      <c r="F1504" s="1" t="str">
        <f>IFERROR(__xludf.DUMMYFUNCTION("""COMPUTED_VALUE"""),"Female")</f>
        <v>Female</v>
      </c>
      <c r="G1504" s="4" t="b">
        <f>IFERROR(__xludf.DUMMYFUNCTION("""COMPUTED_VALUE"""),TRUE)</f>
        <v>1</v>
      </c>
      <c r="H1504" s="4" t="b">
        <f>IFERROR(__xludf.DUMMYFUNCTION("""COMPUTED_VALUE"""),TRUE)</f>
        <v>1</v>
      </c>
      <c r="I1504" s="4">
        <f>IFERROR(__xludf.DUMMYFUNCTION("""COMPUTED_VALUE"""),0.2549440625)</f>
        <v>0.2549440625</v>
      </c>
      <c r="J1504" s="4">
        <f>IFERROR(__xludf.DUMMYFUNCTION("""COMPUTED_VALUE"""),45949.27829057568)</f>
        <v>45949.27829</v>
      </c>
      <c r="K1504" s="4" t="str">
        <f>IFERROR(__xludf.DUMMYFUNCTION("""COMPUTED_VALUE"""),"")</f>
        <v/>
      </c>
      <c r="L1504" s="4">
        <f>IFERROR(__xludf.DUMMYFUNCTION("""COMPUTED_VALUE"""),45949.29376546621)</f>
        <v>45949.29377</v>
      </c>
      <c r="M1504" s="1" t="str">
        <f>IFERROR(__xludf.DUMMYFUNCTION("""COMPUTED_VALUE"""),"RFID")</f>
        <v>RFID</v>
      </c>
      <c r="N1504" s="5">
        <f>IFERROR(__xludf.DUMMYFUNCTION("""COMPUTED_VALUE"""),0.00933860648148148)</f>
        <v>0.009338606481</v>
      </c>
      <c r="O1504" s="5" t="str">
        <f>IFERROR(__xludf.DUMMYFUNCTION("""COMPUTED_VALUE"""),"")</f>
        <v/>
      </c>
      <c r="P1504" s="5" t="str">
        <f>IFERROR(__xludf.DUMMYFUNCTION("""COMPUTED_VALUE"""),"")</f>
        <v/>
      </c>
      <c r="Q1504" s="5">
        <f>IFERROR(__xludf.DUMMYFUNCTION("""COMPUTED_VALUE"""),0.007764280092592592)</f>
        <v>0.007764280093</v>
      </c>
      <c r="R1504" s="4">
        <f>IFERROR(__xludf.DUMMYFUNCTION("""COMPUTED_VALUE"""),45949.03882140371)</f>
        <v>45949.03882</v>
      </c>
      <c r="S1504" s="1" t="b">
        <f>IFERROR(__xludf.DUMMYFUNCTION("""COMPUTED_VALUE"""),TRUE)</f>
        <v>1</v>
      </c>
      <c r="T1504" s="1" t="b">
        <f>IFERROR(__xludf.DUMMYFUNCTION("""COMPUTED_VALUE"""),FALSE)</f>
        <v>0</v>
      </c>
      <c r="U1504" s="1" t="str">
        <f>IFERROR(__xludf.DUMMYFUNCTION("""COMPUTED_VALUE"""),"VALID")</f>
        <v>VALID</v>
      </c>
      <c r="V1504" s="1">
        <f>IFERROR(__xludf.DUMMYFUNCTION("""COMPUTED_VALUE"""),278.0)</f>
        <v>278</v>
      </c>
      <c r="W1504" s="1">
        <f>IFERROR(__xludf.DUMMYFUNCTION("""COMPUTED_VALUE"""),1158.0)</f>
        <v>1158</v>
      </c>
      <c r="X1504" s="1">
        <f>IFERROR(__xludf.DUMMYFUNCTION("""COMPUTED_VALUE"""),337.0)</f>
        <v>337</v>
      </c>
      <c r="Y1504" s="2"/>
      <c r="Z1504" s="2"/>
    </row>
    <row r="1505">
      <c r="A1505" s="1">
        <f>IFERROR(__xludf.DUMMYFUNCTION("""COMPUTED_VALUE"""),1504.0)</f>
        <v>1504</v>
      </c>
      <c r="B1505" s="1">
        <f>IFERROR(__xludf.DUMMYFUNCTION("""COMPUTED_VALUE"""),6150.0)</f>
        <v>6150</v>
      </c>
      <c r="C1505" s="2" t="str">
        <f>IFERROR(__xludf.DUMMYFUNCTION("""COMPUTED_VALUE"""),"Laily Aryani")</f>
        <v>Laily Aryani</v>
      </c>
      <c r="D1505" s="2" t="str">
        <f>IFERROR(__xludf.DUMMYFUNCTION("""COMPUTED_VALUE"""),"5KM OVERALL F")</f>
        <v>5KM OVERALL F</v>
      </c>
      <c r="E1505" s="1">
        <f>IFERROR(__xludf.DUMMYFUNCTION("""COMPUTED_VALUE"""),2.0)</f>
        <v>2</v>
      </c>
      <c r="F1505" s="1" t="str">
        <f>IFERROR(__xludf.DUMMYFUNCTION("""COMPUTED_VALUE"""),"Female")</f>
        <v>Female</v>
      </c>
      <c r="G1505" s="4" t="b">
        <f>IFERROR(__xludf.DUMMYFUNCTION("""COMPUTED_VALUE"""),TRUE)</f>
        <v>1</v>
      </c>
      <c r="H1505" s="4" t="b">
        <f>IFERROR(__xludf.DUMMYFUNCTION("""COMPUTED_VALUE"""),FALSE)</f>
        <v>0</v>
      </c>
      <c r="I1505" s="4">
        <f>IFERROR(__xludf.DUMMYFUNCTION("""COMPUTED_VALUE"""),0.2549440625)</f>
        <v>0.2549440625</v>
      </c>
      <c r="J1505" s="4">
        <f>IFERROR(__xludf.DUMMYFUNCTION("""COMPUTED_VALUE"""),45949.277842679025)</f>
        <v>45949.27784</v>
      </c>
      <c r="K1505" s="4" t="str">
        <f>IFERROR(__xludf.DUMMYFUNCTION("""COMPUTED_VALUE"""),"")</f>
        <v/>
      </c>
      <c r="L1505" s="4">
        <f>IFERROR(__xludf.DUMMYFUNCTION("""COMPUTED_VALUE"""),45949.29563003947)</f>
        <v>45949.29563</v>
      </c>
      <c r="M1505" s="1" t="str">
        <f>IFERROR(__xludf.DUMMYFUNCTION("""COMPUTED_VALUE"""),"RFID")</f>
        <v>RFID</v>
      </c>
      <c r="N1505" s="5">
        <f>IFERROR(__xludf.DUMMYFUNCTION("""COMPUTED_VALUE"""),0.009159444444444446)</f>
        <v>0.009159444444</v>
      </c>
      <c r="O1505" s="5" t="str">
        <f>IFERROR(__xludf.DUMMYFUNCTION("""COMPUTED_VALUE"""),"")</f>
        <v/>
      </c>
      <c r="P1505" s="5" t="str">
        <f>IFERROR(__xludf.DUMMYFUNCTION("""COMPUTED_VALUE"""),"")</f>
        <v/>
      </c>
      <c r="Q1505" s="5">
        <f>IFERROR(__xludf.DUMMYFUNCTION("""COMPUTED_VALUE"""),0.008137194444444443)</f>
        <v>0.008137194444</v>
      </c>
      <c r="R1505" s="4">
        <f>IFERROR(__xludf.DUMMYFUNCTION("""COMPUTED_VALUE"""),45949.04068597697)</f>
        <v>45949.04069</v>
      </c>
      <c r="S1505" s="1" t="b">
        <f>IFERROR(__xludf.DUMMYFUNCTION("""COMPUTED_VALUE"""),TRUE)</f>
        <v>1</v>
      </c>
      <c r="T1505" s="1" t="b">
        <f>IFERROR(__xludf.DUMMYFUNCTION("""COMPUTED_VALUE"""),FALSE)</f>
        <v>0</v>
      </c>
      <c r="U1505" s="1" t="str">
        <f>IFERROR(__xludf.DUMMYFUNCTION("""COMPUTED_VALUE"""),"VALID")</f>
        <v>VALID</v>
      </c>
      <c r="V1505" s="1">
        <f>IFERROR(__xludf.DUMMYFUNCTION("""COMPUTED_VALUE"""),333.0)</f>
        <v>333</v>
      </c>
      <c r="W1505" s="1">
        <f>IFERROR(__xludf.DUMMYFUNCTION("""COMPUTED_VALUE"""),1276.0)</f>
        <v>1276</v>
      </c>
      <c r="X1505" s="1">
        <f>IFERROR(__xludf.DUMMYFUNCTION("""COMPUTED_VALUE"""),403.0)</f>
        <v>403</v>
      </c>
      <c r="Y1505" s="2"/>
      <c r="Z1505" s="2"/>
    </row>
    <row r="1506">
      <c r="A1506" s="1">
        <f>IFERROR(__xludf.DUMMYFUNCTION("""COMPUTED_VALUE"""),1505.0)</f>
        <v>1505</v>
      </c>
      <c r="B1506" s="1">
        <f>IFERROR(__xludf.DUMMYFUNCTION("""COMPUTED_VALUE"""),6160.0)</f>
        <v>6160</v>
      </c>
      <c r="C1506" s="2" t="str">
        <f>IFERROR(__xludf.DUMMYFUNCTION("""COMPUTED_VALUE"""),"Cimas")</f>
        <v>Cimas</v>
      </c>
      <c r="D1506" s="2" t="str">
        <f>IFERROR(__xludf.DUMMYFUNCTION("""COMPUTED_VALUE"""),"5KM OVERALL F")</f>
        <v>5KM OVERALL F</v>
      </c>
      <c r="E1506" s="1">
        <f>IFERROR(__xludf.DUMMYFUNCTION("""COMPUTED_VALUE"""),2.0)</f>
        <v>2</v>
      </c>
      <c r="F1506" s="1" t="str">
        <f>IFERROR(__xludf.DUMMYFUNCTION("""COMPUTED_VALUE"""),"Female")</f>
        <v>Female</v>
      </c>
      <c r="G1506" s="4" t="b">
        <f>IFERROR(__xludf.DUMMYFUNCTION("""COMPUTED_VALUE"""),TRUE)</f>
        <v>1</v>
      </c>
      <c r="H1506" s="4" t="b">
        <f>IFERROR(__xludf.DUMMYFUNCTION("""COMPUTED_VALUE"""),FALSE)</f>
        <v>0</v>
      </c>
      <c r="I1506" s="4">
        <f>IFERROR(__xludf.DUMMYFUNCTION("""COMPUTED_VALUE"""),0.2549440625)</f>
        <v>0.2549440625</v>
      </c>
      <c r="J1506" s="4" t="str">
        <f>IFERROR(__xludf.DUMMYFUNCTION("""COMPUTED_VALUE"""),"")</f>
        <v/>
      </c>
      <c r="K1506" s="4" t="str">
        <f>IFERROR(__xludf.DUMMYFUNCTION("""COMPUTED_VALUE"""),"")</f>
        <v/>
      </c>
      <c r="L1506" s="4">
        <f>IFERROR(__xludf.DUMMYFUNCTION("""COMPUTED_VALUE"""),45949.28789046274)</f>
        <v>45949.28789</v>
      </c>
      <c r="M1506" s="1" t="str">
        <f>IFERROR(__xludf.DUMMYFUNCTION("""COMPUTED_VALUE"""),"RFID")</f>
        <v>RFID</v>
      </c>
      <c r="N1506" s="5" t="str">
        <f>IFERROR(__xludf.DUMMYFUNCTION("""COMPUTED_VALUE"""),"")</f>
        <v/>
      </c>
      <c r="O1506" s="5" t="str">
        <f>IFERROR(__xludf.DUMMYFUNCTION("""COMPUTED_VALUE"""),"")</f>
        <v/>
      </c>
      <c r="P1506" s="5" t="str">
        <f>IFERROR(__xludf.DUMMYFUNCTION("""COMPUTED_VALUE"""),"")</f>
        <v/>
      </c>
      <c r="Q1506" s="5">
        <f>IFERROR(__xludf.DUMMYFUNCTION("""COMPUTED_VALUE"""),0.006589280092592592)</f>
        <v>0.006589280093</v>
      </c>
      <c r="R1506" s="4">
        <f>IFERROR(__xludf.DUMMYFUNCTION("""COMPUTED_VALUE"""),45949.03294640024)</f>
        <v>45949.03295</v>
      </c>
      <c r="S1506" s="1" t="b">
        <f>IFERROR(__xludf.DUMMYFUNCTION("""COMPUTED_VALUE"""),FALSE)</f>
        <v>0</v>
      </c>
      <c r="T1506" s="1" t="b">
        <f>IFERROR(__xludf.DUMMYFUNCTION("""COMPUTED_VALUE"""),FALSE)</f>
        <v>0</v>
      </c>
      <c r="U1506" s="1" t="str">
        <f>IFERROR(__xludf.DUMMYFUNCTION("""COMPUTED_VALUE"""),"DSQ")</f>
        <v>DSQ</v>
      </c>
      <c r="V1506" s="1" t="str">
        <f>IFERROR(__xludf.DUMMYFUNCTION("""COMPUTED_VALUE"""),"DSQ")</f>
        <v>DSQ</v>
      </c>
      <c r="W1506" s="1" t="str">
        <f>IFERROR(__xludf.DUMMYFUNCTION("""COMPUTED_VALUE"""),"DSQ")</f>
        <v>DSQ</v>
      </c>
      <c r="X1506" s="1" t="str">
        <f>IFERROR(__xludf.DUMMYFUNCTION("""COMPUTED_VALUE"""),"DSQ")</f>
        <v>DSQ</v>
      </c>
      <c r="Y1506" s="2" t="str">
        <f>IFERROR(__xludf.DUMMYFUNCTION("""COMPUTED_VALUE"""),"tidak terlihat di video finish")</f>
        <v>tidak terlihat di video finish</v>
      </c>
      <c r="Z1506" s="2" t="str">
        <f>IFERROR(__xludf.DUMMYFUNCTION("""COMPUTED_VALUE"""),"")</f>
        <v/>
      </c>
    </row>
    <row r="1507">
      <c r="A1507" s="1">
        <f>IFERROR(__xludf.DUMMYFUNCTION("""COMPUTED_VALUE"""),1506.0)</f>
        <v>1506</v>
      </c>
      <c r="B1507" s="1">
        <f>IFERROR(__xludf.DUMMYFUNCTION("""COMPUTED_VALUE"""),6161.0)</f>
        <v>6161</v>
      </c>
      <c r="C1507" s="2" t="str">
        <f>IFERROR(__xludf.DUMMYFUNCTION("""COMPUTED_VALUE"""),"EVA KARINA")</f>
        <v>EVA KARINA</v>
      </c>
      <c r="D1507" s="2" t="str">
        <f>IFERROR(__xludf.DUMMYFUNCTION("""COMPUTED_VALUE"""),"5KM OVERALL F")</f>
        <v>5KM OVERALL F</v>
      </c>
      <c r="E1507" s="1">
        <f>IFERROR(__xludf.DUMMYFUNCTION("""COMPUTED_VALUE"""),2.0)</f>
        <v>2</v>
      </c>
      <c r="F1507" s="1" t="str">
        <f>IFERROR(__xludf.DUMMYFUNCTION("""COMPUTED_VALUE"""),"Female")</f>
        <v>Female</v>
      </c>
      <c r="G1507" s="4" t="b">
        <f>IFERROR(__xludf.DUMMYFUNCTION("""COMPUTED_VALUE"""),TRUE)</f>
        <v>1</v>
      </c>
      <c r="H1507" s="4" t="b">
        <f>IFERROR(__xludf.DUMMYFUNCTION("""COMPUTED_VALUE"""),TRUE)</f>
        <v>1</v>
      </c>
      <c r="I1507" s="4">
        <f>IFERROR(__xludf.DUMMYFUNCTION("""COMPUTED_VALUE"""),0.2549440625)</f>
        <v>0.2549440625</v>
      </c>
      <c r="J1507" s="4">
        <f>IFERROR(__xludf.DUMMYFUNCTION("""COMPUTED_VALUE"""),45949.26526620371)</f>
        <v>45949.26527</v>
      </c>
      <c r="K1507" s="4" t="str">
        <f>IFERROR(__xludf.DUMMYFUNCTION("""COMPUTED_VALUE"""),"")</f>
        <v/>
      </c>
      <c r="L1507" s="4">
        <f>IFERROR(__xludf.DUMMYFUNCTION("""COMPUTED_VALUE"""),45949.27443559863)</f>
        <v>45949.27444</v>
      </c>
      <c r="M1507" s="1" t="str">
        <f>IFERROR(__xludf.DUMMYFUNCTION("""COMPUTED_VALUE"""),"RFID")</f>
        <v>RFID</v>
      </c>
      <c r="N1507" s="5">
        <f>IFERROR(__xludf.DUMMYFUNCTION("""COMPUTED_VALUE"""),0.004128856481481482)</f>
        <v>0.004128856481</v>
      </c>
      <c r="O1507" s="5" t="str">
        <f>IFERROR(__xludf.DUMMYFUNCTION("""COMPUTED_VALUE"""),"")</f>
        <v/>
      </c>
      <c r="P1507" s="5" t="str">
        <f>IFERROR(__xludf.DUMMYFUNCTION("""COMPUTED_VALUE"""),"")</f>
        <v/>
      </c>
      <c r="Q1507" s="5">
        <f>IFERROR(__xludf.DUMMYFUNCTION("""COMPUTED_VALUE"""),0.0038983078703703706)</f>
        <v>0.00389830787</v>
      </c>
      <c r="R1507" s="4">
        <f>IFERROR(__xludf.DUMMYFUNCTION("""COMPUTED_VALUE"""),45949.01949153613)</f>
        <v>45949.01949</v>
      </c>
      <c r="S1507" s="1" t="b">
        <f>IFERROR(__xludf.DUMMYFUNCTION("""COMPUTED_VALUE"""),TRUE)</f>
        <v>1</v>
      </c>
      <c r="T1507" s="1" t="b">
        <f>IFERROR(__xludf.DUMMYFUNCTION("""COMPUTED_VALUE"""),FALSE)</f>
        <v>0</v>
      </c>
      <c r="U1507" s="1" t="str">
        <f>IFERROR(__xludf.DUMMYFUNCTION("""COMPUTED_VALUE"""),"VALID")</f>
        <v>VALID</v>
      </c>
      <c r="V1507" s="1">
        <f>IFERROR(__xludf.DUMMYFUNCTION("""COMPUTED_VALUE"""),7.0)</f>
        <v>7</v>
      </c>
      <c r="W1507" s="1">
        <f>IFERROR(__xludf.DUMMYFUNCTION("""COMPUTED_VALUE"""),104.0)</f>
        <v>104</v>
      </c>
      <c r="X1507" s="1">
        <f>IFERROR(__xludf.DUMMYFUNCTION("""COMPUTED_VALUE"""),11.0)</f>
        <v>11</v>
      </c>
      <c r="Y1507" s="2"/>
      <c r="Z1507" s="2"/>
    </row>
    <row r="1508">
      <c r="A1508" s="1">
        <f>IFERROR(__xludf.DUMMYFUNCTION("""COMPUTED_VALUE"""),1507.0)</f>
        <v>1507</v>
      </c>
      <c r="B1508" s="1">
        <f>IFERROR(__xludf.DUMMYFUNCTION("""COMPUTED_VALUE"""),6162.0)</f>
        <v>6162</v>
      </c>
      <c r="C1508" s="2" t="str">
        <f>IFERROR(__xludf.DUMMYFUNCTION("""COMPUTED_VALUE"""),"Putri")</f>
        <v>Putri</v>
      </c>
      <c r="D1508" s="2" t="str">
        <f>IFERROR(__xludf.DUMMYFUNCTION("""COMPUTED_VALUE"""),"5KM OVERALL F")</f>
        <v>5KM OVERALL F</v>
      </c>
      <c r="E1508" s="1">
        <f>IFERROR(__xludf.DUMMYFUNCTION("""COMPUTED_VALUE"""),2.0)</f>
        <v>2</v>
      </c>
      <c r="F1508" s="1" t="str">
        <f>IFERROR(__xludf.DUMMYFUNCTION("""COMPUTED_VALUE"""),"Female")</f>
        <v>Female</v>
      </c>
      <c r="G1508" s="4" t="b">
        <f>IFERROR(__xludf.DUMMYFUNCTION("""COMPUTED_VALUE"""),TRUE)</f>
        <v>1</v>
      </c>
      <c r="H1508" s="4" t="b">
        <f>IFERROR(__xludf.DUMMYFUNCTION("""COMPUTED_VALUE"""),FALSE)</f>
        <v>0</v>
      </c>
      <c r="I1508" s="4">
        <f>IFERROR(__xludf.DUMMYFUNCTION("""COMPUTED_VALUE"""),0.2549440625)</f>
        <v>0.2549440625</v>
      </c>
      <c r="J1508" s="4">
        <f>IFERROR(__xludf.DUMMYFUNCTION("""COMPUTED_VALUE"""),45949.2731733677)</f>
        <v>45949.27317</v>
      </c>
      <c r="K1508" s="4" t="str">
        <f>IFERROR(__xludf.DUMMYFUNCTION("""COMPUTED_VALUE"""),"")</f>
        <v/>
      </c>
      <c r="L1508" s="4">
        <f>IFERROR(__xludf.DUMMYFUNCTION("""COMPUTED_VALUE"""),45949.28469949424)</f>
        <v>45949.2847</v>
      </c>
      <c r="M1508" s="1" t="str">
        <f>IFERROR(__xludf.DUMMYFUNCTION("""COMPUTED_VALUE"""),"RFID")</f>
        <v>RFID</v>
      </c>
      <c r="N1508" s="5">
        <f>IFERROR(__xludf.DUMMYFUNCTION("""COMPUTED_VALUE"""),0.007291722222222222)</f>
        <v>0.007291722222</v>
      </c>
      <c r="O1508" s="5" t="str">
        <f>IFERROR(__xludf.DUMMYFUNCTION("""COMPUTED_VALUE"""),"")</f>
        <v/>
      </c>
      <c r="P1508" s="5" t="str">
        <f>IFERROR(__xludf.DUMMYFUNCTION("""COMPUTED_VALUE"""),"")</f>
        <v/>
      </c>
      <c r="Q1508" s="5">
        <f>IFERROR(__xludf.DUMMYFUNCTION("""COMPUTED_VALUE"""),0.005951085648148149)</f>
        <v>0.005951085648</v>
      </c>
      <c r="R1508" s="4">
        <f>IFERROR(__xludf.DUMMYFUNCTION("""COMPUTED_VALUE"""),45949.02975543174)</f>
        <v>45949.02976</v>
      </c>
      <c r="S1508" s="1" t="b">
        <f>IFERROR(__xludf.DUMMYFUNCTION("""COMPUTED_VALUE"""),TRUE)</f>
        <v>1</v>
      </c>
      <c r="T1508" s="1" t="b">
        <f>IFERROR(__xludf.DUMMYFUNCTION("""COMPUTED_VALUE"""),FALSE)</f>
        <v>0</v>
      </c>
      <c r="U1508" s="1" t="str">
        <f>IFERROR(__xludf.DUMMYFUNCTION("""COMPUTED_VALUE"""),"VALID")</f>
        <v>VALID</v>
      </c>
      <c r="V1508" s="1">
        <f>IFERROR(__xludf.DUMMYFUNCTION("""COMPUTED_VALUE"""),69.0)</f>
        <v>69</v>
      </c>
      <c r="W1508" s="1">
        <f>IFERROR(__xludf.DUMMYFUNCTION("""COMPUTED_VALUE"""),557.0)</f>
        <v>557</v>
      </c>
      <c r="X1508" s="1">
        <f>IFERROR(__xludf.DUMMYFUNCTION("""COMPUTED_VALUE"""),91.0)</f>
        <v>91</v>
      </c>
      <c r="Y1508" s="2"/>
      <c r="Z1508" s="2"/>
    </row>
    <row r="1509">
      <c r="A1509" s="1">
        <f>IFERROR(__xludf.DUMMYFUNCTION("""COMPUTED_VALUE"""),1508.0)</f>
        <v>1508</v>
      </c>
      <c r="B1509" s="1">
        <f>IFERROR(__xludf.DUMMYFUNCTION("""COMPUTED_VALUE"""),6163.0)</f>
        <v>6163</v>
      </c>
      <c r="C1509" s="2" t="str">
        <f>IFERROR(__xludf.DUMMYFUNCTION("""COMPUTED_VALUE"""),"Wita")</f>
        <v>Wita</v>
      </c>
      <c r="D1509" s="2" t="str">
        <f>IFERROR(__xludf.DUMMYFUNCTION("""COMPUTED_VALUE"""),"5KM OVERALL F")</f>
        <v>5KM OVERALL F</v>
      </c>
      <c r="E1509" s="1">
        <f>IFERROR(__xludf.DUMMYFUNCTION("""COMPUTED_VALUE"""),2.0)</f>
        <v>2</v>
      </c>
      <c r="F1509" s="1" t="str">
        <f>IFERROR(__xludf.DUMMYFUNCTION("""COMPUTED_VALUE"""),"Female")</f>
        <v>Female</v>
      </c>
      <c r="G1509" s="4" t="str">
        <f>IFERROR(__xludf.DUMMYFUNCTION("""COMPUTED_VALUE"""),"")</f>
        <v/>
      </c>
      <c r="H1509" s="4" t="b">
        <f>IFERROR(__xludf.DUMMYFUNCTION("""COMPUTED_VALUE"""),FALSE)</f>
        <v>0</v>
      </c>
      <c r="I1509" s="4">
        <f>IFERROR(__xludf.DUMMYFUNCTION("""COMPUTED_VALUE"""),0.2549440625)</f>
        <v>0.2549440625</v>
      </c>
      <c r="J1509" s="4" t="str">
        <f>IFERROR(__xludf.DUMMYFUNCTION("""COMPUTED_VALUE"""),"")</f>
        <v/>
      </c>
      <c r="K1509" s="4" t="str">
        <f>IFERROR(__xludf.DUMMYFUNCTION("""COMPUTED_VALUE"""),"")</f>
        <v/>
      </c>
      <c r="L1509" s="4" t="str">
        <f>IFERROR(__xludf.DUMMYFUNCTION("""COMPUTED_VALUE"""),"")</f>
        <v/>
      </c>
      <c r="M1509" s="1" t="str">
        <f>IFERROR(__xludf.DUMMYFUNCTION("""COMPUTED_VALUE"""),"RFID")</f>
        <v>RFID</v>
      </c>
      <c r="N1509" s="5" t="str">
        <f>IFERROR(__xludf.DUMMYFUNCTION("""COMPUTED_VALUE"""),"")</f>
        <v/>
      </c>
      <c r="O1509" s="5" t="str">
        <f>IFERROR(__xludf.DUMMYFUNCTION("""COMPUTED_VALUE"""),"")</f>
        <v/>
      </c>
      <c r="P1509" s="5" t="str">
        <f>IFERROR(__xludf.DUMMYFUNCTION("""COMPUTED_VALUE"""),"")</f>
        <v/>
      </c>
      <c r="Q1509" s="5" t="str">
        <f>IFERROR(__xludf.DUMMYFUNCTION("""COMPUTED_VALUE"""),"")</f>
        <v/>
      </c>
      <c r="R1509" s="4" t="str">
        <f>IFERROR(__xludf.DUMMYFUNCTION("""COMPUTED_VALUE"""),"")</f>
        <v/>
      </c>
      <c r="S1509" s="1" t="b">
        <f>IFERROR(__xludf.DUMMYFUNCTION("""COMPUTED_VALUE"""),FALSE)</f>
        <v>0</v>
      </c>
      <c r="T1509" s="1" t="b">
        <f>IFERROR(__xludf.DUMMYFUNCTION("""COMPUTED_VALUE"""),FALSE)</f>
        <v>0</v>
      </c>
      <c r="U1509" s="1" t="str">
        <f>IFERROR(__xludf.DUMMYFUNCTION("""COMPUTED_VALUE"""),"DSQ")</f>
        <v>DSQ</v>
      </c>
      <c r="V1509" s="1" t="str">
        <f>IFERROR(__xludf.DUMMYFUNCTION("""COMPUTED_VALUE"""),"DSQ")</f>
        <v>DSQ</v>
      </c>
      <c r="W1509" s="1" t="str">
        <f>IFERROR(__xludf.DUMMYFUNCTION("""COMPUTED_VALUE"""),"DSQ")</f>
        <v>DSQ</v>
      </c>
      <c r="X1509" s="1" t="str">
        <f>IFERROR(__xludf.DUMMYFUNCTION("""COMPUTED_VALUE"""),"DSQ")</f>
        <v>DSQ</v>
      </c>
      <c r="Y1509" s="2"/>
      <c r="Z1509" s="2" t="str">
        <f>IFERROR(__xludf.DUMMYFUNCTION("""COMPUTED_VALUE"""),"")</f>
        <v/>
      </c>
    </row>
    <row r="1510">
      <c r="A1510" s="1">
        <f>IFERROR(__xludf.DUMMYFUNCTION("""COMPUTED_VALUE"""),1509.0)</f>
        <v>1509</v>
      </c>
      <c r="B1510" s="1">
        <f>IFERROR(__xludf.DUMMYFUNCTION("""COMPUTED_VALUE"""),6166.0)</f>
        <v>6166</v>
      </c>
      <c r="C1510" s="2" t="str">
        <f>IFERROR(__xludf.DUMMYFUNCTION("""COMPUTED_VALUE"""),"Nia Puspa")</f>
        <v>Nia Puspa</v>
      </c>
      <c r="D1510" s="2" t="str">
        <f>IFERROR(__xludf.DUMMYFUNCTION("""COMPUTED_VALUE"""),"5KM OVERALL F")</f>
        <v>5KM OVERALL F</v>
      </c>
      <c r="E1510" s="1">
        <f>IFERROR(__xludf.DUMMYFUNCTION("""COMPUTED_VALUE"""),2.0)</f>
        <v>2</v>
      </c>
      <c r="F1510" s="1" t="str">
        <f>IFERROR(__xludf.DUMMYFUNCTION("""COMPUTED_VALUE"""),"Female")</f>
        <v>Female</v>
      </c>
      <c r="G1510" s="4" t="b">
        <f>IFERROR(__xludf.DUMMYFUNCTION("""COMPUTED_VALUE"""),TRUE)</f>
        <v>1</v>
      </c>
      <c r="H1510" s="4" t="b">
        <f>IFERROR(__xludf.DUMMYFUNCTION("""COMPUTED_VALUE"""),FALSE)</f>
        <v>0</v>
      </c>
      <c r="I1510" s="4">
        <f>IFERROR(__xludf.DUMMYFUNCTION("""COMPUTED_VALUE"""),0.2549440625)</f>
        <v>0.2549440625</v>
      </c>
      <c r="J1510" s="4">
        <f>IFERROR(__xludf.DUMMYFUNCTION("""COMPUTED_VALUE"""),45949.27367947515)</f>
        <v>45949.27368</v>
      </c>
      <c r="K1510" s="4" t="str">
        <f>IFERROR(__xludf.DUMMYFUNCTION("""COMPUTED_VALUE"""),"")</f>
        <v/>
      </c>
      <c r="L1510" s="4">
        <f>IFERROR(__xludf.DUMMYFUNCTION("""COMPUTED_VALUE"""),45949.28878975326)</f>
        <v>45949.28879</v>
      </c>
      <c r="M1510" s="1" t="str">
        <f>IFERROR(__xludf.DUMMYFUNCTION("""COMPUTED_VALUE"""),"RFID")</f>
        <v>RFID</v>
      </c>
      <c r="N1510" s="5">
        <f>IFERROR(__xludf.DUMMYFUNCTION("""COMPUTED_VALUE"""),0.007494166666666667)</f>
        <v>0.007494166667</v>
      </c>
      <c r="O1510" s="5" t="str">
        <f>IFERROR(__xludf.DUMMYFUNCTION("""COMPUTED_VALUE"""),"")</f>
        <v/>
      </c>
      <c r="P1510" s="5" t="str">
        <f>IFERROR(__xludf.DUMMYFUNCTION("""COMPUTED_VALUE"""),"")</f>
        <v/>
      </c>
      <c r="Q1510" s="5">
        <f>IFERROR(__xludf.DUMMYFUNCTION("""COMPUTED_VALUE"""),0.006769138888888889)</f>
        <v>0.006769138889</v>
      </c>
      <c r="R1510" s="4">
        <f>IFERROR(__xludf.DUMMYFUNCTION("""COMPUTED_VALUE"""),45949.033845690756)</f>
        <v>45949.03385</v>
      </c>
      <c r="S1510" s="1" t="b">
        <f>IFERROR(__xludf.DUMMYFUNCTION("""COMPUTED_VALUE"""),TRUE)</f>
        <v>1</v>
      </c>
      <c r="T1510" s="1" t="b">
        <f>IFERROR(__xludf.DUMMYFUNCTION("""COMPUTED_VALUE"""),FALSE)</f>
        <v>0</v>
      </c>
      <c r="U1510" s="1" t="str">
        <f>IFERROR(__xludf.DUMMYFUNCTION("""COMPUTED_VALUE"""),"VALID")</f>
        <v>VALID</v>
      </c>
      <c r="V1510" s="1">
        <f>IFERROR(__xludf.DUMMYFUNCTION("""COMPUTED_VALUE"""),146.0)</f>
        <v>146</v>
      </c>
      <c r="W1510" s="1">
        <f>IFERROR(__xludf.DUMMYFUNCTION("""COMPUTED_VALUE"""),832.0)</f>
        <v>832</v>
      </c>
      <c r="X1510" s="1">
        <f>IFERROR(__xludf.DUMMYFUNCTION("""COMPUTED_VALUE"""),181.0)</f>
        <v>181</v>
      </c>
      <c r="Y1510" s="2"/>
      <c r="Z1510" s="2"/>
    </row>
    <row r="1511">
      <c r="A1511" s="1">
        <f>IFERROR(__xludf.DUMMYFUNCTION("""COMPUTED_VALUE"""),1510.0)</f>
        <v>1510</v>
      </c>
      <c r="B1511" s="1">
        <f>IFERROR(__xludf.DUMMYFUNCTION("""COMPUTED_VALUE"""),6168.0)</f>
        <v>6168</v>
      </c>
      <c r="C1511" s="2" t="str">
        <f>IFERROR(__xludf.DUMMYFUNCTION("""COMPUTED_VALUE"""),"Anisa")</f>
        <v>Anisa</v>
      </c>
      <c r="D1511" s="2" t="str">
        <f>IFERROR(__xludf.DUMMYFUNCTION("""COMPUTED_VALUE"""),"5KM OVERALL F")</f>
        <v>5KM OVERALL F</v>
      </c>
      <c r="E1511" s="1">
        <f>IFERROR(__xludf.DUMMYFUNCTION("""COMPUTED_VALUE"""),2.0)</f>
        <v>2</v>
      </c>
      <c r="F1511" s="1" t="str">
        <f>IFERROR(__xludf.DUMMYFUNCTION("""COMPUTED_VALUE"""),"Female")</f>
        <v>Female</v>
      </c>
      <c r="G1511" s="4" t="str">
        <f>IFERROR(__xludf.DUMMYFUNCTION("""COMPUTED_VALUE"""),"")</f>
        <v/>
      </c>
      <c r="H1511" s="4" t="b">
        <f>IFERROR(__xludf.DUMMYFUNCTION("""COMPUTED_VALUE"""),FALSE)</f>
        <v>0</v>
      </c>
      <c r="I1511" s="4">
        <f>IFERROR(__xludf.DUMMYFUNCTION("""COMPUTED_VALUE"""),0.2549440625)</f>
        <v>0.2549440625</v>
      </c>
      <c r="J1511" s="4" t="str">
        <f>IFERROR(__xludf.DUMMYFUNCTION("""COMPUTED_VALUE"""),"")</f>
        <v/>
      </c>
      <c r="K1511" s="4" t="str">
        <f>IFERROR(__xludf.DUMMYFUNCTION("""COMPUTED_VALUE"""),"")</f>
        <v/>
      </c>
      <c r="L1511" s="4" t="str">
        <f>IFERROR(__xludf.DUMMYFUNCTION("""COMPUTED_VALUE"""),"")</f>
        <v/>
      </c>
      <c r="M1511" s="1" t="str">
        <f>IFERROR(__xludf.DUMMYFUNCTION("""COMPUTED_VALUE"""),"RFID")</f>
        <v>RFID</v>
      </c>
      <c r="N1511" s="5" t="str">
        <f>IFERROR(__xludf.DUMMYFUNCTION("""COMPUTED_VALUE"""),"")</f>
        <v/>
      </c>
      <c r="O1511" s="5" t="str">
        <f>IFERROR(__xludf.DUMMYFUNCTION("""COMPUTED_VALUE"""),"")</f>
        <v/>
      </c>
      <c r="P1511" s="5" t="str">
        <f>IFERROR(__xludf.DUMMYFUNCTION("""COMPUTED_VALUE"""),"")</f>
        <v/>
      </c>
      <c r="Q1511" s="5" t="str">
        <f>IFERROR(__xludf.DUMMYFUNCTION("""COMPUTED_VALUE"""),"")</f>
        <v/>
      </c>
      <c r="R1511" s="4" t="str">
        <f>IFERROR(__xludf.DUMMYFUNCTION("""COMPUTED_VALUE"""),"")</f>
        <v/>
      </c>
      <c r="S1511" s="1" t="b">
        <f>IFERROR(__xludf.DUMMYFUNCTION("""COMPUTED_VALUE"""),FALSE)</f>
        <v>0</v>
      </c>
      <c r="T1511" s="1" t="b">
        <f>IFERROR(__xludf.DUMMYFUNCTION("""COMPUTED_VALUE"""),FALSE)</f>
        <v>0</v>
      </c>
      <c r="U1511" s="1" t="str">
        <f>IFERROR(__xludf.DUMMYFUNCTION("""COMPUTED_VALUE"""),"DSQ")</f>
        <v>DSQ</v>
      </c>
      <c r="V1511" s="1" t="str">
        <f>IFERROR(__xludf.DUMMYFUNCTION("""COMPUTED_VALUE"""),"DSQ")</f>
        <v>DSQ</v>
      </c>
      <c r="W1511" s="1" t="str">
        <f>IFERROR(__xludf.DUMMYFUNCTION("""COMPUTED_VALUE"""),"DSQ")</f>
        <v>DSQ</v>
      </c>
      <c r="X1511" s="1" t="str">
        <f>IFERROR(__xludf.DUMMYFUNCTION("""COMPUTED_VALUE"""),"DSQ")</f>
        <v>DSQ</v>
      </c>
      <c r="Y1511" s="2"/>
      <c r="Z1511" s="2" t="str">
        <f>IFERROR(__xludf.DUMMYFUNCTION("""COMPUTED_VALUE"""),"")</f>
        <v/>
      </c>
    </row>
    <row r="1512">
      <c r="A1512" s="1">
        <f>IFERROR(__xludf.DUMMYFUNCTION("""COMPUTED_VALUE"""),1511.0)</f>
        <v>1511</v>
      </c>
      <c r="B1512" s="1">
        <f>IFERROR(__xludf.DUMMYFUNCTION("""COMPUTED_VALUE"""),6169.0)</f>
        <v>6169</v>
      </c>
      <c r="C1512" s="2" t="str">
        <f>IFERROR(__xludf.DUMMYFUNCTION("""COMPUTED_VALUE"""),"EMA KARINA")</f>
        <v>EMA KARINA</v>
      </c>
      <c r="D1512" s="2" t="str">
        <f>IFERROR(__xludf.DUMMYFUNCTION("""COMPUTED_VALUE"""),"5KM OVERALL F")</f>
        <v>5KM OVERALL F</v>
      </c>
      <c r="E1512" s="1">
        <f>IFERROR(__xludf.DUMMYFUNCTION("""COMPUTED_VALUE"""),2.0)</f>
        <v>2</v>
      </c>
      <c r="F1512" s="1" t="str">
        <f>IFERROR(__xludf.DUMMYFUNCTION("""COMPUTED_VALUE"""),"Female")</f>
        <v>Female</v>
      </c>
      <c r="G1512" s="4" t="b">
        <f>IFERROR(__xludf.DUMMYFUNCTION("""COMPUTED_VALUE"""),TRUE)</f>
        <v>1</v>
      </c>
      <c r="H1512" s="4" t="b">
        <f>IFERROR(__xludf.DUMMYFUNCTION("""COMPUTED_VALUE"""),FALSE)</f>
        <v>0</v>
      </c>
      <c r="I1512" s="4">
        <f>IFERROR(__xludf.DUMMYFUNCTION("""COMPUTED_VALUE"""),0.2549440625)</f>
        <v>0.2549440625</v>
      </c>
      <c r="J1512" s="4">
        <f>IFERROR(__xludf.DUMMYFUNCTION("""COMPUTED_VALUE"""),45949.26687745684)</f>
        <v>45949.26688</v>
      </c>
      <c r="K1512" s="4" t="str">
        <f>IFERROR(__xludf.DUMMYFUNCTION("""COMPUTED_VALUE"""),"")</f>
        <v/>
      </c>
      <c r="L1512" s="4">
        <f>IFERROR(__xludf.DUMMYFUNCTION("""COMPUTED_VALUE"""),45949.27630810445)</f>
        <v>45949.27631</v>
      </c>
      <c r="M1512" s="1" t="str">
        <f>IFERROR(__xludf.DUMMYFUNCTION("""COMPUTED_VALUE"""),"RFID")</f>
        <v>RFID</v>
      </c>
      <c r="N1512" s="5">
        <f>IFERROR(__xludf.DUMMYFUNCTION("""COMPUTED_VALUE"""),0.004773356481481482)</f>
        <v>0.004773356481</v>
      </c>
      <c r="O1512" s="5" t="str">
        <f>IFERROR(__xludf.DUMMYFUNCTION("""COMPUTED_VALUE"""),"")</f>
        <v/>
      </c>
      <c r="P1512" s="5" t="str">
        <f>IFERROR(__xludf.DUMMYFUNCTION("""COMPUTED_VALUE"""),"")</f>
        <v/>
      </c>
      <c r="Q1512" s="5">
        <f>IFERROR(__xludf.DUMMYFUNCTION("""COMPUTED_VALUE"""),0.00427280787037037)</f>
        <v>0.00427280787</v>
      </c>
      <c r="R1512" s="4">
        <f>IFERROR(__xludf.DUMMYFUNCTION("""COMPUTED_VALUE"""),45949.021364041946)</f>
        <v>45949.02136</v>
      </c>
      <c r="S1512" s="1" t="b">
        <f>IFERROR(__xludf.DUMMYFUNCTION("""COMPUTED_VALUE"""),TRUE)</f>
        <v>1</v>
      </c>
      <c r="T1512" s="1" t="b">
        <f>IFERROR(__xludf.DUMMYFUNCTION("""COMPUTED_VALUE"""),FALSE)</f>
        <v>0</v>
      </c>
      <c r="U1512" s="1" t="str">
        <f>IFERROR(__xludf.DUMMYFUNCTION("""COMPUTED_VALUE"""),"VALID")</f>
        <v>VALID</v>
      </c>
      <c r="V1512" s="1">
        <f>IFERROR(__xludf.DUMMYFUNCTION("""COMPUTED_VALUE"""),12.0)</f>
        <v>12</v>
      </c>
      <c r="W1512" s="1">
        <f>IFERROR(__xludf.DUMMYFUNCTION("""COMPUTED_VALUE"""),156.0)</f>
        <v>156</v>
      </c>
      <c r="X1512" s="1">
        <f>IFERROR(__xludf.DUMMYFUNCTION("""COMPUTED_VALUE"""),19.0)</f>
        <v>19</v>
      </c>
      <c r="Y1512" s="2"/>
      <c r="Z1512" s="2"/>
    </row>
    <row r="1513">
      <c r="A1513" s="1">
        <f>IFERROR(__xludf.DUMMYFUNCTION("""COMPUTED_VALUE"""),1512.0)</f>
        <v>1512</v>
      </c>
      <c r="B1513" s="1">
        <f>IFERROR(__xludf.DUMMYFUNCTION("""COMPUTED_VALUE"""),6172.0)</f>
        <v>6172</v>
      </c>
      <c r="C1513" s="2" t="str">
        <f>IFERROR(__xludf.DUMMYFUNCTION("""COMPUTED_VALUE"""),"Riska")</f>
        <v>Riska</v>
      </c>
      <c r="D1513" s="2" t="str">
        <f>IFERROR(__xludf.DUMMYFUNCTION("""COMPUTED_VALUE"""),"5KM OVERALL F")</f>
        <v>5KM OVERALL F</v>
      </c>
      <c r="E1513" s="1">
        <f>IFERROR(__xludf.DUMMYFUNCTION("""COMPUTED_VALUE"""),2.0)</f>
        <v>2</v>
      </c>
      <c r="F1513" s="1" t="str">
        <f>IFERROR(__xludf.DUMMYFUNCTION("""COMPUTED_VALUE"""),"Female")</f>
        <v>Female</v>
      </c>
      <c r="G1513" s="4" t="b">
        <f>IFERROR(__xludf.DUMMYFUNCTION("""COMPUTED_VALUE"""),TRUE)</f>
        <v>1</v>
      </c>
      <c r="H1513" s="4" t="b">
        <f>IFERROR(__xludf.DUMMYFUNCTION("""COMPUTED_VALUE"""),FALSE)</f>
        <v>0</v>
      </c>
      <c r="I1513" s="4">
        <f>IFERROR(__xludf.DUMMYFUNCTION("""COMPUTED_VALUE"""),0.2549440625)</f>
        <v>0.2549440625</v>
      </c>
      <c r="J1513" s="4">
        <f>IFERROR(__xludf.DUMMYFUNCTION("""COMPUTED_VALUE"""),45949.27966216921)</f>
        <v>45949.27966</v>
      </c>
      <c r="K1513" s="4" t="str">
        <f>IFERROR(__xludf.DUMMYFUNCTION("""COMPUTED_VALUE"""),"")</f>
        <v/>
      </c>
      <c r="L1513" s="4">
        <f>IFERROR(__xludf.DUMMYFUNCTION("""COMPUTED_VALUE"""),45949.29843906476)</f>
        <v>45949.29844</v>
      </c>
      <c r="M1513" s="1" t="str">
        <f>IFERROR(__xludf.DUMMYFUNCTION("""COMPUTED_VALUE"""),"RFID")</f>
        <v>RFID</v>
      </c>
      <c r="N1513" s="5">
        <f>IFERROR(__xludf.DUMMYFUNCTION("""COMPUTED_VALUE"""),0.00988724074074074)</f>
        <v>0.009887240741</v>
      </c>
      <c r="O1513" s="5" t="str">
        <f>IFERROR(__xludf.DUMMYFUNCTION("""COMPUTED_VALUE"""),"")</f>
        <v/>
      </c>
      <c r="P1513" s="5" t="str">
        <f>IFERROR(__xludf.DUMMYFUNCTION("""COMPUTED_VALUE"""),"")</f>
        <v/>
      </c>
      <c r="Q1513" s="5">
        <f>IFERROR(__xludf.DUMMYFUNCTION("""COMPUTED_VALUE"""),0.008699)</f>
        <v>0.008699</v>
      </c>
      <c r="R1513" s="4">
        <f>IFERROR(__xludf.DUMMYFUNCTION("""COMPUTED_VALUE"""),45949.04349500226)</f>
        <v>45949.0435</v>
      </c>
      <c r="S1513" s="1" t="b">
        <f>IFERROR(__xludf.DUMMYFUNCTION("""COMPUTED_VALUE"""),TRUE)</f>
        <v>1</v>
      </c>
      <c r="T1513" s="1" t="b">
        <f>IFERROR(__xludf.DUMMYFUNCTION("""COMPUTED_VALUE"""),FALSE)</f>
        <v>0</v>
      </c>
      <c r="U1513" s="1" t="str">
        <f>IFERROR(__xludf.DUMMYFUNCTION("""COMPUTED_VALUE"""),"VALID")</f>
        <v>VALID</v>
      </c>
      <c r="V1513" s="1">
        <f>IFERROR(__xludf.DUMMYFUNCTION("""COMPUTED_VALUE"""),381.0)</f>
        <v>381</v>
      </c>
      <c r="W1513" s="1">
        <f>IFERROR(__xludf.DUMMYFUNCTION("""COMPUTED_VALUE"""),1370.0)</f>
        <v>1370</v>
      </c>
      <c r="X1513" s="1">
        <f>IFERROR(__xludf.DUMMYFUNCTION("""COMPUTED_VALUE"""),462.0)</f>
        <v>462</v>
      </c>
      <c r="Y1513" s="2"/>
      <c r="Z1513" s="2"/>
    </row>
    <row r="1514">
      <c r="A1514" s="1">
        <f>IFERROR(__xludf.DUMMYFUNCTION("""COMPUTED_VALUE"""),1513.0)</f>
        <v>1513</v>
      </c>
      <c r="B1514" s="1">
        <f>IFERROR(__xludf.DUMMYFUNCTION("""COMPUTED_VALUE"""),6173.0)</f>
        <v>6173</v>
      </c>
      <c r="C1514" s="2" t="str">
        <f>IFERROR(__xludf.DUMMYFUNCTION("""COMPUTED_VALUE"""),"aming")</f>
        <v>aming</v>
      </c>
      <c r="D1514" s="2" t="str">
        <f>IFERROR(__xludf.DUMMYFUNCTION("""COMPUTED_VALUE"""),"5KM OVERALL F")</f>
        <v>5KM OVERALL F</v>
      </c>
      <c r="E1514" s="1">
        <f>IFERROR(__xludf.DUMMYFUNCTION("""COMPUTED_VALUE"""),2.0)</f>
        <v>2</v>
      </c>
      <c r="F1514" s="1" t="str">
        <f>IFERROR(__xludf.DUMMYFUNCTION("""COMPUTED_VALUE"""),"Female")</f>
        <v>Female</v>
      </c>
      <c r="G1514" s="4" t="b">
        <f>IFERROR(__xludf.DUMMYFUNCTION("""COMPUTED_VALUE"""),TRUE)</f>
        <v>1</v>
      </c>
      <c r="H1514" s="4" t="b">
        <f>IFERROR(__xludf.DUMMYFUNCTION("""COMPUTED_VALUE"""),FALSE)</f>
        <v>0</v>
      </c>
      <c r="I1514" s="4">
        <f>IFERROR(__xludf.DUMMYFUNCTION("""COMPUTED_VALUE"""),0.2549440625)</f>
        <v>0.2549440625</v>
      </c>
      <c r="J1514" s="4">
        <f>IFERROR(__xludf.DUMMYFUNCTION("""COMPUTED_VALUE"""),45949.273173333124)</f>
        <v>45949.27317</v>
      </c>
      <c r="K1514" s="4" t="str">
        <f>IFERROR(__xludf.DUMMYFUNCTION("""COMPUTED_VALUE"""),"")</f>
        <v/>
      </c>
      <c r="L1514" s="4">
        <f>IFERROR(__xludf.DUMMYFUNCTION("""COMPUTED_VALUE"""),45949.2847168367)</f>
        <v>45949.28472</v>
      </c>
      <c r="M1514" s="1" t="str">
        <f>IFERROR(__xludf.DUMMYFUNCTION("""COMPUTED_VALUE"""),"RFID")</f>
        <v>RFID</v>
      </c>
      <c r="N1514" s="5">
        <f>IFERROR(__xludf.DUMMYFUNCTION("""COMPUTED_VALUE"""),0.007291708333333334)</f>
        <v>0.007291708333</v>
      </c>
      <c r="O1514" s="5" t="str">
        <f>IFERROR(__xludf.DUMMYFUNCTION("""COMPUTED_VALUE"""),"")</f>
        <v/>
      </c>
      <c r="P1514" s="5" t="str">
        <f>IFERROR(__xludf.DUMMYFUNCTION("""COMPUTED_VALUE"""),"")</f>
        <v/>
      </c>
      <c r="Q1514" s="5">
        <f>IFERROR(__xludf.DUMMYFUNCTION("""COMPUTED_VALUE"""),0.005954555555555555)</f>
        <v>0.005954555556</v>
      </c>
      <c r="R1514" s="4">
        <f>IFERROR(__xludf.DUMMYFUNCTION("""COMPUTED_VALUE"""),45949.0297727742)</f>
        <v>45949.02977</v>
      </c>
      <c r="S1514" s="1" t="b">
        <f>IFERROR(__xludf.DUMMYFUNCTION("""COMPUTED_VALUE"""),TRUE)</f>
        <v>1</v>
      </c>
      <c r="T1514" s="1" t="b">
        <f>IFERROR(__xludf.DUMMYFUNCTION("""COMPUTED_VALUE"""),FALSE)</f>
        <v>0</v>
      </c>
      <c r="U1514" s="1" t="str">
        <f>IFERROR(__xludf.DUMMYFUNCTION("""COMPUTED_VALUE"""),"VALID")</f>
        <v>VALID</v>
      </c>
      <c r="V1514" s="1">
        <f>IFERROR(__xludf.DUMMYFUNCTION("""COMPUTED_VALUE"""),70.0)</f>
        <v>70</v>
      </c>
      <c r="W1514" s="1">
        <f>IFERROR(__xludf.DUMMYFUNCTION("""COMPUTED_VALUE"""),558.0)</f>
        <v>558</v>
      </c>
      <c r="X1514" s="1">
        <f>IFERROR(__xludf.DUMMYFUNCTION("""COMPUTED_VALUE"""),92.0)</f>
        <v>92</v>
      </c>
      <c r="Y1514" s="2"/>
      <c r="Z1514" s="2"/>
    </row>
    <row r="1515">
      <c r="A1515" s="1">
        <f>IFERROR(__xludf.DUMMYFUNCTION("""COMPUTED_VALUE"""),1514.0)</f>
        <v>1514</v>
      </c>
      <c r="B1515" s="1">
        <f>IFERROR(__xludf.DUMMYFUNCTION("""COMPUTED_VALUE"""),6177.0)</f>
        <v>6177</v>
      </c>
      <c r="C1515" s="2" t="str">
        <f>IFERROR(__xludf.DUMMYFUNCTION("""COMPUTED_VALUE"""),"Kumala Sari")</f>
        <v>Kumala Sari</v>
      </c>
      <c r="D1515" s="2" t="str">
        <f>IFERROR(__xludf.DUMMYFUNCTION("""COMPUTED_VALUE"""),"5KM OVERALL F")</f>
        <v>5KM OVERALL F</v>
      </c>
      <c r="E1515" s="1">
        <f>IFERROR(__xludf.DUMMYFUNCTION("""COMPUTED_VALUE"""),2.0)</f>
        <v>2</v>
      </c>
      <c r="F1515" s="1" t="str">
        <f>IFERROR(__xludf.DUMMYFUNCTION("""COMPUTED_VALUE"""),"Female")</f>
        <v>Female</v>
      </c>
      <c r="G1515" s="4" t="b">
        <f>IFERROR(__xludf.DUMMYFUNCTION("""COMPUTED_VALUE"""),TRUE)</f>
        <v>1</v>
      </c>
      <c r="H1515" s="4" t="b">
        <f>IFERROR(__xludf.DUMMYFUNCTION("""COMPUTED_VALUE"""),TRUE)</f>
        <v>1</v>
      </c>
      <c r="I1515" s="4">
        <f>IFERROR(__xludf.DUMMYFUNCTION("""COMPUTED_VALUE"""),0.2549440625)</f>
        <v>0.2549440625</v>
      </c>
      <c r="J1515" s="4">
        <f>IFERROR(__xludf.DUMMYFUNCTION("""COMPUTED_VALUE"""),45949.27957878328)</f>
        <v>45949.27958</v>
      </c>
      <c r="K1515" s="4" t="str">
        <f>IFERROR(__xludf.DUMMYFUNCTION("""COMPUTED_VALUE"""),"")</f>
        <v/>
      </c>
      <c r="L1515" s="4">
        <f>IFERROR(__xludf.DUMMYFUNCTION("""COMPUTED_VALUE"""),45949.298557128604)</f>
        <v>45949.29856</v>
      </c>
      <c r="M1515" s="1" t="str">
        <f>IFERROR(__xludf.DUMMYFUNCTION("""COMPUTED_VALUE"""),"RFID")</f>
        <v>RFID</v>
      </c>
      <c r="N1515" s="5">
        <f>IFERROR(__xludf.DUMMYFUNCTION("""COMPUTED_VALUE"""),0.00985388888888889)</f>
        <v>0.009853888889</v>
      </c>
      <c r="O1515" s="5" t="str">
        <f>IFERROR(__xludf.DUMMYFUNCTION("""COMPUTED_VALUE"""),"")</f>
        <v/>
      </c>
      <c r="P1515" s="5" t="str">
        <f>IFERROR(__xludf.DUMMYFUNCTION("""COMPUTED_VALUE"""),"")</f>
        <v/>
      </c>
      <c r="Q1515" s="5">
        <f>IFERROR(__xludf.DUMMYFUNCTION("""COMPUTED_VALUE"""),0.008722613425925925)</f>
        <v>0.008722613426</v>
      </c>
      <c r="R1515" s="4">
        <f>IFERROR(__xludf.DUMMYFUNCTION("""COMPUTED_VALUE"""),45949.043613066104)</f>
        <v>45949.04361</v>
      </c>
      <c r="S1515" s="1" t="b">
        <f>IFERROR(__xludf.DUMMYFUNCTION("""COMPUTED_VALUE"""),TRUE)</f>
        <v>1</v>
      </c>
      <c r="T1515" s="1" t="b">
        <f>IFERROR(__xludf.DUMMYFUNCTION("""COMPUTED_VALUE"""),FALSE)</f>
        <v>0</v>
      </c>
      <c r="U1515" s="1" t="str">
        <f>IFERROR(__xludf.DUMMYFUNCTION("""COMPUTED_VALUE"""),"VALID")</f>
        <v>VALID</v>
      </c>
      <c r="V1515" s="1">
        <f>IFERROR(__xludf.DUMMYFUNCTION("""COMPUTED_VALUE"""),388.0)</f>
        <v>388</v>
      </c>
      <c r="W1515" s="1">
        <f>IFERROR(__xludf.DUMMYFUNCTION("""COMPUTED_VALUE"""),1382.0)</f>
        <v>1382</v>
      </c>
      <c r="X1515" s="1">
        <f>IFERROR(__xludf.DUMMYFUNCTION("""COMPUTED_VALUE"""),470.0)</f>
        <v>470</v>
      </c>
      <c r="Y1515" s="2"/>
      <c r="Z1515" s="2"/>
    </row>
    <row r="1516">
      <c r="A1516" s="1">
        <f>IFERROR(__xludf.DUMMYFUNCTION("""COMPUTED_VALUE"""),1515.0)</f>
        <v>1515</v>
      </c>
      <c r="B1516" s="1">
        <f>IFERROR(__xludf.DUMMYFUNCTION("""COMPUTED_VALUE"""),6179.0)</f>
        <v>6179</v>
      </c>
      <c r="C1516" s="2" t="str">
        <f>IFERROR(__xludf.DUMMYFUNCTION("""COMPUTED_VALUE"""),"Indri")</f>
        <v>Indri</v>
      </c>
      <c r="D1516" s="2" t="str">
        <f>IFERROR(__xludf.DUMMYFUNCTION("""COMPUTED_VALUE"""),"5KM OVERALL F")</f>
        <v>5KM OVERALL F</v>
      </c>
      <c r="E1516" s="1">
        <f>IFERROR(__xludf.DUMMYFUNCTION("""COMPUTED_VALUE"""),2.0)</f>
        <v>2</v>
      </c>
      <c r="F1516" s="1" t="str">
        <f>IFERROR(__xludf.DUMMYFUNCTION("""COMPUTED_VALUE"""),"Female")</f>
        <v>Female</v>
      </c>
      <c r="G1516" s="4" t="b">
        <f>IFERROR(__xludf.DUMMYFUNCTION("""COMPUTED_VALUE"""),TRUE)</f>
        <v>1</v>
      </c>
      <c r="H1516" s="4" t="b">
        <f>IFERROR(__xludf.DUMMYFUNCTION("""COMPUTED_VALUE"""),FALSE)</f>
        <v>0</v>
      </c>
      <c r="I1516" s="4">
        <f>IFERROR(__xludf.DUMMYFUNCTION("""COMPUTED_VALUE"""),0.2549440625)</f>
        <v>0.2549440625</v>
      </c>
      <c r="J1516" s="4">
        <f>IFERROR(__xludf.DUMMYFUNCTION("""COMPUTED_VALUE"""),45949.26861697052)</f>
        <v>45949.26862</v>
      </c>
      <c r="K1516" s="4" t="str">
        <f>IFERROR(__xludf.DUMMYFUNCTION("""COMPUTED_VALUE"""),"")</f>
        <v/>
      </c>
      <c r="L1516" s="4">
        <f>IFERROR(__xludf.DUMMYFUNCTION("""COMPUTED_VALUE"""),45949.281480726626)</f>
        <v>45949.28148</v>
      </c>
      <c r="M1516" s="1" t="str">
        <f>IFERROR(__xludf.DUMMYFUNCTION("""COMPUTED_VALUE"""),"RFID")</f>
        <v>RFID</v>
      </c>
      <c r="N1516" s="5">
        <f>IFERROR(__xludf.DUMMYFUNCTION("""COMPUTED_VALUE"""),0.005469162037037037)</f>
        <v>0.005469162037</v>
      </c>
      <c r="O1516" s="5" t="str">
        <f>IFERROR(__xludf.DUMMYFUNCTION("""COMPUTED_VALUE"""),"")</f>
        <v/>
      </c>
      <c r="P1516" s="5" t="str">
        <f>IFERROR(__xludf.DUMMYFUNCTION("""COMPUTED_VALUE"""),"")</f>
        <v/>
      </c>
      <c r="Q1516" s="5">
        <f>IFERROR(__xludf.DUMMYFUNCTION("""COMPUTED_VALUE"""),0.005307333333333333)</f>
        <v>0.005307333333</v>
      </c>
      <c r="R1516" s="4">
        <f>IFERROR(__xludf.DUMMYFUNCTION("""COMPUTED_VALUE"""),45949.026536664125)</f>
        <v>45949.02654</v>
      </c>
      <c r="S1516" s="1" t="b">
        <f>IFERROR(__xludf.DUMMYFUNCTION("""COMPUTED_VALUE"""),TRUE)</f>
        <v>1</v>
      </c>
      <c r="T1516" s="1" t="b">
        <f>IFERROR(__xludf.DUMMYFUNCTION("""COMPUTED_VALUE"""),FALSE)</f>
        <v>0</v>
      </c>
      <c r="U1516" s="1" t="str">
        <f>IFERROR(__xludf.DUMMYFUNCTION("""COMPUTED_VALUE"""),"VALID")</f>
        <v>VALID</v>
      </c>
      <c r="V1516" s="1">
        <f>IFERROR(__xludf.DUMMYFUNCTION("""COMPUTED_VALUE"""),34.0)</f>
        <v>34</v>
      </c>
      <c r="W1516" s="1">
        <f>IFERROR(__xludf.DUMMYFUNCTION("""COMPUTED_VALUE"""),364.0)</f>
        <v>364</v>
      </c>
      <c r="X1516" s="1">
        <f>IFERROR(__xludf.DUMMYFUNCTION("""COMPUTED_VALUE"""),52.0)</f>
        <v>52</v>
      </c>
      <c r="Y1516" s="2"/>
      <c r="Z1516" s="2"/>
    </row>
    <row r="1517">
      <c r="A1517" s="1">
        <f>IFERROR(__xludf.DUMMYFUNCTION("""COMPUTED_VALUE"""),1516.0)</f>
        <v>1516</v>
      </c>
      <c r="B1517" s="1">
        <f>IFERROR(__xludf.DUMMYFUNCTION("""COMPUTED_VALUE"""),6187.0)</f>
        <v>6187</v>
      </c>
      <c r="C1517" s="2" t="str">
        <f>IFERROR(__xludf.DUMMYFUNCTION("""COMPUTED_VALUE"""),"Vina")</f>
        <v>Vina</v>
      </c>
      <c r="D1517" s="2" t="str">
        <f>IFERROR(__xludf.DUMMYFUNCTION("""COMPUTED_VALUE"""),"5KM OVERALL F")</f>
        <v>5KM OVERALL F</v>
      </c>
      <c r="E1517" s="1">
        <f>IFERROR(__xludf.DUMMYFUNCTION("""COMPUTED_VALUE"""),2.0)</f>
        <v>2</v>
      </c>
      <c r="F1517" s="1" t="str">
        <f>IFERROR(__xludf.DUMMYFUNCTION("""COMPUTED_VALUE"""),"Female")</f>
        <v>Female</v>
      </c>
      <c r="G1517" s="4" t="b">
        <f>IFERROR(__xludf.DUMMYFUNCTION("""COMPUTED_VALUE"""),TRUE)</f>
        <v>1</v>
      </c>
      <c r="H1517" s="4" t="b">
        <f>IFERROR(__xludf.DUMMYFUNCTION("""COMPUTED_VALUE"""),TRUE)</f>
        <v>1</v>
      </c>
      <c r="I1517" s="4">
        <f>IFERROR(__xludf.DUMMYFUNCTION("""COMPUTED_VALUE"""),0.2549440625)</f>
        <v>0.2549440625</v>
      </c>
      <c r="J1517" s="4">
        <f>IFERROR(__xludf.DUMMYFUNCTION("""COMPUTED_VALUE"""),45949.27902331255)</f>
        <v>45949.27902</v>
      </c>
      <c r="K1517" s="4" t="str">
        <f>IFERROR(__xludf.DUMMYFUNCTION("""COMPUTED_VALUE"""),"")</f>
        <v/>
      </c>
      <c r="L1517" s="4">
        <f>IFERROR(__xludf.DUMMYFUNCTION("""COMPUTED_VALUE"""),45949.29728281026)</f>
        <v>45949.29728</v>
      </c>
      <c r="M1517" s="1" t="str">
        <f>IFERROR(__xludf.DUMMYFUNCTION("""COMPUTED_VALUE"""),"RFID")</f>
        <v>RFID</v>
      </c>
      <c r="N1517" s="5">
        <f>IFERROR(__xludf.DUMMYFUNCTION("""COMPUTED_VALUE"""),0.009631699074074076)</f>
        <v>0.009631699074</v>
      </c>
      <c r="O1517" s="5" t="str">
        <f>IFERROR(__xludf.DUMMYFUNCTION("""COMPUTED_VALUE"""),"")</f>
        <v/>
      </c>
      <c r="P1517" s="5" t="str">
        <f>IFERROR(__xludf.DUMMYFUNCTION("""COMPUTED_VALUE"""),"")</f>
        <v/>
      </c>
      <c r="Q1517" s="5">
        <f>IFERROR(__xludf.DUMMYFUNCTION("""COMPUTED_VALUE"""),0.00846775)</f>
        <v>0.00846775</v>
      </c>
      <c r="R1517" s="4">
        <f>IFERROR(__xludf.DUMMYFUNCTION("""COMPUTED_VALUE"""),45949.04233874776)</f>
        <v>45949.04234</v>
      </c>
      <c r="S1517" s="1" t="b">
        <f>IFERROR(__xludf.DUMMYFUNCTION("""COMPUTED_VALUE"""),TRUE)</f>
        <v>1</v>
      </c>
      <c r="T1517" s="1" t="b">
        <f>IFERROR(__xludf.DUMMYFUNCTION("""COMPUTED_VALUE"""),FALSE)</f>
        <v>0</v>
      </c>
      <c r="U1517" s="1" t="str">
        <f>IFERROR(__xludf.DUMMYFUNCTION("""COMPUTED_VALUE"""),"VALID")</f>
        <v>VALID</v>
      </c>
      <c r="V1517" s="1">
        <f>IFERROR(__xludf.DUMMYFUNCTION("""COMPUTED_VALUE"""),363.0)</f>
        <v>363</v>
      </c>
      <c r="W1517" s="1">
        <f>IFERROR(__xludf.DUMMYFUNCTION("""COMPUTED_VALUE"""),1342.0)</f>
        <v>1342</v>
      </c>
      <c r="X1517" s="1">
        <f>IFERROR(__xludf.DUMMYFUNCTION("""COMPUTED_VALUE"""),441.0)</f>
        <v>441</v>
      </c>
      <c r="Y1517" s="2"/>
      <c r="Z1517" s="2"/>
    </row>
    <row r="1518">
      <c r="A1518" s="1">
        <f>IFERROR(__xludf.DUMMYFUNCTION("""COMPUTED_VALUE"""),1517.0)</f>
        <v>1517</v>
      </c>
      <c r="B1518" s="1">
        <f>IFERROR(__xludf.DUMMYFUNCTION("""COMPUTED_VALUE"""),6195.0)</f>
        <v>6195</v>
      </c>
      <c r="C1518" s="2" t="str">
        <f>IFERROR(__xludf.DUMMYFUNCTION("""COMPUTED_VALUE"""),"Rizki Sesario")</f>
        <v>Rizki Sesario</v>
      </c>
      <c r="D1518" s="2" t="str">
        <f>IFERROR(__xludf.DUMMYFUNCTION("""COMPUTED_VALUE"""),"5KM OVERALL F")</f>
        <v>5KM OVERALL F</v>
      </c>
      <c r="E1518" s="1">
        <f>IFERROR(__xludf.DUMMYFUNCTION("""COMPUTED_VALUE"""),2.0)</f>
        <v>2</v>
      </c>
      <c r="F1518" s="1" t="str">
        <f>IFERROR(__xludf.DUMMYFUNCTION("""COMPUTED_VALUE"""),"Female")</f>
        <v>Female</v>
      </c>
      <c r="G1518" s="4" t="b">
        <f>IFERROR(__xludf.DUMMYFUNCTION("""COMPUTED_VALUE"""),TRUE)</f>
        <v>1</v>
      </c>
      <c r="H1518" s="4" t="b">
        <f>IFERROR(__xludf.DUMMYFUNCTION("""COMPUTED_VALUE"""),TRUE)</f>
        <v>1</v>
      </c>
      <c r="I1518" s="4">
        <f>IFERROR(__xludf.DUMMYFUNCTION("""COMPUTED_VALUE"""),0.2549440625)</f>
        <v>0.2549440625</v>
      </c>
      <c r="J1518" s="4">
        <f>IFERROR(__xludf.DUMMYFUNCTION("""COMPUTED_VALUE"""),45949.28629406693)</f>
        <v>45949.28629</v>
      </c>
      <c r="K1518" s="4" t="str">
        <f>IFERROR(__xludf.DUMMYFUNCTION("""COMPUTED_VALUE"""),"")</f>
        <v/>
      </c>
      <c r="L1518" s="4">
        <f>IFERROR(__xludf.DUMMYFUNCTION("""COMPUTED_VALUE"""),45949.309525818426)</f>
        <v>45949.30953</v>
      </c>
      <c r="M1518" s="1" t="str">
        <f>IFERROR(__xludf.DUMMYFUNCTION("""COMPUTED_VALUE"""),"RFID")</f>
        <v>RFID</v>
      </c>
      <c r="N1518" s="5">
        <f>IFERROR(__xludf.DUMMYFUNCTION("""COMPUTED_VALUE"""),0.012539999999999999)</f>
        <v>0.01254</v>
      </c>
      <c r="O1518" s="5" t="str">
        <f>IFERROR(__xludf.DUMMYFUNCTION("""COMPUTED_VALUE"""),"")</f>
        <v/>
      </c>
      <c r="P1518" s="5" t="str">
        <f>IFERROR(__xludf.DUMMYFUNCTION("""COMPUTED_VALUE"""),"")</f>
        <v/>
      </c>
      <c r="Q1518" s="5">
        <f>IFERROR(__xludf.DUMMYFUNCTION("""COMPUTED_VALUE"""),0.01091635185185185)</f>
        <v>0.01091635185</v>
      </c>
      <c r="R1518" s="4">
        <f>IFERROR(__xludf.DUMMYFUNCTION("""COMPUTED_VALUE"""),45949.054581755925)</f>
        <v>45949.05458</v>
      </c>
      <c r="S1518" s="1" t="b">
        <f>IFERROR(__xludf.DUMMYFUNCTION("""COMPUTED_VALUE"""),TRUE)</f>
        <v>1</v>
      </c>
      <c r="T1518" s="1" t="b">
        <f>IFERROR(__xludf.DUMMYFUNCTION("""COMPUTED_VALUE"""),FALSE)</f>
        <v>0</v>
      </c>
      <c r="U1518" s="1" t="str">
        <f>IFERROR(__xludf.DUMMYFUNCTION("""COMPUTED_VALUE"""),"VALID")</f>
        <v>VALID</v>
      </c>
      <c r="V1518" s="1">
        <f>IFERROR(__xludf.DUMMYFUNCTION("""COMPUTED_VALUE"""),505.0)</f>
        <v>505</v>
      </c>
      <c r="W1518" s="1">
        <f>IFERROR(__xludf.DUMMYFUNCTION("""COMPUTED_VALUE"""),1602.0)</f>
        <v>1602</v>
      </c>
      <c r="X1518" s="1">
        <f>IFERROR(__xludf.DUMMYFUNCTION("""COMPUTED_VALUE"""),625.0)</f>
        <v>625</v>
      </c>
      <c r="Y1518" s="2"/>
      <c r="Z1518" s="2"/>
    </row>
    <row r="1519">
      <c r="A1519" s="1">
        <f>IFERROR(__xludf.DUMMYFUNCTION("""COMPUTED_VALUE"""),1518.0)</f>
        <v>1518</v>
      </c>
      <c r="B1519" s="1">
        <f>IFERROR(__xludf.DUMMYFUNCTION("""COMPUTED_VALUE"""),6198.0)</f>
        <v>6198</v>
      </c>
      <c r="C1519" s="2" t="str">
        <f>IFERROR(__xludf.DUMMYFUNCTION("""COMPUTED_VALUE"""),"Dwi")</f>
        <v>Dwi</v>
      </c>
      <c r="D1519" s="2" t="str">
        <f>IFERROR(__xludf.DUMMYFUNCTION("""COMPUTED_VALUE"""),"5KM OVERALL F")</f>
        <v>5KM OVERALL F</v>
      </c>
      <c r="E1519" s="1">
        <f>IFERROR(__xludf.DUMMYFUNCTION("""COMPUTED_VALUE"""),2.0)</f>
        <v>2</v>
      </c>
      <c r="F1519" s="1" t="str">
        <f>IFERROR(__xludf.DUMMYFUNCTION("""COMPUTED_VALUE"""),"Female")</f>
        <v>Female</v>
      </c>
      <c r="G1519" s="4" t="str">
        <f>IFERROR(__xludf.DUMMYFUNCTION("""COMPUTED_VALUE"""),"")</f>
        <v/>
      </c>
      <c r="H1519" s="4" t="b">
        <f>IFERROR(__xludf.DUMMYFUNCTION("""COMPUTED_VALUE"""),FALSE)</f>
        <v>0</v>
      </c>
      <c r="I1519" s="4">
        <f>IFERROR(__xludf.DUMMYFUNCTION("""COMPUTED_VALUE"""),0.2549440625)</f>
        <v>0.2549440625</v>
      </c>
      <c r="J1519" s="4" t="str">
        <f>IFERROR(__xludf.DUMMYFUNCTION("""COMPUTED_VALUE"""),"")</f>
        <v/>
      </c>
      <c r="K1519" s="4" t="str">
        <f>IFERROR(__xludf.DUMMYFUNCTION("""COMPUTED_VALUE"""),"")</f>
        <v/>
      </c>
      <c r="L1519" s="4" t="str">
        <f>IFERROR(__xludf.DUMMYFUNCTION("""COMPUTED_VALUE"""),"")</f>
        <v/>
      </c>
      <c r="M1519" s="1" t="str">
        <f>IFERROR(__xludf.DUMMYFUNCTION("""COMPUTED_VALUE"""),"RFID")</f>
        <v>RFID</v>
      </c>
      <c r="N1519" s="5" t="str">
        <f>IFERROR(__xludf.DUMMYFUNCTION("""COMPUTED_VALUE"""),"")</f>
        <v/>
      </c>
      <c r="O1519" s="5" t="str">
        <f>IFERROR(__xludf.DUMMYFUNCTION("""COMPUTED_VALUE"""),"")</f>
        <v/>
      </c>
      <c r="P1519" s="5" t="str">
        <f>IFERROR(__xludf.DUMMYFUNCTION("""COMPUTED_VALUE"""),"")</f>
        <v/>
      </c>
      <c r="Q1519" s="5" t="str">
        <f>IFERROR(__xludf.DUMMYFUNCTION("""COMPUTED_VALUE"""),"")</f>
        <v/>
      </c>
      <c r="R1519" s="4" t="str">
        <f>IFERROR(__xludf.DUMMYFUNCTION("""COMPUTED_VALUE"""),"")</f>
        <v/>
      </c>
      <c r="S1519" s="1" t="b">
        <f>IFERROR(__xludf.DUMMYFUNCTION("""COMPUTED_VALUE"""),FALSE)</f>
        <v>0</v>
      </c>
      <c r="T1519" s="1" t="b">
        <f>IFERROR(__xludf.DUMMYFUNCTION("""COMPUTED_VALUE"""),FALSE)</f>
        <v>0</v>
      </c>
      <c r="U1519" s="1" t="str">
        <f>IFERROR(__xludf.DUMMYFUNCTION("""COMPUTED_VALUE"""),"DSQ")</f>
        <v>DSQ</v>
      </c>
      <c r="V1519" s="1" t="str">
        <f>IFERROR(__xludf.DUMMYFUNCTION("""COMPUTED_VALUE"""),"DSQ")</f>
        <v>DSQ</v>
      </c>
      <c r="W1519" s="1" t="str">
        <f>IFERROR(__xludf.DUMMYFUNCTION("""COMPUTED_VALUE"""),"DSQ")</f>
        <v>DSQ</v>
      </c>
      <c r="X1519" s="1" t="str">
        <f>IFERROR(__xludf.DUMMYFUNCTION("""COMPUTED_VALUE"""),"DSQ")</f>
        <v>DSQ</v>
      </c>
      <c r="Y1519" s="2"/>
      <c r="Z1519" s="2" t="str">
        <f>IFERROR(__xludf.DUMMYFUNCTION("""COMPUTED_VALUE"""),"")</f>
        <v/>
      </c>
    </row>
    <row r="1520">
      <c r="A1520" s="1">
        <f>IFERROR(__xludf.DUMMYFUNCTION("""COMPUTED_VALUE"""),1519.0)</f>
        <v>1519</v>
      </c>
      <c r="B1520" s="1">
        <f>IFERROR(__xludf.DUMMYFUNCTION("""COMPUTED_VALUE"""),6200.0)</f>
        <v>6200</v>
      </c>
      <c r="C1520" s="2" t="str">
        <f>IFERROR(__xludf.DUMMYFUNCTION("""COMPUTED_VALUE"""),"Restu Shafya Maharani")</f>
        <v>Restu Shafya Maharani</v>
      </c>
      <c r="D1520" s="2" t="str">
        <f>IFERROR(__xludf.DUMMYFUNCTION("""COMPUTED_VALUE"""),"5KM OVERALL F")</f>
        <v>5KM OVERALL F</v>
      </c>
      <c r="E1520" s="1">
        <f>IFERROR(__xludf.DUMMYFUNCTION("""COMPUTED_VALUE"""),2.0)</f>
        <v>2</v>
      </c>
      <c r="F1520" s="1" t="str">
        <f>IFERROR(__xludf.DUMMYFUNCTION("""COMPUTED_VALUE"""),"Female")</f>
        <v>Female</v>
      </c>
      <c r="G1520" s="4" t="str">
        <f>IFERROR(__xludf.DUMMYFUNCTION("""COMPUTED_VALUE"""),"")</f>
        <v/>
      </c>
      <c r="H1520" s="4" t="b">
        <f>IFERROR(__xludf.DUMMYFUNCTION("""COMPUTED_VALUE"""),FALSE)</f>
        <v>0</v>
      </c>
      <c r="I1520" s="4">
        <f>IFERROR(__xludf.DUMMYFUNCTION("""COMPUTED_VALUE"""),0.2549440625)</f>
        <v>0.2549440625</v>
      </c>
      <c r="J1520" s="4" t="str">
        <f>IFERROR(__xludf.DUMMYFUNCTION("""COMPUTED_VALUE"""),"")</f>
        <v/>
      </c>
      <c r="K1520" s="4" t="str">
        <f>IFERROR(__xludf.DUMMYFUNCTION("""COMPUTED_VALUE"""),"")</f>
        <v/>
      </c>
      <c r="L1520" s="4" t="str">
        <f>IFERROR(__xludf.DUMMYFUNCTION("""COMPUTED_VALUE"""),"")</f>
        <v/>
      </c>
      <c r="M1520" s="1" t="str">
        <f>IFERROR(__xludf.DUMMYFUNCTION("""COMPUTED_VALUE"""),"RFID")</f>
        <v>RFID</v>
      </c>
      <c r="N1520" s="5" t="str">
        <f>IFERROR(__xludf.DUMMYFUNCTION("""COMPUTED_VALUE"""),"")</f>
        <v/>
      </c>
      <c r="O1520" s="5" t="str">
        <f>IFERROR(__xludf.DUMMYFUNCTION("""COMPUTED_VALUE"""),"")</f>
        <v/>
      </c>
      <c r="P1520" s="5" t="str">
        <f>IFERROR(__xludf.DUMMYFUNCTION("""COMPUTED_VALUE"""),"")</f>
        <v/>
      </c>
      <c r="Q1520" s="5" t="str">
        <f>IFERROR(__xludf.DUMMYFUNCTION("""COMPUTED_VALUE"""),"")</f>
        <v/>
      </c>
      <c r="R1520" s="4" t="str">
        <f>IFERROR(__xludf.DUMMYFUNCTION("""COMPUTED_VALUE"""),"")</f>
        <v/>
      </c>
      <c r="S1520" s="1" t="b">
        <f>IFERROR(__xludf.DUMMYFUNCTION("""COMPUTED_VALUE"""),FALSE)</f>
        <v>0</v>
      </c>
      <c r="T1520" s="1" t="b">
        <f>IFERROR(__xludf.DUMMYFUNCTION("""COMPUTED_VALUE"""),FALSE)</f>
        <v>0</v>
      </c>
      <c r="U1520" s="1" t="str">
        <f>IFERROR(__xludf.DUMMYFUNCTION("""COMPUTED_VALUE"""),"DSQ")</f>
        <v>DSQ</v>
      </c>
      <c r="V1520" s="1" t="str">
        <f>IFERROR(__xludf.DUMMYFUNCTION("""COMPUTED_VALUE"""),"DSQ")</f>
        <v>DSQ</v>
      </c>
      <c r="W1520" s="1" t="str">
        <f>IFERROR(__xludf.DUMMYFUNCTION("""COMPUTED_VALUE"""),"DSQ")</f>
        <v>DSQ</v>
      </c>
      <c r="X1520" s="1" t="str">
        <f>IFERROR(__xludf.DUMMYFUNCTION("""COMPUTED_VALUE"""),"DSQ")</f>
        <v>DSQ</v>
      </c>
      <c r="Y1520" s="2"/>
      <c r="Z1520" s="2" t="str">
        <f>IFERROR(__xludf.DUMMYFUNCTION("""COMPUTED_VALUE"""),"")</f>
        <v/>
      </c>
    </row>
    <row r="1521">
      <c r="A1521" s="1">
        <f>IFERROR(__xludf.DUMMYFUNCTION("""COMPUTED_VALUE"""),1520.0)</f>
        <v>1520</v>
      </c>
      <c r="B1521" s="1">
        <f>IFERROR(__xludf.DUMMYFUNCTION("""COMPUTED_VALUE"""),6204.0)</f>
        <v>6204</v>
      </c>
      <c r="C1521" s="2" t="str">
        <f>IFERROR(__xludf.DUMMYFUNCTION("""COMPUTED_VALUE"""),"Siti Syahrinawati")</f>
        <v>Siti Syahrinawati</v>
      </c>
      <c r="D1521" s="2" t="str">
        <f>IFERROR(__xludf.DUMMYFUNCTION("""COMPUTED_VALUE"""),"5KM OVERALL F")</f>
        <v>5KM OVERALL F</v>
      </c>
      <c r="E1521" s="1">
        <f>IFERROR(__xludf.DUMMYFUNCTION("""COMPUTED_VALUE"""),2.0)</f>
        <v>2</v>
      </c>
      <c r="F1521" s="1" t="str">
        <f>IFERROR(__xludf.DUMMYFUNCTION("""COMPUTED_VALUE"""),"Female")</f>
        <v>Female</v>
      </c>
      <c r="G1521" s="4" t="b">
        <f>IFERROR(__xludf.DUMMYFUNCTION("""COMPUTED_VALUE"""),TRUE)</f>
        <v>1</v>
      </c>
      <c r="H1521" s="4" t="b">
        <f>IFERROR(__xludf.DUMMYFUNCTION("""COMPUTED_VALUE"""),TRUE)</f>
        <v>1</v>
      </c>
      <c r="I1521" s="4">
        <f>IFERROR(__xludf.DUMMYFUNCTION("""COMPUTED_VALUE"""),0.2549440625)</f>
        <v>0.2549440625</v>
      </c>
      <c r="J1521" s="4">
        <f>IFERROR(__xludf.DUMMYFUNCTION("""COMPUTED_VALUE"""),45949.28270123027)</f>
        <v>45949.2827</v>
      </c>
      <c r="K1521" s="4" t="str">
        <f>IFERROR(__xludf.DUMMYFUNCTION("""COMPUTED_VALUE"""),"")</f>
        <v/>
      </c>
      <c r="L1521" s="4">
        <f>IFERROR(__xludf.DUMMYFUNCTION("""COMPUTED_VALUE"""),45949.30192865979)</f>
        <v>45949.30193</v>
      </c>
      <c r="M1521" s="1" t="str">
        <f>IFERROR(__xludf.DUMMYFUNCTION("""COMPUTED_VALUE"""),"RFID")</f>
        <v>RFID</v>
      </c>
      <c r="N1521" s="5">
        <f>IFERROR(__xludf.DUMMYFUNCTION("""COMPUTED_VALUE"""),0.011102865740740741)</f>
        <v>0.01110286574</v>
      </c>
      <c r="O1521" s="5" t="str">
        <f>IFERROR(__xludf.DUMMYFUNCTION("""COMPUTED_VALUE"""),"")</f>
        <v/>
      </c>
      <c r="P1521" s="5" t="str">
        <f>IFERROR(__xludf.DUMMYFUNCTION("""COMPUTED_VALUE"""),"")</f>
        <v/>
      </c>
      <c r="Q1521" s="5">
        <f>IFERROR(__xludf.DUMMYFUNCTION("""COMPUTED_VALUE"""),0.009396918981481482)</f>
        <v>0.009396918981</v>
      </c>
      <c r="R1521" s="4">
        <f>IFERROR(__xludf.DUMMYFUNCTION("""COMPUTED_VALUE"""),45949.04698459729)</f>
        <v>45949.04698</v>
      </c>
      <c r="S1521" s="1" t="b">
        <f>IFERROR(__xludf.DUMMYFUNCTION("""COMPUTED_VALUE"""),TRUE)</f>
        <v>1</v>
      </c>
      <c r="T1521" s="1" t="b">
        <f>IFERROR(__xludf.DUMMYFUNCTION("""COMPUTED_VALUE"""),FALSE)</f>
        <v>0</v>
      </c>
      <c r="U1521" s="1" t="str">
        <f>IFERROR(__xludf.DUMMYFUNCTION("""COMPUTED_VALUE"""),"VALID")</f>
        <v>VALID</v>
      </c>
      <c r="V1521" s="1">
        <f>IFERROR(__xludf.DUMMYFUNCTION("""COMPUTED_VALUE"""),458.0)</f>
        <v>458</v>
      </c>
      <c r="W1521" s="1">
        <f>IFERROR(__xludf.DUMMYFUNCTION("""COMPUTED_VALUE"""),1514.0)</f>
        <v>1514</v>
      </c>
      <c r="X1521" s="1">
        <f>IFERROR(__xludf.DUMMYFUNCTION("""COMPUTED_VALUE"""),558.0)</f>
        <v>558</v>
      </c>
      <c r="Y1521" s="2"/>
      <c r="Z1521" s="2"/>
    </row>
    <row r="1522">
      <c r="A1522" s="1">
        <f>IFERROR(__xludf.DUMMYFUNCTION("""COMPUTED_VALUE"""),1521.0)</f>
        <v>1521</v>
      </c>
      <c r="B1522" s="1">
        <f>IFERROR(__xludf.DUMMYFUNCTION("""COMPUTED_VALUE"""),6206.0)</f>
        <v>6206</v>
      </c>
      <c r="C1522" s="2" t="str">
        <f>IFERROR(__xludf.DUMMYFUNCTION("""COMPUTED_VALUE"""),"Eka Yunita")</f>
        <v>Eka Yunita</v>
      </c>
      <c r="D1522" s="2" t="str">
        <f>IFERROR(__xludf.DUMMYFUNCTION("""COMPUTED_VALUE"""),"5KM OVERALL F")</f>
        <v>5KM OVERALL F</v>
      </c>
      <c r="E1522" s="1">
        <f>IFERROR(__xludf.DUMMYFUNCTION("""COMPUTED_VALUE"""),2.0)</f>
        <v>2</v>
      </c>
      <c r="F1522" s="1" t="str">
        <f>IFERROR(__xludf.DUMMYFUNCTION("""COMPUTED_VALUE"""),"Female")</f>
        <v>Female</v>
      </c>
      <c r="G1522" s="4" t="b">
        <f>IFERROR(__xludf.DUMMYFUNCTION("""COMPUTED_VALUE"""),TRUE)</f>
        <v>1</v>
      </c>
      <c r="H1522" s="4" t="b">
        <f>IFERROR(__xludf.DUMMYFUNCTION("""COMPUTED_VALUE"""),TRUE)</f>
        <v>1</v>
      </c>
      <c r="I1522" s="4">
        <f>IFERROR(__xludf.DUMMYFUNCTION("""COMPUTED_VALUE"""),0.2549440625)</f>
        <v>0.2549440625</v>
      </c>
      <c r="J1522" s="4">
        <f>IFERROR(__xludf.DUMMYFUNCTION("""COMPUTED_VALUE"""),45949.27687737684)</f>
        <v>45949.27688</v>
      </c>
      <c r="K1522" s="4" t="str">
        <f>IFERROR(__xludf.DUMMYFUNCTION("""COMPUTED_VALUE"""),"")</f>
        <v/>
      </c>
      <c r="L1522" s="4">
        <f>IFERROR(__xludf.DUMMYFUNCTION("""COMPUTED_VALUE"""),45949.29310572698)</f>
        <v>45949.29311</v>
      </c>
      <c r="M1522" s="1" t="str">
        <f>IFERROR(__xludf.DUMMYFUNCTION("""COMPUTED_VALUE"""),"RFID")</f>
        <v>RFID</v>
      </c>
      <c r="N1522" s="5">
        <f>IFERROR(__xludf.DUMMYFUNCTION("""COMPUTED_VALUE"""),0.008773324074074074)</f>
        <v>0.008773324074</v>
      </c>
      <c r="O1522" s="5" t="str">
        <f>IFERROR(__xludf.DUMMYFUNCTION("""COMPUTED_VALUE"""),"")</f>
        <v/>
      </c>
      <c r="P1522" s="5" t="str">
        <f>IFERROR(__xludf.DUMMYFUNCTION("""COMPUTED_VALUE"""),"")</f>
        <v/>
      </c>
      <c r="Q1522" s="5">
        <f>IFERROR(__xludf.DUMMYFUNCTION("""COMPUTED_VALUE"""),0.007632333333333334)</f>
        <v>0.007632333333</v>
      </c>
      <c r="R1522" s="4">
        <f>IFERROR(__xludf.DUMMYFUNCTION("""COMPUTED_VALUE"""),45949.03816166448)</f>
        <v>45949.03816</v>
      </c>
      <c r="S1522" s="1" t="b">
        <f>IFERROR(__xludf.DUMMYFUNCTION("""COMPUTED_VALUE"""),TRUE)</f>
        <v>1</v>
      </c>
      <c r="T1522" s="1" t="b">
        <f>IFERROR(__xludf.DUMMYFUNCTION("""COMPUTED_VALUE"""),FALSE)</f>
        <v>0</v>
      </c>
      <c r="U1522" s="1" t="str">
        <f>IFERROR(__xludf.DUMMYFUNCTION("""COMPUTED_VALUE"""),"VALID")</f>
        <v>VALID</v>
      </c>
      <c r="V1522" s="1">
        <f>IFERROR(__xludf.DUMMYFUNCTION("""COMPUTED_VALUE"""),255.0)</f>
        <v>255</v>
      </c>
      <c r="W1522" s="1">
        <f>IFERROR(__xludf.DUMMYFUNCTION("""COMPUTED_VALUE"""),1110.0)</f>
        <v>1110</v>
      </c>
      <c r="X1522" s="1">
        <f>IFERROR(__xludf.DUMMYFUNCTION("""COMPUTED_VALUE"""),312.0)</f>
        <v>312</v>
      </c>
      <c r="Y1522" s="2"/>
      <c r="Z1522" s="2"/>
    </row>
    <row r="1523">
      <c r="A1523" s="1">
        <f>IFERROR(__xludf.DUMMYFUNCTION("""COMPUTED_VALUE"""),1522.0)</f>
        <v>1522</v>
      </c>
      <c r="B1523" s="1">
        <f>IFERROR(__xludf.DUMMYFUNCTION("""COMPUTED_VALUE"""),6208.0)</f>
        <v>6208</v>
      </c>
      <c r="C1523" s="2" t="str">
        <f>IFERROR(__xludf.DUMMYFUNCTION("""COMPUTED_VALUE"""),"ashvia")</f>
        <v>ashvia</v>
      </c>
      <c r="D1523" s="2" t="str">
        <f>IFERROR(__xludf.DUMMYFUNCTION("""COMPUTED_VALUE"""),"5KM OVERALL F")</f>
        <v>5KM OVERALL F</v>
      </c>
      <c r="E1523" s="1">
        <f>IFERROR(__xludf.DUMMYFUNCTION("""COMPUTED_VALUE"""),2.0)</f>
        <v>2</v>
      </c>
      <c r="F1523" s="1" t="str">
        <f>IFERROR(__xludf.DUMMYFUNCTION("""COMPUTED_VALUE"""),"Female")</f>
        <v>Female</v>
      </c>
      <c r="G1523" s="4" t="b">
        <f>IFERROR(__xludf.DUMMYFUNCTION("""COMPUTED_VALUE"""),TRUE)</f>
        <v>1</v>
      </c>
      <c r="H1523" s="4" t="b">
        <f>IFERROR(__xludf.DUMMYFUNCTION("""COMPUTED_VALUE"""),FALSE)</f>
        <v>0</v>
      </c>
      <c r="I1523" s="4">
        <f>IFERROR(__xludf.DUMMYFUNCTION("""COMPUTED_VALUE"""),0.2549440625)</f>
        <v>0.2549440625</v>
      </c>
      <c r="J1523" s="4">
        <f>IFERROR(__xludf.DUMMYFUNCTION("""COMPUTED_VALUE"""),45949.28172119272)</f>
        <v>45949.28172</v>
      </c>
      <c r="K1523" s="4" t="str">
        <f>IFERROR(__xludf.DUMMYFUNCTION("""COMPUTED_VALUE"""),"")</f>
        <v/>
      </c>
      <c r="L1523" s="4">
        <f>IFERROR(__xludf.DUMMYFUNCTION("""COMPUTED_VALUE"""),45949.29980712203)</f>
        <v>45949.29981</v>
      </c>
      <c r="M1523" s="1" t="str">
        <f>IFERROR(__xludf.DUMMYFUNCTION("""COMPUTED_VALUE"""),"RFID")</f>
        <v>RFID</v>
      </c>
      <c r="N1523" s="5">
        <f>IFERROR(__xludf.DUMMYFUNCTION("""COMPUTED_VALUE"""),0.01071085185185185)</f>
        <v>0.01071085185</v>
      </c>
      <c r="O1523" s="5" t="str">
        <f>IFERROR(__xludf.DUMMYFUNCTION("""COMPUTED_VALUE"""),"")</f>
        <v/>
      </c>
      <c r="P1523" s="5" t="str">
        <f>IFERROR(__xludf.DUMMYFUNCTION("""COMPUTED_VALUE"""),"")</f>
        <v/>
      </c>
      <c r="Q1523" s="5">
        <f>IFERROR(__xludf.DUMMYFUNCTION("""COMPUTED_VALUE"""),0.008972611111111112)</f>
        <v>0.008972611111</v>
      </c>
      <c r="R1523" s="4">
        <f>IFERROR(__xludf.DUMMYFUNCTION("""COMPUTED_VALUE"""),45949.04486305953)</f>
        <v>45949.04486</v>
      </c>
      <c r="S1523" s="1" t="b">
        <f>IFERROR(__xludf.DUMMYFUNCTION("""COMPUTED_VALUE"""),TRUE)</f>
        <v>1</v>
      </c>
      <c r="T1523" s="1" t="b">
        <f>IFERROR(__xludf.DUMMYFUNCTION("""COMPUTED_VALUE"""),FALSE)</f>
        <v>0</v>
      </c>
      <c r="U1523" s="1" t="str">
        <f>IFERROR(__xludf.DUMMYFUNCTION("""COMPUTED_VALUE"""),"VALID")</f>
        <v>VALID</v>
      </c>
      <c r="V1523" s="1">
        <f>IFERROR(__xludf.DUMMYFUNCTION("""COMPUTED_VALUE"""),413.0)</f>
        <v>413</v>
      </c>
      <c r="W1523" s="1">
        <f>IFERROR(__xludf.DUMMYFUNCTION("""COMPUTED_VALUE"""),1443.0)</f>
        <v>1443</v>
      </c>
      <c r="X1523" s="1">
        <f>IFERROR(__xludf.DUMMYFUNCTION("""COMPUTED_VALUE"""),506.0)</f>
        <v>506</v>
      </c>
      <c r="Y1523" s="2"/>
      <c r="Z1523" s="2"/>
    </row>
    <row r="1524">
      <c r="A1524" s="1">
        <f>IFERROR(__xludf.DUMMYFUNCTION("""COMPUTED_VALUE"""),1523.0)</f>
        <v>1523</v>
      </c>
      <c r="B1524" s="1">
        <f>IFERROR(__xludf.DUMMYFUNCTION("""COMPUTED_VALUE"""),6210.0)</f>
        <v>6210</v>
      </c>
      <c r="C1524" s="2" t="str">
        <f>IFERROR(__xludf.DUMMYFUNCTION("""COMPUTED_VALUE"""),"Dica")</f>
        <v>Dica</v>
      </c>
      <c r="D1524" s="2" t="str">
        <f>IFERROR(__xludf.DUMMYFUNCTION("""COMPUTED_VALUE"""),"5KM OVERALL F")</f>
        <v>5KM OVERALL F</v>
      </c>
      <c r="E1524" s="1">
        <f>IFERROR(__xludf.DUMMYFUNCTION("""COMPUTED_VALUE"""),2.0)</f>
        <v>2</v>
      </c>
      <c r="F1524" s="1" t="str">
        <f>IFERROR(__xludf.DUMMYFUNCTION("""COMPUTED_VALUE"""),"Female")</f>
        <v>Female</v>
      </c>
      <c r="G1524" s="4" t="b">
        <f>IFERROR(__xludf.DUMMYFUNCTION("""COMPUTED_VALUE"""),TRUE)</f>
        <v>1</v>
      </c>
      <c r="H1524" s="4" t="b">
        <f>IFERROR(__xludf.DUMMYFUNCTION("""COMPUTED_VALUE"""),TRUE)</f>
        <v>1</v>
      </c>
      <c r="I1524" s="4">
        <f>IFERROR(__xludf.DUMMYFUNCTION("""COMPUTED_VALUE"""),0.2549440625)</f>
        <v>0.2549440625</v>
      </c>
      <c r="J1524" s="4">
        <f>IFERROR(__xludf.DUMMYFUNCTION("""COMPUTED_VALUE"""),45949.277724620035)</f>
        <v>45949.27772</v>
      </c>
      <c r="K1524" s="4" t="str">
        <f>IFERROR(__xludf.DUMMYFUNCTION("""COMPUTED_VALUE"""),"")</f>
        <v/>
      </c>
      <c r="L1524" s="4">
        <f>IFERROR(__xludf.DUMMYFUNCTION("""COMPUTED_VALUE"""),45949.29439393093)</f>
        <v>45949.29439</v>
      </c>
      <c r="M1524" s="1" t="str">
        <f>IFERROR(__xludf.DUMMYFUNCTION("""COMPUTED_VALUE"""),"RFID")</f>
        <v>RFID</v>
      </c>
      <c r="N1524" s="5">
        <f>IFERROR(__xludf.DUMMYFUNCTION("""COMPUTED_VALUE"""),0.009112222222222223)</f>
        <v>0.009112222222</v>
      </c>
      <c r="O1524" s="5" t="str">
        <f>IFERROR(__xludf.DUMMYFUNCTION("""COMPUTED_VALUE"""),"")</f>
        <v/>
      </c>
      <c r="P1524" s="5" t="str">
        <f>IFERROR(__xludf.DUMMYFUNCTION("""COMPUTED_VALUE"""),"")</f>
        <v/>
      </c>
      <c r="Q1524" s="5">
        <f>IFERROR(__xludf.DUMMYFUNCTION("""COMPUTED_VALUE"""),0.007889974537037037)</f>
        <v>0.007889974537</v>
      </c>
      <c r="R1524" s="4">
        <f>IFERROR(__xludf.DUMMYFUNCTION("""COMPUTED_VALUE"""),45949.03944986843)</f>
        <v>45949.03945</v>
      </c>
      <c r="S1524" s="1" t="b">
        <f>IFERROR(__xludf.DUMMYFUNCTION("""COMPUTED_VALUE"""),TRUE)</f>
        <v>1</v>
      </c>
      <c r="T1524" s="1" t="b">
        <f>IFERROR(__xludf.DUMMYFUNCTION("""COMPUTED_VALUE"""),FALSE)</f>
        <v>0</v>
      </c>
      <c r="U1524" s="1" t="str">
        <f>IFERROR(__xludf.DUMMYFUNCTION("""COMPUTED_VALUE"""),"VALID")</f>
        <v>VALID</v>
      </c>
      <c r="V1524" s="1">
        <f>IFERROR(__xludf.DUMMYFUNCTION("""COMPUTED_VALUE"""),304.0)</f>
        <v>304</v>
      </c>
      <c r="W1524" s="1">
        <f>IFERROR(__xludf.DUMMYFUNCTION("""COMPUTED_VALUE"""),1208.0)</f>
        <v>1208</v>
      </c>
      <c r="X1524" s="1">
        <f>IFERROR(__xludf.DUMMYFUNCTION("""COMPUTED_VALUE"""),368.0)</f>
        <v>368</v>
      </c>
      <c r="Y1524" s="2"/>
      <c r="Z1524" s="2"/>
    </row>
    <row r="1525">
      <c r="A1525" s="1">
        <f>IFERROR(__xludf.DUMMYFUNCTION("""COMPUTED_VALUE"""),1524.0)</f>
        <v>1524</v>
      </c>
      <c r="B1525" s="1">
        <f>IFERROR(__xludf.DUMMYFUNCTION("""COMPUTED_VALUE"""),6215.0)</f>
        <v>6215</v>
      </c>
      <c r="C1525" s="2" t="str">
        <f>IFERROR(__xludf.DUMMYFUNCTION("""COMPUTED_VALUE"""),"SATIYA")</f>
        <v>SATIYA</v>
      </c>
      <c r="D1525" s="2" t="str">
        <f>IFERROR(__xludf.DUMMYFUNCTION("""COMPUTED_VALUE"""),"5KM OVERALL F")</f>
        <v>5KM OVERALL F</v>
      </c>
      <c r="E1525" s="1">
        <f>IFERROR(__xludf.DUMMYFUNCTION("""COMPUTED_VALUE"""),2.0)</f>
        <v>2</v>
      </c>
      <c r="F1525" s="1" t="str">
        <f>IFERROR(__xludf.DUMMYFUNCTION("""COMPUTED_VALUE"""),"Female")</f>
        <v>Female</v>
      </c>
      <c r="G1525" s="4" t="b">
        <f>IFERROR(__xludf.DUMMYFUNCTION("""COMPUTED_VALUE"""),TRUE)</f>
        <v>1</v>
      </c>
      <c r="H1525" s="4" t="b">
        <f>IFERROR(__xludf.DUMMYFUNCTION("""COMPUTED_VALUE"""),TRUE)</f>
        <v>1</v>
      </c>
      <c r="I1525" s="4">
        <f>IFERROR(__xludf.DUMMYFUNCTION("""COMPUTED_VALUE"""),0.2549440625)</f>
        <v>0.2549440625</v>
      </c>
      <c r="J1525" s="4">
        <f>IFERROR(__xludf.DUMMYFUNCTION("""COMPUTED_VALUE"""),45949.275978091326)</f>
        <v>45949.27598</v>
      </c>
      <c r="K1525" s="4" t="str">
        <f>IFERROR(__xludf.DUMMYFUNCTION("""COMPUTED_VALUE"""),"")</f>
        <v/>
      </c>
      <c r="L1525" s="4">
        <f>IFERROR(__xludf.DUMMYFUNCTION("""COMPUTED_VALUE"""),45949.29506058604)</f>
        <v>45949.29506</v>
      </c>
      <c r="M1525" s="1" t="str">
        <f>IFERROR(__xludf.DUMMYFUNCTION("""COMPUTED_VALUE"""),"RFID")</f>
        <v>RFID</v>
      </c>
      <c r="N1525" s="5">
        <f>IFERROR(__xludf.DUMMYFUNCTION("""COMPUTED_VALUE"""),0.008413611111111111)</f>
        <v>0.008413611111</v>
      </c>
      <c r="O1525" s="5" t="str">
        <f>IFERROR(__xludf.DUMMYFUNCTION("""COMPUTED_VALUE"""),"")</f>
        <v/>
      </c>
      <c r="P1525" s="5" t="str">
        <f>IFERROR(__xludf.DUMMYFUNCTION("""COMPUTED_VALUE"""),"")</f>
        <v/>
      </c>
      <c r="Q1525" s="5">
        <f>IFERROR(__xludf.DUMMYFUNCTION("""COMPUTED_VALUE"""),0.008023305555555556)</f>
        <v>0.008023305556</v>
      </c>
      <c r="R1525" s="4">
        <f>IFERROR(__xludf.DUMMYFUNCTION("""COMPUTED_VALUE"""),45949.04011652354)</f>
        <v>45949.04012</v>
      </c>
      <c r="S1525" s="1" t="b">
        <f>IFERROR(__xludf.DUMMYFUNCTION("""COMPUTED_VALUE"""),TRUE)</f>
        <v>1</v>
      </c>
      <c r="T1525" s="1" t="b">
        <f>IFERROR(__xludf.DUMMYFUNCTION("""COMPUTED_VALUE"""),FALSE)</f>
        <v>0</v>
      </c>
      <c r="U1525" s="1" t="str">
        <f>IFERROR(__xludf.DUMMYFUNCTION("""COMPUTED_VALUE"""),"VALID")</f>
        <v>VALID</v>
      </c>
      <c r="V1525" s="1">
        <f>IFERROR(__xludf.DUMMYFUNCTION("""COMPUTED_VALUE"""),323.0)</f>
        <v>323</v>
      </c>
      <c r="W1525" s="1">
        <f>IFERROR(__xludf.DUMMYFUNCTION("""COMPUTED_VALUE"""),1247.0)</f>
        <v>1247</v>
      </c>
      <c r="X1525" s="1">
        <f>IFERROR(__xludf.DUMMYFUNCTION("""COMPUTED_VALUE"""),391.0)</f>
        <v>391</v>
      </c>
      <c r="Y1525" s="2"/>
      <c r="Z1525" s="2"/>
    </row>
    <row r="1526">
      <c r="A1526" s="1">
        <f>IFERROR(__xludf.DUMMYFUNCTION("""COMPUTED_VALUE"""),1525.0)</f>
        <v>1525</v>
      </c>
      <c r="B1526" s="1">
        <f>IFERROR(__xludf.DUMMYFUNCTION("""COMPUTED_VALUE"""),6216.0)</f>
        <v>6216</v>
      </c>
      <c r="C1526" s="2" t="str">
        <f>IFERROR(__xludf.DUMMYFUNCTION("""COMPUTED_VALUE"""),"H5H")</f>
        <v>H5H</v>
      </c>
      <c r="D1526" s="2" t="str">
        <f>IFERROR(__xludf.DUMMYFUNCTION("""COMPUTED_VALUE"""),"5KM OVERALL F")</f>
        <v>5KM OVERALL F</v>
      </c>
      <c r="E1526" s="1">
        <f>IFERROR(__xludf.DUMMYFUNCTION("""COMPUTED_VALUE"""),2.0)</f>
        <v>2</v>
      </c>
      <c r="F1526" s="1" t="str">
        <f>IFERROR(__xludf.DUMMYFUNCTION("""COMPUTED_VALUE"""),"Female")</f>
        <v>Female</v>
      </c>
      <c r="G1526" s="4" t="b">
        <f>IFERROR(__xludf.DUMMYFUNCTION("""COMPUTED_VALUE"""),TRUE)</f>
        <v>1</v>
      </c>
      <c r="H1526" s="4" t="b">
        <f>IFERROR(__xludf.DUMMYFUNCTION("""COMPUTED_VALUE"""),FALSE)</f>
        <v>0</v>
      </c>
      <c r="I1526" s="4">
        <f>IFERROR(__xludf.DUMMYFUNCTION("""COMPUTED_VALUE"""),0.2549440625)</f>
        <v>0.2549440625</v>
      </c>
      <c r="J1526" s="4">
        <f>IFERROR(__xludf.DUMMYFUNCTION("""COMPUTED_VALUE"""),45949.27758924679)</f>
        <v>45949.27759</v>
      </c>
      <c r="K1526" s="4" t="str">
        <f>IFERROR(__xludf.DUMMYFUNCTION("""COMPUTED_VALUE"""),"")</f>
        <v/>
      </c>
      <c r="L1526" s="4">
        <f>IFERROR(__xludf.DUMMYFUNCTION("""COMPUTED_VALUE"""),45949.29492864402)</f>
        <v>45949.29493</v>
      </c>
      <c r="M1526" s="1" t="str">
        <f>IFERROR(__xludf.DUMMYFUNCTION("""COMPUTED_VALUE"""),"RFID")</f>
        <v>RFID</v>
      </c>
      <c r="N1526" s="5">
        <f>IFERROR(__xludf.DUMMYFUNCTION("""COMPUTED_VALUE"""),0.009058074074074074)</f>
        <v>0.009058074074</v>
      </c>
      <c r="O1526" s="5" t="str">
        <f>IFERROR(__xludf.DUMMYFUNCTION("""COMPUTED_VALUE"""),"")</f>
        <v/>
      </c>
      <c r="P1526" s="5" t="str">
        <f>IFERROR(__xludf.DUMMYFUNCTION("""COMPUTED_VALUE"""),"")</f>
        <v/>
      </c>
      <c r="Q1526" s="5">
        <f>IFERROR(__xludf.DUMMYFUNCTION("""COMPUTED_VALUE"""),0.007996916666666668)</f>
        <v>0.007996916667</v>
      </c>
      <c r="R1526" s="4">
        <f>IFERROR(__xludf.DUMMYFUNCTION("""COMPUTED_VALUE"""),45949.03998458152)</f>
        <v>45949.03998</v>
      </c>
      <c r="S1526" s="1" t="b">
        <f>IFERROR(__xludf.DUMMYFUNCTION("""COMPUTED_VALUE"""),TRUE)</f>
        <v>1</v>
      </c>
      <c r="T1526" s="1" t="b">
        <f>IFERROR(__xludf.DUMMYFUNCTION("""COMPUTED_VALUE"""),FALSE)</f>
        <v>0</v>
      </c>
      <c r="U1526" s="1" t="str">
        <f>IFERROR(__xludf.DUMMYFUNCTION("""COMPUTED_VALUE"""),"VALID")</f>
        <v>VALID</v>
      </c>
      <c r="V1526" s="1">
        <f>IFERROR(__xludf.DUMMYFUNCTION("""COMPUTED_VALUE"""),320.0)</f>
        <v>320</v>
      </c>
      <c r="W1526" s="1">
        <f>IFERROR(__xludf.DUMMYFUNCTION("""COMPUTED_VALUE"""),1243.0)</f>
        <v>1243</v>
      </c>
      <c r="X1526" s="1">
        <f>IFERROR(__xludf.DUMMYFUNCTION("""COMPUTED_VALUE"""),387.0)</f>
        <v>387</v>
      </c>
      <c r="Y1526" s="2"/>
      <c r="Z1526" s="2"/>
    </row>
    <row r="1527">
      <c r="A1527" s="1">
        <f>IFERROR(__xludf.DUMMYFUNCTION("""COMPUTED_VALUE"""),1526.0)</f>
        <v>1526</v>
      </c>
      <c r="B1527" s="1">
        <f>IFERROR(__xludf.DUMMYFUNCTION("""COMPUTED_VALUE"""),6218.0)</f>
        <v>6218</v>
      </c>
      <c r="C1527" s="2" t="str">
        <f>IFERROR(__xludf.DUMMYFUNCTION("""COMPUTED_VALUE"""),"Devina")</f>
        <v>Devina</v>
      </c>
      <c r="D1527" s="2" t="str">
        <f>IFERROR(__xludf.DUMMYFUNCTION("""COMPUTED_VALUE"""),"5KM OVERALL F")</f>
        <v>5KM OVERALL F</v>
      </c>
      <c r="E1527" s="1">
        <f>IFERROR(__xludf.DUMMYFUNCTION("""COMPUTED_VALUE"""),2.0)</f>
        <v>2</v>
      </c>
      <c r="F1527" s="1" t="str">
        <f>IFERROR(__xludf.DUMMYFUNCTION("""COMPUTED_VALUE"""),"Female")</f>
        <v>Female</v>
      </c>
      <c r="G1527" s="4" t="b">
        <f>IFERROR(__xludf.DUMMYFUNCTION("""COMPUTED_VALUE"""),TRUE)</f>
        <v>1</v>
      </c>
      <c r="H1527" s="4" t="b">
        <f>IFERROR(__xludf.DUMMYFUNCTION("""COMPUTED_VALUE"""),TRUE)</f>
        <v>1</v>
      </c>
      <c r="I1527" s="4">
        <f>IFERROR(__xludf.DUMMYFUNCTION("""COMPUTED_VALUE"""),0.2549440625)</f>
        <v>0.2549440625</v>
      </c>
      <c r="J1527" s="4">
        <f>IFERROR(__xludf.DUMMYFUNCTION("""COMPUTED_VALUE"""),45949.27849891969)</f>
        <v>45949.2785</v>
      </c>
      <c r="K1527" s="4" t="str">
        <f>IFERROR(__xludf.DUMMYFUNCTION("""COMPUTED_VALUE"""),"")</f>
        <v/>
      </c>
      <c r="L1527" s="4">
        <f>IFERROR(__xludf.DUMMYFUNCTION("""COMPUTED_VALUE"""),45949.294300185866)</f>
        <v>45949.2943</v>
      </c>
      <c r="M1527" s="1" t="str">
        <f>IFERROR(__xludf.DUMMYFUNCTION("""COMPUTED_VALUE"""),"RFID")</f>
        <v>RFID</v>
      </c>
      <c r="N1527" s="5">
        <f>IFERROR(__xludf.DUMMYFUNCTION("""COMPUTED_VALUE"""),0.009421944444444445)</f>
        <v>0.009421944444</v>
      </c>
      <c r="O1527" s="5" t="str">
        <f>IFERROR(__xludf.DUMMYFUNCTION("""COMPUTED_VALUE"""),"")</f>
        <v/>
      </c>
      <c r="P1527" s="5" t="str">
        <f>IFERROR(__xludf.DUMMYFUNCTION("""COMPUTED_VALUE"""),"")</f>
        <v/>
      </c>
      <c r="Q1527" s="5">
        <f>IFERROR(__xludf.DUMMYFUNCTION("""COMPUTED_VALUE"""),0.007871224537037038)</f>
        <v>0.007871224537</v>
      </c>
      <c r="R1527" s="4">
        <f>IFERROR(__xludf.DUMMYFUNCTION("""COMPUTED_VALUE"""),45949.039356123365)</f>
        <v>45949.03936</v>
      </c>
      <c r="S1527" s="1" t="b">
        <f>IFERROR(__xludf.DUMMYFUNCTION("""COMPUTED_VALUE"""),TRUE)</f>
        <v>1</v>
      </c>
      <c r="T1527" s="1" t="b">
        <f>IFERROR(__xludf.DUMMYFUNCTION("""COMPUTED_VALUE"""),FALSE)</f>
        <v>0</v>
      </c>
      <c r="U1527" s="1" t="str">
        <f>IFERROR(__xludf.DUMMYFUNCTION("""COMPUTED_VALUE"""),"VALID")</f>
        <v>VALID</v>
      </c>
      <c r="V1527" s="1">
        <f>IFERROR(__xludf.DUMMYFUNCTION("""COMPUTED_VALUE"""),298.0)</f>
        <v>298</v>
      </c>
      <c r="W1527" s="1">
        <f>IFERROR(__xludf.DUMMYFUNCTION("""COMPUTED_VALUE"""),1199.0)</f>
        <v>1199</v>
      </c>
      <c r="X1527" s="1">
        <f>IFERROR(__xludf.DUMMYFUNCTION("""COMPUTED_VALUE"""),361.0)</f>
        <v>361</v>
      </c>
      <c r="Y1527" s="2"/>
      <c r="Z1527" s="2"/>
    </row>
    <row r="1528">
      <c r="A1528" s="1">
        <f>IFERROR(__xludf.DUMMYFUNCTION("""COMPUTED_VALUE"""),1527.0)</f>
        <v>1527</v>
      </c>
      <c r="B1528" s="1">
        <f>IFERROR(__xludf.DUMMYFUNCTION("""COMPUTED_VALUE"""),6221.0)</f>
        <v>6221</v>
      </c>
      <c r="C1528" s="2" t="str">
        <f>IFERROR(__xludf.DUMMYFUNCTION("""COMPUTED_VALUE"""),"ASTRI")</f>
        <v>ASTRI</v>
      </c>
      <c r="D1528" s="2" t="str">
        <f>IFERROR(__xludf.DUMMYFUNCTION("""COMPUTED_VALUE"""),"5KM OVERALL F")</f>
        <v>5KM OVERALL F</v>
      </c>
      <c r="E1528" s="1">
        <f>IFERROR(__xludf.DUMMYFUNCTION("""COMPUTED_VALUE"""),2.0)</f>
        <v>2</v>
      </c>
      <c r="F1528" s="1" t="str">
        <f>IFERROR(__xludf.DUMMYFUNCTION("""COMPUTED_VALUE"""),"Female")</f>
        <v>Female</v>
      </c>
      <c r="G1528" s="4" t="str">
        <f>IFERROR(__xludf.DUMMYFUNCTION("""COMPUTED_VALUE"""),"")</f>
        <v/>
      </c>
      <c r="H1528" s="4" t="b">
        <f>IFERROR(__xludf.DUMMYFUNCTION("""COMPUTED_VALUE"""),FALSE)</f>
        <v>0</v>
      </c>
      <c r="I1528" s="4">
        <f>IFERROR(__xludf.DUMMYFUNCTION("""COMPUTED_VALUE"""),0.2549440625)</f>
        <v>0.2549440625</v>
      </c>
      <c r="J1528" s="4" t="str">
        <f>IFERROR(__xludf.DUMMYFUNCTION("""COMPUTED_VALUE"""),"")</f>
        <v/>
      </c>
      <c r="K1528" s="4" t="str">
        <f>IFERROR(__xludf.DUMMYFUNCTION("""COMPUTED_VALUE"""),"")</f>
        <v/>
      </c>
      <c r="L1528" s="4" t="str">
        <f>IFERROR(__xludf.DUMMYFUNCTION("""COMPUTED_VALUE"""),"")</f>
        <v/>
      </c>
      <c r="M1528" s="1" t="str">
        <f>IFERROR(__xludf.DUMMYFUNCTION("""COMPUTED_VALUE"""),"RFID")</f>
        <v>RFID</v>
      </c>
      <c r="N1528" s="5" t="str">
        <f>IFERROR(__xludf.DUMMYFUNCTION("""COMPUTED_VALUE"""),"")</f>
        <v/>
      </c>
      <c r="O1528" s="5" t="str">
        <f>IFERROR(__xludf.DUMMYFUNCTION("""COMPUTED_VALUE"""),"")</f>
        <v/>
      </c>
      <c r="P1528" s="5" t="str">
        <f>IFERROR(__xludf.DUMMYFUNCTION("""COMPUTED_VALUE"""),"")</f>
        <v/>
      </c>
      <c r="Q1528" s="5" t="str">
        <f>IFERROR(__xludf.DUMMYFUNCTION("""COMPUTED_VALUE"""),"")</f>
        <v/>
      </c>
      <c r="R1528" s="4" t="str">
        <f>IFERROR(__xludf.DUMMYFUNCTION("""COMPUTED_VALUE"""),"")</f>
        <v/>
      </c>
      <c r="S1528" s="1" t="b">
        <f>IFERROR(__xludf.DUMMYFUNCTION("""COMPUTED_VALUE"""),FALSE)</f>
        <v>0</v>
      </c>
      <c r="T1528" s="1" t="b">
        <f>IFERROR(__xludf.DUMMYFUNCTION("""COMPUTED_VALUE"""),FALSE)</f>
        <v>0</v>
      </c>
      <c r="U1528" s="1" t="str">
        <f>IFERROR(__xludf.DUMMYFUNCTION("""COMPUTED_VALUE"""),"DSQ")</f>
        <v>DSQ</v>
      </c>
      <c r="V1528" s="1" t="str">
        <f>IFERROR(__xludf.DUMMYFUNCTION("""COMPUTED_VALUE"""),"DSQ")</f>
        <v>DSQ</v>
      </c>
      <c r="W1528" s="1" t="str">
        <f>IFERROR(__xludf.DUMMYFUNCTION("""COMPUTED_VALUE"""),"DSQ")</f>
        <v>DSQ</v>
      </c>
      <c r="X1528" s="1" t="str">
        <f>IFERROR(__xludf.DUMMYFUNCTION("""COMPUTED_VALUE"""),"DSQ")</f>
        <v>DSQ</v>
      </c>
      <c r="Y1528" s="2"/>
      <c r="Z1528" s="2" t="str">
        <f>IFERROR(__xludf.DUMMYFUNCTION("""COMPUTED_VALUE"""),"")</f>
        <v/>
      </c>
    </row>
    <row r="1529">
      <c r="A1529" s="1">
        <f>IFERROR(__xludf.DUMMYFUNCTION("""COMPUTED_VALUE"""),1528.0)</f>
        <v>1528</v>
      </c>
      <c r="B1529" s="1">
        <f>IFERROR(__xludf.DUMMYFUNCTION("""COMPUTED_VALUE"""),6222.0)</f>
        <v>6222</v>
      </c>
      <c r="C1529" s="2" t="str">
        <f>IFERROR(__xludf.DUMMYFUNCTION("""COMPUTED_VALUE"""),"kokom")</f>
        <v>kokom</v>
      </c>
      <c r="D1529" s="2" t="str">
        <f>IFERROR(__xludf.DUMMYFUNCTION("""COMPUTED_VALUE"""),"5KM OVERALL F")</f>
        <v>5KM OVERALL F</v>
      </c>
      <c r="E1529" s="1">
        <f>IFERROR(__xludf.DUMMYFUNCTION("""COMPUTED_VALUE"""),2.0)</f>
        <v>2</v>
      </c>
      <c r="F1529" s="1" t="str">
        <f>IFERROR(__xludf.DUMMYFUNCTION("""COMPUTED_VALUE"""),"Female")</f>
        <v>Female</v>
      </c>
      <c r="G1529" s="4" t="b">
        <f>IFERROR(__xludf.DUMMYFUNCTION("""COMPUTED_VALUE"""),TRUE)</f>
        <v>1</v>
      </c>
      <c r="H1529" s="4" t="b">
        <f>IFERROR(__xludf.DUMMYFUNCTION("""COMPUTED_VALUE"""),FALSE)</f>
        <v>0</v>
      </c>
      <c r="I1529" s="4">
        <f>IFERROR(__xludf.DUMMYFUNCTION("""COMPUTED_VALUE"""),0.2549440625)</f>
        <v>0.2549440625</v>
      </c>
      <c r="J1529" s="4">
        <f>IFERROR(__xludf.DUMMYFUNCTION("""COMPUTED_VALUE"""),45949.28815522128)</f>
        <v>45949.28816</v>
      </c>
      <c r="K1529" s="4" t="str">
        <f>IFERROR(__xludf.DUMMYFUNCTION("""COMPUTED_VALUE"""),"")</f>
        <v/>
      </c>
      <c r="L1529" s="4">
        <f>IFERROR(__xludf.DUMMYFUNCTION("""COMPUTED_VALUE"""),45949.31089739958)</f>
        <v>45949.3109</v>
      </c>
      <c r="M1529" s="1" t="str">
        <f>IFERROR(__xludf.DUMMYFUNCTION("""COMPUTED_VALUE"""),"RFID")</f>
        <v>RFID</v>
      </c>
      <c r="N1529" s="5">
        <f>IFERROR(__xludf.DUMMYFUNCTION("""COMPUTED_VALUE"""),0.013284462962962961)</f>
        <v>0.01328446296</v>
      </c>
      <c r="O1529" s="5" t="str">
        <f>IFERROR(__xludf.DUMMYFUNCTION("""COMPUTED_VALUE"""),"")</f>
        <v/>
      </c>
      <c r="P1529" s="5" t="str">
        <f>IFERROR(__xludf.DUMMYFUNCTION("""COMPUTED_VALUE"""),"")</f>
        <v/>
      </c>
      <c r="Q1529" s="5">
        <f>IFERROR(__xludf.DUMMYFUNCTION("""COMPUTED_VALUE"""),0.011190666666666668)</f>
        <v>0.01119066667</v>
      </c>
      <c r="R1529" s="4">
        <f>IFERROR(__xludf.DUMMYFUNCTION("""COMPUTED_VALUE"""),45949.055953337076)</f>
        <v>45949.05595</v>
      </c>
      <c r="S1529" s="1" t="b">
        <f>IFERROR(__xludf.DUMMYFUNCTION("""COMPUTED_VALUE"""),TRUE)</f>
        <v>1</v>
      </c>
      <c r="T1529" s="1" t="b">
        <f>IFERROR(__xludf.DUMMYFUNCTION("""COMPUTED_VALUE"""),FALSE)</f>
        <v>0</v>
      </c>
      <c r="U1529" s="1" t="str">
        <f>IFERROR(__xludf.DUMMYFUNCTION("""COMPUTED_VALUE"""),"VALID")</f>
        <v>VALID</v>
      </c>
      <c r="V1529" s="1">
        <f>IFERROR(__xludf.DUMMYFUNCTION("""COMPUTED_VALUE"""),507.0)</f>
        <v>507</v>
      </c>
      <c r="W1529" s="1">
        <f>IFERROR(__xludf.DUMMYFUNCTION("""COMPUTED_VALUE"""),1606.0)</f>
        <v>1606</v>
      </c>
      <c r="X1529" s="1">
        <f>IFERROR(__xludf.DUMMYFUNCTION("""COMPUTED_VALUE"""),634.0)</f>
        <v>634</v>
      </c>
      <c r="Y1529" s="2"/>
      <c r="Z1529" s="2"/>
    </row>
    <row r="1530">
      <c r="A1530" s="1">
        <f>IFERROR(__xludf.DUMMYFUNCTION("""COMPUTED_VALUE"""),1529.0)</f>
        <v>1529</v>
      </c>
      <c r="B1530" s="1">
        <f>IFERROR(__xludf.DUMMYFUNCTION("""COMPUTED_VALUE"""),6223.0)</f>
        <v>6223</v>
      </c>
      <c r="C1530" s="2" t="str">
        <f>IFERROR(__xludf.DUMMYFUNCTION("""COMPUTED_VALUE"""),"ERMIN SRI WULANDARI")</f>
        <v>ERMIN SRI WULANDARI</v>
      </c>
      <c r="D1530" s="2" t="str">
        <f>IFERROR(__xludf.DUMMYFUNCTION("""COMPUTED_VALUE"""),"5KM OVERALL F")</f>
        <v>5KM OVERALL F</v>
      </c>
      <c r="E1530" s="1">
        <f>IFERROR(__xludf.DUMMYFUNCTION("""COMPUTED_VALUE"""),2.0)</f>
        <v>2</v>
      </c>
      <c r="F1530" s="1" t="str">
        <f>IFERROR(__xludf.DUMMYFUNCTION("""COMPUTED_VALUE"""),"Female")</f>
        <v>Female</v>
      </c>
      <c r="G1530" s="4" t="str">
        <f>IFERROR(__xludf.DUMMYFUNCTION("""COMPUTED_VALUE"""),"")</f>
        <v/>
      </c>
      <c r="H1530" s="4" t="b">
        <f>IFERROR(__xludf.DUMMYFUNCTION("""COMPUTED_VALUE"""),FALSE)</f>
        <v>0</v>
      </c>
      <c r="I1530" s="4">
        <f>IFERROR(__xludf.DUMMYFUNCTION("""COMPUTED_VALUE"""),0.2549440625)</f>
        <v>0.2549440625</v>
      </c>
      <c r="J1530" s="4" t="str">
        <f>IFERROR(__xludf.DUMMYFUNCTION("""COMPUTED_VALUE"""),"")</f>
        <v/>
      </c>
      <c r="K1530" s="4" t="str">
        <f>IFERROR(__xludf.DUMMYFUNCTION("""COMPUTED_VALUE"""),"")</f>
        <v/>
      </c>
      <c r="L1530" s="4" t="str">
        <f>IFERROR(__xludf.DUMMYFUNCTION("""COMPUTED_VALUE"""),"")</f>
        <v/>
      </c>
      <c r="M1530" s="1" t="str">
        <f>IFERROR(__xludf.DUMMYFUNCTION("""COMPUTED_VALUE"""),"RFID")</f>
        <v>RFID</v>
      </c>
      <c r="N1530" s="5" t="str">
        <f>IFERROR(__xludf.DUMMYFUNCTION("""COMPUTED_VALUE"""),"")</f>
        <v/>
      </c>
      <c r="O1530" s="5" t="str">
        <f>IFERROR(__xludf.DUMMYFUNCTION("""COMPUTED_VALUE"""),"")</f>
        <v/>
      </c>
      <c r="P1530" s="5" t="str">
        <f>IFERROR(__xludf.DUMMYFUNCTION("""COMPUTED_VALUE"""),"")</f>
        <v/>
      </c>
      <c r="Q1530" s="5" t="str">
        <f>IFERROR(__xludf.DUMMYFUNCTION("""COMPUTED_VALUE"""),"")</f>
        <v/>
      </c>
      <c r="R1530" s="4" t="str">
        <f>IFERROR(__xludf.DUMMYFUNCTION("""COMPUTED_VALUE"""),"")</f>
        <v/>
      </c>
      <c r="S1530" s="1" t="b">
        <f>IFERROR(__xludf.DUMMYFUNCTION("""COMPUTED_VALUE"""),FALSE)</f>
        <v>0</v>
      </c>
      <c r="T1530" s="1" t="b">
        <f>IFERROR(__xludf.DUMMYFUNCTION("""COMPUTED_VALUE"""),FALSE)</f>
        <v>0</v>
      </c>
      <c r="U1530" s="1" t="str">
        <f>IFERROR(__xludf.DUMMYFUNCTION("""COMPUTED_VALUE"""),"DSQ")</f>
        <v>DSQ</v>
      </c>
      <c r="V1530" s="1" t="str">
        <f>IFERROR(__xludf.DUMMYFUNCTION("""COMPUTED_VALUE"""),"DSQ")</f>
        <v>DSQ</v>
      </c>
      <c r="W1530" s="1" t="str">
        <f>IFERROR(__xludf.DUMMYFUNCTION("""COMPUTED_VALUE"""),"DSQ")</f>
        <v>DSQ</v>
      </c>
      <c r="X1530" s="1" t="str">
        <f>IFERROR(__xludf.DUMMYFUNCTION("""COMPUTED_VALUE"""),"DSQ")</f>
        <v>DSQ</v>
      </c>
      <c r="Y1530" s="2"/>
      <c r="Z1530" s="2" t="str">
        <f>IFERROR(__xludf.DUMMYFUNCTION("""COMPUTED_VALUE"""),"")</f>
        <v/>
      </c>
    </row>
    <row r="1531">
      <c r="A1531" s="1">
        <f>IFERROR(__xludf.DUMMYFUNCTION("""COMPUTED_VALUE"""),1530.0)</f>
        <v>1530</v>
      </c>
      <c r="B1531" s="1">
        <f>IFERROR(__xludf.DUMMYFUNCTION("""COMPUTED_VALUE"""),6228.0)</f>
        <v>6228</v>
      </c>
      <c r="C1531" s="2" t="str">
        <f>IFERROR(__xludf.DUMMYFUNCTION("""COMPUTED_VALUE"""),"Amat Pojok")</f>
        <v>Amat Pojok</v>
      </c>
      <c r="D1531" s="2" t="str">
        <f>IFERROR(__xludf.DUMMYFUNCTION("""COMPUTED_VALUE"""),"5KM OVERALL F")</f>
        <v>5KM OVERALL F</v>
      </c>
      <c r="E1531" s="1">
        <f>IFERROR(__xludf.DUMMYFUNCTION("""COMPUTED_VALUE"""),2.0)</f>
        <v>2</v>
      </c>
      <c r="F1531" s="1" t="str">
        <f>IFERROR(__xludf.DUMMYFUNCTION("""COMPUTED_VALUE"""),"Female")</f>
        <v>Female</v>
      </c>
      <c r="G1531" s="4" t="b">
        <f>IFERROR(__xludf.DUMMYFUNCTION("""COMPUTED_VALUE"""),TRUE)</f>
        <v>1</v>
      </c>
      <c r="H1531" s="4" t="b">
        <f>IFERROR(__xludf.DUMMYFUNCTION("""COMPUTED_VALUE"""),TRUE)</f>
        <v>1</v>
      </c>
      <c r="I1531" s="4">
        <f>IFERROR(__xludf.DUMMYFUNCTION("""COMPUTED_VALUE"""),0.2549440625)</f>
        <v>0.2549440625</v>
      </c>
      <c r="J1531" s="4">
        <f>IFERROR(__xludf.DUMMYFUNCTION("""COMPUTED_VALUE"""),45949.28210309723)</f>
        <v>45949.2821</v>
      </c>
      <c r="K1531" s="4" t="str">
        <f>IFERROR(__xludf.DUMMYFUNCTION("""COMPUTED_VALUE"""),"")</f>
        <v/>
      </c>
      <c r="L1531" s="4">
        <f>IFERROR(__xludf.DUMMYFUNCTION("""COMPUTED_VALUE"""),45949.29936384987)</f>
        <v>45949.29936</v>
      </c>
      <c r="M1531" s="1" t="str">
        <f>IFERROR(__xludf.DUMMYFUNCTION("""COMPUTED_VALUE"""),"RFID")</f>
        <v>RFID</v>
      </c>
      <c r="N1531" s="5">
        <f>IFERROR(__xludf.DUMMYFUNCTION("""COMPUTED_VALUE"""),0.010863615740740741)</f>
        <v>0.01086361574</v>
      </c>
      <c r="O1531" s="5" t="str">
        <f>IFERROR(__xludf.DUMMYFUNCTION("""COMPUTED_VALUE"""),"")</f>
        <v/>
      </c>
      <c r="P1531" s="5" t="str">
        <f>IFERROR(__xludf.DUMMYFUNCTION("""COMPUTED_VALUE"""),"")</f>
        <v/>
      </c>
      <c r="Q1531" s="5">
        <f>IFERROR(__xludf.DUMMYFUNCTION("""COMPUTED_VALUE"""),0.008883958333333334)</f>
        <v>0.008883958333</v>
      </c>
      <c r="R1531" s="4">
        <f>IFERROR(__xludf.DUMMYFUNCTION("""COMPUTED_VALUE"""),45949.044419787366)</f>
        <v>45949.04442</v>
      </c>
      <c r="S1531" s="1" t="b">
        <f>IFERROR(__xludf.DUMMYFUNCTION("""COMPUTED_VALUE"""),TRUE)</f>
        <v>1</v>
      </c>
      <c r="T1531" s="1" t="b">
        <f>IFERROR(__xludf.DUMMYFUNCTION("""COMPUTED_VALUE"""),FALSE)</f>
        <v>0</v>
      </c>
      <c r="U1531" s="1" t="str">
        <f>IFERROR(__xludf.DUMMYFUNCTION("""COMPUTED_VALUE"""),"VALID")</f>
        <v>VALID</v>
      </c>
      <c r="V1531" s="1">
        <f>IFERROR(__xludf.DUMMYFUNCTION("""COMPUTED_VALUE"""),406.0)</f>
        <v>406</v>
      </c>
      <c r="W1531" s="1">
        <f>IFERROR(__xludf.DUMMYFUNCTION("""COMPUTED_VALUE"""),1426.0)</f>
        <v>1426</v>
      </c>
      <c r="X1531" s="1">
        <f>IFERROR(__xludf.DUMMYFUNCTION("""COMPUTED_VALUE"""),497.0)</f>
        <v>497</v>
      </c>
      <c r="Y1531" s="2"/>
      <c r="Z1531" s="2"/>
    </row>
    <row r="1532">
      <c r="A1532" s="1">
        <f>IFERROR(__xludf.DUMMYFUNCTION("""COMPUTED_VALUE"""),1531.0)</f>
        <v>1531</v>
      </c>
      <c r="B1532" s="1">
        <f>IFERROR(__xludf.DUMMYFUNCTION("""COMPUTED_VALUE"""),6230.0)</f>
        <v>6230</v>
      </c>
      <c r="C1532" s="2" t="str">
        <f>IFERROR(__xludf.DUMMYFUNCTION("""COMPUTED_VALUE"""),"Tina")</f>
        <v>Tina</v>
      </c>
      <c r="D1532" s="2" t="str">
        <f>IFERROR(__xludf.DUMMYFUNCTION("""COMPUTED_VALUE"""),"5KM OVERALL F")</f>
        <v>5KM OVERALL F</v>
      </c>
      <c r="E1532" s="1">
        <f>IFERROR(__xludf.DUMMYFUNCTION("""COMPUTED_VALUE"""),2.0)</f>
        <v>2</v>
      </c>
      <c r="F1532" s="1" t="str">
        <f>IFERROR(__xludf.DUMMYFUNCTION("""COMPUTED_VALUE"""),"Female")</f>
        <v>Female</v>
      </c>
      <c r="G1532" s="4" t="b">
        <f>IFERROR(__xludf.DUMMYFUNCTION("""COMPUTED_VALUE"""),TRUE)</f>
        <v>1</v>
      </c>
      <c r="H1532" s="4" t="b">
        <f>IFERROR(__xludf.DUMMYFUNCTION("""COMPUTED_VALUE"""),TRUE)</f>
        <v>1</v>
      </c>
      <c r="I1532" s="4">
        <f>IFERROR(__xludf.DUMMYFUNCTION("""COMPUTED_VALUE"""),0.2549440625)</f>
        <v>0.2549440625</v>
      </c>
      <c r="J1532" s="4">
        <f>IFERROR(__xludf.DUMMYFUNCTION("""COMPUTED_VALUE"""),45949.27935308418)</f>
        <v>45949.27935</v>
      </c>
      <c r="K1532" s="4" t="str">
        <f>IFERROR(__xludf.DUMMYFUNCTION("""COMPUTED_VALUE"""),"")</f>
        <v/>
      </c>
      <c r="L1532" s="4">
        <f>IFERROR(__xludf.DUMMYFUNCTION("""COMPUTED_VALUE"""),45949.29419950357)</f>
        <v>45949.2942</v>
      </c>
      <c r="M1532" s="1" t="str">
        <f>IFERROR(__xludf.DUMMYFUNCTION("""COMPUTED_VALUE"""),"RFID")</f>
        <v>RFID</v>
      </c>
      <c r="N1532" s="5">
        <f>IFERROR(__xludf.DUMMYFUNCTION("""COMPUTED_VALUE"""),0.00976360648148148)</f>
        <v>0.009763606481</v>
      </c>
      <c r="O1532" s="5" t="str">
        <f>IFERROR(__xludf.DUMMYFUNCTION("""COMPUTED_VALUE"""),"")</f>
        <v/>
      </c>
      <c r="P1532" s="5" t="str">
        <f>IFERROR(__xludf.DUMMYFUNCTION("""COMPUTED_VALUE"""),"")</f>
        <v/>
      </c>
      <c r="Q1532" s="5">
        <f>IFERROR(__xludf.DUMMYFUNCTION("""COMPUTED_VALUE"""),0.007851087962962962)</f>
        <v>0.007851087963</v>
      </c>
      <c r="R1532" s="4">
        <f>IFERROR(__xludf.DUMMYFUNCTION("""COMPUTED_VALUE"""),45949.03925544107)</f>
        <v>45949.03926</v>
      </c>
      <c r="S1532" s="1" t="b">
        <f>IFERROR(__xludf.DUMMYFUNCTION("""COMPUTED_VALUE"""),TRUE)</f>
        <v>1</v>
      </c>
      <c r="T1532" s="1" t="b">
        <f>IFERROR(__xludf.DUMMYFUNCTION("""COMPUTED_VALUE"""),FALSE)</f>
        <v>0</v>
      </c>
      <c r="U1532" s="1" t="str">
        <f>IFERROR(__xludf.DUMMYFUNCTION("""COMPUTED_VALUE"""),"VALID")</f>
        <v>VALID</v>
      </c>
      <c r="V1532" s="1">
        <f>IFERROR(__xludf.DUMMYFUNCTION("""COMPUTED_VALUE"""),295.0)</f>
        <v>295</v>
      </c>
      <c r="W1532" s="1">
        <f>IFERROR(__xludf.DUMMYFUNCTION("""COMPUTED_VALUE"""),1193.0)</f>
        <v>1193</v>
      </c>
      <c r="X1532" s="1">
        <f>IFERROR(__xludf.DUMMYFUNCTION("""COMPUTED_VALUE"""),356.0)</f>
        <v>356</v>
      </c>
      <c r="Y1532" s="2"/>
      <c r="Z1532" s="2"/>
    </row>
    <row r="1533">
      <c r="A1533" s="1">
        <f>IFERROR(__xludf.DUMMYFUNCTION("""COMPUTED_VALUE"""),1532.0)</f>
        <v>1532</v>
      </c>
      <c r="B1533" s="1">
        <f>IFERROR(__xludf.DUMMYFUNCTION("""COMPUTED_VALUE"""),6233.0)</f>
        <v>6233</v>
      </c>
      <c r="C1533" s="2" t="str">
        <f>IFERROR(__xludf.DUMMYFUNCTION("""COMPUTED_VALUE"""),"Teny Ariana")</f>
        <v>Teny Ariana</v>
      </c>
      <c r="D1533" s="2" t="str">
        <f>IFERROR(__xludf.DUMMYFUNCTION("""COMPUTED_VALUE"""),"5KM OVERALL F")</f>
        <v>5KM OVERALL F</v>
      </c>
      <c r="E1533" s="1">
        <f>IFERROR(__xludf.DUMMYFUNCTION("""COMPUTED_VALUE"""),2.0)</f>
        <v>2</v>
      </c>
      <c r="F1533" s="1" t="str">
        <f>IFERROR(__xludf.DUMMYFUNCTION("""COMPUTED_VALUE"""),"Female")</f>
        <v>Female</v>
      </c>
      <c r="G1533" s="4" t="str">
        <f>IFERROR(__xludf.DUMMYFUNCTION("""COMPUTED_VALUE"""),"")</f>
        <v/>
      </c>
      <c r="H1533" s="4" t="b">
        <f>IFERROR(__xludf.DUMMYFUNCTION("""COMPUTED_VALUE"""),FALSE)</f>
        <v>0</v>
      </c>
      <c r="I1533" s="4">
        <f>IFERROR(__xludf.DUMMYFUNCTION("""COMPUTED_VALUE"""),0.2549440625)</f>
        <v>0.2549440625</v>
      </c>
      <c r="J1533" s="4" t="str">
        <f>IFERROR(__xludf.DUMMYFUNCTION("""COMPUTED_VALUE"""),"")</f>
        <v/>
      </c>
      <c r="K1533" s="4" t="str">
        <f>IFERROR(__xludf.DUMMYFUNCTION("""COMPUTED_VALUE"""),"")</f>
        <v/>
      </c>
      <c r="L1533" s="4" t="str">
        <f>IFERROR(__xludf.DUMMYFUNCTION("""COMPUTED_VALUE"""),"")</f>
        <v/>
      </c>
      <c r="M1533" s="1" t="str">
        <f>IFERROR(__xludf.DUMMYFUNCTION("""COMPUTED_VALUE"""),"RFID")</f>
        <v>RFID</v>
      </c>
      <c r="N1533" s="5" t="str">
        <f>IFERROR(__xludf.DUMMYFUNCTION("""COMPUTED_VALUE"""),"")</f>
        <v/>
      </c>
      <c r="O1533" s="5" t="str">
        <f>IFERROR(__xludf.DUMMYFUNCTION("""COMPUTED_VALUE"""),"")</f>
        <v/>
      </c>
      <c r="P1533" s="5" t="str">
        <f>IFERROR(__xludf.DUMMYFUNCTION("""COMPUTED_VALUE"""),"")</f>
        <v/>
      </c>
      <c r="Q1533" s="5" t="str">
        <f>IFERROR(__xludf.DUMMYFUNCTION("""COMPUTED_VALUE"""),"")</f>
        <v/>
      </c>
      <c r="R1533" s="4" t="str">
        <f>IFERROR(__xludf.DUMMYFUNCTION("""COMPUTED_VALUE"""),"")</f>
        <v/>
      </c>
      <c r="S1533" s="1" t="b">
        <f>IFERROR(__xludf.DUMMYFUNCTION("""COMPUTED_VALUE"""),FALSE)</f>
        <v>0</v>
      </c>
      <c r="T1533" s="1" t="b">
        <f>IFERROR(__xludf.DUMMYFUNCTION("""COMPUTED_VALUE"""),FALSE)</f>
        <v>0</v>
      </c>
      <c r="U1533" s="1" t="str">
        <f>IFERROR(__xludf.DUMMYFUNCTION("""COMPUTED_VALUE"""),"DSQ")</f>
        <v>DSQ</v>
      </c>
      <c r="V1533" s="1" t="str">
        <f>IFERROR(__xludf.DUMMYFUNCTION("""COMPUTED_VALUE"""),"DSQ")</f>
        <v>DSQ</v>
      </c>
      <c r="W1533" s="1" t="str">
        <f>IFERROR(__xludf.DUMMYFUNCTION("""COMPUTED_VALUE"""),"DSQ")</f>
        <v>DSQ</v>
      </c>
      <c r="X1533" s="1" t="str">
        <f>IFERROR(__xludf.DUMMYFUNCTION("""COMPUTED_VALUE"""),"DSQ")</f>
        <v>DSQ</v>
      </c>
      <c r="Y1533" s="2"/>
      <c r="Z1533" s="2" t="str">
        <f>IFERROR(__xludf.DUMMYFUNCTION("""COMPUTED_VALUE"""),"")</f>
        <v/>
      </c>
    </row>
    <row r="1534">
      <c r="A1534" s="1">
        <f>IFERROR(__xludf.DUMMYFUNCTION("""COMPUTED_VALUE"""),1533.0)</f>
        <v>1533</v>
      </c>
      <c r="B1534" s="1">
        <f>IFERROR(__xludf.DUMMYFUNCTION("""COMPUTED_VALUE"""),6235.0)</f>
        <v>6235</v>
      </c>
      <c r="C1534" s="2" t="str">
        <f>IFERROR(__xludf.DUMMYFUNCTION("""COMPUTED_VALUE"""),"ENDAH T.H")</f>
        <v>ENDAH T.H</v>
      </c>
      <c r="D1534" s="2" t="str">
        <f>IFERROR(__xludf.DUMMYFUNCTION("""COMPUTED_VALUE"""),"5KM OVERALL F")</f>
        <v>5KM OVERALL F</v>
      </c>
      <c r="E1534" s="1">
        <f>IFERROR(__xludf.DUMMYFUNCTION("""COMPUTED_VALUE"""),2.0)</f>
        <v>2</v>
      </c>
      <c r="F1534" s="1" t="str">
        <f>IFERROR(__xludf.DUMMYFUNCTION("""COMPUTED_VALUE"""),"Female")</f>
        <v>Female</v>
      </c>
      <c r="G1534" s="4" t="b">
        <f>IFERROR(__xludf.DUMMYFUNCTION("""COMPUTED_VALUE"""),TRUE)</f>
        <v>1</v>
      </c>
      <c r="H1534" s="4" t="b">
        <f>IFERROR(__xludf.DUMMYFUNCTION("""COMPUTED_VALUE"""),FALSE)</f>
        <v>0</v>
      </c>
      <c r="I1534" s="4">
        <f>IFERROR(__xludf.DUMMYFUNCTION("""COMPUTED_VALUE"""),0.2549440625)</f>
        <v>0.2549440625</v>
      </c>
      <c r="J1534" s="4">
        <f>IFERROR(__xludf.DUMMYFUNCTION("""COMPUTED_VALUE"""),45949.281155161494)</f>
        <v>45949.28116</v>
      </c>
      <c r="K1534" s="4" t="str">
        <f>IFERROR(__xludf.DUMMYFUNCTION("""COMPUTED_VALUE"""),"")</f>
        <v/>
      </c>
      <c r="L1534" s="4">
        <f>IFERROR(__xludf.DUMMYFUNCTION("""COMPUTED_VALUE"""),45949.30067511492)</f>
        <v>45949.30068</v>
      </c>
      <c r="M1534" s="1" t="str">
        <f>IFERROR(__xludf.DUMMYFUNCTION("""COMPUTED_VALUE"""),"RFID")</f>
        <v>RFID</v>
      </c>
      <c r="N1534" s="5">
        <f>IFERROR(__xludf.DUMMYFUNCTION("""COMPUTED_VALUE"""),0.010484439814814814)</f>
        <v>0.01048443981</v>
      </c>
      <c r="O1534" s="5" t="str">
        <f>IFERROR(__xludf.DUMMYFUNCTION("""COMPUTED_VALUE"""),"")</f>
        <v/>
      </c>
      <c r="P1534" s="5" t="str">
        <f>IFERROR(__xludf.DUMMYFUNCTION("""COMPUTED_VALUE"""),"")</f>
        <v/>
      </c>
      <c r="Q1534" s="5">
        <f>IFERROR(__xludf.DUMMYFUNCTION("""COMPUTED_VALUE"""),0.009146210648148148)</f>
        <v>0.009146210648</v>
      </c>
      <c r="R1534" s="4">
        <f>IFERROR(__xludf.DUMMYFUNCTION("""COMPUTED_VALUE"""),45949.04573105242)</f>
        <v>45949.04573</v>
      </c>
      <c r="S1534" s="1" t="b">
        <f>IFERROR(__xludf.DUMMYFUNCTION("""COMPUTED_VALUE"""),TRUE)</f>
        <v>1</v>
      </c>
      <c r="T1534" s="1" t="b">
        <f>IFERROR(__xludf.DUMMYFUNCTION("""COMPUTED_VALUE"""),FALSE)</f>
        <v>0</v>
      </c>
      <c r="U1534" s="1" t="str">
        <f>IFERROR(__xludf.DUMMYFUNCTION("""COMPUTED_VALUE"""),"VALID")</f>
        <v>VALID</v>
      </c>
      <c r="V1534" s="1">
        <f>IFERROR(__xludf.DUMMYFUNCTION("""COMPUTED_VALUE"""),435.0)</f>
        <v>435</v>
      </c>
      <c r="W1534" s="1">
        <f>IFERROR(__xludf.DUMMYFUNCTION("""COMPUTED_VALUE"""),1476.0)</f>
        <v>1476</v>
      </c>
      <c r="X1534" s="1">
        <f>IFERROR(__xludf.DUMMYFUNCTION("""COMPUTED_VALUE"""),530.0)</f>
        <v>530</v>
      </c>
      <c r="Y1534" s="2"/>
      <c r="Z1534" s="2"/>
    </row>
    <row r="1535">
      <c r="A1535" s="1">
        <f>IFERROR(__xludf.DUMMYFUNCTION("""COMPUTED_VALUE"""),1534.0)</f>
        <v>1534</v>
      </c>
      <c r="B1535" s="1">
        <f>IFERROR(__xludf.DUMMYFUNCTION("""COMPUTED_VALUE"""),6240.0)</f>
        <v>6240</v>
      </c>
      <c r="C1535" s="2" t="str">
        <f>IFERROR(__xludf.DUMMYFUNCTION("""COMPUTED_VALUE"""),"fidaalyya")</f>
        <v>fidaalyya</v>
      </c>
      <c r="D1535" s="2" t="str">
        <f>IFERROR(__xludf.DUMMYFUNCTION("""COMPUTED_VALUE"""),"5KM OVERALL F")</f>
        <v>5KM OVERALL F</v>
      </c>
      <c r="E1535" s="1">
        <f>IFERROR(__xludf.DUMMYFUNCTION("""COMPUTED_VALUE"""),2.0)</f>
        <v>2</v>
      </c>
      <c r="F1535" s="1" t="str">
        <f>IFERROR(__xludf.DUMMYFUNCTION("""COMPUTED_VALUE"""),"Female")</f>
        <v>Female</v>
      </c>
      <c r="G1535" s="4" t="b">
        <f>IFERROR(__xludf.DUMMYFUNCTION("""COMPUTED_VALUE"""),TRUE)</f>
        <v>1</v>
      </c>
      <c r="H1535" s="4" t="b">
        <f>IFERROR(__xludf.DUMMYFUNCTION("""COMPUTED_VALUE"""),FALSE)</f>
        <v>0</v>
      </c>
      <c r="I1535" s="4">
        <f>IFERROR(__xludf.DUMMYFUNCTION("""COMPUTED_VALUE"""),0.2549440625)</f>
        <v>0.2549440625</v>
      </c>
      <c r="J1535" s="4">
        <f>IFERROR(__xludf.DUMMYFUNCTION("""COMPUTED_VALUE"""),45949.27554751613)</f>
        <v>45949.27555</v>
      </c>
      <c r="K1535" s="4" t="str">
        <f>IFERROR(__xludf.DUMMYFUNCTION("""COMPUTED_VALUE"""),"")</f>
        <v/>
      </c>
      <c r="L1535" s="4">
        <f>IFERROR(__xludf.DUMMYFUNCTION("""COMPUTED_VALUE"""),45949.29125156397)</f>
        <v>45949.29125</v>
      </c>
      <c r="M1535" s="1" t="str">
        <f>IFERROR(__xludf.DUMMYFUNCTION("""COMPUTED_VALUE"""),"RFID")</f>
        <v>RFID</v>
      </c>
      <c r="N1535" s="5">
        <f>IFERROR(__xludf.DUMMYFUNCTION("""COMPUTED_VALUE"""),0.00824137962962963)</f>
        <v>0.00824137963</v>
      </c>
      <c r="O1535" s="5" t="str">
        <f>IFERROR(__xludf.DUMMYFUNCTION("""COMPUTED_VALUE"""),"")</f>
        <v/>
      </c>
      <c r="P1535" s="5" t="str">
        <f>IFERROR(__xludf.DUMMYFUNCTION("""COMPUTED_VALUE"""),"")</f>
        <v/>
      </c>
      <c r="Q1535" s="5">
        <f>IFERROR(__xludf.DUMMYFUNCTION("""COMPUTED_VALUE"""),0.0072615)</f>
        <v>0.0072615</v>
      </c>
      <c r="R1535" s="4">
        <f>IFERROR(__xludf.DUMMYFUNCTION("""COMPUTED_VALUE"""),45949.03630750147)</f>
        <v>45949.03631</v>
      </c>
      <c r="S1535" s="1" t="b">
        <f>IFERROR(__xludf.DUMMYFUNCTION("""COMPUTED_VALUE"""),TRUE)</f>
        <v>1</v>
      </c>
      <c r="T1535" s="1" t="b">
        <f>IFERROR(__xludf.DUMMYFUNCTION("""COMPUTED_VALUE"""),FALSE)</f>
        <v>0</v>
      </c>
      <c r="U1535" s="1" t="str">
        <f>IFERROR(__xludf.DUMMYFUNCTION("""COMPUTED_VALUE"""),"VALID")</f>
        <v>VALID</v>
      </c>
      <c r="V1535" s="1">
        <f>IFERROR(__xludf.DUMMYFUNCTION("""COMPUTED_VALUE"""),194.0)</f>
        <v>194</v>
      </c>
      <c r="W1535" s="1">
        <f>IFERROR(__xludf.DUMMYFUNCTION("""COMPUTED_VALUE"""),980.0)</f>
        <v>980</v>
      </c>
      <c r="X1535" s="1">
        <f>IFERROR(__xludf.DUMMYFUNCTION("""COMPUTED_VALUE"""),244.0)</f>
        <v>244</v>
      </c>
      <c r="Y1535" s="2"/>
      <c r="Z1535" s="2"/>
    </row>
    <row r="1536">
      <c r="A1536" s="1">
        <f>IFERROR(__xludf.DUMMYFUNCTION("""COMPUTED_VALUE"""),1535.0)</f>
        <v>1535</v>
      </c>
      <c r="B1536" s="1">
        <f>IFERROR(__xludf.DUMMYFUNCTION("""COMPUTED_VALUE"""),6242.0)</f>
        <v>6242</v>
      </c>
      <c r="C1536" s="2" t="str">
        <f>IFERROR(__xludf.DUMMYFUNCTION("""COMPUTED_VALUE"""),"Endah Trianingtyas")</f>
        <v>Endah Trianingtyas</v>
      </c>
      <c r="D1536" s="2" t="str">
        <f>IFERROR(__xludf.DUMMYFUNCTION("""COMPUTED_VALUE"""),"5KM OVERALL F")</f>
        <v>5KM OVERALL F</v>
      </c>
      <c r="E1536" s="1">
        <f>IFERROR(__xludf.DUMMYFUNCTION("""COMPUTED_VALUE"""),2.0)</f>
        <v>2</v>
      </c>
      <c r="F1536" s="1" t="str">
        <f>IFERROR(__xludf.DUMMYFUNCTION("""COMPUTED_VALUE"""),"Female")</f>
        <v>Female</v>
      </c>
      <c r="G1536" s="4" t="b">
        <f>IFERROR(__xludf.DUMMYFUNCTION("""COMPUTED_VALUE"""),TRUE)</f>
        <v>1</v>
      </c>
      <c r="H1536" s="4" t="b">
        <f>IFERROR(__xludf.DUMMYFUNCTION("""COMPUTED_VALUE"""),TRUE)</f>
        <v>1</v>
      </c>
      <c r="I1536" s="4">
        <f>IFERROR(__xludf.DUMMYFUNCTION("""COMPUTED_VALUE"""),0.2549440625)</f>
        <v>0.2549440625</v>
      </c>
      <c r="J1536" s="4">
        <f>IFERROR(__xludf.DUMMYFUNCTION("""COMPUTED_VALUE"""),45949.26583230322)</f>
        <v>45949.26583</v>
      </c>
      <c r="K1536" s="4" t="str">
        <f>IFERROR(__xludf.DUMMYFUNCTION("""COMPUTED_VALUE"""),"")</f>
        <v/>
      </c>
      <c r="L1536" s="4">
        <f>IFERROR(__xludf.DUMMYFUNCTION("""COMPUTED_VALUE"""),45949.2734876296)</f>
        <v>45949.27349</v>
      </c>
      <c r="M1536" s="1" t="str">
        <f>IFERROR(__xludf.DUMMYFUNCTION("""COMPUTED_VALUE"""),"RFID")</f>
        <v>RFID</v>
      </c>
      <c r="N1536" s="5">
        <f>IFERROR(__xludf.DUMMYFUNCTION("""COMPUTED_VALUE"""),0.004355296296296296)</f>
        <v>0.004355296296</v>
      </c>
      <c r="O1536" s="5" t="str">
        <f>IFERROR(__xludf.DUMMYFUNCTION("""COMPUTED_VALUE"""),"")</f>
        <v/>
      </c>
      <c r="P1536" s="5" t="str">
        <f>IFERROR(__xludf.DUMMYFUNCTION("""COMPUTED_VALUE"""),"")</f>
        <v/>
      </c>
      <c r="Q1536" s="5">
        <f>IFERROR(__xludf.DUMMYFUNCTION("""COMPUTED_VALUE"""),0.003708712962962963)</f>
        <v>0.003708712963</v>
      </c>
      <c r="R1536" s="4">
        <f>IFERROR(__xludf.DUMMYFUNCTION("""COMPUTED_VALUE"""),45949.0185435671)</f>
        <v>45949.01854</v>
      </c>
      <c r="S1536" s="1" t="b">
        <f>IFERROR(__xludf.DUMMYFUNCTION("""COMPUTED_VALUE"""),TRUE)</f>
        <v>1</v>
      </c>
      <c r="T1536" s="1" t="b">
        <f>IFERROR(__xludf.DUMMYFUNCTION("""COMPUTED_VALUE"""),TRUE)</f>
        <v>1</v>
      </c>
      <c r="U1536" s="1" t="str">
        <f>IFERROR(__xludf.DUMMYFUNCTION("""COMPUTED_VALUE"""),"DSQ")</f>
        <v>DSQ</v>
      </c>
      <c r="V1536" s="1" t="str">
        <f>IFERROR(__xludf.DUMMYFUNCTION("""COMPUTED_VALUE"""),"DSQ")</f>
        <v>DSQ</v>
      </c>
      <c r="W1536" s="1" t="str">
        <f>IFERROR(__xludf.DUMMYFUNCTION("""COMPUTED_VALUE"""),"DSQ")</f>
        <v>DSQ</v>
      </c>
      <c r="X1536" s="1" t="str">
        <f>IFERROR(__xludf.DUMMYFUNCTION("""COMPUTED_VALUE"""),"DSQ")</f>
        <v>DSQ</v>
      </c>
      <c r="Y1536" s="2" t="str">
        <f>IFERROR(__xludf.DUMMYFUNCTION("""COMPUTED_VALUE"""),"gk ada di video")</f>
        <v>gk ada di video</v>
      </c>
      <c r="Z1536" s="2"/>
    </row>
    <row r="1537">
      <c r="A1537" s="1">
        <f>IFERROR(__xludf.DUMMYFUNCTION("""COMPUTED_VALUE"""),1536.0)</f>
        <v>1536</v>
      </c>
      <c r="B1537" s="1">
        <f>IFERROR(__xludf.DUMMYFUNCTION("""COMPUTED_VALUE"""),6243.0)</f>
        <v>6243</v>
      </c>
      <c r="C1537" s="2" t="str">
        <f>IFERROR(__xludf.DUMMYFUNCTION("""COMPUTED_VALUE"""),"hdynova")</f>
        <v>hdynova</v>
      </c>
      <c r="D1537" s="2" t="str">
        <f>IFERROR(__xludf.DUMMYFUNCTION("""COMPUTED_VALUE"""),"5KM OVERALL F")</f>
        <v>5KM OVERALL F</v>
      </c>
      <c r="E1537" s="1">
        <f>IFERROR(__xludf.DUMMYFUNCTION("""COMPUTED_VALUE"""),2.0)</f>
        <v>2</v>
      </c>
      <c r="F1537" s="1" t="str">
        <f>IFERROR(__xludf.DUMMYFUNCTION("""COMPUTED_VALUE"""),"Female")</f>
        <v>Female</v>
      </c>
      <c r="G1537" s="4" t="b">
        <f>IFERROR(__xludf.DUMMYFUNCTION("""COMPUTED_VALUE"""),TRUE)</f>
        <v>1</v>
      </c>
      <c r="H1537" s="4" t="b">
        <f>IFERROR(__xludf.DUMMYFUNCTION("""COMPUTED_VALUE"""),TRUE)</f>
        <v>1</v>
      </c>
      <c r="I1537" s="4">
        <f>IFERROR(__xludf.DUMMYFUNCTION("""COMPUTED_VALUE"""),0.2549440625)</f>
        <v>0.2549440625</v>
      </c>
      <c r="J1537" s="4">
        <f>IFERROR(__xludf.DUMMYFUNCTION("""COMPUTED_VALUE"""),45949.276686507306)</f>
        <v>45949.27669</v>
      </c>
      <c r="K1537" s="4" t="str">
        <f>IFERROR(__xludf.DUMMYFUNCTION("""COMPUTED_VALUE"""),"")</f>
        <v/>
      </c>
      <c r="L1537" s="4">
        <f>IFERROR(__xludf.DUMMYFUNCTION("""COMPUTED_VALUE"""),45949.29074463455)</f>
        <v>45949.29074</v>
      </c>
      <c r="M1537" s="1" t="str">
        <f>IFERROR(__xludf.DUMMYFUNCTION("""COMPUTED_VALUE"""),"RFID")</f>
        <v>RFID</v>
      </c>
      <c r="N1537" s="5">
        <f>IFERROR(__xludf.DUMMYFUNCTION("""COMPUTED_VALUE"""),0.008696976851851852)</f>
        <v>0.008696976852</v>
      </c>
      <c r="O1537" s="5" t="str">
        <f>IFERROR(__xludf.DUMMYFUNCTION("""COMPUTED_VALUE"""),"")</f>
        <v/>
      </c>
      <c r="P1537" s="5" t="str">
        <f>IFERROR(__xludf.DUMMYFUNCTION("""COMPUTED_VALUE"""),"")</f>
        <v/>
      </c>
      <c r="Q1537" s="5">
        <f>IFERROR(__xludf.DUMMYFUNCTION("""COMPUTED_VALUE"""),0.007160113425925925)</f>
        <v>0.007160113426</v>
      </c>
      <c r="R1537" s="4">
        <f>IFERROR(__xludf.DUMMYFUNCTION("""COMPUTED_VALUE"""),45949.03580057205)</f>
        <v>45949.0358</v>
      </c>
      <c r="S1537" s="1" t="b">
        <f>IFERROR(__xludf.DUMMYFUNCTION("""COMPUTED_VALUE"""),TRUE)</f>
        <v>1</v>
      </c>
      <c r="T1537" s="1" t="b">
        <f>IFERROR(__xludf.DUMMYFUNCTION("""COMPUTED_VALUE"""),FALSE)</f>
        <v>0</v>
      </c>
      <c r="U1537" s="1" t="str">
        <f>IFERROR(__xludf.DUMMYFUNCTION("""COMPUTED_VALUE"""),"VALID")</f>
        <v>VALID</v>
      </c>
      <c r="V1537" s="1">
        <f>IFERROR(__xludf.DUMMYFUNCTION("""COMPUTED_VALUE"""),180.0)</f>
        <v>180</v>
      </c>
      <c r="W1537" s="1">
        <f>IFERROR(__xludf.DUMMYFUNCTION("""COMPUTED_VALUE"""),947.0)</f>
        <v>947</v>
      </c>
      <c r="X1537" s="1">
        <f>IFERROR(__xludf.DUMMYFUNCTION("""COMPUTED_VALUE"""),226.0)</f>
        <v>226</v>
      </c>
      <c r="Y1537" s="2"/>
      <c r="Z1537" s="2"/>
    </row>
    <row r="1538">
      <c r="A1538" s="1">
        <f>IFERROR(__xludf.DUMMYFUNCTION("""COMPUTED_VALUE"""),1537.0)</f>
        <v>1537</v>
      </c>
      <c r="B1538" s="1">
        <f>IFERROR(__xludf.DUMMYFUNCTION("""COMPUTED_VALUE"""),6245.0)</f>
        <v>6245</v>
      </c>
      <c r="C1538" s="2" t="str">
        <f>IFERROR(__xludf.DUMMYFUNCTION("""COMPUTED_VALUE"""),"Cindy faradila")</f>
        <v>Cindy faradila</v>
      </c>
      <c r="D1538" s="2" t="str">
        <f>IFERROR(__xludf.DUMMYFUNCTION("""COMPUTED_VALUE"""),"5KM OVERALL F")</f>
        <v>5KM OVERALL F</v>
      </c>
      <c r="E1538" s="1">
        <f>IFERROR(__xludf.DUMMYFUNCTION("""COMPUTED_VALUE"""),2.0)</f>
        <v>2</v>
      </c>
      <c r="F1538" s="1" t="str">
        <f>IFERROR(__xludf.DUMMYFUNCTION("""COMPUTED_VALUE"""),"Female")</f>
        <v>Female</v>
      </c>
      <c r="G1538" s="4" t="b">
        <f>IFERROR(__xludf.DUMMYFUNCTION("""COMPUTED_VALUE"""),TRUE)</f>
        <v>1</v>
      </c>
      <c r="H1538" s="4" t="b">
        <f>IFERROR(__xludf.DUMMYFUNCTION("""COMPUTED_VALUE"""),TRUE)</f>
        <v>1</v>
      </c>
      <c r="I1538" s="4">
        <f>IFERROR(__xludf.DUMMYFUNCTION("""COMPUTED_VALUE"""),0.2549440625)</f>
        <v>0.2549440625</v>
      </c>
      <c r="J1538" s="4">
        <f>IFERROR(__xludf.DUMMYFUNCTION("""COMPUTED_VALUE"""),45949.28629407851)</f>
        <v>45949.28629</v>
      </c>
      <c r="K1538" s="4" t="str">
        <f>IFERROR(__xludf.DUMMYFUNCTION("""COMPUTED_VALUE"""),"")</f>
        <v/>
      </c>
      <c r="L1538" s="4">
        <f>IFERROR(__xludf.DUMMYFUNCTION("""COMPUTED_VALUE"""),45949.309508503626)</f>
        <v>45949.30951</v>
      </c>
      <c r="M1538" s="1" t="str">
        <f>IFERROR(__xludf.DUMMYFUNCTION("""COMPUTED_VALUE"""),"RFID")</f>
        <v>RFID</v>
      </c>
      <c r="N1538" s="5">
        <f>IFERROR(__xludf.DUMMYFUNCTION("""COMPUTED_VALUE"""),0.01254000462962963)</f>
        <v>0.01254000463</v>
      </c>
      <c r="O1538" s="5" t="str">
        <f>IFERROR(__xludf.DUMMYFUNCTION("""COMPUTED_VALUE"""),"")</f>
        <v/>
      </c>
      <c r="P1538" s="5" t="str">
        <f>IFERROR(__xludf.DUMMYFUNCTION("""COMPUTED_VALUE"""),"")</f>
        <v/>
      </c>
      <c r="Q1538" s="5">
        <f>IFERROR(__xludf.DUMMYFUNCTION("""COMPUTED_VALUE"""),0.01091288888888889)</f>
        <v>0.01091288889</v>
      </c>
      <c r="R1538" s="4">
        <f>IFERROR(__xludf.DUMMYFUNCTION("""COMPUTED_VALUE"""),45949.054564441125)</f>
        <v>45949.05456</v>
      </c>
      <c r="S1538" s="1" t="b">
        <f>IFERROR(__xludf.DUMMYFUNCTION("""COMPUTED_VALUE"""),TRUE)</f>
        <v>1</v>
      </c>
      <c r="T1538" s="1" t="b">
        <f>IFERROR(__xludf.DUMMYFUNCTION("""COMPUTED_VALUE"""),FALSE)</f>
        <v>0</v>
      </c>
      <c r="U1538" s="1" t="str">
        <f>IFERROR(__xludf.DUMMYFUNCTION("""COMPUTED_VALUE"""),"VALID")</f>
        <v>VALID</v>
      </c>
      <c r="V1538" s="1">
        <f>IFERROR(__xludf.DUMMYFUNCTION("""COMPUTED_VALUE"""),504.0)</f>
        <v>504</v>
      </c>
      <c r="W1538" s="1">
        <f>IFERROR(__xludf.DUMMYFUNCTION("""COMPUTED_VALUE"""),1601.0)</f>
        <v>1601</v>
      </c>
      <c r="X1538" s="1">
        <f>IFERROR(__xludf.DUMMYFUNCTION("""COMPUTED_VALUE"""),624.0)</f>
        <v>624</v>
      </c>
      <c r="Y1538" s="2"/>
      <c r="Z1538" s="2"/>
    </row>
    <row r="1539">
      <c r="A1539" s="1">
        <f>IFERROR(__xludf.DUMMYFUNCTION("""COMPUTED_VALUE"""),1538.0)</f>
        <v>1538</v>
      </c>
      <c r="B1539" s="1">
        <f>IFERROR(__xludf.DUMMYFUNCTION("""COMPUTED_VALUE"""),6247.0)</f>
        <v>6247</v>
      </c>
      <c r="C1539" s="2" t="str">
        <f>IFERROR(__xludf.DUMMYFUNCTION("""COMPUTED_VALUE"""),"Azril")</f>
        <v>Azril</v>
      </c>
      <c r="D1539" s="2" t="str">
        <f>IFERROR(__xludf.DUMMYFUNCTION("""COMPUTED_VALUE"""),"5KM OVERALL F")</f>
        <v>5KM OVERALL F</v>
      </c>
      <c r="E1539" s="1">
        <f>IFERROR(__xludf.DUMMYFUNCTION("""COMPUTED_VALUE"""),2.0)</f>
        <v>2</v>
      </c>
      <c r="F1539" s="1" t="str">
        <f>IFERROR(__xludf.DUMMYFUNCTION("""COMPUTED_VALUE"""),"Female")</f>
        <v>Female</v>
      </c>
      <c r="G1539" s="4" t="b">
        <f>IFERROR(__xludf.DUMMYFUNCTION("""COMPUTED_VALUE"""),TRUE)</f>
        <v>1</v>
      </c>
      <c r="H1539" s="4" t="b">
        <f>IFERROR(__xludf.DUMMYFUNCTION("""COMPUTED_VALUE"""),TRUE)</f>
        <v>1</v>
      </c>
      <c r="I1539" s="4">
        <f>IFERROR(__xludf.DUMMYFUNCTION("""COMPUTED_VALUE"""),0.2549440625)</f>
        <v>0.2549440625</v>
      </c>
      <c r="J1539" s="4">
        <f>IFERROR(__xludf.DUMMYFUNCTION("""COMPUTED_VALUE"""),45949.27600594033)</f>
        <v>45949.27601</v>
      </c>
      <c r="K1539" s="4" t="str">
        <f>IFERROR(__xludf.DUMMYFUNCTION("""COMPUTED_VALUE"""),"")</f>
        <v/>
      </c>
      <c r="L1539" s="4">
        <f>IFERROR(__xludf.DUMMYFUNCTION("""COMPUTED_VALUE"""),45949.290640446394)</f>
        <v>45949.29064</v>
      </c>
      <c r="M1539" s="1" t="str">
        <f>IFERROR(__xludf.DUMMYFUNCTION("""COMPUTED_VALUE"""),"RFID")</f>
        <v>RFID</v>
      </c>
      <c r="N1539" s="5">
        <f>IFERROR(__xludf.DUMMYFUNCTION("""COMPUTED_VALUE"""),0.00842475)</f>
        <v>0.00842475</v>
      </c>
      <c r="O1539" s="5" t="str">
        <f>IFERROR(__xludf.DUMMYFUNCTION("""COMPUTED_VALUE"""),"")</f>
        <v/>
      </c>
      <c r="P1539" s="5" t="str">
        <f>IFERROR(__xludf.DUMMYFUNCTION("""COMPUTED_VALUE"""),"")</f>
        <v/>
      </c>
      <c r="Q1539" s="5">
        <f>IFERROR(__xludf.DUMMYFUNCTION("""COMPUTED_VALUE"""),0.007139277777777777)</f>
        <v>0.007139277778</v>
      </c>
      <c r="R1539" s="4">
        <f>IFERROR(__xludf.DUMMYFUNCTION("""COMPUTED_VALUE"""),45949.03569638389)</f>
        <v>45949.0357</v>
      </c>
      <c r="S1539" s="1" t="b">
        <f>IFERROR(__xludf.DUMMYFUNCTION("""COMPUTED_VALUE"""),TRUE)</f>
        <v>1</v>
      </c>
      <c r="T1539" s="1" t="b">
        <f>IFERROR(__xludf.DUMMYFUNCTION("""COMPUTED_VALUE"""),FALSE)</f>
        <v>0</v>
      </c>
      <c r="U1539" s="1" t="str">
        <f>IFERROR(__xludf.DUMMYFUNCTION("""COMPUTED_VALUE"""),"VALID")</f>
        <v>VALID</v>
      </c>
      <c r="V1539" s="1">
        <f>IFERROR(__xludf.DUMMYFUNCTION("""COMPUTED_VALUE"""),174.0)</f>
        <v>174</v>
      </c>
      <c r="W1539" s="1">
        <f>IFERROR(__xludf.DUMMYFUNCTION("""COMPUTED_VALUE"""),932.0)</f>
        <v>932</v>
      </c>
      <c r="X1539" s="1">
        <f>IFERROR(__xludf.DUMMYFUNCTION("""COMPUTED_VALUE"""),219.0)</f>
        <v>219</v>
      </c>
      <c r="Y1539" s="2"/>
      <c r="Z1539" s="2"/>
    </row>
    <row r="1540">
      <c r="A1540" s="1">
        <f>IFERROR(__xludf.DUMMYFUNCTION("""COMPUTED_VALUE"""),1539.0)</f>
        <v>1539</v>
      </c>
      <c r="B1540" s="1">
        <f>IFERROR(__xludf.DUMMYFUNCTION("""COMPUTED_VALUE"""),6248.0)</f>
        <v>6248</v>
      </c>
      <c r="C1540" s="2" t="str">
        <f>IFERROR(__xludf.DUMMYFUNCTION("""COMPUTED_VALUE"""),"Nur Nisrina")</f>
        <v>Nur Nisrina</v>
      </c>
      <c r="D1540" s="2" t="str">
        <f>IFERROR(__xludf.DUMMYFUNCTION("""COMPUTED_VALUE"""),"5KM OVERALL F")</f>
        <v>5KM OVERALL F</v>
      </c>
      <c r="E1540" s="1">
        <f>IFERROR(__xludf.DUMMYFUNCTION("""COMPUTED_VALUE"""),2.0)</f>
        <v>2</v>
      </c>
      <c r="F1540" s="1" t="str">
        <f>IFERROR(__xludf.DUMMYFUNCTION("""COMPUTED_VALUE"""),"Female")</f>
        <v>Female</v>
      </c>
      <c r="G1540" s="4" t="b">
        <f>IFERROR(__xludf.DUMMYFUNCTION("""COMPUTED_VALUE"""),TRUE)</f>
        <v>1</v>
      </c>
      <c r="H1540" s="4" t="b">
        <f>IFERROR(__xludf.DUMMYFUNCTION("""COMPUTED_VALUE"""),FALSE)</f>
        <v>0</v>
      </c>
      <c r="I1540" s="4">
        <f>IFERROR(__xludf.DUMMYFUNCTION("""COMPUTED_VALUE"""),0.2549440625)</f>
        <v>0.2549440625</v>
      </c>
      <c r="J1540" s="4">
        <f>IFERROR(__xludf.DUMMYFUNCTION("""COMPUTED_VALUE"""),45949.27873501614)</f>
        <v>45949.27874</v>
      </c>
      <c r="K1540" s="4" t="str">
        <f>IFERROR(__xludf.DUMMYFUNCTION("""COMPUTED_VALUE"""),"")</f>
        <v/>
      </c>
      <c r="L1540" s="4">
        <f>IFERROR(__xludf.DUMMYFUNCTION("""COMPUTED_VALUE"""),45949.29799808613)</f>
        <v>45949.298</v>
      </c>
      <c r="M1540" s="1" t="str">
        <f>IFERROR(__xludf.DUMMYFUNCTION("""COMPUTED_VALUE"""),"RFID")</f>
        <v>RFID</v>
      </c>
      <c r="N1540" s="5">
        <f>IFERROR(__xludf.DUMMYFUNCTION("""COMPUTED_VALUE"""),0.00951637962962963)</f>
        <v>0.00951637963</v>
      </c>
      <c r="O1540" s="5" t="str">
        <f>IFERROR(__xludf.DUMMYFUNCTION("""COMPUTED_VALUE"""),"")</f>
        <v/>
      </c>
      <c r="P1540" s="5" t="str">
        <f>IFERROR(__xludf.DUMMYFUNCTION("""COMPUTED_VALUE"""),"")</f>
        <v/>
      </c>
      <c r="Q1540" s="5">
        <f>IFERROR(__xludf.DUMMYFUNCTION("""COMPUTED_VALUE"""),0.008610805555555556)</f>
        <v>0.008610805556</v>
      </c>
      <c r="R1540" s="4">
        <f>IFERROR(__xludf.DUMMYFUNCTION("""COMPUTED_VALUE"""),45949.04305402363)</f>
        <v>45949.04305</v>
      </c>
      <c r="S1540" s="1" t="b">
        <f>IFERROR(__xludf.DUMMYFUNCTION("""COMPUTED_VALUE"""),TRUE)</f>
        <v>1</v>
      </c>
      <c r="T1540" s="1" t="b">
        <f>IFERROR(__xludf.DUMMYFUNCTION("""COMPUTED_VALUE"""),FALSE)</f>
        <v>0</v>
      </c>
      <c r="U1540" s="1" t="str">
        <f>IFERROR(__xludf.DUMMYFUNCTION("""COMPUTED_VALUE"""),"VALID")</f>
        <v>VALID</v>
      </c>
      <c r="V1540" s="1">
        <f>IFERROR(__xludf.DUMMYFUNCTION("""COMPUTED_VALUE"""),377.0)</f>
        <v>377</v>
      </c>
      <c r="W1540" s="1">
        <f>IFERROR(__xludf.DUMMYFUNCTION("""COMPUTED_VALUE"""),1363.0)</f>
        <v>1363</v>
      </c>
      <c r="X1540" s="1">
        <f>IFERROR(__xludf.DUMMYFUNCTION("""COMPUTED_VALUE"""),458.0)</f>
        <v>458</v>
      </c>
      <c r="Y1540" s="2"/>
      <c r="Z1540" s="2"/>
    </row>
    <row r="1541">
      <c r="A1541" s="1">
        <f>IFERROR(__xludf.DUMMYFUNCTION("""COMPUTED_VALUE"""),1540.0)</f>
        <v>1540</v>
      </c>
      <c r="B1541" s="1">
        <f>IFERROR(__xludf.DUMMYFUNCTION("""COMPUTED_VALUE"""),6249.0)</f>
        <v>6249</v>
      </c>
      <c r="C1541" s="2" t="str">
        <f>IFERROR(__xludf.DUMMYFUNCTION("""COMPUTED_VALUE"""),"WITRI")</f>
        <v>WITRI</v>
      </c>
      <c r="D1541" s="2" t="str">
        <f>IFERROR(__xludf.DUMMYFUNCTION("""COMPUTED_VALUE"""),"5KM OVERALL F")</f>
        <v>5KM OVERALL F</v>
      </c>
      <c r="E1541" s="1">
        <f>IFERROR(__xludf.DUMMYFUNCTION("""COMPUTED_VALUE"""),2.0)</f>
        <v>2</v>
      </c>
      <c r="F1541" s="1" t="str">
        <f>IFERROR(__xludf.DUMMYFUNCTION("""COMPUTED_VALUE"""),"Female")</f>
        <v>Female</v>
      </c>
      <c r="G1541" s="4" t="b">
        <f>IFERROR(__xludf.DUMMYFUNCTION("""COMPUTED_VALUE"""),TRUE)</f>
        <v>1</v>
      </c>
      <c r="H1541" s="4" t="b">
        <f>IFERROR(__xludf.DUMMYFUNCTION("""COMPUTED_VALUE"""),TRUE)</f>
        <v>1</v>
      </c>
      <c r="I1541" s="4">
        <f>IFERROR(__xludf.DUMMYFUNCTION("""COMPUTED_VALUE"""),0.2549440625)</f>
        <v>0.2549440625</v>
      </c>
      <c r="J1541" s="4">
        <f>IFERROR(__xludf.DUMMYFUNCTION("""COMPUTED_VALUE"""),45949.27189828986)</f>
        <v>45949.2719</v>
      </c>
      <c r="K1541" s="4" t="str">
        <f>IFERROR(__xludf.DUMMYFUNCTION("""COMPUTED_VALUE"""),"")</f>
        <v/>
      </c>
      <c r="L1541" s="4">
        <f>IFERROR(__xludf.DUMMYFUNCTION("""COMPUTED_VALUE"""),45949.28434178214)</f>
        <v>45949.28434</v>
      </c>
      <c r="M1541" s="1" t="str">
        <f>IFERROR(__xludf.DUMMYFUNCTION("""COMPUTED_VALUE"""),"RFID")</f>
        <v>RFID</v>
      </c>
      <c r="N1541" s="5">
        <f>IFERROR(__xludf.DUMMYFUNCTION("""COMPUTED_VALUE"""),0.006781689814814815)</f>
        <v>0.006781689815</v>
      </c>
      <c r="O1541" s="5" t="str">
        <f>IFERROR(__xludf.DUMMYFUNCTION("""COMPUTED_VALUE"""),"")</f>
        <v/>
      </c>
      <c r="P1541" s="5" t="str">
        <f>IFERROR(__xludf.DUMMYFUNCTION("""COMPUTED_VALUE"""),"")</f>
        <v/>
      </c>
      <c r="Q1541" s="5">
        <f>IFERROR(__xludf.DUMMYFUNCTION("""COMPUTED_VALUE"""),0.005879543981481482)</f>
        <v>0.005879543981</v>
      </c>
      <c r="R1541" s="4">
        <f>IFERROR(__xludf.DUMMYFUNCTION("""COMPUTED_VALUE"""),45949.02939771964)</f>
        <v>45949.0294</v>
      </c>
      <c r="S1541" s="1" t="b">
        <f>IFERROR(__xludf.DUMMYFUNCTION("""COMPUTED_VALUE"""),TRUE)</f>
        <v>1</v>
      </c>
      <c r="T1541" s="1" t="b">
        <f>IFERROR(__xludf.DUMMYFUNCTION("""COMPUTED_VALUE"""),FALSE)</f>
        <v>0</v>
      </c>
      <c r="U1541" s="1" t="str">
        <f>IFERROR(__xludf.DUMMYFUNCTION("""COMPUTED_VALUE"""),"VALID")</f>
        <v>VALID</v>
      </c>
      <c r="V1541" s="1">
        <f>IFERROR(__xludf.DUMMYFUNCTION("""COMPUTED_VALUE"""),58.0)</f>
        <v>58</v>
      </c>
      <c r="W1541" s="1">
        <f>IFERROR(__xludf.DUMMYFUNCTION("""COMPUTED_VALUE"""),526.0)</f>
        <v>526</v>
      </c>
      <c r="X1541" s="1">
        <f>IFERROR(__xludf.DUMMYFUNCTION("""COMPUTED_VALUE"""),80.0)</f>
        <v>80</v>
      </c>
      <c r="Y1541" s="2"/>
      <c r="Z1541" s="2"/>
    </row>
    <row r="1542">
      <c r="A1542" s="1">
        <f>IFERROR(__xludf.DUMMYFUNCTION("""COMPUTED_VALUE"""),1541.0)</f>
        <v>1541</v>
      </c>
      <c r="B1542" s="1">
        <f>IFERROR(__xludf.DUMMYFUNCTION("""COMPUTED_VALUE"""),6250.0)</f>
        <v>6250</v>
      </c>
      <c r="C1542" s="2" t="str">
        <f>IFERROR(__xludf.DUMMYFUNCTION("""COMPUTED_VALUE"""),"caca")</f>
        <v>caca</v>
      </c>
      <c r="D1542" s="2" t="str">
        <f>IFERROR(__xludf.DUMMYFUNCTION("""COMPUTED_VALUE"""),"5KM OVERALL F")</f>
        <v>5KM OVERALL F</v>
      </c>
      <c r="E1542" s="1">
        <f>IFERROR(__xludf.DUMMYFUNCTION("""COMPUTED_VALUE"""),2.0)</f>
        <v>2</v>
      </c>
      <c r="F1542" s="1" t="str">
        <f>IFERROR(__xludf.DUMMYFUNCTION("""COMPUTED_VALUE"""),"Female")</f>
        <v>Female</v>
      </c>
      <c r="G1542" s="4" t="b">
        <f>IFERROR(__xludf.DUMMYFUNCTION("""COMPUTED_VALUE"""),TRUE)</f>
        <v>1</v>
      </c>
      <c r="H1542" s="4" t="b">
        <f>IFERROR(__xludf.DUMMYFUNCTION("""COMPUTED_VALUE"""),TRUE)</f>
        <v>1</v>
      </c>
      <c r="I1542" s="4">
        <f>IFERROR(__xludf.DUMMYFUNCTION("""COMPUTED_VALUE"""),0.2549440625)</f>
        <v>0.2549440625</v>
      </c>
      <c r="J1542" s="4">
        <f>IFERROR(__xludf.DUMMYFUNCTION("""COMPUTED_VALUE"""),45949.27173503405)</f>
        <v>45949.27174</v>
      </c>
      <c r="K1542" s="4" t="str">
        <f>IFERROR(__xludf.DUMMYFUNCTION("""COMPUTED_VALUE"""),"")</f>
        <v/>
      </c>
      <c r="L1542" s="4">
        <f>IFERROR(__xludf.DUMMYFUNCTION("""COMPUTED_VALUE"""),45949.28286261782)</f>
        <v>45949.28286</v>
      </c>
      <c r="M1542" s="1" t="str">
        <f>IFERROR(__xludf.DUMMYFUNCTION("""COMPUTED_VALUE"""),"RFID")</f>
        <v>RFID</v>
      </c>
      <c r="N1542" s="5">
        <f>IFERROR(__xludf.DUMMYFUNCTION("""COMPUTED_VALUE"""),0.006716388888888888)</f>
        <v>0.006716388889</v>
      </c>
      <c r="O1542" s="5" t="str">
        <f>IFERROR(__xludf.DUMMYFUNCTION("""COMPUTED_VALUE"""),"")</f>
        <v/>
      </c>
      <c r="P1542" s="5" t="str">
        <f>IFERROR(__xludf.DUMMYFUNCTION("""COMPUTED_VALUE"""),"")</f>
        <v/>
      </c>
      <c r="Q1542" s="5">
        <f>IFERROR(__xludf.DUMMYFUNCTION("""COMPUTED_VALUE"""),0.005583710648148148)</f>
        <v>0.005583710648</v>
      </c>
      <c r="R1542" s="4">
        <f>IFERROR(__xludf.DUMMYFUNCTION("""COMPUTED_VALUE"""),45949.02791855532)</f>
        <v>45949.02792</v>
      </c>
      <c r="S1542" s="1" t="b">
        <f>IFERROR(__xludf.DUMMYFUNCTION("""COMPUTED_VALUE"""),TRUE)</f>
        <v>1</v>
      </c>
      <c r="T1542" s="1" t="b">
        <f>IFERROR(__xludf.DUMMYFUNCTION("""COMPUTED_VALUE"""),FALSE)</f>
        <v>0</v>
      </c>
      <c r="U1542" s="1" t="str">
        <f>IFERROR(__xludf.DUMMYFUNCTION("""COMPUTED_VALUE"""),"VALID")</f>
        <v>VALID</v>
      </c>
      <c r="V1542" s="1">
        <f>IFERROR(__xludf.DUMMYFUNCTION("""COMPUTED_VALUE"""),43.0)</f>
        <v>43</v>
      </c>
      <c r="W1542" s="1">
        <f>IFERROR(__xludf.DUMMYFUNCTION("""COMPUTED_VALUE"""),429.0)</f>
        <v>429</v>
      </c>
      <c r="X1542" s="1">
        <f>IFERROR(__xludf.DUMMYFUNCTION("""COMPUTED_VALUE"""),63.0)</f>
        <v>63</v>
      </c>
      <c r="Y1542" s="2"/>
      <c r="Z1542" s="2"/>
    </row>
    <row r="1543">
      <c r="A1543" s="1">
        <f>IFERROR(__xludf.DUMMYFUNCTION("""COMPUTED_VALUE"""),1542.0)</f>
        <v>1542</v>
      </c>
      <c r="B1543" s="1">
        <f>IFERROR(__xludf.DUMMYFUNCTION("""COMPUTED_VALUE"""),6251.0)</f>
        <v>6251</v>
      </c>
      <c r="C1543" s="2" t="str">
        <f>IFERROR(__xludf.DUMMYFUNCTION("""COMPUTED_VALUE"""),"bellaaa")</f>
        <v>bellaaa</v>
      </c>
      <c r="D1543" s="2" t="str">
        <f>IFERROR(__xludf.DUMMYFUNCTION("""COMPUTED_VALUE"""),"5KM OVERALL F")</f>
        <v>5KM OVERALL F</v>
      </c>
      <c r="E1543" s="1">
        <f>IFERROR(__xludf.DUMMYFUNCTION("""COMPUTED_VALUE"""),2.0)</f>
        <v>2</v>
      </c>
      <c r="F1543" s="1" t="str">
        <f>IFERROR(__xludf.DUMMYFUNCTION("""COMPUTED_VALUE"""),"Female")</f>
        <v>Female</v>
      </c>
      <c r="G1543" s="4" t="b">
        <f>IFERROR(__xludf.DUMMYFUNCTION("""COMPUTED_VALUE"""),TRUE)</f>
        <v>1</v>
      </c>
      <c r="H1543" s="4" t="b">
        <f>IFERROR(__xludf.DUMMYFUNCTION("""COMPUTED_VALUE"""),TRUE)</f>
        <v>1</v>
      </c>
      <c r="I1543" s="4">
        <f>IFERROR(__xludf.DUMMYFUNCTION("""COMPUTED_VALUE"""),0.2549440625)</f>
        <v>0.2549440625</v>
      </c>
      <c r="J1543" s="4">
        <f>IFERROR(__xludf.DUMMYFUNCTION("""COMPUTED_VALUE"""),45949.27181836936)</f>
        <v>45949.27182</v>
      </c>
      <c r="K1543" s="4" t="str">
        <f>IFERROR(__xludf.DUMMYFUNCTION("""COMPUTED_VALUE"""),"")</f>
        <v/>
      </c>
      <c r="L1543" s="4">
        <f>IFERROR(__xludf.DUMMYFUNCTION("""COMPUTED_VALUE"""),45949.285841848105)</f>
        <v>45949.28584</v>
      </c>
      <c r="M1543" s="1" t="str">
        <f>IFERROR(__xludf.DUMMYFUNCTION("""COMPUTED_VALUE"""),"RFID")</f>
        <v>RFID</v>
      </c>
      <c r="N1543" s="5">
        <f>IFERROR(__xludf.DUMMYFUNCTION("""COMPUTED_VALUE"""),0.006749722222222222)</f>
        <v>0.006749722222</v>
      </c>
      <c r="O1543" s="5" t="str">
        <f>IFERROR(__xludf.DUMMYFUNCTION("""COMPUTED_VALUE"""),"")</f>
        <v/>
      </c>
      <c r="P1543" s="5" t="str">
        <f>IFERROR(__xludf.DUMMYFUNCTION("""COMPUTED_VALUE"""),"")</f>
        <v/>
      </c>
      <c r="Q1543" s="5">
        <f>IFERROR(__xludf.DUMMYFUNCTION("""COMPUTED_VALUE"""),0.00617955787037037)</f>
        <v>0.00617955787</v>
      </c>
      <c r="R1543" s="4">
        <f>IFERROR(__xludf.DUMMYFUNCTION("""COMPUTED_VALUE"""),45949.030897785604)</f>
        <v>45949.0309</v>
      </c>
      <c r="S1543" s="1" t="b">
        <f>IFERROR(__xludf.DUMMYFUNCTION("""COMPUTED_VALUE"""),TRUE)</f>
        <v>1</v>
      </c>
      <c r="T1543" s="1" t="b">
        <f>IFERROR(__xludf.DUMMYFUNCTION("""COMPUTED_VALUE"""),FALSE)</f>
        <v>0</v>
      </c>
      <c r="U1543" s="1" t="str">
        <f>IFERROR(__xludf.DUMMYFUNCTION("""COMPUTED_VALUE"""),"VALID")</f>
        <v>VALID</v>
      </c>
      <c r="V1543" s="1">
        <f>IFERROR(__xludf.DUMMYFUNCTION("""COMPUTED_VALUE"""),91.0)</f>
        <v>91</v>
      </c>
      <c r="W1543" s="1">
        <f>IFERROR(__xludf.DUMMYFUNCTION("""COMPUTED_VALUE"""),628.0)</f>
        <v>628</v>
      </c>
      <c r="X1543" s="1">
        <f>IFERROR(__xludf.DUMMYFUNCTION("""COMPUTED_VALUE"""),116.0)</f>
        <v>116</v>
      </c>
      <c r="Y1543" s="2"/>
      <c r="Z1543" s="2"/>
    </row>
    <row r="1544">
      <c r="A1544" s="1">
        <f>IFERROR(__xludf.DUMMYFUNCTION("""COMPUTED_VALUE"""),1543.0)</f>
        <v>1543</v>
      </c>
      <c r="B1544" s="1">
        <f>IFERROR(__xludf.DUMMYFUNCTION("""COMPUTED_VALUE"""),6259.0)</f>
        <v>6259</v>
      </c>
      <c r="C1544" s="2" t="str">
        <f>IFERROR(__xludf.DUMMYFUNCTION("""COMPUTED_VALUE"""),"ALMIRA SALWA")</f>
        <v>ALMIRA SALWA</v>
      </c>
      <c r="D1544" s="2" t="str">
        <f>IFERROR(__xludf.DUMMYFUNCTION("""COMPUTED_VALUE"""),"5KM OVERALL F")</f>
        <v>5KM OVERALL F</v>
      </c>
      <c r="E1544" s="1">
        <f>IFERROR(__xludf.DUMMYFUNCTION("""COMPUTED_VALUE"""),2.0)</f>
        <v>2</v>
      </c>
      <c r="F1544" s="1" t="str">
        <f>IFERROR(__xludf.DUMMYFUNCTION("""COMPUTED_VALUE"""),"Female")</f>
        <v>Female</v>
      </c>
      <c r="G1544" s="4" t="b">
        <f>IFERROR(__xludf.DUMMYFUNCTION("""COMPUTED_VALUE"""),TRUE)</f>
        <v>1</v>
      </c>
      <c r="H1544" s="4" t="b">
        <f>IFERROR(__xludf.DUMMYFUNCTION("""COMPUTED_VALUE"""),FALSE)</f>
        <v>0</v>
      </c>
      <c r="I1544" s="4">
        <f>IFERROR(__xludf.DUMMYFUNCTION("""COMPUTED_VALUE"""),0.2549440625)</f>
        <v>0.2549440625</v>
      </c>
      <c r="J1544" s="4">
        <f>IFERROR(__xludf.DUMMYFUNCTION("""COMPUTED_VALUE"""),45949.278440524446)</f>
        <v>45949.27844</v>
      </c>
      <c r="K1544" s="4" t="str">
        <f>IFERROR(__xludf.DUMMYFUNCTION("""COMPUTED_VALUE"""),"")</f>
        <v/>
      </c>
      <c r="L1544" s="4">
        <f>IFERROR(__xludf.DUMMYFUNCTION("""COMPUTED_VALUE"""),45949.29664392597)</f>
        <v>45949.29664</v>
      </c>
      <c r="M1544" s="1" t="str">
        <f>IFERROR(__xludf.DUMMYFUNCTION("""COMPUTED_VALUE"""),"RFID")</f>
        <v>RFID</v>
      </c>
      <c r="N1544" s="5">
        <f>IFERROR(__xludf.DUMMYFUNCTION("""COMPUTED_VALUE"""),0.009398583333333333)</f>
        <v>0.009398583333</v>
      </c>
      <c r="O1544" s="5" t="str">
        <f>IFERROR(__xludf.DUMMYFUNCTION("""COMPUTED_VALUE"""),"")</f>
        <v/>
      </c>
      <c r="P1544" s="5" t="str">
        <f>IFERROR(__xludf.DUMMYFUNCTION("""COMPUTED_VALUE"""),"")</f>
        <v/>
      </c>
      <c r="Q1544" s="5">
        <f>IFERROR(__xludf.DUMMYFUNCTION("""COMPUTED_VALUE"""),0.008339972222222223)</f>
        <v>0.008339972222</v>
      </c>
      <c r="R1544" s="4">
        <f>IFERROR(__xludf.DUMMYFUNCTION("""COMPUTED_VALUE"""),45949.04169986347)</f>
        <v>45949.0417</v>
      </c>
      <c r="S1544" s="1" t="b">
        <f>IFERROR(__xludf.DUMMYFUNCTION("""COMPUTED_VALUE"""),TRUE)</f>
        <v>1</v>
      </c>
      <c r="T1544" s="1" t="b">
        <f>IFERROR(__xludf.DUMMYFUNCTION("""COMPUTED_VALUE"""),FALSE)</f>
        <v>0</v>
      </c>
      <c r="U1544" s="1" t="str">
        <f>IFERROR(__xludf.DUMMYFUNCTION("""COMPUTED_VALUE"""),"VALID")</f>
        <v>VALID</v>
      </c>
      <c r="V1544" s="1">
        <f>IFERROR(__xludf.DUMMYFUNCTION("""COMPUTED_VALUE"""),354.0)</f>
        <v>354</v>
      </c>
      <c r="W1544" s="1">
        <f>IFERROR(__xludf.DUMMYFUNCTION("""COMPUTED_VALUE"""),1321.0)</f>
        <v>1321</v>
      </c>
      <c r="X1544" s="1">
        <f>IFERROR(__xludf.DUMMYFUNCTION("""COMPUTED_VALUE"""),429.0)</f>
        <v>429</v>
      </c>
      <c r="Y1544" s="2"/>
      <c r="Z1544" s="2"/>
    </row>
    <row r="1545">
      <c r="A1545" s="1">
        <f>IFERROR(__xludf.DUMMYFUNCTION("""COMPUTED_VALUE"""),1544.0)</f>
        <v>1544</v>
      </c>
      <c r="B1545" s="1">
        <f>IFERROR(__xludf.DUMMYFUNCTION("""COMPUTED_VALUE"""),6260.0)</f>
        <v>6260</v>
      </c>
      <c r="C1545" s="2">
        <f>IFERROR(__xludf.DUMMYFUNCTION("""COMPUTED_VALUE"""),9898.0)</f>
        <v>9898</v>
      </c>
      <c r="D1545" s="2" t="str">
        <f>IFERROR(__xludf.DUMMYFUNCTION("""COMPUTED_VALUE"""),"5KM OVERALL F")</f>
        <v>5KM OVERALL F</v>
      </c>
      <c r="E1545" s="1">
        <f>IFERROR(__xludf.DUMMYFUNCTION("""COMPUTED_VALUE"""),2.0)</f>
        <v>2</v>
      </c>
      <c r="F1545" s="1" t="str">
        <f>IFERROR(__xludf.DUMMYFUNCTION("""COMPUTED_VALUE"""),"Female")</f>
        <v>Female</v>
      </c>
      <c r="G1545" s="4" t="b">
        <f>IFERROR(__xludf.DUMMYFUNCTION("""COMPUTED_VALUE"""),TRUE)</f>
        <v>1</v>
      </c>
      <c r="H1545" s="4" t="b">
        <f>IFERROR(__xludf.DUMMYFUNCTION("""COMPUTED_VALUE"""),TRUE)</f>
        <v>1</v>
      </c>
      <c r="I1545" s="4">
        <f>IFERROR(__xludf.DUMMYFUNCTION("""COMPUTED_VALUE"""),0.2549440625)</f>
        <v>0.2549440625</v>
      </c>
      <c r="J1545" s="4">
        <f>IFERROR(__xludf.DUMMYFUNCTION("""COMPUTED_VALUE"""),45949.27714128689)</f>
        <v>45949.27714</v>
      </c>
      <c r="K1545" s="4" t="str">
        <f>IFERROR(__xludf.DUMMYFUNCTION("""COMPUTED_VALUE"""),"")</f>
        <v/>
      </c>
      <c r="L1545" s="4">
        <f>IFERROR(__xludf.DUMMYFUNCTION("""COMPUTED_VALUE"""),45949.29315088361)</f>
        <v>45949.29315</v>
      </c>
      <c r="M1545" s="1" t="str">
        <f>IFERROR(__xludf.DUMMYFUNCTION("""COMPUTED_VALUE"""),"RFID")</f>
        <v>RFID</v>
      </c>
      <c r="N1545" s="5">
        <f>IFERROR(__xludf.DUMMYFUNCTION("""COMPUTED_VALUE"""),0.00887888888888889)</f>
        <v>0.008878888889</v>
      </c>
      <c r="O1545" s="5" t="str">
        <f>IFERROR(__xludf.DUMMYFUNCTION("""COMPUTED_VALUE"""),"")</f>
        <v/>
      </c>
      <c r="P1545" s="5" t="str">
        <f>IFERROR(__xludf.DUMMYFUNCTION("""COMPUTED_VALUE"""),"")</f>
        <v/>
      </c>
      <c r="Q1545" s="5">
        <f>IFERROR(__xludf.DUMMYFUNCTION("""COMPUTED_VALUE"""),0.0076413634259259264)</f>
        <v>0.007641363426</v>
      </c>
      <c r="R1545" s="4">
        <f>IFERROR(__xludf.DUMMYFUNCTION("""COMPUTED_VALUE"""),45949.03820682111)</f>
        <v>45949.03821</v>
      </c>
      <c r="S1545" s="1" t="b">
        <f>IFERROR(__xludf.DUMMYFUNCTION("""COMPUTED_VALUE"""),TRUE)</f>
        <v>1</v>
      </c>
      <c r="T1545" s="1" t="b">
        <f>IFERROR(__xludf.DUMMYFUNCTION("""COMPUTED_VALUE"""),FALSE)</f>
        <v>0</v>
      </c>
      <c r="U1545" s="1" t="str">
        <f>IFERROR(__xludf.DUMMYFUNCTION("""COMPUTED_VALUE"""),"VALID")</f>
        <v>VALID</v>
      </c>
      <c r="V1545" s="1">
        <f>IFERROR(__xludf.DUMMYFUNCTION("""COMPUTED_VALUE"""),258.0)</f>
        <v>258</v>
      </c>
      <c r="W1545" s="1">
        <f>IFERROR(__xludf.DUMMYFUNCTION("""COMPUTED_VALUE"""),1115.0)</f>
        <v>1115</v>
      </c>
      <c r="X1545" s="1">
        <f>IFERROR(__xludf.DUMMYFUNCTION("""COMPUTED_VALUE"""),315.0)</f>
        <v>315</v>
      </c>
      <c r="Y1545" s="2"/>
      <c r="Z1545" s="2"/>
    </row>
    <row r="1546">
      <c r="A1546" s="1">
        <f>IFERROR(__xludf.DUMMYFUNCTION("""COMPUTED_VALUE"""),1545.0)</f>
        <v>1545</v>
      </c>
      <c r="B1546" s="1">
        <f>IFERROR(__xludf.DUMMYFUNCTION("""COMPUTED_VALUE"""),6261.0)</f>
        <v>6261</v>
      </c>
      <c r="C1546" s="2" t="str">
        <f>IFERROR(__xludf.DUMMYFUNCTION("""COMPUTED_VALUE"""),"Gadisnm")</f>
        <v>Gadisnm</v>
      </c>
      <c r="D1546" s="2" t="str">
        <f>IFERROR(__xludf.DUMMYFUNCTION("""COMPUTED_VALUE"""),"5KM OVERALL F")</f>
        <v>5KM OVERALL F</v>
      </c>
      <c r="E1546" s="1">
        <f>IFERROR(__xludf.DUMMYFUNCTION("""COMPUTED_VALUE"""),2.0)</f>
        <v>2</v>
      </c>
      <c r="F1546" s="1" t="str">
        <f>IFERROR(__xludf.DUMMYFUNCTION("""COMPUTED_VALUE"""),"Female")</f>
        <v>Female</v>
      </c>
      <c r="G1546" s="4" t="b">
        <f>IFERROR(__xludf.DUMMYFUNCTION("""COMPUTED_VALUE"""),TRUE)</f>
        <v>1</v>
      </c>
      <c r="H1546" s="4" t="b">
        <f>IFERROR(__xludf.DUMMYFUNCTION("""COMPUTED_VALUE"""),FALSE)</f>
        <v>0</v>
      </c>
      <c r="I1546" s="4">
        <f>IFERROR(__xludf.DUMMYFUNCTION("""COMPUTED_VALUE"""),0.2549440625)</f>
        <v>0.2549440625</v>
      </c>
      <c r="J1546" s="4">
        <f>IFERROR(__xludf.DUMMYFUNCTION("""COMPUTED_VALUE"""),45949.275196900846)</f>
        <v>45949.2752</v>
      </c>
      <c r="K1546" s="4" t="str">
        <f>IFERROR(__xludf.DUMMYFUNCTION("""COMPUTED_VALUE"""),"")</f>
        <v/>
      </c>
      <c r="L1546" s="4">
        <f>IFERROR(__xludf.DUMMYFUNCTION("""COMPUTED_VALUE"""),45949.288057061436)</f>
        <v>45949.28806</v>
      </c>
      <c r="M1546" s="1" t="str">
        <f>IFERROR(__xludf.DUMMYFUNCTION("""COMPUTED_VALUE"""),"RFID")</f>
        <v>RFID</v>
      </c>
      <c r="N1546" s="5">
        <f>IFERROR(__xludf.DUMMYFUNCTION("""COMPUTED_VALUE"""),0.00810113425925926)</f>
        <v>0.008101134259</v>
      </c>
      <c r="O1546" s="5" t="str">
        <f>IFERROR(__xludf.DUMMYFUNCTION("""COMPUTED_VALUE"""),"")</f>
        <v/>
      </c>
      <c r="P1546" s="5" t="str">
        <f>IFERROR(__xludf.DUMMYFUNCTION("""COMPUTED_VALUE"""),"")</f>
        <v/>
      </c>
      <c r="Q1546" s="5">
        <f>IFERROR(__xludf.DUMMYFUNCTION("""COMPUTED_VALUE"""),0.006622599537037037)</f>
        <v>0.006622599537</v>
      </c>
      <c r="R1546" s="4">
        <f>IFERROR(__xludf.DUMMYFUNCTION("""COMPUTED_VALUE"""),45949.033112998935)</f>
        <v>45949.03311</v>
      </c>
      <c r="S1546" s="1" t="b">
        <f>IFERROR(__xludf.DUMMYFUNCTION("""COMPUTED_VALUE"""),TRUE)</f>
        <v>1</v>
      </c>
      <c r="T1546" s="1" t="b">
        <f>IFERROR(__xludf.DUMMYFUNCTION("""COMPUTED_VALUE"""),FALSE)</f>
        <v>0</v>
      </c>
      <c r="U1546" s="1" t="str">
        <f>IFERROR(__xludf.DUMMYFUNCTION("""COMPUTED_VALUE"""),"VALID")</f>
        <v>VALID</v>
      </c>
      <c r="V1546" s="1">
        <f>IFERROR(__xludf.DUMMYFUNCTION("""COMPUTED_VALUE"""),129.0)</f>
        <v>129</v>
      </c>
      <c r="W1546" s="1">
        <f>IFERROR(__xludf.DUMMYFUNCTION("""COMPUTED_VALUE"""),781.0)</f>
        <v>781</v>
      </c>
      <c r="X1546" s="1">
        <f>IFERROR(__xludf.DUMMYFUNCTION("""COMPUTED_VALUE"""),162.0)</f>
        <v>162</v>
      </c>
      <c r="Y1546" s="2"/>
      <c r="Z1546" s="2"/>
    </row>
    <row r="1547">
      <c r="A1547" s="1">
        <f>IFERROR(__xludf.DUMMYFUNCTION("""COMPUTED_VALUE"""),1546.0)</f>
        <v>1546</v>
      </c>
      <c r="B1547" s="1">
        <f>IFERROR(__xludf.DUMMYFUNCTION("""COMPUTED_VALUE"""),6263.0)</f>
        <v>6263</v>
      </c>
      <c r="C1547" s="2" t="str">
        <f>IFERROR(__xludf.DUMMYFUNCTION("""COMPUTED_VALUE"""),"RISYA VENANDA")</f>
        <v>RISYA VENANDA</v>
      </c>
      <c r="D1547" s="2" t="str">
        <f>IFERROR(__xludf.DUMMYFUNCTION("""COMPUTED_VALUE"""),"5KM OVERALL F")</f>
        <v>5KM OVERALL F</v>
      </c>
      <c r="E1547" s="1">
        <f>IFERROR(__xludf.DUMMYFUNCTION("""COMPUTED_VALUE"""),2.0)</f>
        <v>2</v>
      </c>
      <c r="F1547" s="1" t="str">
        <f>IFERROR(__xludf.DUMMYFUNCTION("""COMPUTED_VALUE"""),"Female")</f>
        <v>Female</v>
      </c>
      <c r="G1547" s="4" t="b">
        <f>IFERROR(__xludf.DUMMYFUNCTION("""COMPUTED_VALUE"""),TRUE)</f>
        <v>1</v>
      </c>
      <c r="H1547" s="4" t="b">
        <f>IFERROR(__xludf.DUMMYFUNCTION("""COMPUTED_VALUE"""),TRUE)</f>
        <v>1</v>
      </c>
      <c r="I1547" s="4">
        <f>IFERROR(__xludf.DUMMYFUNCTION("""COMPUTED_VALUE"""),0.2549440625)</f>
        <v>0.2549440625</v>
      </c>
      <c r="J1547" s="4">
        <f>IFERROR(__xludf.DUMMYFUNCTION("""COMPUTED_VALUE"""),45949.28819058395)</f>
        <v>45949.28819</v>
      </c>
      <c r="K1547" s="4" t="str">
        <f>IFERROR(__xludf.DUMMYFUNCTION("""COMPUTED_VALUE"""),"")</f>
        <v/>
      </c>
      <c r="L1547" s="4">
        <f>IFERROR(__xludf.DUMMYFUNCTION("""COMPUTED_VALUE"""),45949.3108557235)</f>
        <v>45949.31086</v>
      </c>
      <c r="M1547" s="1" t="str">
        <f>IFERROR(__xludf.DUMMYFUNCTION("""COMPUTED_VALUE"""),"RFID")</f>
        <v>RFID</v>
      </c>
      <c r="N1547" s="5">
        <f>IFERROR(__xludf.DUMMYFUNCTION("""COMPUTED_VALUE"""),0.01329860648148148)</f>
        <v>0.01329860648</v>
      </c>
      <c r="O1547" s="5" t="str">
        <f>IFERROR(__xludf.DUMMYFUNCTION("""COMPUTED_VALUE"""),"")</f>
        <v/>
      </c>
      <c r="P1547" s="5" t="str">
        <f>IFERROR(__xludf.DUMMYFUNCTION("""COMPUTED_VALUE"""),"")</f>
        <v/>
      </c>
      <c r="Q1547" s="5">
        <f>IFERROR(__xludf.DUMMYFUNCTION("""COMPUTED_VALUE"""),0.011182333333333332)</f>
        <v>0.01118233333</v>
      </c>
      <c r="R1547" s="4">
        <f>IFERROR(__xludf.DUMMYFUNCTION("""COMPUTED_VALUE"""),45949.055911661)</f>
        <v>45949.05591</v>
      </c>
      <c r="S1547" s="1" t="b">
        <f>IFERROR(__xludf.DUMMYFUNCTION("""COMPUTED_VALUE"""),TRUE)</f>
        <v>1</v>
      </c>
      <c r="T1547" s="1" t="b">
        <f>IFERROR(__xludf.DUMMYFUNCTION("""COMPUTED_VALUE"""),FALSE)</f>
        <v>0</v>
      </c>
      <c r="U1547" s="1" t="str">
        <f>IFERROR(__xludf.DUMMYFUNCTION("""COMPUTED_VALUE"""),"VALID")</f>
        <v>VALID</v>
      </c>
      <c r="V1547" s="1">
        <f>IFERROR(__xludf.DUMMYFUNCTION("""COMPUTED_VALUE"""),506.0)</f>
        <v>506</v>
      </c>
      <c r="W1547" s="1">
        <f>IFERROR(__xludf.DUMMYFUNCTION("""COMPUTED_VALUE"""),1605.0)</f>
        <v>1605</v>
      </c>
      <c r="X1547" s="1">
        <f>IFERROR(__xludf.DUMMYFUNCTION("""COMPUTED_VALUE"""),633.0)</f>
        <v>633</v>
      </c>
      <c r="Y1547" s="2"/>
      <c r="Z1547" s="2"/>
    </row>
    <row r="1548">
      <c r="A1548" s="1">
        <f>IFERROR(__xludf.DUMMYFUNCTION("""COMPUTED_VALUE"""),1547.0)</f>
        <v>1547</v>
      </c>
      <c r="B1548" s="1">
        <f>IFERROR(__xludf.DUMMYFUNCTION("""COMPUTED_VALUE"""),6264.0)</f>
        <v>6264</v>
      </c>
      <c r="C1548" s="2" t="str">
        <f>IFERROR(__xludf.DUMMYFUNCTION("""COMPUTED_VALUE"""),"ATULA")</f>
        <v>ATULA</v>
      </c>
      <c r="D1548" s="2" t="str">
        <f>IFERROR(__xludf.DUMMYFUNCTION("""COMPUTED_VALUE"""),"5KM OVERALL F")</f>
        <v>5KM OVERALL F</v>
      </c>
      <c r="E1548" s="1">
        <f>IFERROR(__xludf.DUMMYFUNCTION("""COMPUTED_VALUE"""),2.0)</f>
        <v>2</v>
      </c>
      <c r="F1548" s="1" t="str">
        <f>IFERROR(__xludf.DUMMYFUNCTION("""COMPUTED_VALUE"""),"Female")</f>
        <v>Female</v>
      </c>
      <c r="G1548" s="4" t="b">
        <f>IFERROR(__xludf.DUMMYFUNCTION("""COMPUTED_VALUE"""),TRUE)</f>
        <v>1</v>
      </c>
      <c r="H1548" s="4" t="b">
        <f>IFERROR(__xludf.DUMMYFUNCTION("""COMPUTED_VALUE"""),TRUE)</f>
        <v>1</v>
      </c>
      <c r="I1548" s="4">
        <f>IFERROR(__xludf.DUMMYFUNCTION("""COMPUTED_VALUE"""),0.2549440625)</f>
        <v>0.2549440625</v>
      </c>
      <c r="J1548" s="4">
        <f>IFERROR(__xludf.DUMMYFUNCTION("""COMPUTED_VALUE"""),45949.27696418625)</f>
        <v>45949.27696</v>
      </c>
      <c r="K1548" s="4" t="str">
        <f>IFERROR(__xludf.DUMMYFUNCTION("""COMPUTED_VALUE"""),"")</f>
        <v/>
      </c>
      <c r="L1548" s="4">
        <f>IFERROR(__xludf.DUMMYFUNCTION("""COMPUTED_VALUE"""),45949.294612684644)</f>
        <v>45949.29461</v>
      </c>
      <c r="M1548" s="1" t="str">
        <f>IFERROR(__xludf.DUMMYFUNCTION("""COMPUTED_VALUE"""),"RFID")</f>
        <v>RFID</v>
      </c>
      <c r="N1548" s="5">
        <f>IFERROR(__xludf.DUMMYFUNCTION("""COMPUTED_VALUE"""),0.008808050925925926)</f>
        <v>0.008808050926</v>
      </c>
      <c r="O1548" s="5" t="str">
        <f>IFERROR(__xludf.DUMMYFUNCTION("""COMPUTED_VALUE"""),"")</f>
        <v/>
      </c>
      <c r="P1548" s="5" t="str">
        <f>IFERROR(__xludf.DUMMYFUNCTION("""COMPUTED_VALUE"""),"")</f>
        <v/>
      </c>
      <c r="Q1548" s="5">
        <f>IFERROR(__xludf.DUMMYFUNCTION("""COMPUTED_VALUE"""),0.007933724537037038)</f>
        <v>0.007933724537</v>
      </c>
      <c r="R1548" s="4">
        <f>IFERROR(__xludf.DUMMYFUNCTION("""COMPUTED_VALUE"""),45949.03966862214)</f>
        <v>45949.03967</v>
      </c>
      <c r="S1548" s="1" t="b">
        <f>IFERROR(__xludf.DUMMYFUNCTION("""COMPUTED_VALUE"""),TRUE)</f>
        <v>1</v>
      </c>
      <c r="T1548" s="1" t="b">
        <f>IFERROR(__xludf.DUMMYFUNCTION("""COMPUTED_VALUE"""),FALSE)</f>
        <v>0</v>
      </c>
      <c r="U1548" s="1" t="str">
        <f>IFERROR(__xludf.DUMMYFUNCTION("""COMPUTED_VALUE"""),"VALID")</f>
        <v>VALID</v>
      </c>
      <c r="V1548" s="1">
        <f>IFERROR(__xludf.DUMMYFUNCTION("""COMPUTED_VALUE"""),311.0)</f>
        <v>311</v>
      </c>
      <c r="W1548" s="1">
        <f>IFERROR(__xludf.DUMMYFUNCTION("""COMPUTED_VALUE"""),1227.0)</f>
        <v>1227</v>
      </c>
      <c r="X1548" s="1">
        <f>IFERROR(__xludf.DUMMYFUNCTION("""COMPUTED_VALUE"""),377.0)</f>
        <v>377</v>
      </c>
      <c r="Y1548" s="2"/>
      <c r="Z1548" s="2"/>
    </row>
    <row r="1549">
      <c r="A1549" s="1">
        <f>IFERROR(__xludf.DUMMYFUNCTION("""COMPUTED_VALUE"""),1548.0)</f>
        <v>1548</v>
      </c>
      <c r="B1549" s="1">
        <f>IFERROR(__xludf.DUMMYFUNCTION("""COMPUTED_VALUE"""),6266.0)</f>
        <v>6266</v>
      </c>
      <c r="C1549" s="2" t="str">
        <f>IFERROR(__xludf.DUMMYFUNCTION("""COMPUTED_VALUE"""),"nufus")</f>
        <v>nufus</v>
      </c>
      <c r="D1549" s="2" t="str">
        <f>IFERROR(__xludf.DUMMYFUNCTION("""COMPUTED_VALUE"""),"5KM OVERALL F")</f>
        <v>5KM OVERALL F</v>
      </c>
      <c r="E1549" s="1">
        <f>IFERROR(__xludf.DUMMYFUNCTION("""COMPUTED_VALUE"""),2.0)</f>
        <v>2</v>
      </c>
      <c r="F1549" s="1" t="str">
        <f>IFERROR(__xludf.DUMMYFUNCTION("""COMPUTED_VALUE"""),"Female")</f>
        <v>Female</v>
      </c>
      <c r="G1549" s="4" t="b">
        <f>IFERROR(__xludf.DUMMYFUNCTION("""COMPUTED_VALUE"""),TRUE)</f>
        <v>1</v>
      </c>
      <c r="H1549" s="4" t="b">
        <f>IFERROR(__xludf.DUMMYFUNCTION("""COMPUTED_VALUE"""),TRUE)</f>
        <v>1</v>
      </c>
      <c r="I1549" s="4">
        <f>IFERROR(__xludf.DUMMYFUNCTION("""COMPUTED_VALUE"""),0.2549440625)</f>
        <v>0.2549440625</v>
      </c>
      <c r="J1549" s="4">
        <f>IFERROR(__xludf.DUMMYFUNCTION("""COMPUTED_VALUE"""),45949.27655447412)</f>
        <v>45949.27655</v>
      </c>
      <c r="K1549" s="4" t="str">
        <f>IFERROR(__xludf.DUMMYFUNCTION("""COMPUTED_VALUE"""),"")</f>
        <v/>
      </c>
      <c r="L1549" s="4">
        <f>IFERROR(__xludf.DUMMYFUNCTION("""COMPUTED_VALUE"""),45949.29124884187)</f>
        <v>45949.29125</v>
      </c>
      <c r="M1549" s="1" t="str">
        <f>IFERROR(__xludf.DUMMYFUNCTION("""COMPUTED_VALUE"""),"RFID")</f>
        <v>RFID</v>
      </c>
      <c r="N1549" s="5">
        <f>IFERROR(__xludf.DUMMYFUNCTION("""COMPUTED_VALUE"""),0.008644166666666666)</f>
        <v>0.008644166667</v>
      </c>
      <c r="O1549" s="5" t="str">
        <f>IFERROR(__xludf.DUMMYFUNCTION("""COMPUTED_VALUE"""),"")</f>
        <v/>
      </c>
      <c r="P1549" s="5" t="str">
        <f>IFERROR(__xludf.DUMMYFUNCTION("""COMPUTED_VALUE"""),"")</f>
        <v/>
      </c>
      <c r="Q1549" s="5">
        <f>IFERROR(__xludf.DUMMYFUNCTION("""COMPUTED_VALUE"""),0.007260956018518519)</f>
        <v>0.007260956019</v>
      </c>
      <c r="R1549" s="4">
        <f>IFERROR(__xludf.DUMMYFUNCTION("""COMPUTED_VALUE"""),45949.03630477937)</f>
        <v>45949.0363</v>
      </c>
      <c r="S1549" s="1" t="b">
        <f>IFERROR(__xludf.DUMMYFUNCTION("""COMPUTED_VALUE"""),TRUE)</f>
        <v>1</v>
      </c>
      <c r="T1549" s="1" t="b">
        <f>IFERROR(__xludf.DUMMYFUNCTION("""COMPUTED_VALUE"""),FALSE)</f>
        <v>0</v>
      </c>
      <c r="U1549" s="1" t="str">
        <f>IFERROR(__xludf.DUMMYFUNCTION("""COMPUTED_VALUE"""),"VALID")</f>
        <v>VALID</v>
      </c>
      <c r="V1549" s="1">
        <f>IFERROR(__xludf.DUMMYFUNCTION("""COMPUTED_VALUE"""),193.0)</f>
        <v>193</v>
      </c>
      <c r="W1549" s="1">
        <f>IFERROR(__xludf.DUMMYFUNCTION("""COMPUTED_VALUE"""),979.0)</f>
        <v>979</v>
      </c>
      <c r="X1549" s="1">
        <f>IFERROR(__xludf.DUMMYFUNCTION("""COMPUTED_VALUE"""),243.0)</f>
        <v>243</v>
      </c>
      <c r="Y1549" s="2"/>
      <c r="Z1549" s="2"/>
    </row>
    <row r="1550">
      <c r="A1550" s="1">
        <f>IFERROR(__xludf.DUMMYFUNCTION("""COMPUTED_VALUE"""),1549.0)</f>
        <v>1549</v>
      </c>
      <c r="B1550" s="1">
        <f>IFERROR(__xludf.DUMMYFUNCTION("""COMPUTED_VALUE"""),6267.0)</f>
        <v>6267</v>
      </c>
      <c r="C1550" s="2" t="str">
        <f>IFERROR(__xludf.DUMMYFUNCTION("""COMPUTED_VALUE"""),"Nur Raina")</f>
        <v>Nur Raina</v>
      </c>
      <c r="D1550" s="2" t="str">
        <f>IFERROR(__xludf.DUMMYFUNCTION("""COMPUTED_VALUE"""),"5KM OVERALL F")</f>
        <v>5KM OVERALL F</v>
      </c>
      <c r="E1550" s="1">
        <f>IFERROR(__xludf.DUMMYFUNCTION("""COMPUTED_VALUE"""),2.0)</f>
        <v>2</v>
      </c>
      <c r="F1550" s="1" t="str">
        <f>IFERROR(__xludf.DUMMYFUNCTION("""COMPUTED_VALUE"""),"Female")</f>
        <v>Female</v>
      </c>
      <c r="G1550" s="4" t="b">
        <f>IFERROR(__xludf.DUMMYFUNCTION("""COMPUTED_VALUE"""),TRUE)</f>
        <v>1</v>
      </c>
      <c r="H1550" s="4" t="b">
        <f>IFERROR(__xludf.DUMMYFUNCTION("""COMPUTED_VALUE"""),TRUE)</f>
        <v>1</v>
      </c>
      <c r="I1550" s="4">
        <f>IFERROR(__xludf.DUMMYFUNCTION("""COMPUTED_VALUE"""),0.2549440625)</f>
        <v>0.2549440625</v>
      </c>
      <c r="J1550" s="4">
        <f>IFERROR(__xludf.DUMMYFUNCTION("""COMPUTED_VALUE"""),45949.27697113979)</f>
        <v>45949.27697</v>
      </c>
      <c r="K1550" s="4" t="str">
        <f>IFERROR(__xludf.DUMMYFUNCTION("""COMPUTED_VALUE"""),"")</f>
        <v/>
      </c>
      <c r="L1550" s="4">
        <f>IFERROR(__xludf.DUMMYFUNCTION("""COMPUTED_VALUE"""),45949.292060597516)</f>
        <v>45949.29206</v>
      </c>
      <c r="M1550" s="1" t="str">
        <f>IFERROR(__xludf.DUMMYFUNCTION("""COMPUTED_VALUE"""),"RFID")</f>
        <v>RFID</v>
      </c>
      <c r="N1550" s="5">
        <f>IFERROR(__xludf.DUMMYFUNCTION("""COMPUTED_VALUE"""),0.008810828703703703)</f>
        <v>0.008810828704</v>
      </c>
      <c r="O1550" s="5" t="str">
        <f>IFERROR(__xludf.DUMMYFUNCTION("""COMPUTED_VALUE"""),"")</f>
        <v/>
      </c>
      <c r="P1550" s="5" t="str">
        <f>IFERROR(__xludf.DUMMYFUNCTION("""COMPUTED_VALUE"""),"")</f>
        <v/>
      </c>
      <c r="Q1550" s="5">
        <f>IFERROR(__xludf.DUMMYFUNCTION("""COMPUTED_VALUE"""),0.00742330787037037)</f>
        <v>0.00742330787</v>
      </c>
      <c r="R1550" s="4">
        <f>IFERROR(__xludf.DUMMYFUNCTION("""COMPUTED_VALUE"""),45949.037116535015)</f>
        <v>45949.03712</v>
      </c>
      <c r="S1550" s="1" t="b">
        <f>IFERROR(__xludf.DUMMYFUNCTION("""COMPUTED_VALUE"""),TRUE)</f>
        <v>1</v>
      </c>
      <c r="T1550" s="1" t="b">
        <f>IFERROR(__xludf.DUMMYFUNCTION("""COMPUTED_VALUE"""),FALSE)</f>
        <v>0</v>
      </c>
      <c r="U1550" s="1" t="str">
        <f>IFERROR(__xludf.DUMMYFUNCTION("""COMPUTED_VALUE"""),"VALID")</f>
        <v>VALID</v>
      </c>
      <c r="V1550" s="1">
        <f>IFERROR(__xludf.DUMMYFUNCTION("""COMPUTED_VALUE"""),224.0)</f>
        <v>224</v>
      </c>
      <c r="W1550" s="1">
        <f>IFERROR(__xludf.DUMMYFUNCTION("""COMPUTED_VALUE"""),1036.0)</f>
        <v>1036</v>
      </c>
      <c r="X1550" s="1">
        <f>IFERROR(__xludf.DUMMYFUNCTION("""COMPUTED_VALUE"""),276.0)</f>
        <v>276</v>
      </c>
      <c r="Y1550" s="2"/>
      <c r="Z1550" s="2"/>
    </row>
    <row r="1551">
      <c r="A1551" s="1">
        <f>IFERROR(__xludf.DUMMYFUNCTION("""COMPUTED_VALUE"""),1550.0)</f>
        <v>1550</v>
      </c>
      <c r="B1551" s="1">
        <f>IFERROR(__xludf.DUMMYFUNCTION("""COMPUTED_VALUE"""),6268.0)</f>
        <v>6268</v>
      </c>
      <c r="C1551" s="2" t="str">
        <f>IFERROR(__xludf.DUMMYFUNCTION("""COMPUTED_VALUE"""),"Syifa")</f>
        <v>Syifa</v>
      </c>
      <c r="D1551" s="2" t="str">
        <f>IFERROR(__xludf.DUMMYFUNCTION("""COMPUTED_VALUE"""),"5KM OVERALL F")</f>
        <v>5KM OVERALL F</v>
      </c>
      <c r="E1551" s="1">
        <f>IFERROR(__xludf.DUMMYFUNCTION("""COMPUTED_VALUE"""),2.0)</f>
        <v>2</v>
      </c>
      <c r="F1551" s="1" t="str">
        <f>IFERROR(__xludf.DUMMYFUNCTION("""COMPUTED_VALUE"""),"Female")</f>
        <v>Female</v>
      </c>
      <c r="G1551" s="4" t="b">
        <f>IFERROR(__xludf.DUMMYFUNCTION("""COMPUTED_VALUE"""),TRUE)</f>
        <v>1</v>
      </c>
      <c r="H1551" s="4" t="b">
        <f>IFERROR(__xludf.DUMMYFUNCTION("""COMPUTED_VALUE"""),FALSE)</f>
        <v>0</v>
      </c>
      <c r="I1551" s="4">
        <f>IFERROR(__xludf.DUMMYFUNCTION("""COMPUTED_VALUE"""),0.2549440625)</f>
        <v>0.2549440625</v>
      </c>
      <c r="J1551" s="4">
        <f>IFERROR(__xludf.DUMMYFUNCTION("""COMPUTED_VALUE"""),45949.276971151376)</f>
        <v>45949.27697</v>
      </c>
      <c r="K1551" s="4" t="str">
        <f>IFERROR(__xludf.DUMMYFUNCTION("""COMPUTED_VALUE"""),"")</f>
        <v/>
      </c>
      <c r="L1551" s="4">
        <f>IFERROR(__xludf.DUMMYFUNCTION("""COMPUTED_VALUE"""),45949.29190775841)</f>
        <v>45949.29191</v>
      </c>
      <c r="M1551" s="1" t="str">
        <f>IFERROR(__xludf.DUMMYFUNCTION("""COMPUTED_VALUE"""),"RFID")</f>
        <v>RFID</v>
      </c>
      <c r="N1551" s="5">
        <f>IFERROR(__xludf.DUMMYFUNCTION("""COMPUTED_VALUE"""),0.008810833333333334)</f>
        <v>0.008810833333</v>
      </c>
      <c r="O1551" s="5" t="str">
        <f>IFERROR(__xludf.DUMMYFUNCTION("""COMPUTED_VALUE"""),"")</f>
        <v/>
      </c>
      <c r="P1551" s="5" t="str">
        <f>IFERROR(__xludf.DUMMYFUNCTION("""COMPUTED_VALUE"""),"")</f>
        <v/>
      </c>
      <c r="Q1551" s="5">
        <f>IFERROR(__xludf.DUMMYFUNCTION("""COMPUTED_VALUE"""),0.007392738425925927)</f>
        <v>0.007392738426</v>
      </c>
      <c r="R1551" s="4">
        <f>IFERROR(__xludf.DUMMYFUNCTION("""COMPUTED_VALUE"""),45949.03696369591)</f>
        <v>45949.03696</v>
      </c>
      <c r="S1551" s="1" t="b">
        <f>IFERROR(__xludf.DUMMYFUNCTION("""COMPUTED_VALUE"""),TRUE)</f>
        <v>1</v>
      </c>
      <c r="T1551" s="1" t="b">
        <f>IFERROR(__xludf.DUMMYFUNCTION("""COMPUTED_VALUE"""),FALSE)</f>
        <v>0</v>
      </c>
      <c r="U1551" s="1" t="str">
        <f>IFERROR(__xludf.DUMMYFUNCTION("""COMPUTED_VALUE"""),"VALID")</f>
        <v>VALID</v>
      </c>
      <c r="V1551" s="1">
        <f>IFERROR(__xludf.DUMMYFUNCTION("""COMPUTED_VALUE"""),219.0)</f>
        <v>219</v>
      </c>
      <c r="W1551" s="1">
        <f>IFERROR(__xludf.DUMMYFUNCTION("""COMPUTED_VALUE"""),1027.0)</f>
        <v>1027</v>
      </c>
      <c r="X1551" s="1">
        <f>IFERROR(__xludf.DUMMYFUNCTION("""COMPUTED_VALUE"""),271.0)</f>
        <v>271</v>
      </c>
      <c r="Y1551" s="2"/>
      <c r="Z1551" s="2"/>
    </row>
    <row r="1552">
      <c r="A1552" s="1">
        <f>IFERROR(__xludf.DUMMYFUNCTION("""COMPUTED_VALUE"""),1551.0)</f>
        <v>1551</v>
      </c>
      <c r="B1552" s="1">
        <f>IFERROR(__xludf.DUMMYFUNCTION("""COMPUTED_VALUE"""),6269.0)</f>
        <v>6269</v>
      </c>
      <c r="C1552" s="2" t="str">
        <f>IFERROR(__xludf.DUMMYFUNCTION("""COMPUTED_VALUE"""),"Mita")</f>
        <v>Mita</v>
      </c>
      <c r="D1552" s="2" t="str">
        <f>IFERROR(__xludf.DUMMYFUNCTION("""COMPUTED_VALUE"""),"5KM OVERALL F")</f>
        <v>5KM OVERALL F</v>
      </c>
      <c r="E1552" s="1">
        <f>IFERROR(__xludf.DUMMYFUNCTION("""COMPUTED_VALUE"""),2.0)</f>
        <v>2</v>
      </c>
      <c r="F1552" s="1" t="str">
        <f>IFERROR(__xludf.DUMMYFUNCTION("""COMPUTED_VALUE"""),"Female")</f>
        <v>Female</v>
      </c>
      <c r="G1552" s="4" t="b">
        <f>IFERROR(__xludf.DUMMYFUNCTION("""COMPUTED_VALUE"""),TRUE)</f>
        <v>1</v>
      </c>
      <c r="H1552" s="4" t="b">
        <f>IFERROR(__xludf.DUMMYFUNCTION("""COMPUTED_VALUE"""),TRUE)</f>
        <v>1</v>
      </c>
      <c r="I1552" s="4">
        <f>IFERROR(__xludf.DUMMYFUNCTION("""COMPUTED_VALUE"""),0.2549440625)</f>
        <v>0.2549440625</v>
      </c>
      <c r="J1552" s="4">
        <f>IFERROR(__xludf.DUMMYFUNCTION("""COMPUTED_VALUE"""),45949.273092723924)</f>
        <v>45949.27309</v>
      </c>
      <c r="K1552" s="4" t="str">
        <f>IFERROR(__xludf.DUMMYFUNCTION("""COMPUTED_VALUE"""),"")</f>
        <v/>
      </c>
      <c r="L1552" s="4">
        <f>IFERROR(__xludf.DUMMYFUNCTION("""COMPUTED_VALUE"""),45949.28624809588)</f>
        <v>45949.28625</v>
      </c>
      <c r="M1552" s="1" t="str">
        <f>IFERROR(__xludf.DUMMYFUNCTION("""COMPUTED_VALUE"""),"RFID")</f>
        <v>RFID</v>
      </c>
      <c r="N1552" s="5">
        <f>IFERROR(__xludf.DUMMYFUNCTION("""COMPUTED_VALUE"""),0.007259462962962963)</f>
        <v>0.007259462963</v>
      </c>
      <c r="O1552" s="5" t="str">
        <f>IFERROR(__xludf.DUMMYFUNCTION("""COMPUTED_VALUE"""),"")</f>
        <v/>
      </c>
      <c r="P1552" s="5" t="str">
        <f>IFERROR(__xludf.DUMMYFUNCTION("""COMPUTED_VALUE"""),"")</f>
        <v/>
      </c>
      <c r="Q1552" s="5">
        <f>IFERROR(__xludf.DUMMYFUNCTION("""COMPUTED_VALUE"""),0.006260805555555556)</f>
        <v>0.006260805556</v>
      </c>
      <c r="R1552" s="4">
        <f>IFERROR(__xludf.DUMMYFUNCTION("""COMPUTED_VALUE"""),45949.03130403338)</f>
        <v>45949.0313</v>
      </c>
      <c r="S1552" s="1" t="b">
        <f>IFERROR(__xludf.DUMMYFUNCTION("""COMPUTED_VALUE"""),TRUE)</f>
        <v>1</v>
      </c>
      <c r="T1552" s="1" t="b">
        <f>IFERROR(__xludf.DUMMYFUNCTION("""COMPUTED_VALUE"""),FALSE)</f>
        <v>0</v>
      </c>
      <c r="U1552" s="1" t="str">
        <f>IFERROR(__xludf.DUMMYFUNCTION("""COMPUTED_VALUE"""),"VALID")</f>
        <v>VALID</v>
      </c>
      <c r="V1552" s="1">
        <f>IFERROR(__xludf.DUMMYFUNCTION("""COMPUTED_VALUE"""),95.0)</f>
        <v>95</v>
      </c>
      <c r="W1552" s="1">
        <f>IFERROR(__xludf.DUMMYFUNCTION("""COMPUTED_VALUE"""),648.0)</f>
        <v>648</v>
      </c>
      <c r="X1552" s="1">
        <f>IFERROR(__xludf.DUMMYFUNCTION("""COMPUTED_VALUE"""),122.0)</f>
        <v>122</v>
      </c>
      <c r="Y1552" s="2"/>
      <c r="Z1552" s="2"/>
    </row>
    <row r="1553">
      <c r="A1553" s="1">
        <f>IFERROR(__xludf.DUMMYFUNCTION("""COMPUTED_VALUE"""),1552.0)</f>
        <v>1552</v>
      </c>
      <c r="B1553" s="1">
        <f>IFERROR(__xludf.DUMMYFUNCTION("""COMPUTED_VALUE"""),6270.0)</f>
        <v>6270</v>
      </c>
      <c r="C1553" s="2" t="str">
        <f>IFERROR(__xludf.DUMMYFUNCTION("""COMPUTED_VALUE"""),"Uyun")</f>
        <v>Uyun</v>
      </c>
      <c r="D1553" s="2" t="str">
        <f>IFERROR(__xludf.DUMMYFUNCTION("""COMPUTED_VALUE"""),"5KM OVERALL F")</f>
        <v>5KM OVERALL F</v>
      </c>
      <c r="E1553" s="1">
        <f>IFERROR(__xludf.DUMMYFUNCTION("""COMPUTED_VALUE"""),2.0)</f>
        <v>2</v>
      </c>
      <c r="F1553" s="1" t="str">
        <f>IFERROR(__xludf.DUMMYFUNCTION("""COMPUTED_VALUE"""),"Female")</f>
        <v>Female</v>
      </c>
      <c r="G1553" s="4" t="b">
        <f>IFERROR(__xludf.DUMMYFUNCTION("""COMPUTED_VALUE"""),TRUE)</f>
        <v>1</v>
      </c>
      <c r="H1553" s="4" t="b">
        <f>IFERROR(__xludf.DUMMYFUNCTION("""COMPUTED_VALUE"""),TRUE)</f>
        <v>1</v>
      </c>
      <c r="I1553" s="4">
        <f>IFERROR(__xludf.DUMMYFUNCTION("""COMPUTED_VALUE"""),0.2549440625)</f>
        <v>0.2549440625</v>
      </c>
      <c r="J1553" s="4">
        <f>IFERROR(__xludf.DUMMYFUNCTION("""COMPUTED_VALUE"""),45949.2819329379)</f>
        <v>45949.28193</v>
      </c>
      <c r="K1553" s="4" t="str">
        <f>IFERROR(__xludf.DUMMYFUNCTION("""COMPUTED_VALUE"""),"")</f>
        <v/>
      </c>
      <c r="L1553" s="4">
        <f>IFERROR(__xludf.DUMMYFUNCTION("""COMPUTED_VALUE"""),45949.3005467133)</f>
        <v>45949.30055</v>
      </c>
      <c r="M1553" s="1" t="str">
        <f>IFERROR(__xludf.DUMMYFUNCTION("""COMPUTED_VALUE"""),"RFID")</f>
        <v>RFID</v>
      </c>
      <c r="N1553" s="5">
        <f>IFERROR(__xludf.DUMMYFUNCTION("""COMPUTED_VALUE"""),0.010795550925925925)</f>
        <v>0.01079555093</v>
      </c>
      <c r="O1553" s="5" t="str">
        <f>IFERROR(__xludf.DUMMYFUNCTION("""COMPUTED_VALUE"""),"")</f>
        <v/>
      </c>
      <c r="P1553" s="5" t="str">
        <f>IFERROR(__xludf.DUMMYFUNCTION("""COMPUTED_VALUE"""),"")</f>
        <v/>
      </c>
      <c r="Q1553" s="5">
        <f>IFERROR(__xludf.DUMMYFUNCTION("""COMPUTED_VALUE"""),0.009120530092592592)</f>
        <v>0.009120530093</v>
      </c>
      <c r="R1553" s="4">
        <f>IFERROR(__xludf.DUMMYFUNCTION("""COMPUTED_VALUE"""),45949.045602650796)</f>
        <v>45949.0456</v>
      </c>
      <c r="S1553" s="1" t="b">
        <f>IFERROR(__xludf.DUMMYFUNCTION("""COMPUTED_VALUE"""),TRUE)</f>
        <v>1</v>
      </c>
      <c r="T1553" s="1" t="b">
        <f>IFERROR(__xludf.DUMMYFUNCTION("""COMPUTED_VALUE"""),FALSE)</f>
        <v>0</v>
      </c>
      <c r="U1553" s="1" t="str">
        <f>IFERROR(__xludf.DUMMYFUNCTION("""COMPUTED_VALUE"""),"VALID")</f>
        <v>VALID</v>
      </c>
      <c r="V1553" s="1">
        <f>IFERROR(__xludf.DUMMYFUNCTION("""COMPUTED_VALUE"""),432.0)</f>
        <v>432</v>
      </c>
      <c r="W1553" s="1">
        <f>IFERROR(__xludf.DUMMYFUNCTION("""COMPUTED_VALUE"""),1472.0)</f>
        <v>1472</v>
      </c>
      <c r="X1553" s="1">
        <f>IFERROR(__xludf.DUMMYFUNCTION("""COMPUTED_VALUE"""),527.0)</f>
        <v>527</v>
      </c>
      <c r="Y1553" s="2"/>
      <c r="Z1553" s="2"/>
    </row>
    <row r="1554">
      <c r="A1554" s="1">
        <f>IFERROR(__xludf.DUMMYFUNCTION("""COMPUTED_VALUE"""),1553.0)</f>
        <v>1553</v>
      </c>
      <c r="B1554" s="1">
        <f>IFERROR(__xludf.DUMMYFUNCTION("""COMPUTED_VALUE"""),6273.0)</f>
        <v>6273</v>
      </c>
      <c r="C1554" s="2" t="str">
        <f>IFERROR(__xludf.DUMMYFUNCTION("""COMPUTED_VALUE"""),"Bella")</f>
        <v>Bella</v>
      </c>
      <c r="D1554" s="2" t="str">
        <f>IFERROR(__xludf.DUMMYFUNCTION("""COMPUTED_VALUE"""),"5KM OVERALL F")</f>
        <v>5KM OVERALL F</v>
      </c>
      <c r="E1554" s="1">
        <f>IFERROR(__xludf.DUMMYFUNCTION("""COMPUTED_VALUE"""),2.0)</f>
        <v>2</v>
      </c>
      <c r="F1554" s="1" t="str">
        <f>IFERROR(__xludf.DUMMYFUNCTION("""COMPUTED_VALUE"""),"Female")</f>
        <v>Female</v>
      </c>
      <c r="G1554" s="4" t="b">
        <f>IFERROR(__xludf.DUMMYFUNCTION("""COMPUTED_VALUE"""),TRUE)</f>
        <v>1</v>
      </c>
      <c r="H1554" s="4" t="b">
        <f>IFERROR(__xludf.DUMMYFUNCTION("""COMPUTED_VALUE"""),TRUE)</f>
        <v>1</v>
      </c>
      <c r="I1554" s="4">
        <f>IFERROR(__xludf.DUMMYFUNCTION("""COMPUTED_VALUE"""),0.2549440625)</f>
        <v>0.2549440625</v>
      </c>
      <c r="J1554" s="4">
        <f>IFERROR(__xludf.DUMMYFUNCTION("""COMPUTED_VALUE"""),45950.27379629629)</f>
        <v>45950.2738</v>
      </c>
      <c r="K1554" s="4" t="str">
        <f>IFERROR(__xludf.DUMMYFUNCTION("""COMPUTED_VALUE"""),"")</f>
        <v/>
      </c>
      <c r="L1554" s="4">
        <f>IFERROR(__xludf.DUMMYFUNCTION("""COMPUTED_VALUE"""),45949.29632794855)</f>
        <v>45949.29633</v>
      </c>
      <c r="M1554" s="1" t="str">
        <f>IFERROR(__xludf.DUMMYFUNCTION("""COMPUTED_VALUE"""),"RFID")</f>
        <v>RFID</v>
      </c>
      <c r="N1554" s="5">
        <f>IFERROR(__xludf.DUMMYFUNCTION("""COMPUTED_VALUE"""),0.007540893518518518)</f>
        <v>0.007540893519</v>
      </c>
      <c r="O1554" s="5" t="str">
        <f>IFERROR(__xludf.DUMMYFUNCTION("""COMPUTED_VALUE"""),"")</f>
        <v/>
      </c>
      <c r="P1554" s="5" t="str">
        <f>IFERROR(__xludf.DUMMYFUNCTION("""COMPUTED_VALUE"""),"")</f>
        <v/>
      </c>
      <c r="Q1554" s="5">
        <f>IFERROR(__xludf.DUMMYFUNCTION("""COMPUTED_VALUE"""),0.008276777777777779)</f>
        <v>0.008276777778</v>
      </c>
      <c r="R1554" s="4">
        <f>IFERROR(__xludf.DUMMYFUNCTION("""COMPUTED_VALUE"""),45949.04138388605)</f>
        <v>45949.04138</v>
      </c>
      <c r="S1554" s="1" t="b">
        <f>IFERROR(__xludf.DUMMYFUNCTION("""COMPUTED_VALUE"""),TRUE)</f>
        <v>1</v>
      </c>
      <c r="T1554" s="1" t="b">
        <f>IFERROR(__xludf.DUMMYFUNCTION("""COMPUTED_VALUE"""),FALSE)</f>
        <v>0</v>
      </c>
      <c r="U1554" s="1" t="str">
        <f>IFERROR(__xludf.DUMMYFUNCTION("""COMPUTED_VALUE"""),"VALID")</f>
        <v>VALID</v>
      </c>
      <c r="V1554" s="1">
        <f>IFERROR(__xludf.DUMMYFUNCTION("""COMPUTED_VALUE"""),345.0)</f>
        <v>345</v>
      </c>
      <c r="W1554" s="1">
        <f>IFERROR(__xludf.DUMMYFUNCTION("""COMPUTED_VALUE"""),1301.0)</f>
        <v>1301</v>
      </c>
      <c r="X1554" s="1">
        <f>IFERROR(__xludf.DUMMYFUNCTION("""COMPUTED_VALUE"""),419.0)</f>
        <v>419</v>
      </c>
      <c r="Y1554" s="2" t="str">
        <f>IFERROR(__xludf.DUMMYFUNCTION("""COMPUTED_VALUE"""),"tidak terkihat di checkpoint")</f>
        <v>tidak terkihat di checkpoint</v>
      </c>
      <c r="Z1554" s="2"/>
    </row>
    <row r="1555">
      <c r="A1555" s="1">
        <f>IFERROR(__xludf.DUMMYFUNCTION("""COMPUTED_VALUE"""),1554.0)</f>
        <v>1554</v>
      </c>
      <c r="B1555" s="1">
        <f>IFERROR(__xludf.DUMMYFUNCTION("""COMPUTED_VALUE"""),6275.0)</f>
        <v>6275</v>
      </c>
      <c r="C1555" s="2" t="str">
        <f>IFERROR(__xludf.DUMMYFUNCTION("""COMPUTED_VALUE"""),"hafizah")</f>
        <v>hafizah</v>
      </c>
      <c r="D1555" s="2" t="str">
        <f>IFERROR(__xludf.DUMMYFUNCTION("""COMPUTED_VALUE"""),"5KM OVERALL F")</f>
        <v>5KM OVERALL F</v>
      </c>
      <c r="E1555" s="1">
        <f>IFERROR(__xludf.DUMMYFUNCTION("""COMPUTED_VALUE"""),2.0)</f>
        <v>2</v>
      </c>
      <c r="F1555" s="1" t="str">
        <f>IFERROR(__xludf.DUMMYFUNCTION("""COMPUTED_VALUE"""),"Female")</f>
        <v>Female</v>
      </c>
      <c r="G1555" s="4" t="b">
        <f>IFERROR(__xludf.DUMMYFUNCTION("""COMPUTED_VALUE"""),TRUE)</f>
        <v>1</v>
      </c>
      <c r="H1555" s="4" t="b">
        <f>IFERROR(__xludf.DUMMYFUNCTION("""COMPUTED_VALUE"""),FALSE)</f>
        <v>0</v>
      </c>
      <c r="I1555" s="4">
        <f>IFERROR(__xludf.DUMMYFUNCTION("""COMPUTED_VALUE"""),0.2549440625)</f>
        <v>0.2549440625</v>
      </c>
      <c r="J1555" s="4">
        <f>IFERROR(__xludf.DUMMYFUNCTION("""COMPUTED_VALUE"""),45949.2694095684)</f>
        <v>45949.26941</v>
      </c>
      <c r="K1555" s="4" t="str">
        <f>IFERROR(__xludf.DUMMYFUNCTION("""COMPUTED_VALUE"""),"")</f>
        <v/>
      </c>
      <c r="L1555" s="4">
        <f>IFERROR(__xludf.DUMMYFUNCTION("""COMPUTED_VALUE"""),45949.279918233)</f>
        <v>45949.27992</v>
      </c>
      <c r="M1555" s="1" t="str">
        <f>IFERROR(__xludf.DUMMYFUNCTION("""COMPUTED_VALUE"""),"RFID")</f>
        <v>RFID</v>
      </c>
      <c r="N1555" s="5">
        <f>IFERROR(__xludf.DUMMYFUNCTION("""COMPUTED_VALUE"""),0.005786203703703703)</f>
        <v>0.005786203704</v>
      </c>
      <c r="O1555" s="5" t="str">
        <f>IFERROR(__xludf.DUMMYFUNCTION("""COMPUTED_VALUE"""),"")</f>
        <v/>
      </c>
      <c r="P1555" s="5" t="str">
        <f>IFERROR(__xludf.DUMMYFUNCTION("""COMPUTED_VALUE"""),"")</f>
        <v/>
      </c>
      <c r="Q1555" s="5">
        <f>IFERROR(__xludf.DUMMYFUNCTION("""COMPUTED_VALUE"""),0.004994833333333333)</f>
        <v>0.004994833333</v>
      </c>
      <c r="R1555" s="4">
        <f>IFERROR(__xludf.DUMMYFUNCTION("""COMPUTED_VALUE"""),45949.0249741705)</f>
        <v>45949.02497</v>
      </c>
      <c r="S1555" s="1" t="b">
        <f>IFERROR(__xludf.DUMMYFUNCTION("""COMPUTED_VALUE"""),TRUE)</f>
        <v>1</v>
      </c>
      <c r="T1555" s="1" t="b">
        <f>IFERROR(__xludf.DUMMYFUNCTION("""COMPUTED_VALUE"""),FALSE)</f>
        <v>0</v>
      </c>
      <c r="U1555" s="1" t="str">
        <f>IFERROR(__xludf.DUMMYFUNCTION("""COMPUTED_VALUE"""),"VALID")</f>
        <v>VALID</v>
      </c>
      <c r="V1555" s="1">
        <f>IFERROR(__xludf.DUMMYFUNCTION("""COMPUTED_VALUE"""),25.0)</f>
        <v>25</v>
      </c>
      <c r="W1555" s="1">
        <f>IFERROR(__xludf.DUMMYFUNCTION("""COMPUTED_VALUE"""),285.0)</f>
        <v>285</v>
      </c>
      <c r="X1555" s="1">
        <f>IFERROR(__xludf.DUMMYFUNCTION("""COMPUTED_VALUE"""),38.0)</f>
        <v>38</v>
      </c>
      <c r="Y1555" s="2"/>
      <c r="Z1555" s="2"/>
    </row>
    <row r="1556">
      <c r="A1556" s="1">
        <f>IFERROR(__xludf.DUMMYFUNCTION("""COMPUTED_VALUE"""),1555.0)</f>
        <v>1555</v>
      </c>
      <c r="B1556" s="1">
        <f>IFERROR(__xludf.DUMMYFUNCTION("""COMPUTED_VALUE"""),6280.0)</f>
        <v>6280</v>
      </c>
      <c r="C1556" s="2" t="str">
        <f>IFERROR(__xludf.DUMMYFUNCTION("""COMPUTED_VALUE"""),"susela uzmah")</f>
        <v>susela uzmah</v>
      </c>
      <c r="D1556" s="2" t="str">
        <f>IFERROR(__xludf.DUMMYFUNCTION("""COMPUTED_VALUE"""),"5KM OVERALL F")</f>
        <v>5KM OVERALL F</v>
      </c>
      <c r="E1556" s="1">
        <f>IFERROR(__xludf.DUMMYFUNCTION("""COMPUTED_VALUE"""),2.0)</f>
        <v>2</v>
      </c>
      <c r="F1556" s="1" t="str">
        <f>IFERROR(__xludf.DUMMYFUNCTION("""COMPUTED_VALUE"""),"Female")</f>
        <v>Female</v>
      </c>
      <c r="G1556" s="4" t="b">
        <f>IFERROR(__xludf.DUMMYFUNCTION("""COMPUTED_VALUE"""),TRUE)</f>
        <v>1</v>
      </c>
      <c r="H1556" s="4" t="b">
        <f>IFERROR(__xludf.DUMMYFUNCTION("""COMPUTED_VALUE"""),FALSE)</f>
        <v>0</v>
      </c>
      <c r="I1556" s="4">
        <f>IFERROR(__xludf.DUMMYFUNCTION("""COMPUTED_VALUE"""),0.2549440625)</f>
        <v>0.2549440625</v>
      </c>
      <c r="J1556" s="4">
        <f>IFERROR(__xludf.DUMMYFUNCTION("""COMPUTED_VALUE"""),45949.274991988)</f>
        <v>45949.27499</v>
      </c>
      <c r="K1556" s="4" t="str">
        <f>IFERROR(__xludf.DUMMYFUNCTION("""COMPUTED_VALUE"""),"")</f>
        <v/>
      </c>
      <c r="L1556" s="4">
        <f>IFERROR(__xludf.DUMMYFUNCTION("""COMPUTED_VALUE"""),45949.29171337199)</f>
        <v>45949.29171</v>
      </c>
      <c r="M1556" s="1" t="str">
        <f>IFERROR(__xludf.DUMMYFUNCTION("""COMPUTED_VALUE"""),"RFID")</f>
        <v>RFID</v>
      </c>
      <c r="N1556" s="5">
        <f>IFERROR(__xludf.DUMMYFUNCTION("""COMPUTED_VALUE"""),0.008019171296296297)</f>
        <v>0.008019171296</v>
      </c>
      <c r="O1556" s="5" t="str">
        <f>IFERROR(__xludf.DUMMYFUNCTION("""COMPUTED_VALUE"""),"")</f>
        <v/>
      </c>
      <c r="P1556" s="5" t="str">
        <f>IFERROR(__xludf.DUMMYFUNCTION("""COMPUTED_VALUE"""),"")</f>
        <v/>
      </c>
      <c r="Q1556" s="5">
        <f>IFERROR(__xludf.DUMMYFUNCTION("""COMPUTED_VALUE"""),0.007353861111111111)</f>
        <v>0.007353861111</v>
      </c>
      <c r="R1556" s="4">
        <f>IFERROR(__xludf.DUMMYFUNCTION("""COMPUTED_VALUE"""),45949.03676930949)</f>
        <v>45949.03677</v>
      </c>
      <c r="S1556" s="1" t="b">
        <f>IFERROR(__xludf.DUMMYFUNCTION("""COMPUTED_VALUE"""),TRUE)</f>
        <v>1</v>
      </c>
      <c r="T1556" s="1" t="b">
        <f>IFERROR(__xludf.DUMMYFUNCTION("""COMPUTED_VALUE"""),FALSE)</f>
        <v>0</v>
      </c>
      <c r="U1556" s="1" t="str">
        <f>IFERROR(__xludf.DUMMYFUNCTION("""COMPUTED_VALUE"""),"VALID")</f>
        <v>VALID</v>
      </c>
      <c r="V1556" s="1">
        <f>IFERROR(__xludf.DUMMYFUNCTION("""COMPUTED_VALUE"""),210.0)</f>
        <v>210</v>
      </c>
      <c r="W1556" s="1">
        <f>IFERROR(__xludf.DUMMYFUNCTION("""COMPUTED_VALUE"""),1010.0)</f>
        <v>1010</v>
      </c>
      <c r="X1556" s="1">
        <f>IFERROR(__xludf.DUMMYFUNCTION("""COMPUTED_VALUE"""),262.0)</f>
        <v>262</v>
      </c>
      <c r="Y1556" s="2"/>
      <c r="Z1556" s="2"/>
    </row>
    <row r="1557">
      <c r="A1557" s="1">
        <f>IFERROR(__xludf.DUMMYFUNCTION("""COMPUTED_VALUE"""),1556.0)</f>
        <v>1556</v>
      </c>
      <c r="B1557" s="1">
        <f>IFERROR(__xludf.DUMMYFUNCTION("""COMPUTED_VALUE"""),6281.0)</f>
        <v>6281</v>
      </c>
      <c r="C1557" s="2" t="str">
        <f>IFERROR(__xludf.DUMMYFUNCTION("""COMPUTED_VALUE"""),"_putriiprmtsr")</f>
        <v>_putriiprmtsr</v>
      </c>
      <c r="D1557" s="2" t="str">
        <f>IFERROR(__xludf.DUMMYFUNCTION("""COMPUTED_VALUE"""),"5KM OVERALL F")</f>
        <v>5KM OVERALL F</v>
      </c>
      <c r="E1557" s="1">
        <f>IFERROR(__xludf.DUMMYFUNCTION("""COMPUTED_VALUE"""),2.0)</f>
        <v>2</v>
      </c>
      <c r="F1557" s="1" t="str">
        <f>IFERROR(__xludf.DUMMYFUNCTION("""COMPUTED_VALUE"""),"Female")</f>
        <v>Female</v>
      </c>
      <c r="G1557" s="4" t="b">
        <f>IFERROR(__xludf.DUMMYFUNCTION("""COMPUTED_VALUE"""),TRUE)</f>
        <v>1</v>
      </c>
      <c r="H1557" s="4" t="b">
        <f>IFERROR(__xludf.DUMMYFUNCTION("""COMPUTED_VALUE"""),FALSE)</f>
        <v>0</v>
      </c>
      <c r="I1557" s="4">
        <f>IFERROR(__xludf.DUMMYFUNCTION("""COMPUTED_VALUE"""),0.2549440625)</f>
        <v>0.2549440625</v>
      </c>
      <c r="J1557" s="4">
        <f>IFERROR(__xludf.DUMMYFUNCTION("""COMPUTED_VALUE"""),45949.27614474146)</f>
        <v>45949.27614</v>
      </c>
      <c r="K1557" s="4" t="str">
        <f>IFERROR(__xludf.DUMMYFUNCTION("""COMPUTED_VALUE"""),"")</f>
        <v/>
      </c>
      <c r="L1557" s="4">
        <f>IFERROR(__xludf.DUMMYFUNCTION("""COMPUTED_VALUE"""),45949.291376573805)</f>
        <v>45949.29138</v>
      </c>
      <c r="M1557" s="1" t="str">
        <f>IFERROR(__xludf.DUMMYFUNCTION("""COMPUTED_VALUE"""),"RFID")</f>
        <v>RFID</v>
      </c>
      <c r="N1557" s="5">
        <f>IFERROR(__xludf.DUMMYFUNCTION("""COMPUTED_VALUE"""),0.008480273148148148)</f>
        <v>0.008480273148</v>
      </c>
      <c r="O1557" s="5" t="str">
        <f>IFERROR(__xludf.DUMMYFUNCTION("""COMPUTED_VALUE"""),"")</f>
        <v/>
      </c>
      <c r="P1557" s="5" t="str">
        <f>IFERROR(__xludf.DUMMYFUNCTION("""COMPUTED_VALUE"""),"")</f>
        <v/>
      </c>
      <c r="Q1557" s="5">
        <f>IFERROR(__xludf.DUMMYFUNCTION("""COMPUTED_VALUE"""),0.007286502314814815)</f>
        <v>0.007286502315</v>
      </c>
      <c r="R1557" s="4">
        <f>IFERROR(__xludf.DUMMYFUNCTION("""COMPUTED_VALUE"""),45949.036432511304)</f>
        <v>45949.03643</v>
      </c>
      <c r="S1557" s="1" t="b">
        <f>IFERROR(__xludf.DUMMYFUNCTION("""COMPUTED_VALUE"""),TRUE)</f>
        <v>1</v>
      </c>
      <c r="T1557" s="1" t="b">
        <f>IFERROR(__xludf.DUMMYFUNCTION("""COMPUTED_VALUE"""),FALSE)</f>
        <v>0</v>
      </c>
      <c r="U1557" s="1" t="str">
        <f>IFERROR(__xludf.DUMMYFUNCTION("""COMPUTED_VALUE"""),"VALID")</f>
        <v>VALID</v>
      </c>
      <c r="V1557" s="1">
        <f>IFERROR(__xludf.DUMMYFUNCTION("""COMPUTED_VALUE"""),201.0)</f>
        <v>201</v>
      </c>
      <c r="W1557" s="1">
        <f>IFERROR(__xludf.DUMMYFUNCTION("""COMPUTED_VALUE"""),990.0)</f>
        <v>990</v>
      </c>
      <c r="X1557" s="1">
        <f>IFERROR(__xludf.DUMMYFUNCTION("""COMPUTED_VALUE"""),252.0)</f>
        <v>252</v>
      </c>
      <c r="Y1557" s="2"/>
      <c r="Z1557" s="2"/>
    </row>
    <row r="1558">
      <c r="A1558" s="1">
        <f>IFERROR(__xludf.DUMMYFUNCTION("""COMPUTED_VALUE"""),1557.0)</f>
        <v>1557</v>
      </c>
      <c r="B1558" s="1">
        <f>IFERROR(__xludf.DUMMYFUNCTION("""COMPUTED_VALUE"""),6282.0)</f>
        <v>6282</v>
      </c>
      <c r="C1558" s="2" t="str">
        <f>IFERROR(__xludf.DUMMYFUNCTION("""COMPUTED_VALUE"""),"Anisa Rurie")</f>
        <v>Anisa Rurie</v>
      </c>
      <c r="D1558" s="2" t="str">
        <f>IFERROR(__xludf.DUMMYFUNCTION("""COMPUTED_VALUE"""),"5KM OVERALL F")</f>
        <v>5KM OVERALL F</v>
      </c>
      <c r="E1558" s="1">
        <f>IFERROR(__xludf.DUMMYFUNCTION("""COMPUTED_VALUE"""),2.0)</f>
        <v>2</v>
      </c>
      <c r="F1558" s="1" t="str">
        <f>IFERROR(__xludf.DUMMYFUNCTION("""COMPUTED_VALUE"""),"Female")</f>
        <v>Female</v>
      </c>
      <c r="G1558" s="4" t="b">
        <f>IFERROR(__xludf.DUMMYFUNCTION("""COMPUTED_VALUE"""),TRUE)</f>
        <v>1</v>
      </c>
      <c r="H1558" s="4" t="b">
        <f>IFERROR(__xludf.DUMMYFUNCTION("""COMPUTED_VALUE"""),FALSE)</f>
        <v>0</v>
      </c>
      <c r="I1558" s="4">
        <f>IFERROR(__xludf.DUMMYFUNCTION("""COMPUTED_VALUE"""),0.2549440625)</f>
        <v>0.2549440625</v>
      </c>
      <c r="J1558" s="4">
        <f>IFERROR(__xludf.DUMMYFUNCTION("""COMPUTED_VALUE"""),45949.27203021424)</f>
        <v>45949.27203</v>
      </c>
      <c r="K1558" s="4" t="str">
        <f>IFERROR(__xludf.DUMMYFUNCTION("""COMPUTED_VALUE"""),"")</f>
        <v/>
      </c>
      <c r="L1558" s="4">
        <f>IFERROR(__xludf.DUMMYFUNCTION("""COMPUTED_VALUE"""),45949.28542170821)</f>
        <v>45949.28542</v>
      </c>
      <c r="M1558" s="1" t="str">
        <f>IFERROR(__xludf.DUMMYFUNCTION("""COMPUTED_VALUE"""),"RFID")</f>
        <v>RFID</v>
      </c>
      <c r="N1558" s="5">
        <f>IFERROR(__xludf.DUMMYFUNCTION("""COMPUTED_VALUE"""),0.006834462962962963)</f>
        <v>0.006834462963</v>
      </c>
      <c r="O1558" s="5" t="str">
        <f>IFERROR(__xludf.DUMMYFUNCTION("""COMPUTED_VALUE"""),"")</f>
        <v/>
      </c>
      <c r="P1558" s="5" t="str">
        <f>IFERROR(__xludf.DUMMYFUNCTION("""COMPUTED_VALUE"""),"")</f>
        <v/>
      </c>
      <c r="Q1558" s="5">
        <f>IFERROR(__xludf.DUMMYFUNCTION("""COMPUTED_VALUE"""),0.0060955300925925925)</f>
        <v>0.006095530093</v>
      </c>
      <c r="R1558" s="4">
        <f>IFERROR(__xludf.DUMMYFUNCTION("""COMPUTED_VALUE"""),45949.03047764571)</f>
        <v>45949.03048</v>
      </c>
      <c r="S1558" s="1" t="b">
        <f>IFERROR(__xludf.DUMMYFUNCTION("""COMPUTED_VALUE"""),TRUE)</f>
        <v>1</v>
      </c>
      <c r="T1558" s="1" t="b">
        <f>IFERROR(__xludf.DUMMYFUNCTION("""COMPUTED_VALUE"""),FALSE)</f>
        <v>0</v>
      </c>
      <c r="U1558" s="1" t="str">
        <f>IFERROR(__xludf.DUMMYFUNCTION("""COMPUTED_VALUE"""),"VALID")</f>
        <v>VALID</v>
      </c>
      <c r="V1558" s="1">
        <f>IFERROR(__xludf.DUMMYFUNCTION("""COMPUTED_VALUE"""),82.0)</f>
        <v>82</v>
      </c>
      <c r="W1558" s="1">
        <f>IFERROR(__xludf.DUMMYFUNCTION("""COMPUTED_VALUE"""),599.0)</f>
        <v>599</v>
      </c>
      <c r="X1558" s="1">
        <f>IFERROR(__xludf.DUMMYFUNCTION("""COMPUTED_VALUE"""),105.0)</f>
        <v>105</v>
      </c>
      <c r="Y1558" s="2"/>
      <c r="Z1558" s="2"/>
    </row>
    <row r="1559">
      <c r="A1559" s="1">
        <f>IFERROR(__xludf.DUMMYFUNCTION("""COMPUTED_VALUE"""),1558.0)</f>
        <v>1558</v>
      </c>
      <c r="B1559" s="1">
        <f>IFERROR(__xludf.DUMMYFUNCTION("""COMPUTED_VALUE"""),6283.0)</f>
        <v>6283</v>
      </c>
      <c r="C1559" s="2" t="str">
        <f>IFERROR(__xludf.DUMMYFUNCTION("""COMPUTED_VALUE"""),"MARTA")</f>
        <v>MARTA</v>
      </c>
      <c r="D1559" s="2" t="str">
        <f>IFERROR(__xludf.DUMMYFUNCTION("""COMPUTED_VALUE"""),"5KM OVERALL F")</f>
        <v>5KM OVERALL F</v>
      </c>
      <c r="E1559" s="1">
        <f>IFERROR(__xludf.DUMMYFUNCTION("""COMPUTED_VALUE"""),2.0)</f>
        <v>2</v>
      </c>
      <c r="F1559" s="1" t="str">
        <f>IFERROR(__xludf.DUMMYFUNCTION("""COMPUTED_VALUE"""),"Female")</f>
        <v>Female</v>
      </c>
      <c r="G1559" s="4" t="b">
        <f>IFERROR(__xludf.DUMMYFUNCTION("""COMPUTED_VALUE"""),TRUE)</f>
        <v>1</v>
      </c>
      <c r="H1559" s="4" t="b">
        <f>IFERROR(__xludf.DUMMYFUNCTION("""COMPUTED_VALUE"""),FALSE)</f>
        <v>0</v>
      </c>
      <c r="I1559" s="4">
        <f>IFERROR(__xludf.DUMMYFUNCTION("""COMPUTED_VALUE"""),0.2549440625)</f>
        <v>0.2549440625</v>
      </c>
      <c r="J1559" s="4">
        <f>IFERROR(__xludf.DUMMYFUNCTION("""COMPUTED_VALUE"""),45949.2752141827)</f>
        <v>45949.27521</v>
      </c>
      <c r="K1559" s="4" t="str">
        <f>IFERROR(__xludf.DUMMYFUNCTION("""COMPUTED_VALUE"""),"")</f>
        <v/>
      </c>
      <c r="L1559" s="4">
        <f>IFERROR(__xludf.DUMMYFUNCTION("""COMPUTED_VALUE"""),45949.29085575316)</f>
        <v>45949.29086</v>
      </c>
      <c r="M1559" s="1" t="str">
        <f>IFERROR(__xludf.DUMMYFUNCTION("""COMPUTED_VALUE"""),"RFID")</f>
        <v>RFID</v>
      </c>
      <c r="N1559" s="5">
        <f>IFERROR(__xludf.DUMMYFUNCTION("""COMPUTED_VALUE"""),0.008108046296296297)</f>
        <v>0.008108046296</v>
      </c>
      <c r="O1559" s="5" t="str">
        <f>IFERROR(__xludf.DUMMYFUNCTION("""COMPUTED_VALUE"""),"")</f>
        <v/>
      </c>
      <c r="P1559" s="5" t="str">
        <f>IFERROR(__xludf.DUMMYFUNCTION("""COMPUTED_VALUE"""),"")</f>
        <v/>
      </c>
      <c r="Q1559" s="5">
        <f>IFERROR(__xludf.DUMMYFUNCTION("""COMPUTED_VALUE"""),0.007182337962962963)</f>
        <v>0.007182337963</v>
      </c>
      <c r="R1559" s="4">
        <f>IFERROR(__xludf.DUMMYFUNCTION("""COMPUTED_VALUE"""),45949.03591169066)</f>
        <v>45949.03591</v>
      </c>
      <c r="S1559" s="1" t="b">
        <f>IFERROR(__xludf.DUMMYFUNCTION("""COMPUTED_VALUE"""),TRUE)</f>
        <v>1</v>
      </c>
      <c r="T1559" s="1" t="b">
        <f>IFERROR(__xludf.DUMMYFUNCTION("""COMPUTED_VALUE"""),FALSE)</f>
        <v>0</v>
      </c>
      <c r="U1559" s="1" t="str">
        <f>IFERROR(__xludf.DUMMYFUNCTION("""COMPUTED_VALUE"""),"VALID")</f>
        <v>VALID</v>
      </c>
      <c r="V1559" s="1">
        <f>IFERROR(__xludf.DUMMYFUNCTION("""COMPUTED_VALUE"""),185.0)</f>
        <v>185</v>
      </c>
      <c r="W1559" s="1">
        <f>IFERROR(__xludf.DUMMYFUNCTION("""COMPUTED_VALUE"""),953.0)</f>
        <v>953</v>
      </c>
      <c r="X1559" s="1">
        <f>IFERROR(__xludf.DUMMYFUNCTION("""COMPUTED_VALUE"""),233.0)</f>
        <v>233</v>
      </c>
      <c r="Y1559" s="2"/>
      <c r="Z1559" s="2"/>
    </row>
    <row r="1560">
      <c r="A1560" s="1">
        <f>IFERROR(__xludf.DUMMYFUNCTION("""COMPUTED_VALUE"""),1559.0)</f>
        <v>1559</v>
      </c>
      <c r="B1560" s="1">
        <f>IFERROR(__xludf.DUMMYFUNCTION("""COMPUTED_VALUE"""),6284.0)</f>
        <v>6284</v>
      </c>
      <c r="C1560" s="2" t="str">
        <f>IFERROR(__xludf.DUMMYFUNCTION("""COMPUTED_VALUE"""),"Nur Latifah")</f>
        <v>Nur Latifah</v>
      </c>
      <c r="D1560" s="2" t="str">
        <f>IFERROR(__xludf.DUMMYFUNCTION("""COMPUTED_VALUE"""),"5KM OVERALL F")</f>
        <v>5KM OVERALL F</v>
      </c>
      <c r="E1560" s="1">
        <f>IFERROR(__xludf.DUMMYFUNCTION("""COMPUTED_VALUE"""),2.0)</f>
        <v>2</v>
      </c>
      <c r="F1560" s="1" t="str">
        <f>IFERROR(__xludf.DUMMYFUNCTION("""COMPUTED_VALUE"""),"Female")</f>
        <v>Female</v>
      </c>
      <c r="G1560" s="4" t="b">
        <f>IFERROR(__xludf.DUMMYFUNCTION("""COMPUTED_VALUE"""),TRUE)</f>
        <v>1</v>
      </c>
      <c r="H1560" s="4" t="b">
        <f>IFERROR(__xludf.DUMMYFUNCTION("""COMPUTED_VALUE"""),FALSE)</f>
        <v>0</v>
      </c>
      <c r="I1560" s="4">
        <f>IFERROR(__xludf.DUMMYFUNCTION("""COMPUTED_VALUE"""),0.2549440625)</f>
        <v>0.2549440625</v>
      </c>
      <c r="J1560" s="4">
        <f>IFERROR(__xludf.DUMMYFUNCTION("""COMPUTED_VALUE"""),45949.27409616017)</f>
        <v>45949.2741</v>
      </c>
      <c r="K1560" s="4" t="str">
        <f>IFERROR(__xludf.DUMMYFUNCTION("""COMPUTED_VALUE"""),"")</f>
        <v/>
      </c>
      <c r="L1560" s="4">
        <f>IFERROR(__xludf.DUMMYFUNCTION("""COMPUTED_VALUE"""),45949.290060613144)</f>
        <v>45949.29006</v>
      </c>
      <c r="M1560" s="1" t="str">
        <f>IFERROR(__xludf.DUMMYFUNCTION("""COMPUTED_VALUE"""),"RFID")</f>
        <v>RFID</v>
      </c>
      <c r="N1560" s="5">
        <f>IFERROR(__xludf.DUMMYFUNCTION("""COMPUTED_VALUE"""),0.007660837962962963)</f>
        <v>0.007660837963</v>
      </c>
      <c r="O1560" s="5" t="str">
        <f>IFERROR(__xludf.DUMMYFUNCTION("""COMPUTED_VALUE"""),"")</f>
        <v/>
      </c>
      <c r="P1560" s="5" t="str">
        <f>IFERROR(__xludf.DUMMYFUNCTION("""COMPUTED_VALUE"""),"")</f>
        <v/>
      </c>
      <c r="Q1560" s="5">
        <f>IFERROR(__xludf.DUMMYFUNCTION("""COMPUTED_VALUE"""),0.007023310185185186)</f>
        <v>0.007023310185</v>
      </c>
      <c r="R1560" s="4">
        <f>IFERROR(__xludf.DUMMYFUNCTION("""COMPUTED_VALUE"""),45949.03511655064)</f>
        <v>45949.03512</v>
      </c>
      <c r="S1560" s="1" t="b">
        <f>IFERROR(__xludf.DUMMYFUNCTION("""COMPUTED_VALUE"""),TRUE)</f>
        <v>1</v>
      </c>
      <c r="T1560" s="1" t="b">
        <f>IFERROR(__xludf.DUMMYFUNCTION("""COMPUTED_VALUE"""),FALSE)</f>
        <v>0</v>
      </c>
      <c r="U1560" s="1" t="str">
        <f>IFERROR(__xludf.DUMMYFUNCTION("""COMPUTED_VALUE"""),"VALID")</f>
        <v>VALID</v>
      </c>
      <c r="V1560" s="1">
        <f>IFERROR(__xludf.DUMMYFUNCTION("""COMPUTED_VALUE"""),165.0)</f>
        <v>165</v>
      </c>
      <c r="W1560" s="1">
        <f>IFERROR(__xludf.DUMMYFUNCTION("""COMPUTED_VALUE"""),894.0)</f>
        <v>894</v>
      </c>
      <c r="X1560" s="1">
        <f>IFERROR(__xludf.DUMMYFUNCTION("""COMPUTED_VALUE"""),205.0)</f>
        <v>205</v>
      </c>
      <c r="Y1560" s="2"/>
      <c r="Z1560" s="2"/>
    </row>
    <row r="1561">
      <c r="A1561" s="1">
        <f>IFERROR(__xludf.DUMMYFUNCTION("""COMPUTED_VALUE"""),1560.0)</f>
        <v>1560</v>
      </c>
      <c r="B1561" s="1">
        <f>IFERROR(__xludf.DUMMYFUNCTION("""COMPUTED_VALUE"""),6286.0)</f>
        <v>6286</v>
      </c>
      <c r="C1561" s="2" t="str">
        <f>IFERROR(__xludf.DUMMYFUNCTION("""COMPUTED_VALUE"""),"Atit Setiyawan")</f>
        <v>Atit Setiyawan</v>
      </c>
      <c r="D1561" s="2" t="str">
        <f>IFERROR(__xludf.DUMMYFUNCTION("""COMPUTED_VALUE"""),"5KM OVERALL F")</f>
        <v>5KM OVERALL F</v>
      </c>
      <c r="E1561" s="1">
        <f>IFERROR(__xludf.DUMMYFUNCTION("""COMPUTED_VALUE"""),2.0)</f>
        <v>2</v>
      </c>
      <c r="F1561" s="1" t="str">
        <f>IFERROR(__xludf.DUMMYFUNCTION("""COMPUTED_VALUE"""),"Female")</f>
        <v>Female</v>
      </c>
      <c r="G1561" s="4" t="b">
        <f>IFERROR(__xludf.DUMMYFUNCTION("""COMPUTED_VALUE"""),TRUE)</f>
        <v>1</v>
      </c>
      <c r="H1561" s="4" t="b">
        <f>IFERROR(__xludf.DUMMYFUNCTION("""COMPUTED_VALUE"""),TRUE)</f>
        <v>1</v>
      </c>
      <c r="I1561" s="4">
        <f>IFERROR(__xludf.DUMMYFUNCTION("""COMPUTED_VALUE"""),0.2549440625)</f>
        <v>0.2549440625</v>
      </c>
      <c r="J1561" s="4">
        <f>IFERROR(__xludf.DUMMYFUNCTION("""COMPUTED_VALUE"""),45949.28125932309)</f>
        <v>45949.28126</v>
      </c>
      <c r="K1561" s="4" t="str">
        <f>IFERROR(__xludf.DUMMYFUNCTION("""COMPUTED_VALUE"""),"")</f>
        <v/>
      </c>
      <c r="L1561" s="4">
        <f>IFERROR(__xludf.DUMMYFUNCTION("""COMPUTED_VALUE"""),45949.29714046949)</f>
        <v>45949.29714</v>
      </c>
      <c r="M1561" s="1" t="str">
        <f>IFERROR(__xludf.DUMMYFUNCTION("""COMPUTED_VALUE"""),"RFID")</f>
        <v>RFID</v>
      </c>
      <c r="N1561" s="5">
        <f>IFERROR(__xludf.DUMMYFUNCTION("""COMPUTED_VALUE"""),0.010526106481481482)</f>
        <v>0.01052610648</v>
      </c>
      <c r="O1561" s="5" t="str">
        <f>IFERROR(__xludf.DUMMYFUNCTION("""COMPUTED_VALUE"""),"")</f>
        <v/>
      </c>
      <c r="P1561" s="5" t="str">
        <f>IFERROR(__xludf.DUMMYFUNCTION("""COMPUTED_VALUE"""),"")</f>
        <v/>
      </c>
      <c r="Q1561" s="5">
        <f>IFERROR(__xludf.DUMMYFUNCTION("""COMPUTED_VALUE"""),0.008439282407407407)</f>
        <v>0.008439282407</v>
      </c>
      <c r="R1561" s="4">
        <f>IFERROR(__xludf.DUMMYFUNCTION("""COMPUTED_VALUE"""),45949.04219640699)</f>
        <v>45949.0422</v>
      </c>
      <c r="S1561" s="1" t="b">
        <f>IFERROR(__xludf.DUMMYFUNCTION("""COMPUTED_VALUE"""),TRUE)</f>
        <v>1</v>
      </c>
      <c r="T1561" s="1" t="b">
        <f>IFERROR(__xludf.DUMMYFUNCTION("""COMPUTED_VALUE"""),FALSE)</f>
        <v>0</v>
      </c>
      <c r="U1561" s="1" t="str">
        <f>IFERROR(__xludf.DUMMYFUNCTION("""COMPUTED_VALUE"""),"VALID")</f>
        <v>VALID</v>
      </c>
      <c r="V1561" s="1">
        <f>IFERROR(__xludf.DUMMYFUNCTION("""COMPUTED_VALUE"""),361.0)</f>
        <v>361</v>
      </c>
      <c r="W1561" s="1">
        <f>IFERROR(__xludf.DUMMYFUNCTION("""COMPUTED_VALUE"""),1338.0)</f>
        <v>1338</v>
      </c>
      <c r="X1561" s="1">
        <f>IFERROR(__xludf.DUMMYFUNCTION("""COMPUTED_VALUE"""),439.0)</f>
        <v>439</v>
      </c>
      <c r="Y1561" s="2"/>
      <c r="Z1561" s="2"/>
    </row>
    <row r="1562">
      <c r="A1562" s="1">
        <f>IFERROR(__xludf.DUMMYFUNCTION("""COMPUTED_VALUE"""),1561.0)</f>
        <v>1561</v>
      </c>
      <c r="B1562" s="1">
        <f>IFERROR(__xludf.DUMMYFUNCTION("""COMPUTED_VALUE"""),6289.0)</f>
        <v>6289</v>
      </c>
      <c r="C1562" s="2" t="str">
        <f>IFERROR(__xludf.DUMMYFUNCTION("""COMPUTED_VALUE"""),"tiayul")</f>
        <v>tiayul</v>
      </c>
      <c r="D1562" s="2" t="str">
        <f>IFERROR(__xludf.DUMMYFUNCTION("""COMPUTED_VALUE"""),"5KM OVERALL F")</f>
        <v>5KM OVERALL F</v>
      </c>
      <c r="E1562" s="1">
        <f>IFERROR(__xludf.DUMMYFUNCTION("""COMPUTED_VALUE"""),2.0)</f>
        <v>2</v>
      </c>
      <c r="F1562" s="1" t="str">
        <f>IFERROR(__xludf.DUMMYFUNCTION("""COMPUTED_VALUE"""),"Female")</f>
        <v>Female</v>
      </c>
      <c r="G1562" s="4" t="b">
        <f>IFERROR(__xludf.DUMMYFUNCTION("""COMPUTED_VALUE"""),TRUE)</f>
        <v>1</v>
      </c>
      <c r="H1562" s="4" t="b">
        <f>IFERROR(__xludf.DUMMYFUNCTION("""COMPUTED_VALUE"""),TRUE)</f>
        <v>1</v>
      </c>
      <c r="I1562" s="4">
        <f>IFERROR(__xludf.DUMMYFUNCTION("""COMPUTED_VALUE"""),0.2549440625)</f>
        <v>0.2549440625</v>
      </c>
      <c r="J1562" s="4">
        <f>IFERROR(__xludf.DUMMYFUNCTION("""COMPUTED_VALUE"""),45949.27903365782)</f>
        <v>45949.27903</v>
      </c>
      <c r="K1562" s="4" t="str">
        <f>IFERROR(__xludf.DUMMYFUNCTION("""COMPUTED_VALUE"""),"")</f>
        <v/>
      </c>
      <c r="L1562" s="4">
        <f>IFERROR(__xludf.DUMMYFUNCTION("""COMPUTED_VALUE"""),45949.29786349111)</f>
        <v>45949.29786</v>
      </c>
      <c r="M1562" s="1" t="str">
        <f>IFERROR(__xludf.DUMMYFUNCTION("""COMPUTED_VALUE"""),"RFID")</f>
        <v>RFID</v>
      </c>
      <c r="N1562" s="5">
        <f>IFERROR(__xludf.DUMMYFUNCTION("""COMPUTED_VALUE"""),0.009635837962962962)</f>
        <v>0.009635837963</v>
      </c>
      <c r="O1562" s="5" t="str">
        <f>IFERROR(__xludf.DUMMYFUNCTION("""COMPUTED_VALUE"""),"")</f>
        <v/>
      </c>
      <c r="P1562" s="5" t="str">
        <f>IFERROR(__xludf.DUMMYFUNCTION("""COMPUTED_VALUE"""),"")</f>
        <v/>
      </c>
      <c r="Q1562" s="5">
        <f>IFERROR(__xludf.DUMMYFUNCTION("""COMPUTED_VALUE"""),0.008583886574074075)</f>
        <v>0.008583886574</v>
      </c>
      <c r="R1562" s="4">
        <f>IFERROR(__xludf.DUMMYFUNCTION("""COMPUTED_VALUE"""),45949.04291942861)</f>
        <v>45949.04292</v>
      </c>
      <c r="S1562" s="1" t="b">
        <f>IFERROR(__xludf.DUMMYFUNCTION("""COMPUTED_VALUE"""),TRUE)</f>
        <v>1</v>
      </c>
      <c r="T1562" s="1" t="b">
        <f>IFERROR(__xludf.DUMMYFUNCTION("""COMPUTED_VALUE"""),FALSE)</f>
        <v>0</v>
      </c>
      <c r="U1562" s="1" t="str">
        <f>IFERROR(__xludf.DUMMYFUNCTION("""COMPUTED_VALUE"""),"VALID")</f>
        <v>VALID</v>
      </c>
      <c r="V1562" s="1">
        <f>IFERROR(__xludf.DUMMYFUNCTION("""COMPUTED_VALUE"""),375.0)</f>
        <v>375</v>
      </c>
      <c r="W1562" s="1">
        <f>IFERROR(__xludf.DUMMYFUNCTION("""COMPUTED_VALUE"""),1361.0)</f>
        <v>1361</v>
      </c>
      <c r="X1562" s="1">
        <f>IFERROR(__xludf.DUMMYFUNCTION("""COMPUTED_VALUE"""),455.0)</f>
        <v>455</v>
      </c>
      <c r="Y1562" s="2"/>
      <c r="Z1562" s="2"/>
    </row>
    <row r="1563">
      <c r="A1563" s="1">
        <f>IFERROR(__xludf.DUMMYFUNCTION("""COMPUTED_VALUE"""),1562.0)</f>
        <v>1562</v>
      </c>
      <c r="B1563" s="1">
        <f>IFERROR(__xludf.DUMMYFUNCTION("""COMPUTED_VALUE"""),6290.0)</f>
        <v>6290</v>
      </c>
      <c r="C1563" s="2" t="str">
        <f>IFERROR(__xludf.DUMMYFUNCTION("""COMPUTED_VALUE"""),"YSL")</f>
        <v>YSL</v>
      </c>
      <c r="D1563" s="2" t="str">
        <f>IFERROR(__xludf.DUMMYFUNCTION("""COMPUTED_VALUE"""),"5KM OVERALL F")</f>
        <v>5KM OVERALL F</v>
      </c>
      <c r="E1563" s="1">
        <f>IFERROR(__xludf.DUMMYFUNCTION("""COMPUTED_VALUE"""),2.0)</f>
        <v>2</v>
      </c>
      <c r="F1563" s="1" t="str">
        <f>IFERROR(__xludf.DUMMYFUNCTION("""COMPUTED_VALUE"""),"Female")</f>
        <v>Female</v>
      </c>
      <c r="G1563" s="4" t="b">
        <f>IFERROR(__xludf.DUMMYFUNCTION("""COMPUTED_VALUE"""),TRUE)</f>
        <v>1</v>
      </c>
      <c r="H1563" s="4" t="b">
        <f>IFERROR(__xludf.DUMMYFUNCTION("""COMPUTED_VALUE"""),TRUE)</f>
        <v>1</v>
      </c>
      <c r="I1563" s="4">
        <f>IFERROR(__xludf.DUMMYFUNCTION("""COMPUTED_VALUE"""),0.2549440625)</f>
        <v>0.2549440625</v>
      </c>
      <c r="J1563" s="4">
        <f>IFERROR(__xludf.DUMMYFUNCTION("""COMPUTED_VALUE"""),45949.27470035091)</f>
        <v>45949.2747</v>
      </c>
      <c r="K1563" s="4" t="str">
        <f>IFERROR(__xludf.DUMMYFUNCTION("""COMPUTED_VALUE"""),"")</f>
        <v/>
      </c>
      <c r="L1563" s="4">
        <f>IFERROR(__xludf.DUMMYFUNCTION("""COMPUTED_VALUE"""),45949.28752587956)</f>
        <v>45949.28753</v>
      </c>
      <c r="M1563" s="1" t="str">
        <f>IFERROR(__xludf.DUMMYFUNCTION("""COMPUTED_VALUE"""),"RFID")</f>
        <v>RFID</v>
      </c>
      <c r="N1563" s="5">
        <f>IFERROR(__xludf.DUMMYFUNCTION("""COMPUTED_VALUE"""),0.00790251388888889)</f>
        <v>0.007902513889</v>
      </c>
      <c r="O1563" s="5" t="str">
        <f>IFERROR(__xludf.DUMMYFUNCTION("""COMPUTED_VALUE"""),"")</f>
        <v/>
      </c>
      <c r="P1563" s="5" t="str">
        <f>IFERROR(__xludf.DUMMYFUNCTION("""COMPUTED_VALUE"""),"")</f>
        <v/>
      </c>
      <c r="Q1563" s="5">
        <f>IFERROR(__xludf.DUMMYFUNCTION("""COMPUTED_VALUE"""),0.006516363425925926)</f>
        <v>0.006516363426</v>
      </c>
      <c r="R1563" s="4">
        <f>IFERROR(__xludf.DUMMYFUNCTION("""COMPUTED_VALUE"""),45949.03258181706)</f>
        <v>45949.03258</v>
      </c>
      <c r="S1563" s="1" t="b">
        <f>IFERROR(__xludf.DUMMYFUNCTION("""COMPUTED_VALUE"""),TRUE)</f>
        <v>1</v>
      </c>
      <c r="T1563" s="1" t="b">
        <f>IFERROR(__xludf.DUMMYFUNCTION("""COMPUTED_VALUE"""),FALSE)</f>
        <v>0</v>
      </c>
      <c r="U1563" s="1" t="str">
        <f>IFERROR(__xludf.DUMMYFUNCTION("""COMPUTED_VALUE"""),"VALID")</f>
        <v>VALID</v>
      </c>
      <c r="V1563" s="1">
        <f>IFERROR(__xludf.DUMMYFUNCTION("""COMPUTED_VALUE"""),118.0)</f>
        <v>118</v>
      </c>
      <c r="W1563" s="1">
        <f>IFERROR(__xludf.DUMMYFUNCTION("""COMPUTED_VALUE"""),738.0)</f>
        <v>738</v>
      </c>
      <c r="X1563" s="1">
        <f>IFERROR(__xludf.DUMMYFUNCTION("""COMPUTED_VALUE"""),148.0)</f>
        <v>148</v>
      </c>
      <c r="Y1563" s="2"/>
      <c r="Z1563" s="2"/>
    </row>
    <row r="1564">
      <c r="A1564" s="1">
        <f>IFERROR(__xludf.DUMMYFUNCTION("""COMPUTED_VALUE"""),1563.0)</f>
        <v>1563</v>
      </c>
      <c r="B1564" s="1">
        <f>IFERROR(__xludf.DUMMYFUNCTION("""COMPUTED_VALUE"""),6292.0)</f>
        <v>6292</v>
      </c>
      <c r="C1564" s="2" t="str">
        <f>IFERROR(__xludf.DUMMYFUNCTION("""COMPUTED_VALUE"""),"TITY RIEZKA RIANTHI")</f>
        <v>TITY RIEZKA RIANTHI</v>
      </c>
      <c r="D1564" s="2" t="str">
        <f>IFERROR(__xludf.DUMMYFUNCTION("""COMPUTED_VALUE"""),"5KM OVERALL F")</f>
        <v>5KM OVERALL F</v>
      </c>
      <c r="E1564" s="1">
        <f>IFERROR(__xludf.DUMMYFUNCTION("""COMPUTED_VALUE"""),2.0)</f>
        <v>2</v>
      </c>
      <c r="F1564" s="1" t="str">
        <f>IFERROR(__xludf.DUMMYFUNCTION("""COMPUTED_VALUE"""),"Female")</f>
        <v>Female</v>
      </c>
      <c r="G1564" s="4" t="b">
        <f>IFERROR(__xludf.DUMMYFUNCTION("""COMPUTED_VALUE"""),TRUE)</f>
        <v>1</v>
      </c>
      <c r="H1564" s="4" t="b">
        <f>IFERROR(__xludf.DUMMYFUNCTION("""COMPUTED_VALUE"""),TRUE)</f>
        <v>1</v>
      </c>
      <c r="I1564" s="4">
        <f>IFERROR(__xludf.DUMMYFUNCTION("""COMPUTED_VALUE"""),0.2549440625)</f>
        <v>0.2549440625</v>
      </c>
      <c r="J1564" s="4">
        <f>IFERROR(__xludf.DUMMYFUNCTION("""COMPUTED_VALUE"""),45950.27753472222)</f>
        <v>45950.27753</v>
      </c>
      <c r="K1564" s="4" t="str">
        <f>IFERROR(__xludf.DUMMYFUNCTION("""COMPUTED_VALUE"""),"")</f>
        <v/>
      </c>
      <c r="L1564" s="4">
        <f>IFERROR(__xludf.DUMMYFUNCTION("""COMPUTED_VALUE"""),45949.2927619805)</f>
        <v>45949.29276</v>
      </c>
      <c r="M1564" s="1" t="str">
        <f>IFERROR(__xludf.DUMMYFUNCTION("""COMPUTED_VALUE"""),"RFID")</f>
        <v>RFID</v>
      </c>
      <c r="N1564" s="5">
        <f>IFERROR(__xludf.DUMMYFUNCTION("""COMPUTED_VALUE"""),0.009036263888888889)</f>
        <v>0.009036263889</v>
      </c>
      <c r="O1564" s="5" t="str">
        <f>IFERROR(__xludf.DUMMYFUNCTION("""COMPUTED_VALUE"""),"")</f>
        <v/>
      </c>
      <c r="P1564" s="5" t="str">
        <f>IFERROR(__xludf.DUMMYFUNCTION("""COMPUTED_VALUE"""),"")</f>
        <v/>
      </c>
      <c r="Q1564" s="5">
        <f>IFERROR(__xludf.DUMMYFUNCTION("""COMPUTED_VALUE"""),0.007563583333333334)</f>
        <v>0.007563583333</v>
      </c>
      <c r="R1564" s="4">
        <f>IFERROR(__xludf.DUMMYFUNCTION("""COMPUTED_VALUE"""),45949.037817918)</f>
        <v>45949.03782</v>
      </c>
      <c r="S1564" s="1" t="b">
        <f>IFERROR(__xludf.DUMMYFUNCTION("""COMPUTED_VALUE"""),TRUE)</f>
        <v>1</v>
      </c>
      <c r="T1564" s="1" t="b">
        <f>IFERROR(__xludf.DUMMYFUNCTION("""COMPUTED_VALUE"""),FALSE)</f>
        <v>0</v>
      </c>
      <c r="U1564" s="1" t="str">
        <f>IFERROR(__xludf.DUMMYFUNCTION("""COMPUTED_VALUE"""),"VALID")</f>
        <v>VALID</v>
      </c>
      <c r="V1564" s="1">
        <f>IFERROR(__xludf.DUMMYFUNCTION("""COMPUTED_VALUE"""),248.0)</f>
        <v>248</v>
      </c>
      <c r="W1564" s="1">
        <f>IFERROR(__xludf.DUMMYFUNCTION("""COMPUTED_VALUE"""),1090.0)</f>
        <v>1090</v>
      </c>
      <c r="X1564" s="1">
        <f>IFERROR(__xludf.DUMMYFUNCTION("""COMPUTED_VALUE"""),305.0)</f>
        <v>305</v>
      </c>
      <c r="Y1564" s="2"/>
      <c r="Z1564" s="2"/>
    </row>
    <row r="1565">
      <c r="A1565" s="1">
        <f>IFERROR(__xludf.DUMMYFUNCTION("""COMPUTED_VALUE"""),1564.0)</f>
        <v>1564</v>
      </c>
      <c r="B1565" s="1">
        <f>IFERROR(__xludf.DUMMYFUNCTION("""COMPUTED_VALUE"""),6298.0)</f>
        <v>6298</v>
      </c>
      <c r="C1565" s="2" t="str">
        <f>IFERROR(__xludf.DUMMYFUNCTION("""COMPUTED_VALUE"""),"Mincut")</f>
        <v>Mincut</v>
      </c>
      <c r="D1565" s="2" t="str">
        <f>IFERROR(__xludf.DUMMYFUNCTION("""COMPUTED_VALUE"""),"5KM OVERALL F")</f>
        <v>5KM OVERALL F</v>
      </c>
      <c r="E1565" s="1">
        <f>IFERROR(__xludf.DUMMYFUNCTION("""COMPUTED_VALUE"""),2.0)</f>
        <v>2</v>
      </c>
      <c r="F1565" s="1" t="str">
        <f>IFERROR(__xludf.DUMMYFUNCTION("""COMPUTED_VALUE"""),"Female")</f>
        <v>Female</v>
      </c>
      <c r="G1565" s="4" t="b">
        <f>IFERROR(__xludf.DUMMYFUNCTION("""COMPUTED_VALUE"""),TRUE)</f>
        <v>1</v>
      </c>
      <c r="H1565" s="4" t="b">
        <f>IFERROR(__xludf.DUMMYFUNCTION("""COMPUTED_VALUE"""),FALSE)</f>
        <v>0</v>
      </c>
      <c r="I1565" s="4">
        <f>IFERROR(__xludf.DUMMYFUNCTION("""COMPUTED_VALUE"""),0.2549440625)</f>
        <v>0.2549440625</v>
      </c>
      <c r="J1565" s="4">
        <f>IFERROR(__xludf.DUMMYFUNCTION("""COMPUTED_VALUE"""),45949.284373907576)</f>
        <v>45949.28437</v>
      </c>
      <c r="K1565" s="4" t="str">
        <f>IFERROR(__xludf.DUMMYFUNCTION("""COMPUTED_VALUE"""),"")</f>
        <v/>
      </c>
      <c r="L1565" s="4">
        <f>IFERROR(__xludf.DUMMYFUNCTION("""COMPUTED_VALUE"""),45949.308275875635)</f>
        <v>45949.30828</v>
      </c>
      <c r="M1565" s="1" t="str">
        <f>IFERROR(__xludf.DUMMYFUNCTION("""COMPUTED_VALUE"""),"RFID")</f>
        <v>RFID</v>
      </c>
      <c r="N1565" s="5">
        <f>IFERROR(__xludf.DUMMYFUNCTION("""COMPUTED_VALUE"""),0.011771939814814815)</f>
        <v>0.01177193981</v>
      </c>
      <c r="O1565" s="5" t="str">
        <f>IFERROR(__xludf.DUMMYFUNCTION("""COMPUTED_VALUE"""),"")</f>
        <v/>
      </c>
      <c r="P1565" s="5" t="str">
        <f>IFERROR(__xludf.DUMMYFUNCTION("""COMPUTED_VALUE"""),"")</f>
        <v/>
      </c>
      <c r="Q1565" s="5">
        <f>IFERROR(__xludf.DUMMYFUNCTION("""COMPUTED_VALUE"""),0.010666363425925925)</f>
        <v>0.01066636343</v>
      </c>
      <c r="R1565" s="4">
        <f>IFERROR(__xludf.DUMMYFUNCTION("""COMPUTED_VALUE"""),45949.053331813135)</f>
        <v>45949.05333</v>
      </c>
      <c r="S1565" s="1" t="b">
        <f>IFERROR(__xludf.DUMMYFUNCTION("""COMPUTED_VALUE"""),TRUE)</f>
        <v>1</v>
      </c>
      <c r="T1565" s="1" t="b">
        <f>IFERROR(__xludf.DUMMYFUNCTION("""COMPUTED_VALUE"""),FALSE)</f>
        <v>0</v>
      </c>
      <c r="U1565" s="1" t="str">
        <f>IFERROR(__xludf.DUMMYFUNCTION("""COMPUTED_VALUE"""),"VALID")</f>
        <v>VALID</v>
      </c>
      <c r="V1565" s="1">
        <f>IFERROR(__xludf.DUMMYFUNCTION("""COMPUTED_VALUE"""),498.0)</f>
        <v>498</v>
      </c>
      <c r="W1565" s="1">
        <f>IFERROR(__xludf.DUMMYFUNCTION("""COMPUTED_VALUE"""),1593.0)</f>
        <v>1593</v>
      </c>
      <c r="X1565" s="1">
        <f>IFERROR(__xludf.DUMMYFUNCTION("""COMPUTED_VALUE"""),617.0)</f>
        <v>617</v>
      </c>
      <c r="Y1565" s="2"/>
      <c r="Z1565" s="2"/>
    </row>
    <row r="1566">
      <c r="A1566" s="1">
        <f>IFERROR(__xludf.DUMMYFUNCTION("""COMPUTED_VALUE"""),1565.0)</f>
        <v>1565</v>
      </c>
      <c r="B1566" s="1">
        <f>IFERROR(__xludf.DUMMYFUNCTION("""COMPUTED_VALUE"""),6300.0)</f>
        <v>6300</v>
      </c>
      <c r="C1566" s="2" t="str">
        <f>IFERROR(__xludf.DUMMYFUNCTION("""COMPUTED_VALUE"""),"Istyistt")</f>
        <v>Istyistt</v>
      </c>
      <c r="D1566" s="2" t="str">
        <f>IFERROR(__xludf.DUMMYFUNCTION("""COMPUTED_VALUE"""),"5KM OVERALL F")</f>
        <v>5KM OVERALL F</v>
      </c>
      <c r="E1566" s="1">
        <f>IFERROR(__xludf.DUMMYFUNCTION("""COMPUTED_VALUE"""),2.0)</f>
        <v>2</v>
      </c>
      <c r="F1566" s="1" t="str">
        <f>IFERROR(__xludf.DUMMYFUNCTION("""COMPUTED_VALUE"""),"Female")</f>
        <v>Female</v>
      </c>
      <c r="G1566" s="4" t="b">
        <f>IFERROR(__xludf.DUMMYFUNCTION("""COMPUTED_VALUE"""),TRUE)</f>
        <v>1</v>
      </c>
      <c r="H1566" s="4" t="b">
        <f>IFERROR(__xludf.DUMMYFUNCTION("""COMPUTED_VALUE"""),FALSE)</f>
        <v>0</v>
      </c>
      <c r="I1566" s="4">
        <f>IFERROR(__xludf.DUMMYFUNCTION("""COMPUTED_VALUE"""),0.2549440625)</f>
        <v>0.2549440625</v>
      </c>
      <c r="J1566" s="4">
        <f>IFERROR(__xludf.DUMMYFUNCTION("""COMPUTED_VALUE"""),45949.27681143479)</f>
        <v>45949.27681</v>
      </c>
      <c r="K1566" s="4" t="str">
        <f>IFERROR(__xludf.DUMMYFUNCTION("""COMPUTED_VALUE"""),"")</f>
        <v/>
      </c>
      <c r="L1566" s="4">
        <f>IFERROR(__xludf.DUMMYFUNCTION("""COMPUTED_VALUE"""),45949.29348767632)</f>
        <v>45949.29349</v>
      </c>
      <c r="M1566" s="1" t="str">
        <f>IFERROR(__xludf.DUMMYFUNCTION("""COMPUTED_VALUE"""),"RFID")</f>
        <v>RFID</v>
      </c>
      <c r="N1566" s="5">
        <f>IFERROR(__xludf.DUMMYFUNCTION("""COMPUTED_VALUE"""),0.008746949074074074)</f>
        <v>0.008746949074</v>
      </c>
      <c r="O1566" s="5" t="str">
        <f>IFERROR(__xludf.DUMMYFUNCTION("""COMPUTED_VALUE"""),"")</f>
        <v/>
      </c>
      <c r="P1566" s="5" t="str">
        <f>IFERROR(__xludf.DUMMYFUNCTION("""COMPUTED_VALUE"""),"")</f>
        <v/>
      </c>
      <c r="Q1566" s="5">
        <f>IFERROR(__xludf.DUMMYFUNCTION("""COMPUTED_VALUE"""),0.007708722222222223)</f>
        <v>0.007708722222</v>
      </c>
      <c r="R1566" s="4">
        <f>IFERROR(__xludf.DUMMYFUNCTION("""COMPUTED_VALUE"""),45949.03854361382)</f>
        <v>45949.03854</v>
      </c>
      <c r="S1566" s="1" t="b">
        <f>IFERROR(__xludf.DUMMYFUNCTION("""COMPUTED_VALUE"""),TRUE)</f>
        <v>1</v>
      </c>
      <c r="T1566" s="1" t="b">
        <f>IFERROR(__xludf.DUMMYFUNCTION("""COMPUTED_VALUE"""),FALSE)</f>
        <v>0</v>
      </c>
      <c r="U1566" s="1" t="str">
        <f>IFERROR(__xludf.DUMMYFUNCTION("""COMPUTED_VALUE"""),"VALID")</f>
        <v>VALID</v>
      </c>
      <c r="V1566" s="1">
        <f>IFERROR(__xludf.DUMMYFUNCTION("""COMPUTED_VALUE"""),268.0)</f>
        <v>268</v>
      </c>
      <c r="W1566" s="1">
        <f>IFERROR(__xludf.DUMMYFUNCTION("""COMPUTED_VALUE"""),1137.0)</f>
        <v>1137</v>
      </c>
      <c r="X1566" s="1">
        <f>IFERROR(__xludf.DUMMYFUNCTION("""COMPUTED_VALUE"""),327.0)</f>
        <v>327</v>
      </c>
      <c r="Y1566" s="2"/>
      <c r="Z1566" s="2"/>
    </row>
    <row r="1567">
      <c r="A1567" s="1">
        <f>IFERROR(__xludf.DUMMYFUNCTION("""COMPUTED_VALUE"""),1566.0)</f>
        <v>1566</v>
      </c>
      <c r="B1567" s="1">
        <f>IFERROR(__xludf.DUMMYFUNCTION("""COMPUTED_VALUE"""),6301.0)</f>
        <v>6301</v>
      </c>
      <c r="C1567" s="2" t="str">
        <f>IFERROR(__xludf.DUMMYFUNCTION("""COMPUTED_VALUE"""),"MAY")</f>
        <v>MAY</v>
      </c>
      <c r="D1567" s="2" t="str">
        <f>IFERROR(__xludf.DUMMYFUNCTION("""COMPUTED_VALUE"""),"5KM OVERALL F")</f>
        <v>5KM OVERALL F</v>
      </c>
      <c r="E1567" s="1">
        <f>IFERROR(__xludf.DUMMYFUNCTION("""COMPUTED_VALUE"""),2.0)</f>
        <v>2</v>
      </c>
      <c r="F1567" s="1" t="str">
        <f>IFERROR(__xludf.DUMMYFUNCTION("""COMPUTED_VALUE"""),"Female")</f>
        <v>Female</v>
      </c>
      <c r="G1567" s="4" t="b">
        <f>IFERROR(__xludf.DUMMYFUNCTION("""COMPUTED_VALUE"""),TRUE)</f>
        <v>1</v>
      </c>
      <c r="H1567" s="4" t="b">
        <f>IFERROR(__xludf.DUMMYFUNCTION("""COMPUTED_VALUE"""),TRUE)</f>
        <v>1</v>
      </c>
      <c r="I1567" s="4">
        <f>IFERROR(__xludf.DUMMYFUNCTION("""COMPUTED_VALUE"""),0.2549440625)</f>
        <v>0.2549440625</v>
      </c>
      <c r="J1567" s="4">
        <f>IFERROR(__xludf.DUMMYFUNCTION("""COMPUTED_VALUE"""),45949.27915171418)</f>
        <v>45949.27915</v>
      </c>
      <c r="K1567" s="4" t="str">
        <f>IFERROR(__xludf.DUMMYFUNCTION("""COMPUTED_VALUE"""),"")</f>
        <v/>
      </c>
      <c r="L1567" s="4">
        <f>IFERROR(__xludf.DUMMYFUNCTION("""COMPUTED_VALUE"""),45949.29574463393)</f>
        <v>45949.29574</v>
      </c>
      <c r="M1567" s="1" t="str">
        <f>IFERROR(__xludf.DUMMYFUNCTION("""COMPUTED_VALUE"""),"RFID")</f>
        <v>RFID</v>
      </c>
      <c r="N1567" s="5">
        <f>IFERROR(__xludf.DUMMYFUNCTION("""COMPUTED_VALUE"""),0.009683060185185185)</f>
        <v>0.009683060185</v>
      </c>
      <c r="O1567" s="5" t="str">
        <f>IFERROR(__xludf.DUMMYFUNCTION("""COMPUTED_VALUE"""),"")</f>
        <v/>
      </c>
      <c r="P1567" s="5" t="str">
        <f>IFERROR(__xludf.DUMMYFUNCTION("""COMPUTED_VALUE"""),"")</f>
        <v/>
      </c>
      <c r="Q1567" s="5">
        <f>IFERROR(__xludf.DUMMYFUNCTION("""COMPUTED_VALUE"""),0.008160113425925927)</f>
        <v>0.008160113426</v>
      </c>
      <c r="R1567" s="4">
        <f>IFERROR(__xludf.DUMMYFUNCTION("""COMPUTED_VALUE"""),45949.04080057143)</f>
        <v>45949.0408</v>
      </c>
      <c r="S1567" s="1" t="b">
        <f>IFERROR(__xludf.DUMMYFUNCTION("""COMPUTED_VALUE"""),TRUE)</f>
        <v>1</v>
      </c>
      <c r="T1567" s="1" t="b">
        <f>IFERROR(__xludf.DUMMYFUNCTION("""COMPUTED_VALUE"""),FALSE)</f>
        <v>0</v>
      </c>
      <c r="U1567" s="1" t="str">
        <f>IFERROR(__xludf.DUMMYFUNCTION("""COMPUTED_VALUE"""),"VALID")</f>
        <v>VALID</v>
      </c>
      <c r="V1567" s="1">
        <f>IFERROR(__xludf.DUMMYFUNCTION("""COMPUTED_VALUE"""),335.0)</f>
        <v>335</v>
      </c>
      <c r="W1567" s="1">
        <f>IFERROR(__xludf.DUMMYFUNCTION("""COMPUTED_VALUE"""),1279.0)</f>
        <v>1279</v>
      </c>
      <c r="X1567" s="1">
        <f>IFERROR(__xludf.DUMMYFUNCTION("""COMPUTED_VALUE"""),405.0)</f>
        <v>405</v>
      </c>
      <c r="Y1567" s="2"/>
      <c r="Z1567" s="2"/>
    </row>
    <row r="1568">
      <c r="A1568" s="1">
        <f>IFERROR(__xludf.DUMMYFUNCTION("""COMPUTED_VALUE"""),1567.0)</f>
        <v>1567</v>
      </c>
      <c r="B1568" s="1">
        <f>IFERROR(__xludf.DUMMYFUNCTION("""COMPUTED_VALUE"""),6307.0)</f>
        <v>6307</v>
      </c>
      <c r="C1568" s="2" t="str">
        <f>IFERROR(__xludf.DUMMYFUNCTION("""COMPUTED_VALUE"""),"sofhia")</f>
        <v>sofhia</v>
      </c>
      <c r="D1568" s="2" t="str">
        <f>IFERROR(__xludf.DUMMYFUNCTION("""COMPUTED_VALUE"""),"5KM OVERALL F")</f>
        <v>5KM OVERALL F</v>
      </c>
      <c r="E1568" s="1">
        <f>IFERROR(__xludf.DUMMYFUNCTION("""COMPUTED_VALUE"""),2.0)</f>
        <v>2</v>
      </c>
      <c r="F1568" s="1" t="str">
        <f>IFERROR(__xludf.DUMMYFUNCTION("""COMPUTED_VALUE"""),"Female")</f>
        <v>Female</v>
      </c>
      <c r="G1568" s="4" t="b">
        <f>IFERROR(__xludf.DUMMYFUNCTION("""COMPUTED_VALUE"""),TRUE)</f>
        <v>1</v>
      </c>
      <c r="H1568" s="4" t="b">
        <f>IFERROR(__xludf.DUMMYFUNCTION("""COMPUTED_VALUE"""),FALSE)</f>
        <v>0</v>
      </c>
      <c r="I1568" s="4">
        <f>IFERROR(__xludf.DUMMYFUNCTION("""COMPUTED_VALUE"""),0.2549440625)</f>
        <v>0.2549440625</v>
      </c>
      <c r="J1568" s="4">
        <f>IFERROR(__xludf.DUMMYFUNCTION("""COMPUTED_VALUE"""),45949.278516299906)</f>
        <v>45949.27852</v>
      </c>
      <c r="K1568" s="4" t="str">
        <f>IFERROR(__xludf.DUMMYFUNCTION("""COMPUTED_VALUE"""),"")</f>
        <v/>
      </c>
      <c r="L1568" s="4">
        <f>IFERROR(__xludf.DUMMYFUNCTION("""COMPUTED_VALUE"""),45949.29789044719)</f>
        <v>45949.29789</v>
      </c>
      <c r="M1568" s="1" t="str">
        <f>IFERROR(__xludf.DUMMYFUNCTION("""COMPUTED_VALUE"""),"RFID")</f>
        <v>RFID</v>
      </c>
      <c r="N1568" s="5">
        <f>IFERROR(__xludf.DUMMYFUNCTION("""COMPUTED_VALUE"""),0.009428893518518519)</f>
        <v>0.009428893519</v>
      </c>
      <c r="O1568" s="5" t="str">
        <f>IFERROR(__xludf.DUMMYFUNCTION("""COMPUTED_VALUE"""),"")</f>
        <v/>
      </c>
      <c r="P1568" s="5" t="str">
        <f>IFERROR(__xludf.DUMMYFUNCTION("""COMPUTED_VALUE"""),"")</f>
        <v/>
      </c>
      <c r="Q1568" s="5">
        <f>IFERROR(__xludf.DUMMYFUNCTION("""COMPUTED_VALUE"""),0.008589277777777777)</f>
        <v>0.008589277778</v>
      </c>
      <c r="R1568" s="4">
        <f>IFERROR(__xludf.DUMMYFUNCTION("""COMPUTED_VALUE"""),45949.04294638469)</f>
        <v>45949.04295</v>
      </c>
      <c r="S1568" s="1" t="b">
        <f>IFERROR(__xludf.DUMMYFUNCTION("""COMPUTED_VALUE"""),TRUE)</f>
        <v>1</v>
      </c>
      <c r="T1568" s="1" t="b">
        <f>IFERROR(__xludf.DUMMYFUNCTION("""COMPUTED_VALUE"""),FALSE)</f>
        <v>0</v>
      </c>
      <c r="U1568" s="1" t="str">
        <f>IFERROR(__xludf.DUMMYFUNCTION("""COMPUTED_VALUE"""),"VALID")</f>
        <v>VALID</v>
      </c>
      <c r="V1568" s="1">
        <f>IFERROR(__xludf.DUMMYFUNCTION("""COMPUTED_VALUE"""),376.0)</f>
        <v>376</v>
      </c>
      <c r="W1568" s="1">
        <f>IFERROR(__xludf.DUMMYFUNCTION("""COMPUTED_VALUE"""),1362.0)</f>
        <v>1362</v>
      </c>
      <c r="X1568" s="1">
        <f>IFERROR(__xludf.DUMMYFUNCTION("""COMPUTED_VALUE"""),456.0)</f>
        <v>456</v>
      </c>
      <c r="Y1568" s="2"/>
      <c r="Z1568" s="2"/>
    </row>
    <row r="1569">
      <c r="A1569" s="1">
        <f>IFERROR(__xludf.DUMMYFUNCTION("""COMPUTED_VALUE"""),1568.0)</f>
        <v>1568</v>
      </c>
      <c r="B1569" s="1">
        <f>IFERROR(__xludf.DUMMYFUNCTION("""COMPUTED_VALUE"""),6310.0)</f>
        <v>6310</v>
      </c>
      <c r="C1569" s="2" t="str">
        <f>IFERROR(__xludf.DUMMYFUNCTION("""COMPUTED_VALUE"""),"Putri")</f>
        <v>Putri</v>
      </c>
      <c r="D1569" s="2" t="str">
        <f>IFERROR(__xludf.DUMMYFUNCTION("""COMPUTED_VALUE"""),"5KM OVERALL F")</f>
        <v>5KM OVERALL F</v>
      </c>
      <c r="E1569" s="1">
        <f>IFERROR(__xludf.DUMMYFUNCTION("""COMPUTED_VALUE"""),2.0)</f>
        <v>2</v>
      </c>
      <c r="F1569" s="1" t="str">
        <f>IFERROR(__xludf.DUMMYFUNCTION("""COMPUTED_VALUE"""),"Female")</f>
        <v>Female</v>
      </c>
      <c r="G1569" s="4" t="str">
        <f>IFERROR(__xludf.DUMMYFUNCTION("""COMPUTED_VALUE"""),"")</f>
        <v/>
      </c>
      <c r="H1569" s="4" t="b">
        <f>IFERROR(__xludf.DUMMYFUNCTION("""COMPUTED_VALUE"""),FALSE)</f>
        <v>0</v>
      </c>
      <c r="I1569" s="4">
        <f>IFERROR(__xludf.DUMMYFUNCTION("""COMPUTED_VALUE"""),0.2549440625)</f>
        <v>0.2549440625</v>
      </c>
      <c r="J1569" s="4" t="str">
        <f>IFERROR(__xludf.DUMMYFUNCTION("""COMPUTED_VALUE"""),"")</f>
        <v/>
      </c>
      <c r="K1569" s="4" t="str">
        <f>IFERROR(__xludf.DUMMYFUNCTION("""COMPUTED_VALUE"""),"")</f>
        <v/>
      </c>
      <c r="L1569" s="4" t="str">
        <f>IFERROR(__xludf.DUMMYFUNCTION("""COMPUTED_VALUE"""),"")</f>
        <v/>
      </c>
      <c r="M1569" s="1" t="str">
        <f>IFERROR(__xludf.DUMMYFUNCTION("""COMPUTED_VALUE"""),"RFID")</f>
        <v>RFID</v>
      </c>
      <c r="N1569" s="5" t="str">
        <f>IFERROR(__xludf.DUMMYFUNCTION("""COMPUTED_VALUE"""),"")</f>
        <v/>
      </c>
      <c r="O1569" s="5" t="str">
        <f>IFERROR(__xludf.DUMMYFUNCTION("""COMPUTED_VALUE"""),"")</f>
        <v/>
      </c>
      <c r="P1569" s="5" t="str">
        <f>IFERROR(__xludf.DUMMYFUNCTION("""COMPUTED_VALUE"""),"")</f>
        <v/>
      </c>
      <c r="Q1569" s="5" t="str">
        <f>IFERROR(__xludf.DUMMYFUNCTION("""COMPUTED_VALUE"""),"")</f>
        <v/>
      </c>
      <c r="R1569" s="4" t="str">
        <f>IFERROR(__xludf.DUMMYFUNCTION("""COMPUTED_VALUE"""),"")</f>
        <v/>
      </c>
      <c r="S1569" s="1" t="b">
        <f>IFERROR(__xludf.DUMMYFUNCTION("""COMPUTED_VALUE"""),FALSE)</f>
        <v>0</v>
      </c>
      <c r="T1569" s="1" t="b">
        <f>IFERROR(__xludf.DUMMYFUNCTION("""COMPUTED_VALUE"""),FALSE)</f>
        <v>0</v>
      </c>
      <c r="U1569" s="1" t="str">
        <f>IFERROR(__xludf.DUMMYFUNCTION("""COMPUTED_VALUE"""),"DSQ")</f>
        <v>DSQ</v>
      </c>
      <c r="V1569" s="1" t="str">
        <f>IFERROR(__xludf.DUMMYFUNCTION("""COMPUTED_VALUE"""),"DSQ")</f>
        <v>DSQ</v>
      </c>
      <c r="W1569" s="1" t="str">
        <f>IFERROR(__xludf.DUMMYFUNCTION("""COMPUTED_VALUE"""),"DSQ")</f>
        <v>DSQ</v>
      </c>
      <c r="X1569" s="1" t="str">
        <f>IFERROR(__xludf.DUMMYFUNCTION("""COMPUTED_VALUE"""),"DSQ")</f>
        <v>DSQ</v>
      </c>
      <c r="Y1569" s="2"/>
      <c r="Z1569" s="2" t="str">
        <f>IFERROR(__xludf.DUMMYFUNCTION("""COMPUTED_VALUE"""),"")</f>
        <v/>
      </c>
    </row>
    <row r="1570">
      <c r="A1570" s="1">
        <f>IFERROR(__xludf.DUMMYFUNCTION("""COMPUTED_VALUE"""),1569.0)</f>
        <v>1569</v>
      </c>
      <c r="B1570" s="1">
        <f>IFERROR(__xludf.DUMMYFUNCTION("""COMPUTED_VALUE"""),6311.0)</f>
        <v>6311</v>
      </c>
      <c r="C1570" s="2" t="str">
        <f>IFERROR(__xludf.DUMMYFUNCTION("""COMPUTED_VALUE"""),"Laili")</f>
        <v>Laili</v>
      </c>
      <c r="D1570" s="2" t="str">
        <f>IFERROR(__xludf.DUMMYFUNCTION("""COMPUTED_VALUE"""),"5KM OVERALL F")</f>
        <v>5KM OVERALL F</v>
      </c>
      <c r="E1570" s="1">
        <f>IFERROR(__xludf.DUMMYFUNCTION("""COMPUTED_VALUE"""),2.0)</f>
        <v>2</v>
      </c>
      <c r="F1570" s="1" t="str">
        <f>IFERROR(__xludf.DUMMYFUNCTION("""COMPUTED_VALUE"""),"Female")</f>
        <v>Female</v>
      </c>
      <c r="G1570" s="4" t="b">
        <f>IFERROR(__xludf.DUMMYFUNCTION("""COMPUTED_VALUE"""),TRUE)</f>
        <v>1</v>
      </c>
      <c r="H1570" s="4" t="b">
        <f>IFERROR(__xludf.DUMMYFUNCTION("""COMPUTED_VALUE"""),TRUE)</f>
        <v>1</v>
      </c>
      <c r="I1570" s="4">
        <f>IFERROR(__xludf.DUMMYFUNCTION("""COMPUTED_VALUE"""),0.2549440625)</f>
        <v>0.2549440625</v>
      </c>
      <c r="J1570" s="4">
        <f>IFERROR(__xludf.DUMMYFUNCTION("""COMPUTED_VALUE"""),45949.27986696571)</f>
        <v>45949.27987</v>
      </c>
      <c r="K1570" s="4" t="str">
        <f>IFERROR(__xludf.DUMMYFUNCTION("""COMPUTED_VALUE"""),"")</f>
        <v/>
      </c>
      <c r="L1570" s="4">
        <f>IFERROR(__xludf.DUMMYFUNCTION("""COMPUTED_VALUE"""),45949.301022395295)</f>
        <v>45949.30102</v>
      </c>
      <c r="M1570" s="1" t="str">
        <f>IFERROR(__xludf.DUMMYFUNCTION("""COMPUTED_VALUE"""),"RFID")</f>
        <v>RFID</v>
      </c>
      <c r="N1570" s="5">
        <f>IFERROR(__xludf.DUMMYFUNCTION("""COMPUTED_VALUE"""),0.009969162037037037)</f>
        <v>0.009969162037</v>
      </c>
      <c r="O1570" s="5" t="str">
        <f>IFERROR(__xludf.DUMMYFUNCTION("""COMPUTED_VALUE"""),"")</f>
        <v/>
      </c>
      <c r="P1570" s="5" t="str">
        <f>IFERROR(__xludf.DUMMYFUNCTION("""COMPUTED_VALUE"""),"")</f>
        <v/>
      </c>
      <c r="Q1570" s="5">
        <f>IFERROR(__xludf.DUMMYFUNCTION("""COMPUTED_VALUE"""),0.009215666666666667)</f>
        <v>0.009215666667</v>
      </c>
      <c r="R1570" s="4">
        <f>IFERROR(__xludf.DUMMYFUNCTION("""COMPUTED_VALUE"""),45949.046078332794)</f>
        <v>45949.04608</v>
      </c>
      <c r="S1570" s="1" t="b">
        <f>IFERROR(__xludf.DUMMYFUNCTION("""COMPUTED_VALUE"""),TRUE)</f>
        <v>1</v>
      </c>
      <c r="T1570" s="1" t="b">
        <f>IFERROR(__xludf.DUMMYFUNCTION("""COMPUTED_VALUE"""),FALSE)</f>
        <v>0</v>
      </c>
      <c r="U1570" s="1" t="str">
        <f>IFERROR(__xludf.DUMMYFUNCTION("""COMPUTED_VALUE"""),"VALID")</f>
        <v>VALID</v>
      </c>
      <c r="V1570" s="1">
        <f>IFERROR(__xludf.DUMMYFUNCTION("""COMPUTED_VALUE"""),442.0)</f>
        <v>442</v>
      </c>
      <c r="W1570" s="1">
        <f>IFERROR(__xludf.DUMMYFUNCTION("""COMPUTED_VALUE"""),1488.0)</f>
        <v>1488</v>
      </c>
      <c r="X1570" s="1">
        <f>IFERROR(__xludf.DUMMYFUNCTION("""COMPUTED_VALUE"""),540.0)</f>
        <v>540</v>
      </c>
      <c r="Y1570" s="2"/>
      <c r="Z1570" s="2"/>
    </row>
    <row r="1571">
      <c r="A1571" s="1">
        <f>IFERROR(__xludf.DUMMYFUNCTION("""COMPUTED_VALUE"""),1570.0)</f>
        <v>1570</v>
      </c>
      <c r="B1571" s="1">
        <f>IFERROR(__xludf.DUMMYFUNCTION("""COMPUTED_VALUE"""),6312.0)</f>
        <v>6312</v>
      </c>
      <c r="C1571" s="2" t="str">
        <f>IFERROR(__xludf.DUMMYFUNCTION("""COMPUTED_VALUE"""),"Novi")</f>
        <v>Novi</v>
      </c>
      <c r="D1571" s="2" t="str">
        <f>IFERROR(__xludf.DUMMYFUNCTION("""COMPUTED_VALUE"""),"5KM OVERALL F")</f>
        <v>5KM OVERALL F</v>
      </c>
      <c r="E1571" s="1">
        <f>IFERROR(__xludf.DUMMYFUNCTION("""COMPUTED_VALUE"""),2.0)</f>
        <v>2</v>
      </c>
      <c r="F1571" s="1" t="str">
        <f>IFERROR(__xludf.DUMMYFUNCTION("""COMPUTED_VALUE"""),"Female")</f>
        <v>Female</v>
      </c>
      <c r="G1571" s="4" t="b">
        <f>IFERROR(__xludf.DUMMYFUNCTION("""COMPUTED_VALUE"""),TRUE)</f>
        <v>1</v>
      </c>
      <c r="H1571" s="4" t="b">
        <f>IFERROR(__xludf.DUMMYFUNCTION("""COMPUTED_VALUE"""),TRUE)</f>
        <v>1</v>
      </c>
      <c r="I1571" s="4">
        <f>IFERROR(__xludf.DUMMYFUNCTION("""COMPUTED_VALUE"""),0.2549440625)</f>
        <v>0.2549440625</v>
      </c>
      <c r="J1571" s="4">
        <f>IFERROR(__xludf.DUMMYFUNCTION("""COMPUTED_VALUE"""),45949.27989202005)</f>
        <v>45949.27989</v>
      </c>
      <c r="K1571" s="4" t="str">
        <f>IFERROR(__xludf.DUMMYFUNCTION("""COMPUTED_VALUE"""),"")</f>
        <v/>
      </c>
      <c r="L1571" s="4">
        <f>IFERROR(__xludf.DUMMYFUNCTION("""COMPUTED_VALUE"""),45949.30108489313)</f>
        <v>45949.30108</v>
      </c>
      <c r="M1571" s="1" t="str">
        <f>IFERROR(__xludf.DUMMYFUNCTION("""COMPUTED_VALUE"""),"RFID")</f>
        <v>RFID</v>
      </c>
      <c r="N1571" s="5">
        <f>IFERROR(__xludf.DUMMYFUNCTION("""COMPUTED_VALUE"""),0.009979185185185185)</f>
        <v>0.009979185185</v>
      </c>
      <c r="O1571" s="5" t="str">
        <f>IFERROR(__xludf.DUMMYFUNCTION("""COMPUTED_VALUE"""),"")</f>
        <v/>
      </c>
      <c r="P1571" s="5" t="str">
        <f>IFERROR(__xludf.DUMMYFUNCTION("""COMPUTED_VALUE"""),"")</f>
        <v/>
      </c>
      <c r="Q1571" s="5">
        <f>IFERROR(__xludf.DUMMYFUNCTION("""COMPUTED_VALUE"""),0.009228166666666666)</f>
        <v>0.009228166667</v>
      </c>
      <c r="R1571" s="4">
        <f>IFERROR(__xludf.DUMMYFUNCTION("""COMPUTED_VALUE"""),45949.04614083063)</f>
        <v>45949.04614</v>
      </c>
      <c r="S1571" s="1" t="b">
        <f>IFERROR(__xludf.DUMMYFUNCTION("""COMPUTED_VALUE"""),TRUE)</f>
        <v>1</v>
      </c>
      <c r="T1571" s="1" t="b">
        <f>IFERROR(__xludf.DUMMYFUNCTION("""COMPUTED_VALUE"""),FALSE)</f>
        <v>0</v>
      </c>
      <c r="U1571" s="1" t="str">
        <f>IFERROR(__xludf.DUMMYFUNCTION("""COMPUTED_VALUE"""),"VALID")</f>
        <v>VALID</v>
      </c>
      <c r="V1571" s="1">
        <f>IFERROR(__xludf.DUMMYFUNCTION("""COMPUTED_VALUE"""),446.0)</f>
        <v>446</v>
      </c>
      <c r="W1571" s="1">
        <f>IFERROR(__xludf.DUMMYFUNCTION("""COMPUTED_VALUE"""),1493.0)</f>
        <v>1493</v>
      </c>
      <c r="X1571" s="1">
        <f>IFERROR(__xludf.DUMMYFUNCTION("""COMPUTED_VALUE"""),544.0)</f>
        <v>544</v>
      </c>
      <c r="Y1571" s="2"/>
      <c r="Z1571" s="2"/>
    </row>
    <row r="1572">
      <c r="A1572" s="1">
        <f>IFERROR(__xludf.DUMMYFUNCTION("""COMPUTED_VALUE"""),1571.0)</f>
        <v>1571</v>
      </c>
      <c r="B1572" s="1">
        <f>IFERROR(__xludf.DUMMYFUNCTION("""COMPUTED_VALUE"""),6314.0)</f>
        <v>6314</v>
      </c>
      <c r="C1572" s="2" t="str">
        <f>IFERROR(__xludf.DUMMYFUNCTION("""COMPUTED_VALUE"""),"RENNY")</f>
        <v>RENNY</v>
      </c>
      <c r="D1572" s="2" t="str">
        <f>IFERROR(__xludf.DUMMYFUNCTION("""COMPUTED_VALUE"""),"5KM OVERALL F")</f>
        <v>5KM OVERALL F</v>
      </c>
      <c r="E1572" s="1">
        <f>IFERROR(__xludf.DUMMYFUNCTION("""COMPUTED_VALUE"""),2.0)</f>
        <v>2</v>
      </c>
      <c r="F1572" s="1" t="str">
        <f>IFERROR(__xludf.DUMMYFUNCTION("""COMPUTED_VALUE"""),"Female")</f>
        <v>Female</v>
      </c>
      <c r="G1572" s="4" t="str">
        <f>IFERROR(__xludf.DUMMYFUNCTION("""COMPUTED_VALUE"""),"")</f>
        <v/>
      </c>
      <c r="H1572" s="4" t="b">
        <f>IFERROR(__xludf.DUMMYFUNCTION("""COMPUTED_VALUE"""),FALSE)</f>
        <v>0</v>
      </c>
      <c r="I1572" s="4">
        <f>IFERROR(__xludf.DUMMYFUNCTION("""COMPUTED_VALUE"""),0.2549440625)</f>
        <v>0.2549440625</v>
      </c>
      <c r="J1572" s="4" t="str">
        <f>IFERROR(__xludf.DUMMYFUNCTION("""COMPUTED_VALUE"""),"")</f>
        <v/>
      </c>
      <c r="K1572" s="4" t="str">
        <f>IFERROR(__xludf.DUMMYFUNCTION("""COMPUTED_VALUE"""),"")</f>
        <v/>
      </c>
      <c r="L1572" s="4" t="str">
        <f>IFERROR(__xludf.DUMMYFUNCTION("""COMPUTED_VALUE"""),"")</f>
        <v/>
      </c>
      <c r="M1572" s="1" t="str">
        <f>IFERROR(__xludf.DUMMYFUNCTION("""COMPUTED_VALUE"""),"RFID")</f>
        <v>RFID</v>
      </c>
      <c r="N1572" s="5" t="str">
        <f>IFERROR(__xludf.DUMMYFUNCTION("""COMPUTED_VALUE"""),"")</f>
        <v/>
      </c>
      <c r="O1572" s="5" t="str">
        <f>IFERROR(__xludf.DUMMYFUNCTION("""COMPUTED_VALUE"""),"")</f>
        <v/>
      </c>
      <c r="P1572" s="5" t="str">
        <f>IFERROR(__xludf.DUMMYFUNCTION("""COMPUTED_VALUE"""),"")</f>
        <v/>
      </c>
      <c r="Q1572" s="5" t="str">
        <f>IFERROR(__xludf.DUMMYFUNCTION("""COMPUTED_VALUE"""),"")</f>
        <v/>
      </c>
      <c r="R1572" s="4" t="str">
        <f>IFERROR(__xludf.DUMMYFUNCTION("""COMPUTED_VALUE"""),"")</f>
        <v/>
      </c>
      <c r="S1572" s="1" t="b">
        <f>IFERROR(__xludf.DUMMYFUNCTION("""COMPUTED_VALUE"""),FALSE)</f>
        <v>0</v>
      </c>
      <c r="T1572" s="1" t="b">
        <f>IFERROR(__xludf.DUMMYFUNCTION("""COMPUTED_VALUE"""),FALSE)</f>
        <v>0</v>
      </c>
      <c r="U1572" s="1" t="str">
        <f>IFERROR(__xludf.DUMMYFUNCTION("""COMPUTED_VALUE"""),"DSQ")</f>
        <v>DSQ</v>
      </c>
      <c r="V1572" s="1" t="str">
        <f>IFERROR(__xludf.DUMMYFUNCTION("""COMPUTED_VALUE"""),"DSQ")</f>
        <v>DSQ</v>
      </c>
      <c r="W1572" s="1" t="str">
        <f>IFERROR(__xludf.DUMMYFUNCTION("""COMPUTED_VALUE"""),"DSQ")</f>
        <v>DSQ</v>
      </c>
      <c r="X1572" s="1" t="str">
        <f>IFERROR(__xludf.DUMMYFUNCTION("""COMPUTED_VALUE"""),"DSQ")</f>
        <v>DSQ</v>
      </c>
      <c r="Y1572" s="2"/>
      <c r="Z1572" s="2" t="str">
        <f>IFERROR(__xludf.DUMMYFUNCTION("""COMPUTED_VALUE"""),"")</f>
        <v/>
      </c>
    </row>
    <row r="1573">
      <c r="A1573" s="1">
        <f>IFERROR(__xludf.DUMMYFUNCTION("""COMPUTED_VALUE"""),1572.0)</f>
        <v>1572</v>
      </c>
      <c r="B1573" s="1">
        <f>IFERROR(__xludf.DUMMYFUNCTION("""COMPUTED_VALUE"""),6316.0)</f>
        <v>6316</v>
      </c>
      <c r="C1573" s="2" t="str">
        <f>IFERROR(__xludf.DUMMYFUNCTION("""COMPUTED_VALUE"""),"Aya")</f>
        <v>Aya</v>
      </c>
      <c r="D1573" s="2" t="str">
        <f>IFERROR(__xludf.DUMMYFUNCTION("""COMPUTED_VALUE"""),"5KM OVERALL F")</f>
        <v>5KM OVERALL F</v>
      </c>
      <c r="E1573" s="1">
        <f>IFERROR(__xludf.DUMMYFUNCTION("""COMPUTED_VALUE"""),2.0)</f>
        <v>2</v>
      </c>
      <c r="F1573" s="1" t="str">
        <f>IFERROR(__xludf.DUMMYFUNCTION("""COMPUTED_VALUE"""),"Female")</f>
        <v>Female</v>
      </c>
      <c r="G1573" s="4" t="b">
        <f>IFERROR(__xludf.DUMMYFUNCTION("""COMPUTED_VALUE"""),TRUE)</f>
        <v>1</v>
      </c>
      <c r="H1573" s="4" t="b">
        <f>IFERROR(__xludf.DUMMYFUNCTION("""COMPUTED_VALUE"""),TRUE)</f>
        <v>1</v>
      </c>
      <c r="I1573" s="4">
        <f>IFERROR(__xludf.DUMMYFUNCTION("""COMPUTED_VALUE"""),0.2549440625)</f>
        <v>0.2549440625</v>
      </c>
      <c r="J1573" s="4">
        <f>IFERROR(__xludf.DUMMYFUNCTION("""COMPUTED_VALUE"""),45949.27993642252)</f>
        <v>45949.27994</v>
      </c>
      <c r="K1573" s="4" t="str">
        <f>IFERROR(__xludf.DUMMYFUNCTION("""COMPUTED_VALUE"""),"")</f>
        <v/>
      </c>
      <c r="L1573" s="4">
        <f>IFERROR(__xludf.DUMMYFUNCTION("""COMPUTED_VALUE"""),45949.30107447797)</f>
        <v>45949.30107</v>
      </c>
      <c r="M1573" s="1" t="str">
        <f>IFERROR(__xludf.DUMMYFUNCTION("""COMPUTED_VALUE"""),"RFID")</f>
        <v>RFID</v>
      </c>
      <c r="N1573" s="5">
        <f>IFERROR(__xludf.DUMMYFUNCTION("""COMPUTED_VALUE"""),0.009996944444444445)</f>
        <v>0.009996944444</v>
      </c>
      <c r="O1573" s="5" t="str">
        <f>IFERROR(__xludf.DUMMYFUNCTION("""COMPUTED_VALUE"""),"")</f>
        <v/>
      </c>
      <c r="P1573" s="5" t="str">
        <f>IFERROR(__xludf.DUMMYFUNCTION("""COMPUTED_VALUE"""),"")</f>
        <v/>
      </c>
      <c r="Q1573" s="5">
        <f>IFERROR(__xludf.DUMMYFUNCTION("""COMPUTED_VALUE"""),0.009226083333333333)</f>
        <v>0.009226083333</v>
      </c>
      <c r="R1573" s="4">
        <f>IFERROR(__xludf.DUMMYFUNCTION("""COMPUTED_VALUE"""),45949.04613041547)</f>
        <v>45949.04613</v>
      </c>
      <c r="S1573" s="1" t="b">
        <f>IFERROR(__xludf.DUMMYFUNCTION("""COMPUTED_VALUE"""),TRUE)</f>
        <v>1</v>
      </c>
      <c r="T1573" s="1" t="b">
        <f>IFERROR(__xludf.DUMMYFUNCTION("""COMPUTED_VALUE"""),FALSE)</f>
        <v>0</v>
      </c>
      <c r="U1573" s="1" t="str">
        <f>IFERROR(__xludf.DUMMYFUNCTION("""COMPUTED_VALUE"""),"VALID")</f>
        <v>VALID</v>
      </c>
      <c r="V1573" s="1">
        <f>IFERROR(__xludf.DUMMYFUNCTION("""COMPUTED_VALUE"""),445.0)</f>
        <v>445</v>
      </c>
      <c r="W1573" s="1">
        <f>IFERROR(__xludf.DUMMYFUNCTION("""COMPUTED_VALUE"""),1491.0)</f>
        <v>1491</v>
      </c>
      <c r="X1573" s="1">
        <f>IFERROR(__xludf.DUMMYFUNCTION("""COMPUTED_VALUE"""),543.0)</f>
        <v>543</v>
      </c>
      <c r="Y1573" s="2"/>
      <c r="Z1573" s="2"/>
    </row>
    <row r="1574">
      <c r="A1574" s="1">
        <f>IFERROR(__xludf.DUMMYFUNCTION("""COMPUTED_VALUE"""),1573.0)</f>
        <v>1573</v>
      </c>
      <c r="B1574" s="1">
        <f>IFERROR(__xludf.DUMMYFUNCTION("""COMPUTED_VALUE"""),6319.0)</f>
        <v>6319</v>
      </c>
      <c r="C1574" s="2" t="str">
        <f>IFERROR(__xludf.DUMMYFUNCTION("""COMPUTED_VALUE"""),"yunie m yanto")</f>
        <v>yunie m yanto</v>
      </c>
      <c r="D1574" s="2" t="str">
        <f>IFERROR(__xludf.DUMMYFUNCTION("""COMPUTED_VALUE"""),"5KM OVERALL F")</f>
        <v>5KM OVERALL F</v>
      </c>
      <c r="E1574" s="1">
        <f>IFERROR(__xludf.DUMMYFUNCTION("""COMPUTED_VALUE"""),2.0)</f>
        <v>2</v>
      </c>
      <c r="F1574" s="1" t="str">
        <f>IFERROR(__xludf.DUMMYFUNCTION("""COMPUTED_VALUE"""),"Female")</f>
        <v>Female</v>
      </c>
      <c r="G1574" s="4" t="b">
        <f>IFERROR(__xludf.DUMMYFUNCTION("""COMPUTED_VALUE"""),TRUE)</f>
        <v>1</v>
      </c>
      <c r="H1574" s="4" t="b">
        <f>IFERROR(__xludf.DUMMYFUNCTION("""COMPUTED_VALUE"""),FALSE)</f>
        <v>0</v>
      </c>
      <c r="I1574" s="4">
        <f>IFERROR(__xludf.DUMMYFUNCTION("""COMPUTED_VALUE"""),0.2549440625)</f>
        <v>0.2549440625</v>
      </c>
      <c r="J1574" s="4">
        <f>IFERROR(__xludf.DUMMYFUNCTION("""COMPUTED_VALUE"""),45949.27724196746)</f>
        <v>45949.27724</v>
      </c>
      <c r="K1574" s="4" t="str">
        <f>IFERROR(__xludf.DUMMYFUNCTION("""COMPUTED_VALUE"""),"")</f>
        <v/>
      </c>
      <c r="L1574" s="4">
        <f>IFERROR(__xludf.DUMMYFUNCTION("""COMPUTED_VALUE"""),45949.29376546621)</f>
        <v>45949.29377</v>
      </c>
      <c r="M1574" s="1" t="str">
        <f>IFERROR(__xludf.DUMMYFUNCTION("""COMPUTED_VALUE"""),"RFID")</f>
        <v>RFID</v>
      </c>
      <c r="N1574" s="5">
        <f>IFERROR(__xludf.DUMMYFUNCTION("""COMPUTED_VALUE"""),0.008919162037037038)</f>
        <v>0.008919162037</v>
      </c>
      <c r="O1574" s="5" t="str">
        <f>IFERROR(__xludf.DUMMYFUNCTION("""COMPUTED_VALUE"""),"")</f>
        <v/>
      </c>
      <c r="P1574" s="5" t="str">
        <f>IFERROR(__xludf.DUMMYFUNCTION("""COMPUTED_VALUE"""),"")</f>
        <v/>
      </c>
      <c r="Q1574" s="5">
        <f>IFERROR(__xludf.DUMMYFUNCTION("""COMPUTED_VALUE"""),0.007764280092592592)</f>
        <v>0.007764280093</v>
      </c>
      <c r="R1574" s="4">
        <f>IFERROR(__xludf.DUMMYFUNCTION("""COMPUTED_VALUE"""),45949.03882140371)</f>
        <v>45949.03882</v>
      </c>
      <c r="S1574" s="1" t="b">
        <f>IFERROR(__xludf.DUMMYFUNCTION("""COMPUTED_VALUE"""),TRUE)</f>
        <v>1</v>
      </c>
      <c r="T1574" s="1" t="b">
        <f>IFERROR(__xludf.DUMMYFUNCTION("""COMPUTED_VALUE"""),FALSE)</f>
        <v>0</v>
      </c>
      <c r="U1574" s="1" t="str">
        <f>IFERROR(__xludf.DUMMYFUNCTION("""COMPUTED_VALUE"""),"VALID")</f>
        <v>VALID</v>
      </c>
      <c r="V1574" s="1">
        <f>IFERROR(__xludf.DUMMYFUNCTION("""COMPUTED_VALUE"""),277.0)</f>
        <v>277</v>
      </c>
      <c r="W1574" s="1">
        <f>IFERROR(__xludf.DUMMYFUNCTION("""COMPUTED_VALUE"""),1157.0)</f>
        <v>1157</v>
      </c>
      <c r="X1574" s="1">
        <f>IFERROR(__xludf.DUMMYFUNCTION("""COMPUTED_VALUE"""),336.0)</f>
        <v>336</v>
      </c>
      <c r="Y1574" s="2"/>
      <c r="Z1574" s="2"/>
    </row>
    <row r="1575">
      <c r="A1575" s="1">
        <f>IFERROR(__xludf.DUMMYFUNCTION("""COMPUTED_VALUE"""),1574.0)</f>
        <v>1574</v>
      </c>
      <c r="B1575" s="1">
        <f>IFERROR(__xludf.DUMMYFUNCTION("""COMPUTED_VALUE"""),6322.0)</f>
        <v>6322</v>
      </c>
      <c r="C1575" s="2" t="str">
        <f>IFERROR(__xludf.DUMMYFUNCTION("""COMPUTED_VALUE"""),"NR Jastip Bdj")</f>
        <v>NR Jastip Bdj</v>
      </c>
      <c r="D1575" s="2" t="str">
        <f>IFERROR(__xludf.DUMMYFUNCTION("""COMPUTED_VALUE"""),"5KM OVERALL F")</f>
        <v>5KM OVERALL F</v>
      </c>
      <c r="E1575" s="1">
        <f>IFERROR(__xludf.DUMMYFUNCTION("""COMPUTED_VALUE"""),2.0)</f>
        <v>2</v>
      </c>
      <c r="F1575" s="1" t="str">
        <f>IFERROR(__xludf.DUMMYFUNCTION("""COMPUTED_VALUE"""),"Female")</f>
        <v>Female</v>
      </c>
      <c r="G1575" s="4" t="b">
        <f>IFERROR(__xludf.DUMMYFUNCTION("""COMPUTED_VALUE"""),TRUE)</f>
        <v>1</v>
      </c>
      <c r="H1575" s="4" t="b">
        <f>IFERROR(__xludf.DUMMYFUNCTION("""COMPUTED_VALUE"""),TRUE)</f>
        <v>1</v>
      </c>
      <c r="I1575" s="4">
        <f>IFERROR(__xludf.DUMMYFUNCTION("""COMPUTED_VALUE"""),0.2549440625)</f>
        <v>0.2549440625</v>
      </c>
      <c r="J1575" s="4">
        <f>IFERROR(__xludf.DUMMYFUNCTION("""COMPUTED_VALUE"""),45949.2805405788)</f>
        <v>45949.28054</v>
      </c>
      <c r="K1575" s="4" t="str">
        <f>IFERROR(__xludf.DUMMYFUNCTION("""COMPUTED_VALUE"""),"")</f>
        <v/>
      </c>
      <c r="L1575" s="4">
        <f>IFERROR(__xludf.DUMMYFUNCTION("""COMPUTED_VALUE"""),45949.30005711239)</f>
        <v>45949.30006</v>
      </c>
      <c r="M1575" s="1" t="str">
        <f>IFERROR(__xludf.DUMMYFUNCTION("""COMPUTED_VALUE"""),"RFID")</f>
        <v>RFID</v>
      </c>
      <c r="N1575" s="5">
        <f>IFERROR(__xludf.DUMMYFUNCTION("""COMPUTED_VALUE"""),0.010238606481481482)</f>
        <v>0.01023860648</v>
      </c>
      <c r="O1575" s="5" t="str">
        <f>IFERROR(__xludf.DUMMYFUNCTION("""COMPUTED_VALUE"""),"")</f>
        <v/>
      </c>
      <c r="P1575" s="5" t="str">
        <f>IFERROR(__xludf.DUMMYFUNCTION("""COMPUTED_VALUE"""),"")</f>
        <v/>
      </c>
      <c r="Q1575" s="5">
        <f>IFERROR(__xludf.DUMMYFUNCTION("""COMPUTED_VALUE"""),0.009022611111111111)</f>
        <v>0.009022611111</v>
      </c>
      <c r="R1575" s="4">
        <f>IFERROR(__xludf.DUMMYFUNCTION("""COMPUTED_VALUE"""),45949.04511304989)</f>
        <v>45949.04511</v>
      </c>
      <c r="S1575" s="1" t="b">
        <f>IFERROR(__xludf.DUMMYFUNCTION("""COMPUTED_VALUE"""),TRUE)</f>
        <v>1</v>
      </c>
      <c r="T1575" s="1" t="b">
        <f>IFERROR(__xludf.DUMMYFUNCTION("""COMPUTED_VALUE"""),FALSE)</f>
        <v>0</v>
      </c>
      <c r="U1575" s="1" t="str">
        <f>IFERROR(__xludf.DUMMYFUNCTION("""COMPUTED_VALUE"""),"VALID")</f>
        <v>VALID</v>
      </c>
      <c r="V1575" s="1">
        <f>IFERROR(__xludf.DUMMYFUNCTION("""COMPUTED_VALUE"""),419.0)</f>
        <v>419</v>
      </c>
      <c r="W1575" s="1">
        <f>IFERROR(__xludf.DUMMYFUNCTION("""COMPUTED_VALUE"""),1452.0)</f>
        <v>1452</v>
      </c>
      <c r="X1575" s="1">
        <f>IFERROR(__xludf.DUMMYFUNCTION("""COMPUTED_VALUE"""),513.0)</f>
        <v>513</v>
      </c>
      <c r="Y1575" s="2"/>
      <c r="Z1575" s="2"/>
    </row>
    <row r="1576">
      <c r="A1576" s="1">
        <f>IFERROR(__xludf.DUMMYFUNCTION("""COMPUTED_VALUE"""),1575.0)</f>
        <v>1575</v>
      </c>
      <c r="B1576" s="1">
        <f>IFERROR(__xludf.DUMMYFUNCTION("""COMPUTED_VALUE"""),6324.0)</f>
        <v>6324</v>
      </c>
      <c r="C1576" s="2" t="str">
        <f>IFERROR(__xludf.DUMMYFUNCTION("""COMPUTED_VALUE"""),"Dini Aulia Rahmawati")</f>
        <v>Dini Aulia Rahmawati</v>
      </c>
      <c r="D1576" s="2" t="str">
        <f>IFERROR(__xludf.DUMMYFUNCTION("""COMPUTED_VALUE"""),"5KM OVERALL F")</f>
        <v>5KM OVERALL F</v>
      </c>
      <c r="E1576" s="1">
        <f>IFERROR(__xludf.DUMMYFUNCTION("""COMPUTED_VALUE"""),2.0)</f>
        <v>2</v>
      </c>
      <c r="F1576" s="1" t="str">
        <f>IFERROR(__xludf.DUMMYFUNCTION("""COMPUTED_VALUE"""),"Female")</f>
        <v>Female</v>
      </c>
      <c r="G1576" s="4" t="b">
        <f>IFERROR(__xludf.DUMMYFUNCTION("""COMPUTED_VALUE"""),TRUE)</f>
        <v>1</v>
      </c>
      <c r="H1576" s="4" t="b">
        <f>IFERROR(__xludf.DUMMYFUNCTION("""COMPUTED_VALUE"""),TRUE)</f>
        <v>1</v>
      </c>
      <c r="I1576" s="4">
        <f>IFERROR(__xludf.DUMMYFUNCTION("""COMPUTED_VALUE"""),0.2549440625)</f>
        <v>0.2549440625</v>
      </c>
      <c r="J1576" s="4">
        <f>IFERROR(__xludf.DUMMYFUNCTION("""COMPUTED_VALUE"""),45949.28329103249)</f>
        <v>45949.28329</v>
      </c>
      <c r="K1576" s="4" t="str">
        <f>IFERROR(__xludf.DUMMYFUNCTION("""COMPUTED_VALUE"""),"")</f>
        <v/>
      </c>
      <c r="L1576" s="4">
        <f>IFERROR(__xludf.DUMMYFUNCTION("""COMPUTED_VALUE"""),45949.30480364492)</f>
        <v>45949.3048</v>
      </c>
      <c r="M1576" s="1" t="str">
        <f>IFERROR(__xludf.DUMMYFUNCTION("""COMPUTED_VALUE"""),"RFID")</f>
        <v>RFID</v>
      </c>
      <c r="N1576" s="5">
        <f>IFERROR(__xludf.DUMMYFUNCTION("""COMPUTED_VALUE"""),0.011338787037037036)</f>
        <v>0.01133878704</v>
      </c>
      <c r="O1576" s="5" t="str">
        <f>IFERROR(__xludf.DUMMYFUNCTION("""COMPUTED_VALUE"""),"")</f>
        <v/>
      </c>
      <c r="P1576" s="5" t="str">
        <f>IFERROR(__xludf.DUMMYFUNCTION("""COMPUTED_VALUE"""),"")</f>
        <v/>
      </c>
      <c r="Q1576" s="5">
        <f>IFERROR(__xludf.DUMMYFUNCTION("""COMPUTED_VALUE"""),0.009971916666666667)</f>
        <v>0.009971916667</v>
      </c>
      <c r="R1576" s="4">
        <f>IFERROR(__xludf.DUMMYFUNCTION("""COMPUTED_VALUE"""),45949.04985958242)</f>
        <v>45949.04986</v>
      </c>
      <c r="S1576" s="1" t="b">
        <f>IFERROR(__xludf.DUMMYFUNCTION("""COMPUTED_VALUE"""),TRUE)</f>
        <v>1</v>
      </c>
      <c r="T1576" s="1" t="b">
        <f>IFERROR(__xludf.DUMMYFUNCTION("""COMPUTED_VALUE"""),FALSE)</f>
        <v>0</v>
      </c>
      <c r="U1576" s="1" t="str">
        <f>IFERROR(__xludf.DUMMYFUNCTION("""COMPUTED_VALUE"""),"VALID")</f>
        <v>VALID</v>
      </c>
      <c r="V1576" s="1">
        <f>IFERROR(__xludf.DUMMYFUNCTION("""COMPUTED_VALUE"""),485.0)</f>
        <v>485</v>
      </c>
      <c r="W1576" s="1">
        <f>IFERROR(__xludf.DUMMYFUNCTION("""COMPUTED_VALUE"""),1570.0)</f>
        <v>1570</v>
      </c>
      <c r="X1576" s="1">
        <f>IFERROR(__xludf.DUMMYFUNCTION("""COMPUTED_VALUE"""),594.0)</f>
        <v>594</v>
      </c>
      <c r="Y1576" s="2"/>
      <c r="Z1576" s="2"/>
    </row>
    <row r="1577">
      <c r="A1577" s="1">
        <f>IFERROR(__xludf.DUMMYFUNCTION("""COMPUTED_VALUE"""),1576.0)</f>
        <v>1576</v>
      </c>
      <c r="B1577" s="1">
        <f>IFERROR(__xludf.DUMMYFUNCTION("""COMPUTED_VALUE"""),6327.0)</f>
        <v>6327</v>
      </c>
      <c r="C1577" s="2" t="str">
        <f>IFERROR(__xludf.DUMMYFUNCTION("""COMPUTED_VALUE"""),"Mbak Irfa")</f>
        <v>Mbak Irfa</v>
      </c>
      <c r="D1577" s="2" t="str">
        <f>IFERROR(__xludf.DUMMYFUNCTION("""COMPUTED_VALUE"""),"5KM OVERALL F")</f>
        <v>5KM OVERALL F</v>
      </c>
      <c r="E1577" s="1">
        <f>IFERROR(__xludf.DUMMYFUNCTION("""COMPUTED_VALUE"""),2.0)</f>
        <v>2</v>
      </c>
      <c r="F1577" s="1" t="str">
        <f>IFERROR(__xludf.DUMMYFUNCTION("""COMPUTED_VALUE"""),"Female")</f>
        <v>Female</v>
      </c>
      <c r="G1577" s="4" t="b">
        <f>IFERROR(__xludf.DUMMYFUNCTION("""COMPUTED_VALUE"""),TRUE)</f>
        <v>1</v>
      </c>
      <c r="H1577" s="4" t="b">
        <f>IFERROR(__xludf.DUMMYFUNCTION("""COMPUTED_VALUE"""),TRUE)</f>
        <v>1</v>
      </c>
      <c r="I1577" s="4">
        <f>IFERROR(__xludf.DUMMYFUNCTION("""COMPUTED_VALUE"""),0.2549440625)</f>
        <v>0.2549440625</v>
      </c>
      <c r="J1577" s="4">
        <f>IFERROR(__xludf.DUMMYFUNCTION("""COMPUTED_VALUE"""),45949.27936698929)</f>
        <v>45949.27937</v>
      </c>
      <c r="K1577" s="4" t="str">
        <f>IFERROR(__xludf.DUMMYFUNCTION("""COMPUTED_VALUE"""),"")</f>
        <v/>
      </c>
      <c r="L1577" s="4">
        <f>IFERROR(__xludf.DUMMYFUNCTION("""COMPUTED_VALUE"""),45949.29773073916)</f>
        <v>45949.29773</v>
      </c>
      <c r="M1577" s="1" t="str">
        <f>IFERROR(__xludf.DUMMYFUNCTION("""COMPUTED_VALUE"""),"RFID")</f>
        <v>RFID</v>
      </c>
      <c r="N1577" s="5">
        <f>IFERROR(__xludf.DUMMYFUNCTION("""COMPUTED_VALUE"""),0.009769171296296297)</f>
        <v>0.009769171296</v>
      </c>
      <c r="O1577" s="5" t="str">
        <f>IFERROR(__xludf.DUMMYFUNCTION("""COMPUTED_VALUE"""),"")</f>
        <v/>
      </c>
      <c r="P1577" s="5" t="str">
        <f>IFERROR(__xludf.DUMMYFUNCTION("""COMPUTED_VALUE"""),"")</f>
        <v/>
      </c>
      <c r="Q1577" s="5">
        <f>IFERROR(__xludf.DUMMYFUNCTION("""COMPUTED_VALUE"""),0.008557335648148149)</f>
        <v>0.008557335648</v>
      </c>
      <c r="R1577" s="4">
        <f>IFERROR(__xludf.DUMMYFUNCTION("""COMPUTED_VALUE"""),45949.04278667666)</f>
        <v>45949.04279</v>
      </c>
      <c r="S1577" s="1" t="b">
        <f>IFERROR(__xludf.DUMMYFUNCTION("""COMPUTED_VALUE"""),TRUE)</f>
        <v>1</v>
      </c>
      <c r="T1577" s="1" t="b">
        <f>IFERROR(__xludf.DUMMYFUNCTION("""COMPUTED_VALUE"""),FALSE)</f>
        <v>0</v>
      </c>
      <c r="U1577" s="1" t="str">
        <f>IFERROR(__xludf.DUMMYFUNCTION("""COMPUTED_VALUE"""),"VALID")</f>
        <v>VALID</v>
      </c>
      <c r="V1577" s="1">
        <f>IFERROR(__xludf.DUMMYFUNCTION("""COMPUTED_VALUE"""),372.0)</f>
        <v>372</v>
      </c>
      <c r="W1577" s="1">
        <f>IFERROR(__xludf.DUMMYFUNCTION("""COMPUTED_VALUE"""),1355.0)</f>
        <v>1355</v>
      </c>
      <c r="X1577" s="1">
        <f>IFERROR(__xludf.DUMMYFUNCTION("""COMPUTED_VALUE"""),451.0)</f>
        <v>451</v>
      </c>
      <c r="Y1577" s="2"/>
      <c r="Z1577" s="2"/>
    </row>
    <row r="1578">
      <c r="A1578" s="1">
        <f>IFERROR(__xludf.DUMMYFUNCTION("""COMPUTED_VALUE"""),1577.0)</f>
        <v>1577</v>
      </c>
      <c r="B1578" s="1">
        <f>IFERROR(__xludf.DUMMYFUNCTION("""COMPUTED_VALUE"""),6328.0)</f>
        <v>6328</v>
      </c>
      <c r="C1578" s="2" t="str">
        <f>IFERROR(__xludf.DUMMYFUNCTION("""COMPUTED_VALUE"""),"Aisha Fitria")</f>
        <v>Aisha Fitria</v>
      </c>
      <c r="D1578" s="2" t="str">
        <f>IFERROR(__xludf.DUMMYFUNCTION("""COMPUTED_VALUE"""),"5KM OVERALL F")</f>
        <v>5KM OVERALL F</v>
      </c>
      <c r="E1578" s="1">
        <f>IFERROR(__xludf.DUMMYFUNCTION("""COMPUTED_VALUE"""),2.0)</f>
        <v>2</v>
      </c>
      <c r="F1578" s="1" t="str">
        <f>IFERROR(__xludf.DUMMYFUNCTION("""COMPUTED_VALUE"""),"Female")</f>
        <v>Female</v>
      </c>
      <c r="G1578" s="4" t="b">
        <f>IFERROR(__xludf.DUMMYFUNCTION("""COMPUTED_VALUE"""),TRUE)</f>
        <v>1</v>
      </c>
      <c r="H1578" s="4" t="b">
        <f>IFERROR(__xludf.DUMMYFUNCTION("""COMPUTED_VALUE"""),TRUE)</f>
        <v>1</v>
      </c>
      <c r="I1578" s="4">
        <f>IFERROR(__xludf.DUMMYFUNCTION("""COMPUTED_VALUE"""),0.2549440625)</f>
        <v>0.2549440625</v>
      </c>
      <c r="J1578" s="4">
        <f>IFERROR(__xludf.DUMMYFUNCTION("""COMPUTED_VALUE"""),45949.28150932537)</f>
        <v>45949.28151</v>
      </c>
      <c r="K1578" s="4" t="str">
        <f>IFERROR(__xludf.DUMMYFUNCTION("""COMPUTED_VALUE"""),"")</f>
        <v/>
      </c>
      <c r="L1578" s="4">
        <f>IFERROR(__xludf.DUMMYFUNCTION("""COMPUTED_VALUE"""),45949.30060919753)</f>
        <v>45949.30061</v>
      </c>
      <c r="M1578" s="1" t="str">
        <f>IFERROR(__xludf.DUMMYFUNCTION("""COMPUTED_VALUE"""),"RFID")</f>
        <v>RFID</v>
      </c>
      <c r="N1578" s="5">
        <f>IFERROR(__xludf.DUMMYFUNCTION("""COMPUTED_VALUE"""),0.010626106481481481)</f>
        <v>0.01062610648</v>
      </c>
      <c r="O1578" s="5" t="str">
        <f>IFERROR(__xludf.DUMMYFUNCTION("""COMPUTED_VALUE"""),"")</f>
        <v/>
      </c>
      <c r="P1578" s="5" t="str">
        <f>IFERROR(__xludf.DUMMYFUNCTION("""COMPUTED_VALUE"""),"")</f>
        <v/>
      </c>
      <c r="Q1578" s="5">
        <f>IFERROR(__xludf.DUMMYFUNCTION("""COMPUTED_VALUE"""),0.009133027777777778)</f>
        <v>0.009133027778</v>
      </c>
      <c r="R1578" s="4">
        <f>IFERROR(__xludf.DUMMYFUNCTION("""COMPUTED_VALUE"""),45949.04566513503)</f>
        <v>45949.04567</v>
      </c>
      <c r="S1578" s="1" t="b">
        <f>IFERROR(__xludf.DUMMYFUNCTION("""COMPUTED_VALUE"""),TRUE)</f>
        <v>1</v>
      </c>
      <c r="T1578" s="1" t="b">
        <f>IFERROR(__xludf.DUMMYFUNCTION("""COMPUTED_VALUE"""),FALSE)</f>
        <v>0</v>
      </c>
      <c r="U1578" s="1" t="str">
        <f>IFERROR(__xludf.DUMMYFUNCTION("""COMPUTED_VALUE"""),"VALID")</f>
        <v>VALID</v>
      </c>
      <c r="V1578" s="1">
        <f>IFERROR(__xludf.DUMMYFUNCTION("""COMPUTED_VALUE"""),433.0)</f>
        <v>433</v>
      </c>
      <c r="W1578" s="1">
        <f>IFERROR(__xludf.DUMMYFUNCTION("""COMPUTED_VALUE"""),1474.0)</f>
        <v>1474</v>
      </c>
      <c r="X1578" s="1">
        <f>IFERROR(__xludf.DUMMYFUNCTION("""COMPUTED_VALUE"""),528.0)</f>
        <v>528</v>
      </c>
      <c r="Y1578" s="2"/>
      <c r="Z1578" s="2"/>
    </row>
    <row r="1579">
      <c r="A1579" s="1">
        <f>IFERROR(__xludf.DUMMYFUNCTION("""COMPUTED_VALUE"""),1578.0)</f>
        <v>1578</v>
      </c>
      <c r="B1579" s="1">
        <f>IFERROR(__xludf.DUMMYFUNCTION("""COMPUTED_VALUE"""),6329.0)</f>
        <v>6329</v>
      </c>
      <c r="C1579" s="2" t="str">
        <f>IFERROR(__xludf.DUMMYFUNCTION("""COMPUTED_VALUE"""),"AnisaF")</f>
        <v>AnisaF</v>
      </c>
      <c r="D1579" s="2" t="str">
        <f>IFERROR(__xludf.DUMMYFUNCTION("""COMPUTED_VALUE"""),"5KM OVERALL F")</f>
        <v>5KM OVERALL F</v>
      </c>
      <c r="E1579" s="1">
        <f>IFERROR(__xludf.DUMMYFUNCTION("""COMPUTED_VALUE"""),2.0)</f>
        <v>2</v>
      </c>
      <c r="F1579" s="1" t="str">
        <f>IFERROR(__xludf.DUMMYFUNCTION("""COMPUTED_VALUE"""),"Female")</f>
        <v>Female</v>
      </c>
      <c r="G1579" s="4" t="b">
        <f>IFERROR(__xludf.DUMMYFUNCTION("""COMPUTED_VALUE"""),TRUE)</f>
        <v>1</v>
      </c>
      <c r="H1579" s="4" t="b">
        <f>IFERROR(__xludf.DUMMYFUNCTION("""COMPUTED_VALUE"""),TRUE)</f>
        <v>1</v>
      </c>
      <c r="I1579" s="4">
        <f>IFERROR(__xludf.DUMMYFUNCTION("""COMPUTED_VALUE"""),0.2549440625)</f>
        <v>0.2549440625</v>
      </c>
      <c r="J1579" s="4">
        <f>IFERROR(__xludf.DUMMYFUNCTION("""COMPUTED_VALUE"""),45949.27183223928)</f>
        <v>45949.27183</v>
      </c>
      <c r="K1579" s="4" t="str">
        <f>IFERROR(__xludf.DUMMYFUNCTION("""COMPUTED_VALUE"""),"")</f>
        <v/>
      </c>
      <c r="L1579" s="4">
        <f>IFERROR(__xludf.DUMMYFUNCTION("""COMPUTED_VALUE"""),45949.28582450339)</f>
        <v>45949.28582</v>
      </c>
      <c r="M1579" s="1" t="str">
        <f>IFERROR(__xludf.DUMMYFUNCTION("""COMPUTED_VALUE"""),"RFID")</f>
        <v>RFID</v>
      </c>
      <c r="N1579" s="5">
        <f>IFERROR(__xludf.DUMMYFUNCTION("""COMPUTED_VALUE"""),0.006755268518518519)</f>
        <v>0.006755268519</v>
      </c>
      <c r="O1579" s="5" t="str">
        <f>IFERROR(__xludf.DUMMYFUNCTION("""COMPUTED_VALUE"""),"")</f>
        <v/>
      </c>
      <c r="P1579" s="5" t="str">
        <f>IFERROR(__xludf.DUMMYFUNCTION("""COMPUTED_VALUE"""),"")</f>
        <v/>
      </c>
      <c r="Q1579" s="5">
        <f>IFERROR(__xludf.DUMMYFUNCTION("""COMPUTED_VALUE"""),0.006176087962962963)</f>
        <v>0.006176087963</v>
      </c>
      <c r="R1579" s="4">
        <f>IFERROR(__xludf.DUMMYFUNCTION("""COMPUTED_VALUE"""),45949.03088044089)</f>
        <v>45949.03088</v>
      </c>
      <c r="S1579" s="1" t="b">
        <f>IFERROR(__xludf.DUMMYFUNCTION("""COMPUTED_VALUE"""),TRUE)</f>
        <v>1</v>
      </c>
      <c r="T1579" s="1" t="b">
        <f>IFERROR(__xludf.DUMMYFUNCTION("""COMPUTED_VALUE"""),FALSE)</f>
        <v>0</v>
      </c>
      <c r="U1579" s="1" t="str">
        <f>IFERROR(__xludf.DUMMYFUNCTION("""COMPUTED_VALUE"""),"VALID")</f>
        <v>VALID</v>
      </c>
      <c r="V1579" s="1">
        <f>IFERROR(__xludf.DUMMYFUNCTION("""COMPUTED_VALUE"""),90.0)</f>
        <v>90</v>
      </c>
      <c r="W1579" s="1">
        <f>IFERROR(__xludf.DUMMYFUNCTION("""COMPUTED_VALUE"""),627.0)</f>
        <v>627</v>
      </c>
      <c r="X1579" s="1">
        <f>IFERROR(__xludf.DUMMYFUNCTION("""COMPUTED_VALUE"""),115.0)</f>
        <v>115</v>
      </c>
      <c r="Y1579" s="2"/>
      <c r="Z1579" s="2"/>
    </row>
    <row r="1580">
      <c r="A1580" s="1">
        <f>IFERROR(__xludf.DUMMYFUNCTION("""COMPUTED_VALUE"""),1579.0)</f>
        <v>1579</v>
      </c>
      <c r="B1580" s="1">
        <f>IFERROR(__xludf.DUMMYFUNCTION("""COMPUTED_VALUE"""),6331.0)</f>
        <v>6331</v>
      </c>
      <c r="C1580" s="2" t="str">
        <f>IFERROR(__xludf.DUMMYFUNCTION("""COMPUTED_VALUE"""),"Intan")</f>
        <v>Intan</v>
      </c>
      <c r="D1580" s="2" t="str">
        <f>IFERROR(__xludf.DUMMYFUNCTION("""COMPUTED_VALUE"""),"5KM OVERALL F")</f>
        <v>5KM OVERALL F</v>
      </c>
      <c r="E1580" s="1">
        <f>IFERROR(__xludf.DUMMYFUNCTION("""COMPUTED_VALUE"""),2.0)</f>
        <v>2</v>
      </c>
      <c r="F1580" s="1" t="str">
        <f>IFERROR(__xludf.DUMMYFUNCTION("""COMPUTED_VALUE"""),"Female")</f>
        <v>Female</v>
      </c>
      <c r="G1580" s="4" t="b">
        <f>IFERROR(__xludf.DUMMYFUNCTION("""COMPUTED_VALUE"""),TRUE)</f>
        <v>1</v>
      </c>
      <c r="H1580" s="4" t="b">
        <f>IFERROR(__xludf.DUMMYFUNCTION("""COMPUTED_VALUE"""),FALSE)</f>
        <v>0</v>
      </c>
      <c r="I1580" s="4">
        <f>IFERROR(__xludf.DUMMYFUNCTION("""COMPUTED_VALUE"""),0.2549440625)</f>
        <v>0.2549440625</v>
      </c>
      <c r="J1580" s="4">
        <f>IFERROR(__xludf.DUMMYFUNCTION("""COMPUTED_VALUE"""),45949.28133230213)</f>
        <v>45949.28133</v>
      </c>
      <c r="K1580" s="4" t="str">
        <f>IFERROR(__xludf.DUMMYFUNCTION("""COMPUTED_VALUE"""),"")</f>
        <v/>
      </c>
      <c r="L1580" s="4">
        <f>IFERROR(__xludf.DUMMYFUNCTION("""COMPUTED_VALUE"""),45949.30041129347)</f>
        <v>45949.30041</v>
      </c>
      <c r="M1580" s="1" t="str">
        <f>IFERROR(__xludf.DUMMYFUNCTION("""COMPUTED_VALUE"""),"RFID")</f>
        <v>RFID</v>
      </c>
      <c r="N1580" s="5">
        <f>IFERROR(__xludf.DUMMYFUNCTION("""COMPUTED_VALUE"""),0.010555296296296295)</f>
        <v>0.0105552963</v>
      </c>
      <c r="O1580" s="5" t="str">
        <f>IFERROR(__xludf.DUMMYFUNCTION("""COMPUTED_VALUE"""),"")</f>
        <v/>
      </c>
      <c r="P1580" s="5" t="str">
        <f>IFERROR(__xludf.DUMMYFUNCTION("""COMPUTED_VALUE"""),"")</f>
        <v/>
      </c>
      <c r="Q1580" s="5">
        <f>IFERROR(__xludf.DUMMYFUNCTION("""COMPUTED_VALUE"""),0.00909344675925926)</f>
        <v>0.009093446759</v>
      </c>
      <c r="R1580" s="4">
        <f>IFERROR(__xludf.DUMMYFUNCTION("""COMPUTED_VALUE"""),45949.04546723097)</f>
        <v>45949.04547</v>
      </c>
      <c r="S1580" s="1" t="b">
        <f>IFERROR(__xludf.DUMMYFUNCTION("""COMPUTED_VALUE"""),TRUE)</f>
        <v>1</v>
      </c>
      <c r="T1580" s="1" t="b">
        <f>IFERROR(__xludf.DUMMYFUNCTION("""COMPUTED_VALUE"""),FALSE)</f>
        <v>0</v>
      </c>
      <c r="U1580" s="1" t="str">
        <f>IFERROR(__xludf.DUMMYFUNCTION("""COMPUTED_VALUE"""),"VALID")</f>
        <v>VALID</v>
      </c>
      <c r="V1580" s="1">
        <f>IFERROR(__xludf.DUMMYFUNCTION("""COMPUTED_VALUE"""),428.0)</f>
        <v>428</v>
      </c>
      <c r="W1580" s="1">
        <f>IFERROR(__xludf.DUMMYFUNCTION("""COMPUTED_VALUE"""),1464.0)</f>
        <v>1464</v>
      </c>
      <c r="X1580" s="1">
        <f>IFERROR(__xludf.DUMMYFUNCTION("""COMPUTED_VALUE"""),523.0)</f>
        <v>523</v>
      </c>
      <c r="Y1580" s="2"/>
      <c r="Z1580" s="2"/>
    </row>
    <row r="1581">
      <c r="A1581" s="1">
        <f>IFERROR(__xludf.DUMMYFUNCTION("""COMPUTED_VALUE"""),1580.0)</f>
        <v>1580</v>
      </c>
      <c r="B1581" s="1">
        <f>IFERROR(__xludf.DUMMYFUNCTION("""COMPUTED_VALUE"""),6333.0)</f>
        <v>6333</v>
      </c>
      <c r="C1581" s="2" t="str">
        <f>IFERROR(__xludf.DUMMYFUNCTION("""COMPUTED_VALUE"""),"Kakaknya Zola")</f>
        <v>Kakaknya Zola</v>
      </c>
      <c r="D1581" s="2" t="str">
        <f>IFERROR(__xludf.DUMMYFUNCTION("""COMPUTED_VALUE"""),"5KM OVERALL F")</f>
        <v>5KM OVERALL F</v>
      </c>
      <c r="E1581" s="1">
        <f>IFERROR(__xludf.DUMMYFUNCTION("""COMPUTED_VALUE"""),2.0)</f>
        <v>2</v>
      </c>
      <c r="F1581" s="1" t="str">
        <f>IFERROR(__xludf.DUMMYFUNCTION("""COMPUTED_VALUE"""),"Female")</f>
        <v>Female</v>
      </c>
      <c r="G1581" s="4" t="b">
        <f>IFERROR(__xludf.DUMMYFUNCTION("""COMPUTED_VALUE"""),TRUE)</f>
        <v>1</v>
      </c>
      <c r="H1581" s="4" t="b">
        <f>IFERROR(__xludf.DUMMYFUNCTION("""COMPUTED_VALUE"""),TRUE)</f>
        <v>1</v>
      </c>
      <c r="I1581" s="4">
        <f>IFERROR(__xludf.DUMMYFUNCTION("""COMPUTED_VALUE"""),0.2549440625)</f>
        <v>0.2549440625</v>
      </c>
      <c r="J1581" s="4">
        <f>IFERROR(__xludf.DUMMYFUNCTION("""COMPUTED_VALUE"""),45949.27441567265)</f>
        <v>45949.27442</v>
      </c>
      <c r="K1581" s="4" t="str">
        <f>IFERROR(__xludf.DUMMYFUNCTION("""COMPUTED_VALUE"""),"")</f>
        <v/>
      </c>
      <c r="L1581" s="4">
        <f>IFERROR(__xludf.DUMMYFUNCTION("""COMPUTED_VALUE"""),45949.28734224476)</f>
        <v>45949.28734</v>
      </c>
      <c r="M1581" s="1" t="str">
        <f>IFERROR(__xludf.DUMMYFUNCTION("""COMPUTED_VALUE"""),"RFID")</f>
        <v>RFID</v>
      </c>
      <c r="N1581" s="5">
        <f>IFERROR(__xludf.DUMMYFUNCTION("""COMPUTED_VALUE"""),0.007788643518518519)</f>
        <v>0.007788643519</v>
      </c>
      <c r="O1581" s="5" t="str">
        <f>IFERROR(__xludf.DUMMYFUNCTION("""COMPUTED_VALUE"""),"")</f>
        <v/>
      </c>
      <c r="P1581" s="5" t="str">
        <f>IFERROR(__xludf.DUMMYFUNCTION("""COMPUTED_VALUE"""),"")</f>
        <v/>
      </c>
      <c r="Q1581" s="5">
        <f>IFERROR(__xludf.DUMMYFUNCTION("""COMPUTED_VALUE"""),0.006479636574074074)</f>
        <v>0.006479636574</v>
      </c>
      <c r="R1581" s="4">
        <f>IFERROR(__xludf.DUMMYFUNCTION("""COMPUTED_VALUE"""),45949.03239818226)</f>
        <v>45949.0324</v>
      </c>
      <c r="S1581" s="1" t="b">
        <f>IFERROR(__xludf.DUMMYFUNCTION("""COMPUTED_VALUE"""),TRUE)</f>
        <v>1</v>
      </c>
      <c r="T1581" s="1" t="b">
        <f>IFERROR(__xludf.DUMMYFUNCTION("""COMPUTED_VALUE"""),FALSE)</f>
        <v>0</v>
      </c>
      <c r="U1581" s="1" t="str">
        <f>IFERROR(__xludf.DUMMYFUNCTION("""COMPUTED_VALUE"""),"VALID")</f>
        <v>VALID</v>
      </c>
      <c r="V1581" s="1">
        <f>IFERROR(__xludf.DUMMYFUNCTION("""COMPUTED_VALUE"""),111.0)</f>
        <v>111</v>
      </c>
      <c r="W1581" s="1">
        <f>IFERROR(__xludf.DUMMYFUNCTION("""COMPUTED_VALUE"""),724.0)</f>
        <v>724</v>
      </c>
      <c r="X1581" s="1">
        <f>IFERROR(__xludf.DUMMYFUNCTION("""COMPUTED_VALUE"""),140.0)</f>
        <v>140</v>
      </c>
      <c r="Y1581" s="2"/>
      <c r="Z1581" s="2"/>
    </row>
    <row r="1582">
      <c r="A1582" s="1">
        <f>IFERROR(__xludf.DUMMYFUNCTION("""COMPUTED_VALUE"""),1581.0)</f>
        <v>1581</v>
      </c>
      <c r="B1582" s="1">
        <f>IFERROR(__xludf.DUMMYFUNCTION("""COMPUTED_VALUE"""),6334.0)</f>
        <v>6334</v>
      </c>
      <c r="C1582" s="2" t="str">
        <f>IFERROR(__xludf.DUMMYFUNCTION("""COMPUTED_VALUE"""),"Aida")</f>
        <v>Aida</v>
      </c>
      <c r="D1582" s="2" t="str">
        <f>IFERROR(__xludf.DUMMYFUNCTION("""COMPUTED_VALUE"""),"5KM OVERALL F")</f>
        <v>5KM OVERALL F</v>
      </c>
      <c r="E1582" s="1">
        <f>IFERROR(__xludf.DUMMYFUNCTION("""COMPUTED_VALUE"""),2.0)</f>
        <v>2</v>
      </c>
      <c r="F1582" s="1" t="str">
        <f>IFERROR(__xludf.DUMMYFUNCTION("""COMPUTED_VALUE"""),"Female")</f>
        <v>Female</v>
      </c>
      <c r="G1582" s="4" t="b">
        <f>IFERROR(__xludf.DUMMYFUNCTION("""COMPUTED_VALUE"""),TRUE)</f>
        <v>1</v>
      </c>
      <c r="H1582" s="4" t="b">
        <f>IFERROR(__xludf.DUMMYFUNCTION("""COMPUTED_VALUE"""),TRUE)</f>
        <v>1</v>
      </c>
      <c r="I1582" s="4">
        <f>IFERROR(__xludf.DUMMYFUNCTION("""COMPUTED_VALUE"""),0.2549440625)</f>
        <v>0.2549440625</v>
      </c>
      <c r="J1582" s="4">
        <f>IFERROR(__xludf.DUMMYFUNCTION("""COMPUTED_VALUE"""),45949.27983224066)</f>
        <v>45949.27983</v>
      </c>
      <c r="K1582" s="4" t="str">
        <f>IFERROR(__xludf.DUMMYFUNCTION("""COMPUTED_VALUE"""),"")</f>
        <v/>
      </c>
      <c r="L1582" s="4">
        <f>IFERROR(__xludf.DUMMYFUNCTION("""COMPUTED_VALUE"""),45949.29881405799)</f>
        <v>45949.29881</v>
      </c>
      <c r="M1582" s="1" t="str">
        <f>IFERROR(__xludf.DUMMYFUNCTION("""COMPUTED_VALUE"""),"RFID")</f>
        <v>RFID</v>
      </c>
      <c r="N1582" s="5">
        <f>IFERROR(__xludf.DUMMYFUNCTION("""COMPUTED_VALUE"""),0.009955273148148149)</f>
        <v>0.009955273148</v>
      </c>
      <c r="O1582" s="5" t="str">
        <f>IFERROR(__xludf.DUMMYFUNCTION("""COMPUTED_VALUE"""),"")</f>
        <v/>
      </c>
      <c r="P1582" s="5" t="str">
        <f>IFERROR(__xludf.DUMMYFUNCTION("""COMPUTED_VALUE"""),"")</f>
        <v/>
      </c>
      <c r="Q1582" s="5">
        <f>IFERROR(__xludf.DUMMYFUNCTION("""COMPUTED_VALUE"""),0.008774)</f>
        <v>0.008774</v>
      </c>
      <c r="R1582" s="4">
        <f>IFERROR(__xludf.DUMMYFUNCTION("""COMPUTED_VALUE"""),45949.04386999549)</f>
        <v>45949.04387</v>
      </c>
      <c r="S1582" s="1" t="b">
        <f>IFERROR(__xludf.DUMMYFUNCTION("""COMPUTED_VALUE"""),TRUE)</f>
        <v>1</v>
      </c>
      <c r="T1582" s="1" t="b">
        <f>IFERROR(__xludf.DUMMYFUNCTION("""COMPUTED_VALUE"""),FALSE)</f>
        <v>0</v>
      </c>
      <c r="U1582" s="1" t="str">
        <f>IFERROR(__xludf.DUMMYFUNCTION("""COMPUTED_VALUE"""),"VALID")</f>
        <v>VALID</v>
      </c>
      <c r="V1582" s="1">
        <f>IFERROR(__xludf.DUMMYFUNCTION("""COMPUTED_VALUE"""),396.0)</f>
        <v>396</v>
      </c>
      <c r="W1582" s="1">
        <f>IFERROR(__xludf.DUMMYFUNCTION("""COMPUTED_VALUE"""),1401.0)</f>
        <v>1401</v>
      </c>
      <c r="X1582" s="1">
        <f>IFERROR(__xludf.DUMMYFUNCTION("""COMPUTED_VALUE"""),480.0)</f>
        <v>480</v>
      </c>
      <c r="Y1582" s="2"/>
      <c r="Z1582" s="2"/>
    </row>
    <row r="1583">
      <c r="A1583" s="1">
        <f>IFERROR(__xludf.DUMMYFUNCTION("""COMPUTED_VALUE"""),1582.0)</f>
        <v>1582</v>
      </c>
      <c r="B1583" s="1">
        <f>IFERROR(__xludf.DUMMYFUNCTION("""COMPUTED_VALUE"""),6336.0)</f>
        <v>6336</v>
      </c>
      <c r="C1583" s="2" t="str">
        <f>IFERROR(__xludf.DUMMYFUNCTION("""COMPUTED_VALUE"""),"Saleha")</f>
        <v>Saleha</v>
      </c>
      <c r="D1583" s="2" t="str">
        <f>IFERROR(__xludf.DUMMYFUNCTION("""COMPUTED_VALUE"""),"5KM OVERALL F")</f>
        <v>5KM OVERALL F</v>
      </c>
      <c r="E1583" s="1">
        <f>IFERROR(__xludf.DUMMYFUNCTION("""COMPUTED_VALUE"""),2.0)</f>
        <v>2</v>
      </c>
      <c r="F1583" s="1" t="str">
        <f>IFERROR(__xludf.DUMMYFUNCTION("""COMPUTED_VALUE"""),"Female")</f>
        <v>Female</v>
      </c>
      <c r="G1583" s="4" t="b">
        <f>IFERROR(__xludf.DUMMYFUNCTION("""COMPUTED_VALUE"""),TRUE)</f>
        <v>1</v>
      </c>
      <c r="H1583" s="4" t="b">
        <f>IFERROR(__xludf.DUMMYFUNCTION("""COMPUTED_VALUE"""),TRUE)</f>
        <v>1</v>
      </c>
      <c r="I1583" s="4">
        <f>IFERROR(__xludf.DUMMYFUNCTION("""COMPUTED_VALUE"""),0.2549440625)</f>
        <v>0.2549440625</v>
      </c>
      <c r="J1583" s="4">
        <f>IFERROR(__xludf.DUMMYFUNCTION("""COMPUTED_VALUE"""),45949.28776030547)</f>
        <v>45949.28776</v>
      </c>
      <c r="K1583" s="4" t="str">
        <f>IFERROR(__xludf.DUMMYFUNCTION("""COMPUTED_VALUE"""),"")</f>
        <v/>
      </c>
      <c r="L1583" s="4">
        <f>IFERROR(__xludf.DUMMYFUNCTION("""COMPUTED_VALUE"""),45949.30872378466)</f>
        <v>45949.30872</v>
      </c>
      <c r="M1583" s="1" t="str">
        <f>IFERROR(__xludf.DUMMYFUNCTION("""COMPUTED_VALUE"""),"RFID")</f>
        <v>RFID</v>
      </c>
      <c r="N1583" s="5">
        <f>IFERROR(__xludf.DUMMYFUNCTION("""COMPUTED_VALUE"""),0.01312649537037037)</f>
        <v>0.01312649537</v>
      </c>
      <c r="O1583" s="5" t="str">
        <f>IFERROR(__xludf.DUMMYFUNCTION("""COMPUTED_VALUE"""),"")</f>
        <v/>
      </c>
      <c r="P1583" s="5" t="str">
        <f>IFERROR(__xludf.DUMMYFUNCTION("""COMPUTED_VALUE"""),"")</f>
        <v/>
      </c>
      <c r="Q1583" s="5">
        <f>IFERROR(__xludf.DUMMYFUNCTION("""COMPUTED_VALUE"""),0.010755944444444445)</f>
        <v>0.01075594444</v>
      </c>
      <c r="R1583" s="4">
        <f>IFERROR(__xludf.DUMMYFUNCTION("""COMPUTED_VALUE"""),45949.05377972216)</f>
        <v>45949.05378</v>
      </c>
      <c r="S1583" s="1" t="b">
        <f>IFERROR(__xludf.DUMMYFUNCTION("""COMPUTED_VALUE"""),TRUE)</f>
        <v>1</v>
      </c>
      <c r="T1583" s="1" t="b">
        <f>IFERROR(__xludf.DUMMYFUNCTION("""COMPUTED_VALUE"""),FALSE)</f>
        <v>0</v>
      </c>
      <c r="U1583" s="1" t="str">
        <f>IFERROR(__xludf.DUMMYFUNCTION("""COMPUTED_VALUE"""),"VALID")</f>
        <v>VALID</v>
      </c>
      <c r="V1583" s="1">
        <f>IFERROR(__xludf.DUMMYFUNCTION("""COMPUTED_VALUE"""),502.0)</f>
        <v>502</v>
      </c>
      <c r="W1583" s="1">
        <f>IFERROR(__xludf.DUMMYFUNCTION("""COMPUTED_VALUE"""),1598.0)</f>
        <v>1598</v>
      </c>
      <c r="X1583" s="1">
        <f>IFERROR(__xludf.DUMMYFUNCTION("""COMPUTED_VALUE"""),621.0)</f>
        <v>621</v>
      </c>
      <c r="Y1583" s="2"/>
      <c r="Z1583" s="2"/>
    </row>
    <row r="1584">
      <c r="A1584" s="1">
        <f>IFERROR(__xludf.DUMMYFUNCTION("""COMPUTED_VALUE"""),1583.0)</f>
        <v>1583</v>
      </c>
      <c r="B1584" s="1">
        <f>IFERROR(__xludf.DUMMYFUNCTION("""COMPUTED_VALUE"""),6337.0)</f>
        <v>6337</v>
      </c>
      <c r="C1584" s="2" t="str">
        <f>IFERROR(__xludf.DUMMYFUNCTION("""COMPUTED_VALUE"""),"Eka Apriani")</f>
        <v>Eka Apriani</v>
      </c>
      <c r="D1584" s="2" t="str">
        <f>IFERROR(__xludf.DUMMYFUNCTION("""COMPUTED_VALUE"""),"5KM OVERALL F")</f>
        <v>5KM OVERALL F</v>
      </c>
      <c r="E1584" s="1">
        <f>IFERROR(__xludf.DUMMYFUNCTION("""COMPUTED_VALUE"""),2.0)</f>
        <v>2</v>
      </c>
      <c r="F1584" s="1" t="str">
        <f>IFERROR(__xludf.DUMMYFUNCTION("""COMPUTED_VALUE"""),"Female")</f>
        <v>Female</v>
      </c>
      <c r="G1584" s="4" t="b">
        <f>IFERROR(__xludf.DUMMYFUNCTION("""COMPUTED_VALUE"""),TRUE)</f>
        <v>1</v>
      </c>
      <c r="H1584" s="4" t="b">
        <f>IFERROR(__xludf.DUMMYFUNCTION("""COMPUTED_VALUE"""),TRUE)</f>
        <v>1</v>
      </c>
      <c r="I1584" s="4">
        <f>IFERROR(__xludf.DUMMYFUNCTION("""COMPUTED_VALUE"""),0.2549440625)</f>
        <v>0.2549440625</v>
      </c>
      <c r="J1584" s="4">
        <f>IFERROR(__xludf.DUMMYFUNCTION("""COMPUTED_VALUE"""),45949.28365173905)</f>
        <v>45949.28365</v>
      </c>
      <c r="K1584" s="4" t="str">
        <f>IFERROR(__xludf.DUMMYFUNCTION("""COMPUTED_VALUE"""),"")</f>
        <v/>
      </c>
      <c r="L1584" s="4">
        <f>IFERROR(__xludf.DUMMYFUNCTION("""COMPUTED_VALUE"""),45949.30533588143)</f>
        <v>45949.30534</v>
      </c>
      <c r="M1584" s="1" t="str">
        <f>IFERROR(__xludf.DUMMYFUNCTION("""COMPUTED_VALUE"""),"RFID")</f>
        <v>RFID</v>
      </c>
      <c r="N1584" s="5">
        <f>IFERROR(__xludf.DUMMYFUNCTION("""COMPUTED_VALUE"""),0.011483069444444443)</f>
        <v>0.01148306944</v>
      </c>
      <c r="O1584" s="5" t="str">
        <f>IFERROR(__xludf.DUMMYFUNCTION("""COMPUTED_VALUE"""),"")</f>
        <v/>
      </c>
      <c r="P1584" s="5" t="str">
        <f>IFERROR(__xludf.DUMMYFUNCTION("""COMPUTED_VALUE"""),"")</f>
        <v/>
      </c>
      <c r="Q1584" s="5">
        <f>IFERROR(__xludf.DUMMYFUNCTION("""COMPUTED_VALUE"""),0.010078363425925926)</f>
        <v>0.01007836343</v>
      </c>
      <c r="R1584" s="4">
        <f>IFERROR(__xludf.DUMMYFUNCTION("""COMPUTED_VALUE"""),45949.05039181893)</f>
        <v>45949.05039</v>
      </c>
      <c r="S1584" s="1" t="b">
        <f>IFERROR(__xludf.DUMMYFUNCTION("""COMPUTED_VALUE"""),TRUE)</f>
        <v>1</v>
      </c>
      <c r="T1584" s="1" t="b">
        <f>IFERROR(__xludf.DUMMYFUNCTION("""COMPUTED_VALUE"""),FALSE)</f>
        <v>0</v>
      </c>
      <c r="U1584" s="1" t="str">
        <f>IFERROR(__xludf.DUMMYFUNCTION("""COMPUTED_VALUE"""),"VALID")</f>
        <v>VALID</v>
      </c>
      <c r="V1584" s="1">
        <f>IFERROR(__xludf.DUMMYFUNCTION("""COMPUTED_VALUE"""),489.0)</f>
        <v>489</v>
      </c>
      <c r="W1584" s="1">
        <f>IFERROR(__xludf.DUMMYFUNCTION("""COMPUTED_VALUE"""),1578.0)</f>
        <v>1578</v>
      </c>
      <c r="X1584" s="1">
        <f>IFERROR(__xludf.DUMMYFUNCTION("""COMPUTED_VALUE"""),598.0)</f>
        <v>598</v>
      </c>
      <c r="Y1584" s="2"/>
      <c r="Z1584" s="2"/>
    </row>
    <row r="1585">
      <c r="A1585" s="1">
        <f>IFERROR(__xludf.DUMMYFUNCTION("""COMPUTED_VALUE"""),1584.0)</f>
        <v>1584</v>
      </c>
      <c r="B1585" s="1">
        <f>IFERROR(__xludf.DUMMYFUNCTION("""COMPUTED_VALUE"""),6338.0)</f>
        <v>6338</v>
      </c>
      <c r="C1585" s="2" t="str">
        <f>IFERROR(__xludf.DUMMYFUNCTION("""COMPUTED_VALUE"""),"Raesa Arrahma")</f>
        <v>Raesa Arrahma</v>
      </c>
      <c r="D1585" s="2" t="str">
        <f>IFERROR(__xludf.DUMMYFUNCTION("""COMPUTED_VALUE"""),"5KM OVERALL F")</f>
        <v>5KM OVERALL F</v>
      </c>
      <c r="E1585" s="1">
        <f>IFERROR(__xludf.DUMMYFUNCTION("""COMPUTED_VALUE"""),2.0)</f>
        <v>2</v>
      </c>
      <c r="F1585" s="1" t="str">
        <f>IFERROR(__xludf.DUMMYFUNCTION("""COMPUTED_VALUE"""),"Female")</f>
        <v>Female</v>
      </c>
      <c r="G1585" s="4" t="b">
        <f>IFERROR(__xludf.DUMMYFUNCTION("""COMPUTED_VALUE"""),TRUE)</f>
        <v>1</v>
      </c>
      <c r="H1585" s="4" t="b">
        <f>IFERROR(__xludf.DUMMYFUNCTION("""COMPUTED_VALUE"""),TRUE)</f>
        <v>1</v>
      </c>
      <c r="I1585" s="4">
        <f>IFERROR(__xludf.DUMMYFUNCTION("""COMPUTED_VALUE"""),0.2549440625)</f>
        <v>0.2549440625</v>
      </c>
      <c r="J1585" s="4">
        <f>IFERROR(__xludf.DUMMYFUNCTION("""COMPUTED_VALUE"""),45949.28143295225)</f>
        <v>45949.28143</v>
      </c>
      <c r="K1585" s="4" t="str">
        <f>IFERROR(__xludf.DUMMYFUNCTION("""COMPUTED_VALUE"""),"")</f>
        <v/>
      </c>
      <c r="L1585" s="4">
        <f>IFERROR(__xludf.DUMMYFUNCTION("""COMPUTED_VALUE"""),45949.30091128215)</f>
        <v>45949.30091</v>
      </c>
      <c r="M1585" s="1" t="str">
        <f>IFERROR(__xludf.DUMMYFUNCTION("""COMPUTED_VALUE"""),"RFID")</f>
        <v>RFID</v>
      </c>
      <c r="N1585" s="5">
        <f>IFERROR(__xludf.DUMMYFUNCTION("""COMPUTED_VALUE"""),0.010595555555555556)</f>
        <v>0.01059555556</v>
      </c>
      <c r="O1585" s="5" t="str">
        <f>IFERROR(__xludf.DUMMYFUNCTION("""COMPUTED_VALUE"""),"")</f>
        <v/>
      </c>
      <c r="P1585" s="5" t="str">
        <f>IFERROR(__xludf.DUMMYFUNCTION("""COMPUTED_VALUE"""),"")</f>
        <v/>
      </c>
      <c r="Q1585" s="5">
        <f>IFERROR(__xludf.DUMMYFUNCTION("""COMPUTED_VALUE"""),0.009193444444444445)</f>
        <v>0.009193444444</v>
      </c>
      <c r="R1585" s="4">
        <f>IFERROR(__xludf.DUMMYFUNCTION("""COMPUTED_VALUE"""),45949.04596721965)</f>
        <v>45949.04597</v>
      </c>
      <c r="S1585" s="1" t="b">
        <f>IFERROR(__xludf.DUMMYFUNCTION("""COMPUTED_VALUE"""),TRUE)</f>
        <v>1</v>
      </c>
      <c r="T1585" s="1" t="b">
        <f>IFERROR(__xludf.DUMMYFUNCTION("""COMPUTED_VALUE"""),FALSE)</f>
        <v>0</v>
      </c>
      <c r="U1585" s="1" t="str">
        <f>IFERROR(__xludf.DUMMYFUNCTION("""COMPUTED_VALUE"""),"VALID")</f>
        <v>VALID</v>
      </c>
      <c r="V1585" s="1">
        <f>IFERROR(__xludf.DUMMYFUNCTION("""COMPUTED_VALUE"""),438.0)</f>
        <v>438</v>
      </c>
      <c r="W1585" s="1">
        <f>IFERROR(__xludf.DUMMYFUNCTION("""COMPUTED_VALUE"""),1482.0)</f>
        <v>1482</v>
      </c>
      <c r="X1585" s="1">
        <f>IFERROR(__xludf.DUMMYFUNCTION("""COMPUTED_VALUE"""),535.0)</f>
        <v>535</v>
      </c>
      <c r="Y1585" s="2"/>
      <c r="Z1585" s="2"/>
    </row>
    <row r="1586">
      <c r="A1586" s="1">
        <f>IFERROR(__xludf.DUMMYFUNCTION("""COMPUTED_VALUE"""),1585.0)</f>
        <v>1585</v>
      </c>
      <c r="B1586" s="1">
        <f>IFERROR(__xludf.DUMMYFUNCTION("""COMPUTED_VALUE"""),6340.0)</f>
        <v>6340</v>
      </c>
      <c r="C1586" s="2" t="str">
        <f>IFERROR(__xludf.DUMMYFUNCTION("""COMPUTED_VALUE"""),"Hannia")</f>
        <v>Hannia</v>
      </c>
      <c r="D1586" s="2" t="str">
        <f>IFERROR(__xludf.DUMMYFUNCTION("""COMPUTED_VALUE"""),"5KM OVERALL F")</f>
        <v>5KM OVERALL F</v>
      </c>
      <c r="E1586" s="1">
        <f>IFERROR(__xludf.DUMMYFUNCTION("""COMPUTED_VALUE"""),2.0)</f>
        <v>2</v>
      </c>
      <c r="F1586" s="1" t="str">
        <f>IFERROR(__xludf.DUMMYFUNCTION("""COMPUTED_VALUE"""),"Female")</f>
        <v>Female</v>
      </c>
      <c r="G1586" s="4" t="b">
        <f>IFERROR(__xludf.DUMMYFUNCTION("""COMPUTED_VALUE"""),TRUE)</f>
        <v>1</v>
      </c>
      <c r="H1586" s="4" t="b">
        <f>IFERROR(__xludf.DUMMYFUNCTION("""COMPUTED_VALUE"""),TRUE)</f>
        <v>1</v>
      </c>
      <c r="I1586" s="4">
        <f>IFERROR(__xludf.DUMMYFUNCTION("""COMPUTED_VALUE"""),0.2549440625)</f>
        <v>0.2549440625</v>
      </c>
      <c r="J1586" s="4">
        <f>IFERROR(__xludf.DUMMYFUNCTION("""COMPUTED_VALUE"""),45949.273564877374)</f>
        <v>45949.27356</v>
      </c>
      <c r="K1586" s="4" t="str">
        <f>IFERROR(__xludf.DUMMYFUNCTION("""COMPUTED_VALUE"""),"")</f>
        <v/>
      </c>
      <c r="L1586" s="4">
        <f>IFERROR(__xludf.DUMMYFUNCTION("""COMPUTED_VALUE"""),45949.28844947624)</f>
        <v>45949.28845</v>
      </c>
      <c r="M1586" s="1" t="str">
        <f>IFERROR(__xludf.DUMMYFUNCTION("""COMPUTED_VALUE"""),"RFID")</f>
        <v>RFID</v>
      </c>
      <c r="N1586" s="5">
        <f>IFERROR(__xludf.DUMMYFUNCTION("""COMPUTED_VALUE"""),0.007448324074074074)</f>
        <v>0.007448324074</v>
      </c>
      <c r="O1586" s="5" t="str">
        <f>IFERROR(__xludf.DUMMYFUNCTION("""COMPUTED_VALUE"""),"")</f>
        <v/>
      </c>
      <c r="P1586" s="5" t="str">
        <f>IFERROR(__xludf.DUMMYFUNCTION("""COMPUTED_VALUE"""),"")</f>
        <v/>
      </c>
      <c r="Q1586" s="5">
        <f>IFERROR(__xludf.DUMMYFUNCTION("""COMPUTED_VALUE"""),0.006701083333333332)</f>
        <v>0.006701083333</v>
      </c>
      <c r="R1586" s="4">
        <f>IFERROR(__xludf.DUMMYFUNCTION("""COMPUTED_VALUE"""),45949.03350541374)</f>
        <v>45949.03351</v>
      </c>
      <c r="S1586" s="1" t="b">
        <f>IFERROR(__xludf.DUMMYFUNCTION("""COMPUTED_VALUE"""),TRUE)</f>
        <v>1</v>
      </c>
      <c r="T1586" s="1" t="b">
        <f>IFERROR(__xludf.DUMMYFUNCTION("""COMPUTED_VALUE"""),FALSE)</f>
        <v>0</v>
      </c>
      <c r="U1586" s="1" t="str">
        <f>IFERROR(__xludf.DUMMYFUNCTION("""COMPUTED_VALUE"""),"VALID")</f>
        <v>VALID</v>
      </c>
      <c r="V1586" s="1">
        <f>IFERROR(__xludf.DUMMYFUNCTION("""COMPUTED_VALUE"""),140.0)</f>
        <v>140</v>
      </c>
      <c r="W1586" s="1">
        <f>IFERROR(__xludf.DUMMYFUNCTION("""COMPUTED_VALUE"""),809.0)</f>
        <v>809</v>
      </c>
      <c r="X1586" s="1">
        <f>IFERROR(__xludf.DUMMYFUNCTION("""COMPUTED_VALUE"""),174.0)</f>
        <v>174</v>
      </c>
      <c r="Y1586" s="2"/>
      <c r="Z1586" s="2"/>
    </row>
    <row r="1587">
      <c r="A1587" s="1">
        <f>IFERROR(__xludf.DUMMYFUNCTION("""COMPUTED_VALUE"""),1586.0)</f>
        <v>1586</v>
      </c>
      <c r="B1587" s="1">
        <f>IFERROR(__xludf.DUMMYFUNCTION("""COMPUTED_VALUE"""),6345.0)</f>
        <v>6345</v>
      </c>
      <c r="C1587" s="2" t="str">
        <f>IFERROR(__xludf.DUMMYFUNCTION("""COMPUTED_VALUE"""),"NONO")</f>
        <v>NONO</v>
      </c>
      <c r="D1587" s="2" t="str">
        <f>IFERROR(__xludf.DUMMYFUNCTION("""COMPUTED_VALUE"""),"5KM OVERALL F")</f>
        <v>5KM OVERALL F</v>
      </c>
      <c r="E1587" s="1">
        <f>IFERROR(__xludf.DUMMYFUNCTION("""COMPUTED_VALUE"""),2.0)</f>
        <v>2</v>
      </c>
      <c r="F1587" s="1" t="str">
        <f>IFERROR(__xludf.DUMMYFUNCTION("""COMPUTED_VALUE"""),"Female")</f>
        <v>Female</v>
      </c>
      <c r="G1587" s="4" t="b">
        <f>IFERROR(__xludf.DUMMYFUNCTION("""COMPUTED_VALUE"""),TRUE)</f>
        <v>1</v>
      </c>
      <c r="H1587" s="4" t="b">
        <f>IFERROR(__xludf.DUMMYFUNCTION("""COMPUTED_VALUE"""),TRUE)</f>
        <v>1</v>
      </c>
      <c r="I1587" s="4">
        <f>IFERROR(__xludf.DUMMYFUNCTION("""COMPUTED_VALUE"""),0.2549440625)</f>
        <v>0.2549440625</v>
      </c>
      <c r="J1587" s="4">
        <f>IFERROR(__xludf.DUMMYFUNCTION("""COMPUTED_VALUE"""),45949.27210309117)</f>
        <v>45949.2721</v>
      </c>
      <c r="K1587" s="4" t="str">
        <f>IFERROR(__xludf.DUMMYFUNCTION("""COMPUTED_VALUE"""),"")</f>
        <v/>
      </c>
      <c r="L1587" s="4">
        <f>IFERROR(__xludf.DUMMYFUNCTION("""COMPUTED_VALUE"""),45949.285623085125)</f>
        <v>45949.28562</v>
      </c>
      <c r="M1587" s="1" t="str">
        <f>IFERROR(__xludf.DUMMYFUNCTION("""COMPUTED_VALUE"""),"RFID")</f>
        <v>RFID</v>
      </c>
      <c r="N1587" s="5">
        <f>IFERROR(__xludf.DUMMYFUNCTION("""COMPUTED_VALUE"""),0.00686361111111111)</f>
        <v>0.006863611111</v>
      </c>
      <c r="O1587" s="5" t="str">
        <f>IFERROR(__xludf.DUMMYFUNCTION("""COMPUTED_VALUE"""),"")</f>
        <v/>
      </c>
      <c r="P1587" s="5" t="str">
        <f>IFERROR(__xludf.DUMMYFUNCTION("""COMPUTED_VALUE"""),"")</f>
        <v/>
      </c>
      <c r="Q1587" s="5">
        <f>IFERROR(__xludf.DUMMYFUNCTION("""COMPUTED_VALUE"""),0.006135805555555556)</f>
        <v>0.006135805556</v>
      </c>
      <c r="R1587" s="4">
        <f>IFERROR(__xludf.DUMMYFUNCTION("""COMPUTED_VALUE"""),45949.030679022624)</f>
        <v>45949.03068</v>
      </c>
      <c r="S1587" s="1" t="b">
        <f>IFERROR(__xludf.DUMMYFUNCTION("""COMPUTED_VALUE"""),TRUE)</f>
        <v>1</v>
      </c>
      <c r="T1587" s="1" t="b">
        <f>IFERROR(__xludf.DUMMYFUNCTION("""COMPUTED_VALUE"""),FALSE)</f>
        <v>0</v>
      </c>
      <c r="U1587" s="1" t="str">
        <f>IFERROR(__xludf.DUMMYFUNCTION("""COMPUTED_VALUE"""),"VALID")</f>
        <v>VALID</v>
      </c>
      <c r="V1587" s="1">
        <f>IFERROR(__xludf.DUMMYFUNCTION("""COMPUTED_VALUE"""),87.0)</f>
        <v>87</v>
      </c>
      <c r="W1587" s="1">
        <f>IFERROR(__xludf.DUMMYFUNCTION("""COMPUTED_VALUE"""),613.0)</f>
        <v>613</v>
      </c>
      <c r="X1587" s="1">
        <f>IFERROR(__xludf.DUMMYFUNCTION("""COMPUTED_VALUE"""),111.0)</f>
        <v>111</v>
      </c>
      <c r="Y1587" s="2"/>
      <c r="Z1587" s="2"/>
    </row>
    <row r="1588">
      <c r="A1588" s="1">
        <f>IFERROR(__xludf.DUMMYFUNCTION("""COMPUTED_VALUE"""),1587.0)</f>
        <v>1587</v>
      </c>
      <c r="B1588" s="1">
        <f>IFERROR(__xludf.DUMMYFUNCTION("""COMPUTED_VALUE"""),6351.0)</f>
        <v>6351</v>
      </c>
      <c r="C1588" s="2" t="str">
        <f>IFERROR(__xludf.DUMMYFUNCTION("""COMPUTED_VALUE"""),"Mama Zayn")</f>
        <v>Mama Zayn</v>
      </c>
      <c r="D1588" s="2" t="str">
        <f>IFERROR(__xludf.DUMMYFUNCTION("""COMPUTED_VALUE"""),"5KM OVERALL F")</f>
        <v>5KM OVERALL F</v>
      </c>
      <c r="E1588" s="1">
        <f>IFERROR(__xludf.DUMMYFUNCTION("""COMPUTED_VALUE"""),2.0)</f>
        <v>2</v>
      </c>
      <c r="F1588" s="1" t="str">
        <f>IFERROR(__xludf.DUMMYFUNCTION("""COMPUTED_VALUE"""),"Female")</f>
        <v>Female</v>
      </c>
      <c r="G1588" s="4" t="str">
        <f>IFERROR(__xludf.DUMMYFUNCTION("""COMPUTED_VALUE"""),"")</f>
        <v/>
      </c>
      <c r="H1588" s="4" t="b">
        <f>IFERROR(__xludf.DUMMYFUNCTION("""COMPUTED_VALUE"""),FALSE)</f>
        <v>0</v>
      </c>
      <c r="I1588" s="4">
        <f>IFERROR(__xludf.DUMMYFUNCTION("""COMPUTED_VALUE"""),0.2549440625)</f>
        <v>0.2549440625</v>
      </c>
      <c r="J1588" s="4" t="str">
        <f>IFERROR(__xludf.DUMMYFUNCTION("""COMPUTED_VALUE"""),"")</f>
        <v/>
      </c>
      <c r="K1588" s="4" t="str">
        <f>IFERROR(__xludf.DUMMYFUNCTION("""COMPUTED_VALUE"""),"")</f>
        <v/>
      </c>
      <c r="L1588" s="4" t="str">
        <f>IFERROR(__xludf.DUMMYFUNCTION("""COMPUTED_VALUE"""),"")</f>
        <v/>
      </c>
      <c r="M1588" s="1" t="str">
        <f>IFERROR(__xludf.DUMMYFUNCTION("""COMPUTED_VALUE"""),"RFID")</f>
        <v>RFID</v>
      </c>
      <c r="N1588" s="5" t="str">
        <f>IFERROR(__xludf.DUMMYFUNCTION("""COMPUTED_VALUE"""),"")</f>
        <v/>
      </c>
      <c r="O1588" s="5" t="str">
        <f>IFERROR(__xludf.DUMMYFUNCTION("""COMPUTED_VALUE"""),"")</f>
        <v/>
      </c>
      <c r="P1588" s="5" t="str">
        <f>IFERROR(__xludf.DUMMYFUNCTION("""COMPUTED_VALUE"""),"")</f>
        <v/>
      </c>
      <c r="Q1588" s="5" t="str">
        <f>IFERROR(__xludf.DUMMYFUNCTION("""COMPUTED_VALUE"""),"")</f>
        <v/>
      </c>
      <c r="R1588" s="4" t="str">
        <f>IFERROR(__xludf.DUMMYFUNCTION("""COMPUTED_VALUE"""),"")</f>
        <v/>
      </c>
      <c r="S1588" s="1" t="b">
        <f>IFERROR(__xludf.DUMMYFUNCTION("""COMPUTED_VALUE"""),FALSE)</f>
        <v>0</v>
      </c>
      <c r="T1588" s="1" t="b">
        <f>IFERROR(__xludf.DUMMYFUNCTION("""COMPUTED_VALUE"""),FALSE)</f>
        <v>0</v>
      </c>
      <c r="U1588" s="1" t="str">
        <f>IFERROR(__xludf.DUMMYFUNCTION("""COMPUTED_VALUE"""),"DSQ")</f>
        <v>DSQ</v>
      </c>
      <c r="V1588" s="1" t="str">
        <f>IFERROR(__xludf.DUMMYFUNCTION("""COMPUTED_VALUE"""),"DSQ")</f>
        <v>DSQ</v>
      </c>
      <c r="W1588" s="1" t="str">
        <f>IFERROR(__xludf.DUMMYFUNCTION("""COMPUTED_VALUE"""),"DSQ")</f>
        <v>DSQ</v>
      </c>
      <c r="X1588" s="1" t="str">
        <f>IFERROR(__xludf.DUMMYFUNCTION("""COMPUTED_VALUE"""),"DSQ")</f>
        <v>DSQ</v>
      </c>
      <c r="Y1588" s="2"/>
      <c r="Z1588" s="2" t="str">
        <f>IFERROR(__xludf.DUMMYFUNCTION("""COMPUTED_VALUE"""),"")</f>
        <v/>
      </c>
    </row>
    <row r="1589">
      <c r="A1589" s="1">
        <f>IFERROR(__xludf.DUMMYFUNCTION("""COMPUTED_VALUE"""),1588.0)</f>
        <v>1588</v>
      </c>
      <c r="B1589" s="1">
        <f>IFERROR(__xludf.DUMMYFUNCTION("""COMPUTED_VALUE"""),6352.0)</f>
        <v>6352</v>
      </c>
      <c r="C1589" s="2" t="str">
        <f>IFERROR(__xludf.DUMMYFUNCTION("""COMPUTED_VALUE"""),"Priska")</f>
        <v>Priska</v>
      </c>
      <c r="D1589" s="2" t="str">
        <f>IFERROR(__xludf.DUMMYFUNCTION("""COMPUTED_VALUE"""),"5KM OVERALL F")</f>
        <v>5KM OVERALL F</v>
      </c>
      <c r="E1589" s="1">
        <f>IFERROR(__xludf.DUMMYFUNCTION("""COMPUTED_VALUE"""),2.0)</f>
        <v>2</v>
      </c>
      <c r="F1589" s="1" t="str">
        <f>IFERROR(__xludf.DUMMYFUNCTION("""COMPUTED_VALUE"""),"Female")</f>
        <v>Female</v>
      </c>
      <c r="G1589" s="4" t="b">
        <f>IFERROR(__xludf.DUMMYFUNCTION("""COMPUTED_VALUE"""),TRUE)</f>
        <v>1</v>
      </c>
      <c r="H1589" s="4" t="b">
        <f>IFERROR(__xludf.DUMMYFUNCTION("""COMPUTED_VALUE"""),TRUE)</f>
        <v>1</v>
      </c>
      <c r="I1589" s="4">
        <f>IFERROR(__xludf.DUMMYFUNCTION("""COMPUTED_VALUE"""),0.2549440625)</f>
        <v>0.2549440625</v>
      </c>
      <c r="J1589" s="4">
        <f>IFERROR(__xludf.DUMMYFUNCTION("""COMPUTED_VALUE"""),45949.27090522684)</f>
        <v>45949.27091</v>
      </c>
      <c r="K1589" s="4" t="str">
        <f>IFERROR(__xludf.DUMMYFUNCTION("""COMPUTED_VALUE"""),"")</f>
        <v/>
      </c>
      <c r="L1589" s="4">
        <f>IFERROR(__xludf.DUMMYFUNCTION("""COMPUTED_VALUE"""),45949.28313003349)</f>
        <v>45949.28313</v>
      </c>
      <c r="M1589" s="1" t="str">
        <f>IFERROR(__xludf.DUMMYFUNCTION("""COMPUTED_VALUE"""),"RFID")</f>
        <v>RFID</v>
      </c>
      <c r="N1589" s="5">
        <f>IFERROR(__xludf.DUMMYFUNCTION("""COMPUTED_VALUE"""),0.006384467592592593)</f>
        <v>0.006384467593</v>
      </c>
      <c r="O1589" s="5" t="str">
        <f>IFERROR(__xludf.DUMMYFUNCTION("""COMPUTED_VALUE"""),"")</f>
        <v/>
      </c>
      <c r="P1589" s="5" t="str">
        <f>IFERROR(__xludf.DUMMYFUNCTION("""COMPUTED_VALUE"""),"")</f>
        <v/>
      </c>
      <c r="Q1589" s="5">
        <f>IFERROR(__xludf.DUMMYFUNCTION("""COMPUTED_VALUE"""),0.005637194444444445)</f>
        <v>0.005637194444</v>
      </c>
      <c r="R1589" s="4">
        <f>IFERROR(__xludf.DUMMYFUNCTION("""COMPUTED_VALUE"""),45949.02818597099)</f>
        <v>45949.02819</v>
      </c>
      <c r="S1589" s="1" t="b">
        <f>IFERROR(__xludf.DUMMYFUNCTION("""COMPUTED_VALUE"""),TRUE)</f>
        <v>1</v>
      </c>
      <c r="T1589" s="1" t="b">
        <f>IFERROR(__xludf.DUMMYFUNCTION("""COMPUTED_VALUE"""),FALSE)</f>
        <v>0</v>
      </c>
      <c r="U1589" s="1" t="str">
        <f>IFERROR(__xludf.DUMMYFUNCTION("""COMPUTED_VALUE"""),"VALID")</f>
        <v>VALID</v>
      </c>
      <c r="V1589" s="1">
        <f>IFERROR(__xludf.DUMMYFUNCTION("""COMPUTED_VALUE"""),44.0)</f>
        <v>44</v>
      </c>
      <c r="W1589" s="1">
        <f>IFERROR(__xludf.DUMMYFUNCTION("""COMPUTED_VALUE"""),439.0)</f>
        <v>439</v>
      </c>
      <c r="X1589" s="1">
        <f>IFERROR(__xludf.DUMMYFUNCTION("""COMPUTED_VALUE"""),65.0)</f>
        <v>65</v>
      </c>
      <c r="Y1589" s="2"/>
      <c r="Z1589" s="2"/>
    </row>
    <row r="1590">
      <c r="A1590" s="1">
        <f>IFERROR(__xludf.DUMMYFUNCTION("""COMPUTED_VALUE"""),1589.0)</f>
        <v>1589</v>
      </c>
      <c r="B1590" s="1">
        <f>IFERROR(__xludf.DUMMYFUNCTION("""COMPUTED_VALUE"""),6353.0)</f>
        <v>6353</v>
      </c>
      <c r="C1590" s="2" t="str">
        <f>IFERROR(__xludf.DUMMYFUNCTION("""COMPUTED_VALUE"""),"Altitah Hadsari Senja")</f>
        <v>Altitah Hadsari Senja</v>
      </c>
      <c r="D1590" s="2" t="str">
        <f>IFERROR(__xludf.DUMMYFUNCTION("""COMPUTED_VALUE"""),"5KM OVERALL F")</f>
        <v>5KM OVERALL F</v>
      </c>
      <c r="E1590" s="1">
        <f>IFERROR(__xludf.DUMMYFUNCTION("""COMPUTED_VALUE"""),2.0)</f>
        <v>2</v>
      </c>
      <c r="F1590" s="1" t="str">
        <f>IFERROR(__xludf.DUMMYFUNCTION("""COMPUTED_VALUE"""),"Female")</f>
        <v>Female</v>
      </c>
      <c r="G1590" s="4" t="b">
        <f>IFERROR(__xludf.DUMMYFUNCTION("""COMPUTED_VALUE"""),TRUE)</f>
        <v>1</v>
      </c>
      <c r="H1590" s="4" t="b">
        <f>IFERROR(__xludf.DUMMYFUNCTION("""COMPUTED_VALUE"""),TRUE)</f>
        <v>1</v>
      </c>
      <c r="I1590" s="4">
        <f>IFERROR(__xludf.DUMMYFUNCTION("""COMPUTED_VALUE"""),0.2549440625)</f>
        <v>0.2549440625</v>
      </c>
      <c r="J1590" s="4">
        <f>IFERROR(__xludf.DUMMYFUNCTION("""COMPUTED_VALUE"""),45949.27396425236)</f>
        <v>45949.27396</v>
      </c>
      <c r="K1590" s="4" t="str">
        <f>IFERROR(__xludf.DUMMYFUNCTION("""COMPUTED_VALUE"""),"")</f>
        <v/>
      </c>
      <c r="L1590" s="4">
        <f>IFERROR(__xludf.DUMMYFUNCTION("""COMPUTED_VALUE"""),45949.28540198912)</f>
        <v>45949.2854</v>
      </c>
      <c r="M1590" s="1" t="str">
        <f>IFERROR(__xludf.DUMMYFUNCTION("""COMPUTED_VALUE"""),"RFID")</f>
        <v>RFID</v>
      </c>
      <c r="N1590" s="5">
        <f>IFERROR(__xludf.DUMMYFUNCTION("""COMPUTED_VALUE"""),0.007608074074074074)</f>
        <v>0.007608074074</v>
      </c>
      <c r="O1590" s="5" t="str">
        <f>IFERROR(__xludf.DUMMYFUNCTION("""COMPUTED_VALUE"""),"")</f>
        <v/>
      </c>
      <c r="P1590" s="5" t="str">
        <f>IFERROR(__xludf.DUMMYFUNCTION("""COMPUTED_VALUE"""),"")</f>
        <v/>
      </c>
      <c r="Q1590" s="5">
        <f>IFERROR(__xludf.DUMMYFUNCTION("""COMPUTED_VALUE"""),0.006091585648148148)</f>
        <v>0.006091585648</v>
      </c>
      <c r="R1590" s="4">
        <f>IFERROR(__xludf.DUMMYFUNCTION("""COMPUTED_VALUE"""),45949.030457926616)</f>
        <v>45949.03046</v>
      </c>
      <c r="S1590" s="1" t="b">
        <f>IFERROR(__xludf.DUMMYFUNCTION("""COMPUTED_VALUE"""),TRUE)</f>
        <v>1</v>
      </c>
      <c r="T1590" s="1" t="b">
        <f>IFERROR(__xludf.DUMMYFUNCTION("""COMPUTED_VALUE"""),FALSE)</f>
        <v>0</v>
      </c>
      <c r="U1590" s="1" t="str">
        <f>IFERROR(__xludf.DUMMYFUNCTION("""COMPUTED_VALUE"""),"VALID")</f>
        <v>VALID</v>
      </c>
      <c r="V1590" s="1">
        <f>IFERROR(__xludf.DUMMYFUNCTION("""COMPUTED_VALUE"""),79.0)</f>
        <v>79</v>
      </c>
      <c r="W1590" s="1">
        <f>IFERROR(__xludf.DUMMYFUNCTION("""COMPUTED_VALUE"""),596.0)</f>
        <v>596</v>
      </c>
      <c r="X1590" s="1">
        <f>IFERROR(__xludf.DUMMYFUNCTION("""COMPUTED_VALUE"""),102.0)</f>
        <v>102</v>
      </c>
      <c r="Y1590" s="2"/>
      <c r="Z1590" s="2"/>
    </row>
    <row r="1591">
      <c r="A1591" s="1">
        <f>IFERROR(__xludf.DUMMYFUNCTION("""COMPUTED_VALUE"""),1590.0)</f>
        <v>1590</v>
      </c>
      <c r="B1591" s="1">
        <f>IFERROR(__xludf.DUMMYFUNCTION("""COMPUTED_VALUE"""),6356.0)</f>
        <v>6356</v>
      </c>
      <c r="C1591" s="2" t="str">
        <f>IFERROR(__xludf.DUMMYFUNCTION("""COMPUTED_VALUE"""),"ALMA")</f>
        <v>ALMA</v>
      </c>
      <c r="D1591" s="2" t="str">
        <f>IFERROR(__xludf.DUMMYFUNCTION("""COMPUTED_VALUE"""),"5KM OVERALL F")</f>
        <v>5KM OVERALL F</v>
      </c>
      <c r="E1591" s="1">
        <f>IFERROR(__xludf.DUMMYFUNCTION("""COMPUTED_VALUE"""),2.0)</f>
        <v>2</v>
      </c>
      <c r="F1591" s="1" t="str">
        <f>IFERROR(__xludf.DUMMYFUNCTION("""COMPUTED_VALUE"""),"Female")</f>
        <v>Female</v>
      </c>
      <c r="G1591" s="4" t="b">
        <f>IFERROR(__xludf.DUMMYFUNCTION("""COMPUTED_VALUE"""),TRUE)</f>
        <v>1</v>
      </c>
      <c r="H1591" s="4" t="b">
        <f>IFERROR(__xludf.DUMMYFUNCTION("""COMPUTED_VALUE"""),FALSE)</f>
        <v>0</v>
      </c>
      <c r="I1591" s="4">
        <f>IFERROR(__xludf.DUMMYFUNCTION("""COMPUTED_VALUE"""),0.2549440625)</f>
        <v>0.2549440625</v>
      </c>
      <c r="J1591" s="4">
        <f>IFERROR(__xludf.DUMMYFUNCTION("""COMPUTED_VALUE"""),45949.27141210101)</f>
        <v>45949.27141</v>
      </c>
      <c r="K1591" s="4" t="str">
        <f>IFERROR(__xludf.DUMMYFUNCTION("""COMPUTED_VALUE"""),"")</f>
        <v/>
      </c>
      <c r="L1591" s="4">
        <f>IFERROR(__xludf.DUMMYFUNCTION("""COMPUTED_VALUE"""),45949.2833001382)</f>
        <v>45949.2833</v>
      </c>
      <c r="M1591" s="1" t="str">
        <f>IFERROR(__xludf.DUMMYFUNCTION("""COMPUTED_VALUE"""),"RFID")</f>
        <v>RFID</v>
      </c>
      <c r="N1591" s="5">
        <f>IFERROR(__xludf.DUMMYFUNCTION("""COMPUTED_VALUE"""),0.006587217592592592)</f>
        <v>0.006587217593</v>
      </c>
      <c r="O1591" s="5" t="str">
        <f>IFERROR(__xludf.DUMMYFUNCTION("""COMPUTED_VALUE"""),"")</f>
        <v/>
      </c>
      <c r="P1591" s="5" t="str">
        <f>IFERROR(__xludf.DUMMYFUNCTION("""COMPUTED_VALUE"""),"")</f>
        <v/>
      </c>
      <c r="Q1591" s="5">
        <f>IFERROR(__xludf.DUMMYFUNCTION("""COMPUTED_VALUE"""),0.0056712152777777785)</f>
        <v>0.005671215278</v>
      </c>
      <c r="R1591" s="4">
        <f>IFERROR(__xludf.DUMMYFUNCTION("""COMPUTED_VALUE"""),45949.0283560757)</f>
        <v>45949.02836</v>
      </c>
      <c r="S1591" s="1" t="b">
        <f>IFERROR(__xludf.DUMMYFUNCTION("""COMPUTED_VALUE"""),TRUE)</f>
        <v>1</v>
      </c>
      <c r="T1591" s="1" t="b">
        <f>IFERROR(__xludf.DUMMYFUNCTION("""COMPUTED_VALUE"""),FALSE)</f>
        <v>0</v>
      </c>
      <c r="U1591" s="1" t="str">
        <f>IFERROR(__xludf.DUMMYFUNCTION("""COMPUTED_VALUE"""),"VALID")</f>
        <v>VALID</v>
      </c>
      <c r="V1591" s="1">
        <f>IFERROR(__xludf.DUMMYFUNCTION("""COMPUTED_VALUE"""),46.0)</f>
        <v>46</v>
      </c>
      <c r="W1591" s="1">
        <f>IFERROR(__xludf.DUMMYFUNCTION("""COMPUTED_VALUE"""),452.0)</f>
        <v>452</v>
      </c>
      <c r="X1591" s="1">
        <f>IFERROR(__xludf.DUMMYFUNCTION("""COMPUTED_VALUE"""),67.0)</f>
        <v>67</v>
      </c>
      <c r="Y1591" s="2"/>
      <c r="Z1591" s="2"/>
    </row>
    <row r="1592">
      <c r="A1592" s="1">
        <f>IFERROR(__xludf.DUMMYFUNCTION("""COMPUTED_VALUE"""),1591.0)</f>
        <v>1591</v>
      </c>
      <c r="B1592" s="1">
        <f>IFERROR(__xludf.DUMMYFUNCTION("""COMPUTED_VALUE"""),6360.0)</f>
        <v>6360</v>
      </c>
      <c r="C1592" s="2" t="str">
        <f>IFERROR(__xludf.DUMMYFUNCTION("""COMPUTED_VALUE"""),"Ronnyy")</f>
        <v>Ronnyy</v>
      </c>
      <c r="D1592" s="2" t="str">
        <f>IFERROR(__xludf.DUMMYFUNCTION("""COMPUTED_VALUE"""),"5KM OVERALL F")</f>
        <v>5KM OVERALL F</v>
      </c>
      <c r="E1592" s="1">
        <f>IFERROR(__xludf.DUMMYFUNCTION("""COMPUTED_VALUE"""),2.0)</f>
        <v>2</v>
      </c>
      <c r="F1592" s="1" t="str">
        <f>IFERROR(__xludf.DUMMYFUNCTION("""COMPUTED_VALUE"""),"Female")</f>
        <v>Female</v>
      </c>
      <c r="G1592" s="4" t="b">
        <f>IFERROR(__xludf.DUMMYFUNCTION("""COMPUTED_VALUE"""),TRUE)</f>
        <v>1</v>
      </c>
      <c r="H1592" s="4" t="b">
        <f>IFERROR(__xludf.DUMMYFUNCTION("""COMPUTED_VALUE"""),TRUE)</f>
        <v>1</v>
      </c>
      <c r="I1592" s="4">
        <f>IFERROR(__xludf.DUMMYFUNCTION("""COMPUTED_VALUE"""),0.2549440625)</f>
        <v>0.2549440625</v>
      </c>
      <c r="J1592" s="4">
        <f>IFERROR(__xludf.DUMMYFUNCTION("""COMPUTED_VALUE"""),45949.268193408614)</f>
        <v>45949.26819</v>
      </c>
      <c r="K1592" s="4" t="str">
        <f>IFERROR(__xludf.DUMMYFUNCTION("""COMPUTED_VALUE"""),"")</f>
        <v/>
      </c>
      <c r="L1592" s="4">
        <f>IFERROR(__xludf.DUMMYFUNCTION("""COMPUTED_VALUE"""),45949.27914045129)</f>
        <v>45949.27914</v>
      </c>
      <c r="M1592" s="1" t="str">
        <f>IFERROR(__xludf.DUMMYFUNCTION("""COMPUTED_VALUE"""),"RFID")</f>
        <v>RFID</v>
      </c>
      <c r="N1592" s="5">
        <f>IFERROR(__xludf.DUMMYFUNCTION("""COMPUTED_VALUE"""),0.00529974074074074)</f>
        <v>0.005299740741</v>
      </c>
      <c r="O1592" s="5" t="str">
        <f>IFERROR(__xludf.DUMMYFUNCTION("""COMPUTED_VALUE"""),"")</f>
        <v/>
      </c>
      <c r="P1592" s="5" t="str">
        <f>IFERROR(__xludf.DUMMYFUNCTION("""COMPUTED_VALUE"""),"")</f>
        <v/>
      </c>
      <c r="Q1592" s="5">
        <f>IFERROR(__xludf.DUMMYFUNCTION("""COMPUTED_VALUE"""),0.004839277777777778)</f>
        <v>0.004839277778</v>
      </c>
      <c r="R1592" s="4">
        <f>IFERROR(__xludf.DUMMYFUNCTION("""COMPUTED_VALUE"""),45949.02419638879)</f>
        <v>45949.0242</v>
      </c>
      <c r="S1592" s="1" t="b">
        <f>IFERROR(__xludf.DUMMYFUNCTION("""COMPUTED_VALUE"""),TRUE)</f>
        <v>1</v>
      </c>
      <c r="T1592" s="1" t="b">
        <f>IFERROR(__xludf.DUMMYFUNCTION("""COMPUTED_VALUE"""),FALSE)</f>
        <v>0</v>
      </c>
      <c r="U1592" s="1" t="str">
        <f>IFERROR(__xludf.DUMMYFUNCTION("""COMPUTED_VALUE"""),"VALID")</f>
        <v>VALID</v>
      </c>
      <c r="V1592" s="1">
        <f>IFERROR(__xludf.DUMMYFUNCTION("""COMPUTED_VALUE"""),21.0)</f>
        <v>21</v>
      </c>
      <c r="W1592" s="1">
        <f>IFERROR(__xludf.DUMMYFUNCTION("""COMPUTED_VALUE"""),253.0)</f>
        <v>253</v>
      </c>
      <c r="X1592" s="1">
        <f>IFERROR(__xludf.DUMMYFUNCTION("""COMPUTED_VALUE"""),32.0)</f>
        <v>32</v>
      </c>
      <c r="Y1592" s="2"/>
      <c r="Z1592" s="2"/>
    </row>
    <row r="1593">
      <c r="A1593" s="1">
        <f>IFERROR(__xludf.DUMMYFUNCTION("""COMPUTED_VALUE"""),1592.0)</f>
        <v>1592</v>
      </c>
      <c r="B1593" s="1">
        <f>IFERROR(__xludf.DUMMYFUNCTION("""COMPUTED_VALUE"""),6362.0)</f>
        <v>6362</v>
      </c>
      <c r="C1593" s="2" t="str">
        <f>IFERROR(__xludf.DUMMYFUNCTION("""COMPUTED_VALUE"""),"NURUL HIDAYAH")</f>
        <v>NURUL HIDAYAH</v>
      </c>
      <c r="D1593" s="2" t="str">
        <f>IFERROR(__xludf.DUMMYFUNCTION("""COMPUTED_VALUE"""),"5KM OVERALL F")</f>
        <v>5KM OVERALL F</v>
      </c>
      <c r="E1593" s="1">
        <f>IFERROR(__xludf.DUMMYFUNCTION("""COMPUTED_VALUE"""),2.0)</f>
        <v>2</v>
      </c>
      <c r="F1593" s="1" t="str">
        <f>IFERROR(__xludf.DUMMYFUNCTION("""COMPUTED_VALUE"""),"Female")</f>
        <v>Female</v>
      </c>
      <c r="G1593" s="4" t="b">
        <f>IFERROR(__xludf.DUMMYFUNCTION("""COMPUTED_VALUE"""),TRUE)</f>
        <v>1</v>
      </c>
      <c r="H1593" s="4" t="b">
        <f>IFERROR(__xludf.DUMMYFUNCTION("""COMPUTED_VALUE"""),TRUE)</f>
        <v>1</v>
      </c>
      <c r="I1593" s="4">
        <f>IFERROR(__xludf.DUMMYFUNCTION("""COMPUTED_VALUE"""),0.2549440625)</f>
        <v>0.2549440625</v>
      </c>
      <c r="J1593" s="4">
        <f>IFERROR(__xludf.DUMMYFUNCTION("""COMPUTED_VALUE"""),45949.27526285467)</f>
        <v>45949.27526</v>
      </c>
      <c r="K1593" s="4" t="str">
        <f>IFERROR(__xludf.DUMMYFUNCTION("""COMPUTED_VALUE"""),"")</f>
        <v/>
      </c>
      <c r="L1593" s="4">
        <f>IFERROR(__xludf.DUMMYFUNCTION("""COMPUTED_VALUE"""),45949.2920258645)</f>
        <v>45949.29203</v>
      </c>
      <c r="M1593" s="1" t="str">
        <f>IFERROR(__xludf.DUMMYFUNCTION("""COMPUTED_VALUE"""),"RFID")</f>
        <v>RFID</v>
      </c>
      <c r="N1593" s="5">
        <f>IFERROR(__xludf.DUMMYFUNCTION("""COMPUTED_VALUE"""),0.008127518518518518)</f>
        <v>0.008127518519</v>
      </c>
      <c r="O1593" s="5" t="str">
        <f>IFERROR(__xludf.DUMMYFUNCTION("""COMPUTED_VALUE"""),"")</f>
        <v/>
      </c>
      <c r="P1593" s="5" t="str">
        <f>IFERROR(__xludf.DUMMYFUNCTION("""COMPUTED_VALUE"""),"")</f>
        <v/>
      </c>
      <c r="Q1593" s="5">
        <f>IFERROR(__xludf.DUMMYFUNCTION("""COMPUTED_VALUE"""),0.007416361111111111)</f>
        <v>0.007416361111</v>
      </c>
      <c r="R1593" s="4">
        <f>IFERROR(__xludf.DUMMYFUNCTION("""COMPUTED_VALUE"""),45949.037081802)</f>
        <v>45949.03708</v>
      </c>
      <c r="S1593" s="1" t="b">
        <f>IFERROR(__xludf.DUMMYFUNCTION("""COMPUTED_VALUE"""),TRUE)</f>
        <v>1</v>
      </c>
      <c r="T1593" s="1" t="b">
        <f>IFERROR(__xludf.DUMMYFUNCTION("""COMPUTED_VALUE"""),FALSE)</f>
        <v>0</v>
      </c>
      <c r="U1593" s="1" t="str">
        <f>IFERROR(__xludf.DUMMYFUNCTION("""COMPUTED_VALUE"""),"VALID")</f>
        <v>VALID</v>
      </c>
      <c r="V1593" s="1">
        <f>IFERROR(__xludf.DUMMYFUNCTION("""COMPUTED_VALUE"""),222.0)</f>
        <v>222</v>
      </c>
      <c r="W1593" s="1">
        <f>IFERROR(__xludf.DUMMYFUNCTION("""COMPUTED_VALUE"""),1034.0)</f>
        <v>1034</v>
      </c>
      <c r="X1593" s="1">
        <f>IFERROR(__xludf.DUMMYFUNCTION("""COMPUTED_VALUE"""),274.0)</f>
        <v>274</v>
      </c>
      <c r="Y1593" s="2"/>
      <c r="Z1593" s="2"/>
    </row>
    <row r="1594">
      <c r="A1594" s="1">
        <f>IFERROR(__xludf.DUMMYFUNCTION("""COMPUTED_VALUE"""),1593.0)</f>
        <v>1593</v>
      </c>
      <c r="B1594" s="1">
        <f>IFERROR(__xludf.DUMMYFUNCTION("""COMPUTED_VALUE"""),6363.0)</f>
        <v>6363</v>
      </c>
      <c r="C1594" s="2" t="str">
        <f>IFERROR(__xludf.DUMMYFUNCTION("""COMPUTED_VALUE"""),"Maretia")</f>
        <v>Maretia</v>
      </c>
      <c r="D1594" s="2" t="str">
        <f>IFERROR(__xludf.DUMMYFUNCTION("""COMPUTED_VALUE"""),"5KM OVERALL F")</f>
        <v>5KM OVERALL F</v>
      </c>
      <c r="E1594" s="1">
        <f>IFERROR(__xludf.DUMMYFUNCTION("""COMPUTED_VALUE"""),2.0)</f>
        <v>2</v>
      </c>
      <c r="F1594" s="1" t="str">
        <f>IFERROR(__xludf.DUMMYFUNCTION("""COMPUTED_VALUE"""),"Female")</f>
        <v>Female</v>
      </c>
      <c r="G1594" s="4" t="b">
        <f>IFERROR(__xludf.DUMMYFUNCTION("""COMPUTED_VALUE"""),TRUE)</f>
        <v>1</v>
      </c>
      <c r="H1594" s="4" t="b">
        <f>IFERROR(__xludf.DUMMYFUNCTION("""COMPUTED_VALUE"""),TRUE)</f>
        <v>1</v>
      </c>
      <c r="I1594" s="4">
        <f>IFERROR(__xludf.DUMMYFUNCTION("""COMPUTED_VALUE"""),0.2549440625)</f>
        <v>0.2549440625</v>
      </c>
      <c r="J1594" s="4">
        <f>IFERROR(__xludf.DUMMYFUNCTION("""COMPUTED_VALUE"""),45949.27847114501)</f>
        <v>45949.27847</v>
      </c>
      <c r="K1594" s="4" t="str">
        <f>IFERROR(__xludf.DUMMYFUNCTION("""COMPUTED_VALUE"""),"")</f>
        <v/>
      </c>
      <c r="L1594" s="4">
        <f>IFERROR(__xludf.DUMMYFUNCTION("""COMPUTED_VALUE"""),45949.29450161724)</f>
        <v>45949.2945</v>
      </c>
      <c r="M1594" s="1" t="str">
        <f>IFERROR(__xludf.DUMMYFUNCTION("""COMPUTED_VALUE"""),"RFID")</f>
        <v>RFID</v>
      </c>
      <c r="N1594" s="5">
        <f>IFERROR(__xludf.DUMMYFUNCTION("""COMPUTED_VALUE"""),0.009410833333333334)</f>
        <v>0.009410833333</v>
      </c>
      <c r="O1594" s="5" t="str">
        <f>IFERROR(__xludf.DUMMYFUNCTION("""COMPUTED_VALUE"""),"")</f>
        <v/>
      </c>
      <c r="P1594" s="5" t="str">
        <f>IFERROR(__xludf.DUMMYFUNCTION("""COMPUTED_VALUE"""),"")</f>
        <v/>
      </c>
      <c r="Q1594" s="5">
        <f>IFERROR(__xludf.DUMMYFUNCTION("""COMPUTED_VALUE"""),0.007911511574074074)</f>
        <v>0.007911511574</v>
      </c>
      <c r="R1594" s="4">
        <f>IFERROR(__xludf.DUMMYFUNCTION("""COMPUTED_VALUE"""),45949.03955755474)</f>
        <v>45949.03956</v>
      </c>
      <c r="S1594" s="1" t="b">
        <f>IFERROR(__xludf.DUMMYFUNCTION("""COMPUTED_VALUE"""),TRUE)</f>
        <v>1</v>
      </c>
      <c r="T1594" s="1" t="b">
        <f>IFERROR(__xludf.DUMMYFUNCTION("""COMPUTED_VALUE"""),FALSE)</f>
        <v>0</v>
      </c>
      <c r="U1594" s="1" t="str">
        <f>IFERROR(__xludf.DUMMYFUNCTION("""COMPUTED_VALUE"""),"VALID")</f>
        <v>VALID</v>
      </c>
      <c r="V1594" s="1">
        <f>IFERROR(__xludf.DUMMYFUNCTION("""COMPUTED_VALUE"""),307.0)</f>
        <v>307</v>
      </c>
      <c r="W1594" s="1">
        <f>IFERROR(__xludf.DUMMYFUNCTION("""COMPUTED_VALUE"""),1218.0)</f>
        <v>1218</v>
      </c>
      <c r="X1594" s="1">
        <f>IFERROR(__xludf.DUMMYFUNCTION("""COMPUTED_VALUE"""),372.0)</f>
        <v>372</v>
      </c>
      <c r="Y1594" s="2"/>
      <c r="Z1594" s="2"/>
    </row>
    <row r="1595">
      <c r="A1595" s="1">
        <f>IFERROR(__xludf.DUMMYFUNCTION("""COMPUTED_VALUE"""),1594.0)</f>
        <v>1594</v>
      </c>
      <c r="B1595" s="1">
        <f>IFERROR(__xludf.DUMMYFUNCTION("""COMPUTED_VALUE"""),6366.0)</f>
        <v>6366</v>
      </c>
      <c r="C1595" s="2" t="str">
        <f>IFERROR(__xludf.DUMMYFUNCTION("""COMPUTED_VALUE"""),"Hamdana")</f>
        <v>Hamdana</v>
      </c>
      <c r="D1595" s="2" t="str">
        <f>IFERROR(__xludf.DUMMYFUNCTION("""COMPUTED_VALUE"""),"5KM OVERALL F")</f>
        <v>5KM OVERALL F</v>
      </c>
      <c r="E1595" s="1">
        <f>IFERROR(__xludf.DUMMYFUNCTION("""COMPUTED_VALUE"""),2.0)</f>
        <v>2</v>
      </c>
      <c r="F1595" s="1" t="str">
        <f>IFERROR(__xludf.DUMMYFUNCTION("""COMPUTED_VALUE"""),"Female")</f>
        <v>Female</v>
      </c>
      <c r="G1595" s="4" t="b">
        <f>IFERROR(__xludf.DUMMYFUNCTION("""COMPUTED_VALUE"""),TRUE)</f>
        <v>1</v>
      </c>
      <c r="H1595" s="4" t="b">
        <f>IFERROR(__xludf.DUMMYFUNCTION("""COMPUTED_VALUE"""),FALSE)</f>
        <v>0</v>
      </c>
      <c r="I1595" s="4">
        <f>IFERROR(__xludf.DUMMYFUNCTION("""COMPUTED_VALUE"""),0.2549440625)</f>
        <v>0.2549440625</v>
      </c>
      <c r="J1595" s="4">
        <f>IFERROR(__xludf.DUMMYFUNCTION("""COMPUTED_VALUE"""),45949.27515521037)</f>
        <v>45949.27516</v>
      </c>
      <c r="K1595" s="4" t="str">
        <f>IFERROR(__xludf.DUMMYFUNCTION("""COMPUTED_VALUE"""),"")</f>
        <v/>
      </c>
      <c r="L1595" s="4">
        <f>IFERROR(__xludf.DUMMYFUNCTION("""COMPUTED_VALUE"""),45949.291300120276)</f>
        <v>45949.2913</v>
      </c>
      <c r="M1595" s="1" t="str">
        <f>IFERROR(__xludf.DUMMYFUNCTION("""COMPUTED_VALUE"""),"RFID")</f>
        <v>RFID</v>
      </c>
      <c r="N1595" s="5">
        <f>IFERROR(__xludf.DUMMYFUNCTION("""COMPUTED_VALUE"""),0.008084458333333332)</f>
        <v>0.008084458333</v>
      </c>
      <c r="O1595" s="5" t="str">
        <f>IFERROR(__xludf.DUMMYFUNCTION("""COMPUTED_VALUE"""),"")</f>
        <v/>
      </c>
      <c r="P1595" s="5" t="str">
        <f>IFERROR(__xludf.DUMMYFUNCTION("""COMPUTED_VALUE"""),"")</f>
        <v/>
      </c>
      <c r="Q1595" s="5">
        <f>IFERROR(__xludf.DUMMYFUNCTION("""COMPUTED_VALUE"""),0.007271210648148148)</f>
        <v>0.007271210648</v>
      </c>
      <c r="R1595" s="4">
        <f>IFERROR(__xludf.DUMMYFUNCTION("""COMPUTED_VALUE"""),45949.036356057775)</f>
        <v>45949.03636</v>
      </c>
      <c r="S1595" s="1" t="b">
        <f>IFERROR(__xludf.DUMMYFUNCTION("""COMPUTED_VALUE"""),TRUE)</f>
        <v>1</v>
      </c>
      <c r="T1595" s="1" t="b">
        <f>IFERROR(__xludf.DUMMYFUNCTION("""COMPUTED_VALUE"""),FALSE)</f>
        <v>0</v>
      </c>
      <c r="U1595" s="1" t="str">
        <f>IFERROR(__xludf.DUMMYFUNCTION("""COMPUTED_VALUE"""),"VALID")</f>
        <v>VALID</v>
      </c>
      <c r="V1595" s="1">
        <f>IFERROR(__xludf.DUMMYFUNCTION("""COMPUTED_VALUE"""),197.0)</f>
        <v>197</v>
      </c>
      <c r="W1595" s="1">
        <f>IFERROR(__xludf.DUMMYFUNCTION("""COMPUTED_VALUE"""),984.0)</f>
        <v>984</v>
      </c>
      <c r="X1595" s="1">
        <f>IFERROR(__xludf.DUMMYFUNCTION("""COMPUTED_VALUE"""),248.0)</f>
        <v>248</v>
      </c>
      <c r="Y1595" s="2"/>
      <c r="Z1595" s="2"/>
    </row>
    <row r="1596">
      <c r="A1596" s="1">
        <f>IFERROR(__xludf.DUMMYFUNCTION("""COMPUTED_VALUE"""),1595.0)</f>
        <v>1595</v>
      </c>
      <c r="B1596" s="1">
        <f>IFERROR(__xludf.DUMMYFUNCTION("""COMPUTED_VALUE"""),6368.0)</f>
        <v>6368</v>
      </c>
      <c r="C1596" s="2" t="str">
        <f>IFERROR(__xludf.DUMMYFUNCTION("""COMPUTED_VALUE"""),"Nurul Aulia Hasanah")</f>
        <v>Nurul Aulia Hasanah</v>
      </c>
      <c r="D1596" s="2" t="str">
        <f>IFERROR(__xludf.DUMMYFUNCTION("""COMPUTED_VALUE"""),"5KM OVERALL F")</f>
        <v>5KM OVERALL F</v>
      </c>
      <c r="E1596" s="1">
        <f>IFERROR(__xludf.DUMMYFUNCTION("""COMPUTED_VALUE"""),2.0)</f>
        <v>2</v>
      </c>
      <c r="F1596" s="1" t="str">
        <f>IFERROR(__xludf.DUMMYFUNCTION("""COMPUTED_VALUE"""),"Female")</f>
        <v>Female</v>
      </c>
      <c r="G1596" s="4" t="b">
        <f>IFERROR(__xludf.DUMMYFUNCTION("""COMPUTED_VALUE"""),TRUE)</f>
        <v>1</v>
      </c>
      <c r="H1596" s="4" t="b">
        <f>IFERROR(__xludf.DUMMYFUNCTION("""COMPUTED_VALUE"""),TRUE)</f>
        <v>1</v>
      </c>
      <c r="I1596" s="4">
        <f>IFERROR(__xludf.DUMMYFUNCTION("""COMPUTED_VALUE"""),0.2549440625)</f>
        <v>0.2549440625</v>
      </c>
      <c r="J1596" s="4">
        <f>IFERROR(__xludf.DUMMYFUNCTION("""COMPUTED_VALUE"""),45949.27357903849)</f>
        <v>45949.27358</v>
      </c>
      <c r="K1596" s="4" t="str">
        <f>IFERROR(__xludf.DUMMYFUNCTION("""COMPUTED_VALUE"""),"")</f>
        <v/>
      </c>
      <c r="L1596" s="4">
        <f>IFERROR(__xludf.DUMMYFUNCTION("""COMPUTED_VALUE"""),45949.284591858326)</f>
        <v>45949.28459</v>
      </c>
      <c r="M1596" s="1" t="str">
        <f>IFERROR(__xludf.DUMMYFUNCTION("""COMPUTED_VALUE"""),"RFID")</f>
        <v>RFID</v>
      </c>
      <c r="N1596" s="5">
        <f>IFERROR(__xludf.DUMMYFUNCTION("""COMPUTED_VALUE"""),0.00745399074074074)</f>
        <v>0.007453990741</v>
      </c>
      <c r="O1596" s="5" t="str">
        <f>IFERROR(__xludf.DUMMYFUNCTION("""COMPUTED_VALUE"""),"")</f>
        <v/>
      </c>
      <c r="P1596" s="5" t="str">
        <f>IFERROR(__xludf.DUMMYFUNCTION("""COMPUTED_VALUE"""),"")</f>
        <v/>
      </c>
      <c r="Q1596" s="5">
        <f>IFERROR(__xludf.DUMMYFUNCTION("""COMPUTED_VALUE"""),0.005929560185185185)</f>
        <v>0.005929560185</v>
      </c>
      <c r="R1596" s="4">
        <f>IFERROR(__xludf.DUMMYFUNCTION("""COMPUTED_VALUE"""),45949.029647795825)</f>
        <v>45949.02965</v>
      </c>
      <c r="S1596" s="1" t="b">
        <f>IFERROR(__xludf.DUMMYFUNCTION("""COMPUTED_VALUE"""),TRUE)</f>
        <v>1</v>
      </c>
      <c r="T1596" s="1" t="b">
        <f>IFERROR(__xludf.DUMMYFUNCTION("""COMPUTED_VALUE"""),FALSE)</f>
        <v>0</v>
      </c>
      <c r="U1596" s="1" t="str">
        <f>IFERROR(__xludf.DUMMYFUNCTION("""COMPUTED_VALUE"""),"VALID")</f>
        <v>VALID</v>
      </c>
      <c r="V1596" s="1">
        <f>IFERROR(__xludf.DUMMYFUNCTION("""COMPUTED_VALUE"""),66.0)</f>
        <v>66</v>
      </c>
      <c r="W1596" s="1">
        <f>IFERROR(__xludf.DUMMYFUNCTION("""COMPUTED_VALUE"""),550.0)</f>
        <v>550</v>
      </c>
      <c r="X1596" s="1">
        <f>IFERROR(__xludf.DUMMYFUNCTION("""COMPUTED_VALUE"""),88.0)</f>
        <v>88</v>
      </c>
      <c r="Y1596" s="2"/>
      <c r="Z1596" s="2"/>
    </row>
    <row r="1597">
      <c r="A1597" s="1">
        <f>IFERROR(__xludf.DUMMYFUNCTION("""COMPUTED_VALUE"""),1596.0)</f>
        <v>1596</v>
      </c>
      <c r="B1597" s="1">
        <f>IFERROR(__xludf.DUMMYFUNCTION("""COMPUTED_VALUE"""),6370.0)</f>
        <v>6370</v>
      </c>
      <c r="C1597" s="2" t="str">
        <f>IFERROR(__xludf.DUMMYFUNCTION("""COMPUTED_VALUE"""),"Anita Purwandari")</f>
        <v>Anita Purwandari</v>
      </c>
      <c r="D1597" s="2" t="str">
        <f>IFERROR(__xludf.DUMMYFUNCTION("""COMPUTED_VALUE"""),"5KM OVERALL F")</f>
        <v>5KM OVERALL F</v>
      </c>
      <c r="E1597" s="1">
        <f>IFERROR(__xludf.DUMMYFUNCTION("""COMPUTED_VALUE"""),2.0)</f>
        <v>2</v>
      </c>
      <c r="F1597" s="1" t="str">
        <f>IFERROR(__xludf.DUMMYFUNCTION("""COMPUTED_VALUE"""),"Female")</f>
        <v>Female</v>
      </c>
      <c r="G1597" s="4" t="b">
        <f>IFERROR(__xludf.DUMMYFUNCTION("""COMPUTED_VALUE"""),TRUE)</f>
        <v>1</v>
      </c>
      <c r="H1597" s="4" t="b">
        <f>IFERROR(__xludf.DUMMYFUNCTION("""COMPUTED_VALUE"""),TRUE)</f>
        <v>1</v>
      </c>
      <c r="I1597" s="4">
        <f>IFERROR(__xludf.DUMMYFUNCTION("""COMPUTED_VALUE"""),0.2549440625)</f>
        <v>0.2549440625</v>
      </c>
      <c r="J1597" s="4">
        <f>IFERROR(__xludf.DUMMYFUNCTION("""COMPUTED_VALUE"""),45949.27363196351)</f>
        <v>45949.27363</v>
      </c>
      <c r="K1597" s="4" t="str">
        <f>IFERROR(__xludf.DUMMYFUNCTION("""COMPUTED_VALUE"""),"")</f>
        <v/>
      </c>
      <c r="L1597" s="4">
        <f>IFERROR(__xludf.DUMMYFUNCTION("""COMPUTED_VALUE"""),45949.288515458145)</f>
        <v>45949.28852</v>
      </c>
      <c r="M1597" s="1" t="str">
        <f>IFERROR(__xludf.DUMMYFUNCTION("""COMPUTED_VALUE"""),"RFID")</f>
        <v>RFID</v>
      </c>
      <c r="N1597" s="5">
        <f>IFERROR(__xludf.DUMMYFUNCTION("""COMPUTED_VALUE"""),0.007475162037037036)</f>
        <v>0.007475162037</v>
      </c>
      <c r="O1597" s="5" t="str">
        <f>IFERROR(__xludf.DUMMYFUNCTION("""COMPUTED_VALUE"""),"")</f>
        <v/>
      </c>
      <c r="P1597" s="5" t="str">
        <f>IFERROR(__xludf.DUMMYFUNCTION("""COMPUTED_VALUE"""),"")</f>
        <v/>
      </c>
      <c r="Q1597" s="5">
        <f>IFERROR(__xludf.DUMMYFUNCTION("""COMPUTED_VALUE"""),0.006714280092592592)</f>
        <v>0.006714280093</v>
      </c>
      <c r="R1597" s="4">
        <f>IFERROR(__xludf.DUMMYFUNCTION("""COMPUTED_VALUE"""),45949.033571395645)</f>
        <v>45949.03357</v>
      </c>
      <c r="S1597" s="1" t="b">
        <f>IFERROR(__xludf.DUMMYFUNCTION("""COMPUTED_VALUE"""),TRUE)</f>
        <v>1</v>
      </c>
      <c r="T1597" s="1" t="b">
        <f>IFERROR(__xludf.DUMMYFUNCTION("""COMPUTED_VALUE"""),FALSE)</f>
        <v>0</v>
      </c>
      <c r="U1597" s="1" t="str">
        <f>IFERROR(__xludf.DUMMYFUNCTION("""COMPUTED_VALUE"""),"VALID")</f>
        <v>VALID</v>
      </c>
      <c r="V1597" s="1">
        <f>IFERROR(__xludf.DUMMYFUNCTION("""COMPUTED_VALUE"""),141.0)</f>
        <v>141</v>
      </c>
      <c r="W1597" s="1">
        <f>IFERROR(__xludf.DUMMYFUNCTION("""COMPUTED_VALUE"""),813.0)</f>
        <v>813</v>
      </c>
      <c r="X1597" s="1">
        <f>IFERROR(__xludf.DUMMYFUNCTION("""COMPUTED_VALUE"""),175.0)</f>
        <v>175</v>
      </c>
      <c r="Y1597" s="2"/>
      <c r="Z1597" s="2"/>
    </row>
    <row r="1598">
      <c r="A1598" s="1">
        <f>IFERROR(__xludf.DUMMYFUNCTION("""COMPUTED_VALUE"""),1597.0)</f>
        <v>1597</v>
      </c>
      <c r="B1598" s="1">
        <f>IFERROR(__xludf.DUMMYFUNCTION("""COMPUTED_VALUE"""),6372.0)</f>
        <v>6372</v>
      </c>
      <c r="C1598" s="2" t="str">
        <f>IFERROR(__xludf.DUMMYFUNCTION("""COMPUTED_VALUE"""),"MAKIAH")</f>
        <v>MAKIAH</v>
      </c>
      <c r="D1598" s="2" t="str">
        <f>IFERROR(__xludf.DUMMYFUNCTION("""COMPUTED_VALUE"""),"5KM OVERALL F")</f>
        <v>5KM OVERALL F</v>
      </c>
      <c r="E1598" s="1">
        <f>IFERROR(__xludf.DUMMYFUNCTION("""COMPUTED_VALUE"""),2.0)</f>
        <v>2</v>
      </c>
      <c r="F1598" s="1" t="str">
        <f>IFERROR(__xludf.DUMMYFUNCTION("""COMPUTED_VALUE"""),"Female")</f>
        <v>Female</v>
      </c>
      <c r="G1598" s="4" t="b">
        <f>IFERROR(__xludf.DUMMYFUNCTION("""COMPUTED_VALUE"""),TRUE)</f>
        <v>1</v>
      </c>
      <c r="H1598" s="4" t="b">
        <f>IFERROR(__xludf.DUMMYFUNCTION("""COMPUTED_VALUE"""),FALSE)</f>
        <v>0</v>
      </c>
      <c r="I1598" s="4">
        <f>IFERROR(__xludf.DUMMYFUNCTION("""COMPUTED_VALUE"""),0.2549440625)</f>
        <v>0.2549440625</v>
      </c>
      <c r="J1598" s="4">
        <f>IFERROR(__xludf.DUMMYFUNCTION("""COMPUTED_VALUE"""),45949.27373156029)</f>
        <v>45949.27373</v>
      </c>
      <c r="K1598" s="4" t="str">
        <f>IFERROR(__xludf.DUMMYFUNCTION("""COMPUTED_VALUE"""),"")</f>
        <v/>
      </c>
      <c r="L1598" s="4">
        <f>IFERROR(__xludf.DUMMYFUNCTION("""COMPUTED_VALUE"""),45949.289588310916)</f>
        <v>45949.28959</v>
      </c>
      <c r="M1598" s="1" t="str">
        <f>IFERROR(__xludf.DUMMYFUNCTION("""COMPUTED_VALUE"""),"RFID")</f>
        <v>RFID</v>
      </c>
      <c r="N1598" s="5">
        <f>IFERROR(__xludf.DUMMYFUNCTION("""COMPUTED_VALUE"""),0.007514999999999999)</f>
        <v>0.007515</v>
      </c>
      <c r="O1598" s="5" t="str">
        <f>IFERROR(__xludf.DUMMYFUNCTION("""COMPUTED_VALUE"""),"")</f>
        <v/>
      </c>
      <c r="P1598" s="5" t="str">
        <f>IFERROR(__xludf.DUMMYFUNCTION("""COMPUTED_VALUE"""),"")</f>
        <v/>
      </c>
      <c r="Q1598" s="5">
        <f>IFERROR(__xludf.DUMMYFUNCTION("""COMPUTED_VALUE"""),0.006928849537037036)</f>
        <v>0.006928849537</v>
      </c>
      <c r="R1598" s="4">
        <f>IFERROR(__xludf.DUMMYFUNCTION("""COMPUTED_VALUE"""),45949.034644248415)</f>
        <v>45949.03464</v>
      </c>
      <c r="S1598" s="1" t="b">
        <f>IFERROR(__xludf.DUMMYFUNCTION("""COMPUTED_VALUE"""),TRUE)</f>
        <v>1</v>
      </c>
      <c r="T1598" s="1" t="b">
        <f>IFERROR(__xludf.DUMMYFUNCTION("""COMPUTED_VALUE"""),FALSE)</f>
        <v>0</v>
      </c>
      <c r="U1598" s="1" t="str">
        <f>IFERROR(__xludf.DUMMYFUNCTION("""COMPUTED_VALUE"""),"VALID")</f>
        <v>VALID</v>
      </c>
      <c r="V1598" s="1">
        <f>IFERROR(__xludf.DUMMYFUNCTION("""COMPUTED_VALUE"""),157.0)</f>
        <v>157</v>
      </c>
      <c r="W1598" s="1">
        <f>IFERROR(__xludf.DUMMYFUNCTION("""COMPUTED_VALUE"""),872.0)</f>
        <v>872</v>
      </c>
      <c r="X1598" s="1">
        <f>IFERROR(__xludf.DUMMYFUNCTION("""COMPUTED_VALUE"""),196.0)</f>
        <v>196</v>
      </c>
      <c r="Y1598" s="2"/>
      <c r="Z1598" s="2"/>
    </row>
    <row r="1599">
      <c r="A1599" s="1">
        <f>IFERROR(__xludf.DUMMYFUNCTION("""COMPUTED_VALUE"""),1598.0)</f>
        <v>1598</v>
      </c>
      <c r="B1599" s="1">
        <f>IFERROR(__xludf.DUMMYFUNCTION("""COMPUTED_VALUE"""),6377.0)</f>
        <v>6377</v>
      </c>
      <c r="C1599" s="2" t="str">
        <f>IFERROR(__xludf.DUMMYFUNCTION("""COMPUTED_VALUE"""),"Yekti")</f>
        <v>Yekti</v>
      </c>
      <c r="D1599" s="2" t="str">
        <f>IFERROR(__xludf.DUMMYFUNCTION("""COMPUTED_VALUE"""),"5KM OVERALL F")</f>
        <v>5KM OVERALL F</v>
      </c>
      <c r="E1599" s="1">
        <f>IFERROR(__xludf.DUMMYFUNCTION("""COMPUTED_VALUE"""),2.0)</f>
        <v>2</v>
      </c>
      <c r="F1599" s="1" t="str">
        <f>IFERROR(__xludf.DUMMYFUNCTION("""COMPUTED_VALUE"""),"Female")</f>
        <v>Female</v>
      </c>
      <c r="G1599" s="4" t="b">
        <f>IFERROR(__xludf.DUMMYFUNCTION("""COMPUTED_VALUE"""),TRUE)</f>
        <v>1</v>
      </c>
      <c r="H1599" s="4" t="b">
        <f>IFERROR(__xludf.DUMMYFUNCTION("""COMPUTED_VALUE"""),TRUE)</f>
        <v>1</v>
      </c>
      <c r="I1599" s="4">
        <f>IFERROR(__xludf.DUMMYFUNCTION("""COMPUTED_VALUE"""),0.2549440625)</f>
        <v>0.2549440625</v>
      </c>
      <c r="J1599" s="4">
        <f>IFERROR(__xludf.DUMMYFUNCTION("""COMPUTED_VALUE"""),45949.27828021157)</f>
        <v>45949.27828</v>
      </c>
      <c r="K1599" s="4" t="str">
        <f>IFERROR(__xludf.DUMMYFUNCTION("""COMPUTED_VALUE"""),"")</f>
        <v/>
      </c>
      <c r="L1599" s="4">
        <f>IFERROR(__xludf.DUMMYFUNCTION("""COMPUTED_VALUE"""),45949.29373762107)</f>
        <v>45949.29374</v>
      </c>
      <c r="M1599" s="1" t="str">
        <f>IFERROR(__xludf.DUMMYFUNCTION("""COMPUTED_VALUE"""),"RFID")</f>
        <v>RFID</v>
      </c>
      <c r="N1599" s="5">
        <f>IFERROR(__xludf.DUMMYFUNCTION("""COMPUTED_VALUE"""),0.009334458333333333)</f>
        <v>0.009334458333</v>
      </c>
      <c r="O1599" s="5" t="str">
        <f>IFERROR(__xludf.DUMMYFUNCTION("""COMPUTED_VALUE"""),"")</f>
        <v/>
      </c>
      <c r="P1599" s="5" t="str">
        <f>IFERROR(__xludf.DUMMYFUNCTION("""COMPUTED_VALUE"""),"")</f>
        <v/>
      </c>
      <c r="Q1599" s="5">
        <f>IFERROR(__xludf.DUMMYFUNCTION("""COMPUTED_VALUE"""),0.007758710648148148)</f>
        <v>0.007758710648</v>
      </c>
      <c r="R1599" s="4">
        <f>IFERROR(__xludf.DUMMYFUNCTION("""COMPUTED_VALUE"""),45949.03879355857)</f>
        <v>45949.03879</v>
      </c>
      <c r="S1599" s="1" t="b">
        <f>IFERROR(__xludf.DUMMYFUNCTION("""COMPUTED_VALUE"""),TRUE)</f>
        <v>1</v>
      </c>
      <c r="T1599" s="1" t="b">
        <f>IFERROR(__xludf.DUMMYFUNCTION("""COMPUTED_VALUE"""),FALSE)</f>
        <v>0</v>
      </c>
      <c r="U1599" s="1" t="str">
        <f>IFERROR(__xludf.DUMMYFUNCTION("""COMPUTED_VALUE"""),"VALID")</f>
        <v>VALID</v>
      </c>
      <c r="V1599" s="1">
        <f>IFERROR(__xludf.DUMMYFUNCTION("""COMPUTED_VALUE"""),276.0)</f>
        <v>276</v>
      </c>
      <c r="W1599" s="1">
        <f>IFERROR(__xludf.DUMMYFUNCTION("""COMPUTED_VALUE"""),1153.0)</f>
        <v>1153</v>
      </c>
      <c r="X1599" s="1">
        <f>IFERROR(__xludf.DUMMYFUNCTION("""COMPUTED_VALUE"""),335.0)</f>
        <v>335</v>
      </c>
      <c r="Y1599" s="2"/>
      <c r="Z1599" s="2"/>
    </row>
    <row r="1600">
      <c r="A1600" s="1">
        <f>IFERROR(__xludf.DUMMYFUNCTION("""COMPUTED_VALUE"""),1599.0)</f>
        <v>1599</v>
      </c>
      <c r="B1600" s="1">
        <f>IFERROR(__xludf.DUMMYFUNCTION("""COMPUTED_VALUE"""),6379.0)</f>
        <v>6379</v>
      </c>
      <c r="C1600" s="2" t="str">
        <f>IFERROR(__xludf.DUMMYFUNCTION("""COMPUTED_VALUE"""),"Choni Nurlita")</f>
        <v>Choni Nurlita</v>
      </c>
      <c r="D1600" s="2" t="str">
        <f>IFERROR(__xludf.DUMMYFUNCTION("""COMPUTED_VALUE"""),"5KM OVERALL F")</f>
        <v>5KM OVERALL F</v>
      </c>
      <c r="E1600" s="1">
        <f>IFERROR(__xludf.DUMMYFUNCTION("""COMPUTED_VALUE"""),2.0)</f>
        <v>2</v>
      </c>
      <c r="F1600" s="1" t="str">
        <f>IFERROR(__xludf.DUMMYFUNCTION("""COMPUTED_VALUE"""),"Female")</f>
        <v>Female</v>
      </c>
      <c r="G1600" s="4" t="b">
        <f>IFERROR(__xludf.DUMMYFUNCTION("""COMPUTED_VALUE"""),TRUE)</f>
        <v>1</v>
      </c>
      <c r="H1600" s="4" t="b">
        <f>IFERROR(__xludf.DUMMYFUNCTION("""COMPUTED_VALUE"""),FALSE)</f>
        <v>0</v>
      </c>
      <c r="I1600" s="4">
        <f>IFERROR(__xludf.DUMMYFUNCTION("""COMPUTED_VALUE"""),0.2549440625)</f>
        <v>0.2549440625</v>
      </c>
      <c r="J1600" s="4">
        <f>IFERROR(__xludf.DUMMYFUNCTION("""COMPUTED_VALUE"""),45949.272957481095)</f>
        <v>45949.27296</v>
      </c>
      <c r="K1600" s="4" t="str">
        <f>IFERROR(__xludf.DUMMYFUNCTION("""COMPUTED_VALUE"""),"")</f>
        <v/>
      </c>
      <c r="L1600" s="4">
        <f>IFERROR(__xludf.DUMMYFUNCTION("""COMPUTED_VALUE"""),45949.28674804874)</f>
        <v>45949.28675</v>
      </c>
      <c r="M1600" s="1" t="str">
        <f>IFERROR(__xludf.DUMMYFUNCTION("""COMPUTED_VALUE"""),"RFID")</f>
        <v>RFID</v>
      </c>
      <c r="N1600" s="5">
        <f>IFERROR(__xludf.DUMMYFUNCTION("""COMPUTED_VALUE"""),0.0072053657407407405)</f>
        <v>0.007205365741</v>
      </c>
      <c r="O1600" s="5" t="str">
        <f>IFERROR(__xludf.DUMMYFUNCTION("""COMPUTED_VALUE"""),"")</f>
        <v/>
      </c>
      <c r="P1600" s="5" t="str">
        <f>IFERROR(__xludf.DUMMYFUNCTION("""COMPUTED_VALUE"""),"")</f>
        <v/>
      </c>
      <c r="Q1600" s="5">
        <f>IFERROR(__xludf.DUMMYFUNCTION("""COMPUTED_VALUE"""),0.006360796296296297)</f>
        <v>0.006360796296</v>
      </c>
      <c r="R1600" s="4">
        <f>IFERROR(__xludf.DUMMYFUNCTION("""COMPUTED_VALUE"""),45949.03180398624)</f>
        <v>45949.0318</v>
      </c>
      <c r="S1600" s="1" t="b">
        <f>IFERROR(__xludf.DUMMYFUNCTION("""COMPUTED_VALUE"""),TRUE)</f>
        <v>1</v>
      </c>
      <c r="T1600" s="1" t="b">
        <f>IFERROR(__xludf.DUMMYFUNCTION("""COMPUTED_VALUE"""),FALSE)</f>
        <v>0</v>
      </c>
      <c r="U1600" s="1" t="str">
        <f>IFERROR(__xludf.DUMMYFUNCTION("""COMPUTED_VALUE"""),"VALID")</f>
        <v>VALID</v>
      </c>
      <c r="V1600" s="1">
        <f>IFERROR(__xludf.DUMMYFUNCTION("""COMPUTED_VALUE"""),108.0)</f>
        <v>108</v>
      </c>
      <c r="W1600" s="1">
        <f>IFERROR(__xludf.DUMMYFUNCTION("""COMPUTED_VALUE"""),689.0)</f>
        <v>689</v>
      </c>
      <c r="X1600" s="1">
        <f>IFERROR(__xludf.DUMMYFUNCTION("""COMPUTED_VALUE"""),135.0)</f>
        <v>135</v>
      </c>
      <c r="Y1600" s="2"/>
      <c r="Z1600" s="2"/>
    </row>
    <row r="1601">
      <c r="A1601" s="1">
        <f>IFERROR(__xludf.DUMMYFUNCTION("""COMPUTED_VALUE"""),1600.0)</f>
        <v>1600</v>
      </c>
      <c r="B1601" s="1">
        <f>IFERROR(__xludf.DUMMYFUNCTION("""COMPUTED_VALUE"""),6380.0)</f>
        <v>6380</v>
      </c>
      <c r="C1601" s="2" t="str">
        <f>IFERROR(__xludf.DUMMYFUNCTION("""COMPUTED_VALUE"""),"Joy")</f>
        <v>Joy</v>
      </c>
      <c r="D1601" s="2" t="str">
        <f>IFERROR(__xludf.DUMMYFUNCTION("""COMPUTED_VALUE"""),"5KM OVERALL F")</f>
        <v>5KM OVERALL F</v>
      </c>
      <c r="E1601" s="1">
        <f>IFERROR(__xludf.DUMMYFUNCTION("""COMPUTED_VALUE"""),2.0)</f>
        <v>2</v>
      </c>
      <c r="F1601" s="1" t="str">
        <f>IFERROR(__xludf.DUMMYFUNCTION("""COMPUTED_VALUE"""),"Female")</f>
        <v>Female</v>
      </c>
      <c r="G1601" s="4" t="b">
        <f>IFERROR(__xludf.DUMMYFUNCTION("""COMPUTED_VALUE"""),TRUE)</f>
        <v>1</v>
      </c>
      <c r="H1601" s="4" t="b">
        <f>IFERROR(__xludf.DUMMYFUNCTION("""COMPUTED_VALUE"""),FALSE)</f>
        <v>0</v>
      </c>
      <c r="I1601" s="4">
        <f>IFERROR(__xludf.DUMMYFUNCTION("""COMPUTED_VALUE"""),0.2549440625)</f>
        <v>0.2549440625</v>
      </c>
      <c r="J1601" s="4">
        <f>IFERROR(__xludf.DUMMYFUNCTION("""COMPUTED_VALUE"""),45949.2735166788)</f>
        <v>45949.27352</v>
      </c>
      <c r="K1601" s="4" t="str">
        <f>IFERROR(__xludf.DUMMYFUNCTION("""COMPUTED_VALUE"""),"")</f>
        <v/>
      </c>
      <c r="L1601" s="4">
        <f>IFERROR(__xludf.DUMMYFUNCTION("""COMPUTED_VALUE"""),45949.29057443949)</f>
        <v>45949.29057</v>
      </c>
      <c r="M1601" s="1" t="str">
        <f>IFERROR(__xludf.DUMMYFUNCTION("""COMPUTED_VALUE"""),"RFID")</f>
        <v>RFID</v>
      </c>
      <c r="N1601" s="5">
        <f>IFERROR(__xludf.DUMMYFUNCTION("""COMPUTED_VALUE"""),0.0074290462962962964)</f>
        <v>0.007429046296</v>
      </c>
      <c r="O1601" s="5" t="str">
        <f>IFERROR(__xludf.DUMMYFUNCTION("""COMPUTED_VALUE"""),"")</f>
        <v/>
      </c>
      <c r="P1601" s="5" t="str">
        <f>IFERROR(__xludf.DUMMYFUNCTION("""COMPUTED_VALUE"""),"")</f>
        <v/>
      </c>
      <c r="Q1601" s="5">
        <f>IFERROR(__xludf.DUMMYFUNCTION("""COMPUTED_VALUE"""),0.00712607638888889)</f>
        <v>0.007126076389</v>
      </c>
      <c r="R1601" s="4">
        <f>IFERROR(__xludf.DUMMYFUNCTION("""COMPUTED_VALUE"""),45949.03563037699)</f>
        <v>45949.03563</v>
      </c>
      <c r="S1601" s="1" t="b">
        <f>IFERROR(__xludf.DUMMYFUNCTION("""COMPUTED_VALUE"""),TRUE)</f>
        <v>1</v>
      </c>
      <c r="T1601" s="1" t="b">
        <f>IFERROR(__xludf.DUMMYFUNCTION("""COMPUTED_VALUE"""),FALSE)</f>
        <v>0</v>
      </c>
      <c r="U1601" s="1" t="str">
        <f>IFERROR(__xludf.DUMMYFUNCTION("""COMPUTED_VALUE"""),"VALID")</f>
        <v>VALID</v>
      </c>
      <c r="V1601" s="1">
        <f>IFERROR(__xludf.DUMMYFUNCTION("""COMPUTED_VALUE"""),173.0)</f>
        <v>173</v>
      </c>
      <c r="W1601" s="1">
        <f>IFERROR(__xludf.DUMMYFUNCTION("""COMPUTED_VALUE"""),926.0)</f>
        <v>926</v>
      </c>
      <c r="X1601" s="1">
        <f>IFERROR(__xludf.DUMMYFUNCTION("""COMPUTED_VALUE"""),216.0)</f>
        <v>216</v>
      </c>
      <c r="Y1601" s="2"/>
      <c r="Z1601" s="2"/>
    </row>
    <row r="1602">
      <c r="A1602" s="1">
        <f>IFERROR(__xludf.DUMMYFUNCTION("""COMPUTED_VALUE"""),1601.0)</f>
        <v>1601</v>
      </c>
      <c r="B1602" s="1">
        <f>IFERROR(__xludf.DUMMYFUNCTION("""COMPUTED_VALUE"""),6381.0)</f>
        <v>6381</v>
      </c>
      <c r="C1602" s="2" t="str">
        <f>IFERROR(__xludf.DUMMYFUNCTION("""COMPUTED_VALUE"""),"Nadia Pratiwi")</f>
        <v>Nadia Pratiwi</v>
      </c>
      <c r="D1602" s="2" t="str">
        <f>IFERROR(__xludf.DUMMYFUNCTION("""COMPUTED_VALUE"""),"5KM OVERALL F")</f>
        <v>5KM OVERALL F</v>
      </c>
      <c r="E1602" s="1">
        <f>IFERROR(__xludf.DUMMYFUNCTION("""COMPUTED_VALUE"""),2.0)</f>
        <v>2</v>
      </c>
      <c r="F1602" s="1" t="str">
        <f>IFERROR(__xludf.DUMMYFUNCTION("""COMPUTED_VALUE"""),"Female")</f>
        <v>Female</v>
      </c>
      <c r="G1602" s="4" t="b">
        <f>IFERROR(__xludf.DUMMYFUNCTION("""COMPUTED_VALUE"""),TRUE)</f>
        <v>1</v>
      </c>
      <c r="H1602" s="4" t="b">
        <f>IFERROR(__xludf.DUMMYFUNCTION("""COMPUTED_VALUE"""),FALSE)</f>
        <v>0</v>
      </c>
      <c r="I1602" s="4">
        <f>IFERROR(__xludf.DUMMYFUNCTION("""COMPUTED_VALUE"""),0.2549440625)</f>
        <v>0.2549440625</v>
      </c>
      <c r="J1602" s="4">
        <f>IFERROR(__xludf.DUMMYFUNCTION("""COMPUTED_VALUE"""),45949.27183572791)</f>
        <v>45949.27184</v>
      </c>
      <c r="K1602" s="4" t="str">
        <f>IFERROR(__xludf.DUMMYFUNCTION("""COMPUTED_VALUE"""),"")</f>
        <v/>
      </c>
      <c r="L1602" s="4">
        <f>IFERROR(__xludf.DUMMYFUNCTION("""COMPUTED_VALUE"""),45949.28640783098)</f>
        <v>45949.28641</v>
      </c>
      <c r="M1602" s="1" t="str">
        <f>IFERROR(__xludf.DUMMYFUNCTION("""COMPUTED_VALUE"""),"RFID")</f>
        <v>RFID</v>
      </c>
      <c r="N1602" s="5">
        <f>IFERROR(__xludf.DUMMYFUNCTION("""COMPUTED_VALUE"""),0.006756666666666666)</f>
        <v>0.006756666667</v>
      </c>
      <c r="O1602" s="5" t="str">
        <f>IFERROR(__xludf.DUMMYFUNCTION("""COMPUTED_VALUE"""),"")</f>
        <v/>
      </c>
      <c r="P1602" s="5" t="str">
        <f>IFERROR(__xludf.DUMMYFUNCTION("""COMPUTED_VALUE"""),"")</f>
        <v/>
      </c>
      <c r="Q1602" s="5">
        <f>IFERROR(__xludf.DUMMYFUNCTION("""COMPUTED_VALUE"""),0.006292754629629629)</f>
        <v>0.00629275463</v>
      </c>
      <c r="R1602" s="4">
        <f>IFERROR(__xludf.DUMMYFUNCTION("""COMPUTED_VALUE"""),45949.03146376848)</f>
        <v>45949.03146</v>
      </c>
      <c r="S1602" s="1" t="b">
        <f>IFERROR(__xludf.DUMMYFUNCTION("""COMPUTED_VALUE"""),TRUE)</f>
        <v>1</v>
      </c>
      <c r="T1602" s="1" t="b">
        <f>IFERROR(__xludf.DUMMYFUNCTION("""COMPUTED_VALUE"""),FALSE)</f>
        <v>0</v>
      </c>
      <c r="U1602" s="1" t="str">
        <f>IFERROR(__xludf.DUMMYFUNCTION("""COMPUTED_VALUE"""),"VALID")</f>
        <v>VALID</v>
      </c>
      <c r="V1602" s="1">
        <f>IFERROR(__xludf.DUMMYFUNCTION("""COMPUTED_VALUE"""),100.0)</f>
        <v>100</v>
      </c>
      <c r="W1602" s="1">
        <f>IFERROR(__xludf.DUMMYFUNCTION("""COMPUTED_VALUE"""),662.0)</f>
        <v>662</v>
      </c>
      <c r="X1602" s="1">
        <f>IFERROR(__xludf.DUMMYFUNCTION("""COMPUTED_VALUE"""),127.0)</f>
        <v>127</v>
      </c>
      <c r="Y1602" s="2"/>
      <c r="Z1602" s="2"/>
    </row>
    <row r="1603">
      <c r="A1603" s="1">
        <f>IFERROR(__xludf.DUMMYFUNCTION("""COMPUTED_VALUE"""),1602.0)</f>
        <v>1602</v>
      </c>
      <c r="B1603" s="1">
        <f>IFERROR(__xludf.DUMMYFUNCTION("""COMPUTED_VALUE"""),6384.0)</f>
        <v>6384</v>
      </c>
      <c r="C1603" s="2" t="str">
        <f>IFERROR(__xludf.DUMMYFUNCTION("""COMPUTED_VALUE"""),"An_nisaw")</f>
        <v>An_nisaw</v>
      </c>
      <c r="D1603" s="2" t="str">
        <f>IFERROR(__xludf.DUMMYFUNCTION("""COMPUTED_VALUE"""),"5KM OVERALL F")</f>
        <v>5KM OVERALL F</v>
      </c>
      <c r="E1603" s="1">
        <f>IFERROR(__xludf.DUMMYFUNCTION("""COMPUTED_VALUE"""),2.0)</f>
        <v>2</v>
      </c>
      <c r="F1603" s="1" t="str">
        <f>IFERROR(__xludf.DUMMYFUNCTION("""COMPUTED_VALUE"""),"Female")</f>
        <v>Female</v>
      </c>
      <c r="G1603" s="4" t="str">
        <f>IFERROR(__xludf.DUMMYFUNCTION("""COMPUTED_VALUE"""),"")</f>
        <v/>
      </c>
      <c r="H1603" s="4" t="b">
        <f>IFERROR(__xludf.DUMMYFUNCTION("""COMPUTED_VALUE"""),FALSE)</f>
        <v>0</v>
      </c>
      <c r="I1603" s="4">
        <f>IFERROR(__xludf.DUMMYFUNCTION("""COMPUTED_VALUE"""),0.2549440625)</f>
        <v>0.2549440625</v>
      </c>
      <c r="J1603" s="4" t="str">
        <f>IFERROR(__xludf.DUMMYFUNCTION("""COMPUTED_VALUE"""),"")</f>
        <v/>
      </c>
      <c r="K1603" s="4" t="str">
        <f>IFERROR(__xludf.DUMMYFUNCTION("""COMPUTED_VALUE"""),"")</f>
        <v/>
      </c>
      <c r="L1603" s="4" t="str">
        <f>IFERROR(__xludf.DUMMYFUNCTION("""COMPUTED_VALUE"""),"")</f>
        <v/>
      </c>
      <c r="M1603" s="1" t="str">
        <f>IFERROR(__xludf.DUMMYFUNCTION("""COMPUTED_VALUE"""),"RFID")</f>
        <v>RFID</v>
      </c>
      <c r="N1603" s="5" t="str">
        <f>IFERROR(__xludf.DUMMYFUNCTION("""COMPUTED_VALUE"""),"")</f>
        <v/>
      </c>
      <c r="O1603" s="5" t="str">
        <f>IFERROR(__xludf.DUMMYFUNCTION("""COMPUTED_VALUE"""),"")</f>
        <v/>
      </c>
      <c r="P1603" s="5" t="str">
        <f>IFERROR(__xludf.DUMMYFUNCTION("""COMPUTED_VALUE"""),"")</f>
        <v/>
      </c>
      <c r="Q1603" s="5" t="str">
        <f>IFERROR(__xludf.DUMMYFUNCTION("""COMPUTED_VALUE"""),"")</f>
        <v/>
      </c>
      <c r="R1603" s="4" t="str">
        <f>IFERROR(__xludf.DUMMYFUNCTION("""COMPUTED_VALUE"""),"")</f>
        <v/>
      </c>
      <c r="S1603" s="1" t="b">
        <f>IFERROR(__xludf.DUMMYFUNCTION("""COMPUTED_VALUE"""),FALSE)</f>
        <v>0</v>
      </c>
      <c r="T1603" s="1" t="b">
        <f>IFERROR(__xludf.DUMMYFUNCTION("""COMPUTED_VALUE"""),FALSE)</f>
        <v>0</v>
      </c>
      <c r="U1603" s="1" t="str">
        <f>IFERROR(__xludf.DUMMYFUNCTION("""COMPUTED_VALUE"""),"DSQ")</f>
        <v>DSQ</v>
      </c>
      <c r="V1603" s="1" t="str">
        <f>IFERROR(__xludf.DUMMYFUNCTION("""COMPUTED_VALUE"""),"DSQ")</f>
        <v>DSQ</v>
      </c>
      <c r="W1603" s="1" t="str">
        <f>IFERROR(__xludf.DUMMYFUNCTION("""COMPUTED_VALUE"""),"DSQ")</f>
        <v>DSQ</v>
      </c>
      <c r="X1603" s="1" t="str">
        <f>IFERROR(__xludf.DUMMYFUNCTION("""COMPUTED_VALUE"""),"DSQ")</f>
        <v>DSQ</v>
      </c>
      <c r="Y1603" s="2"/>
      <c r="Z1603" s="2" t="str">
        <f>IFERROR(__xludf.DUMMYFUNCTION("""COMPUTED_VALUE"""),"")</f>
        <v/>
      </c>
    </row>
    <row r="1604">
      <c r="A1604" s="1">
        <f>IFERROR(__xludf.DUMMYFUNCTION("""COMPUTED_VALUE"""),1603.0)</f>
        <v>1603</v>
      </c>
      <c r="B1604" s="1">
        <f>IFERROR(__xludf.DUMMYFUNCTION("""COMPUTED_VALUE"""),6386.0)</f>
        <v>6386</v>
      </c>
      <c r="C1604" s="2" t="str">
        <f>IFERROR(__xludf.DUMMYFUNCTION("""COMPUTED_VALUE"""),"Putri")</f>
        <v>Putri</v>
      </c>
      <c r="D1604" s="2" t="str">
        <f>IFERROR(__xludf.DUMMYFUNCTION("""COMPUTED_VALUE"""),"5KM OVERALL F")</f>
        <v>5KM OVERALL F</v>
      </c>
      <c r="E1604" s="1">
        <f>IFERROR(__xludf.DUMMYFUNCTION("""COMPUTED_VALUE"""),2.0)</f>
        <v>2</v>
      </c>
      <c r="F1604" s="1" t="str">
        <f>IFERROR(__xludf.DUMMYFUNCTION("""COMPUTED_VALUE"""),"Female")</f>
        <v>Female</v>
      </c>
      <c r="G1604" s="4" t="b">
        <f>IFERROR(__xludf.DUMMYFUNCTION("""COMPUTED_VALUE"""),TRUE)</f>
        <v>1</v>
      </c>
      <c r="H1604" s="4" t="b">
        <f>IFERROR(__xludf.DUMMYFUNCTION("""COMPUTED_VALUE"""),TRUE)</f>
        <v>1</v>
      </c>
      <c r="I1604" s="4">
        <f>IFERROR(__xludf.DUMMYFUNCTION("""COMPUTED_VALUE"""),0.2549440625)</f>
        <v>0.2549440625</v>
      </c>
      <c r="J1604" s="4">
        <f>IFERROR(__xludf.DUMMYFUNCTION("""COMPUTED_VALUE"""),45949.27308572481)</f>
        <v>45949.27309</v>
      </c>
      <c r="K1604" s="4" t="str">
        <f>IFERROR(__xludf.DUMMYFUNCTION("""COMPUTED_VALUE"""),"")</f>
        <v/>
      </c>
      <c r="L1604" s="4">
        <f>IFERROR(__xludf.DUMMYFUNCTION("""COMPUTED_VALUE"""),45949.286390465226)</f>
        <v>45949.28639</v>
      </c>
      <c r="M1604" s="1" t="str">
        <f>IFERROR(__xludf.DUMMYFUNCTION("""COMPUTED_VALUE"""),"RFID")</f>
        <v>RFID</v>
      </c>
      <c r="N1604" s="5">
        <f>IFERROR(__xludf.DUMMYFUNCTION("""COMPUTED_VALUE"""),0.0072566666666666665)</f>
        <v>0.007256666667</v>
      </c>
      <c r="O1604" s="5" t="str">
        <f>IFERROR(__xludf.DUMMYFUNCTION("""COMPUTED_VALUE"""),"")</f>
        <v/>
      </c>
      <c r="P1604" s="5" t="str">
        <f>IFERROR(__xludf.DUMMYFUNCTION("""COMPUTED_VALUE"""),"")</f>
        <v/>
      </c>
      <c r="Q1604" s="5">
        <f>IFERROR(__xludf.DUMMYFUNCTION("""COMPUTED_VALUE"""),0.006289280092592593)</f>
        <v>0.006289280093</v>
      </c>
      <c r="R1604" s="4">
        <f>IFERROR(__xludf.DUMMYFUNCTION("""COMPUTED_VALUE"""),45949.031446402725)</f>
        <v>45949.03145</v>
      </c>
      <c r="S1604" s="1" t="b">
        <f>IFERROR(__xludf.DUMMYFUNCTION("""COMPUTED_VALUE"""),TRUE)</f>
        <v>1</v>
      </c>
      <c r="T1604" s="1" t="b">
        <f>IFERROR(__xludf.DUMMYFUNCTION("""COMPUTED_VALUE"""),FALSE)</f>
        <v>0</v>
      </c>
      <c r="U1604" s="1" t="str">
        <f>IFERROR(__xludf.DUMMYFUNCTION("""COMPUTED_VALUE"""),"VALID")</f>
        <v>VALID</v>
      </c>
      <c r="V1604" s="1">
        <f>IFERROR(__xludf.DUMMYFUNCTION("""COMPUTED_VALUE"""),99.0)</f>
        <v>99</v>
      </c>
      <c r="W1604" s="1">
        <f>IFERROR(__xludf.DUMMYFUNCTION("""COMPUTED_VALUE"""),657.0)</f>
        <v>657</v>
      </c>
      <c r="X1604" s="1">
        <f>IFERROR(__xludf.DUMMYFUNCTION("""COMPUTED_VALUE"""),126.0)</f>
        <v>126</v>
      </c>
      <c r="Y1604" s="2"/>
      <c r="Z1604" s="2"/>
    </row>
    <row r="1605">
      <c r="A1605" s="1">
        <f>IFERROR(__xludf.DUMMYFUNCTION("""COMPUTED_VALUE"""),1604.0)</f>
        <v>1604</v>
      </c>
      <c r="B1605" s="1">
        <f>IFERROR(__xludf.DUMMYFUNCTION("""COMPUTED_VALUE"""),6390.0)</f>
        <v>6390</v>
      </c>
      <c r="C1605" s="2" t="str">
        <f>IFERROR(__xludf.DUMMYFUNCTION("""COMPUTED_VALUE"""),"Naila Rizkia")</f>
        <v>Naila Rizkia</v>
      </c>
      <c r="D1605" s="2" t="str">
        <f>IFERROR(__xludf.DUMMYFUNCTION("""COMPUTED_VALUE"""),"5KM OVERALL F")</f>
        <v>5KM OVERALL F</v>
      </c>
      <c r="E1605" s="1">
        <f>IFERROR(__xludf.DUMMYFUNCTION("""COMPUTED_VALUE"""),2.0)</f>
        <v>2</v>
      </c>
      <c r="F1605" s="1" t="str">
        <f>IFERROR(__xludf.DUMMYFUNCTION("""COMPUTED_VALUE"""),"Female")</f>
        <v>Female</v>
      </c>
      <c r="G1605" s="4" t="b">
        <f>IFERROR(__xludf.DUMMYFUNCTION("""COMPUTED_VALUE"""),TRUE)</f>
        <v>1</v>
      </c>
      <c r="H1605" s="4" t="b">
        <f>IFERROR(__xludf.DUMMYFUNCTION("""COMPUTED_VALUE"""),TRUE)</f>
        <v>1</v>
      </c>
      <c r="I1605" s="4">
        <f>IFERROR(__xludf.DUMMYFUNCTION("""COMPUTED_VALUE"""),0.2549440625)</f>
        <v>0.2549440625</v>
      </c>
      <c r="J1605" s="4">
        <f>IFERROR(__xludf.DUMMYFUNCTION("""COMPUTED_VALUE"""),45949.27686002866)</f>
        <v>45949.27686</v>
      </c>
      <c r="K1605" s="4" t="str">
        <f>IFERROR(__xludf.DUMMYFUNCTION("""COMPUTED_VALUE"""),"")</f>
        <v/>
      </c>
      <c r="L1605" s="4">
        <f>IFERROR(__xludf.DUMMYFUNCTION("""COMPUTED_VALUE"""),45949.296782811296)</f>
        <v>45949.29678</v>
      </c>
      <c r="M1605" s="1" t="str">
        <f>IFERROR(__xludf.DUMMYFUNCTION("""COMPUTED_VALUE"""),"RFID")</f>
        <v>RFID</v>
      </c>
      <c r="N1605" s="5">
        <f>IFERROR(__xludf.DUMMYFUNCTION("""COMPUTED_VALUE"""),0.008766384259259258)</f>
        <v>0.008766384259</v>
      </c>
      <c r="O1605" s="5" t="str">
        <f>IFERROR(__xludf.DUMMYFUNCTION("""COMPUTED_VALUE"""),"")</f>
        <v/>
      </c>
      <c r="P1605" s="5" t="str">
        <f>IFERROR(__xludf.DUMMYFUNCTION("""COMPUTED_VALUE"""),"")</f>
        <v/>
      </c>
      <c r="Q1605" s="5">
        <f>IFERROR(__xludf.DUMMYFUNCTION("""COMPUTED_VALUE"""),0.00836775)</f>
        <v>0.00836775</v>
      </c>
      <c r="R1605" s="4">
        <f>IFERROR(__xludf.DUMMYFUNCTION("""COMPUTED_VALUE"""),45949.041838748795)</f>
        <v>45949.04184</v>
      </c>
      <c r="S1605" s="1" t="b">
        <f>IFERROR(__xludf.DUMMYFUNCTION("""COMPUTED_VALUE"""),TRUE)</f>
        <v>1</v>
      </c>
      <c r="T1605" s="1" t="b">
        <f>IFERROR(__xludf.DUMMYFUNCTION("""COMPUTED_VALUE"""),FALSE)</f>
        <v>0</v>
      </c>
      <c r="U1605" s="1" t="str">
        <f>IFERROR(__xludf.DUMMYFUNCTION("""COMPUTED_VALUE"""),"VALID")</f>
        <v>VALID</v>
      </c>
      <c r="V1605" s="1">
        <f>IFERROR(__xludf.DUMMYFUNCTION("""COMPUTED_VALUE"""),356.0)</f>
        <v>356</v>
      </c>
      <c r="W1605" s="1">
        <f>IFERROR(__xludf.DUMMYFUNCTION("""COMPUTED_VALUE"""),1327.0)</f>
        <v>1327</v>
      </c>
      <c r="X1605" s="1">
        <f>IFERROR(__xludf.DUMMYFUNCTION("""COMPUTED_VALUE"""),431.0)</f>
        <v>431</v>
      </c>
      <c r="Y1605" s="2"/>
      <c r="Z1605" s="2"/>
    </row>
    <row r="1606">
      <c r="A1606" s="1">
        <f>IFERROR(__xludf.DUMMYFUNCTION("""COMPUTED_VALUE"""),1605.0)</f>
        <v>1605</v>
      </c>
      <c r="B1606" s="1">
        <f>IFERROR(__xludf.DUMMYFUNCTION("""COMPUTED_VALUE"""),6395.0)</f>
        <v>6395</v>
      </c>
      <c r="C1606" s="2" t="str">
        <f>IFERROR(__xludf.DUMMYFUNCTION("""COMPUTED_VALUE"""),"MzF")</f>
        <v>MzF</v>
      </c>
      <c r="D1606" s="2" t="str">
        <f>IFERROR(__xludf.DUMMYFUNCTION("""COMPUTED_VALUE"""),"5KM OVERALL F")</f>
        <v>5KM OVERALL F</v>
      </c>
      <c r="E1606" s="1">
        <f>IFERROR(__xludf.DUMMYFUNCTION("""COMPUTED_VALUE"""),2.0)</f>
        <v>2</v>
      </c>
      <c r="F1606" s="1" t="str">
        <f>IFERROR(__xludf.DUMMYFUNCTION("""COMPUTED_VALUE"""),"Female")</f>
        <v>Female</v>
      </c>
      <c r="G1606" s="4" t="b">
        <f>IFERROR(__xludf.DUMMYFUNCTION("""COMPUTED_VALUE"""),TRUE)</f>
        <v>1</v>
      </c>
      <c r="H1606" s="4" t="b">
        <f>IFERROR(__xludf.DUMMYFUNCTION("""COMPUTED_VALUE"""),TRUE)</f>
        <v>1</v>
      </c>
      <c r="I1606" s="4">
        <f>IFERROR(__xludf.DUMMYFUNCTION("""COMPUTED_VALUE"""),0.2549440625)</f>
        <v>0.2549440625</v>
      </c>
      <c r="J1606" s="4">
        <f>IFERROR(__xludf.DUMMYFUNCTION("""COMPUTED_VALUE"""),45949.276363567755)</f>
        <v>45949.27636</v>
      </c>
      <c r="K1606" s="4" t="str">
        <f>IFERROR(__xludf.DUMMYFUNCTION("""COMPUTED_VALUE"""),"")</f>
        <v/>
      </c>
      <c r="L1606" s="4">
        <f>IFERROR(__xludf.DUMMYFUNCTION("""COMPUTED_VALUE"""),45949.29313351051)</f>
        <v>45949.29313</v>
      </c>
      <c r="M1606" s="1" t="str">
        <f>IFERROR(__xludf.DUMMYFUNCTION("""COMPUTED_VALUE"""),"RFID")</f>
        <v>RFID</v>
      </c>
      <c r="N1606" s="5">
        <f>IFERROR(__xludf.DUMMYFUNCTION("""COMPUTED_VALUE"""),0.008567800925925925)</f>
        <v>0.008567800926</v>
      </c>
      <c r="O1606" s="5" t="str">
        <f>IFERROR(__xludf.DUMMYFUNCTION("""COMPUTED_VALUE"""),"")</f>
        <v/>
      </c>
      <c r="P1606" s="5" t="str">
        <f>IFERROR(__xludf.DUMMYFUNCTION("""COMPUTED_VALUE"""),"")</f>
        <v/>
      </c>
      <c r="Q1606" s="5">
        <f>IFERROR(__xludf.DUMMYFUNCTION("""COMPUTED_VALUE"""),0.00763788888888889)</f>
        <v>0.007637888889</v>
      </c>
      <c r="R1606" s="4">
        <f>IFERROR(__xludf.DUMMYFUNCTION("""COMPUTED_VALUE"""),45949.03818944801)</f>
        <v>45949.03819</v>
      </c>
      <c r="S1606" s="1" t="b">
        <f>IFERROR(__xludf.DUMMYFUNCTION("""COMPUTED_VALUE"""),TRUE)</f>
        <v>1</v>
      </c>
      <c r="T1606" s="1" t="b">
        <f>IFERROR(__xludf.DUMMYFUNCTION("""COMPUTED_VALUE"""),FALSE)</f>
        <v>0</v>
      </c>
      <c r="U1606" s="1" t="str">
        <f>IFERROR(__xludf.DUMMYFUNCTION("""COMPUTED_VALUE"""),"VALID")</f>
        <v>VALID</v>
      </c>
      <c r="V1606" s="1">
        <f>IFERROR(__xludf.DUMMYFUNCTION("""COMPUTED_VALUE"""),256.0)</f>
        <v>256</v>
      </c>
      <c r="W1606" s="1">
        <f>IFERROR(__xludf.DUMMYFUNCTION("""COMPUTED_VALUE"""),1112.0)</f>
        <v>1112</v>
      </c>
      <c r="X1606" s="1">
        <f>IFERROR(__xludf.DUMMYFUNCTION("""COMPUTED_VALUE"""),313.0)</f>
        <v>313</v>
      </c>
      <c r="Y1606" s="2"/>
      <c r="Z1606" s="2"/>
    </row>
    <row r="1607">
      <c r="A1607" s="1">
        <f>IFERROR(__xludf.DUMMYFUNCTION("""COMPUTED_VALUE"""),1606.0)</f>
        <v>1606</v>
      </c>
      <c r="B1607" s="1">
        <f>IFERROR(__xludf.DUMMYFUNCTION("""COMPUTED_VALUE"""),6396.0)</f>
        <v>6396</v>
      </c>
      <c r="C1607" s="2" t="str">
        <f>IFERROR(__xludf.DUMMYFUNCTION("""COMPUTED_VALUE"""),"ANJARYA WIJANARTI")</f>
        <v>ANJARYA WIJANARTI</v>
      </c>
      <c r="D1607" s="2" t="str">
        <f>IFERROR(__xludf.DUMMYFUNCTION("""COMPUTED_VALUE"""),"5KM OVERALL F")</f>
        <v>5KM OVERALL F</v>
      </c>
      <c r="E1607" s="1">
        <f>IFERROR(__xludf.DUMMYFUNCTION("""COMPUTED_VALUE"""),2.0)</f>
        <v>2</v>
      </c>
      <c r="F1607" s="1" t="str">
        <f>IFERROR(__xludf.DUMMYFUNCTION("""COMPUTED_VALUE"""),"Female")</f>
        <v>Female</v>
      </c>
      <c r="G1607" s="4" t="b">
        <f>IFERROR(__xludf.DUMMYFUNCTION("""COMPUTED_VALUE"""),TRUE)</f>
        <v>1</v>
      </c>
      <c r="H1607" s="4" t="b">
        <f>IFERROR(__xludf.DUMMYFUNCTION("""COMPUTED_VALUE"""),FALSE)</f>
        <v>0</v>
      </c>
      <c r="I1607" s="4">
        <f>IFERROR(__xludf.DUMMYFUNCTION("""COMPUTED_VALUE"""),0.2549440625)</f>
        <v>0.2549440625</v>
      </c>
      <c r="J1607" s="4">
        <f>IFERROR(__xludf.DUMMYFUNCTION("""COMPUTED_VALUE"""),45949.2757141975)</f>
        <v>45949.27571</v>
      </c>
      <c r="K1607" s="4" t="str">
        <f>IFERROR(__xludf.DUMMYFUNCTION("""COMPUTED_VALUE"""),"")</f>
        <v/>
      </c>
      <c r="L1607" s="4">
        <f>IFERROR(__xludf.DUMMYFUNCTION("""COMPUTED_VALUE"""),45949.29319601054)</f>
        <v>45949.2932</v>
      </c>
      <c r="M1607" s="1" t="str">
        <f>IFERROR(__xludf.DUMMYFUNCTION("""COMPUTED_VALUE"""),"RFID")</f>
        <v>RFID</v>
      </c>
      <c r="N1607" s="5">
        <f>IFERROR(__xludf.DUMMYFUNCTION("""COMPUTED_VALUE"""),0.008308055555555556)</f>
        <v>0.008308055556</v>
      </c>
      <c r="O1607" s="5" t="str">
        <f>IFERROR(__xludf.DUMMYFUNCTION("""COMPUTED_VALUE"""),"")</f>
        <v/>
      </c>
      <c r="P1607" s="5" t="str">
        <f>IFERROR(__xludf.DUMMYFUNCTION("""COMPUTED_VALUE"""),"")</f>
        <v/>
      </c>
      <c r="Q1607" s="5">
        <f>IFERROR(__xludf.DUMMYFUNCTION("""COMPUTED_VALUE"""),0.007650388888888889)</f>
        <v>0.007650388889</v>
      </c>
      <c r="R1607" s="4">
        <f>IFERROR(__xludf.DUMMYFUNCTION("""COMPUTED_VALUE"""),45949.03825194804)</f>
        <v>45949.03825</v>
      </c>
      <c r="S1607" s="1" t="b">
        <f>IFERROR(__xludf.DUMMYFUNCTION("""COMPUTED_VALUE"""),TRUE)</f>
        <v>1</v>
      </c>
      <c r="T1607" s="1" t="b">
        <f>IFERROR(__xludf.DUMMYFUNCTION("""COMPUTED_VALUE"""),FALSE)</f>
        <v>0</v>
      </c>
      <c r="U1607" s="1" t="str">
        <f>IFERROR(__xludf.DUMMYFUNCTION("""COMPUTED_VALUE"""),"VALID")</f>
        <v>VALID</v>
      </c>
      <c r="V1607" s="1">
        <f>IFERROR(__xludf.DUMMYFUNCTION("""COMPUTED_VALUE"""),260.0)</f>
        <v>260</v>
      </c>
      <c r="W1607" s="1">
        <f>IFERROR(__xludf.DUMMYFUNCTION("""COMPUTED_VALUE"""),1119.0)</f>
        <v>1119</v>
      </c>
      <c r="X1607" s="1">
        <f>IFERROR(__xludf.DUMMYFUNCTION("""COMPUTED_VALUE"""),318.0)</f>
        <v>318</v>
      </c>
      <c r="Y1607" s="2"/>
      <c r="Z1607" s="2"/>
    </row>
    <row r="1608">
      <c r="A1608" s="1">
        <f>IFERROR(__xludf.DUMMYFUNCTION("""COMPUTED_VALUE"""),1607.0)</f>
        <v>1607</v>
      </c>
      <c r="B1608" s="1">
        <f>IFERROR(__xludf.DUMMYFUNCTION("""COMPUTED_VALUE"""),6397.0)</f>
        <v>6397</v>
      </c>
      <c r="C1608" s="2" t="str">
        <f>IFERROR(__xludf.DUMMYFUNCTION("""COMPUTED_VALUE"""),"ShantyDanti")</f>
        <v>ShantyDanti</v>
      </c>
      <c r="D1608" s="2" t="str">
        <f>IFERROR(__xludf.DUMMYFUNCTION("""COMPUTED_VALUE"""),"5KM OVERALL F")</f>
        <v>5KM OVERALL F</v>
      </c>
      <c r="E1608" s="1">
        <f>IFERROR(__xludf.DUMMYFUNCTION("""COMPUTED_VALUE"""),2.0)</f>
        <v>2</v>
      </c>
      <c r="F1608" s="1" t="str">
        <f>IFERROR(__xludf.DUMMYFUNCTION("""COMPUTED_VALUE"""),"Female")</f>
        <v>Female</v>
      </c>
      <c r="G1608" s="4" t="b">
        <f>IFERROR(__xludf.DUMMYFUNCTION("""COMPUTED_VALUE"""),TRUE)</f>
        <v>1</v>
      </c>
      <c r="H1608" s="4" t="b">
        <f>IFERROR(__xludf.DUMMYFUNCTION("""COMPUTED_VALUE"""),FALSE)</f>
        <v>0</v>
      </c>
      <c r="I1608" s="4">
        <f>IFERROR(__xludf.DUMMYFUNCTION("""COMPUTED_VALUE"""),0.2549440625)</f>
        <v>0.2549440625</v>
      </c>
      <c r="J1608" s="4">
        <f>IFERROR(__xludf.DUMMYFUNCTION("""COMPUTED_VALUE"""),45949.27558571824)</f>
        <v>45949.27559</v>
      </c>
      <c r="K1608" s="4" t="str">
        <f>IFERROR(__xludf.DUMMYFUNCTION("""COMPUTED_VALUE"""),"")</f>
        <v/>
      </c>
      <c r="L1608" s="4">
        <f>IFERROR(__xludf.DUMMYFUNCTION("""COMPUTED_VALUE"""),45949.29087657993)</f>
        <v>45949.29088</v>
      </c>
      <c r="M1608" s="1" t="str">
        <f>IFERROR(__xludf.DUMMYFUNCTION("""COMPUTED_VALUE"""),"RFID")</f>
        <v>RFID</v>
      </c>
      <c r="N1608" s="5">
        <f>IFERROR(__xludf.DUMMYFUNCTION("""COMPUTED_VALUE"""),0.008256662037037038)</f>
        <v>0.008256662037</v>
      </c>
      <c r="O1608" s="5" t="str">
        <f>IFERROR(__xludf.DUMMYFUNCTION("""COMPUTED_VALUE"""),"")</f>
        <v/>
      </c>
      <c r="P1608" s="5" t="str">
        <f>IFERROR(__xludf.DUMMYFUNCTION("""COMPUTED_VALUE"""),"")</f>
        <v/>
      </c>
      <c r="Q1608" s="5">
        <f>IFERROR(__xludf.DUMMYFUNCTION("""COMPUTED_VALUE"""),0.0071865046296296295)</f>
        <v>0.00718650463</v>
      </c>
      <c r="R1608" s="4">
        <f>IFERROR(__xludf.DUMMYFUNCTION("""COMPUTED_VALUE"""),45949.03593251743)</f>
        <v>45949.03593</v>
      </c>
      <c r="S1608" s="1" t="b">
        <f>IFERROR(__xludf.DUMMYFUNCTION("""COMPUTED_VALUE"""),TRUE)</f>
        <v>1</v>
      </c>
      <c r="T1608" s="1" t="b">
        <f>IFERROR(__xludf.DUMMYFUNCTION("""COMPUTED_VALUE"""),FALSE)</f>
        <v>0</v>
      </c>
      <c r="U1608" s="1" t="str">
        <f>IFERROR(__xludf.DUMMYFUNCTION("""COMPUTED_VALUE"""),"VALID")</f>
        <v>VALID</v>
      </c>
      <c r="V1608" s="1">
        <f>IFERROR(__xludf.DUMMYFUNCTION("""COMPUTED_VALUE"""),186.0)</f>
        <v>186</v>
      </c>
      <c r="W1608" s="1">
        <f>IFERROR(__xludf.DUMMYFUNCTION("""COMPUTED_VALUE"""),954.0)</f>
        <v>954</v>
      </c>
      <c r="X1608" s="1">
        <f>IFERROR(__xludf.DUMMYFUNCTION("""COMPUTED_VALUE"""),234.0)</f>
        <v>234</v>
      </c>
      <c r="Y1608" s="2"/>
      <c r="Z1608" s="2"/>
    </row>
    <row r="1609">
      <c r="A1609" s="1">
        <f>IFERROR(__xludf.DUMMYFUNCTION("""COMPUTED_VALUE"""),1608.0)</f>
        <v>1608</v>
      </c>
      <c r="B1609" s="1">
        <f>IFERROR(__xludf.DUMMYFUNCTION("""COMPUTED_VALUE"""),6398.0)</f>
        <v>6398</v>
      </c>
      <c r="C1609" s="2" t="str">
        <f>IFERROR(__xludf.DUMMYFUNCTION("""COMPUTED_VALUE"""),"MzF")</f>
        <v>MzF</v>
      </c>
      <c r="D1609" s="2" t="str">
        <f>IFERROR(__xludf.DUMMYFUNCTION("""COMPUTED_VALUE"""),"5KM OVERALL F")</f>
        <v>5KM OVERALL F</v>
      </c>
      <c r="E1609" s="1">
        <f>IFERROR(__xludf.DUMMYFUNCTION("""COMPUTED_VALUE"""),2.0)</f>
        <v>2</v>
      </c>
      <c r="F1609" s="1" t="str">
        <f>IFERROR(__xludf.DUMMYFUNCTION("""COMPUTED_VALUE"""),"Female")</f>
        <v>Female</v>
      </c>
      <c r="G1609" s="4" t="b">
        <f>IFERROR(__xludf.DUMMYFUNCTION("""COMPUTED_VALUE"""),TRUE)</f>
        <v>1</v>
      </c>
      <c r="H1609" s="4" t="b">
        <f>IFERROR(__xludf.DUMMYFUNCTION("""COMPUTED_VALUE"""),TRUE)</f>
        <v>1</v>
      </c>
      <c r="I1609" s="4">
        <f>IFERROR(__xludf.DUMMYFUNCTION("""COMPUTED_VALUE"""),0.2549440625)</f>
        <v>0.2549440625</v>
      </c>
      <c r="J1609" s="4">
        <f>IFERROR(__xludf.DUMMYFUNCTION("""COMPUTED_VALUE"""),45949.27064827141)</f>
        <v>45949.27065</v>
      </c>
      <c r="K1609" s="4" t="str">
        <f>IFERROR(__xludf.DUMMYFUNCTION("""COMPUTED_VALUE"""),"")</f>
        <v/>
      </c>
      <c r="L1609" s="4">
        <f>IFERROR(__xludf.DUMMYFUNCTION("""COMPUTED_VALUE"""),45949.28498072657)</f>
        <v>45949.28498</v>
      </c>
      <c r="M1609" s="1" t="str">
        <f>IFERROR(__xludf.DUMMYFUNCTION("""COMPUTED_VALUE"""),"RFID")</f>
        <v>RFID</v>
      </c>
      <c r="N1609" s="5">
        <f>IFERROR(__xludf.DUMMYFUNCTION("""COMPUTED_VALUE"""),0.006281685185185186)</f>
        <v>0.006281685185</v>
      </c>
      <c r="O1609" s="5" t="str">
        <f>IFERROR(__xludf.DUMMYFUNCTION("""COMPUTED_VALUE"""),"")</f>
        <v/>
      </c>
      <c r="P1609" s="5" t="str">
        <f>IFERROR(__xludf.DUMMYFUNCTION("""COMPUTED_VALUE"""),"")</f>
        <v/>
      </c>
      <c r="Q1609" s="5">
        <f>IFERROR(__xludf.DUMMYFUNCTION("""COMPUTED_VALUE"""),0.006007333333333333)</f>
        <v>0.006007333333</v>
      </c>
      <c r="R1609" s="4">
        <f>IFERROR(__xludf.DUMMYFUNCTION("""COMPUTED_VALUE"""),45949.030036664066)</f>
        <v>45949.03004</v>
      </c>
      <c r="S1609" s="1" t="b">
        <f>IFERROR(__xludf.DUMMYFUNCTION("""COMPUTED_VALUE"""),TRUE)</f>
        <v>1</v>
      </c>
      <c r="T1609" s="1" t="b">
        <f>IFERROR(__xludf.DUMMYFUNCTION("""COMPUTED_VALUE"""),FALSE)</f>
        <v>0</v>
      </c>
      <c r="U1609" s="1" t="str">
        <f>IFERROR(__xludf.DUMMYFUNCTION("""COMPUTED_VALUE"""),"VALID")</f>
        <v>VALID</v>
      </c>
      <c r="V1609" s="1">
        <f>IFERROR(__xludf.DUMMYFUNCTION("""COMPUTED_VALUE"""),75.0)</f>
        <v>75</v>
      </c>
      <c r="W1609" s="1">
        <f>IFERROR(__xludf.DUMMYFUNCTION("""COMPUTED_VALUE"""),574.0)</f>
        <v>574</v>
      </c>
      <c r="X1609" s="1">
        <f>IFERROR(__xludf.DUMMYFUNCTION("""COMPUTED_VALUE"""),97.0)</f>
        <v>97</v>
      </c>
      <c r="Y1609" s="2"/>
      <c r="Z1609" s="2"/>
    </row>
    <row r="1610">
      <c r="A1610" s="1">
        <f>IFERROR(__xludf.DUMMYFUNCTION("""COMPUTED_VALUE"""),1609.0)</f>
        <v>1609</v>
      </c>
      <c r="B1610" s="1">
        <f>IFERROR(__xludf.DUMMYFUNCTION("""COMPUTED_VALUE"""),6399.0)</f>
        <v>6399</v>
      </c>
      <c r="C1610" s="2" t="str">
        <f>IFERROR(__xludf.DUMMYFUNCTION("""COMPUTED_VALUE"""),"Efy Apriati")</f>
        <v>Efy Apriati</v>
      </c>
      <c r="D1610" s="2" t="str">
        <f>IFERROR(__xludf.DUMMYFUNCTION("""COMPUTED_VALUE"""),"5KM OVERALL F")</f>
        <v>5KM OVERALL F</v>
      </c>
      <c r="E1610" s="1">
        <f>IFERROR(__xludf.DUMMYFUNCTION("""COMPUTED_VALUE"""),2.0)</f>
        <v>2</v>
      </c>
      <c r="F1610" s="1" t="str">
        <f>IFERROR(__xludf.DUMMYFUNCTION("""COMPUTED_VALUE"""),"Female")</f>
        <v>Female</v>
      </c>
      <c r="G1610" s="4" t="b">
        <f>IFERROR(__xludf.DUMMYFUNCTION("""COMPUTED_VALUE"""),TRUE)</f>
        <v>1</v>
      </c>
      <c r="H1610" s="4" t="b">
        <f>IFERROR(__xludf.DUMMYFUNCTION("""COMPUTED_VALUE"""),FALSE)</f>
        <v>0</v>
      </c>
      <c r="I1610" s="4">
        <f>IFERROR(__xludf.DUMMYFUNCTION("""COMPUTED_VALUE"""),0.2549440625)</f>
        <v>0.2549440625</v>
      </c>
      <c r="J1610" s="4">
        <f>IFERROR(__xludf.DUMMYFUNCTION("""COMPUTED_VALUE"""),45949.272134378734)</f>
        <v>45949.27213</v>
      </c>
      <c r="K1610" s="4" t="str">
        <f>IFERROR(__xludf.DUMMYFUNCTION("""COMPUTED_VALUE"""),"")</f>
        <v/>
      </c>
      <c r="L1610" s="4">
        <f>IFERROR(__xludf.DUMMYFUNCTION("""COMPUTED_VALUE"""),45949.284501560454)</f>
        <v>45949.2845</v>
      </c>
      <c r="M1610" s="1" t="str">
        <f>IFERROR(__xludf.DUMMYFUNCTION("""COMPUTED_VALUE"""),"RFID")</f>
        <v>RFID</v>
      </c>
      <c r="N1610" s="5">
        <f>IFERROR(__xludf.DUMMYFUNCTION("""COMPUTED_VALUE"""),0.006876124999999999)</f>
        <v>0.006876125</v>
      </c>
      <c r="O1610" s="5" t="str">
        <f>IFERROR(__xludf.DUMMYFUNCTION("""COMPUTED_VALUE"""),"")</f>
        <v/>
      </c>
      <c r="P1610" s="5" t="str">
        <f>IFERROR(__xludf.DUMMYFUNCTION("""COMPUTED_VALUE"""),"")</f>
        <v/>
      </c>
      <c r="Q1610" s="5">
        <f>IFERROR(__xludf.DUMMYFUNCTION("""COMPUTED_VALUE"""),0.0059115)</f>
        <v>0.0059115</v>
      </c>
      <c r="R1610" s="4">
        <f>IFERROR(__xludf.DUMMYFUNCTION("""COMPUTED_VALUE"""),45949.029557497954)</f>
        <v>45949.02956</v>
      </c>
      <c r="S1610" s="1" t="b">
        <f>IFERROR(__xludf.DUMMYFUNCTION("""COMPUTED_VALUE"""),TRUE)</f>
        <v>1</v>
      </c>
      <c r="T1610" s="1" t="b">
        <f>IFERROR(__xludf.DUMMYFUNCTION("""COMPUTED_VALUE"""),FALSE)</f>
        <v>0</v>
      </c>
      <c r="U1610" s="1" t="str">
        <f>IFERROR(__xludf.DUMMYFUNCTION("""COMPUTED_VALUE"""),"VALID")</f>
        <v>VALID</v>
      </c>
      <c r="V1610" s="1">
        <f>IFERROR(__xludf.DUMMYFUNCTION("""COMPUTED_VALUE"""),65.0)</f>
        <v>65</v>
      </c>
      <c r="W1610" s="1">
        <f>IFERROR(__xludf.DUMMYFUNCTION("""COMPUTED_VALUE"""),543.0)</f>
        <v>543</v>
      </c>
      <c r="X1610" s="1">
        <f>IFERROR(__xludf.DUMMYFUNCTION("""COMPUTED_VALUE"""),87.0)</f>
        <v>87</v>
      </c>
      <c r="Y1610" s="2"/>
      <c r="Z1610" s="2"/>
    </row>
    <row r="1611">
      <c r="A1611" s="1">
        <f>IFERROR(__xludf.DUMMYFUNCTION("""COMPUTED_VALUE"""),1610.0)</f>
        <v>1610</v>
      </c>
      <c r="B1611" s="1">
        <f>IFERROR(__xludf.DUMMYFUNCTION("""COMPUTED_VALUE"""),6401.0)</f>
        <v>6401</v>
      </c>
      <c r="C1611" s="2" t="str">
        <f>IFERROR(__xludf.DUMMYFUNCTION("""COMPUTED_VALUE"""),"Awin")</f>
        <v>Awin</v>
      </c>
      <c r="D1611" s="2" t="str">
        <f>IFERROR(__xludf.DUMMYFUNCTION("""COMPUTED_VALUE"""),"5KM OVERALL F")</f>
        <v>5KM OVERALL F</v>
      </c>
      <c r="E1611" s="1">
        <f>IFERROR(__xludf.DUMMYFUNCTION("""COMPUTED_VALUE"""),2.0)</f>
        <v>2</v>
      </c>
      <c r="F1611" s="1" t="str">
        <f>IFERROR(__xludf.DUMMYFUNCTION("""COMPUTED_VALUE"""),"Female")</f>
        <v>Female</v>
      </c>
      <c r="G1611" s="4" t="str">
        <f>IFERROR(__xludf.DUMMYFUNCTION("""COMPUTED_VALUE"""),"")</f>
        <v/>
      </c>
      <c r="H1611" s="4" t="b">
        <f>IFERROR(__xludf.DUMMYFUNCTION("""COMPUTED_VALUE"""),FALSE)</f>
        <v>0</v>
      </c>
      <c r="I1611" s="4">
        <f>IFERROR(__xludf.DUMMYFUNCTION("""COMPUTED_VALUE"""),0.2549440625)</f>
        <v>0.2549440625</v>
      </c>
      <c r="J1611" s="4" t="str">
        <f>IFERROR(__xludf.DUMMYFUNCTION("""COMPUTED_VALUE"""),"")</f>
        <v/>
      </c>
      <c r="K1611" s="4" t="str">
        <f>IFERROR(__xludf.DUMMYFUNCTION("""COMPUTED_VALUE"""),"")</f>
        <v/>
      </c>
      <c r="L1611" s="4" t="str">
        <f>IFERROR(__xludf.DUMMYFUNCTION("""COMPUTED_VALUE"""),"")</f>
        <v/>
      </c>
      <c r="M1611" s="1" t="str">
        <f>IFERROR(__xludf.DUMMYFUNCTION("""COMPUTED_VALUE"""),"RFID")</f>
        <v>RFID</v>
      </c>
      <c r="N1611" s="5" t="str">
        <f>IFERROR(__xludf.DUMMYFUNCTION("""COMPUTED_VALUE"""),"")</f>
        <v/>
      </c>
      <c r="O1611" s="5" t="str">
        <f>IFERROR(__xludf.DUMMYFUNCTION("""COMPUTED_VALUE"""),"")</f>
        <v/>
      </c>
      <c r="P1611" s="5" t="str">
        <f>IFERROR(__xludf.DUMMYFUNCTION("""COMPUTED_VALUE"""),"")</f>
        <v/>
      </c>
      <c r="Q1611" s="5" t="str">
        <f>IFERROR(__xludf.DUMMYFUNCTION("""COMPUTED_VALUE"""),"")</f>
        <v/>
      </c>
      <c r="R1611" s="4" t="str">
        <f>IFERROR(__xludf.DUMMYFUNCTION("""COMPUTED_VALUE"""),"")</f>
        <v/>
      </c>
      <c r="S1611" s="1" t="b">
        <f>IFERROR(__xludf.DUMMYFUNCTION("""COMPUTED_VALUE"""),FALSE)</f>
        <v>0</v>
      </c>
      <c r="T1611" s="1" t="b">
        <f>IFERROR(__xludf.DUMMYFUNCTION("""COMPUTED_VALUE"""),FALSE)</f>
        <v>0</v>
      </c>
      <c r="U1611" s="1" t="str">
        <f>IFERROR(__xludf.DUMMYFUNCTION("""COMPUTED_VALUE"""),"DSQ")</f>
        <v>DSQ</v>
      </c>
      <c r="V1611" s="1" t="str">
        <f>IFERROR(__xludf.DUMMYFUNCTION("""COMPUTED_VALUE"""),"DSQ")</f>
        <v>DSQ</v>
      </c>
      <c r="W1611" s="1" t="str">
        <f>IFERROR(__xludf.DUMMYFUNCTION("""COMPUTED_VALUE"""),"DSQ")</f>
        <v>DSQ</v>
      </c>
      <c r="X1611" s="1" t="str">
        <f>IFERROR(__xludf.DUMMYFUNCTION("""COMPUTED_VALUE"""),"DSQ")</f>
        <v>DSQ</v>
      </c>
      <c r="Y1611" s="2"/>
      <c r="Z1611" s="2" t="str">
        <f>IFERROR(__xludf.DUMMYFUNCTION("""COMPUTED_VALUE"""),"")</f>
        <v/>
      </c>
    </row>
    <row r="1612">
      <c r="A1612" s="1">
        <f>IFERROR(__xludf.DUMMYFUNCTION("""COMPUTED_VALUE"""),1611.0)</f>
        <v>1611</v>
      </c>
      <c r="B1612" s="1">
        <f>IFERROR(__xludf.DUMMYFUNCTION("""COMPUTED_VALUE"""),6408.0)</f>
        <v>6408</v>
      </c>
      <c r="C1612" s="2" t="str">
        <f>IFERROR(__xludf.DUMMYFUNCTION("""COMPUTED_VALUE"""),"Bulan")</f>
        <v>Bulan</v>
      </c>
      <c r="D1612" s="2" t="str">
        <f>IFERROR(__xludf.DUMMYFUNCTION("""COMPUTED_VALUE"""),"5KM OVERALL F")</f>
        <v>5KM OVERALL F</v>
      </c>
      <c r="E1612" s="1">
        <f>IFERROR(__xludf.DUMMYFUNCTION("""COMPUTED_VALUE"""),2.0)</f>
        <v>2</v>
      </c>
      <c r="F1612" s="1" t="str">
        <f>IFERROR(__xludf.DUMMYFUNCTION("""COMPUTED_VALUE"""),"Female")</f>
        <v>Female</v>
      </c>
      <c r="G1612" s="4" t="b">
        <f>IFERROR(__xludf.DUMMYFUNCTION("""COMPUTED_VALUE"""),TRUE)</f>
        <v>1</v>
      </c>
      <c r="H1612" s="4" t="b">
        <f>IFERROR(__xludf.DUMMYFUNCTION("""COMPUTED_VALUE"""),TRUE)</f>
        <v>1</v>
      </c>
      <c r="I1612" s="4">
        <f>IFERROR(__xludf.DUMMYFUNCTION("""COMPUTED_VALUE"""),0.2549440625)</f>
        <v>0.2549440625</v>
      </c>
      <c r="J1612" s="4">
        <f>IFERROR(__xludf.DUMMYFUNCTION("""COMPUTED_VALUE"""),45949.276759334025)</f>
        <v>45949.27676</v>
      </c>
      <c r="K1612" s="4" t="str">
        <f>IFERROR(__xludf.DUMMYFUNCTION("""COMPUTED_VALUE"""),"")</f>
        <v/>
      </c>
      <c r="L1612" s="4">
        <f>IFERROR(__xludf.DUMMYFUNCTION("""COMPUTED_VALUE"""),45949.29089394054)</f>
        <v>45949.29089</v>
      </c>
      <c r="M1612" s="1" t="str">
        <f>IFERROR(__xludf.DUMMYFUNCTION("""COMPUTED_VALUE"""),"RFID")</f>
        <v>RFID</v>
      </c>
      <c r="N1612" s="5">
        <f>IFERROR(__xludf.DUMMYFUNCTION("""COMPUTED_VALUE"""),0.00872610648148148)</f>
        <v>0.008726106481</v>
      </c>
      <c r="O1612" s="5" t="str">
        <f>IFERROR(__xludf.DUMMYFUNCTION("""COMPUTED_VALUE"""),"")</f>
        <v/>
      </c>
      <c r="P1612" s="5" t="str">
        <f>IFERROR(__xludf.DUMMYFUNCTION("""COMPUTED_VALUE"""),"")</f>
        <v/>
      </c>
      <c r="Q1612" s="5">
        <f>IFERROR(__xludf.DUMMYFUNCTION("""COMPUTED_VALUE"""),0.007189974537037037)</f>
        <v>0.007189974537</v>
      </c>
      <c r="R1612" s="4">
        <f>IFERROR(__xludf.DUMMYFUNCTION("""COMPUTED_VALUE"""),45949.03594987804)</f>
        <v>45949.03595</v>
      </c>
      <c r="S1612" s="1" t="b">
        <f>IFERROR(__xludf.DUMMYFUNCTION("""COMPUTED_VALUE"""),TRUE)</f>
        <v>1</v>
      </c>
      <c r="T1612" s="1" t="b">
        <f>IFERROR(__xludf.DUMMYFUNCTION("""COMPUTED_VALUE"""),FALSE)</f>
        <v>0</v>
      </c>
      <c r="U1612" s="1" t="str">
        <f>IFERROR(__xludf.DUMMYFUNCTION("""COMPUTED_VALUE"""),"VALID")</f>
        <v>VALID</v>
      </c>
      <c r="V1612" s="1">
        <f>IFERROR(__xludf.DUMMYFUNCTION("""COMPUTED_VALUE"""),188.0)</f>
        <v>188</v>
      </c>
      <c r="W1612" s="1">
        <f>IFERROR(__xludf.DUMMYFUNCTION("""COMPUTED_VALUE"""),958.0)</f>
        <v>958</v>
      </c>
      <c r="X1612" s="1">
        <f>IFERROR(__xludf.DUMMYFUNCTION("""COMPUTED_VALUE"""),236.0)</f>
        <v>236</v>
      </c>
      <c r="Y1612" s="2"/>
      <c r="Z1612" s="2"/>
    </row>
    <row r="1613">
      <c r="A1613" s="1">
        <f>IFERROR(__xludf.DUMMYFUNCTION("""COMPUTED_VALUE"""),1612.0)</f>
        <v>1612</v>
      </c>
      <c r="B1613" s="1">
        <f>IFERROR(__xludf.DUMMYFUNCTION("""COMPUTED_VALUE"""),6413.0)</f>
        <v>6413</v>
      </c>
      <c r="C1613" s="2" t="str">
        <f>IFERROR(__xludf.DUMMYFUNCTION("""COMPUTED_VALUE"""),"Gyn")</f>
        <v>Gyn</v>
      </c>
      <c r="D1613" s="2" t="str">
        <f>IFERROR(__xludf.DUMMYFUNCTION("""COMPUTED_VALUE"""),"5KM OVERALL F")</f>
        <v>5KM OVERALL F</v>
      </c>
      <c r="E1613" s="1">
        <f>IFERROR(__xludf.DUMMYFUNCTION("""COMPUTED_VALUE"""),2.0)</f>
        <v>2</v>
      </c>
      <c r="F1613" s="1" t="str">
        <f>IFERROR(__xludf.DUMMYFUNCTION("""COMPUTED_VALUE"""),"Female")</f>
        <v>Female</v>
      </c>
      <c r="G1613" s="4" t="b">
        <f>IFERROR(__xludf.DUMMYFUNCTION("""COMPUTED_VALUE"""),TRUE)</f>
        <v>1</v>
      </c>
      <c r="H1613" s="4" t="b">
        <f>IFERROR(__xludf.DUMMYFUNCTION("""COMPUTED_VALUE"""),TRUE)</f>
        <v>1</v>
      </c>
      <c r="I1613" s="4">
        <f>IFERROR(__xludf.DUMMYFUNCTION("""COMPUTED_VALUE"""),0.2549440625)</f>
        <v>0.2549440625</v>
      </c>
      <c r="J1613" s="4">
        <f>IFERROR(__xludf.DUMMYFUNCTION("""COMPUTED_VALUE"""),45949.28191210725)</f>
        <v>45949.28191</v>
      </c>
      <c r="K1613" s="4" t="str">
        <f>IFERROR(__xludf.DUMMYFUNCTION("""COMPUTED_VALUE"""),"")</f>
        <v/>
      </c>
      <c r="L1613" s="4">
        <f>IFERROR(__xludf.DUMMYFUNCTION("""COMPUTED_VALUE"""),45949.301578650724)</f>
        <v>45949.30158</v>
      </c>
      <c r="M1613" s="1" t="str">
        <f>IFERROR(__xludf.DUMMYFUNCTION("""COMPUTED_VALUE"""),"RFID")</f>
        <v>RFID</v>
      </c>
      <c r="N1613" s="5">
        <f>IFERROR(__xludf.DUMMYFUNCTION("""COMPUTED_VALUE"""),0.010787217592592593)</f>
        <v>0.01078721759</v>
      </c>
      <c r="O1613" s="5" t="str">
        <f>IFERROR(__xludf.DUMMYFUNCTION("""COMPUTED_VALUE"""),"")</f>
        <v/>
      </c>
      <c r="P1613" s="5" t="str">
        <f>IFERROR(__xludf.DUMMYFUNCTION("""COMPUTED_VALUE"""),"")</f>
        <v/>
      </c>
      <c r="Q1613" s="5">
        <f>IFERROR(__xludf.DUMMYFUNCTION("""COMPUTED_VALUE"""),0.009326916666666667)</f>
        <v>0.009326916667</v>
      </c>
      <c r="R1613" s="4">
        <f>IFERROR(__xludf.DUMMYFUNCTION("""COMPUTED_VALUE"""),45949.04663458822)</f>
        <v>45949.04663</v>
      </c>
      <c r="S1613" s="1" t="b">
        <f>IFERROR(__xludf.DUMMYFUNCTION("""COMPUTED_VALUE"""),TRUE)</f>
        <v>1</v>
      </c>
      <c r="T1613" s="1" t="b">
        <f>IFERROR(__xludf.DUMMYFUNCTION("""COMPUTED_VALUE"""),FALSE)</f>
        <v>0</v>
      </c>
      <c r="U1613" s="1" t="str">
        <f>IFERROR(__xludf.DUMMYFUNCTION("""COMPUTED_VALUE"""),"VALID")</f>
        <v>VALID</v>
      </c>
      <c r="V1613" s="1">
        <f>IFERROR(__xludf.DUMMYFUNCTION("""COMPUTED_VALUE"""),454.0)</f>
        <v>454</v>
      </c>
      <c r="W1613" s="1">
        <f>IFERROR(__xludf.DUMMYFUNCTION("""COMPUTED_VALUE"""),1508.0)</f>
        <v>1508</v>
      </c>
      <c r="X1613" s="1">
        <f>IFERROR(__xludf.DUMMYFUNCTION("""COMPUTED_VALUE"""),553.0)</f>
        <v>553</v>
      </c>
      <c r="Y1613" s="2"/>
      <c r="Z1613" s="2"/>
    </row>
    <row r="1614">
      <c r="A1614" s="1">
        <f>IFERROR(__xludf.DUMMYFUNCTION("""COMPUTED_VALUE"""),1613.0)</f>
        <v>1613</v>
      </c>
      <c r="B1614" s="1">
        <f>IFERROR(__xludf.DUMMYFUNCTION("""COMPUTED_VALUE"""),6421.0)</f>
        <v>6421</v>
      </c>
      <c r="C1614" s="2" t="str">
        <f>IFERROR(__xludf.DUMMYFUNCTION("""COMPUTED_VALUE"""),"Gals")</f>
        <v>Gals</v>
      </c>
      <c r="D1614" s="2" t="str">
        <f>IFERROR(__xludf.DUMMYFUNCTION("""COMPUTED_VALUE"""),"5KM OVERALL F")</f>
        <v>5KM OVERALL F</v>
      </c>
      <c r="E1614" s="1">
        <f>IFERROR(__xludf.DUMMYFUNCTION("""COMPUTED_VALUE"""),2.0)</f>
        <v>2</v>
      </c>
      <c r="F1614" s="1" t="str">
        <f>IFERROR(__xludf.DUMMYFUNCTION("""COMPUTED_VALUE"""),"Female")</f>
        <v>Female</v>
      </c>
      <c r="G1614" s="4" t="b">
        <f>IFERROR(__xludf.DUMMYFUNCTION("""COMPUTED_VALUE"""),TRUE)</f>
        <v>1</v>
      </c>
      <c r="H1614" s="4" t="b">
        <f>IFERROR(__xludf.DUMMYFUNCTION("""COMPUTED_VALUE"""),FALSE)</f>
        <v>0</v>
      </c>
      <c r="I1614" s="4">
        <f>IFERROR(__xludf.DUMMYFUNCTION("""COMPUTED_VALUE"""),0.2549440625)</f>
        <v>0.2549440625</v>
      </c>
      <c r="J1614" s="4">
        <f>IFERROR(__xludf.DUMMYFUNCTION("""COMPUTED_VALUE"""),45949.273221146104)</f>
        <v>45949.27322</v>
      </c>
      <c r="K1614" s="4" t="str">
        <f>IFERROR(__xludf.DUMMYFUNCTION("""COMPUTED_VALUE"""),"")</f>
        <v/>
      </c>
      <c r="L1614" s="4">
        <f>IFERROR(__xludf.DUMMYFUNCTION("""COMPUTED_VALUE"""),45949.28778628243)</f>
        <v>45949.28779</v>
      </c>
      <c r="M1614" s="1" t="str">
        <f>IFERROR(__xludf.DUMMYFUNCTION("""COMPUTED_VALUE"""),"RFID")</f>
        <v>RFID</v>
      </c>
      <c r="N1614" s="5">
        <f>IFERROR(__xludf.DUMMYFUNCTION("""COMPUTED_VALUE"""),0.007310833333333334)</f>
        <v>0.007310833333</v>
      </c>
      <c r="O1614" s="5" t="str">
        <f>IFERROR(__xludf.DUMMYFUNCTION("""COMPUTED_VALUE"""),"")</f>
        <v/>
      </c>
      <c r="P1614" s="5" t="str">
        <f>IFERROR(__xludf.DUMMYFUNCTION("""COMPUTED_VALUE"""),"")</f>
        <v/>
      </c>
      <c r="Q1614" s="5">
        <f>IFERROR(__xludf.DUMMYFUNCTION("""COMPUTED_VALUE"""),0.0065684444444444445)</f>
        <v>0.006568444444</v>
      </c>
      <c r="R1614" s="4">
        <f>IFERROR(__xludf.DUMMYFUNCTION("""COMPUTED_VALUE"""),45949.03284221993)</f>
        <v>45949.03284</v>
      </c>
      <c r="S1614" s="1" t="b">
        <f>IFERROR(__xludf.DUMMYFUNCTION("""COMPUTED_VALUE"""),TRUE)</f>
        <v>1</v>
      </c>
      <c r="T1614" s="1" t="b">
        <f>IFERROR(__xludf.DUMMYFUNCTION("""COMPUTED_VALUE"""),FALSE)</f>
        <v>0</v>
      </c>
      <c r="U1614" s="1" t="str">
        <f>IFERROR(__xludf.DUMMYFUNCTION("""COMPUTED_VALUE"""),"VALID")</f>
        <v>VALID</v>
      </c>
      <c r="V1614" s="1">
        <f>IFERROR(__xludf.DUMMYFUNCTION("""COMPUTED_VALUE"""),125.0)</f>
        <v>125</v>
      </c>
      <c r="W1614" s="1">
        <f>IFERROR(__xludf.DUMMYFUNCTION("""COMPUTED_VALUE"""),761.0)</f>
        <v>761</v>
      </c>
      <c r="X1614" s="1">
        <f>IFERROR(__xludf.DUMMYFUNCTION("""COMPUTED_VALUE"""),157.0)</f>
        <v>157</v>
      </c>
      <c r="Y1614" s="2"/>
      <c r="Z1614" s="2"/>
    </row>
    <row r="1615">
      <c r="A1615" s="1">
        <f>IFERROR(__xludf.DUMMYFUNCTION("""COMPUTED_VALUE"""),1614.0)</f>
        <v>1614</v>
      </c>
      <c r="B1615" s="1">
        <f>IFERROR(__xludf.DUMMYFUNCTION("""COMPUTED_VALUE"""),6424.0)</f>
        <v>6424</v>
      </c>
      <c r="C1615" s="2" t="str">
        <f>IFERROR(__xludf.DUMMYFUNCTION("""COMPUTED_VALUE"""),"RATNA")</f>
        <v>RATNA</v>
      </c>
      <c r="D1615" s="2" t="str">
        <f>IFERROR(__xludf.DUMMYFUNCTION("""COMPUTED_VALUE"""),"5KM OVERALL F")</f>
        <v>5KM OVERALL F</v>
      </c>
      <c r="E1615" s="1">
        <f>IFERROR(__xludf.DUMMYFUNCTION("""COMPUTED_VALUE"""),2.0)</f>
        <v>2</v>
      </c>
      <c r="F1615" s="1" t="str">
        <f>IFERROR(__xludf.DUMMYFUNCTION("""COMPUTED_VALUE"""),"Female")</f>
        <v>Female</v>
      </c>
      <c r="G1615" s="4" t="b">
        <f>IFERROR(__xludf.DUMMYFUNCTION("""COMPUTED_VALUE"""),TRUE)</f>
        <v>1</v>
      </c>
      <c r="H1615" s="4" t="b">
        <f>IFERROR(__xludf.DUMMYFUNCTION("""COMPUTED_VALUE"""),FALSE)</f>
        <v>0</v>
      </c>
      <c r="I1615" s="4">
        <f>IFERROR(__xludf.DUMMYFUNCTION("""COMPUTED_VALUE"""),0.2549440625)</f>
        <v>0.2549440625</v>
      </c>
      <c r="J1615" s="4">
        <f>IFERROR(__xludf.DUMMYFUNCTION("""COMPUTED_VALUE"""),45949.273078888684)</f>
        <v>45949.27308</v>
      </c>
      <c r="K1615" s="4" t="str">
        <f>IFERROR(__xludf.DUMMYFUNCTION("""COMPUTED_VALUE"""),"")</f>
        <v/>
      </c>
      <c r="L1615" s="4">
        <f>IFERROR(__xludf.DUMMYFUNCTION("""COMPUTED_VALUE"""),45949.28723767748)</f>
        <v>45949.28724</v>
      </c>
      <c r="M1615" s="1" t="str">
        <f>IFERROR(__xludf.DUMMYFUNCTION("""COMPUTED_VALUE"""),"RFID")</f>
        <v>RFID</v>
      </c>
      <c r="N1615" s="5">
        <f>IFERROR(__xludf.DUMMYFUNCTION("""COMPUTED_VALUE"""),0.007253930555555556)</f>
        <v>0.007253930556</v>
      </c>
      <c r="O1615" s="5" t="str">
        <f>IFERROR(__xludf.DUMMYFUNCTION("""COMPUTED_VALUE"""),"")</f>
        <v/>
      </c>
      <c r="P1615" s="5" t="str">
        <f>IFERROR(__xludf.DUMMYFUNCTION("""COMPUTED_VALUE"""),"")</f>
        <v/>
      </c>
      <c r="Q1615" s="5">
        <f>IFERROR(__xludf.DUMMYFUNCTION("""COMPUTED_VALUE"""),0.0064587222222222225)</f>
        <v>0.006458722222</v>
      </c>
      <c r="R1615" s="4">
        <f>IFERROR(__xludf.DUMMYFUNCTION("""COMPUTED_VALUE"""),45949.03229361498)</f>
        <v>45949.03229</v>
      </c>
      <c r="S1615" s="1" t="b">
        <f>IFERROR(__xludf.DUMMYFUNCTION("""COMPUTED_VALUE"""),TRUE)</f>
        <v>1</v>
      </c>
      <c r="T1615" s="1" t="b">
        <f>IFERROR(__xludf.DUMMYFUNCTION("""COMPUTED_VALUE"""),FALSE)</f>
        <v>0</v>
      </c>
      <c r="U1615" s="1" t="str">
        <f>IFERROR(__xludf.DUMMYFUNCTION("""COMPUTED_VALUE"""),"VALID")</f>
        <v>VALID</v>
      </c>
      <c r="V1615" s="1">
        <f>IFERROR(__xludf.DUMMYFUNCTION("""COMPUTED_VALUE"""),110.0)</f>
        <v>110</v>
      </c>
      <c r="W1615" s="1">
        <f>IFERROR(__xludf.DUMMYFUNCTION("""COMPUTED_VALUE"""),722.0)</f>
        <v>722</v>
      </c>
      <c r="X1615" s="1">
        <f>IFERROR(__xludf.DUMMYFUNCTION("""COMPUTED_VALUE"""),139.0)</f>
        <v>139</v>
      </c>
      <c r="Y1615" s="2"/>
      <c r="Z1615" s="2"/>
    </row>
    <row r="1616">
      <c r="A1616" s="1">
        <f>IFERROR(__xludf.DUMMYFUNCTION("""COMPUTED_VALUE"""),1615.0)</f>
        <v>1615</v>
      </c>
      <c r="B1616" s="1">
        <f>IFERROR(__xludf.DUMMYFUNCTION("""COMPUTED_VALUE"""),6425.0)</f>
        <v>6425</v>
      </c>
      <c r="C1616" s="2" t="str">
        <f>IFERROR(__xludf.DUMMYFUNCTION("""COMPUTED_VALUE"""),"REVA TAZKIA HERWINDA")</f>
        <v>REVA TAZKIA HERWINDA</v>
      </c>
      <c r="D1616" s="2" t="str">
        <f>IFERROR(__xludf.DUMMYFUNCTION("""COMPUTED_VALUE"""),"5KM OVERALL F")</f>
        <v>5KM OVERALL F</v>
      </c>
      <c r="E1616" s="1">
        <f>IFERROR(__xludf.DUMMYFUNCTION("""COMPUTED_VALUE"""),2.0)</f>
        <v>2</v>
      </c>
      <c r="F1616" s="1" t="str">
        <f>IFERROR(__xludf.DUMMYFUNCTION("""COMPUTED_VALUE"""),"Female")</f>
        <v>Female</v>
      </c>
      <c r="G1616" s="4" t="str">
        <f>IFERROR(__xludf.DUMMYFUNCTION("""COMPUTED_VALUE"""),"")</f>
        <v/>
      </c>
      <c r="H1616" s="4" t="b">
        <f>IFERROR(__xludf.DUMMYFUNCTION("""COMPUTED_VALUE"""),TRUE)</f>
        <v>1</v>
      </c>
      <c r="I1616" s="4">
        <f>IFERROR(__xludf.DUMMYFUNCTION("""COMPUTED_VALUE"""),0.2549440625)</f>
        <v>0.2549440625</v>
      </c>
      <c r="J1616" s="4">
        <f>IFERROR(__xludf.DUMMYFUNCTION("""COMPUTED_VALUE"""),45949.281269800456)</f>
        <v>45949.28127</v>
      </c>
      <c r="K1616" s="4" t="str">
        <f>IFERROR(__xludf.DUMMYFUNCTION("""COMPUTED_VALUE"""),"")</f>
        <v/>
      </c>
      <c r="L1616" s="4">
        <f>IFERROR(__xludf.DUMMYFUNCTION("""COMPUTED_VALUE"""),45949.301939065044)</f>
        <v>45949.30194</v>
      </c>
      <c r="M1616" s="1" t="str">
        <f>IFERROR(__xludf.DUMMYFUNCTION("""COMPUTED_VALUE"""),"RFID")</f>
        <v>RFID</v>
      </c>
      <c r="N1616" s="5">
        <f>IFERROR(__xludf.DUMMYFUNCTION("""COMPUTED_VALUE"""),0.010530296296296296)</f>
        <v>0.0105302963</v>
      </c>
      <c r="O1616" s="5" t="str">
        <f>IFERROR(__xludf.DUMMYFUNCTION("""COMPUTED_VALUE"""),"")</f>
        <v/>
      </c>
      <c r="P1616" s="5" t="str">
        <f>IFERROR(__xludf.DUMMYFUNCTION("""COMPUTED_VALUE"""),"")</f>
        <v/>
      </c>
      <c r="Q1616" s="5">
        <f>IFERROR(__xludf.DUMMYFUNCTION("""COMPUTED_VALUE"""),0.009399000000000001)</f>
        <v>0.009399</v>
      </c>
      <c r="R1616" s="4">
        <f>IFERROR(__xludf.DUMMYFUNCTION("""COMPUTED_VALUE"""),45949.04699500254)</f>
        <v>45949.047</v>
      </c>
      <c r="S1616" s="1" t="b">
        <f>IFERROR(__xludf.DUMMYFUNCTION("""COMPUTED_VALUE"""),TRUE)</f>
        <v>1</v>
      </c>
      <c r="T1616" s="1" t="b">
        <f>IFERROR(__xludf.DUMMYFUNCTION("""COMPUTED_VALUE"""),FALSE)</f>
        <v>0</v>
      </c>
      <c r="U1616" s="1" t="str">
        <f>IFERROR(__xludf.DUMMYFUNCTION("""COMPUTED_VALUE"""),"VALID")</f>
        <v>VALID</v>
      </c>
      <c r="V1616" s="1">
        <f>IFERROR(__xludf.DUMMYFUNCTION("""COMPUTED_VALUE"""),459.0)</f>
        <v>459</v>
      </c>
      <c r="W1616" s="1">
        <f>IFERROR(__xludf.DUMMYFUNCTION("""COMPUTED_VALUE"""),1515.0)</f>
        <v>1515</v>
      </c>
      <c r="X1616" s="1">
        <f>IFERROR(__xludf.DUMMYFUNCTION("""COMPUTED_VALUE"""),559.0)</f>
        <v>559</v>
      </c>
      <c r="Y1616" s="2"/>
      <c r="Z1616" s="2"/>
    </row>
    <row r="1617">
      <c r="A1617" s="1">
        <f>IFERROR(__xludf.DUMMYFUNCTION("""COMPUTED_VALUE"""),1616.0)</f>
        <v>1616</v>
      </c>
      <c r="B1617" s="1">
        <f>IFERROR(__xludf.DUMMYFUNCTION("""COMPUTED_VALUE"""),6426.0)</f>
        <v>6426</v>
      </c>
      <c r="C1617" s="2" t="str">
        <f>IFERROR(__xludf.DUMMYFUNCTION("""COMPUTED_VALUE"""),"RAUDHATUL JANNAH")</f>
        <v>RAUDHATUL JANNAH</v>
      </c>
      <c r="D1617" s="2" t="str">
        <f>IFERROR(__xludf.DUMMYFUNCTION("""COMPUTED_VALUE"""),"5KM OVERALL F")</f>
        <v>5KM OVERALL F</v>
      </c>
      <c r="E1617" s="1">
        <f>IFERROR(__xludf.DUMMYFUNCTION("""COMPUTED_VALUE"""),2.0)</f>
        <v>2</v>
      </c>
      <c r="F1617" s="1" t="str">
        <f>IFERROR(__xludf.DUMMYFUNCTION("""COMPUTED_VALUE"""),"Female")</f>
        <v>Female</v>
      </c>
      <c r="G1617" s="4" t="b">
        <f>IFERROR(__xludf.DUMMYFUNCTION("""COMPUTED_VALUE"""),TRUE)</f>
        <v>1</v>
      </c>
      <c r="H1617" s="4" t="b">
        <f>IFERROR(__xludf.DUMMYFUNCTION("""COMPUTED_VALUE"""),TRUE)</f>
        <v>1</v>
      </c>
      <c r="I1617" s="4">
        <f>IFERROR(__xludf.DUMMYFUNCTION("""COMPUTED_VALUE"""),0.2549440625)</f>
        <v>0.2549440625</v>
      </c>
      <c r="J1617" s="4">
        <f>IFERROR(__xludf.DUMMYFUNCTION("""COMPUTED_VALUE"""),45949.2811898951)</f>
        <v>45949.28119</v>
      </c>
      <c r="K1617" s="4" t="str">
        <f>IFERROR(__xludf.DUMMYFUNCTION("""COMPUTED_VALUE"""),"")</f>
        <v/>
      </c>
      <c r="L1617" s="4">
        <f>IFERROR(__xludf.DUMMYFUNCTION("""COMPUTED_VALUE"""),45949.30192864641)</f>
        <v>45949.30193</v>
      </c>
      <c r="M1617" s="1" t="str">
        <f>IFERROR(__xludf.DUMMYFUNCTION("""COMPUTED_VALUE"""),"RFID")</f>
        <v>RFID</v>
      </c>
      <c r="N1617" s="5">
        <f>IFERROR(__xludf.DUMMYFUNCTION("""COMPUTED_VALUE"""),0.010498333333333333)</f>
        <v>0.01049833333</v>
      </c>
      <c r="O1617" s="5" t="str">
        <f>IFERROR(__xludf.DUMMYFUNCTION("""COMPUTED_VALUE"""),"")</f>
        <v/>
      </c>
      <c r="P1617" s="5" t="str">
        <f>IFERROR(__xludf.DUMMYFUNCTION("""COMPUTED_VALUE"""),"")</f>
        <v/>
      </c>
      <c r="Q1617" s="5">
        <f>IFERROR(__xludf.DUMMYFUNCTION("""COMPUTED_VALUE"""),0.009396916666666666)</f>
        <v>0.009396916667</v>
      </c>
      <c r="R1617" s="4">
        <f>IFERROR(__xludf.DUMMYFUNCTION("""COMPUTED_VALUE"""),45949.04698458391)</f>
        <v>45949.04698</v>
      </c>
      <c r="S1617" s="1" t="b">
        <f>IFERROR(__xludf.DUMMYFUNCTION("""COMPUTED_VALUE"""),TRUE)</f>
        <v>1</v>
      </c>
      <c r="T1617" s="1" t="b">
        <f>IFERROR(__xludf.DUMMYFUNCTION("""COMPUTED_VALUE"""),FALSE)</f>
        <v>0</v>
      </c>
      <c r="U1617" s="1" t="str">
        <f>IFERROR(__xludf.DUMMYFUNCTION("""COMPUTED_VALUE"""),"VALID")</f>
        <v>VALID</v>
      </c>
      <c r="V1617" s="1">
        <f>IFERROR(__xludf.DUMMYFUNCTION("""COMPUTED_VALUE"""),457.0)</f>
        <v>457</v>
      </c>
      <c r="W1617" s="1">
        <f>IFERROR(__xludf.DUMMYFUNCTION("""COMPUTED_VALUE"""),1513.0)</f>
        <v>1513</v>
      </c>
      <c r="X1617" s="1">
        <f>IFERROR(__xludf.DUMMYFUNCTION("""COMPUTED_VALUE"""),557.0)</f>
        <v>557</v>
      </c>
      <c r="Y1617" s="2"/>
      <c r="Z1617" s="2"/>
    </row>
    <row r="1618">
      <c r="A1618" s="1">
        <f>IFERROR(__xludf.DUMMYFUNCTION("""COMPUTED_VALUE"""),1617.0)</f>
        <v>1617</v>
      </c>
      <c r="B1618" s="1">
        <f>IFERROR(__xludf.DUMMYFUNCTION("""COMPUTED_VALUE"""),6427.0)</f>
        <v>6427</v>
      </c>
      <c r="C1618" s="2" t="str">
        <f>IFERROR(__xludf.DUMMYFUNCTION("""COMPUTED_VALUE"""),"SHELVIA RIASTUTI")</f>
        <v>SHELVIA RIASTUTI</v>
      </c>
      <c r="D1618" s="2" t="str">
        <f>IFERROR(__xludf.DUMMYFUNCTION("""COMPUTED_VALUE"""),"5KM OVERALL F")</f>
        <v>5KM OVERALL F</v>
      </c>
      <c r="E1618" s="1">
        <f>IFERROR(__xludf.DUMMYFUNCTION("""COMPUTED_VALUE"""),2.0)</f>
        <v>2</v>
      </c>
      <c r="F1618" s="1" t="str">
        <f>IFERROR(__xludf.DUMMYFUNCTION("""COMPUTED_VALUE"""),"Female")</f>
        <v>Female</v>
      </c>
      <c r="G1618" s="4" t="b">
        <f>IFERROR(__xludf.DUMMYFUNCTION("""COMPUTED_VALUE"""),TRUE)</f>
        <v>1</v>
      </c>
      <c r="H1618" s="4" t="b">
        <f>IFERROR(__xludf.DUMMYFUNCTION("""COMPUTED_VALUE"""),FALSE)</f>
        <v>0</v>
      </c>
      <c r="I1618" s="4">
        <f>IFERROR(__xludf.DUMMYFUNCTION("""COMPUTED_VALUE"""),0.2549440625)</f>
        <v>0.2549440625</v>
      </c>
      <c r="J1618" s="4">
        <f>IFERROR(__xludf.DUMMYFUNCTION("""COMPUTED_VALUE"""),45949.281287175756)</f>
        <v>45949.28129</v>
      </c>
      <c r="K1618" s="4" t="str">
        <f>IFERROR(__xludf.DUMMYFUNCTION("""COMPUTED_VALUE"""),"")</f>
        <v/>
      </c>
      <c r="L1618" s="4">
        <f>IFERROR(__xludf.DUMMYFUNCTION("""COMPUTED_VALUE"""),45949.301925519205)</f>
        <v>45949.30193</v>
      </c>
      <c r="M1618" s="1" t="str">
        <f>IFERROR(__xludf.DUMMYFUNCTION("""COMPUTED_VALUE"""),"RFID")</f>
        <v>RFID</v>
      </c>
      <c r="N1618" s="5">
        <f>IFERROR(__xludf.DUMMYFUNCTION("""COMPUTED_VALUE"""),0.01053724537037037)</f>
        <v>0.01053724537</v>
      </c>
      <c r="O1618" s="5" t="str">
        <f>IFERROR(__xludf.DUMMYFUNCTION("""COMPUTED_VALUE"""),"")</f>
        <v/>
      </c>
      <c r="P1618" s="5" t="str">
        <f>IFERROR(__xludf.DUMMYFUNCTION("""COMPUTED_VALUE"""),"")</f>
        <v/>
      </c>
      <c r="Q1618" s="5">
        <f>IFERROR(__xludf.DUMMYFUNCTION("""COMPUTED_VALUE"""),0.009396291666666666)</f>
        <v>0.009396291667</v>
      </c>
      <c r="R1618" s="4">
        <f>IFERROR(__xludf.DUMMYFUNCTION("""COMPUTED_VALUE"""),45949.046981456704)</f>
        <v>45949.04698</v>
      </c>
      <c r="S1618" s="1" t="b">
        <f>IFERROR(__xludf.DUMMYFUNCTION("""COMPUTED_VALUE"""),TRUE)</f>
        <v>1</v>
      </c>
      <c r="T1618" s="1" t="b">
        <f>IFERROR(__xludf.DUMMYFUNCTION("""COMPUTED_VALUE"""),FALSE)</f>
        <v>0</v>
      </c>
      <c r="U1618" s="1" t="str">
        <f>IFERROR(__xludf.DUMMYFUNCTION("""COMPUTED_VALUE"""),"VALID")</f>
        <v>VALID</v>
      </c>
      <c r="V1618" s="1">
        <f>IFERROR(__xludf.DUMMYFUNCTION("""COMPUTED_VALUE"""),456.0)</f>
        <v>456</v>
      </c>
      <c r="W1618" s="1">
        <f>IFERROR(__xludf.DUMMYFUNCTION("""COMPUTED_VALUE"""),1512.0)</f>
        <v>1512</v>
      </c>
      <c r="X1618" s="1">
        <f>IFERROR(__xludf.DUMMYFUNCTION("""COMPUTED_VALUE"""),556.0)</f>
        <v>556</v>
      </c>
      <c r="Y1618" s="2"/>
      <c r="Z1618" s="2"/>
    </row>
    <row r="1619">
      <c r="A1619" s="1">
        <f>IFERROR(__xludf.DUMMYFUNCTION("""COMPUTED_VALUE"""),1618.0)</f>
        <v>1618</v>
      </c>
      <c r="B1619" s="1">
        <f>IFERROR(__xludf.DUMMYFUNCTION("""COMPUTED_VALUE"""),6428.0)</f>
        <v>6428</v>
      </c>
      <c r="C1619" s="2" t="str">
        <f>IFERROR(__xludf.DUMMYFUNCTION("""COMPUTED_VALUE"""),"ALPINISIA PUTRI PIKARA")</f>
        <v>ALPINISIA PUTRI PIKARA</v>
      </c>
      <c r="D1619" s="2" t="str">
        <f>IFERROR(__xludf.DUMMYFUNCTION("""COMPUTED_VALUE"""),"5KM OVERALL F")</f>
        <v>5KM OVERALL F</v>
      </c>
      <c r="E1619" s="1">
        <f>IFERROR(__xludf.DUMMYFUNCTION("""COMPUTED_VALUE"""),2.0)</f>
        <v>2</v>
      </c>
      <c r="F1619" s="1" t="str">
        <f>IFERROR(__xludf.DUMMYFUNCTION("""COMPUTED_VALUE"""),"Female")</f>
        <v>Female</v>
      </c>
      <c r="G1619" s="4" t="b">
        <f>IFERROR(__xludf.DUMMYFUNCTION("""COMPUTED_VALUE"""),TRUE)</f>
        <v>1</v>
      </c>
      <c r="H1619" s="4" t="b">
        <f>IFERROR(__xludf.DUMMYFUNCTION("""COMPUTED_VALUE"""),TRUE)</f>
        <v>1</v>
      </c>
      <c r="I1619" s="4">
        <f>IFERROR(__xludf.DUMMYFUNCTION("""COMPUTED_VALUE"""),0.2549440625)</f>
        <v>0.2549440625</v>
      </c>
      <c r="J1619" s="4">
        <f>IFERROR(__xludf.DUMMYFUNCTION("""COMPUTED_VALUE"""),45949.27778711843)</f>
        <v>45949.27779</v>
      </c>
      <c r="K1619" s="4" t="str">
        <f>IFERROR(__xludf.DUMMYFUNCTION("""COMPUTED_VALUE"""),"")</f>
        <v/>
      </c>
      <c r="L1619" s="4">
        <f>IFERROR(__xludf.DUMMYFUNCTION("""COMPUTED_VALUE"""),45949.29538699685)</f>
        <v>45949.29539</v>
      </c>
      <c r="M1619" s="1" t="str">
        <f>IFERROR(__xludf.DUMMYFUNCTION("""COMPUTED_VALUE"""),"RFID")</f>
        <v>RFID</v>
      </c>
      <c r="N1619" s="5">
        <f>IFERROR(__xludf.DUMMYFUNCTION("""COMPUTED_VALUE"""),0.009137222222222224)</f>
        <v>0.009137222222</v>
      </c>
      <c r="O1619" s="5" t="str">
        <f>IFERROR(__xludf.DUMMYFUNCTION("""COMPUTED_VALUE"""),"")</f>
        <v/>
      </c>
      <c r="P1619" s="5" t="str">
        <f>IFERROR(__xludf.DUMMYFUNCTION("""COMPUTED_VALUE"""),"")</f>
        <v/>
      </c>
      <c r="Q1619" s="5">
        <f>IFERROR(__xludf.DUMMYFUNCTION("""COMPUTED_VALUE"""),0.008088587962962964)</f>
        <v>0.008088587963</v>
      </c>
      <c r="R1619" s="4">
        <f>IFERROR(__xludf.DUMMYFUNCTION("""COMPUTED_VALUE"""),45949.04044293435)</f>
        <v>45949.04044</v>
      </c>
      <c r="S1619" s="1" t="b">
        <f>IFERROR(__xludf.DUMMYFUNCTION("""COMPUTED_VALUE"""),TRUE)</f>
        <v>1</v>
      </c>
      <c r="T1619" s="1" t="b">
        <f>IFERROR(__xludf.DUMMYFUNCTION("""COMPUTED_VALUE"""),FALSE)</f>
        <v>0</v>
      </c>
      <c r="U1619" s="1" t="str">
        <f>IFERROR(__xludf.DUMMYFUNCTION("""COMPUTED_VALUE"""),"VALID")</f>
        <v>VALID</v>
      </c>
      <c r="V1619" s="1">
        <f>IFERROR(__xludf.DUMMYFUNCTION("""COMPUTED_VALUE"""),329.0)</f>
        <v>329</v>
      </c>
      <c r="W1619" s="1">
        <f>IFERROR(__xludf.DUMMYFUNCTION("""COMPUTED_VALUE"""),1269.0)</f>
        <v>1269</v>
      </c>
      <c r="X1619" s="1">
        <f>IFERROR(__xludf.DUMMYFUNCTION("""COMPUTED_VALUE"""),398.0)</f>
        <v>398</v>
      </c>
      <c r="Y1619" s="2"/>
      <c r="Z1619" s="2"/>
    </row>
    <row r="1620">
      <c r="A1620" s="1">
        <f>IFERROR(__xludf.DUMMYFUNCTION("""COMPUTED_VALUE"""),1619.0)</f>
        <v>1619</v>
      </c>
      <c r="B1620" s="1">
        <f>IFERROR(__xludf.DUMMYFUNCTION("""COMPUTED_VALUE"""),6429.0)</f>
        <v>6429</v>
      </c>
      <c r="C1620" s="2" t="str">
        <f>IFERROR(__xludf.DUMMYFUNCTION("""COMPUTED_VALUE"""),"KASMAWATI")</f>
        <v>KASMAWATI</v>
      </c>
      <c r="D1620" s="2" t="str">
        <f>IFERROR(__xludf.DUMMYFUNCTION("""COMPUTED_VALUE"""),"5KM OVERALL F")</f>
        <v>5KM OVERALL F</v>
      </c>
      <c r="E1620" s="1">
        <f>IFERROR(__xludf.DUMMYFUNCTION("""COMPUTED_VALUE"""),2.0)</f>
        <v>2</v>
      </c>
      <c r="F1620" s="1" t="str">
        <f>IFERROR(__xludf.DUMMYFUNCTION("""COMPUTED_VALUE"""),"Female")</f>
        <v>Female</v>
      </c>
      <c r="G1620" s="4" t="b">
        <f>IFERROR(__xludf.DUMMYFUNCTION("""COMPUTED_VALUE"""),TRUE)</f>
        <v>1</v>
      </c>
      <c r="H1620" s="4" t="b">
        <f>IFERROR(__xludf.DUMMYFUNCTION("""COMPUTED_VALUE"""),TRUE)</f>
        <v>1</v>
      </c>
      <c r="I1620" s="4">
        <f>IFERROR(__xludf.DUMMYFUNCTION("""COMPUTED_VALUE"""),0.2549440625)</f>
        <v>0.2549440625</v>
      </c>
      <c r="J1620" s="4">
        <f>IFERROR(__xludf.DUMMYFUNCTION("""COMPUTED_VALUE"""),45949.27706489768)</f>
        <v>45949.27706</v>
      </c>
      <c r="K1620" s="4" t="str">
        <f>IFERROR(__xludf.DUMMYFUNCTION("""COMPUTED_VALUE"""),"")</f>
        <v/>
      </c>
      <c r="L1620" s="4">
        <f>IFERROR(__xludf.DUMMYFUNCTION("""COMPUTED_VALUE"""),45949.29404323638)</f>
        <v>45949.29404</v>
      </c>
      <c r="M1620" s="1" t="str">
        <f>IFERROR(__xludf.DUMMYFUNCTION("""COMPUTED_VALUE"""),"RFID")</f>
        <v>RFID</v>
      </c>
      <c r="N1620" s="5">
        <f>IFERROR(__xludf.DUMMYFUNCTION("""COMPUTED_VALUE"""),0.008848333333333333)</f>
        <v>0.008848333333</v>
      </c>
      <c r="O1620" s="5" t="str">
        <f>IFERROR(__xludf.DUMMYFUNCTION("""COMPUTED_VALUE"""),"")</f>
        <v/>
      </c>
      <c r="P1620" s="5" t="str">
        <f>IFERROR(__xludf.DUMMYFUNCTION("""COMPUTED_VALUE"""),"")</f>
        <v/>
      </c>
      <c r="Q1620" s="5">
        <f>IFERROR(__xludf.DUMMYFUNCTION("""COMPUTED_VALUE"""),0.007819835648148147)</f>
        <v>0.007819835648</v>
      </c>
      <c r="R1620" s="4">
        <f>IFERROR(__xludf.DUMMYFUNCTION("""COMPUTED_VALUE"""),45949.03909917388)</f>
        <v>45949.0391</v>
      </c>
      <c r="S1620" s="1" t="b">
        <f>IFERROR(__xludf.DUMMYFUNCTION("""COMPUTED_VALUE"""),TRUE)</f>
        <v>1</v>
      </c>
      <c r="T1620" s="1" t="b">
        <f>IFERROR(__xludf.DUMMYFUNCTION("""COMPUTED_VALUE"""),FALSE)</f>
        <v>0</v>
      </c>
      <c r="U1620" s="1" t="str">
        <f>IFERROR(__xludf.DUMMYFUNCTION("""COMPUTED_VALUE"""),"VALID")</f>
        <v>VALID</v>
      </c>
      <c r="V1620" s="1">
        <f>IFERROR(__xludf.DUMMYFUNCTION("""COMPUTED_VALUE"""),289.0)</f>
        <v>289</v>
      </c>
      <c r="W1620" s="1">
        <f>IFERROR(__xludf.DUMMYFUNCTION("""COMPUTED_VALUE"""),1180.0)</f>
        <v>1180</v>
      </c>
      <c r="X1620" s="1">
        <f>IFERROR(__xludf.DUMMYFUNCTION("""COMPUTED_VALUE"""),349.0)</f>
        <v>349</v>
      </c>
      <c r="Y1620" s="2"/>
      <c r="Z1620" s="2"/>
    </row>
    <row r="1621">
      <c r="A1621" s="1">
        <f>IFERROR(__xludf.DUMMYFUNCTION("""COMPUTED_VALUE"""),1620.0)</f>
        <v>1620</v>
      </c>
      <c r="B1621" s="1">
        <f>IFERROR(__xludf.DUMMYFUNCTION("""COMPUTED_VALUE"""),6430.0)</f>
        <v>6430</v>
      </c>
      <c r="C1621" s="2" t="str">
        <f>IFERROR(__xludf.DUMMYFUNCTION("""COMPUTED_VALUE"""),"SUCI EKA ANNISA")</f>
        <v>SUCI EKA ANNISA</v>
      </c>
      <c r="D1621" s="2" t="str">
        <f>IFERROR(__xludf.DUMMYFUNCTION("""COMPUTED_VALUE"""),"5KM OVERALL F")</f>
        <v>5KM OVERALL F</v>
      </c>
      <c r="E1621" s="1">
        <f>IFERROR(__xludf.DUMMYFUNCTION("""COMPUTED_VALUE"""),2.0)</f>
        <v>2</v>
      </c>
      <c r="F1621" s="1" t="str">
        <f>IFERROR(__xludf.DUMMYFUNCTION("""COMPUTED_VALUE"""),"Female")</f>
        <v>Female</v>
      </c>
      <c r="G1621" s="4" t="b">
        <f>IFERROR(__xludf.DUMMYFUNCTION("""COMPUTED_VALUE"""),TRUE)</f>
        <v>1</v>
      </c>
      <c r="H1621" s="4" t="b">
        <f>IFERROR(__xludf.DUMMYFUNCTION("""COMPUTED_VALUE"""),FALSE)</f>
        <v>0</v>
      </c>
      <c r="I1621" s="4">
        <f>IFERROR(__xludf.DUMMYFUNCTION("""COMPUTED_VALUE"""),0.2549440625)</f>
        <v>0.2549440625</v>
      </c>
      <c r="J1621" s="4">
        <f>IFERROR(__xludf.DUMMYFUNCTION("""COMPUTED_VALUE"""),45949.276679472685)</f>
        <v>45949.27668</v>
      </c>
      <c r="K1621" s="4" t="str">
        <f>IFERROR(__xludf.DUMMYFUNCTION("""COMPUTED_VALUE"""),"")</f>
        <v/>
      </c>
      <c r="L1621" s="4">
        <f>IFERROR(__xludf.DUMMYFUNCTION("""COMPUTED_VALUE"""),45949.29415086911)</f>
        <v>45949.29415</v>
      </c>
      <c r="M1621" s="1" t="str">
        <f>IFERROR(__xludf.DUMMYFUNCTION("""COMPUTED_VALUE"""),"RFID")</f>
        <v>RFID</v>
      </c>
      <c r="N1621" s="5">
        <f>IFERROR(__xludf.DUMMYFUNCTION("""COMPUTED_VALUE"""),0.008694162037037037)</f>
        <v>0.008694162037</v>
      </c>
      <c r="O1621" s="5" t="str">
        <f>IFERROR(__xludf.DUMMYFUNCTION("""COMPUTED_VALUE"""),"")</f>
        <v/>
      </c>
      <c r="P1621" s="5" t="str">
        <f>IFERROR(__xludf.DUMMYFUNCTION("""COMPUTED_VALUE"""),"")</f>
        <v/>
      </c>
      <c r="Q1621" s="5">
        <f>IFERROR(__xludf.DUMMYFUNCTION("""COMPUTED_VALUE"""),0.007841361111111111)</f>
        <v>0.007841361111</v>
      </c>
      <c r="R1621" s="4">
        <f>IFERROR(__xludf.DUMMYFUNCTION("""COMPUTED_VALUE"""),45949.03920680661)</f>
        <v>45949.03921</v>
      </c>
      <c r="S1621" s="1" t="b">
        <f>IFERROR(__xludf.DUMMYFUNCTION("""COMPUTED_VALUE"""),TRUE)</f>
        <v>1</v>
      </c>
      <c r="T1621" s="1" t="b">
        <f>IFERROR(__xludf.DUMMYFUNCTION("""COMPUTED_VALUE"""),FALSE)</f>
        <v>0</v>
      </c>
      <c r="U1621" s="1" t="str">
        <f>IFERROR(__xludf.DUMMYFUNCTION("""COMPUTED_VALUE"""),"VALID")</f>
        <v>VALID</v>
      </c>
      <c r="V1621" s="1">
        <f>IFERROR(__xludf.DUMMYFUNCTION("""COMPUTED_VALUE"""),293.0)</f>
        <v>293</v>
      </c>
      <c r="W1621" s="1">
        <f>IFERROR(__xludf.DUMMYFUNCTION("""COMPUTED_VALUE"""),1190.0)</f>
        <v>1190</v>
      </c>
      <c r="X1621" s="1">
        <f>IFERROR(__xludf.DUMMYFUNCTION("""COMPUTED_VALUE"""),354.0)</f>
        <v>354</v>
      </c>
      <c r="Y1621" s="2"/>
      <c r="Z1621" s="2"/>
    </row>
    <row r="1622">
      <c r="A1622" s="1">
        <f>IFERROR(__xludf.DUMMYFUNCTION("""COMPUTED_VALUE"""),1621.0)</f>
        <v>1621</v>
      </c>
      <c r="B1622" s="1">
        <f>IFERROR(__xludf.DUMMYFUNCTION("""COMPUTED_VALUE"""),6447.0)</f>
        <v>6447</v>
      </c>
      <c r="C1622" s="2" t="str">
        <f>IFERROR(__xludf.DUMMYFUNCTION("""COMPUTED_VALUE"""),"KAPOLRES PIUS")</f>
        <v>KAPOLRES PIUS</v>
      </c>
      <c r="D1622" s="2" t="str">
        <f>IFERROR(__xludf.DUMMYFUNCTION("""COMPUTED_VALUE"""),"5KM OVERALL F")</f>
        <v>5KM OVERALL F</v>
      </c>
      <c r="E1622" s="1">
        <f>IFERROR(__xludf.DUMMYFUNCTION("""COMPUTED_VALUE"""),2.0)</f>
        <v>2</v>
      </c>
      <c r="F1622" s="1" t="str">
        <f>IFERROR(__xludf.DUMMYFUNCTION("""COMPUTED_VALUE"""),"Female")</f>
        <v>Female</v>
      </c>
      <c r="G1622" s="4" t="str">
        <f>IFERROR(__xludf.DUMMYFUNCTION("""COMPUTED_VALUE"""),"")</f>
        <v/>
      </c>
      <c r="H1622" s="4" t="b">
        <f>IFERROR(__xludf.DUMMYFUNCTION("""COMPUTED_VALUE"""),FALSE)</f>
        <v>0</v>
      </c>
      <c r="I1622" s="4">
        <f>IFERROR(__xludf.DUMMYFUNCTION("""COMPUTED_VALUE"""),0.2549440625)</f>
        <v>0.2549440625</v>
      </c>
      <c r="J1622" s="4" t="str">
        <f>IFERROR(__xludf.DUMMYFUNCTION("""COMPUTED_VALUE"""),"")</f>
        <v/>
      </c>
      <c r="K1622" s="4" t="str">
        <f>IFERROR(__xludf.DUMMYFUNCTION("""COMPUTED_VALUE"""),"")</f>
        <v/>
      </c>
      <c r="L1622" s="4" t="str">
        <f>IFERROR(__xludf.DUMMYFUNCTION("""COMPUTED_VALUE"""),"")</f>
        <v/>
      </c>
      <c r="M1622" s="1" t="str">
        <f>IFERROR(__xludf.DUMMYFUNCTION("""COMPUTED_VALUE"""),"RFID")</f>
        <v>RFID</v>
      </c>
      <c r="N1622" s="5" t="str">
        <f>IFERROR(__xludf.DUMMYFUNCTION("""COMPUTED_VALUE"""),"")</f>
        <v/>
      </c>
      <c r="O1622" s="5" t="str">
        <f>IFERROR(__xludf.DUMMYFUNCTION("""COMPUTED_VALUE"""),"")</f>
        <v/>
      </c>
      <c r="P1622" s="5" t="str">
        <f>IFERROR(__xludf.DUMMYFUNCTION("""COMPUTED_VALUE"""),"")</f>
        <v/>
      </c>
      <c r="Q1622" s="5" t="str">
        <f>IFERROR(__xludf.DUMMYFUNCTION("""COMPUTED_VALUE"""),"")</f>
        <v/>
      </c>
      <c r="R1622" s="4" t="str">
        <f>IFERROR(__xludf.DUMMYFUNCTION("""COMPUTED_VALUE"""),"")</f>
        <v/>
      </c>
      <c r="S1622" s="1" t="b">
        <f>IFERROR(__xludf.DUMMYFUNCTION("""COMPUTED_VALUE"""),FALSE)</f>
        <v>0</v>
      </c>
      <c r="T1622" s="1" t="b">
        <f>IFERROR(__xludf.DUMMYFUNCTION("""COMPUTED_VALUE"""),FALSE)</f>
        <v>0</v>
      </c>
      <c r="U1622" s="1" t="str">
        <f>IFERROR(__xludf.DUMMYFUNCTION("""COMPUTED_VALUE"""),"DSQ")</f>
        <v>DSQ</v>
      </c>
      <c r="V1622" s="1" t="str">
        <f>IFERROR(__xludf.DUMMYFUNCTION("""COMPUTED_VALUE"""),"DSQ")</f>
        <v>DSQ</v>
      </c>
      <c r="W1622" s="1" t="str">
        <f>IFERROR(__xludf.DUMMYFUNCTION("""COMPUTED_VALUE"""),"DSQ")</f>
        <v>DSQ</v>
      </c>
      <c r="X1622" s="1" t="str">
        <f>IFERROR(__xludf.DUMMYFUNCTION("""COMPUTED_VALUE"""),"DSQ")</f>
        <v>DSQ</v>
      </c>
      <c r="Y1622" s="2"/>
      <c r="Z1622" s="2" t="str">
        <f>IFERROR(__xludf.DUMMYFUNCTION("""COMPUTED_VALUE"""),"")</f>
        <v/>
      </c>
    </row>
    <row r="1623">
      <c r="A1623" s="1">
        <f>IFERROR(__xludf.DUMMYFUNCTION("""COMPUTED_VALUE"""),1622.0)</f>
        <v>1622</v>
      </c>
      <c r="B1623" s="1">
        <f>IFERROR(__xludf.DUMMYFUNCTION("""COMPUTED_VALUE"""),6449.0)</f>
        <v>6449</v>
      </c>
      <c r="C1623" s="2" t="str">
        <f>IFERROR(__xludf.DUMMYFUNCTION("""COMPUTED_VALUE"""),"OPI")</f>
        <v>OPI</v>
      </c>
      <c r="D1623" s="2" t="str">
        <f>IFERROR(__xludf.DUMMYFUNCTION("""COMPUTED_VALUE"""),"5KM OVERALL F")</f>
        <v>5KM OVERALL F</v>
      </c>
      <c r="E1623" s="1">
        <f>IFERROR(__xludf.DUMMYFUNCTION("""COMPUTED_VALUE"""),2.0)</f>
        <v>2</v>
      </c>
      <c r="F1623" s="1" t="str">
        <f>IFERROR(__xludf.DUMMYFUNCTION("""COMPUTED_VALUE"""),"Female")</f>
        <v>Female</v>
      </c>
      <c r="G1623" s="4" t="str">
        <f>IFERROR(__xludf.DUMMYFUNCTION("""COMPUTED_VALUE"""),"")</f>
        <v/>
      </c>
      <c r="H1623" s="4" t="b">
        <f>IFERROR(__xludf.DUMMYFUNCTION("""COMPUTED_VALUE"""),FALSE)</f>
        <v>0</v>
      </c>
      <c r="I1623" s="4">
        <f>IFERROR(__xludf.DUMMYFUNCTION("""COMPUTED_VALUE"""),0.2549440625)</f>
        <v>0.2549440625</v>
      </c>
      <c r="J1623" s="4" t="str">
        <f>IFERROR(__xludf.DUMMYFUNCTION("""COMPUTED_VALUE"""),"")</f>
        <v/>
      </c>
      <c r="K1623" s="4" t="str">
        <f>IFERROR(__xludf.DUMMYFUNCTION("""COMPUTED_VALUE"""),"")</f>
        <v/>
      </c>
      <c r="L1623" s="4" t="str">
        <f>IFERROR(__xludf.DUMMYFUNCTION("""COMPUTED_VALUE"""),"")</f>
        <v/>
      </c>
      <c r="M1623" s="1" t="str">
        <f>IFERROR(__xludf.DUMMYFUNCTION("""COMPUTED_VALUE"""),"RFID")</f>
        <v>RFID</v>
      </c>
      <c r="N1623" s="5" t="str">
        <f>IFERROR(__xludf.DUMMYFUNCTION("""COMPUTED_VALUE"""),"")</f>
        <v/>
      </c>
      <c r="O1623" s="5" t="str">
        <f>IFERROR(__xludf.DUMMYFUNCTION("""COMPUTED_VALUE"""),"")</f>
        <v/>
      </c>
      <c r="P1623" s="5" t="str">
        <f>IFERROR(__xludf.DUMMYFUNCTION("""COMPUTED_VALUE"""),"")</f>
        <v/>
      </c>
      <c r="Q1623" s="5" t="str">
        <f>IFERROR(__xludf.DUMMYFUNCTION("""COMPUTED_VALUE"""),"")</f>
        <v/>
      </c>
      <c r="R1623" s="4" t="str">
        <f>IFERROR(__xludf.DUMMYFUNCTION("""COMPUTED_VALUE"""),"")</f>
        <v/>
      </c>
      <c r="S1623" s="1" t="b">
        <f>IFERROR(__xludf.DUMMYFUNCTION("""COMPUTED_VALUE"""),FALSE)</f>
        <v>0</v>
      </c>
      <c r="T1623" s="1" t="b">
        <f>IFERROR(__xludf.DUMMYFUNCTION("""COMPUTED_VALUE"""),FALSE)</f>
        <v>0</v>
      </c>
      <c r="U1623" s="1" t="str">
        <f>IFERROR(__xludf.DUMMYFUNCTION("""COMPUTED_VALUE"""),"DSQ")</f>
        <v>DSQ</v>
      </c>
      <c r="V1623" s="1" t="str">
        <f>IFERROR(__xludf.DUMMYFUNCTION("""COMPUTED_VALUE"""),"DSQ")</f>
        <v>DSQ</v>
      </c>
      <c r="W1623" s="1" t="str">
        <f>IFERROR(__xludf.DUMMYFUNCTION("""COMPUTED_VALUE"""),"DSQ")</f>
        <v>DSQ</v>
      </c>
      <c r="X1623" s="1" t="str">
        <f>IFERROR(__xludf.DUMMYFUNCTION("""COMPUTED_VALUE"""),"DSQ")</f>
        <v>DSQ</v>
      </c>
      <c r="Y1623" s="2"/>
      <c r="Z1623" s="2" t="str">
        <f>IFERROR(__xludf.DUMMYFUNCTION("""COMPUTED_VALUE"""),"")</f>
        <v/>
      </c>
    </row>
    <row r="1624">
      <c r="A1624" s="1">
        <f>IFERROR(__xludf.DUMMYFUNCTION("""COMPUTED_VALUE"""),1623.0)</f>
        <v>1623</v>
      </c>
      <c r="B1624" s="1">
        <f>IFERROR(__xludf.DUMMYFUNCTION("""COMPUTED_VALUE"""),6450.0)</f>
        <v>6450</v>
      </c>
      <c r="C1624" s="2" t="str">
        <f>IFERROR(__xludf.DUMMYFUNCTION("""COMPUTED_VALUE"""),"M. DARY FARRAS")</f>
        <v>M. DARY FARRAS</v>
      </c>
      <c r="D1624" s="2" t="str">
        <f>IFERROR(__xludf.DUMMYFUNCTION("""COMPUTED_VALUE"""),"5KM OVERALL F")</f>
        <v>5KM OVERALL F</v>
      </c>
      <c r="E1624" s="1">
        <f>IFERROR(__xludf.DUMMYFUNCTION("""COMPUTED_VALUE"""),2.0)</f>
        <v>2</v>
      </c>
      <c r="F1624" s="1" t="str">
        <f>IFERROR(__xludf.DUMMYFUNCTION("""COMPUTED_VALUE"""),"Female")</f>
        <v>Female</v>
      </c>
      <c r="G1624" s="4" t="b">
        <f>IFERROR(__xludf.DUMMYFUNCTION("""COMPUTED_VALUE"""),TRUE)</f>
        <v>1</v>
      </c>
      <c r="H1624" s="4" t="b">
        <f>IFERROR(__xludf.DUMMYFUNCTION("""COMPUTED_VALUE"""),FALSE)</f>
        <v>0</v>
      </c>
      <c r="I1624" s="4">
        <f>IFERROR(__xludf.DUMMYFUNCTION("""COMPUTED_VALUE"""),0.2549440625)</f>
        <v>0.2549440625</v>
      </c>
      <c r="J1624" s="4">
        <f>IFERROR(__xludf.DUMMYFUNCTION("""COMPUTED_VALUE"""),45949.27002691265)</f>
        <v>45949.27003</v>
      </c>
      <c r="K1624" s="4" t="str">
        <f>IFERROR(__xludf.DUMMYFUNCTION("""COMPUTED_VALUE"""),"")</f>
        <v/>
      </c>
      <c r="L1624" s="4" t="str">
        <f>IFERROR(__xludf.DUMMYFUNCTION("""COMPUTED_VALUE"""),"")</f>
        <v/>
      </c>
      <c r="M1624" s="1" t="str">
        <f>IFERROR(__xludf.DUMMYFUNCTION("""COMPUTED_VALUE"""),"RFID")</f>
        <v>RFID</v>
      </c>
      <c r="N1624" s="5">
        <f>IFERROR(__xludf.DUMMYFUNCTION("""COMPUTED_VALUE"""),0.006033138888888888)</f>
        <v>0.006033138889</v>
      </c>
      <c r="O1624" s="5" t="str">
        <f>IFERROR(__xludf.DUMMYFUNCTION("""COMPUTED_VALUE"""),"")</f>
        <v/>
      </c>
      <c r="P1624" s="5" t="str">
        <f>IFERROR(__xludf.DUMMYFUNCTION("""COMPUTED_VALUE"""),"")</f>
        <v/>
      </c>
      <c r="Q1624" s="5" t="str">
        <f>IFERROR(__xludf.DUMMYFUNCTION("""COMPUTED_VALUE"""),"")</f>
        <v/>
      </c>
      <c r="R1624" s="4" t="str">
        <f>IFERROR(__xludf.DUMMYFUNCTION("""COMPUTED_VALUE"""),"")</f>
        <v/>
      </c>
      <c r="S1624" s="1" t="b">
        <f>IFERROR(__xludf.DUMMYFUNCTION("""COMPUTED_VALUE"""),TRUE)</f>
        <v>1</v>
      </c>
      <c r="T1624" s="1" t="b">
        <f>IFERROR(__xludf.DUMMYFUNCTION("""COMPUTED_VALUE"""),FALSE)</f>
        <v>0</v>
      </c>
      <c r="U1624" s="1" t="str">
        <f>IFERROR(__xludf.DUMMYFUNCTION("""COMPUTED_VALUE"""),"DNF")</f>
        <v>DNF</v>
      </c>
      <c r="V1624" s="1" t="str">
        <f>IFERROR(__xludf.DUMMYFUNCTION("""COMPUTED_VALUE"""),"DNF")</f>
        <v>DNF</v>
      </c>
      <c r="W1624" s="1" t="str">
        <f>IFERROR(__xludf.DUMMYFUNCTION("""COMPUTED_VALUE"""),"DNF")</f>
        <v>DNF</v>
      </c>
      <c r="X1624" s="1" t="str">
        <f>IFERROR(__xludf.DUMMYFUNCTION("""COMPUTED_VALUE"""),"DNF")</f>
        <v>DNF</v>
      </c>
      <c r="Y1624" s="2" t="str">
        <f>IFERROR(__xludf.DUMMYFUNCTION("""COMPUTED_VALUE"""),"laki laki")</f>
        <v>laki laki</v>
      </c>
      <c r="Z1624" s="2"/>
    </row>
    <row r="1625">
      <c r="A1625" s="1">
        <f>IFERROR(__xludf.DUMMYFUNCTION("""COMPUTED_VALUE"""),1624.0)</f>
        <v>1624</v>
      </c>
      <c r="B1625" s="1">
        <f>IFERROR(__xludf.DUMMYFUNCTION("""COMPUTED_VALUE"""),6529.0)</f>
        <v>6529</v>
      </c>
      <c r="C1625" s="2" t="str">
        <f>IFERROR(__xludf.DUMMYFUNCTION("""COMPUTED_VALUE"""),"PACER - RENNY")</f>
        <v>PACER - RENNY</v>
      </c>
      <c r="D1625" s="2" t="str">
        <f>IFERROR(__xludf.DUMMYFUNCTION("""COMPUTED_VALUE"""),"5KM OVERALL F")</f>
        <v>5KM OVERALL F</v>
      </c>
      <c r="E1625" s="1">
        <f>IFERROR(__xludf.DUMMYFUNCTION("""COMPUTED_VALUE"""),2.0)</f>
        <v>2</v>
      </c>
      <c r="F1625" s="1" t="str">
        <f>IFERROR(__xludf.DUMMYFUNCTION("""COMPUTED_VALUE"""),"Female")</f>
        <v>Female</v>
      </c>
      <c r="G1625" s="4" t="b">
        <f>IFERROR(__xludf.DUMMYFUNCTION("""COMPUTED_VALUE"""),TRUE)</f>
        <v>1</v>
      </c>
      <c r="H1625" s="4" t="b">
        <f>IFERROR(__xludf.DUMMYFUNCTION("""COMPUTED_VALUE"""),TRUE)</f>
        <v>1</v>
      </c>
      <c r="I1625" s="4">
        <f>IFERROR(__xludf.DUMMYFUNCTION("""COMPUTED_VALUE"""),0.2549440625)</f>
        <v>0.2549440625</v>
      </c>
      <c r="J1625" s="4">
        <f>IFERROR(__xludf.DUMMYFUNCTION("""COMPUTED_VALUE"""),45949.26936342593)</f>
        <v>45949.26936</v>
      </c>
      <c r="K1625" s="4" t="str">
        <f>IFERROR(__xludf.DUMMYFUNCTION("""COMPUTED_VALUE"""),"")</f>
        <v/>
      </c>
      <c r="L1625" s="4">
        <f>IFERROR(__xludf.DUMMYFUNCTION("""COMPUTED_VALUE"""),45949.28038004076)</f>
        <v>45949.28038</v>
      </c>
      <c r="M1625" s="1" t="str">
        <f>IFERROR(__xludf.DUMMYFUNCTION("""COMPUTED_VALUE"""),"RFID")</f>
        <v>RFID</v>
      </c>
      <c r="N1625" s="5">
        <f>IFERROR(__xludf.DUMMYFUNCTION("""COMPUTED_VALUE"""),0.005767745370370371)</f>
        <v>0.00576774537</v>
      </c>
      <c r="O1625" s="5" t="str">
        <f>IFERROR(__xludf.DUMMYFUNCTION("""COMPUTED_VALUE"""),"")</f>
        <v/>
      </c>
      <c r="P1625" s="5" t="str">
        <f>IFERROR(__xludf.DUMMYFUNCTION("""COMPUTED_VALUE"""),"")</f>
        <v/>
      </c>
      <c r="Q1625" s="5">
        <f>IFERROR(__xludf.DUMMYFUNCTION("""COMPUTED_VALUE"""),0.005087196759259259)</f>
        <v>0.005087196759</v>
      </c>
      <c r="R1625" s="4">
        <f>IFERROR(__xludf.DUMMYFUNCTION("""COMPUTED_VALUE"""),45949.025435978256)</f>
        <v>45949.02544</v>
      </c>
      <c r="S1625" s="1" t="b">
        <f>IFERROR(__xludf.DUMMYFUNCTION("""COMPUTED_VALUE"""),TRUE)</f>
        <v>1</v>
      </c>
      <c r="T1625" s="1" t="b">
        <f>IFERROR(__xludf.DUMMYFUNCTION("""COMPUTED_VALUE"""),FALSE)</f>
        <v>0</v>
      </c>
      <c r="U1625" s="1" t="str">
        <f>IFERROR(__xludf.DUMMYFUNCTION("""COMPUTED_VALUE"""),"VALID")</f>
        <v>VALID</v>
      </c>
      <c r="V1625" s="1">
        <f>IFERROR(__xludf.DUMMYFUNCTION("""COMPUTED_VALUE"""),27.0)</f>
        <v>27</v>
      </c>
      <c r="W1625" s="1">
        <f>IFERROR(__xludf.DUMMYFUNCTION("""COMPUTED_VALUE"""),308.0)</f>
        <v>308</v>
      </c>
      <c r="X1625" s="1">
        <f>IFERROR(__xludf.DUMMYFUNCTION("""COMPUTED_VALUE"""),40.0)</f>
        <v>40</v>
      </c>
      <c r="Y1625" s="2"/>
      <c r="Z1625" s="2"/>
    </row>
    <row r="1626">
      <c r="A1626" s="1">
        <f>IFERROR(__xludf.DUMMYFUNCTION("""COMPUTED_VALUE"""),1625.0)</f>
        <v>1625</v>
      </c>
      <c r="B1626" s="1">
        <f>IFERROR(__xludf.DUMMYFUNCTION("""COMPUTED_VALUE"""),6530.0)</f>
        <v>6530</v>
      </c>
      <c r="C1626" s="2" t="str">
        <f>IFERROR(__xludf.DUMMYFUNCTION("""COMPUTED_VALUE"""),"PACER - CLAUDIA")</f>
        <v>PACER - CLAUDIA</v>
      </c>
      <c r="D1626" s="2" t="str">
        <f>IFERROR(__xludf.DUMMYFUNCTION("""COMPUTED_VALUE"""),"5KM OVERALL F")</f>
        <v>5KM OVERALL F</v>
      </c>
      <c r="E1626" s="1">
        <f>IFERROR(__xludf.DUMMYFUNCTION("""COMPUTED_VALUE"""),2.0)</f>
        <v>2</v>
      </c>
      <c r="F1626" s="1" t="str">
        <f>IFERROR(__xludf.DUMMYFUNCTION("""COMPUTED_VALUE"""),"Female")</f>
        <v>Female</v>
      </c>
      <c r="G1626" s="4" t="b">
        <f>IFERROR(__xludf.DUMMYFUNCTION("""COMPUTED_VALUE"""),TRUE)</f>
        <v>1</v>
      </c>
      <c r="H1626" s="4" t="b">
        <f>IFERROR(__xludf.DUMMYFUNCTION("""COMPUTED_VALUE"""),TRUE)</f>
        <v>1</v>
      </c>
      <c r="I1626" s="4">
        <f>IFERROR(__xludf.DUMMYFUNCTION("""COMPUTED_VALUE"""),0.2549440625)</f>
        <v>0.2549440625</v>
      </c>
      <c r="J1626" s="4">
        <f>IFERROR(__xludf.DUMMYFUNCTION("""COMPUTED_VALUE"""),45949.26935310816)</f>
        <v>45949.26935</v>
      </c>
      <c r="K1626" s="4" t="str">
        <f>IFERROR(__xludf.DUMMYFUNCTION("""COMPUTED_VALUE"""),"")</f>
        <v/>
      </c>
      <c r="L1626" s="4">
        <f>IFERROR(__xludf.DUMMYFUNCTION("""COMPUTED_VALUE"""),45949.28057794668)</f>
        <v>45949.28058</v>
      </c>
      <c r="M1626" s="1" t="str">
        <f>IFERROR(__xludf.DUMMYFUNCTION("""COMPUTED_VALUE"""),"RFID")</f>
        <v>RFID</v>
      </c>
      <c r="N1626" s="5">
        <f>IFERROR(__xludf.DUMMYFUNCTION("""COMPUTED_VALUE"""),0.00576362037037037)</f>
        <v>0.00576362037</v>
      </c>
      <c r="O1626" s="5" t="str">
        <f>IFERROR(__xludf.DUMMYFUNCTION("""COMPUTED_VALUE"""),"")</f>
        <v/>
      </c>
      <c r="P1626" s="5" t="str">
        <f>IFERROR(__xludf.DUMMYFUNCTION("""COMPUTED_VALUE"""),"")</f>
        <v/>
      </c>
      <c r="Q1626" s="5">
        <f>IFERROR(__xludf.DUMMYFUNCTION("""COMPUTED_VALUE"""),0.005126777777777778)</f>
        <v>0.005126777778</v>
      </c>
      <c r="R1626" s="4">
        <f>IFERROR(__xludf.DUMMYFUNCTION("""COMPUTED_VALUE"""),45949.02563388418)</f>
        <v>45949.02563</v>
      </c>
      <c r="S1626" s="1" t="b">
        <f>IFERROR(__xludf.DUMMYFUNCTION("""COMPUTED_VALUE"""),TRUE)</f>
        <v>1</v>
      </c>
      <c r="T1626" s="1" t="b">
        <f>IFERROR(__xludf.DUMMYFUNCTION("""COMPUTED_VALUE"""),FALSE)</f>
        <v>0</v>
      </c>
      <c r="U1626" s="1" t="str">
        <f>IFERROR(__xludf.DUMMYFUNCTION("""COMPUTED_VALUE"""),"VALID")</f>
        <v>VALID</v>
      </c>
      <c r="V1626" s="1">
        <f>IFERROR(__xludf.DUMMYFUNCTION("""COMPUTED_VALUE"""),29.0)</f>
        <v>29</v>
      </c>
      <c r="W1626" s="1">
        <f>IFERROR(__xludf.DUMMYFUNCTION("""COMPUTED_VALUE"""),320.0)</f>
        <v>320</v>
      </c>
      <c r="X1626" s="1">
        <f>IFERROR(__xludf.DUMMYFUNCTION("""COMPUTED_VALUE"""),43.0)</f>
        <v>43</v>
      </c>
      <c r="Y1626" s="2"/>
      <c r="Z1626" s="2"/>
    </row>
    <row r="1627">
      <c r="A1627" s="1">
        <f>IFERROR(__xludf.DUMMYFUNCTION("""COMPUTED_VALUE"""),1626.0)</f>
        <v>1626</v>
      </c>
      <c r="B1627" s="1">
        <f>IFERROR(__xludf.DUMMYFUNCTION("""COMPUTED_VALUE"""),6532.0)</f>
        <v>6532</v>
      </c>
      <c r="C1627" s="2" t="str">
        <f>IFERROR(__xludf.DUMMYFUNCTION("""COMPUTED_VALUE"""),"DIAN TRI SASONO")</f>
        <v>DIAN TRI SASONO</v>
      </c>
      <c r="D1627" s="2" t="str">
        <f>IFERROR(__xludf.DUMMYFUNCTION("""COMPUTED_VALUE"""),"5KM OVERALL F")</f>
        <v>5KM OVERALL F</v>
      </c>
      <c r="E1627" s="1">
        <f>IFERROR(__xludf.DUMMYFUNCTION("""COMPUTED_VALUE"""),2.0)</f>
        <v>2</v>
      </c>
      <c r="F1627" s="1" t="str">
        <f>IFERROR(__xludf.DUMMYFUNCTION("""COMPUTED_VALUE"""),"Female")</f>
        <v>Female</v>
      </c>
      <c r="G1627" s="4" t="str">
        <f>IFERROR(__xludf.DUMMYFUNCTION("""COMPUTED_VALUE"""),"")</f>
        <v/>
      </c>
      <c r="H1627" s="4" t="b">
        <f>IFERROR(__xludf.DUMMYFUNCTION("""COMPUTED_VALUE"""),FALSE)</f>
        <v>0</v>
      </c>
      <c r="I1627" s="4">
        <f>IFERROR(__xludf.DUMMYFUNCTION("""COMPUTED_VALUE"""),0.2549440625)</f>
        <v>0.2549440625</v>
      </c>
      <c r="J1627" s="4" t="str">
        <f>IFERROR(__xludf.DUMMYFUNCTION("""COMPUTED_VALUE"""),"")</f>
        <v/>
      </c>
      <c r="K1627" s="4" t="str">
        <f>IFERROR(__xludf.DUMMYFUNCTION("""COMPUTED_VALUE"""),"")</f>
        <v/>
      </c>
      <c r="L1627" s="4" t="str">
        <f>IFERROR(__xludf.DUMMYFUNCTION("""COMPUTED_VALUE"""),"")</f>
        <v/>
      </c>
      <c r="M1627" s="1" t="str">
        <f>IFERROR(__xludf.DUMMYFUNCTION("""COMPUTED_VALUE"""),"RFID")</f>
        <v>RFID</v>
      </c>
      <c r="N1627" s="5" t="str">
        <f>IFERROR(__xludf.DUMMYFUNCTION("""COMPUTED_VALUE"""),"")</f>
        <v/>
      </c>
      <c r="O1627" s="5" t="str">
        <f>IFERROR(__xludf.DUMMYFUNCTION("""COMPUTED_VALUE"""),"")</f>
        <v/>
      </c>
      <c r="P1627" s="5" t="str">
        <f>IFERROR(__xludf.DUMMYFUNCTION("""COMPUTED_VALUE"""),"")</f>
        <v/>
      </c>
      <c r="Q1627" s="5" t="str">
        <f>IFERROR(__xludf.DUMMYFUNCTION("""COMPUTED_VALUE"""),"")</f>
        <v/>
      </c>
      <c r="R1627" s="4" t="str">
        <f>IFERROR(__xludf.DUMMYFUNCTION("""COMPUTED_VALUE"""),"")</f>
        <v/>
      </c>
      <c r="S1627" s="1" t="b">
        <f>IFERROR(__xludf.DUMMYFUNCTION("""COMPUTED_VALUE"""),FALSE)</f>
        <v>0</v>
      </c>
      <c r="T1627" s="1" t="b">
        <f>IFERROR(__xludf.DUMMYFUNCTION("""COMPUTED_VALUE"""),FALSE)</f>
        <v>0</v>
      </c>
      <c r="U1627" s="1" t="str">
        <f>IFERROR(__xludf.DUMMYFUNCTION("""COMPUTED_VALUE"""),"DSQ")</f>
        <v>DSQ</v>
      </c>
      <c r="V1627" s="1" t="str">
        <f>IFERROR(__xludf.DUMMYFUNCTION("""COMPUTED_VALUE"""),"DSQ")</f>
        <v>DSQ</v>
      </c>
      <c r="W1627" s="1" t="str">
        <f>IFERROR(__xludf.DUMMYFUNCTION("""COMPUTED_VALUE"""),"DSQ")</f>
        <v>DSQ</v>
      </c>
      <c r="X1627" s="1" t="str">
        <f>IFERROR(__xludf.DUMMYFUNCTION("""COMPUTED_VALUE"""),"DSQ")</f>
        <v>DSQ</v>
      </c>
      <c r="Y1627" s="2"/>
      <c r="Z1627" s="2" t="str">
        <f>IFERROR(__xludf.DUMMYFUNCTION("""COMPUTED_VALUE"""),"")</f>
        <v/>
      </c>
    </row>
    <row r="1628">
      <c r="A1628" s="1">
        <f>IFERROR(__xludf.DUMMYFUNCTION("""COMPUTED_VALUE"""),1627.0)</f>
        <v>1627</v>
      </c>
      <c r="B1628" s="1">
        <f>IFERROR(__xludf.DUMMYFUNCTION("""COMPUTED_VALUE"""),6534.0)</f>
        <v>6534</v>
      </c>
      <c r="C1628" s="2" t="str">
        <f>IFERROR(__xludf.DUMMYFUNCTION("""COMPUTED_VALUE"""),"EVALINDA SITUMEANG")</f>
        <v>EVALINDA SITUMEANG</v>
      </c>
      <c r="D1628" s="2" t="str">
        <f>IFERROR(__xludf.DUMMYFUNCTION("""COMPUTED_VALUE"""),"5KM OVERALL F")</f>
        <v>5KM OVERALL F</v>
      </c>
      <c r="E1628" s="1">
        <f>IFERROR(__xludf.DUMMYFUNCTION("""COMPUTED_VALUE"""),2.0)</f>
        <v>2</v>
      </c>
      <c r="F1628" s="1" t="str">
        <f>IFERROR(__xludf.DUMMYFUNCTION("""COMPUTED_VALUE"""),"Female")</f>
        <v>Female</v>
      </c>
      <c r="G1628" s="4" t="str">
        <f>IFERROR(__xludf.DUMMYFUNCTION("""COMPUTED_VALUE"""),"")</f>
        <v/>
      </c>
      <c r="H1628" s="4" t="b">
        <f>IFERROR(__xludf.DUMMYFUNCTION("""COMPUTED_VALUE"""),FALSE)</f>
        <v>0</v>
      </c>
      <c r="I1628" s="4">
        <f>IFERROR(__xludf.DUMMYFUNCTION("""COMPUTED_VALUE"""),0.2549440625)</f>
        <v>0.2549440625</v>
      </c>
      <c r="J1628" s="4" t="str">
        <f>IFERROR(__xludf.DUMMYFUNCTION("""COMPUTED_VALUE"""),"")</f>
        <v/>
      </c>
      <c r="K1628" s="4" t="str">
        <f>IFERROR(__xludf.DUMMYFUNCTION("""COMPUTED_VALUE"""),"")</f>
        <v/>
      </c>
      <c r="L1628" s="4" t="str">
        <f>IFERROR(__xludf.DUMMYFUNCTION("""COMPUTED_VALUE"""),"")</f>
        <v/>
      </c>
      <c r="M1628" s="1" t="str">
        <f>IFERROR(__xludf.DUMMYFUNCTION("""COMPUTED_VALUE"""),"RFID")</f>
        <v>RFID</v>
      </c>
      <c r="N1628" s="5" t="str">
        <f>IFERROR(__xludf.DUMMYFUNCTION("""COMPUTED_VALUE"""),"")</f>
        <v/>
      </c>
      <c r="O1628" s="5" t="str">
        <f>IFERROR(__xludf.DUMMYFUNCTION("""COMPUTED_VALUE"""),"")</f>
        <v/>
      </c>
      <c r="P1628" s="5" t="str">
        <f>IFERROR(__xludf.DUMMYFUNCTION("""COMPUTED_VALUE"""),"")</f>
        <v/>
      </c>
      <c r="Q1628" s="5" t="str">
        <f>IFERROR(__xludf.DUMMYFUNCTION("""COMPUTED_VALUE"""),"")</f>
        <v/>
      </c>
      <c r="R1628" s="4" t="str">
        <f>IFERROR(__xludf.DUMMYFUNCTION("""COMPUTED_VALUE"""),"")</f>
        <v/>
      </c>
      <c r="S1628" s="1" t="b">
        <f>IFERROR(__xludf.DUMMYFUNCTION("""COMPUTED_VALUE"""),FALSE)</f>
        <v>0</v>
      </c>
      <c r="T1628" s="1" t="b">
        <f>IFERROR(__xludf.DUMMYFUNCTION("""COMPUTED_VALUE"""),FALSE)</f>
        <v>0</v>
      </c>
      <c r="U1628" s="1" t="str">
        <f>IFERROR(__xludf.DUMMYFUNCTION("""COMPUTED_VALUE"""),"DSQ")</f>
        <v>DSQ</v>
      </c>
      <c r="V1628" s="1" t="str">
        <f>IFERROR(__xludf.DUMMYFUNCTION("""COMPUTED_VALUE"""),"DSQ")</f>
        <v>DSQ</v>
      </c>
      <c r="W1628" s="1" t="str">
        <f>IFERROR(__xludf.DUMMYFUNCTION("""COMPUTED_VALUE"""),"DSQ")</f>
        <v>DSQ</v>
      </c>
      <c r="X1628" s="1" t="str">
        <f>IFERROR(__xludf.DUMMYFUNCTION("""COMPUTED_VALUE"""),"DSQ")</f>
        <v>DSQ</v>
      </c>
      <c r="Y1628" s="2"/>
      <c r="Z1628" s="2" t="str">
        <f>IFERROR(__xludf.DUMMYFUNCTION("""COMPUTED_VALUE"""),"")</f>
        <v/>
      </c>
    </row>
    <row r="1629">
      <c r="A1629" s="1">
        <f>IFERROR(__xludf.DUMMYFUNCTION("""COMPUTED_VALUE"""),1628.0)</f>
        <v>1628</v>
      </c>
      <c r="B1629" s="1">
        <f>IFERROR(__xludf.DUMMYFUNCTION("""COMPUTED_VALUE"""),6535.0)</f>
        <v>6535</v>
      </c>
      <c r="C1629" s="2" t="str">
        <f>IFERROR(__xludf.DUMMYFUNCTION("""COMPUTED_VALUE"""),"AFFANDI")</f>
        <v>AFFANDI</v>
      </c>
      <c r="D1629" s="2" t="str">
        <f>IFERROR(__xludf.DUMMYFUNCTION("""COMPUTED_VALUE"""),"5KM OVERALL F")</f>
        <v>5KM OVERALL F</v>
      </c>
      <c r="E1629" s="1">
        <f>IFERROR(__xludf.DUMMYFUNCTION("""COMPUTED_VALUE"""),2.0)</f>
        <v>2</v>
      </c>
      <c r="F1629" s="1" t="str">
        <f>IFERROR(__xludf.DUMMYFUNCTION("""COMPUTED_VALUE"""),"Female")</f>
        <v>Female</v>
      </c>
      <c r="G1629" s="4" t="str">
        <f>IFERROR(__xludf.DUMMYFUNCTION("""COMPUTED_VALUE"""),"")</f>
        <v/>
      </c>
      <c r="H1629" s="4" t="b">
        <f>IFERROR(__xludf.DUMMYFUNCTION("""COMPUTED_VALUE"""),FALSE)</f>
        <v>0</v>
      </c>
      <c r="I1629" s="4">
        <f>IFERROR(__xludf.DUMMYFUNCTION("""COMPUTED_VALUE"""),0.2549440625)</f>
        <v>0.2549440625</v>
      </c>
      <c r="J1629" s="4" t="str">
        <f>IFERROR(__xludf.DUMMYFUNCTION("""COMPUTED_VALUE"""),"")</f>
        <v/>
      </c>
      <c r="K1629" s="4" t="str">
        <f>IFERROR(__xludf.DUMMYFUNCTION("""COMPUTED_VALUE"""),"")</f>
        <v/>
      </c>
      <c r="L1629" s="4" t="str">
        <f>IFERROR(__xludf.DUMMYFUNCTION("""COMPUTED_VALUE"""),"")</f>
        <v/>
      </c>
      <c r="M1629" s="1" t="str">
        <f>IFERROR(__xludf.DUMMYFUNCTION("""COMPUTED_VALUE"""),"RFID")</f>
        <v>RFID</v>
      </c>
      <c r="N1629" s="5" t="str">
        <f>IFERROR(__xludf.DUMMYFUNCTION("""COMPUTED_VALUE"""),"")</f>
        <v/>
      </c>
      <c r="O1629" s="5" t="str">
        <f>IFERROR(__xludf.DUMMYFUNCTION("""COMPUTED_VALUE"""),"")</f>
        <v/>
      </c>
      <c r="P1629" s="5" t="str">
        <f>IFERROR(__xludf.DUMMYFUNCTION("""COMPUTED_VALUE"""),"")</f>
        <v/>
      </c>
      <c r="Q1629" s="5" t="str">
        <f>IFERROR(__xludf.DUMMYFUNCTION("""COMPUTED_VALUE"""),"")</f>
        <v/>
      </c>
      <c r="R1629" s="4" t="str">
        <f>IFERROR(__xludf.DUMMYFUNCTION("""COMPUTED_VALUE"""),"")</f>
        <v/>
      </c>
      <c r="S1629" s="1" t="b">
        <f>IFERROR(__xludf.DUMMYFUNCTION("""COMPUTED_VALUE"""),FALSE)</f>
        <v>0</v>
      </c>
      <c r="T1629" s="1" t="b">
        <f>IFERROR(__xludf.DUMMYFUNCTION("""COMPUTED_VALUE"""),FALSE)</f>
        <v>0</v>
      </c>
      <c r="U1629" s="1" t="str">
        <f>IFERROR(__xludf.DUMMYFUNCTION("""COMPUTED_VALUE"""),"DSQ")</f>
        <v>DSQ</v>
      </c>
      <c r="V1629" s="1" t="str">
        <f>IFERROR(__xludf.DUMMYFUNCTION("""COMPUTED_VALUE"""),"DSQ")</f>
        <v>DSQ</v>
      </c>
      <c r="W1629" s="1" t="str">
        <f>IFERROR(__xludf.DUMMYFUNCTION("""COMPUTED_VALUE"""),"DSQ")</f>
        <v>DSQ</v>
      </c>
      <c r="X1629" s="1" t="str">
        <f>IFERROR(__xludf.DUMMYFUNCTION("""COMPUTED_VALUE"""),"DSQ")</f>
        <v>DSQ</v>
      </c>
      <c r="Y1629" s="2"/>
      <c r="Z1629" s="2" t="str">
        <f>IFERROR(__xludf.DUMMYFUNCTION("""COMPUTED_VALUE"""),"")</f>
        <v/>
      </c>
    </row>
    <row r="1630">
      <c r="A1630" s="1">
        <f>IFERROR(__xludf.DUMMYFUNCTION("""COMPUTED_VALUE"""),1629.0)</f>
        <v>1629</v>
      </c>
      <c r="B1630" s="1">
        <f>IFERROR(__xludf.DUMMYFUNCTION("""COMPUTED_VALUE"""),6536.0)</f>
        <v>6536</v>
      </c>
      <c r="C1630" s="2" t="str">
        <f>IFERROR(__xludf.DUMMYFUNCTION("""COMPUTED_VALUE"""),"AZIZAH")</f>
        <v>AZIZAH</v>
      </c>
      <c r="D1630" s="2" t="str">
        <f>IFERROR(__xludf.DUMMYFUNCTION("""COMPUTED_VALUE"""),"5KM OVERALL F")</f>
        <v>5KM OVERALL F</v>
      </c>
      <c r="E1630" s="1">
        <f>IFERROR(__xludf.DUMMYFUNCTION("""COMPUTED_VALUE"""),2.0)</f>
        <v>2</v>
      </c>
      <c r="F1630" s="1" t="str">
        <f>IFERROR(__xludf.DUMMYFUNCTION("""COMPUTED_VALUE"""),"Female")</f>
        <v>Female</v>
      </c>
      <c r="G1630" s="4" t="b">
        <f>IFERROR(__xludf.DUMMYFUNCTION("""COMPUTED_VALUE"""),TRUE)</f>
        <v>1</v>
      </c>
      <c r="H1630" s="4" t="b">
        <f>IFERROR(__xludf.DUMMYFUNCTION("""COMPUTED_VALUE"""),FALSE)</f>
        <v>0</v>
      </c>
      <c r="I1630" s="4">
        <f>IFERROR(__xludf.DUMMYFUNCTION("""COMPUTED_VALUE"""),0.2549440625)</f>
        <v>0.2549440625</v>
      </c>
      <c r="J1630" s="4">
        <f>IFERROR(__xludf.DUMMYFUNCTION("""COMPUTED_VALUE"""),45949.27467680128)</f>
        <v>45949.27468</v>
      </c>
      <c r="K1630" s="4" t="str">
        <f>IFERROR(__xludf.DUMMYFUNCTION("""COMPUTED_VALUE"""),"")</f>
        <v/>
      </c>
      <c r="L1630" s="4">
        <f>IFERROR(__xludf.DUMMYFUNCTION("""COMPUTED_VALUE"""),45949.28836614404)</f>
        <v>45949.28837</v>
      </c>
      <c r="M1630" s="1" t="str">
        <f>IFERROR(__xludf.DUMMYFUNCTION("""COMPUTED_VALUE"""),"RFID")</f>
        <v>RFID</v>
      </c>
      <c r="N1630" s="5">
        <f>IFERROR(__xludf.DUMMYFUNCTION("""COMPUTED_VALUE"""),0.007893097222222223)</f>
        <v>0.007893097222</v>
      </c>
      <c r="O1630" s="5" t="str">
        <f>IFERROR(__xludf.DUMMYFUNCTION("""COMPUTED_VALUE"""),"")</f>
        <v/>
      </c>
      <c r="P1630" s="5" t="str">
        <f>IFERROR(__xludf.DUMMYFUNCTION("""COMPUTED_VALUE"""),"")</f>
        <v/>
      </c>
      <c r="Q1630" s="5">
        <f>IFERROR(__xludf.DUMMYFUNCTION("""COMPUTED_VALUE"""),0.006684416666666667)</f>
        <v>0.006684416667</v>
      </c>
      <c r="R1630" s="4">
        <f>IFERROR(__xludf.DUMMYFUNCTION("""COMPUTED_VALUE"""),45949.03342208154)</f>
        <v>45949.03342</v>
      </c>
      <c r="S1630" s="1" t="b">
        <f>IFERROR(__xludf.DUMMYFUNCTION("""COMPUTED_VALUE"""),TRUE)</f>
        <v>1</v>
      </c>
      <c r="T1630" s="1" t="b">
        <f>IFERROR(__xludf.DUMMYFUNCTION("""COMPUTED_VALUE"""),FALSE)</f>
        <v>0</v>
      </c>
      <c r="U1630" s="1" t="str">
        <f>IFERROR(__xludf.DUMMYFUNCTION("""COMPUTED_VALUE"""),"VALID")</f>
        <v>VALID</v>
      </c>
      <c r="V1630" s="1">
        <f>IFERROR(__xludf.DUMMYFUNCTION("""COMPUTED_VALUE"""),136.0)</f>
        <v>136</v>
      </c>
      <c r="W1630" s="1">
        <f>IFERROR(__xludf.DUMMYFUNCTION("""COMPUTED_VALUE"""),801.0)</f>
        <v>801</v>
      </c>
      <c r="X1630" s="1">
        <f>IFERROR(__xludf.DUMMYFUNCTION("""COMPUTED_VALUE"""),170.0)</f>
        <v>170</v>
      </c>
      <c r="Y1630" s="2"/>
      <c r="Z1630" s="2"/>
    </row>
    <row r="1631">
      <c r="A1631" s="1">
        <f>IFERROR(__xludf.DUMMYFUNCTION("""COMPUTED_VALUE"""),1630.0)</f>
        <v>1630</v>
      </c>
      <c r="B1631" s="1">
        <f>IFERROR(__xludf.DUMMYFUNCTION("""COMPUTED_VALUE"""),6537.0)</f>
        <v>6537</v>
      </c>
      <c r="C1631" s="2" t="str">
        <f>IFERROR(__xludf.DUMMYFUNCTION("""COMPUTED_VALUE"""),"YULIA RAMADHANA")</f>
        <v>YULIA RAMADHANA</v>
      </c>
      <c r="D1631" s="2" t="str">
        <f>IFERROR(__xludf.DUMMYFUNCTION("""COMPUTED_VALUE"""),"5KM OVERALL F")</f>
        <v>5KM OVERALL F</v>
      </c>
      <c r="E1631" s="1">
        <f>IFERROR(__xludf.DUMMYFUNCTION("""COMPUTED_VALUE"""),2.0)</f>
        <v>2</v>
      </c>
      <c r="F1631" s="1" t="str">
        <f>IFERROR(__xludf.DUMMYFUNCTION("""COMPUTED_VALUE"""),"Female")</f>
        <v>Female</v>
      </c>
      <c r="G1631" s="4" t="b">
        <f>IFERROR(__xludf.DUMMYFUNCTION("""COMPUTED_VALUE"""),TRUE)</f>
        <v>1</v>
      </c>
      <c r="H1631" s="4" t="b">
        <f>IFERROR(__xludf.DUMMYFUNCTION("""COMPUTED_VALUE"""),FALSE)</f>
        <v>0</v>
      </c>
      <c r="I1631" s="4">
        <f>IFERROR(__xludf.DUMMYFUNCTION("""COMPUTED_VALUE"""),0.2549440625)</f>
        <v>0.2549440625</v>
      </c>
      <c r="J1631" s="4">
        <f>IFERROR(__xludf.DUMMYFUNCTION("""COMPUTED_VALUE"""),45949.27648508377)</f>
        <v>45949.27649</v>
      </c>
      <c r="K1631" s="4" t="str">
        <f>IFERROR(__xludf.DUMMYFUNCTION("""COMPUTED_VALUE"""),"")</f>
        <v/>
      </c>
      <c r="L1631" s="4">
        <f>IFERROR(__xludf.DUMMYFUNCTION("""COMPUTED_VALUE"""),45949.29252934108)</f>
        <v>45949.29253</v>
      </c>
      <c r="M1631" s="1" t="str">
        <f>IFERROR(__xludf.DUMMYFUNCTION("""COMPUTED_VALUE"""),"RFID")</f>
        <v>RFID</v>
      </c>
      <c r="N1631" s="5">
        <f>IFERROR(__xludf.DUMMYFUNCTION("""COMPUTED_VALUE"""),0.008616407407407408)</f>
        <v>0.008616407407</v>
      </c>
      <c r="O1631" s="5" t="str">
        <f>IFERROR(__xludf.DUMMYFUNCTION("""COMPUTED_VALUE"""),"")</f>
        <v/>
      </c>
      <c r="P1631" s="5" t="str">
        <f>IFERROR(__xludf.DUMMYFUNCTION("""COMPUTED_VALUE"""),"")</f>
        <v/>
      </c>
      <c r="Q1631" s="5">
        <f>IFERROR(__xludf.DUMMYFUNCTION("""COMPUTED_VALUE"""),0.007517055555555556)</f>
        <v>0.007517055556</v>
      </c>
      <c r="R1631" s="4">
        <f>IFERROR(__xludf.DUMMYFUNCTION("""COMPUTED_VALUE"""),45949.03758527858)</f>
        <v>45949.03759</v>
      </c>
      <c r="S1631" s="1" t="b">
        <f>IFERROR(__xludf.DUMMYFUNCTION("""COMPUTED_VALUE"""),TRUE)</f>
        <v>1</v>
      </c>
      <c r="T1631" s="1" t="b">
        <f>IFERROR(__xludf.DUMMYFUNCTION("""COMPUTED_VALUE"""),FALSE)</f>
        <v>0</v>
      </c>
      <c r="U1631" s="1" t="str">
        <f>IFERROR(__xludf.DUMMYFUNCTION("""COMPUTED_VALUE"""),"VALID")</f>
        <v>VALID</v>
      </c>
      <c r="V1631" s="1">
        <f>IFERROR(__xludf.DUMMYFUNCTION("""COMPUTED_VALUE"""),235.0)</f>
        <v>235</v>
      </c>
      <c r="W1631" s="1">
        <f>IFERROR(__xludf.DUMMYFUNCTION("""COMPUTED_VALUE"""),1066.0)</f>
        <v>1066</v>
      </c>
      <c r="X1631" s="1">
        <f>IFERROR(__xludf.DUMMYFUNCTION("""COMPUTED_VALUE"""),289.0)</f>
        <v>289</v>
      </c>
      <c r="Y1631" s="2"/>
      <c r="Z1631" s="2"/>
    </row>
    <row r="1632">
      <c r="A1632" s="1">
        <f>IFERROR(__xludf.DUMMYFUNCTION("""COMPUTED_VALUE"""),1631.0)</f>
        <v>1631</v>
      </c>
      <c r="B1632" s="1">
        <f>IFERROR(__xludf.DUMMYFUNCTION("""COMPUTED_VALUE"""),6541.0)</f>
        <v>6541</v>
      </c>
      <c r="C1632" s="2" t="str">
        <f>IFERROR(__xludf.DUMMYFUNCTION("""COMPUTED_VALUE"""),"ADIE AULIA AMIN")</f>
        <v>ADIE AULIA AMIN</v>
      </c>
      <c r="D1632" s="2" t="str">
        <f>IFERROR(__xludf.DUMMYFUNCTION("""COMPUTED_VALUE"""),"5KM OVERALL F")</f>
        <v>5KM OVERALL F</v>
      </c>
      <c r="E1632" s="1">
        <f>IFERROR(__xludf.DUMMYFUNCTION("""COMPUTED_VALUE"""),2.0)</f>
        <v>2</v>
      </c>
      <c r="F1632" s="1" t="str">
        <f>IFERROR(__xludf.DUMMYFUNCTION("""COMPUTED_VALUE"""),"Female")</f>
        <v>Female</v>
      </c>
      <c r="G1632" s="4" t="b">
        <f>IFERROR(__xludf.DUMMYFUNCTION("""COMPUTED_VALUE"""),TRUE)</f>
        <v>1</v>
      </c>
      <c r="H1632" s="4" t="b">
        <f>IFERROR(__xludf.DUMMYFUNCTION("""COMPUTED_VALUE"""),TRUE)</f>
        <v>1</v>
      </c>
      <c r="I1632" s="4">
        <f>IFERROR(__xludf.DUMMYFUNCTION("""COMPUTED_VALUE"""),0.2549440625)</f>
        <v>0.2549440625</v>
      </c>
      <c r="J1632" s="4">
        <f>IFERROR(__xludf.DUMMYFUNCTION("""COMPUTED_VALUE"""),45949.28396424232)</f>
        <v>45949.28396</v>
      </c>
      <c r="K1632" s="4" t="str">
        <f>IFERROR(__xludf.DUMMYFUNCTION("""COMPUTED_VALUE"""),"")</f>
        <v/>
      </c>
      <c r="L1632" s="4">
        <f>IFERROR(__xludf.DUMMYFUNCTION("""COMPUTED_VALUE"""),45949.30517534606)</f>
        <v>45949.30518</v>
      </c>
      <c r="M1632" s="1" t="str">
        <f>IFERROR(__xludf.DUMMYFUNCTION("""COMPUTED_VALUE"""),"RFID")</f>
        <v>RFID</v>
      </c>
      <c r="N1632" s="5">
        <f>IFERROR(__xludf.DUMMYFUNCTION("""COMPUTED_VALUE"""),0.011608074074074074)</f>
        <v>0.01160807407</v>
      </c>
      <c r="O1632" s="5" t="str">
        <f>IFERROR(__xludf.DUMMYFUNCTION("""COMPUTED_VALUE"""),"")</f>
        <v/>
      </c>
      <c r="P1632" s="5" t="str">
        <f>IFERROR(__xludf.DUMMYFUNCTION("""COMPUTED_VALUE"""),"")</f>
        <v/>
      </c>
      <c r="Q1632" s="5">
        <f>IFERROR(__xludf.DUMMYFUNCTION("""COMPUTED_VALUE"""),0.010046256944444446)</f>
        <v>0.01004625694</v>
      </c>
      <c r="R1632" s="4">
        <f>IFERROR(__xludf.DUMMYFUNCTION("""COMPUTED_VALUE"""),45949.05023128356)</f>
        <v>45949.05023</v>
      </c>
      <c r="S1632" s="1" t="b">
        <f>IFERROR(__xludf.DUMMYFUNCTION("""COMPUTED_VALUE"""),TRUE)</f>
        <v>1</v>
      </c>
      <c r="T1632" s="1" t="b">
        <f>IFERROR(__xludf.DUMMYFUNCTION("""COMPUTED_VALUE"""),FALSE)</f>
        <v>0</v>
      </c>
      <c r="U1632" s="1" t="str">
        <f>IFERROR(__xludf.DUMMYFUNCTION("""COMPUTED_VALUE"""),"VALID")</f>
        <v>VALID</v>
      </c>
      <c r="V1632" s="1">
        <f>IFERROR(__xludf.DUMMYFUNCTION("""COMPUTED_VALUE"""),487.0)</f>
        <v>487</v>
      </c>
      <c r="W1632" s="1">
        <f>IFERROR(__xludf.DUMMYFUNCTION("""COMPUTED_VALUE"""),1575.0)</f>
        <v>1575</v>
      </c>
      <c r="X1632" s="1">
        <f>IFERROR(__xludf.DUMMYFUNCTION("""COMPUTED_VALUE"""),596.0)</f>
        <v>596</v>
      </c>
      <c r="Y1632" s="2"/>
      <c r="Z1632" s="2"/>
    </row>
    <row r="1633">
      <c r="A1633" s="1">
        <f>IFERROR(__xludf.DUMMYFUNCTION("""COMPUTED_VALUE"""),1632.0)</f>
        <v>1632</v>
      </c>
      <c r="B1633" s="1">
        <f>IFERROR(__xludf.DUMMYFUNCTION("""COMPUTED_VALUE"""),6542.0)</f>
        <v>6542</v>
      </c>
      <c r="C1633" s="2" t="str">
        <f>IFERROR(__xludf.DUMMYFUNCTION("""COMPUTED_VALUE"""),"TIAWATI")</f>
        <v>TIAWATI</v>
      </c>
      <c r="D1633" s="2" t="str">
        <f>IFERROR(__xludf.DUMMYFUNCTION("""COMPUTED_VALUE"""),"5KM OVERALL F")</f>
        <v>5KM OVERALL F</v>
      </c>
      <c r="E1633" s="1">
        <f>IFERROR(__xludf.DUMMYFUNCTION("""COMPUTED_VALUE"""),2.0)</f>
        <v>2</v>
      </c>
      <c r="F1633" s="1" t="str">
        <f>IFERROR(__xludf.DUMMYFUNCTION("""COMPUTED_VALUE"""),"Female")</f>
        <v>Female</v>
      </c>
      <c r="G1633" s="4" t="b">
        <f>IFERROR(__xludf.DUMMYFUNCTION("""COMPUTED_VALUE"""),TRUE)</f>
        <v>1</v>
      </c>
      <c r="H1633" s="4" t="b">
        <f>IFERROR(__xludf.DUMMYFUNCTION("""COMPUTED_VALUE"""),FALSE)</f>
        <v>0</v>
      </c>
      <c r="I1633" s="4">
        <f>IFERROR(__xludf.DUMMYFUNCTION("""COMPUTED_VALUE"""),0.2549440625)</f>
        <v>0.2549440625</v>
      </c>
      <c r="J1633" s="4">
        <f>IFERROR(__xludf.DUMMYFUNCTION("""COMPUTED_VALUE"""),45949.28233232675)</f>
        <v>45949.28233</v>
      </c>
      <c r="K1633" s="4" t="str">
        <f>IFERROR(__xludf.DUMMYFUNCTION("""COMPUTED_VALUE"""),"")</f>
        <v/>
      </c>
      <c r="L1633" s="4">
        <f>IFERROR(__xludf.DUMMYFUNCTION("""COMPUTED_VALUE"""),45949.30317511853)</f>
        <v>45949.30318</v>
      </c>
      <c r="M1633" s="1" t="str">
        <f>IFERROR(__xludf.DUMMYFUNCTION("""COMPUTED_VALUE"""),"RFID")</f>
        <v>RFID</v>
      </c>
      <c r="N1633" s="5">
        <f>IFERROR(__xludf.DUMMYFUNCTION("""COMPUTED_VALUE"""),0.010955305555555555)</f>
        <v>0.01095530556</v>
      </c>
      <c r="O1633" s="5" t="str">
        <f>IFERROR(__xludf.DUMMYFUNCTION("""COMPUTED_VALUE"""),"")</f>
        <v/>
      </c>
      <c r="P1633" s="5" t="str">
        <f>IFERROR(__xludf.DUMMYFUNCTION("""COMPUTED_VALUE"""),"")</f>
        <v/>
      </c>
      <c r="Q1633" s="5">
        <f>IFERROR(__xludf.DUMMYFUNCTION("""COMPUTED_VALUE"""),0.009646210648148147)</f>
        <v>0.009646210648</v>
      </c>
      <c r="R1633" s="4">
        <f>IFERROR(__xludf.DUMMYFUNCTION("""COMPUTED_VALUE"""),45949.04823105603)</f>
        <v>45949.04823</v>
      </c>
      <c r="S1633" s="1" t="b">
        <f>IFERROR(__xludf.DUMMYFUNCTION("""COMPUTED_VALUE"""),TRUE)</f>
        <v>1</v>
      </c>
      <c r="T1633" s="1" t="b">
        <f>IFERROR(__xludf.DUMMYFUNCTION("""COMPUTED_VALUE"""),FALSE)</f>
        <v>0</v>
      </c>
      <c r="U1633" s="1" t="str">
        <f>IFERROR(__xludf.DUMMYFUNCTION("""COMPUTED_VALUE"""),"VALID")</f>
        <v>VALID</v>
      </c>
      <c r="V1633" s="1">
        <f>IFERROR(__xludf.DUMMYFUNCTION("""COMPUTED_VALUE"""),479.0)</f>
        <v>479</v>
      </c>
      <c r="W1633" s="1">
        <f>IFERROR(__xludf.DUMMYFUNCTION("""COMPUTED_VALUE"""),1557.0)</f>
        <v>1557</v>
      </c>
      <c r="X1633" s="1">
        <f>IFERROR(__xludf.DUMMYFUNCTION("""COMPUTED_VALUE"""),583.0)</f>
        <v>583</v>
      </c>
      <c r="Y1633" s="2"/>
      <c r="Z1633" s="2"/>
    </row>
    <row r="1634">
      <c r="A1634" s="1">
        <f>IFERROR(__xludf.DUMMYFUNCTION("""COMPUTED_VALUE"""),1633.0)</f>
        <v>1633</v>
      </c>
      <c r="B1634" s="1">
        <f>IFERROR(__xludf.DUMMYFUNCTION("""COMPUTED_VALUE"""),6544.0)</f>
        <v>6544</v>
      </c>
      <c r="C1634" s="2" t="str">
        <f>IFERROR(__xludf.DUMMYFUNCTION("""COMPUTED_VALUE"""),"AHMAD RIZALI")</f>
        <v>AHMAD RIZALI</v>
      </c>
      <c r="D1634" s="2" t="str">
        <f>IFERROR(__xludf.DUMMYFUNCTION("""COMPUTED_VALUE"""),"5KM OVERALL F")</f>
        <v>5KM OVERALL F</v>
      </c>
      <c r="E1634" s="1">
        <f>IFERROR(__xludf.DUMMYFUNCTION("""COMPUTED_VALUE"""),2.0)</f>
        <v>2</v>
      </c>
      <c r="F1634" s="1" t="str">
        <f>IFERROR(__xludf.DUMMYFUNCTION("""COMPUTED_VALUE"""),"Female")</f>
        <v>Female</v>
      </c>
      <c r="G1634" s="4" t="b">
        <f>IFERROR(__xludf.DUMMYFUNCTION("""COMPUTED_VALUE"""),TRUE)</f>
        <v>1</v>
      </c>
      <c r="H1634" s="4" t="b">
        <f>IFERROR(__xludf.DUMMYFUNCTION("""COMPUTED_VALUE"""),TRUE)</f>
        <v>1</v>
      </c>
      <c r="I1634" s="4">
        <f>IFERROR(__xludf.DUMMYFUNCTION("""COMPUTED_VALUE"""),0.2549440625)</f>
        <v>0.2549440625</v>
      </c>
      <c r="J1634" s="4">
        <f>IFERROR(__xludf.DUMMYFUNCTION("""COMPUTED_VALUE"""),45949.26786350301)</f>
        <v>45949.26786</v>
      </c>
      <c r="K1634" s="4" t="str">
        <f>IFERROR(__xludf.DUMMYFUNCTION("""COMPUTED_VALUE"""),"")</f>
        <v/>
      </c>
      <c r="L1634" s="4">
        <f>IFERROR(__xludf.DUMMYFUNCTION("""COMPUTED_VALUE"""),45949.277630030665)</f>
        <v>45949.27763</v>
      </c>
      <c r="M1634" s="1" t="str">
        <f>IFERROR(__xludf.DUMMYFUNCTION("""COMPUTED_VALUE"""),"RFID")</f>
        <v>RFID</v>
      </c>
      <c r="N1634" s="5">
        <f>IFERROR(__xludf.DUMMYFUNCTION("""COMPUTED_VALUE"""),0.005167777777777778)</f>
        <v>0.005167777778</v>
      </c>
      <c r="O1634" s="5" t="str">
        <f>IFERROR(__xludf.DUMMYFUNCTION("""COMPUTED_VALUE"""),"")</f>
        <v/>
      </c>
      <c r="P1634" s="5" t="str">
        <f>IFERROR(__xludf.DUMMYFUNCTION("""COMPUTED_VALUE"""),"")</f>
        <v/>
      </c>
      <c r="Q1634" s="5">
        <f>IFERROR(__xludf.DUMMYFUNCTION("""COMPUTED_VALUE"""),0.004537194444444444)</f>
        <v>0.004537194444</v>
      </c>
      <c r="R1634" s="4">
        <f>IFERROR(__xludf.DUMMYFUNCTION("""COMPUTED_VALUE"""),45949.022685968164)</f>
        <v>45949.02269</v>
      </c>
      <c r="S1634" s="1" t="b">
        <f>IFERROR(__xludf.DUMMYFUNCTION("""COMPUTED_VALUE"""),TRUE)</f>
        <v>1</v>
      </c>
      <c r="T1634" s="1" t="b">
        <f>IFERROR(__xludf.DUMMYFUNCTION("""COMPUTED_VALUE"""),FALSE)</f>
        <v>0</v>
      </c>
      <c r="U1634" s="1" t="str">
        <f>IFERROR(__xludf.DUMMYFUNCTION("""COMPUTED_VALUE"""),"VALID")</f>
        <v>VALID</v>
      </c>
      <c r="V1634" s="1">
        <f>IFERROR(__xludf.DUMMYFUNCTION("""COMPUTED_VALUE"""),16.0)</f>
        <v>16</v>
      </c>
      <c r="W1634" s="1">
        <f>IFERROR(__xludf.DUMMYFUNCTION("""COMPUTED_VALUE"""),196.0)</f>
        <v>196</v>
      </c>
      <c r="X1634" s="1">
        <f>IFERROR(__xludf.DUMMYFUNCTION("""COMPUTED_VALUE"""),25.0)</f>
        <v>25</v>
      </c>
      <c r="Y1634" s="2"/>
      <c r="Z1634" s="2"/>
    </row>
    <row r="1635">
      <c r="A1635" s="1">
        <f>IFERROR(__xludf.DUMMYFUNCTION("""COMPUTED_VALUE"""),1634.0)</f>
        <v>1634</v>
      </c>
      <c r="B1635" s="1">
        <f>IFERROR(__xludf.DUMMYFUNCTION("""COMPUTED_VALUE"""),6545.0)</f>
        <v>6545</v>
      </c>
      <c r="C1635" s="2" t="str">
        <f>IFERROR(__xludf.DUMMYFUNCTION("""COMPUTED_VALUE"""),"EMA TIAS ARUMSARI")</f>
        <v>EMA TIAS ARUMSARI</v>
      </c>
      <c r="D1635" s="2" t="str">
        <f>IFERROR(__xludf.DUMMYFUNCTION("""COMPUTED_VALUE"""),"5KM OVERALL F")</f>
        <v>5KM OVERALL F</v>
      </c>
      <c r="E1635" s="1">
        <f>IFERROR(__xludf.DUMMYFUNCTION("""COMPUTED_VALUE"""),2.0)</f>
        <v>2</v>
      </c>
      <c r="F1635" s="1" t="str">
        <f>IFERROR(__xludf.DUMMYFUNCTION("""COMPUTED_VALUE"""),"Female")</f>
        <v>Female</v>
      </c>
      <c r="G1635" s="4" t="b">
        <f>IFERROR(__xludf.DUMMYFUNCTION("""COMPUTED_VALUE"""),TRUE)</f>
        <v>1</v>
      </c>
      <c r="H1635" s="4" t="b">
        <f>IFERROR(__xludf.DUMMYFUNCTION("""COMPUTED_VALUE"""),TRUE)</f>
        <v>1</v>
      </c>
      <c r="I1635" s="4">
        <f>IFERROR(__xludf.DUMMYFUNCTION("""COMPUTED_VALUE"""),0.2549440625)</f>
        <v>0.2549440625</v>
      </c>
      <c r="J1635" s="4">
        <f>IFERROR(__xludf.DUMMYFUNCTION("""COMPUTED_VALUE"""),45950.27601851852)</f>
        <v>45950.27602</v>
      </c>
      <c r="K1635" s="4" t="str">
        <f>IFERROR(__xludf.DUMMYFUNCTION("""COMPUTED_VALUE"""),"")</f>
        <v/>
      </c>
      <c r="L1635" s="4">
        <f>IFERROR(__xludf.DUMMYFUNCTION("""COMPUTED_VALUE"""),45949.2899355562)</f>
        <v>45949.28994</v>
      </c>
      <c r="M1635" s="1" t="str">
        <f>IFERROR(__xludf.DUMMYFUNCTION("""COMPUTED_VALUE"""),"RFID")</f>
        <v>RFID</v>
      </c>
      <c r="N1635" s="5">
        <f>IFERROR(__xludf.DUMMYFUNCTION("""COMPUTED_VALUE"""),0.008429782407407407)</f>
        <v>0.008429782407</v>
      </c>
      <c r="O1635" s="5" t="str">
        <f>IFERROR(__xludf.DUMMYFUNCTION("""COMPUTED_VALUE"""),"")</f>
        <v/>
      </c>
      <c r="P1635" s="5" t="str">
        <f>IFERROR(__xludf.DUMMYFUNCTION("""COMPUTED_VALUE"""),"")</f>
        <v/>
      </c>
      <c r="Q1635" s="5">
        <f>IFERROR(__xludf.DUMMYFUNCTION("""COMPUTED_VALUE"""),0.0069982986111111105)</f>
        <v>0.006998298611</v>
      </c>
      <c r="R1635" s="4">
        <f>IFERROR(__xludf.DUMMYFUNCTION("""COMPUTED_VALUE"""),45949.034991493696)</f>
        <v>45949.03499</v>
      </c>
      <c r="S1635" s="1" t="b">
        <f>IFERROR(__xludf.DUMMYFUNCTION("""COMPUTED_VALUE"""),TRUE)</f>
        <v>1</v>
      </c>
      <c r="T1635" s="1" t="b">
        <f>IFERROR(__xludf.DUMMYFUNCTION("""COMPUTED_VALUE"""),FALSE)</f>
        <v>0</v>
      </c>
      <c r="U1635" s="1" t="str">
        <f>IFERROR(__xludf.DUMMYFUNCTION("""COMPUTED_VALUE"""),"VALID")</f>
        <v>VALID</v>
      </c>
      <c r="V1635" s="1">
        <f>IFERROR(__xludf.DUMMYFUNCTION("""COMPUTED_VALUE"""),161.0)</f>
        <v>161</v>
      </c>
      <c r="W1635" s="1">
        <f>IFERROR(__xludf.DUMMYFUNCTION("""COMPUTED_VALUE"""),886.0)</f>
        <v>886</v>
      </c>
      <c r="X1635" s="1">
        <f>IFERROR(__xludf.DUMMYFUNCTION("""COMPUTED_VALUE"""),201.0)</f>
        <v>201</v>
      </c>
      <c r="Y1635" s="2"/>
      <c r="Z1635" s="2"/>
    </row>
    <row r="1636">
      <c r="A1636" s="1">
        <f>IFERROR(__xludf.DUMMYFUNCTION("""COMPUTED_VALUE"""),1635.0)</f>
        <v>1635</v>
      </c>
      <c r="B1636" s="1">
        <f>IFERROR(__xludf.DUMMYFUNCTION("""COMPUTED_VALUE"""),6547.0)</f>
        <v>6547</v>
      </c>
      <c r="C1636" s="2" t="str">
        <f>IFERROR(__xludf.DUMMYFUNCTION("""COMPUTED_VALUE"""),"AHMAD SUPIAN")</f>
        <v>AHMAD SUPIAN</v>
      </c>
      <c r="D1636" s="2" t="str">
        <f>IFERROR(__xludf.DUMMYFUNCTION("""COMPUTED_VALUE"""),"5KM OVERALL F")</f>
        <v>5KM OVERALL F</v>
      </c>
      <c r="E1636" s="1">
        <f>IFERROR(__xludf.DUMMYFUNCTION("""COMPUTED_VALUE"""),2.0)</f>
        <v>2</v>
      </c>
      <c r="F1636" s="1" t="str">
        <f>IFERROR(__xludf.DUMMYFUNCTION("""COMPUTED_VALUE"""),"Female")</f>
        <v>Female</v>
      </c>
      <c r="G1636" s="4" t="b">
        <f>IFERROR(__xludf.DUMMYFUNCTION("""COMPUTED_VALUE"""),TRUE)</f>
        <v>1</v>
      </c>
      <c r="H1636" s="4" t="b">
        <f>IFERROR(__xludf.DUMMYFUNCTION("""COMPUTED_VALUE"""),TRUE)</f>
        <v>1</v>
      </c>
      <c r="I1636" s="4">
        <f>IFERROR(__xludf.DUMMYFUNCTION("""COMPUTED_VALUE"""),0.2549440625)</f>
        <v>0.2549440625</v>
      </c>
      <c r="J1636" s="4">
        <f>IFERROR(__xludf.DUMMYFUNCTION("""COMPUTED_VALUE"""),45949.28111697975)</f>
        <v>45949.28112</v>
      </c>
      <c r="K1636" s="4" t="str">
        <f>IFERROR(__xludf.DUMMYFUNCTION("""COMPUTED_VALUE"""),"")</f>
        <v/>
      </c>
      <c r="L1636" s="4">
        <f>IFERROR(__xludf.DUMMYFUNCTION("""COMPUTED_VALUE"""),45949.2945327577)</f>
        <v>45949.29453</v>
      </c>
      <c r="M1636" s="1" t="str">
        <f>IFERROR(__xludf.DUMMYFUNCTION("""COMPUTED_VALUE"""),"RFID")</f>
        <v>RFID</v>
      </c>
      <c r="N1636" s="5">
        <f>IFERROR(__xludf.DUMMYFUNCTION("""COMPUTED_VALUE"""),0.010469166666666667)</f>
        <v>0.01046916667</v>
      </c>
      <c r="O1636" s="5" t="str">
        <f>IFERROR(__xludf.DUMMYFUNCTION("""COMPUTED_VALUE"""),"")</f>
        <v/>
      </c>
      <c r="P1636" s="5" t="str">
        <f>IFERROR(__xludf.DUMMYFUNCTION("""COMPUTED_VALUE"""),"")</f>
        <v/>
      </c>
      <c r="Q1636" s="5">
        <f>IFERROR(__xludf.DUMMYFUNCTION("""COMPUTED_VALUE"""),0.007917738425925927)</f>
        <v>0.007917738426</v>
      </c>
      <c r="R1636" s="4">
        <f>IFERROR(__xludf.DUMMYFUNCTION("""COMPUTED_VALUE"""),45949.0395886952)</f>
        <v>45949.03959</v>
      </c>
      <c r="S1636" s="1" t="b">
        <f>IFERROR(__xludf.DUMMYFUNCTION("""COMPUTED_VALUE"""),TRUE)</f>
        <v>1</v>
      </c>
      <c r="T1636" s="1" t="b">
        <f>IFERROR(__xludf.DUMMYFUNCTION("""COMPUTED_VALUE"""),FALSE)</f>
        <v>0</v>
      </c>
      <c r="U1636" s="1" t="str">
        <f>IFERROR(__xludf.DUMMYFUNCTION("""COMPUTED_VALUE"""),"VALID")</f>
        <v>VALID</v>
      </c>
      <c r="V1636" s="1">
        <f>IFERROR(__xludf.DUMMYFUNCTION("""COMPUTED_VALUE"""),308.0)</f>
        <v>308</v>
      </c>
      <c r="W1636" s="1">
        <f>IFERROR(__xludf.DUMMYFUNCTION("""COMPUTED_VALUE"""),1222.0)</f>
        <v>1222</v>
      </c>
      <c r="X1636" s="1">
        <f>IFERROR(__xludf.DUMMYFUNCTION("""COMPUTED_VALUE"""),374.0)</f>
        <v>374</v>
      </c>
      <c r="Y1636" s="2"/>
      <c r="Z1636" s="2"/>
    </row>
    <row r="1637">
      <c r="A1637" s="1">
        <f>IFERROR(__xludf.DUMMYFUNCTION("""COMPUTED_VALUE"""),1636.0)</f>
        <v>1636</v>
      </c>
      <c r="B1637" s="1">
        <f>IFERROR(__xludf.DUMMYFUNCTION("""COMPUTED_VALUE"""),6548.0)</f>
        <v>6548</v>
      </c>
      <c r="C1637" s="2" t="str">
        <f>IFERROR(__xludf.DUMMYFUNCTION("""COMPUTED_VALUE"""),"ALYA RAHMAH")</f>
        <v>ALYA RAHMAH</v>
      </c>
      <c r="D1637" s="2" t="str">
        <f>IFERROR(__xludf.DUMMYFUNCTION("""COMPUTED_VALUE"""),"5KM OVERALL F")</f>
        <v>5KM OVERALL F</v>
      </c>
      <c r="E1637" s="1">
        <f>IFERROR(__xludf.DUMMYFUNCTION("""COMPUTED_VALUE"""),2.0)</f>
        <v>2</v>
      </c>
      <c r="F1637" s="1" t="str">
        <f>IFERROR(__xludf.DUMMYFUNCTION("""COMPUTED_VALUE"""),"Female")</f>
        <v>Female</v>
      </c>
      <c r="G1637" s="4" t="b">
        <f>IFERROR(__xludf.DUMMYFUNCTION("""COMPUTED_VALUE"""),TRUE)</f>
        <v>1</v>
      </c>
      <c r="H1637" s="4" t="b">
        <f>IFERROR(__xludf.DUMMYFUNCTION("""COMPUTED_VALUE"""),TRUE)</f>
        <v>1</v>
      </c>
      <c r="I1637" s="4">
        <f>IFERROR(__xludf.DUMMYFUNCTION("""COMPUTED_VALUE"""),0.2549440625)</f>
        <v>0.2549440625</v>
      </c>
      <c r="J1637" s="4">
        <f>IFERROR(__xludf.DUMMYFUNCTION("""COMPUTED_VALUE"""),45949.265523271424)</f>
        <v>45949.26552</v>
      </c>
      <c r="K1637" s="4" t="str">
        <f>IFERROR(__xludf.DUMMYFUNCTION("""COMPUTED_VALUE"""),"")</f>
        <v/>
      </c>
      <c r="L1637" s="4">
        <f>IFERROR(__xludf.DUMMYFUNCTION("""COMPUTED_VALUE"""),45949.27364432547)</f>
        <v>45949.27364</v>
      </c>
      <c r="M1637" s="1" t="str">
        <f>IFERROR(__xludf.DUMMYFUNCTION("""COMPUTED_VALUE"""),"RFID")</f>
        <v>RFID</v>
      </c>
      <c r="N1637" s="5">
        <f>IFERROR(__xludf.DUMMYFUNCTION("""COMPUTED_VALUE"""),0.004231685185185185)</f>
        <v>0.004231685185</v>
      </c>
      <c r="O1637" s="5" t="str">
        <f>IFERROR(__xludf.DUMMYFUNCTION("""COMPUTED_VALUE"""),"")</f>
        <v/>
      </c>
      <c r="P1637" s="5" t="str">
        <f>IFERROR(__xludf.DUMMYFUNCTION("""COMPUTED_VALUE"""),"")</f>
        <v/>
      </c>
      <c r="Q1637" s="5">
        <f>IFERROR(__xludf.DUMMYFUNCTION("""COMPUTED_VALUE"""),0.003740053240740741)</f>
        <v>0.003740053241</v>
      </c>
      <c r="R1637" s="4">
        <f>IFERROR(__xludf.DUMMYFUNCTION("""COMPUTED_VALUE"""),45949.01870026297)</f>
        <v>45949.0187</v>
      </c>
      <c r="S1637" s="1" t="b">
        <f>IFERROR(__xludf.DUMMYFUNCTION("""COMPUTED_VALUE"""),TRUE)</f>
        <v>1</v>
      </c>
      <c r="T1637" s="1" t="b">
        <f>IFERROR(__xludf.DUMMYFUNCTION("""COMPUTED_VALUE"""),FALSE)</f>
        <v>0</v>
      </c>
      <c r="U1637" s="1" t="str">
        <f>IFERROR(__xludf.DUMMYFUNCTION("""COMPUTED_VALUE"""),"VALID")</f>
        <v>VALID</v>
      </c>
      <c r="V1637" s="1">
        <f>IFERROR(__xludf.DUMMYFUNCTION("""COMPUTED_VALUE"""),5.0)</f>
        <v>5</v>
      </c>
      <c r="W1637" s="1">
        <f>IFERROR(__xludf.DUMMYFUNCTION("""COMPUTED_VALUE"""),77.0)</f>
        <v>77</v>
      </c>
      <c r="X1637" s="1">
        <f>IFERROR(__xludf.DUMMYFUNCTION("""COMPUTED_VALUE"""),7.0)</f>
        <v>7</v>
      </c>
      <c r="Y1637" s="2"/>
      <c r="Z1637" s="2"/>
    </row>
    <row r="1638">
      <c r="A1638" s="1">
        <f>IFERROR(__xludf.DUMMYFUNCTION("""COMPUTED_VALUE"""),1637.0)</f>
        <v>1637</v>
      </c>
      <c r="B1638" s="1">
        <f>IFERROR(__xludf.DUMMYFUNCTION("""COMPUTED_VALUE"""),6551.0)</f>
        <v>6551</v>
      </c>
      <c r="C1638" s="2" t="str">
        <f>IFERROR(__xludf.DUMMYFUNCTION("""COMPUTED_VALUE"""),"TUTUT")</f>
        <v>TUTUT</v>
      </c>
      <c r="D1638" s="2" t="str">
        <f>IFERROR(__xludf.DUMMYFUNCTION("""COMPUTED_VALUE"""),"5KM OVERALL F")</f>
        <v>5KM OVERALL F</v>
      </c>
      <c r="E1638" s="1">
        <f>IFERROR(__xludf.DUMMYFUNCTION("""COMPUTED_VALUE"""),2.0)</f>
        <v>2</v>
      </c>
      <c r="F1638" s="1" t="str">
        <f>IFERROR(__xludf.DUMMYFUNCTION("""COMPUTED_VALUE"""),"Female")</f>
        <v>Female</v>
      </c>
      <c r="G1638" s="4" t="b">
        <f>IFERROR(__xludf.DUMMYFUNCTION("""COMPUTED_VALUE"""),TRUE)</f>
        <v>1</v>
      </c>
      <c r="H1638" s="4" t="b">
        <f>IFERROR(__xludf.DUMMYFUNCTION("""COMPUTED_VALUE"""),FALSE)</f>
        <v>0</v>
      </c>
      <c r="I1638" s="4">
        <f>IFERROR(__xludf.DUMMYFUNCTION("""COMPUTED_VALUE"""),0.2549440625)</f>
        <v>0.2549440625</v>
      </c>
      <c r="J1638" s="4" t="str">
        <f>IFERROR(__xludf.DUMMYFUNCTION("""COMPUTED_VALUE"""),"")</f>
        <v/>
      </c>
      <c r="K1638" s="4" t="str">
        <f>IFERROR(__xludf.DUMMYFUNCTION("""COMPUTED_VALUE"""),"")</f>
        <v/>
      </c>
      <c r="L1638" s="4" t="str">
        <f>IFERROR(__xludf.DUMMYFUNCTION("""COMPUTED_VALUE"""),"")</f>
        <v/>
      </c>
      <c r="M1638" s="1" t="str">
        <f>IFERROR(__xludf.DUMMYFUNCTION("""COMPUTED_VALUE"""),"RFID")</f>
        <v>RFID</v>
      </c>
      <c r="N1638" s="5" t="str">
        <f>IFERROR(__xludf.DUMMYFUNCTION("""COMPUTED_VALUE"""),"")</f>
        <v/>
      </c>
      <c r="O1638" s="5" t="str">
        <f>IFERROR(__xludf.DUMMYFUNCTION("""COMPUTED_VALUE"""),"")</f>
        <v/>
      </c>
      <c r="P1638" s="5" t="str">
        <f>IFERROR(__xludf.DUMMYFUNCTION("""COMPUTED_VALUE"""),"")</f>
        <v/>
      </c>
      <c r="Q1638" s="5" t="str">
        <f>IFERROR(__xludf.DUMMYFUNCTION("""COMPUTED_VALUE"""),"")</f>
        <v/>
      </c>
      <c r="R1638" s="4" t="str">
        <f>IFERROR(__xludf.DUMMYFUNCTION("""COMPUTED_VALUE"""),"")</f>
        <v/>
      </c>
      <c r="S1638" s="1" t="b">
        <f>IFERROR(__xludf.DUMMYFUNCTION("""COMPUTED_VALUE"""),FALSE)</f>
        <v>0</v>
      </c>
      <c r="T1638" s="1" t="b">
        <f>IFERROR(__xludf.DUMMYFUNCTION("""COMPUTED_VALUE"""),FALSE)</f>
        <v>0</v>
      </c>
      <c r="U1638" s="1" t="str">
        <f>IFERROR(__xludf.DUMMYFUNCTION("""COMPUTED_VALUE"""),"DSQ")</f>
        <v>DSQ</v>
      </c>
      <c r="V1638" s="1" t="str">
        <f>IFERROR(__xludf.DUMMYFUNCTION("""COMPUTED_VALUE"""),"DSQ")</f>
        <v>DSQ</v>
      </c>
      <c r="W1638" s="1" t="str">
        <f>IFERROR(__xludf.DUMMYFUNCTION("""COMPUTED_VALUE"""),"DSQ")</f>
        <v>DSQ</v>
      </c>
      <c r="X1638" s="1" t="str">
        <f>IFERROR(__xludf.DUMMYFUNCTION("""COMPUTED_VALUE"""),"DSQ")</f>
        <v>DSQ</v>
      </c>
      <c r="Y1638" s="2"/>
      <c r="Z1638" s="2" t="str">
        <f>IFERROR(__xludf.DUMMYFUNCTION("""COMPUTED_VALUE"""),"")</f>
        <v/>
      </c>
    </row>
    <row r="1639">
      <c r="A1639" s="1">
        <f>IFERROR(__xludf.DUMMYFUNCTION("""COMPUTED_VALUE"""),1638.0)</f>
        <v>1638</v>
      </c>
      <c r="B1639" s="1">
        <f>IFERROR(__xludf.DUMMYFUNCTION("""COMPUTED_VALUE"""),6552.0)</f>
        <v>6552</v>
      </c>
      <c r="C1639" s="2" t="str">
        <f>IFERROR(__xludf.DUMMYFUNCTION("""COMPUTED_VALUE"""),"DESI")</f>
        <v>DESI</v>
      </c>
      <c r="D1639" s="2" t="str">
        <f>IFERROR(__xludf.DUMMYFUNCTION("""COMPUTED_VALUE"""),"5KM OVERALL F")</f>
        <v>5KM OVERALL F</v>
      </c>
      <c r="E1639" s="1">
        <f>IFERROR(__xludf.DUMMYFUNCTION("""COMPUTED_VALUE"""),2.0)</f>
        <v>2</v>
      </c>
      <c r="F1639" s="1" t="str">
        <f>IFERROR(__xludf.DUMMYFUNCTION("""COMPUTED_VALUE"""),"Female")</f>
        <v>Female</v>
      </c>
      <c r="G1639" s="4" t="b">
        <f>IFERROR(__xludf.DUMMYFUNCTION("""COMPUTED_VALUE"""),TRUE)</f>
        <v>1</v>
      </c>
      <c r="H1639" s="4" t="b">
        <f>IFERROR(__xludf.DUMMYFUNCTION("""COMPUTED_VALUE"""),TRUE)</f>
        <v>1</v>
      </c>
      <c r="I1639" s="4">
        <f>IFERROR(__xludf.DUMMYFUNCTION("""COMPUTED_VALUE"""),0.2549440625)</f>
        <v>0.2549440625</v>
      </c>
      <c r="J1639" s="4">
        <f>IFERROR(__xludf.DUMMYFUNCTION("""COMPUTED_VALUE"""),45949.275328781114)</f>
        <v>45949.27533</v>
      </c>
      <c r="K1639" s="4" t="str">
        <f>IFERROR(__xludf.DUMMYFUNCTION("""COMPUTED_VALUE"""),"")</f>
        <v/>
      </c>
      <c r="L1639" s="4">
        <f>IFERROR(__xludf.DUMMYFUNCTION("""COMPUTED_VALUE"""),45949.29129317577)</f>
        <v>45949.29129</v>
      </c>
      <c r="M1639" s="1" t="str">
        <f>IFERROR(__xludf.DUMMYFUNCTION("""COMPUTED_VALUE"""),"RFID")</f>
        <v>RFID</v>
      </c>
      <c r="N1639" s="5">
        <f>IFERROR(__xludf.DUMMYFUNCTION("""COMPUTED_VALUE"""),0.008153888888888888)</f>
        <v>0.008153888889</v>
      </c>
      <c r="O1639" s="5" t="str">
        <f>IFERROR(__xludf.DUMMYFUNCTION("""COMPUTED_VALUE"""),"")</f>
        <v/>
      </c>
      <c r="P1639" s="5" t="str">
        <f>IFERROR(__xludf.DUMMYFUNCTION("""COMPUTED_VALUE"""),"")</f>
        <v/>
      </c>
      <c r="Q1639" s="5">
        <f>IFERROR(__xludf.DUMMYFUNCTION("""COMPUTED_VALUE"""),0.00726982175925926)</f>
        <v>0.007269821759</v>
      </c>
      <c r="R1639" s="4">
        <f>IFERROR(__xludf.DUMMYFUNCTION("""COMPUTED_VALUE"""),45949.03634911327)</f>
        <v>45949.03635</v>
      </c>
      <c r="S1639" s="1" t="b">
        <f>IFERROR(__xludf.DUMMYFUNCTION("""COMPUTED_VALUE"""),TRUE)</f>
        <v>1</v>
      </c>
      <c r="T1639" s="1" t="b">
        <f>IFERROR(__xludf.DUMMYFUNCTION("""COMPUTED_VALUE"""),FALSE)</f>
        <v>0</v>
      </c>
      <c r="U1639" s="1" t="str">
        <f>IFERROR(__xludf.DUMMYFUNCTION("""COMPUTED_VALUE"""),"VALID")</f>
        <v>VALID</v>
      </c>
      <c r="V1639" s="1">
        <f>IFERROR(__xludf.DUMMYFUNCTION("""COMPUTED_VALUE"""),196.0)</f>
        <v>196</v>
      </c>
      <c r="W1639" s="1">
        <f>IFERROR(__xludf.DUMMYFUNCTION("""COMPUTED_VALUE"""),982.0)</f>
        <v>982</v>
      </c>
      <c r="X1639" s="1">
        <f>IFERROR(__xludf.DUMMYFUNCTION("""COMPUTED_VALUE"""),246.0)</f>
        <v>246</v>
      </c>
      <c r="Y1639" s="2"/>
      <c r="Z1639" s="2"/>
    </row>
    <row r="1640">
      <c r="A1640" s="1">
        <f>IFERROR(__xludf.DUMMYFUNCTION("""COMPUTED_VALUE"""),1639.0)</f>
        <v>1639</v>
      </c>
      <c r="B1640" s="1">
        <f>IFERROR(__xludf.DUMMYFUNCTION("""COMPUTED_VALUE"""),6553.0)</f>
        <v>6553</v>
      </c>
      <c r="C1640" s="2" t="str">
        <f>IFERROR(__xludf.DUMMYFUNCTION("""COMPUTED_VALUE"""),"FITRI FLORENTIA SUSANA")</f>
        <v>FITRI FLORENTIA SUSANA</v>
      </c>
      <c r="D1640" s="2" t="str">
        <f>IFERROR(__xludf.DUMMYFUNCTION("""COMPUTED_VALUE"""),"5KM OVERALL F")</f>
        <v>5KM OVERALL F</v>
      </c>
      <c r="E1640" s="1">
        <f>IFERROR(__xludf.DUMMYFUNCTION("""COMPUTED_VALUE"""),2.0)</f>
        <v>2</v>
      </c>
      <c r="F1640" s="1" t="str">
        <f>IFERROR(__xludf.DUMMYFUNCTION("""COMPUTED_VALUE"""),"Female")</f>
        <v>Female</v>
      </c>
      <c r="G1640" s="4" t="b">
        <f>IFERROR(__xludf.DUMMYFUNCTION("""COMPUTED_VALUE"""),TRUE)</f>
        <v>1</v>
      </c>
      <c r="H1640" s="4" t="b">
        <f>IFERROR(__xludf.DUMMYFUNCTION("""COMPUTED_VALUE"""),TRUE)</f>
        <v>1</v>
      </c>
      <c r="I1640" s="4">
        <f>IFERROR(__xludf.DUMMYFUNCTION("""COMPUTED_VALUE"""),0.2549440625)</f>
        <v>0.2549440625</v>
      </c>
      <c r="J1640" s="4">
        <f>IFERROR(__xludf.DUMMYFUNCTION("""COMPUTED_VALUE"""),45949.27525240542)</f>
        <v>45949.27525</v>
      </c>
      <c r="K1640" s="4" t="str">
        <f>IFERROR(__xludf.DUMMYFUNCTION("""COMPUTED_VALUE"""),"")</f>
        <v/>
      </c>
      <c r="L1640" s="4">
        <f>IFERROR(__xludf.DUMMYFUNCTION("""COMPUTED_VALUE"""),45949.29153978023)</f>
        <v>45949.29154</v>
      </c>
      <c r="M1640" s="1" t="str">
        <f>IFERROR(__xludf.DUMMYFUNCTION("""COMPUTED_VALUE"""),"RFID")</f>
        <v>RFID</v>
      </c>
      <c r="N1640" s="5">
        <f>IFERROR(__xludf.DUMMYFUNCTION("""COMPUTED_VALUE"""),0.008123337962962964)</f>
        <v>0.008123337963</v>
      </c>
      <c r="O1640" s="5" t="str">
        <f>IFERROR(__xludf.DUMMYFUNCTION("""COMPUTED_VALUE"""),"")</f>
        <v/>
      </c>
      <c r="P1640" s="5" t="str">
        <f>IFERROR(__xludf.DUMMYFUNCTION("""COMPUTED_VALUE"""),"")</f>
        <v/>
      </c>
      <c r="Q1640" s="5">
        <f>IFERROR(__xludf.DUMMYFUNCTION("""COMPUTED_VALUE"""),0.007319143518518518)</f>
        <v>0.007319143519</v>
      </c>
      <c r="R1640" s="4">
        <f>IFERROR(__xludf.DUMMYFUNCTION("""COMPUTED_VALUE"""),45949.03659571773)</f>
        <v>45949.0366</v>
      </c>
      <c r="S1640" s="1" t="b">
        <f>IFERROR(__xludf.DUMMYFUNCTION("""COMPUTED_VALUE"""),TRUE)</f>
        <v>1</v>
      </c>
      <c r="T1640" s="1" t="b">
        <f>IFERROR(__xludf.DUMMYFUNCTION("""COMPUTED_VALUE"""),FALSE)</f>
        <v>0</v>
      </c>
      <c r="U1640" s="1" t="str">
        <f>IFERROR(__xludf.DUMMYFUNCTION("""COMPUTED_VALUE"""),"VALID")</f>
        <v>VALID</v>
      </c>
      <c r="V1640" s="1">
        <f>IFERROR(__xludf.DUMMYFUNCTION("""COMPUTED_VALUE"""),206.0)</f>
        <v>206</v>
      </c>
      <c r="W1640" s="1">
        <f>IFERROR(__xludf.DUMMYFUNCTION("""COMPUTED_VALUE"""),1001.0)</f>
        <v>1001</v>
      </c>
      <c r="X1640" s="1">
        <f>IFERROR(__xludf.DUMMYFUNCTION("""COMPUTED_VALUE"""),257.0)</f>
        <v>257</v>
      </c>
      <c r="Y1640" s="2"/>
      <c r="Z1640" s="2"/>
    </row>
    <row r="1641">
      <c r="A1641" s="1">
        <f>IFERROR(__xludf.DUMMYFUNCTION("""COMPUTED_VALUE"""),1640.0)</f>
        <v>1640</v>
      </c>
      <c r="B1641" s="1">
        <f>IFERROR(__xludf.DUMMYFUNCTION("""COMPUTED_VALUE"""),6554.0)</f>
        <v>6554</v>
      </c>
      <c r="C1641" s="2" t="str">
        <f>IFERROR(__xludf.DUMMYFUNCTION("""COMPUTED_VALUE"""),"BELLA ASMARAYANTI")</f>
        <v>BELLA ASMARAYANTI</v>
      </c>
      <c r="D1641" s="2" t="str">
        <f>IFERROR(__xludf.DUMMYFUNCTION("""COMPUTED_VALUE"""),"5KM OVERALL F")</f>
        <v>5KM OVERALL F</v>
      </c>
      <c r="E1641" s="1">
        <f>IFERROR(__xludf.DUMMYFUNCTION("""COMPUTED_VALUE"""),2.0)</f>
        <v>2</v>
      </c>
      <c r="F1641" s="1" t="str">
        <f>IFERROR(__xludf.DUMMYFUNCTION("""COMPUTED_VALUE"""),"Female")</f>
        <v>Female</v>
      </c>
      <c r="G1641" s="4" t="b">
        <f>IFERROR(__xludf.DUMMYFUNCTION("""COMPUTED_VALUE"""),TRUE)</f>
        <v>1</v>
      </c>
      <c r="H1641" s="4" t="b">
        <f>IFERROR(__xludf.DUMMYFUNCTION("""COMPUTED_VALUE"""),TRUE)</f>
        <v>1</v>
      </c>
      <c r="I1641" s="4">
        <f>IFERROR(__xludf.DUMMYFUNCTION("""COMPUTED_VALUE"""),0.2549440625)</f>
        <v>0.2549440625</v>
      </c>
      <c r="J1641" s="4">
        <f>IFERROR(__xludf.DUMMYFUNCTION("""COMPUTED_VALUE"""),45949.275255864326)</f>
        <v>45949.27526</v>
      </c>
      <c r="K1641" s="4" t="str">
        <f>IFERROR(__xludf.DUMMYFUNCTION("""COMPUTED_VALUE"""),"")</f>
        <v/>
      </c>
      <c r="L1641" s="4">
        <f>IFERROR(__xludf.DUMMYFUNCTION("""COMPUTED_VALUE"""),45949.29152242146)</f>
        <v>45949.29152</v>
      </c>
      <c r="M1641" s="1" t="str">
        <f>IFERROR(__xludf.DUMMYFUNCTION("""COMPUTED_VALUE"""),"RFID")</f>
        <v>RFID</v>
      </c>
      <c r="N1641" s="5">
        <f>IFERROR(__xludf.DUMMYFUNCTION("""COMPUTED_VALUE"""),0.008124722222222222)</f>
        <v>0.008124722222</v>
      </c>
      <c r="O1641" s="5" t="str">
        <f>IFERROR(__xludf.DUMMYFUNCTION("""COMPUTED_VALUE"""),"")</f>
        <v/>
      </c>
      <c r="P1641" s="5" t="str">
        <f>IFERROR(__xludf.DUMMYFUNCTION("""COMPUTED_VALUE"""),"")</f>
        <v/>
      </c>
      <c r="Q1641" s="5">
        <f>IFERROR(__xludf.DUMMYFUNCTION("""COMPUTED_VALUE"""),0.007315671296296296)</f>
        <v>0.007315671296</v>
      </c>
      <c r="R1641" s="4">
        <f>IFERROR(__xludf.DUMMYFUNCTION("""COMPUTED_VALUE"""),45949.03657835896)</f>
        <v>45949.03658</v>
      </c>
      <c r="S1641" s="1" t="b">
        <f>IFERROR(__xludf.DUMMYFUNCTION("""COMPUTED_VALUE"""),TRUE)</f>
        <v>1</v>
      </c>
      <c r="T1641" s="1" t="b">
        <f>IFERROR(__xludf.DUMMYFUNCTION("""COMPUTED_VALUE"""),FALSE)</f>
        <v>0</v>
      </c>
      <c r="U1641" s="1" t="str">
        <f>IFERROR(__xludf.DUMMYFUNCTION("""COMPUTED_VALUE"""),"VALID")</f>
        <v>VALID</v>
      </c>
      <c r="V1641" s="1">
        <f>IFERROR(__xludf.DUMMYFUNCTION("""COMPUTED_VALUE"""),204.0)</f>
        <v>204</v>
      </c>
      <c r="W1641" s="1">
        <f>IFERROR(__xludf.DUMMYFUNCTION("""COMPUTED_VALUE"""),999.0)</f>
        <v>999</v>
      </c>
      <c r="X1641" s="1">
        <f>IFERROR(__xludf.DUMMYFUNCTION("""COMPUTED_VALUE"""),255.0)</f>
        <v>255</v>
      </c>
      <c r="Y1641" s="2"/>
      <c r="Z1641" s="2"/>
    </row>
    <row r="1642">
      <c r="A1642" s="1">
        <f>IFERROR(__xludf.DUMMYFUNCTION("""COMPUTED_VALUE"""),1641.0)</f>
        <v>1641</v>
      </c>
      <c r="B1642" s="1">
        <f>IFERROR(__xludf.DUMMYFUNCTION("""COMPUTED_VALUE"""),6559.0)</f>
        <v>6559</v>
      </c>
      <c r="C1642" s="2" t="str">
        <f>IFERROR(__xludf.DUMMYFUNCTION("""COMPUTED_VALUE"""),"Tatik Susianti")</f>
        <v>Tatik Susianti</v>
      </c>
      <c r="D1642" s="2" t="str">
        <f>IFERROR(__xludf.DUMMYFUNCTION("""COMPUTED_VALUE"""),"5KM OVERALL F")</f>
        <v>5KM OVERALL F</v>
      </c>
      <c r="E1642" s="1">
        <f>IFERROR(__xludf.DUMMYFUNCTION("""COMPUTED_VALUE"""),2.0)</f>
        <v>2</v>
      </c>
      <c r="F1642" s="1" t="str">
        <f>IFERROR(__xludf.DUMMYFUNCTION("""COMPUTED_VALUE"""),"Female")</f>
        <v>Female</v>
      </c>
      <c r="G1642" s="4" t="b">
        <f>IFERROR(__xludf.DUMMYFUNCTION("""COMPUTED_VALUE"""),TRUE)</f>
        <v>1</v>
      </c>
      <c r="H1642" s="4" t="b">
        <f>IFERROR(__xludf.DUMMYFUNCTION("""COMPUTED_VALUE"""),FALSE)</f>
        <v>0</v>
      </c>
      <c r="I1642" s="4">
        <f>IFERROR(__xludf.DUMMYFUNCTION("""COMPUTED_VALUE"""),0.2549440625)</f>
        <v>0.2549440625</v>
      </c>
      <c r="J1642" s="4">
        <f>IFERROR(__xludf.DUMMYFUNCTION("""COMPUTED_VALUE"""),45949.27913803763)</f>
        <v>45949.27914</v>
      </c>
      <c r="K1642" s="4" t="str">
        <f>IFERROR(__xludf.DUMMYFUNCTION("""COMPUTED_VALUE"""),"")</f>
        <v/>
      </c>
      <c r="L1642" s="4">
        <f>IFERROR(__xludf.DUMMYFUNCTION("""COMPUTED_VALUE"""),45949.29727587294)</f>
        <v>45949.29728</v>
      </c>
      <c r="M1642" s="1" t="str">
        <f>IFERROR(__xludf.DUMMYFUNCTION("""COMPUTED_VALUE"""),"RFID")</f>
        <v>RFID</v>
      </c>
      <c r="N1642" s="5">
        <f>IFERROR(__xludf.DUMMYFUNCTION("""COMPUTED_VALUE"""),0.009677587962962962)</f>
        <v>0.009677587963</v>
      </c>
      <c r="O1642" s="5" t="str">
        <f>IFERROR(__xludf.DUMMYFUNCTION("""COMPUTED_VALUE"""),"")</f>
        <v/>
      </c>
      <c r="P1642" s="5" t="str">
        <f>IFERROR(__xludf.DUMMYFUNCTION("""COMPUTED_VALUE"""),"")</f>
        <v/>
      </c>
      <c r="Q1642" s="5">
        <f>IFERROR(__xludf.DUMMYFUNCTION("""COMPUTED_VALUE"""),0.00846636111111111)</f>
        <v>0.008466361111</v>
      </c>
      <c r="R1642" s="4">
        <f>IFERROR(__xludf.DUMMYFUNCTION("""COMPUTED_VALUE"""),45949.04233181044)</f>
        <v>45949.04233</v>
      </c>
      <c r="S1642" s="1" t="b">
        <f>IFERROR(__xludf.DUMMYFUNCTION("""COMPUTED_VALUE"""),TRUE)</f>
        <v>1</v>
      </c>
      <c r="T1642" s="1" t="b">
        <f>IFERROR(__xludf.DUMMYFUNCTION("""COMPUTED_VALUE"""),FALSE)</f>
        <v>0</v>
      </c>
      <c r="U1642" s="1" t="str">
        <f>IFERROR(__xludf.DUMMYFUNCTION("""COMPUTED_VALUE"""),"VALID")</f>
        <v>VALID</v>
      </c>
      <c r="V1642" s="1">
        <f>IFERROR(__xludf.DUMMYFUNCTION("""COMPUTED_VALUE"""),362.0)</f>
        <v>362</v>
      </c>
      <c r="W1642" s="1">
        <f>IFERROR(__xludf.DUMMYFUNCTION("""COMPUTED_VALUE"""),1341.0)</f>
        <v>1341</v>
      </c>
      <c r="X1642" s="1">
        <f>IFERROR(__xludf.DUMMYFUNCTION("""COMPUTED_VALUE"""),440.0)</f>
        <v>440</v>
      </c>
      <c r="Y1642" s="2"/>
      <c r="Z1642" s="2"/>
    </row>
    <row r="1643">
      <c r="A1643" s="1">
        <f>IFERROR(__xludf.DUMMYFUNCTION("""COMPUTED_VALUE"""),1642.0)</f>
        <v>1642</v>
      </c>
      <c r="B1643" s="1">
        <f>IFERROR(__xludf.DUMMYFUNCTION("""COMPUTED_VALUE"""),6560.0)</f>
        <v>6560</v>
      </c>
      <c r="C1643" s="2" t="str">
        <f>IFERROR(__xludf.DUMMYFUNCTION("""COMPUTED_VALUE"""),"Suryadharma")</f>
        <v>Suryadharma</v>
      </c>
      <c r="D1643" s="2" t="str">
        <f>IFERROR(__xludf.DUMMYFUNCTION("""COMPUTED_VALUE"""),"5KM OVERALL F")</f>
        <v>5KM OVERALL F</v>
      </c>
      <c r="E1643" s="1">
        <f>IFERROR(__xludf.DUMMYFUNCTION("""COMPUTED_VALUE"""),2.0)</f>
        <v>2</v>
      </c>
      <c r="F1643" s="1" t="str">
        <f>IFERROR(__xludf.DUMMYFUNCTION("""COMPUTED_VALUE"""),"Female")</f>
        <v>Female</v>
      </c>
      <c r="G1643" s="4" t="b">
        <f>IFERROR(__xludf.DUMMYFUNCTION("""COMPUTED_VALUE"""),TRUE)</f>
        <v>1</v>
      </c>
      <c r="H1643" s="4" t="b">
        <f>IFERROR(__xludf.DUMMYFUNCTION("""COMPUTED_VALUE"""),TRUE)</f>
        <v>1</v>
      </c>
      <c r="I1643" s="4">
        <f>IFERROR(__xludf.DUMMYFUNCTION("""COMPUTED_VALUE"""),0.2549440625)</f>
        <v>0.2549440625</v>
      </c>
      <c r="J1643" s="4">
        <f>IFERROR(__xludf.DUMMYFUNCTION("""COMPUTED_VALUE"""),45949.2844295288)</f>
        <v>45949.28443</v>
      </c>
      <c r="K1643" s="4" t="str">
        <f>IFERROR(__xludf.DUMMYFUNCTION("""COMPUTED_VALUE"""),"")</f>
        <v/>
      </c>
      <c r="L1643" s="4">
        <f>IFERROR(__xludf.DUMMYFUNCTION("""COMPUTED_VALUE"""),45949.30296337379)</f>
        <v>45949.30296</v>
      </c>
      <c r="M1643" s="1" t="str">
        <f>IFERROR(__xludf.DUMMYFUNCTION("""COMPUTED_VALUE"""),"RFID")</f>
        <v>RFID</v>
      </c>
      <c r="N1643" s="5">
        <f>IFERROR(__xludf.DUMMYFUNCTION("""COMPUTED_VALUE"""),0.011794185185185184)</f>
        <v>0.01179418519</v>
      </c>
      <c r="O1643" s="5" t="str">
        <f>IFERROR(__xludf.DUMMYFUNCTION("""COMPUTED_VALUE"""),"")</f>
        <v/>
      </c>
      <c r="P1643" s="5" t="str">
        <f>IFERROR(__xludf.DUMMYFUNCTION("""COMPUTED_VALUE"""),"")</f>
        <v/>
      </c>
      <c r="Q1643" s="5">
        <f>IFERROR(__xludf.DUMMYFUNCTION("""COMPUTED_VALUE"""),0.009603861111111112)</f>
        <v>0.009603861111</v>
      </c>
      <c r="R1643" s="4">
        <f>IFERROR(__xludf.DUMMYFUNCTION("""COMPUTED_VALUE"""),45949.04801931129)</f>
        <v>45949.04802</v>
      </c>
      <c r="S1643" s="1" t="b">
        <f>IFERROR(__xludf.DUMMYFUNCTION("""COMPUTED_VALUE"""),TRUE)</f>
        <v>1</v>
      </c>
      <c r="T1643" s="1" t="b">
        <f>IFERROR(__xludf.DUMMYFUNCTION("""COMPUTED_VALUE"""),FALSE)</f>
        <v>0</v>
      </c>
      <c r="U1643" s="1" t="str">
        <f>IFERROR(__xludf.DUMMYFUNCTION("""COMPUTED_VALUE"""),"VALID")</f>
        <v>VALID</v>
      </c>
      <c r="V1643" s="1">
        <f>IFERROR(__xludf.DUMMYFUNCTION("""COMPUTED_VALUE"""),476.0)</f>
        <v>476</v>
      </c>
      <c r="W1643" s="1">
        <f>IFERROR(__xludf.DUMMYFUNCTION("""COMPUTED_VALUE"""),1546.0)</f>
        <v>1546</v>
      </c>
      <c r="X1643" s="1">
        <f>IFERROR(__xludf.DUMMYFUNCTION("""COMPUTED_VALUE"""),579.0)</f>
        <v>579</v>
      </c>
      <c r="Y1643" s="2"/>
      <c r="Z1643" s="2"/>
    </row>
    <row r="1644">
      <c r="A1644" s="1">
        <f>IFERROR(__xludf.DUMMYFUNCTION("""COMPUTED_VALUE"""),1643.0)</f>
        <v>1643</v>
      </c>
      <c r="B1644" s="1">
        <f>IFERROR(__xludf.DUMMYFUNCTION("""COMPUTED_VALUE"""),6561.0)</f>
        <v>6561</v>
      </c>
      <c r="C1644" s="2" t="str">
        <f>IFERROR(__xludf.DUMMYFUNCTION("""COMPUTED_VALUE"""),"Rieka Damayanti")</f>
        <v>Rieka Damayanti</v>
      </c>
      <c r="D1644" s="2" t="str">
        <f>IFERROR(__xludf.DUMMYFUNCTION("""COMPUTED_VALUE"""),"5KM OVERALL F")</f>
        <v>5KM OVERALL F</v>
      </c>
      <c r="E1644" s="1">
        <f>IFERROR(__xludf.DUMMYFUNCTION("""COMPUTED_VALUE"""),2.0)</f>
        <v>2</v>
      </c>
      <c r="F1644" s="1" t="str">
        <f>IFERROR(__xludf.DUMMYFUNCTION("""COMPUTED_VALUE"""),"Female")</f>
        <v>Female</v>
      </c>
      <c r="G1644" s="4" t="b">
        <f>IFERROR(__xludf.DUMMYFUNCTION("""COMPUTED_VALUE"""),TRUE)</f>
        <v>1</v>
      </c>
      <c r="H1644" s="4" t="b">
        <f>IFERROR(__xludf.DUMMYFUNCTION("""COMPUTED_VALUE"""),FALSE)</f>
        <v>0</v>
      </c>
      <c r="I1644" s="4">
        <f>IFERROR(__xludf.DUMMYFUNCTION("""COMPUTED_VALUE"""),0.2549440625)</f>
        <v>0.2549440625</v>
      </c>
      <c r="J1644" s="4">
        <f>IFERROR(__xludf.DUMMYFUNCTION("""COMPUTED_VALUE"""),45949.27440517201)</f>
        <v>45949.27441</v>
      </c>
      <c r="K1644" s="4" t="str">
        <f>IFERROR(__xludf.DUMMYFUNCTION("""COMPUTED_VALUE"""),"")</f>
        <v/>
      </c>
      <c r="L1644" s="4">
        <f>IFERROR(__xludf.DUMMYFUNCTION("""COMPUTED_VALUE"""),45949.28885226721)</f>
        <v>45949.28885</v>
      </c>
      <c r="M1644" s="1" t="str">
        <f>IFERROR(__xludf.DUMMYFUNCTION("""COMPUTED_VALUE"""),"RFID")</f>
        <v>RFID</v>
      </c>
      <c r="N1644" s="5">
        <f>IFERROR(__xludf.DUMMYFUNCTION("""COMPUTED_VALUE"""),0.007784444444444445)</f>
        <v>0.007784444444</v>
      </c>
      <c r="O1644" s="5" t="str">
        <f>IFERROR(__xludf.DUMMYFUNCTION("""COMPUTED_VALUE"""),"")</f>
        <v/>
      </c>
      <c r="P1644" s="5" t="str">
        <f>IFERROR(__xludf.DUMMYFUNCTION("""COMPUTED_VALUE"""),"")</f>
        <v/>
      </c>
      <c r="Q1644" s="5">
        <f>IFERROR(__xludf.DUMMYFUNCTION("""COMPUTED_VALUE"""),0.006781641203703703)</f>
        <v>0.006781641204</v>
      </c>
      <c r="R1644" s="4">
        <f>IFERROR(__xludf.DUMMYFUNCTION("""COMPUTED_VALUE"""),45949.03390820471)</f>
        <v>45949.03391</v>
      </c>
      <c r="S1644" s="1" t="b">
        <f>IFERROR(__xludf.DUMMYFUNCTION("""COMPUTED_VALUE"""),TRUE)</f>
        <v>1</v>
      </c>
      <c r="T1644" s="1" t="b">
        <f>IFERROR(__xludf.DUMMYFUNCTION("""COMPUTED_VALUE"""),FALSE)</f>
        <v>0</v>
      </c>
      <c r="U1644" s="1" t="str">
        <f>IFERROR(__xludf.DUMMYFUNCTION("""COMPUTED_VALUE"""),"VALID")</f>
        <v>VALID</v>
      </c>
      <c r="V1644" s="1">
        <f>IFERROR(__xludf.DUMMYFUNCTION("""COMPUTED_VALUE"""),149.0)</f>
        <v>149</v>
      </c>
      <c r="W1644" s="1">
        <f>IFERROR(__xludf.DUMMYFUNCTION("""COMPUTED_VALUE"""),836.0)</f>
        <v>836</v>
      </c>
      <c r="X1644" s="1">
        <f>IFERROR(__xludf.DUMMYFUNCTION("""COMPUTED_VALUE"""),184.0)</f>
        <v>184</v>
      </c>
      <c r="Y1644" s="2"/>
      <c r="Z1644" s="2"/>
    </row>
    <row r="1645">
      <c r="A1645" s="1">
        <f>IFERROR(__xludf.DUMMYFUNCTION("""COMPUTED_VALUE"""),1644.0)</f>
        <v>1644</v>
      </c>
      <c r="B1645" s="1">
        <f>IFERROR(__xludf.DUMMYFUNCTION("""COMPUTED_VALUE"""),6562.0)</f>
        <v>6562</v>
      </c>
      <c r="C1645" s="2" t="str">
        <f>IFERROR(__xludf.DUMMYFUNCTION("""COMPUTED_VALUE"""),"Lusyanne Erhid Salla")</f>
        <v>Lusyanne Erhid Salla</v>
      </c>
      <c r="D1645" s="2" t="str">
        <f>IFERROR(__xludf.DUMMYFUNCTION("""COMPUTED_VALUE"""),"5KM OVERALL F")</f>
        <v>5KM OVERALL F</v>
      </c>
      <c r="E1645" s="1">
        <f>IFERROR(__xludf.DUMMYFUNCTION("""COMPUTED_VALUE"""),2.0)</f>
        <v>2</v>
      </c>
      <c r="F1645" s="1" t="str">
        <f>IFERROR(__xludf.DUMMYFUNCTION("""COMPUTED_VALUE"""),"Female")</f>
        <v>Female</v>
      </c>
      <c r="G1645" s="4" t="b">
        <f>IFERROR(__xludf.DUMMYFUNCTION("""COMPUTED_VALUE"""),TRUE)</f>
        <v>1</v>
      </c>
      <c r="H1645" s="4" t="b">
        <f>IFERROR(__xludf.DUMMYFUNCTION("""COMPUTED_VALUE"""),FALSE)</f>
        <v>0</v>
      </c>
      <c r="I1645" s="4">
        <f>IFERROR(__xludf.DUMMYFUNCTION("""COMPUTED_VALUE"""),0.2549440625)</f>
        <v>0.2549440625</v>
      </c>
      <c r="J1645" s="4">
        <f>IFERROR(__xludf.DUMMYFUNCTION("""COMPUTED_VALUE"""),45949.27809268205)</f>
        <v>45949.27809</v>
      </c>
      <c r="K1645" s="4" t="str">
        <f>IFERROR(__xludf.DUMMYFUNCTION("""COMPUTED_VALUE"""),"")</f>
        <v/>
      </c>
      <c r="L1645" s="4">
        <f>IFERROR(__xludf.DUMMYFUNCTION("""COMPUTED_VALUE"""),45949.295040101286)</f>
        <v>45949.29504</v>
      </c>
      <c r="M1645" s="1" t="str">
        <f>IFERROR(__xludf.DUMMYFUNCTION("""COMPUTED_VALUE"""),"RFID")</f>
        <v>RFID</v>
      </c>
      <c r="N1645" s="5">
        <f>IFERROR(__xludf.DUMMYFUNCTION("""COMPUTED_VALUE"""),0.009259449074074073)</f>
        <v>0.009259449074</v>
      </c>
      <c r="O1645" s="5" t="str">
        <f>IFERROR(__xludf.DUMMYFUNCTION("""COMPUTED_VALUE"""),"")</f>
        <v/>
      </c>
      <c r="P1645" s="5" t="str">
        <f>IFERROR(__xludf.DUMMYFUNCTION("""COMPUTED_VALUE"""),"")</f>
        <v/>
      </c>
      <c r="Q1645" s="5">
        <f>IFERROR(__xludf.DUMMYFUNCTION("""COMPUTED_VALUE"""),0.008019208333333333)</f>
        <v>0.008019208333</v>
      </c>
      <c r="R1645" s="4">
        <f>IFERROR(__xludf.DUMMYFUNCTION("""COMPUTED_VALUE"""),45949.040096038785)</f>
        <v>45949.0401</v>
      </c>
      <c r="S1645" s="1" t="b">
        <f>IFERROR(__xludf.DUMMYFUNCTION("""COMPUTED_VALUE"""),TRUE)</f>
        <v>1</v>
      </c>
      <c r="T1645" s="1" t="b">
        <f>IFERROR(__xludf.DUMMYFUNCTION("""COMPUTED_VALUE"""),FALSE)</f>
        <v>0</v>
      </c>
      <c r="U1645" s="1" t="str">
        <f>IFERROR(__xludf.DUMMYFUNCTION("""COMPUTED_VALUE"""),"VALID")</f>
        <v>VALID</v>
      </c>
      <c r="V1645" s="1">
        <f>IFERROR(__xludf.DUMMYFUNCTION("""COMPUTED_VALUE"""),322.0)</f>
        <v>322</v>
      </c>
      <c r="W1645" s="1">
        <f>IFERROR(__xludf.DUMMYFUNCTION("""COMPUTED_VALUE"""),1246.0)</f>
        <v>1246</v>
      </c>
      <c r="X1645" s="1">
        <f>IFERROR(__xludf.DUMMYFUNCTION("""COMPUTED_VALUE"""),390.0)</f>
        <v>390</v>
      </c>
      <c r="Y1645" s="2"/>
      <c r="Z1645" s="2"/>
    </row>
    <row r="1646">
      <c r="A1646" s="1">
        <f>IFERROR(__xludf.DUMMYFUNCTION("""COMPUTED_VALUE"""),1645.0)</f>
        <v>1645</v>
      </c>
      <c r="B1646" s="1">
        <f>IFERROR(__xludf.DUMMYFUNCTION("""COMPUTED_VALUE"""),6563.0)</f>
        <v>6563</v>
      </c>
      <c r="C1646" s="2" t="str">
        <f>IFERROR(__xludf.DUMMYFUNCTION("""COMPUTED_VALUE"""),"Eunike Tasanyari")</f>
        <v>Eunike Tasanyari</v>
      </c>
      <c r="D1646" s="2" t="str">
        <f>IFERROR(__xludf.DUMMYFUNCTION("""COMPUTED_VALUE"""),"5KM OVERALL F")</f>
        <v>5KM OVERALL F</v>
      </c>
      <c r="E1646" s="1">
        <f>IFERROR(__xludf.DUMMYFUNCTION("""COMPUTED_VALUE"""),2.0)</f>
        <v>2</v>
      </c>
      <c r="F1646" s="1" t="str">
        <f>IFERROR(__xludf.DUMMYFUNCTION("""COMPUTED_VALUE"""),"Female")</f>
        <v>Female</v>
      </c>
      <c r="G1646" s="4" t="str">
        <f>IFERROR(__xludf.DUMMYFUNCTION("""COMPUTED_VALUE"""),"")</f>
        <v/>
      </c>
      <c r="H1646" s="4" t="b">
        <f>IFERROR(__xludf.DUMMYFUNCTION("""COMPUTED_VALUE"""),FALSE)</f>
        <v>0</v>
      </c>
      <c r="I1646" s="4">
        <f>IFERROR(__xludf.DUMMYFUNCTION("""COMPUTED_VALUE"""),0.2549440625)</f>
        <v>0.2549440625</v>
      </c>
      <c r="J1646" s="4">
        <f>IFERROR(__xludf.DUMMYFUNCTION("""COMPUTED_VALUE"""),45949.275061422035)</f>
        <v>45949.27506</v>
      </c>
      <c r="K1646" s="4" t="str">
        <f>IFERROR(__xludf.DUMMYFUNCTION("""COMPUTED_VALUE"""),"")</f>
        <v/>
      </c>
      <c r="L1646" s="4">
        <f>IFERROR(__xludf.DUMMYFUNCTION("""COMPUTED_VALUE"""),45949.29098768914)</f>
        <v>45949.29099</v>
      </c>
      <c r="M1646" s="1" t="str">
        <f>IFERROR(__xludf.DUMMYFUNCTION("""COMPUTED_VALUE"""),"RFID")</f>
        <v>RFID</v>
      </c>
      <c r="N1646" s="5">
        <f>IFERROR(__xludf.DUMMYFUNCTION("""COMPUTED_VALUE"""),0.008046944444444445)</f>
        <v>0.008046944444</v>
      </c>
      <c r="O1646" s="5" t="str">
        <f>IFERROR(__xludf.DUMMYFUNCTION("""COMPUTED_VALUE"""),"")</f>
        <v/>
      </c>
      <c r="P1646" s="5" t="str">
        <f>IFERROR(__xludf.DUMMYFUNCTION("""COMPUTED_VALUE"""),"")</f>
        <v/>
      </c>
      <c r="Q1646" s="5">
        <f>IFERROR(__xludf.DUMMYFUNCTION("""COMPUTED_VALUE"""),0.007208724537037037)</f>
        <v>0.007208724537</v>
      </c>
      <c r="R1646" s="4">
        <f>IFERROR(__xludf.DUMMYFUNCTION("""COMPUTED_VALUE"""),45949.03604362664)</f>
        <v>45949.03604</v>
      </c>
      <c r="S1646" s="1" t="b">
        <f>IFERROR(__xludf.DUMMYFUNCTION("""COMPUTED_VALUE"""),FALSE)</f>
        <v>0</v>
      </c>
      <c r="T1646" s="1" t="b">
        <f>IFERROR(__xludf.DUMMYFUNCTION("""COMPUTED_VALUE"""),FALSE)</f>
        <v>0</v>
      </c>
      <c r="U1646" s="1" t="str">
        <f>IFERROR(__xludf.DUMMYFUNCTION("""COMPUTED_VALUE"""),"DSQ")</f>
        <v>DSQ</v>
      </c>
      <c r="V1646" s="1" t="str">
        <f>IFERROR(__xludf.DUMMYFUNCTION("""COMPUTED_VALUE"""),"DSQ")</f>
        <v>DSQ</v>
      </c>
      <c r="W1646" s="1" t="str">
        <f>IFERROR(__xludf.DUMMYFUNCTION("""COMPUTED_VALUE"""),"DSQ")</f>
        <v>DSQ</v>
      </c>
      <c r="X1646" s="1" t="str">
        <f>IFERROR(__xludf.DUMMYFUNCTION("""COMPUTED_VALUE"""),"DSQ")</f>
        <v>DSQ</v>
      </c>
      <c r="Y1646" s="2"/>
      <c r="Z1646" s="2"/>
    </row>
    <row r="1647">
      <c r="A1647" s="1">
        <f>IFERROR(__xludf.DUMMYFUNCTION("""COMPUTED_VALUE"""),1646.0)</f>
        <v>1646</v>
      </c>
      <c r="B1647" s="1">
        <f>IFERROR(__xludf.DUMMYFUNCTION("""COMPUTED_VALUE"""),6564.0)</f>
        <v>6564</v>
      </c>
      <c r="C1647" s="2" t="str">
        <f>IFERROR(__xludf.DUMMYFUNCTION("""COMPUTED_VALUE"""),"Naritha Yolanda")</f>
        <v>Naritha Yolanda</v>
      </c>
      <c r="D1647" s="2" t="str">
        <f>IFERROR(__xludf.DUMMYFUNCTION("""COMPUTED_VALUE"""),"5KM OVERALL F")</f>
        <v>5KM OVERALL F</v>
      </c>
      <c r="E1647" s="1">
        <f>IFERROR(__xludf.DUMMYFUNCTION("""COMPUTED_VALUE"""),2.0)</f>
        <v>2</v>
      </c>
      <c r="F1647" s="1" t="str">
        <f>IFERROR(__xludf.DUMMYFUNCTION("""COMPUTED_VALUE"""),"Female")</f>
        <v>Female</v>
      </c>
      <c r="G1647" s="4" t="b">
        <f>IFERROR(__xludf.DUMMYFUNCTION("""COMPUTED_VALUE"""),TRUE)</f>
        <v>1</v>
      </c>
      <c r="H1647" s="4" t="b">
        <f>IFERROR(__xludf.DUMMYFUNCTION("""COMPUTED_VALUE"""),TRUE)</f>
        <v>1</v>
      </c>
      <c r="I1647" s="4">
        <f>IFERROR(__xludf.DUMMYFUNCTION("""COMPUTED_VALUE"""),0.2549440625)</f>
        <v>0.2549440625</v>
      </c>
      <c r="J1647" s="4">
        <f>IFERROR(__xludf.DUMMYFUNCTION("""COMPUTED_VALUE"""),45949.27272865801)</f>
        <v>45949.27273</v>
      </c>
      <c r="K1647" s="4" t="str">
        <f>IFERROR(__xludf.DUMMYFUNCTION("""COMPUTED_VALUE"""),"")</f>
        <v/>
      </c>
      <c r="L1647" s="4">
        <f>IFERROR(__xludf.DUMMYFUNCTION("""COMPUTED_VALUE"""),45949.288369613045)</f>
        <v>45949.28837</v>
      </c>
      <c r="M1647" s="1" t="str">
        <f>IFERROR(__xludf.DUMMYFUNCTION("""COMPUTED_VALUE"""),"RFID")</f>
        <v>RFID</v>
      </c>
      <c r="N1647" s="5">
        <f>IFERROR(__xludf.DUMMYFUNCTION("""COMPUTED_VALUE"""),0.007113837962962962)</f>
        <v>0.007113837963</v>
      </c>
      <c r="O1647" s="5" t="str">
        <f>IFERROR(__xludf.DUMMYFUNCTION("""COMPUTED_VALUE"""),"")</f>
        <v/>
      </c>
      <c r="P1647" s="5" t="str">
        <f>IFERROR(__xludf.DUMMYFUNCTION("""COMPUTED_VALUE"""),"")</f>
        <v/>
      </c>
      <c r="Q1647" s="5">
        <f>IFERROR(__xludf.DUMMYFUNCTION("""COMPUTED_VALUE"""),0.006685111111111111)</f>
        <v>0.006685111111</v>
      </c>
      <c r="R1647" s="4">
        <f>IFERROR(__xludf.DUMMYFUNCTION("""COMPUTED_VALUE"""),45949.033425550544)</f>
        <v>45949.03343</v>
      </c>
      <c r="S1647" s="1" t="b">
        <f>IFERROR(__xludf.DUMMYFUNCTION("""COMPUTED_VALUE"""),TRUE)</f>
        <v>1</v>
      </c>
      <c r="T1647" s="1" t="b">
        <f>IFERROR(__xludf.DUMMYFUNCTION("""COMPUTED_VALUE"""),FALSE)</f>
        <v>0</v>
      </c>
      <c r="U1647" s="1" t="str">
        <f>IFERROR(__xludf.DUMMYFUNCTION("""COMPUTED_VALUE"""),"VALID")</f>
        <v>VALID</v>
      </c>
      <c r="V1647" s="1">
        <f>IFERROR(__xludf.DUMMYFUNCTION("""COMPUTED_VALUE"""),137.0)</f>
        <v>137</v>
      </c>
      <c r="W1647" s="1">
        <f>IFERROR(__xludf.DUMMYFUNCTION("""COMPUTED_VALUE"""),802.0)</f>
        <v>802</v>
      </c>
      <c r="X1647" s="1">
        <f>IFERROR(__xludf.DUMMYFUNCTION("""COMPUTED_VALUE"""),171.0)</f>
        <v>171</v>
      </c>
      <c r="Y1647" s="2"/>
      <c r="Z1647" s="2"/>
    </row>
    <row r="1648">
      <c r="A1648" s="1">
        <f>IFERROR(__xludf.DUMMYFUNCTION("""COMPUTED_VALUE"""),1647.0)</f>
        <v>1647</v>
      </c>
      <c r="B1648" s="1">
        <f>IFERROR(__xludf.DUMMYFUNCTION("""COMPUTED_VALUE"""),6565.0)</f>
        <v>6565</v>
      </c>
      <c r="C1648" s="2" t="str">
        <f>IFERROR(__xludf.DUMMYFUNCTION("""COMPUTED_VALUE"""),"Aristanti Yunita SY")</f>
        <v>Aristanti Yunita SY</v>
      </c>
      <c r="D1648" s="2" t="str">
        <f>IFERROR(__xludf.DUMMYFUNCTION("""COMPUTED_VALUE"""),"5KM OVERALL F")</f>
        <v>5KM OVERALL F</v>
      </c>
      <c r="E1648" s="1">
        <f>IFERROR(__xludf.DUMMYFUNCTION("""COMPUTED_VALUE"""),2.0)</f>
        <v>2</v>
      </c>
      <c r="F1648" s="1" t="str">
        <f>IFERROR(__xludf.DUMMYFUNCTION("""COMPUTED_VALUE"""),"Female")</f>
        <v>Female</v>
      </c>
      <c r="G1648" s="4" t="b">
        <f>IFERROR(__xludf.DUMMYFUNCTION("""COMPUTED_VALUE"""),TRUE)</f>
        <v>1</v>
      </c>
      <c r="H1648" s="4" t="b">
        <f>IFERROR(__xludf.DUMMYFUNCTION("""COMPUTED_VALUE"""),FALSE)</f>
        <v>0</v>
      </c>
      <c r="I1648" s="4">
        <f>IFERROR(__xludf.DUMMYFUNCTION("""COMPUTED_VALUE"""),0.2549440625)</f>
        <v>0.2549440625</v>
      </c>
      <c r="J1648" s="4">
        <f>IFERROR(__xludf.DUMMYFUNCTION("""COMPUTED_VALUE"""),45949.27317334456)</f>
        <v>45949.27317</v>
      </c>
      <c r="K1648" s="4" t="str">
        <f>IFERROR(__xludf.DUMMYFUNCTION("""COMPUTED_VALUE"""),"")</f>
        <v/>
      </c>
      <c r="L1648" s="4">
        <f>IFERROR(__xludf.DUMMYFUNCTION("""COMPUTED_VALUE"""),45949.286275814964)</f>
        <v>45949.28628</v>
      </c>
      <c r="M1648" s="1" t="str">
        <f>IFERROR(__xludf.DUMMYFUNCTION("""COMPUTED_VALUE"""),"RFID")</f>
        <v>RFID</v>
      </c>
      <c r="N1648" s="5">
        <f>IFERROR(__xludf.DUMMYFUNCTION("""COMPUTED_VALUE"""),0.0072917129629629625)</f>
        <v>0.007291712963</v>
      </c>
      <c r="O1648" s="5" t="str">
        <f>IFERROR(__xludf.DUMMYFUNCTION("""COMPUTED_VALUE"""),"")</f>
        <v/>
      </c>
      <c r="P1648" s="5" t="str">
        <f>IFERROR(__xludf.DUMMYFUNCTION("""COMPUTED_VALUE"""),"")</f>
        <v/>
      </c>
      <c r="Q1648" s="5">
        <f>IFERROR(__xludf.DUMMYFUNCTION("""COMPUTED_VALUE"""),0.006266349537037037)</f>
        <v>0.006266349537</v>
      </c>
      <c r="R1648" s="4">
        <f>IFERROR(__xludf.DUMMYFUNCTION("""COMPUTED_VALUE"""),45949.03133175246)</f>
        <v>45949.03133</v>
      </c>
      <c r="S1648" s="1" t="b">
        <f>IFERROR(__xludf.DUMMYFUNCTION("""COMPUTED_VALUE"""),TRUE)</f>
        <v>1</v>
      </c>
      <c r="T1648" s="1" t="b">
        <f>IFERROR(__xludf.DUMMYFUNCTION("""COMPUTED_VALUE"""),FALSE)</f>
        <v>0</v>
      </c>
      <c r="U1648" s="1" t="str">
        <f>IFERROR(__xludf.DUMMYFUNCTION("""COMPUTED_VALUE"""),"VALID")</f>
        <v>VALID</v>
      </c>
      <c r="V1648" s="1">
        <f>IFERROR(__xludf.DUMMYFUNCTION("""COMPUTED_VALUE"""),96.0)</f>
        <v>96</v>
      </c>
      <c r="W1648" s="1">
        <f>IFERROR(__xludf.DUMMYFUNCTION("""COMPUTED_VALUE"""),650.0)</f>
        <v>650</v>
      </c>
      <c r="X1648" s="1">
        <f>IFERROR(__xludf.DUMMYFUNCTION("""COMPUTED_VALUE"""),123.0)</f>
        <v>123</v>
      </c>
      <c r="Y1648" s="2"/>
      <c r="Z1648" s="2"/>
    </row>
    <row r="1649">
      <c r="A1649" s="1">
        <f>IFERROR(__xludf.DUMMYFUNCTION("""COMPUTED_VALUE"""),1648.0)</f>
        <v>1648</v>
      </c>
      <c r="B1649" s="1">
        <f>IFERROR(__xludf.DUMMYFUNCTION("""COMPUTED_VALUE"""),6569.0)</f>
        <v>6569</v>
      </c>
      <c r="C1649" s="2" t="str">
        <f>IFERROR(__xludf.DUMMYFUNCTION("""COMPUTED_VALUE"""),"Marini Indah Sari")</f>
        <v>Marini Indah Sari</v>
      </c>
      <c r="D1649" s="2" t="str">
        <f>IFERROR(__xludf.DUMMYFUNCTION("""COMPUTED_VALUE"""),"5KM OVERALL F")</f>
        <v>5KM OVERALL F</v>
      </c>
      <c r="E1649" s="1">
        <f>IFERROR(__xludf.DUMMYFUNCTION("""COMPUTED_VALUE"""),2.0)</f>
        <v>2</v>
      </c>
      <c r="F1649" s="1" t="str">
        <f>IFERROR(__xludf.DUMMYFUNCTION("""COMPUTED_VALUE"""),"Female")</f>
        <v>Female</v>
      </c>
      <c r="G1649" s="4" t="b">
        <f>IFERROR(__xludf.DUMMYFUNCTION("""COMPUTED_VALUE"""),TRUE)</f>
        <v>1</v>
      </c>
      <c r="H1649" s="4" t="b">
        <f>IFERROR(__xludf.DUMMYFUNCTION("""COMPUTED_VALUE"""),TRUE)</f>
        <v>1</v>
      </c>
      <c r="I1649" s="4">
        <f>IFERROR(__xludf.DUMMYFUNCTION("""COMPUTED_VALUE"""),0.2549440625)</f>
        <v>0.2549440625</v>
      </c>
      <c r="J1649" s="4">
        <f>IFERROR(__xludf.DUMMYFUNCTION("""COMPUTED_VALUE"""),45949.27387043557)</f>
        <v>45949.27387</v>
      </c>
      <c r="K1649" s="4" t="str">
        <f>IFERROR(__xludf.DUMMYFUNCTION("""COMPUTED_VALUE"""),"")</f>
        <v/>
      </c>
      <c r="L1649" s="4">
        <f>IFERROR(__xludf.DUMMYFUNCTION("""COMPUTED_VALUE"""),45949.2865640597)</f>
        <v>45949.28656</v>
      </c>
      <c r="M1649" s="1" t="str">
        <f>IFERROR(__xludf.DUMMYFUNCTION("""COMPUTED_VALUE"""),"RFID")</f>
        <v>RFID</v>
      </c>
      <c r="N1649" s="5">
        <f>IFERROR(__xludf.DUMMYFUNCTION("""COMPUTED_VALUE"""),0.007570550925925926)</f>
        <v>0.007570550926</v>
      </c>
      <c r="O1649" s="5" t="str">
        <f>IFERROR(__xludf.DUMMYFUNCTION("""COMPUTED_VALUE"""),"")</f>
        <v/>
      </c>
      <c r="P1649" s="5" t="str">
        <f>IFERROR(__xludf.DUMMYFUNCTION("""COMPUTED_VALUE"""),"")</f>
        <v/>
      </c>
      <c r="Q1649" s="5">
        <f>IFERROR(__xludf.DUMMYFUNCTION("""COMPUTED_VALUE"""),0.006323999999999999)</f>
        <v>0.006324</v>
      </c>
      <c r="R1649" s="4">
        <f>IFERROR(__xludf.DUMMYFUNCTION("""COMPUTED_VALUE"""),45949.0316199972)</f>
        <v>45949.03162</v>
      </c>
      <c r="S1649" s="1" t="b">
        <f>IFERROR(__xludf.DUMMYFUNCTION("""COMPUTED_VALUE"""),TRUE)</f>
        <v>1</v>
      </c>
      <c r="T1649" s="1" t="b">
        <f>IFERROR(__xludf.DUMMYFUNCTION("""COMPUTED_VALUE"""),FALSE)</f>
        <v>0</v>
      </c>
      <c r="U1649" s="1" t="str">
        <f>IFERROR(__xludf.DUMMYFUNCTION("""COMPUTED_VALUE"""),"VALID")</f>
        <v>VALID</v>
      </c>
      <c r="V1649" s="1">
        <f>IFERROR(__xludf.DUMMYFUNCTION("""COMPUTED_VALUE"""),104.0)</f>
        <v>104</v>
      </c>
      <c r="W1649" s="1">
        <f>IFERROR(__xludf.DUMMYFUNCTION("""COMPUTED_VALUE"""),674.0)</f>
        <v>674</v>
      </c>
      <c r="X1649" s="1">
        <f>IFERROR(__xludf.DUMMYFUNCTION("""COMPUTED_VALUE"""),131.0)</f>
        <v>131</v>
      </c>
      <c r="Y1649" s="2"/>
      <c r="Z1649" s="2"/>
    </row>
    <row r="1650">
      <c r="A1650" s="1">
        <f>IFERROR(__xludf.DUMMYFUNCTION("""COMPUTED_VALUE"""),1649.0)</f>
        <v>1649</v>
      </c>
      <c r="B1650" s="1">
        <f>IFERROR(__xludf.DUMMYFUNCTION("""COMPUTED_VALUE"""),6572.0)</f>
        <v>6572</v>
      </c>
      <c r="C1650" s="2" t="str">
        <f>IFERROR(__xludf.DUMMYFUNCTION("""COMPUTED_VALUE"""),"Noor Latifah")</f>
        <v>Noor Latifah</v>
      </c>
      <c r="D1650" s="2" t="str">
        <f>IFERROR(__xludf.DUMMYFUNCTION("""COMPUTED_VALUE"""),"5KM OVERALL F")</f>
        <v>5KM OVERALL F</v>
      </c>
      <c r="E1650" s="1">
        <f>IFERROR(__xludf.DUMMYFUNCTION("""COMPUTED_VALUE"""),2.0)</f>
        <v>2</v>
      </c>
      <c r="F1650" s="1" t="str">
        <f>IFERROR(__xludf.DUMMYFUNCTION("""COMPUTED_VALUE"""),"Female")</f>
        <v>Female</v>
      </c>
      <c r="G1650" s="4" t="str">
        <f>IFERROR(__xludf.DUMMYFUNCTION("""COMPUTED_VALUE"""),"")</f>
        <v/>
      </c>
      <c r="H1650" s="4" t="b">
        <f>IFERROR(__xludf.DUMMYFUNCTION("""COMPUTED_VALUE"""),FALSE)</f>
        <v>0</v>
      </c>
      <c r="I1650" s="4">
        <f>IFERROR(__xludf.DUMMYFUNCTION("""COMPUTED_VALUE"""),0.2549440625)</f>
        <v>0.2549440625</v>
      </c>
      <c r="J1650" s="4" t="str">
        <f>IFERROR(__xludf.DUMMYFUNCTION("""COMPUTED_VALUE"""),"")</f>
        <v/>
      </c>
      <c r="K1650" s="4" t="str">
        <f>IFERROR(__xludf.DUMMYFUNCTION("""COMPUTED_VALUE"""),"")</f>
        <v/>
      </c>
      <c r="L1650" s="4" t="str">
        <f>IFERROR(__xludf.DUMMYFUNCTION("""COMPUTED_VALUE"""),"")</f>
        <v/>
      </c>
      <c r="M1650" s="1" t="str">
        <f>IFERROR(__xludf.DUMMYFUNCTION("""COMPUTED_VALUE"""),"RFID")</f>
        <v>RFID</v>
      </c>
      <c r="N1650" s="5" t="str">
        <f>IFERROR(__xludf.DUMMYFUNCTION("""COMPUTED_VALUE"""),"")</f>
        <v/>
      </c>
      <c r="O1650" s="5" t="str">
        <f>IFERROR(__xludf.DUMMYFUNCTION("""COMPUTED_VALUE"""),"")</f>
        <v/>
      </c>
      <c r="P1650" s="5" t="str">
        <f>IFERROR(__xludf.DUMMYFUNCTION("""COMPUTED_VALUE"""),"")</f>
        <v/>
      </c>
      <c r="Q1650" s="5" t="str">
        <f>IFERROR(__xludf.DUMMYFUNCTION("""COMPUTED_VALUE"""),"")</f>
        <v/>
      </c>
      <c r="R1650" s="4" t="str">
        <f>IFERROR(__xludf.DUMMYFUNCTION("""COMPUTED_VALUE"""),"")</f>
        <v/>
      </c>
      <c r="S1650" s="1" t="b">
        <f>IFERROR(__xludf.DUMMYFUNCTION("""COMPUTED_VALUE"""),FALSE)</f>
        <v>0</v>
      </c>
      <c r="T1650" s="1" t="b">
        <f>IFERROR(__xludf.DUMMYFUNCTION("""COMPUTED_VALUE"""),FALSE)</f>
        <v>0</v>
      </c>
      <c r="U1650" s="1" t="str">
        <f>IFERROR(__xludf.DUMMYFUNCTION("""COMPUTED_VALUE"""),"DSQ")</f>
        <v>DSQ</v>
      </c>
      <c r="V1650" s="1" t="str">
        <f>IFERROR(__xludf.DUMMYFUNCTION("""COMPUTED_VALUE"""),"DSQ")</f>
        <v>DSQ</v>
      </c>
      <c r="W1650" s="1" t="str">
        <f>IFERROR(__xludf.DUMMYFUNCTION("""COMPUTED_VALUE"""),"DSQ")</f>
        <v>DSQ</v>
      </c>
      <c r="X1650" s="1" t="str">
        <f>IFERROR(__xludf.DUMMYFUNCTION("""COMPUTED_VALUE"""),"DSQ")</f>
        <v>DSQ</v>
      </c>
      <c r="Y1650" s="2"/>
      <c r="Z1650" s="2" t="str">
        <f>IFERROR(__xludf.DUMMYFUNCTION("""COMPUTED_VALUE"""),"")</f>
        <v/>
      </c>
    </row>
    <row r="1651">
      <c r="A1651" s="1">
        <f>IFERROR(__xludf.DUMMYFUNCTION("""COMPUTED_VALUE"""),1650.0)</f>
        <v>1650</v>
      </c>
      <c r="B1651" s="1">
        <f>IFERROR(__xludf.DUMMYFUNCTION("""COMPUTED_VALUE"""),6573.0)</f>
        <v>6573</v>
      </c>
      <c r="C1651" s="2" t="str">
        <f>IFERROR(__xludf.DUMMYFUNCTION("""COMPUTED_VALUE"""),"Salsa")</f>
        <v>Salsa</v>
      </c>
      <c r="D1651" s="2" t="str">
        <f>IFERROR(__xludf.DUMMYFUNCTION("""COMPUTED_VALUE"""),"5KM OVERALL F")</f>
        <v>5KM OVERALL F</v>
      </c>
      <c r="E1651" s="1">
        <f>IFERROR(__xludf.DUMMYFUNCTION("""COMPUTED_VALUE"""),2.0)</f>
        <v>2</v>
      </c>
      <c r="F1651" s="1" t="str">
        <f>IFERROR(__xludf.DUMMYFUNCTION("""COMPUTED_VALUE"""),"Female")</f>
        <v>Female</v>
      </c>
      <c r="G1651" s="4" t="b">
        <f>IFERROR(__xludf.DUMMYFUNCTION("""COMPUTED_VALUE"""),TRUE)</f>
        <v>1</v>
      </c>
      <c r="H1651" s="4" t="b">
        <f>IFERROR(__xludf.DUMMYFUNCTION("""COMPUTED_VALUE"""),TRUE)</f>
        <v>1</v>
      </c>
      <c r="I1651" s="4">
        <f>IFERROR(__xludf.DUMMYFUNCTION("""COMPUTED_VALUE"""),0.2549440625)</f>
        <v>0.2549440625</v>
      </c>
      <c r="J1651" s="4">
        <f>IFERROR(__xludf.DUMMYFUNCTION("""COMPUTED_VALUE"""),45949.27625932684)</f>
        <v>45949.27626</v>
      </c>
      <c r="K1651" s="4" t="str">
        <f>IFERROR(__xludf.DUMMYFUNCTION("""COMPUTED_VALUE"""),"")</f>
        <v/>
      </c>
      <c r="L1651" s="4">
        <f>IFERROR(__xludf.DUMMYFUNCTION("""COMPUTED_VALUE"""),45949.29031406994)</f>
        <v>45949.29031</v>
      </c>
      <c r="M1651" s="1" t="str">
        <f>IFERROR(__xludf.DUMMYFUNCTION("""COMPUTED_VALUE"""),"RFID")</f>
        <v>RFID</v>
      </c>
      <c r="N1651" s="5">
        <f>IFERROR(__xludf.DUMMYFUNCTION("""COMPUTED_VALUE"""),0.008526106481481482)</f>
        <v>0.008526106481</v>
      </c>
      <c r="O1651" s="5" t="str">
        <f>IFERROR(__xludf.DUMMYFUNCTION("""COMPUTED_VALUE"""),"")</f>
        <v/>
      </c>
      <c r="P1651" s="5" t="str">
        <f>IFERROR(__xludf.DUMMYFUNCTION("""COMPUTED_VALUE"""),"")</f>
        <v/>
      </c>
      <c r="Q1651" s="5">
        <f>IFERROR(__xludf.DUMMYFUNCTION("""COMPUTED_VALUE"""),0.007074002314814814)</f>
        <v>0.007074002315</v>
      </c>
      <c r="R1651" s="4">
        <f>IFERROR(__xludf.DUMMYFUNCTION("""COMPUTED_VALUE"""),45949.03537000744)</f>
        <v>45949.03537</v>
      </c>
      <c r="S1651" s="1" t="b">
        <f>IFERROR(__xludf.DUMMYFUNCTION("""COMPUTED_VALUE"""),TRUE)</f>
        <v>1</v>
      </c>
      <c r="T1651" s="1" t="b">
        <f>IFERROR(__xludf.DUMMYFUNCTION("""COMPUTED_VALUE"""),FALSE)</f>
        <v>0</v>
      </c>
      <c r="U1651" s="1" t="str">
        <f>IFERROR(__xludf.DUMMYFUNCTION("""COMPUTED_VALUE"""),"VALID")</f>
        <v>VALID</v>
      </c>
      <c r="V1651" s="1">
        <f>IFERROR(__xludf.DUMMYFUNCTION("""COMPUTED_VALUE"""),168.0)</f>
        <v>168</v>
      </c>
      <c r="W1651" s="1">
        <f>IFERROR(__xludf.DUMMYFUNCTION("""COMPUTED_VALUE"""),907.0)</f>
        <v>907</v>
      </c>
      <c r="X1651" s="1">
        <f>IFERROR(__xludf.DUMMYFUNCTION("""COMPUTED_VALUE"""),210.0)</f>
        <v>210</v>
      </c>
      <c r="Y1651" s="2"/>
      <c r="Z1651" s="2"/>
    </row>
    <row r="1652">
      <c r="A1652" s="1">
        <f>IFERROR(__xludf.DUMMYFUNCTION("""COMPUTED_VALUE"""),1651.0)</f>
        <v>1651</v>
      </c>
      <c r="B1652" s="1">
        <f>IFERROR(__xludf.DUMMYFUNCTION("""COMPUTED_VALUE"""),6574.0)</f>
        <v>6574</v>
      </c>
      <c r="C1652" s="2" t="str">
        <f>IFERROR(__xludf.DUMMYFUNCTION("""COMPUTED_VALUE"""),"Atilla Nomka")</f>
        <v>Atilla Nomka</v>
      </c>
      <c r="D1652" s="2" t="str">
        <f>IFERROR(__xludf.DUMMYFUNCTION("""COMPUTED_VALUE"""),"5KM OVERALL F")</f>
        <v>5KM OVERALL F</v>
      </c>
      <c r="E1652" s="1">
        <f>IFERROR(__xludf.DUMMYFUNCTION("""COMPUTED_VALUE"""),2.0)</f>
        <v>2</v>
      </c>
      <c r="F1652" s="1" t="str">
        <f>IFERROR(__xludf.DUMMYFUNCTION("""COMPUTED_VALUE"""),"Female")</f>
        <v>Female</v>
      </c>
      <c r="G1652" s="4" t="b">
        <f>IFERROR(__xludf.DUMMYFUNCTION("""COMPUTED_VALUE"""),TRUE)</f>
        <v>1</v>
      </c>
      <c r="H1652" s="4" t="b">
        <f>IFERROR(__xludf.DUMMYFUNCTION("""COMPUTED_VALUE"""),FALSE)</f>
        <v>0</v>
      </c>
      <c r="I1652" s="4">
        <f>IFERROR(__xludf.DUMMYFUNCTION("""COMPUTED_VALUE"""),0.2549440625)</f>
        <v>0.2549440625</v>
      </c>
      <c r="J1652" s="4">
        <f>IFERROR(__xludf.DUMMYFUNCTION("""COMPUTED_VALUE"""),45949.27108919837)</f>
        <v>45949.27109</v>
      </c>
      <c r="K1652" s="4" t="str">
        <f>IFERROR(__xludf.DUMMYFUNCTION("""COMPUTED_VALUE"""),"")</f>
        <v/>
      </c>
      <c r="L1652" s="4">
        <f>IFERROR(__xludf.DUMMYFUNCTION("""COMPUTED_VALUE"""),45949.281425172674)</f>
        <v>45949.28143</v>
      </c>
      <c r="M1652" s="1" t="str">
        <f>IFERROR(__xludf.DUMMYFUNCTION("""COMPUTED_VALUE"""),"RFID")</f>
        <v>RFID</v>
      </c>
      <c r="N1652" s="5">
        <f>IFERROR(__xludf.DUMMYFUNCTION("""COMPUTED_VALUE"""),0.006458055555555555)</f>
        <v>0.006458055556</v>
      </c>
      <c r="O1652" s="5" t="str">
        <f>IFERROR(__xludf.DUMMYFUNCTION("""COMPUTED_VALUE"""),"")</f>
        <v/>
      </c>
      <c r="P1652" s="5" t="str">
        <f>IFERROR(__xludf.DUMMYFUNCTION("""COMPUTED_VALUE"""),"")</f>
        <v/>
      </c>
      <c r="Q1652" s="5">
        <f>IFERROR(__xludf.DUMMYFUNCTION("""COMPUTED_VALUE"""),0.005296222222222221)</f>
        <v>0.005296222222</v>
      </c>
      <c r="R1652" s="4">
        <f>IFERROR(__xludf.DUMMYFUNCTION("""COMPUTED_VALUE"""),45949.02648111017)</f>
        <v>45949.02648</v>
      </c>
      <c r="S1652" s="1" t="b">
        <f>IFERROR(__xludf.DUMMYFUNCTION("""COMPUTED_VALUE"""),TRUE)</f>
        <v>1</v>
      </c>
      <c r="T1652" s="1" t="b">
        <f>IFERROR(__xludf.DUMMYFUNCTION("""COMPUTED_VALUE"""),FALSE)</f>
        <v>0</v>
      </c>
      <c r="U1652" s="1" t="str">
        <f>IFERROR(__xludf.DUMMYFUNCTION("""COMPUTED_VALUE"""),"VALID")</f>
        <v>VALID</v>
      </c>
      <c r="V1652" s="1">
        <f>IFERROR(__xludf.DUMMYFUNCTION("""COMPUTED_VALUE"""),32.0)</f>
        <v>32</v>
      </c>
      <c r="W1652" s="1">
        <f>IFERROR(__xludf.DUMMYFUNCTION("""COMPUTED_VALUE"""),360.0)</f>
        <v>360</v>
      </c>
      <c r="X1652" s="1">
        <f>IFERROR(__xludf.DUMMYFUNCTION("""COMPUTED_VALUE"""),50.0)</f>
        <v>50</v>
      </c>
      <c r="Y1652" s="2"/>
      <c r="Z1652" s="2"/>
    </row>
    <row r="1653">
      <c r="A1653" s="1">
        <f>IFERROR(__xludf.DUMMYFUNCTION("""COMPUTED_VALUE"""),1652.0)</f>
        <v>1652</v>
      </c>
      <c r="B1653" s="1">
        <f>IFERROR(__xludf.DUMMYFUNCTION("""COMPUTED_VALUE"""),6576.0)</f>
        <v>6576</v>
      </c>
      <c r="C1653" s="2" t="str">
        <f>IFERROR(__xludf.DUMMYFUNCTION("""COMPUTED_VALUE"""),"Khusnul Khotimah")</f>
        <v>Khusnul Khotimah</v>
      </c>
      <c r="D1653" s="2" t="str">
        <f>IFERROR(__xludf.DUMMYFUNCTION("""COMPUTED_VALUE"""),"5KM OVERALL F")</f>
        <v>5KM OVERALL F</v>
      </c>
      <c r="E1653" s="1">
        <f>IFERROR(__xludf.DUMMYFUNCTION("""COMPUTED_VALUE"""),2.0)</f>
        <v>2</v>
      </c>
      <c r="F1653" s="1" t="str">
        <f>IFERROR(__xludf.DUMMYFUNCTION("""COMPUTED_VALUE"""),"Female")</f>
        <v>Female</v>
      </c>
      <c r="G1653" s="4" t="b">
        <f>IFERROR(__xludf.DUMMYFUNCTION("""COMPUTED_VALUE"""),TRUE)</f>
        <v>1</v>
      </c>
      <c r="H1653" s="4" t="b">
        <f>IFERROR(__xludf.DUMMYFUNCTION("""COMPUTED_VALUE"""),TRUE)</f>
        <v>1</v>
      </c>
      <c r="I1653" s="4">
        <f>IFERROR(__xludf.DUMMYFUNCTION("""COMPUTED_VALUE"""),0.2549440625)</f>
        <v>0.2549440625</v>
      </c>
      <c r="J1653" s="4">
        <f>IFERROR(__xludf.DUMMYFUNCTION("""COMPUTED_VALUE"""),45949.27728017167)</f>
        <v>45949.27728</v>
      </c>
      <c r="K1653" s="4" t="str">
        <f>IFERROR(__xludf.DUMMYFUNCTION("""COMPUTED_VALUE"""),"")</f>
        <v/>
      </c>
      <c r="L1653" s="4">
        <f>IFERROR(__xludf.DUMMYFUNCTION("""COMPUTED_VALUE"""),45949.29322379551)</f>
        <v>45949.29322</v>
      </c>
      <c r="M1653" s="1" t="str">
        <f>IFERROR(__xludf.DUMMYFUNCTION("""COMPUTED_VALUE"""),"RFID")</f>
        <v>RFID</v>
      </c>
      <c r="N1653" s="5">
        <f>IFERROR(__xludf.DUMMYFUNCTION("""COMPUTED_VALUE"""),0.008934444444444443)</f>
        <v>0.008934444444</v>
      </c>
      <c r="O1653" s="5" t="str">
        <f>IFERROR(__xludf.DUMMYFUNCTION("""COMPUTED_VALUE"""),"")</f>
        <v/>
      </c>
      <c r="P1653" s="5" t="str">
        <f>IFERROR(__xludf.DUMMYFUNCTION("""COMPUTED_VALUE"""),"")</f>
        <v/>
      </c>
      <c r="Q1653" s="5">
        <f>IFERROR(__xludf.DUMMYFUNCTION("""COMPUTED_VALUE"""),0.007655946759259259)</f>
        <v>0.007655946759</v>
      </c>
      <c r="R1653" s="4">
        <f>IFERROR(__xludf.DUMMYFUNCTION("""COMPUTED_VALUE"""),45949.03827973301)</f>
        <v>45949.03828</v>
      </c>
      <c r="S1653" s="1" t="b">
        <f>IFERROR(__xludf.DUMMYFUNCTION("""COMPUTED_VALUE"""),TRUE)</f>
        <v>1</v>
      </c>
      <c r="T1653" s="1" t="b">
        <f>IFERROR(__xludf.DUMMYFUNCTION("""COMPUTED_VALUE"""),FALSE)</f>
        <v>0</v>
      </c>
      <c r="U1653" s="1" t="str">
        <f>IFERROR(__xludf.DUMMYFUNCTION("""COMPUTED_VALUE"""),"VALID")</f>
        <v>VALID</v>
      </c>
      <c r="V1653" s="1">
        <f>IFERROR(__xludf.DUMMYFUNCTION("""COMPUTED_VALUE"""),261.0)</f>
        <v>261</v>
      </c>
      <c r="W1653" s="1">
        <f>IFERROR(__xludf.DUMMYFUNCTION("""COMPUTED_VALUE"""),1122.0)</f>
        <v>1122</v>
      </c>
      <c r="X1653" s="1">
        <f>IFERROR(__xludf.DUMMYFUNCTION("""COMPUTED_VALUE"""),319.0)</f>
        <v>319</v>
      </c>
      <c r="Y1653" s="2"/>
      <c r="Z1653" s="2"/>
    </row>
    <row r="1654">
      <c r="A1654" s="1">
        <f>IFERROR(__xludf.DUMMYFUNCTION("""COMPUTED_VALUE"""),1653.0)</f>
        <v>1653</v>
      </c>
      <c r="B1654" s="1">
        <f>IFERROR(__xludf.DUMMYFUNCTION("""COMPUTED_VALUE"""),6580.0)</f>
        <v>6580</v>
      </c>
      <c r="C1654" s="2" t="str">
        <f>IFERROR(__xludf.DUMMYFUNCTION("""COMPUTED_VALUE"""),"Sri Wahyuni")</f>
        <v>Sri Wahyuni</v>
      </c>
      <c r="D1654" s="2" t="str">
        <f>IFERROR(__xludf.DUMMYFUNCTION("""COMPUTED_VALUE"""),"5KM OVERALL F")</f>
        <v>5KM OVERALL F</v>
      </c>
      <c r="E1654" s="1">
        <f>IFERROR(__xludf.DUMMYFUNCTION("""COMPUTED_VALUE"""),2.0)</f>
        <v>2</v>
      </c>
      <c r="F1654" s="1" t="str">
        <f>IFERROR(__xludf.DUMMYFUNCTION("""COMPUTED_VALUE"""),"Female")</f>
        <v>Female</v>
      </c>
      <c r="G1654" s="4" t="b">
        <f>IFERROR(__xludf.DUMMYFUNCTION("""COMPUTED_VALUE"""),TRUE)</f>
        <v>1</v>
      </c>
      <c r="H1654" s="4" t="b">
        <f>IFERROR(__xludf.DUMMYFUNCTION("""COMPUTED_VALUE"""),TRUE)</f>
        <v>1</v>
      </c>
      <c r="I1654" s="4">
        <f>IFERROR(__xludf.DUMMYFUNCTION("""COMPUTED_VALUE"""),0.2549440625)</f>
        <v>0.2549440625</v>
      </c>
      <c r="J1654" s="4">
        <f>IFERROR(__xludf.DUMMYFUNCTION("""COMPUTED_VALUE"""),45949.28191211873)</f>
        <v>45949.28191</v>
      </c>
      <c r="K1654" s="4" t="str">
        <f>IFERROR(__xludf.DUMMYFUNCTION("""COMPUTED_VALUE"""),"")</f>
        <v/>
      </c>
      <c r="L1654" s="4">
        <f>IFERROR(__xludf.DUMMYFUNCTION("""COMPUTED_VALUE"""),45949.29927314574)</f>
        <v>45949.29927</v>
      </c>
      <c r="M1654" s="1" t="str">
        <f>IFERROR(__xludf.DUMMYFUNCTION("""COMPUTED_VALUE"""),"RFID")</f>
        <v>RFID</v>
      </c>
      <c r="N1654" s="5">
        <f>IFERROR(__xludf.DUMMYFUNCTION("""COMPUTED_VALUE"""),0.010787222222222222)</f>
        <v>0.01078722222</v>
      </c>
      <c r="O1654" s="5" t="str">
        <f>IFERROR(__xludf.DUMMYFUNCTION("""COMPUTED_VALUE"""),"")</f>
        <v/>
      </c>
      <c r="P1654" s="5" t="str">
        <f>IFERROR(__xludf.DUMMYFUNCTION("""COMPUTED_VALUE"""),"")</f>
        <v/>
      </c>
      <c r="Q1654" s="5">
        <f>IFERROR(__xludf.DUMMYFUNCTION("""COMPUTED_VALUE"""),0.00886581712962963)</f>
        <v>0.00886581713</v>
      </c>
      <c r="R1654" s="4">
        <f>IFERROR(__xludf.DUMMYFUNCTION("""COMPUTED_VALUE"""),45949.04432908324)</f>
        <v>45949.04433</v>
      </c>
      <c r="S1654" s="1" t="b">
        <f>IFERROR(__xludf.DUMMYFUNCTION("""COMPUTED_VALUE"""),TRUE)</f>
        <v>1</v>
      </c>
      <c r="T1654" s="1" t="b">
        <f>IFERROR(__xludf.DUMMYFUNCTION("""COMPUTED_VALUE"""),FALSE)</f>
        <v>0</v>
      </c>
      <c r="U1654" s="1" t="str">
        <f>IFERROR(__xludf.DUMMYFUNCTION("""COMPUTED_VALUE"""),"VALID")</f>
        <v>VALID</v>
      </c>
      <c r="V1654" s="1">
        <f>IFERROR(__xludf.DUMMYFUNCTION("""COMPUTED_VALUE"""),402.0)</f>
        <v>402</v>
      </c>
      <c r="W1654" s="1">
        <f>IFERROR(__xludf.DUMMYFUNCTION("""COMPUTED_VALUE"""),1420.0)</f>
        <v>1420</v>
      </c>
      <c r="X1654" s="1">
        <f>IFERROR(__xludf.DUMMYFUNCTION("""COMPUTED_VALUE"""),491.0)</f>
        <v>491</v>
      </c>
      <c r="Y1654" s="2"/>
      <c r="Z1654" s="2"/>
    </row>
    <row r="1655">
      <c r="A1655" s="1">
        <f>IFERROR(__xludf.DUMMYFUNCTION("""COMPUTED_VALUE"""),1654.0)</f>
        <v>1654</v>
      </c>
      <c r="B1655" s="1">
        <f>IFERROR(__xludf.DUMMYFUNCTION("""COMPUTED_VALUE"""),6591.0)</f>
        <v>6591</v>
      </c>
      <c r="C1655" s="2" t="str">
        <f>IFERROR(__xludf.DUMMYFUNCTION("""COMPUTED_VALUE"""),"PACER - INTAN")</f>
        <v>PACER - INTAN</v>
      </c>
      <c r="D1655" s="2" t="str">
        <f>IFERROR(__xludf.DUMMYFUNCTION("""COMPUTED_VALUE"""),"5KM OVERALL F")</f>
        <v>5KM OVERALL F</v>
      </c>
      <c r="E1655" s="1">
        <f>IFERROR(__xludf.DUMMYFUNCTION("""COMPUTED_VALUE"""),2.0)</f>
        <v>2</v>
      </c>
      <c r="F1655" s="1" t="str">
        <f>IFERROR(__xludf.DUMMYFUNCTION("""COMPUTED_VALUE"""),"Female")</f>
        <v>Female</v>
      </c>
      <c r="G1655" s="4" t="b">
        <f>IFERROR(__xludf.DUMMYFUNCTION("""COMPUTED_VALUE"""),TRUE)</f>
        <v>1</v>
      </c>
      <c r="H1655" s="4" t="b">
        <f>IFERROR(__xludf.DUMMYFUNCTION("""COMPUTED_VALUE"""),TRUE)</f>
        <v>1</v>
      </c>
      <c r="I1655" s="4">
        <f>IFERROR(__xludf.DUMMYFUNCTION("""COMPUTED_VALUE"""),0.2549440625)</f>
        <v>0.2549440625</v>
      </c>
      <c r="J1655" s="4">
        <f>IFERROR(__xludf.DUMMYFUNCTION("""COMPUTED_VALUE"""),45949.27187739542)</f>
        <v>45949.27188</v>
      </c>
      <c r="K1655" s="4" t="str">
        <f>IFERROR(__xludf.DUMMYFUNCTION("""COMPUTED_VALUE"""),"")</f>
        <v/>
      </c>
      <c r="L1655" s="4">
        <f>IFERROR(__xludf.DUMMYFUNCTION("""COMPUTED_VALUE"""),45949.28447030909)</f>
        <v>45949.28447</v>
      </c>
      <c r="M1655" s="1" t="str">
        <f>IFERROR(__xludf.DUMMYFUNCTION("""COMPUTED_VALUE"""),"RFID")</f>
        <v>RFID</v>
      </c>
      <c r="N1655" s="5">
        <f>IFERROR(__xludf.DUMMYFUNCTION("""COMPUTED_VALUE"""),0.006773333333333333)</f>
        <v>0.006773333333</v>
      </c>
      <c r="O1655" s="5" t="str">
        <f>IFERROR(__xludf.DUMMYFUNCTION("""COMPUTED_VALUE"""),"")</f>
        <v/>
      </c>
      <c r="P1655" s="5" t="str">
        <f>IFERROR(__xludf.DUMMYFUNCTION("""COMPUTED_VALUE"""),"")</f>
        <v/>
      </c>
      <c r="Q1655" s="5">
        <f>IFERROR(__xludf.DUMMYFUNCTION("""COMPUTED_VALUE"""),0.005905250000000001)</f>
        <v>0.00590525</v>
      </c>
      <c r="R1655" s="4">
        <f>IFERROR(__xludf.DUMMYFUNCTION("""COMPUTED_VALUE"""),45949.02952624659)</f>
        <v>45949.02953</v>
      </c>
      <c r="S1655" s="1" t="b">
        <f>IFERROR(__xludf.DUMMYFUNCTION("""COMPUTED_VALUE"""),TRUE)</f>
        <v>1</v>
      </c>
      <c r="T1655" s="1" t="b">
        <f>IFERROR(__xludf.DUMMYFUNCTION("""COMPUTED_VALUE"""),FALSE)</f>
        <v>0</v>
      </c>
      <c r="U1655" s="1" t="str">
        <f>IFERROR(__xludf.DUMMYFUNCTION("""COMPUTED_VALUE"""),"VALID")</f>
        <v>VALID</v>
      </c>
      <c r="V1655" s="1">
        <f>IFERROR(__xludf.DUMMYFUNCTION("""COMPUTED_VALUE"""),64.0)</f>
        <v>64</v>
      </c>
      <c r="W1655" s="1">
        <f>IFERROR(__xludf.DUMMYFUNCTION("""COMPUTED_VALUE"""),540.0)</f>
        <v>540</v>
      </c>
      <c r="X1655" s="1">
        <f>IFERROR(__xludf.DUMMYFUNCTION("""COMPUTED_VALUE"""),86.0)</f>
        <v>86</v>
      </c>
      <c r="Y1655" s="2"/>
      <c r="Z1655" s="2"/>
    </row>
    <row r="1656">
      <c r="A1656" s="1">
        <f>IFERROR(__xludf.DUMMYFUNCTION("""COMPUTED_VALUE"""),1655.0)</f>
        <v>1655</v>
      </c>
      <c r="B1656" s="1">
        <f>IFERROR(__xludf.DUMMYFUNCTION("""COMPUTED_VALUE"""),5001.0)</f>
        <v>5001</v>
      </c>
      <c r="C1656" s="2" t="str">
        <f>IFERROR(__xludf.DUMMYFUNCTION("""COMPUTED_VALUE"""),"xhims")</f>
        <v>xhims</v>
      </c>
      <c r="D1656" s="2" t="str">
        <f>IFERROR(__xludf.DUMMYFUNCTION("""COMPUTED_VALUE"""),"5KM OVERALL M")</f>
        <v>5KM OVERALL M</v>
      </c>
      <c r="E1656" s="1">
        <f>IFERROR(__xludf.DUMMYFUNCTION("""COMPUTED_VALUE"""),2.0)</f>
        <v>2</v>
      </c>
      <c r="F1656" s="1" t="str">
        <f>IFERROR(__xludf.DUMMYFUNCTION("""COMPUTED_VALUE"""),"Male")</f>
        <v>Male</v>
      </c>
      <c r="G1656" s="4" t="b">
        <f>IFERROR(__xludf.DUMMYFUNCTION("""COMPUTED_VALUE"""),TRUE)</f>
        <v>1</v>
      </c>
      <c r="H1656" s="4" t="b">
        <f>IFERROR(__xludf.DUMMYFUNCTION("""COMPUTED_VALUE"""),FALSE)</f>
        <v>0</v>
      </c>
      <c r="I1656" s="4">
        <f>IFERROR(__xludf.DUMMYFUNCTION("""COMPUTED_VALUE"""),0.2549440625)</f>
        <v>0.2549440625</v>
      </c>
      <c r="J1656" s="4">
        <f>IFERROR(__xludf.DUMMYFUNCTION("""COMPUTED_VALUE"""),45949.267443359015)</f>
        <v>45949.26744</v>
      </c>
      <c r="K1656" s="4" t="str">
        <f>IFERROR(__xludf.DUMMYFUNCTION("""COMPUTED_VALUE"""),"")</f>
        <v/>
      </c>
      <c r="L1656" s="4">
        <f>IFERROR(__xludf.DUMMYFUNCTION("""COMPUTED_VALUE"""),45949.278282828665)</f>
        <v>45949.27828</v>
      </c>
      <c r="M1656" s="1" t="str">
        <f>IFERROR(__xludf.DUMMYFUNCTION("""COMPUTED_VALUE"""),"RFID")</f>
        <v>RFID</v>
      </c>
      <c r="N1656" s="5">
        <f>IFERROR(__xludf.DUMMYFUNCTION("""COMPUTED_VALUE"""),0.004999717592592593)</f>
        <v>0.004999717593</v>
      </c>
      <c r="O1656" s="5" t="str">
        <f>IFERROR(__xludf.DUMMYFUNCTION("""COMPUTED_VALUE"""),"")</f>
        <v/>
      </c>
      <c r="P1656" s="5" t="str">
        <f>IFERROR(__xludf.DUMMYFUNCTION("""COMPUTED_VALUE"""),"")</f>
        <v/>
      </c>
      <c r="Q1656" s="5">
        <f>IFERROR(__xludf.DUMMYFUNCTION("""COMPUTED_VALUE"""),0.0046677523148148155)</f>
        <v>0.004667752315</v>
      </c>
      <c r="R1656" s="4">
        <f>IFERROR(__xludf.DUMMYFUNCTION("""COMPUTED_VALUE"""),45949.023338766165)</f>
        <v>45949.02334</v>
      </c>
      <c r="S1656" s="1" t="b">
        <f>IFERROR(__xludf.DUMMYFUNCTION("""COMPUTED_VALUE"""),TRUE)</f>
        <v>1</v>
      </c>
      <c r="T1656" s="1" t="b">
        <f>IFERROR(__xludf.DUMMYFUNCTION("""COMPUTED_VALUE"""),FALSE)</f>
        <v>0</v>
      </c>
      <c r="U1656" s="1" t="str">
        <f>IFERROR(__xludf.DUMMYFUNCTION("""COMPUTED_VALUE"""),"VALID")</f>
        <v>VALID</v>
      </c>
      <c r="V1656" s="1">
        <f>IFERROR(__xludf.DUMMYFUNCTION("""COMPUTED_VALUE"""),151.0)</f>
        <v>151</v>
      </c>
      <c r="W1656" s="1">
        <f>IFERROR(__xludf.DUMMYFUNCTION("""COMPUTED_VALUE"""),228.0)</f>
        <v>228</v>
      </c>
      <c r="X1656" s="1">
        <f>IFERROR(__xludf.DUMMYFUNCTION("""COMPUTED_VALUE"""),199.0)</f>
        <v>199</v>
      </c>
      <c r="Y1656" s="2"/>
      <c r="Z1656" s="2"/>
    </row>
    <row r="1657">
      <c r="A1657" s="1">
        <f>IFERROR(__xludf.DUMMYFUNCTION("""COMPUTED_VALUE"""),1656.0)</f>
        <v>1656</v>
      </c>
      <c r="B1657" s="1">
        <f>IFERROR(__xludf.DUMMYFUNCTION("""COMPUTED_VALUE"""),5002.0)</f>
        <v>5002</v>
      </c>
      <c r="C1657" s="2" t="str">
        <f>IFERROR(__xludf.DUMMYFUNCTION("""COMPUTED_VALUE"""),"erpans")</f>
        <v>erpans</v>
      </c>
      <c r="D1657" s="2" t="str">
        <f>IFERROR(__xludf.DUMMYFUNCTION("""COMPUTED_VALUE"""),"5KM OVERALL M")</f>
        <v>5KM OVERALL M</v>
      </c>
      <c r="E1657" s="1">
        <f>IFERROR(__xludf.DUMMYFUNCTION("""COMPUTED_VALUE"""),2.0)</f>
        <v>2</v>
      </c>
      <c r="F1657" s="1" t="str">
        <f>IFERROR(__xludf.DUMMYFUNCTION("""COMPUTED_VALUE"""),"Male")</f>
        <v>Male</v>
      </c>
      <c r="G1657" s="4" t="b">
        <f>IFERROR(__xludf.DUMMYFUNCTION("""COMPUTED_VALUE"""),TRUE)</f>
        <v>1</v>
      </c>
      <c r="H1657" s="4" t="b">
        <f>IFERROR(__xludf.DUMMYFUNCTION("""COMPUTED_VALUE"""),TRUE)</f>
        <v>1</v>
      </c>
      <c r="I1657" s="4">
        <f>IFERROR(__xludf.DUMMYFUNCTION("""COMPUTED_VALUE"""),0.2549440625)</f>
        <v>0.2549440625</v>
      </c>
      <c r="J1657" s="4">
        <f>IFERROR(__xludf.DUMMYFUNCTION("""COMPUTED_VALUE"""),45949.279207307016)</f>
        <v>45949.27921</v>
      </c>
      <c r="K1657" s="4" t="str">
        <f>IFERROR(__xludf.DUMMYFUNCTION("""COMPUTED_VALUE"""),"")</f>
        <v/>
      </c>
      <c r="L1657" s="4">
        <f>IFERROR(__xludf.DUMMYFUNCTION("""COMPUTED_VALUE"""),45949.29637308989)</f>
        <v>45949.29637</v>
      </c>
      <c r="M1657" s="1" t="str">
        <f>IFERROR(__xludf.DUMMYFUNCTION("""COMPUTED_VALUE"""),"RFID")</f>
        <v>RFID</v>
      </c>
      <c r="N1657" s="5">
        <f>IFERROR(__xludf.DUMMYFUNCTION("""COMPUTED_VALUE"""),0.009705296296296297)</f>
        <v>0.009705296296</v>
      </c>
      <c r="O1657" s="5" t="str">
        <f>IFERROR(__xludf.DUMMYFUNCTION("""COMPUTED_VALUE"""),"")</f>
        <v/>
      </c>
      <c r="P1657" s="5" t="str">
        <f>IFERROR(__xludf.DUMMYFUNCTION("""COMPUTED_VALUE"""),"")</f>
        <v/>
      </c>
      <c r="Q1657" s="5">
        <f>IFERROR(__xludf.DUMMYFUNCTION("""COMPUTED_VALUE"""),0.008285805555555555)</f>
        <v>0.008285805556</v>
      </c>
      <c r="R1657" s="4">
        <f>IFERROR(__xludf.DUMMYFUNCTION("""COMPUTED_VALUE"""),45949.04142902739)</f>
        <v>45949.04143</v>
      </c>
      <c r="S1657" s="1" t="b">
        <f>IFERROR(__xludf.DUMMYFUNCTION("""COMPUTED_VALUE"""),TRUE)</f>
        <v>1</v>
      </c>
      <c r="T1657" s="1" t="b">
        <f>IFERROR(__xludf.DUMMYFUNCTION("""COMPUTED_VALUE"""),FALSE)</f>
        <v>0</v>
      </c>
      <c r="U1657" s="1" t="str">
        <f>IFERROR(__xludf.DUMMYFUNCTION("""COMPUTED_VALUE"""),"VALID")</f>
        <v>VALID</v>
      </c>
      <c r="V1657" s="1">
        <f>IFERROR(__xludf.DUMMYFUNCTION("""COMPUTED_VALUE"""),744.0)</f>
        <v>744</v>
      </c>
      <c r="W1657" s="1">
        <f>IFERROR(__xludf.DUMMYFUNCTION("""COMPUTED_VALUE"""),1307.0)</f>
        <v>1307</v>
      </c>
      <c r="X1657" s="1">
        <f>IFERROR(__xludf.DUMMYFUNCTION("""COMPUTED_VALUE"""),1039.0)</f>
        <v>1039</v>
      </c>
      <c r="Y1657" s="2"/>
      <c r="Z1657" s="2"/>
    </row>
    <row r="1658">
      <c r="A1658" s="1">
        <f>IFERROR(__xludf.DUMMYFUNCTION("""COMPUTED_VALUE"""),1657.0)</f>
        <v>1657</v>
      </c>
      <c r="B1658" s="1">
        <f>IFERROR(__xludf.DUMMYFUNCTION("""COMPUTED_VALUE"""),5003.0)</f>
        <v>5003</v>
      </c>
      <c r="C1658" s="2" t="str">
        <f>IFERROR(__xludf.DUMMYFUNCTION("""COMPUTED_VALUE"""),"ADRIFANI")</f>
        <v>ADRIFANI</v>
      </c>
      <c r="D1658" s="2" t="str">
        <f>IFERROR(__xludf.DUMMYFUNCTION("""COMPUTED_VALUE"""),"5KM OVERALL M")</f>
        <v>5KM OVERALL M</v>
      </c>
      <c r="E1658" s="1">
        <f>IFERROR(__xludf.DUMMYFUNCTION("""COMPUTED_VALUE"""),2.0)</f>
        <v>2</v>
      </c>
      <c r="F1658" s="1" t="str">
        <f>IFERROR(__xludf.DUMMYFUNCTION("""COMPUTED_VALUE"""),"Male")</f>
        <v>Male</v>
      </c>
      <c r="G1658" s="4" t="b">
        <f>IFERROR(__xludf.DUMMYFUNCTION("""COMPUTED_VALUE"""),TRUE)</f>
        <v>1</v>
      </c>
      <c r="H1658" s="4" t="b">
        <f>IFERROR(__xludf.DUMMYFUNCTION("""COMPUTED_VALUE"""),FALSE)</f>
        <v>0</v>
      </c>
      <c r="I1658" s="4">
        <f>IFERROR(__xludf.DUMMYFUNCTION("""COMPUTED_VALUE"""),0.2549440625)</f>
        <v>0.2549440625</v>
      </c>
      <c r="J1658" s="4">
        <f>IFERROR(__xludf.DUMMYFUNCTION("""COMPUTED_VALUE"""),45949.279186418156)</f>
        <v>45949.27919</v>
      </c>
      <c r="K1658" s="4" t="str">
        <f>IFERROR(__xludf.DUMMYFUNCTION("""COMPUTED_VALUE"""),"")</f>
        <v/>
      </c>
      <c r="L1658" s="4">
        <f>IFERROR(__xludf.DUMMYFUNCTION("""COMPUTED_VALUE"""),45949.299331440714)</f>
        <v>45949.29933</v>
      </c>
      <c r="M1658" s="1" t="str">
        <f>IFERROR(__xludf.DUMMYFUNCTION("""COMPUTED_VALUE"""),"RFID")</f>
        <v>RFID</v>
      </c>
      <c r="N1658" s="5">
        <f>IFERROR(__xludf.DUMMYFUNCTION("""COMPUTED_VALUE"""),0.009696944444444444)</f>
        <v>0.009696944444</v>
      </c>
      <c r="O1658" s="5" t="str">
        <f>IFERROR(__xludf.DUMMYFUNCTION("""COMPUTED_VALUE"""),"")</f>
        <v/>
      </c>
      <c r="P1658" s="5" t="str">
        <f>IFERROR(__xludf.DUMMYFUNCTION("""COMPUTED_VALUE"""),"")</f>
        <v/>
      </c>
      <c r="Q1658" s="5">
        <f>IFERROR(__xludf.DUMMYFUNCTION("""COMPUTED_VALUE"""),0.008877474537037038)</f>
        <v>0.008877474537</v>
      </c>
      <c r="R1658" s="4">
        <f>IFERROR(__xludf.DUMMYFUNCTION("""COMPUTED_VALUE"""),45949.04438737821)</f>
        <v>45949.04439</v>
      </c>
      <c r="S1658" s="1" t="b">
        <f>IFERROR(__xludf.DUMMYFUNCTION("""COMPUTED_VALUE"""),TRUE)</f>
        <v>1</v>
      </c>
      <c r="T1658" s="1" t="b">
        <f>IFERROR(__xludf.DUMMYFUNCTION("""COMPUTED_VALUE"""),FALSE)</f>
        <v>0</v>
      </c>
      <c r="U1658" s="1" t="str">
        <f>IFERROR(__xludf.DUMMYFUNCTION("""COMPUTED_VALUE"""),"VALID")</f>
        <v>VALID</v>
      </c>
      <c r="V1658" s="1">
        <f>IFERROR(__xludf.DUMMYFUNCTION("""COMPUTED_VALUE"""),785.0)</f>
        <v>785</v>
      </c>
      <c r="W1658" s="1">
        <f>IFERROR(__xludf.DUMMYFUNCTION("""COMPUTED_VALUE"""),1424.0)</f>
        <v>1424</v>
      </c>
      <c r="X1658" s="1">
        <f>IFERROR(__xludf.DUMMYFUNCTION("""COMPUTED_VALUE"""),1167.0)</f>
        <v>1167</v>
      </c>
      <c r="Y1658" s="2"/>
      <c r="Z1658" s="2"/>
    </row>
    <row r="1659">
      <c r="A1659" s="1">
        <f>IFERROR(__xludf.DUMMYFUNCTION("""COMPUTED_VALUE"""),1658.0)</f>
        <v>1658</v>
      </c>
      <c r="B1659" s="1">
        <f>IFERROR(__xludf.DUMMYFUNCTION("""COMPUTED_VALUE"""),5006.0)</f>
        <v>5006</v>
      </c>
      <c r="C1659" s="2" t="str">
        <f>IFERROR(__xludf.DUMMYFUNCTION("""COMPUTED_VALUE"""),"adhia dana liana putra")</f>
        <v>adhia dana liana putra</v>
      </c>
      <c r="D1659" s="2" t="str">
        <f>IFERROR(__xludf.DUMMYFUNCTION("""COMPUTED_VALUE"""),"5KM OVERALL M")</f>
        <v>5KM OVERALL M</v>
      </c>
      <c r="E1659" s="1">
        <f>IFERROR(__xludf.DUMMYFUNCTION("""COMPUTED_VALUE"""),2.0)</f>
        <v>2</v>
      </c>
      <c r="F1659" s="1" t="str">
        <f>IFERROR(__xludf.DUMMYFUNCTION("""COMPUTED_VALUE"""),"Male")</f>
        <v>Male</v>
      </c>
      <c r="G1659" s="4" t="str">
        <f>IFERROR(__xludf.DUMMYFUNCTION("""COMPUTED_VALUE"""),"")</f>
        <v/>
      </c>
      <c r="H1659" s="4" t="b">
        <f>IFERROR(__xludf.DUMMYFUNCTION("""COMPUTED_VALUE"""),FALSE)</f>
        <v>0</v>
      </c>
      <c r="I1659" s="4">
        <f>IFERROR(__xludf.DUMMYFUNCTION("""COMPUTED_VALUE"""),0.2549440625)</f>
        <v>0.2549440625</v>
      </c>
      <c r="J1659" s="4" t="str">
        <f>IFERROR(__xludf.DUMMYFUNCTION("""COMPUTED_VALUE"""),"")</f>
        <v/>
      </c>
      <c r="K1659" s="4" t="str">
        <f>IFERROR(__xludf.DUMMYFUNCTION("""COMPUTED_VALUE"""),"")</f>
        <v/>
      </c>
      <c r="L1659" s="4" t="str">
        <f>IFERROR(__xludf.DUMMYFUNCTION("""COMPUTED_VALUE"""),"")</f>
        <v/>
      </c>
      <c r="M1659" s="1" t="str">
        <f>IFERROR(__xludf.DUMMYFUNCTION("""COMPUTED_VALUE"""),"RFID")</f>
        <v>RFID</v>
      </c>
      <c r="N1659" s="5" t="str">
        <f>IFERROR(__xludf.DUMMYFUNCTION("""COMPUTED_VALUE"""),"")</f>
        <v/>
      </c>
      <c r="O1659" s="5" t="str">
        <f>IFERROR(__xludf.DUMMYFUNCTION("""COMPUTED_VALUE"""),"")</f>
        <v/>
      </c>
      <c r="P1659" s="5" t="str">
        <f>IFERROR(__xludf.DUMMYFUNCTION("""COMPUTED_VALUE"""),"")</f>
        <v/>
      </c>
      <c r="Q1659" s="5" t="str">
        <f>IFERROR(__xludf.DUMMYFUNCTION("""COMPUTED_VALUE"""),"")</f>
        <v/>
      </c>
      <c r="R1659" s="4" t="str">
        <f>IFERROR(__xludf.DUMMYFUNCTION("""COMPUTED_VALUE"""),"")</f>
        <v/>
      </c>
      <c r="S1659" s="1" t="b">
        <f>IFERROR(__xludf.DUMMYFUNCTION("""COMPUTED_VALUE"""),FALSE)</f>
        <v>0</v>
      </c>
      <c r="T1659" s="1" t="b">
        <f>IFERROR(__xludf.DUMMYFUNCTION("""COMPUTED_VALUE"""),FALSE)</f>
        <v>0</v>
      </c>
      <c r="U1659" s="1" t="str">
        <f>IFERROR(__xludf.DUMMYFUNCTION("""COMPUTED_VALUE"""),"DSQ")</f>
        <v>DSQ</v>
      </c>
      <c r="V1659" s="1" t="str">
        <f>IFERROR(__xludf.DUMMYFUNCTION("""COMPUTED_VALUE"""),"DSQ")</f>
        <v>DSQ</v>
      </c>
      <c r="W1659" s="1" t="str">
        <f>IFERROR(__xludf.DUMMYFUNCTION("""COMPUTED_VALUE"""),"DSQ")</f>
        <v>DSQ</v>
      </c>
      <c r="X1659" s="1" t="str">
        <f>IFERROR(__xludf.DUMMYFUNCTION("""COMPUTED_VALUE"""),"DSQ")</f>
        <v>DSQ</v>
      </c>
      <c r="Y1659" s="2"/>
      <c r="Z1659" s="2" t="str">
        <f>IFERROR(__xludf.DUMMYFUNCTION("""COMPUTED_VALUE"""),"")</f>
        <v/>
      </c>
    </row>
    <row r="1660">
      <c r="A1660" s="1">
        <f>IFERROR(__xludf.DUMMYFUNCTION("""COMPUTED_VALUE"""),1659.0)</f>
        <v>1659</v>
      </c>
      <c r="B1660" s="1">
        <f>IFERROR(__xludf.DUMMYFUNCTION("""COMPUTED_VALUE"""),5009.0)</f>
        <v>5009</v>
      </c>
      <c r="C1660" s="2" t="str">
        <f>IFERROR(__xludf.DUMMYFUNCTION("""COMPUTED_VALUE"""),"Muhammad Fajar Maulana")</f>
        <v>Muhammad Fajar Maulana</v>
      </c>
      <c r="D1660" s="2" t="str">
        <f>IFERROR(__xludf.DUMMYFUNCTION("""COMPUTED_VALUE"""),"5KM OVERALL M")</f>
        <v>5KM OVERALL M</v>
      </c>
      <c r="E1660" s="1">
        <f>IFERROR(__xludf.DUMMYFUNCTION("""COMPUTED_VALUE"""),2.0)</f>
        <v>2</v>
      </c>
      <c r="F1660" s="1" t="str">
        <f>IFERROR(__xludf.DUMMYFUNCTION("""COMPUTED_VALUE"""),"Male")</f>
        <v>Male</v>
      </c>
      <c r="G1660" s="4" t="b">
        <f>IFERROR(__xludf.DUMMYFUNCTION("""COMPUTED_VALUE"""),TRUE)</f>
        <v>1</v>
      </c>
      <c r="H1660" s="4" t="b">
        <f>IFERROR(__xludf.DUMMYFUNCTION("""COMPUTED_VALUE"""),TRUE)</f>
        <v>1</v>
      </c>
      <c r="I1660" s="4">
        <f>IFERROR(__xludf.DUMMYFUNCTION("""COMPUTED_VALUE"""),0.2549440625)</f>
        <v>0.2549440625</v>
      </c>
      <c r="J1660" s="4">
        <f>IFERROR(__xludf.DUMMYFUNCTION("""COMPUTED_VALUE"""),45949.272953782696)</f>
        <v>45949.27295</v>
      </c>
      <c r="K1660" s="4" t="str">
        <f>IFERROR(__xludf.DUMMYFUNCTION("""COMPUTED_VALUE"""),"")</f>
        <v/>
      </c>
      <c r="L1660" s="4">
        <f>IFERROR(__xludf.DUMMYFUNCTION("""COMPUTED_VALUE"""),45949.287616094625)</f>
        <v>45949.28762</v>
      </c>
      <c r="M1660" s="1" t="str">
        <f>IFERROR(__xludf.DUMMYFUNCTION("""COMPUTED_VALUE"""),"RFID")</f>
        <v>RFID</v>
      </c>
      <c r="N1660" s="5">
        <f>IFERROR(__xludf.DUMMYFUNCTION("""COMPUTED_VALUE"""),0.007203888888888889)</f>
        <v>0.007203888889</v>
      </c>
      <c r="O1660" s="5" t="str">
        <f>IFERROR(__xludf.DUMMYFUNCTION("""COMPUTED_VALUE"""),"")</f>
        <v/>
      </c>
      <c r="P1660" s="5" t="str">
        <f>IFERROR(__xludf.DUMMYFUNCTION("""COMPUTED_VALUE"""),"")</f>
        <v/>
      </c>
      <c r="Q1660" s="5">
        <f>IFERROR(__xludf.DUMMYFUNCTION("""COMPUTED_VALUE"""),0.006534407407407407)</f>
        <v>0.006534407407</v>
      </c>
      <c r="R1660" s="4">
        <f>IFERROR(__xludf.DUMMYFUNCTION("""COMPUTED_VALUE"""),45949.032672032125)</f>
        <v>45949.03267</v>
      </c>
      <c r="S1660" s="1" t="b">
        <f>IFERROR(__xludf.DUMMYFUNCTION("""COMPUTED_VALUE"""),TRUE)</f>
        <v>1</v>
      </c>
      <c r="T1660" s="1" t="b">
        <f>IFERROR(__xludf.DUMMYFUNCTION("""COMPUTED_VALUE"""),FALSE)</f>
        <v>0</v>
      </c>
      <c r="U1660" s="1" t="str">
        <f>IFERROR(__xludf.DUMMYFUNCTION("""COMPUTED_VALUE"""),"VALID")</f>
        <v>VALID</v>
      </c>
      <c r="V1660" s="1">
        <f>IFERROR(__xludf.DUMMYFUNCTION("""COMPUTED_VALUE"""),480.0)</f>
        <v>480</v>
      </c>
      <c r="W1660" s="1">
        <f>IFERROR(__xludf.DUMMYFUNCTION("""COMPUTED_VALUE"""),746.0)</f>
        <v>746</v>
      </c>
      <c r="X1660" s="1">
        <f>IFERROR(__xludf.DUMMYFUNCTION("""COMPUTED_VALUE"""),621.0)</f>
        <v>621</v>
      </c>
      <c r="Y1660" s="2"/>
      <c r="Z1660" s="2"/>
    </row>
    <row r="1661">
      <c r="A1661" s="1">
        <f>IFERROR(__xludf.DUMMYFUNCTION("""COMPUTED_VALUE"""),1660.0)</f>
        <v>1660</v>
      </c>
      <c r="B1661" s="1">
        <f>IFERROR(__xludf.DUMMYFUNCTION("""COMPUTED_VALUE"""),5010.0)</f>
        <v>5010</v>
      </c>
      <c r="C1661" s="2" t="str">
        <f>IFERROR(__xludf.DUMMYFUNCTION("""COMPUTED_VALUE"""),"Teddy")</f>
        <v>Teddy</v>
      </c>
      <c r="D1661" s="2" t="str">
        <f>IFERROR(__xludf.DUMMYFUNCTION("""COMPUTED_VALUE"""),"5KM OVERALL M")</f>
        <v>5KM OVERALL M</v>
      </c>
      <c r="E1661" s="1">
        <f>IFERROR(__xludf.DUMMYFUNCTION("""COMPUTED_VALUE"""),2.0)</f>
        <v>2</v>
      </c>
      <c r="F1661" s="1" t="str">
        <f>IFERROR(__xludf.DUMMYFUNCTION("""COMPUTED_VALUE"""),"Male")</f>
        <v>Male</v>
      </c>
      <c r="G1661" s="4" t="str">
        <f>IFERROR(__xludf.DUMMYFUNCTION("""COMPUTED_VALUE"""),"")</f>
        <v/>
      </c>
      <c r="H1661" s="4" t="b">
        <f>IFERROR(__xludf.DUMMYFUNCTION("""COMPUTED_VALUE"""),FALSE)</f>
        <v>0</v>
      </c>
      <c r="I1661" s="4">
        <f>IFERROR(__xludf.DUMMYFUNCTION("""COMPUTED_VALUE"""),0.2549440625)</f>
        <v>0.2549440625</v>
      </c>
      <c r="J1661" s="4" t="str">
        <f>IFERROR(__xludf.DUMMYFUNCTION("""COMPUTED_VALUE"""),"")</f>
        <v/>
      </c>
      <c r="K1661" s="4" t="str">
        <f>IFERROR(__xludf.DUMMYFUNCTION("""COMPUTED_VALUE"""),"")</f>
        <v/>
      </c>
      <c r="L1661" s="4" t="str">
        <f>IFERROR(__xludf.DUMMYFUNCTION("""COMPUTED_VALUE"""),"")</f>
        <v/>
      </c>
      <c r="M1661" s="1" t="str">
        <f>IFERROR(__xludf.DUMMYFUNCTION("""COMPUTED_VALUE"""),"RFID")</f>
        <v>RFID</v>
      </c>
      <c r="N1661" s="5" t="str">
        <f>IFERROR(__xludf.DUMMYFUNCTION("""COMPUTED_VALUE"""),"")</f>
        <v/>
      </c>
      <c r="O1661" s="5" t="str">
        <f>IFERROR(__xludf.DUMMYFUNCTION("""COMPUTED_VALUE"""),"")</f>
        <v/>
      </c>
      <c r="P1661" s="5" t="str">
        <f>IFERROR(__xludf.DUMMYFUNCTION("""COMPUTED_VALUE"""),"")</f>
        <v/>
      </c>
      <c r="Q1661" s="5" t="str">
        <f>IFERROR(__xludf.DUMMYFUNCTION("""COMPUTED_VALUE"""),"")</f>
        <v/>
      </c>
      <c r="R1661" s="4" t="str">
        <f>IFERROR(__xludf.DUMMYFUNCTION("""COMPUTED_VALUE"""),"")</f>
        <v/>
      </c>
      <c r="S1661" s="1" t="b">
        <f>IFERROR(__xludf.DUMMYFUNCTION("""COMPUTED_VALUE"""),FALSE)</f>
        <v>0</v>
      </c>
      <c r="T1661" s="1" t="b">
        <f>IFERROR(__xludf.DUMMYFUNCTION("""COMPUTED_VALUE"""),FALSE)</f>
        <v>0</v>
      </c>
      <c r="U1661" s="1" t="str">
        <f>IFERROR(__xludf.DUMMYFUNCTION("""COMPUTED_VALUE"""),"DSQ")</f>
        <v>DSQ</v>
      </c>
      <c r="V1661" s="1" t="str">
        <f>IFERROR(__xludf.DUMMYFUNCTION("""COMPUTED_VALUE"""),"DSQ")</f>
        <v>DSQ</v>
      </c>
      <c r="W1661" s="1" t="str">
        <f>IFERROR(__xludf.DUMMYFUNCTION("""COMPUTED_VALUE"""),"DSQ")</f>
        <v>DSQ</v>
      </c>
      <c r="X1661" s="1" t="str">
        <f>IFERROR(__xludf.DUMMYFUNCTION("""COMPUTED_VALUE"""),"DSQ")</f>
        <v>DSQ</v>
      </c>
      <c r="Y1661" s="2"/>
      <c r="Z1661" s="2" t="str">
        <f>IFERROR(__xludf.DUMMYFUNCTION("""COMPUTED_VALUE"""),"")</f>
        <v/>
      </c>
    </row>
    <row r="1662">
      <c r="A1662" s="1">
        <f>IFERROR(__xludf.DUMMYFUNCTION("""COMPUTED_VALUE"""),1661.0)</f>
        <v>1661</v>
      </c>
      <c r="B1662" s="1">
        <f>IFERROR(__xludf.DUMMYFUNCTION("""COMPUTED_VALUE"""),5011.0)</f>
        <v>5011</v>
      </c>
      <c r="C1662" s="2" t="str">
        <f>IFERROR(__xludf.DUMMYFUNCTION("""COMPUTED_VALUE"""),"mas ahmad")</f>
        <v>mas ahmad</v>
      </c>
      <c r="D1662" s="2" t="str">
        <f>IFERROR(__xludf.DUMMYFUNCTION("""COMPUTED_VALUE"""),"5KM OVERALL M")</f>
        <v>5KM OVERALL M</v>
      </c>
      <c r="E1662" s="1">
        <f>IFERROR(__xludf.DUMMYFUNCTION("""COMPUTED_VALUE"""),2.0)</f>
        <v>2</v>
      </c>
      <c r="F1662" s="1" t="str">
        <f>IFERROR(__xludf.DUMMYFUNCTION("""COMPUTED_VALUE"""),"Male")</f>
        <v>Male</v>
      </c>
      <c r="G1662" s="4" t="b">
        <f>IFERROR(__xludf.DUMMYFUNCTION("""COMPUTED_VALUE"""),TRUE)</f>
        <v>1</v>
      </c>
      <c r="H1662" s="4" t="b">
        <f>IFERROR(__xludf.DUMMYFUNCTION("""COMPUTED_VALUE"""),TRUE)</f>
        <v>1</v>
      </c>
      <c r="I1662" s="4">
        <f>IFERROR(__xludf.DUMMYFUNCTION("""COMPUTED_VALUE"""),0.2549440625)</f>
        <v>0.2549440625</v>
      </c>
      <c r="J1662" s="4">
        <f>IFERROR(__xludf.DUMMYFUNCTION("""COMPUTED_VALUE"""),45949.27372465772)</f>
        <v>45949.27372</v>
      </c>
      <c r="K1662" s="4" t="str">
        <f>IFERROR(__xludf.DUMMYFUNCTION("""COMPUTED_VALUE"""),"")</f>
        <v/>
      </c>
      <c r="L1662" s="4">
        <f>IFERROR(__xludf.DUMMYFUNCTION("""COMPUTED_VALUE"""),45949.28636267244)</f>
        <v>45949.28636</v>
      </c>
      <c r="M1662" s="1" t="str">
        <f>IFERROR(__xludf.DUMMYFUNCTION("""COMPUTED_VALUE"""),"RFID")</f>
        <v>RFID</v>
      </c>
      <c r="N1662" s="5">
        <f>IFERROR(__xludf.DUMMYFUNCTION("""COMPUTED_VALUE"""),0.007512236111111112)</f>
        <v>0.007512236111</v>
      </c>
      <c r="O1662" s="5" t="str">
        <f>IFERROR(__xludf.DUMMYFUNCTION("""COMPUTED_VALUE"""),"")</f>
        <v/>
      </c>
      <c r="P1662" s="5" t="str">
        <f>IFERROR(__xludf.DUMMYFUNCTION("""COMPUTED_VALUE"""),"")</f>
        <v/>
      </c>
      <c r="Q1662" s="5">
        <f>IFERROR(__xludf.DUMMYFUNCTION("""COMPUTED_VALUE"""),0.006283722222222223)</f>
        <v>0.006283722222</v>
      </c>
      <c r="R1662" s="4">
        <f>IFERROR(__xludf.DUMMYFUNCTION("""COMPUTED_VALUE"""),45949.03141860994)</f>
        <v>45949.03142</v>
      </c>
      <c r="S1662" s="1" t="b">
        <f>IFERROR(__xludf.DUMMYFUNCTION("""COMPUTED_VALUE"""),TRUE)</f>
        <v>1</v>
      </c>
      <c r="T1662" s="1" t="b">
        <f>IFERROR(__xludf.DUMMYFUNCTION("""COMPUTED_VALUE"""),FALSE)</f>
        <v>0</v>
      </c>
      <c r="U1662" s="1" t="str">
        <f>IFERROR(__xludf.DUMMYFUNCTION("""COMPUTED_VALUE"""),"VALID")</f>
        <v>VALID</v>
      </c>
      <c r="V1662" s="1">
        <f>IFERROR(__xludf.DUMMYFUNCTION("""COMPUTED_VALUE"""),425.0)</f>
        <v>425</v>
      </c>
      <c r="W1662" s="1">
        <f>IFERROR(__xludf.DUMMYFUNCTION("""COMPUTED_VALUE"""),653.0)</f>
        <v>653</v>
      </c>
      <c r="X1662" s="1">
        <f>IFERROR(__xludf.DUMMYFUNCTION("""COMPUTED_VALUE"""),546.0)</f>
        <v>546</v>
      </c>
      <c r="Y1662" s="2"/>
      <c r="Z1662" s="2"/>
    </row>
    <row r="1663">
      <c r="A1663" s="1">
        <f>IFERROR(__xludf.DUMMYFUNCTION("""COMPUTED_VALUE"""),1662.0)</f>
        <v>1662</v>
      </c>
      <c r="B1663" s="1">
        <f>IFERROR(__xludf.DUMMYFUNCTION("""COMPUTED_VALUE"""),5012.0)</f>
        <v>5012</v>
      </c>
      <c r="C1663" s="2" t="str">
        <f>IFERROR(__xludf.DUMMYFUNCTION("""COMPUTED_VALUE"""),"Hamada")</f>
        <v>Hamada</v>
      </c>
      <c r="D1663" s="2" t="str">
        <f>IFERROR(__xludf.DUMMYFUNCTION("""COMPUTED_VALUE"""),"5KM OVERALL M")</f>
        <v>5KM OVERALL M</v>
      </c>
      <c r="E1663" s="1">
        <f>IFERROR(__xludf.DUMMYFUNCTION("""COMPUTED_VALUE"""),2.0)</f>
        <v>2</v>
      </c>
      <c r="F1663" s="1" t="str">
        <f>IFERROR(__xludf.DUMMYFUNCTION("""COMPUTED_VALUE"""),"Male")</f>
        <v>Male</v>
      </c>
      <c r="G1663" s="4" t="b">
        <f>IFERROR(__xludf.DUMMYFUNCTION("""COMPUTED_VALUE"""),TRUE)</f>
        <v>1</v>
      </c>
      <c r="H1663" s="4" t="b">
        <f>IFERROR(__xludf.DUMMYFUNCTION("""COMPUTED_VALUE"""),FALSE)</f>
        <v>0</v>
      </c>
      <c r="I1663" s="4">
        <f>IFERROR(__xludf.DUMMYFUNCTION("""COMPUTED_VALUE"""),0.2549440625)</f>
        <v>0.2549440625</v>
      </c>
      <c r="J1663" s="4">
        <f>IFERROR(__xludf.DUMMYFUNCTION("""COMPUTED_VALUE"""),45949.26747809157)</f>
        <v>45949.26748</v>
      </c>
      <c r="K1663" s="4" t="str">
        <f>IFERROR(__xludf.DUMMYFUNCTION("""COMPUTED_VALUE"""),"")</f>
        <v/>
      </c>
      <c r="L1663" s="4">
        <f>IFERROR(__xludf.DUMMYFUNCTION("""COMPUTED_VALUE"""),45949.27780712447)</f>
        <v>45949.27781</v>
      </c>
      <c r="M1663" s="1" t="str">
        <f>IFERROR(__xludf.DUMMYFUNCTION("""COMPUTED_VALUE"""),"RFID")</f>
        <v>RFID</v>
      </c>
      <c r="N1663" s="5">
        <f>IFERROR(__xludf.DUMMYFUNCTION("""COMPUTED_VALUE"""),0.005013611111111111)</f>
        <v>0.005013611111</v>
      </c>
      <c r="O1663" s="5" t="str">
        <f>IFERROR(__xludf.DUMMYFUNCTION("""COMPUTED_VALUE"""),"")</f>
        <v/>
      </c>
      <c r="P1663" s="5" t="str">
        <f>IFERROR(__xludf.DUMMYFUNCTION("""COMPUTED_VALUE"""),"")</f>
        <v/>
      </c>
      <c r="Q1663" s="5">
        <f>IFERROR(__xludf.DUMMYFUNCTION("""COMPUTED_VALUE"""),0.004572613425925925)</f>
        <v>0.004572613426</v>
      </c>
      <c r="R1663" s="4">
        <f>IFERROR(__xludf.DUMMYFUNCTION("""COMPUTED_VALUE"""),45949.02286306197)</f>
        <v>45949.02286</v>
      </c>
      <c r="S1663" s="1" t="b">
        <f>IFERROR(__xludf.DUMMYFUNCTION("""COMPUTED_VALUE"""),TRUE)</f>
        <v>1</v>
      </c>
      <c r="T1663" s="1" t="b">
        <f>IFERROR(__xludf.DUMMYFUNCTION("""COMPUTED_VALUE"""),FALSE)</f>
        <v>0</v>
      </c>
      <c r="U1663" s="1" t="str">
        <f>IFERROR(__xludf.DUMMYFUNCTION("""COMPUTED_VALUE"""),"VALID")</f>
        <v>VALID</v>
      </c>
      <c r="V1663" s="1">
        <f>IFERROR(__xludf.DUMMYFUNCTION("""COMPUTED_VALUE"""),131.0)</f>
        <v>131</v>
      </c>
      <c r="W1663" s="1">
        <f>IFERROR(__xludf.DUMMYFUNCTION("""COMPUTED_VALUE"""),203.0)</f>
        <v>203</v>
      </c>
      <c r="X1663" s="1">
        <f>IFERROR(__xludf.DUMMYFUNCTION("""COMPUTED_VALUE"""),177.0)</f>
        <v>177</v>
      </c>
      <c r="Y1663" s="2"/>
      <c r="Z1663" s="2"/>
    </row>
    <row r="1664">
      <c r="A1664" s="1">
        <f>IFERROR(__xludf.DUMMYFUNCTION("""COMPUTED_VALUE"""),1663.0)</f>
        <v>1663</v>
      </c>
      <c r="B1664" s="1">
        <f>IFERROR(__xludf.DUMMYFUNCTION("""COMPUTED_VALUE"""),5013.0)</f>
        <v>5013</v>
      </c>
      <c r="C1664" s="2" t="str">
        <f>IFERROR(__xludf.DUMMYFUNCTION("""COMPUTED_VALUE"""),"Edo")</f>
        <v>Edo</v>
      </c>
      <c r="D1664" s="2" t="str">
        <f>IFERROR(__xludf.DUMMYFUNCTION("""COMPUTED_VALUE"""),"5KM OVERALL M")</f>
        <v>5KM OVERALL M</v>
      </c>
      <c r="E1664" s="1">
        <f>IFERROR(__xludf.DUMMYFUNCTION("""COMPUTED_VALUE"""),2.0)</f>
        <v>2</v>
      </c>
      <c r="F1664" s="1" t="str">
        <f>IFERROR(__xludf.DUMMYFUNCTION("""COMPUTED_VALUE"""),"Male")</f>
        <v>Male</v>
      </c>
      <c r="G1664" s="4" t="b">
        <f>IFERROR(__xludf.DUMMYFUNCTION("""COMPUTED_VALUE"""),TRUE)</f>
        <v>1</v>
      </c>
      <c r="H1664" s="4" t="b">
        <f>IFERROR(__xludf.DUMMYFUNCTION("""COMPUTED_VALUE"""),TRUE)</f>
        <v>1</v>
      </c>
      <c r="I1664" s="4">
        <f>IFERROR(__xludf.DUMMYFUNCTION("""COMPUTED_VALUE"""),0.2549440625)</f>
        <v>0.2549440625</v>
      </c>
      <c r="J1664" s="4">
        <f>IFERROR(__xludf.DUMMYFUNCTION("""COMPUTED_VALUE"""),45949.26935311973)</f>
        <v>45949.26935</v>
      </c>
      <c r="K1664" s="4" t="str">
        <f>IFERROR(__xludf.DUMMYFUNCTION("""COMPUTED_VALUE"""),"")</f>
        <v/>
      </c>
      <c r="L1664" s="4">
        <f>IFERROR(__xludf.DUMMYFUNCTION("""COMPUTED_VALUE"""),45949.282755037115)</f>
        <v>45949.28276</v>
      </c>
      <c r="M1664" s="1" t="str">
        <f>IFERROR(__xludf.DUMMYFUNCTION("""COMPUTED_VALUE"""),"RFID")</f>
        <v>RFID</v>
      </c>
      <c r="N1664" s="5">
        <f>IFERROR(__xludf.DUMMYFUNCTION("""COMPUTED_VALUE"""),0.005763625)</f>
        <v>0.005763625</v>
      </c>
      <c r="O1664" s="5" t="str">
        <f>IFERROR(__xludf.DUMMYFUNCTION("""COMPUTED_VALUE"""),"")</f>
        <v/>
      </c>
      <c r="P1664" s="5" t="str">
        <f>IFERROR(__xludf.DUMMYFUNCTION("""COMPUTED_VALUE"""),"")</f>
        <v/>
      </c>
      <c r="Q1664" s="5">
        <f>IFERROR(__xludf.DUMMYFUNCTION("""COMPUTED_VALUE"""),0.005562194444444444)</f>
        <v>0.005562194444</v>
      </c>
      <c r="R1664" s="4">
        <f>IFERROR(__xludf.DUMMYFUNCTION("""COMPUTED_VALUE"""),45949.027810974614)</f>
        <v>45949.02781</v>
      </c>
      <c r="S1664" s="1" t="b">
        <f>IFERROR(__xludf.DUMMYFUNCTION("""COMPUTED_VALUE"""),TRUE)</f>
        <v>1</v>
      </c>
      <c r="T1664" s="1" t="b">
        <f>IFERROR(__xludf.DUMMYFUNCTION("""COMPUTED_VALUE"""),FALSE)</f>
        <v>0</v>
      </c>
      <c r="U1664" s="1" t="str">
        <f>IFERROR(__xludf.DUMMYFUNCTION("""COMPUTED_VALUE"""),"VALID")</f>
        <v>VALID</v>
      </c>
      <c r="V1664" s="1">
        <f>IFERROR(__xludf.DUMMYFUNCTION("""COMPUTED_VALUE"""),279.0)</f>
        <v>279</v>
      </c>
      <c r="W1664" s="1">
        <f>IFERROR(__xludf.DUMMYFUNCTION("""COMPUTED_VALUE"""),423.0)</f>
        <v>423</v>
      </c>
      <c r="X1664" s="1">
        <f>IFERROR(__xludf.DUMMYFUNCTION("""COMPUTED_VALUE"""),366.0)</f>
        <v>366</v>
      </c>
      <c r="Y1664" s="2"/>
      <c r="Z1664" s="2"/>
    </row>
    <row r="1665">
      <c r="A1665" s="1">
        <f>IFERROR(__xludf.DUMMYFUNCTION("""COMPUTED_VALUE"""),1664.0)</f>
        <v>1664</v>
      </c>
      <c r="B1665" s="1">
        <f>IFERROR(__xludf.DUMMYFUNCTION("""COMPUTED_VALUE"""),5016.0)</f>
        <v>5016</v>
      </c>
      <c r="C1665" s="2" t="str">
        <f>IFERROR(__xludf.DUMMYFUNCTION("""COMPUTED_VALUE"""),"Hilmy")</f>
        <v>Hilmy</v>
      </c>
      <c r="D1665" s="2" t="str">
        <f>IFERROR(__xludf.DUMMYFUNCTION("""COMPUTED_VALUE"""),"5KM OVERALL M")</f>
        <v>5KM OVERALL M</v>
      </c>
      <c r="E1665" s="1">
        <f>IFERROR(__xludf.DUMMYFUNCTION("""COMPUTED_VALUE"""),2.0)</f>
        <v>2</v>
      </c>
      <c r="F1665" s="1" t="str">
        <f>IFERROR(__xludf.DUMMYFUNCTION("""COMPUTED_VALUE"""),"Male")</f>
        <v>Male</v>
      </c>
      <c r="G1665" s="4" t="b">
        <f>IFERROR(__xludf.DUMMYFUNCTION("""COMPUTED_VALUE"""),TRUE)</f>
        <v>1</v>
      </c>
      <c r="H1665" s="4" t="b">
        <f>IFERROR(__xludf.DUMMYFUNCTION("""COMPUTED_VALUE"""),TRUE)</f>
        <v>1</v>
      </c>
      <c r="I1665" s="4">
        <f>IFERROR(__xludf.DUMMYFUNCTION("""COMPUTED_VALUE"""),0.2549440625)</f>
        <v>0.2549440625</v>
      </c>
      <c r="J1665" s="4">
        <f>IFERROR(__xludf.DUMMYFUNCTION("""COMPUTED_VALUE"""),45949.26534267212)</f>
        <v>45949.26534</v>
      </c>
      <c r="K1665" s="4" t="str">
        <f>IFERROR(__xludf.DUMMYFUNCTION("""COMPUTED_VALUE"""),"")</f>
        <v/>
      </c>
      <c r="L1665" s="4">
        <f>IFERROR(__xludf.DUMMYFUNCTION("""COMPUTED_VALUE"""),45949.2736300415)</f>
        <v>45949.27363</v>
      </c>
      <c r="M1665" s="1" t="str">
        <f>IFERROR(__xludf.DUMMYFUNCTION("""COMPUTED_VALUE"""),"RFID")</f>
        <v>RFID</v>
      </c>
      <c r="N1665" s="5">
        <f>IFERROR(__xludf.DUMMYFUNCTION("""COMPUTED_VALUE"""),0.004159444444444445)</f>
        <v>0.004159444444</v>
      </c>
      <c r="O1665" s="5" t="str">
        <f>IFERROR(__xludf.DUMMYFUNCTION("""COMPUTED_VALUE"""),"")</f>
        <v/>
      </c>
      <c r="P1665" s="5" t="str">
        <f>IFERROR(__xludf.DUMMYFUNCTION("""COMPUTED_VALUE"""),"")</f>
        <v/>
      </c>
      <c r="Q1665" s="5">
        <f>IFERROR(__xludf.DUMMYFUNCTION("""COMPUTED_VALUE"""),0.003737196759259259)</f>
        <v>0.003737196759</v>
      </c>
      <c r="R1665" s="4">
        <f>IFERROR(__xludf.DUMMYFUNCTION("""COMPUTED_VALUE"""),45949.018685979)</f>
        <v>45949.01869</v>
      </c>
      <c r="S1665" s="1" t="b">
        <f>IFERROR(__xludf.DUMMYFUNCTION("""COMPUTED_VALUE"""),TRUE)</f>
        <v>1</v>
      </c>
      <c r="T1665" s="1" t="b">
        <f>IFERROR(__xludf.DUMMYFUNCTION("""COMPUTED_VALUE"""),FALSE)</f>
        <v>0</v>
      </c>
      <c r="U1665" s="1" t="str">
        <f>IFERROR(__xludf.DUMMYFUNCTION("""COMPUTED_VALUE"""),"VALID")</f>
        <v>VALID</v>
      </c>
      <c r="V1665" s="1">
        <f>IFERROR(__xludf.DUMMYFUNCTION("""COMPUTED_VALUE"""),52.0)</f>
        <v>52</v>
      </c>
      <c r="W1665" s="1">
        <f>IFERROR(__xludf.DUMMYFUNCTION("""COMPUTED_VALUE"""),76.0)</f>
        <v>76</v>
      </c>
      <c r="X1665" s="1">
        <f>IFERROR(__xludf.DUMMYFUNCTION("""COMPUTED_VALUE"""),70.0)</f>
        <v>70</v>
      </c>
      <c r="Y1665" s="2"/>
      <c r="Z1665" s="2"/>
    </row>
    <row r="1666">
      <c r="A1666" s="1">
        <f>IFERROR(__xludf.DUMMYFUNCTION("""COMPUTED_VALUE"""),1665.0)</f>
        <v>1665</v>
      </c>
      <c r="B1666" s="1">
        <f>IFERROR(__xludf.DUMMYFUNCTION("""COMPUTED_VALUE"""),5017.0)</f>
        <v>5017</v>
      </c>
      <c r="C1666" s="2" t="str">
        <f>IFERROR(__xludf.DUMMYFUNCTION("""COMPUTED_VALUE"""),"Dayat")</f>
        <v>Dayat</v>
      </c>
      <c r="D1666" s="2" t="str">
        <f>IFERROR(__xludf.DUMMYFUNCTION("""COMPUTED_VALUE"""),"5KM OVERALL M")</f>
        <v>5KM OVERALL M</v>
      </c>
      <c r="E1666" s="1">
        <f>IFERROR(__xludf.DUMMYFUNCTION("""COMPUTED_VALUE"""),2.0)</f>
        <v>2</v>
      </c>
      <c r="F1666" s="1" t="str">
        <f>IFERROR(__xludf.DUMMYFUNCTION("""COMPUTED_VALUE"""),"Male")</f>
        <v>Male</v>
      </c>
      <c r="G1666" s="4" t="b">
        <f>IFERROR(__xludf.DUMMYFUNCTION("""COMPUTED_VALUE"""),TRUE)</f>
        <v>1</v>
      </c>
      <c r="H1666" s="4" t="b">
        <f>IFERROR(__xludf.DUMMYFUNCTION("""COMPUTED_VALUE"""),TRUE)</f>
        <v>1</v>
      </c>
      <c r="I1666" s="4">
        <f>IFERROR(__xludf.DUMMYFUNCTION("""COMPUTED_VALUE"""),0.2549440625)</f>
        <v>0.2549440625</v>
      </c>
      <c r="J1666" s="4">
        <f>IFERROR(__xludf.DUMMYFUNCTION("""COMPUTED_VALUE"""),45949.2688322515)</f>
        <v>45949.26883</v>
      </c>
      <c r="K1666" s="4" t="str">
        <f>IFERROR(__xludf.DUMMYFUNCTION("""COMPUTED_VALUE"""),"")</f>
        <v/>
      </c>
      <c r="L1666" s="4">
        <f>IFERROR(__xludf.DUMMYFUNCTION("""COMPUTED_VALUE"""),45949.27792171504)</f>
        <v>45949.27792</v>
      </c>
      <c r="M1666" s="1" t="str">
        <f>IFERROR(__xludf.DUMMYFUNCTION("""COMPUTED_VALUE"""),"RFID")</f>
        <v>RFID</v>
      </c>
      <c r="N1666" s="5">
        <f>IFERROR(__xludf.DUMMYFUNCTION("""COMPUTED_VALUE"""),0.005555277777777778)</f>
        <v>0.005555277778</v>
      </c>
      <c r="O1666" s="5" t="str">
        <f>IFERROR(__xludf.DUMMYFUNCTION("""COMPUTED_VALUE"""),"")</f>
        <v/>
      </c>
      <c r="P1666" s="5" t="str">
        <f>IFERROR(__xludf.DUMMYFUNCTION("""COMPUTED_VALUE"""),"")</f>
        <v/>
      </c>
      <c r="Q1666" s="5">
        <f>IFERROR(__xludf.DUMMYFUNCTION("""COMPUTED_VALUE"""),0.004595530092592592)</f>
        <v>0.004595530093</v>
      </c>
      <c r="R1666" s="4">
        <f>IFERROR(__xludf.DUMMYFUNCTION("""COMPUTED_VALUE"""),45949.02297765254)</f>
        <v>45949.02298</v>
      </c>
      <c r="S1666" s="1" t="b">
        <f>IFERROR(__xludf.DUMMYFUNCTION("""COMPUTED_VALUE"""),TRUE)</f>
        <v>1</v>
      </c>
      <c r="T1666" s="1" t="b">
        <f>IFERROR(__xludf.DUMMYFUNCTION("""COMPUTED_VALUE"""),FALSE)</f>
        <v>0</v>
      </c>
      <c r="U1666" s="1" t="str">
        <f>IFERROR(__xludf.DUMMYFUNCTION("""COMPUTED_VALUE"""),"VALID")</f>
        <v>VALID</v>
      </c>
      <c r="V1666" s="1">
        <f>IFERROR(__xludf.DUMMYFUNCTION("""COMPUTED_VALUE"""),139.0)</f>
        <v>139</v>
      </c>
      <c r="W1666" s="1">
        <f>IFERROR(__xludf.DUMMYFUNCTION("""COMPUTED_VALUE"""),212.0)</f>
        <v>212</v>
      </c>
      <c r="X1666" s="1">
        <f>IFERROR(__xludf.DUMMYFUNCTION("""COMPUTED_VALUE"""),185.0)</f>
        <v>185</v>
      </c>
      <c r="Y1666" s="2"/>
      <c r="Z1666" s="2"/>
    </row>
    <row r="1667">
      <c r="A1667" s="1">
        <f>IFERROR(__xludf.DUMMYFUNCTION("""COMPUTED_VALUE"""),1666.0)</f>
        <v>1666</v>
      </c>
      <c r="B1667" s="1">
        <f>IFERROR(__xludf.DUMMYFUNCTION("""COMPUTED_VALUE"""),5018.0)</f>
        <v>5018</v>
      </c>
      <c r="C1667" s="2" t="str">
        <f>IFERROR(__xludf.DUMMYFUNCTION("""COMPUTED_VALUE"""),"Wahyu Sufit")</f>
        <v>Wahyu Sufit</v>
      </c>
      <c r="D1667" s="2" t="str">
        <f>IFERROR(__xludf.DUMMYFUNCTION("""COMPUTED_VALUE"""),"5KM OVERALL M")</f>
        <v>5KM OVERALL M</v>
      </c>
      <c r="E1667" s="1">
        <f>IFERROR(__xludf.DUMMYFUNCTION("""COMPUTED_VALUE"""),2.0)</f>
        <v>2</v>
      </c>
      <c r="F1667" s="1" t="str">
        <f>IFERROR(__xludf.DUMMYFUNCTION("""COMPUTED_VALUE"""),"Male")</f>
        <v>Male</v>
      </c>
      <c r="G1667" s="4" t="b">
        <f>IFERROR(__xludf.DUMMYFUNCTION("""COMPUTED_VALUE"""),TRUE)</f>
        <v>1</v>
      </c>
      <c r="H1667" s="4" t="b">
        <f>IFERROR(__xludf.DUMMYFUNCTION("""COMPUTED_VALUE"""),FALSE)</f>
        <v>0</v>
      </c>
      <c r="I1667" s="4">
        <f>IFERROR(__xludf.DUMMYFUNCTION("""COMPUTED_VALUE"""),0.2549440625)</f>
        <v>0.2549440625</v>
      </c>
      <c r="J1667" s="4">
        <f>IFERROR(__xludf.DUMMYFUNCTION("""COMPUTED_VALUE"""),45949.27750590966)</f>
        <v>45949.27751</v>
      </c>
      <c r="K1667" s="4" t="str">
        <f>IFERROR(__xludf.DUMMYFUNCTION("""COMPUTED_VALUE"""),"")</f>
        <v/>
      </c>
      <c r="L1667" s="4">
        <f>IFERROR(__xludf.DUMMYFUNCTION("""COMPUTED_VALUE"""),45949.29171337199)</f>
        <v>45949.29171</v>
      </c>
      <c r="M1667" s="1" t="str">
        <f>IFERROR(__xludf.DUMMYFUNCTION("""COMPUTED_VALUE"""),"RFID")</f>
        <v>RFID</v>
      </c>
      <c r="N1667" s="5">
        <f>IFERROR(__xludf.DUMMYFUNCTION("""COMPUTED_VALUE"""),0.009024740740740741)</f>
        <v>0.009024740741</v>
      </c>
      <c r="O1667" s="5" t="str">
        <f>IFERROR(__xludf.DUMMYFUNCTION("""COMPUTED_VALUE"""),"")</f>
        <v/>
      </c>
      <c r="P1667" s="5" t="str">
        <f>IFERROR(__xludf.DUMMYFUNCTION("""COMPUTED_VALUE"""),"")</f>
        <v/>
      </c>
      <c r="Q1667" s="5">
        <f>IFERROR(__xludf.DUMMYFUNCTION("""COMPUTED_VALUE"""),0.007353861111111111)</f>
        <v>0.007353861111</v>
      </c>
      <c r="R1667" s="4">
        <f>IFERROR(__xludf.DUMMYFUNCTION("""COMPUTED_VALUE"""),45949.03676930949)</f>
        <v>45949.03677</v>
      </c>
      <c r="S1667" s="1" t="b">
        <f>IFERROR(__xludf.DUMMYFUNCTION("""COMPUTED_VALUE"""),TRUE)</f>
        <v>1</v>
      </c>
      <c r="T1667" s="1" t="b">
        <f>IFERROR(__xludf.DUMMYFUNCTION("""COMPUTED_VALUE"""),FALSE)</f>
        <v>0</v>
      </c>
      <c r="U1667" s="1" t="str">
        <f>IFERROR(__xludf.DUMMYFUNCTION("""COMPUTED_VALUE"""),"VALID")</f>
        <v>VALID</v>
      </c>
      <c r="V1667" s="1">
        <f>IFERROR(__xludf.DUMMYFUNCTION("""COMPUTED_VALUE"""),617.0)</f>
        <v>617</v>
      </c>
      <c r="W1667" s="1">
        <f>IFERROR(__xludf.DUMMYFUNCTION("""COMPUTED_VALUE"""),1011.0)</f>
        <v>1011</v>
      </c>
      <c r="X1667" s="1">
        <f>IFERROR(__xludf.DUMMYFUNCTION("""COMPUTED_VALUE"""),815.0)</f>
        <v>815</v>
      </c>
      <c r="Y1667" s="2"/>
      <c r="Z1667" s="2"/>
    </row>
    <row r="1668">
      <c r="A1668" s="1">
        <f>IFERROR(__xludf.DUMMYFUNCTION("""COMPUTED_VALUE"""),1667.0)</f>
        <v>1667</v>
      </c>
      <c r="B1668" s="1">
        <f>IFERROR(__xludf.DUMMYFUNCTION("""COMPUTED_VALUE"""),5019.0)</f>
        <v>5019</v>
      </c>
      <c r="C1668" s="2" t="str">
        <f>IFERROR(__xludf.DUMMYFUNCTION("""COMPUTED_VALUE"""),"arijani")</f>
        <v>arijani</v>
      </c>
      <c r="D1668" s="2" t="str">
        <f>IFERROR(__xludf.DUMMYFUNCTION("""COMPUTED_VALUE"""),"5KM OVERALL M")</f>
        <v>5KM OVERALL M</v>
      </c>
      <c r="E1668" s="1">
        <f>IFERROR(__xludf.DUMMYFUNCTION("""COMPUTED_VALUE"""),2.0)</f>
        <v>2</v>
      </c>
      <c r="F1668" s="1" t="str">
        <f>IFERROR(__xludf.DUMMYFUNCTION("""COMPUTED_VALUE"""),"Male")</f>
        <v>Male</v>
      </c>
      <c r="G1668" s="4" t="b">
        <f>IFERROR(__xludf.DUMMYFUNCTION("""COMPUTED_VALUE"""),TRUE)</f>
        <v>1</v>
      </c>
      <c r="H1668" s="4" t="b">
        <f>IFERROR(__xludf.DUMMYFUNCTION("""COMPUTED_VALUE"""),TRUE)</f>
        <v>1</v>
      </c>
      <c r="I1668" s="4">
        <f>IFERROR(__xludf.DUMMYFUNCTION("""COMPUTED_VALUE"""),0.2549440625)</f>
        <v>0.2549440625</v>
      </c>
      <c r="J1668" s="4">
        <f>IFERROR(__xludf.DUMMYFUNCTION("""COMPUTED_VALUE"""),45949.282422617835)</f>
        <v>45949.28242</v>
      </c>
      <c r="K1668" s="4" t="str">
        <f>IFERROR(__xludf.DUMMYFUNCTION("""COMPUTED_VALUE"""),"")</f>
        <v/>
      </c>
      <c r="L1668" s="4">
        <f>IFERROR(__xludf.DUMMYFUNCTION("""COMPUTED_VALUE"""),45949.30272720184)</f>
        <v>45949.30273</v>
      </c>
      <c r="M1668" s="1" t="str">
        <f>IFERROR(__xludf.DUMMYFUNCTION("""COMPUTED_VALUE"""),"RFID")</f>
        <v>RFID</v>
      </c>
      <c r="N1668" s="5">
        <f>IFERROR(__xludf.DUMMYFUNCTION("""COMPUTED_VALUE"""),0.010991421296296296)</f>
        <v>0.0109914213</v>
      </c>
      <c r="O1668" s="5" t="str">
        <f>IFERROR(__xludf.DUMMYFUNCTION("""COMPUTED_VALUE"""),"")</f>
        <v/>
      </c>
      <c r="P1668" s="5" t="str">
        <f>IFERROR(__xludf.DUMMYFUNCTION("""COMPUTED_VALUE"""),"")</f>
        <v/>
      </c>
      <c r="Q1668" s="5">
        <f>IFERROR(__xludf.DUMMYFUNCTION("""COMPUTED_VALUE"""),0.009556627314814815)</f>
        <v>0.009556627315</v>
      </c>
      <c r="R1668" s="4">
        <f>IFERROR(__xludf.DUMMYFUNCTION("""COMPUTED_VALUE"""),45949.04778313934)</f>
        <v>45949.04778</v>
      </c>
      <c r="S1668" s="1" t="b">
        <f>IFERROR(__xludf.DUMMYFUNCTION("""COMPUTED_VALUE"""),TRUE)</f>
        <v>1</v>
      </c>
      <c r="T1668" s="1" t="b">
        <f>IFERROR(__xludf.DUMMYFUNCTION("""COMPUTED_VALUE"""),FALSE)</f>
        <v>0</v>
      </c>
      <c r="U1668" s="1" t="str">
        <f>IFERROR(__xludf.DUMMYFUNCTION("""COMPUTED_VALUE"""),"VALID")</f>
        <v>VALID</v>
      </c>
      <c r="V1668" s="1">
        <f>IFERROR(__xludf.DUMMYFUNCTION("""COMPUTED_VALUE"""),824.0)</f>
        <v>824</v>
      </c>
      <c r="W1668" s="1">
        <f>IFERROR(__xludf.DUMMYFUNCTION("""COMPUTED_VALUE"""),1533.0)</f>
        <v>1533</v>
      </c>
      <c r="X1668" s="1">
        <f>IFERROR(__xludf.DUMMYFUNCTION("""COMPUTED_VALUE"""),1299.0)</f>
        <v>1299</v>
      </c>
      <c r="Y1668" s="2"/>
      <c r="Z1668" s="2"/>
    </row>
    <row r="1669">
      <c r="A1669" s="1">
        <f>IFERROR(__xludf.DUMMYFUNCTION("""COMPUTED_VALUE"""),1668.0)</f>
        <v>1668</v>
      </c>
      <c r="B1669" s="1">
        <f>IFERROR(__xludf.DUMMYFUNCTION("""COMPUTED_VALUE"""),5020.0)</f>
        <v>5020</v>
      </c>
      <c r="C1669" s="2" t="str">
        <f>IFERROR(__xludf.DUMMYFUNCTION("""COMPUTED_VALUE"""),"Riky G.")</f>
        <v>Riky G.</v>
      </c>
      <c r="D1669" s="2" t="str">
        <f>IFERROR(__xludf.DUMMYFUNCTION("""COMPUTED_VALUE"""),"5KM OVERALL M")</f>
        <v>5KM OVERALL M</v>
      </c>
      <c r="E1669" s="1">
        <f>IFERROR(__xludf.DUMMYFUNCTION("""COMPUTED_VALUE"""),2.0)</f>
        <v>2</v>
      </c>
      <c r="F1669" s="1" t="str">
        <f>IFERROR(__xludf.DUMMYFUNCTION("""COMPUTED_VALUE"""),"Male")</f>
        <v>Male</v>
      </c>
      <c r="G1669" s="4" t="b">
        <f>IFERROR(__xludf.DUMMYFUNCTION("""COMPUTED_VALUE"""),TRUE)</f>
        <v>1</v>
      </c>
      <c r="H1669" s="4" t="b">
        <f>IFERROR(__xludf.DUMMYFUNCTION("""COMPUTED_VALUE"""),TRUE)</f>
        <v>1</v>
      </c>
      <c r="I1669" s="4">
        <f>IFERROR(__xludf.DUMMYFUNCTION("""COMPUTED_VALUE"""),0.2549440625)</f>
        <v>0.2549440625</v>
      </c>
      <c r="J1669" s="4">
        <f>IFERROR(__xludf.DUMMYFUNCTION("""COMPUTED_VALUE"""),45949.262773230614)</f>
        <v>45949.26277</v>
      </c>
      <c r="K1669" s="4" t="str">
        <f>IFERROR(__xludf.DUMMYFUNCTION("""COMPUTED_VALUE"""),"")</f>
        <v/>
      </c>
      <c r="L1669" s="4">
        <f>IFERROR(__xludf.DUMMYFUNCTION("""COMPUTED_VALUE"""),45949.26944687208)</f>
        <v>45949.26945</v>
      </c>
      <c r="M1669" s="1" t="str">
        <f>IFERROR(__xludf.DUMMYFUNCTION("""COMPUTED_VALUE"""),"RFID")</f>
        <v>RFID</v>
      </c>
      <c r="N1669" s="5">
        <f>IFERROR(__xludf.DUMMYFUNCTION("""COMPUTED_VALUE"""),0.0031316666666666667)</f>
        <v>0.003131666667</v>
      </c>
      <c r="O1669" s="5" t="str">
        <f>IFERROR(__xludf.DUMMYFUNCTION("""COMPUTED_VALUE"""),"")</f>
        <v/>
      </c>
      <c r="P1669" s="5" t="str">
        <f>IFERROR(__xludf.DUMMYFUNCTION("""COMPUTED_VALUE"""),"")</f>
        <v/>
      </c>
      <c r="Q1669" s="5">
        <f>IFERROR(__xludf.DUMMYFUNCTION("""COMPUTED_VALUE"""),0.0029005624999999995)</f>
        <v>0.0029005625</v>
      </c>
      <c r="R1669" s="4">
        <f>IFERROR(__xludf.DUMMYFUNCTION("""COMPUTED_VALUE"""),45949.01450280958)</f>
        <v>45949.0145</v>
      </c>
      <c r="S1669" s="1" t="b">
        <f>IFERROR(__xludf.DUMMYFUNCTION("""COMPUTED_VALUE"""),TRUE)</f>
        <v>1</v>
      </c>
      <c r="T1669" s="1" t="b">
        <f>IFERROR(__xludf.DUMMYFUNCTION("""COMPUTED_VALUE"""),FALSE)</f>
        <v>0</v>
      </c>
      <c r="U1669" s="1" t="str">
        <f>IFERROR(__xludf.DUMMYFUNCTION("""COMPUTED_VALUE"""),"VALID")</f>
        <v>VALID</v>
      </c>
      <c r="V1669" s="1">
        <f>IFERROR(__xludf.DUMMYFUNCTION("""COMPUTED_VALUE"""),8.0)</f>
        <v>8</v>
      </c>
      <c r="W1669" s="1">
        <f>IFERROR(__xludf.DUMMYFUNCTION("""COMPUTED_VALUE"""),9.0)</f>
        <v>9</v>
      </c>
      <c r="X1669" s="1">
        <f>IFERROR(__xludf.DUMMYFUNCTION("""COMPUTED_VALUE"""),9.0)</f>
        <v>9</v>
      </c>
      <c r="Y1669" s="2"/>
      <c r="Z1669" s="2"/>
    </row>
    <row r="1670">
      <c r="A1670" s="1">
        <f>IFERROR(__xludf.DUMMYFUNCTION("""COMPUTED_VALUE"""),1669.0)</f>
        <v>1669</v>
      </c>
      <c r="B1670" s="1">
        <f>IFERROR(__xludf.DUMMYFUNCTION("""COMPUTED_VALUE"""),5021.0)</f>
        <v>5021</v>
      </c>
      <c r="C1670" s="2" t="str">
        <f>IFERROR(__xludf.DUMMYFUNCTION("""COMPUTED_VALUE"""),"FAUZAN")</f>
        <v>FAUZAN</v>
      </c>
      <c r="D1670" s="2" t="str">
        <f>IFERROR(__xludf.DUMMYFUNCTION("""COMPUTED_VALUE"""),"5KM OVERALL M")</f>
        <v>5KM OVERALL M</v>
      </c>
      <c r="E1670" s="1">
        <f>IFERROR(__xludf.DUMMYFUNCTION("""COMPUTED_VALUE"""),2.0)</f>
        <v>2</v>
      </c>
      <c r="F1670" s="1" t="str">
        <f>IFERROR(__xludf.DUMMYFUNCTION("""COMPUTED_VALUE"""),"Male")</f>
        <v>Male</v>
      </c>
      <c r="G1670" s="4" t="b">
        <f>IFERROR(__xludf.DUMMYFUNCTION("""COMPUTED_VALUE"""),TRUE)</f>
        <v>1</v>
      </c>
      <c r="H1670" s="4" t="b">
        <f>IFERROR(__xludf.DUMMYFUNCTION("""COMPUTED_VALUE"""),FALSE)</f>
        <v>0</v>
      </c>
      <c r="I1670" s="4">
        <f>IFERROR(__xludf.DUMMYFUNCTION("""COMPUTED_VALUE"""),0.2549440625)</f>
        <v>0.2549440625</v>
      </c>
      <c r="J1670" s="4">
        <f>IFERROR(__xludf.DUMMYFUNCTION("""COMPUTED_VALUE"""),45949.27408919469)</f>
        <v>45949.27409</v>
      </c>
      <c r="K1670" s="4" t="str">
        <f>IFERROR(__xludf.DUMMYFUNCTION("""COMPUTED_VALUE"""),"")</f>
        <v/>
      </c>
      <c r="L1670" s="4">
        <f>IFERROR(__xludf.DUMMYFUNCTION("""COMPUTED_VALUE"""),45949.288230747574)</f>
        <v>45949.28823</v>
      </c>
      <c r="M1670" s="1" t="str">
        <f>IFERROR(__xludf.DUMMYFUNCTION("""COMPUTED_VALUE"""),"RFID")</f>
        <v>RFID</v>
      </c>
      <c r="N1670" s="5">
        <f>IFERROR(__xludf.DUMMYFUNCTION("""COMPUTED_VALUE"""),0.007658050925925926)</f>
        <v>0.007658050926</v>
      </c>
      <c r="O1670" s="5" t="str">
        <f>IFERROR(__xludf.DUMMYFUNCTION("""COMPUTED_VALUE"""),"")</f>
        <v/>
      </c>
      <c r="P1670" s="5" t="str">
        <f>IFERROR(__xludf.DUMMYFUNCTION("""COMPUTED_VALUE"""),"")</f>
        <v/>
      </c>
      <c r="Q1670" s="5">
        <f>IFERROR(__xludf.DUMMYFUNCTION("""COMPUTED_VALUE"""),0.006657337962962963)</f>
        <v>0.006657337963</v>
      </c>
      <c r="R1670" s="4">
        <f>IFERROR(__xludf.DUMMYFUNCTION("""COMPUTED_VALUE"""),45949.03328668507)</f>
        <v>45949.03329</v>
      </c>
      <c r="S1670" s="1" t="b">
        <f>IFERROR(__xludf.DUMMYFUNCTION("""COMPUTED_VALUE"""),TRUE)</f>
        <v>1</v>
      </c>
      <c r="T1670" s="1" t="b">
        <f>IFERROR(__xludf.DUMMYFUNCTION("""COMPUTED_VALUE"""),FALSE)</f>
        <v>0</v>
      </c>
      <c r="U1670" s="1" t="str">
        <f>IFERROR(__xludf.DUMMYFUNCTION("""COMPUTED_VALUE"""),"VALID")</f>
        <v>VALID</v>
      </c>
      <c r="V1670" s="1">
        <f>IFERROR(__xludf.DUMMYFUNCTION("""COMPUTED_VALUE"""),508.0)</f>
        <v>508</v>
      </c>
      <c r="W1670" s="1">
        <f>IFERROR(__xludf.DUMMYFUNCTION("""COMPUTED_VALUE"""),793.0)</f>
        <v>793</v>
      </c>
      <c r="X1670" s="1">
        <f>IFERROR(__xludf.DUMMYFUNCTION("""COMPUTED_VALUE"""),655.0)</f>
        <v>655</v>
      </c>
      <c r="Y1670" s="2"/>
      <c r="Z1670" s="2"/>
    </row>
    <row r="1671">
      <c r="A1671" s="1">
        <f>IFERROR(__xludf.DUMMYFUNCTION("""COMPUTED_VALUE"""),1670.0)</f>
        <v>1670</v>
      </c>
      <c r="B1671" s="1">
        <f>IFERROR(__xludf.DUMMYFUNCTION("""COMPUTED_VALUE"""),5022.0)</f>
        <v>5022</v>
      </c>
      <c r="C1671" s="2" t="str">
        <f>IFERROR(__xludf.DUMMYFUNCTION("""COMPUTED_VALUE"""),"Dhimas Rizkyawan")</f>
        <v>Dhimas Rizkyawan</v>
      </c>
      <c r="D1671" s="2" t="str">
        <f>IFERROR(__xludf.DUMMYFUNCTION("""COMPUTED_VALUE"""),"5KM OVERALL M")</f>
        <v>5KM OVERALL M</v>
      </c>
      <c r="E1671" s="1">
        <f>IFERROR(__xludf.DUMMYFUNCTION("""COMPUTED_VALUE"""),2.0)</f>
        <v>2</v>
      </c>
      <c r="F1671" s="1" t="str">
        <f>IFERROR(__xludf.DUMMYFUNCTION("""COMPUTED_VALUE"""),"Male")</f>
        <v>Male</v>
      </c>
      <c r="G1671" s="4" t="b">
        <f>IFERROR(__xludf.DUMMYFUNCTION("""COMPUTED_VALUE"""),TRUE)</f>
        <v>1</v>
      </c>
      <c r="H1671" s="4" t="b">
        <f>IFERROR(__xludf.DUMMYFUNCTION("""COMPUTED_VALUE"""),TRUE)</f>
        <v>1</v>
      </c>
      <c r="I1671" s="4">
        <f>IFERROR(__xludf.DUMMYFUNCTION("""COMPUTED_VALUE"""),0.2549440625)</f>
        <v>0.2549440625</v>
      </c>
      <c r="J1671" s="4">
        <f>IFERROR(__xludf.DUMMYFUNCTION("""COMPUTED_VALUE"""),45949.27622810177)</f>
        <v>45949.27623</v>
      </c>
      <c r="K1671" s="4" t="str">
        <f>IFERROR(__xludf.DUMMYFUNCTION("""COMPUTED_VALUE"""),"")</f>
        <v/>
      </c>
      <c r="L1671" s="4">
        <f>IFERROR(__xludf.DUMMYFUNCTION("""COMPUTED_VALUE"""),45949.290557114706)</f>
        <v>45949.29056</v>
      </c>
      <c r="M1671" s="1" t="str">
        <f>IFERROR(__xludf.DUMMYFUNCTION("""COMPUTED_VALUE"""),"RFID")</f>
        <v>RFID</v>
      </c>
      <c r="N1671" s="5">
        <f>IFERROR(__xludf.DUMMYFUNCTION("""COMPUTED_VALUE"""),0.00851361574074074)</f>
        <v>0.008513615741</v>
      </c>
      <c r="O1671" s="5" t="str">
        <f>IFERROR(__xludf.DUMMYFUNCTION("""COMPUTED_VALUE"""),"")</f>
        <v/>
      </c>
      <c r="P1671" s="5" t="str">
        <f>IFERROR(__xludf.DUMMYFUNCTION("""COMPUTED_VALUE"""),"")</f>
        <v/>
      </c>
      <c r="Q1671" s="5">
        <f>IFERROR(__xludf.DUMMYFUNCTION("""COMPUTED_VALUE"""),0.00712261111111111)</f>
        <v>0.007122611111</v>
      </c>
      <c r="R1671" s="4">
        <f>IFERROR(__xludf.DUMMYFUNCTION("""COMPUTED_VALUE"""),45949.035613052205)</f>
        <v>45949.03561</v>
      </c>
      <c r="S1671" s="1" t="b">
        <f>IFERROR(__xludf.DUMMYFUNCTION("""COMPUTED_VALUE"""),TRUE)</f>
        <v>1</v>
      </c>
      <c r="T1671" s="1" t="b">
        <f>IFERROR(__xludf.DUMMYFUNCTION("""COMPUTED_VALUE"""),FALSE)</f>
        <v>0</v>
      </c>
      <c r="U1671" s="1" t="str">
        <f>IFERROR(__xludf.DUMMYFUNCTION("""COMPUTED_VALUE"""),"VALID")</f>
        <v>VALID</v>
      </c>
      <c r="V1671" s="1">
        <f>IFERROR(__xludf.DUMMYFUNCTION("""COMPUTED_VALUE"""),577.0)</f>
        <v>577</v>
      </c>
      <c r="W1671" s="1">
        <f>IFERROR(__xludf.DUMMYFUNCTION("""COMPUTED_VALUE"""),923.0)</f>
        <v>923</v>
      </c>
      <c r="X1671" s="1">
        <f>IFERROR(__xludf.DUMMYFUNCTION("""COMPUTED_VALUE"""),753.0)</f>
        <v>753</v>
      </c>
      <c r="Y1671" s="2"/>
      <c r="Z1671" s="2"/>
    </row>
    <row r="1672">
      <c r="A1672" s="1">
        <f>IFERROR(__xludf.DUMMYFUNCTION("""COMPUTED_VALUE"""),1671.0)</f>
        <v>1671</v>
      </c>
      <c r="B1672" s="1">
        <f>IFERROR(__xludf.DUMMYFUNCTION("""COMPUTED_VALUE"""),5028.0)</f>
        <v>5028</v>
      </c>
      <c r="C1672" s="2" t="str">
        <f>IFERROR(__xludf.DUMMYFUNCTION("""COMPUTED_VALUE"""),"saputra gilang")</f>
        <v>saputra gilang</v>
      </c>
      <c r="D1672" s="2" t="str">
        <f>IFERROR(__xludf.DUMMYFUNCTION("""COMPUTED_VALUE"""),"5KM OVERALL M")</f>
        <v>5KM OVERALL M</v>
      </c>
      <c r="E1672" s="1">
        <f>IFERROR(__xludf.DUMMYFUNCTION("""COMPUTED_VALUE"""),2.0)</f>
        <v>2</v>
      </c>
      <c r="F1672" s="1" t="str">
        <f>IFERROR(__xludf.DUMMYFUNCTION("""COMPUTED_VALUE"""),"Male")</f>
        <v>Male</v>
      </c>
      <c r="G1672" s="4" t="b">
        <f>IFERROR(__xludf.DUMMYFUNCTION("""COMPUTED_VALUE"""),TRUE)</f>
        <v>1</v>
      </c>
      <c r="H1672" s="4" t="b">
        <f>IFERROR(__xludf.DUMMYFUNCTION("""COMPUTED_VALUE"""),FALSE)</f>
        <v>0</v>
      </c>
      <c r="I1672" s="4">
        <f>IFERROR(__xludf.DUMMYFUNCTION("""COMPUTED_VALUE"""),0.2549440625)</f>
        <v>0.2549440625</v>
      </c>
      <c r="J1672" s="4">
        <f>IFERROR(__xludf.DUMMYFUNCTION("""COMPUTED_VALUE"""),45949.28082883334)</f>
        <v>45949.28083</v>
      </c>
      <c r="K1672" s="4" t="str">
        <f>IFERROR(__xludf.DUMMYFUNCTION("""COMPUTED_VALUE"""),"")</f>
        <v/>
      </c>
      <c r="L1672" s="4">
        <f>IFERROR(__xludf.DUMMYFUNCTION("""COMPUTED_VALUE"""),45949.29952934747)</f>
        <v>45949.29953</v>
      </c>
      <c r="M1672" s="1" t="str">
        <f>IFERROR(__xludf.DUMMYFUNCTION("""COMPUTED_VALUE"""),"RFID")</f>
        <v>RFID</v>
      </c>
      <c r="N1672" s="5">
        <f>IFERROR(__xludf.DUMMYFUNCTION("""COMPUTED_VALUE"""),0.010353907407407407)</f>
        <v>0.01035390741</v>
      </c>
      <c r="O1672" s="5" t="str">
        <f>IFERROR(__xludf.DUMMYFUNCTION("""COMPUTED_VALUE"""),"")</f>
        <v/>
      </c>
      <c r="P1672" s="5" t="str">
        <f>IFERROR(__xludf.DUMMYFUNCTION("""COMPUTED_VALUE"""),"")</f>
        <v/>
      </c>
      <c r="Q1672" s="5">
        <f>IFERROR(__xludf.DUMMYFUNCTION("""COMPUTED_VALUE"""),0.00891705787037037)</f>
        <v>0.00891705787</v>
      </c>
      <c r="R1672" s="4">
        <f>IFERROR(__xludf.DUMMYFUNCTION("""COMPUTED_VALUE"""),45949.044585284966)</f>
        <v>45949.04459</v>
      </c>
      <c r="S1672" s="1" t="b">
        <f>IFERROR(__xludf.DUMMYFUNCTION("""COMPUTED_VALUE"""),TRUE)</f>
        <v>1</v>
      </c>
      <c r="T1672" s="1" t="b">
        <f>IFERROR(__xludf.DUMMYFUNCTION("""COMPUTED_VALUE"""),FALSE)</f>
        <v>0</v>
      </c>
      <c r="U1672" s="1" t="str">
        <f>IFERROR(__xludf.DUMMYFUNCTION("""COMPUTED_VALUE"""),"VALID")</f>
        <v>VALID</v>
      </c>
      <c r="V1672" s="1">
        <f>IFERROR(__xludf.DUMMYFUNCTION("""COMPUTED_VALUE"""),791.0)</f>
        <v>791</v>
      </c>
      <c r="W1672" s="1">
        <f>IFERROR(__xludf.DUMMYFUNCTION("""COMPUTED_VALUE"""),1434.0)</f>
        <v>1434</v>
      </c>
      <c r="X1672" s="1">
        <f>IFERROR(__xludf.DUMMYFUNCTION("""COMPUTED_VALUE"""),1182.0)</f>
        <v>1182</v>
      </c>
      <c r="Y1672" s="2"/>
      <c r="Z1672" s="2"/>
    </row>
    <row r="1673">
      <c r="A1673" s="1">
        <f>IFERROR(__xludf.DUMMYFUNCTION("""COMPUTED_VALUE"""),1672.0)</f>
        <v>1672</v>
      </c>
      <c r="B1673" s="1">
        <f>IFERROR(__xludf.DUMMYFUNCTION("""COMPUTED_VALUE"""),5029.0)</f>
        <v>5029</v>
      </c>
      <c r="C1673" s="2" t="str">
        <f>IFERROR(__xludf.DUMMYFUNCTION("""COMPUTED_VALUE"""),"Hendra A.S")</f>
        <v>Hendra A.S</v>
      </c>
      <c r="D1673" s="2" t="str">
        <f>IFERROR(__xludf.DUMMYFUNCTION("""COMPUTED_VALUE"""),"5KM OVERALL M")</f>
        <v>5KM OVERALL M</v>
      </c>
      <c r="E1673" s="1">
        <f>IFERROR(__xludf.DUMMYFUNCTION("""COMPUTED_VALUE"""),2.0)</f>
        <v>2</v>
      </c>
      <c r="F1673" s="1" t="str">
        <f>IFERROR(__xludf.DUMMYFUNCTION("""COMPUTED_VALUE"""),"Male")</f>
        <v>Male</v>
      </c>
      <c r="G1673" s="4" t="b">
        <f>IFERROR(__xludf.DUMMYFUNCTION("""COMPUTED_VALUE"""),TRUE)</f>
        <v>1</v>
      </c>
      <c r="H1673" s="4" t="b">
        <f>IFERROR(__xludf.DUMMYFUNCTION("""COMPUTED_VALUE"""),TRUE)</f>
        <v>1</v>
      </c>
      <c r="I1673" s="4">
        <f>IFERROR(__xludf.DUMMYFUNCTION("""COMPUTED_VALUE"""),0.2549440625)</f>
        <v>0.2549440625</v>
      </c>
      <c r="J1673" s="4">
        <f>IFERROR(__xludf.DUMMYFUNCTION("""COMPUTED_VALUE"""),45949.26986007232)</f>
        <v>45949.26986</v>
      </c>
      <c r="K1673" s="4" t="str">
        <f>IFERROR(__xludf.DUMMYFUNCTION("""COMPUTED_VALUE"""),"")</f>
        <v/>
      </c>
      <c r="L1673" s="4">
        <f>IFERROR(__xludf.DUMMYFUNCTION("""COMPUTED_VALUE"""),45949.28133490723)</f>
        <v>45949.28133</v>
      </c>
      <c r="M1673" s="1" t="str">
        <f>IFERROR(__xludf.DUMMYFUNCTION("""COMPUTED_VALUE"""),"RFID")</f>
        <v>RFID</v>
      </c>
      <c r="N1673" s="5">
        <f>IFERROR(__xludf.DUMMYFUNCTION("""COMPUTED_VALUE"""),0.005966402777777777)</f>
        <v>0.005966402778</v>
      </c>
      <c r="O1673" s="5" t="str">
        <f>IFERROR(__xludf.DUMMYFUNCTION("""COMPUTED_VALUE"""),"")</f>
        <v/>
      </c>
      <c r="P1673" s="5" t="str">
        <f>IFERROR(__xludf.DUMMYFUNCTION("""COMPUTED_VALUE"""),"")</f>
        <v/>
      </c>
      <c r="Q1673" s="5">
        <f>IFERROR(__xludf.DUMMYFUNCTION("""COMPUTED_VALUE"""),0.005278168981481481)</f>
        <v>0.005278168981</v>
      </c>
      <c r="R1673" s="4">
        <f>IFERROR(__xludf.DUMMYFUNCTION("""COMPUTED_VALUE"""),45949.02639084473)</f>
        <v>45949.02639</v>
      </c>
      <c r="S1673" s="1" t="b">
        <f>IFERROR(__xludf.DUMMYFUNCTION("""COMPUTED_VALUE"""),TRUE)</f>
        <v>1</v>
      </c>
      <c r="T1673" s="1" t="b">
        <f>IFERROR(__xludf.DUMMYFUNCTION("""COMPUTED_VALUE"""),FALSE)</f>
        <v>0</v>
      </c>
      <c r="U1673" s="1" t="str">
        <f>IFERROR(__xludf.DUMMYFUNCTION("""COMPUTED_VALUE"""),"VALID")</f>
        <v>VALID</v>
      </c>
      <c r="V1673" s="1">
        <f>IFERROR(__xludf.DUMMYFUNCTION("""COMPUTED_VALUE"""),230.0)</f>
        <v>230</v>
      </c>
      <c r="W1673" s="1">
        <f>IFERROR(__xludf.DUMMYFUNCTION("""COMPUTED_VALUE"""),353.0)</f>
        <v>353</v>
      </c>
      <c r="X1673" s="1">
        <f>IFERROR(__xludf.DUMMYFUNCTION("""COMPUTED_VALUE"""),307.0)</f>
        <v>307</v>
      </c>
      <c r="Y1673" s="2"/>
      <c r="Z1673" s="2"/>
    </row>
    <row r="1674">
      <c r="A1674" s="1">
        <f>IFERROR(__xludf.DUMMYFUNCTION("""COMPUTED_VALUE"""),1673.0)</f>
        <v>1673</v>
      </c>
      <c r="B1674" s="1">
        <f>IFERROR(__xludf.DUMMYFUNCTION("""COMPUTED_VALUE"""),5030.0)</f>
        <v>5030</v>
      </c>
      <c r="C1674" s="2" t="str">
        <f>IFERROR(__xludf.DUMMYFUNCTION("""COMPUTED_VALUE"""),"RAN")</f>
        <v>RAN</v>
      </c>
      <c r="D1674" s="2" t="str">
        <f>IFERROR(__xludf.DUMMYFUNCTION("""COMPUTED_VALUE"""),"5KM OVERALL M")</f>
        <v>5KM OVERALL M</v>
      </c>
      <c r="E1674" s="1">
        <f>IFERROR(__xludf.DUMMYFUNCTION("""COMPUTED_VALUE"""),2.0)</f>
        <v>2</v>
      </c>
      <c r="F1674" s="1" t="str">
        <f>IFERROR(__xludf.DUMMYFUNCTION("""COMPUTED_VALUE"""),"Male")</f>
        <v>Male</v>
      </c>
      <c r="G1674" s="4" t="b">
        <f>IFERROR(__xludf.DUMMYFUNCTION("""COMPUTED_VALUE"""),TRUE)</f>
        <v>1</v>
      </c>
      <c r="H1674" s="4" t="b">
        <f>IFERROR(__xludf.DUMMYFUNCTION("""COMPUTED_VALUE"""),TRUE)</f>
        <v>1</v>
      </c>
      <c r="I1674" s="4">
        <f>IFERROR(__xludf.DUMMYFUNCTION("""COMPUTED_VALUE"""),0.2549440625)</f>
        <v>0.2549440625</v>
      </c>
      <c r="J1674" s="4">
        <f>IFERROR(__xludf.DUMMYFUNCTION("""COMPUTED_VALUE"""),45949.28210308566)</f>
        <v>45949.2821</v>
      </c>
      <c r="K1674" s="4" t="str">
        <f>IFERROR(__xludf.DUMMYFUNCTION("""COMPUTED_VALUE"""),"")</f>
        <v/>
      </c>
      <c r="L1674" s="4">
        <f>IFERROR(__xludf.DUMMYFUNCTION("""COMPUTED_VALUE"""),45949.30378624221)</f>
        <v>45949.30379</v>
      </c>
      <c r="M1674" s="1" t="str">
        <f>IFERROR(__xludf.DUMMYFUNCTION("""COMPUTED_VALUE"""),"RFID")</f>
        <v>RFID</v>
      </c>
      <c r="N1674" s="5">
        <f>IFERROR(__xludf.DUMMYFUNCTION("""COMPUTED_VALUE"""),0.010863611111111112)</f>
        <v>0.01086361111</v>
      </c>
      <c r="O1674" s="5" t="str">
        <f>IFERROR(__xludf.DUMMYFUNCTION("""COMPUTED_VALUE"""),"")</f>
        <v/>
      </c>
      <c r="P1674" s="5" t="str">
        <f>IFERROR(__xludf.DUMMYFUNCTION("""COMPUTED_VALUE"""),"")</f>
        <v/>
      </c>
      <c r="Q1674" s="5">
        <f>IFERROR(__xludf.DUMMYFUNCTION("""COMPUTED_VALUE"""),0.009768435185185186)</f>
        <v>0.009768435185</v>
      </c>
      <c r="R1674" s="4">
        <f>IFERROR(__xludf.DUMMYFUNCTION("""COMPUTED_VALUE"""),45949.04884217971)</f>
        <v>45949.04884</v>
      </c>
      <c r="S1674" s="1" t="b">
        <f>IFERROR(__xludf.DUMMYFUNCTION("""COMPUTED_VALUE"""),TRUE)</f>
        <v>1</v>
      </c>
      <c r="T1674" s="1" t="b">
        <f>IFERROR(__xludf.DUMMYFUNCTION("""COMPUTED_VALUE"""),FALSE)</f>
        <v>0</v>
      </c>
      <c r="U1674" s="1" t="str">
        <f>IFERROR(__xludf.DUMMYFUNCTION("""COMPUTED_VALUE"""),"VALID")</f>
        <v>VALID</v>
      </c>
      <c r="V1674" s="1">
        <f>IFERROR(__xludf.DUMMYFUNCTION("""COMPUTED_VALUE"""),836.0)</f>
        <v>836</v>
      </c>
      <c r="W1674" s="1">
        <f>IFERROR(__xludf.DUMMYFUNCTION("""COMPUTED_VALUE"""),1559.0)</f>
        <v>1559</v>
      </c>
      <c r="X1674" s="1">
        <f>IFERROR(__xludf.DUMMYFUNCTION("""COMPUTED_VALUE"""),1331.0)</f>
        <v>1331</v>
      </c>
      <c r="Y1674" s="2"/>
      <c r="Z1674" s="2"/>
    </row>
    <row r="1675">
      <c r="A1675" s="1">
        <f>IFERROR(__xludf.DUMMYFUNCTION("""COMPUTED_VALUE"""),1674.0)</f>
        <v>1674</v>
      </c>
      <c r="B1675" s="1">
        <f>IFERROR(__xludf.DUMMYFUNCTION("""COMPUTED_VALUE"""),5034.0)</f>
        <v>5034</v>
      </c>
      <c r="C1675" s="2" t="str">
        <f>IFERROR(__xludf.DUMMYFUNCTION("""COMPUTED_VALUE"""),"FAJAR")</f>
        <v>FAJAR</v>
      </c>
      <c r="D1675" s="2" t="str">
        <f>IFERROR(__xludf.DUMMYFUNCTION("""COMPUTED_VALUE"""),"5KM OVERALL M")</f>
        <v>5KM OVERALL M</v>
      </c>
      <c r="E1675" s="1">
        <f>IFERROR(__xludf.DUMMYFUNCTION("""COMPUTED_VALUE"""),2.0)</f>
        <v>2</v>
      </c>
      <c r="F1675" s="1" t="str">
        <f>IFERROR(__xludf.DUMMYFUNCTION("""COMPUTED_VALUE"""),"Male")</f>
        <v>Male</v>
      </c>
      <c r="G1675" s="4" t="str">
        <f>IFERROR(__xludf.DUMMYFUNCTION("""COMPUTED_VALUE"""),"")</f>
        <v/>
      </c>
      <c r="H1675" s="4" t="b">
        <f>IFERROR(__xludf.DUMMYFUNCTION("""COMPUTED_VALUE"""),FALSE)</f>
        <v>0</v>
      </c>
      <c r="I1675" s="4">
        <f>IFERROR(__xludf.DUMMYFUNCTION("""COMPUTED_VALUE"""),0.2549440625)</f>
        <v>0.2549440625</v>
      </c>
      <c r="J1675" s="4" t="str">
        <f>IFERROR(__xludf.DUMMYFUNCTION("""COMPUTED_VALUE"""),"")</f>
        <v/>
      </c>
      <c r="K1675" s="4" t="str">
        <f>IFERROR(__xludf.DUMMYFUNCTION("""COMPUTED_VALUE"""),"")</f>
        <v/>
      </c>
      <c r="L1675" s="4" t="str">
        <f>IFERROR(__xludf.DUMMYFUNCTION("""COMPUTED_VALUE"""),"")</f>
        <v/>
      </c>
      <c r="M1675" s="1" t="str">
        <f>IFERROR(__xludf.DUMMYFUNCTION("""COMPUTED_VALUE"""),"RFID")</f>
        <v>RFID</v>
      </c>
      <c r="N1675" s="5" t="str">
        <f>IFERROR(__xludf.DUMMYFUNCTION("""COMPUTED_VALUE"""),"")</f>
        <v/>
      </c>
      <c r="O1675" s="5" t="str">
        <f>IFERROR(__xludf.DUMMYFUNCTION("""COMPUTED_VALUE"""),"")</f>
        <v/>
      </c>
      <c r="P1675" s="5" t="str">
        <f>IFERROR(__xludf.DUMMYFUNCTION("""COMPUTED_VALUE"""),"")</f>
        <v/>
      </c>
      <c r="Q1675" s="5" t="str">
        <f>IFERROR(__xludf.DUMMYFUNCTION("""COMPUTED_VALUE"""),"")</f>
        <v/>
      </c>
      <c r="R1675" s="4" t="str">
        <f>IFERROR(__xludf.DUMMYFUNCTION("""COMPUTED_VALUE"""),"")</f>
        <v/>
      </c>
      <c r="S1675" s="1" t="b">
        <f>IFERROR(__xludf.DUMMYFUNCTION("""COMPUTED_VALUE"""),FALSE)</f>
        <v>0</v>
      </c>
      <c r="T1675" s="1" t="b">
        <f>IFERROR(__xludf.DUMMYFUNCTION("""COMPUTED_VALUE"""),FALSE)</f>
        <v>0</v>
      </c>
      <c r="U1675" s="1" t="str">
        <f>IFERROR(__xludf.DUMMYFUNCTION("""COMPUTED_VALUE"""),"DSQ")</f>
        <v>DSQ</v>
      </c>
      <c r="V1675" s="1" t="str">
        <f>IFERROR(__xludf.DUMMYFUNCTION("""COMPUTED_VALUE"""),"DSQ")</f>
        <v>DSQ</v>
      </c>
      <c r="W1675" s="1" t="str">
        <f>IFERROR(__xludf.DUMMYFUNCTION("""COMPUTED_VALUE"""),"DSQ")</f>
        <v>DSQ</v>
      </c>
      <c r="X1675" s="1" t="str">
        <f>IFERROR(__xludf.DUMMYFUNCTION("""COMPUTED_VALUE"""),"DSQ")</f>
        <v>DSQ</v>
      </c>
      <c r="Y1675" s="2"/>
      <c r="Z1675" s="2" t="str">
        <f>IFERROR(__xludf.DUMMYFUNCTION("""COMPUTED_VALUE"""),"")</f>
        <v/>
      </c>
    </row>
    <row r="1676">
      <c r="A1676" s="1">
        <f>IFERROR(__xludf.DUMMYFUNCTION("""COMPUTED_VALUE"""),1675.0)</f>
        <v>1675</v>
      </c>
      <c r="B1676" s="1">
        <f>IFERROR(__xludf.DUMMYFUNCTION("""COMPUTED_VALUE"""),5035.0)</f>
        <v>5035</v>
      </c>
      <c r="C1676" s="2" t="str">
        <f>IFERROR(__xludf.DUMMYFUNCTION("""COMPUTED_VALUE"""),"Abdul Latif")</f>
        <v>Abdul Latif</v>
      </c>
      <c r="D1676" s="2" t="str">
        <f>IFERROR(__xludf.DUMMYFUNCTION("""COMPUTED_VALUE"""),"5KM OVERALL M")</f>
        <v>5KM OVERALL M</v>
      </c>
      <c r="E1676" s="1">
        <f>IFERROR(__xludf.DUMMYFUNCTION("""COMPUTED_VALUE"""),2.0)</f>
        <v>2</v>
      </c>
      <c r="F1676" s="1" t="str">
        <f>IFERROR(__xludf.DUMMYFUNCTION("""COMPUTED_VALUE"""),"Male")</f>
        <v>Male</v>
      </c>
      <c r="G1676" s="4" t="b">
        <f>IFERROR(__xludf.DUMMYFUNCTION("""COMPUTED_VALUE"""),TRUE)</f>
        <v>1</v>
      </c>
      <c r="H1676" s="4" t="b">
        <f>IFERROR(__xludf.DUMMYFUNCTION("""COMPUTED_VALUE"""),TRUE)</f>
        <v>1</v>
      </c>
      <c r="I1676" s="4">
        <f>IFERROR(__xludf.DUMMYFUNCTION("""COMPUTED_VALUE"""),0.2549440625)</f>
        <v>0.2549440625</v>
      </c>
      <c r="J1676" s="4">
        <f>IFERROR(__xludf.DUMMYFUNCTION("""COMPUTED_VALUE"""),45949.27631144444)</f>
        <v>45949.27631</v>
      </c>
      <c r="K1676" s="4" t="str">
        <f>IFERROR(__xludf.DUMMYFUNCTION("""COMPUTED_VALUE"""),"")</f>
        <v/>
      </c>
      <c r="L1676" s="4">
        <f>IFERROR(__xludf.DUMMYFUNCTION("""COMPUTED_VALUE"""),45949.289959896625)</f>
        <v>45949.28996</v>
      </c>
      <c r="M1676" s="1" t="str">
        <f>IFERROR(__xludf.DUMMYFUNCTION("""COMPUTED_VALUE"""),"RFID")</f>
        <v>RFID</v>
      </c>
      <c r="N1676" s="5">
        <f>IFERROR(__xludf.DUMMYFUNCTION("""COMPUTED_VALUE"""),0.008546953703703704)</f>
        <v>0.008546953704</v>
      </c>
      <c r="O1676" s="5" t="str">
        <f>IFERROR(__xludf.DUMMYFUNCTION("""COMPUTED_VALUE"""),"")</f>
        <v/>
      </c>
      <c r="P1676" s="5" t="str">
        <f>IFERROR(__xludf.DUMMYFUNCTION("""COMPUTED_VALUE"""),"")</f>
        <v/>
      </c>
      <c r="Q1676" s="5">
        <f>IFERROR(__xludf.DUMMYFUNCTION("""COMPUTED_VALUE"""),0.007003166666666666)</f>
        <v>0.007003166667</v>
      </c>
      <c r="R1676" s="4">
        <f>IFERROR(__xludf.DUMMYFUNCTION("""COMPUTED_VALUE"""),45949.035015834124)</f>
        <v>45949.03502</v>
      </c>
      <c r="S1676" s="1" t="b">
        <f>IFERROR(__xludf.DUMMYFUNCTION("""COMPUTED_VALUE"""),TRUE)</f>
        <v>1</v>
      </c>
      <c r="T1676" s="1" t="b">
        <f>IFERROR(__xludf.DUMMYFUNCTION("""COMPUTED_VALUE"""),FALSE)</f>
        <v>0</v>
      </c>
      <c r="U1676" s="1" t="str">
        <f>IFERROR(__xludf.DUMMYFUNCTION("""COMPUTED_VALUE"""),"VALID")</f>
        <v>VALID</v>
      </c>
      <c r="V1676" s="1">
        <f>IFERROR(__xludf.DUMMYFUNCTION("""COMPUTED_VALUE"""),560.0)</f>
        <v>560</v>
      </c>
      <c r="W1676" s="1">
        <f>IFERROR(__xludf.DUMMYFUNCTION("""COMPUTED_VALUE"""),888.0)</f>
        <v>888</v>
      </c>
      <c r="X1676" s="1">
        <f>IFERROR(__xludf.DUMMYFUNCTION("""COMPUTED_VALUE"""),724.0)</f>
        <v>724</v>
      </c>
      <c r="Y1676" s="2"/>
      <c r="Z1676" s="2"/>
    </row>
    <row r="1677">
      <c r="A1677" s="1">
        <f>IFERROR(__xludf.DUMMYFUNCTION("""COMPUTED_VALUE"""),1676.0)</f>
        <v>1676</v>
      </c>
      <c r="B1677" s="1">
        <f>IFERROR(__xludf.DUMMYFUNCTION("""COMPUTED_VALUE"""),5036.0)</f>
        <v>5036</v>
      </c>
      <c r="C1677" s="2" t="str">
        <f>IFERROR(__xludf.DUMMYFUNCTION("""COMPUTED_VALUE"""),"alfian")</f>
        <v>alfian</v>
      </c>
      <c r="D1677" s="2" t="str">
        <f>IFERROR(__xludf.DUMMYFUNCTION("""COMPUTED_VALUE"""),"5KM OVERALL M")</f>
        <v>5KM OVERALL M</v>
      </c>
      <c r="E1677" s="1">
        <f>IFERROR(__xludf.DUMMYFUNCTION("""COMPUTED_VALUE"""),2.0)</f>
        <v>2</v>
      </c>
      <c r="F1677" s="1" t="str">
        <f>IFERROR(__xludf.DUMMYFUNCTION("""COMPUTED_VALUE"""),"Male")</f>
        <v>Male</v>
      </c>
      <c r="G1677" s="4" t="b">
        <f>IFERROR(__xludf.DUMMYFUNCTION("""COMPUTED_VALUE"""),TRUE)</f>
        <v>1</v>
      </c>
      <c r="H1677" s="4" t="b">
        <f>IFERROR(__xludf.DUMMYFUNCTION("""COMPUTED_VALUE"""),TRUE)</f>
        <v>1</v>
      </c>
      <c r="I1677" s="4">
        <f>IFERROR(__xludf.DUMMYFUNCTION("""COMPUTED_VALUE"""),0.2549440625)</f>
        <v>0.2549440625</v>
      </c>
      <c r="J1677" s="4">
        <f>IFERROR(__xludf.DUMMYFUNCTION("""COMPUTED_VALUE"""),45949.27054758252)</f>
        <v>45949.27055</v>
      </c>
      <c r="K1677" s="4" t="str">
        <f>IFERROR(__xludf.DUMMYFUNCTION("""COMPUTED_VALUE"""),"")</f>
        <v/>
      </c>
      <c r="L1677" s="4">
        <f>IFERROR(__xludf.DUMMYFUNCTION("""COMPUTED_VALUE"""),45949.282352266586)</f>
        <v>45949.28235</v>
      </c>
      <c r="M1677" s="1" t="str">
        <f>IFERROR(__xludf.DUMMYFUNCTION("""COMPUTED_VALUE"""),"RFID")</f>
        <v>RFID</v>
      </c>
      <c r="N1677" s="5">
        <f>IFERROR(__xludf.DUMMYFUNCTION("""COMPUTED_VALUE"""),0.006241407407407407)</f>
        <v>0.006241407407</v>
      </c>
      <c r="O1677" s="5" t="str">
        <f>IFERROR(__xludf.DUMMYFUNCTION("""COMPUTED_VALUE"""),"")</f>
        <v/>
      </c>
      <c r="P1677" s="5" t="str">
        <f>IFERROR(__xludf.DUMMYFUNCTION("""COMPUTED_VALUE"""),"")</f>
        <v/>
      </c>
      <c r="Q1677" s="5">
        <f>IFERROR(__xludf.DUMMYFUNCTION("""COMPUTED_VALUE"""),0.005481641203703704)</f>
        <v>0.005481641204</v>
      </c>
      <c r="R1677" s="4">
        <f>IFERROR(__xludf.DUMMYFUNCTION("""COMPUTED_VALUE"""),45949.027408204085)</f>
        <v>45949.02741</v>
      </c>
      <c r="S1677" s="1" t="b">
        <f>IFERROR(__xludf.DUMMYFUNCTION("""COMPUTED_VALUE"""),TRUE)</f>
        <v>1</v>
      </c>
      <c r="T1677" s="1" t="b">
        <f>IFERROR(__xludf.DUMMYFUNCTION("""COMPUTED_VALUE"""),FALSE)</f>
        <v>0</v>
      </c>
      <c r="U1677" s="1" t="str">
        <f>IFERROR(__xludf.DUMMYFUNCTION("""COMPUTED_VALUE"""),"VALID")</f>
        <v>VALID</v>
      </c>
      <c r="V1677" s="1">
        <f>IFERROR(__xludf.DUMMYFUNCTION("""COMPUTED_VALUE"""),261.0)</f>
        <v>261</v>
      </c>
      <c r="W1677" s="1">
        <f>IFERROR(__xludf.DUMMYFUNCTION("""COMPUTED_VALUE"""),398.0)</f>
        <v>398</v>
      </c>
      <c r="X1677" s="1">
        <f>IFERROR(__xludf.DUMMYFUNCTION("""COMPUTED_VALUE"""),346.0)</f>
        <v>346</v>
      </c>
      <c r="Y1677" s="2"/>
      <c r="Z1677" s="2"/>
    </row>
    <row r="1678">
      <c r="A1678" s="1">
        <f>IFERROR(__xludf.DUMMYFUNCTION("""COMPUTED_VALUE"""),1677.0)</f>
        <v>1677</v>
      </c>
      <c r="B1678" s="1">
        <f>IFERROR(__xludf.DUMMYFUNCTION("""COMPUTED_VALUE"""),5038.0)</f>
        <v>5038</v>
      </c>
      <c r="C1678" s="2" t="str">
        <f>IFERROR(__xludf.DUMMYFUNCTION("""COMPUTED_VALUE"""),"HFZADE")</f>
        <v>HFZADE</v>
      </c>
      <c r="D1678" s="2" t="str">
        <f>IFERROR(__xludf.DUMMYFUNCTION("""COMPUTED_VALUE"""),"5KM OVERALL M")</f>
        <v>5KM OVERALL M</v>
      </c>
      <c r="E1678" s="1">
        <f>IFERROR(__xludf.DUMMYFUNCTION("""COMPUTED_VALUE"""),2.0)</f>
        <v>2</v>
      </c>
      <c r="F1678" s="1" t="str">
        <f>IFERROR(__xludf.DUMMYFUNCTION("""COMPUTED_VALUE"""),"Male")</f>
        <v>Male</v>
      </c>
      <c r="G1678" s="4" t="b">
        <f>IFERROR(__xludf.DUMMYFUNCTION("""COMPUTED_VALUE"""),TRUE)</f>
        <v>1</v>
      </c>
      <c r="H1678" s="4" t="b">
        <f>IFERROR(__xludf.DUMMYFUNCTION("""COMPUTED_VALUE"""),FALSE)</f>
        <v>0</v>
      </c>
      <c r="I1678" s="4">
        <f>IFERROR(__xludf.DUMMYFUNCTION("""COMPUTED_VALUE"""),0.2549440625)</f>
        <v>0.2549440625</v>
      </c>
      <c r="J1678" s="4">
        <f>IFERROR(__xludf.DUMMYFUNCTION("""COMPUTED_VALUE"""),45949.271307945586)</f>
        <v>45949.27131</v>
      </c>
      <c r="K1678" s="4" t="str">
        <f>IFERROR(__xludf.DUMMYFUNCTION("""COMPUTED_VALUE"""),"")</f>
        <v/>
      </c>
      <c r="L1678" s="4">
        <f>IFERROR(__xludf.DUMMYFUNCTION("""COMPUTED_VALUE"""),45949.28322437201)</f>
        <v>45949.28322</v>
      </c>
      <c r="M1678" s="1" t="str">
        <f>IFERROR(__xludf.DUMMYFUNCTION("""COMPUTED_VALUE"""),"RFID")</f>
        <v>RFID</v>
      </c>
      <c r="N1678" s="5">
        <f>IFERROR(__xludf.DUMMYFUNCTION("""COMPUTED_VALUE"""),0.006545550925925926)</f>
        <v>0.006545550926</v>
      </c>
      <c r="O1678" s="5" t="str">
        <f>IFERROR(__xludf.DUMMYFUNCTION("""COMPUTED_VALUE"""),"")</f>
        <v/>
      </c>
      <c r="P1678" s="5" t="str">
        <f>IFERROR(__xludf.DUMMYFUNCTION("""COMPUTED_VALUE"""),"")</f>
        <v/>
      </c>
      <c r="Q1678" s="5">
        <f>IFERROR(__xludf.DUMMYFUNCTION("""COMPUTED_VALUE"""),0.0056560625)</f>
        <v>0.0056560625</v>
      </c>
      <c r="R1678" s="4">
        <f>IFERROR(__xludf.DUMMYFUNCTION("""COMPUTED_VALUE"""),45949.02828030951)</f>
        <v>45949.02828</v>
      </c>
      <c r="S1678" s="1" t="b">
        <f>IFERROR(__xludf.DUMMYFUNCTION("""COMPUTED_VALUE"""),TRUE)</f>
        <v>1</v>
      </c>
      <c r="T1678" s="1" t="b">
        <f>IFERROR(__xludf.DUMMYFUNCTION("""COMPUTED_VALUE"""),FALSE)</f>
        <v>0</v>
      </c>
      <c r="U1678" s="1" t="str">
        <f>IFERROR(__xludf.DUMMYFUNCTION("""COMPUTED_VALUE"""),"VALID")</f>
        <v>VALID</v>
      </c>
      <c r="V1678" s="1">
        <f>IFERROR(__xludf.DUMMYFUNCTION("""COMPUTED_VALUE"""),297.0)</f>
        <v>297</v>
      </c>
      <c r="W1678" s="1">
        <f>IFERROR(__xludf.DUMMYFUNCTION("""COMPUTED_VALUE"""),447.0)</f>
        <v>447</v>
      </c>
      <c r="X1678" s="1">
        <f>IFERROR(__xludf.DUMMYFUNCTION("""COMPUTED_VALUE"""),386.0)</f>
        <v>386</v>
      </c>
      <c r="Y1678" s="2"/>
      <c r="Z1678" s="2"/>
    </row>
    <row r="1679">
      <c r="A1679" s="1">
        <f>IFERROR(__xludf.DUMMYFUNCTION("""COMPUTED_VALUE"""),1678.0)</f>
        <v>1678</v>
      </c>
      <c r="B1679" s="1">
        <f>IFERROR(__xludf.DUMMYFUNCTION("""COMPUTED_VALUE"""),5039.0)</f>
        <v>5039</v>
      </c>
      <c r="C1679" s="2" t="str">
        <f>IFERROR(__xludf.DUMMYFUNCTION("""COMPUTED_VALUE"""),"Ahim")</f>
        <v>Ahim</v>
      </c>
      <c r="D1679" s="2" t="str">
        <f>IFERROR(__xludf.DUMMYFUNCTION("""COMPUTED_VALUE"""),"5KM OVERALL M")</f>
        <v>5KM OVERALL M</v>
      </c>
      <c r="E1679" s="1">
        <f>IFERROR(__xludf.DUMMYFUNCTION("""COMPUTED_VALUE"""),2.0)</f>
        <v>2</v>
      </c>
      <c r="F1679" s="1" t="str">
        <f>IFERROR(__xludf.DUMMYFUNCTION("""COMPUTED_VALUE"""),"Male")</f>
        <v>Male</v>
      </c>
      <c r="G1679" s="4" t="b">
        <f>IFERROR(__xludf.DUMMYFUNCTION("""COMPUTED_VALUE"""),TRUE)</f>
        <v>1</v>
      </c>
      <c r="H1679" s="4" t="b">
        <f>IFERROR(__xludf.DUMMYFUNCTION("""COMPUTED_VALUE"""),TRUE)</f>
        <v>1</v>
      </c>
      <c r="I1679" s="4">
        <f>IFERROR(__xludf.DUMMYFUNCTION("""COMPUTED_VALUE"""),0.2549440625)</f>
        <v>0.2549440625</v>
      </c>
      <c r="J1679" s="4">
        <f>IFERROR(__xludf.DUMMYFUNCTION("""COMPUTED_VALUE"""),45949.27263787328)</f>
        <v>45949.27264</v>
      </c>
      <c r="K1679" s="4" t="str">
        <f>IFERROR(__xludf.DUMMYFUNCTION("""COMPUTED_VALUE"""),"")</f>
        <v/>
      </c>
      <c r="L1679" s="4">
        <f>IFERROR(__xludf.DUMMYFUNCTION("""COMPUTED_VALUE"""),45949.282709893785)</f>
        <v>45949.28271</v>
      </c>
      <c r="M1679" s="1" t="str">
        <f>IFERROR(__xludf.DUMMYFUNCTION("""COMPUTED_VALUE"""),"RFID")</f>
        <v>RFID</v>
      </c>
      <c r="N1679" s="5">
        <f>IFERROR(__xludf.DUMMYFUNCTION("""COMPUTED_VALUE"""),0.007077523148148147)</f>
        <v>0.007077523148</v>
      </c>
      <c r="O1679" s="5" t="str">
        <f>IFERROR(__xludf.DUMMYFUNCTION("""COMPUTED_VALUE"""),"")</f>
        <v/>
      </c>
      <c r="P1679" s="5" t="str">
        <f>IFERROR(__xludf.DUMMYFUNCTION("""COMPUTED_VALUE"""),"")</f>
        <v/>
      </c>
      <c r="Q1679" s="5">
        <f>IFERROR(__xludf.DUMMYFUNCTION("""COMPUTED_VALUE"""),0.005553166666666666)</f>
        <v>0.005553166667</v>
      </c>
      <c r="R1679" s="4">
        <f>IFERROR(__xludf.DUMMYFUNCTION("""COMPUTED_VALUE"""),45949.027765831284)</f>
        <v>45949.02777</v>
      </c>
      <c r="S1679" s="1" t="b">
        <f>IFERROR(__xludf.DUMMYFUNCTION("""COMPUTED_VALUE"""),TRUE)</f>
        <v>1</v>
      </c>
      <c r="T1679" s="1" t="b">
        <f>IFERROR(__xludf.DUMMYFUNCTION("""COMPUTED_VALUE"""),FALSE)</f>
        <v>0</v>
      </c>
      <c r="U1679" s="1" t="str">
        <f>IFERROR(__xludf.DUMMYFUNCTION("""COMPUTED_VALUE"""),"VALID")</f>
        <v>VALID</v>
      </c>
      <c r="V1679" s="1">
        <f>IFERROR(__xludf.DUMMYFUNCTION("""COMPUTED_VALUE"""),275.0)</f>
        <v>275</v>
      </c>
      <c r="W1679" s="1">
        <f>IFERROR(__xludf.DUMMYFUNCTION("""COMPUTED_VALUE"""),417.0)</f>
        <v>417</v>
      </c>
      <c r="X1679" s="1">
        <f>IFERROR(__xludf.DUMMYFUNCTION("""COMPUTED_VALUE"""),361.0)</f>
        <v>361</v>
      </c>
      <c r="Y1679" s="2"/>
      <c r="Z1679" s="2"/>
    </row>
    <row r="1680">
      <c r="A1680" s="1">
        <f>IFERROR(__xludf.DUMMYFUNCTION("""COMPUTED_VALUE"""),1679.0)</f>
        <v>1679</v>
      </c>
      <c r="B1680" s="1">
        <f>IFERROR(__xludf.DUMMYFUNCTION("""COMPUTED_VALUE"""),5040.0)</f>
        <v>5040</v>
      </c>
      <c r="C1680" s="2" t="str">
        <f>IFERROR(__xludf.DUMMYFUNCTION("""COMPUTED_VALUE"""),"Zainuri")</f>
        <v>Zainuri</v>
      </c>
      <c r="D1680" s="2" t="str">
        <f>IFERROR(__xludf.DUMMYFUNCTION("""COMPUTED_VALUE"""),"5KM OVERALL M")</f>
        <v>5KM OVERALL M</v>
      </c>
      <c r="E1680" s="1">
        <f>IFERROR(__xludf.DUMMYFUNCTION("""COMPUTED_VALUE"""),2.0)</f>
        <v>2</v>
      </c>
      <c r="F1680" s="1" t="str">
        <f>IFERROR(__xludf.DUMMYFUNCTION("""COMPUTED_VALUE"""),"Male")</f>
        <v>Male</v>
      </c>
      <c r="G1680" s="4" t="b">
        <f>IFERROR(__xludf.DUMMYFUNCTION("""COMPUTED_VALUE"""),TRUE)</f>
        <v>1</v>
      </c>
      <c r="H1680" s="4" t="b">
        <f>IFERROR(__xludf.DUMMYFUNCTION("""COMPUTED_VALUE"""),TRUE)</f>
        <v>1</v>
      </c>
      <c r="I1680" s="4">
        <f>IFERROR(__xludf.DUMMYFUNCTION("""COMPUTED_VALUE"""),0.2549440625)</f>
        <v>0.2549440625</v>
      </c>
      <c r="J1680" s="4">
        <f>IFERROR(__xludf.DUMMYFUNCTION("""COMPUTED_VALUE"""),45949.27566905758)</f>
        <v>45949.27567</v>
      </c>
      <c r="K1680" s="4" t="str">
        <f>IFERROR(__xludf.DUMMYFUNCTION("""COMPUTED_VALUE"""),"")</f>
        <v/>
      </c>
      <c r="L1680" s="4">
        <f>IFERROR(__xludf.DUMMYFUNCTION("""COMPUTED_VALUE"""),45949.29073767366)</f>
        <v>45949.29074</v>
      </c>
      <c r="M1680" s="1" t="str">
        <f>IFERROR(__xludf.DUMMYFUNCTION("""COMPUTED_VALUE"""),"RFID")</f>
        <v>RFID</v>
      </c>
      <c r="N1680" s="5">
        <f>IFERROR(__xludf.DUMMYFUNCTION("""COMPUTED_VALUE"""),0.00829)</f>
        <v>0.00829</v>
      </c>
      <c r="O1680" s="5" t="str">
        <f>IFERROR(__xludf.DUMMYFUNCTION("""COMPUTED_VALUE"""),"")</f>
        <v/>
      </c>
      <c r="P1680" s="5" t="str">
        <f>IFERROR(__xludf.DUMMYFUNCTION("""COMPUTED_VALUE"""),"")</f>
        <v/>
      </c>
      <c r="Q1680" s="5">
        <f>IFERROR(__xludf.DUMMYFUNCTION("""COMPUTED_VALUE"""),0.0071587222222222234)</f>
        <v>0.007158722222</v>
      </c>
      <c r="R1680" s="4">
        <f>IFERROR(__xludf.DUMMYFUNCTION("""COMPUTED_VALUE"""),45949.03579361116)</f>
        <v>45949.03579</v>
      </c>
      <c r="S1680" s="1" t="b">
        <f>IFERROR(__xludf.DUMMYFUNCTION("""COMPUTED_VALUE"""),TRUE)</f>
        <v>1</v>
      </c>
      <c r="T1680" s="1" t="b">
        <f>IFERROR(__xludf.DUMMYFUNCTION("""COMPUTED_VALUE"""),FALSE)</f>
        <v>0</v>
      </c>
      <c r="U1680" s="1" t="str">
        <f>IFERROR(__xludf.DUMMYFUNCTION("""COMPUTED_VALUE"""),"VALID")</f>
        <v>VALID</v>
      </c>
      <c r="V1680" s="1">
        <f>IFERROR(__xludf.DUMMYFUNCTION("""COMPUTED_VALUE"""),590.0)</f>
        <v>590</v>
      </c>
      <c r="W1680" s="1">
        <f>IFERROR(__xludf.DUMMYFUNCTION("""COMPUTED_VALUE"""),945.0)</f>
        <v>945</v>
      </c>
      <c r="X1680" s="1">
        <f>IFERROR(__xludf.DUMMYFUNCTION("""COMPUTED_VALUE"""),770.0)</f>
        <v>770</v>
      </c>
      <c r="Y1680" s="2"/>
      <c r="Z1680" s="2"/>
    </row>
    <row r="1681">
      <c r="A1681" s="1">
        <f>IFERROR(__xludf.DUMMYFUNCTION("""COMPUTED_VALUE"""),1680.0)</f>
        <v>1680</v>
      </c>
      <c r="B1681" s="1">
        <f>IFERROR(__xludf.DUMMYFUNCTION("""COMPUTED_VALUE"""),5042.0)</f>
        <v>5042</v>
      </c>
      <c r="C1681" s="2" t="str">
        <f>IFERROR(__xludf.DUMMYFUNCTION("""COMPUTED_VALUE"""),"iqbal")</f>
        <v>iqbal</v>
      </c>
      <c r="D1681" s="2" t="str">
        <f>IFERROR(__xludf.DUMMYFUNCTION("""COMPUTED_VALUE"""),"5KM OVERALL M")</f>
        <v>5KM OVERALL M</v>
      </c>
      <c r="E1681" s="1">
        <f>IFERROR(__xludf.DUMMYFUNCTION("""COMPUTED_VALUE"""),2.0)</f>
        <v>2</v>
      </c>
      <c r="F1681" s="1" t="str">
        <f>IFERROR(__xludf.DUMMYFUNCTION("""COMPUTED_VALUE"""),"Male")</f>
        <v>Male</v>
      </c>
      <c r="G1681" s="4" t="b">
        <f>IFERROR(__xludf.DUMMYFUNCTION("""COMPUTED_VALUE"""),TRUE)</f>
        <v>1</v>
      </c>
      <c r="H1681" s="4" t="b">
        <f>IFERROR(__xludf.DUMMYFUNCTION("""COMPUTED_VALUE"""),TRUE)</f>
        <v>1</v>
      </c>
      <c r="I1681" s="4">
        <f>IFERROR(__xludf.DUMMYFUNCTION("""COMPUTED_VALUE"""),0.2549440625)</f>
        <v>0.2549440625</v>
      </c>
      <c r="J1681" s="4">
        <f>IFERROR(__xludf.DUMMYFUNCTION("""COMPUTED_VALUE"""),45949.27937044889)</f>
        <v>45949.27937</v>
      </c>
      <c r="K1681" s="4" t="str">
        <f>IFERROR(__xludf.DUMMYFUNCTION("""COMPUTED_VALUE"""),"")</f>
        <v/>
      </c>
      <c r="L1681" s="4">
        <f>IFERROR(__xludf.DUMMYFUNCTION("""COMPUTED_VALUE"""),45949.29313352644)</f>
        <v>45949.29313</v>
      </c>
      <c r="M1681" s="1" t="str">
        <f>IFERROR(__xludf.DUMMYFUNCTION("""COMPUTED_VALUE"""),"RFID")</f>
        <v>RFID</v>
      </c>
      <c r="N1681" s="5">
        <f>IFERROR(__xludf.DUMMYFUNCTION("""COMPUTED_VALUE"""),0.009770555555555557)</f>
        <v>0.009770555556</v>
      </c>
      <c r="O1681" s="5" t="str">
        <f>IFERROR(__xludf.DUMMYFUNCTION("""COMPUTED_VALUE"""),"")</f>
        <v/>
      </c>
      <c r="P1681" s="5" t="str">
        <f>IFERROR(__xludf.DUMMYFUNCTION("""COMPUTED_VALUE"""),"")</f>
        <v/>
      </c>
      <c r="Q1681" s="5">
        <f>IFERROR(__xludf.DUMMYFUNCTION("""COMPUTED_VALUE"""),0.0076378935185185196)</f>
        <v>0.007637893519</v>
      </c>
      <c r="R1681" s="4">
        <f>IFERROR(__xludf.DUMMYFUNCTION("""COMPUTED_VALUE"""),45949.038189463936)</f>
        <v>45949.03819</v>
      </c>
      <c r="S1681" s="1" t="b">
        <f>IFERROR(__xludf.DUMMYFUNCTION("""COMPUTED_VALUE"""),TRUE)</f>
        <v>1</v>
      </c>
      <c r="T1681" s="1" t="b">
        <f>IFERROR(__xludf.DUMMYFUNCTION("""COMPUTED_VALUE"""),FALSE)</f>
        <v>0</v>
      </c>
      <c r="U1681" s="1" t="str">
        <f>IFERROR(__xludf.DUMMYFUNCTION("""COMPUTED_VALUE"""),"VALID")</f>
        <v>VALID</v>
      </c>
      <c r="V1681" s="1">
        <f>IFERROR(__xludf.DUMMYFUNCTION("""COMPUTED_VALUE"""),659.0)</f>
        <v>659</v>
      </c>
      <c r="W1681" s="1">
        <f>IFERROR(__xludf.DUMMYFUNCTION("""COMPUTED_VALUE"""),1113.0)</f>
        <v>1113</v>
      </c>
      <c r="X1681" s="1">
        <f>IFERROR(__xludf.DUMMYFUNCTION("""COMPUTED_VALUE"""),885.0)</f>
        <v>885</v>
      </c>
      <c r="Y1681" s="2"/>
      <c r="Z1681" s="2"/>
    </row>
    <row r="1682">
      <c r="A1682" s="1">
        <f>IFERROR(__xludf.DUMMYFUNCTION("""COMPUTED_VALUE"""),1681.0)</f>
        <v>1681</v>
      </c>
      <c r="B1682" s="1">
        <f>IFERROR(__xludf.DUMMYFUNCTION("""COMPUTED_VALUE"""),5043.0)</f>
        <v>5043</v>
      </c>
      <c r="C1682" s="2" t="str">
        <f>IFERROR(__xludf.DUMMYFUNCTION("""COMPUTED_VALUE"""),"KURNIAWAN")</f>
        <v>KURNIAWAN</v>
      </c>
      <c r="D1682" s="2" t="str">
        <f>IFERROR(__xludf.DUMMYFUNCTION("""COMPUTED_VALUE"""),"5KM OVERALL M")</f>
        <v>5KM OVERALL M</v>
      </c>
      <c r="E1682" s="1">
        <f>IFERROR(__xludf.DUMMYFUNCTION("""COMPUTED_VALUE"""),2.0)</f>
        <v>2</v>
      </c>
      <c r="F1682" s="1" t="str">
        <f>IFERROR(__xludf.DUMMYFUNCTION("""COMPUTED_VALUE"""),"Male")</f>
        <v>Male</v>
      </c>
      <c r="G1682" s="4" t="b">
        <f>IFERROR(__xludf.DUMMYFUNCTION("""COMPUTED_VALUE"""),TRUE)</f>
        <v>1</v>
      </c>
      <c r="H1682" s="4" t="b">
        <f>IFERROR(__xludf.DUMMYFUNCTION("""COMPUTED_VALUE"""),TRUE)</f>
        <v>1</v>
      </c>
      <c r="I1682" s="4">
        <f>IFERROR(__xludf.DUMMYFUNCTION("""COMPUTED_VALUE"""),0.2549440625)</f>
        <v>0.2549440625</v>
      </c>
      <c r="J1682" s="4">
        <f>IFERROR(__xludf.DUMMYFUNCTION("""COMPUTED_VALUE"""),45949.26533223829)</f>
        <v>45949.26533</v>
      </c>
      <c r="K1682" s="4" t="str">
        <f>IFERROR(__xludf.DUMMYFUNCTION("""COMPUTED_VALUE"""),"")</f>
        <v/>
      </c>
      <c r="L1682" s="4">
        <f>IFERROR(__xludf.DUMMYFUNCTION("""COMPUTED_VALUE"""),45949.27528630272)</f>
        <v>45949.27529</v>
      </c>
      <c r="M1682" s="1" t="str">
        <f>IFERROR(__xludf.DUMMYFUNCTION("""COMPUTED_VALUE"""),"RFID")</f>
        <v>RFID</v>
      </c>
      <c r="N1682" s="5">
        <f>IFERROR(__xludf.DUMMYFUNCTION("""COMPUTED_VALUE"""),0.004155268518518518)</f>
        <v>0.004155268519</v>
      </c>
      <c r="O1682" s="5" t="str">
        <f>IFERROR(__xludf.DUMMYFUNCTION("""COMPUTED_VALUE"""),"")</f>
        <v/>
      </c>
      <c r="P1682" s="5" t="str">
        <f>IFERROR(__xludf.DUMMYFUNCTION("""COMPUTED_VALUE"""),"")</f>
        <v/>
      </c>
      <c r="Q1682" s="5">
        <f>IFERROR(__xludf.DUMMYFUNCTION("""COMPUTED_VALUE"""),0.004068449074074073)</f>
        <v>0.004068449074</v>
      </c>
      <c r="R1682" s="4">
        <f>IFERROR(__xludf.DUMMYFUNCTION("""COMPUTED_VALUE"""),45949.02034224022)</f>
        <v>45949.02034</v>
      </c>
      <c r="S1682" s="1" t="b">
        <f>IFERROR(__xludf.DUMMYFUNCTION("""COMPUTED_VALUE"""),TRUE)</f>
        <v>1</v>
      </c>
      <c r="T1682" s="1" t="b">
        <f>IFERROR(__xludf.DUMMYFUNCTION("""COMPUTED_VALUE"""),FALSE)</f>
        <v>0</v>
      </c>
      <c r="U1682" s="1" t="str">
        <f>IFERROR(__xludf.DUMMYFUNCTION("""COMPUTED_VALUE"""),"VALID")</f>
        <v>VALID</v>
      </c>
      <c r="V1682" s="1">
        <f>IFERROR(__xludf.DUMMYFUNCTION("""COMPUTED_VALUE"""),80.0)</f>
        <v>80</v>
      </c>
      <c r="W1682" s="1">
        <f>IFERROR(__xludf.DUMMYFUNCTION("""COMPUTED_VALUE"""),122.0)</f>
        <v>122</v>
      </c>
      <c r="X1682" s="1">
        <f>IFERROR(__xludf.DUMMYFUNCTION("""COMPUTED_VALUE"""),111.0)</f>
        <v>111</v>
      </c>
      <c r="Y1682" s="2"/>
      <c r="Z1682" s="2"/>
    </row>
    <row r="1683">
      <c r="A1683" s="1">
        <f>IFERROR(__xludf.DUMMYFUNCTION("""COMPUTED_VALUE"""),1682.0)</f>
        <v>1682</v>
      </c>
      <c r="B1683" s="1">
        <f>IFERROR(__xludf.DUMMYFUNCTION("""COMPUTED_VALUE"""),5044.0)</f>
        <v>5044</v>
      </c>
      <c r="C1683" s="2" t="str">
        <f>IFERROR(__xludf.DUMMYFUNCTION("""COMPUTED_VALUE"""),"Rizal")</f>
        <v>Rizal</v>
      </c>
      <c r="D1683" s="2" t="str">
        <f>IFERROR(__xludf.DUMMYFUNCTION("""COMPUTED_VALUE"""),"5KM OVERALL M")</f>
        <v>5KM OVERALL M</v>
      </c>
      <c r="E1683" s="1">
        <f>IFERROR(__xludf.DUMMYFUNCTION("""COMPUTED_VALUE"""),2.0)</f>
        <v>2</v>
      </c>
      <c r="F1683" s="1" t="str">
        <f>IFERROR(__xludf.DUMMYFUNCTION("""COMPUTED_VALUE"""),"Male")</f>
        <v>Male</v>
      </c>
      <c r="G1683" s="4" t="b">
        <f>IFERROR(__xludf.DUMMYFUNCTION("""COMPUTED_VALUE"""),TRUE)</f>
        <v>1</v>
      </c>
      <c r="H1683" s="4" t="b">
        <f>IFERROR(__xludf.DUMMYFUNCTION("""COMPUTED_VALUE"""),FALSE)</f>
        <v>0</v>
      </c>
      <c r="I1683" s="4">
        <f>IFERROR(__xludf.DUMMYFUNCTION("""COMPUTED_VALUE"""),0.2549440625)</f>
        <v>0.2549440625</v>
      </c>
      <c r="J1683" s="4">
        <f>IFERROR(__xludf.DUMMYFUNCTION("""COMPUTED_VALUE"""),45949.274175997576)</f>
        <v>45949.27418</v>
      </c>
      <c r="K1683" s="4" t="str">
        <f>IFERROR(__xludf.DUMMYFUNCTION("""COMPUTED_VALUE"""),"")</f>
        <v/>
      </c>
      <c r="L1683" s="4">
        <f>IFERROR(__xludf.DUMMYFUNCTION("""COMPUTED_VALUE"""),45949.28855366939)</f>
        <v>45949.28855</v>
      </c>
      <c r="M1683" s="1" t="str">
        <f>IFERROR(__xludf.DUMMYFUNCTION("""COMPUTED_VALUE"""),"RFID")</f>
        <v>RFID</v>
      </c>
      <c r="N1683" s="5">
        <f>IFERROR(__xludf.DUMMYFUNCTION("""COMPUTED_VALUE"""),0.007692773148148148)</f>
        <v>0.007692773148</v>
      </c>
      <c r="O1683" s="5" t="str">
        <f>IFERROR(__xludf.DUMMYFUNCTION("""COMPUTED_VALUE"""),"")</f>
        <v/>
      </c>
      <c r="P1683" s="5" t="str">
        <f>IFERROR(__xludf.DUMMYFUNCTION("""COMPUTED_VALUE"""),"")</f>
        <v/>
      </c>
      <c r="Q1683" s="5">
        <f>IFERROR(__xludf.DUMMYFUNCTION("""COMPUTED_VALUE"""),0.006721921296296296)</f>
        <v>0.006721921296</v>
      </c>
      <c r="R1683" s="4">
        <f>IFERROR(__xludf.DUMMYFUNCTION("""COMPUTED_VALUE"""),45949.033609606886)</f>
        <v>45949.03361</v>
      </c>
      <c r="S1683" s="1" t="b">
        <f>IFERROR(__xludf.DUMMYFUNCTION("""COMPUTED_VALUE"""),TRUE)</f>
        <v>1</v>
      </c>
      <c r="T1683" s="1" t="b">
        <f>IFERROR(__xludf.DUMMYFUNCTION("""COMPUTED_VALUE"""),FALSE)</f>
        <v>0</v>
      </c>
      <c r="U1683" s="1" t="str">
        <f>IFERROR(__xludf.DUMMYFUNCTION("""COMPUTED_VALUE"""),"VALID")</f>
        <v>VALID</v>
      </c>
      <c r="V1683" s="1">
        <f>IFERROR(__xludf.DUMMYFUNCTION("""COMPUTED_VALUE"""),518.0)</f>
        <v>518</v>
      </c>
      <c r="W1683" s="1">
        <f>IFERROR(__xludf.DUMMYFUNCTION("""COMPUTED_VALUE"""),815.0)</f>
        <v>815</v>
      </c>
      <c r="X1683" s="1">
        <f>IFERROR(__xludf.DUMMYFUNCTION("""COMPUTED_VALUE"""),669.0)</f>
        <v>669</v>
      </c>
      <c r="Y1683" s="2"/>
      <c r="Z1683" s="2"/>
    </row>
    <row r="1684">
      <c r="A1684" s="1">
        <f>IFERROR(__xludf.DUMMYFUNCTION("""COMPUTED_VALUE"""),1683.0)</f>
        <v>1683</v>
      </c>
      <c r="B1684" s="1">
        <f>IFERROR(__xludf.DUMMYFUNCTION("""COMPUTED_VALUE"""),5045.0)</f>
        <v>5045</v>
      </c>
      <c r="C1684" s="2" t="str">
        <f>IFERROR(__xludf.DUMMYFUNCTION("""COMPUTED_VALUE"""),"Edyarkan")</f>
        <v>Edyarkan</v>
      </c>
      <c r="D1684" s="2" t="str">
        <f>IFERROR(__xludf.DUMMYFUNCTION("""COMPUTED_VALUE"""),"5KM OVERALL M")</f>
        <v>5KM OVERALL M</v>
      </c>
      <c r="E1684" s="1">
        <f>IFERROR(__xludf.DUMMYFUNCTION("""COMPUTED_VALUE"""),2.0)</f>
        <v>2</v>
      </c>
      <c r="F1684" s="1" t="str">
        <f>IFERROR(__xludf.DUMMYFUNCTION("""COMPUTED_VALUE"""),"Male")</f>
        <v>Male</v>
      </c>
      <c r="G1684" s="4" t="b">
        <f>IFERROR(__xludf.DUMMYFUNCTION("""COMPUTED_VALUE"""),TRUE)</f>
        <v>1</v>
      </c>
      <c r="H1684" s="4" t="b">
        <f>IFERROR(__xludf.DUMMYFUNCTION("""COMPUTED_VALUE"""),TRUE)</f>
        <v>1</v>
      </c>
      <c r="I1684" s="4">
        <f>IFERROR(__xludf.DUMMYFUNCTION("""COMPUTED_VALUE"""),0.2549440625)</f>
        <v>0.2549440625</v>
      </c>
      <c r="J1684" s="4">
        <f>IFERROR(__xludf.DUMMYFUNCTION("""COMPUTED_VALUE"""),45949.26421071831)</f>
        <v>45949.26421</v>
      </c>
      <c r="K1684" s="4" t="str">
        <f>IFERROR(__xludf.DUMMYFUNCTION("""COMPUTED_VALUE"""),"")</f>
        <v/>
      </c>
      <c r="L1684" s="4">
        <f>IFERROR(__xludf.DUMMYFUNCTION("""COMPUTED_VALUE"""),45949.27171679764)</f>
        <v>45949.27172</v>
      </c>
      <c r="M1684" s="1" t="str">
        <f>IFERROR(__xludf.DUMMYFUNCTION("""COMPUTED_VALUE"""),"RFID")</f>
        <v>RFID</v>
      </c>
      <c r="N1684" s="5">
        <f>IFERROR(__xludf.DUMMYFUNCTION("""COMPUTED_VALUE"""),0.003706662037037037)</f>
        <v>0.003706662037</v>
      </c>
      <c r="O1684" s="5" t="str">
        <f>IFERROR(__xludf.DUMMYFUNCTION("""COMPUTED_VALUE"""),"")</f>
        <v/>
      </c>
      <c r="P1684" s="5" t="str">
        <f>IFERROR(__xludf.DUMMYFUNCTION("""COMPUTED_VALUE"""),"")</f>
        <v/>
      </c>
      <c r="Q1684" s="5">
        <f>IFERROR(__xludf.DUMMYFUNCTION("""COMPUTED_VALUE"""),0.0033545462962962964)</f>
        <v>0.003354546296</v>
      </c>
      <c r="R1684" s="4">
        <f>IFERROR(__xludf.DUMMYFUNCTION("""COMPUTED_VALUE"""),45949.016772735136)</f>
        <v>45949.01677</v>
      </c>
      <c r="S1684" s="1" t="b">
        <f>IFERROR(__xludf.DUMMYFUNCTION("""COMPUTED_VALUE"""),TRUE)</f>
        <v>1</v>
      </c>
      <c r="T1684" s="1" t="b">
        <f>IFERROR(__xludf.DUMMYFUNCTION("""COMPUTED_VALUE"""),FALSE)</f>
        <v>0</v>
      </c>
      <c r="U1684" s="1" t="str">
        <f>IFERROR(__xludf.DUMMYFUNCTION("""COMPUTED_VALUE"""),"VALID")</f>
        <v>VALID</v>
      </c>
      <c r="V1684" s="1">
        <f>IFERROR(__xludf.DUMMYFUNCTION("""COMPUTED_VALUE"""),21.0)</f>
        <v>21</v>
      </c>
      <c r="W1684" s="1">
        <f>IFERROR(__xludf.DUMMYFUNCTION("""COMPUTED_VALUE"""),31.0)</f>
        <v>31</v>
      </c>
      <c r="X1684" s="1">
        <f>IFERROR(__xludf.DUMMYFUNCTION("""COMPUTED_VALUE"""),30.0)</f>
        <v>30</v>
      </c>
      <c r="Y1684" s="2"/>
      <c r="Z1684" s="2"/>
    </row>
    <row r="1685">
      <c r="A1685" s="1">
        <f>IFERROR(__xludf.DUMMYFUNCTION("""COMPUTED_VALUE"""),1684.0)</f>
        <v>1684</v>
      </c>
      <c r="B1685" s="1">
        <f>IFERROR(__xludf.DUMMYFUNCTION("""COMPUTED_VALUE"""),5049.0)</f>
        <v>5049</v>
      </c>
      <c r="C1685" s="2" t="str">
        <f>IFERROR(__xludf.DUMMYFUNCTION("""COMPUTED_VALUE"""),"ari")</f>
        <v>ari</v>
      </c>
      <c r="D1685" s="2" t="str">
        <f>IFERROR(__xludf.DUMMYFUNCTION("""COMPUTED_VALUE"""),"5KM OVERALL M")</f>
        <v>5KM OVERALL M</v>
      </c>
      <c r="E1685" s="1">
        <f>IFERROR(__xludf.DUMMYFUNCTION("""COMPUTED_VALUE"""),2.0)</f>
        <v>2</v>
      </c>
      <c r="F1685" s="1" t="str">
        <f>IFERROR(__xludf.DUMMYFUNCTION("""COMPUTED_VALUE"""),"Male")</f>
        <v>Male</v>
      </c>
      <c r="G1685" s="4" t="b">
        <f>IFERROR(__xludf.DUMMYFUNCTION("""COMPUTED_VALUE"""),TRUE)</f>
        <v>1</v>
      </c>
      <c r="H1685" s="4" t="b">
        <f>IFERROR(__xludf.DUMMYFUNCTION("""COMPUTED_VALUE"""),TRUE)</f>
        <v>1</v>
      </c>
      <c r="I1685" s="4">
        <f>IFERROR(__xludf.DUMMYFUNCTION("""COMPUTED_VALUE"""),0.2549440625)</f>
        <v>0.2549440625</v>
      </c>
      <c r="J1685" s="4">
        <f>IFERROR(__xludf.DUMMYFUNCTION("""COMPUTED_VALUE"""),45949.26190972222)</f>
        <v>45949.26191</v>
      </c>
      <c r="K1685" s="4" t="str">
        <f>IFERROR(__xludf.DUMMYFUNCTION("""COMPUTED_VALUE"""),"")</f>
        <v/>
      </c>
      <c r="L1685" s="4">
        <f>IFERROR(__xludf.DUMMYFUNCTION("""COMPUTED_VALUE"""),45949.26730981341)</f>
        <v>45949.26731</v>
      </c>
      <c r="M1685" s="1" t="str">
        <f>IFERROR(__xludf.DUMMYFUNCTION("""COMPUTED_VALUE"""),"RFID")</f>
        <v>RFID</v>
      </c>
      <c r="N1685" s="5">
        <f>IFERROR(__xludf.DUMMYFUNCTION("""COMPUTED_VALUE"""),0.002786263888888889)</f>
        <v>0.002786263889</v>
      </c>
      <c r="O1685" s="5" t="str">
        <f>IFERROR(__xludf.DUMMYFUNCTION("""COMPUTED_VALUE"""),"")</f>
        <v/>
      </c>
      <c r="P1685" s="5" t="str">
        <f>IFERROR(__xludf.DUMMYFUNCTION("""COMPUTED_VALUE"""),"")</f>
        <v/>
      </c>
      <c r="Q1685" s="5">
        <f>IFERROR(__xludf.DUMMYFUNCTION("""COMPUTED_VALUE"""),0.002473150462962963)</f>
        <v>0.002473150463</v>
      </c>
      <c r="R1685" s="4">
        <f>IFERROR(__xludf.DUMMYFUNCTION("""COMPUTED_VALUE"""),45949.01236575091)</f>
        <v>45949.01237</v>
      </c>
      <c r="S1685" s="1" t="b">
        <f>IFERROR(__xludf.DUMMYFUNCTION("""COMPUTED_VALUE"""),TRUE)</f>
        <v>1</v>
      </c>
      <c r="T1685" s="1" t="b">
        <f>IFERROR(__xludf.DUMMYFUNCTION("""COMPUTED_VALUE"""),FALSE)</f>
        <v>0</v>
      </c>
      <c r="U1685" s="1" t="str">
        <f>IFERROR(__xludf.DUMMYFUNCTION("""COMPUTED_VALUE"""),"VALID")</f>
        <v>VALID</v>
      </c>
      <c r="V1685" s="1">
        <f>IFERROR(__xludf.DUMMYFUNCTION("""COMPUTED_VALUE"""),1.0)</f>
        <v>1</v>
      </c>
      <c r="W1685" s="1">
        <f>IFERROR(__xludf.DUMMYFUNCTION("""COMPUTED_VALUE"""),1.0)</f>
        <v>1</v>
      </c>
      <c r="X1685" s="1">
        <f>IFERROR(__xludf.DUMMYFUNCTION("""COMPUTED_VALUE"""),1.0)</f>
        <v>1</v>
      </c>
      <c r="Y1685" s="2"/>
      <c r="Z1685" s="2"/>
    </row>
    <row r="1686">
      <c r="A1686" s="1">
        <f>IFERROR(__xludf.DUMMYFUNCTION("""COMPUTED_VALUE"""),1685.0)</f>
        <v>1685</v>
      </c>
      <c r="B1686" s="1">
        <f>IFERROR(__xludf.DUMMYFUNCTION("""COMPUTED_VALUE"""),5050.0)</f>
        <v>5050</v>
      </c>
      <c r="C1686" s="2" t="str">
        <f>IFERROR(__xludf.DUMMYFUNCTION("""COMPUTED_VALUE"""),"Raffy")</f>
        <v>Raffy</v>
      </c>
      <c r="D1686" s="2" t="str">
        <f>IFERROR(__xludf.DUMMYFUNCTION("""COMPUTED_VALUE"""),"5KM OVERALL M")</f>
        <v>5KM OVERALL M</v>
      </c>
      <c r="E1686" s="1">
        <f>IFERROR(__xludf.DUMMYFUNCTION("""COMPUTED_VALUE"""),2.0)</f>
        <v>2</v>
      </c>
      <c r="F1686" s="1" t="str">
        <f>IFERROR(__xludf.DUMMYFUNCTION("""COMPUTED_VALUE"""),"Male")</f>
        <v>Male</v>
      </c>
      <c r="G1686" s="4" t="b">
        <f>IFERROR(__xludf.DUMMYFUNCTION("""COMPUTED_VALUE"""),TRUE)</f>
        <v>1</v>
      </c>
      <c r="H1686" s="4" t="b">
        <f>IFERROR(__xludf.DUMMYFUNCTION("""COMPUTED_VALUE"""),TRUE)</f>
        <v>1</v>
      </c>
      <c r="I1686" s="4">
        <f>IFERROR(__xludf.DUMMYFUNCTION("""COMPUTED_VALUE"""),0.2549440625)</f>
        <v>0.2549440625</v>
      </c>
      <c r="J1686" s="4">
        <f>IFERROR(__xludf.DUMMYFUNCTION("""COMPUTED_VALUE"""),45949.27064128093)</f>
        <v>45949.27064</v>
      </c>
      <c r="K1686" s="4" t="str">
        <f>IFERROR(__xludf.DUMMYFUNCTION("""COMPUTED_VALUE"""),"")</f>
        <v/>
      </c>
      <c r="L1686" s="4">
        <f>IFERROR(__xludf.DUMMYFUNCTION("""COMPUTED_VALUE"""),45949.28112307308)</f>
        <v>45949.28112</v>
      </c>
      <c r="M1686" s="1" t="str">
        <f>IFERROR(__xludf.DUMMYFUNCTION("""COMPUTED_VALUE"""),"RFID")</f>
        <v>RFID</v>
      </c>
      <c r="N1686" s="5">
        <f>IFERROR(__xludf.DUMMYFUNCTION("""COMPUTED_VALUE"""),0.006278888888888889)</f>
        <v>0.006278888889</v>
      </c>
      <c r="O1686" s="5" t="str">
        <f>IFERROR(__xludf.DUMMYFUNCTION("""COMPUTED_VALUE"""),"")</f>
        <v/>
      </c>
      <c r="P1686" s="5" t="str">
        <f>IFERROR(__xludf.DUMMYFUNCTION("""COMPUTED_VALUE"""),"")</f>
        <v/>
      </c>
      <c r="Q1686" s="5">
        <f>IFERROR(__xludf.DUMMYFUNCTION("""COMPUTED_VALUE"""),0.005235803240740741)</f>
        <v>0.005235803241</v>
      </c>
      <c r="R1686" s="4">
        <f>IFERROR(__xludf.DUMMYFUNCTION("""COMPUTED_VALUE"""),45949.02617901058)</f>
        <v>45949.02618</v>
      </c>
      <c r="S1686" s="1" t="b">
        <f>IFERROR(__xludf.DUMMYFUNCTION("""COMPUTED_VALUE"""),TRUE)</f>
        <v>1</v>
      </c>
      <c r="T1686" s="1" t="b">
        <f>IFERROR(__xludf.DUMMYFUNCTION("""COMPUTED_VALUE"""),FALSE)</f>
        <v>0</v>
      </c>
      <c r="U1686" s="1" t="str">
        <f>IFERROR(__xludf.DUMMYFUNCTION("""COMPUTED_VALUE"""),"VALID")</f>
        <v>VALID</v>
      </c>
      <c r="V1686" s="1">
        <f>IFERROR(__xludf.DUMMYFUNCTION("""COMPUTED_VALUE"""),225.0)</f>
        <v>225</v>
      </c>
      <c r="W1686" s="1">
        <f>IFERROR(__xludf.DUMMYFUNCTION("""COMPUTED_VALUE"""),345.0)</f>
        <v>345</v>
      </c>
      <c r="X1686" s="1">
        <f>IFERROR(__xludf.DUMMYFUNCTION("""COMPUTED_VALUE"""),302.0)</f>
        <v>302</v>
      </c>
      <c r="Y1686" s="2"/>
      <c r="Z1686" s="2"/>
    </row>
    <row r="1687">
      <c r="A1687" s="1">
        <f>IFERROR(__xludf.DUMMYFUNCTION("""COMPUTED_VALUE"""),1686.0)</f>
        <v>1686</v>
      </c>
      <c r="B1687" s="1">
        <f>IFERROR(__xludf.DUMMYFUNCTION("""COMPUTED_VALUE"""),5051.0)</f>
        <v>5051</v>
      </c>
      <c r="C1687" s="2">
        <f>IFERROR(__xludf.DUMMYFUNCTION("""COMPUTED_VALUE"""),1025.0)</f>
        <v>1025</v>
      </c>
      <c r="D1687" s="2" t="str">
        <f>IFERROR(__xludf.DUMMYFUNCTION("""COMPUTED_VALUE"""),"5KM OVERALL M")</f>
        <v>5KM OVERALL M</v>
      </c>
      <c r="E1687" s="1">
        <f>IFERROR(__xludf.DUMMYFUNCTION("""COMPUTED_VALUE"""),2.0)</f>
        <v>2</v>
      </c>
      <c r="F1687" s="1" t="str">
        <f>IFERROR(__xludf.DUMMYFUNCTION("""COMPUTED_VALUE"""),"Male")</f>
        <v>Male</v>
      </c>
      <c r="G1687" s="4" t="b">
        <f>IFERROR(__xludf.DUMMYFUNCTION("""COMPUTED_VALUE"""),TRUE)</f>
        <v>1</v>
      </c>
      <c r="H1687" s="4" t="b">
        <f>IFERROR(__xludf.DUMMYFUNCTION("""COMPUTED_VALUE"""),TRUE)</f>
        <v>1</v>
      </c>
      <c r="I1687" s="4">
        <f>IFERROR(__xludf.DUMMYFUNCTION("""COMPUTED_VALUE"""),0.2549440625)</f>
        <v>0.2549440625</v>
      </c>
      <c r="J1687" s="4">
        <f>IFERROR(__xludf.DUMMYFUNCTION("""COMPUTED_VALUE"""),45949.267472235195)</f>
        <v>45949.26747</v>
      </c>
      <c r="K1687" s="4" t="str">
        <f>IFERROR(__xludf.DUMMYFUNCTION("""COMPUTED_VALUE"""),"")</f>
        <v/>
      </c>
      <c r="L1687" s="4">
        <f>IFERROR(__xludf.DUMMYFUNCTION("""COMPUTED_VALUE"""),45949.276407820864)</f>
        <v>45949.27641</v>
      </c>
      <c r="M1687" s="1" t="str">
        <f>IFERROR(__xludf.DUMMYFUNCTION("""COMPUTED_VALUE"""),"RFID")</f>
        <v>RFID</v>
      </c>
      <c r="N1687" s="5">
        <f>IFERROR(__xludf.DUMMYFUNCTION("""COMPUTED_VALUE"""),0.005011268518518518)</f>
        <v>0.005011268519</v>
      </c>
      <c r="O1687" s="5" t="str">
        <f>IFERROR(__xludf.DUMMYFUNCTION("""COMPUTED_VALUE"""),"")</f>
        <v/>
      </c>
      <c r="P1687" s="5" t="str">
        <f>IFERROR(__xludf.DUMMYFUNCTION("""COMPUTED_VALUE"""),"")</f>
        <v/>
      </c>
      <c r="Q1687" s="5">
        <f>IFERROR(__xludf.DUMMYFUNCTION("""COMPUTED_VALUE"""),0.004292752314814815)</f>
        <v>0.004292752315</v>
      </c>
      <c r="R1687" s="4">
        <f>IFERROR(__xludf.DUMMYFUNCTION("""COMPUTED_VALUE"""),45949.02146375836)</f>
        <v>45949.02146</v>
      </c>
      <c r="S1687" s="1" t="b">
        <f>IFERROR(__xludf.DUMMYFUNCTION("""COMPUTED_VALUE"""),TRUE)</f>
        <v>1</v>
      </c>
      <c r="T1687" s="1" t="b">
        <f>IFERROR(__xludf.DUMMYFUNCTION("""COMPUTED_VALUE"""),FALSE)</f>
        <v>0</v>
      </c>
      <c r="U1687" s="1" t="str">
        <f>IFERROR(__xludf.DUMMYFUNCTION("""COMPUTED_VALUE"""),"VALID")</f>
        <v>VALID</v>
      </c>
      <c r="V1687" s="1">
        <f>IFERROR(__xludf.DUMMYFUNCTION("""COMPUTED_VALUE"""),103.0)</f>
        <v>103</v>
      </c>
      <c r="W1687" s="1">
        <f>IFERROR(__xludf.DUMMYFUNCTION("""COMPUTED_VALUE"""),160.0)</f>
        <v>160</v>
      </c>
      <c r="X1687" s="1">
        <f>IFERROR(__xludf.DUMMYFUNCTION("""COMPUTED_VALUE"""),141.0)</f>
        <v>141</v>
      </c>
      <c r="Y1687" s="2"/>
      <c r="Z1687" s="2"/>
    </row>
    <row r="1688">
      <c r="A1688" s="1">
        <f>IFERROR(__xludf.DUMMYFUNCTION("""COMPUTED_VALUE"""),1687.0)</f>
        <v>1687</v>
      </c>
      <c r="B1688" s="1">
        <f>IFERROR(__xludf.DUMMYFUNCTION("""COMPUTED_VALUE"""),5052.0)</f>
        <v>5052</v>
      </c>
      <c r="C1688" s="2" t="str">
        <f>IFERROR(__xludf.DUMMYFUNCTION("""COMPUTED_VALUE"""),"Taherr")</f>
        <v>Taherr</v>
      </c>
      <c r="D1688" s="2" t="str">
        <f>IFERROR(__xludf.DUMMYFUNCTION("""COMPUTED_VALUE"""),"5KM OVERALL M")</f>
        <v>5KM OVERALL M</v>
      </c>
      <c r="E1688" s="1">
        <f>IFERROR(__xludf.DUMMYFUNCTION("""COMPUTED_VALUE"""),2.0)</f>
        <v>2</v>
      </c>
      <c r="F1688" s="1" t="str">
        <f>IFERROR(__xludf.DUMMYFUNCTION("""COMPUTED_VALUE"""),"Male")</f>
        <v>Male</v>
      </c>
      <c r="G1688" s="4" t="b">
        <f>IFERROR(__xludf.DUMMYFUNCTION("""COMPUTED_VALUE"""),TRUE)</f>
        <v>1</v>
      </c>
      <c r="H1688" s="4" t="b">
        <f>IFERROR(__xludf.DUMMYFUNCTION("""COMPUTED_VALUE"""),TRUE)</f>
        <v>1</v>
      </c>
      <c r="I1688" s="4">
        <f>IFERROR(__xludf.DUMMYFUNCTION("""COMPUTED_VALUE"""),0.2549440625)</f>
        <v>0.2549440625</v>
      </c>
      <c r="J1688" s="4">
        <f>IFERROR(__xludf.DUMMYFUNCTION("""COMPUTED_VALUE"""),45949.26388434015)</f>
        <v>45949.26388</v>
      </c>
      <c r="K1688" s="4" t="str">
        <f>IFERROR(__xludf.DUMMYFUNCTION("""COMPUTED_VALUE"""),"")</f>
        <v/>
      </c>
      <c r="L1688" s="4">
        <f>IFERROR(__xludf.DUMMYFUNCTION("""COMPUTED_VALUE"""),45949.27172391443)</f>
        <v>45949.27172</v>
      </c>
      <c r="M1688" s="1" t="str">
        <f>IFERROR(__xludf.DUMMYFUNCTION("""COMPUTED_VALUE"""),"RFID")</f>
        <v>RFID</v>
      </c>
      <c r="N1688" s="5">
        <f>IFERROR(__xludf.DUMMYFUNCTION("""COMPUTED_VALUE"""),0.003576111111111111)</f>
        <v>0.003576111111</v>
      </c>
      <c r="O1688" s="5" t="str">
        <f>IFERROR(__xludf.DUMMYFUNCTION("""COMPUTED_VALUE"""),"")</f>
        <v/>
      </c>
      <c r="P1688" s="5" t="str">
        <f>IFERROR(__xludf.DUMMYFUNCTION("""COMPUTED_VALUE"""),"")</f>
        <v/>
      </c>
      <c r="Q1688" s="5">
        <f>IFERROR(__xludf.DUMMYFUNCTION("""COMPUTED_VALUE"""),0.0033559699074074073)</f>
        <v>0.003355969907</v>
      </c>
      <c r="R1688" s="4">
        <f>IFERROR(__xludf.DUMMYFUNCTION("""COMPUTED_VALUE"""),45949.01677985193)</f>
        <v>45949.01678</v>
      </c>
      <c r="S1688" s="1" t="b">
        <f>IFERROR(__xludf.DUMMYFUNCTION("""COMPUTED_VALUE"""),TRUE)</f>
        <v>1</v>
      </c>
      <c r="T1688" s="1" t="b">
        <f>IFERROR(__xludf.DUMMYFUNCTION("""COMPUTED_VALUE"""),FALSE)</f>
        <v>0</v>
      </c>
      <c r="U1688" s="1" t="str">
        <f>IFERROR(__xludf.DUMMYFUNCTION("""COMPUTED_VALUE"""),"VALID")</f>
        <v>VALID</v>
      </c>
      <c r="V1688" s="1">
        <f>IFERROR(__xludf.DUMMYFUNCTION("""COMPUTED_VALUE"""),22.0)</f>
        <v>22</v>
      </c>
      <c r="W1688" s="1">
        <f>IFERROR(__xludf.DUMMYFUNCTION("""COMPUTED_VALUE"""),32.0)</f>
        <v>32</v>
      </c>
      <c r="X1688" s="1">
        <f>IFERROR(__xludf.DUMMYFUNCTION("""COMPUTED_VALUE"""),31.0)</f>
        <v>31</v>
      </c>
      <c r="Y1688" s="2"/>
      <c r="Z1688" s="2"/>
    </row>
    <row r="1689">
      <c r="A1689" s="1">
        <f>IFERROR(__xludf.DUMMYFUNCTION("""COMPUTED_VALUE"""),1688.0)</f>
        <v>1688</v>
      </c>
      <c r="B1689" s="1">
        <f>IFERROR(__xludf.DUMMYFUNCTION("""COMPUTED_VALUE"""),5053.0)</f>
        <v>5053</v>
      </c>
      <c r="C1689" s="2" t="str">
        <f>IFERROR(__xludf.DUMMYFUNCTION("""COMPUTED_VALUE"""),"Arifin")</f>
        <v>Arifin</v>
      </c>
      <c r="D1689" s="2" t="str">
        <f>IFERROR(__xludf.DUMMYFUNCTION("""COMPUTED_VALUE"""),"5KM OVERALL M")</f>
        <v>5KM OVERALL M</v>
      </c>
      <c r="E1689" s="1">
        <f>IFERROR(__xludf.DUMMYFUNCTION("""COMPUTED_VALUE"""),2.0)</f>
        <v>2</v>
      </c>
      <c r="F1689" s="1" t="str">
        <f>IFERROR(__xludf.DUMMYFUNCTION("""COMPUTED_VALUE"""),"Male")</f>
        <v>Male</v>
      </c>
      <c r="G1689" s="4" t="b">
        <f>IFERROR(__xludf.DUMMYFUNCTION("""COMPUTED_VALUE"""),TRUE)</f>
        <v>1</v>
      </c>
      <c r="H1689" s="4" t="b">
        <f>IFERROR(__xludf.DUMMYFUNCTION("""COMPUTED_VALUE"""),FALSE)</f>
        <v>0</v>
      </c>
      <c r="I1689" s="4">
        <f>IFERROR(__xludf.DUMMYFUNCTION("""COMPUTED_VALUE"""),0.2549440625)</f>
        <v>0.2549440625</v>
      </c>
      <c r="J1689" s="4">
        <f>IFERROR(__xludf.DUMMYFUNCTION("""COMPUTED_VALUE"""),45949.273561589456)</f>
        <v>45949.27356</v>
      </c>
      <c r="K1689" s="4" t="str">
        <f>IFERROR(__xludf.DUMMYFUNCTION("""COMPUTED_VALUE"""),"")</f>
        <v/>
      </c>
      <c r="L1689" s="4">
        <f>IFERROR(__xludf.DUMMYFUNCTION("""COMPUTED_VALUE"""),45949.28694601542)</f>
        <v>45949.28695</v>
      </c>
      <c r="M1689" s="1" t="str">
        <f>IFERROR(__xludf.DUMMYFUNCTION("""COMPUTED_VALUE"""),"RFID")</f>
        <v>RFID</v>
      </c>
      <c r="N1689" s="5">
        <f>IFERROR(__xludf.DUMMYFUNCTION("""COMPUTED_VALUE"""),0.00744700925925926)</f>
        <v>0.007447009259</v>
      </c>
      <c r="O1689" s="5" t="str">
        <f>IFERROR(__xludf.DUMMYFUNCTION("""COMPUTED_VALUE"""),"")</f>
        <v/>
      </c>
      <c r="P1689" s="5" t="str">
        <f>IFERROR(__xludf.DUMMYFUNCTION("""COMPUTED_VALUE"""),"")</f>
        <v/>
      </c>
      <c r="Q1689" s="5">
        <f>IFERROR(__xludf.DUMMYFUNCTION("""COMPUTED_VALUE"""),0.006400391203703703)</f>
        <v>0.006400391204</v>
      </c>
      <c r="R1689" s="4">
        <f>IFERROR(__xludf.DUMMYFUNCTION("""COMPUTED_VALUE"""),45949.03200195292)</f>
        <v>45949.032</v>
      </c>
      <c r="S1689" s="1" t="b">
        <f>IFERROR(__xludf.DUMMYFUNCTION("""COMPUTED_VALUE"""),TRUE)</f>
        <v>1</v>
      </c>
      <c r="T1689" s="1" t="b">
        <f>IFERROR(__xludf.DUMMYFUNCTION("""COMPUTED_VALUE"""),FALSE)</f>
        <v>0</v>
      </c>
      <c r="U1689" s="1" t="str">
        <f>IFERROR(__xludf.DUMMYFUNCTION("""COMPUTED_VALUE"""),"VALID")</f>
        <v>VALID</v>
      </c>
      <c r="V1689" s="1">
        <f>IFERROR(__xludf.DUMMYFUNCTION("""COMPUTED_VALUE"""),454.0)</f>
        <v>454</v>
      </c>
      <c r="W1689" s="1">
        <f>IFERROR(__xludf.DUMMYFUNCTION("""COMPUTED_VALUE"""),699.0)</f>
        <v>699</v>
      </c>
      <c r="X1689" s="1">
        <f>IFERROR(__xludf.DUMMYFUNCTION("""COMPUTED_VALUE"""),586.0)</f>
        <v>586</v>
      </c>
      <c r="Y1689" s="2"/>
      <c r="Z1689" s="2"/>
    </row>
    <row r="1690">
      <c r="A1690" s="1">
        <f>IFERROR(__xludf.DUMMYFUNCTION("""COMPUTED_VALUE"""),1689.0)</f>
        <v>1689</v>
      </c>
      <c r="B1690" s="1">
        <f>IFERROR(__xludf.DUMMYFUNCTION("""COMPUTED_VALUE"""),5054.0)</f>
        <v>5054</v>
      </c>
      <c r="C1690" s="2" t="str">
        <f>IFERROR(__xludf.DUMMYFUNCTION("""COMPUTED_VALUE"""),"MM. Pangestu")</f>
        <v>MM. Pangestu</v>
      </c>
      <c r="D1690" s="2" t="str">
        <f>IFERROR(__xludf.DUMMYFUNCTION("""COMPUTED_VALUE"""),"5KM OVERALL M")</f>
        <v>5KM OVERALL M</v>
      </c>
      <c r="E1690" s="1">
        <f>IFERROR(__xludf.DUMMYFUNCTION("""COMPUTED_VALUE"""),2.0)</f>
        <v>2</v>
      </c>
      <c r="F1690" s="1" t="str">
        <f>IFERROR(__xludf.DUMMYFUNCTION("""COMPUTED_VALUE"""),"Male")</f>
        <v>Male</v>
      </c>
      <c r="G1690" s="4" t="b">
        <f>IFERROR(__xludf.DUMMYFUNCTION("""COMPUTED_VALUE"""),TRUE)</f>
        <v>1</v>
      </c>
      <c r="H1690" s="4" t="b">
        <f>IFERROR(__xludf.DUMMYFUNCTION("""COMPUTED_VALUE"""),TRUE)</f>
        <v>1</v>
      </c>
      <c r="I1690" s="4">
        <f>IFERROR(__xludf.DUMMYFUNCTION("""COMPUTED_VALUE"""),0.2549440625)</f>
        <v>0.2549440625</v>
      </c>
      <c r="J1690" s="4">
        <f>IFERROR(__xludf.DUMMYFUNCTION("""COMPUTED_VALUE"""),45949.27315177301)</f>
        <v>45949.27315</v>
      </c>
      <c r="K1690" s="4" t="str">
        <f>IFERROR(__xludf.DUMMYFUNCTION("""COMPUTED_VALUE"""),"")</f>
        <v/>
      </c>
      <c r="L1690" s="4">
        <f>IFERROR(__xludf.DUMMYFUNCTION("""COMPUTED_VALUE"""),45949.285786281835)</f>
        <v>45949.28579</v>
      </c>
      <c r="M1690" s="1" t="str">
        <f>IFERROR(__xludf.DUMMYFUNCTION("""COMPUTED_VALUE"""),"RFID")</f>
        <v>RFID</v>
      </c>
      <c r="N1690" s="5">
        <f>IFERROR(__xludf.DUMMYFUNCTION("""COMPUTED_VALUE"""),0.007283083333333333)</f>
        <v>0.007283083333</v>
      </c>
      <c r="O1690" s="5" t="str">
        <f>IFERROR(__xludf.DUMMYFUNCTION("""COMPUTED_VALUE"""),"")</f>
        <v/>
      </c>
      <c r="P1690" s="5" t="str">
        <f>IFERROR(__xludf.DUMMYFUNCTION("""COMPUTED_VALUE"""),"")</f>
        <v/>
      </c>
      <c r="Q1690" s="5">
        <f>IFERROR(__xludf.DUMMYFUNCTION("""COMPUTED_VALUE"""),0.006168444444444444)</f>
        <v>0.006168444444</v>
      </c>
      <c r="R1690" s="4">
        <f>IFERROR(__xludf.DUMMYFUNCTION("""COMPUTED_VALUE"""),45949.030842219334)</f>
        <v>45949.03084</v>
      </c>
      <c r="S1690" s="1" t="b">
        <f>IFERROR(__xludf.DUMMYFUNCTION("""COMPUTED_VALUE"""),TRUE)</f>
        <v>1</v>
      </c>
      <c r="T1690" s="1" t="b">
        <f>IFERROR(__xludf.DUMMYFUNCTION("""COMPUTED_VALUE"""),FALSE)</f>
        <v>0</v>
      </c>
      <c r="U1690" s="1" t="str">
        <f>IFERROR(__xludf.DUMMYFUNCTION("""COMPUTED_VALUE"""),"VALID")</f>
        <v>VALID</v>
      </c>
      <c r="V1690" s="1">
        <f>IFERROR(__xludf.DUMMYFUNCTION("""COMPUTED_VALUE"""),406.0)</f>
        <v>406</v>
      </c>
      <c r="W1690" s="1">
        <f>IFERROR(__xludf.DUMMYFUNCTION("""COMPUTED_VALUE"""),621.0)</f>
        <v>621</v>
      </c>
      <c r="X1690" s="1">
        <f>IFERROR(__xludf.DUMMYFUNCTION("""COMPUTED_VALUE"""),521.0)</f>
        <v>521</v>
      </c>
      <c r="Y1690" s="2"/>
      <c r="Z1690" s="2"/>
    </row>
    <row r="1691">
      <c r="A1691" s="1">
        <f>IFERROR(__xludf.DUMMYFUNCTION("""COMPUTED_VALUE"""),1690.0)</f>
        <v>1690</v>
      </c>
      <c r="B1691" s="1">
        <f>IFERROR(__xludf.DUMMYFUNCTION("""COMPUTED_VALUE"""),5056.0)</f>
        <v>5056</v>
      </c>
      <c r="C1691" s="2" t="str">
        <f>IFERROR(__xludf.DUMMYFUNCTION("""COMPUTED_VALUE"""),"sugeng")</f>
        <v>sugeng</v>
      </c>
      <c r="D1691" s="2" t="str">
        <f>IFERROR(__xludf.DUMMYFUNCTION("""COMPUTED_VALUE"""),"5KM OVERALL M")</f>
        <v>5KM OVERALL M</v>
      </c>
      <c r="E1691" s="1">
        <f>IFERROR(__xludf.DUMMYFUNCTION("""COMPUTED_VALUE"""),2.0)</f>
        <v>2</v>
      </c>
      <c r="F1691" s="1" t="str">
        <f>IFERROR(__xludf.DUMMYFUNCTION("""COMPUTED_VALUE"""),"Male")</f>
        <v>Male</v>
      </c>
      <c r="G1691" s="4" t="b">
        <f>IFERROR(__xludf.DUMMYFUNCTION("""COMPUTED_VALUE"""),TRUE)</f>
        <v>1</v>
      </c>
      <c r="H1691" s="4" t="b">
        <f>IFERROR(__xludf.DUMMYFUNCTION("""COMPUTED_VALUE"""),TRUE)</f>
        <v>1</v>
      </c>
      <c r="I1691" s="4">
        <f>IFERROR(__xludf.DUMMYFUNCTION("""COMPUTED_VALUE"""),0.2549440625)</f>
        <v>0.2549440625</v>
      </c>
      <c r="J1691" s="4">
        <f>IFERROR(__xludf.DUMMYFUNCTION("""COMPUTED_VALUE"""),45949.28122113425)</f>
        <v>45949.28122</v>
      </c>
      <c r="K1691" s="4" t="str">
        <f>IFERROR(__xludf.DUMMYFUNCTION("""COMPUTED_VALUE"""),"")</f>
        <v/>
      </c>
      <c r="L1691" s="4">
        <f>IFERROR(__xludf.DUMMYFUNCTION("""COMPUTED_VALUE"""),45949.29863004042)</f>
        <v>45949.29863</v>
      </c>
      <c r="M1691" s="1" t="str">
        <f>IFERROR(__xludf.DUMMYFUNCTION("""COMPUTED_VALUE"""),"RFID")</f>
        <v>RFID</v>
      </c>
      <c r="N1691" s="5">
        <f>IFERROR(__xludf.DUMMYFUNCTION("""COMPUTED_VALUE"""),0.010510828703703703)</f>
        <v>0.0105108287</v>
      </c>
      <c r="O1691" s="5" t="str">
        <f>IFERROR(__xludf.DUMMYFUNCTION("""COMPUTED_VALUE"""),"")</f>
        <v/>
      </c>
      <c r="P1691" s="5" t="str">
        <f>IFERROR(__xludf.DUMMYFUNCTION("""COMPUTED_VALUE"""),"")</f>
        <v/>
      </c>
      <c r="Q1691" s="5">
        <f>IFERROR(__xludf.DUMMYFUNCTION("""COMPUTED_VALUE"""),0.008737194444444445)</f>
        <v>0.008737194444</v>
      </c>
      <c r="R1691" s="4">
        <f>IFERROR(__xludf.DUMMYFUNCTION("""COMPUTED_VALUE"""),45949.04368597792)</f>
        <v>45949.04369</v>
      </c>
      <c r="S1691" s="1" t="b">
        <f>IFERROR(__xludf.DUMMYFUNCTION("""COMPUTED_VALUE"""),TRUE)</f>
        <v>1</v>
      </c>
      <c r="T1691" s="1" t="b">
        <f>IFERROR(__xludf.DUMMYFUNCTION("""COMPUTED_VALUE"""),FALSE)</f>
        <v>0</v>
      </c>
      <c r="U1691" s="1" t="str">
        <f>IFERROR(__xludf.DUMMYFUNCTION("""COMPUTED_VALUE"""),"VALID")</f>
        <v>VALID</v>
      </c>
      <c r="V1691" s="1">
        <f>IFERROR(__xludf.DUMMYFUNCTION("""COMPUTED_VALUE"""),772.0)</f>
        <v>772</v>
      </c>
      <c r="W1691" s="1">
        <f>IFERROR(__xludf.DUMMYFUNCTION("""COMPUTED_VALUE"""),1389.0)</f>
        <v>1389</v>
      </c>
      <c r="X1691" s="1">
        <f>IFERROR(__xludf.DUMMYFUNCTION("""COMPUTED_VALUE"""),1129.0)</f>
        <v>1129</v>
      </c>
      <c r="Y1691" s="2"/>
      <c r="Z1691" s="2"/>
    </row>
    <row r="1692">
      <c r="A1692" s="1">
        <f>IFERROR(__xludf.DUMMYFUNCTION("""COMPUTED_VALUE"""),1691.0)</f>
        <v>1691</v>
      </c>
      <c r="B1692" s="1">
        <f>IFERROR(__xludf.DUMMYFUNCTION("""COMPUTED_VALUE"""),5057.0)</f>
        <v>5057</v>
      </c>
      <c r="C1692" s="2" t="str">
        <f>IFERROR(__xludf.DUMMYFUNCTION("""COMPUTED_VALUE"""),"ARIFIN KTN")</f>
        <v>ARIFIN KTN</v>
      </c>
      <c r="D1692" s="2" t="str">
        <f>IFERROR(__xludf.DUMMYFUNCTION("""COMPUTED_VALUE"""),"5KM OVERALL M")</f>
        <v>5KM OVERALL M</v>
      </c>
      <c r="E1692" s="1">
        <f>IFERROR(__xludf.DUMMYFUNCTION("""COMPUTED_VALUE"""),2.0)</f>
        <v>2</v>
      </c>
      <c r="F1692" s="1" t="str">
        <f>IFERROR(__xludf.DUMMYFUNCTION("""COMPUTED_VALUE"""),"Male")</f>
        <v>Male</v>
      </c>
      <c r="G1692" s="4" t="b">
        <f>IFERROR(__xludf.DUMMYFUNCTION("""COMPUTED_VALUE"""),TRUE)</f>
        <v>1</v>
      </c>
      <c r="H1692" s="4" t="b">
        <f>IFERROR(__xludf.DUMMYFUNCTION("""COMPUTED_VALUE"""),TRUE)</f>
        <v>1</v>
      </c>
      <c r="I1692" s="4">
        <f>IFERROR(__xludf.DUMMYFUNCTION("""COMPUTED_VALUE"""),0.2549440625)</f>
        <v>0.2549440625</v>
      </c>
      <c r="J1692" s="4">
        <f>IFERROR(__xludf.DUMMYFUNCTION("""COMPUTED_VALUE"""),45949.27453719254)</f>
        <v>45949.27454</v>
      </c>
      <c r="K1692" s="4" t="str">
        <f>IFERROR(__xludf.DUMMYFUNCTION("""COMPUTED_VALUE"""),"")</f>
        <v/>
      </c>
      <c r="L1692" s="4">
        <f>IFERROR(__xludf.DUMMYFUNCTION("""COMPUTED_VALUE"""),45949.286980740435)</f>
        <v>45949.28698</v>
      </c>
      <c r="M1692" s="1" t="str">
        <f>IFERROR(__xludf.DUMMYFUNCTION("""COMPUTED_VALUE"""),"RFID")</f>
        <v>RFID</v>
      </c>
      <c r="N1692" s="5">
        <f>IFERROR(__xludf.DUMMYFUNCTION("""COMPUTED_VALUE"""),0.00783725)</f>
        <v>0.00783725</v>
      </c>
      <c r="O1692" s="5" t="str">
        <f>IFERROR(__xludf.DUMMYFUNCTION("""COMPUTED_VALUE"""),"")</f>
        <v/>
      </c>
      <c r="P1692" s="5" t="str">
        <f>IFERROR(__xludf.DUMMYFUNCTION("""COMPUTED_VALUE"""),"")</f>
        <v/>
      </c>
      <c r="Q1692" s="5">
        <f>IFERROR(__xludf.DUMMYFUNCTION("""COMPUTED_VALUE"""),0.006407335648148148)</f>
        <v>0.006407335648</v>
      </c>
      <c r="R1692" s="4">
        <f>IFERROR(__xludf.DUMMYFUNCTION("""COMPUTED_VALUE"""),45949.032036677934)</f>
        <v>45949.03204</v>
      </c>
      <c r="S1692" s="1" t="b">
        <f>IFERROR(__xludf.DUMMYFUNCTION("""COMPUTED_VALUE"""),TRUE)</f>
        <v>1</v>
      </c>
      <c r="T1692" s="1" t="b">
        <f>IFERROR(__xludf.DUMMYFUNCTION("""COMPUTED_VALUE"""),FALSE)</f>
        <v>0</v>
      </c>
      <c r="U1692" s="1" t="str">
        <f>IFERROR(__xludf.DUMMYFUNCTION("""COMPUTED_VALUE"""),"VALID")</f>
        <v>VALID</v>
      </c>
      <c r="V1692" s="1">
        <f>IFERROR(__xludf.DUMMYFUNCTION("""COMPUTED_VALUE"""),456.0)</f>
        <v>456</v>
      </c>
      <c r="W1692" s="1">
        <f>IFERROR(__xludf.DUMMYFUNCTION("""COMPUTED_VALUE"""),702.0)</f>
        <v>702</v>
      </c>
      <c r="X1692" s="1">
        <f>IFERROR(__xludf.DUMMYFUNCTION("""COMPUTED_VALUE"""),589.0)</f>
        <v>589</v>
      </c>
      <c r="Y1692" s="2"/>
      <c r="Z1692" s="2"/>
    </row>
    <row r="1693">
      <c r="A1693" s="1">
        <f>IFERROR(__xludf.DUMMYFUNCTION("""COMPUTED_VALUE"""),1692.0)</f>
        <v>1692</v>
      </c>
      <c r="B1693" s="1">
        <f>IFERROR(__xludf.DUMMYFUNCTION("""COMPUTED_VALUE"""),5058.0)</f>
        <v>5058</v>
      </c>
      <c r="C1693" s="2" t="str">
        <f>IFERROR(__xludf.DUMMYFUNCTION("""COMPUTED_VALUE"""),"Arif")</f>
        <v>Arif</v>
      </c>
      <c r="D1693" s="2" t="str">
        <f>IFERROR(__xludf.DUMMYFUNCTION("""COMPUTED_VALUE"""),"5KM OVERALL M")</f>
        <v>5KM OVERALL M</v>
      </c>
      <c r="E1693" s="1">
        <f>IFERROR(__xludf.DUMMYFUNCTION("""COMPUTED_VALUE"""),2.0)</f>
        <v>2</v>
      </c>
      <c r="F1693" s="1" t="str">
        <f>IFERROR(__xludf.DUMMYFUNCTION("""COMPUTED_VALUE"""),"Male")</f>
        <v>Male</v>
      </c>
      <c r="G1693" s="4" t="str">
        <f>IFERROR(__xludf.DUMMYFUNCTION("""COMPUTED_VALUE"""),"")</f>
        <v/>
      </c>
      <c r="H1693" s="4" t="b">
        <f>IFERROR(__xludf.DUMMYFUNCTION("""COMPUTED_VALUE"""),FALSE)</f>
        <v>0</v>
      </c>
      <c r="I1693" s="4">
        <f>IFERROR(__xludf.DUMMYFUNCTION("""COMPUTED_VALUE"""),0.2549440625)</f>
        <v>0.2549440625</v>
      </c>
      <c r="J1693" s="4" t="str">
        <f>IFERROR(__xludf.DUMMYFUNCTION("""COMPUTED_VALUE"""),"")</f>
        <v/>
      </c>
      <c r="K1693" s="4" t="str">
        <f>IFERROR(__xludf.DUMMYFUNCTION("""COMPUTED_VALUE"""),"")</f>
        <v/>
      </c>
      <c r="L1693" s="4" t="str">
        <f>IFERROR(__xludf.DUMMYFUNCTION("""COMPUTED_VALUE"""),"")</f>
        <v/>
      </c>
      <c r="M1693" s="1" t="str">
        <f>IFERROR(__xludf.DUMMYFUNCTION("""COMPUTED_VALUE"""),"RFID")</f>
        <v>RFID</v>
      </c>
      <c r="N1693" s="5" t="str">
        <f>IFERROR(__xludf.DUMMYFUNCTION("""COMPUTED_VALUE"""),"")</f>
        <v/>
      </c>
      <c r="O1693" s="5" t="str">
        <f>IFERROR(__xludf.DUMMYFUNCTION("""COMPUTED_VALUE"""),"")</f>
        <v/>
      </c>
      <c r="P1693" s="5" t="str">
        <f>IFERROR(__xludf.DUMMYFUNCTION("""COMPUTED_VALUE"""),"")</f>
        <v/>
      </c>
      <c r="Q1693" s="5" t="str">
        <f>IFERROR(__xludf.DUMMYFUNCTION("""COMPUTED_VALUE"""),"")</f>
        <v/>
      </c>
      <c r="R1693" s="4" t="str">
        <f>IFERROR(__xludf.DUMMYFUNCTION("""COMPUTED_VALUE"""),"")</f>
        <v/>
      </c>
      <c r="S1693" s="1" t="b">
        <f>IFERROR(__xludf.DUMMYFUNCTION("""COMPUTED_VALUE"""),FALSE)</f>
        <v>0</v>
      </c>
      <c r="T1693" s="1" t="b">
        <f>IFERROR(__xludf.DUMMYFUNCTION("""COMPUTED_VALUE"""),FALSE)</f>
        <v>0</v>
      </c>
      <c r="U1693" s="1" t="str">
        <f>IFERROR(__xludf.DUMMYFUNCTION("""COMPUTED_VALUE"""),"DSQ")</f>
        <v>DSQ</v>
      </c>
      <c r="V1693" s="1" t="str">
        <f>IFERROR(__xludf.DUMMYFUNCTION("""COMPUTED_VALUE"""),"DSQ")</f>
        <v>DSQ</v>
      </c>
      <c r="W1693" s="1" t="str">
        <f>IFERROR(__xludf.DUMMYFUNCTION("""COMPUTED_VALUE"""),"DSQ")</f>
        <v>DSQ</v>
      </c>
      <c r="X1693" s="1" t="str">
        <f>IFERROR(__xludf.DUMMYFUNCTION("""COMPUTED_VALUE"""),"DSQ")</f>
        <v>DSQ</v>
      </c>
      <c r="Y1693" s="2"/>
      <c r="Z1693" s="2" t="str">
        <f>IFERROR(__xludf.DUMMYFUNCTION("""COMPUTED_VALUE"""),"")</f>
        <v/>
      </c>
    </row>
    <row r="1694">
      <c r="A1694" s="1">
        <f>IFERROR(__xludf.DUMMYFUNCTION("""COMPUTED_VALUE"""),1693.0)</f>
        <v>1693</v>
      </c>
      <c r="B1694" s="1">
        <f>IFERROR(__xludf.DUMMYFUNCTION("""COMPUTED_VALUE"""),5060.0)</f>
        <v>5060</v>
      </c>
      <c r="C1694" s="2" t="str">
        <f>IFERROR(__xludf.DUMMYFUNCTION("""COMPUTED_VALUE"""),"Rauf")</f>
        <v>Rauf</v>
      </c>
      <c r="D1694" s="2" t="str">
        <f>IFERROR(__xludf.DUMMYFUNCTION("""COMPUTED_VALUE"""),"5KM OVERALL M")</f>
        <v>5KM OVERALL M</v>
      </c>
      <c r="E1694" s="1">
        <f>IFERROR(__xludf.DUMMYFUNCTION("""COMPUTED_VALUE"""),2.0)</f>
        <v>2</v>
      </c>
      <c r="F1694" s="1" t="str">
        <f>IFERROR(__xludf.DUMMYFUNCTION("""COMPUTED_VALUE"""),"Male")</f>
        <v>Male</v>
      </c>
      <c r="G1694" s="4" t="b">
        <f>IFERROR(__xludf.DUMMYFUNCTION("""COMPUTED_VALUE"""),TRUE)</f>
        <v>1</v>
      </c>
      <c r="H1694" s="4" t="b">
        <f>IFERROR(__xludf.DUMMYFUNCTION("""COMPUTED_VALUE"""),TRUE)</f>
        <v>1</v>
      </c>
      <c r="I1694" s="4">
        <f>IFERROR(__xludf.DUMMYFUNCTION("""COMPUTED_VALUE"""),0.2549440625)</f>
        <v>0.2549440625</v>
      </c>
      <c r="J1694" s="4">
        <f>IFERROR(__xludf.DUMMYFUNCTION("""COMPUTED_VALUE"""),45949.274439877416)</f>
        <v>45949.27444</v>
      </c>
      <c r="K1694" s="4" t="str">
        <f>IFERROR(__xludf.DUMMYFUNCTION("""COMPUTED_VALUE"""),"")</f>
        <v/>
      </c>
      <c r="L1694" s="4">
        <f>IFERROR(__xludf.DUMMYFUNCTION("""COMPUTED_VALUE"""),45949.288880037304)</f>
        <v>45949.28888</v>
      </c>
      <c r="M1694" s="1" t="str">
        <f>IFERROR(__xludf.DUMMYFUNCTION("""COMPUTED_VALUE"""),"RFID")</f>
        <v>RFID</v>
      </c>
      <c r="N1694" s="5">
        <f>IFERROR(__xludf.DUMMYFUNCTION("""COMPUTED_VALUE"""),0.007798324074074074)</f>
        <v>0.007798324074</v>
      </c>
      <c r="O1694" s="5" t="str">
        <f>IFERROR(__xludf.DUMMYFUNCTION("""COMPUTED_VALUE"""),"")</f>
        <v/>
      </c>
      <c r="P1694" s="5" t="str">
        <f>IFERROR(__xludf.DUMMYFUNCTION("""COMPUTED_VALUE"""),"")</f>
        <v/>
      </c>
      <c r="Q1694" s="5">
        <f>IFERROR(__xludf.DUMMYFUNCTION("""COMPUTED_VALUE"""),0.006787194444444445)</f>
        <v>0.006787194444</v>
      </c>
      <c r="R1694" s="4">
        <f>IFERROR(__xludf.DUMMYFUNCTION("""COMPUTED_VALUE"""),45949.0339359748)</f>
        <v>45949.03394</v>
      </c>
      <c r="S1694" s="1" t="b">
        <f>IFERROR(__xludf.DUMMYFUNCTION("""COMPUTED_VALUE"""),TRUE)</f>
        <v>1</v>
      </c>
      <c r="T1694" s="1" t="b">
        <f>IFERROR(__xludf.DUMMYFUNCTION("""COMPUTED_VALUE"""),FALSE)</f>
        <v>0</v>
      </c>
      <c r="U1694" s="1" t="str">
        <f>IFERROR(__xludf.DUMMYFUNCTION("""COMPUTED_VALUE"""),"VALID")</f>
        <v>VALID</v>
      </c>
      <c r="V1694" s="1">
        <f>IFERROR(__xludf.DUMMYFUNCTION("""COMPUTED_VALUE"""),533.0)</f>
        <v>533</v>
      </c>
      <c r="W1694" s="1">
        <f>IFERROR(__xludf.DUMMYFUNCTION("""COMPUTED_VALUE"""),839.0)</f>
        <v>839</v>
      </c>
      <c r="X1694" s="1">
        <f>IFERROR(__xludf.DUMMYFUNCTION("""COMPUTED_VALUE"""),686.0)</f>
        <v>686</v>
      </c>
      <c r="Y1694" s="2"/>
      <c r="Z1694" s="2"/>
    </row>
    <row r="1695">
      <c r="A1695" s="1">
        <f>IFERROR(__xludf.DUMMYFUNCTION("""COMPUTED_VALUE"""),1694.0)</f>
        <v>1694</v>
      </c>
      <c r="B1695" s="1">
        <f>IFERROR(__xludf.DUMMYFUNCTION("""COMPUTED_VALUE"""),5061.0)</f>
        <v>5061</v>
      </c>
      <c r="C1695" s="2" t="str">
        <f>IFERROR(__xludf.DUMMYFUNCTION("""COMPUTED_VALUE"""),"Afrian")</f>
        <v>Afrian</v>
      </c>
      <c r="D1695" s="2" t="str">
        <f>IFERROR(__xludf.DUMMYFUNCTION("""COMPUTED_VALUE"""),"5KM OVERALL M")</f>
        <v>5KM OVERALL M</v>
      </c>
      <c r="E1695" s="1">
        <f>IFERROR(__xludf.DUMMYFUNCTION("""COMPUTED_VALUE"""),2.0)</f>
        <v>2</v>
      </c>
      <c r="F1695" s="1" t="str">
        <f>IFERROR(__xludf.DUMMYFUNCTION("""COMPUTED_VALUE"""),"Male")</f>
        <v>Male</v>
      </c>
      <c r="G1695" s="4" t="b">
        <f>IFERROR(__xludf.DUMMYFUNCTION("""COMPUTED_VALUE"""),TRUE)</f>
        <v>1</v>
      </c>
      <c r="H1695" s="4" t="b">
        <f>IFERROR(__xludf.DUMMYFUNCTION("""COMPUTED_VALUE"""),FALSE)</f>
        <v>0</v>
      </c>
      <c r="I1695" s="4">
        <f>IFERROR(__xludf.DUMMYFUNCTION("""COMPUTED_VALUE"""),0.2549440625)</f>
        <v>0.2549440625</v>
      </c>
      <c r="J1695" s="4">
        <f>IFERROR(__xludf.DUMMYFUNCTION("""COMPUTED_VALUE"""),45949.27763433058)</f>
        <v>45949.27763</v>
      </c>
      <c r="K1695" s="4" t="str">
        <f>IFERROR(__xludf.DUMMYFUNCTION("""COMPUTED_VALUE"""),"")</f>
        <v/>
      </c>
      <c r="L1695" s="4">
        <f>IFERROR(__xludf.DUMMYFUNCTION("""COMPUTED_VALUE"""),45949.29300157238)</f>
        <v>45949.293</v>
      </c>
      <c r="M1695" s="1" t="str">
        <f>IFERROR(__xludf.DUMMYFUNCTION("""COMPUTED_VALUE"""),"RFID")</f>
        <v>RFID</v>
      </c>
      <c r="N1695" s="5">
        <f>IFERROR(__xludf.DUMMYFUNCTION("""COMPUTED_VALUE"""),0.009076106481481482)</f>
        <v>0.009076106481</v>
      </c>
      <c r="O1695" s="5" t="str">
        <f>IFERROR(__xludf.DUMMYFUNCTION("""COMPUTED_VALUE"""),"")</f>
        <v/>
      </c>
      <c r="P1695" s="5" t="str">
        <f>IFERROR(__xludf.DUMMYFUNCTION("""COMPUTED_VALUE"""),"")</f>
        <v/>
      </c>
      <c r="Q1695" s="5">
        <f>IFERROR(__xludf.DUMMYFUNCTION("""COMPUTED_VALUE"""),0.007611502314814815)</f>
        <v>0.007611502315</v>
      </c>
      <c r="R1695" s="4">
        <f>IFERROR(__xludf.DUMMYFUNCTION("""COMPUTED_VALUE"""),45949.03805750988)</f>
        <v>45949.03806</v>
      </c>
      <c r="S1695" s="1" t="b">
        <f>IFERROR(__xludf.DUMMYFUNCTION("""COMPUTED_VALUE"""),TRUE)</f>
        <v>1</v>
      </c>
      <c r="T1695" s="1" t="b">
        <f>IFERROR(__xludf.DUMMYFUNCTION("""COMPUTED_VALUE"""),FALSE)</f>
        <v>0</v>
      </c>
      <c r="U1695" s="1" t="str">
        <f>IFERROR(__xludf.DUMMYFUNCTION("""COMPUTED_VALUE"""),"VALID")</f>
        <v>VALID</v>
      </c>
      <c r="V1695" s="1">
        <f>IFERROR(__xludf.DUMMYFUNCTION("""COMPUTED_VALUE"""),656.0)</f>
        <v>656</v>
      </c>
      <c r="W1695" s="1">
        <f>IFERROR(__xludf.DUMMYFUNCTION("""COMPUTED_VALUE"""),1105.0)</f>
        <v>1105</v>
      </c>
      <c r="X1695" s="1">
        <f>IFERROR(__xludf.DUMMYFUNCTION("""COMPUTED_VALUE"""),878.0)</f>
        <v>878</v>
      </c>
      <c r="Y1695" s="2"/>
      <c r="Z1695" s="2"/>
    </row>
    <row r="1696">
      <c r="A1696" s="1">
        <f>IFERROR(__xludf.DUMMYFUNCTION("""COMPUTED_VALUE"""),1695.0)</f>
        <v>1695</v>
      </c>
      <c r="B1696" s="1">
        <f>IFERROR(__xludf.DUMMYFUNCTION("""COMPUTED_VALUE"""),5062.0)</f>
        <v>5062</v>
      </c>
      <c r="C1696" s="2" t="str">
        <f>IFERROR(__xludf.DUMMYFUNCTION("""COMPUTED_VALUE"""),"RIFANI")</f>
        <v>RIFANI</v>
      </c>
      <c r="D1696" s="2" t="str">
        <f>IFERROR(__xludf.DUMMYFUNCTION("""COMPUTED_VALUE"""),"5KM OVERALL M")</f>
        <v>5KM OVERALL M</v>
      </c>
      <c r="E1696" s="1">
        <f>IFERROR(__xludf.DUMMYFUNCTION("""COMPUTED_VALUE"""),2.0)</f>
        <v>2</v>
      </c>
      <c r="F1696" s="1" t="str">
        <f>IFERROR(__xludf.DUMMYFUNCTION("""COMPUTED_VALUE"""),"Male")</f>
        <v>Male</v>
      </c>
      <c r="G1696" s="4" t="b">
        <f>IFERROR(__xludf.DUMMYFUNCTION("""COMPUTED_VALUE"""),TRUE)</f>
        <v>1</v>
      </c>
      <c r="H1696" s="4" t="b">
        <f>IFERROR(__xludf.DUMMYFUNCTION("""COMPUTED_VALUE"""),TRUE)</f>
        <v>1</v>
      </c>
      <c r="I1696" s="4">
        <f>IFERROR(__xludf.DUMMYFUNCTION("""COMPUTED_VALUE"""),0.2549440625)</f>
        <v>0.2549440625</v>
      </c>
      <c r="J1696" s="4">
        <f>IFERROR(__xludf.DUMMYFUNCTION("""COMPUTED_VALUE"""),45949.27357532581)</f>
        <v>45949.27358</v>
      </c>
      <c r="K1696" s="4" t="str">
        <f>IFERROR(__xludf.DUMMYFUNCTION("""COMPUTED_VALUE"""),"")</f>
        <v/>
      </c>
      <c r="L1696" s="4">
        <f>IFERROR(__xludf.DUMMYFUNCTION("""COMPUTED_VALUE"""),45949.28574476794)</f>
        <v>45949.28574</v>
      </c>
      <c r="M1696" s="1" t="str">
        <f>IFERROR(__xludf.DUMMYFUNCTION("""COMPUTED_VALUE"""),"RFID")</f>
        <v>RFID</v>
      </c>
      <c r="N1696" s="5">
        <f>IFERROR(__xludf.DUMMYFUNCTION("""COMPUTED_VALUE"""),0.007452504629629629)</f>
        <v>0.00745250463</v>
      </c>
      <c r="O1696" s="5" t="str">
        <f>IFERROR(__xludf.DUMMYFUNCTION("""COMPUTED_VALUE"""),"")</f>
        <v/>
      </c>
      <c r="P1696" s="5" t="str">
        <f>IFERROR(__xludf.DUMMYFUNCTION("""COMPUTED_VALUE"""),"")</f>
        <v/>
      </c>
      <c r="Q1696" s="5">
        <f>IFERROR(__xludf.DUMMYFUNCTION("""COMPUTED_VALUE"""),0.006160141203703704)</f>
        <v>0.006160141204</v>
      </c>
      <c r="R1696" s="4">
        <f>IFERROR(__xludf.DUMMYFUNCTION("""COMPUTED_VALUE"""),45949.03080070544)</f>
        <v>45949.0308</v>
      </c>
      <c r="S1696" s="1" t="b">
        <f>IFERROR(__xludf.DUMMYFUNCTION("""COMPUTED_VALUE"""),TRUE)</f>
        <v>1</v>
      </c>
      <c r="T1696" s="1" t="b">
        <f>IFERROR(__xludf.DUMMYFUNCTION("""COMPUTED_VALUE"""),FALSE)</f>
        <v>0</v>
      </c>
      <c r="U1696" s="1" t="str">
        <f>IFERROR(__xludf.DUMMYFUNCTION("""COMPUTED_VALUE"""),"VALID")</f>
        <v>VALID</v>
      </c>
      <c r="V1696" s="1">
        <f>IFERROR(__xludf.DUMMYFUNCTION("""COMPUTED_VALUE"""),404.0)</f>
        <v>404</v>
      </c>
      <c r="W1696" s="1">
        <f>IFERROR(__xludf.DUMMYFUNCTION("""COMPUTED_VALUE"""),619.0)</f>
        <v>619</v>
      </c>
      <c r="X1696" s="1">
        <f>IFERROR(__xludf.DUMMYFUNCTION("""COMPUTED_VALUE"""),519.0)</f>
        <v>519</v>
      </c>
      <c r="Y1696" s="2"/>
      <c r="Z1696" s="2"/>
    </row>
    <row r="1697">
      <c r="A1697" s="1">
        <f>IFERROR(__xludf.DUMMYFUNCTION("""COMPUTED_VALUE"""),1696.0)</f>
        <v>1696</v>
      </c>
      <c r="B1697" s="1">
        <f>IFERROR(__xludf.DUMMYFUNCTION("""COMPUTED_VALUE"""),5063.0)</f>
        <v>5063</v>
      </c>
      <c r="C1697" s="2" t="str">
        <f>IFERROR(__xludf.DUMMYFUNCTION("""COMPUTED_VALUE"""),"YASIN FIRDAUS")</f>
        <v>YASIN FIRDAUS</v>
      </c>
      <c r="D1697" s="2" t="str">
        <f>IFERROR(__xludf.DUMMYFUNCTION("""COMPUTED_VALUE"""),"5KM OVERALL M")</f>
        <v>5KM OVERALL M</v>
      </c>
      <c r="E1697" s="1">
        <f>IFERROR(__xludf.DUMMYFUNCTION("""COMPUTED_VALUE"""),2.0)</f>
        <v>2</v>
      </c>
      <c r="F1697" s="1" t="str">
        <f>IFERROR(__xludf.DUMMYFUNCTION("""COMPUTED_VALUE"""),"Male")</f>
        <v>Male</v>
      </c>
      <c r="G1697" s="4" t="b">
        <f>IFERROR(__xludf.DUMMYFUNCTION("""COMPUTED_VALUE"""),TRUE)</f>
        <v>1</v>
      </c>
      <c r="H1697" s="4" t="b">
        <f>IFERROR(__xludf.DUMMYFUNCTION("""COMPUTED_VALUE"""),TRUE)</f>
        <v>1</v>
      </c>
      <c r="I1697" s="4">
        <f>IFERROR(__xludf.DUMMYFUNCTION("""COMPUTED_VALUE"""),0.2549440625)</f>
        <v>0.2549440625</v>
      </c>
      <c r="J1697" s="4">
        <f>IFERROR(__xludf.DUMMYFUNCTION("""COMPUTED_VALUE"""),45949.271207257276)</f>
        <v>45949.27121</v>
      </c>
      <c r="K1697" s="4" t="str">
        <f>IFERROR(__xludf.DUMMYFUNCTION("""COMPUTED_VALUE"""),"")</f>
        <v/>
      </c>
      <c r="L1697" s="4">
        <f>IFERROR(__xludf.DUMMYFUNCTION("""COMPUTED_VALUE"""),45949.28105364405)</f>
        <v>45949.28105</v>
      </c>
      <c r="M1697" s="1" t="str">
        <f>IFERROR(__xludf.DUMMYFUNCTION("""COMPUTED_VALUE"""),"RFID")</f>
        <v>RFID</v>
      </c>
      <c r="N1697" s="5">
        <f>IFERROR(__xludf.DUMMYFUNCTION("""COMPUTED_VALUE"""),0.006505277777777778)</f>
        <v>0.006505277778</v>
      </c>
      <c r="O1697" s="5" t="str">
        <f>IFERROR(__xludf.DUMMYFUNCTION("""COMPUTED_VALUE"""),"")</f>
        <v/>
      </c>
      <c r="P1697" s="5" t="str">
        <f>IFERROR(__xludf.DUMMYFUNCTION("""COMPUTED_VALUE"""),"")</f>
        <v/>
      </c>
      <c r="Q1697" s="5">
        <f>IFERROR(__xludf.DUMMYFUNCTION("""COMPUTED_VALUE"""),0.005221916666666666)</f>
        <v>0.005221916667</v>
      </c>
      <c r="R1697" s="4">
        <f>IFERROR(__xludf.DUMMYFUNCTION("""COMPUTED_VALUE"""),45949.02610958155)</f>
        <v>45949.02611</v>
      </c>
      <c r="S1697" s="1" t="b">
        <f>IFERROR(__xludf.DUMMYFUNCTION("""COMPUTED_VALUE"""),TRUE)</f>
        <v>1</v>
      </c>
      <c r="T1697" s="1" t="b">
        <f>IFERROR(__xludf.DUMMYFUNCTION("""COMPUTED_VALUE"""),FALSE)</f>
        <v>0</v>
      </c>
      <c r="U1697" s="1" t="str">
        <f>IFERROR(__xludf.DUMMYFUNCTION("""COMPUTED_VALUE"""),"VALID")</f>
        <v>VALID</v>
      </c>
      <c r="V1697" s="1">
        <f>IFERROR(__xludf.DUMMYFUNCTION("""COMPUTED_VALUE"""),221.0)</f>
        <v>221</v>
      </c>
      <c r="W1697" s="1">
        <f>IFERROR(__xludf.DUMMYFUNCTION("""COMPUTED_VALUE"""),340.0)</f>
        <v>340</v>
      </c>
      <c r="X1697" s="1">
        <f>IFERROR(__xludf.DUMMYFUNCTION("""COMPUTED_VALUE"""),298.0)</f>
        <v>298</v>
      </c>
      <c r="Y1697" s="2"/>
      <c r="Z1697" s="2"/>
    </row>
    <row r="1698">
      <c r="A1698" s="1">
        <f>IFERROR(__xludf.DUMMYFUNCTION("""COMPUTED_VALUE"""),1697.0)</f>
        <v>1697</v>
      </c>
      <c r="B1698" s="1">
        <f>IFERROR(__xludf.DUMMYFUNCTION("""COMPUTED_VALUE"""),5068.0)</f>
        <v>5068</v>
      </c>
      <c r="C1698" s="2" t="str">
        <f>IFERROR(__xludf.DUMMYFUNCTION("""COMPUTED_VALUE"""),"MUHAMMAD RIZAL NABAWI")</f>
        <v>MUHAMMAD RIZAL NABAWI</v>
      </c>
      <c r="D1698" s="2" t="str">
        <f>IFERROR(__xludf.DUMMYFUNCTION("""COMPUTED_VALUE"""),"5KM OVERALL M")</f>
        <v>5KM OVERALL M</v>
      </c>
      <c r="E1698" s="1">
        <f>IFERROR(__xludf.DUMMYFUNCTION("""COMPUTED_VALUE"""),2.0)</f>
        <v>2</v>
      </c>
      <c r="F1698" s="1" t="str">
        <f>IFERROR(__xludf.DUMMYFUNCTION("""COMPUTED_VALUE"""),"Male")</f>
        <v>Male</v>
      </c>
      <c r="G1698" s="4" t="b">
        <f>IFERROR(__xludf.DUMMYFUNCTION("""COMPUTED_VALUE"""),TRUE)</f>
        <v>1</v>
      </c>
      <c r="H1698" s="4" t="b">
        <f>IFERROR(__xludf.DUMMYFUNCTION("""COMPUTED_VALUE"""),FALSE)</f>
        <v>0</v>
      </c>
      <c r="I1698" s="4">
        <f>IFERROR(__xludf.DUMMYFUNCTION("""COMPUTED_VALUE"""),0.2549440625)</f>
        <v>0.2549440625</v>
      </c>
      <c r="J1698" s="4">
        <f>IFERROR(__xludf.DUMMYFUNCTION("""COMPUTED_VALUE"""),45949.27050238816)</f>
        <v>45949.2705</v>
      </c>
      <c r="K1698" s="4" t="str">
        <f>IFERROR(__xludf.DUMMYFUNCTION("""COMPUTED_VALUE"""),"")</f>
        <v/>
      </c>
      <c r="L1698" s="4">
        <f>IFERROR(__xludf.DUMMYFUNCTION("""COMPUTED_VALUE"""),45949.282807079224)</f>
        <v>45949.28281</v>
      </c>
      <c r="M1698" s="1" t="str">
        <f>IFERROR(__xludf.DUMMYFUNCTION("""COMPUTED_VALUE"""),"RFID")</f>
        <v>RFID</v>
      </c>
      <c r="N1698" s="5">
        <f>IFERROR(__xludf.DUMMYFUNCTION("""COMPUTED_VALUE"""),0.006223328703703704)</f>
        <v>0.006223328704</v>
      </c>
      <c r="O1698" s="5" t="str">
        <f>IFERROR(__xludf.DUMMYFUNCTION("""COMPUTED_VALUE"""),"")</f>
        <v/>
      </c>
      <c r="P1698" s="5" t="str">
        <f>IFERROR(__xludf.DUMMYFUNCTION("""COMPUTED_VALUE"""),"")</f>
        <v/>
      </c>
      <c r="Q1698" s="5">
        <f>IFERROR(__xludf.DUMMYFUNCTION("""COMPUTED_VALUE"""),0.005572604166666667)</f>
        <v>0.005572604167</v>
      </c>
      <c r="R1698" s="4">
        <f>IFERROR(__xludf.DUMMYFUNCTION("""COMPUTED_VALUE"""),45949.02786301672)</f>
        <v>45949.02786</v>
      </c>
      <c r="S1698" s="1" t="b">
        <f>IFERROR(__xludf.DUMMYFUNCTION("""COMPUTED_VALUE"""),TRUE)</f>
        <v>1</v>
      </c>
      <c r="T1698" s="1" t="b">
        <f>IFERROR(__xludf.DUMMYFUNCTION("""COMPUTED_VALUE"""),FALSE)</f>
        <v>0</v>
      </c>
      <c r="U1698" s="1" t="str">
        <f>IFERROR(__xludf.DUMMYFUNCTION("""COMPUTED_VALUE"""),"VALID")</f>
        <v>VALID</v>
      </c>
      <c r="V1698" s="1">
        <f>IFERROR(__xludf.DUMMYFUNCTION("""COMPUTED_VALUE"""),281.0)</f>
        <v>281</v>
      </c>
      <c r="W1698" s="1">
        <f>IFERROR(__xludf.DUMMYFUNCTION("""COMPUTED_VALUE"""),425.0)</f>
        <v>425</v>
      </c>
      <c r="X1698" s="1">
        <f>IFERROR(__xludf.DUMMYFUNCTION("""COMPUTED_VALUE"""),368.0)</f>
        <v>368</v>
      </c>
      <c r="Y1698" s="2"/>
      <c r="Z1698" s="2"/>
    </row>
    <row r="1699">
      <c r="A1699" s="1">
        <f>IFERROR(__xludf.DUMMYFUNCTION("""COMPUTED_VALUE"""),1698.0)</f>
        <v>1698</v>
      </c>
      <c r="B1699" s="1">
        <f>IFERROR(__xludf.DUMMYFUNCTION("""COMPUTED_VALUE"""),5069.0)</f>
        <v>5069</v>
      </c>
      <c r="C1699" s="2" t="str">
        <f>IFERROR(__xludf.DUMMYFUNCTION("""COMPUTED_VALUE"""),"Reza Ariandy")</f>
        <v>Reza Ariandy</v>
      </c>
      <c r="D1699" s="2" t="str">
        <f>IFERROR(__xludf.DUMMYFUNCTION("""COMPUTED_VALUE"""),"5KM OVERALL M")</f>
        <v>5KM OVERALL M</v>
      </c>
      <c r="E1699" s="1">
        <f>IFERROR(__xludf.DUMMYFUNCTION("""COMPUTED_VALUE"""),2.0)</f>
        <v>2</v>
      </c>
      <c r="F1699" s="1" t="str">
        <f>IFERROR(__xludf.DUMMYFUNCTION("""COMPUTED_VALUE"""),"Male")</f>
        <v>Male</v>
      </c>
      <c r="G1699" s="4" t="b">
        <f>IFERROR(__xludf.DUMMYFUNCTION("""COMPUTED_VALUE"""),TRUE)</f>
        <v>1</v>
      </c>
      <c r="H1699" s="4" t="b">
        <f>IFERROR(__xludf.DUMMYFUNCTION("""COMPUTED_VALUE"""),FALSE)</f>
        <v>0</v>
      </c>
      <c r="I1699" s="4">
        <f>IFERROR(__xludf.DUMMYFUNCTION("""COMPUTED_VALUE"""),0.2549440625)</f>
        <v>0.2549440625</v>
      </c>
      <c r="J1699" s="4">
        <f>IFERROR(__xludf.DUMMYFUNCTION("""COMPUTED_VALUE"""),45950.276504629626)</f>
        <v>45950.2765</v>
      </c>
      <c r="K1699" s="4" t="str">
        <f>IFERROR(__xludf.DUMMYFUNCTION("""COMPUTED_VALUE"""),"")</f>
        <v/>
      </c>
      <c r="L1699" s="4">
        <f>IFERROR(__xludf.DUMMYFUNCTION("""COMPUTED_VALUE"""),45949.29253628797)</f>
        <v>45949.29254</v>
      </c>
      <c r="M1699" s="1" t="str">
        <f>IFERROR(__xludf.DUMMYFUNCTION("""COMPUTED_VALUE"""),"RFID")</f>
        <v>RFID</v>
      </c>
      <c r="N1699" s="5">
        <f>IFERROR(__xludf.DUMMYFUNCTION("""COMPUTED_VALUE"""),0.008624226851851852)</f>
        <v>0.008624226852</v>
      </c>
      <c r="O1699" s="5" t="str">
        <f>IFERROR(__xludf.DUMMYFUNCTION("""COMPUTED_VALUE"""),"")</f>
        <v/>
      </c>
      <c r="P1699" s="5" t="str">
        <f>IFERROR(__xludf.DUMMYFUNCTION("""COMPUTED_VALUE"""),"")</f>
        <v/>
      </c>
      <c r="Q1699" s="5">
        <f>IFERROR(__xludf.DUMMYFUNCTION("""COMPUTED_VALUE"""),0.007518444444444444)</f>
        <v>0.007518444444</v>
      </c>
      <c r="R1699" s="4">
        <f>IFERROR(__xludf.DUMMYFUNCTION("""COMPUTED_VALUE"""),45949.03759222547)</f>
        <v>45949.03759</v>
      </c>
      <c r="S1699" s="1" t="b">
        <f>IFERROR(__xludf.DUMMYFUNCTION("""COMPUTED_VALUE"""),TRUE)</f>
        <v>1</v>
      </c>
      <c r="T1699" s="1" t="b">
        <f>IFERROR(__xludf.DUMMYFUNCTION("""COMPUTED_VALUE"""),FALSE)</f>
        <v>0</v>
      </c>
      <c r="U1699" s="1" t="str">
        <f>IFERROR(__xludf.DUMMYFUNCTION("""COMPUTED_VALUE"""),"VALID")</f>
        <v>VALID</v>
      </c>
      <c r="V1699" s="1">
        <f>IFERROR(__xludf.DUMMYFUNCTION("""COMPUTED_VALUE"""),642.0)</f>
        <v>642</v>
      </c>
      <c r="W1699" s="1">
        <f>IFERROR(__xludf.DUMMYFUNCTION("""COMPUTED_VALUE"""),1067.0)</f>
        <v>1067</v>
      </c>
      <c r="X1699" s="1">
        <f>IFERROR(__xludf.DUMMYFUNCTION("""COMPUTED_VALUE"""),852.0)</f>
        <v>852</v>
      </c>
      <c r="Y1699" s="2"/>
      <c r="Z1699" s="2"/>
    </row>
    <row r="1700">
      <c r="A1700" s="1">
        <f>IFERROR(__xludf.DUMMYFUNCTION("""COMPUTED_VALUE"""),1699.0)</f>
        <v>1699</v>
      </c>
      <c r="B1700" s="1">
        <f>IFERROR(__xludf.DUMMYFUNCTION("""COMPUTED_VALUE"""),5070.0)</f>
        <v>5070</v>
      </c>
      <c r="C1700" s="2" t="str">
        <f>IFERROR(__xludf.DUMMYFUNCTION("""COMPUTED_VALUE"""),"Syamsul")</f>
        <v>Syamsul</v>
      </c>
      <c r="D1700" s="2" t="str">
        <f>IFERROR(__xludf.DUMMYFUNCTION("""COMPUTED_VALUE"""),"5KM OVERALL M")</f>
        <v>5KM OVERALL M</v>
      </c>
      <c r="E1700" s="1">
        <f>IFERROR(__xludf.DUMMYFUNCTION("""COMPUTED_VALUE"""),2.0)</f>
        <v>2</v>
      </c>
      <c r="F1700" s="1" t="str">
        <f>IFERROR(__xludf.DUMMYFUNCTION("""COMPUTED_VALUE"""),"Male")</f>
        <v>Male</v>
      </c>
      <c r="G1700" s="4" t="b">
        <f>IFERROR(__xludf.DUMMYFUNCTION("""COMPUTED_VALUE"""),TRUE)</f>
        <v>1</v>
      </c>
      <c r="H1700" s="4" t="b">
        <f>IFERROR(__xludf.DUMMYFUNCTION("""COMPUTED_VALUE"""),TRUE)</f>
        <v>1</v>
      </c>
      <c r="I1700" s="4">
        <f>IFERROR(__xludf.DUMMYFUNCTION("""COMPUTED_VALUE"""),0.2549440625)</f>
        <v>0.2549440625</v>
      </c>
      <c r="J1700" s="4">
        <f>IFERROR(__xludf.DUMMYFUNCTION("""COMPUTED_VALUE"""),45949.27445725516)</f>
        <v>45949.27446</v>
      </c>
      <c r="K1700" s="4" t="str">
        <f>IFERROR(__xludf.DUMMYFUNCTION("""COMPUTED_VALUE"""),"")</f>
        <v/>
      </c>
      <c r="L1700" s="4">
        <f>IFERROR(__xludf.DUMMYFUNCTION("""COMPUTED_VALUE"""),45949.289880052456)</f>
        <v>45949.28988</v>
      </c>
      <c r="M1700" s="1" t="str">
        <f>IFERROR(__xludf.DUMMYFUNCTION("""COMPUTED_VALUE"""),"RFID")</f>
        <v>RFID</v>
      </c>
      <c r="N1700" s="5">
        <f>IFERROR(__xludf.DUMMYFUNCTION("""COMPUTED_VALUE"""),0.007805277777777777)</f>
        <v>0.007805277778</v>
      </c>
      <c r="O1700" s="5" t="str">
        <f>IFERROR(__xludf.DUMMYFUNCTION("""COMPUTED_VALUE"""),"")</f>
        <v/>
      </c>
      <c r="P1700" s="5" t="str">
        <f>IFERROR(__xludf.DUMMYFUNCTION("""COMPUTED_VALUE"""),"")</f>
        <v/>
      </c>
      <c r="Q1700" s="5">
        <f>IFERROR(__xludf.DUMMYFUNCTION("""COMPUTED_VALUE"""),0.0069871990740740745)</f>
        <v>0.006987199074</v>
      </c>
      <c r="R1700" s="4">
        <f>IFERROR(__xludf.DUMMYFUNCTION("""COMPUTED_VALUE"""),45949.034935989956)</f>
        <v>45949.03494</v>
      </c>
      <c r="S1700" s="1" t="b">
        <f>IFERROR(__xludf.DUMMYFUNCTION("""COMPUTED_VALUE"""),TRUE)</f>
        <v>1</v>
      </c>
      <c r="T1700" s="1" t="b">
        <f>IFERROR(__xludf.DUMMYFUNCTION("""COMPUTED_VALUE"""),FALSE)</f>
        <v>0</v>
      </c>
      <c r="U1700" s="1" t="str">
        <f>IFERROR(__xludf.DUMMYFUNCTION("""COMPUTED_VALUE"""),"VALID")</f>
        <v>VALID</v>
      </c>
      <c r="V1700" s="1">
        <f>IFERROR(__xludf.DUMMYFUNCTION("""COMPUTED_VALUE"""),558.0)</f>
        <v>558</v>
      </c>
      <c r="W1700" s="1">
        <f>IFERROR(__xludf.DUMMYFUNCTION("""COMPUTED_VALUE"""),885.0)</f>
        <v>885</v>
      </c>
      <c r="X1700" s="1">
        <f>IFERROR(__xludf.DUMMYFUNCTION("""COMPUTED_VALUE"""),720.0)</f>
        <v>720</v>
      </c>
      <c r="Y1700" s="2"/>
      <c r="Z1700" s="2"/>
    </row>
    <row r="1701">
      <c r="A1701" s="1">
        <f>IFERROR(__xludf.DUMMYFUNCTION("""COMPUTED_VALUE"""),1700.0)</f>
        <v>1700</v>
      </c>
      <c r="B1701" s="1">
        <f>IFERROR(__xludf.DUMMYFUNCTION("""COMPUTED_VALUE"""),5071.0)</f>
        <v>5071</v>
      </c>
      <c r="C1701" s="2" t="str">
        <f>IFERROR(__xludf.DUMMYFUNCTION("""COMPUTED_VALUE"""),"Dicky")</f>
        <v>Dicky</v>
      </c>
      <c r="D1701" s="2" t="str">
        <f>IFERROR(__xludf.DUMMYFUNCTION("""COMPUTED_VALUE"""),"5KM OVERALL M")</f>
        <v>5KM OVERALL M</v>
      </c>
      <c r="E1701" s="1">
        <f>IFERROR(__xludf.DUMMYFUNCTION("""COMPUTED_VALUE"""),2.0)</f>
        <v>2</v>
      </c>
      <c r="F1701" s="1" t="str">
        <f>IFERROR(__xludf.DUMMYFUNCTION("""COMPUTED_VALUE"""),"Male")</f>
        <v>Male</v>
      </c>
      <c r="G1701" s="4" t="b">
        <f>IFERROR(__xludf.DUMMYFUNCTION("""COMPUTED_VALUE"""),TRUE)</f>
        <v>1</v>
      </c>
      <c r="H1701" s="4" t="b">
        <f>IFERROR(__xludf.DUMMYFUNCTION("""COMPUTED_VALUE"""),TRUE)</f>
        <v>1</v>
      </c>
      <c r="I1701" s="4">
        <f>IFERROR(__xludf.DUMMYFUNCTION("""COMPUTED_VALUE"""),0.2549440625)</f>
        <v>0.2549440625</v>
      </c>
      <c r="J1701" s="4">
        <f>IFERROR(__xludf.DUMMYFUNCTION("""COMPUTED_VALUE"""),45949.26996767212)</f>
        <v>45949.26997</v>
      </c>
      <c r="K1701" s="4" t="str">
        <f>IFERROR(__xludf.DUMMYFUNCTION("""COMPUTED_VALUE"""),"")</f>
        <v/>
      </c>
      <c r="L1701" s="4">
        <f>IFERROR(__xludf.DUMMYFUNCTION("""COMPUTED_VALUE"""),45949.28222447668)</f>
        <v>45949.28222</v>
      </c>
      <c r="M1701" s="1" t="str">
        <f>IFERROR(__xludf.DUMMYFUNCTION("""COMPUTED_VALUE"""),"RFID")</f>
        <v>RFID</v>
      </c>
      <c r="N1701" s="5">
        <f>IFERROR(__xludf.DUMMYFUNCTION("""COMPUTED_VALUE"""),0.006009444444444444)</f>
        <v>0.006009444444</v>
      </c>
      <c r="O1701" s="5" t="str">
        <f>IFERROR(__xludf.DUMMYFUNCTION("""COMPUTED_VALUE"""),"")</f>
        <v/>
      </c>
      <c r="P1701" s="5" t="str">
        <f>IFERROR(__xludf.DUMMYFUNCTION("""COMPUTED_VALUE"""),"")</f>
        <v/>
      </c>
      <c r="Q1701" s="5">
        <f>IFERROR(__xludf.DUMMYFUNCTION("""COMPUTED_VALUE"""),0.005456083333333333)</f>
        <v>0.005456083333</v>
      </c>
      <c r="R1701" s="4">
        <f>IFERROR(__xludf.DUMMYFUNCTION("""COMPUTED_VALUE"""),45949.02728041418)</f>
        <v>45949.02728</v>
      </c>
      <c r="S1701" s="1" t="b">
        <f>IFERROR(__xludf.DUMMYFUNCTION("""COMPUTED_VALUE"""),TRUE)</f>
        <v>1</v>
      </c>
      <c r="T1701" s="1" t="b">
        <f>IFERROR(__xludf.DUMMYFUNCTION("""COMPUTED_VALUE"""),FALSE)</f>
        <v>0</v>
      </c>
      <c r="U1701" s="1" t="str">
        <f>IFERROR(__xludf.DUMMYFUNCTION("""COMPUTED_VALUE"""),"VALID")</f>
        <v>VALID</v>
      </c>
      <c r="V1701" s="1">
        <f>IFERROR(__xludf.DUMMYFUNCTION("""COMPUTED_VALUE"""),257.0)</f>
        <v>257</v>
      </c>
      <c r="W1701" s="1">
        <f>IFERROR(__xludf.DUMMYFUNCTION("""COMPUTED_VALUE"""),393.0)</f>
        <v>393</v>
      </c>
      <c r="X1701" s="1">
        <f>IFERROR(__xludf.DUMMYFUNCTION("""COMPUTED_VALUE"""),341.0)</f>
        <v>341</v>
      </c>
      <c r="Y1701" s="2"/>
      <c r="Z1701" s="2"/>
    </row>
    <row r="1702">
      <c r="A1702" s="1">
        <f>IFERROR(__xludf.DUMMYFUNCTION("""COMPUTED_VALUE"""),1701.0)</f>
        <v>1701</v>
      </c>
      <c r="B1702" s="1">
        <f>IFERROR(__xludf.DUMMYFUNCTION("""COMPUTED_VALUE"""),5074.0)</f>
        <v>5074</v>
      </c>
      <c r="C1702" s="2" t="str">
        <f>IFERROR(__xludf.DUMMYFUNCTION("""COMPUTED_VALUE"""),"Adi")</f>
        <v>Adi</v>
      </c>
      <c r="D1702" s="2" t="str">
        <f>IFERROR(__xludf.DUMMYFUNCTION("""COMPUTED_VALUE"""),"5KM OVERALL M")</f>
        <v>5KM OVERALL M</v>
      </c>
      <c r="E1702" s="1">
        <f>IFERROR(__xludf.DUMMYFUNCTION("""COMPUTED_VALUE"""),2.0)</f>
        <v>2</v>
      </c>
      <c r="F1702" s="1" t="str">
        <f>IFERROR(__xludf.DUMMYFUNCTION("""COMPUTED_VALUE"""),"Male")</f>
        <v>Male</v>
      </c>
      <c r="G1702" s="4" t="b">
        <f>IFERROR(__xludf.DUMMYFUNCTION("""COMPUTED_VALUE"""),TRUE)</f>
        <v>1</v>
      </c>
      <c r="H1702" s="4" t="b">
        <f>IFERROR(__xludf.DUMMYFUNCTION("""COMPUTED_VALUE"""),FALSE)</f>
        <v>0</v>
      </c>
      <c r="I1702" s="4">
        <f>IFERROR(__xludf.DUMMYFUNCTION("""COMPUTED_VALUE"""),0.2549440625)</f>
        <v>0.2549440625</v>
      </c>
      <c r="J1702" s="4">
        <f>IFERROR(__xludf.DUMMYFUNCTION("""COMPUTED_VALUE"""),45950.27622685185)</f>
        <v>45950.27623</v>
      </c>
      <c r="K1702" s="4" t="str">
        <f>IFERROR(__xludf.DUMMYFUNCTION("""COMPUTED_VALUE"""),"")</f>
        <v/>
      </c>
      <c r="L1702" s="4">
        <f>IFERROR(__xludf.DUMMYFUNCTION("""COMPUTED_VALUE"""),45949.290429636065)</f>
        <v>45949.29043</v>
      </c>
      <c r="M1702" s="1" t="str">
        <f>IFERROR(__xludf.DUMMYFUNCTION("""COMPUTED_VALUE"""),"RFID")</f>
        <v>RFID</v>
      </c>
      <c r="N1702" s="5">
        <f>IFERROR(__xludf.DUMMYFUNCTION("""COMPUTED_VALUE"""),0.008513115740740741)</f>
        <v>0.008513115741</v>
      </c>
      <c r="O1702" s="5" t="str">
        <f>IFERROR(__xludf.DUMMYFUNCTION("""COMPUTED_VALUE"""),"")</f>
        <v/>
      </c>
      <c r="P1702" s="5" t="str">
        <f>IFERROR(__xludf.DUMMYFUNCTION("""COMPUTED_VALUE"""),"")</f>
        <v/>
      </c>
      <c r="Q1702" s="5">
        <f>IFERROR(__xludf.DUMMYFUNCTION("""COMPUTED_VALUE"""),0.007097115740740741)</f>
        <v>0.007097115741</v>
      </c>
      <c r="R1702" s="4">
        <f>IFERROR(__xludf.DUMMYFUNCTION("""COMPUTED_VALUE"""),45949.035485573564)</f>
        <v>45949.03549</v>
      </c>
      <c r="S1702" s="1" t="b">
        <f>IFERROR(__xludf.DUMMYFUNCTION("""COMPUTED_VALUE"""),TRUE)</f>
        <v>1</v>
      </c>
      <c r="T1702" s="1" t="b">
        <f>IFERROR(__xludf.DUMMYFUNCTION("""COMPUTED_VALUE"""),FALSE)</f>
        <v>0</v>
      </c>
      <c r="U1702" s="1" t="str">
        <f>IFERROR(__xludf.DUMMYFUNCTION("""COMPUTED_VALUE"""),"VALID")</f>
        <v>VALID</v>
      </c>
      <c r="V1702" s="1">
        <f>IFERROR(__xludf.DUMMYFUNCTION("""COMPUTED_VALUE"""),574.0)</f>
        <v>574</v>
      </c>
      <c r="W1702" s="1">
        <f>IFERROR(__xludf.DUMMYFUNCTION("""COMPUTED_VALUE"""),918.0)</f>
        <v>918</v>
      </c>
      <c r="X1702" s="1">
        <f>IFERROR(__xludf.DUMMYFUNCTION("""COMPUTED_VALUE"""),749.0)</f>
        <v>749</v>
      </c>
      <c r="Y1702" s="2"/>
      <c r="Z1702" s="2"/>
    </row>
    <row r="1703">
      <c r="A1703" s="1">
        <f>IFERROR(__xludf.DUMMYFUNCTION("""COMPUTED_VALUE"""),1702.0)</f>
        <v>1702</v>
      </c>
      <c r="B1703" s="1">
        <f>IFERROR(__xludf.DUMMYFUNCTION("""COMPUTED_VALUE"""),5076.0)</f>
        <v>5076</v>
      </c>
      <c r="C1703" s="2" t="str">
        <f>IFERROR(__xludf.DUMMYFUNCTION("""COMPUTED_VALUE"""),"Riyan Senpai")</f>
        <v>Riyan Senpai</v>
      </c>
      <c r="D1703" s="2" t="str">
        <f>IFERROR(__xludf.DUMMYFUNCTION("""COMPUTED_VALUE"""),"5KM OVERALL M")</f>
        <v>5KM OVERALL M</v>
      </c>
      <c r="E1703" s="1">
        <f>IFERROR(__xludf.DUMMYFUNCTION("""COMPUTED_VALUE"""),2.0)</f>
        <v>2</v>
      </c>
      <c r="F1703" s="1" t="str">
        <f>IFERROR(__xludf.DUMMYFUNCTION("""COMPUTED_VALUE"""),"Male")</f>
        <v>Male</v>
      </c>
      <c r="G1703" s="4" t="b">
        <f>IFERROR(__xludf.DUMMYFUNCTION("""COMPUTED_VALUE"""),TRUE)</f>
        <v>1</v>
      </c>
      <c r="H1703" s="4" t="b">
        <f>IFERROR(__xludf.DUMMYFUNCTION("""COMPUTED_VALUE"""),FALSE)</f>
        <v>0</v>
      </c>
      <c r="I1703" s="4">
        <f>IFERROR(__xludf.DUMMYFUNCTION("""COMPUTED_VALUE"""),0.2549440625)</f>
        <v>0.2549440625</v>
      </c>
      <c r="J1703" s="4">
        <f>IFERROR(__xludf.DUMMYFUNCTION("""COMPUTED_VALUE"""),45949.26810660861)</f>
        <v>45949.26811</v>
      </c>
      <c r="K1703" s="4" t="str">
        <f>IFERROR(__xludf.DUMMYFUNCTION("""COMPUTED_VALUE"""),"")</f>
        <v/>
      </c>
      <c r="L1703" s="4">
        <f>IFERROR(__xludf.DUMMYFUNCTION("""COMPUTED_VALUE"""),45949.277949480456)</f>
        <v>45949.27795</v>
      </c>
      <c r="M1703" s="1" t="str">
        <f>IFERROR(__xludf.DUMMYFUNCTION("""COMPUTED_VALUE"""),"RFID")</f>
        <v>RFID</v>
      </c>
      <c r="N1703" s="5">
        <f>IFERROR(__xludf.DUMMYFUNCTION("""COMPUTED_VALUE"""),0.005265018518518518)</f>
        <v>0.005265018519</v>
      </c>
      <c r="O1703" s="5" t="str">
        <f>IFERROR(__xludf.DUMMYFUNCTION("""COMPUTED_VALUE"""),"")</f>
        <v/>
      </c>
      <c r="P1703" s="5" t="str">
        <f>IFERROR(__xludf.DUMMYFUNCTION("""COMPUTED_VALUE"""),"")</f>
        <v/>
      </c>
      <c r="Q1703" s="5">
        <f>IFERROR(__xludf.DUMMYFUNCTION("""COMPUTED_VALUE"""),0.004601083333333334)</f>
        <v>0.004601083333</v>
      </c>
      <c r="R1703" s="4">
        <f>IFERROR(__xludf.DUMMYFUNCTION("""COMPUTED_VALUE"""),45949.023005417956)</f>
        <v>45949.02301</v>
      </c>
      <c r="S1703" s="1" t="b">
        <f>IFERROR(__xludf.DUMMYFUNCTION("""COMPUTED_VALUE"""),TRUE)</f>
        <v>1</v>
      </c>
      <c r="T1703" s="1" t="b">
        <f>IFERROR(__xludf.DUMMYFUNCTION("""COMPUTED_VALUE"""),FALSE)</f>
        <v>0</v>
      </c>
      <c r="U1703" s="1" t="str">
        <f>IFERROR(__xludf.DUMMYFUNCTION("""COMPUTED_VALUE"""),"VALID")</f>
        <v>VALID</v>
      </c>
      <c r="V1703" s="1">
        <f>IFERROR(__xludf.DUMMYFUNCTION("""COMPUTED_VALUE"""),141.0)</f>
        <v>141</v>
      </c>
      <c r="W1703" s="1">
        <f>IFERROR(__xludf.DUMMYFUNCTION("""COMPUTED_VALUE"""),214.0)</f>
        <v>214</v>
      </c>
      <c r="X1703" s="1">
        <f>IFERROR(__xludf.DUMMYFUNCTION("""COMPUTED_VALUE"""),187.0)</f>
        <v>187</v>
      </c>
      <c r="Y1703" s="2"/>
      <c r="Z1703" s="2"/>
    </row>
    <row r="1704">
      <c r="A1704" s="1">
        <f>IFERROR(__xludf.DUMMYFUNCTION("""COMPUTED_VALUE"""),1703.0)</f>
        <v>1703</v>
      </c>
      <c r="B1704" s="1">
        <f>IFERROR(__xludf.DUMMYFUNCTION("""COMPUTED_VALUE"""),5078.0)</f>
        <v>5078</v>
      </c>
      <c r="C1704" s="2" t="str">
        <f>IFERROR(__xludf.DUMMYFUNCTION("""COMPUTED_VALUE"""),"Fachri")</f>
        <v>Fachri</v>
      </c>
      <c r="D1704" s="2" t="str">
        <f>IFERROR(__xludf.DUMMYFUNCTION("""COMPUTED_VALUE"""),"5KM OVERALL M")</f>
        <v>5KM OVERALL M</v>
      </c>
      <c r="E1704" s="1">
        <f>IFERROR(__xludf.DUMMYFUNCTION("""COMPUTED_VALUE"""),2.0)</f>
        <v>2</v>
      </c>
      <c r="F1704" s="1" t="str">
        <f>IFERROR(__xludf.DUMMYFUNCTION("""COMPUTED_VALUE"""),"Male")</f>
        <v>Male</v>
      </c>
      <c r="G1704" s="4" t="b">
        <f>IFERROR(__xludf.DUMMYFUNCTION("""COMPUTED_VALUE"""),TRUE)</f>
        <v>1</v>
      </c>
      <c r="H1704" s="4" t="b">
        <f>IFERROR(__xludf.DUMMYFUNCTION("""COMPUTED_VALUE"""),TRUE)</f>
        <v>1</v>
      </c>
      <c r="I1704" s="4">
        <f>IFERROR(__xludf.DUMMYFUNCTION("""COMPUTED_VALUE"""),0.2549440625)</f>
        <v>0.2549440625</v>
      </c>
      <c r="J1704" s="4">
        <f>IFERROR(__xludf.DUMMYFUNCTION("""COMPUTED_VALUE"""),45949.276842722895)</f>
        <v>45949.27684</v>
      </c>
      <c r="K1704" s="4" t="str">
        <f>IFERROR(__xludf.DUMMYFUNCTION("""COMPUTED_VALUE"""),"")</f>
        <v/>
      </c>
      <c r="L1704" s="4">
        <f>IFERROR(__xludf.DUMMYFUNCTION("""COMPUTED_VALUE"""),45949.29068906985)</f>
        <v>45949.29069</v>
      </c>
      <c r="M1704" s="1" t="str">
        <f>IFERROR(__xludf.DUMMYFUNCTION("""COMPUTED_VALUE"""),"RFID")</f>
        <v>RFID</v>
      </c>
      <c r="N1704" s="5">
        <f>IFERROR(__xludf.DUMMYFUNCTION("""COMPUTED_VALUE"""),0.008759462962962964)</f>
        <v>0.008759462963</v>
      </c>
      <c r="O1704" s="5" t="str">
        <f>IFERROR(__xludf.DUMMYFUNCTION("""COMPUTED_VALUE"""),"")</f>
        <v/>
      </c>
      <c r="P1704" s="5" t="str">
        <f>IFERROR(__xludf.DUMMYFUNCTION("""COMPUTED_VALUE"""),"")</f>
        <v/>
      </c>
      <c r="Q1704" s="5">
        <f>IFERROR(__xludf.DUMMYFUNCTION("""COMPUTED_VALUE"""),0.007149002314814815)</f>
        <v>0.007149002315</v>
      </c>
      <c r="R1704" s="4">
        <f>IFERROR(__xludf.DUMMYFUNCTION("""COMPUTED_VALUE"""),45949.03574500735)</f>
        <v>45949.03575</v>
      </c>
      <c r="S1704" s="1" t="b">
        <f>IFERROR(__xludf.DUMMYFUNCTION("""COMPUTED_VALUE"""),TRUE)</f>
        <v>1</v>
      </c>
      <c r="T1704" s="1" t="b">
        <f>IFERROR(__xludf.DUMMYFUNCTION("""COMPUTED_VALUE"""),FALSE)</f>
        <v>0</v>
      </c>
      <c r="U1704" s="1" t="str">
        <f>IFERROR(__xludf.DUMMYFUNCTION("""COMPUTED_VALUE"""),"VALID")</f>
        <v>VALID</v>
      </c>
      <c r="V1704" s="1">
        <f>IFERROR(__xludf.DUMMYFUNCTION("""COMPUTED_VALUE"""),587.0)</f>
        <v>587</v>
      </c>
      <c r="W1704" s="1">
        <f>IFERROR(__xludf.DUMMYFUNCTION("""COMPUTED_VALUE"""),938.0)</f>
        <v>938</v>
      </c>
      <c r="X1704" s="1">
        <f>IFERROR(__xludf.DUMMYFUNCTION("""COMPUTED_VALUE"""),766.0)</f>
        <v>766</v>
      </c>
      <c r="Y1704" s="2"/>
      <c r="Z1704" s="2"/>
    </row>
    <row r="1705">
      <c r="A1705" s="1">
        <f>IFERROR(__xludf.DUMMYFUNCTION("""COMPUTED_VALUE"""),1704.0)</f>
        <v>1704</v>
      </c>
      <c r="B1705" s="1">
        <f>IFERROR(__xludf.DUMMYFUNCTION("""COMPUTED_VALUE"""),5079.0)</f>
        <v>5079</v>
      </c>
      <c r="C1705" s="2" t="str">
        <f>IFERROR(__xludf.DUMMYFUNCTION("""COMPUTED_VALUE"""),"RABBANI")</f>
        <v>RABBANI</v>
      </c>
      <c r="D1705" s="2" t="str">
        <f>IFERROR(__xludf.DUMMYFUNCTION("""COMPUTED_VALUE"""),"5KM OVERALL M")</f>
        <v>5KM OVERALL M</v>
      </c>
      <c r="E1705" s="1">
        <f>IFERROR(__xludf.DUMMYFUNCTION("""COMPUTED_VALUE"""),2.0)</f>
        <v>2</v>
      </c>
      <c r="F1705" s="1" t="str">
        <f>IFERROR(__xludf.DUMMYFUNCTION("""COMPUTED_VALUE"""),"Male")</f>
        <v>Male</v>
      </c>
      <c r="G1705" s="4" t="b">
        <f>IFERROR(__xludf.DUMMYFUNCTION("""COMPUTED_VALUE"""),TRUE)</f>
        <v>1</v>
      </c>
      <c r="H1705" s="4" t="b">
        <f>IFERROR(__xludf.DUMMYFUNCTION("""COMPUTED_VALUE"""),TRUE)</f>
        <v>1</v>
      </c>
      <c r="I1705" s="4">
        <f>IFERROR(__xludf.DUMMYFUNCTION("""COMPUTED_VALUE"""),0.2549440625)</f>
        <v>0.2549440625</v>
      </c>
      <c r="J1705" s="4">
        <f>IFERROR(__xludf.DUMMYFUNCTION("""COMPUTED_VALUE"""),45949.262040575406)</f>
        <v>45949.26204</v>
      </c>
      <c r="K1705" s="4" t="str">
        <f>IFERROR(__xludf.DUMMYFUNCTION("""COMPUTED_VALUE"""),"")</f>
        <v/>
      </c>
      <c r="L1705" s="4">
        <f>IFERROR(__xludf.DUMMYFUNCTION("""COMPUTED_VALUE"""),45949.26755668982)</f>
        <v>45949.26756</v>
      </c>
      <c r="M1705" s="1" t="str">
        <f>IFERROR(__xludf.DUMMYFUNCTION("""COMPUTED_VALUE"""),"RFID")</f>
        <v>RFID</v>
      </c>
      <c r="N1705" s="5">
        <f>IFERROR(__xludf.DUMMYFUNCTION("""COMPUTED_VALUE"""),0.0028386064814814814)</f>
        <v>0.002838606481</v>
      </c>
      <c r="O1705" s="5" t="str">
        <f>IFERROR(__xludf.DUMMYFUNCTION("""COMPUTED_VALUE"""),"")</f>
        <v/>
      </c>
      <c r="P1705" s="5" t="str">
        <f>IFERROR(__xludf.DUMMYFUNCTION("""COMPUTED_VALUE"""),"")</f>
        <v/>
      </c>
      <c r="Q1705" s="5">
        <f>IFERROR(__xludf.DUMMYFUNCTION("""COMPUTED_VALUE"""),0.002522525462962963)</f>
        <v>0.002522525463</v>
      </c>
      <c r="R1705" s="4">
        <f>IFERROR(__xludf.DUMMYFUNCTION("""COMPUTED_VALUE"""),45949.01261262732)</f>
        <v>45949.01261</v>
      </c>
      <c r="S1705" s="1" t="b">
        <f>IFERROR(__xludf.DUMMYFUNCTION("""COMPUTED_VALUE"""),TRUE)</f>
        <v>1</v>
      </c>
      <c r="T1705" s="1" t="b">
        <f>IFERROR(__xludf.DUMMYFUNCTION("""COMPUTED_VALUE"""),FALSE)</f>
        <v>0</v>
      </c>
      <c r="U1705" s="1" t="str">
        <f>IFERROR(__xludf.DUMMYFUNCTION("""COMPUTED_VALUE"""),"VALID")</f>
        <v>VALID</v>
      </c>
      <c r="V1705" s="1">
        <f>IFERROR(__xludf.DUMMYFUNCTION("""COMPUTED_VALUE"""),5.0)</f>
        <v>5</v>
      </c>
      <c r="W1705" s="1">
        <f>IFERROR(__xludf.DUMMYFUNCTION("""COMPUTED_VALUE"""),5.0)</f>
        <v>5</v>
      </c>
      <c r="X1705" s="1">
        <f>IFERROR(__xludf.DUMMYFUNCTION("""COMPUTED_VALUE"""),5.0)</f>
        <v>5</v>
      </c>
      <c r="Y1705" s="2"/>
      <c r="Z1705" s="2"/>
    </row>
    <row r="1706">
      <c r="A1706" s="1">
        <f>IFERROR(__xludf.DUMMYFUNCTION("""COMPUTED_VALUE"""),1705.0)</f>
        <v>1705</v>
      </c>
      <c r="B1706" s="1">
        <f>IFERROR(__xludf.DUMMYFUNCTION("""COMPUTED_VALUE"""),5082.0)</f>
        <v>5082</v>
      </c>
      <c r="C1706" s="2" t="str">
        <f>IFERROR(__xludf.DUMMYFUNCTION("""COMPUTED_VALUE"""),"AGUSTIAN")</f>
        <v>AGUSTIAN</v>
      </c>
      <c r="D1706" s="2" t="str">
        <f>IFERROR(__xludf.DUMMYFUNCTION("""COMPUTED_VALUE"""),"5KM OVERALL M")</f>
        <v>5KM OVERALL M</v>
      </c>
      <c r="E1706" s="1">
        <f>IFERROR(__xludf.DUMMYFUNCTION("""COMPUTED_VALUE"""),2.0)</f>
        <v>2</v>
      </c>
      <c r="F1706" s="1" t="str">
        <f>IFERROR(__xludf.DUMMYFUNCTION("""COMPUTED_VALUE"""),"Male")</f>
        <v>Male</v>
      </c>
      <c r="G1706" s="4" t="b">
        <f>IFERROR(__xludf.DUMMYFUNCTION("""COMPUTED_VALUE"""),TRUE)</f>
        <v>1</v>
      </c>
      <c r="H1706" s="4" t="b">
        <f>IFERROR(__xludf.DUMMYFUNCTION("""COMPUTED_VALUE"""),TRUE)</f>
        <v>1</v>
      </c>
      <c r="I1706" s="4">
        <f>IFERROR(__xludf.DUMMYFUNCTION("""COMPUTED_VALUE"""),0.2549440625)</f>
        <v>0.2549440625</v>
      </c>
      <c r="J1706" s="4">
        <f>IFERROR(__xludf.DUMMYFUNCTION("""COMPUTED_VALUE"""),45949.27072830156)</f>
        <v>45949.27073</v>
      </c>
      <c r="K1706" s="4" t="str">
        <f>IFERROR(__xludf.DUMMYFUNCTION("""COMPUTED_VALUE"""),"")</f>
        <v/>
      </c>
      <c r="L1706" s="4">
        <f>IFERROR(__xludf.DUMMYFUNCTION("""COMPUTED_VALUE"""),45949.28263698447)</f>
        <v>45949.28264</v>
      </c>
      <c r="M1706" s="1" t="str">
        <f>IFERROR(__xludf.DUMMYFUNCTION("""COMPUTED_VALUE"""),"RFID")</f>
        <v>RFID</v>
      </c>
      <c r="N1706" s="5">
        <f>IFERROR(__xludf.DUMMYFUNCTION("""COMPUTED_VALUE"""),0.006313694444444444)</f>
        <v>0.006313694444</v>
      </c>
      <c r="O1706" s="5" t="str">
        <f>IFERROR(__xludf.DUMMYFUNCTION("""COMPUTED_VALUE"""),"")</f>
        <v/>
      </c>
      <c r="P1706" s="5" t="str">
        <f>IFERROR(__xludf.DUMMYFUNCTION("""COMPUTED_VALUE"""),"")</f>
        <v/>
      </c>
      <c r="Q1706" s="5">
        <f>IFERROR(__xludf.DUMMYFUNCTION("""COMPUTED_VALUE"""),0.005538583333333334)</f>
        <v>0.005538583333</v>
      </c>
      <c r="R1706" s="4">
        <f>IFERROR(__xludf.DUMMYFUNCTION("""COMPUTED_VALUE"""),45949.02769292197)</f>
        <v>45949.02769</v>
      </c>
      <c r="S1706" s="1" t="b">
        <f>IFERROR(__xludf.DUMMYFUNCTION("""COMPUTED_VALUE"""),TRUE)</f>
        <v>1</v>
      </c>
      <c r="T1706" s="1" t="b">
        <f>IFERROR(__xludf.DUMMYFUNCTION("""COMPUTED_VALUE"""),FALSE)</f>
        <v>0</v>
      </c>
      <c r="U1706" s="1" t="str">
        <f>IFERROR(__xludf.DUMMYFUNCTION("""COMPUTED_VALUE"""),"VALID")</f>
        <v>VALID</v>
      </c>
      <c r="V1706" s="1">
        <f>IFERROR(__xludf.DUMMYFUNCTION("""COMPUTED_VALUE"""),273.0)</f>
        <v>273</v>
      </c>
      <c r="W1706" s="1">
        <f>IFERROR(__xludf.DUMMYFUNCTION("""COMPUTED_VALUE"""),415.0)</f>
        <v>415</v>
      </c>
      <c r="X1706" s="1">
        <f>IFERROR(__xludf.DUMMYFUNCTION("""COMPUTED_VALUE"""),359.0)</f>
        <v>359</v>
      </c>
      <c r="Y1706" s="2"/>
      <c r="Z1706" s="2"/>
    </row>
    <row r="1707">
      <c r="A1707" s="1">
        <f>IFERROR(__xludf.DUMMYFUNCTION("""COMPUTED_VALUE"""),1706.0)</f>
        <v>1706</v>
      </c>
      <c r="B1707" s="1">
        <f>IFERROR(__xludf.DUMMYFUNCTION("""COMPUTED_VALUE"""),5083.0)</f>
        <v>5083</v>
      </c>
      <c r="C1707" s="2" t="str">
        <f>IFERROR(__xludf.DUMMYFUNCTION("""COMPUTED_VALUE"""),"RIZKI PPS")</f>
        <v>RIZKI PPS</v>
      </c>
      <c r="D1707" s="2" t="str">
        <f>IFERROR(__xludf.DUMMYFUNCTION("""COMPUTED_VALUE"""),"5KM OVERALL M")</f>
        <v>5KM OVERALL M</v>
      </c>
      <c r="E1707" s="1">
        <f>IFERROR(__xludf.DUMMYFUNCTION("""COMPUTED_VALUE"""),2.0)</f>
        <v>2</v>
      </c>
      <c r="F1707" s="1" t="str">
        <f>IFERROR(__xludf.DUMMYFUNCTION("""COMPUTED_VALUE"""),"Male")</f>
        <v>Male</v>
      </c>
      <c r="G1707" s="4" t="b">
        <f>IFERROR(__xludf.DUMMYFUNCTION("""COMPUTED_VALUE"""),TRUE)</f>
        <v>1</v>
      </c>
      <c r="H1707" s="4" t="b">
        <f>IFERROR(__xludf.DUMMYFUNCTION("""COMPUTED_VALUE"""),FALSE)</f>
        <v>0</v>
      </c>
      <c r="I1707" s="4">
        <f>IFERROR(__xludf.DUMMYFUNCTION("""COMPUTED_VALUE"""),0.2549440625)</f>
        <v>0.2549440625</v>
      </c>
      <c r="J1707" s="4">
        <f>IFERROR(__xludf.DUMMYFUNCTION("""COMPUTED_VALUE"""),45949.28009966308)</f>
        <v>45949.2801</v>
      </c>
      <c r="K1707" s="4" t="str">
        <f>IFERROR(__xludf.DUMMYFUNCTION("""COMPUTED_VALUE"""),"")</f>
        <v/>
      </c>
      <c r="L1707" s="4">
        <f>IFERROR(__xludf.DUMMYFUNCTION("""COMPUTED_VALUE"""),45949.29949809427)</f>
        <v>45949.2995</v>
      </c>
      <c r="M1707" s="1" t="str">
        <f>IFERROR(__xludf.DUMMYFUNCTION("""COMPUTED_VALUE"""),"RFID")</f>
        <v>RFID</v>
      </c>
      <c r="N1707" s="5">
        <f>IFERROR(__xludf.DUMMYFUNCTION("""COMPUTED_VALUE"""),0.010062240740740741)</f>
        <v>0.01006224074</v>
      </c>
      <c r="O1707" s="5" t="str">
        <f>IFERROR(__xludf.DUMMYFUNCTION("""COMPUTED_VALUE"""),"")</f>
        <v/>
      </c>
      <c r="P1707" s="5" t="str">
        <f>IFERROR(__xludf.DUMMYFUNCTION("""COMPUTED_VALUE"""),"")</f>
        <v/>
      </c>
      <c r="Q1707" s="5">
        <f>IFERROR(__xludf.DUMMYFUNCTION("""COMPUTED_VALUE"""),0.008910805555555555)</f>
        <v>0.008910805556</v>
      </c>
      <c r="R1707" s="4">
        <f>IFERROR(__xludf.DUMMYFUNCTION("""COMPUTED_VALUE"""),45949.04455403177)</f>
        <v>45949.04455</v>
      </c>
      <c r="S1707" s="1" t="b">
        <f>IFERROR(__xludf.DUMMYFUNCTION("""COMPUTED_VALUE"""),TRUE)</f>
        <v>1</v>
      </c>
      <c r="T1707" s="1" t="b">
        <f>IFERROR(__xludf.DUMMYFUNCTION("""COMPUTED_VALUE"""),FALSE)</f>
        <v>0</v>
      </c>
      <c r="U1707" s="1" t="str">
        <f>IFERROR(__xludf.DUMMYFUNCTION("""COMPUTED_VALUE"""),"VALID")</f>
        <v>VALID</v>
      </c>
      <c r="V1707" s="1">
        <f>IFERROR(__xludf.DUMMYFUNCTION("""COMPUTED_VALUE"""),790.0)</f>
        <v>790</v>
      </c>
      <c r="W1707" s="1">
        <f>IFERROR(__xludf.DUMMYFUNCTION("""COMPUTED_VALUE"""),1432.0)</f>
        <v>1432</v>
      </c>
      <c r="X1707" s="1">
        <f>IFERROR(__xludf.DUMMYFUNCTION("""COMPUTED_VALUE"""),1179.0)</f>
        <v>1179</v>
      </c>
      <c r="Y1707" s="2"/>
      <c r="Z1707" s="2"/>
    </row>
    <row r="1708">
      <c r="A1708" s="1">
        <f>IFERROR(__xludf.DUMMYFUNCTION("""COMPUTED_VALUE"""),1707.0)</f>
        <v>1707</v>
      </c>
      <c r="B1708" s="1">
        <f>IFERROR(__xludf.DUMMYFUNCTION("""COMPUTED_VALUE"""),5085.0)</f>
        <v>5085</v>
      </c>
      <c r="C1708" s="2" t="str">
        <f>IFERROR(__xludf.DUMMYFUNCTION("""COMPUTED_VALUE"""),"Lhatif")</f>
        <v>Lhatif</v>
      </c>
      <c r="D1708" s="2" t="str">
        <f>IFERROR(__xludf.DUMMYFUNCTION("""COMPUTED_VALUE"""),"5KM OVERALL M")</f>
        <v>5KM OVERALL M</v>
      </c>
      <c r="E1708" s="1">
        <f>IFERROR(__xludf.DUMMYFUNCTION("""COMPUTED_VALUE"""),2.0)</f>
        <v>2</v>
      </c>
      <c r="F1708" s="1" t="str">
        <f>IFERROR(__xludf.DUMMYFUNCTION("""COMPUTED_VALUE"""),"Male")</f>
        <v>Male</v>
      </c>
      <c r="G1708" s="4" t="b">
        <f>IFERROR(__xludf.DUMMYFUNCTION("""COMPUTED_VALUE"""),TRUE)</f>
        <v>1</v>
      </c>
      <c r="H1708" s="4" t="b">
        <f>IFERROR(__xludf.DUMMYFUNCTION("""COMPUTED_VALUE"""),TRUE)</f>
        <v>1</v>
      </c>
      <c r="I1708" s="4">
        <f>IFERROR(__xludf.DUMMYFUNCTION("""COMPUTED_VALUE"""),0.2549440625)</f>
        <v>0.2549440625</v>
      </c>
      <c r="J1708" s="4">
        <f>IFERROR(__xludf.DUMMYFUNCTION("""COMPUTED_VALUE"""),45949.26992598767)</f>
        <v>45949.26993</v>
      </c>
      <c r="K1708" s="4" t="str">
        <f>IFERROR(__xludf.DUMMYFUNCTION("""COMPUTED_VALUE"""),"")</f>
        <v/>
      </c>
      <c r="L1708" s="4">
        <f>IFERROR(__xludf.DUMMYFUNCTION("""COMPUTED_VALUE"""),45949.28336275597)</f>
        <v>45949.28336</v>
      </c>
      <c r="M1708" s="1" t="str">
        <f>IFERROR(__xludf.DUMMYFUNCTION("""COMPUTED_VALUE"""),"RFID")</f>
        <v>RFID</v>
      </c>
      <c r="N1708" s="5">
        <f>IFERROR(__xludf.DUMMYFUNCTION("""COMPUTED_VALUE"""),0.005992768518518519)</f>
        <v>0.005992768519</v>
      </c>
      <c r="O1708" s="5" t="str">
        <f>IFERROR(__xludf.DUMMYFUNCTION("""COMPUTED_VALUE"""),"")</f>
        <v/>
      </c>
      <c r="P1708" s="5" t="str">
        <f>IFERROR(__xludf.DUMMYFUNCTION("""COMPUTED_VALUE"""),"")</f>
        <v/>
      </c>
      <c r="Q1708" s="5">
        <f>IFERROR(__xludf.DUMMYFUNCTION("""COMPUTED_VALUE"""),0.005683738425925925)</f>
        <v>0.005683738426</v>
      </c>
      <c r="R1708" s="4">
        <f>IFERROR(__xludf.DUMMYFUNCTION("""COMPUTED_VALUE"""),45949.028418693466)</f>
        <v>45949.02842</v>
      </c>
      <c r="S1708" s="1" t="b">
        <f>IFERROR(__xludf.DUMMYFUNCTION("""COMPUTED_VALUE"""),TRUE)</f>
        <v>1</v>
      </c>
      <c r="T1708" s="1" t="b">
        <f>IFERROR(__xludf.DUMMYFUNCTION("""COMPUTED_VALUE"""),FALSE)</f>
        <v>0</v>
      </c>
      <c r="U1708" s="1" t="str">
        <f>IFERROR(__xludf.DUMMYFUNCTION("""COMPUTED_VALUE"""),"VALID")</f>
        <v>VALID</v>
      </c>
      <c r="V1708" s="1">
        <f>IFERROR(__xludf.DUMMYFUNCTION("""COMPUTED_VALUE"""),308.0)</f>
        <v>308</v>
      </c>
      <c r="W1708" s="1">
        <f>IFERROR(__xludf.DUMMYFUNCTION("""COMPUTED_VALUE"""),459.0)</f>
        <v>459</v>
      </c>
      <c r="X1708" s="1">
        <f>IFERROR(__xludf.DUMMYFUNCTION("""COMPUTED_VALUE"""),397.0)</f>
        <v>397</v>
      </c>
      <c r="Y1708" s="2"/>
      <c r="Z1708" s="2"/>
    </row>
    <row r="1709">
      <c r="A1709" s="1">
        <f>IFERROR(__xludf.DUMMYFUNCTION("""COMPUTED_VALUE"""),1708.0)</f>
        <v>1708</v>
      </c>
      <c r="B1709" s="1">
        <f>IFERROR(__xludf.DUMMYFUNCTION("""COMPUTED_VALUE"""),5086.0)</f>
        <v>5086</v>
      </c>
      <c r="C1709" s="2" t="str">
        <f>IFERROR(__xludf.DUMMYFUNCTION("""COMPUTED_VALUE"""),"Andam")</f>
        <v>Andam</v>
      </c>
      <c r="D1709" s="2" t="str">
        <f>IFERROR(__xludf.DUMMYFUNCTION("""COMPUTED_VALUE"""),"5KM OVERALL M")</f>
        <v>5KM OVERALL M</v>
      </c>
      <c r="E1709" s="1">
        <f>IFERROR(__xludf.DUMMYFUNCTION("""COMPUTED_VALUE"""),2.0)</f>
        <v>2</v>
      </c>
      <c r="F1709" s="1" t="str">
        <f>IFERROR(__xludf.DUMMYFUNCTION("""COMPUTED_VALUE"""),"Male")</f>
        <v>Male</v>
      </c>
      <c r="G1709" s="4" t="b">
        <f>IFERROR(__xludf.DUMMYFUNCTION("""COMPUTED_VALUE"""),TRUE)</f>
        <v>1</v>
      </c>
      <c r="H1709" s="4" t="b">
        <f>IFERROR(__xludf.DUMMYFUNCTION("""COMPUTED_VALUE"""),TRUE)</f>
        <v>1</v>
      </c>
      <c r="I1709" s="4">
        <f>IFERROR(__xludf.DUMMYFUNCTION("""COMPUTED_VALUE"""),0.2549440625)</f>
        <v>0.2549440625</v>
      </c>
      <c r="J1709" s="4">
        <f>IFERROR(__xludf.DUMMYFUNCTION("""COMPUTED_VALUE"""),45949.2720093936)</f>
        <v>45949.27201</v>
      </c>
      <c r="K1709" s="4" t="str">
        <f>IFERROR(__xludf.DUMMYFUNCTION("""COMPUTED_VALUE"""),"")</f>
        <v/>
      </c>
      <c r="L1709" s="4">
        <f>IFERROR(__xludf.DUMMYFUNCTION("""COMPUTED_VALUE"""),45949.28437656492)</f>
        <v>45949.28438</v>
      </c>
      <c r="M1709" s="1" t="str">
        <f>IFERROR(__xludf.DUMMYFUNCTION("""COMPUTED_VALUE"""),"RFID")</f>
        <v>RFID</v>
      </c>
      <c r="N1709" s="5">
        <f>IFERROR(__xludf.DUMMYFUNCTION("""COMPUTED_VALUE"""),0.006826134259259259)</f>
        <v>0.006826134259</v>
      </c>
      <c r="O1709" s="5" t="str">
        <f>IFERROR(__xludf.DUMMYFUNCTION("""COMPUTED_VALUE"""),"")</f>
        <v/>
      </c>
      <c r="P1709" s="5" t="str">
        <f>IFERROR(__xludf.DUMMYFUNCTION("""COMPUTED_VALUE"""),"")</f>
        <v/>
      </c>
      <c r="Q1709" s="5">
        <f>IFERROR(__xludf.DUMMYFUNCTION("""COMPUTED_VALUE"""),0.005886499999999999)</f>
        <v>0.0058865</v>
      </c>
      <c r="R1709" s="4">
        <f>IFERROR(__xludf.DUMMYFUNCTION("""COMPUTED_VALUE"""),45949.02943250242)</f>
        <v>45949.02943</v>
      </c>
      <c r="S1709" s="1" t="b">
        <f>IFERROR(__xludf.DUMMYFUNCTION("""COMPUTED_VALUE"""),TRUE)</f>
        <v>1</v>
      </c>
      <c r="T1709" s="1" t="b">
        <f>IFERROR(__xludf.DUMMYFUNCTION("""COMPUTED_VALUE"""),FALSE)</f>
        <v>0</v>
      </c>
      <c r="U1709" s="1" t="str">
        <f>IFERROR(__xludf.DUMMYFUNCTION("""COMPUTED_VALUE"""),"VALID")</f>
        <v>VALID</v>
      </c>
      <c r="V1709" s="1">
        <f>IFERROR(__xludf.DUMMYFUNCTION("""COMPUTED_VALUE"""),354.0)</f>
        <v>354</v>
      </c>
      <c r="W1709" s="1">
        <f>IFERROR(__xludf.DUMMYFUNCTION("""COMPUTED_VALUE"""),529.0)</f>
        <v>529</v>
      </c>
      <c r="X1709" s="1">
        <f>IFERROR(__xludf.DUMMYFUNCTION("""COMPUTED_VALUE"""),457.0)</f>
        <v>457</v>
      </c>
      <c r="Y1709" s="2"/>
      <c r="Z1709" s="2"/>
    </row>
    <row r="1710">
      <c r="A1710" s="1">
        <f>IFERROR(__xludf.DUMMYFUNCTION("""COMPUTED_VALUE"""),1709.0)</f>
        <v>1709</v>
      </c>
      <c r="B1710" s="1">
        <f>IFERROR(__xludf.DUMMYFUNCTION("""COMPUTED_VALUE"""),5092.0)</f>
        <v>5092</v>
      </c>
      <c r="C1710" s="2" t="str">
        <f>IFERROR(__xludf.DUMMYFUNCTION("""COMPUTED_VALUE"""),"Dedy Waluyp")</f>
        <v>Dedy Waluyp</v>
      </c>
      <c r="D1710" s="2" t="str">
        <f>IFERROR(__xludf.DUMMYFUNCTION("""COMPUTED_VALUE"""),"5KM OVERALL M")</f>
        <v>5KM OVERALL M</v>
      </c>
      <c r="E1710" s="1">
        <f>IFERROR(__xludf.DUMMYFUNCTION("""COMPUTED_VALUE"""),2.0)</f>
        <v>2</v>
      </c>
      <c r="F1710" s="1" t="str">
        <f>IFERROR(__xludf.DUMMYFUNCTION("""COMPUTED_VALUE"""),"Male")</f>
        <v>Male</v>
      </c>
      <c r="G1710" s="4" t="b">
        <f>IFERROR(__xludf.DUMMYFUNCTION("""COMPUTED_VALUE"""),TRUE)</f>
        <v>1</v>
      </c>
      <c r="H1710" s="4" t="b">
        <f>IFERROR(__xludf.DUMMYFUNCTION("""COMPUTED_VALUE"""),FALSE)</f>
        <v>0</v>
      </c>
      <c r="I1710" s="4">
        <f>IFERROR(__xludf.DUMMYFUNCTION("""COMPUTED_VALUE"""),0.2549440625)</f>
        <v>0.2549440625</v>
      </c>
      <c r="J1710" s="4">
        <f>IFERROR(__xludf.DUMMYFUNCTION("""COMPUTED_VALUE"""),45949.27843647815)</f>
        <v>45949.27844</v>
      </c>
      <c r="K1710" s="4" t="str">
        <f>IFERROR(__xludf.DUMMYFUNCTION("""COMPUTED_VALUE"""),"")</f>
        <v/>
      </c>
      <c r="L1710" s="4">
        <f>IFERROR(__xludf.DUMMYFUNCTION("""COMPUTED_VALUE"""),45949.29603628191)</f>
        <v>45949.29604</v>
      </c>
      <c r="M1710" s="1" t="str">
        <f>IFERROR(__xludf.DUMMYFUNCTION("""COMPUTED_VALUE"""),"RFID")</f>
        <v>RFID</v>
      </c>
      <c r="N1710" s="5">
        <f>IFERROR(__xludf.DUMMYFUNCTION("""COMPUTED_VALUE"""),0.009396967592592592)</f>
        <v>0.009396967593</v>
      </c>
      <c r="O1710" s="5" t="str">
        <f>IFERROR(__xludf.DUMMYFUNCTION("""COMPUTED_VALUE"""),"")</f>
        <v/>
      </c>
      <c r="P1710" s="5" t="str">
        <f>IFERROR(__xludf.DUMMYFUNCTION("""COMPUTED_VALUE"""),"")</f>
        <v/>
      </c>
      <c r="Q1710" s="5">
        <f>IFERROR(__xludf.DUMMYFUNCTION("""COMPUTED_VALUE"""),0.008218444444444445)</f>
        <v>0.008218444444</v>
      </c>
      <c r="R1710" s="4">
        <f>IFERROR(__xludf.DUMMYFUNCTION("""COMPUTED_VALUE"""),45949.041092219406)</f>
        <v>45949.04109</v>
      </c>
      <c r="S1710" s="1" t="b">
        <f>IFERROR(__xludf.DUMMYFUNCTION("""COMPUTED_VALUE"""),TRUE)</f>
        <v>1</v>
      </c>
      <c r="T1710" s="1" t="b">
        <f>IFERROR(__xludf.DUMMYFUNCTION("""COMPUTED_VALUE"""),FALSE)</f>
        <v>0</v>
      </c>
      <c r="U1710" s="1" t="str">
        <f>IFERROR(__xludf.DUMMYFUNCTION("""COMPUTED_VALUE"""),"VALID")</f>
        <v>VALID</v>
      </c>
      <c r="V1710" s="1">
        <f>IFERROR(__xludf.DUMMYFUNCTION("""COMPUTED_VALUE"""),735.0)</f>
        <v>735</v>
      </c>
      <c r="W1710" s="1">
        <f>IFERROR(__xludf.DUMMYFUNCTION("""COMPUTED_VALUE"""),1291.0)</f>
        <v>1291</v>
      </c>
      <c r="X1710" s="1">
        <f>IFERROR(__xludf.DUMMYFUNCTION("""COMPUTED_VALUE"""),1022.0)</f>
        <v>1022</v>
      </c>
      <c r="Y1710" s="2"/>
      <c r="Z1710" s="2"/>
    </row>
    <row r="1711">
      <c r="A1711" s="1">
        <f>IFERROR(__xludf.DUMMYFUNCTION("""COMPUTED_VALUE"""),1710.0)</f>
        <v>1710</v>
      </c>
      <c r="B1711" s="1">
        <f>IFERROR(__xludf.DUMMYFUNCTION("""COMPUTED_VALUE"""),5094.0)</f>
        <v>5094</v>
      </c>
      <c r="C1711" s="2" t="str">
        <f>IFERROR(__xludf.DUMMYFUNCTION("""COMPUTED_VALUE"""),"SIGIT HANDOKO")</f>
        <v>SIGIT HANDOKO</v>
      </c>
      <c r="D1711" s="2" t="str">
        <f>IFERROR(__xludf.DUMMYFUNCTION("""COMPUTED_VALUE"""),"5KM OVERALL M")</f>
        <v>5KM OVERALL M</v>
      </c>
      <c r="E1711" s="1">
        <f>IFERROR(__xludf.DUMMYFUNCTION("""COMPUTED_VALUE"""),2.0)</f>
        <v>2</v>
      </c>
      <c r="F1711" s="1" t="str">
        <f>IFERROR(__xludf.DUMMYFUNCTION("""COMPUTED_VALUE"""),"Male")</f>
        <v>Male</v>
      </c>
      <c r="G1711" s="4" t="b">
        <f>IFERROR(__xludf.DUMMYFUNCTION("""COMPUTED_VALUE"""),TRUE)</f>
        <v>1</v>
      </c>
      <c r="H1711" s="4" t="b">
        <f>IFERROR(__xludf.DUMMYFUNCTION("""COMPUTED_VALUE"""),TRUE)</f>
        <v>1</v>
      </c>
      <c r="I1711" s="4">
        <f>IFERROR(__xludf.DUMMYFUNCTION("""COMPUTED_VALUE"""),0.2549440625)</f>
        <v>0.2549440625</v>
      </c>
      <c r="J1711" s="4">
        <f>IFERROR(__xludf.DUMMYFUNCTION("""COMPUTED_VALUE"""),45949.26689134496)</f>
        <v>45949.26689</v>
      </c>
      <c r="K1711" s="4" t="str">
        <f>IFERROR(__xludf.DUMMYFUNCTION("""COMPUTED_VALUE"""),"")</f>
        <v/>
      </c>
      <c r="L1711" s="4">
        <f>IFERROR(__xludf.DUMMYFUNCTION("""COMPUTED_VALUE"""),45949.276043632664)</f>
        <v>45949.27604</v>
      </c>
      <c r="M1711" s="1" t="str">
        <f>IFERROR(__xludf.DUMMYFUNCTION("""COMPUTED_VALUE"""),"RFID")</f>
        <v>RFID</v>
      </c>
      <c r="N1711" s="5">
        <f>IFERROR(__xludf.DUMMYFUNCTION("""COMPUTED_VALUE"""),0.004778912037037036)</f>
        <v>0.004778912037</v>
      </c>
      <c r="O1711" s="5" t="str">
        <f>IFERROR(__xludf.DUMMYFUNCTION("""COMPUTED_VALUE"""),"")</f>
        <v/>
      </c>
      <c r="P1711" s="5" t="str">
        <f>IFERROR(__xludf.DUMMYFUNCTION("""COMPUTED_VALUE"""),"")</f>
        <v/>
      </c>
      <c r="Q1711" s="5">
        <f>IFERROR(__xludf.DUMMYFUNCTION("""COMPUTED_VALUE"""),0.004219914351851851)</f>
        <v>0.004219914352</v>
      </c>
      <c r="R1711" s="4">
        <f>IFERROR(__xludf.DUMMYFUNCTION("""COMPUTED_VALUE"""),45949.021099570164)</f>
        <v>45949.0211</v>
      </c>
      <c r="S1711" s="1" t="b">
        <f>IFERROR(__xludf.DUMMYFUNCTION("""COMPUTED_VALUE"""),TRUE)</f>
        <v>1</v>
      </c>
      <c r="T1711" s="1" t="b">
        <f>IFERROR(__xludf.DUMMYFUNCTION("""COMPUTED_VALUE"""),FALSE)</f>
        <v>0</v>
      </c>
      <c r="U1711" s="1" t="str">
        <f>IFERROR(__xludf.DUMMYFUNCTION("""COMPUTED_VALUE"""),"VALID")</f>
        <v>VALID</v>
      </c>
      <c r="V1711" s="1">
        <f>IFERROR(__xludf.DUMMYFUNCTION("""COMPUTED_VALUE"""),94.0)</f>
        <v>94</v>
      </c>
      <c r="W1711" s="1">
        <f>IFERROR(__xludf.DUMMYFUNCTION("""COMPUTED_VALUE"""),147.0)</f>
        <v>147</v>
      </c>
      <c r="X1711" s="1">
        <f>IFERROR(__xludf.DUMMYFUNCTION("""COMPUTED_VALUE"""),131.0)</f>
        <v>131</v>
      </c>
      <c r="Y1711" s="2"/>
      <c r="Z1711" s="2"/>
    </row>
    <row r="1712">
      <c r="A1712" s="1">
        <f>IFERROR(__xludf.DUMMYFUNCTION("""COMPUTED_VALUE"""),1711.0)</f>
        <v>1711</v>
      </c>
      <c r="B1712" s="1">
        <f>IFERROR(__xludf.DUMMYFUNCTION("""COMPUTED_VALUE"""),5095.0)</f>
        <v>5095</v>
      </c>
      <c r="C1712" s="2" t="str">
        <f>IFERROR(__xludf.DUMMYFUNCTION("""COMPUTED_VALUE"""),"Muadz")</f>
        <v>Muadz</v>
      </c>
      <c r="D1712" s="2" t="str">
        <f>IFERROR(__xludf.DUMMYFUNCTION("""COMPUTED_VALUE"""),"5KM OVERALL M")</f>
        <v>5KM OVERALL M</v>
      </c>
      <c r="E1712" s="1">
        <f>IFERROR(__xludf.DUMMYFUNCTION("""COMPUTED_VALUE"""),2.0)</f>
        <v>2</v>
      </c>
      <c r="F1712" s="1" t="str">
        <f>IFERROR(__xludf.DUMMYFUNCTION("""COMPUTED_VALUE"""),"Male")</f>
        <v>Male</v>
      </c>
      <c r="G1712" s="4" t="b">
        <f>IFERROR(__xludf.DUMMYFUNCTION("""COMPUTED_VALUE"""),TRUE)</f>
        <v>1</v>
      </c>
      <c r="H1712" s="4" t="b">
        <f>IFERROR(__xludf.DUMMYFUNCTION("""COMPUTED_VALUE"""),TRUE)</f>
        <v>1</v>
      </c>
      <c r="I1712" s="4">
        <f>IFERROR(__xludf.DUMMYFUNCTION("""COMPUTED_VALUE"""),0.2549440625)</f>
        <v>0.2549440625</v>
      </c>
      <c r="J1712" s="4">
        <f>IFERROR(__xludf.DUMMYFUNCTION("""COMPUTED_VALUE"""),45949.27268642508)</f>
        <v>45949.27269</v>
      </c>
      <c r="K1712" s="4" t="str">
        <f>IFERROR(__xludf.DUMMYFUNCTION("""COMPUTED_VALUE"""),"")</f>
        <v/>
      </c>
      <c r="L1712" s="4">
        <f>IFERROR(__xludf.DUMMYFUNCTION("""COMPUTED_VALUE"""),45949.28333490144)</f>
        <v>45949.28333</v>
      </c>
      <c r="M1712" s="1" t="str">
        <f>IFERROR(__xludf.DUMMYFUNCTION("""COMPUTED_VALUE"""),"RFID")</f>
        <v>RFID</v>
      </c>
      <c r="N1712" s="5">
        <f>IFERROR(__xludf.DUMMYFUNCTION("""COMPUTED_VALUE"""),0.007096944444444445)</f>
        <v>0.007096944444</v>
      </c>
      <c r="O1712" s="5" t="str">
        <f>IFERROR(__xludf.DUMMYFUNCTION("""COMPUTED_VALUE"""),"")</f>
        <v/>
      </c>
      <c r="P1712" s="5" t="str">
        <f>IFERROR(__xludf.DUMMYFUNCTION("""COMPUTED_VALUE"""),"")</f>
        <v/>
      </c>
      <c r="Q1712" s="5">
        <f>IFERROR(__xludf.DUMMYFUNCTION("""COMPUTED_VALUE"""),0.005678166666666666)</f>
        <v>0.005678166667</v>
      </c>
      <c r="R1712" s="4">
        <f>IFERROR(__xludf.DUMMYFUNCTION("""COMPUTED_VALUE"""),45949.02839083894)</f>
        <v>45949.02839</v>
      </c>
      <c r="S1712" s="1" t="b">
        <f>IFERROR(__xludf.DUMMYFUNCTION("""COMPUTED_VALUE"""),TRUE)</f>
        <v>1</v>
      </c>
      <c r="T1712" s="1" t="b">
        <f>IFERROR(__xludf.DUMMYFUNCTION("""COMPUTED_VALUE"""),FALSE)</f>
        <v>0</v>
      </c>
      <c r="U1712" s="1" t="str">
        <f>IFERROR(__xludf.DUMMYFUNCTION("""COMPUTED_VALUE"""),"VALID")</f>
        <v>VALID</v>
      </c>
      <c r="V1712" s="1">
        <f>IFERROR(__xludf.DUMMYFUNCTION("""COMPUTED_VALUE"""),305.0)</f>
        <v>305</v>
      </c>
      <c r="W1712" s="1">
        <f>IFERROR(__xludf.DUMMYFUNCTION("""COMPUTED_VALUE"""),456.0)</f>
        <v>456</v>
      </c>
      <c r="X1712" s="1">
        <f>IFERROR(__xludf.DUMMYFUNCTION("""COMPUTED_VALUE"""),394.0)</f>
        <v>394</v>
      </c>
      <c r="Y1712" s="2"/>
      <c r="Z1712" s="2"/>
    </row>
    <row r="1713">
      <c r="A1713" s="1">
        <f>IFERROR(__xludf.DUMMYFUNCTION("""COMPUTED_VALUE"""),1712.0)</f>
        <v>1712</v>
      </c>
      <c r="B1713" s="1">
        <f>IFERROR(__xludf.DUMMYFUNCTION("""COMPUTED_VALUE"""),5096.0)</f>
        <v>5096</v>
      </c>
      <c r="C1713" s="2" t="str">
        <f>IFERROR(__xludf.DUMMYFUNCTION("""COMPUTED_VALUE"""),"Bobon phm")</f>
        <v>Bobon phm</v>
      </c>
      <c r="D1713" s="2" t="str">
        <f>IFERROR(__xludf.DUMMYFUNCTION("""COMPUTED_VALUE"""),"5KM OVERALL M")</f>
        <v>5KM OVERALL M</v>
      </c>
      <c r="E1713" s="1">
        <f>IFERROR(__xludf.DUMMYFUNCTION("""COMPUTED_VALUE"""),2.0)</f>
        <v>2</v>
      </c>
      <c r="F1713" s="1" t="str">
        <f>IFERROR(__xludf.DUMMYFUNCTION("""COMPUTED_VALUE"""),"Male")</f>
        <v>Male</v>
      </c>
      <c r="G1713" s="4" t="b">
        <f>IFERROR(__xludf.DUMMYFUNCTION("""COMPUTED_VALUE"""),TRUE)</f>
        <v>1</v>
      </c>
      <c r="H1713" s="4" t="b">
        <f>IFERROR(__xludf.DUMMYFUNCTION("""COMPUTED_VALUE"""),FALSE)</f>
        <v>0</v>
      </c>
      <c r="I1713" s="4">
        <f>IFERROR(__xludf.DUMMYFUNCTION("""COMPUTED_VALUE"""),0.2549440625)</f>
        <v>0.2549440625</v>
      </c>
      <c r="J1713" s="4">
        <f>IFERROR(__xludf.DUMMYFUNCTION("""COMPUTED_VALUE"""),45949.270089182784)</f>
        <v>45949.27009</v>
      </c>
      <c r="K1713" s="4" t="str">
        <f>IFERROR(__xludf.DUMMYFUNCTION("""COMPUTED_VALUE"""),"")</f>
        <v/>
      </c>
      <c r="L1713" s="4">
        <f>IFERROR(__xludf.DUMMYFUNCTION("""COMPUTED_VALUE"""),45949.28383832871)</f>
        <v>45949.28384</v>
      </c>
      <c r="M1713" s="1" t="str">
        <f>IFERROR(__xludf.DUMMYFUNCTION("""COMPUTED_VALUE"""),"RFID")</f>
        <v>RFID</v>
      </c>
      <c r="N1713" s="5">
        <f>IFERROR(__xludf.DUMMYFUNCTION("""COMPUTED_VALUE"""),0.006058046296296296)</f>
        <v>0.006058046296</v>
      </c>
      <c r="O1713" s="5" t="str">
        <f>IFERROR(__xludf.DUMMYFUNCTION("""COMPUTED_VALUE"""),"")</f>
        <v/>
      </c>
      <c r="P1713" s="5" t="str">
        <f>IFERROR(__xludf.DUMMYFUNCTION("""COMPUTED_VALUE"""),"")</f>
        <v/>
      </c>
      <c r="Q1713" s="5">
        <f>IFERROR(__xludf.DUMMYFUNCTION("""COMPUTED_VALUE"""),0.005778854166666667)</f>
        <v>0.005778854167</v>
      </c>
      <c r="R1713" s="4">
        <f>IFERROR(__xludf.DUMMYFUNCTION("""COMPUTED_VALUE"""),45949.02889426621)</f>
        <v>45949.02889</v>
      </c>
      <c r="S1713" s="1" t="b">
        <f>IFERROR(__xludf.DUMMYFUNCTION("""COMPUTED_VALUE"""),TRUE)</f>
        <v>1</v>
      </c>
      <c r="T1713" s="1" t="b">
        <f>IFERROR(__xludf.DUMMYFUNCTION("""COMPUTED_VALUE"""),FALSE)</f>
        <v>0</v>
      </c>
      <c r="U1713" s="1" t="str">
        <f>IFERROR(__xludf.DUMMYFUNCTION("""COMPUTED_VALUE"""),"VALID")</f>
        <v>VALID</v>
      </c>
      <c r="V1713" s="1">
        <f>IFERROR(__xludf.DUMMYFUNCTION("""COMPUTED_VALUE"""),326.0)</f>
        <v>326</v>
      </c>
      <c r="W1713" s="1">
        <f>IFERROR(__xludf.DUMMYFUNCTION("""COMPUTED_VALUE"""),487.0)</f>
        <v>487</v>
      </c>
      <c r="X1713" s="1">
        <f>IFERROR(__xludf.DUMMYFUNCTION("""COMPUTED_VALUE"""),423.0)</f>
        <v>423</v>
      </c>
      <c r="Y1713" s="2"/>
      <c r="Z1713" s="2"/>
    </row>
    <row r="1714">
      <c r="A1714" s="1">
        <f>IFERROR(__xludf.DUMMYFUNCTION("""COMPUTED_VALUE"""),1713.0)</f>
        <v>1713</v>
      </c>
      <c r="B1714" s="1">
        <f>IFERROR(__xludf.DUMMYFUNCTION("""COMPUTED_VALUE"""),5099.0)</f>
        <v>5099</v>
      </c>
      <c r="C1714" s="2" t="str">
        <f>IFERROR(__xludf.DUMMYFUNCTION("""COMPUTED_VALUE"""),"Faisal")</f>
        <v>Faisal</v>
      </c>
      <c r="D1714" s="2" t="str">
        <f>IFERROR(__xludf.DUMMYFUNCTION("""COMPUTED_VALUE"""),"5KM OVERALL M")</f>
        <v>5KM OVERALL M</v>
      </c>
      <c r="E1714" s="1">
        <f>IFERROR(__xludf.DUMMYFUNCTION("""COMPUTED_VALUE"""),2.0)</f>
        <v>2</v>
      </c>
      <c r="F1714" s="1" t="str">
        <f>IFERROR(__xludf.DUMMYFUNCTION("""COMPUTED_VALUE"""),"Male")</f>
        <v>Male</v>
      </c>
      <c r="G1714" s="4" t="b">
        <f>IFERROR(__xludf.DUMMYFUNCTION("""COMPUTED_VALUE"""),TRUE)</f>
        <v>1</v>
      </c>
      <c r="H1714" s="4" t="b">
        <f>IFERROR(__xludf.DUMMYFUNCTION("""COMPUTED_VALUE"""),TRUE)</f>
        <v>1</v>
      </c>
      <c r="I1714" s="4">
        <f>IFERROR(__xludf.DUMMYFUNCTION("""COMPUTED_VALUE"""),0.2549440625)</f>
        <v>0.2549440625</v>
      </c>
      <c r="J1714" s="4">
        <f>IFERROR(__xludf.DUMMYFUNCTION("""COMPUTED_VALUE"""),45949.27144410087)</f>
        <v>45949.27144</v>
      </c>
      <c r="K1714" s="4" t="str">
        <f>IFERROR(__xludf.DUMMYFUNCTION("""COMPUTED_VALUE"""),"")</f>
        <v/>
      </c>
      <c r="L1714" s="4">
        <f>IFERROR(__xludf.DUMMYFUNCTION("""COMPUTED_VALUE"""),45949.28314045048)</f>
        <v>45949.28314</v>
      </c>
      <c r="M1714" s="1" t="str">
        <f>IFERROR(__xludf.DUMMYFUNCTION("""COMPUTED_VALUE"""),"RFID")</f>
        <v>RFID</v>
      </c>
      <c r="N1714" s="5">
        <f>IFERROR(__xludf.DUMMYFUNCTION("""COMPUTED_VALUE"""),0.00660001388888889)</f>
        <v>0.006600013889</v>
      </c>
      <c r="O1714" s="5" t="str">
        <f>IFERROR(__xludf.DUMMYFUNCTION("""COMPUTED_VALUE"""),"")</f>
        <v/>
      </c>
      <c r="P1714" s="5" t="str">
        <f>IFERROR(__xludf.DUMMYFUNCTION("""COMPUTED_VALUE"""),"")</f>
        <v/>
      </c>
      <c r="Q1714" s="5">
        <f>IFERROR(__xludf.DUMMYFUNCTION("""COMPUTED_VALUE"""),0.005639277777777778)</f>
        <v>0.005639277778</v>
      </c>
      <c r="R1714" s="4">
        <f>IFERROR(__xludf.DUMMYFUNCTION("""COMPUTED_VALUE"""),45949.02819638798)</f>
        <v>45949.0282</v>
      </c>
      <c r="S1714" s="1" t="b">
        <f>IFERROR(__xludf.DUMMYFUNCTION("""COMPUTED_VALUE"""),TRUE)</f>
        <v>1</v>
      </c>
      <c r="T1714" s="1" t="b">
        <f>IFERROR(__xludf.DUMMYFUNCTION("""COMPUTED_VALUE"""),FALSE)</f>
        <v>0</v>
      </c>
      <c r="U1714" s="1" t="str">
        <f>IFERROR(__xludf.DUMMYFUNCTION("""COMPUTED_VALUE"""),"VALID")</f>
        <v>VALID</v>
      </c>
      <c r="V1714" s="1">
        <f>IFERROR(__xludf.DUMMYFUNCTION("""COMPUTED_VALUE"""),292.0)</f>
        <v>292</v>
      </c>
      <c r="W1714" s="1">
        <f>IFERROR(__xludf.DUMMYFUNCTION("""COMPUTED_VALUE"""),441.0)</f>
        <v>441</v>
      </c>
      <c r="X1714" s="1">
        <f>IFERROR(__xludf.DUMMYFUNCTION("""COMPUTED_VALUE"""),381.0)</f>
        <v>381</v>
      </c>
      <c r="Y1714" s="2"/>
      <c r="Z1714" s="2"/>
    </row>
    <row r="1715">
      <c r="A1715" s="1">
        <f>IFERROR(__xludf.DUMMYFUNCTION("""COMPUTED_VALUE"""),1714.0)</f>
        <v>1714</v>
      </c>
      <c r="B1715" s="1">
        <f>IFERROR(__xludf.DUMMYFUNCTION("""COMPUTED_VALUE"""),5101.0)</f>
        <v>5101</v>
      </c>
      <c r="C1715" s="2" t="str">
        <f>IFERROR(__xludf.DUMMYFUNCTION("""COMPUTED_VALUE"""),"Riky")</f>
        <v>Riky</v>
      </c>
      <c r="D1715" s="2" t="str">
        <f>IFERROR(__xludf.DUMMYFUNCTION("""COMPUTED_VALUE"""),"5KM OVERALL M")</f>
        <v>5KM OVERALL M</v>
      </c>
      <c r="E1715" s="1">
        <f>IFERROR(__xludf.DUMMYFUNCTION("""COMPUTED_VALUE"""),2.0)</f>
        <v>2</v>
      </c>
      <c r="F1715" s="1" t="str">
        <f>IFERROR(__xludf.DUMMYFUNCTION("""COMPUTED_VALUE"""),"Male")</f>
        <v>Male</v>
      </c>
      <c r="G1715" s="4" t="b">
        <f>IFERROR(__xludf.DUMMYFUNCTION("""COMPUTED_VALUE"""),TRUE)</f>
        <v>1</v>
      </c>
      <c r="H1715" s="4" t="b">
        <f>IFERROR(__xludf.DUMMYFUNCTION("""COMPUTED_VALUE"""),TRUE)</f>
        <v>1</v>
      </c>
      <c r="I1715" s="4">
        <f>IFERROR(__xludf.DUMMYFUNCTION("""COMPUTED_VALUE"""),0.2549440625)</f>
        <v>0.2549440625</v>
      </c>
      <c r="J1715" s="4">
        <f>IFERROR(__xludf.DUMMYFUNCTION("""COMPUTED_VALUE"""),45949.27236073071)</f>
        <v>45949.27236</v>
      </c>
      <c r="K1715" s="4" t="str">
        <f>IFERROR(__xludf.DUMMYFUNCTION("""COMPUTED_VALUE"""),"")</f>
        <v/>
      </c>
      <c r="L1715" s="4">
        <f>IFERROR(__xludf.DUMMYFUNCTION("""COMPUTED_VALUE"""),45949.28493213013)</f>
        <v>45949.28493</v>
      </c>
      <c r="M1715" s="1" t="str">
        <f>IFERROR(__xludf.DUMMYFUNCTION("""COMPUTED_VALUE"""),"RFID")</f>
        <v>RFID</v>
      </c>
      <c r="N1715" s="5">
        <f>IFERROR(__xludf.DUMMYFUNCTION("""COMPUTED_VALUE"""),0.006966666666666667)</f>
        <v>0.006966666667</v>
      </c>
      <c r="O1715" s="5" t="str">
        <f>IFERROR(__xludf.DUMMYFUNCTION("""COMPUTED_VALUE"""),"")</f>
        <v/>
      </c>
      <c r="P1715" s="5" t="str">
        <f>IFERROR(__xludf.DUMMYFUNCTION("""COMPUTED_VALUE"""),"")</f>
        <v/>
      </c>
      <c r="Q1715" s="5">
        <f>IFERROR(__xludf.DUMMYFUNCTION("""COMPUTED_VALUE"""),0.005997613425925926)</f>
        <v>0.005997613426</v>
      </c>
      <c r="R1715" s="4">
        <f>IFERROR(__xludf.DUMMYFUNCTION("""COMPUTED_VALUE"""),45949.02998806763)</f>
        <v>45949.02999</v>
      </c>
      <c r="S1715" s="1" t="b">
        <f>IFERROR(__xludf.DUMMYFUNCTION("""COMPUTED_VALUE"""),TRUE)</f>
        <v>1</v>
      </c>
      <c r="T1715" s="1" t="b">
        <f>IFERROR(__xludf.DUMMYFUNCTION("""COMPUTED_VALUE"""),FALSE)</f>
        <v>0</v>
      </c>
      <c r="U1715" s="1" t="str">
        <f>IFERROR(__xludf.DUMMYFUNCTION("""COMPUTED_VALUE"""),"VALID")</f>
        <v>VALID</v>
      </c>
      <c r="V1715" s="1">
        <f>IFERROR(__xludf.DUMMYFUNCTION("""COMPUTED_VALUE"""),378.0)</f>
        <v>378</v>
      </c>
      <c r="W1715" s="1">
        <f>IFERROR(__xludf.DUMMYFUNCTION("""COMPUTED_VALUE"""),568.0)</f>
        <v>568</v>
      </c>
      <c r="X1715" s="1">
        <f>IFERROR(__xludf.DUMMYFUNCTION("""COMPUTED_VALUE"""),484.0)</f>
        <v>484</v>
      </c>
      <c r="Y1715" s="2"/>
      <c r="Z1715" s="2"/>
    </row>
    <row r="1716">
      <c r="A1716" s="1">
        <f>IFERROR(__xludf.DUMMYFUNCTION("""COMPUTED_VALUE"""),1715.0)</f>
        <v>1715</v>
      </c>
      <c r="B1716" s="1">
        <f>IFERROR(__xludf.DUMMYFUNCTION("""COMPUTED_VALUE"""),5102.0)</f>
        <v>5102</v>
      </c>
      <c r="C1716" s="2" t="str">
        <f>IFERROR(__xludf.DUMMYFUNCTION("""COMPUTED_VALUE"""),"Baba Fathan")</f>
        <v>Baba Fathan</v>
      </c>
      <c r="D1716" s="2" t="str">
        <f>IFERROR(__xludf.DUMMYFUNCTION("""COMPUTED_VALUE"""),"5KM OVERALL M")</f>
        <v>5KM OVERALL M</v>
      </c>
      <c r="E1716" s="1">
        <f>IFERROR(__xludf.DUMMYFUNCTION("""COMPUTED_VALUE"""),2.0)</f>
        <v>2</v>
      </c>
      <c r="F1716" s="1" t="str">
        <f>IFERROR(__xludf.DUMMYFUNCTION("""COMPUTED_VALUE"""),"Male")</f>
        <v>Male</v>
      </c>
      <c r="G1716" s="4" t="b">
        <f>IFERROR(__xludf.DUMMYFUNCTION("""COMPUTED_VALUE"""),TRUE)</f>
        <v>1</v>
      </c>
      <c r="H1716" s="4" t="b">
        <f>IFERROR(__xludf.DUMMYFUNCTION("""COMPUTED_VALUE"""),FALSE)</f>
        <v>0</v>
      </c>
      <c r="I1716" s="4">
        <f>IFERROR(__xludf.DUMMYFUNCTION("""COMPUTED_VALUE"""),0.2549440625)</f>
        <v>0.2549440625</v>
      </c>
      <c r="J1716" s="4">
        <f>IFERROR(__xludf.DUMMYFUNCTION("""COMPUTED_VALUE"""),45949.27357900365)</f>
        <v>45949.27358</v>
      </c>
      <c r="K1716" s="4" t="str">
        <f>IFERROR(__xludf.DUMMYFUNCTION("""COMPUTED_VALUE"""),"")</f>
        <v/>
      </c>
      <c r="L1716" s="4">
        <f>IFERROR(__xludf.DUMMYFUNCTION("""COMPUTED_VALUE"""),45949.2892550382)</f>
        <v>45949.28926</v>
      </c>
      <c r="M1716" s="1" t="str">
        <f>IFERROR(__xludf.DUMMYFUNCTION("""COMPUTED_VALUE"""),"RFID")</f>
        <v>RFID</v>
      </c>
      <c r="N1716" s="5">
        <f>IFERROR(__xludf.DUMMYFUNCTION("""COMPUTED_VALUE"""),0.007453976851851851)</f>
        <v>0.007453976852</v>
      </c>
      <c r="O1716" s="5" t="str">
        <f>IFERROR(__xludf.DUMMYFUNCTION("""COMPUTED_VALUE"""),"")</f>
        <v/>
      </c>
      <c r="P1716" s="5" t="str">
        <f>IFERROR(__xludf.DUMMYFUNCTION("""COMPUTED_VALUE"""),"")</f>
        <v/>
      </c>
      <c r="Q1716" s="5">
        <f>IFERROR(__xludf.DUMMYFUNCTION("""COMPUTED_VALUE"""),0.006862194444444444)</f>
        <v>0.006862194444</v>
      </c>
      <c r="R1716" s="4">
        <f>IFERROR(__xludf.DUMMYFUNCTION("""COMPUTED_VALUE"""),45949.0343109757)</f>
        <v>45949.03431</v>
      </c>
      <c r="S1716" s="1" t="b">
        <f>IFERROR(__xludf.DUMMYFUNCTION("""COMPUTED_VALUE"""),TRUE)</f>
        <v>1</v>
      </c>
      <c r="T1716" s="1" t="b">
        <f>IFERROR(__xludf.DUMMYFUNCTION("""COMPUTED_VALUE"""),FALSE)</f>
        <v>0</v>
      </c>
      <c r="U1716" s="1" t="str">
        <f>IFERROR(__xludf.DUMMYFUNCTION("""COMPUTED_VALUE"""),"VALID")</f>
        <v>VALID</v>
      </c>
      <c r="V1716" s="1">
        <f>IFERROR(__xludf.DUMMYFUNCTION("""COMPUTED_VALUE"""),544.0)</f>
        <v>544</v>
      </c>
      <c r="W1716" s="1">
        <f>IFERROR(__xludf.DUMMYFUNCTION("""COMPUTED_VALUE"""),857.0)</f>
        <v>857</v>
      </c>
      <c r="X1716" s="1">
        <f>IFERROR(__xludf.DUMMYFUNCTION("""COMPUTED_VALUE"""),701.0)</f>
        <v>701</v>
      </c>
      <c r="Y1716" s="2"/>
      <c r="Z1716" s="2"/>
    </row>
    <row r="1717">
      <c r="A1717" s="1">
        <f>IFERROR(__xludf.DUMMYFUNCTION("""COMPUTED_VALUE"""),1716.0)</f>
        <v>1716</v>
      </c>
      <c r="B1717" s="1">
        <f>IFERROR(__xludf.DUMMYFUNCTION("""COMPUTED_VALUE"""),5103.0)</f>
        <v>5103</v>
      </c>
      <c r="C1717" s="2" t="str">
        <f>IFERROR(__xludf.DUMMYFUNCTION("""COMPUTED_VALUE"""),"Iqbalee")</f>
        <v>Iqbalee</v>
      </c>
      <c r="D1717" s="2" t="str">
        <f>IFERROR(__xludf.DUMMYFUNCTION("""COMPUTED_VALUE"""),"5KM OVERALL M")</f>
        <v>5KM OVERALL M</v>
      </c>
      <c r="E1717" s="1">
        <f>IFERROR(__xludf.DUMMYFUNCTION("""COMPUTED_VALUE"""),2.0)</f>
        <v>2</v>
      </c>
      <c r="F1717" s="1" t="str">
        <f>IFERROR(__xludf.DUMMYFUNCTION("""COMPUTED_VALUE"""),"Male")</f>
        <v>Male</v>
      </c>
      <c r="G1717" s="4" t="b">
        <f>IFERROR(__xludf.DUMMYFUNCTION("""COMPUTED_VALUE"""),TRUE)</f>
        <v>1</v>
      </c>
      <c r="H1717" s="4" t="b">
        <f>IFERROR(__xludf.DUMMYFUNCTION("""COMPUTED_VALUE"""),TRUE)</f>
        <v>1</v>
      </c>
      <c r="I1717" s="4">
        <f>IFERROR(__xludf.DUMMYFUNCTION("""COMPUTED_VALUE"""),0.2549440625)</f>
        <v>0.2549440625</v>
      </c>
      <c r="J1717" s="4">
        <f>IFERROR(__xludf.DUMMYFUNCTION("""COMPUTED_VALUE"""),45949.272482410015)</f>
        <v>45949.27248</v>
      </c>
      <c r="K1717" s="4" t="str">
        <f>IFERROR(__xludf.DUMMYFUNCTION("""COMPUTED_VALUE"""),"")</f>
        <v/>
      </c>
      <c r="L1717" s="4">
        <f>IFERROR(__xludf.DUMMYFUNCTION("""COMPUTED_VALUE"""),45949.28455364114)</f>
        <v>45949.28455</v>
      </c>
      <c r="M1717" s="1" t="str">
        <f>IFERROR(__xludf.DUMMYFUNCTION("""COMPUTED_VALUE"""),"RFID")</f>
        <v>RFID</v>
      </c>
      <c r="N1717" s="5">
        <f>IFERROR(__xludf.DUMMYFUNCTION("""COMPUTED_VALUE"""),0.007015337962962963)</f>
        <v>0.007015337963</v>
      </c>
      <c r="O1717" s="5" t="str">
        <f>IFERROR(__xludf.DUMMYFUNCTION("""COMPUTED_VALUE"""),"")</f>
        <v/>
      </c>
      <c r="P1717" s="5" t="str">
        <f>IFERROR(__xludf.DUMMYFUNCTION("""COMPUTED_VALUE"""),"")</f>
        <v/>
      </c>
      <c r="Q1717" s="5">
        <f>IFERROR(__xludf.DUMMYFUNCTION("""COMPUTED_VALUE"""),0.005921916666666667)</f>
        <v>0.005921916667</v>
      </c>
      <c r="R1717" s="4">
        <f>IFERROR(__xludf.DUMMYFUNCTION("""COMPUTED_VALUE"""),45949.02960957864)</f>
        <v>45949.02961</v>
      </c>
      <c r="S1717" s="1" t="b">
        <f>IFERROR(__xludf.DUMMYFUNCTION("""COMPUTED_VALUE"""),TRUE)</f>
        <v>1</v>
      </c>
      <c r="T1717" s="1" t="b">
        <f>IFERROR(__xludf.DUMMYFUNCTION("""COMPUTED_VALUE"""),FALSE)</f>
        <v>0</v>
      </c>
      <c r="U1717" s="1" t="str">
        <f>IFERROR(__xludf.DUMMYFUNCTION("""COMPUTED_VALUE"""),"VALID")</f>
        <v>VALID</v>
      </c>
      <c r="V1717" s="1">
        <f>IFERROR(__xludf.DUMMYFUNCTION("""COMPUTED_VALUE"""),365.0)</f>
        <v>365</v>
      </c>
      <c r="W1717" s="1">
        <f>IFERROR(__xludf.DUMMYFUNCTION("""COMPUTED_VALUE"""),547.0)</f>
        <v>547</v>
      </c>
      <c r="X1717" s="1">
        <f>IFERROR(__xludf.DUMMYFUNCTION("""COMPUTED_VALUE"""),469.0)</f>
        <v>469</v>
      </c>
      <c r="Y1717" s="2"/>
      <c r="Z1717" s="2"/>
    </row>
    <row r="1718">
      <c r="A1718" s="1">
        <f>IFERROR(__xludf.DUMMYFUNCTION("""COMPUTED_VALUE"""),1717.0)</f>
        <v>1717</v>
      </c>
      <c r="B1718" s="1">
        <f>IFERROR(__xludf.DUMMYFUNCTION("""COMPUTED_VALUE"""),5105.0)</f>
        <v>5105</v>
      </c>
      <c r="C1718" s="2" t="str">
        <f>IFERROR(__xludf.DUMMYFUNCTION("""COMPUTED_VALUE"""),"Danang Cahyadi")</f>
        <v>Danang Cahyadi</v>
      </c>
      <c r="D1718" s="2" t="str">
        <f>IFERROR(__xludf.DUMMYFUNCTION("""COMPUTED_VALUE"""),"5KM OVERALL M")</f>
        <v>5KM OVERALL M</v>
      </c>
      <c r="E1718" s="1">
        <f>IFERROR(__xludf.DUMMYFUNCTION("""COMPUTED_VALUE"""),2.0)</f>
        <v>2</v>
      </c>
      <c r="F1718" s="1" t="str">
        <f>IFERROR(__xludf.DUMMYFUNCTION("""COMPUTED_VALUE"""),"Male")</f>
        <v>Male</v>
      </c>
      <c r="G1718" s="4" t="b">
        <f>IFERROR(__xludf.DUMMYFUNCTION("""COMPUTED_VALUE"""),TRUE)</f>
        <v>1</v>
      </c>
      <c r="H1718" s="4" t="b">
        <f>IFERROR(__xludf.DUMMYFUNCTION("""COMPUTED_VALUE"""),FALSE)</f>
        <v>0</v>
      </c>
      <c r="I1718" s="4">
        <f>IFERROR(__xludf.DUMMYFUNCTION("""COMPUTED_VALUE"""),0.2549440625)</f>
        <v>0.2549440625</v>
      </c>
      <c r="J1718" s="4">
        <f>IFERROR(__xludf.DUMMYFUNCTION("""COMPUTED_VALUE"""),45949.27674196236)</f>
        <v>45949.27674</v>
      </c>
      <c r="K1718" s="4" t="str">
        <f>IFERROR(__xludf.DUMMYFUNCTION("""COMPUTED_VALUE"""),"")</f>
        <v/>
      </c>
      <c r="L1718" s="4">
        <f>IFERROR(__xludf.DUMMYFUNCTION("""COMPUTED_VALUE"""),45949.29218906091)</f>
        <v>45949.29219</v>
      </c>
      <c r="M1718" s="1" t="str">
        <f>IFERROR(__xludf.DUMMYFUNCTION("""COMPUTED_VALUE"""),"RFID")</f>
        <v>RFID</v>
      </c>
      <c r="N1718" s="5">
        <f>IFERROR(__xludf.DUMMYFUNCTION("""COMPUTED_VALUE"""),0.008719162037037037)</f>
        <v>0.008719162037</v>
      </c>
      <c r="O1718" s="5" t="str">
        <f>IFERROR(__xludf.DUMMYFUNCTION("""COMPUTED_VALUE"""),"")</f>
        <v/>
      </c>
      <c r="P1718" s="5" t="str">
        <f>IFERROR(__xludf.DUMMYFUNCTION("""COMPUTED_VALUE"""),"")</f>
        <v/>
      </c>
      <c r="Q1718" s="5">
        <f>IFERROR(__xludf.DUMMYFUNCTION("""COMPUTED_VALUE"""),0.007449)</f>
        <v>0.007449</v>
      </c>
      <c r="R1718" s="4">
        <f>IFERROR(__xludf.DUMMYFUNCTION("""COMPUTED_VALUE"""),45949.037244998406)</f>
        <v>45949.03724</v>
      </c>
      <c r="S1718" s="1" t="b">
        <f>IFERROR(__xludf.DUMMYFUNCTION("""COMPUTED_VALUE"""),TRUE)</f>
        <v>1</v>
      </c>
      <c r="T1718" s="1" t="b">
        <f>IFERROR(__xludf.DUMMYFUNCTION("""COMPUTED_VALUE"""),FALSE)</f>
        <v>0</v>
      </c>
      <c r="U1718" s="1" t="str">
        <f>IFERROR(__xludf.DUMMYFUNCTION("""COMPUTED_VALUE"""),"VALID")</f>
        <v>VALID</v>
      </c>
      <c r="V1718" s="1">
        <f>IFERROR(__xludf.DUMMYFUNCTION("""COMPUTED_VALUE"""),631.0)</f>
        <v>631</v>
      </c>
      <c r="W1718" s="1">
        <f>IFERROR(__xludf.DUMMYFUNCTION("""COMPUTED_VALUE"""),1042.0)</f>
        <v>1042</v>
      </c>
      <c r="X1718" s="1">
        <f>IFERROR(__xludf.DUMMYFUNCTION("""COMPUTED_VALUE"""),831.0)</f>
        <v>831</v>
      </c>
      <c r="Y1718" s="2"/>
      <c r="Z1718" s="2"/>
    </row>
    <row r="1719">
      <c r="A1719" s="1">
        <f>IFERROR(__xludf.DUMMYFUNCTION("""COMPUTED_VALUE"""),1718.0)</f>
        <v>1718</v>
      </c>
      <c r="B1719" s="1">
        <f>IFERROR(__xludf.DUMMYFUNCTION("""COMPUTED_VALUE"""),5107.0)</f>
        <v>5107</v>
      </c>
      <c r="C1719" s="2" t="str">
        <f>IFERROR(__xludf.DUMMYFUNCTION("""COMPUTED_VALUE"""),"Herli")</f>
        <v>Herli</v>
      </c>
      <c r="D1719" s="2" t="str">
        <f>IFERROR(__xludf.DUMMYFUNCTION("""COMPUTED_VALUE"""),"5KM OVERALL M")</f>
        <v>5KM OVERALL M</v>
      </c>
      <c r="E1719" s="1">
        <f>IFERROR(__xludf.DUMMYFUNCTION("""COMPUTED_VALUE"""),2.0)</f>
        <v>2</v>
      </c>
      <c r="F1719" s="1" t="str">
        <f>IFERROR(__xludf.DUMMYFUNCTION("""COMPUTED_VALUE"""),"Male")</f>
        <v>Male</v>
      </c>
      <c r="G1719" s="4" t="b">
        <f>IFERROR(__xludf.DUMMYFUNCTION("""COMPUTED_VALUE"""),TRUE)</f>
        <v>1</v>
      </c>
      <c r="H1719" s="4" t="b">
        <f>IFERROR(__xludf.DUMMYFUNCTION("""COMPUTED_VALUE"""),FALSE)</f>
        <v>0</v>
      </c>
      <c r="I1719" s="4">
        <f>IFERROR(__xludf.DUMMYFUNCTION("""COMPUTED_VALUE"""),0.2549440625)</f>
        <v>0.2549440625</v>
      </c>
      <c r="J1719" s="4">
        <f>IFERROR(__xludf.DUMMYFUNCTION("""COMPUTED_VALUE"""),45949.27038160215)</f>
        <v>45949.27038</v>
      </c>
      <c r="K1719" s="4" t="str">
        <f>IFERROR(__xludf.DUMMYFUNCTION("""COMPUTED_VALUE"""),"")</f>
        <v/>
      </c>
      <c r="L1719" s="4">
        <f>IFERROR(__xludf.DUMMYFUNCTION("""COMPUTED_VALUE"""),45949.28335648148)</f>
        <v>45949.28336</v>
      </c>
      <c r="M1719" s="1" t="str">
        <f>IFERROR(__xludf.DUMMYFUNCTION("""COMPUTED_VALUE"""),"RFID")</f>
        <v>RFID</v>
      </c>
      <c r="N1719" s="5">
        <f>IFERROR(__xludf.DUMMYFUNCTION("""COMPUTED_VALUE"""),0.00617501388888889)</f>
        <v>0.006175013889</v>
      </c>
      <c r="O1719" s="5" t="str">
        <f>IFERROR(__xludf.DUMMYFUNCTION("""COMPUTED_VALUE"""),"")</f>
        <v/>
      </c>
      <c r="P1719" s="5" t="str">
        <f>IFERROR(__xludf.DUMMYFUNCTION("""COMPUTED_VALUE"""),"")</f>
        <v/>
      </c>
      <c r="Q1719" s="5">
        <f>IFERROR(__xludf.DUMMYFUNCTION("""COMPUTED_VALUE"""),0.005682483796296297)</f>
        <v>0.005682483796</v>
      </c>
      <c r="R1719" s="4">
        <f>IFERROR(__xludf.DUMMYFUNCTION("""COMPUTED_VALUE"""),45949.02841241898)</f>
        <v>45949.02841</v>
      </c>
      <c r="S1719" s="1" t="b">
        <f>IFERROR(__xludf.DUMMYFUNCTION("""COMPUTED_VALUE"""),TRUE)</f>
        <v>1</v>
      </c>
      <c r="T1719" s="1" t="b">
        <f>IFERROR(__xludf.DUMMYFUNCTION("""COMPUTED_VALUE"""),FALSE)</f>
        <v>0</v>
      </c>
      <c r="U1719" s="1" t="str">
        <f>IFERROR(__xludf.DUMMYFUNCTION("""COMPUTED_VALUE"""),"VALID")</f>
        <v>VALID</v>
      </c>
      <c r="V1719" s="1">
        <f>IFERROR(__xludf.DUMMYFUNCTION("""COMPUTED_VALUE"""),307.0)</f>
        <v>307</v>
      </c>
      <c r="W1719" s="1">
        <f>IFERROR(__xludf.DUMMYFUNCTION("""COMPUTED_VALUE"""),458.0)</f>
        <v>458</v>
      </c>
      <c r="X1719" s="1">
        <f>IFERROR(__xludf.DUMMYFUNCTION("""COMPUTED_VALUE"""),396.0)</f>
        <v>396</v>
      </c>
      <c r="Y1719" s="2"/>
      <c r="Z1719" s="2"/>
    </row>
    <row r="1720">
      <c r="A1720" s="1">
        <f>IFERROR(__xludf.DUMMYFUNCTION("""COMPUTED_VALUE"""),1719.0)</f>
        <v>1719</v>
      </c>
      <c r="B1720" s="1">
        <f>IFERROR(__xludf.DUMMYFUNCTION("""COMPUTED_VALUE"""),5109.0)</f>
        <v>5109</v>
      </c>
      <c r="C1720" s="2" t="str">
        <f>IFERROR(__xludf.DUMMYFUNCTION("""COMPUTED_VALUE"""),"muhammad rafa")</f>
        <v>muhammad rafa</v>
      </c>
      <c r="D1720" s="2" t="str">
        <f>IFERROR(__xludf.DUMMYFUNCTION("""COMPUTED_VALUE"""),"5KM OVERALL M")</f>
        <v>5KM OVERALL M</v>
      </c>
      <c r="E1720" s="1">
        <f>IFERROR(__xludf.DUMMYFUNCTION("""COMPUTED_VALUE"""),2.0)</f>
        <v>2</v>
      </c>
      <c r="F1720" s="1" t="str">
        <f>IFERROR(__xludf.DUMMYFUNCTION("""COMPUTED_VALUE"""),"Male")</f>
        <v>Male</v>
      </c>
      <c r="G1720" s="4" t="b">
        <f>IFERROR(__xludf.DUMMYFUNCTION("""COMPUTED_VALUE"""),TRUE)</f>
        <v>1</v>
      </c>
      <c r="H1720" s="4" t="b">
        <f>IFERROR(__xludf.DUMMYFUNCTION("""COMPUTED_VALUE"""),TRUE)</f>
        <v>1</v>
      </c>
      <c r="I1720" s="4">
        <f>IFERROR(__xludf.DUMMYFUNCTION("""COMPUTED_VALUE"""),0.2549440625)</f>
        <v>0.2549440625</v>
      </c>
      <c r="J1720" s="4">
        <f>IFERROR(__xludf.DUMMYFUNCTION("""COMPUTED_VALUE"""),45949.2740034842)</f>
        <v>45949.274</v>
      </c>
      <c r="K1720" s="4" t="str">
        <f>IFERROR(__xludf.DUMMYFUNCTION("""COMPUTED_VALUE"""),"")</f>
        <v/>
      </c>
      <c r="L1720" s="4">
        <f>IFERROR(__xludf.DUMMYFUNCTION("""COMPUTED_VALUE"""),45949.2871994836)</f>
        <v>45949.2872</v>
      </c>
      <c r="M1720" s="1" t="str">
        <f>IFERROR(__xludf.DUMMYFUNCTION("""COMPUTED_VALUE"""),"RFID")</f>
        <v>RFID</v>
      </c>
      <c r="N1720" s="5">
        <f>IFERROR(__xludf.DUMMYFUNCTION("""COMPUTED_VALUE"""),0.0076237685185185184)</f>
        <v>0.007623768519</v>
      </c>
      <c r="O1720" s="5" t="str">
        <f>IFERROR(__xludf.DUMMYFUNCTION("""COMPUTED_VALUE"""),"")</f>
        <v/>
      </c>
      <c r="P1720" s="5" t="str">
        <f>IFERROR(__xludf.DUMMYFUNCTION("""COMPUTED_VALUE"""),"")</f>
        <v/>
      </c>
      <c r="Q1720" s="5">
        <f>IFERROR(__xludf.DUMMYFUNCTION("""COMPUTED_VALUE"""),0.006451083333333334)</f>
        <v>0.006451083333</v>
      </c>
      <c r="R1720" s="4">
        <f>IFERROR(__xludf.DUMMYFUNCTION("""COMPUTED_VALUE"""),45949.0322554211)</f>
        <v>45949.03226</v>
      </c>
      <c r="S1720" s="1" t="b">
        <f>IFERROR(__xludf.DUMMYFUNCTION("""COMPUTED_VALUE"""),TRUE)</f>
        <v>1</v>
      </c>
      <c r="T1720" s="1" t="b">
        <f>IFERROR(__xludf.DUMMYFUNCTION("""COMPUTED_VALUE"""),FALSE)</f>
        <v>0</v>
      </c>
      <c r="U1720" s="1" t="str">
        <f>IFERROR(__xludf.DUMMYFUNCTION("""COMPUTED_VALUE"""),"VALID")</f>
        <v>VALID</v>
      </c>
      <c r="V1720" s="1">
        <f>IFERROR(__xludf.DUMMYFUNCTION("""COMPUTED_VALUE"""),467.0)</f>
        <v>467</v>
      </c>
      <c r="W1720" s="1">
        <f>IFERROR(__xludf.DUMMYFUNCTION("""COMPUTED_VALUE"""),720.0)</f>
        <v>720</v>
      </c>
      <c r="X1720" s="1">
        <f>IFERROR(__xludf.DUMMYFUNCTION("""COMPUTED_VALUE"""),606.0)</f>
        <v>606</v>
      </c>
      <c r="Y1720" s="2"/>
      <c r="Z1720" s="2"/>
    </row>
    <row r="1721">
      <c r="A1721" s="1">
        <f>IFERROR(__xludf.DUMMYFUNCTION("""COMPUTED_VALUE"""),1720.0)</f>
        <v>1720</v>
      </c>
      <c r="B1721" s="1">
        <f>IFERROR(__xludf.DUMMYFUNCTION("""COMPUTED_VALUE"""),5110.0)</f>
        <v>5110</v>
      </c>
      <c r="C1721" s="2" t="str">
        <f>IFERROR(__xludf.DUMMYFUNCTION("""COMPUTED_VALUE"""),"Guntur")</f>
        <v>Guntur</v>
      </c>
      <c r="D1721" s="2" t="str">
        <f>IFERROR(__xludf.DUMMYFUNCTION("""COMPUTED_VALUE"""),"5KM OVERALL M")</f>
        <v>5KM OVERALL M</v>
      </c>
      <c r="E1721" s="1">
        <f>IFERROR(__xludf.DUMMYFUNCTION("""COMPUTED_VALUE"""),2.0)</f>
        <v>2</v>
      </c>
      <c r="F1721" s="1" t="str">
        <f>IFERROR(__xludf.DUMMYFUNCTION("""COMPUTED_VALUE"""),"Male")</f>
        <v>Male</v>
      </c>
      <c r="G1721" s="4" t="b">
        <f>IFERROR(__xludf.DUMMYFUNCTION("""COMPUTED_VALUE"""),TRUE)</f>
        <v>1</v>
      </c>
      <c r="H1721" s="4" t="b">
        <f>IFERROR(__xludf.DUMMYFUNCTION("""COMPUTED_VALUE"""),FALSE)</f>
        <v>0</v>
      </c>
      <c r="I1721" s="4">
        <f>IFERROR(__xludf.DUMMYFUNCTION("""COMPUTED_VALUE"""),0.2549440625)</f>
        <v>0.2549440625</v>
      </c>
      <c r="J1721" s="4">
        <f>IFERROR(__xludf.DUMMYFUNCTION("""COMPUTED_VALUE"""),45949.27750588643)</f>
        <v>45949.27751</v>
      </c>
      <c r="K1721" s="4" t="str">
        <f>IFERROR(__xludf.DUMMYFUNCTION("""COMPUTED_VALUE"""),"")</f>
        <v/>
      </c>
      <c r="L1721" s="4">
        <f>IFERROR(__xludf.DUMMYFUNCTION("""COMPUTED_VALUE"""),45949.291730730125)</f>
        <v>45949.29173</v>
      </c>
      <c r="M1721" s="1" t="str">
        <f>IFERROR(__xludf.DUMMYFUNCTION("""COMPUTED_VALUE"""),"RFID")</f>
        <v>RFID</v>
      </c>
      <c r="N1721" s="5">
        <f>IFERROR(__xludf.DUMMYFUNCTION("""COMPUTED_VALUE"""),0.009024731481481483)</f>
        <v>0.009024731481</v>
      </c>
      <c r="O1721" s="5" t="str">
        <f>IFERROR(__xludf.DUMMYFUNCTION("""COMPUTED_VALUE"""),"")</f>
        <v/>
      </c>
      <c r="P1721" s="5" t="str">
        <f>IFERROR(__xludf.DUMMYFUNCTION("""COMPUTED_VALUE"""),"")</f>
        <v/>
      </c>
      <c r="Q1721" s="5">
        <f>IFERROR(__xludf.DUMMYFUNCTION("""COMPUTED_VALUE"""),0.007357333333333334)</f>
        <v>0.007357333333</v>
      </c>
      <c r="R1721" s="4">
        <f>IFERROR(__xludf.DUMMYFUNCTION("""COMPUTED_VALUE"""),45949.036786667624)</f>
        <v>45949.03679</v>
      </c>
      <c r="S1721" s="1" t="b">
        <f>IFERROR(__xludf.DUMMYFUNCTION("""COMPUTED_VALUE"""),TRUE)</f>
        <v>1</v>
      </c>
      <c r="T1721" s="1" t="b">
        <f>IFERROR(__xludf.DUMMYFUNCTION("""COMPUTED_VALUE"""),FALSE)</f>
        <v>0</v>
      </c>
      <c r="U1721" s="1" t="str">
        <f>IFERROR(__xludf.DUMMYFUNCTION("""COMPUTED_VALUE"""),"VALID")</f>
        <v>VALID</v>
      </c>
      <c r="V1721" s="1">
        <f>IFERROR(__xludf.DUMMYFUNCTION("""COMPUTED_VALUE"""),620.0)</f>
        <v>620</v>
      </c>
      <c r="W1721" s="1">
        <f>IFERROR(__xludf.DUMMYFUNCTION("""COMPUTED_VALUE"""),1014.0)</f>
        <v>1014</v>
      </c>
      <c r="X1721" s="1">
        <f>IFERROR(__xludf.DUMMYFUNCTION("""COMPUTED_VALUE"""),819.0)</f>
        <v>819</v>
      </c>
      <c r="Y1721" s="2"/>
      <c r="Z1721" s="2"/>
    </row>
    <row r="1722">
      <c r="A1722" s="1">
        <f>IFERROR(__xludf.DUMMYFUNCTION("""COMPUTED_VALUE"""),1721.0)</f>
        <v>1721</v>
      </c>
      <c r="B1722" s="1">
        <f>IFERROR(__xludf.DUMMYFUNCTION("""COMPUTED_VALUE"""),5111.0)</f>
        <v>5111</v>
      </c>
      <c r="C1722" s="2" t="str">
        <f>IFERROR(__xludf.DUMMYFUNCTION("""COMPUTED_VALUE"""),"A RIDHA")</f>
        <v>A RIDHA</v>
      </c>
      <c r="D1722" s="2" t="str">
        <f>IFERROR(__xludf.DUMMYFUNCTION("""COMPUTED_VALUE"""),"5KM OVERALL M")</f>
        <v>5KM OVERALL M</v>
      </c>
      <c r="E1722" s="1">
        <f>IFERROR(__xludf.DUMMYFUNCTION("""COMPUTED_VALUE"""),2.0)</f>
        <v>2</v>
      </c>
      <c r="F1722" s="1" t="str">
        <f>IFERROR(__xludf.DUMMYFUNCTION("""COMPUTED_VALUE"""),"Male")</f>
        <v>Male</v>
      </c>
      <c r="G1722" s="4" t="str">
        <f>IFERROR(__xludf.DUMMYFUNCTION("""COMPUTED_VALUE"""),"")</f>
        <v/>
      </c>
      <c r="H1722" s="4" t="b">
        <f>IFERROR(__xludf.DUMMYFUNCTION("""COMPUTED_VALUE"""),FALSE)</f>
        <v>0</v>
      </c>
      <c r="I1722" s="4">
        <f>IFERROR(__xludf.DUMMYFUNCTION("""COMPUTED_VALUE"""),0.2549440625)</f>
        <v>0.2549440625</v>
      </c>
      <c r="J1722" s="4" t="str">
        <f>IFERROR(__xludf.DUMMYFUNCTION("""COMPUTED_VALUE"""),"")</f>
        <v/>
      </c>
      <c r="K1722" s="4" t="str">
        <f>IFERROR(__xludf.DUMMYFUNCTION("""COMPUTED_VALUE"""),"")</f>
        <v/>
      </c>
      <c r="L1722" s="4" t="str">
        <f>IFERROR(__xludf.DUMMYFUNCTION("""COMPUTED_VALUE"""),"")</f>
        <v/>
      </c>
      <c r="M1722" s="1" t="str">
        <f>IFERROR(__xludf.DUMMYFUNCTION("""COMPUTED_VALUE"""),"RFID")</f>
        <v>RFID</v>
      </c>
      <c r="N1722" s="5" t="str">
        <f>IFERROR(__xludf.DUMMYFUNCTION("""COMPUTED_VALUE"""),"")</f>
        <v/>
      </c>
      <c r="O1722" s="5" t="str">
        <f>IFERROR(__xludf.DUMMYFUNCTION("""COMPUTED_VALUE"""),"")</f>
        <v/>
      </c>
      <c r="P1722" s="5" t="str">
        <f>IFERROR(__xludf.DUMMYFUNCTION("""COMPUTED_VALUE"""),"")</f>
        <v/>
      </c>
      <c r="Q1722" s="5" t="str">
        <f>IFERROR(__xludf.DUMMYFUNCTION("""COMPUTED_VALUE"""),"")</f>
        <v/>
      </c>
      <c r="R1722" s="4" t="str">
        <f>IFERROR(__xludf.DUMMYFUNCTION("""COMPUTED_VALUE"""),"")</f>
        <v/>
      </c>
      <c r="S1722" s="1" t="b">
        <f>IFERROR(__xludf.DUMMYFUNCTION("""COMPUTED_VALUE"""),FALSE)</f>
        <v>0</v>
      </c>
      <c r="T1722" s="1" t="b">
        <f>IFERROR(__xludf.DUMMYFUNCTION("""COMPUTED_VALUE"""),FALSE)</f>
        <v>0</v>
      </c>
      <c r="U1722" s="1" t="str">
        <f>IFERROR(__xludf.DUMMYFUNCTION("""COMPUTED_VALUE"""),"DSQ")</f>
        <v>DSQ</v>
      </c>
      <c r="V1722" s="1" t="str">
        <f>IFERROR(__xludf.DUMMYFUNCTION("""COMPUTED_VALUE"""),"DSQ")</f>
        <v>DSQ</v>
      </c>
      <c r="W1722" s="1" t="str">
        <f>IFERROR(__xludf.DUMMYFUNCTION("""COMPUTED_VALUE"""),"DSQ")</f>
        <v>DSQ</v>
      </c>
      <c r="X1722" s="1" t="str">
        <f>IFERROR(__xludf.DUMMYFUNCTION("""COMPUTED_VALUE"""),"DSQ")</f>
        <v>DSQ</v>
      </c>
      <c r="Y1722" s="2"/>
      <c r="Z1722" s="2" t="str">
        <f>IFERROR(__xludf.DUMMYFUNCTION("""COMPUTED_VALUE"""),"")</f>
        <v/>
      </c>
    </row>
    <row r="1723">
      <c r="A1723" s="1">
        <f>IFERROR(__xludf.DUMMYFUNCTION("""COMPUTED_VALUE"""),1722.0)</f>
        <v>1722</v>
      </c>
      <c r="B1723" s="1">
        <f>IFERROR(__xludf.DUMMYFUNCTION("""COMPUTED_VALUE"""),5116.0)</f>
        <v>5116</v>
      </c>
      <c r="C1723" s="2" t="str">
        <f>IFERROR(__xludf.DUMMYFUNCTION("""COMPUTED_VALUE"""),"Faris")</f>
        <v>Faris</v>
      </c>
      <c r="D1723" s="2" t="str">
        <f>IFERROR(__xludf.DUMMYFUNCTION("""COMPUTED_VALUE"""),"5KM OVERALL M")</f>
        <v>5KM OVERALL M</v>
      </c>
      <c r="E1723" s="1">
        <f>IFERROR(__xludf.DUMMYFUNCTION("""COMPUTED_VALUE"""),2.0)</f>
        <v>2</v>
      </c>
      <c r="F1723" s="1" t="str">
        <f>IFERROR(__xludf.DUMMYFUNCTION("""COMPUTED_VALUE"""),"Male")</f>
        <v>Male</v>
      </c>
      <c r="G1723" s="4" t="b">
        <f>IFERROR(__xludf.DUMMYFUNCTION("""COMPUTED_VALUE"""),TRUE)</f>
        <v>1</v>
      </c>
      <c r="H1723" s="4" t="b">
        <f>IFERROR(__xludf.DUMMYFUNCTION("""COMPUTED_VALUE"""),FALSE)</f>
        <v>0</v>
      </c>
      <c r="I1723" s="4">
        <f>IFERROR(__xludf.DUMMYFUNCTION("""COMPUTED_VALUE"""),0.2549440625)</f>
        <v>0.2549440625</v>
      </c>
      <c r="J1723" s="4">
        <f>IFERROR(__xludf.DUMMYFUNCTION("""COMPUTED_VALUE"""),45949.27746766795)</f>
        <v>45949.27747</v>
      </c>
      <c r="K1723" s="4" t="str">
        <f>IFERROR(__xludf.DUMMYFUNCTION("""COMPUTED_VALUE"""),"")</f>
        <v/>
      </c>
      <c r="L1723" s="4">
        <f>IFERROR(__xludf.DUMMYFUNCTION("""COMPUTED_VALUE"""),45949.293178658176)</f>
        <v>45949.29318</v>
      </c>
      <c r="M1723" s="1" t="str">
        <f>IFERROR(__xludf.DUMMYFUNCTION("""COMPUTED_VALUE"""),"RFID")</f>
        <v>RFID</v>
      </c>
      <c r="N1723" s="5">
        <f>IFERROR(__xludf.DUMMYFUNCTION("""COMPUTED_VALUE"""),0.009009444444444445)</f>
        <v>0.009009444444</v>
      </c>
      <c r="O1723" s="5" t="str">
        <f>IFERROR(__xludf.DUMMYFUNCTION("""COMPUTED_VALUE"""),"")</f>
        <v/>
      </c>
      <c r="P1723" s="5" t="str">
        <f>IFERROR(__xludf.DUMMYFUNCTION("""COMPUTED_VALUE"""),"")</f>
        <v/>
      </c>
      <c r="Q1723" s="5">
        <f>IFERROR(__xludf.DUMMYFUNCTION("""COMPUTED_VALUE"""),0.007646918981481482)</f>
        <v>0.007646918981</v>
      </c>
      <c r="R1723" s="4">
        <f>IFERROR(__xludf.DUMMYFUNCTION("""COMPUTED_VALUE"""),45949.038234595675)</f>
        <v>45949.03823</v>
      </c>
      <c r="S1723" s="1" t="b">
        <f>IFERROR(__xludf.DUMMYFUNCTION("""COMPUTED_VALUE"""),TRUE)</f>
        <v>1</v>
      </c>
      <c r="T1723" s="1" t="b">
        <f>IFERROR(__xludf.DUMMYFUNCTION("""COMPUTED_VALUE"""),FALSE)</f>
        <v>0</v>
      </c>
      <c r="U1723" s="1" t="str">
        <f>IFERROR(__xludf.DUMMYFUNCTION("""COMPUTED_VALUE"""),"VALID")</f>
        <v>VALID</v>
      </c>
      <c r="V1723" s="1">
        <f>IFERROR(__xludf.DUMMYFUNCTION("""COMPUTED_VALUE"""),660.0)</f>
        <v>660</v>
      </c>
      <c r="W1723" s="1">
        <f>IFERROR(__xludf.DUMMYFUNCTION("""COMPUTED_VALUE"""),1116.0)</f>
        <v>1116</v>
      </c>
      <c r="X1723" s="1">
        <f>IFERROR(__xludf.DUMMYFUNCTION("""COMPUTED_VALUE"""),887.0)</f>
        <v>887</v>
      </c>
      <c r="Y1723" s="2"/>
      <c r="Z1723" s="2"/>
    </row>
    <row r="1724">
      <c r="A1724" s="1">
        <f>IFERROR(__xludf.DUMMYFUNCTION("""COMPUTED_VALUE"""),1723.0)</f>
        <v>1723</v>
      </c>
      <c r="B1724" s="1">
        <f>IFERROR(__xludf.DUMMYFUNCTION("""COMPUTED_VALUE"""),5117.0)</f>
        <v>5117</v>
      </c>
      <c r="C1724" s="2" t="str">
        <f>IFERROR(__xludf.DUMMYFUNCTION("""COMPUTED_VALUE"""),"Anjar")</f>
        <v>Anjar</v>
      </c>
      <c r="D1724" s="2" t="str">
        <f>IFERROR(__xludf.DUMMYFUNCTION("""COMPUTED_VALUE"""),"5KM OVERALL M")</f>
        <v>5KM OVERALL M</v>
      </c>
      <c r="E1724" s="1">
        <f>IFERROR(__xludf.DUMMYFUNCTION("""COMPUTED_VALUE"""),2.0)</f>
        <v>2</v>
      </c>
      <c r="F1724" s="1" t="str">
        <f>IFERROR(__xludf.DUMMYFUNCTION("""COMPUTED_VALUE"""),"Male")</f>
        <v>Male</v>
      </c>
      <c r="G1724" s="4" t="b">
        <f>IFERROR(__xludf.DUMMYFUNCTION("""COMPUTED_VALUE"""),TRUE)</f>
        <v>1</v>
      </c>
      <c r="H1724" s="4" t="b">
        <f>IFERROR(__xludf.DUMMYFUNCTION("""COMPUTED_VALUE"""),TRUE)</f>
        <v>1</v>
      </c>
      <c r="I1724" s="4">
        <f>IFERROR(__xludf.DUMMYFUNCTION("""COMPUTED_VALUE"""),0.2549440625)</f>
        <v>0.2549440625</v>
      </c>
      <c r="J1724" s="4">
        <f>IFERROR(__xludf.DUMMYFUNCTION("""COMPUTED_VALUE"""),45949.27640522738)</f>
        <v>45949.27641</v>
      </c>
      <c r="K1724" s="4" t="str">
        <f>IFERROR(__xludf.DUMMYFUNCTION("""COMPUTED_VALUE"""),"")</f>
        <v/>
      </c>
      <c r="L1724" s="4">
        <f>IFERROR(__xludf.DUMMYFUNCTION("""COMPUTED_VALUE"""),45949.29330416964)</f>
        <v>45949.2933</v>
      </c>
      <c r="M1724" s="1" t="str">
        <f>IFERROR(__xludf.DUMMYFUNCTION("""COMPUTED_VALUE"""),"RFID")</f>
        <v>RFID</v>
      </c>
      <c r="N1724" s="5">
        <f>IFERROR(__xludf.DUMMYFUNCTION("""COMPUTED_VALUE"""),0.008584467592592591)</f>
        <v>0.008584467593</v>
      </c>
      <c r="O1724" s="5" t="str">
        <f>IFERROR(__xludf.DUMMYFUNCTION("""COMPUTED_VALUE"""),"")</f>
        <v/>
      </c>
      <c r="P1724" s="5" t="str">
        <f>IFERROR(__xludf.DUMMYFUNCTION("""COMPUTED_VALUE"""),"")</f>
        <v/>
      </c>
      <c r="Q1724" s="5">
        <f>IFERROR(__xludf.DUMMYFUNCTION("""COMPUTED_VALUE"""),0.007672020833333333)</f>
        <v>0.007672020833</v>
      </c>
      <c r="R1724" s="4">
        <f>IFERROR(__xludf.DUMMYFUNCTION("""COMPUTED_VALUE"""),45949.03836010714)</f>
        <v>45949.03836</v>
      </c>
      <c r="S1724" s="1" t="b">
        <f>IFERROR(__xludf.DUMMYFUNCTION("""COMPUTED_VALUE"""),TRUE)</f>
        <v>1</v>
      </c>
      <c r="T1724" s="1" t="b">
        <f>IFERROR(__xludf.DUMMYFUNCTION("""COMPUTED_VALUE"""),FALSE)</f>
        <v>0</v>
      </c>
      <c r="U1724" s="1" t="str">
        <f>IFERROR(__xludf.DUMMYFUNCTION("""COMPUTED_VALUE"""),"VALID")</f>
        <v>VALID</v>
      </c>
      <c r="V1724" s="1">
        <f>IFERROR(__xludf.DUMMYFUNCTION("""COMPUTED_VALUE"""),663.0)</f>
        <v>663</v>
      </c>
      <c r="W1724" s="1">
        <f>IFERROR(__xludf.DUMMYFUNCTION("""COMPUTED_VALUE"""),1123.0)</f>
        <v>1123</v>
      </c>
      <c r="X1724" s="1">
        <f>IFERROR(__xludf.DUMMYFUNCTION("""COMPUTED_VALUE"""),892.0)</f>
        <v>892</v>
      </c>
      <c r="Y1724" s="2"/>
      <c r="Z1724" s="2"/>
    </row>
    <row r="1725">
      <c r="A1725" s="1">
        <f>IFERROR(__xludf.DUMMYFUNCTION("""COMPUTED_VALUE"""),1724.0)</f>
        <v>1724</v>
      </c>
      <c r="B1725" s="1">
        <f>IFERROR(__xludf.DUMMYFUNCTION("""COMPUTED_VALUE"""),5119.0)</f>
        <v>5119</v>
      </c>
      <c r="C1725" s="2" t="str">
        <f>IFERROR(__xludf.DUMMYFUNCTION("""COMPUTED_VALUE"""),"Longe Taher")</f>
        <v>Longe Taher</v>
      </c>
      <c r="D1725" s="2" t="str">
        <f>IFERROR(__xludf.DUMMYFUNCTION("""COMPUTED_VALUE"""),"5KM OVERALL M")</f>
        <v>5KM OVERALL M</v>
      </c>
      <c r="E1725" s="1">
        <f>IFERROR(__xludf.DUMMYFUNCTION("""COMPUTED_VALUE"""),2.0)</f>
        <v>2</v>
      </c>
      <c r="F1725" s="1" t="str">
        <f>IFERROR(__xludf.DUMMYFUNCTION("""COMPUTED_VALUE"""),"Male")</f>
        <v>Male</v>
      </c>
      <c r="G1725" s="4" t="b">
        <f>IFERROR(__xludf.DUMMYFUNCTION("""COMPUTED_VALUE"""),TRUE)</f>
        <v>1</v>
      </c>
      <c r="H1725" s="4" t="b">
        <f>IFERROR(__xludf.DUMMYFUNCTION("""COMPUTED_VALUE"""),TRUE)</f>
        <v>1</v>
      </c>
      <c r="I1725" s="4">
        <f>IFERROR(__xludf.DUMMYFUNCTION("""COMPUTED_VALUE"""),0.2549440625)</f>
        <v>0.2549440625</v>
      </c>
      <c r="J1725" s="4">
        <f>IFERROR(__xludf.DUMMYFUNCTION("""COMPUTED_VALUE"""),45949.276453779086)</f>
        <v>45949.27645</v>
      </c>
      <c r="K1725" s="4" t="str">
        <f>IFERROR(__xludf.DUMMYFUNCTION("""COMPUTED_VALUE"""),"")</f>
        <v/>
      </c>
      <c r="L1725" s="4">
        <f>IFERROR(__xludf.DUMMYFUNCTION("""COMPUTED_VALUE"""),45949.29136615152)</f>
        <v>45949.29137</v>
      </c>
      <c r="M1725" s="1" t="str">
        <f>IFERROR(__xludf.DUMMYFUNCTION("""COMPUTED_VALUE"""),"RFID")</f>
        <v>RFID</v>
      </c>
      <c r="N1725" s="5">
        <f>IFERROR(__xludf.DUMMYFUNCTION("""COMPUTED_VALUE"""),0.008603888888888888)</f>
        <v>0.008603888889</v>
      </c>
      <c r="O1725" s="5" t="str">
        <f>IFERROR(__xludf.DUMMYFUNCTION("""COMPUTED_VALUE"""),"")</f>
        <v/>
      </c>
      <c r="P1725" s="5" t="str">
        <f>IFERROR(__xludf.DUMMYFUNCTION("""COMPUTED_VALUE"""),"")</f>
        <v/>
      </c>
      <c r="Q1725" s="5">
        <f>IFERROR(__xludf.DUMMYFUNCTION("""COMPUTED_VALUE"""),0.0072844166666666665)</f>
        <v>0.007284416667</v>
      </c>
      <c r="R1725" s="4">
        <f>IFERROR(__xludf.DUMMYFUNCTION("""COMPUTED_VALUE"""),45949.03642208902)</f>
        <v>45949.03642</v>
      </c>
      <c r="S1725" s="1" t="b">
        <f>IFERROR(__xludf.DUMMYFUNCTION("""COMPUTED_VALUE"""),TRUE)</f>
        <v>1</v>
      </c>
      <c r="T1725" s="1" t="b">
        <f>IFERROR(__xludf.DUMMYFUNCTION("""COMPUTED_VALUE"""),FALSE)</f>
        <v>0</v>
      </c>
      <c r="U1725" s="1" t="str">
        <f>IFERROR(__xludf.DUMMYFUNCTION("""COMPUTED_VALUE"""),"VALID")</f>
        <v>VALID</v>
      </c>
      <c r="V1725" s="1">
        <f>IFERROR(__xludf.DUMMYFUNCTION("""COMPUTED_VALUE"""),606.0)</f>
        <v>606</v>
      </c>
      <c r="W1725" s="1">
        <f>IFERROR(__xludf.DUMMYFUNCTION("""COMPUTED_VALUE"""),989.0)</f>
        <v>989</v>
      </c>
      <c r="X1725" s="1">
        <f>IFERROR(__xludf.DUMMYFUNCTION("""COMPUTED_VALUE"""),800.0)</f>
        <v>800</v>
      </c>
      <c r="Y1725" s="2"/>
      <c r="Z1725" s="2"/>
    </row>
    <row r="1726">
      <c r="A1726" s="1">
        <f>IFERROR(__xludf.DUMMYFUNCTION("""COMPUTED_VALUE"""),1725.0)</f>
        <v>1725</v>
      </c>
      <c r="B1726" s="1">
        <f>IFERROR(__xludf.DUMMYFUNCTION("""COMPUTED_VALUE"""),5122.0)</f>
        <v>5122</v>
      </c>
      <c r="C1726" s="2" t="str">
        <f>IFERROR(__xludf.DUMMYFUNCTION("""COMPUTED_VALUE"""),"RAYNALDY")</f>
        <v>RAYNALDY</v>
      </c>
      <c r="D1726" s="2" t="str">
        <f>IFERROR(__xludf.DUMMYFUNCTION("""COMPUTED_VALUE"""),"5KM OVERALL M")</f>
        <v>5KM OVERALL M</v>
      </c>
      <c r="E1726" s="1">
        <f>IFERROR(__xludf.DUMMYFUNCTION("""COMPUTED_VALUE"""),2.0)</f>
        <v>2</v>
      </c>
      <c r="F1726" s="1" t="str">
        <f>IFERROR(__xludf.DUMMYFUNCTION("""COMPUTED_VALUE"""),"Male")</f>
        <v>Male</v>
      </c>
      <c r="G1726" s="4" t="b">
        <f>IFERROR(__xludf.DUMMYFUNCTION("""COMPUTED_VALUE"""),TRUE)</f>
        <v>1</v>
      </c>
      <c r="H1726" s="4" t="b">
        <f>IFERROR(__xludf.DUMMYFUNCTION("""COMPUTED_VALUE"""),FALSE)</f>
        <v>0</v>
      </c>
      <c r="I1726" s="4">
        <f>IFERROR(__xludf.DUMMYFUNCTION("""COMPUTED_VALUE"""),0.2549440625)</f>
        <v>0.2549440625</v>
      </c>
      <c r="J1726" s="4">
        <f>IFERROR(__xludf.DUMMYFUNCTION("""COMPUTED_VALUE"""),45949.271738574855)</f>
        <v>45949.27174</v>
      </c>
      <c r="K1726" s="4" t="str">
        <f>IFERROR(__xludf.DUMMYFUNCTION("""COMPUTED_VALUE"""),"")</f>
        <v/>
      </c>
      <c r="L1726" s="4">
        <f>IFERROR(__xludf.DUMMYFUNCTION("""COMPUTED_VALUE"""),45949.284525877454)</f>
        <v>45949.28453</v>
      </c>
      <c r="M1726" s="1" t="str">
        <f>IFERROR(__xludf.DUMMYFUNCTION("""COMPUTED_VALUE"""),"RFID")</f>
        <v>RFID</v>
      </c>
      <c r="N1726" s="5">
        <f>IFERROR(__xludf.DUMMYFUNCTION("""COMPUTED_VALUE"""),0.006717805555555556)</f>
        <v>0.006717805556</v>
      </c>
      <c r="O1726" s="5" t="str">
        <f>IFERROR(__xludf.DUMMYFUNCTION("""COMPUTED_VALUE"""),"")</f>
        <v/>
      </c>
      <c r="P1726" s="5" t="str">
        <f>IFERROR(__xludf.DUMMYFUNCTION("""COMPUTED_VALUE"""),"")</f>
        <v/>
      </c>
      <c r="Q1726" s="5">
        <f>IFERROR(__xludf.DUMMYFUNCTION("""COMPUTED_VALUE"""),0.005916363425925926)</f>
        <v>0.005916363426</v>
      </c>
      <c r="R1726" s="4">
        <f>IFERROR(__xludf.DUMMYFUNCTION("""COMPUTED_VALUE"""),45949.02958181495)</f>
        <v>45949.02958</v>
      </c>
      <c r="S1726" s="1" t="b">
        <f>IFERROR(__xludf.DUMMYFUNCTION("""COMPUTED_VALUE"""),TRUE)</f>
        <v>1</v>
      </c>
      <c r="T1726" s="1" t="b">
        <f>IFERROR(__xludf.DUMMYFUNCTION("""COMPUTED_VALUE"""),FALSE)</f>
        <v>0</v>
      </c>
      <c r="U1726" s="1" t="str">
        <f>IFERROR(__xludf.DUMMYFUNCTION("""COMPUTED_VALUE"""),"VALID")</f>
        <v>VALID</v>
      </c>
      <c r="V1726" s="1">
        <f>IFERROR(__xludf.DUMMYFUNCTION("""COMPUTED_VALUE"""),363.0)</f>
        <v>363</v>
      </c>
      <c r="W1726" s="1">
        <f>IFERROR(__xludf.DUMMYFUNCTION("""COMPUTED_VALUE"""),545.0)</f>
        <v>545</v>
      </c>
      <c r="X1726" s="1">
        <f>IFERROR(__xludf.DUMMYFUNCTION("""COMPUTED_VALUE"""),467.0)</f>
        <v>467</v>
      </c>
      <c r="Y1726" s="2"/>
      <c r="Z1726" s="2"/>
    </row>
    <row r="1727">
      <c r="A1727" s="1">
        <f>IFERROR(__xludf.DUMMYFUNCTION("""COMPUTED_VALUE"""),1726.0)</f>
        <v>1726</v>
      </c>
      <c r="B1727" s="1">
        <f>IFERROR(__xludf.DUMMYFUNCTION("""COMPUTED_VALUE"""),5123.0)</f>
        <v>5123</v>
      </c>
      <c r="C1727" s="2" t="str">
        <f>IFERROR(__xludf.DUMMYFUNCTION("""COMPUTED_VALUE"""),"Fuad Wija")</f>
        <v>Fuad Wija</v>
      </c>
      <c r="D1727" s="2" t="str">
        <f>IFERROR(__xludf.DUMMYFUNCTION("""COMPUTED_VALUE"""),"5KM OVERALL M")</f>
        <v>5KM OVERALL M</v>
      </c>
      <c r="E1727" s="1">
        <f>IFERROR(__xludf.DUMMYFUNCTION("""COMPUTED_VALUE"""),2.0)</f>
        <v>2</v>
      </c>
      <c r="F1727" s="1" t="str">
        <f>IFERROR(__xludf.DUMMYFUNCTION("""COMPUTED_VALUE"""),"Male")</f>
        <v>Male</v>
      </c>
      <c r="G1727" s="4" t="b">
        <f>IFERROR(__xludf.DUMMYFUNCTION("""COMPUTED_VALUE"""),TRUE)</f>
        <v>1</v>
      </c>
      <c r="H1727" s="4" t="b">
        <f>IFERROR(__xludf.DUMMYFUNCTION("""COMPUTED_VALUE"""),FALSE)</f>
        <v>0</v>
      </c>
      <c r="I1727" s="4">
        <f>IFERROR(__xludf.DUMMYFUNCTION("""COMPUTED_VALUE"""),0.2549440625)</f>
        <v>0.2549440625</v>
      </c>
      <c r="J1727" s="4">
        <f>IFERROR(__xludf.DUMMYFUNCTION("""COMPUTED_VALUE"""),45949.269694464376)</f>
        <v>45949.26969</v>
      </c>
      <c r="K1727" s="4" t="str">
        <f>IFERROR(__xludf.DUMMYFUNCTION("""COMPUTED_VALUE"""),"")</f>
        <v/>
      </c>
      <c r="L1727" s="4">
        <f>IFERROR(__xludf.DUMMYFUNCTION("""COMPUTED_VALUE"""),45949.28062656859)</f>
        <v>45949.28063</v>
      </c>
      <c r="M1727" s="1" t="str">
        <f>IFERROR(__xludf.DUMMYFUNCTION("""COMPUTED_VALUE"""),"RFID")</f>
        <v>RFID</v>
      </c>
      <c r="N1727" s="5">
        <f>IFERROR(__xludf.DUMMYFUNCTION("""COMPUTED_VALUE"""),0.005900162037037037)</f>
        <v>0.005900162037</v>
      </c>
      <c r="O1727" s="5" t="str">
        <f>IFERROR(__xludf.DUMMYFUNCTION("""COMPUTED_VALUE"""),"")</f>
        <v/>
      </c>
      <c r="P1727" s="5" t="str">
        <f>IFERROR(__xludf.DUMMYFUNCTION("""COMPUTED_VALUE"""),"")</f>
        <v/>
      </c>
      <c r="Q1727" s="5">
        <f>IFERROR(__xludf.DUMMYFUNCTION("""COMPUTED_VALUE"""),0.005136502314814815)</f>
        <v>0.005136502315</v>
      </c>
      <c r="R1727" s="4">
        <f>IFERROR(__xludf.DUMMYFUNCTION("""COMPUTED_VALUE"""),45949.025682506086)</f>
        <v>45949.02568</v>
      </c>
      <c r="S1727" s="1" t="b">
        <f>IFERROR(__xludf.DUMMYFUNCTION("""COMPUTED_VALUE"""),TRUE)</f>
        <v>1</v>
      </c>
      <c r="T1727" s="1" t="b">
        <f>IFERROR(__xludf.DUMMYFUNCTION("""COMPUTED_VALUE"""),FALSE)</f>
        <v>0</v>
      </c>
      <c r="U1727" s="1" t="str">
        <f>IFERROR(__xludf.DUMMYFUNCTION("""COMPUTED_VALUE"""),"VALID")</f>
        <v>VALID</v>
      </c>
      <c r="V1727" s="1">
        <f>IFERROR(__xludf.DUMMYFUNCTION("""COMPUTED_VALUE"""),207.0)</f>
        <v>207</v>
      </c>
      <c r="W1727" s="1">
        <f>IFERROR(__xludf.DUMMYFUNCTION("""COMPUTED_VALUE"""),322.0)</f>
        <v>322</v>
      </c>
      <c r="X1727" s="1">
        <f>IFERROR(__xludf.DUMMYFUNCTION("""COMPUTED_VALUE"""),282.0)</f>
        <v>282</v>
      </c>
      <c r="Y1727" s="2"/>
      <c r="Z1727" s="2"/>
    </row>
    <row r="1728">
      <c r="A1728" s="1">
        <f>IFERROR(__xludf.DUMMYFUNCTION("""COMPUTED_VALUE"""),1727.0)</f>
        <v>1727</v>
      </c>
      <c r="B1728" s="1">
        <f>IFERROR(__xludf.DUMMYFUNCTION("""COMPUTED_VALUE"""),5127.0)</f>
        <v>5127</v>
      </c>
      <c r="C1728" s="2" t="str">
        <f>IFERROR(__xludf.DUMMYFUNCTION("""COMPUTED_VALUE"""),"Said")</f>
        <v>Said</v>
      </c>
      <c r="D1728" s="2" t="str">
        <f>IFERROR(__xludf.DUMMYFUNCTION("""COMPUTED_VALUE"""),"5KM OVERALL M")</f>
        <v>5KM OVERALL M</v>
      </c>
      <c r="E1728" s="1">
        <f>IFERROR(__xludf.DUMMYFUNCTION("""COMPUTED_VALUE"""),2.0)</f>
        <v>2</v>
      </c>
      <c r="F1728" s="1" t="str">
        <f>IFERROR(__xludf.DUMMYFUNCTION("""COMPUTED_VALUE"""),"Male")</f>
        <v>Male</v>
      </c>
      <c r="G1728" s="4" t="b">
        <f>IFERROR(__xludf.DUMMYFUNCTION("""COMPUTED_VALUE"""),TRUE)</f>
        <v>1</v>
      </c>
      <c r="H1728" s="4" t="b">
        <f>IFERROR(__xludf.DUMMYFUNCTION("""COMPUTED_VALUE"""),FALSE)</f>
        <v>0</v>
      </c>
      <c r="I1728" s="4">
        <f>IFERROR(__xludf.DUMMYFUNCTION("""COMPUTED_VALUE"""),0.2549440625)</f>
        <v>0.2549440625</v>
      </c>
      <c r="J1728" s="4">
        <f>IFERROR(__xludf.DUMMYFUNCTION("""COMPUTED_VALUE"""),45949.265801682894)</f>
        <v>45949.2658</v>
      </c>
      <c r="K1728" s="4" t="str">
        <f>IFERROR(__xludf.DUMMYFUNCTION("""COMPUTED_VALUE"""),"")</f>
        <v/>
      </c>
      <c r="L1728" s="4">
        <f>IFERROR(__xludf.DUMMYFUNCTION("""COMPUTED_VALUE"""),45949.27348761751)</f>
        <v>45949.27349</v>
      </c>
      <c r="M1728" s="1" t="str">
        <f>IFERROR(__xludf.DUMMYFUNCTION("""COMPUTED_VALUE"""),"RFID")</f>
        <v>RFID</v>
      </c>
      <c r="N1728" s="5">
        <f>IFERROR(__xludf.DUMMYFUNCTION("""COMPUTED_VALUE"""),0.004343046296296296)</f>
        <v>0.004343046296</v>
      </c>
      <c r="O1728" s="5" t="str">
        <f>IFERROR(__xludf.DUMMYFUNCTION("""COMPUTED_VALUE"""),"")</f>
        <v/>
      </c>
      <c r="P1728" s="5" t="str">
        <f>IFERROR(__xludf.DUMMYFUNCTION("""COMPUTED_VALUE"""),"")</f>
        <v/>
      </c>
      <c r="Q1728" s="5">
        <f>IFERROR(__xludf.DUMMYFUNCTION("""COMPUTED_VALUE"""),0.003708710648148148)</f>
        <v>0.003708710648</v>
      </c>
      <c r="R1728" s="4">
        <f>IFERROR(__xludf.DUMMYFUNCTION("""COMPUTED_VALUE"""),45949.01854355501)</f>
        <v>45949.01854</v>
      </c>
      <c r="S1728" s="1" t="b">
        <f>IFERROR(__xludf.DUMMYFUNCTION("""COMPUTED_VALUE"""),TRUE)</f>
        <v>1</v>
      </c>
      <c r="T1728" s="1" t="b">
        <f>IFERROR(__xludf.DUMMYFUNCTION("""COMPUTED_VALUE"""),FALSE)</f>
        <v>0</v>
      </c>
      <c r="U1728" s="1" t="str">
        <f>IFERROR(__xludf.DUMMYFUNCTION("""COMPUTED_VALUE"""),"VALID")</f>
        <v>VALID</v>
      </c>
      <c r="V1728" s="1">
        <f>IFERROR(__xludf.DUMMYFUNCTION("""COMPUTED_VALUE"""),48.0)</f>
        <v>48</v>
      </c>
      <c r="W1728" s="1">
        <f>IFERROR(__xludf.DUMMYFUNCTION("""COMPUTED_VALUE"""),71.0)</f>
        <v>71</v>
      </c>
      <c r="X1728" s="1">
        <f>IFERROR(__xludf.DUMMYFUNCTION("""COMPUTED_VALUE"""),66.0)</f>
        <v>66</v>
      </c>
      <c r="Y1728" s="2"/>
      <c r="Z1728" s="2"/>
    </row>
    <row r="1729">
      <c r="A1729" s="1">
        <f>IFERROR(__xludf.DUMMYFUNCTION("""COMPUTED_VALUE"""),1728.0)</f>
        <v>1728</v>
      </c>
      <c r="B1729" s="1">
        <f>IFERROR(__xludf.DUMMYFUNCTION("""COMPUTED_VALUE"""),5128.0)</f>
        <v>5128</v>
      </c>
      <c r="C1729" s="2" t="str">
        <f>IFERROR(__xludf.DUMMYFUNCTION("""COMPUTED_VALUE"""),"Jun")</f>
        <v>Jun</v>
      </c>
      <c r="D1729" s="2" t="str">
        <f>IFERROR(__xludf.DUMMYFUNCTION("""COMPUTED_VALUE"""),"5KM OVERALL M")</f>
        <v>5KM OVERALL M</v>
      </c>
      <c r="E1729" s="1">
        <f>IFERROR(__xludf.DUMMYFUNCTION("""COMPUTED_VALUE"""),2.0)</f>
        <v>2</v>
      </c>
      <c r="F1729" s="1" t="str">
        <f>IFERROR(__xludf.DUMMYFUNCTION("""COMPUTED_VALUE"""),"Male")</f>
        <v>Male</v>
      </c>
      <c r="G1729" s="4" t="b">
        <f>IFERROR(__xludf.DUMMYFUNCTION("""COMPUTED_VALUE"""),TRUE)</f>
        <v>1</v>
      </c>
      <c r="H1729" s="4" t="b">
        <f>IFERROR(__xludf.DUMMYFUNCTION("""COMPUTED_VALUE"""),FALSE)</f>
        <v>0</v>
      </c>
      <c r="I1729" s="4">
        <f>IFERROR(__xludf.DUMMYFUNCTION("""COMPUTED_VALUE"""),0.2549440625)</f>
        <v>0.2549440625</v>
      </c>
      <c r="J1729" s="4">
        <f>IFERROR(__xludf.DUMMYFUNCTION("""COMPUTED_VALUE"""),45949.27802322212)</f>
        <v>45949.27802</v>
      </c>
      <c r="K1729" s="4" t="str">
        <f>IFERROR(__xludf.DUMMYFUNCTION("""COMPUTED_VALUE"""),"")</f>
        <v/>
      </c>
      <c r="L1729" s="4">
        <f>IFERROR(__xludf.DUMMYFUNCTION("""COMPUTED_VALUE"""),45949.29675851096)</f>
        <v>45949.29676</v>
      </c>
      <c r="M1729" s="1" t="str">
        <f>IFERROR(__xludf.DUMMYFUNCTION("""COMPUTED_VALUE"""),"RFID")</f>
        <v>RFID</v>
      </c>
      <c r="N1729" s="5">
        <f>IFERROR(__xludf.DUMMYFUNCTION("""COMPUTED_VALUE"""),0.009231662037037038)</f>
        <v>0.009231662037</v>
      </c>
      <c r="O1729" s="5" t="str">
        <f>IFERROR(__xludf.DUMMYFUNCTION("""COMPUTED_VALUE"""),"")</f>
        <v/>
      </c>
      <c r="P1729" s="5" t="str">
        <f>IFERROR(__xludf.DUMMYFUNCTION("""COMPUTED_VALUE"""),"")</f>
        <v/>
      </c>
      <c r="Q1729" s="5">
        <f>IFERROR(__xludf.DUMMYFUNCTION("""COMPUTED_VALUE"""),0.008362888888888888)</f>
        <v>0.008362888889</v>
      </c>
      <c r="R1729" s="4">
        <f>IFERROR(__xludf.DUMMYFUNCTION("""COMPUTED_VALUE"""),45949.04181444846)</f>
        <v>45949.04181</v>
      </c>
      <c r="S1729" s="1" t="b">
        <f>IFERROR(__xludf.DUMMYFUNCTION("""COMPUTED_VALUE"""),TRUE)</f>
        <v>1</v>
      </c>
      <c r="T1729" s="1" t="b">
        <f>IFERROR(__xludf.DUMMYFUNCTION("""COMPUTED_VALUE"""),FALSE)</f>
        <v>0</v>
      </c>
      <c r="U1729" s="1" t="str">
        <f>IFERROR(__xludf.DUMMYFUNCTION("""COMPUTED_VALUE"""),"VALID")</f>
        <v>VALID</v>
      </c>
      <c r="V1729" s="1">
        <f>IFERROR(__xludf.DUMMYFUNCTION("""COMPUTED_VALUE"""),754.0)</f>
        <v>754</v>
      </c>
      <c r="W1729" s="1">
        <f>IFERROR(__xludf.DUMMYFUNCTION("""COMPUTED_VALUE"""),1326.0)</f>
        <v>1326</v>
      </c>
      <c r="X1729" s="1">
        <f>IFERROR(__xludf.DUMMYFUNCTION("""COMPUTED_VALUE"""),1058.0)</f>
        <v>1058</v>
      </c>
      <c r="Y1729" s="2"/>
      <c r="Z1729" s="2"/>
    </row>
    <row r="1730">
      <c r="A1730" s="1">
        <f>IFERROR(__xludf.DUMMYFUNCTION("""COMPUTED_VALUE"""),1729.0)</f>
        <v>1729</v>
      </c>
      <c r="B1730" s="1">
        <f>IFERROR(__xludf.DUMMYFUNCTION("""COMPUTED_VALUE"""),5129.0)</f>
        <v>5129</v>
      </c>
      <c r="C1730" s="2" t="str">
        <f>IFERROR(__xludf.DUMMYFUNCTION("""COMPUTED_VALUE"""),"Rangga M")</f>
        <v>Rangga M</v>
      </c>
      <c r="D1730" s="2" t="str">
        <f>IFERROR(__xludf.DUMMYFUNCTION("""COMPUTED_VALUE"""),"5KM OVERALL M")</f>
        <v>5KM OVERALL M</v>
      </c>
      <c r="E1730" s="1">
        <f>IFERROR(__xludf.DUMMYFUNCTION("""COMPUTED_VALUE"""),2.0)</f>
        <v>2</v>
      </c>
      <c r="F1730" s="1" t="str">
        <f>IFERROR(__xludf.DUMMYFUNCTION("""COMPUTED_VALUE"""),"Male")</f>
        <v>Male</v>
      </c>
      <c r="G1730" s="4" t="b">
        <f>IFERROR(__xludf.DUMMYFUNCTION("""COMPUTED_VALUE"""),TRUE)</f>
        <v>1</v>
      </c>
      <c r="H1730" s="4" t="b">
        <f>IFERROR(__xludf.DUMMYFUNCTION("""COMPUTED_VALUE"""),TRUE)</f>
        <v>1</v>
      </c>
      <c r="I1730" s="4">
        <f>IFERROR(__xludf.DUMMYFUNCTION("""COMPUTED_VALUE"""),0.2549440625)</f>
        <v>0.2549440625</v>
      </c>
      <c r="J1730" s="4">
        <f>IFERROR(__xludf.DUMMYFUNCTION("""COMPUTED_VALUE"""),45949.278221194814)</f>
        <v>45949.27822</v>
      </c>
      <c r="K1730" s="4" t="str">
        <f>IFERROR(__xludf.DUMMYFUNCTION("""COMPUTED_VALUE"""),"")</f>
        <v/>
      </c>
      <c r="L1730" s="4">
        <f>IFERROR(__xludf.DUMMYFUNCTION("""COMPUTED_VALUE"""),45949.29293559312)</f>
        <v>45949.29294</v>
      </c>
      <c r="M1730" s="1" t="str">
        <f>IFERROR(__xludf.DUMMYFUNCTION("""COMPUTED_VALUE"""),"RFID")</f>
        <v>RFID</v>
      </c>
      <c r="N1730" s="5">
        <f>IFERROR(__xludf.DUMMYFUNCTION("""COMPUTED_VALUE"""),0.009310851851851851)</f>
        <v>0.009310851852</v>
      </c>
      <c r="O1730" s="5" t="str">
        <f>IFERROR(__xludf.DUMMYFUNCTION("""COMPUTED_VALUE"""),"")</f>
        <v/>
      </c>
      <c r="P1730" s="5" t="str">
        <f>IFERROR(__xludf.DUMMYFUNCTION("""COMPUTED_VALUE"""),"")</f>
        <v/>
      </c>
      <c r="Q1730" s="5">
        <f>IFERROR(__xludf.DUMMYFUNCTION("""COMPUTED_VALUE"""),0.007598305555555555)</f>
        <v>0.007598305556</v>
      </c>
      <c r="R1730" s="4">
        <f>IFERROR(__xludf.DUMMYFUNCTION("""COMPUTED_VALUE"""),45949.03799153062)</f>
        <v>45949.03799</v>
      </c>
      <c r="S1730" s="1" t="b">
        <f>IFERROR(__xludf.DUMMYFUNCTION("""COMPUTED_VALUE"""),TRUE)</f>
        <v>1</v>
      </c>
      <c r="T1730" s="1" t="b">
        <f>IFERROR(__xludf.DUMMYFUNCTION("""COMPUTED_VALUE"""),FALSE)</f>
        <v>0</v>
      </c>
      <c r="U1730" s="1" t="str">
        <f>IFERROR(__xludf.DUMMYFUNCTION("""COMPUTED_VALUE"""),"VALID")</f>
        <v>VALID</v>
      </c>
      <c r="V1730" s="1">
        <f>IFERROR(__xludf.DUMMYFUNCTION("""COMPUTED_VALUE"""),654.0)</f>
        <v>654</v>
      </c>
      <c r="W1730" s="1">
        <f>IFERROR(__xludf.DUMMYFUNCTION("""COMPUTED_VALUE"""),1101.0)</f>
        <v>1101</v>
      </c>
      <c r="X1730" s="1">
        <f>IFERROR(__xludf.DUMMYFUNCTION("""COMPUTED_VALUE"""),875.0)</f>
        <v>875</v>
      </c>
      <c r="Y1730" s="2"/>
      <c r="Z1730" s="2"/>
    </row>
    <row r="1731">
      <c r="A1731" s="1">
        <f>IFERROR(__xludf.DUMMYFUNCTION("""COMPUTED_VALUE"""),1730.0)</f>
        <v>1730</v>
      </c>
      <c r="B1731" s="1">
        <f>IFERROR(__xludf.DUMMYFUNCTION("""COMPUTED_VALUE"""),5132.0)</f>
        <v>5132</v>
      </c>
      <c r="C1731" s="2" t="str">
        <f>IFERROR(__xludf.DUMMYFUNCTION("""COMPUTED_VALUE"""),"Akmal")</f>
        <v>Akmal</v>
      </c>
      <c r="D1731" s="2" t="str">
        <f>IFERROR(__xludf.DUMMYFUNCTION("""COMPUTED_VALUE"""),"5KM OVERALL M")</f>
        <v>5KM OVERALL M</v>
      </c>
      <c r="E1731" s="1">
        <f>IFERROR(__xludf.DUMMYFUNCTION("""COMPUTED_VALUE"""),2.0)</f>
        <v>2</v>
      </c>
      <c r="F1731" s="1" t="str">
        <f>IFERROR(__xludf.DUMMYFUNCTION("""COMPUTED_VALUE"""),"Male")</f>
        <v>Male</v>
      </c>
      <c r="G1731" s="4" t="b">
        <f>IFERROR(__xludf.DUMMYFUNCTION("""COMPUTED_VALUE"""),TRUE)</f>
        <v>1</v>
      </c>
      <c r="H1731" s="4" t="b">
        <f>IFERROR(__xludf.DUMMYFUNCTION("""COMPUTED_VALUE"""),TRUE)</f>
        <v>1</v>
      </c>
      <c r="I1731" s="4">
        <f>IFERROR(__xludf.DUMMYFUNCTION("""COMPUTED_VALUE"""),0.2549440625)</f>
        <v>0.2549440625</v>
      </c>
      <c r="J1731" s="4">
        <f>IFERROR(__xludf.DUMMYFUNCTION("""COMPUTED_VALUE"""),45949.27453716939)</f>
        <v>45949.27454</v>
      </c>
      <c r="K1731" s="4" t="str">
        <f>IFERROR(__xludf.DUMMYFUNCTION("""COMPUTED_VALUE"""),"")</f>
        <v/>
      </c>
      <c r="L1731" s="4">
        <f>IFERROR(__xludf.DUMMYFUNCTION("""COMPUTED_VALUE"""),45949.28664739882)</f>
        <v>45949.28665</v>
      </c>
      <c r="M1731" s="1" t="str">
        <f>IFERROR(__xludf.DUMMYFUNCTION("""COMPUTED_VALUE"""),"RFID")</f>
        <v>RFID</v>
      </c>
      <c r="N1731" s="5">
        <f>IFERROR(__xludf.DUMMYFUNCTION("""COMPUTED_VALUE"""),0.00783724074074074)</f>
        <v>0.007837240741</v>
      </c>
      <c r="O1731" s="5" t="str">
        <f>IFERROR(__xludf.DUMMYFUNCTION("""COMPUTED_VALUE"""),"")</f>
        <v/>
      </c>
      <c r="P1731" s="5" t="str">
        <f>IFERROR(__xludf.DUMMYFUNCTION("""COMPUTED_VALUE"""),"")</f>
        <v/>
      </c>
      <c r="Q1731" s="5">
        <f>IFERROR(__xludf.DUMMYFUNCTION("""COMPUTED_VALUE"""),0.006340666666666666)</f>
        <v>0.006340666667</v>
      </c>
      <c r="R1731" s="4">
        <f>IFERROR(__xludf.DUMMYFUNCTION("""COMPUTED_VALUE"""),45949.03170333632)</f>
        <v>45949.0317</v>
      </c>
      <c r="S1731" s="1" t="b">
        <f>IFERROR(__xludf.DUMMYFUNCTION("""COMPUTED_VALUE"""),TRUE)</f>
        <v>1</v>
      </c>
      <c r="T1731" s="1" t="b">
        <f>IFERROR(__xludf.DUMMYFUNCTION("""COMPUTED_VALUE"""),FALSE)</f>
        <v>0</v>
      </c>
      <c r="U1731" s="1" t="str">
        <f>IFERROR(__xludf.DUMMYFUNCTION("""COMPUTED_VALUE"""),"VALID")</f>
        <v>VALID</v>
      </c>
      <c r="V1731" s="1">
        <f>IFERROR(__xludf.DUMMYFUNCTION("""COMPUTED_VALUE"""),440.0)</f>
        <v>440</v>
      </c>
      <c r="W1731" s="1">
        <f>IFERROR(__xludf.DUMMYFUNCTION("""COMPUTED_VALUE"""),679.0)</f>
        <v>679</v>
      </c>
      <c r="X1731" s="1">
        <f>IFERROR(__xludf.DUMMYFUNCTION("""COMPUTED_VALUE"""),568.0)</f>
        <v>568</v>
      </c>
      <c r="Y1731" s="2"/>
      <c r="Z1731" s="2"/>
    </row>
    <row r="1732">
      <c r="A1732" s="1">
        <f>IFERROR(__xludf.DUMMYFUNCTION("""COMPUTED_VALUE"""),1731.0)</f>
        <v>1731</v>
      </c>
      <c r="B1732" s="1">
        <f>IFERROR(__xludf.DUMMYFUNCTION("""COMPUTED_VALUE"""),5134.0)</f>
        <v>5134</v>
      </c>
      <c r="C1732" s="2" t="str">
        <f>IFERROR(__xludf.DUMMYFUNCTION("""COMPUTED_VALUE"""),"ranggadrecht")</f>
        <v>ranggadrecht</v>
      </c>
      <c r="D1732" s="2" t="str">
        <f>IFERROR(__xludf.DUMMYFUNCTION("""COMPUTED_VALUE"""),"5KM OVERALL M")</f>
        <v>5KM OVERALL M</v>
      </c>
      <c r="E1732" s="1">
        <f>IFERROR(__xludf.DUMMYFUNCTION("""COMPUTED_VALUE"""),2.0)</f>
        <v>2</v>
      </c>
      <c r="F1732" s="1" t="str">
        <f>IFERROR(__xludf.DUMMYFUNCTION("""COMPUTED_VALUE"""),"Male")</f>
        <v>Male</v>
      </c>
      <c r="G1732" s="4" t="b">
        <f>IFERROR(__xludf.DUMMYFUNCTION("""COMPUTED_VALUE"""),TRUE)</f>
        <v>1</v>
      </c>
      <c r="H1732" s="4" t="b">
        <f>IFERROR(__xludf.DUMMYFUNCTION("""COMPUTED_VALUE"""),FALSE)</f>
        <v>0</v>
      </c>
      <c r="I1732" s="4">
        <f>IFERROR(__xludf.DUMMYFUNCTION("""COMPUTED_VALUE"""),0.2549440625)</f>
        <v>0.2549440625</v>
      </c>
      <c r="J1732" s="4">
        <f>IFERROR(__xludf.DUMMYFUNCTION("""COMPUTED_VALUE"""),45949.27032184178)</f>
        <v>45949.27032</v>
      </c>
      <c r="K1732" s="4" t="str">
        <f>IFERROR(__xludf.DUMMYFUNCTION("""COMPUTED_VALUE"""),"")</f>
        <v/>
      </c>
      <c r="L1732" s="4">
        <f>IFERROR(__xludf.DUMMYFUNCTION("""COMPUTED_VALUE"""),45949.28070643146)</f>
        <v>45949.28071</v>
      </c>
      <c r="M1732" s="1" t="str">
        <f>IFERROR(__xludf.DUMMYFUNCTION("""COMPUTED_VALUE"""),"RFID")</f>
        <v>RFID</v>
      </c>
      <c r="N1732" s="5">
        <f>IFERROR(__xludf.DUMMYFUNCTION("""COMPUTED_VALUE"""),0.0061511111111111115)</f>
        <v>0.006151111111</v>
      </c>
      <c r="O1732" s="5" t="str">
        <f>IFERROR(__xludf.DUMMYFUNCTION("""COMPUTED_VALUE"""),"")</f>
        <v/>
      </c>
      <c r="P1732" s="5" t="str">
        <f>IFERROR(__xludf.DUMMYFUNCTION("""COMPUTED_VALUE"""),"")</f>
        <v/>
      </c>
      <c r="Q1732" s="5">
        <f>IFERROR(__xludf.DUMMYFUNCTION("""COMPUTED_VALUE"""),0.005152474537037038)</f>
        <v>0.005152474537</v>
      </c>
      <c r="R1732" s="4">
        <f>IFERROR(__xludf.DUMMYFUNCTION("""COMPUTED_VALUE"""),45949.02576236896)</f>
        <v>45949.02576</v>
      </c>
      <c r="S1732" s="1" t="b">
        <f>IFERROR(__xludf.DUMMYFUNCTION("""COMPUTED_VALUE"""),TRUE)</f>
        <v>1</v>
      </c>
      <c r="T1732" s="1" t="b">
        <f>IFERROR(__xludf.DUMMYFUNCTION("""COMPUTED_VALUE"""),FALSE)</f>
        <v>0</v>
      </c>
      <c r="U1732" s="1" t="str">
        <f>IFERROR(__xludf.DUMMYFUNCTION("""COMPUTED_VALUE"""),"VALID")</f>
        <v>VALID</v>
      </c>
      <c r="V1732" s="1">
        <f>IFERROR(__xludf.DUMMYFUNCTION("""COMPUTED_VALUE"""),210.0)</f>
        <v>210</v>
      </c>
      <c r="W1732" s="1">
        <f>IFERROR(__xludf.DUMMYFUNCTION("""COMPUTED_VALUE"""),326.0)</f>
        <v>326</v>
      </c>
      <c r="X1732" s="1">
        <f>IFERROR(__xludf.DUMMYFUNCTION("""COMPUTED_VALUE"""),285.0)</f>
        <v>285</v>
      </c>
      <c r="Y1732" s="2"/>
      <c r="Z1732" s="2"/>
    </row>
    <row r="1733">
      <c r="A1733" s="1">
        <f>IFERROR(__xludf.DUMMYFUNCTION("""COMPUTED_VALUE"""),1732.0)</f>
        <v>1732</v>
      </c>
      <c r="B1733" s="1">
        <f>IFERROR(__xludf.DUMMYFUNCTION("""COMPUTED_VALUE"""),5135.0)</f>
        <v>5135</v>
      </c>
      <c r="C1733" s="2" t="str">
        <f>IFERROR(__xludf.DUMMYFUNCTION("""COMPUTED_VALUE"""),"aci")</f>
        <v>aci</v>
      </c>
      <c r="D1733" s="2" t="str">
        <f>IFERROR(__xludf.DUMMYFUNCTION("""COMPUTED_VALUE"""),"5KM OVERALL M")</f>
        <v>5KM OVERALL M</v>
      </c>
      <c r="E1733" s="1">
        <f>IFERROR(__xludf.DUMMYFUNCTION("""COMPUTED_VALUE"""),2.0)</f>
        <v>2</v>
      </c>
      <c r="F1733" s="1" t="str">
        <f>IFERROR(__xludf.DUMMYFUNCTION("""COMPUTED_VALUE"""),"Male")</f>
        <v>Male</v>
      </c>
      <c r="G1733" s="4" t="b">
        <f>IFERROR(__xludf.DUMMYFUNCTION("""COMPUTED_VALUE"""),TRUE)</f>
        <v>1</v>
      </c>
      <c r="H1733" s="4" t="b">
        <f>IFERROR(__xludf.DUMMYFUNCTION("""COMPUTED_VALUE"""),TRUE)</f>
        <v>1</v>
      </c>
      <c r="I1733" s="4">
        <f>IFERROR(__xludf.DUMMYFUNCTION("""COMPUTED_VALUE"""),0.2549440625)</f>
        <v>0.2549440625</v>
      </c>
      <c r="J1733" s="4">
        <f>IFERROR(__xludf.DUMMYFUNCTION("""COMPUTED_VALUE"""),45949.268832240086)</f>
        <v>45949.26883</v>
      </c>
      <c r="K1733" s="4" t="str">
        <f>IFERROR(__xludf.DUMMYFUNCTION("""COMPUTED_VALUE"""),"")</f>
        <v/>
      </c>
      <c r="L1733" s="4">
        <f>IFERROR(__xludf.DUMMYFUNCTION("""COMPUTED_VALUE"""),45949.28039740813)</f>
        <v>45949.2804</v>
      </c>
      <c r="M1733" s="1" t="str">
        <f>IFERROR(__xludf.DUMMYFUNCTION("""COMPUTED_VALUE"""),"RFID")</f>
        <v>RFID</v>
      </c>
      <c r="N1733" s="5">
        <f>IFERROR(__xludf.DUMMYFUNCTION("""COMPUTED_VALUE"""),0.005555273148148149)</f>
        <v>0.005555273148</v>
      </c>
      <c r="O1733" s="5" t="str">
        <f>IFERROR(__xludf.DUMMYFUNCTION("""COMPUTED_VALUE"""),"")</f>
        <v/>
      </c>
      <c r="P1733" s="5" t="str">
        <f>IFERROR(__xludf.DUMMYFUNCTION("""COMPUTED_VALUE"""),"")</f>
        <v/>
      </c>
      <c r="Q1733" s="5">
        <f>IFERROR(__xludf.DUMMYFUNCTION("""COMPUTED_VALUE"""),0.005090668981481481)</f>
        <v>0.005090668981</v>
      </c>
      <c r="R1733" s="4">
        <f>IFERROR(__xludf.DUMMYFUNCTION("""COMPUTED_VALUE"""),45949.02545334563)</f>
        <v>45949.02545</v>
      </c>
      <c r="S1733" s="1" t="b">
        <f>IFERROR(__xludf.DUMMYFUNCTION("""COMPUTED_VALUE"""),TRUE)</f>
        <v>1</v>
      </c>
      <c r="T1733" s="1" t="b">
        <f>IFERROR(__xludf.DUMMYFUNCTION("""COMPUTED_VALUE"""),FALSE)</f>
        <v>0</v>
      </c>
      <c r="U1733" s="1" t="str">
        <f>IFERROR(__xludf.DUMMYFUNCTION("""COMPUTED_VALUE"""),"VALID")</f>
        <v>VALID</v>
      </c>
      <c r="V1733" s="1">
        <f>IFERROR(__xludf.DUMMYFUNCTION("""COMPUTED_VALUE"""),199.0)</f>
        <v>199</v>
      </c>
      <c r="W1733" s="1">
        <f>IFERROR(__xludf.DUMMYFUNCTION("""COMPUTED_VALUE"""),310.0)</f>
        <v>310</v>
      </c>
      <c r="X1733" s="1">
        <f>IFERROR(__xludf.DUMMYFUNCTION("""COMPUTED_VALUE"""),272.0)</f>
        <v>272</v>
      </c>
      <c r="Y1733" s="2"/>
      <c r="Z1733" s="2"/>
    </row>
    <row r="1734">
      <c r="A1734" s="1">
        <f>IFERROR(__xludf.DUMMYFUNCTION("""COMPUTED_VALUE"""),1733.0)</f>
        <v>1733</v>
      </c>
      <c r="B1734" s="1">
        <f>IFERROR(__xludf.DUMMYFUNCTION("""COMPUTED_VALUE"""),5137.0)</f>
        <v>5137</v>
      </c>
      <c r="C1734" s="2" t="str">
        <f>IFERROR(__xludf.DUMMYFUNCTION("""COMPUTED_VALUE"""),"Yahya")</f>
        <v>Yahya</v>
      </c>
      <c r="D1734" s="2" t="str">
        <f>IFERROR(__xludf.DUMMYFUNCTION("""COMPUTED_VALUE"""),"5KM OVERALL M")</f>
        <v>5KM OVERALL M</v>
      </c>
      <c r="E1734" s="1">
        <f>IFERROR(__xludf.DUMMYFUNCTION("""COMPUTED_VALUE"""),2.0)</f>
        <v>2</v>
      </c>
      <c r="F1734" s="1" t="str">
        <f>IFERROR(__xludf.DUMMYFUNCTION("""COMPUTED_VALUE"""),"Male")</f>
        <v>Male</v>
      </c>
      <c r="G1734" s="4" t="b">
        <f>IFERROR(__xludf.DUMMYFUNCTION("""COMPUTED_VALUE"""),TRUE)</f>
        <v>1</v>
      </c>
      <c r="H1734" s="4" t="b">
        <f>IFERROR(__xludf.DUMMYFUNCTION("""COMPUTED_VALUE"""),FALSE)</f>
        <v>0</v>
      </c>
      <c r="I1734" s="4">
        <f>IFERROR(__xludf.DUMMYFUNCTION("""COMPUTED_VALUE"""),0.2549440625)</f>
        <v>0.2549440625</v>
      </c>
      <c r="J1734" s="4">
        <f>IFERROR(__xludf.DUMMYFUNCTION("""COMPUTED_VALUE"""),45949.27950602039)</f>
        <v>45949.27951</v>
      </c>
      <c r="K1734" s="4" t="str">
        <f>IFERROR(__xludf.DUMMYFUNCTION("""COMPUTED_VALUE"""),"")</f>
        <v/>
      </c>
      <c r="L1734" s="4">
        <f>IFERROR(__xludf.DUMMYFUNCTION("""COMPUTED_VALUE"""),45949.29670295796)</f>
        <v>45949.2967</v>
      </c>
      <c r="M1734" s="1" t="str">
        <f>IFERROR(__xludf.DUMMYFUNCTION("""COMPUTED_VALUE"""),"RFID")</f>
        <v>RFID</v>
      </c>
      <c r="N1734" s="5">
        <f>IFERROR(__xludf.DUMMYFUNCTION("""COMPUTED_VALUE"""),0.009824782407407407)</f>
        <v>0.009824782407</v>
      </c>
      <c r="O1734" s="5" t="str">
        <f>IFERROR(__xludf.DUMMYFUNCTION("""COMPUTED_VALUE"""),"")</f>
        <v/>
      </c>
      <c r="P1734" s="5" t="str">
        <f>IFERROR(__xludf.DUMMYFUNCTION("""COMPUTED_VALUE"""),"")</f>
        <v/>
      </c>
      <c r="Q1734" s="5">
        <f>IFERROR(__xludf.DUMMYFUNCTION("""COMPUTED_VALUE"""),0.008351780092592593)</f>
        <v>0.008351780093</v>
      </c>
      <c r="R1734" s="4">
        <f>IFERROR(__xludf.DUMMYFUNCTION("""COMPUTED_VALUE"""),45949.04175889546)</f>
        <v>45949.04176</v>
      </c>
      <c r="S1734" s="1" t="b">
        <f>IFERROR(__xludf.DUMMYFUNCTION("""COMPUTED_VALUE"""),TRUE)</f>
        <v>1</v>
      </c>
      <c r="T1734" s="1" t="b">
        <f>IFERROR(__xludf.DUMMYFUNCTION("""COMPUTED_VALUE"""),FALSE)</f>
        <v>0</v>
      </c>
      <c r="U1734" s="1" t="str">
        <f>IFERROR(__xludf.DUMMYFUNCTION("""COMPUTED_VALUE"""),"VALID")</f>
        <v>VALID</v>
      </c>
      <c r="V1734" s="1">
        <f>IFERROR(__xludf.DUMMYFUNCTION("""COMPUTED_VALUE"""),753.0)</f>
        <v>753</v>
      </c>
      <c r="W1734" s="1">
        <f>IFERROR(__xludf.DUMMYFUNCTION("""COMPUTED_VALUE"""),1325.0)</f>
        <v>1325</v>
      </c>
      <c r="X1734" s="1">
        <f>IFERROR(__xludf.DUMMYFUNCTION("""COMPUTED_VALUE"""),1057.0)</f>
        <v>1057</v>
      </c>
      <c r="Y1734" s="2"/>
      <c r="Z1734" s="2"/>
    </row>
    <row r="1735">
      <c r="A1735" s="1">
        <f>IFERROR(__xludf.DUMMYFUNCTION("""COMPUTED_VALUE"""),1734.0)</f>
        <v>1734</v>
      </c>
      <c r="B1735" s="1">
        <f>IFERROR(__xludf.DUMMYFUNCTION("""COMPUTED_VALUE"""),5138.0)</f>
        <v>5138</v>
      </c>
      <c r="C1735" s="2" t="str">
        <f>IFERROR(__xludf.DUMMYFUNCTION("""COMPUTED_VALUE"""),"Djokopik")</f>
        <v>Djokopik</v>
      </c>
      <c r="D1735" s="2" t="str">
        <f>IFERROR(__xludf.DUMMYFUNCTION("""COMPUTED_VALUE"""),"5KM OVERALL M")</f>
        <v>5KM OVERALL M</v>
      </c>
      <c r="E1735" s="1">
        <f>IFERROR(__xludf.DUMMYFUNCTION("""COMPUTED_VALUE"""),2.0)</f>
        <v>2</v>
      </c>
      <c r="F1735" s="1" t="str">
        <f>IFERROR(__xludf.DUMMYFUNCTION("""COMPUTED_VALUE"""),"Male")</f>
        <v>Male</v>
      </c>
      <c r="G1735" s="4" t="b">
        <f>IFERROR(__xludf.DUMMYFUNCTION("""COMPUTED_VALUE"""),TRUE)</f>
        <v>1</v>
      </c>
      <c r="H1735" s="4" t="b">
        <f>IFERROR(__xludf.DUMMYFUNCTION("""COMPUTED_VALUE"""),TRUE)</f>
        <v>1</v>
      </c>
      <c r="I1735" s="4">
        <f>IFERROR(__xludf.DUMMYFUNCTION("""COMPUTED_VALUE"""),0.2549440625)</f>
        <v>0.2549440625</v>
      </c>
      <c r="J1735" s="4">
        <f>IFERROR(__xludf.DUMMYFUNCTION("""COMPUTED_VALUE"""),45949.27956146719)</f>
        <v>45949.27956</v>
      </c>
      <c r="K1735" s="4" t="str">
        <f>IFERROR(__xludf.DUMMYFUNCTION("""COMPUTED_VALUE"""),"")</f>
        <v/>
      </c>
      <c r="L1735" s="4">
        <f>IFERROR(__xludf.DUMMYFUNCTION("""COMPUTED_VALUE"""),45949.29516476133)</f>
        <v>45949.29516</v>
      </c>
      <c r="M1735" s="1" t="str">
        <f>IFERROR(__xludf.DUMMYFUNCTION("""COMPUTED_VALUE"""),"RFID")</f>
        <v>RFID</v>
      </c>
      <c r="N1735" s="5">
        <f>IFERROR(__xludf.DUMMYFUNCTION("""COMPUTED_VALUE"""),0.009846962962962964)</f>
        <v>0.009846962963</v>
      </c>
      <c r="O1735" s="5" t="str">
        <f>IFERROR(__xludf.DUMMYFUNCTION("""COMPUTED_VALUE"""),"")</f>
        <v/>
      </c>
      <c r="P1735" s="5" t="str">
        <f>IFERROR(__xludf.DUMMYFUNCTION("""COMPUTED_VALUE"""),"")</f>
        <v/>
      </c>
      <c r="Q1735" s="5">
        <f>IFERROR(__xludf.DUMMYFUNCTION("""COMPUTED_VALUE"""),0.008044138888888889)</f>
        <v>0.008044138889</v>
      </c>
      <c r="R1735" s="4">
        <f>IFERROR(__xludf.DUMMYFUNCTION("""COMPUTED_VALUE"""),45949.04022069883)</f>
        <v>45949.04022</v>
      </c>
      <c r="S1735" s="1" t="b">
        <f>IFERROR(__xludf.DUMMYFUNCTION("""COMPUTED_VALUE"""),TRUE)</f>
        <v>1</v>
      </c>
      <c r="T1735" s="1" t="b">
        <f>IFERROR(__xludf.DUMMYFUNCTION("""COMPUTED_VALUE"""),FALSE)</f>
        <v>0</v>
      </c>
      <c r="U1735" s="1" t="str">
        <f>IFERROR(__xludf.DUMMYFUNCTION("""COMPUTED_VALUE"""),"VALID")</f>
        <v>VALID</v>
      </c>
      <c r="V1735" s="1">
        <f>IFERROR(__xludf.DUMMYFUNCTION("""COMPUTED_VALUE"""),717.0)</f>
        <v>717</v>
      </c>
      <c r="W1735" s="1">
        <f>IFERROR(__xludf.DUMMYFUNCTION("""COMPUTED_VALUE"""),1253.0)</f>
        <v>1253</v>
      </c>
      <c r="X1735" s="1">
        <f>IFERROR(__xludf.DUMMYFUNCTION("""COMPUTED_VALUE"""),987.0)</f>
        <v>987</v>
      </c>
      <c r="Y1735" s="2"/>
      <c r="Z1735" s="2"/>
    </row>
    <row r="1736">
      <c r="A1736" s="1">
        <f>IFERROR(__xludf.DUMMYFUNCTION("""COMPUTED_VALUE"""),1735.0)</f>
        <v>1735</v>
      </c>
      <c r="B1736" s="1">
        <f>IFERROR(__xludf.DUMMYFUNCTION("""COMPUTED_VALUE"""),5139.0)</f>
        <v>5139</v>
      </c>
      <c r="C1736" s="2" t="str">
        <f>IFERROR(__xludf.DUMMYFUNCTION("""COMPUTED_VALUE"""),"griya ramadan")</f>
        <v>griya ramadan</v>
      </c>
      <c r="D1736" s="2" t="str">
        <f>IFERROR(__xludf.DUMMYFUNCTION("""COMPUTED_VALUE"""),"5KM OVERALL M")</f>
        <v>5KM OVERALL M</v>
      </c>
      <c r="E1736" s="1">
        <f>IFERROR(__xludf.DUMMYFUNCTION("""COMPUTED_VALUE"""),2.0)</f>
        <v>2</v>
      </c>
      <c r="F1736" s="1" t="str">
        <f>IFERROR(__xludf.DUMMYFUNCTION("""COMPUTED_VALUE"""),"Male")</f>
        <v>Male</v>
      </c>
      <c r="G1736" s="4" t="str">
        <f>IFERROR(__xludf.DUMMYFUNCTION("""COMPUTED_VALUE"""),"")</f>
        <v/>
      </c>
      <c r="H1736" s="4" t="b">
        <f>IFERROR(__xludf.DUMMYFUNCTION("""COMPUTED_VALUE"""),FALSE)</f>
        <v>0</v>
      </c>
      <c r="I1736" s="4">
        <f>IFERROR(__xludf.DUMMYFUNCTION("""COMPUTED_VALUE"""),0.2549440625)</f>
        <v>0.2549440625</v>
      </c>
      <c r="J1736" s="4" t="str">
        <f>IFERROR(__xludf.DUMMYFUNCTION("""COMPUTED_VALUE"""),"")</f>
        <v/>
      </c>
      <c r="K1736" s="4" t="str">
        <f>IFERROR(__xludf.DUMMYFUNCTION("""COMPUTED_VALUE"""),"")</f>
        <v/>
      </c>
      <c r="L1736" s="4" t="str">
        <f>IFERROR(__xludf.DUMMYFUNCTION("""COMPUTED_VALUE"""),"")</f>
        <v/>
      </c>
      <c r="M1736" s="1" t="str">
        <f>IFERROR(__xludf.DUMMYFUNCTION("""COMPUTED_VALUE"""),"RFID")</f>
        <v>RFID</v>
      </c>
      <c r="N1736" s="5" t="str">
        <f>IFERROR(__xludf.DUMMYFUNCTION("""COMPUTED_VALUE"""),"")</f>
        <v/>
      </c>
      <c r="O1736" s="5" t="str">
        <f>IFERROR(__xludf.DUMMYFUNCTION("""COMPUTED_VALUE"""),"")</f>
        <v/>
      </c>
      <c r="P1736" s="5" t="str">
        <f>IFERROR(__xludf.DUMMYFUNCTION("""COMPUTED_VALUE"""),"")</f>
        <v/>
      </c>
      <c r="Q1736" s="5" t="str">
        <f>IFERROR(__xludf.DUMMYFUNCTION("""COMPUTED_VALUE"""),"")</f>
        <v/>
      </c>
      <c r="R1736" s="4" t="str">
        <f>IFERROR(__xludf.DUMMYFUNCTION("""COMPUTED_VALUE"""),"")</f>
        <v/>
      </c>
      <c r="S1736" s="1" t="b">
        <f>IFERROR(__xludf.DUMMYFUNCTION("""COMPUTED_VALUE"""),FALSE)</f>
        <v>0</v>
      </c>
      <c r="T1736" s="1" t="b">
        <f>IFERROR(__xludf.DUMMYFUNCTION("""COMPUTED_VALUE"""),FALSE)</f>
        <v>0</v>
      </c>
      <c r="U1736" s="1" t="str">
        <f>IFERROR(__xludf.DUMMYFUNCTION("""COMPUTED_VALUE"""),"DSQ")</f>
        <v>DSQ</v>
      </c>
      <c r="V1736" s="1" t="str">
        <f>IFERROR(__xludf.DUMMYFUNCTION("""COMPUTED_VALUE"""),"DSQ")</f>
        <v>DSQ</v>
      </c>
      <c r="W1736" s="1" t="str">
        <f>IFERROR(__xludf.DUMMYFUNCTION("""COMPUTED_VALUE"""),"DSQ")</f>
        <v>DSQ</v>
      </c>
      <c r="X1736" s="1" t="str">
        <f>IFERROR(__xludf.DUMMYFUNCTION("""COMPUTED_VALUE"""),"DSQ")</f>
        <v>DSQ</v>
      </c>
      <c r="Y1736" s="2"/>
      <c r="Z1736" s="2" t="str">
        <f>IFERROR(__xludf.DUMMYFUNCTION("""COMPUTED_VALUE"""),"")</f>
        <v/>
      </c>
    </row>
    <row r="1737">
      <c r="A1737" s="1">
        <f>IFERROR(__xludf.DUMMYFUNCTION("""COMPUTED_VALUE"""),1736.0)</f>
        <v>1736</v>
      </c>
      <c r="B1737" s="1">
        <f>IFERROR(__xludf.DUMMYFUNCTION("""COMPUTED_VALUE"""),5140.0)</f>
        <v>5140</v>
      </c>
      <c r="C1737" s="2" t="str">
        <f>IFERROR(__xludf.DUMMYFUNCTION("""COMPUTED_VALUE"""),"ehen")</f>
        <v>ehen</v>
      </c>
      <c r="D1737" s="2" t="str">
        <f>IFERROR(__xludf.DUMMYFUNCTION("""COMPUTED_VALUE"""),"5KM OVERALL M")</f>
        <v>5KM OVERALL M</v>
      </c>
      <c r="E1737" s="1">
        <f>IFERROR(__xludf.DUMMYFUNCTION("""COMPUTED_VALUE"""),2.0)</f>
        <v>2</v>
      </c>
      <c r="F1737" s="1" t="str">
        <f>IFERROR(__xludf.DUMMYFUNCTION("""COMPUTED_VALUE"""),"Male")</f>
        <v>Male</v>
      </c>
      <c r="G1737" s="4" t="b">
        <f>IFERROR(__xludf.DUMMYFUNCTION("""COMPUTED_VALUE"""),TRUE)</f>
        <v>1</v>
      </c>
      <c r="H1737" s="4" t="b">
        <f>IFERROR(__xludf.DUMMYFUNCTION("""COMPUTED_VALUE"""),TRUE)</f>
        <v>1</v>
      </c>
      <c r="I1737" s="4">
        <f>IFERROR(__xludf.DUMMYFUNCTION("""COMPUTED_VALUE"""),0.2549440625)</f>
        <v>0.2549440625</v>
      </c>
      <c r="J1737" s="4">
        <f>IFERROR(__xludf.DUMMYFUNCTION("""COMPUTED_VALUE"""),45949.268221186554)</f>
        <v>45949.26822</v>
      </c>
      <c r="K1737" s="4" t="str">
        <f>IFERROR(__xludf.DUMMYFUNCTION("""COMPUTED_VALUE"""),"")</f>
        <v/>
      </c>
      <c r="L1737" s="4">
        <f>IFERROR(__xludf.DUMMYFUNCTION("""COMPUTED_VALUE"""),45949.27768211595)</f>
        <v>45949.27768</v>
      </c>
      <c r="M1737" s="1" t="str">
        <f>IFERROR(__xludf.DUMMYFUNCTION("""COMPUTED_VALUE"""),"RFID")</f>
        <v>RFID</v>
      </c>
      <c r="N1737" s="5">
        <f>IFERROR(__xludf.DUMMYFUNCTION("""COMPUTED_VALUE"""),0.005310851851851852)</f>
        <v>0.005310851852</v>
      </c>
      <c r="O1737" s="5" t="str">
        <f>IFERROR(__xludf.DUMMYFUNCTION("""COMPUTED_VALUE"""),"")</f>
        <v/>
      </c>
      <c r="P1737" s="5" t="str">
        <f>IFERROR(__xludf.DUMMYFUNCTION("""COMPUTED_VALUE"""),"")</f>
        <v/>
      </c>
      <c r="Q1737" s="5">
        <f>IFERROR(__xludf.DUMMYFUNCTION("""COMPUTED_VALUE"""),0.004547611111111112)</f>
        <v>0.004547611111</v>
      </c>
      <c r="R1737" s="4">
        <f>IFERROR(__xludf.DUMMYFUNCTION("""COMPUTED_VALUE"""),45949.02273805345)</f>
        <v>45949.02274</v>
      </c>
      <c r="S1737" s="1" t="b">
        <f>IFERROR(__xludf.DUMMYFUNCTION("""COMPUTED_VALUE"""),TRUE)</f>
        <v>1</v>
      </c>
      <c r="T1737" s="1" t="b">
        <f>IFERROR(__xludf.DUMMYFUNCTION("""COMPUTED_VALUE"""),FALSE)</f>
        <v>0</v>
      </c>
      <c r="U1737" s="1" t="str">
        <f>IFERROR(__xludf.DUMMYFUNCTION("""COMPUTED_VALUE"""),"VALID")</f>
        <v>VALID</v>
      </c>
      <c r="V1737" s="1">
        <f>IFERROR(__xludf.DUMMYFUNCTION("""COMPUTED_VALUE"""),128.0)</f>
        <v>128</v>
      </c>
      <c r="W1737" s="1">
        <f>IFERROR(__xludf.DUMMYFUNCTION("""COMPUTED_VALUE"""),198.0)</f>
        <v>198</v>
      </c>
      <c r="X1737" s="1">
        <f>IFERROR(__xludf.DUMMYFUNCTION("""COMPUTED_VALUE"""),173.0)</f>
        <v>173</v>
      </c>
      <c r="Y1737" s="2"/>
      <c r="Z1737" s="2"/>
    </row>
    <row r="1738">
      <c r="A1738" s="1">
        <f>IFERROR(__xludf.DUMMYFUNCTION("""COMPUTED_VALUE"""),1737.0)</f>
        <v>1737</v>
      </c>
      <c r="B1738" s="1">
        <f>IFERROR(__xludf.DUMMYFUNCTION("""COMPUTED_VALUE"""),5142.0)</f>
        <v>5142</v>
      </c>
      <c r="C1738" s="2" t="str">
        <f>IFERROR(__xludf.DUMMYFUNCTION("""COMPUTED_VALUE"""),"Muhammad Ade")</f>
        <v>Muhammad Ade</v>
      </c>
      <c r="D1738" s="2" t="str">
        <f>IFERROR(__xludf.DUMMYFUNCTION("""COMPUTED_VALUE"""),"5KM OVERALL M")</f>
        <v>5KM OVERALL M</v>
      </c>
      <c r="E1738" s="1">
        <f>IFERROR(__xludf.DUMMYFUNCTION("""COMPUTED_VALUE"""),2.0)</f>
        <v>2</v>
      </c>
      <c r="F1738" s="1" t="str">
        <f>IFERROR(__xludf.DUMMYFUNCTION("""COMPUTED_VALUE"""),"Male")</f>
        <v>Male</v>
      </c>
      <c r="G1738" s="4" t="b">
        <f>IFERROR(__xludf.DUMMYFUNCTION("""COMPUTED_VALUE"""),TRUE)</f>
        <v>1</v>
      </c>
      <c r="H1738" s="4" t="b">
        <f>IFERROR(__xludf.DUMMYFUNCTION("""COMPUTED_VALUE"""),FALSE)</f>
        <v>0</v>
      </c>
      <c r="I1738" s="4">
        <f>IFERROR(__xludf.DUMMYFUNCTION("""COMPUTED_VALUE"""),0.2549440625)</f>
        <v>0.2549440625</v>
      </c>
      <c r="J1738" s="4">
        <f>IFERROR(__xludf.DUMMYFUNCTION("""COMPUTED_VALUE"""),45949.26716216781)</f>
        <v>45949.26716</v>
      </c>
      <c r="K1738" s="4" t="str">
        <f>IFERROR(__xludf.DUMMYFUNCTION("""COMPUTED_VALUE"""),"")</f>
        <v/>
      </c>
      <c r="L1738" s="4">
        <f>IFERROR(__xludf.DUMMYFUNCTION("""COMPUTED_VALUE"""),45949.27734183552)</f>
        <v>45949.27734</v>
      </c>
      <c r="M1738" s="1" t="str">
        <f>IFERROR(__xludf.DUMMYFUNCTION("""COMPUTED_VALUE"""),"RFID")</f>
        <v>RFID</v>
      </c>
      <c r="N1738" s="5">
        <f>IFERROR(__xludf.DUMMYFUNCTION("""COMPUTED_VALUE"""),0.004887240740740741)</f>
        <v>0.004887240741</v>
      </c>
      <c r="O1738" s="5" t="str">
        <f>IFERROR(__xludf.DUMMYFUNCTION("""COMPUTED_VALUE"""),"")</f>
        <v/>
      </c>
      <c r="P1738" s="5" t="str">
        <f>IFERROR(__xludf.DUMMYFUNCTION("""COMPUTED_VALUE"""),"")</f>
        <v/>
      </c>
      <c r="Q1738" s="5">
        <f>IFERROR(__xludf.DUMMYFUNCTION("""COMPUTED_VALUE"""),0.004479555555555555)</f>
        <v>0.004479555556</v>
      </c>
      <c r="R1738" s="4">
        <f>IFERROR(__xludf.DUMMYFUNCTION("""COMPUTED_VALUE"""),45949.02239777302)</f>
        <v>45949.0224</v>
      </c>
      <c r="S1738" s="1" t="b">
        <f>IFERROR(__xludf.DUMMYFUNCTION("""COMPUTED_VALUE"""),TRUE)</f>
        <v>1</v>
      </c>
      <c r="T1738" s="1" t="b">
        <f>IFERROR(__xludf.DUMMYFUNCTION("""COMPUTED_VALUE"""),FALSE)</f>
        <v>0</v>
      </c>
      <c r="U1738" s="1" t="str">
        <f>IFERROR(__xludf.DUMMYFUNCTION("""COMPUTED_VALUE"""),"VALID")</f>
        <v>VALID</v>
      </c>
      <c r="V1738" s="1">
        <f>IFERROR(__xludf.DUMMYFUNCTION("""COMPUTED_VALUE"""),121.0)</f>
        <v>121</v>
      </c>
      <c r="W1738" s="1">
        <f>IFERROR(__xludf.DUMMYFUNCTION("""COMPUTED_VALUE"""),184.0)</f>
        <v>184</v>
      </c>
      <c r="X1738" s="1">
        <f>IFERROR(__xludf.DUMMYFUNCTION("""COMPUTED_VALUE"""),163.0)</f>
        <v>163</v>
      </c>
      <c r="Y1738" s="2"/>
      <c r="Z1738" s="2"/>
    </row>
    <row r="1739">
      <c r="A1739" s="1">
        <f>IFERROR(__xludf.DUMMYFUNCTION("""COMPUTED_VALUE"""),1738.0)</f>
        <v>1738</v>
      </c>
      <c r="B1739" s="1">
        <f>IFERROR(__xludf.DUMMYFUNCTION("""COMPUTED_VALUE"""),5144.0)</f>
        <v>5144</v>
      </c>
      <c r="C1739" s="2" t="str">
        <f>IFERROR(__xludf.DUMMYFUNCTION("""COMPUTED_VALUE"""),"SATRIA")</f>
        <v>SATRIA</v>
      </c>
      <c r="D1739" s="2" t="str">
        <f>IFERROR(__xludf.DUMMYFUNCTION("""COMPUTED_VALUE"""),"5KM OVERALL M")</f>
        <v>5KM OVERALL M</v>
      </c>
      <c r="E1739" s="1">
        <f>IFERROR(__xludf.DUMMYFUNCTION("""COMPUTED_VALUE"""),2.0)</f>
        <v>2</v>
      </c>
      <c r="F1739" s="1" t="str">
        <f>IFERROR(__xludf.DUMMYFUNCTION("""COMPUTED_VALUE"""),"Male")</f>
        <v>Male</v>
      </c>
      <c r="G1739" s="4" t="b">
        <f>IFERROR(__xludf.DUMMYFUNCTION("""COMPUTED_VALUE"""),TRUE)</f>
        <v>1</v>
      </c>
      <c r="H1739" s="4" t="b">
        <f>IFERROR(__xludf.DUMMYFUNCTION("""COMPUTED_VALUE"""),TRUE)</f>
        <v>1</v>
      </c>
      <c r="I1739" s="4">
        <f>IFERROR(__xludf.DUMMYFUNCTION("""COMPUTED_VALUE"""),0.2549440625)</f>
        <v>0.2549440625</v>
      </c>
      <c r="J1739" s="4">
        <f>IFERROR(__xludf.DUMMYFUNCTION("""COMPUTED_VALUE"""),45949.26500591294)</f>
        <v>45949.26501</v>
      </c>
      <c r="K1739" s="4" t="str">
        <f>IFERROR(__xludf.DUMMYFUNCTION("""COMPUTED_VALUE"""),"")</f>
        <v/>
      </c>
      <c r="L1739" s="4">
        <f>IFERROR(__xludf.DUMMYFUNCTION("""COMPUTED_VALUE"""),45949.27309530847)</f>
        <v>45949.2731</v>
      </c>
      <c r="M1739" s="1" t="str">
        <f>IFERROR(__xludf.DUMMYFUNCTION("""COMPUTED_VALUE"""),"RFID")</f>
        <v>RFID</v>
      </c>
      <c r="N1739" s="5">
        <f>IFERROR(__xludf.DUMMYFUNCTION("""COMPUTED_VALUE"""),0.004024740740740741)</f>
        <v>0.004024740741</v>
      </c>
      <c r="O1739" s="5" t="str">
        <f>IFERROR(__xludf.DUMMYFUNCTION("""COMPUTED_VALUE"""),"")</f>
        <v/>
      </c>
      <c r="P1739" s="5" t="str">
        <f>IFERROR(__xludf.DUMMYFUNCTION("""COMPUTED_VALUE"""),"")</f>
        <v/>
      </c>
      <c r="Q1739" s="5">
        <f>IFERROR(__xludf.DUMMYFUNCTION("""COMPUTED_VALUE"""),0.0036302500000000002)</f>
        <v>0.00363025</v>
      </c>
      <c r="R1739" s="4">
        <f>IFERROR(__xludf.DUMMYFUNCTION("""COMPUTED_VALUE"""),45949.01815124597)</f>
        <v>45949.01815</v>
      </c>
      <c r="S1739" s="1" t="b">
        <f>IFERROR(__xludf.DUMMYFUNCTION("""COMPUTED_VALUE"""),TRUE)</f>
        <v>1</v>
      </c>
      <c r="T1739" s="1" t="b">
        <f>IFERROR(__xludf.DUMMYFUNCTION("""COMPUTED_VALUE"""),FALSE)</f>
        <v>0</v>
      </c>
      <c r="U1739" s="1" t="str">
        <f>IFERROR(__xludf.DUMMYFUNCTION("""COMPUTED_VALUE"""),"VALID")</f>
        <v>VALID</v>
      </c>
      <c r="V1739" s="1">
        <f>IFERROR(__xludf.DUMMYFUNCTION("""COMPUTED_VALUE"""),37.0)</f>
        <v>37</v>
      </c>
      <c r="W1739" s="1">
        <f>IFERROR(__xludf.DUMMYFUNCTION("""COMPUTED_VALUE"""),57.0)</f>
        <v>57</v>
      </c>
      <c r="X1739" s="1">
        <f>IFERROR(__xludf.DUMMYFUNCTION("""COMPUTED_VALUE"""),54.0)</f>
        <v>54</v>
      </c>
      <c r="Y1739" s="2"/>
      <c r="Z1739" s="2"/>
    </row>
    <row r="1740">
      <c r="A1740" s="1">
        <f>IFERROR(__xludf.DUMMYFUNCTION("""COMPUTED_VALUE"""),1739.0)</f>
        <v>1739</v>
      </c>
      <c r="B1740" s="1">
        <f>IFERROR(__xludf.DUMMYFUNCTION("""COMPUTED_VALUE"""),5145.0)</f>
        <v>5145</v>
      </c>
      <c r="C1740" s="2" t="str">
        <f>IFERROR(__xludf.DUMMYFUNCTION("""COMPUTED_VALUE"""),"Hasan")</f>
        <v>Hasan</v>
      </c>
      <c r="D1740" s="2" t="str">
        <f>IFERROR(__xludf.DUMMYFUNCTION("""COMPUTED_VALUE"""),"5KM OVERALL M")</f>
        <v>5KM OVERALL M</v>
      </c>
      <c r="E1740" s="1">
        <f>IFERROR(__xludf.DUMMYFUNCTION("""COMPUTED_VALUE"""),2.0)</f>
        <v>2</v>
      </c>
      <c r="F1740" s="1" t="str">
        <f>IFERROR(__xludf.DUMMYFUNCTION("""COMPUTED_VALUE"""),"Male")</f>
        <v>Male</v>
      </c>
      <c r="G1740" s="4" t="b">
        <f>IFERROR(__xludf.DUMMYFUNCTION("""COMPUTED_VALUE"""),TRUE)</f>
        <v>1</v>
      </c>
      <c r="H1740" s="4" t="b">
        <f>IFERROR(__xludf.DUMMYFUNCTION("""COMPUTED_VALUE"""),TRUE)</f>
        <v>1</v>
      </c>
      <c r="I1740" s="4">
        <f>IFERROR(__xludf.DUMMYFUNCTION("""COMPUTED_VALUE"""),0.2549440625)</f>
        <v>0.2549440625</v>
      </c>
      <c r="J1740" s="4">
        <f>IFERROR(__xludf.DUMMYFUNCTION("""COMPUTED_VALUE"""),45949.265444000805)</f>
        <v>45949.26544</v>
      </c>
      <c r="K1740" s="4" t="str">
        <f>IFERROR(__xludf.DUMMYFUNCTION("""COMPUTED_VALUE"""),"")</f>
        <v/>
      </c>
      <c r="L1740" s="4">
        <f>IFERROR(__xludf.DUMMYFUNCTION("""COMPUTED_VALUE"""),45949.273157938565)</f>
        <v>45949.27316</v>
      </c>
      <c r="M1740" s="1" t="str">
        <f>IFERROR(__xludf.DUMMYFUNCTION("""COMPUTED_VALUE"""),"RFID")</f>
        <v>RFID</v>
      </c>
      <c r="N1740" s="5">
        <f>IFERROR(__xludf.DUMMYFUNCTION("""COMPUTED_VALUE"""),0.004199976851851852)</f>
        <v>0.004199976852</v>
      </c>
      <c r="O1740" s="5" t="str">
        <f>IFERROR(__xludf.DUMMYFUNCTION("""COMPUTED_VALUE"""),"")</f>
        <v/>
      </c>
      <c r="P1740" s="5" t="str">
        <f>IFERROR(__xludf.DUMMYFUNCTION("""COMPUTED_VALUE"""),"")</f>
        <v/>
      </c>
      <c r="Q1740" s="5">
        <f>IFERROR(__xludf.DUMMYFUNCTION("""COMPUTED_VALUE"""),0.003642775462962963)</f>
        <v>0.003642775463</v>
      </c>
      <c r="R1740" s="4">
        <f>IFERROR(__xludf.DUMMYFUNCTION("""COMPUTED_VALUE"""),45949.018213876065)</f>
        <v>45949.01821</v>
      </c>
      <c r="S1740" s="1" t="b">
        <f>IFERROR(__xludf.DUMMYFUNCTION("""COMPUTED_VALUE"""),TRUE)</f>
        <v>1</v>
      </c>
      <c r="T1740" s="1" t="b">
        <f>IFERROR(__xludf.DUMMYFUNCTION("""COMPUTED_VALUE"""),FALSE)</f>
        <v>0</v>
      </c>
      <c r="U1740" s="1" t="str">
        <f>IFERROR(__xludf.DUMMYFUNCTION("""COMPUTED_VALUE"""),"VALID")</f>
        <v>VALID</v>
      </c>
      <c r="V1740" s="1">
        <f>IFERROR(__xludf.DUMMYFUNCTION("""COMPUTED_VALUE"""),40.0)</f>
        <v>40</v>
      </c>
      <c r="W1740" s="1">
        <f>IFERROR(__xludf.DUMMYFUNCTION("""COMPUTED_VALUE"""),60.0)</f>
        <v>60</v>
      </c>
      <c r="X1740" s="1">
        <f>IFERROR(__xludf.DUMMYFUNCTION("""COMPUTED_VALUE"""),57.0)</f>
        <v>57</v>
      </c>
      <c r="Y1740" s="2"/>
      <c r="Z1740" s="2"/>
    </row>
    <row r="1741">
      <c r="A1741" s="1">
        <f>IFERROR(__xludf.DUMMYFUNCTION("""COMPUTED_VALUE"""),1740.0)</f>
        <v>1740</v>
      </c>
      <c r="B1741" s="1">
        <f>IFERROR(__xludf.DUMMYFUNCTION("""COMPUTED_VALUE"""),5146.0)</f>
        <v>5146</v>
      </c>
      <c r="C1741" s="2" t="str">
        <f>IFERROR(__xludf.DUMMYFUNCTION("""COMPUTED_VALUE"""),"mubarak")</f>
        <v>mubarak</v>
      </c>
      <c r="D1741" s="2" t="str">
        <f>IFERROR(__xludf.DUMMYFUNCTION("""COMPUTED_VALUE"""),"5KM OVERALL M")</f>
        <v>5KM OVERALL M</v>
      </c>
      <c r="E1741" s="1">
        <f>IFERROR(__xludf.DUMMYFUNCTION("""COMPUTED_VALUE"""),2.0)</f>
        <v>2</v>
      </c>
      <c r="F1741" s="1" t="str">
        <f>IFERROR(__xludf.DUMMYFUNCTION("""COMPUTED_VALUE"""),"Male")</f>
        <v>Male</v>
      </c>
      <c r="G1741" s="4" t="b">
        <f>IFERROR(__xludf.DUMMYFUNCTION("""COMPUTED_VALUE"""),TRUE)</f>
        <v>1</v>
      </c>
      <c r="H1741" s="4" t="b">
        <f>IFERROR(__xludf.DUMMYFUNCTION("""COMPUTED_VALUE"""),TRUE)</f>
        <v>1</v>
      </c>
      <c r="I1741" s="4">
        <f>IFERROR(__xludf.DUMMYFUNCTION("""COMPUTED_VALUE"""),0.2549440625)</f>
        <v>0.2549440625</v>
      </c>
      <c r="J1741" s="4">
        <f>IFERROR(__xludf.DUMMYFUNCTION("""COMPUTED_VALUE"""),45949.28112744022)</f>
        <v>45949.28113</v>
      </c>
      <c r="K1741" s="4" t="str">
        <f>IFERROR(__xludf.DUMMYFUNCTION("""COMPUTED_VALUE"""),"")</f>
        <v/>
      </c>
      <c r="L1741" s="4">
        <f>IFERROR(__xludf.DUMMYFUNCTION("""COMPUTED_VALUE"""),45949.30114739383)</f>
        <v>45949.30115</v>
      </c>
      <c r="M1741" s="1" t="str">
        <f>IFERROR(__xludf.DUMMYFUNCTION("""COMPUTED_VALUE"""),"RFID")</f>
        <v>RFID</v>
      </c>
      <c r="N1741" s="5">
        <f>IFERROR(__xludf.DUMMYFUNCTION("""COMPUTED_VALUE"""),0.010473351851851853)</f>
        <v>0.01047335185</v>
      </c>
      <c r="O1741" s="5" t="str">
        <f>IFERROR(__xludf.DUMMYFUNCTION("""COMPUTED_VALUE"""),"")</f>
        <v/>
      </c>
      <c r="P1741" s="5" t="str">
        <f>IFERROR(__xludf.DUMMYFUNCTION("""COMPUTED_VALUE"""),"")</f>
        <v/>
      </c>
      <c r="Q1741" s="5">
        <f>IFERROR(__xludf.DUMMYFUNCTION("""COMPUTED_VALUE"""),0.009240666666666666)</f>
        <v>0.009240666667</v>
      </c>
      <c r="R1741" s="4">
        <f>IFERROR(__xludf.DUMMYFUNCTION("""COMPUTED_VALUE"""),45949.04620333133)</f>
        <v>45949.0462</v>
      </c>
      <c r="S1741" s="1" t="b">
        <f>IFERROR(__xludf.DUMMYFUNCTION("""COMPUTED_VALUE"""),TRUE)</f>
        <v>1</v>
      </c>
      <c r="T1741" s="1" t="b">
        <f>IFERROR(__xludf.DUMMYFUNCTION("""COMPUTED_VALUE"""),FALSE)</f>
        <v>0</v>
      </c>
      <c r="U1741" s="1" t="str">
        <f>IFERROR(__xludf.DUMMYFUNCTION("""COMPUTED_VALUE"""),"VALID")</f>
        <v>VALID</v>
      </c>
      <c r="V1741" s="1">
        <f>IFERROR(__xludf.DUMMYFUNCTION("""COMPUTED_VALUE"""),811.0)</f>
        <v>811</v>
      </c>
      <c r="W1741" s="1">
        <f>IFERROR(__xludf.DUMMYFUNCTION("""COMPUTED_VALUE"""),1497.0)</f>
        <v>1497</v>
      </c>
      <c r="X1741" s="1">
        <f>IFERROR(__xludf.DUMMYFUNCTION("""COMPUTED_VALUE"""),1249.0)</f>
        <v>1249</v>
      </c>
      <c r="Y1741" s="2"/>
      <c r="Z1741" s="2"/>
    </row>
    <row r="1742">
      <c r="A1742" s="1">
        <f>IFERROR(__xludf.DUMMYFUNCTION("""COMPUTED_VALUE"""),1741.0)</f>
        <v>1741</v>
      </c>
      <c r="B1742" s="1">
        <f>IFERROR(__xludf.DUMMYFUNCTION("""COMPUTED_VALUE"""),5147.0)</f>
        <v>5147</v>
      </c>
      <c r="C1742" s="2" t="str">
        <f>IFERROR(__xludf.DUMMYFUNCTION("""COMPUTED_VALUE"""),"indra")</f>
        <v>indra</v>
      </c>
      <c r="D1742" s="2" t="str">
        <f>IFERROR(__xludf.DUMMYFUNCTION("""COMPUTED_VALUE"""),"5KM OVERALL M")</f>
        <v>5KM OVERALL M</v>
      </c>
      <c r="E1742" s="1">
        <f>IFERROR(__xludf.DUMMYFUNCTION("""COMPUTED_VALUE"""),2.0)</f>
        <v>2</v>
      </c>
      <c r="F1742" s="1" t="str">
        <f>IFERROR(__xludf.DUMMYFUNCTION("""COMPUTED_VALUE"""),"Male")</f>
        <v>Male</v>
      </c>
      <c r="G1742" s="4" t="str">
        <f>IFERROR(__xludf.DUMMYFUNCTION("""COMPUTED_VALUE"""),"")</f>
        <v/>
      </c>
      <c r="H1742" s="4" t="b">
        <f>IFERROR(__xludf.DUMMYFUNCTION("""COMPUTED_VALUE"""),FALSE)</f>
        <v>0</v>
      </c>
      <c r="I1742" s="4">
        <f>IFERROR(__xludf.DUMMYFUNCTION("""COMPUTED_VALUE"""),0.2549440625)</f>
        <v>0.2549440625</v>
      </c>
      <c r="J1742" s="4" t="str">
        <f>IFERROR(__xludf.DUMMYFUNCTION("""COMPUTED_VALUE"""),"")</f>
        <v/>
      </c>
      <c r="K1742" s="4" t="str">
        <f>IFERROR(__xludf.DUMMYFUNCTION("""COMPUTED_VALUE"""),"")</f>
        <v/>
      </c>
      <c r="L1742" s="4" t="str">
        <f>IFERROR(__xludf.DUMMYFUNCTION("""COMPUTED_VALUE"""),"")</f>
        <v/>
      </c>
      <c r="M1742" s="1" t="str">
        <f>IFERROR(__xludf.DUMMYFUNCTION("""COMPUTED_VALUE"""),"RFID")</f>
        <v>RFID</v>
      </c>
      <c r="N1742" s="5" t="str">
        <f>IFERROR(__xludf.DUMMYFUNCTION("""COMPUTED_VALUE"""),"")</f>
        <v/>
      </c>
      <c r="O1742" s="5" t="str">
        <f>IFERROR(__xludf.DUMMYFUNCTION("""COMPUTED_VALUE"""),"")</f>
        <v/>
      </c>
      <c r="P1742" s="5" t="str">
        <f>IFERROR(__xludf.DUMMYFUNCTION("""COMPUTED_VALUE"""),"")</f>
        <v/>
      </c>
      <c r="Q1742" s="5" t="str">
        <f>IFERROR(__xludf.DUMMYFUNCTION("""COMPUTED_VALUE"""),"")</f>
        <v/>
      </c>
      <c r="R1742" s="4" t="str">
        <f>IFERROR(__xludf.DUMMYFUNCTION("""COMPUTED_VALUE"""),"")</f>
        <v/>
      </c>
      <c r="S1742" s="1" t="b">
        <f>IFERROR(__xludf.DUMMYFUNCTION("""COMPUTED_VALUE"""),FALSE)</f>
        <v>0</v>
      </c>
      <c r="T1742" s="1" t="b">
        <f>IFERROR(__xludf.DUMMYFUNCTION("""COMPUTED_VALUE"""),FALSE)</f>
        <v>0</v>
      </c>
      <c r="U1742" s="1" t="str">
        <f>IFERROR(__xludf.DUMMYFUNCTION("""COMPUTED_VALUE"""),"DSQ")</f>
        <v>DSQ</v>
      </c>
      <c r="V1742" s="1" t="str">
        <f>IFERROR(__xludf.DUMMYFUNCTION("""COMPUTED_VALUE"""),"DSQ")</f>
        <v>DSQ</v>
      </c>
      <c r="W1742" s="1" t="str">
        <f>IFERROR(__xludf.DUMMYFUNCTION("""COMPUTED_VALUE"""),"DSQ")</f>
        <v>DSQ</v>
      </c>
      <c r="X1742" s="1" t="str">
        <f>IFERROR(__xludf.DUMMYFUNCTION("""COMPUTED_VALUE"""),"DSQ")</f>
        <v>DSQ</v>
      </c>
      <c r="Y1742" s="2"/>
      <c r="Z1742" s="2" t="str">
        <f>IFERROR(__xludf.DUMMYFUNCTION("""COMPUTED_VALUE"""),"")</f>
        <v/>
      </c>
    </row>
    <row r="1743">
      <c r="A1743" s="1">
        <f>IFERROR(__xludf.DUMMYFUNCTION("""COMPUTED_VALUE"""),1742.0)</f>
        <v>1742</v>
      </c>
      <c r="B1743" s="1">
        <f>IFERROR(__xludf.DUMMYFUNCTION("""COMPUTED_VALUE"""),5150.0)</f>
        <v>5150</v>
      </c>
      <c r="C1743" s="2" t="str">
        <f>IFERROR(__xludf.DUMMYFUNCTION("""COMPUTED_VALUE"""),"Sakdilah")</f>
        <v>Sakdilah</v>
      </c>
      <c r="D1743" s="2" t="str">
        <f>IFERROR(__xludf.DUMMYFUNCTION("""COMPUTED_VALUE"""),"5KM OVERALL M")</f>
        <v>5KM OVERALL M</v>
      </c>
      <c r="E1743" s="1">
        <f>IFERROR(__xludf.DUMMYFUNCTION("""COMPUTED_VALUE"""),2.0)</f>
        <v>2</v>
      </c>
      <c r="F1743" s="1" t="str">
        <f>IFERROR(__xludf.DUMMYFUNCTION("""COMPUTED_VALUE"""),"Male")</f>
        <v>Male</v>
      </c>
      <c r="G1743" s="4" t="b">
        <f>IFERROR(__xludf.DUMMYFUNCTION("""COMPUTED_VALUE"""),TRUE)</f>
        <v>1</v>
      </c>
      <c r="H1743" s="4" t="b">
        <f>IFERROR(__xludf.DUMMYFUNCTION("""COMPUTED_VALUE"""),TRUE)</f>
        <v>1</v>
      </c>
      <c r="I1743" s="4">
        <f>IFERROR(__xludf.DUMMYFUNCTION("""COMPUTED_VALUE"""),0.2549440625)</f>
        <v>0.2549440625</v>
      </c>
      <c r="J1743" s="4">
        <f>IFERROR(__xludf.DUMMYFUNCTION("""COMPUTED_VALUE"""),45949.26540173593)</f>
        <v>45949.2654</v>
      </c>
      <c r="K1743" s="4" t="str">
        <f>IFERROR(__xludf.DUMMYFUNCTION("""COMPUTED_VALUE"""),"")</f>
        <v/>
      </c>
      <c r="L1743" s="4">
        <f>IFERROR(__xludf.DUMMYFUNCTION("""COMPUTED_VALUE"""),45949.273130030495)</f>
        <v>45949.27313</v>
      </c>
      <c r="M1743" s="1" t="str">
        <f>IFERROR(__xludf.DUMMYFUNCTION("""COMPUTED_VALUE"""),"RFID")</f>
        <v>RFID</v>
      </c>
      <c r="N1743" s="5">
        <f>IFERROR(__xludf.DUMMYFUNCTION("""COMPUTED_VALUE"""),0.004183069444444445)</f>
        <v>0.004183069444</v>
      </c>
      <c r="O1743" s="5" t="str">
        <f>IFERROR(__xludf.DUMMYFUNCTION("""COMPUTED_VALUE"""),"")</f>
        <v/>
      </c>
      <c r="P1743" s="5" t="str">
        <f>IFERROR(__xludf.DUMMYFUNCTION("""COMPUTED_VALUE"""),"")</f>
        <v/>
      </c>
      <c r="Q1743" s="5">
        <f>IFERROR(__xludf.DUMMYFUNCTION("""COMPUTED_VALUE"""),0.003637194444444444)</f>
        <v>0.003637194444</v>
      </c>
      <c r="R1743" s="4">
        <f>IFERROR(__xludf.DUMMYFUNCTION("""COMPUTED_VALUE"""),45949.018185967994)</f>
        <v>45949.01819</v>
      </c>
      <c r="S1743" s="1" t="b">
        <f>IFERROR(__xludf.DUMMYFUNCTION("""COMPUTED_VALUE"""),TRUE)</f>
        <v>1</v>
      </c>
      <c r="T1743" s="1" t="b">
        <f>IFERROR(__xludf.DUMMYFUNCTION("""COMPUTED_VALUE"""),FALSE)</f>
        <v>0</v>
      </c>
      <c r="U1743" s="1" t="str">
        <f>IFERROR(__xludf.DUMMYFUNCTION("""COMPUTED_VALUE"""),"VALID")</f>
        <v>VALID</v>
      </c>
      <c r="V1743" s="1">
        <f>IFERROR(__xludf.DUMMYFUNCTION("""COMPUTED_VALUE"""),39.0)</f>
        <v>39</v>
      </c>
      <c r="W1743" s="1">
        <f>IFERROR(__xludf.DUMMYFUNCTION("""COMPUTED_VALUE"""),59.0)</f>
        <v>59</v>
      </c>
      <c r="X1743" s="1">
        <f>IFERROR(__xludf.DUMMYFUNCTION("""COMPUTED_VALUE"""),56.0)</f>
        <v>56</v>
      </c>
      <c r="Y1743" s="2"/>
      <c r="Z1743" s="2"/>
    </row>
    <row r="1744">
      <c r="A1744" s="1">
        <f>IFERROR(__xludf.DUMMYFUNCTION("""COMPUTED_VALUE"""),1743.0)</f>
        <v>1743</v>
      </c>
      <c r="B1744" s="1">
        <f>IFERROR(__xludf.DUMMYFUNCTION("""COMPUTED_VALUE"""),5151.0)</f>
        <v>5151</v>
      </c>
      <c r="C1744" s="2" t="str">
        <f>IFERROR(__xludf.DUMMYFUNCTION("""COMPUTED_VALUE"""),"Muhammad Lutfi")</f>
        <v>Muhammad Lutfi</v>
      </c>
      <c r="D1744" s="2" t="str">
        <f>IFERROR(__xludf.DUMMYFUNCTION("""COMPUTED_VALUE"""),"5KM OVERALL M")</f>
        <v>5KM OVERALL M</v>
      </c>
      <c r="E1744" s="1">
        <f>IFERROR(__xludf.DUMMYFUNCTION("""COMPUTED_VALUE"""),2.0)</f>
        <v>2</v>
      </c>
      <c r="F1744" s="1" t="str">
        <f>IFERROR(__xludf.DUMMYFUNCTION("""COMPUTED_VALUE"""),"Male")</f>
        <v>Male</v>
      </c>
      <c r="G1744" s="4" t="b">
        <f>IFERROR(__xludf.DUMMYFUNCTION("""COMPUTED_VALUE"""),TRUE)</f>
        <v>1</v>
      </c>
      <c r="H1744" s="4" t="b">
        <f>IFERROR(__xludf.DUMMYFUNCTION("""COMPUTED_VALUE"""),TRUE)</f>
        <v>1</v>
      </c>
      <c r="I1744" s="4">
        <f>IFERROR(__xludf.DUMMYFUNCTION("""COMPUTED_VALUE"""),0.2549440625)</f>
        <v>0.2549440625</v>
      </c>
      <c r="J1744" s="4">
        <f>IFERROR(__xludf.DUMMYFUNCTION("""COMPUTED_VALUE"""),45949.27018015493)</f>
        <v>45949.27018</v>
      </c>
      <c r="K1744" s="4" t="str">
        <f>IFERROR(__xludf.DUMMYFUNCTION("""COMPUTED_VALUE"""),"")</f>
        <v/>
      </c>
      <c r="L1744" s="4">
        <f>IFERROR(__xludf.DUMMYFUNCTION("""COMPUTED_VALUE"""),45949.28115087066)</f>
        <v>45949.28115</v>
      </c>
      <c r="M1744" s="1" t="str">
        <f>IFERROR(__xludf.DUMMYFUNCTION("""COMPUTED_VALUE"""),"RFID")</f>
        <v>RFID</v>
      </c>
      <c r="N1744" s="5">
        <f>IFERROR(__xludf.DUMMYFUNCTION("""COMPUTED_VALUE"""),0.0060944351851851845)</f>
        <v>0.006094435185</v>
      </c>
      <c r="O1744" s="5" t="str">
        <f>IFERROR(__xludf.DUMMYFUNCTION("""COMPUTED_VALUE"""),"")</f>
        <v/>
      </c>
      <c r="P1744" s="5" t="str">
        <f>IFERROR(__xludf.DUMMYFUNCTION("""COMPUTED_VALUE"""),"")</f>
        <v/>
      </c>
      <c r="Q1744" s="5">
        <f>IFERROR(__xludf.DUMMYFUNCTION("""COMPUTED_VALUE"""),0.005241361111111112)</f>
        <v>0.005241361111</v>
      </c>
      <c r="R1744" s="4">
        <f>IFERROR(__xludf.DUMMYFUNCTION("""COMPUTED_VALUE"""),45949.02620680816)</f>
        <v>45949.02621</v>
      </c>
      <c r="S1744" s="1" t="b">
        <f>IFERROR(__xludf.DUMMYFUNCTION("""COMPUTED_VALUE"""),TRUE)</f>
        <v>1</v>
      </c>
      <c r="T1744" s="1" t="b">
        <f>IFERROR(__xludf.DUMMYFUNCTION("""COMPUTED_VALUE"""),FALSE)</f>
        <v>0</v>
      </c>
      <c r="U1744" s="1" t="str">
        <f>IFERROR(__xludf.DUMMYFUNCTION("""COMPUTED_VALUE"""),"VALID")</f>
        <v>VALID</v>
      </c>
      <c r="V1744" s="1">
        <f>IFERROR(__xludf.DUMMYFUNCTION("""COMPUTED_VALUE"""),226.0)</f>
        <v>226</v>
      </c>
      <c r="W1744" s="1">
        <f>IFERROR(__xludf.DUMMYFUNCTION("""COMPUTED_VALUE"""),346.0)</f>
        <v>346</v>
      </c>
      <c r="X1744" s="1">
        <f>IFERROR(__xludf.DUMMYFUNCTION("""COMPUTED_VALUE"""),303.0)</f>
        <v>303</v>
      </c>
      <c r="Y1744" s="2"/>
      <c r="Z1744" s="2"/>
    </row>
    <row r="1745">
      <c r="A1745" s="1">
        <f>IFERROR(__xludf.DUMMYFUNCTION("""COMPUTED_VALUE"""),1744.0)</f>
        <v>1744</v>
      </c>
      <c r="B1745" s="1">
        <f>IFERROR(__xludf.DUMMYFUNCTION("""COMPUTED_VALUE"""),5152.0)</f>
        <v>5152</v>
      </c>
      <c r="C1745" s="2" t="str">
        <f>IFERROR(__xludf.DUMMYFUNCTION("""COMPUTED_VALUE"""),"asmana")</f>
        <v>asmana</v>
      </c>
      <c r="D1745" s="2" t="str">
        <f>IFERROR(__xludf.DUMMYFUNCTION("""COMPUTED_VALUE"""),"5KM OVERALL M")</f>
        <v>5KM OVERALL M</v>
      </c>
      <c r="E1745" s="1">
        <f>IFERROR(__xludf.DUMMYFUNCTION("""COMPUTED_VALUE"""),2.0)</f>
        <v>2</v>
      </c>
      <c r="F1745" s="1" t="str">
        <f>IFERROR(__xludf.DUMMYFUNCTION("""COMPUTED_VALUE"""),"Male")</f>
        <v>Male</v>
      </c>
      <c r="G1745" s="4" t="b">
        <f>IFERROR(__xludf.DUMMYFUNCTION("""COMPUTED_VALUE"""),TRUE)</f>
        <v>1</v>
      </c>
      <c r="H1745" s="4" t="b">
        <f>IFERROR(__xludf.DUMMYFUNCTION("""COMPUTED_VALUE"""),TRUE)</f>
        <v>1</v>
      </c>
      <c r="I1745" s="4">
        <f>IFERROR(__xludf.DUMMYFUNCTION("""COMPUTED_VALUE"""),0.2549440625)</f>
        <v>0.2549440625</v>
      </c>
      <c r="J1745" s="4">
        <f>IFERROR(__xludf.DUMMYFUNCTION("""COMPUTED_VALUE"""),45949.27761007252)</f>
        <v>45949.27761</v>
      </c>
      <c r="K1745" s="4" t="str">
        <f>IFERROR(__xludf.DUMMYFUNCTION("""COMPUTED_VALUE"""),"")</f>
        <v/>
      </c>
      <c r="L1745" s="4">
        <f>IFERROR(__xludf.DUMMYFUNCTION("""COMPUTED_VALUE"""),45949.29245989652)</f>
        <v>45949.29246</v>
      </c>
      <c r="M1745" s="1" t="str">
        <f>IFERROR(__xludf.DUMMYFUNCTION("""COMPUTED_VALUE"""),"RFID")</f>
        <v>RFID</v>
      </c>
      <c r="N1745" s="5">
        <f>IFERROR(__xludf.DUMMYFUNCTION("""COMPUTED_VALUE"""),0.009066402777777777)</f>
        <v>0.009066402778</v>
      </c>
      <c r="O1745" s="5" t="str">
        <f>IFERROR(__xludf.DUMMYFUNCTION("""COMPUTED_VALUE"""),"")</f>
        <v/>
      </c>
      <c r="P1745" s="5" t="str">
        <f>IFERROR(__xludf.DUMMYFUNCTION("""COMPUTED_VALUE"""),"")</f>
        <v/>
      </c>
      <c r="Q1745" s="5">
        <f>IFERROR(__xludf.DUMMYFUNCTION("""COMPUTED_VALUE"""),0.007503166666666667)</f>
        <v>0.007503166667</v>
      </c>
      <c r="R1745" s="4">
        <f>IFERROR(__xludf.DUMMYFUNCTION("""COMPUTED_VALUE"""),45949.03751583402)</f>
        <v>45949.03752</v>
      </c>
      <c r="S1745" s="1" t="b">
        <f>IFERROR(__xludf.DUMMYFUNCTION("""COMPUTED_VALUE"""),TRUE)</f>
        <v>1</v>
      </c>
      <c r="T1745" s="1" t="b">
        <f>IFERROR(__xludf.DUMMYFUNCTION("""COMPUTED_VALUE"""),FALSE)</f>
        <v>0</v>
      </c>
      <c r="U1745" s="1" t="str">
        <f>IFERROR(__xludf.DUMMYFUNCTION("""COMPUTED_VALUE"""),"VALID")</f>
        <v>VALID</v>
      </c>
      <c r="V1745" s="1">
        <f>IFERROR(__xludf.DUMMYFUNCTION("""COMPUTED_VALUE"""),637.0)</f>
        <v>637</v>
      </c>
      <c r="W1745" s="1">
        <f>IFERROR(__xludf.DUMMYFUNCTION("""COMPUTED_VALUE"""),1058.0)</f>
        <v>1058</v>
      </c>
      <c r="X1745" s="1">
        <f>IFERROR(__xludf.DUMMYFUNCTION("""COMPUTED_VALUE"""),845.0)</f>
        <v>845</v>
      </c>
      <c r="Y1745" s="2"/>
      <c r="Z1745" s="2"/>
    </row>
    <row r="1746">
      <c r="A1746" s="1">
        <f>IFERROR(__xludf.DUMMYFUNCTION("""COMPUTED_VALUE"""),1745.0)</f>
        <v>1745</v>
      </c>
      <c r="B1746" s="1">
        <f>IFERROR(__xludf.DUMMYFUNCTION("""COMPUTED_VALUE"""),5154.0)</f>
        <v>5154</v>
      </c>
      <c r="C1746" s="2" t="str">
        <f>IFERROR(__xludf.DUMMYFUNCTION("""COMPUTED_VALUE"""),"ombibip")</f>
        <v>ombibip</v>
      </c>
      <c r="D1746" s="2" t="str">
        <f>IFERROR(__xludf.DUMMYFUNCTION("""COMPUTED_VALUE"""),"5KM OVERALL M")</f>
        <v>5KM OVERALL M</v>
      </c>
      <c r="E1746" s="1">
        <f>IFERROR(__xludf.DUMMYFUNCTION("""COMPUTED_VALUE"""),2.0)</f>
        <v>2</v>
      </c>
      <c r="F1746" s="1" t="str">
        <f>IFERROR(__xludf.DUMMYFUNCTION("""COMPUTED_VALUE"""),"Male")</f>
        <v>Male</v>
      </c>
      <c r="G1746" s="4" t="b">
        <f>IFERROR(__xludf.DUMMYFUNCTION("""COMPUTED_VALUE"""),TRUE)</f>
        <v>1</v>
      </c>
      <c r="H1746" s="4" t="b">
        <f>IFERROR(__xludf.DUMMYFUNCTION("""COMPUTED_VALUE"""),TRUE)</f>
        <v>1</v>
      </c>
      <c r="I1746" s="4">
        <f>IFERROR(__xludf.DUMMYFUNCTION("""COMPUTED_VALUE"""),0.2549440625)</f>
        <v>0.2549440625</v>
      </c>
      <c r="J1746" s="4">
        <f>IFERROR(__xludf.DUMMYFUNCTION("""COMPUTED_VALUE"""),45949.274926006496)</f>
        <v>45949.27493</v>
      </c>
      <c r="K1746" s="4" t="str">
        <f>IFERROR(__xludf.DUMMYFUNCTION("""COMPUTED_VALUE"""),"")</f>
        <v/>
      </c>
      <c r="L1746" s="4">
        <f>IFERROR(__xludf.DUMMYFUNCTION("""COMPUTED_VALUE"""),45949.28823073543)</f>
        <v>45949.28823</v>
      </c>
      <c r="M1746" s="1" t="str">
        <f>IFERROR(__xludf.DUMMYFUNCTION("""COMPUTED_VALUE"""),"RFID")</f>
        <v>RFID</v>
      </c>
      <c r="N1746" s="5">
        <f>IFERROR(__xludf.DUMMYFUNCTION("""COMPUTED_VALUE"""),0.007992777777777777)</f>
        <v>0.007992777778</v>
      </c>
      <c r="O1746" s="5" t="str">
        <f>IFERROR(__xludf.DUMMYFUNCTION("""COMPUTED_VALUE"""),"")</f>
        <v/>
      </c>
      <c r="P1746" s="5" t="str">
        <f>IFERROR(__xludf.DUMMYFUNCTION("""COMPUTED_VALUE"""),"")</f>
        <v/>
      </c>
      <c r="Q1746" s="5">
        <f>IFERROR(__xludf.DUMMYFUNCTION("""COMPUTED_VALUE"""),0.006657335648148148)</f>
        <v>0.006657335648</v>
      </c>
      <c r="R1746" s="4">
        <f>IFERROR(__xludf.DUMMYFUNCTION("""COMPUTED_VALUE"""),45949.03328667293)</f>
        <v>45949.03329</v>
      </c>
      <c r="S1746" s="1" t="b">
        <f>IFERROR(__xludf.DUMMYFUNCTION("""COMPUTED_VALUE"""),TRUE)</f>
        <v>1</v>
      </c>
      <c r="T1746" s="1" t="b">
        <f>IFERROR(__xludf.DUMMYFUNCTION("""COMPUTED_VALUE"""),FALSE)</f>
        <v>0</v>
      </c>
      <c r="U1746" s="1" t="str">
        <f>IFERROR(__xludf.DUMMYFUNCTION("""COMPUTED_VALUE"""),"VALID")</f>
        <v>VALID</v>
      </c>
      <c r="V1746" s="1">
        <f>IFERROR(__xludf.DUMMYFUNCTION("""COMPUTED_VALUE"""),507.0)</f>
        <v>507</v>
      </c>
      <c r="W1746" s="1">
        <f>IFERROR(__xludf.DUMMYFUNCTION("""COMPUTED_VALUE"""),792.0)</f>
        <v>792</v>
      </c>
      <c r="X1746" s="1">
        <f>IFERROR(__xludf.DUMMYFUNCTION("""COMPUTED_VALUE"""),654.0)</f>
        <v>654</v>
      </c>
      <c r="Y1746" s="2"/>
      <c r="Z1746" s="2"/>
    </row>
    <row r="1747">
      <c r="A1747" s="1">
        <f>IFERROR(__xludf.DUMMYFUNCTION("""COMPUTED_VALUE"""),1746.0)</f>
        <v>1746</v>
      </c>
      <c r="B1747" s="1">
        <f>IFERROR(__xludf.DUMMYFUNCTION("""COMPUTED_VALUE"""),5155.0)</f>
        <v>5155</v>
      </c>
      <c r="C1747" s="2" t="str">
        <f>IFERROR(__xludf.DUMMYFUNCTION("""COMPUTED_VALUE"""),"Harry Hidayat")</f>
        <v>Harry Hidayat</v>
      </c>
      <c r="D1747" s="2" t="str">
        <f>IFERROR(__xludf.DUMMYFUNCTION("""COMPUTED_VALUE"""),"5KM OVERALL M")</f>
        <v>5KM OVERALL M</v>
      </c>
      <c r="E1747" s="1">
        <f>IFERROR(__xludf.DUMMYFUNCTION("""COMPUTED_VALUE"""),2.0)</f>
        <v>2</v>
      </c>
      <c r="F1747" s="1" t="str">
        <f>IFERROR(__xludf.DUMMYFUNCTION("""COMPUTED_VALUE"""),"Male")</f>
        <v>Male</v>
      </c>
      <c r="G1747" s="4" t="b">
        <f>IFERROR(__xludf.DUMMYFUNCTION("""COMPUTED_VALUE"""),TRUE)</f>
        <v>1</v>
      </c>
      <c r="H1747" s="4" t="b">
        <f>IFERROR(__xludf.DUMMYFUNCTION("""COMPUTED_VALUE"""),TRUE)</f>
        <v>1</v>
      </c>
      <c r="I1747" s="4">
        <f>IFERROR(__xludf.DUMMYFUNCTION("""COMPUTED_VALUE"""),0.2549440625)</f>
        <v>0.2549440625</v>
      </c>
      <c r="J1747" s="4">
        <f>IFERROR(__xludf.DUMMYFUNCTION("""COMPUTED_VALUE"""),45949.27568297623)</f>
        <v>45949.27568</v>
      </c>
      <c r="K1747" s="4" t="str">
        <f>IFERROR(__xludf.DUMMYFUNCTION("""COMPUTED_VALUE"""),"")</f>
        <v/>
      </c>
      <c r="L1747" s="4">
        <f>IFERROR(__xludf.DUMMYFUNCTION("""COMPUTED_VALUE"""),45949.286876565915)</f>
        <v>45949.28688</v>
      </c>
      <c r="M1747" s="1" t="str">
        <f>IFERROR(__xludf.DUMMYFUNCTION("""COMPUTED_VALUE"""),"RFID")</f>
        <v>RFID</v>
      </c>
      <c r="N1747" s="5">
        <f>IFERROR(__xludf.DUMMYFUNCTION("""COMPUTED_VALUE"""),0.008295564814814815)</f>
        <v>0.008295564815</v>
      </c>
      <c r="O1747" s="5" t="str">
        <f>IFERROR(__xludf.DUMMYFUNCTION("""COMPUTED_VALUE"""),"")</f>
        <v/>
      </c>
      <c r="P1747" s="5" t="str">
        <f>IFERROR(__xludf.DUMMYFUNCTION("""COMPUTED_VALUE"""),"")</f>
        <v/>
      </c>
      <c r="Q1747" s="5">
        <f>IFERROR(__xludf.DUMMYFUNCTION("""COMPUTED_VALUE"""),0.006386499999999999)</f>
        <v>0.0063865</v>
      </c>
      <c r="R1747" s="4">
        <f>IFERROR(__xludf.DUMMYFUNCTION("""COMPUTED_VALUE"""),45949.031932503414)</f>
        <v>45949.03193</v>
      </c>
      <c r="S1747" s="1" t="b">
        <f>IFERROR(__xludf.DUMMYFUNCTION("""COMPUTED_VALUE"""),TRUE)</f>
        <v>1</v>
      </c>
      <c r="T1747" s="1" t="b">
        <f>IFERROR(__xludf.DUMMYFUNCTION("""COMPUTED_VALUE"""),FALSE)</f>
        <v>0</v>
      </c>
      <c r="U1747" s="1" t="str">
        <f>IFERROR(__xludf.DUMMYFUNCTION("""COMPUTED_VALUE"""),"VALID")</f>
        <v>VALID</v>
      </c>
      <c r="V1747" s="1">
        <f>IFERROR(__xludf.DUMMYFUNCTION("""COMPUTED_VALUE"""),452.0)</f>
        <v>452</v>
      </c>
      <c r="W1747" s="1">
        <f>IFERROR(__xludf.DUMMYFUNCTION("""COMPUTED_VALUE"""),694.0)</f>
        <v>694</v>
      </c>
      <c r="X1747" s="1">
        <f>IFERROR(__xludf.DUMMYFUNCTION("""COMPUTED_VALUE"""),580.0)</f>
        <v>580</v>
      </c>
      <c r="Y1747" s="2"/>
      <c r="Z1747" s="2"/>
    </row>
    <row r="1748">
      <c r="A1748" s="1">
        <f>IFERROR(__xludf.DUMMYFUNCTION("""COMPUTED_VALUE"""),1747.0)</f>
        <v>1747</v>
      </c>
      <c r="B1748" s="1">
        <f>IFERROR(__xludf.DUMMYFUNCTION("""COMPUTED_VALUE"""),5157.0)</f>
        <v>5157</v>
      </c>
      <c r="C1748" s="2" t="str">
        <f>IFERROR(__xludf.DUMMYFUNCTION("""COMPUTED_VALUE"""),"Zayn")</f>
        <v>Zayn</v>
      </c>
      <c r="D1748" s="2" t="str">
        <f>IFERROR(__xludf.DUMMYFUNCTION("""COMPUTED_VALUE"""),"5KM OVERALL M")</f>
        <v>5KM OVERALL M</v>
      </c>
      <c r="E1748" s="1">
        <f>IFERROR(__xludf.DUMMYFUNCTION("""COMPUTED_VALUE"""),2.0)</f>
        <v>2</v>
      </c>
      <c r="F1748" s="1" t="str">
        <f>IFERROR(__xludf.DUMMYFUNCTION("""COMPUTED_VALUE"""),"Male")</f>
        <v>Male</v>
      </c>
      <c r="G1748" s="4" t="str">
        <f>IFERROR(__xludf.DUMMYFUNCTION("""COMPUTED_VALUE"""),"")</f>
        <v/>
      </c>
      <c r="H1748" s="4" t="b">
        <f>IFERROR(__xludf.DUMMYFUNCTION("""COMPUTED_VALUE"""),FALSE)</f>
        <v>0</v>
      </c>
      <c r="I1748" s="4">
        <f>IFERROR(__xludf.DUMMYFUNCTION("""COMPUTED_VALUE"""),0.2549440625)</f>
        <v>0.2549440625</v>
      </c>
      <c r="J1748" s="4" t="str">
        <f>IFERROR(__xludf.DUMMYFUNCTION("""COMPUTED_VALUE"""),"")</f>
        <v/>
      </c>
      <c r="K1748" s="4" t="str">
        <f>IFERROR(__xludf.DUMMYFUNCTION("""COMPUTED_VALUE"""),"")</f>
        <v/>
      </c>
      <c r="L1748" s="4" t="str">
        <f>IFERROR(__xludf.DUMMYFUNCTION("""COMPUTED_VALUE"""),"")</f>
        <v/>
      </c>
      <c r="M1748" s="1" t="str">
        <f>IFERROR(__xludf.DUMMYFUNCTION("""COMPUTED_VALUE"""),"RFID")</f>
        <v>RFID</v>
      </c>
      <c r="N1748" s="5" t="str">
        <f>IFERROR(__xludf.DUMMYFUNCTION("""COMPUTED_VALUE"""),"")</f>
        <v/>
      </c>
      <c r="O1748" s="5" t="str">
        <f>IFERROR(__xludf.DUMMYFUNCTION("""COMPUTED_VALUE"""),"")</f>
        <v/>
      </c>
      <c r="P1748" s="5" t="str">
        <f>IFERROR(__xludf.DUMMYFUNCTION("""COMPUTED_VALUE"""),"")</f>
        <v/>
      </c>
      <c r="Q1748" s="5" t="str">
        <f>IFERROR(__xludf.DUMMYFUNCTION("""COMPUTED_VALUE"""),"")</f>
        <v/>
      </c>
      <c r="R1748" s="4" t="str">
        <f>IFERROR(__xludf.DUMMYFUNCTION("""COMPUTED_VALUE"""),"")</f>
        <v/>
      </c>
      <c r="S1748" s="1" t="b">
        <f>IFERROR(__xludf.DUMMYFUNCTION("""COMPUTED_VALUE"""),FALSE)</f>
        <v>0</v>
      </c>
      <c r="T1748" s="1" t="b">
        <f>IFERROR(__xludf.DUMMYFUNCTION("""COMPUTED_VALUE"""),FALSE)</f>
        <v>0</v>
      </c>
      <c r="U1748" s="1" t="str">
        <f>IFERROR(__xludf.DUMMYFUNCTION("""COMPUTED_VALUE"""),"DSQ")</f>
        <v>DSQ</v>
      </c>
      <c r="V1748" s="1" t="str">
        <f>IFERROR(__xludf.DUMMYFUNCTION("""COMPUTED_VALUE"""),"DSQ")</f>
        <v>DSQ</v>
      </c>
      <c r="W1748" s="1" t="str">
        <f>IFERROR(__xludf.DUMMYFUNCTION("""COMPUTED_VALUE"""),"DSQ")</f>
        <v>DSQ</v>
      </c>
      <c r="X1748" s="1" t="str">
        <f>IFERROR(__xludf.DUMMYFUNCTION("""COMPUTED_VALUE"""),"DSQ")</f>
        <v>DSQ</v>
      </c>
      <c r="Y1748" s="2"/>
      <c r="Z1748" s="2" t="str">
        <f>IFERROR(__xludf.DUMMYFUNCTION("""COMPUTED_VALUE"""),"")</f>
        <v/>
      </c>
    </row>
    <row r="1749">
      <c r="A1749" s="1">
        <f>IFERROR(__xludf.DUMMYFUNCTION("""COMPUTED_VALUE"""),1748.0)</f>
        <v>1748</v>
      </c>
      <c r="B1749" s="1">
        <f>IFERROR(__xludf.DUMMYFUNCTION("""COMPUTED_VALUE"""),5159.0)</f>
        <v>5159</v>
      </c>
      <c r="C1749" s="2" t="str">
        <f>IFERROR(__xludf.DUMMYFUNCTION("""COMPUTED_VALUE"""),"Aa Lana")</f>
        <v>Aa Lana</v>
      </c>
      <c r="D1749" s="2" t="str">
        <f>IFERROR(__xludf.DUMMYFUNCTION("""COMPUTED_VALUE"""),"5KM OVERALL M")</f>
        <v>5KM OVERALL M</v>
      </c>
      <c r="E1749" s="1">
        <f>IFERROR(__xludf.DUMMYFUNCTION("""COMPUTED_VALUE"""),2.0)</f>
        <v>2</v>
      </c>
      <c r="F1749" s="1" t="str">
        <f>IFERROR(__xludf.DUMMYFUNCTION("""COMPUTED_VALUE"""),"Male")</f>
        <v>Male</v>
      </c>
      <c r="G1749" s="4" t="b">
        <f>IFERROR(__xludf.DUMMYFUNCTION("""COMPUTED_VALUE"""),TRUE)</f>
        <v>1</v>
      </c>
      <c r="H1749" s="4" t="b">
        <f>IFERROR(__xludf.DUMMYFUNCTION("""COMPUTED_VALUE"""),FALSE)</f>
        <v>0</v>
      </c>
      <c r="I1749" s="4">
        <f>IFERROR(__xludf.DUMMYFUNCTION("""COMPUTED_VALUE"""),0.2549440625)</f>
        <v>0.2549440625</v>
      </c>
      <c r="J1749" s="4">
        <f>IFERROR(__xludf.DUMMYFUNCTION("""COMPUTED_VALUE"""),45949.27195729735)</f>
        <v>45949.27196</v>
      </c>
      <c r="K1749" s="4" t="str">
        <f>IFERROR(__xludf.DUMMYFUNCTION("""COMPUTED_VALUE"""),"")</f>
        <v/>
      </c>
      <c r="L1749" s="4">
        <f>IFERROR(__xludf.DUMMYFUNCTION("""COMPUTED_VALUE"""),45949.284296718324)</f>
        <v>45949.2843</v>
      </c>
      <c r="M1749" s="1" t="str">
        <f>IFERROR(__xludf.DUMMYFUNCTION("""COMPUTED_VALUE"""),"RFID")</f>
        <v>RFID</v>
      </c>
      <c r="N1749" s="5">
        <f>IFERROR(__xludf.DUMMYFUNCTION("""COMPUTED_VALUE"""),0.006805291666666667)</f>
        <v>0.006805291667</v>
      </c>
      <c r="O1749" s="5" t="str">
        <f>IFERROR(__xludf.DUMMYFUNCTION("""COMPUTED_VALUE"""),"")</f>
        <v/>
      </c>
      <c r="P1749" s="5" t="str">
        <f>IFERROR(__xludf.DUMMYFUNCTION("""COMPUTED_VALUE"""),"")</f>
        <v/>
      </c>
      <c r="Q1749" s="5">
        <f>IFERROR(__xludf.DUMMYFUNCTION("""COMPUTED_VALUE"""),0.005870530092592593)</f>
        <v>0.005870530093</v>
      </c>
      <c r="R1749" s="4">
        <f>IFERROR(__xludf.DUMMYFUNCTION("""COMPUTED_VALUE"""),45949.02935265582)</f>
        <v>45949.02935</v>
      </c>
      <c r="S1749" s="1" t="b">
        <f>IFERROR(__xludf.DUMMYFUNCTION("""COMPUTED_VALUE"""),TRUE)</f>
        <v>1</v>
      </c>
      <c r="T1749" s="1" t="b">
        <f>IFERROR(__xludf.DUMMYFUNCTION("""COMPUTED_VALUE"""),FALSE)</f>
        <v>0</v>
      </c>
      <c r="U1749" s="1" t="str">
        <f>IFERROR(__xludf.DUMMYFUNCTION("""COMPUTED_VALUE"""),"VALID")</f>
        <v>VALID</v>
      </c>
      <c r="V1749" s="1">
        <f>IFERROR(__xludf.DUMMYFUNCTION("""COMPUTED_VALUE"""),351.0)</f>
        <v>351</v>
      </c>
      <c r="W1749" s="1">
        <f>IFERROR(__xludf.DUMMYFUNCTION("""COMPUTED_VALUE"""),521.0)</f>
        <v>521</v>
      </c>
      <c r="X1749" s="1">
        <f>IFERROR(__xludf.DUMMYFUNCTION("""COMPUTED_VALUE"""),451.0)</f>
        <v>451</v>
      </c>
      <c r="Y1749" s="2"/>
      <c r="Z1749" s="2"/>
    </row>
    <row r="1750">
      <c r="A1750" s="1">
        <f>IFERROR(__xludf.DUMMYFUNCTION("""COMPUTED_VALUE"""),1749.0)</f>
        <v>1749</v>
      </c>
      <c r="B1750" s="1">
        <f>IFERROR(__xludf.DUMMYFUNCTION("""COMPUTED_VALUE"""),5160.0)</f>
        <v>5160</v>
      </c>
      <c r="C1750" s="2" t="str">
        <f>IFERROR(__xludf.DUMMYFUNCTION("""COMPUTED_VALUE"""),"Adimas")</f>
        <v>Adimas</v>
      </c>
      <c r="D1750" s="2" t="str">
        <f>IFERROR(__xludf.DUMMYFUNCTION("""COMPUTED_VALUE"""),"5KM OVERALL M")</f>
        <v>5KM OVERALL M</v>
      </c>
      <c r="E1750" s="1">
        <f>IFERROR(__xludf.DUMMYFUNCTION("""COMPUTED_VALUE"""),2.0)</f>
        <v>2</v>
      </c>
      <c r="F1750" s="1" t="str">
        <f>IFERROR(__xludf.DUMMYFUNCTION("""COMPUTED_VALUE"""),"Male")</f>
        <v>Male</v>
      </c>
      <c r="G1750" s="4" t="b">
        <f>IFERROR(__xludf.DUMMYFUNCTION("""COMPUTED_VALUE"""),TRUE)</f>
        <v>1</v>
      </c>
      <c r="H1750" s="4" t="b">
        <f>IFERROR(__xludf.DUMMYFUNCTION("""COMPUTED_VALUE"""),TRUE)</f>
        <v>1</v>
      </c>
      <c r="I1750" s="4">
        <f>IFERROR(__xludf.DUMMYFUNCTION("""COMPUTED_VALUE"""),0.2549440625)</f>
        <v>0.2549440625</v>
      </c>
      <c r="J1750" s="4">
        <f>IFERROR(__xludf.DUMMYFUNCTION("""COMPUTED_VALUE"""),45949.27840863922)</f>
        <v>45949.27841</v>
      </c>
      <c r="K1750" s="4" t="str">
        <f>IFERROR(__xludf.DUMMYFUNCTION("""COMPUTED_VALUE"""),"")</f>
        <v/>
      </c>
      <c r="L1750" s="4">
        <f>IFERROR(__xludf.DUMMYFUNCTION("""COMPUTED_VALUE"""),45949.29181753643)</f>
        <v>45949.29182</v>
      </c>
      <c r="M1750" s="1" t="str">
        <f>IFERROR(__xludf.DUMMYFUNCTION("""COMPUTED_VALUE"""),"RFID")</f>
        <v>RFID</v>
      </c>
      <c r="N1750" s="5">
        <f>IFERROR(__xludf.DUMMYFUNCTION("""COMPUTED_VALUE"""),0.009385828703703704)</f>
        <v>0.009385828704</v>
      </c>
      <c r="O1750" s="5" t="str">
        <f>IFERROR(__xludf.DUMMYFUNCTION("""COMPUTED_VALUE"""),"")</f>
        <v/>
      </c>
      <c r="P1750" s="5" t="str">
        <f>IFERROR(__xludf.DUMMYFUNCTION("""COMPUTED_VALUE"""),"")</f>
        <v/>
      </c>
      <c r="Q1750" s="5">
        <f>IFERROR(__xludf.DUMMYFUNCTION("""COMPUTED_VALUE"""),0.007374694444444445)</f>
        <v>0.007374694444</v>
      </c>
      <c r="R1750" s="4">
        <f>IFERROR(__xludf.DUMMYFUNCTION("""COMPUTED_VALUE"""),45949.03687347393)</f>
        <v>45949.03687</v>
      </c>
      <c r="S1750" s="1" t="b">
        <f>IFERROR(__xludf.DUMMYFUNCTION("""COMPUTED_VALUE"""),TRUE)</f>
        <v>1</v>
      </c>
      <c r="T1750" s="1" t="b">
        <f>IFERROR(__xludf.DUMMYFUNCTION("""COMPUTED_VALUE"""),FALSE)</f>
        <v>0</v>
      </c>
      <c r="U1750" s="1" t="str">
        <f>IFERROR(__xludf.DUMMYFUNCTION("""COMPUTED_VALUE"""),"VALID")</f>
        <v>VALID</v>
      </c>
      <c r="V1750" s="1">
        <f>IFERROR(__xludf.DUMMYFUNCTION("""COMPUTED_VALUE"""),623.0)</f>
        <v>623</v>
      </c>
      <c r="W1750" s="1">
        <f>IFERROR(__xludf.DUMMYFUNCTION("""COMPUTED_VALUE"""),1021.0)</f>
        <v>1021</v>
      </c>
      <c r="X1750" s="1">
        <f>IFERROR(__xludf.DUMMYFUNCTION("""COMPUTED_VALUE"""),822.0)</f>
        <v>822</v>
      </c>
      <c r="Y1750" s="2"/>
      <c r="Z1750" s="2"/>
    </row>
    <row r="1751">
      <c r="A1751" s="1">
        <f>IFERROR(__xludf.DUMMYFUNCTION("""COMPUTED_VALUE"""),1750.0)</f>
        <v>1750</v>
      </c>
      <c r="B1751" s="1">
        <f>IFERROR(__xludf.DUMMYFUNCTION("""COMPUTED_VALUE"""),5161.0)</f>
        <v>5161</v>
      </c>
      <c r="C1751" s="2" t="str">
        <f>IFERROR(__xludf.DUMMYFUNCTION("""COMPUTED_VALUE"""),"Denny")</f>
        <v>Denny</v>
      </c>
      <c r="D1751" s="2" t="str">
        <f>IFERROR(__xludf.DUMMYFUNCTION("""COMPUTED_VALUE"""),"5KM OVERALL M")</f>
        <v>5KM OVERALL M</v>
      </c>
      <c r="E1751" s="1">
        <f>IFERROR(__xludf.DUMMYFUNCTION("""COMPUTED_VALUE"""),2.0)</f>
        <v>2</v>
      </c>
      <c r="F1751" s="1" t="str">
        <f>IFERROR(__xludf.DUMMYFUNCTION("""COMPUTED_VALUE"""),"Male")</f>
        <v>Male</v>
      </c>
      <c r="G1751" s="4" t="b">
        <f>IFERROR(__xludf.DUMMYFUNCTION("""COMPUTED_VALUE"""),TRUE)</f>
        <v>1</v>
      </c>
      <c r="H1751" s="4" t="b">
        <f>IFERROR(__xludf.DUMMYFUNCTION("""COMPUTED_VALUE"""),FALSE)</f>
        <v>0</v>
      </c>
      <c r="I1751" s="4">
        <f>IFERROR(__xludf.DUMMYFUNCTION("""COMPUTED_VALUE"""),0.2549440625)</f>
        <v>0.2549440625</v>
      </c>
      <c r="J1751" s="4">
        <f>IFERROR(__xludf.DUMMYFUNCTION("""COMPUTED_VALUE"""),45949.27215174023)</f>
        <v>45949.27215</v>
      </c>
      <c r="K1751" s="4" t="str">
        <f>IFERROR(__xludf.DUMMYFUNCTION("""COMPUTED_VALUE"""),"")</f>
        <v/>
      </c>
      <c r="L1751" s="4">
        <f>IFERROR(__xludf.DUMMYFUNCTION("""COMPUTED_VALUE"""),45949.285449426934)</f>
        <v>45949.28545</v>
      </c>
      <c r="M1751" s="1" t="str">
        <f>IFERROR(__xludf.DUMMYFUNCTION("""COMPUTED_VALUE"""),"RFID")</f>
        <v>RFID</v>
      </c>
      <c r="N1751" s="5">
        <f>IFERROR(__xludf.DUMMYFUNCTION("""COMPUTED_VALUE"""),0.006883069444444443)</f>
        <v>0.006883069444</v>
      </c>
      <c r="O1751" s="5" t="str">
        <f>IFERROR(__xludf.DUMMYFUNCTION("""COMPUTED_VALUE"""),"")</f>
        <v/>
      </c>
      <c r="P1751" s="5" t="str">
        <f>IFERROR(__xludf.DUMMYFUNCTION("""COMPUTED_VALUE"""),"")</f>
        <v/>
      </c>
      <c r="Q1751" s="5">
        <f>IFERROR(__xludf.DUMMYFUNCTION("""COMPUTED_VALUE"""),0.006101071759259259)</f>
        <v>0.006101071759</v>
      </c>
      <c r="R1751" s="4">
        <f>IFERROR(__xludf.DUMMYFUNCTION("""COMPUTED_VALUE"""),45949.03050536443)</f>
        <v>45949.03051</v>
      </c>
      <c r="S1751" s="1" t="b">
        <f>IFERROR(__xludf.DUMMYFUNCTION("""COMPUTED_VALUE"""),TRUE)</f>
        <v>1</v>
      </c>
      <c r="T1751" s="1" t="b">
        <f>IFERROR(__xludf.DUMMYFUNCTION("""COMPUTED_VALUE"""),FALSE)</f>
        <v>0</v>
      </c>
      <c r="U1751" s="1" t="str">
        <f>IFERROR(__xludf.DUMMYFUNCTION("""COMPUTED_VALUE"""),"VALID")</f>
        <v>VALID</v>
      </c>
      <c r="V1751" s="1">
        <f>IFERROR(__xludf.DUMMYFUNCTION("""COMPUTED_VALUE"""),394.0)</f>
        <v>394</v>
      </c>
      <c r="W1751" s="1">
        <f>IFERROR(__xludf.DUMMYFUNCTION("""COMPUTED_VALUE"""),601.0)</f>
        <v>601</v>
      </c>
      <c r="X1751" s="1">
        <f>IFERROR(__xludf.DUMMYFUNCTION("""COMPUTED_VALUE"""),506.0)</f>
        <v>506</v>
      </c>
      <c r="Y1751" s="2"/>
      <c r="Z1751" s="2"/>
    </row>
    <row r="1752">
      <c r="A1752" s="1">
        <f>IFERROR(__xludf.DUMMYFUNCTION("""COMPUTED_VALUE"""),1751.0)</f>
        <v>1751</v>
      </c>
      <c r="B1752" s="1">
        <f>IFERROR(__xludf.DUMMYFUNCTION("""COMPUTED_VALUE"""),5163.0)</f>
        <v>5163</v>
      </c>
      <c r="C1752" s="2" t="str">
        <f>IFERROR(__xludf.DUMMYFUNCTION("""COMPUTED_VALUE"""),"Unggul")</f>
        <v>Unggul</v>
      </c>
      <c r="D1752" s="2" t="str">
        <f>IFERROR(__xludf.DUMMYFUNCTION("""COMPUTED_VALUE"""),"5KM OVERALL M")</f>
        <v>5KM OVERALL M</v>
      </c>
      <c r="E1752" s="1">
        <f>IFERROR(__xludf.DUMMYFUNCTION("""COMPUTED_VALUE"""),2.0)</f>
        <v>2</v>
      </c>
      <c r="F1752" s="1" t="str">
        <f>IFERROR(__xludf.DUMMYFUNCTION("""COMPUTED_VALUE"""),"Male")</f>
        <v>Male</v>
      </c>
      <c r="G1752" s="4" t="str">
        <f>IFERROR(__xludf.DUMMYFUNCTION("""COMPUTED_VALUE"""),"")</f>
        <v/>
      </c>
      <c r="H1752" s="4" t="b">
        <f>IFERROR(__xludf.DUMMYFUNCTION("""COMPUTED_VALUE"""),FALSE)</f>
        <v>0</v>
      </c>
      <c r="I1752" s="4">
        <f>IFERROR(__xludf.DUMMYFUNCTION("""COMPUTED_VALUE"""),0.2549440625)</f>
        <v>0.2549440625</v>
      </c>
      <c r="J1752" s="4" t="str">
        <f>IFERROR(__xludf.DUMMYFUNCTION("""COMPUTED_VALUE"""),"")</f>
        <v/>
      </c>
      <c r="K1752" s="4" t="str">
        <f>IFERROR(__xludf.DUMMYFUNCTION("""COMPUTED_VALUE"""),"")</f>
        <v/>
      </c>
      <c r="L1752" s="4" t="str">
        <f>IFERROR(__xludf.DUMMYFUNCTION("""COMPUTED_VALUE"""),"")</f>
        <v/>
      </c>
      <c r="M1752" s="1" t="str">
        <f>IFERROR(__xludf.DUMMYFUNCTION("""COMPUTED_VALUE"""),"RFID")</f>
        <v>RFID</v>
      </c>
      <c r="N1752" s="5" t="str">
        <f>IFERROR(__xludf.DUMMYFUNCTION("""COMPUTED_VALUE"""),"")</f>
        <v/>
      </c>
      <c r="O1752" s="5" t="str">
        <f>IFERROR(__xludf.DUMMYFUNCTION("""COMPUTED_VALUE"""),"")</f>
        <v/>
      </c>
      <c r="P1752" s="5" t="str">
        <f>IFERROR(__xludf.DUMMYFUNCTION("""COMPUTED_VALUE"""),"")</f>
        <v/>
      </c>
      <c r="Q1752" s="5" t="str">
        <f>IFERROR(__xludf.DUMMYFUNCTION("""COMPUTED_VALUE"""),"")</f>
        <v/>
      </c>
      <c r="R1752" s="4" t="str">
        <f>IFERROR(__xludf.DUMMYFUNCTION("""COMPUTED_VALUE"""),"")</f>
        <v/>
      </c>
      <c r="S1752" s="1" t="b">
        <f>IFERROR(__xludf.DUMMYFUNCTION("""COMPUTED_VALUE"""),FALSE)</f>
        <v>0</v>
      </c>
      <c r="T1752" s="1" t="b">
        <f>IFERROR(__xludf.DUMMYFUNCTION("""COMPUTED_VALUE"""),FALSE)</f>
        <v>0</v>
      </c>
      <c r="U1752" s="1" t="str">
        <f>IFERROR(__xludf.DUMMYFUNCTION("""COMPUTED_VALUE"""),"DSQ")</f>
        <v>DSQ</v>
      </c>
      <c r="V1752" s="1" t="str">
        <f>IFERROR(__xludf.DUMMYFUNCTION("""COMPUTED_VALUE"""),"DSQ")</f>
        <v>DSQ</v>
      </c>
      <c r="W1752" s="1" t="str">
        <f>IFERROR(__xludf.DUMMYFUNCTION("""COMPUTED_VALUE"""),"DSQ")</f>
        <v>DSQ</v>
      </c>
      <c r="X1752" s="1" t="str">
        <f>IFERROR(__xludf.DUMMYFUNCTION("""COMPUTED_VALUE"""),"DSQ")</f>
        <v>DSQ</v>
      </c>
      <c r="Y1752" s="2"/>
      <c r="Z1752" s="2" t="str">
        <f>IFERROR(__xludf.DUMMYFUNCTION("""COMPUTED_VALUE"""),"")</f>
        <v/>
      </c>
    </row>
    <row r="1753">
      <c r="A1753" s="1">
        <f>IFERROR(__xludf.DUMMYFUNCTION("""COMPUTED_VALUE"""),1752.0)</f>
        <v>1752</v>
      </c>
      <c r="B1753" s="1">
        <f>IFERROR(__xludf.DUMMYFUNCTION("""COMPUTED_VALUE"""),5164.0)</f>
        <v>5164</v>
      </c>
      <c r="C1753" s="2" t="str">
        <f>IFERROR(__xludf.DUMMYFUNCTION("""COMPUTED_VALUE"""),"Bakhtiar")</f>
        <v>Bakhtiar</v>
      </c>
      <c r="D1753" s="2" t="str">
        <f>IFERROR(__xludf.DUMMYFUNCTION("""COMPUTED_VALUE"""),"5KM OVERALL M")</f>
        <v>5KM OVERALL M</v>
      </c>
      <c r="E1753" s="1">
        <f>IFERROR(__xludf.DUMMYFUNCTION("""COMPUTED_VALUE"""),2.0)</f>
        <v>2</v>
      </c>
      <c r="F1753" s="1" t="str">
        <f>IFERROR(__xludf.DUMMYFUNCTION("""COMPUTED_VALUE"""),"Male")</f>
        <v>Male</v>
      </c>
      <c r="G1753" s="4" t="b">
        <f>IFERROR(__xludf.DUMMYFUNCTION("""COMPUTED_VALUE"""),TRUE)</f>
        <v>1</v>
      </c>
      <c r="H1753" s="4" t="b">
        <f>IFERROR(__xludf.DUMMYFUNCTION("""COMPUTED_VALUE"""),TRUE)</f>
        <v>1</v>
      </c>
      <c r="I1753" s="4">
        <f>IFERROR(__xludf.DUMMYFUNCTION("""COMPUTED_VALUE"""),0.2549440625)</f>
        <v>0.2549440625</v>
      </c>
      <c r="J1753" s="4">
        <f>IFERROR(__xludf.DUMMYFUNCTION("""COMPUTED_VALUE"""),45949.264356558524)</f>
        <v>45949.26436</v>
      </c>
      <c r="K1753" s="4" t="str">
        <f>IFERROR(__xludf.DUMMYFUNCTION("""COMPUTED_VALUE"""),"")</f>
        <v/>
      </c>
      <c r="L1753" s="4">
        <f>IFERROR(__xludf.DUMMYFUNCTION("""COMPUTED_VALUE"""),45949.27307100984)</f>
        <v>45949.27307</v>
      </c>
      <c r="M1753" s="1" t="str">
        <f>IFERROR(__xludf.DUMMYFUNCTION("""COMPUTED_VALUE"""),"RFID")</f>
        <v>RFID</v>
      </c>
      <c r="N1753" s="5">
        <f>IFERROR(__xludf.DUMMYFUNCTION("""COMPUTED_VALUE"""),0.003765)</f>
        <v>0.003765</v>
      </c>
      <c r="O1753" s="5" t="str">
        <f>IFERROR(__xludf.DUMMYFUNCTION("""COMPUTED_VALUE"""),"")</f>
        <v/>
      </c>
      <c r="P1753" s="5" t="str">
        <f>IFERROR(__xludf.DUMMYFUNCTION("""COMPUTED_VALUE"""),"")</f>
        <v/>
      </c>
      <c r="Q1753" s="5">
        <f>IFERROR(__xludf.DUMMYFUNCTION("""COMPUTED_VALUE"""),0.0036253888888888885)</f>
        <v>0.003625388889</v>
      </c>
      <c r="R1753" s="4">
        <f>IFERROR(__xludf.DUMMYFUNCTION("""COMPUTED_VALUE"""),45949.01812694734)</f>
        <v>45949.01813</v>
      </c>
      <c r="S1753" s="1" t="b">
        <f>IFERROR(__xludf.DUMMYFUNCTION("""COMPUTED_VALUE"""),TRUE)</f>
        <v>1</v>
      </c>
      <c r="T1753" s="1" t="b">
        <f>IFERROR(__xludf.DUMMYFUNCTION("""COMPUTED_VALUE"""),FALSE)</f>
        <v>0</v>
      </c>
      <c r="U1753" s="1" t="str">
        <f>IFERROR(__xludf.DUMMYFUNCTION("""COMPUTED_VALUE"""),"VALID")</f>
        <v>VALID</v>
      </c>
      <c r="V1753" s="1">
        <f>IFERROR(__xludf.DUMMYFUNCTION("""COMPUTED_VALUE"""),36.0)</f>
        <v>36</v>
      </c>
      <c r="W1753" s="1">
        <f>IFERROR(__xludf.DUMMYFUNCTION("""COMPUTED_VALUE"""),56.0)</f>
        <v>56</v>
      </c>
      <c r="X1753" s="1">
        <f>IFERROR(__xludf.DUMMYFUNCTION("""COMPUTED_VALUE"""),53.0)</f>
        <v>53</v>
      </c>
      <c r="Y1753" s="2"/>
      <c r="Z1753" s="2"/>
    </row>
    <row r="1754">
      <c r="A1754" s="1">
        <f>IFERROR(__xludf.DUMMYFUNCTION("""COMPUTED_VALUE"""),1753.0)</f>
        <v>1753</v>
      </c>
      <c r="B1754" s="1">
        <f>IFERROR(__xludf.DUMMYFUNCTION("""COMPUTED_VALUE"""),5166.0)</f>
        <v>5166</v>
      </c>
      <c r="C1754" s="2" t="str">
        <f>IFERROR(__xludf.DUMMYFUNCTION("""COMPUTED_VALUE"""),"MARS")</f>
        <v>MARS</v>
      </c>
      <c r="D1754" s="2" t="str">
        <f>IFERROR(__xludf.DUMMYFUNCTION("""COMPUTED_VALUE"""),"5KM OVERALL M")</f>
        <v>5KM OVERALL M</v>
      </c>
      <c r="E1754" s="1">
        <f>IFERROR(__xludf.DUMMYFUNCTION("""COMPUTED_VALUE"""),2.0)</f>
        <v>2</v>
      </c>
      <c r="F1754" s="1" t="str">
        <f>IFERROR(__xludf.DUMMYFUNCTION("""COMPUTED_VALUE"""),"Male")</f>
        <v>Male</v>
      </c>
      <c r="G1754" s="4" t="b">
        <f>IFERROR(__xludf.DUMMYFUNCTION("""COMPUTED_VALUE"""),TRUE)</f>
        <v>1</v>
      </c>
      <c r="H1754" s="4" t="b">
        <f>IFERROR(__xludf.DUMMYFUNCTION("""COMPUTED_VALUE"""),TRUE)</f>
        <v>1</v>
      </c>
      <c r="I1754" s="4">
        <f>IFERROR(__xludf.DUMMYFUNCTION("""COMPUTED_VALUE"""),0.2549440625)</f>
        <v>0.2549440625</v>
      </c>
      <c r="J1754" s="4">
        <f>IFERROR(__xludf.DUMMYFUNCTION("""COMPUTED_VALUE"""),45949.263982528646)</f>
        <v>45949.26398</v>
      </c>
      <c r="K1754" s="4" t="str">
        <f>IFERROR(__xludf.DUMMYFUNCTION("""COMPUTED_VALUE"""),"")</f>
        <v/>
      </c>
      <c r="L1754" s="4">
        <f>IFERROR(__xludf.DUMMYFUNCTION("""COMPUTED_VALUE"""),45949.271421696925)</f>
        <v>45949.27142</v>
      </c>
      <c r="M1754" s="1" t="str">
        <f>IFERROR(__xludf.DUMMYFUNCTION("""COMPUTED_VALUE"""),"RFID")</f>
        <v>RFID</v>
      </c>
      <c r="N1754" s="5">
        <f>IFERROR(__xludf.DUMMYFUNCTION("""COMPUTED_VALUE"""),0.003615384259259259)</f>
        <v>0.003615384259</v>
      </c>
      <c r="O1754" s="5" t="str">
        <f>IFERROR(__xludf.DUMMYFUNCTION("""COMPUTED_VALUE"""),"")</f>
        <v/>
      </c>
      <c r="P1754" s="5" t="str">
        <f>IFERROR(__xludf.DUMMYFUNCTION("""COMPUTED_VALUE"""),"")</f>
        <v/>
      </c>
      <c r="Q1754" s="5">
        <f>IFERROR(__xludf.DUMMYFUNCTION("""COMPUTED_VALUE"""),0.003295527777777778)</f>
        <v>0.003295527778</v>
      </c>
      <c r="R1754" s="4">
        <f>IFERROR(__xludf.DUMMYFUNCTION("""COMPUTED_VALUE"""),45949.016477634425)</f>
        <v>45949.01648</v>
      </c>
      <c r="S1754" s="1" t="b">
        <f>IFERROR(__xludf.DUMMYFUNCTION("""COMPUTED_VALUE"""),TRUE)</f>
        <v>1</v>
      </c>
      <c r="T1754" s="1" t="b">
        <f>IFERROR(__xludf.DUMMYFUNCTION("""COMPUTED_VALUE"""),FALSE)</f>
        <v>0</v>
      </c>
      <c r="U1754" s="1" t="str">
        <f>IFERROR(__xludf.DUMMYFUNCTION("""COMPUTED_VALUE"""),"VALID")</f>
        <v>VALID</v>
      </c>
      <c r="V1754" s="1">
        <f>IFERROR(__xludf.DUMMYFUNCTION("""COMPUTED_VALUE"""),20.0)</f>
        <v>20</v>
      </c>
      <c r="W1754" s="1">
        <f>IFERROR(__xludf.DUMMYFUNCTION("""COMPUTED_VALUE"""),29.0)</f>
        <v>29</v>
      </c>
      <c r="X1754" s="1">
        <f>IFERROR(__xludf.DUMMYFUNCTION("""COMPUTED_VALUE"""),28.0)</f>
        <v>28</v>
      </c>
      <c r="Y1754" s="2"/>
      <c r="Z1754" s="2"/>
    </row>
    <row r="1755">
      <c r="A1755" s="1">
        <f>IFERROR(__xludf.DUMMYFUNCTION("""COMPUTED_VALUE"""),1754.0)</f>
        <v>1754</v>
      </c>
      <c r="B1755" s="1">
        <f>IFERROR(__xludf.DUMMYFUNCTION("""COMPUTED_VALUE"""),5169.0)</f>
        <v>5169</v>
      </c>
      <c r="C1755" s="2" t="str">
        <f>IFERROR(__xludf.DUMMYFUNCTION("""COMPUTED_VALUE"""),"Celcius")</f>
        <v>Celcius</v>
      </c>
      <c r="D1755" s="2" t="str">
        <f>IFERROR(__xludf.DUMMYFUNCTION("""COMPUTED_VALUE"""),"5KM OVERALL M")</f>
        <v>5KM OVERALL M</v>
      </c>
      <c r="E1755" s="1">
        <f>IFERROR(__xludf.DUMMYFUNCTION("""COMPUTED_VALUE"""),2.0)</f>
        <v>2</v>
      </c>
      <c r="F1755" s="1" t="str">
        <f>IFERROR(__xludf.DUMMYFUNCTION("""COMPUTED_VALUE"""),"Male")</f>
        <v>Male</v>
      </c>
      <c r="G1755" s="4" t="b">
        <f>IFERROR(__xludf.DUMMYFUNCTION("""COMPUTED_VALUE"""),TRUE)</f>
        <v>1</v>
      </c>
      <c r="H1755" s="4" t="b">
        <f>IFERROR(__xludf.DUMMYFUNCTION("""COMPUTED_VALUE"""),FALSE)</f>
        <v>0</v>
      </c>
      <c r="I1755" s="4">
        <f>IFERROR(__xludf.DUMMYFUNCTION("""COMPUTED_VALUE"""),0.2549440625)</f>
        <v>0.2549440625</v>
      </c>
      <c r="J1755" s="4">
        <f>IFERROR(__xludf.DUMMYFUNCTION("""COMPUTED_VALUE"""),45949.270842660175)</f>
        <v>45949.27084</v>
      </c>
      <c r="K1755" s="4" t="str">
        <f>IFERROR(__xludf.DUMMYFUNCTION("""COMPUTED_VALUE"""),"")</f>
        <v/>
      </c>
      <c r="L1755" s="4">
        <f>IFERROR(__xludf.DUMMYFUNCTION("""COMPUTED_VALUE"""),45949.28390088492)</f>
        <v>45949.2839</v>
      </c>
      <c r="M1755" s="1" t="str">
        <f>IFERROR(__xludf.DUMMYFUNCTION("""COMPUTED_VALUE"""),"RFID")</f>
        <v>RFID</v>
      </c>
      <c r="N1755" s="5">
        <f>IFERROR(__xludf.DUMMYFUNCTION("""COMPUTED_VALUE"""),0.006359439814814814)</f>
        <v>0.006359439815</v>
      </c>
      <c r="O1755" s="5" t="str">
        <f>IFERROR(__xludf.DUMMYFUNCTION("""COMPUTED_VALUE"""),"")</f>
        <v/>
      </c>
      <c r="P1755" s="5" t="str">
        <f>IFERROR(__xludf.DUMMYFUNCTION("""COMPUTED_VALUE"""),"")</f>
        <v/>
      </c>
      <c r="Q1755" s="5">
        <f>IFERROR(__xludf.DUMMYFUNCTION("""COMPUTED_VALUE"""),0.005791363425925926)</f>
        <v>0.005791363426</v>
      </c>
      <c r="R1755" s="4">
        <f>IFERROR(__xludf.DUMMYFUNCTION("""COMPUTED_VALUE"""),45949.02895682242)</f>
        <v>45949.02896</v>
      </c>
      <c r="S1755" s="1" t="b">
        <f>IFERROR(__xludf.DUMMYFUNCTION("""COMPUTED_VALUE"""),TRUE)</f>
        <v>1</v>
      </c>
      <c r="T1755" s="1" t="b">
        <f>IFERROR(__xludf.DUMMYFUNCTION("""COMPUTED_VALUE"""),FALSE)</f>
        <v>0</v>
      </c>
      <c r="U1755" s="1" t="str">
        <f>IFERROR(__xludf.DUMMYFUNCTION("""COMPUTED_VALUE"""),"VALID")</f>
        <v>VALID</v>
      </c>
      <c r="V1755" s="1">
        <f>IFERROR(__xludf.DUMMYFUNCTION("""COMPUTED_VALUE"""),335.0)</f>
        <v>335</v>
      </c>
      <c r="W1755" s="1">
        <f>IFERROR(__xludf.DUMMYFUNCTION("""COMPUTED_VALUE"""),498.0)</f>
        <v>498</v>
      </c>
      <c r="X1755" s="1">
        <f>IFERROR(__xludf.DUMMYFUNCTION("""COMPUTED_VALUE"""),434.0)</f>
        <v>434</v>
      </c>
      <c r="Y1755" s="2"/>
      <c r="Z1755" s="2"/>
    </row>
    <row r="1756">
      <c r="A1756" s="1">
        <f>IFERROR(__xludf.DUMMYFUNCTION("""COMPUTED_VALUE"""),1755.0)</f>
        <v>1755</v>
      </c>
      <c r="B1756" s="1">
        <f>IFERROR(__xludf.DUMMYFUNCTION("""COMPUTED_VALUE"""),5170.0)</f>
        <v>5170</v>
      </c>
      <c r="C1756" s="2" t="str">
        <f>IFERROR(__xludf.DUMMYFUNCTION("""COMPUTED_VALUE"""),"Athario Nuriadi")</f>
        <v>Athario Nuriadi</v>
      </c>
      <c r="D1756" s="2" t="str">
        <f>IFERROR(__xludf.DUMMYFUNCTION("""COMPUTED_VALUE"""),"5KM OVERALL M")</f>
        <v>5KM OVERALL M</v>
      </c>
      <c r="E1756" s="1">
        <f>IFERROR(__xludf.DUMMYFUNCTION("""COMPUTED_VALUE"""),2.0)</f>
        <v>2</v>
      </c>
      <c r="F1756" s="1" t="str">
        <f>IFERROR(__xludf.DUMMYFUNCTION("""COMPUTED_VALUE"""),"Male")</f>
        <v>Male</v>
      </c>
      <c r="G1756" s="4" t="b">
        <f>IFERROR(__xludf.DUMMYFUNCTION("""COMPUTED_VALUE"""),TRUE)</f>
        <v>1</v>
      </c>
      <c r="H1756" s="4" t="b">
        <f>IFERROR(__xludf.DUMMYFUNCTION("""COMPUTED_VALUE"""),TRUE)</f>
        <v>1</v>
      </c>
      <c r="I1756" s="4">
        <f>IFERROR(__xludf.DUMMYFUNCTION("""COMPUTED_VALUE"""),0.2549440625)</f>
        <v>0.2549440625</v>
      </c>
      <c r="J1756" s="4">
        <f>IFERROR(__xludf.DUMMYFUNCTION("""COMPUTED_VALUE"""),45949.26704404759)</f>
        <v>45949.26704</v>
      </c>
      <c r="K1756" s="4" t="str">
        <f>IFERROR(__xludf.DUMMYFUNCTION("""COMPUTED_VALUE"""),"")</f>
        <v/>
      </c>
      <c r="L1756" s="4">
        <f>IFERROR(__xludf.DUMMYFUNCTION("""COMPUTED_VALUE"""),45949.27635572655)</f>
        <v>45949.27636</v>
      </c>
      <c r="M1756" s="1" t="str">
        <f>IFERROR(__xludf.DUMMYFUNCTION("""COMPUTED_VALUE"""),"RFID")</f>
        <v>RFID</v>
      </c>
      <c r="N1756" s="5">
        <f>IFERROR(__xludf.DUMMYFUNCTION("""COMPUTED_VALUE"""),0.004839995370370371)</f>
        <v>0.00483999537</v>
      </c>
      <c r="O1756" s="5" t="str">
        <f>IFERROR(__xludf.DUMMYFUNCTION("""COMPUTED_VALUE"""),"")</f>
        <v/>
      </c>
      <c r="P1756" s="5" t="str">
        <f>IFERROR(__xludf.DUMMYFUNCTION("""COMPUTED_VALUE"""),"")</f>
        <v/>
      </c>
      <c r="Q1756" s="5">
        <f>IFERROR(__xludf.DUMMYFUNCTION("""COMPUTED_VALUE"""),0.004282333333333334)</f>
        <v>0.004282333333</v>
      </c>
      <c r="R1756" s="4">
        <f>IFERROR(__xludf.DUMMYFUNCTION("""COMPUTED_VALUE"""),45949.02141166405)</f>
        <v>45949.02141</v>
      </c>
      <c r="S1756" s="1" t="b">
        <f>IFERROR(__xludf.DUMMYFUNCTION("""COMPUTED_VALUE"""),TRUE)</f>
        <v>1</v>
      </c>
      <c r="T1756" s="1" t="b">
        <f>IFERROR(__xludf.DUMMYFUNCTION("""COMPUTED_VALUE"""),FALSE)</f>
        <v>0</v>
      </c>
      <c r="U1756" s="1" t="str">
        <f>IFERROR(__xludf.DUMMYFUNCTION("""COMPUTED_VALUE"""),"VALID")</f>
        <v>VALID</v>
      </c>
      <c r="V1756" s="1">
        <f>IFERROR(__xludf.DUMMYFUNCTION("""COMPUTED_VALUE"""),101.0)</f>
        <v>101</v>
      </c>
      <c r="W1756" s="1">
        <f>IFERROR(__xludf.DUMMYFUNCTION("""COMPUTED_VALUE"""),158.0)</f>
        <v>158</v>
      </c>
      <c r="X1756" s="1">
        <f>IFERROR(__xludf.DUMMYFUNCTION("""COMPUTED_VALUE"""),139.0)</f>
        <v>139</v>
      </c>
      <c r="Y1756" s="2"/>
      <c r="Z1756" s="2"/>
    </row>
    <row r="1757">
      <c r="A1757" s="1">
        <f>IFERROR(__xludf.DUMMYFUNCTION("""COMPUTED_VALUE"""),1756.0)</f>
        <v>1756</v>
      </c>
      <c r="B1757" s="1">
        <f>IFERROR(__xludf.DUMMYFUNCTION("""COMPUTED_VALUE"""),5175.0)</f>
        <v>5175</v>
      </c>
      <c r="C1757" s="2" t="str">
        <f>IFERROR(__xludf.DUMMYFUNCTION("""COMPUTED_VALUE"""),"Godam")</f>
        <v>Godam</v>
      </c>
      <c r="D1757" s="2" t="str">
        <f>IFERROR(__xludf.DUMMYFUNCTION("""COMPUTED_VALUE"""),"5KM OVERALL M")</f>
        <v>5KM OVERALL M</v>
      </c>
      <c r="E1757" s="1">
        <f>IFERROR(__xludf.DUMMYFUNCTION("""COMPUTED_VALUE"""),2.0)</f>
        <v>2</v>
      </c>
      <c r="F1757" s="1" t="str">
        <f>IFERROR(__xludf.DUMMYFUNCTION("""COMPUTED_VALUE"""),"Male")</f>
        <v>Male</v>
      </c>
      <c r="G1757" s="4" t="b">
        <f>IFERROR(__xludf.DUMMYFUNCTION("""COMPUTED_VALUE"""),TRUE)</f>
        <v>1</v>
      </c>
      <c r="H1757" s="4" t="b">
        <f>IFERROR(__xludf.DUMMYFUNCTION("""COMPUTED_VALUE"""),TRUE)</f>
        <v>1</v>
      </c>
      <c r="I1757" s="4">
        <f>IFERROR(__xludf.DUMMYFUNCTION("""COMPUTED_VALUE"""),0.2549440625)</f>
        <v>0.2549440625</v>
      </c>
      <c r="J1757" s="4">
        <f>IFERROR(__xludf.DUMMYFUNCTION("""COMPUTED_VALUE"""),45949.2746065518)</f>
        <v>45949.27461</v>
      </c>
      <c r="K1757" s="4" t="str">
        <f>IFERROR(__xludf.DUMMYFUNCTION("""COMPUTED_VALUE"""),"")</f>
        <v/>
      </c>
      <c r="L1757" s="4">
        <f>IFERROR(__xludf.DUMMYFUNCTION("""COMPUTED_VALUE"""),45949.29218907654)</f>
        <v>45949.29219</v>
      </c>
      <c r="M1757" s="1" t="str">
        <f>IFERROR(__xludf.DUMMYFUNCTION("""COMPUTED_VALUE"""),"RFID")</f>
        <v>RFID</v>
      </c>
      <c r="N1757" s="5">
        <f>IFERROR(__xludf.DUMMYFUNCTION("""COMPUTED_VALUE"""),0.00786499537037037)</f>
        <v>0.00786499537</v>
      </c>
      <c r="O1757" s="5" t="str">
        <f>IFERROR(__xludf.DUMMYFUNCTION("""COMPUTED_VALUE"""),"")</f>
        <v/>
      </c>
      <c r="P1757" s="5" t="str">
        <f>IFERROR(__xludf.DUMMYFUNCTION("""COMPUTED_VALUE"""),"")</f>
        <v/>
      </c>
      <c r="Q1757" s="5">
        <f>IFERROR(__xludf.DUMMYFUNCTION("""COMPUTED_VALUE"""),0.0074490023148148145)</f>
        <v>0.007449002315</v>
      </c>
      <c r="R1757" s="4">
        <f>IFERROR(__xludf.DUMMYFUNCTION("""COMPUTED_VALUE"""),45949.03724501404)</f>
        <v>45949.03725</v>
      </c>
      <c r="S1757" s="1" t="b">
        <f>IFERROR(__xludf.DUMMYFUNCTION("""COMPUTED_VALUE"""),TRUE)</f>
        <v>1</v>
      </c>
      <c r="T1757" s="1" t="b">
        <f>IFERROR(__xludf.DUMMYFUNCTION("""COMPUTED_VALUE"""),FALSE)</f>
        <v>0</v>
      </c>
      <c r="U1757" s="1" t="str">
        <f>IFERROR(__xludf.DUMMYFUNCTION("""COMPUTED_VALUE"""),"VALID")</f>
        <v>VALID</v>
      </c>
      <c r="V1757" s="1">
        <f>IFERROR(__xludf.DUMMYFUNCTION("""COMPUTED_VALUE"""),632.0)</f>
        <v>632</v>
      </c>
      <c r="W1757" s="1">
        <f>IFERROR(__xludf.DUMMYFUNCTION("""COMPUTED_VALUE"""),1043.0)</f>
        <v>1043</v>
      </c>
      <c r="X1757" s="1">
        <f>IFERROR(__xludf.DUMMYFUNCTION("""COMPUTED_VALUE"""),832.0)</f>
        <v>832</v>
      </c>
      <c r="Y1757" s="2"/>
      <c r="Z1757" s="2"/>
    </row>
    <row r="1758">
      <c r="A1758" s="1">
        <f>IFERROR(__xludf.DUMMYFUNCTION("""COMPUTED_VALUE"""),1757.0)</f>
        <v>1757</v>
      </c>
      <c r="B1758" s="1">
        <f>IFERROR(__xludf.DUMMYFUNCTION("""COMPUTED_VALUE"""),5176.0)</f>
        <v>5176</v>
      </c>
      <c r="C1758" s="2" t="str">
        <f>IFERROR(__xludf.DUMMYFUNCTION("""COMPUTED_VALUE"""),"satrio bagus")</f>
        <v>satrio bagus</v>
      </c>
      <c r="D1758" s="2" t="str">
        <f>IFERROR(__xludf.DUMMYFUNCTION("""COMPUTED_VALUE"""),"5KM OVERALL M")</f>
        <v>5KM OVERALL M</v>
      </c>
      <c r="E1758" s="1">
        <f>IFERROR(__xludf.DUMMYFUNCTION("""COMPUTED_VALUE"""),2.0)</f>
        <v>2</v>
      </c>
      <c r="F1758" s="1" t="str">
        <f>IFERROR(__xludf.DUMMYFUNCTION("""COMPUTED_VALUE"""),"Male")</f>
        <v>Male</v>
      </c>
      <c r="G1758" s="4" t="b">
        <f>IFERROR(__xludf.DUMMYFUNCTION("""COMPUTED_VALUE"""),TRUE)</f>
        <v>1</v>
      </c>
      <c r="H1758" s="4" t="b">
        <f>IFERROR(__xludf.DUMMYFUNCTION("""COMPUTED_VALUE"""),TRUE)</f>
        <v>1</v>
      </c>
      <c r="I1758" s="4">
        <f>IFERROR(__xludf.DUMMYFUNCTION("""COMPUTED_VALUE"""),0.2549440625)</f>
        <v>0.2549440625</v>
      </c>
      <c r="J1758" s="4">
        <f>IFERROR(__xludf.DUMMYFUNCTION("""COMPUTED_VALUE"""),45949.27360371998)</f>
        <v>45949.2736</v>
      </c>
      <c r="K1758" s="4" t="str">
        <f>IFERROR(__xludf.DUMMYFUNCTION("""COMPUTED_VALUE"""),"")</f>
        <v/>
      </c>
      <c r="L1758" s="4">
        <f>IFERROR(__xludf.DUMMYFUNCTION("""COMPUTED_VALUE"""),45949.2840779529)</f>
        <v>45949.28408</v>
      </c>
      <c r="M1758" s="1" t="str">
        <f>IFERROR(__xludf.DUMMYFUNCTION("""COMPUTED_VALUE"""),"RFID")</f>
        <v>RFID</v>
      </c>
      <c r="N1758" s="5">
        <f>IFERROR(__xludf.DUMMYFUNCTION("""COMPUTED_VALUE"""),0.007463861111111111)</f>
        <v>0.007463861111</v>
      </c>
      <c r="O1758" s="5" t="str">
        <f>IFERROR(__xludf.DUMMYFUNCTION("""COMPUTED_VALUE"""),"")</f>
        <v/>
      </c>
      <c r="P1758" s="5" t="str">
        <f>IFERROR(__xludf.DUMMYFUNCTION("""COMPUTED_VALUE"""),"")</f>
        <v/>
      </c>
      <c r="Q1758" s="5">
        <f>IFERROR(__xludf.DUMMYFUNCTION("""COMPUTED_VALUE"""),0.005826777777777778)</f>
        <v>0.005826777778</v>
      </c>
      <c r="R1758" s="4">
        <f>IFERROR(__xludf.DUMMYFUNCTION("""COMPUTED_VALUE"""),45949.0291338904)</f>
        <v>45949.02913</v>
      </c>
      <c r="S1758" s="1" t="b">
        <f>IFERROR(__xludf.DUMMYFUNCTION("""COMPUTED_VALUE"""),TRUE)</f>
        <v>1</v>
      </c>
      <c r="T1758" s="1" t="b">
        <f>IFERROR(__xludf.DUMMYFUNCTION("""COMPUTED_VALUE"""),FALSE)</f>
        <v>0</v>
      </c>
      <c r="U1758" s="1" t="str">
        <f>IFERROR(__xludf.DUMMYFUNCTION("""COMPUTED_VALUE"""),"VALID")</f>
        <v>VALID</v>
      </c>
      <c r="V1758" s="1">
        <f>IFERROR(__xludf.DUMMYFUNCTION("""COMPUTED_VALUE"""),339.0)</f>
        <v>339</v>
      </c>
      <c r="W1758" s="1">
        <f>IFERROR(__xludf.DUMMYFUNCTION("""COMPUTED_VALUE"""),503.0)</f>
        <v>503</v>
      </c>
      <c r="X1758" s="1">
        <f>IFERROR(__xludf.DUMMYFUNCTION("""COMPUTED_VALUE"""),438.0)</f>
        <v>438</v>
      </c>
      <c r="Y1758" s="2"/>
      <c r="Z1758" s="2"/>
    </row>
    <row r="1759">
      <c r="A1759" s="1">
        <f>IFERROR(__xludf.DUMMYFUNCTION("""COMPUTED_VALUE"""),1758.0)</f>
        <v>1758</v>
      </c>
      <c r="B1759" s="1">
        <f>IFERROR(__xludf.DUMMYFUNCTION("""COMPUTED_VALUE"""),5177.0)</f>
        <v>5177</v>
      </c>
      <c r="C1759" s="2" t="str">
        <f>IFERROR(__xludf.DUMMYFUNCTION("""COMPUTED_VALUE"""),"AND")</f>
        <v>AND</v>
      </c>
      <c r="D1759" s="2" t="str">
        <f>IFERROR(__xludf.DUMMYFUNCTION("""COMPUTED_VALUE"""),"5KM OVERALL M")</f>
        <v>5KM OVERALL M</v>
      </c>
      <c r="E1759" s="1">
        <f>IFERROR(__xludf.DUMMYFUNCTION("""COMPUTED_VALUE"""),2.0)</f>
        <v>2</v>
      </c>
      <c r="F1759" s="1" t="str">
        <f>IFERROR(__xludf.DUMMYFUNCTION("""COMPUTED_VALUE"""),"Male")</f>
        <v>Male</v>
      </c>
      <c r="G1759" s="4" t="b">
        <f>IFERROR(__xludf.DUMMYFUNCTION("""COMPUTED_VALUE"""),TRUE)</f>
        <v>1</v>
      </c>
      <c r="H1759" s="4" t="b">
        <f>IFERROR(__xludf.DUMMYFUNCTION("""COMPUTED_VALUE"""),TRUE)</f>
        <v>1</v>
      </c>
      <c r="I1759" s="4">
        <f>IFERROR(__xludf.DUMMYFUNCTION("""COMPUTED_VALUE"""),0.2549440625)</f>
        <v>0.2549440625</v>
      </c>
      <c r="J1759" s="4">
        <f>IFERROR(__xludf.DUMMYFUNCTION("""COMPUTED_VALUE"""),45949.278200383895)</f>
        <v>45949.2782</v>
      </c>
      <c r="K1759" s="4" t="str">
        <f>IFERROR(__xludf.DUMMYFUNCTION("""COMPUTED_VALUE"""),"")</f>
        <v/>
      </c>
      <c r="L1759" s="4">
        <f>IFERROR(__xludf.DUMMYFUNCTION("""COMPUTED_VALUE"""),45949.29638351142)</f>
        <v>45949.29638</v>
      </c>
      <c r="M1759" s="1" t="str">
        <f>IFERROR(__xludf.DUMMYFUNCTION("""COMPUTED_VALUE"""),"RFID")</f>
        <v>RFID</v>
      </c>
      <c r="N1759" s="5">
        <f>IFERROR(__xludf.DUMMYFUNCTION("""COMPUTED_VALUE"""),0.009302527777777778)</f>
        <v>0.009302527778</v>
      </c>
      <c r="O1759" s="5" t="str">
        <f>IFERROR(__xludf.DUMMYFUNCTION("""COMPUTED_VALUE"""),"")</f>
        <v/>
      </c>
      <c r="P1759" s="5" t="str">
        <f>IFERROR(__xludf.DUMMYFUNCTION("""COMPUTED_VALUE"""),"")</f>
        <v/>
      </c>
      <c r="Q1759" s="5">
        <f>IFERROR(__xludf.DUMMYFUNCTION("""COMPUTED_VALUE"""),0.00828788888888889)</f>
        <v>0.008287888889</v>
      </c>
      <c r="R1759" s="4">
        <f>IFERROR(__xludf.DUMMYFUNCTION("""COMPUTED_VALUE"""),45949.04143944892)</f>
        <v>45949.04144</v>
      </c>
      <c r="S1759" s="1" t="b">
        <f>IFERROR(__xludf.DUMMYFUNCTION("""COMPUTED_VALUE"""),TRUE)</f>
        <v>1</v>
      </c>
      <c r="T1759" s="1" t="b">
        <f>IFERROR(__xludf.DUMMYFUNCTION("""COMPUTED_VALUE"""),FALSE)</f>
        <v>0</v>
      </c>
      <c r="U1759" s="1" t="str">
        <f>IFERROR(__xludf.DUMMYFUNCTION("""COMPUTED_VALUE"""),"VALID")</f>
        <v>VALID</v>
      </c>
      <c r="V1759" s="1">
        <f>IFERROR(__xludf.DUMMYFUNCTION("""COMPUTED_VALUE"""),745.0)</f>
        <v>745</v>
      </c>
      <c r="W1759" s="1">
        <f>IFERROR(__xludf.DUMMYFUNCTION("""COMPUTED_VALUE"""),1308.0)</f>
        <v>1308</v>
      </c>
      <c r="X1759" s="1">
        <f>IFERROR(__xludf.DUMMYFUNCTION("""COMPUTED_VALUE"""),1040.0)</f>
        <v>1040</v>
      </c>
      <c r="Y1759" s="2"/>
      <c r="Z1759" s="2"/>
    </row>
    <row r="1760">
      <c r="A1760" s="1">
        <f>IFERROR(__xludf.DUMMYFUNCTION("""COMPUTED_VALUE"""),1759.0)</f>
        <v>1759</v>
      </c>
      <c r="B1760" s="1">
        <f>IFERROR(__xludf.DUMMYFUNCTION("""COMPUTED_VALUE"""),5178.0)</f>
        <v>5178</v>
      </c>
      <c r="C1760" s="2">
        <f>IFERROR(__xludf.DUMMYFUNCTION("""COMPUTED_VALUE"""),565.0)</f>
        <v>565</v>
      </c>
      <c r="D1760" s="2" t="str">
        <f>IFERROR(__xludf.DUMMYFUNCTION("""COMPUTED_VALUE"""),"5KM OVERALL M")</f>
        <v>5KM OVERALL M</v>
      </c>
      <c r="E1760" s="1">
        <f>IFERROR(__xludf.DUMMYFUNCTION("""COMPUTED_VALUE"""),2.0)</f>
        <v>2</v>
      </c>
      <c r="F1760" s="1" t="str">
        <f>IFERROR(__xludf.DUMMYFUNCTION("""COMPUTED_VALUE"""),"Male")</f>
        <v>Male</v>
      </c>
      <c r="G1760" s="4" t="b">
        <f>IFERROR(__xludf.DUMMYFUNCTION("""COMPUTED_VALUE"""),TRUE)</f>
        <v>1</v>
      </c>
      <c r="H1760" s="4" t="b">
        <f>IFERROR(__xludf.DUMMYFUNCTION("""COMPUTED_VALUE"""),TRUE)</f>
        <v>1</v>
      </c>
      <c r="I1760" s="4">
        <f>IFERROR(__xludf.DUMMYFUNCTION("""COMPUTED_VALUE"""),0.2549440625)</f>
        <v>0.2549440625</v>
      </c>
      <c r="J1760" s="4">
        <f>IFERROR(__xludf.DUMMYFUNCTION("""COMPUTED_VALUE"""),45949.27685312909)</f>
        <v>45949.27685</v>
      </c>
      <c r="K1760" s="4" t="str">
        <f>IFERROR(__xludf.DUMMYFUNCTION("""COMPUTED_VALUE"""),"")</f>
        <v/>
      </c>
      <c r="L1760" s="4">
        <f>IFERROR(__xludf.DUMMYFUNCTION("""COMPUTED_VALUE"""),45949.29427241442)</f>
        <v>45949.29427</v>
      </c>
      <c r="M1760" s="1" t="str">
        <f>IFERROR(__xludf.DUMMYFUNCTION("""COMPUTED_VALUE"""),"RFID")</f>
        <v>RFID</v>
      </c>
      <c r="N1760" s="5">
        <f>IFERROR(__xludf.DUMMYFUNCTION("""COMPUTED_VALUE"""),0.008763625)</f>
        <v>0.008763625</v>
      </c>
      <c r="O1760" s="5" t="str">
        <f>IFERROR(__xludf.DUMMYFUNCTION("""COMPUTED_VALUE"""),"")</f>
        <v/>
      </c>
      <c r="P1760" s="5" t="str">
        <f>IFERROR(__xludf.DUMMYFUNCTION("""COMPUTED_VALUE"""),"")</f>
        <v/>
      </c>
      <c r="Q1760" s="5">
        <f>IFERROR(__xludf.DUMMYFUNCTION("""COMPUTED_VALUE"""),0.007865671296296296)</f>
        <v>0.007865671296</v>
      </c>
      <c r="R1760" s="4">
        <f>IFERROR(__xludf.DUMMYFUNCTION("""COMPUTED_VALUE"""),45949.03932835192)</f>
        <v>45949.03933</v>
      </c>
      <c r="S1760" s="1" t="b">
        <f>IFERROR(__xludf.DUMMYFUNCTION("""COMPUTED_VALUE"""),TRUE)</f>
        <v>1</v>
      </c>
      <c r="T1760" s="1" t="b">
        <f>IFERROR(__xludf.DUMMYFUNCTION("""COMPUTED_VALUE"""),FALSE)</f>
        <v>0</v>
      </c>
      <c r="U1760" s="1" t="str">
        <f>IFERROR(__xludf.DUMMYFUNCTION("""COMPUTED_VALUE"""),"VALID")</f>
        <v>VALID</v>
      </c>
      <c r="V1760" s="1">
        <f>IFERROR(__xludf.DUMMYFUNCTION("""COMPUTED_VALUE"""),695.0)</f>
        <v>695</v>
      </c>
      <c r="W1760" s="1">
        <f>IFERROR(__xludf.DUMMYFUNCTION("""COMPUTED_VALUE"""),1197.0)</f>
        <v>1197</v>
      </c>
      <c r="X1760" s="1">
        <f>IFERROR(__xludf.DUMMYFUNCTION("""COMPUTED_VALUE"""),941.0)</f>
        <v>941</v>
      </c>
      <c r="Y1760" s="2"/>
      <c r="Z1760" s="2"/>
    </row>
    <row r="1761">
      <c r="A1761" s="1">
        <f>IFERROR(__xludf.DUMMYFUNCTION("""COMPUTED_VALUE"""),1760.0)</f>
        <v>1760</v>
      </c>
      <c r="B1761" s="1">
        <f>IFERROR(__xludf.DUMMYFUNCTION("""COMPUTED_VALUE"""),5184.0)</f>
        <v>5184</v>
      </c>
      <c r="C1761" s="2" t="str">
        <f>IFERROR(__xludf.DUMMYFUNCTION("""COMPUTED_VALUE"""),"Agung Haryanto")</f>
        <v>Agung Haryanto</v>
      </c>
      <c r="D1761" s="2" t="str">
        <f>IFERROR(__xludf.DUMMYFUNCTION("""COMPUTED_VALUE"""),"5KM OVERALL M")</f>
        <v>5KM OVERALL M</v>
      </c>
      <c r="E1761" s="1">
        <f>IFERROR(__xludf.DUMMYFUNCTION("""COMPUTED_VALUE"""),2.0)</f>
        <v>2</v>
      </c>
      <c r="F1761" s="1" t="str">
        <f>IFERROR(__xludf.DUMMYFUNCTION("""COMPUTED_VALUE"""),"Male")</f>
        <v>Male</v>
      </c>
      <c r="G1761" s="4" t="b">
        <f>IFERROR(__xludf.DUMMYFUNCTION("""COMPUTED_VALUE"""),TRUE)</f>
        <v>1</v>
      </c>
      <c r="H1761" s="4" t="b">
        <f>IFERROR(__xludf.DUMMYFUNCTION("""COMPUTED_VALUE"""),FALSE)</f>
        <v>0</v>
      </c>
      <c r="I1761" s="4">
        <f>IFERROR(__xludf.DUMMYFUNCTION("""COMPUTED_VALUE"""),0.2549440625)</f>
        <v>0.2549440625</v>
      </c>
      <c r="J1761" s="4">
        <f>IFERROR(__xludf.DUMMYFUNCTION("""COMPUTED_VALUE"""),45949.279565293196)</f>
        <v>45949.27957</v>
      </c>
      <c r="K1761" s="4" t="str">
        <f>IFERROR(__xludf.DUMMYFUNCTION("""COMPUTED_VALUE"""),"")</f>
        <v/>
      </c>
      <c r="L1761" s="4">
        <f>IFERROR(__xludf.DUMMYFUNCTION("""COMPUTED_VALUE"""),45949.29285572482)</f>
        <v>45949.29286</v>
      </c>
      <c r="M1761" s="1" t="str">
        <f>IFERROR(__xludf.DUMMYFUNCTION("""COMPUTED_VALUE"""),"RFID")</f>
        <v>RFID</v>
      </c>
      <c r="N1761" s="5">
        <f>IFERROR(__xludf.DUMMYFUNCTION("""COMPUTED_VALUE"""),0.00984849074074074)</f>
        <v>0.009848490741</v>
      </c>
      <c r="O1761" s="5" t="str">
        <f>IFERROR(__xludf.DUMMYFUNCTION("""COMPUTED_VALUE"""),"")</f>
        <v/>
      </c>
      <c r="P1761" s="5" t="str">
        <f>IFERROR(__xludf.DUMMYFUNCTION("""COMPUTED_VALUE"""),"")</f>
        <v/>
      </c>
      <c r="Q1761" s="5">
        <f>IFERROR(__xludf.DUMMYFUNCTION("""COMPUTED_VALUE"""),0.007582333333333334)</f>
        <v>0.007582333333</v>
      </c>
      <c r="R1761" s="4">
        <f>IFERROR(__xludf.DUMMYFUNCTION("""COMPUTED_VALUE"""),45949.03791166232)</f>
        <v>45949.03791</v>
      </c>
      <c r="S1761" s="1" t="b">
        <f>IFERROR(__xludf.DUMMYFUNCTION("""COMPUTED_VALUE"""),TRUE)</f>
        <v>1</v>
      </c>
      <c r="T1761" s="1" t="b">
        <f>IFERROR(__xludf.DUMMYFUNCTION("""COMPUTED_VALUE"""),FALSE)</f>
        <v>0</v>
      </c>
      <c r="U1761" s="1" t="str">
        <f>IFERROR(__xludf.DUMMYFUNCTION("""COMPUTED_VALUE"""),"VALID")</f>
        <v>VALID</v>
      </c>
      <c r="V1761" s="1">
        <f>IFERROR(__xludf.DUMMYFUNCTION("""COMPUTED_VALUE"""),650.0)</f>
        <v>650</v>
      </c>
      <c r="W1761" s="1">
        <f>IFERROR(__xludf.DUMMYFUNCTION("""COMPUTED_VALUE"""),1096.0)</f>
        <v>1096</v>
      </c>
      <c r="X1761" s="1">
        <f>IFERROR(__xludf.DUMMYFUNCTION("""COMPUTED_VALUE"""),871.0)</f>
        <v>871</v>
      </c>
      <c r="Y1761" s="2"/>
      <c r="Z1761" s="2"/>
    </row>
    <row r="1762">
      <c r="A1762" s="1">
        <f>IFERROR(__xludf.DUMMYFUNCTION("""COMPUTED_VALUE"""),1761.0)</f>
        <v>1761</v>
      </c>
      <c r="B1762" s="1">
        <f>IFERROR(__xludf.DUMMYFUNCTION("""COMPUTED_VALUE"""),5185.0)</f>
        <v>5185</v>
      </c>
      <c r="C1762" s="2" t="str">
        <f>IFERROR(__xludf.DUMMYFUNCTION("""COMPUTED_VALUE"""),"Dawi")</f>
        <v>Dawi</v>
      </c>
      <c r="D1762" s="2" t="str">
        <f>IFERROR(__xludf.DUMMYFUNCTION("""COMPUTED_VALUE"""),"5KM OVERALL M")</f>
        <v>5KM OVERALL M</v>
      </c>
      <c r="E1762" s="1">
        <f>IFERROR(__xludf.DUMMYFUNCTION("""COMPUTED_VALUE"""),2.0)</f>
        <v>2</v>
      </c>
      <c r="F1762" s="1" t="str">
        <f>IFERROR(__xludf.DUMMYFUNCTION("""COMPUTED_VALUE"""),"Male")</f>
        <v>Male</v>
      </c>
      <c r="G1762" s="4" t="b">
        <f>IFERROR(__xludf.DUMMYFUNCTION("""COMPUTED_VALUE"""),TRUE)</f>
        <v>1</v>
      </c>
      <c r="H1762" s="4" t="b">
        <f>IFERROR(__xludf.DUMMYFUNCTION("""COMPUTED_VALUE"""),TRUE)</f>
        <v>1</v>
      </c>
      <c r="I1762" s="4">
        <f>IFERROR(__xludf.DUMMYFUNCTION("""COMPUTED_VALUE"""),0.2549440625)</f>
        <v>0.2549440625</v>
      </c>
      <c r="J1762" s="4">
        <f>IFERROR(__xludf.DUMMYFUNCTION("""COMPUTED_VALUE"""),45949.26314822922)</f>
        <v>45949.26315</v>
      </c>
      <c r="K1762" s="4" t="str">
        <f>IFERROR(__xludf.DUMMYFUNCTION("""COMPUTED_VALUE"""),"")</f>
        <v/>
      </c>
      <c r="L1762" s="4">
        <f>IFERROR(__xludf.DUMMYFUNCTION("""COMPUTED_VALUE"""),45949.26989739114)</f>
        <v>45949.2699</v>
      </c>
      <c r="M1762" s="1" t="str">
        <f>IFERROR(__xludf.DUMMYFUNCTION("""COMPUTED_VALUE"""),"RFID")</f>
        <v>RFID</v>
      </c>
      <c r="N1762" s="5">
        <f>IFERROR(__xludf.DUMMYFUNCTION("""COMPUTED_VALUE"""),0.0032816666666666667)</f>
        <v>0.003281666667</v>
      </c>
      <c r="O1762" s="5" t="str">
        <f>IFERROR(__xludf.DUMMYFUNCTION("""COMPUTED_VALUE"""),"")</f>
        <v/>
      </c>
      <c r="P1762" s="5" t="str">
        <f>IFERROR(__xludf.DUMMYFUNCTION("""COMPUTED_VALUE"""),"")</f>
        <v/>
      </c>
      <c r="Q1762" s="5">
        <f>IFERROR(__xludf.DUMMYFUNCTION("""COMPUTED_VALUE"""),0.0029906666666666666)</f>
        <v>0.002990666667</v>
      </c>
      <c r="R1762" s="4">
        <f>IFERROR(__xludf.DUMMYFUNCTION("""COMPUTED_VALUE"""),45949.01495332864)</f>
        <v>45949.01495</v>
      </c>
      <c r="S1762" s="1" t="b">
        <f>IFERROR(__xludf.DUMMYFUNCTION("""COMPUTED_VALUE"""),TRUE)</f>
        <v>1</v>
      </c>
      <c r="T1762" s="1" t="b">
        <f>IFERROR(__xludf.DUMMYFUNCTION("""COMPUTED_VALUE"""),FALSE)</f>
        <v>0</v>
      </c>
      <c r="U1762" s="1" t="str">
        <f>IFERROR(__xludf.DUMMYFUNCTION("""COMPUTED_VALUE"""),"VALID")</f>
        <v>VALID</v>
      </c>
      <c r="V1762" s="1">
        <f>IFERROR(__xludf.DUMMYFUNCTION("""COMPUTED_VALUE"""),12.0)</f>
        <v>12</v>
      </c>
      <c r="W1762" s="1">
        <f>IFERROR(__xludf.DUMMYFUNCTION("""COMPUTED_VALUE"""),14.0)</f>
        <v>14</v>
      </c>
      <c r="X1762" s="1">
        <f>IFERROR(__xludf.DUMMYFUNCTION("""COMPUTED_VALUE"""),14.0)</f>
        <v>14</v>
      </c>
      <c r="Y1762" s="2"/>
      <c r="Z1762" s="2"/>
    </row>
    <row r="1763">
      <c r="A1763" s="1">
        <f>IFERROR(__xludf.DUMMYFUNCTION("""COMPUTED_VALUE"""),1762.0)</f>
        <v>1762</v>
      </c>
      <c r="B1763" s="1">
        <f>IFERROR(__xludf.DUMMYFUNCTION("""COMPUTED_VALUE"""),5188.0)</f>
        <v>5188</v>
      </c>
      <c r="C1763" s="2" t="str">
        <f>IFERROR(__xludf.DUMMYFUNCTION("""COMPUTED_VALUE"""),"Steven")</f>
        <v>Steven</v>
      </c>
      <c r="D1763" s="2" t="str">
        <f>IFERROR(__xludf.DUMMYFUNCTION("""COMPUTED_VALUE"""),"5KM OVERALL M")</f>
        <v>5KM OVERALL M</v>
      </c>
      <c r="E1763" s="1">
        <f>IFERROR(__xludf.DUMMYFUNCTION("""COMPUTED_VALUE"""),2.0)</f>
        <v>2</v>
      </c>
      <c r="F1763" s="1" t="str">
        <f>IFERROR(__xludf.DUMMYFUNCTION("""COMPUTED_VALUE"""),"Male")</f>
        <v>Male</v>
      </c>
      <c r="G1763" s="4" t="b">
        <f>IFERROR(__xludf.DUMMYFUNCTION("""COMPUTED_VALUE"""),TRUE)</f>
        <v>1</v>
      </c>
      <c r="H1763" s="4" t="b">
        <f>IFERROR(__xludf.DUMMYFUNCTION("""COMPUTED_VALUE"""),TRUE)</f>
        <v>1</v>
      </c>
      <c r="I1763" s="4">
        <f>IFERROR(__xludf.DUMMYFUNCTION("""COMPUTED_VALUE"""),0.2549440625)</f>
        <v>0.2549440625</v>
      </c>
      <c r="J1763" s="4">
        <f>IFERROR(__xludf.DUMMYFUNCTION("""COMPUTED_VALUE"""),45949.28234265474)</f>
        <v>45949.28234</v>
      </c>
      <c r="K1763" s="4" t="str">
        <f>IFERROR(__xludf.DUMMYFUNCTION("""COMPUTED_VALUE"""),"")</f>
        <v/>
      </c>
      <c r="L1763" s="4">
        <f>IFERROR(__xludf.DUMMYFUNCTION("""COMPUTED_VALUE"""),45949.30284532868)</f>
        <v>45949.30285</v>
      </c>
      <c r="M1763" s="1" t="str">
        <f>IFERROR(__xludf.DUMMYFUNCTION("""COMPUTED_VALUE"""),"RFID")</f>
        <v>RFID</v>
      </c>
      <c r="N1763" s="5">
        <f>IFERROR(__xludf.DUMMYFUNCTION("""COMPUTED_VALUE"""),0.010959435185185185)</f>
        <v>0.01095943519</v>
      </c>
      <c r="O1763" s="5" t="str">
        <f>IFERROR(__xludf.DUMMYFUNCTION("""COMPUTED_VALUE"""),"")</f>
        <v/>
      </c>
      <c r="P1763" s="5" t="str">
        <f>IFERROR(__xludf.DUMMYFUNCTION("""COMPUTED_VALUE"""),"")</f>
        <v/>
      </c>
      <c r="Q1763" s="5">
        <f>IFERROR(__xludf.DUMMYFUNCTION("""COMPUTED_VALUE"""),0.009580252314814814)</f>
        <v>0.009580252315</v>
      </c>
      <c r="R1763" s="4">
        <f>IFERROR(__xludf.DUMMYFUNCTION("""COMPUTED_VALUE"""),45949.04790126618)</f>
        <v>45949.0479</v>
      </c>
      <c r="S1763" s="1" t="b">
        <f>IFERROR(__xludf.DUMMYFUNCTION("""COMPUTED_VALUE"""),TRUE)</f>
        <v>1</v>
      </c>
      <c r="T1763" s="1" t="b">
        <f>IFERROR(__xludf.DUMMYFUNCTION("""COMPUTED_VALUE"""),FALSE)</f>
        <v>0</v>
      </c>
      <c r="U1763" s="1" t="str">
        <f>IFERROR(__xludf.DUMMYFUNCTION("""COMPUTED_VALUE"""),"VALID")</f>
        <v>VALID</v>
      </c>
      <c r="V1763" s="1">
        <f>IFERROR(__xludf.DUMMYFUNCTION("""COMPUTED_VALUE"""),826.0)</f>
        <v>826</v>
      </c>
      <c r="W1763" s="1">
        <f>IFERROR(__xludf.DUMMYFUNCTION("""COMPUTED_VALUE"""),1540.0)</f>
        <v>1540</v>
      </c>
      <c r="X1763" s="1">
        <f>IFERROR(__xludf.DUMMYFUNCTION("""COMPUTED_VALUE"""),1303.0)</f>
        <v>1303</v>
      </c>
      <c r="Y1763" s="2"/>
      <c r="Z1763" s="2"/>
    </row>
    <row r="1764">
      <c r="A1764" s="1">
        <f>IFERROR(__xludf.DUMMYFUNCTION("""COMPUTED_VALUE"""),1763.0)</f>
        <v>1763</v>
      </c>
      <c r="B1764" s="1">
        <f>IFERROR(__xludf.DUMMYFUNCTION("""COMPUTED_VALUE"""),5192.0)</f>
        <v>5192</v>
      </c>
      <c r="C1764" s="2" t="str">
        <f>IFERROR(__xludf.DUMMYFUNCTION("""COMPUTED_VALUE"""),"Haziki Abduh")</f>
        <v>Haziki Abduh</v>
      </c>
      <c r="D1764" s="2" t="str">
        <f>IFERROR(__xludf.DUMMYFUNCTION("""COMPUTED_VALUE"""),"5KM OVERALL M")</f>
        <v>5KM OVERALL M</v>
      </c>
      <c r="E1764" s="1">
        <f>IFERROR(__xludf.DUMMYFUNCTION("""COMPUTED_VALUE"""),2.0)</f>
        <v>2</v>
      </c>
      <c r="F1764" s="1" t="str">
        <f>IFERROR(__xludf.DUMMYFUNCTION("""COMPUTED_VALUE"""),"Male")</f>
        <v>Male</v>
      </c>
      <c r="G1764" s="4" t="str">
        <f>IFERROR(__xludf.DUMMYFUNCTION("""COMPUTED_VALUE"""),"")</f>
        <v/>
      </c>
      <c r="H1764" s="4" t="b">
        <f>IFERROR(__xludf.DUMMYFUNCTION("""COMPUTED_VALUE"""),FALSE)</f>
        <v>0</v>
      </c>
      <c r="I1764" s="4">
        <f>IFERROR(__xludf.DUMMYFUNCTION("""COMPUTED_VALUE"""),0.2549440625)</f>
        <v>0.2549440625</v>
      </c>
      <c r="J1764" s="4" t="str">
        <f>IFERROR(__xludf.DUMMYFUNCTION("""COMPUTED_VALUE"""),"")</f>
        <v/>
      </c>
      <c r="K1764" s="4" t="str">
        <f>IFERROR(__xludf.DUMMYFUNCTION("""COMPUTED_VALUE"""),"")</f>
        <v/>
      </c>
      <c r="L1764" s="4" t="str">
        <f>IFERROR(__xludf.DUMMYFUNCTION("""COMPUTED_VALUE"""),"")</f>
        <v/>
      </c>
      <c r="M1764" s="1" t="str">
        <f>IFERROR(__xludf.DUMMYFUNCTION("""COMPUTED_VALUE"""),"RFID")</f>
        <v>RFID</v>
      </c>
      <c r="N1764" s="5" t="str">
        <f>IFERROR(__xludf.DUMMYFUNCTION("""COMPUTED_VALUE"""),"")</f>
        <v/>
      </c>
      <c r="O1764" s="5" t="str">
        <f>IFERROR(__xludf.DUMMYFUNCTION("""COMPUTED_VALUE"""),"")</f>
        <v/>
      </c>
      <c r="P1764" s="5" t="str">
        <f>IFERROR(__xludf.DUMMYFUNCTION("""COMPUTED_VALUE"""),"")</f>
        <v/>
      </c>
      <c r="Q1764" s="5" t="str">
        <f>IFERROR(__xludf.DUMMYFUNCTION("""COMPUTED_VALUE"""),"")</f>
        <v/>
      </c>
      <c r="R1764" s="4" t="str">
        <f>IFERROR(__xludf.DUMMYFUNCTION("""COMPUTED_VALUE"""),"")</f>
        <v/>
      </c>
      <c r="S1764" s="1" t="b">
        <f>IFERROR(__xludf.DUMMYFUNCTION("""COMPUTED_VALUE"""),FALSE)</f>
        <v>0</v>
      </c>
      <c r="T1764" s="1" t="b">
        <f>IFERROR(__xludf.DUMMYFUNCTION("""COMPUTED_VALUE"""),FALSE)</f>
        <v>0</v>
      </c>
      <c r="U1764" s="1" t="str">
        <f>IFERROR(__xludf.DUMMYFUNCTION("""COMPUTED_VALUE"""),"DSQ")</f>
        <v>DSQ</v>
      </c>
      <c r="V1764" s="1" t="str">
        <f>IFERROR(__xludf.DUMMYFUNCTION("""COMPUTED_VALUE"""),"DSQ")</f>
        <v>DSQ</v>
      </c>
      <c r="W1764" s="1" t="str">
        <f>IFERROR(__xludf.DUMMYFUNCTION("""COMPUTED_VALUE"""),"DSQ")</f>
        <v>DSQ</v>
      </c>
      <c r="X1764" s="1" t="str">
        <f>IFERROR(__xludf.DUMMYFUNCTION("""COMPUTED_VALUE"""),"DSQ")</f>
        <v>DSQ</v>
      </c>
      <c r="Y1764" s="2"/>
      <c r="Z1764" s="2" t="str">
        <f>IFERROR(__xludf.DUMMYFUNCTION("""COMPUTED_VALUE"""),"")</f>
        <v/>
      </c>
    </row>
    <row r="1765">
      <c r="A1765" s="1">
        <f>IFERROR(__xludf.DUMMYFUNCTION("""COMPUTED_VALUE"""),1764.0)</f>
        <v>1764</v>
      </c>
      <c r="B1765" s="1">
        <f>IFERROR(__xludf.DUMMYFUNCTION("""COMPUTED_VALUE"""),5193.0)</f>
        <v>5193</v>
      </c>
      <c r="C1765" s="2" t="str">
        <f>IFERROR(__xludf.DUMMYFUNCTION("""COMPUTED_VALUE"""),"AKA")</f>
        <v>AKA</v>
      </c>
      <c r="D1765" s="2" t="str">
        <f>IFERROR(__xludf.DUMMYFUNCTION("""COMPUTED_VALUE"""),"5KM OVERALL M")</f>
        <v>5KM OVERALL M</v>
      </c>
      <c r="E1765" s="1">
        <f>IFERROR(__xludf.DUMMYFUNCTION("""COMPUTED_VALUE"""),2.0)</f>
        <v>2</v>
      </c>
      <c r="F1765" s="1" t="str">
        <f>IFERROR(__xludf.DUMMYFUNCTION("""COMPUTED_VALUE"""),"Male")</f>
        <v>Male</v>
      </c>
      <c r="G1765" s="4" t="b">
        <f>IFERROR(__xludf.DUMMYFUNCTION("""COMPUTED_VALUE"""),TRUE)</f>
        <v>1</v>
      </c>
      <c r="H1765" s="4" t="b">
        <f>IFERROR(__xludf.DUMMYFUNCTION("""COMPUTED_VALUE"""),TRUE)</f>
        <v>1</v>
      </c>
      <c r="I1765" s="4">
        <f>IFERROR(__xludf.DUMMYFUNCTION("""COMPUTED_VALUE"""),0.2549440625)</f>
        <v>0.2549440625</v>
      </c>
      <c r="J1765" s="4">
        <f>IFERROR(__xludf.DUMMYFUNCTION("""COMPUTED_VALUE"""),45949.2766725185)</f>
        <v>45949.27667</v>
      </c>
      <c r="K1765" s="4" t="str">
        <f>IFERROR(__xludf.DUMMYFUNCTION("""COMPUTED_VALUE"""),"")</f>
        <v/>
      </c>
      <c r="L1765" s="4">
        <f>IFERROR(__xludf.DUMMYFUNCTION("""COMPUTED_VALUE"""),45949.29413352035)</f>
        <v>45949.29413</v>
      </c>
      <c r="M1765" s="1" t="str">
        <f>IFERROR(__xludf.DUMMYFUNCTION("""COMPUTED_VALUE"""),"RFID")</f>
        <v>RFID</v>
      </c>
      <c r="N1765" s="5">
        <f>IFERROR(__xludf.DUMMYFUNCTION("""COMPUTED_VALUE"""),0.00869138425925926)</f>
        <v>0.008691384259</v>
      </c>
      <c r="O1765" s="5" t="str">
        <f>IFERROR(__xludf.DUMMYFUNCTION("""COMPUTED_VALUE"""),"")</f>
        <v/>
      </c>
      <c r="P1765" s="5" t="str">
        <f>IFERROR(__xludf.DUMMYFUNCTION("""COMPUTED_VALUE"""),"")</f>
        <v/>
      </c>
      <c r="Q1765" s="5">
        <f>IFERROR(__xludf.DUMMYFUNCTION("""COMPUTED_VALUE"""),0.007837891203703703)</f>
        <v>0.007837891204</v>
      </c>
      <c r="R1765" s="4">
        <f>IFERROR(__xludf.DUMMYFUNCTION("""COMPUTED_VALUE"""),45949.03918945785)</f>
        <v>45949.03919</v>
      </c>
      <c r="S1765" s="1" t="b">
        <f>IFERROR(__xludf.DUMMYFUNCTION("""COMPUTED_VALUE"""),TRUE)</f>
        <v>1</v>
      </c>
      <c r="T1765" s="1" t="b">
        <f>IFERROR(__xludf.DUMMYFUNCTION("""COMPUTED_VALUE"""),FALSE)</f>
        <v>0</v>
      </c>
      <c r="U1765" s="1" t="str">
        <f>IFERROR(__xludf.DUMMYFUNCTION("""COMPUTED_VALUE"""),"VALID")</f>
        <v>VALID</v>
      </c>
      <c r="V1765" s="1">
        <f>IFERROR(__xludf.DUMMYFUNCTION("""COMPUTED_VALUE"""),693.0)</f>
        <v>693</v>
      </c>
      <c r="W1765" s="1">
        <f>IFERROR(__xludf.DUMMYFUNCTION("""COMPUTED_VALUE"""),1189.0)</f>
        <v>1189</v>
      </c>
      <c r="X1765" s="1">
        <f>IFERROR(__xludf.DUMMYFUNCTION("""COMPUTED_VALUE"""),937.0)</f>
        <v>937</v>
      </c>
      <c r="Y1765" s="2"/>
      <c r="Z1765" s="2"/>
    </row>
    <row r="1766">
      <c r="A1766" s="1">
        <f>IFERROR(__xludf.DUMMYFUNCTION("""COMPUTED_VALUE"""),1765.0)</f>
        <v>1765</v>
      </c>
      <c r="B1766" s="1">
        <f>IFERROR(__xludf.DUMMYFUNCTION("""COMPUTED_VALUE"""),5194.0)</f>
        <v>5194</v>
      </c>
      <c r="C1766" s="2" t="str">
        <f>IFERROR(__xludf.DUMMYFUNCTION("""COMPUTED_VALUE"""),"a gunawan")</f>
        <v>a gunawan</v>
      </c>
      <c r="D1766" s="2" t="str">
        <f>IFERROR(__xludf.DUMMYFUNCTION("""COMPUTED_VALUE"""),"5KM OVERALL M")</f>
        <v>5KM OVERALL M</v>
      </c>
      <c r="E1766" s="1">
        <f>IFERROR(__xludf.DUMMYFUNCTION("""COMPUTED_VALUE"""),2.0)</f>
        <v>2</v>
      </c>
      <c r="F1766" s="1" t="str">
        <f>IFERROR(__xludf.DUMMYFUNCTION("""COMPUTED_VALUE"""),"Male")</f>
        <v>Male</v>
      </c>
      <c r="G1766" s="4" t="str">
        <f>IFERROR(__xludf.DUMMYFUNCTION("""COMPUTED_VALUE"""),"")</f>
        <v/>
      </c>
      <c r="H1766" s="4" t="b">
        <f>IFERROR(__xludf.DUMMYFUNCTION("""COMPUTED_VALUE"""),FALSE)</f>
        <v>0</v>
      </c>
      <c r="I1766" s="4">
        <f>IFERROR(__xludf.DUMMYFUNCTION("""COMPUTED_VALUE"""),0.2549440625)</f>
        <v>0.2549440625</v>
      </c>
      <c r="J1766" s="4" t="str">
        <f>IFERROR(__xludf.DUMMYFUNCTION("""COMPUTED_VALUE"""),"")</f>
        <v/>
      </c>
      <c r="K1766" s="4" t="str">
        <f>IFERROR(__xludf.DUMMYFUNCTION("""COMPUTED_VALUE"""),"")</f>
        <v/>
      </c>
      <c r="L1766" s="4" t="str">
        <f>IFERROR(__xludf.DUMMYFUNCTION("""COMPUTED_VALUE"""),"")</f>
        <v/>
      </c>
      <c r="M1766" s="1" t="str">
        <f>IFERROR(__xludf.DUMMYFUNCTION("""COMPUTED_VALUE"""),"RFID")</f>
        <v>RFID</v>
      </c>
      <c r="N1766" s="5" t="str">
        <f>IFERROR(__xludf.DUMMYFUNCTION("""COMPUTED_VALUE"""),"")</f>
        <v/>
      </c>
      <c r="O1766" s="5" t="str">
        <f>IFERROR(__xludf.DUMMYFUNCTION("""COMPUTED_VALUE"""),"")</f>
        <v/>
      </c>
      <c r="P1766" s="5" t="str">
        <f>IFERROR(__xludf.DUMMYFUNCTION("""COMPUTED_VALUE"""),"")</f>
        <v/>
      </c>
      <c r="Q1766" s="5" t="str">
        <f>IFERROR(__xludf.DUMMYFUNCTION("""COMPUTED_VALUE"""),"")</f>
        <v/>
      </c>
      <c r="R1766" s="4" t="str">
        <f>IFERROR(__xludf.DUMMYFUNCTION("""COMPUTED_VALUE"""),"")</f>
        <v/>
      </c>
      <c r="S1766" s="1" t="b">
        <f>IFERROR(__xludf.DUMMYFUNCTION("""COMPUTED_VALUE"""),FALSE)</f>
        <v>0</v>
      </c>
      <c r="T1766" s="1" t="b">
        <f>IFERROR(__xludf.DUMMYFUNCTION("""COMPUTED_VALUE"""),FALSE)</f>
        <v>0</v>
      </c>
      <c r="U1766" s="1" t="str">
        <f>IFERROR(__xludf.DUMMYFUNCTION("""COMPUTED_VALUE"""),"DSQ")</f>
        <v>DSQ</v>
      </c>
      <c r="V1766" s="1" t="str">
        <f>IFERROR(__xludf.DUMMYFUNCTION("""COMPUTED_VALUE"""),"DSQ")</f>
        <v>DSQ</v>
      </c>
      <c r="W1766" s="1" t="str">
        <f>IFERROR(__xludf.DUMMYFUNCTION("""COMPUTED_VALUE"""),"DSQ")</f>
        <v>DSQ</v>
      </c>
      <c r="X1766" s="1" t="str">
        <f>IFERROR(__xludf.DUMMYFUNCTION("""COMPUTED_VALUE"""),"DSQ")</f>
        <v>DSQ</v>
      </c>
      <c r="Y1766" s="2"/>
      <c r="Z1766" s="2" t="str">
        <f>IFERROR(__xludf.DUMMYFUNCTION("""COMPUTED_VALUE"""),"")</f>
        <v/>
      </c>
    </row>
    <row r="1767">
      <c r="A1767" s="1">
        <f>IFERROR(__xludf.DUMMYFUNCTION("""COMPUTED_VALUE"""),1766.0)</f>
        <v>1766</v>
      </c>
      <c r="B1767" s="1">
        <f>IFERROR(__xludf.DUMMYFUNCTION("""COMPUTED_VALUE"""),5195.0)</f>
        <v>5195</v>
      </c>
      <c r="C1767" s="2" t="str">
        <f>IFERROR(__xludf.DUMMYFUNCTION("""COMPUTED_VALUE"""),"Andi")</f>
        <v>Andi</v>
      </c>
      <c r="D1767" s="2" t="str">
        <f>IFERROR(__xludf.DUMMYFUNCTION("""COMPUTED_VALUE"""),"5KM OVERALL M")</f>
        <v>5KM OVERALL M</v>
      </c>
      <c r="E1767" s="1">
        <f>IFERROR(__xludf.DUMMYFUNCTION("""COMPUTED_VALUE"""),2.0)</f>
        <v>2</v>
      </c>
      <c r="F1767" s="1" t="str">
        <f>IFERROR(__xludf.DUMMYFUNCTION("""COMPUTED_VALUE"""),"Male")</f>
        <v>Male</v>
      </c>
      <c r="G1767" s="4" t="b">
        <f>IFERROR(__xludf.DUMMYFUNCTION("""COMPUTED_VALUE"""),TRUE)</f>
        <v>1</v>
      </c>
      <c r="H1767" s="4" t="b">
        <f>IFERROR(__xludf.DUMMYFUNCTION("""COMPUTED_VALUE"""),TRUE)</f>
        <v>1</v>
      </c>
      <c r="I1767" s="4">
        <f>IFERROR(__xludf.DUMMYFUNCTION("""COMPUTED_VALUE"""),0.2549440625)</f>
        <v>0.2549440625</v>
      </c>
      <c r="J1767" s="4">
        <f>IFERROR(__xludf.DUMMYFUNCTION("""COMPUTED_VALUE"""),45949.2787628121)</f>
        <v>45949.27876</v>
      </c>
      <c r="K1767" s="4" t="str">
        <f>IFERROR(__xludf.DUMMYFUNCTION("""COMPUTED_VALUE"""),"")</f>
        <v/>
      </c>
      <c r="L1767" s="4">
        <f>IFERROR(__xludf.DUMMYFUNCTION("""COMPUTED_VALUE"""),45949.29556753856)</f>
        <v>45949.29557</v>
      </c>
      <c r="M1767" s="1" t="str">
        <f>IFERROR(__xludf.DUMMYFUNCTION("""COMPUTED_VALUE"""),"RFID")</f>
        <v>RFID</v>
      </c>
      <c r="N1767" s="5">
        <f>IFERROR(__xludf.DUMMYFUNCTION("""COMPUTED_VALUE"""),0.0095275)</f>
        <v>0.0095275</v>
      </c>
      <c r="O1767" s="5" t="str">
        <f>IFERROR(__xludf.DUMMYFUNCTION("""COMPUTED_VALUE"""),"")</f>
        <v/>
      </c>
      <c r="P1767" s="5" t="str">
        <f>IFERROR(__xludf.DUMMYFUNCTION("""COMPUTED_VALUE"""),"")</f>
        <v/>
      </c>
      <c r="Q1767" s="5">
        <f>IFERROR(__xludf.DUMMYFUNCTION("""COMPUTED_VALUE"""),0.008124694444444445)</f>
        <v>0.008124694444</v>
      </c>
      <c r="R1767" s="4">
        <f>IFERROR(__xludf.DUMMYFUNCTION("""COMPUTED_VALUE"""),45949.04062347606)</f>
        <v>45949.04062</v>
      </c>
      <c r="S1767" s="1" t="b">
        <f>IFERROR(__xludf.DUMMYFUNCTION("""COMPUTED_VALUE"""),TRUE)</f>
        <v>1</v>
      </c>
      <c r="T1767" s="1" t="b">
        <f>IFERROR(__xludf.DUMMYFUNCTION("""COMPUTED_VALUE"""),FALSE)</f>
        <v>0</v>
      </c>
      <c r="U1767" s="1" t="str">
        <f>IFERROR(__xludf.DUMMYFUNCTION("""COMPUTED_VALUE"""),"VALID")</f>
        <v>VALID</v>
      </c>
      <c r="V1767" s="1">
        <f>IFERROR(__xludf.DUMMYFUNCTION("""COMPUTED_VALUE"""),730.0)</f>
        <v>730</v>
      </c>
      <c r="W1767" s="1">
        <f>IFERROR(__xludf.DUMMYFUNCTION("""COMPUTED_VALUE"""),1275.0)</f>
        <v>1275</v>
      </c>
      <c r="X1767" s="1">
        <f>IFERROR(__xludf.DUMMYFUNCTION("""COMPUTED_VALUE"""),1009.0)</f>
        <v>1009</v>
      </c>
      <c r="Y1767" s="2"/>
      <c r="Z1767" s="2"/>
    </row>
    <row r="1768">
      <c r="A1768" s="1">
        <f>IFERROR(__xludf.DUMMYFUNCTION("""COMPUTED_VALUE"""),1767.0)</f>
        <v>1767</v>
      </c>
      <c r="B1768" s="1">
        <f>IFERROR(__xludf.DUMMYFUNCTION("""COMPUTED_VALUE"""),5198.0)</f>
        <v>5198</v>
      </c>
      <c r="C1768" s="2" t="str">
        <f>IFERROR(__xludf.DUMMYFUNCTION("""COMPUTED_VALUE"""),"Addy")</f>
        <v>Addy</v>
      </c>
      <c r="D1768" s="2" t="str">
        <f>IFERROR(__xludf.DUMMYFUNCTION("""COMPUTED_VALUE"""),"5KM OVERALL M")</f>
        <v>5KM OVERALL M</v>
      </c>
      <c r="E1768" s="1">
        <f>IFERROR(__xludf.DUMMYFUNCTION("""COMPUTED_VALUE"""),2.0)</f>
        <v>2</v>
      </c>
      <c r="F1768" s="1" t="str">
        <f>IFERROR(__xludf.DUMMYFUNCTION("""COMPUTED_VALUE"""),"Male")</f>
        <v>Male</v>
      </c>
      <c r="G1768" s="4" t="b">
        <f>IFERROR(__xludf.DUMMYFUNCTION("""COMPUTED_VALUE"""),TRUE)</f>
        <v>1</v>
      </c>
      <c r="H1768" s="4" t="b">
        <f>IFERROR(__xludf.DUMMYFUNCTION("""COMPUTED_VALUE"""),TRUE)</f>
        <v>1</v>
      </c>
      <c r="I1768" s="4">
        <f>IFERROR(__xludf.DUMMYFUNCTION("""COMPUTED_VALUE"""),0.2549440625)</f>
        <v>0.2549440625</v>
      </c>
      <c r="J1768" s="4">
        <f>IFERROR(__xludf.DUMMYFUNCTION("""COMPUTED_VALUE"""),45949.27809270515)</f>
        <v>45949.27809</v>
      </c>
      <c r="K1768" s="4" t="str">
        <f>IFERROR(__xludf.DUMMYFUNCTION("""COMPUTED_VALUE"""),"")</f>
        <v/>
      </c>
      <c r="L1768" s="4">
        <f>IFERROR(__xludf.DUMMYFUNCTION("""COMPUTED_VALUE"""),45949.293727197895)</f>
        <v>45949.29373</v>
      </c>
      <c r="M1768" s="1" t="str">
        <f>IFERROR(__xludf.DUMMYFUNCTION("""COMPUTED_VALUE"""),"RFID")</f>
        <v>RFID</v>
      </c>
      <c r="N1768" s="5">
        <f>IFERROR(__xludf.DUMMYFUNCTION("""COMPUTED_VALUE"""),0.009259458333333333)</f>
        <v>0.009259458333</v>
      </c>
      <c r="O1768" s="5" t="str">
        <f>IFERROR(__xludf.DUMMYFUNCTION("""COMPUTED_VALUE"""),"")</f>
        <v/>
      </c>
      <c r="P1768" s="5" t="str">
        <f>IFERROR(__xludf.DUMMYFUNCTION("""COMPUTED_VALUE"""),"")</f>
        <v/>
      </c>
      <c r="Q1768" s="5">
        <f>IFERROR(__xludf.DUMMYFUNCTION("""COMPUTED_VALUE"""),0.007756627314814813)</f>
        <v>0.007756627315</v>
      </c>
      <c r="R1768" s="4">
        <f>IFERROR(__xludf.DUMMYFUNCTION("""COMPUTED_VALUE"""),45949.038783135395)</f>
        <v>45949.03878</v>
      </c>
      <c r="S1768" s="1" t="b">
        <f>IFERROR(__xludf.DUMMYFUNCTION("""COMPUTED_VALUE"""),TRUE)</f>
        <v>1</v>
      </c>
      <c r="T1768" s="1" t="b">
        <f>IFERROR(__xludf.DUMMYFUNCTION("""COMPUTED_VALUE"""),FALSE)</f>
        <v>0</v>
      </c>
      <c r="U1768" s="1" t="str">
        <f>IFERROR(__xludf.DUMMYFUNCTION("""COMPUTED_VALUE"""),"VALID")</f>
        <v>VALID</v>
      </c>
      <c r="V1768" s="1">
        <f>IFERROR(__xludf.DUMMYFUNCTION("""COMPUTED_VALUE"""),675.0)</f>
        <v>675</v>
      </c>
      <c r="W1768" s="1">
        <f>IFERROR(__xludf.DUMMYFUNCTION("""COMPUTED_VALUE"""),1152.0)</f>
        <v>1152</v>
      </c>
      <c r="X1768" s="1">
        <f>IFERROR(__xludf.DUMMYFUNCTION("""COMPUTED_VALUE"""),914.0)</f>
        <v>914</v>
      </c>
      <c r="Y1768" s="2"/>
      <c r="Z1768" s="2"/>
    </row>
    <row r="1769">
      <c r="A1769" s="1">
        <f>IFERROR(__xludf.DUMMYFUNCTION("""COMPUTED_VALUE"""),1768.0)</f>
        <v>1768</v>
      </c>
      <c r="B1769" s="1">
        <f>IFERROR(__xludf.DUMMYFUNCTION("""COMPUTED_VALUE"""),5199.0)</f>
        <v>5199</v>
      </c>
      <c r="C1769" s="2" t="str">
        <f>IFERROR(__xludf.DUMMYFUNCTION("""COMPUTED_VALUE"""),"enal")</f>
        <v>enal</v>
      </c>
      <c r="D1769" s="2" t="str">
        <f>IFERROR(__xludf.DUMMYFUNCTION("""COMPUTED_VALUE"""),"5KM OVERALL M")</f>
        <v>5KM OVERALL M</v>
      </c>
      <c r="E1769" s="1">
        <f>IFERROR(__xludf.DUMMYFUNCTION("""COMPUTED_VALUE"""),2.0)</f>
        <v>2</v>
      </c>
      <c r="F1769" s="1" t="str">
        <f>IFERROR(__xludf.DUMMYFUNCTION("""COMPUTED_VALUE"""),"Male")</f>
        <v>Male</v>
      </c>
      <c r="G1769" s="4" t="b">
        <f>IFERROR(__xludf.DUMMYFUNCTION("""COMPUTED_VALUE"""),TRUE)</f>
        <v>1</v>
      </c>
      <c r="H1769" s="4" t="b">
        <f>IFERROR(__xludf.DUMMYFUNCTION("""COMPUTED_VALUE"""),FALSE)</f>
        <v>0</v>
      </c>
      <c r="I1769" s="4">
        <f>IFERROR(__xludf.DUMMYFUNCTION("""COMPUTED_VALUE"""),0.2549440625)</f>
        <v>0.2549440625</v>
      </c>
      <c r="J1769" s="4">
        <f>IFERROR(__xludf.DUMMYFUNCTION("""COMPUTED_VALUE"""),45949.269714253205)</f>
        <v>45949.26971</v>
      </c>
      <c r="K1769" s="4" t="str">
        <f>IFERROR(__xludf.DUMMYFUNCTION("""COMPUTED_VALUE"""),"")</f>
        <v/>
      </c>
      <c r="L1769" s="4">
        <f>IFERROR(__xludf.DUMMYFUNCTION("""COMPUTED_VALUE"""),45949.28353971498)</f>
        <v>45949.28354</v>
      </c>
      <c r="M1769" s="1" t="str">
        <f>IFERROR(__xludf.DUMMYFUNCTION("""COMPUTED_VALUE"""),"RFID")</f>
        <v>RFID</v>
      </c>
      <c r="N1769" s="5">
        <f>IFERROR(__xludf.DUMMYFUNCTION("""COMPUTED_VALUE"""),0.005908074074074074)</f>
        <v>0.005908074074</v>
      </c>
      <c r="O1769" s="5" t="str">
        <f>IFERROR(__xludf.DUMMYFUNCTION("""COMPUTED_VALUE"""),"")</f>
        <v/>
      </c>
      <c r="P1769" s="5" t="str">
        <f>IFERROR(__xludf.DUMMYFUNCTION("""COMPUTED_VALUE"""),"")</f>
        <v/>
      </c>
      <c r="Q1769" s="5">
        <f>IFERROR(__xludf.DUMMYFUNCTION("""COMPUTED_VALUE"""),0.00571912962962963)</f>
        <v>0.00571912963</v>
      </c>
      <c r="R1769" s="4">
        <f>IFERROR(__xludf.DUMMYFUNCTION("""COMPUTED_VALUE"""),45949.02859565248)</f>
        <v>45949.0286</v>
      </c>
      <c r="S1769" s="1" t="b">
        <f>IFERROR(__xludf.DUMMYFUNCTION("""COMPUTED_VALUE"""),TRUE)</f>
        <v>1</v>
      </c>
      <c r="T1769" s="1" t="b">
        <f>IFERROR(__xludf.DUMMYFUNCTION("""COMPUTED_VALUE"""),FALSE)</f>
        <v>0</v>
      </c>
      <c r="U1769" s="1" t="str">
        <f>IFERROR(__xludf.DUMMYFUNCTION("""COMPUTED_VALUE"""),"VALID")</f>
        <v>VALID</v>
      </c>
      <c r="V1769" s="1">
        <f>IFERROR(__xludf.DUMMYFUNCTION("""COMPUTED_VALUE"""),312.0)</f>
        <v>312</v>
      </c>
      <c r="W1769" s="1">
        <f>IFERROR(__xludf.DUMMYFUNCTION("""COMPUTED_VALUE"""),466.0)</f>
        <v>466</v>
      </c>
      <c r="X1769" s="1">
        <f>IFERROR(__xludf.DUMMYFUNCTION("""COMPUTED_VALUE"""),403.0)</f>
        <v>403</v>
      </c>
      <c r="Y1769" s="2"/>
      <c r="Z1769" s="2"/>
    </row>
    <row r="1770">
      <c r="A1770" s="1">
        <f>IFERROR(__xludf.DUMMYFUNCTION("""COMPUTED_VALUE"""),1769.0)</f>
        <v>1769</v>
      </c>
      <c r="B1770" s="1">
        <f>IFERROR(__xludf.DUMMYFUNCTION("""COMPUTED_VALUE"""),5200.0)</f>
        <v>5200</v>
      </c>
      <c r="C1770" s="2" t="str">
        <f>IFERROR(__xludf.DUMMYFUNCTION("""COMPUTED_VALUE"""),"Hakim")</f>
        <v>Hakim</v>
      </c>
      <c r="D1770" s="2" t="str">
        <f>IFERROR(__xludf.DUMMYFUNCTION("""COMPUTED_VALUE"""),"5KM OVERALL M")</f>
        <v>5KM OVERALL M</v>
      </c>
      <c r="E1770" s="1">
        <f>IFERROR(__xludf.DUMMYFUNCTION("""COMPUTED_VALUE"""),2.0)</f>
        <v>2</v>
      </c>
      <c r="F1770" s="1" t="str">
        <f>IFERROR(__xludf.DUMMYFUNCTION("""COMPUTED_VALUE"""),"Male")</f>
        <v>Male</v>
      </c>
      <c r="G1770" s="4" t="b">
        <f>IFERROR(__xludf.DUMMYFUNCTION("""COMPUTED_VALUE"""),TRUE)</f>
        <v>1</v>
      </c>
      <c r="H1770" s="4" t="b">
        <f>IFERROR(__xludf.DUMMYFUNCTION("""COMPUTED_VALUE"""),TRUE)</f>
        <v>1</v>
      </c>
      <c r="I1770" s="4">
        <f>IFERROR(__xludf.DUMMYFUNCTION("""COMPUTED_VALUE"""),0.2549440625)</f>
        <v>0.2549440625</v>
      </c>
      <c r="J1770" s="4">
        <f>IFERROR(__xludf.DUMMYFUNCTION("""COMPUTED_VALUE"""),45949.26797807893)</f>
        <v>45949.26798</v>
      </c>
      <c r="K1770" s="4" t="str">
        <f>IFERROR(__xludf.DUMMYFUNCTION("""COMPUTED_VALUE"""),"")</f>
        <v/>
      </c>
      <c r="L1770" s="4">
        <f>IFERROR(__xludf.DUMMYFUNCTION("""COMPUTED_VALUE"""),45949.27959880421)</f>
        <v>45949.2796</v>
      </c>
      <c r="M1770" s="1" t="str">
        <f>IFERROR(__xludf.DUMMYFUNCTION("""COMPUTED_VALUE"""),"RFID")</f>
        <v>RFID</v>
      </c>
      <c r="N1770" s="5">
        <f>IFERROR(__xludf.DUMMYFUNCTION("""COMPUTED_VALUE"""),0.0052136064814814805)</f>
        <v>0.005213606481</v>
      </c>
      <c r="O1770" s="5" t="str">
        <f>IFERROR(__xludf.DUMMYFUNCTION("""COMPUTED_VALUE"""),"")</f>
        <v/>
      </c>
      <c r="P1770" s="5" t="str">
        <f>IFERROR(__xludf.DUMMYFUNCTION("""COMPUTED_VALUE"""),"")</f>
        <v/>
      </c>
      <c r="Q1770" s="5">
        <f>IFERROR(__xludf.DUMMYFUNCTION("""COMPUTED_VALUE"""),0.004930949074074075)</f>
        <v>0.004930949074</v>
      </c>
      <c r="R1770" s="4">
        <f>IFERROR(__xludf.DUMMYFUNCTION("""COMPUTED_VALUE"""),45949.02465474171)</f>
        <v>45949.02465</v>
      </c>
      <c r="S1770" s="1" t="b">
        <f>IFERROR(__xludf.DUMMYFUNCTION("""COMPUTED_VALUE"""),TRUE)</f>
        <v>1</v>
      </c>
      <c r="T1770" s="1" t="b">
        <f>IFERROR(__xludf.DUMMYFUNCTION("""COMPUTED_VALUE"""),FALSE)</f>
        <v>0</v>
      </c>
      <c r="U1770" s="1" t="str">
        <f>IFERROR(__xludf.DUMMYFUNCTION("""COMPUTED_VALUE"""),"VALID")</f>
        <v>VALID</v>
      </c>
      <c r="V1770" s="1">
        <f>IFERROR(__xludf.DUMMYFUNCTION("""COMPUTED_VALUE"""),176.0)</f>
        <v>176</v>
      </c>
      <c r="W1770" s="1">
        <f>IFERROR(__xludf.DUMMYFUNCTION("""COMPUTED_VALUE"""),270.0)</f>
        <v>270</v>
      </c>
      <c r="X1770" s="1">
        <f>IFERROR(__xludf.DUMMYFUNCTION("""COMPUTED_VALUE"""),237.0)</f>
        <v>237</v>
      </c>
      <c r="Y1770" s="2"/>
      <c r="Z1770" s="2"/>
    </row>
    <row r="1771">
      <c r="A1771" s="1">
        <f>IFERROR(__xludf.DUMMYFUNCTION("""COMPUTED_VALUE"""),1770.0)</f>
        <v>1770</v>
      </c>
      <c r="B1771" s="1">
        <f>IFERROR(__xludf.DUMMYFUNCTION("""COMPUTED_VALUE"""),5201.0)</f>
        <v>5201</v>
      </c>
      <c r="C1771" s="2" t="str">
        <f>IFERROR(__xludf.DUMMYFUNCTION("""COMPUTED_VALUE"""),"Zainal Ilmi")</f>
        <v>Zainal Ilmi</v>
      </c>
      <c r="D1771" s="2" t="str">
        <f>IFERROR(__xludf.DUMMYFUNCTION("""COMPUTED_VALUE"""),"5KM OVERALL M")</f>
        <v>5KM OVERALL M</v>
      </c>
      <c r="E1771" s="1">
        <f>IFERROR(__xludf.DUMMYFUNCTION("""COMPUTED_VALUE"""),2.0)</f>
        <v>2</v>
      </c>
      <c r="F1771" s="1" t="str">
        <f>IFERROR(__xludf.DUMMYFUNCTION("""COMPUTED_VALUE"""),"Male")</f>
        <v>Male</v>
      </c>
      <c r="G1771" s="4" t="b">
        <f>IFERROR(__xludf.DUMMYFUNCTION("""COMPUTED_VALUE"""),TRUE)</f>
        <v>1</v>
      </c>
      <c r="H1771" s="4" t="b">
        <f>IFERROR(__xludf.DUMMYFUNCTION("""COMPUTED_VALUE"""),TRUE)</f>
        <v>1</v>
      </c>
      <c r="I1771" s="4">
        <f>IFERROR(__xludf.DUMMYFUNCTION("""COMPUTED_VALUE"""),0.2549440625)</f>
        <v>0.2549440625</v>
      </c>
      <c r="J1771" s="4">
        <f>IFERROR(__xludf.DUMMYFUNCTION("""COMPUTED_VALUE"""),45949.27484613133)</f>
        <v>45949.27485</v>
      </c>
      <c r="K1771" s="4" t="str">
        <f>IFERROR(__xludf.DUMMYFUNCTION("""COMPUTED_VALUE"""),"")</f>
        <v/>
      </c>
      <c r="L1771" s="4">
        <f>IFERROR(__xludf.DUMMYFUNCTION("""COMPUTED_VALUE"""),45949.288713373826)</f>
        <v>45949.28871</v>
      </c>
      <c r="M1771" s="1" t="str">
        <f>IFERROR(__xludf.DUMMYFUNCTION("""COMPUTED_VALUE"""),"RFID")</f>
        <v>RFID</v>
      </c>
      <c r="N1771" s="5">
        <f>IFERROR(__xludf.DUMMYFUNCTION("""COMPUTED_VALUE"""),0.007960828703703704)</f>
        <v>0.007960828704</v>
      </c>
      <c r="O1771" s="5" t="str">
        <f>IFERROR(__xludf.DUMMYFUNCTION("""COMPUTED_VALUE"""),"")</f>
        <v/>
      </c>
      <c r="P1771" s="5" t="str">
        <f>IFERROR(__xludf.DUMMYFUNCTION("""COMPUTED_VALUE"""),"")</f>
        <v/>
      </c>
      <c r="Q1771" s="5">
        <f>IFERROR(__xludf.DUMMYFUNCTION("""COMPUTED_VALUE"""),0.0067538611111111115)</f>
        <v>0.006753861111</v>
      </c>
      <c r="R1771" s="4">
        <f>IFERROR(__xludf.DUMMYFUNCTION("""COMPUTED_VALUE"""),45949.033769311325)</f>
        <v>45949.03377</v>
      </c>
      <c r="S1771" s="1" t="b">
        <f>IFERROR(__xludf.DUMMYFUNCTION("""COMPUTED_VALUE"""),TRUE)</f>
        <v>1</v>
      </c>
      <c r="T1771" s="1" t="b">
        <f>IFERROR(__xludf.DUMMYFUNCTION("""COMPUTED_VALUE"""),FALSE)</f>
        <v>0</v>
      </c>
      <c r="U1771" s="1" t="str">
        <f>IFERROR(__xludf.DUMMYFUNCTION("""COMPUTED_VALUE"""),"VALID")</f>
        <v>VALID</v>
      </c>
      <c r="V1771" s="1">
        <f>IFERROR(__xludf.DUMMYFUNCTION("""COMPUTED_VALUE"""),524.0)</f>
        <v>524</v>
      </c>
      <c r="W1771" s="1">
        <f>IFERROR(__xludf.DUMMYFUNCTION("""COMPUTED_VALUE"""),826.0)</f>
        <v>826</v>
      </c>
      <c r="X1771" s="1">
        <f>IFERROR(__xludf.DUMMYFUNCTION("""COMPUTED_VALUE"""),677.0)</f>
        <v>677</v>
      </c>
      <c r="Y1771" s="2"/>
      <c r="Z1771" s="2"/>
    </row>
    <row r="1772">
      <c r="A1772" s="1">
        <f>IFERROR(__xludf.DUMMYFUNCTION("""COMPUTED_VALUE"""),1771.0)</f>
        <v>1771</v>
      </c>
      <c r="B1772" s="1">
        <f>IFERROR(__xludf.DUMMYFUNCTION("""COMPUTED_VALUE"""),5202.0)</f>
        <v>5202</v>
      </c>
      <c r="C1772" s="2" t="str">
        <f>IFERROR(__xludf.DUMMYFUNCTION("""COMPUTED_VALUE"""),"M. WISNU MAULANA D.S.P.S")</f>
        <v>M. WISNU MAULANA D.S.P.S</v>
      </c>
      <c r="D1772" s="2" t="str">
        <f>IFERROR(__xludf.DUMMYFUNCTION("""COMPUTED_VALUE"""),"5KM OVERALL M")</f>
        <v>5KM OVERALL M</v>
      </c>
      <c r="E1772" s="1">
        <f>IFERROR(__xludf.DUMMYFUNCTION("""COMPUTED_VALUE"""),2.0)</f>
        <v>2</v>
      </c>
      <c r="F1772" s="1" t="str">
        <f>IFERROR(__xludf.DUMMYFUNCTION("""COMPUTED_VALUE"""),"Male")</f>
        <v>Male</v>
      </c>
      <c r="G1772" s="4" t="b">
        <f>IFERROR(__xludf.DUMMYFUNCTION("""COMPUTED_VALUE"""),TRUE)</f>
        <v>1</v>
      </c>
      <c r="H1772" s="4" t="b">
        <f>IFERROR(__xludf.DUMMYFUNCTION("""COMPUTED_VALUE"""),TRUE)</f>
        <v>1</v>
      </c>
      <c r="I1772" s="4">
        <f>IFERROR(__xludf.DUMMYFUNCTION("""COMPUTED_VALUE"""),0.2549440625)</f>
        <v>0.2549440625</v>
      </c>
      <c r="J1772" s="4">
        <f>IFERROR(__xludf.DUMMYFUNCTION("""COMPUTED_VALUE"""),45949.264596196605)</f>
        <v>45949.2646</v>
      </c>
      <c r="K1772" s="4" t="str">
        <f>IFERROR(__xludf.DUMMYFUNCTION("""COMPUTED_VALUE"""),"")</f>
        <v/>
      </c>
      <c r="L1772" s="4">
        <f>IFERROR(__xludf.DUMMYFUNCTION("""COMPUTED_VALUE"""),45949.27325220583)</f>
        <v>45949.27325</v>
      </c>
      <c r="M1772" s="1" t="str">
        <f>IFERROR(__xludf.DUMMYFUNCTION("""COMPUTED_VALUE"""),"RFID")</f>
        <v>RFID</v>
      </c>
      <c r="N1772" s="5">
        <f>IFERROR(__xludf.DUMMYFUNCTION("""COMPUTED_VALUE"""),0.0038608518518518514)</f>
        <v>0.003860851852</v>
      </c>
      <c r="O1772" s="5" t="str">
        <f>IFERROR(__xludf.DUMMYFUNCTION("""COMPUTED_VALUE"""),"")</f>
        <v/>
      </c>
      <c r="P1772" s="5" t="str">
        <f>IFERROR(__xludf.DUMMYFUNCTION("""COMPUTED_VALUE"""),"")</f>
        <v/>
      </c>
      <c r="Q1772" s="5">
        <f>IFERROR(__xludf.DUMMYFUNCTION("""COMPUTED_VALUE"""),0.00366162962962963)</f>
        <v>0.00366162963</v>
      </c>
      <c r="R1772" s="4">
        <f>IFERROR(__xludf.DUMMYFUNCTION("""COMPUTED_VALUE"""),45949.01830814333)</f>
        <v>45949.01831</v>
      </c>
      <c r="S1772" s="1" t="b">
        <f>IFERROR(__xludf.DUMMYFUNCTION("""COMPUTED_VALUE"""),TRUE)</f>
        <v>1</v>
      </c>
      <c r="T1772" s="1" t="b">
        <f>IFERROR(__xludf.DUMMYFUNCTION("""COMPUTED_VALUE"""),FALSE)</f>
        <v>0</v>
      </c>
      <c r="U1772" s="1" t="str">
        <f>IFERROR(__xludf.DUMMYFUNCTION("""COMPUTED_VALUE"""),"VALID")</f>
        <v>VALID</v>
      </c>
      <c r="V1772" s="1">
        <f>IFERROR(__xludf.DUMMYFUNCTION("""COMPUTED_VALUE"""),43.0)</f>
        <v>43</v>
      </c>
      <c r="W1772" s="1">
        <f>IFERROR(__xludf.DUMMYFUNCTION("""COMPUTED_VALUE"""),65.0)</f>
        <v>65</v>
      </c>
      <c r="X1772" s="1">
        <f>IFERROR(__xludf.DUMMYFUNCTION("""COMPUTED_VALUE"""),60.0)</f>
        <v>60</v>
      </c>
      <c r="Y1772" s="2"/>
      <c r="Z1772" s="2"/>
    </row>
    <row r="1773">
      <c r="A1773" s="1">
        <f>IFERROR(__xludf.DUMMYFUNCTION("""COMPUTED_VALUE"""),1772.0)</f>
        <v>1772</v>
      </c>
      <c r="B1773" s="1">
        <f>IFERROR(__xludf.DUMMYFUNCTION("""COMPUTED_VALUE"""),5203.0)</f>
        <v>5203</v>
      </c>
      <c r="C1773" s="2" t="str">
        <f>IFERROR(__xludf.DUMMYFUNCTION("""COMPUTED_VALUE"""),"DRIVOLTRA")</f>
        <v>DRIVOLTRA</v>
      </c>
      <c r="D1773" s="2" t="str">
        <f>IFERROR(__xludf.DUMMYFUNCTION("""COMPUTED_VALUE"""),"5KM OVERALL M")</f>
        <v>5KM OVERALL M</v>
      </c>
      <c r="E1773" s="1">
        <f>IFERROR(__xludf.DUMMYFUNCTION("""COMPUTED_VALUE"""),2.0)</f>
        <v>2</v>
      </c>
      <c r="F1773" s="1" t="str">
        <f>IFERROR(__xludf.DUMMYFUNCTION("""COMPUTED_VALUE"""),"Male")</f>
        <v>Male</v>
      </c>
      <c r="G1773" s="4" t="b">
        <f>IFERROR(__xludf.DUMMYFUNCTION("""COMPUTED_VALUE"""),TRUE)</f>
        <v>1</v>
      </c>
      <c r="H1773" s="4" t="b">
        <f>IFERROR(__xludf.DUMMYFUNCTION("""COMPUTED_VALUE"""),TRUE)</f>
        <v>1</v>
      </c>
      <c r="I1773" s="4">
        <f>IFERROR(__xludf.DUMMYFUNCTION("""COMPUTED_VALUE"""),0.2549440625)</f>
        <v>0.2549440625</v>
      </c>
      <c r="J1773" s="4">
        <f>IFERROR(__xludf.DUMMYFUNCTION("""COMPUTED_VALUE"""),45949.27449545064)</f>
        <v>45949.2745</v>
      </c>
      <c r="K1773" s="4" t="str">
        <f>IFERROR(__xludf.DUMMYFUNCTION("""COMPUTED_VALUE"""),"")</f>
        <v/>
      </c>
      <c r="L1773" s="4">
        <f>IFERROR(__xludf.DUMMYFUNCTION("""COMPUTED_VALUE"""),45949.28762309052)</f>
        <v>45949.28762</v>
      </c>
      <c r="M1773" s="1" t="str">
        <f>IFERROR(__xludf.DUMMYFUNCTION("""COMPUTED_VALUE"""),"RFID")</f>
        <v>RFID</v>
      </c>
      <c r="N1773" s="5">
        <f>IFERROR(__xludf.DUMMYFUNCTION("""COMPUTED_VALUE"""),0.007820555555555556)</f>
        <v>0.007820555556</v>
      </c>
      <c r="O1773" s="5" t="str">
        <f>IFERROR(__xludf.DUMMYFUNCTION("""COMPUTED_VALUE"""),"")</f>
        <v/>
      </c>
      <c r="P1773" s="5" t="str">
        <f>IFERROR(__xludf.DUMMYFUNCTION("""COMPUTED_VALUE"""),"")</f>
        <v/>
      </c>
      <c r="Q1773" s="5">
        <f>IFERROR(__xludf.DUMMYFUNCTION("""COMPUTED_VALUE"""),0.006535805555555556)</f>
        <v>0.006535805556</v>
      </c>
      <c r="R1773" s="4">
        <f>IFERROR(__xludf.DUMMYFUNCTION("""COMPUTED_VALUE"""),45949.032679028016)</f>
        <v>45949.03268</v>
      </c>
      <c r="S1773" s="1" t="b">
        <f>IFERROR(__xludf.DUMMYFUNCTION("""COMPUTED_VALUE"""),TRUE)</f>
        <v>1</v>
      </c>
      <c r="T1773" s="1" t="b">
        <f>IFERROR(__xludf.DUMMYFUNCTION("""COMPUTED_VALUE"""),FALSE)</f>
        <v>0</v>
      </c>
      <c r="U1773" s="1" t="str">
        <f>IFERROR(__xludf.DUMMYFUNCTION("""COMPUTED_VALUE"""),"VALID")</f>
        <v>VALID</v>
      </c>
      <c r="V1773" s="1">
        <f>IFERROR(__xludf.DUMMYFUNCTION("""COMPUTED_VALUE"""),481.0)</f>
        <v>481</v>
      </c>
      <c r="W1773" s="1">
        <f>IFERROR(__xludf.DUMMYFUNCTION("""COMPUTED_VALUE"""),747.0)</f>
        <v>747</v>
      </c>
      <c r="X1773" s="1">
        <f>IFERROR(__xludf.DUMMYFUNCTION("""COMPUTED_VALUE"""),622.0)</f>
        <v>622</v>
      </c>
      <c r="Y1773" s="2"/>
      <c r="Z1773" s="2"/>
    </row>
    <row r="1774">
      <c r="A1774" s="1">
        <f>IFERROR(__xludf.DUMMYFUNCTION("""COMPUTED_VALUE"""),1773.0)</f>
        <v>1773</v>
      </c>
      <c r="B1774" s="1">
        <f>IFERROR(__xludf.DUMMYFUNCTION("""COMPUTED_VALUE"""),5204.0)</f>
        <v>5204</v>
      </c>
      <c r="C1774" s="2" t="str">
        <f>IFERROR(__xludf.DUMMYFUNCTION("""COMPUTED_VALUE"""),"Ananda Anjas")</f>
        <v>Ananda Anjas</v>
      </c>
      <c r="D1774" s="2" t="str">
        <f>IFERROR(__xludf.DUMMYFUNCTION("""COMPUTED_VALUE"""),"5KM OVERALL M")</f>
        <v>5KM OVERALL M</v>
      </c>
      <c r="E1774" s="1">
        <f>IFERROR(__xludf.DUMMYFUNCTION("""COMPUTED_VALUE"""),2.0)</f>
        <v>2</v>
      </c>
      <c r="F1774" s="1" t="str">
        <f>IFERROR(__xludf.DUMMYFUNCTION("""COMPUTED_VALUE"""),"Male")</f>
        <v>Male</v>
      </c>
      <c r="G1774" s="4" t="str">
        <f>IFERROR(__xludf.DUMMYFUNCTION("""COMPUTED_VALUE"""),"")</f>
        <v/>
      </c>
      <c r="H1774" s="4" t="b">
        <f>IFERROR(__xludf.DUMMYFUNCTION("""COMPUTED_VALUE"""),FALSE)</f>
        <v>0</v>
      </c>
      <c r="I1774" s="4">
        <f>IFERROR(__xludf.DUMMYFUNCTION("""COMPUTED_VALUE"""),0.2549440625)</f>
        <v>0.2549440625</v>
      </c>
      <c r="J1774" s="4" t="str">
        <f>IFERROR(__xludf.DUMMYFUNCTION("""COMPUTED_VALUE"""),"")</f>
        <v/>
      </c>
      <c r="K1774" s="4" t="str">
        <f>IFERROR(__xludf.DUMMYFUNCTION("""COMPUTED_VALUE"""),"")</f>
        <v/>
      </c>
      <c r="L1774" s="4" t="str">
        <f>IFERROR(__xludf.DUMMYFUNCTION("""COMPUTED_VALUE"""),"")</f>
        <v/>
      </c>
      <c r="M1774" s="1" t="str">
        <f>IFERROR(__xludf.DUMMYFUNCTION("""COMPUTED_VALUE"""),"RFID")</f>
        <v>RFID</v>
      </c>
      <c r="N1774" s="5" t="str">
        <f>IFERROR(__xludf.DUMMYFUNCTION("""COMPUTED_VALUE"""),"")</f>
        <v/>
      </c>
      <c r="O1774" s="5" t="str">
        <f>IFERROR(__xludf.DUMMYFUNCTION("""COMPUTED_VALUE"""),"")</f>
        <v/>
      </c>
      <c r="P1774" s="5" t="str">
        <f>IFERROR(__xludf.DUMMYFUNCTION("""COMPUTED_VALUE"""),"")</f>
        <v/>
      </c>
      <c r="Q1774" s="5" t="str">
        <f>IFERROR(__xludf.DUMMYFUNCTION("""COMPUTED_VALUE"""),"")</f>
        <v/>
      </c>
      <c r="R1774" s="4" t="str">
        <f>IFERROR(__xludf.DUMMYFUNCTION("""COMPUTED_VALUE"""),"")</f>
        <v/>
      </c>
      <c r="S1774" s="1" t="b">
        <f>IFERROR(__xludf.DUMMYFUNCTION("""COMPUTED_VALUE"""),FALSE)</f>
        <v>0</v>
      </c>
      <c r="T1774" s="1" t="b">
        <f>IFERROR(__xludf.DUMMYFUNCTION("""COMPUTED_VALUE"""),FALSE)</f>
        <v>0</v>
      </c>
      <c r="U1774" s="1" t="str">
        <f>IFERROR(__xludf.DUMMYFUNCTION("""COMPUTED_VALUE"""),"DSQ")</f>
        <v>DSQ</v>
      </c>
      <c r="V1774" s="1" t="str">
        <f>IFERROR(__xludf.DUMMYFUNCTION("""COMPUTED_VALUE"""),"DSQ")</f>
        <v>DSQ</v>
      </c>
      <c r="W1774" s="1" t="str">
        <f>IFERROR(__xludf.DUMMYFUNCTION("""COMPUTED_VALUE"""),"DSQ")</f>
        <v>DSQ</v>
      </c>
      <c r="X1774" s="1" t="str">
        <f>IFERROR(__xludf.DUMMYFUNCTION("""COMPUTED_VALUE"""),"DSQ")</f>
        <v>DSQ</v>
      </c>
      <c r="Y1774" s="2"/>
      <c r="Z1774" s="2" t="str">
        <f>IFERROR(__xludf.DUMMYFUNCTION("""COMPUTED_VALUE"""),"")</f>
        <v/>
      </c>
    </row>
    <row r="1775">
      <c r="A1775" s="1">
        <f>IFERROR(__xludf.DUMMYFUNCTION("""COMPUTED_VALUE"""),1774.0)</f>
        <v>1774</v>
      </c>
      <c r="B1775" s="1">
        <f>IFERROR(__xludf.DUMMYFUNCTION("""COMPUTED_VALUE"""),5205.0)</f>
        <v>5205</v>
      </c>
      <c r="C1775" s="2" t="str">
        <f>IFERROR(__xludf.DUMMYFUNCTION("""COMPUTED_VALUE"""),"Muhammad Dicky Ramadhan")</f>
        <v>Muhammad Dicky Ramadhan</v>
      </c>
      <c r="D1775" s="2" t="str">
        <f>IFERROR(__xludf.DUMMYFUNCTION("""COMPUTED_VALUE"""),"5KM OVERALL M")</f>
        <v>5KM OVERALL M</v>
      </c>
      <c r="E1775" s="1">
        <f>IFERROR(__xludf.DUMMYFUNCTION("""COMPUTED_VALUE"""),2.0)</f>
        <v>2</v>
      </c>
      <c r="F1775" s="1" t="str">
        <f>IFERROR(__xludf.DUMMYFUNCTION("""COMPUTED_VALUE"""),"Male")</f>
        <v>Male</v>
      </c>
      <c r="G1775" s="4" t="b">
        <f>IFERROR(__xludf.DUMMYFUNCTION("""COMPUTED_VALUE"""),TRUE)</f>
        <v>1</v>
      </c>
      <c r="H1775" s="4" t="b">
        <f>IFERROR(__xludf.DUMMYFUNCTION("""COMPUTED_VALUE"""),TRUE)</f>
        <v>1</v>
      </c>
      <c r="I1775" s="4">
        <f>IFERROR(__xludf.DUMMYFUNCTION("""COMPUTED_VALUE"""),0.2549440625)</f>
        <v>0.2549440625</v>
      </c>
      <c r="J1775" s="4">
        <f>IFERROR(__xludf.DUMMYFUNCTION("""COMPUTED_VALUE"""),45949.27625935)</f>
        <v>45949.27626</v>
      </c>
      <c r="K1775" s="4" t="str">
        <f>IFERROR(__xludf.DUMMYFUNCTION("""COMPUTED_VALUE"""),"")</f>
        <v/>
      </c>
      <c r="L1775" s="4">
        <f>IFERROR(__xludf.DUMMYFUNCTION("""COMPUTED_VALUE"""),45949.290584908376)</f>
        <v>45949.29058</v>
      </c>
      <c r="M1775" s="1" t="str">
        <f>IFERROR(__xludf.DUMMYFUNCTION("""COMPUTED_VALUE"""),"RFID")</f>
        <v>RFID</v>
      </c>
      <c r="N1775" s="5">
        <f>IFERROR(__xludf.DUMMYFUNCTION("""COMPUTED_VALUE"""),0.008526115740740742)</f>
        <v>0.008526115741</v>
      </c>
      <c r="O1775" s="5" t="str">
        <f>IFERROR(__xludf.DUMMYFUNCTION("""COMPUTED_VALUE"""),"")</f>
        <v/>
      </c>
      <c r="P1775" s="5" t="str">
        <f>IFERROR(__xludf.DUMMYFUNCTION("""COMPUTED_VALUE"""),"")</f>
        <v/>
      </c>
      <c r="Q1775" s="5">
        <f>IFERROR(__xludf.DUMMYFUNCTION("""COMPUTED_VALUE"""),0.007128168981481482)</f>
        <v>0.007128168981</v>
      </c>
      <c r="R1775" s="4">
        <f>IFERROR(__xludf.DUMMYFUNCTION("""COMPUTED_VALUE"""),45949.035640845876)</f>
        <v>45949.03564</v>
      </c>
      <c r="S1775" s="1" t="b">
        <f>IFERROR(__xludf.DUMMYFUNCTION("""COMPUTED_VALUE"""),TRUE)</f>
        <v>1</v>
      </c>
      <c r="T1775" s="1" t="b">
        <f>IFERROR(__xludf.DUMMYFUNCTION("""COMPUTED_VALUE"""),FALSE)</f>
        <v>0</v>
      </c>
      <c r="U1775" s="1" t="str">
        <f>IFERROR(__xludf.DUMMYFUNCTION("""COMPUTED_VALUE"""),"VALID")</f>
        <v>VALID</v>
      </c>
      <c r="V1775" s="1">
        <f>IFERROR(__xludf.DUMMYFUNCTION("""COMPUTED_VALUE"""),581.0)</f>
        <v>581</v>
      </c>
      <c r="W1775" s="1">
        <f>IFERROR(__xludf.DUMMYFUNCTION("""COMPUTED_VALUE"""),928.0)</f>
        <v>928</v>
      </c>
      <c r="X1775" s="1">
        <f>IFERROR(__xludf.DUMMYFUNCTION("""COMPUTED_VALUE"""),758.0)</f>
        <v>758</v>
      </c>
      <c r="Y1775" s="2"/>
      <c r="Z1775" s="2"/>
    </row>
    <row r="1776">
      <c r="A1776" s="1">
        <f>IFERROR(__xludf.DUMMYFUNCTION("""COMPUTED_VALUE"""),1775.0)</f>
        <v>1775</v>
      </c>
      <c r="B1776" s="1">
        <f>IFERROR(__xludf.DUMMYFUNCTION("""COMPUTED_VALUE"""),5206.0)</f>
        <v>5206</v>
      </c>
      <c r="C1776" s="2" t="str">
        <f>IFERROR(__xludf.DUMMYFUNCTION("""COMPUTED_VALUE"""),"adisiswn")</f>
        <v>adisiswn</v>
      </c>
      <c r="D1776" s="2" t="str">
        <f>IFERROR(__xludf.DUMMYFUNCTION("""COMPUTED_VALUE"""),"5KM OVERALL M")</f>
        <v>5KM OVERALL M</v>
      </c>
      <c r="E1776" s="1">
        <f>IFERROR(__xludf.DUMMYFUNCTION("""COMPUTED_VALUE"""),2.0)</f>
        <v>2</v>
      </c>
      <c r="F1776" s="1" t="str">
        <f>IFERROR(__xludf.DUMMYFUNCTION("""COMPUTED_VALUE"""),"Male")</f>
        <v>Male</v>
      </c>
      <c r="G1776" s="4" t="b">
        <f>IFERROR(__xludf.DUMMYFUNCTION("""COMPUTED_VALUE"""),TRUE)</f>
        <v>1</v>
      </c>
      <c r="H1776" s="4" t="b">
        <f>IFERROR(__xludf.DUMMYFUNCTION("""COMPUTED_VALUE"""),FALSE)</f>
        <v>0</v>
      </c>
      <c r="I1776" s="4">
        <f>IFERROR(__xludf.DUMMYFUNCTION("""COMPUTED_VALUE"""),0.2549440625)</f>
        <v>0.2549440625</v>
      </c>
      <c r="J1776" s="4">
        <f>IFERROR(__xludf.DUMMYFUNCTION("""COMPUTED_VALUE"""),45949.27076981115)</f>
        <v>45949.27077</v>
      </c>
      <c r="K1776" s="4" t="str">
        <f>IFERROR(__xludf.DUMMYFUNCTION("""COMPUTED_VALUE"""),"")</f>
        <v/>
      </c>
      <c r="L1776" s="4">
        <f>IFERROR(__xludf.DUMMYFUNCTION("""COMPUTED_VALUE"""),45949.28252598541)</f>
        <v>45949.28253</v>
      </c>
      <c r="M1776" s="1" t="str">
        <f>IFERROR(__xludf.DUMMYFUNCTION("""COMPUTED_VALUE"""),"RFID")</f>
        <v>RFID</v>
      </c>
      <c r="N1776" s="5">
        <f>IFERROR(__xludf.DUMMYFUNCTION("""COMPUTED_VALUE"""),0.006330300925925926)</f>
        <v>0.006330300926</v>
      </c>
      <c r="O1776" s="5" t="str">
        <f>IFERROR(__xludf.DUMMYFUNCTION("""COMPUTED_VALUE"""),"")</f>
        <v/>
      </c>
      <c r="P1776" s="5" t="str">
        <f>IFERROR(__xludf.DUMMYFUNCTION("""COMPUTED_VALUE"""),"")</f>
        <v/>
      </c>
      <c r="Q1776" s="5">
        <f>IFERROR(__xludf.DUMMYFUNCTION("""COMPUTED_VALUE"""),0.005516384259259259)</f>
        <v>0.005516384259</v>
      </c>
      <c r="R1776" s="4">
        <f>IFERROR(__xludf.DUMMYFUNCTION("""COMPUTED_VALUE"""),45949.02758192291)</f>
        <v>45949.02758</v>
      </c>
      <c r="S1776" s="1" t="b">
        <f>IFERROR(__xludf.DUMMYFUNCTION("""COMPUTED_VALUE"""),TRUE)</f>
        <v>1</v>
      </c>
      <c r="T1776" s="1" t="b">
        <f>IFERROR(__xludf.DUMMYFUNCTION("""COMPUTED_VALUE"""),FALSE)</f>
        <v>0</v>
      </c>
      <c r="U1776" s="1" t="str">
        <f>IFERROR(__xludf.DUMMYFUNCTION("""COMPUTED_VALUE"""),"VALID")</f>
        <v>VALID</v>
      </c>
      <c r="V1776" s="1">
        <f>IFERROR(__xludf.DUMMYFUNCTION("""COMPUTED_VALUE"""),267.0)</f>
        <v>267</v>
      </c>
      <c r="W1776" s="1">
        <f>IFERROR(__xludf.DUMMYFUNCTION("""COMPUTED_VALUE"""),407.0)</f>
        <v>407</v>
      </c>
      <c r="X1776" s="1">
        <f>IFERROR(__xludf.DUMMYFUNCTION("""COMPUTED_VALUE"""),353.0)</f>
        <v>353</v>
      </c>
      <c r="Y1776" s="2"/>
      <c r="Z1776" s="2"/>
    </row>
    <row r="1777">
      <c r="A1777" s="1">
        <f>IFERROR(__xludf.DUMMYFUNCTION("""COMPUTED_VALUE"""),1776.0)</f>
        <v>1776</v>
      </c>
      <c r="B1777" s="1">
        <f>IFERROR(__xludf.DUMMYFUNCTION("""COMPUTED_VALUE"""),5207.0)</f>
        <v>5207</v>
      </c>
      <c r="C1777" s="2" t="str">
        <f>IFERROR(__xludf.DUMMYFUNCTION("""COMPUTED_VALUE"""),"AINOOR FACHJAR")</f>
        <v>AINOOR FACHJAR</v>
      </c>
      <c r="D1777" s="2" t="str">
        <f>IFERROR(__xludf.DUMMYFUNCTION("""COMPUTED_VALUE"""),"5KM OVERALL M")</f>
        <v>5KM OVERALL M</v>
      </c>
      <c r="E1777" s="1">
        <f>IFERROR(__xludf.DUMMYFUNCTION("""COMPUTED_VALUE"""),2.0)</f>
        <v>2</v>
      </c>
      <c r="F1777" s="1" t="str">
        <f>IFERROR(__xludf.DUMMYFUNCTION("""COMPUTED_VALUE"""),"Male")</f>
        <v>Male</v>
      </c>
      <c r="G1777" s="4" t="b">
        <f>IFERROR(__xludf.DUMMYFUNCTION("""COMPUTED_VALUE"""),TRUE)</f>
        <v>1</v>
      </c>
      <c r="H1777" s="4" t="b">
        <f>IFERROR(__xludf.DUMMYFUNCTION("""COMPUTED_VALUE"""),FALSE)</f>
        <v>0</v>
      </c>
      <c r="I1777" s="4">
        <f>IFERROR(__xludf.DUMMYFUNCTION("""COMPUTED_VALUE"""),0.2549440625)</f>
        <v>0.2549440625</v>
      </c>
      <c r="J1777" s="4">
        <f>IFERROR(__xludf.DUMMYFUNCTION("""COMPUTED_VALUE"""),45949.280634334405)</f>
        <v>45949.28063</v>
      </c>
      <c r="K1777" s="4" t="str">
        <f>IFERROR(__xludf.DUMMYFUNCTION("""COMPUTED_VALUE"""),"")</f>
        <v/>
      </c>
      <c r="L1777" s="4">
        <f>IFERROR(__xludf.DUMMYFUNCTION("""COMPUTED_VALUE"""),45949.29895642491)</f>
        <v>45949.29896</v>
      </c>
      <c r="M1777" s="1" t="str">
        <f>IFERROR(__xludf.DUMMYFUNCTION("""COMPUTED_VALUE"""),"RFID")</f>
        <v>RFID</v>
      </c>
      <c r="N1777" s="5">
        <f>IFERROR(__xludf.DUMMYFUNCTION("""COMPUTED_VALUE"""),0.010276106481481483)</f>
        <v>0.01027610648</v>
      </c>
      <c r="O1777" s="5" t="str">
        <f>IFERROR(__xludf.DUMMYFUNCTION("""COMPUTED_VALUE"""),"")</f>
        <v/>
      </c>
      <c r="P1777" s="5" t="str">
        <f>IFERROR(__xludf.DUMMYFUNCTION("""COMPUTED_VALUE"""),"")</f>
        <v/>
      </c>
      <c r="Q1777" s="5">
        <f>IFERROR(__xludf.DUMMYFUNCTION("""COMPUTED_VALUE"""),0.008802472222222222)</f>
        <v>0.008802472222</v>
      </c>
      <c r="R1777" s="4">
        <f>IFERROR(__xludf.DUMMYFUNCTION("""COMPUTED_VALUE"""),45949.04401236241)</f>
        <v>45949.04401</v>
      </c>
      <c r="S1777" s="1" t="b">
        <f>IFERROR(__xludf.DUMMYFUNCTION("""COMPUTED_VALUE"""),TRUE)</f>
        <v>1</v>
      </c>
      <c r="T1777" s="1" t="b">
        <f>IFERROR(__xludf.DUMMYFUNCTION("""COMPUTED_VALUE"""),FALSE)</f>
        <v>0</v>
      </c>
      <c r="U1777" s="1" t="str">
        <f>IFERROR(__xludf.DUMMYFUNCTION("""COMPUTED_VALUE"""),"VALID")</f>
        <v>VALID</v>
      </c>
      <c r="V1777" s="1">
        <f>IFERROR(__xludf.DUMMYFUNCTION("""COMPUTED_VALUE"""),780.0)</f>
        <v>780</v>
      </c>
      <c r="W1777" s="1">
        <f>IFERROR(__xludf.DUMMYFUNCTION("""COMPUTED_VALUE"""),1410.0)</f>
        <v>1410</v>
      </c>
      <c r="X1777" s="1">
        <f>IFERROR(__xludf.DUMMYFUNCTION("""COMPUTED_VALUE"""),1151.0)</f>
        <v>1151</v>
      </c>
      <c r="Y1777" s="2"/>
      <c r="Z1777" s="2"/>
    </row>
    <row r="1778">
      <c r="A1778" s="1">
        <f>IFERROR(__xludf.DUMMYFUNCTION("""COMPUTED_VALUE"""),1777.0)</f>
        <v>1777</v>
      </c>
      <c r="B1778" s="1">
        <f>IFERROR(__xludf.DUMMYFUNCTION("""COMPUTED_VALUE"""),5208.0)</f>
        <v>5208</v>
      </c>
      <c r="C1778" s="2" t="str">
        <f>IFERROR(__xludf.DUMMYFUNCTION("""COMPUTED_VALUE"""),"Refdy")</f>
        <v>Refdy</v>
      </c>
      <c r="D1778" s="2" t="str">
        <f>IFERROR(__xludf.DUMMYFUNCTION("""COMPUTED_VALUE"""),"5KM OVERALL M")</f>
        <v>5KM OVERALL M</v>
      </c>
      <c r="E1778" s="1">
        <f>IFERROR(__xludf.DUMMYFUNCTION("""COMPUTED_VALUE"""),2.0)</f>
        <v>2</v>
      </c>
      <c r="F1778" s="1" t="str">
        <f>IFERROR(__xludf.DUMMYFUNCTION("""COMPUTED_VALUE"""),"Male")</f>
        <v>Male</v>
      </c>
      <c r="G1778" s="4" t="b">
        <f>IFERROR(__xludf.DUMMYFUNCTION("""COMPUTED_VALUE"""),TRUE)</f>
        <v>1</v>
      </c>
      <c r="H1778" s="4" t="b">
        <f>IFERROR(__xludf.DUMMYFUNCTION("""COMPUTED_VALUE"""),TRUE)</f>
        <v>1</v>
      </c>
      <c r="I1778" s="4">
        <f>IFERROR(__xludf.DUMMYFUNCTION("""COMPUTED_VALUE"""),0.2549440625)</f>
        <v>0.2549440625</v>
      </c>
      <c r="J1778" s="4">
        <f>IFERROR(__xludf.DUMMYFUNCTION("""COMPUTED_VALUE"""),45949.27384272145)</f>
        <v>45949.27384</v>
      </c>
      <c r="K1778" s="4" t="str">
        <f>IFERROR(__xludf.DUMMYFUNCTION("""COMPUTED_VALUE"""),"")</f>
        <v/>
      </c>
      <c r="L1778" s="4">
        <f>IFERROR(__xludf.DUMMYFUNCTION("""COMPUTED_VALUE"""),45949.28770294804)</f>
        <v>45949.2877</v>
      </c>
      <c r="M1778" s="1" t="str">
        <f>IFERROR(__xludf.DUMMYFUNCTION("""COMPUTED_VALUE"""),"RFID")</f>
        <v>RFID</v>
      </c>
      <c r="N1778" s="5">
        <f>IFERROR(__xludf.DUMMYFUNCTION("""COMPUTED_VALUE"""),0.007559462962962964)</f>
        <v>0.007559462963</v>
      </c>
      <c r="O1778" s="5" t="str">
        <f>IFERROR(__xludf.DUMMYFUNCTION("""COMPUTED_VALUE"""),"")</f>
        <v/>
      </c>
      <c r="P1778" s="5" t="str">
        <f>IFERROR(__xludf.DUMMYFUNCTION("""COMPUTED_VALUE"""),"")</f>
        <v/>
      </c>
      <c r="Q1778" s="5">
        <f>IFERROR(__xludf.DUMMYFUNCTION("""COMPUTED_VALUE"""),0.006551777777777777)</f>
        <v>0.006551777778</v>
      </c>
      <c r="R1778" s="4">
        <f>IFERROR(__xludf.DUMMYFUNCTION("""COMPUTED_VALUE"""),45949.032758885536)</f>
        <v>45949.03276</v>
      </c>
      <c r="S1778" s="1" t="b">
        <f>IFERROR(__xludf.DUMMYFUNCTION("""COMPUTED_VALUE"""),TRUE)</f>
        <v>1</v>
      </c>
      <c r="T1778" s="1" t="b">
        <f>IFERROR(__xludf.DUMMYFUNCTION("""COMPUTED_VALUE"""),FALSE)</f>
        <v>0</v>
      </c>
      <c r="U1778" s="1" t="str">
        <f>IFERROR(__xludf.DUMMYFUNCTION("""COMPUTED_VALUE"""),"VALID")</f>
        <v>VALID</v>
      </c>
      <c r="V1778" s="1">
        <f>IFERROR(__xludf.DUMMYFUNCTION("""COMPUTED_VALUE"""),483.0)</f>
        <v>483</v>
      </c>
      <c r="W1778" s="1">
        <f>IFERROR(__xludf.DUMMYFUNCTION("""COMPUTED_VALUE"""),752.0)</f>
        <v>752</v>
      </c>
      <c r="X1778" s="1">
        <f>IFERROR(__xludf.DUMMYFUNCTION("""COMPUTED_VALUE"""),624.0)</f>
        <v>624</v>
      </c>
      <c r="Y1778" s="2"/>
      <c r="Z1778" s="2"/>
    </row>
    <row r="1779">
      <c r="A1779" s="1">
        <f>IFERROR(__xludf.DUMMYFUNCTION("""COMPUTED_VALUE"""),1778.0)</f>
        <v>1778</v>
      </c>
      <c r="B1779" s="1">
        <f>IFERROR(__xludf.DUMMYFUNCTION("""COMPUTED_VALUE"""),5210.0)</f>
        <v>5210</v>
      </c>
      <c r="C1779" s="2" t="str">
        <f>IFERROR(__xludf.DUMMYFUNCTION("""COMPUTED_VALUE"""),"Afif")</f>
        <v>Afif</v>
      </c>
      <c r="D1779" s="2" t="str">
        <f>IFERROR(__xludf.DUMMYFUNCTION("""COMPUTED_VALUE"""),"5KM OVERALL M")</f>
        <v>5KM OVERALL M</v>
      </c>
      <c r="E1779" s="1">
        <f>IFERROR(__xludf.DUMMYFUNCTION("""COMPUTED_VALUE"""),2.0)</f>
        <v>2</v>
      </c>
      <c r="F1779" s="1" t="str">
        <f>IFERROR(__xludf.DUMMYFUNCTION("""COMPUTED_VALUE"""),"Male")</f>
        <v>Male</v>
      </c>
      <c r="G1779" s="4" t="b">
        <f>IFERROR(__xludf.DUMMYFUNCTION("""COMPUTED_VALUE"""),TRUE)</f>
        <v>1</v>
      </c>
      <c r="H1779" s="4" t="b">
        <f>IFERROR(__xludf.DUMMYFUNCTION("""COMPUTED_VALUE"""),FALSE)</f>
        <v>0</v>
      </c>
      <c r="I1779" s="4">
        <f>IFERROR(__xludf.DUMMYFUNCTION("""COMPUTED_VALUE"""),0.2549440625)</f>
        <v>0.2549440625</v>
      </c>
      <c r="J1779" s="4">
        <f>IFERROR(__xludf.DUMMYFUNCTION("""COMPUTED_VALUE"""),45949.276245439476)</f>
        <v>45949.27625</v>
      </c>
      <c r="K1779" s="4" t="str">
        <f>IFERROR(__xludf.DUMMYFUNCTION("""COMPUTED_VALUE"""),"")</f>
        <v/>
      </c>
      <c r="L1779" s="4">
        <f>IFERROR(__xludf.DUMMYFUNCTION("""COMPUTED_VALUE"""),45949.28977934441)</f>
        <v>45949.28978</v>
      </c>
      <c r="M1779" s="1" t="str">
        <f>IFERROR(__xludf.DUMMYFUNCTION("""COMPUTED_VALUE"""),"RFID")</f>
        <v>RFID</v>
      </c>
      <c r="N1779" s="5">
        <f>IFERROR(__xludf.DUMMYFUNCTION("""COMPUTED_VALUE"""),0.008520550925925926)</f>
        <v>0.008520550926</v>
      </c>
      <c r="O1779" s="5" t="str">
        <f>IFERROR(__xludf.DUMMYFUNCTION("""COMPUTED_VALUE"""),"")</f>
        <v/>
      </c>
      <c r="P1779" s="5" t="str">
        <f>IFERROR(__xludf.DUMMYFUNCTION("""COMPUTED_VALUE"""),"")</f>
        <v/>
      </c>
      <c r="Q1779" s="5">
        <f>IFERROR(__xludf.DUMMYFUNCTION("""COMPUTED_VALUE"""),0.006967055555555555)</f>
        <v>0.006967055556</v>
      </c>
      <c r="R1779" s="4">
        <f>IFERROR(__xludf.DUMMYFUNCTION("""COMPUTED_VALUE"""),45949.03483528191)</f>
        <v>45949.03484</v>
      </c>
      <c r="S1779" s="1" t="b">
        <f>IFERROR(__xludf.DUMMYFUNCTION("""COMPUTED_VALUE"""),TRUE)</f>
        <v>1</v>
      </c>
      <c r="T1779" s="1" t="b">
        <f>IFERROR(__xludf.DUMMYFUNCTION("""COMPUTED_VALUE"""),FALSE)</f>
        <v>0</v>
      </c>
      <c r="U1779" s="1" t="str">
        <f>IFERROR(__xludf.DUMMYFUNCTION("""COMPUTED_VALUE"""),"VALID")</f>
        <v>VALID</v>
      </c>
      <c r="V1779" s="1">
        <f>IFERROR(__xludf.DUMMYFUNCTION("""COMPUTED_VALUE"""),554.0)</f>
        <v>554</v>
      </c>
      <c r="W1779" s="1">
        <f>IFERROR(__xludf.DUMMYFUNCTION("""COMPUTED_VALUE"""),879.0)</f>
        <v>879</v>
      </c>
      <c r="X1779" s="1">
        <f>IFERROR(__xludf.DUMMYFUNCTION("""COMPUTED_VALUE"""),715.0)</f>
        <v>715</v>
      </c>
      <c r="Y1779" s="2"/>
      <c r="Z1779" s="2"/>
    </row>
    <row r="1780">
      <c r="A1780" s="1">
        <f>IFERROR(__xludf.DUMMYFUNCTION("""COMPUTED_VALUE"""),1779.0)</f>
        <v>1779</v>
      </c>
      <c r="B1780" s="1">
        <f>IFERROR(__xludf.DUMMYFUNCTION("""COMPUTED_VALUE"""),5211.0)</f>
        <v>5211</v>
      </c>
      <c r="C1780" s="2" t="str">
        <f>IFERROR(__xludf.DUMMYFUNCTION("""COMPUTED_VALUE"""),"Hariyadi Utomo")</f>
        <v>Hariyadi Utomo</v>
      </c>
      <c r="D1780" s="2" t="str">
        <f>IFERROR(__xludf.DUMMYFUNCTION("""COMPUTED_VALUE"""),"5KM OVERALL M")</f>
        <v>5KM OVERALL M</v>
      </c>
      <c r="E1780" s="1">
        <f>IFERROR(__xludf.DUMMYFUNCTION("""COMPUTED_VALUE"""),2.0)</f>
        <v>2</v>
      </c>
      <c r="F1780" s="1" t="str">
        <f>IFERROR(__xludf.DUMMYFUNCTION("""COMPUTED_VALUE"""),"Male")</f>
        <v>Male</v>
      </c>
      <c r="G1780" s="4" t="b">
        <f>IFERROR(__xludf.DUMMYFUNCTION("""COMPUTED_VALUE"""),TRUE)</f>
        <v>1</v>
      </c>
      <c r="H1780" s="4" t="b">
        <f>IFERROR(__xludf.DUMMYFUNCTION("""COMPUTED_VALUE"""),FALSE)</f>
        <v>0</v>
      </c>
      <c r="I1780" s="4">
        <f>IFERROR(__xludf.DUMMYFUNCTION("""COMPUTED_VALUE"""),0.2549440625)</f>
        <v>0.2549440625</v>
      </c>
      <c r="J1780" s="4">
        <f>IFERROR(__xludf.DUMMYFUNCTION("""COMPUTED_VALUE"""),45949.28153021037)</f>
        <v>45949.28153</v>
      </c>
      <c r="K1780" s="4" t="str">
        <f>IFERROR(__xludf.DUMMYFUNCTION("""COMPUTED_VALUE"""),"")</f>
        <v/>
      </c>
      <c r="L1780" s="4">
        <f>IFERROR(__xludf.DUMMYFUNCTION("""COMPUTED_VALUE"""),45949.30124461798)</f>
        <v>45949.30124</v>
      </c>
      <c r="M1780" s="1" t="str">
        <f>IFERROR(__xludf.DUMMYFUNCTION("""COMPUTED_VALUE"""),"RFID")</f>
        <v>RFID</v>
      </c>
      <c r="N1780" s="5">
        <f>IFERROR(__xludf.DUMMYFUNCTION("""COMPUTED_VALUE"""),0.010634458333333334)</f>
        <v>0.01063445833</v>
      </c>
      <c r="O1780" s="5" t="str">
        <f>IFERROR(__xludf.DUMMYFUNCTION("""COMPUTED_VALUE"""),"")</f>
        <v/>
      </c>
      <c r="P1780" s="5" t="str">
        <f>IFERROR(__xludf.DUMMYFUNCTION("""COMPUTED_VALUE"""),"")</f>
        <v/>
      </c>
      <c r="Q1780" s="5">
        <f>IFERROR(__xludf.DUMMYFUNCTION("""COMPUTED_VALUE"""),0.009260111111111111)</f>
        <v>0.009260111111</v>
      </c>
      <c r="R1780" s="4">
        <f>IFERROR(__xludf.DUMMYFUNCTION("""COMPUTED_VALUE"""),45949.04630055548)</f>
        <v>45949.0463</v>
      </c>
      <c r="S1780" s="1" t="b">
        <f>IFERROR(__xludf.DUMMYFUNCTION("""COMPUTED_VALUE"""),TRUE)</f>
        <v>1</v>
      </c>
      <c r="T1780" s="1" t="b">
        <f>IFERROR(__xludf.DUMMYFUNCTION("""COMPUTED_VALUE"""),FALSE)</f>
        <v>0</v>
      </c>
      <c r="U1780" s="1" t="str">
        <f>IFERROR(__xludf.DUMMYFUNCTION("""COMPUTED_VALUE"""),"VALID")</f>
        <v>VALID</v>
      </c>
      <c r="V1780" s="1">
        <f>IFERROR(__xludf.DUMMYFUNCTION("""COMPUTED_VALUE"""),815.0)</f>
        <v>815</v>
      </c>
      <c r="W1780" s="1">
        <f>IFERROR(__xludf.DUMMYFUNCTION("""COMPUTED_VALUE"""),1503.0)</f>
        <v>1503</v>
      </c>
      <c r="X1780" s="1">
        <f>IFERROR(__xludf.DUMMYFUNCTION("""COMPUTED_VALUE"""),1254.0)</f>
        <v>1254</v>
      </c>
      <c r="Y1780" s="2"/>
      <c r="Z1780" s="2"/>
    </row>
    <row r="1781">
      <c r="A1781" s="1">
        <f>IFERROR(__xludf.DUMMYFUNCTION("""COMPUTED_VALUE"""),1780.0)</f>
        <v>1780</v>
      </c>
      <c r="B1781" s="1">
        <f>IFERROR(__xludf.DUMMYFUNCTION("""COMPUTED_VALUE"""),5213.0)</f>
        <v>5213</v>
      </c>
      <c r="C1781" s="2" t="str">
        <f>IFERROR(__xludf.DUMMYFUNCTION("""COMPUTED_VALUE"""),"Andri NP")</f>
        <v>Andri NP</v>
      </c>
      <c r="D1781" s="2" t="str">
        <f>IFERROR(__xludf.DUMMYFUNCTION("""COMPUTED_VALUE"""),"5KM OVERALL M")</f>
        <v>5KM OVERALL M</v>
      </c>
      <c r="E1781" s="1">
        <f>IFERROR(__xludf.DUMMYFUNCTION("""COMPUTED_VALUE"""),2.0)</f>
        <v>2</v>
      </c>
      <c r="F1781" s="1" t="str">
        <f>IFERROR(__xludf.DUMMYFUNCTION("""COMPUTED_VALUE"""),"Male")</f>
        <v>Male</v>
      </c>
      <c r="G1781" s="4" t="b">
        <f>IFERROR(__xludf.DUMMYFUNCTION("""COMPUTED_VALUE"""),TRUE)</f>
        <v>1</v>
      </c>
      <c r="H1781" s="4" t="b">
        <f>IFERROR(__xludf.DUMMYFUNCTION("""COMPUTED_VALUE"""),TRUE)</f>
        <v>1</v>
      </c>
      <c r="I1781" s="4">
        <f>IFERROR(__xludf.DUMMYFUNCTION("""COMPUTED_VALUE"""),0.2549440625)</f>
        <v>0.2549440625</v>
      </c>
      <c r="J1781" s="4">
        <f>IFERROR(__xludf.DUMMYFUNCTION("""COMPUTED_VALUE"""),45949.27404406267)</f>
        <v>45949.27404</v>
      </c>
      <c r="K1781" s="4" t="str">
        <f>IFERROR(__xludf.DUMMYFUNCTION("""COMPUTED_VALUE"""),"")</f>
        <v/>
      </c>
      <c r="L1781" s="4">
        <f>IFERROR(__xludf.DUMMYFUNCTION("""COMPUTED_VALUE"""),45949.2881682475)</f>
        <v>45949.28817</v>
      </c>
      <c r="M1781" s="1" t="str">
        <f>IFERROR(__xludf.DUMMYFUNCTION("""COMPUTED_VALUE"""),"RFID")</f>
        <v>RFID</v>
      </c>
      <c r="N1781" s="5">
        <f>IFERROR(__xludf.DUMMYFUNCTION("""COMPUTED_VALUE"""),0.007639999999999999)</f>
        <v>0.00764</v>
      </c>
      <c r="O1781" s="5" t="str">
        <f>IFERROR(__xludf.DUMMYFUNCTION("""COMPUTED_VALUE"""),"")</f>
        <v/>
      </c>
      <c r="P1781" s="5" t="str">
        <f>IFERROR(__xludf.DUMMYFUNCTION("""COMPUTED_VALUE"""),"")</f>
        <v/>
      </c>
      <c r="Q1781" s="5">
        <f>IFERROR(__xludf.DUMMYFUNCTION("""COMPUTED_VALUE"""),0.006644837962962963)</f>
        <v>0.006644837963</v>
      </c>
      <c r="R1781" s="4">
        <f>IFERROR(__xludf.DUMMYFUNCTION("""COMPUTED_VALUE"""),45949.033224185)</f>
        <v>45949.03322</v>
      </c>
      <c r="S1781" s="1" t="b">
        <f>IFERROR(__xludf.DUMMYFUNCTION("""COMPUTED_VALUE"""),TRUE)</f>
        <v>1</v>
      </c>
      <c r="T1781" s="1" t="b">
        <f>IFERROR(__xludf.DUMMYFUNCTION("""COMPUTED_VALUE"""),FALSE)</f>
        <v>0</v>
      </c>
      <c r="U1781" s="1" t="str">
        <f>IFERROR(__xludf.DUMMYFUNCTION("""COMPUTED_VALUE"""),"VALID")</f>
        <v>VALID</v>
      </c>
      <c r="V1781" s="1">
        <f>IFERROR(__xludf.DUMMYFUNCTION("""COMPUTED_VALUE"""),505.0)</f>
        <v>505</v>
      </c>
      <c r="W1781" s="1">
        <f>IFERROR(__xludf.DUMMYFUNCTION("""COMPUTED_VALUE"""),788.0)</f>
        <v>788</v>
      </c>
      <c r="X1781" s="1">
        <f>IFERROR(__xludf.DUMMYFUNCTION("""COMPUTED_VALUE"""),652.0)</f>
        <v>652</v>
      </c>
      <c r="Y1781" s="2"/>
      <c r="Z1781" s="2"/>
    </row>
    <row r="1782">
      <c r="A1782" s="1">
        <f>IFERROR(__xludf.DUMMYFUNCTION("""COMPUTED_VALUE"""),1781.0)</f>
        <v>1781</v>
      </c>
      <c r="B1782" s="1">
        <f>IFERROR(__xludf.DUMMYFUNCTION("""COMPUTED_VALUE"""),5214.0)</f>
        <v>5214</v>
      </c>
      <c r="C1782" s="2" t="str">
        <f>IFERROR(__xludf.DUMMYFUNCTION("""COMPUTED_VALUE"""),"Ayah Sorayya")</f>
        <v>Ayah Sorayya</v>
      </c>
      <c r="D1782" s="2" t="str">
        <f>IFERROR(__xludf.DUMMYFUNCTION("""COMPUTED_VALUE"""),"5KM OVERALL M")</f>
        <v>5KM OVERALL M</v>
      </c>
      <c r="E1782" s="1">
        <f>IFERROR(__xludf.DUMMYFUNCTION("""COMPUTED_VALUE"""),2.0)</f>
        <v>2</v>
      </c>
      <c r="F1782" s="1" t="str">
        <f>IFERROR(__xludf.DUMMYFUNCTION("""COMPUTED_VALUE"""),"Male")</f>
        <v>Male</v>
      </c>
      <c r="G1782" s="4" t="b">
        <f>IFERROR(__xludf.DUMMYFUNCTION("""COMPUTED_VALUE"""),TRUE)</f>
        <v>1</v>
      </c>
      <c r="H1782" s="4" t="b">
        <f>IFERROR(__xludf.DUMMYFUNCTION("""COMPUTED_VALUE"""),TRUE)</f>
        <v>1</v>
      </c>
      <c r="I1782" s="4">
        <f>IFERROR(__xludf.DUMMYFUNCTION("""COMPUTED_VALUE"""),0.2549440625)</f>
        <v>0.2549440625</v>
      </c>
      <c r="J1782" s="4">
        <f>IFERROR(__xludf.DUMMYFUNCTION("""COMPUTED_VALUE"""),45949.27842947375)</f>
        <v>45949.27843</v>
      </c>
      <c r="K1782" s="4" t="str">
        <f>IFERROR(__xludf.DUMMYFUNCTION("""COMPUTED_VALUE"""),"")</f>
        <v/>
      </c>
      <c r="L1782" s="4">
        <f>IFERROR(__xludf.DUMMYFUNCTION("""COMPUTED_VALUE"""),45949.29527934606)</f>
        <v>45949.29528</v>
      </c>
      <c r="M1782" s="1" t="str">
        <f>IFERROR(__xludf.DUMMYFUNCTION("""COMPUTED_VALUE"""),"RFID")</f>
        <v>RFID</v>
      </c>
      <c r="N1782" s="5">
        <f>IFERROR(__xludf.DUMMYFUNCTION("""COMPUTED_VALUE"""),0.009394166666666667)</f>
        <v>0.009394166667</v>
      </c>
      <c r="O1782" s="5" t="str">
        <f>IFERROR(__xludf.DUMMYFUNCTION("""COMPUTED_VALUE"""),"")</f>
        <v/>
      </c>
      <c r="P1782" s="5" t="str">
        <f>IFERROR(__xludf.DUMMYFUNCTION("""COMPUTED_VALUE"""),"")</f>
        <v/>
      </c>
      <c r="Q1782" s="5">
        <f>IFERROR(__xludf.DUMMYFUNCTION("""COMPUTED_VALUE"""),0.008067055555555555)</f>
        <v>0.008067055556</v>
      </c>
      <c r="R1782" s="4">
        <f>IFERROR(__xludf.DUMMYFUNCTION("""COMPUTED_VALUE"""),45949.04033528356)</f>
        <v>45949.04034</v>
      </c>
      <c r="S1782" s="1" t="b">
        <f>IFERROR(__xludf.DUMMYFUNCTION("""COMPUTED_VALUE"""),TRUE)</f>
        <v>1</v>
      </c>
      <c r="T1782" s="1" t="b">
        <f>IFERROR(__xludf.DUMMYFUNCTION("""COMPUTED_VALUE"""),FALSE)</f>
        <v>0</v>
      </c>
      <c r="U1782" s="1" t="str">
        <f>IFERROR(__xludf.DUMMYFUNCTION("""COMPUTED_VALUE"""),"VALID")</f>
        <v>VALID</v>
      </c>
      <c r="V1782" s="1">
        <f>IFERROR(__xludf.DUMMYFUNCTION("""COMPUTED_VALUE"""),719.0)</f>
        <v>719</v>
      </c>
      <c r="W1782" s="1">
        <f>IFERROR(__xludf.DUMMYFUNCTION("""COMPUTED_VALUE"""),1258.0)</f>
        <v>1258</v>
      </c>
      <c r="X1782" s="1">
        <f>IFERROR(__xludf.DUMMYFUNCTION("""COMPUTED_VALUE"""),990.0)</f>
        <v>990</v>
      </c>
      <c r="Y1782" s="2"/>
      <c r="Z1782" s="2"/>
    </row>
    <row r="1783">
      <c r="A1783" s="1">
        <f>IFERROR(__xludf.DUMMYFUNCTION("""COMPUTED_VALUE"""),1782.0)</f>
        <v>1782</v>
      </c>
      <c r="B1783" s="1">
        <f>IFERROR(__xludf.DUMMYFUNCTION("""COMPUTED_VALUE"""),5215.0)</f>
        <v>5215</v>
      </c>
      <c r="C1783" s="2" t="str">
        <f>IFERROR(__xludf.DUMMYFUNCTION("""COMPUTED_VALUE"""),"Martin G P Manik")</f>
        <v>Martin G P Manik</v>
      </c>
      <c r="D1783" s="2" t="str">
        <f>IFERROR(__xludf.DUMMYFUNCTION("""COMPUTED_VALUE"""),"5KM OVERALL M")</f>
        <v>5KM OVERALL M</v>
      </c>
      <c r="E1783" s="1">
        <f>IFERROR(__xludf.DUMMYFUNCTION("""COMPUTED_VALUE"""),2.0)</f>
        <v>2</v>
      </c>
      <c r="F1783" s="1" t="str">
        <f>IFERROR(__xludf.DUMMYFUNCTION("""COMPUTED_VALUE"""),"Male")</f>
        <v>Male</v>
      </c>
      <c r="G1783" s="4" t="b">
        <f>IFERROR(__xludf.DUMMYFUNCTION("""COMPUTED_VALUE"""),TRUE)</f>
        <v>1</v>
      </c>
      <c r="H1783" s="4" t="b">
        <f>IFERROR(__xludf.DUMMYFUNCTION("""COMPUTED_VALUE"""),TRUE)</f>
        <v>1</v>
      </c>
      <c r="I1783" s="4">
        <f>IFERROR(__xludf.DUMMYFUNCTION("""COMPUTED_VALUE"""),0.2549440625)</f>
        <v>0.2549440625</v>
      </c>
      <c r="J1783" s="4">
        <f>IFERROR(__xludf.DUMMYFUNCTION("""COMPUTED_VALUE"""),45949.27238434957)</f>
        <v>45949.27238</v>
      </c>
      <c r="K1783" s="4" t="str">
        <f>IFERROR(__xludf.DUMMYFUNCTION("""COMPUTED_VALUE"""),"")</f>
        <v/>
      </c>
      <c r="L1783" s="4">
        <f>IFERROR(__xludf.DUMMYFUNCTION("""COMPUTED_VALUE"""),45949.28438003952)</f>
        <v>45949.28438</v>
      </c>
      <c r="M1783" s="1" t="str">
        <f>IFERROR(__xludf.DUMMYFUNCTION("""COMPUTED_VALUE"""),"RFID")</f>
        <v>RFID</v>
      </c>
      <c r="N1783" s="5">
        <f>IFERROR(__xludf.DUMMYFUNCTION("""COMPUTED_VALUE"""),0.00697611574074074)</f>
        <v>0.006976115741</v>
      </c>
      <c r="O1783" s="5" t="str">
        <f>IFERROR(__xludf.DUMMYFUNCTION("""COMPUTED_VALUE"""),"")</f>
        <v/>
      </c>
      <c r="P1783" s="5" t="str">
        <f>IFERROR(__xludf.DUMMYFUNCTION("""COMPUTED_VALUE"""),"")</f>
        <v/>
      </c>
      <c r="Q1783" s="5">
        <f>IFERROR(__xludf.DUMMYFUNCTION("""COMPUTED_VALUE"""),0.005887194444444444)</f>
        <v>0.005887194444</v>
      </c>
      <c r="R1783" s="4">
        <f>IFERROR(__xludf.DUMMYFUNCTION("""COMPUTED_VALUE"""),45949.02943597702)</f>
        <v>45949.02944</v>
      </c>
      <c r="S1783" s="1" t="b">
        <f>IFERROR(__xludf.DUMMYFUNCTION("""COMPUTED_VALUE"""),TRUE)</f>
        <v>1</v>
      </c>
      <c r="T1783" s="1" t="b">
        <f>IFERROR(__xludf.DUMMYFUNCTION("""COMPUTED_VALUE"""),FALSE)</f>
        <v>0</v>
      </c>
      <c r="U1783" s="1" t="str">
        <f>IFERROR(__xludf.DUMMYFUNCTION("""COMPUTED_VALUE"""),"VALID")</f>
        <v>VALID</v>
      </c>
      <c r="V1783" s="1">
        <f>IFERROR(__xludf.DUMMYFUNCTION("""COMPUTED_VALUE"""),355.0)</f>
        <v>355</v>
      </c>
      <c r="W1783" s="1">
        <f>IFERROR(__xludf.DUMMYFUNCTION("""COMPUTED_VALUE"""),532.0)</f>
        <v>532</v>
      </c>
      <c r="X1783" s="1">
        <f>IFERROR(__xludf.DUMMYFUNCTION("""COMPUTED_VALUE"""),458.0)</f>
        <v>458</v>
      </c>
      <c r="Y1783" s="2"/>
      <c r="Z1783" s="2"/>
    </row>
    <row r="1784">
      <c r="A1784" s="1">
        <f>IFERROR(__xludf.DUMMYFUNCTION("""COMPUTED_VALUE"""),1783.0)</f>
        <v>1783</v>
      </c>
      <c r="B1784" s="1">
        <f>IFERROR(__xludf.DUMMYFUNCTION("""COMPUTED_VALUE"""),5218.0)</f>
        <v>5218</v>
      </c>
      <c r="C1784" s="2" t="str">
        <f>IFERROR(__xludf.DUMMYFUNCTION("""COMPUTED_VALUE"""),"RAMLAN")</f>
        <v>RAMLAN</v>
      </c>
      <c r="D1784" s="2" t="str">
        <f>IFERROR(__xludf.DUMMYFUNCTION("""COMPUTED_VALUE"""),"5KM OVERALL M")</f>
        <v>5KM OVERALL M</v>
      </c>
      <c r="E1784" s="1">
        <f>IFERROR(__xludf.DUMMYFUNCTION("""COMPUTED_VALUE"""),2.0)</f>
        <v>2</v>
      </c>
      <c r="F1784" s="1" t="str">
        <f>IFERROR(__xludf.DUMMYFUNCTION("""COMPUTED_VALUE"""),"Male")</f>
        <v>Male</v>
      </c>
      <c r="G1784" s="4" t="b">
        <f>IFERROR(__xludf.DUMMYFUNCTION("""COMPUTED_VALUE"""),TRUE)</f>
        <v>1</v>
      </c>
      <c r="H1784" s="4" t="b">
        <f>IFERROR(__xludf.DUMMYFUNCTION("""COMPUTED_VALUE"""),TRUE)</f>
        <v>1</v>
      </c>
      <c r="I1784" s="4">
        <f>IFERROR(__xludf.DUMMYFUNCTION("""COMPUTED_VALUE"""),0.2549440625)</f>
        <v>0.2549440625</v>
      </c>
      <c r="J1784" s="4">
        <f>IFERROR(__xludf.DUMMYFUNCTION("""COMPUTED_VALUE"""),45949.26639475109)</f>
        <v>45949.26639</v>
      </c>
      <c r="K1784" s="4" t="str">
        <f>IFERROR(__xludf.DUMMYFUNCTION("""COMPUTED_VALUE"""),"")</f>
        <v/>
      </c>
      <c r="L1784" s="4">
        <f>IFERROR(__xludf.DUMMYFUNCTION("""COMPUTED_VALUE"""),45949.276268929716)</f>
        <v>45949.27627</v>
      </c>
      <c r="M1784" s="1" t="str">
        <f>IFERROR(__xludf.DUMMYFUNCTION("""COMPUTED_VALUE"""),"RFID")</f>
        <v>RFID</v>
      </c>
      <c r="N1784" s="5">
        <f>IFERROR(__xludf.DUMMYFUNCTION("""COMPUTED_VALUE"""),0.0045802731481481476)</f>
        <v>0.004580273148</v>
      </c>
      <c r="O1784" s="5" t="str">
        <f>IFERROR(__xludf.DUMMYFUNCTION("""COMPUTED_VALUE"""),"")</f>
        <v/>
      </c>
      <c r="P1784" s="5" t="str">
        <f>IFERROR(__xludf.DUMMYFUNCTION("""COMPUTED_VALUE"""),"")</f>
        <v/>
      </c>
      <c r="Q1784" s="5">
        <f>IFERROR(__xludf.DUMMYFUNCTION("""COMPUTED_VALUE"""),0.004264974537037037)</f>
        <v>0.004264974537</v>
      </c>
      <c r="R1784" s="4">
        <f>IFERROR(__xludf.DUMMYFUNCTION("""COMPUTED_VALUE"""),45949.021324867215)</f>
        <v>45949.02132</v>
      </c>
      <c r="S1784" s="1" t="b">
        <f>IFERROR(__xludf.DUMMYFUNCTION("""COMPUTED_VALUE"""),TRUE)</f>
        <v>1</v>
      </c>
      <c r="T1784" s="1" t="b">
        <f>IFERROR(__xludf.DUMMYFUNCTION("""COMPUTED_VALUE"""),FALSE)</f>
        <v>0</v>
      </c>
      <c r="U1784" s="1" t="str">
        <f>IFERROR(__xludf.DUMMYFUNCTION("""COMPUTED_VALUE"""),"VALID")</f>
        <v>VALID</v>
      </c>
      <c r="V1784" s="1">
        <f>IFERROR(__xludf.DUMMYFUNCTION("""COMPUTED_VALUE"""),98.0)</f>
        <v>98</v>
      </c>
      <c r="W1784" s="1">
        <f>IFERROR(__xludf.DUMMYFUNCTION("""COMPUTED_VALUE"""),154.0)</f>
        <v>154</v>
      </c>
      <c r="X1784" s="1">
        <f>IFERROR(__xludf.DUMMYFUNCTION("""COMPUTED_VALUE"""),136.0)</f>
        <v>136</v>
      </c>
      <c r="Y1784" s="2"/>
      <c r="Z1784" s="2"/>
    </row>
    <row r="1785">
      <c r="A1785" s="1">
        <f>IFERROR(__xludf.DUMMYFUNCTION("""COMPUTED_VALUE"""),1784.0)</f>
        <v>1784</v>
      </c>
      <c r="B1785" s="1">
        <f>IFERROR(__xludf.DUMMYFUNCTION("""COMPUTED_VALUE"""),5220.0)</f>
        <v>5220</v>
      </c>
      <c r="C1785" s="2" t="str">
        <f>IFERROR(__xludf.DUMMYFUNCTION("""COMPUTED_VALUE"""),"FERRY")</f>
        <v>FERRY</v>
      </c>
      <c r="D1785" s="2" t="str">
        <f>IFERROR(__xludf.DUMMYFUNCTION("""COMPUTED_VALUE"""),"5KM OVERALL M")</f>
        <v>5KM OVERALL M</v>
      </c>
      <c r="E1785" s="1">
        <f>IFERROR(__xludf.DUMMYFUNCTION("""COMPUTED_VALUE"""),2.0)</f>
        <v>2</v>
      </c>
      <c r="F1785" s="1" t="str">
        <f>IFERROR(__xludf.DUMMYFUNCTION("""COMPUTED_VALUE"""),"Male")</f>
        <v>Male</v>
      </c>
      <c r="G1785" s="4" t="b">
        <f>IFERROR(__xludf.DUMMYFUNCTION("""COMPUTED_VALUE"""),TRUE)</f>
        <v>1</v>
      </c>
      <c r="H1785" s="4" t="b">
        <f>IFERROR(__xludf.DUMMYFUNCTION("""COMPUTED_VALUE"""),TRUE)</f>
        <v>1</v>
      </c>
      <c r="I1785" s="4">
        <f>IFERROR(__xludf.DUMMYFUNCTION("""COMPUTED_VALUE"""),0.2549440625)</f>
        <v>0.2549440625</v>
      </c>
      <c r="J1785" s="4">
        <f>IFERROR(__xludf.DUMMYFUNCTION("""COMPUTED_VALUE"""),45949.27630796519)</f>
        <v>45949.27631</v>
      </c>
      <c r="K1785" s="4" t="str">
        <f>IFERROR(__xludf.DUMMYFUNCTION("""COMPUTED_VALUE"""),"")</f>
        <v/>
      </c>
      <c r="L1785" s="4">
        <f>IFERROR(__xludf.DUMMYFUNCTION("""COMPUTED_VALUE"""),45949.289817548735)</f>
        <v>45949.28982</v>
      </c>
      <c r="M1785" s="1" t="str">
        <f>IFERROR(__xludf.DUMMYFUNCTION("""COMPUTED_VALUE"""),"RFID")</f>
        <v>RFID</v>
      </c>
      <c r="N1785" s="5">
        <f>IFERROR(__xludf.DUMMYFUNCTION("""COMPUTED_VALUE"""),0.008545560185185184)</f>
        <v>0.008545560185</v>
      </c>
      <c r="O1785" s="5" t="str">
        <f>IFERROR(__xludf.DUMMYFUNCTION("""COMPUTED_VALUE"""),"")</f>
        <v/>
      </c>
      <c r="P1785" s="5" t="str">
        <f>IFERROR(__xludf.DUMMYFUNCTION("""COMPUTED_VALUE"""),"")</f>
        <v/>
      </c>
      <c r="Q1785" s="5">
        <f>IFERROR(__xludf.DUMMYFUNCTION("""COMPUTED_VALUE"""),0.0069746967592592595)</f>
        <v>0.006974696759</v>
      </c>
      <c r="R1785" s="4">
        <f>IFERROR(__xludf.DUMMYFUNCTION("""COMPUTED_VALUE"""),45949.034873486235)</f>
        <v>45949.03487</v>
      </c>
      <c r="S1785" s="1" t="b">
        <f>IFERROR(__xludf.DUMMYFUNCTION("""COMPUTED_VALUE"""),TRUE)</f>
        <v>1</v>
      </c>
      <c r="T1785" s="1" t="b">
        <f>IFERROR(__xludf.DUMMYFUNCTION("""COMPUTED_VALUE"""),FALSE)</f>
        <v>0</v>
      </c>
      <c r="U1785" s="1" t="str">
        <f>IFERROR(__xludf.DUMMYFUNCTION("""COMPUTED_VALUE"""),"VALID")</f>
        <v>VALID</v>
      </c>
      <c r="V1785" s="1">
        <f>IFERROR(__xludf.DUMMYFUNCTION("""COMPUTED_VALUE"""),557.0)</f>
        <v>557</v>
      </c>
      <c r="W1785" s="1">
        <f>IFERROR(__xludf.DUMMYFUNCTION("""COMPUTED_VALUE"""),883.0)</f>
        <v>883</v>
      </c>
      <c r="X1785" s="1">
        <f>IFERROR(__xludf.DUMMYFUNCTION("""COMPUTED_VALUE"""),718.0)</f>
        <v>718</v>
      </c>
      <c r="Y1785" s="2"/>
      <c r="Z1785" s="2"/>
    </row>
    <row r="1786">
      <c r="A1786" s="1">
        <f>IFERROR(__xludf.DUMMYFUNCTION("""COMPUTED_VALUE"""),1785.0)</f>
        <v>1785</v>
      </c>
      <c r="B1786" s="1">
        <f>IFERROR(__xludf.DUMMYFUNCTION("""COMPUTED_VALUE"""),5221.0)</f>
        <v>5221</v>
      </c>
      <c r="C1786" s="2" t="str">
        <f>IFERROR(__xludf.DUMMYFUNCTION("""COMPUTED_VALUE"""),"Muhlis")</f>
        <v>Muhlis</v>
      </c>
      <c r="D1786" s="2" t="str">
        <f>IFERROR(__xludf.DUMMYFUNCTION("""COMPUTED_VALUE"""),"5KM OVERALL M")</f>
        <v>5KM OVERALL M</v>
      </c>
      <c r="E1786" s="1">
        <f>IFERROR(__xludf.DUMMYFUNCTION("""COMPUTED_VALUE"""),2.0)</f>
        <v>2</v>
      </c>
      <c r="F1786" s="1" t="str">
        <f>IFERROR(__xludf.DUMMYFUNCTION("""COMPUTED_VALUE"""),"Male")</f>
        <v>Male</v>
      </c>
      <c r="G1786" s="4" t="str">
        <f>IFERROR(__xludf.DUMMYFUNCTION("""COMPUTED_VALUE"""),"")</f>
        <v/>
      </c>
      <c r="H1786" s="4" t="b">
        <f>IFERROR(__xludf.DUMMYFUNCTION("""COMPUTED_VALUE"""),FALSE)</f>
        <v>0</v>
      </c>
      <c r="I1786" s="4">
        <f>IFERROR(__xludf.DUMMYFUNCTION("""COMPUTED_VALUE"""),0.2549440625)</f>
        <v>0.2549440625</v>
      </c>
      <c r="J1786" s="4" t="str">
        <f>IFERROR(__xludf.DUMMYFUNCTION("""COMPUTED_VALUE"""),"")</f>
        <v/>
      </c>
      <c r="K1786" s="4" t="str">
        <f>IFERROR(__xludf.DUMMYFUNCTION("""COMPUTED_VALUE"""),"")</f>
        <v/>
      </c>
      <c r="L1786" s="4" t="str">
        <f>IFERROR(__xludf.DUMMYFUNCTION("""COMPUTED_VALUE"""),"")</f>
        <v/>
      </c>
      <c r="M1786" s="1" t="str">
        <f>IFERROR(__xludf.DUMMYFUNCTION("""COMPUTED_VALUE"""),"RFID")</f>
        <v>RFID</v>
      </c>
      <c r="N1786" s="5" t="str">
        <f>IFERROR(__xludf.DUMMYFUNCTION("""COMPUTED_VALUE"""),"")</f>
        <v/>
      </c>
      <c r="O1786" s="5" t="str">
        <f>IFERROR(__xludf.DUMMYFUNCTION("""COMPUTED_VALUE"""),"")</f>
        <v/>
      </c>
      <c r="P1786" s="5" t="str">
        <f>IFERROR(__xludf.DUMMYFUNCTION("""COMPUTED_VALUE"""),"")</f>
        <v/>
      </c>
      <c r="Q1786" s="5" t="str">
        <f>IFERROR(__xludf.DUMMYFUNCTION("""COMPUTED_VALUE"""),"")</f>
        <v/>
      </c>
      <c r="R1786" s="4" t="str">
        <f>IFERROR(__xludf.DUMMYFUNCTION("""COMPUTED_VALUE"""),"")</f>
        <v/>
      </c>
      <c r="S1786" s="1" t="b">
        <f>IFERROR(__xludf.DUMMYFUNCTION("""COMPUTED_VALUE"""),FALSE)</f>
        <v>0</v>
      </c>
      <c r="T1786" s="1" t="b">
        <f>IFERROR(__xludf.DUMMYFUNCTION("""COMPUTED_VALUE"""),FALSE)</f>
        <v>0</v>
      </c>
      <c r="U1786" s="1" t="str">
        <f>IFERROR(__xludf.DUMMYFUNCTION("""COMPUTED_VALUE"""),"DSQ")</f>
        <v>DSQ</v>
      </c>
      <c r="V1786" s="1" t="str">
        <f>IFERROR(__xludf.DUMMYFUNCTION("""COMPUTED_VALUE"""),"DSQ")</f>
        <v>DSQ</v>
      </c>
      <c r="W1786" s="1" t="str">
        <f>IFERROR(__xludf.DUMMYFUNCTION("""COMPUTED_VALUE"""),"DSQ")</f>
        <v>DSQ</v>
      </c>
      <c r="X1786" s="1" t="str">
        <f>IFERROR(__xludf.DUMMYFUNCTION("""COMPUTED_VALUE"""),"DSQ")</f>
        <v>DSQ</v>
      </c>
      <c r="Y1786" s="2"/>
      <c r="Z1786" s="2" t="str">
        <f>IFERROR(__xludf.DUMMYFUNCTION("""COMPUTED_VALUE"""),"")</f>
        <v/>
      </c>
    </row>
    <row r="1787">
      <c r="A1787" s="1">
        <f>IFERROR(__xludf.DUMMYFUNCTION("""COMPUTED_VALUE"""),1786.0)</f>
        <v>1786</v>
      </c>
      <c r="B1787" s="1">
        <f>IFERROR(__xludf.DUMMYFUNCTION("""COMPUTED_VALUE"""),5224.0)</f>
        <v>5224</v>
      </c>
      <c r="C1787" s="2" t="str">
        <f>IFERROR(__xludf.DUMMYFUNCTION("""COMPUTED_VALUE"""),"rachman")</f>
        <v>rachman</v>
      </c>
      <c r="D1787" s="2" t="str">
        <f>IFERROR(__xludf.DUMMYFUNCTION("""COMPUTED_VALUE"""),"5KM OVERALL M")</f>
        <v>5KM OVERALL M</v>
      </c>
      <c r="E1787" s="1">
        <f>IFERROR(__xludf.DUMMYFUNCTION("""COMPUTED_VALUE"""),2.0)</f>
        <v>2</v>
      </c>
      <c r="F1787" s="1" t="str">
        <f>IFERROR(__xludf.DUMMYFUNCTION("""COMPUTED_VALUE"""),"Male")</f>
        <v>Male</v>
      </c>
      <c r="G1787" s="4" t="b">
        <f>IFERROR(__xludf.DUMMYFUNCTION("""COMPUTED_VALUE"""),TRUE)</f>
        <v>1</v>
      </c>
      <c r="H1787" s="4" t="b">
        <f>IFERROR(__xludf.DUMMYFUNCTION("""COMPUTED_VALUE"""),TRUE)</f>
        <v>1</v>
      </c>
      <c r="I1787" s="4">
        <f>IFERROR(__xludf.DUMMYFUNCTION("""COMPUTED_VALUE"""),0.2549440625)</f>
        <v>0.2549440625</v>
      </c>
      <c r="J1787" s="4">
        <f>IFERROR(__xludf.DUMMYFUNCTION("""COMPUTED_VALUE"""),45949.26200237787)</f>
        <v>45949.262</v>
      </c>
      <c r="K1787" s="4" t="str">
        <f>IFERROR(__xludf.DUMMYFUNCTION("""COMPUTED_VALUE"""),"")</f>
        <v/>
      </c>
      <c r="L1787" s="4">
        <f>IFERROR(__xludf.DUMMYFUNCTION("""COMPUTED_VALUE"""),45949.267698697375)</f>
        <v>45949.2677</v>
      </c>
      <c r="M1787" s="1" t="str">
        <f>IFERROR(__xludf.DUMMYFUNCTION("""COMPUTED_VALUE"""),"RFID")</f>
        <v>RFID</v>
      </c>
      <c r="N1787" s="5">
        <f>IFERROR(__xludf.DUMMYFUNCTION("""COMPUTED_VALUE"""),0.002823324074074074)</f>
        <v>0.002823324074</v>
      </c>
      <c r="O1787" s="5" t="str">
        <f>IFERROR(__xludf.DUMMYFUNCTION("""COMPUTED_VALUE"""),"")</f>
        <v/>
      </c>
      <c r="P1787" s="5" t="str">
        <f>IFERROR(__xludf.DUMMYFUNCTION("""COMPUTED_VALUE"""),"")</f>
        <v/>
      </c>
      <c r="Q1787" s="5">
        <f>IFERROR(__xludf.DUMMYFUNCTION("""COMPUTED_VALUE"""),0.002550925925925926)</f>
        <v>0.002550925926</v>
      </c>
      <c r="R1787" s="4">
        <f>IFERROR(__xludf.DUMMYFUNCTION("""COMPUTED_VALUE"""),45949.012754634874)</f>
        <v>45949.01275</v>
      </c>
      <c r="S1787" s="1" t="b">
        <f>IFERROR(__xludf.DUMMYFUNCTION("""COMPUTED_VALUE"""),TRUE)</f>
        <v>1</v>
      </c>
      <c r="T1787" s="1" t="b">
        <f>IFERROR(__xludf.DUMMYFUNCTION("""COMPUTED_VALUE"""),FALSE)</f>
        <v>0</v>
      </c>
      <c r="U1787" s="1" t="str">
        <f>IFERROR(__xludf.DUMMYFUNCTION("""COMPUTED_VALUE"""),"VALID")</f>
        <v>VALID</v>
      </c>
      <c r="V1787" s="1">
        <f>IFERROR(__xludf.DUMMYFUNCTION("""COMPUTED_VALUE"""),6.0)</f>
        <v>6</v>
      </c>
      <c r="W1787" s="1">
        <f>IFERROR(__xludf.DUMMYFUNCTION("""COMPUTED_VALUE"""),6.0)</f>
        <v>6</v>
      </c>
      <c r="X1787" s="1">
        <f>IFERROR(__xludf.DUMMYFUNCTION("""COMPUTED_VALUE"""),6.0)</f>
        <v>6</v>
      </c>
      <c r="Y1787" s="2"/>
      <c r="Z1787" s="2"/>
    </row>
    <row r="1788">
      <c r="A1788" s="1">
        <f>IFERROR(__xludf.DUMMYFUNCTION("""COMPUTED_VALUE"""),1787.0)</f>
        <v>1787</v>
      </c>
      <c r="B1788" s="1">
        <f>IFERROR(__xludf.DUMMYFUNCTION("""COMPUTED_VALUE"""),5228.0)</f>
        <v>5228</v>
      </c>
      <c r="C1788" s="2" t="str">
        <f>IFERROR(__xludf.DUMMYFUNCTION("""COMPUTED_VALUE"""),"Hidayat")</f>
        <v>Hidayat</v>
      </c>
      <c r="D1788" s="2" t="str">
        <f>IFERROR(__xludf.DUMMYFUNCTION("""COMPUTED_VALUE"""),"5KM OVERALL M")</f>
        <v>5KM OVERALL M</v>
      </c>
      <c r="E1788" s="1">
        <f>IFERROR(__xludf.DUMMYFUNCTION("""COMPUTED_VALUE"""),2.0)</f>
        <v>2</v>
      </c>
      <c r="F1788" s="1" t="str">
        <f>IFERROR(__xludf.DUMMYFUNCTION("""COMPUTED_VALUE"""),"Male")</f>
        <v>Male</v>
      </c>
      <c r="G1788" s="4" t="str">
        <f>IFERROR(__xludf.DUMMYFUNCTION("""COMPUTED_VALUE"""),"")</f>
        <v/>
      </c>
      <c r="H1788" s="4" t="b">
        <f>IFERROR(__xludf.DUMMYFUNCTION("""COMPUTED_VALUE"""),FALSE)</f>
        <v>0</v>
      </c>
      <c r="I1788" s="4">
        <f>IFERROR(__xludf.DUMMYFUNCTION("""COMPUTED_VALUE"""),0.2549440625)</f>
        <v>0.2549440625</v>
      </c>
      <c r="J1788" s="4" t="str">
        <f>IFERROR(__xludf.DUMMYFUNCTION("""COMPUTED_VALUE"""),"")</f>
        <v/>
      </c>
      <c r="K1788" s="4" t="str">
        <f>IFERROR(__xludf.DUMMYFUNCTION("""COMPUTED_VALUE"""),"")</f>
        <v/>
      </c>
      <c r="L1788" s="4" t="str">
        <f>IFERROR(__xludf.DUMMYFUNCTION("""COMPUTED_VALUE"""),"")</f>
        <v/>
      </c>
      <c r="M1788" s="1" t="str">
        <f>IFERROR(__xludf.DUMMYFUNCTION("""COMPUTED_VALUE"""),"RFID")</f>
        <v>RFID</v>
      </c>
      <c r="N1788" s="5" t="str">
        <f>IFERROR(__xludf.DUMMYFUNCTION("""COMPUTED_VALUE"""),"")</f>
        <v/>
      </c>
      <c r="O1788" s="5" t="str">
        <f>IFERROR(__xludf.DUMMYFUNCTION("""COMPUTED_VALUE"""),"")</f>
        <v/>
      </c>
      <c r="P1788" s="5" t="str">
        <f>IFERROR(__xludf.DUMMYFUNCTION("""COMPUTED_VALUE"""),"")</f>
        <v/>
      </c>
      <c r="Q1788" s="5" t="str">
        <f>IFERROR(__xludf.DUMMYFUNCTION("""COMPUTED_VALUE"""),"")</f>
        <v/>
      </c>
      <c r="R1788" s="4" t="str">
        <f>IFERROR(__xludf.DUMMYFUNCTION("""COMPUTED_VALUE"""),"")</f>
        <v/>
      </c>
      <c r="S1788" s="1" t="b">
        <f>IFERROR(__xludf.DUMMYFUNCTION("""COMPUTED_VALUE"""),FALSE)</f>
        <v>0</v>
      </c>
      <c r="T1788" s="1" t="b">
        <f>IFERROR(__xludf.DUMMYFUNCTION("""COMPUTED_VALUE"""),FALSE)</f>
        <v>0</v>
      </c>
      <c r="U1788" s="1" t="str">
        <f>IFERROR(__xludf.DUMMYFUNCTION("""COMPUTED_VALUE"""),"DSQ")</f>
        <v>DSQ</v>
      </c>
      <c r="V1788" s="1" t="str">
        <f>IFERROR(__xludf.DUMMYFUNCTION("""COMPUTED_VALUE"""),"DSQ")</f>
        <v>DSQ</v>
      </c>
      <c r="W1788" s="1" t="str">
        <f>IFERROR(__xludf.DUMMYFUNCTION("""COMPUTED_VALUE"""),"DSQ")</f>
        <v>DSQ</v>
      </c>
      <c r="X1788" s="1" t="str">
        <f>IFERROR(__xludf.DUMMYFUNCTION("""COMPUTED_VALUE"""),"DSQ")</f>
        <v>DSQ</v>
      </c>
      <c r="Y1788" s="2"/>
      <c r="Z1788" s="2" t="str">
        <f>IFERROR(__xludf.DUMMYFUNCTION("""COMPUTED_VALUE"""),"")</f>
        <v/>
      </c>
    </row>
    <row r="1789">
      <c r="A1789" s="1">
        <f>IFERROR(__xludf.DUMMYFUNCTION("""COMPUTED_VALUE"""),1788.0)</f>
        <v>1788</v>
      </c>
      <c r="B1789" s="1">
        <f>IFERROR(__xludf.DUMMYFUNCTION("""COMPUTED_VALUE"""),5229.0)</f>
        <v>5229</v>
      </c>
      <c r="C1789" s="2" t="str">
        <f>IFERROR(__xludf.DUMMYFUNCTION("""COMPUTED_VALUE"""),"Dale")</f>
        <v>Dale</v>
      </c>
      <c r="D1789" s="2" t="str">
        <f>IFERROR(__xludf.DUMMYFUNCTION("""COMPUTED_VALUE"""),"5KM OVERALL M")</f>
        <v>5KM OVERALL M</v>
      </c>
      <c r="E1789" s="1">
        <f>IFERROR(__xludf.DUMMYFUNCTION("""COMPUTED_VALUE"""),2.0)</f>
        <v>2</v>
      </c>
      <c r="F1789" s="1" t="str">
        <f>IFERROR(__xludf.DUMMYFUNCTION("""COMPUTED_VALUE"""),"Male")</f>
        <v>Male</v>
      </c>
      <c r="G1789" s="4" t="b">
        <f>IFERROR(__xludf.DUMMYFUNCTION("""COMPUTED_VALUE"""),TRUE)</f>
        <v>1</v>
      </c>
      <c r="H1789" s="4" t="b">
        <f>IFERROR(__xludf.DUMMYFUNCTION("""COMPUTED_VALUE"""),FALSE)</f>
        <v>0</v>
      </c>
      <c r="I1789" s="4">
        <f>IFERROR(__xludf.DUMMYFUNCTION("""COMPUTED_VALUE"""),0.2549440625)</f>
        <v>0.2549440625</v>
      </c>
      <c r="J1789" s="4">
        <f>IFERROR(__xludf.DUMMYFUNCTION("""COMPUTED_VALUE"""),45949.27287393294)</f>
        <v>45949.27287</v>
      </c>
      <c r="K1789" s="4" t="str">
        <f>IFERROR(__xludf.DUMMYFUNCTION("""COMPUTED_VALUE"""),"")</f>
        <v/>
      </c>
      <c r="L1789" s="4">
        <f>IFERROR(__xludf.DUMMYFUNCTION("""COMPUTED_VALUE"""),45949.28351198027)</f>
        <v>45949.28351</v>
      </c>
      <c r="M1789" s="1" t="str">
        <f>IFERROR(__xludf.DUMMYFUNCTION("""COMPUTED_VALUE"""),"RFID")</f>
        <v>RFID</v>
      </c>
      <c r="N1789" s="5">
        <f>IFERROR(__xludf.DUMMYFUNCTION("""COMPUTED_VALUE"""),0.0071719490740740745)</f>
        <v>0.007171949074</v>
      </c>
      <c r="O1789" s="5" t="str">
        <f>IFERROR(__xludf.DUMMYFUNCTION("""COMPUTED_VALUE"""),"")</f>
        <v/>
      </c>
      <c r="P1789" s="5" t="str">
        <f>IFERROR(__xludf.DUMMYFUNCTION("""COMPUTED_VALUE"""),"")</f>
        <v/>
      </c>
      <c r="Q1789" s="5">
        <f>IFERROR(__xludf.DUMMYFUNCTION("""COMPUTED_VALUE"""),0.0057135833333333335)</f>
        <v>0.005713583333</v>
      </c>
      <c r="R1789" s="4">
        <f>IFERROR(__xludf.DUMMYFUNCTION("""COMPUTED_VALUE"""),45949.02856791777)</f>
        <v>45949.02857</v>
      </c>
      <c r="S1789" s="1" t="b">
        <f>IFERROR(__xludf.DUMMYFUNCTION("""COMPUTED_VALUE"""),TRUE)</f>
        <v>1</v>
      </c>
      <c r="T1789" s="1" t="b">
        <f>IFERROR(__xludf.DUMMYFUNCTION("""COMPUTED_VALUE"""),FALSE)</f>
        <v>0</v>
      </c>
      <c r="U1789" s="1" t="str">
        <f>IFERROR(__xludf.DUMMYFUNCTION("""COMPUTED_VALUE"""),"VALID")</f>
        <v>VALID</v>
      </c>
      <c r="V1789" s="1">
        <f>IFERROR(__xludf.DUMMYFUNCTION("""COMPUTED_VALUE"""),311.0)</f>
        <v>311</v>
      </c>
      <c r="W1789" s="1">
        <f>IFERROR(__xludf.DUMMYFUNCTION("""COMPUTED_VALUE"""),463.0)</f>
        <v>463</v>
      </c>
      <c r="X1789" s="1">
        <f>IFERROR(__xludf.DUMMYFUNCTION("""COMPUTED_VALUE"""),402.0)</f>
        <v>402</v>
      </c>
      <c r="Y1789" s="2"/>
      <c r="Z1789" s="2"/>
    </row>
    <row r="1790">
      <c r="A1790" s="1">
        <f>IFERROR(__xludf.DUMMYFUNCTION("""COMPUTED_VALUE"""),1789.0)</f>
        <v>1789</v>
      </c>
      <c r="B1790" s="1">
        <f>IFERROR(__xludf.DUMMYFUNCTION("""COMPUTED_VALUE"""),5230.0)</f>
        <v>5230</v>
      </c>
      <c r="C1790" s="2" t="str">
        <f>IFERROR(__xludf.DUMMYFUNCTION("""COMPUTED_VALUE"""),"ADECK A K")</f>
        <v>ADECK A K</v>
      </c>
      <c r="D1790" s="2" t="str">
        <f>IFERROR(__xludf.DUMMYFUNCTION("""COMPUTED_VALUE"""),"5KM OVERALL M")</f>
        <v>5KM OVERALL M</v>
      </c>
      <c r="E1790" s="1">
        <f>IFERROR(__xludf.DUMMYFUNCTION("""COMPUTED_VALUE"""),2.0)</f>
        <v>2</v>
      </c>
      <c r="F1790" s="1" t="str">
        <f>IFERROR(__xludf.DUMMYFUNCTION("""COMPUTED_VALUE"""),"Male")</f>
        <v>Male</v>
      </c>
      <c r="G1790" s="4" t="b">
        <f>IFERROR(__xludf.DUMMYFUNCTION("""COMPUTED_VALUE"""),TRUE)</f>
        <v>1</v>
      </c>
      <c r="H1790" s="4" t="b">
        <f>IFERROR(__xludf.DUMMYFUNCTION("""COMPUTED_VALUE"""),TRUE)</f>
        <v>1</v>
      </c>
      <c r="I1790" s="4">
        <f>IFERROR(__xludf.DUMMYFUNCTION("""COMPUTED_VALUE"""),0.2549440625)</f>
        <v>0.2549440625</v>
      </c>
      <c r="J1790" s="4">
        <f>IFERROR(__xludf.DUMMYFUNCTION("""COMPUTED_VALUE"""),45949.27407877902)</f>
        <v>45949.27408</v>
      </c>
      <c r="K1790" s="4" t="str">
        <f>IFERROR(__xludf.DUMMYFUNCTION("""COMPUTED_VALUE"""),"")</f>
        <v/>
      </c>
      <c r="L1790" s="4">
        <f>IFERROR(__xludf.DUMMYFUNCTION("""COMPUTED_VALUE"""),45949.28510949433)</f>
        <v>45949.28511</v>
      </c>
      <c r="M1790" s="1" t="str">
        <f>IFERROR(__xludf.DUMMYFUNCTION("""COMPUTED_VALUE"""),"RFID")</f>
        <v>RFID</v>
      </c>
      <c r="N1790" s="5">
        <f>IFERROR(__xludf.DUMMYFUNCTION("""COMPUTED_VALUE"""),0.007653888888888889)</f>
        <v>0.007653888889</v>
      </c>
      <c r="O1790" s="5" t="str">
        <f>IFERROR(__xludf.DUMMYFUNCTION("""COMPUTED_VALUE"""),"")</f>
        <v/>
      </c>
      <c r="P1790" s="5" t="str">
        <f>IFERROR(__xludf.DUMMYFUNCTION("""COMPUTED_VALUE"""),"")</f>
        <v/>
      </c>
      <c r="Q1790" s="5">
        <f>IFERROR(__xludf.DUMMYFUNCTION("""COMPUTED_VALUE"""),0.0060330856481481485)</f>
        <v>0.006033085648</v>
      </c>
      <c r="R1790" s="4">
        <f>IFERROR(__xludf.DUMMYFUNCTION("""COMPUTED_VALUE"""),45949.03016543183)</f>
        <v>45949.03017</v>
      </c>
      <c r="S1790" s="1" t="b">
        <f>IFERROR(__xludf.DUMMYFUNCTION("""COMPUTED_VALUE"""),TRUE)</f>
        <v>1</v>
      </c>
      <c r="T1790" s="1" t="b">
        <f>IFERROR(__xludf.DUMMYFUNCTION("""COMPUTED_VALUE"""),FALSE)</f>
        <v>0</v>
      </c>
      <c r="U1790" s="1" t="str">
        <f>IFERROR(__xludf.DUMMYFUNCTION("""COMPUTED_VALUE"""),"VALID")</f>
        <v>VALID</v>
      </c>
      <c r="V1790" s="1">
        <f>IFERROR(__xludf.DUMMYFUNCTION("""COMPUTED_VALUE"""),382.0)</f>
        <v>382</v>
      </c>
      <c r="W1790" s="1">
        <f>IFERROR(__xludf.DUMMYFUNCTION("""COMPUTED_VALUE"""),577.0)</f>
        <v>577</v>
      </c>
      <c r="X1790" s="1">
        <f>IFERROR(__xludf.DUMMYFUNCTION("""COMPUTED_VALUE"""),491.0)</f>
        <v>491</v>
      </c>
      <c r="Y1790" s="2"/>
      <c r="Z1790" s="2"/>
    </row>
    <row r="1791">
      <c r="A1791" s="1">
        <f>IFERROR(__xludf.DUMMYFUNCTION("""COMPUTED_VALUE"""),1790.0)</f>
        <v>1790</v>
      </c>
      <c r="B1791" s="1">
        <f>IFERROR(__xludf.DUMMYFUNCTION("""COMPUTED_VALUE"""),5231.0)</f>
        <v>5231</v>
      </c>
      <c r="C1791" s="2" t="str">
        <f>IFERROR(__xludf.DUMMYFUNCTION("""COMPUTED_VALUE"""),"ARFAH")</f>
        <v>ARFAH</v>
      </c>
      <c r="D1791" s="2" t="str">
        <f>IFERROR(__xludf.DUMMYFUNCTION("""COMPUTED_VALUE"""),"5KM OVERALL M")</f>
        <v>5KM OVERALL M</v>
      </c>
      <c r="E1791" s="1">
        <f>IFERROR(__xludf.DUMMYFUNCTION("""COMPUTED_VALUE"""),2.0)</f>
        <v>2</v>
      </c>
      <c r="F1791" s="1" t="str">
        <f>IFERROR(__xludf.DUMMYFUNCTION("""COMPUTED_VALUE"""),"Male")</f>
        <v>Male</v>
      </c>
      <c r="G1791" s="4" t="b">
        <f>IFERROR(__xludf.DUMMYFUNCTION("""COMPUTED_VALUE"""),TRUE)</f>
        <v>1</v>
      </c>
      <c r="H1791" s="4" t="b">
        <f>IFERROR(__xludf.DUMMYFUNCTION("""COMPUTED_VALUE"""),FALSE)</f>
        <v>0</v>
      </c>
      <c r="I1791" s="4">
        <f>IFERROR(__xludf.DUMMYFUNCTION("""COMPUTED_VALUE"""),0.2549440625)</f>
        <v>0.2549440625</v>
      </c>
      <c r="J1791" s="4">
        <f>IFERROR(__xludf.DUMMYFUNCTION("""COMPUTED_VALUE"""),45949.27758926989)</f>
        <v>45949.27759</v>
      </c>
      <c r="K1791" s="4" t="str">
        <f>IFERROR(__xludf.DUMMYFUNCTION("""COMPUTED_VALUE"""),"")</f>
        <v/>
      </c>
      <c r="L1791" s="4">
        <f>IFERROR(__xludf.DUMMYFUNCTION("""COMPUTED_VALUE"""),45949.29369949256)</f>
        <v>45949.2937</v>
      </c>
      <c r="M1791" s="1" t="str">
        <f>IFERROR(__xludf.DUMMYFUNCTION("""COMPUTED_VALUE"""),"RFID")</f>
        <v>RFID</v>
      </c>
      <c r="N1791" s="5">
        <f>IFERROR(__xludf.DUMMYFUNCTION("""COMPUTED_VALUE"""),0.009058083333333333)</f>
        <v>0.009058083333</v>
      </c>
      <c r="O1791" s="5" t="str">
        <f>IFERROR(__xludf.DUMMYFUNCTION("""COMPUTED_VALUE"""),"")</f>
        <v/>
      </c>
      <c r="P1791" s="5" t="str">
        <f>IFERROR(__xludf.DUMMYFUNCTION("""COMPUTED_VALUE"""),"")</f>
        <v/>
      </c>
      <c r="Q1791" s="5">
        <f>IFERROR(__xludf.DUMMYFUNCTION("""COMPUTED_VALUE"""),0.0077510856481481484)</f>
        <v>0.007751085648</v>
      </c>
      <c r="R1791" s="4">
        <f>IFERROR(__xludf.DUMMYFUNCTION("""COMPUTED_VALUE"""),45949.03875543006)</f>
        <v>45949.03876</v>
      </c>
      <c r="S1791" s="1" t="b">
        <f>IFERROR(__xludf.DUMMYFUNCTION("""COMPUTED_VALUE"""),TRUE)</f>
        <v>1</v>
      </c>
      <c r="T1791" s="1" t="b">
        <f>IFERROR(__xludf.DUMMYFUNCTION("""COMPUTED_VALUE"""),FALSE)</f>
        <v>0</v>
      </c>
      <c r="U1791" s="1" t="str">
        <f>IFERROR(__xludf.DUMMYFUNCTION("""COMPUTED_VALUE"""),"VALID")</f>
        <v>VALID</v>
      </c>
      <c r="V1791" s="1">
        <f>IFERROR(__xludf.DUMMYFUNCTION("""COMPUTED_VALUE"""),674.0)</f>
        <v>674</v>
      </c>
      <c r="W1791" s="1">
        <f>IFERROR(__xludf.DUMMYFUNCTION("""COMPUTED_VALUE"""),1150.0)</f>
        <v>1150</v>
      </c>
      <c r="X1791" s="1">
        <f>IFERROR(__xludf.DUMMYFUNCTION("""COMPUTED_VALUE"""),912.0)</f>
        <v>912</v>
      </c>
      <c r="Y1791" s="2"/>
      <c r="Z1791" s="2"/>
    </row>
    <row r="1792">
      <c r="A1792" s="1">
        <f>IFERROR(__xludf.DUMMYFUNCTION("""COMPUTED_VALUE"""),1791.0)</f>
        <v>1791</v>
      </c>
      <c r="B1792" s="1">
        <f>IFERROR(__xludf.DUMMYFUNCTION("""COMPUTED_VALUE"""),5233.0)</f>
        <v>5233</v>
      </c>
      <c r="C1792" s="2" t="str">
        <f>IFERROR(__xludf.DUMMYFUNCTION("""COMPUTED_VALUE"""),"Arthur")</f>
        <v>Arthur</v>
      </c>
      <c r="D1792" s="2" t="str">
        <f>IFERROR(__xludf.DUMMYFUNCTION("""COMPUTED_VALUE"""),"5KM OVERALL M")</f>
        <v>5KM OVERALL M</v>
      </c>
      <c r="E1792" s="1">
        <f>IFERROR(__xludf.DUMMYFUNCTION("""COMPUTED_VALUE"""),2.0)</f>
        <v>2</v>
      </c>
      <c r="F1792" s="1" t="str">
        <f>IFERROR(__xludf.DUMMYFUNCTION("""COMPUTED_VALUE"""),"Male")</f>
        <v>Male</v>
      </c>
      <c r="G1792" s="4" t="b">
        <f>IFERROR(__xludf.DUMMYFUNCTION("""COMPUTED_VALUE"""),TRUE)</f>
        <v>1</v>
      </c>
      <c r="H1792" s="4" t="b">
        <f>IFERROR(__xludf.DUMMYFUNCTION("""COMPUTED_VALUE"""),TRUE)</f>
        <v>1</v>
      </c>
      <c r="I1792" s="4">
        <f>IFERROR(__xludf.DUMMYFUNCTION("""COMPUTED_VALUE"""),0.2549440625)</f>
        <v>0.2549440625</v>
      </c>
      <c r="J1792" s="4">
        <f>IFERROR(__xludf.DUMMYFUNCTION("""COMPUTED_VALUE"""),45949.27344688182)</f>
        <v>45949.27345</v>
      </c>
      <c r="K1792" s="4" t="str">
        <f>IFERROR(__xludf.DUMMYFUNCTION("""COMPUTED_VALUE"""),"")</f>
        <v/>
      </c>
      <c r="L1792" s="4">
        <f>IFERROR(__xludf.DUMMYFUNCTION("""COMPUTED_VALUE"""),45949.2866856096)</f>
        <v>45949.28669</v>
      </c>
      <c r="M1792" s="1" t="str">
        <f>IFERROR(__xludf.DUMMYFUNCTION("""COMPUTED_VALUE"""),"RFID")</f>
        <v>RFID</v>
      </c>
      <c r="N1792" s="5">
        <f>IFERROR(__xludf.DUMMYFUNCTION("""COMPUTED_VALUE"""),0.00740112962962963)</f>
        <v>0.00740112963</v>
      </c>
      <c r="O1792" s="5" t="str">
        <f>IFERROR(__xludf.DUMMYFUNCTION("""COMPUTED_VALUE"""),"")</f>
        <v/>
      </c>
      <c r="P1792" s="5" t="str">
        <f>IFERROR(__xludf.DUMMYFUNCTION("""COMPUTED_VALUE"""),"")</f>
        <v/>
      </c>
      <c r="Q1792" s="5">
        <f>IFERROR(__xludf.DUMMYFUNCTION("""COMPUTED_VALUE"""),0.006348310185185185)</f>
        <v>0.006348310185</v>
      </c>
      <c r="R1792" s="4">
        <f>IFERROR(__xludf.DUMMYFUNCTION("""COMPUTED_VALUE"""),45949.0317415471)</f>
        <v>45949.03174</v>
      </c>
      <c r="S1792" s="1" t="b">
        <f>IFERROR(__xludf.DUMMYFUNCTION("""COMPUTED_VALUE"""),TRUE)</f>
        <v>1</v>
      </c>
      <c r="T1792" s="1" t="b">
        <f>IFERROR(__xludf.DUMMYFUNCTION("""COMPUTED_VALUE"""),FALSE)</f>
        <v>0</v>
      </c>
      <c r="U1792" s="1" t="str">
        <f>IFERROR(__xludf.DUMMYFUNCTION("""COMPUTED_VALUE"""),"VALID")</f>
        <v>VALID</v>
      </c>
      <c r="V1792" s="1">
        <f>IFERROR(__xludf.DUMMYFUNCTION("""COMPUTED_VALUE"""),444.0)</f>
        <v>444</v>
      </c>
      <c r="W1792" s="1">
        <f>IFERROR(__xludf.DUMMYFUNCTION("""COMPUTED_VALUE"""),684.0)</f>
        <v>684</v>
      </c>
      <c r="X1792" s="1">
        <f>IFERROR(__xludf.DUMMYFUNCTION("""COMPUTED_VALUE"""),572.0)</f>
        <v>572</v>
      </c>
      <c r="Y1792" s="2"/>
      <c r="Z1792" s="2"/>
    </row>
    <row r="1793">
      <c r="A1793" s="1">
        <f>IFERROR(__xludf.DUMMYFUNCTION("""COMPUTED_VALUE"""),1792.0)</f>
        <v>1792</v>
      </c>
      <c r="B1793" s="1">
        <f>IFERROR(__xludf.DUMMYFUNCTION("""COMPUTED_VALUE"""),5234.0)</f>
        <v>5234</v>
      </c>
      <c r="C1793" s="2" t="str">
        <f>IFERROR(__xludf.DUMMYFUNCTION("""COMPUTED_VALUE"""),"Dicky Giok")</f>
        <v>Dicky Giok</v>
      </c>
      <c r="D1793" s="2" t="str">
        <f>IFERROR(__xludf.DUMMYFUNCTION("""COMPUTED_VALUE"""),"5KM OVERALL M")</f>
        <v>5KM OVERALL M</v>
      </c>
      <c r="E1793" s="1">
        <f>IFERROR(__xludf.DUMMYFUNCTION("""COMPUTED_VALUE"""),2.0)</f>
        <v>2</v>
      </c>
      <c r="F1793" s="1" t="str">
        <f>IFERROR(__xludf.DUMMYFUNCTION("""COMPUTED_VALUE"""),"Male")</f>
        <v>Male</v>
      </c>
      <c r="G1793" s="4" t="b">
        <f>IFERROR(__xludf.DUMMYFUNCTION("""COMPUTED_VALUE"""),TRUE)</f>
        <v>1</v>
      </c>
      <c r="H1793" s="4" t="b">
        <f>IFERROR(__xludf.DUMMYFUNCTION("""COMPUTED_VALUE"""),TRUE)</f>
        <v>1</v>
      </c>
      <c r="I1793" s="4">
        <f>IFERROR(__xludf.DUMMYFUNCTION("""COMPUTED_VALUE"""),0.2549440625)</f>
        <v>0.2549440625</v>
      </c>
      <c r="J1793" s="4">
        <f>IFERROR(__xludf.DUMMYFUNCTION("""COMPUTED_VALUE"""),45949.27536697274)</f>
        <v>45949.27537</v>
      </c>
      <c r="K1793" s="4" t="str">
        <f>IFERROR(__xludf.DUMMYFUNCTION("""COMPUTED_VALUE"""),"")</f>
        <v/>
      </c>
      <c r="L1793" s="4">
        <f>IFERROR(__xludf.DUMMYFUNCTION("""COMPUTED_VALUE"""),45949.29056059513)</f>
        <v>45949.29056</v>
      </c>
      <c r="M1793" s="1" t="str">
        <f>IFERROR(__xludf.DUMMYFUNCTION("""COMPUTED_VALUE"""),"RFID")</f>
        <v>RFID</v>
      </c>
      <c r="N1793" s="5">
        <f>IFERROR(__xludf.DUMMYFUNCTION("""COMPUTED_VALUE"""),0.008169162037037037)</f>
        <v>0.008169162037</v>
      </c>
      <c r="O1793" s="5" t="str">
        <f>IFERROR(__xludf.DUMMYFUNCTION("""COMPUTED_VALUE"""),"")</f>
        <v/>
      </c>
      <c r="P1793" s="5" t="str">
        <f>IFERROR(__xludf.DUMMYFUNCTION("""COMPUTED_VALUE"""),"")</f>
        <v/>
      </c>
      <c r="Q1793" s="5">
        <f>IFERROR(__xludf.DUMMYFUNCTION("""COMPUTED_VALUE"""),0.007123305555555555)</f>
        <v>0.007123305556</v>
      </c>
      <c r="R1793" s="4">
        <f>IFERROR(__xludf.DUMMYFUNCTION("""COMPUTED_VALUE"""),45949.03561653263)</f>
        <v>45949.03562</v>
      </c>
      <c r="S1793" s="1" t="b">
        <f>IFERROR(__xludf.DUMMYFUNCTION("""COMPUTED_VALUE"""),TRUE)</f>
        <v>1</v>
      </c>
      <c r="T1793" s="1" t="b">
        <f>IFERROR(__xludf.DUMMYFUNCTION("""COMPUTED_VALUE"""),FALSE)</f>
        <v>0</v>
      </c>
      <c r="U1793" s="1" t="str">
        <f>IFERROR(__xludf.DUMMYFUNCTION("""COMPUTED_VALUE"""),"VALID")</f>
        <v>VALID</v>
      </c>
      <c r="V1793" s="1">
        <f>IFERROR(__xludf.DUMMYFUNCTION("""COMPUTED_VALUE"""),579.0)</f>
        <v>579</v>
      </c>
      <c r="W1793" s="1">
        <f>IFERROR(__xludf.DUMMYFUNCTION("""COMPUTED_VALUE"""),925.0)</f>
        <v>925</v>
      </c>
      <c r="X1793" s="1">
        <f>IFERROR(__xludf.DUMMYFUNCTION("""COMPUTED_VALUE"""),755.0)</f>
        <v>755</v>
      </c>
      <c r="Y1793" s="2"/>
      <c r="Z1793" s="2"/>
    </row>
    <row r="1794">
      <c r="A1794" s="1">
        <f>IFERROR(__xludf.DUMMYFUNCTION("""COMPUTED_VALUE"""),1793.0)</f>
        <v>1793</v>
      </c>
      <c r="B1794" s="1">
        <f>IFERROR(__xludf.DUMMYFUNCTION("""COMPUTED_VALUE"""),5236.0)</f>
        <v>5236</v>
      </c>
      <c r="C1794" s="2" t="str">
        <f>IFERROR(__xludf.DUMMYFUNCTION("""COMPUTED_VALUE"""),"@fRi")</f>
        <v>@fRi</v>
      </c>
      <c r="D1794" s="2" t="str">
        <f>IFERROR(__xludf.DUMMYFUNCTION("""COMPUTED_VALUE"""),"5KM OVERALL M")</f>
        <v>5KM OVERALL M</v>
      </c>
      <c r="E1794" s="1">
        <f>IFERROR(__xludf.DUMMYFUNCTION("""COMPUTED_VALUE"""),2.0)</f>
        <v>2</v>
      </c>
      <c r="F1794" s="1" t="str">
        <f>IFERROR(__xludf.DUMMYFUNCTION("""COMPUTED_VALUE"""),"Male")</f>
        <v>Male</v>
      </c>
      <c r="G1794" s="4" t="b">
        <f>IFERROR(__xludf.DUMMYFUNCTION("""COMPUTED_VALUE"""),TRUE)</f>
        <v>1</v>
      </c>
      <c r="H1794" s="4" t="b">
        <f>IFERROR(__xludf.DUMMYFUNCTION("""COMPUTED_VALUE"""),FALSE)</f>
        <v>0</v>
      </c>
      <c r="I1794" s="4">
        <f>IFERROR(__xludf.DUMMYFUNCTION("""COMPUTED_VALUE"""),0.2549440625)</f>
        <v>0.2549440625</v>
      </c>
      <c r="J1794" s="4">
        <f>IFERROR(__xludf.DUMMYFUNCTION("""COMPUTED_VALUE"""),45950.27873842593)</f>
        <v>45950.27874</v>
      </c>
      <c r="K1794" s="4" t="str">
        <f>IFERROR(__xludf.DUMMYFUNCTION("""COMPUTED_VALUE"""),"")</f>
        <v/>
      </c>
      <c r="L1794" s="4">
        <f>IFERROR(__xludf.DUMMYFUNCTION("""COMPUTED_VALUE"""),45949.29341478572)</f>
        <v>45949.29341</v>
      </c>
      <c r="M1794" s="1" t="str">
        <f>IFERROR(__xludf.DUMMYFUNCTION("""COMPUTED_VALUE"""),"RFID")</f>
        <v>RFID</v>
      </c>
      <c r="N1794" s="5">
        <f>IFERROR(__xludf.DUMMYFUNCTION("""COMPUTED_VALUE"""),0.00951774537037037)</f>
        <v>0.00951774537</v>
      </c>
      <c r="O1794" s="5" t="str">
        <f>IFERROR(__xludf.DUMMYFUNCTION("""COMPUTED_VALUE"""),"")</f>
        <v/>
      </c>
      <c r="P1794" s="5" t="str">
        <f>IFERROR(__xludf.DUMMYFUNCTION("""COMPUTED_VALUE"""),"")</f>
        <v/>
      </c>
      <c r="Q1794" s="5">
        <f>IFERROR(__xludf.DUMMYFUNCTION("""COMPUTED_VALUE"""),0.0076941435185185186)</f>
        <v>0.007694143519</v>
      </c>
      <c r="R1794" s="4">
        <f>IFERROR(__xludf.DUMMYFUNCTION("""COMPUTED_VALUE"""),45949.03847072322)</f>
        <v>45949.03847</v>
      </c>
      <c r="S1794" s="1" t="b">
        <f>IFERROR(__xludf.DUMMYFUNCTION("""COMPUTED_VALUE"""),TRUE)</f>
        <v>1</v>
      </c>
      <c r="T1794" s="1" t="b">
        <f>IFERROR(__xludf.DUMMYFUNCTION("""COMPUTED_VALUE"""),FALSE)</f>
        <v>0</v>
      </c>
      <c r="U1794" s="1" t="str">
        <f>IFERROR(__xludf.DUMMYFUNCTION("""COMPUTED_VALUE"""),"VALID")</f>
        <v>VALID</v>
      </c>
      <c r="V1794" s="1">
        <f>IFERROR(__xludf.DUMMYFUNCTION("""COMPUTED_VALUE"""),665.0)</f>
        <v>665</v>
      </c>
      <c r="W1794" s="1">
        <f>IFERROR(__xludf.DUMMYFUNCTION("""COMPUTED_VALUE"""),1132.0)</f>
        <v>1132</v>
      </c>
      <c r="X1794" s="1">
        <f>IFERROR(__xludf.DUMMYFUNCTION("""COMPUTED_VALUE"""),899.0)</f>
        <v>899</v>
      </c>
      <c r="Y1794" s="2"/>
      <c r="Z1794" s="2"/>
    </row>
    <row r="1795">
      <c r="A1795" s="1">
        <f>IFERROR(__xludf.DUMMYFUNCTION("""COMPUTED_VALUE"""),1794.0)</f>
        <v>1794</v>
      </c>
      <c r="B1795" s="1">
        <f>IFERROR(__xludf.DUMMYFUNCTION("""COMPUTED_VALUE"""),5239.0)</f>
        <v>5239</v>
      </c>
      <c r="C1795" s="2" t="str">
        <f>IFERROR(__xludf.DUMMYFUNCTION("""COMPUTED_VALUE"""),"Venus Septa")</f>
        <v>Venus Septa</v>
      </c>
      <c r="D1795" s="2" t="str">
        <f>IFERROR(__xludf.DUMMYFUNCTION("""COMPUTED_VALUE"""),"5KM OVERALL M")</f>
        <v>5KM OVERALL M</v>
      </c>
      <c r="E1795" s="1">
        <f>IFERROR(__xludf.DUMMYFUNCTION("""COMPUTED_VALUE"""),2.0)</f>
        <v>2</v>
      </c>
      <c r="F1795" s="1" t="str">
        <f>IFERROR(__xludf.DUMMYFUNCTION("""COMPUTED_VALUE"""),"Male")</f>
        <v>Male</v>
      </c>
      <c r="G1795" s="4" t="b">
        <f>IFERROR(__xludf.DUMMYFUNCTION("""COMPUTED_VALUE"""),TRUE)</f>
        <v>1</v>
      </c>
      <c r="H1795" s="4" t="b">
        <f>IFERROR(__xludf.DUMMYFUNCTION("""COMPUTED_VALUE"""),TRUE)</f>
        <v>1</v>
      </c>
      <c r="I1795" s="4">
        <f>IFERROR(__xludf.DUMMYFUNCTION("""COMPUTED_VALUE"""),0.2549440625)</f>
        <v>0.2549440625</v>
      </c>
      <c r="J1795" s="4">
        <f>IFERROR(__xludf.DUMMYFUNCTION("""COMPUTED_VALUE"""),45949.276425995035)</f>
        <v>45949.27643</v>
      </c>
      <c r="K1795" s="4" t="str">
        <f>IFERROR(__xludf.DUMMYFUNCTION("""COMPUTED_VALUE"""),"")</f>
        <v/>
      </c>
      <c r="L1795" s="4">
        <f>IFERROR(__xludf.DUMMYFUNCTION("""COMPUTED_VALUE"""),45949.28887656607)</f>
        <v>45949.28888</v>
      </c>
      <c r="M1795" s="1" t="str">
        <f>IFERROR(__xludf.DUMMYFUNCTION("""COMPUTED_VALUE"""),"RFID")</f>
        <v>RFID</v>
      </c>
      <c r="N1795" s="5">
        <f>IFERROR(__xludf.DUMMYFUNCTION("""COMPUTED_VALUE"""),0.008592773148148148)</f>
        <v>0.008592773148</v>
      </c>
      <c r="O1795" s="5" t="str">
        <f>IFERROR(__xludf.DUMMYFUNCTION("""COMPUTED_VALUE"""),"")</f>
        <v/>
      </c>
      <c r="P1795" s="5" t="str">
        <f>IFERROR(__xludf.DUMMYFUNCTION("""COMPUTED_VALUE"""),"")</f>
        <v/>
      </c>
      <c r="Q1795" s="5">
        <f>IFERROR(__xludf.DUMMYFUNCTION("""COMPUTED_VALUE"""),0.006786499999999999)</f>
        <v>0.0067865</v>
      </c>
      <c r="R1795" s="4">
        <f>IFERROR(__xludf.DUMMYFUNCTION("""COMPUTED_VALUE"""),45949.03393250357)</f>
        <v>45949.03393</v>
      </c>
      <c r="S1795" s="1" t="b">
        <f>IFERROR(__xludf.DUMMYFUNCTION("""COMPUTED_VALUE"""),TRUE)</f>
        <v>1</v>
      </c>
      <c r="T1795" s="1" t="b">
        <f>IFERROR(__xludf.DUMMYFUNCTION("""COMPUTED_VALUE"""),FALSE)</f>
        <v>0</v>
      </c>
      <c r="U1795" s="1" t="str">
        <f>IFERROR(__xludf.DUMMYFUNCTION("""COMPUTED_VALUE"""),"VALID")</f>
        <v>VALID</v>
      </c>
      <c r="V1795" s="1">
        <f>IFERROR(__xludf.DUMMYFUNCTION("""COMPUTED_VALUE"""),532.0)</f>
        <v>532</v>
      </c>
      <c r="W1795" s="1">
        <f>IFERROR(__xludf.DUMMYFUNCTION("""COMPUTED_VALUE"""),838.0)</f>
        <v>838</v>
      </c>
      <c r="X1795" s="1">
        <f>IFERROR(__xludf.DUMMYFUNCTION("""COMPUTED_VALUE"""),685.0)</f>
        <v>685</v>
      </c>
      <c r="Y1795" s="2"/>
      <c r="Z1795" s="2"/>
    </row>
    <row r="1796">
      <c r="A1796" s="1">
        <f>IFERROR(__xludf.DUMMYFUNCTION("""COMPUTED_VALUE"""),1795.0)</f>
        <v>1795</v>
      </c>
      <c r="B1796" s="1">
        <f>IFERROR(__xludf.DUMMYFUNCTION("""COMPUTED_VALUE"""),5240.0)</f>
        <v>5240</v>
      </c>
      <c r="C1796" s="2" t="str">
        <f>IFERROR(__xludf.DUMMYFUNCTION("""COMPUTED_VALUE"""),"Abu ZenDenQu")</f>
        <v>Abu ZenDenQu</v>
      </c>
      <c r="D1796" s="2" t="str">
        <f>IFERROR(__xludf.DUMMYFUNCTION("""COMPUTED_VALUE"""),"5KM OVERALL M")</f>
        <v>5KM OVERALL M</v>
      </c>
      <c r="E1796" s="1">
        <f>IFERROR(__xludf.DUMMYFUNCTION("""COMPUTED_VALUE"""),2.0)</f>
        <v>2</v>
      </c>
      <c r="F1796" s="1" t="str">
        <f>IFERROR(__xludf.DUMMYFUNCTION("""COMPUTED_VALUE"""),"Male")</f>
        <v>Male</v>
      </c>
      <c r="G1796" s="4" t="b">
        <f>IFERROR(__xludf.DUMMYFUNCTION("""COMPUTED_VALUE"""),TRUE)</f>
        <v>1</v>
      </c>
      <c r="H1796" s="4" t="b">
        <f>IFERROR(__xludf.DUMMYFUNCTION("""COMPUTED_VALUE"""),TRUE)</f>
        <v>1</v>
      </c>
      <c r="I1796" s="4">
        <f>IFERROR(__xludf.DUMMYFUNCTION("""COMPUTED_VALUE"""),0.2549440625)</f>
        <v>0.2549440625</v>
      </c>
      <c r="J1796" s="4">
        <f>IFERROR(__xludf.DUMMYFUNCTION("""COMPUTED_VALUE"""),45949.26781141053)</f>
        <v>45949.26781</v>
      </c>
      <c r="K1796" s="4" t="str">
        <f>IFERROR(__xludf.DUMMYFUNCTION("""COMPUTED_VALUE"""),"")</f>
        <v/>
      </c>
      <c r="L1796" s="4">
        <f>IFERROR(__xludf.DUMMYFUNCTION("""COMPUTED_VALUE"""),45949.27717169641)</f>
        <v>45949.27717</v>
      </c>
      <c r="M1796" s="1" t="str">
        <f>IFERROR(__xludf.DUMMYFUNCTION("""COMPUTED_VALUE"""),"RFID")</f>
        <v>RFID</v>
      </c>
      <c r="N1796" s="5">
        <f>IFERROR(__xludf.DUMMYFUNCTION("""COMPUTED_VALUE"""),0.005146939814814815)</f>
        <v>0.005146939815</v>
      </c>
      <c r="O1796" s="5" t="str">
        <f>IFERROR(__xludf.DUMMYFUNCTION("""COMPUTED_VALUE"""),"")</f>
        <v/>
      </c>
      <c r="P1796" s="5" t="str">
        <f>IFERROR(__xludf.DUMMYFUNCTION("""COMPUTED_VALUE"""),"")</f>
        <v/>
      </c>
      <c r="Q1796" s="5">
        <f>IFERROR(__xludf.DUMMYFUNCTION("""COMPUTED_VALUE"""),0.004445527777777778)</f>
        <v>0.004445527778</v>
      </c>
      <c r="R1796" s="4">
        <f>IFERROR(__xludf.DUMMYFUNCTION("""COMPUTED_VALUE"""),45949.02222763391)</f>
        <v>45949.02223</v>
      </c>
      <c r="S1796" s="1" t="b">
        <f>IFERROR(__xludf.DUMMYFUNCTION("""COMPUTED_VALUE"""),TRUE)</f>
        <v>1</v>
      </c>
      <c r="T1796" s="1" t="b">
        <f>IFERROR(__xludf.DUMMYFUNCTION("""COMPUTED_VALUE"""),FALSE)</f>
        <v>0</v>
      </c>
      <c r="U1796" s="1" t="str">
        <f>IFERROR(__xludf.DUMMYFUNCTION("""COMPUTED_VALUE"""),"VALID")</f>
        <v>VALID</v>
      </c>
      <c r="V1796" s="1">
        <f>IFERROR(__xludf.DUMMYFUNCTION("""COMPUTED_VALUE"""),115.0)</f>
        <v>115</v>
      </c>
      <c r="W1796" s="1">
        <f>IFERROR(__xludf.DUMMYFUNCTION("""COMPUTED_VALUE"""),176.0)</f>
        <v>176</v>
      </c>
      <c r="X1796" s="1">
        <f>IFERROR(__xludf.DUMMYFUNCTION("""COMPUTED_VALUE"""),156.0)</f>
        <v>156</v>
      </c>
      <c r="Y1796" s="2"/>
      <c r="Z1796" s="2"/>
    </row>
    <row r="1797">
      <c r="A1797" s="1">
        <f>IFERROR(__xludf.DUMMYFUNCTION("""COMPUTED_VALUE"""),1796.0)</f>
        <v>1796</v>
      </c>
      <c r="B1797" s="1">
        <f>IFERROR(__xludf.DUMMYFUNCTION("""COMPUTED_VALUE"""),5241.0)</f>
        <v>5241</v>
      </c>
      <c r="C1797" s="2" t="str">
        <f>IFERROR(__xludf.DUMMYFUNCTION("""COMPUTED_VALUE"""),"FaTuR")</f>
        <v>FaTuR</v>
      </c>
      <c r="D1797" s="2" t="str">
        <f>IFERROR(__xludf.DUMMYFUNCTION("""COMPUTED_VALUE"""),"5KM OVERALL M")</f>
        <v>5KM OVERALL M</v>
      </c>
      <c r="E1797" s="1">
        <f>IFERROR(__xludf.DUMMYFUNCTION("""COMPUTED_VALUE"""),2.0)</f>
        <v>2</v>
      </c>
      <c r="F1797" s="1" t="str">
        <f>IFERROR(__xludf.DUMMYFUNCTION("""COMPUTED_VALUE"""),"Male")</f>
        <v>Male</v>
      </c>
      <c r="G1797" s="4" t="b">
        <f>IFERROR(__xludf.DUMMYFUNCTION("""COMPUTED_VALUE"""),TRUE)</f>
        <v>1</v>
      </c>
      <c r="H1797" s="4" t="b">
        <f>IFERROR(__xludf.DUMMYFUNCTION("""COMPUTED_VALUE"""),TRUE)</f>
        <v>1</v>
      </c>
      <c r="I1797" s="4">
        <f>IFERROR(__xludf.DUMMYFUNCTION("""COMPUTED_VALUE"""),0.2549440625)</f>
        <v>0.2549440625</v>
      </c>
      <c r="J1797" s="4">
        <f>IFERROR(__xludf.DUMMYFUNCTION("""COMPUTED_VALUE"""),45949.27356490043)</f>
        <v>45949.27356</v>
      </c>
      <c r="K1797" s="4" t="str">
        <f>IFERROR(__xludf.DUMMYFUNCTION("""COMPUTED_VALUE"""),"")</f>
        <v/>
      </c>
      <c r="L1797" s="4">
        <f>IFERROR(__xludf.DUMMYFUNCTION("""COMPUTED_VALUE"""),45949.286321040876)</f>
        <v>45949.28632</v>
      </c>
      <c r="M1797" s="1" t="str">
        <f>IFERROR(__xludf.DUMMYFUNCTION("""COMPUTED_VALUE"""),"RFID")</f>
        <v>RFID</v>
      </c>
      <c r="N1797" s="5">
        <f>IFERROR(__xludf.DUMMYFUNCTION("""COMPUTED_VALUE"""),0.007448333333333333)</f>
        <v>0.007448333333</v>
      </c>
      <c r="O1797" s="5" t="str">
        <f>IFERROR(__xludf.DUMMYFUNCTION("""COMPUTED_VALUE"""),"")</f>
        <v/>
      </c>
      <c r="P1797" s="5" t="str">
        <f>IFERROR(__xludf.DUMMYFUNCTION("""COMPUTED_VALUE"""),"")</f>
        <v/>
      </c>
      <c r="Q1797" s="5">
        <f>IFERROR(__xludf.DUMMYFUNCTION("""COMPUTED_VALUE"""),0.006275395833333333)</f>
        <v>0.006275395833</v>
      </c>
      <c r="R1797" s="4">
        <f>IFERROR(__xludf.DUMMYFUNCTION("""COMPUTED_VALUE"""),45949.031376978375)</f>
        <v>45949.03138</v>
      </c>
      <c r="S1797" s="1" t="b">
        <f>IFERROR(__xludf.DUMMYFUNCTION("""COMPUTED_VALUE"""),TRUE)</f>
        <v>1</v>
      </c>
      <c r="T1797" s="1" t="b">
        <f>IFERROR(__xludf.DUMMYFUNCTION("""COMPUTED_VALUE"""),FALSE)</f>
        <v>0</v>
      </c>
      <c r="U1797" s="1" t="str">
        <f>IFERROR(__xludf.DUMMYFUNCTION("""COMPUTED_VALUE"""),"VALID")</f>
        <v>VALID</v>
      </c>
      <c r="V1797" s="1">
        <f>IFERROR(__xludf.DUMMYFUNCTION("""COMPUTED_VALUE"""),424.0)</f>
        <v>424</v>
      </c>
      <c r="W1797" s="1">
        <f>IFERROR(__xludf.DUMMYFUNCTION("""COMPUTED_VALUE"""),651.0)</f>
        <v>651</v>
      </c>
      <c r="X1797" s="1">
        <f>IFERROR(__xludf.DUMMYFUNCTION("""COMPUTED_VALUE"""),545.0)</f>
        <v>545</v>
      </c>
      <c r="Y1797" s="2"/>
      <c r="Z1797" s="2"/>
    </row>
    <row r="1798">
      <c r="A1798" s="1">
        <f>IFERROR(__xludf.DUMMYFUNCTION("""COMPUTED_VALUE"""),1797.0)</f>
        <v>1797</v>
      </c>
      <c r="B1798" s="1">
        <f>IFERROR(__xludf.DUMMYFUNCTION("""COMPUTED_VALUE"""),5242.0)</f>
        <v>5242</v>
      </c>
      <c r="C1798" s="2" t="str">
        <f>IFERROR(__xludf.DUMMYFUNCTION("""COMPUTED_VALUE"""),"BAYU PASHA")</f>
        <v>BAYU PASHA</v>
      </c>
      <c r="D1798" s="2" t="str">
        <f>IFERROR(__xludf.DUMMYFUNCTION("""COMPUTED_VALUE"""),"5KM OVERALL M")</f>
        <v>5KM OVERALL M</v>
      </c>
      <c r="E1798" s="1">
        <f>IFERROR(__xludf.DUMMYFUNCTION("""COMPUTED_VALUE"""),2.0)</f>
        <v>2</v>
      </c>
      <c r="F1798" s="1" t="str">
        <f>IFERROR(__xludf.DUMMYFUNCTION("""COMPUTED_VALUE"""),"Male")</f>
        <v>Male</v>
      </c>
      <c r="G1798" s="4" t="str">
        <f>IFERROR(__xludf.DUMMYFUNCTION("""COMPUTED_VALUE"""),"")</f>
        <v/>
      </c>
      <c r="H1798" s="4" t="b">
        <f>IFERROR(__xludf.DUMMYFUNCTION("""COMPUTED_VALUE"""),FALSE)</f>
        <v>0</v>
      </c>
      <c r="I1798" s="4">
        <f>IFERROR(__xludf.DUMMYFUNCTION("""COMPUTED_VALUE"""),0.2549440625)</f>
        <v>0.2549440625</v>
      </c>
      <c r="J1798" s="4" t="str">
        <f>IFERROR(__xludf.DUMMYFUNCTION("""COMPUTED_VALUE"""),"")</f>
        <v/>
      </c>
      <c r="K1798" s="4" t="str">
        <f>IFERROR(__xludf.DUMMYFUNCTION("""COMPUTED_VALUE"""),"")</f>
        <v/>
      </c>
      <c r="L1798" s="4" t="str">
        <f>IFERROR(__xludf.DUMMYFUNCTION("""COMPUTED_VALUE"""),"")</f>
        <v/>
      </c>
      <c r="M1798" s="1" t="str">
        <f>IFERROR(__xludf.DUMMYFUNCTION("""COMPUTED_VALUE"""),"RFID")</f>
        <v>RFID</v>
      </c>
      <c r="N1798" s="5" t="str">
        <f>IFERROR(__xludf.DUMMYFUNCTION("""COMPUTED_VALUE"""),"")</f>
        <v/>
      </c>
      <c r="O1798" s="5" t="str">
        <f>IFERROR(__xludf.DUMMYFUNCTION("""COMPUTED_VALUE"""),"")</f>
        <v/>
      </c>
      <c r="P1798" s="5" t="str">
        <f>IFERROR(__xludf.DUMMYFUNCTION("""COMPUTED_VALUE"""),"")</f>
        <v/>
      </c>
      <c r="Q1798" s="5" t="str">
        <f>IFERROR(__xludf.DUMMYFUNCTION("""COMPUTED_VALUE"""),"")</f>
        <v/>
      </c>
      <c r="R1798" s="4" t="str">
        <f>IFERROR(__xludf.DUMMYFUNCTION("""COMPUTED_VALUE"""),"")</f>
        <v/>
      </c>
      <c r="S1798" s="1" t="b">
        <f>IFERROR(__xludf.DUMMYFUNCTION("""COMPUTED_VALUE"""),FALSE)</f>
        <v>0</v>
      </c>
      <c r="T1798" s="1" t="b">
        <f>IFERROR(__xludf.DUMMYFUNCTION("""COMPUTED_VALUE"""),FALSE)</f>
        <v>0</v>
      </c>
      <c r="U1798" s="1" t="str">
        <f>IFERROR(__xludf.DUMMYFUNCTION("""COMPUTED_VALUE"""),"DSQ")</f>
        <v>DSQ</v>
      </c>
      <c r="V1798" s="1" t="str">
        <f>IFERROR(__xludf.DUMMYFUNCTION("""COMPUTED_VALUE"""),"DSQ")</f>
        <v>DSQ</v>
      </c>
      <c r="W1798" s="1" t="str">
        <f>IFERROR(__xludf.DUMMYFUNCTION("""COMPUTED_VALUE"""),"DSQ")</f>
        <v>DSQ</v>
      </c>
      <c r="X1798" s="1" t="str">
        <f>IFERROR(__xludf.DUMMYFUNCTION("""COMPUTED_VALUE"""),"DSQ")</f>
        <v>DSQ</v>
      </c>
      <c r="Y1798" s="2"/>
      <c r="Z1798" s="2" t="str">
        <f>IFERROR(__xludf.DUMMYFUNCTION("""COMPUTED_VALUE"""),"")</f>
        <v/>
      </c>
    </row>
    <row r="1799">
      <c r="A1799" s="1">
        <f>IFERROR(__xludf.DUMMYFUNCTION("""COMPUTED_VALUE"""),1798.0)</f>
        <v>1798</v>
      </c>
      <c r="B1799" s="1">
        <f>IFERROR(__xludf.DUMMYFUNCTION("""COMPUTED_VALUE"""),5243.0)</f>
        <v>5243</v>
      </c>
      <c r="C1799" s="2" t="str">
        <f>IFERROR(__xludf.DUMMYFUNCTION("""COMPUTED_VALUE"""),"Indra Budiman")</f>
        <v>Indra Budiman</v>
      </c>
      <c r="D1799" s="2" t="str">
        <f>IFERROR(__xludf.DUMMYFUNCTION("""COMPUTED_VALUE"""),"5KM OVERALL M")</f>
        <v>5KM OVERALL M</v>
      </c>
      <c r="E1799" s="1">
        <f>IFERROR(__xludf.DUMMYFUNCTION("""COMPUTED_VALUE"""),2.0)</f>
        <v>2</v>
      </c>
      <c r="F1799" s="1" t="str">
        <f>IFERROR(__xludf.DUMMYFUNCTION("""COMPUTED_VALUE"""),"Male")</f>
        <v>Male</v>
      </c>
      <c r="G1799" s="4" t="b">
        <f>IFERROR(__xludf.DUMMYFUNCTION("""COMPUTED_VALUE"""),TRUE)</f>
        <v>1</v>
      </c>
      <c r="H1799" s="4" t="b">
        <f>IFERROR(__xludf.DUMMYFUNCTION("""COMPUTED_VALUE"""),TRUE)</f>
        <v>1</v>
      </c>
      <c r="I1799" s="4">
        <f>IFERROR(__xludf.DUMMYFUNCTION("""COMPUTED_VALUE"""),0.2549440625)</f>
        <v>0.2549440625</v>
      </c>
      <c r="J1799" s="4">
        <f>IFERROR(__xludf.DUMMYFUNCTION("""COMPUTED_VALUE"""),45949.27598161221)</f>
        <v>45949.27598</v>
      </c>
      <c r="K1799" s="4" t="str">
        <f>IFERROR(__xludf.DUMMYFUNCTION("""COMPUTED_VALUE"""),"")</f>
        <v/>
      </c>
      <c r="L1799" s="4">
        <f>IFERROR(__xludf.DUMMYFUNCTION("""COMPUTED_VALUE"""),45949.29056059513)</f>
        <v>45949.29056</v>
      </c>
      <c r="M1799" s="1" t="str">
        <f>IFERROR(__xludf.DUMMYFUNCTION("""COMPUTED_VALUE"""),"RFID")</f>
        <v>RFID</v>
      </c>
      <c r="N1799" s="5">
        <f>IFERROR(__xludf.DUMMYFUNCTION("""COMPUTED_VALUE"""),0.00841501851851852)</f>
        <v>0.008415018519</v>
      </c>
      <c r="O1799" s="5" t="str">
        <f>IFERROR(__xludf.DUMMYFUNCTION("""COMPUTED_VALUE"""),"")</f>
        <v/>
      </c>
      <c r="P1799" s="5" t="str">
        <f>IFERROR(__xludf.DUMMYFUNCTION("""COMPUTED_VALUE"""),"")</f>
        <v/>
      </c>
      <c r="Q1799" s="5">
        <f>IFERROR(__xludf.DUMMYFUNCTION("""COMPUTED_VALUE"""),0.007123305555555555)</f>
        <v>0.007123305556</v>
      </c>
      <c r="R1799" s="4">
        <f>IFERROR(__xludf.DUMMYFUNCTION("""COMPUTED_VALUE"""),45949.03561653263)</f>
        <v>45949.03562</v>
      </c>
      <c r="S1799" s="1" t="b">
        <f>IFERROR(__xludf.DUMMYFUNCTION("""COMPUTED_VALUE"""),TRUE)</f>
        <v>1</v>
      </c>
      <c r="T1799" s="1" t="b">
        <f>IFERROR(__xludf.DUMMYFUNCTION("""COMPUTED_VALUE"""),FALSE)</f>
        <v>0</v>
      </c>
      <c r="U1799" s="1" t="str">
        <f>IFERROR(__xludf.DUMMYFUNCTION("""COMPUTED_VALUE"""),"VALID")</f>
        <v>VALID</v>
      </c>
      <c r="V1799" s="1">
        <f>IFERROR(__xludf.DUMMYFUNCTION("""COMPUTED_VALUE"""),578.0)</f>
        <v>578</v>
      </c>
      <c r="W1799" s="1">
        <f>IFERROR(__xludf.DUMMYFUNCTION("""COMPUTED_VALUE"""),924.0)</f>
        <v>924</v>
      </c>
      <c r="X1799" s="1">
        <f>IFERROR(__xludf.DUMMYFUNCTION("""COMPUTED_VALUE"""),754.0)</f>
        <v>754</v>
      </c>
      <c r="Y1799" s="2"/>
      <c r="Z1799" s="2"/>
    </row>
    <row r="1800">
      <c r="A1800" s="1">
        <f>IFERROR(__xludf.DUMMYFUNCTION("""COMPUTED_VALUE"""),1799.0)</f>
        <v>1799</v>
      </c>
      <c r="B1800" s="1">
        <f>IFERROR(__xludf.DUMMYFUNCTION("""COMPUTED_VALUE"""),5244.0)</f>
        <v>5244</v>
      </c>
      <c r="C1800" s="2" t="str">
        <f>IFERROR(__xludf.DUMMYFUNCTION("""COMPUTED_VALUE"""),"REGI")</f>
        <v>REGI</v>
      </c>
      <c r="D1800" s="2" t="str">
        <f>IFERROR(__xludf.DUMMYFUNCTION("""COMPUTED_VALUE"""),"5KM OVERALL M")</f>
        <v>5KM OVERALL M</v>
      </c>
      <c r="E1800" s="1">
        <f>IFERROR(__xludf.DUMMYFUNCTION("""COMPUTED_VALUE"""),2.0)</f>
        <v>2</v>
      </c>
      <c r="F1800" s="1" t="str">
        <f>IFERROR(__xludf.DUMMYFUNCTION("""COMPUTED_VALUE"""),"Male")</f>
        <v>Male</v>
      </c>
      <c r="G1800" s="4" t="b">
        <f>IFERROR(__xludf.DUMMYFUNCTION("""COMPUTED_VALUE"""),TRUE)</f>
        <v>1</v>
      </c>
      <c r="H1800" s="4" t="b">
        <f>IFERROR(__xludf.DUMMYFUNCTION("""COMPUTED_VALUE"""),TRUE)</f>
        <v>1</v>
      </c>
      <c r="I1800" s="4">
        <f>IFERROR(__xludf.DUMMYFUNCTION("""COMPUTED_VALUE"""),0.2549440625)</f>
        <v>0.2549440625</v>
      </c>
      <c r="J1800" s="4">
        <f>IFERROR(__xludf.DUMMYFUNCTION("""COMPUTED_VALUE"""),45949.277478075484)</f>
        <v>45949.27748</v>
      </c>
      <c r="K1800" s="4" t="str">
        <f>IFERROR(__xludf.DUMMYFUNCTION("""COMPUTED_VALUE"""),"")</f>
        <v/>
      </c>
      <c r="L1800" s="4">
        <f>IFERROR(__xludf.DUMMYFUNCTION("""COMPUTED_VALUE"""),45949.29378628396)</f>
        <v>45949.29379</v>
      </c>
      <c r="M1800" s="1" t="str">
        <f>IFERROR(__xludf.DUMMYFUNCTION("""COMPUTED_VALUE"""),"RFID")</f>
        <v>RFID</v>
      </c>
      <c r="N1800" s="5">
        <f>IFERROR(__xludf.DUMMYFUNCTION("""COMPUTED_VALUE"""),0.009013606481481482)</f>
        <v>0.009013606481</v>
      </c>
      <c r="O1800" s="5" t="str">
        <f>IFERROR(__xludf.DUMMYFUNCTION("""COMPUTED_VALUE"""),"")</f>
        <v/>
      </c>
      <c r="P1800" s="5" t="str">
        <f>IFERROR(__xludf.DUMMYFUNCTION("""COMPUTED_VALUE"""),"")</f>
        <v/>
      </c>
      <c r="Q1800" s="5">
        <f>IFERROR(__xludf.DUMMYFUNCTION("""COMPUTED_VALUE"""),0.007768444444444444)</f>
        <v>0.007768444444</v>
      </c>
      <c r="R1800" s="4">
        <f>IFERROR(__xludf.DUMMYFUNCTION("""COMPUTED_VALUE"""),45949.03884222146)</f>
        <v>45949.03884</v>
      </c>
      <c r="S1800" s="1" t="b">
        <f>IFERROR(__xludf.DUMMYFUNCTION("""COMPUTED_VALUE"""),TRUE)</f>
        <v>1</v>
      </c>
      <c r="T1800" s="1" t="b">
        <f>IFERROR(__xludf.DUMMYFUNCTION("""COMPUTED_VALUE"""),FALSE)</f>
        <v>0</v>
      </c>
      <c r="U1800" s="1" t="str">
        <f>IFERROR(__xludf.DUMMYFUNCTION("""COMPUTED_VALUE"""),"VALID")</f>
        <v>VALID</v>
      </c>
      <c r="V1800" s="1">
        <f>IFERROR(__xludf.DUMMYFUNCTION("""COMPUTED_VALUE"""),679.0)</f>
        <v>679</v>
      </c>
      <c r="W1800" s="1">
        <f>IFERROR(__xludf.DUMMYFUNCTION("""COMPUTED_VALUE"""),1159.0)</f>
        <v>1159</v>
      </c>
      <c r="X1800" s="1">
        <f>IFERROR(__xludf.DUMMYFUNCTION("""COMPUTED_VALUE"""),918.0)</f>
        <v>918</v>
      </c>
      <c r="Y1800" s="2"/>
      <c r="Z1800" s="2"/>
    </row>
    <row r="1801">
      <c r="A1801" s="1">
        <f>IFERROR(__xludf.DUMMYFUNCTION("""COMPUTED_VALUE"""),1800.0)</f>
        <v>1800</v>
      </c>
      <c r="B1801" s="1">
        <f>IFERROR(__xludf.DUMMYFUNCTION("""COMPUTED_VALUE"""),5245.0)</f>
        <v>5245</v>
      </c>
      <c r="C1801" s="2" t="str">
        <f>IFERROR(__xludf.DUMMYFUNCTION("""COMPUTED_VALUE"""),"Rezha")</f>
        <v>Rezha</v>
      </c>
      <c r="D1801" s="2" t="str">
        <f>IFERROR(__xludf.DUMMYFUNCTION("""COMPUTED_VALUE"""),"5KM OVERALL M")</f>
        <v>5KM OVERALL M</v>
      </c>
      <c r="E1801" s="1">
        <f>IFERROR(__xludf.DUMMYFUNCTION("""COMPUTED_VALUE"""),2.0)</f>
        <v>2</v>
      </c>
      <c r="F1801" s="1" t="str">
        <f>IFERROR(__xludf.DUMMYFUNCTION("""COMPUTED_VALUE"""),"Male")</f>
        <v>Male</v>
      </c>
      <c r="G1801" s="4" t="b">
        <f>IFERROR(__xludf.DUMMYFUNCTION("""COMPUTED_VALUE"""),TRUE)</f>
        <v>1</v>
      </c>
      <c r="H1801" s="4" t="b">
        <f>IFERROR(__xludf.DUMMYFUNCTION("""COMPUTED_VALUE"""),TRUE)</f>
        <v>1</v>
      </c>
      <c r="I1801" s="4">
        <f>IFERROR(__xludf.DUMMYFUNCTION("""COMPUTED_VALUE"""),0.2549440625)</f>
        <v>0.2549440625</v>
      </c>
      <c r="J1801" s="4">
        <f>IFERROR(__xludf.DUMMYFUNCTION("""COMPUTED_VALUE"""),45949.284495509186)</f>
        <v>45949.2845</v>
      </c>
      <c r="K1801" s="4" t="str">
        <f>IFERROR(__xludf.DUMMYFUNCTION("""COMPUTED_VALUE"""),"")</f>
        <v/>
      </c>
      <c r="L1801" s="4">
        <f>IFERROR(__xludf.DUMMYFUNCTION("""COMPUTED_VALUE"""),45949.30297379034)</f>
        <v>45949.30297</v>
      </c>
      <c r="M1801" s="1" t="str">
        <f>IFERROR(__xludf.DUMMYFUNCTION("""COMPUTED_VALUE"""),"RFID")</f>
        <v>RFID</v>
      </c>
      <c r="N1801" s="5">
        <f>IFERROR(__xludf.DUMMYFUNCTION("""COMPUTED_VALUE"""),0.011820578703703703)</f>
        <v>0.0118205787</v>
      </c>
      <c r="O1801" s="5" t="str">
        <f>IFERROR(__xludf.DUMMYFUNCTION("""COMPUTED_VALUE"""),"")</f>
        <v/>
      </c>
      <c r="P1801" s="5" t="str">
        <f>IFERROR(__xludf.DUMMYFUNCTION("""COMPUTED_VALUE"""),"")</f>
        <v/>
      </c>
      <c r="Q1801" s="5">
        <f>IFERROR(__xludf.DUMMYFUNCTION("""COMPUTED_VALUE"""),0.009605944444444445)</f>
        <v>0.009605944444</v>
      </c>
      <c r="R1801" s="4">
        <f>IFERROR(__xludf.DUMMYFUNCTION("""COMPUTED_VALUE"""),45949.04802972784)</f>
        <v>45949.04803</v>
      </c>
      <c r="S1801" s="1" t="b">
        <f>IFERROR(__xludf.DUMMYFUNCTION("""COMPUTED_VALUE"""),TRUE)</f>
        <v>1</v>
      </c>
      <c r="T1801" s="1" t="b">
        <f>IFERROR(__xludf.DUMMYFUNCTION("""COMPUTED_VALUE"""),FALSE)</f>
        <v>0</v>
      </c>
      <c r="U1801" s="1" t="str">
        <f>IFERROR(__xludf.DUMMYFUNCTION("""COMPUTED_VALUE"""),"VALID")</f>
        <v>VALID</v>
      </c>
      <c r="V1801" s="1">
        <f>IFERROR(__xludf.DUMMYFUNCTION("""COMPUTED_VALUE"""),828.0)</f>
        <v>828</v>
      </c>
      <c r="W1801" s="1">
        <f>IFERROR(__xludf.DUMMYFUNCTION("""COMPUTED_VALUE"""),1547.0)</f>
        <v>1547</v>
      </c>
      <c r="X1801" s="1">
        <f>IFERROR(__xludf.DUMMYFUNCTION("""COMPUTED_VALUE"""),1308.0)</f>
        <v>1308</v>
      </c>
      <c r="Y1801" s="2"/>
      <c r="Z1801" s="2"/>
    </row>
    <row r="1802">
      <c r="A1802" s="1">
        <f>IFERROR(__xludf.DUMMYFUNCTION("""COMPUTED_VALUE"""),1801.0)</f>
        <v>1801</v>
      </c>
      <c r="B1802" s="1">
        <f>IFERROR(__xludf.DUMMYFUNCTION("""COMPUTED_VALUE"""),5246.0)</f>
        <v>5246</v>
      </c>
      <c r="C1802" s="2" t="str">
        <f>IFERROR(__xludf.DUMMYFUNCTION("""COMPUTED_VALUE"""),"Maulidi Hasbiya Putra DK")</f>
        <v>Maulidi Hasbiya Putra DK</v>
      </c>
      <c r="D1802" s="2" t="str">
        <f>IFERROR(__xludf.DUMMYFUNCTION("""COMPUTED_VALUE"""),"5KM OVERALL M")</f>
        <v>5KM OVERALL M</v>
      </c>
      <c r="E1802" s="1">
        <f>IFERROR(__xludf.DUMMYFUNCTION("""COMPUTED_VALUE"""),2.0)</f>
        <v>2</v>
      </c>
      <c r="F1802" s="1" t="str">
        <f>IFERROR(__xludf.DUMMYFUNCTION("""COMPUTED_VALUE"""),"Male")</f>
        <v>Male</v>
      </c>
      <c r="G1802" s="4" t="b">
        <f>IFERROR(__xludf.DUMMYFUNCTION("""COMPUTED_VALUE"""),TRUE)</f>
        <v>1</v>
      </c>
      <c r="H1802" s="4" t="b">
        <f>IFERROR(__xludf.DUMMYFUNCTION("""COMPUTED_VALUE"""),FALSE)</f>
        <v>0</v>
      </c>
      <c r="I1802" s="4">
        <f>IFERROR(__xludf.DUMMYFUNCTION("""COMPUTED_VALUE"""),0.2549440625)</f>
        <v>0.2549440625</v>
      </c>
      <c r="J1802" s="4">
        <f>IFERROR(__xludf.DUMMYFUNCTION("""COMPUTED_VALUE"""),45949.276224600544)</f>
        <v>45949.27622</v>
      </c>
      <c r="K1802" s="4" t="str">
        <f>IFERROR(__xludf.DUMMYFUNCTION("""COMPUTED_VALUE"""),"")</f>
        <v/>
      </c>
      <c r="L1802" s="4">
        <f>IFERROR(__xludf.DUMMYFUNCTION("""COMPUTED_VALUE"""),45949.29007102139)</f>
        <v>45949.29007</v>
      </c>
      <c r="M1802" s="1" t="str">
        <f>IFERROR(__xludf.DUMMYFUNCTION("""COMPUTED_VALUE"""),"RFID")</f>
        <v>RFID</v>
      </c>
      <c r="N1802" s="5">
        <f>IFERROR(__xludf.DUMMYFUNCTION("""COMPUTED_VALUE"""),0.008512212962962963)</f>
        <v>0.008512212963</v>
      </c>
      <c r="O1802" s="5" t="str">
        <f>IFERROR(__xludf.DUMMYFUNCTION("""COMPUTED_VALUE"""),"")</f>
        <v/>
      </c>
      <c r="P1802" s="5" t="str">
        <f>IFERROR(__xludf.DUMMYFUNCTION("""COMPUTED_VALUE"""),"")</f>
        <v/>
      </c>
      <c r="Q1802" s="5">
        <f>IFERROR(__xludf.DUMMYFUNCTION("""COMPUTED_VALUE"""),0.007025391203703704)</f>
        <v>0.007025391204</v>
      </c>
      <c r="R1802" s="4">
        <f>IFERROR(__xludf.DUMMYFUNCTION("""COMPUTED_VALUE"""),45949.03512695889)</f>
        <v>45949.03513</v>
      </c>
      <c r="S1802" s="1" t="b">
        <f>IFERROR(__xludf.DUMMYFUNCTION("""COMPUTED_VALUE"""),TRUE)</f>
        <v>1</v>
      </c>
      <c r="T1802" s="1" t="b">
        <f>IFERROR(__xludf.DUMMYFUNCTION("""COMPUTED_VALUE"""),FALSE)</f>
        <v>0</v>
      </c>
      <c r="U1802" s="1" t="str">
        <f>IFERROR(__xludf.DUMMYFUNCTION("""COMPUTED_VALUE"""),"VALID")</f>
        <v>VALID</v>
      </c>
      <c r="V1802" s="1">
        <f>IFERROR(__xludf.DUMMYFUNCTION("""COMPUTED_VALUE"""),562.0)</f>
        <v>562</v>
      </c>
      <c r="W1802" s="1">
        <f>IFERROR(__xludf.DUMMYFUNCTION("""COMPUTED_VALUE"""),895.0)</f>
        <v>895</v>
      </c>
      <c r="X1802" s="1">
        <f>IFERROR(__xludf.DUMMYFUNCTION("""COMPUTED_VALUE"""),731.0)</f>
        <v>731</v>
      </c>
      <c r="Y1802" s="2"/>
      <c r="Z1802" s="2"/>
    </row>
    <row r="1803">
      <c r="A1803" s="1">
        <f>IFERROR(__xludf.DUMMYFUNCTION("""COMPUTED_VALUE"""),1802.0)</f>
        <v>1802</v>
      </c>
      <c r="B1803" s="1">
        <f>IFERROR(__xludf.DUMMYFUNCTION("""COMPUTED_VALUE"""),5247.0)</f>
        <v>5247</v>
      </c>
      <c r="C1803" s="2" t="str">
        <f>IFERROR(__xludf.DUMMYFUNCTION("""COMPUTED_VALUE"""),"Fitrizal SnB")</f>
        <v>Fitrizal SnB</v>
      </c>
      <c r="D1803" s="2" t="str">
        <f>IFERROR(__xludf.DUMMYFUNCTION("""COMPUTED_VALUE"""),"5KM OVERALL M")</f>
        <v>5KM OVERALL M</v>
      </c>
      <c r="E1803" s="1">
        <f>IFERROR(__xludf.DUMMYFUNCTION("""COMPUTED_VALUE"""),2.0)</f>
        <v>2</v>
      </c>
      <c r="F1803" s="1" t="str">
        <f>IFERROR(__xludf.DUMMYFUNCTION("""COMPUTED_VALUE"""),"Male")</f>
        <v>Male</v>
      </c>
      <c r="G1803" s="4" t="b">
        <f>IFERROR(__xludf.DUMMYFUNCTION("""COMPUTED_VALUE"""),TRUE)</f>
        <v>1</v>
      </c>
      <c r="H1803" s="4" t="b">
        <f>IFERROR(__xludf.DUMMYFUNCTION("""COMPUTED_VALUE"""),TRUE)</f>
        <v>1</v>
      </c>
      <c r="I1803" s="4">
        <f>IFERROR(__xludf.DUMMYFUNCTION("""COMPUTED_VALUE"""),0.2549440625)</f>
        <v>0.2549440625</v>
      </c>
      <c r="J1803" s="4">
        <f>IFERROR(__xludf.DUMMYFUNCTION("""COMPUTED_VALUE"""),45949.276269755195)</f>
        <v>45949.27627</v>
      </c>
      <c r="K1803" s="4" t="str">
        <f>IFERROR(__xludf.DUMMYFUNCTION("""COMPUTED_VALUE"""),"")</f>
        <v/>
      </c>
      <c r="L1803" s="4">
        <f>IFERROR(__xludf.DUMMYFUNCTION("""COMPUTED_VALUE"""),45949.289789774564)</f>
        <v>45949.28979</v>
      </c>
      <c r="M1803" s="1" t="str">
        <f>IFERROR(__xludf.DUMMYFUNCTION("""COMPUTED_VALUE"""),"RFID")</f>
        <v>RFID</v>
      </c>
      <c r="N1803" s="5">
        <f>IFERROR(__xludf.DUMMYFUNCTION("""COMPUTED_VALUE"""),0.008530277777777779)</f>
        <v>0.008530277778</v>
      </c>
      <c r="O1803" s="5" t="str">
        <f>IFERROR(__xludf.DUMMYFUNCTION("""COMPUTED_VALUE"""),"")</f>
        <v/>
      </c>
      <c r="P1803" s="5" t="str">
        <f>IFERROR(__xludf.DUMMYFUNCTION("""COMPUTED_VALUE"""),"")</f>
        <v/>
      </c>
      <c r="Q1803" s="5">
        <f>IFERROR(__xludf.DUMMYFUNCTION("""COMPUTED_VALUE"""),0.006969143518518519)</f>
        <v>0.006969143519</v>
      </c>
      <c r="R1803" s="4">
        <f>IFERROR(__xludf.DUMMYFUNCTION("""COMPUTED_VALUE"""),45949.03484571206)</f>
        <v>45949.03485</v>
      </c>
      <c r="S1803" s="1" t="b">
        <f>IFERROR(__xludf.DUMMYFUNCTION("""COMPUTED_VALUE"""),TRUE)</f>
        <v>1</v>
      </c>
      <c r="T1803" s="1" t="b">
        <f>IFERROR(__xludf.DUMMYFUNCTION("""COMPUTED_VALUE"""),FALSE)</f>
        <v>0</v>
      </c>
      <c r="U1803" s="1" t="str">
        <f>IFERROR(__xludf.DUMMYFUNCTION("""COMPUTED_VALUE"""),"VALID")</f>
        <v>VALID</v>
      </c>
      <c r="V1803" s="1">
        <f>IFERROR(__xludf.DUMMYFUNCTION("""COMPUTED_VALUE"""),555.0)</f>
        <v>555</v>
      </c>
      <c r="W1803" s="1">
        <f>IFERROR(__xludf.DUMMYFUNCTION("""COMPUTED_VALUE"""),880.0)</f>
        <v>880</v>
      </c>
      <c r="X1803" s="1">
        <f>IFERROR(__xludf.DUMMYFUNCTION("""COMPUTED_VALUE"""),716.0)</f>
        <v>716</v>
      </c>
      <c r="Y1803" s="2"/>
      <c r="Z1803" s="2"/>
    </row>
    <row r="1804">
      <c r="A1804" s="1">
        <f>IFERROR(__xludf.DUMMYFUNCTION("""COMPUTED_VALUE"""),1803.0)</f>
        <v>1803</v>
      </c>
      <c r="B1804" s="1">
        <f>IFERROR(__xludf.DUMMYFUNCTION("""COMPUTED_VALUE"""),5248.0)</f>
        <v>5248</v>
      </c>
      <c r="C1804" s="2" t="str">
        <f>IFERROR(__xludf.DUMMYFUNCTION("""COMPUTED_VALUE"""),"Edo A C")</f>
        <v>Edo A C</v>
      </c>
      <c r="D1804" s="2" t="str">
        <f>IFERROR(__xludf.DUMMYFUNCTION("""COMPUTED_VALUE"""),"5KM OVERALL M")</f>
        <v>5KM OVERALL M</v>
      </c>
      <c r="E1804" s="1">
        <f>IFERROR(__xludf.DUMMYFUNCTION("""COMPUTED_VALUE"""),2.0)</f>
        <v>2</v>
      </c>
      <c r="F1804" s="1" t="str">
        <f>IFERROR(__xludf.DUMMYFUNCTION("""COMPUTED_VALUE"""),"Male")</f>
        <v>Male</v>
      </c>
      <c r="G1804" s="4" t="b">
        <f>IFERROR(__xludf.DUMMYFUNCTION("""COMPUTED_VALUE"""),TRUE)</f>
        <v>1</v>
      </c>
      <c r="H1804" s="4" t="b">
        <f>IFERROR(__xludf.DUMMYFUNCTION("""COMPUTED_VALUE"""),TRUE)</f>
        <v>1</v>
      </c>
      <c r="I1804" s="4">
        <f>IFERROR(__xludf.DUMMYFUNCTION("""COMPUTED_VALUE"""),0.2549440625)</f>
        <v>0.2549440625</v>
      </c>
      <c r="J1804" s="4">
        <f>IFERROR(__xludf.DUMMYFUNCTION("""COMPUTED_VALUE"""),45949.270047583035)</f>
        <v>45949.27005</v>
      </c>
      <c r="K1804" s="4" t="str">
        <f>IFERROR(__xludf.DUMMYFUNCTION("""COMPUTED_VALUE"""),"")</f>
        <v/>
      </c>
      <c r="L1804" s="4">
        <f>IFERROR(__xludf.DUMMYFUNCTION("""COMPUTED_VALUE"""),45949.28327933785)</f>
        <v>45949.28328</v>
      </c>
      <c r="M1804" s="1" t="str">
        <f>IFERROR(__xludf.DUMMYFUNCTION("""COMPUTED_VALUE"""),"RFID")</f>
        <v>RFID</v>
      </c>
      <c r="N1804" s="5">
        <f>IFERROR(__xludf.DUMMYFUNCTION("""COMPUTED_VALUE"""),0.006041407407407407)</f>
        <v>0.006041407407</v>
      </c>
      <c r="O1804" s="5" t="str">
        <f>IFERROR(__xludf.DUMMYFUNCTION("""COMPUTED_VALUE"""),"")</f>
        <v/>
      </c>
      <c r="P1804" s="5" t="str">
        <f>IFERROR(__xludf.DUMMYFUNCTION("""COMPUTED_VALUE"""),"")</f>
        <v/>
      </c>
      <c r="Q1804" s="5">
        <f>IFERROR(__xludf.DUMMYFUNCTION("""COMPUTED_VALUE"""),0.005667055555555555)</f>
        <v>0.005667055556</v>
      </c>
      <c r="R1804" s="4">
        <f>IFERROR(__xludf.DUMMYFUNCTION("""COMPUTED_VALUE"""),45949.02833527535)</f>
        <v>45949.02834</v>
      </c>
      <c r="S1804" s="1" t="b">
        <f>IFERROR(__xludf.DUMMYFUNCTION("""COMPUTED_VALUE"""),TRUE)</f>
        <v>1</v>
      </c>
      <c r="T1804" s="1" t="b">
        <f>IFERROR(__xludf.DUMMYFUNCTION("""COMPUTED_VALUE"""),FALSE)</f>
        <v>0</v>
      </c>
      <c r="U1804" s="1" t="str">
        <f>IFERROR(__xludf.DUMMYFUNCTION("""COMPUTED_VALUE"""),"VALID")</f>
        <v>VALID</v>
      </c>
      <c r="V1804" s="1">
        <f>IFERROR(__xludf.DUMMYFUNCTION("""COMPUTED_VALUE"""),301.0)</f>
        <v>301</v>
      </c>
      <c r="W1804" s="1">
        <f>IFERROR(__xludf.DUMMYFUNCTION("""COMPUTED_VALUE"""),451.0)</f>
        <v>451</v>
      </c>
      <c r="X1804" s="1">
        <f>IFERROR(__xludf.DUMMYFUNCTION("""COMPUTED_VALUE"""),390.0)</f>
        <v>390</v>
      </c>
      <c r="Y1804" s="2"/>
      <c r="Z1804" s="2"/>
    </row>
    <row r="1805">
      <c r="A1805" s="1">
        <f>IFERROR(__xludf.DUMMYFUNCTION("""COMPUTED_VALUE"""),1804.0)</f>
        <v>1804</v>
      </c>
      <c r="B1805" s="1">
        <f>IFERROR(__xludf.DUMMYFUNCTION("""COMPUTED_VALUE"""),5251.0)</f>
        <v>5251</v>
      </c>
      <c r="C1805" s="2" t="str">
        <f>IFERROR(__xludf.DUMMYFUNCTION("""COMPUTED_VALUE"""),"RESKHI")</f>
        <v>RESKHI</v>
      </c>
      <c r="D1805" s="2" t="str">
        <f>IFERROR(__xludf.DUMMYFUNCTION("""COMPUTED_VALUE"""),"5KM OVERALL M")</f>
        <v>5KM OVERALL M</v>
      </c>
      <c r="E1805" s="1">
        <f>IFERROR(__xludf.DUMMYFUNCTION("""COMPUTED_VALUE"""),2.0)</f>
        <v>2</v>
      </c>
      <c r="F1805" s="1" t="str">
        <f>IFERROR(__xludf.DUMMYFUNCTION("""COMPUTED_VALUE"""),"Male")</f>
        <v>Male</v>
      </c>
      <c r="G1805" s="4" t="b">
        <f>IFERROR(__xludf.DUMMYFUNCTION("""COMPUTED_VALUE"""),TRUE)</f>
        <v>1</v>
      </c>
      <c r="H1805" s="4" t="b">
        <f>IFERROR(__xludf.DUMMYFUNCTION("""COMPUTED_VALUE"""),FALSE)</f>
        <v>0</v>
      </c>
      <c r="I1805" s="4">
        <f>IFERROR(__xludf.DUMMYFUNCTION("""COMPUTED_VALUE"""),0.2549440625)</f>
        <v>0.2549440625</v>
      </c>
      <c r="J1805" s="4">
        <f>IFERROR(__xludf.DUMMYFUNCTION("""COMPUTED_VALUE"""),45949.27668648415)</f>
        <v>45949.27669</v>
      </c>
      <c r="K1805" s="4" t="str">
        <f>IFERROR(__xludf.DUMMYFUNCTION("""COMPUTED_VALUE"""),"")</f>
        <v/>
      </c>
      <c r="L1805" s="4">
        <f>IFERROR(__xludf.DUMMYFUNCTION("""COMPUTED_VALUE"""),45949.290810587)</f>
        <v>45949.29081</v>
      </c>
      <c r="M1805" s="1" t="str">
        <f>IFERROR(__xludf.DUMMYFUNCTION("""COMPUTED_VALUE"""),"RFID")</f>
        <v>RFID</v>
      </c>
      <c r="N1805" s="5">
        <f>IFERROR(__xludf.DUMMYFUNCTION("""COMPUTED_VALUE"""),0.008696967592592593)</f>
        <v>0.008696967593</v>
      </c>
      <c r="O1805" s="5" t="str">
        <f>IFERROR(__xludf.DUMMYFUNCTION("""COMPUTED_VALUE"""),"")</f>
        <v/>
      </c>
      <c r="P1805" s="5" t="str">
        <f>IFERROR(__xludf.DUMMYFUNCTION("""COMPUTED_VALUE"""),"")</f>
        <v/>
      </c>
      <c r="Q1805" s="5">
        <f>IFERROR(__xludf.DUMMYFUNCTION("""COMPUTED_VALUE"""),0.007173305555555555)</f>
        <v>0.007173305556</v>
      </c>
      <c r="R1805" s="4">
        <f>IFERROR(__xludf.DUMMYFUNCTION("""COMPUTED_VALUE"""),45949.0358665245)</f>
        <v>45949.03587</v>
      </c>
      <c r="S1805" s="1" t="b">
        <f>IFERROR(__xludf.DUMMYFUNCTION("""COMPUTED_VALUE"""),TRUE)</f>
        <v>1</v>
      </c>
      <c r="T1805" s="1" t="b">
        <f>IFERROR(__xludf.DUMMYFUNCTION("""COMPUTED_VALUE"""),FALSE)</f>
        <v>0</v>
      </c>
      <c r="U1805" s="1" t="str">
        <f>IFERROR(__xludf.DUMMYFUNCTION("""COMPUTED_VALUE"""),"VALID")</f>
        <v>VALID</v>
      </c>
      <c r="V1805" s="1">
        <f>IFERROR(__xludf.DUMMYFUNCTION("""COMPUTED_VALUE"""),591.0)</f>
        <v>591</v>
      </c>
      <c r="W1805" s="1">
        <f>IFERROR(__xludf.DUMMYFUNCTION("""COMPUTED_VALUE"""),950.0)</f>
        <v>950</v>
      </c>
      <c r="X1805" s="1">
        <f>IFERROR(__xludf.DUMMYFUNCTION("""COMPUTED_VALUE"""),773.0)</f>
        <v>773</v>
      </c>
      <c r="Y1805" s="2"/>
      <c r="Z1805" s="2"/>
    </row>
    <row r="1806">
      <c r="A1806" s="1">
        <f>IFERROR(__xludf.DUMMYFUNCTION("""COMPUTED_VALUE"""),1805.0)</f>
        <v>1805</v>
      </c>
      <c r="B1806" s="1">
        <f>IFERROR(__xludf.DUMMYFUNCTION("""COMPUTED_VALUE"""),5252.0)</f>
        <v>5252</v>
      </c>
      <c r="C1806" s="2" t="str">
        <f>IFERROR(__xludf.DUMMYFUNCTION("""COMPUTED_VALUE"""),"Riswanda Imawan")</f>
        <v>Riswanda Imawan</v>
      </c>
      <c r="D1806" s="2" t="str">
        <f>IFERROR(__xludf.DUMMYFUNCTION("""COMPUTED_VALUE"""),"5KM OVERALL M")</f>
        <v>5KM OVERALL M</v>
      </c>
      <c r="E1806" s="1">
        <f>IFERROR(__xludf.DUMMYFUNCTION("""COMPUTED_VALUE"""),2.0)</f>
        <v>2</v>
      </c>
      <c r="F1806" s="1" t="str">
        <f>IFERROR(__xludf.DUMMYFUNCTION("""COMPUTED_VALUE"""),"Male")</f>
        <v>Male</v>
      </c>
      <c r="G1806" s="4" t="b">
        <f>IFERROR(__xludf.DUMMYFUNCTION("""COMPUTED_VALUE"""),TRUE)</f>
        <v>1</v>
      </c>
      <c r="H1806" s="4" t="b">
        <f>IFERROR(__xludf.DUMMYFUNCTION("""COMPUTED_VALUE"""),TRUE)</f>
        <v>1</v>
      </c>
      <c r="I1806" s="4">
        <f>IFERROR(__xludf.DUMMYFUNCTION("""COMPUTED_VALUE"""),0.2549440625)</f>
        <v>0.2549440625</v>
      </c>
      <c r="J1806" s="4">
        <f>IFERROR(__xludf.DUMMYFUNCTION("""COMPUTED_VALUE"""),45949.26385017772)</f>
        <v>45949.26385</v>
      </c>
      <c r="K1806" s="4" t="str">
        <f>IFERROR(__xludf.DUMMYFUNCTION("""COMPUTED_VALUE"""),"")</f>
        <v/>
      </c>
      <c r="L1806" s="4">
        <f>IFERROR(__xludf.DUMMYFUNCTION("""COMPUTED_VALUE"""),45949.273237680725)</f>
        <v>45949.27324</v>
      </c>
      <c r="M1806" s="1" t="str">
        <f>IFERROR(__xludf.DUMMYFUNCTION("""COMPUTED_VALUE"""),"RFID")</f>
        <v>RFID</v>
      </c>
      <c r="N1806" s="5">
        <f>IFERROR(__xludf.DUMMYFUNCTION("""COMPUTED_VALUE"""),0.0035624444444444445)</f>
        <v>0.003562444444</v>
      </c>
      <c r="O1806" s="5" t="str">
        <f>IFERROR(__xludf.DUMMYFUNCTION("""COMPUTED_VALUE"""),"")</f>
        <v/>
      </c>
      <c r="P1806" s="5" t="str">
        <f>IFERROR(__xludf.DUMMYFUNCTION("""COMPUTED_VALUE"""),"")</f>
        <v/>
      </c>
      <c r="Q1806" s="5">
        <f>IFERROR(__xludf.DUMMYFUNCTION("""COMPUTED_VALUE"""),0.003658724537037037)</f>
        <v>0.003658724537</v>
      </c>
      <c r="R1806" s="4">
        <f>IFERROR(__xludf.DUMMYFUNCTION("""COMPUTED_VALUE"""),45949.018293618225)</f>
        <v>45949.01829</v>
      </c>
      <c r="S1806" s="1" t="b">
        <f>IFERROR(__xludf.DUMMYFUNCTION("""COMPUTED_VALUE"""),TRUE)</f>
        <v>1</v>
      </c>
      <c r="T1806" s="1" t="b">
        <f>IFERROR(__xludf.DUMMYFUNCTION("""COMPUTED_VALUE"""),FALSE)</f>
        <v>0</v>
      </c>
      <c r="U1806" s="1" t="str">
        <f>IFERROR(__xludf.DUMMYFUNCTION("""COMPUTED_VALUE"""),"VALID")</f>
        <v>VALID</v>
      </c>
      <c r="V1806" s="1">
        <f>IFERROR(__xludf.DUMMYFUNCTION("""COMPUTED_VALUE"""),41.0)</f>
        <v>41</v>
      </c>
      <c r="W1806" s="1">
        <f>IFERROR(__xludf.DUMMYFUNCTION("""COMPUTED_VALUE"""),63.0)</f>
        <v>63</v>
      </c>
      <c r="X1806" s="1">
        <f>IFERROR(__xludf.DUMMYFUNCTION("""COMPUTED_VALUE"""),58.0)</f>
        <v>58</v>
      </c>
      <c r="Y1806" s="2"/>
      <c r="Z1806" s="2"/>
    </row>
    <row r="1807">
      <c r="A1807" s="1">
        <f>IFERROR(__xludf.DUMMYFUNCTION("""COMPUTED_VALUE"""),1806.0)</f>
        <v>1806</v>
      </c>
      <c r="B1807" s="1">
        <f>IFERROR(__xludf.DUMMYFUNCTION("""COMPUTED_VALUE"""),5253.0)</f>
        <v>5253</v>
      </c>
      <c r="C1807" s="2" t="str">
        <f>IFERROR(__xludf.DUMMYFUNCTION("""COMPUTED_VALUE"""),"Fadli H")</f>
        <v>Fadli H</v>
      </c>
      <c r="D1807" s="2" t="str">
        <f>IFERROR(__xludf.DUMMYFUNCTION("""COMPUTED_VALUE"""),"5KM OVERALL M")</f>
        <v>5KM OVERALL M</v>
      </c>
      <c r="E1807" s="1">
        <f>IFERROR(__xludf.DUMMYFUNCTION("""COMPUTED_VALUE"""),2.0)</f>
        <v>2</v>
      </c>
      <c r="F1807" s="1" t="str">
        <f>IFERROR(__xludf.DUMMYFUNCTION("""COMPUTED_VALUE"""),"Male")</f>
        <v>Male</v>
      </c>
      <c r="G1807" s="4" t="b">
        <f>IFERROR(__xludf.DUMMYFUNCTION("""COMPUTED_VALUE"""),TRUE)</f>
        <v>1</v>
      </c>
      <c r="H1807" s="4" t="b">
        <f>IFERROR(__xludf.DUMMYFUNCTION("""COMPUTED_VALUE"""),TRUE)</f>
        <v>1</v>
      </c>
      <c r="I1807" s="4">
        <f>IFERROR(__xludf.DUMMYFUNCTION("""COMPUTED_VALUE"""),0.2549440625)</f>
        <v>0.2549440625</v>
      </c>
      <c r="J1807" s="4">
        <f>IFERROR(__xludf.DUMMYFUNCTION("""COMPUTED_VALUE"""),45949.26459271343)</f>
        <v>45949.26459</v>
      </c>
      <c r="K1807" s="4" t="str">
        <f>IFERROR(__xludf.DUMMYFUNCTION("""COMPUTED_VALUE"""),"")</f>
        <v/>
      </c>
      <c r="L1807" s="4">
        <f>IFERROR(__xludf.DUMMYFUNCTION("""COMPUTED_VALUE"""),45949.27227240829)</f>
        <v>45949.27227</v>
      </c>
      <c r="M1807" s="1" t="str">
        <f>IFERROR(__xludf.DUMMYFUNCTION("""COMPUTED_VALUE"""),"RFID")</f>
        <v>RFID</v>
      </c>
      <c r="N1807" s="5">
        <f>IFERROR(__xludf.DUMMYFUNCTION("""COMPUTED_VALUE"""),0.0038594583333333337)</f>
        <v>0.003859458333</v>
      </c>
      <c r="O1807" s="5" t="str">
        <f>IFERROR(__xludf.DUMMYFUNCTION("""COMPUTED_VALUE"""),"")</f>
        <v/>
      </c>
      <c r="P1807" s="5" t="str">
        <f>IFERROR(__xludf.DUMMYFUNCTION("""COMPUTED_VALUE"""),"")</f>
        <v/>
      </c>
      <c r="Q1807" s="5">
        <f>IFERROR(__xludf.DUMMYFUNCTION("""COMPUTED_VALUE"""),0.003465668981481482)</f>
        <v>0.003465668981</v>
      </c>
      <c r="R1807" s="4">
        <f>IFERROR(__xludf.DUMMYFUNCTION("""COMPUTED_VALUE"""),45949.01732834579)</f>
        <v>45949.01733</v>
      </c>
      <c r="S1807" s="1" t="b">
        <f>IFERROR(__xludf.DUMMYFUNCTION("""COMPUTED_VALUE"""),TRUE)</f>
        <v>1</v>
      </c>
      <c r="T1807" s="1" t="b">
        <f>IFERROR(__xludf.DUMMYFUNCTION("""COMPUTED_VALUE"""),FALSE)</f>
        <v>0</v>
      </c>
      <c r="U1807" s="1" t="str">
        <f>IFERROR(__xludf.DUMMYFUNCTION("""COMPUTED_VALUE"""),"VALID")</f>
        <v>VALID</v>
      </c>
      <c r="V1807" s="1">
        <f>IFERROR(__xludf.DUMMYFUNCTION("""COMPUTED_VALUE"""),27.0)</f>
        <v>27</v>
      </c>
      <c r="W1807" s="1">
        <f>IFERROR(__xludf.DUMMYFUNCTION("""COMPUTED_VALUE"""),40.0)</f>
        <v>40</v>
      </c>
      <c r="X1807" s="1">
        <f>IFERROR(__xludf.DUMMYFUNCTION("""COMPUTED_VALUE"""),39.0)</f>
        <v>39</v>
      </c>
      <c r="Y1807" s="2"/>
      <c r="Z1807" s="2"/>
    </row>
    <row r="1808">
      <c r="A1808" s="1">
        <f>IFERROR(__xludf.DUMMYFUNCTION("""COMPUTED_VALUE"""),1807.0)</f>
        <v>1807</v>
      </c>
      <c r="B1808" s="1">
        <f>IFERROR(__xludf.DUMMYFUNCTION("""COMPUTED_VALUE"""),5255.0)</f>
        <v>5255</v>
      </c>
      <c r="C1808" s="2" t="str">
        <f>IFERROR(__xludf.DUMMYFUNCTION("""COMPUTED_VALUE"""),"rhl")</f>
        <v>rhl</v>
      </c>
      <c r="D1808" s="2" t="str">
        <f>IFERROR(__xludf.DUMMYFUNCTION("""COMPUTED_VALUE"""),"5KM OVERALL M")</f>
        <v>5KM OVERALL M</v>
      </c>
      <c r="E1808" s="1">
        <f>IFERROR(__xludf.DUMMYFUNCTION("""COMPUTED_VALUE"""),2.0)</f>
        <v>2</v>
      </c>
      <c r="F1808" s="1" t="str">
        <f>IFERROR(__xludf.DUMMYFUNCTION("""COMPUTED_VALUE"""),"Male")</f>
        <v>Male</v>
      </c>
      <c r="G1808" s="4" t="b">
        <f>IFERROR(__xludf.DUMMYFUNCTION("""COMPUTED_VALUE"""),TRUE)</f>
        <v>1</v>
      </c>
      <c r="H1808" s="4" t="b">
        <f>IFERROR(__xludf.DUMMYFUNCTION("""COMPUTED_VALUE"""),FALSE)</f>
        <v>0</v>
      </c>
      <c r="I1808" s="4">
        <f>IFERROR(__xludf.DUMMYFUNCTION("""COMPUTED_VALUE"""),0.2549440625)</f>
        <v>0.2549440625</v>
      </c>
      <c r="J1808" s="4">
        <f>IFERROR(__xludf.DUMMYFUNCTION("""COMPUTED_VALUE"""),45949.27223154844)</f>
        <v>45949.27223</v>
      </c>
      <c r="K1808" s="4" t="str">
        <f>IFERROR(__xludf.DUMMYFUNCTION("""COMPUTED_VALUE"""),"")</f>
        <v/>
      </c>
      <c r="L1808" s="4">
        <f>IFERROR(__xludf.DUMMYFUNCTION("""COMPUTED_VALUE"""),45949.2827168353)</f>
        <v>45949.28272</v>
      </c>
      <c r="M1808" s="1" t="str">
        <f>IFERROR(__xludf.DUMMYFUNCTION("""COMPUTED_VALUE"""),"RFID")</f>
        <v>RFID</v>
      </c>
      <c r="N1808" s="5">
        <f>IFERROR(__xludf.DUMMYFUNCTION("""COMPUTED_VALUE"""),0.006914995370370369)</f>
        <v>0.00691499537</v>
      </c>
      <c r="O1808" s="5" t="str">
        <f>IFERROR(__xludf.DUMMYFUNCTION("""COMPUTED_VALUE"""),"")</f>
        <v/>
      </c>
      <c r="P1808" s="5" t="str">
        <f>IFERROR(__xludf.DUMMYFUNCTION("""COMPUTED_VALUE"""),"")</f>
        <v/>
      </c>
      <c r="Q1808" s="5">
        <f>IFERROR(__xludf.DUMMYFUNCTION("""COMPUTED_VALUE"""),0.0055545555555555565)</f>
        <v>0.005554555556</v>
      </c>
      <c r="R1808" s="4">
        <f>IFERROR(__xludf.DUMMYFUNCTION("""COMPUTED_VALUE"""),45949.0277727728)</f>
        <v>45949.02777</v>
      </c>
      <c r="S1808" s="1" t="b">
        <f>IFERROR(__xludf.DUMMYFUNCTION("""COMPUTED_VALUE"""),TRUE)</f>
        <v>1</v>
      </c>
      <c r="T1808" s="1" t="b">
        <f>IFERROR(__xludf.DUMMYFUNCTION("""COMPUTED_VALUE"""),FALSE)</f>
        <v>0</v>
      </c>
      <c r="U1808" s="1" t="str">
        <f>IFERROR(__xludf.DUMMYFUNCTION("""COMPUTED_VALUE"""),"VALID")</f>
        <v>VALID</v>
      </c>
      <c r="V1808" s="1">
        <f>IFERROR(__xludf.DUMMYFUNCTION("""COMPUTED_VALUE"""),276.0)</f>
        <v>276</v>
      </c>
      <c r="W1808" s="1">
        <f>IFERROR(__xludf.DUMMYFUNCTION("""COMPUTED_VALUE"""),418.0)</f>
        <v>418</v>
      </c>
      <c r="X1808" s="1">
        <f>IFERROR(__xludf.DUMMYFUNCTION("""COMPUTED_VALUE"""),362.0)</f>
        <v>362</v>
      </c>
      <c r="Y1808" s="2"/>
      <c r="Z1808" s="2"/>
    </row>
    <row r="1809">
      <c r="A1809" s="1">
        <f>IFERROR(__xludf.DUMMYFUNCTION("""COMPUTED_VALUE"""),1808.0)</f>
        <v>1808</v>
      </c>
      <c r="B1809" s="1">
        <f>IFERROR(__xludf.DUMMYFUNCTION("""COMPUTED_VALUE"""),5259.0)</f>
        <v>5259</v>
      </c>
      <c r="C1809" s="2" t="str">
        <f>IFERROR(__xludf.DUMMYFUNCTION("""COMPUTED_VALUE"""),"Baihaqi")</f>
        <v>Baihaqi</v>
      </c>
      <c r="D1809" s="2" t="str">
        <f>IFERROR(__xludf.DUMMYFUNCTION("""COMPUTED_VALUE"""),"5KM OVERALL M")</f>
        <v>5KM OVERALL M</v>
      </c>
      <c r="E1809" s="1">
        <f>IFERROR(__xludf.DUMMYFUNCTION("""COMPUTED_VALUE"""),2.0)</f>
        <v>2</v>
      </c>
      <c r="F1809" s="1" t="str">
        <f>IFERROR(__xludf.DUMMYFUNCTION("""COMPUTED_VALUE"""),"Male")</f>
        <v>Male</v>
      </c>
      <c r="G1809" s="4" t="b">
        <f>IFERROR(__xludf.DUMMYFUNCTION("""COMPUTED_VALUE"""),TRUE)</f>
        <v>1</v>
      </c>
      <c r="H1809" s="4" t="b">
        <f>IFERROR(__xludf.DUMMYFUNCTION("""COMPUTED_VALUE"""),TRUE)</f>
        <v>1</v>
      </c>
      <c r="I1809" s="4">
        <f>IFERROR(__xludf.DUMMYFUNCTION("""COMPUTED_VALUE"""),0.2549440625)</f>
        <v>0.2549440625</v>
      </c>
      <c r="J1809" s="4">
        <f>IFERROR(__xludf.DUMMYFUNCTION("""COMPUTED_VALUE"""),45949.271547533004)</f>
        <v>45949.27155</v>
      </c>
      <c r="K1809" s="4" t="str">
        <f>IFERROR(__xludf.DUMMYFUNCTION("""COMPUTED_VALUE"""),"")</f>
        <v/>
      </c>
      <c r="L1809" s="4">
        <f>IFERROR(__xludf.DUMMYFUNCTION("""COMPUTED_VALUE"""),45949.2820362872)</f>
        <v>45949.28204</v>
      </c>
      <c r="M1809" s="1" t="str">
        <f>IFERROR(__xludf.DUMMYFUNCTION("""COMPUTED_VALUE"""),"RFID")</f>
        <v>RFID</v>
      </c>
      <c r="N1809" s="5">
        <f>IFERROR(__xludf.DUMMYFUNCTION("""COMPUTED_VALUE"""),0.0066413888888888885)</f>
        <v>0.006641388889</v>
      </c>
      <c r="O1809" s="5" t="str">
        <f>IFERROR(__xludf.DUMMYFUNCTION("""COMPUTED_VALUE"""),"")</f>
        <v/>
      </c>
      <c r="P1809" s="5" t="str">
        <f>IFERROR(__xludf.DUMMYFUNCTION("""COMPUTED_VALUE"""),"")</f>
        <v/>
      </c>
      <c r="Q1809" s="5">
        <f>IFERROR(__xludf.DUMMYFUNCTION("""COMPUTED_VALUE"""),0.0054184444444444445)</f>
        <v>0.005418444444</v>
      </c>
      <c r="R1809" s="4">
        <f>IFERROR(__xludf.DUMMYFUNCTION("""COMPUTED_VALUE"""),45949.0270922247)</f>
        <v>45949.02709</v>
      </c>
      <c r="S1809" s="1" t="b">
        <f>IFERROR(__xludf.DUMMYFUNCTION("""COMPUTED_VALUE"""),TRUE)</f>
        <v>1</v>
      </c>
      <c r="T1809" s="1" t="b">
        <f>IFERROR(__xludf.DUMMYFUNCTION("""COMPUTED_VALUE"""),FALSE)</f>
        <v>0</v>
      </c>
      <c r="U1809" s="1" t="str">
        <f>IFERROR(__xludf.DUMMYFUNCTION("""COMPUTED_VALUE"""),"VALID")</f>
        <v>VALID</v>
      </c>
      <c r="V1809" s="1">
        <f>IFERROR(__xludf.DUMMYFUNCTION("""COMPUTED_VALUE"""),254.0)</f>
        <v>254</v>
      </c>
      <c r="W1809" s="1">
        <f>IFERROR(__xludf.DUMMYFUNCTION("""COMPUTED_VALUE"""),390.0)</f>
        <v>390</v>
      </c>
      <c r="X1809" s="1">
        <f>IFERROR(__xludf.DUMMYFUNCTION("""COMPUTED_VALUE"""),337.0)</f>
        <v>337</v>
      </c>
      <c r="Y1809" s="2"/>
      <c r="Z1809" s="2"/>
    </row>
    <row r="1810">
      <c r="A1810" s="1">
        <f>IFERROR(__xludf.DUMMYFUNCTION("""COMPUTED_VALUE"""),1809.0)</f>
        <v>1809</v>
      </c>
      <c r="B1810" s="1">
        <f>IFERROR(__xludf.DUMMYFUNCTION("""COMPUTED_VALUE"""),5260.0)</f>
        <v>5260</v>
      </c>
      <c r="C1810" s="2" t="str">
        <f>IFERROR(__xludf.DUMMYFUNCTION("""COMPUTED_VALUE"""),"Fajar")</f>
        <v>Fajar</v>
      </c>
      <c r="D1810" s="2" t="str">
        <f>IFERROR(__xludf.DUMMYFUNCTION("""COMPUTED_VALUE"""),"5KM OVERALL M")</f>
        <v>5KM OVERALL M</v>
      </c>
      <c r="E1810" s="1">
        <f>IFERROR(__xludf.DUMMYFUNCTION("""COMPUTED_VALUE"""),2.0)</f>
        <v>2</v>
      </c>
      <c r="F1810" s="1" t="str">
        <f>IFERROR(__xludf.DUMMYFUNCTION("""COMPUTED_VALUE"""),"Male")</f>
        <v>Male</v>
      </c>
      <c r="G1810" s="4" t="b">
        <f>IFERROR(__xludf.DUMMYFUNCTION("""COMPUTED_VALUE"""),TRUE)</f>
        <v>1</v>
      </c>
      <c r="H1810" s="4" t="b">
        <f>IFERROR(__xludf.DUMMYFUNCTION("""COMPUTED_VALUE"""),FALSE)</f>
        <v>0</v>
      </c>
      <c r="I1810" s="4">
        <f>IFERROR(__xludf.DUMMYFUNCTION("""COMPUTED_VALUE"""),0.2549440625)</f>
        <v>0.2549440625</v>
      </c>
      <c r="J1810" s="4">
        <f>IFERROR(__xludf.DUMMYFUNCTION("""COMPUTED_VALUE"""),45949.275620444976)</f>
        <v>45949.27562</v>
      </c>
      <c r="K1810" s="4" t="str">
        <f>IFERROR(__xludf.DUMMYFUNCTION("""COMPUTED_VALUE"""),"")</f>
        <v/>
      </c>
      <c r="L1810" s="4">
        <f>IFERROR(__xludf.DUMMYFUNCTION("""COMPUTED_VALUE"""),45949.29391471578)</f>
        <v>45949.29391</v>
      </c>
      <c r="M1810" s="1" t="str">
        <f>IFERROR(__xludf.DUMMYFUNCTION("""COMPUTED_VALUE"""),"RFID")</f>
        <v>RFID</v>
      </c>
      <c r="N1810" s="5">
        <f>IFERROR(__xludf.DUMMYFUNCTION("""COMPUTED_VALUE"""),0.008270550925925926)</f>
        <v>0.008270550926</v>
      </c>
      <c r="O1810" s="5" t="str">
        <f>IFERROR(__xludf.DUMMYFUNCTION("""COMPUTED_VALUE"""),"")</f>
        <v/>
      </c>
      <c r="P1810" s="5" t="str">
        <f>IFERROR(__xludf.DUMMYFUNCTION("""COMPUTED_VALUE"""),"")</f>
        <v/>
      </c>
      <c r="Q1810" s="5">
        <f>IFERROR(__xludf.DUMMYFUNCTION("""COMPUTED_VALUE"""),0.007794129629629628)</f>
        <v>0.00779412963</v>
      </c>
      <c r="R1810" s="4">
        <f>IFERROR(__xludf.DUMMYFUNCTION("""COMPUTED_VALUE"""),45949.03897065328)</f>
        <v>45949.03897</v>
      </c>
      <c r="S1810" s="1" t="b">
        <f>IFERROR(__xludf.DUMMYFUNCTION("""COMPUTED_VALUE"""),TRUE)</f>
        <v>1</v>
      </c>
      <c r="T1810" s="1" t="b">
        <f>IFERROR(__xludf.DUMMYFUNCTION("""COMPUTED_VALUE"""),FALSE)</f>
        <v>0</v>
      </c>
      <c r="U1810" s="1" t="str">
        <f>IFERROR(__xludf.DUMMYFUNCTION("""COMPUTED_VALUE"""),"VALID")</f>
        <v>VALID</v>
      </c>
      <c r="V1810" s="1">
        <f>IFERROR(__xludf.DUMMYFUNCTION("""COMPUTED_VALUE"""),683.0)</f>
        <v>683</v>
      </c>
      <c r="W1810" s="1">
        <f>IFERROR(__xludf.DUMMYFUNCTION("""COMPUTED_VALUE"""),1168.0)</f>
        <v>1168</v>
      </c>
      <c r="X1810" s="1">
        <f>IFERROR(__xludf.DUMMYFUNCTION("""COMPUTED_VALUE"""),925.0)</f>
        <v>925</v>
      </c>
      <c r="Y1810" s="2"/>
      <c r="Z1810" s="2"/>
    </row>
    <row r="1811">
      <c r="A1811" s="1">
        <f>IFERROR(__xludf.DUMMYFUNCTION("""COMPUTED_VALUE"""),1810.0)</f>
        <v>1810</v>
      </c>
      <c r="B1811" s="1">
        <f>IFERROR(__xludf.DUMMYFUNCTION("""COMPUTED_VALUE"""),5261.0)</f>
        <v>5261</v>
      </c>
      <c r="C1811" s="2" t="str">
        <f>IFERROR(__xludf.DUMMYFUNCTION("""COMPUTED_VALUE"""),"ANSYAR")</f>
        <v>ANSYAR</v>
      </c>
      <c r="D1811" s="2" t="str">
        <f>IFERROR(__xludf.DUMMYFUNCTION("""COMPUTED_VALUE"""),"5KM OVERALL M")</f>
        <v>5KM OVERALL M</v>
      </c>
      <c r="E1811" s="1">
        <f>IFERROR(__xludf.DUMMYFUNCTION("""COMPUTED_VALUE"""),2.0)</f>
        <v>2</v>
      </c>
      <c r="F1811" s="1" t="str">
        <f>IFERROR(__xludf.DUMMYFUNCTION("""COMPUTED_VALUE"""),"Male")</f>
        <v>Male</v>
      </c>
      <c r="G1811" s="4" t="b">
        <f>IFERROR(__xludf.DUMMYFUNCTION("""COMPUTED_VALUE"""),TRUE)</f>
        <v>1</v>
      </c>
      <c r="H1811" s="4" t="b">
        <f>IFERROR(__xludf.DUMMYFUNCTION("""COMPUTED_VALUE"""),FALSE)</f>
        <v>0</v>
      </c>
      <c r="I1811" s="4">
        <f>IFERROR(__xludf.DUMMYFUNCTION("""COMPUTED_VALUE"""),0.2549440625)</f>
        <v>0.2549440625</v>
      </c>
      <c r="J1811" s="4">
        <f>IFERROR(__xludf.DUMMYFUNCTION("""COMPUTED_VALUE"""),45949.272815464574)</f>
        <v>45949.27282</v>
      </c>
      <c r="K1811" s="4" t="str">
        <f>IFERROR(__xludf.DUMMYFUNCTION("""COMPUTED_VALUE"""),"")</f>
        <v/>
      </c>
      <c r="L1811" s="4">
        <f>IFERROR(__xludf.DUMMYFUNCTION("""COMPUTED_VALUE"""),45949.286150879234)</f>
        <v>45949.28615</v>
      </c>
      <c r="M1811" s="1" t="str">
        <f>IFERROR(__xludf.DUMMYFUNCTION("""COMPUTED_VALUE"""),"RFID")</f>
        <v>RFID</v>
      </c>
      <c r="N1811" s="5">
        <f>IFERROR(__xludf.DUMMYFUNCTION("""COMPUTED_VALUE"""),0.007148560185185185)</f>
        <v>0.007148560185</v>
      </c>
      <c r="O1811" s="5" t="str">
        <f>IFERROR(__xludf.DUMMYFUNCTION("""COMPUTED_VALUE"""),"")</f>
        <v/>
      </c>
      <c r="P1811" s="5" t="str">
        <f>IFERROR(__xludf.DUMMYFUNCTION("""COMPUTED_VALUE"""),"")</f>
        <v/>
      </c>
      <c r="Q1811" s="5">
        <f>IFERROR(__xludf.DUMMYFUNCTION("""COMPUTED_VALUE"""),0.006241363425925925)</f>
        <v>0.006241363426</v>
      </c>
      <c r="R1811" s="4">
        <f>IFERROR(__xludf.DUMMYFUNCTION("""COMPUTED_VALUE"""),45949.03120681673)</f>
        <v>45949.03121</v>
      </c>
      <c r="S1811" s="1" t="b">
        <f>IFERROR(__xludf.DUMMYFUNCTION("""COMPUTED_VALUE"""),TRUE)</f>
        <v>1</v>
      </c>
      <c r="T1811" s="1" t="b">
        <f>IFERROR(__xludf.DUMMYFUNCTION("""COMPUTED_VALUE"""),FALSE)</f>
        <v>0</v>
      </c>
      <c r="U1811" s="1" t="str">
        <f>IFERROR(__xludf.DUMMYFUNCTION("""COMPUTED_VALUE"""),"VALID")</f>
        <v>VALID</v>
      </c>
      <c r="V1811" s="1">
        <f>IFERROR(__xludf.DUMMYFUNCTION("""COMPUTED_VALUE"""),420.0)</f>
        <v>420</v>
      </c>
      <c r="W1811" s="1">
        <f>IFERROR(__xludf.DUMMYFUNCTION("""COMPUTED_VALUE"""),645.0)</f>
        <v>645</v>
      </c>
      <c r="X1811" s="1">
        <f>IFERROR(__xludf.DUMMYFUNCTION("""COMPUTED_VALUE"""),538.0)</f>
        <v>538</v>
      </c>
      <c r="Y1811" s="2"/>
      <c r="Z1811" s="2"/>
    </row>
    <row r="1812">
      <c r="A1812" s="1">
        <f>IFERROR(__xludf.DUMMYFUNCTION("""COMPUTED_VALUE"""),1811.0)</f>
        <v>1811</v>
      </c>
      <c r="B1812" s="1">
        <f>IFERROR(__xludf.DUMMYFUNCTION("""COMPUTED_VALUE"""),5263.0)</f>
        <v>5263</v>
      </c>
      <c r="C1812" s="2" t="str">
        <f>IFERROR(__xludf.DUMMYFUNCTION("""COMPUTED_VALUE"""),"dwiarywibowo")</f>
        <v>dwiarywibowo</v>
      </c>
      <c r="D1812" s="2" t="str">
        <f>IFERROR(__xludf.DUMMYFUNCTION("""COMPUTED_VALUE"""),"5KM OVERALL M")</f>
        <v>5KM OVERALL M</v>
      </c>
      <c r="E1812" s="1">
        <f>IFERROR(__xludf.DUMMYFUNCTION("""COMPUTED_VALUE"""),2.0)</f>
        <v>2</v>
      </c>
      <c r="F1812" s="1" t="str">
        <f>IFERROR(__xludf.DUMMYFUNCTION("""COMPUTED_VALUE"""),"Male")</f>
        <v>Male</v>
      </c>
      <c r="G1812" s="4" t="b">
        <f>IFERROR(__xludf.DUMMYFUNCTION("""COMPUTED_VALUE"""),TRUE)</f>
        <v>1</v>
      </c>
      <c r="H1812" s="4" t="b">
        <f>IFERROR(__xludf.DUMMYFUNCTION("""COMPUTED_VALUE"""),FALSE)</f>
        <v>0</v>
      </c>
      <c r="I1812" s="4">
        <f>IFERROR(__xludf.DUMMYFUNCTION("""COMPUTED_VALUE"""),0.2549440625)</f>
        <v>0.2549440625</v>
      </c>
      <c r="J1812" s="4" t="str">
        <f>IFERROR(__xludf.DUMMYFUNCTION("""COMPUTED_VALUE"""),"")</f>
        <v/>
      </c>
      <c r="K1812" s="4" t="str">
        <f>IFERROR(__xludf.DUMMYFUNCTION("""COMPUTED_VALUE"""),"")</f>
        <v/>
      </c>
      <c r="L1812" s="4">
        <f>IFERROR(__xludf.DUMMYFUNCTION("""COMPUTED_VALUE"""),45949.29222378663)</f>
        <v>45949.29222</v>
      </c>
      <c r="M1812" s="1" t="str">
        <f>IFERROR(__xludf.DUMMYFUNCTION("""COMPUTED_VALUE"""),"RFID")</f>
        <v>RFID</v>
      </c>
      <c r="N1812" s="5" t="str">
        <f>IFERROR(__xludf.DUMMYFUNCTION("""COMPUTED_VALUE"""),"")</f>
        <v/>
      </c>
      <c r="O1812" s="5" t="str">
        <f>IFERROR(__xludf.DUMMYFUNCTION("""COMPUTED_VALUE"""),"")</f>
        <v/>
      </c>
      <c r="P1812" s="5" t="str">
        <f>IFERROR(__xludf.DUMMYFUNCTION("""COMPUTED_VALUE"""),"")</f>
        <v/>
      </c>
      <c r="Q1812" s="5">
        <f>IFERROR(__xludf.DUMMYFUNCTION("""COMPUTED_VALUE"""),0.007455944444444444)</f>
        <v>0.007455944444</v>
      </c>
      <c r="R1812" s="4">
        <f>IFERROR(__xludf.DUMMYFUNCTION("""COMPUTED_VALUE"""),45949.03727972413)</f>
        <v>45949.03728</v>
      </c>
      <c r="S1812" s="1" t="b">
        <f>IFERROR(__xludf.DUMMYFUNCTION("""COMPUTED_VALUE"""),FALSE)</f>
        <v>0</v>
      </c>
      <c r="T1812" s="1" t="b">
        <f>IFERROR(__xludf.DUMMYFUNCTION("""COMPUTED_VALUE"""),FALSE)</f>
        <v>0</v>
      </c>
      <c r="U1812" s="1" t="str">
        <f>IFERROR(__xludf.DUMMYFUNCTION("""COMPUTED_VALUE"""),"DSQ")</f>
        <v>DSQ</v>
      </c>
      <c r="V1812" s="1" t="str">
        <f>IFERROR(__xludf.DUMMYFUNCTION("""COMPUTED_VALUE"""),"DSQ")</f>
        <v>DSQ</v>
      </c>
      <c r="W1812" s="1" t="str">
        <f>IFERROR(__xludf.DUMMYFUNCTION("""COMPUTED_VALUE"""),"DSQ")</f>
        <v>DSQ</v>
      </c>
      <c r="X1812" s="1" t="str">
        <f>IFERROR(__xludf.DUMMYFUNCTION("""COMPUTED_VALUE"""),"DSQ")</f>
        <v>DSQ</v>
      </c>
      <c r="Y1812" s="2" t="str">
        <f>IFERROR(__xludf.DUMMYFUNCTION("""COMPUTED_VALUE"""),"tidak terlihat di kamera finish")</f>
        <v>tidak terlihat di kamera finish</v>
      </c>
      <c r="Z1812" s="2" t="str">
        <f>IFERROR(__xludf.DUMMYFUNCTION("""COMPUTED_VALUE"""),"")</f>
        <v/>
      </c>
    </row>
    <row r="1813">
      <c r="A1813" s="1">
        <f>IFERROR(__xludf.DUMMYFUNCTION("""COMPUTED_VALUE"""),1812.0)</f>
        <v>1812</v>
      </c>
      <c r="B1813" s="1">
        <f>IFERROR(__xludf.DUMMYFUNCTION("""COMPUTED_VALUE"""),5264.0)</f>
        <v>5264</v>
      </c>
      <c r="C1813" s="2" t="str">
        <f>IFERROR(__xludf.DUMMYFUNCTION("""COMPUTED_VALUE"""),"DkNa")</f>
        <v>DkNa</v>
      </c>
      <c r="D1813" s="2" t="str">
        <f>IFERROR(__xludf.DUMMYFUNCTION("""COMPUTED_VALUE"""),"5KM OVERALL M")</f>
        <v>5KM OVERALL M</v>
      </c>
      <c r="E1813" s="1">
        <f>IFERROR(__xludf.DUMMYFUNCTION("""COMPUTED_VALUE"""),2.0)</f>
        <v>2</v>
      </c>
      <c r="F1813" s="1" t="str">
        <f>IFERROR(__xludf.DUMMYFUNCTION("""COMPUTED_VALUE"""),"Male")</f>
        <v>Male</v>
      </c>
      <c r="G1813" s="4" t="b">
        <f>IFERROR(__xludf.DUMMYFUNCTION("""COMPUTED_VALUE"""),TRUE)</f>
        <v>1</v>
      </c>
      <c r="H1813" s="4" t="b">
        <f>IFERROR(__xludf.DUMMYFUNCTION("""COMPUTED_VALUE"""),TRUE)</f>
        <v>1</v>
      </c>
      <c r="I1813" s="4">
        <f>IFERROR(__xludf.DUMMYFUNCTION("""COMPUTED_VALUE"""),0.2549440625)</f>
        <v>0.2549440625</v>
      </c>
      <c r="J1813" s="4">
        <f>IFERROR(__xludf.DUMMYFUNCTION("""COMPUTED_VALUE"""),45949.27775586796)</f>
        <v>45949.27776</v>
      </c>
      <c r="K1813" s="4" t="str">
        <f>IFERROR(__xludf.DUMMYFUNCTION("""COMPUTED_VALUE"""),"")</f>
        <v/>
      </c>
      <c r="L1813" s="4">
        <f>IFERROR(__xludf.DUMMYFUNCTION("""COMPUTED_VALUE"""),45949.295334891314)</f>
        <v>45949.29533</v>
      </c>
      <c r="M1813" s="1" t="str">
        <f>IFERROR(__xludf.DUMMYFUNCTION("""COMPUTED_VALUE"""),"RFID")</f>
        <v>RFID</v>
      </c>
      <c r="N1813" s="5">
        <f>IFERROR(__xludf.DUMMYFUNCTION("""COMPUTED_VALUE"""),0.009124722222222223)</f>
        <v>0.009124722222</v>
      </c>
      <c r="O1813" s="5" t="str">
        <f>IFERROR(__xludf.DUMMYFUNCTION("""COMPUTED_VALUE"""),"")</f>
        <v/>
      </c>
      <c r="P1813" s="5" t="str">
        <f>IFERROR(__xludf.DUMMYFUNCTION("""COMPUTED_VALUE"""),"")</f>
        <v/>
      </c>
      <c r="Q1813" s="5">
        <f>IFERROR(__xludf.DUMMYFUNCTION("""COMPUTED_VALUE"""),0.008078166666666668)</f>
        <v>0.008078166667</v>
      </c>
      <c r="R1813" s="4">
        <f>IFERROR(__xludf.DUMMYFUNCTION("""COMPUTED_VALUE"""),45949.04039082881)</f>
        <v>45949.04039</v>
      </c>
      <c r="S1813" s="1" t="b">
        <f>IFERROR(__xludf.DUMMYFUNCTION("""COMPUTED_VALUE"""),TRUE)</f>
        <v>1</v>
      </c>
      <c r="T1813" s="1" t="b">
        <f>IFERROR(__xludf.DUMMYFUNCTION("""COMPUTED_VALUE"""),FALSE)</f>
        <v>0</v>
      </c>
      <c r="U1813" s="1" t="str">
        <f>IFERROR(__xludf.DUMMYFUNCTION("""COMPUTED_VALUE"""),"VALID")</f>
        <v>VALID</v>
      </c>
      <c r="V1813" s="1">
        <f>IFERROR(__xludf.DUMMYFUNCTION("""COMPUTED_VALUE"""),725.0)</f>
        <v>725</v>
      </c>
      <c r="W1813" s="1">
        <f>IFERROR(__xludf.DUMMYFUNCTION("""COMPUTED_VALUE"""),1265.0)</f>
        <v>1265</v>
      </c>
      <c r="X1813" s="1">
        <f>IFERROR(__xludf.DUMMYFUNCTION("""COMPUTED_VALUE"""),999.0)</f>
        <v>999</v>
      </c>
      <c r="Y1813" s="2"/>
      <c r="Z1813" s="2"/>
    </row>
    <row r="1814">
      <c r="A1814" s="1">
        <f>IFERROR(__xludf.DUMMYFUNCTION("""COMPUTED_VALUE"""),1813.0)</f>
        <v>1813</v>
      </c>
      <c r="B1814" s="1">
        <f>IFERROR(__xludf.DUMMYFUNCTION("""COMPUTED_VALUE"""),5265.0)</f>
        <v>5265</v>
      </c>
      <c r="C1814" s="2" t="str">
        <f>IFERROR(__xludf.DUMMYFUNCTION("""COMPUTED_VALUE"""),"Ahmad Buhaira Assyarief")</f>
        <v>Ahmad Buhaira Assyarief</v>
      </c>
      <c r="D1814" s="2" t="str">
        <f>IFERROR(__xludf.DUMMYFUNCTION("""COMPUTED_VALUE"""),"5KM OVERALL M")</f>
        <v>5KM OVERALL M</v>
      </c>
      <c r="E1814" s="1">
        <f>IFERROR(__xludf.DUMMYFUNCTION("""COMPUTED_VALUE"""),2.0)</f>
        <v>2</v>
      </c>
      <c r="F1814" s="1" t="str">
        <f>IFERROR(__xludf.DUMMYFUNCTION("""COMPUTED_VALUE"""),"Male")</f>
        <v>Male</v>
      </c>
      <c r="G1814" s="4" t="b">
        <f>IFERROR(__xludf.DUMMYFUNCTION("""COMPUTED_VALUE"""),TRUE)</f>
        <v>1</v>
      </c>
      <c r="H1814" s="4" t="b">
        <f>IFERROR(__xludf.DUMMYFUNCTION("""COMPUTED_VALUE"""),TRUE)</f>
        <v>1</v>
      </c>
      <c r="I1814" s="4">
        <f>IFERROR(__xludf.DUMMYFUNCTION("""COMPUTED_VALUE"""),0.2549440625)</f>
        <v>0.2549440625</v>
      </c>
      <c r="J1814" s="4">
        <f>IFERROR(__xludf.DUMMYFUNCTION("""COMPUTED_VALUE"""),45949.274648221784)</f>
        <v>45949.27465</v>
      </c>
      <c r="K1814" s="4" t="str">
        <f>IFERROR(__xludf.DUMMYFUNCTION("""COMPUTED_VALUE"""),"")</f>
        <v/>
      </c>
      <c r="L1814" s="4">
        <f>IFERROR(__xludf.DUMMYFUNCTION("""COMPUTED_VALUE"""),45949.29212309188)</f>
        <v>45949.29212</v>
      </c>
      <c r="M1814" s="1" t="str">
        <f>IFERROR(__xludf.DUMMYFUNCTION("""COMPUTED_VALUE"""),"RFID")</f>
        <v>RFID</v>
      </c>
      <c r="N1814" s="5">
        <f>IFERROR(__xludf.DUMMYFUNCTION("""COMPUTED_VALUE"""),0.007881662037037038)</f>
        <v>0.007881662037</v>
      </c>
      <c r="O1814" s="5" t="str">
        <f>IFERROR(__xludf.DUMMYFUNCTION("""COMPUTED_VALUE"""),"")</f>
        <v/>
      </c>
      <c r="P1814" s="5" t="str">
        <f>IFERROR(__xludf.DUMMYFUNCTION("""COMPUTED_VALUE"""),"")</f>
        <v/>
      </c>
      <c r="Q1814" s="5">
        <f>IFERROR(__xludf.DUMMYFUNCTION("""COMPUTED_VALUE"""),0.007435805555555555)</f>
        <v>0.007435805556</v>
      </c>
      <c r="R1814" s="4">
        <f>IFERROR(__xludf.DUMMYFUNCTION("""COMPUTED_VALUE"""),45949.03717902938)</f>
        <v>45949.03718</v>
      </c>
      <c r="S1814" s="1" t="b">
        <f>IFERROR(__xludf.DUMMYFUNCTION("""COMPUTED_VALUE"""),TRUE)</f>
        <v>1</v>
      </c>
      <c r="T1814" s="1" t="b">
        <f>IFERROR(__xludf.DUMMYFUNCTION("""COMPUTED_VALUE"""),FALSE)</f>
        <v>0</v>
      </c>
      <c r="U1814" s="1" t="str">
        <f>IFERROR(__xludf.DUMMYFUNCTION("""COMPUTED_VALUE"""),"VALID")</f>
        <v>VALID</v>
      </c>
      <c r="V1814" s="1">
        <f>IFERROR(__xludf.DUMMYFUNCTION("""COMPUTED_VALUE"""),629.0)</f>
        <v>629</v>
      </c>
      <c r="W1814" s="1">
        <f>IFERROR(__xludf.DUMMYFUNCTION("""COMPUTED_VALUE"""),1039.0)</f>
        <v>1039</v>
      </c>
      <c r="X1814" s="1">
        <f>IFERROR(__xludf.DUMMYFUNCTION("""COMPUTED_VALUE"""),828.0)</f>
        <v>828</v>
      </c>
      <c r="Y1814" s="2"/>
      <c r="Z1814" s="2"/>
    </row>
    <row r="1815">
      <c r="A1815" s="1">
        <f>IFERROR(__xludf.DUMMYFUNCTION("""COMPUTED_VALUE"""),1814.0)</f>
        <v>1814</v>
      </c>
      <c r="B1815" s="1">
        <f>IFERROR(__xludf.DUMMYFUNCTION("""COMPUTED_VALUE"""),5266.0)</f>
        <v>5266</v>
      </c>
      <c r="C1815" s="2" t="str">
        <f>IFERROR(__xludf.DUMMYFUNCTION("""COMPUTED_VALUE"""),"Sakti")</f>
        <v>Sakti</v>
      </c>
      <c r="D1815" s="2" t="str">
        <f>IFERROR(__xludf.DUMMYFUNCTION("""COMPUTED_VALUE"""),"5KM OVERALL M")</f>
        <v>5KM OVERALL M</v>
      </c>
      <c r="E1815" s="1">
        <f>IFERROR(__xludf.DUMMYFUNCTION("""COMPUTED_VALUE"""),2.0)</f>
        <v>2</v>
      </c>
      <c r="F1815" s="1" t="str">
        <f>IFERROR(__xludf.DUMMYFUNCTION("""COMPUTED_VALUE"""),"Male")</f>
        <v>Male</v>
      </c>
      <c r="G1815" s="4" t="b">
        <f>IFERROR(__xludf.DUMMYFUNCTION("""COMPUTED_VALUE"""),TRUE)</f>
        <v>1</v>
      </c>
      <c r="H1815" s="4" t="b">
        <f>IFERROR(__xludf.DUMMYFUNCTION("""COMPUTED_VALUE"""),FALSE)</f>
        <v>0</v>
      </c>
      <c r="I1815" s="4">
        <f>IFERROR(__xludf.DUMMYFUNCTION("""COMPUTED_VALUE"""),0.2549440625)</f>
        <v>0.2549440625</v>
      </c>
      <c r="J1815" s="4">
        <f>IFERROR(__xludf.DUMMYFUNCTION("""COMPUTED_VALUE"""),45949.27385666661)</f>
        <v>45949.27386</v>
      </c>
      <c r="K1815" s="4" t="str">
        <f>IFERROR(__xludf.DUMMYFUNCTION("""COMPUTED_VALUE"""),"")</f>
        <v/>
      </c>
      <c r="L1815" s="4">
        <f>IFERROR(__xludf.DUMMYFUNCTION("""COMPUTED_VALUE"""),45949.288126733474)</f>
        <v>45949.28813</v>
      </c>
      <c r="M1815" s="1" t="str">
        <f>IFERROR(__xludf.DUMMYFUNCTION("""COMPUTED_VALUE"""),"RFID")</f>
        <v>RFID</v>
      </c>
      <c r="N1815" s="5">
        <f>IFERROR(__xludf.DUMMYFUNCTION("""COMPUTED_VALUE"""),0.007565041666666666)</f>
        <v>0.007565041667</v>
      </c>
      <c r="O1815" s="5" t="str">
        <f>IFERROR(__xludf.DUMMYFUNCTION("""COMPUTED_VALUE"""),"")</f>
        <v/>
      </c>
      <c r="P1815" s="5" t="str">
        <f>IFERROR(__xludf.DUMMYFUNCTION("""COMPUTED_VALUE"""),"")</f>
        <v/>
      </c>
      <c r="Q1815" s="5">
        <f>IFERROR(__xludf.DUMMYFUNCTION("""COMPUTED_VALUE"""),0.006636534722222223)</f>
        <v>0.006636534722</v>
      </c>
      <c r="R1815" s="4">
        <f>IFERROR(__xludf.DUMMYFUNCTION("""COMPUTED_VALUE"""),45949.03318267097)</f>
        <v>45949.03318</v>
      </c>
      <c r="S1815" s="1" t="b">
        <f>IFERROR(__xludf.DUMMYFUNCTION("""COMPUTED_VALUE"""),TRUE)</f>
        <v>1</v>
      </c>
      <c r="T1815" s="1" t="b">
        <f>IFERROR(__xludf.DUMMYFUNCTION("""COMPUTED_VALUE"""),FALSE)</f>
        <v>0</v>
      </c>
      <c r="U1815" s="1" t="str">
        <f>IFERROR(__xludf.DUMMYFUNCTION("""COMPUTED_VALUE"""),"VALID")</f>
        <v>VALID</v>
      </c>
      <c r="V1815" s="1">
        <f>IFERROR(__xludf.DUMMYFUNCTION("""COMPUTED_VALUE"""),503.0)</f>
        <v>503</v>
      </c>
      <c r="W1815" s="1">
        <f>IFERROR(__xludf.DUMMYFUNCTION("""COMPUTED_VALUE"""),785.0)</f>
        <v>785</v>
      </c>
      <c r="X1815" s="1">
        <f>IFERROR(__xludf.DUMMYFUNCTION("""COMPUTED_VALUE"""),650.0)</f>
        <v>650</v>
      </c>
      <c r="Y1815" s="2"/>
      <c r="Z1815" s="2"/>
    </row>
    <row r="1816">
      <c r="A1816" s="1">
        <f>IFERROR(__xludf.DUMMYFUNCTION("""COMPUTED_VALUE"""),1815.0)</f>
        <v>1815</v>
      </c>
      <c r="B1816" s="1">
        <f>IFERROR(__xludf.DUMMYFUNCTION("""COMPUTED_VALUE"""),5267.0)</f>
        <v>5267</v>
      </c>
      <c r="C1816" s="2" t="str">
        <f>IFERROR(__xludf.DUMMYFUNCTION("""COMPUTED_VALUE"""),"Nikolas")</f>
        <v>Nikolas</v>
      </c>
      <c r="D1816" s="2" t="str">
        <f>IFERROR(__xludf.DUMMYFUNCTION("""COMPUTED_VALUE"""),"5KM OVERALL M")</f>
        <v>5KM OVERALL M</v>
      </c>
      <c r="E1816" s="1">
        <f>IFERROR(__xludf.DUMMYFUNCTION("""COMPUTED_VALUE"""),2.0)</f>
        <v>2</v>
      </c>
      <c r="F1816" s="1" t="str">
        <f>IFERROR(__xludf.DUMMYFUNCTION("""COMPUTED_VALUE"""),"Male")</f>
        <v>Male</v>
      </c>
      <c r="G1816" s="4" t="b">
        <f>IFERROR(__xludf.DUMMYFUNCTION("""COMPUTED_VALUE"""),TRUE)</f>
        <v>1</v>
      </c>
      <c r="H1816" s="4" t="b">
        <f>IFERROR(__xludf.DUMMYFUNCTION("""COMPUTED_VALUE"""),TRUE)</f>
        <v>1</v>
      </c>
      <c r="I1816" s="4">
        <f>IFERROR(__xludf.DUMMYFUNCTION("""COMPUTED_VALUE"""),0.2549440625)</f>
        <v>0.2549440625</v>
      </c>
      <c r="J1816" s="4">
        <f>IFERROR(__xludf.DUMMYFUNCTION("""COMPUTED_VALUE"""),45949.26953363082)</f>
        <v>45949.26953</v>
      </c>
      <c r="K1816" s="4" t="str">
        <f>IFERROR(__xludf.DUMMYFUNCTION("""COMPUTED_VALUE"""),"")</f>
        <v/>
      </c>
      <c r="L1816" s="4">
        <f>IFERROR(__xludf.DUMMYFUNCTION("""COMPUTED_VALUE"""),45949.28255787037)</f>
        <v>45949.28256</v>
      </c>
      <c r="M1816" s="1" t="str">
        <f>IFERROR(__xludf.DUMMYFUNCTION("""COMPUTED_VALUE"""),"RFID")</f>
        <v>RFID</v>
      </c>
      <c r="N1816" s="5">
        <f>IFERROR(__xludf.DUMMYFUNCTION("""COMPUTED_VALUE"""),0.005835828703703703)</f>
        <v>0.005835828704</v>
      </c>
      <c r="O1816" s="5" t="str">
        <f>IFERROR(__xludf.DUMMYFUNCTION("""COMPUTED_VALUE"""),"")</f>
        <v/>
      </c>
      <c r="P1816" s="5" t="str">
        <f>IFERROR(__xludf.DUMMYFUNCTION("""COMPUTED_VALUE"""),"")</f>
        <v/>
      </c>
      <c r="Q1816" s="5">
        <f>IFERROR(__xludf.DUMMYFUNCTION("""COMPUTED_VALUE"""),0.005522761574074074)</f>
        <v>0.005522761574</v>
      </c>
      <c r="R1816" s="4">
        <f>IFERROR(__xludf.DUMMYFUNCTION("""COMPUTED_VALUE"""),45949.02761380787)</f>
        <v>45949.02761</v>
      </c>
      <c r="S1816" s="1" t="b">
        <f>IFERROR(__xludf.DUMMYFUNCTION("""COMPUTED_VALUE"""),TRUE)</f>
        <v>1</v>
      </c>
      <c r="T1816" s="1" t="b">
        <f>IFERROR(__xludf.DUMMYFUNCTION("""COMPUTED_VALUE"""),FALSE)</f>
        <v>0</v>
      </c>
      <c r="U1816" s="1" t="str">
        <f>IFERROR(__xludf.DUMMYFUNCTION("""COMPUTED_VALUE"""),"VALID")</f>
        <v>VALID</v>
      </c>
      <c r="V1816" s="1">
        <f>IFERROR(__xludf.DUMMYFUNCTION("""COMPUTED_VALUE"""),269.0)</f>
        <v>269</v>
      </c>
      <c r="W1816" s="1">
        <f>IFERROR(__xludf.DUMMYFUNCTION("""COMPUTED_VALUE"""),409.0)</f>
        <v>409</v>
      </c>
      <c r="X1816" s="1">
        <f>IFERROR(__xludf.DUMMYFUNCTION("""COMPUTED_VALUE"""),355.0)</f>
        <v>355</v>
      </c>
      <c r="Y1816" s="2"/>
      <c r="Z1816" s="2"/>
    </row>
    <row r="1817">
      <c r="A1817" s="1">
        <f>IFERROR(__xludf.DUMMYFUNCTION("""COMPUTED_VALUE"""),1816.0)</f>
        <v>1816</v>
      </c>
      <c r="B1817" s="1">
        <f>IFERROR(__xludf.DUMMYFUNCTION("""COMPUTED_VALUE"""),5268.0)</f>
        <v>5268</v>
      </c>
      <c r="C1817" s="2" t="str">
        <f>IFERROR(__xludf.DUMMYFUNCTION("""COMPUTED_VALUE"""),"Fatkhan Nazhif Thafhan")</f>
        <v>Fatkhan Nazhif Thafhan</v>
      </c>
      <c r="D1817" s="2" t="str">
        <f>IFERROR(__xludf.DUMMYFUNCTION("""COMPUTED_VALUE"""),"5KM OVERALL M")</f>
        <v>5KM OVERALL M</v>
      </c>
      <c r="E1817" s="1">
        <f>IFERROR(__xludf.DUMMYFUNCTION("""COMPUTED_VALUE"""),2.0)</f>
        <v>2</v>
      </c>
      <c r="F1817" s="1" t="str">
        <f>IFERROR(__xludf.DUMMYFUNCTION("""COMPUTED_VALUE"""),"Male")</f>
        <v>Male</v>
      </c>
      <c r="G1817" s="4" t="b">
        <f>IFERROR(__xludf.DUMMYFUNCTION("""COMPUTED_VALUE"""),TRUE)</f>
        <v>1</v>
      </c>
      <c r="H1817" s="4" t="b">
        <f>IFERROR(__xludf.DUMMYFUNCTION("""COMPUTED_VALUE"""),TRUE)</f>
        <v>1</v>
      </c>
      <c r="I1817" s="4">
        <f>IFERROR(__xludf.DUMMYFUNCTION("""COMPUTED_VALUE"""),0.2549440625)</f>
        <v>0.2549440625</v>
      </c>
      <c r="J1817" s="4">
        <f>IFERROR(__xludf.DUMMYFUNCTION("""COMPUTED_VALUE"""),45949.27130796873)</f>
        <v>45949.27131</v>
      </c>
      <c r="K1817" s="4" t="str">
        <f>IFERROR(__xludf.DUMMYFUNCTION("""COMPUTED_VALUE"""),"")</f>
        <v/>
      </c>
      <c r="L1817" s="4">
        <f>IFERROR(__xludf.DUMMYFUNCTION("""COMPUTED_VALUE"""),45949.28412308682)</f>
        <v>45949.28412</v>
      </c>
      <c r="M1817" s="1" t="str">
        <f>IFERROR(__xludf.DUMMYFUNCTION("""COMPUTED_VALUE"""),"RFID")</f>
        <v>RFID</v>
      </c>
      <c r="N1817" s="5">
        <f>IFERROR(__xludf.DUMMYFUNCTION("""COMPUTED_VALUE"""),0.006545560185185184)</f>
        <v>0.006545560185</v>
      </c>
      <c r="O1817" s="5" t="str">
        <f>IFERROR(__xludf.DUMMYFUNCTION("""COMPUTED_VALUE"""),"")</f>
        <v/>
      </c>
      <c r="P1817" s="5" t="str">
        <f>IFERROR(__xludf.DUMMYFUNCTION("""COMPUTED_VALUE"""),"")</f>
        <v/>
      </c>
      <c r="Q1817" s="5">
        <f>IFERROR(__xludf.DUMMYFUNCTION("""COMPUTED_VALUE"""),0.005835805555555556)</f>
        <v>0.005835805556</v>
      </c>
      <c r="R1817" s="4">
        <f>IFERROR(__xludf.DUMMYFUNCTION("""COMPUTED_VALUE"""),45949.02917902432)</f>
        <v>45949.02918</v>
      </c>
      <c r="S1817" s="1" t="b">
        <f>IFERROR(__xludf.DUMMYFUNCTION("""COMPUTED_VALUE"""),TRUE)</f>
        <v>1</v>
      </c>
      <c r="T1817" s="1" t="b">
        <f>IFERROR(__xludf.DUMMYFUNCTION("""COMPUTED_VALUE"""),FALSE)</f>
        <v>0</v>
      </c>
      <c r="U1817" s="1" t="str">
        <f>IFERROR(__xludf.DUMMYFUNCTION("""COMPUTED_VALUE"""),"VALID")</f>
        <v>VALID</v>
      </c>
      <c r="V1817" s="1">
        <f>IFERROR(__xludf.DUMMYFUNCTION("""COMPUTED_VALUE"""),342.0)</f>
        <v>342</v>
      </c>
      <c r="W1817" s="1">
        <f>IFERROR(__xludf.DUMMYFUNCTION("""COMPUTED_VALUE"""),506.0)</f>
        <v>506</v>
      </c>
      <c r="X1817" s="1">
        <f>IFERROR(__xludf.DUMMYFUNCTION("""COMPUTED_VALUE"""),441.0)</f>
        <v>441</v>
      </c>
      <c r="Y1817" s="2"/>
      <c r="Z1817" s="2"/>
    </row>
    <row r="1818">
      <c r="A1818" s="1">
        <f>IFERROR(__xludf.DUMMYFUNCTION("""COMPUTED_VALUE"""),1817.0)</f>
        <v>1817</v>
      </c>
      <c r="B1818" s="1">
        <f>IFERROR(__xludf.DUMMYFUNCTION("""COMPUTED_VALUE"""),5269.0)</f>
        <v>5269</v>
      </c>
      <c r="C1818" s="2" t="str">
        <f>IFERROR(__xludf.DUMMYFUNCTION("""COMPUTED_VALUE"""),"nvlz")</f>
        <v>nvlz</v>
      </c>
      <c r="D1818" s="2" t="str">
        <f>IFERROR(__xludf.DUMMYFUNCTION("""COMPUTED_VALUE"""),"5KM OVERALL M")</f>
        <v>5KM OVERALL M</v>
      </c>
      <c r="E1818" s="1">
        <f>IFERROR(__xludf.DUMMYFUNCTION("""COMPUTED_VALUE"""),2.0)</f>
        <v>2</v>
      </c>
      <c r="F1818" s="1" t="str">
        <f>IFERROR(__xludf.DUMMYFUNCTION("""COMPUTED_VALUE"""),"Male")</f>
        <v>Male</v>
      </c>
      <c r="G1818" s="4" t="b">
        <f>IFERROR(__xludf.DUMMYFUNCTION("""COMPUTED_VALUE"""),TRUE)</f>
        <v>1</v>
      </c>
      <c r="H1818" s="4" t="b">
        <f>IFERROR(__xludf.DUMMYFUNCTION("""COMPUTED_VALUE"""),TRUE)</f>
        <v>1</v>
      </c>
      <c r="I1818" s="4">
        <f>IFERROR(__xludf.DUMMYFUNCTION("""COMPUTED_VALUE"""),0.2549440625)</f>
        <v>0.2549440625</v>
      </c>
      <c r="J1818" s="4">
        <f>IFERROR(__xludf.DUMMYFUNCTION("""COMPUTED_VALUE"""),45949.27351284971)</f>
        <v>45949.27351</v>
      </c>
      <c r="K1818" s="4" t="str">
        <f>IFERROR(__xludf.DUMMYFUNCTION("""COMPUTED_VALUE"""),"")</f>
        <v/>
      </c>
      <c r="L1818" s="4">
        <f>IFERROR(__xludf.DUMMYFUNCTION("""COMPUTED_VALUE"""),45949.286647410896)</f>
        <v>45949.28665</v>
      </c>
      <c r="M1818" s="1" t="str">
        <f>IFERROR(__xludf.DUMMYFUNCTION("""COMPUTED_VALUE"""),"RFID")</f>
        <v>RFID</v>
      </c>
      <c r="N1818" s="5">
        <f>IFERROR(__xludf.DUMMYFUNCTION("""COMPUTED_VALUE"""),0.00742751388888889)</f>
        <v>0.007427513889</v>
      </c>
      <c r="O1818" s="5" t="str">
        <f>IFERROR(__xludf.DUMMYFUNCTION("""COMPUTED_VALUE"""),"")</f>
        <v/>
      </c>
      <c r="P1818" s="5" t="str">
        <f>IFERROR(__xludf.DUMMYFUNCTION("""COMPUTED_VALUE"""),"")</f>
        <v/>
      </c>
      <c r="Q1818" s="5">
        <f>IFERROR(__xludf.DUMMYFUNCTION("""COMPUTED_VALUE"""),0.006340668981481482)</f>
        <v>0.006340668981</v>
      </c>
      <c r="R1818" s="4">
        <f>IFERROR(__xludf.DUMMYFUNCTION("""COMPUTED_VALUE"""),45949.031703348395)</f>
        <v>45949.0317</v>
      </c>
      <c r="S1818" s="1" t="b">
        <f>IFERROR(__xludf.DUMMYFUNCTION("""COMPUTED_VALUE"""),TRUE)</f>
        <v>1</v>
      </c>
      <c r="T1818" s="1" t="b">
        <f>IFERROR(__xludf.DUMMYFUNCTION("""COMPUTED_VALUE"""),FALSE)</f>
        <v>0</v>
      </c>
      <c r="U1818" s="1" t="str">
        <f>IFERROR(__xludf.DUMMYFUNCTION("""COMPUTED_VALUE"""),"VALID")</f>
        <v>VALID</v>
      </c>
      <c r="V1818" s="1">
        <f>IFERROR(__xludf.DUMMYFUNCTION("""COMPUTED_VALUE"""),442.0)</f>
        <v>442</v>
      </c>
      <c r="W1818" s="1">
        <f>IFERROR(__xludf.DUMMYFUNCTION("""COMPUTED_VALUE"""),681.0)</f>
        <v>681</v>
      </c>
      <c r="X1818" s="1">
        <f>IFERROR(__xludf.DUMMYFUNCTION("""COMPUTED_VALUE"""),570.0)</f>
        <v>570</v>
      </c>
      <c r="Y1818" s="2"/>
      <c r="Z1818" s="2"/>
    </row>
    <row r="1819">
      <c r="A1819" s="1">
        <f>IFERROR(__xludf.DUMMYFUNCTION("""COMPUTED_VALUE"""),1818.0)</f>
        <v>1818</v>
      </c>
      <c r="B1819" s="1">
        <f>IFERROR(__xludf.DUMMYFUNCTION("""COMPUTED_VALUE"""),5270.0)</f>
        <v>5270</v>
      </c>
      <c r="C1819" s="2" t="str">
        <f>IFERROR(__xludf.DUMMYFUNCTION("""COMPUTED_VALUE"""),"Ivan Akbar")</f>
        <v>Ivan Akbar</v>
      </c>
      <c r="D1819" s="2" t="str">
        <f>IFERROR(__xludf.DUMMYFUNCTION("""COMPUTED_VALUE"""),"5KM OVERALL M")</f>
        <v>5KM OVERALL M</v>
      </c>
      <c r="E1819" s="1">
        <f>IFERROR(__xludf.DUMMYFUNCTION("""COMPUTED_VALUE"""),2.0)</f>
        <v>2</v>
      </c>
      <c r="F1819" s="1" t="str">
        <f>IFERROR(__xludf.DUMMYFUNCTION("""COMPUTED_VALUE"""),"Male")</f>
        <v>Male</v>
      </c>
      <c r="G1819" s="4" t="str">
        <f>IFERROR(__xludf.DUMMYFUNCTION("""COMPUTED_VALUE"""),"")</f>
        <v/>
      </c>
      <c r="H1819" s="4" t="b">
        <f>IFERROR(__xludf.DUMMYFUNCTION("""COMPUTED_VALUE"""),FALSE)</f>
        <v>0</v>
      </c>
      <c r="I1819" s="4">
        <f>IFERROR(__xludf.DUMMYFUNCTION("""COMPUTED_VALUE"""),0.2549440625)</f>
        <v>0.2549440625</v>
      </c>
      <c r="J1819" s="4" t="str">
        <f>IFERROR(__xludf.DUMMYFUNCTION("""COMPUTED_VALUE"""),"")</f>
        <v/>
      </c>
      <c r="K1819" s="4" t="str">
        <f>IFERROR(__xludf.DUMMYFUNCTION("""COMPUTED_VALUE"""),"")</f>
        <v/>
      </c>
      <c r="L1819" s="4" t="str">
        <f>IFERROR(__xludf.DUMMYFUNCTION("""COMPUTED_VALUE"""),"")</f>
        <v/>
      </c>
      <c r="M1819" s="1" t="str">
        <f>IFERROR(__xludf.DUMMYFUNCTION("""COMPUTED_VALUE"""),"RFID")</f>
        <v>RFID</v>
      </c>
      <c r="N1819" s="5" t="str">
        <f>IFERROR(__xludf.DUMMYFUNCTION("""COMPUTED_VALUE"""),"")</f>
        <v/>
      </c>
      <c r="O1819" s="5" t="str">
        <f>IFERROR(__xludf.DUMMYFUNCTION("""COMPUTED_VALUE"""),"")</f>
        <v/>
      </c>
      <c r="P1819" s="5" t="str">
        <f>IFERROR(__xludf.DUMMYFUNCTION("""COMPUTED_VALUE"""),"")</f>
        <v/>
      </c>
      <c r="Q1819" s="5" t="str">
        <f>IFERROR(__xludf.DUMMYFUNCTION("""COMPUTED_VALUE"""),"")</f>
        <v/>
      </c>
      <c r="R1819" s="4" t="str">
        <f>IFERROR(__xludf.DUMMYFUNCTION("""COMPUTED_VALUE"""),"")</f>
        <v/>
      </c>
      <c r="S1819" s="1" t="b">
        <f>IFERROR(__xludf.DUMMYFUNCTION("""COMPUTED_VALUE"""),FALSE)</f>
        <v>0</v>
      </c>
      <c r="T1819" s="1" t="b">
        <f>IFERROR(__xludf.DUMMYFUNCTION("""COMPUTED_VALUE"""),FALSE)</f>
        <v>0</v>
      </c>
      <c r="U1819" s="1" t="str">
        <f>IFERROR(__xludf.DUMMYFUNCTION("""COMPUTED_VALUE"""),"DSQ")</f>
        <v>DSQ</v>
      </c>
      <c r="V1819" s="1" t="str">
        <f>IFERROR(__xludf.DUMMYFUNCTION("""COMPUTED_VALUE"""),"DSQ")</f>
        <v>DSQ</v>
      </c>
      <c r="W1819" s="1" t="str">
        <f>IFERROR(__xludf.DUMMYFUNCTION("""COMPUTED_VALUE"""),"DSQ")</f>
        <v>DSQ</v>
      </c>
      <c r="X1819" s="1" t="str">
        <f>IFERROR(__xludf.DUMMYFUNCTION("""COMPUTED_VALUE"""),"DSQ")</f>
        <v>DSQ</v>
      </c>
      <c r="Y1819" s="2"/>
      <c r="Z1819" s="2" t="str">
        <f>IFERROR(__xludf.DUMMYFUNCTION("""COMPUTED_VALUE"""),"")</f>
        <v/>
      </c>
    </row>
    <row r="1820">
      <c r="A1820" s="1">
        <f>IFERROR(__xludf.DUMMYFUNCTION("""COMPUTED_VALUE"""),1819.0)</f>
        <v>1819</v>
      </c>
      <c r="B1820" s="1">
        <f>IFERROR(__xludf.DUMMYFUNCTION("""COMPUTED_VALUE"""),5272.0)</f>
        <v>5272</v>
      </c>
      <c r="C1820" s="2" t="str">
        <f>IFERROR(__xludf.DUMMYFUNCTION("""COMPUTED_VALUE"""),"Bahrudin Noor")</f>
        <v>Bahrudin Noor</v>
      </c>
      <c r="D1820" s="2" t="str">
        <f>IFERROR(__xludf.DUMMYFUNCTION("""COMPUTED_VALUE"""),"5KM OVERALL M")</f>
        <v>5KM OVERALL M</v>
      </c>
      <c r="E1820" s="1">
        <f>IFERROR(__xludf.DUMMYFUNCTION("""COMPUTED_VALUE"""),2.0)</f>
        <v>2</v>
      </c>
      <c r="F1820" s="1" t="str">
        <f>IFERROR(__xludf.DUMMYFUNCTION("""COMPUTED_VALUE"""),"Male")</f>
        <v>Male</v>
      </c>
      <c r="G1820" s="4" t="b">
        <f>IFERROR(__xludf.DUMMYFUNCTION("""COMPUTED_VALUE"""),TRUE)</f>
        <v>1</v>
      </c>
      <c r="H1820" s="4" t="b">
        <f>IFERROR(__xludf.DUMMYFUNCTION("""COMPUTED_VALUE"""),FALSE)</f>
        <v>0</v>
      </c>
      <c r="I1820" s="4">
        <f>IFERROR(__xludf.DUMMYFUNCTION("""COMPUTED_VALUE"""),0.2549440625)</f>
        <v>0.2549440625</v>
      </c>
      <c r="J1820" s="4">
        <f>IFERROR(__xludf.DUMMYFUNCTION("""COMPUTED_VALUE"""),45949.26724897431)</f>
        <v>45949.26725</v>
      </c>
      <c r="K1820" s="4" t="str">
        <f>IFERROR(__xludf.DUMMYFUNCTION("""COMPUTED_VALUE"""),"")</f>
        <v/>
      </c>
      <c r="L1820" s="4">
        <f>IFERROR(__xludf.DUMMYFUNCTION("""COMPUTED_VALUE"""),45949.27699115906)</f>
        <v>45949.27699</v>
      </c>
      <c r="M1820" s="1" t="str">
        <f>IFERROR(__xludf.DUMMYFUNCTION("""COMPUTED_VALUE"""),"RFID")</f>
        <v>RFID</v>
      </c>
      <c r="N1820" s="5">
        <f>IFERROR(__xludf.DUMMYFUNCTION("""COMPUTED_VALUE"""),0.004921962962962963)</f>
        <v>0.004921962963</v>
      </c>
      <c r="O1820" s="5" t="str">
        <f>IFERROR(__xludf.DUMMYFUNCTION("""COMPUTED_VALUE"""),"")</f>
        <v/>
      </c>
      <c r="P1820" s="5" t="str">
        <f>IFERROR(__xludf.DUMMYFUNCTION("""COMPUTED_VALUE"""),"")</f>
        <v/>
      </c>
      <c r="Q1820" s="5">
        <f>IFERROR(__xludf.DUMMYFUNCTION("""COMPUTED_VALUE"""),0.004409418981481481)</f>
        <v>0.004409418981</v>
      </c>
      <c r="R1820" s="4">
        <f>IFERROR(__xludf.DUMMYFUNCTION("""COMPUTED_VALUE"""),45949.02204709656)</f>
        <v>45949.02205</v>
      </c>
      <c r="S1820" s="1" t="b">
        <f>IFERROR(__xludf.DUMMYFUNCTION("""COMPUTED_VALUE"""),TRUE)</f>
        <v>1</v>
      </c>
      <c r="T1820" s="1" t="b">
        <f>IFERROR(__xludf.DUMMYFUNCTION("""COMPUTED_VALUE"""),FALSE)</f>
        <v>0</v>
      </c>
      <c r="U1820" s="1" t="str">
        <f>IFERROR(__xludf.DUMMYFUNCTION("""COMPUTED_VALUE"""),"VALID")</f>
        <v>VALID</v>
      </c>
      <c r="V1820" s="1">
        <f>IFERROR(__xludf.DUMMYFUNCTION("""COMPUTED_VALUE"""),112.0)</f>
        <v>112</v>
      </c>
      <c r="W1820" s="1">
        <f>IFERROR(__xludf.DUMMYFUNCTION("""COMPUTED_VALUE"""),173.0)</f>
        <v>173</v>
      </c>
      <c r="X1820" s="1">
        <f>IFERROR(__xludf.DUMMYFUNCTION("""COMPUTED_VALUE"""),153.0)</f>
        <v>153</v>
      </c>
      <c r="Y1820" s="2"/>
      <c r="Z1820" s="2"/>
    </row>
    <row r="1821">
      <c r="A1821" s="1">
        <f>IFERROR(__xludf.DUMMYFUNCTION("""COMPUTED_VALUE"""),1820.0)</f>
        <v>1820</v>
      </c>
      <c r="B1821" s="1">
        <f>IFERROR(__xludf.DUMMYFUNCTION("""COMPUTED_VALUE"""),5274.0)</f>
        <v>5274</v>
      </c>
      <c r="C1821" s="2" t="str">
        <f>IFERROR(__xludf.DUMMYFUNCTION("""COMPUTED_VALUE"""),"Azmi Ganteng")</f>
        <v>Azmi Ganteng</v>
      </c>
      <c r="D1821" s="2" t="str">
        <f>IFERROR(__xludf.DUMMYFUNCTION("""COMPUTED_VALUE"""),"5KM OVERALL M")</f>
        <v>5KM OVERALL M</v>
      </c>
      <c r="E1821" s="1">
        <f>IFERROR(__xludf.DUMMYFUNCTION("""COMPUTED_VALUE"""),2.0)</f>
        <v>2</v>
      </c>
      <c r="F1821" s="1" t="str">
        <f>IFERROR(__xludf.DUMMYFUNCTION("""COMPUTED_VALUE"""),"Male")</f>
        <v>Male</v>
      </c>
      <c r="G1821" s="4" t="str">
        <f>IFERROR(__xludf.DUMMYFUNCTION("""COMPUTED_VALUE"""),"")</f>
        <v/>
      </c>
      <c r="H1821" s="4" t="b">
        <f>IFERROR(__xludf.DUMMYFUNCTION("""COMPUTED_VALUE"""),FALSE)</f>
        <v>0</v>
      </c>
      <c r="I1821" s="4">
        <f>IFERROR(__xludf.DUMMYFUNCTION("""COMPUTED_VALUE"""),0.2549440625)</f>
        <v>0.2549440625</v>
      </c>
      <c r="J1821" s="4" t="str">
        <f>IFERROR(__xludf.DUMMYFUNCTION("""COMPUTED_VALUE"""),"")</f>
        <v/>
      </c>
      <c r="K1821" s="4" t="str">
        <f>IFERROR(__xludf.DUMMYFUNCTION("""COMPUTED_VALUE"""),"")</f>
        <v/>
      </c>
      <c r="L1821" s="4" t="str">
        <f>IFERROR(__xludf.DUMMYFUNCTION("""COMPUTED_VALUE"""),"")</f>
        <v/>
      </c>
      <c r="M1821" s="1" t="str">
        <f>IFERROR(__xludf.DUMMYFUNCTION("""COMPUTED_VALUE"""),"RFID")</f>
        <v>RFID</v>
      </c>
      <c r="N1821" s="5" t="str">
        <f>IFERROR(__xludf.DUMMYFUNCTION("""COMPUTED_VALUE"""),"")</f>
        <v/>
      </c>
      <c r="O1821" s="5" t="str">
        <f>IFERROR(__xludf.DUMMYFUNCTION("""COMPUTED_VALUE"""),"")</f>
        <v/>
      </c>
      <c r="P1821" s="5" t="str">
        <f>IFERROR(__xludf.DUMMYFUNCTION("""COMPUTED_VALUE"""),"")</f>
        <v/>
      </c>
      <c r="Q1821" s="5" t="str">
        <f>IFERROR(__xludf.DUMMYFUNCTION("""COMPUTED_VALUE"""),"")</f>
        <v/>
      </c>
      <c r="R1821" s="4" t="str">
        <f>IFERROR(__xludf.DUMMYFUNCTION("""COMPUTED_VALUE"""),"")</f>
        <v/>
      </c>
      <c r="S1821" s="1" t="b">
        <f>IFERROR(__xludf.DUMMYFUNCTION("""COMPUTED_VALUE"""),FALSE)</f>
        <v>0</v>
      </c>
      <c r="T1821" s="1" t="b">
        <f>IFERROR(__xludf.DUMMYFUNCTION("""COMPUTED_VALUE"""),FALSE)</f>
        <v>0</v>
      </c>
      <c r="U1821" s="1" t="str">
        <f>IFERROR(__xludf.DUMMYFUNCTION("""COMPUTED_VALUE"""),"DSQ")</f>
        <v>DSQ</v>
      </c>
      <c r="V1821" s="1" t="str">
        <f>IFERROR(__xludf.DUMMYFUNCTION("""COMPUTED_VALUE"""),"DSQ")</f>
        <v>DSQ</v>
      </c>
      <c r="W1821" s="1" t="str">
        <f>IFERROR(__xludf.DUMMYFUNCTION("""COMPUTED_VALUE"""),"DSQ")</f>
        <v>DSQ</v>
      </c>
      <c r="X1821" s="1" t="str">
        <f>IFERROR(__xludf.DUMMYFUNCTION("""COMPUTED_VALUE"""),"DSQ")</f>
        <v>DSQ</v>
      </c>
      <c r="Y1821" s="2"/>
      <c r="Z1821" s="2" t="str">
        <f>IFERROR(__xludf.DUMMYFUNCTION("""COMPUTED_VALUE"""),"")</f>
        <v/>
      </c>
    </row>
    <row r="1822">
      <c r="A1822" s="1">
        <f>IFERROR(__xludf.DUMMYFUNCTION("""COMPUTED_VALUE"""),1821.0)</f>
        <v>1821</v>
      </c>
      <c r="B1822" s="1">
        <f>IFERROR(__xludf.DUMMYFUNCTION("""COMPUTED_VALUE"""),5278.0)</f>
        <v>5278</v>
      </c>
      <c r="C1822" s="2" t="str">
        <f>IFERROR(__xludf.DUMMYFUNCTION("""COMPUTED_VALUE"""),"M. Dimas Sanjaya")</f>
        <v>M. Dimas Sanjaya</v>
      </c>
      <c r="D1822" s="2" t="str">
        <f>IFERROR(__xludf.DUMMYFUNCTION("""COMPUTED_VALUE"""),"5KM OVERALL M")</f>
        <v>5KM OVERALL M</v>
      </c>
      <c r="E1822" s="1">
        <f>IFERROR(__xludf.DUMMYFUNCTION("""COMPUTED_VALUE"""),2.0)</f>
        <v>2</v>
      </c>
      <c r="F1822" s="1" t="str">
        <f>IFERROR(__xludf.DUMMYFUNCTION("""COMPUTED_VALUE"""),"Male")</f>
        <v>Male</v>
      </c>
      <c r="G1822" s="4" t="b">
        <f>IFERROR(__xludf.DUMMYFUNCTION("""COMPUTED_VALUE"""),TRUE)</f>
        <v>1</v>
      </c>
      <c r="H1822" s="4" t="b">
        <f>IFERROR(__xludf.DUMMYFUNCTION("""COMPUTED_VALUE"""),TRUE)</f>
        <v>1</v>
      </c>
      <c r="I1822" s="4">
        <f>IFERROR(__xludf.DUMMYFUNCTION("""COMPUTED_VALUE"""),0.2549440625)</f>
        <v>0.2549440625</v>
      </c>
      <c r="J1822" s="4">
        <f>IFERROR(__xludf.DUMMYFUNCTION("""COMPUTED_VALUE"""),45949.26899891149)</f>
        <v>45949.269</v>
      </c>
      <c r="K1822" s="4" t="str">
        <f>IFERROR(__xludf.DUMMYFUNCTION("""COMPUTED_VALUE"""),"")</f>
        <v/>
      </c>
      <c r="L1822" s="4">
        <f>IFERROR(__xludf.DUMMYFUNCTION("""COMPUTED_VALUE"""),45949.280175177264)</f>
        <v>45949.28018</v>
      </c>
      <c r="M1822" s="1" t="str">
        <f>IFERROR(__xludf.DUMMYFUNCTION("""COMPUTED_VALUE"""),"RFID")</f>
        <v>RFID</v>
      </c>
      <c r="N1822" s="5">
        <f>IFERROR(__xludf.DUMMYFUNCTION("""COMPUTED_VALUE"""),0.005621939814814814)</f>
        <v>0.005621939815</v>
      </c>
      <c r="O1822" s="5" t="str">
        <f>IFERROR(__xludf.DUMMYFUNCTION("""COMPUTED_VALUE"""),"")</f>
        <v/>
      </c>
      <c r="P1822" s="5" t="str">
        <f>IFERROR(__xludf.DUMMYFUNCTION("""COMPUTED_VALUE"""),"")</f>
        <v/>
      </c>
      <c r="Q1822" s="5">
        <f>IFERROR(__xludf.DUMMYFUNCTION("""COMPUTED_VALUE"""),0.005046222222222222)</f>
        <v>0.005046222222</v>
      </c>
      <c r="R1822" s="4">
        <f>IFERROR(__xludf.DUMMYFUNCTION("""COMPUTED_VALUE"""),45949.02523111476)</f>
        <v>45949.02523</v>
      </c>
      <c r="S1822" s="1" t="b">
        <f>IFERROR(__xludf.DUMMYFUNCTION("""COMPUTED_VALUE"""),TRUE)</f>
        <v>1</v>
      </c>
      <c r="T1822" s="1" t="b">
        <f>IFERROR(__xludf.DUMMYFUNCTION("""COMPUTED_VALUE"""),FALSE)</f>
        <v>0</v>
      </c>
      <c r="U1822" s="1" t="str">
        <f>IFERROR(__xludf.DUMMYFUNCTION("""COMPUTED_VALUE"""),"VALID")</f>
        <v>VALID</v>
      </c>
      <c r="V1822" s="1">
        <f>IFERROR(__xludf.DUMMYFUNCTION("""COMPUTED_VALUE"""),193.0)</f>
        <v>193</v>
      </c>
      <c r="W1822" s="1">
        <f>IFERROR(__xludf.DUMMYFUNCTION("""COMPUTED_VALUE"""),301.0)</f>
        <v>301</v>
      </c>
      <c r="X1822" s="1">
        <f>IFERROR(__xludf.DUMMYFUNCTION("""COMPUTED_VALUE"""),264.0)</f>
        <v>264</v>
      </c>
      <c r="Y1822" s="2"/>
      <c r="Z1822" s="2"/>
    </row>
    <row r="1823">
      <c r="A1823" s="1">
        <f>IFERROR(__xludf.DUMMYFUNCTION("""COMPUTED_VALUE"""),1822.0)</f>
        <v>1822</v>
      </c>
      <c r="B1823" s="1">
        <f>IFERROR(__xludf.DUMMYFUNCTION("""COMPUTED_VALUE"""),5279.0)</f>
        <v>5279</v>
      </c>
      <c r="C1823" s="2" t="str">
        <f>IFERROR(__xludf.DUMMYFUNCTION("""COMPUTED_VALUE"""),"Dwi")</f>
        <v>Dwi</v>
      </c>
      <c r="D1823" s="2" t="str">
        <f>IFERROR(__xludf.DUMMYFUNCTION("""COMPUTED_VALUE"""),"5KM OVERALL M")</f>
        <v>5KM OVERALL M</v>
      </c>
      <c r="E1823" s="1">
        <f>IFERROR(__xludf.DUMMYFUNCTION("""COMPUTED_VALUE"""),2.0)</f>
        <v>2</v>
      </c>
      <c r="F1823" s="1" t="str">
        <f>IFERROR(__xludf.DUMMYFUNCTION("""COMPUTED_VALUE"""),"Male")</f>
        <v>Male</v>
      </c>
      <c r="G1823" s="4" t="b">
        <f>IFERROR(__xludf.DUMMYFUNCTION("""COMPUTED_VALUE"""),TRUE)</f>
        <v>1</v>
      </c>
      <c r="H1823" s="4" t="b">
        <f>IFERROR(__xludf.DUMMYFUNCTION("""COMPUTED_VALUE"""),TRUE)</f>
        <v>1</v>
      </c>
      <c r="I1823" s="4">
        <f>IFERROR(__xludf.DUMMYFUNCTION("""COMPUTED_VALUE"""),0.2549440625)</f>
        <v>0.2549440625</v>
      </c>
      <c r="J1823" s="4">
        <f>IFERROR(__xludf.DUMMYFUNCTION("""COMPUTED_VALUE"""),45949.27630100105)</f>
        <v>45949.2763</v>
      </c>
      <c r="K1823" s="4" t="str">
        <f>IFERROR(__xludf.DUMMYFUNCTION("""COMPUTED_VALUE"""),"")</f>
        <v/>
      </c>
      <c r="L1823" s="4">
        <f>IFERROR(__xludf.DUMMYFUNCTION("""COMPUTED_VALUE"""),45949.289814067204)</f>
        <v>45949.28981</v>
      </c>
      <c r="M1823" s="1" t="str">
        <f>IFERROR(__xludf.DUMMYFUNCTION("""COMPUTED_VALUE"""),"RFID")</f>
        <v>RFID</v>
      </c>
      <c r="N1823" s="5">
        <f>IFERROR(__xludf.DUMMYFUNCTION("""COMPUTED_VALUE"""),0.008542773148148148)</f>
        <v>0.008542773148</v>
      </c>
      <c r="O1823" s="5" t="str">
        <f>IFERROR(__xludf.DUMMYFUNCTION("""COMPUTED_VALUE"""),"")</f>
        <v/>
      </c>
      <c r="P1823" s="5" t="str">
        <f>IFERROR(__xludf.DUMMYFUNCTION("""COMPUTED_VALUE"""),"")</f>
        <v/>
      </c>
      <c r="Q1823" s="5">
        <f>IFERROR(__xludf.DUMMYFUNCTION("""COMPUTED_VALUE"""),0.006973999999999999)</f>
        <v>0.006974</v>
      </c>
      <c r="R1823" s="4">
        <f>IFERROR(__xludf.DUMMYFUNCTION("""COMPUTED_VALUE"""),45949.0348700047)</f>
        <v>45949.03487</v>
      </c>
      <c r="S1823" s="1" t="b">
        <f>IFERROR(__xludf.DUMMYFUNCTION("""COMPUTED_VALUE"""),TRUE)</f>
        <v>1</v>
      </c>
      <c r="T1823" s="1" t="b">
        <f>IFERROR(__xludf.DUMMYFUNCTION("""COMPUTED_VALUE"""),FALSE)</f>
        <v>0</v>
      </c>
      <c r="U1823" s="1" t="str">
        <f>IFERROR(__xludf.DUMMYFUNCTION("""COMPUTED_VALUE"""),"VALID")</f>
        <v>VALID</v>
      </c>
      <c r="V1823" s="1">
        <f>IFERROR(__xludf.DUMMYFUNCTION("""COMPUTED_VALUE"""),556.0)</f>
        <v>556</v>
      </c>
      <c r="W1823" s="1">
        <f>IFERROR(__xludf.DUMMYFUNCTION("""COMPUTED_VALUE"""),881.0)</f>
        <v>881</v>
      </c>
      <c r="X1823" s="1">
        <f>IFERROR(__xludf.DUMMYFUNCTION("""COMPUTED_VALUE"""),717.0)</f>
        <v>717</v>
      </c>
      <c r="Y1823" s="2"/>
      <c r="Z1823" s="2"/>
    </row>
    <row r="1824">
      <c r="A1824" s="1">
        <f>IFERROR(__xludf.DUMMYFUNCTION("""COMPUTED_VALUE"""),1823.0)</f>
        <v>1823</v>
      </c>
      <c r="B1824" s="1">
        <f>IFERROR(__xludf.DUMMYFUNCTION("""COMPUTED_VALUE"""),5280.0)</f>
        <v>5280</v>
      </c>
      <c r="C1824" s="2" t="str">
        <f>IFERROR(__xludf.DUMMYFUNCTION("""COMPUTED_VALUE"""),"I-One")</f>
        <v>I-One</v>
      </c>
      <c r="D1824" s="2" t="str">
        <f>IFERROR(__xludf.DUMMYFUNCTION("""COMPUTED_VALUE"""),"5KM OVERALL M")</f>
        <v>5KM OVERALL M</v>
      </c>
      <c r="E1824" s="1">
        <f>IFERROR(__xludf.DUMMYFUNCTION("""COMPUTED_VALUE"""),2.0)</f>
        <v>2</v>
      </c>
      <c r="F1824" s="1" t="str">
        <f>IFERROR(__xludf.DUMMYFUNCTION("""COMPUTED_VALUE"""),"Male")</f>
        <v>Male</v>
      </c>
      <c r="G1824" s="4" t="b">
        <f>IFERROR(__xludf.DUMMYFUNCTION("""COMPUTED_VALUE"""),TRUE)</f>
        <v>1</v>
      </c>
      <c r="H1824" s="4" t="b">
        <f>IFERROR(__xludf.DUMMYFUNCTION("""COMPUTED_VALUE"""),TRUE)</f>
        <v>1</v>
      </c>
      <c r="I1824" s="4">
        <f>IFERROR(__xludf.DUMMYFUNCTION("""COMPUTED_VALUE"""),0.2549440625)</f>
        <v>0.2549440625</v>
      </c>
      <c r="J1824" s="4">
        <f>IFERROR(__xludf.DUMMYFUNCTION("""COMPUTED_VALUE"""),45949.2784746317)</f>
        <v>45949.27847</v>
      </c>
      <c r="K1824" s="4" t="str">
        <f>IFERROR(__xludf.DUMMYFUNCTION("""COMPUTED_VALUE"""),"")</f>
        <v/>
      </c>
      <c r="L1824" s="4">
        <f>IFERROR(__xludf.DUMMYFUNCTION("""COMPUTED_VALUE"""),45949.29375851141)</f>
        <v>45949.29376</v>
      </c>
      <c r="M1824" s="1" t="str">
        <f>IFERROR(__xludf.DUMMYFUNCTION("""COMPUTED_VALUE"""),"RFID")</f>
        <v>RFID</v>
      </c>
      <c r="N1824" s="5">
        <f>IFERROR(__xludf.DUMMYFUNCTION("""COMPUTED_VALUE"""),0.009412226851851852)</f>
        <v>0.009412226852</v>
      </c>
      <c r="O1824" s="5" t="str">
        <f>IFERROR(__xludf.DUMMYFUNCTION("""COMPUTED_VALUE"""),"")</f>
        <v/>
      </c>
      <c r="P1824" s="5" t="str">
        <f>IFERROR(__xludf.DUMMYFUNCTION("""COMPUTED_VALUE"""),"")</f>
        <v/>
      </c>
      <c r="Q1824" s="5">
        <f>IFERROR(__xludf.DUMMYFUNCTION("""COMPUTED_VALUE"""),0.00776288888888889)</f>
        <v>0.007762888889</v>
      </c>
      <c r="R1824" s="4">
        <f>IFERROR(__xludf.DUMMYFUNCTION("""COMPUTED_VALUE"""),45949.03881444891)</f>
        <v>45949.03881</v>
      </c>
      <c r="S1824" s="1" t="b">
        <f>IFERROR(__xludf.DUMMYFUNCTION("""COMPUTED_VALUE"""),TRUE)</f>
        <v>1</v>
      </c>
      <c r="T1824" s="1" t="b">
        <f>IFERROR(__xludf.DUMMYFUNCTION("""COMPUTED_VALUE"""),FALSE)</f>
        <v>0</v>
      </c>
      <c r="U1824" s="1" t="str">
        <f>IFERROR(__xludf.DUMMYFUNCTION("""COMPUTED_VALUE"""),"VALID")</f>
        <v>VALID</v>
      </c>
      <c r="V1824" s="1">
        <f>IFERROR(__xludf.DUMMYFUNCTION("""COMPUTED_VALUE"""),677.0)</f>
        <v>677</v>
      </c>
      <c r="W1824" s="1">
        <f>IFERROR(__xludf.DUMMYFUNCTION("""COMPUTED_VALUE"""),1155.0)</f>
        <v>1155</v>
      </c>
      <c r="X1824" s="1">
        <f>IFERROR(__xludf.DUMMYFUNCTION("""COMPUTED_VALUE"""),916.0)</f>
        <v>916</v>
      </c>
      <c r="Y1824" s="2"/>
      <c r="Z1824" s="2"/>
    </row>
    <row r="1825">
      <c r="A1825" s="1">
        <f>IFERROR(__xludf.DUMMYFUNCTION("""COMPUTED_VALUE"""),1824.0)</f>
        <v>1824</v>
      </c>
      <c r="B1825" s="1">
        <f>IFERROR(__xludf.DUMMYFUNCTION("""COMPUTED_VALUE"""),5281.0)</f>
        <v>5281</v>
      </c>
      <c r="C1825" s="2" t="str">
        <f>IFERROR(__xludf.DUMMYFUNCTION("""COMPUTED_VALUE"""),"AR")</f>
        <v>AR</v>
      </c>
      <c r="D1825" s="2" t="str">
        <f>IFERROR(__xludf.DUMMYFUNCTION("""COMPUTED_VALUE"""),"5KM OVERALL M")</f>
        <v>5KM OVERALL M</v>
      </c>
      <c r="E1825" s="1">
        <f>IFERROR(__xludf.DUMMYFUNCTION("""COMPUTED_VALUE"""),2.0)</f>
        <v>2</v>
      </c>
      <c r="F1825" s="1" t="str">
        <f>IFERROR(__xludf.DUMMYFUNCTION("""COMPUTED_VALUE"""),"Male")</f>
        <v>Male</v>
      </c>
      <c r="G1825" s="4" t="b">
        <f>IFERROR(__xludf.DUMMYFUNCTION("""COMPUTED_VALUE"""),TRUE)</f>
        <v>1</v>
      </c>
      <c r="H1825" s="4" t="b">
        <f>IFERROR(__xludf.DUMMYFUNCTION("""COMPUTED_VALUE"""),TRUE)</f>
        <v>1</v>
      </c>
      <c r="I1825" s="4">
        <f>IFERROR(__xludf.DUMMYFUNCTION("""COMPUTED_VALUE"""),0.2549440625)</f>
        <v>0.2549440625</v>
      </c>
      <c r="J1825" s="4">
        <f>IFERROR(__xludf.DUMMYFUNCTION("""COMPUTED_VALUE"""),45949.27639822001)</f>
        <v>45949.2764</v>
      </c>
      <c r="K1825" s="4" t="str">
        <f>IFERROR(__xludf.DUMMYFUNCTION("""COMPUTED_VALUE"""),"")</f>
        <v/>
      </c>
      <c r="L1825" s="4">
        <f>IFERROR(__xludf.DUMMYFUNCTION("""COMPUTED_VALUE"""),45949.291751570774)</f>
        <v>45949.29175</v>
      </c>
      <c r="M1825" s="1" t="str">
        <f>IFERROR(__xludf.DUMMYFUNCTION("""COMPUTED_VALUE"""),"RFID")</f>
        <v>RFID</v>
      </c>
      <c r="N1825" s="5">
        <f>IFERROR(__xludf.DUMMYFUNCTION("""COMPUTED_VALUE"""),0.008581662037037037)</f>
        <v>0.008581662037</v>
      </c>
      <c r="O1825" s="5" t="str">
        <f>IFERROR(__xludf.DUMMYFUNCTION("""COMPUTED_VALUE"""),"")</f>
        <v/>
      </c>
      <c r="P1825" s="5" t="str">
        <f>IFERROR(__xludf.DUMMYFUNCTION("""COMPUTED_VALUE"""),"")</f>
        <v/>
      </c>
      <c r="Q1825" s="5">
        <f>IFERROR(__xludf.DUMMYFUNCTION("""COMPUTED_VALUE"""),0.007361502314814815)</f>
        <v>0.007361502315</v>
      </c>
      <c r="R1825" s="4">
        <f>IFERROR(__xludf.DUMMYFUNCTION("""COMPUTED_VALUE"""),45949.03680750827)</f>
        <v>45949.03681</v>
      </c>
      <c r="S1825" s="1" t="b">
        <f>IFERROR(__xludf.DUMMYFUNCTION("""COMPUTED_VALUE"""),TRUE)</f>
        <v>1</v>
      </c>
      <c r="T1825" s="1" t="b">
        <f>IFERROR(__xludf.DUMMYFUNCTION("""COMPUTED_VALUE"""),FALSE)</f>
        <v>0</v>
      </c>
      <c r="U1825" s="1" t="str">
        <f>IFERROR(__xludf.DUMMYFUNCTION("""COMPUTED_VALUE"""),"VALID")</f>
        <v>VALID</v>
      </c>
      <c r="V1825" s="1">
        <f>IFERROR(__xludf.DUMMYFUNCTION("""COMPUTED_VALUE"""),621.0)</f>
        <v>621</v>
      </c>
      <c r="W1825" s="1">
        <f>IFERROR(__xludf.DUMMYFUNCTION("""COMPUTED_VALUE"""),1016.0)</f>
        <v>1016</v>
      </c>
      <c r="X1825" s="1">
        <f>IFERROR(__xludf.DUMMYFUNCTION("""COMPUTED_VALUE"""),820.0)</f>
        <v>820</v>
      </c>
      <c r="Y1825" s="2"/>
      <c r="Z1825" s="2"/>
    </row>
    <row r="1826">
      <c r="A1826" s="1">
        <f>IFERROR(__xludf.DUMMYFUNCTION("""COMPUTED_VALUE"""),1825.0)</f>
        <v>1825</v>
      </c>
      <c r="B1826" s="1">
        <f>IFERROR(__xludf.DUMMYFUNCTION("""COMPUTED_VALUE"""),5283.0)</f>
        <v>5283</v>
      </c>
      <c r="C1826" s="2" t="str">
        <f>IFERROR(__xludf.DUMMYFUNCTION("""COMPUTED_VALUE"""),"Danu")</f>
        <v>Danu</v>
      </c>
      <c r="D1826" s="2" t="str">
        <f>IFERROR(__xludf.DUMMYFUNCTION("""COMPUTED_VALUE"""),"5KM OVERALL M")</f>
        <v>5KM OVERALL M</v>
      </c>
      <c r="E1826" s="1">
        <f>IFERROR(__xludf.DUMMYFUNCTION("""COMPUTED_VALUE"""),2.0)</f>
        <v>2</v>
      </c>
      <c r="F1826" s="1" t="str">
        <f>IFERROR(__xludf.DUMMYFUNCTION("""COMPUTED_VALUE"""),"Male")</f>
        <v>Male</v>
      </c>
      <c r="G1826" s="4" t="b">
        <f>IFERROR(__xludf.DUMMYFUNCTION("""COMPUTED_VALUE"""),TRUE)</f>
        <v>1</v>
      </c>
      <c r="H1826" s="4" t="b">
        <f>IFERROR(__xludf.DUMMYFUNCTION("""COMPUTED_VALUE"""),TRUE)</f>
        <v>1</v>
      </c>
      <c r="I1826" s="4">
        <f>IFERROR(__xludf.DUMMYFUNCTION("""COMPUTED_VALUE"""),0.2549440625)</f>
        <v>0.2549440625</v>
      </c>
      <c r="J1826" s="4">
        <f>IFERROR(__xludf.DUMMYFUNCTION("""COMPUTED_VALUE"""),45949.2679364065)</f>
        <v>45949.26794</v>
      </c>
      <c r="K1826" s="4" t="str">
        <f>IFERROR(__xludf.DUMMYFUNCTION("""COMPUTED_VALUE"""),"")</f>
        <v/>
      </c>
      <c r="L1826" s="4">
        <f>IFERROR(__xludf.DUMMYFUNCTION("""COMPUTED_VALUE"""),45949.28038698637)</f>
        <v>45949.28039</v>
      </c>
      <c r="M1826" s="1" t="str">
        <f>IFERROR(__xludf.DUMMYFUNCTION("""COMPUTED_VALUE"""),"RFID")</f>
        <v>RFID</v>
      </c>
      <c r="N1826" s="5">
        <f>IFERROR(__xludf.DUMMYFUNCTION("""COMPUTED_VALUE"""),0.005196939814814815)</f>
        <v>0.005196939815</v>
      </c>
      <c r="O1826" s="5" t="str">
        <f>IFERROR(__xludf.DUMMYFUNCTION("""COMPUTED_VALUE"""),"")</f>
        <v/>
      </c>
      <c r="P1826" s="5" t="str">
        <f>IFERROR(__xludf.DUMMYFUNCTION("""COMPUTED_VALUE"""),"")</f>
        <v/>
      </c>
      <c r="Q1826" s="5">
        <f>IFERROR(__xludf.DUMMYFUNCTION("""COMPUTED_VALUE"""),0.005088585648148148)</f>
        <v>0.005088585648</v>
      </c>
      <c r="R1826" s="4">
        <f>IFERROR(__xludf.DUMMYFUNCTION("""COMPUTED_VALUE"""),45949.02544292387)</f>
        <v>45949.02544</v>
      </c>
      <c r="S1826" s="1" t="b">
        <f>IFERROR(__xludf.DUMMYFUNCTION("""COMPUTED_VALUE"""),TRUE)</f>
        <v>1</v>
      </c>
      <c r="T1826" s="1" t="b">
        <f>IFERROR(__xludf.DUMMYFUNCTION("""COMPUTED_VALUE"""),FALSE)</f>
        <v>0</v>
      </c>
      <c r="U1826" s="1" t="str">
        <f>IFERROR(__xludf.DUMMYFUNCTION("""COMPUTED_VALUE"""),"VALID")</f>
        <v>VALID</v>
      </c>
      <c r="V1826" s="1">
        <f>IFERROR(__xludf.DUMMYFUNCTION("""COMPUTED_VALUE"""),198.0)</f>
        <v>198</v>
      </c>
      <c r="W1826" s="1">
        <f>IFERROR(__xludf.DUMMYFUNCTION("""COMPUTED_VALUE"""),309.0)</f>
        <v>309</v>
      </c>
      <c r="X1826" s="1">
        <f>IFERROR(__xludf.DUMMYFUNCTION("""COMPUTED_VALUE"""),271.0)</f>
        <v>271</v>
      </c>
      <c r="Y1826" s="2"/>
      <c r="Z1826" s="2"/>
    </row>
    <row r="1827">
      <c r="A1827" s="1">
        <f>IFERROR(__xludf.DUMMYFUNCTION("""COMPUTED_VALUE"""),1826.0)</f>
        <v>1826</v>
      </c>
      <c r="B1827" s="1">
        <f>IFERROR(__xludf.DUMMYFUNCTION("""COMPUTED_VALUE"""),5287.0)</f>
        <v>5287</v>
      </c>
      <c r="C1827" s="2" t="str">
        <f>IFERROR(__xludf.DUMMYFUNCTION("""COMPUTED_VALUE"""),"Jaya Riadi Nor")</f>
        <v>Jaya Riadi Nor</v>
      </c>
      <c r="D1827" s="2" t="str">
        <f>IFERROR(__xludf.DUMMYFUNCTION("""COMPUTED_VALUE"""),"5KM OVERALL M")</f>
        <v>5KM OVERALL M</v>
      </c>
      <c r="E1827" s="1">
        <f>IFERROR(__xludf.DUMMYFUNCTION("""COMPUTED_VALUE"""),2.0)</f>
        <v>2</v>
      </c>
      <c r="F1827" s="1" t="str">
        <f>IFERROR(__xludf.DUMMYFUNCTION("""COMPUTED_VALUE"""),"Male")</f>
        <v>Male</v>
      </c>
      <c r="G1827" s="4" t="b">
        <f>IFERROR(__xludf.DUMMYFUNCTION("""COMPUTED_VALUE"""),TRUE)</f>
        <v>1</v>
      </c>
      <c r="H1827" s="4" t="b">
        <f>IFERROR(__xludf.DUMMYFUNCTION("""COMPUTED_VALUE"""),TRUE)</f>
        <v>1</v>
      </c>
      <c r="I1827" s="4">
        <f>IFERROR(__xludf.DUMMYFUNCTION("""COMPUTED_VALUE"""),0.2549440625)</f>
        <v>0.2549440625</v>
      </c>
      <c r="J1827" s="4">
        <f>IFERROR(__xludf.DUMMYFUNCTION("""COMPUTED_VALUE"""),45949.274912166926)</f>
        <v>45949.27491</v>
      </c>
      <c r="K1827" s="4" t="str">
        <f>IFERROR(__xludf.DUMMYFUNCTION("""COMPUTED_VALUE"""),"")</f>
        <v/>
      </c>
      <c r="L1827" s="4">
        <f>IFERROR(__xludf.DUMMYFUNCTION("""COMPUTED_VALUE"""),45949.285074474894)</f>
        <v>45949.28507</v>
      </c>
      <c r="M1827" s="1" t="str">
        <f>IFERROR(__xludf.DUMMYFUNCTION("""COMPUTED_VALUE"""),"RFID")</f>
        <v>RFID</v>
      </c>
      <c r="N1827" s="5">
        <f>IFERROR(__xludf.DUMMYFUNCTION("""COMPUTED_VALUE"""),0.007987240740740741)</f>
        <v>0.007987240741</v>
      </c>
      <c r="O1827" s="5" t="str">
        <f>IFERROR(__xludf.DUMMYFUNCTION("""COMPUTED_VALUE"""),"")</f>
        <v/>
      </c>
      <c r="P1827" s="5" t="str">
        <f>IFERROR(__xludf.DUMMYFUNCTION("""COMPUTED_VALUE"""),"")</f>
        <v/>
      </c>
      <c r="Q1827" s="5">
        <f>IFERROR(__xludf.DUMMYFUNCTION("""COMPUTED_VALUE"""),0.006026083333333333)</f>
        <v>0.006026083333</v>
      </c>
      <c r="R1827" s="4">
        <f>IFERROR(__xludf.DUMMYFUNCTION("""COMPUTED_VALUE"""),45949.03013041239)</f>
        <v>45949.03013</v>
      </c>
      <c r="S1827" s="1" t="b">
        <f>IFERROR(__xludf.DUMMYFUNCTION("""COMPUTED_VALUE"""),TRUE)</f>
        <v>1</v>
      </c>
      <c r="T1827" s="1" t="b">
        <f>IFERROR(__xludf.DUMMYFUNCTION("""COMPUTED_VALUE"""),FALSE)</f>
        <v>0</v>
      </c>
      <c r="U1827" s="1" t="str">
        <f>IFERROR(__xludf.DUMMYFUNCTION("""COMPUTED_VALUE"""),"VALID")</f>
        <v>VALID</v>
      </c>
      <c r="V1827" s="1">
        <f>IFERROR(__xludf.DUMMYFUNCTION("""COMPUTED_VALUE"""),381.0)</f>
        <v>381</v>
      </c>
      <c r="W1827" s="1">
        <f>IFERROR(__xludf.DUMMYFUNCTION("""COMPUTED_VALUE"""),576.0)</f>
        <v>576</v>
      </c>
      <c r="X1827" s="1">
        <f>IFERROR(__xludf.DUMMYFUNCTION("""COMPUTED_VALUE"""),490.0)</f>
        <v>490</v>
      </c>
      <c r="Y1827" s="2"/>
      <c r="Z1827" s="2"/>
    </row>
    <row r="1828">
      <c r="A1828" s="1">
        <f>IFERROR(__xludf.DUMMYFUNCTION("""COMPUTED_VALUE"""),1827.0)</f>
        <v>1827</v>
      </c>
      <c r="B1828" s="1">
        <f>IFERROR(__xludf.DUMMYFUNCTION("""COMPUTED_VALUE"""),5290.0)</f>
        <v>5290</v>
      </c>
      <c r="C1828" s="2" t="str">
        <f>IFERROR(__xludf.DUMMYFUNCTION("""COMPUTED_VALUE"""),"Yudistira")</f>
        <v>Yudistira</v>
      </c>
      <c r="D1828" s="2" t="str">
        <f>IFERROR(__xludf.DUMMYFUNCTION("""COMPUTED_VALUE"""),"5KM OVERALL M")</f>
        <v>5KM OVERALL M</v>
      </c>
      <c r="E1828" s="1">
        <f>IFERROR(__xludf.DUMMYFUNCTION("""COMPUTED_VALUE"""),2.0)</f>
        <v>2</v>
      </c>
      <c r="F1828" s="1" t="str">
        <f>IFERROR(__xludf.DUMMYFUNCTION("""COMPUTED_VALUE"""),"Male")</f>
        <v>Male</v>
      </c>
      <c r="G1828" s="4" t="b">
        <f>IFERROR(__xludf.DUMMYFUNCTION("""COMPUTED_VALUE"""),TRUE)</f>
        <v>1</v>
      </c>
      <c r="H1828" s="4" t="b">
        <f>IFERROR(__xludf.DUMMYFUNCTION("""COMPUTED_VALUE"""),TRUE)</f>
        <v>1</v>
      </c>
      <c r="I1828" s="4">
        <f>IFERROR(__xludf.DUMMYFUNCTION("""COMPUTED_VALUE"""),0.2549440625)</f>
        <v>0.2549440625</v>
      </c>
      <c r="J1828" s="4">
        <f>IFERROR(__xludf.DUMMYFUNCTION("""COMPUTED_VALUE"""),45949.27891904922)</f>
        <v>45949.27892</v>
      </c>
      <c r="K1828" s="4" t="str">
        <f>IFERROR(__xludf.DUMMYFUNCTION("""COMPUTED_VALUE"""),"")</f>
        <v/>
      </c>
      <c r="L1828" s="4">
        <f>IFERROR(__xludf.DUMMYFUNCTION("""COMPUTED_VALUE"""),45949.296456428914)</f>
        <v>45949.29646</v>
      </c>
      <c r="M1828" s="1" t="str">
        <f>IFERROR(__xludf.DUMMYFUNCTION("""COMPUTED_VALUE"""),"RFID")</f>
        <v>RFID</v>
      </c>
      <c r="N1828" s="5">
        <f>IFERROR(__xludf.DUMMYFUNCTION("""COMPUTED_VALUE"""),0.00958999537037037)</f>
        <v>0.00958999537</v>
      </c>
      <c r="O1828" s="5" t="str">
        <f>IFERROR(__xludf.DUMMYFUNCTION("""COMPUTED_VALUE"""),"")</f>
        <v/>
      </c>
      <c r="P1828" s="5" t="str">
        <f>IFERROR(__xludf.DUMMYFUNCTION("""COMPUTED_VALUE"""),"")</f>
        <v/>
      </c>
      <c r="Q1828" s="5">
        <f>IFERROR(__xludf.DUMMYFUNCTION("""COMPUTED_VALUE"""),0.008302472222222222)</f>
        <v>0.008302472222</v>
      </c>
      <c r="R1828" s="4">
        <f>IFERROR(__xludf.DUMMYFUNCTION("""COMPUTED_VALUE"""),45949.04151236641)</f>
        <v>45949.04151</v>
      </c>
      <c r="S1828" s="1" t="b">
        <f>IFERROR(__xludf.DUMMYFUNCTION("""COMPUTED_VALUE"""),TRUE)</f>
        <v>1</v>
      </c>
      <c r="T1828" s="1" t="b">
        <f>IFERROR(__xludf.DUMMYFUNCTION("""COMPUTED_VALUE"""),FALSE)</f>
        <v>0</v>
      </c>
      <c r="U1828" s="1" t="str">
        <f>IFERROR(__xludf.DUMMYFUNCTION("""COMPUTED_VALUE"""),"VALID")</f>
        <v>VALID</v>
      </c>
      <c r="V1828" s="1">
        <f>IFERROR(__xludf.DUMMYFUNCTION("""COMPUTED_VALUE"""),747.0)</f>
        <v>747</v>
      </c>
      <c r="W1828" s="1">
        <f>IFERROR(__xludf.DUMMYFUNCTION("""COMPUTED_VALUE"""),1315.0)</f>
        <v>1315</v>
      </c>
      <c r="X1828" s="1">
        <f>IFERROR(__xludf.DUMMYFUNCTION("""COMPUTED_VALUE"""),1042.0)</f>
        <v>1042</v>
      </c>
      <c r="Y1828" s="2"/>
      <c r="Z1828" s="2"/>
    </row>
    <row r="1829">
      <c r="A1829" s="1">
        <f>IFERROR(__xludf.DUMMYFUNCTION("""COMPUTED_VALUE"""),1828.0)</f>
        <v>1828</v>
      </c>
      <c r="B1829" s="1">
        <f>IFERROR(__xludf.DUMMYFUNCTION("""COMPUTED_VALUE"""),5291.0)</f>
        <v>5291</v>
      </c>
      <c r="C1829" s="2" t="str">
        <f>IFERROR(__xludf.DUMMYFUNCTION("""COMPUTED_VALUE"""),"KHAIRUR ROZIKIN")</f>
        <v>KHAIRUR ROZIKIN</v>
      </c>
      <c r="D1829" s="2" t="str">
        <f>IFERROR(__xludf.DUMMYFUNCTION("""COMPUTED_VALUE"""),"5KM OVERALL M")</f>
        <v>5KM OVERALL M</v>
      </c>
      <c r="E1829" s="1">
        <f>IFERROR(__xludf.DUMMYFUNCTION("""COMPUTED_VALUE"""),2.0)</f>
        <v>2</v>
      </c>
      <c r="F1829" s="1" t="str">
        <f>IFERROR(__xludf.DUMMYFUNCTION("""COMPUTED_VALUE"""),"Male")</f>
        <v>Male</v>
      </c>
      <c r="G1829" s="4" t="b">
        <f>IFERROR(__xludf.DUMMYFUNCTION("""COMPUTED_VALUE"""),TRUE)</f>
        <v>1</v>
      </c>
      <c r="H1829" s="4" t="b">
        <f>IFERROR(__xludf.DUMMYFUNCTION("""COMPUTED_VALUE"""),TRUE)</f>
        <v>1</v>
      </c>
      <c r="I1829" s="4">
        <f>IFERROR(__xludf.DUMMYFUNCTION("""COMPUTED_VALUE"""),0.2549440625)</f>
        <v>0.2549440625</v>
      </c>
      <c r="J1829" s="4">
        <f>IFERROR(__xludf.DUMMYFUNCTION("""COMPUTED_VALUE"""),45949.26746771276)</f>
        <v>45949.26747</v>
      </c>
      <c r="K1829" s="4" t="str">
        <f>IFERROR(__xludf.DUMMYFUNCTION("""COMPUTED_VALUE"""),"")</f>
        <v/>
      </c>
      <c r="L1829" s="4">
        <f>IFERROR(__xludf.DUMMYFUNCTION("""COMPUTED_VALUE"""),45949.27942239125)</f>
        <v>45949.27942</v>
      </c>
      <c r="M1829" s="1" t="str">
        <f>IFERROR(__xludf.DUMMYFUNCTION("""COMPUTED_VALUE"""),"RFID")</f>
        <v>RFID</v>
      </c>
      <c r="N1829" s="5">
        <f>IFERROR(__xludf.DUMMYFUNCTION("""COMPUTED_VALUE"""),0.005009458333333333)</f>
        <v>0.005009458333</v>
      </c>
      <c r="O1829" s="5" t="str">
        <f>IFERROR(__xludf.DUMMYFUNCTION("""COMPUTED_VALUE"""),"")</f>
        <v/>
      </c>
      <c r="P1829" s="5" t="str">
        <f>IFERROR(__xludf.DUMMYFUNCTION("""COMPUTED_VALUE"""),"")</f>
        <v/>
      </c>
      <c r="Q1829" s="5">
        <f>IFERROR(__xludf.DUMMYFUNCTION("""COMPUTED_VALUE"""),0.004895666666666666)</f>
        <v>0.004895666667</v>
      </c>
      <c r="R1829" s="4">
        <f>IFERROR(__xludf.DUMMYFUNCTION("""COMPUTED_VALUE"""),45949.02447832875)</f>
        <v>45949.02448</v>
      </c>
      <c r="S1829" s="1" t="b">
        <f>IFERROR(__xludf.DUMMYFUNCTION("""COMPUTED_VALUE"""),TRUE)</f>
        <v>1</v>
      </c>
      <c r="T1829" s="1" t="b">
        <f>IFERROR(__xludf.DUMMYFUNCTION("""COMPUTED_VALUE"""),FALSE)</f>
        <v>0</v>
      </c>
      <c r="U1829" s="1" t="str">
        <f>IFERROR(__xludf.DUMMYFUNCTION("""COMPUTED_VALUE"""),"VALID")</f>
        <v>VALID</v>
      </c>
      <c r="V1829" s="1">
        <f>IFERROR(__xludf.DUMMYFUNCTION("""COMPUTED_VALUE"""),171.0)</f>
        <v>171</v>
      </c>
      <c r="W1829" s="1">
        <f>IFERROR(__xludf.DUMMYFUNCTION("""COMPUTED_VALUE"""),263.0)</f>
        <v>263</v>
      </c>
      <c r="X1829" s="1">
        <f>IFERROR(__xludf.DUMMYFUNCTION("""COMPUTED_VALUE"""),230.0)</f>
        <v>230</v>
      </c>
      <c r="Y1829" s="2"/>
      <c r="Z1829" s="2"/>
    </row>
    <row r="1830">
      <c r="A1830" s="1">
        <f>IFERROR(__xludf.DUMMYFUNCTION("""COMPUTED_VALUE"""),1829.0)</f>
        <v>1829</v>
      </c>
      <c r="B1830" s="1">
        <f>IFERROR(__xludf.DUMMYFUNCTION("""COMPUTED_VALUE"""),5292.0)</f>
        <v>5292</v>
      </c>
      <c r="C1830" s="2" t="str">
        <f>IFERROR(__xludf.DUMMYFUNCTION("""COMPUTED_VALUE"""),"Dita Kurniawan")</f>
        <v>Dita Kurniawan</v>
      </c>
      <c r="D1830" s="2" t="str">
        <f>IFERROR(__xludf.DUMMYFUNCTION("""COMPUTED_VALUE"""),"5KM OVERALL M")</f>
        <v>5KM OVERALL M</v>
      </c>
      <c r="E1830" s="1">
        <f>IFERROR(__xludf.DUMMYFUNCTION("""COMPUTED_VALUE"""),2.0)</f>
        <v>2</v>
      </c>
      <c r="F1830" s="1" t="str">
        <f>IFERROR(__xludf.DUMMYFUNCTION("""COMPUTED_VALUE"""),"Male")</f>
        <v>Male</v>
      </c>
      <c r="G1830" s="4" t="b">
        <f>IFERROR(__xludf.DUMMYFUNCTION("""COMPUTED_VALUE"""),TRUE)</f>
        <v>1</v>
      </c>
      <c r="H1830" s="4" t="b">
        <f>IFERROR(__xludf.DUMMYFUNCTION("""COMPUTED_VALUE"""),TRUE)</f>
        <v>1</v>
      </c>
      <c r="I1830" s="4">
        <f>IFERROR(__xludf.DUMMYFUNCTION("""COMPUTED_VALUE"""),0.2549440625)</f>
        <v>0.2549440625</v>
      </c>
      <c r="J1830" s="4">
        <f>IFERROR(__xludf.DUMMYFUNCTION("""COMPUTED_VALUE"""),45949.27308925877)</f>
        <v>45949.27309</v>
      </c>
      <c r="K1830" s="4" t="str">
        <f>IFERROR(__xludf.DUMMYFUNCTION("""COMPUTED_VALUE"""),"")</f>
        <v/>
      </c>
      <c r="L1830" s="4">
        <f>IFERROR(__xludf.DUMMYFUNCTION("""COMPUTED_VALUE"""),45949.28588697798)</f>
        <v>45949.28589</v>
      </c>
      <c r="M1830" s="1" t="str">
        <f>IFERROR(__xludf.DUMMYFUNCTION("""COMPUTED_VALUE"""),"RFID")</f>
        <v>RFID</v>
      </c>
      <c r="N1830" s="5">
        <f>IFERROR(__xludf.DUMMYFUNCTION("""COMPUTED_VALUE"""),0.007258078703703703)</f>
        <v>0.007258078704</v>
      </c>
      <c r="O1830" s="5" t="str">
        <f>IFERROR(__xludf.DUMMYFUNCTION("""COMPUTED_VALUE"""),"")</f>
        <v/>
      </c>
      <c r="P1830" s="5" t="str">
        <f>IFERROR(__xludf.DUMMYFUNCTION("""COMPUTED_VALUE"""),"")</f>
        <v/>
      </c>
      <c r="Q1830" s="5">
        <f>IFERROR(__xludf.DUMMYFUNCTION("""COMPUTED_VALUE"""),0.006188583333333332)</f>
        <v>0.006188583333</v>
      </c>
      <c r="R1830" s="4">
        <f>IFERROR(__xludf.DUMMYFUNCTION("""COMPUTED_VALUE"""),45949.03094291548)</f>
        <v>45949.03094</v>
      </c>
      <c r="S1830" s="1" t="b">
        <f>IFERROR(__xludf.DUMMYFUNCTION("""COMPUTED_VALUE"""),TRUE)</f>
        <v>1</v>
      </c>
      <c r="T1830" s="1" t="b">
        <f>IFERROR(__xludf.DUMMYFUNCTION("""COMPUTED_VALUE"""),FALSE)</f>
        <v>0</v>
      </c>
      <c r="U1830" s="1" t="str">
        <f>IFERROR(__xludf.DUMMYFUNCTION("""COMPUTED_VALUE"""),"VALID")</f>
        <v>VALID</v>
      </c>
      <c r="V1830" s="1">
        <f>IFERROR(__xludf.DUMMYFUNCTION("""COMPUTED_VALUE"""),413.0)</f>
        <v>413</v>
      </c>
      <c r="W1830" s="1">
        <f>IFERROR(__xludf.DUMMYFUNCTION("""COMPUTED_VALUE"""),632.0)</f>
        <v>632</v>
      </c>
      <c r="X1830" s="1">
        <f>IFERROR(__xludf.DUMMYFUNCTION("""COMPUTED_VALUE"""),528.0)</f>
        <v>528</v>
      </c>
      <c r="Y1830" s="2"/>
      <c r="Z1830" s="2"/>
    </row>
    <row r="1831">
      <c r="A1831" s="1">
        <f>IFERROR(__xludf.DUMMYFUNCTION("""COMPUTED_VALUE"""),1830.0)</f>
        <v>1830</v>
      </c>
      <c r="B1831" s="1">
        <f>IFERROR(__xludf.DUMMYFUNCTION("""COMPUTED_VALUE"""),5295.0)</f>
        <v>5295</v>
      </c>
      <c r="C1831" s="2" t="str">
        <f>IFERROR(__xludf.DUMMYFUNCTION("""COMPUTED_VALUE"""),"Putra Wiguna")</f>
        <v>Putra Wiguna</v>
      </c>
      <c r="D1831" s="2" t="str">
        <f>IFERROR(__xludf.DUMMYFUNCTION("""COMPUTED_VALUE"""),"5KM OVERALL M")</f>
        <v>5KM OVERALL M</v>
      </c>
      <c r="E1831" s="1">
        <f>IFERROR(__xludf.DUMMYFUNCTION("""COMPUTED_VALUE"""),2.0)</f>
        <v>2</v>
      </c>
      <c r="F1831" s="1" t="str">
        <f>IFERROR(__xludf.DUMMYFUNCTION("""COMPUTED_VALUE"""),"Male")</f>
        <v>Male</v>
      </c>
      <c r="G1831" s="4" t="b">
        <f>IFERROR(__xludf.DUMMYFUNCTION("""COMPUTED_VALUE"""),TRUE)</f>
        <v>1</v>
      </c>
      <c r="H1831" s="4" t="b">
        <f>IFERROR(__xludf.DUMMYFUNCTION("""COMPUTED_VALUE"""),TRUE)</f>
        <v>1</v>
      </c>
      <c r="I1831" s="4">
        <f>IFERROR(__xludf.DUMMYFUNCTION("""COMPUTED_VALUE"""),0.2549440625)</f>
        <v>0.2549440625</v>
      </c>
      <c r="J1831" s="4">
        <f>IFERROR(__xludf.DUMMYFUNCTION("""COMPUTED_VALUE"""),45949.274821862164)</f>
        <v>45949.27482</v>
      </c>
      <c r="K1831" s="4" t="str">
        <f>IFERROR(__xludf.DUMMYFUNCTION("""COMPUTED_VALUE"""),"")</f>
        <v/>
      </c>
      <c r="L1831" s="4">
        <f>IFERROR(__xludf.DUMMYFUNCTION("""COMPUTED_VALUE"""),45949.28933142287)</f>
        <v>45949.28933</v>
      </c>
      <c r="M1831" s="1" t="str">
        <f>IFERROR(__xludf.DUMMYFUNCTION("""COMPUTED_VALUE"""),"RFID")</f>
        <v>RFID</v>
      </c>
      <c r="N1831" s="5">
        <f>IFERROR(__xludf.DUMMYFUNCTION("""COMPUTED_VALUE"""),0.00795112037037037)</f>
        <v>0.00795112037</v>
      </c>
      <c r="O1831" s="5" t="str">
        <f>IFERROR(__xludf.DUMMYFUNCTION("""COMPUTED_VALUE"""),"")</f>
        <v/>
      </c>
      <c r="P1831" s="5" t="str">
        <f>IFERROR(__xludf.DUMMYFUNCTION("""COMPUTED_VALUE"""),"")</f>
        <v/>
      </c>
      <c r="Q1831" s="5">
        <f>IFERROR(__xludf.DUMMYFUNCTION("""COMPUTED_VALUE"""),0.006877472222222222)</f>
        <v>0.006877472222</v>
      </c>
      <c r="R1831" s="4">
        <f>IFERROR(__xludf.DUMMYFUNCTION("""COMPUTED_VALUE"""),45949.03438736037)</f>
        <v>45949.03439</v>
      </c>
      <c r="S1831" s="1" t="b">
        <f>IFERROR(__xludf.DUMMYFUNCTION("""COMPUTED_VALUE"""),TRUE)</f>
        <v>1</v>
      </c>
      <c r="T1831" s="1" t="b">
        <f>IFERROR(__xludf.DUMMYFUNCTION("""COMPUTED_VALUE"""),FALSE)</f>
        <v>0</v>
      </c>
      <c r="U1831" s="1" t="str">
        <f>IFERROR(__xludf.DUMMYFUNCTION("""COMPUTED_VALUE"""),"VALID")</f>
        <v>VALID</v>
      </c>
      <c r="V1831" s="1">
        <f>IFERROR(__xludf.DUMMYFUNCTION("""COMPUTED_VALUE"""),547.0)</f>
        <v>547</v>
      </c>
      <c r="W1831" s="1">
        <f>IFERROR(__xludf.DUMMYFUNCTION("""COMPUTED_VALUE"""),862.0)</f>
        <v>862</v>
      </c>
      <c r="X1831" s="1">
        <f>IFERROR(__xludf.DUMMYFUNCTION("""COMPUTED_VALUE"""),705.0)</f>
        <v>705</v>
      </c>
      <c r="Y1831" s="2"/>
      <c r="Z1831" s="2"/>
    </row>
    <row r="1832">
      <c r="A1832" s="1">
        <f>IFERROR(__xludf.DUMMYFUNCTION("""COMPUTED_VALUE"""),1831.0)</f>
        <v>1831</v>
      </c>
      <c r="B1832" s="1">
        <f>IFERROR(__xludf.DUMMYFUNCTION("""COMPUTED_VALUE"""),5296.0)</f>
        <v>5296</v>
      </c>
      <c r="C1832" s="2" t="str">
        <f>IFERROR(__xludf.DUMMYFUNCTION("""COMPUTED_VALUE"""),"Madii")</f>
        <v>Madii</v>
      </c>
      <c r="D1832" s="2" t="str">
        <f>IFERROR(__xludf.DUMMYFUNCTION("""COMPUTED_VALUE"""),"5KM OVERALL M")</f>
        <v>5KM OVERALL M</v>
      </c>
      <c r="E1832" s="1">
        <f>IFERROR(__xludf.DUMMYFUNCTION("""COMPUTED_VALUE"""),2.0)</f>
        <v>2</v>
      </c>
      <c r="F1832" s="1" t="str">
        <f>IFERROR(__xludf.DUMMYFUNCTION("""COMPUTED_VALUE"""),"Male")</f>
        <v>Male</v>
      </c>
      <c r="G1832" s="4" t="b">
        <f>IFERROR(__xludf.DUMMYFUNCTION("""COMPUTED_VALUE"""),TRUE)</f>
        <v>1</v>
      </c>
      <c r="H1832" s="4" t="b">
        <f>IFERROR(__xludf.DUMMYFUNCTION("""COMPUTED_VALUE"""),FALSE)</f>
        <v>0</v>
      </c>
      <c r="I1832" s="4">
        <f>IFERROR(__xludf.DUMMYFUNCTION("""COMPUTED_VALUE"""),0.2549440625)</f>
        <v>0.2549440625</v>
      </c>
      <c r="J1832" s="4">
        <f>IFERROR(__xludf.DUMMYFUNCTION("""COMPUTED_VALUE"""),45949.27029057287)</f>
        <v>45949.27029</v>
      </c>
      <c r="K1832" s="4" t="str">
        <f>IFERROR(__xludf.DUMMYFUNCTION("""COMPUTED_VALUE"""),"")</f>
        <v/>
      </c>
      <c r="L1832" s="4">
        <f>IFERROR(__xludf.DUMMYFUNCTION("""COMPUTED_VALUE"""),45949.28088697424)</f>
        <v>45949.28089</v>
      </c>
      <c r="M1832" s="1" t="str">
        <f>IFERROR(__xludf.DUMMYFUNCTION("""COMPUTED_VALUE"""),"RFID")</f>
        <v>RFID</v>
      </c>
      <c r="N1832" s="5">
        <f>IFERROR(__xludf.DUMMYFUNCTION("""COMPUTED_VALUE"""),0.006138601851851852)</f>
        <v>0.006138601852</v>
      </c>
      <c r="O1832" s="5" t="str">
        <f>IFERROR(__xludf.DUMMYFUNCTION("""COMPUTED_VALUE"""),"")</f>
        <v/>
      </c>
      <c r="P1832" s="5" t="str">
        <f>IFERROR(__xludf.DUMMYFUNCTION("""COMPUTED_VALUE"""),"")</f>
        <v/>
      </c>
      <c r="Q1832" s="5">
        <f>IFERROR(__xludf.DUMMYFUNCTION("""COMPUTED_VALUE"""),0.005188583333333333)</f>
        <v>0.005188583333</v>
      </c>
      <c r="R1832" s="4">
        <f>IFERROR(__xludf.DUMMYFUNCTION("""COMPUTED_VALUE"""),45949.025942911736)</f>
        <v>45949.02594</v>
      </c>
      <c r="S1832" s="1" t="b">
        <f>IFERROR(__xludf.DUMMYFUNCTION("""COMPUTED_VALUE"""),TRUE)</f>
        <v>1</v>
      </c>
      <c r="T1832" s="1" t="b">
        <f>IFERROR(__xludf.DUMMYFUNCTION("""COMPUTED_VALUE"""),FALSE)</f>
        <v>0</v>
      </c>
      <c r="U1832" s="1" t="str">
        <f>IFERROR(__xludf.DUMMYFUNCTION("""COMPUTED_VALUE"""),"VALID")</f>
        <v>VALID</v>
      </c>
      <c r="V1832" s="1">
        <f>IFERROR(__xludf.DUMMYFUNCTION("""COMPUTED_VALUE"""),217.0)</f>
        <v>217</v>
      </c>
      <c r="W1832" s="1">
        <f>IFERROR(__xludf.DUMMYFUNCTION("""COMPUTED_VALUE"""),334.0)</f>
        <v>334</v>
      </c>
      <c r="X1832" s="1">
        <f>IFERROR(__xludf.DUMMYFUNCTION("""COMPUTED_VALUE"""),293.0)</f>
        <v>293</v>
      </c>
      <c r="Y1832" s="2"/>
      <c r="Z1832" s="2"/>
    </row>
    <row r="1833">
      <c r="A1833" s="1">
        <f>IFERROR(__xludf.DUMMYFUNCTION("""COMPUTED_VALUE"""),1832.0)</f>
        <v>1832</v>
      </c>
      <c r="B1833" s="1">
        <f>IFERROR(__xludf.DUMMYFUNCTION("""COMPUTED_VALUE"""),5297.0)</f>
        <v>5297</v>
      </c>
      <c r="C1833" s="2" t="str">
        <f>IFERROR(__xludf.DUMMYFUNCTION("""COMPUTED_VALUE"""),"Haryo")</f>
        <v>Haryo</v>
      </c>
      <c r="D1833" s="2" t="str">
        <f>IFERROR(__xludf.DUMMYFUNCTION("""COMPUTED_VALUE"""),"5KM OVERALL M")</f>
        <v>5KM OVERALL M</v>
      </c>
      <c r="E1833" s="1">
        <f>IFERROR(__xludf.DUMMYFUNCTION("""COMPUTED_VALUE"""),2.0)</f>
        <v>2</v>
      </c>
      <c r="F1833" s="1" t="str">
        <f>IFERROR(__xludf.DUMMYFUNCTION("""COMPUTED_VALUE"""),"Male")</f>
        <v>Male</v>
      </c>
      <c r="G1833" s="4" t="str">
        <f>IFERROR(__xludf.DUMMYFUNCTION("""COMPUTED_VALUE"""),"")</f>
        <v/>
      </c>
      <c r="H1833" s="4" t="b">
        <f>IFERROR(__xludf.DUMMYFUNCTION("""COMPUTED_VALUE"""),FALSE)</f>
        <v>0</v>
      </c>
      <c r="I1833" s="4">
        <f>IFERROR(__xludf.DUMMYFUNCTION("""COMPUTED_VALUE"""),0.2549440625)</f>
        <v>0.2549440625</v>
      </c>
      <c r="J1833" s="4" t="str">
        <f>IFERROR(__xludf.DUMMYFUNCTION("""COMPUTED_VALUE"""),"")</f>
        <v/>
      </c>
      <c r="K1833" s="4" t="str">
        <f>IFERROR(__xludf.DUMMYFUNCTION("""COMPUTED_VALUE"""),"")</f>
        <v/>
      </c>
      <c r="L1833" s="4" t="str">
        <f>IFERROR(__xludf.DUMMYFUNCTION("""COMPUTED_VALUE"""),"")</f>
        <v/>
      </c>
      <c r="M1833" s="1" t="str">
        <f>IFERROR(__xludf.DUMMYFUNCTION("""COMPUTED_VALUE"""),"RFID")</f>
        <v>RFID</v>
      </c>
      <c r="N1833" s="5" t="str">
        <f>IFERROR(__xludf.DUMMYFUNCTION("""COMPUTED_VALUE"""),"")</f>
        <v/>
      </c>
      <c r="O1833" s="5" t="str">
        <f>IFERROR(__xludf.DUMMYFUNCTION("""COMPUTED_VALUE"""),"")</f>
        <v/>
      </c>
      <c r="P1833" s="5" t="str">
        <f>IFERROR(__xludf.DUMMYFUNCTION("""COMPUTED_VALUE"""),"")</f>
        <v/>
      </c>
      <c r="Q1833" s="5" t="str">
        <f>IFERROR(__xludf.DUMMYFUNCTION("""COMPUTED_VALUE"""),"")</f>
        <v/>
      </c>
      <c r="R1833" s="4" t="str">
        <f>IFERROR(__xludf.DUMMYFUNCTION("""COMPUTED_VALUE"""),"")</f>
        <v/>
      </c>
      <c r="S1833" s="1" t="b">
        <f>IFERROR(__xludf.DUMMYFUNCTION("""COMPUTED_VALUE"""),FALSE)</f>
        <v>0</v>
      </c>
      <c r="T1833" s="1" t="b">
        <f>IFERROR(__xludf.DUMMYFUNCTION("""COMPUTED_VALUE"""),FALSE)</f>
        <v>0</v>
      </c>
      <c r="U1833" s="1" t="str">
        <f>IFERROR(__xludf.DUMMYFUNCTION("""COMPUTED_VALUE"""),"DSQ")</f>
        <v>DSQ</v>
      </c>
      <c r="V1833" s="1" t="str">
        <f>IFERROR(__xludf.DUMMYFUNCTION("""COMPUTED_VALUE"""),"DSQ")</f>
        <v>DSQ</v>
      </c>
      <c r="W1833" s="1" t="str">
        <f>IFERROR(__xludf.DUMMYFUNCTION("""COMPUTED_VALUE"""),"DSQ")</f>
        <v>DSQ</v>
      </c>
      <c r="X1833" s="1" t="str">
        <f>IFERROR(__xludf.DUMMYFUNCTION("""COMPUTED_VALUE"""),"DSQ")</f>
        <v>DSQ</v>
      </c>
      <c r="Y1833" s="2"/>
      <c r="Z1833" s="2" t="str">
        <f>IFERROR(__xludf.DUMMYFUNCTION("""COMPUTED_VALUE"""),"")</f>
        <v/>
      </c>
    </row>
    <row r="1834">
      <c r="A1834" s="1">
        <f>IFERROR(__xludf.DUMMYFUNCTION("""COMPUTED_VALUE"""),1833.0)</f>
        <v>1833</v>
      </c>
      <c r="B1834" s="1">
        <f>IFERROR(__xludf.DUMMYFUNCTION("""COMPUTED_VALUE"""),5298.0)</f>
        <v>5298</v>
      </c>
      <c r="C1834" s="2" t="str">
        <f>IFERROR(__xludf.DUMMYFUNCTION("""COMPUTED_VALUE"""),"Rizky Pratama")</f>
        <v>Rizky Pratama</v>
      </c>
      <c r="D1834" s="2" t="str">
        <f>IFERROR(__xludf.DUMMYFUNCTION("""COMPUTED_VALUE"""),"5KM OVERALL M")</f>
        <v>5KM OVERALL M</v>
      </c>
      <c r="E1834" s="1">
        <f>IFERROR(__xludf.DUMMYFUNCTION("""COMPUTED_VALUE"""),2.0)</f>
        <v>2</v>
      </c>
      <c r="F1834" s="1" t="str">
        <f>IFERROR(__xludf.DUMMYFUNCTION("""COMPUTED_VALUE"""),"Male")</f>
        <v>Male</v>
      </c>
      <c r="G1834" s="4" t="b">
        <f>IFERROR(__xludf.DUMMYFUNCTION("""COMPUTED_VALUE"""),TRUE)</f>
        <v>1</v>
      </c>
      <c r="H1834" s="4" t="b">
        <f>IFERROR(__xludf.DUMMYFUNCTION("""COMPUTED_VALUE"""),TRUE)</f>
        <v>1</v>
      </c>
      <c r="I1834" s="4">
        <f>IFERROR(__xludf.DUMMYFUNCTION("""COMPUTED_VALUE"""),0.2549440625)</f>
        <v>0.2549440625</v>
      </c>
      <c r="J1834" s="4">
        <f>IFERROR(__xludf.DUMMYFUNCTION("""COMPUTED_VALUE"""),45949.2707072956)</f>
        <v>45949.27071</v>
      </c>
      <c r="K1834" s="4" t="str">
        <f>IFERROR(__xludf.DUMMYFUNCTION("""COMPUTED_VALUE"""),"")</f>
        <v/>
      </c>
      <c r="L1834" s="4">
        <f>IFERROR(__xludf.DUMMYFUNCTION("""COMPUTED_VALUE"""),45949.28343275856)</f>
        <v>45949.28343</v>
      </c>
      <c r="M1834" s="1" t="str">
        <f>IFERROR(__xludf.DUMMYFUNCTION("""COMPUTED_VALUE"""),"RFID")</f>
        <v>RFID</v>
      </c>
      <c r="N1834" s="5">
        <f>IFERROR(__xludf.DUMMYFUNCTION("""COMPUTED_VALUE"""),0.0063052916666666665)</f>
        <v>0.006305291667</v>
      </c>
      <c r="O1834" s="5" t="str">
        <f>IFERROR(__xludf.DUMMYFUNCTION("""COMPUTED_VALUE"""),"")</f>
        <v/>
      </c>
      <c r="P1834" s="5" t="str">
        <f>IFERROR(__xludf.DUMMYFUNCTION("""COMPUTED_VALUE"""),"")</f>
        <v/>
      </c>
      <c r="Q1834" s="5">
        <f>IFERROR(__xludf.DUMMYFUNCTION("""COMPUTED_VALUE"""),0.0056977384259259255)</f>
        <v>0.005697738426</v>
      </c>
      <c r="R1834" s="4">
        <f>IFERROR(__xludf.DUMMYFUNCTION("""COMPUTED_VALUE"""),45949.02848869606)</f>
        <v>45949.02849</v>
      </c>
      <c r="S1834" s="1" t="b">
        <f>IFERROR(__xludf.DUMMYFUNCTION("""COMPUTED_VALUE"""),TRUE)</f>
        <v>1</v>
      </c>
      <c r="T1834" s="1" t="b">
        <f>IFERROR(__xludf.DUMMYFUNCTION("""COMPUTED_VALUE"""),FALSE)</f>
        <v>0</v>
      </c>
      <c r="U1834" s="1" t="str">
        <f>IFERROR(__xludf.DUMMYFUNCTION("""COMPUTED_VALUE"""),"VALID")</f>
        <v>VALID</v>
      </c>
      <c r="V1834" s="1">
        <f>IFERROR(__xludf.DUMMYFUNCTION("""COMPUTED_VALUE"""),310.0)</f>
        <v>310</v>
      </c>
      <c r="W1834" s="1">
        <f>IFERROR(__xludf.DUMMYFUNCTION("""COMPUTED_VALUE"""),461.0)</f>
        <v>461</v>
      </c>
      <c r="X1834" s="1">
        <f>IFERROR(__xludf.DUMMYFUNCTION("""COMPUTED_VALUE"""),400.0)</f>
        <v>400</v>
      </c>
      <c r="Y1834" s="2"/>
      <c r="Z1834" s="2"/>
    </row>
    <row r="1835">
      <c r="A1835" s="1">
        <f>IFERROR(__xludf.DUMMYFUNCTION("""COMPUTED_VALUE"""),1834.0)</f>
        <v>1834</v>
      </c>
      <c r="B1835" s="1">
        <f>IFERROR(__xludf.DUMMYFUNCTION("""COMPUTED_VALUE"""),5299.0)</f>
        <v>5299</v>
      </c>
      <c r="C1835" s="2" t="str">
        <f>IFERROR(__xludf.DUMMYFUNCTION("""COMPUTED_VALUE"""),"NANANG SAIFUL ANWAR")</f>
        <v>NANANG SAIFUL ANWAR</v>
      </c>
      <c r="D1835" s="2" t="str">
        <f>IFERROR(__xludf.DUMMYFUNCTION("""COMPUTED_VALUE"""),"5KM OVERALL M")</f>
        <v>5KM OVERALL M</v>
      </c>
      <c r="E1835" s="1">
        <f>IFERROR(__xludf.DUMMYFUNCTION("""COMPUTED_VALUE"""),2.0)</f>
        <v>2</v>
      </c>
      <c r="F1835" s="1" t="str">
        <f>IFERROR(__xludf.DUMMYFUNCTION("""COMPUTED_VALUE"""),"Male")</f>
        <v>Male</v>
      </c>
      <c r="G1835" s="4" t="b">
        <f>IFERROR(__xludf.DUMMYFUNCTION("""COMPUTED_VALUE"""),TRUE)</f>
        <v>1</v>
      </c>
      <c r="H1835" s="4" t="b">
        <f>IFERROR(__xludf.DUMMYFUNCTION("""COMPUTED_VALUE"""),TRUE)</f>
        <v>1</v>
      </c>
      <c r="I1835" s="4">
        <f>IFERROR(__xludf.DUMMYFUNCTION("""COMPUTED_VALUE"""),0.2549440625)</f>
        <v>0.2549440625</v>
      </c>
      <c r="J1835" s="4">
        <f>IFERROR(__xludf.DUMMYFUNCTION("""COMPUTED_VALUE"""),45949.2738322856)</f>
        <v>45949.27383</v>
      </c>
      <c r="K1835" s="4" t="str">
        <f>IFERROR(__xludf.DUMMYFUNCTION("""COMPUTED_VALUE"""),"")</f>
        <v/>
      </c>
      <c r="L1835" s="4">
        <f>IFERROR(__xludf.DUMMYFUNCTION("""COMPUTED_VALUE"""),45949.28712962963)</f>
        <v>45949.28713</v>
      </c>
      <c r="M1835" s="1" t="str">
        <f>IFERROR(__xludf.DUMMYFUNCTION("""COMPUTED_VALUE"""),"RFID")</f>
        <v>RFID</v>
      </c>
      <c r="N1835" s="5">
        <f>IFERROR(__xludf.DUMMYFUNCTION("""COMPUTED_VALUE"""),0.007555287037037037)</f>
        <v>0.007555287037</v>
      </c>
      <c r="O1835" s="5" t="str">
        <f>IFERROR(__xludf.DUMMYFUNCTION("""COMPUTED_VALUE"""),"")</f>
        <v/>
      </c>
      <c r="P1835" s="5" t="str">
        <f>IFERROR(__xludf.DUMMYFUNCTION("""COMPUTED_VALUE"""),"")</f>
        <v/>
      </c>
      <c r="Q1835" s="5">
        <f>IFERROR(__xludf.DUMMYFUNCTION("""COMPUTED_VALUE"""),0.006437113425925926)</f>
        <v>0.006437113426</v>
      </c>
      <c r="R1835" s="4">
        <f>IFERROR(__xludf.DUMMYFUNCTION("""COMPUTED_VALUE"""),45949.03218556713)</f>
        <v>45949.03219</v>
      </c>
      <c r="S1835" s="1" t="b">
        <f>IFERROR(__xludf.DUMMYFUNCTION("""COMPUTED_VALUE"""),TRUE)</f>
        <v>1</v>
      </c>
      <c r="T1835" s="1" t="b">
        <f>IFERROR(__xludf.DUMMYFUNCTION("""COMPUTED_VALUE"""),FALSE)</f>
        <v>0</v>
      </c>
      <c r="U1835" s="1" t="str">
        <f>IFERROR(__xludf.DUMMYFUNCTION("""COMPUTED_VALUE"""),"VALID")</f>
        <v>VALID</v>
      </c>
      <c r="V1835" s="1">
        <f>IFERROR(__xludf.DUMMYFUNCTION("""COMPUTED_VALUE"""),462.0)</f>
        <v>462</v>
      </c>
      <c r="W1835" s="1">
        <f>IFERROR(__xludf.DUMMYFUNCTION("""COMPUTED_VALUE"""),714.0)</f>
        <v>714</v>
      </c>
      <c r="X1835" s="1">
        <f>IFERROR(__xludf.DUMMYFUNCTION("""COMPUTED_VALUE"""),601.0)</f>
        <v>601</v>
      </c>
      <c r="Y1835" s="2"/>
      <c r="Z1835" s="2"/>
    </row>
    <row r="1836">
      <c r="A1836" s="1">
        <f>IFERROR(__xludf.DUMMYFUNCTION("""COMPUTED_VALUE"""),1835.0)</f>
        <v>1835</v>
      </c>
      <c r="B1836" s="1">
        <f>IFERROR(__xludf.DUMMYFUNCTION("""COMPUTED_VALUE"""),5300.0)</f>
        <v>5300</v>
      </c>
      <c r="C1836" s="2" t="str">
        <f>IFERROR(__xludf.DUMMYFUNCTION("""COMPUTED_VALUE"""),"Fahrul89")</f>
        <v>Fahrul89</v>
      </c>
      <c r="D1836" s="2" t="str">
        <f>IFERROR(__xludf.DUMMYFUNCTION("""COMPUTED_VALUE"""),"5KM OVERALL M")</f>
        <v>5KM OVERALL M</v>
      </c>
      <c r="E1836" s="1">
        <f>IFERROR(__xludf.DUMMYFUNCTION("""COMPUTED_VALUE"""),2.0)</f>
        <v>2</v>
      </c>
      <c r="F1836" s="1" t="str">
        <f>IFERROR(__xludf.DUMMYFUNCTION("""COMPUTED_VALUE"""),"Male")</f>
        <v>Male</v>
      </c>
      <c r="G1836" s="4" t="b">
        <f>IFERROR(__xludf.DUMMYFUNCTION("""COMPUTED_VALUE"""),TRUE)</f>
        <v>1</v>
      </c>
      <c r="H1836" s="4" t="b">
        <f>IFERROR(__xludf.DUMMYFUNCTION("""COMPUTED_VALUE"""),TRUE)</f>
        <v>1</v>
      </c>
      <c r="I1836" s="4">
        <f>IFERROR(__xludf.DUMMYFUNCTION("""COMPUTED_VALUE"""),0.2549440625)</f>
        <v>0.2549440625</v>
      </c>
      <c r="J1836" s="4">
        <f>IFERROR(__xludf.DUMMYFUNCTION("""COMPUTED_VALUE"""),45949.27681141164)</f>
        <v>45949.27681</v>
      </c>
      <c r="K1836" s="4" t="str">
        <f>IFERROR(__xludf.DUMMYFUNCTION("""COMPUTED_VALUE"""),"")</f>
        <v/>
      </c>
      <c r="L1836" s="4">
        <f>IFERROR(__xludf.DUMMYFUNCTION("""COMPUTED_VALUE"""),45949.29285931509)</f>
        <v>45949.29286</v>
      </c>
      <c r="M1836" s="1" t="str">
        <f>IFERROR(__xludf.DUMMYFUNCTION("""COMPUTED_VALUE"""),"RFID")</f>
        <v>RFID</v>
      </c>
      <c r="N1836" s="5">
        <f>IFERROR(__xludf.DUMMYFUNCTION("""COMPUTED_VALUE"""),0.008746939814814815)</f>
        <v>0.008746939815</v>
      </c>
      <c r="O1836" s="5" t="str">
        <f>IFERROR(__xludf.DUMMYFUNCTION("""COMPUTED_VALUE"""),"")</f>
        <v/>
      </c>
      <c r="P1836" s="5" t="str">
        <f>IFERROR(__xludf.DUMMYFUNCTION("""COMPUTED_VALUE"""),"")</f>
        <v/>
      </c>
      <c r="Q1836" s="5">
        <f>IFERROR(__xludf.DUMMYFUNCTION("""COMPUTED_VALUE"""),0.007583050925925925)</f>
        <v>0.007583050926</v>
      </c>
      <c r="R1836" s="4">
        <f>IFERROR(__xludf.DUMMYFUNCTION("""COMPUTED_VALUE"""),45949.037915252586)</f>
        <v>45949.03792</v>
      </c>
      <c r="S1836" s="1" t="b">
        <f>IFERROR(__xludf.DUMMYFUNCTION("""COMPUTED_VALUE"""),TRUE)</f>
        <v>1</v>
      </c>
      <c r="T1836" s="1" t="b">
        <f>IFERROR(__xludf.DUMMYFUNCTION("""COMPUTED_VALUE"""),FALSE)</f>
        <v>0</v>
      </c>
      <c r="U1836" s="1" t="str">
        <f>IFERROR(__xludf.DUMMYFUNCTION("""COMPUTED_VALUE"""),"VALID")</f>
        <v>VALID</v>
      </c>
      <c r="V1836" s="1">
        <f>IFERROR(__xludf.DUMMYFUNCTION("""COMPUTED_VALUE"""),651.0)</f>
        <v>651</v>
      </c>
      <c r="W1836" s="1">
        <f>IFERROR(__xludf.DUMMYFUNCTION("""COMPUTED_VALUE"""),1097.0)</f>
        <v>1097</v>
      </c>
      <c r="X1836" s="1">
        <f>IFERROR(__xludf.DUMMYFUNCTION("""COMPUTED_VALUE"""),872.0)</f>
        <v>872</v>
      </c>
      <c r="Y1836" s="2"/>
      <c r="Z1836" s="2"/>
    </row>
    <row r="1837">
      <c r="A1837" s="1">
        <f>IFERROR(__xludf.DUMMYFUNCTION("""COMPUTED_VALUE"""),1836.0)</f>
        <v>1836</v>
      </c>
      <c r="B1837" s="1">
        <f>IFERROR(__xludf.DUMMYFUNCTION("""COMPUTED_VALUE"""),5301.0)</f>
        <v>5301</v>
      </c>
      <c r="C1837" s="2" t="str">
        <f>IFERROR(__xludf.DUMMYFUNCTION("""COMPUTED_VALUE"""),"EGAGNWN")</f>
        <v>EGAGNWN</v>
      </c>
      <c r="D1837" s="2" t="str">
        <f>IFERROR(__xludf.DUMMYFUNCTION("""COMPUTED_VALUE"""),"5KM OVERALL M")</f>
        <v>5KM OVERALL M</v>
      </c>
      <c r="E1837" s="1">
        <f>IFERROR(__xludf.DUMMYFUNCTION("""COMPUTED_VALUE"""),2.0)</f>
        <v>2</v>
      </c>
      <c r="F1837" s="1" t="str">
        <f>IFERROR(__xludf.DUMMYFUNCTION("""COMPUTED_VALUE"""),"Male")</f>
        <v>Male</v>
      </c>
      <c r="G1837" s="4" t="b">
        <f>IFERROR(__xludf.DUMMYFUNCTION("""COMPUTED_VALUE"""),TRUE)</f>
        <v>1</v>
      </c>
      <c r="H1837" s="4" t="b">
        <f>IFERROR(__xludf.DUMMYFUNCTION("""COMPUTED_VALUE"""),FALSE)</f>
        <v>0</v>
      </c>
      <c r="I1837" s="4">
        <f>IFERROR(__xludf.DUMMYFUNCTION("""COMPUTED_VALUE"""),0.2549440625)</f>
        <v>0.2549440625</v>
      </c>
      <c r="J1837" s="4">
        <f>IFERROR(__xludf.DUMMYFUNCTION("""COMPUTED_VALUE"""),45949.276092672684)</f>
        <v>45949.27609</v>
      </c>
      <c r="K1837" s="4" t="str">
        <f>IFERROR(__xludf.DUMMYFUNCTION("""COMPUTED_VALUE"""),"")</f>
        <v/>
      </c>
      <c r="L1837" s="4">
        <f>IFERROR(__xludf.DUMMYFUNCTION("""COMPUTED_VALUE"""),45949.29308492331)</f>
        <v>45949.29308</v>
      </c>
      <c r="M1837" s="1" t="str">
        <f>IFERROR(__xludf.DUMMYFUNCTION("""COMPUTED_VALUE"""),"RFID")</f>
        <v>RFID</v>
      </c>
      <c r="N1837" s="5">
        <f>IFERROR(__xludf.DUMMYFUNCTION("""COMPUTED_VALUE"""),0.008459444444444445)</f>
        <v>0.008459444444</v>
      </c>
      <c r="O1837" s="5" t="str">
        <f>IFERROR(__xludf.DUMMYFUNCTION("""COMPUTED_VALUE"""),"")</f>
        <v/>
      </c>
      <c r="P1837" s="5" t="str">
        <f>IFERROR(__xludf.DUMMYFUNCTION("""COMPUTED_VALUE"""),"")</f>
        <v/>
      </c>
      <c r="Q1837" s="5">
        <f>IFERROR(__xludf.DUMMYFUNCTION("""COMPUTED_VALUE"""),0.007628171296296296)</f>
        <v>0.007628171296</v>
      </c>
      <c r="R1837" s="4">
        <f>IFERROR(__xludf.DUMMYFUNCTION("""COMPUTED_VALUE"""),45949.03814086081)</f>
        <v>45949.03814</v>
      </c>
      <c r="S1837" s="1" t="b">
        <f>IFERROR(__xludf.DUMMYFUNCTION("""COMPUTED_VALUE"""),TRUE)</f>
        <v>1</v>
      </c>
      <c r="T1837" s="1" t="b">
        <f>IFERROR(__xludf.DUMMYFUNCTION("""COMPUTED_VALUE"""),FALSE)</f>
        <v>0</v>
      </c>
      <c r="U1837" s="1" t="str">
        <f>IFERROR(__xludf.DUMMYFUNCTION("""COMPUTED_VALUE"""),"VALID")</f>
        <v>VALID</v>
      </c>
      <c r="V1837" s="1">
        <f>IFERROR(__xludf.DUMMYFUNCTION("""COMPUTED_VALUE"""),657.0)</f>
        <v>657</v>
      </c>
      <c r="W1837" s="1">
        <f>IFERROR(__xludf.DUMMYFUNCTION("""COMPUTED_VALUE"""),1107.0)</f>
        <v>1107</v>
      </c>
      <c r="X1837" s="1">
        <f>IFERROR(__xludf.DUMMYFUNCTION("""COMPUTED_VALUE"""),882.0)</f>
        <v>882</v>
      </c>
      <c r="Y1837" s="2"/>
      <c r="Z1837" s="2"/>
    </row>
    <row r="1838">
      <c r="A1838" s="1">
        <f>IFERROR(__xludf.DUMMYFUNCTION("""COMPUTED_VALUE"""),1837.0)</f>
        <v>1837</v>
      </c>
      <c r="B1838" s="1">
        <f>IFERROR(__xludf.DUMMYFUNCTION("""COMPUTED_VALUE"""),5304.0)</f>
        <v>5304</v>
      </c>
      <c r="C1838" s="2" t="str">
        <f>IFERROR(__xludf.DUMMYFUNCTION("""COMPUTED_VALUE"""),"Dhafa Dimas")</f>
        <v>Dhafa Dimas</v>
      </c>
      <c r="D1838" s="2" t="str">
        <f>IFERROR(__xludf.DUMMYFUNCTION("""COMPUTED_VALUE"""),"5KM OVERALL M")</f>
        <v>5KM OVERALL M</v>
      </c>
      <c r="E1838" s="1">
        <f>IFERROR(__xludf.DUMMYFUNCTION("""COMPUTED_VALUE"""),2.0)</f>
        <v>2</v>
      </c>
      <c r="F1838" s="1" t="str">
        <f>IFERROR(__xludf.DUMMYFUNCTION("""COMPUTED_VALUE"""),"Male")</f>
        <v>Male</v>
      </c>
      <c r="G1838" s="4" t="b">
        <f>IFERROR(__xludf.DUMMYFUNCTION("""COMPUTED_VALUE"""),TRUE)</f>
        <v>1</v>
      </c>
      <c r="H1838" s="4" t="b">
        <f>IFERROR(__xludf.DUMMYFUNCTION("""COMPUTED_VALUE"""),FALSE)</f>
        <v>0</v>
      </c>
      <c r="I1838" s="4">
        <f>IFERROR(__xludf.DUMMYFUNCTION("""COMPUTED_VALUE"""),0.2549440625)</f>
        <v>0.2549440625</v>
      </c>
      <c r="J1838" s="4">
        <f>IFERROR(__xludf.DUMMYFUNCTION("""COMPUTED_VALUE"""),45949.27564133435)</f>
        <v>45949.27564</v>
      </c>
      <c r="K1838" s="4" t="str">
        <f>IFERROR(__xludf.DUMMYFUNCTION("""COMPUTED_VALUE"""),"")</f>
        <v/>
      </c>
      <c r="L1838" s="4">
        <f>IFERROR(__xludf.DUMMYFUNCTION("""COMPUTED_VALUE"""),45949.28758486205)</f>
        <v>45949.28758</v>
      </c>
      <c r="M1838" s="1" t="str">
        <f>IFERROR(__xludf.DUMMYFUNCTION("""COMPUTED_VALUE"""),"RFID")</f>
        <v>RFID</v>
      </c>
      <c r="N1838" s="5">
        <f>IFERROR(__xludf.DUMMYFUNCTION("""COMPUTED_VALUE"""),0.008278907407407407)</f>
        <v>0.008278907407</v>
      </c>
      <c r="O1838" s="5" t="str">
        <f>IFERROR(__xludf.DUMMYFUNCTION("""COMPUTED_VALUE"""),"")</f>
        <v/>
      </c>
      <c r="P1838" s="5" t="str">
        <f>IFERROR(__xludf.DUMMYFUNCTION("""COMPUTED_VALUE"""),"")</f>
        <v/>
      </c>
      <c r="Q1838" s="5">
        <f>IFERROR(__xludf.DUMMYFUNCTION("""COMPUTED_VALUE"""),0.0065281597222222225)</f>
        <v>0.006528159722</v>
      </c>
      <c r="R1838" s="4">
        <f>IFERROR(__xludf.DUMMYFUNCTION("""COMPUTED_VALUE"""),45949.03264079955)</f>
        <v>45949.03264</v>
      </c>
      <c r="S1838" s="1" t="b">
        <f>IFERROR(__xludf.DUMMYFUNCTION("""COMPUTED_VALUE"""),TRUE)</f>
        <v>1</v>
      </c>
      <c r="T1838" s="1" t="b">
        <f>IFERROR(__xludf.DUMMYFUNCTION("""COMPUTED_VALUE"""),FALSE)</f>
        <v>0</v>
      </c>
      <c r="U1838" s="1" t="str">
        <f>IFERROR(__xludf.DUMMYFUNCTION("""COMPUTED_VALUE"""),"VALID")</f>
        <v>VALID</v>
      </c>
      <c r="V1838" s="1">
        <f>IFERROR(__xludf.DUMMYFUNCTION("""COMPUTED_VALUE"""),478.0)</f>
        <v>478</v>
      </c>
      <c r="W1838" s="1">
        <f>IFERROR(__xludf.DUMMYFUNCTION("""COMPUTED_VALUE"""),743.0)</f>
        <v>743</v>
      </c>
      <c r="X1838" s="1">
        <f>IFERROR(__xludf.DUMMYFUNCTION("""COMPUTED_VALUE"""),618.0)</f>
        <v>618</v>
      </c>
      <c r="Y1838" s="2"/>
      <c r="Z1838" s="2"/>
    </row>
    <row r="1839">
      <c r="A1839" s="1">
        <f>IFERROR(__xludf.DUMMYFUNCTION("""COMPUTED_VALUE"""),1838.0)</f>
        <v>1838</v>
      </c>
      <c r="B1839" s="1">
        <f>IFERROR(__xludf.DUMMYFUNCTION("""COMPUTED_VALUE"""),5306.0)</f>
        <v>5306</v>
      </c>
      <c r="C1839" s="2" t="str">
        <f>IFERROR(__xludf.DUMMYFUNCTION("""COMPUTED_VALUE"""),"Adult")</f>
        <v>Adult</v>
      </c>
      <c r="D1839" s="2" t="str">
        <f>IFERROR(__xludf.DUMMYFUNCTION("""COMPUTED_VALUE"""),"5KM OVERALL M")</f>
        <v>5KM OVERALL M</v>
      </c>
      <c r="E1839" s="1">
        <f>IFERROR(__xludf.DUMMYFUNCTION("""COMPUTED_VALUE"""),2.0)</f>
        <v>2</v>
      </c>
      <c r="F1839" s="1" t="str">
        <f>IFERROR(__xludf.DUMMYFUNCTION("""COMPUTED_VALUE"""),"Male")</f>
        <v>Male</v>
      </c>
      <c r="G1839" s="4" t="b">
        <f>IFERROR(__xludf.DUMMYFUNCTION("""COMPUTED_VALUE"""),TRUE)</f>
        <v>1</v>
      </c>
      <c r="H1839" s="4" t="b">
        <f>IFERROR(__xludf.DUMMYFUNCTION("""COMPUTED_VALUE"""),FALSE)</f>
        <v>0</v>
      </c>
      <c r="I1839" s="4">
        <f>IFERROR(__xludf.DUMMYFUNCTION("""COMPUTED_VALUE"""),0.2549440625)</f>
        <v>0.2549440625</v>
      </c>
      <c r="J1839" s="4">
        <f>IFERROR(__xludf.DUMMYFUNCTION("""COMPUTED_VALUE"""),45949.27831488832)</f>
        <v>45949.27831</v>
      </c>
      <c r="K1839" s="4" t="str">
        <f>IFERROR(__xludf.DUMMYFUNCTION("""COMPUTED_VALUE"""),"")</f>
        <v/>
      </c>
      <c r="L1839" s="4">
        <f>IFERROR(__xludf.DUMMYFUNCTION("""COMPUTED_VALUE"""),45949.29523420972)</f>
        <v>45949.29523</v>
      </c>
      <c r="M1839" s="1" t="str">
        <f>IFERROR(__xludf.DUMMYFUNCTION("""COMPUTED_VALUE"""),"RFID")</f>
        <v>RFID</v>
      </c>
      <c r="N1839" s="5">
        <f>IFERROR(__xludf.DUMMYFUNCTION("""COMPUTED_VALUE"""),0.009348328703703704)</f>
        <v>0.009348328704</v>
      </c>
      <c r="O1839" s="5" t="str">
        <f>IFERROR(__xludf.DUMMYFUNCTION("""COMPUTED_VALUE"""),"")</f>
        <v/>
      </c>
      <c r="P1839" s="5" t="str">
        <f>IFERROR(__xludf.DUMMYFUNCTION("""COMPUTED_VALUE"""),"")</f>
        <v/>
      </c>
      <c r="Q1839" s="5">
        <f>IFERROR(__xludf.DUMMYFUNCTION("""COMPUTED_VALUE"""),0.008058030092592592)</f>
        <v>0.008058030093</v>
      </c>
      <c r="R1839" s="4">
        <f>IFERROR(__xludf.DUMMYFUNCTION("""COMPUTED_VALUE"""),45949.04029014722)</f>
        <v>45949.04029</v>
      </c>
      <c r="S1839" s="1" t="b">
        <f>IFERROR(__xludf.DUMMYFUNCTION("""COMPUTED_VALUE"""),TRUE)</f>
        <v>1</v>
      </c>
      <c r="T1839" s="1" t="b">
        <f>IFERROR(__xludf.DUMMYFUNCTION("""COMPUTED_VALUE"""),FALSE)</f>
        <v>0</v>
      </c>
      <c r="U1839" s="1" t="str">
        <f>IFERROR(__xludf.DUMMYFUNCTION("""COMPUTED_VALUE"""),"VALID")</f>
        <v>VALID</v>
      </c>
      <c r="V1839" s="1">
        <f>IFERROR(__xludf.DUMMYFUNCTION("""COMPUTED_VALUE"""),718.0)</f>
        <v>718</v>
      </c>
      <c r="W1839" s="1">
        <f>IFERROR(__xludf.DUMMYFUNCTION("""COMPUTED_VALUE"""),1256.0)</f>
        <v>1256</v>
      </c>
      <c r="X1839" s="1">
        <f>IFERROR(__xludf.DUMMYFUNCTION("""COMPUTED_VALUE"""),989.0)</f>
        <v>989</v>
      </c>
      <c r="Y1839" s="2"/>
      <c r="Z1839" s="2"/>
    </row>
    <row r="1840">
      <c r="A1840" s="1">
        <f>IFERROR(__xludf.DUMMYFUNCTION("""COMPUTED_VALUE"""),1839.0)</f>
        <v>1839</v>
      </c>
      <c r="B1840" s="1">
        <f>IFERROR(__xludf.DUMMYFUNCTION("""COMPUTED_VALUE"""),5307.0)</f>
        <v>5307</v>
      </c>
      <c r="C1840" s="2" t="str">
        <f>IFERROR(__xludf.DUMMYFUNCTION("""COMPUTED_VALUE"""),"Apandi")</f>
        <v>Apandi</v>
      </c>
      <c r="D1840" s="2" t="str">
        <f>IFERROR(__xludf.DUMMYFUNCTION("""COMPUTED_VALUE"""),"5KM OVERALL M")</f>
        <v>5KM OVERALL M</v>
      </c>
      <c r="E1840" s="1">
        <f>IFERROR(__xludf.DUMMYFUNCTION("""COMPUTED_VALUE"""),2.0)</f>
        <v>2</v>
      </c>
      <c r="F1840" s="1" t="str">
        <f>IFERROR(__xludf.DUMMYFUNCTION("""COMPUTED_VALUE"""),"Male")</f>
        <v>Male</v>
      </c>
      <c r="G1840" s="4" t="b">
        <f>IFERROR(__xludf.DUMMYFUNCTION("""COMPUTED_VALUE"""),TRUE)</f>
        <v>1</v>
      </c>
      <c r="H1840" s="4" t="b">
        <f>IFERROR(__xludf.DUMMYFUNCTION("""COMPUTED_VALUE"""),FALSE)</f>
        <v>0</v>
      </c>
      <c r="I1840" s="4">
        <f>IFERROR(__xludf.DUMMYFUNCTION("""COMPUTED_VALUE"""),0.2549440625)</f>
        <v>0.2549440625</v>
      </c>
      <c r="J1840" s="4">
        <f>IFERROR(__xludf.DUMMYFUNCTION("""COMPUTED_VALUE"""),45949.26858919707)</f>
        <v>45949.26859</v>
      </c>
      <c r="K1840" s="4" t="str">
        <f>IFERROR(__xludf.DUMMYFUNCTION("""COMPUTED_VALUE"""),"")</f>
        <v/>
      </c>
      <c r="L1840" s="4">
        <f>IFERROR(__xludf.DUMMYFUNCTION("""COMPUTED_VALUE"""),45949.280689071944)</f>
        <v>45949.28069</v>
      </c>
      <c r="M1840" s="1" t="str">
        <f>IFERROR(__xludf.DUMMYFUNCTION("""COMPUTED_VALUE"""),"RFID")</f>
        <v>RFID</v>
      </c>
      <c r="N1840" s="5">
        <f>IFERROR(__xludf.DUMMYFUNCTION("""COMPUTED_VALUE"""),0.005458055555555555)</f>
        <v>0.005458055556</v>
      </c>
      <c r="O1840" s="5" t="str">
        <f>IFERROR(__xludf.DUMMYFUNCTION("""COMPUTED_VALUE"""),"")</f>
        <v/>
      </c>
      <c r="P1840" s="5" t="str">
        <f>IFERROR(__xludf.DUMMYFUNCTION("""COMPUTED_VALUE"""),"")</f>
        <v/>
      </c>
      <c r="Q1840" s="5">
        <f>IFERROR(__xludf.DUMMYFUNCTION("""COMPUTED_VALUE"""),0.005149002314814815)</f>
        <v>0.005149002315</v>
      </c>
      <c r="R1840" s="4">
        <f>IFERROR(__xludf.DUMMYFUNCTION("""COMPUTED_VALUE"""),45949.02574500944)</f>
        <v>45949.02575</v>
      </c>
      <c r="S1840" s="1" t="b">
        <f>IFERROR(__xludf.DUMMYFUNCTION("""COMPUTED_VALUE"""),TRUE)</f>
        <v>1</v>
      </c>
      <c r="T1840" s="1" t="b">
        <f>IFERROR(__xludf.DUMMYFUNCTION("""COMPUTED_VALUE"""),FALSE)</f>
        <v>0</v>
      </c>
      <c r="U1840" s="1" t="str">
        <f>IFERROR(__xludf.DUMMYFUNCTION("""COMPUTED_VALUE"""),"VALID")</f>
        <v>VALID</v>
      </c>
      <c r="V1840" s="1">
        <f>IFERROR(__xludf.DUMMYFUNCTION("""COMPUTED_VALUE"""),208.0)</f>
        <v>208</v>
      </c>
      <c r="W1840" s="1">
        <f>IFERROR(__xludf.DUMMYFUNCTION("""COMPUTED_VALUE"""),323.0)</f>
        <v>323</v>
      </c>
      <c r="X1840" s="1">
        <f>IFERROR(__xludf.DUMMYFUNCTION("""COMPUTED_VALUE"""),283.0)</f>
        <v>283</v>
      </c>
      <c r="Y1840" s="2"/>
      <c r="Z1840" s="2"/>
    </row>
    <row r="1841">
      <c r="A1841" s="1">
        <f>IFERROR(__xludf.DUMMYFUNCTION("""COMPUTED_VALUE"""),1840.0)</f>
        <v>1840</v>
      </c>
      <c r="B1841" s="1">
        <f>IFERROR(__xludf.DUMMYFUNCTION("""COMPUTED_VALUE"""),5309.0)</f>
        <v>5309</v>
      </c>
      <c r="C1841" s="2" t="str">
        <f>IFERROR(__xludf.DUMMYFUNCTION("""COMPUTED_VALUE"""),"Zikri")</f>
        <v>Zikri</v>
      </c>
      <c r="D1841" s="2" t="str">
        <f>IFERROR(__xludf.DUMMYFUNCTION("""COMPUTED_VALUE"""),"5KM OVERALL M")</f>
        <v>5KM OVERALL M</v>
      </c>
      <c r="E1841" s="1">
        <f>IFERROR(__xludf.DUMMYFUNCTION("""COMPUTED_VALUE"""),2.0)</f>
        <v>2</v>
      </c>
      <c r="F1841" s="1" t="str">
        <f>IFERROR(__xludf.DUMMYFUNCTION("""COMPUTED_VALUE"""),"Male")</f>
        <v>Male</v>
      </c>
      <c r="G1841" s="4" t="b">
        <f>IFERROR(__xludf.DUMMYFUNCTION("""COMPUTED_VALUE"""),TRUE)</f>
        <v>1</v>
      </c>
      <c r="H1841" s="4" t="b">
        <f>IFERROR(__xludf.DUMMYFUNCTION("""COMPUTED_VALUE"""),TRUE)</f>
        <v>1</v>
      </c>
      <c r="I1841" s="4">
        <f>IFERROR(__xludf.DUMMYFUNCTION("""COMPUTED_VALUE"""),0.2549440625)</f>
        <v>0.2549440625</v>
      </c>
      <c r="J1841" s="4">
        <f>IFERROR(__xludf.DUMMYFUNCTION("""COMPUTED_VALUE"""),45949.263957316834)</f>
        <v>45949.26396</v>
      </c>
      <c r="K1841" s="4" t="str">
        <f>IFERROR(__xludf.DUMMYFUNCTION("""COMPUTED_VALUE"""),"")</f>
        <v/>
      </c>
      <c r="L1841" s="4">
        <f>IFERROR(__xludf.DUMMYFUNCTION("""COMPUTED_VALUE"""),45949.27114392264)</f>
        <v>45949.27114</v>
      </c>
      <c r="M1841" s="1" t="str">
        <f>IFERROR(__xludf.DUMMYFUNCTION("""COMPUTED_VALUE"""),"RFID")</f>
        <v>RFID</v>
      </c>
      <c r="N1841" s="5">
        <f>IFERROR(__xludf.DUMMYFUNCTION("""COMPUTED_VALUE"""),0.003605300925925926)</f>
        <v>0.003605300926</v>
      </c>
      <c r="O1841" s="5" t="str">
        <f>IFERROR(__xludf.DUMMYFUNCTION("""COMPUTED_VALUE"""),"")</f>
        <v/>
      </c>
      <c r="P1841" s="5" t="str">
        <f>IFERROR(__xludf.DUMMYFUNCTION("""COMPUTED_VALUE"""),"")</f>
        <v/>
      </c>
      <c r="Q1841" s="5">
        <f>IFERROR(__xludf.DUMMYFUNCTION("""COMPUTED_VALUE"""),0.0032399722222222218)</f>
        <v>0.003239972222</v>
      </c>
      <c r="R1841" s="4">
        <f>IFERROR(__xludf.DUMMYFUNCTION("""COMPUTED_VALUE"""),45949.01619986014)</f>
        <v>45949.0162</v>
      </c>
      <c r="S1841" s="1" t="b">
        <f>IFERROR(__xludf.DUMMYFUNCTION("""COMPUTED_VALUE"""),TRUE)</f>
        <v>1</v>
      </c>
      <c r="T1841" s="1" t="b">
        <f>IFERROR(__xludf.DUMMYFUNCTION("""COMPUTED_VALUE"""),FALSE)</f>
        <v>0</v>
      </c>
      <c r="U1841" s="1" t="str">
        <f>IFERROR(__xludf.DUMMYFUNCTION("""COMPUTED_VALUE"""),"VALID")</f>
        <v>VALID</v>
      </c>
      <c r="V1841" s="1">
        <f>IFERROR(__xludf.DUMMYFUNCTION("""COMPUTED_VALUE"""),19.0)</f>
        <v>19</v>
      </c>
      <c r="W1841" s="1">
        <f>IFERROR(__xludf.DUMMYFUNCTION("""COMPUTED_VALUE"""),27.0)</f>
        <v>27</v>
      </c>
      <c r="X1841" s="1">
        <f>IFERROR(__xludf.DUMMYFUNCTION("""COMPUTED_VALUE"""),27.0)</f>
        <v>27</v>
      </c>
      <c r="Y1841" s="2"/>
      <c r="Z1841" s="2"/>
    </row>
    <row r="1842">
      <c r="A1842" s="1">
        <f>IFERROR(__xludf.DUMMYFUNCTION("""COMPUTED_VALUE"""),1841.0)</f>
        <v>1841</v>
      </c>
      <c r="B1842" s="1">
        <f>IFERROR(__xludf.DUMMYFUNCTION("""COMPUTED_VALUE"""),5311.0)</f>
        <v>5311</v>
      </c>
      <c r="C1842" s="2" t="str">
        <f>IFERROR(__xludf.DUMMYFUNCTION("""COMPUTED_VALUE"""),"Ramadhan AR")</f>
        <v>Ramadhan AR</v>
      </c>
      <c r="D1842" s="2" t="str">
        <f>IFERROR(__xludf.DUMMYFUNCTION("""COMPUTED_VALUE"""),"5KM OVERALL M")</f>
        <v>5KM OVERALL M</v>
      </c>
      <c r="E1842" s="1">
        <f>IFERROR(__xludf.DUMMYFUNCTION("""COMPUTED_VALUE"""),2.0)</f>
        <v>2</v>
      </c>
      <c r="F1842" s="1" t="str">
        <f>IFERROR(__xludf.DUMMYFUNCTION("""COMPUTED_VALUE"""),"Male")</f>
        <v>Male</v>
      </c>
      <c r="G1842" s="4" t="b">
        <f>IFERROR(__xludf.DUMMYFUNCTION("""COMPUTED_VALUE"""),TRUE)</f>
        <v>1</v>
      </c>
      <c r="H1842" s="4" t="b">
        <f>IFERROR(__xludf.DUMMYFUNCTION("""COMPUTED_VALUE"""),TRUE)</f>
        <v>1</v>
      </c>
      <c r="I1842" s="4">
        <f>IFERROR(__xludf.DUMMYFUNCTION("""COMPUTED_VALUE"""),0.2549440625)</f>
        <v>0.2549440625</v>
      </c>
      <c r="J1842" s="4">
        <f>IFERROR(__xludf.DUMMYFUNCTION("""COMPUTED_VALUE"""),45949.266550988905)</f>
        <v>45949.26655</v>
      </c>
      <c r="K1842" s="4" t="str">
        <f>IFERROR(__xludf.DUMMYFUNCTION("""COMPUTED_VALUE"""),"")</f>
        <v/>
      </c>
      <c r="L1842" s="4">
        <f>IFERROR(__xludf.DUMMYFUNCTION("""COMPUTED_VALUE"""),45949.27587309005)</f>
        <v>45949.27587</v>
      </c>
      <c r="M1842" s="1" t="str">
        <f>IFERROR(__xludf.DUMMYFUNCTION("""COMPUTED_VALUE"""),"RFID")</f>
        <v>RFID</v>
      </c>
      <c r="N1842" s="5">
        <f>IFERROR(__xludf.DUMMYFUNCTION("""COMPUTED_VALUE"""),0.004642768518518518)</f>
        <v>0.004642768519</v>
      </c>
      <c r="O1842" s="5" t="str">
        <f>IFERROR(__xludf.DUMMYFUNCTION("""COMPUTED_VALUE"""),"")</f>
        <v/>
      </c>
      <c r="P1842" s="5" t="str">
        <f>IFERROR(__xludf.DUMMYFUNCTION("""COMPUTED_VALUE"""),"")</f>
        <v/>
      </c>
      <c r="Q1842" s="5">
        <f>IFERROR(__xludf.DUMMYFUNCTION("""COMPUTED_VALUE"""),0.0041858055555555555)</f>
        <v>0.004185805556</v>
      </c>
      <c r="R1842" s="4">
        <f>IFERROR(__xludf.DUMMYFUNCTION("""COMPUTED_VALUE"""),45949.02092902755)</f>
        <v>45949.02093</v>
      </c>
      <c r="S1842" s="1" t="b">
        <f>IFERROR(__xludf.DUMMYFUNCTION("""COMPUTED_VALUE"""),TRUE)</f>
        <v>1</v>
      </c>
      <c r="T1842" s="1" t="b">
        <f>IFERROR(__xludf.DUMMYFUNCTION("""COMPUTED_VALUE"""),FALSE)</f>
        <v>0</v>
      </c>
      <c r="U1842" s="1" t="str">
        <f>IFERROR(__xludf.DUMMYFUNCTION("""COMPUTED_VALUE"""),"VALID")</f>
        <v>VALID</v>
      </c>
      <c r="V1842" s="1">
        <f>IFERROR(__xludf.DUMMYFUNCTION("""COMPUTED_VALUE"""),91.0)</f>
        <v>91</v>
      </c>
      <c r="W1842" s="1">
        <f>IFERROR(__xludf.DUMMYFUNCTION("""COMPUTED_VALUE"""),141.0)</f>
        <v>141</v>
      </c>
      <c r="X1842" s="1">
        <f>IFERROR(__xludf.DUMMYFUNCTION("""COMPUTED_VALUE"""),127.0)</f>
        <v>127</v>
      </c>
      <c r="Y1842" s="2"/>
      <c r="Z1842" s="2"/>
    </row>
    <row r="1843">
      <c r="A1843" s="1">
        <f>IFERROR(__xludf.DUMMYFUNCTION("""COMPUTED_VALUE"""),1842.0)</f>
        <v>1842</v>
      </c>
      <c r="B1843" s="1">
        <f>IFERROR(__xludf.DUMMYFUNCTION("""COMPUTED_VALUE"""),5312.0)</f>
        <v>5312</v>
      </c>
      <c r="C1843" s="2" t="str">
        <f>IFERROR(__xludf.DUMMYFUNCTION("""COMPUTED_VALUE"""),"AZIZ")</f>
        <v>AZIZ</v>
      </c>
      <c r="D1843" s="2" t="str">
        <f>IFERROR(__xludf.DUMMYFUNCTION("""COMPUTED_VALUE"""),"5KM OVERALL M")</f>
        <v>5KM OVERALL M</v>
      </c>
      <c r="E1843" s="1">
        <f>IFERROR(__xludf.DUMMYFUNCTION("""COMPUTED_VALUE"""),2.0)</f>
        <v>2</v>
      </c>
      <c r="F1843" s="1" t="str">
        <f>IFERROR(__xludf.DUMMYFUNCTION("""COMPUTED_VALUE"""),"Male")</f>
        <v>Male</v>
      </c>
      <c r="G1843" s="4" t="b">
        <f>IFERROR(__xludf.DUMMYFUNCTION("""COMPUTED_VALUE"""),TRUE)</f>
        <v>1</v>
      </c>
      <c r="H1843" s="4" t="b">
        <f>IFERROR(__xludf.DUMMYFUNCTION("""COMPUTED_VALUE"""),FALSE)</f>
        <v>0</v>
      </c>
      <c r="I1843" s="4">
        <f>IFERROR(__xludf.DUMMYFUNCTION("""COMPUTED_VALUE"""),0.2549440625)</f>
        <v>0.2549440625</v>
      </c>
      <c r="J1843" s="4">
        <f>IFERROR(__xludf.DUMMYFUNCTION("""COMPUTED_VALUE"""),45949.27756835015)</f>
        <v>45949.27757</v>
      </c>
      <c r="K1843" s="4" t="str">
        <f>IFERROR(__xludf.DUMMYFUNCTION("""COMPUTED_VALUE"""),"")</f>
        <v/>
      </c>
      <c r="L1843" s="4">
        <f>IFERROR(__xludf.DUMMYFUNCTION("""COMPUTED_VALUE"""),45949.29438698218)</f>
        <v>45949.29439</v>
      </c>
      <c r="M1843" s="1" t="str">
        <f>IFERROR(__xludf.DUMMYFUNCTION("""COMPUTED_VALUE"""),"RFID")</f>
        <v>RFID</v>
      </c>
      <c r="N1843" s="5">
        <f>IFERROR(__xludf.DUMMYFUNCTION("""COMPUTED_VALUE"""),0.009049712962962964)</f>
        <v>0.009049712963</v>
      </c>
      <c r="O1843" s="5" t="str">
        <f>IFERROR(__xludf.DUMMYFUNCTION("""COMPUTED_VALUE"""),"")</f>
        <v/>
      </c>
      <c r="P1843" s="5" t="str">
        <f>IFERROR(__xludf.DUMMYFUNCTION("""COMPUTED_VALUE"""),"")</f>
        <v/>
      </c>
      <c r="Q1843" s="5">
        <f>IFERROR(__xludf.DUMMYFUNCTION("""COMPUTED_VALUE"""),0.007888583333333334)</f>
        <v>0.007888583333</v>
      </c>
      <c r="R1843" s="4">
        <f>IFERROR(__xludf.DUMMYFUNCTION("""COMPUTED_VALUE"""),45949.03944291968)</f>
        <v>45949.03944</v>
      </c>
      <c r="S1843" s="1" t="b">
        <f>IFERROR(__xludf.DUMMYFUNCTION("""COMPUTED_VALUE"""),TRUE)</f>
        <v>1</v>
      </c>
      <c r="T1843" s="1" t="b">
        <f>IFERROR(__xludf.DUMMYFUNCTION("""COMPUTED_VALUE"""),FALSE)</f>
        <v>0</v>
      </c>
      <c r="U1843" s="1" t="str">
        <f>IFERROR(__xludf.DUMMYFUNCTION("""COMPUTED_VALUE"""),"VALID")</f>
        <v>VALID</v>
      </c>
      <c r="V1843" s="1">
        <f>IFERROR(__xludf.DUMMYFUNCTION("""COMPUTED_VALUE"""),697.0)</f>
        <v>697</v>
      </c>
      <c r="W1843" s="1">
        <f>IFERROR(__xludf.DUMMYFUNCTION("""COMPUTED_VALUE"""),1207.0)</f>
        <v>1207</v>
      </c>
      <c r="X1843" s="1">
        <f>IFERROR(__xludf.DUMMYFUNCTION("""COMPUTED_VALUE"""),944.0)</f>
        <v>944</v>
      </c>
      <c r="Y1843" s="2"/>
      <c r="Z1843" s="2"/>
    </row>
    <row r="1844">
      <c r="A1844" s="1">
        <f>IFERROR(__xludf.DUMMYFUNCTION("""COMPUTED_VALUE"""),1843.0)</f>
        <v>1843</v>
      </c>
      <c r="B1844" s="1">
        <f>IFERROR(__xludf.DUMMYFUNCTION("""COMPUTED_VALUE"""),5315.0)</f>
        <v>5315</v>
      </c>
      <c r="C1844" s="2" t="str">
        <f>IFERROR(__xludf.DUMMYFUNCTION("""COMPUTED_VALUE"""),"hidayatsamieullah")</f>
        <v>hidayatsamieullah</v>
      </c>
      <c r="D1844" s="2" t="str">
        <f>IFERROR(__xludf.DUMMYFUNCTION("""COMPUTED_VALUE"""),"5KM OVERALL M")</f>
        <v>5KM OVERALL M</v>
      </c>
      <c r="E1844" s="1">
        <f>IFERROR(__xludf.DUMMYFUNCTION("""COMPUTED_VALUE"""),2.0)</f>
        <v>2</v>
      </c>
      <c r="F1844" s="1" t="str">
        <f>IFERROR(__xludf.DUMMYFUNCTION("""COMPUTED_VALUE"""),"Male")</f>
        <v>Male</v>
      </c>
      <c r="G1844" s="4" t="b">
        <f>IFERROR(__xludf.DUMMYFUNCTION("""COMPUTED_VALUE"""),TRUE)</f>
        <v>1</v>
      </c>
      <c r="H1844" s="4" t="b">
        <f>IFERROR(__xludf.DUMMYFUNCTION("""COMPUTED_VALUE"""),TRUE)</f>
        <v>1</v>
      </c>
      <c r="I1844" s="4">
        <f>IFERROR(__xludf.DUMMYFUNCTION("""COMPUTED_VALUE"""),0.2549440625)</f>
        <v>0.2549440625</v>
      </c>
      <c r="J1844" s="4">
        <f>IFERROR(__xludf.DUMMYFUNCTION("""COMPUTED_VALUE"""),45949.28055796827)</f>
        <v>45949.28056</v>
      </c>
      <c r="K1844" s="4" t="str">
        <f>IFERROR(__xludf.DUMMYFUNCTION("""COMPUTED_VALUE"""),"")</f>
        <v/>
      </c>
      <c r="L1844" s="4">
        <f>IFERROR(__xludf.DUMMYFUNCTION("""COMPUTED_VALUE"""),45949.29943560021)</f>
        <v>45949.29944</v>
      </c>
      <c r="M1844" s="1" t="str">
        <f>IFERROR(__xludf.DUMMYFUNCTION("""COMPUTED_VALUE"""),"RFID")</f>
        <v>RFID</v>
      </c>
      <c r="N1844" s="5">
        <f>IFERROR(__xludf.DUMMYFUNCTION("""COMPUTED_VALUE"""),0.010245560185185186)</f>
        <v>0.01024556019</v>
      </c>
      <c r="O1844" s="5" t="str">
        <f>IFERROR(__xludf.DUMMYFUNCTION("""COMPUTED_VALUE"""),"")</f>
        <v/>
      </c>
      <c r="P1844" s="5" t="str">
        <f>IFERROR(__xludf.DUMMYFUNCTION("""COMPUTED_VALUE"""),"")</f>
        <v/>
      </c>
      <c r="Q1844" s="5">
        <f>IFERROR(__xludf.DUMMYFUNCTION("""COMPUTED_VALUE"""),0.00889830787037037)</f>
        <v>0.00889830787</v>
      </c>
      <c r="R1844" s="4">
        <f>IFERROR(__xludf.DUMMYFUNCTION("""COMPUTED_VALUE"""),45949.04449153771)</f>
        <v>45949.04449</v>
      </c>
      <c r="S1844" s="1" t="b">
        <f>IFERROR(__xludf.DUMMYFUNCTION("""COMPUTED_VALUE"""),TRUE)</f>
        <v>1</v>
      </c>
      <c r="T1844" s="1" t="b">
        <f>IFERROR(__xludf.DUMMYFUNCTION("""COMPUTED_VALUE"""),FALSE)</f>
        <v>0</v>
      </c>
      <c r="U1844" s="1" t="str">
        <f>IFERROR(__xludf.DUMMYFUNCTION("""COMPUTED_VALUE"""),"VALID")</f>
        <v>VALID</v>
      </c>
      <c r="V1844" s="1">
        <f>IFERROR(__xludf.DUMMYFUNCTION("""COMPUTED_VALUE"""),787.0)</f>
        <v>787</v>
      </c>
      <c r="W1844" s="1">
        <f>IFERROR(__xludf.DUMMYFUNCTION("""COMPUTED_VALUE"""),1428.0)</f>
        <v>1428</v>
      </c>
      <c r="X1844" s="1">
        <f>IFERROR(__xludf.DUMMYFUNCTION("""COMPUTED_VALUE"""),1172.0)</f>
        <v>1172</v>
      </c>
      <c r="Y1844" s="2"/>
      <c r="Z1844" s="2"/>
    </row>
    <row r="1845">
      <c r="A1845" s="1">
        <f>IFERROR(__xludf.DUMMYFUNCTION("""COMPUTED_VALUE"""),1844.0)</f>
        <v>1844</v>
      </c>
      <c r="B1845" s="1">
        <f>IFERROR(__xludf.DUMMYFUNCTION("""COMPUTED_VALUE"""),5317.0)</f>
        <v>5317</v>
      </c>
      <c r="C1845" s="2" t="str">
        <f>IFERROR(__xludf.DUMMYFUNCTION("""COMPUTED_VALUE"""),"yudhis")</f>
        <v>yudhis</v>
      </c>
      <c r="D1845" s="2" t="str">
        <f>IFERROR(__xludf.DUMMYFUNCTION("""COMPUTED_VALUE"""),"5KM OVERALL M")</f>
        <v>5KM OVERALL M</v>
      </c>
      <c r="E1845" s="1">
        <f>IFERROR(__xludf.DUMMYFUNCTION("""COMPUTED_VALUE"""),2.0)</f>
        <v>2</v>
      </c>
      <c r="F1845" s="1" t="str">
        <f>IFERROR(__xludf.DUMMYFUNCTION("""COMPUTED_VALUE"""),"Male")</f>
        <v>Male</v>
      </c>
      <c r="G1845" s="4" t="b">
        <f>IFERROR(__xludf.DUMMYFUNCTION("""COMPUTED_VALUE"""),TRUE)</f>
        <v>1</v>
      </c>
      <c r="H1845" s="4" t="b">
        <f>IFERROR(__xludf.DUMMYFUNCTION("""COMPUTED_VALUE"""),FALSE)</f>
        <v>0</v>
      </c>
      <c r="I1845" s="4">
        <f>IFERROR(__xludf.DUMMYFUNCTION("""COMPUTED_VALUE"""),0.2549440625)</f>
        <v>0.2549440625</v>
      </c>
      <c r="J1845" s="4">
        <f>IFERROR(__xludf.DUMMYFUNCTION("""COMPUTED_VALUE"""),45949.2649607203)</f>
        <v>45949.26496</v>
      </c>
      <c r="K1845" s="4" t="str">
        <f>IFERROR(__xludf.DUMMYFUNCTION("""COMPUTED_VALUE"""),"")</f>
        <v/>
      </c>
      <c r="L1845" s="4">
        <f>IFERROR(__xludf.DUMMYFUNCTION("""COMPUTED_VALUE"""),45949.2739355945)</f>
        <v>45949.27394</v>
      </c>
      <c r="M1845" s="1" t="str">
        <f>IFERROR(__xludf.DUMMYFUNCTION("""COMPUTED_VALUE"""),"RFID")</f>
        <v>RFID</v>
      </c>
      <c r="N1845" s="5">
        <f>IFERROR(__xludf.DUMMYFUNCTION("""COMPUTED_VALUE"""),0.004006662037037037)</f>
        <v>0.004006662037</v>
      </c>
      <c r="O1845" s="5" t="str">
        <f>IFERROR(__xludf.DUMMYFUNCTION("""COMPUTED_VALUE"""),"")</f>
        <v/>
      </c>
      <c r="P1845" s="5" t="str">
        <f>IFERROR(__xludf.DUMMYFUNCTION("""COMPUTED_VALUE"""),"")</f>
        <v/>
      </c>
      <c r="Q1845" s="5">
        <f>IFERROR(__xludf.DUMMYFUNCTION("""COMPUTED_VALUE"""),0.0037983055555555556)</f>
        <v>0.003798305556</v>
      </c>
      <c r="R1845" s="4">
        <f>IFERROR(__xludf.DUMMYFUNCTION("""COMPUTED_VALUE"""),45949.018991532)</f>
        <v>45949.01899</v>
      </c>
      <c r="S1845" s="1" t="b">
        <f>IFERROR(__xludf.DUMMYFUNCTION("""COMPUTED_VALUE"""),TRUE)</f>
        <v>1</v>
      </c>
      <c r="T1845" s="1" t="b">
        <f>IFERROR(__xludf.DUMMYFUNCTION("""COMPUTED_VALUE"""),FALSE)</f>
        <v>0</v>
      </c>
      <c r="U1845" s="1" t="str">
        <f>IFERROR(__xludf.DUMMYFUNCTION("""COMPUTED_VALUE"""),"VALID")</f>
        <v>VALID</v>
      </c>
      <c r="V1845" s="1">
        <f>IFERROR(__xludf.DUMMYFUNCTION("""COMPUTED_VALUE"""),57.0)</f>
        <v>57</v>
      </c>
      <c r="W1845" s="1">
        <f>IFERROR(__xludf.DUMMYFUNCTION("""COMPUTED_VALUE"""),86.0)</f>
        <v>86</v>
      </c>
      <c r="X1845" s="1">
        <f>IFERROR(__xludf.DUMMYFUNCTION("""COMPUTED_VALUE"""),77.0)</f>
        <v>77</v>
      </c>
      <c r="Y1845" s="2"/>
      <c r="Z1845" s="2"/>
    </row>
    <row r="1846">
      <c r="A1846" s="1">
        <f>IFERROR(__xludf.DUMMYFUNCTION("""COMPUTED_VALUE"""),1845.0)</f>
        <v>1845</v>
      </c>
      <c r="B1846" s="1">
        <f>IFERROR(__xludf.DUMMYFUNCTION("""COMPUTED_VALUE"""),5318.0)</f>
        <v>5318</v>
      </c>
      <c r="C1846" s="2" t="str">
        <f>IFERROR(__xludf.DUMMYFUNCTION("""COMPUTED_VALUE"""),"Isau Bakumpai")</f>
        <v>Isau Bakumpai</v>
      </c>
      <c r="D1846" s="2" t="str">
        <f>IFERROR(__xludf.DUMMYFUNCTION("""COMPUTED_VALUE"""),"5KM OVERALL M")</f>
        <v>5KM OVERALL M</v>
      </c>
      <c r="E1846" s="1">
        <f>IFERROR(__xludf.DUMMYFUNCTION("""COMPUTED_VALUE"""),2.0)</f>
        <v>2</v>
      </c>
      <c r="F1846" s="1" t="str">
        <f>IFERROR(__xludf.DUMMYFUNCTION("""COMPUTED_VALUE"""),"Male")</f>
        <v>Male</v>
      </c>
      <c r="G1846" s="4" t="b">
        <f>IFERROR(__xludf.DUMMYFUNCTION("""COMPUTED_VALUE"""),TRUE)</f>
        <v>1</v>
      </c>
      <c r="H1846" s="4" t="b">
        <f>IFERROR(__xludf.DUMMYFUNCTION("""COMPUTED_VALUE"""),TRUE)</f>
        <v>1</v>
      </c>
      <c r="I1846" s="4">
        <f>IFERROR(__xludf.DUMMYFUNCTION("""COMPUTED_VALUE"""),0.2549440625)</f>
        <v>0.2549440625</v>
      </c>
      <c r="J1846" s="4">
        <f>IFERROR(__xludf.DUMMYFUNCTION("""COMPUTED_VALUE"""),45949.274946889804)</f>
        <v>45949.27495</v>
      </c>
      <c r="K1846" s="4" t="str">
        <f>IFERROR(__xludf.DUMMYFUNCTION("""COMPUTED_VALUE"""),"")</f>
        <v/>
      </c>
      <c r="L1846" s="4">
        <f>IFERROR(__xludf.DUMMYFUNCTION("""COMPUTED_VALUE"""),45949.290109206646)</f>
        <v>45949.29011</v>
      </c>
      <c r="M1846" s="1" t="str">
        <f>IFERROR(__xludf.DUMMYFUNCTION("""COMPUTED_VALUE"""),"RFID")</f>
        <v>RFID</v>
      </c>
      <c r="N1846" s="5">
        <f>IFERROR(__xludf.DUMMYFUNCTION("""COMPUTED_VALUE"""),0.008001129629629629)</f>
        <v>0.00800112963</v>
      </c>
      <c r="O1846" s="5" t="str">
        <f>IFERROR(__xludf.DUMMYFUNCTION("""COMPUTED_VALUE"""),"")</f>
        <v/>
      </c>
      <c r="P1846" s="5" t="str">
        <f>IFERROR(__xludf.DUMMYFUNCTION("""COMPUTED_VALUE"""),"")</f>
        <v/>
      </c>
      <c r="Q1846" s="5">
        <f>IFERROR(__xludf.DUMMYFUNCTION("""COMPUTED_VALUE"""),0.007033027777777779)</f>
        <v>0.007033027778</v>
      </c>
      <c r="R1846" s="4">
        <f>IFERROR(__xludf.DUMMYFUNCTION("""COMPUTED_VALUE"""),45949.035165144145)</f>
        <v>45949.03517</v>
      </c>
      <c r="S1846" s="1" t="b">
        <f>IFERROR(__xludf.DUMMYFUNCTION("""COMPUTED_VALUE"""),TRUE)</f>
        <v>1</v>
      </c>
      <c r="T1846" s="1" t="b">
        <f>IFERROR(__xludf.DUMMYFUNCTION("""COMPUTED_VALUE"""),FALSE)</f>
        <v>0</v>
      </c>
      <c r="U1846" s="1" t="str">
        <f>IFERROR(__xludf.DUMMYFUNCTION("""COMPUTED_VALUE"""),"VALID")</f>
        <v>VALID</v>
      </c>
      <c r="V1846" s="1">
        <f>IFERROR(__xludf.DUMMYFUNCTION("""COMPUTED_VALUE"""),563.0)</f>
        <v>563</v>
      </c>
      <c r="W1846" s="1">
        <f>IFERROR(__xludf.DUMMYFUNCTION("""COMPUTED_VALUE"""),897.0)</f>
        <v>897</v>
      </c>
      <c r="X1846" s="1">
        <f>IFERROR(__xludf.DUMMYFUNCTION("""COMPUTED_VALUE"""),733.0)</f>
        <v>733</v>
      </c>
      <c r="Y1846" s="2"/>
      <c r="Z1846" s="2"/>
    </row>
    <row r="1847">
      <c r="A1847" s="1">
        <f>IFERROR(__xludf.DUMMYFUNCTION("""COMPUTED_VALUE"""),1846.0)</f>
        <v>1846</v>
      </c>
      <c r="B1847" s="1">
        <f>IFERROR(__xludf.DUMMYFUNCTION("""COMPUTED_VALUE"""),5319.0)</f>
        <v>5319</v>
      </c>
      <c r="C1847" s="2" t="str">
        <f>IFERROR(__xludf.DUMMYFUNCTION("""COMPUTED_VALUE"""),"Nur Khaalish H")</f>
        <v>Nur Khaalish H</v>
      </c>
      <c r="D1847" s="2" t="str">
        <f>IFERROR(__xludf.DUMMYFUNCTION("""COMPUTED_VALUE"""),"5KM OVERALL M")</f>
        <v>5KM OVERALL M</v>
      </c>
      <c r="E1847" s="1">
        <f>IFERROR(__xludf.DUMMYFUNCTION("""COMPUTED_VALUE"""),2.0)</f>
        <v>2</v>
      </c>
      <c r="F1847" s="1" t="str">
        <f>IFERROR(__xludf.DUMMYFUNCTION("""COMPUTED_VALUE"""),"Male")</f>
        <v>Male</v>
      </c>
      <c r="G1847" s="4" t="b">
        <f>IFERROR(__xludf.DUMMYFUNCTION("""COMPUTED_VALUE"""),TRUE)</f>
        <v>1</v>
      </c>
      <c r="H1847" s="4" t="b">
        <f>IFERROR(__xludf.DUMMYFUNCTION("""COMPUTED_VALUE"""),FALSE)</f>
        <v>0</v>
      </c>
      <c r="I1847" s="4">
        <f>IFERROR(__xludf.DUMMYFUNCTION("""COMPUTED_VALUE"""),0.2549440625)</f>
        <v>0.2549440625</v>
      </c>
      <c r="J1847" s="4">
        <f>IFERROR(__xludf.DUMMYFUNCTION("""COMPUTED_VALUE"""),45949.2754468374)</f>
        <v>45949.27545</v>
      </c>
      <c r="K1847" s="4" t="str">
        <f>IFERROR(__xludf.DUMMYFUNCTION("""COMPUTED_VALUE"""),"")</f>
        <v/>
      </c>
      <c r="L1847" s="4">
        <f>IFERROR(__xludf.DUMMYFUNCTION("""COMPUTED_VALUE"""),45949.29106754264)</f>
        <v>45949.29107</v>
      </c>
      <c r="M1847" s="1" t="str">
        <f>IFERROR(__xludf.DUMMYFUNCTION("""COMPUTED_VALUE"""),"RFID")</f>
        <v>RFID</v>
      </c>
      <c r="N1847" s="5">
        <f>IFERROR(__xludf.DUMMYFUNCTION("""COMPUTED_VALUE"""),0.008201111111111112)</f>
        <v>0.008201111111</v>
      </c>
      <c r="O1847" s="5" t="str">
        <f>IFERROR(__xludf.DUMMYFUNCTION("""COMPUTED_VALUE"""),"")</f>
        <v/>
      </c>
      <c r="P1847" s="5" t="str">
        <f>IFERROR(__xludf.DUMMYFUNCTION("""COMPUTED_VALUE"""),"")</f>
        <v/>
      </c>
      <c r="Q1847" s="5">
        <f>IFERROR(__xludf.DUMMYFUNCTION("""COMPUTED_VALUE"""),0.00722469675925926)</f>
        <v>0.007224696759</v>
      </c>
      <c r="R1847" s="4">
        <f>IFERROR(__xludf.DUMMYFUNCTION("""COMPUTED_VALUE"""),45949.03612348014)</f>
        <v>45949.03612</v>
      </c>
      <c r="S1847" s="1" t="b">
        <f>IFERROR(__xludf.DUMMYFUNCTION("""COMPUTED_VALUE"""),TRUE)</f>
        <v>1</v>
      </c>
      <c r="T1847" s="1" t="b">
        <f>IFERROR(__xludf.DUMMYFUNCTION("""COMPUTED_VALUE"""),FALSE)</f>
        <v>0</v>
      </c>
      <c r="U1847" s="1" t="str">
        <f>IFERROR(__xludf.DUMMYFUNCTION("""COMPUTED_VALUE"""),"VALID")</f>
        <v>VALID</v>
      </c>
      <c r="V1847" s="1">
        <f>IFERROR(__xludf.DUMMYFUNCTION("""COMPUTED_VALUE"""),596.0)</f>
        <v>596</v>
      </c>
      <c r="W1847" s="1">
        <f>IFERROR(__xludf.DUMMYFUNCTION("""COMPUTED_VALUE"""),964.0)</f>
        <v>964</v>
      </c>
      <c r="X1847" s="1">
        <f>IFERROR(__xludf.DUMMYFUNCTION("""COMPUTED_VALUE"""),782.0)</f>
        <v>782</v>
      </c>
      <c r="Y1847" s="2"/>
      <c r="Z1847" s="2"/>
    </row>
    <row r="1848">
      <c r="A1848" s="1">
        <f>IFERROR(__xludf.DUMMYFUNCTION("""COMPUTED_VALUE"""),1847.0)</f>
        <v>1847</v>
      </c>
      <c r="B1848" s="1">
        <f>IFERROR(__xludf.DUMMYFUNCTION("""COMPUTED_VALUE"""),5321.0)</f>
        <v>5321</v>
      </c>
      <c r="C1848" s="2" t="str">
        <f>IFERROR(__xludf.DUMMYFUNCTION("""COMPUTED_VALUE"""),"shofii")</f>
        <v>shofii</v>
      </c>
      <c r="D1848" s="2" t="str">
        <f>IFERROR(__xludf.DUMMYFUNCTION("""COMPUTED_VALUE"""),"5KM OVERALL M")</f>
        <v>5KM OVERALL M</v>
      </c>
      <c r="E1848" s="1">
        <f>IFERROR(__xludf.DUMMYFUNCTION("""COMPUTED_VALUE"""),2.0)</f>
        <v>2</v>
      </c>
      <c r="F1848" s="1" t="str">
        <f>IFERROR(__xludf.DUMMYFUNCTION("""COMPUTED_VALUE"""),"Male")</f>
        <v>Male</v>
      </c>
      <c r="G1848" s="4" t="b">
        <f>IFERROR(__xludf.DUMMYFUNCTION("""COMPUTED_VALUE"""),TRUE)</f>
        <v>1</v>
      </c>
      <c r="H1848" s="4" t="b">
        <f>IFERROR(__xludf.DUMMYFUNCTION("""COMPUTED_VALUE"""),TRUE)</f>
        <v>1</v>
      </c>
      <c r="I1848" s="4">
        <f>IFERROR(__xludf.DUMMYFUNCTION("""COMPUTED_VALUE"""),0.2549440625)</f>
        <v>0.2549440625</v>
      </c>
      <c r="J1848" s="4">
        <f>IFERROR(__xludf.DUMMYFUNCTION("""COMPUTED_VALUE"""),45949.273915573816)</f>
        <v>45949.27392</v>
      </c>
      <c r="K1848" s="4" t="str">
        <f>IFERROR(__xludf.DUMMYFUNCTION("""COMPUTED_VALUE"""),"")</f>
        <v/>
      </c>
      <c r="L1848" s="4">
        <f>IFERROR(__xludf.DUMMYFUNCTION("""COMPUTED_VALUE"""),45949.28616824717)</f>
        <v>45949.28617</v>
      </c>
      <c r="M1848" s="1" t="str">
        <f>IFERROR(__xludf.DUMMYFUNCTION("""COMPUTED_VALUE"""),"RFID")</f>
        <v>RFID</v>
      </c>
      <c r="N1848" s="5">
        <f>IFERROR(__xludf.DUMMYFUNCTION("""COMPUTED_VALUE"""),0.007588606481481482)</f>
        <v>0.007588606481</v>
      </c>
      <c r="O1848" s="5" t="str">
        <f>IFERROR(__xludf.DUMMYFUNCTION("""COMPUTED_VALUE"""),"")</f>
        <v/>
      </c>
      <c r="P1848" s="5" t="str">
        <f>IFERROR(__xludf.DUMMYFUNCTION("""COMPUTED_VALUE"""),"")</f>
        <v/>
      </c>
      <c r="Q1848" s="5">
        <f>IFERROR(__xludf.DUMMYFUNCTION("""COMPUTED_VALUE"""),0.006244837962962963)</f>
        <v>0.006244837963</v>
      </c>
      <c r="R1848" s="4">
        <f>IFERROR(__xludf.DUMMYFUNCTION("""COMPUTED_VALUE"""),45949.03122418467)</f>
        <v>45949.03122</v>
      </c>
      <c r="S1848" s="1" t="b">
        <f>IFERROR(__xludf.DUMMYFUNCTION("""COMPUTED_VALUE"""),TRUE)</f>
        <v>1</v>
      </c>
      <c r="T1848" s="1" t="b">
        <f>IFERROR(__xludf.DUMMYFUNCTION("""COMPUTED_VALUE"""),FALSE)</f>
        <v>0</v>
      </c>
      <c r="U1848" s="1" t="str">
        <f>IFERROR(__xludf.DUMMYFUNCTION("""COMPUTED_VALUE"""),"VALID")</f>
        <v>VALID</v>
      </c>
      <c r="V1848" s="1">
        <f>IFERROR(__xludf.DUMMYFUNCTION("""COMPUTED_VALUE"""),421.0)</f>
        <v>421</v>
      </c>
      <c r="W1848" s="1">
        <f>IFERROR(__xludf.DUMMYFUNCTION("""COMPUTED_VALUE"""),646.0)</f>
        <v>646</v>
      </c>
      <c r="X1848" s="1">
        <f>IFERROR(__xludf.DUMMYFUNCTION("""COMPUTED_VALUE"""),539.0)</f>
        <v>539</v>
      </c>
      <c r="Y1848" s="2"/>
      <c r="Z1848" s="2"/>
    </row>
    <row r="1849">
      <c r="A1849" s="1">
        <f>IFERROR(__xludf.DUMMYFUNCTION("""COMPUTED_VALUE"""),1848.0)</f>
        <v>1848</v>
      </c>
      <c r="B1849" s="1">
        <f>IFERROR(__xludf.DUMMYFUNCTION("""COMPUTED_VALUE"""),5322.0)</f>
        <v>5322</v>
      </c>
      <c r="C1849" s="2" t="str">
        <f>IFERROR(__xludf.DUMMYFUNCTION("""COMPUTED_VALUE"""),"Fikaboyy")</f>
        <v>Fikaboyy</v>
      </c>
      <c r="D1849" s="2" t="str">
        <f>IFERROR(__xludf.DUMMYFUNCTION("""COMPUTED_VALUE"""),"5KM OVERALL M")</f>
        <v>5KM OVERALL M</v>
      </c>
      <c r="E1849" s="1">
        <f>IFERROR(__xludf.DUMMYFUNCTION("""COMPUTED_VALUE"""),2.0)</f>
        <v>2</v>
      </c>
      <c r="F1849" s="1" t="str">
        <f>IFERROR(__xludf.DUMMYFUNCTION("""COMPUTED_VALUE"""),"Male")</f>
        <v>Male</v>
      </c>
      <c r="G1849" s="4" t="str">
        <f>IFERROR(__xludf.DUMMYFUNCTION("""COMPUTED_VALUE"""),"")</f>
        <v/>
      </c>
      <c r="H1849" s="4" t="b">
        <f>IFERROR(__xludf.DUMMYFUNCTION("""COMPUTED_VALUE"""),FALSE)</f>
        <v>0</v>
      </c>
      <c r="I1849" s="4">
        <f>IFERROR(__xludf.DUMMYFUNCTION("""COMPUTED_VALUE"""),0.2549440625)</f>
        <v>0.2549440625</v>
      </c>
      <c r="J1849" s="4" t="str">
        <f>IFERROR(__xludf.DUMMYFUNCTION("""COMPUTED_VALUE"""),"")</f>
        <v/>
      </c>
      <c r="K1849" s="4" t="str">
        <f>IFERROR(__xludf.DUMMYFUNCTION("""COMPUTED_VALUE"""),"")</f>
        <v/>
      </c>
      <c r="L1849" s="4" t="str">
        <f>IFERROR(__xludf.DUMMYFUNCTION("""COMPUTED_VALUE"""),"")</f>
        <v/>
      </c>
      <c r="M1849" s="1" t="str">
        <f>IFERROR(__xludf.DUMMYFUNCTION("""COMPUTED_VALUE"""),"RFID")</f>
        <v>RFID</v>
      </c>
      <c r="N1849" s="5" t="str">
        <f>IFERROR(__xludf.DUMMYFUNCTION("""COMPUTED_VALUE"""),"")</f>
        <v/>
      </c>
      <c r="O1849" s="5" t="str">
        <f>IFERROR(__xludf.DUMMYFUNCTION("""COMPUTED_VALUE"""),"")</f>
        <v/>
      </c>
      <c r="P1849" s="5" t="str">
        <f>IFERROR(__xludf.DUMMYFUNCTION("""COMPUTED_VALUE"""),"")</f>
        <v/>
      </c>
      <c r="Q1849" s="5" t="str">
        <f>IFERROR(__xludf.DUMMYFUNCTION("""COMPUTED_VALUE"""),"")</f>
        <v/>
      </c>
      <c r="R1849" s="4" t="str">
        <f>IFERROR(__xludf.DUMMYFUNCTION("""COMPUTED_VALUE"""),"")</f>
        <v/>
      </c>
      <c r="S1849" s="1" t="b">
        <f>IFERROR(__xludf.DUMMYFUNCTION("""COMPUTED_VALUE"""),FALSE)</f>
        <v>0</v>
      </c>
      <c r="T1849" s="1" t="b">
        <f>IFERROR(__xludf.DUMMYFUNCTION("""COMPUTED_VALUE"""),FALSE)</f>
        <v>0</v>
      </c>
      <c r="U1849" s="1" t="str">
        <f>IFERROR(__xludf.DUMMYFUNCTION("""COMPUTED_VALUE"""),"DSQ")</f>
        <v>DSQ</v>
      </c>
      <c r="V1849" s="1" t="str">
        <f>IFERROR(__xludf.DUMMYFUNCTION("""COMPUTED_VALUE"""),"DSQ")</f>
        <v>DSQ</v>
      </c>
      <c r="W1849" s="1" t="str">
        <f>IFERROR(__xludf.DUMMYFUNCTION("""COMPUTED_VALUE"""),"DSQ")</f>
        <v>DSQ</v>
      </c>
      <c r="X1849" s="1" t="str">
        <f>IFERROR(__xludf.DUMMYFUNCTION("""COMPUTED_VALUE"""),"DSQ")</f>
        <v>DSQ</v>
      </c>
      <c r="Y1849" s="2"/>
      <c r="Z1849" s="2" t="str">
        <f>IFERROR(__xludf.DUMMYFUNCTION("""COMPUTED_VALUE"""),"")</f>
        <v/>
      </c>
    </row>
    <row r="1850">
      <c r="A1850" s="1">
        <f>IFERROR(__xludf.DUMMYFUNCTION("""COMPUTED_VALUE"""),1849.0)</f>
        <v>1849</v>
      </c>
      <c r="B1850" s="1">
        <f>IFERROR(__xludf.DUMMYFUNCTION("""COMPUTED_VALUE"""),5324.0)</f>
        <v>5324</v>
      </c>
      <c r="C1850" s="2" t="str">
        <f>IFERROR(__xludf.DUMMYFUNCTION("""COMPUTED_VALUE"""),"Veri BB")</f>
        <v>Veri BB</v>
      </c>
      <c r="D1850" s="2" t="str">
        <f>IFERROR(__xludf.DUMMYFUNCTION("""COMPUTED_VALUE"""),"5KM OVERALL M")</f>
        <v>5KM OVERALL M</v>
      </c>
      <c r="E1850" s="1">
        <f>IFERROR(__xludf.DUMMYFUNCTION("""COMPUTED_VALUE"""),2.0)</f>
        <v>2</v>
      </c>
      <c r="F1850" s="1" t="str">
        <f>IFERROR(__xludf.DUMMYFUNCTION("""COMPUTED_VALUE"""),"Male")</f>
        <v>Male</v>
      </c>
      <c r="G1850" s="4" t="b">
        <f>IFERROR(__xludf.DUMMYFUNCTION("""COMPUTED_VALUE"""),TRUE)</f>
        <v>1</v>
      </c>
      <c r="H1850" s="4" t="b">
        <f>IFERROR(__xludf.DUMMYFUNCTION("""COMPUTED_VALUE"""),TRUE)</f>
        <v>1</v>
      </c>
      <c r="I1850" s="4">
        <f>IFERROR(__xludf.DUMMYFUNCTION("""COMPUTED_VALUE"""),0.2549440625)</f>
        <v>0.2549440625</v>
      </c>
      <c r="J1850" s="4">
        <f>IFERROR(__xludf.DUMMYFUNCTION("""COMPUTED_VALUE"""),45949.26568989768)</f>
        <v>45949.26569</v>
      </c>
      <c r="K1850" s="4" t="str">
        <f>IFERROR(__xludf.DUMMYFUNCTION("""COMPUTED_VALUE"""),"")</f>
        <v/>
      </c>
      <c r="L1850" s="4">
        <f>IFERROR(__xludf.DUMMYFUNCTION("""COMPUTED_VALUE"""),45949.27436267736)</f>
        <v>45949.27436</v>
      </c>
      <c r="M1850" s="1" t="str">
        <f>IFERROR(__xludf.DUMMYFUNCTION("""COMPUTED_VALUE"""),"RFID")</f>
        <v>RFID</v>
      </c>
      <c r="N1850" s="5">
        <f>IFERROR(__xludf.DUMMYFUNCTION("""COMPUTED_VALUE"""),0.004298333333333334)</f>
        <v>0.004298333333</v>
      </c>
      <c r="O1850" s="5" t="str">
        <f>IFERROR(__xludf.DUMMYFUNCTION("""COMPUTED_VALUE"""),"")</f>
        <v/>
      </c>
      <c r="P1850" s="5" t="str">
        <f>IFERROR(__xludf.DUMMYFUNCTION("""COMPUTED_VALUE"""),"")</f>
        <v/>
      </c>
      <c r="Q1850" s="5">
        <f>IFERROR(__xludf.DUMMYFUNCTION("""COMPUTED_VALUE"""),0.0038837222222222224)</f>
        <v>0.003883722222</v>
      </c>
      <c r="R1850" s="4">
        <f>IFERROR(__xludf.DUMMYFUNCTION("""COMPUTED_VALUE"""),45949.01941861486)</f>
        <v>45949.01942</v>
      </c>
      <c r="S1850" s="1" t="b">
        <f>IFERROR(__xludf.DUMMYFUNCTION("""COMPUTED_VALUE"""),TRUE)</f>
        <v>1</v>
      </c>
      <c r="T1850" s="1" t="b">
        <f>IFERROR(__xludf.DUMMYFUNCTION("""COMPUTED_VALUE"""),FALSE)</f>
        <v>0</v>
      </c>
      <c r="U1850" s="1" t="str">
        <f>IFERROR(__xludf.DUMMYFUNCTION("""COMPUTED_VALUE"""),"VALID")</f>
        <v>VALID</v>
      </c>
      <c r="V1850" s="1">
        <f>IFERROR(__xludf.DUMMYFUNCTION("""COMPUTED_VALUE"""),66.0)</f>
        <v>66</v>
      </c>
      <c r="W1850" s="1">
        <f>IFERROR(__xludf.DUMMYFUNCTION("""COMPUTED_VALUE"""),98.0)</f>
        <v>98</v>
      </c>
      <c r="X1850" s="1">
        <f>IFERROR(__xludf.DUMMYFUNCTION("""COMPUTED_VALUE"""),88.0)</f>
        <v>88</v>
      </c>
      <c r="Y1850" s="2"/>
      <c r="Z1850" s="2"/>
    </row>
    <row r="1851">
      <c r="A1851" s="1">
        <f>IFERROR(__xludf.DUMMYFUNCTION("""COMPUTED_VALUE"""),1850.0)</f>
        <v>1850</v>
      </c>
      <c r="B1851" s="1">
        <f>IFERROR(__xludf.DUMMYFUNCTION("""COMPUTED_VALUE"""),5325.0)</f>
        <v>5325</v>
      </c>
      <c r="C1851" s="2" t="str">
        <f>IFERROR(__xludf.DUMMYFUNCTION("""COMPUTED_VALUE"""),"Furqoon02")</f>
        <v>Furqoon02</v>
      </c>
      <c r="D1851" s="2" t="str">
        <f>IFERROR(__xludf.DUMMYFUNCTION("""COMPUTED_VALUE"""),"5KM OVERALL M")</f>
        <v>5KM OVERALL M</v>
      </c>
      <c r="E1851" s="1">
        <f>IFERROR(__xludf.DUMMYFUNCTION("""COMPUTED_VALUE"""),2.0)</f>
        <v>2</v>
      </c>
      <c r="F1851" s="1" t="str">
        <f>IFERROR(__xludf.DUMMYFUNCTION("""COMPUTED_VALUE"""),"Male")</f>
        <v>Male</v>
      </c>
      <c r="G1851" s="4" t="b">
        <f>IFERROR(__xludf.DUMMYFUNCTION("""COMPUTED_VALUE"""),TRUE)</f>
        <v>1</v>
      </c>
      <c r="H1851" s="4" t="b">
        <f>IFERROR(__xludf.DUMMYFUNCTION("""COMPUTED_VALUE"""),TRUE)</f>
        <v>1</v>
      </c>
      <c r="I1851" s="4">
        <f>IFERROR(__xludf.DUMMYFUNCTION("""COMPUTED_VALUE"""),0.2549440625)</f>
        <v>0.2549440625</v>
      </c>
      <c r="J1851" s="4">
        <f>IFERROR(__xludf.DUMMYFUNCTION("""COMPUTED_VALUE"""),45949.26979406311)</f>
        <v>45949.26979</v>
      </c>
      <c r="K1851" s="4" t="str">
        <f>IFERROR(__xludf.DUMMYFUNCTION("""COMPUTED_VALUE"""),"")</f>
        <v/>
      </c>
      <c r="L1851" s="4">
        <f>IFERROR(__xludf.DUMMYFUNCTION("""COMPUTED_VALUE"""),45949.27969357316)</f>
        <v>45949.27969</v>
      </c>
      <c r="M1851" s="1" t="str">
        <f>IFERROR(__xludf.DUMMYFUNCTION("""COMPUTED_VALUE"""),"RFID")</f>
        <v>RFID</v>
      </c>
      <c r="N1851" s="5">
        <f>IFERROR(__xludf.DUMMYFUNCTION("""COMPUTED_VALUE"""),0.00594)</f>
        <v>0.00594</v>
      </c>
      <c r="O1851" s="5" t="str">
        <f>IFERROR(__xludf.DUMMYFUNCTION("""COMPUTED_VALUE"""),"")</f>
        <v/>
      </c>
      <c r="P1851" s="5" t="str">
        <f>IFERROR(__xludf.DUMMYFUNCTION("""COMPUTED_VALUE"""),"")</f>
        <v/>
      </c>
      <c r="Q1851" s="5">
        <f>IFERROR(__xludf.DUMMYFUNCTION("""COMPUTED_VALUE"""),0.004949902777777778)</f>
        <v>0.004949902778</v>
      </c>
      <c r="R1851" s="4">
        <f>IFERROR(__xludf.DUMMYFUNCTION("""COMPUTED_VALUE"""),45949.02474951066)</f>
        <v>45949.02475</v>
      </c>
      <c r="S1851" s="1" t="b">
        <f>IFERROR(__xludf.DUMMYFUNCTION("""COMPUTED_VALUE"""),TRUE)</f>
        <v>1</v>
      </c>
      <c r="T1851" s="1" t="b">
        <f>IFERROR(__xludf.DUMMYFUNCTION("""COMPUTED_VALUE"""),FALSE)</f>
        <v>0</v>
      </c>
      <c r="U1851" s="1" t="str">
        <f>IFERROR(__xludf.DUMMYFUNCTION("""COMPUTED_VALUE"""),"VALID")</f>
        <v>VALID</v>
      </c>
      <c r="V1851" s="1">
        <f>IFERROR(__xludf.DUMMYFUNCTION("""COMPUTED_VALUE"""),180.0)</f>
        <v>180</v>
      </c>
      <c r="W1851" s="1">
        <f>IFERROR(__xludf.DUMMYFUNCTION("""COMPUTED_VALUE"""),275.0)</f>
        <v>275</v>
      </c>
      <c r="X1851" s="1">
        <f>IFERROR(__xludf.DUMMYFUNCTION("""COMPUTED_VALUE"""),241.0)</f>
        <v>241</v>
      </c>
      <c r="Y1851" s="2"/>
      <c r="Z1851" s="2"/>
    </row>
    <row r="1852">
      <c r="A1852" s="1">
        <f>IFERROR(__xludf.DUMMYFUNCTION("""COMPUTED_VALUE"""),1851.0)</f>
        <v>1851</v>
      </c>
      <c r="B1852" s="1">
        <f>IFERROR(__xludf.DUMMYFUNCTION("""COMPUTED_VALUE"""),5327.0)</f>
        <v>5327</v>
      </c>
      <c r="C1852" s="2" t="str">
        <f>IFERROR(__xludf.DUMMYFUNCTION("""COMPUTED_VALUE"""),"Khaidir Ali")</f>
        <v>Khaidir Ali</v>
      </c>
      <c r="D1852" s="2" t="str">
        <f>IFERROR(__xludf.DUMMYFUNCTION("""COMPUTED_VALUE"""),"5KM OVERALL M")</f>
        <v>5KM OVERALL M</v>
      </c>
      <c r="E1852" s="1">
        <f>IFERROR(__xludf.DUMMYFUNCTION("""COMPUTED_VALUE"""),2.0)</f>
        <v>2</v>
      </c>
      <c r="F1852" s="1" t="str">
        <f>IFERROR(__xludf.DUMMYFUNCTION("""COMPUTED_VALUE"""),"Male")</f>
        <v>Male</v>
      </c>
      <c r="G1852" s="4" t="b">
        <f>IFERROR(__xludf.DUMMYFUNCTION("""COMPUTED_VALUE"""),TRUE)</f>
        <v>1</v>
      </c>
      <c r="H1852" s="4" t="b">
        <f>IFERROR(__xludf.DUMMYFUNCTION("""COMPUTED_VALUE"""),FALSE)</f>
        <v>0</v>
      </c>
      <c r="I1852" s="4">
        <f>IFERROR(__xludf.DUMMYFUNCTION("""COMPUTED_VALUE"""),0.2549440625)</f>
        <v>0.2549440625</v>
      </c>
      <c r="J1852" s="4">
        <f>IFERROR(__xludf.DUMMYFUNCTION("""COMPUTED_VALUE"""),45949.2755058505)</f>
        <v>45949.27551</v>
      </c>
      <c r="K1852" s="4" t="str">
        <f>IFERROR(__xludf.DUMMYFUNCTION("""COMPUTED_VALUE"""),"")</f>
        <v/>
      </c>
      <c r="L1852" s="4">
        <f>IFERROR(__xludf.DUMMYFUNCTION("""COMPUTED_VALUE"""),45949.29131060646)</f>
        <v>45949.29131</v>
      </c>
      <c r="M1852" s="1" t="str">
        <f>IFERROR(__xludf.DUMMYFUNCTION("""COMPUTED_VALUE"""),"RFID")</f>
        <v>RFID</v>
      </c>
      <c r="N1852" s="5">
        <f>IFERROR(__xludf.DUMMYFUNCTION("""COMPUTED_VALUE"""),0.008224712962962963)</f>
        <v>0.008224712963</v>
      </c>
      <c r="O1852" s="5" t="str">
        <f>IFERROR(__xludf.DUMMYFUNCTION("""COMPUTED_VALUE"""),"")</f>
        <v/>
      </c>
      <c r="P1852" s="5" t="str">
        <f>IFERROR(__xludf.DUMMYFUNCTION("""COMPUTED_VALUE"""),"")</f>
        <v/>
      </c>
      <c r="Q1852" s="5">
        <f>IFERROR(__xludf.DUMMYFUNCTION("""COMPUTED_VALUE"""),0.00727330787037037)</f>
        <v>0.00727330787</v>
      </c>
      <c r="R1852" s="4">
        <f>IFERROR(__xludf.DUMMYFUNCTION("""COMPUTED_VALUE"""),45949.03636654396)</f>
        <v>45949.03637</v>
      </c>
      <c r="S1852" s="1" t="b">
        <f>IFERROR(__xludf.DUMMYFUNCTION("""COMPUTED_VALUE"""),TRUE)</f>
        <v>1</v>
      </c>
      <c r="T1852" s="1" t="b">
        <f>IFERROR(__xludf.DUMMYFUNCTION("""COMPUTED_VALUE"""),FALSE)</f>
        <v>0</v>
      </c>
      <c r="U1852" s="1" t="str">
        <f>IFERROR(__xludf.DUMMYFUNCTION("""COMPUTED_VALUE"""),"VALID")</f>
        <v>VALID</v>
      </c>
      <c r="V1852" s="1">
        <f>IFERROR(__xludf.DUMMYFUNCTION("""COMPUTED_VALUE"""),605.0)</f>
        <v>605</v>
      </c>
      <c r="W1852" s="1">
        <f>IFERROR(__xludf.DUMMYFUNCTION("""COMPUTED_VALUE"""),987.0)</f>
        <v>987</v>
      </c>
      <c r="X1852" s="1">
        <f>IFERROR(__xludf.DUMMYFUNCTION("""COMPUTED_VALUE"""),799.0)</f>
        <v>799</v>
      </c>
      <c r="Y1852" s="2"/>
      <c r="Z1852" s="2"/>
    </row>
    <row r="1853">
      <c r="A1853" s="1">
        <f>IFERROR(__xludf.DUMMYFUNCTION("""COMPUTED_VALUE"""),1852.0)</f>
        <v>1852</v>
      </c>
      <c r="B1853" s="1">
        <f>IFERROR(__xludf.DUMMYFUNCTION("""COMPUTED_VALUE"""),5329.0)</f>
        <v>5329</v>
      </c>
      <c r="C1853" s="2" t="str">
        <f>IFERROR(__xludf.DUMMYFUNCTION("""COMPUTED_VALUE"""),"Seftian Pratama")</f>
        <v>Seftian Pratama</v>
      </c>
      <c r="D1853" s="2" t="str">
        <f>IFERROR(__xludf.DUMMYFUNCTION("""COMPUTED_VALUE"""),"5KM OVERALL M")</f>
        <v>5KM OVERALL M</v>
      </c>
      <c r="E1853" s="1">
        <f>IFERROR(__xludf.DUMMYFUNCTION("""COMPUTED_VALUE"""),2.0)</f>
        <v>2</v>
      </c>
      <c r="F1853" s="1" t="str">
        <f>IFERROR(__xludf.DUMMYFUNCTION("""COMPUTED_VALUE"""),"Male")</f>
        <v>Male</v>
      </c>
      <c r="G1853" s="4" t="b">
        <f>IFERROR(__xludf.DUMMYFUNCTION("""COMPUTED_VALUE"""),TRUE)</f>
        <v>1</v>
      </c>
      <c r="H1853" s="4" t="b">
        <f>IFERROR(__xludf.DUMMYFUNCTION("""COMPUTED_VALUE"""),TRUE)</f>
        <v>1</v>
      </c>
      <c r="I1853" s="4">
        <f>IFERROR(__xludf.DUMMYFUNCTION("""COMPUTED_VALUE"""),0.2549440625)</f>
        <v>0.2549440625</v>
      </c>
      <c r="J1853" s="4">
        <f>IFERROR(__xludf.DUMMYFUNCTION("""COMPUTED_VALUE"""),45949.27811700299)</f>
        <v>45949.27812</v>
      </c>
      <c r="K1853" s="4" t="str">
        <f>IFERROR(__xludf.DUMMYFUNCTION("""COMPUTED_VALUE"""),"")</f>
        <v/>
      </c>
      <c r="L1853" s="4">
        <f>IFERROR(__xludf.DUMMYFUNCTION("""COMPUTED_VALUE"""),45949.29291822876)</f>
        <v>45949.29292</v>
      </c>
      <c r="M1853" s="1" t="str">
        <f>IFERROR(__xludf.DUMMYFUNCTION("""COMPUTED_VALUE"""),"RFID")</f>
        <v>RFID</v>
      </c>
      <c r="N1853" s="5">
        <f>IFERROR(__xludf.DUMMYFUNCTION("""COMPUTED_VALUE"""),0.009269175925925927)</f>
        <v>0.009269175926</v>
      </c>
      <c r="O1853" s="5" t="str">
        <f>IFERROR(__xludf.DUMMYFUNCTION("""COMPUTED_VALUE"""),"")</f>
        <v/>
      </c>
      <c r="P1853" s="5" t="str">
        <f>IFERROR(__xludf.DUMMYFUNCTION("""COMPUTED_VALUE"""),"")</f>
        <v/>
      </c>
      <c r="Q1853" s="5">
        <f>IFERROR(__xludf.DUMMYFUNCTION("""COMPUTED_VALUE"""),0.007594833333333333)</f>
        <v>0.007594833333</v>
      </c>
      <c r="R1853" s="4">
        <f>IFERROR(__xludf.DUMMYFUNCTION("""COMPUTED_VALUE"""),45949.03797416626)</f>
        <v>45949.03797</v>
      </c>
      <c r="S1853" s="1" t="b">
        <f>IFERROR(__xludf.DUMMYFUNCTION("""COMPUTED_VALUE"""),TRUE)</f>
        <v>1</v>
      </c>
      <c r="T1853" s="1" t="b">
        <f>IFERROR(__xludf.DUMMYFUNCTION("""COMPUTED_VALUE"""),FALSE)</f>
        <v>0</v>
      </c>
      <c r="U1853" s="1" t="str">
        <f>IFERROR(__xludf.DUMMYFUNCTION("""COMPUTED_VALUE"""),"VALID")</f>
        <v>VALID</v>
      </c>
      <c r="V1853" s="1">
        <f>IFERROR(__xludf.DUMMYFUNCTION("""COMPUTED_VALUE"""),653.0)</f>
        <v>653</v>
      </c>
      <c r="W1853" s="1">
        <f>IFERROR(__xludf.DUMMYFUNCTION("""COMPUTED_VALUE"""),1100.0)</f>
        <v>1100</v>
      </c>
      <c r="X1853" s="1">
        <f>IFERROR(__xludf.DUMMYFUNCTION("""COMPUTED_VALUE"""),874.0)</f>
        <v>874</v>
      </c>
      <c r="Y1853" s="2"/>
      <c r="Z1853" s="2"/>
    </row>
    <row r="1854">
      <c r="A1854" s="1">
        <f>IFERROR(__xludf.DUMMYFUNCTION("""COMPUTED_VALUE"""),1853.0)</f>
        <v>1853</v>
      </c>
      <c r="B1854" s="1">
        <f>IFERROR(__xludf.DUMMYFUNCTION("""COMPUTED_VALUE"""),5330.0)</f>
        <v>5330</v>
      </c>
      <c r="C1854" s="2" t="str">
        <f>IFERROR(__xludf.DUMMYFUNCTION("""COMPUTED_VALUE"""),"RieF.B")</f>
        <v>RieF.B</v>
      </c>
      <c r="D1854" s="2" t="str">
        <f>IFERROR(__xludf.DUMMYFUNCTION("""COMPUTED_VALUE"""),"5KM OVERALL M")</f>
        <v>5KM OVERALL M</v>
      </c>
      <c r="E1854" s="1">
        <f>IFERROR(__xludf.DUMMYFUNCTION("""COMPUTED_VALUE"""),2.0)</f>
        <v>2</v>
      </c>
      <c r="F1854" s="1" t="str">
        <f>IFERROR(__xludf.DUMMYFUNCTION("""COMPUTED_VALUE"""),"Male")</f>
        <v>Male</v>
      </c>
      <c r="G1854" s="4" t="str">
        <f>IFERROR(__xludf.DUMMYFUNCTION("""COMPUTED_VALUE"""),"")</f>
        <v/>
      </c>
      <c r="H1854" s="4" t="b">
        <f>IFERROR(__xludf.DUMMYFUNCTION("""COMPUTED_VALUE"""),FALSE)</f>
        <v>0</v>
      </c>
      <c r="I1854" s="4">
        <f>IFERROR(__xludf.DUMMYFUNCTION("""COMPUTED_VALUE"""),0.2549440625)</f>
        <v>0.2549440625</v>
      </c>
      <c r="J1854" s="4">
        <f>IFERROR(__xludf.DUMMYFUNCTION("""COMPUTED_VALUE"""),45949.27999196808)</f>
        <v>45949.27999</v>
      </c>
      <c r="K1854" s="4" t="str">
        <f>IFERROR(__xludf.DUMMYFUNCTION("""COMPUTED_VALUE"""),"")</f>
        <v/>
      </c>
      <c r="L1854" s="4" t="str">
        <f>IFERROR(__xludf.DUMMYFUNCTION("""COMPUTED_VALUE"""),"")</f>
        <v/>
      </c>
      <c r="M1854" s="1" t="str">
        <f>IFERROR(__xludf.DUMMYFUNCTION("""COMPUTED_VALUE"""),"RFID")</f>
        <v>RFID</v>
      </c>
      <c r="N1854" s="5">
        <f>IFERROR(__xludf.DUMMYFUNCTION("""COMPUTED_VALUE"""),0.010019162037037038)</f>
        <v>0.01001916204</v>
      </c>
      <c r="O1854" s="5" t="str">
        <f>IFERROR(__xludf.DUMMYFUNCTION("""COMPUTED_VALUE"""),"")</f>
        <v/>
      </c>
      <c r="P1854" s="5" t="str">
        <f>IFERROR(__xludf.DUMMYFUNCTION("""COMPUTED_VALUE"""),"")</f>
        <v/>
      </c>
      <c r="Q1854" s="5" t="str">
        <f>IFERROR(__xludf.DUMMYFUNCTION("""COMPUTED_VALUE"""),"")</f>
        <v/>
      </c>
      <c r="R1854" s="4" t="str">
        <f>IFERROR(__xludf.DUMMYFUNCTION("""COMPUTED_VALUE"""),"")</f>
        <v/>
      </c>
      <c r="S1854" s="1" t="b">
        <f>IFERROR(__xludf.DUMMYFUNCTION("""COMPUTED_VALUE"""),FALSE)</f>
        <v>0</v>
      </c>
      <c r="T1854" s="1" t="b">
        <f>IFERROR(__xludf.DUMMYFUNCTION("""COMPUTED_VALUE"""),FALSE)</f>
        <v>0</v>
      </c>
      <c r="U1854" s="1" t="str">
        <f>IFERROR(__xludf.DUMMYFUNCTION("""COMPUTED_VALUE"""),"DSQ")</f>
        <v>DSQ</v>
      </c>
      <c r="V1854" s="1" t="str">
        <f>IFERROR(__xludf.DUMMYFUNCTION("""COMPUTED_VALUE"""),"DSQ")</f>
        <v>DSQ</v>
      </c>
      <c r="W1854" s="1" t="str">
        <f>IFERROR(__xludf.DUMMYFUNCTION("""COMPUTED_VALUE"""),"DSQ")</f>
        <v>DSQ</v>
      </c>
      <c r="X1854" s="1" t="str">
        <f>IFERROR(__xludf.DUMMYFUNCTION("""COMPUTED_VALUE"""),"DSQ")</f>
        <v>DSQ</v>
      </c>
      <c r="Y1854" s="2"/>
      <c r="Z1854" s="2"/>
    </row>
    <row r="1855">
      <c r="A1855" s="1">
        <f>IFERROR(__xludf.DUMMYFUNCTION("""COMPUTED_VALUE"""),1854.0)</f>
        <v>1854</v>
      </c>
      <c r="B1855" s="1">
        <f>IFERROR(__xludf.DUMMYFUNCTION("""COMPUTED_VALUE"""),5331.0)</f>
        <v>5331</v>
      </c>
      <c r="C1855" s="2" t="str">
        <f>IFERROR(__xludf.DUMMYFUNCTION("""COMPUTED_VALUE"""),"rzl")</f>
        <v>rzl</v>
      </c>
      <c r="D1855" s="2" t="str">
        <f>IFERROR(__xludf.DUMMYFUNCTION("""COMPUTED_VALUE"""),"5KM OVERALL M")</f>
        <v>5KM OVERALL M</v>
      </c>
      <c r="E1855" s="1">
        <f>IFERROR(__xludf.DUMMYFUNCTION("""COMPUTED_VALUE"""),2.0)</f>
        <v>2</v>
      </c>
      <c r="F1855" s="1" t="str">
        <f>IFERROR(__xludf.DUMMYFUNCTION("""COMPUTED_VALUE"""),"Male")</f>
        <v>Male</v>
      </c>
      <c r="G1855" s="4" t="b">
        <f>IFERROR(__xludf.DUMMYFUNCTION("""COMPUTED_VALUE"""),TRUE)</f>
        <v>1</v>
      </c>
      <c r="H1855" s="4" t="b">
        <f>IFERROR(__xludf.DUMMYFUNCTION("""COMPUTED_VALUE"""),TRUE)</f>
        <v>1</v>
      </c>
      <c r="I1855" s="4">
        <f>IFERROR(__xludf.DUMMYFUNCTION("""COMPUTED_VALUE"""),0.2549440625)</f>
        <v>0.2549440625</v>
      </c>
      <c r="J1855" s="4">
        <f>IFERROR(__xludf.DUMMYFUNCTION("""COMPUTED_VALUE"""),45949.27936696615)</f>
        <v>45949.27937</v>
      </c>
      <c r="K1855" s="4" t="str">
        <f>IFERROR(__xludf.DUMMYFUNCTION("""COMPUTED_VALUE"""),"")</f>
        <v/>
      </c>
      <c r="L1855" s="4">
        <f>IFERROR(__xludf.DUMMYFUNCTION("""COMPUTED_VALUE"""),45949.296335707586)</f>
        <v>45949.29634</v>
      </c>
      <c r="M1855" s="1" t="str">
        <f>IFERROR(__xludf.DUMMYFUNCTION("""COMPUTED_VALUE"""),"RFID")</f>
        <v>RFID</v>
      </c>
      <c r="N1855" s="5">
        <f>IFERROR(__xludf.DUMMYFUNCTION("""COMPUTED_VALUE"""),0.009769162037037038)</f>
        <v>0.009769162037</v>
      </c>
      <c r="O1855" s="5" t="str">
        <f>IFERROR(__xludf.DUMMYFUNCTION("""COMPUTED_VALUE"""),"")</f>
        <v/>
      </c>
      <c r="P1855" s="5" t="str">
        <f>IFERROR(__xludf.DUMMYFUNCTION("""COMPUTED_VALUE"""),"")</f>
        <v/>
      </c>
      <c r="Q1855" s="5">
        <f>IFERROR(__xludf.DUMMYFUNCTION("""COMPUTED_VALUE"""),0.008278328703703704)</f>
        <v>0.008278328704</v>
      </c>
      <c r="R1855" s="4">
        <f>IFERROR(__xludf.DUMMYFUNCTION("""COMPUTED_VALUE"""),45949.041391645085)</f>
        <v>45949.04139</v>
      </c>
      <c r="S1855" s="1" t="b">
        <f>IFERROR(__xludf.DUMMYFUNCTION("""COMPUTED_VALUE"""),TRUE)</f>
        <v>1</v>
      </c>
      <c r="T1855" s="1" t="b">
        <f>IFERROR(__xludf.DUMMYFUNCTION("""COMPUTED_VALUE"""),FALSE)</f>
        <v>0</v>
      </c>
      <c r="U1855" s="1" t="str">
        <f>IFERROR(__xludf.DUMMYFUNCTION("""COMPUTED_VALUE"""),"VALID")</f>
        <v>VALID</v>
      </c>
      <c r="V1855" s="1">
        <f>IFERROR(__xludf.DUMMYFUNCTION("""COMPUTED_VALUE"""),740.0)</f>
        <v>740</v>
      </c>
      <c r="W1855" s="1">
        <f>IFERROR(__xludf.DUMMYFUNCTION("""COMPUTED_VALUE"""),1302.0)</f>
        <v>1302</v>
      </c>
      <c r="X1855" s="1">
        <f>IFERROR(__xludf.DUMMYFUNCTION("""COMPUTED_VALUE"""),1035.0)</f>
        <v>1035</v>
      </c>
      <c r="Y1855" s="2"/>
      <c r="Z1855" s="2"/>
    </row>
    <row r="1856">
      <c r="A1856" s="1">
        <f>IFERROR(__xludf.DUMMYFUNCTION("""COMPUTED_VALUE"""),1855.0)</f>
        <v>1855</v>
      </c>
      <c r="B1856" s="1">
        <f>IFERROR(__xludf.DUMMYFUNCTION("""COMPUTED_VALUE"""),5332.0)</f>
        <v>5332</v>
      </c>
      <c r="C1856" s="2" t="str">
        <f>IFERROR(__xludf.DUMMYFUNCTION("""COMPUTED_VALUE"""),"JIMMY")</f>
        <v>JIMMY</v>
      </c>
      <c r="D1856" s="2" t="str">
        <f>IFERROR(__xludf.DUMMYFUNCTION("""COMPUTED_VALUE"""),"5KM OVERALL M")</f>
        <v>5KM OVERALL M</v>
      </c>
      <c r="E1856" s="1">
        <f>IFERROR(__xludf.DUMMYFUNCTION("""COMPUTED_VALUE"""),2.0)</f>
        <v>2</v>
      </c>
      <c r="F1856" s="1" t="str">
        <f>IFERROR(__xludf.DUMMYFUNCTION("""COMPUTED_VALUE"""),"Male")</f>
        <v>Male</v>
      </c>
      <c r="G1856" s="4" t="str">
        <f>IFERROR(__xludf.DUMMYFUNCTION("""COMPUTED_VALUE"""),"")</f>
        <v/>
      </c>
      <c r="H1856" s="4" t="b">
        <f>IFERROR(__xludf.DUMMYFUNCTION("""COMPUTED_VALUE"""),FALSE)</f>
        <v>0</v>
      </c>
      <c r="I1856" s="4">
        <f>IFERROR(__xludf.DUMMYFUNCTION("""COMPUTED_VALUE"""),0.2549440625)</f>
        <v>0.2549440625</v>
      </c>
      <c r="J1856" s="4" t="str">
        <f>IFERROR(__xludf.DUMMYFUNCTION("""COMPUTED_VALUE"""),"")</f>
        <v/>
      </c>
      <c r="K1856" s="4" t="str">
        <f>IFERROR(__xludf.DUMMYFUNCTION("""COMPUTED_VALUE"""),"")</f>
        <v/>
      </c>
      <c r="L1856" s="4" t="str">
        <f>IFERROR(__xludf.DUMMYFUNCTION("""COMPUTED_VALUE"""),"")</f>
        <v/>
      </c>
      <c r="M1856" s="1" t="str">
        <f>IFERROR(__xludf.DUMMYFUNCTION("""COMPUTED_VALUE"""),"RFID")</f>
        <v>RFID</v>
      </c>
      <c r="N1856" s="5" t="str">
        <f>IFERROR(__xludf.DUMMYFUNCTION("""COMPUTED_VALUE"""),"")</f>
        <v/>
      </c>
      <c r="O1856" s="5" t="str">
        <f>IFERROR(__xludf.DUMMYFUNCTION("""COMPUTED_VALUE"""),"")</f>
        <v/>
      </c>
      <c r="P1856" s="5" t="str">
        <f>IFERROR(__xludf.DUMMYFUNCTION("""COMPUTED_VALUE"""),"")</f>
        <v/>
      </c>
      <c r="Q1856" s="5" t="str">
        <f>IFERROR(__xludf.DUMMYFUNCTION("""COMPUTED_VALUE"""),"")</f>
        <v/>
      </c>
      <c r="R1856" s="4" t="str">
        <f>IFERROR(__xludf.DUMMYFUNCTION("""COMPUTED_VALUE"""),"")</f>
        <v/>
      </c>
      <c r="S1856" s="1" t="b">
        <f>IFERROR(__xludf.DUMMYFUNCTION("""COMPUTED_VALUE"""),FALSE)</f>
        <v>0</v>
      </c>
      <c r="T1856" s="1" t="b">
        <f>IFERROR(__xludf.DUMMYFUNCTION("""COMPUTED_VALUE"""),FALSE)</f>
        <v>0</v>
      </c>
      <c r="U1856" s="1" t="str">
        <f>IFERROR(__xludf.DUMMYFUNCTION("""COMPUTED_VALUE"""),"DSQ")</f>
        <v>DSQ</v>
      </c>
      <c r="V1856" s="1" t="str">
        <f>IFERROR(__xludf.DUMMYFUNCTION("""COMPUTED_VALUE"""),"DSQ")</f>
        <v>DSQ</v>
      </c>
      <c r="W1856" s="1" t="str">
        <f>IFERROR(__xludf.DUMMYFUNCTION("""COMPUTED_VALUE"""),"DSQ")</f>
        <v>DSQ</v>
      </c>
      <c r="X1856" s="1" t="str">
        <f>IFERROR(__xludf.DUMMYFUNCTION("""COMPUTED_VALUE"""),"DSQ")</f>
        <v>DSQ</v>
      </c>
      <c r="Y1856" s="2"/>
      <c r="Z1856" s="2" t="str">
        <f>IFERROR(__xludf.DUMMYFUNCTION("""COMPUTED_VALUE"""),"")</f>
        <v/>
      </c>
    </row>
    <row r="1857">
      <c r="A1857" s="1">
        <f>IFERROR(__xludf.DUMMYFUNCTION("""COMPUTED_VALUE"""),1856.0)</f>
        <v>1856</v>
      </c>
      <c r="B1857" s="1">
        <f>IFERROR(__xludf.DUMMYFUNCTION("""COMPUTED_VALUE"""),5333.0)</f>
        <v>5333</v>
      </c>
      <c r="C1857" s="2" t="str">
        <f>IFERROR(__xludf.DUMMYFUNCTION("""COMPUTED_VALUE"""),"Amril")</f>
        <v>Amril</v>
      </c>
      <c r="D1857" s="2" t="str">
        <f>IFERROR(__xludf.DUMMYFUNCTION("""COMPUTED_VALUE"""),"5KM OVERALL M")</f>
        <v>5KM OVERALL M</v>
      </c>
      <c r="E1857" s="1">
        <f>IFERROR(__xludf.DUMMYFUNCTION("""COMPUTED_VALUE"""),2.0)</f>
        <v>2</v>
      </c>
      <c r="F1857" s="1" t="str">
        <f>IFERROR(__xludf.DUMMYFUNCTION("""COMPUTED_VALUE"""),"Male")</f>
        <v>Male</v>
      </c>
      <c r="G1857" s="4" t="b">
        <f>IFERROR(__xludf.DUMMYFUNCTION("""COMPUTED_VALUE"""),TRUE)</f>
        <v>1</v>
      </c>
      <c r="H1857" s="4" t="b">
        <f>IFERROR(__xludf.DUMMYFUNCTION("""COMPUTED_VALUE"""),FALSE)</f>
        <v>0</v>
      </c>
      <c r="I1857" s="4">
        <f>IFERROR(__xludf.DUMMYFUNCTION("""COMPUTED_VALUE"""),0.2549440625)</f>
        <v>0.2549440625</v>
      </c>
      <c r="J1857" s="4">
        <f>IFERROR(__xludf.DUMMYFUNCTION("""COMPUTED_VALUE"""),45949.27665170185)</f>
        <v>45949.27665</v>
      </c>
      <c r="K1857" s="4" t="str">
        <f>IFERROR(__xludf.DUMMYFUNCTION("""COMPUTED_VALUE"""),"")</f>
        <v/>
      </c>
      <c r="L1857" s="4">
        <f>IFERROR(__xludf.DUMMYFUNCTION("""COMPUTED_VALUE"""),45949.29255365851)</f>
        <v>45949.29255</v>
      </c>
      <c r="M1857" s="1" t="str">
        <f>IFERROR(__xludf.DUMMYFUNCTION("""COMPUTED_VALUE"""),"RFID")</f>
        <v>RFID</v>
      </c>
      <c r="N1857" s="5">
        <f>IFERROR(__xludf.DUMMYFUNCTION("""COMPUTED_VALUE"""),0.008683055555555555)</f>
        <v>0.008683055556</v>
      </c>
      <c r="O1857" s="5" t="str">
        <f>IFERROR(__xludf.DUMMYFUNCTION("""COMPUTED_VALUE"""),"")</f>
        <v/>
      </c>
      <c r="P1857" s="5" t="str">
        <f>IFERROR(__xludf.DUMMYFUNCTION("""COMPUTED_VALUE"""),"")</f>
        <v/>
      </c>
      <c r="Q1857" s="5">
        <f>IFERROR(__xludf.DUMMYFUNCTION("""COMPUTED_VALUE"""),0.007521918981481482)</f>
        <v>0.007521918981</v>
      </c>
      <c r="R1857" s="4">
        <f>IFERROR(__xludf.DUMMYFUNCTION("""COMPUTED_VALUE"""),45949.03760959601)</f>
        <v>45949.03761</v>
      </c>
      <c r="S1857" s="1" t="b">
        <f>IFERROR(__xludf.DUMMYFUNCTION("""COMPUTED_VALUE"""),TRUE)</f>
        <v>1</v>
      </c>
      <c r="T1857" s="1" t="b">
        <f>IFERROR(__xludf.DUMMYFUNCTION("""COMPUTED_VALUE"""),FALSE)</f>
        <v>0</v>
      </c>
      <c r="U1857" s="1" t="str">
        <f>IFERROR(__xludf.DUMMYFUNCTION("""COMPUTED_VALUE"""),"VALID")</f>
        <v>VALID</v>
      </c>
      <c r="V1857" s="1">
        <f>IFERROR(__xludf.DUMMYFUNCTION("""COMPUTED_VALUE"""),643.0)</f>
        <v>643</v>
      </c>
      <c r="W1857" s="1">
        <f>IFERROR(__xludf.DUMMYFUNCTION("""COMPUTED_VALUE"""),1070.0)</f>
        <v>1070</v>
      </c>
      <c r="X1857" s="1">
        <f>IFERROR(__xludf.DUMMYFUNCTION("""COMPUTED_VALUE"""),853.0)</f>
        <v>853</v>
      </c>
      <c r="Y1857" s="2"/>
      <c r="Z1857" s="2"/>
    </row>
    <row r="1858">
      <c r="A1858" s="1">
        <f>IFERROR(__xludf.DUMMYFUNCTION("""COMPUTED_VALUE"""),1857.0)</f>
        <v>1857</v>
      </c>
      <c r="B1858" s="1">
        <f>IFERROR(__xludf.DUMMYFUNCTION("""COMPUTED_VALUE"""),5334.0)</f>
        <v>5334</v>
      </c>
      <c r="C1858" s="2" t="str">
        <f>IFERROR(__xludf.DUMMYFUNCTION("""COMPUTED_VALUE"""),"Ahmad Solikin")</f>
        <v>Ahmad Solikin</v>
      </c>
      <c r="D1858" s="2" t="str">
        <f>IFERROR(__xludf.DUMMYFUNCTION("""COMPUTED_VALUE"""),"5KM OVERALL M")</f>
        <v>5KM OVERALL M</v>
      </c>
      <c r="E1858" s="1">
        <f>IFERROR(__xludf.DUMMYFUNCTION("""COMPUTED_VALUE"""),2.0)</f>
        <v>2</v>
      </c>
      <c r="F1858" s="1" t="str">
        <f>IFERROR(__xludf.DUMMYFUNCTION("""COMPUTED_VALUE"""),"Male")</f>
        <v>Male</v>
      </c>
      <c r="G1858" s="4" t="b">
        <f>IFERROR(__xludf.DUMMYFUNCTION("""COMPUTED_VALUE"""),TRUE)</f>
        <v>1</v>
      </c>
      <c r="H1858" s="4" t="b">
        <f>IFERROR(__xludf.DUMMYFUNCTION("""COMPUTED_VALUE"""),TRUE)</f>
        <v>1</v>
      </c>
      <c r="I1858" s="4">
        <f>IFERROR(__xludf.DUMMYFUNCTION("""COMPUTED_VALUE"""),0.2549440625)</f>
        <v>0.2549440625</v>
      </c>
      <c r="J1858" s="4">
        <f>IFERROR(__xludf.DUMMYFUNCTION("""COMPUTED_VALUE"""),45949.274908681815)</f>
        <v>45949.27491</v>
      </c>
      <c r="K1858" s="4" t="str">
        <f>IFERROR(__xludf.DUMMYFUNCTION("""COMPUTED_VALUE"""),"")</f>
        <v/>
      </c>
      <c r="L1858" s="4">
        <f>IFERROR(__xludf.DUMMYFUNCTION("""COMPUTED_VALUE"""),45949.28650851012)</f>
        <v>45949.28651</v>
      </c>
      <c r="M1858" s="1" t="str">
        <f>IFERROR(__xludf.DUMMYFUNCTION("""COMPUTED_VALUE"""),"RFID")</f>
        <v>RFID</v>
      </c>
      <c r="N1858" s="5">
        <f>IFERROR(__xludf.DUMMYFUNCTION("""COMPUTED_VALUE"""),0.007985847222222222)</f>
        <v>0.007985847222</v>
      </c>
      <c r="O1858" s="5" t="str">
        <f>IFERROR(__xludf.DUMMYFUNCTION("""COMPUTED_VALUE"""),"")</f>
        <v/>
      </c>
      <c r="P1858" s="5" t="str">
        <f>IFERROR(__xludf.DUMMYFUNCTION("""COMPUTED_VALUE"""),"")</f>
        <v/>
      </c>
      <c r="Q1858" s="5">
        <f>IFERROR(__xludf.DUMMYFUNCTION("""COMPUTED_VALUE"""),0.006312888888888889)</f>
        <v>0.006312888889</v>
      </c>
      <c r="R1858" s="4">
        <f>IFERROR(__xludf.DUMMYFUNCTION("""COMPUTED_VALUE"""),45949.03156444762)</f>
        <v>45949.03156</v>
      </c>
      <c r="S1858" s="1" t="b">
        <f>IFERROR(__xludf.DUMMYFUNCTION("""COMPUTED_VALUE"""),TRUE)</f>
        <v>1</v>
      </c>
      <c r="T1858" s="1" t="b">
        <f>IFERROR(__xludf.DUMMYFUNCTION("""COMPUTED_VALUE"""),FALSE)</f>
        <v>0</v>
      </c>
      <c r="U1858" s="1" t="str">
        <f>IFERROR(__xludf.DUMMYFUNCTION("""COMPUTED_VALUE"""),"VALID")</f>
        <v>VALID</v>
      </c>
      <c r="V1858" s="1">
        <f>IFERROR(__xludf.DUMMYFUNCTION("""COMPUTED_VALUE"""),434.0)</f>
        <v>434</v>
      </c>
      <c r="W1858" s="1">
        <f>IFERROR(__xludf.DUMMYFUNCTION("""COMPUTED_VALUE"""),669.0)</f>
        <v>669</v>
      </c>
      <c r="X1858" s="1">
        <f>IFERROR(__xludf.DUMMYFUNCTION("""COMPUTED_VALUE"""),560.0)</f>
        <v>560</v>
      </c>
      <c r="Y1858" s="2"/>
      <c r="Z1858" s="2"/>
    </row>
    <row r="1859">
      <c r="A1859" s="1">
        <f>IFERROR(__xludf.DUMMYFUNCTION("""COMPUTED_VALUE"""),1858.0)</f>
        <v>1858</v>
      </c>
      <c r="B1859" s="1">
        <f>IFERROR(__xludf.DUMMYFUNCTION("""COMPUTED_VALUE"""),5336.0)</f>
        <v>5336</v>
      </c>
      <c r="C1859" s="2" t="str">
        <f>IFERROR(__xludf.DUMMYFUNCTION("""COMPUTED_VALUE"""),"Hafizh Fuady")</f>
        <v>Hafizh Fuady</v>
      </c>
      <c r="D1859" s="2" t="str">
        <f>IFERROR(__xludf.DUMMYFUNCTION("""COMPUTED_VALUE"""),"5KM OVERALL M")</f>
        <v>5KM OVERALL M</v>
      </c>
      <c r="E1859" s="1">
        <f>IFERROR(__xludf.DUMMYFUNCTION("""COMPUTED_VALUE"""),2.0)</f>
        <v>2</v>
      </c>
      <c r="F1859" s="1" t="str">
        <f>IFERROR(__xludf.DUMMYFUNCTION("""COMPUTED_VALUE"""),"Male")</f>
        <v>Male</v>
      </c>
      <c r="G1859" s="4" t="b">
        <f>IFERROR(__xludf.DUMMYFUNCTION("""COMPUTED_VALUE"""),TRUE)</f>
        <v>1</v>
      </c>
      <c r="H1859" s="4" t="b">
        <f>IFERROR(__xludf.DUMMYFUNCTION("""COMPUTED_VALUE"""),TRUE)</f>
        <v>1</v>
      </c>
      <c r="I1859" s="4">
        <f>IFERROR(__xludf.DUMMYFUNCTION("""COMPUTED_VALUE"""),0.2549440625)</f>
        <v>0.2549440625</v>
      </c>
      <c r="J1859" s="4">
        <f>IFERROR(__xludf.DUMMYFUNCTION("""COMPUTED_VALUE"""),45949.265689920816)</f>
        <v>45949.26569</v>
      </c>
      <c r="K1859" s="4" t="str">
        <f>IFERROR(__xludf.DUMMYFUNCTION("""COMPUTED_VALUE"""),"")</f>
        <v/>
      </c>
      <c r="L1859" s="4">
        <f>IFERROR(__xludf.DUMMYFUNCTION("""COMPUTED_VALUE"""),45949.2736300415)</f>
        <v>45949.27363</v>
      </c>
      <c r="M1859" s="1" t="str">
        <f>IFERROR(__xludf.DUMMYFUNCTION("""COMPUTED_VALUE"""),"RFID")</f>
        <v>RFID</v>
      </c>
      <c r="N1859" s="5">
        <f>IFERROR(__xludf.DUMMYFUNCTION("""COMPUTED_VALUE"""),0.004298342592592592)</f>
        <v>0.004298342593</v>
      </c>
      <c r="O1859" s="5" t="str">
        <f>IFERROR(__xludf.DUMMYFUNCTION("""COMPUTED_VALUE"""),"")</f>
        <v/>
      </c>
      <c r="P1859" s="5" t="str">
        <f>IFERROR(__xludf.DUMMYFUNCTION("""COMPUTED_VALUE"""),"")</f>
        <v/>
      </c>
      <c r="Q1859" s="5">
        <f>IFERROR(__xludf.DUMMYFUNCTION("""COMPUTED_VALUE"""),0.003737196759259259)</f>
        <v>0.003737196759</v>
      </c>
      <c r="R1859" s="4">
        <f>IFERROR(__xludf.DUMMYFUNCTION("""COMPUTED_VALUE"""),45949.018685979)</f>
        <v>45949.01869</v>
      </c>
      <c r="S1859" s="1" t="b">
        <f>IFERROR(__xludf.DUMMYFUNCTION("""COMPUTED_VALUE"""),TRUE)</f>
        <v>1</v>
      </c>
      <c r="T1859" s="1" t="b">
        <f>IFERROR(__xludf.DUMMYFUNCTION("""COMPUTED_VALUE"""),FALSE)</f>
        <v>0</v>
      </c>
      <c r="U1859" s="1" t="str">
        <f>IFERROR(__xludf.DUMMYFUNCTION("""COMPUTED_VALUE"""),"VALID")</f>
        <v>VALID</v>
      </c>
      <c r="V1859" s="1">
        <f>IFERROR(__xludf.DUMMYFUNCTION("""COMPUTED_VALUE"""),51.0)</f>
        <v>51</v>
      </c>
      <c r="W1859" s="1">
        <f>IFERROR(__xludf.DUMMYFUNCTION("""COMPUTED_VALUE"""),75.0)</f>
        <v>75</v>
      </c>
      <c r="X1859" s="1">
        <f>IFERROR(__xludf.DUMMYFUNCTION("""COMPUTED_VALUE"""),69.0)</f>
        <v>69</v>
      </c>
      <c r="Y1859" s="2"/>
      <c r="Z1859" s="2"/>
    </row>
    <row r="1860">
      <c r="A1860" s="1">
        <f>IFERROR(__xludf.DUMMYFUNCTION("""COMPUTED_VALUE"""),1859.0)</f>
        <v>1859</v>
      </c>
      <c r="B1860" s="1">
        <f>IFERROR(__xludf.DUMMYFUNCTION("""COMPUTED_VALUE"""),5338.0)</f>
        <v>5338</v>
      </c>
      <c r="C1860" s="2" t="str">
        <f>IFERROR(__xludf.DUMMYFUNCTION("""COMPUTED_VALUE"""),"GALIH")</f>
        <v>GALIH</v>
      </c>
      <c r="D1860" s="2" t="str">
        <f>IFERROR(__xludf.DUMMYFUNCTION("""COMPUTED_VALUE"""),"5KM OVERALL M")</f>
        <v>5KM OVERALL M</v>
      </c>
      <c r="E1860" s="1">
        <f>IFERROR(__xludf.DUMMYFUNCTION("""COMPUTED_VALUE"""),2.0)</f>
        <v>2</v>
      </c>
      <c r="F1860" s="1" t="str">
        <f>IFERROR(__xludf.DUMMYFUNCTION("""COMPUTED_VALUE"""),"Male")</f>
        <v>Male</v>
      </c>
      <c r="G1860" s="4" t="str">
        <f>IFERROR(__xludf.DUMMYFUNCTION("""COMPUTED_VALUE"""),"")</f>
        <v/>
      </c>
      <c r="H1860" s="4" t="b">
        <f>IFERROR(__xludf.DUMMYFUNCTION("""COMPUTED_VALUE"""),TRUE)</f>
        <v>1</v>
      </c>
      <c r="I1860" s="4">
        <f>IFERROR(__xludf.DUMMYFUNCTION("""COMPUTED_VALUE"""),0.2549440625)</f>
        <v>0.2549440625</v>
      </c>
      <c r="J1860" s="4">
        <f>IFERROR(__xludf.DUMMYFUNCTION("""COMPUTED_VALUE"""),45949.286380858444)</f>
        <v>45949.28638</v>
      </c>
      <c r="K1860" s="4" t="str">
        <f>IFERROR(__xludf.DUMMYFUNCTION("""COMPUTED_VALUE"""),"")</f>
        <v/>
      </c>
      <c r="L1860" s="4">
        <f>IFERROR(__xludf.DUMMYFUNCTION("""COMPUTED_VALUE"""),45949.29966822775)</f>
        <v>45949.29967</v>
      </c>
      <c r="M1860" s="1" t="str">
        <f>IFERROR(__xludf.DUMMYFUNCTION("""COMPUTED_VALUE"""),"RFID")</f>
        <v>RFID</v>
      </c>
      <c r="N1860" s="5">
        <f>IFERROR(__xludf.DUMMYFUNCTION("""COMPUTED_VALUE"""),0.012574717592592594)</f>
        <v>0.01257471759</v>
      </c>
      <c r="O1860" s="5" t="str">
        <f>IFERROR(__xludf.DUMMYFUNCTION("""COMPUTED_VALUE"""),"")</f>
        <v/>
      </c>
      <c r="P1860" s="5" t="str">
        <f>IFERROR(__xludf.DUMMYFUNCTION("""COMPUTED_VALUE"""),"")</f>
        <v/>
      </c>
      <c r="Q1860" s="5">
        <f>IFERROR(__xludf.DUMMYFUNCTION("""COMPUTED_VALUE"""),0.008944833333333334)</f>
        <v>0.008944833333</v>
      </c>
      <c r="R1860" s="4">
        <f>IFERROR(__xludf.DUMMYFUNCTION("""COMPUTED_VALUE"""),45949.04472416525)</f>
        <v>45949.04472</v>
      </c>
      <c r="S1860" s="1" t="b">
        <f>IFERROR(__xludf.DUMMYFUNCTION("""COMPUTED_VALUE"""),TRUE)</f>
        <v>1</v>
      </c>
      <c r="T1860" s="1" t="b">
        <f>IFERROR(__xludf.DUMMYFUNCTION("""COMPUTED_VALUE"""),FALSE)</f>
        <v>0</v>
      </c>
      <c r="U1860" s="1" t="str">
        <f>IFERROR(__xludf.DUMMYFUNCTION("""COMPUTED_VALUE"""),"VALID")</f>
        <v>VALID</v>
      </c>
      <c r="V1860" s="1">
        <f>IFERROR(__xludf.DUMMYFUNCTION("""COMPUTED_VALUE"""),793.0)</f>
        <v>793</v>
      </c>
      <c r="W1860" s="1">
        <f>IFERROR(__xludf.DUMMYFUNCTION("""COMPUTED_VALUE"""),1440.0)</f>
        <v>1440</v>
      </c>
      <c r="X1860" s="1">
        <f>IFERROR(__xludf.DUMMYFUNCTION("""COMPUTED_VALUE"""),1190.0)</f>
        <v>1190</v>
      </c>
      <c r="Y1860" s="2"/>
      <c r="Z1860" s="2"/>
    </row>
    <row r="1861">
      <c r="A1861" s="1">
        <f>IFERROR(__xludf.DUMMYFUNCTION("""COMPUTED_VALUE"""),1860.0)</f>
        <v>1860</v>
      </c>
      <c r="B1861" s="1">
        <f>IFERROR(__xludf.DUMMYFUNCTION("""COMPUTED_VALUE"""),5339.0)</f>
        <v>5339</v>
      </c>
      <c r="C1861" s="2" t="str">
        <f>IFERROR(__xludf.DUMMYFUNCTION("""COMPUTED_VALUE"""),"PRAYUDA")</f>
        <v>PRAYUDA</v>
      </c>
      <c r="D1861" s="2" t="str">
        <f>IFERROR(__xludf.DUMMYFUNCTION("""COMPUTED_VALUE"""),"5KM OVERALL M")</f>
        <v>5KM OVERALL M</v>
      </c>
      <c r="E1861" s="1">
        <f>IFERROR(__xludf.DUMMYFUNCTION("""COMPUTED_VALUE"""),2.0)</f>
        <v>2</v>
      </c>
      <c r="F1861" s="1" t="str">
        <f>IFERROR(__xludf.DUMMYFUNCTION("""COMPUTED_VALUE"""),"Male")</f>
        <v>Male</v>
      </c>
      <c r="G1861" s="4" t="b">
        <f>IFERROR(__xludf.DUMMYFUNCTION("""COMPUTED_VALUE"""),TRUE)</f>
        <v>1</v>
      </c>
      <c r="H1861" s="4" t="b">
        <f>IFERROR(__xludf.DUMMYFUNCTION("""COMPUTED_VALUE"""),FALSE)</f>
        <v>0</v>
      </c>
      <c r="I1861" s="4">
        <f>IFERROR(__xludf.DUMMYFUNCTION("""COMPUTED_VALUE"""),0.2549440625)</f>
        <v>0.2549440625</v>
      </c>
      <c r="J1861" s="4">
        <f>IFERROR(__xludf.DUMMYFUNCTION("""COMPUTED_VALUE"""),45949.2723948073)</f>
        <v>45949.27239</v>
      </c>
      <c r="K1861" s="4" t="str">
        <f>IFERROR(__xludf.DUMMYFUNCTION("""COMPUTED_VALUE"""),"")</f>
        <v/>
      </c>
      <c r="L1861" s="4">
        <f>IFERROR(__xludf.DUMMYFUNCTION("""COMPUTED_VALUE"""),45949.28315781991)</f>
        <v>45949.28316</v>
      </c>
      <c r="M1861" s="1" t="str">
        <f>IFERROR(__xludf.DUMMYFUNCTION("""COMPUTED_VALUE"""),"RFID")</f>
        <v>RFID</v>
      </c>
      <c r="N1861" s="5">
        <f>IFERROR(__xludf.DUMMYFUNCTION("""COMPUTED_VALUE"""),0.006980296296296295)</f>
        <v>0.006980296296</v>
      </c>
      <c r="O1861" s="5" t="str">
        <f>IFERROR(__xludf.DUMMYFUNCTION("""COMPUTED_VALUE"""),"")</f>
        <v/>
      </c>
      <c r="P1861" s="5" t="str">
        <f>IFERROR(__xludf.DUMMYFUNCTION("""COMPUTED_VALUE"""),"")</f>
        <v/>
      </c>
      <c r="Q1861" s="5">
        <f>IFERROR(__xludf.DUMMYFUNCTION("""COMPUTED_VALUE"""),0.005642752314814815)</f>
        <v>0.005642752315</v>
      </c>
      <c r="R1861" s="4">
        <f>IFERROR(__xludf.DUMMYFUNCTION("""COMPUTED_VALUE"""),45949.02821375741)</f>
        <v>45949.02821</v>
      </c>
      <c r="S1861" s="1" t="b">
        <f>IFERROR(__xludf.DUMMYFUNCTION("""COMPUTED_VALUE"""),TRUE)</f>
        <v>1</v>
      </c>
      <c r="T1861" s="1" t="b">
        <f>IFERROR(__xludf.DUMMYFUNCTION("""COMPUTED_VALUE"""),FALSE)</f>
        <v>0</v>
      </c>
      <c r="U1861" s="1" t="str">
        <f>IFERROR(__xludf.DUMMYFUNCTION("""COMPUTED_VALUE"""),"VALID")</f>
        <v>VALID</v>
      </c>
      <c r="V1861" s="1">
        <f>IFERROR(__xludf.DUMMYFUNCTION("""COMPUTED_VALUE"""),294.0)</f>
        <v>294</v>
      </c>
      <c r="W1861" s="1">
        <f>IFERROR(__xludf.DUMMYFUNCTION("""COMPUTED_VALUE"""),443.0)</f>
        <v>443</v>
      </c>
      <c r="X1861" s="1">
        <f>IFERROR(__xludf.DUMMYFUNCTION("""COMPUTED_VALUE"""),383.0)</f>
        <v>383</v>
      </c>
      <c r="Y1861" s="2"/>
      <c r="Z1861" s="2"/>
    </row>
    <row r="1862">
      <c r="A1862" s="1">
        <f>IFERROR(__xludf.DUMMYFUNCTION("""COMPUTED_VALUE"""),1861.0)</f>
        <v>1861</v>
      </c>
      <c r="B1862" s="1">
        <f>IFERROR(__xludf.DUMMYFUNCTION("""COMPUTED_VALUE"""),5340.0)</f>
        <v>5340</v>
      </c>
      <c r="C1862" s="2" t="str">
        <f>IFERROR(__xludf.DUMMYFUNCTION("""COMPUTED_VALUE"""),"ramaalya")</f>
        <v>ramaalya</v>
      </c>
      <c r="D1862" s="2" t="str">
        <f>IFERROR(__xludf.DUMMYFUNCTION("""COMPUTED_VALUE"""),"5KM OVERALL M")</f>
        <v>5KM OVERALL M</v>
      </c>
      <c r="E1862" s="1">
        <f>IFERROR(__xludf.DUMMYFUNCTION("""COMPUTED_VALUE"""),2.0)</f>
        <v>2</v>
      </c>
      <c r="F1862" s="1" t="str">
        <f>IFERROR(__xludf.DUMMYFUNCTION("""COMPUTED_VALUE"""),"Male")</f>
        <v>Male</v>
      </c>
      <c r="G1862" s="4" t="b">
        <f>IFERROR(__xludf.DUMMYFUNCTION("""COMPUTED_VALUE"""),TRUE)</f>
        <v>1</v>
      </c>
      <c r="H1862" s="4" t="b">
        <f>IFERROR(__xludf.DUMMYFUNCTION("""COMPUTED_VALUE"""),TRUE)</f>
        <v>1</v>
      </c>
      <c r="I1862" s="4">
        <f>IFERROR(__xludf.DUMMYFUNCTION("""COMPUTED_VALUE"""),0.2549440625)</f>
        <v>0.2549440625</v>
      </c>
      <c r="J1862" s="4">
        <f>IFERROR(__xludf.DUMMYFUNCTION("""COMPUTED_VALUE"""),45949.275974607655)</f>
        <v>45949.27597</v>
      </c>
      <c r="K1862" s="4" t="str">
        <f>IFERROR(__xludf.DUMMYFUNCTION("""COMPUTED_VALUE"""),"")</f>
        <v/>
      </c>
      <c r="L1862" s="4">
        <f>IFERROR(__xludf.DUMMYFUNCTION("""COMPUTED_VALUE"""),45949.288824490024)</f>
        <v>45949.28882</v>
      </c>
      <c r="M1862" s="1" t="str">
        <f>IFERROR(__xludf.DUMMYFUNCTION("""COMPUTED_VALUE"""),"RFID")</f>
        <v>RFID</v>
      </c>
      <c r="N1862" s="5">
        <f>IFERROR(__xludf.DUMMYFUNCTION("""COMPUTED_VALUE"""),0.008412217592592593)</f>
        <v>0.008412217593</v>
      </c>
      <c r="O1862" s="5" t="str">
        <f>IFERROR(__xludf.DUMMYFUNCTION("""COMPUTED_VALUE"""),"")</f>
        <v/>
      </c>
      <c r="P1862" s="5" t="str">
        <f>IFERROR(__xludf.DUMMYFUNCTION("""COMPUTED_VALUE"""),"")</f>
        <v/>
      </c>
      <c r="Q1862" s="5">
        <f>IFERROR(__xludf.DUMMYFUNCTION("""COMPUTED_VALUE"""),0.006776085648148147)</f>
        <v>0.006776085648</v>
      </c>
      <c r="R1862" s="4">
        <f>IFERROR(__xludf.DUMMYFUNCTION("""COMPUTED_VALUE"""),45949.03388042752)</f>
        <v>45949.03388</v>
      </c>
      <c r="S1862" s="1" t="b">
        <f>IFERROR(__xludf.DUMMYFUNCTION("""COMPUTED_VALUE"""),TRUE)</f>
        <v>1</v>
      </c>
      <c r="T1862" s="1" t="b">
        <f>IFERROR(__xludf.DUMMYFUNCTION("""COMPUTED_VALUE"""),FALSE)</f>
        <v>0</v>
      </c>
      <c r="U1862" s="1" t="str">
        <f>IFERROR(__xludf.DUMMYFUNCTION("""COMPUTED_VALUE"""),"VALID")</f>
        <v>VALID</v>
      </c>
      <c r="V1862" s="1">
        <f>IFERROR(__xludf.DUMMYFUNCTION("""COMPUTED_VALUE"""),530.0)</f>
        <v>530</v>
      </c>
      <c r="W1862" s="1">
        <f>IFERROR(__xludf.DUMMYFUNCTION("""COMPUTED_VALUE"""),834.0)</f>
        <v>834</v>
      </c>
      <c r="X1862" s="1">
        <f>IFERROR(__xludf.DUMMYFUNCTION("""COMPUTED_VALUE"""),683.0)</f>
        <v>683</v>
      </c>
      <c r="Y1862" s="2"/>
      <c r="Z1862" s="2"/>
    </row>
    <row r="1863">
      <c r="A1863" s="1">
        <f>IFERROR(__xludf.DUMMYFUNCTION("""COMPUTED_VALUE"""),1862.0)</f>
        <v>1862</v>
      </c>
      <c r="B1863" s="1">
        <f>IFERROR(__xludf.DUMMYFUNCTION("""COMPUTED_VALUE"""),5341.0)</f>
        <v>5341</v>
      </c>
      <c r="C1863" s="2" t="str">
        <f>IFERROR(__xludf.DUMMYFUNCTION("""COMPUTED_VALUE"""),"Guntur")</f>
        <v>Guntur</v>
      </c>
      <c r="D1863" s="2" t="str">
        <f>IFERROR(__xludf.DUMMYFUNCTION("""COMPUTED_VALUE"""),"5KM OVERALL M")</f>
        <v>5KM OVERALL M</v>
      </c>
      <c r="E1863" s="1">
        <f>IFERROR(__xludf.DUMMYFUNCTION("""COMPUTED_VALUE"""),2.0)</f>
        <v>2</v>
      </c>
      <c r="F1863" s="1" t="str">
        <f>IFERROR(__xludf.DUMMYFUNCTION("""COMPUTED_VALUE"""),"Male")</f>
        <v>Male</v>
      </c>
      <c r="G1863" s="4" t="str">
        <f>IFERROR(__xludf.DUMMYFUNCTION("""COMPUTED_VALUE"""),"")</f>
        <v/>
      </c>
      <c r="H1863" s="4" t="b">
        <f>IFERROR(__xludf.DUMMYFUNCTION("""COMPUTED_VALUE"""),FALSE)</f>
        <v>0</v>
      </c>
      <c r="I1863" s="4">
        <f>IFERROR(__xludf.DUMMYFUNCTION("""COMPUTED_VALUE"""),0.2549440625)</f>
        <v>0.2549440625</v>
      </c>
      <c r="J1863" s="4" t="str">
        <f>IFERROR(__xludf.DUMMYFUNCTION("""COMPUTED_VALUE"""),"")</f>
        <v/>
      </c>
      <c r="K1863" s="4" t="str">
        <f>IFERROR(__xludf.DUMMYFUNCTION("""COMPUTED_VALUE"""),"")</f>
        <v/>
      </c>
      <c r="L1863" s="4" t="str">
        <f>IFERROR(__xludf.DUMMYFUNCTION("""COMPUTED_VALUE"""),"")</f>
        <v/>
      </c>
      <c r="M1863" s="1" t="str">
        <f>IFERROR(__xludf.DUMMYFUNCTION("""COMPUTED_VALUE"""),"RFID")</f>
        <v>RFID</v>
      </c>
      <c r="N1863" s="5" t="str">
        <f>IFERROR(__xludf.DUMMYFUNCTION("""COMPUTED_VALUE"""),"")</f>
        <v/>
      </c>
      <c r="O1863" s="5" t="str">
        <f>IFERROR(__xludf.DUMMYFUNCTION("""COMPUTED_VALUE"""),"")</f>
        <v/>
      </c>
      <c r="P1863" s="5" t="str">
        <f>IFERROR(__xludf.DUMMYFUNCTION("""COMPUTED_VALUE"""),"")</f>
        <v/>
      </c>
      <c r="Q1863" s="5" t="str">
        <f>IFERROR(__xludf.DUMMYFUNCTION("""COMPUTED_VALUE"""),"")</f>
        <v/>
      </c>
      <c r="R1863" s="4" t="str">
        <f>IFERROR(__xludf.DUMMYFUNCTION("""COMPUTED_VALUE"""),"")</f>
        <v/>
      </c>
      <c r="S1863" s="1" t="b">
        <f>IFERROR(__xludf.DUMMYFUNCTION("""COMPUTED_VALUE"""),FALSE)</f>
        <v>0</v>
      </c>
      <c r="T1863" s="1" t="b">
        <f>IFERROR(__xludf.DUMMYFUNCTION("""COMPUTED_VALUE"""),FALSE)</f>
        <v>0</v>
      </c>
      <c r="U1863" s="1" t="str">
        <f>IFERROR(__xludf.DUMMYFUNCTION("""COMPUTED_VALUE"""),"DSQ")</f>
        <v>DSQ</v>
      </c>
      <c r="V1863" s="1" t="str">
        <f>IFERROR(__xludf.DUMMYFUNCTION("""COMPUTED_VALUE"""),"DSQ")</f>
        <v>DSQ</v>
      </c>
      <c r="W1863" s="1" t="str">
        <f>IFERROR(__xludf.DUMMYFUNCTION("""COMPUTED_VALUE"""),"DSQ")</f>
        <v>DSQ</v>
      </c>
      <c r="X1863" s="1" t="str">
        <f>IFERROR(__xludf.DUMMYFUNCTION("""COMPUTED_VALUE"""),"DSQ")</f>
        <v>DSQ</v>
      </c>
      <c r="Y1863" s="2"/>
      <c r="Z1863" s="2" t="str">
        <f>IFERROR(__xludf.DUMMYFUNCTION("""COMPUTED_VALUE"""),"")</f>
        <v/>
      </c>
    </row>
    <row r="1864">
      <c r="A1864" s="1">
        <f>IFERROR(__xludf.DUMMYFUNCTION("""COMPUTED_VALUE"""),1863.0)</f>
        <v>1863</v>
      </c>
      <c r="B1864" s="1">
        <f>IFERROR(__xludf.DUMMYFUNCTION("""COMPUTED_VALUE"""),5344.0)</f>
        <v>5344</v>
      </c>
      <c r="C1864" s="2" t="str">
        <f>IFERROR(__xludf.DUMMYFUNCTION("""COMPUTED_VALUE"""),"AHMAD SYARIF FIRGIAWAN")</f>
        <v>AHMAD SYARIF FIRGIAWAN</v>
      </c>
      <c r="D1864" s="2" t="str">
        <f>IFERROR(__xludf.DUMMYFUNCTION("""COMPUTED_VALUE"""),"5KM OVERALL M")</f>
        <v>5KM OVERALL M</v>
      </c>
      <c r="E1864" s="1">
        <f>IFERROR(__xludf.DUMMYFUNCTION("""COMPUTED_VALUE"""),2.0)</f>
        <v>2</v>
      </c>
      <c r="F1864" s="1" t="str">
        <f>IFERROR(__xludf.DUMMYFUNCTION("""COMPUTED_VALUE"""),"Male")</f>
        <v>Male</v>
      </c>
      <c r="G1864" s="4" t="b">
        <f>IFERROR(__xludf.DUMMYFUNCTION("""COMPUTED_VALUE"""),TRUE)</f>
        <v>1</v>
      </c>
      <c r="H1864" s="4" t="b">
        <f>IFERROR(__xludf.DUMMYFUNCTION("""COMPUTED_VALUE"""),TRUE)</f>
        <v>1</v>
      </c>
      <c r="I1864" s="4">
        <f>IFERROR(__xludf.DUMMYFUNCTION("""COMPUTED_VALUE"""),0.2549440625)</f>
        <v>0.2549440625</v>
      </c>
      <c r="J1864" s="4">
        <f>IFERROR(__xludf.DUMMYFUNCTION("""COMPUTED_VALUE"""),45949.27117949603)</f>
        <v>45949.27118</v>
      </c>
      <c r="K1864" s="4" t="str">
        <f>IFERROR(__xludf.DUMMYFUNCTION("""COMPUTED_VALUE"""),"")</f>
        <v/>
      </c>
      <c r="L1864" s="4">
        <f>IFERROR(__xludf.DUMMYFUNCTION("""COMPUTED_VALUE"""),45949.28104322508)</f>
        <v>45949.28104</v>
      </c>
      <c r="M1864" s="1" t="str">
        <f>IFERROR(__xludf.DUMMYFUNCTION("""COMPUTED_VALUE"""),"RFID")</f>
        <v>RFID</v>
      </c>
      <c r="N1864" s="5">
        <f>IFERROR(__xludf.DUMMYFUNCTION("""COMPUTED_VALUE"""),0.006494171296296296)</f>
        <v>0.006494171296</v>
      </c>
      <c r="O1864" s="5" t="str">
        <f>IFERROR(__xludf.DUMMYFUNCTION("""COMPUTED_VALUE"""),"")</f>
        <v/>
      </c>
      <c r="P1864" s="5" t="str">
        <f>IFERROR(__xludf.DUMMYFUNCTION("""COMPUTED_VALUE"""),"")</f>
        <v/>
      </c>
      <c r="Q1864" s="5">
        <f>IFERROR(__xludf.DUMMYFUNCTION("""COMPUTED_VALUE"""),0.005219833333333333)</f>
        <v>0.005219833333</v>
      </c>
      <c r="R1864" s="4">
        <f>IFERROR(__xludf.DUMMYFUNCTION("""COMPUTED_VALUE"""),45949.02609916258)</f>
        <v>45949.0261</v>
      </c>
      <c r="S1864" s="1" t="b">
        <f>IFERROR(__xludf.DUMMYFUNCTION("""COMPUTED_VALUE"""),TRUE)</f>
        <v>1</v>
      </c>
      <c r="T1864" s="1" t="b">
        <f>IFERROR(__xludf.DUMMYFUNCTION("""COMPUTED_VALUE"""),FALSE)</f>
        <v>0</v>
      </c>
      <c r="U1864" s="1" t="str">
        <f>IFERROR(__xludf.DUMMYFUNCTION("""COMPUTED_VALUE"""),"VALID")</f>
        <v>VALID</v>
      </c>
      <c r="V1864" s="1">
        <f>IFERROR(__xludf.DUMMYFUNCTION("""COMPUTED_VALUE"""),220.0)</f>
        <v>220</v>
      </c>
      <c r="W1864" s="1">
        <f>IFERROR(__xludf.DUMMYFUNCTION("""COMPUTED_VALUE"""),339.0)</f>
        <v>339</v>
      </c>
      <c r="X1864" s="1">
        <f>IFERROR(__xludf.DUMMYFUNCTION("""COMPUTED_VALUE"""),297.0)</f>
        <v>297</v>
      </c>
      <c r="Y1864" s="2"/>
      <c r="Z1864" s="2"/>
    </row>
    <row r="1865">
      <c r="A1865" s="1">
        <f>IFERROR(__xludf.DUMMYFUNCTION("""COMPUTED_VALUE"""),1864.0)</f>
        <v>1864</v>
      </c>
      <c r="B1865" s="1">
        <f>IFERROR(__xludf.DUMMYFUNCTION("""COMPUTED_VALUE"""),5346.0)</f>
        <v>5346</v>
      </c>
      <c r="C1865" s="2" t="str">
        <f>IFERROR(__xludf.DUMMYFUNCTION("""COMPUTED_VALUE"""),"Aziz")</f>
        <v>Aziz</v>
      </c>
      <c r="D1865" s="2" t="str">
        <f>IFERROR(__xludf.DUMMYFUNCTION("""COMPUTED_VALUE"""),"5KM OVERALL M")</f>
        <v>5KM OVERALL M</v>
      </c>
      <c r="E1865" s="1">
        <f>IFERROR(__xludf.DUMMYFUNCTION("""COMPUTED_VALUE"""),2.0)</f>
        <v>2</v>
      </c>
      <c r="F1865" s="1" t="str">
        <f>IFERROR(__xludf.DUMMYFUNCTION("""COMPUTED_VALUE"""),"Male")</f>
        <v>Male</v>
      </c>
      <c r="G1865" s="4" t="b">
        <f>IFERROR(__xludf.DUMMYFUNCTION("""COMPUTED_VALUE"""),TRUE)</f>
        <v>1</v>
      </c>
      <c r="H1865" s="4" t="b">
        <f>IFERROR(__xludf.DUMMYFUNCTION("""COMPUTED_VALUE"""),FALSE)</f>
        <v>0</v>
      </c>
      <c r="I1865" s="4">
        <f>IFERROR(__xludf.DUMMYFUNCTION("""COMPUTED_VALUE"""),0.2549440625)</f>
        <v>0.2549440625</v>
      </c>
      <c r="J1865" s="4">
        <f>IFERROR(__xludf.DUMMYFUNCTION("""COMPUTED_VALUE"""),45949.27655799749)</f>
        <v>45949.27656</v>
      </c>
      <c r="K1865" s="4" t="str">
        <f>IFERROR(__xludf.DUMMYFUNCTION("""COMPUTED_VALUE"""),"")</f>
        <v/>
      </c>
      <c r="L1865" s="4">
        <f>IFERROR(__xludf.DUMMYFUNCTION("""COMPUTED_VALUE"""),45949.29368906762)</f>
        <v>45949.29369</v>
      </c>
      <c r="M1865" s="1" t="str">
        <f>IFERROR(__xludf.DUMMYFUNCTION("""COMPUTED_VALUE"""),"RFID")</f>
        <v>RFID</v>
      </c>
      <c r="N1865" s="5">
        <f>IFERROR(__xludf.DUMMYFUNCTION("""COMPUTED_VALUE"""),0.008645574074074073)</f>
        <v>0.008645574074</v>
      </c>
      <c r="O1865" s="5" t="str">
        <f>IFERROR(__xludf.DUMMYFUNCTION("""COMPUTED_VALUE"""),"")</f>
        <v/>
      </c>
      <c r="P1865" s="5" t="str">
        <f>IFERROR(__xludf.DUMMYFUNCTION("""COMPUTED_VALUE"""),"")</f>
        <v/>
      </c>
      <c r="Q1865" s="5">
        <f>IFERROR(__xludf.DUMMYFUNCTION("""COMPUTED_VALUE"""),0.007749000000000001)</f>
        <v>0.007749</v>
      </c>
      <c r="R1865" s="4">
        <f>IFERROR(__xludf.DUMMYFUNCTION("""COMPUTED_VALUE"""),45949.03874500512)</f>
        <v>45949.03875</v>
      </c>
      <c r="S1865" s="1" t="b">
        <f>IFERROR(__xludf.DUMMYFUNCTION("""COMPUTED_VALUE"""),TRUE)</f>
        <v>1</v>
      </c>
      <c r="T1865" s="1" t="b">
        <f>IFERROR(__xludf.DUMMYFUNCTION("""COMPUTED_VALUE"""),FALSE)</f>
        <v>0</v>
      </c>
      <c r="U1865" s="1" t="str">
        <f>IFERROR(__xludf.DUMMYFUNCTION("""COMPUTED_VALUE"""),"VALID")</f>
        <v>VALID</v>
      </c>
      <c r="V1865" s="1">
        <f>IFERROR(__xludf.DUMMYFUNCTION("""COMPUTED_VALUE"""),672.0)</f>
        <v>672</v>
      </c>
      <c r="W1865" s="1">
        <f>IFERROR(__xludf.DUMMYFUNCTION("""COMPUTED_VALUE"""),1147.0)</f>
        <v>1147</v>
      </c>
      <c r="X1865" s="1">
        <f>IFERROR(__xludf.DUMMYFUNCTION("""COMPUTED_VALUE"""),910.0)</f>
        <v>910</v>
      </c>
      <c r="Y1865" s="2"/>
      <c r="Z1865" s="2"/>
    </row>
    <row r="1866">
      <c r="A1866" s="1">
        <f>IFERROR(__xludf.DUMMYFUNCTION("""COMPUTED_VALUE"""),1865.0)</f>
        <v>1865</v>
      </c>
      <c r="B1866" s="1">
        <f>IFERROR(__xludf.DUMMYFUNCTION("""COMPUTED_VALUE"""),5347.0)</f>
        <v>5347</v>
      </c>
      <c r="C1866" s="2" t="str">
        <f>IFERROR(__xludf.DUMMYFUNCTION("""COMPUTED_VALUE"""),"SAIDI")</f>
        <v>SAIDI</v>
      </c>
      <c r="D1866" s="2" t="str">
        <f>IFERROR(__xludf.DUMMYFUNCTION("""COMPUTED_VALUE"""),"5KM OVERALL M")</f>
        <v>5KM OVERALL M</v>
      </c>
      <c r="E1866" s="1">
        <f>IFERROR(__xludf.DUMMYFUNCTION("""COMPUTED_VALUE"""),2.0)</f>
        <v>2</v>
      </c>
      <c r="F1866" s="1" t="str">
        <f>IFERROR(__xludf.DUMMYFUNCTION("""COMPUTED_VALUE"""),"Male")</f>
        <v>Male</v>
      </c>
      <c r="G1866" s="4" t="b">
        <f>IFERROR(__xludf.DUMMYFUNCTION("""COMPUTED_VALUE"""),TRUE)</f>
        <v>1</v>
      </c>
      <c r="H1866" s="4" t="b">
        <f>IFERROR(__xludf.DUMMYFUNCTION("""COMPUTED_VALUE"""),FALSE)</f>
        <v>0</v>
      </c>
      <c r="I1866" s="4">
        <f>IFERROR(__xludf.DUMMYFUNCTION("""COMPUTED_VALUE"""),0.2549440625)</f>
        <v>0.2549440625</v>
      </c>
      <c r="J1866" s="4">
        <f>IFERROR(__xludf.DUMMYFUNCTION("""COMPUTED_VALUE"""),45949.2772975236)</f>
        <v>45949.2773</v>
      </c>
      <c r="K1866" s="4" t="str">
        <f>IFERROR(__xludf.DUMMYFUNCTION("""COMPUTED_VALUE"""),"")</f>
        <v/>
      </c>
      <c r="L1866" s="4" t="str">
        <f>IFERROR(__xludf.DUMMYFUNCTION("""COMPUTED_VALUE"""),"")</f>
        <v/>
      </c>
      <c r="M1866" s="1" t="str">
        <f>IFERROR(__xludf.DUMMYFUNCTION("""COMPUTED_VALUE"""),"RFID")</f>
        <v>RFID</v>
      </c>
      <c r="N1866" s="5">
        <f>IFERROR(__xludf.DUMMYFUNCTION("""COMPUTED_VALUE"""),0.00894138425925926)</f>
        <v>0.008941384259</v>
      </c>
      <c r="O1866" s="5" t="str">
        <f>IFERROR(__xludf.DUMMYFUNCTION("""COMPUTED_VALUE"""),"")</f>
        <v/>
      </c>
      <c r="P1866" s="5" t="str">
        <f>IFERROR(__xludf.DUMMYFUNCTION("""COMPUTED_VALUE"""),"")</f>
        <v/>
      </c>
      <c r="Q1866" s="5" t="str">
        <f>IFERROR(__xludf.DUMMYFUNCTION("""COMPUTED_VALUE"""),"")</f>
        <v/>
      </c>
      <c r="R1866" s="4" t="str">
        <f>IFERROR(__xludf.DUMMYFUNCTION("""COMPUTED_VALUE"""),"")</f>
        <v/>
      </c>
      <c r="S1866" s="1" t="b">
        <f>IFERROR(__xludf.DUMMYFUNCTION("""COMPUTED_VALUE"""),TRUE)</f>
        <v>1</v>
      </c>
      <c r="T1866" s="1" t="b">
        <f>IFERROR(__xludf.DUMMYFUNCTION("""COMPUTED_VALUE"""),FALSE)</f>
        <v>0</v>
      </c>
      <c r="U1866" s="1" t="str">
        <f>IFERROR(__xludf.DUMMYFUNCTION("""COMPUTED_VALUE"""),"DNF")</f>
        <v>DNF</v>
      </c>
      <c r="V1866" s="1" t="str">
        <f>IFERROR(__xludf.DUMMYFUNCTION("""COMPUTED_VALUE"""),"DNF")</f>
        <v>DNF</v>
      </c>
      <c r="W1866" s="1" t="str">
        <f>IFERROR(__xludf.DUMMYFUNCTION("""COMPUTED_VALUE"""),"DNF")</f>
        <v>DNF</v>
      </c>
      <c r="X1866" s="1" t="str">
        <f>IFERROR(__xludf.DUMMYFUNCTION("""COMPUTED_VALUE"""),"DNF")</f>
        <v>DNF</v>
      </c>
      <c r="Y1866" s="2" t="str">
        <f>IFERROR(__xludf.DUMMYFUNCTION("""COMPUTED_VALUE"""),"tidak terlihat di finish")</f>
        <v>tidak terlihat di finish</v>
      </c>
      <c r="Z1866" s="2"/>
    </row>
    <row r="1867">
      <c r="A1867" s="1">
        <f>IFERROR(__xludf.DUMMYFUNCTION("""COMPUTED_VALUE"""),1866.0)</f>
        <v>1866</v>
      </c>
      <c r="B1867" s="1">
        <f>IFERROR(__xludf.DUMMYFUNCTION("""COMPUTED_VALUE"""),5348.0)</f>
        <v>5348</v>
      </c>
      <c r="C1867" s="2" t="str">
        <f>IFERROR(__xludf.DUMMYFUNCTION("""COMPUTED_VALUE"""),"sugixsp")</f>
        <v>sugixsp</v>
      </c>
      <c r="D1867" s="2" t="str">
        <f>IFERROR(__xludf.DUMMYFUNCTION("""COMPUTED_VALUE"""),"5KM OVERALL M")</f>
        <v>5KM OVERALL M</v>
      </c>
      <c r="E1867" s="1">
        <f>IFERROR(__xludf.DUMMYFUNCTION("""COMPUTED_VALUE"""),2.0)</f>
        <v>2</v>
      </c>
      <c r="F1867" s="1" t="str">
        <f>IFERROR(__xludf.DUMMYFUNCTION("""COMPUTED_VALUE"""),"Male")</f>
        <v>Male</v>
      </c>
      <c r="G1867" s="4" t="b">
        <f>IFERROR(__xludf.DUMMYFUNCTION("""COMPUTED_VALUE"""),TRUE)</f>
        <v>1</v>
      </c>
      <c r="H1867" s="4" t="b">
        <f>IFERROR(__xludf.DUMMYFUNCTION("""COMPUTED_VALUE"""),TRUE)</f>
        <v>1</v>
      </c>
      <c r="I1867" s="4">
        <f>IFERROR(__xludf.DUMMYFUNCTION("""COMPUTED_VALUE"""),0.2549440625)</f>
        <v>0.2549440625</v>
      </c>
      <c r="J1867" s="4">
        <f>IFERROR(__xludf.DUMMYFUNCTION("""COMPUTED_VALUE"""),45949.27500243497)</f>
        <v>45949.275</v>
      </c>
      <c r="K1867" s="4" t="str">
        <f>IFERROR(__xludf.DUMMYFUNCTION("""COMPUTED_VALUE"""),"")</f>
        <v/>
      </c>
      <c r="L1867" s="4">
        <f>IFERROR(__xludf.DUMMYFUNCTION("""COMPUTED_VALUE"""),45949.29103281269)</f>
        <v>45949.29103</v>
      </c>
      <c r="M1867" s="1" t="str">
        <f>IFERROR(__xludf.DUMMYFUNCTION("""COMPUTED_VALUE"""),"RFID")</f>
        <v>RFID</v>
      </c>
      <c r="N1867" s="5">
        <f>IFERROR(__xludf.DUMMYFUNCTION("""COMPUTED_VALUE"""),0.008023347222222222)</f>
        <v>0.008023347222</v>
      </c>
      <c r="O1867" s="5" t="str">
        <f>IFERROR(__xludf.DUMMYFUNCTION("""COMPUTED_VALUE"""),"")</f>
        <v/>
      </c>
      <c r="P1867" s="5" t="str">
        <f>IFERROR(__xludf.DUMMYFUNCTION("""COMPUTED_VALUE"""),"")</f>
        <v/>
      </c>
      <c r="Q1867" s="5">
        <f>IFERROR(__xludf.DUMMYFUNCTION("""COMPUTED_VALUE"""),0.00721775)</f>
        <v>0.00721775</v>
      </c>
      <c r="R1867" s="4">
        <f>IFERROR(__xludf.DUMMYFUNCTION("""COMPUTED_VALUE"""),45949.03608875019)</f>
        <v>45949.03609</v>
      </c>
      <c r="S1867" s="1" t="b">
        <f>IFERROR(__xludf.DUMMYFUNCTION("""COMPUTED_VALUE"""),TRUE)</f>
        <v>1</v>
      </c>
      <c r="T1867" s="1" t="b">
        <f>IFERROR(__xludf.DUMMYFUNCTION("""COMPUTED_VALUE"""),FALSE)</f>
        <v>0</v>
      </c>
      <c r="U1867" s="1" t="str">
        <f>IFERROR(__xludf.DUMMYFUNCTION("""COMPUTED_VALUE"""),"VALID")</f>
        <v>VALID</v>
      </c>
      <c r="V1867" s="1">
        <f>IFERROR(__xludf.DUMMYFUNCTION("""COMPUTED_VALUE"""),595.0)</f>
        <v>595</v>
      </c>
      <c r="W1867" s="1">
        <f>IFERROR(__xludf.DUMMYFUNCTION("""COMPUTED_VALUE"""),962.0)</f>
        <v>962</v>
      </c>
      <c r="X1867" s="1">
        <f>IFERROR(__xludf.DUMMYFUNCTION("""COMPUTED_VALUE"""),780.0)</f>
        <v>780</v>
      </c>
      <c r="Y1867" s="2"/>
      <c r="Z1867" s="2"/>
    </row>
    <row r="1868">
      <c r="A1868" s="1">
        <f>IFERROR(__xludf.DUMMYFUNCTION("""COMPUTED_VALUE"""),1867.0)</f>
        <v>1867</v>
      </c>
      <c r="B1868" s="1">
        <f>IFERROR(__xludf.DUMMYFUNCTION("""COMPUTED_VALUE"""),5349.0)</f>
        <v>5349</v>
      </c>
      <c r="C1868" s="2" t="str">
        <f>IFERROR(__xludf.DUMMYFUNCTION("""COMPUTED_VALUE"""),"Yusuf AP")</f>
        <v>Yusuf AP</v>
      </c>
      <c r="D1868" s="2" t="str">
        <f>IFERROR(__xludf.DUMMYFUNCTION("""COMPUTED_VALUE"""),"5KM OVERALL M")</f>
        <v>5KM OVERALL M</v>
      </c>
      <c r="E1868" s="1">
        <f>IFERROR(__xludf.DUMMYFUNCTION("""COMPUTED_VALUE"""),2.0)</f>
        <v>2</v>
      </c>
      <c r="F1868" s="1" t="str">
        <f>IFERROR(__xludf.DUMMYFUNCTION("""COMPUTED_VALUE"""),"Male")</f>
        <v>Male</v>
      </c>
      <c r="G1868" s="4" t="b">
        <f>IFERROR(__xludf.DUMMYFUNCTION("""COMPUTED_VALUE"""),TRUE)</f>
        <v>1</v>
      </c>
      <c r="H1868" s="4" t="b">
        <f>IFERROR(__xludf.DUMMYFUNCTION("""COMPUTED_VALUE"""),FALSE)</f>
        <v>0</v>
      </c>
      <c r="I1868" s="4">
        <f>IFERROR(__xludf.DUMMYFUNCTION("""COMPUTED_VALUE"""),0.2549440625)</f>
        <v>0.2549440625</v>
      </c>
      <c r="J1868" s="4">
        <f>IFERROR(__xludf.DUMMYFUNCTION("""COMPUTED_VALUE"""),45949.27325955877)</f>
        <v>45949.27326</v>
      </c>
      <c r="K1868" s="4" t="str">
        <f>IFERROR(__xludf.DUMMYFUNCTION("""COMPUTED_VALUE"""),"")</f>
        <v/>
      </c>
      <c r="L1868" s="4">
        <f>IFERROR(__xludf.DUMMYFUNCTION("""COMPUTED_VALUE"""),45949.28388352221)</f>
        <v>45949.28388</v>
      </c>
      <c r="M1868" s="1" t="str">
        <f>IFERROR(__xludf.DUMMYFUNCTION("""COMPUTED_VALUE"""),"RFID")</f>
        <v>RFID</v>
      </c>
      <c r="N1868" s="5">
        <f>IFERROR(__xludf.DUMMYFUNCTION("""COMPUTED_VALUE"""),0.007326199074074074)</f>
        <v>0.007326199074</v>
      </c>
      <c r="O1868" s="5" t="str">
        <f>IFERROR(__xludf.DUMMYFUNCTION("""COMPUTED_VALUE"""),"")</f>
        <v/>
      </c>
      <c r="P1868" s="5" t="str">
        <f>IFERROR(__xludf.DUMMYFUNCTION("""COMPUTED_VALUE"""),"")</f>
        <v/>
      </c>
      <c r="Q1868" s="5">
        <f>IFERROR(__xludf.DUMMYFUNCTION("""COMPUTED_VALUE"""),0.005787891203703704)</f>
        <v>0.005787891204</v>
      </c>
      <c r="R1868" s="4">
        <f>IFERROR(__xludf.DUMMYFUNCTION("""COMPUTED_VALUE"""),45949.028939459706)</f>
        <v>45949.02894</v>
      </c>
      <c r="S1868" s="1" t="b">
        <f>IFERROR(__xludf.DUMMYFUNCTION("""COMPUTED_VALUE"""),TRUE)</f>
        <v>1</v>
      </c>
      <c r="T1868" s="1" t="b">
        <f>IFERROR(__xludf.DUMMYFUNCTION("""COMPUTED_VALUE"""),FALSE)</f>
        <v>0</v>
      </c>
      <c r="U1868" s="1" t="str">
        <f>IFERROR(__xludf.DUMMYFUNCTION("""COMPUTED_VALUE"""),"VALID")</f>
        <v>VALID</v>
      </c>
      <c r="V1868" s="1">
        <f>IFERROR(__xludf.DUMMYFUNCTION("""COMPUTED_VALUE"""),331.0)</f>
        <v>331</v>
      </c>
      <c r="W1868" s="1">
        <f>IFERROR(__xludf.DUMMYFUNCTION("""COMPUTED_VALUE"""),494.0)</f>
        <v>494</v>
      </c>
      <c r="X1868" s="1">
        <f>IFERROR(__xludf.DUMMYFUNCTION("""COMPUTED_VALUE"""),430.0)</f>
        <v>430</v>
      </c>
      <c r="Y1868" s="2"/>
      <c r="Z1868" s="2"/>
    </row>
    <row r="1869">
      <c r="A1869" s="1">
        <f>IFERROR(__xludf.DUMMYFUNCTION("""COMPUTED_VALUE"""),1868.0)</f>
        <v>1868</v>
      </c>
      <c r="B1869" s="1">
        <f>IFERROR(__xludf.DUMMYFUNCTION("""COMPUTED_VALUE"""),5351.0)</f>
        <v>5351</v>
      </c>
      <c r="C1869" s="2" t="str">
        <f>IFERROR(__xludf.DUMMYFUNCTION("""COMPUTED_VALUE"""),"MEILLANO")</f>
        <v>MEILLANO</v>
      </c>
      <c r="D1869" s="2" t="str">
        <f>IFERROR(__xludf.DUMMYFUNCTION("""COMPUTED_VALUE"""),"5KM OVERALL M")</f>
        <v>5KM OVERALL M</v>
      </c>
      <c r="E1869" s="1">
        <f>IFERROR(__xludf.DUMMYFUNCTION("""COMPUTED_VALUE"""),2.0)</f>
        <v>2</v>
      </c>
      <c r="F1869" s="1" t="str">
        <f>IFERROR(__xludf.DUMMYFUNCTION("""COMPUTED_VALUE"""),"Male")</f>
        <v>Male</v>
      </c>
      <c r="G1869" s="4" t="b">
        <f>IFERROR(__xludf.DUMMYFUNCTION("""COMPUTED_VALUE"""),TRUE)</f>
        <v>1</v>
      </c>
      <c r="H1869" s="4" t="b">
        <f>IFERROR(__xludf.DUMMYFUNCTION("""COMPUTED_VALUE"""),FALSE)</f>
        <v>0</v>
      </c>
      <c r="I1869" s="4">
        <f>IFERROR(__xludf.DUMMYFUNCTION("""COMPUTED_VALUE"""),0.2549440625)</f>
        <v>0.2549440625</v>
      </c>
      <c r="J1869" s="4">
        <f>IFERROR(__xludf.DUMMYFUNCTION("""COMPUTED_VALUE"""),45949.27139128486)</f>
        <v>45949.27139</v>
      </c>
      <c r="K1869" s="4" t="str">
        <f>IFERROR(__xludf.DUMMYFUNCTION("""COMPUTED_VALUE"""),"")</f>
        <v/>
      </c>
      <c r="L1869" s="4">
        <f>IFERROR(__xludf.DUMMYFUNCTION("""COMPUTED_VALUE"""),45949.28201192677)</f>
        <v>45949.28201</v>
      </c>
      <c r="M1869" s="1" t="str">
        <f>IFERROR(__xludf.DUMMYFUNCTION("""COMPUTED_VALUE"""),"RFID")</f>
        <v>RFID</v>
      </c>
      <c r="N1869" s="5">
        <f>IFERROR(__xludf.DUMMYFUNCTION("""COMPUTED_VALUE"""),0.0065788888888888885)</f>
        <v>0.006578888889</v>
      </c>
      <c r="O1869" s="5" t="str">
        <f>IFERROR(__xludf.DUMMYFUNCTION("""COMPUTED_VALUE"""),"")</f>
        <v/>
      </c>
      <c r="P1869" s="5" t="str">
        <f>IFERROR(__xludf.DUMMYFUNCTION("""COMPUTED_VALUE"""),"")</f>
        <v/>
      </c>
      <c r="Q1869" s="5">
        <f>IFERROR(__xludf.DUMMYFUNCTION("""COMPUTED_VALUE"""),0.0054135717592592595)</f>
        <v>0.005413571759</v>
      </c>
      <c r="R1869" s="4">
        <f>IFERROR(__xludf.DUMMYFUNCTION("""COMPUTED_VALUE"""),45949.02706786427)</f>
        <v>45949.02707</v>
      </c>
      <c r="S1869" s="1" t="b">
        <f>IFERROR(__xludf.DUMMYFUNCTION("""COMPUTED_VALUE"""),TRUE)</f>
        <v>1</v>
      </c>
      <c r="T1869" s="1" t="b">
        <f>IFERROR(__xludf.DUMMYFUNCTION("""COMPUTED_VALUE"""),FALSE)</f>
        <v>0</v>
      </c>
      <c r="U1869" s="1" t="str">
        <f>IFERROR(__xludf.DUMMYFUNCTION("""COMPUTED_VALUE"""),"VALID")</f>
        <v>VALID</v>
      </c>
      <c r="V1869" s="1">
        <f>IFERROR(__xludf.DUMMYFUNCTION("""COMPUTED_VALUE"""),252.0)</f>
        <v>252</v>
      </c>
      <c r="W1869" s="1">
        <f>IFERROR(__xludf.DUMMYFUNCTION("""COMPUTED_VALUE"""),388.0)</f>
        <v>388</v>
      </c>
      <c r="X1869" s="1">
        <f>IFERROR(__xludf.DUMMYFUNCTION("""COMPUTED_VALUE"""),335.0)</f>
        <v>335</v>
      </c>
      <c r="Y1869" s="2"/>
      <c r="Z1869" s="2"/>
    </row>
    <row r="1870">
      <c r="A1870" s="1">
        <f>IFERROR(__xludf.DUMMYFUNCTION("""COMPUTED_VALUE"""),1869.0)</f>
        <v>1869</v>
      </c>
      <c r="B1870" s="1">
        <f>IFERROR(__xludf.DUMMYFUNCTION("""COMPUTED_VALUE"""),5353.0)</f>
        <v>5353</v>
      </c>
      <c r="C1870" s="2" t="str">
        <f>IFERROR(__xludf.DUMMYFUNCTION("""COMPUTED_VALUE"""),"Farkhan")</f>
        <v>Farkhan</v>
      </c>
      <c r="D1870" s="2" t="str">
        <f>IFERROR(__xludf.DUMMYFUNCTION("""COMPUTED_VALUE"""),"5KM OVERALL M")</f>
        <v>5KM OVERALL M</v>
      </c>
      <c r="E1870" s="1">
        <f>IFERROR(__xludf.DUMMYFUNCTION("""COMPUTED_VALUE"""),2.0)</f>
        <v>2</v>
      </c>
      <c r="F1870" s="1" t="str">
        <f>IFERROR(__xludf.DUMMYFUNCTION("""COMPUTED_VALUE"""),"Male")</f>
        <v>Male</v>
      </c>
      <c r="G1870" s="4" t="b">
        <f>IFERROR(__xludf.DUMMYFUNCTION("""COMPUTED_VALUE"""),TRUE)</f>
        <v>1</v>
      </c>
      <c r="H1870" s="4" t="b">
        <f>IFERROR(__xludf.DUMMYFUNCTION("""COMPUTED_VALUE"""),FALSE)</f>
        <v>0</v>
      </c>
      <c r="I1870" s="4">
        <f>IFERROR(__xludf.DUMMYFUNCTION("""COMPUTED_VALUE"""),0.2549440625)</f>
        <v>0.2549440625</v>
      </c>
      <c r="J1870" s="4">
        <f>IFERROR(__xludf.DUMMYFUNCTION("""COMPUTED_VALUE"""),45949.28899896533)</f>
        <v>45949.289</v>
      </c>
      <c r="K1870" s="4" t="str">
        <f>IFERROR(__xludf.DUMMYFUNCTION("""COMPUTED_VALUE"""),"")</f>
        <v/>
      </c>
      <c r="L1870" s="4">
        <f>IFERROR(__xludf.DUMMYFUNCTION("""COMPUTED_VALUE"""),45949.27295295646)</f>
        <v>45949.27295</v>
      </c>
      <c r="M1870" s="1" t="str">
        <f>IFERROR(__xludf.DUMMYFUNCTION("""COMPUTED_VALUE"""),"RFID")</f>
        <v>RFID</v>
      </c>
      <c r="N1870" s="5">
        <f>IFERROR(__xludf.DUMMYFUNCTION("""COMPUTED_VALUE"""),0.013621962962962964)</f>
        <v>0.01362196296</v>
      </c>
      <c r="O1870" s="5" t="str">
        <f>IFERROR(__xludf.DUMMYFUNCTION("""COMPUTED_VALUE"""),"")</f>
        <v/>
      </c>
      <c r="P1870" s="5" t="str">
        <f>IFERROR(__xludf.DUMMYFUNCTION("""COMPUTED_VALUE"""),"")</f>
        <v/>
      </c>
      <c r="Q1870" s="5">
        <f>IFERROR(__xludf.DUMMYFUNCTION("""COMPUTED_VALUE"""),0.003601777777777778)</f>
        <v>0.003601777778</v>
      </c>
      <c r="R1870" s="4">
        <f>IFERROR(__xludf.DUMMYFUNCTION("""COMPUTED_VALUE"""),45949.01800889396)</f>
        <v>45949.01801</v>
      </c>
      <c r="S1870" s="1" t="b">
        <f>IFERROR(__xludf.DUMMYFUNCTION("""COMPUTED_VALUE"""),TRUE)</f>
        <v>1</v>
      </c>
      <c r="T1870" s="1" t="b">
        <f>IFERROR(__xludf.DUMMYFUNCTION("""COMPUTED_VALUE"""),FALSE)</f>
        <v>0</v>
      </c>
      <c r="U1870" s="1" t="str">
        <f>IFERROR(__xludf.DUMMYFUNCTION("""COMPUTED_VALUE"""),"VALID")</f>
        <v>VALID</v>
      </c>
      <c r="V1870" s="1">
        <f>IFERROR(__xludf.DUMMYFUNCTION("""COMPUTED_VALUE"""),35.0)</f>
        <v>35</v>
      </c>
      <c r="W1870" s="1">
        <f>IFERROR(__xludf.DUMMYFUNCTION("""COMPUTED_VALUE"""),54.0)</f>
        <v>54</v>
      </c>
      <c r="X1870" s="1">
        <f>IFERROR(__xludf.DUMMYFUNCTION("""COMPUTED_VALUE"""),51.0)</f>
        <v>51</v>
      </c>
      <c r="Y1870" s="2"/>
      <c r="Z1870" s="2"/>
    </row>
    <row r="1871">
      <c r="A1871" s="1">
        <f>IFERROR(__xludf.DUMMYFUNCTION("""COMPUTED_VALUE"""),1870.0)</f>
        <v>1870</v>
      </c>
      <c r="B1871" s="1">
        <f>IFERROR(__xludf.DUMMYFUNCTION("""COMPUTED_VALUE"""),5354.0)</f>
        <v>5354</v>
      </c>
      <c r="C1871" s="2" t="str">
        <f>IFERROR(__xludf.DUMMYFUNCTION("""COMPUTED_VALUE"""),"BANGKUY")</f>
        <v>BANGKUY</v>
      </c>
      <c r="D1871" s="2" t="str">
        <f>IFERROR(__xludf.DUMMYFUNCTION("""COMPUTED_VALUE"""),"5KM OVERALL M")</f>
        <v>5KM OVERALL M</v>
      </c>
      <c r="E1871" s="1">
        <f>IFERROR(__xludf.DUMMYFUNCTION("""COMPUTED_VALUE"""),2.0)</f>
        <v>2</v>
      </c>
      <c r="F1871" s="1" t="str">
        <f>IFERROR(__xludf.DUMMYFUNCTION("""COMPUTED_VALUE"""),"Male")</f>
        <v>Male</v>
      </c>
      <c r="G1871" s="4" t="b">
        <f>IFERROR(__xludf.DUMMYFUNCTION("""COMPUTED_VALUE"""),TRUE)</f>
        <v>1</v>
      </c>
      <c r="H1871" s="4" t="b">
        <f>IFERROR(__xludf.DUMMYFUNCTION("""COMPUTED_VALUE"""),TRUE)</f>
        <v>1</v>
      </c>
      <c r="I1871" s="4">
        <f>IFERROR(__xludf.DUMMYFUNCTION("""COMPUTED_VALUE"""),0.2549440625)</f>
        <v>0.2549440625</v>
      </c>
      <c r="J1871" s="4">
        <f>IFERROR(__xludf.DUMMYFUNCTION("""COMPUTED_VALUE"""),45949.26473501967)</f>
        <v>45949.26474</v>
      </c>
      <c r="K1871" s="4" t="str">
        <f>IFERROR(__xludf.DUMMYFUNCTION("""COMPUTED_VALUE"""),"")</f>
        <v/>
      </c>
      <c r="L1871" s="4">
        <f>IFERROR(__xludf.DUMMYFUNCTION("""COMPUTED_VALUE"""),45949.27239393979)</f>
        <v>45949.27239</v>
      </c>
      <c r="M1871" s="1" t="str">
        <f>IFERROR(__xludf.DUMMYFUNCTION("""COMPUTED_VALUE"""),"RFID")</f>
        <v>RFID</v>
      </c>
      <c r="N1871" s="5">
        <f>IFERROR(__xludf.DUMMYFUNCTION("""COMPUTED_VALUE"""),0.003916384259259259)</f>
        <v>0.003916384259</v>
      </c>
      <c r="O1871" s="5" t="str">
        <f>IFERROR(__xludf.DUMMYFUNCTION("""COMPUTED_VALUE"""),"")</f>
        <v/>
      </c>
      <c r="P1871" s="5" t="str">
        <f>IFERROR(__xludf.DUMMYFUNCTION("""COMPUTED_VALUE"""),"")</f>
        <v/>
      </c>
      <c r="Q1871" s="5">
        <f>IFERROR(__xludf.DUMMYFUNCTION("""COMPUTED_VALUE"""),0.003489974537037037)</f>
        <v>0.003489974537</v>
      </c>
      <c r="R1871" s="4">
        <f>IFERROR(__xludf.DUMMYFUNCTION("""COMPUTED_VALUE"""),45949.01744987729)</f>
        <v>45949.01745</v>
      </c>
      <c r="S1871" s="1" t="b">
        <f>IFERROR(__xludf.DUMMYFUNCTION("""COMPUTED_VALUE"""),TRUE)</f>
        <v>1</v>
      </c>
      <c r="T1871" s="1" t="b">
        <f>IFERROR(__xludf.DUMMYFUNCTION("""COMPUTED_VALUE"""),FALSE)</f>
        <v>0</v>
      </c>
      <c r="U1871" s="1" t="str">
        <f>IFERROR(__xludf.DUMMYFUNCTION("""COMPUTED_VALUE"""),"VALID")</f>
        <v>VALID</v>
      </c>
      <c r="V1871" s="1">
        <f>IFERROR(__xludf.DUMMYFUNCTION("""COMPUTED_VALUE"""),28.0)</f>
        <v>28</v>
      </c>
      <c r="W1871" s="1">
        <f>IFERROR(__xludf.DUMMYFUNCTION("""COMPUTED_VALUE"""),43.0)</f>
        <v>43</v>
      </c>
      <c r="X1871" s="1">
        <f>IFERROR(__xludf.DUMMYFUNCTION("""COMPUTED_VALUE"""),41.0)</f>
        <v>41</v>
      </c>
      <c r="Y1871" s="2"/>
      <c r="Z1871" s="2"/>
    </row>
    <row r="1872">
      <c r="A1872" s="1">
        <f>IFERROR(__xludf.DUMMYFUNCTION("""COMPUTED_VALUE"""),1871.0)</f>
        <v>1871</v>
      </c>
      <c r="B1872" s="1">
        <f>IFERROR(__xludf.DUMMYFUNCTION("""COMPUTED_VALUE"""),5355.0)</f>
        <v>5355</v>
      </c>
      <c r="C1872" s="2" t="str">
        <f>IFERROR(__xludf.DUMMYFUNCTION("""COMPUTED_VALUE"""),"Amenk")</f>
        <v>Amenk</v>
      </c>
      <c r="D1872" s="2" t="str">
        <f>IFERROR(__xludf.DUMMYFUNCTION("""COMPUTED_VALUE"""),"5KM OVERALL M")</f>
        <v>5KM OVERALL M</v>
      </c>
      <c r="E1872" s="1">
        <f>IFERROR(__xludf.DUMMYFUNCTION("""COMPUTED_VALUE"""),2.0)</f>
        <v>2</v>
      </c>
      <c r="F1872" s="1" t="str">
        <f>IFERROR(__xludf.DUMMYFUNCTION("""COMPUTED_VALUE"""),"Male")</f>
        <v>Male</v>
      </c>
      <c r="G1872" s="4" t="b">
        <f>IFERROR(__xludf.DUMMYFUNCTION("""COMPUTED_VALUE"""),TRUE)</f>
        <v>1</v>
      </c>
      <c r="H1872" s="4" t="b">
        <f>IFERROR(__xludf.DUMMYFUNCTION("""COMPUTED_VALUE"""),TRUE)</f>
        <v>1</v>
      </c>
      <c r="I1872" s="4">
        <f>IFERROR(__xludf.DUMMYFUNCTION("""COMPUTED_VALUE"""),0.2549440625)</f>
        <v>0.2549440625</v>
      </c>
      <c r="J1872" s="4">
        <f>IFERROR(__xludf.DUMMYFUNCTION("""COMPUTED_VALUE"""),45949.269954402356)</f>
        <v>45949.26995</v>
      </c>
      <c r="K1872" s="4" t="str">
        <f>IFERROR(__xludf.DUMMYFUNCTION("""COMPUTED_VALUE"""),"")</f>
        <v/>
      </c>
      <c r="L1872" s="4">
        <f>IFERROR(__xludf.DUMMYFUNCTION("""COMPUTED_VALUE"""),45949.27978633935)</f>
        <v>45949.27979</v>
      </c>
      <c r="M1872" s="1" t="str">
        <f>IFERROR(__xludf.DUMMYFUNCTION("""COMPUTED_VALUE"""),"RFID")</f>
        <v>RFID</v>
      </c>
      <c r="N1872" s="5">
        <f>IFERROR(__xludf.DUMMYFUNCTION("""COMPUTED_VALUE"""),0.006004134259259259)</f>
        <v>0.006004134259</v>
      </c>
      <c r="O1872" s="5" t="str">
        <f>IFERROR(__xludf.DUMMYFUNCTION("""COMPUTED_VALUE"""),"")</f>
        <v/>
      </c>
      <c r="P1872" s="5" t="str">
        <f>IFERROR(__xludf.DUMMYFUNCTION("""COMPUTED_VALUE"""),"")</f>
        <v/>
      </c>
      <c r="Q1872" s="5">
        <f>IFERROR(__xludf.DUMMYFUNCTION("""COMPUTED_VALUE"""),0.004968456018518519)</f>
        <v>0.004968456019</v>
      </c>
      <c r="R1872" s="4">
        <f>IFERROR(__xludf.DUMMYFUNCTION("""COMPUTED_VALUE"""),45949.02484227685)</f>
        <v>45949.02484</v>
      </c>
      <c r="S1872" s="1" t="b">
        <f>IFERROR(__xludf.DUMMYFUNCTION("""COMPUTED_VALUE"""),TRUE)</f>
        <v>1</v>
      </c>
      <c r="T1872" s="1" t="b">
        <f>IFERROR(__xludf.DUMMYFUNCTION("""COMPUTED_VALUE"""),FALSE)</f>
        <v>0</v>
      </c>
      <c r="U1872" s="1" t="str">
        <f>IFERROR(__xludf.DUMMYFUNCTION("""COMPUTED_VALUE"""),"VALID")</f>
        <v>VALID</v>
      </c>
      <c r="V1872" s="1">
        <f>IFERROR(__xludf.DUMMYFUNCTION("""COMPUTED_VALUE"""),182.0)</f>
        <v>182</v>
      </c>
      <c r="W1872" s="1">
        <f>IFERROR(__xludf.DUMMYFUNCTION("""COMPUTED_VALUE"""),278.0)</f>
        <v>278</v>
      </c>
      <c r="X1872" s="1">
        <f>IFERROR(__xludf.DUMMYFUNCTION("""COMPUTED_VALUE"""),244.0)</f>
        <v>244</v>
      </c>
      <c r="Y1872" s="2"/>
      <c r="Z1872" s="2"/>
    </row>
    <row r="1873">
      <c r="A1873" s="1">
        <f>IFERROR(__xludf.DUMMYFUNCTION("""COMPUTED_VALUE"""),1872.0)</f>
        <v>1872</v>
      </c>
      <c r="B1873" s="1">
        <f>IFERROR(__xludf.DUMMYFUNCTION("""COMPUTED_VALUE"""),5356.0)</f>
        <v>5356</v>
      </c>
      <c r="C1873" s="2" t="str">
        <f>IFERROR(__xludf.DUMMYFUNCTION("""COMPUTED_VALUE"""),"Alfarisi")</f>
        <v>Alfarisi</v>
      </c>
      <c r="D1873" s="2" t="str">
        <f>IFERROR(__xludf.DUMMYFUNCTION("""COMPUTED_VALUE"""),"5KM OVERALL M")</f>
        <v>5KM OVERALL M</v>
      </c>
      <c r="E1873" s="1">
        <f>IFERROR(__xludf.DUMMYFUNCTION("""COMPUTED_VALUE"""),2.0)</f>
        <v>2</v>
      </c>
      <c r="F1873" s="1" t="str">
        <f>IFERROR(__xludf.DUMMYFUNCTION("""COMPUTED_VALUE"""),"Male")</f>
        <v>Male</v>
      </c>
      <c r="G1873" s="4" t="b">
        <f>IFERROR(__xludf.DUMMYFUNCTION("""COMPUTED_VALUE"""),TRUE)</f>
        <v>1</v>
      </c>
      <c r="H1873" s="4" t="b">
        <f>IFERROR(__xludf.DUMMYFUNCTION("""COMPUTED_VALUE"""),TRUE)</f>
        <v>1</v>
      </c>
      <c r="I1873" s="4">
        <f>IFERROR(__xludf.DUMMYFUNCTION("""COMPUTED_VALUE"""),0.2549440625)</f>
        <v>0.2549440625</v>
      </c>
      <c r="J1873" s="4">
        <f>IFERROR(__xludf.DUMMYFUNCTION("""COMPUTED_VALUE"""),45949.27564821674)</f>
        <v>45949.27565</v>
      </c>
      <c r="K1873" s="4" t="str">
        <f>IFERROR(__xludf.DUMMYFUNCTION("""COMPUTED_VALUE"""),"")</f>
        <v/>
      </c>
      <c r="L1873" s="4">
        <f>IFERROR(__xludf.DUMMYFUNCTION("""COMPUTED_VALUE"""),45949.28651893553)</f>
        <v>45949.28652</v>
      </c>
      <c r="M1873" s="1" t="str">
        <f>IFERROR(__xludf.DUMMYFUNCTION("""COMPUTED_VALUE"""),"RFID")</f>
        <v>RFID</v>
      </c>
      <c r="N1873" s="5">
        <f>IFERROR(__xludf.DUMMYFUNCTION("""COMPUTED_VALUE"""),0.008281662037037037)</f>
        <v>0.008281662037</v>
      </c>
      <c r="O1873" s="5" t="str">
        <f>IFERROR(__xludf.DUMMYFUNCTION("""COMPUTED_VALUE"""),"")</f>
        <v/>
      </c>
      <c r="P1873" s="5" t="str">
        <f>IFERROR(__xludf.DUMMYFUNCTION("""COMPUTED_VALUE"""),"")</f>
        <v/>
      </c>
      <c r="Q1873" s="5">
        <f>IFERROR(__xludf.DUMMYFUNCTION("""COMPUTED_VALUE"""),0.0063149745370370365)</f>
        <v>0.006314974537</v>
      </c>
      <c r="R1873" s="4">
        <f>IFERROR(__xludf.DUMMYFUNCTION("""COMPUTED_VALUE"""),45949.03157487303)</f>
        <v>45949.03157</v>
      </c>
      <c r="S1873" s="1" t="b">
        <f>IFERROR(__xludf.DUMMYFUNCTION("""COMPUTED_VALUE"""),TRUE)</f>
        <v>1</v>
      </c>
      <c r="T1873" s="1" t="b">
        <f>IFERROR(__xludf.DUMMYFUNCTION("""COMPUTED_VALUE"""),FALSE)</f>
        <v>0</v>
      </c>
      <c r="U1873" s="1" t="str">
        <f>IFERROR(__xludf.DUMMYFUNCTION("""COMPUTED_VALUE"""),"VALID")</f>
        <v>VALID</v>
      </c>
      <c r="V1873" s="1">
        <f>IFERROR(__xludf.DUMMYFUNCTION("""COMPUTED_VALUE"""),435.0)</f>
        <v>435</v>
      </c>
      <c r="W1873" s="1">
        <f>IFERROR(__xludf.DUMMYFUNCTION("""COMPUTED_VALUE"""),671.0)</f>
        <v>671</v>
      </c>
      <c r="X1873" s="1">
        <f>IFERROR(__xludf.DUMMYFUNCTION("""COMPUTED_VALUE"""),561.0)</f>
        <v>561</v>
      </c>
      <c r="Y1873" s="2"/>
      <c r="Z1873" s="2"/>
    </row>
    <row r="1874">
      <c r="A1874" s="1">
        <f>IFERROR(__xludf.DUMMYFUNCTION("""COMPUTED_VALUE"""),1873.0)</f>
        <v>1873</v>
      </c>
      <c r="B1874" s="1">
        <f>IFERROR(__xludf.DUMMYFUNCTION("""COMPUTED_VALUE"""),5357.0)</f>
        <v>5357</v>
      </c>
      <c r="C1874" s="2" t="str">
        <f>IFERROR(__xludf.DUMMYFUNCTION("""COMPUTED_VALUE"""),"aaajeee")</f>
        <v>aaajeee</v>
      </c>
      <c r="D1874" s="2" t="str">
        <f>IFERROR(__xludf.DUMMYFUNCTION("""COMPUTED_VALUE"""),"5KM OVERALL M")</f>
        <v>5KM OVERALL M</v>
      </c>
      <c r="E1874" s="1">
        <f>IFERROR(__xludf.DUMMYFUNCTION("""COMPUTED_VALUE"""),2.0)</f>
        <v>2</v>
      </c>
      <c r="F1874" s="1" t="str">
        <f>IFERROR(__xludf.DUMMYFUNCTION("""COMPUTED_VALUE"""),"Male")</f>
        <v>Male</v>
      </c>
      <c r="G1874" s="4" t="b">
        <f>IFERROR(__xludf.DUMMYFUNCTION("""COMPUTED_VALUE"""),TRUE)</f>
        <v>1</v>
      </c>
      <c r="H1874" s="4" t="b">
        <f>IFERROR(__xludf.DUMMYFUNCTION("""COMPUTED_VALUE"""),TRUE)</f>
        <v>1</v>
      </c>
      <c r="I1874" s="4">
        <f>IFERROR(__xludf.DUMMYFUNCTION("""COMPUTED_VALUE"""),0.2549440625)</f>
        <v>0.2549440625</v>
      </c>
      <c r="J1874" s="4">
        <f>IFERROR(__xludf.DUMMYFUNCTION("""COMPUTED_VALUE"""),45949.2788774423)</f>
        <v>45949.27888</v>
      </c>
      <c r="K1874" s="4" t="str">
        <f>IFERROR(__xludf.DUMMYFUNCTION("""COMPUTED_VALUE"""),"")</f>
        <v/>
      </c>
      <c r="L1874" s="4">
        <f>IFERROR(__xludf.DUMMYFUNCTION("""COMPUTED_VALUE"""),45949.29553282629)</f>
        <v>45949.29553</v>
      </c>
      <c r="M1874" s="1" t="str">
        <f>IFERROR(__xludf.DUMMYFUNCTION("""COMPUTED_VALUE"""),"RFID")</f>
        <v>RFID</v>
      </c>
      <c r="N1874" s="5">
        <f>IFERROR(__xludf.DUMMYFUNCTION("""COMPUTED_VALUE"""),0.009573351851851852)</f>
        <v>0.009573351852</v>
      </c>
      <c r="O1874" s="5" t="str">
        <f>IFERROR(__xludf.DUMMYFUNCTION("""COMPUTED_VALUE"""),"")</f>
        <v/>
      </c>
      <c r="P1874" s="5" t="str">
        <f>IFERROR(__xludf.DUMMYFUNCTION("""COMPUTED_VALUE"""),"")</f>
        <v/>
      </c>
      <c r="Q1874" s="5">
        <f>IFERROR(__xludf.DUMMYFUNCTION("""COMPUTED_VALUE"""),0.008117752314814815)</f>
        <v>0.008117752315</v>
      </c>
      <c r="R1874" s="4">
        <f>IFERROR(__xludf.DUMMYFUNCTION("""COMPUTED_VALUE"""),45949.04058876379)</f>
        <v>45949.04059</v>
      </c>
      <c r="S1874" s="1" t="b">
        <f>IFERROR(__xludf.DUMMYFUNCTION("""COMPUTED_VALUE"""),TRUE)</f>
        <v>1</v>
      </c>
      <c r="T1874" s="1" t="b">
        <f>IFERROR(__xludf.DUMMYFUNCTION("""COMPUTED_VALUE"""),FALSE)</f>
        <v>0</v>
      </c>
      <c r="U1874" s="1" t="str">
        <f>IFERROR(__xludf.DUMMYFUNCTION("""COMPUTED_VALUE"""),"VALID")</f>
        <v>VALID</v>
      </c>
      <c r="V1874" s="1">
        <f>IFERROR(__xludf.DUMMYFUNCTION("""COMPUTED_VALUE"""),729.0)</f>
        <v>729</v>
      </c>
      <c r="W1874" s="1">
        <f>IFERROR(__xludf.DUMMYFUNCTION("""COMPUTED_VALUE"""),1274.0)</f>
        <v>1274</v>
      </c>
      <c r="X1874" s="1">
        <f>IFERROR(__xludf.DUMMYFUNCTION("""COMPUTED_VALUE"""),1007.0)</f>
        <v>1007</v>
      </c>
      <c r="Y1874" s="2"/>
      <c r="Z1874" s="2"/>
    </row>
    <row r="1875">
      <c r="A1875" s="1">
        <f>IFERROR(__xludf.DUMMYFUNCTION("""COMPUTED_VALUE"""),1874.0)</f>
        <v>1874</v>
      </c>
      <c r="B1875" s="1">
        <f>IFERROR(__xludf.DUMMYFUNCTION("""COMPUTED_VALUE"""),5358.0)</f>
        <v>5358</v>
      </c>
      <c r="C1875" s="2" t="str">
        <f>IFERROR(__xludf.DUMMYFUNCTION("""COMPUTED_VALUE"""),"Rasditya")</f>
        <v>Rasditya</v>
      </c>
      <c r="D1875" s="2" t="str">
        <f>IFERROR(__xludf.DUMMYFUNCTION("""COMPUTED_VALUE"""),"5KM OVERALL M")</f>
        <v>5KM OVERALL M</v>
      </c>
      <c r="E1875" s="1">
        <f>IFERROR(__xludf.DUMMYFUNCTION("""COMPUTED_VALUE"""),2.0)</f>
        <v>2</v>
      </c>
      <c r="F1875" s="1" t="str">
        <f>IFERROR(__xludf.DUMMYFUNCTION("""COMPUTED_VALUE"""),"Male")</f>
        <v>Male</v>
      </c>
      <c r="G1875" s="4" t="b">
        <f>IFERROR(__xludf.DUMMYFUNCTION("""COMPUTED_VALUE"""),TRUE)</f>
        <v>1</v>
      </c>
      <c r="H1875" s="4" t="b">
        <f>IFERROR(__xludf.DUMMYFUNCTION("""COMPUTED_VALUE"""),TRUE)</f>
        <v>1</v>
      </c>
      <c r="I1875" s="4">
        <f>IFERROR(__xludf.DUMMYFUNCTION("""COMPUTED_VALUE"""),0.2549440625)</f>
        <v>0.2549440625</v>
      </c>
      <c r="J1875" s="4">
        <f>IFERROR(__xludf.DUMMYFUNCTION("""COMPUTED_VALUE"""),45949.268981609945)</f>
        <v>45949.26898</v>
      </c>
      <c r="K1875" s="4" t="str">
        <f>IFERROR(__xludf.DUMMYFUNCTION("""COMPUTED_VALUE"""),"")</f>
        <v/>
      </c>
      <c r="L1875" s="4">
        <f>IFERROR(__xludf.DUMMYFUNCTION("""COMPUTED_VALUE"""),45949.28022031595)</f>
        <v>45949.28022</v>
      </c>
      <c r="M1875" s="1" t="str">
        <f>IFERROR(__xludf.DUMMYFUNCTION("""COMPUTED_VALUE"""),"RFID")</f>
        <v>RFID</v>
      </c>
      <c r="N1875" s="5">
        <f>IFERROR(__xludf.DUMMYFUNCTION("""COMPUTED_VALUE"""),0.005615018518518518)</f>
        <v>0.005615018519</v>
      </c>
      <c r="O1875" s="5" t="str">
        <f>IFERROR(__xludf.DUMMYFUNCTION("""COMPUTED_VALUE"""),"")</f>
        <v/>
      </c>
      <c r="P1875" s="5" t="str">
        <f>IFERROR(__xludf.DUMMYFUNCTION("""COMPUTED_VALUE"""),"")</f>
        <v/>
      </c>
      <c r="Q1875" s="5">
        <f>IFERROR(__xludf.DUMMYFUNCTION("""COMPUTED_VALUE"""),0.00505525)</f>
        <v>0.00505525</v>
      </c>
      <c r="R1875" s="4">
        <f>IFERROR(__xludf.DUMMYFUNCTION("""COMPUTED_VALUE"""),45949.02527625345)</f>
        <v>45949.02528</v>
      </c>
      <c r="S1875" s="1" t="b">
        <f>IFERROR(__xludf.DUMMYFUNCTION("""COMPUTED_VALUE"""),TRUE)</f>
        <v>1</v>
      </c>
      <c r="T1875" s="1" t="b">
        <f>IFERROR(__xludf.DUMMYFUNCTION("""COMPUTED_VALUE"""),FALSE)</f>
        <v>0</v>
      </c>
      <c r="U1875" s="1" t="str">
        <f>IFERROR(__xludf.DUMMYFUNCTION("""COMPUTED_VALUE"""),"VALID")</f>
        <v>VALID</v>
      </c>
      <c r="V1875" s="1">
        <f>IFERROR(__xludf.DUMMYFUNCTION("""COMPUTED_VALUE"""),196.0)</f>
        <v>196</v>
      </c>
      <c r="W1875" s="1">
        <f>IFERROR(__xludf.DUMMYFUNCTION("""COMPUTED_VALUE"""),304.0)</f>
        <v>304</v>
      </c>
      <c r="X1875" s="1">
        <f>IFERROR(__xludf.DUMMYFUNCTION("""COMPUTED_VALUE"""),267.0)</f>
        <v>267</v>
      </c>
      <c r="Y1875" s="2"/>
      <c r="Z1875" s="2"/>
    </row>
    <row r="1876">
      <c r="A1876" s="1">
        <f>IFERROR(__xludf.DUMMYFUNCTION("""COMPUTED_VALUE"""),1875.0)</f>
        <v>1875</v>
      </c>
      <c r="B1876" s="1">
        <f>IFERROR(__xludf.DUMMYFUNCTION("""COMPUTED_VALUE"""),5359.0)</f>
        <v>5359</v>
      </c>
      <c r="C1876" s="2" t="str">
        <f>IFERROR(__xludf.DUMMYFUNCTION("""COMPUTED_VALUE"""),"ikky chan")</f>
        <v>ikky chan</v>
      </c>
      <c r="D1876" s="2" t="str">
        <f>IFERROR(__xludf.DUMMYFUNCTION("""COMPUTED_VALUE"""),"5KM OVERALL M")</f>
        <v>5KM OVERALL M</v>
      </c>
      <c r="E1876" s="1">
        <f>IFERROR(__xludf.DUMMYFUNCTION("""COMPUTED_VALUE"""),2.0)</f>
        <v>2</v>
      </c>
      <c r="F1876" s="1" t="str">
        <f>IFERROR(__xludf.DUMMYFUNCTION("""COMPUTED_VALUE"""),"Male")</f>
        <v>Male</v>
      </c>
      <c r="G1876" s="4" t="b">
        <f>IFERROR(__xludf.DUMMYFUNCTION("""COMPUTED_VALUE"""),TRUE)</f>
        <v>1</v>
      </c>
      <c r="H1876" s="4" t="b">
        <f>IFERROR(__xludf.DUMMYFUNCTION("""COMPUTED_VALUE"""),TRUE)</f>
        <v>1</v>
      </c>
      <c r="I1876" s="4">
        <f>IFERROR(__xludf.DUMMYFUNCTION("""COMPUTED_VALUE"""),0.2549440625)</f>
        <v>0.2549440625</v>
      </c>
      <c r="J1876" s="4">
        <f>IFERROR(__xludf.DUMMYFUNCTION("""COMPUTED_VALUE"""),45949.26706140263)</f>
        <v>45949.26706</v>
      </c>
      <c r="K1876" s="4" t="str">
        <f>IFERROR(__xludf.DUMMYFUNCTION("""COMPUTED_VALUE"""),"")</f>
        <v/>
      </c>
      <c r="L1876" s="4">
        <f>IFERROR(__xludf.DUMMYFUNCTION("""COMPUTED_VALUE"""),45949.275477254036)</f>
        <v>45949.27548</v>
      </c>
      <c r="M1876" s="1" t="str">
        <f>IFERROR(__xludf.DUMMYFUNCTION("""COMPUTED_VALUE"""),"RFID")</f>
        <v>RFID</v>
      </c>
      <c r="N1876" s="5">
        <f>IFERROR(__xludf.DUMMYFUNCTION("""COMPUTED_VALUE"""),0.004846935185185185)</f>
        <v>0.004846935185</v>
      </c>
      <c r="O1876" s="5" t="str">
        <f>IFERROR(__xludf.DUMMYFUNCTION("""COMPUTED_VALUE"""),"")</f>
        <v/>
      </c>
      <c r="P1876" s="5" t="str">
        <f>IFERROR(__xludf.DUMMYFUNCTION("""COMPUTED_VALUE"""),"")</f>
        <v/>
      </c>
      <c r="Q1876" s="5">
        <f>IFERROR(__xludf.DUMMYFUNCTION("""COMPUTED_VALUE"""),0.004106638888888889)</f>
        <v>0.004106638889</v>
      </c>
      <c r="R1876" s="4">
        <f>IFERROR(__xludf.DUMMYFUNCTION("""COMPUTED_VALUE"""),45949.020533191535)</f>
        <v>45949.02053</v>
      </c>
      <c r="S1876" s="1" t="b">
        <f>IFERROR(__xludf.DUMMYFUNCTION("""COMPUTED_VALUE"""),TRUE)</f>
        <v>1</v>
      </c>
      <c r="T1876" s="1" t="b">
        <f>IFERROR(__xludf.DUMMYFUNCTION("""COMPUTED_VALUE"""),FALSE)</f>
        <v>0</v>
      </c>
      <c r="U1876" s="1" t="str">
        <f>IFERROR(__xludf.DUMMYFUNCTION("""COMPUTED_VALUE"""),"VALID")</f>
        <v>VALID</v>
      </c>
      <c r="V1876" s="1">
        <f>IFERROR(__xludf.DUMMYFUNCTION("""COMPUTED_VALUE"""),81.0)</f>
        <v>81</v>
      </c>
      <c r="W1876" s="1">
        <f>IFERROR(__xludf.DUMMYFUNCTION("""COMPUTED_VALUE"""),127.0)</f>
        <v>127</v>
      </c>
      <c r="X1876" s="1">
        <f>IFERROR(__xludf.DUMMYFUNCTION("""COMPUTED_VALUE"""),115.0)</f>
        <v>115</v>
      </c>
      <c r="Y1876" s="2"/>
      <c r="Z1876" s="2"/>
    </row>
    <row r="1877">
      <c r="A1877" s="1">
        <f>IFERROR(__xludf.DUMMYFUNCTION("""COMPUTED_VALUE"""),1876.0)</f>
        <v>1876</v>
      </c>
      <c r="B1877" s="1">
        <f>IFERROR(__xludf.DUMMYFUNCTION("""COMPUTED_VALUE"""),5360.0)</f>
        <v>5360</v>
      </c>
      <c r="C1877" s="2" t="str">
        <f>IFERROR(__xludf.DUMMYFUNCTION("""COMPUTED_VALUE"""),"zhon")</f>
        <v>zhon</v>
      </c>
      <c r="D1877" s="2" t="str">
        <f>IFERROR(__xludf.DUMMYFUNCTION("""COMPUTED_VALUE"""),"5KM OVERALL M")</f>
        <v>5KM OVERALL M</v>
      </c>
      <c r="E1877" s="1">
        <f>IFERROR(__xludf.DUMMYFUNCTION("""COMPUTED_VALUE"""),2.0)</f>
        <v>2</v>
      </c>
      <c r="F1877" s="1" t="str">
        <f>IFERROR(__xludf.DUMMYFUNCTION("""COMPUTED_VALUE"""),"Male")</f>
        <v>Male</v>
      </c>
      <c r="G1877" s="4" t="b">
        <f>IFERROR(__xludf.DUMMYFUNCTION("""COMPUTED_VALUE"""),TRUE)</f>
        <v>1</v>
      </c>
      <c r="H1877" s="4" t="b">
        <f>IFERROR(__xludf.DUMMYFUNCTION("""COMPUTED_VALUE"""),TRUE)</f>
        <v>1</v>
      </c>
      <c r="I1877" s="4">
        <f>IFERROR(__xludf.DUMMYFUNCTION("""COMPUTED_VALUE"""),0.2549440625)</f>
        <v>0.2549440625</v>
      </c>
      <c r="J1877" s="4">
        <f>IFERROR(__xludf.DUMMYFUNCTION("""COMPUTED_VALUE"""),45949.26976974259)</f>
        <v>45949.26977</v>
      </c>
      <c r="K1877" s="4" t="str">
        <f>IFERROR(__xludf.DUMMYFUNCTION("""COMPUTED_VALUE"""),"")</f>
        <v/>
      </c>
      <c r="L1877" s="4">
        <f>IFERROR(__xludf.DUMMYFUNCTION("""COMPUTED_VALUE"""),45949.28043906189)</f>
        <v>45949.28044</v>
      </c>
      <c r="M1877" s="1" t="str">
        <f>IFERROR(__xludf.DUMMYFUNCTION("""COMPUTED_VALUE"""),"RFID")</f>
        <v>RFID</v>
      </c>
      <c r="N1877" s="5">
        <f>IFERROR(__xludf.DUMMYFUNCTION("""COMPUTED_VALUE"""),0.005930273148148148)</f>
        <v>0.005930273148</v>
      </c>
      <c r="O1877" s="5" t="str">
        <f>IFERROR(__xludf.DUMMYFUNCTION("""COMPUTED_VALUE"""),"")</f>
        <v/>
      </c>
      <c r="P1877" s="5" t="str">
        <f>IFERROR(__xludf.DUMMYFUNCTION("""COMPUTED_VALUE"""),"")</f>
        <v/>
      </c>
      <c r="Q1877" s="5">
        <f>IFERROR(__xludf.DUMMYFUNCTION("""COMPUTED_VALUE"""),0.005099)</f>
        <v>0.005099</v>
      </c>
      <c r="R1877" s="4">
        <f>IFERROR(__xludf.DUMMYFUNCTION("""COMPUTED_VALUE"""),45949.02549499939)</f>
        <v>45949.02549</v>
      </c>
      <c r="S1877" s="1" t="b">
        <f>IFERROR(__xludf.DUMMYFUNCTION("""COMPUTED_VALUE"""),TRUE)</f>
        <v>1</v>
      </c>
      <c r="T1877" s="1" t="b">
        <f>IFERROR(__xludf.DUMMYFUNCTION("""COMPUTED_VALUE"""),FALSE)</f>
        <v>0</v>
      </c>
      <c r="U1877" s="1" t="str">
        <f>IFERROR(__xludf.DUMMYFUNCTION("""COMPUTED_VALUE"""),"VALID")</f>
        <v>VALID</v>
      </c>
      <c r="V1877" s="1">
        <f>IFERROR(__xludf.DUMMYFUNCTION("""COMPUTED_VALUE"""),201.0)</f>
        <v>201</v>
      </c>
      <c r="W1877" s="1">
        <f>IFERROR(__xludf.DUMMYFUNCTION("""COMPUTED_VALUE"""),312.0)</f>
        <v>312</v>
      </c>
      <c r="X1877" s="1">
        <f>IFERROR(__xludf.DUMMYFUNCTION("""COMPUTED_VALUE"""),274.0)</f>
        <v>274</v>
      </c>
      <c r="Y1877" s="2"/>
      <c r="Z1877" s="2"/>
    </row>
    <row r="1878">
      <c r="A1878" s="1">
        <f>IFERROR(__xludf.DUMMYFUNCTION("""COMPUTED_VALUE"""),1877.0)</f>
        <v>1877</v>
      </c>
      <c r="B1878" s="1">
        <f>IFERROR(__xludf.DUMMYFUNCTION("""COMPUTED_VALUE"""),5361.0)</f>
        <v>5361</v>
      </c>
      <c r="C1878" s="2" t="str">
        <f>IFERROR(__xludf.DUMMYFUNCTION("""COMPUTED_VALUE"""),"ERFAN")</f>
        <v>ERFAN</v>
      </c>
      <c r="D1878" s="2" t="str">
        <f>IFERROR(__xludf.DUMMYFUNCTION("""COMPUTED_VALUE"""),"5KM OVERALL M")</f>
        <v>5KM OVERALL M</v>
      </c>
      <c r="E1878" s="1">
        <f>IFERROR(__xludf.DUMMYFUNCTION("""COMPUTED_VALUE"""),2.0)</f>
        <v>2</v>
      </c>
      <c r="F1878" s="1" t="str">
        <f>IFERROR(__xludf.DUMMYFUNCTION("""COMPUTED_VALUE"""),"Male")</f>
        <v>Male</v>
      </c>
      <c r="G1878" s="4" t="b">
        <f>IFERROR(__xludf.DUMMYFUNCTION("""COMPUTED_VALUE"""),TRUE)</f>
        <v>1</v>
      </c>
      <c r="H1878" s="4" t="b">
        <f>IFERROR(__xludf.DUMMYFUNCTION("""COMPUTED_VALUE"""),TRUE)</f>
        <v>1</v>
      </c>
      <c r="I1878" s="4">
        <f>IFERROR(__xludf.DUMMYFUNCTION("""COMPUTED_VALUE"""),0.2549440625)</f>
        <v>0.2549440625</v>
      </c>
      <c r="J1878" s="4">
        <f>IFERROR(__xludf.DUMMYFUNCTION("""COMPUTED_VALUE"""),45949.266884339784)</f>
        <v>45949.26688</v>
      </c>
      <c r="K1878" s="4" t="str">
        <f>IFERROR(__xludf.DUMMYFUNCTION("""COMPUTED_VALUE"""),"")</f>
        <v/>
      </c>
      <c r="L1878" s="4">
        <f>IFERROR(__xludf.DUMMYFUNCTION("""COMPUTED_VALUE"""),45949.27586964017)</f>
        <v>45949.27587</v>
      </c>
      <c r="M1878" s="1" t="str">
        <f>IFERROR(__xludf.DUMMYFUNCTION("""COMPUTED_VALUE"""),"RFID")</f>
        <v>RFID</v>
      </c>
      <c r="N1878" s="5">
        <f>IFERROR(__xludf.DUMMYFUNCTION("""COMPUTED_VALUE"""),0.004776111111111111)</f>
        <v>0.004776111111</v>
      </c>
      <c r="O1878" s="5" t="str">
        <f>IFERROR(__xludf.DUMMYFUNCTION("""COMPUTED_VALUE"""),"")</f>
        <v/>
      </c>
      <c r="P1878" s="5" t="str">
        <f>IFERROR(__xludf.DUMMYFUNCTION("""COMPUTED_VALUE"""),"")</f>
        <v/>
      </c>
      <c r="Q1878" s="5">
        <f>IFERROR(__xludf.DUMMYFUNCTION("""COMPUTED_VALUE"""),0.004185115740740741)</f>
        <v>0.004185115741</v>
      </c>
      <c r="R1878" s="4">
        <f>IFERROR(__xludf.DUMMYFUNCTION("""COMPUTED_VALUE"""),45949.02092557767)</f>
        <v>45949.02093</v>
      </c>
      <c r="S1878" s="1" t="b">
        <f>IFERROR(__xludf.DUMMYFUNCTION("""COMPUTED_VALUE"""),TRUE)</f>
        <v>1</v>
      </c>
      <c r="T1878" s="1" t="b">
        <f>IFERROR(__xludf.DUMMYFUNCTION("""COMPUTED_VALUE"""),FALSE)</f>
        <v>0</v>
      </c>
      <c r="U1878" s="1" t="str">
        <f>IFERROR(__xludf.DUMMYFUNCTION("""COMPUTED_VALUE"""),"VALID")</f>
        <v>VALID</v>
      </c>
      <c r="V1878" s="1">
        <f>IFERROR(__xludf.DUMMYFUNCTION("""COMPUTED_VALUE"""),90.0)</f>
        <v>90</v>
      </c>
      <c r="W1878" s="1">
        <f>IFERROR(__xludf.DUMMYFUNCTION("""COMPUTED_VALUE"""),140.0)</f>
        <v>140</v>
      </c>
      <c r="X1878" s="1">
        <f>IFERROR(__xludf.DUMMYFUNCTION("""COMPUTED_VALUE"""),126.0)</f>
        <v>126</v>
      </c>
      <c r="Y1878" s="2"/>
      <c r="Z1878" s="2"/>
    </row>
    <row r="1879">
      <c r="A1879" s="1">
        <f>IFERROR(__xludf.DUMMYFUNCTION("""COMPUTED_VALUE"""),1878.0)</f>
        <v>1878</v>
      </c>
      <c r="B1879" s="1">
        <f>IFERROR(__xludf.DUMMYFUNCTION("""COMPUTED_VALUE"""),5362.0)</f>
        <v>5362</v>
      </c>
      <c r="C1879" s="2" t="str">
        <f>IFERROR(__xludf.DUMMYFUNCTION("""COMPUTED_VALUE"""),"Aditya Bayu")</f>
        <v>Aditya Bayu</v>
      </c>
      <c r="D1879" s="2" t="str">
        <f>IFERROR(__xludf.DUMMYFUNCTION("""COMPUTED_VALUE"""),"5KM OVERALL M")</f>
        <v>5KM OVERALL M</v>
      </c>
      <c r="E1879" s="1">
        <f>IFERROR(__xludf.DUMMYFUNCTION("""COMPUTED_VALUE"""),2.0)</f>
        <v>2</v>
      </c>
      <c r="F1879" s="1" t="str">
        <f>IFERROR(__xludf.DUMMYFUNCTION("""COMPUTED_VALUE"""),"Male")</f>
        <v>Male</v>
      </c>
      <c r="G1879" s="4" t="b">
        <f>IFERROR(__xludf.DUMMYFUNCTION("""COMPUTED_VALUE"""),TRUE)</f>
        <v>1</v>
      </c>
      <c r="H1879" s="4" t="b">
        <f>IFERROR(__xludf.DUMMYFUNCTION("""COMPUTED_VALUE"""),FALSE)</f>
        <v>0</v>
      </c>
      <c r="I1879" s="4">
        <f>IFERROR(__xludf.DUMMYFUNCTION("""COMPUTED_VALUE"""),0.2549440625)</f>
        <v>0.2549440625</v>
      </c>
      <c r="J1879" s="4">
        <f>IFERROR(__xludf.DUMMYFUNCTION("""COMPUTED_VALUE"""),45949.27627670234)</f>
        <v>45949.27628</v>
      </c>
      <c r="K1879" s="4" t="str">
        <f>IFERROR(__xludf.DUMMYFUNCTION("""COMPUTED_VALUE"""),"")</f>
        <v/>
      </c>
      <c r="L1879" s="4">
        <f>IFERROR(__xludf.DUMMYFUNCTION("""COMPUTED_VALUE"""),45949.29257447765)</f>
        <v>45949.29257</v>
      </c>
      <c r="M1879" s="1" t="str">
        <f>IFERROR(__xludf.DUMMYFUNCTION("""COMPUTED_VALUE"""),"RFID")</f>
        <v>RFID</v>
      </c>
      <c r="N1879" s="5">
        <f>IFERROR(__xludf.DUMMYFUNCTION("""COMPUTED_VALUE"""),0.008533055555555556)</f>
        <v>0.008533055556</v>
      </c>
      <c r="O1879" s="5" t="str">
        <f>IFERROR(__xludf.DUMMYFUNCTION("""COMPUTED_VALUE"""),"")</f>
        <v/>
      </c>
      <c r="P1879" s="5" t="str">
        <f>IFERROR(__xludf.DUMMYFUNCTION("""COMPUTED_VALUE"""),"")</f>
        <v/>
      </c>
      <c r="Q1879" s="5">
        <f>IFERROR(__xludf.DUMMYFUNCTION("""COMPUTED_VALUE"""),0.007526083333333333)</f>
        <v>0.007526083333</v>
      </c>
      <c r="R1879" s="4">
        <f>IFERROR(__xludf.DUMMYFUNCTION("""COMPUTED_VALUE"""),45949.03763041515)</f>
        <v>45949.03763</v>
      </c>
      <c r="S1879" s="1" t="b">
        <f>IFERROR(__xludf.DUMMYFUNCTION("""COMPUTED_VALUE"""),TRUE)</f>
        <v>1</v>
      </c>
      <c r="T1879" s="1" t="b">
        <f>IFERROR(__xludf.DUMMYFUNCTION("""COMPUTED_VALUE"""),FALSE)</f>
        <v>0</v>
      </c>
      <c r="U1879" s="1" t="str">
        <f>IFERROR(__xludf.DUMMYFUNCTION("""COMPUTED_VALUE"""),"VALID")</f>
        <v>VALID</v>
      </c>
      <c r="V1879" s="1">
        <f>IFERROR(__xludf.DUMMYFUNCTION("""COMPUTED_VALUE"""),645.0)</f>
        <v>645</v>
      </c>
      <c r="W1879" s="1">
        <f>IFERROR(__xludf.DUMMYFUNCTION("""COMPUTED_VALUE"""),1073.0)</f>
        <v>1073</v>
      </c>
      <c r="X1879" s="1">
        <f>IFERROR(__xludf.DUMMYFUNCTION("""COMPUTED_VALUE"""),856.0)</f>
        <v>856</v>
      </c>
      <c r="Y1879" s="2"/>
      <c r="Z1879" s="2"/>
    </row>
    <row r="1880">
      <c r="A1880" s="1">
        <f>IFERROR(__xludf.DUMMYFUNCTION("""COMPUTED_VALUE"""),1879.0)</f>
        <v>1879</v>
      </c>
      <c r="B1880" s="1">
        <f>IFERROR(__xludf.DUMMYFUNCTION("""COMPUTED_VALUE"""),5363.0)</f>
        <v>5363</v>
      </c>
      <c r="C1880" s="2" t="str">
        <f>IFERROR(__xludf.DUMMYFUNCTION("""COMPUTED_VALUE"""),"swandaru")</f>
        <v>swandaru</v>
      </c>
      <c r="D1880" s="2" t="str">
        <f>IFERROR(__xludf.DUMMYFUNCTION("""COMPUTED_VALUE"""),"5KM OVERALL M")</f>
        <v>5KM OVERALL M</v>
      </c>
      <c r="E1880" s="1">
        <f>IFERROR(__xludf.DUMMYFUNCTION("""COMPUTED_VALUE"""),2.0)</f>
        <v>2</v>
      </c>
      <c r="F1880" s="1" t="str">
        <f>IFERROR(__xludf.DUMMYFUNCTION("""COMPUTED_VALUE"""),"Male")</f>
        <v>Male</v>
      </c>
      <c r="G1880" s="4" t="b">
        <f>IFERROR(__xludf.DUMMYFUNCTION("""COMPUTED_VALUE"""),TRUE)</f>
        <v>1</v>
      </c>
      <c r="H1880" s="4" t="b">
        <f>IFERROR(__xludf.DUMMYFUNCTION("""COMPUTED_VALUE"""),FALSE)</f>
        <v>0</v>
      </c>
      <c r="I1880" s="4">
        <f>IFERROR(__xludf.DUMMYFUNCTION("""COMPUTED_VALUE"""),0.2549440625)</f>
        <v>0.2549440625</v>
      </c>
      <c r="J1880" s="4">
        <f>IFERROR(__xludf.DUMMYFUNCTION("""COMPUTED_VALUE"""),45949.273123923806)</f>
        <v>45949.27312</v>
      </c>
      <c r="K1880" s="4" t="str">
        <f>IFERROR(__xludf.DUMMYFUNCTION("""COMPUTED_VALUE"""),"")</f>
        <v/>
      </c>
      <c r="L1880" s="4">
        <f>IFERROR(__xludf.DUMMYFUNCTION("""COMPUTED_VALUE"""),45949.28561961411)</f>
        <v>45949.28562</v>
      </c>
      <c r="M1880" s="1" t="str">
        <f>IFERROR(__xludf.DUMMYFUNCTION("""COMPUTED_VALUE"""),"RFID")</f>
        <v>RFID</v>
      </c>
      <c r="N1880" s="5">
        <f>IFERROR(__xludf.DUMMYFUNCTION("""COMPUTED_VALUE"""),0.007271944444444445)</f>
        <v>0.007271944444</v>
      </c>
      <c r="O1880" s="5" t="str">
        <f>IFERROR(__xludf.DUMMYFUNCTION("""COMPUTED_VALUE"""),"")</f>
        <v/>
      </c>
      <c r="P1880" s="5" t="str">
        <f>IFERROR(__xludf.DUMMYFUNCTION("""COMPUTED_VALUE"""),"")</f>
        <v/>
      </c>
      <c r="Q1880" s="5">
        <f>IFERROR(__xludf.DUMMYFUNCTION("""COMPUTED_VALUE"""),0.00613511111111111)</f>
        <v>0.006135111111</v>
      </c>
      <c r="R1880" s="4">
        <f>IFERROR(__xludf.DUMMYFUNCTION("""COMPUTED_VALUE"""),45949.03067555161)</f>
        <v>45949.03068</v>
      </c>
      <c r="S1880" s="1" t="b">
        <f>IFERROR(__xludf.DUMMYFUNCTION("""COMPUTED_VALUE"""),TRUE)</f>
        <v>1</v>
      </c>
      <c r="T1880" s="1" t="b">
        <f>IFERROR(__xludf.DUMMYFUNCTION("""COMPUTED_VALUE"""),FALSE)</f>
        <v>0</v>
      </c>
      <c r="U1880" s="1" t="str">
        <f>IFERROR(__xludf.DUMMYFUNCTION("""COMPUTED_VALUE"""),"VALID")</f>
        <v>VALID</v>
      </c>
      <c r="V1880" s="1">
        <f>IFERROR(__xludf.DUMMYFUNCTION("""COMPUTED_VALUE"""),400.0)</f>
        <v>400</v>
      </c>
      <c r="W1880" s="1">
        <f>IFERROR(__xludf.DUMMYFUNCTION("""COMPUTED_VALUE"""),612.0)</f>
        <v>612</v>
      </c>
      <c r="X1880" s="1">
        <f>IFERROR(__xludf.DUMMYFUNCTION("""COMPUTED_VALUE"""),514.0)</f>
        <v>514</v>
      </c>
      <c r="Y1880" s="2"/>
      <c r="Z1880" s="2"/>
    </row>
    <row r="1881">
      <c r="A1881" s="1">
        <f>IFERROR(__xludf.DUMMYFUNCTION("""COMPUTED_VALUE"""),1880.0)</f>
        <v>1880</v>
      </c>
      <c r="B1881" s="1">
        <f>IFERROR(__xludf.DUMMYFUNCTION("""COMPUTED_VALUE"""),5365.0)</f>
        <v>5365</v>
      </c>
      <c r="C1881" s="2" t="str">
        <f>IFERROR(__xludf.DUMMYFUNCTION("""COMPUTED_VALUE"""),"Fah.")</f>
        <v>Fah.</v>
      </c>
      <c r="D1881" s="2" t="str">
        <f>IFERROR(__xludf.DUMMYFUNCTION("""COMPUTED_VALUE"""),"5KM OVERALL M")</f>
        <v>5KM OVERALL M</v>
      </c>
      <c r="E1881" s="1">
        <f>IFERROR(__xludf.DUMMYFUNCTION("""COMPUTED_VALUE"""),2.0)</f>
        <v>2</v>
      </c>
      <c r="F1881" s="1" t="str">
        <f>IFERROR(__xludf.DUMMYFUNCTION("""COMPUTED_VALUE"""),"Male")</f>
        <v>Male</v>
      </c>
      <c r="G1881" s="4" t="b">
        <f>IFERROR(__xludf.DUMMYFUNCTION("""COMPUTED_VALUE"""),TRUE)</f>
        <v>1</v>
      </c>
      <c r="H1881" s="4" t="b">
        <f>IFERROR(__xludf.DUMMYFUNCTION("""COMPUTED_VALUE"""),FALSE)</f>
        <v>0</v>
      </c>
      <c r="I1881" s="4">
        <f>IFERROR(__xludf.DUMMYFUNCTION("""COMPUTED_VALUE"""),0.2549440625)</f>
        <v>0.2549440625</v>
      </c>
      <c r="J1881" s="4">
        <f>IFERROR(__xludf.DUMMYFUNCTION("""COMPUTED_VALUE"""),45949.28434266504)</f>
        <v>45949.28434</v>
      </c>
      <c r="K1881" s="4" t="str">
        <f>IFERROR(__xludf.DUMMYFUNCTION("""COMPUTED_VALUE"""),"")</f>
        <v/>
      </c>
      <c r="L1881" s="4">
        <f>IFERROR(__xludf.DUMMYFUNCTION("""COMPUTED_VALUE"""),45949.30539392804)</f>
        <v>45949.30539</v>
      </c>
      <c r="M1881" s="1" t="str">
        <f>IFERROR(__xludf.DUMMYFUNCTION("""COMPUTED_VALUE"""),"RFID")</f>
        <v>RFID</v>
      </c>
      <c r="N1881" s="5">
        <f>IFERROR(__xludf.DUMMYFUNCTION("""COMPUTED_VALUE"""),0.011759439814814816)</f>
        <v>0.01175943981</v>
      </c>
      <c r="O1881" s="5" t="str">
        <f>IFERROR(__xludf.DUMMYFUNCTION("""COMPUTED_VALUE"""),"")</f>
        <v/>
      </c>
      <c r="P1881" s="5" t="str">
        <f>IFERROR(__xludf.DUMMYFUNCTION("""COMPUTED_VALUE"""),"")</f>
        <v/>
      </c>
      <c r="Q1881" s="5">
        <f>IFERROR(__xludf.DUMMYFUNCTION("""COMPUTED_VALUE"""),0.010089972222222224)</f>
        <v>0.01008997222</v>
      </c>
      <c r="R1881" s="4">
        <f>IFERROR(__xludf.DUMMYFUNCTION("""COMPUTED_VALUE"""),45949.05044986554)</f>
        <v>45949.05045</v>
      </c>
      <c r="S1881" s="1" t="b">
        <f>IFERROR(__xludf.DUMMYFUNCTION("""COMPUTED_VALUE"""),TRUE)</f>
        <v>1</v>
      </c>
      <c r="T1881" s="1" t="b">
        <f>IFERROR(__xludf.DUMMYFUNCTION("""COMPUTED_VALUE"""),FALSE)</f>
        <v>0</v>
      </c>
      <c r="U1881" s="1" t="str">
        <f>IFERROR(__xludf.DUMMYFUNCTION("""COMPUTED_VALUE"""),"VALID")</f>
        <v>VALID</v>
      </c>
      <c r="V1881" s="1">
        <f>IFERROR(__xludf.DUMMYFUNCTION("""COMPUTED_VALUE"""),847.0)</f>
        <v>847</v>
      </c>
      <c r="W1881" s="1">
        <f>IFERROR(__xludf.DUMMYFUNCTION("""COMPUTED_VALUE"""),1580.0)</f>
        <v>1580</v>
      </c>
      <c r="X1881" s="1">
        <f>IFERROR(__xludf.DUMMYFUNCTION("""COMPUTED_VALUE"""),1394.0)</f>
        <v>1394</v>
      </c>
      <c r="Y1881" s="2"/>
      <c r="Z1881" s="2"/>
    </row>
    <row r="1882">
      <c r="A1882" s="1">
        <f>IFERROR(__xludf.DUMMYFUNCTION("""COMPUTED_VALUE"""),1881.0)</f>
        <v>1881</v>
      </c>
      <c r="B1882" s="1">
        <f>IFERROR(__xludf.DUMMYFUNCTION("""COMPUTED_VALUE"""),5366.0)</f>
        <v>5366</v>
      </c>
      <c r="C1882" s="2" t="str">
        <f>IFERROR(__xludf.DUMMYFUNCTION("""COMPUTED_VALUE"""),"Riduandjr")</f>
        <v>Riduandjr</v>
      </c>
      <c r="D1882" s="2" t="str">
        <f>IFERROR(__xludf.DUMMYFUNCTION("""COMPUTED_VALUE"""),"5KM OVERALL M")</f>
        <v>5KM OVERALL M</v>
      </c>
      <c r="E1882" s="1">
        <f>IFERROR(__xludf.DUMMYFUNCTION("""COMPUTED_VALUE"""),2.0)</f>
        <v>2</v>
      </c>
      <c r="F1882" s="1" t="str">
        <f>IFERROR(__xludf.DUMMYFUNCTION("""COMPUTED_VALUE"""),"Male")</f>
        <v>Male</v>
      </c>
      <c r="G1882" s="4" t="b">
        <f>IFERROR(__xludf.DUMMYFUNCTION("""COMPUTED_VALUE"""),TRUE)</f>
        <v>1</v>
      </c>
      <c r="H1882" s="4" t="b">
        <f>IFERROR(__xludf.DUMMYFUNCTION("""COMPUTED_VALUE"""),FALSE)</f>
        <v>0</v>
      </c>
      <c r="I1882" s="4">
        <f>IFERROR(__xludf.DUMMYFUNCTION("""COMPUTED_VALUE"""),0.2549440625)</f>
        <v>0.2549440625</v>
      </c>
      <c r="J1882" s="4">
        <f>IFERROR(__xludf.DUMMYFUNCTION("""COMPUTED_VALUE"""),45949.27756143566)</f>
        <v>45949.27756</v>
      </c>
      <c r="K1882" s="4" t="str">
        <f>IFERROR(__xludf.DUMMYFUNCTION("""COMPUTED_VALUE"""),"")</f>
        <v/>
      </c>
      <c r="L1882" s="4">
        <f>IFERROR(__xludf.DUMMYFUNCTION("""COMPUTED_VALUE"""),45949.29347419104)</f>
        <v>45949.29347</v>
      </c>
      <c r="M1882" s="1" t="str">
        <f>IFERROR(__xludf.DUMMYFUNCTION("""COMPUTED_VALUE"""),"RFID")</f>
        <v>RFID</v>
      </c>
      <c r="N1882" s="5">
        <f>IFERROR(__xludf.DUMMYFUNCTION("""COMPUTED_VALUE"""),0.009046949074074075)</f>
        <v>0.009046949074</v>
      </c>
      <c r="O1882" s="5" t="str">
        <f>IFERROR(__xludf.DUMMYFUNCTION("""COMPUTED_VALUE"""),"")</f>
        <v/>
      </c>
      <c r="P1882" s="5" t="str">
        <f>IFERROR(__xludf.DUMMYFUNCTION("""COMPUTED_VALUE"""),"")</f>
        <v/>
      </c>
      <c r="Q1882" s="5">
        <f>IFERROR(__xludf.DUMMYFUNCTION("""COMPUTED_VALUE"""),0.007706025462962963)</f>
        <v>0.007706025463</v>
      </c>
      <c r="R1882" s="4">
        <f>IFERROR(__xludf.DUMMYFUNCTION("""COMPUTED_VALUE"""),45949.03853012854)</f>
        <v>45949.03853</v>
      </c>
      <c r="S1882" s="1" t="b">
        <f>IFERROR(__xludf.DUMMYFUNCTION("""COMPUTED_VALUE"""),TRUE)</f>
        <v>1</v>
      </c>
      <c r="T1882" s="1" t="b">
        <f>IFERROR(__xludf.DUMMYFUNCTION("""COMPUTED_VALUE"""),FALSE)</f>
        <v>0</v>
      </c>
      <c r="U1882" s="1" t="str">
        <f>IFERROR(__xludf.DUMMYFUNCTION("""COMPUTED_VALUE"""),"VALID")</f>
        <v>VALID</v>
      </c>
      <c r="V1882" s="1">
        <f>IFERROR(__xludf.DUMMYFUNCTION("""COMPUTED_VALUE"""),668.0)</f>
        <v>668</v>
      </c>
      <c r="W1882" s="1">
        <f>IFERROR(__xludf.DUMMYFUNCTION("""COMPUTED_VALUE"""),1135.0)</f>
        <v>1135</v>
      </c>
      <c r="X1882" s="1">
        <f>IFERROR(__xludf.DUMMYFUNCTION("""COMPUTED_VALUE"""),903.0)</f>
        <v>903</v>
      </c>
      <c r="Y1882" s="2"/>
      <c r="Z1882" s="2"/>
    </row>
    <row r="1883">
      <c r="A1883" s="1">
        <f>IFERROR(__xludf.DUMMYFUNCTION("""COMPUTED_VALUE"""),1882.0)</f>
        <v>1882</v>
      </c>
      <c r="B1883" s="1">
        <f>IFERROR(__xludf.DUMMYFUNCTION("""COMPUTED_VALUE"""),5368.0)</f>
        <v>5368</v>
      </c>
      <c r="C1883" s="2" t="str">
        <f>IFERROR(__xludf.DUMMYFUNCTION("""COMPUTED_VALUE"""),"Fahriza")</f>
        <v>Fahriza</v>
      </c>
      <c r="D1883" s="2" t="str">
        <f>IFERROR(__xludf.DUMMYFUNCTION("""COMPUTED_VALUE"""),"5KM OVERALL M")</f>
        <v>5KM OVERALL M</v>
      </c>
      <c r="E1883" s="1">
        <f>IFERROR(__xludf.DUMMYFUNCTION("""COMPUTED_VALUE"""),2.0)</f>
        <v>2</v>
      </c>
      <c r="F1883" s="1" t="str">
        <f>IFERROR(__xludf.DUMMYFUNCTION("""COMPUTED_VALUE"""),"Male")</f>
        <v>Male</v>
      </c>
      <c r="G1883" s="4" t="b">
        <f>IFERROR(__xludf.DUMMYFUNCTION("""COMPUTED_VALUE"""),TRUE)</f>
        <v>1</v>
      </c>
      <c r="H1883" s="4" t="b">
        <f>IFERROR(__xludf.DUMMYFUNCTION("""COMPUTED_VALUE"""),TRUE)</f>
        <v>1</v>
      </c>
      <c r="I1883" s="4">
        <f>IFERROR(__xludf.DUMMYFUNCTION("""COMPUTED_VALUE"""),0.2549440625)</f>
        <v>0.2549440625</v>
      </c>
      <c r="J1883" s="4">
        <f>IFERROR(__xludf.DUMMYFUNCTION("""COMPUTED_VALUE"""),45949.272196842074)</f>
        <v>45949.2722</v>
      </c>
      <c r="K1883" s="4" t="str">
        <f>IFERROR(__xludf.DUMMYFUNCTION("""COMPUTED_VALUE"""),"")</f>
        <v/>
      </c>
      <c r="L1883" s="4">
        <f>IFERROR(__xludf.DUMMYFUNCTION("""COMPUTED_VALUE"""),45949.28280399669)</f>
        <v>45949.2828</v>
      </c>
      <c r="M1883" s="1" t="str">
        <f>IFERROR(__xludf.DUMMYFUNCTION("""COMPUTED_VALUE"""),"RFID")</f>
        <v>RFID</v>
      </c>
      <c r="N1883" s="5">
        <f>IFERROR(__xludf.DUMMYFUNCTION("""COMPUTED_VALUE"""),0.006901111111111112)</f>
        <v>0.006901111111</v>
      </c>
      <c r="O1883" s="5" t="str">
        <f>IFERROR(__xludf.DUMMYFUNCTION("""COMPUTED_VALUE"""),"")</f>
        <v/>
      </c>
      <c r="P1883" s="5" t="str">
        <f>IFERROR(__xludf.DUMMYFUNCTION("""COMPUTED_VALUE"""),"")</f>
        <v/>
      </c>
      <c r="Q1883" s="5">
        <f>IFERROR(__xludf.DUMMYFUNCTION("""COMPUTED_VALUE"""),0.005571986111111111)</f>
        <v>0.005571986111</v>
      </c>
      <c r="R1883" s="4">
        <f>IFERROR(__xludf.DUMMYFUNCTION("""COMPUTED_VALUE"""),45949.02785993419)</f>
        <v>45949.02786</v>
      </c>
      <c r="S1883" s="1" t="b">
        <f>IFERROR(__xludf.DUMMYFUNCTION("""COMPUTED_VALUE"""),TRUE)</f>
        <v>1</v>
      </c>
      <c r="T1883" s="1" t="b">
        <f>IFERROR(__xludf.DUMMYFUNCTION("""COMPUTED_VALUE"""),FALSE)</f>
        <v>0</v>
      </c>
      <c r="U1883" s="1" t="str">
        <f>IFERROR(__xludf.DUMMYFUNCTION("""COMPUTED_VALUE"""),"VALID")</f>
        <v>VALID</v>
      </c>
      <c r="V1883" s="1">
        <f>IFERROR(__xludf.DUMMYFUNCTION("""COMPUTED_VALUE"""),280.0)</f>
        <v>280</v>
      </c>
      <c r="W1883" s="1">
        <f>IFERROR(__xludf.DUMMYFUNCTION("""COMPUTED_VALUE"""),424.0)</f>
        <v>424</v>
      </c>
      <c r="X1883" s="1">
        <f>IFERROR(__xludf.DUMMYFUNCTION("""COMPUTED_VALUE"""),367.0)</f>
        <v>367</v>
      </c>
      <c r="Y1883" s="2"/>
      <c r="Z1883" s="2"/>
    </row>
    <row r="1884">
      <c r="A1884" s="1">
        <f>IFERROR(__xludf.DUMMYFUNCTION("""COMPUTED_VALUE"""),1883.0)</f>
        <v>1883</v>
      </c>
      <c r="B1884" s="1">
        <f>IFERROR(__xludf.DUMMYFUNCTION("""COMPUTED_VALUE"""),5371.0)</f>
        <v>5371</v>
      </c>
      <c r="C1884" s="2" t="str">
        <f>IFERROR(__xludf.DUMMYFUNCTION("""COMPUTED_VALUE"""),"TERE")</f>
        <v>TERE</v>
      </c>
      <c r="D1884" s="2" t="str">
        <f>IFERROR(__xludf.DUMMYFUNCTION("""COMPUTED_VALUE"""),"5KM OVERALL M")</f>
        <v>5KM OVERALL M</v>
      </c>
      <c r="E1884" s="1">
        <f>IFERROR(__xludf.DUMMYFUNCTION("""COMPUTED_VALUE"""),2.0)</f>
        <v>2</v>
      </c>
      <c r="F1884" s="1" t="str">
        <f>IFERROR(__xludf.DUMMYFUNCTION("""COMPUTED_VALUE"""),"Male")</f>
        <v>Male</v>
      </c>
      <c r="G1884" s="4" t="b">
        <f>IFERROR(__xludf.DUMMYFUNCTION("""COMPUTED_VALUE"""),TRUE)</f>
        <v>1</v>
      </c>
      <c r="H1884" s="4" t="b">
        <f>IFERROR(__xludf.DUMMYFUNCTION("""COMPUTED_VALUE"""),TRUE)</f>
        <v>1</v>
      </c>
      <c r="I1884" s="4">
        <f>IFERROR(__xludf.DUMMYFUNCTION("""COMPUTED_VALUE"""),0.2549440625)</f>
        <v>0.2549440625</v>
      </c>
      <c r="J1884" s="4">
        <f>IFERROR(__xludf.DUMMYFUNCTION("""COMPUTED_VALUE"""),45949.2796760007)</f>
        <v>45949.27968</v>
      </c>
      <c r="K1884" s="4" t="str">
        <f>IFERROR(__xludf.DUMMYFUNCTION("""COMPUTED_VALUE"""),"")</f>
        <v/>
      </c>
      <c r="L1884" s="4">
        <f>IFERROR(__xludf.DUMMYFUNCTION("""COMPUTED_VALUE"""),45949.297119612864)</f>
        <v>45949.29712</v>
      </c>
      <c r="M1884" s="1" t="str">
        <f>IFERROR(__xludf.DUMMYFUNCTION("""COMPUTED_VALUE"""),"RFID")</f>
        <v>RFID</v>
      </c>
      <c r="N1884" s="5">
        <f>IFERROR(__xludf.DUMMYFUNCTION("""COMPUTED_VALUE"""),0.009892773148148149)</f>
        <v>0.009892773148</v>
      </c>
      <c r="O1884" s="5" t="str">
        <f>IFERROR(__xludf.DUMMYFUNCTION("""COMPUTED_VALUE"""),"")</f>
        <v/>
      </c>
      <c r="P1884" s="5" t="str">
        <f>IFERROR(__xludf.DUMMYFUNCTION("""COMPUTED_VALUE"""),"")</f>
        <v/>
      </c>
      <c r="Q1884" s="5">
        <f>IFERROR(__xludf.DUMMYFUNCTION("""COMPUTED_VALUE"""),0.008435111111111112)</f>
        <v>0.008435111111</v>
      </c>
      <c r="R1884" s="4">
        <f>IFERROR(__xludf.DUMMYFUNCTION("""COMPUTED_VALUE"""),45949.04217555036)</f>
        <v>45949.04218</v>
      </c>
      <c r="S1884" s="1" t="b">
        <f>IFERROR(__xludf.DUMMYFUNCTION("""COMPUTED_VALUE"""),TRUE)</f>
        <v>1</v>
      </c>
      <c r="T1884" s="1" t="b">
        <f>IFERROR(__xludf.DUMMYFUNCTION("""COMPUTED_VALUE"""),FALSE)</f>
        <v>0</v>
      </c>
      <c r="U1884" s="1" t="str">
        <f>IFERROR(__xludf.DUMMYFUNCTION("""COMPUTED_VALUE"""),"VALID")</f>
        <v>VALID</v>
      </c>
      <c r="V1884" s="1">
        <f>IFERROR(__xludf.DUMMYFUNCTION("""COMPUTED_VALUE"""),756.0)</f>
        <v>756</v>
      </c>
      <c r="W1884" s="1">
        <f>IFERROR(__xludf.DUMMYFUNCTION("""COMPUTED_VALUE"""),1335.0)</f>
        <v>1335</v>
      </c>
      <c r="X1884" s="1">
        <f>IFERROR(__xludf.DUMMYFUNCTION("""COMPUTED_VALUE"""),1073.0)</f>
        <v>1073</v>
      </c>
      <c r="Y1884" s="2"/>
      <c r="Z1884" s="2"/>
    </row>
    <row r="1885">
      <c r="A1885" s="1">
        <f>IFERROR(__xludf.DUMMYFUNCTION("""COMPUTED_VALUE"""),1884.0)</f>
        <v>1884</v>
      </c>
      <c r="B1885" s="1">
        <f>IFERROR(__xludf.DUMMYFUNCTION("""COMPUTED_VALUE"""),5373.0)</f>
        <v>5373</v>
      </c>
      <c r="C1885" s="2" t="str">
        <f>IFERROR(__xludf.DUMMYFUNCTION("""COMPUTED_VALUE"""),"Moh Zainudin")</f>
        <v>Moh Zainudin</v>
      </c>
      <c r="D1885" s="2" t="str">
        <f>IFERROR(__xludf.DUMMYFUNCTION("""COMPUTED_VALUE"""),"5KM OVERALL M")</f>
        <v>5KM OVERALL M</v>
      </c>
      <c r="E1885" s="1">
        <f>IFERROR(__xludf.DUMMYFUNCTION("""COMPUTED_VALUE"""),2.0)</f>
        <v>2</v>
      </c>
      <c r="F1885" s="1" t="str">
        <f>IFERROR(__xludf.DUMMYFUNCTION("""COMPUTED_VALUE"""),"Male")</f>
        <v>Male</v>
      </c>
      <c r="G1885" s="4" t="b">
        <f>IFERROR(__xludf.DUMMYFUNCTION("""COMPUTED_VALUE"""),TRUE)</f>
        <v>1</v>
      </c>
      <c r="H1885" s="4" t="b">
        <f>IFERROR(__xludf.DUMMYFUNCTION("""COMPUTED_VALUE"""),FALSE)</f>
        <v>0</v>
      </c>
      <c r="I1885" s="4">
        <f>IFERROR(__xludf.DUMMYFUNCTION("""COMPUTED_VALUE"""),0.2549440625)</f>
        <v>0.2549440625</v>
      </c>
      <c r="J1885" s="4">
        <f>IFERROR(__xludf.DUMMYFUNCTION("""COMPUTED_VALUE"""),45949.27334613962)</f>
        <v>45949.27335</v>
      </c>
      <c r="K1885" s="4" t="str">
        <f>IFERROR(__xludf.DUMMYFUNCTION("""COMPUTED_VALUE"""),"")</f>
        <v/>
      </c>
      <c r="L1885" s="4">
        <f>IFERROR(__xludf.DUMMYFUNCTION("""COMPUTED_VALUE"""),45949.28703628156)</f>
        <v>45949.28704</v>
      </c>
      <c r="M1885" s="1" t="str">
        <f>IFERROR(__xludf.DUMMYFUNCTION("""COMPUTED_VALUE"""),"RFID")</f>
        <v>RFID</v>
      </c>
      <c r="N1885" s="5">
        <f>IFERROR(__xludf.DUMMYFUNCTION("""COMPUTED_VALUE"""),0.007360828703703704)</f>
        <v>0.007360828704</v>
      </c>
      <c r="O1885" s="5" t="str">
        <f>IFERROR(__xludf.DUMMYFUNCTION("""COMPUTED_VALUE"""),"")</f>
        <v/>
      </c>
      <c r="P1885" s="5" t="str">
        <f>IFERROR(__xludf.DUMMYFUNCTION("""COMPUTED_VALUE"""),"")</f>
        <v/>
      </c>
      <c r="Q1885" s="5">
        <f>IFERROR(__xludf.DUMMYFUNCTION("""COMPUTED_VALUE"""),0.0064184444444444445)</f>
        <v>0.006418444444</v>
      </c>
      <c r="R1885" s="4">
        <f>IFERROR(__xludf.DUMMYFUNCTION("""COMPUTED_VALUE"""),45949.03209221906)</f>
        <v>45949.03209</v>
      </c>
      <c r="S1885" s="1" t="b">
        <f>IFERROR(__xludf.DUMMYFUNCTION("""COMPUTED_VALUE"""),TRUE)</f>
        <v>1</v>
      </c>
      <c r="T1885" s="1" t="b">
        <f>IFERROR(__xludf.DUMMYFUNCTION("""COMPUTED_VALUE"""),FALSE)</f>
        <v>0</v>
      </c>
      <c r="U1885" s="1" t="str">
        <f>IFERROR(__xludf.DUMMYFUNCTION("""COMPUTED_VALUE"""),"VALID")</f>
        <v>VALID</v>
      </c>
      <c r="V1885" s="1">
        <f>IFERROR(__xludf.DUMMYFUNCTION("""COMPUTED_VALUE"""),458.0)</f>
        <v>458</v>
      </c>
      <c r="W1885" s="1">
        <f>IFERROR(__xludf.DUMMYFUNCTION("""COMPUTED_VALUE"""),706.0)</f>
        <v>706</v>
      </c>
      <c r="X1885" s="1">
        <f>IFERROR(__xludf.DUMMYFUNCTION("""COMPUTED_VALUE"""),593.0)</f>
        <v>593</v>
      </c>
      <c r="Y1885" s="2"/>
      <c r="Z1885" s="2"/>
    </row>
    <row r="1886">
      <c r="A1886" s="1">
        <f>IFERROR(__xludf.DUMMYFUNCTION("""COMPUTED_VALUE"""),1885.0)</f>
        <v>1885</v>
      </c>
      <c r="B1886" s="1">
        <f>IFERROR(__xludf.DUMMYFUNCTION("""COMPUTED_VALUE"""),5374.0)</f>
        <v>5374</v>
      </c>
      <c r="C1886" s="2" t="str">
        <f>IFERROR(__xludf.DUMMYFUNCTION("""COMPUTED_VALUE"""),"Andre Senobua'")</f>
        <v>Andre Senobua'</v>
      </c>
      <c r="D1886" s="2" t="str">
        <f>IFERROR(__xludf.DUMMYFUNCTION("""COMPUTED_VALUE"""),"5KM OVERALL M")</f>
        <v>5KM OVERALL M</v>
      </c>
      <c r="E1886" s="1">
        <f>IFERROR(__xludf.DUMMYFUNCTION("""COMPUTED_VALUE"""),2.0)</f>
        <v>2</v>
      </c>
      <c r="F1886" s="1" t="str">
        <f>IFERROR(__xludf.DUMMYFUNCTION("""COMPUTED_VALUE"""),"Male")</f>
        <v>Male</v>
      </c>
      <c r="G1886" s="4" t="str">
        <f>IFERROR(__xludf.DUMMYFUNCTION("""COMPUTED_VALUE"""),"")</f>
        <v/>
      </c>
      <c r="H1886" s="4" t="b">
        <f>IFERROR(__xludf.DUMMYFUNCTION("""COMPUTED_VALUE"""),TRUE)</f>
        <v>1</v>
      </c>
      <c r="I1886" s="4">
        <f>IFERROR(__xludf.DUMMYFUNCTION("""COMPUTED_VALUE"""),0.2549440625)</f>
        <v>0.2549440625</v>
      </c>
      <c r="J1886" s="4">
        <f>IFERROR(__xludf.DUMMYFUNCTION("""COMPUTED_VALUE"""),45949.27119682994)</f>
        <v>45949.2712</v>
      </c>
      <c r="K1886" s="4" t="str">
        <f>IFERROR(__xludf.DUMMYFUNCTION("""COMPUTED_VALUE"""),"")</f>
        <v/>
      </c>
      <c r="L1886" s="4">
        <f>IFERROR(__xludf.DUMMYFUNCTION("""COMPUTED_VALUE"""),45949.28357449211)</f>
        <v>45949.28357</v>
      </c>
      <c r="M1886" s="1" t="str">
        <f>IFERROR(__xludf.DUMMYFUNCTION("""COMPUTED_VALUE"""),"RFID")</f>
        <v>RFID</v>
      </c>
      <c r="N1886" s="5">
        <f>IFERROR(__xludf.DUMMYFUNCTION("""COMPUTED_VALUE"""),0.006501106481481482)</f>
        <v>0.006501106481</v>
      </c>
      <c r="O1886" s="5" t="str">
        <f>IFERROR(__xludf.DUMMYFUNCTION("""COMPUTED_VALUE"""),"")</f>
        <v/>
      </c>
      <c r="P1886" s="5" t="str">
        <f>IFERROR(__xludf.DUMMYFUNCTION("""COMPUTED_VALUE"""),"")</f>
        <v/>
      </c>
      <c r="Q1886" s="5">
        <f>IFERROR(__xludf.DUMMYFUNCTION("""COMPUTED_VALUE"""),0.005726085648148148)</f>
        <v>0.005726085648</v>
      </c>
      <c r="R1886" s="4">
        <f>IFERROR(__xludf.DUMMYFUNCTION("""COMPUTED_VALUE"""),45949.02863042961)</f>
        <v>45949.02863</v>
      </c>
      <c r="S1886" s="1" t="b">
        <f>IFERROR(__xludf.DUMMYFUNCTION("""COMPUTED_VALUE"""),TRUE)</f>
        <v>1</v>
      </c>
      <c r="T1886" s="1" t="b">
        <f>IFERROR(__xludf.DUMMYFUNCTION("""COMPUTED_VALUE"""),FALSE)</f>
        <v>0</v>
      </c>
      <c r="U1886" s="1" t="str">
        <f>IFERROR(__xludf.DUMMYFUNCTION("""COMPUTED_VALUE"""),"VALID")</f>
        <v>VALID</v>
      </c>
      <c r="V1886" s="1">
        <f>IFERROR(__xludf.DUMMYFUNCTION("""COMPUTED_VALUE"""),314.0)</f>
        <v>314</v>
      </c>
      <c r="W1886" s="1">
        <f>IFERROR(__xludf.DUMMYFUNCTION("""COMPUTED_VALUE"""),468.0)</f>
        <v>468</v>
      </c>
      <c r="X1886" s="1">
        <f>IFERROR(__xludf.DUMMYFUNCTION("""COMPUTED_VALUE"""),405.0)</f>
        <v>405</v>
      </c>
      <c r="Y1886" s="2"/>
      <c r="Z1886" s="2"/>
    </row>
    <row r="1887">
      <c r="A1887" s="1">
        <f>IFERROR(__xludf.DUMMYFUNCTION("""COMPUTED_VALUE"""),1886.0)</f>
        <v>1886</v>
      </c>
      <c r="B1887" s="1">
        <f>IFERROR(__xludf.DUMMYFUNCTION("""COMPUTED_VALUE"""),5379.0)</f>
        <v>5379</v>
      </c>
      <c r="C1887" s="2" t="str">
        <f>IFERROR(__xludf.DUMMYFUNCTION("""COMPUTED_VALUE"""),"SUAMINYA NASMIL")</f>
        <v>SUAMINYA NASMIL</v>
      </c>
      <c r="D1887" s="2" t="str">
        <f>IFERROR(__xludf.DUMMYFUNCTION("""COMPUTED_VALUE"""),"5KM OVERALL M")</f>
        <v>5KM OVERALL M</v>
      </c>
      <c r="E1887" s="1">
        <f>IFERROR(__xludf.DUMMYFUNCTION("""COMPUTED_VALUE"""),2.0)</f>
        <v>2</v>
      </c>
      <c r="F1887" s="1" t="str">
        <f>IFERROR(__xludf.DUMMYFUNCTION("""COMPUTED_VALUE"""),"Male")</f>
        <v>Male</v>
      </c>
      <c r="G1887" s="4" t="b">
        <f>IFERROR(__xludf.DUMMYFUNCTION("""COMPUTED_VALUE"""),TRUE)</f>
        <v>1</v>
      </c>
      <c r="H1887" s="4" t="b">
        <f>IFERROR(__xludf.DUMMYFUNCTION("""COMPUTED_VALUE"""),TRUE)</f>
        <v>1</v>
      </c>
      <c r="I1887" s="4">
        <f>IFERROR(__xludf.DUMMYFUNCTION("""COMPUTED_VALUE"""),0.2549440625)</f>
        <v>0.2549440625</v>
      </c>
      <c r="J1887" s="4">
        <f>IFERROR(__xludf.DUMMYFUNCTION("""COMPUTED_VALUE"""),45949.281839257645)</f>
        <v>45949.28184</v>
      </c>
      <c r="K1887" s="4" t="str">
        <f>IFERROR(__xludf.DUMMYFUNCTION("""COMPUTED_VALUE"""),"")</f>
        <v/>
      </c>
      <c r="L1887" s="4">
        <f>IFERROR(__xludf.DUMMYFUNCTION("""COMPUTED_VALUE"""),45949.30108143145)</f>
        <v>45949.30108</v>
      </c>
      <c r="M1887" s="1" t="str">
        <f>IFERROR(__xludf.DUMMYFUNCTION("""COMPUTED_VALUE"""),"RFID")</f>
        <v>RFID</v>
      </c>
      <c r="N1887" s="5">
        <f>IFERROR(__xludf.DUMMYFUNCTION("""COMPUTED_VALUE"""),0.010758078703703704)</f>
        <v>0.0107580787</v>
      </c>
      <c r="O1887" s="5" t="str">
        <f>IFERROR(__xludf.DUMMYFUNCTION("""COMPUTED_VALUE"""),"")</f>
        <v/>
      </c>
      <c r="P1887" s="5" t="str">
        <f>IFERROR(__xludf.DUMMYFUNCTION("""COMPUTED_VALUE"""),"")</f>
        <v/>
      </c>
      <c r="Q1887" s="5">
        <f>IFERROR(__xludf.DUMMYFUNCTION("""COMPUTED_VALUE"""),0.009227474537037036)</f>
        <v>0.009227474537</v>
      </c>
      <c r="R1887" s="4">
        <f>IFERROR(__xludf.DUMMYFUNCTION("""COMPUTED_VALUE"""),45949.04613736895)</f>
        <v>45949.04614</v>
      </c>
      <c r="S1887" s="1" t="b">
        <f>IFERROR(__xludf.DUMMYFUNCTION("""COMPUTED_VALUE"""),TRUE)</f>
        <v>1</v>
      </c>
      <c r="T1887" s="1" t="b">
        <f>IFERROR(__xludf.DUMMYFUNCTION("""COMPUTED_VALUE"""),FALSE)</f>
        <v>0</v>
      </c>
      <c r="U1887" s="1" t="str">
        <f>IFERROR(__xludf.DUMMYFUNCTION("""COMPUTED_VALUE"""),"VALID")</f>
        <v>VALID</v>
      </c>
      <c r="V1887" s="1">
        <f>IFERROR(__xludf.DUMMYFUNCTION("""COMPUTED_VALUE"""),809.0)</f>
        <v>809</v>
      </c>
      <c r="W1887" s="1">
        <f>IFERROR(__xludf.DUMMYFUNCTION("""COMPUTED_VALUE"""),1492.0)</f>
        <v>1492</v>
      </c>
      <c r="X1887" s="1">
        <f>IFERROR(__xludf.DUMMYFUNCTION("""COMPUTED_VALUE"""),1245.0)</f>
        <v>1245</v>
      </c>
      <c r="Y1887" s="2"/>
      <c r="Z1887" s="2"/>
    </row>
    <row r="1888">
      <c r="A1888" s="1">
        <f>IFERROR(__xludf.DUMMYFUNCTION("""COMPUTED_VALUE"""),1887.0)</f>
        <v>1887</v>
      </c>
      <c r="B1888" s="1">
        <f>IFERROR(__xludf.DUMMYFUNCTION("""COMPUTED_VALUE"""),5383.0)</f>
        <v>5383</v>
      </c>
      <c r="C1888" s="2" t="str">
        <f>IFERROR(__xludf.DUMMYFUNCTION("""COMPUTED_VALUE"""),"Ocid")</f>
        <v>Ocid</v>
      </c>
      <c r="D1888" s="2" t="str">
        <f>IFERROR(__xludf.DUMMYFUNCTION("""COMPUTED_VALUE"""),"5KM OVERALL M")</f>
        <v>5KM OVERALL M</v>
      </c>
      <c r="E1888" s="1">
        <f>IFERROR(__xludf.DUMMYFUNCTION("""COMPUTED_VALUE"""),2.0)</f>
        <v>2</v>
      </c>
      <c r="F1888" s="1" t="str">
        <f>IFERROR(__xludf.DUMMYFUNCTION("""COMPUTED_VALUE"""),"Male")</f>
        <v>Male</v>
      </c>
      <c r="G1888" s="4" t="str">
        <f>IFERROR(__xludf.DUMMYFUNCTION("""COMPUTED_VALUE"""),"")</f>
        <v/>
      </c>
      <c r="H1888" s="4" t="b">
        <f>IFERROR(__xludf.DUMMYFUNCTION("""COMPUTED_VALUE"""),FALSE)</f>
        <v>0</v>
      </c>
      <c r="I1888" s="4">
        <f>IFERROR(__xludf.DUMMYFUNCTION("""COMPUTED_VALUE"""),0.2549440625)</f>
        <v>0.2549440625</v>
      </c>
      <c r="J1888" s="4" t="str">
        <f>IFERROR(__xludf.DUMMYFUNCTION("""COMPUTED_VALUE"""),"")</f>
        <v/>
      </c>
      <c r="K1888" s="4" t="str">
        <f>IFERROR(__xludf.DUMMYFUNCTION("""COMPUTED_VALUE"""),"")</f>
        <v/>
      </c>
      <c r="L1888" s="4" t="str">
        <f>IFERROR(__xludf.DUMMYFUNCTION("""COMPUTED_VALUE"""),"")</f>
        <v/>
      </c>
      <c r="M1888" s="1" t="str">
        <f>IFERROR(__xludf.DUMMYFUNCTION("""COMPUTED_VALUE"""),"RFID")</f>
        <v>RFID</v>
      </c>
      <c r="N1888" s="5" t="str">
        <f>IFERROR(__xludf.DUMMYFUNCTION("""COMPUTED_VALUE"""),"")</f>
        <v/>
      </c>
      <c r="O1888" s="5" t="str">
        <f>IFERROR(__xludf.DUMMYFUNCTION("""COMPUTED_VALUE"""),"")</f>
        <v/>
      </c>
      <c r="P1888" s="5" t="str">
        <f>IFERROR(__xludf.DUMMYFUNCTION("""COMPUTED_VALUE"""),"")</f>
        <v/>
      </c>
      <c r="Q1888" s="5" t="str">
        <f>IFERROR(__xludf.DUMMYFUNCTION("""COMPUTED_VALUE"""),"")</f>
        <v/>
      </c>
      <c r="R1888" s="4" t="str">
        <f>IFERROR(__xludf.DUMMYFUNCTION("""COMPUTED_VALUE"""),"")</f>
        <v/>
      </c>
      <c r="S1888" s="1" t="b">
        <f>IFERROR(__xludf.DUMMYFUNCTION("""COMPUTED_VALUE"""),FALSE)</f>
        <v>0</v>
      </c>
      <c r="T1888" s="1" t="b">
        <f>IFERROR(__xludf.DUMMYFUNCTION("""COMPUTED_VALUE"""),FALSE)</f>
        <v>0</v>
      </c>
      <c r="U1888" s="1" t="str">
        <f>IFERROR(__xludf.DUMMYFUNCTION("""COMPUTED_VALUE"""),"DSQ")</f>
        <v>DSQ</v>
      </c>
      <c r="V1888" s="1" t="str">
        <f>IFERROR(__xludf.DUMMYFUNCTION("""COMPUTED_VALUE"""),"DSQ")</f>
        <v>DSQ</v>
      </c>
      <c r="W1888" s="1" t="str">
        <f>IFERROR(__xludf.DUMMYFUNCTION("""COMPUTED_VALUE"""),"DSQ")</f>
        <v>DSQ</v>
      </c>
      <c r="X1888" s="1" t="str">
        <f>IFERROR(__xludf.DUMMYFUNCTION("""COMPUTED_VALUE"""),"DSQ")</f>
        <v>DSQ</v>
      </c>
      <c r="Y1888" s="2"/>
      <c r="Z1888" s="2" t="str">
        <f>IFERROR(__xludf.DUMMYFUNCTION("""COMPUTED_VALUE"""),"")</f>
        <v/>
      </c>
    </row>
    <row r="1889">
      <c r="A1889" s="1">
        <f>IFERROR(__xludf.DUMMYFUNCTION("""COMPUTED_VALUE"""),1888.0)</f>
        <v>1888</v>
      </c>
      <c r="B1889" s="1">
        <f>IFERROR(__xludf.DUMMYFUNCTION("""COMPUTED_VALUE"""),5386.0)</f>
        <v>5386</v>
      </c>
      <c r="C1889" s="2" t="str">
        <f>IFERROR(__xludf.DUMMYFUNCTION("""COMPUTED_VALUE"""),"Ardy Prayogo")</f>
        <v>Ardy Prayogo</v>
      </c>
      <c r="D1889" s="2" t="str">
        <f>IFERROR(__xludf.DUMMYFUNCTION("""COMPUTED_VALUE"""),"5KM OVERALL M")</f>
        <v>5KM OVERALL M</v>
      </c>
      <c r="E1889" s="1">
        <f>IFERROR(__xludf.DUMMYFUNCTION("""COMPUTED_VALUE"""),2.0)</f>
        <v>2</v>
      </c>
      <c r="F1889" s="1" t="str">
        <f>IFERROR(__xludf.DUMMYFUNCTION("""COMPUTED_VALUE"""),"Male")</f>
        <v>Male</v>
      </c>
      <c r="G1889" s="4" t="b">
        <f>IFERROR(__xludf.DUMMYFUNCTION("""COMPUTED_VALUE"""),TRUE)</f>
        <v>1</v>
      </c>
      <c r="H1889" s="4" t="b">
        <f>IFERROR(__xludf.DUMMYFUNCTION("""COMPUTED_VALUE"""),TRUE)</f>
        <v>1</v>
      </c>
      <c r="I1889" s="4">
        <f>IFERROR(__xludf.DUMMYFUNCTION("""COMPUTED_VALUE"""),0.2549440625)</f>
        <v>0.2549440625</v>
      </c>
      <c r="J1889" s="4">
        <f>IFERROR(__xludf.DUMMYFUNCTION("""COMPUTED_VALUE"""),45949.26831841162)</f>
        <v>45949.26832</v>
      </c>
      <c r="K1889" s="4" t="str">
        <f>IFERROR(__xludf.DUMMYFUNCTION("""COMPUTED_VALUE"""),"")</f>
        <v/>
      </c>
      <c r="L1889" s="4">
        <f>IFERROR(__xludf.DUMMYFUNCTION("""COMPUTED_VALUE"""),45949.28075850156)</f>
        <v>45949.28076</v>
      </c>
      <c r="M1889" s="1" t="str">
        <f>IFERROR(__xludf.DUMMYFUNCTION("""COMPUTED_VALUE"""),"RFID")</f>
        <v>RFID</v>
      </c>
      <c r="N1889" s="5">
        <f>IFERROR(__xludf.DUMMYFUNCTION("""COMPUTED_VALUE"""),0.005349740740740741)</f>
        <v>0.005349740741</v>
      </c>
      <c r="O1889" s="5" t="str">
        <f>IFERROR(__xludf.DUMMYFUNCTION("""COMPUTED_VALUE"""),"")</f>
        <v/>
      </c>
      <c r="P1889" s="5" t="str">
        <f>IFERROR(__xludf.DUMMYFUNCTION("""COMPUTED_VALUE"""),"")</f>
        <v/>
      </c>
      <c r="Q1889" s="5">
        <f>IFERROR(__xludf.DUMMYFUNCTION("""COMPUTED_VALUE"""),0.005162888888888889)</f>
        <v>0.005162888889</v>
      </c>
      <c r="R1889" s="4">
        <f>IFERROR(__xludf.DUMMYFUNCTION("""COMPUTED_VALUE"""),45949.02581443906)</f>
        <v>45949.02581</v>
      </c>
      <c r="S1889" s="1" t="b">
        <f>IFERROR(__xludf.DUMMYFUNCTION("""COMPUTED_VALUE"""),TRUE)</f>
        <v>1</v>
      </c>
      <c r="T1889" s="1" t="b">
        <f>IFERROR(__xludf.DUMMYFUNCTION("""COMPUTED_VALUE"""),FALSE)</f>
        <v>0</v>
      </c>
      <c r="U1889" s="1" t="str">
        <f>IFERROR(__xludf.DUMMYFUNCTION("""COMPUTED_VALUE"""),"VALID")</f>
        <v>VALID</v>
      </c>
      <c r="V1889" s="1">
        <f>IFERROR(__xludf.DUMMYFUNCTION("""COMPUTED_VALUE"""),213.0)</f>
        <v>213</v>
      </c>
      <c r="W1889" s="1">
        <f>IFERROR(__xludf.DUMMYFUNCTION("""COMPUTED_VALUE"""),330.0)</f>
        <v>330</v>
      </c>
      <c r="X1889" s="1">
        <f>IFERROR(__xludf.DUMMYFUNCTION("""COMPUTED_VALUE"""),289.0)</f>
        <v>289</v>
      </c>
      <c r="Y1889" s="2"/>
      <c r="Z1889" s="2"/>
    </row>
    <row r="1890">
      <c r="A1890" s="1">
        <f>IFERROR(__xludf.DUMMYFUNCTION("""COMPUTED_VALUE"""),1889.0)</f>
        <v>1889</v>
      </c>
      <c r="B1890" s="1">
        <f>IFERROR(__xludf.DUMMYFUNCTION("""COMPUTED_VALUE"""),5387.0)</f>
        <v>5387</v>
      </c>
      <c r="C1890" s="2" t="str">
        <f>IFERROR(__xludf.DUMMYFUNCTION("""COMPUTED_VALUE"""),"DWI")</f>
        <v>DWI</v>
      </c>
      <c r="D1890" s="2" t="str">
        <f>IFERROR(__xludf.DUMMYFUNCTION("""COMPUTED_VALUE"""),"5KM OVERALL M")</f>
        <v>5KM OVERALL M</v>
      </c>
      <c r="E1890" s="1">
        <f>IFERROR(__xludf.DUMMYFUNCTION("""COMPUTED_VALUE"""),2.0)</f>
        <v>2</v>
      </c>
      <c r="F1890" s="1" t="str">
        <f>IFERROR(__xludf.DUMMYFUNCTION("""COMPUTED_VALUE"""),"Male")</f>
        <v>Male</v>
      </c>
      <c r="G1890" s="4" t="b">
        <f>IFERROR(__xludf.DUMMYFUNCTION("""COMPUTED_VALUE"""),TRUE)</f>
        <v>1</v>
      </c>
      <c r="H1890" s="4" t="b">
        <f>IFERROR(__xludf.DUMMYFUNCTION("""COMPUTED_VALUE"""),TRUE)</f>
        <v>1</v>
      </c>
      <c r="I1890" s="4">
        <f>IFERROR(__xludf.DUMMYFUNCTION("""COMPUTED_VALUE"""),0.2549440625)</f>
        <v>0.2549440625</v>
      </c>
      <c r="J1890" s="4">
        <f>IFERROR(__xludf.DUMMYFUNCTION("""COMPUTED_VALUE"""),45949.274819505445)</f>
        <v>45949.27482</v>
      </c>
      <c r="K1890" s="4" t="str">
        <f>IFERROR(__xludf.DUMMYFUNCTION("""COMPUTED_VALUE"""),"")</f>
        <v/>
      </c>
      <c r="L1890" s="4">
        <f>IFERROR(__xludf.DUMMYFUNCTION("""COMPUTED_VALUE"""),45949.288400814134)</f>
        <v>45949.2884</v>
      </c>
      <c r="M1890" s="1" t="str">
        <f>IFERROR(__xludf.DUMMYFUNCTION("""COMPUTED_VALUE"""),"RFID")</f>
        <v>RFID</v>
      </c>
      <c r="N1890" s="5">
        <f>IFERROR(__xludf.DUMMYFUNCTION("""COMPUTED_VALUE"""),0.007950175925925927)</f>
        <v>0.007950175926</v>
      </c>
      <c r="O1890" s="5" t="str">
        <f>IFERROR(__xludf.DUMMYFUNCTION("""COMPUTED_VALUE"""),"")</f>
        <v/>
      </c>
      <c r="P1890" s="5" t="str">
        <f>IFERROR(__xludf.DUMMYFUNCTION("""COMPUTED_VALUE"""),"")</f>
        <v/>
      </c>
      <c r="Q1890" s="5">
        <f>IFERROR(__xludf.DUMMYFUNCTION("""COMPUTED_VALUE"""),0.006691349537037037)</f>
        <v>0.006691349537</v>
      </c>
      <c r="R1890" s="4">
        <f>IFERROR(__xludf.DUMMYFUNCTION("""COMPUTED_VALUE"""),45949.03345675163)</f>
        <v>45949.03346</v>
      </c>
      <c r="S1890" s="1" t="b">
        <f>IFERROR(__xludf.DUMMYFUNCTION("""COMPUTED_VALUE"""),TRUE)</f>
        <v>1</v>
      </c>
      <c r="T1890" s="1" t="b">
        <f>IFERROR(__xludf.DUMMYFUNCTION("""COMPUTED_VALUE"""),FALSE)</f>
        <v>0</v>
      </c>
      <c r="U1890" s="1" t="str">
        <f>IFERROR(__xludf.DUMMYFUNCTION("""COMPUTED_VALUE"""),"VALID")</f>
        <v>VALID</v>
      </c>
      <c r="V1890" s="1">
        <f>IFERROR(__xludf.DUMMYFUNCTION("""COMPUTED_VALUE"""),513.0)</f>
        <v>513</v>
      </c>
      <c r="W1890" s="1">
        <f>IFERROR(__xludf.DUMMYFUNCTION("""COMPUTED_VALUE"""),806.0)</f>
        <v>806</v>
      </c>
      <c r="X1890" s="1">
        <f>IFERROR(__xludf.DUMMYFUNCTION("""COMPUTED_VALUE"""),662.0)</f>
        <v>662</v>
      </c>
      <c r="Y1890" s="2"/>
      <c r="Z1890" s="2"/>
    </row>
    <row r="1891">
      <c r="A1891" s="1">
        <f>IFERROR(__xludf.DUMMYFUNCTION("""COMPUTED_VALUE"""),1890.0)</f>
        <v>1890</v>
      </c>
      <c r="B1891" s="1">
        <f>IFERROR(__xludf.DUMMYFUNCTION("""COMPUTED_VALUE"""),5388.0)</f>
        <v>5388</v>
      </c>
      <c r="C1891" s="2" t="str">
        <f>IFERROR(__xludf.DUMMYFUNCTION("""COMPUTED_VALUE"""),"Farid")</f>
        <v>Farid</v>
      </c>
      <c r="D1891" s="2" t="str">
        <f>IFERROR(__xludf.DUMMYFUNCTION("""COMPUTED_VALUE"""),"5KM OVERALL M")</f>
        <v>5KM OVERALL M</v>
      </c>
      <c r="E1891" s="1">
        <f>IFERROR(__xludf.DUMMYFUNCTION("""COMPUTED_VALUE"""),2.0)</f>
        <v>2</v>
      </c>
      <c r="F1891" s="1" t="str">
        <f>IFERROR(__xludf.DUMMYFUNCTION("""COMPUTED_VALUE"""),"Male")</f>
        <v>Male</v>
      </c>
      <c r="G1891" s="4" t="b">
        <f>IFERROR(__xludf.DUMMYFUNCTION("""COMPUTED_VALUE"""),TRUE)</f>
        <v>1</v>
      </c>
      <c r="H1891" s="4" t="b">
        <f>IFERROR(__xludf.DUMMYFUNCTION("""COMPUTED_VALUE"""),FALSE)</f>
        <v>0</v>
      </c>
      <c r="I1891" s="4">
        <f>IFERROR(__xludf.DUMMYFUNCTION("""COMPUTED_VALUE"""),0.2549440625)</f>
        <v>0.2549440625</v>
      </c>
      <c r="J1891" s="4">
        <f>IFERROR(__xludf.DUMMYFUNCTION("""COMPUTED_VALUE"""),45949.27076285926)</f>
        <v>45949.27076</v>
      </c>
      <c r="K1891" s="4" t="str">
        <f>IFERROR(__xludf.DUMMYFUNCTION("""COMPUTED_VALUE"""),"")</f>
        <v/>
      </c>
      <c r="L1891" s="4">
        <f>IFERROR(__xludf.DUMMYFUNCTION("""COMPUTED_VALUE"""),45949.28230359302)</f>
        <v>45949.2823</v>
      </c>
      <c r="M1891" s="1" t="str">
        <f>IFERROR(__xludf.DUMMYFUNCTION("""COMPUTED_VALUE"""),"RFID")</f>
        <v>RFID</v>
      </c>
      <c r="N1891" s="5">
        <f>IFERROR(__xludf.DUMMYFUNCTION("""COMPUTED_VALUE"""),0.006327518518518519)</f>
        <v>0.006327518519</v>
      </c>
      <c r="O1891" s="5" t="str">
        <f>IFERROR(__xludf.DUMMYFUNCTION("""COMPUTED_VALUE"""),"")</f>
        <v/>
      </c>
      <c r="P1891" s="5" t="str">
        <f>IFERROR(__xludf.DUMMYFUNCTION("""COMPUTED_VALUE"""),"")</f>
        <v/>
      </c>
      <c r="Q1891" s="5">
        <f>IFERROR(__xludf.DUMMYFUNCTION("""COMPUTED_VALUE"""),0.0054719050925925924)</f>
        <v>0.005471905093</v>
      </c>
      <c r="R1891" s="4">
        <f>IFERROR(__xludf.DUMMYFUNCTION("""COMPUTED_VALUE"""),45949.02735953052)</f>
        <v>45949.02736</v>
      </c>
      <c r="S1891" s="1" t="b">
        <f>IFERROR(__xludf.DUMMYFUNCTION("""COMPUTED_VALUE"""),TRUE)</f>
        <v>1</v>
      </c>
      <c r="T1891" s="1" t="b">
        <f>IFERROR(__xludf.DUMMYFUNCTION("""COMPUTED_VALUE"""),FALSE)</f>
        <v>0</v>
      </c>
      <c r="U1891" s="1" t="str">
        <f>IFERROR(__xludf.DUMMYFUNCTION("""COMPUTED_VALUE"""),"VALID")</f>
        <v>VALID</v>
      </c>
      <c r="V1891" s="1">
        <f>IFERROR(__xludf.DUMMYFUNCTION("""COMPUTED_VALUE"""),259.0)</f>
        <v>259</v>
      </c>
      <c r="W1891" s="1">
        <f>IFERROR(__xludf.DUMMYFUNCTION("""COMPUTED_VALUE"""),396.0)</f>
        <v>396</v>
      </c>
      <c r="X1891" s="1">
        <f>IFERROR(__xludf.DUMMYFUNCTION("""COMPUTED_VALUE"""),343.0)</f>
        <v>343</v>
      </c>
      <c r="Y1891" s="2"/>
      <c r="Z1891" s="2"/>
    </row>
    <row r="1892">
      <c r="A1892" s="1">
        <f>IFERROR(__xludf.DUMMYFUNCTION("""COMPUTED_VALUE"""),1891.0)</f>
        <v>1891</v>
      </c>
      <c r="B1892" s="1">
        <f>IFERROR(__xludf.DUMMYFUNCTION("""COMPUTED_VALUE"""),5389.0)</f>
        <v>5389</v>
      </c>
      <c r="C1892" s="2" t="str">
        <f>IFERROR(__xludf.DUMMYFUNCTION("""COMPUTED_VALUE"""),"Junsss")</f>
        <v>Junsss</v>
      </c>
      <c r="D1892" s="2" t="str">
        <f>IFERROR(__xludf.DUMMYFUNCTION("""COMPUTED_VALUE"""),"5KM OVERALL M")</f>
        <v>5KM OVERALL M</v>
      </c>
      <c r="E1892" s="1">
        <f>IFERROR(__xludf.DUMMYFUNCTION("""COMPUTED_VALUE"""),2.0)</f>
        <v>2</v>
      </c>
      <c r="F1892" s="1" t="str">
        <f>IFERROR(__xludf.DUMMYFUNCTION("""COMPUTED_VALUE"""),"Male")</f>
        <v>Male</v>
      </c>
      <c r="G1892" s="4" t="b">
        <f>IFERROR(__xludf.DUMMYFUNCTION("""COMPUTED_VALUE"""),TRUE)</f>
        <v>1</v>
      </c>
      <c r="H1892" s="4" t="b">
        <f>IFERROR(__xludf.DUMMYFUNCTION("""COMPUTED_VALUE"""),TRUE)</f>
        <v>1</v>
      </c>
      <c r="I1892" s="4">
        <f>IFERROR(__xludf.DUMMYFUNCTION("""COMPUTED_VALUE"""),0.2549440625)</f>
        <v>0.2549440625</v>
      </c>
      <c r="J1892" s="4">
        <f>IFERROR(__xludf.DUMMYFUNCTION("""COMPUTED_VALUE"""),45949.26628710056)</f>
        <v>45949.26629</v>
      </c>
      <c r="K1892" s="4" t="str">
        <f>IFERROR(__xludf.DUMMYFUNCTION("""COMPUTED_VALUE"""),"")</f>
        <v/>
      </c>
      <c r="L1892" s="4">
        <f>IFERROR(__xludf.DUMMYFUNCTION("""COMPUTED_VALUE"""),45949.27604364898)</f>
        <v>45949.27604</v>
      </c>
      <c r="M1892" s="1" t="str">
        <f>IFERROR(__xludf.DUMMYFUNCTION("""COMPUTED_VALUE"""),"RFID")</f>
        <v>RFID</v>
      </c>
      <c r="N1892" s="5">
        <f>IFERROR(__xludf.DUMMYFUNCTION("""COMPUTED_VALUE"""),0.004537212962962963)</f>
        <v>0.004537212963</v>
      </c>
      <c r="O1892" s="5" t="str">
        <f>IFERROR(__xludf.DUMMYFUNCTION("""COMPUTED_VALUE"""),"")</f>
        <v/>
      </c>
      <c r="P1892" s="5" t="str">
        <f>IFERROR(__xludf.DUMMYFUNCTION("""COMPUTED_VALUE"""),"")</f>
        <v/>
      </c>
      <c r="Q1892" s="5">
        <f>IFERROR(__xludf.DUMMYFUNCTION("""COMPUTED_VALUE"""),0.004219916666666666)</f>
        <v>0.004219916667</v>
      </c>
      <c r="R1892" s="4">
        <f>IFERROR(__xludf.DUMMYFUNCTION("""COMPUTED_VALUE"""),45949.021099586476)</f>
        <v>45949.0211</v>
      </c>
      <c r="S1892" s="1" t="b">
        <f>IFERROR(__xludf.DUMMYFUNCTION("""COMPUTED_VALUE"""),TRUE)</f>
        <v>1</v>
      </c>
      <c r="T1892" s="1" t="b">
        <f>IFERROR(__xludf.DUMMYFUNCTION("""COMPUTED_VALUE"""),FALSE)</f>
        <v>0</v>
      </c>
      <c r="U1892" s="1" t="str">
        <f>IFERROR(__xludf.DUMMYFUNCTION("""COMPUTED_VALUE"""),"VALID")</f>
        <v>VALID</v>
      </c>
      <c r="V1892" s="1">
        <f>IFERROR(__xludf.DUMMYFUNCTION("""COMPUTED_VALUE"""),95.0)</f>
        <v>95</v>
      </c>
      <c r="W1892" s="1">
        <f>IFERROR(__xludf.DUMMYFUNCTION("""COMPUTED_VALUE"""),148.0)</f>
        <v>148</v>
      </c>
      <c r="X1892" s="1">
        <f>IFERROR(__xludf.DUMMYFUNCTION("""COMPUTED_VALUE"""),132.0)</f>
        <v>132</v>
      </c>
      <c r="Y1892" s="2"/>
      <c r="Z1892" s="2"/>
    </row>
    <row r="1893">
      <c r="A1893" s="1">
        <f>IFERROR(__xludf.DUMMYFUNCTION("""COMPUTED_VALUE"""),1892.0)</f>
        <v>1892</v>
      </c>
      <c r="B1893" s="1">
        <f>IFERROR(__xludf.DUMMYFUNCTION("""COMPUTED_VALUE"""),5391.0)</f>
        <v>5391</v>
      </c>
      <c r="C1893" s="2" t="str">
        <f>IFERROR(__xludf.DUMMYFUNCTION("""COMPUTED_VALUE"""),"Risfian Faizi")</f>
        <v>Risfian Faizi</v>
      </c>
      <c r="D1893" s="2" t="str">
        <f>IFERROR(__xludf.DUMMYFUNCTION("""COMPUTED_VALUE"""),"5KM OVERALL M")</f>
        <v>5KM OVERALL M</v>
      </c>
      <c r="E1893" s="1">
        <f>IFERROR(__xludf.DUMMYFUNCTION("""COMPUTED_VALUE"""),2.0)</f>
        <v>2</v>
      </c>
      <c r="F1893" s="1" t="str">
        <f>IFERROR(__xludf.DUMMYFUNCTION("""COMPUTED_VALUE"""),"Male")</f>
        <v>Male</v>
      </c>
      <c r="G1893" s="4" t="b">
        <f>IFERROR(__xludf.DUMMYFUNCTION("""COMPUTED_VALUE"""),TRUE)</f>
        <v>1</v>
      </c>
      <c r="H1893" s="4" t="b">
        <f>IFERROR(__xludf.DUMMYFUNCTION("""COMPUTED_VALUE"""),TRUE)</f>
        <v>1</v>
      </c>
      <c r="I1893" s="4">
        <f>IFERROR(__xludf.DUMMYFUNCTION("""COMPUTED_VALUE"""),0.2549440625)</f>
        <v>0.2549440625</v>
      </c>
      <c r="J1893" s="4">
        <f>IFERROR(__xludf.DUMMYFUNCTION("""COMPUTED_VALUE"""),45949.271478650735)</f>
        <v>45949.27148</v>
      </c>
      <c r="K1893" s="4" t="str">
        <f>IFERROR(__xludf.DUMMYFUNCTION("""COMPUTED_VALUE"""),"")</f>
        <v/>
      </c>
      <c r="L1893" s="4">
        <f>IFERROR(__xludf.DUMMYFUNCTION("""COMPUTED_VALUE"""),45949.28513003837)</f>
        <v>45949.28513</v>
      </c>
      <c r="M1893" s="1" t="str">
        <f>IFERROR(__xludf.DUMMYFUNCTION("""COMPUTED_VALUE"""),"RFID")</f>
        <v>RFID</v>
      </c>
      <c r="N1893" s="5">
        <f>IFERROR(__xludf.DUMMYFUNCTION("""COMPUTED_VALUE"""),0.006613833333333333)</f>
        <v>0.006613833333</v>
      </c>
      <c r="O1893" s="5" t="str">
        <f>IFERROR(__xludf.DUMMYFUNCTION("""COMPUTED_VALUE"""),"")</f>
        <v/>
      </c>
      <c r="P1893" s="5" t="str">
        <f>IFERROR(__xludf.DUMMYFUNCTION("""COMPUTED_VALUE"""),"")</f>
        <v/>
      </c>
      <c r="Q1893" s="5">
        <f>IFERROR(__xludf.DUMMYFUNCTION("""COMPUTED_VALUE"""),0.006037194444444445)</f>
        <v>0.006037194444</v>
      </c>
      <c r="R1893" s="4">
        <f>IFERROR(__xludf.DUMMYFUNCTION("""COMPUTED_VALUE"""),45949.03018597587)</f>
        <v>45949.03019</v>
      </c>
      <c r="S1893" s="1" t="b">
        <f>IFERROR(__xludf.DUMMYFUNCTION("""COMPUTED_VALUE"""),TRUE)</f>
        <v>1</v>
      </c>
      <c r="T1893" s="1" t="b">
        <f>IFERROR(__xludf.DUMMYFUNCTION("""COMPUTED_VALUE"""),FALSE)</f>
        <v>0</v>
      </c>
      <c r="U1893" s="1" t="str">
        <f>IFERROR(__xludf.DUMMYFUNCTION("""COMPUTED_VALUE"""),"VALID")</f>
        <v>VALID</v>
      </c>
      <c r="V1893" s="1">
        <f>IFERROR(__xludf.DUMMYFUNCTION("""COMPUTED_VALUE"""),384.0)</f>
        <v>384</v>
      </c>
      <c r="W1893" s="1">
        <f>IFERROR(__xludf.DUMMYFUNCTION("""COMPUTED_VALUE"""),579.0)</f>
        <v>579</v>
      </c>
      <c r="X1893" s="1">
        <f>IFERROR(__xludf.DUMMYFUNCTION("""COMPUTED_VALUE"""),493.0)</f>
        <v>493</v>
      </c>
      <c r="Y1893" s="2"/>
      <c r="Z1893" s="2"/>
    </row>
    <row r="1894">
      <c r="A1894" s="1">
        <f>IFERROR(__xludf.DUMMYFUNCTION("""COMPUTED_VALUE"""),1893.0)</f>
        <v>1893</v>
      </c>
      <c r="B1894" s="1">
        <f>IFERROR(__xludf.DUMMYFUNCTION("""COMPUTED_VALUE"""),5392.0)</f>
        <v>5392</v>
      </c>
      <c r="C1894" s="2" t="str">
        <f>IFERROR(__xludf.DUMMYFUNCTION("""COMPUTED_VALUE"""),"Ade")</f>
        <v>Ade</v>
      </c>
      <c r="D1894" s="2" t="str">
        <f>IFERROR(__xludf.DUMMYFUNCTION("""COMPUTED_VALUE"""),"5KM OVERALL M")</f>
        <v>5KM OVERALL M</v>
      </c>
      <c r="E1894" s="1">
        <f>IFERROR(__xludf.DUMMYFUNCTION("""COMPUTED_VALUE"""),2.0)</f>
        <v>2</v>
      </c>
      <c r="F1894" s="1" t="str">
        <f>IFERROR(__xludf.DUMMYFUNCTION("""COMPUTED_VALUE"""),"Male")</f>
        <v>Male</v>
      </c>
      <c r="G1894" s="4" t="str">
        <f>IFERROR(__xludf.DUMMYFUNCTION("""COMPUTED_VALUE"""),"")</f>
        <v/>
      </c>
      <c r="H1894" s="4" t="b">
        <f>IFERROR(__xludf.DUMMYFUNCTION("""COMPUTED_VALUE"""),FALSE)</f>
        <v>0</v>
      </c>
      <c r="I1894" s="4">
        <f>IFERROR(__xludf.DUMMYFUNCTION("""COMPUTED_VALUE"""),0.2549440625)</f>
        <v>0.2549440625</v>
      </c>
      <c r="J1894" s="4" t="str">
        <f>IFERROR(__xludf.DUMMYFUNCTION("""COMPUTED_VALUE"""),"")</f>
        <v/>
      </c>
      <c r="K1894" s="4" t="str">
        <f>IFERROR(__xludf.DUMMYFUNCTION("""COMPUTED_VALUE"""),"")</f>
        <v/>
      </c>
      <c r="L1894" s="4" t="str">
        <f>IFERROR(__xludf.DUMMYFUNCTION("""COMPUTED_VALUE"""),"")</f>
        <v/>
      </c>
      <c r="M1894" s="1" t="str">
        <f>IFERROR(__xludf.DUMMYFUNCTION("""COMPUTED_VALUE"""),"RFID")</f>
        <v>RFID</v>
      </c>
      <c r="N1894" s="5" t="str">
        <f>IFERROR(__xludf.DUMMYFUNCTION("""COMPUTED_VALUE"""),"")</f>
        <v/>
      </c>
      <c r="O1894" s="5" t="str">
        <f>IFERROR(__xludf.DUMMYFUNCTION("""COMPUTED_VALUE"""),"")</f>
        <v/>
      </c>
      <c r="P1894" s="5" t="str">
        <f>IFERROR(__xludf.DUMMYFUNCTION("""COMPUTED_VALUE"""),"")</f>
        <v/>
      </c>
      <c r="Q1894" s="5" t="str">
        <f>IFERROR(__xludf.DUMMYFUNCTION("""COMPUTED_VALUE"""),"")</f>
        <v/>
      </c>
      <c r="R1894" s="4" t="str">
        <f>IFERROR(__xludf.DUMMYFUNCTION("""COMPUTED_VALUE"""),"")</f>
        <v/>
      </c>
      <c r="S1894" s="1" t="b">
        <f>IFERROR(__xludf.DUMMYFUNCTION("""COMPUTED_VALUE"""),FALSE)</f>
        <v>0</v>
      </c>
      <c r="T1894" s="1" t="b">
        <f>IFERROR(__xludf.DUMMYFUNCTION("""COMPUTED_VALUE"""),FALSE)</f>
        <v>0</v>
      </c>
      <c r="U1894" s="1" t="str">
        <f>IFERROR(__xludf.DUMMYFUNCTION("""COMPUTED_VALUE"""),"DSQ")</f>
        <v>DSQ</v>
      </c>
      <c r="V1894" s="1" t="str">
        <f>IFERROR(__xludf.DUMMYFUNCTION("""COMPUTED_VALUE"""),"DSQ")</f>
        <v>DSQ</v>
      </c>
      <c r="W1894" s="1" t="str">
        <f>IFERROR(__xludf.DUMMYFUNCTION("""COMPUTED_VALUE"""),"DSQ")</f>
        <v>DSQ</v>
      </c>
      <c r="X1894" s="1" t="str">
        <f>IFERROR(__xludf.DUMMYFUNCTION("""COMPUTED_VALUE"""),"DSQ")</f>
        <v>DSQ</v>
      </c>
      <c r="Y1894" s="2"/>
      <c r="Z1894" s="2" t="str">
        <f>IFERROR(__xludf.DUMMYFUNCTION("""COMPUTED_VALUE"""),"")</f>
        <v/>
      </c>
    </row>
    <row r="1895">
      <c r="A1895" s="1">
        <f>IFERROR(__xludf.DUMMYFUNCTION("""COMPUTED_VALUE"""),1894.0)</f>
        <v>1894</v>
      </c>
      <c r="B1895" s="1">
        <f>IFERROR(__xludf.DUMMYFUNCTION("""COMPUTED_VALUE"""),5393.0)</f>
        <v>5393</v>
      </c>
      <c r="C1895" s="2" t="str">
        <f>IFERROR(__xludf.DUMMYFUNCTION("""COMPUTED_VALUE"""),"Putera")</f>
        <v>Putera</v>
      </c>
      <c r="D1895" s="2" t="str">
        <f>IFERROR(__xludf.DUMMYFUNCTION("""COMPUTED_VALUE"""),"5KM OVERALL M")</f>
        <v>5KM OVERALL M</v>
      </c>
      <c r="E1895" s="1">
        <f>IFERROR(__xludf.DUMMYFUNCTION("""COMPUTED_VALUE"""),2.0)</f>
        <v>2</v>
      </c>
      <c r="F1895" s="1" t="str">
        <f>IFERROR(__xludf.DUMMYFUNCTION("""COMPUTED_VALUE"""),"Male")</f>
        <v>Male</v>
      </c>
      <c r="G1895" s="4" t="b">
        <f>IFERROR(__xludf.DUMMYFUNCTION("""COMPUTED_VALUE"""),TRUE)</f>
        <v>1</v>
      </c>
      <c r="H1895" s="4" t="b">
        <f>IFERROR(__xludf.DUMMYFUNCTION("""COMPUTED_VALUE"""),FALSE)</f>
        <v>0</v>
      </c>
      <c r="I1895" s="4">
        <f>IFERROR(__xludf.DUMMYFUNCTION("""COMPUTED_VALUE"""),0.2549440625)</f>
        <v>0.2549440625</v>
      </c>
      <c r="J1895" s="4">
        <f>IFERROR(__xludf.DUMMYFUNCTION("""COMPUTED_VALUE"""),45949.27497114765)</f>
        <v>45949.27497</v>
      </c>
      <c r="K1895" s="4" t="str">
        <f>IFERROR(__xludf.DUMMYFUNCTION("""COMPUTED_VALUE"""),"")</f>
        <v/>
      </c>
      <c r="L1895" s="4">
        <f>IFERROR(__xludf.DUMMYFUNCTION("""COMPUTED_VALUE"""),45949.28995294902)</f>
        <v>45949.28995</v>
      </c>
      <c r="M1895" s="1" t="str">
        <f>IFERROR(__xludf.DUMMYFUNCTION("""COMPUTED_VALUE"""),"RFID")</f>
        <v>RFID</v>
      </c>
      <c r="N1895" s="5">
        <f>IFERROR(__xludf.DUMMYFUNCTION("""COMPUTED_VALUE"""),0.008010833333333332)</f>
        <v>0.008010833333</v>
      </c>
      <c r="O1895" s="5" t="str">
        <f>IFERROR(__xludf.DUMMYFUNCTION("""COMPUTED_VALUE"""),"")</f>
        <v/>
      </c>
      <c r="P1895" s="5" t="str">
        <f>IFERROR(__xludf.DUMMYFUNCTION("""COMPUTED_VALUE"""),"")</f>
        <v/>
      </c>
      <c r="Q1895" s="5">
        <f>IFERROR(__xludf.DUMMYFUNCTION("""COMPUTED_VALUE"""),0.007001777777777778)</f>
        <v>0.007001777778</v>
      </c>
      <c r="R1895" s="4">
        <f>IFERROR(__xludf.DUMMYFUNCTION("""COMPUTED_VALUE"""),45949.035008886516)</f>
        <v>45949.03501</v>
      </c>
      <c r="S1895" s="1" t="b">
        <f>IFERROR(__xludf.DUMMYFUNCTION("""COMPUTED_VALUE"""),TRUE)</f>
        <v>1</v>
      </c>
      <c r="T1895" s="1" t="b">
        <f>IFERROR(__xludf.DUMMYFUNCTION("""COMPUTED_VALUE"""),FALSE)</f>
        <v>0</v>
      </c>
      <c r="U1895" s="1" t="str">
        <f>IFERROR(__xludf.DUMMYFUNCTION("""COMPUTED_VALUE"""),"VALID")</f>
        <v>VALID</v>
      </c>
      <c r="V1895" s="1">
        <f>IFERROR(__xludf.DUMMYFUNCTION("""COMPUTED_VALUE"""),559.0)</f>
        <v>559</v>
      </c>
      <c r="W1895" s="1">
        <f>IFERROR(__xludf.DUMMYFUNCTION("""COMPUTED_VALUE"""),887.0)</f>
        <v>887</v>
      </c>
      <c r="X1895" s="1">
        <f>IFERROR(__xludf.DUMMYFUNCTION("""COMPUTED_VALUE"""),723.0)</f>
        <v>723</v>
      </c>
      <c r="Y1895" s="2"/>
      <c r="Z1895" s="2"/>
    </row>
    <row r="1896">
      <c r="A1896" s="1">
        <f>IFERROR(__xludf.DUMMYFUNCTION("""COMPUTED_VALUE"""),1895.0)</f>
        <v>1895</v>
      </c>
      <c r="B1896" s="1">
        <f>IFERROR(__xludf.DUMMYFUNCTION("""COMPUTED_VALUE"""),5394.0)</f>
        <v>5394</v>
      </c>
      <c r="C1896" s="2" t="str">
        <f>IFERROR(__xludf.DUMMYFUNCTION("""COMPUTED_VALUE"""),"Dualapannn")</f>
        <v>Dualapannn</v>
      </c>
      <c r="D1896" s="2" t="str">
        <f>IFERROR(__xludf.DUMMYFUNCTION("""COMPUTED_VALUE"""),"5KM OVERALL M")</f>
        <v>5KM OVERALL M</v>
      </c>
      <c r="E1896" s="1">
        <f>IFERROR(__xludf.DUMMYFUNCTION("""COMPUTED_VALUE"""),2.0)</f>
        <v>2</v>
      </c>
      <c r="F1896" s="1" t="str">
        <f>IFERROR(__xludf.DUMMYFUNCTION("""COMPUTED_VALUE"""),"Male")</f>
        <v>Male</v>
      </c>
      <c r="G1896" s="4" t="b">
        <f>IFERROR(__xludf.DUMMYFUNCTION("""COMPUTED_VALUE"""),TRUE)</f>
        <v>1</v>
      </c>
      <c r="H1896" s="4" t="b">
        <f>IFERROR(__xludf.DUMMYFUNCTION("""COMPUTED_VALUE"""),FALSE)</f>
        <v>0</v>
      </c>
      <c r="I1896" s="4">
        <f>IFERROR(__xludf.DUMMYFUNCTION("""COMPUTED_VALUE"""),0.2549440625)</f>
        <v>0.2549440625</v>
      </c>
      <c r="J1896" s="4">
        <f>IFERROR(__xludf.DUMMYFUNCTION("""COMPUTED_VALUE"""),45949.27290515453)</f>
        <v>45949.27291</v>
      </c>
      <c r="K1896" s="4" t="str">
        <f>IFERROR(__xludf.DUMMYFUNCTION("""COMPUTED_VALUE"""),"")</f>
        <v/>
      </c>
      <c r="L1896" s="4">
        <f>IFERROR(__xludf.DUMMYFUNCTION("""COMPUTED_VALUE"""),45949.28650156635)</f>
        <v>45949.2865</v>
      </c>
      <c r="M1896" s="1" t="str">
        <f>IFERROR(__xludf.DUMMYFUNCTION("""COMPUTED_VALUE"""),"RFID")</f>
        <v>RFID</v>
      </c>
      <c r="N1896" s="5">
        <f>IFERROR(__xludf.DUMMYFUNCTION("""COMPUTED_VALUE"""),0.007184435185185185)</f>
        <v>0.007184435185</v>
      </c>
      <c r="O1896" s="5" t="str">
        <f>IFERROR(__xludf.DUMMYFUNCTION("""COMPUTED_VALUE"""),"")</f>
        <v/>
      </c>
      <c r="P1896" s="5" t="str">
        <f>IFERROR(__xludf.DUMMYFUNCTION("""COMPUTED_VALUE"""),"")</f>
        <v/>
      </c>
      <c r="Q1896" s="5">
        <f>IFERROR(__xludf.DUMMYFUNCTION("""COMPUTED_VALUE"""),0.0063115)</f>
        <v>0.0063115</v>
      </c>
      <c r="R1896" s="4">
        <f>IFERROR(__xludf.DUMMYFUNCTION("""COMPUTED_VALUE"""),45949.03155750385)</f>
        <v>45949.03156</v>
      </c>
      <c r="S1896" s="1" t="b">
        <f>IFERROR(__xludf.DUMMYFUNCTION("""COMPUTED_VALUE"""),TRUE)</f>
        <v>1</v>
      </c>
      <c r="T1896" s="1" t="b">
        <f>IFERROR(__xludf.DUMMYFUNCTION("""COMPUTED_VALUE"""),FALSE)</f>
        <v>0</v>
      </c>
      <c r="U1896" s="1" t="str">
        <f>IFERROR(__xludf.DUMMYFUNCTION("""COMPUTED_VALUE"""),"VALID")</f>
        <v>VALID</v>
      </c>
      <c r="V1896" s="1">
        <f>IFERROR(__xludf.DUMMYFUNCTION("""COMPUTED_VALUE"""),433.0)</f>
        <v>433</v>
      </c>
      <c r="W1896" s="1">
        <f>IFERROR(__xludf.DUMMYFUNCTION("""COMPUTED_VALUE"""),668.0)</f>
        <v>668</v>
      </c>
      <c r="X1896" s="1">
        <f>IFERROR(__xludf.DUMMYFUNCTION("""COMPUTED_VALUE"""),559.0)</f>
        <v>559</v>
      </c>
      <c r="Y1896" s="2"/>
      <c r="Z1896" s="2"/>
    </row>
    <row r="1897">
      <c r="A1897" s="1">
        <f>IFERROR(__xludf.DUMMYFUNCTION("""COMPUTED_VALUE"""),1896.0)</f>
        <v>1896</v>
      </c>
      <c r="B1897" s="1">
        <f>IFERROR(__xludf.DUMMYFUNCTION("""COMPUTED_VALUE"""),5395.0)</f>
        <v>5395</v>
      </c>
      <c r="C1897" s="2" t="str">
        <f>IFERROR(__xludf.DUMMYFUNCTION("""COMPUTED_VALUE"""),"Akma")</f>
        <v>Akma</v>
      </c>
      <c r="D1897" s="2" t="str">
        <f>IFERROR(__xludf.DUMMYFUNCTION("""COMPUTED_VALUE"""),"5KM OVERALL M")</f>
        <v>5KM OVERALL M</v>
      </c>
      <c r="E1897" s="1">
        <f>IFERROR(__xludf.DUMMYFUNCTION("""COMPUTED_VALUE"""),2.0)</f>
        <v>2</v>
      </c>
      <c r="F1897" s="1" t="str">
        <f>IFERROR(__xludf.DUMMYFUNCTION("""COMPUTED_VALUE"""),"Male")</f>
        <v>Male</v>
      </c>
      <c r="G1897" s="4" t="b">
        <f>IFERROR(__xludf.DUMMYFUNCTION("""COMPUTED_VALUE"""),TRUE)</f>
        <v>1</v>
      </c>
      <c r="H1897" s="4" t="b">
        <f>IFERROR(__xludf.DUMMYFUNCTION("""COMPUTED_VALUE"""),TRUE)</f>
        <v>1</v>
      </c>
      <c r="I1897" s="4">
        <f>IFERROR(__xludf.DUMMYFUNCTION("""COMPUTED_VALUE"""),0.2549440625)</f>
        <v>0.2549440625</v>
      </c>
      <c r="J1897" s="4">
        <f>IFERROR(__xludf.DUMMYFUNCTION("""COMPUTED_VALUE"""),45949.271537099485)</f>
        <v>45949.27154</v>
      </c>
      <c r="K1897" s="4" t="str">
        <f>IFERROR(__xludf.DUMMYFUNCTION("""COMPUTED_VALUE"""),"")</f>
        <v/>
      </c>
      <c r="L1897" s="4">
        <f>IFERROR(__xludf.DUMMYFUNCTION("""COMPUTED_VALUE"""),45949.280866153254)</f>
        <v>45949.28087</v>
      </c>
      <c r="M1897" s="1" t="str">
        <f>IFERROR(__xludf.DUMMYFUNCTION("""COMPUTED_VALUE"""),"RFID")</f>
        <v>RFID</v>
      </c>
      <c r="N1897" s="5">
        <f>IFERROR(__xludf.DUMMYFUNCTION("""COMPUTED_VALUE"""),0.006637212962962963)</f>
        <v>0.006637212963</v>
      </c>
      <c r="O1897" s="5" t="str">
        <f>IFERROR(__xludf.DUMMYFUNCTION("""COMPUTED_VALUE"""),"")</f>
        <v/>
      </c>
      <c r="P1897" s="5" t="str">
        <f>IFERROR(__xludf.DUMMYFUNCTION("""COMPUTED_VALUE"""),"")</f>
        <v/>
      </c>
      <c r="Q1897" s="5">
        <f>IFERROR(__xludf.DUMMYFUNCTION("""COMPUTED_VALUE"""),0.005184418981481481)</f>
        <v>0.005184418981</v>
      </c>
      <c r="R1897" s="4">
        <f>IFERROR(__xludf.DUMMYFUNCTION("""COMPUTED_VALUE"""),45949.025922090754)</f>
        <v>45949.02592</v>
      </c>
      <c r="S1897" s="1" t="b">
        <f>IFERROR(__xludf.DUMMYFUNCTION("""COMPUTED_VALUE"""),TRUE)</f>
        <v>1</v>
      </c>
      <c r="T1897" s="1" t="b">
        <f>IFERROR(__xludf.DUMMYFUNCTION("""COMPUTED_VALUE"""),FALSE)</f>
        <v>0</v>
      </c>
      <c r="U1897" s="1" t="str">
        <f>IFERROR(__xludf.DUMMYFUNCTION("""COMPUTED_VALUE"""),"VALID")</f>
        <v>VALID</v>
      </c>
      <c r="V1897" s="1">
        <f>IFERROR(__xludf.DUMMYFUNCTION("""COMPUTED_VALUE"""),216.0)</f>
        <v>216</v>
      </c>
      <c r="W1897" s="1">
        <f>IFERROR(__xludf.DUMMYFUNCTION("""COMPUTED_VALUE"""),333.0)</f>
        <v>333</v>
      </c>
      <c r="X1897" s="1">
        <f>IFERROR(__xludf.DUMMYFUNCTION("""COMPUTED_VALUE"""),292.0)</f>
        <v>292</v>
      </c>
      <c r="Y1897" s="2"/>
      <c r="Z1897" s="2"/>
    </row>
    <row r="1898">
      <c r="A1898" s="1">
        <f>IFERROR(__xludf.DUMMYFUNCTION("""COMPUTED_VALUE"""),1897.0)</f>
        <v>1897</v>
      </c>
      <c r="B1898" s="1">
        <f>IFERROR(__xludf.DUMMYFUNCTION("""COMPUTED_VALUE"""),5396.0)</f>
        <v>5396</v>
      </c>
      <c r="C1898" s="2" t="str">
        <f>IFERROR(__xludf.DUMMYFUNCTION("""COMPUTED_VALUE"""),"ALDHO")</f>
        <v>ALDHO</v>
      </c>
      <c r="D1898" s="2" t="str">
        <f>IFERROR(__xludf.DUMMYFUNCTION("""COMPUTED_VALUE"""),"5KM OVERALL M")</f>
        <v>5KM OVERALL M</v>
      </c>
      <c r="E1898" s="1">
        <f>IFERROR(__xludf.DUMMYFUNCTION("""COMPUTED_VALUE"""),2.0)</f>
        <v>2</v>
      </c>
      <c r="F1898" s="1" t="str">
        <f>IFERROR(__xludf.DUMMYFUNCTION("""COMPUTED_VALUE"""),"Male")</f>
        <v>Male</v>
      </c>
      <c r="G1898" s="4" t="b">
        <f>IFERROR(__xludf.DUMMYFUNCTION("""COMPUTED_VALUE"""),TRUE)</f>
        <v>1</v>
      </c>
      <c r="H1898" s="4" t="b">
        <f>IFERROR(__xludf.DUMMYFUNCTION("""COMPUTED_VALUE"""),FALSE)</f>
        <v>0</v>
      </c>
      <c r="I1898" s="4">
        <f>IFERROR(__xludf.DUMMYFUNCTION("""COMPUTED_VALUE"""),0.2549440625)</f>
        <v>0.2549440625</v>
      </c>
      <c r="J1898" s="4">
        <f>IFERROR(__xludf.DUMMYFUNCTION("""COMPUTED_VALUE"""),45949.272724611044)</f>
        <v>45949.27272</v>
      </c>
      <c r="K1898" s="4" t="str">
        <f>IFERROR(__xludf.DUMMYFUNCTION("""COMPUTED_VALUE"""),"")</f>
        <v/>
      </c>
      <c r="L1898" s="4">
        <f>IFERROR(__xludf.DUMMYFUNCTION("""COMPUTED_VALUE"""),45949.287768929375)</f>
        <v>45949.28777</v>
      </c>
      <c r="M1898" s="1" t="str">
        <f>IFERROR(__xludf.DUMMYFUNCTION("""COMPUTED_VALUE"""),"RFID")</f>
        <v>RFID</v>
      </c>
      <c r="N1898" s="5">
        <f>IFERROR(__xludf.DUMMYFUNCTION("""COMPUTED_VALUE"""),0.007112217592592593)</f>
        <v>0.007112217593</v>
      </c>
      <c r="O1898" s="5" t="str">
        <f>IFERROR(__xludf.DUMMYFUNCTION("""COMPUTED_VALUE"""),"")</f>
        <v/>
      </c>
      <c r="P1898" s="5" t="str">
        <f>IFERROR(__xludf.DUMMYFUNCTION("""COMPUTED_VALUE"""),"")</f>
        <v/>
      </c>
      <c r="Q1898" s="5">
        <f>IFERROR(__xludf.DUMMYFUNCTION("""COMPUTED_VALUE"""),0.006564972222222222)</f>
        <v>0.006564972222</v>
      </c>
      <c r="R1898" s="4">
        <f>IFERROR(__xludf.DUMMYFUNCTION("""COMPUTED_VALUE"""),45949.032824866874)</f>
        <v>45949.03282</v>
      </c>
      <c r="S1898" s="1" t="b">
        <f>IFERROR(__xludf.DUMMYFUNCTION("""COMPUTED_VALUE"""),TRUE)</f>
        <v>1</v>
      </c>
      <c r="T1898" s="1" t="b">
        <f>IFERROR(__xludf.DUMMYFUNCTION("""COMPUTED_VALUE"""),FALSE)</f>
        <v>0</v>
      </c>
      <c r="U1898" s="1" t="str">
        <f>IFERROR(__xludf.DUMMYFUNCTION("""COMPUTED_VALUE"""),"VALID")</f>
        <v>VALID</v>
      </c>
      <c r="V1898" s="1">
        <f>IFERROR(__xludf.DUMMYFUNCTION("""COMPUTED_VALUE"""),487.0)</f>
        <v>487</v>
      </c>
      <c r="W1898" s="1">
        <f>IFERROR(__xludf.DUMMYFUNCTION("""COMPUTED_VALUE"""),760.0)</f>
        <v>760</v>
      </c>
      <c r="X1898" s="1">
        <f>IFERROR(__xludf.DUMMYFUNCTION("""COMPUTED_VALUE"""),630.0)</f>
        <v>630</v>
      </c>
      <c r="Y1898" s="2"/>
      <c r="Z1898" s="2"/>
    </row>
    <row r="1899">
      <c r="A1899" s="1">
        <f>IFERROR(__xludf.DUMMYFUNCTION("""COMPUTED_VALUE"""),1898.0)</f>
        <v>1898</v>
      </c>
      <c r="B1899" s="1">
        <f>IFERROR(__xludf.DUMMYFUNCTION("""COMPUTED_VALUE"""),5398.0)</f>
        <v>5398</v>
      </c>
      <c r="C1899" s="2" t="str">
        <f>IFERROR(__xludf.DUMMYFUNCTION("""COMPUTED_VALUE"""),"Fauzan")</f>
        <v>Fauzan</v>
      </c>
      <c r="D1899" s="2" t="str">
        <f>IFERROR(__xludf.DUMMYFUNCTION("""COMPUTED_VALUE"""),"5KM OVERALL M")</f>
        <v>5KM OVERALL M</v>
      </c>
      <c r="E1899" s="1">
        <f>IFERROR(__xludf.DUMMYFUNCTION("""COMPUTED_VALUE"""),2.0)</f>
        <v>2</v>
      </c>
      <c r="F1899" s="1" t="str">
        <f>IFERROR(__xludf.DUMMYFUNCTION("""COMPUTED_VALUE"""),"Male")</f>
        <v>Male</v>
      </c>
      <c r="G1899" s="4" t="b">
        <f>IFERROR(__xludf.DUMMYFUNCTION("""COMPUTED_VALUE"""),TRUE)</f>
        <v>1</v>
      </c>
      <c r="H1899" s="4" t="b">
        <f>IFERROR(__xludf.DUMMYFUNCTION("""COMPUTED_VALUE"""),TRUE)</f>
        <v>1</v>
      </c>
      <c r="I1899" s="4">
        <f>IFERROR(__xludf.DUMMYFUNCTION("""COMPUTED_VALUE"""),0.2549440625)</f>
        <v>0.2549440625</v>
      </c>
      <c r="J1899" s="4">
        <f>IFERROR(__xludf.DUMMYFUNCTION("""COMPUTED_VALUE"""),45949.26314474477)</f>
        <v>45949.26314</v>
      </c>
      <c r="K1899" s="4" t="str">
        <f>IFERROR(__xludf.DUMMYFUNCTION("""COMPUTED_VALUE"""),"")</f>
        <v/>
      </c>
      <c r="L1899" s="4">
        <f>IFERROR(__xludf.DUMMYFUNCTION("""COMPUTED_VALUE"""),45949.269827950644)</f>
        <v>45949.26983</v>
      </c>
      <c r="M1899" s="1" t="str">
        <f>IFERROR(__xludf.DUMMYFUNCTION("""COMPUTED_VALUE"""),"RFID")</f>
        <v>RFID</v>
      </c>
      <c r="N1899" s="5">
        <f>IFERROR(__xludf.DUMMYFUNCTION("""COMPUTED_VALUE"""),0.003280273148148148)</f>
        <v>0.003280273148</v>
      </c>
      <c r="O1899" s="5" t="str">
        <f>IFERROR(__xludf.DUMMYFUNCTION("""COMPUTED_VALUE"""),"")</f>
        <v/>
      </c>
      <c r="P1899" s="5" t="str">
        <f>IFERROR(__xludf.DUMMYFUNCTION("""COMPUTED_VALUE"""),"")</f>
        <v/>
      </c>
      <c r="Q1899" s="5">
        <f>IFERROR(__xludf.DUMMYFUNCTION("""COMPUTED_VALUE"""),0.002976777777777778)</f>
        <v>0.002976777778</v>
      </c>
      <c r="R1899" s="4">
        <f>IFERROR(__xludf.DUMMYFUNCTION("""COMPUTED_VALUE"""),45949.01488388814)</f>
        <v>45949.01488</v>
      </c>
      <c r="S1899" s="1" t="b">
        <f>IFERROR(__xludf.DUMMYFUNCTION("""COMPUTED_VALUE"""),TRUE)</f>
        <v>1</v>
      </c>
      <c r="T1899" s="1" t="b">
        <f>IFERROR(__xludf.DUMMYFUNCTION("""COMPUTED_VALUE"""),FALSE)</f>
        <v>0</v>
      </c>
      <c r="U1899" s="1" t="str">
        <f>IFERROR(__xludf.DUMMYFUNCTION("""COMPUTED_VALUE"""),"VALID")</f>
        <v>VALID</v>
      </c>
      <c r="V1899" s="1">
        <f>IFERROR(__xludf.DUMMYFUNCTION("""COMPUTED_VALUE"""),11.0)</f>
        <v>11</v>
      </c>
      <c r="W1899" s="1">
        <f>IFERROR(__xludf.DUMMYFUNCTION("""COMPUTED_VALUE"""),13.0)</f>
        <v>13</v>
      </c>
      <c r="X1899" s="1">
        <f>IFERROR(__xludf.DUMMYFUNCTION("""COMPUTED_VALUE"""),13.0)</f>
        <v>13</v>
      </c>
      <c r="Y1899" s="2"/>
      <c r="Z1899" s="2"/>
    </row>
    <row r="1900">
      <c r="A1900" s="1">
        <f>IFERROR(__xludf.DUMMYFUNCTION("""COMPUTED_VALUE"""),1899.0)</f>
        <v>1899</v>
      </c>
      <c r="B1900" s="1">
        <f>IFERROR(__xludf.DUMMYFUNCTION("""COMPUTED_VALUE"""),5400.0)</f>
        <v>5400</v>
      </c>
      <c r="C1900" s="2" t="str">
        <f>IFERROR(__xludf.DUMMYFUNCTION("""COMPUTED_VALUE"""),"Beny")</f>
        <v>Beny</v>
      </c>
      <c r="D1900" s="2" t="str">
        <f>IFERROR(__xludf.DUMMYFUNCTION("""COMPUTED_VALUE"""),"5KM OVERALL M")</f>
        <v>5KM OVERALL M</v>
      </c>
      <c r="E1900" s="1">
        <f>IFERROR(__xludf.DUMMYFUNCTION("""COMPUTED_VALUE"""),2.0)</f>
        <v>2</v>
      </c>
      <c r="F1900" s="1" t="str">
        <f>IFERROR(__xludf.DUMMYFUNCTION("""COMPUTED_VALUE"""),"Male")</f>
        <v>Male</v>
      </c>
      <c r="G1900" s="4" t="b">
        <f>IFERROR(__xludf.DUMMYFUNCTION("""COMPUTED_VALUE"""),TRUE)</f>
        <v>1</v>
      </c>
      <c r="H1900" s="4" t="b">
        <f>IFERROR(__xludf.DUMMYFUNCTION("""COMPUTED_VALUE"""),TRUE)</f>
        <v>1</v>
      </c>
      <c r="I1900" s="4">
        <f>IFERROR(__xludf.DUMMYFUNCTION("""COMPUTED_VALUE"""),0.2549440625)</f>
        <v>0.2549440625</v>
      </c>
      <c r="J1900" s="4">
        <f>IFERROR(__xludf.DUMMYFUNCTION("""COMPUTED_VALUE"""),45949.27897119026)</f>
        <v>45949.27897</v>
      </c>
      <c r="K1900" s="4" t="str">
        <f>IFERROR(__xludf.DUMMYFUNCTION("""COMPUTED_VALUE"""),"")</f>
        <v/>
      </c>
      <c r="L1900" s="4">
        <f>IFERROR(__xludf.DUMMYFUNCTION("""COMPUTED_VALUE"""),45949.29641817291)</f>
        <v>45949.29642</v>
      </c>
      <c r="M1900" s="1" t="str">
        <f>IFERROR(__xludf.DUMMYFUNCTION("""COMPUTED_VALUE"""),"RFID")</f>
        <v>RFID</v>
      </c>
      <c r="N1900" s="5">
        <f>IFERROR(__xludf.DUMMYFUNCTION("""COMPUTED_VALUE"""),0.009610851851851851)</f>
        <v>0.009610851852</v>
      </c>
      <c r="O1900" s="5" t="str">
        <f>IFERROR(__xludf.DUMMYFUNCTION("""COMPUTED_VALUE"""),"")</f>
        <v/>
      </c>
      <c r="P1900" s="5" t="str">
        <f>IFERROR(__xludf.DUMMYFUNCTION("""COMPUTED_VALUE"""),"")</f>
        <v/>
      </c>
      <c r="Q1900" s="5">
        <f>IFERROR(__xludf.DUMMYFUNCTION("""COMPUTED_VALUE"""),0.008294821759259259)</f>
        <v>0.008294821759</v>
      </c>
      <c r="R1900" s="4">
        <f>IFERROR(__xludf.DUMMYFUNCTION("""COMPUTED_VALUE"""),45949.04147411041)</f>
        <v>45949.04147</v>
      </c>
      <c r="S1900" s="1" t="b">
        <f>IFERROR(__xludf.DUMMYFUNCTION("""COMPUTED_VALUE"""),TRUE)</f>
        <v>1</v>
      </c>
      <c r="T1900" s="1" t="b">
        <f>IFERROR(__xludf.DUMMYFUNCTION("""COMPUTED_VALUE"""),FALSE)</f>
        <v>0</v>
      </c>
      <c r="U1900" s="1" t="str">
        <f>IFERROR(__xludf.DUMMYFUNCTION("""COMPUTED_VALUE"""),"VALID")</f>
        <v>VALID</v>
      </c>
      <c r="V1900" s="1">
        <f>IFERROR(__xludf.DUMMYFUNCTION("""COMPUTED_VALUE"""),746.0)</f>
        <v>746</v>
      </c>
      <c r="W1900" s="1">
        <f>IFERROR(__xludf.DUMMYFUNCTION("""COMPUTED_VALUE"""),1311.0)</f>
        <v>1311</v>
      </c>
      <c r="X1900" s="1">
        <f>IFERROR(__xludf.DUMMYFUNCTION("""COMPUTED_VALUE"""),1041.0)</f>
        <v>1041</v>
      </c>
      <c r="Y1900" s="2"/>
      <c r="Z1900" s="2"/>
    </row>
    <row r="1901">
      <c r="A1901" s="1">
        <f>IFERROR(__xludf.DUMMYFUNCTION("""COMPUTED_VALUE"""),1900.0)</f>
        <v>1900</v>
      </c>
      <c r="B1901" s="1">
        <f>IFERROR(__xludf.DUMMYFUNCTION("""COMPUTED_VALUE"""),5401.0)</f>
        <v>5401</v>
      </c>
      <c r="C1901" s="2" t="str">
        <f>IFERROR(__xludf.DUMMYFUNCTION("""COMPUTED_VALUE"""),"Dewana")</f>
        <v>Dewana</v>
      </c>
      <c r="D1901" s="2" t="str">
        <f>IFERROR(__xludf.DUMMYFUNCTION("""COMPUTED_VALUE"""),"5KM OVERALL M")</f>
        <v>5KM OVERALL M</v>
      </c>
      <c r="E1901" s="1">
        <f>IFERROR(__xludf.DUMMYFUNCTION("""COMPUTED_VALUE"""),2.0)</f>
        <v>2</v>
      </c>
      <c r="F1901" s="1" t="str">
        <f>IFERROR(__xludf.DUMMYFUNCTION("""COMPUTED_VALUE"""),"Male")</f>
        <v>Male</v>
      </c>
      <c r="G1901" s="4" t="b">
        <f>IFERROR(__xludf.DUMMYFUNCTION("""COMPUTED_VALUE"""),TRUE)</f>
        <v>1</v>
      </c>
      <c r="H1901" s="4" t="b">
        <f>IFERROR(__xludf.DUMMYFUNCTION("""COMPUTED_VALUE"""),TRUE)</f>
        <v>1</v>
      </c>
      <c r="I1901" s="4">
        <f>IFERROR(__xludf.DUMMYFUNCTION("""COMPUTED_VALUE"""),0.2549440625)</f>
        <v>0.2549440625</v>
      </c>
      <c r="J1901" s="4">
        <f>IFERROR(__xludf.DUMMYFUNCTION("""COMPUTED_VALUE"""),45949.275596132815)</f>
        <v>45949.2756</v>
      </c>
      <c r="K1901" s="4" t="str">
        <f>IFERROR(__xludf.DUMMYFUNCTION("""COMPUTED_VALUE"""),"")</f>
        <v/>
      </c>
      <c r="L1901" s="4">
        <f>IFERROR(__xludf.DUMMYFUNCTION("""COMPUTED_VALUE"""),45949.2862654471)</f>
        <v>45949.28627</v>
      </c>
      <c r="M1901" s="1" t="str">
        <f>IFERROR(__xludf.DUMMYFUNCTION("""COMPUTED_VALUE"""),"RFID")</f>
        <v>RFID</v>
      </c>
      <c r="N1901" s="5">
        <f>IFERROR(__xludf.DUMMYFUNCTION("""COMPUTED_VALUE"""),0.008260828703703703)</f>
        <v>0.008260828704</v>
      </c>
      <c r="O1901" s="5" t="str">
        <f>IFERROR(__xludf.DUMMYFUNCTION("""COMPUTED_VALUE"""),"")</f>
        <v/>
      </c>
      <c r="P1901" s="5" t="str">
        <f>IFERROR(__xludf.DUMMYFUNCTION("""COMPUTED_VALUE"""),"")</f>
        <v/>
      </c>
      <c r="Q1901" s="5">
        <f>IFERROR(__xludf.DUMMYFUNCTION("""COMPUTED_VALUE"""),0.006264277777777778)</f>
        <v>0.006264277778</v>
      </c>
      <c r="R1901" s="4">
        <f>IFERROR(__xludf.DUMMYFUNCTION("""COMPUTED_VALUE"""),45949.0313213846)</f>
        <v>45949.03132</v>
      </c>
      <c r="S1901" s="1" t="b">
        <f>IFERROR(__xludf.DUMMYFUNCTION("""COMPUTED_VALUE"""),TRUE)</f>
        <v>1</v>
      </c>
      <c r="T1901" s="1" t="b">
        <f>IFERROR(__xludf.DUMMYFUNCTION("""COMPUTED_VALUE"""),FALSE)</f>
        <v>0</v>
      </c>
      <c r="U1901" s="1" t="str">
        <f>IFERROR(__xludf.DUMMYFUNCTION("""COMPUTED_VALUE"""),"VALID")</f>
        <v>VALID</v>
      </c>
      <c r="V1901" s="1">
        <f>IFERROR(__xludf.DUMMYFUNCTION("""COMPUTED_VALUE"""),423.0)</f>
        <v>423</v>
      </c>
      <c r="W1901" s="1">
        <f>IFERROR(__xludf.DUMMYFUNCTION("""COMPUTED_VALUE"""),649.0)</f>
        <v>649</v>
      </c>
      <c r="X1901" s="1">
        <f>IFERROR(__xludf.DUMMYFUNCTION("""COMPUTED_VALUE"""),544.0)</f>
        <v>544</v>
      </c>
      <c r="Y1901" s="2"/>
      <c r="Z1901" s="2"/>
    </row>
    <row r="1902">
      <c r="A1902" s="1">
        <f>IFERROR(__xludf.DUMMYFUNCTION("""COMPUTED_VALUE"""),1901.0)</f>
        <v>1901</v>
      </c>
      <c r="B1902" s="1">
        <f>IFERROR(__xludf.DUMMYFUNCTION("""COMPUTED_VALUE"""),5404.0)</f>
        <v>5404</v>
      </c>
      <c r="C1902" s="2" t="str">
        <f>IFERROR(__xludf.DUMMYFUNCTION("""COMPUTED_VALUE"""),"Fawwazianur Ardhana")</f>
        <v>Fawwazianur Ardhana</v>
      </c>
      <c r="D1902" s="2" t="str">
        <f>IFERROR(__xludf.DUMMYFUNCTION("""COMPUTED_VALUE"""),"5KM OVERALL M")</f>
        <v>5KM OVERALL M</v>
      </c>
      <c r="E1902" s="1">
        <f>IFERROR(__xludf.DUMMYFUNCTION("""COMPUTED_VALUE"""),2.0)</f>
        <v>2</v>
      </c>
      <c r="F1902" s="1" t="str">
        <f>IFERROR(__xludf.DUMMYFUNCTION("""COMPUTED_VALUE"""),"Male")</f>
        <v>Male</v>
      </c>
      <c r="G1902" s="4" t="b">
        <f>IFERROR(__xludf.DUMMYFUNCTION("""COMPUTED_VALUE"""),TRUE)</f>
        <v>1</v>
      </c>
      <c r="H1902" s="4" t="b">
        <f>IFERROR(__xludf.DUMMYFUNCTION("""COMPUTED_VALUE"""),FALSE)</f>
        <v>0</v>
      </c>
      <c r="I1902" s="4">
        <f>IFERROR(__xludf.DUMMYFUNCTION("""COMPUTED_VALUE"""),0.2549440625)</f>
        <v>0.2549440625</v>
      </c>
      <c r="J1902" s="4">
        <f>IFERROR(__xludf.DUMMYFUNCTION("""COMPUTED_VALUE"""),45949.26853125828)</f>
        <v>45949.26853</v>
      </c>
      <c r="K1902" s="4" t="str">
        <f>IFERROR(__xludf.DUMMYFUNCTION("""COMPUTED_VALUE"""),"")</f>
        <v/>
      </c>
      <c r="L1902" s="4">
        <f>IFERROR(__xludf.DUMMYFUNCTION("""COMPUTED_VALUE"""),45949.2800814286)</f>
        <v>45949.28008</v>
      </c>
      <c r="M1902" s="1" t="str">
        <f>IFERROR(__xludf.DUMMYFUNCTION("""COMPUTED_VALUE"""),"RFID")</f>
        <v>RFID</v>
      </c>
      <c r="N1902" s="5">
        <f>IFERROR(__xludf.DUMMYFUNCTION("""COMPUTED_VALUE"""),0.00543487962962963)</f>
        <v>0.00543487963</v>
      </c>
      <c r="O1902" s="5" t="str">
        <f>IFERROR(__xludf.DUMMYFUNCTION("""COMPUTED_VALUE"""),"")</f>
        <v/>
      </c>
      <c r="P1902" s="5" t="str">
        <f>IFERROR(__xludf.DUMMYFUNCTION("""COMPUTED_VALUE"""),"")</f>
        <v/>
      </c>
      <c r="Q1902" s="5">
        <f>IFERROR(__xludf.DUMMYFUNCTION("""COMPUTED_VALUE"""),0.005027472222222222)</f>
        <v>0.005027472222</v>
      </c>
      <c r="R1902" s="4">
        <f>IFERROR(__xludf.DUMMYFUNCTION("""COMPUTED_VALUE"""),45949.0251373661)</f>
        <v>45949.02514</v>
      </c>
      <c r="S1902" s="1" t="b">
        <f>IFERROR(__xludf.DUMMYFUNCTION("""COMPUTED_VALUE"""),TRUE)</f>
        <v>1</v>
      </c>
      <c r="T1902" s="1" t="b">
        <f>IFERROR(__xludf.DUMMYFUNCTION("""COMPUTED_VALUE"""),FALSE)</f>
        <v>0</v>
      </c>
      <c r="U1902" s="1" t="str">
        <f>IFERROR(__xludf.DUMMYFUNCTION("""COMPUTED_VALUE"""),"VALID")</f>
        <v>VALID</v>
      </c>
      <c r="V1902" s="1">
        <f>IFERROR(__xludf.DUMMYFUNCTION("""COMPUTED_VALUE"""),190.0)</f>
        <v>190</v>
      </c>
      <c r="W1902" s="1">
        <f>IFERROR(__xludf.DUMMYFUNCTION("""COMPUTED_VALUE"""),292.0)</f>
        <v>292</v>
      </c>
      <c r="X1902" s="1">
        <f>IFERROR(__xludf.DUMMYFUNCTION("""COMPUTED_VALUE"""),254.0)</f>
        <v>254</v>
      </c>
      <c r="Y1902" s="2"/>
      <c r="Z1902" s="2"/>
    </row>
    <row r="1903">
      <c r="A1903" s="1">
        <f>IFERROR(__xludf.DUMMYFUNCTION("""COMPUTED_VALUE"""),1902.0)</f>
        <v>1902</v>
      </c>
      <c r="B1903" s="1">
        <f>IFERROR(__xludf.DUMMYFUNCTION("""COMPUTED_VALUE"""),5405.0)</f>
        <v>5405</v>
      </c>
      <c r="C1903" s="2" t="str">
        <f>IFERROR(__xludf.DUMMYFUNCTION("""COMPUTED_VALUE"""),"Zombie Sand")</f>
        <v>Zombie Sand</v>
      </c>
      <c r="D1903" s="2" t="str">
        <f>IFERROR(__xludf.DUMMYFUNCTION("""COMPUTED_VALUE"""),"5KM OVERALL M")</f>
        <v>5KM OVERALL M</v>
      </c>
      <c r="E1903" s="1">
        <f>IFERROR(__xludf.DUMMYFUNCTION("""COMPUTED_VALUE"""),2.0)</f>
        <v>2</v>
      </c>
      <c r="F1903" s="1" t="str">
        <f>IFERROR(__xludf.DUMMYFUNCTION("""COMPUTED_VALUE"""),"Male")</f>
        <v>Male</v>
      </c>
      <c r="G1903" s="4" t="b">
        <f>IFERROR(__xludf.DUMMYFUNCTION("""COMPUTED_VALUE"""),TRUE)</f>
        <v>1</v>
      </c>
      <c r="H1903" s="4" t="b">
        <f>IFERROR(__xludf.DUMMYFUNCTION("""COMPUTED_VALUE"""),FALSE)</f>
        <v>0</v>
      </c>
      <c r="I1903" s="4">
        <f>IFERROR(__xludf.DUMMYFUNCTION("""COMPUTED_VALUE"""),0.2549440625)</f>
        <v>0.2549440625</v>
      </c>
      <c r="J1903" s="4">
        <f>IFERROR(__xludf.DUMMYFUNCTION("""COMPUTED_VALUE"""),45949.268946825694)</f>
        <v>45949.26895</v>
      </c>
      <c r="K1903" s="4" t="str">
        <f>IFERROR(__xludf.DUMMYFUNCTION("""COMPUTED_VALUE"""),"")</f>
        <v/>
      </c>
      <c r="L1903" s="4">
        <f>IFERROR(__xludf.DUMMYFUNCTION("""COMPUTED_VALUE"""),45949.276536522506)</f>
        <v>45949.27654</v>
      </c>
      <c r="M1903" s="1" t="str">
        <f>IFERROR(__xludf.DUMMYFUNCTION("""COMPUTED_VALUE"""),"RFID")</f>
        <v>RFID</v>
      </c>
      <c r="N1903" s="5">
        <f>IFERROR(__xludf.DUMMYFUNCTION("""COMPUTED_VALUE"""),0.005601106481481481)</f>
        <v>0.005601106481</v>
      </c>
      <c r="O1903" s="5" t="str">
        <f>IFERROR(__xludf.DUMMYFUNCTION("""COMPUTED_VALUE"""),"")</f>
        <v/>
      </c>
      <c r="P1903" s="5" t="str">
        <f>IFERROR(__xludf.DUMMYFUNCTION("""COMPUTED_VALUE"""),"")</f>
        <v/>
      </c>
      <c r="Q1903" s="5">
        <f>IFERROR(__xludf.DUMMYFUNCTION("""COMPUTED_VALUE"""),0.0043184930555555555)</f>
        <v>0.004318493056</v>
      </c>
      <c r="R1903" s="4">
        <f>IFERROR(__xludf.DUMMYFUNCTION("""COMPUTED_VALUE"""),45949.021592460005)</f>
        <v>45949.02159</v>
      </c>
      <c r="S1903" s="1" t="b">
        <f>IFERROR(__xludf.DUMMYFUNCTION("""COMPUTED_VALUE"""),TRUE)</f>
        <v>1</v>
      </c>
      <c r="T1903" s="1" t="b">
        <f>IFERROR(__xludf.DUMMYFUNCTION("""COMPUTED_VALUE"""),FALSE)</f>
        <v>0</v>
      </c>
      <c r="U1903" s="1" t="str">
        <f>IFERROR(__xludf.DUMMYFUNCTION("""COMPUTED_VALUE"""),"VALID")</f>
        <v>VALID</v>
      </c>
      <c r="V1903" s="1">
        <f>IFERROR(__xludf.DUMMYFUNCTION("""COMPUTED_VALUE"""),105.0)</f>
        <v>105</v>
      </c>
      <c r="W1903" s="1">
        <f>IFERROR(__xludf.DUMMYFUNCTION("""COMPUTED_VALUE"""),162.0)</f>
        <v>162</v>
      </c>
      <c r="X1903" s="1">
        <f>IFERROR(__xludf.DUMMYFUNCTION("""COMPUTED_VALUE"""),143.0)</f>
        <v>143</v>
      </c>
      <c r="Y1903" s="2"/>
      <c r="Z1903" s="2"/>
    </row>
    <row r="1904">
      <c r="A1904" s="1">
        <f>IFERROR(__xludf.DUMMYFUNCTION("""COMPUTED_VALUE"""),1903.0)</f>
        <v>1903</v>
      </c>
      <c r="B1904" s="1">
        <f>IFERROR(__xludf.DUMMYFUNCTION("""COMPUTED_VALUE"""),5406.0)</f>
        <v>5406</v>
      </c>
      <c r="C1904" s="2" t="str">
        <f>IFERROR(__xludf.DUMMYFUNCTION("""COMPUTED_VALUE"""),"Pramudya")</f>
        <v>Pramudya</v>
      </c>
      <c r="D1904" s="2" t="str">
        <f>IFERROR(__xludf.DUMMYFUNCTION("""COMPUTED_VALUE"""),"5KM OVERALL M")</f>
        <v>5KM OVERALL M</v>
      </c>
      <c r="E1904" s="1">
        <f>IFERROR(__xludf.DUMMYFUNCTION("""COMPUTED_VALUE"""),2.0)</f>
        <v>2</v>
      </c>
      <c r="F1904" s="1" t="str">
        <f>IFERROR(__xludf.DUMMYFUNCTION("""COMPUTED_VALUE"""),"Male")</f>
        <v>Male</v>
      </c>
      <c r="G1904" s="4" t="b">
        <f>IFERROR(__xludf.DUMMYFUNCTION("""COMPUTED_VALUE"""),TRUE)</f>
        <v>1</v>
      </c>
      <c r="H1904" s="4" t="b">
        <f>IFERROR(__xludf.DUMMYFUNCTION("""COMPUTED_VALUE"""),TRUE)</f>
        <v>1</v>
      </c>
      <c r="I1904" s="4">
        <f>IFERROR(__xludf.DUMMYFUNCTION("""COMPUTED_VALUE"""),0.2549440625)</f>
        <v>0.2549440625</v>
      </c>
      <c r="J1904" s="4">
        <f>IFERROR(__xludf.DUMMYFUNCTION("""COMPUTED_VALUE"""),45949.28463433982)</f>
        <v>45949.28463</v>
      </c>
      <c r="K1904" s="4" t="str">
        <f>IFERROR(__xludf.DUMMYFUNCTION("""COMPUTED_VALUE"""),"")</f>
        <v/>
      </c>
      <c r="L1904" s="4">
        <f>IFERROR(__xludf.DUMMYFUNCTION("""COMPUTED_VALUE"""),45949.30486614351)</f>
        <v>45949.30487</v>
      </c>
      <c r="M1904" s="1" t="str">
        <f>IFERROR(__xludf.DUMMYFUNCTION("""COMPUTED_VALUE"""),"RFID")</f>
        <v>RFID</v>
      </c>
      <c r="N1904" s="5">
        <f>IFERROR(__xludf.DUMMYFUNCTION("""COMPUTED_VALUE"""),0.01187611111111111)</f>
        <v>0.01187611111</v>
      </c>
      <c r="O1904" s="5" t="str">
        <f>IFERROR(__xludf.DUMMYFUNCTION("""COMPUTED_VALUE"""),"")</f>
        <v/>
      </c>
      <c r="P1904" s="5" t="str">
        <f>IFERROR(__xludf.DUMMYFUNCTION("""COMPUTED_VALUE"""),"")</f>
        <v/>
      </c>
      <c r="Q1904" s="5">
        <f>IFERROR(__xludf.DUMMYFUNCTION("""COMPUTED_VALUE"""),0.009984416666666666)</f>
        <v>0.009984416667</v>
      </c>
      <c r="R1904" s="4">
        <f>IFERROR(__xludf.DUMMYFUNCTION("""COMPUTED_VALUE"""),45949.04992208101)</f>
        <v>45949.04992</v>
      </c>
      <c r="S1904" s="1" t="b">
        <f>IFERROR(__xludf.DUMMYFUNCTION("""COMPUTED_VALUE"""),TRUE)</f>
        <v>1</v>
      </c>
      <c r="T1904" s="1" t="b">
        <f>IFERROR(__xludf.DUMMYFUNCTION("""COMPUTED_VALUE"""),FALSE)</f>
        <v>0</v>
      </c>
      <c r="U1904" s="1" t="str">
        <f>IFERROR(__xludf.DUMMYFUNCTION("""COMPUTED_VALUE"""),"VALID")</f>
        <v>VALID</v>
      </c>
      <c r="V1904" s="1">
        <f>IFERROR(__xludf.DUMMYFUNCTION("""COMPUTED_VALUE"""),844.0)</f>
        <v>844</v>
      </c>
      <c r="W1904" s="1">
        <f>IFERROR(__xludf.DUMMYFUNCTION("""COMPUTED_VALUE"""),1572.0)</f>
        <v>1572</v>
      </c>
      <c r="X1904" s="1">
        <f>IFERROR(__xludf.DUMMYFUNCTION("""COMPUTED_VALUE"""),1374.0)</f>
        <v>1374</v>
      </c>
      <c r="Y1904" s="2"/>
      <c r="Z1904" s="2"/>
    </row>
    <row r="1905">
      <c r="A1905" s="1">
        <f>IFERROR(__xludf.DUMMYFUNCTION("""COMPUTED_VALUE"""),1904.0)</f>
        <v>1904</v>
      </c>
      <c r="B1905" s="1">
        <f>IFERROR(__xludf.DUMMYFUNCTION("""COMPUTED_VALUE"""),5407.0)</f>
        <v>5407</v>
      </c>
      <c r="C1905" s="2" t="str">
        <f>IFERROR(__xludf.DUMMYFUNCTION("""COMPUTED_VALUE"""),"Rudi S")</f>
        <v>Rudi S</v>
      </c>
      <c r="D1905" s="2" t="str">
        <f>IFERROR(__xludf.DUMMYFUNCTION("""COMPUTED_VALUE"""),"5KM OVERALL M")</f>
        <v>5KM OVERALL M</v>
      </c>
      <c r="E1905" s="1">
        <f>IFERROR(__xludf.DUMMYFUNCTION("""COMPUTED_VALUE"""),2.0)</f>
        <v>2</v>
      </c>
      <c r="F1905" s="1" t="str">
        <f>IFERROR(__xludf.DUMMYFUNCTION("""COMPUTED_VALUE"""),"Male")</f>
        <v>Male</v>
      </c>
      <c r="G1905" s="4" t="str">
        <f>IFERROR(__xludf.DUMMYFUNCTION("""COMPUTED_VALUE"""),"")</f>
        <v/>
      </c>
      <c r="H1905" s="4" t="b">
        <f>IFERROR(__xludf.DUMMYFUNCTION("""COMPUTED_VALUE"""),FALSE)</f>
        <v>0</v>
      </c>
      <c r="I1905" s="4">
        <f>IFERROR(__xludf.DUMMYFUNCTION("""COMPUTED_VALUE"""),0.2549440625)</f>
        <v>0.2549440625</v>
      </c>
      <c r="J1905" s="4" t="str">
        <f>IFERROR(__xludf.DUMMYFUNCTION("""COMPUTED_VALUE"""),"")</f>
        <v/>
      </c>
      <c r="K1905" s="4" t="str">
        <f>IFERROR(__xludf.DUMMYFUNCTION("""COMPUTED_VALUE"""),"")</f>
        <v/>
      </c>
      <c r="L1905" s="4" t="str">
        <f>IFERROR(__xludf.DUMMYFUNCTION("""COMPUTED_VALUE"""),"")</f>
        <v/>
      </c>
      <c r="M1905" s="1" t="str">
        <f>IFERROR(__xludf.DUMMYFUNCTION("""COMPUTED_VALUE"""),"RFID")</f>
        <v>RFID</v>
      </c>
      <c r="N1905" s="5" t="str">
        <f>IFERROR(__xludf.DUMMYFUNCTION("""COMPUTED_VALUE"""),"")</f>
        <v/>
      </c>
      <c r="O1905" s="5" t="str">
        <f>IFERROR(__xludf.DUMMYFUNCTION("""COMPUTED_VALUE"""),"")</f>
        <v/>
      </c>
      <c r="P1905" s="5" t="str">
        <f>IFERROR(__xludf.DUMMYFUNCTION("""COMPUTED_VALUE"""),"")</f>
        <v/>
      </c>
      <c r="Q1905" s="5" t="str">
        <f>IFERROR(__xludf.DUMMYFUNCTION("""COMPUTED_VALUE"""),"")</f>
        <v/>
      </c>
      <c r="R1905" s="4" t="str">
        <f>IFERROR(__xludf.DUMMYFUNCTION("""COMPUTED_VALUE"""),"")</f>
        <v/>
      </c>
      <c r="S1905" s="1" t="b">
        <f>IFERROR(__xludf.DUMMYFUNCTION("""COMPUTED_VALUE"""),FALSE)</f>
        <v>0</v>
      </c>
      <c r="T1905" s="1" t="b">
        <f>IFERROR(__xludf.DUMMYFUNCTION("""COMPUTED_VALUE"""),FALSE)</f>
        <v>0</v>
      </c>
      <c r="U1905" s="1" t="str">
        <f>IFERROR(__xludf.DUMMYFUNCTION("""COMPUTED_VALUE"""),"DSQ")</f>
        <v>DSQ</v>
      </c>
      <c r="V1905" s="1" t="str">
        <f>IFERROR(__xludf.DUMMYFUNCTION("""COMPUTED_VALUE"""),"DSQ")</f>
        <v>DSQ</v>
      </c>
      <c r="W1905" s="1" t="str">
        <f>IFERROR(__xludf.DUMMYFUNCTION("""COMPUTED_VALUE"""),"DSQ")</f>
        <v>DSQ</v>
      </c>
      <c r="X1905" s="1" t="str">
        <f>IFERROR(__xludf.DUMMYFUNCTION("""COMPUTED_VALUE"""),"DSQ")</f>
        <v>DSQ</v>
      </c>
      <c r="Y1905" s="2"/>
      <c r="Z1905" s="2" t="str">
        <f>IFERROR(__xludf.DUMMYFUNCTION("""COMPUTED_VALUE"""),"")</f>
        <v/>
      </c>
    </row>
    <row r="1906">
      <c r="A1906" s="1">
        <f>IFERROR(__xludf.DUMMYFUNCTION("""COMPUTED_VALUE"""),1905.0)</f>
        <v>1905</v>
      </c>
      <c r="B1906" s="1">
        <f>IFERROR(__xludf.DUMMYFUNCTION("""COMPUTED_VALUE"""),5410.0)</f>
        <v>5410</v>
      </c>
      <c r="C1906" s="2" t="str">
        <f>IFERROR(__xludf.DUMMYFUNCTION("""COMPUTED_VALUE"""),"Alon Alon")</f>
        <v>Alon Alon</v>
      </c>
      <c r="D1906" s="2" t="str">
        <f>IFERROR(__xludf.DUMMYFUNCTION("""COMPUTED_VALUE"""),"5KM OVERALL M")</f>
        <v>5KM OVERALL M</v>
      </c>
      <c r="E1906" s="1">
        <f>IFERROR(__xludf.DUMMYFUNCTION("""COMPUTED_VALUE"""),2.0)</f>
        <v>2</v>
      </c>
      <c r="F1906" s="1" t="str">
        <f>IFERROR(__xludf.DUMMYFUNCTION("""COMPUTED_VALUE"""),"Male")</f>
        <v>Male</v>
      </c>
      <c r="G1906" s="4" t="str">
        <f>IFERROR(__xludf.DUMMYFUNCTION("""COMPUTED_VALUE"""),"")</f>
        <v/>
      </c>
      <c r="H1906" s="4" t="b">
        <f>IFERROR(__xludf.DUMMYFUNCTION("""COMPUTED_VALUE"""),TRUE)</f>
        <v>1</v>
      </c>
      <c r="I1906" s="4">
        <f>IFERROR(__xludf.DUMMYFUNCTION("""COMPUTED_VALUE"""),0.2549440625)</f>
        <v>0.2549440625</v>
      </c>
      <c r="J1906" s="4">
        <f>IFERROR(__xludf.DUMMYFUNCTION("""COMPUTED_VALUE"""),45949.274283637016)</f>
        <v>45949.27428</v>
      </c>
      <c r="K1906" s="4" t="str">
        <f>IFERROR(__xludf.DUMMYFUNCTION("""COMPUTED_VALUE"""),"")</f>
        <v/>
      </c>
      <c r="L1906" s="4">
        <f>IFERROR(__xludf.DUMMYFUNCTION("""COMPUTED_VALUE"""),45949.2884375)</f>
        <v>45949.28844</v>
      </c>
      <c r="M1906" s="1" t="str">
        <f>IFERROR(__xludf.DUMMYFUNCTION("""COMPUTED_VALUE"""),"RFID")</f>
        <v>RFID</v>
      </c>
      <c r="N1906" s="5">
        <f>IFERROR(__xludf.DUMMYFUNCTION("""COMPUTED_VALUE"""),0.007735828703703704)</f>
        <v>0.007735828704</v>
      </c>
      <c r="O1906" s="5" t="str">
        <f>IFERROR(__xludf.DUMMYFUNCTION("""COMPUTED_VALUE"""),"")</f>
        <v/>
      </c>
      <c r="P1906" s="5" t="str">
        <f>IFERROR(__xludf.DUMMYFUNCTION("""COMPUTED_VALUE"""),"")</f>
        <v/>
      </c>
      <c r="Q1906" s="5">
        <f>IFERROR(__xludf.DUMMYFUNCTION("""COMPUTED_VALUE"""),0.0066986875)</f>
        <v>0.0066986875</v>
      </c>
      <c r="R1906" s="4">
        <f>IFERROR(__xludf.DUMMYFUNCTION("""COMPUTED_VALUE"""),45949.0334934375)</f>
        <v>45949.03349</v>
      </c>
      <c r="S1906" s="1" t="b">
        <f>IFERROR(__xludf.DUMMYFUNCTION("""COMPUTED_VALUE"""),TRUE)</f>
        <v>1</v>
      </c>
      <c r="T1906" s="1" t="b">
        <f>IFERROR(__xludf.DUMMYFUNCTION("""COMPUTED_VALUE"""),FALSE)</f>
        <v>0</v>
      </c>
      <c r="U1906" s="1" t="str">
        <f>IFERROR(__xludf.DUMMYFUNCTION("""COMPUTED_VALUE"""),"VALID")</f>
        <v>VALID</v>
      </c>
      <c r="V1906" s="1">
        <f>IFERROR(__xludf.DUMMYFUNCTION("""COMPUTED_VALUE"""),514.0)</f>
        <v>514</v>
      </c>
      <c r="W1906" s="1">
        <f>IFERROR(__xludf.DUMMYFUNCTION("""COMPUTED_VALUE"""),808.0)</f>
        <v>808</v>
      </c>
      <c r="X1906" s="1">
        <f>IFERROR(__xludf.DUMMYFUNCTION("""COMPUTED_VALUE"""),664.0)</f>
        <v>664</v>
      </c>
      <c r="Y1906" s="2"/>
      <c r="Z1906" s="2"/>
    </row>
    <row r="1907">
      <c r="A1907" s="1">
        <f>IFERROR(__xludf.DUMMYFUNCTION("""COMPUTED_VALUE"""),1906.0)</f>
        <v>1906</v>
      </c>
      <c r="B1907" s="1">
        <f>IFERROR(__xludf.DUMMYFUNCTION("""COMPUTED_VALUE"""),5414.0)</f>
        <v>5414</v>
      </c>
      <c r="C1907" s="2" t="str">
        <f>IFERROR(__xludf.DUMMYFUNCTION("""COMPUTED_VALUE"""),"Iqbalz")</f>
        <v>Iqbalz</v>
      </c>
      <c r="D1907" s="2" t="str">
        <f>IFERROR(__xludf.DUMMYFUNCTION("""COMPUTED_VALUE"""),"5KM OVERALL M")</f>
        <v>5KM OVERALL M</v>
      </c>
      <c r="E1907" s="1">
        <f>IFERROR(__xludf.DUMMYFUNCTION("""COMPUTED_VALUE"""),2.0)</f>
        <v>2</v>
      </c>
      <c r="F1907" s="1" t="str">
        <f>IFERROR(__xludf.DUMMYFUNCTION("""COMPUTED_VALUE"""),"Male")</f>
        <v>Male</v>
      </c>
      <c r="G1907" s="4" t="b">
        <f>IFERROR(__xludf.DUMMYFUNCTION("""COMPUTED_VALUE"""),TRUE)</f>
        <v>1</v>
      </c>
      <c r="H1907" s="4" t="b">
        <f>IFERROR(__xludf.DUMMYFUNCTION("""COMPUTED_VALUE"""),FALSE)</f>
        <v>0</v>
      </c>
      <c r="I1907" s="4">
        <f>IFERROR(__xludf.DUMMYFUNCTION("""COMPUTED_VALUE"""),0.2549440625)</f>
        <v>0.2549440625</v>
      </c>
      <c r="J1907" s="4">
        <f>IFERROR(__xludf.DUMMYFUNCTION("""COMPUTED_VALUE"""),45949.273498905284)</f>
        <v>45949.2735</v>
      </c>
      <c r="K1907" s="4" t="str">
        <f>IFERROR(__xludf.DUMMYFUNCTION("""COMPUTED_VALUE"""),"")</f>
        <v/>
      </c>
      <c r="L1907" s="4">
        <f>IFERROR(__xludf.DUMMYFUNCTION("""COMPUTED_VALUE"""),45949.28610920221)</f>
        <v>45949.28611</v>
      </c>
      <c r="M1907" s="1" t="str">
        <f>IFERROR(__xludf.DUMMYFUNCTION("""COMPUTED_VALUE"""),"RFID")</f>
        <v>RFID</v>
      </c>
      <c r="N1907" s="5">
        <f>IFERROR(__xludf.DUMMYFUNCTION("""COMPUTED_VALUE"""),0.007421935185185184)</f>
        <v>0.007421935185</v>
      </c>
      <c r="O1907" s="5" t="str">
        <f>IFERROR(__xludf.DUMMYFUNCTION("""COMPUTED_VALUE"""),"")</f>
        <v/>
      </c>
      <c r="P1907" s="5" t="str">
        <f>IFERROR(__xludf.DUMMYFUNCTION("""COMPUTED_VALUE"""),"")</f>
        <v/>
      </c>
      <c r="Q1907" s="5">
        <f>IFERROR(__xludf.DUMMYFUNCTION("""COMPUTED_VALUE"""),0.006233027777777778)</f>
        <v>0.006233027778</v>
      </c>
      <c r="R1907" s="4">
        <f>IFERROR(__xludf.DUMMYFUNCTION("""COMPUTED_VALUE"""),45949.031165139706)</f>
        <v>45949.03117</v>
      </c>
      <c r="S1907" s="1" t="b">
        <f>IFERROR(__xludf.DUMMYFUNCTION("""COMPUTED_VALUE"""),TRUE)</f>
        <v>1</v>
      </c>
      <c r="T1907" s="1" t="b">
        <f>IFERROR(__xludf.DUMMYFUNCTION("""COMPUTED_VALUE"""),FALSE)</f>
        <v>0</v>
      </c>
      <c r="U1907" s="1" t="str">
        <f>IFERROR(__xludf.DUMMYFUNCTION("""COMPUTED_VALUE"""),"VALID")</f>
        <v>VALID</v>
      </c>
      <c r="V1907" s="1">
        <f>IFERROR(__xludf.DUMMYFUNCTION("""COMPUTED_VALUE"""),415.0)</f>
        <v>415</v>
      </c>
      <c r="W1907" s="1">
        <f>IFERROR(__xludf.DUMMYFUNCTION("""COMPUTED_VALUE"""),638.0)</f>
        <v>638</v>
      </c>
      <c r="X1907" s="1">
        <f>IFERROR(__xludf.DUMMYFUNCTION("""COMPUTED_VALUE"""),533.0)</f>
        <v>533</v>
      </c>
      <c r="Y1907" s="2"/>
      <c r="Z1907" s="2"/>
    </row>
    <row r="1908">
      <c r="A1908" s="1">
        <f>IFERROR(__xludf.DUMMYFUNCTION("""COMPUTED_VALUE"""),1907.0)</f>
        <v>1907</v>
      </c>
      <c r="B1908" s="1">
        <f>IFERROR(__xludf.DUMMYFUNCTION("""COMPUTED_VALUE"""),5415.0)</f>
        <v>5415</v>
      </c>
      <c r="C1908" s="2" t="str">
        <f>IFERROR(__xludf.DUMMYFUNCTION("""COMPUTED_VALUE"""),"dikanuge")</f>
        <v>dikanuge</v>
      </c>
      <c r="D1908" s="2" t="str">
        <f>IFERROR(__xludf.DUMMYFUNCTION("""COMPUTED_VALUE"""),"5KM OVERALL M")</f>
        <v>5KM OVERALL M</v>
      </c>
      <c r="E1908" s="1">
        <f>IFERROR(__xludf.DUMMYFUNCTION("""COMPUTED_VALUE"""),2.0)</f>
        <v>2</v>
      </c>
      <c r="F1908" s="1" t="str">
        <f>IFERROR(__xludf.DUMMYFUNCTION("""COMPUTED_VALUE"""),"Male")</f>
        <v>Male</v>
      </c>
      <c r="G1908" s="4" t="b">
        <f>IFERROR(__xludf.DUMMYFUNCTION("""COMPUTED_VALUE"""),TRUE)</f>
        <v>1</v>
      </c>
      <c r="H1908" s="4" t="b">
        <f>IFERROR(__xludf.DUMMYFUNCTION("""COMPUTED_VALUE"""),TRUE)</f>
        <v>1</v>
      </c>
      <c r="I1908" s="4">
        <f>IFERROR(__xludf.DUMMYFUNCTION("""COMPUTED_VALUE"""),0.2549440625)</f>
        <v>0.2549440625</v>
      </c>
      <c r="J1908" s="4">
        <f>IFERROR(__xludf.DUMMYFUNCTION("""COMPUTED_VALUE"""),45949.27092947525)</f>
        <v>45949.27093</v>
      </c>
      <c r="K1908" s="4" t="str">
        <f>IFERROR(__xludf.DUMMYFUNCTION("""COMPUTED_VALUE"""),"")</f>
        <v/>
      </c>
      <c r="L1908" s="4">
        <f>IFERROR(__xludf.DUMMYFUNCTION("""COMPUTED_VALUE"""),45949.28238362455)</f>
        <v>45949.28238</v>
      </c>
      <c r="M1908" s="1" t="str">
        <f>IFERROR(__xludf.DUMMYFUNCTION("""COMPUTED_VALUE"""),"RFID")</f>
        <v>RFID</v>
      </c>
      <c r="N1908" s="5">
        <f>IFERROR(__xludf.DUMMYFUNCTION("""COMPUTED_VALUE"""),0.006394166666666668)</f>
        <v>0.006394166667</v>
      </c>
      <c r="O1908" s="5" t="str">
        <f>IFERROR(__xludf.DUMMYFUNCTION("""COMPUTED_VALUE"""),"")</f>
        <v/>
      </c>
      <c r="P1908" s="5" t="str">
        <f>IFERROR(__xludf.DUMMYFUNCTION("""COMPUTED_VALUE"""),"")</f>
        <v/>
      </c>
      <c r="Q1908" s="5">
        <f>IFERROR(__xludf.DUMMYFUNCTION("""COMPUTED_VALUE"""),0.005487912037037036)</f>
        <v>0.005487912037</v>
      </c>
      <c r="R1908" s="4">
        <f>IFERROR(__xludf.DUMMYFUNCTION("""COMPUTED_VALUE"""),45949.02743956205)</f>
        <v>45949.02744</v>
      </c>
      <c r="S1908" s="1" t="b">
        <f>IFERROR(__xludf.DUMMYFUNCTION("""COMPUTED_VALUE"""),TRUE)</f>
        <v>1</v>
      </c>
      <c r="T1908" s="1" t="b">
        <f>IFERROR(__xludf.DUMMYFUNCTION("""COMPUTED_VALUE"""),FALSE)</f>
        <v>0</v>
      </c>
      <c r="U1908" s="1" t="str">
        <f>IFERROR(__xludf.DUMMYFUNCTION("""COMPUTED_VALUE"""),"VALID")</f>
        <v>VALID</v>
      </c>
      <c r="V1908" s="1">
        <f>IFERROR(__xludf.DUMMYFUNCTION("""COMPUTED_VALUE"""),263.0)</f>
        <v>263</v>
      </c>
      <c r="W1908" s="1">
        <f>IFERROR(__xludf.DUMMYFUNCTION("""COMPUTED_VALUE"""),402.0)</f>
        <v>402</v>
      </c>
      <c r="X1908" s="1">
        <f>IFERROR(__xludf.DUMMYFUNCTION("""COMPUTED_VALUE"""),349.0)</f>
        <v>349</v>
      </c>
      <c r="Y1908" s="2"/>
      <c r="Z1908" s="2"/>
    </row>
    <row r="1909">
      <c r="A1909" s="1">
        <f>IFERROR(__xludf.DUMMYFUNCTION("""COMPUTED_VALUE"""),1908.0)</f>
        <v>1908</v>
      </c>
      <c r="B1909" s="1">
        <f>IFERROR(__xludf.DUMMYFUNCTION("""COMPUTED_VALUE"""),5417.0)</f>
        <v>5417</v>
      </c>
      <c r="C1909" s="2" t="str">
        <f>IFERROR(__xludf.DUMMYFUNCTION("""COMPUTED_VALUE"""),"fahmi")</f>
        <v>fahmi</v>
      </c>
      <c r="D1909" s="2" t="str">
        <f>IFERROR(__xludf.DUMMYFUNCTION("""COMPUTED_VALUE"""),"5KM OVERALL M")</f>
        <v>5KM OVERALL M</v>
      </c>
      <c r="E1909" s="1">
        <f>IFERROR(__xludf.DUMMYFUNCTION("""COMPUTED_VALUE"""),2.0)</f>
        <v>2</v>
      </c>
      <c r="F1909" s="1" t="str">
        <f>IFERROR(__xludf.DUMMYFUNCTION("""COMPUTED_VALUE"""),"Male")</f>
        <v>Male</v>
      </c>
      <c r="G1909" s="4" t="b">
        <f>IFERROR(__xludf.DUMMYFUNCTION("""COMPUTED_VALUE"""),TRUE)</f>
        <v>1</v>
      </c>
      <c r="H1909" s="4" t="b">
        <f>IFERROR(__xludf.DUMMYFUNCTION("""COMPUTED_VALUE"""),TRUE)</f>
        <v>1</v>
      </c>
      <c r="I1909" s="4">
        <f>IFERROR(__xludf.DUMMYFUNCTION("""COMPUTED_VALUE"""),0.2549440625)</f>
        <v>0.2549440625</v>
      </c>
      <c r="J1909" s="4">
        <f>IFERROR(__xludf.DUMMYFUNCTION("""COMPUTED_VALUE"""),45949.27524543705)</f>
        <v>45949.27525</v>
      </c>
      <c r="K1909" s="4" t="str">
        <f>IFERROR(__xludf.DUMMYFUNCTION("""COMPUTED_VALUE"""),"")</f>
        <v/>
      </c>
      <c r="L1909" s="4">
        <f>IFERROR(__xludf.DUMMYFUNCTION("""COMPUTED_VALUE"""),45949.29123420462)</f>
        <v>45949.29123</v>
      </c>
      <c r="M1909" s="1" t="str">
        <f>IFERROR(__xludf.DUMMYFUNCTION("""COMPUTED_VALUE"""),"RFID")</f>
        <v>RFID</v>
      </c>
      <c r="N1909" s="5">
        <f>IFERROR(__xludf.DUMMYFUNCTION("""COMPUTED_VALUE"""),0.008120550925925927)</f>
        <v>0.008120550926</v>
      </c>
      <c r="O1909" s="5" t="str">
        <f>IFERROR(__xludf.DUMMYFUNCTION("""COMPUTED_VALUE"""),"")</f>
        <v/>
      </c>
      <c r="P1909" s="5" t="str">
        <f>IFERROR(__xludf.DUMMYFUNCTION("""COMPUTED_VALUE"""),"")</f>
        <v/>
      </c>
      <c r="Q1909" s="5">
        <f>IFERROR(__xludf.DUMMYFUNCTION("""COMPUTED_VALUE"""),0.007258027777777777)</f>
        <v>0.007258027778</v>
      </c>
      <c r="R1909" s="4">
        <f>IFERROR(__xludf.DUMMYFUNCTION("""COMPUTED_VALUE"""),45949.03629014212)</f>
        <v>45949.03629</v>
      </c>
      <c r="S1909" s="1" t="b">
        <f>IFERROR(__xludf.DUMMYFUNCTION("""COMPUTED_VALUE"""),TRUE)</f>
        <v>1</v>
      </c>
      <c r="T1909" s="1" t="b">
        <f>IFERROR(__xludf.DUMMYFUNCTION("""COMPUTED_VALUE"""),FALSE)</f>
        <v>0</v>
      </c>
      <c r="U1909" s="1" t="str">
        <f>IFERROR(__xludf.DUMMYFUNCTION("""COMPUTED_VALUE"""),"VALID")</f>
        <v>VALID</v>
      </c>
      <c r="V1909" s="1">
        <f>IFERROR(__xludf.DUMMYFUNCTION("""COMPUTED_VALUE"""),603.0)</f>
        <v>603</v>
      </c>
      <c r="W1909" s="1">
        <f>IFERROR(__xludf.DUMMYFUNCTION("""COMPUTED_VALUE"""),976.0)</f>
        <v>976</v>
      </c>
      <c r="X1909" s="1">
        <f>IFERROR(__xludf.DUMMYFUNCTION("""COMPUTED_VALUE"""),793.0)</f>
        <v>793</v>
      </c>
      <c r="Y1909" s="2"/>
      <c r="Z1909" s="2"/>
    </row>
    <row r="1910">
      <c r="A1910" s="1">
        <f>IFERROR(__xludf.DUMMYFUNCTION("""COMPUTED_VALUE"""),1909.0)</f>
        <v>1909</v>
      </c>
      <c r="B1910" s="1">
        <f>IFERROR(__xludf.DUMMYFUNCTION("""COMPUTED_VALUE"""),5418.0)</f>
        <v>5418</v>
      </c>
      <c r="C1910" s="2" t="str">
        <f>IFERROR(__xludf.DUMMYFUNCTION("""COMPUTED_VALUE"""),"Rudi_elfikr")</f>
        <v>Rudi_elfikr</v>
      </c>
      <c r="D1910" s="2" t="str">
        <f>IFERROR(__xludf.DUMMYFUNCTION("""COMPUTED_VALUE"""),"5KM OVERALL M")</f>
        <v>5KM OVERALL M</v>
      </c>
      <c r="E1910" s="1">
        <f>IFERROR(__xludf.DUMMYFUNCTION("""COMPUTED_VALUE"""),2.0)</f>
        <v>2</v>
      </c>
      <c r="F1910" s="1" t="str">
        <f>IFERROR(__xludf.DUMMYFUNCTION("""COMPUTED_VALUE"""),"Male")</f>
        <v>Male</v>
      </c>
      <c r="G1910" s="4" t="b">
        <f>IFERROR(__xludf.DUMMYFUNCTION("""COMPUTED_VALUE"""),TRUE)</f>
        <v>1</v>
      </c>
      <c r="H1910" s="4" t="b">
        <f>IFERROR(__xludf.DUMMYFUNCTION("""COMPUTED_VALUE"""),FALSE)</f>
        <v>0</v>
      </c>
      <c r="I1910" s="4">
        <f>IFERROR(__xludf.DUMMYFUNCTION("""COMPUTED_VALUE"""),0.2549440625)</f>
        <v>0.2549440625</v>
      </c>
      <c r="J1910" s="4">
        <f>IFERROR(__xludf.DUMMYFUNCTION("""COMPUTED_VALUE"""),45949.26942251876)</f>
        <v>45949.26942</v>
      </c>
      <c r="K1910" s="4" t="str">
        <f>IFERROR(__xludf.DUMMYFUNCTION("""COMPUTED_VALUE"""),"")</f>
        <v/>
      </c>
      <c r="L1910" s="4">
        <f>IFERROR(__xludf.DUMMYFUNCTION("""COMPUTED_VALUE"""),45949.27922378886)</f>
        <v>45949.27922</v>
      </c>
      <c r="M1910" s="1" t="str">
        <f>IFERROR(__xludf.DUMMYFUNCTION("""COMPUTED_VALUE"""),"RFID")</f>
        <v>RFID</v>
      </c>
      <c r="N1910" s="5">
        <f>IFERROR(__xludf.DUMMYFUNCTION("""COMPUTED_VALUE"""),0.005791384259259259)</f>
        <v>0.005791384259</v>
      </c>
      <c r="O1910" s="5" t="str">
        <f>IFERROR(__xludf.DUMMYFUNCTION("""COMPUTED_VALUE"""),"")</f>
        <v/>
      </c>
      <c r="P1910" s="5" t="str">
        <f>IFERROR(__xludf.DUMMYFUNCTION("""COMPUTED_VALUE"""),"")</f>
        <v/>
      </c>
      <c r="Q1910" s="5">
        <f>IFERROR(__xludf.DUMMYFUNCTION("""COMPUTED_VALUE"""),0.004855944444444445)</f>
        <v>0.004855944444</v>
      </c>
      <c r="R1910" s="4">
        <f>IFERROR(__xludf.DUMMYFUNCTION("""COMPUTED_VALUE"""),45949.024279726356)</f>
        <v>45949.02428</v>
      </c>
      <c r="S1910" s="1" t="b">
        <f>IFERROR(__xludf.DUMMYFUNCTION("""COMPUTED_VALUE"""),TRUE)</f>
        <v>1</v>
      </c>
      <c r="T1910" s="1" t="b">
        <f>IFERROR(__xludf.DUMMYFUNCTION("""COMPUTED_VALUE"""),FALSE)</f>
        <v>0</v>
      </c>
      <c r="U1910" s="1" t="str">
        <f>IFERROR(__xludf.DUMMYFUNCTION("""COMPUTED_VALUE"""),"VALID")</f>
        <v>VALID</v>
      </c>
      <c r="V1910" s="1">
        <f>IFERROR(__xludf.DUMMYFUNCTION("""COMPUTED_VALUE"""),167.0)</f>
        <v>167</v>
      </c>
      <c r="W1910" s="1">
        <f>IFERROR(__xludf.DUMMYFUNCTION("""COMPUTED_VALUE"""),258.0)</f>
        <v>258</v>
      </c>
      <c r="X1910" s="1">
        <f>IFERROR(__xludf.DUMMYFUNCTION("""COMPUTED_VALUE"""),225.0)</f>
        <v>225</v>
      </c>
      <c r="Y1910" s="2"/>
      <c r="Z1910" s="2"/>
    </row>
    <row r="1911">
      <c r="A1911" s="1">
        <f>IFERROR(__xludf.DUMMYFUNCTION("""COMPUTED_VALUE"""),1910.0)</f>
        <v>1910</v>
      </c>
      <c r="B1911" s="1">
        <f>IFERROR(__xludf.DUMMYFUNCTION("""COMPUTED_VALUE"""),5419.0)</f>
        <v>5419</v>
      </c>
      <c r="C1911" s="2" t="str">
        <f>IFERROR(__xludf.DUMMYFUNCTION("""COMPUTED_VALUE"""),"Setiadi")</f>
        <v>Setiadi</v>
      </c>
      <c r="D1911" s="2" t="str">
        <f>IFERROR(__xludf.DUMMYFUNCTION("""COMPUTED_VALUE"""),"5KM OVERALL M")</f>
        <v>5KM OVERALL M</v>
      </c>
      <c r="E1911" s="1">
        <f>IFERROR(__xludf.DUMMYFUNCTION("""COMPUTED_VALUE"""),2.0)</f>
        <v>2</v>
      </c>
      <c r="F1911" s="1" t="str">
        <f>IFERROR(__xludf.DUMMYFUNCTION("""COMPUTED_VALUE"""),"Male")</f>
        <v>Male</v>
      </c>
      <c r="G1911" s="4" t="b">
        <f>IFERROR(__xludf.DUMMYFUNCTION("""COMPUTED_VALUE"""),TRUE)</f>
        <v>1</v>
      </c>
      <c r="H1911" s="4" t="b">
        <f>IFERROR(__xludf.DUMMYFUNCTION("""COMPUTED_VALUE"""),TRUE)</f>
        <v>1</v>
      </c>
      <c r="I1911" s="4">
        <f>IFERROR(__xludf.DUMMYFUNCTION("""COMPUTED_VALUE"""),0.2549440625)</f>
        <v>0.2549440625</v>
      </c>
      <c r="J1911" s="4">
        <f>IFERROR(__xludf.DUMMYFUNCTION("""COMPUTED_VALUE"""),45949.27349545444)</f>
        <v>45949.2735</v>
      </c>
      <c r="K1911" s="4" t="str">
        <f>IFERROR(__xludf.DUMMYFUNCTION("""COMPUTED_VALUE"""),"")</f>
        <v/>
      </c>
      <c r="L1911" s="4">
        <f>IFERROR(__xludf.DUMMYFUNCTION("""COMPUTED_VALUE"""),45949.28416476603)</f>
        <v>45949.28416</v>
      </c>
      <c r="M1911" s="1" t="str">
        <f>IFERROR(__xludf.DUMMYFUNCTION("""COMPUTED_VALUE"""),"RFID")</f>
        <v>RFID</v>
      </c>
      <c r="N1911" s="5">
        <f>IFERROR(__xludf.DUMMYFUNCTION("""COMPUTED_VALUE"""),0.007420555555555555)</f>
        <v>0.007420555556</v>
      </c>
      <c r="O1911" s="5" t="str">
        <f>IFERROR(__xludf.DUMMYFUNCTION("""COMPUTED_VALUE"""),"")</f>
        <v/>
      </c>
      <c r="P1911" s="5" t="str">
        <f>IFERROR(__xludf.DUMMYFUNCTION("""COMPUTED_VALUE"""),"")</f>
        <v/>
      </c>
      <c r="Q1911" s="5">
        <f>IFERROR(__xludf.DUMMYFUNCTION("""COMPUTED_VALUE"""),0.005844141203703703)</f>
        <v>0.005844141204</v>
      </c>
      <c r="R1911" s="4">
        <f>IFERROR(__xludf.DUMMYFUNCTION("""COMPUTED_VALUE"""),45949.02922070353)</f>
        <v>45949.02922</v>
      </c>
      <c r="S1911" s="1" t="b">
        <f>IFERROR(__xludf.DUMMYFUNCTION("""COMPUTED_VALUE"""),TRUE)</f>
        <v>1</v>
      </c>
      <c r="T1911" s="1" t="b">
        <f>IFERROR(__xludf.DUMMYFUNCTION("""COMPUTED_VALUE"""),FALSE)</f>
        <v>0</v>
      </c>
      <c r="U1911" s="1" t="str">
        <f>IFERROR(__xludf.DUMMYFUNCTION("""COMPUTED_VALUE"""),"VALID")</f>
        <v>VALID</v>
      </c>
      <c r="V1911" s="1">
        <f>IFERROR(__xludf.DUMMYFUNCTION("""COMPUTED_VALUE"""),343.0)</f>
        <v>343</v>
      </c>
      <c r="W1911" s="1">
        <f>IFERROR(__xludf.DUMMYFUNCTION("""COMPUTED_VALUE"""),507.0)</f>
        <v>507</v>
      </c>
      <c r="X1911" s="1">
        <f>IFERROR(__xludf.DUMMYFUNCTION("""COMPUTED_VALUE"""),442.0)</f>
        <v>442</v>
      </c>
      <c r="Y1911" s="2"/>
      <c r="Z1911" s="2"/>
    </row>
    <row r="1912">
      <c r="A1912" s="1">
        <f>IFERROR(__xludf.DUMMYFUNCTION("""COMPUTED_VALUE"""),1911.0)</f>
        <v>1911</v>
      </c>
      <c r="B1912" s="1">
        <f>IFERROR(__xludf.DUMMYFUNCTION("""COMPUTED_VALUE"""),5420.0)</f>
        <v>5420</v>
      </c>
      <c r="C1912" s="2" t="str">
        <f>IFERROR(__xludf.DUMMYFUNCTION("""COMPUTED_VALUE"""),"kesra ahmad")</f>
        <v>kesra ahmad</v>
      </c>
      <c r="D1912" s="2" t="str">
        <f>IFERROR(__xludf.DUMMYFUNCTION("""COMPUTED_VALUE"""),"5KM OVERALL M")</f>
        <v>5KM OVERALL M</v>
      </c>
      <c r="E1912" s="1">
        <f>IFERROR(__xludf.DUMMYFUNCTION("""COMPUTED_VALUE"""),2.0)</f>
        <v>2</v>
      </c>
      <c r="F1912" s="1" t="str">
        <f>IFERROR(__xludf.DUMMYFUNCTION("""COMPUTED_VALUE"""),"Male")</f>
        <v>Male</v>
      </c>
      <c r="G1912" s="4" t="b">
        <f>IFERROR(__xludf.DUMMYFUNCTION("""COMPUTED_VALUE"""),TRUE)</f>
        <v>1</v>
      </c>
      <c r="H1912" s="4" t="b">
        <f>IFERROR(__xludf.DUMMYFUNCTION("""COMPUTED_VALUE"""),TRUE)</f>
        <v>1</v>
      </c>
      <c r="I1912" s="4">
        <f>IFERROR(__xludf.DUMMYFUNCTION("""COMPUTED_VALUE"""),0.2549440625)</f>
        <v>0.2549440625</v>
      </c>
      <c r="J1912" s="4">
        <f>IFERROR(__xludf.DUMMYFUNCTION("""COMPUTED_VALUE"""),45949.27602322317)</f>
        <v>45949.27602</v>
      </c>
      <c r="K1912" s="4" t="str">
        <f>IFERROR(__xludf.DUMMYFUNCTION("""COMPUTED_VALUE"""),"")</f>
        <v/>
      </c>
      <c r="L1912" s="4">
        <f>IFERROR(__xludf.DUMMYFUNCTION("""COMPUTED_VALUE"""),45949.290900881046)</f>
        <v>45949.2909</v>
      </c>
      <c r="M1912" s="1" t="str">
        <f>IFERROR(__xludf.DUMMYFUNCTION("""COMPUTED_VALUE"""),"RFID")</f>
        <v>RFID</v>
      </c>
      <c r="N1912" s="5">
        <f>IFERROR(__xludf.DUMMYFUNCTION("""COMPUTED_VALUE"""),0.008431662037037036)</f>
        <v>0.008431662037</v>
      </c>
      <c r="O1912" s="5" t="str">
        <f>IFERROR(__xludf.DUMMYFUNCTION("""COMPUTED_VALUE"""),"")</f>
        <v/>
      </c>
      <c r="P1912" s="5" t="str">
        <f>IFERROR(__xludf.DUMMYFUNCTION("""COMPUTED_VALUE"""),"")</f>
        <v/>
      </c>
      <c r="Q1912" s="5">
        <f>IFERROR(__xludf.DUMMYFUNCTION("""COMPUTED_VALUE"""),0.007191363425925926)</f>
        <v>0.007191363426</v>
      </c>
      <c r="R1912" s="4">
        <f>IFERROR(__xludf.DUMMYFUNCTION("""COMPUTED_VALUE"""),45949.035956818545)</f>
        <v>45949.03596</v>
      </c>
      <c r="S1912" s="1" t="b">
        <f>IFERROR(__xludf.DUMMYFUNCTION("""COMPUTED_VALUE"""),TRUE)</f>
        <v>1</v>
      </c>
      <c r="T1912" s="1" t="b">
        <f>IFERROR(__xludf.DUMMYFUNCTION("""COMPUTED_VALUE"""),FALSE)</f>
        <v>0</v>
      </c>
      <c r="U1912" s="1" t="str">
        <f>IFERROR(__xludf.DUMMYFUNCTION("""COMPUTED_VALUE"""),"VALID")</f>
        <v>VALID</v>
      </c>
      <c r="V1912" s="1">
        <f>IFERROR(__xludf.DUMMYFUNCTION("""COMPUTED_VALUE"""),594.0)</f>
        <v>594</v>
      </c>
      <c r="W1912" s="1">
        <f>IFERROR(__xludf.DUMMYFUNCTION("""COMPUTED_VALUE"""),959.0)</f>
        <v>959</v>
      </c>
      <c r="X1912" s="1">
        <f>IFERROR(__xludf.DUMMYFUNCTION("""COMPUTED_VALUE"""),777.0)</f>
        <v>777</v>
      </c>
      <c r="Y1912" s="2"/>
      <c r="Z1912" s="2"/>
    </row>
    <row r="1913">
      <c r="A1913" s="1">
        <f>IFERROR(__xludf.DUMMYFUNCTION("""COMPUTED_VALUE"""),1912.0)</f>
        <v>1912</v>
      </c>
      <c r="B1913" s="1">
        <f>IFERROR(__xludf.DUMMYFUNCTION("""COMPUTED_VALUE"""),5421.0)</f>
        <v>5421</v>
      </c>
      <c r="C1913" s="2" t="str">
        <f>IFERROR(__xludf.DUMMYFUNCTION("""COMPUTED_VALUE"""),"AYAHNYA AZRA")</f>
        <v>AYAHNYA AZRA</v>
      </c>
      <c r="D1913" s="2" t="str">
        <f>IFERROR(__xludf.DUMMYFUNCTION("""COMPUTED_VALUE"""),"5KM OVERALL M")</f>
        <v>5KM OVERALL M</v>
      </c>
      <c r="E1913" s="1">
        <f>IFERROR(__xludf.DUMMYFUNCTION("""COMPUTED_VALUE"""),2.0)</f>
        <v>2</v>
      </c>
      <c r="F1913" s="1" t="str">
        <f>IFERROR(__xludf.DUMMYFUNCTION("""COMPUTED_VALUE"""),"Male")</f>
        <v>Male</v>
      </c>
      <c r="G1913" s="4" t="b">
        <f>IFERROR(__xludf.DUMMYFUNCTION("""COMPUTED_VALUE"""),TRUE)</f>
        <v>1</v>
      </c>
      <c r="H1913" s="4" t="b">
        <f>IFERROR(__xludf.DUMMYFUNCTION("""COMPUTED_VALUE"""),FALSE)</f>
        <v>0</v>
      </c>
      <c r="I1913" s="4">
        <f>IFERROR(__xludf.DUMMYFUNCTION("""COMPUTED_VALUE"""),0.2549440625)</f>
        <v>0.2549440625</v>
      </c>
      <c r="J1913" s="4">
        <f>IFERROR(__xludf.DUMMYFUNCTION("""COMPUTED_VALUE"""),45949.28289127946)</f>
        <v>45949.28289</v>
      </c>
      <c r="K1913" s="4" t="str">
        <f>IFERROR(__xludf.DUMMYFUNCTION("""COMPUTED_VALUE"""),"")</f>
        <v/>
      </c>
      <c r="L1913" s="4">
        <f>IFERROR(__xludf.DUMMYFUNCTION("""COMPUTED_VALUE"""),45949.30074808468)</f>
        <v>45949.30075</v>
      </c>
      <c r="M1913" s="1" t="str">
        <f>IFERROR(__xludf.DUMMYFUNCTION("""COMPUTED_VALUE"""),"RFID")</f>
        <v>RFID</v>
      </c>
      <c r="N1913" s="5">
        <f>IFERROR(__xludf.DUMMYFUNCTION("""COMPUTED_VALUE"""),0.011178888888888888)</f>
        <v>0.01117888889</v>
      </c>
      <c r="O1913" s="5" t="str">
        <f>IFERROR(__xludf.DUMMYFUNCTION("""COMPUTED_VALUE"""),"")</f>
        <v/>
      </c>
      <c r="P1913" s="5" t="str">
        <f>IFERROR(__xludf.DUMMYFUNCTION("""COMPUTED_VALUE"""),"")</f>
        <v/>
      </c>
      <c r="Q1913" s="5">
        <f>IFERROR(__xludf.DUMMYFUNCTION("""COMPUTED_VALUE"""),0.009160805555555556)</f>
        <v>0.009160805556</v>
      </c>
      <c r="R1913" s="4">
        <f>IFERROR(__xludf.DUMMYFUNCTION("""COMPUTED_VALUE"""),45949.04580402218)</f>
        <v>45949.0458</v>
      </c>
      <c r="S1913" s="1" t="b">
        <f>IFERROR(__xludf.DUMMYFUNCTION("""COMPUTED_VALUE"""),TRUE)</f>
        <v>1</v>
      </c>
      <c r="T1913" s="1" t="b">
        <f>IFERROR(__xludf.DUMMYFUNCTION("""COMPUTED_VALUE"""),FALSE)</f>
        <v>0</v>
      </c>
      <c r="U1913" s="1" t="str">
        <f>IFERROR(__xludf.DUMMYFUNCTION("""COMPUTED_VALUE"""),"VALID")</f>
        <v>VALID</v>
      </c>
      <c r="V1913" s="1">
        <f>IFERROR(__xludf.DUMMYFUNCTION("""COMPUTED_VALUE"""),805.0)</f>
        <v>805</v>
      </c>
      <c r="W1913" s="1">
        <f>IFERROR(__xludf.DUMMYFUNCTION("""COMPUTED_VALUE"""),1478.0)</f>
        <v>1478</v>
      </c>
      <c r="X1913" s="1">
        <f>IFERROR(__xludf.DUMMYFUNCTION("""COMPUTED_VALUE"""),1229.0)</f>
        <v>1229</v>
      </c>
      <c r="Y1913" s="2"/>
      <c r="Z1913" s="2"/>
    </row>
    <row r="1914">
      <c r="A1914" s="1">
        <f>IFERROR(__xludf.DUMMYFUNCTION("""COMPUTED_VALUE"""),1913.0)</f>
        <v>1913</v>
      </c>
      <c r="B1914" s="1">
        <f>IFERROR(__xludf.DUMMYFUNCTION("""COMPUTED_VALUE"""),5422.0)</f>
        <v>5422</v>
      </c>
      <c r="C1914" s="2" t="str">
        <f>IFERROR(__xludf.DUMMYFUNCTION("""COMPUTED_VALUE"""),"SANDI")</f>
        <v>SANDI</v>
      </c>
      <c r="D1914" s="2" t="str">
        <f>IFERROR(__xludf.DUMMYFUNCTION("""COMPUTED_VALUE"""),"5KM OVERALL M")</f>
        <v>5KM OVERALL M</v>
      </c>
      <c r="E1914" s="1">
        <f>IFERROR(__xludf.DUMMYFUNCTION("""COMPUTED_VALUE"""),2.0)</f>
        <v>2</v>
      </c>
      <c r="F1914" s="1" t="str">
        <f>IFERROR(__xludf.DUMMYFUNCTION("""COMPUTED_VALUE"""),"Male")</f>
        <v>Male</v>
      </c>
      <c r="G1914" s="4" t="b">
        <f>IFERROR(__xludf.DUMMYFUNCTION("""COMPUTED_VALUE"""),TRUE)</f>
        <v>1</v>
      </c>
      <c r="H1914" s="4" t="b">
        <f>IFERROR(__xludf.DUMMYFUNCTION("""COMPUTED_VALUE"""),TRUE)</f>
        <v>1</v>
      </c>
      <c r="I1914" s="4">
        <f>IFERROR(__xludf.DUMMYFUNCTION("""COMPUTED_VALUE"""),0.2549440625)</f>
        <v>0.2549440625</v>
      </c>
      <c r="J1914" s="4">
        <f>IFERROR(__xludf.DUMMYFUNCTION("""COMPUTED_VALUE"""),45949.26641216426)</f>
        <v>45949.26641</v>
      </c>
      <c r="K1914" s="4" t="str">
        <f>IFERROR(__xludf.DUMMYFUNCTION("""COMPUTED_VALUE"""),"")</f>
        <v/>
      </c>
      <c r="L1914" s="4">
        <f>IFERROR(__xludf.DUMMYFUNCTION("""COMPUTED_VALUE"""),45949.276185597846)</f>
        <v>45949.27619</v>
      </c>
      <c r="M1914" s="1" t="str">
        <f>IFERROR(__xludf.DUMMYFUNCTION("""COMPUTED_VALUE"""),"RFID")</f>
        <v>RFID</v>
      </c>
      <c r="N1914" s="5">
        <f>IFERROR(__xludf.DUMMYFUNCTION("""COMPUTED_VALUE"""),0.004587240740740741)</f>
        <v>0.004587240741</v>
      </c>
      <c r="O1914" s="5" t="str">
        <f>IFERROR(__xludf.DUMMYFUNCTION("""COMPUTED_VALUE"""),"")</f>
        <v/>
      </c>
      <c r="P1914" s="5" t="str">
        <f>IFERROR(__xludf.DUMMYFUNCTION("""COMPUTED_VALUE"""),"")</f>
        <v/>
      </c>
      <c r="Q1914" s="5">
        <f>IFERROR(__xludf.DUMMYFUNCTION("""COMPUTED_VALUE"""),0.004248307870370371)</f>
        <v>0.00424830787</v>
      </c>
      <c r="R1914" s="4">
        <f>IFERROR(__xludf.DUMMYFUNCTION("""COMPUTED_VALUE"""),45949.021241535345)</f>
        <v>45949.02124</v>
      </c>
      <c r="S1914" s="1" t="b">
        <f>IFERROR(__xludf.DUMMYFUNCTION("""COMPUTED_VALUE"""),TRUE)</f>
        <v>1</v>
      </c>
      <c r="T1914" s="1" t="b">
        <f>IFERROR(__xludf.DUMMYFUNCTION("""COMPUTED_VALUE"""),FALSE)</f>
        <v>0</v>
      </c>
      <c r="U1914" s="1" t="str">
        <f>IFERROR(__xludf.DUMMYFUNCTION("""COMPUTED_VALUE"""),"VALID")</f>
        <v>VALID</v>
      </c>
      <c r="V1914" s="1">
        <f>IFERROR(__xludf.DUMMYFUNCTION("""COMPUTED_VALUE"""),97.0)</f>
        <v>97</v>
      </c>
      <c r="W1914" s="1">
        <f>IFERROR(__xludf.DUMMYFUNCTION("""COMPUTED_VALUE"""),151.0)</f>
        <v>151</v>
      </c>
      <c r="X1914" s="1">
        <f>IFERROR(__xludf.DUMMYFUNCTION("""COMPUTED_VALUE"""),135.0)</f>
        <v>135</v>
      </c>
      <c r="Y1914" s="2"/>
      <c r="Z1914" s="2"/>
    </row>
    <row r="1915">
      <c r="A1915" s="1">
        <f>IFERROR(__xludf.DUMMYFUNCTION("""COMPUTED_VALUE"""),1914.0)</f>
        <v>1914</v>
      </c>
      <c r="B1915" s="1">
        <f>IFERROR(__xludf.DUMMYFUNCTION("""COMPUTED_VALUE"""),5424.0)</f>
        <v>5424</v>
      </c>
      <c r="C1915" s="2" t="str">
        <f>IFERROR(__xludf.DUMMYFUNCTION("""COMPUTED_VALUE"""),"Muhammad Poespo Kunarto")</f>
        <v>Muhammad Poespo Kunarto</v>
      </c>
      <c r="D1915" s="2" t="str">
        <f>IFERROR(__xludf.DUMMYFUNCTION("""COMPUTED_VALUE"""),"5KM OVERALL M")</f>
        <v>5KM OVERALL M</v>
      </c>
      <c r="E1915" s="1">
        <f>IFERROR(__xludf.DUMMYFUNCTION("""COMPUTED_VALUE"""),2.0)</f>
        <v>2</v>
      </c>
      <c r="F1915" s="1" t="str">
        <f>IFERROR(__xludf.DUMMYFUNCTION("""COMPUTED_VALUE"""),"Male")</f>
        <v>Male</v>
      </c>
      <c r="G1915" s="4" t="b">
        <f>IFERROR(__xludf.DUMMYFUNCTION("""COMPUTED_VALUE"""),TRUE)</f>
        <v>1</v>
      </c>
      <c r="H1915" s="4" t="b">
        <f>IFERROR(__xludf.DUMMYFUNCTION("""COMPUTED_VALUE"""),TRUE)</f>
        <v>1</v>
      </c>
      <c r="I1915" s="4">
        <f>IFERROR(__xludf.DUMMYFUNCTION("""COMPUTED_VALUE"""),0.2549440625)</f>
        <v>0.2549440625</v>
      </c>
      <c r="J1915" s="4">
        <f>IFERROR(__xludf.DUMMYFUNCTION("""COMPUTED_VALUE"""),45949.2668913219)</f>
        <v>45949.26689</v>
      </c>
      <c r="K1915" s="4" t="str">
        <f>IFERROR(__xludf.DUMMYFUNCTION("""COMPUTED_VALUE"""),"")</f>
        <v/>
      </c>
      <c r="L1915" s="4">
        <f>IFERROR(__xludf.DUMMYFUNCTION("""COMPUTED_VALUE"""),45949.2767654509)</f>
        <v>45949.27677</v>
      </c>
      <c r="M1915" s="1" t="str">
        <f>IFERROR(__xludf.DUMMYFUNCTION("""COMPUTED_VALUE"""),"RFID")</f>
        <v>RFID</v>
      </c>
      <c r="N1915" s="5">
        <f>IFERROR(__xludf.DUMMYFUNCTION("""COMPUTED_VALUE"""),0.004778902777777778)</f>
        <v>0.004778902778</v>
      </c>
      <c r="O1915" s="5" t="str">
        <f>IFERROR(__xludf.DUMMYFUNCTION("""COMPUTED_VALUE"""),"")</f>
        <v/>
      </c>
      <c r="P1915" s="5" t="str">
        <f>IFERROR(__xludf.DUMMYFUNCTION("""COMPUTED_VALUE"""),"")</f>
        <v/>
      </c>
      <c r="Q1915" s="5">
        <f>IFERROR(__xludf.DUMMYFUNCTION("""COMPUTED_VALUE"""),0.004364277777777778)</f>
        <v>0.004364277778</v>
      </c>
      <c r="R1915" s="4">
        <f>IFERROR(__xludf.DUMMYFUNCTION("""COMPUTED_VALUE"""),45949.0218213884)</f>
        <v>45949.02182</v>
      </c>
      <c r="S1915" s="1" t="b">
        <f>IFERROR(__xludf.DUMMYFUNCTION("""COMPUTED_VALUE"""),TRUE)</f>
        <v>1</v>
      </c>
      <c r="T1915" s="1" t="b">
        <f>IFERROR(__xludf.DUMMYFUNCTION("""COMPUTED_VALUE"""),FALSE)</f>
        <v>0</v>
      </c>
      <c r="U1915" s="1" t="str">
        <f>IFERROR(__xludf.DUMMYFUNCTION("""COMPUTED_VALUE"""),"VALID")</f>
        <v>VALID</v>
      </c>
      <c r="V1915" s="1">
        <f>IFERROR(__xludf.DUMMYFUNCTION("""COMPUTED_VALUE"""),109.0)</f>
        <v>109</v>
      </c>
      <c r="W1915" s="1">
        <f>IFERROR(__xludf.DUMMYFUNCTION("""COMPUTED_VALUE"""),170.0)</f>
        <v>170</v>
      </c>
      <c r="X1915" s="1">
        <f>IFERROR(__xludf.DUMMYFUNCTION("""COMPUTED_VALUE"""),150.0)</f>
        <v>150</v>
      </c>
      <c r="Y1915" s="2"/>
      <c r="Z1915" s="2"/>
    </row>
    <row r="1916">
      <c r="A1916" s="1">
        <f>IFERROR(__xludf.DUMMYFUNCTION("""COMPUTED_VALUE"""),1915.0)</f>
        <v>1915</v>
      </c>
      <c r="B1916" s="1">
        <f>IFERROR(__xludf.DUMMYFUNCTION("""COMPUTED_VALUE"""),5425.0)</f>
        <v>5425</v>
      </c>
      <c r="C1916" s="2" t="str">
        <f>IFERROR(__xludf.DUMMYFUNCTION("""COMPUTED_VALUE"""),"Hafiz")</f>
        <v>Hafiz</v>
      </c>
      <c r="D1916" s="2" t="str">
        <f>IFERROR(__xludf.DUMMYFUNCTION("""COMPUTED_VALUE"""),"5KM OVERALL M")</f>
        <v>5KM OVERALL M</v>
      </c>
      <c r="E1916" s="1">
        <f>IFERROR(__xludf.DUMMYFUNCTION("""COMPUTED_VALUE"""),2.0)</f>
        <v>2</v>
      </c>
      <c r="F1916" s="1" t="str">
        <f>IFERROR(__xludf.DUMMYFUNCTION("""COMPUTED_VALUE"""),"Male")</f>
        <v>Male</v>
      </c>
      <c r="G1916" s="4" t="str">
        <f>IFERROR(__xludf.DUMMYFUNCTION("""COMPUTED_VALUE"""),"")</f>
        <v/>
      </c>
      <c r="H1916" s="4" t="b">
        <f>IFERROR(__xludf.DUMMYFUNCTION("""COMPUTED_VALUE"""),FALSE)</f>
        <v>0</v>
      </c>
      <c r="I1916" s="4">
        <f>IFERROR(__xludf.DUMMYFUNCTION("""COMPUTED_VALUE"""),0.2549440625)</f>
        <v>0.2549440625</v>
      </c>
      <c r="J1916" s="4" t="str">
        <f>IFERROR(__xludf.DUMMYFUNCTION("""COMPUTED_VALUE"""),"")</f>
        <v/>
      </c>
      <c r="K1916" s="4" t="str">
        <f>IFERROR(__xludf.DUMMYFUNCTION("""COMPUTED_VALUE"""),"")</f>
        <v/>
      </c>
      <c r="L1916" s="4" t="str">
        <f>IFERROR(__xludf.DUMMYFUNCTION("""COMPUTED_VALUE"""),"")</f>
        <v/>
      </c>
      <c r="M1916" s="1" t="str">
        <f>IFERROR(__xludf.DUMMYFUNCTION("""COMPUTED_VALUE"""),"RFID")</f>
        <v>RFID</v>
      </c>
      <c r="N1916" s="5" t="str">
        <f>IFERROR(__xludf.DUMMYFUNCTION("""COMPUTED_VALUE"""),"")</f>
        <v/>
      </c>
      <c r="O1916" s="5" t="str">
        <f>IFERROR(__xludf.DUMMYFUNCTION("""COMPUTED_VALUE"""),"")</f>
        <v/>
      </c>
      <c r="P1916" s="5" t="str">
        <f>IFERROR(__xludf.DUMMYFUNCTION("""COMPUTED_VALUE"""),"")</f>
        <v/>
      </c>
      <c r="Q1916" s="5" t="str">
        <f>IFERROR(__xludf.DUMMYFUNCTION("""COMPUTED_VALUE"""),"")</f>
        <v/>
      </c>
      <c r="R1916" s="4" t="str">
        <f>IFERROR(__xludf.DUMMYFUNCTION("""COMPUTED_VALUE"""),"")</f>
        <v/>
      </c>
      <c r="S1916" s="1" t="b">
        <f>IFERROR(__xludf.DUMMYFUNCTION("""COMPUTED_VALUE"""),FALSE)</f>
        <v>0</v>
      </c>
      <c r="T1916" s="1" t="b">
        <f>IFERROR(__xludf.DUMMYFUNCTION("""COMPUTED_VALUE"""),FALSE)</f>
        <v>0</v>
      </c>
      <c r="U1916" s="1" t="str">
        <f>IFERROR(__xludf.DUMMYFUNCTION("""COMPUTED_VALUE"""),"DSQ")</f>
        <v>DSQ</v>
      </c>
      <c r="V1916" s="1" t="str">
        <f>IFERROR(__xludf.DUMMYFUNCTION("""COMPUTED_VALUE"""),"DSQ")</f>
        <v>DSQ</v>
      </c>
      <c r="W1916" s="1" t="str">
        <f>IFERROR(__xludf.DUMMYFUNCTION("""COMPUTED_VALUE"""),"DSQ")</f>
        <v>DSQ</v>
      </c>
      <c r="X1916" s="1" t="str">
        <f>IFERROR(__xludf.DUMMYFUNCTION("""COMPUTED_VALUE"""),"DSQ")</f>
        <v>DSQ</v>
      </c>
      <c r="Y1916" s="2"/>
      <c r="Z1916" s="2" t="str">
        <f>IFERROR(__xludf.DUMMYFUNCTION("""COMPUTED_VALUE"""),"")</f>
        <v/>
      </c>
    </row>
    <row r="1917">
      <c r="A1917" s="1">
        <f>IFERROR(__xludf.DUMMYFUNCTION("""COMPUTED_VALUE"""),1916.0)</f>
        <v>1916</v>
      </c>
      <c r="B1917" s="1">
        <f>IFERROR(__xludf.DUMMYFUNCTION("""COMPUTED_VALUE"""),5426.0)</f>
        <v>5426</v>
      </c>
      <c r="C1917" s="2" t="str">
        <f>IFERROR(__xludf.DUMMYFUNCTION("""COMPUTED_VALUE"""),"YudhaMex")</f>
        <v>YudhaMex</v>
      </c>
      <c r="D1917" s="2" t="str">
        <f>IFERROR(__xludf.DUMMYFUNCTION("""COMPUTED_VALUE"""),"5KM OVERALL M")</f>
        <v>5KM OVERALL M</v>
      </c>
      <c r="E1917" s="1">
        <f>IFERROR(__xludf.DUMMYFUNCTION("""COMPUTED_VALUE"""),2.0)</f>
        <v>2</v>
      </c>
      <c r="F1917" s="1" t="str">
        <f>IFERROR(__xludf.DUMMYFUNCTION("""COMPUTED_VALUE"""),"Male")</f>
        <v>Male</v>
      </c>
      <c r="G1917" s="4" t="b">
        <f>IFERROR(__xludf.DUMMYFUNCTION("""COMPUTED_VALUE"""),TRUE)</f>
        <v>1</v>
      </c>
      <c r="H1917" s="4" t="b">
        <f>IFERROR(__xludf.DUMMYFUNCTION("""COMPUTED_VALUE"""),TRUE)</f>
        <v>1</v>
      </c>
      <c r="I1917" s="4">
        <f>IFERROR(__xludf.DUMMYFUNCTION("""COMPUTED_VALUE"""),0.2549440625)</f>
        <v>0.2549440625</v>
      </c>
      <c r="J1917" s="4">
        <f>IFERROR(__xludf.DUMMYFUNCTION("""COMPUTED_VALUE"""),45949.272842740334)</f>
        <v>45949.27284</v>
      </c>
      <c r="K1917" s="4" t="str">
        <f>IFERROR(__xludf.DUMMYFUNCTION("""COMPUTED_VALUE"""),"")</f>
        <v/>
      </c>
      <c r="L1917" s="4">
        <f>IFERROR(__xludf.DUMMYFUNCTION("""COMPUTED_VALUE"""),45949.283127552706)</f>
        <v>45949.28313</v>
      </c>
      <c r="M1917" s="1" t="str">
        <f>IFERROR(__xludf.DUMMYFUNCTION("""COMPUTED_VALUE"""),"RFID")</f>
        <v>RFID</v>
      </c>
      <c r="N1917" s="5">
        <f>IFERROR(__xludf.DUMMYFUNCTION("""COMPUTED_VALUE"""),0.007159472222222222)</f>
        <v>0.007159472222</v>
      </c>
      <c r="O1917" s="5" t="str">
        <f>IFERROR(__xludf.DUMMYFUNCTION("""COMPUTED_VALUE"""),"")</f>
        <v/>
      </c>
      <c r="P1917" s="5" t="str">
        <f>IFERROR(__xludf.DUMMYFUNCTION("""COMPUTED_VALUE"""),"")</f>
        <v/>
      </c>
      <c r="Q1917" s="5">
        <f>IFERROR(__xludf.DUMMYFUNCTION("""COMPUTED_VALUE"""),0.005636699074074074)</f>
        <v>0.005636699074</v>
      </c>
      <c r="R1917" s="4">
        <f>IFERROR(__xludf.DUMMYFUNCTION("""COMPUTED_VALUE"""),45949.028183490205)</f>
        <v>45949.02818</v>
      </c>
      <c r="S1917" s="1" t="b">
        <f>IFERROR(__xludf.DUMMYFUNCTION("""COMPUTED_VALUE"""),TRUE)</f>
        <v>1</v>
      </c>
      <c r="T1917" s="1" t="b">
        <f>IFERROR(__xludf.DUMMYFUNCTION("""COMPUTED_VALUE"""),FALSE)</f>
        <v>0</v>
      </c>
      <c r="U1917" s="1" t="str">
        <f>IFERROR(__xludf.DUMMYFUNCTION("""COMPUTED_VALUE"""),"VALID")</f>
        <v>VALID</v>
      </c>
      <c r="V1917" s="1">
        <f>IFERROR(__xludf.DUMMYFUNCTION("""COMPUTED_VALUE"""),290.0)</f>
        <v>290</v>
      </c>
      <c r="W1917" s="1">
        <f>IFERROR(__xludf.DUMMYFUNCTION("""COMPUTED_VALUE"""),438.0)</f>
        <v>438</v>
      </c>
      <c r="X1917" s="1">
        <f>IFERROR(__xludf.DUMMYFUNCTION("""COMPUTED_VALUE"""),379.0)</f>
        <v>379</v>
      </c>
      <c r="Y1917" s="2"/>
      <c r="Z1917" s="2"/>
    </row>
    <row r="1918">
      <c r="A1918" s="1">
        <f>IFERROR(__xludf.DUMMYFUNCTION("""COMPUTED_VALUE"""),1917.0)</f>
        <v>1917</v>
      </c>
      <c r="B1918" s="1">
        <f>IFERROR(__xludf.DUMMYFUNCTION("""COMPUTED_VALUE"""),5430.0)</f>
        <v>5430</v>
      </c>
      <c r="C1918" s="2" t="str">
        <f>IFERROR(__xludf.DUMMYFUNCTION("""COMPUTED_VALUE"""),"Etis")</f>
        <v>Etis</v>
      </c>
      <c r="D1918" s="2" t="str">
        <f>IFERROR(__xludf.DUMMYFUNCTION("""COMPUTED_VALUE"""),"5KM OVERALL M")</f>
        <v>5KM OVERALL M</v>
      </c>
      <c r="E1918" s="1">
        <f>IFERROR(__xludf.DUMMYFUNCTION("""COMPUTED_VALUE"""),2.0)</f>
        <v>2</v>
      </c>
      <c r="F1918" s="1" t="str">
        <f>IFERROR(__xludf.DUMMYFUNCTION("""COMPUTED_VALUE"""),"Male")</f>
        <v>Male</v>
      </c>
      <c r="G1918" s="4" t="b">
        <f>IFERROR(__xludf.DUMMYFUNCTION("""COMPUTED_VALUE"""),TRUE)</f>
        <v>1</v>
      </c>
      <c r="H1918" s="4" t="b">
        <f>IFERROR(__xludf.DUMMYFUNCTION("""COMPUTED_VALUE"""),TRUE)</f>
        <v>1</v>
      </c>
      <c r="I1918" s="4">
        <f>IFERROR(__xludf.DUMMYFUNCTION("""COMPUTED_VALUE"""),0.2549440625)</f>
        <v>0.2549440625</v>
      </c>
      <c r="J1918" s="4">
        <f>IFERROR(__xludf.DUMMYFUNCTION("""COMPUTED_VALUE"""),45949.27319682006)</f>
        <v>45949.2732</v>
      </c>
      <c r="K1918" s="4" t="str">
        <f>IFERROR(__xludf.DUMMYFUNCTION("""COMPUTED_VALUE"""),"")</f>
        <v/>
      </c>
      <c r="L1918" s="4">
        <f>IFERROR(__xludf.DUMMYFUNCTION("""COMPUTED_VALUE"""),45949.28761266808)</f>
        <v>45949.28761</v>
      </c>
      <c r="M1918" s="1" t="str">
        <f>IFERROR(__xludf.DUMMYFUNCTION("""COMPUTED_VALUE"""),"RFID")</f>
        <v>RFID</v>
      </c>
      <c r="N1918" s="5">
        <f>IFERROR(__xludf.DUMMYFUNCTION("""COMPUTED_VALUE"""),0.007301101851851852)</f>
        <v>0.007301101852</v>
      </c>
      <c r="O1918" s="5" t="str">
        <f>IFERROR(__xludf.DUMMYFUNCTION("""COMPUTED_VALUE"""),"")</f>
        <v/>
      </c>
      <c r="P1918" s="5" t="str">
        <f>IFERROR(__xludf.DUMMYFUNCTION("""COMPUTED_VALUE"""),"")</f>
        <v/>
      </c>
      <c r="Q1918" s="5">
        <f>IFERROR(__xludf.DUMMYFUNCTION("""COMPUTED_VALUE"""),0.006533722222222223)</f>
        <v>0.006533722222</v>
      </c>
      <c r="R1918" s="4">
        <f>IFERROR(__xludf.DUMMYFUNCTION("""COMPUTED_VALUE"""),45949.03266860558)</f>
        <v>45949.03267</v>
      </c>
      <c r="S1918" s="1" t="b">
        <f>IFERROR(__xludf.DUMMYFUNCTION("""COMPUTED_VALUE"""),TRUE)</f>
        <v>1</v>
      </c>
      <c r="T1918" s="1" t="b">
        <f>IFERROR(__xludf.DUMMYFUNCTION("""COMPUTED_VALUE"""),FALSE)</f>
        <v>0</v>
      </c>
      <c r="U1918" s="1" t="str">
        <f>IFERROR(__xludf.DUMMYFUNCTION("""COMPUTED_VALUE"""),"VALID")</f>
        <v>VALID</v>
      </c>
      <c r="V1918" s="1">
        <f>IFERROR(__xludf.DUMMYFUNCTION("""COMPUTED_VALUE"""),479.0)</f>
        <v>479</v>
      </c>
      <c r="W1918" s="1">
        <f>IFERROR(__xludf.DUMMYFUNCTION("""COMPUTED_VALUE"""),745.0)</f>
        <v>745</v>
      </c>
      <c r="X1918" s="1">
        <f>IFERROR(__xludf.DUMMYFUNCTION("""COMPUTED_VALUE"""),620.0)</f>
        <v>620</v>
      </c>
      <c r="Y1918" s="2"/>
      <c r="Z1918" s="2"/>
    </row>
    <row r="1919">
      <c r="A1919" s="1">
        <f>IFERROR(__xludf.DUMMYFUNCTION("""COMPUTED_VALUE"""),1918.0)</f>
        <v>1918</v>
      </c>
      <c r="B1919" s="1">
        <f>IFERROR(__xludf.DUMMYFUNCTION("""COMPUTED_VALUE"""),5431.0)</f>
        <v>5431</v>
      </c>
      <c r="C1919" s="2" t="str">
        <f>IFERROR(__xludf.DUMMYFUNCTION("""COMPUTED_VALUE"""),"DIAZ")</f>
        <v>DIAZ</v>
      </c>
      <c r="D1919" s="2" t="str">
        <f>IFERROR(__xludf.DUMMYFUNCTION("""COMPUTED_VALUE"""),"5KM OVERALL M")</f>
        <v>5KM OVERALL M</v>
      </c>
      <c r="E1919" s="1">
        <f>IFERROR(__xludf.DUMMYFUNCTION("""COMPUTED_VALUE"""),2.0)</f>
        <v>2</v>
      </c>
      <c r="F1919" s="1" t="str">
        <f>IFERROR(__xludf.DUMMYFUNCTION("""COMPUTED_VALUE"""),"Male")</f>
        <v>Male</v>
      </c>
      <c r="G1919" s="4" t="b">
        <f>IFERROR(__xludf.DUMMYFUNCTION("""COMPUTED_VALUE"""),TRUE)</f>
        <v>1</v>
      </c>
      <c r="H1919" s="4" t="b">
        <f>IFERROR(__xludf.DUMMYFUNCTION("""COMPUTED_VALUE"""),FALSE)</f>
        <v>0</v>
      </c>
      <c r="I1919" s="4">
        <f>IFERROR(__xludf.DUMMYFUNCTION("""COMPUTED_VALUE"""),0.2549440625)</f>
        <v>0.2549440625</v>
      </c>
      <c r="J1919" s="4">
        <f>IFERROR(__xludf.DUMMYFUNCTION("""COMPUTED_VALUE"""),45949.27090870993)</f>
        <v>45949.27091</v>
      </c>
      <c r="K1919" s="4" t="str">
        <f>IFERROR(__xludf.DUMMYFUNCTION("""COMPUTED_VALUE"""),"")</f>
        <v/>
      </c>
      <c r="L1919" s="4">
        <f>IFERROR(__xludf.DUMMYFUNCTION("""COMPUTED_VALUE"""),45949.28266487122)</f>
        <v>45949.28266</v>
      </c>
      <c r="M1919" s="1" t="str">
        <f>IFERROR(__xludf.DUMMYFUNCTION("""COMPUTED_VALUE"""),"RFID")</f>
        <v>RFID</v>
      </c>
      <c r="N1919" s="5">
        <f>IFERROR(__xludf.DUMMYFUNCTION("""COMPUTED_VALUE"""),0.006385861111111111)</f>
        <v>0.006385861111</v>
      </c>
      <c r="O1919" s="5" t="str">
        <f>IFERROR(__xludf.DUMMYFUNCTION("""COMPUTED_VALUE"""),"")</f>
        <v/>
      </c>
      <c r="P1919" s="5" t="str">
        <f>IFERROR(__xludf.DUMMYFUNCTION("""COMPUTED_VALUE"""),"")</f>
        <v/>
      </c>
      <c r="Q1919" s="5">
        <f>IFERROR(__xludf.DUMMYFUNCTION("""COMPUTED_VALUE"""),0.005544162037037037)</f>
        <v>0.005544162037</v>
      </c>
      <c r="R1919" s="4">
        <f>IFERROR(__xludf.DUMMYFUNCTION("""COMPUTED_VALUE"""),45949.02772080872)</f>
        <v>45949.02772</v>
      </c>
      <c r="S1919" s="1" t="b">
        <f>IFERROR(__xludf.DUMMYFUNCTION("""COMPUTED_VALUE"""),TRUE)</f>
        <v>1</v>
      </c>
      <c r="T1919" s="1" t="b">
        <f>IFERROR(__xludf.DUMMYFUNCTION("""COMPUTED_VALUE"""),FALSE)</f>
        <v>0</v>
      </c>
      <c r="U1919" s="1" t="str">
        <f>IFERROR(__xludf.DUMMYFUNCTION("""COMPUTED_VALUE"""),"VALID")</f>
        <v>VALID</v>
      </c>
      <c r="V1919" s="1">
        <f>IFERROR(__xludf.DUMMYFUNCTION("""COMPUTED_VALUE"""),274.0)</f>
        <v>274</v>
      </c>
      <c r="W1919" s="1">
        <f>IFERROR(__xludf.DUMMYFUNCTION("""COMPUTED_VALUE"""),416.0)</f>
        <v>416</v>
      </c>
      <c r="X1919" s="1">
        <f>IFERROR(__xludf.DUMMYFUNCTION("""COMPUTED_VALUE"""),360.0)</f>
        <v>360</v>
      </c>
      <c r="Y1919" s="2"/>
      <c r="Z1919" s="2"/>
    </row>
    <row r="1920">
      <c r="A1920" s="1">
        <f>IFERROR(__xludf.DUMMYFUNCTION("""COMPUTED_VALUE"""),1919.0)</f>
        <v>1919</v>
      </c>
      <c r="B1920" s="1">
        <f>IFERROR(__xludf.DUMMYFUNCTION("""COMPUTED_VALUE"""),5432.0)</f>
        <v>5432</v>
      </c>
      <c r="C1920" s="2" t="str">
        <f>IFERROR(__xludf.DUMMYFUNCTION("""COMPUTED_VALUE"""),"BengBeng")</f>
        <v>BengBeng</v>
      </c>
      <c r="D1920" s="2" t="str">
        <f>IFERROR(__xludf.DUMMYFUNCTION("""COMPUTED_VALUE"""),"5KM OVERALL M")</f>
        <v>5KM OVERALL M</v>
      </c>
      <c r="E1920" s="1">
        <f>IFERROR(__xludf.DUMMYFUNCTION("""COMPUTED_VALUE"""),2.0)</f>
        <v>2</v>
      </c>
      <c r="F1920" s="1" t="str">
        <f>IFERROR(__xludf.DUMMYFUNCTION("""COMPUTED_VALUE"""),"Male")</f>
        <v>Male</v>
      </c>
      <c r="G1920" s="4" t="str">
        <f>IFERROR(__xludf.DUMMYFUNCTION("""COMPUTED_VALUE"""),"")</f>
        <v/>
      </c>
      <c r="H1920" s="4" t="b">
        <f>IFERROR(__xludf.DUMMYFUNCTION("""COMPUTED_VALUE"""),FALSE)</f>
        <v>0</v>
      </c>
      <c r="I1920" s="4">
        <f>IFERROR(__xludf.DUMMYFUNCTION("""COMPUTED_VALUE"""),0.2549440625)</f>
        <v>0.2549440625</v>
      </c>
      <c r="J1920" s="4" t="str">
        <f>IFERROR(__xludf.DUMMYFUNCTION("""COMPUTED_VALUE"""),"")</f>
        <v/>
      </c>
      <c r="K1920" s="4" t="str">
        <f>IFERROR(__xludf.DUMMYFUNCTION("""COMPUTED_VALUE"""),"")</f>
        <v/>
      </c>
      <c r="L1920" s="4" t="str">
        <f>IFERROR(__xludf.DUMMYFUNCTION("""COMPUTED_VALUE"""),"")</f>
        <v/>
      </c>
      <c r="M1920" s="1" t="str">
        <f>IFERROR(__xludf.DUMMYFUNCTION("""COMPUTED_VALUE"""),"RFID")</f>
        <v>RFID</v>
      </c>
      <c r="N1920" s="5" t="str">
        <f>IFERROR(__xludf.DUMMYFUNCTION("""COMPUTED_VALUE"""),"")</f>
        <v/>
      </c>
      <c r="O1920" s="5" t="str">
        <f>IFERROR(__xludf.DUMMYFUNCTION("""COMPUTED_VALUE"""),"")</f>
        <v/>
      </c>
      <c r="P1920" s="5" t="str">
        <f>IFERROR(__xludf.DUMMYFUNCTION("""COMPUTED_VALUE"""),"")</f>
        <v/>
      </c>
      <c r="Q1920" s="5" t="str">
        <f>IFERROR(__xludf.DUMMYFUNCTION("""COMPUTED_VALUE"""),"")</f>
        <v/>
      </c>
      <c r="R1920" s="4" t="str">
        <f>IFERROR(__xludf.DUMMYFUNCTION("""COMPUTED_VALUE"""),"")</f>
        <v/>
      </c>
      <c r="S1920" s="1" t="b">
        <f>IFERROR(__xludf.DUMMYFUNCTION("""COMPUTED_VALUE"""),FALSE)</f>
        <v>0</v>
      </c>
      <c r="T1920" s="1" t="b">
        <f>IFERROR(__xludf.DUMMYFUNCTION("""COMPUTED_VALUE"""),FALSE)</f>
        <v>0</v>
      </c>
      <c r="U1920" s="1" t="str">
        <f>IFERROR(__xludf.DUMMYFUNCTION("""COMPUTED_VALUE"""),"DSQ")</f>
        <v>DSQ</v>
      </c>
      <c r="V1920" s="1" t="str">
        <f>IFERROR(__xludf.DUMMYFUNCTION("""COMPUTED_VALUE"""),"DSQ")</f>
        <v>DSQ</v>
      </c>
      <c r="W1920" s="1" t="str">
        <f>IFERROR(__xludf.DUMMYFUNCTION("""COMPUTED_VALUE"""),"DSQ")</f>
        <v>DSQ</v>
      </c>
      <c r="X1920" s="1" t="str">
        <f>IFERROR(__xludf.DUMMYFUNCTION("""COMPUTED_VALUE"""),"DSQ")</f>
        <v>DSQ</v>
      </c>
      <c r="Y1920" s="2"/>
      <c r="Z1920" s="2" t="str">
        <f>IFERROR(__xludf.DUMMYFUNCTION("""COMPUTED_VALUE"""),"")</f>
        <v/>
      </c>
    </row>
    <row r="1921">
      <c r="A1921" s="1">
        <f>IFERROR(__xludf.DUMMYFUNCTION("""COMPUTED_VALUE"""),1920.0)</f>
        <v>1920</v>
      </c>
      <c r="B1921" s="1">
        <f>IFERROR(__xludf.DUMMYFUNCTION("""COMPUTED_VALUE"""),5435.0)</f>
        <v>5435</v>
      </c>
      <c r="C1921" s="2" t="str">
        <f>IFERROR(__xludf.DUMMYFUNCTION("""COMPUTED_VALUE"""),"Lufi")</f>
        <v>Lufi</v>
      </c>
      <c r="D1921" s="2" t="str">
        <f>IFERROR(__xludf.DUMMYFUNCTION("""COMPUTED_VALUE"""),"5KM OVERALL M")</f>
        <v>5KM OVERALL M</v>
      </c>
      <c r="E1921" s="1">
        <f>IFERROR(__xludf.DUMMYFUNCTION("""COMPUTED_VALUE"""),2.0)</f>
        <v>2</v>
      </c>
      <c r="F1921" s="1" t="str">
        <f>IFERROR(__xludf.DUMMYFUNCTION("""COMPUTED_VALUE"""),"Male")</f>
        <v>Male</v>
      </c>
      <c r="G1921" s="4" t="b">
        <f>IFERROR(__xludf.DUMMYFUNCTION("""COMPUTED_VALUE"""),TRUE)</f>
        <v>1</v>
      </c>
      <c r="H1921" s="4" t="b">
        <f>IFERROR(__xludf.DUMMYFUNCTION("""COMPUTED_VALUE"""),TRUE)</f>
        <v>1</v>
      </c>
      <c r="I1921" s="4">
        <f>IFERROR(__xludf.DUMMYFUNCTION("""COMPUTED_VALUE"""),0.2549440625)</f>
        <v>0.2549440625</v>
      </c>
      <c r="J1921" s="4">
        <f>IFERROR(__xludf.DUMMYFUNCTION("""COMPUTED_VALUE"""),45949.27436700033)</f>
        <v>45949.27437</v>
      </c>
      <c r="K1921" s="4" t="str">
        <f>IFERROR(__xludf.DUMMYFUNCTION("""COMPUTED_VALUE"""),"")</f>
        <v/>
      </c>
      <c r="L1921" s="4">
        <f>IFERROR(__xludf.DUMMYFUNCTION("""COMPUTED_VALUE"""),45949.28890780796)</f>
        <v>45949.28891</v>
      </c>
      <c r="M1921" s="1" t="str">
        <f>IFERROR(__xludf.DUMMYFUNCTION("""COMPUTED_VALUE"""),"RFID")</f>
        <v>RFID</v>
      </c>
      <c r="N1921" s="5">
        <f>IFERROR(__xludf.DUMMYFUNCTION("""COMPUTED_VALUE"""),0.007769175925925927)</f>
        <v>0.007769175926</v>
      </c>
      <c r="O1921" s="5" t="str">
        <f>IFERROR(__xludf.DUMMYFUNCTION("""COMPUTED_VALUE"""),"")</f>
        <v/>
      </c>
      <c r="P1921" s="5" t="str">
        <f>IFERROR(__xludf.DUMMYFUNCTION("""COMPUTED_VALUE"""),"")</f>
        <v/>
      </c>
      <c r="Q1921" s="5">
        <f>IFERROR(__xludf.DUMMYFUNCTION("""COMPUTED_VALUE"""),0.00679275)</f>
        <v>0.00679275</v>
      </c>
      <c r="R1921" s="4">
        <f>IFERROR(__xludf.DUMMYFUNCTION("""COMPUTED_VALUE"""),45949.03396374546)</f>
        <v>45949.03396</v>
      </c>
      <c r="S1921" s="1" t="b">
        <f>IFERROR(__xludf.DUMMYFUNCTION("""COMPUTED_VALUE"""),TRUE)</f>
        <v>1</v>
      </c>
      <c r="T1921" s="1" t="b">
        <f>IFERROR(__xludf.DUMMYFUNCTION("""COMPUTED_VALUE"""),FALSE)</f>
        <v>0</v>
      </c>
      <c r="U1921" s="1" t="str">
        <f>IFERROR(__xludf.DUMMYFUNCTION("""COMPUTED_VALUE"""),"VALID")</f>
        <v>VALID</v>
      </c>
      <c r="V1921" s="1">
        <f>IFERROR(__xludf.DUMMYFUNCTION("""COMPUTED_VALUE"""),534.0)</f>
        <v>534</v>
      </c>
      <c r="W1921" s="1">
        <f>IFERROR(__xludf.DUMMYFUNCTION("""COMPUTED_VALUE"""),840.0)</f>
        <v>840</v>
      </c>
      <c r="X1921" s="1">
        <f>IFERROR(__xludf.DUMMYFUNCTION("""COMPUTED_VALUE"""),687.0)</f>
        <v>687</v>
      </c>
      <c r="Y1921" s="2"/>
      <c r="Z1921" s="2"/>
    </row>
    <row r="1922">
      <c r="A1922" s="1">
        <f>IFERROR(__xludf.DUMMYFUNCTION("""COMPUTED_VALUE"""),1921.0)</f>
        <v>1921</v>
      </c>
      <c r="B1922" s="1">
        <f>IFERROR(__xludf.DUMMYFUNCTION("""COMPUTED_VALUE"""),5438.0)</f>
        <v>5438</v>
      </c>
      <c r="C1922" s="2" t="str">
        <f>IFERROR(__xludf.DUMMYFUNCTION("""COMPUTED_VALUE"""),"Abdul Rahman As Sambasi")</f>
        <v>Abdul Rahman As Sambasi</v>
      </c>
      <c r="D1922" s="2" t="str">
        <f>IFERROR(__xludf.DUMMYFUNCTION("""COMPUTED_VALUE"""),"5KM OVERALL M")</f>
        <v>5KM OVERALL M</v>
      </c>
      <c r="E1922" s="1">
        <f>IFERROR(__xludf.DUMMYFUNCTION("""COMPUTED_VALUE"""),2.0)</f>
        <v>2</v>
      </c>
      <c r="F1922" s="1" t="str">
        <f>IFERROR(__xludf.DUMMYFUNCTION("""COMPUTED_VALUE"""),"Male")</f>
        <v>Male</v>
      </c>
      <c r="G1922" s="4" t="b">
        <f>IFERROR(__xludf.DUMMYFUNCTION("""COMPUTED_VALUE"""),TRUE)</f>
        <v>1</v>
      </c>
      <c r="H1922" s="4" t="b">
        <f>IFERROR(__xludf.DUMMYFUNCTION("""COMPUTED_VALUE"""),TRUE)</f>
        <v>1</v>
      </c>
      <c r="I1922" s="4">
        <f>IFERROR(__xludf.DUMMYFUNCTION("""COMPUTED_VALUE"""),0.2549440625)</f>
        <v>0.2549440625</v>
      </c>
      <c r="J1922" s="4">
        <f>IFERROR(__xludf.DUMMYFUNCTION("""COMPUTED_VALUE"""),45949.270439887674)</f>
        <v>45949.27044</v>
      </c>
      <c r="K1922" s="4" t="str">
        <f>IFERROR(__xludf.DUMMYFUNCTION("""COMPUTED_VALUE"""),"")</f>
        <v/>
      </c>
      <c r="L1922" s="4">
        <f>IFERROR(__xludf.DUMMYFUNCTION("""COMPUTED_VALUE"""),45949.28407797653)</f>
        <v>45949.28408</v>
      </c>
      <c r="M1922" s="1" t="str">
        <f>IFERROR(__xludf.DUMMYFUNCTION("""COMPUTED_VALUE"""),"RFID")</f>
        <v>RFID</v>
      </c>
      <c r="N1922" s="5">
        <f>IFERROR(__xludf.DUMMYFUNCTION("""COMPUTED_VALUE"""),0.006198328703703703)</f>
        <v>0.006198328704</v>
      </c>
      <c r="O1922" s="5" t="str">
        <f>IFERROR(__xludf.DUMMYFUNCTION("""COMPUTED_VALUE"""),"")</f>
        <v/>
      </c>
      <c r="P1922" s="5" t="str">
        <f>IFERROR(__xludf.DUMMYFUNCTION("""COMPUTED_VALUE"""),"")</f>
        <v/>
      </c>
      <c r="Q1922" s="5">
        <f>IFERROR(__xludf.DUMMYFUNCTION("""COMPUTED_VALUE"""),0.005826782407407407)</f>
        <v>0.005826782407</v>
      </c>
      <c r="R1922" s="4">
        <f>IFERROR(__xludf.DUMMYFUNCTION("""COMPUTED_VALUE"""),45949.02913391403)</f>
        <v>45949.02913</v>
      </c>
      <c r="S1922" s="1" t="b">
        <f>IFERROR(__xludf.DUMMYFUNCTION("""COMPUTED_VALUE"""),TRUE)</f>
        <v>1</v>
      </c>
      <c r="T1922" s="1" t="b">
        <f>IFERROR(__xludf.DUMMYFUNCTION("""COMPUTED_VALUE"""),FALSE)</f>
        <v>0</v>
      </c>
      <c r="U1922" s="1" t="str">
        <f>IFERROR(__xludf.DUMMYFUNCTION("""COMPUTED_VALUE"""),"VALID")</f>
        <v>VALID</v>
      </c>
      <c r="V1922" s="1">
        <f>IFERROR(__xludf.DUMMYFUNCTION("""COMPUTED_VALUE"""),340.0)</f>
        <v>340</v>
      </c>
      <c r="W1922" s="1">
        <f>IFERROR(__xludf.DUMMYFUNCTION("""COMPUTED_VALUE"""),504.0)</f>
        <v>504</v>
      </c>
      <c r="X1922" s="1">
        <f>IFERROR(__xludf.DUMMYFUNCTION("""COMPUTED_VALUE"""),439.0)</f>
        <v>439</v>
      </c>
      <c r="Y1922" s="2"/>
      <c r="Z1922" s="2"/>
    </row>
    <row r="1923">
      <c r="A1923" s="1">
        <f>IFERROR(__xludf.DUMMYFUNCTION("""COMPUTED_VALUE"""),1922.0)</f>
        <v>1922</v>
      </c>
      <c r="B1923" s="1">
        <f>IFERROR(__xludf.DUMMYFUNCTION("""COMPUTED_VALUE"""),5439.0)</f>
        <v>5439</v>
      </c>
      <c r="C1923" s="2" t="str">
        <f>IFERROR(__xludf.DUMMYFUNCTION("""COMPUTED_VALUE"""),"ASHIF")</f>
        <v>ASHIF</v>
      </c>
      <c r="D1923" s="2" t="str">
        <f>IFERROR(__xludf.DUMMYFUNCTION("""COMPUTED_VALUE"""),"5KM OVERALL M")</f>
        <v>5KM OVERALL M</v>
      </c>
      <c r="E1923" s="1">
        <f>IFERROR(__xludf.DUMMYFUNCTION("""COMPUTED_VALUE"""),2.0)</f>
        <v>2</v>
      </c>
      <c r="F1923" s="1" t="str">
        <f>IFERROR(__xludf.DUMMYFUNCTION("""COMPUTED_VALUE"""),"Male")</f>
        <v>Male</v>
      </c>
      <c r="G1923" s="4" t="str">
        <f>IFERROR(__xludf.DUMMYFUNCTION("""COMPUTED_VALUE"""),"")</f>
        <v/>
      </c>
      <c r="H1923" s="4" t="b">
        <f>IFERROR(__xludf.DUMMYFUNCTION("""COMPUTED_VALUE"""),FALSE)</f>
        <v>0</v>
      </c>
      <c r="I1923" s="4">
        <f>IFERROR(__xludf.DUMMYFUNCTION("""COMPUTED_VALUE"""),0.2549440625)</f>
        <v>0.2549440625</v>
      </c>
      <c r="J1923" s="4" t="str">
        <f>IFERROR(__xludf.DUMMYFUNCTION("""COMPUTED_VALUE"""),"")</f>
        <v/>
      </c>
      <c r="K1923" s="4" t="str">
        <f>IFERROR(__xludf.DUMMYFUNCTION("""COMPUTED_VALUE"""),"")</f>
        <v/>
      </c>
      <c r="L1923" s="4" t="str">
        <f>IFERROR(__xludf.DUMMYFUNCTION("""COMPUTED_VALUE"""),"")</f>
        <v/>
      </c>
      <c r="M1923" s="1" t="str">
        <f>IFERROR(__xludf.DUMMYFUNCTION("""COMPUTED_VALUE"""),"RFID")</f>
        <v>RFID</v>
      </c>
      <c r="N1923" s="5" t="str">
        <f>IFERROR(__xludf.DUMMYFUNCTION("""COMPUTED_VALUE"""),"")</f>
        <v/>
      </c>
      <c r="O1923" s="5" t="str">
        <f>IFERROR(__xludf.DUMMYFUNCTION("""COMPUTED_VALUE"""),"")</f>
        <v/>
      </c>
      <c r="P1923" s="5" t="str">
        <f>IFERROR(__xludf.DUMMYFUNCTION("""COMPUTED_VALUE"""),"")</f>
        <v/>
      </c>
      <c r="Q1923" s="5" t="str">
        <f>IFERROR(__xludf.DUMMYFUNCTION("""COMPUTED_VALUE"""),"")</f>
        <v/>
      </c>
      <c r="R1923" s="4" t="str">
        <f>IFERROR(__xludf.DUMMYFUNCTION("""COMPUTED_VALUE"""),"")</f>
        <v/>
      </c>
      <c r="S1923" s="1" t="b">
        <f>IFERROR(__xludf.DUMMYFUNCTION("""COMPUTED_VALUE"""),FALSE)</f>
        <v>0</v>
      </c>
      <c r="T1923" s="1" t="b">
        <f>IFERROR(__xludf.DUMMYFUNCTION("""COMPUTED_VALUE"""),FALSE)</f>
        <v>0</v>
      </c>
      <c r="U1923" s="1" t="str">
        <f>IFERROR(__xludf.DUMMYFUNCTION("""COMPUTED_VALUE"""),"DSQ")</f>
        <v>DSQ</v>
      </c>
      <c r="V1923" s="1" t="str">
        <f>IFERROR(__xludf.DUMMYFUNCTION("""COMPUTED_VALUE"""),"DSQ")</f>
        <v>DSQ</v>
      </c>
      <c r="W1923" s="1" t="str">
        <f>IFERROR(__xludf.DUMMYFUNCTION("""COMPUTED_VALUE"""),"DSQ")</f>
        <v>DSQ</v>
      </c>
      <c r="X1923" s="1" t="str">
        <f>IFERROR(__xludf.DUMMYFUNCTION("""COMPUTED_VALUE"""),"DSQ")</f>
        <v>DSQ</v>
      </c>
      <c r="Y1923" s="2"/>
      <c r="Z1923" s="2" t="str">
        <f>IFERROR(__xludf.DUMMYFUNCTION("""COMPUTED_VALUE"""),"")</f>
        <v/>
      </c>
    </row>
    <row r="1924">
      <c r="A1924" s="1">
        <f>IFERROR(__xludf.DUMMYFUNCTION("""COMPUTED_VALUE"""),1923.0)</f>
        <v>1923</v>
      </c>
      <c r="B1924" s="1">
        <f>IFERROR(__xludf.DUMMYFUNCTION("""COMPUTED_VALUE"""),5441.0)</f>
        <v>5441</v>
      </c>
      <c r="C1924" s="2" t="str">
        <f>IFERROR(__xludf.DUMMYFUNCTION("""COMPUTED_VALUE"""),"cipto")</f>
        <v>cipto</v>
      </c>
      <c r="D1924" s="2" t="str">
        <f>IFERROR(__xludf.DUMMYFUNCTION("""COMPUTED_VALUE"""),"5KM OVERALL M")</f>
        <v>5KM OVERALL M</v>
      </c>
      <c r="E1924" s="1">
        <f>IFERROR(__xludf.DUMMYFUNCTION("""COMPUTED_VALUE"""),2.0)</f>
        <v>2</v>
      </c>
      <c r="F1924" s="1" t="str">
        <f>IFERROR(__xludf.DUMMYFUNCTION("""COMPUTED_VALUE"""),"Male")</f>
        <v>Male</v>
      </c>
      <c r="G1924" s="4" t="b">
        <f>IFERROR(__xludf.DUMMYFUNCTION("""COMPUTED_VALUE"""),TRUE)</f>
        <v>1</v>
      </c>
      <c r="H1924" s="4" t="b">
        <f>IFERROR(__xludf.DUMMYFUNCTION("""COMPUTED_VALUE"""),TRUE)</f>
        <v>1</v>
      </c>
      <c r="I1924" s="4">
        <f>IFERROR(__xludf.DUMMYFUNCTION("""COMPUTED_VALUE"""),0.2549440625)</f>
        <v>0.2549440625</v>
      </c>
      <c r="J1924" s="4">
        <f>IFERROR(__xludf.DUMMYFUNCTION("""COMPUTED_VALUE"""),45949.27001633593)</f>
        <v>45949.27002</v>
      </c>
      <c r="K1924" s="4" t="str">
        <f>IFERROR(__xludf.DUMMYFUNCTION("""COMPUTED_VALUE"""),"")</f>
        <v/>
      </c>
      <c r="L1924" s="4">
        <f>IFERROR(__xludf.DUMMYFUNCTION("""COMPUTED_VALUE"""),45949.27979671838)</f>
        <v>45949.2798</v>
      </c>
      <c r="M1924" s="1" t="str">
        <f>IFERROR(__xludf.DUMMYFUNCTION("""COMPUTED_VALUE"""),"RFID")</f>
        <v>RFID</v>
      </c>
      <c r="N1924" s="5">
        <f>IFERROR(__xludf.DUMMYFUNCTION("""COMPUTED_VALUE"""),0.006028907407407407)</f>
        <v>0.006028907407</v>
      </c>
      <c r="O1924" s="5" t="str">
        <f>IFERROR(__xludf.DUMMYFUNCTION("""COMPUTED_VALUE"""),"")</f>
        <v/>
      </c>
      <c r="P1924" s="5" t="str">
        <f>IFERROR(__xludf.DUMMYFUNCTION("""COMPUTED_VALUE"""),"")</f>
        <v/>
      </c>
      <c r="Q1924" s="5">
        <f>IFERROR(__xludf.DUMMYFUNCTION("""COMPUTED_VALUE"""),0.004970530092592592)</f>
        <v>0.004970530093</v>
      </c>
      <c r="R1924" s="4">
        <f>IFERROR(__xludf.DUMMYFUNCTION("""COMPUTED_VALUE"""),45949.02485265588)</f>
        <v>45949.02485</v>
      </c>
      <c r="S1924" s="1" t="b">
        <f>IFERROR(__xludf.DUMMYFUNCTION("""COMPUTED_VALUE"""),TRUE)</f>
        <v>1</v>
      </c>
      <c r="T1924" s="1" t="b">
        <f>IFERROR(__xludf.DUMMYFUNCTION("""COMPUTED_VALUE"""),FALSE)</f>
        <v>0</v>
      </c>
      <c r="U1924" s="1" t="str">
        <f>IFERROR(__xludf.DUMMYFUNCTION("""COMPUTED_VALUE"""),"VALID")</f>
        <v>VALID</v>
      </c>
      <c r="V1924" s="1">
        <f>IFERROR(__xludf.DUMMYFUNCTION("""COMPUTED_VALUE"""),183.0)</f>
        <v>183</v>
      </c>
      <c r="W1924" s="1">
        <f>IFERROR(__xludf.DUMMYFUNCTION("""COMPUTED_VALUE"""),279.0)</f>
        <v>279</v>
      </c>
      <c r="X1924" s="1">
        <f>IFERROR(__xludf.DUMMYFUNCTION("""COMPUTED_VALUE"""),245.0)</f>
        <v>245</v>
      </c>
      <c r="Y1924" s="2"/>
      <c r="Z1924" s="2"/>
    </row>
    <row r="1925">
      <c r="A1925" s="1">
        <f>IFERROR(__xludf.DUMMYFUNCTION("""COMPUTED_VALUE"""),1924.0)</f>
        <v>1924</v>
      </c>
      <c r="B1925" s="1">
        <f>IFERROR(__xludf.DUMMYFUNCTION("""COMPUTED_VALUE"""),5443.0)</f>
        <v>5443</v>
      </c>
      <c r="C1925" s="2" t="str">
        <f>IFERROR(__xludf.DUMMYFUNCTION("""COMPUTED_VALUE"""),"Fajar")</f>
        <v>Fajar</v>
      </c>
      <c r="D1925" s="2" t="str">
        <f>IFERROR(__xludf.DUMMYFUNCTION("""COMPUTED_VALUE"""),"5KM OVERALL M")</f>
        <v>5KM OVERALL M</v>
      </c>
      <c r="E1925" s="1">
        <f>IFERROR(__xludf.DUMMYFUNCTION("""COMPUTED_VALUE"""),2.0)</f>
        <v>2</v>
      </c>
      <c r="F1925" s="1" t="str">
        <f>IFERROR(__xludf.DUMMYFUNCTION("""COMPUTED_VALUE"""),"Male")</f>
        <v>Male</v>
      </c>
      <c r="G1925" s="4" t="b">
        <f>IFERROR(__xludf.DUMMYFUNCTION("""COMPUTED_VALUE"""),TRUE)</f>
        <v>1</v>
      </c>
      <c r="H1925" s="4" t="b">
        <f>IFERROR(__xludf.DUMMYFUNCTION("""COMPUTED_VALUE"""),TRUE)</f>
        <v>1</v>
      </c>
      <c r="I1925" s="4">
        <f>IFERROR(__xludf.DUMMYFUNCTION("""COMPUTED_VALUE"""),0.2549440625)</f>
        <v>0.2549440625</v>
      </c>
      <c r="J1925" s="4">
        <f>IFERROR(__xludf.DUMMYFUNCTION("""COMPUTED_VALUE"""),45949.27251281014)</f>
        <v>45949.27251</v>
      </c>
      <c r="K1925" s="4" t="str">
        <f>IFERROR(__xludf.DUMMYFUNCTION("""COMPUTED_VALUE"""),"")</f>
        <v/>
      </c>
      <c r="L1925" s="4">
        <f>IFERROR(__xludf.DUMMYFUNCTION("""COMPUTED_VALUE"""),45949.28457101121)</f>
        <v>45949.28457</v>
      </c>
      <c r="M1925" s="1" t="str">
        <f>IFERROR(__xludf.DUMMYFUNCTION("""COMPUTED_VALUE"""),"RFID")</f>
        <v>RFID</v>
      </c>
      <c r="N1925" s="5">
        <f>IFERROR(__xludf.DUMMYFUNCTION("""COMPUTED_VALUE"""),0.007027500000000001)</f>
        <v>0.0070275</v>
      </c>
      <c r="O1925" s="5" t="str">
        <f>IFERROR(__xludf.DUMMYFUNCTION("""COMPUTED_VALUE"""),"")</f>
        <v/>
      </c>
      <c r="P1925" s="5" t="str">
        <f>IFERROR(__xludf.DUMMYFUNCTION("""COMPUTED_VALUE"""),"")</f>
        <v/>
      </c>
      <c r="Q1925" s="5">
        <f>IFERROR(__xludf.DUMMYFUNCTION("""COMPUTED_VALUE"""),0.005925388888888889)</f>
        <v>0.005925388889</v>
      </c>
      <c r="R1925" s="4">
        <f>IFERROR(__xludf.DUMMYFUNCTION("""COMPUTED_VALUE"""),45949.02962694871)</f>
        <v>45949.02963</v>
      </c>
      <c r="S1925" s="1" t="b">
        <f>IFERROR(__xludf.DUMMYFUNCTION("""COMPUTED_VALUE"""),TRUE)</f>
        <v>1</v>
      </c>
      <c r="T1925" s="1" t="b">
        <f>IFERROR(__xludf.DUMMYFUNCTION("""COMPUTED_VALUE"""),FALSE)</f>
        <v>0</v>
      </c>
      <c r="U1925" s="1" t="str">
        <f>IFERROR(__xludf.DUMMYFUNCTION("""COMPUTED_VALUE"""),"VALID")</f>
        <v>VALID</v>
      </c>
      <c r="V1925" s="1">
        <f>IFERROR(__xludf.DUMMYFUNCTION("""COMPUTED_VALUE"""),366.0)</f>
        <v>366</v>
      </c>
      <c r="W1925" s="1">
        <f>IFERROR(__xludf.DUMMYFUNCTION("""COMPUTED_VALUE"""),548.0)</f>
        <v>548</v>
      </c>
      <c r="X1925" s="1">
        <f>IFERROR(__xludf.DUMMYFUNCTION("""COMPUTED_VALUE"""),470.0)</f>
        <v>470</v>
      </c>
      <c r="Y1925" s="2"/>
      <c r="Z1925" s="2"/>
    </row>
    <row r="1926">
      <c r="A1926" s="1">
        <f>IFERROR(__xludf.DUMMYFUNCTION("""COMPUTED_VALUE"""),1925.0)</f>
        <v>1925</v>
      </c>
      <c r="B1926" s="1">
        <f>IFERROR(__xludf.DUMMYFUNCTION("""COMPUTED_VALUE"""),5445.0)</f>
        <v>5445</v>
      </c>
      <c r="C1926" s="2" t="str">
        <f>IFERROR(__xludf.DUMMYFUNCTION("""COMPUTED_VALUE"""),"Muhammad Zainuddin")</f>
        <v>Muhammad Zainuddin</v>
      </c>
      <c r="D1926" s="2" t="str">
        <f>IFERROR(__xludf.DUMMYFUNCTION("""COMPUTED_VALUE"""),"5KM OVERALL M")</f>
        <v>5KM OVERALL M</v>
      </c>
      <c r="E1926" s="1">
        <f>IFERROR(__xludf.DUMMYFUNCTION("""COMPUTED_VALUE"""),2.0)</f>
        <v>2</v>
      </c>
      <c r="F1926" s="1" t="str">
        <f>IFERROR(__xludf.DUMMYFUNCTION("""COMPUTED_VALUE"""),"Male")</f>
        <v>Male</v>
      </c>
      <c r="G1926" s="4" t="b">
        <f>IFERROR(__xludf.DUMMYFUNCTION("""COMPUTED_VALUE"""),TRUE)</f>
        <v>1</v>
      </c>
      <c r="H1926" s="4" t="b">
        <f>IFERROR(__xludf.DUMMYFUNCTION("""COMPUTED_VALUE"""),TRUE)</f>
        <v>1</v>
      </c>
      <c r="I1926" s="4">
        <f>IFERROR(__xludf.DUMMYFUNCTION("""COMPUTED_VALUE"""),0.2549440625)</f>
        <v>0.2549440625</v>
      </c>
      <c r="J1926" s="4">
        <f>IFERROR(__xludf.DUMMYFUNCTION("""COMPUTED_VALUE"""),45949.27023507444)</f>
        <v>45949.27024</v>
      </c>
      <c r="K1926" s="4" t="str">
        <f>IFERROR(__xludf.DUMMYFUNCTION("""COMPUTED_VALUE"""),"")</f>
        <v/>
      </c>
      <c r="L1926" s="4">
        <f>IFERROR(__xludf.DUMMYFUNCTION("""COMPUTED_VALUE"""),45949.28320642405)</f>
        <v>45949.28321</v>
      </c>
      <c r="M1926" s="1" t="str">
        <f>IFERROR(__xludf.DUMMYFUNCTION("""COMPUTED_VALUE"""),"RFID")</f>
        <v>RFID</v>
      </c>
      <c r="N1926" s="5">
        <f>IFERROR(__xludf.DUMMYFUNCTION("""COMPUTED_VALUE"""),0.006116402777777778)</f>
        <v>0.006116402778</v>
      </c>
      <c r="O1926" s="5" t="str">
        <f>IFERROR(__xludf.DUMMYFUNCTION("""COMPUTED_VALUE"""),"")</f>
        <v/>
      </c>
      <c r="P1926" s="5" t="str">
        <f>IFERROR(__xludf.DUMMYFUNCTION("""COMPUTED_VALUE"""),"")</f>
        <v/>
      </c>
      <c r="Q1926" s="5">
        <f>IFERROR(__xludf.DUMMYFUNCTION("""COMPUTED_VALUE"""),0.005652472222222222)</f>
        <v>0.005652472222</v>
      </c>
      <c r="R1926" s="4">
        <f>IFERROR(__xludf.DUMMYFUNCTION("""COMPUTED_VALUE"""),45949.02826236155)</f>
        <v>45949.02826</v>
      </c>
      <c r="S1926" s="1" t="b">
        <f>IFERROR(__xludf.DUMMYFUNCTION("""COMPUTED_VALUE"""),TRUE)</f>
        <v>1</v>
      </c>
      <c r="T1926" s="1" t="b">
        <f>IFERROR(__xludf.DUMMYFUNCTION("""COMPUTED_VALUE"""),FALSE)</f>
        <v>0</v>
      </c>
      <c r="U1926" s="1" t="str">
        <f>IFERROR(__xludf.DUMMYFUNCTION("""COMPUTED_VALUE"""),"VALID")</f>
        <v>VALID</v>
      </c>
      <c r="V1926" s="1">
        <f>IFERROR(__xludf.DUMMYFUNCTION("""COMPUTED_VALUE"""),296.0)</f>
        <v>296</v>
      </c>
      <c r="W1926" s="1">
        <f>IFERROR(__xludf.DUMMYFUNCTION("""COMPUTED_VALUE"""),445.0)</f>
        <v>445</v>
      </c>
      <c r="X1926" s="1">
        <f>IFERROR(__xludf.DUMMYFUNCTION("""COMPUTED_VALUE"""),385.0)</f>
        <v>385</v>
      </c>
      <c r="Y1926" s="2"/>
      <c r="Z1926" s="2"/>
    </row>
    <row r="1927">
      <c r="A1927" s="1">
        <f>IFERROR(__xludf.DUMMYFUNCTION("""COMPUTED_VALUE"""),1926.0)</f>
        <v>1926</v>
      </c>
      <c r="B1927" s="1">
        <f>IFERROR(__xludf.DUMMYFUNCTION("""COMPUTED_VALUE"""),5447.0)</f>
        <v>5447</v>
      </c>
      <c r="C1927" s="2" t="str">
        <f>IFERROR(__xludf.DUMMYFUNCTION("""COMPUTED_VALUE"""),"Taufiq Rahman")</f>
        <v>Taufiq Rahman</v>
      </c>
      <c r="D1927" s="2" t="str">
        <f>IFERROR(__xludf.DUMMYFUNCTION("""COMPUTED_VALUE"""),"5KM OVERALL M")</f>
        <v>5KM OVERALL M</v>
      </c>
      <c r="E1927" s="1">
        <f>IFERROR(__xludf.DUMMYFUNCTION("""COMPUTED_VALUE"""),2.0)</f>
        <v>2</v>
      </c>
      <c r="F1927" s="1" t="str">
        <f>IFERROR(__xludf.DUMMYFUNCTION("""COMPUTED_VALUE"""),"Male")</f>
        <v>Male</v>
      </c>
      <c r="G1927" s="4" t="b">
        <f>IFERROR(__xludf.DUMMYFUNCTION("""COMPUTED_VALUE"""),TRUE)</f>
        <v>1</v>
      </c>
      <c r="H1927" s="4" t="b">
        <f>IFERROR(__xludf.DUMMYFUNCTION("""COMPUTED_VALUE"""),TRUE)</f>
        <v>1</v>
      </c>
      <c r="I1927" s="4">
        <f>IFERROR(__xludf.DUMMYFUNCTION("""COMPUTED_VALUE"""),0.2549440625)</f>
        <v>0.2549440625</v>
      </c>
      <c r="J1927" s="4">
        <f>IFERROR(__xludf.DUMMYFUNCTION("""COMPUTED_VALUE"""),45949.27517002529)</f>
        <v>45949.27517</v>
      </c>
      <c r="K1927" s="4" t="str">
        <f>IFERROR(__xludf.DUMMYFUNCTION("""COMPUTED_VALUE"""),"")</f>
        <v/>
      </c>
      <c r="L1927" s="4">
        <f>IFERROR(__xludf.DUMMYFUNCTION("""COMPUTED_VALUE"""),45949.29121336566)</f>
        <v>45949.29121</v>
      </c>
      <c r="M1927" s="1" t="str">
        <f>IFERROR(__xludf.DUMMYFUNCTION("""COMPUTED_VALUE"""),"RFID")</f>
        <v>RFID</v>
      </c>
      <c r="N1927" s="5">
        <f>IFERROR(__xludf.DUMMYFUNCTION("""COMPUTED_VALUE"""),0.008090384259259259)</f>
        <v>0.008090384259</v>
      </c>
      <c r="O1927" s="5" t="str">
        <f>IFERROR(__xludf.DUMMYFUNCTION("""COMPUTED_VALUE"""),"")</f>
        <v/>
      </c>
      <c r="P1927" s="5" t="str">
        <f>IFERROR(__xludf.DUMMYFUNCTION("""COMPUTED_VALUE"""),"")</f>
        <v/>
      </c>
      <c r="Q1927" s="5">
        <f>IFERROR(__xludf.DUMMYFUNCTION("""COMPUTED_VALUE"""),0.007253861111111111)</f>
        <v>0.007253861111</v>
      </c>
      <c r="R1927" s="4">
        <f>IFERROR(__xludf.DUMMYFUNCTION("""COMPUTED_VALUE"""),45949.03626930316)</f>
        <v>45949.03627</v>
      </c>
      <c r="S1927" s="1" t="b">
        <f>IFERROR(__xludf.DUMMYFUNCTION("""COMPUTED_VALUE"""),TRUE)</f>
        <v>1</v>
      </c>
      <c r="T1927" s="1" t="b">
        <f>IFERROR(__xludf.DUMMYFUNCTION("""COMPUTED_VALUE"""),FALSE)</f>
        <v>0</v>
      </c>
      <c r="U1927" s="1" t="str">
        <f>IFERROR(__xludf.DUMMYFUNCTION("""COMPUTED_VALUE"""),"VALID")</f>
        <v>VALID</v>
      </c>
      <c r="V1927" s="1">
        <f>IFERROR(__xludf.DUMMYFUNCTION("""COMPUTED_VALUE"""),602.0)</f>
        <v>602</v>
      </c>
      <c r="W1927" s="1">
        <f>IFERROR(__xludf.DUMMYFUNCTION("""COMPUTED_VALUE"""),973.0)</f>
        <v>973</v>
      </c>
      <c r="X1927" s="1">
        <f>IFERROR(__xludf.DUMMYFUNCTION("""COMPUTED_VALUE"""),791.0)</f>
        <v>791</v>
      </c>
      <c r="Y1927" s="2"/>
      <c r="Z1927" s="2"/>
    </row>
    <row r="1928">
      <c r="A1928" s="1">
        <f>IFERROR(__xludf.DUMMYFUNCTION("""COMPUTED_VALUE"""),1927.0)</f>
        <v>1927</v>
      </c>
      <c r="B1928" s="1">
        <f>IFERROR(__xludf.DUMMYFUNCTION("""COMPUTED_VALUE"""),5450.0)</f>
        <v>5450</v>
      </c>
      <c r="C1928" s="2" t="str">
        <f>IFERROR(__xludf.DUMMYFUNCTION("""COMPUTED_VALUE"""),"SALIHIN")</f>
        <v>SALIHIN</v>
      </c>
      <c r="D1928" s="2" t="str">
        <f>IFERROR(__xludf.DUMMYFUNCTION("""COMPUTED_VALUE"""),"5KM OVERALL M")</f>
        <v>5KM OVERALL M</v>
      </c>
      <c r="E1928" s="1">
        <f>IFERROR(__xludf.DUMMYFUNCTION("""COMPUTED_VALUE"""),2.0)</f>
        <v>2</v>
      </c>
      <c r="F1928" s="1" t="str">
        <f>IFERROR(__xludf.DUMMYFUNCTION("""COMPUTED_VALUE"""),"Male")</f>
        <v>Male</v>
      </c>
      <c r="G1928" s="4" t="str">
        <f>IFERROR(__xludf.DUMMYFUNCTION("""COMPUTED_VALUE"""),"")</f>
        <v/>
      </c>
      <c r="H1928" s="4" t="b">
        <f>IFERROR(__xludf.DUMMYFUNCTION("""COMPUTED_VALUE"""),FALSE)</f>
        <v>0</v>
      </c>
      <c r="I1928" s="4">
        <f>IFERROR(__xludf.DUMMYFUNCTION("""COMPUTED_VALUE"""),0.2549440625)</f>
        <v>0.2549440625</v>
      </c>
      <c r="J1928" s="4" t="str">
        <f>IFERROR(__xludf.DUMMYFUNCTION("""COMPUTED_VALUE"""),"")</f>
        <v/>
      </c>
      <c r="K1928" s="4" t="str">
        <f>IFERROR(__xludf.DUMMYFUNCTION("""COMPUTED_VALUE"""),"")</f>
        <v/>
      </c>
      <c r="L1928" s="4" t="str">
        <f>IFERROR(__xludf.DUMMYFUNCTION("""COMPUTED_VALUE"""),"")</f>
        <v/>
      </c>
      <c r="M1928" s="1" t="str">
        <f>IFERROR(__xludf.DUMMYFUNCTION("""COMPUTED_VALUE"""),"RFID")</f>
        <v>RFID</v>
      </c>
      <c r="N1928" s="5" t="str">
        <f>IFERROR(__xludf.DUMMYFUNCTION("""COMPUTED_VALUE"""),"")</f>
        <v/>
      </c>
      <c r="O1928" s="5" t="str">
        <f>IFERROR(__xludf.DUMMYFUNCTION("""COMPUTED_VALUE"""),"")</f>
        <v/>
      </c>
      <c r="P1928" s="5" t="str">
        <f>IFERROR(__xludf.DUMMYFUNCTION("""COMPUTED_VALUE"""),"")</f>
        <v/>
      </c>
      <c r="Q1928" s="5" t="str">
        <f>IFERROR(__xludf.DUMMYFUNCTION("""COMPUTED_VALUE"""),"")</f>
        <v/>
      </c>
      <c r="R1928" s="4" t="str">
        <f>IFERROR(__xludf.DUMMYFUNCTION("""COMPUTED_VALUE"""),"")</f>
        <v/>
      </c>
      <c r="S1928" s="1" t="b">
        <f>IFERROR(__xludf.DUMMYFUNCTION("""COMPUTED_VALUE"""),FALSE)</f>
        <v>0</v>
      </c>
      <c r="T1928" s="1" t="b">
        <f>IFERROR(__xludf.DUMMYFUNCTION("""COMPUTED_VALUE"""),FALSE)</f>
        <v>0</v>
      </c>
      <c r="U1928" s="1" t="str">
        <f>IFERROR(__xludf.DUMMYFUNCTION("""COMPUTED_VALUE"""),"DSQ")</f>
        <v>DSQ</v>
      </c>
      <c r="V1928" s="1" t="str">
        <f>IFERROR(__xludf.DUMMYFUNCTION("""COMPUTED_VALUE"""),"DSQ")</f>
        <v>DSQ</v>
      </c>
      <c r="W1928" s="1" t="str">
        <f>IFERROR(__xludf.DUMMYFUNCTION("""COMPUTED_VALUE"""),"DSQ")</f>
        <v>DSQ</v>
      </c>
      <c r="X1928" s="1" t="str">
        <f>IFERROR(__xludf.DUMMYFUNCTION("""COMPUTED_VALUE"""),"DSQ")</f>
        <v>DSQ</v>
      </c>
      <c r="Y1928" s="2"/>
      <c r="Z1928" s="2" t="str">
        <f>IFERROR(__xludf.DUMMYFUNCTION("""COMPUTED_VALUE"""),"")</f>
        <v/>
      </c>
    </row>
    <row r="1929">
      <c r="A1929" s="1">
        <f>IFERROR(__xludf.DUMMYFUNCTION("""COMPUTED_VALUE"""),1928.0)</f>
        <v>1928</v>
      </c>
      <c r="B1929" s="1">
        <f>IFERROR(__xludf.DUMMYFUNCTION("""COMPUTED_VALUE"""),5453.0)</f>
        <v>5453</v>
      </c>
      <c r="C1929" s="2" t="str">
        <f>IFERROR(__xludf.DUMMYFUNCTION("""COMPUTED_VALUE"""),"Andri")</f>
        <v>Andri</v>
      </c>
      <c r="D1929" s="2" t="str">
        <f>IFERROR(__xludf.DUMMYFUNCTION("""COMPUTED_VALUE"""),"5KM OVERALL M")</f>
        <v>5KM OVERALL M</v>
      </c>
      <c r="E1929" s="1">
        <f>IFERROR(__xludf.DUMMYFUNCTION("""COMPUTED_VALUE"""),2.0)</f>
        <v>2</v>
      </c>
      <c r="F1929" s="1" t="str">
        <f>IFERROR(__xludf.DUMMYFUNCTION("""COMPUTED_VALUE"""),"Male")</f>
        <v>Male</v>
      </c>
      <c r="G1929" s="4" t="b">
        <f>IFERROR(__xludf.DUMMYFUNCTION("""COMPUTED_VALUE"""),TRUE)</f>
        <v>1</v>
      </c>
      <c r="H1929" s="4" t="b">
        <f>IFERROR(__xludf.DUMMYFUNCTION("""COMPUTED_VALUE"""),TRUE)</f>
        <v>1</v>
      </c>
      <c r="I1929" s="4">
        <f>IFERROR(__xludf.DUMMYFUNCTION("""COMPUTED_VALUE"""),0.2549440625)</f>
        <v>0.2549440625</v>
      </c>
      <c r="J1929" s="4">
        <f>IFERROR(__xludf.DUMMYFUNCTION("""COMPUTED_VALUE"""),45949.277179473254)</f>
        <v>45949.27718</v>
      </c>
      <c r="K1929" s="4" t="str">
        <f>IFERROR(__xludf.DUMMYFUNCTION("""COMPUTED_VALUE"""),"")</f>
        <v/>
      </c>
      <c r="L1929" s="4">
        <f>IFERROR(__xludf.DUMMYFUNCTION("""COMPUTED_VALUE"""),45949.287432117344)</f>
        <v>45949.28743</v>
      </c>
      <c r="M1929" s="1" t="str">
        <f>IFERROR(__xludf.DUMMYFUNCTION("""COMPUTED_VALUE"""),"RFID")</f>
        <v>RFID</v>
      </c>
      <c r="N1929" s="5">
        <f>IFERROR(__xludf.DUMMYFUNCTION("""COMPUTED_VALUE"""),0.008894162037037037)</f>
        <v>0.008894162037</v>
      </c>
      <c r="O1929" s="5" t="str">
        <f>IFERROR(__xludf.DUMMYFUNCTION("""COMPUTED_VALUE"""),"")</f>
        <v/>
      </c>
      <c r="P1929" s="5" t="str">
        <f>IFERROR(__xludf.DUMMYFUNCTION("""COMPUTED_VALUE"""),"")</f>
        <v/>
      </c>
      <c r="Q1929" s="5">
        <f>IFERROR(__xludf.DUMMYFUNCTION("""COMPUTED_VALUE"""),0.006497611111111111)</f>
        <v>0.006497611111</v>
      </c>
      <c r="R1929" s="4">
        <f>IFERROR(__xludf.DUMMYFUNCTION("""COMPUTED_VALUE"""),45949.03248805484)</f>
        <v>45949.03249</v>
      </c>
      <c r="S1929" s="1" t="b">
        <f>IFERROR(__xludf.DUMMYFUNCTION("""COMPUTED_VALUE"""),TRUE)</f>
        <v>1</v>
      </c>
      <c r="T1929" s="1" t="b">
        <f>IFERROR(__xludf.DUMMYFUNCTION("""COMPUTED_VALUE"""),FALSE)</f>
        <v>0</v>
      </c>
      <c r="U1929" s="1" t="str">
        <f>IFERROR(__xludf.DUMMYFUNCTION("""COMPUTED_VALUE"""),"VALID")</f>
        <v>VALID</v>
      </c>
      <c r="V1929" s="1">
        <f>IFERROR(__xludf.DUMMYFUNCTION("""COMPUTED_VALUE"""),471.0)</f>
        <v>471</v>
      </c>
      <c r="W1929" s="1">
        <f>IFERROR(__xludf.DUMMYFUNCTION("""COMPUTED_VALUE"""),731.0)</f>
        <v>731</v>
      </c>
      <c r="X1929" s="1">
        <f>IFERROR(__xludf.DUMMYFUNCTION("""COMPUTED_VALUE"""),611.0)</f>
        <v>611</v>
      </c>
      <c r="Y1929" s="2"/>
      <c r="Z1929" s="2"/>
    </row>
    <row r="1930">
      <c r="A1930" s="1">
        <f>IFERROR(__xludf.DUMMYFUNCTION("""COMPUTED_VALUE"""),1929.0)</f>
        <v>1929</v>
      </c>
      <c r="B1930" s="1">
        <f>IFERROR(__xludf.DUMMYFUNCTION("""COMPUTED_VALUE"""),5455.0)</f>
        <v>5455</v>
      </c>
      <c r="C1930" s="2" t="str">
        <f>IFERROR(__xludf.DUMMYFUNCTION("""COMPUTED_VALUE"""),"riva'i")</f>
        <v>riva'i</v>
      </c>
      <c r="D1930" s="2" t="str">
        <f>IFERROR(__xludf.DUMMYFUNCTION("""COMPUTED_VALUE"""),"5KM OVERALL M")</f>
        <v>5KM OVERALL M</v>
      </c>
      <c r="E1930" s="1">
        <f>IFERROR(__xludf.DUMMYFUNCTION("""COMPUTED_VALUE"""),2.0)</f>
        <v>2</v>
      </c>
      <c r="F1930" s="1" t="str">
        <f>IFERROR(__xludf.DUMMYFUNCTION("""COMPUTED_VALUE"""),"Male")</f>
        <v>Male</v>
      </c>
      <c r="G1930" s="4" t="b">
        <f>IFERROR(__xludf.DUMMYFUNCTION("""COMPUTED_VALUE"""),TRUE)</f>
        <v>1</v>
      </c>
      <c r="H1930" s="4" t="b">
        <f>IFERROR(__xludf.DUMMYFUNCTION("""COMPUTED_VALUE"""),TRUE)</f>
        <v>1</v>
      </c>
      <c r="I1930" s="4">
        <f>IFERROR(__xludf.DUMMYFUNCTION("""COMPUTED_VALUE"""),0.2549440625)</f>
        <v>0.2549440625</v>
      </c>
      <c r="J1930" s="4">
        <f>IFERROR(__xludf.DUMMYFUNCTION("""COMPUTED_VALUE"""),45949.26500239186)</f>
        <v>45949.265</v>
      </c>
      <c r="K1930" s="4" t="str">
        <f>IFERROR(__xludf.DUMMYFUNCTION("""COMPUTED_VALUE"""),"")</f>
        <v/>
      </c>
      <c r="L1930" s="4">
        <f>IFERROR(__xludf.DUMMYFUNCTION("""COMPUTED_VALUE"""),45949.27226892239)</f>
        <v>45949.27227</v>
      </c>
      <c r="M1930" s="1" t="str">
        <f>IFERROR(__xludf.DUMMYFUNCTION("""COMPUTED_VALUE"""),"RFID")</f>
        <v>RFID</v>
      </c>
      <c r="N1930" s="5">
        <f>IFERROR(__xludf.DUMMYFUNCTION("""COMPUTED_VALUE"""),0.004023333333333333)</f>
        <v>0.004023333333</v>
      </c>
      <c r="O1930" s="5" t="str">
        <f>IFERROR(__xludf.DUMMYFUNCTION("""COMPUTED_VALUE"""),"")</f>
        <v/>
      </c>
      <c r="P1930" s="5" t="str">
        <f>IFERROR(__xludf.DUMMYFUNCTION("""COMPUTED_VALUE"""),"")</f>
        <v/>
      </c>
      <c r="Q1930" s="5">
        <f>IFERROR(__xludf.DUMMYFUNCTION("""COMPUTED_VALUE"""),0.003464972222222222)</f>
        <v>0.003464972222</v>
      </c>
      <c r="R1930" s="4">
        <f>IFERROR(__xludf.DUMMYFUNCTION("""COMPUTED_VALUE"""),45949.01732485989)</f>
        <v>45949.01732</v>
      </c>
      <c r="S1930" s="1" t="b">
        <f>IFERROR(__xludf.DUMMYFUNCTION("""COMPUTED_VALUE"""),TRUE)</f>
        <v>1</v>
      </c>
      <c r="T1930" s="1" t="b">
        <f>IFERROR(__xludf.DUMMYFUNCTION("""COMPUTED_VALUE"""),FALSE)</f>
        <v>0</v>
      </c>
      <c r="U1930" s="1" t="str">
        <f>IFERROR(__xludf.DUMMYFUNCTION("""COMPUTED_VALUE"""),"VALID")</f>
        <v>VALID</v>
      </c>
      <c r="V1930" s="1">
        <f>IFERROR(__xludf.DUMMYFUNCTION("""COMPUTED_VALUE"""),26.0)</f>
        <v>26</v>
      </c>
      <c r="W1930" s="1">
        <f>IFERROR(__xludf.DUMMYFUNCTION("""COMPUTED_VALUE"""),39.0)</f>
        <v>39</v>
      </c>
      <c r="X1930" s="1">
        <f>IFERROR(__xludf.DUMMYFUNCTION("""COMPUTED_VALUE"""),38.0)</f>
        <v>38</v>
      </c>
      <c r="Y1930" s="2"/>
      <c r="Z1930" s="2"/>
    </row>
    <row r="1931">
      <c r="A1931" s="1">
        <f>IFERROR(__xludf.DUMMYFUNCTION("""COMPUTED_VALUE"""),1930.0)</f>
        <v>1930</v>
      </c>
      <c r="B1931" s="1">
        <f>IFERROR(__xludf.DUMMYFUNCTION("""COMPUTED_VALUE"""),5457.0)</f>
        <v>5457</v>
      </c>
      <c r="C1931" s="2" t="str">
        <f>IFERROR(__xludf.DUMMYFUNCTION("""COMPUTED_VALUE"""),"Endra")</f>
        <v>Endra</v>
      </c>
      <c r="D1931" s="2" t="str">
        <f>IFERROR(__xludf.DUMMYFUNCTION("""COMPUTED_VALUE"""),"5KM OVERALL M")</f>
        <v>5KM OVERALL M</v>
      </c>
      <c r="E1931" s="1">
        <f>IFERROR(__xludf.DUMMYFUNCTION("""COMPUTED_VALUE"""),2.0)</f>
        <v>2</v>
      </c>
      <c r="F1931" s="1" t="str">
        <f>IFERROR(__xludf.DUMMYFUNCTION("""COMPUTED_VALUE"""),"Male")</f>
        <v>Male</v>
      </c>
      <c r="G1931" s="4" t="str">
        <f>IFERROR(__xludf.DUMMYFUNCTION("""COMPUTED_VALUE"""),"")</f>
        <v/>
      </c>
      <c r="H1931" s="4" t="b">
        <f>IFERROR(__xludf.DUMMYFUNCTION("""COMPUTED_VALUE"""),FALSE)</f>
        <v>0</v>
      </c>
      <c r="I1931" s="4">
        <f>IFERROR(__xludf.DUMMYFUNCTION("""COMPUTED_VALUE"""),0.2549440625)</f>
        <v>0.2549440625</v>
      </c>
      <c r="J1931" s="4" t="str">
        <f>IFERROR(__xludf.DUMMYFUNCTION("""COMPUTED_VALUE"""),"")</f>
        <v/>
      </c>
      <c r="K1931" s="4" t="str">
        <f>IFERROR(__xludf.DUMMYFUNCTION("""COMPUTED_VALUE"""),"")</f>
        <v/>
      </c>
      <c r="L1931" s="4" t="str">
        <f>IFERROR(__xludf.DUMMYFUNCTION("""COMPUTED_VALUE"""),"")</f>
        <v/>
      </c>
      <c r="M1931" s="1" t="str">
        <f>IFERROR(__xludf.DUMMYFUNCTION("""COMPUTED_VALUE"""),"RFID")</f>
        <v>RFID</v>
      </c>
      <c r="N1931" s="5" t="str">
        <f>IFERROR(__xludf.DUMMYFUNCTION("""COMPUTED_VALUE"""),"")</f>
        <v/>
      </c>
      <c r="O1931" s="5" t="str">
        <f>IFERROR(__xludf.DUMMYFUNCTION("""COMPUTED_VALUE"""),"")</f>
        <v/>
      </c>
      <c r="P1931" s="5" t="str">
        <f>IFERROR(__xludf.DUMMYFUNCTION("""COMPUTED_VALUE"""),"")</f>
        <v/>
      </c>
      <c r="Q1931" s="5" t="str">
        <f>IFERROR(__xludf.DUMMYFUNCTION("""COMPUTED_VALUE"""),"")</f>
        <v/>
      </c>
      <c r="R1931" s="4" t="str">
        <f>IFERROR(__xludf.DUMMYFUNCTION("""COMPUTED_VALUE"""),"")</f>
        <v/>
      </c>
      <c r="S1931" s="1" t="b">
        <f>IFERROR(__xludf.DUMMYFUNCTION("""COMPUTED_VALUE"""),FALSE)</f>
        <v>0</v>
      </c>
      <c r="T1931" s="1" t="b">
        <f>IFERROR(__xludf.DUMMYFUNCTION("""COMPUTED_VALUE"""),FALSE)</f>
        <v>0</v>
      </c>
      <c r="U1931" s="1" t="str">
        <f>IFERROR(__xludf.DUMMYFUNCTION("""COMPUTED_VALUE"""),"DSQ")</f>
        <v>DSQ</v>
      </c>
      <c r="V1931" s="1" t="str">
        <f>IFERROR(__xludf.DUMMYFUNCTION("""COMPUTED_VALUE"""),"DSQ")</f>
        <v>DSQ</v>
      </c>
      <c r="W1931" s="1" t="str">
        <f>IFERROR(__xludf.DUMMYFUNCTION("""COMPUTED_VALUE"""),"DSQ")</f>
        <v>DSQ</v>
      </c>
      <c r="X1931" s="1" t="str">
        <f>IFERROR(__xludf.DUMMYFUNCTION("""COMPUTED_VALUE"""),"DSQ")</f>
        <v>DSQ</v>
      </c>
      <c r="Y1931" s="2"/>
      <c r="Z1931" s="2" t="str">
        <f>IFERROR(__xludf.DUMMYFUNCTION("""COMPUTED_VALUE"""),"")</f>
        <v/>
      </c>
    </row>
    <row r="1932">
      <c r="A1932" s="1">
        <f>IFERROR(__xludf.DUMMYFUNCTION("""COMPUTED_VALUE"""),1931.0)</f>
        <v>1931</v>
      </c>
      <c r="B1932" s="1">
        <f>IFERROR(__xludf.DUMMYFUNCTION("""COMPUTED_VALUE"""),5460.0)</f>
        <v>5460</v>
      </c>
      <c r="C1932" s="2" t="str">
        <f>IFERROR(__xludf.DUMMYFUNCTION("""COMPUTED_VALUE"""),"Warto")</f>
        <v>Warto</v>
      </c>
      <c r="D1932" s="2" t="str">
        <f>IFERROR(__xludf.DUMMYFUNCTION("""COMPUTED_VALUE"""),"5KM OVERALL M")</f>
        <v>5KM OVERALL M</v>
      </c>
      <c r="E1932" s="1">
        <f>IFERROR(__xludf.DUMMYFUNCTION("""COMPUTED_VALUE"""),2.0)</f>
        <v>2</v>
      </c>
      <c r="F1932" s="1" t="str">
        <f>IFERROR(__xludf.DUMMYFUNCTION("""COMPUTED_VALUE"""),"Male")</f>
        <v>Male</v>
      </c>
      <c r="G1932" s="4" t="str">
        <f>IFERROR(__xludf.DUMMYFUNCTION("""COMPUTED_VALUE"""),"")</f>
        <v/>
      </c>
      <c r="H1932" s="4" t="b">
        <f>IFERROR(__xludf.DUMMYFUNCTION("""COMPUTED_VALUE"""),FALSE)</f>
        <v>0</v>
      </c>
      <c r="I1932" s="4">
        <f>IFERROR(__xludf.DUMMYFUNCTION("""COMPUTED_VALUE"""),0.2549440625)</f>
        <v>0.2549440625</v>
      </c>
      <c r="J1932" s="4" t="str">
        <f>IFERROR(__xludf.DUMMYFUNCTION("""COMPUTED_VALUE"""),"")</f>
        <v/>
      </c>
      <c r="K1932" s="4" t="str">
        <f>IFERROR(__xludf.DUMMYFUNCTION("""COMPUTED_VALUE"""),"")</f>
        <v/>
      </c>
      <c r="L1932" s="4" t="str">
        <f>IFERROR(__xludf.DUMMYFUNCTION("""COMPUTED_VALUE"""),"")</f>
        <v/>
      </c>
      <c r="M1932" s="1" t="str">
        <f>IFERROR(__xludf.DUMMYFUNCTION("""COMPUTED_VALUE"""),"RFID")</f>
        <v>RFID</v>
      </c>
      <c r="N1932" s="5" t="str">
        <f>IFERROR(__xludf.DUMMYFUNCTION("""COMPUTED_VALUE"""),"")</f>
        <v/>
      </c>
      <c r="O1932" s="5" t="str">
        <f>IFERROR(__xludf.DUMMYFUNCTION("""COMPUTED_VALUE"""),"")</f>
        <v/>
      </c>
      <c r="P1932" s="5" t="str">
        <f>IFERROR(__xludf.DUMMYFUNCTION("""COMPUTED_VALUE"""),"")</f>
        <v/>
      </c>
      <c r="Q1932" s="5" t="str">
        <f>IFERROR(__xludf.DUMMYFUNCTION("""COMPUTED_VALUE"""),"")</f>
        <v/>
      </c>
      <c r="R1932" s="4" t="str">
        <f>IFERROR(__xludf.DUMMYFUNCTION("""COMPUTED_VALUE"""),"")</f>
        <v/>
      </c>
      <c r="S1932" s="1" t="b">
        <f>IFERROR(__xludf.DUMMYFUNCTION("""COMPUTED_VALUE"""),FALSE)</f>
        <v>0</v>
      </c>
      <c r="T1932" s="1" t="b">
        <f>IFERROR(__xludf.DUMMYFUNCTION("""COMPUTED_VALUE"""),FALSE)</f>
        <v>0</v>
      </c>
      <c r="U1932" s="1" t="str">
        <f>IFERROR(__xludf.DUMMYFUNCTION("""COMPUTED_VALUE"""),"DSQ")</f>
        <v>DSQ</v>
      </c>
      <c r="V1932" s="1" t="str">
        <f>IFERROR(__xludf.DUMMYFUNCTION("""COMPUTED_VALUE"""),"DSQ")</f>
        <v>DSQ</v>
      </c>
      <c r="W1932" s="1" t="str">
        <f>IFERROR(__xludf.DUMMYFUNCTION("""COMPUTED_VALUE"""),"DSQ")</f>
        <v>DSQ</v>
      </c>
      <c r="X1932" s="1" t="str">
        <f>IFERROR(__xludf.DUMMYFUNCTION("""COMPUTED_VALUE"""),"DSQ")</f>
        <v>DSQ</v>
      </c>
      <c r="Y1932" s="2"/>
      <c r="Z1932" s="2" t="str">
        <f>IFERROR(__xludf.DUMMYFUNCTION("""COMPUTED_VALUE"""),"")</f>
        <v/>
      </c>
    </row>
    <row r="1933">
      <c r="A1933" s="1">
        <f>IFERROR(__xludf.DUMMYFUNCTION("""COMPUTED_VALUE"""),1932.0)</f>
        <v>1932</v>
      </c>
      <c r="B1933" s="1">
        <f>IFERROR(__xludf.DUMMYFUNCTION("""COMPUTED_VALUE"""),5461.0)</f>
        <v>5461</v>
      </c>
      <c r="C1933" s="2" t="str">
        <f>IFERROR(__xludf.DUMMYFUNCTION("""COMPUTED_VALUE"""),"RMDHN")</f>
        <v>RMDHN</v>
      </c>
      <c r="D1933" s="2" t="str">
        <f>IFERROR(__xludf.DUMMYFUNCTION("""COMPUTED_VALUE"""),"5KM OVERALL M")</f>
        <v>5KM OVERALL M</v>
      </c>
      <c r="E1933" s="1">
        <f>IFERROR(__xludf.DUMMYFUNCTION("""COMPUTED_VALUE"""),2.0)</f>
        <v>2</v>
      </c>
      <c r="F1933" s="1" t="str">
        <f>IFERROR(__xludf.DUMMYFUNCTION("""COMPUTED_VALUE"""),"Male")</f>
        <v>Male</v>
      </c>
      <c r="G1933" s="4" t="str">
        <f>IFERROR(__xludf.DUMMYFUNCTION("""COMPUTED_VALUE"""),"")</f>
        <v/>
      </c>
      <c r="H1933" s="4" t="b">
        <f>IFERROR(__xludf.DUMMYFUNCTION("""COMPUTED_VALUE"""),FALSE)</f>
        <v>0</v>
      </c>
      <c r="I1933" s="4">
        <f>IFERROR(__xludf.DUMMYFUNCTION("""COMPUTED_VALUE"""),0.2549440625)</f>
        <v>0.2549440625</v>
      </c>
      <c r="J1933" s="4" t="str">
        <f>IFERROR(__xludf.DUMMYFUNCTION("""COMPUTED_VALUE"""),"")</f>
        <v/>
      </c>
      <c r="K1933" s="4" t="str">
        <f>IFERROR(__xludf.DUMMYFUNCTION("""COMPUTED_VALUE"""),"")</f>
        <v/>
      </c>
      <c r="L1933" s="4" t="str">
        <f>IFERROR(__xludf.DUMMYFUNCTION("""COMPUTED_VALUE"""),"")</f>
        <v/>
      </c>
      <c r="M1933" s="1" t="str">
        <f>IFERROR(__xludf.DUMMYFUNCTION("""COMPUTED_VALUE"""),"RFID")</f>
        <v>RFID</v>
      </c>
      <c r="N1933" s="5" t="str">
        <f>IFERROR(__xludf.DUMMYFUNCTION("""COMPUTED_VALUE"""),"")</f>
        <v/>
      </c>
      <c r="O1933" s="5" t="str">
        <f>IFERROR(__xludf.DUMMYFUNCTION("""COMPUTED_VALUE"""),"")</f>
        <v/>
      </c>
      <c r="P1933" s="5" t="str">
        <f>IFERROR(__xludf.DUMMYFUNCTION("""COMPUTED_VALUE"""),"")</f>
        <v/>
      </c>
      <c r="Q1933" s="5" t="str">
        <f>IFERROR(__xludf.DUMMYFUNCTION("""COMPUTED_VALUE"""),"")</f>
        <v/>
      </c>
      <c r="R1933" s="4" t="str">
        <f>IFERROR(__xludf.DUMMYFUNCTION("""COMPUTED_VALUE"""),"")</f>
        <v/>
      </c>
      <c r="S1933" s="1" t="b">
        <f>IFERROR(__xludf.DUMMYFUNCTION("""COMPUTED_VALUE"""),FALSE)</f>
        <v>0</v>
      </c>
      <c r="T1933" s="1" t="b">
        <f>IFERROR(__xludf.DUMMYFUNCTION("""COMPUTED_VALUE"""),FALSE)</f>
        <v>0</v>
      </c>
      <c r="U1933" s="1" t="str">
        <f>IFERROR(__xludf.DUMMYFUNCTION("""COMPUTED_VALUE"""),"DSQ")</f>
        <v>DSQ</v>
      </c>
      <c r="V1933" s="1" t="str">
        <f>IFERROR(__xludf.DUMMYFUNCTION("""COMPUTED_VALUE"""),"DSQ")</f>
        <v>DSQ</v>
      </c>
      <c r="W1933" s="1" t="str">
        <f>IFERROR(__xludf.DUMMYFUNCTION("""COMPUTED_VALUE"""),"DSQ")</f>
        <v>DSQ</v>
      </c>
      <c r="X1933" s="1" t="str">
        <f>IFERROR(__xludf.DUMMYFUNCTION("""COMPUTED_VALUE"""),"DSQ")</f>
        <v>DSQ</v>
      </c>
      <c r="Y1933" s="2"/>
      <c r="Z1933" s="2" t="str">
        <f>IFERROR(__xludf.DUMMYFUNCTION("""COMPUTED_VALUE"""),"")</f>
        <v/>
      </c>
    </row>
    <row r="1934">
      <c r="A1934" s="1">
        <f>IFERROR(__xludf.DUMMYFUNCTION("""COMPUTED_VALUE"""),1933.0)</f>
        <v>1933</v>
      </c>
      <c r="B1934" s="1">
        <f>IFERROR(__xludf.DUMMYFUNCTION("""COMPUTED_VALUE"""),5462.0)</f>
        <v>5462</v>
      </c>
      <c r="C1934" s="2" t="str">
        <f>IFERROR(__xludf.DUMMYFUNCTION("""COMPUTED_VALUE"""),"SAEFUL RAHMAN")</f>
        <v>SAEFUL RAHMAN</v>
      </c>
      <c r="D1934" s="2" t="str">
        <f>IFERROR(__xludf.DUMMYFUNCTION("""COMPUTED_VALUE"""),"5KM OVERALL M")</f>
        <v>5KM OVERALL M</v>
      </c>
      <c r="E1934" s="1">
        <f>IFERROR(__xludf.DUMMYFUNCTION("""COMPUTED_VALUE"""),2.0)</f>
        <v>2</v>
      </c>
      <c r="F1934" s="1" t="str">
        <f>IFERROR(__xludf.DUMMYFUNCTION("""COMPUTED_VALUE"""),"Male")</f>
        <v>Male</v>
      </c>
      <c r="G1934" s="4" t="b">
        <f>IFERROR(__xludf.DUMMYFUNCTION("""COMPUTED_VALUE"""),TRUE)</f>
        <v>1</v>
      </c>
      <c r="H1934" s="4" t="b">
        <f>IFERROR(__xludf.DUMMYFUNCTION("""COMPUTED_VALUE"""),TRUE)</f>
        <v>1</v>
      </c>
      <c r="I1934" s="4">
        <f>IFERROR(__xludf.DUMMYFUNCTION("""COMPUTED_VALUE"""),0.2549440625)</f>
        <v>0.2549440625</v>
      </c>
      <c r="J1934" s="4">
        <f>IFERROR(__xludf.DUMMYFUNCTION("""COMPUTED_VALUE"""),45949.26824196466)</f>
        <v>45949.26824</v>
      </c>
      <c r="K1934" s="4" t="str">
        <f>IFERROR(__xludf.DUMMYFUNCTION("""COMPUTED_VALUE"""),"")</f>
        <v/>
      </c>
      <c r="L1934" s="4">
        <f>IFERROR(__xludf.DUMMYFUNCTION("""COMPUTED_VALUE"""),45949.27590457499)</f>
        <v>45949.2759</v>
      </c>
      <c r="M1934" s="1" t="str">
        <f>IFERROR(__xludf.DUMMYFUNCTION("""COMPUTED_VALUE"""),"RFID")</f>
        <v>RFID</v>
      </c>
      <c r="N1934" s="5">
        <f>IFERROR(__xludf.DUMMYFUNCTION("""COMPUTED_VALUE"""),0.005319162037037037)</f>
        <v>0.005319162037</v>
      </c>
      <c r="O1934" s="5" t="str">
        <f>IFERROR(__xludf.DUMMYFUNCTION("""COMPUTED_VALUE"""),"")</f>
        <v/>
      </c>
      <c r="P1934" s="5" t="str">
        <f>IFERROR(__xludf.DUMMYFUNCTION("""COMPUTED_VALUE"""),"")</f>
        <v/>
      </c>
      <c r="Q1934" s="5">
        <f>IFERROR(__xludf.DUMMYFUNCTION("""COMPUTED_VALUE"""),0.004192101851851851)</f>
        <v>0.004192101852</v>
      </c>
      <c r="R1934" s="4">
        <f>IFERROR(__xludf.DUMMYFUNCTION("""COMPUTED_VALUE"""),45949.02096051249)</f>
        <v>45949.02096</v>
      </c>
      <c r="S1934" s="1" t="b">
        <f>IFERROR(__xludf.DUMMYFUNCTION("""COMPUTED_VALUE"""),TRUE)</f>
        <v>1</v>
      </c>
      <c r="T1934" s="1" t="b">
        <f>IFERROR(__xludf.DUMMYFUNCTION("""COMPUTED_VALUE"""),FALSE)</f>
        <v>0</v>
      </c>
      <c r="U1934" s="1" t="str">
        <f>IFERROR(__xludf.DUMMYFUNCTION("""COMPUTED_VALUE"""),"VALID")</f>
        <v>VALID</v>
      </c>
      <c r="V1934" s="1">
        <f>IFERROR(__xludf.DUMMYFUNCTION("""COMPUTED_VALUE"""),92.0)</f>
        <v>92</v>
      </c>
      <c r="W1934" s="1">
        <f>IFERROR(__xludf.DUMMYFUNCTION("""COMPUTED_VALUE"""),142.0)</f>
        <v>142</v>
      </c>
      <c r="X1934" s="1">
        <f>IFERROR(__xludf.DUMMYFUNCTION("""COMPUTED_VALUE"""),128.0)</f>
        <v>128</v>
      </c>
      <c r="Y1934" s="2"/>
      <c r="Z1934" s="2"/>
    </row>
    <row r="1935">
      <c r="A1935" s="1">
        <f>IFERROR(__xludf.DUMMYFUNCTION("""COMPUTED_VALUE"""),1934.0)</f>
        <v>1934</v>
      </c>
      <c r="B1935" s="1">
        <f>IFERROR(__xludf.DUMMYFUNCTION("""COMPUTED_VALUE"""),5463.0)</f>
        <v>5463</v>
      </c>
      <c r="C1935" s="2" t="str">
        <f>IFERROR(__xludf.DUMMYFUNCTION("""COMPUTED_VALUE"""),"NCLR")</f>
        <v>NCLR</v>
      </c>
      <c r="D1935" s="2" t="str">
        <f>IFERROR(__xludf.DUMMYFUNCTION("""COMPUTED_VALUE"""),"5KM OVERALL M")</f>
        <v>5KM OVERALL M</v>
      </c>
      <c r="E1935" s="1">
        <f>IFERROR(__xludf.DUMMYFUNCTION("""COMPUTED_VALUE"""),2.0)</f>
        <v>2</v>
      </c>
      <c r="F1935" s="1" t="str">
        <f>IFERROR(__xludf.DUMMYFUNCTION("""COMPUTED_VALUE"""),"Male")</f>
        <v>Male</v>
      </c>
      <c r="G1935" s="4" t="b">
        <f>IFERROR(__xludf.DUMMYFUNCTION("""COMPUTED_VALUE"""),TRUE)</f>
        <v>1</v>
      </c>
      <c r="H1935" s="4" t="b">
        <f>IFERROR(__xludf.DUMMYFUNCTION("""COMPUTED_VALUE"""),TRUE)</f>
        <v>1</v>
      </c>
      <c r="I1935" s="4">
        <f>IFERROR(__xludf.DUMMYFUNCTION("""COMPUTED_VALUE"""),0.2549440625)</f>
        <v>0.2549440625</v>
      </c>
      <c r="J1935" s="4">
        <f>IFERROR(__xludf.DUMMYFUNCTION("""COMPUTED_VALUE"""),45949.26440515906)</f>
        <v>45949.26441</v>
      </c>
      <c r="K1935" s="4" t="str">
        <f>IFERROR(__xludf.DUMMYFUNCTION("""COMPUTED_VALUE"""),"")</f>
        <v/>
      </c>
      <c r="L1935" s="4">
        <f>IFERROR(__xludf.DUMMYFUNCTION("""COMPUTED_VALUE"""),45949.27286615601)</f>
        <v>45949.27287</v>
      </c>
      <c r="M1935" s="1" t="str">
        <f>IFERROR(__xludf.DUMMYFUNCTION("""COMPUTED_VALUE"""),"RFID")</f>
        <v>RFID</v>
      </c>
      <c r="N1935" s="5">
        <f>IFERROR(__xludf.DUMMYFUNCTION("""COMPUTED_VALUE"""),0.0037844398148148147)</f>
        <v>0.003784439815</v>
      </c>
      <c r="O1935" s="5" t="str">
        <f>IFERROR(__xludf.DUMMYFUNCTION("""COMPUTED_VALUE"""),"")</f>
        <v/>
      </c>
      <c r="P1935" s="5" t="str">
        <f>IFERROR(__xludf.DUMMYFUNCTION("""COMPUTED_VALUE"""),"")</f>
        <v/>
      </c>
      <c r="Q1935" s="5">
        <f>IFERROR(__xludf.DUMMYFUNCTION("""COMPUTED_VALUE"""),0.003584418981481482)</f>
        <v>0.003584418981</v>
      </c>
      <c r="R1935" s="4">
        <f>IFERROR(__xludf.DUMMYFUNCTION("""COMPUTED_VALUE"""),45949.01792209351)</f>
        <v>45949.01792</v>
      </c>
      <c r="S1935" s="1" t="b">
        <f>IFERROR(__xludf.DUMMYFUNCTION("""COMPUTED_VALUE"""),TRUE)</f>
        <v>1</v>
      </c>
      <c r="T1935" s="1" t="b">
        <f>IFERROR(__xludf.DUMMYFUNCTION("""COMPUTED_VALUE"""),FALSE)</f>
        <v>0</v>
      </c>
      <c r="U1935" s="1" t="str">
        <f>IFERROR(__xludf.DUMMYFUNCTION("""COMPUTED_VALUE"""),"VALID")</f>
        <v>VALID</v>
      </c>
      <c r="V1935" s="1">
        <f>IFERROR(__xludf.DUMMYFUNCTION("""COMPUTED_VALUE"""),34.0)</f>
        <v>34</v>
      </c>
      <c r="W1935" s="1">
        <f>IFERROR(__xludf.DUMMYFUNCTION("""COMPUTED_VALUE"""),52.0)</f>
        <v>52</v>
      </c>
      <c r="X1935" s="1">
        <f>IFERROR(__xludf.DUMMYFUNCTION("""COMPUTED_VALUE"""),50.0)</f>
        <v>50</v>
      </c>
      <c r="Y1935" s="2"/>
      <c r="Z1935" s="2"/>
    </row>
    <row r="1936">
      <c r="A1936" s="1">
        <f>IFERROR(__xludf.DUMMYFUNCTION("""COMPUTED_VALUE"""),1935.0)</f>
        <v>1935</v>
      </c>
      <c r="B1936" s="1">
        <f>IFERROR(__xludf.DUMMYFUNCTION("""COMPUTED_VALUE"""),5465.0)</f>
        <v>5465</v>
      </c>
      <c r="C1936" s="2" t="str">
        <f>IFERROR(__xludf.DUMMYFUNCTION("""COMPUTED_VALUE"""),"hakam")</f>
        <v>hakam</v>
      </c>
      <c r="D1936" s="2" t="str">
        <f>IFERROR(__xludf.DUMMYFUNCTION("""COMPUTED_VALUE"""),"5KM OVERALL M")</f>
        <v>5KM OVERALL M</v>
      </c>
      <c r="E1936" s="1">
        <f>IFERROR(__xludf.DUMMYFUNCTION("""COMPUTED_VALUE"""),2.0)</f>
        <v>2</v>
      </c>
      <c r="F1936" s="1" t="str">
        <f>IFERROR(__xludf.DUMMYFUNCTION("""COMPUTED_VALUE"""),"Male")</f>
        <v>Male</v>
      </c>
      <c r="G1936" s="4" t="b">
        <f>IFERROR(__xludf.DUMMYFUNCTION("""COMPUTED_VALUE"""),TRUE)</f>
        <v>1</v>
      </c>
      <c r="H1936" s="4" t="b">
        <f>IFERROR(__xludf.DUMMYFUNCTION("""COMPUTED_VALUE"""),FALSE)</f>
        <v>0</v>
      </c>
      <c r="I1936" s="4">
        <f>IFERROR(__xludf.DUMMYFUNCTION("""COMPUTED_VALUE"""),0.2549440625)</f>
        <v>0.2549440625</v>
      </c>
      <c r="J1936" s="4">
        <f>IFERROR(__xludf.DUMMYFUNCTION("""COMPUTED_VALUE"""),45949.27228369437)</f>
        <v>45949.27228</v>
      </c>
      <c r="K1936" s="4" t="str">
        <f>IFERROR(__xludf.DUMMYFUNCTION("""COMPUTED_VALUE"""),"")</f>
        <v/>
      </c>
      <c r="L1936" s="4">
        <f>IFERROR(__xludf.DUMMYFUNCTION("""COMPUTED_VALUE"""),45949.28550155707)</f>
        <v>45949.2855</v>
      </c>
      <c r="M1936" s="1" t="str">
        <f>IFERROR(__xludf.DUMMYFUNCTION("""COMPUTED_VALUE"""),"RFID")</f>
        <v>RFID</v>
      </c>
      <c r="N1936" s="5">
        <f>IFERROR(__xludf.DUMMYFUNCTION("""COMPUTED_VALUE"""),0.006935851851851851)</f>
        <v>0.006935851852</v>
      </c>
      <c r="O1936" s="5" t="str">
        <f>IFERROR(__xludf.DUMMYFUNCTION("""COMPUTED_VALUE"""),"")</f>
        <v/>
      </c>
      <c r="P1936" s="5" t="str">
        <f>IFERROR(__xludf.DUMMYFUNCTION("""COMPUTED_VALUE"""),"")</f>
        <v/>
      </c>
      <c r="Q1936" s="5">
        <f>IFERROR(__xludf.DUMMYFUNCTION("""COMPUTED_VALUE"""),0.006111500000000001)</f>
        <v>0.0061115</v>
      </c>
      <c r="R1936" s="4">
        <f>IFERROR(__xludf.DUMMYFUNCTION("""COMPUTED_VALUE"""),45949.03055749457)</f>
        <v>45949.03056</v>
      </c>
      <c r="S1936" s="1" t="b">
        <f>IFERROR(__xludf.DUMMYFUNCTION("""COMPUTED_VALUE"""),TRUE)</f>
        <v>1</v>
      </c>
      <c r="T1936" s="1" t="b">
        <f>IFERROR(__xludf.DUMMYFUNCTION("""COMPUTED_VALUE"""),FALSE)</f>
        <v>0</v>
      </c>
      <c r="U1936" s="1" t="str">
        <f>IFERROR(__xludf.DUMMYFUNCTION("""COMPUTED_VALUE"""),"VALID")</f>
        <v>VALID</v>
      </c>
      <c r="V1936" s="1">
        <f>IFERROR(__xludf.DUMMYFUNCTION("""COMPUTED_VALUE"""),396.0)</f>
        <v>396</v>
      </c>
      <c r="W1936" s="1">
        <f>IFERROR(__xludf.DUMMYFUNCTION("""COMPUTED_VALUE"""),603.0)</f>
        <v>603</v>
      </c>
      <c r="X1936" s="1">
        <f>IFERROR(__xludf.DUMMYFUNCTION("""COMPUTED_VALUE"""),509.0)</f>
        <v>509</v>
      </c>
      <c r="Y1936" s="2"/>
      <c r="Z1936" s="2"/>
    </row>
    <row r="1937">
      <c r="A1937" s="1">
        <f>IFERROR(__xludf.DUMMYFUNCTION("""COMPUTED_VALUE"""),1936.0)</f>
        <v>1936</v>
      </c>
      <c r="B1937" s="1">
        <f>IFERROR(__xludf.DUMMYFUNCTION("""COMPUTED_VALUE"""),5467.0)</f>
        <v>5467</v>
      </c>
      <c r="C1937" s="2" t="str">
        <f>IFERROR(__xludf.DUMMYFUNCTION("""COMPUTED_VALUE"""),"Jean Ricardo")</f>
        <v>Jean Ricardo</v>
      </c>
      <c r="D1937" s="2" t="str">
        <f>IFERROR(__xludf.DUMMYFUNCTION("""COMPUTED_VALUE"""),"5KM OVERALL M")</f>
        <v>5KM OVERALL M</v>
      </c>
      <c r="E1937" s="1">
        <f>IFERROR(__xludf.DUMMYFUNCTION("""COMPUTED_VALUE"""),2.0)</f>
        <v>2</v>
      </c>
      <c r="F1937" s="1" t="str">
        <f>IFERROR(__xludf.DUMMYFUNCTION("""COMPUTED_VALUE"""),"Male")</f>
        <v>Male</v>
      </c>
      <c r="G1937" s="4" t="b">
        <f>IFERROR(__xludf.DUMMYFUNCTION("""COMPUTED_VALUE"""),TRUE)</f>
        <v>1</v>
      </c>
      <c r="H1937" s="4" t="b">
        <f>IFERROR(__xludf.DUMMYFUNCTION("""COMPUTED_VALUE"""),FALSE)</f>
        <v>0</v>
      </c>
      <c r="I1937" s="4">
        <f>IFERROR(__xludf.DUMMYFUNCTION("""COMPUTED_VALUE"""),0.2549440625)</f>
        <v>0.2549440625</v>
      </c>
      <c r="J1937" s="4">
        <f>IFERROR(__xludf.DUMMYFUNCTION("""COMPUTED_VALUE"""),45949.276325392806)</f>
        <v>45949.27633</v>
      </c>
      <c r="K1937" s="4" t="str">
        <f>IFERROR(__xludf.DUMMYFUNCTION("""COMPUTED_VALUE"""),"")</f>
        <v/>
      </c>
      <c r="L1937" s="4">
        <f>IFERROR(__xludf.DUMMYFUNCTION("""COMPUTED_VALUE"""),45949.29161262068)</f>
        <v>45949.29161</v>
      </c>
      <c r="M1937" s="1" t="str">
        <f>IFERROR(__xludf.DUMMYFUNCTION("""COMPUTED_VALUE"""),"RFID")</f>
        <v>RFID</v>
      </c>
      <c r="N1937" s="5">
        <f>IFERROR(__xludf.DUMMYFUNCTION("""COMPUTED_VALUE"""),0.008552532407407408)</f>
        <v>0.008552532407</v>
      </c>
      <c r="O1937" s="5" t="str">
        <f>IFERROR(__xludf.DUMMYFUNCTION("""COMPUTED_VALUE"""),"")</f>
        <v/>
      </c>
      <c r="P1937" s="5" t="str">
        <f>IFERROR(__xludf.DUMMYFUNCTION("""COMPUTED_VALUE"""),"")</f>
        <v/>
      </c>
      <c r="Q1937" s="5">
        <f>IFERROR(__xludf.DUMMYFUNCTION("""COMPUTED_VALUE"""),0.007333710648148148)</f>
        <v>0.007333710648</v>
      </c>
      <c r="R1937" s="4">
        <f>IFERROR(__xludf.DUMMYFUNCTION("""COMPUTED_VALUE"""),45949.036668558176)</f>
        <v>45949.03667</v>
      </c>
      <c r="S1937" s="1" t="b">
        <f>IFERROR(__xludf.DUMMYFUNCTION("""COMPUTED_VALUE"""),TRUE)</f>
        <v>1</v>
      </c>
      <c r="T1937" s="1" t="b">
        <f>IFERROR(__xludf.DUMMYFUNCTION("""COMPUTED_VALUE"""),FALSE)</f>
        <v>0</v>
      </c>
      <c r="U1937" s="1" t="str">
        <f>IFERROR(__xludf.DUMMYFUNCTION("""COMPUTED_VALUE"""),"VALID")</f>
        <v>VALID</v>
      </c>
      <c r="V1937" s="1">
        <f>IFERROR(__xludf.DUMMYFUNCTION("""COMPUTED_VALUE"""),614.0)</f>
        <v>614</v>
      </c>
      <c r="W1937" s="1">
        <f>IFERROR(__xludf.DUMMYFUNCTION("""COMPUTED_VALUE"""),1007.0)</f>
        <v>1007</v>
      </c>
      <c r="X1937" s="1">
        <f>IFERROR(__xludf.DUMMYFUNCTION("""COMPUTED_VALUE"""),812.0)</f>
        <v>812</v>
      </c>
      <c r="Y1937" s="2"/>
      <c r="Z1937" s="2"/>
    </row>
    <row r="1938">
      <c r="A1938" s="1">
        <f>IFERROR(__xludf.DUMMYFUNCTION("""COMPUTED_VALUE"""),1937.0)</f>
        <v>1937</v>
      </c>
      <c r="B1938" s="1">
        <f>IFERROR(__xludf.DUMMYFUNCTION("""COMPUTED_VALUE"""),5469.0)</f>
        <v>5469</v>
      </c>
      <c r="C1938" s="2" t="str">
        <f>IFERROR(__xludf.DUMMYFUNCTION("""COMPUTED_VALUE"""),"maliq")</f>
        <v>maliq</v>
      </c>
      <c r="D1938" s="2" t="str">
        <f>IFERROR(__xludf.DUMMYFUNCTION("""COMPUTED_VALUE"""),"5KM OVERALL M")</f>
        <v>5KM OVERALL M</v>
      </c>
      <c r="E1938" s="1">
        <f>IFERROR(__xludf.DUMMYFUNCTION("""COMPUTED_VALUE"""),2.0)</f>
        <v>2</v>
      </c>
      <c r="F1938" s="1" t="str">
        <f>IFERROR(__xludf.DUMMYFUNCTION("""COMPUTED_VALUE"""),"Male")</f>
        <v>Male</v>
      </c>
      <c r="G1938" s="4" t="str">
        <f>IFERROR(__xludf.DUMMYFUNCTION("""COMPUTED_VALUE"""),"")</f>
        <v/>
      </c>
      <c r="H1938" s="4" t="b">
        <f>IFERROR(__xludf.DUMMYFUNCTION("""COMPUTED_VALUE"""),FALSE)</f>
        <v>0</v>
      </c>
      <c r="I1938" s="4">
        <f>IFERROR(__xludf.DUMMYFUNCTION("""COMPUTED_VALUE"""),0.2549440625)</f>
        <v>0.2549440625</v>
      </c>
      <c r="J1938" s="4" t="str">
        <f>IFERROR(__xludf.DUMMYFUNCTION("""COMPUTED_VALUE"""),"")</f>
        <v/>
      </c>
      <c r="K1938" s="4" t="str">
        <f>IFERROR(__xludf.DUMMYFUNCTION("""COMPUTED_VALUE"""),"")</f>
        <v/>
      </c>
      <c r="L1938" s="4" t="str">
        <f>IFERROR(__xludf.DUMMYFUNCTION("""COMPUTED_VALUE"""),"")</f>
        <v/>
      </c>
      <c r="M1938" s="1" t="str">
        <f>IFERROR(__xludf.DUMMYFUNCTION("""COMPUTED_VALUE"""),"RFID")</f>
        <v>RFID</v>
      </c>
      <c r="N1938" s="5" t="str">
        <f>IFERROR(__xludf.DUMMYFUNCTION("""COMPUTED_VALUE"""),"")</f>
        <v/>
      </c>
      <c r="O1938" s="5" t="str">
        <f>IFERROR(__xludf.DUMMYFUNCTION("""COMPUTED_VALUE"""),"")</f>
        <v/>
      </c>
      <c r="P1938" s="5" t="str">
        <f>IFERROR(__xludf.DUMMYFUNCTION("""COMPUTED_VALUE"""),"")</f>
        <v/>
      </c>
      <c r="Q1938" s="5" t="str">
        <f>IFERROR(__xludf.DUMMYFUNCTION("""COMPUTED_VALUE"""),"")</f>
        <v/>
      </c>
      <c r="R1938" s="4" t="str">
        <f>IFERROR(__xludf.DUMMYFUNCTION("""COMPUTED_VALUE"""),"")</f>
        <v/>
      </c>
      <c r="S1938" s="1" t="b">
        <f>IFERROR(__xludf.DUMMYFUNCTION("""COMPUTED_VALUE"""),FALSE)</f>
        <v>0</v>
      </c>
      <c r="T1938" s="1" t="b">
        <f>IFERROR(__xludf.DUMMYFUNCTION("""COMPUTED_VALUE"""),FALSE)</f>
        <v>0</v>
      </c>
      <c r="U1938" s="1" t="str">
        <f>IFERROR(__xludf.DUMMYFUNCTION("""COMPUTED_VALUE"""),"DSQ")</f>
        <v>DSQ</v>
      </c>
      <c r="V1938" s="1" t="str">
        <f>IFERROR(__xludf.DUMMYFUNCTION("""COMPUTED_VALUE"""),"DSQ")</f>
        <v>DSQ</v>
      </c>
      <c r="W1938" s="1" t="str">
        <f>IFERROR(__xludf.DUMMYFUNCTION("""COMPUTED_VALUE"""),"DSQ")</f>
        <v>DSQ</v>
      </c>
      <c r="X1938" s="1" t="str">
        <f>IFERROR(__xludf.DUMMYFUNCTION("""COMPUTED_VALUE"""),"DSQ")</f>
        <v>DSQ</v>
      </c>
      <c r="Y1938" s="2"/>
      <c r="Z1938" s="2" t="str">
        <f>IFERROR(__xludf.DUMMYFUNCTION("""COMPUTED_VALUE"""),"")</f>
        <v/>
      </c>
    </row>
    <row r="1939">
      <c r="A1939" s="1">
        <f>IFERROR(__xludf.DUMMYFUNCTION("""COMPUTED_VALUE"""),1938.0)</f>
        <v>1938</v>
      </c>
      <c r="B1939" s="1">
        <f>IFERROR(__xludf.DUMMYFUNCTION("""COMPUTED_VALUE"""),5471.0)</f>
        <v>5471</v>
      </c>
      <c r="C1939" s="2" t="str">
        <f>IFERROR(__xludf.DUMMYFUNCTION("""COMPUTED_VALUE"""),"fauzi")</f>
        <v>fauzi</v>
      </c>
      <c r="D1939" s="2" t="str">
        <f>IFERROR(__xludf.DUMMYFUNCTION("""COMPUTED_VALUE"""),"5KM OVERALL M")</f>
        <v>5KM OVERALL M</v>
      </c>
      <c r="E1939" s="1">
        <f>IFERROR(__xludf.DUMMYFUNCTION("""COMPUTED_VALUE"""),2.0)</f>
        <v>2</v>
      </c>
      <c r="F1939" s="1" t="str">
        <f>IFERROR(__xludf.DUMMYFUNCTION("""COMPUTED_VALUE"""),"Male")</f>
        <v>Male</v>
      </c>
      <c r="G1939" s="4" t="b">
        <f>IFERROR(__xludf.DUMMYFUNCTION("""COMPUTED_VALUE"""),TRUE)</f>
        <v>1</v>
      </c>
      <c r="H1939" s="4" t="b">
        <f>IFERROR(__xludf.DUMMYFUNCTION("""COMPUTED_VALUE"""),FALSE)</f>
        <v>0</v>
      </c>
      <c r="I1939" s="4">
        <f>IFERROR(__xludf.DUMMYFUNCTION("""COMPUTED_VALUE"""),0.2549440625)</f>
        <v>0.2549440625</v>
      </c>
      <c r="J1939" s="4">
        <f>IFERROR(__xludf.DUMMYFUNCTION("""COMPUTED_VALUE"""),45949.27750586327)</f>
        <v>45949.27751</v>
      </c>
      <c r="K1939" s="4" t="str">
        <f>IFERROR(__xludf.DUMMYFUNCTION("""COMPUTED_VALUE"""),"")</f>
        <v/>
      </c>
      <c r="L1939" s="4">
        <f>IFERROR(__xludf.DUMMYFUNCTION("""COMPUTED_VALUE"""),45949.29488698487)</f>
        <v>45949.29489</v>
      </c>
      <c r="M1939" s="1" t="str">
        <f>IFERROR(__xludf.DUMMYFUNCTION("""COMPUTED_VALUE"""),"RFID")</f>
        <v>RFID</v>
      </c>
      <c r="N1939" s="5">
        <f>IFERROR(__xludf.DUMMYFUNCTION("""COMPUTED_VALUE"""),0.009024722222222222)</f>
        <v>0.009024722222</v>
      </c>
      <c r="O1939" s="5" t="str">
        <f>IFERROR(__xludf.DUMMYFUNCTION("""COMPUTED_VALUE"""),"")</f>
        <v/>
      </c>
      <c r="P1939" s="5" t="str">
        <f>IFERROR(__xludf.DUMMYFUNCTION("""COMPUTED_VALUE"""),"")</f>
        <v/>
      </c>
      <c r="Q1939" s="5">
        <f>IFERROR(__xludf.DUMMYFUNCTION("""COMPUTED_VALUE"""),0.007988583333333334)</f>
        <v>0.007988583333</v>
      </c>
      <c r="R1939" s="4">
        <f>IFERROR(__xludf.DUMMYFUNCTION("""COMPUTED_VALUE"""),45949.03994292237)</f>
        <v>45949.03994</v>
      </c>
      <c r="S1939" s="1" t="b">
        <f>IFERROR(__xludf.DUMMYFUNCTION("""COMPUTED_VALUE"""),TRUE)</f>
        <v>1</v>
      </c>
      <c r="T1939" s="1" t="b">
        <f>IFERROR(__xludf.DUMMYFUNCTION("""COMPUTED_VALUE"""),FALSE)</f>
        <v>0</v>
      </c>
      <c r="U1939" s="1" t="str">
        <f>IFERROR(__xludf.DUMMYFUNCTION("""COMPUTED_VALUE"""),"VALID")</f>
        <v>VALID</v>
      </c>
      <c r="V1939" s="1">
        <f>IFERROR(__xludf.DUMMYFUNCTION("""COMPUTED_VALUE"""),713.0)</f>
        <v>713</v>
      </c>
      <c r="W1939" s="1">
        <f>IFERROR(__xludf.DUMMYFUNCTION("""COMPUTED_VALUE"""),1241.0)</f>
        <v>1241</v>
      </c>
      <c r="X1939" s="1">
        <f>IFERROR(__xludf.DUMMYFUNCTION("""COMPUTED_VALUE"""),978.0)</f>
        <v>978</v>
      </c>
      <c r="Y1939" s="2"/>
      <c r="Z1939" s="2"/>
    </row>
    <row r="1940">
      <c r="A1940" s="1">
        <f>IFERROR(__xludf.DUMMYFUNCTION("""COMPUTED_VALUE"""),1939.0)</f>
        <v>1939</v>
      </c>
      <c r="B1940" s="1">
        <f>IFERROR(__xludf.DUMMYFUNCTION("""COMPUTED_VALUE"""),5472.0)</f>
        <v>5472</v>
      </c>
      <c r="C1940" s="2" t="str">
        <f>IFERROR(__xludf.DUMMYFUNCTION("""COMPUTED_VALUE"""),"Abdi Hariadi")</f>
        <v>Abdi Hariadi</v>
      </c>
      <c r="D1940" s="2" t="str">
        <f>IFERROR(__xludf.DUMMYFUNCTION("""COMPUTED_VALUE"""),"5KM OVERALL M")</f>
        <v>5KM OVERALL M</v>
      </c>
      <c r="E1940" s="1">
        <f>IFERROR(__xludf.DUMMYFUNCTION("""COMPUTED_VALUE"""),2.0)</f>
        <v>2</v>
      </c>
      <c r="F1940" s="1" t="str">
        <f>IFERROR(__xludf.DUMMYFUNCTION("""COMPUTED_VALUE"""),"Male")</f>
        <v>Male</v>
      </c>
      <c r="G1940" s="4" t="b">
        <f>IFERROR(__xludf.DUMMYFUNCTION("""COMPUTED_VALUE"""),TRUE)</f>
        <v>1</v>
      </c>
      <c r="H1940" s="4" t="b">
        <f>IFERROR(__xludf.DUMMYFUNCTION("""COMPUTED_VALUE"""),TRUE)</f>
        <v>1</v>
      </c>
      <c r="I1940" s="4">
        <f>IFERROR(__xludf.DUMMYFUNCTION("""COMPUTED_VALUE"""),0.2549440625)</f>
        <v>0.2549440625</v>
      </c>
      <c r="J1940" s="4">
        <f>IFERROR(__xludf.DUMMYFUNCTION("""COMPUTED_VALUE"""),45949.2639954518)</f>
        <v>45949.264</v>
      </c>
      <c r="K1940" s="4" t="str">
        <f>IFERROR(__xludf.DUMMYFUNCTION("""COMPUTED_VALUE"""),"")</f>
        <v/>
      </c>
      <c r="L1940" s="4">
        <f>IFERROR(__xludf.DUMMYFUNCTION("""COMPUTED_VALUE"""),45949.27176199181)</f>
        <v>45949.27176</v>
      </c>
      <c r="M1940" s="1" t="str">
        <f>IFERROR(__xludf.DUMMYFUNCTION("""COMPUTED_VALUE"""),"RFID")</f>
        <v>RFID</v>
      </c>
      <c r="N1940" s="5">
        <f>IFERROR(__xludf.DUMMYFUNCTION("""COMPUTED_VALUE"""),0.0036205555555555552)</f>
        <v>0.003620555556</v>
      </c>
      <c r="O1940" s="5" t="str">
        <f>IFERROR(__xludf.DUMMYFUNCTION("""COMPUTED_VALUE"""),"")</f>
        <v/>
      </c>
      <c r="P1940" s="5" t="str">
        <f>IFERROR(__xludf.DUMMYFUNCTION("""COMPUTED_VALUE"""),"")</f>
        <v/>
      </c>
      <c r="Q1940" s="5">
        <f>IFERROR(__xludf.DUMMYFUNCTION("""COMPUTED_VALUE"""),0.0033635856481481477)</f>
        <v>0.003363585648</v>
      </c>
      <c r="R1940" s="4">
        <f>IFERROR(__xludf.DUMMYFUNCTION("""COMPUTED_VALUE"""),45949.01681792931)</f>
        <v>45949.01682</v>
      </c>
      <c r="S1940" s="1" t="b">
        <f>IFERROR(__xludf.DUMMYFUNCTION("""COMPUTED_VALUE"""),TRUE)</f>
        <v>1</v>
      </c>
      <c r="T1940" s="1" t="b">
        <f>IFERROR(__xludf.DUMMYFUNCTION("""COMPUTED_VALUE"""),FALSE)</f>
        <v>0</v>
      </c>
      <c r="U1940" s="1" t="str">
        <f>IFERROR(__xludf.DUMMYFUNCTION("""COMPUTED_VALUE"""),"VALID")</f>
        <v>VALID</v>
      </c>
      <c r="V1940" s="1">
        <f>IFERROR(__xludf.DUMMYFUNCTION("""COMPUTED_VALUE"""),23.0)</f>
        <v>23</v>
      </c>
      <c r="W1940" s="1">
        <f>IFERROR(__xludf.DUMMYFUNCTION("""COMPUTED_VALUE"""),34.0)</f>
        <v>34</v>
      </c>
      <c r="X1940" s="1">
        <f>IFERROR(__xludf.DUMMYFUNCTION("""COMPUTED_VALUE"""),33.0)</f>
        <v>33</v>
      </c>
      <c r="Y1940" s="2"/>
      <c r="Z1940" s="2"/>
    </row>
    <row r="1941">
      <c r="A1941" s="1">
        <f>IFERROR(__xludf.DUMMYFUNCTION("""COMPUTED_VALUE"""),1940.0)</f>
        <v>1940</v>
      </c>
      <c r="B1941" s="1">
        <f>IFERROR(__xludf.DUMMYFUNCTION("""COMPUTED_VALUE"""),5473.0)</f>
        <v>5473</v>
      </c>
      <c r="C1941" s="2" t="str">
        <f>IFERROR(__xludf.DUMMYFUNCTION("""COMPUTED_VALUE"""),"Wah You Die")</f>
        <v>Wah You Die</v>
      </c>
      <c r="D1941" s="2" t="str">
        <f>IFERROR(__xludf.DUMMYFUNCTION("""COMPUTED_VALUE"""),"5KM OVERALL M")</f>
        <v>5KM OVERALL M</v>
      </c>
      <c r="E1941" s="1">
        <f>IFERROR(__xludf.DUMMYFUNCTION("""COMPUTED_VALUE"""),2.0)</f>
        <v>2</v>
      </c>
      <c r="F1941" s="1" t="str">
        <f>IFERROR(__xludf.DUMMYFUNCTION("""COMPUTED_VALUE"""),"Male")</f>
        <v>Male</v>
      </c>
      <c r="G1941" s="4" t="b">
        <f>IFERROR(__xludf.DUMMYFUNCTION("""COMPUTED_VALUE"""),TRUE)</f>
        <v>1</v>
      </c>
      <c r="H1941" s="4" t="b">
        <f>IFERROR(__xludf.DUMMYFUNCTION("""COMPUTED_VALUE"""),TRUE)</f>
        <v>1</v>
      </c>
      <c r="I1941" s="4">
        <f>IFERROR(__xludf.DUMMYFUNCTION("""COMPUTED_VALUE"""),0.2549440625)</f>
        <v>0.2549440625</v>
      </c>
      <c r="J1941" s="4">
        <f>IFERROR(__xludf.DUMMYFUNCTION("""COMPUTED_VALUE"""),45950.27824074074)</f>
        <v>45950.27824</v>
      </c>
      <c r="K1941" s="4" t="str">
        <f>IFERROR(__xludf.DUMMYFUNCTION("""COMPUTED_VALUE"""),"")</f>
        <v/>
      </c>
      <c r="L1941" s="4">
        <f>IFERROR(__xludf.DUMMYFUNCTION("""COMPUTED_VALUE"""),45949.29376545421)</f>
        <v>45949.29377</v>
      </c>
      <c r="M1941" s="1" t="str">
        <f>IFERROR(__xludf.DUMMYFUNCTION("""COMPUTED_VALUE"""),"RFID")</f>
        <v>RFID</v>
      </c>
      <c r="N1941" s="5">
        <f>IFERROR(__xludf.DUMMYFUNCTION("""COMPUTED_VALUE"""),0.009318671296296297)</f>
        <v>0.009318671296</v>
      </c>
      <c r="O1941" s="5" t="str">
        <f>IFERROR(__xludf.DUMMYFUNCTION("""COMPUTED_VALUE"""),"")</f>
        <v/>
      </c>
      <c r="P1941" s="5" t="str">
        <f>IFERROR(__xludf.DUMMYFUNCTION("""COMPUTED_VALUE"""),"")</f>
        <v/>
      </c>
      <c r="Q1941" s="5">
        <f>IFERROR(__xludf.DUMMYFUNCTION("""COMPUTED_VALUE"""),0.007764277777777778)</f>
        <v>0.007764277778</v>
      </c>
      <c r="R1941" s="4">
        <f>IFERROR(__xludf.DUMMYFUNCTION("""COMPUTED_VALUE"""),45949.03882139171)</f>
        <v>45949.03882</v>
      </c>
      <c r="S1941" s="1" t="b">
        <f>IFERROR(__xludf.DUMMYFUNCTION("""COMPUTED_VALUE"""),TRUE)</f>
        <v>1</v>
      </c>
      <c r="T1941" s="1" t="b">
        <f>IFERROR(__xludf.DUMMYFUNCTION("""COMPUTED_VALUE"""),FALSE)</f>
        <v>0</v>
      </c>
      <c r="U1941" s="1" t="str">
        <f>IFERROR(__xludf.DUMMYFUNCTION("""COMPUTED_VALUE"""),"VALID")</f>
        <v>VALID</v>
      </c>
      <c r="V1941" s="1">
        <f>IFERROR(__xludf.DUMMYFUNCTION("""COMPUTED_VALUE"""),678.0)</f>
        <v>678</v>
      </c>
      <c r="W1941" s="1">
        <f>IFERROR(__xludf.DUMMYFUNCTION("""COMPUTED_VALUE"""),1156.0)</f>
        <v>1156</v>
      </c>
      <c r="X1941" s="1">
        <f>IFERROR(__xludf.DUMMYFUNCTION("""COMPUTED_VALUE"""),917.0)</f>
        <v>917</v>
      </c>
      <c r="Y1941" s="2"/>
      <c r="Z1941" s="2" t="str">
        <f>IFERROR(__xludf.DUMMYFUNCTION("""COMPUTED_VALUE"""),"C")</f>
        <v>C</v>
      </c>
    </row>
    <row r="1942">
      <c r="A1942" s="1">
        <f>IFERROR(__xludf.DUMMYFUNCTION("""COMPUTED_VALUE"""),1941.0)</f>
        <v>1941</v>
      </c>
      <c r="B1942" s="1">
        <f>IFERROR(__xludf.DUMMYFUNCTION("""COMPUTED_VALUE"""),5474.0)</f>
        <v>5474</v>
      </c>
      <c r="C1942" s="2" t="str">
        <f>IFERROR(__xludf.DUMMYFUNCTION("""COMPUTED_VALUE"""),"MIN")</f>
        <v>MIN</v>
      </c>
      <c r="D1942" s="2" t="str">
        <f>IFERROR(__xludf.DUMMYFUNCTION("""COMPUTED_VALUE"""),"5KM OVERALL M")</f>
        <v>5KM OVERALL M</v>
      </c>
      <c r="E1942" s="1">
        <f>IFERROR(__xludf.DUMMYFUNCTION("""COMPUTED_VALUE"""),2.0)</f>
        <v>2</v>
      </c>
      <c r="F1942" s="1" t="str">
        <f>IFERROR(__xludf.DUMMYFUNCTION("""COMPUTED_VALUE"""),"Male")</f>
        <v>Male</v>
      </c>
      <c r="G1942" s="4" t="b">
        <f>IFERROR(__xludf.DUMMYFUNCTION("""COMPUTED_VALUE"""),TRUE)</f>
        <v>1</v>
      </c>
      <c r="H1942" s="4" t="b">
        <f>IFERROR(__xludf.DUMMYFUNCTION("""COMPUTED_VALUE"""),FALSE)</f>
        <v>0</v>
      </c>
      <c r="I1942" s="4">
        <f>IFERROR(__xludf.DUMMYFUNCTION("""COMPUTED_VALUE"""),0.2549440625)</f>
        <v>0.2549440625</v>
      </c>
      <c r="J1942" s="4">
        <f>IFERROR(__xludf.DUMMYFUNCTION("""COMPUTED_VALUE"""),45949.2652767025)</f>
        <v>45949.26528</v>
      </c>
      <c r="K1942" s="4" t="str">
        <f>IFERROR(__xludf.DUMMYFUNCTION("""COMPUTED_VALUE"""),"")</f>
        <v/>
      </c>
      <c r="L1942" s="4">
        <f>IFERROR(__xludf.DUMMYFUNCTION("""COMPUTED_VALUE"""),45949.27378375121)</f>
        <v>45949.27378</v>
      </c>
      <c r="M1942" s="1" t="str">
        <f>IFERROR(__xludf.DUMMYFUNCTION("""COMPUTED_VALUE"""),"RFID")</f>
        <v>RFID</v>
      </c>
      <c r="N1942" s="5">
        <f>IFERROR(__xludf.DUMMYFUNCTION("""COMPUTED_VALUE"""),0.004133055555555556)</f>
        <v>0.004133055556</v>
      </c>
      <c r="O1942" s="5" t="str">
        <f>IFERROR(__xludf.DUMMYFUNCTION("""COMPUTED_VALUE"""),"")</f>
        <v/>
      </c>
      <c r="P1942" s="5" t="str">
        <f>IFERROR(__xludf.DUMMYFUNCTION("""COMPUTED_VALUE"""),"")</f>
        <v/>
      </c>
      <c r="Q1942" s="5">
        <f>IFERROR(__xludf.DUMMYFUNCTION("""COMPUTED_VALUE"""),0.0037679375)</f>
        <v>0.0037679375</v>
      </c>
      <c r="R1942" s="4">
        <f>IFERROR(__xludf.DUMMYFUNCTION("""COMPUTED_VALUE"""),45949.01883968871)</f>
        <v>45949.01884</v>
      </c>
      <c r="S1942" s="1" t="b">
        <f>IFERROR(__xludf.DUMMYFUNCTION("""COMPUTED_VALUE"""),TRUE)</f>
        <v>1</v>
      </c>
      <c r="T1942" s="1" t="b">
        <f>IFERROR(__xludf.DUMMYFUNCTION("""COMPUTED_VALUE"""),FALSE)</f>
        <v>0</v>
      </c>
      <c r="U1942" s="1" t="str">
        <f>IFERROR(__xludf.DUMMYFUNCTION("""COMPUTED_VALUE"""),"VALID")</f>
        <v>VALID</v>
      </c>
      <c r="V1942" s="1">
        <f>IFERROR(__xludf.DUMMYFUNCTION("""COMPUTED_VALUE"""),54.0)</f>
        <v>54</v>
      </c>
      <c r="W1942" s="1">
        <f>IFERROR(__xludf.DUMMYFUNCTION("""COMPUTED_VALUE"""),79.0)</f>
        <v>79</v>
      </c>
      <c r="X1942" s="1">
        <f>IFERROR(__xludf.DUMMYFUNCTION("""COMPUTED_VALUE"""),72.0)</f>
        <v>72</v>
      </c>
      <c r="Y1942" s="2"/>
      <c r="Z1942" s="2"/>
    </row>
    <row r="1943">
      <c r="A1943" s="1">
        <f>IFERROR(__xludf.DUMMYFUNCTION("""COMPUTED_VALUE"""),1942.0)</f>
        <v>1942</v>
      </c>
      <c r="B1943" s="1">
        <f>IFERROR(__xludf.DUMMYFUNCTION("""COMPUTED_VALUE"""),5475.0)</f>
        <v>5475</v>
      </c>
      <c r="C1943" s="2" t="str">
        <f>IFERROR(__xludf.DUMMYFUNCTION("""COMPUTED_VALUE"""),"Ajay")</f>
        <v>Ajay</v>
      </c>
      <c r="D1943" s="2" t="str">
        <f>IFERROR(__xludf.DUMMYFUNCTION("""COMPUTED_VALUE"""),"5KM OVERALL M")</f>
        <v>5KM OVERALL M</v>
      </c>
      <c r="E1943" s="1">
        <f>IFERROR(__xludf.DUMMYFUNCTION("""COMPUTED_VALUE"""),2.0)</f>
        <v>2</v>
      </c>
      <c r="F1943" s="1" t="str">
        <f>IFERROR(__xludf.DUMMYFUNCTION("""COMPUTED_VALUE"""),"Male")</f>
        <v>Male</v>
      </c>
      <c r="G1943" s="4" t="b">
        <f>IFERROR(__xludf.DUMMYFUNCTION("""COMPUTED_VALUE"""),TRUE)</f>
        <v>1</v>
      </c>
      <c r="H1943" s="4" t="b">
        <f>IFERROR(__xludf.DUMMYFUNCTION("""COMPUTED_VALUE"""),FALSE)</f>
        <v>0</v>
      </c>
      <c r="I1943" s="4">
        <f>IFERROR(__xludf.DUMMYFUNCTION("""COMPUTED_VALUE"""),0.2549440625)</f>
        <v>0.2549440625</v>
      </c>
      <c r="J1943" s="4">
        <f>IFERROR(__xludf.DUMMYFUNCTION("""COMPUTED_VALUE"""),45949.27637747601)</f>
        <v>45949.27638</v>
      </c>
      <c r="K1943" s="4" t="str">
        <f>IFERROR(__xludf.DUMMYFUNCTION("""COMPUTED_VALUE"""),"")</f>
        <v/>
      </c>
      <c r="L1943" s="4">
        <f>IFERROR(__xludf.DUMMYFUNCTION("""COMPUTED_VALUE"""),45949.292459908145)</f>
        <v>45949.29246</v>
      </c>
      <c r="M1943" s="1" t="str">
        <f>IFERROR(__xludf.DUMMYFUNCTION("""COMPUTED_VALUE"""),"RFID")</f>
        <v>RFID</v>
      </c>
      <c r="N1943" s="5">
        <f>IFERROR(__xludf.DUMMYFUNCTION("""COMPUTED_VALUE"""),0.00857336574074074)</f>
        <v>0.008573365741</v>
      </c>
      <c r="O1943" s="5" t="str">
        <f>IFERROR(__xludf.DUMMYFUNCTION("""COMPUTED_VALUE"""),"")</f>
        <v/>
      </c>
      <c r="P1943" s="5" t="str">
        <f>IFERROR(__xludf.DUMMYFUNCTION("""COMPUTED_VALUE"""),"")</f>
        <v/>
      </c>
      <c r="Q1943" s="5">
        <f>IFERROR(__xludf.DUMMYFUNCTION("""COMPUTED_VALUE"""),0.007503168981481481)</f>
        <v>0.007503168981</v>
      </c>
      <c r="R1943" s="4">
        <f>IFERROR(__xludf.DUMMYFUNCTION("""COMPUTED_VALUE"""),45949.037515845645)</f>
        <v>45949.03752</v>
      </c>
      <c r="S1943" s="1" t="b">
        <f>IFERROR(__xludf.DUMMYFUNCTION("""COMPUTED_VALUE"""),TRUE)</f>
        <v>1</v>
      </c>
      <c r="T1943" s="1" t="b">
        <f>IFERROR(__xludf.DUMMYFUNCTION("""COMPUTED_VALUE"""),FALSE)</f>
        <v>0</v>
      </c>
      <c r="U1943" s="1" t="str">
        <f>IFERROR(__xludf.DUMMYFUNCTION("""COMPUTED_VALUE"""),"VALID")</f>
        <v>VALID</v>
      </c>
      <c r="V1943" s="1">
        <f>IFERROR(__xludf.DUMMYFUNCTION("""COMPUTED_VALUE"""),638.0)</f>
        <v>638</v>
      </c>
      <c r="W1943" s="1">
        <f>IFERROR(__xludf.DUMMYFUNCTION("""COMPUTED_VALUE"""),1059.0)</f>
        <v>1059</v>
      </c>
      <c r="X1943" s="1">
        <f>IFERROR(__xludf.DUMMYFUNCTION("""COMPUTED_VALUE"""),846.0)</f>
        <v>846</v>
      </c>
      <c r="Y1943" s="2"/>
      <c r="Z1943" s="2"/>
    </row>
    <row r="1944">
      <c r="A1944" s="1">
        <f>IFERROR(__xludf.DUMMYFUNCTION("""COMPUTED_VALUE"""),1943.0)</f>
        <v>1943</v>
      </c>
      <c r="B1944" s="1">
        <f>IFERROR(__xludf.DUMMYFUNCTION("""COMPUTED_VALUE"""),5479.0)</f>
        <v>5479</v>
      </c>
      <c r="C1944" s="2" t="str">
        <f>IFERROR(__xludf.DUMMYFUNCTION("""COMPUTED_VALUE"""),"HendrAp")</f>
        <v>HendrAp</v>
      </c>
      <c r="D1944" s="2" t="str">
        <f>IFERROR(__xludf.DUMMYFUNCTION("""COMPUTED_VALUE"""),"5KM OVERALL M")</f>
        <v>5KM OVERALL M</v>
      </c>
      <c r="E1944" s="1">
        <f>IFERROR(__xludf.DUMMYFUNCTION("""COMPUTED_VALUE"""),2.0)</f>
        <v>2</v>
      </c>
      <c r="F1944" s="1" t="str">
        <f>IFERROR(__xludf.DUMMYFUNCTION("""COMPUTED_VALUE"""),"Male")</f>
        <v>Male</v>
      </c>
      <c r="G1944" s="4" t="str">
        <f>IFERROR(__xludf.DUMMYFUNCTION("""COMPUTED_VALUE"""),"")</f>
        <v/>
      </c>
      <c r="H1944" s="4" t="b">
        <f>IFERROR(__xludf.DUMMYFUNCTION("""COMPUTED_VALUE"""),FALSE)</f>
        <v>0</v>
      </c>
      <c r="I1944" s="4">
        <f>IFERROR(__xludf.DUMMYFUNCTION("""COMPUTED_VALUE"""),0.2549440625)</f>
        <v>0.2549440625</v>
      </c>
      <c r="J1944" s="4" t="str">
        <f>IFERROR(__xludf.DUMMYFUNCTION("""COMPUTED_VALUE"""),"")</f>
        <v/>
      </c>
      <c r="K1944" s="4" t="str">
        <f>IFERROR(__xludf.DUMMYFUNCTION("""COMPUTED_VALUE"""),"")</f>
        <v/>
      </c>
      <c r="L1944" s="4" t="str">
        <f>IFERROR(__xludf.DUMMYFUNCTION("""COMPUTED_VALUE"""),"")</f>
        <v/>
      </c>
      <c r="M1944" s="1" t="str">
        <f>IFERROR(__xludf.DUMMYFUNCTION("""COMPUTED_VALUE"""),"RFID")</f>
        <v>RFID</v>
      </c>
      <c r="N1944" s="5" t="str">
        <f>IFERROR(__xludf.DUMMYFUNCTION("""COMPUTED_VALUE"""),"")</f>
        <v/>
      </c>
      <c r="O1944" s="5" t="str">
        <f>IFERROR(__xludf.DUMMYFUNCTION("""COMPUTED_VALUE"""),"")</f>
        <v/>
      </c>
      <c r="P1944" s="5" t="str">
        <f>IFERROR(__xludf.DUMMYFUNCTION("""COMPUTED_VALUE"""),"")</f>
        <v/>
      </c>
      <c r="Q1944" s="5" t="str">
        <f>IFERROR(__xludf.DUMMYFUNCTION("""COMPUTED_VALUE"""),"")</f>
        <v/>
      </c>
      <c r="R1944" s="4" t="str">
        <f>IFERROR(__xludf.DUMMYFUNCTION("""COMPUTED_VALUE"""),"")</f>
        <v/>
      </c>
      <c r="S1944" s="1" t="b">
        <f>IFERROR(__xludf.DUMMYFUNCTION("""COMPUTED_VALUE"""),FALSE)</f>
        <v>0</v>
      </c>
      <c r="T1944" s="1" t="b">
        <f>IFERROR(__xludf.DUMMYFUNCTION("""COMPUTED_VALUE"""),FALSE)</f>
        <v>0</v>
      </c>
      <c r="U1944" s="1" t="str">
        <f>IFERROR(__xludf.DUMMYFUNCTION("""COMPUTED_VALUE"""),"DSQ")</f>
        <v>DSQ</v>
      </c>
      <c r="V1944" s="1" t="str">
        <f>IFERROR(__xludf.DUMMYFUNCTION("""COMPUTED_VALUE"""),"DSQ")</f>
        <v>DSQ</v>
      </c>
      <c r="W1944" s="1" t="str">
        <f>IFERROR(__xludf.DUMMYFUNCTION("""COMPUTED_VALUE"""),"DSQ")</f>
        <v>DSQ</v>
      </c>
      <c r="X1944" s="1" t="str">
        <f>IFERROR(__xludf.DUMMYFUNCTION("""COMPUTED_VALUE"""),"DSQ")</f>
        <v>DSQ</v>
      </c>
      <c r="Y1944" s="2"/>
      <c r="Z1944" s="2" t="str">
        <f>IFERROR(__xludf.DUMMYFUNCTION("""COMPUTED_VALUE"""),"")</f>
        <v/>
      </c>
    </row>
    <row r="1945">
      <c r="A1945" s="1">
        <f>IFERROR(__xludf.DUMMYFUNCTION("""COMPUTED_VALUE"""),1944.0)</f>
        <v>1944</v>
      </c>
      <c r="B1945" s="1">
        <f>IFERROR(__xludf.DUMMYFUNCTION("""COMPUTED_VALUE"""),5482.0)</f>
        <v>5482</v>
      </c>
      <c r="C1945" s="2" t="str">
        <f>IFERROR(__xludf.DUMMYFUNCTION("""COMPUTED_VALUE"""),"ozhan")</f>
        <v>ozhan</v>
      </c>
      <c r="D1945" s="2" t="str">
        <f>IFERROR(__xludf.DUMMYFUNCTION("""COMPUTED_VALUE"""),"5KM OVERALL M")</f>
        <v>5KM OVERALL M</v>
      </c>
      <c r="E1945" s="1">
        <f>IFERROR(__xludf.DUMMYFUNCTION("""COMPUTED_VALUE"""),2.0)</f>
        <v>2</v>
      </c>
      <c r="F1945" s="1" t="str">
        <f>IFERROR(__xludf.DUMMYFUNCTION("""COMPUTED_VALUE"""),"Male")</f>
        <v>Male</v>
      </c>
      <c r="G1945" s="4" t="b">
        <f>IFERROR(__xludf.DUMMYFUNCTION("""COMPUTED_VALUE"""),TRUE)</f>
        <v>1</v>
      </c>
      <c r="H1945" s="4" t="b">
        <f>IFERROR(__xludf.DUMMYFUNCTION("""COMPUTED_VALUE"""),TRUE)</f>
        <v>1</v>
      </c>
      <c r="I1945" s="4">
        <f>IFERROR(__xludf.DUMMYFUNCTION("""COMPUTED_VALUE"""),0.2549440625)</f>
        <v>0.2549440625</v>
      </c>
      <c r="J1945" s="4">
        <f>IFERROR(__xludf.DUMMYFUNCTION("""COMPUTED_VALUE"""),45949.27425937819)</f>
        <v>45949.27426</v>
      </c>
      <c r="K1945" s="4" t="str">
        <f>IFERROR(__xludf.DUMMYFUNCTION("""COMPUTED_VALUE"""),"")</f>
        <v/>
      </c>
      <c r="L1945" s="4">
        <f>IFERROR(__xludf.DUMMYFUNCTION("""COMPUTED_VALUE"""),45949.28673767545)</f>
        <v>45949.28674</v>
      </c>
      <c r="M1945" s="1" t="str">
        <f>IFERROR(__xludf.DUMMYFUNCTION("""COMPUTED_VALUE"""),"RFID")</f>
        <v>RFID</v>
      </c>
      <c r="N1945" s="5">
        <f>IFERROR(__xludf.DUMMYFUNCTION("""COMPUTED_VALUE"""),0.007726125)</f>
        <v>0.007726125</v>
      </c>
      <c r="O1945" s="5" t="str">
        <f>IFERROR(__xludf.DUMMYFUNCTION("""COMPUTED_VALUE"""),"")</f>
        <v/>
      </c>
      <c r="P1945" s="5" t="str">
        <f>IFERROR(__xludf.DUMMYFUNCTION("""COMPUTED_VALUE"""),"")</f>
        <v/>
      </c>
      <c r="Q1945" s="5">
        <f>IFERROR(__xludf.DUMMYFUNCTION("""COMPUTED_VALUE"""),0.006358722222222222)</f>
        <v>0.006358722222</v>
      </c>
      <c r="R1945" s="4">
        <f>IFERROR(__xludf.DUMMYFUNCTION("""COMPUTED_VALUE"""),45949.03179361295)</f>
        <v>45949.03179</v>
      </c>
      <c r="S1945" s="1" t="b">
        <f>IFERROR(__xludf.DUMMYFUNCTION("""COMPUTED_VALUE"""),TRUE)</f>
        <v>1</v>
      </c>
      <c r="T1945" s="1" t="b">
        <f>IFERROR(__xludf.DUMMYFUNCTION("""COMPUTED_VALUE"""),FALSE)</f>
        <v>0</v>
      </c>
      <c r="U1945" s="1" t="str">
        <f>IFERROR(__xludf.DUMMYFUNCTION("""COMPUTED_VALUE"""),"VALID")</f>
        <v>VALID</v>
      </c>
      <c r="V1945" s="1">
        <f>IFERROR(__xludf.DUMMYFUNCTION("""COMPUTED_VALUE"""),446.0)</f>
        <v>446</v>
      </c>
      <c r="W1945" s="1">
        <f>IFERROR(__xludf.DUMMYFUNCTION("""COMPUTED_VALUE"""),687.0)</f>
        <v>687</v>
      </c>
      <c r="X1945" s="1">
        <f>IFERROR(__xludf.DUMMYFUNCTION("""COMPUTED_VALUE"""),574.0)</f>
        <v>574</v>
      </c>
      <c r="Y1945" s="2"/>
      <c r="Z1945" s="2"/>
    </row>
    <row r="1946">
      <c r="A1946" s="1">
        <f>IFERROR(__xludf.DUMMYFUNCTION("""COMPUTED_VALUE"""),1945.0)</f>
        <v>1945</v>
      </c>
      <c r="B1946" s="1">
        <f>IFERROR(__xludf.DUMMYFUNCTION("""COMPUTED_VALUE"""),5489.0)</f>
        <v>5489</v>
      </c>
      <c r="C1946" s="2" t="str">
        <f>IFERROR(__xludf.DUMMYFUNCTION("""COMPUTED_VALUE"""),"fathurr")</f>
        <v>fathurr</v>
      </c>
      <c r="D1946" s="2" t="str">
        <f>IFERROR(__xludf.DUMMYFUNCTION("""COMPUTED_VALUE"""),"5KM OVERALL M")</f>
        <v>5KM OVERALL M</v>
      </c>
      <c r="E1946" s="1">
        <f>IFERROR(__xludf.DUMMYFUNCTION("""COMPUTED_VALUE"""),2.0)</f>
        <v>2</v>
      </c>
      <c r="F1946" s="1" t="str">
        <f>IFERROR(__xludf.DUMMYFUNCTION("""COMPUTED_VALUE"""),"Male")</f>
        <v>Male</v>
      </c>
      <c r="G1946" s="4" t="b">
        <f>IFERROR(__xludf.DUMMYFUNCTION("""COMPUTED_VALUE"""),TRUE)</f>
        <v>1</v>
      </c>
      <c r="H1946" s="4" t="b">
        <f>IFERROR(__xludf.DUMMYFUNCTION("""COMPUTED_VALUE"""),FALSE)</f>
        <v>0</v>
      </c>
      <c r="I1946" s="4">
        <f>IFERROR(__xludf.DUMMYFUNCTION("""COMPUTED_VALUE"""),0.2549440625)</f>
        <v>0.2549440625</v>
      </c>
      <c r="J1946" s="4">
        <f>IFERROR(__xludf.DUMMYFUNCTION("""COMPUTED_VALUE"""),45949.26945030497)</f>
        <v>45949.26945</v>
      </c>
      <c r="K1946" s="4" t="str">
        <f>IFERROR(__xludf.DUMMYFUNCTION("""COMPUTED_VALUE"""),"")</f>
        <v/>
      </c>
      <c r="L1946" s="4">
        <f>IFERROR(__xludf.DUMMYFUNCTION("""COMPUTED_VALUE"""),45949.279310601625)</f>
        <v>45949.27931</v>
      </c>
      <c r="M1946" s="1" t="str">
        <f>IFERROR(__xludf.DUMMYFUNCTION("""COMPUTED_VALUE"""),"RFID")</f>
        <v>RFID</v>
      </c>
      <c r="N1946" s="5">
        <f>IFERROR(__xludf.DUMMYFUNCTION("""COMPUTED_VALUE"""),0.00580249537037037)</f>
        <v>0.00580249537</v>
      </c>
      <c r="O1946" s="5" t="str">
        <f>IFERROR(__xludf.DUMMYFUNCTION("""COMPUTED_VALUE"""),"")</f>
        <v/>
      </c>
      <c r="P1946" s="5" t="str">
        <f>IFERROR(__xludf.DUMMYFUNCTION("""COMPUTED_VALUE"""),"")</f>
        <v/>
      </c>
      <c r="Q1946" s="5">
        <f>IFERROR(__xludf.DUMMYFUNCTION("""COMPUTED_VALUE"""),0.00487330787037037)</f>
        <v>0.00487330787</v>
      </c>
      <c r="R1946" s="4">
        <f>IFERROR(__xludf.DUMMYFUNCTION("""COMPUTED_VALUE"""),45949.024366539124)</f>
        <v>45949.02437</v>
      </c>
      <c r="S1946" s="1" t="b">
        <f>IFERROR(__xludf.DUMMYFUNCTION("""COMPUTED_VALUE"""),TRUE)</f>
        <v>1</v>
      </c>
      <c r="T1946" s="1" t="b">
        <f>IFERROR(__xludf.DUMMYFUNCTION("""COMPUTED_VALUE"""),FALSE)</f>
        <v>0</v>
      </c>
      <c r="U1946" s="1" t="str">
        <f>IFERROR(__xludf.DUMMYFUNCTION("""COMPUTED_VALUE"""),"VALID")</f>
        <v>VALID</v>
      </c>
      <c r="V1946" s="1">
        <f>IFERROR(__xludf.DUMMYFUNCTION("""COMPUTED_VALUE"""),169.0)</f>
        <v>169</v>
      </c>
      <c r="W1946" s="1">
        <f>IFERROR(__xludf.DUMMYFUNCTION("""COMPUTED_VALUE"""),260.0)</f>
        <v>260</v>
      </c>
      <c r="X1946" s="1">
        <f>IFERROR(__xludf.DUMMYFUNCTION("""COMPUTED_VALUE"""),227.0)</f>
        <v>227</v>
      </c>
      <c r="Y1946" s="2"/>
      <c r="Z1946" s="2"/>
    </row>
    <row r="1947">
      <c r="A1947" s="1">
        <f>IFERROR(__xludf.DUMMYFUNCTION("""COMPUTED_VALUE"""),1946.0)</f>
        <v>1946</v>
      </c>
      <c r="B1947" s="1">
        <f>IFERROR(__xludf.DUMMYFUNCTION("""COMPUTED_VALUE"""),5492.0)</f>
        <v>5492</v>
      </c>
      <c r="C1947" s="2" t="str">
        <f>IFERROR(__xludf.DUMMYFUNCTION("""COMPUTED_VALUE"""),"Edo")</f>
        <v>Edo</v>
      </c>
      <c r="D1947" s="2" t="str">
        <f>IFERROR(__xludf.DUMMYFUNCTION("""COMPUTED_VALUE"""),"5KM OVERALL M")</f>
        <v>5KM OVERALL M</v>
      </c>
      <c r="E1947" s="1">
        <f>IFERROR(__xludf.DUMMYFUNCTION("""COMPUTED_VALUE"""),2.0)</f>
        <v>2</v>
      </c>
      <c r="F1947" s="1" t="str">
        <f>IFERROR(__xludf.DUMMYFUNCTION("""COMPUTED_VALUE"""),"Male")</f>
        <v>Male</v>
      </c>
      <c r="G1947" s="4" t="b">
        <f>IFERROR(__xludf.DUMMYFUNCTION("""COMPUTED_VALUE"""),TRUE)</f>
        <v>1</v>
      </c>
      <c r="H1947" s="4" t="b">
        <f>IFERROR(__xludf.DUMMYFUNCTION("""COMPUTED_VALUE"""),TRUE)</f>
        <v>1</v>
      </c>
      <c r="I1947" s="4">
        <f>IFERROR(__xludf.DUMMYFUNCTION("""COMPUTED_VALUE"""),0.2549440625)</f>
        <v>0.2549440625</v>
      </c>
      <c r="J1947" s="4">
        <f>IFERROR(__xludf.DUMMYFUNCTION("""COMPUTED_VALUE"""),45949.27396424064)</f>
        <v>45949.27396</v>
      </c>
      <c r="K1947" s="4" t="str">
        <f>IFERROR(__xludf.DUMMYFUNCTION("""COMPUTED_VALUE"""),"")</f>
        <v/>
      </c>
      <c r="L1947" s="4">
        <f>IFERROR(__xludf.DUMMYFUNCTION("""COMPUTED_VALUE"""),45949.290248096164)</f>
        <v>45949.29025</v>
      </c>
      <c r="M1947" s="1" t="str">
        <f>IFERROR(__xludf.DUMMYFUNCTION("""COMPUTED_VALUE"""),"RFID")</f>
        <v>RFID</v>
      </c>
      <c r="N1947" s="5">
        <f>IFERROR(__xludf.DUMMYFUNCTION("""COMPUTED_VALUE"""),0.007608069444444444)</f>
        <v>0.007608069444</v>
      </c>
      <c r="O1947" s="5" t="str">
        <f>IFERROR(__xludf.DUMMYFUNCTION("""COMPUTED_VALUE"""),"")</f>
        <v/>
      </c>
      <c r="P1947" s="5" t="str">
        <f>IFERROR(__xludf.DUMMYFUNCTION("""COMPUTED_VALUE"""),"")</f>
        <v/>
      </c>
      <c r="Q1947" s="5">
        <f>IFERROR(__xludf.DUMMYFUNCTION("""COMPUTED_VALUE"""),0.00706080787037037)</f>
        <v>0.00706080787</v>
      </c>
      <c r="R1947" s="4">
        <f>IFERROR(__xludf.DUMMYFUNCTION("""COMPUTED_VALUE"""),45949.03530403366)</f>
        <v>45949.0353</v>
      </c>
      <c r="S1947" s="1" t="b">
        <f>IFERROR(__xludf.DUMMYFUNCTION("""COMPUTED_VALUE"""),TRUE)</f>
        <v>1</v>
      </c>
      <c r="T1947" s="1" t="b">
        <f>IFERROR(__xludf.DUMMYFUNCTION("""COMPUTED_VALUE"""),FALSE)</f>
        <v>0</v>
      </c>
      <c r="U1947" s="1" t="str">
        <f>IFERROR(__xludf.DUMMYFUNCTION("""COMPUTED_VALUE"""),"VALID")</f>
        <v>VALID</v>
      </c>
      <c r="V1947" s="1">
        <f>IFERROR(__xludf.DUMMYFUNCTION("""COMPUTED_VALUE"""),567.0)</f>
        <v>567</v>
      </c>
      <c r="W1947" s="1">
        <f>IFERROR(__xludf.DUMMYFUNCTION("""COMPUTED_VALUE"""),903.0)</f>
        <v>903</v>
      </c>
      <c r="X1947" s="1">
        <f>IFERROR(__xludf.DUMMYFUNCTION("""COMPUTED_VALUE"""),738.0)</f>
        <v>738</v>
      </c>
      <c r="Y1947" s="2"/>
      <c r="Z1947" s="2"/>
    </row>
    <row r="1948">
      <c r="A1948" s="1">
        <f>IFERROR(__xludf.DUMMYFUNCTION("""COMPUTED_VALUE"""),1947.0)</f>
        <v>1947</v>
      </c>
      <c r="B1948" s="1">
        <f>IFERROR(__xludf.DUMMYFUNCTION("""COMPUTED_VALUE"""),5493.0)</f>
        <v>5493</v>
      </c>
      <c r="C1948" s="2" t="str">
        <f>IFERROR(__xludf.DUMMYFUNCTION("""COMPUTED_VALUE"""),"Anggara")</f>
        <v>Anggara</v>
      </c>
      <c r="D1948" s="2" t="str">
        <f>IFERROR(__xludf.DUMMYFUNCTION("""COMPUTED_VALUE"""),"5KM OVERALL M")</f>
        <v>5KM OVERALL M</v>
      </c>
      <c r="E1948" s="1">
        <f>IFERROR(__xludf.DUMMYFUNCTION("""COMPUTED_VALUE"""),2.0)</f>
        <v>2</v>
      </c>
      <c r="F1948" s="1" t="str">
        <f>IFERROR(__xludf.DUMMYFUNCTION("""COMPUTED_VALUE"""),"Male")</f>
        <v>Male</v>
      </c>
      <c r="G1948" s="4" t="str">
        <f>IFERROR(__xludf.DUMMYFUNCTION("""COMPUTED_VALUE"""),"")</f>
        <v/>
      </c>
      <c r="H1948" s="4" t="b">
        <f>IFERROR(__xludf.DUMMYFUNCTION("""COMPUTED_VALUE"""),FALSE)</f>
        <v>0</v>
      </c>
      <c r="I1948" s="4">
        <f>IFERROR(__xludf.DUMMYFUNCTION("""COMPUTED_VALUE"""),0.2549440625)</f>
        <v>0.2549440625</v>
      </c>
      <c r="J1948" s="4" t="str">
        <f>IFERROR(__xludf.DUMMYFUNCTION("""COMPUTED_VALUE"""),"")</f>
        <v/>
      </c>
      <c r="K1948" s="4" t="str">
        <f>IFERROR(__xludf.DUMMYFUNCTION("""COMPUTED_VALUE"""),"")</f>
        <v/>
      </c>
      <c r="L1948" s="4" t="str">
        <f>IFERROR(__xludf.DUMMYFUNCTION("""COMPUTED_VALUE"""),"")</f>
        <v/>
      </c>
      <c r="M1948" s="1" t="str">
        <f>IFERROR(__xludf.DUMMYFUNCTION("""COMPUTED_VALUE"""),"RFID")</f>
        <v>RFID</v>
      </c>
      <c r="N1948" s="5" t="str">
        <f>IFERROR(__xludf.DUMMYFUNCTION("""COMPUTED_VALUE"""),"")</f>
        <v/>
      </c>
      <c r="O1948" s="5" t="str">
        <f>IFERROR(__xludf.DUMMYFUNCTION("""COMPUTED_VALUE"""),"")</f>
        <v/>
      </c>
      <c r="P1948" s="5" t="str">
        <f>IFERROR(__xludf.DUMMYFUNCTION("""COMPUTED_VALUE"""),"")</f>
        <v/>
      </c>
      <c r="Q1948" s="5" t="str">
        <f>IFERROR(__xludf.DUMMYFUNCTION("""COMPUTED_VALUE"""),"")</f>
        <v/>
      </c>
      <c r="R1948" s="4" t="str">
        <f>IFERROR(__xludf.DUMMYFUNCTION("""COMPUTED_VALUE"""),"")</f>
        <v/>
      </c>
      <c r="S1948" s="1" t="b">
        <f>IFERROR(__xludf.DUMMYFUNCTION("""COMPUTED_VALUE"""),FALSE)</f>
        <v>0</v>
      </c>
      <c r="T1948" s="1" t="b">
        <f>IFERROR(__xludf.DUMMYFUNCTION("""COMPUTED_VALUE"""),FALSE)</f>
        <v>0</v>
      </c>
      <c r="U1948" s="1" t="str">
        <f>IFERROR(__xludf.DUMMYFUNCTION("""COMPUTED_VALUE"""),"DSQ")</f>
        <v>DSQ</v>
      </c>
      <c r="V1948" s="1" t="str">
        <f>IFERROR(__xludf.DUMMYFUNCTION("""COMPUTED_VALUE"""),"DSQ")</f>
        <v>DSQ</v>
      </c>
      <c r="W1948" s="1" t="str">
        <f>IFERROR(__xludf.DUMMYFUNCTION("""COMPUTED_VALUE"""),"DSQ")</f>
        <v>DSQ</v>
      </c>
      <c r="X1948" s="1" t="str">
        <f>IFERROR(__xludf.DUMMYFUNCTION("""COMPUTED_VALUE"""),"DSQ")</f>
        <v>DSQ</v>
      </c>
      <c r="Y1948" s="2"/>
      <c r="Z1948" s="2" t="str">
        <f>IFERROR(__xludf.DUMMYFUNCTION("""COMPUTED_VALUE"""),"")</f>
        <v/>
      </c>
    </row>
    <row r="1949">
      <c r="A1949" s="1">
        <f>IFERROR(__xludf.DUMMYFUNCTION("""COMPUTED_VALUE"""),1948.0)</f>
        <v>1948</v>
      </c>
      <c r="B1949" s="1">
        <f>IFERROR(__xludf.DUMMYFUNCTION("""COMPUTED_VALUE"""),5496.0)</f>
        <v>5496</v>
      </c>
      <c r="C1949" s="2" t="str">
        <f>IFERROR(__xludf.DUMMYFUNCTION("""COMPUTED_VALUE"""),"Deby Putra Irinanda")</f>
        <v>Deby Putra Irinanda</v>
      </c>
      <c r="D1949" s="2" t="str">
        <f>IFERROR(__xludf.DUMMYFUNCTION("""COMPUTED_VALUE"""),"5KM OVERALL M")</f>
        <v>5KM OVERALL M</v>
      </c>
      <c r="E1949" s="1">
        <f>IFERROR(__xludf.DUMMYFUNCTION("""COMPUTED_VALUE"""),2.0)</f>
        <v>2</v>
      </c>
      <c r="F1949" s="1" t="str">
        <f>IFERROR(__xludf.DUMMYFUNCTION("""COMPUTED_VALUE"""),"Male")</f>
        <v>Male</v>
      </c>
      <c r="G1949" s="4" t="b">
        <f>IFERROR(__xludf.DUMMYFUNCTION("""COMPUTED_VALUE"""),TRUE)</f>
        <v>1</v>
      </c>
      <c r="H1949" s="4" t="b">
        <f>IFERROR(__xludf.DUMMYFUNCTION("""COMPUTED_VALUE"""),FALSE)</f>
        <v>0</v>
      </c>
      <c r="I1949" s="4">
        <f>IFERROR(__xludf.DUMMYFUNCTION("""COMPUTED_VALUE"""),0.2549440625)</f>
        <v>0.2549440625</v>
      </c>
      <c r="J1949" s="4">
        <f>IFERROR(__xludf.DUMMYFUNCTION("""COMPUTED_VALUE"""),45949.274991964856)</f>
        <v>45949.27499</v>
      </c>
      <c r="K1949" s="4" t="str">
        <f>IFERROR(__xludf.DUMMYFUNCTION("""COMPUTED_VALUE"""),"")</f>
        <v/>
      </c>
      <c r="L1949" s="4">
        <f>IFERROR(__xludf.DUMMYFUNCTION("""COMPUTED_VALUE"""),45949.28903275691)</f>
        <v>45949.28903</v>
      </c>
      <c r="M1949" s="1" t="str">
        <f>IFERROR(__xludf.DUMMYFUNCTION("""COMPUTED_VALUE"""),"RFID")</f>
        <v>RFID</v>
      </c>
      <c r="N1949" s="5">
        <f>IFERROR(__xludf.DUMMYFUNCTION("""COMPUTED_VALUE"""),0.008019162037037036)</f>
        <v>0.008019162037</v>
      </c>
      <c r="O1949" s="5" t="str">
        <f>IFERROR(__xludf.DUMMYFUNCTION("""COMPUTED_VALUE"""),"")</f>
        <v/>
      </c>
      <c r="P1949" s="5" t="str">
        <f>IFERROR(__xludf.DUMMYFUNCTION("""COMPUTED_VALUE"""),"")</f>
        <v/>
      </c>
      <c r="Q1949" s="5">
        <f>IFERROR(__xludf.DUMMYFUNCTION("""COMPUTED_VALUE"""),0.006817738425925926)</f>
        <v>0.006817738426</v>
      </c>
      <c r="R1949" s="4">
        <f>IFERROR(__xludf.DUMMYFUNCTION("""COMPUTED_VALUE"""),45949.03408869441)</f>
        <v>45949.03409</v>
      </c>
      <c r="S1949" s="1" t="b">
        <f>IFERROR(__xludf.DUMMYFUNCTION("""COMPUTED_VALUE"""),TRUE)</f>
        <v>1</v>
      </c>
      <c r="T1949" s="1" t="b">
        <f>IFERROR(__xludf.DUMMYFUNCTION("""COMPUTED_VALUE"""),FALSE)</f>
        <v>0</v>
      </c>
      <c r="U1949" s="1" t="str">
        <f>IFERROR(__xludf.DUMMYFUNCTION("""COMPUTED_VALUE"""),"VALID")</f>
        <v>VALID</v>
      </c>
      <c r="V1949" s="1">
        <f>IFERROR(__xludf.DUMMYFUNCTION("""COMPUTED_VALUE"""),537.0)</f>
        <v>537</v>
      </c>
      <c r="W1949" s="1">
        <f>IFERROR(__xludf.DUMMYFUNCTION("""COMPUTED_VALUE"""),845.0)</f>
        <v>845</v>
      </c>
      <c r="X1949" s="1">
        <f>IFERROR(__xludf.DUMMYFUNCTION("""COMPUTED_VALUE"""),692.0)</f>
        <v>692</v>
      </c>
      <c r="Y1949" s="2"/>
      <c r="Z1949" s="2"/>
    </row>
    <row r="1950">
      <c r="A1950" s="1">
        <f>IFERROR(__xludf.DUMMYFUNCTION("""COMPUTED_VALUE"""),1949.0)</f>
        <v>1949</v>
      </c>
      <c r="B1950" s="1">
        <f>IFERROR(__xludf.DUMMYFUNCTION("""COMPUTED_VALUE"""),5497.0)</f>
        <v>5497</v>
      </c>
      <c r="C1950" s="2" t="str">
        <f>IFERROR(__xludf.DUMMYFUNCTION("""COMPUTED_VALUE"""),"Ahauda")</f>
        <v>Ahauda</v>
      </c>
      <c r="D1950" s="2" t="str">
        <f>IFERROR(__xludf.DUMMYFUNCTION("""COMPUTED_VALUE"""),"5KM OVERALL M")</f>
        <v>5KM OVERALL M</v>
      </c>
      <c r="E1950" s="1">
        <f>IFERROR(__xludf.DUMMYFUNCTION("""COMPUTED_VALUE"""),2.0)</f>
        <v>2</v>
      </c>
      <c r="F1950" s="1" t="str">
        <f>IFERROR(__xludf.DUMMYFUNCTION("""COMPUTED_VALUE"""),"Male")</f>
        <v>Male</v>
      </c>
      <c r="G1950" s="4" t="b">
        <f>IFERROR(__xludf.DUMMYFUNCTION("""COMPUTED_VALUE"""),TRUE)</f>
        <v>1</v>
      </c>
      <c r="H1950" s="4" t="b">
        <f>IFERROR(__xludf.DUMMYFUNCTION("""COMPUTED_VALUE"""),TRUE)</f>
        <v>1</v>
      </c>
      <c r="I1950" s="4">
        <f>IFERROR(__xludf.DUMMYFUNCTION("""COMPUTED_VALUE"""),0.2549440625)</f>
        <v>0.2549440625</v>
      </c>
      <c r="J1950" s="4">
        <f>IFERROR(__xludf.DUMMYFUNCTION("""COMPUTED_VALUE"""),45949.27830453651)</f>
        <v>45949.2783</v>
      </c>
      <c r="K1950" s="4" t="str">
        <f>IFERROR(__xludf.DUMMYFUNCTION("""COMPUTED_VALUE"""),"")</f>
        <v/>
      </c>
      <c r="L1950" s="4">
        <f>IFERROR(__xludf.DUMMYFUNCTION("""COMPUTED_VALUE"""),45949.29179670014)</f>
        <v>45949.2918</v>
      </c>
      <c r="M1950" s="1" t="str">
        <f>IFERROR(__xludf.DUMMYFUNCTION("""COMPUTED_VALUE"""),"RFID")</f>
        <v>RFID</v>
      </c>
      <c r="N1950" s="5">
        <f>IFERROR(__xludf.DUMMYFUNCTION("""COMPUTED_VALUE"""),0.009344189814814816)</f>
        <v>0.009344189815</v>
      </c>
      <c r="O1950" s="5" t="str">
        <f>IFERROR(__xludf.DUMMYFUNCTION("""COMPUTED_VALUE"""),"")</f>
        <v/>
      </c>
      <c r="P1950" s="5" t="str">
        <f>IFERROR(__xludf.DUMMYFUNCTION("""COMPUTED_VALUE"""),"")</f>
        <v/>
      </c>
      <c r="Q1950" s="5">
        <f>IFERROR(__xludf.DUMMYFUNCTION("""COMPUTED_VALUE"""),0.007370527777777779)</f>
        <v>0.007370527778</v>
      </c>
      <c r="R1950" s="4">
        <f>IFERROR(__xludf.DUMMYFUNCTION("""COMPUTED_VALUE"""),45949.03685263764)</f>
        <v>45949.03685</v>
      </c>
      <c r="S1950" s="1" t="b">
        <f>IFERROR(__xludf.DUMMYFUNCTION("""COMPUTED_VALUE"""),TRUE)</f>
        <v>1</v>
      </c>
      <c r="T1950" s="1" t="b">
        <f>IFERROR(__xludf.DUMMYFUNCTION("""COMPUTED_VALUE"""),FALSE)</f>
        <v>0</v>
      </c>
      <c r="U1950" s="1" t="str">
        <f>IFERROR(__xludf.DUMMYFUNCTION("""COMPUTED_VALUE"""),"VALID")</f>
        <v>VALID</v>
      </c>
      <c r="V1950" s="1">
        <f>IFERROR(__xludf.DUMMYFUNCTION("""COMPUTED_VALUE"""),622.0)</f>
        <v>622</v>
      </c>
      <c r="W1950" s="1">
        <f>IFERROR(__xludf.DUMMYFUNCTION("""COMPUTED_VALUE"""),1019.0)</f>
        <v>1019</v>
      </c>
      <c r="X1950" s="1">
        <f>IFERROR(__xludf.DUMMYFUNCTION("""COMPUTED_VALUE"""),821.0)</f>
        <v>821</v>
      </c>
      <c r="Y1950" s="2"/>
      <c r="Z1950" s="2"/>
    </row>
    <row r="1951">
      <c r="A1951" s="1">
        <f>IFERROR(__xludf.DUMMYFUNCTION("""COMPUTED_VALUE"""),1950.0)</f>
        <v>1950</v>
      </c>
      <c r="B1951" s="1">
        <f>IFERROR(__xludf.DUMMYFUNCTION("""COMPUTED_VALUE"""),5498.0)</f>
        <v>5498</v>
      </c>
      <c r="C1951" s="2" t="str">
        <f>IFERROR(__xludf.DUMMYFUNCTION("""COMPUTED_VALUE"""),"Human_error")</f>
        <v>Human_error</v>
      </c>
      <c r="D1951" s="2" t="str">
        <f>IFERROR(__xludf.DUMMYFUNCTION("""COMPUTED_VALUE"""),"5KM OVERALL M")</f>
        <v>5KM OVERALL M</v>
      </c>
      <c r="E1951" s="1">
        <f>IFERROR(__xludf.DUMMYFUNCTION("""COMPUTED_VALUE"""),2.0)</f>
        <v>2</v>
      </c>
      <c r="F1951" s="1" t="str">
        <f>IFERROR(__xludf.DUMMYFUNCTION("""COMPUTED_VALUE"""),"Male")</f>
        <v>Male</v>
      </c>
      <c r="G1951" s="4" t="b">
        <f>IFERROR(__xludf.DUMMYFUNCTION("""COMPUTED_VALUE"""),TRUE)</f>
        <v>1</v>
      </c>
      <c r="H1951" s="4" t="b">
        <f>IFERROR(__xludf.DUMMYFUNCTION("""COMPUTED_VALUE"""),FALSE)</f>
        <v>0</v>
      </c>
      <c r="I1951" s="4">
        <f>IFERROR(__xludf.DUMMYFUNCTION("""COMPUTED_VALUE"""),0.2549440625)</f>
        <v>0.2549440625</v>
      </c>
      <c r="J1951" s="4">
        <f>IFERROR(__xludf.DUMMYFUNCTION("""COMPUTED_VALUE"""),45949.27022814995)</f>
        <v>45949.27023</v>
      </c>
      <c r="K1951" s="4" t="str">
        <f>IFERROR(__xludf.DUMMYFUNCTION("""COMPUTED_VALUE"""),"")</f>
        <v/>
      </c>
      <c r="L1951" s="4">
        <f>IFERROR(__xludf.DUMMYFUNCTION("""COMPUTED_VALUE"""),45949.28075851339)</f>
        <v>45949.28076</v>
      </c>
      <c r="M1951" s="1" t="str">
        <f>IFERROR(__xludf.DUMMYFUNCTION("""COMPUTED_VALUE"""),"RFID")</f>
        <v>RFID</v>
      </c>
      <c r="N1951" s="5">
        <f>IFERROR(__xludf.DUMMYFUNCTION("""COMPUTED_VALUE"""),0.00611363425925926)</f>
        <v>0.006113634259</v>
      </c>
      <c r="O1951" s="5" t="str">
        <f>IFERROR(__xludf.DUMMYFUNCTION("""COMPUTED_VALUE"""),"")</f>
        <v/>
      </c>
      <c r="P1951" s="5" t="str">
        <f>IFERROR(__xludf.DUMMYFUNCTION("""COMPUTED_VALUE"""),"")</f>
        <v/>
      </c>
      <c r="Q1951" s="5">
        <f>IFERROR(__xludf.DUMMYFUNCTION("""COMPUTED_VALUE"""),0.005162891203703704)</f>
        <v>0.005162891204</v>
      </c>
      <c r="R1951" s="4">
        <f>IFERROR(__xludf.DUMMYFUNCTION("""COMPUTED_VALUE"""),45949.02581445089)</f>
        <v>45949.02581</v>
      </c>
      <c r="S1951" s="1" t="b">
        <f>IFERROR(__xludf.DUMMYFUNCTION("""COMPUTED_VALUE"""),TRUE)</f>
        <v>1</v>
      </c>
      <c r="T1951" s="1" t="b">
        <f>IFERROR(__xludf.DUMMYFUNCTION("""COMPUTED_VALUE"""),FALSE)</f>
        <v>0</v>
      </c>
      <c r="U1951" s="1" t="str">
        <f>IFERROR(__xludf.DUMMYFUNCTION("""COMPUTED_VALUE"""),"VALID")</f>
        <v>VALID</v>
      </c>
      <c r="V1951" s="1">
        <f>IFERROR(__xludf.DUMMYFUNCTION("""COMPUTED_VALUE"""),214.0)</f>
        <v>214</v>
      </c>
      <c r="W1951" s="1">
        <f>IFERROR(__xludf.DUMMYFUNCTION("""COMPUTED_VALUE"""),331.0)</f>
        <v>331</v>
      </c>
      <c r="X1951" s="1">
        <f>IFERROR(__xludf.DUMMYFUNCTION("""COMPUTED_VALUE"""),290.0)</f>
        <v>290</v>
      </c>
      <c r="Y1951" s="2"/>
      <c r="Z1951" s="2"/>
    </row>
    <row r="1952">
      <c r="A1952" s="1">
        <f>IFERROR(__xludf.DUMMYFUNCTION("""COMPUTED_VALUE"""),1951.0)</f>
        <v>1951</v>
      </c>
      <c r="B1952" s="1">
        <f>IFERROR(__xludf.DUMMYFUNCTION("""COMPUTED_VALUE"""),5500.0)</f>
        <v>5500</v>
      </c>
      <c r="C1952" s="2" t="str">
        <f>IFERROR(__xludf.DUMMYFUNCTION("""COMPUTED_VALUE"""),"Habibie Kilat")</f>
        <v>Habibie Kilat</v>
      </c>
      <c r="D1952" s="2" t="str">
        <f>IFERROR(__xludf.DUMMYFUNCTION("""COMPUTED_VALUE"""),"5KM OVERALL M")</f>
        <v>5KM OVERALL M</v>
      </c>
      <c r="E1952" s="1">
        <f>IFERROR(__xludf.DUMMYFUNCTION("""COMPUTED_VALUE"""),2.0)</f>
        <v>2</v>
      </c>
      <c r="F1952" s="1" t="str">
        <f>IFERROR(__xludf.DUMMYFUNCTION("""COMPUTED_VALUE"""),"Male")</f>
        <v>Male</v>
      </c>
      <c r="G1952" s="4" t="b">
        <f>IFERROR(__xludf.DUMMYFUNCTION("""COMPUTED_VALUE"""),TRUE)</f>
        <v>1</v>
      </c>
      <c r="H1952" s="4" t="b">
        <f>IFERROR(__xludf.DUMMYFUNCTION("""COMPUTED_VALUE"""),TRUE)</f>
        <v>1</v>
      </c>
      <c r="I1952" s="4">
        <f>IFERROR(__xludf.DUMMYFUNCTION("""COMPUTED_VALUE"""),0.2549440625)</f>
        <v>0.2549440625</v>
      </c>
      <c r="J1952" s="4">
        <f>IFERROR(__xludf.DUMMYFUNCTION("""COMPUTED_VALUE"""),45949.26199890932)</f>
        <v>45949.262</v>
      </c>
      <c r="K1952" s="4" t="str">
        <f>IFERROR(__xludf.DUMMYFUNCTION("""COMPUTED_VALUE"""),"")</f>
        <v/>
      </c>
      <c r="L1952" s="4">
        <f>IFERROR(__xludf.DUMMYFUNCTION("""COMPUTED_VALUE"""),45949.26755287329)</f>
        <v>45949.26755</v>
      </c>
      <c r="M1952" s="1" t="str">
        <f>IFERROR(__xludf.DUMMYFUNCTION("""COMPUTED_VALUE"""),"RFID")</f>
        <v>RFID</v>
      </c>
      <c r="N1952" s="5">
        <f>IFERROR(__xludf.DUMMYFUNCTION("""COMPUTED_VALUE"""),0.0028219398148148144)</f>
        <v>0.002821939815</v>
      </c>
      <c r="O1952" s="5" t="str">
        <f>IFERROR(__xludf.DUMMYFUNCTION("""COMPUTED_VALUE"""),"")</f>
        <v/>
      </c>
      <c r="P1952" s="5" t="str">
        <f>IFERROR(__xludf.DUMMYFUNCTION("""COMPUTED_VALUE"""),"")</f>
        <v/>
      </c>
      <c r="Q1952" s="5">
        <f>IFERROR(__xludf.DUMMYFUNCTION("""COMPUTED_VALUE"""),0.0025217615740740743)</f>
        <v>0.002521761574</v>
      </c>
      <c r="R1952" s="4">
        <f>IFERROR(__xludf.DUMMYFUNCTION("""COMPUTED_VALUE"""),45949.012608810786)</f>
        <v>45949.01261</v>
      </c>
      <c r="S1952" s="1" t="b">
        <f>IFERROR(__xludf.DUMMYFUNCTION("""COMPUTED_VALUE"""),TRUE)</f>
        <v>1</v>
      </c>
      <c r="T1952" s="1" t="b">
        <f>IFERROR(__xludf.DUMMYFUNCTION("""COMPUTED_VALUE"""),FALSE)</f>
        <v>0</v>
      </c>
      <c r="U1952" s="1" t="str">
        <f>IFERROR(__xludf.DUMMYFUNCTION("""COMPUTED_VALUE"""),"VALID")</f>
        <v>VALID</v>
      </c>
      <c r="V1952" s="1">
        <f>IFERROR(__xludf.DUMMYFUNCTION("""COMPUTED_VALUE"""),4.0)</f>
        <v>4</v>
      </c>
      <c r="W1952" s="1">
        <f>IFERROR(__xludf.DUMMYFUNCTION("""COMPUTED_VALUE"""),4.0)</f>
        <v>4</v>
      </c>
      <c r="X1952" s="1">
        <f>IFERROR(__xludf.DUMMYFUNCTION("""COMPUTED_VALUE"""),4.0)</f>
        <v>4</v>
      </c>
      <c r="Y1952" s="2"/>
      <c r="Z1952" s="2"/>
    </row>
    <row r="1953">
      <c r="A1953" s="1">
        <f>IFERROR(__xludf.DUMMYFUNCTION("""COMPUTED_VALUE"""),1952.0)</f>
        <v>1952</v>
      </c>
      <c r="B1953" s="1">
        <f>IFERROR(__xludf.DUMMYFUNCTION("""COMPUTED_VALUE"""),5506.0)</f>
        <v>5506</v>
      </c>
      <c r="C1953" s="2" t="str">
        <f>IFERROR(__xludf.DUMMYFUNCTION("""COMPUTED_VALUE"""),"Donny")</f>
        <v>Donny</v>
      </c>
      <c r="D1953" s="2" t="str">
        <f>IFERROR(__xludf.DUMMYFUNCTION("""COMPUTED_VALUE"""),"5KM OVERALL M")</f>
        <v>5KM OVERALL M</v>
      </c>
      <c r="E1953" s="1">
        <f>IFERROR(__xludf.DUMMYFUNCTION("""COMPUTED_VALUE"""),2.0)</f>
        <v>2</v>
      </c>
      <c r="F1953" s="1" t="str">
        <f>IFERROR(__xludf.DUMMYFUNCTION("""COMPUTED_VALUE"""),"Male")</f>
        <v>Male</v>
      </c>
      <c r="G1953" s="4" t="b">
        <f>IFERROR(__xludf.DUMMYFUNCTION("""COMPUTED_VALUE"""),TRUE)</f>
        <v>1</v>
      </c>
      <c r="H1953" s="4" t="b">
        <f>IFERROR(__xludf.DUMMYFUNCTION("""COMPUTED_VALUE"""),TRUE)</f>
        <v>1</v>
      </c>
      <c r="I1953" s="4">
        <f>IFERROR(__xludf.DUMMYFUNCTION("""COMPUTED_VALUE"""),0.2549440625)</f>
        <v>0.2549440625</v>
      </c>
      <c r="J1953" s="4">
        <f>IFERROR(__xludf.DUMMYFUNCTION("""COMPUTED_VALUE"""),45949.27221427356)</f>
        <v>45949.27221</v>
      </c>
      <c r="K1953" s="4" t="str">
        <f>IFERROR(__xludf.DUMMYFUNCTION("""COMPUTED_VALUE"""),"")</f>
        <v/>
      </c>
      <c r="L1953" s="4">
        <f>IFERROR(__xludf.DUMMYFUNCTION("""COMPUTED_VALUE"""),45949.28478972104)</f>
        <v>45949.28479</v>
      </c>
      <c r="M1953" s="1" t="str">
        <f>IFERROR(__xludf.DUMMYFUNCTION("""COMPUTED_VALUE"""),"RFID")</f>
        <v>RFID</v>
      </c>
      <c r="N1953" s="5">
        <f>IFERROR(__xludf.DUMMYFUNCTION("""COMPUTED_VALUE"""),0.006908083333333333)</f>
        <v>0.006908083333</v>
      </c>
      <c r="O1953" s="5" t="str">
        <f>IFERROR(__xludf.DUMMYFUNCTION("""COMPUTED_VALUE"""),"")</f>
        <v/>
      </c>
      <c r="P1953" s="5" t="str">
        <f>IFERROR(__xludf.DUMMYFUNCTION("""COMPUTED_VALUE"""),"")</f>
        <v/>
      </c>
      <c r="Q1953" s="5">
        <f>IFERROR(__xludf.DUMMYFUNCTION("""COMPUTED_VALUE"""),0.0059691319444444444)</f>
        <v>0.005969131944</v>
      </c>
      <c r="R1953" s="4">
        <f>IFERROR(__xludf.DUMMYFUNCTION("""COMPUTED_VALUE"""),45949.02984565854)</f>
        <v>45949.02985</v>
      </c>
      <c r="S1953" s="1" t="b">
        <f>IFERROR(__xludf.DUMMYFUNCTION("""COMPUTED_VALUE"""),TRUE)</f>
        <v>1</v>
      </c>
      <c r="T1953" s="1" t="b">
        <f>IFERROR(__xludf.DUMMYFUNCTION("""COMPUTED_VALUE"""),FALSE)</f>
        <v>0</v>
      </c>
      <c r="U1953" s="1" t="str">
        <f>IFERROR(__xludf.DUMMYFUNCTION("""COMPUTED_VALUE"""),"VALID")</f>
        <v>VALID</v>
      </c>
      <c r="V1953" s="1">
        <f>IFERROR(__xludf.DUMMYFUNCTION("""COMPUTED_VALUE"""),372.0)</f>
        <v>372</v>
      </c>
      <c r="W1953" s="1">
        <f>IFERROR(__xludf.DUMMYFUNCTION("""COMPUTED_VALUE"""),561.0)</f>
        <v>561</v>
      </c>
      <c r="X1953" s="1">
        <f>IFERROR(__xludf.DUMMYFUNCTION("""COMPUTED_VALUE"""),478.0)</f>
        <v>478</v>
      </c>
      <c r="Y1953" s="2"/>
      <c r="Z1953" s="2"/>
    </row>
    <row r="1954">
      <c r="A1954" s="1">
        <f>IFERROR(__xludf.DUMMYFUNCTION("""COMPUTED_VALUE"""),1953.0)</f>
        <v>1953</v>
      </c>
      <c r="B1954" s="1">
        <f>IFERROR(__xludf.DUMMYFUNCTION("""COMPUTED_VALUE"""),5507.0)</f>
        <v>5507</v>
      </c>
      <c r="C1954" s="2" t="str">
        <f>IFERROR(__xludf.DUMMYFUNCTION("""COMPUTED_VALUE"""),"REZA")</f>
        <v>REZA</v>
      </c>
      <c r="D1954" s="2" t="str">
        <f>IFERROR(__xludf.DUMMYFUNCTION("""COMPUTED_VALUE"""),"5KM OVERALL M")</f>
        <v>5KM OVERALL M</v>
      </c>
      <c r="E1954" s="1">
        <f>IFERROR(__xludf.DUMMYFUNCTION("""COMPUTED_VALUE"""),2.0)</f>
        <v>2</v>
      </c>
      <c r="F1954" s="1" t="str">
        <f>IFERROR(__xludf.DUMMYFUNCTION("""COMPUTED_VALUE"""),"Male")</f>
        <v>Male</v>
      </c>
      <c r="G1954" s="4" t="b">
        <f>IFERROR(__xludf.DUMMYFUNCTION("""COMPUTED_VALUE"""),TRUE)</f>
        <v>1</v>
      </c>
      <c r="H1954" s="4" t="b">
        <f>IFERROR(__xludf.DUMMYFUNCTION("""COMPUTED_VALUE"""),TRUE)</f>
        <v>1</v>
      </c>
      <c r="I1954" s="4">
        <f>IFERROR(__xludf.DUMMYFUNCTION("""COMPUTED_VALUE"""),0.2549440625)</f>
        <v>0.2549440625</v>
      </c>
      <c r="J1954" s="4">
        <f>IFERROR(__xludf.DUMMYFUNCTION("""COMPUTED_VALUE"""),45949.26571771848)</f>
        <v>45949.26572</v>
      </c>
      <c r="K1954" s="4" t="str">
        <f>IFERROR(__xludf.DUMMYFUNCTION("""COMPUTED_VALUE"""),"")</f>
        <v/>
      </c>
      <c r="L1954" s="4">
        <f>IFERROR(__xludf.DUMMYFUNCTION("""COMPUTED_VALUE"""),45949.27415086344)</f>
        <v>45949.27415</v>
      </c>
      <c r="M1954" s="1" t="str">
        <f>IFERROR(__xludf.DUMMYFUNCTION("""COMPUTED_VALUE"""),"RFID")</f>
        <v>RFID</v>
      </c>
      <c r="N1954" s="5">
        <f>IFERROR(__xludf.DUMMYFUNCTION("""COMPUTED_VALUE"""),0.004309462962962963)</f>
        <v>0.004309462963</v>
      </c>
      <c r="O1954" s="5" t="str">
        <f>IFERROR(__xludf.DUMMYFUNCTION("""COMPUTED_VALUE"""),"")</f>
        <v/>
      </c>
      <c r="P1954" s="5" t="str">
        <f>IFERROR(__xludf.DUMMYFUNCTION("""COMPUTED_VALUE"""),"")</f>
        <v/>
      </c>
      <c r="Q1954" s="5">
        <f>IFERROR(__xludf.DUMMYFUNCTION("""COMPUTED_VALUE"""),0.0038413611111111114)</f>
        <v>0.003841361111</v>
      </c>
      <c r="R1954" s="4">
        <f>IFERROR(__xludf.DUMMYFUNCTION("""COMPUTED_VALUE"""),45949.01920680094)</f>
        <v>45949.01921</v>
      </c>
      <c r="S1954" s="1" t="b">
        <f>IFERROR(__xludf.DUMMYFUNCTION("""COMPUTED_VALUE"""),TRUE)</f>
        <v>1</v>
      </c>
      <c r="T1954" s="1" t="b">
        <f>IFERROR(__xludf.DUMMYFUNCTION("""COMPUTED_VALUE"""),FALSE)</f>
        <v>0</v>
      </c>
      <c r="U1954" s="1" t="str">
        <f>IFERROR(__xludf.DUMMYFUNCTION("""COMPUTED_VALUE"""),"VALID")</f>
        <v>VALID</v>
      </c>
      <c r="V1954" s="1">
        <f>IFERROR(__xludf.DUMMYFUNCTION("""COMPUTED_VALUE"""),63.0)</f>
        <v>63</v>
      </c>
      <c r="W1954" s="1">
        <f>IFERROR(__xludf.DUMMYFUNCTION("""COMPUTED_VALUE"""),93.0)</f>
        <v>93</v>
      </c>
      <c r="X1954" s="1">
        <f>IFERROR(__xludf.DUMMYFUNCTION("""COMPUTED_VALUE"""),84.0)</f>
        <v>84</v>
      </c>
      <c r="Y1954" s="2"/>
      <c r="Z1954" s="2"/>
    </row>
    <row r="1955">
      <c r="A1955" s="1">
        <f>IFERROR(__xludf.DUMMYFUNCTION("""COMPUTED_VALUE"""),1954.0)</f>
        <v>1954</v>
      </c>
      <c r="B1955" s="1">
        <f>IFERROR(__xludf.DUMMYFUNCTION("""COMPUTED_VALUE"""),5508.0)</f>
        <v>5508</v>
      </c>
      <c r="C1955" s="2" t="str">
        <f>IFERROR(__xludf.DUMMYFUNCTION("""COMPUTED_VALUE"""),"YOGAV")</f>
        <v>YOGAV</v>
      </c>
      <c r="D1955" s="2" t="str">
        <f>IFERROR(__xludf.DUMMYFUNCTION("""COMPUTED_VALUE"""),"5KM OVERALL M")</f>
        <v>5KM OVERALL M</v>
      </c>
      <c r="E1955" s="1">
        <f>IFERROR(__xludf.DUMMYFUNCTION("""COMPUTED_VALUE"""),2.0)</f>
        <v>2</v>
      </c>
      <c r="F1955" s="1" t="str">
        <f>IFERROR(__xludf.DUMMYFUNCTION("""COMPUTED_VALUE"""),"Male")</f>
        <v>Male</v>
      </c>
      <c r="G1955" s="4" t="b">
        <f>IFERROR(__xludf.DUMMYFUNCTION("""COMPUTED_VALUE"""),TRUE)</f>
        <v>1</v>
      </c>
      <c r="H1955" s="4" t="b">
        <f>IFERROR(__xludf.DUMMYFUNCTION("""COMPUTED_VALUE"""),FALSE)</f>
        <v>0</v>
      </c>
      <c r="I1955" s="4">
        <f>IFERROR(__xludf.DUMMYFUNCTION("""COMPUTED_VALUE"""),0.2549440625)</f>
        <v>0.2549440625</v>
      </c>
      <c r="J1955" s="4">
        <f>IFERROR(__xludf.DUMMYFUNCTION("""COMPUTED_VALUE"""),45949.26987738734)</f>
        <v>45949.26988</v>
      </c>
      <c r="K1955" s="4" t="str">
        <f>IFERROR(__xludf.DUMMYFUNCTION("""COMPUTED_VALUE"""),"")</f>
        <v/>
      </c>
      <c r="L1955" s="4">
        <f>IFERROR(__xludf.DUMMYFUNCTION("""COMPUTED_VALUE"""),45949.28150845415)</f>
        <v>45949.28151</v>
      </c>
      <c r="M1955" s="1" t="str">
        <f>IFERROR(__xludf.DUMMYFUNCTION("""COMPUTED_VALUE"""),"RFID")</f>
        <v>RFID</v>
      </c>
      <c r="N1955" s="5">
        <f>IFERROR(__xludf.DUMMYFUNCTION("""COMPUTED_VALUE"""),0.005973328703703704)</f>
        <v>0.005973328704</v>
      </c>
      <c r="O1955" s="5" t="str">
        <f>IFERROR(__xludf.DUMMYFUNCTION("""COMPUTED_VALUE"""),"")</f>
        <v/>
      </c>
      <c r="P1955" s="5" t="str">
        <f>IFERROR(__xludf.DUMMYFUNCTION("""COMPUTED_VALUE"""),"")</f>
        <v/>
      </c>
      <c r="Q1955" s="5">
        <f>IFERROR(__xludf.DUMMYFUNCTION("""COMPUTED_VALUE"""),0.005312877314814815)</f>
        <v>0.005312877315</v>
      </c>
      <c r="R1955" s="4">
        <f>IFERROR(__xludf.DUMMYFUNCTION("""COMPUTED_VALUE"""),45949.02656439165)</f>
        <v>45949.02656</v>
      </c>
      <c r="S1955" s="1" t="b">
        <f>IFERROR(__xludf.DUMMYFUNCTION("""COMPUTED_VALUE"""),TRUE)</f>
        <v>1</v>
      </c>
      <c r="T1955" s="1" t="b">
        <f>IFERROR(__xludf.DUMMYFUNCTION("""COMPUTED_VALUE"""),FALSE)</f>
        <v>0</v>
      </c>
      <c r="U1955" s="1" t="str">
        <f>IFERROR(__xludf.DUMMYFUNCTION("""COMPUTED_VALUE"""),"VALID")</f>
        <v>VALID</v>
      </c>
      <c r="V1955" s="1">
        <f>IFERROR(__xludf.DUMMYFUNCTION("""COMPUTED_VALUE"""),237.0)</f>
        <v>237</v>
      </c>
      <c r="W1955" s="1">
        <f>IFERROR(__xludf.DUMMYFUNCTION("""COMPUTED_VALUE"""),366.0)</f>
        <v>366</v>
      </c>
      <c r="X1955" s="1">
        <f>IFERROR(__xludf.DUMMYFUNCTION("""COMPUTED_VALUE"""),317.0)</f>
        <v>317</v>
      </c>
      <c r="Y1955" s="2"/>
      <c r="Z1955" s="2"/>
    </row>
    <row r="1956">
      <c r="A1956" s="1">
        <f>IFERROR(__xludf.DUMMYFUNCTION("""COMPUTED_VALUE"""),1955.0)</f>
        <v>1955</v>
      </c>
      <c r="B1956" s="1">
        <f>IFERROR(__xludf.DUMMYFUNCTION("""COMPUTED_VALUE"""),5509.0)</f>
        <v>5509</v>
      </c>
      <c r="C1956" s="2" t="str">
        <f>IFERROR(__xludf.DUMMYFUNCTION("""COMPUTED_VALUE"""),"Wumbo")</f>
        <v>Wumbo</v>
      </c>
      <c r="D1956" s="2" t="str">
        <f>IFERROR(__xludf.DUMMYFUNCTION("""COMPUTED_VALUE"""),"5KM OVERALL M")</f>
        <v>5KM OVERALL M</v>
      </c>
      <c r="E1956" s="1">
        <f>IFERROR(__xludf.DUMMYFUNCTION("""COMPUTED_VALUE"""),2.0)</f>
        <v>2</v>
      </c>
      <c r="F1956" s="1" t="str">
        <f>IFERROR(__xludf.DUMMYFUNCTION("""COMPUTED_VALUE"""),"Male")</f>
        <v>Male</v>
      </c>
      <c r="G1956" s="4" t="b">
        <f>IFERROR(__xludf.DUMMYFUNCTION("""COMPUTED_VALUE"""),TRUE)</f>
        <v>1</v>
      </c>
      <c r="H1956" s="4" t="b">
        <f>IFERROR(__xludf.DUMMYFUNCTION("""COMPUTED_VALUE"""),FALSE)</f>
        <v>0</v>
      </c>
      <c r="I1956" s="4">
        <f>IFERROR(__xludf.DUMMYFUNCTION("""COMPUTED_VALUE"""),0.2549440625)</f>
        <v>0.2549440625</v>
      </c>
      <c r="J1956" s="4">
        <f>IFERROR(__xludf.DUMMYFUNCTION("""COMPUTED_VALUE"""),45949.272019754586)</f>
        <v>45949.27202</v>
      </c>
      <c r="K1956" s="4" t="str">
        <f>IFERROR(__xludf.DUMMYFUNCTION("""COMPUTED_VALUE"""),"")</f>
        <v/>
      </c>
      <c r="L1956" s="4">
        <f>IFERROR(__xludf.DUMMYFUNCTION("""COMPUTED_VALUE"""),45949.28426895875)</f>
        <v>45949.28427</v>
      </c>
      <c r="M1956" s="1" t="str">
        <f>IFERROR(__xludf.DUMMYFUNCTION("""COMPUTED_VALUE"""),"RFID")</f>
        <v>RFID</v>
      </c>
      <c r="N1956" s="5">
        <f>IFERROR(__xludf.DUMMYFUNCTION("""COMPUTED_VALUE"""),0.006830277777777777)</f>
        <v>0.006830277778</v>
      </c>
      <c r="O1956" s="5" t="str">
        <f>IFERROR(__xludf.DUMMYFUNCTION("""COMPUTED_VALUE"""),"")</f>
        <v/>
      </c>
      <c r="P1956" s="5" t="str">
        <f>IFERROR(__xludf.DUMMYFUNCTION("""COMPUTED_VALUE"""),"")</f>
        <v/>
      </c>
      <c r="Q1956" s="5">
        <f>IFERROR(__xludf.DUMMYFUNCTION("""COMPUTED_VALUE"""),0.005864979166666666)</f>
        <v>0.005864979167</v>
      </c>
      <c r="R1956" s="4">
        <f>IFERROR(__xludf.DUMMYFUNCTION("""COMPUTED_VALUE"""),45949.02932489625)</f>
        <v>45949.02932</v>
      </c>
      <c r="S1956" s="1" t="b">
        <f>IFERROR(__xludf.DUMMYFUNCTION("""COMPUTED_VALUE"""),TRUE)</f>
        <v>1</v>
      </c>
      <c r="T1956" s="1" t="b">
        <f>IFERROR(__xludf.DUMMYFUNCTION("""COMPUTED_VALUE"""),FALSE)</f>
        <v>0</v>
      </c>
      <c r="U1956" s="1" t="str">
        <f>IFERROR(__xludf.DUMMYFUNCTION("""COMPUTED_VALUE"""),"VALID")</f>
        <v>VALID</v>
      </c>
      <c r="V1956" s="1">
        <f>IFERROR(__xludf.DUMMYFUNCTION("""COMPUTED_VALUE"""),350.0)</f>
        <v>350</v>
      </c>
      <c r="W1956" s="1">
        <f>IFERROR(__xludf.DUMMYFUNCTION("""COMPUTED_VALUE"""),519.0)</f>
        <v>519</v>
      </c>
      <c r="X1956" s="1">
        <f>IFERROR(__xludf.DUMMYFUNCTION("""COMPUTED_VALUE"""),450.0)</f>
        <v>450</v>
      </c>
      <c r="Y1956" s="2"/>
      <c r="Z1956" s="2"/>
    </row>
    <row r="1957">
      <c r="A1957" s="1">
        <f>IFERROR(__xludf.DUMMYFUNCTION("""COMPUTED_VALUE"""),1956.0)</f>
        <v>1956</v>
      </c>
      <c r="B1957" s="1">
        <f>IFERROR(__xludf.DUMMYFUNCTION("""COMPUTED_VALUE"""),5511.0)</f>
        <v>5511</v>
      </c>
      <c r="C1957" s="2" t="str">
        <f>IFERROR(__xludf.DUMMYFUNCTION("""COMPUTED_VALUE"""),"Hanafi Rizani")</f>
        <v>Hanafi Rizani</v>
      </c>
      <c r="D1957" s="2" t="str">
        <f>IFERROR(__xludf.DUMMYFUNCTION("""COMPUTED_VALUE"""),"5KM OVERALL M")</f>
        <v>5KM OVERALL M</v>
      </c>
      <c r="E1957" s="1">
        <f>IFERROR(__xludf.DUMMYFUNCTION("""COMPUTED_VALUE"""),2.0)</f>
        <v>2</v>
      </c>
      <c r="F1957" s="1" t="str">
        <f>IFERROR(__xludf.DUMMYFUNCTION("""COMPUTED_VALUE"""),"Male")</f>
        <v>Male</v>
      </c>
      <c r="G1957" s="4" t="str">
        <f>IFERROR(__xludf.DUMMYFUNCTION("""COMPUTED_VALUE"""),"")</f>
        <v/>
      </c>
      <c r="H1957" s="4" t="b">
        <f>IFERROR(__xludf.DUMMYFUNCTION("""COMPUTED_VALUE"""),FALSE)</f>
        <v>0</v>
      </c>
      <c r="I1957" s="4">
        <f>IFERROR(__xludf.DUMMYFUNCTION("""COMPUTED_VALUE"""),0.2549440625)</f>
        <v>0.2549440625</v>
      </c>
      <c r="J1957" s="4" t="str">
        <f>IFERROR(__xludf.DUMMYFUNCTION("""COMPUTED_VALUE"""),"")</f>
        <v/>
      </c>
      <c r="K1957" s="4" t="str">
        <f>IFERROR(__xludf.DUMMYFUNCTION("""COMPUTED_VALUE"""),"")</f>
        <v/>
      </c>
      <c r="L1957" s="4" t="str">
        <f>IFERROR(__xludf.DUMMYFUNCTION("""COMPUTED_VALUE"""),"")</f>
        <v/>
      </c>
      <c r="M1957" s="1" t="str">
        <f>IFERROR(__xludf.DUMMYFUNCTION("""COMPUTED_VALUE"""),"RFID")</f>
        <v>RFID</v>
      </c>
      <c r="N1957" s="5" t="str">
        <f>IFERROR(__xludf.DUMMYFUNCTION("""COMPUTED_VALUE"""),"")</f>
        <v/>
      </c>
      <c r="O1957" s="5" t="str">
        <f>IFERROR(__xludf.DUMMYFUNCTION("""COMPUTED_VALUE"""),"")</f>
        <v/>
      </c>
      <c r="P1957" s="5" t="str">
        <f>IFERROR(__xludf.DUMMYFUNCTION("""COMPUTED_VALUE"""),"")</f>
        <v/>
      </c>
      <c r="Q1957" s="5" t="str">
        <f>IFERROR(__xludf.DUMMYFUNCTION("""COMPUTED_VALUE"""),"")</f>
        <v/>
      </c>
      <c r="R1957" s="4" t="str">
        <f>IFERROR(__xludf.DUMMYFUNCTION("""COMPUTED_VALUE"""),"")</f>
        <v/>
      </c>
      <c r="S1957" s="1" t="b">
        <f>IFERROR(__xludf.DUMMYFUNCTION("""COMPUTED_VALUE"""),FALSE)</f>
        <v>0</v>
      </c>
      <c r="T1957" s="1" t="b">
        <f>IFERROR(__xludf.DUMMYFUNCTION("""COMPUTED_VALUE"""),FALSE)</f>
        <v>0</v>
      </c>
      <c r="U1957" s="1" t="str">
        <f>IFERROR(__xludf.DUMMYFUNCTION("""COMPUTED_VALUE"""),"DSQ")</f>
        <v>DSQ</v>
      </c>
      <c r="V1957" s="1" t="str">
        <f>IFERROR(__xludf.DUMMYFUNCTION("""COMPUTED_VALUE"""),"DSQ")</f>
        <v>DSQ</v>
      </c>
      <c r="W1957" s="1" t="str">
        <f>IFERROR(__xludf.DUMMYFUNCTION("""COMPUTED_VALUE"""),"DSQ")</f>
        <v>DSQ</v>
      </c>
      <c r="X1957" s="1" t="str">
        <f>IFERROR(__xludf.DUMMYFUNCTION("""COMPUTED_VALUE"""),"DSQ")</f>
        <v>DSQ</v>
      </c>
      <c r="Y1957" s="2"/>
      <c r="Z1957" s="2" t="str">
        <f>IFERROR(__xludf.DUMMYFUNCTION("""COMPUTED_VALUE"""),"")</f>
        <v/>
      </c>
    </row>
    <row r="1958">
      <c r="A1958" s="1">
        <f>IFERROR(__xludf.DUMMYFUNCTION("""COMPUTED_VALUE"""),1957.0)</f>
        <v>1957</v>
      </c>
      <c r="B1958" s="1">
        <f>IFERROR(__xludf.DUMMYFUNCTION("""COMPUTED_VALUE"""),5512.0)</f>
        <v>5512</v>
      </c>
      <c r="C1958" s="2" t="str">
        <f>IFERROR(__xludf.DUMMYFUNCTION("""COMPUTED_VALUE"""),"Aldo Utama Putra")</f>
        <v>Aldo Utama Putra</v>
      </c>
      <c r="D1958" s="2" t="str">
        <f>IFERROR(__xludf.DUMMYFUNCTION("""COMPUTED_VALUE"""),"5KM OVERALL M")</f>
        <v>5KM OVERALL M</v>
      </c>
      <c r="E1958" s="1">
        <f>IFERROR(__xludf.DUMMYFUNCTION("""COMPUTED_VALUE"""),2.0)</f>
        <v>2</v>
      </c>
      <c r="F1958" s="1" t="str">
        <f>IFERROR(__xludf.DUMMYFUNCTION("""COMPUTED_VALUE"""),"Male")</f>
        <v>Male</v>
      </c>
      <c r="G1958" s="4" t="b">
        <f>IFERROR(__xludf.DUMMYFUNCTION("""COMPUTED_VALUE"""),TRUE)</f>
        <v>1</v>
      </c>
      <c r="H1958" s="4" t="b">
        <f>IFERROR(__xludf.DUMMYFUNCTION("""COMPUTED_VALUE"""),FALSE)</f>
        <v>0</v>
      </c>
      <c r="I1958" s="4">
        <f>IFERROR(__xludf.DUMMYFUNCTION("""COMPUTED_VALUE"""),0.2549440625)</f>
        <v>0.2549440625</v>
      </c>
      <c r="J1958" s="4">
        <f>IFERROR(__xludf.DUMMYFUNCTION("""COMPUTED_VALUE"""),45949.27099896048)</f>
        <v>45949.271</v>
      </c>
      <c r="K1958" s="4" t="str">
        <f>IFERROR(__xludf.DUMMYFUNCTION("""COMPUTED_VALUE"""),"")</f>
        <v/>
      </c>
      <c r="L1958" s="4">
        <f>IFERROR(__xludf.DUMMYFUNCTION("""COMPUTED_VALUE"""),45949.282912379815)</f>
        <v>45949.28291</v>
      </c>
      <c r="M1958" s="1" t="str">
        <f>IFERROR(__xludf.DUMMYFUNCTION("""COMPUTED_VALUE"""),"RFID")</f>
        <v>RFID</v>
      </c>
      <c r="N1958" s="5">
        <f>IFERROR(__xludf.DUMMYFUNCTION("""COMPUTED_VALUE"""),0.006421958333333333)</f>
        <v>0.006421958333</v>
      </c>
      <c r="O1958" s="5" t="str">
        <f>IFERROR(__xludf.DUMMYFUNCTION("""COMPUTED_VALUE"""),"")</f>
        <v/>
      </c>
      <c r="P1958" s="5" t="str">
        <f>IFERROR(__xludf.DUMMYFUNCTION("""COMPUTED_VALUE"""),"")</f>
        <v/>
      </c>
      <c r="Q1958" s="5">
        <f>IFERROR(__xludf.DUMMYFUNCTION("""COMPUTED_VALUE"""),0.005593664351851852)</f>
        <v>0.005593664352</v>
      </c>
      <c r="R1958" s="4">
        <f>IFERROR(__xludf.DUMMYFUNCTION("""COMPUTED_VALUE"""),45949.027968317314)</f>
        <v>45949.02797</v>
      </c>
      <c r="S1958" s="1" t="b">
        <f>IFERROR(__xludf.DUMMYFUNCTION("""COMPUTED_VALUE"""),TRUE)</f>
        <v>1</v>
      </c>
      <c r="T1958" s="1" t="b">
        <f>IFERROR(__xludf.DUMMYFUNCTION("""COMPUTED_VALUE"""),FALSE)</f>
        <v>0</v>
      </c>
      <c r="U1958" s="1" t="str">
        <f>IFERROR(__xludf.DUMMYFUNCTION("""COMPUTED_VALUE"""),"VALID")</f>
        <v>VALID</v>
      </c>
      <c r="V1958" s="1">
        <f>IFERROR(__xludf.DUMMYFUNCTION("""COMPUTED_VALUE"""),286.0)</f>
        <v>286</v>
      </c>
      <c r="W1958" s="1">
        <f>IFERROR(__xludf.DUMMYFUNCTION("""COMPUTED_VALUE"""),431.0)</f>
        <v>431</v>
      </c>
      <c r="X1958" s="1">
        <f>IFERROR(__xludf.DUMMYFUNCTION("""COMPUTED_VALUE"""),373.0)</f>
        <v>373</v>
      </c>
      <c r="Y1958" s="2"/>
      <c r="Z1958" s="2"/>
    </row>
    <row r="1959">
      <c r="A1959" s="1">
        <f>IFERROR(__xludf.DUMMYFUNCTION("""COMPUTED_VALUE"""),1958.0)</f>
        <v>1958</v>
      </c>
      <c r="B1959" s="1">
        <f>IFERROR(__xludf.DUMMYFUNCTION("""COMPUTED_VALUE"""),5513.0)</f>
        <v>5513</v>
      </c>
      <c r="C1959" s="2" t="str">
        <f>IFERROR(__xludf.DUMMYFUNCTION("""COMPUTED_VALUE"""),"GUNS")</f>
        <v>GUNS</v>
      </c>
      <c r="D1959" s="2" t="str">
        <f>IFERROR(__xludf.DUMMYFUNCTION("""COMPUTED_VALUE"""),"5KM OVERALL M")</f>
        <v>5KM OVERALL M</v>
      </c>
      <c r="E1959" s="1">
        <f>IFERROR(__xludf.DUMMYFUNCTION("""COMPUTED_VALUE"""),2.0)</f>
        <v>2</v>
      </c>
      <c r="F1959" s="1" t="str">
        <f>IFERROR(__xludf.DUMMYFUNCTION("""COMPUTED_VALUE"""),"Male")</f>
        <v>Male</v>
      </c>
      <c r="G1959" s="4" t="b">
        <f>IFERROR(__xludf.DUMMYFUNCTION("""COMPUTED_VALUE"""),TRUE)</f>
        <v>1</v>
      </c>
      <c r="H1959" s="4" t="b">
        <f>IFERROR(__xludf.DUMMYFUNCTION("""COMPUTED_VALUE"""),TRUE)</f>
        <v>1</v>
      </c>
      <c r="I1959" s="4">
        <f>IFERROR(__xludf.DUMMYFUNCTION("""COMPUTED_VALUE"""),0.2549440625)</f>
        <v>0.2549440625</v>
      </c>
      <c r="J1959" s="4">
        <f>IFERROR(__xludf.DUMMYFUNCTION("""COMPUTED_VALUE"""),45949.26621082895)</f>
        <v>45949.26621</v>
      </c>
      <c r="K1959" s="4" t="str">
        <f>IFERROR(__xludf.DUMMYFUNCTION("""COMPUTED_VALUE"""),"")</f>
        <v/>
      </c>
      <c r="L1959" s="4">
        <f>IFERROR(__xludf.DUMMYFUNCTION("""COMPUTED_VALUE"""),45949.2756586793)</f>
        <v>45949.27566</v>
      </c>
      <c r="M1959" s="1" t="str">
        <f>IFERROR(__xludf.DUMMYFUNCTION("""COMPUTED_VALUE"""),"RFID")</f>
        <v>RFID</v>
      </c>
      <c r="N1959" s="5">
        <f>IFERROR(__xludf.DUMMYFUNCTION("""COMPUTED_VALUE"""),0.004506708333333333)</f>
        <v>0.004506708333</v>
      </c>
      <c r="O1959" s="5" t="str">
        <f>IFERROR(__xludf.DUMMYFUNCTION("""COMPUTED_VALUE"""),"")</f>
        <v/>
      </c>
      <c r="P1959" s="5" t="str">
        <f>IFERROR(__xludf.DUMMYFUNCTION("""COMPUTED_VALUE"""),"")</f>
        <v/>
      </c>
      <c r="Q1959" s="5">
        <f>IFERROR(__xludf.DUMMYFUNCTION("""COMPUTED_VALUE"""),0.004142923611111111)</f>
        <v>0.004142923611</v>
      </c>
      <c r="R1959" s="4">
        <f>IFERROR(__xludf.DUMMYFUNCTION("""COMPUTED_VALUE"""),45949.020714616796)</f>
        <v>45949.02071</v>
      </c>
      <c r="S1959" s="1" t="b">
        <f>IFERROR(__xludf.DUMMYFUNCTION("""COMPUTED_VALUE"""),TRUE)</f>
        <v>1</v>
      </c>
      <c r="T1959" s="1" t="b">
        <f>IFERROR(__xludf.DUMMYFUNCTION("""COMPUTED_VALUE"""),FALSE)</f>
        <v>0</v>
      </c>
      <c r="U1959" s="1" t="str">
        <f>IFERROR(__xludf.DUMMYFUNCTION("""COMPUTED_VALUE"""),"VALID")</f>
        <v>VALID</v>
      </c>
      <c r="V1959" s="1">
        <f>IFERROR(__xludf.DUMMYFUNCTION("""COMPUTED_VALUE"""),87.0)</f>
        <v>87</v>
      </c>
      <c r="W1959" s="1">
        <f>IFERROR(__xludf.DUMMYFUNCTION("""COMPUTED_VALUE"""),133.0)</f>
        <v>133</v>
      </c>
      <c r="X1959" s="1">
        <f>IFERROR(__xludf.DUMMYFUNCTION("""COMPUTED_VALUE"""),121.0)</f>
        <v>121</v>
      </c>
      <c r="Y1959" s="2"/>
      <c r="Z1959" s="2"/>
    </row>
    <row r="1960">
      <c r="A1960" s="1">
        <f>IFERROR(__xludf.DUMMYFUNCTION("""COMPUTED_VALUE"""),1959.0)</f>
        <v>1959</v>
      </c>
      <c r="B1960" s="1">
        <f>IFERROR(__xludf.DUMMYFUNCTION("""COMPUTED_VALUE"""),5514.0)</f>
        <v>5514</v>
      </c>
      <c r="C1960" s="2" t="str">
        <f>IFERROR(__xludf.DUMMYFUNCTION("""COMPUTED_VALUE"""),"fajar")</f>
        <v>fajar</v>
      </c>
      <c r="D1960" s="2" t="str">
        <f>IFERROR(__xludf.DUMMYFUNCTION("""COMPUTED_VALUE"""),"5KM OVERALL M")</f>
        <v>5KM OVERALL M</v>
      </c>
      <c r="E1960" s="1">
        <f>IFERROR(__xludf.DUMMYFUNCTION("""COMPUTED_VALUE"""),2.0)</f>
        <v>2</v>
      </c>
      <c r="F1960" s="1" t="str">
        <f>IFERROR(__xludf.DUMMYFUNCTION("""COMPUTED_VALUE"""),"Male")</f>
        <v>Male</v>
      </c>
      <c r="G1960" s="4" t="b">
        <f>IFERROR(__xludf.DUMMYFUNCTION("""COMPUTED_VALUE"""),TRUE)</f>
        <v>1</v>
      </c>
      <c r="H1960" s="4" t="b">
        <f>IFERROR(__xludf.DUMMYFUNCTION("""COMPUTED_VALUE"""),FALSE)</f>
        <v>0</v>
      </c>
      <c r="I1960" s="4">
        <f>IFERROR(__xludf.DUMMYFUNCTION("""COMPUTED_VALUE"""),0.2549440625)</f>
        <v>0.2549440625</v>
      </c>
      <c r="J1960" s="4">
        <f>IFERROR(__xludf.DUMMYFUNCTION("""COMPUTED_VALUE"""),45949.271169116066)</f>
        <v>45949.27117</v>
      </c>
      <c r="K1960" s="4" t="str">
        <f>IFERROR(__xludf.DUMMYFUNCTION("""COMPUTED_VALUE"""),"")</f>
        <v/>
      </c>
      <c r="L1960" s="4">
        <f>IFERROR(__xludf.DUMMYFUNCTION("""COMPUTED_VALUE"""),45949.28412037037)</f>
        <v>45949.28412</v>
      </c>
      <c r="M1960" s="1" t="str">
        <f>IFERROR(__xludf.DUMMYFUNCTION("""COMPUTED_VALUE"""),"RFID")</f>
        <v>RFID</v>
      </c>
      <c r="N1960" s="5">
        <f>IFERROR(__xludf.DUMMYFUNCTION("""COMPUTED_VALUE"""),0.006490023148148148)</f>
        <v>0.006490023148</v>
      </c>
      <c r="O1960" s="5" t="str">
        <f>IFERROR(__xludf.DUMMYFUNCTION("""COMPUTED_VALUE"""),"")</f>
        <v/>
      </c>
      <c r="P1960" s="5" t="str">
        <f>IFERROR(__xludf.DUMMYFUNCTION("""COMPUTED_VALUE"""),"")</f>
        <v/>
      </c>
      <c r="Q1960" s="5">
        <f>IFERROR(__xludf.DUMMYFUNCTION("""COMPUTED_VALUE"""),0.005835261574074074)</f>
        <v>0.005835261574</v>
      </c>
      <c r="R1960" s="4">
        <f>IFERROR(__xludf.DUMMYFUNCTION("""COMPUTED_VALUE"""),45949.02917630787)</f>
        <v>45949.02918</v>
      </c>
      <c r="S1960" s="1" t="b">
        <f>IFERROR(__xludf.DUMMYFUNCTION("""COMPUTED_VALUE"""),TRUE)</f>
        <v>1</v>
      </c>
      <c r="T1960" s="1" t="b">
        <f>IFERROR(__xludf.DUMMYFUNCTION("""COMPUTED_VALUE"""),FALSE)</f>
        <v>0</v>
      </c>
      <c r="U1960" s="1" t="str">
        <f>IFERROR(__xludf.DUMMYFUNCTION("""COMPUTED_VALUE"""),"VALID")</f>
        <v>VALID</v>
      </c>
      <c r="V1960" s="1">
        <f>IFERROR(__xludf.DUMMYFUNCTION("""COMPUTED_VALUE"""),341.0)</f>
        <v>341</v>
      </c>
      <c r="W1960" s="1">
        <f>IFERROR(__xludf.DUMMYFUNCTION("""COMPUTED_VALUE"""),505.0)</f>
        <v>505</v>
      </c>
      <c r="X1960" s="1">
        <f>IFERROR(__xludf.DUMMYFUNCTION("""COMPUTED_VALUE"""),440.0)</f>
        <v>440</v>
      </c>
      <c r="Y1960" s="2"/>
      <c r="Z1960" s="2"/>
    </row>
    <row r="1961">
      <c r="A1961" s="1">
        <f>IFERROR(__xludf.DUMMYFUNCTION("""COMPUTED_VALUE"""),1960.0)</f>
        <v>1960</v>
      </c>
      <c r="B1961" s="1">
        <f>IFERROR(__xludf.DUMMYFUNCTION("""COMPUTED_VALUE"""),5517.0)</f>
        <v>5517</v>
      </c>
      <c r="C1961" s="2" t="str">
        <f>IFERROR(__xludf.DUMMYFUNCTION("""COMPUTED_VALUE"""),"Hambali")</f>
        <v>Hambali</v>
      </c>
      <c r="D1961" s="2" t="str">
        <f>IFERROR(__xludf.DUMMYFUNCTION("""COMPUTED_VALUE"""),"5KM OVERALL M")</f>
        <v>5KM OVERALL M</v>
      </c>
      <c r="E1961" s="1">
        <f>IFERROR(__xludf.DUMMYFUNCTION("""COMPUTED_VALUE"""),2.0)</f>
        <v>2</v>
      </c>
      <c r="F1961" s="1" t="str">
        <f>IFERROR(__xludf.DUMMYFUNCTION("""COMPUTED_VALUE"""),"Male")</f>
        <v>Male</v>
      </c>
      <c r="G1961" s="4" t="b">
        <f>IFERROR(__xludf.DUMMYFUNCTION("""COMPUTED_VALUE"""),TRUE)</f>
        <v>1</v>
      </c>
      <c r="H1961" s="4" t="b">
        <f>IFERROR(__xludf.DUMMYFUNCTION("""COMPUTED_VALUE"""),FALSE)</f>
        <v>0</v>
      </c>
      <c r="I1961" s="4">
        <f>IFERROR(__xludf.DUMMYFUNCTION("""COMPUTED_VALUE"""),0.2549440625)</f>
        <v>0.2549440625</v>
      </c>
      <c r="J1961" s="4">
        <f>IFERROR(__xludf.DUMMYFUNCTION("""COMPUTED_VALUE"""),45949.27276281128)</f>
        <v>45949.27276</v>
      </c>
      <c r="K1961" s="4" t="str">
        <f>IFERROR(__xludf.DUMMYFUNCTION("""COMPUTED_VALUE"""),"")</f>
        <v/>
      </c>
      <c r="L1961" s="4">
        <f>IFERROR(__xludf.DUMMYFUNCTION("""COMPUTED_VALUE"""),45949.286130047825)</f>
        <v>45949.28613</v>
      </c>
      <c r="M1961" s="1" t="str">
        <f>IFERROR(__xludf.DUMMYFUNCTION("""COMPUTED_VALUE"""),"RFID")</f>
        <v>RFID</v>
      </c>
      <c r="N1961" s="5">
        <f>IFERROR(__xludf.DUMMYFUNCTION("""COMPUTED_VALUE"""),0.0071275)</f>
        <v>0.0071275</v>
      </c>
      <c r="O1961" s="5" t="str">
        <f>IFERROR(__xludf.DUMMYFUNCTION("""COMPUTED_VALUE"""),"")</f>
        <v/>
      </c>
      <c r="P1961" s="5" t="str">
        <f>IFERROR(__xludf.DUMMYFUNCTION("""COMPUTED_VALUE"""),"")</f>
        <v/>
      </c>
      <c r="Q1961" s="5">
        <f>IFERROR(__xludf.DUMMYFUNCTION("""COMPUTED_VALUE"""),0.006237196759259259)</f>
        <v>0.006237196759</v>
      </c>
      <c r="R1961" s="4">
        <f>IFERROR(__xludf.DUMMYFUNCTION("""COMPUTED_VALUE"""),45949.031185985325)</f>
        <v>45949.03119</v>
      </c>
      <c r="S1961" s="1" t="b">
        <f>IFERROR(__xludf.DUMMYFUNCTION("""COMPUTED_VALUE"""),TRUE)</f>
        <v>1</v>
      </c>
      <c r="T1961" s="1" t="b">
        <f>IFERROR(__xludf.DUMMYFUNCTION("""COMPUTED_VALUE"""),FALSE)</f>
        <v>0</v>
      </c>
      <c r="U1961" s="1" t="str">
        <f>IFERROR(__xludf.DUMMYFUNCTION("""COMPUTED_VALUE"""),"VALID")</f>
        <v>VALID</v>
      </c>
      <c r="V1961" s="1">
        <f>IFERROR(__xludf.DUMMYFUNCTION("""COMPUTED_VALUE"""),417.0)</f>
        <v>417</v>
      </c>
      <c r="W1961" s="1">
        <f>IFERROR(__xludf.DUMMYFUNCTION("""COMPUTED_VALUE"""),641.0)</f>
        <v>641</v>
      </c>
      <c r="X1961" s="1">
        <f>IFERROR(__xludf.DUMMYFUNCTION("""COMPUTED_VALUE"""),535.0)</f>
        <v>535</v>
      </c>
      <c r="Y1961" s="2"/>
      <c r="Z1961" s="2"/>
    </row>
    <row r="1962">
      <c r="A1962" s="1">
        <f>IFERROR(__xludf.DUMMYFUNCTION("""COMPUTED_VALUE"""),1961.0)</f>
        <v>1961</v>
      </c>
      <c r="B1962" s="1">
        <f>IFERROR(__xludf.DUMMYFUNCTION("""COMPUTED_VALUE"""),5518.0)</f>
        <v>5518</v>
      </c>
      <c r="C1962" s="2" t="str">
        <f>IFERROR(__xludf.DUMMYFUNCTION("""COMPUTED_VALUE"""),"Taufiqur")</f>
        <v>Taufiqur</v>
      </c>
      <c r="D1962" s="2" t="str">
        <f>IFERROR(__xludf.DUMMYFUNCTION("""COMPUTED_VALUE"""),"5KM OVERALL M")</f>
        <v>5KM OVERALL M</v>
      </c>
      <c r="E1962" s="1">
        <f>IFERROR(__xludf.DUMMYFUNCTION("""COMPUTED_VALUE"""),2.0)</f>
        <v>2</v>
      </c>
      <c r="F1962" s="1" t="str">
        <f>IFERROR(__xludf.DUMMYFUNCTION("""COMPUTED_VALUE"""),"Male")</f>
        <v>Male</v>
      </c>
      <c r="G1962" s="4" t="b">
        <f>IFERROR(__xludf.DUMMYFUNCTION("""COMPUTED_VALUE"""),TRUE)</f>
        <v>1</v>
      </c>
      <c r="H1962" s="4" t="b">
        <f>IFERROR(__xludf.DUMMYFUNCTION("""COMPUTED_VALUE"""),TRUE)</f>
        <v>1</v>
      </c>
      <c r="I1962" s="4">
        <f>IFERROR(__xludf.DUMMYFUNCTION("""COMPUTED_VALUE"""),0.2549440625)</f>
        <v>0.2549440625</v>
      </c>
      <c r="J1962" s="4">
        <f>IFERROR(__xludf.DUMMYFUNCTION("""COMPUTED_VALUE"""),45949.27607529447)</f>
        <v>45949.27608</v>
      </c>
      <c r="K1962" s="4" t="str">
        <f>IFERROR(__xludf.DUMMYFUNCTION("""COMPUTED_VALUE"""),"")</f>
        <v/>
      </c>
      <c r="L1962" s="4">
        <f>IFERROR(__xludf.DUMMYFUNCTION("""COMPUTED_VALUE"""),45949.29157795279)</f>
        <v>45949.29158</v>
      </c>
      <c r="M1962" s="1" t="str">
        <f>IFERROR(__xludf.DUMMYFUNCTION("""COMPUTED_VALUE"""),"RFID")</f>
        <v>RFID</v>
      </c>
      <c r="N1962" s="5">
        <f>IFERROR(__xludf.DUMMYFUNCTION("""COMPUTED_VALUE"""),0.008452490740740741)</f>
        <v>0.008452490741</v>
      </c>
      <c r="O1962" s="5" t="str">
        <f>IFERROR(__xludf.DUMMYFUNCTION("""COMPUTED_VALUE"""),"")</f>
        <v/>
      </c>
      <c r="P1962" s="5" t="str">
        <f>IFERROR(__xludf.DUMMYFUNCTION("""COMPUTED_VALUE"""),"")</f>
        <v/>
      </c>
      <c r="Q1962" s="5">
        <f>IFERROR(__xludf.DUMMYFUNCTION("""COMPUTED_VALUE"""),0.0073267777777777775)</f>
        <v>0.007326777778</v>
      </c>
      <c r="R1962" s="4">
        <f>IFERROR(__xludf.DUMMYFUNCTION("""COMPUTED_VALUE"""),45949.03663389029)</f>
        <v>45949.03663</v>
      </c>
      <c r="S1962" s="1" t="b">
        <f>IFERROR(__xludf.DUMMYFUNCTION("""COMPUTED_VALUE"""),TRUE)</f>
        <v>1</v>
      </c>
      <c r="T1962" s="1" t="b">
        <f>IFERROR(__xludf.DUMMYFUNCTION("""COMPUTED_VALUE"""),FALSE)</f>
        <v>0</v>
      </c>
      <c r="U1962" s="1" t="str">
        <f>IFERROR(__xludf.DUMMYFUNCTION("""COMPUTED_VALUE"""),"VALID")</f>
        <v>VALID</v>
      </c>
      <c r="V1962" s="1">
        <f>IFERROR(__xludf.DUMMYFUNCTION("""COMPUTED_VALUE"""),613.0)</f>
        <v>613</v>
      </c>
      <c r="W1962" s="1">
        <f>IFERROR(__xludf.DUMMYFUNCTION("""COMPUTED_VALUE"""),1004.0)</f>
        <v>1004</v>
      </c>
      <c r="X1962" s="1">
        <f>IFERROR(__xludf.DUMMYFUNCTION("""COMPUTED_VALUE"""),810.0)</f>
        <v>810</v>
      </c>
      <c r="Y1962" s="2"/>
      <c r="Z1962" s="2"/>
    </row>
    <row r="1963">
      <c r="A1963" s="1">
        <f>IFERROR(__xludf.DUMMYFUNCTION("""COMPUTED_VALUE"""),1962.0)</f>
        <v>1962</v>
      </c>
      <c r="B1963" s="1">
        <f>IFERROR(__xludf.DUMMYFUNCTION("""COMPUTED_VALUE"""),5519.0)</f>
        <v>5519</v>
      </c>
      <c r="C1963" s="2" t="str">
        <f>IFERROR(__xludf.DUMMYFUNCTION("""COMPUTED_VALUE"""),"KK Alex")</f>
        <v>KK Alex</v>
      </c>
      <c r="D1963" s="2" t="str">
        <f>IFERROR(__xludf.DUMMYFUNCTION("""COMPUTED_VALUE"""),"5KM OVERALL M")</f>
        <v>5KM OVERALL M</v>
      </c>
      <c r="E1963" s="1">
        <f>IFERROR(__xludf.DUMMYFUNCTION("""COMPUTED_VALUE"""),2.0)</f>
        <v>2</v>
      </c>
      <c r="F1963" s="1" t="str">
        <f>IFERROR(__xludf.DUMMYFUNCTION("""COMPUTED_VALUE"""),"Male")</f>
        <v>Male</v>
      </c>
      <c r="G1963" s="4" t="b">
        <f>IFERROR(__xludf.DUMMYFUNCTION("""COMPUTED_VALUE"""),TRUE)</f>
        <v>1</v>
      </c>
      <c r="H1963" s="4" t="b">
        <f>IFERROR(__xludf.DUMMYFUNCTION("""COMPUTED_VALUE"""),TRUE)</f>
        <v>1</v>
      </c>
      <c r="I1963" s="4">
        <f>IFERROR(__xludf.DUMMYFUNCTION("""COMPUTED_VALUE"""),0.2549440625)</f>
        <v>0.2549440625</v>
      </c>
      <c r="J1963" s="4">
        <f>IFERROR(__xludf.DUMMYFUNCTION("""COMPUTED_VALUE"""),45949.26993302315)</f>
        <v>45949.26993</v>
      </c>
      <c r="K1963" s="4" t="str">
        <f>IFERROR(__xludf.DUMMYFUNCTION("""COMPUTED_VALUE"""),"")</f>
        <v/>
      </c>
      <c r="L1963" s="4">
        <f>IFERROR(__xludf.DUMMYFUNCTION("""COMPUTED_VALUE"""),45949.28196679768)</f>
        <v>45949.28197</v>
      </c>
      <c r="M1963" s="1" t="str">
        <f>IFERROR(__xludf.DUMMYFUNCTION("""COMPUTED_VALUE"""),"RFID")</f>
        <v>RFID</v>
      </c>
      <c r="N1963" s="5">
        <f>IFERROR(__xludf.DUMMYFUNCTION("""COMPUTED_VALUE"""),0.005995583333333334)</f>
        <v>0.005995583333</v>
      </c>
      <c r="O1963" s="5" t="str">
        <f>IFERROR(__xludf.DUMMYFUNCTION("""COMPUTED_VALUE"""),"")</f>
        <v/>
      </c>
      <c r="P1963" s="5" t="str">
        <f>IFERROR(__xludf.DUMMYFUNCTION("""COMPUTED_VALUE"""),"")</f>
        <v/>
      </c>
      <c r="Q1963" s="5">
        <f>IFERROR(__xludf.DUMMYFUNCTION("""COMPUTED_VALUE"""),0.005404546296296297)</f>
        <v>0.005404546296</v>
      </c>
      <c r="R1963" s="4">
        <f>IFERROR(__xludf.DUMMYFUNCTION("""COMPUTED_VALUE"""),45949.02702273518)</f>
        <v>45949.02702</v>
      </c>
      <c r="S1963" s="1" t="b">
        <f>IFERROR(__xludf.DUMMYFUNCTION("""COMPUTED_VALUE"""),TRUE)</f>
        <v>1</v>
      </c>
      <c r="T1963" s="1" t="b">
        <f>IFERROR(__xludf.DUMMYFUNCTION("""COMPUTED_VALUE"""),FALSE)</f>
        <v>0</v>
      </c>
      <c r="U1963" s="1" t="str">
        <f>IFERROR(__xludf.DUMMYFUNCTION("""COMPUTED_VALUE"""),"VALID")</f>
        <v>VALID</v>
      </c>
      <c r="V1963" s="1">
        <f>IFERROR(__xludf.DUMMYFUNCTION("""COMPUTED_VALUE"""),249.0)</f>
        <v>249</v>
      </c>
      <c r="W1963" s="1">
        <f>IFERROR(__xludf.DUMMYFUNCTION("""COMPUTED_VALUE"""),385.0)</f>
        <v>385</v>
      </c>
      <c r="X1963" s="1">
        <f>IFERROR(__xludf.DUMMYFUNCTION("""COMPUTED_VALUE"""),332.0)</f>
        <v>332</v>
      </c>
      <c r="Y1963" s="2"/>
      <c r="Z1963" s="2"/>
    </row>
    <row r="1964">
      <c r="A1964" s="1">
        <f>IFERROR(__xludf.DUMMYFUNCTION("""COMPUTED_VALUE"""),1963.0)</f>
        <v>1963</v>
      </c>
      <c r="B1964" s="1">
        <f>IFERROR(__xludf.DUMMYFUNCTION("""COMPUTED_VALUE"""),5521.0)</f>
        <v>5521</v>
      </c>
      <c r="C1964" s="2" t="str">
        <f>IFERROR(__xludf.DUMMYFUNCTION("""COMPUTED_VALUE"""),"DARMA")</f>
        <v>DARMA</v>
      </c>
      <c r="D1964" s="2" t="str">
        <f>IFERROR(__xludf.DUMMYFUNCTION("""COMPUTED_VALUE"""),"5KM OVERALL M")</f>
        <v>5KM OVERALL M</v>
      </c>
      <c r="E1964" s="1">
        <f>IFERROR(__xludf.DUMMYFUNCTION("""COMPUTED_VALUE"""),2.0)</f>
        <v>2</v>
      </c>
      <c r="F1964" s="1" t="str">
        <f>IFERROR(__xludf.DUMMYFUNCTION("""COMPUTED_VALUE"""),"Male")</f>
        <v>Male</v>
      </c>
      <c r="G1964" s="4" t="b">
        <f>IFERROR(__xludf.DUMMYFUNCTION("""COMPUTED_VALUE"""),TRUE)</f>
        <v>1</v>
      </c>
      <c r="H1964" s="4" t="b">
        <f>IFERROR(__xludf.DUMMYFUNCTION("""COMPUTED_VALUE"""),TRUE)</f>
        <v>1</v>
      </c>
      <c r="I1964" s="4">
        <f>IFERROR(__xludf.DUMMYFUNCTION("""COMPUTED_VALUE"""),0.2549440625)</f>
        <v>0.2549440625</v>
      </c>
      <c r="J1964" s="4">
        <f>IFERROR(__xludf.DUMMYFUNCTION("""COMPUTED_VALUE"""),45949.272818364414)</f>
        <v>45949.27282</v>
      </c>
      <c r="K1964" s="4" t="str">
        <f>IFERROR(__xludf.DUMMYFUNCTION("""COMPUTED_VALUE"""),"")</f>
        <v/>
      </c>
      <c r="L1964" s="4">
        <f>IFERROR(__xludf.DUMMYFUNCTION("""COMPUTED_VALUE"""),45949.28480017039)</f>
        <v>45949.2848</v>
      </c>
      <c r="M1964" s="1" t="str">
        <f>IFERROR(__xludf.DUMMYFUNCTION("""COMPUTED_VALUE"""),"RFID")</f>
        <v>RFID</v>
      </c>
      <c r="N1964" s="5">
        <f>IFERROR(__xludf.DUMMYFUNCTION("""COMPUTED_VALUE"""),0.007149722222222221)</f>
        <v>0.007149722222</v>
      </c>
      <c r="O1964" s="5" t="str">
        <f>IFERROR(__xludf.DUMMYFUNCTION("""COMPUTED_VALUE"""),"")</f>
        <v/>
      </c>
      <c r="P1964" s="5" t="str">
        <f>IFERROR(__xludf.DUMMYFUNCTION("""COMPUTED_VALUE"""),"")</f>
        <v/>
      </c>
      <c r="Q1964" s="5">
        <f>IFERROR(__xludf.DUMMYFUNCTION("""COMPUTED_VALUE"""),0.005971222222222223)</f>
        <v>0.005971222222</v>
      </c>
      <c r="R1964" s="4">
        <f>IFERROR(__xludf.DUMMYFUNCTION("""COMPUTED_VALUE"""),45949.02985610789)</f>
        <v>45949.02986</v>
      </c>
      <c r="S1964" s="1" t="b">
        <f>IFERROR(__xludf.DUMMYFUNCTION("""COMPUTED_VALUE"""),TRUE)</f>
        <v>1</v>
      </c>
      <c r="T1964" s="1" t="b">
        <f>IFERROR(__xludf.DUMMYFUNCTION("""COMPUTED_VALUE"""),FALSE)</f>
        <v>0</v>
      </c>
      <c r="U1964" s="1" t="str">
        <f>IFERROR(__xludf.DUMMYFUNCTION("""COMPUTED_VALUE"""),"VALID")</f>
        <v>VALID</v>
      </c>
      <c r="V1964" s="1">
        <f>IFERROR(__xludf.DUMMYFUNCTION("""COMPUTED_VALUE"""),374.0)</f>
        <v>374</v>
      </c>
      <c r="W1964" s="1">
        <f>IFERROR(__xludf.DUMMYFUNCTION("""COMPUTED_VALUE"""),563.0)</f>
        <v>563</v>
      </c>
      <c r="X1964" s="1">
        <f>IFERROR(__xludf.DUMMYFUNCTION("""COMPUTED_VALUE"""),480.0)</f>
        <v>480</v>
      </c>
      <c r="Y1964" s="2"/>
      <c r="Z1964" s="2"/>
    </row>
    <row r="1965">
      <c r="A1965" s="1">
        <f>IFERROR(__xludf.DUMMYFUNCTION("""COMPUTED_VALUE"""),1964.0)</f>
        <v>1964</v>
      </c>
      <c r="B1965" s="1">
        <f>IFERROR(__xludf.DUMMYFUNCTION("""COMPUTED_VALUE"""),5523.0)</f>
        <v>5523</v>
      </c>
      <c r="C1965" s="2" t="str">
        <f>IFERROR(__xludf.DUMMYFUNCTION("""COMPUTED_VALUE"""),"Rafi NNY")</f>
        <v>Rafi NNY</v>
      </c>
      <c r="D1965" s="2" t="str">
        <f>IFERROR(__xludf.DUMMYFUNCTION("""COMPUTED_VALUE"""),"5KM OVERALL M")</f>
        <v>5KM OVERALL M</v>
      </c>
      <c r="E1965" s="1">
        <f>IFERROR(__xludf.DUMMYFUNCTION("""COMPUTED_VALUE"""),2.0)</f>
        <v>2</v>
      </c>
      <c r="F1965" s="1" t="str">
        <f>IFERROR(__xludf.DUMMYFUNCTION("""COMPUTED_VALUE"""),"Male")</f>
        <v>Male</v>
      </c>
      <c r="G1965" s="4" t="b">
        <f>IFERROR(__xludf.DUMMYFUNCTION("""COMPUTED_VALUE"""),TRUE)</f>
        <v>1</v>
      </c>
      <c r="H1965" s="4" t="b">
        <f>IFERROR(__xludf.DUMMYFUNCTION("""COMPUTED_VALUE"""),TRUE)</f>
        <v>1</v>
      </c>
      <c r="I1965" s="4">
        <f>IFERROR(__xludf.DUMMYFUNCTION("""COMPUTED_VALUE"""),0.2549440625)</f>
        <v>0.2549440625</v>
      </c>
      <c r="J1965" s="4">
        <f>IFERROR(__xludf.DUMMYFUNCTION("""COMPUTED_VALUE"""),45950.27989583334)</f>
        <v>45950.2799</v>
      </c>
      <c r="K1965" s="4" t="str">
        <f>IFERROR(__xludf.DUMMYFUNCTION("""COMPUTED_VALUE"""),"")</f>
        <v/>
      </c>
      <c r="L1965" s="4">
        <f>IFERROR(__xludf.DUMMYFUNCTION("""COMPUTED_VALUE"""),45949.29652586841)</f>
        <v>45949.29653</v>
      </c>
      <c r="M1965" s="1" t="str">
        <f>IFERROR(__xludf.DUMMYFUNCTION("""COMPUTED_VALUE"""),"RFID")</f>
        <v>RFID</v>
      </c>
      <c r="N1965" s="5">
        <f>IFERROR(__xludf.DUMMYFUNCTION("""COMPUTED_VALUE"""),0.009980708333333334)</f>
        <v>0.009980708333</v>
      </c>
      <c r="O1965" s="5" t="str">
        <f>IFERROR(__xludf.DUMMYFUNCTION("""COMPUTED_VALUE"""),"")</f>
        <v/>
      </c>
      <c r="P1965" s="5" t="str">
        <f>IFERROR(__xludf.DUMMYFUNCTION("""COMPUTED_VALUE"""),"")</f>
        <v/>
      </c>
      <c r="Q1965" s="5">
        <f>IFERROR(__xludf.DUMMYFUNCTION("""COMPUTED_VALUE"""),0.008316361111111111)</f>
        <v>0.008316361111</v>
      </c>
      <c r="R1965" s="4">
        <f>IFERROR(__xludf.DUMMYFUNCTION("""COMPUTED_VALUE"""),45949.04158180591)</f>
        <v>45949.04158</v>
      </c>
      <c r="S1965" s="1" t="b">
        <f>IFERROR(__xludf.DUMMYFUNCTION("""COMPUTED_VALUE"""),TRUE)</f>
        <v>1</v>
      </c>
      <c r="T1965" s="1" t="b">
        <f>IFERROR(__xludf.DUMMYFUNCTION("""COMPUTED_VALUE"""),FALSE)</f>
        <v>0</v>
      </c>
      <c r="U1965" s="1" t="str">
        <f>IFERROR(__xludf.DUMMYFUNCTION("""COMPUTED_VALUE"""),"VALID")</f>
        <v>VALID</v>
      </c>
      <c r="V1965" s="1">
        <f>IFERROR(__xludf.DUMMYFUNCTION("""COMPUTED_VALUE"""),750.0)</f>
        <v>750</v>
      </c>
      <c r="W1965" s="1">
        <f>IFERROR(__xludf.DUMMYFUNCTION("""COMPUTED_VALUE"""),1318.0)</f>
        <v>1318</v>
      </c>
      <c r="X1965" s="1">
        <f>IFERROR(__xludf.DUMMYFUNCTION("""COMPUTED_VALUE"""),1050.0)</f>
        <v>1050</v>
      </c>
      <c r="Y1965" s="2"/>
      <c r="Z1965" s="2" t="str">
        <f>IFERROR(__xludf.DUMMYFUNCTION("""COMPUTED_VALUE"""),"C")</f>
        <v>C</v>
      </c>
    </row>
    <row r="1966">
      <c r="A1966" s="1">
        <f>IFERROR(__xludf.DUMMYFUNCTION("""COMPUTED_VALUE"""),1965.0)</f>
        <v>1965</v>
      </c>
      <c r="B1966" s="1">
        <f>IFERROR(__xludf.DUMMYFUNCTION("""COMPUTED_VALUE"""),5526.0)</f>
        <v>5526</v>
      </c>
      <c r="C1966" s="2" t="str">
        <f>IFERROR(__xludf.DUMMYFUNCTION("""COMPUTED_VALUE"""),"Dandi.P")</f>
        <v>Dandi.P</v>
      </c>
      <c r="D1966" s="2" t="str">
        <f>IFERROR(__xludf.DUMMYFUNCTION("""COMPUTED_VALUE"""),"5KM OVERALL M")</f>
        <v>5KM OVERALL M</v>
      </c>
      <c r="E1966" s="1">
        <f>IFERROR(__xludf.DUMMYFUNCTION("""COMPUTED_VALUE"""),2.0)</f>
        <v>2</v>
      </c>
      <c r="F1966" s="1" t="str">
        <f>IFERROR(__xludf.DUMMYFUNCTION("""COMPUTED_VALUE"""),"Male")</f>
        <v>Male</v>
      </c>
      <c r="G1966" s="4" t="b">
        <f>IFERROR(__xludf.DUMMYFUNCTION("""COMPUTED_VALUE"""),TRUE)</f>
        <v>1</v>
      </c>
      <c r="H1966" s="4" t="b">
        <f>IFERROR(__xludf.DUMMYFUNCTION("""COMPUTED_VALUE"""),TRUE)</f>
        <v>1</v>
      </c>
      <c r="I1966" s="4">
        <f>IFERROR(__xludf.DUMMYFUNCTION("""COMPUTED_VALUE"""),0.2549440625)</f>
        <v>0.2549440625</v>
      </c>
      <c r="J1966" s="4">
        <f>IFERROR(__xludf.DUMMYFUNCTION("""COMPUTED_VALUE"""),45949.26438438753)</f>
        <v>45949.26438</v>
      </c>
      <c r="K1966" s="4" t="str">
        <f>IFERROR(__xludf.DUMMYFUNCTION("""COMPUTED_VALUE"""),"")</f>
        <v/>
      </c>
      <c r="L1966" s="4">
        <f>IFERROR(__xludf.DUMMYFUNCTION("""COMPUTED_VALUE"""),45949.27245011921)</f>
        <v>45949.27245</v>
      </c>
      <c r="M1966" s="1" t="str">
        <f>IFERROR(__xludf.DUMMYFUNCTION("""COMPUTED_VALUE"""),"RFID")</f>
        <v>RFID</v>
      </c>
      <c r="N1966" s="5">
        <f>IFERROR(__xludf.DUMMYFUNCTION("""COMPUTED_VALUE"""),0.00377612962962963)</f>
        <v>0.00377612963</v>
      </c>
      <c r="O1966" s="5" t="str">
        <f>IFERROR(__xludf.DUMMYFUNCTION("""COMPUTED_VALUE"""),"")</f>
        <v/>
      </c>
      <c r="P1966" s="5" t="str">
        <f>IFERROR(__xludf.DUMMYFUNCTION("""COMPUTED_VALUE"""),"")</f>
        <v/>
      </c>
      <c r="Q1966" s="5">
        <f>IFERROR(__xludf.DUMMYFUNCTION("""COMPUTED_VALUE"""),0.0035012106481481483)</f>
        <v>0.003501210648</v>
      </c>
      <c r="R1966" s="4">
        <f>IFERROR(__xludf.DUMMYFUNCTION("""COMPUTED_VALUE"""),45949.01750605671)</f>
        <v>45949.01751</v>
      </c>
      <c r="S1966" s="1" t="b">
        <f>IFERROR(__xludf.DUMMYFUNCTION("""COMPUTED_VALUE"""),TRUE)</f>
        <v>1</v>
      </c>
      <c r="T1966" s="1" t="b">
        <f>IFERROR(__xludf.DUMMYFUNCTION("""COMPUTED_VALUE"""),FALSE)</f>
        <v>0</v>
      </c>
      <c r="U1966" s="1" t="str">
        <f>IFERROR(__xludf.DUMMYFUNCTION("""COMPUTED_VALUE"""),"VALID")</f>
        <v>VALID</v>
      </c>
      <c r="V1966" s="1">
        <f>IFERROR(__xludf.DUMMYFUNCTION("""COMPUTED_VALUE"""),30.0)</f>
        <v>30</v>
      </c>
      <c r="W1966" s="1">
        <f>IFERROR(__xludf.DUMMYFUNCTION("""COMPUTED_VALUE"""),45.0)</f>
        <v>45</v>
      </c>
      <c r="X1966" s="1">
        <f>IFERROR(__xludf.DUMMYFUNCTION("""COMPUTED_VALUE"""),43.0)</f>
        <v>43</v>
      </c>
      <c r="Y1966" s="2"/>
      <c r="Z1966" s="2"/>
    </row>
    <row r="1967">
      <c r="A1967" s="1">
        <f>IFERROR(__xludf.DUMMYFUNCTION("""COMPUTED_VALUE"""),1966.0)</f>
        <v>1966</v>
      </c>
      <c r="B1967" s="1">
        <f>IFERROR(__xludf.DUMMYFUNCTION("""COMPUTED_VALUE"""),5527.0)</f>
        <v>5527</v>
      </c>
      <c r="C1967" s="2" t="str">
        <f>IFERROR(__xludf.DUMMYFUNCTION("""COMPUTED_VALUE"""),"M. Fajar")</f>
        <v>M. Fajar</v>
      </c>
      <c r="D1967" s="2" t="str">
        <f>IFERROR(__xludf.DUMMYFUNCTION("""COMPUTED_VALUE"""),"5KM OVERALL M")</f>
        <v>5KM OVERALL M</v>
      </c>
      <c r="E1967" s="1">
        <f>IFERROR(__xludf.DUMMYFUNCTION("""COMPUTED_VALUE"""),2.0)</f>
        <v>2</v>
      </c>
      <c r="F1967" s="1" t="str">
        <f>IFERROR(__xludf.DUMMYFUNCTION("""COMPUTED_VALUE"""),"Male")</f>
        <v>Male</v>
      </c>
      <c r="G1967" s="4" t="b">
        <f>IFERROR(__xludf.DUMMYFUNCTION("""COMPUTED_VALUE"""),TRUE)</f>
        <v>1</v>
      </c>
      <c r="H1967" s="4" t="b">
        <f>IFERROR(__xludf.DUMMYFUNCTION("""COMPUTED_VALUE"""),FALSE)</f>
        <v>0</v>
      </c>
      <c r="I1967" s="4">
        <f>IFERROR(__xludf.DUMMYFUNCTION("""COMPUTED_VALUE"""),0.2549440625)</f>
        <v>0.2549440625</v>
      </c>
      <c r="J1967" s="4">
        <f>IFERROR(__xludf.DUMMYFUNCTION("""COMPUTED_VALUE"""),45949.26856140764)</f>
        <v>45949.26856</v>
      </c>
      <c r="K1967" s="4" t="str">
        <f>IFERROR(__xludf.DUMMYFUNCTION("""COMPUTED_VALUE"""),"")</f>
        <v/>
      </c>
      <c r="L1967" s="4">
        <f>IFERROR(__xludf.DUMMYFUNCTION("""COMPUTED_VALUE"""),45949.27947725898)</f>
        <v>45949.27948</v>
      </c>
      <c r="M1967" s="1" t="str">
        <f>IFERROR(__xludf.DUMMYFUNCTION("""COMPUTED_VALUE"""),"RFID")</f>
        <v>RFID</v>
      </c>
      <c r="N1967" s="5">
        <f>IFERROR(__xludf.DUMMYFUNCTION("""COMPUTED_VALUE"""),0.005446939814814815)</f>
        <v>0.005446939815</v>
      </c>
      <c r="O1967" s="5" t="str">
        <f>IFERROR(__xludf.DUMMYFUNCTION("""COMPUTED_VALUE"""),"")</f>
        <v/>
      </c>
      <c r="P1967" s="5" t="str">
        <f>IFERROR(__xludf.DUMMYFUNCTION("""COMPUTED_VALUE"""),"")</f>
        <v/>
      </c>
      <c r="Q1967" s="5">
        <f>IFERROR(__xludf.DUMMYFUNCTION("""COMPUTED_VALUE"""),0.004906638888888889)</f>
        <v>0.004906638889</v>
      </c>
      <c r="R1967" s="4">
        <f>IFERROR(__xludf.DUMMYFUNCTION("""COMPUTED_VALUE"""),45949.024533196476)</f>
        <v>45949.02453</v>
      </c>
      <c r="S1967" s="1" t="b">
        <f>IFERROR(__xludf.DUMMYFUNCTION("""COMPUTED_VALUE"""),TRUE)</f>
        <v>1</v>
      </c>
      <c r="T1967" s="1" t="b">
        <f>IFERROR(__xludf.DUMMYFUNCTION("""COMPUTED_VALUE"""),FALSE)</f>
        <v>0</v>
      </c>
      <c r="U1967" s="1" t="str">
        <f>IFERROR(__xludf.DUMMYFUNCTION("""COMPUTED_VALUE"""),"VALID")</f>
        <v>VALID</v>
      </c>
      <c r="V1967" s="1">
        <f>IFERROR(__xludf.DUMMYFUNCTION("""COMPUTED_VALUE"""),172.0)</f>
        <v>172</v>
      </c>
      <c r="W1967" s="1">
        <f>IFERROR(__xludf.DUMMYFUNCTION("""COMPUTED_VALUE"""),264.0)</f>
        <v>264</v>
      </c>
      <c r="X1967" s="1">
        <f>IFERROR(__xludf.DUMMYFUNCTION("""COMPUTED_VALUE"""),231.0)</f>
        <v>231</v>
      </c>
      <c r="Y1967" s="2"/>
      <c r="Z1967" s="2"/>
    </row>
    <row r="1968">
      <c r="A1968" s="1">
        <f>IFERROR(__xludf.DUMMYFUNCTION("""COMPUTED_VALUE"""),1967.0)</f>
        <v>1967</v>
      </c>
      <c r="B1968" s="1">
        <f>IFERROR(__xludf.DUMMYFUNCTION("""COMPUTED_VALUE"""),5528.0)</f>
        <v>5528</v>
      </c>
      <c r="C1968" s="2" t="str">
        <f>IFERROR(__xludf.DUMMYFUNCTION("""COMPUTED_VALUE"""),"SuperMrOyon")</f>
        <v>SuperMrOyon</v>
      </c>
      <c r="D1968" s="2" t="str">
        <f>IFERROR(__xludf.DUMMYFUNCTION("""COMPUTED_VALUE"""),"5KM OVERALL M")</f>
        <v>5KM OVERALL M</v>
      </c>
      <c r="E1968" s="1">
        <f>IFERROR(__xludf.DUMMYFUNCTION("""COMPUTED_VALUE"""),2.0)</f>
        <v>2</v>
      </c>
      <c r="F1968" s="1" t="str">
        <f>IFERROR(__xludf.DUMMYFUNCTION("""COMPUTED_VALUE"""),"Male")</f>
        <v>Male</v>
      </c>
      <c r="G1968" s="4" t="str">
        <f>IFERROR(__xludf.DUMMYFUNCTION("""COMPUTED_VALUE"""),"")</f>
        <v/>
      </c>
      <c r="H1968" s="4" t="b">
        <f>IFERROR(__xludf.DUMMYFUNCTION("""COMPUTED_VALUE"""),FALSE)</f>
        <v>0</v>
      </c>
      <c r="I1968" s="4">
        <f>IFERROR(__xludf.DUMMYFUNCTION("""COMPUTED_VALUE"""),0.2549440625)</f>
        <v>0.2549440625</v>
      </c>
      <c r="J1968" s="4" t="str">
        <f>IFERROR(__xludf.DUMMYFUNCTION("""COMPUTED_VALUE"""),"")</f>
        <v/>
      </c>
      <c r="K1968" s="4" t="str">
        <f>IFERROR(__xludf.DUMMYFUNCTION("""COMPUTED_VALUE"""),"")</f>
        <v/>
      </c>
      <c r="L1968" s="4" t="str">
        <f>IFERROR(__xludf.DUMMYFUNCTION("""COMPUTED_VALUE"""),"")</f>
        <v/>
      </c>
      <c r="M1968" s="1" t="str">
        <f>IFERROR(__xludf.DUMMYFUNCTION("""COMPUTED_VALUE"""),"RFID")</f>
        <v>RFID</v>
      </c>
      <c r="N1968" s="5" t="str">
        <f>IFERROR(__xludf.DUMMYFUNCTION("""COMPUTED_VALUE"""),"")</f>
        <v/>
      </c>
      <c r="O1968" s="5" t="str">
        <f>IFERROR(__xludf.DUMMYFUNCTION("""COMPUTED_VALUE"""),"")</f>
        <v/>
      </c>
      <c r="P1968" s="5" t="str">
        <f>IFERROR(__xludf.DUMMYFUNCTION("""COMPUTED_VALUE"""),"")</f>
        <v/>
      </c>
      <c r="Q1968" s="5" t="str">
        <f>IFERROR(__xludf.DUMMYFUNCTION("""COMPUTED_VALUE"""),"")</f>
        <v/>
      </c>
      <c r="R1968" s="4" t="str">
        <f>IFERROR(__xludf.DUMMYFUNCTION("""COMPUTED_VALUE"""),"")</f>
        <v/>
      </c>
      <c r="S1968" s="1" t="b">
        <f>IFERROR(__xludf.DUMMYFUNCTION("""COMPUTED_VALUE"""),FALSE)</f>
        <v>0</v>
      </c>
      <c r="T1968" s="1" t="b">
        <f>IFERROR(__xludf.DUMMYFUNCTION("""COMPUTED_VALUE"""),FALSE)</f>
        <v>0</v>
      </c>
      <c r="U1968" s="1" t="str">
        <f>IFERROR(__xludf.DUMMYFUNCTION("""COMPUTED_VALUE"""),"DSQ")</f>
        <v>DSQ</v>
      </c>
      <c r="V1968" s="1" t="str">
        <f>IFERROR(__xludf.DUMMYFUNCTION("""COMPUTED_VALUE"""),"DSQ")</f>
        <v>DSQ</v>
      </c>
      <c r="W1968" s="1" t="str">
        <f>IFERROR(__xludf.DUMMYFUNCTION("""COMPUTED_VALUE"""),"DSQ")</f>
        <v>DSQ</v>
      </c>
      <c r="X1968" s="1" t="str">
        <f>IFERROR(__xludf.DUMMYFUNCTION("""COMPUTED_VALUE"""),"DSQ")</f>
        <v>DSQ</v>
      </c>
      <c r="Y1968" s="2"/>
      <c r="Z1968" s="2" t="str">
        <f>IFERROR(__xludf.DUMMYFUNCTION("""COMPUTED_VALUE"""),"")</f>
        <v/>
      </c>
    </row>
    <row r="1969">
      <c r="A1969" s="1">
        <f>IFERROR(__xludf.DUMMYFUNCTION("""COMPUTED_VALUE"""),1968.0)</f>
        <v>1968</v>
      </c>
      <c r="B1969" s="1">
        <f>IFERROR(__xludf.DUMMYFUNCTION("""COMPUTED_VALUE"""),5529.0)</f>
        <v>5529</v>
      </c>
      <c r="C1969" s="2" t="str">
        <f>IFERROR(__xludf.DUMMYFUNCTION("""COMPUTED_VALUE"""),"Bayu yawyaw")</f>
        <v>Bayu yawyaw</v>
      </c>
      <c r="D1969" s="2" t="str">
        <f>IFERROR(__xludf.DUMMYFUNCTION("""COMPUTED_VALUE"""),"5KM OVERALL M")</f>
        <v>5KM OVERALL M</v>
      </c>
      <c r="E1969" s="1">
        <f>IFERROR(__xludf.DUMMYFUNCTION("""COMPUTED_VALUE"""),2.0)</f>
        <v>2</v>
      </c>
      <c r="F1969" s="1" t="str">
        <f>IFERROR(__xludf.DUMMYFUNCTION("""COMPUTED_VALUE"""),"Male")</f>
        <v>Male</v>
      </c>
      <c r="G1969" s="4" t="b">
        <f>IFERROR(__xludf.DUMMYFUNCTION("""COMPUTED_VALUE"""),TRUE)</f>
        <v>1</v>
      </c>
      <c r="H1969" s="4" t="b">
        <f>IFERROR(__xludf.DUMMYFUNCTION("""COMPUTED_VALUE"""),FALSE)</f>
        <v>0</v>
      </c>
      <c r="I1969" s="4">
        <f>IFERROR(__xludf.DUMMYFUNCTION("""COMPUTED_VALUE"""),0.2549440625)</f>
        <v>0.2549440625</v>
      </c>
      <c r="J1969" s="4">
        <f>IFERROR(__xludf.DUMMYFUNCTION("""COMPUTED_VALUE"""),45949.280231609366)</f>
        <v>45949.28023</v>
      </c>
      <c r="K1969" s="4" t="str">
        <f>IFERROR(__xludf.DUMMYFUNCTION("""COMPUTED_VALUE"""),"")</f>
        <v/>
      </c>
      <c r="L1969" s="4">
        <f>IFERROR(__xludf.DUMMYFUNCTION("""COMPUTED_VALUE"""),45949.298557128604)</f>
        <v>45949.29856</v>
      </c>
      <c r="M1969" s="1" t="str">
        <f>IFERROR(__xludf.DUMMYFUNCTION("""COMPUTED_VALUE"""),"RFID")</f>
        <v>RFID</v>
      </c>
      <c r="N1969" s="5">
        <f>IFERROR(__xludf.DUMMYFUNCTION("""COMPUTED_VALUE"""),0.01011501851851852)</f>
        <v>0.01011501852</v>
      </c>
      <c r="O1969" s="5" t="str">
        <f>IFERROR(__xludf.DUMMYFUNCTION("""COMPUTED_VALUE"""),"")</f>
        <v/>
      </c>
      <c r="P1969" s="5" t="str">
        <f>IFERROR(__xludf.DUMMYFUNCTION("""COMPUTED_VALUE"""),"")</f>
        <v/>
      </c>
      <c r="Q1969" s="5">
        <f>IFERROR(__xludf.DUMMYFUNCTION("""COMPUTED_VALUE"""),0.008722613425925925)</f>
        <v>0.008722613426</v>
      </c>
      <c r="R1969" s="4">
        <f>IFERROR(__xludf.DUMMYFUNCTION("""COMPUTED_VALUE"""),45949.043613066104)</f>
        <v>45949.04361</v>
      </c>
      <c r="S1969" s="1" t="b">
        <f>IFERROR(__xludf.DUMMYFUNCTION("""COMPUTED_VALUE"""),TRUE)</f>
        <v>1</v>
      </c>
      <c r="T1969" s="1" t="b">
        <f>IFERROR(__xludf.DUMMYFUNCTION("""COMPUTED_VALUE"""),FALSE)</f>
        <v>0</v>
      </c>
      <c r="U1969" s="1" t="str">
        <f>IFERROR(__xludf.DUMMYFUNCTION("""COMPUTED_VALUE"""),"VALID")</f>
        <v>VALID</v>
      </c>
      <c r="V1969" s="1">
        <f>IFERROR(__xludf.DUMMYFUNCTION("""COMPUTED_VALUE"""),770.0)</f>
        <v>770</v>
      </c>
      <c r="W1969" s="1">
        <f>IFERROR(__xludf.DUMMYFUNCTION("""COMPUTED_VALUE"""),1383.0)</f>
        <v>1383</v>
      </c>
      <c r="X1969" s="1">
        <f>IFERROR(__xludf.DUMMYFUNCTION("""COMPUTED_VALUE"""),1123.0)</f>
        <v>1123</v>
      </c>
      <c r="Y1969" s="2"/>
      <c r="Z1969" s="2"/>
    </row>
    <row r="1970">
      <c r="A1970" s="1">
        <f>IFERROR(__xludf.DUMMYFUNCTION("""COMPUTED_VALUE"""),1969.0)</f>
        <v>1969</v>
      </c>
      <c r="B1970" s="1">
        <f>IFERROR(__xludf.DUMMYFUNCTION("""COMPUTED_VALUE"""),5530.0)</f>
        <v>5530</v>
      </c>
      <c r="C1970" s="2" t="str">
        <f>IFERROR(__xludf.DUMMYFUNCTION("""COMPUTED_VALUE"""),"Muhammad Balya")</f>
        <v>Muhammad Balya</v>
      </c>
      <c r="D1970" s="2" t="str">
        <f>IFERROR(__xludf.DUMMYFUNCTION("""COMPUTED_VALUE"""),"5KM OVERALL M")</f>
        <v>5KM OVERALL M</v>
      </c>
      <c r="E1970" s="1">
        <f>IFERROR(__xludf.DUMMYFUNCTION("""COMPUTED_VALUE"""),2.0)</f>
        <v>2</v>
      </c>
      <c r="F1970" s="1" t="str">
        <f>IFERROR(__xludf.DUMMYFUNCTION("""COMPUTED_VALUE"""),"Male")</f>
        <v>Male</v>
      </c>
      <c r="G1970" s="4" t="b">
        <f>IFERROR(__xludf.DUMMYFUNCTION("""COMPUTED_VALUE"""),TRUE)</f>
        <v>1</v>
      </c>
      <c r="H1970" s="4" t="b">
        <f>IFERROR(__xludf.DUMMYFUNCTION("""COMPUTED_VALUE"""),TRUE)</f>
        <v>1</v>
      </c>
      <c r="I1970" s="4">
        <f>IFERROR(__xludf.DUMMYFUNCTION("""COMPUTED_VALUE"""),0.2549440625)</f>
        <v>0.2549440625</v>
      </c>
      <c r="J1970" s="4">
        <f>IFERROR(__xludf.DUMMYFUNCTION("""COMPUTED_VALUE"""),45949.263599601276)</f>
        <v>45949.2636</v>
      </c>
      <c r="K1970" s="4" t="str">
        <f>IFERROR(__xludf.DUMMYFUNCTION("""COMPUTED_VALUE"""),"")</f>
        <v/>
      </c>
      <c r="L1970" s="4">
        <f>IFERROR(__xludf.DUMMYFUNCTION("""COMPUTED_VALUE"""),45949.271098790516)</f>
        <v>45949.2711</v>
      </c>
      <c r="M1970" s="1" t="str">
        <f>IFERROR(__xludf.DUMMYFUNCTION("""COMPUTED_VALUE"""),"RFID")</f>
        <v>RFID</v>
      </c>
      <c r="N1970" s="5">
        <f>IFERROR(__xludf.DUMMYFUNCTION("""COMPUTED_VALUE"""),0.0034622175925925923)</f>
        <v>0.003462217593</v>
      </c>
      <c r="O1970" s="5" t="str">
        <f>IFERROR(__xludf.DUMMYFUNCTION("""COMPUTED_VALUE"""),"")</f>
        <v/>
      </c>
      <c r="P1970" s="5" t="str">
        <f>IFERROR(__xludf.DUMMYFUNCTION("""COMPUTED_VALUE"""),"")</f>
        <v/>
      </c>
      <c r="Q1970" s="5">
        <f>IFERROR(__xludf.DUMMYFUNCTION("""COMPUTED_VALUE"""),0.0032309467592592594)</f>
        <v>0.003230946759</v>
      </c>
      <c r="R1970" s="4">
        <f>IFERROR(__xludf.DUMMYFUNCTION("""COMPUTED_VALUE"""),45949.016154728015)</f>
        <v>45949.01615</v>
      </c>
      <c r="S1970" s="1" t="b">
        <f>IFERROR(__xludf.DUMMYFUNCTION("""COMPUTED_VALUE"""),TRUE)</f>
        <v>1</v>
      </c>
      <c r="T1970" s="1" t="b">
        <f>IFERROR(__xludf.DUMMYFUNCTION("""COMPUTED_VALUE"""),FALSE)</f>
        <v>0</v>
      </c>
      <c r="U1970" s="1" t="str">
        <f>IFERROR(__xludf.DUMMYFUNCTION("""COMPUTED_VALUE"""),"VALID")</f>
        <v>VALID</v>
      </c>
      <c r="V1970" s="1">
        <f>IFERROR(__xludf.DUMMYFUNCTION("""COMPUTED_VALUE"""),17.0)</f>
        <v>17</v>
      </c>
      <c r="W1970" s="1">
        <f>IFERROR(__xludf.DUMMYFUNCTION("""COMPUTED_VALUE"""),25.0)</f>
        <v>25</v>
      </c>
      <c r="X1970" s="1">
        <f>IFERROR(__xludf.DUMMYFUNCTION("""COMPUTED_VALUE"""),25.0)</f>
        <v>25</v>
      </c>
      <c r="Y1970" s="2"/>
      <c r="Z1970" s="2"/>
    </row>
    <row r="1971">
      <c r="A1971" s="1">
        <f>IFERROR(__xludf.DUMMYFUNCTION("""COMPUTED_VALUE"""),1970.0)</f>
        <v>1970</v>
      </c>
      <c r="B1971" s="1">
        <f>IFERROR(__xludf.DUMMYFUNCTION("""COMPUTED_VALUE"""),5531.0)</f>
        <v>5531</v>
      </c>
      <c r="C1971" s="2" t="str">
        <f>IFERROR(__xludf.DUMMYFUNCTION("""COMPUTED_VALUE"""),"BUDI_S13")</f>
        <v>BUDI_S13</v>
      </c>
      <c r="D1971" s="2" t="str">
        <f>IFERROR(__xludf.DUMMYFUNCTION("""COMPUTED_VALUE"""),"5KM OVERALL M")</f>
        <v>5KM OVERALL M</v>
      </c>
      <c r="E1971" s="1">
        <f>IFERROR(__xludf.DUMMYFUNCTION("""COMPUTED_VALUE"""),2.0)</f>
        <v>2</v>
      </c>
      <c r="F1971" s="1" t="str">
        <f>IFERROR(__xludf.DUMMYFUNCTION("""COMPUTED_VALUE"""),"Male")</f>
        <v>Male</v>
      </c>
      <c r="G1971" s="4" t="b">
        <f>IFERROR(__xludf.DUMMYFUNCTION("""COMPUTED_VALUE"""),TRUE)</f>
        <v>1</v>
      </c>
      <c r="H1971" s="4" t="b">
        <f>IFERROR(__xludf.DUMMYFUNCTION("""COMPUTED_VALUE"""),FALSE)</f>
        <v>0</v>
      </c>
      <c r="I1971" s="4">
        <f>IFERROR(__xludf.DUMMYFUNCTION("""COMPUTED_VALUE"""),0.2549440625)</f>
        <v>0.2549440625</v>
      </c>
      <c r="J1971" s="4">
        <f>IFERROR(__xludf.DUMMYFUNCTION("""COMPUTED_VALUE"""),45949.27656141927)</f>
        <v>45949.27656</v>
      </c>
      <c r="K1971" s="4" t="str">
        <f>IFERROR(__xludf.DUMMYFUNCTION("""COMPUTED_VALUE"""),"")</f>
        <v/>
      </c>
      <c r="L1971" s="4">
        <f>IFERROR(__xludf.DUMMYFUNCTION("""COMPUTED_VALUE"""),45949.29149462058)</f>
        <v>45949.29149</v>
      </c>
      <c r="M1971" s="1" t="str">
        <f>IFERROR(__xludf.DUMMYFUNCTION("""COMPUTED_VALUE"""),"RFID")</f>
        <v>RFID</v>
      </c>
      <c r="N1971" s="5">
        <f>IFERROR(__xludf.DUMMYFUNCTION("""COMPUTED_VALUE"""),0.008646944444444445)</f>
        <v>0.008646944444</v>
      </c>
      <c r="O1971" s="5" t="str">
        <f>IFERROR(__xludf.DUMMYFUNCTION("""COMPUTED_VALUE"""),"")</f>
        <v/>
      </c>
      <c r="P1971" s="5" t="str">
        <f>IFERROR(__xludf.DUMMYFUNCTION("""COMPUTED_VALUE"""),"")</f>
        <v/>
      </c>
      <c r="Q1971" s="5">
        <f>IFERROR(__xludf.DUMMYFUNCTION("""COMPUTED_VALUE"""),0.00731011111111111)</f>
        <v>0.007310111111</v>
      </c>
      <c r="R1971" s="4">
        <f>IFERROR(__xludf.DUMMYFUNCTION("""COMPUTED_VALUE"""),45949.03655055808)</f>
        <v>45949.03655</v>
      </c>
      <c r="S1971" s="1" t="b">
        <f>IFERROR(__xludf.DUMMYFUNCTION("""COMPUTED_VALUE"""),TRUE)</f>
        <v>1</v>
      </c>
      <c r="T1971" s="1" t="b">
        <f>IFERROR(__xludf.DUMMYFUNCTION("""COMPUTED_VALUE"""),FALSE)</f>
        <v>0</v>
      </c>
      <c r="U1971" s="1" t="str">
        <f>IFERROR(__xludf.DUMMYFUNCTION("""COMPUTED_VALUE"""),"VALID")</f>
        <v>VALID</v>
      </c>
      <c r="V1971" s="1">
        <f>IFERROR(__xludf.DUMMYFUNCTION("""COMPUTED_VALUE"""),612.0)</f>
        <v>612</v>
      </c>
      <c r="W1971" s="1">
        <f>IFERROR(__xludf.DUMMYFUNCTION("""COMPUTED_VALUE"""),997.0)</f>
        <v>997</v>
      </c>
      <c r="X1971" s="1">
        <f>IFERROR(__xludf.DUMMYFUNCTION("""COMPUTED_VALUE"""),809.0)</f>
        <v>809</v>
      </c>
      <c r="Y1971" s="2"/>
      <c r="Z1971" s="2"/>
    </row>
    <row r="1972">
      <c r="A1972" s="1">
        <f>IFERROR(__xludf.DUMMYFUNCTION("""COMPUTED_VALUE"""),1971.0)</f>
        <v>1971</v>
      </c>
      <c r="B1972" s="1">
        <f>IFERROR(__xludf.DUMMYFUNCTION("""COMPUTED_VALUE"""),5533.0)</f>
        <v>5533</v>
      </c>
      <c r="C1972" s="2" t="str">
        <f>IFERROR(__xludf.DUMMYFUNCTION("""COMPUTED_VALUE"""),"Mamasa")</f>
        <v>Mamasa</v>
      </c>
      <c r="D1972" s="2" t="str">
        <f>IFERROR(__xludf.DUMMYFUNCTION("""COMPUTED_VALUE"""),"5KM OVERALL M")</f>
        <v>5KM OVERALL M</v>
      </c>
      <c r="E1972" s="1">
        <f>IFERROR(__xludf.DUMMYFUNCTION("""COMPUTED_VALUE"""),2.0)</f>
        <v>2</v>
      </c>
      <c r="F1972" s="1" t="str">
        <f>IFERROR(__xludf.DUMMYFUNCTION("""COMPUTED_VALUE"""),"Male")</f>
        <v>Male</v>
      </c>
      <c r="G1972" s="4" t="b">
        <f>IFERROR(__xludf.DUMMYFUNCTION("""COMPUTED_VALUE"""),TRUE)</f>
        <v>1</v>
      </c>
      <c r="H1972" s="4" t="b">
        <f>IFERROR(__xludf.DUMMYFUNCTION("""COMPUTED_VALUE"""),TRUE)</f>
        <v>1</v>
      </c>
      <c r="I1972" s="4">
        <f>IFERROR(__xludf.DUMMYFUNCTION("""COMPUTED_VALUE"""),0.2549440625)</f>
        <v>0.2549440625</v>
      </c>
      <c r="J1972" s="4">
        <f>IFERROR(__xludf.DUMMYFUNCTION("""COMPUTED_VALUE"""),45949.26920378479)</f>
        <v>45949.2692</v>
      </c>
      <c r="K1972" s="4" t="str">
        <f>IFERROR(__xludf.DUMMYFUNCTION("""COMPUTED_VALUE"""),"")</f>
        <v/>
      </c>
      <c r="L1972" s="4">
        <f>IFERROR(__xludf.DUMMYFUNCTION("""COMPUTED_VALUE"""),45949.28108838717)</f>
        <v>45949.28109</v>
      </c>
      <c r="M1972" s="1" t="str">
        <f>IFERROR(__xludf.DUMMYFUNCTION("""COMPUTED_VALUE"""),"RFID")</f>
        <v>RFID</v>
      </c>
      <c r="N1972" s="5">
        <f>IFERROR(__xludf.DUMMYFUNCTION("""COMPUTED_VALUE"""),0.0057038888888888886)</f>
        <v>0.005703888889</v>
      </c>
      <c r="O1972" s="5" t="str">
        <f>IFERROR(__xludf.DUMMYFUNCTION("""COMPUTED_VALUE"""),"")</f>
        <v/>
      </c>
      <c r="P1972" s="5" t="str">
        <f>IFERROR(__xludf.DUMMYFUNCTION("""COMPUTED_VALUE"""),"")</f>
        <v/>
      </c>
      <c r="Q1972" s="5">
        <f>IFERROR(__xludf.DUMMYFUNCTION("""COMPUTED_VALUE"""),0.0052288657407407405)</f>
        <v>0.005228865741</v>
      </c>
      <c r="R1972" s="4">
        <f>IFERROR(__xludf.DUMMYFUNCTION("""COMPUTED_VALUE"""),45949.02614432467)</f>
        <v>45949.02614</v>
      </c>
      <c r="S1972" s="1" t="b">
        <f>IFERROR(__xludf.DUMMYFUNCTION("""COMPUTED_VALUE"""),TRUE)</f>
        <v>1</v>
      </c>
      <c r="T1972" s="1" t="b">
        <f>IFERROR(__xludf.DUMMYFUNCTION("""COMPUTED_VALUE"""),FALSE)</f>
        <v>0</v>
      </c>
      <c r="U1972" s="1" t="str">
        <f>IFERROR(__xludf.DUMMYFUNCTION("""COMPUTED_VALUE"""),"VALID")</f>
        <v>VALID</v>
      </c>
      <c r="V1972" s="1">
        <f>IFERROR(__xludf.DUMMYFUNCTION("""COMPUTED_VALUE"""),223.0)</f>
        <v>223</v>
      </c>
      <c r="W1972" s="1">
        <f>IFERROR(__xludf.DUMMYFUNCTION("""COMPUTED_VALUE"""),342.0)</f>
        <v>342</v>
      </c>
      <c r="X1972" s="1">
        <f>IFERROR(__xludf.DUMMYFUNCTION("""COMPUTED_VALUE"""),300.0)</f>
        <v>300</v>
      </c>
      <c r="Y1972" s="2"/>
      <c r="Z1972" s="2"/>
    </row>
    <row r="1973">
      <c r="A1973" s="1">
        <f>IFERROR(__xludf.DUMMYFUNCTION("""COMPUTED_VALUE"""),1972.0)</f>
        <v>1972</v>
      </c>
      <c r="B1973" s="1">
        <f>IFERROR(__xludf.DUMMYFUNCTION("""COMPUTED_VALUE"""),5534.0)</f>
        <v>5534</v>
      </c>
      <c r="C1973" s="2" t="str">
        <f>IFERROR(__xludf.DUMMYFUNCTION("""COMPUTED_VALUE"""),"VINCENT")</f>
        <v>VINCENT</v>
      </c>
      <c r="D1973" s="2" t="str">
        <f>IFERROR(__xludf.DUMMYFUNCTION("""COMPUTED_VALUE"""),"5KM OVERALL M")</f>
        <v>5KM OVERALL M</v>
      </c>
      <c r="E1973" s="1">
        <f>IFERROR(__xludf.DUMMYFUNCTION("""COMPUTED_VALUE"""),2.0)</f>
        <v>2</v>
      </c>
      <c r="F1973" s="1" t="str">
        <f>IFERROR(__xludf.DUMMYFUNCTION("""COMPUTED_VALUE"""),"Male")</f>
        <v>Male</v>
      </c>
      <c r="G1973" s="4" t="b">
        <f>IFERROR(__xludf.DUMMYFUNCTION("""COMPUTED_VALUE"""),TRUE)</f>
        <v>1</v>
      </c>
      <c r="H1973" s="4" t="b">
        <f>IFERROR(__xludf.DUMMYFUNCTION("""COMPUTED_VALUE"""),FALSE)</f>
        <v>0</v>
      </c>
      <c r="I1973" s="4">
        <f>IFERROR(__xludf.DUMMYFUNCTION("""COMPUTED_VALUE"""),0.2549440625)</f>
        <v>0.2549440625</v>
      </c>
      <c r="J1973" s="4">
        <f>IFERROR(__xludf.DUMMYFUNCTION("""COMPUTED_VALUE"""),45949.268419064734)</f>
        <v>45949.26842</v>
      </c>
      <c r="K1973" s="4" t="str">
        <f>IFERROR(__xludf.DUMMYFUNCTION("""COMPUTED_VALUE"""),"")</f>
        <v/>
      </c>
      <c r="L1973" s="4">
        <f>IFERROR(__xludf.DUMMYFUNCTION("""COMPUTED_VALUE"""),45949.27756058995)</f>
        <v>45949.27756</v>
      </c>
      <c r="M1973" s="1" t="str">
        <f>IFERROR(__xludf.DUMMYFUNCTION("""COMPUTED_VALUE"""),"RFID")</f>
        <v>RFID</v>
      </c>
      <c r="N1973" s="5">
        <f>IFERROR(__xludf.DUMMYFUNCTION("""COMPUTED_VALUE"""),0.005390000000000001)</f>
        <v>0.00539</v>
      </c>
      <c r="O1973" s="5" t="str">
        <f>IFERROR(__xludf.DUMMYFUNCTION("""COMPUTED_VALUE"""),"")</f>
        <v/>
      </c>
      <c r="P1973" s="5" t="str">
        <f>IFERROR(__xludf.DUMMYFUNCTION("""COMPUTED_VALUE"""),"")</f>
        <v/>
      </c>
      <c r="Q1973" s="5">
        <f>IFERROR(__xludf.DUMMYFUNCTION("""COMPUTED_VALUE"""),0.004523305555555556)</f>
        <v>0.004523305556</v>
      </c>
      <c r="R1973" s="4">
        <f>IFERROR(__xludf.DUMMYFUNCTION("""COMPUTED_VALUE"""),45949.02261652745)</f>
        <v>45949.02262</v>
      </c>
      <c r="S1973" s="1" t="b">
        <f>IFERROR(__xludf.DUMMYFUNCTION("""COMPUTED_VALUE"""),TRUE)</f>
        <v>1</v>
      </c>
      <c r="T1973" s="1" t="b">
        <f>IFERROR(__xludf.DUMMYFUNCTION("""COMPUTED_VALUE"""),FALSE)</f>
        <v>0</v>
      </c>
      <c r="U1973" s="1" t="str">
        <f>IFERROR(__xludf.DUMMYFUNCTION("""COMPUTED_VALUE"""),"VALID")</f>
        <v>VALID</v>
      </c>
      <c r="V1973" s="1">
        <f>IFERROR(__xludf.DUMMYFUNCTION("""COMPUTED_VALUE"""),125.0)</f>
        <v>125</v>
      </c>
      <c r="W1973" s="1">
        <f>IFERROR(__xludf.DUMMYFUNCTION("""COMPUTED_VALUE"""),193.0)</f>
        <v>193</v>
      </c>
      <c r="X1973" s="1">
        <f>IFERROR(__xludf.DUMMYFUNCTION("""COMPUTED_VALUE"""),169.0)</f>
        <v>169</v>
      </c>
      <c r="Y1973" s="2"/>
      <c r="Z1973" s="2"/>
    </row>
    <row r="1974">
      <c r="A1974" s="1">
        <f>IFERROR(__xludf.DUMMYFUNCTION("""COMPUTED_VALUE"""),1973.0)</f>
        <v>1973</v>
      </c>
      <c r="B1974" s="1">
        <f>IFERROR(__xludf.DUMMYFUNCTION("""COMPUTED_VALUE"""),5535.0)</f>
        <v>5535</v>
      </c>
      <c r="C1974" s="2" t="str">
        <f>IFERROR(__xludf.DUMMYFUNCTION("""COMPUTED_VALUE"""),"Aan Hasanudin")</f>
        <v>Aan Hasanudin</v>
      </c>
      <c r="D1974" s="2" t="str">
        <f>IFERROR(__xludf.DUMMYFUNCTION("""COMPUTED_VALUE"""),"5KM OVERALL M")</f>
        <v>5KM OVERALL M</v>
      </c>
      <c r="E1974" s="1">
        <f>IFERROR(__xludf.DUMMYFUNCTION("""COMPUTED_VALUE"""),2.0)</f>
        <v>2</v>
      </c>
      <c r="F1974" s="1" t="str">
        <f>IFERROR(__xludf.DUMMYFUNCTION("""COMPUTED_VALUE"""),"Male")</f>
        <v>Male</v>
      </c>
      <c r="G1974" s="4" t="b">
        <f>IFERROR(__xludf.DUMMYFUNCTION("""COMPUTED_VALUE"""),TRUE)</f>
        <v>1</v>
      </c>
      <c r="H1974" s="4" t="b">
        <f>IFERROR(__xludf.DUMMYFUNCTION("""COMPUTED_VALUE"""),TRUE)</f>
        <v>1</v>
      </c>
      <c r="I1974" s="4">
        <f>IFERROR(__xludf.DUMMYFUNCTION("""COMPUTED_VALUE"""),0.2549440625)</f>
        <v>0.2549440625</v>
      </c>
      <c r="J1974" s="4">
        <f>IFERROR(__xludf.DUMMYFUNCTION("""COMPUTED_VALUE"""),45949.277040639245)</f>
        <v>45949.27704</v>
      </c>
      <c r="K1974" s="4" t="str">
        <f>IFERROR(__xludf.DUMMYFUNCTION("""COMPUTED_VALUE"""),"")</f>
        <v/>
      </c>
      <c r="L1974" s="4">
        <f>IFERROR(__xludf.DUMMYFUNCTION("""COMPUTED_VALUE"""),45949.29412304944)</f>
        <v>45949.29412</v>
      </c>
      <c r="M1974" s="1" t="str">
        <f>IFERROR(__xludf.DUMMYFUNCTION("""COMPUTED_VALUE"""),"RFID")</f>
        <v>RFID</v>
      </c>
      <c r="N1974" s="5">
        <f>IFERROR(__xludf.DUMMYFUNCTION("""COMPUTED_VALUE"""),0.00883862962962963)</f>
        <v>0.00883862963</v>
      </c>
      <c r="O1974" s="5" t="str">
        <f>IFERROR(__xludf.DUMMYFUNCTION("""COMPUTED_VALUE"""),"")</f>
        <v/>
      </c>
      <c r="P1974" s="5" t="str">
        <f>IFERROR(__xludf.DUMMYFUNCTION("""COMPUTED_VALUE"""),"")</f>
        <v/>
      </c>
      <c r="Q1974" s="5">
        <f>IFERROR(__xludf.DUMMYFUNCTION("""COMPUTED_VALUE"""),0.007835796296296296)</f>
        <v>0.007835796296</v>
      </c>
      <c r="R1974" s="4">
        <f>IFERROR(__xludf.DUMMYFUNCTION("""COMPUTED_VALUE"""),45949.03917898694)</f>
        <v>45949.03918</v>
      </c>
      <c r="S1974" s="1" t="b">
        <f>IFERROR(__xludf.DUMMYFUNCTION("""COMPUTED_VALUE"""),TRUE)</f>
        <v>1</v>
      </c>
      <c r="T1974" s="1" t="b">
        <f>IFERROR(__xludf.DUMMYFUNCTION("""COMPUTED_VALUE"""),FALSE)</f>
        <v>0</v>
      </c>
      <c r="U1974" s="1" t="str">
        <f>IFERROR(__xludf.DUMMYFUNCTION("""COMPUTED_VALUE"""),"VALID")</f>
        <v>VALID</v>
      </c>
      <c r="V1974" s="1">
        <f>IFERROR(__xludf.DUMMYFUNCTION("""COMPUTED_VALUE"""),692.0)</f>
        <v>692</v>
      </c>
      <c r="W1974" s="1">
        <f>IFERROR(__xludf.DUMMYFUNCTION("""COMPUTED_VALUE"""),1186.0)</f>
        <v>1186</v>
      </c>
      <c r="X1974" s="1">
        <f>IFERROR(__xludf.DUMMYFUNCTION("""COMPUTED_VALUE"""),936.0)</f>
        <v>936</v>
      </c>
      <c r="Y1974" s="2"/>
      <c r="Z1974" s="2"/>
    </row>
    <row r="1975">
      <c r="A1975" s="1">
        <f>IFERROR(__xludf.DUMMYFUNCTION("""COMPUTED_VALUE"""),1974.0)</f>
        <v>1974</v>
      </c>
      <c r="B1975" s="1">
        <f>IFERROR(__xludf.DUMMYFUNCTION("""COMPUTED_VALUE"""),5538.0)</f>
        <v>5538</v>
      </c>
      <c r="C1975" s="2" t="str">
        <f>IFERROR(__xludf.DUMMYFUNCTION("""COMPUTED_VALUE"""),"fikraaa")</f>
        <v>fikraaa</v>
      </c>
      <c r="D1975" s="2" t="str">
        <f>IFERROR(__xludf.DUMMYFUNCTION("""COMPUTED_VALUE"""),"5KM OVERALL M")</f>
        <v>5KM OVERALL M</v>
      </c>
      <c r="E1975" s="1">
        <f>IFERROR(__xludf.DUMMYFUNCTION("""COMPUTED_VALUE"""),2.0)</f>
        <v>2</v>
      </c>
      <c r="F1975" s="1" t="str">
        <f>IFERROR(__xludf.DUMMYFUNCTION("""COMPUTED_VALUE"""),"Male")</f>
        <v>Male</v>
      </c>
      <c r="G1975" s="4" t="b">
        <f>IFERROR(__xludf.DUMMYFUNCTION("""COMPUTED_VALUE"""),TRUE)</f>
        <v>1</v>
      </c>
      <c r="H1975" s="4" t="b">
        <f>IFERROR(__xludf.DUMMYFUNCTION("""COMPUTED_VALUE"""),TRUE)</f>
        <v>1</v>
      </c>
      <c r="I1975" s="4">
        <f>IFERROR(__xludf.DUMMYFUNCTION("""COMPUTED_VALUE"""),0.2549440625)</f>
        <v>0.2549440625</v>
      </c>
      <c r="J1975" s="4">
        <f>IFERROR(__xludf.DUMMYFUNCTION("""COMPUTED_VALUE"""),45949.276412203115)</f>
        <v>45949.27641</v>
      </c>
      <c r="K1975" s="4" t="str">
        <f>IFERROR(__xludf.DUMMYFUNCTION("""COMPUTED_VALUE"""),"")</f>
        <v/>
      </c>
      <c r="L1975" s="4">
        <f>IFERROR(__xludf.DUMMYFUNCTION("""COMPUTED_VALUE"""),45949.290039771186)</f>
        <v>45949.29004</v>
      </c>
      <c r="M1975" s="1" t="str">
        <f>IFERROR(__xludf.DUMMYFUNCTION("""COMPUTED_VALUE"""),"RFID")</f>
        <v>RFID</v>
      </c>
      <c r="N1975" s="5">
        <f>IFERROR(__xludf.DUMMYFUNCTION("""COMPUTED_VALUE"""),0.00858725462962963)</f>
        <v>0.00858725463</v>
      </c>
      <c r="O1975" s="5" t="str">
        <f>IFERROR(__xludf.DUMMYFUNCTION("""COMPUTED_VALUE"""),"")</f>
        <v/>
      </c>
      <c r="P1975" s="5" t="str">
        <f>IFERROR(__xludf.DUMMYFUNCTION("""COMPUTED_VALUE"""),"")</f>
        <v/>
      </c>
      <c r="Q1975" s="5">
        <f>IFERROR(__xludf.DUMMYFUNCTION("""COMPUTED_VALUE"""),0.007019141203703704)</f>
        <v>0.007019141204</v>
      </c>
      <c r="R1975" s="4">
        <f>IFERROR(__xludf.DUMMYFUNCTION("""COMPUTED_VALUE"""),45949.035095708685)</f>
        <v>45949.0351</v>
      </c>
      <c r="S1975" s="1" t="b">
        <f>IFERROR(__xludf.DUMMYFUNCTION("""COMPUTED_VALUE"""),TRUE)</f>
        <v>1</v>
      </c>
      <c r="T1975" s="1" t="b">
        <f>IFERROR(__xludf.DUMMYFUNCTION("""COMPUTED_VALUE"""),FALSE)</f>
        <v>0</v>
      </c>
      <c r="U1975" s="1" t="str">
        <f>IFERROR(__xludf.DUMMYFUNCTION("""COMPUTED_VALUE"""),"VALID")</f>
        <v>VALID</v>
      </c>
      <c r="V1975" s="1">
        <f>IFERROR(__xludf.DUMMYFUNCTION("""COMPUTED_VALUE"""),561.0)</f>
        <v>561</v>
      </c>
      <c r="W1975" s="1">
        <f>IFERROR(__xludf.DUMMYFUNCTION("""COMPUTED_VALUE"""),893.0)</f>
        <v>893</v>
      </c>
      <c r="X1975" s="1">
        <f>IFERROR(__xludf.DUMMYFUNCTION("""COMPUTED_VALUE"""),729.0)</f>
        <v>729</v>
      </c>
      <c r="Y1975" s="2"/>
      <c r="Z1975" s="2"/>
    </row>
    <row r="1976">
      <c r="A1976" s="1">
        <f>IFERROR(__xludf.DUMMYFUNCTION("""COMPUTED_VALUE"""),1975.0)</f>
        <v>1975</v>
      </c>
      <c r="B1976" s="1">
        <f>IFERROR(__xludf.DUMMYFUNCTION("""COMPUTED_VALUE"""),5539.0)</f>
        <v>5539</v>
      </c>
      <c r="C1976" s="2" t="str">
        <f>IFERROR(__xludf.DUMMYFUNCTION("""COMPUTED_VALUE"""),"M.Hafiz A.P")</f>
        <v>M.Hafiz A.P</v>
      </c>
      <c r="D1976" s="2" t="str">
        <f>IFERROR(__xludf.DUMMYFUNCTION("""COMPUTED_VALUE"""),"5KM OVERALL M")</f>
        <v>5KM OVERALL M</v>
      </c>
      <c r="E1976" s="1">
        <f>IFERROR(__xludf.DUMMYFUNCTION("""COMPUTED_VALUE"""),2.0)</f>
        <v>2</v>
      </c>
      <c r="F1976" s="1" t="str">
        <f>IFERROR(__xludf.DUMMYFUNCTION("""COMPUTED_VALUE"""),"Male")</f>
        <v>Male</v>
      </c>
      <c r="G1976" s="4" t="b">
        <f>IFERROR(__xludf.DUMMYFUNCTION("""COMPUTED_VALUE"""),TRUE)</f>
        <v>1</v>
      </c>
      <c r="H1976" s="4" t="b">
        <f>IFERROR(__xludf.DUMMYFUNCTION("""COMPUTED_VALUE"""),TRUE)</f>
        <v>1</v>
      </c>
      <c r="I1976" s="4">
        <f>IFERROR(__xludf.DUMMYFUNCTION("""COMPUTED_VALUE"""),0.2549440625)</f>
        <v>0.2549440625</v>
      </c>
      <c r="J1976" s="4">
        <f>IFERROR(__xludf.DUMMYFUNCTION("""COMPUTED_VALUE"""),45949.27434614284)</f>
        <v>45949.27435</v>
      </c>
      <c r="K1976" s="4" t="str">
        <f>IFERROR(__xludf.DUMMYFUNCTION("""COMPUTED_VALUE"""),"")</f>
        <v/>
      </c>
      <c r="L1976" s="4">
        <f>IFERROR(__xludf.DUMMYFUNCTION("""COMPUTED_VALUE"""),45949.28596685269)</f>
        <v>45949.28597</v>
      </c>
      <c r="M1976" s="1" t="str">
        <f>IFERROR(__xludf.DUMMYFUNCTION("""COMPUTED_VALUE"""),"RFID")</f>
        <v>RFID</v>
      </c>
      <c r="N1976" s="5">
        <f>IFERROR(__xludf.DUMMYFUNCTION("""COMPUTED_VALUE"""),0.007760833333333333)</f>
        <v>0.007760833333</v>
      </c>
      <c r="O1976" s="5" t="str">
        <f>IFERROR(__xludf.DUMMYFUNCTION("""COMPUTED_VALUE"""),"")</f>
        <v/>
      </c>
      <c r="P1976" s="5" t="str">
        <f>IFERROR(__xludf.DUMMYFUNCTION("""COMPUTED_VALUE"""),"")</f>
        <v/>
      </c>
      <c r="Q1976" s="5">
        <f>IFERROR(__xludf.DUMMYFUNCTION("""COMPUTED_VALUE"""),0.006204557870370371)</f>
        <v>0.00620455787</v>
      </c>
      <c r="R1976" s="4">
        <f>IFERROR(__xludf.DUMMYFUNCTION("""COMPUTED_VALUE"""),45949.03102279019)</f>
        <v>45949.03102</v>
      </c>
      <c r="S1976" s="1" t="b">
        <f>IFERROR(__xludf.DUMMYFUNCTION("""COMPUTED_VALUE"""),TRUE)</f>
        <v>1</v>
      </c>
      <c r="T1976" s="1" t="b">
        <f>IFERROR(__xludf.DUMMYFUNCTION("""COMPUTED_VALUE"""),FALSE)</f>
        <v>0</v>
      </c>
      <c r="U1976" s="1" t="str">
        <f>IFERROR(__xludf.DUMMYFUNCTION("""COMPUTED_VALUE"""),"VALID")</f>
        <v>VALID</v>
      </c>
      <c r="V1976" s="1">
        <f>IFERROR(__xludf.DUMMYFUNCTION("""COMPUTED_VALUE"""),414.0)</f>
        <v>414</v>
      </c>
      <c r="W1976" s="1">
        <f>IFERROR(__xludf.DUMMYFUNCTION("""COMPUTED_VALUE"""),635.0)</f>
        <v>635</v>
      </c>
      <c r="X1976" s="1">
        <f>IFERROR(__xludf.DUMMYFUNCTION("""COMPUTED_VALUE"""),530.0)</f>
        <v>530</v>
      </c>
      <c r="Y1976" s="2"/>
      <c r="Z1976" s="2"/>
    </row>
    <row r="1977">
      <c r="A1977" s="1">
        <f>IFERROR(__xludf.DUMMYFUNCTION("""COMPUTED_VALUE"""),1976.0)</f>
        <v>1976</v>
      </c>
      <c r="B1977" s="1">
        <f>IFERROR(__xludf.DUMMYFUNCTION("""COMPUTED_VALUE"""),5540.0)</f>
        <v>5540</v>
      </c>
      <c r="C1977" s="2" t="str">
        <f>IFERROR(__xludf.DUMMYFUNCTION("""COMPUTED_VALUE"""),"Upal")</f>
        <v>Upal</v>
      </c>
      <c r="D1977" s="2" t="str">
        <f>IFERROR(__xludf.DUMMYFUNCTION("""COMPUTED_VALUE"""),"5KM OVERALL M")</f>
        <v>5KM OVERALL M</v>
      </c>
      <c r="E1977" s="1">
        <f>IFERROR(__xludf.DUMMYFUNCTION("""COMPUTED_VALUE"""),2.0)</f>
        <v>2</v>
      </c>
      <c r="F1977" s="1" t="str">
        <f>IFERROR(__xludf.DUMMYFUNCTION("""COMPUTED_VALUE"""),"Male")</f>
        <v>Male</v>
      </c>
      <c r="G1977" s="4" t="b">
        <f>IFERROR(__xludf.DUMMYFUNCTION("""COMPUTED_VALUE"""),TRUE)</f>
        <v>1</v>
      </c>
      <c r="H1977" s="4" t="b">
        <f>IFERROR(__xludf.DUMMYFUNCTION("""COMPUTED_VALUE"""),TRUE)</f>
        <v>1</v>
      </c>
      <c r="I1977" s="4">
        <f>IFERROR(__xludf.DUMMYFUNCTION("""COMPUTED_VALUE"""),0.2549440625)</f>
        <v>0.2549440625</v>
      </c>
      <c r="J1977" s="4">
        <f>IFERROR(__xludf.DUMMYFUNCTION("""COMPUTED_VALUE"""),45949.269943365856)</f>
        <v>45949.26994</v>
      </c>
      <c r="K1977" s="4" t="str">
        <f>IFERROR(__xludf.DUMMYFUNCTION("""COMPUTED_VALUE"""),"")</f>
        <v/>
      </c>
      <c r="L1977" s="4">
        <f>IFERROR(__xludf.DUMMYFUNCTION("""COMPUTED_VALUE"""),45949.27959880421)</f>
        <v>45949.2796</v>
      </c>
      <c r="M1977" s="1" t="str">
        <f>IFERROR(__xludf.DUMMYFUNCTION("""COMPUTED_VALUE"""),"RFID")</f>
        <v>RFID</v>
      </c>
      <c r="N1977" s="5">
        <f>IFERROR(__xludf.DUMMYFUNCTION("""COMPUTED_VALUE"""),0.005999722222222222)</f>
        <v>0.005999722222</v>
      </c>
      <c r="O1977" s="5" t="str">
        <f>IFERROR(__xludf.DUMMYFUNCTION("""COMPUTED_VALUE"""),"")</f>
        <v/>
      </c>
      <c r="P1977" s="5" t="str">
        <f>IFERROR(__xludf.DUMMYFUNCTION("""COMPUTED_VALUE"""),"")</f>
        <v/>
      </c>
      <c r="Q1977" s="5">
        <f>IFERROR(__xludf.DUMMYFUNCTION("""COMPUTED_VALUE"""),0.004930949074074075)</f>
        <v>0.004930949074</v>
      </c>
      <c r="R1977" s="4">
        <f>IFERROR(__xludf.DUMMYFUNCTION("""COMPUTED_VALUE"""),45949.02465474171)</f>
        <v>45949.02465</v>
      </c>
      <c r="S1977" s="1" t="b">
        <f>IFERROR(__xludf.DUMMYFUNCTION("""COMPUTED_VALUE"""),TRUE)</f>
        <v>1</v>
      </c>
      <c r="T1977" s="1" t="b">
        <f>IFERROR(__xludf.DUMMYFUNCTION("""COMPUTED_VALUE"""),FALSE)</f>
        <v>0</v>
      </c>
      <c r="U1977" s="1" t="str">
        <f>IFERROR(__xludf.DUMMYFUNCTION("""COMPUTED_VALUE"""),"VALID")</f>
        <v>VALID</v>
      </c>
      <c r="V1977" s="1">
        <f>IFERROR(__xludf.DUMMYFUNCTION("""COMPUTED_VALUE"""),175.0)</f>
        <v>175</v>
      </c>
      <c r="W1977" s="1">
        <f>IFERROR(__xludf.DUMMYFUNCTION("""COMPUTED_VALUE"""),269.0)</f>
        <v>269</v>
      </c>
      <c r="X1977" s="1">
        <f>IFERROR(__xludf.DUMMYFUNCTION("""COMPUTED_VALUE"""),236.0)</f>
        <v>236</v>
      </c>
      <c r="Y1977" s="2"/>
      <c r="Z1977" s="2"/>
    </row>
    <row r="1978">
      <c r="A1978" s="1">
        <f>IFERROR(__xludf.DUMMYFUNCTION("""COMPUTED_VALUE"""),1977.0)</f>
        <v>1977</v>
      </c>
      <c r="B1978" s="1">
        <f>IFERROR(__xludf.DUMMYFUNCTION("""COMPUTED_VALUE"""),5541.0)</f>
        <v>5541</v>
      </c>
      <c r="C1978" s="2" t="str">
        <f>IFERROR(__xludf.DUMMYFUNCTION("""COMPUTED_VALUE"""),"Arya")</f>
        <v>Arya</v>
      </c>
      <c r="D1978" s="2" t="str">
        <f>IFERROR(__xludf.DUMMYFUNCTION("""COMPUTED_VALUE"""),"5KM OVERALL M")</f>
        <v>5KM OVERALL M</v>
      </c>
      <c r="E1978" s="1">
        <f>IFERROR(__xludf.DUMMYFUNCTION("""COMPUTED_VALUE"""),2.0)</f>
        <v>2</v>
      </c>
      <c r="F1978" s="1" t="str">
        <f>IFERROR(__xludf.DUMMYFUNCTION("""COMPUTED_VALUE"""),"Male")</f>
        <v>Male</v>
      </c>
      <c r="G1978" s="4" t="b">
        <f>IFERROR(__xludf.DUMMYFUNCTION("""COMPUTED_VALUE"""),TRUE)</f>
        <v>1</v>
      </c>
      <c r="H1978" s="4" t="b">
        <f>IFERROR(__xludf.DUMMYFUNCTION("""COMPUTED_VALUE"""),FALSE)</f>
        <v>0</v>
      </c>
      <c r="I1978" s="4">
        <f>IFERROR(__xludf.DUMMYFUNCTION("""COMPUTED_VALUE"""),0.2549440625)</f>
        <v>0.2549440625</v>
      </c>
      <c r="J1978" s="4">
        <f>IFERROR(__xludf.DUMMYFUNCTION("""COMPUTED_VALUE"""),45949.2797002951)</f>
        <v>45949.2797</v>
      </c>
      <c r="K1978" s="4" t="str">
        <f>IFERROR(__xludf.DUMMYFUNCTION("""COMPUTED_VALUE"""),"")</f>
        <v/>
      </c>
      <c r="L1978" s="4">
        <f>IFERROR(__xludf.DUMMYFUNCTION("""COMPUTED_VALUE"""),45949.29596361257)</f>
        <v>45949.29596</v>
      </c>
      <c r="M1978" s="1" t="str">
        <f>IFERROR(__xludf.DUMMYFUNCTION("""COMPUTED_VALUE"""),"RFID")</f>
        <v>RFID</v>
      </c>
      <c r="N1978" s="5">
        <f>IFERROR(__xludf.DUMMYFUNCTION("""COMPUTED_VALUE"""),0.009902490740740741)</f>
        <v>0.009902490741</v>
      </c>
      <c r="O1978" s="5" t="str">
        <f>IFERROR(__xludf.DUMMYFUNCTION("""COMPUTED_VALUE"""),"")</f>
        <v/>
      </c>
      <c r="P1978" s="5" t="str">
        <f>IFERROR(__xludf.DUMMYFUNCTION("""COMPUTED_VALUE"""),"")</f>
        <v/>
      </c>
      <c r="Q1978" s="5">
        <f>IFERROR(__xludf.DUMMYFUNCTION("""COMPUTED_VALUE"""),0.008203909722222222)</f>
        <v>0.008203909722</v>
      </c>
      <c r="R1978" s="4">
        <f>IFERROR(__xludf.DUMMYFUNCTION("""COMPUTED_VALUE"""),45949.041019550066)</f>
        <v>45949.04102</v>
      </c>
      <c r="S1978" s="1" t="b">
        <f>IFERROR(__xludf.DUMMYFUNCTION("""COMPUTED_VALUE"""),TRUE)</f>
        <v>1</v>
      </c>
      <c r="T1978" s="1" t="b">
        <f>IFERROR(__xludf.DUMMYFUNCTION("""COMPUTED_VALUE"""),FALSE)</f>
        <v>0</v>
      </c>
      <c r="U1978" s="1" t="str">
        <f>IFERROR(__xludf.DUMMYFUNCTION("""COMPUTED_VALUE"""),"VALID")</f>
        <v>VALID</v>
      </c>
      <c r="V1978" s="1">
        <f>IFERROR(__xludf.DUMMYFUNCTION("""COMPUTED_VALUE"""),732.0)</f>
        <v>732</v>
      </c>
      <c r="W1978" s="1">
        <f>IFERROR(__xludf.DUMMYFUNCTION("""COMPUTED_VALUE"""),1285.0)</f>
        <v>1285</v>
      </c>
      <c r="X1978" s="1">
        <f>IFERROR(__xludf.DUMMYFUNCTION("""COMPUTED_VALUE"""),1019.0)</f>
        <v>1019</v>
      </c>
      <c r="Y1978" s="2"/>
      <c r="Z1978" s="2"/>
    </row>
    <row r="1979">
      <c r="A1979" s="1">
        <f>IFERROR(__xludf.DUMMYFUNCTION("""COMPUTED_VALUE"""),1978.0)</f>
        <v>1978</v>
      </c>
      <c r="B1979" s="1">
        <f>IFERROR(__xludf.DUMMYFUNCTION("""COMPUTED_VALUE"""),5542.0)</f>
        <v>5542</v>
      </c>
      <c r="C1979" s="2" t="str">
        <f>IFERROR(__xludf.DUMMYFUNCTION("""COMPUTED_VALUE"""),"BANG JUNE")</f>
        <v>BANG JUNE</v>
      </c>
      <c r="D1979" s="2" t="str">
        <f>IFERROR(__xludf.DUMMYFUNCTION("""COMPUTED_VALUE"""),"5KM OVERALL M")</f>
        <v>5KM OVERALL M</v>
      </c>
      <c r="E1979" s="1">
        <f>IFERROR(__xludf.DUMMYFUNCTION("""COMPUTED_VALUE"""),2.0)</f>
        <v>2</v>
      </c>
      <c r="F1979" s="1" t="str">
        <f>IFERROR(__xludf.DUMMYFUNCTION("""COMPUTED_VALUE"""),"Male")</f>
        <v>Male</v>
      </c>
      <c r="G1979" s="4" t="b">
        <f>IFERROR(__xludf.DUMMYFUNCTION("""COMPUTED_VALUE"""),TRUE)</f>
        <v>1</v>
      </c>
      <c r="H1979" s="4" t="b">
        <f>IFERROR(__xludf.DUMMYFUNCTION("""COMPUTED_VALUE"""),TRUE)</f>
        <v>1</v>
      </c>
      <c r="I1979" s="4">
        <f>IFERROR(__xludf.DUMMYFUNCTION("""COMPUTED_VALUE"""),0.2549440625)</f>
        <v>0.2549440625</v>
      </c>
      <c r="J1979" s="4">
        <f>IFERROR(__xludf.DUMMYFUNCTION("""COMPUTED_VALUE"""),45949.2678426584)</f>
        <v>45949.26784</v>
      </c>
      <c r="K1979" s="4" t="str">
        <f>IFERROR(__xludf.DUMMYFUNCTION("""COMPUTED_VALUE"""),"")</f>
        <v/>
      </c>
      <c r="L1979" s="4">
        <f>IFERROR(__xludf.DUMMYFUNCTION("""COMPUTED_VALUE"""),45949.278404363606)</f>
        <v>45949.2784</v>
      </c>
      <c r="M1979" s="1" t="str">
        <f>IFERROR(__xludf.DUMMYFUNCTION("""COMPUTED_VALUE"""),"RFID")</f>
        <v>RFID</v>
      </c>
      <c r="N1979" s="5">
        <f>IFERROR(__xludf.DUMMYFUNCTION("""COMPUTED_VALUE"""),0.0051594398148148155)</f>
        <v>0.005159439815</v>
      </c>
      <c r="O1979" s="5" t="str">
        <f>IFERROR(__xludf.DUMMYFUNCTION("""COMPUTED_VALUE"""),"")</f>
        <v/>
      </c>
      <c r="P1979" s="5" t="str">
        <f>IFERROR(__xludf.DUMMYFUNCTION("""COMPUTED_VALUE"""),"")</f>
        <v/>
      </c>
      <c r="Q1979" s="5">
        <f>IFERROR(__xludf.DUMMYFUNCTION("""COMPUTED_VALUE"""),0.004692060185185185)</f>
        <v>0.004692060185</v>
      </c>
      <c r="R1979" s="4">
        <f>IFERROR(__xludf.DUMMYFUNCTION("""COMPUTED_VALUE"""),45949.023460301105)</f>
        <v>45949.02346</v>
      </c>
      <c r="S1979" s="1" t="b">
        <f>IFERROR(__xludf.DUMMYFUNCTION("""COMPUTED_VALUE"""),TRUE)</f>
        <v>1</v>
      </c>
      <c r="T1979" s="1" t="b">
        <f>IFERROR(__xludf.DUMMYFUNCTION("""COMPUTED_VALUE"""),FALSE)</f>
        <v>0</v>
      </c>
      <c r="U1979" s="1" t="str">
        <f>IFERROR(__xludf.DUMMYFUNCTION("""COMPUTED_VALUE"""),"VALID")</f>
        <v>VALID</v>
      </c>
      <c r="V1979" s="1">
        <f>IFERROR(__xludf.DUMMYFUNCTION("""COMPUTED_VALUE"""),154.0)</f>
        <v>154</v>
      </c>
      <c r="W1979" s="1">
        <f>IFERROR(__xludf.DUMMYFUNCTION("""COMPUTED_VALUE"""),232.0)</f>
        <v>232</v>
      </c>
      <c r="X1979" s="1">
        <f>IFERROR(__xludf.DUMMYFUNCTION("""COMPUTED_VALUE"""),203.0)</f>
        <v>203</v>
      </c>
      <c r="Y1979" s="2"/>
      <c r="Z1979" s="2"/>
    </row>
    <row r="1980">
      <c r="A1980" s="1">
        <f>IFERROR(__xludf.DUMMYFUNCTION("""COMPUTED_VALUE"""),1979.0)</f>
        <v>1979</v>
      </c>
      <c r="B1980" s="1">
        <f>IFERROR(__xludf.DUMMYFUNCTION("""COMPUTED_VALUE"""),5543.0)</f>
        <v>5543</v>
      </c>
      <c r="C1980" s="2" t="str">
        <f>IFERROR(__xludf.DUMMYFUNCTION("""COMPUTED_VALUE"""),"kevineru")</f>
        <v>kevineru</v>
      </c>
      <c r="D1980" s="2" t="str">
        <f>IFERROR(__xludf.DUMMYFUNCTION("""COMPUTED_VALUE"""),"5KM OVERALL M")</f>
        <v>5KM OVERALL M</v>
      </c>
      <c r="E1980" s="1">
        <f>IFERROR(__xludf.DUMMYFUNCTION("""COMPUTED_VALUE"""),2.0)</f>
        <v>2</v>
      </c>
      <c r="F1980" s="1" t="str">
        <f>IFERROR(__xludf.DUMMYFUNCTION("""COMPUTED_VALUE"""),"Male")</f>
        <v>Male</v>
      </c>
      <c r="G1980" s="4" t="b">
        <f>IFERROR(__xludf.DUMMYFUNCTION("""COMPUTED_VALUE"""),TRUE)</f>
        <v>1</v>
      </c>
      <c r="H1980" s="4" t="b">
        <f>IFERROR(__xludf.DUMMYFUNCTION("""COMPUTED_VALUE"""),TRUE)</f>
        <v>1</v>
      </c>
      <c r="I1980" s="4">
        <f>IFERROR(__xludf.DUMMYFUNCTION("""COMPUTED_VALUE"""),0.2549440625)</f>
        <v>0.2549440625</v>
      </c>
      <c r="J1980" s="4">
        <f>IFERROR(__xludf.DUMMYFUNCTION("""COMPUTED_VALUE"""),45949.27881489306)</f>
        <v>45949.27881</v>
      </c>
      <c r="K1980" s="4" t="str">
        <f>IFERROR(__xludf.DUMMYFUNCTION("""COMPUTED_VALUE"""),"")</f>
        <v/>
      </c>
      <c r="L1980" s="4">
        <f>IFERROR(__xludf.DUMMYFUNCTION("""COMPUTED_VALUE"""),45949.29538698322)</f>
        <v>45949.29539</v>
      </c>
      <c r="M1980" s="1" t="str">
        <f>IFERROR(__xludf.DUMMYFUNCTION("""COMPUTED_VALUE"""),"RFID")</f>
        <v>RFID</v>
      </c>
      <c r="N1980" s="5">
        <f>IFERROR(__xludf.DUMMYFUNCTION("""COMPUTED_VALUE"""),0.009548333333333334)</f>
        <v>0.009548333333</v>
      </c>
      <c r="O1980" s="5" t="str">
        <f>IFERROR(__xludf.DUMMYFUNCTION("""COMPUTED_VALUE"""),"")</f>
        <v/>
      </c>
      <c r="P1980" s="5" t="str">
        <f>IFERROR(__xludf.DUMMYFUNCTION("""COMPUTED_VALUE"""),"")</f>
        <v/>
      </c>
      <c r="Q1980" s="5">
        <f>IFERROR(__xludf.DUMMYFUNCTION("""COMPUTED_VALUE"""),0.008088583333333333)</f>
        <v>0.008088583333</v>
      </c>
      <c r="R1980" s="4">
        <f>IFERROR(__xludf.DUMMYFUNCTION("""COMPUTED_VALUE"""),45949.04044292072)</f>
        <v>45949.04044</v>
      </c>
      <c r="S1980" s="1" t="b">
        <f>IFERROR(__xludf.DUMMYFUNCTION("""COMPUTED_VALUE"""),TRUE)</f>
        <v>1</v>
      </c>
      <c r="T1980" s="1" t="b">
        <f>IFERROR(__xludf.DUMMYFUNCTION("""COMPUTED_VALUE"""),FALSE)</f>
        <v>0</v>
      </c>
      <c r="U1980" s="1" t="str">
        <f>IFERROR(__xludf.DUMMYFUNCTION("""COMPUTED_VALUE"""),"VALID")</f>
        <v>VALID</v>
      </c>
      <c r="V1980" s="1">
        <f>IFERROR(__xludf.DUMMYFUNCTION("""COMPUTED_VALUE"""),728.0)</f>
        <v>728</v>
      </c>
      <c r="W1980" s="1">
        <f>IFERROR(__xludf.DUMMYFUNCTION("""COMPUTED_VALUE"""),1268.0)</f>
        <v>1268</v>
      </c>
      <c r="X1980" s="1">
        <f>IFERROR(__xludf.DUMMYFUNCTION("""COMPUTED_VALUE"""),1002.0)</f>
        <v>1002</v>
      </c>
      <c r="Y1980" s="2"/>
      <c r="Z1980" s="2"/>
    </row>
    <row r="1981">
      <c r="A1981" s="1">
        <f>IFERROR(__xludf.DUMMYFUNCTION("""COMPUTED_VALUE"""),1980.0)</f>
        <v>1980</v>
      </c>
      <c r="B1981" s="1">
        <f>IFERROR(__xludf.DUMMYFUNCTION("""COMPUTED_VALUE"""),5544.0)</f>
        <v>5544</v>
      </c>
      <c r="C1981" s="2" t="str">
        <f>IFERROR(__xludf.DUMMYFUNCTION("""COMPUTED_VALUE"""),"Roby Wahyudi")</f>
        <v>Roby Wahyudi</v>
      </c>
      <c r="D1981" s="2" t="str">
        <f>IFERROR(__xludf.DUMMYFUNCTION("""COMPUTED_VALUE"""),"5KM OVERALL M")</f>
        <v>5KM OVERALL M</v>
      </c>
      <c r="E1981" s="1">
        <f>IFERROR(__xludf.DUMMYFUNCTION("""COMPUTED_VALUE"""),2.0)</f>
        <v>2</v>
      </c>
      <c r="F1981" s="1" t="str">
        <f>IFERROR(__xludf.DUMMYFUNCTION("""COMPUTED_VALUE"""),"Male")</f>
        <v>Male</v>
      </c>
      <c r="G1981" s="4" t="b">
        <f>IFERROR(__xludf.DUMMYFUNCTION("""COMPUTED_VALUE"""),TRUE)</f>
        <v>1</v>
      </c>
      <c r="H1981" s="4" t="b">
        <f>IFERROR(__xludf.DUMMYFUNCTION("""COMPUTED_VALUE"""),TRUE)</f>
        <v>1</v>
      </c>
      <c r="I1981" s="4">
        <f>IFERROR(__xludf.DUMMYFUNCTION("""COMPUTED_VALUE"""),0.2549440625)</f>
        <v>0.2549440625</v>
      </c>
      <c r="J1981" s="4">
        <f>IFERROR(__xludf.DUMMYFUNCTION("""COMPUTED_VALUE"""),45949.26978021241)</f>
        <v>45949.26978</v>
      </c>
      <c r="K1981" s="4" t="str">
        <f>IFERROR(__xludf.DUMMYFUNCTION("""COMPUTED_VALUE"""),"")</f>
        <v/>
      </c>
      <c r="L1981" s="4">
        <f>IFERROR(__xludf.DUMMYFUNCTION("""COMPUTED_VALUE"""),45949.281841838165)</f>
        <v>45949.28184</v>
      </c>
      <c r="M1981" s="1" t="str">
        <f>IFERROR(__xludf.DUMMYFUNCTION("""COMPUTED_VALUE"""),"RFID")</f>
        <v>RFID</v>
      </c>
      <c r="N1981" s="5">
        <f>IFERROR(__xludf.DUMMYFUNCTION("""COMPUTED_VALUE"""),0.005934458333333334)</f>
        <v>0.005934458333</v>
      </c>
      <c r="O1981" s="5" t="str">
        <f>IFERROR(__xludf.DUMMYFUNCTION("""COMPUTED_VALUE"""),"")</f>
        <v/>
      </c>
      <c r="P1981" s="5" t="str">
        <f>IFERROR(__xludf.DUMMYFUNCTION("""COMPUTED_VALUE"""),"")</f>
        <v/>
      </c>
      <c r="Q1981" s="5">
        <f>IFERROR(__xludf.DUMMYFUNCTION("""COMPUTED_VALUE"""),0.005379555555555556)</f>
        <v>0.005379555556</v>
      </c>
      <c r="R1981" s="4">
        <f>IFERROR(__xludf.DUMMYFUNCTION("""COMPUTED_VALUE"""),45949.026897775664)</f>
        <v>45949.0269</v>
      </c>
      <c r="S1981" s="1" t="b">
        <f>IFERROR(__xludf.DUMMYFUNCTION("""COMPUTED_VALUE"""),TRUE)</f>
        <v>1</v>
      </c>
      <c r="T1981" s="1" t="b">
        <f>IFERROR(__xludf.DUMMYFUNCTION("""COMPUTED_VALUE"""),FALSE)</f>
        <v>0</v>
      </c>
      <c r="U1981" s="1" t="str">
        <f>IFERROR(__xludf.DUMMYFUNCTION("""COMPUTED_VALUE"""),"VALID")</f>
        <v>VALID</v>
      </c>
      <c r="V1981" s="1">
        <f>IFERROR(__xludf.DUMMYFUNCTION("""COMPUTED_VALUE"""),245.0)</f>
        <v>245</v>
      </c>
      <c r="W1981" s="1">
        <f>IFERROR(__xludf.DUMMYFUNCTION("""COMPUTED_VALUE"""),380.0)</f>
        <v>380</v>
      </c>
      <c r="X1981" s="1">
        <f>IFERROR(__xludf.DUMMYFUNCTION("""COMPUTED_VALUE"""),327.0)</f>
        <v>327</v>
      </c>
      <c r="Y1981" s="2"/>
      <c r="Z1981" s="2"/>
    </row>
    <row r="1982">
      <c r="A1982" s="1">
        <f>IFERROR(__xludf.DUMMYFUNCTION("""COMPUTED_VALUE"""),1981.0)</f>
        <v>1981</v>
      </c>
      <c r="B1982" s="1">
        <f>IFERROR(__xludf.DUMMYFUNCTION("""COMPUTED_VALUE"""),5545.0)</f>
        <v>5545</v>
      </c>
      <c r="C1982" s="2" t="str">
        <f>IFERROR(__xludf.DUMMYFUNCTION("""COMPUTED_VALUE"""),"imaduddin")</f>
        <v>imaduddin</v>
      </c>
      <c r="D1982" s="2" t="str">
        <f>IFERROR(__xludf.DUMMYFUNCTION("""COMPUTED_VALUE"""),"5KM OVERALL M")</f>
        <v>5KM OVERALL M</v>
      </c>
      <c r="E1982" s="1">
        <f>IFERROR(__xludf.DUMMYFUNCTION("""COMPUTED_VALUE"""),2.0)</f>
        <v>2</v>
      </c>
      <c r="F1982" s="1" t="str">
        <f>IFERROR(__xludf.DUMMYFUNCTION("""COMPUTED_VALUE"""),"Male")</f>
        <v>Male</v>
      </c>
      <c r="G1982" s="4" t="b">
        <f>IFERROR(__xludf.DUMMYFUNCTION("""COMPUTED_VALUE"""),TRUE)</f>
        <v>1</v>
      </c>
      <c r="H1982" s="4" t="b">
        <f>IFERROR(__xludf.DUMMYFUNCTION("""COMPUTED_VALUE"""),TRUE)</f>
        <v>1</v>
      </c>
      <c r="I1982" s="4">
        <f>IFERROR(__xludf.DUMMYFUNCTION("""COMPUTED_VALUE"""),0.2549440625)</f>
        <v>0.2549440625</v>
      </c>
      <c r="J1982" s="4">
        <f>IFERROR(__xludf.DUMMYFUNCTION("""COMPUTED_VALUE"""),45949.27421071821)</f>
        <v>45949.27421</v>
      </c>
      <c r="K1982" s="4" t="str">
        <f>IFERROR(__xludf.DUMMYFUNCTION("""COMPUTED_VALUE"""),"")</f>
        <v/>
      </c>
      <c r="L1982" s="4">
        <f>IFERROR(__xludf.DUMMYFUNCTION("""COMPUTED_VALUE"""),45949.28685283457)</f>
        <v>45949.28685</v>
      </c>
      <c r="M1982" s="1" t="str">
        <f>IFERROR(__xludf.DUMMYFUNCTION("""COMPUTED_VALUE"""),"RFID")</f>
        <v>RFID</v>
      </c>
      <c r="N1982" s="5">
        <f>IFERROR(__xludf.DUMMYFUNCTION("""COMPUTED_VALUE"""),0.007706662037037036)</f>
        <v>0.007706662037</v>
      </c>
      <c r="O1982" s="5" t="str">
        <f>IFERROR(__xludf.DUMMYFUNCTION("""COMPUTED_VALUE"""),"")</f>
        <v/>
      </c>
      <c r="P1982" s="5" t="str">
        <f>IFERROR(__xludf.DUMMYFUNCTION("""COMPUTED_VALUE"""),"")</f>
        <v/>
      </c>
      <c r="Q1982" s="5">
        <f>IFERROR(__xludf.DUMMYFUNCTION("""COMPUTED_VALUE"""),0.00638175462962963)</f>
        <v>0.00638175463</v>
      </c>
      <c r="R1982" s="4">
        <f>IFERROR(__xludf.DUMMYFUNCTION("""COMPUTED_VALUE"""),45949.03190877207)</f>
        <v>45949.03191</v>
      </c>
      <c r="S1982" s="1" t="b">
        <f>IFERROR(__xludf.DUMMYFUNCTION("""COMPUTED_VALUE"""),TRUE)</f>
        <v>1</v>
      </c>
      <c r="T1982" s="1" t="b">
        <f>IFERROR(__xludf.DUMMYFUNCTION("""COMPUTED_VALUE"""),FALSE)</f>
        <v>0</v>
      </c>
      <c r="U1982" s="1" t="str">
        <f>IFERROR(__xludf.DUMMYFUNCTION("""COMPUTED_VALUE"""),"VALID")</f>
        <v>VALID</v>
      </c>
      <c r="V1982" s="1">
        <f>IFERROR(__xludf.DUMMYFUNCTION("""COMPUTED_VALUE"""),449.0)</f>
        <v>449</v>
      </c>
      <c r="W1982" s="1">
        <f>IFERROR(__xludf.DUMMYFUNCTION("""COMPUTED_VALUE"""),691.0)</f>
        <v>691</v>
      </c>
      <c r="X1982" s="1">
        <f>IFERROR(__xludf.DUMMYFUNCTION("""COMPUTED_VALUE"""),577.0)</f>
        <v>577</v>
      </c>
      <c r="Y1982" s="2"/>
      <c r="Z1982" s="2"/>
    </row>
    <row r="1983">
      <c r="A1983" s="1">
        <f>IFERROR(__xludf.DUMMYFUNCTION("""COMPUTED_VALUE"""),1982.0)</f>
        <v>1982</v>
      </c>
      <c r="B1983" s="1">
        <f>IFERROR(__xludf.DUMMYFUNCTION("""COMPUTED_VALUE"""),5546.0)</f>
        <v>5546</v>
      </c>
      <c r="C1983" s="2" t="str">
        <f>IFERROR(__xludf.DUMMYFUNCTION("""COMPUTED_VALUE"""),"wahyu")</f>
        <v>wahyu</v>
      </c>
      <c r="D1983" s="2" t="str">
        <f>IFERROR(__xludf.DUMMYFUNCTION("""COMPUTED_VALUE"""),"5KM OVERALL M")</f>
        <v>5KM OVERALL M</v>
      </c>
      <c r="E1983" s="1">
        <f>IFERROR(__xludf.DUMMYFUNCTION("""COMPUTED_VALUE"""),2.0)</f>
        <v>2</v>
      </c>
      <c r="F1983" s="1" t="str">
        <f>IFERROR(__xludf.DUMMYFUNCTION("""COMPUTED_VALUE"""),"Male")</f>
        <v>Male</v>
      </c>
      <c r="G1983" s="4" t="b">
        <f>IFERROR(__xludf.DUMMYFUNCTION("""COMPUTED_VALUE"""),TRUE)</f>
        <v>1</v>
      </c>
      <c r="H1983" s="4" t="b">
        <f>IFERROR(__xludf.DUMMYFUNCTION("""COMPUTED_VALUE"""),FALSE)</f>
        <v>0</v>
      </c>
      <c r="I1983" s="4">
        <f>IFERROR(__xludf.DUMMYFUNCTION("""COMPUTED_VALUE"""),0.2549440625)</f>
        <v>0.2549440625</v>
      </c>
      <c r="J1983" s="4">
        <f>IFERROR(__xludf.DUMMYFUNCTION("""COMPUTED_VALUE"""),45949.27145725021)</f>
        <v>45949.27146</v>
      </c>
      <c r="K1983" s="4" t="str">
        <f>IFERROR(__xludf.DUMMYFUNCTION("""COMPUTED_VALUE"""),"")</f>
        <v/>
      </c>
      <c r="L1983" s="4">
        <f>IFERROR(__xludf.DUMMYFUNCTION("""COMPUTED_VALUE"""),45949.28466435185)</f>
        <v>45949.28466</v>
      </c>
      <c r="M1983" s="1" t="str">
        <f>IFERROR(__xludf.DUMMYFUNCTION("""COMPUTED_VALUE"""),"RFID")</f>
        <v>RFID</v>
      </c>
      <c r="N1983" s="5">
        <f>IFERROR(__xludf.DUMMYFUNCTION("""COMPUTED_VALUE"""),0.006605273148148148)</f>
        <v>0.006605273148</v>
      </c>
      <c r="O1983" s="5" t="str">
        <f>IFERROR(__xludf.DUMMYFUNCTION("""COMPUTED_VALUE"""),"")</f>
        <v/>
      </c>
      <c r="P1983" s="5" t="str">
        <f>IFERROR(__xludf.DUMMYFUNCTION("""COMPUTED_VALUE"""),"")</f>
        <v/>
      </c>
      <c r="Q1983" s="5">
        <f>IFERROR(__xludf.DUMMYFUNCTION("""COMPUTED_VALUE"""),0.00594405787037037)</f>
        <v>0.00594405787</v>
      </c>
      <c r="R1983" s="4">
        <f>IFERROR(__xludf.DUMMYFUNCTION("""COMPUTED_VALUE"""),45949.02972028935)</f>
        <v>45949.02972</v>
      </c>
      <c r="S1983" s="1" t="b">
        <f>IFERROR(__xludf.DUMMYFUNCTION("""COMPUTED_VALUE"""),TRUE)</f>
        <v>1</v>
      </c>
      <c r="T1983" s="1" t="b">
        <f>IFERROR(__xludf.DUMMYFUNCTION("""COMPUTED_VALUE"""),FALSE)</f>
        <v>0</v>
      </c>
      <c r="U1983" s="1" t="str">
        <f>IFERROR(__xludf.DUMMYFUNCTION("""COMPUTED_VALUE"""),"VALID")</f>
        <v>VALID</v>
      </c>
      <c r="V1983" s="1">
        <f>IFERROR(__xludf.DUMMYFUNCTION("""COMPUTED_VALUE"""),368.0)</f>
        <v>368</v>
      </c>
      <c r="W1983" s="1">
        <f>IFERROR(__xludf.DUMMYFUNCTION("""COMPUTED_VALUE"""),553.0)</f>
        <v>553</v>
      </c>
      <c r="X1983" s="1">
        <f>IFERROR(__xludf.DUMMYFUNCTION("""COMPUTED_VALUE"""),473.0)</f>
        <v>473</v>
      </c>
      <c r="Y1983" s="2"/>
      <c r="Z1983" s="2"/>
    </row>
    <row r="1984">
      <c r="A1984" s="1">
        <f>IFERROR(__xludf.DUMMYFUNCTION("""COMPUTED_VALUE"""),1983.0)</f>
        <v>1983</v>
      </c>
      <c r="B1984" s="1">
        <f>IFERROR(__xludf.DUMMYFUNCTION("""COMPUTED_VALUE"""),5548.0)</f>
        <v>5548</v>
      </c>
      <c r="C1984" s="2" t="str">
        <f>IFERROR(__xludf.DUMMYFUNCTION("""COMPUTED_VALUE"""),"MOEKTI")</f>
        <v>MOEKTI</v>
      </c>
      <c r="D1984" s="2" t="str">
        <f>IFERROR(__xludf.DUMMYFUNCTION("""COMPUTED_VALUE"""),"5KM OVERALL M")</f>
        <v>5KM OVERALL M</v>
      </c>
      <c r="E1984" s="1">
        <f>IFERROR(__xludf.DUMMYFUNCTION("""COMPUTED_VALUE"""),2.0)</f>
        <v>2</v>
      </c>
      <c r="F1984" s="1" t="str">
        <f>IFERROR(__xludf.DUMMYFUNCTION("""COMPUTED_VALUE"""),"Male")</f>
        <v>Male</v>
      </c>
      <c r="G1984" s="4" t="b">
        <f>IFERROR(__xludf.DUMMYFUNCTION("""COMPUTED_VALUE"""),TRUE)</f>
        <v>1</v>
      </c>
      <c r="H1984" s="4" t="b">
        <f>IFERROR(__xludf.DUMMYFUNCTION("""COMPUTED_VALUE"""),TRUE)</f>
        <v>1</v>
      </c>
      <c r="I1984" s="4">
        <f>IFERROR(__xludf.DUMMYFUNCTION("""COMPUTED_VALUE"""),0.2549440625)</f>
        <v>0.2549440625</v>
      </c>
      <c r="J1984" s="4">
        <f>IFERROR(__xludf.DUMMYFUNCTION("""COMPUTED_VALUE"""),45949.269533653984)</f>
        <v>45949.26953</v>
      </c>
      <c r="K1984" s="4" t="str">
        <f>IFERROR(__xludf.DUMMYFUNCTION("""COMPUTED_VALUE"""),"")</f>
        <v/>
      </c>
      <c r="L1984" s="4">
        <f>IFERROR(__xludf.DUMMYFUNCTION("""COMPUTED_VALUE"""),45949.2812932456)</f>
        <v>45949.28129</v>
      </c>
      <c r="M1984" s="1" t="str">
        <f>IFERROR(__xludf.DUMMYFUNCTION("""COMPUTED_VALUE"""),"RFID")</f>
        <v>RFID</v>
      </c>
      <c r="N1984" s="5">
        <f>IFERROR(__xludf.DUMMYFUNCTION("""COMPUTED_VALUE"""),0.005835837962962963)</f>
        <v>0.005835837963</v>
      </c>
      <c r="O1984" s="5" t="str">
        <f>IFERROR(__xludf.DUMMYFUNCTION("""COMPUTED_VALUE"""),"")</f>
        <v/>
      </c>
      <c r="P1984" s="5" t="str">
        <f>IFERROR(__xludf.DUMMYFUNCTION("""COMPUTED_VALUE"""),"")</f>
        <v/>
      </c>
      <c r="Q1984" s="5">
        <f>IFERROR(__xludf.DUMMYFUNCTION("""COMPUTED_VALUE"""),0.0052698356481481485)</f>
        <v>0.005269835648</v>
      </c>
      <c r="R1984" s="4">
        <f>IFERROR(__xludf.DUMMYFUNCTION("""COMPUTED_VALUE"""),45949.0263491831)</f>
        <v>45949.02635</v>
      </c>
      <c r="S1984" s="1" t="b">
        <f>IFERROR(__xludf.DUMMYFUNCTION("""COMPUTED_VALUE"""),TRUE)</f>
        <v>1</v>
      </c>
      <c r="T1984" s="1" t="b">
        <f>IFERROR(__xludf.DUMMYFUNCTION("""COMPUTED_VALUE"""),FALSE)</f>
        <v>0</v>
      </c>
      <c r="U1984" s="1" t="str">
        <f>IFERROR(__xludf.DUMMYFUNCTION("""COMPUTED_VALUE"""),"VALID")</f>
        <v>VALID</v>
      </c>
      <c r="V1984" s="1">
        <f>IFERROR(__xludf.DUMMYFUNCTION("""COMPUTED_VALUE"""),228.0)</f>
        <v>228</v>
      </c>
      <c r="W1984" s="1">
        <f>IFERROR(__xludf.DUMMYFUNCTION("""COMPUTED_VALUE"""),349.0)</f>
        <v>349</v>
      </c>
      <c r="X1984" s="1">
        <f>IFERROR(__xludf.DUMMYFUNCTION("""COMPUTED_VALUE"""),305.0)</f>
        <v>305</v>
      </c>
      <c r="Y1984" s="2"/>
      <c r="Z1984" s="2"/>
    </row>
    <row r="1985">
      <c r="A1985" s="1">
        <f>IFERROR(__xludf.DUMMYFUNCTION("""COMPUTED_VALUE"""),1984.0)</f>
        <v>1984</v>
      </c>
      <c r="B1985" s="1">
        <f>IFERROR(__xludf.DUMMYFUNCTION("""COMPUTED_VALUE"""),5549.0)</f>
        <v>5549</v>
      </c>
      <c r="C1985" s="2" t="str">
        <f>IFERROR(__xludf.DUMMYFUNCTION("""COMPUTED_VALUE"""),"Nurhidayat")</f>
        <v>Nurhidayat</v>
      </c>
      <c r="D1985" s="2" t="str">
        <f>IFERROR(__xludf.DUMMYFUNCTION("""COMPUTED_VALUE"""),"5KM OVERALL M")</f>
        <v>5KM OVERALL M</v>
      </c>
      <c r="E1985" s="1">
        <f>IFERROR(__xludf.DUMMYFUNCTION("""COMPUTED_VALUE"""),2.0)</f>
        <v>2</v>
      </c>
      <c r="F1985" s="1" t="str">
        <f>IFERROR(__xludf.DUMMYFUNCTION("""COMPUTED_VALUE"""),"Male")</f>
        <v>Male</v>
      </c>
      <c r="G1985" s="4" t="str">
        <f>IFERROR(__xludf.DUMMYFUNCTION("""COMPUTED_VALUE"""),"")</f>
        <v/>
      </c>
      <c r="H1985" s="4" t="b">
        <f>IFERROR(__xludf.DUMMYFUNCTION("""COMPUTED_VALUE"""),FALSE)</f>
        <v>0</v>
      </c>
      <c r="I1985" s="4">
        <f>IFERROR(__xludf.DUMMYFUNCTION("""COMPUTED_VALUE"""),0.2549440625)</f>
        <v>0.2549440625</v>
      </c>
      <c r="J1985" s="4" t="str">
        <f>IFERROR(__xludf.DUMMYFUNCTION("""COMPUTED_VALUE"""),"")</f>
        <v/>
      </c>
      <c r="K1985" s="4" t="str">
        <f>IFERROR(__xludf.DUMMYFUNCTION("""COMPUTED_VALUE"""),"")</f>
        <v/>
      </c>
      <c r="L1985" s="4" t="str">
        <f>IFERROR(__xludf.DUMMYFUNCTION("""COMPUTED_VALUE"""),"")</f>
        <v/>
      </c>
      <c r="M1985" s="1" t="str">
        <f>IFERROR(__xludf.DUMMYFUNCTION("""COMPUTED_VALUE"""),"RFID")</f>
        <v>RFID</v>
      </c>
      <c r="N1985" s="5" t="str">
        <f>IFERROR(__xludf.DUMMYFUNCTION("""COMPUTED_VALUE"""),"")</f>
        <v/>
      </c>
      <c r="O1985" s="5" t="str">
        <f>IFERROR(__xludf.DUMMYFUNCTION("""COMPUTED_VALUE"""),"")</f>
        <v/>
      </c>
      <c r="P1985" s="5" t="str">
        <f>IFERROR(__xludf.DUMMYFUNCTION("""COMPUTED_VALUE"""),"")</f>
        <v/>
      </c>
      <c r="Q1985" s="5" t="str">
        <f>IFERROR(__xludf.DUMMYFUNCTION("""COMPUTED_VALUE"""),"")</f>
        <v/>
      </c>
      <c r="R1985" s="4" t="str">
        <f>IFERROR(__xludf.DUMMYFUNCTION("""COMPUTED_VALUE"""),"")</f>
        <v/>
      </c>
      <c r="S1985" s="1" t="b">
        <f>IFERROR(__xludf.DUMMYFUNCTION("""COMPUTED_VALUE"""),FALSE)</f>
        <v>0</v>
      </c>
      <c r="T1985" s="1" t="b">
        <f>IFERROR(__xludf.DUMMYFUNCTION("""COMPUTED_VALUE"""),FALSE)</f>
        <v>0</v>
      </c>
      <c r="U1985" s="1" t="str">
        <f>IFERROR(__xludf.DUMMYFUNCTION("""COMPUTED_VALUE"""),"DSQ")</f>
        <v>DSQ</v>
      </c>
      <c r="V1985" s="1" t="str">
        <f>IFERROR(__xludf.DUMMYFUNCTION("""COMPUTED_VALUE"""),"DSQ")</f>
        <v>DSQ</v>
      </c>
      <c r="W1985" s="1" t="str">
        <f>IFERROR(__xludf.DUMMYFUNCTION("""COMPUTED_VALUE"""),"DSQ")</f>
        <v>DSQ</v>
      </c>
      <c r="X1985" s="1" t="str">
        <f>IFERROR(__xludf.DUMMYFUNCTION("""COMPUTED_VALUE"""),"DSQ")</f>
        <v>DSQ</v>
      </c>
      <c r="Y1985" s="2"/>
      <c r="Z1985" s="2" t="str">
        <f>IFERROR(__xludf.DUMMYFUNCTION("""COMPUTED_VALUE"""),"")</f>
        <v/>
      </c>
    </row>
    <row r="1986">
      <c r="A1986" s="1">
        <f>IFERROR(__xludf.DUMMYFUNCTION("""COMPUTED_VALUE"""),1985.0)</f>
        <v>1985</v>
      </c>
      <c r="B1986" s="1">
        <f>IFERROR(__xludf.DUMMYFUNCTION("""COMPUTED_VALUE"""),5550.0)</f>
        <v>5550</v>
      </c>
      <c r="C1986" s="2" t="str">
        <f>IFERROR(__xludf.DUMMYFUNCTION("""COMPUTED_VALUE"""),"Iwan YS")</f>
        <v>Iwan YS</v>
      </c>
      <c r="D1986" s="2" t="str">
        <f>IFERROR(__xludf.DUMMYFUNCTION("""COMPUTED_VALUE"""),"5KM OVERALL M")</f>
        <v>5KM OVERALL M</v>
      </c>
      <c r="E1986" s="1">
        <f>IFERROR(__xludf.DUMMYFUNCTION("""COMPUTED_VALUE"""),2.0)</f>
        <v>2</v>
      </c>
      <c r="F1986" s="1" t="str">
        <f>IFERROR(__xludf.DUMMYFUNCTION("""COMPUTED_VALUE"""),"Male")</f>
        <v>Male</v>
      </c>
      <c r="G1986" s="4" t="b">
        <f>IFERROR(__xludf.DUMMYFUNCTION("""COMPUTED_VALUE"""),TRUE)</f>
        <v>1</v>
      </c>
      <c r="H1986" s="4" t="b">
        <f>IFERROR(__xludf.DUMMYFUNCTION("""COMPUTED_VALUE"""),FALSE)</f>
        <v>0</v>
      </c>
      <c r="I1986" s="4">
        <f>IFERROR(__xludf.DUMMYFUNCTION("""COMPUTED_VALUE"""),0.2549440625)</f>
        <v>0.2549440625</v>
      </c>
      <c r="J1986" s="4">
        <f>IFERROR(__xludf.DUMMYFUNCTION("""COMPUTED_VALUE"""),45949.274457278305)</f>
        <v>45949.27446</v>
      </c>
      <c r="K1986" s="4" t="str">
        <f>IFERROR(__xludf.DUMMYFUNCTION("""COMPUTED_VALUE"""),"")</f>
        <v/>
      </c>
      <c r="L1986" s="4">
        <f>IFERROR(__xludf.DUMMYFUNCTION("""COMPUTED_VALUE"""),45949.28649114596)</f>
        <v>45949.28649</v>
      </c>
      <c r="M1986" s="1" t="str">
        <f>IFERROR(__xludf.DUMMYFUNCTION("""COMPUTED_VALUE"""),"RFID")</f>
        <v>RFID</v>
      </c>
      <c r="N1986" s="5">
        <f>IFERROR(__xludf.DUMMYFUNCTION("""COMPUTED_VALUE"""),0.007805287037037037)</f>
        <v>0.007805287037</v>
      </c>
      <c r="O1986" s="5" t="str">
        <f>IFERROR(__xludf.DUMMYFUNCTION("""COMPUTED_VALUE"""),"")</f>
        <v/>
      </c>
      <c r="P1986" s="5" t="str">
        <f>IFERROR(__xludf.DUMMYFUNCTION("""COMPUTED_VALUE"""),"")</f>
        <v/>
      </c>
      <c r="Q1986" s="5">
        <f>IFERROR(__xludf.DUMMYFUNCTION("""COMPUTED_VALUE"""),0.006309416666666667)</f>
        <v>0.006309416667</v>
      </c>
      <c r="R1986" s="4">
        <f>IFERROR(__xludf.DUMMYFUNCTION("""COMPUTED_VALUE"""),45949.03154708346)</f>
        <v>45949.03155</v>
      </c>
      <c r="S1986" s="1" t="b">
        <f>IFERROR(__xludf.DUMMYFUNCTION("""COMPUTED_VALUE"""),TRUE)</f>
        <v>1</v>
      </c>
      <c r="T1986" s="1" t="b">
        <f>IFERROR(__xludf.DUMMYFUNCTION("""COMPUTED_VALUE"""),FALSE)</f>
        <v>0</v>
      </c>
      <c r="U1986" s="1" t="str">
        <f>IFERROR(__xludf.DUMMYFUNCTION("""COMPUTED_VALUE"""),"VALID")</f>
        <v>VALID</v>
      </c>
      <c r="V1986" s="1">
        <f>IFERROR(__xludf.DUMMYFUNCTION("""COMPUTED_VALUE"""),432.0)</f>
        <v>432</v>
      </c>
      <c r="W1986" s="1">
        <f>IFERROR(__xludf.DUMMYFUNCTION("""COMPUTED_VALUE"""),667.0)</f>
        <v>667</v>
      </c>
      <c r="X1986" s="1">
        <f>IFERROR(__xludf.DUMMYFUNCTION("""COMPUTED_VALUE"""),557.0)</f>
        <v>557</v>
      </c>
      <c r="Y1986" s="2"/>
      <c r="Z1986" s="2"/>
    </row>
    <row r="1987">
      <c r="A1987" s="1">
        <f>IFERROR(__xludf.DUMMYFUNCTION("""COMPUTED_VALUE"""),1986.0)</f>
        <v>1986</v>
      </c>
      <c r="B1987" s="1">
        <f>IFERROR(__xludf.DUMMYFUNCTION("""COMPUTED_VALUE"""),5551.0)</f>
        <v>5551</v>
      </c>
      <c r="C1987" s="2" t="str">
        <f>IFERROR(__xludf.DUMMYFUNCTION("""COMPUTED_VALUE"""),"Surya")</f>
        <v>Surya</v>
      </c>
      <c r="D1987" s="2" t="str">
        <f>IFERROR(__xludf.DUMMYFUNCTION("""COMPUTED_VALUE"""),"5KM OVERALL M")</f>
        <v>5KM OVERALL M</v>
      </c>
      <c r="E1987" s="1">
        <f>IFERROR(__xludf.DUMMYFUNCTION("""COMPUTED_VALUE"""),2.0)</f>
        <v>2</v>
      </c>
      <c r="F1987" s="1" t="str">
        <f>IFERROR(__xludf.DUMMYFUNCTION("""COMPUTED_VALUE"""),"Male")</f>
        <v>Male</v>
      </c>
      <c r="G1987" s="4" t="b">
        <f>IFERROR(__xludf.DUMMYFUNCTION("""COMPUTED_VALUE"""),TRUE)</f>
        <v>1</v>
      </c>
      <c r="H1987" s="4" t="b">
        <f>IFERROR(__xludf.DUMMYFUNCTION("""COMPUTED_VALUE"""),FALSE)</f>
        <v>0</v>
      </c>
      <c r="I1987" s="4">
        <f>IFERROR(__xludf.DUMMYFUNCTION("""COMPUTED_VALUE"""),0.2549440625)</f>
        <v>0.2549440625</v>
      </c>
      <c r="J1987" s="4">
        <f>IFERROR(__xludf.DUMMYFUNCTION("""COMPUTED_VALUE"""),45949.27289820952)</f>
        <v>45949.2729</v>
      </c>
      <c r="K1987" s="4" t="str">
        <f>IFERROR(__xludf.DUMMYFUNCTION("""COMPUTED_VALUE"""),"")</f>
        <v/>
      </c>
      <c r="L1987" s="4">
        <f>IFERROR(__xludf.DUMMYFUNCTION("""COMPUTED_VALUE"""),45949.28640781862)</f>
        <v>45949.28641</v>
      </c>
      <c r="M1987" s="1" t="str">
        <f>IFERROR(__xludf.DUMMYFUNCTION("""COMPUTED_VALUE"""),"RFID")</f>
        <v>RFID</v>
      </c>
      <c r="N1987" s="5">
        <f>IFERROR(__xludf.DUMMYFUNCTION("""COMPUTED_VALUE"""),0.0071816574074074074)</f>
        <v>0.007181657407</v>
      </c>
      <c r="O1987" s="5" t="str">
        <f>IFERROR(__xludf.DUMMYFUNCTION("""COMPUTED_VALUE"""),"")</f>
        <v/>
      </c>
      <c r="P1987" s="5" t="str">
        <f>IFERROR(__xludf.DUMMYFUNCTION("""COMPUTED_VALUE"""),"")</f>
        <v/>
      </c>
      <c r="Q1987" s="5">
        <f>IFERROR(__xludf.DUMMYFUNCTION("""COMPUTED_VALUE"""),0.006292752314814814)</f>
        <v>0.006292752315</v>
      </c>
      <c r="R1987" s="4">
        <f>IFERROR(__xludf.DUMMYFUNCTION("""COMPUTED_VALUE"""),45949.03146375612)</f>
        <v>45949.03146</v>
      </c>
      <c r="S1987" s="1" t="b">
        <f>IFERROR(__xludf.DUMMYFUNCTION("""COMPUTED_VALUE"""),TRUE)</f>
        <v>1</v>
      </c>
      <c r="T1987" s="1" t="b">
        <f>IFERROR(__xludf.DUMMYFUNCTION("""COMPUTED_VALUE"""),FALSE)</f>
        <v>0</v>
      </c>
      <c r="U1987" s="1" t="str">
        <f>IFERROR(__xludf.DUMMYFUNCTION("""COMPUTED_VALUE"""),"VALID")</f>
        <v>VALID</v>
      </c>
      <c r="V1987" s="1">
        <f>IFERROR(__xludf.DUMMYFUNCTION("""COMPUTED_VALUE"""),431.0)</f>
        <v>431</v>
      </c>
      <c r="W1987" s="1">
        <f>IFERROR(__xludf.DUMMYFUNCTION("""COMPUTED_VALUE"""),661.0)</f>
        <v>661</v>
      </c>
      <c r="X1987" s="1">
        <f>IFERROR(__xludf.DUMMYFUNCTION("""COMPUTED_VALUE"""),552.0)</f>
        <v>552</v>
      </c>
      <c r="Y1987" s="2"/>
      <c r="Z1987" s="2"/>
    </row>
    <row r="1988">
      <c r="A1988" s="1">
        <f>IFERROR(__xludf.DUMMYFUNCTION("""COMPUTED_VALUE"""),1987.0)</f>
        <v>1987</v>
      </c>
      <c r="B1988" s="1">
        <f>IFERROR(__xludf.DUMMYFUNCTION("""COMPUTED_VALUE"""),5553.0)</f>
        <v>5553</v>
      </c>
      <c r="C1988" s="2" t="str">
        <f>IFERROR(__xludf.DUMMYFUNCTION("""COMPUTED_VALUE"""),"SYARWANI")</f>
        <v>SYARWANI</v>
      </c>
      <c r="D1988" s="2" t="str">
        <f>IFERROR(__xludf.DUMMYFUNCTION("""COMPUTED_VALUE"""),"5KM OVERALL M")</f>
        <v>5KM OVERALL M</v>
      </c>
      <c r="E1988" s="1">
        <f>IFERROR(__xludf.DUMMYFUNCTION("""COMPUTED_VALUE"""),2.0)</f>
        <v>2</v>
      </c>
      <c r="F1988" s="1" t="str">
        <f>IFERROR(__xludf.DUMMYFUNCTION("""COMPUTED_VALUE"""),"Male")</f>
        <v>Male</v>
      </c>
      <c r="G1988" s="4" t="b">
        <f>IFERROR(__xludf.DUMMYFUNCTION("""COMPUTED_VALUE"""),TRUE)</f>
        <v>1</v>
      </c>
      <c r="H1988" s="4" t="b">
        <f>IFERROR(__xludf.DUMMYFUNCTION("""COMPUTED_VALUE"""),FALSE)</f>
        <v>0</v>
      </c>
      <c r="I1988" s="4">
        <f>IFERROR(__xludf.DUMMYFUNCTION("""COMPUTED_VALUE"""),0.2549440625)</f>
        <v>0.2549440625</v>
      </c>
      <c r="J1988" s="4">
        <f>IFERROR(__xludf.DUMMYFUNCTION("""COMPUTED_VALUE"""),45949.2760336283)</f>
        <v>45949.27603</v>
      </c>
      <c r="K1988" s="4" t="str">
        <f>IFERROR(__xludf.DUMMYFUNCTION("""COMPUTED_VALUE"""),"")</f>
        <v/>
      </c>
      <c r="L1988" s="4">
        <f>IFERROR(__xludf.DUMMYFUNCTION("""COMPUTED_VALUE"""),45949.29775156929)</f>
        <v>45949.29775</v>
      </c>
      <c r="M1988" s="1" t="str">
        <f>IFERROR(__xludf.DUMMYFUNCTION("""COMPUTED_VALUE"""),"RFID")</f>
        <v>RFID</v>
      </c>
      <c r="N1988" s="5">
        <f>IFERROR(__xludf.DUMMYFUNCTION("""COMPUTED_VALUE"""),0.008435824074074073)</f>
        <v>0.008435824074</v>
      </c>
      <c r="O1988" s="5" t="str">
        <f>IFERROR(__xludf.DUMMYFUNCTION("""COMPUTED_VALUE"""),"")</f>
        <v/>
      </c>
      <c r="P1988" s="5" t="str">
        <f>IFERROR(__xludf.DUMMYFUNCTION("""COMPUTED_VALUE"""),"")</f>
        <v/>
      </c>
      <c r="Q1988" s="5">
        <f>IFERROR(__xludf.DUMMYFUNCTION("""COMPUTED_VALUE"""),0.008561502314814815)</f>
        <v>0.008561502315</v>
      </c>
      <c r="R1988" s="4">
        <f>IFERROR(__xludf.DUMMYFUNCTION("""COMPUTED_VALUE"""),45949.04280750679)</f>
        <v>45949.04281</v>
      </c>
      <c r="S1988" s="1" t="b">
        <f>IFERROR(__xludf.DUMMYFUNCTION("""COMPUTED_VALUE"""),TRUE)</f>
        <v>1</v>
      </c>
      <c r="T1988" s="1" t="b">
        <f>IFERROR(__xludf.DUMMYFUNCTION("""COMPUTED_VALUE"""),FALSE)</f>
        <v>0</v>
      </c>
      <c r="U1988" s="1" t="str">
        <f>IFERROR(__xludf.DUMMYFUNCTION("""COMPUTED_VALUE"""),"VALID")</f>
        <v>VALID</v>
      </c>
      <c r="V1988" s="1">
        <f>IFERROR(__xludf.DUMMYFUNCTION("""COMPUTED_VALUE"""),762.0)</f>
        <v>762</v>
      </c>
      <c r="W1988" s="1">
        <f>IFERROR(__xludf.DUMMYFUNCTION("""COMPUTED_VALUE"""),1356.0)</f>
        <v>1356</v>
      </c>
      <c r="X1988" s="1">
        <f>IFERROR(__xludf.DUMMYFUNCTION("""COMPUTED_VALUE"""),1095.0)</f>
        <v>1095</v>
      </c>
      <c r="Y1988" s="2"/>
      <c r="Z1988" s="2"/>
    </row>
    <row r="1989">
      <c r="A1989" s="1">
        <f>IFERROR(__xludf.DUMMYFUNCTION("""COMPUTED_VALUE"""),1988.0)</f>
        <v>1988</v>
      </c>
      <c r="B1989" s="1">
        <f>IFERROR(__xludf.DUMMYFUNCTION("""COMPUTED_VALUE"""),5554.0)</f>
        <v>5554</v>
      </c>
      <c r="C1989" s="2" t="str">
        <f>IFERROR(__xludf.DUMMYFUNCTION("""COMPUTED_VALUE"""),"FAHRIZA")</f>
        <v>FAHRIZA</v>
      </c>
      <c r="D1989" s="2" t="str">
        <f>IFERROR(__xludf.DUMMYFUNCTION("""COMPUTED_VALUE"""),"5KM OVERALL M")</f>
        <v>5KM OVERALL M</v>
      </c>
      <c r="E1989" s="1">
        <f>IFERROR(__xludf.DUMMYFUNCTION("""COMPUTED_VALUE"""),2.0)</f>
        <v>2</v>
      </c>
      <c r="F1989" s="1" t="str">
        <f>IFERROR(__xludf.DUMMYFUNCTION("""COMPUTED_VALUE"""),"Male")</f>
        <v>Male</v>
      </c>
      <c r="G1989" s="4" t="b">
        <f>IFERROR(__xludf.DUMMYFUNCTION("""COMPUTED_VALUE"""),TRUE)</f>
        <v>1</v>
      </c>
      <c r="H1989" s="4" t="b">
        <f>IFERROR(__xludf.DUMMYFUNCTION("""COMPUTED_VALUE"""),TRUE)</f>
        <v>1</v>
      </c>
      <c r="I1989" s="4">
        <f>IFERROR(__xludf.DUMMYFUNCTION("""COMPUTED_VALUE"""),0.2549440625)</f>
        <v>0.2549440625</v>
      </c>
      <c r="J1989" s="4">
        <f>IFERROR(__xludf.DUMMYFUNCTION("""COMPUTED_VALUE"""),45949.28014127218)</f>
        <v>45949.28014</v>
      </c>
      <c r="K1989" s="4" t="str">
        <f>IFERROR(__xludf.DUMMYFUNCTION("""COMPUTED_VALUE"""),"")</f>
        <v/>
      </c>
      <c r="L1989" s="4">
        <f>IFERROR(__xludf.DUMMYFUNCTION("""COMPUTED_VALUE"""),45949.29619600967)</f>
        <v>45949.2962</v>
      </c>
      <c r="M1989" s="1" t="str">
        <f>IFERROR(__xludf.DUMMYFUNCTION("""COMPUTED_VALUE"""),"RFID")</f>
        <v>RFID</v>
      </c>
      <c r="N1989" s="5">
        <f>IFERROR(__xludf.DUMMYFUNCTION("""COMPUTED_VALUE"""),0.01007888425925926)</f>
        <v>0.01007888426</v>
      </c>
      <c r="O1989" s="5" t="str">
        <f>IFERROR(__xludf.DUMMYFUNCTION("""COMPUTED_VALUE"""),"")</f>
        <v/>
      </c>
      <c r="P1989" s="5" t="str">
        <f>IFERROR(__xludf.DUMMYFUNCTION("""COMPUTED_VALUE"""),"")</f>
        <v/>
      </c>
      <c r="Q1989" s="5">
        <f>IFERROR(__xludf.DUMMYFUNCTION("""COMPUTED_VALUE"""),0.008250388888888889)</f>
        <v>0.008250388889</v>
      </c>
      <c r="R1989" s="4">
        <f>IFERROR(__xludf.DUMMYFUNCTION("""COMPUTED_VALUE"""),45949.04125194717)</f>
        <v>45949.04125</v>
      </c>
      <c r="S1989" s="1" t="b">
        <f>IFERROR(__xludf.DUMMYFUNCTION("""COMPUTED_VALUE"""),TRUE)</f>
        <v>1</v>
      </c>
      <c r="T1989" s="1" t="b">
        <f>IFERROR(__xludf.DUMMYFUNCTION("""COMPUTED_VALUE"""),FALSE)</f>
        <v>0</v>
      </c>
      <c r="U1989" s="1" t="str">
        <f>IFERROR(__xludf.DUMMYFUNCTION("""COMPUTED_VALUE"""),"VALID")</f>
        <v>VALID</v>
      </c>
      <c r="V1989" s="1">
        <f>IFERROR(__xludf.DUMMYFUNCTION("""COMPUTED_VALUE"""),739.0)</f>
        <v>739</v>
      </c>
      <c r="W1989" s="1">
        <f>IFERROR(__xludf.DUMMYFUNCTION("""COMPUTED_VALUE"""),1297.0)</f>
        <v>1297</v>
      </c>
      <c r="X1989" s="1">
        <f>IFERROR(__xludf.DUMMYFUNCTION("""COMPUTED_VALUE"""),1028.0)</f>
        <v>1028</v>
      </c>
      <c r="Y1989" s="2"/>
      <c r="Z1989" s="2"/>
    </row>
    <row r="1990">
      <c r="A1990" s="1">
        <f>IFERROR(__xludf.DUMMYFUNCTION("""COMPUTED_VALUE"""),1989.0)</f>
        <v>1989</v>
      </c>
      <c r="B1990" s="1">
        <f>IFERROR(__xludf.DUMMYFUNCTION("""COMPUTED_VALUE"""),5555.0)</f>
        <v>5555</v>
      </c>
      <c r="C1990" s="2" t="str">
        <f>IFERROR(__xludf.DUMMYFUNCTION("""COMPUTED_VALUE"""),"Ragil Wijaya")</f>
        <v>Ragil Wijaya</v>
      </c>
      <c r="D1990" s="2" t="str">
        <f>IFERROR(__xludf.DUMMYFUNCTION("""COMPUTED_VALUE"""),"5KM OVERALL M")</f>
        <v>5KM OVERALL M</v>
      </c>
      <c r="E1990" s="1">
        <f>IFERROR(__xludf.DUMMYFUNCTION("""COMPUTED_VALUE"""),2.0)</f>
        <v>2</v>
      </c>
      <c r="F1990" s="1" t="str">
        <f>IFERROR(__xludf.DUMMYFUNCTION("""COMPUTED_VALUE"""),"Male")</f>
        <v>Male</v>
      </c>
      <c r="G1990" s="4" t="b">
        <f>IFERROR(__xludf.DUMMYFUNCTION("""COMPUTED_VALUE"""),TRUE)</f>
        <v>1</v>
      </c>
      <c r="H1990" s="4" t="b">
        <f>IFERROR(__xludf.DUMMYFUNCTION("""COMPUTED_VALUE"""),FALSE)</f>
        <v>0</v>
      </c>
      <c r="I1990" s="4">
        <f>IFERROR(__xludf.DUMMYFUNCTION("""COMPUTED_VALUE"""),0.2549440625)</f>
        <v>0.2549440625</v>
      </c>
      <c r="J1990" s="4">
        <f>IFERROR(__xludf.DUMMYFUNCTION("""COMPUTED_VALUE"""),45949.26707878071)</f>
        <v>45949.26708</v>
      </c>
      <c r="K1990" s="4" t="str">
        <f>IFERROR(__xludf.DUMMYFUNCTION("""COMPUTED_VALUE"""),"")</f>
        <v/>
      </c>
      <c r="L1990" s="4">
        <f>IFERROR(__xludf.DUMMYFUNCTION("""COMPUTED_VALUE"""),45949.27788003534)</f>
        <v>45949.27788</v>
      </c>
      <c r="M1990" s="1" t="str">
        <f>IFERROR(__xludf.DUMMYFUNCTION("""COMPUTED_VALUE"""),"RFID")</f>
        <v>RFID</v>
      </c>
      <c r="N1990" s="5">
        <f>IFERROR(__xludf.DUMMYFUNCTION("""COMPUTED_VALUE"""),0.0048538888888888885)</f>
        <v>0.004853888889</v>
      </c>
      <c r="O1990" s="5" t="str">
        <f>IFERROR(__xludf.DUMMYFUNCTION("""COMPUTED_VALUE"""),"")</f>
        <v/>
      </c>
      <c r="P1990" s="5" t="str">
        <f>IFERROR(__xludf.DUMMYFUNCTION("""COMPUTED_VALUE"""),"")</f>
        <v/>
      </c>
      <c r="Q1990" s="5">
        <f>IFERROR(__xludf.DUMMYFUNCTION("""COMPUTED_VALUE"""),0.004587194444444444)</f>
        <v>0.004587194444</v>
      </c>
      <c r="R1990" s="4">
        <f>IFERROR(__xludf.DUMMYFUNCTION("""COMPUTED_VALUE"""),45949.02293597284)</f>
        <v>45949.02294</v>
      </c>
      <c r="S1990" s="1" t="b">
        <f>IFERROR(__xludf.DUMMYFUNCTION("""COMPUTED_VALUE"""),TRUE)</f>
        <v>1</v>
      </c>
      <c r="T1990" s="1" t="b">
        <f>IFERROR(__xludf.DUMMYFUNCTION("""COMPUTED_VALUE"""),FALSE)</f>
        <v>0</v>
      </c>
      <c r="U1990" s="1" t="str">
        <f>IFERROR(__xludf.DUMMYFUNCTION("""COMPUTED_VALUE"""),"VALID")</f>
        <v>VALID</v>
      </c>
      <c r="V1990" s="1">
        <f>IFERROR(__xludf.DUMMYFUNCTION("""COMPUTED_VALUE"""),134.0)</f>
        <v>134</v>
      </c>
      <c r="W1990" s="1">
        <f>IFERROR(__xludf.DUMMYFUNCTION("""COMPUTED_VALUE"""),206.0)</f>
        <v>206</v>
      </c>
      <c r="X1990" s="1">
        <f>IFERROR(__xludf.DUMMYFUNCTION("""COMPUTED_VALUE"""),180.0)</f>
        <v>180</v>
      </c>
      <c r="Y1990" s="2"/>
      <c r="Z1990" s="2"/>
    </row>
    <row r="1991">
      <c r="A1991" s="1">
        <f>IFERROR(__xludf.DUMMYFUNCTION("""COMPUTED_VALUE"""),1990.0)</f>
        <v>1990</v>
      </c>
      <c r="B1991" s="1">
        <f>IFERROR(__xludf.DUMMYFUNCTION("""COMPUTED_VALUE"""),5556.0)</f>
        <v>5556</v>
      </c>
      <c r="C1991" s="2" t="str">
        <f>IFERROR(__xludf.DUMMYFUNCTION("""COMPUTED_VALUE"""),"ARNOL S. SITIO")</f>
        <v>ARNOL S. SITIO</v>
      </c>
      <c r="D1991" s="2" t="str">
        <f>IFERROR(__xludf.DUMMYFUNCTION("""COMPUTED_VALUE"""),"5KM OVERALL M")</f>
        <v>5KM OVERALL M</v>
      </c>
      <c r="E1991" s="1">
        <f>IFERROR(__xludf.DUMMYFUNCTION("""COMPUTED_VALUE"""),2.0)</f>
        <v>2</v>
      </c>
      <c r="F1991" s="1" t="str">
        <f>IFERROR(__xludf.DUMMYFUNCTION("""COMPUTED_VALUE"""),"Male")</f>
        <v>Male</v>
      </c>
      <c r="G1991" s="4" t="b">
        <f>IFERROR(__xludf.DUMMYFUNCTION("""COMPUTED_VALUE"""),TRUE)</f>
        <v>1</v>
      </c>
      <c r="H1991" s="4" t="b">
        <f>IFERROR(__xludf.DUMMYFUNCTION("""COMPUTED_VALUE"""),FALSE)</f>
        <v>0</v>
      </c>
      <c r="I1991" s="4">
        <f>IFERROR(__xludf.DUMMYFUNCTION("""COMPUTED_VALUE"""),0.2549440625)</f>
        <v>0.2549440625</v>
      </c>
      <c r="J1991" s="4">
        <f>IFERROR(__xludf.DUMMYFUNCTION("""COMPUTED_VALUE"""),45949.27787391047)</f>
        <v>45949.27787</v>
      </c>
      <c r="K1991" s="4" t="str">
        <f>IFERROR(__xludf.DUMMYFUNCTION("""COMPUTED_VALUE"""),"")</f>
        <v/>
      </c>
      <c r="L1991" s="4">
        <f>IFERROR(__xludf.DUMMYFUNCTION("""COMPUTED_VALUE"""),45949.29527935855)</f>
        <v>45949.29528</v>
      </c>
      <c r="M1991" s="1" t="str">
        <f>IFERROR(__xludf.DUMMYFUNCTION("""COMPUTED_VALUE"""),"RFID")</f>
        <v>RFID</v>
      </c>
      <c r="N1991" s="5">
        <f>IFERROR(__xludf.DUMMYFUNCTION("""COMPUTED_VALUE"""),0.009171939814814813)</f>
        <v>0.009171939815</v>
      </c>
      <c r="O1991" s="5" t="str">
        <f>IFERROR(__xludf.DUMMYFUNCTION("""COMPUTED_VALUE"""),"")</f>
        <v/>
      </c>
      <c r="P1991" s="5" t="str">
        <f>IFERROR(__xludf.DUMMYFUNCTION("""COMPUTED_VALUE"""),"")</f>
        <v/>
      </c>
      <c r="Q1991" s="5">
        <f>IFERROR(__xludf.DUMMYFUNCTION("""COMPUTED_VALUE"""),0.008067060185185184)</f>
        <v>0.008067060185</v>
      </c>
      <c r="R1991" s="4">
        <f>IFERROR(__xludf.DUMMYFUNCTION("""COMPUTED_VALUE"""),45949.04033529605)</f>
        <v>45949.04034</v>
      </c>
      <c r="S1991" s="1" t="b">
        <f>IFERROR(__xludf.DUMMYFUNCTION("""COMPUTED_VALUE"""),TRUE)</f>
        <v>1</v>
      </c>
      <c r="T1991" s="1" t="b">
        <f>IFERROR(__xludf.DUMMYFUNCTION("""COMPUTED_VALUE"""),FALSE)</f>
        <v>0</v>
      </c>
      <c r="U1991" s="1" t="str">
        <f>IFERROR(__xludf.DUMMYFUNCTION("""COMPUTED_VALUE"""),"VALID")</f>
        <v>VALID</v>
      </c>
      <c r="V1991" s="1">
        <f>IFERROR(__xludf.DUMMYFUNCTION("""COMPUTED_VALUE"""),720.0)</f>
        <v>720</v>
      </c>
      <c r="W1991" s="1">
        <f>IFERROR(__xludf.DUMMYFUNCTION("""COMPUTED_VALUE"""),1259.0)</f>
        <v>1259</v>
      </c>
      <c r="X1991" s="1">
        <f>IFERROR(__xludf.DUMMYFUNCTION("""COMPUTED_VALUE"""),991.0)</f>
        <v>991</v>
      </c>
      <c r="Y1991" s="2"/>
      <c r="Z1991" s="2"/>
    </row>
    <row r="1992">
      <c r="A1992" s="1">
        <f>IFERROR(__xludf.DUMMYFUNCTION("""COMPUTED_VALUE"""),1991.0)</f>
        <v>1991</v>
      </c>
      <c r="B1992" s="1">
        <f>IFERROR(__xludf.DUMMYFUNCTION("""COMPUTED_VALUE"""),5557.0)</f>
        <v>5557</v>
      </c>
      <c r="C1992" s="2" t="str">
        <f>IFERROR(__xludf.DUMMYFUNCTION("""COMPUTED_VALUE"""),"muji")</f>
        <v>muji</v>
      </c>
      <c r="D1992" s="2" t="str">
        <f>IFERROR(__xludf.DUMMYFUNCTION("""COMPUTED_VALUE"""),"5KM OVERALL M")</f>
        <v>5KM OVERALL M</v>
      </c>
      <c r="E1992" s="1">
        <f>IFERROR(__xludf.DUMMYFUNCTION("""COMPUTED_VALUE"""),2.0)</f>
        <v>2</v>
      </c>
      <c r="F1992" s="1" t="str">
        <f>IFERROR(__xludf.DUMMYFUNCTION("""COMPUTED_VALUE"""),"Male")</f>
        <v>Male</v>
      </c>
      <c r="G1992" s="4" t="b">
        <f>IFERROR(__xludf.DUMMYFUNCTION("""COMPUTED_VALUE"""),TRUE)</f>
        <v>1</v>
      </c>
      <c r="H1992" s="4" t="b">
        <f>IFERROR(__xludf.DUMMYFUNCTION("""COMPUTED_VALUE"""),FALSE)</f>
        <v>0</v>
      </c>
      <c r="I1992" s="4">
        <f>IFERROR(__xludf.DUMMYFUNCTION("""COMPUTED_VALUE"""),0.2549440625)</f>
        <v>0.2549440625</v>
      </c>
      <c r="J1992" s="4">
        <f>IFERROR(__xludf.DUMMYFUNCTION("""COMPUTED_VALUE"""),45950.286458333336)</f>
        <v>45950.28646</v>
      </c>
      <c r="K1992" s="4" t="str">
        <f>IFERROR(__xludf.DUMMYFUNCTION("""COMPUTED_VALUE"""),"")</f>
        <v/>
      </c>
      <c r="L1992" s="4">
        <f>IFERROR(__xludf.DUMMYFUNCTION("""COMPUTED_VALUE"""),45949.30747378912)</f>
        <v>45949.30747</v>
      </c>
      <c r="M1992" s="1" t="str">
        <f>IFERROR(__xludf.DUMMYFUNCTION("""COMPUTED_VALUE"""),"RFID")</f>
        <v>RFID</v>
      </c>
      <c r="N1992" s="5">
        <f>IFERROR(__xludf.DUMMYFUNCTION("""COMPUTED_VALUE"""),0.012605708333333335)</f>
        <v>0.01260570833</v>
      </c>
      <c r="O1992" s="5" t="str">
        <f>IFERROR(__xludf.DUMMYFUNCTION("""COMPUTED_VALUE"""),"")</f>
        <v/>
      </c>
      <c r="P1992" s="5" t="str">
        <f>IFERROR(__xludf.DUMMYFUNCTION("""COMPUTED_VALUE"""),"")</f>
        <v/>
      </c>
      <c r="Q1992" s="5">
        <f>IFERROR(__xludf.DUMMYFUNCTION("""COMPUTED_VALUE"""),0.010505944444444446)</f>
        <v>0.01050594444</v>
      </c>
      <c r="R1992" s="4">
        <f>IFERROR(__xludf.DUMMYFUNCTION("""COMPUTED_VALUE"""),45949.05252972662)</f>
        <v>45949.05253</v>
      </c>
      <c r="S1992" s="1" t="b">
        <f>IFERROR(__xludf.DUMMYFUNCTION("""COMPUTED_VALUE"""),TRUE)</f>
        <v>1</v>
      </c>
      <c r="T1992" s="1" t="b">
        <f>IFERROR(__xludf.DUMMYFUNCTION("""COMPUTED_VALUE"""),FALSE)</f>
        <v>0</v>
      </c>
      <c r="U1992" s="1" t="str">
        <f>IFERROR(__xludf.DUMMYFUNCTION("""COMPUTED_VALUE"""),"VALID")</f>
        <v>VALID</v>
      </c>
      <c r="V1992" s="1">
        <f>IFERROR(__xludf.DUMMYFUNCTION("""COMPUTED_VALUE"""),850.0)</f>
        <v>850</v>
      </c>
      <c r="W1992" s="1">
        <f>IFERROR(__xludf.DUMMYFUNCTION("""COMPUTED_VALUE"""),1588.0)</f>
        <v>1588</v>
      </c>
      <c r="X1992" s="1">
        <f>IFERROR(__xludf.DUMMYFUNCTION("""COMPUTED_VALUE"""),1447.0)</f>
        <v>1447</v>
      </c>
      <c r="Y1992" s="2"/>
      <c r="Z1992" s="2" t="str">
        <f>IFERROR(__xludf.DUMMYFUNCTION("""COMPUTED_VALUE"""),"C")</f>
        <v>C</v>
      </c>
    </row>
    <row r="1993">
      <c r="A1993" s="1">
        <f>IFERROR(__xludf.DUMMYFUNCTION("""COMPUTED_VALUE"""),1992.0)</f>
        <v>1992</v>
      </c>
      <c r="B1993" s="1">
        <f>IFERROR(__xludf.DUMMYFUNCTION("""COMPUTED_VALUE"""),5560.0)</f>
        <v>5560</v>
      </c>
      <c r="C1993" s="2" t="str">
        <f>IFERROR(__xludf.DUMMYFUNCTION("""COMPUTED_VALUE"""),"Achmad Muhaimin")</f>
        <v>Achmad Muhaimin</v>
      </c>
      <c r="D1993" s="2" t="str">
        <f>IFERROR(__xludf.DUMMYFUNCTION("""COMPUTED_VALUE"""),"5KM OVERALL M")</f>
        <v>5KM OVERALL M</v>
      </c>
      <c r="E1993" s="1">
        <f>IFERROR(__xludf.DUMMYFUNCTION("""COMPUTED_VALUE"""),2.0)</f>
        <v>2</v>
      </c>
      <c r="F1993" s="1" t="str">
        <f>IFERROR(__xludf.DUMMYFUNCTION("""COMPUTED_VALUE"""),"Male")</f>
        <v>Male</v>
      </c>
      <c r="G1993" s="4" t="b">
        <f>IFERROR(__xludf.DUMMYFUNCTION("""COMPUTED_VALUE"""),TRUE)</f>
        <v>1</v>
      </c>
      <c r="H1993" s="4" t="b">
        <f>IFERROR(__xludf.DUMMYFUNCTION("""COMPUTED_VALUE"""),FALSE)</f>
        <v>0</v>
      </c>
      <c r="I1993" s="4">
        <f>IFERROR(__xludf.DUMMYFUNCTION("""COMPUTED_VALUE"""),0.2549440625)</f>
        <v>0.2549440625</v>
      </c>
      <c r="J1993" s="4">
        <f>IFERROR(__xludf.DUMMYFUNCTION("""COMPUTED_VALUE"""),45949.2685312699)</f>
        <v>45949.26853</v>
      </c>
      <c r="K1993" s="4" t="str">
        <f>IFERROR(__xludf.DUMMYFUNCTION("""COMPUTED_VALUE"""),"")</f>
        <v/>
      </c>
      <c r="L1993" s="4">
        <f>IFERROR(__xludf.DUMMYFUNCTION("""COMPUTED_VALUE"""),45949.280077952055)</f>
        <v>45949.28008</v>
      </c>
      <c r="M1993" s="1" t="str">
        <f>IFERROR(__xludf.DUMMYFUNCTION("""COMPUTED_VALUE"""),"RFID")</f>
        <v>RFID</v>
      </c>
      <c r="N1993" s="5">
        <f>IFERROR(__xludf.DUMMYFUNCTION("""COMPUTED_VALUE"""),0.005434884259259259)</f>
        <v>0.005434884259</v>
      </c>
      <c r="O1993" s="5" t="str">
        <f>IFERROR(__xludf.DUMMYFUNCTION("""COMPUTED_VALUE"""),"")</f>
        <v/>
      </c>
      <c r="P1993" s="5" t="str">
        <f>IFERROR(__xludf.DUMMYFUNCTION("""COMPUTED_VALUE"""),"")</f>
        <v/>
      </c>
      <c r="Q1993" s="5">
        <f>IFERROR(__xludf.DUMMYFUNCTION("""COMPUTED_VALUE"""),0.005026777777777778)</f>
        <v>0.005026777778</v>
      </c>
      <c r="R1993" s="4">
        <f>IFERROR(__xludf.DUMMYFUNCTION("""COMPUTED_VALUE"""),45949.025133889554)</f>
        <v>45949.02513</v>
      </c>
      <c r="S1993" s="1" t="b">
        <f>IFERROR(__xludf.DUMMYFUNCTION("""COMPUTED_VALUE"""),TRUE)</f>
        <v>1</v>
      </c>
      <c r="T1993" s="1" t="b">
        <f>IFERROR(__xludf.DUMMYFUNCTION("""COMPUTED_VALUE"""),FALSE)</f>
        <v>0</v>
      </c>
      <c r="U1993" s="1" t="str">
        <f>IFERROR(__xludf.DUMMYFUNCTION("""COMPUTED_VALUE"""),"VALID")</f>
        <v>VALID</v>
      </c>
      <c r="V1993" s="1">
        <f>IFERROR(__xludf.DUMMYFUNCTION("""COMPUTED_VALUE"""),189.0)</f>
        <v>189</v>
      </c>
      <c r="W1993" s="1">
        <f>IFERROR(__xludf.DUMMYFUNCTION("""COMPUTED_VALUE"""),291.0)</f>
        <v>291</v>
      </c>
      <c r="X1993" s="1">
        <f>IFERROR(__xludf.DUMMYFUNCTION("""COMPUTED_VALUE"""),253.0)</f>
        <v>253</v>
      </c>
      <c r="Y1993" s="2"/>
      <c r="Z1993" s="2"/>
    </row>
    <row r="1994">
      <c r="A1994" s="1">
        <f>IFERROR(__xludf.DUMMYFUNCTION("""COMPUTED_VALUE"""),1993.0)</f>
        <v>1993</v>
      </c>
      <c r="B1994" s="1">
        <f>IFERROR(__xludf.DUMMYFUNCTION("""COMPUTED_VALUE"""),5561.0)</f>
        <v>5561</v>
      </c>
      <c r="C1994" s="2" t="str">
        <f>IFERROR(__xludf.DUMMYFUNCTION("""COMPUTED_VALUE"""),"PRADIPTHA")</f>
        <v>PRADIPTHA</v>
      </c>
      <c r="D1994" s="2" t="str">
        <f>IFERROR(__xludf.DUMMYFUNCTION("""COMPUTED_VALUE"""),"5KM OVERALL M")</f>
        <v>5KM OVERALL M</v>
      </c>
      <c r="E1994" s="1">
        <f>IFERROR(__xludf.DUMMYFUNCTION("""COMPUTED_VALUE"""),2.0)</f>
        <v>2</v>
      </c>
      <c r="F1994" s="1" t="str">
        <f>IFERROR(__xludf.DUMMYFUNCTION("""COMPUTED_VALUE"""),"Male")</f>
        <v>Male</v>
      </c>
      <c r="G1994" s="4" t="b">
        <f>IFERROR(__xludf.DUMMYFUNCTION("""COMPUTED_VALUE"""),TRUE)</f>
        <v>1</v>
      </c>
      <c r="H1994" s="4" t="b">
        <f>IFERROR(__xludf.DUMMYFUNCTION("""COMPUTED_VALUE"""),TRUE)</f>
        <v>1</v>
      </c>
      <c r="I1994" s="4">
        <f>IFERROR(__xludf.DUMMYFUNCTION("""COMPUTED_VALUE"""),0.2549440625)</f>
        <v>0.2549440625</v>
      </c>
      <c r="J1994" s="4">
        <f>IFERROR(__xludf.DUMMYFUNCTION("""COMPUTED_VALUE"""),45949.27873849904)</f>
        <v>45949.27874</v>
      </c>
      <c r="K1994" s="4" t="str">
        <f>IFERROR(__xludf.DUMMYFUNCTION("""COMPUTED_VALUE"""),"")</f>
        <v/>
      </c>
      <c r="L1994" s="4">
        <f>IFERROR(__xludf.DUMMYFUNCTION("""COMPUTED_VALUE"""),45949.295136978464)</f>
        <v>45949.29514</v>
      </c>
      <c r="M1994" s="1" t="str">
        <f>IFERROR(__xludf.DUMMYFUNCTION("""COMPUTED_VALUE"""),"RFID")</f>
        <v>RFID</v>
      </c>
      <c r="N1994" s="5">
        <f>IFERROR(__xludf.DUMMYFUNCTION("""COMPUTED_VALUE"""),0.009517773148148148)</f>
        <v>0.009517773148</v>
      </c>
      <c r="O1994" s="5" t="str">
        <f>IFERROR(__xludf.DUMMYFUNCTION("""COMPUTED_VALUE"""),"")</f>
        <v/>
      </c>
      <c r="P1994" s="5" t="str">
        <f>IFERROR(__xludf.DUMMYFUNCTION("""COMPUTED_VALUE"""),"")</f>
        <v/>
      </c>
      <c r="Q1994" s="5">
        <f>IFERROR(__xludf.DUMMYFUNCTION("""COMPUTED_VALUE"""),0.008038583333333333)</f>
        <v>0.008038583333</v>
      </c>
      <c r="R1994" s="4">
        <f>IFERROR(__xludf.DUMMYFUNCTION("""COMPUTED_VALUE"""),45949.04019291596)</f>
        <v>45949.04019</v>
      </c>
      <c r="S1994" s="1" t="b">
        <f>IFERROR(__xludf.DUMMYFUNCTION("""COMPUTED_VALUE"""),TRUE)</f>
        <v>1</v>
      </c>
      <c r="T1994" s="1" t="b">
        <f>IFERROR(__xludf.DUMMYFUNCTION("""COMPUTED_VALUE"""),FALSE)</f>
        <v>0</v>
      </c>
      <c r="U1994" s="1" t="str">
        <f>IFERROR(__xludf.DUMMYFUNCTION("""COMPUTED_VALUE"""),"VALID")</f>
        <v>VALID</v>
      </c>
      <c r="V1994" s="1">
        <f>IFERROR(__xludf.DUMMYFUNCTION("""COMPUTED_VALUE"""),716.0)</f>
        <v>716</v>
      </c>
      <c r="W1994" s="1">
        <f>IFERROR(__xludf.DUMMYFUNCTION("""COMPUTED_VALUE"""),1251.0)</f>
        <v>1251</v>
      </c>
      <c r="X1994" s="1">
        <f>IFERROR(__xludf.DUMMYFUNCTION("""COMPUTED_VALUE"""),986.0)</f>
        <v>986</v>
      </c>
      <c r="Y1994" s="2"/>
      <c r="Z1994" s="2"/>
    </row>
    <row r="1995">
      <c r="A1995" s="1">
        <f>IFERROR(__xludf.DUMMYFUNCTION("""COMPUTED_VALUE"""),1994.0)</f>
        <v>1994</v>
      </c>
      <c r="B1995" s="1">
        <f>IFERROR(__xludf.DUMMYFUNCTION("""COMPUTED_VALUE"""),5562.0)</f>
        <v>5562</v>
      </c>
      <c r="C1995" s="2" t="str">
        <f>IFERROR(__xludf.DUMMYFUNCTION("""COMPUTED_VALUE"""),"yuni")</f>
        <v>yuni</v>
      </c>
      <c r="D1995" s="2" t="str">
        <f>IFERROR(__xludf.DUMMYFUNCTION("""COMPUTED_VALUE"""),"5KM OVERALL M")</f>
        <v>5KM OVERALL M</v>
      </c>
      <c r="E1995" s="1">
        <f>IFERROR(__xludf.DUMMYFUNCTION("""COMPUTED_VALUE"""),2.0)</f>
        <v>2</v>
      </c>
      <c r="F1995" s="1" t="str">
        <f>IFERROR(__xludf.DUMMYFUNCTION("""COMPUTED_VALUE"""),"Male")</f>
        <v>Male</v>
      </c>
      <c r="G1995" s="4" t="b">
        <f>IFERROR(__xludf.DUMMYFUNCTION("""COMPUTED_VALUE"""),TRUE)</f>
        <v>1</v>
      </c>
      <c r="H1995" s="4" t="b">
        <f>IFERROR(__xludf.DUMMYFUNCTION("""COMPUTED_VALUE"""),FALSE)</f>
        <v>0</v>
      </c>
      <c r="I1995" s="4">
        <f>IFERROR(__xludf.DUMMYFUNCTION("""COMPUTED_VALUE"""),0.2549440625)</f>
        <v>0.2549440625</v>
      </c>
      <c r="J1995" s="4">
        <f>IFERROR(__xludf.DUMMYFUNCTION("""COMPUTED_VALUE"""),45949.26357182494)</f>
        <v>45949.26357</v>
      </c>
      <c r="K1995" s="4" t="str">
        <f>IFERROR(__xludf.DUMMYFUNCTION("""COMPUTED_VALUE"""),"")</f>
        <v/>
      </c>
      <c r="L1995" s="4">
        <f>IFERROR(__xludf.DUMMYFUNCTION("""COMPUTED_VALUE"""),45949.27075208138)</f>
        <v>45949.27075</v>
      </c>
      <c r="M1995" s="1" t="str">
        <f>IFERROR(__xludf.DUMMYFUNCTION("""COMPUTED_VALUE"""),"RFID")</f>
        <v>RFID</v>
      </c>
      <c r="N1995" s="5">
        <f>IFERROR(__xludf.DUMMYFUNCTION("""COMPUTED_VALUE"""),0.003451106481481481)</f>
        <v>0.003451106481</v>
      </c>
      <c r="O1995" s="5" t="str">
        <f>IFERROR(__xludf.DUMMYFUNCTION("""COMPUTED_VALUE"""),"")</f>
        <v/>
      </c>
      <c r="P1995" s="5" t="str">
        <f>IFERROR(__xludf.DUMMYFUNCTION("""COMPUTED_VALUE"""),"")</f>
        <v/>
      </c>
      <c r="Q1995" s="5">
        <f>IFERROR(__xludf.DUMMYFUNCTION("""COMPUTED_VALUE"""),0.003161604166666667)</f>
        <v>0.003161604167</v>
      </c>
      <c r="R1995" s="4">
        <f>IFERROR(__xludf.DUMMYFUNCTION("""COMPUTED_VALUE"""),45949.01580801888)</f>
        <v>45949.01581</v>
      </c>
      <c r="S1995" s="1" t="b">
        <f>IFERROR(__xludf.DUMMYFUNCTION("""COMPUTED_VALUE"""),TRUE)</f>
        <v>1</v>
      </c>
      <c r="T1995" s="1" t="b">
        <f>IFERROR(__xludf.DUMMYFUNCTION("""COMPUTED_VALUE"""),FALSE)</f>
        <v>0</v>
      </c>
      <c r="U1995" s="1" t="str">
        <f>IFERROR(__xludf.DUMMYFUNCTION("""COMPUTED_VALUE"""),"VALID")</f>
        <v>VALID</v>
      </c>
      <c r="V1995" s="1">
        <f>IFERROR(__xludf.DUMMYFUNCTION("""COMPUTED_VALUE"""),14.0)</f>
        <v>14</v>
      </c>
      <c r="W1995" s="1">
        <f>IFERROR(__xludf.DUMMYFUNCTION("""COMPUTED_VALUE"""),22.0)</f>
        <v>22</v>
      </c>
      <c r="X1995" s="1">
        <f>IFERROR(__xludf.DUMMYFUNCTION("""COMPUTED_VALUE"""),22.0)</f>
        <v>22</v>
      </c>
      <c r="Y1995" s="2"/>
      <c r="Z1995" s="2"/>
    </row>
    <row r="1996">
      <c r="A1996" s="1">
        <f>IFERROR(__xludf.DUMMYFUNCTION("""COMPUTED_VALUE"""),1995.0)</f>
        <v>1995</v>
      </c>
      <c r="B1996" s="1">
        <f>IFERROR(__xludf.DUMMYFUNCTION("""COMPUTED_VALUE"""),5565.0)</f>
        <v>5565</v>
      </c>
      <c r="C1996" s="2" t="str">
        <f>IFERROR(__xludf.DUMMYFUNCTION("""COMPUTED_VALUE"""),"YAHMAN")</f>
        <v>YAHMAN</v>
      </c>
      <c r="D1996" s="2" t="str">
        <f>IFERROR(__xludf.DUMMYFUNCTION("""COMPUTED_VALUE"""),"5KM OVERALL M")</f>
        <v>5KM OVERALL M</v>
      </c>
      <c r="E1996" s="1">
        <f>IFERROR(__xludf.DUMMYFUNCTION("""COMPUTED_VALUE"""),2.0)</f>
        <v>2</v>
      </c>
      <c r="F1996" s="1" t="str">
        <f>IFERROR(__xludf.DUMMYFUNCTION("""COMPUTED_VALUE"""),"Male")</f>
        <v>Male</v>
      </c>
      <c r="G1996" s="4" t="b">
        <f>IFERROR(__xludf.DUMMYFUNCTION("""COMPUTED_VALUE"""),TRUE)</f>
        <v>1</v>
      </c>
      <c r="H1996" s="4" t="b">
        <f>IFERROR(__xludf.DUMMYFUNCTION("""COMPUTED_VALUE"""),TRUE)</f>
        <v>1</v>
      </c>
      <c r="I1996" s="4">
        <f>IFERROR(__xludf.DUMMYFUNCTION("""COMPUTED_VALUE"""),0.2549440625)</f>
        <v>0.2549440625</v>
      </c>
      <c r="J1996" s="4">
        <f>IFERROR(__xludf.DUMMYFUNCTION("""COMPUTED_VALUE"""),45949.26786349145)</f>
        <v>45949.26786</v>
      </c>
      <c r="K1996" s="4" t="str">
        <f>IFERROR(__xludf.DUMMYFUNCTION("""COMPUTED_VALUE"""),"")</f>
        <v/>
      </c>
      <c r="L1996" s="4">
        <f>IFERROR(__xludf.DUMMYFUNCTION("""COMPUTED_VALUE"""),45949.27841477857)</f>
        <v>45949.27841</v>
      </c>
      <c r="M1996" s="1" t="str">
        <f>IFERROR(__xludf.DUMMYFUNCTION("""COMPUTED_VALUE"""),"RFID")</f>
        <v>RFID</v>
      </c>
      <c r="N1996" s="5">
        <f>IFERROR(__xludf.DUMMYFUNCTION("""COMPUTED_VALUE"""),0.005167773148148149)</f>
        <v>0.005167773148</v>
      </c>
      <c r="O1996" s="5" t="str">
        <f>IFERROR(__xludf.DUMMYFUNCTION("""COMPUTED_VALUE"""),"")</f>
        <v/>
      </c>
      <c r="P1996" s="5" t="str">
        <f>IFERROR(__xludf.DUMMYFUNCTION("""COMPUTED_VALUE"""),"")</f>
        <v/>
      </c>
      <c r="Q1996" s="5">
        <f>IFERROR(__xludf.DUMMYFUNCTION("""COMPUTED_VALUE"""),0.0046941435185185185)</f>
        <v>0.004694143519</v>
      </c>
      <c r="R1996" s="4">
        <f>IFERROR(__xludf.DUMMYFUNCTION("""COMPUTED_VALUE"""),45949.02347071607)</f>
        <v>45949.02347</v>
      </c>
      <c r="S1996" s="1" t="b">
        <f>IFERROR(__xludf.DUMMYFUNCTION("""COMPUTED_VALUE"""),TRUE)</f>
        <v>1</v>
      </c>
      <c r="T1996" s="1" t="b">
        <f>IFERROR(__xludf.DUMMYFUNCTION("""COMPUTED_VALUE"""),FALSE)</f>
        <v>0</v>
      </c>
      <c r="U1996" s="1" t="str">
        <f>IFERROR(__xludf.DUMMYFUNCTION("""COMPUTED_VALUE"""),"VALID")</f>
        <v>VALID</v>
      </c>
      <c r="V1996" s="1">
        <f>IFERROR(__xludf.DUMMYFUNCTION("""COMPUTED_VALUE"""),155.0)</f>
        <v>155</v>
      </c>
      <c r="W1996" s="1">
        <f>IFERROR(__xludf.DUMMYFUNCTION("""COMPUTED_VALUE"""),233.0)</f>
        <v>233</v>
      </c>
      <c r="X1996" s="1">
        <f>IFERROR(__xludf.DUMMYFUNCTION("""COMPUTED_VALUE"""),204.0)</f>
        <v>204</v>
      </c>
      <c r="Y1996" s="2"/>
      <c r="Z1996" s="2"/>
    </row>
    <row r="1997">
      <c r="A1997" s="1">
        <f>IFERROR(__xludf.DUMMYFUNCTION("""COMPUTED_VALUE"""),1996.0)</f>
        <v>1996</v>
      </c>
      <c r="B1997" s="1">
        <f>IFERROR(__xludf.DUMMYFUNCTION("""COMPUTED_VALUE"""),5566.0)</f>
        <v>5566</v>
      </c>
      <c r="C1997" s="2" t="str">
        <f>IFERROR(__xludf.DUMMYFUNCTION("""COMPUTED_VALUE"""),"KAHF21")</f>
        <v>KAHF21</v>
      </c>
      <c r="D1997" s="2" t="str">
        <f>IFERROR(__xludf.DUMMYFUNCTION("""COMPUTED_VALUE"""),"5KM OVERALL M")</f>
        <v>5KM OVERALL M</v>
      </c>
      <c r="E1997" s="1">
        <f>IFERROR(__xludf.DUMMYFUNCTION("""COMPUTED_VALUE"""),2.0)</f>
        <v>2</v>
      </c>
      <c r="F1997" s="1" t="str">
        <f>IFERROR(__xludf.DUMMYFUNCTION("""COMPUTED_VALUE"""),"Male")</f>
        <v>Male</v>
      </c>
      <c r="G1997" s="4" t="b">
        <f>IFERROR(__xludf.DUMMYFUNCTION("""COMPUTED_VALUE"""),TRUE)</f>
        <v>1</v>
      </c>
      <c r="H1997" s="4" t="b">
        <f>IFERROR(__xludf.DUMMYFUNCTION("""COMPUTED_VALUE"""),TRUE)</f>
        <v>1</v>
      </c>
      <c r="I1997" s="4">
        <f>IFERROR(__xludf.DUMMYFUNCTION("""COMPUTED_VALUE"""),0.2549440625)</f>
        <v>0.2549440625</v>
      </c>
      <c r="J1997" s="4">
        <f>IFERROR(__xludf.DUMMYFUNCTION("""COMPUTED_VALUE"""),45949.276516374295)</f>
        <v>45949.27652</v>
      </c>
      <c r="K1997" s="4" t="str">
        <f>IFERROR(__xludf.DUMMYFUNCTION("""COMPUTED_VALUE"""),"")</f>
        <v/>
      </c>
      <c r="L1997" s="4">
        <f>IFERROR(__xludf.DUMMYFUNCTION("""COMPUTED_VALUE"""),45949.29032449285)</f>
        <v>45949.29032</v>
      </c>
      <c r="M1997" s="1" t="str">
        <f>IFERROR(__xludf.DUMMYFUNCTION("""COMPUTED_VALUE"""),"RFID")</f>
        <v>RFID</v>
      </c>
      <c r="N1997" s="5">
        <f>IFERROR(__xludf.DUMMYFUNCTION("""COMPUTED_VALUE"""),0.008628925925925925)</f>
        <v>0.008628925926</v>
      </c>
      <c r="O1997" s="5" t="str">
        <f>IFERROR(__xludf.DUMMYFUNCTION("""COMPUTED_VALUE"""),"")</f>
        <v/>
      </c>
      <c r="P1997" s="5" t="str">
        <f>IFERROR(__xludf.DUMMYFUNCTION("""COMPUTED_VALUE"""),"")</f>
        <v/>
      </c>
      <c r="Q1997" s="5">
        <f>IFERROR(__xludf.DUMMYFUNCTION("""COMPUTED_VALUE"""),0.007076085648148149)</f>
        <v>0.007076085648</v>
      </c>
      <c r="R1997" s="4">
        <f>IFERROR(__xludf.DUMMYFUNCTION("""COMPUTED_VALUE"""),45949.03538043035)</f>
        <v>45949.03538</v>
      </c>
      <c r="S1997" s="1" t="b">
        <f>IFERROR(__xludf.DUMMYFUNCTION("""COMPUTED_VALUE"""),TRUE)</f>
        <v>1</v>
      </c>
      <c r="T1997" s="1" t="b">
        <f>IFERROR(__xludf.DUMMYFUNCTION("""COMPUTED_VALUE"""),FALSE)</f>
        <v>0</v>
      </c>
      <c r="U1997" s="1" t="str">
        <f>IFERROR(__xludf.DUMMYFUNCTION("""COMPUTED_VALUE"""),"VALID")</f>
        <v>VALID</v>
      </c>
      <c r="V1997" s="1">
        <f>IFERROR(__xludf.DUMMYFUNCTION("""COMPUTED_VALUE"""),569.0)</f>
        <v>569</v>
      </c>
      <c r="W1997" s="1">
        <f>IFERROR(__xludf.DUMMYFUNCTION("""COMPUTED_VALUE"""),909.0)</f>
        <v>909</v>
      </c>
      <c r="X1997" s="1">
        <f>IFERROR(__xludf.DUMMYFUNCTION("""COMPUTED_VALUE"""),741.0)</f>
        <v>741</v>
      </c>
      <c r="Y1997" s="2"/>
      <c r="Z1997" s="2"/>
    </row>
    <row r="1998">
      <c r="A1998" s="1">
        <f>IFERROR(__xludf.DUMMYFUNCTION("""COMPUTED_VALUE"""),1997.0)</f>
        <v>1997</v>
      </c>
      <c r="B1998" s="1">
        <f>IFERROR(__xludf.DUMMYFUNCTION("""COMPUTED_VALUE"""),5569.0)</f>
        <v>5569</v>
      </c>
      <c r="C1998" s="2" t="str">
        <f>IFERROR(__xludf.DUMMYFUNCTION("""COMPUTED_VALUE"""),"Agies19")</f>
        <v>Agies19</v>
      </c>
      <c r="D1998" s="2" t="str">
        <f>IFERROR(__xludf.DUMMYFUNCTION("""COMPUTED_VALUE"""),"5KM OVERALL M")</f>
        <v>5KM OVERALL M</v>
      </c>
      <c r="E1998" s="1">
        <f>IFERROR(__xludf.DUMMYFUNCTION("""COMPUTED_VALUE"""),2.0)</f>
        <v>2</v>
      </c>
      <c r="F1998" s="1" t="str">
        <f>IFERROR(__xludf.DUMMYFUNCTION("""COMPUTED_VALUE"""),"Male")</f>
        <v>Male</v>
      </c>
      <c r="G1998" s="4" t="b">
        <f>IFERROR(__xludf.DUMMYFUNCTION("""COMPUTED_VALUE"""),TRUE)</f>
        <v>1</v>
      </c>
      <c r="H1998" s="4" t="b">
        <f>IFERROR(__xludf.DUMMYFUNCTION("""COMPUTED_VALUE"""),TRUE)</f>
        <v>1</v>
      </c>
      <c r="I1998" s="4">
        <f>IFERROR(__xludf.DUMMYFUNCTION("""COMPUTED_VALUE"""),0.2549440625)</f>
        <v>0.2549440625</v>
      </c>
      <c r="J1998" s="4">
        <f>IFERROR(__xludf.DUMMYFUNCTION("""COMPUTED_VALUE"""),45949.277255907684)</f>
        <v>45949.27726</v>
      </c>
      <c r="K1998" s="4" t="str">
        <f>IFERROR(__xludf.DUMMYFUNCTION("""COMPUTED_VALUE"""),"")</f>
        <v/>
      </c>
      <c r="L1998" s="4">
        <f>IFERROR(__xludf.DUMMYFUNCTION("""COMPUTED_VALUE"""),45949.29399810375)</f>
        <v>45949.294</v>
      </c>
      <c r="M1998" s="1" t="str">
        <f>IFERROR(__xludf.DUMMYFUNCTION("""COMPUTED_VALUE"""),"RFID")</f>
        <v>RFID</v>
      </c>
      <c r="N1998" s="5">
        <f>IFERROR(__xludf.DUMMYFUNCTION("""COMPUTED_VALUE"""),0.00892473611111111)</f>
        <v>0.008924736111</v>
      </c>
      <c r="O1998" s="5" t="str">
        <f>IFERROR(__xludf.DUMMYFUNCTION("""COMPUTED_VALUE"""),"")</f>
        <v/>
      </c>
      <c r="P1998" s="5" t="str">
        <f>IFERROR(__xludf.DUMMYFUNCTION("""COMPUTED_VALUE"""),"")</f>
        <v/>
      </c>
      <c r="Q1998" s="5">
        <f>IFERROR(__xludf.DUMMYFUNCTION("""COMPUTED_VALUE"""),0.007810807870370371)</f>
        <v>0.00781080787</v>
      </c>
      <c r="R1998" s="4">
        <f>IFERROR(__xludf.DUMMYFUNCTION("""COMPUTED_VALUE"""),45949.03905404125)</f>
        <v>45949.03905</v>
      </c>
      <c r="S1998" s="1" t="b">
        <f>IFERROR(__xludf.DUMMYFUNCTION("""COMPUTED_VALUE"""),TRUE)</f>
        <v>1</v>
      </c>
      <c r="T1998" s="1" t="b">
        <f>IFERROR(__xludf.DUMMYFUNCTION("""COMPUTED_VALUE"""),FALSE)</f>
        <v>0</v>
      </c>
      <c r="U1998" s="1" t="str">
        <f>IFERROR(__xludf.DUMMYFUNCTION("""COMPUTED_VALUE"""),"VALID")</f>
        <v>VALID</v>
      </c>
      <c r="V1998" s="1">
        <f>IFERROR(__xludf.DUMMYFUNCTION("""COMPUTED_VALUE"""),687.0)</f>
        <v>687</v>
      </c>
      <c r="W1998" s="1">
        <f>IFERROR(__xludf.DUMMYFUNCTION("""COMPUTED_VALUE"""),1176.0)</f>
        <v>1176</v>
      </c>
      <c r="X1998" s="1">
        <f>IFERROR(__xludf.DUMMYFUNCTION("""COMPUTED_VALUE"""),930.0)</f>
        <v>930</v>
      </c>
      <c r="Y1998" s="2"/>
      <c r="Z1998" s="2"/>
    </row>
    <row r="1999">
      <c r="A1999" s="1">
        <f>IFERROR(__xludf.DUMMYFUNCTION("""COMPUTED_VALUE"""),1998.0)</f>
        <v>1998</v>
      </c>
      <c r="B1999" s="1">
        <f>IFERROR(__xludf.DUMMYFUNCTION("""COMPUTED_VALUE"""),5570.0)</f>
        <v>5570</v>
      </c>
      <c r="C1999" s="2" t="str">
        <f>IFERROR(__xludf.DUMMYFUNCTION("""COMPUTED_VALUE"""),"NOVOTTA")</f>
        <v>NOVOTTA</v>
      </c>
      <c r="D1999" s="2" t="str">
        <f>IFERROR(__xludf.DUMMYFUNCTION("""COMPUTED_VALUE"""),"5KM OVERALL M")</f>
        <v>5KM OVERALL M</v>
      </c>
      <c r="E1999" s="1">
        <f>IFERROR(__xludf.DUMMYFUNCTION("""COMPUTED_VALUE"""),2.0)</f>
        <v>2</v>
      </c>
      <c r="F1999" s="1" t="str">
        <f>IFERROR(__xludf.DUMMYFUNCTION("""COMPUTED_VALUE"""),"Male")</f>
        <v>Male</v>
      </c>
      <c r="G1999" s="4" t="b">
        <f>IFERROR(__xludf.DUMMYFUNCTION("""COMPUTED_VALUE"""),TRUE)</f>
        <v>1</v>
      </c>
      <c r="H1999" s="4" t="b">
        <f>IFERROR(__xludf.DUMMYFUNCTION("""COMPUTED_VALUE"""),FALSE)</f>
        <v>0</v>
      </c>
      <c r="I1999" s="4">
        <f>IFERROR(__xludf.DUMMYFUNCTION("""COMPUTED_VALUE"""),0.2549440625)</f>
        <v>0.2549440625</v>
      </c>
      <c r="J1999" s="4">
        <f>IFERROR(__xludf.DUMMYFUNCTION("""COMPUTED_VALUE"""),45949.27559615597)</f>
        <v>45949.2756</v>
      </c>
      <c r="K1999" s="4" t="str">
        <f>IFERROR(__xludf.DUMMYFUNCTION("""COMPUTED_VALUE"""),"")</f>
        <v/>
      </c>
      <c r="L1999" s="4">
        <f>IFERROR(__xludf.DUMMYFUNCTION("""COMPUTED_VALUE"""),45949.29392513501)</f>
        <v>45949.29393</v>
      </c>
      <c r="M1999" s="1" t="str">
        <f>IFERROR(__xludf.DUMMYFUNCTION("""COMPUTED_VALUE"""),"RFID")</f>
        <v>RFID</v>
      </c>
      <c r="N1999" s="5">
        <f>IFERROR(__xludf.DUMMYFUNCTION("""COMPUTED_VALUE"""),0.008260837962962963)</f>
        <v>0.008260837963</v>
      </c>
      <c r="O1999" s="5" t="str">
        <f>IFERROR(__xludf.DUMMYFUNCTION("""COMPUTED_VALUE"""),"")</f>
        <v/>
      </c>
      <c r="P1999" s="5" t="str">
        <f>IFERROR(__xludf.DUMMYFUNCTION("""COMPUTED_VALUE"""),"")</f>
        <v/>
      </c>
      <c r="Q1999" s="5">
        <f>IFERROR(__xludf.DUMMYFUNCTION("""COMPUTED_VALUE"""),0.007796215277777778)</f>
        <v>0.007796215278</v>
      </c>
      <c r="R1999" s="4">
        <f>IFERROR(__xludf.DUMMYFUNCTION("""COMPUTED_VALUE"""),45949.03898107251)</f>
        <v>45949.03898</v>
      </c>
      <c r="S1999" s="1" t="b">
        <f>IFERROR(__xludf.DUMMYFUNCTION("""COMPUTED_VALUE"""),TRUE)</f>
        <v>1</v>
      </c>
      <c r="T1999" s="1" t="b">
        <f>IFERROR(__xludf.DUMMYFUNCTION("""COMPUTED_VALUE"""),FALSE)</f>
        <v>0</v>
      </c>
      <c r="U1999" s="1" t="str">
        <f>IFERROR(__xludf.DUMMYFUNCTION("""COMPUTED_VALUE"""),"VALID")</f>
        <v>VALID</v>
      </c>
      <c r="V1999" s="1">
        <f>IFERROR(__xludf.DUMMYFUNCTION("""COMPUTED_VALUE"""),684.0)</f>
        <v>684</v>
      </c>
      <c r="W1999" s="1">
        <f>IFERROR(__xludf.DUMMYFUNCTION("""COMPUTED_VALUE"""),1169.0)</f>
        <v>1169</v>
      </c>
      <c r="X1999" s="1">
        <f>IFERROR(__xludf.DUMMYFUNCTION("""COMPUTED_VALUE"""),926.0)</f>
        <v>926</v>
      </c>
      <c r="Y1999" s="2"/>
      <c r="Z1999" s="2"/>
    </row>
    <row r="2000">
      <c r="A2000" s="1">
        <f>IFERROR(__xludf.DUMMYFUNCTION("""COMPUTED_VALUE"""),1999.0)</f>
        <v>1999</v>
      </c>
      <c r="B2000" s="1">
        <f>IFERROR(__xludf.DUMMYFUNCTION("""COMPUTED_VALUE"""),5571.0)</f>
        <v>5571</v>
      </c>
      <c r="C2000" s="2" t="str">
        <f>IFERROR(__xludf.DUMMYFUNCTION("""COMPUTED_VALUE"""),"herman")</f>
        <v>herman</v>
      </c>
      <c r="D2000" s="2" t="str">
        <f>IFERROR(__xludf.DUMMYFUNCTION("""COMPUTED_VALUE"""),"5KM OVERALL M")</f>
        <v>5KM OVERALL M</v>
      </c>
      <c r="E2000" s="1">
        <f>IFERROR(__xludf.DUMMYFUNCTION("""COMPUTED_VALUE"""),2.0)</f>
        <v>2</v>
      </c>
      <c r="F2000" s="1" t="str">
        <f>IFERROR(__xludf.DUMMYFUNCTION("""COMPUTED_VALUE"""),"Male")</f>
        <v>Male</v>
      </c>
      <c r="G2000" s="4" t="b">
        <f>IFERROR(__xludf.DUMMYFUNCTION("""COMPUTED_VALUE"""),TRUE)</f>
        <v>1</v>
      </c>
      <c r="H2000" s="4" t="b">
        <f>IFERROR(__xludf.DUMMYFUNCTION("""COMPUTED_VALUE"""),TRUE)</f>
        <v>1</v>
      </c>
      <c r="I2000" s="4">
        <f>IFERROR(__xludf.DUMMYFUNCTION("""COMPUTED_VALUE"""),0.2549440625)</f>
        <v>0.2549440625</v>
      </c>
      <c r="J2000" s="4">
        <f>IFERROR(__xludf.DUMMYFUNCTION("""COMPUTED_VALUE"""),45950.273460648146)</f>
        <v>45950.27346</v>
      </c>
      <c r="K2000" s="4" t="str">
        <f>IFERROR(__xludf.DUMMYFUNCTION("""COMPUTED_VALUE"""),"")</f>
        <v/>
      </c>
      <c r="L2000" s="4">
        <f>IFERROR(__xludf.DUMMYFUNCTION("""COMPUTED_VALUE"""),45949.28579672004)</f>
        <v>45949.2858</v>
      </c>
      <c r="M2000" s="1" t="str">
        <f>IFERROR(__xludf.DUMMYFUNCTION("""COMPUTED_VALUE"""),"RFID")</f>
        <v>RFID</v>
      </c>
      <c r="N2000" s="5">
        <f>IFERROR(__xludf.DUMMYFUNCTION("""COMPUTED_VALUE"""),0.0074066342592592595)</f>
        <v>0.007406634259</v>
      </c>
      <c r="O2000" s="5" t="str">
        <f>IFERROR(__xludf.DUMMYFUNCTION("""COMPUTED_VALUE"""),"")</f>
        <v/>
      </c>
      <c r="P2000" s="5" t="str">
        <f>IFERROR(__xludf.DUMMYFUNCTION("""COMPUTED_VALUE"""),"")</f>
        <v/>
      </c>
      <c r="Q2000" s="5">
        <f>IFERROR(__xludf.DUMMYFUNCTION("""COMPUTED_VALUE"""),0.0061705324074074076)</f>
        <v>0.006170532407</v>
      </c>
      <c r="R2000" s="4">
        <f>IFERROR(__xludf.DUMMYFUNCTION("""COMPUTED_VALUE"""),45949.03085265754)</f>
        <v>45949.03085</v>
      </c>
      <c r="S2000" s="1" t="b">
        <f>IFERROR(__xludf.DUMMYFUNCTION("""COMPUTED_VALUE"""),TRUE)</f>
        <v>1</v>
      </c>
      <c r="T2000" s="1" t="b">
        <f>IFERROR(__xludf.DUMMYFUNCTION("""COMPUTED_VALUE"""),FALSE)</f>
        <v>0</v>
      </c>
      <c r="U2000" s="1" t="str">
        <f>IFERROR(__xludf.DUMMYFUNCTION("""COMPUTED_VALUE"""),"VALID")</f>
        <v>VALID</v>
      </c>
      <c r="V2000" s="1">
        <f>IFERROR(__xludf.DUMMYFUNCTION("""COMPUTED_VALUE"""),407.0)</f>
        <v>407</v>
      </c>
      <c r="W2000" s="1">
        <f>IFERROR(__xludf.DUMMYFUNCTION("""COMPUTED_VALUE"""),623.0)</f>
        <v>623</v>
      </c>
      <c r="X2000" s="1">
        <f>IFERROR(__xludf.DUMMYFUNCTION("""COMPUTED_VALUE"""),522.0)</f>
        <v>522</v>
      </c>
      <c r="Y2000" s="2"/>
      <c r="Z2000" s="2" t="str">
        <f>IFERROR(__xludf.DUMMYFUNCTION("""COMPUTED_VALUE"""),"C")</f>
        <v>C</v>
      </c>
    </row>
    <row r="2001">
      <c r="A2001" s="1">
        <f>IFERROR(__xludf.DUMMYFUNCTION("""COMPUTED_VALUE"""),2000.0)</f>
        <v>2000</v>
      </c>
      <c r="B2001" s="1">
        <f>IFERROR(__xludf.DUMMYFUNCTION("""COMPUTED_VALUE"""),5572.0)</f>
        <v>5572</v>
      </c>
      <c r="C2001" s="2" t="str">
        <f>IFERROR(__xludf.DUMMYFUNCTION("""COMPUTED_VALUE"""),"KeongbalapðŸŒ")</f>
        <v>KeongbalapðŸ_x0090_Œ</v>
      </c>
      <c r="D2001" s="2" t="str">
        <f>IFERROR(__xludf.DUMMYFUNCTION("""COMPUTED_VALUE"""),"5KM OVERALL M")</f>
        <v>5KM OVERALL M</v>
      </c>
      <c r="E2001" s="1">
        <f>IFERROR(__xludf.DUMMYFUNCTION("""COMPUTED_VALUE"""),2.0)</f>
        <v>2</v>
      </c>
      <c r="F2001" s="1" t="str">
        <f>IFERROR(__xludf.DUMMYFUNCTION("""COMPUTED_VALUE"""),"Male")</f>
        <v>Male</v>
      </c>
      <c r="G2001" s="4" t="b">
        <f>IFERROR(__xludf.DUMMYFUNCTION("""COMPUTED_VALUE"""),TRUE)</f>
        <v>1</v>
      </c>
      <c r="H2001" s="4" t="b">
        <f>IFERROR(__xludf.DUMMYFUNCTION("""COMPUTED_VALUE"""),TRUE)</f>
        <v>1</v>
      </c>
      <c r="I2001" s="4">
        <f>IFERROR(__xludf.DUMMYFUNCTION("""COMPUTED_VALUE"""),0.2549440625)</f>
        <v>0.2549440625</v>
      </c>
      <c r="J2001" s="4">
        <f>IFERROR(__xludf.DUMMYFUNCTION("""COMPUTED_VALUE"""),45949.26481564736)</f>
        <v>45949.26482</v>
      </c>
      <c r="K2001" s="4" t="str">
        <f>IFERROR(__xludf.DUMMYFUNCTION("""COMPUTED_VALUE"""),"")</f>
        <v/>
      </c>
      <c r="L2001" s="4">
        <f>IFERROR(__xludf.DUMMYFUNCTION("""COMPUTED_VALUE"""),45949.27327234835)</f>
        <v>45949.27327</v>
      </c>
      <c r="M2001" s="1" t="str">
        <f>IFERROR(__xludf.DUMMYFUNCTION("""COMPUTED_VALUE"""),"RFID")</f>
        <v>RFID</v>
      </c>
      <c r="N2001" s="5">
        <f>IFERROR(__xludf.DUMMYFUNCTION("""COMPUTED_VALUE"""),0.003948634259259259)</f>
        <v>0.003948634259</v>
      </c>
      <c r="O2001" s="5" t="str">
        <f>IFERROR(__xludf.DUMMYFUNCTION("""COMPUTED_VALUE"""),"")</f>
        <v/>
      </c>
      <c r="P2001" s="5" t="str">
        <f>IFERROR(__xludf.DUMMYFUNCTION("""COMPUTED_VALUE"""),"")</f>
        <v/>
      </c>
      <c r="Q2001" s="5">
        <f>IFERROR(__xludf.DUMMYFUNCTION("""COMPUTED_VALUE"""),0.003665657407407408)</f>
        <v>0.003665657407</v>
      </c>
      <c r="R2001" s="4">
        <f>IFERROR(__xludf.DUMMYFUNCTION("""COMPUTED_VALUE"""),45949.01832828585)</f>
        <v>45949.01833</v>
      </c>
      <c r="S2001" s="1" t="b">
        <f>IFERROR(__xludf.DUMMYFUNCTION("""COMPUTED_VALUE"""),TRUE)</f>
        <v>1</v>
      </c>
      <c r="T2001" s="1" t="b">
        <f>IFERROR(__xludf.DUMMYFUNCTION("""COMPUTED_VALUE"""),FALSE)</f>
        <v>0</v>
      </c>
      <c r="U2001" s="1" t="str">
        <f>IFERROR(__xludf.DUMMYFUNCTION("""COMPUTED_VALUE"""),"VALID")</f>
        <v>VALID</v>
      </c>
      <c r="V2001" s="1">
        <f>IFERROR(__xludf.DUMMYFUNCTION("""COMPUTED_VALUE"""),45.0)</f>
        <v>45</v>
      </c>
      <c r="W2001" s="1">
        <f>IFERROR(__xludf.DUMMYFUNCTION("""COMPUTED_VALUE"""),67.0)</f>
        <v>67</v>
      </c>
      <c r="X2001" s="1">
        <f>IFERROR(__xludf.DUMMYFUNCTION("""COMPUTED_VALUE"""),62.0)</f>
        <v>62</v>
      </c>
      <c r="Y2001" s="2"/>
      <c r="Z2001" s="2"/>
    </row>
    <row r="2002">
      <c r="A2002" s="1">
        <f>IFERROR(__xludf.DUMMYFUNCTION("""COMPUTED_VALUE"""),2001.0)</f>
        <v>2001</v>
      </c>
      <c r="B2002" s="1">
        <f>IFERROR(__xludf.DUMMYFUNCTION("""COMPUTED_VALUE"""),5575.0)</f>
        <v>5575</v>
      </c>
      <c r="C2002" s="2" t="str">
        <f>IFERROR(__xludf.DUMMYFUNCTION("""COMPUTED_VALUE"""),"SAFARIAN RISTU W")</f>
        <v>SAFARIAN RISTU W</v>
      </c>
      <c r="D2002" s="2" t="str">
        <f>IFERROR(__xludf.DUMMYFUNCTION("""COMPUTED_VALUE"""),"5KM OVERALL M")</f>
        <v>5KM OVERALL M</v>
      </c>
      <c r="E2002" s="1">
        <f>IFERROR(__xludf.DUMMYFUNCTION("""COMPUTED_VALUE"""),2.0)</f>
        <v>2</v>
      </c>
      <c r="F2002" s="1" t="str">
        <f>IFERROR(__xludf.DUMMYFUNCTION("""COMPUTED_VALUE"""),"Male")</f>
        <v>Male</v>
      </c>
      <c r="G2002" s="4" t="b">
        <f>IFERROR(__xludf.DUMMYFUNCTION("""COMPUTED_VALUE"""),TRUE)</f>
        <v>1</v>
      </c>
      <c r="H2002" s="4" t="b">
        <f>IFERROR(__xludf.DUMMYFUNCTION("""COMPUTED_VALUE"""),TRUE)</f>
        <v>1</v>
      </c>
      <c r="I2002" s="4">
        <f>IFERROR(__xludf.DUMMYFUNCTION("""COMPUTED_VALUE"""),0.2549440625)</f>
        <v>0.2549440625</v>
      </c>
      <c r="J2002" s="4">
        <f>IFERROR(__xludf.DUMMYFUNCTION("""COMPUTED_VALUE"""),45949.27764826682)</f>
        <v>45949.27765</v>
      </c>
      <c r="K2002" s="4" t="str">
        <f>IFERROR(__xludf.DUMMYFUNCTION("""COMPUTED_VALUE"""),"")</f>
        <v/>
      </c>
      <c r="L2002" s="4">
        <f>IFERROR(__xludf.DUMMYFUNCTION("""COMPUTED_VALUE"""),45949.292963338965)</f>
        <v>45949.29296</v>
      </c>
      <c r="M2002" s="1" t="str">
        <f>IFERROR(__xludf.DUMMYFUNCTION("""COMPUTED_VALUE"""),"RFID")</f>
        <v>RFID</v>
      </c>
      <c r="N2002" s="5">
        <f>IFERROR(__xludf.DUMMYFUNCTION("""COMPUTED_VALUE"""),0.009081680555555556)</f>
        <v>0.009081680556</v>
      </c>
      <c r="O2002" s="5" t="str">
        <f>IFERROR(__xludf.DUMMYFUNCTION("""COMPUTED_VALUE"""),"")</f>
        <v/>
      </c>
      <c r="P2002" s="5" t="str">
        <f>IFERROR(__xludf.DUMMYFUNCTION("""COMPUTED_VALUE"""),"")</f>
        <v/>
      </c>
      <c r="Q2002" s="5">
        <f>IFERROR(__xludf.DUMMYFUNCTION("""COMPUTED_VALUE"""),0.007603854166666667)</f>
        <v>0.007603854167</v>
      </c>
      <c r="R2002" s="4">
        <f>IFERROR(__xludf.DUMMYFUNCTION("""COMPUTED_VALUE"""),45949.038019276464)</f>
        <v>45949.03802</v>
      </c>
      <c r="S2002" s="1" t="b">
        <f>IFERROR(__xludf.DUMMYFUNCTION("""COMPUTED_VALUE"""),TRUE)</f>
        <v>1</v>
      </c>
      <c r="T2002" s="1" t="b">
        <f>IFERROR(__xludf.DUMMYFUNCTION("""COMPUTED_VALUE"""),FALSE)</f>
        <v>0</v>
      </c>
      <c r="U2002" s="1" t="str">
        <f>IFERROR(__xludf.DUMMYFUNCTION("""COMPUTED_VALUE"""),"VALID")</f>
        <v>VALID</v>
      </c>
      <c r="V2002" s="1">
        <f>IFERROR(__xludf.DUMMYFUNCTION("""COMPUTED_VALUE"""),655.0)</f>
        <v>655</v>
      </c>
      <c r="W2002" s="1">
        <f>IFERROR(__xludf.DUMMYFUNCTION("""COMPUTED_VALUE"""),1102.0)</f>
        <v>1102</v>
      </c>
      <c r="X2002" s="1">
        <f>IFERROR(__xludf.DUMMYFUNCTION("""COMPUTED_VALUE"""),876.0)</f>
        <v>876</v>
      </c>
      <c r="Y2002" s="2"/>
      <c r="Z2002" s="2"/>
    </row>
    <row r="2003">
      <c r="A2003" s="1">
        <f>IFERROR(__xludf.DUMMYFUNCTION("""COMPUTED_VALUE"""),2002.0)</f>
        <v>2002</v>
      </c>
      <c r="B2003" s="1">
        <f>IFERROR(__xludf.DUMMYFUNCTION("""COMPUTED_VALUE"""),5576.0)</f>
        <v>5576</v>
      </c>
      <c r="C2003" s="2" t="str">
        <f>IFERROR(__xludf.DUMMYFUNCTION("""COMPUTED_VALUE"""),"SATRIA")</f>
        <v>SATRIA</v>
      </c>
      <c r="D2003" s="2" t="str">
        <f>IFERROR(__xludf.DUMMYFUNCTION("""COMPUTED_VALUE"""),"5KM OVERALL M")</f>
        <v>5KM OVERALL M</v>
      </c>
      <c r="E2003" s="1">
        <f>IFERROR(__xludf.DUMMYFUNCTION("""COMPUTED_VALUE"""),2.0)</f>
        <v>2</v>
      </c>
      <c r="F2003" s="1" t="str">
        <f>IFERROR(__xludf.DUMMYFUNCTION("""COMPUTED_VALUE"""),"Male")</f>
        <v>Male</v>
      </c>
      <c r="G2003" s="4" t="b">
        <f>IFERROR(__xludf.DUMMYFUNCTION("""COMPUTED_VALUE"""),TRUE)</f>
        <v>1</v>
      </c>
      <c r="H2003" s="4" t="b">
        <f>IFERROR(__xludf.DUMMYFUNCTION("""COMPUTED_VALUE"""),FALSE)</f>
        <v>0</v>
      </c>
      <c r="I2003" s="4">
        <f>IFERROR(__xludf.DUMMYFUNCTION("""COMPUTED_VALUE"""),0.2549440625)</f>
        <v>0.2549440625</v>
      </c>
      <c r="J2003" s="4">
        <f>IFERROR(__xludf.DUMMYFUNCTION("""COMPUTED_VALUE"""),45949.277221182536)</f>
        <v>45949.27722</v>
      </c>
      <c r="K2003" s="4" t="str">
        <f>IFERROR(__xludf.DUMMYFUNCTION("""COMPUTED_VALUE"""),"")</f>
        <v/>
      </c>
      <c r="L2003" s="4">
        <f>IFERROR(__xludf.DUMMYFUNCTION("""COMPUTED_VALUE"""),45949.29191471736)</f>
        <v>45949.29191</v>
      </c>
      <c r="M2003" s="1" t="str">
        <f>IFERROR(__xludf.DUMMYFUNCTION("""COMPUTED_VALUE"""),"RFID")</f>
        <v>RFID</v>
      </c>
      <c r="N2003" s="5">
        <f>IFERROR(__xludf.DUMMYFUNCTION("""COMPUTED_VALUE"""),0.008910847222222223)</f>
        <v>0.008910847222</v>
      </c>
      <c r="O2003" s="5" t="str">
        <f>IFERROR(__xludf.DUMMYFUNCTION("""COMPUTED_VALUE"""),"")</f>
        <v/>
      </c>
      <c r="P2003" s="5" t="str">
        <f>IFERROR(__xludf.DUMMYFUNCTION("""COMPUTED_VALUE"""),"")</f>
        <v/>
      </c>
      <c r="Q2003" s="5">
        <f>IFERROR(__xludf.DUMMYFUNCTION("""COMPUTED_VALUE"""),0.0073941319444444445)</f>
        <v>0.007394131944</v>
      </c>
      <c r="R2003" s="4">
        <f>IFERROR(__xludf.DUMMYFUNCTION("""COMPUTED_VALUE"""),45949.03697065486)</f>
        <v>45949.03697</v>
      </c>
      <c r="S2003" s="1" t="b">
        <f>IFERROR(__xludf.DUMMYFUNCTION("""COMPUTED_VALUE"""),TRUE)</f>
        <v>1</v>
      </c>
      <c r="T2003" s="1" t="b">
        <f>IFERROR(__xludf.DUMMYFUNCTION("""COMPUTED_VALUE"""),FALSE)</f>
        <v>0</v>
      </c>
      <c r="U2003" s="1" t="str">
        <f>IFERROR(__xludf.DUMMYFUNCTION("""COMPUTED_VALUE"""),"VALID")</f>
        <v>VALID</v>
      </c>
      <c r="V2003" s="1">
        <f>IFERROR(__xludf.DUMMYFUNCTION("""COMPUTED_VALUE"""),625.0)</f>
        <v>625</v>
      </c>
      <c r="W2003" s="1">
        <f>IFERROR(__xludf.DUMMYFUNCTION("""COMPUTED_VALUE"""),1028.0)</f>
        <v>1028</v>
      </c>
      <c r="X2003" s="1">
        <f>IFERROR(__xludf.DUMMYFUNCTION("""COMPUTED_VALUE"""),824.0)</f>
        <v>824</v>
      </c>
      <c r="Y2003" s="2"/>
      <c r="Z2003" s="2"/>
    </row>
    <row r="2004">
      <c r="A2004" s="1">
        <f>IFERROR(__xludf.DUMMYFUNCTION("""COMPUTED_VALUE"""),2003.0)</f>
        <v>2003</v>
      </c>
      <c r="B2004" s="1">
        <f>IFERROR(__xludf.DUMMYFUNCTION("""COMPUTED_VALUE"""),5577.0)</f>
        <v>5577</v>
      </c>
      <c r="C2004" s="2" t="str">
        <f>IFERROR(__xludf.DUMMYFUNCTION("""COMPUTED_VALUE"""),"Idi")</f>
        <v>Idi</v>
      </c>
      <c r="D2004" s="2" t="str">
        <f>IFERROR(__xludf.DUMMYFUNCTION("""COMPUTED_VALUE"""),"5KM OVERALL M")</f>
        <v>5KM OVERALL M</v>
      </c>
      <c r="E2004" s="1">
        <f>IFERROR(__xludf.DUMMYFUNCTION("""COMPUTED_VALUE"""),2.0)</f>
        <v>2</v>
      </c>
      <c r="F2004" s="1" t="str">
        <f>IFERROR(__xludf.DUMMYFUNCTION("""COMPUTED_VALUE"""),"Male")</f>
        <v>Male</v>
      </c>
      <c r="G2004" s="4" t="b">
        <f>IFERROR(__xludf.DUMMYFUNCTION("""COMPUTED_VALUE"""),TRUE)</f>
        <v>1</v>
      </c>
      <c r="H2004" s="4" t="b">
        <f>IFERROR(__xludf.DUMMYFUNCTION("""COMPUTED_VALUE"""),FALSE)</f>
        <v>0</v>
      </c>
      <c r="I2004" s="4">
        <f>IFERROR(__xludf.DUMMYFUNCTION("""COMPUTED_VALUE"""),0.2549440625)</f>
        <v>0.2549440625</v>
      </c>
      <c r="J2004" s="4">
        <f>IFERROR(__xludf.DUMMYFUNCTION("""COMPUTED_VALUE"""),45949.27538781412)</f>
        <v>45949.27539</v>
      </c>
      <c r="K2004" s="4" t="str">
        <f>IFERROR(__xludf.DUMMYFUNCTION("""COMPUTED_VALUE"""),"")</f>
        <v/>
      </c>
      <c r="L2004" s="4">
        <f>IFERROR(__xludf.DUMMYFUNCTION("""COMPUTED_VALUE"""),45949.29143901167)</f>
        <v>45949.29144</v>
      </c>
      <c r="M2004" s="1" t="str">
        <f>IFERROR(__xludf.DUMMYFUNCTION("""COMPUTED_VALUE"""),"RFID")</f>
        <v>RFID</v>
      </c>
      <c r="N2004" s="5">
        <f>IFERROR(__xludf.DUMMYFUNCTION("""COMPUTED_VALUE"""),0.0081775)</f>
        <v>0.0081775</v>
      </c>
      <c r="O2004" s="5" t="str">
        <f>IFERROR(__xludf.DUMMYFUNCTION("""COMPUTED_VALUE"""),"")</f>
        <v/>
      </c>
      <c r="P2004" s="5" t="str">
        <f>IFERROR(__xludf.DUMMYFUNCTION("""COMPUTED_VALUE"""),"")</f>
        <v/>
      </c>
      <c r="Q2004" s="5">
        <f>IFERROR(__xludf.DUMMYFUNCTION("""COMPUTED_VALUE"""),0.0072989907407407404)</f>
        <v>0.007298990741</v>
      </c>
      <c r="R2004" s="4">
        <f>IFERROR(__xludf.DUMMYFUNCTION("""COMPUTED_VALUE"""),45949.03649494917)</f>
        <v>45949.03649</v>
      </c>
      <c r="S2004" s="1" t="b">
        <f>IFERROR(__xludf.DUMMYFUNCTION("""COMPUTED_VALUE"""),TRUE)</f>
        <v>1</v>
      </c>
      <c r="T2004" s="1" t="b">
        <f>IFERROR(__xludf.DUMMYFUNCTION("""COMPUTED_VALUE"""),FALSE)</f>
        <v>0</v>
      </c>
      <c r="U2004" s="1" t="str">
        <f>IFERROR(__xludf.DUMMYFUNCTION("""COMPUTED_VALUE"""),"VALID")</f>
        <v>VALID</v>
      </c>
      <c r="V2004" s="1">
        <f>IFERROR(__xludf.DUMMYFUNCTION("""COMPUTED_VALUE"""),610.0)</f>
        <v>610</v>
      </c>
      <c r="W2004" s="1">
        <f>IFERROR(__xludf.DUMMYFUNCTION("""COMPUTED_VALUE"""),995.0)</f>
        <v>995</v>
      </c>
      <c r="X2004" s="1">
        <f>IFERROR(__xludf.DUMMYFUNCTION("""COMPUTED_VALUE"""),804.0)</f>
        <v>804</v>
      </c>
      <c r="Y2004" s="2"/>
      <c r="Z2004" s="2"/>
    </row>
    <row r="2005">
      <c r="A2005" s="1">
        <f>IFERROR(__xludf.DUMMYFUNCTION("""COMPUTED_VALUE"""),2004.0)</f>
        <v>2004</v>
      </c>
      <c r="B2005" s="1">
        <f>IFERROR(__xludf.DUMMYFUNCTION("""COMPUTED_VALUE"""),5578.0)</f>
        <v>5578</v>
      </c>
      <c r="C2005" s="2" t="str">
        <f>IFERROR(__xludf.DUMMYFUNCTION("""COMPUTED_VALUE"""),"lanaajaa")</f>
        <v>lanaajaa</v>
      </c>
      <c r="D2005" s="2" t="str">
        <f>IFERROR(__xludf.DUMMYFUNCTION("""COMPUTED_VALUE"""),"5KM OVERALL M")</f>
        <v>5KM OVERALL M</v>
      </c>
      <c r="E2005" s="1">
        <f>IFERROR(__xludf.DUMMYFUNCTION("""COMPUTED_VALUE"""),2.0)</f>
        <v>2</v>
      </c>
      <c r="F2005" s="1" t="str">
        <f>IFERROR(__xludf.DUMMYFUNCTION("""COMPUTED_VALUE"""),"Male")</f>
        <v>Male</v>
      </c>
      <c r="G2005" s="4" t="b">
        <f>IFERROR(__xludf.DUMMYFUNCTION("""COMPUTED_VALUE"""),TRUE)</f>
        <v>1</v>
      </c>
      <c r="H2005" s="4" t="b">
        <f>IFERROR(__xludf.DUMMYFUNCTION("""COMPUTED_VALUE"""),TRUE)</f>
        <v>1</v>
      </c>
      <c r="I2005" s="4">
        <f>IFERROR(__xludf.DUMMYFUNCTION("""COMPUTED_VALUE"""),0.2549440625)</f>
        <v>0.2549440625</v>
      </c>
      <c r="J2005" s="4">
        <f>IFERROR(__xludf.DUMMYFUNCTION("""COMPUTED_VALUE"""),45949.26719682465)</f>
        <v>45949.2672</v>
      </c>
      <c r="K2005" s="4" t="str">
        <f>IFERROR(__xludf.DUMMYFUNCTION("""COMPUTED_VALUE"""),"")</f>
        <v/>
      </c>
      <c r="L2005" s="4">
        <f>IFERROR(__xludf.DUMMYFUNCTION("""COMPUTED_VALUE"""),45949.27581059638)</f>
        <v>45949.27581</v>
      </c>
      <c r="M2005" s="1" t="str">
        <f>IFERROR(__xludf.DUMMYFUNCTION("""COMPUTED_VALUE"""),"RFID")</f>
        <v>RFID</v>
      </c>
      <c r="N2005" s="5">
        <f>IFERROR(__xludf.DUMMYFUNCTION("""COMPUTED_VALUE"""),0.004901106481481481)</f>
        <v>0.004901106481</v>
      </c>
      <c r="O2005" s="5" t="str">
        <f>IFERROR(__xludf.DUMMYFUNCTION("""COMPUTED_VALUE"""),"")</f>
        <v/>
      </c>
      <c r="P2005" s="5" t="str">
        <f>IFERROR(__xludf.DUMMYFUNCTION("""COMPUTED_VALUE"""),"")</f>
        <v/>
      </c>
      <c r="Q2005" s="5">
        <f>IFERROR(__xludf.DUMMYFUNCTION("""COMPUTED_VALUE"""),0.00417330787037037)</f>
        <v>0.00417330787</v>
      </c>
      <c r="R2005" s="4">
        <f>IFERROR(__xludf.DUMMYFUNCTION("""COMPUTED_VALUE"""),45949.02086653388)</f>
        <v>45949.02087</v>
      </c>
      <c r="S2005" s="1" t="b">
        <f>IFERROR(__xludf.DUMMYFUNCTION("""COMPUTED_VALUE"""),TRUE)</f>
        <v>1</v>
      </c>
      <c r="T2005" s="1" t="b">
        <f>IFERROR(__xludf.DUMMYFUNCTION("""COMPUTED_VALUE"""),FALSE)</f>
        <v>0</v>
      </c>
      <c r="U2005" s="1" t="str">
        <f>IFERROR(__xludf.DUMMYFUNCTION("""COMPUTED_VALUE"""),"VALID")</f>
        <v>VALID</v>
      </c>
      <c r="V2005" s="1">
        <f>IFERROR(__xludf.DUMMYFUNCTION("""COMPUTED_VALUE"""),89.0)</f>
        <v>89</v>
      </c>
      <c r="W2005" s="1">
        <f>IFERROR(__xludf.DUMMYFUNCTION("""COMPUTED_VALUE"""),138.0)</f>
        <v>138</v>
      </c>
      <c r="X2005" s="1">
        <f>IFERROR(__xludf.DUMMYFUNCTION("""COMPUTED_VALUE"""),125.0)</f>
        <v>125</v>
      </c>
      <c r="Y2005" s="2"/>
      <c r="Z2005" s="2"/>
    </row>
    <row r="2006">
      <c r="A2006" s="1">
        <f>IFERROR(__xludf.DUMMYFUNCTION("""COMPUTED_VALUE"""),2005.0)</f>
        <v>2005</v>
      </c>
      <c r="B2006" s="1">
        <f>IFERROR(__xludf.DUMMYFUNCTION("""COMPUTED_VALUE"""),5579.0)</f>
        <v>5579</v>
      </c>
      <c r="C2006" s="2" t="str">
        <f>IFERROR(__xludf.DUMMYFUNCTION("""COMPUTED_VALUE"""),"DIPTA")</f>
        <v>DIPTA</v>
      </c>
      <c r="D2006" s="2" t="str">
        <f>IFERROR(__xludf.DUMMYFUNCTION("""COMPUTED_VALUE"""),"5KM OVERALL M")</f>
        <v>5KM OVERALL M</v>
      </c>
      <c r="E2006" s="1">
        <f>IFERROR(__xludf.DUMMYFUNCTION("""COMPUTED_VALUE"""),2.0)</f>
        <v>2</v>
      </c>
      <c r="F2006" s="1" t="str">
        <f>IFERROR(__xludf.DUMMYFUNCTION("""COMPUTED_VALUE"""),"Male")</f>
        <v>Male</v>
      </c>
      <c r="G2006" s="4" t="b">
        <f>IFERROR(__xludf.DUMMYFUNCTION("""COMPUTED_VALUE"""),TRUE)</f>
        <v>1</v>
      </c>
      <c r="H2006" s="4" t="b">
        <f>IFERROR(__xludf.DUMMYFUNCTION("""COMPUTED_VALUE"""),FALSE)</f>
        <v>0</v>
      </c>
      <c r="I2006" s="4">
        <f>IFERROR(__xludf.DUMMYFUNCTION("""COMPUTED_VALUE"""),0.2549440625)</f>
        <v>0.2549440625</v>
      </c>
      <c r="J2006" s="4">
        <f>IFERROR(__xludf.DUMMYFUNCTION("""COMPUTED_VALUE"""),45949.272825308064)</f>
        <v>45949.27283</v>
      </c>
      <c r="K2006" s="4" t="str">
        <f>IFERROR(__xludf.DUMMYFUNCTION("""COMPUTED_VALUE"""),"")</f>
        <v/>
      </c>
      <c r="L2006" s="4">
        <f>IFERROR(__xludf.DUMMYFUNCTION("""COMPUTED_VALUE"""),45949.28755707864)</f>
        <v>45949.28756</v>
      </c>
      <c r="M2006" s="1" t="str">
        <f>IFERROR(__xludf.DUMMYFUNCTION("""COMPUTED_VALUE"""),"RFID")</f>
        <v>RFID</v>
      </c>
      <c r="N2006" s="5">
        <f>IFERROR(__xludf.DUMMYFUNCTION("""COMPUTED_VALUE"""),0.007152500000000001)</f>
        <v>0.0071525</v>
      </c>
      <c r="O2006" s="5" t="str">
        <f>IFERROR(__xludf.DUMMYFUNCTION("""COMPUTED_VALUE"""),"")</f>
        <v/>
      </c>
      <c r="P2006" s="5" t="str">
        <f>IFERROR(__xludf.DUMMYFUNCTION("""COMPUTED_VALUE"""),"")</f>
        <v/>
      </c>
      <c r="Q2006" s="5">
        <f>IFERROR(__xludf.DUMMYFUNCTION("""COMPUTED_VALUE"""),0.006522604166666666)</f>
        <v>0.006522604167</v>
      </c>
      <c r="R2006" s="4">
        <f>IFERROR(__xludf.DUMMYFUNCTION("""COMPUTED_VALUE"""),45949.03261301614)</f>
        <v>45949.03261</v>
      </c>
      <c r="S2006" s="1" t="b">
        <f>IFERROR(__xludf.DUMMYFUNCTION("""COMPUTED_VALUE"""),TRUE)</f>
        <v>1</v>
      </c>
      <c r="T2006" s="1" t="b">
        <f>IFERROR(__xludf.DUMMYFUNCTION("""COMPUTED_VALUE"""),FALSE)</f>
        <v>0</v>
      </c>
      <c r="U2006" s="1" t="str">
        <f>IFERROR(__xludf.DUMMYFUNCTION("""COMPUTED_VALUE"""),"VALID")</f>
        <v>VALID</v>
      </c>
      <c r="V2006" s="1">
        <f>IFERROR(__xludf.DUMMYFUNCTION("""COMPUTED_VALUE"""),475.0)</f>
        <v>475</v>
      </c>
      <c r="W2006" s="1">
        <f>IFERROR(__xludf.DUMMYFUNCTION("""COMPUTED_VALUE"""),739.0)</f>
        <v>739</v>
      </c>
      <c r="X2006" s="1">
        <f>IFERROR(__xludf.DUMMYFUNCTION("""COMPUTED_VALUE"""),615.0)</f>
        <v>615</v>
      </c>
      <c r="Y2006" s="2"/>
      <c r="Z2006" s="2"/>
    </row>
    <row r="2007">
      <c r="A2007" s="1">
        <f>IFERROR(__xludf.DUMMYFUNCTION("""COMPUTED_VALUE"""),2006.0)</f>
        <v>2006</v>
      </c>
      <c r="B2007" s="1">
        <f>IFERROR(__xludf.DUMMYFUNCTION("""COMPUTED_VALUE"""),5581.0)</f>
        <v>5581</v>
      </c>
      <c r="C2007" s="2" t="str">
        <f>IFERROR(__xludf.DUMMYFUNCTION("""COMPUTED_VALUE"""),"Fla")</f>
        <v>Fla</v>
      </c>
      <c r="D2007" s="2" t="str">
        <f>IFERROR(__xludf.DUMMYFUNCTION("""COMPUTED_VALUE"""),"5KM OVERALL M")</f>
        <v>5KM OVERALL M</v>
      </c>
      <c r="E2007" s="1">
        <f>IFERROR(__xludf.DUMMYFUNCTION("""COMPUTED_VALUE"""),2.0)</f>
        <v>2</v>
      </c>
      <c r="F2007" s="1" t="str">
        <f>IFERROR(__xludf.DUMMYFUNCTION("""COMPUTED_VALUE"""),"Male")</f>
        <v>Male</v>
      </c>
      <c r="G2007" s="4" t="b">
        <f>IFERROR(__xludf.DUMMYFUNCTION("""COMPUTED_VALUE"""),TRUE)</f>
        <v>1</v>
      </c>
      <c r="H2007" s="4" t="b">
        <f>IFERROR(__xludf.DUMMYFUNCTION("""COMPUTED_VALUE"""),FALSE)</f>
        <v>0</v>
      </c>
      <c r="I2007" s="4">
        <f>IFERROR(__xludf.DUMMYFUNCTION("""COMPUTED_VALUE"""),0.2549440625)</f>
        <v>0.2549440625</v>
      </c>
      <c r="J2007" s="4">
        <f>IFERROR(__xludf.DUMMYFUNCTION("""COMPUTED_VALUE"""),45950.2659375)</f>
        <v>45950.26594</v>
      </c>
      <c r="K2007" s="4" t="str">
        <f>IFERROR(__xludf.DUMMYFUNCTION("""COMPUTED_VALUE"""),"")</f>
        <v/>
      </c>
      <c r="L2007" s="4">
        <f>IFERROR(__xludf.DUMMYFUNCTION("""COMPUTED_VALUE"""),45949.27326197975)</f>
        <v>45949.27326</v>
      </c>
      <c r="M2007" s="1" t="str">
        <f>IFERROR(__xludf.DUMMYFUNCTION("""COMPUTED_VALUE"""),"RFID")</f>
        <v>RFID</v>
      </c>
      <c r="N2007" s="5">
        <f>IFERROR(__xludf.DUMMYFUNCTION("""COMPUTED_VALUE"""),0.004397375)</f>
        <v>0.004397375</v>
      </c>
      <c r="O2007" s="5" t="str">
        <f>IFERROR(__xludf.DUMMYFUNCTION("""COMPUTED_VALUE"""),"")</f>
        <v/>
      </c>
      <c r="P2007" s="5" t="str">
        <f>IFERROR(__xludf.DUMMYFUNCTION("""COMPUTED_VALUE"""),"")</f>
        <v/>
      </c>
      <c r="Q2007" s="5">
        <f>IFERROR(__xludf.DUMMYFUNCTION("""COMPUTED_VALUE"""),0.0036635833333333334)</f>
        <v>0.003663583333</v>
      </c>
      <c r="R2007" s="4">
        <f>IFERROR(__xludf.DUMMYFUNCTION("""COMPUTED_VALUE"""),45949.01831791725)</f>
        <v>45949.01832</v>
      </c>
      <c r="S2007" s="1" t="b">
        <f>IFERROR(__xludf.DUMMYFUNCTION("""COMPUTED_VALUE"""),TRUE)</f>
        <v>1</v>
      </c>
      <c r="T2007" s="1" t="b">
        <f>IFERROR(__xludf.DUMMYFUNCTION("""COMPUTED_VALUE"""),FALSE)</f>
        <v>0</v>
      </c>
      <c r="U2007" s="1" t="str">
        <f>IFERROR(__xludf.DUMMYFUNCTION("""COMPUTED_VALUE"""),"VALID")</f>
        <v>VALID</v>
      </c>
      <c r="V2007" s="1">
        <f>IFERROR(__xludf.DUMMYFUNCTION("""COMPUTED_VALUE"""),44.0)</f>
        <v>44</v>
      </c>
      <c r="W2007" s="1">
        <f>IFERROR(__xludf.DUMMYFUNCTION("""COMPUTED_VALUE"""),66.0)</f>
        <v>66</v>
      </c>
      <c r="X2007" s="1">
        <f>IFERROR(__xludf.DUMMYFUNCTION("""COMPUTED_VALUE"""),61.0)</f>
        <v>61</v>
      </c>
      <c r="Y2007" s="2"/>
      <c r="Z2007" s="2" t="str">
        <f>IFERROR(__xludf.DUMMYFUNCTION("""COMPUTED_VALUE"""),"C")</f>
        <v>C</v>
      </c>
    </row>
    <row r="2008">
      <c r="A2008" s="1">
        <f>IFERROR(__xludf.DUMMYFUNCTION("""COMPUTED_VALUE"""),2007.0)</f>
        <v>2007</v>
      </c>
      <c r="B2008" s="1">
        <f>IFERROR(__xludf.DUMMYFUNCTION("""COMPUTED_VALUE"""),5582.0)</f>
        <v>5582</v>
      </c>
      <c r="C2008" s="2" t="str">
        <f>IFERROR(__xludf.DUMMYFUNCTION("""COMPUTED_VALUE"""),"YUMA")</f>
        <v>YUMA</v>
      </c>
      <c r="D2008" s="2" t="str">
        <f>IFERROR(__xludf.DUMMYFUNCTION("""COMPUTED_VALUE"""),"5KM OVERALL M")</f>
        <v>5KM OVERALL M</v>
      </c>
      <c r="E2008" s="1">
        <f>IFERROR(__xludf.DUMMYFUNCTION("""COMPUTED_VALUE"""),2.0)</f>
        <v>2</v>
      </c>
      <c r="F2008" s="1" t="str">
        <f>IFERROR(__xludf.DUMMYFUNCTION("""COMPUTED_VALUE"""),"Male")</f>
        <v>Male</v>
      </c>
      <c r="G2008" s="4" t="b">
        <f>IFERROR(__xludf.DUMMYFUNCTION("""COMPUTED_VALUE"""),TRUE)</f>
        <v>1</v>
      </c>
      <c r="H2008" s="4" t="b">
        <f>IFERROR(__xludf.DUMMYFUNCTION("""COMPUTED_VALUE"""),FALSE)</f>
        <v>0</v>
      </c>
      <c r="I2008" s="4">
        <f>IFERROR(__xludf.DUMMYFUNCTION("""COMPUTED_VALUE"""),0.2549440625)</f>
        <v>0.2549440625</v>
      </c>
      <c r="J2008" s="4">
        <f>IFERROR(__xludf.DUMMYFUNCTION("""COMPUTED_VALUE"""),45949.27767952957)</f>
        <v>45949.27768</v>
      </c>
      <c r="K2008" s="4" t="str">
        <f>IFERROR(__xludf.DUMMYFUNCTION("""COMPUTED_VALUE"""),"")</f>
        <v/>
      </c>
      <c r="L2008" s="4">
        <f>IFERROR(__xludf.DUMMYFUNCTION("""COMPUTED_VALUE"""),45949.29396337152)</f>
        <v>45949.29396</v>
      </c>
      <c r="M2008" s="1" t="str">
        <f>IFERROR(__xludf.DUMMYFUNCTION("""COMPUTED_VALUE"""),"RFID")</f>
        <v>RFID</v>
      </c>
      <c r="N2008" s="5">
        <f>IFERROR(__xludf.DUMMYFUNCTION("""COMPUTED_VALUE"""),0.009094185185185186)</f>
        <v>0.009094185185</v>
      </c>
      <c r="O2008" s="5" t="str">
        <f>IFERROR(__xludf.DUMMYFUNCTION("""COMPUTED_VALUE"""),"")</f>
        <v/>
      </c>
      <c r="P2008" s="5" t="str">
        <f>IFERROR(__xludf.DUMMYFUNCTION("""COMPUTED_VALUE"""),"")</f>
        <v/>
      </c>
      <c r="Q2008" s="5">
        <f>IFERROR(__xludf.DUMMYFUNCTION("""COMPUTED_VALUE"""),0.007803861111111111)</f>
        <v>0.007803861111</v>
      </c>
      <c r="R2008" s="4">
        <f>IFERROR(__xludf.DUMMYFUNCTION("""COMPUTED_VALUE"""),45949.03901930902)</f>
        <v>45949.03902</v>
      </c>
      <c r="S2008" s="1" t="b">
        <f>IFERROR(__xludf.DUMMYFUNCTION("""COMPUTED_VALUE"""),TRUE)</f>
        <v>1</v>
      </c>
      <c r="T2008" s="1" t="b">
        <f>IFERROR(__xludf.DUMMYFUNCTION("""COMPUTED_VALUE"""),FALSE)</f>
        <v>0</v>
      </c>
      <c r="U2008" s="1" t="str">
        <f>IFERROR(__xludf.DUMMYFUNCTION("""COMPUTED_VALUE"""),"VALID")</f>
        <v>VALID</v>
      </c>
      <c r="V2008" s="1">
        <f>IFERROR(__xludf.DUMMYFUNCTION("""COMPUTED_VALUE"""),685.0)</f>
        <v>685</v>
      </c>
      <c r="W2008" s="1">
        <f>IFERROR(__xludf.DUMMYFUNCTION("""COMPUTED_VALUE"""),1174.0)</f>
        <v>1174</v>
      </c>
      <c r="X2008" s="1">
        <f>IFERROR(__xludf.DUMMYFUNCTION("""COMPUTED_VALUE"""),927.0)</f>
        <v>927</v>
      </c>
      <c r="Y2008" s="2"/>
      <c r="Z2008" s="2"/>
    </row>
    <row r="2009">
      <c r="A2009" s="1">
        <f>IFERROR(__xludf.DUMMYFUNCTION("""COMPUTED_VALUE"""),2008.0)</f>
        <v>2008</v>
      </c>
      <c r="B2009" s="1">
        <f>IFERROR(__xludf.DUMMYFUNCTION("""COMPUTED_VALUE"""),5583.0)</f>
        <v>5583</v>
      </c>
      <c r="C2009" s="2" t="str">
        <f>IFERROR(__xludf.DUMMYFUNCTION("""COMPUTED_VALUE"""),"Reza")</f>
        <v>Reza</v>
      </c>
      <c r="D2009" s="2" t="str">
        <f>IFERROR(__xludf.DUMMYFUNCTION("""COMPUTED_VALUE"""),"5KM OVERALL M")</f>
        <v>5KM OVERALL M</v>
      </c>
      <c r="E2009" s="1">
        <f>IFERROR(__xludf.DUMMYFUNCTION("""COMPUTED_VALUE"""),2.0)</f>
        <v>2</v>
      </c>
      <c r="F2009" s="1" t="str">
        <f>IFERROR(__xludf.DUMMYFUNCTION("""COMPUTED_VALUE"""),"Male")</f>
        <v>Male</v>
      </c>
      <c r="G2009" s="4" t="b">
        <f>IFERROR(__xludf.DUMMYFUNCTION("""COMPUTED_VALUE"""),TRUE)</f>
        <v>1</v>
      </c>
      <c r="H2009" s="4" t="b">
        <f>IFERROR(__xludf.DUMMYFUNCTION("""COMPUTED_VALUE"""),TRUE)</f>
        <v>1</v>
      </c>
      <c r="I2009" s="4">
        <f>IFERROR(__xludf.DUMMYFUNCTION("""COMPUTED_VALUE"""),0.2549440625)</f>
        <v>0.2549440625</v>
      </c>
      <c r="J2009" s="4">
        <f>IFERROR(__xludf.DUMMYFUNCTION("""COMPUTED_VALUE"""),45949.2815371187)</f>
        <v>45949.28154</v>
      </c>
      <c r="K2009" s="4" t="str">
        <f>IFERROR(__xludf.DUMMYFUNCTION("""COMPUTED_VALUE"""),"")</f>
        <v/>
      </c>
      <c r="L2009" s="4">
        <f>IFERROR(__xludf.DUMMYFUNCTION("""COMPUTED_VALUE"""),45949.2991786075)</f>
        <v>45949.29918</v>
      </c>
      <c r="M2009" s="1" t="str">
        <f>IFERROR(__xludf.DUMMYFUNCTION("""COMPUTED_VALUE"""),"RFID")</f>
        <v>RFID</v>
      </c>
      <c r="N2009" s="5">
        <f>IFERROR(__xludf.DUMMYFUNCTION("""COMPUTED_VALUE"""),0.010637222222222222)</f>
        <v>0.01063722222</v>
      </c>
      <c r="O2009" s="5" t="str">
        <f>IFERROR(__xludf.DUMMYFUNCTION("""COMPUTED_VALUE"""),"")</f>
        <v/>
      </c>
      <c r="P2009" s="5" t="str">
        <f>IFERROR(__xludf.DUMMYFUNCTION("""COMPUTED_VALUE"""),"")</f>
        <v/>
      </c>
      <c r="Q2009" s="5">
        <f>IFERROR(__xludf.DUMMYFUNCTION("""COMPUTED_VALUE"""),0.008846909722222223)</f>
        <v>0.008846909722</v>
      </c>
      <c r="R2009" s="4">
        <f>IFERROR(__xludf.DUMMYFUNCTION("""COMPUTED_VALUE"""),45949.044234545)</f>
        <v>45949.04423</v>
      </c>
      <c r="S2009" s="1" t="b">
        <f>IFERROR(__xludf.DUMMYFUNCTION("""COMPUTED_VALUE"""),TRUE)</f>
        <v>1</v>
      </c>
      <c r="T2009" s="1" t="b">
        <f>IFERROR(__xludf.DUMMYFUNCTION("""COMPUTED_VALUE"""),FALSE)</f>
        <v>0</v>
      </c>
      <c r="U2009" s="1" t="str">
        <f>IFERROR(__xludf.DUMMYFUNCTION("""COMPUTED_VALUE"""),"VALID")</f>
        <v>VALID</v>
      </c>
      <c r="V2009" s="1">
        <f>IFERROR(__xludf.DUMMYFUNCTION("""COMPUTED_VALUE"""),782.0)</f>
        <v>782</v>
      </c>
      <c r="W2009" s="1">
        <f>IFERROR(__xludf.DUMMYFUNCTION("""COMPUTED_VALUE"""),1415.0)</f>
        <v>1415</v>
      </c>
      <c r="X2009" s="1">
        <f>IFERROR(__xludf.DUMMYFUNCTION("""COMPUTED_VALUE"""),1159.0)</f>
        <v>1159</v>
      </c>
      <c r="Y2009" s="2"/>
      <c r="Z2009" s="2"/>
    </row>
    <row r="2010">
      <c r="A2010" s="1">
        <f>IFERROR(__xludf.DUMMYFUNCTION("""COMPUTED_VALUE"""),2009.0)</f>
        <v>2009</v>
      </c>
      <c r="B2010" s="1">
        <f>IFERROR(__xludf.DUMMYFUNCTION("""COMPUTED_VALUE"""),5585.0)</f>
        <v>5585</v>
      </c>
      <c r="C2010" s="2" t="str">
        <f>IFERROR(__xludf.DUMMYFUNCTION("""COMPUTED_VALUE"""),"Zae")</f>
        <v>Zae</v>
      </c>
      <c r="D2010" s="2" t="str">
        <f>IFERROR(__xludf.DUMMYFUNCTION("""COMPUTED_VALUE"""),"5KM OVERALL M")</f>
        <v>5KM OVERALL M</v>
      </c>
      <c r="E2010" s="1">
        <f>IFERROR(__xludf.DUMMYFUNCTION("""COMPUTED_VALUE"""),2.0)</f>
        <v>2</v>
      </c>
      <c r="F2010" s="1" t="str">
        <f>IFERROR(__xludf.DUMMYFUNCTION("""COMPUTED_VALUE"""),"Male")</f>
        <v>Male</v>
      </c>
      <c r="G2010" s="4" t="b">
        <f>IFERROR(__xludf.DUMMYFUNCTION("""COMPUTED_VALUE"""),TRUE)</f>
        <v>1</v>
      </c>
      <c r="H2010" s="4" t="b">
        <f>IFERROR(__xludf.DUMMYFUNCTION("""COMPUTED_VALUE"""),TRUE)</f>
        <v>1</v>
      </c>
      <c r="I2010" s="4">
        <f>IFERROR(__xludf.DUMMYFUNCTION("""COMPUTED_VALUE"""),0.2549440625)</f>
        <v>0.2549440625</v>
      </c>
      <c r="J2010" s="4">
        <f>IFERROR(__xludf.DUMMYFUNCTION("""COMPUTED_VALUE"""),45949.278440547576)</f>
        <v>45949.27844</v>
      </c>
      <c r="K2010" s="4" t="str">
        <f>IFERROR(__xludf.DUMMYFUNCTION("""COMPUTED_VALUE"""),"")</f>
        <v/>
      </c>
      <c r="L2010" s="4">
        <f>IFERROR(__xludf.DUMMYFUNCTION("""COMPUTED_VALUE"""),45949.29531406423)</f>
        <v>45949.29531</v>
      </c>
      <c r="M2010" s="1" t="str">
        <f>IFERROR(__xludf.DUMMYFUNCTION("""COMPUTED_VALUE"""),"RFID")</f>
        <v>RFID</v>
      </c>
      <c r="N2010" s="5">
        <f>IFERROR(__xludf.DUMMYFUNCTION("""COMPUTED_VALUE"""),0.009398592592592594)</f>
        <v>0.009398592593</v>
      </c>
      <c r="O2010" s="5" t="str">
        <f>IFERROR(__xludf.DUMMYFUNCTION("""COMPUTED_VALUE"""),"")</f>
        <v/>
      </c>
      <c r="P2010" s="5" t="str">
        <f>IFERROR(__xludf.DUMMYFUNCTION("""COMPUTED_VALUE"""),"")</f>
        <v/>
      </c>
      <c r="Q2010" s="5">
        <f>IFERROR(__xludf.DUMMYFUNCTION("""COMPUTED_VALUE"""),0.008074)</f>
        <v>0.008074</v>
      </c>
      <c r="R2010" s="4">
        <f>IFERROR(__xludf.DUMMYFUNCTION("""COMPUTED_VALUE"""),45949.04037000173)</f>
        <v>45949.04037</v>
      </c>
      <c r="S2010" s="1" t="b">
        <f>IFERROR(__xludf.DUMMYFUNCTION("""COMPUTED_VALUE"""),TRUE)</f>
        <v>1</v>
      </c>
      <c r="T2010" s="1" t="b">
        <f>IFERROR(__xludf.DUMMYFUNCTION("""COMPUTED_VALUE"""),FALSE)</f>
        <v>0</v>
      </c>
      <c r="U2010" s="1" t="str">
        <f>IFERROR(__xludf.DUMMYFUNCTION("""COMPUTED_VALUE"""),"VALID")</f>
        <v>VALID</v>
      </c>
      <c r="V2010" s="1">
        <f>IFERROR(__xludf.DUMMYFUNCTION("""COMPUTED_VALUE"""),724.0)</f>
        <v>724</v>
      </c>
      <c r="W2010" s="1">
        <f>IFERROR(__xludf.DUMMYFUNCTION("""COMPUTED_VALUE"""),1263.0)</f>
        <v>1263</v>
      </c>
      <c r="X2010" s="1">
        <f>IFERROR(__xludf.DUMMYFUNCTION("""COMPUTED_VALUE"""),996.0)</f>
        <v>996</v>
      </c>
      <c r="Y2010" s="2"/>
      <c r="Z2010" s="2"/>
    </row>
    <row r="2011">
      <c r="A2011" s="1">
        <f>IFERROR(__xludf.DUMMYFUNCTION("""COMPUTED_VALUE"""),2010.0)</f>
        <v>2010</v>
      </c>
      <c r="B2011" s="1">
        <f>IFERROR(__xludf.DUMMYFUNCTION("""COMPUTED_VALUE"""),5588.0)</f>
        <v>5588</v>
      </c>
      <c r="C2011" s="2" t="str">
        <f>IFERROR(__xludf.DUMMYFUNCTION("""COMPUTED_VALUE"""),"iwan shinoda")</f>
        <v>iwan shinoda</v>
      </c>
      <c r="D2011" s="2" t="str">
        <f>IFERROR(__xludf.DUMMYFUNCTION("""COMPUTED_VALUE"""),"5KM OVERALL M")</f>
        <v>5KM OVERALL M</v>
      </c>
      <c r="E2011" s="1">
        <f>IFERROR(__xludf.DUMMYFUNCTION("""COMPUTED_VALUE"""),2.0)</f>
        <v>2</v>
      </c>
      <c r="F2011" s="1" t="str">
        <f>IFERROR(__xludf.DUMMYFUNCTION("""COMPUTED_VALUE"""),"Male")</f>
        <v>Male</v>
      </c>
      <c r="G2011" s="4" t="b">
        <f>IFERROR(__xludf.DUMMYFUNCTION("""COMPUTED_VALUE"""),TRUE)</f>
        <v>1</v>
      </c>
      <c r="H2011" s="4" t="b">
        <f>IFERROR(__xludf.DUMMYFUNCTION("""COMPUTED_VALUE"""),TRUE)</f>
        <v>1</v>
      </c>
      <c r="I2011" s="4">
        <f>IFERROR(__xludf.DUMMYFUNCTION("""COMPUTED_VALUE"""),0.2549440625)</f>
        <v>0.2549440625</v>
      </c>
      <c r="J2011" s="4">
        <f>IFERROR(__xludf.DUMMYFUNCTION("""COMPUTED_VALUE"""),45949.27146108534)</f>
        <v>45949.27146</v>
      </c>
      <c r="K2011" s="4" t="str">
        <f>IFERROR(__xludf.DUMMYFUNCTION("""COMPUTED_VALUE"""),"")</f>
        <v/>
      </c>
      <c r="L2011" s="4">
        <f>IFERROR(__xludf.DUMMYFUNCTION("""COMPUTED_VALUE"""),45949.28400156008)</f>
        <v>45949.284</v>
      </c>
      <c r="M2011" s="1" t="str">
        <f>IFERROR(__xludf.DUMMYFUNCTION("""COMPUTED_VALUE"""),"RFID")</f>
        <v>RFID</v>
      </c>
      <c r="N2011" s="5">
        <f>IFERROR(__xludf.DUMMYFUNCTION("""COMPUTED_VALUE"""),0.006606810185185184)</f>
        <v>0.006606810185</v>
      </c>
      <c r="O2011" s="5" t="str">
        <f>IFERROR(__xludf.DUMMYFUNCTION("""COMPUTED_VALUE"""),"")</f>
        <v/>
      </c>
      <c r="P2011" s="5" t="str">
        <f>IFERROR(__xludf.DUMMYFUNCTION("""COMPUTED_VALUE"""),"")</f>
        <v/>
      </c>
      <c r="Q2011" s="5">
        <f>IFERROR(__xludf.DUMMYFUNCTION("""COMPUTED_VALUE"""),0.005811500000000001)</f>
        <v>0.0058115</v>
      </c>
      <c r="R2011" s="4">
        <f>IFERROR(__xludf.DUMMYFUNCTION("""COMPUTED_VALUE"""),45949.02905749758)</f>
        <v>45949.02906</v>
      </c>
      <c r="S2011" s="1" t="b">
        <f>IFERROR(__xludf.DUMMYFUNCTION("""COMPUTED_VALUE"""),TRUE)</f>
        <v>1</v>
      </c>
      <c r="T2011" s="1" t="b">
        <f>IFERROR(__xludf.DUMMYFUNCTION("""COMPUTED_VALUE"""),FALSE)</f>
        <v>0</v>
      </c>
      <c r="U2011" s="1" t="str">
        <f>IFERROR(__xludf.DUMMYFUNCTION("""COMPUTED_VALUE"""),"VALID")</f>
        <v>VALID</v>
      </c>
      <c r="V2011" s="1">
        <f>IFERROR(__xludf.DUMMYFUNCTION("""COMPUTED_VALUE"""),337.0)</f>
        <v>337</v>
      </c>
      <c r="W2011" s="1">
        <f>IFERROR(__xludf.DUMMYFUNCTION("""COMPUTED_VALUE"""),500.0)</f>
        <v>500</v>
      </c>
      <c r="X2011" s="1">
        <f>IFERROR(__xludf.DUMMYFUNCTION("""COMPUTED_VALUE"""),436.0)</f>
        <v>436</v>
      </c>
      <c r="Y2011" s="2"/>
      <c r="Z2011" s="2"/>
    </row>
    <row r="2012">
      <c r="A2012" s="1">
        <f>IFERROR(__xludf.DUMMYFUNCTION("""COMPUTED_VALUE"""),2011.0)</f>
        <v>2011</v>
      </c>
      <c r="B2012" s="1">
        <f>IFERROR(__xludf.DUMMYFUNCTION("""COMPUTED_VALUE"""),5589.0)</f>
        <v>5589</v>
      </c>
      <c r="C2012" s="2" t="str">
        <f>IFERROR(__xludf.DUMMYFUNCTION("""COMPUTED_VALUE"""),"Fathur R")</f>
        <v>Fathur R</v>
      </c>
      <c r="D2012" s="2" t="str">
        <f>IFERROR(__xludf.DUMMYFUNCTION("""COMPUTED_VALUE"""),"5KM OVERALL M")</f>
        <v>5KM OVERALL M</v>
      </c>
      <c r="E2012" s="1">
        <f>IFERROR(__xludf.DUMMYFUNCTION("""COMPUTED_VALUE"""),2.0)</f>
        <v>2</v>
      </c>
      <c r="F2012" s="1" t="str">
        <f>IFERROR(__xludf.DUMMYFUNCTION("""COMPUTED_VALUE"""),"Male")</f>
        <v>Male</v>
      </c>
      <c r="G2012" s="4" t="b">
        <f>IFERROR(__xludf.DUMMYFUNCTION("""COMPUTED_VALUE"""),TRUE)</f>
        <v>1</v>
      </c>
      <c r="H2012" s="4" t="b">
        <f>IFERROR(__xludf.DUMMYFUNCTION("""COMPUTED_VALUE"""),FALSE)</f>
        <v>0</v>
      </c>
      <c r="I2012" s="4">
        <f>IFERROR(__xludf.DUMMYFUNCTION("""COMPUTED_VALUE"""),0.2549440625)</f>
        <v>0.2549440625</v>
      </c>
      <c r="J2012" s="4">
        <f>IFERROR(__xludf.DUMMYFUNCTION("""COMPUTED_VALUE"""),45949.273912164885)</f>
        <v>45949.27391</v>
      </c>
      <c r="K2012" s="4" t="str">
        <f>IFERROR(__xludf.DUMMYFUNCTION("""COMPUTED_VALUE"""),"")</f>
        <v/>
      </c>
      <c r="L2012" s="4">
        <f>IFERROR(__xludf.DUMMYFUNCTION("""COMPUTED_VALUE"""),45949.2870849251)</f>
        <v>45949.28708</v>
      </c>
      <c r="M2012" s="1" t="str">
        <f>IFERROR(__xludf.DUMMYFUNCTION("""COMPUTED_VALUE"""),"RFID")</f>
        <v>RFID</v>
      </c>
      <c r="N2012" s="5">
        <f>IFERROR(__xludf.DUMMYFUNCTION("""COMPUTED_VALUE"""),0.007587240740740742)</f>
        <v>0.007587240741</v>
      </c>
      <c r="O2012" s="5" t="str">
        <f>IFERROR(__xludf.DUMMYFUNCTION("""COMPUTED_VALUE"""),"")</f>
        <v/>
      </c>
      <c r="P2012" s="5" t="str">
        <f>IFERROR(__xludf.DUMMYFUNCTION("""COMPUTED_VALUE"""),"")</f>
        <v/>
      </c>
      <c r="Q2012" s="5">
        <f>IFERROR(__xludf.DUMMYFUNCTION("""COMPUTED_VALUE"""),0.006428173611111111)</f>
        <v>0.006428173611</v>
      </c>
      <c r="R2012" s="4">
        <f>IFERROR(__xludf.DUMMYFUNCTION("""COMPUTED_VALUE"""),45949.0321408626)</f>
        <v>45949.03214</v>
      </c>
      <c r="S2012" s="1" t="b">
        <f>IFERROR(__xludf.DUMMYFUNCTION("""COMPUTED_VALUE"""),TRUE)</f>
        <v>1</v>
      </c>
      <c r="T2012" s="1" t="b">
        <f>IFERROR(__xludf.DUMMYFUNCTION("""COMPUTED_VALUE"""),FALSE)</f>
        <v>0</v>
      </c>
      <c r="U2012" s="1" t="str">
        <f>IFERROR(__xludf.DUMMYFUNCTION("""COMPUTED_VALUE"""),"VALID")</f>
        <v>VALID</v>
      </c>
      <c r="V2012" s="1">
        <f>IFERROR(__xludf.DUMMYFUNCTION("""COMPUTED_VALUE"""),460.0)</f>
        <v>460</v>
      </c>
      <c r="W2012" s="1">
        <f>IFERROR(__xludf.DUMMYFUNCTION("""COMPUTED_VALUE"""),712.0)</f>
        <v>712</v>
      </c>
      <c r="X2012" s="1">
        <f>IFERROR(__xludf.DUMMYFUNCTION("""COMPUTED_VALUE"""),599.0)</f>
        <v>599</v>
      </c>
      <c r="Y2012" s="2"/>
      <c r="Z2012" s="2"/>
    </row>
    <row r="2013">
      <c r="A2013" s="1">
        <f>IFERROR(__xludf.DUMMYFUNCTION("""COMPUTED_VALUE"""),2012.0)</f>
        <v>2012</v>
      </c>
      <c r="B2013" s="1">
        <f>IFERROR(__xludf.DUMMYFUNCTION("""COMPUTED_VALUE"""),5590.0)</f>
        <v>5590</v>
      </c>
      <c r="C2013" s="2" t="str">
        <f>IFERROR(__xludf.DUMMYFUNCTION("""COMPUTED_VALUE"""),"Fariza")</f>
        <v>Fariza</v>
      </c>
      <c r="D2013" s="2" t="str">
        <f>IFERROR(__xludf.DUMMYFUNCTION("""COMPUTED_VALUE"""),"5KM OVERALL M")</f>
        <v>5KM OVERALL M</v>
      </c>
      <c r="E2013" s="1">
        <f>IFERROR(__xludf.DUMMYFUNCTION("""COMPUTED_VALUE"""),2.0)</f>
        <v>2</v>
      </c>
      <c r="F2013" s="1" t="str">
        <f>IFERROR(__xludf.DUMMYFUNCTION("""COMPUTED_VALUE"""),"Male")</f>
        <v>Male</v>
      </c>
      <c r="G2013" s="4" t="b">
        <f>IFERROR(__xludf.DUMMYFUNCTION("""COMPUTED_VALUE"""),TRUE)</f>
        <v>1</v>
      </c>
      <c r="H2013" s="4" t="b">
        <f>IFERROR(__xludf.DUMMYFUNCTION("""COMPUTED_VALUE"""),TRUE)</f>
        <v>1</v>
      </c>
      <c r="I2013" s="4">
        <f>IFERROR(__xludf.DUMMYFUNCTION("""COMPUTED_VALUE"""),0.2549440625)</f>
        <v>0.2549440625</v>
      </c>
      <c r="J2013" s="4">
        <f>IFERROR(__xludf.DUMMYFUNCTION("""COMPUTED_VALUE"""),45949.27432529465)</f>
        <v>45949.27433</v>
      </c>
      <c r="K2013" s="4" t="str">
        <f>IFERROR(__xludf.DUMMYFUNCTION("""COMPUTED_VALUE"""),"")</f>
        <v/>
      </c>
      <c r="L2013" s="4">
        <f>IFERROR(__xludf.DUMMYFUNCTION("""COMPUTED_VALUE"""),45949.285807134635)</f>
        <v>45949.28581</v>
      </c>
      <c r="M2013" s="1" t="str">
        <f>IFERROR(__xludf.DUMMYFUNCTION("""COMPUTED_VALUE"""),"RFID")</f>
        <v>RFID</v>
      </c>
      <c r="N2013" s="5">
        <f>IFERROR(__xludf.DUMMYFUNCTION("""COMPUTED_VALUE"""),0.00775249074074074)</f>
        <v>0.007752490741</v>
      </c>
      <c r="O2013" s="5" t="str">
        <f>IFERROR(__xludf.DUMMYFUNCTION("""COMPUTED_VALUE"""),"")</f>
        <v/>
      </c>
      <c r="P2013" s="5" t="str">
        <f>IFERROR(__xludf.DUMMYFUNCTION("""COMPUTED_VALUE"""),"")</f>
        <v/>
      </c>
      <c r="Q2013" s="5">
        <f>IFERROR(__xludf.DUMMYFUNCTION("""COMPUTED_VALUE"""),0.006172613425925925)</f>
        <v>0.006172613426</v>
      </c>
      <c r="R2013" s="4">
        <f>IFERROR(__xludf.DUMMYFUNCTION("""COMPUTED_VALUE"""),45949.030863072134)</f>
        <v>45949.03086</v>
      </c>
      <c r="S2013" s="1" t="b">
        <f>IFERROR(__xludf.DUMMYFUNCTION("""COMPUTED_VALUE"""),TRUE)</f>
        <v>1</v>
      </c>
      <c r="T2013" s="1" t="b">
        <f>IFERROR(__xludf.DUMMYFUNCTION("""COMPUTED_VALUE"""),FALSE)</f>
        <v>0</v>
      </c>
      <c r="U2013" s="1" t="str">
        <f>IFERROR(__xludf.DUMMYFUNCTION("""COMPUTED_VALUE"""),"VALID")</f>
        <v>VALID</v>
      </c>
      <c r="V2013" s="1">
        <f>IFERROR(__xludf.DUMMYFUNCTION("""COMPUTED_VALUE"""),408.0)</f>
        <v>408</v>
      </c>
      <c r="W2013" s="1">
        <f>IFERROR(__xludf.DUMMYFUNCTION("""COMPUTED_VALUE"""),624.0)</f>
        <v>624</v>
      </c>
      <c r="X2013" s="1">
        <f>IFERROR(__xludf.DUMMYFUNCTION("""COMPUTED_VALUE"""),523.0)</f>
        <v>523</v>
      </c>
      <c r="Y2013" s="2"/>
      <c r="Z2013" s="2"/>
    </row>
    <row r="2014">
      <c r="A2014" s="1">
        <f>IFERROR(__xludf.DUMMYFUNCTION("""COMPUTED_VALUE"""),2013.0)</f>
        <v>2013</v>
      </c>
      <c r="B2014" s="1">
        <f>IFERROR(__xludf.DUMMYFUNCTION("""COMPUTED_VALUE"""),5591.0)</f>
        <v>5591</v>
      </c>
      <c r="C2014" s="2" t="str">
        <f>IFERROR(__xludf.DUMMYFUNCTION("""COMPUTED_VALUE"""),"Ryan Hidayat")</f>
        <v>Ryan Hidayat</v>
      </c>
      <c r="D2014" s="2" t="str">
        <f>IFERROR(__xludf.DUMMYFUNCTION("""COMPUTED_VALUE"""),"5KM OVERALL M")</f>
        <v>5KM OVERALL M</v>
      </c>
      <c r="E2014" s="1">
        <f>IFERROR(__xludf.DUMMYFUNCTION("""COMPUTED_VALUE"""),2.0)</f>
        <v>2</v>
      </c>
      <c r="F2014" s="1" t="str">
        <f>IFERROR(__xludf.DUMMYFUNCTION("""COMPUTED_VALUE"""),"Male")</f>
        <v>Male</v>
      </c>
      <c r="G2014" s="4" t="b">
        <f>IFERROR(__xludf.DUMMYFUNCTION("""COMPUTED_VALUE"""),TRUE)</f>
        <v>1</v>
      </c>
      <c r="H2014" s="4" t="b">
        <f>IFERROR(__xludf.DUMMYFUNCTION("""COMPUTED_VALUE"""),TRUE)</f>
        <v>1</v>
      </c>
      <c r="I2014" s="4">
        <f>IFERROR(__xludf.DUMMYFUNCTION("""COMPUTED_VALUE"""),0.2549440625)</f>
        <v>0.2549440625</v>
      </c>
      <c r="J2014" s="4">
        <f>IFERROR(__xludf.DUMMYFUNCTION("""COMPUTED_VALUE"""),45949.28070037209)</f>
        <v>45949.2807</v>
      </c>
      <c r="K2014" s="4" t="str">
        <f>IFERROR(__xludf.DUMMYFUNCTION("""COMPUTED_VALUE"""),"")</f>
        <v/>
      </c>
      <c r="L2014" s="4">
        <f>IFERROR(__xludf.DUMMYFUNCTION("""COMPUTED_VALUE"""),45949.297796697814)</f>
        <v>45949.2978</v>
      </c>
      <c r="M2014" s="1" t="str">
        <f>IFERROR(__xludf.DUMMYFUNCTION("""COMPUTED_VALUE"""),"RFID")</f>
        <v>RFID</v>
      </c>
      <c r="N2014" s="5">
        <f>IFERROR(__xludf.DUMMYFUNCTION("""COMPUTED_VALUE"""),0.010302523148148147)</f>
        <v>0.01030252315</v>
      </c>
      <c r="O2014" s="5" t="str">
        <f>IFERROR(__xludf.DUMMYFUNCTION("""COMPUTED_VALUE"""),"")</f>
        <v/>
      </c>
      <c r="P2014" s="5" t="str">
        <f>IFERROR(__xludf.DUMMYFUNCTION("""COMPUTED_VALUE"""),"")</f>
        <v/>
      </c>
      <c r="Q2014" s="5">
        <f>IFERROR(__xludf.DUMMYFUNCTION("""COMPUTED_VALUE"""),0.008570527777777778)</f>
        <v>0.008570527778</v>
      </c>
      <c r="R2014" s="4">
        <f>IFERROR(__xludf.DUMMYFUNCTION("""COMPUTED_VALUE"""),45949.04285263531)</f>
        <v>45949.04285</v>
      </c>
      <c r="S2014" s="1" t="b">
        <f>IFERROR(__xludf.DUMMYFUNCTION("""COMPUTED_VALUE"""),TRUE)</f>
        <v>1</v>
      </c>
      <c r="T2014" s="1" t="b">
        <f>IFERROR(__xludf.DUMMYFUNCTION("""COMPUTED_VALUE"""),FALSE)</f>
        <v>0</v>
      </c>
      <c r="U2014" s="1" t="str">
        <f>IFERROR(__xludf.DUMMYFUNCTION("""COMPUTED_VALUE"""),"VALID")</f>
        <v>VALID</v>
      </c>
      <c r="V2014" s="1">
        <f>IFERROR(__xludf.DUMMYFUNCTION("""COMPUTED_VALUE"""),763.0)</f>
        <v>763</v>
      </c>
      <c r="W2014" s="1">
        <f>IFERROR(__xludf.DUMMYFUNCTION("""COMPUTED_VALUE"""),1357.0)</f>
        <v>1357</v>
      </c>
      <c r="X2014" s="1">
        <f>IFERROR(__xludf.DUMMYFUNCTION("""COMPUTED_VALUE"""),1096.0)</f>
        <v>1096</v>
      </c>
      <c r="Y2014" s="2"/>
      <c r="Z2014" s="2"/>
    </row>
    <row r="2015">
      <c r="A2015" s="1">
        <f>IFERROR(__xludf.DUMMYFUNCTION("""COMPUTED_VALUE"""),2014.0)</f>
        <v>2014</v>
      </c>
      <c r="B2015" s="1">
        <f>IFERROR(__xludf.DUMMYFUNCTION("""COMPUTED_VALUE"""),5592.0)</f>
        <v>5592</v>
      </c>
      <c r="C2015" s="2" t="str">
        <f>IFERROR(__xludf.DUMMYFUNCTION("""COMPUTED_VALUE"""),"YUDHIS")</f>
        <v>YUDHIS</v>
      </c>
      <c r="D2015" s="2" t="str">
        <f>IFERROR(__xludf.DUMMYFUNCTION("""COMPUTED_VALUE"""),"5KM OVERALL M")</f>
        <v>5KM OVERALL M</v>
      </c>
      <c r="E2015" s="1">
        <f>IFERROR(__xludf.DUMMYFUNCTION("""COMPUTED_VALUE"""),2.0)</f>
        <v>2</v>
      </c>
      <c r="F2015" s="1" t="str">
        <f>IFERROR(__xludf.DUMMYFUNCTION("""COMPUTED_VALUE"""),"Male")</f>
        <v>Male</v>
      </c>
      <c r="G2015" s="4" t="b">
        <f>IFERROR(__xludf.DUMMYFUNCTION("""COMPUTED_VALUE"""),TRUE)</f>
        <v>1</v>
      </c>
      <c r="H2015" s="4" t="b">
        <f>IFERROR(__xludf.DUMMYFUNCTION("""COMPUTED_VALUE"""),FALSE)</f>
        <v>0</v>
      </c>
      <c r="I2015" s="4">
        <f>IFERROR(__xludf.DUMMYFUNCTION("""COMPUTED_VALUE"""),0.2549440625)</f>
        <v>0.2549440625</v>
      </c>
      <c r="J2015" s="4">
        <f>IFERROR(__xludf.DUMMYFUNCTION("""COMPUTED_VALUE"""),45949.27052321079)</f>
        <v>45949.27052</v>
      </c>
      <c r="K2015" s="4" t="str">
        <f>IFERROR(__xludf.DUMMYFUNCTION("""COMPUTED_VALUE"""),"")</f>
        <v/>
      </c>
      <c r="L2015" s="4">
        <f>IFERROR(__xludf.DUMMYFUNCTION("""COMPUTED_VALUE"""),45949.28360226059)</f>
        <v>45949.2836</v>
      </c>
      <c r="M2015" s="1" t="str">
        <f>IFERROR(__xludf.DUMMYFUNCTION("""COMPUTED_VALUE"""),"RFID")</f>
        <v>RFID</v>
      </c>
      <c r="N2015" s="5">
        <f>IFERROR(__xludf.DUMMYFUNCTION("""COMPUTED_VALUE"""),0.006231657407407407)</f>
        <v>0.006231657407</v>
      </c>
      <c r="O2015" s="5" t="str">
        <f>IFERROR(__xludf.DUMMYFUNCTION("""COMPUTED_VALUE"""),"")</f>
        <v/>
      </c>
      <c r="P2015" s="5" t="str">
        <f>IFERROR(__xludf.DUMMYFUNCTION("""COMPUTED_VALUE"""),"")</f>
        <v/>
      </c>
      <c r="Q2015" s="5">
        <f>IFERROR(__xludf.DUMMYFUNCTION("""COMPUTED_VALUE"""),0.005731638888888889)</f>
        <v>0.005731638889</v>
      </c>
      <c r="R2015" s="4">
        <f>IFERROR(__xludf.DUMMYFUNCTION("""COMPUTED_VALUE"""),45949.02865819809)</f>
        <v>45949.02866</v>
      </c>
      <c r="S2015" s="1" t="b">
        <f>IFERROR(__xludf.DUMMYFUNCTION("""COMPUTED_VALUE"""),TRUE)</f>
        <v>1</v>
      </c>
      <c r="T2015" s="1" t="b">
        <f>IFERROR(__xludf.DUMMYFUNCTION("""COMPUTED_VALUE"""),FALSE)</f>
        <v>0</v>
      </c>
      <c r="U2015" s="1" t="str">
        <f>IFERROR(__xludf.DUMMYFUNCTION("""COMPUTED_VALUE"""),"VALID")</f>
        <v>VALID</v>
      </c>
      <c r="V2015" s="1">
        <f>IFERROR(__xludf.DUMMYFUNCTION("""COMPUTED_VALUE"""),316.0)</f>
        <v>316</v>
      </c>
      <c r="W2015" s="1">
        <f>IFERROR(__xludf.DUMMYFUNCTION("""COMPUTED_VALUE"""),470.0)</f>
        <v>470</v>
      </c>
      <c r="X2015" s="1">
        <f>IFERROR(__xludf.DUMMYFUNCTION("""COMPUTED_VALUE"""),407.0)</f>
        <v>407</v>
      </c>
      <c r="Y2015" s="2"/>
      <c r="Z2015" s="2"/>
    </row>
    <row r="2016">
      <c r="A2016" s="1">
        <f>IFERROR(__xludf.DUMMYFUNCTION("""COMPUTED_VALUE"""),2015.0)</f>
        <v>2015</v>
      </c>
      <c r="B2016" s="1">
        <f>IFERROR(__xludf.DUMMYFUNCTION("""COMPUTED_VALUE"""),5593.0)</f>
        <v>5593</v>
      </c>
      <c r="C2016" s="2" t="str">
        <f>IFERROR(__xludf.DUMMYFUNCTION("""COMPUTED_VALUE"""),"Sazz99")</f>
        <v>Sazz99</v>
      </c>
      <c r="D2016" s="2" t="str">
        <f>IFERROR(__xludf.DUMMYFUNCTION("""COMPUTED_VALUE"""),"5KM OVERALL M")</f>
        <v>5KM OVERALL M</v>
      </c>
      <c r="E2016" s="1">
        <f>IFERROR(__xludf.DUMMYFUNCTION("""COMPUTED_VALUE"""),2.0)</f>
        <v>2</v>
      </c>
      <c r="F2016" s="1" t="str">
        <f>IFERROR(__xludf.DUMMYFUNCTION("""COMPUTED_VALUE"""),"Male")</f>
        <v>Male</v>
      </c>
      <c r="G2016" s="4" t="b">
        <f>IFERROR(__xludf.DUMMYFUNCTION("""COMPUTED_VALUE"""),TRUE)</f>
        <v>1</v>
      </c>
      <c r="H2016" s="4" t="b">
        <f>IFERROR(__xludf.DUMMYFUNCTION("""COMPUTED_VALUE"""),TRUE)</f>
        <v>1</v>
      </c>
      <c r="I2016" s="4">
        <f>IFERROR(__xludf.DUMMYFUNCTION("""COMPUTED_VALUE"""),0.2549440625)</f>
        <v>0.2549440625</v>
      </c>
      <c r="J2016" s="4">
        <f>IFERROR(__xludf.DUMMYFUNCTION("""COMPUTED_VALUE"""),45950.275671296295)</f>
        <v>45950.27567</v>
      </c>
      <c r="K2016" s="4" t="str">
        <f>IFERROR(__xludf.DUMMYFUNCTION("""COMPUTED_VALUE"""),"")</f>
        <v/>
      </c>
      <c r="L2016" s="4">
        <f>IFERROR(__xludf.DUMMYFUNCTION("""COMPUTED_VALUE"""),45949.28949805613)</f>
        <v>45949.2895</v>
      </c>
      <c r="M2016" s="1" t="str">
        <f>IFERROR(__xludf.DUMMYFUNCTION("""COMPUTED_VALUE"""),"RFID")</f>
        <v>RFID</v>
      </c>
      <c r="N2016" s="5">
        <f>IFERROR(__xludf.DUMMYFUNCTION("""COMPUTED_VALUE"""),0.008290893518518519)</f>
        <v>0.008290893519</v>
      </c>
      <c r="O2016" s="5" t="str">
        <f>IFERROR(__xludf.DUMMYFUNCTION("""COMPUTED_VALUE"""),"")</f>
        <v/>
      </c>
      <c r="P2016" s="5" t="str">
        <f>IFERROR(__xludf.DUMMYFUNCTION("""COMPUTED_VALUE"""),"")</f>
        <v/>
      </c>
      <c r="Q2016" s="5">
        <f>IFERROR(__xludf.DUMMYFUNCTION("""COMPUTED_VALUE"""),0.0069107986111111115)</f>
        <v>0.006910798611</v>
      </c>
      <c r="R2016" s="4">
        <f>IFERROR(__xludf.DUMMYFUNCTION("""COMPUTED_VALUE"""),45949.03455399363)</f>
        <v>45949.03455</v>
      </c>
      <c r="S2016" s="1" t="b">
        <f>IFERROR(__xludf.DUMMYFUNCTION("""COMPUTED_VALUE"""),TRUE)</f>
        <v>1</v>
      </c>
      <c r="T2016" s="1" t="b">
        <f>IFERROR(__xludf.DUMMYFUNCTION("""COMPUTED_VALUE"""),FALSE)</f>
        <v>0</v>
      </c>
      <c r="U2016" s="1" t="str">
        <f>IFERROR(__xludf.DUMMYFUNCTION("""COMPUTED_VALUE"""),"VALID")</f>
        <v>VALID</v>
      </c>
      <c r="V2016" s="1">
        <f>IFERROR(__xludf.DUMMYFUNCTION("""COMPUTED_VALUE"""),549.0)</f>
        <v>549</v>
      </c>
      <c r="W2016" s="1">
        <f>IFERROR(__xludf.DUMMYFUNCTION("""COMPUTED_VALUE"""),866.0)</f>
        <v>866</v>
      </c>
      <c r="X2016" s="1">
        <f>IFERROR(__xludf.DUMMYFUNCTION("""COMPUTED_VALUE"""),708.0)</f>
        <v>708</v>
      </c>
      <c r="Y2016" s="2"/>
      <c r="Z2016" s="2" t="str">
        <f>IFERROR(__xludf.DUMMYFUNCTION("""COMPUTED_VALUE"""),"C")</f>
        <v>C</v>
      </c>
    </row>
    <row r="2017">
      <c r="A2017" s="1">
        <f>IFERROR(__xludf.DUMMYFUNCTION("""COMPUTED_VALUE"""),2016.0)</f>
        <v>2016</v>
      </c>
      <c r="B2017" s="1">
        <f>IFERROR(__xludf.DUMMYFUNCTION("""COMPUTED_VALUE"""),5595.0)</f>
        <v>5595</v>
      </c>
      <c r="C2017" s="2" t="str">
        <f>IFERROR(__xludf.DUMMYFUNCTION("""COMPUTED_VALUE"""),"Renaldy Andriannoor")</f>
        <v>Renaldy Andriannoor</v>
      </c>
      <c r="D2017" s="2" t="str">
        <f>IFERROR(__xludf.DUMMYFUNCTION("""COMPUTED_VALUE"""),"5KM OVERALL M")</f>
        <v>5KM OVERALL M</v>
      </c>
      <c r="E2017" s="1">
        <f>IFERROR(__xludf.DUMMYFUNCTION("""COMPUTED_VALUE"""),2.0)</f>
        <v>2</v>
      </c>
      <c r="F2017" s="1" t="str">
        <f>IFERROR(__xludf.DUMMYFUNCTION("""COMPUTED_VALUE"""),"Male")</f>
        <v>Male</v>
      </c>
      <c r="G2017" s="4" t="b">
        <f>IFERROR(__xludf.DUMMYFUNCTION("""COMPUTED_VALUE"""),TRUE)</f>
        <v>1</v>
      </c>
      <c r="H2017" s="4" t="b">
        <f>IFERROR(__xludf.DUMMYFUNCTION("""COMPUTED_VALUE"""),TRUE)</f>
        <v>1</v>
      </c>
      <c r="I2017" s="4">
        <f>IFERROR(__xludf.DUMMYFUNCTION("""COMPUTED_VALUE"""),0.2549440625)</f>
        <v>0.2549440625</v>
      </c>
      <c r="J2017" s="4">
        <f>IFERROR(__xludf.DUMMYFUNCTION("""COMPUTED_VALUE"""),45949.27534265766)</f>
        <v>45949.27534</v>
      </c>
      <c r="K2017" s="4" t="str">
        <f>IFERROR(__xludf.DUMMYFUNCTION("""COMPUTED_VALUE"""),"")</f>
        <v/>
      </c>
      <c r="L2017" s="4">
        <f>IFERROR(__xludf.DUMMYFUNCTION("""COMPUTED_VALUE"""),45949.287869636326)</f>
        <v>45949.28787</v>
      </c>
      <c r="M2017" s="1" t="str">
        <f>IFERROR(__xludf.DUMMYFUNCTION("""COMPUTED_VALUE"""),"RFID")</f>
        <v>RFID</v>
      </c>
      <c r="N2017" s="5">
        <f>IFERROR(__xludf.DUMMYFUNCTION("""COMPUTED_VALUE"""),0.008159439814814814)</f>
        <v>0.008159439815</v>
      </c>
      <c r="O2017" s="5" t="str">
        <f>IFERROR(__xludf.DUMMYFUNCTION("""COMPUTED_VALUE"""),"")</f>
        <v/>
      </c>
      <c r="P2017" s="5" t="str">
        <f>IFERROR(__xludf.DUMMYFUNCTION("""COMPUTED_VALUE"""),"")</f>
        <v/>
      </c>
      <c r="Q2017" s="5">
        <f>IFERROR(__xludf.DUMMYFUNCTION("""COMPUTED_VALUE"""),0.00658511574074074)</f>
        <v>0.006585115741</v>
      </c>
      <c r="R2017" s="4">
        <f>IFERROR(__xludf.DUMMYFUNCTION("""COMPUTED_VALUE"""),45949.032925573825)</f>
        <v>45949.03293</v>
      </c>
      <c r="S2017" s="1" t="b">
        <f>IFERROR(__xludf.DUMMYFUNCTION("""COMPUTED_VALUE"""),TRUE)</f>
        <v>1</v>
      </c>
      <c r="T2017" s="1" t="b">
        <f>IFERROR(__xludf.DUMMYFUNCTION("""COMPUTED_VALUE"""),FALSE)</f>
        <v>0</v>
      </c>
      <c r="U2017" s="1" t="str">
        <f>IFERROR(__xludf.DUMMYFUNCTION("""COMPUTED_VALUE"""),"VALID")</f>
        <v>VALID</v>
      </c>
      <c r="V2017" s="1">
        <f>IFERROR(__xludf.DUMMYFUNCTION("""COMPUTED_VALUE"""),491.0)</f>
        <v>491</v>
      </c>
      <c r="W2017" s="1">
        <f>IFERROR(__xludf.DUMMYFUNCTION("""COMPUTED_VALUE"""),769.0)</f>
        <v>769</v>
      </c>
      <c r="X2017" s="1">
        <f>IFERROR(__xludf.DUMMYFUNCTION("""COMPUTED_VALUE"""),635.0)</f>
        <v>635</v>
      </c>
      <c r="Y2017" s="2"/>
      <c r="Z2017" s="2"/>
    </row>
    <row r="2018">
      <c r="A2018" s="1">
        <f>IFERROR(__xludf.DUMMYFUNCTION("""COMPUTED_VALUE"""),2017.0)</f>
        <v>2017</v>
      </c>
      <c r="B2018" s="1">
        <f>IFERROR(__xludf.DUMMYFUNCTION("""COMPUTED_VALUE"""),5597.0)</f>
        <v>5597</v>
      </c>
      <c r="C2018" s="2" t="str">
        <f>IFERROR(__xludf.DUMMYFUNCTION("""COMPUTED_VALUE"""),"DNIK")</f>
        <v>DNIK</v>
      </c>
      <c r="D2018" s="2" t="str">
        <f>IFERROR(__xludf.DUMMYFUNCTION("""COMPUTED_VALUE"""),"5KM OVERALL M")</f>
        <v>5KM OVERALL M</v>
      </c>
      <c r="E2018" s="1">
        <f>IFERROR(__xludf.DUMMYFUNCTION("""COMPUTED_VALUE"""),2.0)</f>
        <v>2</v>
      </c>
      <c r="F2018" s="1" t="str">
        <f>IFERROR(__xludf.DUMMYFUNCTION("""COMPUTED_VALUE"""),"Male")</f>
        <v>Male</v>
      </c>
      <c r="G2018" s="4" t="b">
        <f>IFERROR(__xludf.DUMMYFUNCTION("""COMPUTED_VALUE"""),TRUE)</f>
        <v>1</v>
      </c>
      <c r="H2018" s="4" t="b">
        <f>IFERROR(__xludf.DUMMYFUNCTION("""COMPUTED_VALUE"""),TRUE)</f>
        <v>1</v>
      </c>
      <c r="I2018" s="4">
        <f>IFERROR(__xludf.DUMMYFUNCTION("""COMPUTED_VALUE"""),0.2549440625)</f>
        <v>0.2549440625</v>
      </c>
      <c r="J2018" s="4">
        <f>IFERROR(__xludf.DUMMYFUNCTION("""COMPUTED_VALUE"""),45949.266321839896)</f>
        <v>45949.26632</v>
      </c>
      <c r="K2018" s="4" t="str">
        <f>IFERROR(__xludf.DUMMYFUNCTION("""COMPUTED_VALUE"""),"")</f>
        <v/>
      </c>
      <c r="L2018" s="4">
        <f>IFERROR(__xludf.DUMMYFUNCTION("""COMPUTED_VALUE"""),45949.27458489453)</f>
        <v>45949.27458</v>
      </c>
      <c r="M2018" s="1" t="str">
        <f>IFERROR(__xludf.DUMMYFUNCTION("""COMPUTED_VALUE"""),"RFID")</f>
        <v>RFID</v>
      </c>
      <c r="N2018" s="5">
        <f>IFERROR(__xludf.DUMMYFUNCTION("""COMPUTED_VALUE"""),0.004551111111111111)</f>
        <v>0.004551111111</v>
      </c>
      <c r="O2018" s="5" t="str">
        <f>IFERROR(__xludf.DUMMYFUNCTION("""COMPUTED_VALUE"""),"")</f>
        <v/>
      </c>
      <c r="P2018" s="5" t="str">
        <f>IFERROR(__xludf.DUMMYFUNCTION("""COMPUTED_VALUE"""),"")</f>
        <v/>
      </c>
      <c r="Q2018" s="5">
        <f>IFERROR(__xludf.DUMMYFUNCTION("""COMPUTED_VALUE"""),0.003928166666666667)</f>
        <v>0.003928166667</v>
      </c>
      <c r="R2018" s="4">
        <f>IFERROR(__xludf.DUMMYFUNCTION("""COMPUTED_VALUE"""),45949.019640832026)</f>
        <v>45949.01964</v>
      </c>
      <c r="S2018" s="1" t="b">
        <f>IFERROR(__xludf.DUMMYFUNCTION("""COMPUTED_VALUE"""),TRUE)</f>
        <v>1</v>
      </c>
      <c r="T2018" s="1" t="b">
        <f>IFERROR(__xludf.DUMMYFUNCTION("""COMPUTED_VALUE"""),FALSE)</f>
        <v>0</v>
      </c>
      <c r="U2018" s="1" t="str">
        <f>IFERROR(__xludf.DUMMYFUNCTION("""COMPUTED_VALUE"""),"VALID")</f>
        <v>VALID</v>
      </c>
      <c r="V2018" s="1">
        <f>IFERROR(__xludf.DUMMYFUNCTION("""COMPUTED_VALUE"""),73.0)</f>
        <v>73</v>
      </c>
      <c r="W2018" s="1">
        <f>IFERROR(__xludf.DUMMYFUNCTION("""COMPUTED_VALUE"""),108.0)</f>
        <v>108</v>
      </c>
      <c r="X2018" s="1">
        <f>IFERROR(__xludf.DUMMYFUNCTION("""COMPUTED_VALUE"""),97.0)</f>
        <v>97</v>
      </c>
      <c r="Y2018" s="2"/>
      <c r="Z2018" s="2"/>
    </row>
    <row r="2019">
      <c r="A2019" s="1">
        <f>IFERROR(__xludf.DUMMYFUNCTION("""COMPUTED_VALUE"""),2018.0)</f>
        <v>2018</v>
      </c>
      <c r="B2019" s="1">
        <f>IFERROR(__xludf.DUMMYFUNCTION("""COMPUTED_VALUE"""),5598.0)</f>
        <v>5598</v>
      </c>
      <c r="C2019" s="2" t="str">
        <f>IFERROR(__xludf.DUMMYFUNCTION("""COMPUTED_VALUE"""),"Ahmad S")</f>
        <v>Ahmad S</v>
      </c>
      <c r="D2019" s="2" t="str">
        <f>IFERROR(__xludf.DUMMYFUNCTION("""COMPUTED_VALUE"""),"5KM OVERALL M")</f>
        <v>5KM OVERALL M</v>
      </c>
      <c r="E2019" s="1">
        <f>IFERROR(__xludf.DUMMYFUNCTION("""COMPUTED_VALUE"""),2.0)</f>
        <v>2</v>
      </c>
      <c r="F2019" s="1" t="str">
        <f>IFERROR(__xludf.DUMMYFUNCTION("""COMPUTED_VALUE"""),"Male")</f>
        <v>Male</v>
      </c>
      <c r="G2019" s="4" t="b">
        <f>IFERROR(__xludf.DUMMYFUNCTION("""COMPUTED_VALUE"""),TRUE)</f>
        <v>1</v>
      </c>
      <c r="H2019" s="4" t="b">
        <f>IFERROR(__xludf.DUMMYFUNCTION("""COMPUTED_VALUE"""),FALSE)</f>
        <v>0</v>
      </c>
      <c r="I2019" s="4">
        <f>IFERROR(__xludf.DUMMYFUNCTION("""COMPUTED_VALUE"""),0.2549440625)</f>
        <v>0.2549440625</v>
      </c>
      <c r="J2019" s="4">
        <f>IFERROR(__xludf.DUMMYFUNCTION("""COMPUTED_VALUE"""),45949.276998935246)</f>
        <v>45949.277</v>
      </c>
      <c r="K2019" s="4" t="str">
        <f>IFERROR(__xludf.DUMMYFUNCTION("""COMPUTED_VALUE"""),"")</f>
        <v/>
      </c>
      <c r="L2019" s="4">
        <f>IFERROR(__xludf.DUMMYFUNCTION("""COMPUTED_VALUE"""),45949.291077968875)</f>
        <v>45949.29108</v>
      </c>
      <c r="M2019" s="1" t="str">
        <f>IFERROR(__xludf.DUMMYFUNCTION("""COMPUTED_VALUE"""),"RFID")</f>
        <v>RFID</v>
      </c>
      <c r="N2019" s="5">
        <f>IFERROR(__xludf.DUMMYFUNCTION("""COMPUTED_VALUE"""),0.008821949074074074)</f>
        <v>0.008821949074</v>
      </c>
      <c r="O2019" s="5" t="str">
        <f>IFERROR(__xludf.DUMMYFUNCTION("""COMPUTED_VALUE"""),"")</f>
        <v/>
      </c>
      <c r="P2019" s="5" t="str">
        <f>IFERROR(__xludf.DUMMYFUNCTION("""COMPUTED_VALUE"""),"")</f>
        <v/>
      </c>
      <c r="Q2019" s="5">
        <f>IFERROR(__xludf.DUMMYFUNCTION("""COMPUTED_VALUE"""),0.0072267824074074075)</f>
        <v>0.007226782407</v>
      </c>
      <c r="R2019" s="4">
        <f>IFERROR(__xludf.DUMMYFUNCTION("""COMPUTED_VALUE"""),45949.036133906375)</f>
        <v>45949.03613</v>
      </c>
      <c r="S2019" s="1" t="b">
        <f>IFERROR(__xludf.DUMMYFUNCTION("""COMPUTED_VALUE"""),TRUE)</f>
        <v>1</v>
      </c>
      <c r="T2019" s="1" t="b">
        <f>IFERROR(__xludf.DUMMYFUNCTION("""COMPUTED_VALUE"""),FALSE)</f>
        <v>0</v>
      </c>
      <c r="U2019" s="1" t="str">
        <f>IFERROR(__xludf.DUMMYFUNCTION("""COMPUTED_VALUE"""),"VALID")</f>
        <v>VALID</v>
      </c>
      <c r="V2019" s="1">
        <f>IFERROR(__xludf.DUMMYFUNCTION("""COMPUTED_VALUE"""),597.0)</f>
        <v>597</v>
      </c>
      <c r="W2019" s="1">
        <f>IFERROR(__xludf.DUMMYFUNCTION("""COMPUTED_VALUE"""),966.0)</f>
        <v>966</v>
      </c>
      <c r="X2019" s="1">
        <f>IFERROR(__xludf.DUMMYFUNCTION("""COMPUTED_VALUE"""),783.0)</f>
        <v>783</v>
      </c>
      <c r="Y2019" s="2"/>
      <c r="Z2019" s="2"/>
    </row>
    <row r="2020">
      <c r="A2020" s="1">
        <f>IFERROR(__xludf.DUMMYFUNCTION("""COMPUTED_VALUE"""),2019.0)</f>
        <v>2019</v>
      </c>
      <c r="B2020" s="1">
        <f>IFERROR(__xludf.DUMMYFUNCTION("""COMPUTED_VALUE"""),5600.0)</f>
        <v>5600</v>
      </c>
      <c r="C2020" s="2" t="str">
        <f>IFERROR(__xludf.DUMMYFUNCTION("""COMPUTED_VALUE"""),"Valdi")</f>
        <v>Valdi</v>
      </c>
      <c r="D2020" s="2" t="str">
        <f>IFERROR(__xludf.DUMMYFUNCTION("""COMPUTED_VALUE"""),"5KM OVERALL M")</f>
        <v>5KM OVERALL M</v>
      </c>
      <c r="E2020" s="1">
        <f>IFERROR(__xludf.DUMMYFUNCTION("""COMPUTED_VALUE"""),2.0)</f>
        <v>2</v>
      </c>
      <c r="F2020" s="1" t="str">
        <f>IFERROR(__xludf.DUMMYFUNCTION("""COMPUTED_VALUE"""),"Male")</f>
        <v>Male</v>
      </c>
      <c r="G2020" s="4" t="b">
        <f>IFERROR(__xludf.DUMMYFUNCTION("""COMPUTED_VALUE"""),TRUE)</f>
        <v>1</v>
      </c>
      <c r="H2020" s="4" t="b">
        <f>IFERROR(__xludf.DUMMYFUNCTION("""COMPUTED_VALUE"""),TRUE)</f>
        <v>1</v>
      </c>
      <c r="I2020" s="4">
        <f>IFERROR(__xludf.DUMMYFUNCTION("""COMPUTED_VALUE"""),0.2549440625)</f>
        <v>0.2549440625</v>
      </c>
      <c r="J2020" s="4">
        <f>IFERROR(__xludf.DUMMYFUNCTION("""COMPUTED_VALUE"""),45949.269245473544)</f>
        <v>45949.26925</v>
      </c>
      <c r="K2020" s="4" t="str">
        <f>IFERROR(__xludf.DUMMYFUNCTION("""COMPUTED_VALUE"""),"")</f>
        <v/>
      </c>
      <c r="L2020" s="4">
        <f>IFERROR(__xludf.DUMMYFUNCTION("""COMPUTED_VALUE"""),45949.27823501419)</f>
        <v>45949.27824</v>
      </c>
      <c r="M2020" s="1" t="str">
        <f>IFERROR(__xludf.DUMMYFUNCTION("""COMPUTED_VALUE"""),"RFID")</f>
        <v>RFID</v>
      </c>
      <c r="N2020" s="5">
        <f>IFERROR(__xludf.DUMMYFUNCTION("""COMPUTED_VALUE"""),0.0057205648148148155)</f>
        <v>0.005720564815</v>
      </c>
      <c r="O2020" s="5" t="str">
        <f>IFERROR(__xludf.DUMMYFUNCTION("""COMPUTED_VALUE"""),"")</f>
        <v/>
      </c>
      <c r="P2020" s="5" t="str">
        <f>IFERROR(__xludf.DUMMYFUNCTION("""COMPUTED_VALUE"""),"")</f>
        <v/>
      </c>
      <c r="Q2020" s="5">
        <f>IFERROR(__xludf.DUMMYFUNCTION("""COMPUTED_VALUE"""),0.004658189814814815)</f>
        <v>0.004658189815</v>
      </c>
      <c r="R2020" s="4">
        <f>IFERROR(__xludf.DUMMYFUNCTION("""COMPUTED_VALUE"""),45949.02329095169)</f>
        <v>45949.02329</v>
      </c>
      <c r="S2020" s="1" t="b">
        <f>IFERROR(__xludf.DUMMYFUNCTION("""COMPUTED_VALUE"""),TRUE)</f>
        <v>1</v>
      </c>
      <c r="T2020" s="1" t="b">
        <f>IFERROR(__xludf.DUMMYFUNCTION("""COMPUTED_VALUE"""),FALSE)</f>
        <v>0</v>
      </c>
      <c r="U2020" s="1" t="str">
        <f>IFERROR(__xludf.DUMMYFUNCTION("""COMPUTED_VALUE"""),"VALID")</f>
        <v>VALID</v>
      </c>
      <c r="V2020" s="1">
        <f>IFERROR(__xludf.DUMMYFUNCTION("""COMPUTED_VALUE"""),149.0)</f>
        <v>149</v>
      </c>
      <c r="W2020" s="1">
        <f>IFERROR(__xludf.DUMMYFUNCTION("""COMPUTED_VALUE"""),225.0)</f>
        <v>225</v>
      </c>
      <c r="X2020" s="1">
        <f>IFERROR(__xludf.DUMMYFUNCTION("""COMPUTED_VALUE"""),197.0)</f>
        <v>197</v>
      </c>
      <c r="Y2020" s="2"/>
      <c r="Z2020" s="2"/>
    </row>
    <row r="2021">
      <c r="A2021" s="1">
        <f>IFERROR(__xludf.DUMMYFUNCTION("""COMPUTED_VALUE"""),2020.0)</f>
        <v>2020</v>
      </c>
      <c r="B2021" s="1">
        <f>IFERROR(__xludf.DUMMYFUNCTION("""COMPUTED_VALUE"""),5601.0)</f>
        <v>5601</v>
      </c>
      <c r="C2021" s="2" t="str">
        <f>IFERROR(__xludf.DUMMYFUNCTION("""COMPUTED_VALUE"""),"Mass Bryy")</f>
        <v>Mass Bryy</v>
      </c>
      <c r="D2021" s="2" t="str">
        <f>IFERROR(__xludf.DUMMYFUNCTION("""COMPUTED_VALUE"""),"5KM OVERALL M")</f>
        <v>5KM OVERALL M</v>
      </c>
      <c r="E2021" s="1">
        <f>IFERROR(__xludf.DUMMYFUNCTION("""COMPUTED_VALUE"""),2.0)</f>
        <v>2</v>
      </c>
      <c r="F2021" s="1" t="str">
        <f>IFERROR(__xludf.DUMMYFUNCTION("""COMPUTED_VALUE"""),"Male")</f>
        <v>Male</v>
      </c>
      <c r="G2021" s="4" t="b">
        <f>IFERROR(__xludf.DUMMYFUNCTION("""COMPUTED_VALUE"""),TRUE)</f>
        <v>1</v>
      </c>
      <c r="H2021" s="4" t="b">
        <f>IFERROR(__xludf.DUMMYFUNCTION("""COMPUTED_VALUE"""),TRUE)</f>
        <v>1</v>
      </c>
      <c r="I2021" s="4">
        <f>IFERROR(__xludf.DUMMYFUNCTION("""COMPUTED_VALUE"""),0.2549440625)</f>
        <v>0.2549440625</v>
      </c>
      <c r="J2021" s="4">
        <f>IFERROR(__xludf.DUMMYFUNCTION("""COMPUTED_VALUE"""),45949.27933572148)</f>
        <v>45949.27934</v>
      </c>
      <c r="K2021" s="4" t="str">
        <f>IFERROR(__xludf.DUMMYFUNCTION("""COMPUTED_VALUE"""),"")</f>
        <v/>
      </c>
      <c r="L2021" s="4">
        <f>IFERROR(__xludf.DUMMYFUNCTION("""COMPUTED_VALUE"""),45949.296491148634)</f>
        <v>45949.29649</v>
      </c>
      <c r="M2021" s="1" t="str">
        <f>IFERROR(__xludf.DUMMYFUNCTION("""COMPUTED_VALUE"""),"RFID")</f>
        <v>RFID</v>
      </c>
      <c r="N2021" s="5">
        <f>IFERROR(__xludf.DUMMYFUNCTION("""COMPUTED_VALUE"""),0.009756662037037036)</f>
        <v>0.009756662037</v>
      </c>
      <c r="O2021" s="5" t="str">
        <f>IFERROR(__xludf.DUMMYFUNCTION("""COMPUTED_VALUE"""),"")</f>
        <v/>
      </c>
      <c r="P2021" s="5" t="str">
        <f>IFERROR(__xludf.DUMMYFUNCTION("""COMPUTED_VALUE"""),"")</f>
        <v/>
      </c>
      <c r="Q2021" s="5">
        <f>IFERROR(__xludf.DUMMYFUNCTION("""COMPUTED_VALUE"""),0.008309416666666666)</f>
        <v>0.008309416667</v>
      </c>
      <c r="R2021" s="4">
        <f>IFERROR(__xludf.DUMMYFUNCTION("""COMPUTED_VALUE"""),45949.04154708613)</f>
        <v>45949.04155</v>
      </c>
      <c r="S2021" s="1" t="b">
        <f>IFERROR(__xludf.DUMMYFUNCTION("""COMPUTED_VALUE"""),TRUE)</f>
        <v>1</v>
      </c>
      <c r="T2021" s="1" t="b">
        <f>IFERROR(__xludf.DUMMYFUNCTION("""COMPUTED_VALUE"""),FALSE)</f>
        <v>0</v>
      </c>
      <c r="U2021" s="1" t="str">
        <f>IFERROR(__xludf.DUMMYFUNCTION("""COMPUTED_VALUE"""),"VALID")</f>
        <v>VALID</v>
      </c>
      <c r="V2021" s="1">
        <f>IFERROR(__xludf.DUMMYFUNCTION("""COMPUTED_VALUE"""),748.0)</f>
        <v>748</v>
      </c>
      <c r="W2021" s="1">
        <f>IFERROR(__xludf.DUMMYFUNCTION("""COMPUTED_VALUE"""),1316.0)</f>
        <v>1316</v>
      </c>
      <c r="X2021" s="1">
        <f>IFERROR(__xludf.DUMMYFUNCTION("""COMPUTED_VALUE"""),1046.0)</f>
        <v>1046</v>
      </c>
      <c r="Y2021" s="2"/>
      <c r="Z2021" s="2"/>
    </row>
    <row r="2022">
      <c r="A2022" s="1">
        <f>IFERROR(__xludf.DUMMYFUNCTION("""COMPUTED_VALUE"""),2021.0)</f>
        <v>2021</v>
      </c>
      <c r="B2022" s="1">
        <f>IFERROR(__xludf.DUMMYFUNCTION("""COMPUTED_VALUE"""),5603.0)</f>
        <v>5603</v>
      </c>
      <c r="C2022" s="2" t="str">
        <f>IFERROR(__xludf.DUMMYFUNCTION("""COMPUTED_VALUE"""),"Rama")</f>
        <v>Rama</v>
      </c>
      <c r="D2022" s="2" t="str">
        <f>IFERROR(__xludf.DUMMYFUNCTION("""COMPUTED_VALUE"""),"5KM OVERALL M")</f>
        <v>5KM OVERALL M</v>
      </c>
      <c r="E2022" s="1">
        <f>IFERROR(__xludf.DUMMYFUNCTION("""COMPUTED_VALUE"""),2.0)</f>
        <v>2</v>
      </c>
      <c r="F2022" s="1" t="str">
        <f>IFERROR(__xludf.DUMMYFUNCTION("""COMPUTED_VALUE"""),"Male")</f>
        <v>Male</v>
      </c>
      <c r="G2022" s="4" t="b">
        <f>IFERROR(__xludf.DUMMYFUNCTION("""COMPUTED_VALUE"""),TRUE)</f>
        <v>1</v>
      </c>
      <c r="H2022" s="4" t="b">
        <f>IFERROR(__xludf.DUMMYFUNCTION("""COMPUTED_VALUE"""),TRUE)</f>
        <v>1</v>
      </c>
      <c r="I2022" s="4">
        <f>IFERROR(__xludf.DUMMYFUNCTION("""COMPUTED_VALUE"""),0.2549440625)</f>
        <v>0.2549440625</v>
      </c>
      <c r="J2022" s="4">
        <f>IFERROR(__xludf.DUMMYFUNCTION("""COMPUTED_VALUE"""),45949.279280169605)</f>
        <v>45949.27928</v>
      </c>
      <c r="K2022" s="4" t="str">
        <f>IFERROR(__xludf.DUMMYFUNCTION("""COMPUTED_VALUE"""),"")</f>
        <v/>
      </c>
      <c r="L2022" s="4">
        <f>IFERROR(__xludf.DUMMYFUNCTION("""COMPUTED_VALUE"""),45949.30048421524)</f>
        <v>45949.30048</v>
      </c>
      <c r="M2022" s="1" t="str">
        <f>IFERROR(__xludf.DUMMYFUNCTION("""COMPUTED_VALUE"""),"RFID")</f>
        <v>RFID</v>
      </c>
      <c r="N2022" s="5">
        <f>IFERROR(__xludf.DUMMYFUNCTION("""COMPUTED_VALUE"""),0.009734444444444445)</f>
        <v>0.009734444444</v>
      </c>
      <c r="O2022" s="5" t="str">
        <f>IFERROR(__xludf.DUMMYFUNCTION("""COMPUTED_VALUE"""),"")</f>
        <v/>
      </c>
      <c r="P2022" s="5" t="str">
        <f>IFERROR(__xludf.DUMMYFUNCTION("""COMPUTED_VALUE"""),"")</f>
        <v/>
      </c>
      <c r="Q2022" s="5">
        <f>IFERROR(__xludf.DUMMYFUNCTION("""COMPUTED_VALUE"""),0.009108030092592593)</f>
        <v>0.009108030093</v>
      </c>
      <c r="R2022" s="4">
        <f>IFERROR(__xludf.DUMMYFUNCTION("""COMPUTED_VALUE"""),45949.045540152736)</f>
        <v>45949.04554</v>
      </c>
      <c r="S2022" s="1" t="b">
        <f>IFERROR(__xludf.DUMMYFUNCTION("""COMPUTED_VALUE"""),TRUE)</f>
        <v>1</v>
      </c>
      <c r="T2022" s="1" t="b">
        <f>IFERROR(__xludf.DUMMYFUNCTION("""COMPUTED_VALUE"""),FALSE)</f>
        <v>0</v>
      </c>
      <c r="U2022" s="1" t="str">
        <f>IFERROR(__xludf.DUMMYFUNCTION("""COMPUTED_VALUE"""),"VALID")</f>
        <v>VALID</v>
      </c>
      <c r="V2022" s="1">
        <f>IFERROR(__xludf.DUMMYFUNCTION("""COMPUTED_VALUE"""),802.0)</f>
        <v>802</v>
      </c>
      <c r="W2022" s="1">
        <f>IFERROR(__xludf.DUMMYFUNCTION("""COMPUTED_VALUE"""),1468.0)</f>
        <v>1468</v>
      </c>
      <c r="X2022" s="1">
        <f>IFERROR(__xludf.DUMMYFUNCTION("""COMPUTED_VALUE"""),1217.0)</f>
        <v>1217</v>
      </c>
      <c r="Y2022" s="2"/>
      <c r="Z2022" s="2"/>
    </row>
    <row r="2023">
      <c r="A2023" s="1">
        <f>IFERROR(__xludf.DUMMYFUNCTION("""COMPUTED_VALUE"""),2022.0)</f>
        <v>2022</v>
      </c>
      <c r="B2023" s="1">
        <f>IFERROR(__xludf.DUMMYFUNCTION("""COMPUTED_VALUE"""),5605.0)</f>
        <v>5605</v>
      </c>
      <c r="C2023" s="2" t="str">
        <f>IFERROR(__xludf.DUMMYFUNCTION("""COMPUTED_VALUE"""),"APRIZAL")</f>
        <v>APRIZAL</v>
      </c>
      <c r="D2023" s="2" t="str">
        <f>IFERROR(__xludf.DUMMYFUNCTION("""COMPUTED_VALUE"""),"5KM OVERALL M")</f>
        <v>5KM OVERALL M</v>
      </c>
      <c r="E2023" s="1">
        <f>IFERROR(__xludf.DUMMYFUNCTION("""COMPUTED_VALUE"""),2.0)</f>
        <v>2</v>
      </c>
      <c r="F2023" s="1" t="str">
        <f>IFERROR(__xludf.DUMMYFUNCTION("""COMPUTED_VALUE"""),"Male")</f>
        <v>Male</v>
      </c>
      <c r="G2023" s="4" t="b">
        <f>IFERROR(__xludf.DUMMYFUNCTION("""COMPUTED_VALUE"""),TRUE)</f>
        <v>1</v>
      </c>
      <c r="H2023" s="4" t="b">
        <f>IFERROR(__xludf.DUMMYFUNCTION("""COMPUTED_VALUE"""),FALSE)</f>
        <v>0</v>
      </c>
      <c r="I2023" s="4">
        <f>IFERROR(__xludf.DUMMYFUNCTION("""COMPUTED_VALUE"""),0.2549440625)</f>
        <v>0.2549440625</v>
      </c>
      <c r="J2023" s="4">
        <f>IFERROR(__xludf.DUMMYFUNCTION("""COMPUTED_VALUE"""),45949.27022460862)</f>
        <v>45949.27022</v>
      </c>
      <c r="K2023" s="4" t="str">
        <f>IFERROR(__xludf.DUMMYFUNCTION("""COMPUTED_VALUE"""),"")</f>
        <v/>
      </c>
      <c r="L2023" s="4">
        <f>IFERROR(__xludf.DUMMYFUNCTION("""COMPUTED_VALUE"""),45949.28074115051)</f>
        <v>45949.28074</v>
      </c>
      <c r="M2023" s="1" t="str">
        <f>IFERROR(__xludf.DUMMYFUNCTION("""COMPUTED_VALUE"""),"RFID")</f>
        <v>RFID</v>
      </c>
      <c r="N2023" s="5">
        <f>IFERROR(__xludf.DUMMYFUNCTION("""COMPUTED_VALUE"""),0.006112217592592593)</f>
        <v>0.006112217593</v>
      </c>
      <c r="O2023" s="5" t="str">
        <f>IFERROR(__xludf.DUMMYFUNCTION("""COMPUTED_VALUE"""),"")</f>
        <v/>
      </c>
      <c r="P2023" s="5" t="str">
        <f>IFERROR(__xludf.DUMMYFUNCTION("""COMPUTED_VALUE"""),"")</f>
        <v/>
      </c>
      <c r="Q2023" s="5">
        <f>IFERROR(__xludf.DUMMYFUNCTION("""COMPUTED_VALUE"""),0.005159416666666666)</f>
        <v>0.005159416667</v>
      </c>
      <c r="R2023" s="4">
        <f>IFERROR(__xludf.DUMMYFUNCTION("""COMPUTED_VALUE"""),45949.02579708801)</f>
        <v>45949.0258</v>
      </c>
      <c r="S2023" s="1" t="b">
        <f>IFERROR(__xludf.DUMMYFUNCTION("""COMPUTED_VALUE"""),TRUE)</f>
        <v>1</v>
      </c>
      <c r="T2023" s="1" t="b">
        <f>IFERROR(__xludf.DUMMYFUNCTION("""COMPUTED_VALUE"""),FALSE)</f>
        <v>0</v>
      </c>
      <c r="U2023" s="1" t="str">
        <f>IFERROR(__xludf.DUMMYFUNCTION("""COMPUTED_VALUE"""),"VALID")</f>
        <v>VALID</v>
      </c>
      <c r="V2023" s="1">
        <f>IFERROR(__xludf.DUMMYFUNCTION("""COMPUTED_VALUE"""),211.0)</f>
        <v>211</v>
      </c>
      <c r="W2023" s="1">
        <f>IFERROR(__xludf.DUMMYFUNCTION("""COMPUTED_VALUE"""),327.0)</f>
        <v>327</v>
      </c>
      <c r="X2023" s="1">
        <f>IFERROR(__xludf.DUMMYFUNCTION("""COMPUTED_VALUE"""),286.0)</f>
        <v>286</v>
      </c>
      <c r="Y2023" s="2"/>
      <c r="Z2023" s="2"/>
    </row>
    <row r="2024">
      <c r="A2024" s="1">
        <f>IFERROR(__xludf.DUMMYFUNCTION("""COMPUTED_VALUE"""),2023.0)</f>
        <v>2023</v>
      </c>
      <c r="B2024" s="1">
        <f>IFERROR(__xludf.DUMMYFUNCTION("""COMPUTED_VALUE"""),5607.0)</f>
        <v>5607</v>
      </c>
      <c r="C2024" s="2" t="str">
        <f>IFERROR(__xludf.DUMMYFUNCTION("""COMPUTED_VALUE"""),"Dimas Bendol")</f>
        <v>Dimas Bendol</v>
      </c>
      <c r="D2024" s="2" t="str">
        <f>IFERROR(__xludf.DUMMYFUNCTION("""COMPUTED_VALUE"""),"5KM OVERALL M")</f>
        <v>5KM OVERALL M</v>
      </c>
      <c r="E2024" s="1">
        <f>IFERROR(__xludf.DUMMYFUNCTION("""COMPUTED_VALUE"""),2.0)</f>
        <v>2</v>
      </c>
      <c r="F2024" s="1" t="str">
        <f>IFERROR(__xludf.DUMMYFUNCTION("""COMPUTED_VALUE"""),"Male")</f>
        <v>Male</v>
      </c>
      <c r="G2024" s="4" t="b">
        <f>IFERROR(__xludf.DUMMYFUNCTION("""COMPUTED_VALUE"""),TRUE)</f>
        <v>1</v>
      </c>
      <c r="H2024" s="4" t="b">
        <f>IFERROR(__xludf.DUMMYFUNCTION("""COMPUTED_VALUE"""),TRUE)</f>
        <v>1</v>
      </c>
      <c r="I2024" s="4">
        <f>IFERROR(__xludf.DUMMYFUNCTION("""COMPUTED_VALUE"""),0.2549440625)</f>
        <v>0.2549440625</v>
      </c>
      <c r="J2024" s="4">
        <f>IFERROR(__xludf.DUMMYFUNCTION("""COMPUTED_VALUE"""),45949.27345725327)</f>
        <v>45949.27346</v>
      </c>
      <c r="K2024" s="4" t="str">
        <f>IFERROR(__xludf.DUMMYFUNCTION("""COMPUTED_VALUE"""),"")</f>
        <v/>
      </c>
      <c r="L2024" s="4">
        <f>IFERROR(__xludf.DUMMYFUNCTION("""COMPUTED_VALUE"""),45949.28797726424)</f>
        <v>45949.28798</v>
      </c>
      <c r="M2024" s="1" t="str">
        <f>IFERROR(__xludf.DUMMYFUNCTION("""COMPUTED_VALUE"""),"RFID")</f>
        <v>RFID</v>
      </c>
      <c r="N2024" s="5">
        <f>IFERROR(__xludf.DUMMYFUNCTION("""COMPUTED_VALUE"""),0.007405277777777777)</f>
        <v>0.007405277778</v>
      </c>
      <c r="O2024" s="5" t="str">
        <f>IFERROR(__xludf.DUMMYFUNCTION("""COMPUTED_VALUE"""),"")</f>
        <v/>
      </c>
      <c r="P2024" s="5" t="str">
        <f>IFERROR(__xludf.DUMMYFUNCTION("""COMPUTED_VALUE"""),"")</f>
        <v/>
      </c>
      <c r="Q2024" s="5">
        <f>IFERROR(__xludf.DUMMYFUNCTION("""COMPUTED_VALUE"""),0.006606641203703703)</f>
        <v>0.006606641204</v>
      </c>
      <c r="R2024" s="4">
        <f>IFERROR(__xludf.DUMMYFUNCTION("""COMPUTED_VALUE"""),45949.03303320174)</f>
        <v>45949.03303</v>
      </c>
      <c r="S2024" s="1" t="b">
        <f>IFERROR(__xludf.DUMMYFUNCTION("""COMPUTED_VALUE"""),TRUE)</f>
        <v>1</v>
      </c>
      <c r="T2024" s="1" t="b">
        <f>IFERROR(__xludf.DUMMYFUNCTION("""COMPUTED_VALUE"""),FALSE)</f>
        <v>0</v>
      </c>
      <c r="U2024" s="1" t="str">
        <f>IFERROR(__xludf.DUMMYFUNCTION("""COMPUTED_VALUE"""),"VALID")</f>
        <v>VALID</v>
      </c>
      <c r="V2024" s="1">
        <f>IFERROR(__xludf.DUMMYFUNCTION("""COMPUTED_VALUE"""),499.0)</f>
        <v>499</v>
      </c>
      <c r="W2024" s="1">
        <f>IFERROR(__xludf.DUMMYFUNCTION("""COMPUTED_VALUE"""),780.0)</f>
        <v>780</v>
      </c>
      <c r="X2024" s="1">
        <f>IFERROR(__xludf.DUMMYFUNCTION("""COMPUTED_VALUE"""),645.0)</f>
        <v>645</v>
      </c>
      <c r="Y2024" s="2"/>
      <c r="Z2024" s="2"/>
    </row>
    <row r="2025">
      <c r="A2025" s="1">
        <f>IFERROR(__xludf.DUMMYFUNCTION("""COMPUTED_VALUE"""),2024.0)</f>
        <v>2024</v>
      </c>
      <c r="B2025" s="1">
        <f>IFERROR(__xludf.DUMMYFUNCTION("""COMPUTED_VALUE"""),5608.0)</f>
        <v>5608</v>
      </c>
      <c r="C2025" s="2" t="str">
        <f>IFERROR(__xludf.DUMMYFUNCTION("""COMPUTED_VALUE"""),"H. SUHENDI 86")</f>
        <v>H. SUHENDI 86</v>
      </c>
      <c r="D2025" s="2" t="str">
        <f>IFERROR(__xludf.DUMMYFUNCTION("""COMPUTED_VALUE"""),"5KM OVERALL M")</f>
        <v>5KM OVERALL M</v>
      </c>
      <c r="E2025" s="1">
        <f>IFERROR(__xludf.DUMMYFUNCTION("""COMPUTED_VALUE"""),2.0)</f>
        <v>2</v>
      </c>
      <c r="F2025" s="1" t="str">
        <f>IFERROR(__xludf.DUMMYFUNCTION("""COMPUTED_VALUE"""),"Male")</f>
        <v>Male</v>
      </c>
      <c r="G2025" s="4" t="b">
        <f>IFERROR(__xludf.DUMMYFUNCTION("""COMPUTED_VALUE"""),TRUE)</f>
        <v>1</v>
      </c>
      <c r="H2025" s="4" t="b">
        <f>IFERROR(__xludf.DUMMYFUNCTION("""COMPUTED_VALUE"""),TRUE)</f>
        <v>1</v>
      </c>
      <c r="I2025" s="4">
        <f>IFERROR(__xludf.DUMMYFUNCTION("""COMPUTED_VALUE"""),0.2549440625)</f>
        <v>0.2549440625</v>
      </c>
      <c r="J2025" s="4">
        <f>IFERROR(__xludf.DUMMYFUNCTION("""COMPUTED_VALUE"""),45949.2713114151)</f>
        <v>45949.27131</v>
      </c>
      <c r="K2025" s="4" t="str">
        <f>IFERROR(__xludf.DUMMYFUNCTION("""COMPUTED_VALUE"""),"")</f>
        <v/>
      </c>
      <c r="L2025" s="4">
        <f>IFERROR(__xludf.DUMMYFUNCTION("""COMPUTED_VALUE"""),45949.284463368924)</f>
        <v>45949.28446</v>
      </c>
      <c r="M2025" s="1" t="str">
        <f>IFERROR(__xludf.DUMMYFUNCTION("""COMPUTED_VALUE"""),"RFID")</f>
        <v>RFID</v>
      </c>
      <c r="N2025" s="5">
        <f>IFERROR(__xludf.DUMMYFUNCTION("""COMPUTED_VALUE"""),0.0065469398148148145)</f>
        <v>0.006546939815</v>
      </c>
      <c r="O2025" s="5" t="str">
        <f>IFERROR(__xludf.DUMMYFUNCTION("""COMPUTED_VALUE"""),"")</f>
        <v/>
      </c>
      <c r="P2025" s="5" t="str">
        <f>IFERROR(__xludf.DUMMYFUNCTION("""COMPUTED_VALUE"""),"")</f>
        <v/>
      </c>
      <c r="Q2025" s="5">
        <f>IFERROR(__xludf.DUMMYFUNCTION("""COMPUTED_VALUE"""),0.005903861111111111)</f>
        <v>0.005903861111</v>
      </c>
      <c r="R2025" s="4">
        <f>IFERROR(__xludf.DUMMYFUNCTION("""COMPUTED_VALUE"""),45949.02951930642)</f>
        <v>45949.02952</v>
      </c>
      <c r="S2025" s="1" t="b">
        <f>IFERROR(__xludf.DUMMYFUNCTION("""COMPUTED_VALUE"""),TRUE)</f>
        <v>1</v>
      </c>
      <c r="T2025" s="1" t="b">
        <f>IFERROR(__xludf.DUMMYFUNCTION("""COMPUTED_VALUE"""),FALSE)</f>
        <v>0</v>
      </c>
      <c r="U2025" s="1" t="str">
        <f>IFERROR(__xludf.DUMMYFUNCTION("""COMPUTED_VALUE"""),"VALID")</f>
        <v>VALID</v>
      </c>
      <c r="V2025" s="1">
        <f>IFERROR(__xludf.DUMMYFUNCTION("""COMPUTED_VALUE"""),360.0)</f>
        <v>360</v>
      </c>
      <c r="W2025" s="1">
        <f>IFERROR(__xludf.DUMMYFUNCTION("""COMPUTED_VALUE"""),539.0)</f>
        <v>539</v>
      </c>
      <c r="X2025" s="1">
        <f>IFERROR(__xludf.DUMMYFUNCTION("""COMPUTED_VALUE"""),463.0)</f>
        <v>463</v>
      </c>
      <c r="Y2025" s="2"/>
      <c r="Z2025" s="2"/>
    </row>
    <row r="2026">
      <c r="A2026" s="1">
        <f>IFERROR(__xludf.DUMMYFUNCTION("""COMPUTED_VALUE"""),2025.0)</f>
        <v>2025</v>
      </c>
      <c r="B2026" s="1">
        <f>IFERROR(__xludf.DUMMYFUNCTION("""COMPUTED_VALUE"""),5609.0)</f>
        <v>5609</v>
      </c>
      <c r="C2026" s="2" t="str">
        <f>IFERROR(__xludf.DUMMYFUNCTION("""COMPUTED_VALUE"""),"oceed")</f>
        <v>oceed</v>
      </c>
      <c r="D2026" s="2" t="str">
        <f>IFERROR(__xludf.DUMMYFUNCTION("""COMPUTED_VALUE"""),"5KM OVERALL M")</f>
        <v>5KM OVERALL M</v>
      </c>
      <c r="E2026" s="1">
        <f>IFERROR(__xludf.DUMMYFUNCTION("""COMPUTED_VALUE"""),2.0)</f>
        <v>2</v>
      </c>
      <c r="F2026" s="1" t="str">
        <f>IFERROR(__xludf.DUMMYFUNCTION("""COMPUTED_VALUE"""),"Male")</f>
        <v>Male</v>
      </c>
      <c r="G2026" s="4" t="b">
        <f>IFERROR(__xludf.DUMMYFUNCTION("""COMPUTED_VALUE"""),TRUE)</f>
        <v>1</v>
      </c>
      <c r="H2026" s="4" t="b">
        <f>IFERROR(__xludf.DUMMYFUNCTION("""COMPUTED_VALUE"""),FALSE)</f>
        <v>0</v>
      </c>
      <c r="I2026" s="4">
        <f>IFERROR(__xludf.DUMMYFUNCTION("""COMPUTED_VALUE"""),0.2549440625)</f>
        <v>0.2549440625</v>
      </c>
      <c r="J2026" s="4">
        <f>IFERROR(__xludf.DUMMYFUNCTION("""COMPUTED_VALUE"""),45949.2708183596)</f>
        <v>45949.27082</v>
      </c>
      <c r="K2026" s="4" t="str">
        <f>IFERROR(__xludf.DUMMYFUNCTION("""COMPUTED_VALUE"""),"")</f>
        <v/>
      </c>
      <c r="L2026" s="4">
        <f>IFERROR(__xludf.DUMMYFUNCTION("""COMPUTED_VALUE"""),45949.28045638045)</f>
        <v>45949.28046</v>
      </c>
      <c r="M2026" s="1" t="str">
        <f>IFERROR(__xludf.DUMMYFUNCTION("""COMPUTED_VALUE"""),"RFID")</f>
        <v>RFID</v>
      </c>
      <c r="N2026" s="5">
        <f>IFERROR(__xludf.DUMMYFUNCTION("""COMPUTED_VALUE"""),0.0063497175925925926)</f>
        <v>0.006349717593</v>
      </c>
      <c r="O2026" s="5" t="str">
        <f>IFERROR(__xludf.DUMMYFUNCTION("""COMPUTED_VALUE"""),"")</f>
        <v/>
      </c>
      <c r="P2026" s="5" t="str">
        <f>IFERROR(__xludf.DUMMYFUNCTION("""COMPUTED_VALUE"""),"")</f>
        <v/>
      </c>
      <c r="Q2026" s="5">
        <f>IFERROR(__xludf.DUMMYFUNCTION("""COMPUTED_VALUE"""),0.005102462962962963)</f>
        <v>0.005102462963</v>
      </c>
      <c r="R2026" s="4">
        <f>IFERROR(__xludf.DUMMYFUNCTION("""COMPUTED_VALUE"""),45949.02551231795)</f>
        <v>45949.02551</v>
      </c>
      <c r="S2026" s="1" t="b">
        <f>IFERROR(__xludf.DUMMYFUNCTION("""COMPUTED_VALUE"""),TRUE)</f>
        <v>1</v>
      </c>
      <c r="T2026" s="1" t="b">
        <f>IFERROR(__xludf.DUMMYFUNCTION("""COMPUTED_VALUE"""),FALSE)</f>
        <v>0</v>
      </c>
      <c r="U2026" s="1" t="str">
        <f>IFERROR(__xludf.DUMMYFUNCTION("""COMPUTED_VALUE"""),"VALID")</f>
        <v>VALID</v>
      </c>
      <c r="V2026" s="1">
        <f>IFERROR(__xludf.DUMMYFUNCTION("""COMPUTED_VALUE"""),202.0)</f>
        <v>202</v>
      </c>
      <c r="W2026" s="1">
        <f>IFERROR(__xludf.DUMMYFUNCTION("""COMPUTED_VALUE"""),314.0)</f>
        <v>314</v>
      </c>
      <c r="X2026" s="1">
        <f>IFERROR(__xludf.DUMMYFUNCTION("""COMPUTED_VALUE"""),275.0)</f>
        <v>275</v>
      </c>
      <c r="Y2026" s="2"/>
      <c r="Z2026" s="2"/>
    </row>
    <row r="2027">
      <c r="A2027" s="1">
        <f>IFERROR(__xludf.DUMMYFUNCTION("""COMPUTED_VALUE"""),2026.0)</f>
        <v>2026</v>
      </c>
      <c r="B2027" s="1">
        <f>IFERROR(__xludf.DUMMYFUNCTION("""COMPUTED_VALUE"""),5613.0)</f>
        <v>5613</v>
      </c>
      <c r="C2027" s="2" t="str">
        <f>IFERROR(__xludf.DUMMYFUNCTION("""COMPUTED_VALUE"""),"WAMEN")</f>
        <v>WAMEN</v>
      </c>
      <c r="D2027" s="2" t="str">
        <f>IFERROR(__xludf.DUMMYFUNCTION("""COMPUTED_VALUE"""),"5KM OVERALL M")</f>
        <v>5KM OVERALL M</v>
      </c>
      <c r="E2027" s="1">
        <f>IFERROR(__xludf.DUMMYFUNCTION("""COMPUTED_VALUE"""),2.0)</f>
        <v>2</v>
      </c>
      <c r="F2027" s="1" t="str">
        <f>IFERROR(__xludf.DUMMYFUNCTION("""COMPUTED_VALUE"""),"Male")</f>
        <v>Male</v>
      </c>
      <c r="G2027" s="4" t="b">
        <f>IFERROR(__xludf.DUMMYFUNCTION("""COMPUTED_VALUE"""),TRUE)</f>
        <v>1</v>
      </c>
      <c r="H2027" s="4" t="b">
        <f>IFERROR(__xludf.DUMMYFUNCTION("""COMPUTED_VALUE"""),FALSE)</f>
        <v>0</v>
      </c>
      <c r="I2027" s="4">
        <f>IFERROR(__xludf.DUMMYFUNCTION("""COMPUTED_VALUE"""),0.2549440625)</f>
        <v>0.2549440625</v>
      </c>
      <c r="J2027" s="4">
        <f>IFERROR(__xludf.DUMMYFUNCTION("""COMPUTED_VALUE"""),45949.28177669762)</f>
        <v>45949.28178</v>
      </c>
      <c r="K2027" s="4" t="str">
        <f>IFERROR(__xludf.DUMMYFUNCTION("""COMPUTED_VALUE"""),"")</f>
        <v/>
      </c>
      <c r="L2027" s="4">
        <f>IFERROR(__xludf.DUMMYFUNCTION("""COMPUTED_VALUE"""),45949.30030815401)</f>
        <v>45949.30031</v>
      </c>
      <c r="M2027" s="1" t="str">
        <f>IFERROR(__xludf.DUMMYFUNCTION("""COMPUTED_VALUE"""),"RFID")</f>
        <v>RFID</v>
      </c>
      <c r="N2027" s="5">
        <f>IFERROR(__xludf.DUMMYFUNCTION("""COMPUTED_VALUE"""),0.010733055555555556)</f>
        <v>0.01073305556</v>
      </c>
      <c r="O2027" s="5" t="str">
        <f>IFERROR(__xludf.DUMMYFUNCTION("""COMPUTED_VALUE"""),"")</f>
        <v/>
      </c>
      <c r="P2027" s="5" t="str">
        <f>IFERROR(__xludf.DUMMYFUNCTION("""COMPUTED_VALUE"""),"")</f>
        <v/>
      </c>
      <c r="Q2027" s="5">
        <f>IFERROR(__xludf.DUMMYFUNCTION("""COMPUTED_VALUE"""),0.009072819444444446)</f>
        <v>0.009072819444</v>
      </c>
      <c r="R2027" s="4">
        <f>IFERROR(__xludf.DUMMYFUNCTION("""COMPUTED_VALUE"""),45949.04536409151)</f>
        <v>45949.04536</v>
      </c>
      <c r="S2027" s="1" t="b">
        <f>IFERROR(__xludf.DUMMYFUNCTION("""COMPUTED_VALUE"""),TRUE)</f>
        <v>1</v>
      </c>
      <c r="T2027" s="1" t="b">
        <f>IFERROR(__xludf.DUMMYFUNCTION("""COMPUTED_VALUE"""),FALSE)</f>
        <v>0</v>
      </c>
      <c r="U2027" s="1" t="str">
        <f>IFERROR(__xludf.DUMMYFUNCTION("""COMPUTED_VALUE"""),"VALID")</f>
        <v>VALID</v>
      </c>
      <c r="V2027" s="1">
        <f>IFERROR(__xludf.DUMMYFUNCTION("""COMPUTED_VALUE"""),799.0)</f>
        <v>799</v>
      </c>
      <c r="W2027" s="1">
        <f>IFERROR(__xludf.DUMMYFUNCTION("""COMPUTED_VALUE"""),1462.0)</f>
        <v>1462</v>
      </c>
      <c r="X2027" s="1">
        <f>IFERROR(__xludf.DUMMYFUNCTION("""COMPUTED_VALUE"""),1212.0)</f>
        <v>1212</v>
      </c>
      <c r="Y2027" s="2"/>
      <c r="Z2027" s="2"/>
    </row>
    <row r="2028">
      <c r="A2028" s="1">
        <f>IFERROR(__xludf.DUMMYFUNCTION("""COMPUTED_VALUE"""),2027.0)</f>
        <v>2027</v>
      </c>
      <c r="B2028" s="1">
        <f>IFERROR(__xludf.DUMMYFUNCTION("""COMPUTED_VALUE"""),5614.0)</f>
        <v>5614</v>
      </c>
      <c r="C2028" s="2" t="str">
        <f>IFERROR(__xludf.DUMMYFUNCTION("""COMPUTED_VALUE"""),"rian")</f>
        <v>rian</v>
      </c>
      <c r="D2028" s="2" t="str">
        <f>IFERROR(__xludf.DUMMYFUNCTION("""COMPUTED_VALUE"""),"5KM OVERALL M")</f>
        <v>5KM OVERALL M</v>
      </c>
      <c r="E2028" s="1">
        <f>IFERROR(__xludf.DUMMYFUNCTION("""COMPUTED_VALUE"""),2.0)</f>
        <v>2</v>
      </c>
      <c r="F2028" s="1" t="str">
        <f>IFERROR(__xludf.DUMMYFUNCTION("""COMPUTED_VALUE"""),"Male")</f>
        <v>Male</v>
      </c>
      <c r="G2028" s="4" t="b">
        <f>IFERROR(__xludf.DUMMYFUNCTION("""COMPUTED_VALUE"""),TRUE)</f>
        <v>1</v>
      </c>
      <c r="H2028" s="4" t="b">
        <f>IFERROR(__xludf.DUMMYFUNCTION("""COMPUTED_VALUE"""),TRUE)</f>
        <v>1</v>
      </c>
      <c r="I2028" s="4">
        <f>IFERROR(__xludf.DUMMYFUNCTION("""COMPUTED_VALUE"""),0.2549440625)</f>
        <v>0.2549440625</v>
      </c>
      <c r="J2028" s="4">
        <f>IFERROR(__xludf.DUMMYFUNCTION("""COMPUTED_VALUE"""),45949.27256211325)</f>
        <v>45949.27256</v>
      </c>
      <c r="K2028" s="4" t="str">
        <f>IFERROR(__xludf.DUMMYFUNCTION("""COMPUTED_VALUE"""),"")</f>
        <v/>
      </c>
      <c r="L2028" s="4">
        <f>IFERROR(__xludf.DUMMYFUNCTION("""COMPUTED_VALUE"""),45949.283755066455)</f>
        <v>45949.28376</v>
      </c>
      <c r="M2028" s="1" t="str">
        <f>IFERROR(__xludf.DUMMYFUNCTION("""COMPUTED_VALUE"""),"RFID")</f>
        <v>RFID</v>
      </c>
      <c r="N2028" s="5">
        <f>IFERROR(__xludf.DUMMYFUNCTION("""COMPUTED_VALUE"""),0.007047222222222223)</f>
        <v>0.007047222222</v>
      </c>
      <c r="O2028" s="5" t="str">
        <f>IFERROR(__xludf.DUMMYFUNCTION("""COMPUTED_VALUE"""),"")</f>
        <v/>
      </c>
      <c r="P2028" s="5" t="str">
        <f>IFERROR(__xludf.DUMMYFUNCTION("""COMPUTED_VALUE"""),"")</f>
        <v/>
      </c>
      <c r="Q2028" s="5">
        <f>IFERROR(__xludf.DUMMYFUNCTION("""COMPUTED_VALUE"""),0.00576220138888889)</f>
        <v>0.005762201389</v>
      </c>
      <c r="R2028" s="4">
        <f>IFERROR(__xludf.DUMMYFUNCTION("""COMPUTED_VALUE"""),45949.028811003955)</f>
        <v>45949.02881</v>
      </c>
      <c r="S2028" s="1" t="b">
        <f>IFERROR(__xludf.DUMMYFUNCTION("""COMPUTED_VALUE"""),TRUE)</f>
        <v>1</v>
      </c>
      <c r="T2028" s="1" t="b">
        <f>IFERROR(__xludf.DUMMYFUNCTION("""COMPUTED_VALUE"""),FALSE)</f>
        <v>0</v>
      </c>
      <c r="U2028" s="1" t="str">
        <f>IFERROR(__xludf.DUMMYFUNCTION("""COMPUTED_VALUE"""),"VALID")</f>
        <v>VALID</v>
      </c>
      <c r="V2028" s="1">
        <f>IFERROR(__xludf.DUMMYFUNCTION("""COMPUTED_VALUE"""),322.0)</f>
        <v>322</v>
      </c>
      <c r="W2028" s="1">
        <f>IFERROR(__xludf.DUMMYFUNCTION("""COMPUTED_VALUE"""),479.0)</f>
        <v>479</v>
      </c>
      <c r="X2028" s="1">
        <f>IFERROR(__xludf.DUMMYFUNCTION("""COMPUTED_VALUE"""),415.0)</f>
        <v>415</v>
      </c>
      <c r="Y2028" s="2"/>
      <c r="Z2028" s="2"/>
    </row>
    <row r="2029">
      <c r="A2029" s="1">
        <f>IFERROR(__xludf.DUMMYFUNCTION("""COMPUTED_VALUE"""),2028.0)</f>
        <v>2028</v>
      </c>
      <c r="B2029" s="1">
        <f>IFERROR(__xludf.DUMMYFUNCTION("""COMPUTED_VALUE"""),5616.0)</f>
        <v>5616</v>
      </c>
      <c r="C2029" s="2" t="str">
        <f>IFERROR(__xludf.DUMMYFUNCTION("""COMPUTED_VALUE"""),"Muhib")</f>
        <v>Muhib</v>
      </c>
      <c r="D2029" s="2" t="str">
        <f>IFERROR(__xludf.DUMMYFUNCTION("""COMPUTED_VALUE"""),"5KM OVERALL M")</f>
        <v>5KM OVERALL M</v>
      </c>
      <c r="E2029" s="1">
        <f>IFERROR(__xludf.DUMMYFUNCTION("""COMPUTED_VALUE"""),2.0)</f>
        <v>2</v>
      </c>
      <c r="F2029" s="1" t="str">
        <f>IFERROR(__xludf.DUMMYFUNCTION("""COMPUTED_VALUE"""),"Male")</f>
        <v>Male</v>
      </c>
      <c r="G2029" s="4" t="b">
        <f>IFERROR(__xludf.DUMMYFUNCTION("""COMPUTED_VALUE"""),TRUE)</f>
        <v>1</v>
      </c>
      <c r="H2029" s="4" t="b">
        <f>IFERROR(__xludf.DUMMYFUNCTION("""COMPUTED_VALUE"""),FALSE)</f>
        <v>0</v>
      </c>
      <c r="I2029" s="4">
        <f>IFERROR(__xludf.DUMMYFUNCTION("""COMPUTED_VALUE"""),0.2549440625)</f>
        <v>0.2549440625</v>
      </c>
      <c r="J2029" s="4">
        <f>IFERROR(__xludf.DUMMYFUNCTION("""COMPUTED_VALUE"""),45949.28076626796)</f>
        <v>45949.28077</v>
      </c>
      <c r="K2029" s="4" t="str">
        <f>IFERROR(__xludf.DUMMYFUNCTION("""COMPUTED_VALUE"""),"")</f>
        <v/>
      </c>
      <c r="L2029" s="4" t="str">
        <f>IFERROR(__xludf.DUMMYFUNCTION("""COMPUTED_VALUE"""),"")</f>
        <v/>
      </c>
      <c r="M2029" s="1" t="str">
        <f>IFERROR(__xludf.DUMMYFUNCTION("""COMPUTED_VALUE"""),"RFID")</f>
        <v>RFID</v>
      </c>
      <c r="N2029" s="5">
        <f>IFERROR(__xludf.DUMMYFUNCTION("""COMPUTED_VALUE"""),0.01032888425925926)</f>
        <v>0.01032888426</v>
      </c>
      <c r="O2029" s="5" t="str">
        <f>IFERROR(__xludf.DUMMYFUNCTION("""COMPUTED_VALUE"""),"")</f>
        <v/>
      </c>
      <c r="P2029" s="5" t="str">
        <f>IFERROR(__xludf.DUMMYFUNCTION("""COMPUTED_VALUE"""),"")</f>
        <v/>
      </c>
      <c r="Q2029" s="5" t="str">
        <f>IFERROR(__xludf.DUMMYFUNCTION("""COMPUTED_VALUE"""),"")</f>
        <v/>
      </c>
      <c r="R2029" s="4" t="str">
        <f>IFERROR(__xludf.DUMMYFUNCTION("""COMPUTED_VALUE"""),"")</f>
        <v/>
      </c>
      <c r="S2029" s="1" t="b">
        <f>IFERROR(__xludf.DUMMYFUNCTION("""COMPUTED_VALUE"""),TRUE)</f>
        <v>1</v>
      </c>
      <c r="T2029" s="1" t="b">
        <f>IFERROR(__xludf.DUMMYFUNCTION("""COMPUTED_VALUE"""),FALSE)</f>
        <v>0</v>
      </c>
      <c r="U2029" s="1" t="str">
        <f>IFERROR(__xludf.DUMMYFUNCTION("""COMPUTED_VALUE"""),"DNF")</f>
        <v>DNF</v>
      </c>
      <c r="V2029" s="1" t="str">
        <f>IFERROR(__xludf.DUMMYFUNCTION("""COMPUTED_VALUE"""),"DNF")</f>
        <v>DNF</v>
      </c>
      <c r="W2029" s="1" t="str">
        <f>IFERROR(__xludf.DUMMYFUNCTION("""COMPUTED_VALUE"""),"DNF")</f>
        <v>DNF</v>
      </c>
      <c r="X2029" s="1" t="str">
        <f>IFERROR(__xludf.DUMMYFUNCTION("""COMPUTED_VALUE"""),"DNF")</f>
        <v>DNF</v>
      </c>
      <c r="Y2029" s="2" t="str">
        <f>IFERROR(__xludf.DUMMYFUNCTION("""COMPUTED_VALUE"""),"tidak terlihat di finish")</f>
        <v>tidak terlihat di finish</v>
      </c>
      <c r="Z2029" s="2"/>
    </row>
    <row r="2030">
      <c r="A2030" s="1">
        <f>IFERROR(__xludf.DUMMYFUNCTION("""COMPUTED_VALUE"""),2029.0)</f>
        <v>2029</v>
      </c>
      <c r="B2030" s="1">
        <f>IFERROR(__xludf.DUMMYFUNCTION("""COMPUTED_VALUE"""),5617.0)</f>
        <v>5617</v>
      </c>
      <c r="C2030" s="2" t="str">
        <f>IFERROR(__xludf.DUMMYFUNCTION("""COMPUTED_VALUE"""),"8BALL")</f>
        <v>8BALL</v>
      </c>
      <c r="D2030" s="2" t="str">
        <f>IFERROR(__xludf.DUMMYFUNCTION("""COMPUTED_VALUE"""),"5KM OVERALL M")</f>
        <v>5KM OVERALL M</v>
      </c>
      <c r="E2030" s="1">
        <f>IFERROR(__xludf.DUMMYFUNCTION("""COMPUTED_VALUE"""),2.0)</f>
        <v>2</v>
      </c>
      <c r="F2030" s="1" t="str">
        <f>IFERROR(__xludf.DUMMYFUNCTION("""COMPUTED_VALUE"""),"Male")</f>
        <v>Male</v>
      </c>
      <c r="G2030" s="4" t="b">
        <f>IFERROR(__xludf.DUMMYFUNCTION("""COMPUTED_VALUE"""),TRUE)</f>
        <v>1</v>
      </c>
      <c r="H2030" s="4" t="b">
        <f>IFERROR(__xludf.DUMMYFUNCTION("""COMPUTED_VALUE"""),TRUE)</f>
        <v>1</v>
      </c>
      <c r="I2030" s="4">
        <f>IFERROR(__xludf.DUMMYFUNCTION("""COMPUTED_VALUE"""),0.2549440625)</f>
        <v>0.2549440625</v>
      </c>
      <c r="J2030" s="4">
        <f>IFERROR(__xludf.DUMMYFUNCTION("""COMPUTED_VALUE"""),45949.27102323041)</f>
        <v>45949.27102</v>
      </c>
      <c r="K2030" s="4" t="str">
        <f>IFERROR(__xludf.DUMMYFUNCTION("""COMPUTED_VALUE"""),"")</f>
        <v/>
      </c>
      <c r="L2030" s="4">
        <f>IFERROR(__xludf.DUMMYFUNCTION("""COMPUTED_VALUE"""),45949.283682115376)</f>
        <v>45949.28368</v>
      </c>
      <c r="M2030" s="1" t="str">
        <f>IFERROR(__xludf.DUMMYFUNCTION("""COMPUTED_VALUE"""),"RFID")</f>
        <v>RFID</v>
      </c>
      <c r="N2030" s="5">
        <f>IFERROR(__xludf.DUMMYFUNCTION("""COMPUTED_VALUE"""),0.006431666666666666)</f>
        <v>0.006431666667</v>
      </c>
      <c r="O2030" s="5" t="str">
        <f>IFERROR(__xludf.DUMMYFUNCTION("""COMPUTED_VALUE"""),"")</f>
        <v/>
      </c>
      <c r="P2030" s="5" t="str">
        <f>IFERROR(__xludf.DUMMYFUNCTION("""COMPUTED_VALUE"""),"")</f>
        <v/>
      </c>
      <c r="Q2030" s="5">
        <f>IFERROR(__xludf.DUMMYFUNCTION("""COMPUTED_VALUE"""),0.005747611111111111)</f>
        <v>0.005747611111</v>
      </c>
      <c r="R2030" s="4">
        <f>IFERROR(__xludf.DUMMYFUNCTION("""COMPUTED_VALUE"""),45949.028738052875)</f>
        <v>45949.02874</v>
      </c>
      <c r="S2030" s="1" t="b">
        <f>IFERROR(__xludf.DUMMYFUNCTION("""COMPUTED_VALUE"""),TRUE)</f>
        <v>1</v>
      </c>
      <c r="T2030" s="1" t="b">
        <f>IFERROR(__xludf.DUMMYFUNCTION("""COMPUTED_VALUE"""),FALSE)</f>
        <v>0</v>
      </c>
      <c r="U2030" s="1" t="str">
        <f>IFERROR(__xludf.DUMMYFUNCTION("""COMPUTED_VALUE"""),"VALID")</f>
        <v>VALID</v>
      </c>
      <c r="V2030" s="1">
        <f>IFERROR(__xludf.DUMMYFUNCTION("""COMPUTED_VALUE"""),318.0)</f>
        <v>318</v>
      </c>
      <c r="W2030" s="1">
        <f>IFERROR(__xludf.DUMMYFUNCTION("""COMPUTED_VALUE"""),473.0)</f>
        <v>473</v>
      </c>
      <c r="X2030" s="1">
        <f>IFERROR(__xludf.DUMMYFUNCTION("""COMPUTED_VALUE"""),410.0)</f>
        <v>410</v>
      </c>
      <c r="Y2030" s="2"/>
      <c r="Z2030" s="2"/>
    </row>
    <row r="2031">
      <c r="A2031" s="1">
        <f>IFERROR(__xludf.DUMMYFUNCTION("""COMPUTED_VALUE"""),2030.0)</f>
        <v>2030</v>
      </c>
      <c r="B2031" s="1">
        <f>IFERROR(__xludf.DUMMYFUNCTION("""COMPUTED_VALUE"""),5618.0)</f>
        <v>5618</v>
      </c>
      <c r="C2031" s="2" t="str">
        <f>IFERROR(__xludf.DUMMYFUNCTION("""COMPUTED_VALUE"""),"Zein Aluminium")</f>
        <v>Zein Aluminium</v>
      </c>
      <c r="D2031" s="2" t="str">
        <f>IFERROR(__xludf.DUMMYFUNCTION("""COMPUTED_VALUE"""),"5KM OVERALL M")</f>
        <v>5KM OVERALL M</v>
      </c>
      <c r="E2031" s="1">
        <f>IFERROR(__xludf.DUMMYFUNCTION("""COMPUTED_VALUE"""),2.0)</f>
        <v>2</v>
      </c>
      <c r="F2031" s="1" t="str">
        <f>IFERROR(__xludf.DUMMYFUNCTION("""COMPUTED_VALUE"""),"Male")</f>
        <v>Male</v>
      </c>
      <c r="G2031" s="4" t="b">
        <f>IFERROR(__xludf.DUMMYFUNCTION("""COMPUTED_VALUE"""),TRUE)</f>
        <v>1</v>
      </c>
      <c r="H2031" s="4" t="b">
        <f>IFERROR(__xludf.DUMMYFUNCTION("""COMPUTED_VALUE"""),FALSE)</f>
        <v>0</v>
      </c>
      <c r="I2031" s="4">
        <f>IFERROR(__xludf.DUMMYFUNCTION("""COMPUTED_VALUE"""),0.2549440625)</f>
        <v>0.2549440625</v>
      </c>
      <c r="J2031" s="4">
        <f>IFERROR(__xludf.DUMMYFUNCTION("""COMPUTED_VALUE"""),45949.27332530708)</f>
        <v>45949.27333</v>
      </c>
      <c r="K2031" s="4" t="str">
        <f>IFERROR(__xludf.DUMMYFUNCTION("""COMPUTED_VALUE"""),"")</f>
        <v/>
      </c>
      <c r="L2031" s="4">
        <f>IFERROR(__xludf.DUMMYFUNCTION("""COMPUTED_VALUE"""),45949.28696336626)</f>
        <v>45949.28696</v>
      </c>
      <c r="M2031" s="1" t="str">
        <f>IFERROR(__xludf.DUMMYFUNCTION("""COMPUTED_VALUE"""),"RFID")</f>
        <v>RFID</v>
      </c>
      <c r="N2031" s="5">
        <f>IFERROR(__xludf.DUMMYFUNCTION("""COMPUTED_VALUE"""),0.0073525000000000005)</f>
        <v>0.0073525</v>
      </c>
      <c r="O2031" s="5" t="str">
        <f>IFERROR(__xludf.DUMMYFUNCTION("""COMPUTED_VALUE"""),"")</f>
        <v/>
      </c>
      <c r="P2031" s="5" t="str">
        <f>IFERROR(__xludf.DUMMYFUNCTION("""COMPUTED_VALUE"""),"")</f>
        <v/>
      </c>
      <c r="Q2031" s="5">
        <f>IFERROR(__xludf.DUMMYFUNCTION("""COMPUTED_VALUE"""),0.00640386111111111)</f>
        <v>0.006403861111</v>
      </c>
      <c r="R2031" s="4">
        <f>IFERROR(__xludf.DUMMYFUNCTION("""COMPUTED_VALUE"""),45949.03201930376)</f>
        <v>45949.03202</v>
      </c>
      <c r="S2031" s="1" t="b">
        <f>IFERROR(__xludf.DUMMYFUNCTION("""COMPUTED_VALUE"""),TRUE)</f>
        <v>1</v>
      </c>
      <c r="T2031" s="1" t="b">
        <f>IFERROR(__xludf.DUMMYFUNCTION("""COMPUTED_VALUE"""),FALSE)</f>
        <v>0</v>
      </c>
      <c r="U2031" s="1" t="str">
        <f>IFERROR(__xludf.DUMMYFUNCTION("""COMPUTED_VALUE"""),"VALID")</f>
        <v>VALID</v>
      </c>
      <c r="V2031" s="1">
        <f>IFERROR(__xludf.DUMMYFUNCTION("""COMPUTED_VALUE"""),455.0)</f>
        <v>455</v>
      </c>
      <c r="W2031" s="1">
        <f>IFERROR(__xludf.DUMMYFUNCTION("""COMPUTED_VALUE"""),700.0)</f>
        <v>700</v>
      </c>
      <c r="X2031" s="1">
        <f>IFERROR(__xludf.DUMMYFUNCTION("""COMPUTED_VALUE"""),587.0)</f>
        <v>587</v>
      </c>
      <c r="Y2031" s="2"/>
      <c r="Z2031" s="2"/>
    </row>
    <row r="2032">
      <c r="A2032" s="1">
        <f>IFERROR(__xludf.DUMMYFUNCTION("""COMPUTED_VALUE"""),2031.0)</f>
        <v>2031</v>
      </c>
      <c r="B2032" s="1">
        <f>IFERROR(__xludf.DUMMYFUNCTION("""COMPUTED_VALUE"""),5619.0)</f>
        <v>5619</v>
      </c>
      <c r="C2032" s="2" t="str">
        <f>IFERROR(__xludf.DUMMYFUNCTION("""COMPUTED_VALUE"""),"Fauzi")</f>
        <v>Fauzi</v>
      </c>
      <c r="D2032" s="2" t="str">
        <f>IFERROR(__xludf.DUMMYFUNCTION("""COMPUTED_VALUE"""),"5KM OVERALL M")</f>
        <v>5KM OVERALL M</v>
      </c>
      <c r="E2032" s="1">
        <f>IFERROR(__xludf.DUMMYFUNCTION("""COMPUTED_VALUE"""),2.0)</f>
        <v>2</v>
      </c>
      <c r="F2032" s="1" t="str">
        <f>IFERROR(__xludf.DUMMYFUNCTION("""COMPUTED_VALUE"""),"Male")</f>
        <v>Male</v>
      </c>
      <c r="G2032" s="4" t="b">
        <f>IFERROR(__xludf.DUMMYFUNCTION("""COMPUTED_VALUE"""),TRUE)</f>
        <v>1</v>
      </c>
      <c r="H2032" s="4" t="b">
        <f>IFERROR(__xludf.DUMMYFUNCTION("""COMPUTED_VALUE"""),TRUE)</f>
        <v>1</v>
      </c>
      <c r="I2032" s="4">
        <f>IFERROR(__xludf.DUMMYFUNCTION("""COMPUTED_VALUE"""),0.2549440625)</f>
        <v>0.2549440625</v>
      </c>
      <c r="J2032" s="4">
        <f>IFERROR(__xludf.DUMMYFUNCTION("""COMPUTED_VALUE"""),45949.26578363877)</f>
        <v>45949.26578</v>
      </c>
      <c r="K2032" s="4" t="str">
        <f>IFERROR(__xludf.DUMMYFUNCTION("""COMPUTED_VALUE"""),"")</f>
        <v/>
      </c>
      <c r="L2032" s="4">
        <f>IFERROR(__xludf.DUMMYFUNCTION("""COMPUTED_VALUE"""),45949.273952951466)</f>
        <v>45949.27395</v>
      </c>
      <c r="M2032" s="1" t="str">
        <f>IFERROR(__xludf.DUMMYFUNCTION("""COMPUTED_VALUE"""),"RFID")</f>
        <v>RFID</v>
      </c>
      <c r="N2032" s="5">
        <f>IFERROR(__xludf.DUMMYFUNCTION("""COMPUTED_VALUE"""),0.004335828703703704)</f>
        <v>0.004335828704</v>
      </c>
      <c r="O2032" s="5" t="str">
        <f>IFERROR(__xludf.DUMMYFUNCTION("""COMPUTED_VALUE"""),"")</f>
        <v/>
      </c>
      <c r="P2032" s="5" t="str">
        <f>IFERROR(__xludf.DUMMYFUNCTION("""COMPUTED_VALUE"""),"")</f>
        <v/>
      </c>
      <c r="Q2032" s="5">
        <f>IFERROR(__xludf.DUMMYFUNCTION("""COMPUTED_VALUE"""),0.0038017777777777776)</f>
        <v>0.003801777778</v>
      </c>
      <c r="R2032" s="4">
        <f>IFERROR(__xludf.DUMMYFUNCTION("""COMPUTED_VALUE"""),45949.019008888965)</f>
        <v>45949.01901</v>
      </c>
      <c r="S2032" s="1" t="b">
        <f>IFERROR(__xludf.DUMMYFUNCTION("""COMPUTED_VALUE"""),TRUE)</f>
        <v>1</v>
      </c>
      <c r="T2032" s="1" t="b">
        <f>IFERROR(__xludf.DUMMYFUNCTION("""COMPUTED_VALUE"""),FALSE)</f>
        <v>0</v>
      </c>
      <c r="U2032" s="1" t="str">
        <f>IFERROR(__xludf.DUMMYFUNCTION("""COMPUTED_VALUE"""),"VALID")</f>
        <v>VALID</v>
      </c>
      <c r="V2032" s="1">
        <f>IFERROR(__xludf.DUMMYFUNCTION("""COMPUTED_VALUE"""),59.0)</f>
        <v>59</v>
      </c>
      <c r="W2032" s="1">
        <f>IFERROR(__xludf.DUMMYFUNCTION("""COMPUTED_VALUE"""),88.0)</f>
        <v>88</v>
      </c>
      <c r="X2032" s="1">
        <f>IFERROR(__xludf.DUMMYFUNCTION("""COMPUTED_VALUE"""),79.0)</f>
        <v>79</v>
      </c>
      <c r="Y2032" s="2"/>
      <c r="Z2032" s="2"/>
    </row>
    <row r="2033">
      <c r="A2033" s="1">
        <f>IFERROR(__xludf.DUMMYFUNCTION("""COMPUTED_VALUE"""),2032.0)</f>
        <v>2032</v>
      </c>
      <c r="B2033" s="1">
        <f>IFERROR(__xludf.DUMMYFUNCTION("""COMPUTED_VALUE"""),5620.0)</f>
        <v>5620</v>
      </c>
      <c r="C2033" s="2" t="str">
        <f>IFERROR(__xludf.DUMMYFUNCTION("""COMPUTED_VALUE"""),"IYES")</f>
        <v>IYES</v>
      </c>
      <c r="D2033" s="2" t="str">
        <f>IFERROR(__xludf.DUMMYFUNCTION("""COMPUTED_VALUE"""),"5KM OVERALL M")</f>
        <v>5KM OVERALL M</v>
      </c>
      <c r="E2033" s="1">
        <f>IFERROR(__xludf.DUMMYFUNCTION("""COMPUTED_VALUE"""),2.0)</f>
        <v>2</v>
      </c>
      <c r="F2033" s="1" t="str">
        <f>IFERROR(__xludf.DUMMYFUNCTION("""COMPUTED_VALUE"""),"Male")</f>
        <v>Male</v>
      </c>
      <c r="G2033" s="4" t="b">
        <f>IFERROR(__xludf.DUMMYFUNCTION("""COMPUTED_VALUE"""),TRUE)</f>
        <v>1</v>
      </c>
      <c r="H2033" s="4" t="b">
        <f>IFERROR(__xludf.DUMMYFUNCTION("""COMPUTED_VALUE"""),FALSE)</f>
        <v>0</v>
      </c>
      <c r="I2033" s="4">
        <f>IFERROR(__xludf.DUMMYFUNCTION("""COMPUTED_VALUE"""),0.2549440625)</f>
        <v>0.2549440625</v>
      </c>
      <c r="J2033" s="4">
        <f>IFERROR(__xludf.DUMMYFUNCTION("""COMPUTED_VALUE"""),45949.26631841523)</f>
        <v>45949.26632</v>
      </c>
      <c r="K2033" s="4" t="str">
        <f>IFERROR(__xludf.DUMMYFUNCTION("""COMPUTED_VALUE"""),"")</f>
        <v/>
      </c>
      <c r="L2033" s="4">
        <f>IFERROR(__xludf.DUMMYFUNCTION("""COMPUTED_VALUE"""),45949.27553645801)</f>
        <v>45949.27554</v>
      </c>
      <c r="M2033" s="1" t="str">
        <f>IFERROR(__xludf.DUMMYFUNCTION("""COMPUTED_VALUE"""),"RFID")</f>
        <v>RFID</v>
      </c>
      <c r="N2033" s="5">
        <f>IFERROR(__xludf.DUMMYFUNCTION("""COMPUTED_VALUE"""),0.004549740740740741)</f>
        <v>0.004549740741</v>
      </c>
      <c r="O2033" s="5" t="str">
        <f>IFERROR(__xludf.DUMMYFUNCTION("""COMPUTED_VALUE"""),"")</f>
        <v/>
      </c>
      <c r="P2033" s="5" t="str">
        <f>IFERROR(__xludf.DUMMYFUNCTION("""COMPUTED_VALUE"""),"")</f>
        <v/>
      </c>
      <c r="Q2033" s="5">
        <f>IFERROR(__xludf.DUMMYFUNCTION("""COMPUTED_VALUE"""),0.004118479166666666)</f>
        <v>0.004118479167</v>
      </c>
      <c r="R2033" s="4">
        <f>IFERROR(__xludf.DUMMYFUNCTION("""COMPUTED_VALUE"""),45949.02059239551)</f>
        <v>45949.02059</v>
      </c>
      <c r="S2033" s="1" t="b">
        <f>IFERROR(__xludf.DUMMYFUNCTION("""COMPUTED_VALUE"""),TRUE)</f>
        <v>1</v>
      </c>
      <c r="T2033" s="1" t="b">
        <f>IFERROR(__xludf.DUMMYFUNCTION("""COMPUTED_VALUE"""),FALSE)</f>
        <v>0</v>
      </c>
      <c r="U2033" s="1" t="str">
        <f>IFERROR(__xludf.DUMMYFUNCTION("""COMPUTED_VALUE"""),"VALID")</f>
        <v>VALID</v>
      </c>
      <c r="V2033" s="1">
        <f>IFERROR(__xludf.DUMMYFUNCTION("""COMPUTED_VALUE"""),84.0)</f>
        <v>84</v>
      </c>
      <c r="W2033" s="1">
        <f>IFERROR(__xludf.DUMMYFUNCTION("""COMPUTED_VALUE"""),130.0)</f>
        <v>130</v>
      </c>
      <c r="X2033" s="1">
        <f>IFERROR(__xludf.DUMMYFUNCTION("""COMPUTED_VALUE"""),118.0)</f>
        <v>118</v>
      </c>
      <c r="Y2033" s="2"/>
      <c r="Z2033" s="2"/>
    </row>
    <row r="2034">
      <c r="A2034" s="1">
        <f>IFERROR(__xludf.DUMMYFUNCTION("""COMPUTED_VALUE"""),2033.0)</f>
        <v>2033</v>
      </c>
      <c r="B2034" s="1">
        <f>IFERROR(__xludf.DUMMYFUNCTION("""COMPUTED_VALUE"""),5621.0)</f>
        <v>5621</v>
      </c>
      <c r="C2034" s="2" t="str">
        <f>IFERROR(__xludf.DUMMYFUNCTION("""COMPUTED_VALUE"""),"Ranggeh Pambudi")</f>
        <v>Ranggeh Pambudi</v>
      </c>
      <c r="D2034" s="2" t="str">
        <f>IFERROR(__xludf.DUMMYFUNCTION("""COMPUTED_VALUE"""),"5KM OVERALL M")</f>
        <v>5KM OVERALL M</v>
      </c>
      <c r="E2034" s="1">
        <f>IFERROR(__xludf.DUMMYFUNCTION("""COMPUTED_VALUE"""),2.0)</f>
        <v>2</v>
      </c>
      <c r="F2034" s="1" t="str">
        <f>IFERROR(__xludf.DUMMYFUNCTION("""COMPUTED_VALUE"""),"Male")</f>
        <v>Male</v>
      </c>
      <c r="G2034" s="4" t="b">
        <f>IFERROR(__xludf.DUMMYFUNCTION("""COMPUTED_VALUE"""),TRUE)</f>
        <v>1</v>
      </c>
      <c r="H2034" s="4" t="b">
        <f>IFERROR(__xludf.DUMMYFUNCTION("""COMPUTED_VALUE"""),FALSE)</f>
        <v>0</v>
      </c>
      <c r="I2034" s="4">
        <f>IFERROR(__xludf.DUMMYFUNCTION("""COMPUTED_VALUE"""),0.2549440625)</f>
        <v>0.2549440625</v>
      </c>
      <c r="J2034" s="4">
        <f>IFERROR(__xludf.DUMMYFUNCTION("""COMPUTED_VALUE"""),45949.27131841749)</f>
        <v>45949.27132</v>
      </c>
      <c r="K2034" s="4" t="str">
        <f>IFERROR(__xludf.DUMMYFUNCTION("""COMPUTED_VALUE"""),"")</f>
        <v/>
      </c>
      <c r="L2034" s="4">
        <f>IFERROR(__xludf.DUMMYFUNCTION("""COMPUTED_VALUE"""),45949.2836577687)</f>
        <v>45949.28366</v>
      </c>
      <c r="M2034" s="1" t="str">
        <f>IFERROR(__xludf.DUMMYFUNCTION("""COMPUTED_VALUE"""),"RFID")</f>
        <v>RFID</v>
      </c>
      <c r="N2034" s="5">
        <f>IFERROR(__xludf.DUMMYFUNCTION("""COMPUTED_VALUE"""),0.0065497407407407405)</f>
        <v>0.006549740741</v>
      </c>
      <c r="O2034" s="5" t="str">
        <f>IFERROR(__xludf.DUMMYFUNCTION("""COMPUTED_VALUE"""),"")</f>
        <v/>
      </c>
      <c r="P2034" s="5" t="str">
        <f>IFERROR(__xludf.DUMMYFUNCTION("""COMPUTED_VALUE"""),"")</f>
        <v/>
      </c>
      <c r="Q2034" s="5">
        <f>IFERROR(__xludf.DUMMYFUNCTION("""COMPUTED_VALUE"""),0.005742740740740741)</f>
        <v>0.005742740741</v>
      </c>
      <c r="R2034" s="4">
        <f>IFERROR(__xludf.DUMMYFUNCTION("""COMPUTED_VALUE"""),45949.0287137062)</f>
        <v>45949.02871</v>
      </c>
      <c r="S2034" s="1" t="b">
        <f>IFERROR(__xludf.DUMMYFUNCTION("""COMPUTED_VALUE"""),TRUE)</f>
        <v>1</v>
      </c>
      <c r="T2034" s="1" t="b">
        <f>IFERROR(__xludf.DUMMYFUNCTION("""COMPUTED_VALUE"""),FALSE)</f>
        <v>0</v>
      </c>
      <c r="U2034" s="1" t="str">
        <f>IFERROR(__xludf.DUMMYFUNCTION("""COMPUTED_VALUE"""),"VALID")</f>
        <v>VALID</v>
      </c>
      <c r="V2034" s="1">
        <f>IFERROR(__xludf.DUMMYFUNCTION("""COMPUTED_VALUE"""),317.0)</f>
        <v>317</v>
      </c>
      <c r="W2034" s="1">
        <f>IFERROR(__xludf.DUMMYFUNCTION("""COMPUTED_VALUE"""),471.0)</f>
        <v>471</v>
      </c>
      <c r="X2034" s="1">
        <f>IFERROR(__xludf.DUMMYFUNCTION("""COMPUTED_VALUE"""),408.0)</f>
        <v>408</v>
      </c>
      <c r="Y2034" s="2"/>
      <c r="Z2034" s="2"/>
    </row>
    <row r="2035">
      <c r="A2035" s="1">
        <f>IFERROR(__xludf.DUMMYFUNCTION("""COMPUTED_VALUE"""),2034.0)</f>
        <v>2034</v>
      </c>
      <c r="B2035" s="1">
        <f>IFERROR(__xludf.DUMMYFUNCTION("""COMPUTED_VALUE"""),5622.0)</f>
        <v>5622</v>
      </c>
      <c r="C2035" s="2" t="str">
        <f>IFERROR(__xludf.DUMMYFUNCTION("""COMPUTED_VALUE"""),"Fahrin Afdhillah")</f>
        <v>Fahrin Afdhillah</v>
      </c>
      <c r="D2035" s="2" t="str">
        <f>IFERROR(__xludf.DUMMYFUNCTION("""COMPUTED_VALUE"""),"5KM OVERALL M")</f>
        <v>5KM OVERALL M</v>
      </c>
      <c r="E2035" s="1">
        <f>IFERROR(__xludf.DUMMYFUNCTION("""COMPUTED_VALUE"""),2.0)</f>
        <v>2</v>
      </c>
      <c r="F2035" s="1" t="str">
        <f>IFERROR(__xludf.DUMMYFUNCTION("""COMPUTED_VALUE"""),"Male")</f>
        <v>Male</v>
      </c>
      <c r="G2035" s="4" t="b">
        <f>IFERROR(__xludf.DUMMYFUNCTION("""COMPUTED_VALUE"""),TRUE)</f>
        <v>1</v>
      </c>
      <c r="H2035" s="4" t="b">
        <f>IFERROR(__xludf.DUMMYFUNCTION("""COMPUTED_VALUE"""),TRUE)</f>
        <v>1</v>
      </c>
      <c r="I2035" s="4">
        <f>IFERROR(__xludf.DUMMYFUNCTION("""COMPUTED_VALUE"""),0.2549440625)</f>
        <v>0.2549440625</v>
      </c>
      <c r="J2035" s="4">
        <f>IFERROR(__xludf.DUMMYFUNCTION("""COMPUTED_VALUE"""),45949.26910308631)</f>
        <v>45949.2691</v>
      </c>
      <c r="K2035" s="4" t="str">
        <f>IFERROR(__xludf.DUMMYFUNCTION("""COMPUTED_VALUE"""),"")</f>
        <v/>
      </c>
      <c r="L2035" s="4">
        <f>IFERROR(__xludf.DUMMYFUNCTION("""COMPUTED_VALUE"""),45949.27761965526)</f>
        <v>45949.27762</v>
      </c>
      <c r="M2035" s="1" t="str">
        <f>IFERROR(__xludf.DUMMYFUNCTION("""COMPUTED_VALUE"""),"RFID")</f>
        <v>RFID</v>
      </c>
      <c r="N2035" s="5">
        <f>IFERROR(__xludf.DUMMYFUNCTION("""COMPUTED_VALUE"""),0.005663611111111111)</f>
        <v>0.005663611111</v>
      </c>
      <c r="O2035" s="5" t="str">
        <f>IFERROR(__xludf.DUMMYFUNCTION("""COMPUTED_VALUE"""),"")</f>
        <v/>
      </c>
      <c r="P2035" s="5" t="str">
        <f>IFERROR(__xludf.DUMMYFUNCTION("""COMPUTED_VALUE"""),"")</f>
        <v/>
      </c>
      <c r="Q2035" s="5">
        <f>IFERROR(__xludf.DUMMYFUNCTION("""COMPUTED_VALUE"""),0.004535118055555556)</f>
        <v>0.004535118056</v>
      </c>
      <c r="R2035" s="4">
        <f>IFERROR(__xludf.DUMMYFUNCTION("""COMPUTED_VALUE"""),45949.02267559276)</f>
        <v>45949.02268</v>
      </c>
      <c r="S2035" s="1" t="b">
        <f>IFERROR(__xludf.DUMMYFUNCTION("""COMPUTED_VALUE"""),TRUE)</f>
        <v>1</v>
      </c>
      <c r="T2035" s="1" t="b">
        <f>IFERROR(__xludf.DUMMYFUNCTION("""COMPUTED_VALUE"""),FALSE)</f>
        <v>0</v>
      </c>
      <c r="U2035" s="1" t="str">
        <f>IFERROR(__xludf.DUMMYFUNCTION("""COMPUTED_VALUE"""),"VALID")</f>
        <v>VALID</v>
      </c>
      <c r="V2035" s="1">
        <f>IFERROR(__xludf.DUMMYFUNCTION("""COMPUTED_VALUE"""),127.0)</f>
        <v>127</v>
      </c>
      <c r="W2035" s="1">
        <f>IFERROR(__xludf.DUMMYFUNCTION("""COMPUTED_VALUE"""),195.0)</f>
        <v>195</v>
      </c>
      <c r="X2035" s="1">
        <f>IFERROR(__xludf.DUMMYFUNCTION("""COMPUTED_VALUE"""),171.0)</f>
        <v>171</v>
      </c>
      <c r="Y2035" s="2"/>
      <c r="Z2035" s="2"/>
    </row>
    <row r="2036">
      <c r="A2036" s="1">
        <f>IFERROR(__xludf.DUMMYFUNCTION("""COMPUTED_VALUE"""),2035.0)</f>
        <v>2035</v>
      </c>
      <c r="B2036" s="1">
        <f>IFERROR(__xludf.DUMMYFUNCTION("""COMPUTED_VALUE"""),5624.0)</f>
        <v>5624</v>
      </c>
      <c r="C2036" s="2" t="str">
        <f>IFERROR(__xludf.DUMMYFUNCTION("""COMPUTED_VALUE"""),"Tegar prayoga putra")</f>
        <v>Tegar prayoga putra</v>
      </c>
      <c r="D2036" s="2" t="str">
        <f>IFERROR(__xludf.DUMMYFUNCTION("""COMPUTED_VALUE"""),"5KM OVERALL M")</f>
        <v>5KM OVERALL M</v>
      </c>
      <c r="E2036" s="1">
        <f>IFERROR(__xludf.DUMMYFUNCTION("""COMPUTED_VALUE"""),2.0)</f>
        <v>2</v>
      </c>
      <c r="F2036" s="1" t="str">
        <f>IFERROR(__xludf.DUMMYFUNCTION("""COMPUTED_VALUE"""),"Male")</f>
        <v>Male</v>
      </c>
      <c r="G2036" s="4" t="b">
        <f>IFERROR(__xludf.DUMMYFUNCTION("""COMPUTED_VALUE"""),TRUE)</f>
        <v>1</v>
      </c>
      <c r="H2036" s="4" t="b">
        <f>IFERROR(__xludf.DUMMYFUNCTION("""COMPUTED_VALUE"""),TRUE)</f>
        <v>1</v>
      </c>
      <c r="I2036" s="4">
        <f>IFERROR(__xludf.DUMMYFUNCTION("""COMPUTED_VALUE"""),0.2549440625)</f>
        <v>0.2549440625</v>
      </c>
      <c r="J2036" s="4">
        <f>IFERROR(__xludf.DUMMYFUNCTION("""COMPUTED_VALUE"""),45949.26799893717)</f>
        <v>45949.268</v>
      </c>
      <c r="K2036" s="4" t="str">
        <f>IFERROR(__xludf.DUMMYFUNCTION("""COMPUTED_VALUE"""),"")</f>
        <v/>
      </c>
      <c r="L2036" s="4">
        <f>IFERROR(__xludf.DUMMYFUNCTION("""COMPUTED_VALUE"""),45949.278282828665)</f>
        <v>45949.27828</v>
      </c>
      <c r="M2036" s="1" t="str">
        <f>IFERROR(__xludf.DUMMYFUNCTION("""COMPUTED_VALUE"""),"RFID")</f>
        <v>RFID</v>
      </c>
      <c r="N2036" s="5">
        <f>IFERROR(__xludf.DUMMYFUNCTION("""COMPUTED_VALUE"""),0.005221949074074074)</f>
        <v>0.005221949074</v>
      </c>
      <c r="O2036" s="5" t="str">
        <f>IFERROR(__xludf.DUMMYFUNCTION("""COMPUTED_VALUE"""),"")</f>
        <v/>
      </c>
      <c r="P2036" s="5" t="str">
        <f>IFERROR(__xludf.DUMMYFUNCTION("""COMPUTED_VALUE"""),"")</f>
        <v/>
      </c>
      <c r="Q2036" s="5">
        <f>IFERROR(__xludf.DUMMYFUNCTION("""COMPUTED_VALUE"""),0.0046677523148148155)</f>
        <v>0.004667752315</v>
      </c>
      <c r="R2036" s="4">
        <f>IFERROR(__xludf.DUMMYFUNCTION("""COMPUTED_VALUE"""),45949.023338766165)</f>
        <v>45949.02334</v>
      </c>
      <c r="S2036" s="1" t="b">
        <f>IFERROR(__xludf.DUMMYFUNCTION("""COMPUTED_VALUE"""),TRUE)</f>
        <v>1</v>
      </c>
      <c r="T2036" s="1" t="b">
        <f>IFERROR(__xludf.DUMMYFUNCTION("""COMPUTED_VALUE"""),FALSE)</f>
        <v>0</v>
      </c>
      <c r="U2036" s="1" t="str">
        <f>IFERROR(__xludf.DUMMYFUNCTION("""COMPUTED_VALUE"""),"VALID")</f>
        <v>VALID</v>
      </c>
      <c r="V2036" s="1">
        <f>IFERROR(__xludf.DUMMYFUNCTION("""COMPUTED_VALUE"""),150.0)</f>
        <v>150</v>
      </c>
      <c r="W2036" s="1">
        <f>IFERROR(__xludf.DUMMYFUNCTION("""COMPUTED_VALUE"""),227.0)</f>
        <v>227</v>
      </c>
      <c r="X2036" s="1">
        <f>IFERROR(__xludf.DUMMYFUNCTION("""COMPUTED_VALUE"""),198.0)</f>
        <v>198</v>
      </c>
      <c r="Y2036" s="2"/>
      <c r="Z2036" s="2"/>
    </row>
    <row r="2037">
      <c r="A2037" s="1">
        <f>IFERROR(__xludf.DUMMYFUNCTION("""COMPUTED_VALUE"""),2036.0)</f>
        <v>2036</v>
      </c>
      <c r="B2037" s="1">
        <f>IFERROR(__xludf.DUMMYFUNCTION("""COMPUTED_VALUE"""),5625.0)</f>
        <v>5625</v>
      </c>
      <c r="C2037" s="2" t="str">
        <f>IFERROR(__xludf.DUMMYFUNCTION("""COMPUTED_VALUE"""),"ROYYAN")</f>
        <v>ROYYAN</v>
      </c>
      <c r="D2037" s="2" t="str">
        <f>IFERROR(__xludf.DUMMYFUNCTION("""COMPUTED_VALUE"""),"5KM OVERALL M")</f>
        <v>5KM OVERALL M</v>
      </c>
      <c r="E2037" s="1">
        <f>IFERROR(__xludf.DUMMYFUNCTION("""COMPUTED_VALUE"""),2.0)</f>
        <v>2</v>
      </c>
      <c r="F2037" s="1" t="str">
        <f>IFERROR(__xludf.DUMMYFUNCTION("""COMPUTED_VALUE"""),"Male")</f>
        <v>Male</v>
      </c>
      <c r="G2037" s="4" t="b">
        <f>IFERROR(__xludf.DUMMYFUNCTION("""COMPUTED_VALUE"""),TRUE)</f>
        <v>1</v>
      </c>
      <c r="H2037" s="4" t="b">
        <f>IFERROR(__xludf.DUMMYFUNCTION("""COMPUTED_VALUE"""),TRUE)</f>
        <v>1</v>
      </c>
      <c r="I2037" s="4">
        <f>IFERROR(__xludf.DUMMYFUNCTION("""COMPUTED_VALUE"""),0.2549440625)</f>
        <v>0.2549440625</v>
      </c>
      <c r="J2037" s="4">
        <f>IFERROR(__xludf.DUMMYFUNCTION("""COMPUTED_VALUE"""),45949.27066211648)</f>
        <v>45949.27066</v>
      </c>
      <c r="K2037" s="4" t="str">
        <f>IFERROR(__xludf.DUMMYFUNCTION("""COMPUTED_VALUE"""),"")</f>
        <v/>
      </c>
      <c r="L2037" s="4">
        <f>IFERROR(__xludf.DUMMYFUNCTION("""COMPUTED_VALUE"""),45949.2801855897)</f>
        <v>45949.28019</v>
      </c>
      <c r="M2037" s="1" t="str">
        <f>IFERROR(__xludf.DUMMYFUNCTION("""COMPUTED_VALUE"""),"RFID")</f>
        <v>RFID</v>
      </c>
      <c r="N2037" s="5">
        <f>IFERROR(__xludf.DUMMYFUNCTION("""COMPUTED_VALUE"""),0.006287222222222222)</f>
        <v>0.006287222222</v>
      </c>
      <c r="O2037" s="5" t="str">
        <f>IFERROR(__xludf.DUMMYFUNCTION("""COMPUTED_VALUE"""),"")</f>
        <v/>
      </c>
      <c r="P2037" s="5" t="str">
        <f>IFERROR(__xludf.DUMMYFUNCTION("""COMPUTED_VALUE"""),"")</f>
        <v/>
      </c>
      <c r="Q2037" s="5">
        <f>IFERROR(__xludf.DUMMYFUNCTION("""COMPUTED_VALUE"""),0.005048305555555555)</f>
        <v>0.005048305556</v>
      </c>
      <c r="R2037" s="4">
        <f>IFERROR(__xludf.DUMMYFUNCTION("""COMPUTED_VALUE"""),45949.0252415272)</f>
        <v>45949.02524</v>
      </c>
      <c r="S2037" s="1" t="b">
        <f>IFERROR(__xludf.DUMMYFUNCTION("""COMPUTED_VALUE"""),TRUE)</f>
        <v>1</v>
      </c>
      <c r="T2037" s="1" t="b">
        <f>IFERROR(__xludf.DUMMYFUNCTION("""COMPUTED_VALUE"""),FALSE)</f>
        <v>0</v>
      </c>
      <c r="U2037" s="1" t="str">
        <f>IFERROR(__xludf.DUMMYFUNCTION("""COMPUTED_VALUE"""),"VALID")</f>
        <v>VALID</v>
      </c>
      <c r="V2037" s="1">
        <f>IFERROR(__xludf.DUMMYFUNCTION("""COMPUTED_VALUE"""),195.0)</f>
        <v>195</v>
      </c>
      <c r="W2037" s="1">
        <f>IFERROR(__xludf.DUMMYFUNCTION("""COMPUTED_VALUE"""),303.0)</f>
        <v>303</v>
      </c>
      <c r="X2037" s="1">
        <f>IFERROR(__xludf.DUMMYFUNCTION("""COMPUTED_VALUE"""),266.0)</f>
        <v>266</v>
      </c>
      <c r="Y2037" s="2"/>
      <c r="Z2037" s="2"/>
    </row>
    <row r="2038">
      <c r="A2038" s="1">
        <f>IFERROR(__xludf.DUMMYFUNCTION("""COMPUTED_VALUE"""),2037.0)</f>
        <v>2037</v>
      </c>
      <c r="B2038" s="1">
        <f>IFERROR(__xludf.DUMMYFUNCTION("""COMPUTED_VALUE"""),5626.0)</f>
        <v>5626</v>
      </c>
      <c r="C2038" s="2" t="str">
        <f>IFERROR(__xludf.DUMMYFUNCTION("""COMPUTED_VALUE"""),"Fryan Dy")</f>
        <v>Fryan Dy</v>
      </c>
      <c r="D2038" s="2" t="str">
        <f>IFERROR(__xludf.DUMMYFUNCTION("""COMPUTED_VALUE"""),"5KM OVERALL M")</f>
        <v>5KM OVERALL M</v>
      </c>
      <c r="E2038" s="1">
        <f>IFERROR(__xludf.DUMMYFUNCTION("""COMPUTED_VALUE"""),2.0)</f>
        <v>2</v>
      </c>
      <c r="F2038" s="1" t="str">
        <f>IFERROR(__xludf.DUMMYFUNCTION("""COMPUTED_VALUE"""),"Male")</f>
        <v>Male</v>
      </c>
      <c r="G2038" s="4" t="b">
        <f>IFERROR(__xludf.DUMMYFUNCTION("""COMPUTED_VALUE"""),TRUE)</f>
        <v>1</v>
      </c>
      <c r="H2038" s="4" t="b">
        <f>IFERROR(__xludf.DUMMYFUNCTION("""COMPUTED_VALUE"""),TRUE)</f>
        <v>1</v>
      </c>
      <c r="I2038" s="4">
        <f>IFERROR(__xludf.DUMMYFUNCTION("""COMPUTED_VALUE"""),0.2549440625)</f>
        <v>0.2549440625</v>
      </c>
      <c r="J2038" s="4">
        <f>IFERROR(__xludf.DUMMYFUNCTION("""COMPUTED_VALUE"""),45949.26995725263)</f>
        <v>45949.26996</v>
      </c>
      <c r="K2038" s="4" t="str">
        <f>IFERROR(__xludf.DUMMYFUNCTION("""COMPUTED_VALUE"""),"")</f>
        <v/>
      </c>
      <c r="L2038" s="4">
        <f>IFERROR(__xludf.DUMMYFUNCTION("""COMPUTED_VALUE"""),45949.281494623974)</f>
        <v>45949.28149</v>
      </c>
      <c r="M2038" s="1" t="str">
        <f>IFERROR(__xludf.DUMMYFUNCTION("""COMPUTED_VALUE"""),"RFID")</f>
        <v>RFID</v>
      </c>
      <c r="N2038" s="5">
        <f>IFERROR(__xludf.DUMMYFUNCTION("""COMPUTED_VALUE"""),0.006005277777777778)</f>
        <v>0.006005277778</v>
      </c>
      <c r="O2038" s="5" t="str">
        <f>IFERROR(__xludf.DUMMYFUNCTION("""COMPUTED_VALUE"""),"")</f>
        <v/>
      </c>
      <c r="P2038" s="5" t="str">
        <f>IFERROR(__xludf.DUMMYFUNCTION("""COMPUTED_VALUE"""),"")</f>
        <v/>
      </c>
      <c r="Q2038" s="5">
        <f>IFERROR(__xludf.DUMMYFUNCTION("""COMPUTED_VALUE"""),0.0053101134259259265)</f>
        <v>0.005310113426</v>
      </c>
      <c r="R2038" s="4">
        <f>IFERROR(__xludf.DUMMYFUNCTION("""COMPUTED_VALUE"""),45949.02655056147)</f>
        <v>45949.02655</v>
      </c>
      <c r="S2038" s="1" t="b">
        <f>IFERROR(__xludf.DUMMYFUNCTION("""COMPUTED_VALUE"""),TRUE)</f>
        <v>1</v>
      </c>
      <c r="T2038" s="1" t="b">
        <f>IFERROR(__xludf.DUMMYFUNCTION("""COMPUTED_VALUE"""),FALSE)</f>
        <v>0</v>
      </c>
      <c r="U2038" s="1" t="str">
        <f>IFERROR(__xludf.DUMMYFUNCTION("""COMPUTED_VALUE"""),"VALID")</f>
        <v>VALID</v>
      </c>
      <c r="V2038" s="1">
        <f>IFERROR(__xludf.DUMMYFUNCTION("""COMPUTED_VALUE"""),236.0)</f>
        <v>236</v>
      </c>
      <c r="W2038" s="1">
        <f>IFERROR(__xludf.DUMMYFUNCTION("""COMPUTED_VALUE"""),365.0)</f>
        <v>365</v>
      </c>
      <c r="X2038" s="1">
        <f>IFERROR(__xludf.DUMMYFUNCTION("""COMPUTED_VALUE"""),316.0)</f>
        <v>316</v>
      </c>
      <c r="Y2038" s="2"/>
      <c r="Z2038" s="2"/>
    </row>
    <row r="2039">
      <c r="A2039" s="1">
        <f>IFERROR(__xludf.DUMMYFUNCTION("""COMPUTED_VALUE"""),2038.0)</f>
        <v>2038</v>
      </c>
      <c r="B2039" s="1">
        <f>IFERROR(__xludf.DUMMYFUNCTION("""COMPUTED_VALUE"""),5627.0)</f>
        <v>5627</v>
      </c>
      <c r="C2039" s="2" t="str">
        <f>IFERROR(__xludf.DUMMYFUNCTION("""COMPUTED_VALUE"""),"MUHAMMAD SYAUQIE")</f>
        <v>MUHAMMAD SYAUQIE</v>
      </c>
      <c r="D2039" s="2" t="str">
        <f>IFERROR(__xludf.DUMMYFUNCTION("""COMPUTED_VALUE"""),"5KM OVERALL M")</f>
        <v>5KM OVERALL M</v>
      </c>
      <c r="E2039" s="1">
        <f>IFERROR(__xludf.DUMMYFUNCTION("""COMPUTED_VALUE"""),2.0)</f>
        <v>2</v>
      </c>
      <c r="F2039" s="1" t="str">
        <f>IFERROR(__xludf.DUMMYFUNCTION("""COMPUTED_VALUE"""),"Male")</f>
        <v>Male</v>
      </c>
      <c r="G2039" s="4" t="b">
        <f>IFERROR(__xludf.DUMMYFUNCTION("""COMPUTED_VALUE"""),TRUE)</f>
        <v>1</v>
      </c>
      <c r="H2039" s="4" t="b">
        <f>IFERROR(__xludf.DUMMYFUNCTION("""COMPUTED_VALUE"""),TRUE)</f>
        <v>1</v>
      </c>
      <c r="I2039" s="4">
        <f>IFERROR(__xludf.DUMMYFUNCTION("""COMPUTED_VALUE"""),0.2549440625)</f>
        <v>0.2549440625</v>
      </c>
      <c r="J2039" s="4">
        <f>IFERROR(__xludf.DUMMYFUNCTION("""COMPUTED_VALUE"""),45949.27442947265)</f>
        <v>45949.27443</v>
      </c>
      <c r="K2039" s="4" t="str">
        <f>IFERROR(__xludf.DUMMYFUNCTION("""COMPUTED_VALUE"""),"")</f>
        <v/>
      </c>
      <c r="L2039" s="4">
        <f>IFERROR(__xludf.DUMMYFUNCTION("""COMPUTED_VALUE"""),45949.28718211753)</f>
        <v>45949.28718</v>
      </c>
      <c r="M2039" s="1" t="str">
        <f>IFERROR(__xludf.DUMMYFUNCTION("""COMPUTED_VALUE"""),"RFID")</f>
        <v>RFID</v>
      </c>
      <c r="N2039" s="5">
        <f>IFERROR(__xludf.DUMMYFUNCTION("""COMPUTED_VALUE"""),0.007794162037037038)</f>
        <v>0.007794162037</v>
      </c>
      <c r="O2039" s="5" t="str">
        <f>IFERROR(__xludf.DUMMYFUNCTION("""COMPUTED_VALUE"""),"")</f>
        <v/>
      </c>
      <c r="P2039" s="5" t="str">
        <f>IFERROR(__xludf.DUMMYFUNCTION("""COMPUTED_VALUE"""),"")</f>
        <v/>
      </c>
      <c r="Q2039" s="5">
        <f>IFERROR(__xludf.DUMMYFUNCTION("""COMPUTED_VALUE"""),0.0064476111111111106)</f>
        <v>0.006447611111</v>
      </c>
      <c r="R2039" s="4">
        <f>IFERROR(__xludf.DUMMYFUNCTION("""COMPUTED_VALUE"""),45949.03223805503)</f>
        <v>45949.03224</v>
      </c>
      <c r="S2039" s="1" t="b">
        <f>IFERROR(__xludf.DUMMYFUNCTION("""COMPUTED_VALUE"""),TRUE)</f>
        <v>1</v>
      </c>
      <c r="T2039" s="1" t="b">
        <f>IFERROR(__xludf.DUMMYFUNCTION("""COMPUTED_VALUE"""),FALSE)</f>
        <v>0</v>
      </c>
      <c r="U2039" s="1" t="str">
        <f>IFERROR(__xludf.DUMMYFUNCTION("""COMPUTED_VALUE"""),"VALID")</f>
        <v>VALID</v>
      </c>
      <c r="V2039" s="1">
        <f>IFERROR(__xludf.DUMMYFUNCTION("""COMPUTED_VALUE"""),465.0)</f>
        <v>465</v>
      </c>
      <c r="W2039" s="1">
        <f>IFERROR(__xludf.DUMMYFUNCTION("""COMPUTED_VALUE"""),718.0)</f>
        <v>718</v>
      </c>
      <c r="X2039" s="1">
        <f>IFERROR(__xludf.DUMMYFUNCTION("""COMPUTED_VALUE"""),604.0)</f>
        <v>604</v>
      </c>
      <c r="Y2039" s="2"/>
      <c r="Z2039" s="2"/>
    </row>
    <row r="2040">
      <c r="A2040" s="1">
        <f>IFERROR(__xludf.DUMMYFUNCTION("""COMPUTED_VALUE"""),2039.0)</f>
        <v>2039</v>
      </c>
      <c r="B2040" s="1">
        <f>IFERROR(__xludf.DUMMYFUNCTION("""COMPUTED_VALUE"""),5631.0)</f>
        <v>5631</v>
      </c>
      <c r="C2040" s="2" t="str">
        <f>IFERROR(__xludf.DUMMYFUNCTION("""COMPUTED_VALUE"""),"Rizki Fadlian")</f>
        <v>Rizki Fadlian</v>
      </c>
      <c r="D2040" s="2" t="str">
        <f>IFERROR(__xludf.DUMMYFUNCTION("""COMPUTED_VALUE"""),"5KM OVERALL M")</f>
        <v>5KM OVERALL M</v>
      </c>
      <c r="E2040" s="1">
        <f>IFERROR(__xludf.DUMMYFUNCTION("""COMPUTED_VALUE"""),2.0)</f>
        <v>2</v>
      </c>
      <c r="F2040" s="1" t="str">
        <f>IFERROR(__xludf.DUMMYFUNCTION("""COMPUTED_VALUE"""),"Male")</f>
        <v>Male</v>
      </c>
      <c r="G2040" s="4" t="b">
        <f>IFERROR(__xludf.DUMMYFUNCTION("""COMPUTED_VALUE"""),TRUE)</f>
        <v>1</v>
      </c>
      <c r="H2040" s="4" t="b">
        <f>IFERROR(__xludf.DUMMYFUNCTION("""COMPUTED_VALUE"""),FALSE)</f>
        <v>0</v>
      </c>
      <c r="I2040" s="4">
        <f>IFERROR(__xludf.DUMMYFUNCTION("""COMPUTED_VALUE"""),0.2549440625)</f>
        <v>0.2549440625</v>
      </c>
      <c r="J2040" s="4">
        <f>IFERROR(__xludf.DUMMYFUNCTION("""COMPUTED_VALUE"""),45949.26540170119)</f>
        <v>45949.2654</v>
      </c>
      <c r="K2040" s="4" t="str">
        <f>IFERROR(__xludf.DUMMYFUNCTION("""COMPUTED_VALUE"""),"")</f>
        <v/>
      </c>
      <c r="L2040" s="4">
        <f>IFERROR(__xludf.DUMMYFUNCTION("""COMPUTED_VALUE"""),45949.2732446205)</f>
        <v>45949.27324</v>
      </c>
      <c r="M2040" s="1" t="str">
        <f>IFERROR(__xludf.DUMMYFUNCTION("""COMPUTED_VALUE"""),"RFID")</f>
        <v>RFID</v>
      </c>
      <c r="N2040" s="5">
        <f>IFERROR(__xludf.DUMMYFUNCTION("""COMPUTED_VALUE"""),0.004183055555555555)</f>
        <v>0.004183055556</v>
      </c>
      <c r="O2040" s="5" t="str">
        <f>IFERROR(__xludf.DUMMYFUNCTION("""COMPUTED_VALUE"""),"")</f>
        <v/>
      </c>
      <c r="P2040" s="5" t="str">
        <f>IFERROR(__xludf.DUMMYFUNCTION("""COMPUTED_VALUE"""),"")</f>
        <v/>
      </c>
      <c r="Q2040" s="5">
        <f>IFERROR(__xludf.DUMMYFUNCTION("""COMPUTED_VALUE"""),0.0036601111111111114)</f>
        <v>0.003660111111</v>
      </c>
      <c r="R2040" s="4">
        <f>IFERROR(__xludf.DUMMYFUNCTION("""COMPUTED_VALUE"""),45949.018300558)</f>
        <v>45949.0183</v>
      </c>
      <c r="S2040" s="1" t="b">
        <f>IFERROR(__xludf.DUMMYFUNCTION("""COMPUTED_VALUE"""),TRUE)</f>
        <v>1</v>
      </c>
      <c r="T2040" s="1" t="b">
        <f>IFERROR(__xludf.DUMMYFUNCTION("""COMPUTED_VALUE"""),FALSE)</f>
        <v>0</v>
      </c>
      <c r="U2040" s="1" t="str">
        <f>IFERROR(__xludf.DUMMYFUNCTION("""COMPUTED_VALUE"""),"VALID")</f>
        <v>VALID</v>
      </c>
      <c r="V2040" s="1">
        <f>IFERROR(__xludf.DUMMYFUNCTION("""COMPUTED_VALUE"""),42.0)</f>
        <v>42</v>
      </c>
      <c r="W2040" s="1">
        <f>IFERROR(__xludf.DUMMYFUNCTION("""COMPUTED_VALUE"""),64.0)</f>
        <v>64</v>
      </c>
      <c r="X2040" s="1">
        <f>IFERROR(__xludf.DUMMYFUNCTION("""COMPUTED_VALUE"""),59.0)</f>
        <v>59</v>
      </c>
      <c r="Y2040" s="2"/>
      <c r="Z2040" s="2"/>
    </row>
    <row r="2041">
      <c r="A2041" s="1">
        <f>IFERROR(__xludf.DUMMYFUNCTION("""COMPUTED_VALUE"""),2040.0)</f>
        <v>2040</v>
      </c>
      <c r="B2041" s="1">
        <f>IFERROR(__xludf.DUMMYFUNCTION("""COMPUTED_VALUE"""),5633.0)</f>
        <v>5633</v>
      </c>
      <c r="C2041" s="2" t="str">
        <f>IFERROR(__xludf.DUMMYFUNCTION("""COMPUTED_VALUE"""),"Angga")</f>
        <v>Angga</v>
      </c>
      <c r="D2041" s="2" t="str">
        <f>IFERROR(__xludf.DUMMYFUNCTION("""COMPUTED_VALUE"""),"5KM OVERALL M")</f>
        <v>5KM OVERALL M</v>
      </c>
      <c r="E2041" s="1">
        <f>IFERROR(__xludf.DUMMYFUNCTION("""COMPUTED_VALUE"""),2.0)</f>
        <v>2</v>
      </c>
      <c r="F2041" s="1" t="str">
        <f>IFERROR(__xludf.DUMMYFUNCTION("""COMPUTED_VALUE"""),"Male")</f>
        <v>Male</v>
      </c>
      <c r="G2041" s="4" t="b">
        <f>IFERROR(__xludf.DUMMYFUNCTION("""COMPUTED_VALUE"""),TRUE)</f>
        <v>1</v>
      </c>
      <c r="H2041" s="4" t="b">
        <f>IFERROR(__xludf.DUMMYFUNCTION("""COMPUTED_VALUE"""),TRUE)</f>
        <v>1</v>
      </c>
      <c r="I2041" s="4">
        <f>IFERROR(__xludf.DUMMYFUNCTION("""COMPUTED_VALUE"""),0.2549440625)</f>
        <v>0.2549440625</v>
      </c>
      <c r="J2041" s="4">
        <f>IFERROR(__xludf.DUMMYFUNCTION("""COMPUTED_VALUE"""),45949.27240535081)</f>
        <v>45949.27241</v>
      </c>
      <c r="K2041" s="4" t="str">
        <f>IFERROR(__xludf.DUMMYFUNCTION("""COMPUTED_VALUE"""),"")</f>
        <v/>
      </c>
      <c r="L2041" s="4">
        <f>IFERROR(__xludf.DUMMYFUNCTION("""COMPUTED_VALUE"""),45949.28251198316)</f>
        <v>45949.28251</v>
      </c>
      <c r="M2041" s="1" t="str">
        <f>IFERROR(__xludf.DUMMYFUNCTION("""COMPUTED_VALUE"""),"RFID")</f>
        <v>RFID</v>
      </c>
      <c r="N2041" s="5">
        <f>IFERROR(__xludf.DUMMYFUNCTION("""COMPUTED_VALUE"""),0.006984513888888889)</f>
        <v>0.006984513889</v>
      </c>
      <c r="O2041" s="5" t="str">
        <f>IFERROR(__xludf.DUMMYFUNCTION("""COMPUTED_VALUE"""),"")</f>
        <v/>
      </c>
      <c r="P2041" s="5" t="str">
        <f>IFERROR(__xludf.DUMMYFUNCTION("""COMPUTED_VALUE"""),"")</f>
        <v/>
      </c>
      <c r="Q2041" s="5">
        <f>IFERROR(__xludf.DUMMYFUNCTION("""COMPUTED_VALUE"""),0.005513583333333334)</f>
        <v>0.005513583333</v>
      </c>
      <c r="R2041" s="4">
        <f>IFERROR(__xludf.DUMMYFUNCTION("""COMPUTED_VALUE"""),45949.02756792066)</f>
        <v>45949.02757</v>
      </c>
      <c r="S2041" s="1" t="b">
        <f>IFERROR(__xludf.DUMMYFUNCTION("""COMPUTED_VALUE"""),TRUE)</f>
        <v>1</v>
      </c>
      <c r="T2041" s="1" t="b">
        <f>IFERROR(__xludf.DUMMYFUNCTION("""COMPUTED_VALUE"""),FALSE)</f>
        <v>0</v>
      </c>
      <c r="U2041" s="1" t="str">
        <f>IFERROR(__xludf.DUMMYFUNCTION("""COMPUTED_VALUE"""),"VALID")</f>
        <v>VALID</v>
      </c>
      <c r="V2041" s="1">
        <f>IFERROR(__xludf.DUMMYFUNCTION("""COMPUTED_VALUE"""),266.0)</f>
        <v>266</v>
      </c>
      <c r="W2041" s="1">
        <f>IFERROR(__xludf.DUMMYFUNCTION("""COMPUTED_VALUE"""),406.0)</f>
        <v>406</v>
      </c>
      <c r="X2041" s="1">
        <f>IFERROR(__xludf.DUMMYFUNCTION("""COMPUTED_VALUE"""),352.0)</f>
        <v>352</v>
      </c>
      <c r="Y2041" s="2"/>
      <c r="Z2041" s="2"/>
    </row>
    <row r="2042">
      <c r="A2042" s="1">
        <f>IFERROR(__xludf.DUMMYFUNCTION("""COMPUTED_VALUE"""),2041.0)</f>
        <v>2041</v>
      </c>
      <c r="B2042" s="1">
        <f>IFERROR(__xludf.DUMMYFUNCTION("""COMPUTED_VALUE"""),5635.0)</f>
        <v>5635</v>
      </c>
      <c r="C2042" s="2" t="str">
        <f>IFERROR(__xludf.DUMMYFUNCTION("""COMPUTED_VALUE"""),"AFIF")</f>
        <v>AFIF</v>
      </c>
      <c r="D2042" s="2" t="str">
        <f>IFERROR(__xludf.DUMMYFUNCTION("""COMPUTED_VALUE"""),"5KM OVERALL M")</f>
        <v>5KM OVERALL M</v>
      </c>
      <c r="E2042" s="1">
        <f>IFERROR(__xludf.DUMMYFUNCTION("""COMPUTED_VALUE"""),2.0)</f>
        <v>2</v>
      </c>
      <c r="F2042" s="1" t="str">
        <f>IFERROR(__xludf.DUMMYFUNCTION("""COMPUTED_VALUE"""),"Male")</f>
        <v>Male</v>
      </c>
      <c r="G2042" s="4" t="str">
        <f>IFERROR(__xludf.DUMMYFUNCTION("""COMPUTED_VALUE"""),"")</f>
        <v/>
      </c>
      <c r="H2042" s="4" t="b">
        <f>IFERROR(__xludf.DUMMYFUNCTION("""COMPUTED_VALUE"""),FALSE)</f>
        <v>0</v>
      </c>
      <c r="I2042" s="4">
        <f>IFERROR(__xludf.DUMMYFUNCTION("""COMPUTED_VALUE"""),0.2549440625)</f>
        <v>0.2549440625</v>
      </c>
      <c r="J2042" s="4" t="str">
        <f>IFERROR(__xludf.DUMMYFUNCTION("""COMPUTED_VALUE"""),"")</f>
        <v/>
      </c>
      <c r="K2042" s="4" t="str">
        <f>IFERROR(__xludf.DUMMYFUNCTION("""COMPUTED_VALUE"""),"")</f>
        <v/>
      </c>
      <c r="L2042" s="4" t="str">
        <f>IFERROR(__xludf.DUMMYFUNCTION("""COMPUTED_VALUE"""),"")</f>
        <v/>
      </c>
      <c r="M2042" s="1" t="str">
        <f>IFERROR(__xludf.DUMMYFUNCTION("""COMPUTED_VALUE"""),"RFID")</f>
        <v>RFID</v>
      </c>
      <c r="N2042" s="5" t="str">
        <f>IFERROR(__xludf.DUMMYFUNCTION("""COMPUTED_VALUE"""),"")</f>
        <v/>
      </c>
      <c r="O2042" s="5" t="str">
        <f>IFERROR(__xludf.DUMMYFUNCTION("""COMPUTED_VALUE"""),"")</f>
        <v/>
      </c>
      <c r="P2042" s="5" t="str">
        <f>IFERROR(__xludf.DUMMYFUNCTION("""COMPUTED_VALUE"""),"")</f>
        <v/>
      </c>
      <c r="Q2042" s="5" t="str">
        <f>IFERROR(__xludf.DUMMYFUNCTION("""COMPUTED_VALUE"""),"")</f>
        <v/>
      </c>
      <c r="R2042" s="4" t="str">
        <f>IFERROR(__xludf.DUMMYFUNCTION("""COMPUTED_VALUE"""),"")</f>
        <v/>
      </c>
      <c r="S2042" s="1" t="b">
        <f>IFERROR(__xludf.DUMMYFUNCTION("""COMPUTED_VALUE"""),FALSE)</f>
        <v>0</v>
      </c>
      <c r="T2042" s="1" t="b">
        <f>IFERROR(__xludf.DUMMYFUNCTION("""COMPUTED_VALUE"""),FALSE)</f>
        <v>0</v>
      </c>
      <c r="U2042" s="1" t="str">
        <f>IFERROR(__xludf.DUMMYFUNCTION("""COMPUTED_VALUE"""),"DSQ")</f>
        <v>DSQ</v>
      </c>
      <c r="V2042" s="1" t="str">
        <f>IFERROR(__xludf.DUMMYFUNCTION("""COMPUTED_VALUE"""),"DSQ")</f>
        <v>DSQ</v>
      </c>
      <c r="W2042" s="1" t="str">
        <f>IFERROR(__xludf.DUMMYFUNCTION("""COMPUTED_VALUE"""),"DSQ")</f>
        <v>DSQ</v>
      </c>
      <c r="X2042" s="1" t="str">
        <f>IFERROR(__xludf.DUMMYFUNCTION("""COMPUTED_VALUE"""),"DSQ")</f>
        <v>DSQ</v>
      </c>
      <c r="Y2042" s="2"/>
      <c r="Z2042" s="2" t="str">
        <f>IFERROR(__xludf.DUMMYFUNCTION("""COMPUTED_VALUE"""),"")</f>
        <v/>
      </c>
    </row>
    <row r="2043">
      <c r="A2043" s="1">
        <f>IFERROR(__xludf.DUMMYFUNCTION("""COMPUTED_VALUE"""),2042.0)</f>
        <v>2042</v>
      </c>
      <c r="B2043" s="1">
        <f>IFERROR(__xludf.DUMMYFUNCTION("""COMPUTED_VALUE"""),5636.0)</f>
        <v>5636</v>
      </c>
      <c r="C2043" s="2" t="str">
        <f>IFERROR(__xludf.DUMMYFUNCTION("""COMPUTED_VALUE"""),"ESGER")</f>
        <v>ESGER</v>
      </c>
      <c r="D2043" s="2" t="str">
        <f>IFERROR(__xludf.DUMMYFUNCTION("""COMPUTED_VALUE"""),"5KM OVERALL M")</f>
        <v>5KM OVERALL M</v>
      </c>
      <c r="E2043" s="1">
        <f>IFERROR(__xludf.DUMMYFUNCTION("""COMPUTED_VALUE"""),2.0)</f>
        <v>2</v>
      </c>
      <c r="F2043" s="1" t="str">
        <f>IFERROR(__xludf.DUMMYFUNCTION("""COMPUTED_VALUE"""),"Male")</f>
        <v>Male</v>
      </c>
      <c r="G2043" s="4" t="b">
        <f>IFERROR(__xludf.DUMMYFUNCTION("""COMPUTED_VALUE"""),TRUE)</f>
        <v>1</v>
      </c>
      <c r="H2043" s="4" t="b">
        <f>IFERROR(__xludf.DUMMYFUNCTION("""COMPUTED_VALUE"""),TRUE)</f>
        <v>1</v>
      </c>
      <c r="I2043" s="4">
        <f>IFERROR(__xludf.DUMMYFUNCTION("""COMPUTED_VALUE"""),0.2549440625)</f>
        <v>0.2549440625</v>
      </c>
      <c r="J2043" s="4">
        <f>IFERROR(__xludf.DUMMYFUNCTION("""COMPUTED_VALUE"""),45949.267998914096)</f>
        <v>45949.268</v>
      </c>
      <c r="K2043" s="4" t="str">
        <f>IFERROR(__xludf.DUMMYFUNCTION("""COMPUTED_VALUE"""),"")</f>
        <v/>
      </c>
      <c r="L2043" s="4">
        <f>IFERROR(__xludf.DUMMYFUNCTION("""COMPUTED_VALUE"""),45949.27683489589)</f>
        <v>45949.27683</v>
      </c>
      <c r="M2043" s="1" t="str">
        <f>IFERROR(__xludf.DUMMYFUNCTION("""COMPUTED_VALUE"""),"RFID")</f>
        <v>RFID</v>
      </c>
      <c r="N2043" s="5">
        <f>IFERROR(__xludf.DUMMYFUNCTION("""COMPUTED_VALUE"""),0.0052219398148148155)</f>
        <v>0.005221939815</v>
      </c>
      <c r="O2043" s="5" t="str">
        <f>IFERROR(__xludf.DUMMYFUNCTION("""COMPUTED_VALUE"""),"")</f>
        <v/>
      </c>
      <c r="P2043" s="5" t="str">
        <f>IFERROR(__xludf.DUMMYFUNCTION("""COMPUTED_VALUE"""),"")</f>
        <v/>
      </c>
      <c r="Q2043" s="5">
        <f>IFERROR(__xludf.DUMMYFUNCTION("""COMPUTED_VALUE"""),0.0043781666666666665)</f>
        <v>0.004378166667</v>
      </c>
      <c r="R2043" s="4">
        <f>IFERROR(__xludf.DUMMYFUNCTION("""COMPUTED_VALUE"""),45949.02189083339)</f>
        <v>45949.02189</v>
      </c>
      <c r="S2043" s="1" t="b">
        <f>IFERROR(__xludf.DUMMYFUNCTION("""COMPUTED_VALUE"""),TRUE)</f>
        <v>1</v>
      </c>
      <c r="T2043" s="1" t="b">
        <f>IFERROR(__xludf.DUMMYFUNCTION("""COMPUTED_VALUE"""),FALSE)</f>
        <v>0</v>
      </c>
      <c r="U2043" s="1" t="str">
        <f>IFERROR(__xludf.DUMMYFUNCTION("""COMPUTED_VALUE"""),"VALID")</f>
        <v>VALID</v>
      </c>
      <c r="V2043" s="1">
        <f>IFERROR(__xludf.DUMMYFUNCTION("""COMPUTED_VALUE"""),111.0)</f>
        <v>111</v>
      </c>
      <c r="W2043" s="1">
        <f>IFERROR(__xludf.DUMMYFUNCTION("""COMPUTED_VALUE"""),172.0)</f>
        <v>172</v>
      </c>
      <c r="X2043" s="1">
        <f>IFERROR(__xludf.DUMMYFUNCTION("""COMPUTED_VALUE"""),152.0)</f>
        <v>152</v>
      </c>
      <c r="Y2043" s="2"/>
      <c r="Z2043" s="2"/>
    </row>
    <row r="2044">
      <c r="A2044" s="1">
        <f>IFERROR(__xludf.DUMMYFUNCTION("""COMPUTED_VALUE"""),2043.0)</f>
        <v>2043</v>
      </c>
      <c r="B2044" s="1">
        <f>IFERROR(__xludf.DUMMYFUNCTION("""COMPUTED_VALUE"""),5638.0)</f>
        <v>5638</v>
      </c>
      <c r="C2044" s="2" t="str">
        <f>IFERROR(__xludf.DUMMYFUNCTION("""COMPUTED_VALUE"""),"Cah Mblitar")</f>
        <v>Cah Mblitar</v>
      </c>
      <c r="D2044" s="2" t="str">
        <f>IFERROR(__xludf.DUMMYFUNCTION("""COMPUTED_VALUE"""),"5KM OVERALL M")</f>
        <v>5KM OVERALL M</v>
      </c>
      <c r="E2044" s="1">
        <f>IFERROR(__xludf.DUMMYFUNCTION("""COMPUTED_VALUE"""),2.0)</f>
        <v>2</v>
      </c>
      <c r="F2044" s="1" t="str">
        <f>IFERROR(__xludf.DUMMYFUNCTION("""COMPUTED_VALUE"""),"Male")</f>
        <v>Male</v>
      </c>
      <c r="G2044" s="4" t="b">
        <f>IFERROR(__xludf.DUMMYFUNCTION("""COMPUTED_VALUE"""),TRUE)</f>
        <v>1</v>
      </c>
      <c r="H2044" s="4" t="b">
        <f>IFERROR(__xludf.DUMMYFUNCTION("""COMPUTED_VALUE"""),TRUE)</f>
        <v>1</v>
      </c>
      <c r="I2044" s="4">
        <f>IFERROR(__xludf.DUMMYFUNCTION("""COMPUTED_VALUE"""),0.2549440625)</f>
        <v>0.2549440625</v>
      </c>
      <c r="J2044" s="4">
        <f>IFERROR(__xludf.DUMMYFUNCTION("""COMPUTED_VALUE"""),45949.273568363846)</f>
        <v>45949.27357</v>
      </c>
      <c r="K2044" s="4" t="str">
        <f>IFERROR(__xludf.DUMMYFUNCTION("""COMPUTED_VALUE"""),"")</f>
        <v/>
      </c>
      <c r="L2044" s="4">
        <f>IFERROR(__xludf.DUMMYFUNCTION("""COMPUTED_VALUE"""),45949.28640089481)</f>
        <v>45949.2864</v>
      </c>
      <c r="M2044" s="1" t="str">
        <f>IFERROR(__xludf.DUMMYFUNCTION("""COMPUTED_VALUE"""),"RFID")</f>
        <v>RFID</v>
      </c>
      <c r="N2044" s="5">
        <f>IFERROR(__xludf.DUMMYFUNCTION("""COMPUTED_VALUE"""),0.007449722222222223)</f>
        <v>0.007449722222</v>
      </c>
      <c r="O2044" s="5" t="str">
        <f>IFERROR(__xludf.DUMMYFUNCTION("""COMPUTED_VALUE"""),"")</f>
        <v/>
      </c>
      <c r="P2044" s="5" t="str">
        <f>IFERROR(__xludf.DUMMYFUNCTION("""COMPUTED_VALUE"""),"")</f>
        <v/>
      </c>
      <c r="Q2044" s="5">
        <f>IFERROR(__xludf.DUMMYFUNCTION("""COMPUTED_VALUE"""),0.0062913657407407415)</f>
        <v>0.006291365741</v>
      </c>
      <c r="R2044" s="4">
        <f>IFERROR(__xludf.DUMMYFUNCTION("""COMPUTED_VALUE"""),45949.03145683231)</f>
        <v>45949.03146</v>
      </c>
      <c r="S2044" s="1" t="b">
        <f>IFERROR(__xludf.DUMMYFUNCTION("""COMPUTED_VALUE"""),TRUE)</f>
        <v>1</v>
      </c>
      <c r="T2044" s="1" t="b">
        <f>IFERROR(__xludf.DUMMYFUNCTION("""COMPUTED_VALUE"""),FALSE)</f>
        <v>0</v>
      </c>
      <c r="U2044" s="1" t="str">
        <f>IFERROR(__xludf.DUMMYFUNCTION("""COMPUTED_VALUE"""),"VALID")</f>
        <v>VALID</v>
      </c>
      <c r="V2044" s="1">
        <f>IFERROR(__xludf.DUMMYFUNCTION("""COMPUTED_VALUE"""),430.0)</f>
        <v>430</v>
      </c>
      <c r="W2044" s="1">
        <f>IFERROR(__xludf.DUMMYFUNCTION("""COMPUTED_VALUE"""),660.0)</f>
        <v>660</v>
      </c>
      <c r="X2044" s="1">
        <f>IFERROR(__xludf.DUMMYFUNCTION("""COMPUTED_VALUE"""),551.0)</f>
        <v>551</v>
      </c>
      <c r="Y2044" s="2"/>
      <c r="Z2044" s="2"/>
    </row>
    <row r="2045">
      <c r="A2045" s="1">
        <f>IFERROR(__xludf.DUMMYFUNCTION("""COMPUTED_VALUE"""),2044.0)</f>
        <v>2044</v>
      </c>
      <c r="B2045" s="1">
        <f>IFERROR(__xludf.DUMMYFUNCTION("""COMPUTED_VALUE"""),5639.0)</f>
        <v>5639</v>
      </c>
      <c r="C2045" s="2" t="str">
        <f>IFERROR(__xludf.DUMMYFUNCTION("""COMPUTED_VALUE"""),"JHONNY")</f>
        <v>JHONNY</v>
      </c>
      <c r="D2045" s="2" t="str">
        <f>IFERROR(__xludf.DUMMYFUNCTION("""COMPUTED_VALUE"""),"5KM OVERALL M")</f>
        <v>5KM OVERALL M</v>
      </c>
      <c r="E2045" s="1">
        <f>IFERROR(__xludf.DUMMYFUNCTION("""COMPUTED_VALUE"""),2.0)</f>
        <v>2</v>
      </c>
      <c r="F2045" s="1" t="str">
        <f>IFERROR(__xludf.DUMMYFUNCTION("""COMPUTED_VALUE"""),"Male")</f>
        <v>Male</v>
      </c>
      <c r="G2045" s="4" t="str">
        <f>IFERROR(__xludf.DUMMYFUNCTION("""COMPUTED_VALUE"""),"")</f>
        <v/>
      </c>
      <c r="H2045" s="4" t="b">
        <f>IFERROR(__xludf.DUMMYFUNCTION("""COMPUTED_VALUE"""),FALSE)</f>
        <v>0</v>
      </c>
      <c r="I2045" s="4">
        <f>IFERROR(__xludf.DUMMYFUNCTION("""COMPUTED_VALUE"""),0.2549440625)</f>
        <v>0.2549440625</v>
      </c>
      <c r="J2045" s="4" t="str">
        <f>IFERROR(__xludf.DUMMYFUNCTION("""COMPUTED_VALUE"""),"")</f>
        <v/>
      </c>
      <c r="K2045" s="4" t="str">
        <f>IFERROR(__xludf.DUMMYFUNCTION("""COMPUTED_VALUE"""),"")</f>
        <v/>
      </c>
      <c r="L2045" s="4" t="str">
        <f>IFERROR(__xludf.DUMMYFUNCTION("""COMPUTED_VALUE"""),"")</f>
        <v/>
      </c>
      <c r="M2045" s="1" t="str">
        <f>IFERROR(__xludf.DUMMYFUNCTION("""COMPUTED_VALUE"""),"RFID")</f>
        <v>RFID</v>
      </c>
      <c r="N2045" s="5" t="str">
        <f>IFERROR(__xludf.DUMMYFUNCTION("""COMPUTED_VALUE"""),"")</f>
        <v/>
      </c>
      <c r="O2045" s="5" t="str">
        <f>IFERROR(__xludf.DUMMYFUNCTION("""COMPUTED_VALUE"""),"")</f>
        <v/>
      </c>
      <c r="P2045" s="5" t="str">
        <f>IFERROR(__xludf.DUMMYFUNCTION("""COMPUTED_VALUE"""),"")</f>
        <v/>
      </c>
      <c r="Q2045" s="5" t="str">
        <f>IFERROR(__xludf.DUMMYFUNCTION("""COMPUTED_VALUE"""),"")</f>
        <v/>
      </c>
      <c r="R2045" s="4" t="str">
        <f>IFERROR(__xludf.DUMMYFUNCTION("""COMPUTED_VALUE"""),"")</f>
        <v/>
      </c>
      <c r="S2045" s="1" t="b">
        <f>IFERROR(__xludf.DUMMYFUNCTION("""COMPUTED_VALUE"""),FALSE)</f>
        <v>0</v>
      </c>
      <c r="T2045" s="1" t="b">
        <f>IFERROR(__xludf.DUMMYFUNCTION("""COMPUTED_VALUE"""),FALSE)</f>
        <v>0</v>
      </c>
      <c r="U2045" s="1" t="str">
        <f>IFERROR(__xludf.DUMMYFUNCTION("""COMPUTED_VALUE"""),"DSQ")</f>
        <v>DSQ</v>
      </c>
      <c r="V2045" s="1" t="str">
        <f>IFERROR(__xludf.DUMMYFUNCTION("""COMPUTED_VALUE"""),"DSQ")</f>
        <v>DSQ</v>
      </c>
      <c r="W2045" s="1" t="str">
        <f>IFERROR(__xludf.DUMMYFUNCTION("""COMPUTED_VALUE"""),"DSQ")</f>
        <v>DSQ</v>
      </c>
      <c r="X2045" s="1" t="str">
        <f>IFERROR(__xludf.DUMMYFUNCTION("""COMPUTED_VALUE"""),"DSQ")</f>
        <v>DSQ</v>
      </c>
      <c r="Y2045" s="2"/>
      <c r="Z2045" s="2" t="str">
        <f>IFERROR(__xludf.DUMMYFUNCTION("""COMPUTED_VALUE"""),"")</f>
        <v/>
      </c>
    </row>
    <row r="2046">
      <c r="A2046" s="1">
        <f>IFERROR(__xludf.DUMMYFUNCTION("""COMPUTED_VALUE"""),2045.0)</f>
        <v>2045</v>
      </c>
      <c r="B2046" s="1">
        <f>IFERROR(__xludf.DUMMYFUNCTION("""COMPUTED_VALUE"""),5640.0)</f>
        <v>5640</v>
      </c>
      <c r="C2046" s="2" t="str">
        <f>IFERROR(__xludf.DUMMYFUNCTION("""COMPUTED_VALUE"""),"AVSAT")</f>
        <v>AVSAT</v>
      </c>
      <c r="D2046" s="2" t="str">
        <f>IFERROR(__xludf.DUMMYFUNCTION("""COMPUTED_VALUE"""),"5KM OVERALL M")</f>
        <v>5KM OVERALL M</v>
      </c>
      <c r="E2046" s="1">
        <f>IFERROR(__xludf.DUMMYFUNCTION("""COMPUTED_VALUE"""),2.0)</f>
        <v>2</v>
      </c>
      <c r="F2046" s="1" t="str">
        <f>IFERROR(__xludf.DUMMYFUNCTION("""COMPUTED_VALUE"""),"Male")</f>
        <v>Male</v>
      </c>
      <c r="G2046" s="4" t="b">
        <f>IFERROR(__xludf.DUMMYFUNCTION("""COMPUTED_VALUE"""),TRUE)</f>
        <v>1</v>
      </c>
      <c r="H2046" s="4" t="b">
        <f>IFERROR(__xludf.DUMMYFUNCTION("""COMPUTED_VALUE"""),TRUE)</f>
        <v>1</v>
      </c>
      <c r="I2046" s="4">
        <f>IFERROR(__xludf.DUMMYFUNCTION("""COMPUTED_VALUE"""),0.2549440625)</f>
        <v>0.2549440625</v>
      </c>
      <c r="J2046" s="4">
        <f>IFERROR(__xludf.DUMMYFUNCTION("""COMPUTED_VALUE"""),45949.27403015374)</f>
        <v>45949.27403</v>
      </c>
      <c r="K2046" s="4" t="str">
        <f>IFERROR(__xludf.DUMMYFUNCTION("""COMPUTED_VALUE"""),"")</f>
        <v/>
      </c>
      <c r="L2046" s="4">
        <f>IFERROR(__xludf.DUMMYFUNCTION("""COMPUTED_VALUE"""),45949.28780365034)</f>
        <v>45949.2878</v>
      </c>
      <c r="M2046" s="1" t="str">
        <f>IFERROR(__xludf.DUMMYFUNCTION("""COMPUTED_VALUE"""),"RFID")</f>
        <v>RFID</v>
      </c>
      <c r="N2046" s="5">
        <f>IFERROR(__xludf.DUMMYFUNCTION("""COMPUTED_VALUE"""),0.007634435185185186)</f>
        <v>0.007634435185</v>
      </c>
      <c r="O2046" s="5" t="str">
        <f>IFERROR(__xludf.DUMMYFUNCTION("""COMPUTED_VALUE"""),"")</f>
        <v/>
      </c>
      <c r="P2046" s="5" t="str">
        <f>IFERROR(__xludf.DUMMYFUNCTION("""COMPUTED_VALUE"""),"")</f>
        <v/>
      </c>
      <c r="Q2046" s="5">
        <f>IFERROR(__xludf.DUMMYFUNCTION("""COMPUTED_VALUE"""),0.006571916666666668)</f>
        <v>0.006571916667</v>
      </c>
      <c r="R2046" s="4">
        <f>IFERROR(__xludf.DUMMYFUNCTION("""COMPUTED_VALUE"""),45949.03285958784)</f>
        <v>45949.03286</v>
      </c>
      <c r="S2046" s="1" t="b">
        <f>IFERROR(__xludf.DUMMYFUNCTION("""COMPUTED_VALUE"""),TRUE)</f>
        <v>1</v>
      </c>
      <c r="T2046" s="1" t="b">
        <f>IFERROR(__xludf.DUMMYFUNCTION("""COMPUTED_VALUE"""),FALSE)</f>
        <v>0</v>
      </c>
      <c r="U2046" s="1" t="str">
        <f>IFERROR(__xludf.DUMMYFUNCTION("""COMPUTED_VALUE"""),"VALID")</f>
        <v>VALID</v>
      </c>
      <c r="V2046" s="1">
        <f>IFERROR(__xludf.DUMMYFUNCTION("""COMPUTED_VALUE"""),489.0)</f>
        <v>489</v>
      </c>
      <c r="W2046" s="1">
        <f>IFERROR(__xludf.DUMMYFUNCTION("""COMPUTED_VALUE"""),765.0)</f>
        <v>765</v>
      </c>
      <c r="X2046" s="1">
        <f>IFERROR(__xludf.DUMMYFUNCTION("""COMPUTED_VALUE"""),632.0)</f>
        <v>632</v>
      </c>
      <c r="Y2046" s="2"/>
      <c r="Z2046" s="2"/>
    </row>
    <row r="2047">
      <c r="A2047" s="1">
        <f>IFERROR(__xludf.DUMMYFUNCTION("""COMPUTED_VALUE"""),2046.0)</f>
        <v>2046</v>
      </c>
      <c r="B2047" s="1">
        <f>IFERROR(__xludf.DUMMYFUNCTION("""COMPUTED_VALUE"""),5641.0)</f>
        <v>5641</v>
      </c>
      <c r="C2047" s="2" t="str">
        <f>IFERROR(__xludf.DUMMYFUNCTION("""COMPUTED_VALUE"""),"erlian")</f>
        <v>erlian</v>
      </c>
      <c r="D2047" s="2" t="str">
        <f>IFERROR(__xludf.DUMMYFUNCTION("""COMPUTED_VALUE"""),"5KM OVERALL M")</f>
        <v>5KM OVERALL M</v>
      </c>
      <c r="E2047" s="1">
        <f>IFERROR(__xludf.DUMMYFUNCTION("""COMPUTED_VALUE"""),2.0)</f>
        <v>2</v>
      </c>
      <c r="F2047" s="1" t="str">
        <f>IFERROR(__xludf.DUMMYFUNCTION("""COMPUTED_VALUE"""),"Male")</f>
        <v>Male</v>
      </c>
      <c r="G2047" s="4" t="b">
        <f>IFERROR(__xludf.DUMMYFUNCTION("""COMPUTED_VALUE"""),TRUE)</f>
        <v>1</v>
      </c>
      <c r="H2047" s="4" t="b">
        <f>IFERROR(__xludf.DUMMYFUNCTION("""COMPUTED_VALUE"""),TRUE)</f>
        <v>1</v>
      </c>
      <c r="I2047" s="4">
        <f>IFERROR(__xludf.DUMMYFUNCTION("""COMPUTED_VALUE"""),0.2549440625)</f>
        <v>0.2549440625</v>
      </c>
      <c r="J2047" s="4">
        <f>IFERROR(__xludf.DUMMYFUNCTION("""COMPUTED_VALUE"""),45949.27992338511)</f>
        <v>45949.27992</v>
      </c>
      <c r="K2047" s="4" t="str">
        <f>IFERROR(__xludf.DUMMYFUNCTION("""COMPUTED_VALUE"""),"")</f>
        <v/>
      </c>
      <c r="L2047" s="4">
        <f>IFERROR(__xludf.DUMMYFUNCTION("""COMPUTED_VALUE"""),45949.266806470696)</f>
        <v>45949.26681</v>
      </c>
      <c r="M2047" s="1" t="str">
        <f>IFERROR(__xludf.DUMMYFUNCTION("""COMPUTED_VALUE"""),"RFID")</f>
        <v>RFID</v>
      </c>
      <c r="N2047" s="5">
        <f>IFERROR(__xludf.DUMMYFUNCTION("""COMPUTED_VALUE"""),0.009991726851851852)</f>
        <v>0.009991726852</v>
      </c>
      <c r="O2047" s="5" t="str">
        <f>IFERROR(__xludf.DUMMYFUNCTION("""COMPUTED_VALUE"""),"")</f>
        <v/>
      </c>
      <c r="P2047" s="5" t="str">
        <f>IFERROR(__xludf.DUMMYFUNCTION("""COMPUTED_VALUE"""),"")</f>
        <v/>
      </c>
      <c r="Q2047" s="5">
        <f>IFERROR(__xludf.DUMMYFUNCTION("""COMPUTED_VALUE"""),0.0023724814814814815)</f>
        <v>0.002372481481</v>
      </c>
      <c r="R2047" s="4">
        <f>IFERROR(__xludf.DUMMYFUNCTION("""COMPUTED_VALUE"""),45949.011862408195)</f>
        <v>45949.01186</v>
      </c>
      <c r="S2047" s="1" t="b">
        <f>IFERROR(__xludf.DUMMYFUNCTION("""COMPUTED_VALUE"""),TRUE)</f>
        <v>1</v>
      </c>
      <c r="T2047" s="1" t="b">
        <f>IFERROR(__xludf.DUMMYFUNCTION("""COMPUTED_VALUE"""),TRUE)</f>
        <v>1</v>
      </c>
      <c r="U2047" s="1" t="str">
        <f>IFERROR(__xludf.DUMMYFUNCTION("""COMPUTED_VALUE"""),"DSQ")</f>
        <v>DSQ</v>
      </c>
      <c r="V2047" s="1" t="str">
        <f>IFERROR(__xludf.DUMMYFUNCTION("""COMPUTED_VALUE"""),"DSQ")</f>
        <v>DSQ</v>
      </c>
      <c r="W2047" s="1" t="str">
        <f>IFERROR(__xludf.DUMMYFUNCTION("""COMPUTED_VALUE"""),"DSQ")</f>
        <v>DSQ</v>
      </c>
      <c r="X2047" s="1" t="str">
        <f>IFERROR(__xludf.DUMMYFUNCTION("""COMPUTED_VALUE"""),"DSQ")</f>
        <v>DSQ</v>
      </c>
      <c r="Y2047" s="2" t="str">
        <f>IFERROR(__xludf.DUMMYFUNCTION("""COMPUTED_VALUE"""),"start setelah batas waktu")</f>
        <v>start setelah batas waktu</v>
      </c>
      <c r="Z2047" s="2"/>
    </row>
    <row r="2048">
      <c r="A2048" s="1">
        <f>IFERROR(__xludf.DUMMYFUNCTION("""COMPUTED_VALUE"""),2047.0)</f>
        <v>2047</v>
      </c>
      <c r="B2048" s="1">
        <f>IFERROR(__xludf.DUMMYFUNCTION("""COMPUTED_VALUE"""),5644.0)</f>
        <v>5644</v>
      </c>
      <c r="C2048" s="2" t="str">
        <f>IFERROR(__xludf.DUMMYFUNCTION("""COMPUTED_VALUE"""),"armadhani.x")</f>
        <v>armadhani.x</v>
      </c>
      <c r="D2048" s="2" t="str">
        <f>IFERROR(__xludf.DUMMYFUNCTION("""COMPUTED_VALUE"""),"5KM OVERALL M")</f>
        <v>5KM OVERALL M</v>
      </c>
      <c r="E2048" s="1">
        <f>IFERROR(__xludf.DUMMYFUNCTION("""COMPUTED_VALUE"""),2.0)</f>
        <v>2</v>
      </c>
      <c r="F2048" s="1" t="str">
        <f>IFERROR(__xludf.DUMMYFUNCTION("""COMPUTED_VALUE"""),"Male")</f>
        <v>Male</v>
      </c>
      <c r="G2048" s="4" t="b">
        <f>IFERROR(__xludf.DUMMYFUNCTION("""COMPUTED_VALUE"""),TRUE)</f>
        <v>1</v>
      </c>
      <c r="H2048" s="4" t="b">
        <f>IFERROR(__xludf.DUMMYFUNCTION("""COMPUTED_VALUE"""),TRUE)</f>
        <v>1</v>
      </c>
      <c r="I2048" s="4">
        <f>IFERROR(__xludf.DUMMYFUNCTION("""COMPUTED_VALUE"""),0.2549440625)</f>
        <v>0.2549440625</v>
      </c>
      <c r="J2048" s="4">
        <f>IFERROR(__xludf.DUMMYFUNCTION("""COMPUTED_VALUE"""),45949.26860327661)</f>
        <v>45949.2686</v>
      </c>
      <c r="K2048" s="4" t="str">
        <f>IFERROR(__xludf.DUMMYFUNCTION("""COMPUTED_VALUE"""),"")</f>
        <v/>
      </c>
      <c r="L2048" s="4">
        <f>IFERROR(__xludf.DUMMYFUNCTION("""COMPUTED_VALUE"""),45949.27628280711)</f>
        <v>45949.27628</v>
      </c>
      <c r="M2048" s="1" t="str">
        <f>IFERROR(__xludf.DUMMYFUNCTION("""COMPUTED_VALUE"""),"RFID")</f>
        <v>RFID</v>
      </c>
      <c r="N2048" s="5">
        <f>IFERROR(__xludf.DUMMYFUNCTION("""COMPUTED_VALUE"""),0.005463685185185184)</f>
        <v>0.005463685185</v>
      </c>
      <c r="O2048" s="5" t="str">
        <f>IFERROR(__xludf.DUMMYFUNCTION("""COMPUTED_VALUE"""),"")</f>
        <v/>
      </c>
      <c r="P2048" s="5" t="str">
        <f>IFERROR(__xludf.DUMMYFUNCTION("""COMPUTED_VALUE"""),"")</f>
        <v/>
      </c>
      <c r="Q2048" s="5">
        <f>IFERROR(__xludf.DUMMYFUNCTION("""COMPUTED_VALUE"""),0.00426775)</f>
        <v>0.00426775</v>
      </c>
      <c r="R2048" s="4">
        <f>IFERROR(__xludf.DUMMYFUNCTION("""COMPUTED_VALUE"""),45949.02133874461)</f>
        <v>45949.02134</v>
      </c>
      <c r="S2048" s="1" t="b">
        <f>IFERROR(__xludf.DUMMYFUNCTION("""COMPUTED_VALUE"""),TRUE)</f>
        <v>1</v>
      </c>
      <c r="T2048" s="1" t="b">
        <f>IFERROR(__xludf.DUMMYFUNCTION("""COMPUTED_VALUE"""),FALSE)</f>
        <v>0</v>
      </c>
      <c r="U2048" s="1" t="str">
        <f>IFERROR(__xludf.DUMMYFUNCTION("""COMPUTED_VALUE"""),"VALID")</f>
        <v>VALID</v>
      </c>
      <c r="V2048" s="1">
        <f>IFERROR(__xludf.DUMMYFUNCTION("""COMPUTED_VALUE"""),99.0)</f>
        <v>99</v>
      </c>
      <c r="W2048" s="1">
        <f>IFERROR(__xludf.DUMMYFUNCTION("""COMPUTED_VALUE"""),155.0)</f>
        <v>155</v>
      </c>
      <c r="X2048" s="1">
        <f>IFERROR(__xludf.DUMMYFUNCTION("""COMPUTED_VALUE"""),137.0)</f>
        <v>137</v>
      </c>
      <c r="Y2048" s="2"/>
      <c r="Z2048" s="2"/>
    </row>
    <row r="2049">
      <c r="A2049" s="1">
        <f>IFERROR(__xludf.DUMMYFUNCTION("""COMPUTED_VALUE"""),2048.0)</f>
        <v>2048</v>
      </c>
      <c r="B2049" s="1">
        <f>IFERROR(__xludf.DUMMYFUNCTION("""COMPUTED_VALUE"""),5645.0)</f>
        <v>5645</v>
      </c>
      <c r="C2049" s="2" t="str">
        <f>IFERROR(__xludf.DUMMYFUNCTION("""COMPUTED_VALUE"""),"Ridho")</f>
        <v>Ridho</v>
      </c>
      <c r="D2049" s="2" t="str">
        <f>IFERROR(__xludf.DUMMYFUNCTION("""COMPUTED_VALUE"""),"5KM OVERALL M")</f>
        <v>5KM OVERALL M</v>
      </c>
      <c r="E2049" s="1">
        <f>IFERROR(__xludf.DUMMYFUNCTION("""COMPUTED_VALUE"""),2.0)</f>
        <v>2</v>
      </c>
      <c r="F2049" s="1" t="str">
        <f>IFERROR(__xludf.DUMMYFUNCTION("""COMPUTED_VALUE"""),"Male")</f>
        <v>Male</v>
      </c>
      <c r="G2049" s="4" t="b">
        <f>IFERROR(__xludf.DUMMYFUNCTION("""COMPUTED_VALUE"""),TRUE)</f>
        <v>1</v>
      </c>
      <c r="H2049" s="4" t="b">
        <f>IFERROR(__xludf.DUMMYFUNCTION("""COMPUTED_VALUE"""),TRUE)</f>
        <v>1</v>
      </c>
      <c r="I2049" s="4">
        <f>IFERROR(__xludf.DUMMYFUNCTION("""COMPUTED_VALUE"""),0.2549440625)</f>
        <v>0.2549440625</v>
      </c>
      <c r="J2049" s="4">
        <f>IFERROR(__xludf.DUMMYFUNCTION("""COMPUTED_VALUE"""),45949.26789821101)</f>
        <v>45949.2679</v>
      </c>
      <c r="K2049" s="4" t="str">
        <f>IFERROR(__xludf.DUMMYFUNCTION("""COMPUTED_VALUE"""),"")</f>
        <v/>
      </c>
      <c r="L2049" s="4">
        <f>IFERROR(__xludf.DUMMYFUNCTION("""COMPUTED_VALUE"""),45949.27814045098)</f>
        <v>45949.27814</v>
      </c>
      <c r="M2049" s="1" t="str">
        <f>IFERROR(__xludf.DUMMYFUNCTION("""COMPUTED_VALUE"""),"RFID")</f>
        <v>RFID</v>
      </c>
      <c r="N2049" s="5">
        <f>IFERROR(__xludf.DUMMYFUNCTION("""COMPUTED_VALUE"""),0.005181657407407407)</f>
        <v>0.005181657407</v>
      </c>
      <c r="O2049" s="5" t="str">
        <f>IFERROR(__xludf.DUMMYFUNCTION("""COMPUTED_VALUE"""),"")</f>
        <v/>
      </c>
      <c r="P2049" s="5" t="str">
        <f>IFERROR(__xludf.DUMMYFUNCTION("""COMPUTED_VALUE"""),"")</f>
        <v/>
      </c>
      <c r="Q2049" s="5">
        <f>IFERROR(__xludf.DUMMYFUNCTION("""COMPUTED_VALUE"""),0.004639277777777778)</f>
        <v>0.004639277778</v>
      </c>
      <c r="R2049" s="4">
        <f>IFERROR(__xludf.DUMMYFUNCTION("""COMPUTED_VALUE"""),45949.02319638848)</f>
        <v>45949.0232</v>
      </c>
      <c r="S2049" s="1" t="b">
        <f>IFERROR(__xludf.DUMMYFUNCTION("""COMPUTED_VALUE"""),TRUE)</f>
        <v>1</v>
      </c>
      <c r="T2049" s="1" t="b">
        <f>IFERROR(__xludf.DUMMYFUNCTION("""COMPUTED_VALUE"""),FALSE)</f>
        <v>0</v>
      </c>
      <c r="U2049" s="1" t="str">
        <f>IFERROR(__xludf.DUMMYFUNCTION("""COMPUTED_VALUE"""),"VALID")</f>
        <v>VALID</v>
      </c>
      <c r="V2049" s="1">
        <f>IFERROR(__xludf.DUMMYFUNCTION("""COMPUTED_VALUE"""),146.0)</f>
        <v>146</v>
      </c>
      <c r="W2049" s="1">
        <f>IFERROR(__xludf.DUMMYFUNCTION("""COMPUTED_VALUE"""),222.0)</f>
        <v>222</v>
      </c>
      <c r="X2049" s="1">
        <f>IFERROR(__xludf.DUMMYFUNCTION("""COMPUTED_VALUE"""),194.0)</f>
        <v>194</v>
      </c>
      <c r="Y2049" s="2"/>
      <c r="Z2049" s="2"/>
    </row>
    <row r="2050">
      <c r="A2050" s="1">
        <f>IFERROR(__xludf.DUMMYFUNCTION("""COMPUTED_VALUE"""),2049.0)</f>
        <v>2049</v>
      </c>
      <c r="B2050" s="1">
        <f>IFERROR(__xludf.DUMMYFUNCTION("""COMPUTED_VALUE"""),5646.0)</f>
        <v>5646</v>
      </c>
      <c r="C2050" s="2" t="str">
        <f>IFERROR(__xludf.DUMMYFUNCTION("""COMPUTED_VALUE"""),"kamil")</f>
        <v>kamil</v>
      </c>
      <c r="D2050" s="2" t="str">
        <f>IFERROR(__xludf.DUMMYFUNCTION("""COMPUTED_VALUE"""),"5KM OVERALL M")</f>
        <v>5KM OVERALL M</v>
      </c>
      <c r="E2050" s="1">
        <f>IFERROR(__xludf.DUMMYFUNCTION("""COMPUTED_VALUE"""),2.0)</f>
        <v>2</v>
      </c>
      <c r="F2050" s="1" t="str">
        <f>IFERROR(__xludf.DUMMYFUNCTION("""COMPUTED_VALUE"""),"Male")</f>
        <v>Male</v>
      </c>
      <c r="G2050" s="4" t="b">
        <f>IFERROR(__xludf.DUMMYFUNCTION("""COMPUTED_VALUE"""),TRUE)</f>
        <v>1</v>
      </c>
      <c r="H2050" s="4" t="b">
        <f>IFERROR(__xludf.DUMMYFUNCTION("""COMPUTED_VALUE"""),TRUE)</f>
        <v>1</v>
      </c>
      <c r="I2050" s="4">
        <f>IFERROR(__xludf.DUMMYFUNCTION("""COMPUTED_VALUE"""),0.2549440625)</f>
        <v>0.2549440625</v>
      </c>
      <c r="J2050" s="4">
        <f>IFERROR(__xludf.DUMMYFUNCTION("""COMPUTED_VALUE"""),45949.27761350004)</f>
        <v>45949.27761</v>
      </c>
      <c r="K2050" s="4" t="str">
        <f>IFERROR(__xludf.DUMMYFUNCTION("""COMPUTED_VALUE"""),"")</f>
        <v/>
      </c>
      <c r="L2050" s="4">
        <f>IFERROR(__xludf.DUMMYFUNCTION("""COMPUTED_VALUE"""),45949.292640452564)</f>
        <v>45949.29264</v>
      </c>
      <c r="M2050" s="1" t="str">
        <f>IFERROR(__xludf.DUMMYFUNCTION("""COMPUTED_VALUE"""),"RFID")</f>
        <v>RFID</v>
      </c>
      <c r="N2050" s="5">
        <f>IFERROR(__xludf.DUMMYFUNCTION("""COMPUTED_VALUE"""),0.009067773148148148)</f>
        <v>0.009067773148</v>
      </c>
      <c r="O2050" s="5" t="str">
        <f>IFERROR(__xludf.DUMMYFUNCTION("""COMPUTED_VALUE"""),"")</f>
        <v/>
      </c>
      <c r="P2050" s="5" t="str">
        <f>IFERROR(__xludf.DUMMYFUNCTION("""COMPUTED_VALUE"""),"")</f>
        <v/>
      </c>
      <c r="Q2050" s="5">
        <f>IFERROR(__xludf.DUMMYFUNCTION("""COMPUTED_VALUE"""),0.007539277777777778)</f>
        <v>0.007539277778</v>
      </c>
      <c r="R2050" s="4">
        <f>IFERROR(__xludf.DUMMYFUNCTION("""COMPUTED_VALUE"""),45949.03769639006)</f>
        <v>45949.0377</v>
      </c>
      <c r="S2050" s="1" t="b">
        <f>IFERROR(__xludf.DUMMYFUNCTION("""COMPUTED_VALUE"""),TRUE)</f>
        <v>1</v>
      </c>
      <c r="T2050" s="1" t="b">
        <f>IFERROR(__xludf.DUMMYFUNCTION("""COMPUTED_VALUE"""),FALSE)</f>
        <v>0</v>
      </c>
      <c r="U2050" s="1" t="str">
        <f>IFERROR(__xludf.DUMMYFUNCTION("""COMPUTED_VALUE"""),"VALID")</f>
        <v>VALID</v>
      </c>
      <c r="V2050" s="1">
        <f>IFERROR(__xludf.DUMMYFUNCTION("""COMPUTED_VALUE"""),646.0)</f>
        <v>646</v>
      </c>
      <c r="W2050" s="1">
        <f>IFERROR(__xludf.DUMMYFUNCTION("""COMPUTED_VALUE"""),1078.0)</f>
        <v>1078</v>
      </c>
      <c r="X2050" s="1">
        <f>IFERROR(__xludf.DUMMYFUNCTION("""COMPUTED_VALUE"""),858.0)</f>
        <v>858</v>
      </c>
      <c r="Y2050" s="2"/>
      <c r="Z2050" s="2"/>
    </row>
    <row r="2051">
      <c r="A2051" s="1">
        <f>IFERROR(__xludf.DUMMYFUNCTION("""COMPUTED_VALUE"""),2050.0)</f>
        <v>2050</v>
      </c>
      <c r="B2051" s="1">
        <f>IFERROR(__xludf.DUMMYFUNCTION("""COMPUTED_VALUE"""),5647.0)</f>
        <v>5647</v>
      </c>
      <c r="C2051" s="2" t="str">
        <f>IFERROR(__xludf.DUMMYFUNCTION("""COMPUTED_VALUE"""),"DAP")</f>
        <v>DAP</v>
      </c>
      <c r="D2051" s="2" t="str">
        <f>IFERROR(__xludf.DUMMYFUNCTION("""COMPUTED_VALUE"""),"5KM OVERALL M")</f>
        <v>5KM OVERALL M</v>
      </c>
      <c r="E2051" s="1">
        <f>IFERROR(__xludf.DUMMYFUNCTION("""COMPUTED_VALUE"""),2.0)</f>
        <v>2</v>
      </c>
      <c r="F2051" s="1" t="str">
        <f>IFERROR(__xludf.DUMMYFUNCTION("""COMPUTED_VALUE"""),"Male")</f>
        <v>Male</v>
      </c>
      <c r="G2051" s="4" t="b">
        <f>IFERROR(__xludf.DUMMYFUNCTION("""COMPUTED_VALUE"""),TRUE)</f>
        <v>1</v>
      </c>
      <c r="H2051" s="4" t="b">
        <f>IFERROR(__xludf.DUMMYFUNCTION("""COMPUTED_VALUE"""),TRUE)</f>
        <v>1</v>
      </c>
      <c r="I2051" s="4">
        <f>IFERROR(__xludf.DUMMYFUNCTION("""COMPUTED_VALUE"""),0.2549440625)</f>
        <v>0.2549440625</v>
      </c>
      <c r="J2051" s="4">
        <f>IFERROR(__xludf.DUMMYFUNCTION("""COMPUTED_VALUE"""),45949.27407876744)</f>
        <v>45949.27408</v>
      </c>
      <c r="K2051" s="4" t="str">
        <f>IFERROR(__xludf.DUMMYFUNCTION("""COMPUTED_VALUE"""),"")</f>
        <v/>
      </c>
      <c r="L2051" s="4">
        <f>IFERROR(__xludf.DUMMYFUNCTION("""COMPUTED_VALUE"""),45949.28745991671)</f>
        <v>45949.28746</v>
      </c>
      <c r="M2051" s="1" t="str">
        <f>IFERROR(__xludf.DUMMYFUNCTION("""COMPUTED_VALUE"""),"RFID")</f>
        <v>RFID</v>
      </c>
      <c r="N2051" s="5">
        <f>IFERROR(__xludf.DUMMYFUNCTION("""COMPUTED_VALUE"""),0.00765388425925926)</f>
        <v>0.007653884259</v>
      </c>
      <c r="O2051" s="5" t="str">
        <f>IFERROR(__xludf.DUMMYFUNCTION("""COMPUTED_VALUE"""),"")</f>
        <v/>
      </c>
      <c r="P2051" s="5" t="str">
        <f>IFERROR(__xludf.DUMMYFUNCTION("""COMPUTED_VALUE"""),"")</f>
        <v/>
      </c>
      <c r="Q2051" s="5">
        <f>IFERROR(__xludf.DUMMYFUNCTION("""COMPUTED_VALUE"""),0.006503171296296297)</f>
        <v>0.006503171296</v>
      </c>
      <c r="R2051" s="4">
        <f>IFERROR(__xludf.DUMMYFUNCTION("""COMPUTED_VALUE"""),45949.03251585421)</f>
        <v>45949.03252</v>
      </c>
      <c r="S2051" s="1" t="b">
        <f>IFERROR(__xludf.DUMMYFUNCTION("""COMPUTED_VALUE"""),TRUE)</f>
        <v>1</v>
      </c>
      <c r="T2051" s="1" t="b">
        <f>IFERROR(__xludf.DUMMYFUNCTION("""COMPUTED_VALUE"""),FALSE)</f>
        <v>0</v>
      </c>
      <c r="U2051" s="1" t="str">
        <f>IFERROR(__xludf.DUMMYFUNCTION("""COMPUTED_VALUE"""),"VALID")</f>
        <v>VALID</v>
      </c>
      <c r="V2051" s="1">
        <f>IFERROR(__xludf.DUMMYFUNCTION("""COMPUTED_VALUE"""),473.0)</f>
        <v>473</v>
      </c>
      <c r="W2051" s="1">
        <f>IFERROR(__xludf.DUMMYFUNCTION("""COMPUTED_VALUE"""),735.0)</f>
        <v>735</v>
      </c>
      <c r="X2051" s="1">
        <f>IFERROR(__xludf.DUMMYFUNCTION("""COMPUTED_VALUE"""),613.0)</f>
        <v>613</v>
      </c>
      <c r="Y2051" s="2"/>
      <c r="Z2051" s="2"/>
    </row>
    <row r="2052">
      <c r="A2052" s="1">
        <f>IFERROR(__xludf.DUMMYFUNCTION("""COMPUTED_VALUE"""),2051.0)</f>
        <v>2051</v>
      </c>
      <c r="B2052" s="1">
        <f>IFERROR(__xludf.DUMMYFUNCTION("""COMPUTED_VALUE"""),5651.0)</f>
        <v>5651</v>
      </c>
      <c r="C2052" s="2" t="str">
        <f>IFERROR(__xludf.DUMMYFUNCTION("""COMPUTED_VALUE"""),"Purnadi")</f>
        <v>Purnadi</v>
      </c>
      <c r="D2052" s="2" t="str">
        <f>IFERROR(__xludf.DUMMYFUNCTION("""COMPUTED_VALUE"""),"5KM OVERALL M")</f>
        <v>5KM OVERALL M</v>
      </c>
      <c r="E2052" s="1">
        <f>IFERROR(__xludf.DUMMYFUNCTION("""COMPUTED_VALUE"""),2.0)</f>
        <v>2</v>
      </c>
      <c r="F2052" s="1" t="str">
        <f>IFERROR(__xludf.DUMMYFUNCTION("""COMPUTED_VALUE"""),"Male")</f>
        <v>Male</v>
      </c>
      <c r="G2052" s="4" t="b">
        <f>IFERROR(__xludf.DUMMYFUNCTION("""COMPUTED_VALUE"""),TRUE)</f>
        <v>1</v>
      </c>
      <c r="H2052" s="4" t="b">
        <f>IFERROR(__xludf.DUMMYFUNCTION("""COMPUTED_VALUE"""),FALSE)</f>
        <v>0</v>
      </c>
      <c r="I2052" s="4">
        <f>IFERROR(__xludf.DUMMYFUNCTION("""COMPUTED_VALUE"""),0.2549440625)</f>
        <v>0.2549440625</v>
      </c>
      <c r="J2052" s="4">
        <f>IFERROR(__xludf.DUMMYFUNCTION("""COMPUTED_VALUE"""),45949.27245424106)</f>
        <v>45949.27245</v>
      </c>
      <c r="K2052" s="4" t="str">
        <f>IFERROR(__xludf.DUMMYFUNCTION("""COMPUTED_VALUE"""),"")</f>
        <v/>
      </c>
      <c r="L2052" s="4">
        <f>IFERROR(__xludf.DUMMYFUNCTION("""COMPUTED_VALUE"""),45949.28674115145)</f>
        <v>45949.28674</v>
      </c>
      <c r="M2052" s="1" t="str">
        <f>IFERROR(__xludf.DUMMYFUNCTION("""COMPUTED_VALUE"""),"RFID")</f>
        <v>RFID</v>
      </c>
      <c r="N2052" s="5">
        <f>IFERROR(__xludf.DUMMYFUNCTION("""COMPUTED_VALUE"""),0.007004069444444444)</f>
        <v>0.007004069444</v>
      </c>
      <c r="O2052" s="5" t="str">
        <f>IFERROR(__xludf.DUMMYFUNCTION("""COMPUTED_VALUE"""),"")</f>
        <v/>
      </c>
      <c r="P2052" s="5" t="str">
        <f>IFERROR(__xludf.DUMMYFUNCTION("""COMPUTED_VALUE"""),"")</f>
        <v/>
      </c>
      <c r="Q2052" s="5">
        <f>IFERROR(__xludf.DUMMYFUNCTION("""COMPUTED_VALUE"""),0.006359416666666668)</f>
        <v>0.006359416667</v>
      </c>
      <c r="R2052" s="4">
        <f>IFERROR(__xludf.DUMMYFUNCTION("""COMPUTED_VALUE"""),45949.03179708895)</f>
        <v>45949.0318</v>
      </c>
      <c r="S2052" s="1" t="b">
        <f>IFERROR(__xludf.DUMMYFUNCTION("""COMPUTED_VALUE"""),TRUE)</f>
        <v>1</v>
      </c>
      <c r="T2052" s="1" t="b">
        <f>IFERROR(__xludf.DUMMYFUNCTION("""COMPUTED_VALUE"""),FALSE)</f>
        <v>0</v>
      </c>
      <c r="U2052" s="1" t="str">
        <f>IFERROR(__xludf.DUMMYFUNCTION("""COMPUTED_VALUE"""),"VALID")</f>
        <v>VALID</v>
      </c>
      <c r="V2052" s="1">
        <f>IFERROR(__xludf.DUMMYFUNCTION("""COMPUTED_VALUE"""),447.0)</f>
        <v>447</v>
      </c>
      <c r="W2052" s="1">
        <f>IFERROR(__xludf.DUMMYFUNCTION("""COMPUTED_VALUE"""),688.0)</f>
        <v>688</v>
      </c>
      <c r="X2052" s="1">
        <f>IFERROR(__xludf.DUMMYFUNCTION("""COMPUTED_VALUE"""),575.0)</f>
        <v>575</v>
      </c>
      <c r="Y2052" s="2"/>
      <c r="Z2052" s="2"/>
    </row>
    <row r="2053">
      <c r="A2053" s="1">
        <f>IFERROR(__xludf.DUMMYFUNCTION("""COMPUTED_VALUE"""),2052.0)</f>
        <v>2052</v>
      </c>
      <c r="B2053" s="1">
        <f>IFERROR(__xludf.DUMMYFUNCTION("""COMPUTED_VALUE"""),5652.0)</f>
        <v>5652</v>
      </c>
      <c r="C2053" s="2" t="str">
        <f>IFERROR(__xludf.DUMMYFUNCTION("""COMPUTED_VALUE"""),"Afrias E")</f>
        <v>Afrias E</v>
      </c>
      <c r="D2053" s="2" t="str">
        <f>IFERROR(__xludf.DUMMYFUNCTION("""COMPUTED_VALUE"""),"5KM OVERALL M")</f>
        <v>5KM OVERALL M</v>
      </c>
      <c r="E2053" s="1">
        <f>IFERROR(__xludf.DUMMYFUNCTION("""COMPUTED_VALUE"""),2.0)</f>
        <v>2</v>
      </c>
      <c r="F2053" s="1" t="str">
        <f>IFERROR(__xludf.DUMMYFUNCTION("""COMPUTED_VALUE"""),"Male")</f>
        <v>Male</v>
      </c>
      <c r="G2053" s="4" t="b">
        <f>IFERROR(__xludf.DUMMYFUNCTION("""COMPUTED_VALUE"""),TRUE)</f>
        <v>1</v>
      </c>
      <c r="H2053" s="4" t="b">
        <f>IFERROR(__xludf.DUMMYFUNCTION("""COMPUTED_VALUE"""),FALSE)</f>
        <v>0</v>
      </c>
      <c r="I2053" s="4">
        <f>IFERROR(__xludf.DUMMYFUNCTION("""COMPUTED_VALUE"""),0.2549440625)</f>
        <v>0.2549440625</v>
      </c>
      <c r="J2053" s="4">
        <f>IFERROR(__xludf.DUMMYFUNCTION("""COMPUTED_VALUE"""),45949.28287739495)</f>
        <v>45949.28288</v>
      </c>
      <c r="K2053" s="4" t="str">
        <f>IFERROR(__xludf.DUMMYFUNCTION("""COMPUTED_VALUE"""),"")</f>
        <v/>
      </c>
      <c r="L2053" s="4">
        <f>IFERROR(__xludf.DUMMYFUNCTION("""COMPUTED_VALUE"""),45949.30300925926)</f>
        <v>45949.30301</v>
      </c>
      <c r="M2053" s="1" t="str">
        <f>IFERROR(__xludf.DUMMYFUNCTION("""COMPUTED_VALUE"""),"RFID")</f>
        <v>RFID</v>
      </c>
      <c r="N2053" s="5">
        <f>IFERROR(__xludf.DUMMYFUNCTION("""COMPUTED_VALUE"""),0.011173333333333334)</f>
        <v>0.01117333333</v>
      </c>
      <c r="O2053" s="5" t="str">
        <f>IFERROR(__xludf.DUMMYFUNCTION("""COMPUTED_VALUE"""),"")</f>
        <v/>
      </c>
      <c r="P2053" s="5" t="str">
        <f>IFERROR(__xludf.DUMMYFUNCTION("""COMPUTED_VALUE"""),"")</f>
        <v/>
      </c>
      <c r="Q2053" s="5">
        <f>IFERROR(__xludf.DUMMYFUNCTION("""COMPUTED_VALUE"""),0.009613039351851852)</f>
        <v>0.009613039352</v>
      </c>
      <c r="R2053" s="4">
        <f>IFERROR(__xludf.DUMMYFUNCTION("""COMPUTED_VALUE"""),45949.04806519676)</f>
        <v>45949.04807</v>
      </c>
      <c r="S2053" s="1" t="b">
        <f>IFERROR(__xludf.DUMMYFUNCTION("""COMPUTED_VALUE"""),TRUE)</f>
        <v>1</v>
      </c>
      <c r="T2053" s="1" t="b">
        <f>IFERROR(__xludf.DUMMYFUNCTION("""COMPUTED_VALUE"""),FALSE)</f>
        <v>0</v>
      </c>
      <c r="U2053" s="1" t="str">
        <f>IFERROR(__xludf.DUMMYFUNCTION("""COMPUTED_VALUE"""),"VALID")</f>
        <v>VALID</v>
      </c>
      <c r="V2053" s="1">
        <f>IFERROR(__xludf.DUMMYFUNCTION("""COMPUTED_VALUE"""),833.0)</f>
        <v>833</v>
      </c>
      <c r="W2053" s="1">
        <f>IFERROR(__xludf.DUMMYFUNCTION("""COMPUTED_VALUE"""),1552.0)</f>
        <v>1552</v>
      </c>
      <c r="X2053" s="1">
        <f>IFERROR(__xludf.DUMMYFUNCTION("""COMPUTED_VALUE"""),1313.0)</f>
        <v>1313</v>
      </c>
      <c r="Y2053" s="2"/>
      <c r="Z2053" s="2"/>
    </row>
    <row r="2054">
      <c r="A2054" s="1">
        <f>IFERROR(__xludf.DUMMYFUNCTION("""COMPUTED_VALUE"""),2053.0)</f>
        <v>2053</v>
      </c>
      <c r="B2054" s="1">
        <f>IFERROR(__xludf.DUMMYFUNCTION("""COMPUTED_VALUE"""),5653.0)</f>
        <v>5653</v>
      </c>
      <c r="C2054" s="2" t="str">
        <f>IFERROR(__xludf.DUMMYFUNCTION("""COMPUTED_VALUE"""),"R1ZQAN114")</f>
        <v>R1ZQAN114</v>
      </c>
      <c r="D2054" s="2" t="str">
        <f>IFERROR(__xludf.DUMMYFUNCTION("""COMPUTED_VALUE"""),"5KM OVERALL M")</f>
        <v>5KM OVERALL M</v>
      </c>
      <c r="E2054" s="1">
        <f>IFERROR(__xludf.DUMMYFUNCTION("""COMPUTED_VALUE"""),2.0)</f>
        <v>2</v>
      </c>
      <c r="F2054" s="1" t="str">
        <f>IFERROR(__xludf.DUMMYFUNCTION("""COMPUTED_VALUE"""),"Male")</f>
        <v>Male</v>
      </c>
      <c r="G2054" s="4" t="b">
        <f>IFERROR(__xludf.DUMMYFUNCTION("""COMPUTED_VALUE"""),TRUE)</f>
        <v>1</v>
      </c>
      <c r="H2054" s="4" t="b">
        <f>IFERROR(__xludf.DUMMYFUNCTION("""COMPUTED_VALUE"""),TRUE)</f>
        <v>1</v>
      </c>
      <c r="I2054" s="4">
        <f>IFERROR(__xludf.DUMMYFUNCTION("""COMPUTED_VALUE"""),0.2549440625)</f>
        <v>0.2549440625</v>
      </c>
      <c r="J2054" s="4">
        <f>IFERROR(__xludf.DUMMYFUNCTION("""COMPUTED_VALUE"""),45949.27115525318)</f>
        <v>45949.27116</v>
      </c>
      <c r="K2054" s="4" t="str">
        <f>IFERROR(__xludf.DUMMYFUNCTION("""COMPUTED_VALUE"""),"")</f>
        <v/>
      </c>
      <c r="L2054" s="4">
        <f>IFERROR(__xludf.DUMMYFUNCTION("""COMPUTED_VALUE"""),45949.28333253876)</f>
        <v>45949.28333</v>
      </c>
      <c r="M2054" s="1" t="str">
        <f>IFERROR(__xludf.DUMMYFUNCTION("""COMPUTED_VALUE"""),"RFID")</f>
        <v>RFID</v>
      </c>
      <c r="N2054" s="5">
        <f>IFERROR(__xludf.DUMMYFUNCTION("""COMPUTED_VALUE"""),0.0064844768518518515)</f>
        <v>0.006484476852</v>
      </c>
      <c r="O2054" s="5" t="str">
        <f>IFERROR(__xludf.DUMMYFUNCTION("""COMPUTED_VALUE"""),"")</f>
        <v/>
      </c>
      <c r="P2054" s="5" t="str">
        <f>IFERROR(__xludf.DUMMYFUNCTION("""COMPUTED_VALUE"""),"")</f>
        <v/>
      </c>
      <c r="Q2054" s="5">
        <f>IFERROR(__xludf.DUMMYFUNCTION("""COMPUTED_VALUE"""),0.005677694444444445)</f>
        <v>0.005677694444</v>
      </c>
      <c r="R2054" s="4">
        <f>IFERROR(__xludf.DUMMYFUNCTION("""COMPUTED_VALUE"""),45949.02838847626)</f>
        <v>45949.02839</v>
      </c>
      <c r="S2054" s="1" t="b">
        <f>IFERROR(__xludf.DUMMYFUNCTION("""COMPUTED_VALUE"""),TRUE)</f>
        <v>1</v>
      </c>
      <c r="T2054" s="1" t="b">
        <f>IFERROR(__xludf.DUMMYFUNCTION("""COMPUTED_VALUE"""),FALSE)</f>
        <v>0</v>
      </c>
      <c r="U2054" s="1" t="str">
        <f>IFERROR(__xludf.DUMMYFUNCTION("""COMPUTED_VALUE"""),"VALID")</f>
        <v>VALID</v>
      </c>
      <c r="V2054" s="1">
        <f>IFERROR(__xludf.DUMMYFUNCTION("""COMPUTED_VALUE"""),304.0)</f>
        <v>304</v>
      </c>
      <c r="W2054" s="1">
        <f>IFERROR(__xludf.DUMMYFUNCTION("""COMPUTED_VALUE"""),455.0)</f>
        <v>455</v>
      </c>
      <c r="X2054" s="1">
        <f>IFERROR(__xludf.DUMMYFUNCTION("""COMPUTED_VALUE"""),393.0)</f>
        <v>393</v>
      </c>
      <c r="Y2054" s="2"/>
      <c r="Z2054" s="2"/>
    </row>
    <row r="2055">
      <c r="A2055" s="1">
        <f>IFERROR(__xludf.DUMMYFUNCTION("""COMPUTED_VALUE"""),2054.0)</f>
        <v>2054</v>
      </c>
      <c r="B2055" s="1">
        <f>IFERROR(__xludf.DUMMYFUNCTION("""COMPUTED_VALUE"""),5655.0)</f>
        <v>5655</v>
      </c>
      <c r="C2055" s="2" t="str">
        <f>IFERROR(__xludf.DUMMYFUNCTION("""COMPUTED_VALUE"""),"nnan")</f>
        <v>nnan</v>
      </c>
      <c r="D2055" s="2" t="str">
        <f>IFERROR(__xludf.DUMMYFUNCTION("""COMPUTED_VALUE"""),"5KM OVERALL M")</f>
        <v>5KM OVERALL M</v>
      </c>
      <c r="E2055" s="1">
        <f>IFERROR(__xludf.DUMMYFUNCTION("""COMPUTED_VALUE"""),2.0)</f>
        <v>2</v>
      </c>
      <c r="F2055" s="1" t="str">
        <f>IFERROR(__xludf.DUMMYFUNCTION("""COMPUTED_VALUE"""),"Male")</f>
        <v>Male</v>
      </c>
      <c r="G2055" s="4" t="b">
        <f>IFERROR(__xludf.DUMMYFUNCTION("""COMPUTED_VALUE"""),TRUE)</f>
        <v>1</v>
      </c>
      <c r="H2055" s="4" t="b">
        <f>IFERROR(__xludf.DUMMYFUNCTION("""COMPUTED_VALUE"""),TRUE)</f>
        <v>1</v>
      </c>
      <c r="I2055" s="4">
        <f>IFERROR(__xludf.DUMMYFUNCTION("""COMPUTED_VALUE"""),0.2549440625)</f>
        <v>0.2549440625</v>
      </c>
      <c r="J2055" s="4">
        <f>IFERROR(__xludf.DUMMYFUNCTION("""COMPUTED_VALUE"""),45949.275089219605)</f>
        <v>45949.27509</v>
      </c>
      <c r="K2055" s="4" t="str">
        <f>IFERROR(__xludf.DUMMYFUNCTION("""COMPUTED_VALUE"""),"")</f>
        <v/>
      </c>
      <c r="L2055" s="4">
        <f>IFERROR(__xludf.DUMMYFUNCTION("""COMPUTED_VALUE"""),45949.29042516889)</f>
        <v>45949.29043</v>
      </c>
      <c r="M2055" s="1" t="str">
        <f>IFERROR(__xludf.DUMMYFUNCTION("""COMPUTED_VALUE"""),"RFID")</f>
        <v>RFID</v>
      </c>
      <c r="N2055" s="5">
        <f>IFERROR(__xludf.DUMMYFUNCTION("""COMPUTED_VALUE"""),0.008058064814814813)</f>
        <v>0.008058064815</v>
      </c>
      <c r="O2055" s="5" t="str">
        <f>IFERROR(__xludf.DUMMYFUNCTION("""COMPUTED_VALUE"""),"")</f>
        <v/>
      </c>
      <c r="P2055" s="5" t="str">
        <f>IFERROR(__xludf.DUMMYFUNCTION("""COMPUTED_VALUE"""),"")</f>
        <v/>
      </c>
      <c r="Q2055" s="5">
        <f>IFERROR(__xludf.DUMMYFUNCTION("""COMPUTED_VALUE"""),0.007096222222222223)</f>
        <v>0.007096222222</v>
      </c>
      <c r="R2055" s="4">
        <f>IFERROR(__xludf.DUMMYFUNCTION("""COMPUTED_VALUE"""),45949.03548110639)</f>
        <v>45949.03548</v>
      </c>
      <c r="S2055" s="1" t="b">
        <f>IFERROR(__xludf.DUMMYFUNCTION("""COMPUTED_VALUE"""),TRUE)</f>
        <v>1</v>
      </c>
      <c r="T2055" s="1" t="b">
        <f>IFERROR(__xludf.DUMMYFUNCTION("""COMPUTED_VALUE"""),FALSE)</f>
        <v>0</v>
      </c>
      <c r="U2055" s="1" t="str">
        <f>IFERROR(__xludf.DUMMYFUNCTION("""COMPUTED_VALUE"""),"VALID")</f>
        <v>VALID</v>
      </c>
      <c r="V2055" s="1">
        <f>IFERROR(__xludf.DUMMYFUNCTION("""COMPUTED_VALUE"""),573.0)</f>
        <v>573</v>
      </c>
      <c r="W2055" s="1">
        <f>IFERROR(__xludf.DUMMYFUNCTION("""COMPUTED_VALUE"""),917.0)</f>
        <v>917</v>
      </c>
      <c r="X2055" s="1">
        <f>IFERROR(__xludf.DUMMYFUNCTION("""COMPUTED_VALUE"""),748.0)</f>
        <v>748</v>
      </c>
      <c r="Y2055" s="2"/>
      <c r="Z2055" s="2"/>
    </row>
    <row r="2056">
      <c r="A2056" s="1">
        <f>IFERROR(__xludf.DUMMYFUNCTION("""COMPUTED_VALUE"""),2055.0)</f>
        <v>2055</v>
      </c>
      <c r="B2056" s="1">
        <f>IFERROR(__xludf.DUMMYFUNCTION("""COMPUTED_VALUE"""),5658.0)</f>
        <v>5658</v>
      </c>
      <c r="C2056" s="2" t="str">
        <f>IFERROR(__xludf.DUMMYFUNCTION("""COMPUTED_VALUE"""),"Ramadhan")</f>
        <v>Ramadhan</v>
      </c>
      <c r="D2056" s="2" t="str">
        <f>IFERROR(__xludf.DUMMYFUNCTION("""COMPUTED_VALUE"""),"5KM OVERALL M")</f>
        <v>5KM OVERALL M</v>
      </c>
      <c r="E2056" s="1">
        <f>IFERROR(__xludf.DUMMYFUNCTION("""COMPUTED_VALUE"""),2.0)</f>
        <v>2</v>
      </c>
      <c r="F2056" s="1" t="str">
        <f>IFERROR(__xludf.DUMMYFUNCTION("""COMPUTED_VALUE"""),"Male")</f>
        <v>Male</v>
      </c>
      <c r="G2056" s="4" t="b">
        <f>IFERROR(__xludf.DUMMYFUNCTION("""COMPUTED_VALUE"""),TRUE)</f>
        <v>1</v>
      </c>
      <c r="H2056" s="4" t="b">
        <f>IFERROR(__xludf.DUMMYFUNCTION("""COMPUTED_VALUE"""),TRUE)</f>
        <v>1</v>
      </c>
      <c r="I2056" s="4">
        <f>IFERROR(__xludf.DUMMYFUNCTION("""COMPUTED_VALUE"""),0.2549440625)</f>
        <v>0.2549440625</v>
      </c>
      <c r="J2056" s="4">
        <f>IFERROR(__xludf.DUMMYFUNCTION("""COMPUTED_VALUE"""),45949.270880866046)</f>
        <v>45949.27088</v>
      </c>
      <c r="K2056" s="4" t="str">
        <f>IFERROR(__xludf.DUMMYFUNCTION("""COMPUTED_VALUE"""),"")</f>
        <v/>
      </c>
      <c r="L2056" s="4">
        <f>IFERROR(__xludf.DUMMYFUNCTION("""COMPUTED_VALUE"""),45949.284228194236)</f>
        <v>45949.28423</v>
      </c>
      <c r="M2056" s="1" t="str">
        <f>IFERROR(__xludf.DUMMYFUNCTION("""COMPUTED_VALUE"""),"RFID")</f>
        <v>RFID</v>
      </c>
      <c r="N2056" s="5">
        <f>IFERROR(__xludf.DUMMYFUNCTION("""COMPUTED_VALUE"""),0.006374722222222222)</f>
        <v>0.006374722222</v>
      </c>
      <c r="O2056" s="5" t="str">
        <f>IFERROR(__xludf.DUMMYFUNCTION("""COMPUTED_VALUE"""),"")</f>
        <v/>
      </c>
      <c r="P2056" s="5" t="str">
        <f>IFERROR(__xludf.DUMMYFUNCTION("""COMPUTED_VALUE"""),"")</f>
        <v/>
      </c>
      <c r="Q2056" s="5">
        <f>IFERROR(__xludf.DUMMYFUNCTION("""COMPUTED_VALUE"""),0.005856826388888889)</f>
        <v>0.005856826389</v>
      </c>
      <c r="R2056" s="4">
        <f>IFERROR(__xludf.DUMMYFUNCTION("""COMPUTED_VALUE"""),45949.029284131735)</f>
        <v>45949.02928</v>
      </c>
      <c r="S2056" s="1" t="b">
        <f>IFERROR(__xludf.DUMMYFUNCTION("""COMPUTED_VALUE"""),TRUE)</f>
        <v>1</v>
      </c>
      <c r="T2056" s="1" t="b">
        <f>IFERROR(__xludf.DUMMYFUNCTION("""COMPUTED_VALUE"""),FALSE)</f>
        <v>0</v>
      </c>
      <c r="U2056" s="1" t="str">
        <f>IFERROR(__xludf.DUMMYFUNCTION("""COMPUTED_VALUE"""),"VALID")</f>
        <v>VALID</v>
      </c>
      <c r="V2056" s="1">
        <f>IFERROR(__xludf.DUMMYFUNCTION("""COMPUTED_VALUE"""),348.0)</f>
        <v>348</v>
      </c>
      <c r="W2056" s="1">
        <f>IFERROR(__xludf.DUMMYFUNCTION("""COMPUTED_VALUE"""),516.0)</f>
        <v>516</v>
      </c>
      <c r="X2056" s="1">
        <f>IFERROR(__xludf.DUMMYFUNCTION("""COMPUTED_VALUE"""),448.0)</f>
        <v>448</v>
      </c>
      <c r="Y2056" s="2"/>
      <c r="Z2056" s="2"/>
    </row>
    <row r="2057">
      <c r="A2057" s="1">
        <f>IFERROR(__xludf.DUMMYFUNCTION("""COMPUTED_VALUE"""),2056.0)</f>
        <v>2056</v>
      </c>
      <c r="B2057" s="1">
        <f>IFERROR(__xludf.DUMMYFUNCTION("""COMPUTED_VALUE"""),5659.0)</f>
        <v>5659</v>
      </c>
      <c r="C2057" s="2" t="str">
        <f>IFERROR(__xludf.DUMMYFUNCTION("""COMPUTED_VALUE"""),"MIKKi")</f>
        <v>MIKKi</v>
      </c>
      <c r="D2057" s="2" t="str">
        <f>IFERROR(__xludf.DUMMYFUNCTION("""COMPUTED_VALUE"""),"5KM OVERALL M")</f>
        <v>5KM OVERALL M</v>
      </c>
      <c r="E2057" s="1">
        <f>IFERROR(__xludf.DUMMYFUNCTION("""COMPUTED_VALUE"""),2.0)</f>
        <v>2</v>
      </c>
      <c r="F2057" s="1" t="str">
        <f>IFERROR(__xludf.DUMMYFUNCTION("""COMPUTED_VALUE"""),"Male")</f>
        <v>Male</v>
      </c>
      <c r="G2057" s="4" t="b">
        <f>IFERROR(__xludf.DUMMYFUNCTION("""COMPUTED_VALUE"""),TRUE)</f>
        <v>1</v>
      </c>
      <c r="H2057" s="4" t="b">
        <f>IFERROR(__xludf.DUMMYFUNCTION("""COMPUTED_VALUE"""),TRUE)</f>
        <v>1</v>
      </c>
      <c r="I2057" s="4">
        <f>IFERROR(__xludf.DUMMYFUNCTION("""COMPUTED_VALUE"""),0.2549440625)</f>
        <v>0.2549440625</v>
      </c>
      <c r="J2057" s="4">
        <f>IFERROR(__xludf.DUMMYFUNCTION("""COMPUTED_VALUE"""),45949.275443369246)</f>
        <v>45949.27544</v>
      </c>
      <c r="K2057" s="4" t="str">
        <f>IFERROR(__xludf.DUMMYFUNCTION("""COMPUTED_VALUE"""),"")</f>
        <v/>
      </c>
      <c r="L2057" s="4">
        <f>IFERROR(__xludf.DUMMYFUNCTION("""COMPUTED_VALUE"""),45949.291088372156)</f>
        <v>45949.29109</v>
      </c>
      <c r="M2057" s="1" t="str">
        <f>IFERROR(__xludf.DUMMYFUNCTION("""COMPUTED_VALUE"""),"RFID")</f>
        <v>RFID</v>
      </c>
      <c r="N2057" s="5">
        <f>IFERROR(__xludf.DUMMYFUNCTION("""COMPUTED_VALUE"""),0.008199722222222223)</f>
        <v>0.008199722222</v>
      </c>
      <c r="O2057" s="5" t="str">
        <f>IFERROR(__xludf.DUMMYFUNCTION("""COMPUTED_VALUE"""),"")</f>
        <v/>
      </c>
      <c r="P2057" s="5" t="str">
        <f>IFERROR(__xludf.DUMMYFUNCTION("""COMPUTED_VALUE"""),"")</f>
        <v/>
      </c>
      <c r="Q2057" s="5">
        <f>IFERROR(__xludf.DUMMYFUNCTION("""COMPUTED_VALUE"""),0.007228861111111111)</f>
        <v>0.007228861111</v>
      </c>
      <c r="R2057" s="4">
        <f>IFERROR(__xludf.DUMMYFUNCTION("""COMPUTED_VALUE"""),45949.036144309655)</f>
        <v>45949.03614</v>
      </c>
      <c r="S2057" s="1" t="b">
        <f>IFERROR(__xludf.DUMMYFUNCTION("""COMPUTED_VALUE"""),TRUE)</f>
        <v>1</v>
      </c>
      <c r="T2057" s="1" t="b">
        <f>IFERROR(__xludf.DUMMYFUNCTION("""COMPUTED_VALUE"""),FALSE)</f>
        <v>0</v>
      </c>
      <c r="U2057" s="1" t="str">
        <f>IFERROR(__xludf.DUMMYFUNCTION("""COMPUTED_VALUE"""),"VALID")</f>
        <v>VALID</v>
      </c>
      <c r="V2057" s="1">
        <f>IFERROR(__xludf.DUMMYFUNCTION("""COMPUTED_VALUE"""),598.0)</f>
        <v>598</v>
      </c>
      <c r="W2057" s="1">
        <f>IFERROR(__xludf.DUMMYFUNCTION("""COMPUTED_VALUE"""),967.0)</f>
        <v>967</v>
      </c>
      <c r="X2057" s="1">
        <f>IFERROR(__xludf.DUMMYFUNCTION("""COMPUTED_VALUE"""),784.0)</f>
        <v>784</v>
      </c>
      <c r="Y2057" s="2"/>
      <c r="Z2057" s="2"/>
    </row>
    <row r="2058">
      <c r="A2058" s="1">
        <f>IFERROR(__xludf.DUMMYFUNCTION("""COMPUTED_VALUE"""),2057.0)</f>
        <v>2057</v>
      </c>
      <c r="B2058" s="1">
        <f>IFERROR(__xludf.DUMMYFUNCTION("""COMPUTED_VALUE"""),5660.0)</f>
        <v>5660</v>
      </c>
      <c r="C2058" s="2" t="str">
        <f>IFERROR(__xludf.DUMMYFUNCTION("""COMPUTED_VALUE"""),"Icalemon")</f>
        <v>Icalemon</v>
      </c>
      <c r="D2058" s="2" t="str">
        <f>IFERROR(__xludf.DUMMYFUNCTION("""COMPUTED_VALUE"""),"5KM OVERALL M")</f>
        <v>5KM OVERALL M</v>
      </c>
      <c r="E2058" s="1">
        <f>IFERROR(__xludf.DUMMYFUNCTION("""COMPUTED_VALUE"""),2.0)</f>
        <v>2</v>
      </c>
      <c r="F2058" s="1" t="str">
        <f>IFERROR(__xludf.DUMMYFUNCTION("""COMPUTED_VALUE"""),"Male")</f>
        <v>Male</v>
      </c>
      <c r="G2058" s="4" t="b">
        <f>IFERROR(__xludf.DUMMYFUNCTION("""COMPUTED_VALUE"""),TRUE)</f>
        <v>1</v>
      </c>
      <c r="H2058" s="4" t="b">
        <f>IFERROR(__xludf.DUMMYFUNCTION("""COMPUTED_VALUE"""),TRUE)</f>
        <v>1</v>
      </c>
      <c r="I2058" s="4">
        <f>IFERROR(__xludf.DUMMYFUNCTION("""COMPUTED_VALUE"""),0.2549440625)</f>
        <v>0.2549440625</v>
      </c>
      <c r="J2058" s="4">
        <f>IFERROR(__xludf.DUMMYFUNCTION("""COMPUTED_VALUE"""),45949.26912739356)</f>
        <v>45949.26913</v>
      </c>
      <c r="K2058" s="4" t="str">
        <f>IFERROR(__xludf.DUMMYFUNCTION("""COMPUTED_VALUE"""),"")</f>
        <v/>
      </c>
      <c r="L2058" s="4">
        <f>IFERROR(__xludf.DUMMYFUNCTION("""COMPUTED_VALUE"""),45949.27849131688)</f>
        <v>45949.27849</v>
      </c>
      <c r="M2058" s="1" t="str">
        <f>IFERROR(__xludf.DUMMYFUNCTION("""COMPUTED_VALUE"""),"RFID")</f>
        <v>RFID</v>
      </c>
      <c r="N2058" s="5">
        <f>IFERROR(__xludf.DUMMYFUNCTION("""COMPUTED_VALUE"""),0.005673333333333334)</f>
        <v>0.005673333333</v>
      </c>
      <c r="O2058" s="5" t="str">
        <f>IFERROR(__xludf.DUMMYFUNCTION("""COMPUTED_VALUE"""),"")</f>
        <v/>
      </c>
      <c r="P2058" s="5" t="str">
        <f>IFERROR(__xludf.DUMMYFUNCTION("""COMPUTED_VALUE"""),"")</f>
        <v/>
      </c>
      <c r="Q2058" s="5">
        <f>IFERROR(__xludf.DUMMYFUNCTION("""COMPUTED_VALUE"""),0.004709451388888889)</f>
        <v>0.004709451389</v>
      </c>
      <c r="R2058" s="4">
        <f>IFERROR(__xludf.DUMMYFUNCTION("""COMPUTED_VALUE"""),45949.02354725438)</f>
        <v>45949.02355</v>
      </c>
      <c r="S2058" s="1" t="b">
        <f>IFERROR(__xludf.DUMMYFUNCTION("""COMPUTED_VALUE"""),TRUE)</f>
        <v>1</v>
      </c>
      <c r="T2058" s="1" t="b">
        <f>IFERROR(__xludf.DUMMYFUNCTION("""COMPUTED_VALUE"""),FALSE)</f>
        <v>0</v>
      </c>
      <c r="U2058" s="1" t="str">
        <f>IFERROR(__xludf.DUMMYFUNCTION("""COMPUTED_VALUE"""),"VALID")</f>
        <v>VALID</v>
      </c>
      <c r="V2058" s="1">
        <f>IFERROR(__xludf.DUMMYFUNCTION("""COMPUTED_VALUE"""),156.0)</f>
        <v>156</v>
      </c>
      <c r="W2058" s="1">
        <f>IFERROR(__xludf.DUMMYFUNCTION("""COMPUTED_VALUE"""),237.0)</f>
        <v>237</v>
      </c>
      <c r="X2058" s="1">
        <f>IFERROR(__xludf.DUMMYFUNCTION("""COMPUTED_VALUE"""),207.0)</f>
        <v>207</v>
      </c>
      <c r="Y2058" s="2"/>
      <c r="Z2058" s="2"/>
    </row>
    <row r="2059">
      <c r="A2059" s="1">
        <f>IFERROR(__xludf.DUMMYFUNCTION("""COMPUTED_VALUE"""),2058.0)</f>
        <v>2058</v>
      </c>
      <c r="B2059" s="1">
        <f>IFERROR(__xludf.DUMMYFUNCTION("""COMPUTED_VALUE"""),5661.0)</f>
        <v>5661</v>
      </c>
      <c r="C2059" s="2" t="str">
        <f>IFERROR(__xludf.DUMMYFUNCTION("""COMPUTED_VALUE"""),"PAU")</f>
        <v>PAU</v>
      </c>
      <c r="D2059" s="2" t="str">
        <f>IFERROR(__xludf.DUMMYFUNCTION("""COMPUTED_VALUE"""),"5KM OVERALL M")</f>
        <v>5KM OVERALL M</v>
      </c>
      <c r="E2059" s="1">
        <f>IFERROR(__xludf.DUMMYFUNCTION("""COMPUTED_VALUE"""),2.0)</f>
        <v>2</v>
      </c>
      <c r="F2059" s="1" t="str">
        <f>IFERROR(__xludf.DUMMYFUNCTION("""COMPUTED_VALUE"""),"Male")</f>
        <v>Male</v>
      </c>
      <c r="G2059" s="4" t="b">
        <f>IFERROR(__xludf.DUMMYFUNCTION("""COMPUTED_VALUE"""),TRUE)</f>
        <v>1</v>
      </c>
      <c r="H2059" s="4" t="b">
        <f>IFERROR(__xludf.DUMMYFUNCTION("""COMPUTED_VALUE"""),FALSE)</f>
        <v>0</v>
      </c>
      <c r="I2059" s="4">
        <f>IFERROR(__xludf.DUMMYFUNCTION("""COMPUTED_VALUE"""),0.2549440625)</f>
        <v>0.2549440625</v>
      </c>
      <c r="J2059" s="4">
        <f>IFERROR(__xludf.DUMMYFUNCTION("""COMPUTED_VALUE"""),45949.27037739146)</f>
        <v>45949.27038</v>
      </c>
      <c r="K2059" s="4" t="str">
        <f>IFERROR(__xludf.DUMMYFUNCTION("""COMPUTED_VALUE"""),"")</f>
        <v/>
      </c>
      <c r="L2059" s="4">
        <f>IFERROR(__xludf.DUMMYFUNCTION("""COMPUTED_VALUE"""),45949.28290434606)</f>
        <v>45949.2829</v>
      </c>
      <c r="M2059" s="1" t="str">
        <f>IFERROR(__xludf.DUMMYFUNCTION("""COMPUTED_VALUE"""),"RFID")</f>
        <v>RFID</v>
      </c>
      <c r="N2059" s="5">
        <f>IFERROR(__xludf.DUMMYFUNCTION("""COMPUTED_VALUE"""),0.006173333333333334)</f>
        <v>0.006173333333</v>
      </c>
      <c r="O2059" s="5" t="str">
        <f>IFERROR(__xludf.DUMMYFUNCTION("""COMPUTED_VALUE"""),"")</f>
        <v/>
      </c>
      <c r="P2059" s="5" t="str">
        <f>IFERROR(__xludf.DUMMYFUNCTION("""COMPUTED_VALUE"""),"")</f>
        <v/>
      </c>
      <c r="Q2059" s="5">
        <f>IFERROR(__xludf.DUMMYFUNCTION("""COMPUTED_VALUE"""),0.005592055555555556)</f>
        <v>0.005592055556</v>
      </c>
      <c r="R2059" s="4">
        <f>IFERROR(__xludf.DUMMYFUNCTION("""COMPUTED_VALUE"""),45949.02796028356)</f>
        <v>45949.02796</v>
      </c>
      <c r="S2059" s="1" t="b">
        <f>IFERROR(__xludf.DUMMYFUNCTION("""COMPUTED_VALUE"""),TRUE)</f>
        <v>1</v>
      </c>
      <c r="T2059" s="1" t="b">
        <f>IFERROR(__xludf.DUMMYFUNCTION("""COMPUTED_VALUE"""),FALSE)</f>
        <v>0</v>
      </c>
      <c r="U2059" s="1" t="str">
        <f>IFERROR(__xludf.DUMMYFUNCTION("""COMPUTED_VALUE"""),"VALID")</f>
        <v>VALID</v>
      </c>
      <c r="V2059" s="1">
        <f>IFERROR(__xludf.DUMMYFUNCTION("""COMPUTED_VALUE"""),285.0)</f>
        <v>285</v>
      </c>
      <c r="W2059" s="1">
        <f>IFERROR(__xludf.DUMMYFUNCTION("""COMPUTED_VALUE"""),430.0)</f>
        <v>430</v>
      </c>
      <c r="X2059" s="1">
        <f>IFERROR(__xludf.DUMMYFUNCTION("""COMPUTED_VALUE"""),372.0)</f>
        <v>372</v>
      </c>
      <c r="Y2059" s="2"/>
      <c r="Z2059" s="2"/>
    </row>
    <row r="2060">
      <c r="A2060" s="1">
        <f>IFERROR(__xludf.DUMMYFUNCTION("""COMPUTED_VALUE"""),2059.0)</f>
        <v>2059</v>
      </c>
      <c r="B2060" s="1">
        <f>IFERROR(__xludf.DUMMYFUNCTION("""COMPUTED_VALUE"""),5662.0)</f>
        <v>5662</v>
      </c>
      <c r="C2060" s="2" t="str">
        <f>IFERROR(__xludf.DUMMYFUNCTION("""COMPUTED_VALUE"""),"Tina")</f>
        <v>Tina</v>
      </c>
      <c r="D2060" s="2" t="str">
        <f>IFERROR(__xludf.DUMMYFUNCTION("""COMPUTED_VALUE"""),"5KM OVERALL M")</f>
        <v>5KM OVERALL M</v>
      </c>
      <c r="E2060" s="1">
        <f>IFERROR(__xludf.DUMMYFUNCTION("""COMPUTED_VALUE"""),2.0)</f>
        <v>2</v>
      </c>
      <c r="F2060" s="1" t="str">
        <f>IFERROR(__xludf.DUMMYFUNCTION("""COMPUTED_VALUE"""),"Male")</f>
        <v>Male</v>
      </c>
      <c r="G2060" s="4" t="str">
        <f>IFERROR(__xludf.DUMMYFUNCTION("""COMPUTED_VALUE"""),"")</f>
        <v/>
      </c>
      <c r="H2060" s="4" t="b">
        <f>IFERROR(__xludf.DUMMYFUNCTION("""COMPUTED_VALUE"""),FALSE)</f>
        <v>0</v>
      </c>
      <c r="I2060" s="4">
        <f>IFERROR(__xludf.DUMMYFUNCTION("""COMPUTED_VALUE"""),0.2549440625)</f>
        <v>0.2549440625</v>
      </c>
      <c r="J2060" s="4" t="str">
        <f>IFERROR(__xludf.DUMMYFUNCTION("""COMPUTED_VALUE"""),"")</f>
        <v/>
      </c>
      <c r="K2060" s="4" t="str">
        <f>IFERROR(__xludf.DUMMYFUNCTION("""COMPUTED_VALUE"""),"")</f>
        <v/>
      </c>
      <c r="L2060" s="4" t="str">
        <f>IFERROR(__xludf.DUMMYFUNCTION("""COMPUTED_VALUE"""),"")</f>
        <v/>
      </c>
      <c r="M2060" s="1" t="str">
        <f>IFERROR(__xludf.DUMMYFUNCTION("""COMPUTED_VALUE"""),"RFID")</f>
        <v>RFID</v>
      </c>
      <c r="N2060" s="5" t="str">
        <f>IFERROR(__xludf.DUMMYFUNCTION("""COMPUTED_VALUE"""),"")</f>
        <v/>
      </c>
      <c r="O2060" s="5" t="str">
        <f>IFERROR(__xludf.DUMMYFUNCTION("""COMPUTED_VALUE"""),"")</f>
        <v/>
      </c>
      <c r="P2060" s="5" t="str">
        <f>IFERROR(__xludf.DUMMYFUNCTION("""COMPUTED_VALUE"""),"")</f>
        <v/>
      </c>
      <c r="Q2060" s="5" t="str">
        <f>IFERROR(__xludf.DUMMYFUNCTION("""COMPUTED_VALUE"""),"")</f>
        <v/>
      </c>
      <c r="R2060" s="4" t="str">
        <f>IFERROR(__xludf.DUMMYFUNCTION("""COMPUTED_VALUE"""),"")</f>
        <v/>
      </c>
      <c r="S2060" s="1" t="b">
        <f>IFERROR(__xludf.DUMMYFUNCTION("""COMPUTED_VALUE"""),FALSE)</f>
        <v>0</v>
      </c>
      <c r="T2060" s="1" t="b">
        <f>IFERROR(__xludf.DUMMYFUNCTION("""COMPUTED_VALUE"""),FALSE)</f>
        <v>0</v>
      </c>
      <c r="U2060" s="1" t="str">
        <f>IFERROR(__xludf.DUMMYFUNCTION("""COMPUTED_VALUE"""),"DSQ")</f>
        <v>DSQ</v>
      </c>
      <c r="V2060" s="1" t="str">
        <f>IFERROR(__xludf.DUMMYFUNCTION("""COMPUTED_VALUE"""),"DSQ")</f>
        <v>DSQ</v>
      </c>
      <c r="W2060" s="1" t="str">
        <f>IFERROR(__xludf.DUMMYFUNCTION("""COMPUTED_VALUE"""),"DSQ")</f>
        <v>DSQ</v>
      </c>
      <c r="X2060" s="1" t="str">
        <f>IFERROR(__xludf.DUMMYFUNCTION("""COMPUTED_VALUE"""),"DSQ")</f>
        <v>DSQ</v>
      </c>
      <c r="Y2060" s="2"/>
      <c r="Z2060" s="2" t="str">
        <f>IFERROR(__xludf.DUMMYFUNCTION("""COMPUTED_VALUE"""),"")</f>
        <v/>
      </c>
    </row>
    <row r="2061">
      <c r="A2061" s="1">
        <f>IFERROR(__xludf.DUMMYFUNCTION("""COMPUTED_VALUE"""),2060.0)</f>
        <v>2060</v>
      </c>
      <c r="B2061" s="1">
        <f>IFERROR(__xludf.DUMMYFUNCTION("""COMPUTED_VALUE"""),5665.0)</f>
        <v>5665</v>
      </c>
      <c r="C2061" s="2" t="str">
        <f>IFERROR(__xludf.DUMMYFUNCTION("""COMPUTED_VALUE"""),"Lukas")</f>
        <v>Lukas</v>
      </c>
      <c r="D2061" s="2" t="str">
        <f>IFERROR(__xludf.DUMMYFUNCTION("""COMPUTED_VALUE"""),"5KM OVERALL M")</f>
        <v>5KM OVERALL M</v>
      </c>
      <c r="E2061" s="1">
        <f>IFERROR(__xludf.DUMMYFUNCTION("""COMPUTED_VALUE"""),2.0)</f>
        <v>2</v>
      </c>
      <c r="F2061" s="1" t="str">
        <f>IFERROR(__xludf.DUMMYFUNCTION("""COMPUTED_VALUE"""),"Male")</f>
        <v>Male</v>
      </c>
      <c r="G2061" s="4" t="str">
        <f>IFERROR(__xludf.DUMMYFUNCTION("""COMPUTED_VALUE"""),"")</f>
        <v/>
      </c>
      <c r="H2061" s="4" t="b">
        <f>IFERROR(__xludf.DUMMYFUNCTION("""COMPUTED_VALUE"""),TRUE)</f>
        <v>1</v>
      </c>
      <c r="I2061" s="4">
        <f>IFERROR(__xludf.DUMMYFUNCTION("""COMPUTED_VALUE"""),0.2549440625)</f>
        <v>0.2549440625</v>
      </c>
      <c r="J2061" s="4">
        <f>IFERROR(__xludf.DUMMYFUNCTION("""COMPUTED_VALUE"""),45949.27010660455)</f>
        <v>45949.27011</v>
      </c>
      <c r="K2061" s="4" t="str">
        <f>IFERROR(__xludf.DUMMYFUNCTION("""COMPUTED_VALUE"""),"")</f>
        <v/>
      </c>
      <c r="L2061" s="4">
        <f>IFERROR(__xludf.DUMMYFUNCTION("""COMPUTED_VALUE"""),45949.27952935302)</f>
        <v>45949.27953</v>
      </c>
      <c r="M2061" s="1" t="str">
        <f>IFERROR(__xludf.DUMMYFUNCTION("""COMPUTED_VALUE"""),"RFID")</f>
        <v>RFID</v>
      </c>
      <c r="N2061" s="5">
        <f>IFERROR(__xludf.DUMMYFUNCTION("""COMPUTED_VALUE"""),0.006065018518518519)</f>
        <v>0.006065018519</v>
      </c>
      <c r="O2061" s="5" t="str">
        <f>IFERROR(__xludf.DUMMYFUNCTION("""COMPUTED_VALUE"""),"")</f>
        <v/>
      </c>
      <c r="P2061" s="5" t="str">
        <f>IFERROR(__xludf.DUMMYFUNCTION("""COMPUTED_VALUE"""),"")</f>
        <v/>
      </c>
      <c r="Q2061" s="5">
        <f>IFERROR(__xludf.DUMMYFUNCTION("""COMPUTED_VALUE"""),0.00491705787037037)</f>
        <v>0.00491705787</v>
      </c>
      <c r="R2061" s="4">
        <f>IFERROR(__xludf.DUMMYFUNCTION("""COMPUTED_VALUE"""),45949.02458529052)</f>
        <v>45949.02459</v>
      </c>
      <c r="S2061" s="1" t="b">
        <f>IFERROR(__xludf.DUMMYFUNCTION("""COMPUTED_VALUE"""),TRUE)</f>
        <v>1</v>
      </c>
      <c r="T2061" s="1" t="b">
        <f>IFERROR(__xludf.DUMMYFUNCTION("""COMPUTED_VALUE"""),FALSE)</f>
        <v>0</v>
      </c>
      <c r="U2061" s="1" t="str">
        <f>IFERROR(__xludf.DUMMYFUNCTION("""COMPUTED_VALUE"""),"VALID")</f>
        <v>VALID</v>
      </c>
      <c r="V2061" s="1">
        <f>IFERROR(__xludf.DUMMYFUNCTION("""COMPUTED_VALUE"""),173.0)</f>
        <v>173</v>
      </c>
      <c r="W2061" s="1">
        <f>IFERROR(__xludf.DUMMYFUNCTION("""COMPUTED_VALUE"""),266.0)</f>
        <v>266</v>
      </c>
      <c r="X2061" s="1">
        <f>IFERROR(__xludf.DUMMYFUNCTION("""COMPUTED_VALUE"""),233.0)</f>
        <v>233</v>
      </c>
      <c r="Y2061" s="2"/>
      <c r="Z2061" s="2"/>
    </row>
    <row r="2062">
      <c r="A2062" s="1">
        <f>IFERROR(__xludf.DUMMYFUNCTION("""COMPUTED_VALUE"""),2061.0)</f>
        <v>2061</v>
      </c>
      <c r="B2062" s="1">
        <f>IFERROR(__xludf.DUMMYFUNCTION("""COMPUTED_VALUE"""),5668.0)</f>
        <v>5668</v>
      </c>
      <c r="C2062" s="2" t="str">
        <f>IFERROR(__xludf.DUMMYFUNCTION("""COMPUTED_VALUE"""),"Yuda Eko")</f>
        <v>Yuda Eko</v>
      </c>
      <c r="D2062" s="2" t="str">
        <f>IFERROR(__xludf.DUMMYFUNCTION("""COMPUTED_VALUE"""),"5KM OVERALL M")</f>
        <v>5KM OVERALL M</v>
      </c>
      <c r="E2062" s="1">
        <f>IFERROR(__xludf.DUMMYFUNCTION("""COMPUTED_VALUE"""),2.0)</f>
        <v>2</v>
      </c>
      <c r="F2062" s="1" t="str">
        <f>IFERROR(__xludf.DUMMYFUNCTION("""COMPUTED_VALUE"""),"Male")</f>
        <v>Male</v>
      </c>
      <c r="G2062" s="4" t="b">
        <f>IFERROR(__xludf.DUMMYFUNCTION("""COMPUTED_VALUE"""),TRUE)</f>
        <v>1</v>
      </c>
      <c r="H2062" s="4" t="b">
        <f>IFERROR(__xludf.DUMMYFUNCTION("""COMPUTED_VALUE"""),TRUE)</f>
        <v>1</v>
      </c>
      <c r="I2062" s="4">
        <f>IFERROR(__xludf.DUMMYFUNCTION("""COMPUTED_VALUE"""),0.2549440625)</f>
        <v>0.2549440625</v>
      </c>
      <c r="J2062" s="4">
        <f>IFERROR(__xludf.DUMMYFUNCTION("""COMPUTED_VALUE"""),45949.27595725421)</f>
        <v>45949.27596</v>
      </c>
      <c r="K2062" s="4" t="str">
        <f>IFERROR(__xludf.DUMMYFUNCTION("""COMPUTED_VALUE"""),"")</f>
        <v/>
      </c>
      <c r="L2062" s="4">
        <f>IFERROR(__xludf.DUMMYFUNCTION("""COMPUTED_VALUE"""),45949.29124462742)</f>
        <v>45949.29124</v>
      </c>
      <c r="M2062" s="1" t="str">
        <f>IFERROR(__xludf.DUMMYFUNCTION("""COMPUTED_VALUE"""),"RFID")</f>
        <v>RFID</v>
      </c>
      <c r="N2062" s="5">
        <f>IFERROR(__xludf.DUMMYFUNCTION("""COMPUTED_VALUE"""),0.008405277777777779)</f>
        <v>0.008405277778</v>
      </c>
      <c r="O2062" s="5" t="str">
        <f>IFERROR(__xludf.DUMMYFUNCTION("""COMPUTED_VALUE"""),"")</f>
        <v/>
      </c>
      <c r="P2062" s="5" t="str">
        <f>IFERROR(__xludf.DUMMYFUNCTION("""COMPUTED_VALUE"""),"")</f>
        <v/>
      </c>
      <c r="Q2062" s="5">
        <f>IFERROR(__xludf.DUMMYFUNCTION("""COMPUTED_VALUE"""),0.007260113425925927)</f>
        <v>0.007260113426</v>
      </c>
      <c r="R2062" s="4">
        <f>IFERROR(__xludf.DUMMYFUNCTION("""COMPUTED_VALUE"""),45949.03630056492)</f>
        <v>45949.0363</v>
      </c>
      <c r="S2062" s="1" t="b">
        <f>IFERROR(__xludf.DUMMYFUNCTION("""COMPUTED_VALUE"""),TRUE)</f>
        <v>1</v>
      </c>
      <c r="T2062" s="1" t="b">
        <f>IFERROR(__xludf.DUMMYFUNCTION("""COMPUTED_VALUE"""),FALSE)</f>
        <v>0</v>
      </c>
      <c r="U2062" s="1" t="str">
        <f>IFERROR(__xludf.DUMMYFUNCTION("""COMPUTED_VALUE"""),"VALID")</f>
        <v>VALID</v>
      </c>
      <c r="V2062" s="1">
        <f>IFERROR(__xludf.DUMMYFUNCTION("""COMPUTED_VALUE"""),604.0)</f>
        <v>604</v>
      </c>
      <c r="W2062" s="1">
        <f>IFERROR(__xludf.DUMMYFUNCTION("""COMPUTED_VALUE"""),978.0)</f>
        <v>978</v>
      </c>
      <c r="X2062" s="1">
        <f>IFERROR(__xludf.DUMMYFUNCTION("""COMPUTED_VALUE"""),794.0)</f>
        <v>794</v>
      </c>
      <c r="Y2062" s="2"/>
      <c r="Z2062" s="2"/>
    </row>
    <row r="2063">
      <c r="A2063" s="1">
        <f>IFERROR(__xludf.DUMMYFUNCTION("""COMPUTED_VALUE"""),2062.0)</f>
        <v>2062</v>
      </c>
      <c r="B2063" s="1">
        <f>IFERROR(__xludf.DUMMYFUNCTION("""COMPUTED_VALUE"""),5669.0)</f>
        <v>5669</v>
      </c>
      <c r="C2063" s="2" t="str">
        <f>IFERROR(__xludf.DUMMYFUNCTION("""COMPUTED_VALUE"""),"HADY")</f>
        <v>HADY</v>
      </c>
      <c r="D2063" s="2" t="str">
        <f>IFERROR(__xludf.DUMMYFUNCTION("""COMPUTED_VALUE"""),"5KM OVERALL M")</f>
        <v>5KM OVERALL M</v>
      </c>
      <c r="E2063" s="1">
        <f>IFERROR(__xludf.DUMMYFUNCTION("""COMPUTED_VALUE"""),2.0)</f>
        <v>2</v>
      </c>
      <c r="F2063" s="1" t="str">
        <f>IFERROR(__xludf.DUMMYFUNCTION("""COMPUTED_VALUE"""),"Male")</f>
        <v>Male</v>
      </c>
      <c r="G2063" s="4" t="b">
        <f>IFERROR(__xludf.DUMMYFUNCTION("""COMPUTED_VALUE"""),TRUE)</f>
        <v>1</v>
      </c>
      <c r="H2063" s="4" t="b">
        <f>IFERROR(__xludf.DUMMYFUNCTION("""COMPUTED_VALUE"""),TRUE)</f>
        <v>1</v>
      </c>
      <c r="I2063" s="4">
        <f>IFERROR(__xludf.DUMMYFUNCTION("""COMPUTED_VALUE"""),0.2549440625)</f>
        <v>0.2549440625</v>
      </c>
      <c r="J2063" s="4">
        <f>IFERROR(__xludf.DUMMYFUNCTION("""COMPUTED_VALUE"""),45949.27877668174)</f>
        <v>45949.27878</v>
      </c>
      <c r="K2063" s="4" t="str">
        <f>IFERROR(__xludf.DUMMYFUNCTION("""COMPUTED_VALUE"""),"")</f>
        <v/>
      </c>
      <c r="L2063" s="4">
        <f>IFERROR(__xludf.DUMMYFUNCTION("""COMPUTED_VALUE"""),45949.293869631234)</f>
        <v>45949.29387</v>
      </c>
      <c r="M2063" s="1" t="str">
        <f>IFERROR(__xludf.DUMMYFUNCTION("""COMPUTED_VALUE"""),"RFID")</f>
        <v>RFID</v>
      </c>
      <c r="N2063" s="5">
        <f>IFERROR(__xludf.DUMMYFUNCTION("""COMPUTED_VALUE"""),0.009533046296296296)</f>
        <v>0.009533046296</v>
      </c>
      <c r="O2063" s="5" t="str">
        <f>IFERROR(__xludf.DUMMYFUNCTION("""COMPUTED_VALUE"""),"")</f>
        <v/>
      </c>
      <c r="P2063" s="5" t="str">
        <f>IFERROR(__xludf.DUMMYFUNCTION("""COMPUTED_VALUE"""),"")</f>
        <v/>
      </c>
      <c r="Q2063" s="5">
        <f>IFERROR(__xludf.DUMMYFUNCTION("""COMPUTED_VALUE"""),0.007785113425925925)</f>
        <v>0.007785113426</v>
      </c>
      <c r="R2063" s="4">
        <f>IFERROR(__xludf.DUMMYFUNCTION("""COMPUTED_VALUE"""),45949.03892556873)</f>
        <v>45949.03893</v>
      </c>
      <c r="S2063" s="1" t="b">
        <f>IFERROR(__xludf.DUMMYFUNCTION("""COMPUTED_VALUE"""),TRUE)</f>
        <v>1</v>
      </c>
      <c r="T2063" s="1" t="b">
        <f>IFERROR(__xludf.DUMMYFUNCTION("""COMPUTED_VALUE"""),FALSE)</f>
        <v>0</v>
      </c>
      <c r="U2063" s="1" t="str">
        <f>IFERROR(__xludf.DUMMYFUNCTION("""COMPUTED_VALUE"""),"VALID")</f>
        <v>VALID</v>
      </c>
      <c r="V2063" s="1">
        <f>IFERROR(__xludf.DUMMYFUNCTION("""COMPUTED_VALUE"""),680.0)</f>
        <v>680</v>
      </c>
      <c r="W2063" s="1">
        <f>IFERROR(__xludf.DUMMYFUNCTION("""COMPUTED_VALUE"""),1165.0)</f>
        <v>1165</v>
      </c>
      <c r="X2063" s="1">
        <f>IFERROR(__xludf.DUMMYFUNCTION("""COMPUTED_VALUE"""),921.0)</f>
        <v>921</v>
      </c>
      <c r="Y2063" s="2"/>
      <c r="Z2063" s="2"/>
    </row>
    <row r="2064">
      <c r="A2064" s="1">
        <f>IFERROR(__xludf.DUMMYFUNCTION("""COMPUTED_VALUE"""),2063.0)</f>
        <v>2063</v>
      </c>
      <c r="B2064" s="1">
        <f>IFERROR(__xludf.DUMMYFUNCTION("""COMPUTED_VALUE"""),5670.0)</f>
        <v>5670</v>
      </c>
      <c r="C2064" s="2" t="str">
        <f>IFERROR(__xludf.DUMMYFUNCTION("""COMPUTED_VALUE"""),"Om Wawan")</f>
        <v>Om Wawan</v>
      </c>
      <c r="D2064" s="2" t="str">
        <f>IFERROR(__xludf.DUMMYFUNCTION("""COMPUTED_VALUE"""),"5KM OVERALL M")</f>
        <v>5KM OVERALL M</v>
      </c>
      <c r="E2064" s="1">
        <f>IFERROR(__xludf.DUMMYFUNCTION("""COMPUTED_VALUE"""),2.0)</f>
        <v>2</v>
      </c>
      <c r="F2064" s="1" t="str">
        <f>IFERROR(__xludf.DUMMYFUNCTION("""COMPUTED_VALUE"""),"Male")</f>
        <v>Male</v>
      </c>
      <c r="G2064" s="4" t="b">
        <f>IFERROR(__xludf.DUMMYFUNCTION("""COMPUTED_VALUE"""),TRUE)</f>
        <v>1</v>
      </c>
      <c r="H2064" s="4" t="b">
        <f>IFERROR(__xludf.DUMMYFUNCTION("""COMPUTED_VALUE"""),TRUE)</f>
        <v>1</v>
      </c>
      <c r="I2064" s="4">
        <f>IFERROR(__xludf.DUMMYFUNCTION("""COMPUTED_VALUE"""),0.2549440625)</f>
        <v>0.2549440625</v>
      </c>
      <c r="J2064" s="4">
        <f>IFERROR(__xludf.DUMMYFUNCTION("""COMPUTED_VALUE"""),45949.27197467245)</f>
        <v>45949.27197</v>
      </c>
      <c r="K2064" s="4" t="str">
        <f>IFERROR(__xludf.DUMMYFUNCTION("""COMPUTED_VALUE"""),"")</f>
        <v/>
      </c>
      <c r="L2064" s="4">
        <f>IFERROR(__xludf.DUMMYFUNCTION("""COMPUTED_VALUE"""),45949.286619617786)</f>
        <v>45949.28662</v>
      </c>
      <c r="M2064" s="1" t="str">
        <f>IFERROR(__xludf.DUMMYFUNCTION("""COMPUTED_VALUE"""),"RFID")</f>
        <v>RFID</v>
      </c>
      <c r="N2064" s="5">
        <f>IFERROR(__xludf.DUMMYFUNCTION("""COMPUTED_VALUE"""),0.00681224537037037)</f>
        <v>0.00681224537</v>
      </c>
      <c r="O2064" s="5" t="str">
        <f>IFERROR(__xludf.DUMMYFUNCTION("""COMPUTED_VALUE"""),"")</f>
        <v/>
      </c>
      <c r="P2064" s="5" t="str">
        <f>IFERROR(__xludf.DUMMYFUNCTION("""COMPUTED_VALUE"""),"")</f>
        <v/>
      </c>
      <c r="Q2064" s="5">
        <f>IFERROR(__xludf.DUMMYFUNCTION("""COMPUTED_VALUE"""),0.006335111111111111)</f>
        <v>0.006335111111</v>
      </c>
      <c r="R2064" s="4">
        <f>IFERROR(__xludf.DUMMYFUNCTION("""COMPUTED_VALUE"""),45949.031675555285)</f>
        <v>45949.03168</v>
      </c>
      <c r="S2064" s="1" t="b">
        <f>IFERROR(__xludf.DUMMYFUNCTION("""COMPUTED_VALUE"""),TRUE)</f>
        <v>1</v>
      </c>
      <c r="T2064" s="1" t="b">
        <f>IFERROR(__xludf.DUMMYFUNCTION("""COMPUTED_VALUE"""),FALSE)</f>
        <v>0</v>
      </c>
      <c r="U2064" s="1" t="str">
        <f>IFERROR(__xludf.DUMMYFUNCTION("""COMPUTED_VALUE"""),"VALID")</f>
        <v>VALID</v>
      </c>
      <c r="V2064" s="1">
        <f>IFERROR(__xludf.DUMMYFUNCTION("""COMPUTED_VALUE"""),438.0)</f>
        <v>438</v>
      </c>
      <c r="W2064" s="1">
        <f>IFERROR(__xludf.DUMMYFUNCTION("""COMPUTED_VALUE"""),677.0)</f>
        <v>677</v>
      </c>
      <c r="X2064" s="1">
        <f>IFERROR(__xludf.DUMMYFUNCTION("""COMPUTED_VALUE"""),565.0)</f>
        <v>565</v>
      </c>
      <c r="Y2064" s="2"/>
      <c r="Z2064" s="2"/>
    </row>
    <row r="2065">
      <c r="A2065" s="1">
        <f>IFERROR(__xludf.DUMMYFUNCTION("""COMPUTED_VALUE"""),2064.0)</f>
        <v>2064</v>
      </c>
      <c r="B2065" s="1">
        <f>IFERROR(__xludf.DUMMYFUNCTION("""COMPUTED_VALUE"""),5671.0)</f>
        <v>5671</v>
      </c>
      <c r="C2065" s="2" t="str">
        <f>IFERROR(__xludf.DUMMYFUNCTION("""COMPUTED_VALUE"""),"Angello")</f>
        <v>Angello</v>
      </c>
      <c r="D2065" s="2" t="str">
        <f>IFERROR(__xludf.DUMMYFUNCTION("""COMPUTED_VALUE"""),"5KM OVERALL M")</f>
        <v>5KM OVERALL M</v>
      </c>
      <c r="E2065" s="1">
        <f>IFERROR(__xludf.DUMMYFUNCTION("""COMPUTED_VALUE"""),2.0)</f>
        <v>2</v>
      </c>
      <c r="F2065" s="1" t="str">
        <f>IFERROR(__xludf.DUMMYFUNCTION("""COMPUTED_VALUE"""),"Male")</f>
        <v>Male</v>
      </c>
      <c r="G2065" s="4" t="b">
        <f>IFERROR(__xludf.DUMMYFUNCTION("""COMPUTED_VALUE"""),TRUE)</f>
        <v>1</v>
      </c>
      <c r="H2065" s="4" t="b">
        <f>IFERROR(__xludf.DUMMYFUNCTION("""COMPUTED_VALUE"""),FALSE)</f>
        <v>0</v>
      </c>
      <c r="I2065" s="4">
        <f>IFERROR(__xludf.DUMMYFUNCTION("""COMPUTED_VALUE"""),0.2549440625)</f>
        <v>0.2549440625</v>
      </c>
      <c r="J2065" s="4">
        <f>IFERROR(__xludf.DUMMYFUNCTION("""COMPUTED_VALUE"""),45949.275151700014)</f>
        <v>45949.27515</v>
      </c>
      <c r="K2065" s="4" t="str">
        <f>IFERROR(__xludf.DUMMYFUNCTION("""COMPUTED_VALUE"""),"")</f>
        <v/>
      </c>
      <c r="L2065" s="4">
        <f>IFERROR(__xludf.DUMMYFUNCTION("""COMPUTED_VALUE"""),45949.29047026877)</f>
        <v>45949.29047</v>
      </c>
      <c r="M2065" s="1" t="str">
        <f>IFERROR(__xludf.DUMMYFUNCTION("""COMPUTED_VALUE"""),"RFID")</f>
        <v>RFID</v>
      </c>
      <c r="N2065" s="5">
        <f>IFERROR(__xludf.DUMMYFUNCTION("""COMPUTED_VALUE"""),0.008083055555555555)</f>
        <v>0.008083055556</v>
      </c>
      <c r="O2065" s="5" t="str">
        <f>IFERROR(__xludf.DUMMYFUNCTION("""COMPUTED_VALUE"""),"")</f>
        <v/>
      </c>
      <c r="P2065" s="5" t="str">
        <f>IFERROR(__xludf.DUMMYFUNCTION("""COMPUTED_VALUE"""),"")</f>
        <v/>
      </c>
      <c r="Q2065" s="5">
        <f>IFERROR(__xludf.DUMMYFUNCTION("""COMPUTED_VALUE"""),0.007105240740740741)</f>
        <v>0.007105240741</v>
      </c>
      <c r="R2065" s="4">
        <f>IFERROR(__xludf.DUMMYFUNCTION("""COMPUTED_VALUE"""),45949.035526206266)</f>
        <v>45949.03553</v>
      </c>
      <c r="S2065" s="1" t="b">
        <f>IFERROR(__xludf.DUMMYFUNCTION("""COMPUTED_VALUE"""),TRUE)</f>
        <v>1</v>
      </c>
      <c r="T2065" s="1" t="b">
        <f>IFERROR(__xludf.DUMMYFUNCTION("""COMPUTED_VALUE"""),FALSE)</f>
        <v>0</v>
      </c>
      <c r="U2065" s="1" t="str">
        <f>IFERROR(__xludf.DUMMYFUNCTION("""COMPUTED_VALUE"""),"VALID")</f>
        <v>VALID</v>
      </c>
      <c r="V2065" s="1">
        <f>IFERROR(__xludf.DUMMYFUNCTION("""COMPUTED_VALUE"""),575.0)</f>
        <v>575</v>
      </c>
      <c r="W2065" s="1">
        <f>IFERROR(__xludf.DUMMYFUNCTION("""COMPUTED_VALUE"""),920.0)</f>
        <v>920</v>
      </c>
      <c r="X2065" s="1">
        <f>IFERROR(__xludf.DUMMYFUNCTION("""COMPUTED_VALUE"""),751.0)</f>
        <v>751</v>
      </c>
      <c r="Y2065" s="2"/>
      <c r="Z2065" s="2"/>
    </row>
    <row r="2066">
      <c r="A2066" s="1">
        <f>IFERROR(__xludf.DUMMYFUNCTION("""COMPUTED_VALUE"""),2065.0)</f>
        <v>2065</v>
      </c>
      <c r="B2066" s="1">
        <f>IFERROR(__xludf.DUMMYFUNCTION("""COMPUTED_VALUE"""),5672.0)</f>
        <v>5672</v>
      </c>
      <c r="C2066" s="2" t="str">
        <f>IFERROR(__xludf.DUMMYFUNCTION("""COMPUTED_VALUE"""),"Wahhab")</f>
        <v>Wahhab</v>
      </c>
      <c r="D2066" s="2" t="str">
        <f>IFERROR(__xludf.DUMMYFUNCTION("""COMPUTED_VALUE"""),"5KM OVERALL M")</f>
        <v>5KM OVERALL M</v>
      </c>
      <c r="E2066" s="1">
        <f>IFERROR(__xludf.DUMMYFUNCTION("""COMPUTED_VALUE"""),2.0)</f>
        <v>2</v>
      </c>
      <c r="F2066" s="1" t="str">
        <f>IFERROR(__xludf.DUMMYFUNCTION("""COMPUTED_VALUE"""),"Male")</f>
        <v>Male</v>
      </c>
      <c r="G2066" s="4" t="b">
        <f>IFERROR(__xludf.DUMMYFUNCTION("""COMPUTED_VALUE"""),TRUE)</f>
        <v>1</v>
      </c>
      <c r="H2066" s="4" t="b">
        <f>IFERROR(__xludf.DUMMYFUNCTION("""COMPUTED_VALUE"""),TRUE)</f>
        <v>1</v>
      </c>
      <c r="I2066" s="4">
        <f>IFERROR(__xludf.DUMMYFUNCTION("""COMPUTED_VALUE"""),0.2549440625)</f>
        <v>0.2549440625</v>
      </c>
      <c r="J2066" s="4">
        <f>IFERROR(__xludf.DUMMYFUNCTION("""COMPUTED_VALUE"""),45949.26680446341)</f>
        <v>45949.2668</v>
      </c>
      <c r="K2066" s="4" t="str">
        <f>IFERROR(__xludf.DUMMYFUNCTION("""COMPUTED_VALUE"""),"")</f>
        <v/>
      </c>
      <c r="L2066" s="4">
        <f>IFERROR(__xludf.DUMMYFUNCTION("""COMPUTED_VALUE"""),45949.27569600649)</f>
        <v>45949.2757</v>
      </c>
      <c r="M2066" s="1" t="str">
        <f>IFERROR(__xludf.DUMMYFUNCTION("""COMPUTED_VALUE"""),"RFID")</f>
        <v>RFID</v>
      </c>
      <c r="N2066" s="5">
        <f>IFERROR(__xludf.DUMMYFUNCTION("""COMPUTED_VALUE"""),0.004744162037037037)</f>
        <v>0.004744162037</v>
      </c>
      <c r="O2066" s="5" t="str">
        <f>IFERROR(__xludf.DUMMYFUNCTION("""COMPUTED_VALUE"""),"")</f>
        <v/>
      </c>
      <c r="P2066" s="5" t="str">
        <f>IFERROR(__xludf.DUMMYFUNCTION("""COMPUTED_VALUE"""),"")</f>
        <v/>
      </c>
      <c r="Q2066" s="5">
        <f>IFERROR(__xludf.DUMMYFUNCTION("""COMPUTED_VALUE"""),0.004150388888888889)</f>
        <v>0.004150388889</v>
      </c>
      <c r="R2066" s="4">
        <f>IFERROR(__xludf.DUMMYFUNCTION("""COMPUTED_VALUE"""),45949.02075194399)</f>
        <v>45949.02075</v>
      </c>
      <c r="S2066" s="1" t="b">
        <f>IFERROR(__xludf.DUMMYFUNCTION("""COMPUTED_VALUE"""),TRUE)</f>
        <v>1</v>
      </c>
      <c r="T2066" s="1" t="b">
        <f>IFERROR(__xludf.DUMMYFUNCTION("""COMPUTED_VALUE"""),FALSE)</f>
        <v>0</v>
      </c>
      <c r="U2066" s="1" t="str">
        <f>IFERROR(__xludf.DUMMYFUNCTION("""COMPUTED_VALUE"""),"VALID")</f>
        <v>VALID</v>
      </c>
      <c r="V2066" s="1">
        <f>IFERROR(__xludf.DUMMYFUNCTION("""COMPUTED_VALUE"""),88.0)</f>
        <v>88</v>
      </c>
      <c r="W2066" s="1">
        <f>IFERROR(__xludf.DUMMYFUNCTION("""COMPUTED_VALUE"""),134.0)</f>
        <v>134</v>
      </c>
      <c r="X2066" s="1">
        <f>IFERROR(__xludf.DUMMYFUNCTION("""COMPUTED_VALUE"""),122.0)</f>
        <v>122</v>
      </c>
      <c r="Y2066" s="2"/>
      <c r="Z2066" s="2"/>
    </row>
    <row r="2067">
      <c r="A2067" s="1">
        <f>IFERROR(__xludf.DUMMYFUNCTION("""COMPUTED_VALUE"""),2066.0)</f>
        <v>2066</v>
      </c>
      <c r="B2067" s="1">
        <f>IFERROR(__xludf.DUMMYFUNCTION("""COMPUTED_VALUE"""),5673.0)</f>
        <v>5673</v>
      </c>
      <c r="C2067" s="2" t="str">
        <f>IFERROR(__xludf.DUMMYFUNCTION("""COMPUTED_VALUE"""),"Wahyuu!!")</f>
        <v>Wahyuu!!</v>
      </c>
      <c r="D2067" s="2" t="str">
        <f>IFERROR(__xludf.DUMMYFUNCTION("""COMPUTED_VALUE"""),"5KM OVERALL M")</f>
        <v>5KM OVERALL M</v>
      </c>
      <c r="E2067" s="1">
        <f>IFERROR(__xludf.DUMMYFUNCTION("""COMPUTED_VALUE"""),2.0)</f>
        <v>2</v>
      </c>
      <c r="F2067" s="1" t="str">
        <f>IFERROR(__xludf.DUMMYFUNCTION("""COMPUTED_VALUE"""),"Male")</f>
        <v>Male</v>
      </c>
      <c r="G2067" s="4" t="b">
        <f>IFERROR(__xludf.DUMMYFUNCTION("""COMPUTED_VALUE"""),TRUE)</f>
        <v>1</v>
      </c>
      <c r="H2067" s="4" t="b">
        <f>IFERROR(__xludf.DUMMYFUNCTION("""COMPUTED_VALUE"""),FALSE)</f>
        <v>0</v>
      </c>
      <c r="I2067" s="4">
        <f>IFERROR(__xludf.DUMMYFUNCTION("""COMPUTED_VALUE"""),0.2549440625)</f>
        <v>0.2549440625</v>
      </c>
      <c r="J2067" s="4">
        <f>IFERROR(__xludf.DUMMYFUNCTION("""COMPUTED_VALUE"""),45949.27289526251)</f>
        <v>45949.2729</v>
      </c>
      <c r="K2067" s="4" t="str">
        <f>IFERROR(__xludf.DUMMYFUNCTION("""COMPUTED_VALUE"""),"")</f>
        <v/>
      </c>
      <c r="L2067" s="4">
        <f>IFERROR(__xludf.DUMMYFUNCTION("""COMPUTED_VALUE"""),45949.28466475173)</f>
        <v>45949.28466</v>
      </c>
      <c r="M2067" s="1" t="str">
        <f>IFERROR(__xludf.DUMMYFUNCTION("""COMPUTED_VALUE"""),"RFID")</f>
        <v>RFID</v>
      </c>
      <c r="N2067" s="5">
        <f>IFERROR(__xludf.DUMMYFUNCTION("""COMPUTED_VALUE"""),0.00718048148148148)</f>
        <v>0.007180481481</v>
      </c>
      <c r="O2067" s="5" t="str">
        <f>IFERROR(__xludf.DUMMYFUNCTION("""COMPUTED_VALUE"""),"")</f>
        <v/>
      </c>
      <c r="P2067" s="5" t="str">
        <f>IFERROR(__xludf.DUMMYFUNCTION("""COMPUTED_VALUE"""),"")</f>
        <v/>
      </c>
      <c r="Q2067" s="5">
        <f>IFERROR(__xludf.DUMMYFUNCTION("""COMPUTED_VALUE"""),0.005944138888888889)</f>
        <v>0.005944138889</v>
      </c>
      <c r="R2067" s="4">
        <f>IFERROR(__xludf.DUMMYFUNCTION("""COMPUTED_VALUE"""),45949.02972068923)</f>
        <v>45949.02972</v>
      </c>
      <c r="S2067" s="1" t="b">
        <f>IFERROR(__xludf.DUMMYFUNCTION("""COMPUTED_VALUE"""),TRUE)</f>
        <v>1</v>
      </c>
      <c r="T2067" s="1" t="b">
        <f>IFERROR(__xludf.DUMMYFUNCTION("""COMPUTED_VALUE"""),FALSE)</f>
        <v>0</v>
      </c>
      <c r="U2067" s="1" t="str">
        <f>IFERROR(__xludf.DUMMYFUNCTION("""COMPUTED_VALUE"""),"VALID")</f>
        <v>VALID</v>
      </c>
      <c r="V2067" s="1">
        <f>IFERROR(__xludf.DUMMYFUNCTION("""COMPUTED_VALUE"""),369.0)</f>
        <v>369</v>
      </c>
      <c r="W2067" s="1">
        <f>IFERROR(__xludf.DUMMYFUNCTION("""COMPUTED_VALUE"""),554.0)</f>
        <v>554</v>
      </c>
      <c r="X2067" s="1">
        <f>IFERROR(__xludf.DUMMYFUNCTION("""COMPUTED_VALUE"""),474.0)</f>
        <v>474</v>
      </c>
      <c r="Y2067" s="2"/>
      <c r="Z2067" s="2"/>
    </row>
    <row r="2068">
      <c r="A2068" s="1">
        <f>IFERROR(__xludf.DUMMYFUNCTION("""COMPUTED_VALUE"""),2067.0)</f>
        <v>2067</v>
      </c>
      <c r="B2068" s="1">
        <f>IFERROR(__xludf.DUMMYFUNCTION("""COMPUTED_VALUE"""),5674.0)</f>
        <v>5674</v>
      </c>
      <c r="C2068" s="2" t="str">
        <f>IFERROR(__xludf.DUMMYFUNCTION("""COMPUTED_VALUE"""),"M Asrin")</f>
        <v>M Asrin</v>
      </c>
      <c r="D2068" s="2" t="str">
        <f>IFERROR(__xludf.DUMMYFUNCTION("""COMPUTED_VALUE"""),"5KM OVERALL M")</f>
        <v>5KM OVERALL M</v>
      </c>
      <c r="E2068" s="1">
        <f>IFERROR(__xludf.DUMMYFUNCTION("""COMPUTED_VALUE"""),2.0)</f>
        <v>2</v>
      </c>
      <c r="F2068" s="1" t="str">
        <f>IFERROR(__xludf.DUMMYFUNCTION("""COMPUTED_VALUE"""),"Male")</f>
        <v>Male</v>
      </c>
      <c r="G2068" s="4" t="b">
        <f>IFERROR(__xludf.DUMMYFUNCTION("""COMPUTED_VALUE"""),TRUE)</f>
        <v>1</v>
      </c>
      <c r="H2068" s="4" t="b">
        <f>IFERROR(__xludf.DUMMYFUNCTION("""COMPUTED_VALUE"""),TRUE)</f>
        <v>1</v>
      </c>
      <c r="I2068" s="4">
        <f>IFERROR(__xludf.DUMMYFUNCTION("""COMPUTED_VALUE"""),0.2549440625)</f>
        <v>0.2549440625</v>
      </c>
      <c r="J2068" s="4">
        <f>IFERROR(__xludf.DUMMYFUNCTION("""COMPUTED_VALUE"""),45949.27999893268)</f>
        <v>45949.28</v>
      </c>
      <c r="K2068" s="4" t="str">
        <f>IFERROR(__xludf.DUMMYFUNCTION("""COMPUTED_VALUE"""),"")</f>
        <v/>
      </c>
      <c r="L2068" s="4">
        <f>IFERROR(__xludf.DUMMYFUNCTION("""COMPUTED_VALUE"""),45949.296661283544)</f>
        <v>45949.29666</v>
      </c>
      <c r="M2068" s="1" t="str">
        <f>IFERROR(__xludf.DUMMYFUNCTION("""COMPUTED_VALUE"""),"RFID")</f>
        <v>RFID</v>
      </c>
      <c r="N2068" s="5">
        <f>IFERROR(__xludf.DUMMYFUNCTION("""COMPUTED_VALUE"""),0.010021949074074074)</f>
        <v>0.01002194907</v>
      </c>
      <c r="O2068" s="5" t="str">
        <f>IFERROR(__xludf.DUMMYFUNCTION("""COMPUTED_VALUE"""),"")</f>
        <v/>
      </c>
      <c r="P2068" s="5" t="str">
        <f>IFERROR(__xludf.DUMMYFUNCTION("""COMPUTED_VALUE"""),"")</f>
        <v/>
      </c>
      <c r="Q2068" s="5">
        <f>IFERROR(__xludf.DUMMYFUNCTION("""COMPUTED_VALUE"""),0.008343444444444443)</f>
        <v>0.008343444444</v>
      </c>
      <c r="R2068" s="4">
        <f>IFERROR(__xludf.DUMMYFUNCTION("""COMPUTED_VALUE"""),45949.041717221044)</f>
        <v>45949.04172</v>
      </c>
      <c r="S2068" s="1" t="b">
        <f>IFERROR(__xludf.DUMMYFUNCTION("""COMPUTED_VALUE"""),TRUE)</f>
        <v>1</v>
      </c>
      <c r="T2068" s="1" t="b">
        <f>IFERROR(__xludf.DUMMYFUNCTION("""COMPUTED_VALUE"""),FALSE)</f>
        <v>0</v>
      </c>
      <c r="U2068" s="1" t="str">
        <f>IFERROR(__xludf.DUMMYFUNCTION("""COMPUTED_VALUE"""),"VALID")</f>
        <v>VALID</v>
      </c>
      <c r="V2068" s="1">
        <f>IFERROR(__xludf.DUMMYFUNCTION("""COMPUTED_VALUE"""),751.0)</f>
        <v>751</v>
      </c>
      <c r="W2068" s="1">
        <f>IFERROR(__xludf.DUMMYFUNCTION("""COMPUTED_VALUE"""),1322.0)</f>
        <v>1322</v>
      </c>
      <c r="X2068" s="1">
        <f>IFERROR(__xludf.DUMMYFUNCTION("""COMPUTED_VALUE"""),1055.0)</f>
        <v>1055</v>
      </c>
      <c r="Y2068" s="2"/>
      <c r="Z2068" s="2"/>
    </row>
    <row r="2069">
      <c r="A2069" s="1">
        <f>IFERROR(__xludf.DUMMYFUNCTION("""COMPUTED_VALUE"""),2068.0)</f>
        <v>2068</v>
      </c>
      <c r="B2069" s="1">
        <f>IFERROR(__xludf.DUMMYFUNCTION("""COMPUTED_VALUE"""),5675.0)</f>
        <v>5675</v>
      </c>
      <c r="C2069" s="2" t="str">
        <f>IFERROR(__xludf.DUMMYFUNCTION("""COMPUTED_VALUE"""),"Zein Syakieb")</f>
        <v>Zein Syakieb</v>
      </c>
      <c r="D2069" s="2" t="str">
        <f>IFERROR(__xludf.DUMMYFUNCTION("""COMPUTED_VALUE"""),"5KM OVERALL M")</f>
        <v>5KM OVERALL M</v>
      </c>
      <c r="E2069" s="1">
        <f>IFERROR(__xludf.DUMMYFUNCTION("""COMPUTED_VALUE"""),2.0)</f>
        <v>2</v>
      </c>
      <c r="F2069" s="1" t="str">
        <f>IFERROR(__xludf.DUMMYFUNCTION("""COMPUTED_VALUE"""),"Male")</f>
        <v>Male</v>
      </c>
      <c r="G2069" s="4" t="b">
        <f>IFERROR(__xludf.DUMMYFUNCTION("""COMPUTED_VALUE"""),TRUE)</f>
        <v>1</v>
      </c>
      <c r="H2069" s="4" t="b">
        <f>IFERROR(__xludf.DUMMYFUNCTION("""COMPUTED_VALUE"""),TRUE)</f>
        <v>1</v>
      </c>
      <c r="I2069" s="4">
        <f>IFERROR(__xludf.DUMMYFUNCTION("""COMPUTED_VALUE"""),0.2549440625)</f>
        <v>0.2549440625</v>
      </c>
      <c r="J2069" s="4">
        <f>IFERROR(__xludf.DUMMYFUNCTION("""COMPUTED_VALUE"""),45949.267023226734)</f>
        <v>45949.26702</v>
      </c>
      <c r="K2069" s="4" t="str">
        <f>IFERROR(__xludf.DUMMYFUNCTION("""COMPUTED_VALUE"""),"")</f>
        <v/>
      </c>
      <c r="L2069" s="4">
        <f>IFERROR(__xludf.DUMMYFUNCTION("""COMPUTED_VALUE"""),45949.278914759336)</f>
        <v>45949.27891</v>
      </c>
      <c r="M2069" s="1" t="str">
        <f>IFERROR(__xludf.DUMMYFUNCTION("""COMPUTED_VALUE"""),"RFID")</f>
        <v>RFID</v>
      </c>
      <c r="N2069" s="5">
        <f>IFERROR(__xludf.DUMMYFUNCTION("""COMPUTED_VALUE"""),0.004831666666666667)</f>
        <v>0.004831666667</v>
      </c>
      <c r="O2069" s="5" t="str">
        <f>IFERROR(__xludf.DUMMYFUNCTION("""COMPUTED_VALUE"""),"")</f>
        <v/>
      </c>
      <c r="P2069" s="5" t="str">
        <f>IFERROR(__xludf.DUMMYFUNCTION("""COMPUTED_VALUE"""),"")</f>
        <v/>
      </c>
      <c r="Q2069" s="5">
        <f>IFERROR(__xludf.DUMMYFUNCTION("""COMPUTED_VALUE"""),0.0047941388888888894)</f>
        <v>0.004794138889</v>
      </c>
      <c r="R2069" s="4">
        <f>IFERROR(__xludf.DUMMYFUNCTION("""COMPUTED_VALUE"""),45949.023970696835)</f>
        <v>45949.02397</v>
      </c>
      <c r="S2069" s="1" t="b">
        <f>IFERROR(__xludf.DUMMYFUNCTION("""COMPUTED_VALUE"""),TRUE)</f>
        <v>1</v>
      </c>
      <c r="T2069" s="1" t="b">
        <f>IFERROR(__xludf.DUMMYFUNCTION("""COMPUTED_VALUE"""),FALSE)</f>
        <v>0</v>
      </c>
      <c r="U2069" s="1" t="str">
        <f>IFERROR(__xludf.DUMMYFUNCTION("""COMPUTED_VALUE"""),"VALID")</f>
        <v>VALID</v>
      </c>
      <c r="V2069" s="1">
        <f>IFERROR(__xludf.DUMMYFUNCTION("""COMPUTED_VALUE"""),161.0)</f>
        <v>161</v>
      </c>
      <c r="W2069" s="1">
        <f>IFERROR(__xludf.DUMMYFUNCTION("""COMPUTED_VALUE"""),247.0)</f>
        <v>247</v>
      </c>
      <c r="X2069" s="1">
        <f>IFERROR(__xludf.DUMMYFUNCTION("""COMPUTED_VALUE"""),216.0)</f>
        <v>216</v>
      </c>
      <c r="Y2069" s="2"/>
      <c r="Z2069" s="2"/>
    </row>
    <row r="2070">
      <c r="A2070" s="1">
        <f>IFERROR(__xludf.DUMMYFUNCTION("""COMPUTED_VALUE"""),2069.0)</f>
        <v>2069</v>
      </c>
      <c r="B2070" s="1">
        <f>IFERROR(__xludf.DUMMYFUNCTION("""COMPUTED_VALUE"""),5677.0)</f>
        <v>5677</v>
      </c>
      <c r="C2070" s="2" t="str">
        <f>IFERROR(__xludf.DUMMYFUNCTION("""COMPUTED_VALUE"""),"Ammar seff")</f>
        <v>Ammar seff</v>
      </c>
      <c r="D2070" s="2" t="str">
        <f>IFERROR(__xludf.DUMMYFUNCTION("""COMPUTED_VALUE"""),"5KM OVERALL M")</f>
        <v>5KM OVERALL M</v>
      </c>
      <c r="E2070" s="1">
        <f>IFERROR(__xludf.DUMMYFUNCTION("""COMPUTED_VALUE"""),2.0)</f>
        <v>2</v>
      </c>
      <c r="F2070" s="1" t="str">
        <f>IFERROR(__xludf.DUMMYFUNCTION("""COMPUTED_VALUE"""),"Male")</f>
        <v>Male</v>
      </c>
      <c r="G2070" s="4" t="b">
        <f>IFERROR(__xludf.DUMMYFUNCTION("""COMPUTED_VALUE"""),TRUE)</f>
        <v>1</v>
      </c>
      <c r="H2070" s="4" t="b">
        <f>IFERROR(__xludf.DUMMYFUNCTION("""COMPUTED_VALUE"""),TRUE)</f>
        <v>1</v>
      </c>
      <c r="I2070" s="4">
        <f>IFERROR(__xludf.DUMMYFUNCTION("""COMPUTED_VALUE"""),0.2549440625)</f>
        <v>0.2549440625</v>
      </c>
      <c r="J2070" s="4">
        <f>IFERROR(__xludf.DUMMYFUNCTION("""COMPUTED_VALUE"""),45949.267342674284)</f>
        <v>45949.26734</v>
      </c>
      <c r="K2070" s="4" t="str">
        <f>IFERROR(__xludf.DUMMYFUNCTION("""COMPUTED_VALUE"""),"")</f>
        <v/>
      </c>
      <c r="L2070" s="4">
        <f>IFERROR(__xludf.DUMMYFUNCTION("""COMPUTED_VALUE"""),45949.27967860525)</f>
        <v>45949.27968</v>
      </c>
      <c r="M2070" s="1" t="str">
        <f>IFERROR(__xludf.DUMMYFUNCTION("""COMPUTED_VALUE"""),"RFID")</f>
        <v>RFID</v>
      </c>
      <c r="N2070" s="5">
        <f>IFERROR(__xludf.DUMMYFUNCTION("""COMPUTED_VALUE"""),0.004959444444444445)</f>
        <v>0.004959444444</v>
      </c>
      <c r="O2070" s="5" t="str">
        <f>IFERROR(__xludf.DUMMYFUNCTION("""COMPUTED_VALUE"""),"")</f>
        <v/>
      </c>
      <c r="P2070" s="5" t="str">
        <f>IFERROR(__xludf.DUMMYFUNCTION("""COMPUTED_VALUE"""),"")</f>
        <v/>
      </c>
      <c r="Q2070" s="5">
        <f>IFERROR(__xludf.DUMMYFUNCTION("""COMPUTED_VALUE"""),0.004946907407407407)</f>
        <v>0.004946907407</v>
      </c>
      <c r="R2070" s="4">
        <f>IFERROR(__xludf.DUMMYFUNCTION("""COMPUTED_VALUE"""),45949.02473454275)</f>
        <v>45949.02473</v>
      </c>
      <c r="S2070" s="1" t="b">
        <f>IFERROR(__xludf.DUMMYFUNCTION("""COMPUTED_VALUE"""),TRUE)</f>
        <v>1</v>
      </c>
      <c r="T2070" s="1" t="b">
        <f>IFERROR(__xludf.DUMMYFUNCTION("""COMPUTED_VALUE"""),FALSE)</f>
        <v>0</v>
      </c>
      <c r="U2070" s="1" t="str">
        <f>IFERROR(__xludf.DUMMYFUNCTION("""COMPUTED_VALUE"""),"VALID")</f>
        <v>VALID</v>
      </c>
      <c r="V2070" s="1">
        <f>IFERROR(__xludf.DUMMYFUNCTION("""COMPUTED_VALUE"""),179.0)</f>
        <v>179</v>
      </c>
      <c r="W2070" s="1">
        <f>IFERROR(__xludf.DUMMYFUNCTION("""COMPUTED_VALUE"""),274.0)</f>
        <v>274</v>
      </c>
      <c r="X2070" s="1">
        <f>IFERROR(__xludf.DUMMYFUNCTION("""COMPUTED_VALUE"""),240.0)</f>
        <v>240</v>
      </c>
      <c r="Y2070" s="2"/>
      <c r="Z2070" s="2"/>
    </row>
    <row r="2071">
      <c r="A2071" s="1">
        <f>IFERROR(__xludf.DUMMYFUNCTION("""COMPUTED_VALUE"""),2070.0)</f>
        <v>2070</v>
      </c>
      <c r="B2071" s="1">
        <f>IFERROR(__xludf.DUMMYFUNCTION("""COMPUTED_VALUE"""),5678.0)</f>
        <v>5678</v>
      </c>
      <c r="C2071" s="2" t="str">
        <f>IFERROR(__xludf.DUMMYFUNCTION("""COMPUTED_VALUE"""),"Fahmi")</f>
        <v>Fahmi</v>
      </c>
      <c r="D2071" s="2" t="str">
        <f>IFERROR(__xludf.DUMMYFUNCTION("""COMPUTED_VALUE"""),"5KM OVERALL M")</f>
        <v>5KM OVERALL M</v>
      </c>
      <c r="E2071" s="1">
        <f>IFERROR(__xludf.DUMMYFUNCTION("""COMPUTED_VALUE"""),2.0)</f>
        <v>2</v>
      </c>
      <c r="F2071" s="1" t="str">
        <f>IFERROR(__xludf.DUMMYFUNCTION("""COMPUTED_VALUE"""),"Male")</f>
        <v>Male</v>
      </c>
      <c r="G2071" s="4" t="b">
        <f>IFERROR(__xludf.DUMMYFUNCTION("""COMPUTED_VALUE"""),TRUE)</f>
        <v>1</v>
      </c>
      <c r="H2071" s="4" t="b">
        <f>IFERROR(__xludf.DUMMYFUNCTION("""COMPUTED_VALUE"""),FALSE)</f>
        <v>0</v>
      </c>
      <c r="I2071" s="4">
        <f>IFERROR(__xludf.DUMMYFUNCTION("""COMPUTED_VALUE"""),0.2549440625)</f>
        <v>0.2549440625</v>
      </c>
      <c r="J2071" s="4">
        <f>IFERROR(__xludf.DUMMYFUNCTION("""COMPUTED_VALUE"""),45950.281851851854)</f>
        <v>45950.28185</v>
      </c>
      <c r="K2071" s="4" t="str">
        <f>IFERROR(__xludf.DUMMYFUNCTION("""COMPUTED_VALUE"""),"")</f>
        <v/>
      </c>
      <c r="L2071" s="4">
        <f>IFERROR(__xludf.DUMMYFUNCTION("""COMPUTED_VALUE"""),45949.29978281509)</f>
        <v>45949.29978</v>
      </c>
      <c r="M2071" s="1" t="str">
        <f>IFERROR(__xludf.DUMMYFUNCTION("""COMPUTED_VALUE"""),"RFID")</f>
        <v>RFID</v>
      </c>
      <c r="N2071" s="5">
        <f>IFERROR(__xludf.DUMMYFUNCTION("""COMPUTED_VALUE"""),0.01076311574074074)</f>
        <v>0.01076311574</v>
      </c>
      <c r="O2071" s="5" t="str">
        <f>IFERROR(__xludf.DUMMYFUNCTION("""COMPUTED_VALUE"""),"")</f>
        <v/>
      </c>
      <c r="P2071" s="5" t="str">
        <f>IFERROR(__xludf.DUMMYFUNCTION("""COMPUTED_VALUE"""),"")</f>
        <v/>
      </c>
      <c r="Q2071" s="5">
        <f>IFERROR(__xludf.DUMMYFUNCTION("""COMPUTED_VALUE"""),0.00896775)</f>
        <v>0.00896775</v>
      </c>
      <c r="R2071" s="4">
        <f>IFERROR(__xludf.DUMMYFUNCTION("""COMPUTED_VALUE"""),45949.04483875259)</f>
        <v>45949.04484</v>
      </c>
      <c r="S2071" s="1" t="b">
        <f>IFERROR(__xludf.DUMMYFUNCTION("""COMPUTED_VALUE"""),TRUE)</f>
        <v>1</v>
      </c>
      <c r="T2071" s="1" t="b">
        <f>IFERROR(__xludf.DUMMYFUNCTION("""COMPUTED_VALUE"""),FALSE)</f>
        <v>0</v>
      </c>
      <c r="U2071" s="1" t="str">
        <f>IFERROR(__xludf.DUMMYFUNCTION("""COMPUTED_VALUE"""),"VALID")</f>
        <v>VALID</v>
      </c>
      <c r="V2071" s="1">
        <f>IFERROR(__xludf.DUMMYFUNCTION("""COMPUTED_VALUE"""),794.0)</f>
        <v>794</v>
      </c>
      <c r="W2071" s="1">
        <f>IFERROR(__xludf.DUMMYFUNCTION("""COMPUTED_VALUE"""),1442.0)</f>
        <v>1442</v>
      </c>
      <c r="X2071" s="1">
        <f>IFERROR(__xludf.DUMMYFUNCTION("""COMPUTED_VALUE"""),1193.0)</f>
        <v>1193</v>
      </c>
      <c r="Y2071" s="2"/>
      <c r="Z2071" s="2" t="str">
        <f>IFERROR(__xludf.DUMMYFUNCTION("""COMPUTED_VALUE"""),"C")</f>
        <v>C</v>
      </c>
    </row>
    <row r="2072">
      <c r="A2072" s="1">
        <f>IFERROR(__xludf.DUMMYFUNCTION("""COMPUTED_VALUE"""),2071.0)</f>
        <v>2071</v>
      </c>
      <c r="B2072" s="1">
        <f>IFERROR(__xludf.DUMMYFUNCTION("""COMPUTED_VALUE"""),5679.0)</f>
        <v>5679</v>
      </c>
      <c r="C2072" s="2" t="str">
        <f>IFERROR(__xludf.DUMMYFUNCTION("""COMPUTED_VALUE"""),"Muhammad Khalid")</f>
        <v>Muhammad Khalid</v>
      </c>
      <c r="D2072" s="2" t="str">
        <f>IFERROR(__xludf.DUMMYFUNCTION("""COMPUTED_VALUE"""),"5KM OVERALL M")</f>
        <v>5KM OVERALL M</v>
      </c>
      <c r="E2072" s="1">
        <f>IFERROR(__xludf.DUMMYFUNCTION("""COMPUTED_VALUE"""),2.0)</f>
        <v>2</v>
      </c>
      <c r="F2072" s="1" t="str">
        <f>IFERROR(__xludf.DUMMYFUNCTION("""COMPUTED_VALUE"""),"Male")</f>
        <v>Male</v>
      </c>
      <c r="G2072" s="4" t="b">
        <f>IFERROR(__xludf.DUMMYFUNCTION("""COMPUTED_VALUE"""),TRUE)</f>
        <v>1</v>
      </c>
      <c r="H2072" s="4" t="b">
        <f>IFERROR(__xludf.DUMMYFUNCTION("""COMPUTED_VALUE"""),TRUE)</f>
        <v>1</v>
      </c>
      <c r="I2072" s="4">
        <f>IFERROR(__xludf.DUMMYFUNCTION("""COMPUTED_VALUE"""),0.2549440625)</f>
        <v>0.2549440625</v>
      </c>
      <c r="J2072" s="4">
        <f>IFERROR(__xludf.DUMMYFUNCTION("""COMPUTED_VALUE"""),45949.27452674176)</f>
        <v>45949.27453</v>
      </c>
      <c r="K2072" s="4" t="str">
        <f>IFERROR(__xludf.DUMMYFUNCTION("""COMPUTED_VALUE"""),"")</f>
        <v/>
      </c>
      <c r="L2072" s="4">
        <f>IFERROR(__xludf.DUMMYFUNCTION("""COMPUTED_VALUE"""),45949.288567546755)</f>
        <v>45949.28857</v>
      </c>
      <c r="M2072" s="1" t="str">
        <f>IFERROR(__xludf.DUMMYFUNCTION("""COMPUTED_VALUE"""),"RFID")</f>
        <v>RFID</v>
      </c>
      <c r="N2072" s="5">
        <f>IFERROR(__xludf.DUMMYFUNCTION("""COMPUTED_VALUE"""),0.007833069444444445)</f>
        <v>0.007833069444</v>
      </c>
      <c r="O2072" s="5" t="str">
        <f>IFERROR(__xludf.DUMMYFUNCTION("""COMPUTED_VALUE"""),"")</f>
        <v/>
      </c>
      <c r="P2072" s="5" t="str">
        <f>IFERROR(__xludf.DUMMYFUNCTION("""COMPUTED_VALUE"""),"")</f>
        <v/>
      </c>
      <c r="Q2072" s="5">
        <f>IFERROR(__xludf.DUMMYFUNCTION("""COMPUTED_VALUE"""),0.006724696759259259)</f>
        <v>0.006724696759</v>
      </c>
      <c r="R2072" s="4">
        <f>IFERROR(__xludf.DUMMYFUNCTION("""COMPUTED_VALUE"""),45949.033623484254)</f>
        <v>45949.03362</v>
      </c>
      <c r="S2072" s="1" t="b">
        <f>IFERROR(__xludf.DUMMYFUNCTION("""COMPUTED_VALUE"""),TRUE)</f>
        <v>1</v>
      </c>
      <c r="T2072" s="1" t="b">
        <f>IFERROR(__xludf.DUMMYFUNCTION("""COMPUTED_VALUE"""),FALSE)</f>
        <v>0</v>
      </c>
      <c r="U2072" s="1" t="str">
        <f>IFERROR(__xludf.DUMMYFUNCTION("""COMPUTED_VALUE"""),"VALID")</f>
        <v>VALID</v>
      </c>
      <c r="V2072" s="1">
        <f>IFERROR(__xludf.DUMMYFUNCTION("""COMPUTED_VALUE"""),519.0)</f>
        <v>519</v>
      </c>
      <c r="W2072" s="1">
        <f>IFERROR(__xludf.DUMMYFUNCTION("""COMPUTED_VALUE"""),816.0)</f>
        <v>816</v>
      </c>
      <c r="X2072" s="1">
        <f>IFERROR(__xludf.DUMMYFUNCTION("""COMPUTED_VALUE"""),670.0)</f>
        <v>670</v>
      </c>
      <c r="Y2072" s="2"/>
      <c r="Z2072" s="2"/>
    </row>
    <row r="2073">
      <c r="A2073" s="1">
        <f>IFERROR(__xludf.DUMMYFUNCTION("""COMPUTED_VALUE"""),2072.0)</f>
        <v>2072</v>
      </c>
      <c r="B2073" s="1">
        <f>IFERROR(__xludf.DUMMYFUNCTION("""COMPUTED_VALUE"""),5681.0)</f>
        <v>5681</v>
      </c>
      <c r="C2073" s="2" t="str">
        <f>IFERROR(__xludf.DUMMYFUNCTION("""COMPUTED_VALUE"""),"FARID")</f>
        <v>FARID</v>
      </c>
      <c r="D2073" s="2" t="str">
        <f>IFERROR(__xludf.DUMMYFUNCTION("""COMPUTED_VALUE"""),"5KM OVERALL M")</f>
        <v>5KM OVERALL M</v>
      </c>
      <c r="E2073" s="1">
        <f>IFERROR(__xludf.DUMMYFUNCTION("""COMPUTED_VALUE"""),2.0)</f>
        <v>2</v>
      </c>
      <c r="F2073" s="1" t="str">
        <f>IFERROR(__xludf.DUMMYFUNCTION("""COMPUTED_VALUE"""),"Male")</f>
        <v>Male</v>
      </c>
      <c r="G2073" s="4" t="b">
        <f>IFERROR(__xludf.DUMMYFUNCTION("""COMPUTED_VALUE"""),TRUE)</f>
        <v>1</v>
      </c>
      <c r="H2073" s="4" t="b">
        <f>IFERROR(__xludf.DUMMYFUNCTION("""COMPUTED_VALUE"""),TRUE)</f>
        <v>1</v>
      </c>
      <c r="I2073" s="4">
        <f>IFERROR(__xludf.DUMMYFUNCTION("""COMPUTED_VALUE"""),0.2549440625)</f>
        <v>0.2549440625</v>
      </c>
      <c r="J2073" s="4">
        <f>IFERROR(__xludf.DUMMYFUNCTION("""COMPUTED_VALUE"""),45949.277863498544)</f>
        <v>45949.27786</v>
      </c>
      <c r="K2073" s="4" t="str">
        <f>IFERROR(__xludf.DUMMYFUNCTION("""COMPUTED_VALUE"""),"")</f>
        <v/>
      </c>
      <c r="L2073" s="4">
        <f>IFERROR(__xludf.DUMMYFUNCTION("""COMPUTED_VALUE"""),45949.29530711552)</f>
        <v>45949.29531</v>
      </c>
      <c r="M2073" s="1" t="str">
        <f>IFERROR(__xludf.DUMMYFUNCTION("""COMPUTED_VALUE"""),"RFID")</f>
        <v>RFID</v>
      </c>
      <c r="N2073" s="5">
        <f>IFERROR(__xludf.DUMMYFUNCTION("""COMPUTED_VALUE"""),0.009167773148148147)</f>
        <v>0.009167773148</v>
      </c>
      <c r="O2073" s="5" t="str">
        <f>IFERROR(__xludf.DUMMYFUNCTION("""COMPUTED_VALUE"""),"")</f>
        <v/>
      </c>
      <c r="P2073" s="5" t="str">
        <f>IFERROR(__xludf.DUMMYFUNCTION("""COMPUTED_VALUE"""),"")</f>
        <v/>
      </c>
      <c r="Q2073" s="5">
        <f>IFERROR(__xludf.DUMMYFUNCTION("""COMPUTED_VALUE"""),0.00807261111111111)</f>
        <v>0.008072611111</v>
      </c>
      <c r="R2073" s="4">
        <f>IFERROR(__xludf.DUMMYFUNCTION("""COMPUTED_VALUE"""),45949.04036305302)</f>
        <v>45949.04036</v>
      </c>
      <c r="S2073" s="1" t="b">
        <f>IFERROR(__xludf.DUMMYFUNCTION("""COMPUTED_VALUE"""),TRUE)</f>
        <v>1</v>
      </c>
      <c r="T2073" s="1" t="b">
        <f>IFERROR(__xludf.DUMMYFUNCTION("""COMPUTED_VALUE"""),FALSE)</f>
        <v>0</v>
      </c>
      <c r="U2073" s="1" t="str">
        <f>IFERROR(__xludf.DUMMYFUNCTION("""COMPUTED_VALUE"""),"VALID")</f>
        <v>VALID</v>
      </c>
      <c r="V2073" s="1">
        <f>IFERROR(__xludf.DUMMYFUNCTION("""COMPUTED_VALUE"""),723.0)</f>
        <v>723</v>
      </c>
      <c r="W2073" s="1">
        <f>IFERROR(__xludf.DUMMYFUNCTION("""COMPUTED_VALUE"""),1262.0)</f>
        <v>1262</v>
      </c>
      <c r="X2073" s="1">
        <f>IFERROR(__xludf.DUMMYFUNCTION("""COMPUTED_VALUE"""),995.0)</f>
        <v>995</v>
      </c>
      <c r="Y2073" s="2"/>
      <c r="Z2073" s="2"/>
    </row>
    <row r="2074">
      <c r="A2074" s="1">
        <f>IFERROR(__xludf.DUMMYFUNCTION("""COMPUTED_VALUE"""),2073.0)</f>
        <v>2073</v>
      </c>
      <c r="B2074" s="1">
        <f>IFERROR(__xludf.DUMMYFUNCTION("""COMPUTED_VALUE"""),5683.0)</f>
        <v>5683</v>
      </c>
      <c r="C2074" s="2" t="str">
        <f>IFERROR(__xludf.DUMMYFUNCTION("""COMPUTED_VALUE"""),"BANI")</f>
        <v>BANI</v>
      </c>
      <c r="D2074" s="2" t="str">
        <f>IFERROR(__xludf.DUMMYFUNCTION("""COMPUTED_VALUE"""),"5KM OVERALL M")</f>
        <v>5KM OVERALL M</v>
      </c>
      <c r="E2074" s="1">
        <f>IFERROR(__xludf.DUMMYFUNCTION("""COMPUTED_VALUE"""),2.0)</f>
        <v>2</v>
      </c>
      <c r="F2074" s="1" t="str">
        <f>IFERROR(__xludf.DUMMYFUNCTION("""COMPUTED_VALUE"""),"Male")</f>
        <v>Male</v>
      </c>
      <c r="G2074" s="4" t="b">
        <f>IFERROR(__xludf.DUMMYFUNCTION("""COMPUTED_VALUE"""),TRUE)</f>
        <v>1</v>
      </c>
      <c r="H2074" s="4" t="b">
        <f>IFERROR(__xludf.DUMMYFUNCTION("""COMPUTED_VALUE"""),TRUE)</f>
        <v>1</v>
      </c>
      <c r="I2074" s="4">
        <f>IFERROR(__xludf.DUMMYFUNCTION("""COMPUTED_VALUE"""),0.2549440625)</f>
        <v>0.2549440625</v>
      </c>
      <c r="J2074" s="4">
        <f>IFERROR(__xludf.DUMMYFUNCTION("""COMPUTED_VALUE"""),45949.270623917946)</f>
        <v>45949.27062</v>
      </c>
      <c r="K2074" s="4" t="str">
        <f>IFERROR(__xludf.DUMMYFUNCTION("""COMPUTED_VALUE"""),"")</f>
        <v/>
      </c>
      <c r="L2074" s="4">
        <f>IFERROR(__xludf.DUMMYFUNCTION("""COMPUTED_VALUE"""),45949.28441471895)</f>
        <v>45949.28441</v>
      </c>
      <c r="M2074" s="1" t="str">
        <f>IFERROR(__xludf.DUMMYFUNCTION("""COMPUTED_VALUE"""),"RFID")</f>
        <v>RFID</v>
      </c>
      <c r="N2074" s="5">
        <f>IFERROR(__xludf.DUMMYFUNCTION("""COMPUTED_VALUE"""),0.006271944444444444)</f>
        <v>0.006271944444</v>
      </c>
      <c r="O2074" s="5" t="str">
        <f>IFERROR(__xludf.DUMMYFUNCTION("""COMPUTED_VALUE"""),"")</f>
        <v/>
      </c>
      <c r="P2074" s="5" t="str">
        <f>IFERROR(__xludf.DUMMYFUNCTION("""COMPUTED_VALUE"""),"")</f>
        <v/>
      </c>
      <c r="Q2074" s="5">
        <f>IFERROR(__xludf.DUMMYFUNCTION("""COMPUTED_VALUE"""),0.005894131944444444)</f>
        <v>0.005894131944</v>
      </c>
      <c r="R2074" s="4">
        <f>IFERROR(__xludf.DUMMYFUNCTION("""COMPUTED_VALUE"""),45949.02947065645)</f>
        <v>45949.02947</v>
      </c>
      <c r="S2074" s="1" t="b">
        <f>IFERROR(__xludf.DUMMYFUNCTION("""COMPUTED_VALUE"""),TRUE)</f>
        <v>1</v>
      </c>
      <c r="T2074" s="1" t="b">
        <f>IFERROR(__xludf.DUMMYFUNCTION("""COMPUTED_VALUE"""),FALSE)</f>
        <v>0</v>
      </c>
      <c r="U2074" s="1" t="str">
        <f>IFERROR(__xludf.DUMMYFUNCTION("""COMPUTED_VALUE"""),"VALID")</f>
        <v>VALID</v>
      </c>
      <c r="V2074" s="1">
        <f>IFERROR(__xludf.DUMMYFUNCTION("""COMPUTED_VALUE"""),357.0)</f>
        <v>357</v>
      </c>
      <c r="W2074" s="1">
        <f>IFERROR(__xludf.DUMMYFUNCTION("""COMPUTED_VALUE"""),536.0)</f>
        <v>536</v>
      </c>
      <c r="X2074" s="1">
        <f>IFERROR(__xludf.DUMMYFUNCTION("""COMPUTED_VALUE"""),460.0)</f>
        <v>460</v>
      </c>
      <c r="Y2074" s="2"/>
      <c r="Z2074" s="2"/>
    </row>
    <row r="2075">
      <c r="A2075" s="1">
        <f>IFERROR(__xludf.DUMMYFUNCTION("""COMPUTED_VALUE"""),2074.0)</f>
        <v>2074</v>
      </c>
      <c r="B2075" s="1">
        <f>IFERROR(__xludf.DUMMYFUNCTION("""COMPUTED_VALUE"""),5684.0)</f>
        <v>5684</v>
      </c>
      <c r="C2075" s="2" t="str">
        <f>IFERROR(__xludf.DUMMYFUNCTION("""COMPUTED_VALUE"""),"Raka Dewo")</f>
        <v>Raka Dewo</v>
      </c>
      <c r="D2075" s="2" t="str">
        <f>IFERROR(__xludf.DUMMYFUNCTION("""COMPUTED_VALUE"""),"5KM OVERALL M")</f>
        <v>5KM OVERALL M</v>
      </c>
      <c r="E2075" s="1">
        <f>IFERROR(__xludf.DUMMYFUNCTION("""COMPUTED_VALUE"""),2.0)</f>
        <v>2</v>
      </c>
      <c r="F2075" s="1" t="str">
        <f>IFERROR(__xludf.DUMMYFUNCTION("""COMPUTED_VALUE"""),"Male")</f>
        <v>Male</v>
      </c>
      <c r="G2075" s="4" t="b">
        <f>IFERROR(__xludf.DUMMYFUNCTION("""COMPUTED_VALUE"""),TRUE)</f>
        <v>1</v>
      </c>
      <c r="H2075" s="4" t="b">
        <f>IFERROR(__xludf.DUMMYFUNCTION("""COMPUTED_VALUE"""),FALSE)</f>
        <v>0</v>
      </c>
      <c r="I2075" s="4">
        <f>IFERROR(__xludf.DUMMYFUNCTION("""COMPUTED_VALUE"""),0.2549440625)</f>
        <v>0.2549440625</v>
      </c>
      <c r="J2075" s="4">
        <f>IFERROR(__xludf.DUMMYFUNCTION("""COMPUTED_VALUE"""),45949.28251286825)</f>
        <v>45949.28251</v>
      </c>
      <c r="K2075" s="4" t="str">
        <f>IFERROR(__xludf.DUMMYFUNCTION("""COMPUTED_VALUE"""),"")</f>
        <v/>
      </c>
      <c r="L2075" s="4">
        <f>IFERROR(__xludf.DUMMYFUNCTION("""COMPUTED_VALUE"""),45949.300810596826)</f>
        <v>45949.30081</v>
      </c>
      <c r="M2075" s="1" t="str">
        <f>IFERROR(__xludf.DUMMYFUNCTION("""COMPUTED_VALUE"""),"RFID")</f>
        <v>RFID</v>
      </c>
      <c r="N2075" s="5">
        <f>IFERROR(__xludf.DUMMYFUNCTION("""COMPUTED_VALUE"""),0.01102752314814815)</f>
        <v>0.01102752315</v>
      </c>
      <c r="O2075" s="5" t="str">
        <f>IFERROR(__xludf.DUMMYFUNCTION("""COMPUTED_VALUE"""),"")</f>
        <v/>
      </c>
      <c r="P2075" s="5" t="str">
        <f>IFERROR(__xludf.DUMMYFUNCTION("""COMPUTED_VALUE"""),"")</f>
        <v/>
      </c>
      <c r="Q2075" s="5">
        <f>IFERROR(__xludf.DUMMYFUNCTION("""COMPUTED_VALUE"""),0.00917330787037037)</f>
        <v>0.00917330787</v>
      </c>
      <c r="R2075" s="4">
        <f>IFERROR(__xludf.DUMMYFUNCTION("""COMPUTED_VALUE"""),45949.045866534325)</f>
        <v>45949.04587</v>
      </c>
      <c r="S2075" s="1" t="b">
        <f>IFERROR(__xludf.DUMMYFUNCTION("""COMPUTED_VALUE"""),TRUE)</f>
        <v>1</v>
      </c>
      <c r="T2075" s="1" t="b">
        <f>IFERROR(__xludf.DUMMYFUNCTION("""COMPUTED_VALUE"""),FALSE)</f>
        <v>0</v>
      </c>
      <c r="U2075" s="1" t="str">
        <f>IFERROR(__xludf.DUMMYFUNCTION("""COMPUTED_VALUE"""),"VALID")</f>
        <v>VALID</v>
      </c>
      <c r="V2075" s="1">
        <f>IFERROR(__xludf.DUMMYFUNCTION("""COMPUTED_VALUE"""),807.0)</f>
        <v>807</v>
      </c>
      <c r="W2075" s="1">
        <f>IFERROR(__xludf.DUMMYFUNCTION("""COMPUTED_VALUE"""),1481.0)</f>
        <v>1481</v>
      </c>
      <c r="X2075" s="1">
        <f>IFERROR(__xludf.DUMMYFUNCTION("""COMPUTED_VALUE"""),1232.0)</f>
        <v>1232</v>
      </c>
      <c r="Y2075" s="2"/>
      <c r="Z2075" s="2"/>
    </row>
    <row r="2076">
      <c r="A2076" s="1">
        <f>IFERROR(__xludf.DUMMYFUNCTION("""COMPUTED_VALUE"""),2075.0)</f>
        <v>2075</v>
      </c>
      <c r="B2076" s="1">
        <f>IFERROR(__xludf.DUMMYFUNCTION("""COMPUTED_VALUE"""),5685.0)</f>
        <v>5685</v>
      </c>
      <c r="C2076" s="2" t="str">
        <f>IFERROR(__xludf.DUMMYFUNCTION("""COMPUTED_VALUE"""),"Hana Halaby")</f>
        <v>Hana Halaby</v>
      </c>
      <c r="D2076" s="2" t="str">
        <f>IFERROR(__xludf.DUMMYFUNCTION("""COMPUTED_VALUE"""),"5KM OVERALL M")</f>
        <v>5KM OVERALL M</v>
      </c>
      <c r="E2076" s="1">
        <f>IFERROR(__xludf.DUMMYFUNCTION("""COMPUTED_VALUE"""),2.0)</f>
        <v>2</v>
      </c>
      <c r="F2076" s="1" t="str">
        <f>IFERROR(__xludf.DUMMYFUNCTION("""COMPUTED_VALUE"""),"Male")</f>
        <v>Male</v>
      </c>
      <c r="G2076" s="4" t="b">
        <f>IFERROR(__xludf.DUMMYFUNCTION("""COMPUTED_VALUE"""),TRUE)</f>
        <v>1</v>
      </c>
      <c r="H2076" s="4" t="b">
        <f>IFERROR(__xludf.DUMMYFUNCTION("""COMPUTED_VALUE"""),TRUE)</f>
        <v>1</v>
      </c>
      <c r="I2076" s="4">
        <f>IFERROR(__xludf.DUMMYFUNCTION("""COMPUTED_VALUE"""),0.2549440625)</f>
        <v>0.2549440625</v>
      </c>
      <c r="J2076" s="4">
        <f>IFERROR(__xludf.DUMMYFUNCTION("""COMPUTED_VALUE"""),45949.28243299761)</f>
        <v>45949.28243</v>
      </c>
      <c r="K2076" s="4" t="str">
        <f>IFERROR(__xludf.DUMMYFUNCTION("""COMPUTED_VALUE"""),"")</f>
        <v/>
      </c>
      <c r="L2076" s="4">
        <f>IFERROR(__xludf.DUMMYFUNCTION("""COMPUTED_VALUE"""),45949.30075850572)</f>
        <v>45949.30076</v>
      </c>
      <c r="M2076" s="1" t="str">
        <f>IFERROR(__xludf.DUMMYFUNCTION("""COMPUTED_VALUE"""),"RFID")</f>
        <v>RFID</v>
      </c>
      <c r="N2076" s="5">
        <f>IFERROR(__xludf.DUMMYFUNCTION("""COMPUTED_VALUE"""),0.010995574074074073)</f>
        <v>0.01099557407</v>
      </c>
      <c r="O2076" s="5" t="str">
        <f>IFERROR(__xludf.DUMMYFUNCTION("""COMPUTED_VALUE"""),"")</f>
        <v/>
      </c>
      <c r="P2076" s="5" t="str">
        <f>IFERROR(__xludf.DUMMYFUNCTION("""COMPUTED_VALUE"""),"")</f>
        <v/>
      </c>
      <c r="Q2076" s="5">
        <f>IFERROR(__xludf.DUMMYFUNCTION("""COMPUTED_VALUE"""),0.009162888888888889)</f>
        <v>0.009162888889</v>
      </c>
      <c r="R2076" s="4">
        <f>IFERROR(__xludf.DUMMYFUNCTION("""COMPUTED_VALUE"""),45949.04581444322)</f>
        <v>45949.04581</v>
      </c>
      <c r="S2076" s="1" t="b">
        <f>IFERROR(__xludf.DUMMYFUNCTION("""COMPUTED_VALUE"""),TRUE)</f>
        <v>1</v>
      </c>
      <c r="T2076" s="1" t="b">
        <f>IFERROR(__xludf.DUMMYFUNCTION("""COMPUTED_VALUE"""),FALSE)</f>
        <v>0</v>
      </c>
      <c r="U2076" s="1" t="str">
        <f>IFERROR(__xludf.DUMMYFUNCTION("""COMPUTED_VALUE"""),"VALID")</f>
        <v>VALID</v>
      </c>
      <c r="V2076" s="1">
        <f>IFERROR(__xludf.DUMMYFUNCTION("""COMPUTED_VALUE"""),806.0)</f>
        <v>806</v>
      </c>
      <c r="W2076" s="1">
        <f>IFERROR(__xludf.DUMMYFUNCTION("""COMPUTED_VALUE"""),1479.0)</f>
        <v>1479</v>
      </c>
      <c r="X2076" s="1">
        <f>IFERROR(__xludf.DUMMYFUNCTION("""COMPUTED_VALUE"""),1230.0)</f>
        <v>1230</v>
      </c>
      <c r="Y2076" s="2"/>
      <c r="Z2076" s="2"/>
    </row>
    <row r="2077">
      <c r="A2077" s="1">
        <f>IFERROR(__xludf.DUMMYFUNCTION("""COMPUTED_VALUE"""),2076.0)</f>
        <v>2076</v>
      </c>
      <c r="B2077" s="1">
        <f>IFERROR(__xludf.DUMMYFUNCTION("""COMPUTED_VALUE"""),5686.0)</f>
        <v>5686</v>
      </c>
      <c r="C2077" s="2" t="str">
        <f>IFERROR(__xludf.DUMMYFUNCTION("""COMPUTED_VALUE"""),"Fajar")</f>
        <v>Fajar</v>
      </c>
      <c r="D2077" s="2" t="str">
        <f>IFERROR(__xludf.DUMMYFUNCTION("""COMPUTED_VALUE"""),"5KM OVERALL M")</f>
        <v>5KM OVERALL M</v>
      </c>
      <c r="E2077" s="1">
        <f>IFERROR(__xludf.DUMMYFUNCTION("""COMPUTED_VALUE"""),2.0)</f>
        <v>2</v>
      </c>
      <c r="F2077" s="1" t="str">
        <f>IFERROR(__xludf.DUMMYFUNCTION("""COMPUTED_VALUE"""),"Male")</f>
        <v>Male</v>
      </c>
      <c r="G2077" s="4" t="b">
        <f>IFERROR(__xludf.DUMMYFUNCTION("""COMPUTED_VALUE"""),TRUE)</f>
        <v>1</v>
      </c>
      <c r="H2077" s="4" t="b">
        <f>IFERROR(__xludf.DUMMYFUNCTION("""COMPUTED_VALUE"""),TRUE)</f>
        <v>1</v>
      </c>
      <c r="I2077" s="4">
        <f>IFERROR(__xludf.DUMMYFUNCTION("""COMPUTED_VALUE"""),0.2549440625)</f>
        <v>0.2549440625</v>
      </c>
      <c r="J2077" s="4">
        <f>IFERROR(__xludf.DUMMYFUNCTION("""COMPUTED_VALUE"""),45949.27193294674)</f>
        <v>45949.27193</v>
      </c>
      <c r="K2077" s="4" t="str">
        <f>IFERROR(__xludf.DUMMYFUNCTION("""COMPUTED_VALUE"""),"")</f>
        <v/>
      </c>
      <c r="L2077" s="4">
        <f>IFERROR(__xludf.DUMMYFUNCTION("""COMPUTED_VALUE"""),45949.28151540372)</f>
        <v>45949.28152</v>
      </c>
      <c r="M2077" s="1" t="str">
        <f>IFERROR(__xludf.DUMMYFUNCTION("""COMPUTED_VALUE"""),"RFID")</f>
        <v>RFID</v>
      </c>
      <c r="N2077" s="5">
        <f>IFERROR(__xludf.DUMMYFUNCTION("""COMPUTED_VALUE"""),0.006795555555555555)</f>
        <v>0.006795555556</v>
      </c>
      <c r="O2077" s="5" t="str">
        <f>IFERROR(__xludf.DUMMYFUNCTION("""COMPUTED_VALUE"""),"")</f>
        <v/>
      </c>
      <c r="P2077" s="5" t="str">
        <f>IFERROR(__xludf.DUMMYFUNCTION("""COMPUTED_VALUE"""),"")</f>
        <v/>
      </c>
      <c r="Q2077" s="5">
        <f>IFERROR(__xludf.DUMMYFUNCTION("""COMPUTED_VALUE"""),0.0053142685185185185)</f>
        <v>0.005314268519</v>
      </c>
      <c r="R2077" s="4">
        <f>IFERROR(__xludf.DUMMYFUNCTION("""COMPUTED_VALUE"""),45949.02657134122)</f>
        <v>45949.02657</v>
      </c>
      <c r="S2077" s="1" t="b">
        <f>IFERROR(__xludf.DUMMYFUNCTION("""COMPUTED_VALUE"""),TRUE)</f>
        <v>1</v>
      </c>
      <c r="T2077" s="1" t="b">
        <f>IFERROR(__xludf.DUMMYFUNCTION("""COMPUTED_VALUE"""),FALSE)</f>
        <v>0</v>
      </c>
      <c r="U2077" s="1" t="str">
        <f>IFERROR(__xludf.DUMMYFUNCTION("""COMPUTED_VALUE"""),"VALID")</f>
        <v>VALID</v>
      </c>
      <c r="V2077" s="1">
        <f>IFERROR(__xludf.DUMMYFUNCTION("""COMPUTED_VALUE"""),238.0)</f>
        <v>238</v>
      </c>
      <c r="W2077" s="1">
        <f>IFERROR(__xludf.DUMMYFUNCTION("""COMPUTED_VALUE"""),367.0)</f>
        <v>367</v>
      </c>
      <c r="X2077" s="1">
        <f>IFERROR(__xludf.DUMMYFUNCTION("""COMPUTED_VALUE"""),318.0)</f>
        <v>318</v>
      </c>
      <c r="Y2077" s="2"/>
      <c r="Z2077" s="2"/>
    </row>
    <row r="2078">
      <c r="A2078" s="1">
        <f>IFERROR(__xludf.DUMMYFUNCTION("""COMPUTED_VALUE"""),2077.0)</f>
        <v>2077</v>
      </c>
      <c r="B2078" s="1">
        <f>IFERROR(__xludf.DUMMYFUNCTION("""COMPUTED_VALUE"""),5687.0)</f>
        <v>5687</v>
      </c>
      <c r="C2078" s="2" t="str">
        <f>IFERROR(__xludf.DUMMYFUNCTION("""COMPUTED_VALUE"""),"GPD")</f>
        <v>GPD</v>
      </c>
      <c r="D2078" s="2" t="str">
        <f>IFERROR(__xludf.DUMMYFUNCTION("""COMPUTED_VALUE"""),"5KM OVERALL M")</f>
        <v>5KM OVERALL M</v>
      </c>
      <c r="E2078" s="1">
        <f>IFERROR(__xludf.DUMMYFUNCTION("""COMPUTED_VALUE"""),2.0)</f>
        <v>2</v>
      </c>
      <c r="F2078" s="1" t="str">
        <f>IFERROR(__xludf.DUMMYFUNCTION("""COMPUTED_VALUE"""),"Male")</f>
        <v>Male</v>
      </c>
      <c r="G2078" s="4" t="b">
        <f>IFERROR(__xludf.DUMMYFUNCTION("""COMPUTED_VALUE"""),TRUE)</f>
        <v>1</v>
      </c>
      <c r="H2078" s="4" t="b">
        <f>IFERROR(__xludf.DUMMYFUNCTION("""COMPUTED_VALUE"""),TRUE)</f>
        <v>1</v>
      </c>
      <c r="I2078" s="4">
        <f>IFERROR(__xludf.DUMMYFUNCTION("""COMPUTED_VALUE"""),0.2549440625)</f>
        <v>0.2549440625</v>
      </c>
      <c r="J2078" s="4">
        <f>IFERROR(__xludf.DUMMYFUNCTION("""COMPUTED_VALUE"""),45949.27152344424)</f>
        <v>45949.27152</v>
      </c>
      <c r="K2078" s="4" t="str">
        <f>IFERROR(__xludf.DUMMYFUNCTION("""COMPUTED_VALUE"""),"")</f>
        <v/>
      </c>
      <c r="L2078" s="4">
        <f>IFERROR(__xludf.DUMMYFUNCTION("""COMPUTED_VALUE"""),45949.28355017042)</f>
        <v>45949.28355</v>
      </c>
      <c r="M2078" s="1" t="str">
        <f>IFERROR(__xludf.DUMMYFUNCTION("""COMPUTED_VALUE"""),"RFID")</f>
        <v>RFID</v>
      </c>
      <c r="N2078" s="5">
        <f>IFERROR(__xludf.DUMMYFUNCTION("""COMPUTED_VALUE"""),0.00663175462962963)</f>
        <v>0.00663175463</v>
      </c>
      <c r="O2078" s="5" t="str">
        <f>IFERROR(__xludf.DUMMYFUNCTION("""COMPUTED_VALUE"""),"")</f>
        <v/>
      </c>
      <c r="P2078" s="5" t="str">
        <f>IFERROR(__xludf.DUMMYFUNCTION("""COMPUTED_VALUE"""),"")</f>
        <v/>
      </c>
      <c r="Q2078" s="5">
        <f>IFERROR(__xludf.DUMMYFUNCTION("""COMPUTED_VALUE"""),0.005721222222222223)</f>
        <v>0.005721222222</v>
      </c>
      <c r="R2078" s="4">
        <f>IFERROR(__xludf.DUMMYFUNCTION("""COMPUTED_VALUE"""),45949.02860610792)</f>
        <v>45949.02861</v>
      </c>
      <c r="S2078" s="1" t="b">
        <f>IFERROR(__xludf.DUMMYFUNCTION("""COMPUTED_VALUE"""),TRUE)</f>
        <v>1</v>
      </c>
      <c r="T2078" s="1" t="b">
        <f>IFERROR(__xludf.DUMMYFUNCTION("""COMPUTED_VALUE"""),FALSE)</f>
        <v>0</v>
      </c>
      <c r="U2078" s="1" t="str">
        <f>IFERROR(__xludf.DUMMYFUNCTION("""COMPUTED_VALUE"""),"VALID")</f>
        <v>VALID</v>
      </c>
      <c r="V2078" s="1">
        <f>IFERROR(__xludf.DUMMYFUNCTION("""COMPUTED_VALUE"""),313.0)</f>
        <v>313</v>
      </c>
      <c r="W2078" s="1">
        <f>IFERROR(__xludf.DUMMYFUNCTION("""COMPUTED_VALUE"""),467.0)</f>
        <v>467</v>
      </c>
      <c r="X2078" s="1">
        <f>IFERROR(__xludf.DUMMYFUNCTION("""COMPUTED_VALUE"""),404.0)</f>
        <v>404</v>
      </c>
      <c r="Y2078" s="2"/>
      <c r="Z2078" s="2"/>
    </row>
    <row r="2079">
      <c r="A2079" s="1">
        <f>IFERROR(__xludf.DUMMYFUNCTION("""COMPUTED_VALUE"""),2078.0)</f>
        <v>2078</v>
      </c>
      <c r="B2079" s="1">
        <f>IFERROR(__xludf.DUMMYFUNCTION("""COMPUTED_VALUE"""),5688.0)</f>
        <v>5688</v>
      </c>
      <c r="C2079" s="2" t="str">
        <f>IFERROR(__xludf.DUMMYFUNCTION("""COMPUTED_VALUE"""),"Firdaus")</f>
        <v>Firdaus</v>
      </c>
      <c r="D2079" s="2" t="str">
        <f>IFERROR(__xludf.DUMMYFUNCTION("""COMPUTED_VALUE"""),"5KM OVERALL M")</f>
        <v>5KM OVERALL M</v>
      </c>
      <c r="E2079" s="1">
        <f>IFERROR(__xludf.DUMMYFUNCTION("""COMPUTED_VALUE"""),2.0)</f>
        <v>2</v>
      </c>
      <c r="F2079" s="1" t="str">
        <f>IFERROR(__xludf.DUMMYFUNCTION("""COMPUTED_VALUE"""),"Male")</f>
        <v>Male</v>
      </c>
      <c r="G2079" s="4" t="b">
        <f>IFERROR(__xludf.DUMMYFUNCTION("""COMPUTED_VALUE"""),TRUE)</f>
        <v>1</v>
      </c>
      <c r="H2079" s="4" t="b">
        <f>IFERROR(__xludf.DUMMYFUNCTION("""COMPUTED_VALUE"""),FALSE)</f>
        <v>0</v>
      </c>
      <c r="I2079" s="4">
        <f>IFERROR(__xludf.DUMMYFUNCTION("""COMPUTED_VALUE"""),0.2549440625)</f>
        <v>0.2549440625</v>
      </c>
      <c r="J2079" s="4">
        <f>IFERROR(__xludf.DUMMYFUNCTION("""COMPUTED_VALUE"""),45949.27020376597)</f>
        <v>45949.2702</v>
      </c>
      <c r="K2079" s="4" t="str">
        <f>IFERROR(__xludf.DUMMYFUNCTION("""COMPUTED_VALUE"""),"")</f>
        <v/>
      </c>
      <c r="L2079" s="4">
        <f>IFERROR(__xludf.DUMMYFUNCTION("""COMPUTED_VALUE"""),45949.28074457755)</f>
        <v>45949.28074</v>
      </c>
      <c r="M2079" s="1" t="str">
        <f>IFERROR(__xludf.DUMMYFUNCTION("""COMPUTED_VALUE"""),"RFID")</f>
        <v>RFID</v>
      </c>
      <c r="N2079" s="5">
        <f>IFERROR(__xludf.DUMMYFUNCTION("""COMPUTED_VALUE"""),0.00610387962962963)</f>
        <v>0.00610387963</v>
      </c>
      <c r="O2079" s="5" t="str">
        <f>IFERROR(__xludf.DUMMYFUNCTION("""COMPUTED_VALUE"""),"")</f>
        <v/>
      </c>
      <c r="P2079" s="5" t="str">
        <f>IFERROR(__xludf.DUMMYFUNCTION("""COMPUTED_VALUE"""),"")</f>
        <v/>
      </c>
      <c r="Q2079" s="5">
        <f>IFERROR(__xludf.DUMMYFUNCTION("""COMPUTED_VALUE"""),0.005160104166666667)</f>
        <v>0.005160104167</v>
      </c>
      <c r="R2079" s="4">
        <f>IFERROR(__xludf.DUMMYFUNCTION("""COMPUTED_VALUE"""),45949.025800515046)</f>
        <v>45949.0258</v>
      </c>
      <c r="S2079" s="1" t="b">
        <f>IFERROR(__xludf.DUMMYFUNCTION("""COMPUTED_VALUE"""),TRUE)</f>
        <v>1</v>
      </c>
      <c r="T2079" s="1" t="b">
        <f>IFERROR(__xludf.DUMMYFUNCTION("""COMPUTED_VALUE"""),FALSE)</f>
        <v>0</v>
      </c>
      <c r="U2079" s="1" t="str">
        <f>IFERROR(__xludf.DUMMYFUNCTION("""COMPUTED_VALUE"""),"VALID")</f>
        <v>VALID</v>
      </c>
      <c r="V2079" s="1">
        <f>IFERROR(__xludf.DUMMYFUNCTION("""COMPUTED_VALUE"""),212.0)</f>
        <v>212</v>
      </c>
      <c r="W2079" s="1">
        <f>IFERROR(__xludf.DUMMYFUNCTION("""COMPUTED_VALUE"""),328.0)</f>
        <v>328</v>
      </c>
      <c r="X2079" s="1">
        <f>IFERROR(__xludf.DUMMYFUNCTION("""COMPUTED_VALUE"""),287.0)</f>
        <v>287</v>
      </c>
      <c r="Y2079" s="2"/>
      <c r="Z2079" s="2"/>
    </row>
    <row r="2080">
      <c r="A2080" s="1">
        <f>IFERROR(__xludf.DUMMYFUNCTION("""COMPUTED_VALUE"""),2079.0)</f>
        <v>2079</v>
      </c>
      <c r="B2080" s="1">
        <f>IFERROR(__xludf.DUMMYFUNCTION("""COMPUTED_VALUE"""),5689.0)</f>
        <v>5689</v>
      </c>
      <c r="C2080" s="2" t="str">
        <f>IFERROR(__xludf.DUMMYFUNCTION("""COMPUTED_VALUE"""),"Mahfud")</f>
        <v>Mahfud</v>
      </c>
      <c r="D2080" s="2" t="str">
        <f>IFERROR(__xludf.DUMMYFUNCTION("""COMPUTED_VALUE"""),"5KM OVERALL M")</f>
        <v>5KM OVERALL M</v>
      </c>
      <c r="E2080" s="1">
        <f>IFERROR(__xludf.DUMMYFUNCTION("""COMPUTED_VALUE"""),2.0)</f>
        <v>2</v>
      </c>
      <c r="F2080" s="1" t="str">
        <f>IFERROR(__xludf.DUMMYFUNCTION("""COMPUTED_VALUE"""),"Male")</f>
        <v>Male</v>
      </c>
      <c r="G2080" s="4" t="b">
        <f>IFERROR(__xludf.DUMMYFUNCTION("""COMPUTED_VALUE"""),TRUE)</f>
        <v>1</v>
      </c>
      <c r="H2080" s="4" t="b">
        <f>IFERROR(__xludf.DUMMYFUNCTION("""COMPUTED_VALUE"""),FALSE)</f>
        <v>0</v>
      </c>
      <c r="I2080" s="4">
        <f>IFERROR(__xludf.DUMMYFUNCTION("""COMPUTED_VALUE"""),0.2549440625)</f>
        <v>0.2549440625</v>
      </c>
      <c r="J2080" s="4">
        <f>IFERROR(__xludf.DUMMYFUNCTION("""COMPUTED_VALUE"""),45949.27511003475)</f>
        <v>45949.27511</v>
      </c>
      <c r="K2080" s="4" t="str">
        <f>IFERROR(__xludf.DUMMYFUNCTION("""COMPUTED_VALUE"""),"")</f>
        <v/>
      </c>
      <c r="L2080" s="4">
        <f>IFERROR(__xludf.DUMMYFUNCTION("""COMPUTED_VALUE"""),45949.29228282233)</f>
        <v>45949.29228</v>
      </c>
      <c r="M2080" s="1" t="str">
        <f>IFERROR(__xludf.DUMMYFUNCTION("""COMPUTED_VALUE"""),"RFID")</f>
        <v>RFID</v>
      </c>
      <c r="N2080" s="5">
        <f>IFERROR(__xludf.DUMMYFUNCTION("""COMPUTED_VALUE"""),0.008066388888888889)</f>
        <v>0.008066388889</v>
      </c>
      <c r="O2080" s="5" t="str">
        <f>IFERROR(__xludf.DUMMYFUNCTION("""COMPUTED_VALUE"""),"")</f>
        <v/>
      </c>
      <c r="P2080" s="5" t="str">
        <f>IFERROR(__xludf.DUMMYFUNCTION("""COMPUTED_VALUE"""),"")</f>
        <v/>
      </c>
      <c r="Q2080" s="5">
        <f>IFERROR(__xludf.DUMMYFUNCTION("""COMPUTED_VALUE"""),0.007467752314814814)</f>
        <v>0.007467752315</v>
      </c>
      <c r="R2080" s="4">
        <f>IFERROR(__xludf.DUMMYFUNCTION("""COMPUTED_VALUE"""),45949.03733875983)</f>
        <v>45949.03734</v>
      </c>
      <c r="S2080" s="1" t="b">
        <f>IFERROR(__xludf.DUMMYFUNCTION("""COMPUTED_VALUE"""),TRUE)</f>
        <v>1</v>
      </c>
      <c r="T2080" s="1" t="b">
        <f>IFERROR(__xludf.DUMMYFUNCTION("""COMPUTED_VALUE"""),FALSE)</f>
        <v>0</v>
      </c>
      <c r="U2080" s="1" t="str">
        <f>IFERROR(__xludf.DUMMYFUNCTION("""COMPUTED_VALUE"""),"VALID")</f>
        <v>VALID</v>
      </c>
      <c r="V2080" s="1">
        <f>IFERROR(__xludf.DUMMYFUNCTION("""COMPUTED_VALUE"""),634.0)</f>
        <v>634</v>
      </c>
      <c r="W2080" s="1">
        <f>IFERROR(__xludf.DUMMYFUNCTION("""COMPUTED_VALUE"""),1047.0)</f>
        <v>1047</v>
      </c>
      <c r="X2080" s="1">
        <f>IFERROR(__xludf.DUMMYFUNCTION("""COMPUTED_VALUE"""),835.0)</f>
        <v>835</v>
      </c>
      <c r="Y2080" s="2"/>
      <c r="Z2080" s="2"/>
    </row>
    <row r="2081">
      <c r="A2081" s="1">
        <f>IFERROR(__xludf.DUMMYFUNCTION("""COMPUTED_VALUE"""),2080.0)</f>
        <v>2080</v>
      </c>
      <c r="B2081" s="1">
        <f>IFERROR(__xludf.DUMMYFUNCTION("""COMPUTED_VALUE"""),5690.0)</f>
        <v>5690</v>
      </c>
      <c r="C2081" s="2" t="str">
        <f>IFERROR(__xludf.DUMMYFUNCTION("""COMPUTED_VALUE"""),"DIMAS A. KADARISMAN")</f>
        <v>DIMAS A. KADARISMAN</v>
      </c>
      <c r="D2081" s="2" t="str">
        <f>IFERROR(__xludf.DUMMYFUNCTION("""COMPUTED_VALUE"""),"5KM OVERALL M")</f>
        <v>5KM OVERALL M</v>
      </c>
      <c r="E2081" s="1">
        <f>IFERROR(__xludf.DUMMYFUNCTION("""COMPUTED_VALUE"""),2.0)</f>
        <v>2</v>
      </c>
      <c r="F2081" s="1" t="str">
        <f>IFERROR(__xludf.DUMMYFUNCTION("""COMPUTED_VALUE"""),"Male")</f>
        <v>Male</v>
      </c>
      <c r="G2081" s="4" t="b">
        <f>IFERROR(__xludf.DUMMYFUNCTION("""COMPUTED_VALUE"""),TRUE)</f>
        <v>1</v>
      </c>
      <c r="H2081" s="4" t="b">
        <f>IFERROR(__xludf.DUMMYFUNCTION("""COMPUTED_VALUE"""),TRUE)</f>
        <v>1</v>
      </c>
      <c r="I2081" s="4">
        <f>IFERROR(__xludf.DUMMYFUNCTION("""COMPUTED_VALUE"""),0.2549440625)</f>
        <v>0.2549440625</v>
      </c>
      <c r="J2081" s="4">
        <f>IFERROR(__xludf.DUMMYFUNCTION("""COMPUTED_VALUE"""),45949.27716211586)</f>
        <v>45949.27716</v>
      </c>
      <c r="K2081" s="4" t="str">
        <f>IFERROR(__xludf.DUMMYFUNCTION("""COMPUTED_VALUE"""),"")</f>
        <v/>
      </c>
      <c r="L2081" s="4">
        <f>IFERROR(__xludf.DUMMYFUNCTION("""COMPUTED_VALUE"""),45949.29618558514)</f>
        <v>45949.29619</v>
      </c>
      <c r="M2081" s="1" t="str">
        <f>IFERROR(__xludf.DUMMYFUNCTION("""COMPUTED_VALUE"""),"RFID")</f>
        <v>RFID</v>
      </c>
      <c r="N2081" s="5">
        <f>IFERROR(__xludf.DUMMYFUNCTION("""COMPUTED_VALUE"""),0.008887222222222223)</f>
        <v>0.008887222222</v>
      </c>
      <c r="O2081" s="5" t="str">
        <f>IFERROR(__xludf.DUMMYFUNCTION("""COMPUTED_VALUE"""),"")</f>
        <v/>
      </c>
      <c r="P2081" s="5" t="str">
        <f>IFERROR(__xludf.DUMMYFUNCTION("""COMPUTED_VALUE"""),"")</f>
        <v/>
      </c>
      <c r="Q2081" s="5">
        <f>IFERROR(__xludf.DUMMYFUNCTION("""COMPUTED_VALUE"""),0.008248305555555556)</f>
        <v>0.008248305556</v>
      </c>
      <c r="R2081" s="4">
        <f>IFERROR(__xludf.DUMMYFUNCTION("""COMPUTED_VALUE"""),45949.04124152264)</f>
        <v>45949.04124</v>
      </c>
      <c r="S2081" s="1" t="b">
        <f>IFERROR(__xludf.DUMMYFUNCTION("""COMPUTED_VALUE"""),TRUE)</f>
        <v>1</v>
      </c>
      <c r="T2081" s="1" t="b">
        <f>IFERROR(__xludf.DUMMYFUNCTION("""COMPUTED_VALUE"""),FALSE)</f>
        <v>0</v>
      </c>
      <c r="U2081" s="1" t="str">
        <f>IFERROR(__xludf.DUMMYFUNCTION("""COMPUTED_VALUE"""),"VALID")</f>
        <v>VALID</v>
      </c>
      <c r="V2081" s="1">
        <f>IFERROR(__xludf.DUMMYFUNCTION("""COMPUTED_VALUE"""),738.0)</f>
        <v>738</v>
      </c>
      <c r="W2081" s="1">
        <f>IFERROR(__xludf.DUMMYFUNCTION("""COMPUTED_VALUE"""),1296.0)</f>
        <v>1296</v>
      </c>
      <c r="X2081" s="1">
        <f>IFERROR(__xludf.DUMMYFUNCTION("""COMPUTED_VALUE"""),1027.0)</f>
        <v>1027</v>
      </c>
      <c r="Y2081" s="2"/>
      <c r="Z2081" s="2"/>
    </row>
    <row r="2082">
      <c r="A2082" s="1">
        <f>IFERROR(__xludf.DUMMYFUNCTION("""COMPUTED_VALUE"""),2081.0)</f>
        <v>2081</v>
      </c>
      <c r="B2082" s="1">
        <f>IFERROR(__xludf.DUMMYFUNCTION("""COMPUTED_VALUE"""),5691.0)</f>
        <v>5691</v>
      </c>
      <c r="C2082" s="2" t="str">
        <f>IFERROR(__xludf.DUMMYFUNCTION("""COMPUTED_VALUE"""),"weppo")</f>
        <v>weppo</v>
      </c>
      <c r="D2082" s="2" t="str">
        <f>IFERROR(__xludf.DUMMYFUNCTION("""COMPUTED_VALUE"""),"5KM OVERALL M")</f>
        <v>5KM OVERALL M</v>
      </c>
      <c r="E2082" s="1">
        <f>IFERROR(__xludf.DUMMYFUNCTION("""COMPUTED_VALUE"""),2.0)</f>
        <v>2</v>
      </c>
      <c r="F2082" s="1" t="str">
        <f>IFERROR(__xludf.DUMMYFUNCTION("""COMPUTED_VALUE"""),"Male")</f>
        <v>Male</v>
      </c>
      <c r="G2082" s="4" t="b">
        <f>IFERROR(__xludf.DUMMYFUNCTION("""COMPUTED_VALUE"""),TRUE)</f>
        <v>1</v>
      </c>
      <c r="H2082" s="4" t="b">
        <f>IFERROR(__xludf.DUMMYFUNCTION("""COMPUTED_VALUE"""),TRUE)</f>
        <v>1</v>
      </c>
      <c r="I2082" s="4">
        <f>IFERROR(__xludf.DUMMYFUNCTION("""COMPUTED_VALUE"""),0.2549440625)</f>
        <v>0.2549440625</v>
      </c>
      <c r="J2082" s="4">
        <f>IFERROR(__xludf.DUMMYFUNCTION("""COMPUTED_VALUE"""),45949.266547579784)</f>
        <v>45949.26655</v>
      </c>
      <c r="K2082" s="4" t="str">
        <f>IFERROR(__xludf.DUMMYFUNCTION("""COMPUTED_VALUE"""),"")</f>
        <v/>
      </c>
      <c r="L2082" s="4">
        <f>IFERROR(__xludf.DUMMYFUNCTION("""COMPUTED_VALUE"""),45949.274390491795)</f>
        <v>45949.27439</v>
      </c>
      <c r="M2082" s="1" t="str">
        <f>IFERROR(__xludf.DUMMYFUNCTION("""COMPUTED_VALUE"""),"RFID")</f>
        <v>RFID</v>
      </c>
      <c r="N2082" s="5">
        <f>IFERROR(__xludf.DUMMYFUNCTION("""COMPUTED_VALUE"""),0.0046414074074074075)</f>
        <v>0.004641407407</v>
      </c>
      <c r="O2082" s="5" t="str">
        <f>IFERROR(__xludf.DUMMYFUNCTION("""COMPUTED_VALUE"""),"")</f>
        <v/>
      </c>
      <c r="P2082" s="5" t="str">
        <f>IFERROR(__xludf.DUMMYFUNCTION("""COMPUTED_VALUE"""),"")</f>
        <v/>
      </c>
      <c r="Q2082" s="5">
        <f>IFERROR(__xludf.DUMMYFUNCTION("""COMPUTED_VALUE"""),0.003889284722222222)</f>
        <v>0.003889284722</v>
      </c>
      <c r="R2082" s="4">
        <f>IFERROR(__xludf.DUMMYFUNCTION("""COMPUTED_VALUE"""),45949.019446429294)</f>
        <v>45949.01945</v>
      </c>
      <c r="S2082" s="1" t="b">
        <f>IFERROR(__xludf.DUMMYFUNCTION("""COMPUTED_VALUE"""),TRUE)</f>
        <v>1</v>
      </c>
      <c r="T2082" s="1" t="b">
        <f>IFERROR(__xludf.DUMMYFUNCTION("""COMPUTED_VALUE"""),FALSE)</f>
        <v>0</v>
      </c>
      <c r="U2082" s="1" t="str">
        <f>IFERROR(__xludf.DUMMYFUNCTION("""COMPUTED_VALUE"""),"VALID")</f>
        <v>VALID</v>
      </c>
      <c r="V2082" s="1">
        <f>IFERROR(__xludf.DUMMYFUNCTION("""COMPUTED_VALUE"""),68.0)</f>
        <v>68</v>
      </c>
      <c r="W2082" s="1">
        <f>IFERROR(__xludf.DUMMYFUNCTION("""COMPUTED_VALUE"""),101.0)</f>
        <v>101</v>
      </c>
      <c r="X2082" s="1">
        <f>IFERROR(__xludf.DUMMYFUNCTION("""COMPUTED_VALUE"""),91.0)</f>
        <v>91</v>
      </c>
      <c r="Y2082" s="2"/>
      <c r="Z2082" s="2"/>
    </row>
    <row r="2083">
      <c r="A2083" s="1">
        <f>IFERROR(__xludf.DUMMYFUNCTION("""COMPUTED_VALUE"""),2082.0)</f>
        <v>2082</v>
      </c>
      <c r="B2083" s="1">
        <f>IFERROR(__xludf.DUMMYFUNCTION("""COMPUTED_VALUE"""),5692.0)</f>
        <v>5692</v>
      </c>
      <c r="C2083" s="2" t="str">
        <f>IFERROR(__xludf.DUMMYFUNCTION("""COMPUTED_VALUE"""),"Firdaus")</f>
        <v>Firdaus</v>
      </c>
      <c r="D2083" s="2" t="str">
        <f>IFERROR(__xludf.DUMMYFUNCTION("""COMPUTED_VALUE"""),"5KM OVERALL M")</f>
        <v>5KM OVERALL M</v>
      </c>
      <c r="E2083" s="1">
        <f>IFERROR(__xludf.DUMMYFUNCTION("""COMPUTED_VALUE"""),2.0)</f>
        <v>2</v>
      </c>
      <c r="F2083" s="1" t="str">
        <f>IFERROR(__xludf.DUMMYFUNCTION("""COMPUTED_VALUE"""),"Male")</f>
        <v>Male</v>
      </c>
      <c r="G2083" s="4" t="b">
        <f>IFERROR(__xludf.DUMMYFUNCTION("""COMPUTED_VALUE"""),TRUE)</f>
        <v>1</v>
      </c>
      <c r="H2083" s="4" t="b">
        <f>IFERROR(__xludf.DUMMYFUNCTION("""COMPUTED_VALUE"""),TRUE)</f>
        <v>1</v>
      </c>
      <c r="I2083" s="4">
        <f>IFERROR(__xludf.DUMMYFUNCTION("""COMPUTED_VALUE"""),0.2549440625)</f>
        <v>0.2549440625</v>
      </c>
      <c r="J2083" s="4">
        <f>IFERROR(__xludf.DUMMYFUNCTION("""COMPUTED_VALUE"""),45949.27099204162)</f>
        <v>45949.27099</v>
      </c>
      <c r="K2083" s="4" t="str">
        <f>IFERROR(__xludf.DUMMYFUNCTION("""COMPUTED_VALUE"""),"")</f>
        <v/>
      </c>
      <c r="L2083" s="4">
        <f>IFERROR(__xludf.DUMMYFUNCTION("""COMPUTED_VALUE"""),45949.28210573158)</f>
        <v>45949.28211</v>
      </c>
      <c r="M2083" s="1" t="str">
        <f>IFERROR(__xludf.DUMMYFUNCTION("""COMPUTED_VALUE"""),"RFID")</f>
        <v>RFID</v>
      </c>
      <c r="N2083" s="5">
        <f>IFERROR(__xludf.DUMMYFUNCTION("""COMPUTED_VALUE"""),0.006419189814814816)</f>
        <v>0.006419189815</v>
      </c>
      <c r="O2083" s="5" t="str">
        <f>IFERROR(__xludf.DUMMYFUNCTION("""COMPUTED_VALUE"""),"")</f>
        <v/>
      </c>
      <c r="P2083" s="5" t="str">
        <f>IFERROR(__xludf.DUMMYFUNCTION("""COMPUTED_VALUE"""),"")</f>
        <v/>
      </c>
      <c r="Q2083" s="5">
        <f>IFERROR(__xludf.DUMMYFUNCTION("""COMPUTED_VALUE"""),0.005432333333333333)</f>
        <v>0.005432333333</v>
      </c>
      <c r="R2083" s="4">
        <f>IFERROR(__xludf.DUMMYFUNCTION("""COMPUTED_VALUE"""),45949.02716166908)</f>
        <v>45949.02716</v>
      </c>
      <c r="S2083" s="1" t="b">
        <f>IFERROR(__xludf.DUMMYFUNCTION("""COMPUTED_VALUE"""),TRUE)</f>
        <v>1</v>
      </c>
      <c r="T2083" s="1" t="b">
        <f>IFERROR(__xludf.DUMMYFUNCTION("""COMPUTED_VALUE"""),FALSE)</f>
        <v>0</v>
      </c>
      <c r="U2083" s="1" t="str">
        <f>IFERROR(__xludf.DUMMYFUNCTION("""COMPUTED_VALUE"""),"VALID")</f>
        <v>VALID</v>
      </c>
      <c r="V2083" s="1">
        <f>IFERROR(__xludf.DUMMYFUNCTION("""COMPUTED_VALUE"""),255.0)</f>
        <v>255</v>
      </c>
      <c r="W2083" s="1">
        <f>IFERROR(__xludf.DUMMYFUNCTION("""COMPUTED_VALUE"""),391.0)</f>
        <v>391</v>
      </c>
      <c r="X2083" s="1">
        <f>IFERROR(__xludf.DUMMYFUNCTION("""COMPUTED_VALUE"""),338.0)</f>
        <v>338</v>
      </c>
      <c r="Y2083" s="2"/>
      <c r="Z2083" s="2"/>
    </row>
    <row r="2084">
      <c r="A2084" s="1">
        <f>IFERROR(__xludf.DUMMYFUNCTION("""COMPUTED_VALUE"""),2083.0)</f>
        <v>2083</v>
      </c>
      <c r="B2084" s="1">
        <f>IFERROR(__xludf.DUMMYFUNCTION("""COMPUTED_VALUE"""),5693.0)</f>
        <v>5693</v>
      </c>
      <c r="C2084" s="2" t="str">
        <f>IFERROR(__xludf.DUMMYFUNCTION("""COMPUTED_VALUE"""),"Hamam Dwi Hermawan")</f>
        <v>Hamam Dwi Hermawan</v>
      </c>
      <c r="D2084" s="2" t="str">
        <f>IFERROR(__xludf.DUMMYFUNCTION("""COMPUTED_VALUE"""),"5KM OVERALL M")</f>
        <v>5KM OVERALL M</v>
      </c>
      <c r="E2084" s="1">
        <f>IFERROR(__xludf.DUMMYFUNCTION("""COMPUTED_VALUE"""),2.0)</f>
        <v>2</v>
      </c>
      <c r="F2084" s="1" t="str">
        <f>IFERROR(__xludf.DUMMYFUNCTION("""COMPUTED_VALUE"""),"Male")</f>
        <v>Male</v>
      </c>
      <c r="G2084" s="4" t="b">
        <f>IFERROR(__xludf.DUMMYFUNCTION("""COMPUTED_VALUE"""),TRUE)</f>
        <v>1</v>
      </c>
      <c r="H2084" s="4" t="b">
        <f>IFERROR(__xludf.DUMMYFUNCTION("""COMPUTED_VALUE"""),TRUE)</f>
        <v>1</v>
      </c>
      <c r="I2084" s="4">
        <f>IFERROR(__xludf.DUMMYFUNCTION("""COMPUTED_VALUE"""),0.2549440625)</f>
        <v>0.2549440625</v>
      </c>
      <c r="J2084" s="4">
        <f>IFERROR(__xludf.DUMMYFUNCTION("""COMPUTED_VALUE"""),45949.27091213935)</f>
        <v>45949.27091</v>
      </c>
      <c r="K2084" s="4" t="str">
        <f>IFERROR(__xludf.DUMMYFUNCTION("""COMPUTED_VALUE"""),"")</f>
        <v/>
      </c>
      <c r="L2084" s="4">
        <f>IFERROR(__xludf.DUMMYFUNCTION("""COMPUTED_VALUE"""),45949.281109205134)</f>
        <v>45949.28111</v>
      </c>
      <c r="M2084" s="1" t="str">
        <f>IFERROR(__xludf.DUMMYFUNCTION("""COMPUTED_VALUE"""),"RFID")</f>
        <v>RFID</v>
      </c>
      <c r="N2084" s="5">
        <f>IFERROR(__xludf.DUMMYFUNCTION("""COMPUTED_VALUE"""),0.006387231481481482)</f>
        <v>0.006387231481</v>
      </c>
      <c r="O2084" s="5" t="str">
        <f>IFERROR(__xludf.DUMMYFUNCTION("""COMPUTED_VALUE"""),"")</f>
        <v/>
      </c>
      <c r="P2084" s="5" t="str">
        <f>IFERROR(__xludf.DUMMYFUNCTION("""COMPUTED_VALUE"""),"")</f>
        <v/>
      </c>
      <c r="Q2084" s="5">
        <f>IFERROR(__xludf.DUMMYFUNCTION("""COMPUTED_VALUE"""),0.005233027777777778)</f>
        <v>0.005233027778</v>
      </c>
      <c r="R2084" s="4">
        <f>IFERROR(__xludf.DUMMYFUNCTION("""COMPUTED_VALUE"""),45949.02616514263)</f>
        <v>45949.02617</v>
      </c>
      <c r="S2084" s="1" t="b">
        <f>IFERROR(__xludf.DUMMYFUNCTION("""COMPUTED_VALUE"""),TRUE)</f>
        <v>1</v>
      </c>
      <c r="T2084" s="1" t="b">
        <f>IFERROR(__xludf.DUMMYFUNCTION("""COMPUTED_VALUE"""),FALSE)</f>
        <v>0</v>
      </c>
      <c r="U2084" s="1" t="str">
        <f>IFERROR(__xludf.DUMMYFUNCTION("""COMPUTED_VALUE"""),"VALID")</f>
        <v>VALID</v>
      </c>
      <c r="V2084" s="1">
        <f>IFERROR(__xludf.DUMMYFUNCTION("""COMPUTED_VALUE"""),224.0)</f>
        <v>224</v>
      </c>
      <c r="W2084" s="1">
        <f>IFERROR(__xludf.DUMMYFUNCTION("""COMPUTED_VALUE"""),344.0)</f>
        <v>344</v>
      </c>
      <c r="X2084" s="1">
        <f>IFERROR(__xludf.DUMMYFUNCTION("""COMPUTED_VALUE"""),301.0)</f>
        <v>301</v>
      </c>
      <c r="Y2084" s="2"/>
      <c r="Z2084" s="2"/>
    </row>
    <row r="2085">
      <c r="A2085" s="1">
        <f>IFERROR(__xludf.DUMMYFUNCTION("""COMPUTED_VALUE"""),2084.0)</f>
        <v>2084</v>
      </c>
      <c r="B2085" s="1">
        <f>IFERROR(__xludf.DUMMYFUNCTION("""COMPUTED_VALUE"""),5694.0)</f>
        <v>5694</v>
      </c>
      <c r="C2085" s="2" t="str">
        <f>IFERROR(__xludf.DUMMYFUNCTION("""COMPUTED_VALUE"""),"Yogi")</f>
        <v>Yogi</v>
      </c>
      <c r="D2085" s="2" t="str">
        <f>IFERROR(__xludf.DUMMYFUNCTION("""COMPUTED_VALUE"""),"5KM OVERALL M")</f>
        <v>5KM OVERALL M</v>
      </c>
      <c r="E2085" s="1">
        <f>IFERROR(__xludf.DUMMYFUNCTION("""COMPUTED_VALUE"""),2.0)</f>
        <v>2</v>
      </c>
      <c r="F2085" s="1" t="str">
        <f>IFERROR(__xludf.DUMMYFUNCTION("""COMPUTED_VALUE"""),"Male")</f>
        <v>Male</v>
      </c>
      <c r="G2085" s="4" t="b">
        <f>IFERROR(__xludf.DUMMYFUNCTION("""COMPUTED_VALUE"""),TRUE)</f>
        <v>1</v>
      </c>
      <c r="H2085" s="4" t="b">
        <f>IFERROR(__xludf.DUMMYFUNCTION("""COMPUTED_VALUE"""),TRUE)</f>
        <v>1</v>
      </c>
      <c r="I2085" s="4">
        <f>IFERROR(__xludf.DUMMYFUNCTION("""COMPUTED_VALUE"""),0.2549440625)</f>
        <v>0.2549440625</v>
      </c>
      <c r="J2085" s="4">
        <f>IFERROR(__xludf.DUMMYFUNCTION("""COMPUTED_VALUE"""),45949.276443363284)</f>
        <v>45949.27644</v>
      </c>
      <c r="K2085" s="4" t="str">
        <f>IFERROR(__xludf.DUMMYFUNCTION("""COMPUTED_VALUE"""),"")</f>
        <v/>
      </c>
      <c r="L2085" s="4">
        <f>IFERROR(__xludf.DUMMYFUNCTION("""COMPUTED_VALUE"""),45949.28870294644)</f>
        <v>45949.2887</v>
      </c>
      <c r="M2085" s="1" t="str">
        <f>IFERROR(__xludf.DUMMYFUNCTION("""COMPUTED_VALUE"""),"RFID")</f>
        <v>RFID</v>
      </c>
      <c r="N2085" s="5">
        <f>IFERROR(__xludf.DUMMYFUNCTION("""COMPUTED_VALUE"""),0.008599722222222222)</f>
        <v>0.008599722222</v>
      </c>
      <c r="O2085" s="5" t="str">
        <f>IFERROR(__xludf.DUMMYFUNCTION("""COMPUTED_VALUE"""),"")</f>
        <v/>
      </c>
      <c r="P2085" s="5" t="str">
        <f>IFERROR(__xludf.DUMMYFUNCTION("""COMPUTED_VALUE"""),"")</f>
        <v/>
      </c>
      <c r="Q2085" s="5">
        <f>IFERROR(__xludf.DUMMYFUNCTION("""COMPUTED_VALUE"""),0.0067517777777777776)</f>
        <v>0.006751777778</v>
      </c>
      <c r="R2085" s="4">
        <f>IFERROR(__xludf.DUMMYFUNCTION("""COMPUTED_VALUE"""),45949.03375888394)</f>
        <v>45949.03376</v>
      </c>
      <c r="S2085" s="1" t="b">
        <f>IFERROR(__xludf.DUMMYFUNCTION("""COMPUTED_VALUE"""),TRUE)</f>
        <v>1</v>
      </c>
      <c r="T2085" s="1" t="b">
        <f>IFERROR(__xludf.DUMMYFUNCTION("""COMPUTED_VALUE"""),FALSE)</f>
        <v>0</v>
      </c>
      <c r="U2085" s="1" t="str">
        <f>IFERROR(__xludf.DUMMYFUNCTION("""COMPUTED_VALUE"""),"VALID")</f>
        <v>VALID</v>
      </c>
      <c r="V2085" s="1">
        <f>IFERROR(__xludf.DUMMYFUNCTION("""COMPUTED_VALUE"""),523.0)</f>
        <v>523</v>
      </c>
      <c r="W2085" s="1">
        <f>IFERROR(__xludf.DUMMYFUNCTION("""COMPUTED_VALUE"""),825.0)</f>
        <v>825</v>
      </c>
      <c r="X2085" s="1">
        <f>IFERROR(__xludf.DUMMYFUNCTION("""COMPUTED_VALUE"""),676.0)</f>
        <v>676</v>
      </c>
      <c r="Y2085" s="2"/>
      <c r="Z2085" s="2"/>
    </row>
    <row r="2086">
      <c r="A2086" s="1">
        <f>IFERROR(__xludf.DUMMYFUNCTION("""COMPUTED_VALUE"""),2085.0)</f>
        <v>2085</v>
      </c>
      <c r="B2086" s="1">
        <f>IFERROR(__xludf.DUMMYFUNCTION("""COMPUTED_VALUE"""),5696.0)</f>
        <v>5696</v>
      </c>
      <c r="C2086" s="2" t="str">
        <f>IFERROR(__xludf.DUMMYFUNCTION("""COMPUTED_VALUE"""),"Dafong")</f>
        <v>Dafong</v>
      </c>
      <c r="D2086" s="2" t="str">
        <f>IFERROR(__xludf.DUMMYFUNCTION("""COMPUTED_VALUE"""),"5KM OVERALL M")</f>
        <v>5KM OVERALL M</v>
      </c>
      <c r="E2086" s="1">
        <f>IFERROR(__xludf.DUMMYFUNCTION("""COMPUTED_VALUE"""),2.0)</f>
        <v>2</v>
      </c>
      <c r="F2086" s="1" t="str">
        <f>IFERROR(__xludf.DUMMYFUNCTION("""COMPUTED_VALUE"""),"Male")</f>
        <v>Male</v>
      </c>
      <c r="G2086" s="4" t="b">
        <f>IFERROR(__xludf.DUMMYFUNCTION("""COMPUTED_VALUE"""),TRUE)</f>
        <v>1</v>
      </c>
      <c r="H2086" s="4" t="b">
        <f>IFERROR(__xludf.DUMMYFUNCTION("""COMPUTED_VALUE"""),TRUE)</f>
        <v>1</v>
      </c>
      <c r="I2086" s="4">
        <f>IFERROR(__xludf.DUMMYFUNCTION("""COMPUTED_VALUE"""),0.2549440625)</f>
        <v>0.2549440625</v>
      </c>
      <c r="J2086" s="4">
        <f>IFERROR(__xludf.DUMMYFUNCTION("""COMPUTED_VALUE"""),45949.274766266804)</f>
        <v>45949.27477</v>
      </c>
      <c r="K2086" s="4" t="str">
        <f>IFERROR(__xludf.DUMMYFUNCTION("""COMPUTED_VALUE"""),"")</f>
        <v/>
      </c>
      <c r="L2086" s="4">
        <f>IFERROR(__xludf.DUMMYFUNCTION("""COMPUTED_VALUE"""),45949.2911890709)</f>
        <v>45949.29119</v>
      </c>
      <c r="M2086" s="1" t="str">
        <f>IFERROR(__xludf.DUMMYFUNCTION("""COMPUTED_VALUE"""),"RFID")</f>
        <v>RFID</v>
      </c>
      <c r="N2086" s="5">
        <f>IFERROR(__xludf.DUMMYFUNCTION("""COMPUTED_VALUE"""),0.00792887962962963)</f>
        <v>0.00792887963</v>
      </c>
      <c r="O2086" s="5" t="str">
        <f>IFERROR(__xludf.DUMMYFUNCTION("""COMPUTED_VALUE"""),"")</f>
        <v/>
      </c>
      <c r="P2086" s="5" t="str">
        <f>IFERROR(__xludf.DUMMYFUNCTION("""COMPUTED_VALUE"""),"")</f>
        <v/>
      </c>
      <c r="Q2086" s="5">
        <f>IFERROR(__xludf.DUMMYFUNCTION("""COMPUTED_VALUE"""),0.007249002314814815)</f>
        <v>0.007249002315</v>
      </c>
      <c r="R2086" s="4">
        <f>IFERROR(__xludf.DUMMYFUNCTION("""COMPUTED_VALUE"""),45949.0362450084)</f>
        <v>45949.03625</v>
      </c>
      <c r="S2086" s="1" t="b">
        <f>IFERROR(__xludf.DUMMYFUNCTION("""COMPUTED_VALUE"""),TRUE)</f>
        <v>1</v>
      </c>
      <c r="T2086" s="1" t="b">
        <f>IFERROR(__xludf.DUMMYFUNCTION("""COMPUTED_VALUE"""),FALSE)</f>
        <v>0</v>
      </c>
      <c r="U2086" s="1" t="str">
        <f>IFERROR(__xludf.DUMMYFUNCTION("""COMPUTED_VALUE"""),"VALID")</f>
        <v>VALID</v>
      </c>
      <c r="V2086" s="1">
        <f>IFERROR(__xludf.DUMMYFUNCTION("""COMPUTED_VALUE"""),601.0)</f>
        <v>601</v>
      </c>
      <c r="W2086" s="1">
        <f>IFERROR(__xludf.DUMMYFUNCTION("""COMPUTED_VALUE"""),972.0)</f>
        <v>972</v>
      </c>
      <c r="X2086" s="1">
        <f>IFERROR(__xludf.DUMMYFUNCTION("""COMPUTED_VALUE"""),790.0)</f>
        <v>790</v>
      </c>
      <c r="Y2086" s="2"/>
      <c r="Z2086" s="2"/>
    </row>
    <row r="2087">
      <c r="A2087" s="1">
        <f>IFERROR(__xludf.DUMMYFUNCTION("""COMPUTED_VALUE"""),2086.0)</f>
        <v>2086</v>
      </c>
      <c r="B2087" s="1">
        <f>IFERROR(__xludf.DUMMYFUNCTION("""COMPUTED_VALUE"""),5697.0)</f>
        <v>5697</v>
      </c>
      <c r="C2087" s="2" t="str">
        <f>IFERROR(__xludf.DUMMYFUNCTION("""COMPUTED_VALUE"""),"Khair")</f>
        <v>Khair</v>
      </c>
      <c r="D2087" s="2" t="str">
        <f>IFERROR(__xludf.DUMMYFUNCTION("""COMPUTED_VALUE"""),"5KM OVERALL M")</f>
        <v>5KM OVERALL M</v>
      </c>
      <c r="E2087" s="1">
        <f>IFERROR(__xludf.DUMMYFUNCTION("""COMPUTED_VALUE"""),2.0)</f>
        <v>2</v>
      </c>
      <c r="F2087" s="1" t="str">
        <f>IFERROR(__xludf.DUMMYFUNCTION("""COMPUTED_VALUE"""),"Male")</f>
        <v>Male</v>
      </c>
      <c r="G2087" s="4" t="b">
        <f>IFERROR(__xludf.DUMMYFUNCTION("""COMPUTED_VALUE"""),TRUE)</f>
        <v>1</v>
      </c>
      <c r="H2087" s="4" t="b">
        <f>IFERROR(__xludf.DUMMYFUNCTION("""COMPUTED_VALUE"""),TRUE)</f>
        <v>1</v>
      </c>
      <c r="I2087" s="4">
        <f>IFERROR(__xludf.DUMMYFUNCTION("""COMPUTED_VALUE"""),0.2549440625)</f>
        <v>0.2549440625</v>
      </c>
      <c r="J2087" s="4">
        <f>IFERROR(__xludf.DUMMYFUNCTION("""COMPUTED_VALUE"""),45949.272388737736)</f>
        <v>45949.27239</v>
      </c>
      <c r="K2087" s="4" t="str">
        <f>IFERROR(__xludf.DUMMYFUNCTION("""COMPUTED_VALUE"""),"")</f>
        <v/>
      </c>
      <c r="L2087" s="4">
        <f>IFERROR(__xludf.DUMMYFUNCTION("""COMPUTED_VALUE"""),45949.28779670721)</f>
        <v>45949.2878</v>
      </c>
      <c r="M2087" s="1" t="str">
        <f>IFERROR(__xludf.DUMMYFUNCTION("""COMPUTED_VALUE"""),"RFID")</f>
        <v>RFID</v>
      </c>
      <c r="N2087" s="5">
        <f>IFERROR(__xludf.DUMMYFUNCTION("""COMPUTED_VALUE"""),0.00697787037037037)</f>
        <v>0.00697787037</v>
      </c>
      <c r="O2087" s="5" t="str">
        <f>IFERROR(__xludf.DUMMYFUNCTION("""COMPUTED_VALUE"""),"")</f>
        <v/>
      </c>
      <c r="P2087" s="5" t="str">
        <f>IFERROR(__xludf.DUMMYFUNCTION("""COMPUTED_VALUE"""),"")</f>
        <v/>
      </c>
      <c r="Q2087" s="5">
        <f>IFERROR(__xludf.DUMMYFUNCTION("""COMPUTED_VALUE"""),0.006570530092592593)</f>
        <v>0.006570530093</v>
      </c>
      <c r="R2087" s="4">
        <f>IFERROR(__xludf.DUMMYFUNCTION("""COMPUTED_VALUE"""),45949.03285264471)</f>
        <v>45949.03285</v>
      </c>
      <c r="S2087" s="1" t="b">
        <f>IFERROR(__xludf.DUMMYFUNCTION("""COMPUTED_VALUE"""),TRUE)</f>
        <v>1</v>
      </c>
      <c r="T2087" s="1" t="b">
        <f>IFERROR(__xludf.DUMMYFUNCTION("""COMPUTED_VALUE"""),FALSE)</f>
        <v>0</v>
      </c>
      <c r="U2087" s="1" t="str">
        <f>IFERROR(__xludf.DUMMYFUNCTION("""COMPUTED_VALUE"""),"VALID")</f>
        <v>VALID</v>
      </c>
      <c r="V2087" s="1">
        <f>IFERROR(__xludf.DUMMYFUNCTION("""COMPUTED_VALUE"""),488.0)</f>
        <v>488</v>
      </c>
      <c r="W2087" s="1">
        <f>IFERROR(__xludf.DUMMYFUNCTION("""COMPUTED_VALUE"""),763.0)</f>
        <v>763</v>
      </c>
      <c r="X2087" s="1">
        <f>IFERROR(__xludf.DUMMYFUNCTION("""COMPUTED_VALUE"""),631.0)</f>
        <v>631</v>
      </c>
      <c r="Y2087" s="2"/>
      <c r="Z2087" s="2"/>
    </row>
    <row r="2088">
      <c r="A2088" s="1">
        <f>IFERROR(__xludf.DUMMYFUNCTION("""COMPUTED_VALUE"""),2087.0)</f>
        <v>2087</v>
      </c>
      <c r="B2088" s="1">
        <f>IFERROR(__xludf.DUMMYFUNCTION("""COMPUTED_VALUE"""),5698.0)</f>
        <v>5698</v>
      </c>
      <c r="C2088" s="2" t="str">
        <f>IFERROR(__xludf.DUMMYFUNCTION("""COMPUTED_VALUE"""),"Andi Fr")</f>
        <v>Andi Fr</v>
      </c>
      <c r="D2088" s="2" t="str">
        <f>IFERROR(__xludf.DUMMYFUNCTION("""COMPUTED_VALUE"""),"5KM OVERALL M")</f>
        <v>5KM OVERALL M</v>
      </c>
      <c r="E2088" s="1">
        <f>IFERROR(__xludf.DUMMYFUNCTION("""COMPUTED_VALUE"""),2.0)</f>
        <v>2</v>
      </c>
      <c r="F2088" s="1" t="str">
        <f>IFERROR(__xludf.DUMMYFUNCTION("""COMPUTED_VALUE"""),"Male")</f>
        <v>Male</v>
      </c>
      <c r="G2088" s="4" t="str">
        <f>IFERROR(__xludf.DUMMYFUNCTION("""COMPUTED_VALUE"""),"")</f>
        <v/>
      </c>
      <c r="H2088" s="4" t="b">
        <f>IFERROR(__xludf.DUMMYFUNCTION("""COMPUTED_VALUE"""),FALSE)</f>
        <v>0</v>
      </c>
      <c r="I2088" s="4">
        <f>IFERROR(__xludf.DUMMYFUNCTION("""COMPUTED_VALUE"""),0.2549440625)</f>
        <v>0.2549440625</v>
      </c>
      <c r="J2088" s="4" t="str">
        <f>IFERROR(__xludf.DUMMYFUNCTION("""COMPUTED_VALUE"""),"")</f>
        <v/>
      </c>
      <c r="K2088" s="4" t="str">
        <f>IFERROR(__xludf.DUMMYFUNCTION("""COMPUTED_VALUE"""),"")</f>
        <v/>
      </c>
      <c r="L2088" s="4" t="str">
        <f>IFERROR(__xludf.DUMMYFUNCTION("""COMPUTED_VALUE"""),"")</f>
        <v/>
      </c>
      <c r="M2088" s="1" t="str">
        <f>IFERROR(__xludf.DUMMYFUNCTION("""COMPUTED_VALUE"""),"RFID")</f>
        <v>RFID</v>
      </c>
      <c r="N2088" s="5" t="str">
        <f>IFERROR(__xludf.DUMMYFUNCTION("""COMPUTED_VALUE"""),"")</f>
        <v/>
      </c>
      <c r="O2088" s="5" t="str">
        <f>IFERROR(__xludf.DUMMYFUNCTION("""COMPUTED_VALUE"""),"")</f>
        <v/>
      </c>
      <c r="P2088" s="5" t="str">
        <f>IFERROR(__xludf.DUMMYFUNCTION("""COMPUTED_VALUE"""),"")</f>
        <v/>
      </c>
      <c r="Q2088" s="5" t="str">
        <f>IFERROR(__xludf.DUMMYFUNCTION("""COMPUTED_VALUE"""),"")</f>
        <v/>
      </c>
      <c r="R2088" s="4" t="str">
        <f>IFERROR(__xludf.DUMMYFUNCTION("""COMPUTED_VALUE"""),"")</f>
        <v/>
      </c>
      <c r="S2088" s="1" t="b">
        <f>IFERROR(__xludf.DUMMYFUNCTION("""COMPUTED_VALUE"""),FALSE)</f>
        <v>0</v>
      </c>
      <c r="T2088" s="1" t="b">
        <f>IFERROR(__xludf.DUMMYFUNCTION("""COMPUTED_VALUE"""),FALSE)</f>
        <v>0</v>
      </c>
      <c r="U2088" s="1" t="str">
        <f>IFERROR(__xludf.DUMMYFUNCTION("""COMPUTED_VALUE"""),"DSQ")</f>
        <v>DSQ</v>
      </c>
      <c r="V2088" s="1" t="str">
        <f>IFERROR(__xludf.DUMMYFUNCTION("""COMPUTED_VALUE"""),"DSQ")</f>
        <v>DSQ</v>
      </c>
      <c r="W2088" s="1" t="str">
        <f>IFERROR(__xludf.DUMMYFUNCTION("""COMPUTED_VALUE"""),"DSQ")</f>
        <v>DSQ</v>
      </c>
      <c r="X2088" s="1" t="str">
        <f>IFERROR(__xludf.DUMMYFUNCTION("""COMPUTED_VALUE"""),"DSQ")</f>
        <v>DSQ</v>
      </c>
      <c r="Y2088" s="2"/>
      <c r="Z2088" s="2" t="str">
        <f>IFERROR(__xludf.DUMMYFUNCTION("""COMPUTED_VALUE"""),"")</f>
        <v/>
      </c>
    </row>
    <row r="2089">
      <c r="A2089" s="1">
        <f>IFERROR(__xludf.DUMMYFUNCTION("""COMPUTED_VALUE"""),2088.0)</f>
        <v>2088</v>
      </c>
      <c r="B2089" s="1">
        <f>IFERROR(__xludf.DUMMYFUNCTION("""COMPUTED_VALUE"""),5699.0)</f>
        <v>5699</v>
      </c>
      <c r="C2089" s="2" t="str">
        <f>IFERROR(__xludf.DUMMYFUNCTION("""COMPUTED_VALUE"""),"SHIDQI")</f>
        <v>SHIDQI</v>
      </c>
      <c r="D2089" s="2" t="str">
        <f>IFERROR(__xludf.DUMMYFUNCTION("""COMPUTED_VALUE"""),"5KM OVERALL M")</f>
        <v>5KM OVERALL M</v>
      </c>
      <c r="E2089" s="1">
        <f>IFERROR(__xludf.DUMMYFUNCTION("""COMPUTED_VALUE"""),2.0)</f>
        <v>2</v>
      </c>
      <c r="F2089" s="1" t="str">
        <f>IFERROR(__xludf.DUMMYFUNCTION("""COMPUTED_VALUE"""),"Male")</f>
        <v>Male</v>
      </c>
      <c r="G2089" s="4" t="b">
        <f>IFERROR(__xludf.DUMMYFUNCTION("""COMPUTED_VALUE"""),TRUE)</f>
        <v>1</v>
      </c>
      <c r="H2089" s="4" t="b">
        <f>IFERROR(__xludf.DUMMYFUNCTION("""COMPUTED_VALUE"""),TRUE)</f>
        <v>1</v>
      </c>
      <c r="I2089" s="4">
        <f>IFERROR(__xludf.DUMMYFUNCTION("""COMPUTED_VALUE"""),0.2549440625)</f>
        <v>0.2549440625</v>
      </c>
      <c r="J2089" s="4">
        <f>IFERROR(__xludf.DUMMYFUNCTION("""COMPUTED_VALUE"""),45949.27335673415)</f>
        <v>45949.27336</v>
      </c>
      <c r="K2089" s="4" t="str">
        <f>IFERROR(__xludf.DUMMYFUNCTION("""COMPUTED_VALUE"""),"")</f>
        <v/>
      </c>
      <c r="L2089" s="4">
        <f>IFERROR(__xludf.DUMMYFUNCTION("""COMPUTED_VALUE"""),45949.287932071544)</f>
        <v>45949.28793</v>
      </c>
      <c r="M2089" s="1" t="str">
        <f>IFERROR(__xludf.DUMMYFUNCTION("""COMPUTED_VALUE"""),"RFID")</f>
        <v>RFID</v>
      </c>
      <c r="N2089" s="5">
        <f>IFERROR(__xludf.DUMMYFUNCTION("""COMPUTED_VALUE"""),0.007365069444444444)</f>
        <v>0.007365069444</v>
      </c>
      <c r="O2089" s="5" t="str">
        <f>IFERROR(__xludf.DUMMYFUNCTION("""COMPUTED_VALUE"""),"")</f>
        <v/>
      </c>
      <c r="P2089" s="5" t="str">
        <f>IFERROR(__xludf.DUMMYFUNCTION("""COMPUTED_VALUE"""),"")</f>
        <v/>
      </c>
      <c r="Q2089" s="5">
        <f>IFERROR(__xludf.DUMMYFUNCTION("""COMPUTED_VALUE"""),0.006597601851851852)</f>
        <v>0.006597601852</v>
      </c>
      <c r="R2089" s="4">
        <f>IFERROR(__xludf.DUMMYFUNCTION("""COMPUTED_VALUE"""),45949.03298800904)</f>
        <v>45949.03299</v>
      </c>
      <c r="S2089" s="1" t="b">
        <f>IFERROR(__xludf.DUMMYFUNCTION("""COMPUTED_VALUE"""),TRUE)</f>
        <v>1</v>
      </c>
      <c r="T2089" s="1" t="b">
        <f>IFERROR(__xludf.DUMMYFUNCTION("""COMPUTED_VALUE"""),FALSE)</f>
        <v>0</v>
      </c>
      <c r="U2089" s="1" t="str">
        <f>IFERROR(__xludf.DUMMYFUNCTION("""COMPUTED_VALUE"""),"VALID")</f>
        <v>VALID</v>
      </c>
      <c r="V2089" s="1">
        <f>IFERROR(__xludf.DUMMYFUNCTION("""COMPUTED_VALUE"""),495.0)</f>
        <v>495</v>
      </c>
      <c r="W2089" s="1">
        <f>IFERROR(__xludf.DUMMYFUNCTION("""COMPUTED_VALUE"""),775.0)</f>
        <v>775</v>
      </c>
      <c r="X2089" s="1">
        <f>IFERROR(__xludf.DUMMYFUNCTION("""COMPUTED_VALUE"""),640.0)</f>
        <v>640</v>
      </c>
      <c r="Y2089" s="2"/>
      <c r="Z2089" s="2"/>
    </row>
    <row r="2090">
      <c r="A2090" s="1">
        <f>IFERROR(__xludf.DUMMYFUNCTION("""COMPUTED_VALUE"""),2089.0)</f>
        <v>2089</v>
      </c>
      <c r="B2090" s="1">
        <f>IFERROR(__xludf.DUMMYFUNCTION("""COMPUTED_VALUE"""),5702.0)</f>
        <v>5702</v>
      </c>
      <c r="C2090" s="2" t="str">
        <f>IFERROR(__xludf.DUMMYFUNCTION("""COMPUTED_VALUE"""),"Rafli Bahasyim")</f>
        <v>Rafli Bahasyim</v>
      </c>
      <c r="D2090" s="2" t="str">
        <f>IFERROR(__xludf.DUMMYFUNCTION("""COMPUTED_VALUE"""),"5KM OVERALL M")</f>
        <v>5KM OVERALL M</v>
      </c>
      <c r="E2090" s="1">
        <f>IFERROR(__xludf.DUMMYFUNCTION("""COMPUTED_VALUE"""),2.0)</f>
        <v>2</v>
      </c>
      <c r="F2090" s="1" t="str">
        <f>IFERROR(__xludf.DUMMYFUNCTION("""COMPUTED_VALUE"""),"Male")</f>
        <v>Male</v>
      </c>
      <c r="G2090" s="4" t="b">
        <f>IFERROR(__xludf.DUMMYFUNCTION("""COMPUTED_VALUE"""),TRUE)</f>
        <v>1</v>
      </c>
      <c r="H2090" s="4" t="b">
        <f>IFERROR(__xludf.DUMMYFUNCTION("""COMPUTED_VALUE"""),FALSE)</f>
        <v>0</v>
      </c>
      <c r="I2090" s="4">
        <f>IFERROR(__xludf.DUMMYFUNCTION("""COMPUTED_VALUE"""),0.2549440625)</f>
        <v>0.2549440625</v>
      </c>
      <c r="J2090" s="4">
        <f>IFERROR(__xludf.DUMMYFUNCTION("""COMPUTED_VALUE"""),45949.26793298888)</f>
        <v>45949.26793</v>
      </c>
      <c r="K2090" s="4" t="str">
        <f>IFERROR(__xludf.DUMMYFUNCTION("""COMPUTED_VALUE"""),"")</f>
        <v/>
      </c>
      <c r="L2090" s="4">
        <f>IFERROR(__xludf.DUMMYFUNCTION("""COMPUTED_VALUE"""),45949.27750504003)</f>
        <v>45949.27751</v>
      </c>
      <c r="M2090" s="1" t="str">
        <f>IFERROR(__xludf.DUMMYFUNCTION("""COMPUTED_VALUE"""),"RFID")</f>
        <v>RFID</v>
      </c>
      <c r="N2090" s="5">
        <f>IFERROR(__xludf.DUMMYFUNCTION("""COMPUTED_VALUE"""),0.0051955694444444445)</f>
        <v>0.005195569444</v>
      </c>
      <c r="O2090" s="5" t="str">
        <f>IFERROR(__xludf.DUMMYFUNCTION("""COMPUTED_VALUE"""),"")</f>
        <v/>
      </c>
      <c r="P2090" s="5" t="str">
        <f>IFERROR(__xludf.DUMMYFUNCTION("""COMPUTED_VALUE"""),"")</f>
        <v/>
      </c>
      <c r="Q2090" s="5">
        <f>IFERROR(__xludf.DUMMYFUNCTION("""COMPUTED_VALUE"""),0.0045121944444444445)</f>
        <v>0.004512194444</v>
      </c>
      <c r="R2090" s="4">
        <f>IFERROR(__xludf.DUMMYFUNCTION("""COMPUTED_VALUE"""),45949.02256097753)</f>
        <v>45949.02256</v>
      </c>
      <c r="S2090" s="1" t="b">
        <f>IFERROR(__xludf.DUMMYFUNCTION("""COMPUTED_VALUE"""),TRUE)</f>
        <v>1</v>
      </c>
      <c r="T2090" s="1" t="b">
        <f>IFERROR(__xludf.DUMMYFUNCTION("""COMPUTED_VALUE"""),FALSE)</f>
        <v>0</v>
      </c>
      <c r="U2090" s="1" t="str">
        <f>IFERROR(__xludf.DUMMYFUNCTION("""COMPUTED_VALUE"""),"VALID")</f>
        <v>VALID</v>
      </c>
      <c r="V2090" s="1">
        <f>IFERROR(__xludf.DUMMYFUNCTION("""COMPUTED_VALUE"""),123.0)</f>
        <v>123</v>
      </c>
      <c r="W2090" s="1">
        <f>IFERROR(__xludf.DUMMYFUNCTION("""COMPUTED_VALUE"""),190.0)</f>
        <v>190</v>
      </c>
      <c r="X2090" s="1">
        <f>IFERROR(__xludf.DUMMYFUNCTION("""COMPUTED_VALUE"""),167.0)</f>
        <v>167</v>
      </c>
      <c r="Y2090" s="2"/>
      <c r="Z2090" s="2"/>
    </row>
    <row r="2091">
      <c r="A2091" s="1">
        <f>IFERROR(__xludf.DUMMYFUNCTION("""COMPUTED_VALUE"""),2090.0)</f>
        <v>2090</v>
      </c>
      <c r="B2091" s="1">
        <f>IFERROR(__xludf.DUMMYFUNCTION("""COMPUTED_VALUE"""),5703.0)</f>
        <v>5703</v>
      </c>
      <c r="C2091" s="2" t="str">
        <f>IFERROR(__xludf.DUMMYFUNCTION("""COMPUTED_VALUE"""),"Lukman")</f>
        <v>Lukman</v>
      </c>
      <c r="D2091" s="2" t="str">
        <f>IFERROR(__xludf.DUMMYFUNCTION("""COMPUTED_VALUE"""),"5KM OVERALL M")</f>
        <v>5KM OVERALL M</v>
      </c>
      <c r="E2091" s="1">
        <f>IFERROR(__xludf.DUMMYFUNCTION("""COMPUTED_VALUE"""),2.0)</f>
        <v>2</v>
      </c>
      <c r="F2091" s="1" t="str">
        <f>IFERROR(__xludf.DUMMYFUNCTION("""COMPUTED_VALUE"""),"Male")</f>
        <v>Male</v>
      </c>
      <c r="G2091" s="4" t="b">
        <f>IFERROR(__xludf.DUMMYFUNCTION("""COMPUTED_VALUE"""),TRUE)</f>
        <v>1</v>
      </c>
      <c r="H2091" s="4" t="b">
        <f>IFERROR(__xludf.DUMMYFUNCTION("""COMPUTED_VALUE"""),FALSE)</f>
        <v>0</v>
      </c>
      <c r="I2091" s="4">
        <f>IFERROR(__xludf.DUMMYFUNCTION("""COMPUTED_VALUE"""),0.2549440625)</f>
        <v>0.2549440625</v>
      </c>
      <c r="J2091" s="4">
        <f>IFERROR(__xludf.DUMMYFUNCTION("""COMPUTED_VALUE"""),45949.26822122137)</f>
        <v>45949.26822</v>
      </c>
      <c r="K2091" s="4" t="str">
        <f>IFERROR(__xludf.DUMMYFUNCTION("""COMPUTED_VALUE"""),"")</f>
        <v/>
      </c>
      <c r="L2091" s="4">
        <f>IFERROR(__xludf.DUMMYFUNCTION("""COMPUTED_VALUE"""),45949.27752957656)</f>
        <v>45949.27753</v>
      </c>
      <c r="M2091" s="1" t="str">
        <f>IFERROR(__xludf.DUMMYFUNCTION("""COMPUTED_VALUE"""),"RFID")</f>
        <v>RFID</v>
      </c>
      <c r="N2091" s="5">
        <f>IFERROR(__xludf.DUMMYFUNCTION("""COMPUTED_VALUE"""),0.00531086574074074)</f>
        <v>0.005310865741</v>
      </c>
      <c r="O2091" s="5" t="str">
        <f>IFERROR(__xludf.DUMMYFUNCTION("""COMPUTED_VALUE"""),"")</f>
        <v/>
      </c>
      <c r="P2091" s="5" t="str">
        <f>IFERROR(__xludf.DUMMYFUNCTION("""COMPUTED_VALUE"""),"")</f>
        <v/>
      </c>
      <c r="Q2091" s="5">
        <f>IFERROR(__xludf.DUMMYFUNCTION("""COMPUTED_VALUE"""),0.004517101851851852)</f>
        <v>0.004517101852</v>
      </c>
      <c r="R2091" s="4">
        <f>IFERROR(__xludf.DUMMYFUNCTION("""COMPUTED_VALUE"""),45949.02258551406)</f>
        <v>45949.02259</v>
      </c>
      <c r="S2091" s="1" t="b">
        <f>IFERROR(__xludf.DUMMYFUNCTION("""COMPUTED_VALUE"""),TRUE)</f>
        <v>1</v>
      </c>
      <c r="T2091" s="1" t="b">
        <f>IFERROR(__xludf.DUMMYFUNCTION("""COMPUTED_VALUE"""),FALSE)</f>
        <v>0</v>
      </c>
      <c r="U2091" s="1" t="str">
        <f>IFERROR(__xludf.DUMMYFUNCTION("""COMPUTED_VALUE"""),"VALID")</f>
        <v>VALID</v>
      </c>
      <c r="V2091" s="1">
        <f>IFERROR(__xludf.DUMMYFUNCTION("""COMPUTED_VALUE"""),124.0)</f>
        <v>124</v>
      </c>
      <c r="W2091" s="1">
        <f>IFERROR(__xludf.DUMMYFUNCTION("""COMPUTED_VALUE"""),192.0)</f>
        <v>192</v>
      </c>
      <c r="X2091" s="1">
        <f>IFERROR(__xludf.DUMMYFUNCTION("""COMPUTED_VALUE"""),168.0)</f>
        <v>168</v>
      </c>
      <c r="Y2091" s="2"/>
      <c r="Z2091" s="2"/>
    </row>
    <row r="2092">
      <c r="A2092" s="1">
        <f>IFERROR(__xludf.DUMMYFUNCTION("""COMPUTED_VALUE"""),2091.0)</f>
        <v>2091</v>
      </c>
      <c r="B2092" s="1">
        <f>IFERROR(__xludf.DUMMYFUNCTION("""COMPUTED_VALUE"""),5704.0)</f>
        <v>5704</v>
      </c>
      <c r="C2092" s="2" t="str">
        <f>IFERROR(__xludf.DUMMYFUNCTION("""COMPUTED_VALUE"""),"Hairi Adwan 1011-15/KH")</f>
        <v>Hairi Adwan 1011-15/KH</v>
      </c>
      <c r="D2092" s="2" t="str">
        <f>IFERROR(__xludf.DUMMYFUNCTION("""COMPUTED_VALUE"""),"5KM OVERALL M")</f>
        <v>5KM OVERALL M</v>
      </c>
      <c r="E2092" s="1">
        <f>IFERROR(__xludf.DUMMYFUNCTION("""COMPUTED_VALUE"""),2.0)</f>
        <v>2</v>
      </c>
      <c r="F2092" s="1" t="str">
        <f>IFERROR(__xludf.DUMMYFUNCTION("""COMPUTED_VALUE"""),"Male")</f>
        <v>Male</v>
      </c>
      <c r="G2092" s="4" t="b">
        <f>IFERROR(__xludf.DUMMYFUNCTION("""COMPUTED_VALUE"""),TRUE)</f>
        <v>1</v>
      </c>
      <c r="H2092" s="4" t="b">
        <f>IFERROR(__xludf.DUMMYFUNCTION("""COMPUTED_VALUE"""),FALSE)</f>
        <v>0</v>
      </c>
      <c r="I2092" s="4">
        <f>IFERROR(__xludf.DUMMYFUNCTION("""COMPUTED_VALUE"""),0.2549440625)</f>
        <v>0.2549440625</v>
      </c>
      <c r="J2092" s="4">
        <f>IFERROR(__xludf.DUMMYFUNCTION("""COMPUTED_VALUE"""),45949.26703067424)</f>
        <v>45949.26703</v>
      </c>
      <c r="K2092" s="4" t="str">
        <f>IFERROR(__xludf.DUMMYFUNCTION("""COMPUTED_VALUE"""),"")</f>
        <v/>
      </c>
      <c r="L2092" s="4">
        <f>IFERROR(__xludf.DUMMYFUNCTION("""COMPUTED_VALUE"""),45949.2767897196)</f>
        <v>45949.27679</v>
      </c>
      <c r="M2092" s="1" t="str">
        <f>IFERROR(__xludf.DUMMYFUNCTION("""COMPUTED_VALUE"""),"RFID")</f>
        <v>RFID</v>
      </c>
      <c r="N2092" s="5">
        <f>IFERROR(__xludf.DUMMYFUNCTION("""COMPUTED_VALUE"""),0.004834643518518518)</f>
        <v>0.004834643519</v>
      </c>
      <c r="O2092" s="5" t="str">
        <f>IFERROR(__xludf.DUMMYFUNCTION("""COMPUTED_VALUE"""),"")</f>
        <v/>
      </c>
      <c r="P2092" s="5" t="str">
        <f>IFERROR(__xludf.DUMMYFUNCTION("""COMPUTED_VALUE"""),"")</f>
        <v/>
      </c>
      <c r="Q2092" s="5">
        <f>IFERROR(__xludf.DUMMYFUNCTION("""COMPUTED_VALUE"""),0.004369131944444445)</f>
        <v>0.004369131944</v>
      </c>
      <c r="R2092" s="4">
        <f>IFERROR(__xludf.DUMMYFUNCTION("""COMPUTED_VALUE"""),45949.0218456571)</f>
        <v>45949.02185</v>
      </c>
      <c r="S2092" s="1" t="b">
        <f>IFERROR(__xludf.DUMMYFUNCTION("""COMPUTED_VALUE"""),TRUE)</f>
        <v>1</v>
      </c>
      <c r="T2092" s="1" t="b">
        <f>IFERROR(__xludf.DUMMYFUNCTION("""COMPUTED_VALUE"""),FALSE)</f>
        <v>0</v>
      </c>
      <c r="U2092" s="1" t="str">
        <f>IFERROR(__xludf.DUMMYFUNCTION("""COMPUTED_VALUE"""),"VALID")</f>
        <v>VALID</v>
      </c>
      <c r="V2092" s="1">
        <f>IFERROR(__xludf.DUMMYFUNCTION("""COMPUTED_VALUE"""),110.0)</f>
        <v>110</v>
      </c>
      <c r="W2092" s="1">
        <f>IFERROR(__xludf.DUMMYFUNCTION("""COMPUTED_VALUE"""),171.0)</f>
        <v>171</v>
      </c>
      <c r="X2092" s="1">
        <f>IFERROR(__xludf.DUMMYFUNCTION("""COMPUTED_VALUE"""),151.0)</f>
        <v>151</v>
      </c>
      <c r="Y2092" s="2"/>
      <c r="Z2092" s="2"/>
    </row>
    <row r="2093">
      <c r="A2093" s="1">
        <f>IFERROR(__xludf.DUMMYFUNCTION("""COMPUTED_VALUE"""),2092.0)</f>
        <v>2092</v>
      </c>
      <c r="B2093" s="1">
        <f>IFERROR(__xludf.DUMMYFUNCTION("""COMPUTED_VALUE"""),5706.0)</f>
        <v>5706</v>
      </c>
      <c r="C2093" s="2" t="str">
        <f>IFERROR(__xludf.DUMMYFUNCTION("""COMPUTED_VALUE"""),"Firdaus")</f>
        <v>Firdaus</v>
      </c>
      <c r="D2093" s="2" t="str">
        <f>IFERROR(__xludf.DUMMYFUNCTION("""COMPUTED_VALUE"""),"5KM OVERALL M")</f>
        <v>5KM OVERALL M</v>
      </c>
      <c r="E2093" s="1">
        <f>IFERROR(__xludf.DUMMYFUNCTION("""COMPUTED_VALUE"""),2.0)</f>
        <v>2</v>
      </c>
      <c r="F2093" s="1" t="str">
        <f>IFERROR(__xludf.DUMMYFUNCTION("""COMPUTED_VALUE"""),"Male")</f>
        <v>Male</v>
      </c>
      <c r="G2093" s="4" t="b">
        <f>IFERROR(__xludf.DUMMYFUNCTION("""COMPUTED_VALUE"""),TRUE)</f>
        <v>1</v>
      </c>
      <c r="H2093" s="4" t="b">
        <f>IFERROR(__xludf.DUMMYFUNCTION("""COMPUTED_VALUE"""),TRUE)</f>
        <v>1</v>
      </c>
      <c r="I2093" s="4">
        <f>IFERROR(__xludf.DUMMYFUNCTION("""COMPUTED_VALUE"""),0.2549440625)</f>
        <v>0.2549440625</v>
      </c>
      <c r="J2093" s="4">
        <f>IFERROR(__xludf.DUMMYFUNCTION("""COMPUTED_VALUE"""),45949.27399196804)</f>
        <v>45949.27399</v>
      </c>
      <c r="K2093" s="4" t="str">
        <f>IFERROR(__xludf.DUMMYFUNCTION("""COMPUTED_VALUE"""),"")</f>
        <v/>
      </c>
      <c r="L2093" s="4">
        <f>IFERROR(__xludf.DUMMYFUNCTION("""COMPUTED_VALUE"""),45949.287196004065)</f>
        <v>45949.2872</v>
      </c>
      <c r="M2093" s="1" t="str">
        <f>IFERROR(__xludf.DUMMYFUNCTION("""COMPUTED_VALUE"""),"RFID")</f>
        <v>RFID</v>
      </c>
      <c r="N2093" s="5">
        <f>IFERROR(__xludf.DUMMYFUNCTION("""COMPUTED_VALUE"""),0.007619162037037037)</f>
        <v>0.007619162037</v>
      </c>
      <c r="O2093" s="5" t="str">
        <f>IFERROR(__xludf.DUMMYFUNCTION("""COMPUTED_VALUE"""),"")</f>
        <v/>
      </c>
      <c r="P2093" s="5" t="str">
        <f>IFERROR(__xludf.DUMMYFUNCTION("""COMPUTED_VALUE"""),"")</f>
        <v/>
      </c>
      <c r="Q2093" s="5">
        <f>IFERROR(__xludf.DUMMYFUNCTION("""COMPUTED_VALUE"""),0.006450388888888889)</f>
        <v>0.006450388889</v>
      </c>
      <c r="R2093" s="4">
        <f>IFERROR(__xludf.DUMMYFUNCTION("""COMPUTED_VALUE"""),45949.032251941564)</f>
        <v>45949.03225</v>
      </c>
      <c r="S2093" s="1" t="b">
        <f>IFERROR(__xludf.DUMMYFUNCTION("""COMPUTED_VALUE"""),TRUE)</f>
        <v>1</v>
      </c>
      <c r="T2093" s="1" t="b">
        <f>IFERROR(__xludf.DUMMYFUNCTION("""COMPUTED_VALUE"""),FALSE)</f>
        <v>0</v>
      </c>
      <c r="U2093" s="1" t="str">
        <f>IFERROR(__xludf.DUMMYFUNCTION("""COMPUTED_VALUE"""),"VALID")</f>
        <v>VALID</v>
      </c>
      <c r="V2093" s="1">
        <f>IFERROR(__xludf.DUMMYFUNCTION("""COMPUTED_VALUE"""),466.0)</f>
        <v>466</v>
      </c>
      <c r="W2093" s="1">
        <f>IFERROR(__xludf.DUMMYFUNCTION("""COMPUTED_VALUE"""),719.0)</f>
        <v>719</v>
      </c>
      <c r="X2093" s="1">
        <f>IFERROR(__xludf.DUMMYFUNCTION("""COMPUTED_VALUE"""),605.0)</f>
        <v>605</v>
      </c>
      <c r="Y2093" s="2"/>
      <c r="Z2093" s="2"/>
    </row>
    <row r="2094">
      <c r="A2094" s="1">
        <f>IFERROR(__xludf.DUMMYFUNCTION("""COMPUTED_VALUE"""),2093.0)</f>
        <v>2093</v>
      </c>
      <c r="B2094" s="1">
        <f>IFERROR(__xludf.DUMMYFUNCTION("""COMPUTED_VALUE"""),5707.0)</f>
        <v>5707</v>
      </c>
      <c r="C2094" s="2" t="str">
        <f>IFERROR(__xludf.DUMMYFUNCTION("""COMPUTED_VALUE"""),"MAS_ILHAM")</f>
        <v>MAS_ILHAM</v>
      </c>
      <c r="D2094" s="2" t="str">
        <f>IFERROR(__xludf.DUMMYFUNCTION("""COMPUTED_VALUE"""),"5KM OVERALL M")</f>
        <v>5KM OVERALL M</v>
      </c>
      <c r="E2094" s="1">
        <f>IFERROR(__xludf.DUMMYFUNCTION("""COMPUTED_VALUE"""),2.0)</f>
        <v>2</v>
      </c>
      <c r="F2094" s="1" t="str">
        <f>IFERROR(__xludf.DUMMYFUNCTION("""COMPUTED_VALUE"""),"Male")</f>
        <v>Male</v>
      </c>
      <c r="G2094" s="4" t="b">
        <f>IFERROR(__xludf.DUMMYFUNCTION("""COMPUTED_VALUE"""),TRUE)</f>
        <v>1</v>
      </c>
      <c r="H2094" s="4" t="b">
        <f>IFERROR(__xludf.DUMMYFUNCTION("""COMPUTED_VALUE"""),TRUE)</f>
        <v>1</v>
      </c>
      <c r="I2094" s="4">
        <f>IFERROR(__xludf.DUMMYFUNCTION("""COMPUTED_VALUE"""),0.2549440625)</f>
        <v>0.2549440625</v>
      </c>
      <c r="J2094" s="4">
        <f>IFERROR(__xludf.DUMMYFUNCTION("""COMPUTED_VALUE"""),45949.275405156804)</f>
        <v>45949.27541</v>
      </c>
      <c r="K2094" s="4" t="str">
        <f>IFERROR(__xludf.DUMMYFUNCTION("""COMPUTED_VALUE"""),"")</f>
        <v/>
      </c>
      <c r="L2094" s="4">
        <f>IFERROR(__xludf.DUMMYFUNCTION("""COMPUTED_VALUE"""),45949.29140433595)</f>
        <v>45949.2914</v>
      </c>
      <c r="M2094" s="1" t="str">
        <f>IFERROR(__xludf.DUMMYFUNCTION("""COMPUTED_VALUE"""),"RFID")</f>
        <v>RFID</v>
      </c>
      <c r="N2094" s="5">
        <f>IFERROR(__xludf.DUMMYFUNCTION("""COMPUTED_VALUE"""),0.008184439814814815)</f>
        <v>0.008184439815</v>
      </c>
      <c r="O2094" s="5" t="str">
        <f>IFERROR(__xludf.DUMMYFUNCTION("""COMPUTED_VALUE"""),"")</f>
        <v/>
      </c>
      <c r="P2094" s="5" t="str">
        <f>IFERROR(__xludf.DUMMYFUNCTION("""COMPUTED_VALUE"""),"")</f>
        <v/>
      </c>
      <c r="Q2094" s="5">
        <f>IFERROR(__xludf.DUMMYFUNCTION("""COMPUTED_VALUE"""),0.007292055555555556)</f>
        <v>0.007292055556</v>
      </c>
      <c r="R2094" s="4">
        <f>IFERROR(__xludf.DUMMYFUNCTION("""COMPUTED_VALUE"""),45949.03646027345)</f>
        <v>45949.03646</v>
      </c>
      <c r="S2094" s="1" t="b">
        <f>IFERROR(__xludf.DUMMYFUNCTION("""COMPUTED_VALUE"""),TRUE)</f>
        <v>1</v>
      </c>
      <c r="T2094" s="1" t="b">
        <f>IFERROR(__xludf.DUMMYFUNCTION("""COMPUTED_VALUE"""),FALSE)</f>
        <v>0</v>
      </c>
      <c r="U2094" s="1" t="str">
        <f>IFERROR(__xludf.DUMMYFUNCTION("""COMPUTED_VALUE"""),"VALID")</f>
        <v>VALID</v>
      </c>
      <c r="V2094" s="1">
        <f>IFERROR(__xludf.DUMMYFUNCTION("""COMPUTED_VALUE"""),609.0)</f>
        <v>609</v>
      </c>
      <c r="W2094" s="1">
        <f>IFERROR(__xludf.DUMMYFUNCTION("""COMPUTED_VALUE"""),994.0)</f>
        <v>994</v>
      </c>
      <c r="X2094" s="1">
        <f>IFERROR(__xludf.DUMMYFUNCTION("""COMPUTED_VALUE"""),803.0)</f>
        <v>803</v>
      </c>
      <c r="Y2094" s="2"/>
      <c r="Z2094" s="2"/>
    </row>
    <row r="2095">
      <c r="A2095" s="1">
        <f>IFERROR(__xludf.DUMMYFUNCTION("""COMPUTED_VALUE"""),2094.0)</f>
        <v>2094</v>
      </c>
      <c r="B2095" s="1">
        <f>IFERROR(__xludf.DUMMYFUNCTION("""COMPUTED_VALUE"""),5709.0)</f>
        <v>5709</v>
      </c>
      <c r="C2095" s="2" t="str">
        <f>IFERROR(__xludf.DUMMYFUNCTION("""COMPUTED_VALUE"""),"Dody Indrawan")</f>
        <v>Dody Indrawan</v>
      </c>
      <c r="D2095" s="2" t="str">
        <f>IFERROR(__xludf.DUMMYFUNCTION("""COMPUTED_VALUE"""),"5KM OVERALL M")</f>
        <v>5KM OVERALL M</v>
      </c>
      <c r="E2095" s="1">
        <f>IFERROR(__xludf.DUMMYFUNCTION("""COMPUTED_VALUE"""),2.0)</f>
        <v>2</v>
      </c>
      <c r="F2095" s="1" t="str">
        <f>IFERROR(__xludf.DUMMYFUNCTION("""COMPUTED_VALUE"""),"Male")</f>
        <v>Male</v>
      </c>
      <c r="G2095" s="4" t="b">
        <f>IFERROR(__xludf.DUMMYFUNCTION("""COMPUTED_VALUE"""),TRUE)</f>
        <v>1</v>
      </c>
      <c r="H2095" s="4" t="b">
        <f>IFERROR(__xludf.DUMMYFUNCTION("""COMPUTED_VALUE"""),TRUE)</f>
        <v>1</v>
      </c>
      <c r="I2095" s="4">
        <f>IFERROR(__xludf.DUMMYFUNCTION("""COMPUTED_VALUE"""),0.2549440625)</f>
        <v>0.2549440625</v>
      </c>
      <c r="J2095" s="4">
        <f>IFERROR(__xludf.DUMMYFUNCTION("""COMPUTED_VALUE"""),45949.26983225248)</f>
        <v>45949.26983</v>
      </c>
      <c r="K2095" s="4" t="str">
        <f>IFERROR(__xludf.DUMMYFUNCTION("""COMPUTED_VALUE"""),"")</f>
        <v/>
      </c>
      <c r="L2095" s="4">
        <f>IFERROR(__xludf.DUMMYFUNCTION("""COMPUTED_VALUE"""),45949.2797064323)</f>
        <v>45949.27971</v>
      </c>
      <c r="M2095" s="1" t="str">
        <f>IFERROR(__xludf.DUMMYFUNCTION("""COMPUTED_VALUE"""),"RFID")</f>
        <v>RFID</v>
      </c>
      <c r="N2095" s="5">
        <f>IFERROR(__xludf.DUMMYFUNCTION("""COMPUTED_VALUE"""),0.005955277777777777)</f>
        <v>0.005955277778</v>
      </c>
      <c r="O2095" s="5" t="str">
        <f>IFERROR(__xludf.DUMMYFUNCTION("""COMPUTED_VALUE"""),"")</f>
        <v/>
      </c>
      <c r="P2095" s="5" t="str">
        <f>IFERROR(__xludf.DUMMYFUNCTION("""COMPUTED_VALUE"""),"")</f>
        <v/>
      </c>
      <c r="Q2095" s="5">
        <f>IFERROR(__xludf.DUMMYFUNCTION("""COMPUTED_VALUE"""),0.0049524745370370365)</f>
        <v>0.004952474537</v>
      </c>
      <c r="R2095" s="4">
        <f>IFERROR(__xludf.DUMMYFUNCTION("""COMPUTED_VALUE"""),45949.0247623698)</f>
        <v>45949.02476</v>
      </c>
      <c r="S2095" s="1" t="b">
        <f>IFERROR(__xludf.DUMMYFUNCTION("""COMPUTED_VALUE"""),TRUE)</f>
        <v>1</v>
      </c>
      <c r="T2095" s="1" t="b">
        <f>IFERROR(__xludf.DUMMYFUNCTION("""COMPUTED_VALUE"""),FALSE)</f>
        <v>0</v>
      </c>
      <c r="U2095" s="1" t="str">
        <f>IFERROR(__xludf.DUMMYFUNCTION("""COMPUTED_VALUE"""),"VALID")</f>
        <v>VALID</v>
      </c>
      <c r="V2095" s="1">
        <f>IFERROR(__xludf.DUMMYFUNCTION("""COMPUTED_VALUE"""),181.0)</f>
        <v>181</v>
      </c>
      <c r="W2095" s="1">
        <f>IFERROR(__xludf.DUMMYFUNCTION("""COMPUTED_VALUE"""),276.0)</f>
        <v>276</v>
      </c>
      <c r="X2095" s="1">
        <f>IFERROR(__xludf.DUMMYFUNCTION("""COMPUTED_VALUE"""),242.0)</f>
        <v>242</v>
      </c>
      <c r="Y2095" s="2"/>
      <c r="Z2095" s="2"/>
    </row>
    <row r="2096">
      <c r="A2096" s="1">
        <f>IFERROR(__xludf.DUMMYFUNCTION("""COMPUTED_VALUE"""),2095.0)</f>
        <v>2095</v>
      </c>
      <c r="B2096" s="1">
        <f>IFERROR(__xludf.DUMMYFUNCTION("""COMPUTED_VALUE"""),5710.0)</f>
        <v>5710</v>
      </c>
      <c r="C2096" s="2" t="str">
        <f>IFERROR(__xludf.DUMMYFUNCTION("""COMPUTED_VALUE"""),"Denis W.")</f>
        <v>Denis W.</v>
      </c>
      <c r="D2096" s="2" t="str">
        <f>IFERROR(__xludf.DUMMYFUNCTION("""COMPUTED_VALUE"""),"5KM OVERALL M")</f>
        <v>5KM OVERALL M</v>
      </c>
      <c r="E2096" s="1">
        <f>IFERROR(__xludf.DUMMYFUNCTION("""COMPUTED_VALUE"""),2.0)</f>
        <v>2</v>
      </c>
      <c r="F2096" s="1" t="str">
        <f>IFERROR(__xludf.DUMMYFUNCTION("""COMPUTED_VALUE"""),"Male")</f>
        <v>Male</v>
      </c>
      <c r="G2096" s="4" t="b">
        <f>IFERROR(__xludf.DUMMYFUNCTION("""COMPUTED_VALUE"""),TRUE)</f>
        <v>1</v>
      </c>
      <c r="H2096" s="4" t="b">
        <f>IFERROR(__xludf.DUMMYFUNCTION("""COMPUTED_VALUE"""),FALSE)</f>
        <v>0</v>
      </c>
      <c r="I2096" s="4">
        <f>IFERROR(__xludf.DUMMYFUNCTION("""COMPUTED_VALUE"""),0.2549440625)</f>
        <v>0.2549440625</v>
      </c>
      <c r="J2096" s="4">
        <f>IFERROR(__xludf.DUMMYFUNCTION("""COMPUTED_VALUE"""),45949.268193420154)</f>
        <v>45949.26819</v>
      </c>
      <c r="K2096" s="4" t="str">
        <f>IFERROR(__xludf.DUMMYFUNCTION("""COMPUTED_VALUE"""),"")</f>
        <v/>
      </c>
      <c r="L2096" s="4">
        <f>IFERROR(__xludf.DUMMYFUNCTION("""COMPUTED_VALUE"""),45949.27931058954)</f>
        <v>45949.27931</v>
      </c>
      <c r="M2096" s="1" t="str">
        <f>IFERROR(__xludf.DUMMYFUNCTION("""COMPUTED_VALUE"""),"RFID")</f>
        <v>RFID</v>
      </c>
      <c r="N2096" s="5">
        <f>IFERROR(__xludf.DUMMYFUNCTION("""COMPUTED_VALUE"""),0.00529974537037037)</f>
        <v>0.00529974537</v>
      </c>
      <c r="O2096" s="5" t="str">
        <f>IFERROR(__xludf.DUMMYFUNCTION("""COMPUTED_VALUE"""),"")</f>
        <v/>
      </c>
      <c r="P2096" s="5" t="str">
        <f>IFERROR(__xludf.DUMMYFUNCTION("""COMPUTED_VALUE"""),"")</f>
        <v/>
      </c>
      <c r="Q2096" s="5">
        <f>IFERROR(__xludf.DUMMYFUNCTION("""COMPUTED_VALUE"""),0.004873305555555556)</f>
        <v>0.004873305556</v>
      </c>
      <c r="R2096" s="4">
        <f>IFERROR(__xludf.DUMMYFUNCTION("""COMPUTED_VALUE"""),45949.02436652704)</f>
        <v>45949.02437</v>
      </c>
      <c r="S2096" s="1" t="b">
        <f>IFERROR(__xludf.DUMMYFUNCTION("""COMPUTED_VALUE"""),TRUE)</f>
        <v>1</v>
      </c>
      <c r="T2096" s="1" t="b">
        <f>IFERROR(__xludf.DUMMYFUNCTION("""COMPUTED_VALUE"""),FALSE)</f>
        <v>0</v>
      </c>
      <c r="U2096" s="1" t="str">
        <f>IFERROR(__xludf.DUMMYFUNCTION("""COMPUTED_VALUE"""),"VALID")</f>
        <v>VALID</v>
      </c>
      <c r="V2096" s="1">
        <f>IFERROR(__xludf.DUMMYFUNCTION("""COMPUTED_VALUE"""),168.0)</f>
        <v>168</v>
      </c>
      <c r="W2096" s="1">
        <f>IFERROR(__xludf.DUMMYFUNCTION("""COMPUTED_VALUE"""),259.0)</f>
        <v>259</v>
      </c>
      <c r="X2096" s="1">
        <f>IFERROR(__xludf.DUMMYFUNCTION("""COMPUTED_VALUE"""),226.0)</f>
        <v>226</v>
      </c>
      <c r="Y2096" s="2"/>
      <c r="Z2096" s="2"/>
    </row>
    <row r="2097">
      <c r="A2097" s="1">
        <f>IFERROR(__xludf.DUMMYFUNCTION("""COMPUTED_VALUE"""),2096.0)</f>
        <v>2096</v>
      </c>
      <c r="B2097" s="1">
        <f>IFERROR(__xludf.DUMMYFUNCTION("""COMPUTED_VALUE"""),5712.0)</f>
        <v>5712</v>
      </c>
      <c r="C2097" s="2" t="str">
        <f>IFERROR(__xludf.DUMMYFUNCTION("""COMPUTED_VALUE"""),"ORANG DALAM")</f>
        <v>ORANG DALAM</v>
      </c>
      <c r="D2097" s="2" t="str">
        <f>IFERROR(__xludf.DUMMYFUNCTION("""COMPUTED_VALUE"""),"5KM OVERALL M")</f>
        <v>5KM OVERALL M</v>
      </c>
      <c r="E2097" s="1">
        <f>IFERROR(__xludf.DUMMYFUNCTION("""COMPUTED_VALUE"""),2.0)</f>
        <v>2</v>
      </c>
      <c r="F2097" s="1" t="str">
        <f>IFERROR(__xludf.DUMMYFUNCTION("""COMPUTED_VALUE"""),"Male")</f>
        <v>Male</v>
      </c>
      <c r="G2097" s="4" t="b">
        <f>IFERROR(__xludf.DUMMYFUNCTION("""COMPUTED_VALUE"""),TRUE)</f>
        <v>1</v>
      </c>
      <c r="H2097" s="4" t="b">
        <f>IFERROR(__xludf.DUMMYFUNCTION("""COMPUTED_VALUE"""),FALSE)</f>
        <v>0</v>
      </c>
      <c r="I2097" s="4">
        <f>IFERROR(__xludf.DUMMYFUNCTION("""COMPUTED_VALUE"""),0.2549440625)</f>
        <v>0.2549440625</v>
      </c>
      <c r="J2097" s="4">
        <f>IFERROR(__xludf.DUMMYFUNCTION("""COMPUTED_VALUE"""),45949.280346139)</f>
        <v>45949.28035</v>
      </c>
      <c r="K2097" s="4" t="str">
        <f>IFERROR(__xludf.DUMMYFUNCTION("""COMPUTED_VALUE"""),"")</f>
        <v/>
      </c>
      <c r="L2097" s="4">
        <f>IFERROR(__xludf.DUMMYFUNCTION("""COMPUTED_VALUE"""),45949.29831753397)</f>
        <v>45949.29832</v>
      </c>
      <c r="M2097" s="1" t="str">
        <f>IFERROR(__xludf.DUMMYFUNCTION("""COMPUTED_VALUE"""),"RFID")</f>
        <v>RFID</v>
      </c>
      <c r="N2097" s="5">
        <f>IFERROR(__xludf.DUMMYFUNCTION("""COMPUTED_VALUE"""),0.010160828703703703)</f>
        <v>0.0101608287</v>
      </c>
      <c r="O2097" s="5" t="str">
        <f>IFERROR(__xludf.DUMMYFUNCTION("""COMPUTED_VALUE"""),"")</f>
        <v/>
      </c>
      <c r="P2097" s="5" t="str">
        <f>IFERROR(__xludf.DUMMYFUNCTION("""COMPUTED_VALUE"""),"")</f>
        <v/>
      </c>
      <c r="Q2097" s="5">
        <f>IFERROR(__xludf.DUMMYFUNCTION("""COMPUTED_VALUE"""),0.008674694444444445)</f>
        <v>0.008674694444</v>
      </c>
      <c r="R2097" s="4">
        <f>IFERROR(__xludf.DUMMYFUNCTION("""COMPUTED_VALUE"""),45949.04337347147)</f>
        <v>45949.04337</v>
      </c>
      <c r="S2097" s="1" t="b">
        <f>IFERROR(__xludf.DUMMYFUNCTION("""COMPUTED_VALUE"""),TRUE)</f>
        <v>1</v>
      </c>
      <c r="T2097" s="1" t="b">
        <f>IFERROR(__xludf.DUMMYFUNCTION("""COMPUTED_VALUE"""),FALSE)</f>
        <v>0</v>
      </c>
      <c r="U2097" s="1" t="str">
        <f>IFERROR(__xludf.DUMMYFUNCTION("""COMPUTED_VALUE"""),"VALID")</f>
        <v>VALID</v>
      </c>
      <c r="V2097" s="1">
        <f>IFERROR(__xludf.DUMMYFUNCTION("""COMPUTED_VALUE"""),766.0)</f>
        <v>766</v>
      </c>
      <c r="W2097" s="1">
        <f>IFERROR(__xludf.DUMMYFUNCTION("""COMPUTED_VALUE"""),1368.0)</f>
        <v>1368</v>
      </c>
      <c r="X2097" s="1">
        <f>IFERROR(__xludf.DUMMYFUNCTION("""COMPUTED_VALUE"""),1109.0)</f>
        <v>1109</v>
      </c>
      <c r="Y2097" s="2"/>
      <c r="Z2097" s="2"/>
    </row>
    <row r="2098">
      <c r="A2098" s="1">
        <f>IFERROR(__xludf.DUMMYFUNCTION("""COMPUTED_VALUE"""),2097.0)</f>
        <v>2097</v>
      </c>
      <c r="B2098" s="1">
        <f>IFERROR(__xludf.DUMMYFUNCTION("""COMPUTED_VALUE"""),5713.0)</f>
        <v>5713</v>
      </c>
      <c r="C2098" s="2" t="str">
        <f>IFERROR(__xludf.DUMMYFUNCTION("""COMPUTED_VALUE"""),"Dimas Hira")</f>
        <v>Dimas Hira</v>
      </c>
      <c r="D2098" s="2" t="str">
        <f>IFERROR(__xludf.DUMMYFUNCTION("""COMPUTED_VALUE"""),"5KM OVERALL M")</f>
        <v>5KM OVERALL M</v>
      </c>
      <c r="E2098" s="1">
        <f>IFERROR(__xludf.DUMMYFUNCTION("""COMPUTED_VALUE"""),2.0)</f>
        <v>2</v>
      </c>
      <c r="F2098" s="1" t="str">
        <f>IFERROR(__xludf.DUMMYFUNCTION("""COMPUTED_VALUE"""),"Male")</f>
        <v>Male</v>
      </c>
      <c r="G2098" s="4" t="b">
        <f>IFERROR(__xludf.DUMMYFUNCTION("""COMPUTED_VALUE"""),TRUE)</f>
        <v>1</v>
      </c>
      <c r="H2098" s="4" t="b">
        <f>IFERROR(__xludf.DUMMYFUNCTION("""COMPUTED_VALUE"""),FALSE)</f>
        <v>0</v>
      </c>
      <c r="I2098" s="4">
        <f>IFERROR(__xludf.DUMMYFUNCTION("""COMPUTED_VALUE"""),0.2549440625)</f>
        <v>0.2549440625</v>
      </c>
      <c r="J2098" s="4">
        <f>IFERROR(__xludf.DUMMYFUNCTION("""COMPUTED_VALUE"""),45949.27222114398)</f>
        <v>45949.27222</v>
      </c>
      <c r="K2098" s="4" t="str">
        <f>IFERROR(__xludf.DUMMYFUNCTION("""COMPUTED_VALUE"""),"")</f>
        <v/>
      </c>
      <c r="L2098" s="4">
        <f>IFERROR(__xludf.DUMMYFUNCTION("""COMPUTED_VALUE"""),45949.28652587963)</f>
        <v>45949.28653</v>
      </c>
      <c r="M2098" s="1" t="str">
        <f>IFERROR(__xludf.DUMMYFUNCTION("""COMPUTED_VALUE"""),"RFID")</f>
        <v>RFID</v>
      </c>
      <c r="N2098" s="5">
        <f>IFERROR(__xludf.DUMMYFUNCTION("""COMPUTED_VALUE"""),0.006910833333333333)</f>
        <v>0.006910833333</v>
      </c>
      <c r="O2098" s="5" t="str">
        <f>IFERROR(__xludf.DUMMYFUNCTION("""COMPUTED_VALUE"""),"")</f>
        <v/>
      </c>
      <c r="P2098" s="5" t="str">
        <f>IFERROR(__xludf.DUMMYFUNCTION("""COMPUTED_VALUE"""),"")</f>
        <v/>
      </c>
      <c r="Q2098" s="5">
        <f>IFERROR(__xludf.DUMMYFUNCTION("""COMPUTED_VALUE"""),0.006316363425925927)</f>
        <v>0.006316363426</v>
      </c>
      <c r="R2098" s="4">
        <f>IFERROR(__xludf.DUMMYFUNCTION("""COMPUTED_VALUE"""),45949.03158181713)</f>
        <v>45949.03158</v>
      </c>
      <c r="S2098" s="1" t="b">
        <f>IFERROR(__xludf.DUMMYFUNCTION("""COMPUTED_VALUE"""),TRUE)</f>
        <v>1</v>
      </c>
      <c r="T2098" s="1" t="b">
        <f>IFERROR(__xludf.DUMMYFUNCTION("""COMPUTED_VALUE"""),FALSE)</f>
        <v>0</v>
      </c>
      <c r="U2098" s="1" t="str">
        <f>IFERROR(__xludf.DUMMYFUNCTION("""COMPUTED_VALUE"""),"VALID")</f>
        <v>VALID</v>
      </c>
      <c r="V2098" s="1">
        <f>IFERROR(__xludf.DUMMYFUNCTION("""COMPUTED_VALUE"""),436.0)</f>
        <v>436</v>
      </c>
      <c r="W2098" s="1">
        <f>IFERROR(__xludf.DUMMYFUNCTION("""COMPUTED_VALUE"""),672.0)</f>
        <v>672</v>
      </c>
      <c r="X2098" s="1">
        <f>IFERROR(__xludf.DUMMYFUNCTION("""COMPUTED_VALUE"""),562.0)</f>
        <v>562</v>
      </c>
      <c r="Y2098" s="2"/>
      <c r="Z2098" s="2"/>
    </row>
    <row r="2099">
      <c r="A2099" s="1">
        <f>IFERROR(__xludf.DUMMYFUNCTION("""COMPUTED_VALUE"""),2098.0)</f>
        <v>2098</v>
      </c>
      <c r="B2099" s="1">
        <f>IFERROR(__xludf.DUMMYFUNCTION("""COMPUTED_VALUE"""),5714.0)</f>
        <v>5714</v>
      </c>
      <c r="C2099" s="2" t="str">
        <f>IFERROR(__xludf.DUMMYFUNCTION("""COMPUTED_VALUE"""),"IKHWAN")</f>
        <v>IKHWAN</v>
      </c>
      <c r="D2099" s="2" t="str">
        <f>IFERROR(__xludf.DUMMYFUNCTION("""COMPUTED_VALUE"""),"5KM OVERALL M")</f>
        <v>5KM OVERALL M</v>
      </c>
      <c r="E2099" s="1">
        <f>IFERROR(__xludf.DUMMYFUNCTION("""COMPUTED_VALUE"""),2.0)</f>
        <v>2</v>
      </c>
      <c r="F2099" s="1" t="str">
        <f>IFERROR(__xludf.DUMMYFUNCTION("""COMPUTED_VALUE"""),"Male")</f>
        <v>Male</v>
      </c>
      <c r="G2099" s="4" t="b">
        <f>IFERROR(__xludf.DUMMYFUNCTION("""COMPUTED_VALUE"""),TRUE)</f>
        <v>1</v>
      </c>
      <c r="H2099" s="4" t="b">
        <f>IFERROR(__xludf.DUMMYFUNCTION("""COMPUTED_VALUE"""),FALSE)</f>
        <v>0</v>
      </c>
      <c r="I2099" s="4">
        <f>IFERROR(__xludf.DUMMYFUNCTION("""COMPUTED_VALUE"""),0.2549440625)</f>
        <v>0.2549440625</v>
      </c>
      <c r="J2099" s="4">
        <f>IFERROR(__xludf.DUMMYFUNCTION("""COMPUTED_VALUE"""),45949.279679525716)</f>
        <v>45949.27968</v>
      </c>
      <c r="K2099" s="4" t="str">
        <f>IFERROR(__xludf.DUMMYFUNCTION("""COMPUTED_VALUE"""),"")</f>
        <v/>
      </c>
      <c r="L2099" s="4">
        <f>IFERROR(__xludf.DUMMYFUNCTION("""COMPUTED_VALUE"""),45949.29915781741)</f>
        <v>45949.29916</v>
      </c>
      <c r="M2099" s="1" t="str">
        <f>IFERROR(__xludf.DUMMYFUNCTION("""COMPUTED_VALUE"""),"RFID")</f>
        <v>RFID</v>
      </c>
      <c r="N2099" s="5">
        <f>IFERROR(__xludf.DUMMYFUNCTION("""COMPUTED_VALUE"""),0.009894185185185183)</f>
        <v>0.009894185185</v>
      </c>
      <c r="O2099" s="5" t="str">
        <f>IFERROR(__xludf.DUMMYFUNCTION("""COMPUTED_VALUE"""),"")</f>
        <v/>
      </c>
      <c r="P2099" s="5" t="str">
        <f>IFERROR(__xludf.DUMMYFUNCTION("""COMPUTED_VALUE"""),"")</f>
        <v/>
      </c>
      <c r="Q2099" s="5">
        <f>IFERROR(__xludf.DUMMYFUNCTION("""COMPUTED_VALUE"""),0.00884275)</f>
        <v>0.00884275</v>
      </c>
      <c r="R2099" s="4">
        <f>IFERROR(__xludf.DUMMYFUNCTION("""COMPUTED_VALUE"""),45949.04421375491)</f>
        <v>45949.04421</v>
      </c>
      <c r="S2099" s="1" t="b">
        <f>IFERROR(__xludf.DUMMYFUNCTION("""COMPUTED_VALUE"""),TRUE)</f>
        <v>1</v>
      </c>
      <c r="T2099" s="1" t="b">
        <f>IFERROR(__xludf.DUMMYFUNCTION("""COMPUTED_VALUE"""),FALSE)</f>
        <v>0</v>
      </c>
      <c r="U2099" s="1" t="str">
        <f>IFERROR(__xludf.DUMMYFUNCTION("""COMPUTED_VALUE"""),"VALID")</f>
        <v>VALID</v>
      </c>
      <c r="V2099" s="1">
        <f>IFERROR(__xludf.DUMMYFUNCTION("""COMPUTED_VALUE"""),781.0)</f>
        <v>781</v>
      </c>
      <c r="W2099" s="1">
        <f>IFERROR(__xludf.DUMMYFUNCTION("""COMPUTED_VALUE"""),1414.0)</f>
        <v>1414</v>
      </c>
      <c r="X2099" s="1">
        <f>IFERROR(__xludf.DUMMYFUNCTION("""COMPUTED_VALUE"""),1157.0)</f>
        <v>1157</v>
      </c>
      <c r="Y2099" s="2"/>
      <c r="Z2099" s="2"/>
    </row>
    <row r="2100">
      <c r="A2100" s="1">
        <f>IFERROR(__xludf.DUMMYFUNCTION("""COMPUTED_VALUE"""),2099.0)</f>
        <v>2099</v>
      </c>
      <c r="B2100" s="1">
        <f>IFERROR(__xludf.DUMMYFUNCTION("""COMPUTED_VALUE"""),5716.0)</f>
        <v>5716</v>
      </c>
      <c r="C2100" s="2" t="str">
        <f>IFERROR(__xludf.DUMMYFUNCTION("""COMPUTED_VALUE"""),"Saputra R")</f>
        <v>Saputra R</v>
      </c>
      <c r="D2100" s="2" t="str">
        <f>IFERROR(__xludf.DUMMYFUNCTION("""COMPUTED_VALUE"""),"5KM OVERALL M")</f>
        <v>5KM OVERALL M</v>
      </c>
      <c r="E2100" s="1">
        <f>IFERROR(__xludf.DUMMYFUNCTION("""COMPUTED_VALUE"""),2.0)</f>
        <v>2</v>
      </c>
      <c r="F2100" s="1" t="str">
        <f>IFERROR(__xludf.DUMMYFUNCTION("""COMPUTED_VALUE"""),"Male")</f>
        <v>Male</v>
      </c>
      <c r="G2100" s="4" t="b">
        <f>IFERROR(__xludf.DUMMYFUNCTION("""COMPUTED_VALUE"""),TRUE)</f>
        <v>1</v>
      </c>
      <c r="H2100" s="4" t="b">
        <f>IFERROR(__xludf.DUMMYFUNCTION("""COMPUTED_VALUE"""),FALSE)</f>
        <v>0</v>
      </c>
      <c r="I2100" s="4">
        <f>IFERROR(__xludf.DUMMYFUNCTION("""COMPUTED_VALUE"""),0.2549440625)</f>
        <v>0.2549440625</v>
      </c>
      <c r="J2100" s="4">
        <f>IFERROR(__xludf.DUMMYFUNCTION("""COMPUTED_VALUE"""),45949.2739676704)</f>
        <v>45949.27397</v>
      </c>
      <c r="K2100" s="4" t="str">
        <f>IFERROR(__xludf.DUMMYFUNCTION("""COMPUTED_VALUE"""),"")</f>
        <v/>
      </c>
      <c r="L2100" s="4">
        <f>IFERROR(__xludf.DUMMYFUNCTION("""COMPUTED_VALUE"""),45949.289279338176)</f>
        <v>45949.28928</v>
      </c>
      <c r="M2100" s="1" t="str">
        <f>IFERROR(__xludf.DUMMYFUNCTION("""COMPUTED_VALUE"""),"RFID")</f>
        <v>RFID</v>
      </c>
      <c r="N2100" s="5">
        <f>IFERROR(__xludf.DUMMYFUNCTION("""COMPUTED_VALUE"""),0.007609444444444445)</f>
        <v>0.007609444444</v>
      </c>
      <c r="O2100" s="5" t="str">
        <f>IFERROR(__xludf.DUMMYFUNCTION("""COMPUTED_VALUE"""),"")</f>
        <v/>
      </c>
      <c r="P2100" s="5" t="str">
        <f>IFERROR(__xludf.DUMMYFUNCTION("""COMPUTED_VALUE"""),"")</f>
        <v/>
      </c>
      <c r="Q2100" s="5">
        <f>IFERROR(__xludf.DUMMYFUNCTION("""COMPUTED_VALUE"""),0.006867055555555555)</f>
        <v>0.006867055556</v>
      </c>
      <c r="R2100" s="4">
        <f>IFERROR(__xludf.DUMMYFUNCTION("""COMPUTED_VALUE"""),45949.034335275675)</f>
        <v>45949.03434</v>
      </c>
      <c r="S2100" s="1" t="b">
        <f>IFERROR(__xludf.DUMMYFUNCTION("""COMPUTED_VALUE"""),TRUE)</f>
        <v>1</v>
      </c>
      <c r="T2100" s="1" t="b">
        <f>IFERROR(__xludf.DUMMYFUNCTION("""COMPUTED_VALUE"""),FALSE)</f>
        <v>0</v>
      </c>
      <c r="U2100" s="1" t="str">
        <f>IFERROR(__xludf.DUMMYFUNCTION("""COMPUTED_VALUE"""),"VALID")</f>
        <v>VALID</v>
      </c>
      <c r="V2100" s="1">
        <f>IFERROR(__xludf.DUMMYFUNCTION("""COMPUTED_VALUE"""),546.0)</f>
        <v>546</v>
      </c>
      <c r="W2100" s="1">
        <f>IFERROR(__xludf.DUMMYFUNCTION("""COMPUTED_VALUE"""),860.0)</f>
        <v>860</v>
      </c>
      <c r="X2100" s="1">
        <f>IFERROR(__xludf.DUMMYFUNCTION("""COMPUTED_VALUE"""),703.0)</f>
        <v>703</v>
      </c>
      <c r="Y2100" s="2"/>
      <c r="Z2100" s="2"/>
    </row>
    <row r="2101">
      <c r="A2101" s="1">
        <f>IFERROR(__xludf.DUMMYFUNCTION("""COMPUTED_VALUE"""),2100.0)</f>
        <v>2100</v>
      </c>
      <c r="B2101" s="1">
        <f>IFERROR(__xludf.DUMMYFUNCTION("""COMPUTED_VALUE"""),5719.0)</f>
        <v>5719</v>
      </c>
      <c r="C2101" s="2" t="str">
        <f>IFERROR(__xludf.DUMMYFUNCTION("""COMPUTED_VALUE"""),"Muhammad Rudi Yurianto")</f>
        <v>Muhammad Rudi Yurianto</v>
      </c>
      <c r="D2101" s="2" t="str">
        <f>IFERROR(__xludf.DUMMYFUNCTION("""COMPUTED_VALUE"""),"5KM OVERALL M")</f>
        <v>5KM OVERALL M</v>
      </c>
      <c r="E2101" s="1">
        <f>IFERROR(__xludf.DUMMYFUNCTION("""COMPUTED_VALUE"""),2.0)</f>
        <v>2</v>
      </c>
      <c r="F2101" s="1" t="str">
        <f>IFERROR(__xludf.DUMMYFUNCTION("""COMPUTED_VALUE"""),"Male")</f>
        <v>Male</v>
      </c>
      <c r="G2101" s="4" t="b">
        <f>IFERROR(__xludf.DUMMYFUNCTION("""COMPUTED_VALUE"""),TRUE)</f>
        <v>1</v>
      </c>
      <c r="H2101" s="4" t="b">
        <f>IFERROR(__xludf.DUMMYFUNCTION("""COMPUTED_VALUE"""),FALSE)</f>
        <v>0</v>
      </c>
      <c r="I2101" s="4">
        <f>IFERROR(__xludf.DUMMYFUNCTION("""COMPUTED_VALUE"""),0.2549440625)</f>
        <v>0.2549440625</v>
      </c>
      <c r="J2101" s="4">
        <f>IFERROR(__xludf.DUMMYFUNCTION("""COMPUTED_VALUE"""),45949.26576973954)</f>
        <v>45949.26577</v>
      </c>
      <c r="K2101" s="4" t="str">
        <f>IFERROR(__xludf.DUMMYFUNCTION("""COMPUTED_VALUE"""),"")</f>
        <v/>
      </c>
      <c r="L2101" s="4">
        <f>IFERROR(__xludf.DUMMYFUNCTION("""COMPUTED_VALUE"""),45949.27439050337)</f>
        <v>45949.27439</v>
      </c>
      <c r="M2101" s="1" t="str">
        <f>IFERROR(__xludf.DUMMYFUNCTION("""COMPUTED_VALUE"""),"RFID")</f>
        <v>RFID</v>
      </c>
      <c r="N2101" s="5">
        <f>IFERROR(__xludf.DUMMYFUNCTION("""COMPUTED_VALUE"""),0.004330268518518518)</f>
        <v>0.004330268519</v>
      </c>
      <c r="O2101" s="5" t="str">
        <f>IFERROR(__xludf.DUMMYFUNCTION("""COMPUTED_VALUE"""),"")</f>
        <v/>
      </c>
      <c r="P2101" s="5" t="str">
        <f>IFERROR(__xludf.DUMMYFUNCTION("""COMPUTED_VALUE"""),"")</f>
        <v/>
      </c>
      <c r="Q2101" s="5">
        <f>IFERROR(__xludf.DUMMYFUNCTION("""COMPUTED_VALUE"""),0.003889287037037037)</f>
        <v>0.003889287037</v>
      </c>
      <c r="R2101" s="4">
        <f>IFERROR(__xludf.DUMMYFUNCTION("""COMPUTED_VALUE"""),45949.01944644087)</f>
        <v>45949.01945</v>
      </c>
      <c r="S2101" s="1" t="b">
        <f>IFERROR(__xludf.DUMMYFUNCTION("""COMPUTED_VALUE"""),TRUE)</f>
        <v>1</v>
      </c>
      <c r="T2101" s="1" t="b">
        <f>IFERROR(__xludf.DUMMYFUNCTION("""COMPUTED_VALUE"""),FALSE)</f>
        <v>0</v>
      </c>
      <c r="U2101" s="1" t="str">
        <f>IFERROR(__xludf.DUMMYFUNCTION("""COMPUTED_VALUE"""),"VALID")</f>
        <v>VALID</v>
      </c>
      <c r="V2101" s="1">
        <f>IFERROR(__xludf.DUMMYFUNCTION("""COMPUTED_VALUE"""),69.0)</f>
        <v>69</v>
      </c>
      <c r="W2101" s="1">
        <f>IFERROR(__xludf.DUMMYFUNCTION("""COMPUTED_VALUE"""),102.0)</f>
        <v>102</v>
      </c>
      <c r="X2101" s="1">
        <f>IFERROR(__xludf.DUMMYFUNCTION("""COMPUTED_VALUE"""),92.0)</f>
        <v>92</v>
      </c>
      <c r="Y2101" s="2"/>
      <c r="Z2101" s="2"/>
    </row>
    <row r="2102">
      <c r="A2102" s="1">
        <f>IFERROR(__xludf.DUMMYFUNCTION("""COMPUTED_VALUE"""),2101.0)</f>
        <v>2101</v>
      </c>
      <c r="B2102" s="1">
        <f>IFERROR(__xludf.DUMMYFUNCTION("""COMPUTED_VALUE"""),5720.0)</f>
        <v>5720</v>
      </c>
      <c r="C2102" s="2" t="str">
        <f>IFERROR(__xludf.DUMMYFUNCTION("""COMPUTED_VALUE"""),"ARIA")</f>
        <v>ARIA</v>
      </c>
      <c r="D2102" s="2" t="str">
        <f>IFERROR(__xludf.DUMMYFUNCTION("""COMPUTED_VALUE"""),"5KM OVERALL M")</f>
        <v>5KM OVERALL M</v>
      </c>
      <c r="E2102" s="1">
        <f>IFERROR(__xludf.DUMMYFUNCTION("""COMPUTED_VALUE"""),2.0)</f>
        <v>2</v>
      </c>
      <c r="F2102" s="1" t="str">
        <f>IFERROR(__xludf.DUMMYFUNCTION("""COMPUTED_VALUE"""),"Male")</f>
        <v>Male</v>
      </c>
      <c r="G2102" s="4" t="b">
        <f>IFERROR(__xludf.DUMMYFUNCTION("""COMPUTED_VALUE"""),TRUE)</f>
        <v>1</v>
      </c>
      <c r="H2102" s="4" t="b">
        <f>IFERROR(__xludf.DUMMYFUNCTION("""COMPUTED_VALUE"""),FALSE)</f>
        <v>0</v>
      </c>
      <c r="I2102" s="4">
        <f>IFERROR(__xludf.DUMMYFUNCTION("""COMPUTED_VALUE"""),0.2549440625)</f>
        <v>0.2549440625</v>
      </c>
      <c r="J2102" s="4">
        <f>IFERROR(__xludf.DUMMYFUNCTION("""COMPUTED_VALUE"""),45949.26940517088)</f>
        <v>45949.26941</v>
      </c>
      <c r="K2102" s="4" t="str">
        <f>IFERROR(__xludf.DUMMYFUNCTION("""COMPUTED_VALUE"""),"")</f>
        <v/>
      </c>
      <c r="L2102" s="4">
        <f>IFERROR(__xludf.DUMMYFUNCTION("""COMPUTED_VALUE"""),45949.28259184311)</f>
        <v>45949.28259</v>
      </c>
      <c r="M2102" s="1" t="str">
        <f>IFERROR(__xludf.DUMMYFUNCTION("""COMPUTED_VALUE"""),"RFID")</f>
        <v>RFID</v>
      </c>
      <c r="N2102" s="5">
        <f>IFERROR(__xludf.DUMMYFUNCTION("""COMPUTED_VALUE"""),0.0057844444444444445)</f>
        <v>0.005784444444</v>
      </c>
      <c r="O2102" s="5" t="str">
        <f>IFERROR(__xludf.DUMMYFUNCTION("""COMPUTED_VALUE"""),"")</f>
        <v/>
      </c>
      <c r="P2102" s="5" t="str">
        <f>IFERROR(__xludf.DUMMYFUNCTION("""COMPUTED_VALUE"""),"")</f>
        <v/>
      </c>
      <c r="Q2102" s="5">
        <f>IFERROR(__xludf.DUMMYFUNCTION("""COMPUTED_VALUE"""),0.005529555555555556)</f>
        <v>0.005529555556</v>
      </c>
      <c r="R2102" s="4">
        <f>IFERROR(__xludf.DUMMYFUNCTION("""COMPUTED_VALUE"""),45949.02764778061)</f>
        <v>45949.02765</v>
      </c>
      <c r="S2102" s="1" t="b">
        <f>IFERROR(__xludf.DUMMYFUNCTION("""COMPUTED_VALUE"""),TRUE)</f>
        <v>1</v>
      </c>
      <c r="T2102" s="1" t="b">
        <f>IFERROR(__xludf.DUMMYFUNCTION("""COMPUTED_VALUE"""),FALSE)</f>
        <v>0</v>
      </c>
      <c r="U2102" s="1" t="str">
        <f>IFERROR(__xludf.DUMMYFUNCTION("""COMPUTED_VALUE"""),"VALID")</f>
        <v>VALID</v>
      </c>
      <c r="V2102" s="1">
        <f>IFERROR(__xludf.DUMMYFUNCTION("""COMPUTED_VALUE"""),270.0)</f>
        <v>270</v>
      </c>
      <c r="W2102" s="1">
        <f>IFERROR(__xludf.DUMMYFUNCTION("""COMPUTED_VALUE"""),410.0)</f>
        <v>410</v>
      </c>
      <c r="X2102" s="1">
        <f>IFERROR(__xludf.DUMMYFUNCTION("""COMPUTED_VALUE"""),356.0)</f>
        <v>356</v>
      </c>
      <c r="Y2102" s="2"/>
      <c r="Z2102" s="2"/>
    </row>
    <row r="2103">
      <c r="A2103" s="1">
        <f>IFERROR(__xludf.DUMMYFUNCTION("""COMPUTED_VALUE"""),2102.0)</f>
        <v>2102</v>
      </c>
      <c r="B2103" s="1">
        <f>IFERROR(__xludf.DUMMYFUNCTION("""COMPUTED_VALUE"""),5721.0)</f>
        <v>5721</v>
      </c>
      <c r="C2103" s="2" t="str">
        <f>IFERROR(__xludf.DUMMYFUNCTION("""COMPUTED_VALUE"""),"yamani")</f>
        <v>yamani</v>
      </c>
      <c r="D2103" s="2" t="str">
        <f>IFERROR(__xludf.DUMMYFUNCTION("""COMPUTED_VALUE"""),"5KM OVERALL M")</f>
        <v>5KM OVERALL M</v>
      </c>
      <c r="E2103" s="1">
        <f>IFERROR(__xludf.DUMMYFUNCTION("""COMPUTED_VALUE"""),2.0)</f>
        <v>2</v>
      </c>
      <c r="F2103" s="1" t="str">
        <f>IFERROR(__xludf.DUMMYFUNCTION("""COMPUTED_VALUE"""),"Male")</f>
        <v>Male</v>
      </c>
      <c r="G2103" s="4" t="b">
        <f>IFERROR(__xludf.DUMMYFUNCTION("""COMPUTED_VALUE"""),TRUE)</f>
        <v>1</v>
      </c>
      <c r="H2103" s="4" t="b">
        <f>IFERROR(__xludf.DUMMYFUNCTION("""COMPUTED_VALUE"""),TRUE)</f>
        <v>1</v>
      </c>
      <c r="I2103" s="4">
        <f>IFERROR(__xludf.DUMMYFUNCTION("""COMPUTED_VALUE"""),0.2549440625)</f>
        <v>0.2549440625</v>
      </c>
      <c r="J2103" s="4">
        <f>IFERROR(__xludf.DUMMYFUNCTION("""COMPUTED_VALUE"""),45949.271898266794)</f>
        <v>45949.2719</v>
      </c>
      <c r="K2103" s="4" t="str">
        <f>IFERROR(__xludf.DUMMYFUNCTION("""COMPUTED_VALUE"""),"")</f>
        <v/>
      </c>
      <c r="L2103" s="4">
        <f>IFERROR(__xludf.DUMMYFUNCTION("""COMPUTED_VALUE"""),45949.2881230944)</f>
        <v>45949.28812</v>
      </c>
      <c r="M2103" s="1" t="str">
        <f>IFERROR(__xludf.DUMMYFUNCTION("""COMPUTED_VALUE"""),"RFID")</f>
        <v>RFID</v>
      </c>
      <c r="N2103" s="5">
        <f>IFERROR(__xludf.DUMMYFUNCTION("""COMPUTED_VALUE"""),0.0067816805555555556)</f>
        <v>0.006781680556</v>
      </c>
      <c r="O2103" s="5" t="str">
        <f>IFERROR(__xludf.DUMMYFUNCTION("""COMPUTED_VALUE"""),"")</f>
        <v/>
      </c>
      <c r="P2103" s="5" t="str">
        <f>IFERROR(__xludf.DUMMYFUNCTION("""COMPUTED_VALUE"""),"")</f>
        <v/>
      </c>
      <c r="Q2103" s="5">
        <f>IFERROR(__xludf.DUMMYFUNCTION("""COMPUTED_VALUE"""),0.006635805555555556)</f>
        <v>0.006635805556</v>
      </c>
      <c r="R2103" s="4">
        <f>IFERROR(__xludf.DUMMYFUNCTION("""COMPUTED_VALUE"""),45949.033179031896)</f>
        <v>45949.03318</v>
      </c>
      <c r="S2103" s="1" t="b">
        <f>IFERROR(__xludf.DUMMYFUNCTION("""COMPUTED_VALUE"""),TRUE)</f>
        <v>1</v>
      </c>
      <c r="T2103" s="1" t="b">
        <f>IFERROR(__xludf.DUMMYFUNCTION("""COMPUTED_VALUE"""),FALSE)</f>
        <v>0</v>
      </c>
      <c r="U2103" s="1" t="str">
        <f>IFERROR(__xludf.DUMMYFUNCTION("""COMPUTED_VALUE"""),"VALID")</f>
        <v>VALID</v>
      </c>
      <c r="V2103" s="1">
        <f>IFERROR(__xludf.DUMMYFUNCTION("""COMPUTED_VALUE"""),502.0)</f>
        <v>502</v>
      </c>
      <c r="W2103" s="1">
        <f>IFERROR(__xludf.DUMMYFUNCTION("""COMPUTED_VALUE"""),784.0)</f>
        <v>784</v>
      </c>
      <c r="X2103" s="1">
        <f>IFERROR(__xludf.DUMMYFUNCTION("""COMPUTED_VALUE"""),649.0)</f>
        <v>649</v>
      </c>
      <c r="Y2103" s="2"/>
      <c r="Z2103" s="2"/>
    </row>
    <row r="2104">
      <c r="A2104" s="1">
        <f>IFERROR(__xludf.DUMMYFUNCTION("""COMPUTED_VALUE"""),2103.0)</f>
        <v>2103</v>
      </c>
      <c r="B2104" s="1">
        <f>IFERROR(__xludf.DUMMYFUNCTION("""COMPUTED_VALUE"""),5724.0)</f>
        <v>5724</v>
      </c>
      <c r="C2104" s="2" t="str">
        <f>IFERROR(__xludf.DUMMYFUNCTION("""COMPUTED_VALUE"""),"Mahfudz Hidayat")</f>
        <v>Mahfudz Hidayat</v>
      </c>
      <c r="D2104" s="2" t="str">
        <f>IFERROR(__xludf.DUMMYFUNCTION("""COMPUTED_VALUE"""),"5KM OVERALL M")</f>
        <v>5KM OVERALL M</v>
      </c>
      <c r="E2104" s="1">
        <f>IFERROR(__xludf.DUMMYFUNCTION("""COMPUTED_VALUE"""),2.0)</f>
        <v>2</v>
      </c>
      <c r="F2104" s="1" t="str">
        <f>IFERROR(__xludf.DUMMYFUNCTION("""COMPUTED_VALUE"""),"Male")</f>
        <v>Male</v>
      </c>
      <c r="G2104" s="4" t="str">
        <f>IFERROR(__xludf.DUMMYFUNCTION("""COMPUTED_VALUE"""),"")</f>
        <v/>
      </c>
      <c r="H2104" s="4" t="b">
        <f>IFERROR(__xludf.DUMMYFUNCTION("""COMPUTED_VALUE"""),TRUE)</f>
        <v>1</v>
      </c>
      <c r="I2104" s="4">
        <f>IFERROR(__xludf.DUMMYFUNCTION("""COMPUTED_VALUE"""),0.2549440625)</f>
        <v>0.2549440625</v>
      </c>
      <c r="J2104" s="4">
        <f>IFERROR(__xludf.DUMMYFUNCTION("""COMPUTED_VALUE"""),45949.2659121121)</f>
        <v>45949.26591</v>
      </c>
      <c r="K2104" s="4" t="str">
        <f>IFERROR(__xludf.DUMMYFUNCTION("""COMPUTED_VALUE"""),"")</f>
        <v/>
      </c>
      <c r="L2104" s="4">
        <f>IFERROR(__xludf.DUMMYFUNCTION("""COMPUTED_VALUE"""),45949.27394601586)</f>
        <v>45949.27395</v>
      </c>
      <c r="M2104" s="1" t="str">
        <f>IFERROR(__xludf.DUMMYFUNCTION("""COMPUTED_VALUE"""),"RFID")</f>
        <v>RFID</v>
      </c>
      <c r="N2104" s="5">
        <f>IFERROR(__xludf.DUMMYFUNCTION("""COMPUTED_VALUE"""),0.004387217592592593)</f>
        <v>0.004387217593</v>
      </c>
      <c r="O2104" s="5" t="str">
        <f>IFERROR(__xludf.DUMMYFUNCTION("""COMPUTED_VALUE"""),"")</f>
        <v/>
      </c>
      <c r="P2104" s="5" t="str">
        <f>IFERROR(__xludf.DUMMYFUNCTION("""COMPUTED_VALUE"""),"")</f>
        <v/>
      </c>
      <c r="Q2104" s="5">
        <f>IFERROR(__xludf.DUMMYFUNCTION("""COMPUTED_VALUE"""),0.0038003912037037034)</f>
        <v>0.003800391204</v>
      </c>
      <c r="R2104" s="4">
        <f>IFERROR(__xludf.DUMMYFUNCTION("""COMPUTED_VALUE"""),45949.01900195336)</f>
        <v>45949.019</v>
      </c>
      <c r="S2104" s="1" t="b">
        <f>IFERROR(__xludf.DUMMYFUNCTION("""COMPUTED_VALUE"""),TRUE)</f>
        <v>1</v>
      </c>
      <c r="T2104" s="1" t="b">
        <f>IFERROR(__xludf.DUMMYFUNCTION("""COMPUTED_VALUE"""),FALSE)</f>
        <v>0</v>
      </c>
      <c r="U2104" s="1" t="str">
        <f>IFERROR(__xludf.DUMMYFUNCTION("""COMPUTED_VALUE"""),"VALID")</f>
        <v>VALID</v>
      </c>
      <c r="V2104" s="1">
        <f>IFERROR(__xludf.DUMMYFUNCTION("""COMPUTED_VALUE"""),58.0)</f>
        <v>58</v>
      </c>
      <c r="W2104" s="1">
        <f>IFERROR(__xludf.DUMMYFUNCTION("""COMPUTED_VALUE"""),87.0)</f>
        <v>87</v>
      </c>
      <c r="X2104" s="1">
        <f>IFERROR(__xludf.DUMMYFUNCTION("""COMPUTED_VALUE"""),78.0)</f>
        <v>78</v>
      </c>
      <c r="Y2104" s="2"/>
      <c r="Z2104" s="2"/>
    </row>
    <row r="2105">
      <c r="A2105" s="1">
        <f>IFERROR(__xludf.DUMMYFUNCTION("""COMPUTED_VALUE"""),2104.0)</f>
        <v>2104</v>
      </c>
      <c r="B2105" s="1">
        <f>IFERROR(__xludf.DUMMYFUNCTION("""COMPUTED_VALUE"""),5725.0)</f>
        <v>5725</v>
      </c>
      <c r="C2105" s="2" t="str">
        <f>IFERROR(__xludf.DUMMYFUNCTION("""COMPUTED_VALUE"""),"MPJ")</f>
        <v>MPJ</v>
      </c>
      <c r="D2105" s="2" t="str">
        <f>IFERROR(__xludf.DUMMYFUNCTION("""COMPUTED_VALUE"""),"5KM OVERALL M")</f>
        <v>5KM OVERALL M</v>
      </c>
      <c r="E2105" s="1">
        <f>IFERROR(__xludf.DUMMYFUNCTION("""COMPUTED_VALUE"""),2.0)</f>
        <v>2</v>
      </c>
      <c r="F2105" s="1" t="str">
        <f>IFERROR(__xludf.DUMMYFUNCTION("""COMPUTED_VALUE"""),"Male")</f>
        <v>Male</v>
      </c>
      <c r="G2105" s="4" t="b">
        <f>IFERROR(__xludf.DUMMYFUNCTION("""COMPUTED_VALUE"""),TRUE)</f>
        <v>1</v>
      </c>
      <c r="H2105" s="4" t="b">
        <f>IFERROR(__xludf.DUMMYFUNCTION("""COMPUTED_VALUE"""),TRUE)</f>
        <v>1</v>
      </c>
      <c r="I2105" s="4">
        <f>IFERROR(__xludf.DUMMYFUNCTION("""COMPUTED_VALUE"""),0.2549440625)</f>
        <v>0.2549440625</v>
      </c>
      <c r="J2105" s="4">
        <f>IFERROR(__xludf.DUMMYFUNCTION("""COMPUTED_VALUE"""),45949.2807489041)</f>
        <v>45949.28075</v>
      </c>
      <c r="K2105" s="4" t="str">
        <f>IFERROR(__xludf.DUMMYFUNCTION("""COMPUTED_VALUE"""),"")</f>
        <v/>
      </c>
      <c r="L2105" s="4">
        <f>IFERROR(__xludf.DUMMYFUNCTION("""COMPUTED_VALUE"""),45949.30043905723)</f>
        <v>45949.30044</v>
      </c>
      <c r="M2105" s="1" t="str">
        <f>IFERROR(__xludf.DUMMYFUNCTION("""COMPUTED_VALUE"""),"RFID")</f>
        <v>RFID</v>
      </c>
      <c r="N2105" s="5">
        <f>IFERROR(__xludf.DUMMYFUNCTION("""COMPUTED_VALUE"""),0.010321935185185186)</f>
        <v>0.01032193519</v>
      </c>
      <c r="O2105" s="5" t="str">
        <f>IFERROR(__xludf.DUMMYFUNCTION("""COMPUTED_VALUE"""),"")</f>
        <v/>
      </c>
      <c r="P2105" s="5" t="str">
        <f>IFERROR(__xludf.DUMMYFUNCTION("""COMPUTED_VALUE"""),"")</f>
        <v/>
      </c>
      <c r="Q2105" s="5">
        <f>IFERROR(__xludf.DUMMYFUNCTION("""COMPUTED_VALUE"""),0.009099)</f>
        <v>0.009099</v>
      </c>
      <c r="R2105" s="4">
        <f>IFERROR(__xludf.DUMMYFUNCTION("""COMPUTED_VALUE"""),45949.04549499473)</f>
        <v>45949.04549</v>
      </c>
      <c r="S2105" s="1" t="b">
        <f>IFERROR(__xludf.DUMMYFUNCTION("""COMPUTED_VALUE"""),TRUE)</f>
        <v>1</v>
      </c>
      <c r="T2105" s="1" t="b">
        <f>IFERROR(__xludf.DUMMYFUNCTION("""COMPUTED_VALUE"""),FALSE)</f>
        <v>0</v>
      </c>
      <c r="U2105" s="1" t="str">
        <f>IFERROR(__xludf.DUMMYFUNCTION("""COMPUTED_VALUE"""),"VALID")</f>
        <v>VALID</v>
      </c>
      <c r="V2105" s="1">
        <f>IFERROR(__xludf.DUMMYFUNCTION("""COMPUTED_VALUE"""),800.0)</f>
        <v>800</v>
      </c>
      <c r="W2105" s="1">
        <f>IFERROR(__xludf.DUMMYFUNCTION("""COMPUTED_VALUE"""),1465.0)</f>
        <v>1465</v>
      </c>
      <c r="X2105" s="1">
        <f>IFERROR(__xludf.DUMMYFUNCTION("""COMPUTED_VALUE"""),1215.0)</f>
        <v>1215</v>
      </c>
      <c r="Y2105" s="2"/>
      <c r="Z2105" s="2"/>
    </row>
    <row r="2106">
      <c r="A2106" s="1">
        <f>IFERROR(__xludf.DUMMYFUNCTION("""COMPUTED_VALUE"""),2105.0)</f>
        <v>2105</v>
      </c>
      <c r="B2106" s="1">
        <f>IFERROR(__xludf.DUMMYFUNCTION("""COMPUTED_VALUE"""),5726.0)</f>
        <v>5726</v>
      </c>
      <c r="C2106" s="2" t="str">
        <f>IFERROR(__xludf.DUMMYFUNCTION("""COMPUTED_VALUE"""),"Utam")</f>
        <v>Utam</v>
      </c>
      <c r="D2106" s="2" t="str">
        <f>IFERROR(__xludf.DUMMYFUNCTION("""COMPUTED_VALUE"""),"5KM OVERALL M")</f>
        <v>5KM OVERALL M</v>
      </c>
      <c r="E2106" s="1">
        <f>IFERROR(__xludf.DUMMYFUNCTION("""COMPUTED_VALUE"""),2.0)</f>
        <v>2</v>
      </c>
      <c r="F2106" s="1" t="str">
        <f>IFERROR(__xludf.DUMMYFUNCTION("""COMPUTED_VALUE"""),"Male")</f>
        <v>Male</v>
      </c>
      <c r="G2106" s="4" t="b">
        <f>IFERROR(__xludf.DUMMYFUNCTION("""COMPUTED_VALUE"""),TRUE)</f>
        <v>1</v>
      </c>
      <c r="H2106" s="4" t="b">
        <f>IFERROR(__xludf.DUMMYFUNCTION("""COMPUTED_VALUE"""),TRUE)</f>
        <v>1</v>
      </c>
      <c r="I2106" s="4">
        <f>IFERROR(__xludf.DUMMYFUNCTION("""COMPUTED_VALUE"""),0.2549440625)</f>
        <v>0.2549440625</v>
      </c>
      <c r="J2106" s="4">
        <f>IFERROR(__xludf.DUMMYFUNCTION("""COMPUTED_VALUE"""),45949.271155230024)</f>
        <v>45949.27116</v>
      </c>
      <c r="K2106" s="4" t="str">
        <f>IFERROR(__xludf.DUMMYFUNCTION("""COMPUTED_VALUE"""),"")</f>
        <v/>
      </c>
      <c r="L2106" s="4">
        <f>IFERROR(__xludf.DUMMYFUNCTION("""COMPUTED_VALUE"""),45949.281064069255)</f>
        <v>45949.28106</v>
      </c>
      <c r="M2106" s="1" t="str">
        <f>IFERROR(__xludf.DUMMYFUNCTION("""COMPUTED_VALUE"""),"RFID")</f>
        <v>RFID</v>
      </c>
      <c r="N2106" s="5">
        <f>IFERROR(__xludf.DUMMYFUNCTION("""COMPUTED_VALUE"""),0.006484467592592592)</f>
        <v>0.006484467593</v>
      </c>
      <c r="O2106" s="5" t="str">
        <f>IFERROR(__xludf.DUMMYFUNCTION("""COMPUTED_VALUE"""),"")</f>
        <v/>
      </c>
      <c r="P2106" s="5" t="str">
        <f>IFERROR(__xludf.DUMMYFUNCTION("""COMPUTED_VALUE"""),"")</f>
        <v/>
      </c>
      <c r="Q2106" s="5">
        <f>IFERROR(__xludf.DUMMYFUNCTION("""COMPUTED_VALUE"""),0.005224002314814814)</f>
        <v>0.005224002315</v>
      </c>
      <c r="R2106" s="4">
        <f>IFERROR(__xludf.DUMMYFUNCTION("""COMPUTED_VALUE"""),45949.026120006754)</f>
        <v>45949.02612</v>
      </c>
      <c r="S2106" s="1" t="b">
        <f>IFERROR(__xludf.DUMMYFUNCTION("""COMPUTED_VALUE"""),TRUE)</f>
        <v>1</v>
      </c>
      <c r="T2106" s="1" t="b">
        <f>IFERROR(__xludf.DUMMYFUNCTION("""COMPUTED_VALUE"""),FALSE)</f>
        <v>0</v>
      </c>
      <c r="U2106" s="1" t="str">
        <f>IFERROR(__xludf.DUMMYFUNCTION("""COMPUTED_VALUE"""),"VALID")</f>
        <v>VALID</v>
      </c>
      <c r="V2106" s="1">
        <f>IFERROR(__xludf.DUMMYFUNCTION("""COMPUTED_VALUE"""),222.0)</f>
        <v>222</v>
      </c>
      <c r="W2106" s="1">
        <f>IFERROR(__xludf.DUMMYFUNCTION("""COMPUTED_VALUE"""),341.0)</f>
        <v>341</v>
      </c>
      <c r="X2106" s="1">
        <f>IFERROR(__xludf.DUMMYFUNCTION("""COMPUTED_VALUE"""),299.0)</f>
        <v>299</v>
      </c>
      <c r="Y2106" s="2"/>
      <c r="Z2106" s="2"/>
    </row>
    <row r="2107">
      <c r="A2107" s="1">
        <f>IFERROR(__xludf.DUMMYFUNCTION("""COMPUTED_VALUE"""),2106.0)</f>
        <v>2106</v>
      </c>
      <c r="B2107" s="1">
        <f>IFERROR(__xludf.DUMMYFUNCTION("""COMPUTED_VALUE"""),5727.0)</f>
        <v>5727</v>
      </c>
      <c r="C2107" s="2" t="str">
        <f>IFERROR(__xludf.DUMMYFUNCTION("""COMPUTED_VALUE"""),"IKI AHAM")</f>
        <v>IKI AHAM</v>
      </c>
      <c r="D2107" s="2" t="str">
        <f>IFERROR(__xludf.DUMMYFUNCTION("""COMPUTED_VALUE"""),"5KM OVERALL M")</f>
        <v>5KM OVERALL M</v>
      </c>
      <c r="E2107" s="1">
        <f>IFERROR(__xludf.DUMMYFUNCTION("""COMPUTED_VALUE"""),2.0)</f>
        <v>2</v>
      </c>
      <c r="F2107" s="1" t="str">
        <f>IFERROR(__xludf.DUMMYFUNCTION("""COMPUTED_VALUE"""),"Male")</f>
        <v>Male</v>
      </c>
      <c r="G2107" s="4" t="b">
        <f>IFERROR(__xludf.DUMMYFUNCTION("""COMPUTED_VALUE"""),TRUE)</f>
        <v>1</v>
      </c>
      <c r="H2107" s="4" t="b">
        <f>IFERROR(__xludf.DUMMYFUNCTION("""COMPUTED_VALUE"""),TRUE)</f>
        <v>1</v>
      </c>
      <c r="I2107" s="4">
        <f>IFERROR(__xludf.DUMMYFUNCTION("""COMPUTED_VALUE"""),0.2549440625)</f>
        <v>0.2549440625</v>
      </c>
      <c r="J2107" s="4">
        <f>IFERROR(__xludf.DUMMYFUNCTION("""COMPUTED_VALUE"""),45949.27368646156)</f>
        <v>45949.27369</v>
      </c>
      <c r="K2107" s="4" t="str">
        <f>IFERROR(__xludf.DUMMYFUNCTION("""COMPUTED_VALUE"""),"")</f>
        <v/>
      </c>
      <c r="L2107" s="4">
        <f>IFERROR(__xludf.DUMMYFUNCTION("""COMPUTED_VALUE"""),45949.28669255051)</f>
        <v>45949.28669</v>
      </c>
      <c r="M2107" s="1" t="str">
        <f>IFERROR(__xludf.DUMMYFUNCTION("""COMPUTED_VALUE"""),"RFID")</f>
        <v>RFID</v>
      </c>
      <c r="N2107" s="5">
        <f>IFERROR(__xludf.DUMMYFUNCTION("""COMPUTED_VALUE"""),0.007496958333333334)</f>
        <v>0.007496958333</v>
      </c>
      <c r="O2107" s="5" t="str">
        <f>IFERROR(__xludf.DUMMYFUNCTION("""COMPUTED_VALUE"""),"")</f>
        <v/>
      </c>
      <c r="P2107" s="5" t="str">
        <f>IFERROR(__xludf.DUMMYFUNCTION("""COMPUTED_VALUE"""),"")</f>
        <v/>
      </c>
      <c r="Q2107" s="5">
        <f>IFERROR(__xludf.DUMMYFUNCTION("""COMPUTED_VALUE"""),0.006349696759259259)</f>
        <v>0.006349696759</v>
      </c>
      <c r="R2107" s="4">
        <f>IFERROR(__xludf.DUMMYFUNCTION("""COMPUTED_VALUE"""),45949.03174848801)</f>
        <v>45949.03175</v>
      </c>
      <c r="S2107" s="1" t="b">
        <f>IFERROR(__xludf.DUMMYFUNCTION("""COMPUTED_VALUE"""),TRUE)</f>
        <v>1</v>
      </c>
      <c r="T2107" s="1" t="b">
        <f>IFERROR(__xludf.DUMMYFUNCTION("""COMPUTED_VALUE"""),FALSE)</f>
        <v>0</v>
      </c>
      <c r="U2107" s="1" t="str">
        <f>IFERROR(__xludf.DUMMYFUNCTION("""COMPUTED_VALUE"""),"VALID")</f>
        <v>VALID</v>
      </c>
      <c r="V2107" s="1">
        <f>IFERROR(__xludf.DUMMYFUNCTION("""COMPUTED_VALUE"""),445.0)</f>
        <v>445</v>
      </c>
      <c r="W2107" s="1">
        <f>IFERROR(__xludf.DUMMYFUNCTION("""COMPUTED_VALUE"""),685.0)</f>
        <v>685</v>
      </c>
      <c r="X2107" s="1">
        <f>IFERROR(__xludf.DUMMYFUNCTION("""COMPUTED_VALUE"""),573.0)</f>
        <v>573</v>
      </c>
      <c r="Y2107" s="2"/>
      <c r="Z2107" s="2"/>
    </row>
    <row r="2108">
      <c r="A2108" s="1">
        <f>IFERROR(__xludf.DUMMYFUNCTION("""COMPUTED_VALUE"""),2107.0)</f>
        <v>2107</v>
      </c>
      <c r="B2108" s="1">
        <f>IFERROR(__xludf.DUMMYFUNCTION("""COMPUTED_VALUE"""),5728.0)</f>
        <v>5728</v>
      </c>
      <c r="C2108" s="2" t="str">
        <f>IFERROR(__xludf.DUMMYFUNCTION("""COMPUTED_VALUE"""),"T. Ricky")</f>
        <v>T. Ricky</v>
      </c>
      <c r="D2108" s="2" t="str">
        <f>IFERROR(__xludf.DUMMYFUNCTION("""COMPUTED_VALUE"""),"5KM OVERALL M")</f>
        <v>5KM OVERALL M</v>
      </c>
      <c r="E2108" s="1">
        <f>IFERROR(__xludf.DUMMYFUNCTION("""COMPUTED_VALUE"""),2.0)</f>
        <v>2</v>
      </c>
      <c r="F2108" s="1" t="str">
        <f>IFERROR(__xludf.DUMMYFUNCTION("""COMPUTED_VALUE"""),"Male")</f>
        <v>Male</v>
      </c>
      <c r="G2108" s="4" t="b">
        <f>IFERROR(__xludf.DUMMYFUNCTION("""COMPUTED_VALUE"""),TRUE)</f>
        <v>1</v>
      </c>
      <c r="H2108" s="4" t="b">
        <f>IFERROR(__xludf.DUMMYFUNCTION("""COMPUTED_VALUE"""),FALSE)</f>
        <v>0</v>
      </c>
      <c r="I2108" s="4">
        <f>IFERROR(__xludf.DUMMYFUNCTION("""COMPUTED_VALUE"""),0.2549440625)</f>
        <v>0.2549440625</v>
      </c>
      <c r="J2108" s="4">
        <f>IFERROR(__xludf.DUMMYFUNCTION("""COMPUTED_VALUE"""),45949.26849891361)</f>
        <v>45949.2685</v>
      </c>
      <c r="K2108" s="4" t="str">
        <f>IFERROR(__xludf.DUMMYFUNCTION("""COMPUTED_VALUE"""),"")</f>
        <v/>
      </c>
      <c r="L2108" s="4">
        <f>IFERROR(__xludf.DUMMYFUNCTION("""COMPUTED_VALUE"""),45949.279977213715)</f>
        <v>45949.27998</v>
      </c>
      <c r="M2108" s="1" t="str">
        <f>IFERROR(__xludf.DUMMYFUNCTION("""COMPUTED_VALUE"""),"RFID")</f>
        <v>RFID</v>
      </c>
      <c r="N2108" s="5">
        <f>IFERROR(__xludf.DUMMYFUNCTION("""COMPUTED_VALUE"""),0.005421939814814814)</f>
        <v>0.005421939815</v>
      </c>
      <c r="O2108" s="5" t="str">
        <f>IFERROR(__xludf.DUMMYFUNCTION("""COMPUTED_VALUE"""),"")</f>
        <v/>
      </c>
      <c r="P2108" s="5" t="str">
        <f>IFERROR(__xludf.DUMMYFUNCTION("""COMPUTED_VALUE"""),"")</f>
        <v/>
      </c>
      <c r="Q2108" s="5">
        <f>IFERROR(__xludf.DUMMYFUNCTION("""COMPUTED_VALUE"""),0.00500662962962963)</f>
        <v>0.00500662963</v>
      </c>
      <c r="R2108" s="4">
        <f>IFERROR(__xludf.DUMMYFUNCTION("""COMPUTED_VALUE"""),45949.025033151214)</f>
        <v>45949.02503</v>
      </c>
      <c r="S2108" s="1" t="b">
        <f>IFERROR(__xludf.DUMMYFUNCTION("""COMPUTED_VALUE"""),TRUE)</f>
        <v>1</v>
      </c>
      <c r="T2108" s="1" t="b">
        <f>IFERROR(__xludf.DUMMYFUNCTION("""COMPUTED_VALUE"""),FALSE)</f>
        <v>0</v>
      </c>
      <c r="U2108" s="1" t="str">
        <f>IFERROR(__xludf.DUMMYFUNCTION("""COMPUTED_VALUE"""),"VALID")</f>
        <v>VALID</v>
      </c>
      <c r="V2108" s="1">
        <f>IFERROR(__xludf.DUMMYFUNCTION("""COMPUTED_VALUE"""),188.0)</f>
        <v>188</v>
      </c>
      <c r="W2108" s="1">
        <f>IFERROR(__xludf.DUMMYFUNCTION("""COMPUTED_VALUE"""),288.0)</f>
        <v>288</v>
      </c>
      <c r="X2108" s="1">
        <f>IFERROR(__xludf.DUMMYFUNCTION("""COMPUTED_VALUE"""),251.0)</f>
        <v>251</v>
      </c>
      <c r="Y2108" s="2"/>
      <c r="Z2108" s="2"/>
    </row>
    <row r="2109">
      <c r="A2109" s="1">
        <f>IFERROR(__xludf.DUMMYFUNCTION("""COMPUTED_VALUE"""),2108.0)</f>
        <v>2108</v>
      </c>
      <c r="B2109" s="1">
        <f>IFERROR(__xludf.DUMMYFUNCTION("""COMPUTED_VALUE"""),5730.0)</f>
        <v>5730</v>
      </c>
      <c r="C2109" s="2" t="str">
        <f>IFERROR(__xludf.DUMMYFUNCTION("""COMPUTED_VALUE"""),"MLD_")</f>
        <v>MLD_</v>
      </c>
      <c r="D2109" s="2" t="str">
        <f>IFERROR(__xludf.DUMMYFUNCTION("""COMPUTED_VALUE"""),"5KM OVERALL M")</f>
        <v>5KM OVERALL M</v>
      </c>
      <c r="E2109" s="1">
        <f>IFERROR(__xludf.DUMMYFUNCTION("""COMPUTED_VALUE"""),2.0)</f>
        <v>2</v>
      </c>
      <c r="F2109" s="1" t="str">
        <f>IFERROR(__xludf.DUMMYFUNCTION("""COMPUTED_VALUE"""),"Male")</f>
        <v>Male</v>
      </c>
      <c r="G2109" s="4" t="str">
        <f>IFERROR(__xludf.DUMMYFUNCTION("""COMPUTED_VALUE"""),"")</f>
        <v/>
      </c>
      <c r="H2109" s="4" t="b">
        <f>IFERROR(__xludf.DUMMYFUNCTION("""COMPUTED_VALUE"""),FALSE)</f>
        <v>0</v>
      </c>
      <c r="I2109" s="4">
        <f>IFERROR(__xludf.DUMMYFUNCTION("""COMPUTED_VALUE"""),0.2549440625)</f>
        <v>0.2549440625</v>
      </c>
      <c r="J2109" s="4" t="str">
        <f>IFERROR(__xludf.DUMMYFUNCTION("""COMPUTED_VALUE"""),"")</f>
        <v/>
      </c>
      <c r="K2109" s="4" t="str">
        <f>IFERROR(__xludf.DUMMYFUNCTION("""COMPUTED_VALUE"""),"")</f>
        <v/>
      </c>
      <c r="L2109" s="4" t="str">
        <f>IFERROR(__xludf.DUMMYFUNCTION("""COMPUTED_VALUE"""),"")</f>
        <v/>
      </c>
      <c r="M2109" s="1" t="str">
        <f>IFERROR(__xludf.DUMMYFUNCTION("""COMPUTED_VALUE"""),"RFID")</f>
        <v>RFID</v>
      </c>
      <c r="N2109" s="5" t="str">
        <f>IFERROR(__xludf.DUMMYFUNCTION("""COMPUTED_VALUE"""),"")</f>
        <v/>
      </c>
      <c r="O2109" s="5" t="str">
        <f>IFERROR(__xludf.DUMMYFUNCTION("""COMPUTED_VALUE"""),"")</f>
        <v/>
      </c>
      <c r="P2109" s="5" t="str">
        <f>IFERROR(__xludf.DUMMYFUNCTION("""COMPUTED_VALUE"""),"")</f>
        <v/>
      </c>
      <c r="Q2109" s="5" t="str">
        <f>IFERROR(__xludf.DUMMYFUNCTION("""COMPUTED_VALUE"""),"")</f>
        <v/>
      </c>
      <c r="R2109" s="4" t="str">
        <f>IFERROR(__xludf.DUMMYFUNCTION("""COMPUTED_VALUE"""),"")</f>
        <v/>
      </c>
      <c r="S2109" s="1" t="b">
        <f>IFERROR(__xludf.DUMMYFUNCTION("""COMPUTED_VALUE"""),FALSE)</f>
        <v>0</v>
      </c>
      <c r="T2109" s="1" t="b">
        <f>IFERROR(__xludf.DUMMYFUNCTION("""COMPUTED_VALUE"""),FALSE)</f>
        <v>0</v>
      </c>
      <c r="U2109" s="1" t="str">
        <f>IFERROR(__xludf.DUMMYFUNCTION("""COMPUTED_VALUE"""),"DSQ")</f>
        <v>DSQ</v>
      </c>
      <c r="V2109" s="1" t="str">
        <f>IFERROR(__xludf.DUMMYFUNCTION("""COMPUTED_VALUE"""),"DSQ")</f>
        <v>DSQ</v>
      </c>
      <c r="W2109" s="1" t="str">
        <f>IFERROR(__xludf.DUMMYFUNCTION("""COMPUTED_VALUE"""),"DSQ")</f>
        <v>DSQ</v>
      </c>
      <c r="X2109" s="1" t="str">
        <f>IFERROR(__xludf.DUMMYFUNCTION("""COMPUTED_VALUE"""),"DSQ")</f>
        <v>DSQ</v>
      </c>
      <c r="Y2109" s="2"/>
      <c r="Z2109" s="2" t="str">
        <f>IFERROR(__xludf.DUMMYFUNCTION("""COMPUTED_VALUE"""),"")</f>
        <v/>
      </c>
    </row>
    <row r="2110">
      <c r="A2110" s="1">
        <f>IFERROR(__xludf.DUMMYFUNCTION("""COMPUTED_VALUE"""),2109.0)</f>
        <v>2109</v>
      </c>
      <c r="B2110" s="1">
        <f>IFERROR(__xludf.DUMMYFUNCTION("""COMPUTED_VALUE"""),5731.0)</f>
        <v>5731</v>
      </c>
      <c r="C2110" s="2" t="str">
        <f>IFERROR(__xludf.DUMMYFUNCTION("""COMPUTED_VALUE"""),"JUNIARDI SH")</f>
        <v>JUNIARDI SH</v>
      </c>
      <c r="D2110" s="2" t="str">
        <f>IFERROR(__xludf.DUMMYFUNCTION("""COMPUTED_VALUE"""),"5KM OVERALL M")</f>
        <v>5KM OVERALL M</v>
      </c>
      <c r="E2110" s="1">
        <f>IFERROR(__xludf.DUMMYFUNCTION("""COMPUTED_VALUE"""),2.0)</f>
        <v>2</v>
      </c>
      <c r="F2110" s="1" t="str">
        <f>IFERROR(__xludf.DUMMYFUNCTION("""COMPUTED_VALUE"""),"Male")</f>
        <v>Male</v>
      </c>
      <c r="G2110" s="4" t="b">
        <f>IFERROR(__xludf.DUMMYFUNCTION("""COMPUTED_VALUE"""),TRUE)</f>
        <v>1</v>
      </c>
      <c r="H2110" s="4" t="b">
        <f>IFERROR(__xludf.DUMMYFUNCTION("""COMPUTED_VALUE"""),TRUE)</f>
        <v>1</v>
      </c>
      <c r="I2110" s="4">
        <f>IFERROR(__xludf.DUMMYFUNCTION("""COMPUTED_VALUE"""),0.2549440625)</f>
        <v>0.2549440625</v>
      </c>
      <c r="J2110" s="4">
        <f>IFERROR(__xludf.DUMMYFUNCTION("""COMPUTED_VALUE"""),45950.28192129629)</f>
        <v>45950.28192</v>
      </c>
      <c r="K2110" s="4" t="str">
        <f>IFERROR(__xludf.DUMMYFUNCTION("""COMPUTED_VALUE"""),"")</f>
        <v/>
      </c>
      <c r="L2110" s="4">
        <f>IFERROR(__xludf.DUMMYFUNCTION("""COMPUTED_VALUE"""),45949.299907759225)</f>
        <v>45949.29991</v>
      </c>
      <c r="M2110" s="1" t="str">
        <f>IFERROR(__xludf.DUMMYFUNCTION("""COMPUTED_VALUE"""),"RFID")</f>
        <v>RFID</v>
      </c>
      <c r="N2110" s="5">
        <f>IFERROR(__xludf.DUMMYFUNCTION("""COMPUTED_VALUE"""),0.010790893518518519)</f>
        <v>0.01079089352</v>
      </c>
      <c r="O2110" s="5" t="str">
        <f>IFERROR(__xludf.DUMMYFUNCTION("""COMPUTED_VALUE"""),"")</f>
        <v/>
      </c>
      <c r="P2110" s="5" t="str">
        <f>IFERROR(__xludf.DUMMYFUNCTION("""COMPUTED_VALUE"""),"")</f>
        <v/>
      </c>
      <c r="Q2110" s="5">
        <f>IFERROR(__xludf.DUMMYFUNCTION("""COMPUTED_VALUE"""),0.008992738425925925)</f>
        <v>0.008992738426</v>
      </c>
      <c r="R2110" s="4">
        <f>IFERROR(__xludf.DUMMYFUNCTION("""COMPUTED_VALUE"""),45949.044963696724)</f>
        <v>45949.04496</v>
      </c>
      <c r="S2110" s="1" t="b">
        <f>IFERROR(__xludf.DUMMYFUNCTION("""COMPUTED_VALUE"""),TRUE)</f>
        <v>1</v>
      </c>
      <c r="T2110" s="1" t="b">
        <f>IFERROR(__xludf.DUMMYFUNCTION("""COMPUTED_VALUE"""),FALSE)</f>
        <v>0</v>
      </c>
      <c r="U2110" s="1" t="str">
        <f>IFERROR(__xludf.DUMMYFUNCTION("""COMPUTED_VALUE"""),"VALID")</f>
        <v>VALID</v>
      </c>
      <c r="V2110" s="1">
        <f>IFERROR(__xludf.DUMMYFUNCTION("""COMPUTED_VALUE"""),796.0)</f>
        <v>796</v>
      </c>
      <c r="W2110" s="1">
        <f>IFERROR(__xludf.DUMMYFUNCTION("""COMPUTED_VALUE"""),1446.0)</f>
        <v>1446</v>
      </c>
      <c r="X2110" s="1">
        <f>IFERROR(__xludf.DUMMYFUNCTION("""COMPUTED_VALUE"""),1199.0)</f>
        <v>1199</v>
      </c>
      <c r="Y2110" s="2"/>
      <c r="Z2110" s="2" t="str">
        <f>IFERROR(__xludf.DUMMYFUNCTION("""COMPUTED_VALUE"""),"C")</f>
        <v>C</v>
      </c>
    </row>
    <row r="2111">
      <c r="A2111" s="1">
        <f>IFERROR(__xludf.DUMMYFUNCTION("""COMPUTED_VALUE"""),2110.0)</f>
        <v>2110</v>
      </c>
      <c r="B2111" s="1">
        <f>IFERROR(__xludf.DUMMYFUNCTION("""COMPUTED_VALUE"""),5732.0)</f>
        <v>5732</v>
      </c>
      <c r="C2111" s="2" t="str">
        <f>IFERROR(__xludf.DUMMYFUNCTION("""COMPUTED_VALUE"""),"Anto")</f>
        <v>Anto</v>
      </c>
      <c r="D2111" s="2" t="str">
        <f>IFERROR(__xludf.DUMMYFUNCTION("""COMPUTED_VALUE"""),"5KM OVERALL M")</f>
        <v>5KM OVERALL M</v>
      </c>
      <c r="E2111" s="1">
        <f>IFERROR(__xludf.DUMMYFUNCTION("""COMPUTED_VALUE"""),2.0)</f>
        <v>2</v>
      </c>
      <c r="F2111" s="1" t="str">
        <f>IFERROR(__xludf.DUMMYFUNCTION("""COMPUTED_VALUE"""),"Male")</f>
        <v>Male</v>
      </c>
      <c r="G2111" s="4" t="b">
        <f>IFERROR(__xludf.DUMMYFUNCTION("""COMPUTED_VALUE"""),TRUE)</f>
        <v>1</v>
      </c>
      <c r="H2111" s="4" t="b">
        <f>IFERROR(__xludf.DUMMYFUNCTION("""COMPUTED_VALUE"""),FALSE)</f>
        <v>0</v>
      </c>
      <c r="I2111" s="4">
        <f>IFERROR(__xludf.DUMMYFUNCTION("""COMPUTED_VALUE"""),0.2549440625)</f>
        <v>0.2549440625</v>
      </c>
      <c r="J2111" s="4">
        <f>IFERROR(__xludf.DUMMYFUNCTION("""COMPUTED_VALUE"""),45949.26572114123)</f>
        <v>45949.26572</v>
      </c>
      <c r="K2111" s="4" t="str">
        <f>IFERROR(__xludf.DUMMYFUNCTION("""COMPUTED_VALUE"""),"")</f>
        <v/>
      </c>
      <c r="L2111" s="4">
        <f>IFERROR(__xludf.DUMMYFUNCTION("""COMPUTED_VALUE"""),45949.27483137164)</f>
        <v>45949.27483</v>
      </c>
      <c r="M2111" s="1" t="str">
        <f>IFERROR(__xludf.DUMMYFUNCTION("""COMPUTED_VALUE"""),"RFID")</f>
        <v>RFID</v>
      </c>
      <c r="N2111" s="5">
        <f>IFERROR(__xludf.DUMMYFUNCTION("""COMPUTED_VALUE"""),0.004310833333333333)</f>
        <v>0.004310833333</v>
      </c>
      <c r="O2111" s="5" t="str">
        <f>IFERROR(__xludf.DUMMYFUNCTION("""COMPUTED_VALUE"""),"")</f>
        <v/>
      </c>
      <c r="P2111" s="5" t="str">
        <f>IFERROR(__xludf.DUMMYFUNCTION("""COMPUTED_VALUE"""),"")</f>
        <v/>
      </c>
      <c r="Q2111" s="5">
        <f>IFERROR(__xludf.DUMMYFUNCTION("""COMPUTED_VALUE"""),0.003977462962962962)</f>
        <v>0.003977462963</v>
      </c>
      <c r="R2111" s="4">
        <f>IFERROR(__xludf.DUMMYFUNCTION("""COMPUTED_VALUE"""),45949.019887309136)</f>
        <v>45949.01989</v>
      </c>
      <c r="S2111" s="1" t="b">
        <f>IFERROR(__xludf.DUMMYFUNCTION("""COMPUTED_VALUE"""),TRUE)</f>
        <v>1</v>
      </c>
      <c r="T2111" s="1" t="b">
        <f>IFERROR(__xludf.DUMMYFUNCTION("""COMPUTED_VALUE"""),FALSE)</f>
        <v>0</v>
      </c>
      <c r="U2111" s="1" t="str">
        <f>IFERROR(__xludf.DUMMYFUNCTION("""COMPUTED_VALUE"""),"VALID")</f>
        <v>VALID</v>
      </c>
      <c r="V2111" s="1">
        <f>IFERROR(__xludf.DUMMYFUNCTION("""COMPUTED_VALUE"""),76.0)</f>
        <v>76</v>
      </c>
      <c r="W2111" s="1">
        <f>IFERROR(__xludf.DUMMYFUNCTION("""COMPUTED_VALUE"""),114.0)</f>
        <v>114</v>
      </c>
      <c r="X2111" s="1">
        <f>IFERROR(__xludf.DUMMYFUNCTION("""COMPUTED_VALUE"""),103.0)</f>
        <v>103</v>
      </c>
      <c r="Y2111" s="2"/>
      <c r="Z2111" s="2"/>
    </row>
    <row r="2112">
      <c r="A2112" s="1">
        <f>IFERROR(__xludf.DUMMYFUNCTION("""COMPUTED_VALUE"""),2111.0)</f>
        <v>2111</v>
      </c>
      <c r="B2112" s="1">
        <f>IFERROR(__xludf.DUMMYFUNCTION("""COMPUTED_VALUE"""),5733.0)</f>
        <v>5733</v>
      </c>
      <c r="C2112" s="2" t="str">
        <f>IFERROR(__xludf.DUMMYFUNCTION("""COMPUTED_VALUE"""),"Ais")</f>
        <v>Ais</v>
      </c>
      <c r="D2112" s="2" t="str">
        <f>IFERROR(__xludf.DUMMYFUNCTION("""COMPUTED_VALUE"""),"5KM OVERALL M")</f>
        <v>5KM OVERALL M</v>
      </c>
      <c r="E2112" s="1">
        <f>IFERROR(__xludf.DUMMYFUNCTION("""COMPUTED_VALUE"""),2.0)</f>
        <v>2</v>
      </c>
      <c r="F2112" s="1" t="str">
        <f>IFERROR(__xludf.DUMMYFUNCTION("""COMPUTED_VALUE"""),"Male")</f>
        <v>Male</v>
      </c>
      <c r="G2112" s="4" t="str">
        <f>IFERROR(__xludf.DUMMYFUNCTION("""COMPUTED_VALUE"""),"")</f>
        <v/>
      </c>
      <c r="H2112" s="4" t="b">
        <f>IFERROR(__xludf.DUMMYFUNCTION("""COMPUTED_VALUE"""),FALSE)</f>
        <v>0</v>
      </c>
      <c r="I2112" s="4">
        <f>IFERROR(__xludf.DUMMYFUNCTION("""COMPUTED_VALUE"""),0.2549440625)</f>
        <v>0.2549440625</v>
      </c>
      <c r="J2112" s="4" t="str">
        <f>IFERROR(__xludf.DUMMYFUNCTION("""COMPUTED_VALUE"""),"")</f>
        <v/>
      </c>
      <c r="K2112" s="4" t="str">
        <f>IFERROR(__xludf.DUMMYFUNCTION("""COMPUTED_VALUE"""),"")</f>
        <v/>
      </c>
      <c r="L2112" s="4" t="str">
        <f>IFERROR(__xludf.DUMMYFUNCTION("""COMPUTED_VALUE"""),"")</f>
        <v/>
      </c>
      <c r="M2112" s="1" t="str">
        <f>IFERROR(__xludf.DUMMYFUNCTION("""COMPUTED_VALUE"""),"RFID")</f>
        <v>RFID</v>
      </c>
      <c r="N2112" s="5" t="str">
        <f>IFERROR(__xludf.DUMMYFUNCTION("""COMPUTED_VALUE"""),"")</f>
        <v/>
      </c>
      <c r="O2112" s="5" t="str">
        <f>IFERROR(__xludf.DUMMYFUNCTION("""COMPUTED_VALUE"""),"")</f>
        <v/>
      </c>
      <c r="P2112" s="5" t="str">
        <f>IFERROR(__xludf.DUMMYFUNCTION("""COMPUTED_VALUE"""),"")</f>
        <v/>
      </c>
      <c r="Q2112" s="5" t="str">
        <f>IFERROR(__xludf.DUMMYFUNCTION("""COMPUTED_VALUE"""),"")</f>
        <v/>
      </c>
      <c r="R2112" s="4" t="str">
        <f>IFERROR(__xludf.DUMMYFUNCTION("""COMPUTED_VALUE"""),"")</f>
        <v/>
      </c>
      <c r="S2112" s="1" t="b">
        <f>IFERROR(__xludf.DUMMYFUNCTION("""COMPUTED_VALUE"""),FALSE)</f>
        <v>0</v>
      </c>
      <c r="T2112" s="1" t="b">
        <f>IFERROR(__xludf.DUMMYFUNCTION("""COMPUTED_VALUE"""),FALSE)</f>
        <v>0</v>
      </c>
      <c r="U2112" s="1" t="str">
        <f>IFERROR(__xludf.DUMMYFUNCTION("""COMPUTED_VALUE"""),"DSQ")</f>
        <v>DSQ</v>
      </c>
      <c r="V2112" s="1" t="str">
        <f>IFERROR(__xludf.DUMMYFUNCTION("""COMPUTED_VALUE"""),"DSQ")</f>
        <v>DSQ</v>
      </c>
      <c r="W2112" s="1" t="str">
        <f>IFERROR(__xludf.DUMMYFUNCTION("""COMPUTED_VALUE"""),"DSQ")</f>
        <v>DSQ</v>
      </c>
      <c r="X2112" s="1" t="str">
        <f>IFERROR(__xludf.DUMMYFUNCTION("""COMPUTED_VALUE"""),"DSQ")</f>
        <v>DSQ</v>
      </c>
      <c r="Y2112" s="2"/>
      <c r="Z2112" s="2" t="str">
        <f>IFERROR(__xludf.DUMMYFUNCTION("""COMPUTED_VALUE"""),"")</f>
        <v/>
      </c>
    </row>
    <row r="2113">
      <c r="A2113" s="1">
        <f>IFERROR(__xludf.DUMMYFUNCTION("""COMPUTED_VALUE"""),2112.0)</f>
        <v>2112</v>
      </c>
      <c r="B2113" s="1">
        <f>IFERROR(__xludf.DUMMYFUNCTION("""COMPUTED_VALUE"""),5734.0)</f>
        <v>5734</v>
      </c>
      <c r="C2113" s="2" t="str">
        <f>IFERROR(__xludf.DUMMYFUNCTION("""COMPUTED_VALUE"""),"FLIXZ")</f>
        <v>FLIXZ</v>
      </c>
      <c r="D2113" s="2" t="str">
        <f>IFERROR(__xludf.DUMMYFUNCTION("""COMPUTED_VALUE"""),"5KM OVERALL M")</f>
        <v>5KM OVERALL M</v>
      </c>
      <c r="E2113" s="1">
        <f>IFERROR(__xludf.DUMMYFUNCTION("""COMPUTED_VALUE"""),2.0)</f>
        <v>2</v>
      </c>
      <c r="F2113" s="1" t="str">
        <f>IFERROR(__xludf.DUMMYFUNCTION("""COMPUTED_VALUE"""),"Male")</f>
        <v>Male</v>
      </c>
      <c r="G2113" s="4" t="b">
        <f>IFERROR(__xludf.DUMMYFUNCTION("""COMPUTED_VALUE"""),TRUE)</f>
        <v>1</v>
      </c>
      <c r="H2113" s="4" t="b">
        <f>IFERROR(__xludf.DUMMYFUNCTION("""COMPUTED_VALUE"""),TRUE)</f>
        <v>1</v>
      </c>
      <c r="I2113" s="4">
        <f>IFERROR(__xludf.DUMMYFUNCTION("""COMPUTED_VALUE"""),0.2549440625)</f>
        <v>0.2549440625</v>
      </c>
      <c r="J2113" s="4">
        <f>IFERROR(__xludf.DUMMYFUNCTION("""COMPUTED_VALUE"""),45949.26716215623)</f>
        <v>45949.26716</v>
      </c>
      <c r="K2113" s="4" t="str">
        <f>IFERROR(__xludf.DUMMYFUNCTION("""COMPUTED_VALUE"""),"")</f>
        <v/>
      </c>
      <c r="L2113" s="4">
        <f>IFERROR(__xludf.DUMMYFUNCTION("""COMPUTED_VALUE"""),45949.27716475639)</f>
        <v>45949.27716</v>
      </c>
      <c r="M2113" s="1" t="str">
        <f>IFERROR(__xludf.DUMMYFUNCTION("""COMPUTED_VALUE"""),"RFID")</f>
        <v>RFID</v>
      </c>
      <c r="N2113" s="5">
        <f>IFERROR(__xludf.DUMMYFUNCTION("""COMPUTED_VALUE"""),0.004887236111111111)</f>
        <v>0.004887236111</v>
      </c>
      <c r="O2113" s="5" t="str">
        <f>IFERROR(__xludf.DUMMYFUNCTION("""COMPUTED_VALUE"""),"")</f>
        <v/>
      </c>
      <c r="P2113" s="5" t="str">
        <f>IFERROR(__xludf.DUMMYFUNCTION("""COMPUTED_VALUE"""),"")</f>
        <v/>
      </c>
      <c r="Q2113" s="5">
        <f>IFERROR(__xludf.DUMMYFUNCTION("""COMPUTED_VALUE"""),0.004444138888888888)</f>
        <v>0.004444138889</v>
      </c>
      <c r="R2113" s="4">
        <f>IFERROR(__xludf.DUMMYFUNCTION("""COMPUTED_VALUE"""),45949.02222069389)</f>
        <v>45949.02222</v>
      </c>
      <c r="S2113" s="1" t="b">
        <f>IFERROR(__xludf.DUMMYFUNCTION("""COMPUTED_VALUE"""),TRUE)</f>
        <v>1</v>
      </c>
      <c r="T2113" s="1" t="b">
        <f>IFERROR(__xludf.DUMMYFUNCTION("""COMPUTED_VALUE"""),FALSE)</f>
        <v>0</v>
      </c>
      <c r="U2113" s="1" t="str">
        <f>IFERROR(__xludf.DUMMYFUNCTION("""COMPUTED_VALUE"""),"VALID")</f>
        <v>VALID</v>
      </c>
      <c r="V2113" s="1">
        <f>IFERROR(__xludf.DUMMYFUNCTION("""COMPUTED_VALUE"""),114.0)</f>
        <v>114</v>
      </c>
      <c r="W2113" s="1">
        <f>IFERROR(__xludf.DUMMYFUNCTION("""COMPUTED_VALUE"""),175.0)</f>
        <v>175</v>
      </c>
      <c r="X2113" s="1">
        <f>IFERROR(__xludf.DUMMYFUNCTION("""COMPUTED_VALUE"""),155.0)</f>
        <v>155</v>
      </c>
      <c r="Y2113" s="2"/>
      <c r="Z2113" s="2"/>
    </row>
    <row r="2114">
      <c r="A2114" s="1">
        <f>IFERROR(__xludf.DUMMYFUNCTION("""COMPUTED_VALUE"""),2113.0)</f>
        <v>2113</v>
      </c>
      <c r="B2114" s="1">
        <f>IFERROR(__xludf.DUMMYFUNCTION("""COMPUTED_VALUE"""),5736.0)</f>
        <v>5736</v>
      </c>
      <c r="C2114" s="2" t="str">
        <f>IFERROR(__xludf.DUMMYFUNCTION("""COMPUTED_VALUE"""),"irham")</f>
        <v>irham</v>
      </c>
      <c r="D2114" s="2" t="str">
        <f>IFERROR(__xludf.DUMMYFUNCTION("""COMPUTED_VALUE"""),"5KM OVERALL M")</f>
        <v>5KM OVERALL M</v>
      </c>
      <c r="E2114" s="1">
        <f>IFERROR(__xludf.DUMMYFUNCTION("""COMPUTED_VALUE"""),2.0)</f>
        <v>2</v>
      </c>
      <c r="F2114" s="1" t="str">
        <f>IFERROR(__xludf.DUMMYFUNCTION("""COMPUTED_VALUE"""),"Male")</f>
        <v>Male</v>
      </c>
      <c r="G2114" s="4" t="b">
        <f>IFERROR(__xludf.DUMMYFUNCTION("""COMPUTED_VALUE"""),TRUE)</f>
        <v>1</v>
      </c>
      <c r="H2114" s="4" t="b">
        <f>IFERROR(__xludf.DUMMYFUNCTION("""COMPUTED_VALUE"""),FALSE)</f>
        <v>0</v>
      </c>
      <c r="I2114" s="4">
        <f>IFERROR(__xludf.DUMMYFUNCTION("""COMPUTED_VALUE"""),0.2549440625)</f>
        <v>0.2549440625</v>
      </c>
      <c r="J2114" s="4">
        <f>IFERROR(__xludf.DUMMYFUNCTION("""COMPUTED_VALUE"""),45950.281064814815)</f>
        <v>45950.28106</v>
      </c>
      <c r="K2114" s="4" t="str">
        <f>IFERROR(__xludf.DUMMYFUNCTION("""COMPUTED_VALUE"""),"")</f>
        <v/>
      </c>
      <c r="L2114" s="4">
        <f>IFERROR(__xludf.DUMMYFUNCTION("""COMPUTED_VALUE"""),45949.29848068773)</f>
        <v>45949.29848</v>
      </c>
      <c r="M2114" s="1" t="str">
        <f>IFERROR(__xludf.DUMMYFUNCTION("""COMPUTED_VALUE"""),"RFID")</f>
        <v>RFID</v>
      </c>
      <c r="N2114" s="5">
        <f>IFERROR(__xludf.DUMMYFUNCTION("""COMPUTED_VALUE"""),0.010448300925925927)</f>
        <v>0.01044830093</v>
      </c>
      <c r="O2114" s="5" t="str">
        <f>IFERROR(__xludf.DUMMYFUNCTION("""COMPUTED_VALUE"""),"")</f>
        <v/>
      </c>
      <c r="P2114" s="5" t="str">
        <f>IFERROR(__xludf.DUMMYFUNCTION("""COMPUTED_VALUE"""),"")</f>
        <v/>
      </c>
      <c r="Q2114" s="5">
        <f>IFERROR(__xludf.DUMMYFUNCTION("""COMPUTED_VALUE"""),0.008707324074074074)</f>
        <v>0.008707324074</v>
      </c>
      <c r="R2114" s="4">
        <f>IFERROR(__xludf.DUMMYFUNCTION("""COMPUTED_VALUE"""),45949.04353662523)</f>
        <v>45949.04354</v>
      </c>
      <c r="S2114" s="1" t="b">
        <f>IFERROR(__xludf.DUMMYFUNCTION("""COMPUTED_VALUE"""),TRUE)</f>
        <v>1</v>
      </c>
      <c r="T2114" s="1" t="b">
        <f>IFERROR(__xludf.DUMMYFUNCTION("""COMPUTED_VALUE"""),FALSE)</f>
        <v>0</v>
      </c>
      <c r="U2114" s="1" t="str">
        <f>IFERROR(__xludf.DUMMYFUNCTION("""COMPUTED_VALUE"""),"VALID")</f>
        <v>VALID</v>
      </c>
      <c r="V2114" s="1">
        <f>IFERROR(__xludf.DUMMYFUNCTION("""COMPUTED_VALUE"""),767.0)</f>
        <v>767</v>
      </c>
      <c r="W2114" s="1">
        <f>IFERROR(__xludf.DUMMYFUNCTION("""COMPUTED_VALUE"""),1372.0)</f>
        <v>1372</v>
      </c>
      <c r="X2114" s="1">
        <f>IFERROR(__xludf.DUMMYFUNCTION("""COMPUTED_VALUE"""),1115.0)</f>
        <v>1115</v>
      </c>
      <c r="Y2114" s="2"/>
      <c r="Z2114" s="2" t="str">
        <f>IFERROR(__xludf.DUMMYFUNCTION("""COMPUTED_VALUE"""),"C")</f>
        <v>C</v>
      </c>
    </row>
    <row r="2115">
      <c r="A2115" s="1">
        <f>IFERROR(__xludf.DUMMYFUNCTION("""COMPUTED_VALUE"""),2114.0)</f>
        <v>2114</v>
      </c>
      <c r="B2115" s="1">
        <f>IFERROR(__xludf.DUMMYFUNCTION("""COMPUTED_VALUE"""),5737.0)</f>
        <v>5737</v>
      </c>
      <c r="C2115" s="2" t="str">
        <f>IFERROR(__xludf.DUMMYFUNCTION("""COMPUTED_VALUE"""),"OBYKISWAN")</f>
        <v>OBYKISWAN</v>
      </c>
      <c r="D2115" s="2" t="str">
        <f>IFERROR(__xludf.DUMMYFUNCTION("""COMPUTED_VALUE"""),"5KM OVERALL M")</f>
        <v>5KM OVERALL M</v>
      </c>
      <c r="E2115" s="1">
        <f>IFERROR(__xludf.DUMMYFUNCTION("""COMPUTED_VALUE"""),2.0)</f>
        <v>2</v>
      </c>
      <c r="F2115" s="1" t="str">
        <f>IFERROR(__xludf.DUMMYFUNCTION("""COMPUTED_VALUE"""),"Male")</f>
        <v>Male</v>
      </c>
      <c r="G2115" s="4" t="b">
        <f>IFERROR(__xludf.DUMMYFUNCTION("""COMPUTED_VALUE"""),TRUE)</f>
        <v>1</v>
      </c>
      <c r="H2115" s="4" t="b">
        <f>IFERROR(__xludf.DUMMYFUNCTION("""COMPUTED_VALUE"""),TRUE)</f>
        <v>1</v>
      </c>
      <c r="I2115" s="4">
        <f>IFERROR(__xludf.DUMMYFUNCTION("""COMPUTED_VALUE"""),0.2549440625)</f>
        <v>0.2549440625</v>
      </c>
      <c r="J2115" s="4">
        <f>IFERROR(__xludf.DUMMYFUNCTION("""COMPUTED_VALUE"""),45949.27004409923)</f>
        <v>45949.27004</v>
      </c>
      <c r="K2115" s="4" t="str">
        <f>IFERROR(__xludf.DUMMYFUNCTION("""COMPUTED_VALUE"""),"")</f>
        <v/>
      </c>
      <c r="L2115" s="4">
        <f>IFERROR(__xludf.DUMMYFUNCTION("""COMPUTED_VALUE"""),45949.28235228978)</f>
        <v>45949.28235</v>
      </c>
      <c r="M2115" s="1" t="str">
        <f>IFERROR(__xludf.DUMMYFUNCTION("""COMPUTED_VALUE"""),"RFID")</f>
        <v>RFID</v>
      </c>
      <c r="N2115" s="5">
        <f>IFERROR(__xludf.DUMMYFUNCTION("""COMPUTED_VALUE"""),0.006040013888888889)</f>
        <v>0.006040013889</v>
      </c>
      <c r="O2115" s="5" t="str">
        <f>IFERROR(__xludf.DUMMYFUNCTION("""COMPUTED_VALUE"""),"")</f>
        <v/>
      </c>
      <c r="P2115" s="5" t="str">
        <f>IFERROR(__xludf.DUMMYFUNCTION("""COMPUTED_VALUE"""),"")</f>
        <v/>
      </c>
      <c r="Q2115" s="5">
        <f>IFERROR(__xludf.DUMMYFUNCTION("""COMPUTED_VALUE"""),0.005481645833333333)</f>
        <v>0.005481645833</v>
      </c>
      <c r="R2115" s="4">
        <f>IFERROR(__xludf.DUMMYFUNCTION("""COMPUTED_VALUE"""),45949.02740822728)</f>
        <v>45949.02741</v>
      </c>
      <c r="S2115" s="1" t="b">
        <f>IFERROR(__xludf.DUMMYFUNCTION("""COMPUTED_VALUE"""),TRUE)</f>
        <v>1</v>
      </c>
      <c r="T2115" s="1" t="b">
        <f>IFERROR(__xludf.DUMMYFUNCTION("""COMPUTED_VALUE"""),FALSE)</f>
        <v>0</v>
      </c>
      <c r="U2115" s="1" t="str">
        <f>IFERROR(__xludf.DUMMYFUNCTION("""COMPUTED_VALUE"""),"VALID")</f>
        <v>VALID</v>
      </c>
      <c r="V2115" s="1">
        <f>IFERROR(__xludf.DUMMYFUNCTION("""COMPUTED_VALUE"""),262.0)</f>
        <v>262</v>
      </c>
      <c r="W2115" s="1">
        <f>IFERROR(__xludf.DUMMYFUNCTION("""COMPUTED_VALUE"""),400.0)</f>
        <v>400</v>
      </c>
      <c r="X2115" s="1">
        <f>IFERROR(__xludf.DUMMYFUNCTION("""COMPUTED_VALUE"""),347.0)</f>
        <v>347</v>
      </c>
      <c r="Y2115" s="2"/>
      <c r="Z2115" s="2"/>
    </row>
    <row r="2116">
      <c r="A2116" s="1">
        <f>IFERROR(__xludf.DUMMYFUNCTION("""COMPUTED_VALUE"""),2115.0)</f>
        <v>2115</v>
      </c>
      <c r="B2116" s="1">
        <f>IFERROR(__xludf.DUMMYFUNCTION("""COMPUTED_VALUE"""),5738.0)</f>
        <v>5738</v>
      </c>
      <c r="C2116" s="2" t="str">
        <f>IFERROR(__xludf.DUMMYFUNCTION("""COMPUTED_VALUE"""),"Har")</f>
        <v>Har</v>
      </c>
      <c r="D2116" s="2" t="str">
        <f>IFERROR(__xludf.DUMMYFUNCTION("""COMPUTED_VALUE"""),"5KM OVERALL M")</f>
        <v>5KM OVERALL M</v>
      </c>
      <c r="E2116" s="1">
        <f>IFERROR(__xludf.DUMMYFUNCTION("""COMPUTED_VALUE"""),2.0)</f>
        <v>2</v>
      </c>
      <c r="F2116" s="1" t="str">
        <f>IFERROR(__xludf.DUMMYFUNCTION("""COMPUTED_VALUE"""),"Male")</f>
        <v>Male</v>
      </c>
      <c r="G2116" s="4" t="str">
        <f>IFERROR(__xludf.DUMMYFUNCTION("""COMPUTED_VALUE"""),"")</f>
        <v/>
      </c>
      <c r="H2116" s="4" t="b">
        <f>IFERROR(__xludf.DUMMYFUNCTION("""COMPUTED_VALUE"""),FALSE)</f>
        <v>0</v>
      </c>
      <c r="I2116" s="4">
        <f>IFERROR(__xludf.DUMMYFUNCTION("""COMPUTED_VALUE"""),0.2549440625)</f>
        <v>0.2549440625</v>
      </c>
      <c r="J2116" s="4" t="str">
        <f>IFERROR(__xludf.DUMMYFUNCTION("""COMPUTED_VALUE"""),"")</f>
        <v/>
      </c>
      <c r="K2116" s="4" t="str">
        <f>IFERROR(__xludf.DUMMYFUNCTION("""COMPUTED_VALUE"""),"")</f>
        <v/>
      </c>
      <c r="L2116" s="4" t="str">
        <f>IFERROR(__xludf.DUMMYFUNCTION("""COMPUTED_VALUE"""),"")</f>
        <v/>
      </c>
      <c r="M2116" s="1" t="str">
        <f>IFERROR(__xludf.DUMMYFUNCTION("""COMPUTED_VALUE"""),"RFID")</f>
        <v>RFID</v>
      </c>
      <c r="N2116" s="5" t="str">
        <f>IFERROR(__xludf.DUMMYFUNCTION("""COMPUTED_VALUE"""),"")</f>
        <v/>
      </c>
      <c r="O2116" s="5" t="str">
        <f>IFERROR(__xludf.DUMMYFUNCTION("""COMPUTED_VALUE"""),"")</f>
        <v/>
      </c>
      <c r="P2116" s="5" t="str">
        <f>IFERROR(__xludf.DUMMYFUNCTION("""COMPUTED_VALUE"""),"")</f>
        <v/>
      </c>
      <c r="Q2116" s="5" t="str">
        <f>IFERROR(__xludf.DUMMYFUNCTION("""COMPUTED_VALUE"""),"")</f>
        <v/>
      </c>
      <c r="R2116" s="4" t="str">
        <f>IFERROR(__xludf.DUMMYFUNCTION("""COMPUTED_VALUE"""),"")</f>
        <v/>
      </c>
      <c r="S2116" s="1" t="b">
        <f>IFERROR(__xludf.DUMMYFUNCTION("""COMPUTED_VALUE"""),FALSE)</f>
        <v>0</v>
      </c>
      <c r="T2116" s="1" t="b">
        <f>IFERROR(__xludf.DUMMYFUNCTION("""COMPUTED_VALUE"""),FALSE)</f>
        <v>0</v>
      </c>
      <c r="U2116" s="1" t="str">
        <f>IFERROR(__xludf.DUMMYFUNCTION("""COMPUTED_VALUE"""),"DSQ")</f>
        <v>DSQ</v>
      </c>
      <c r="V2116" s="1" t="str">
        <f>IFERROR(__xludf.DUMMYFUNCTION("""COMPUTED_VALUE"""),"DSQ")</f>
        <v>DSQ</v>
      </c>
      <c r="W2116" s="1" t="str">
        <f>IFERROR(__xludf.DUMMYFUNCTION("""COMPUTED_VALUE"""),"DSQ")</f>
        <v>DSQ</v>
      </c>
      <c r="X2116" s="1" t="str">
        <f>IFERROR(__xludf.DUMMYFUNCTION("""COMPUTED_VALUE"""),"DSQ")</f>
        <v>DSQ</v>
      </c>
      <c r="Y2116" s="2"/>
      <c r="Z2116" s="2" t="str">
        <f>IFERROR(__xludf.DUMMYFUNCTION("""COMPUTED_VALUE"""),"")</f>
        <v/>
      </c>
    </row>
    <row r="2117">
      <c r="A2117" s="1">
        <f>IFERROR(__xludf.DUMMYFUNCTION("""COMPUTED_VALUE"""),2116.0)</f>
        <v>2116</v>
      </c>
      <c r="B2117" s="1">
        <f>IFERROR(__xludf.DUMMYFUNCTION("""COMPUTED_VALUE"""),5740.0)</f>
        <v>5740</v>
      </c>
      <c r="C2117" s="2" t="str">
        <f>IFERROR(__xludf.DUMMYFUNCTION("""COMPUTED_VALUE"""),"Ahmad Maulana")</f>
        <v>Ahmad Maulana</v>
      </c>
      <c r="D2117" s="2" t="str">
        <f>IFERROR(__xludf.DUMMYFUNCTION("""COMPUTED_VALUE"""),"5KM OVERALL M")</f>
        <v>5KM OVERALL M</v>
      </c>
      <c r="E2117" s="1">
        <f>IFERROR(__xludf.DUMMYFUNCTION("""COMPUTED_VALUE"""),2.0)</f>
        <v>2</v>
      </c>
      <c r="F2117" s="1" t="str">
        <f>IFERROR(__xludf.DUMMYFUNCTION("""COMPUTED_VALUE"""),"Male")</f>
        <v>Male</v>
      </c>
      <c r="G2117" s="4" t="str">
        <f>IFERROR(__xludf.DUMMYFUNCTION("""COMPUTED_VALUE"""),"")</f>
        <v/>
      </c>
      <c r="H2117" s="4" t="b">
        <f>IFERROR(__xludf.DUMMYFUNCTION("""COMPUTED_VALUE"""),FALSE)</f>
        <v>0</v>
      </c>
      <c r="I2117" s="4">
        <f>IFERROR(__xludf.DUMMYFUNCTION("""COMPUTED_VALUE"""),0.2549440625)</f>
        <v>0.2549440625</v>
      </c>
      <c r="J2117" s="4" t="str">
        <f>IFERROR(__xludf.DUMMYFUNCTION("""COMPUTED_VALUE"""),"")</f>
        <v/>
      </c>
      <c r="K2117" s="4" t="str">
        <f>IFERROR(__xludf.DUMMYFUNCTION("""COMPUTED_VALUE"""),"")</f>
        <v/>
      </c>
      <c r="L2117" s="4" t="str">
        <f>IFERROR(__xludf.DUMMYFUNCTION("""COMPUTED_VALUE"""),"")</f>
        <v/>
      </c>
      <c r="M2117" s="1" t="str">
        <f>IFERROR(__xludf.DUMMYFUNCTION("""COMPUTED_VALUE"""),"RFID")</f>
        <v>RFID</v>
      </c>
      <c r="N2117" s="5" t="str">
        <f>IFERROR(__xludf.DUMMYFUNCTION("""COMPUTED_VALUE"""),"")</f>
        <v/>
      </c>
      <c r="O2117" s="5" t="str">
        <f>IFERROR(__xludf.DUMMYFUNCTION("""COMPUTED_VALUE"""),"")</f>
        <v/>
      </c>
      <c r="P2117" s="5" t="str">
        <f>IFERROR(__xludf.DUMMYFUNCTION("""COMPUTED_VALUE"""),"")</f>
        <v/>
      </c>
      <c r="Q2117" s="5" t="str">
        <f>IFERROR(__xludf.DUMMYFUNCTION("""COMPUTED_VALUE"""),"")</f>
        <v/>
      </c>
      <c r="R2117" s="4" t="str">
        <f>IFERROR(__xludf.DUMMYFUNCTION("""COMPUTED_VALUE"""),"")</f>
        <v/>
      </c>
      <c r="S2117" s="1" t="b">
        <f>IFERROR(__xludf.DUMMYFUNCTION("""COMPUTED_VALUE"""),FALSE)</f>
        <v>0</v>
      </c>
      <c r="T2117" s="1" t="b">
        <f>IFERROR(__xludf.DUMMYFUNCTION("""COMPUTED_VALUE"""),FALSE)</f>
        <v>0</v>
      </c>
      <c r="U2117" s="1" t="str">
        <f>IFERROR(__xludf.DUMMYFUNCTION("""COMPUTED_VALUE"""),"DSQ")</f>
        <v>DSQ</v>
      </c>
      <c r="V2117" s="1" t="str">
        <f>IFERROR(__xludf.DUMMYFUNCTION("""COMPUTED_VALUE"""),"DSQ")</f>
        <v>DSQ</v>
      </c>
      <c r="W2117" s="1" t="str">
        <f>IFERROR(__xludf.DUMMYFUNCTION("""COMPUTED_VALUE"""),"DSQ")</f>
        <v>DSQ</v>
      </c>
      <c r="X2117" s="1" t="str">
        <f>IFERROR(__xludf.DUMMYFUNCTION("""COMPUTED_VALUE"""),"DSQ")</f>
        <v>DSQ</v>
      </c>
      <c r="Y2117" s="2"/>
      <c r="Z2117" s="2" t="str">
        <f>IFERROR(__xludf.DUMMYFUNCTION("""COMPUTED_VALUE"""),"")</f>
        <v/>
      </c>
    </row>
    <row r="2118">
      <c r="A2118" s="1">
        <f>IFERROR(__xludf.DUMMYFUNCTION("""COMPUTED_VALUE"""),2117.0)</f>
        <v>2117</v>
      </c>
      <c r="B2118" s="1">
        <f>IFERROR(__xludf.DUMMYFUNCTION("""COMPUTED_VALUE"""),5745.0)</f>
        <v>5745</v>
      </c>
      <c r="C2118" s="2" t="str">
        <f>IFERROR(__xludf.DUMMYFUNCTION("""COMPUTED_VALUE"""),"M Ripky Adelani")</f>
        <v>M Ripky Adelani</v>
      </c>
      <c r="D2118" s="2" t="str">
        <f>IFERROR(__xludf.DUMMYFUNCTION("""COMPUTED_VALUE"""),"5KM OVERALL M")</f>
        <v>5KM OVERALL M</v>
      </c>
      <c r="E2118" s="1">
        <f>IFERROR(__xludf.DUMMYFUNCTION("""COMPUTED_VALUE"""),2.0)</f>
        <v>2</v>
      </c>
      <c r="F2118" s="1" t="str">
        <f>IFERROR(__xludf.DUMMYFUNCTION("""COMPUTED_VALUE"""),"Male")</f>
        <v>Male</v>
      </c>
      <c r="G2118" s="4" t="b">
        <f>IFERROR(__xludf.DUMMYFUNCTION("""COMPUTED_VALUE"""),TRUE)</f>
        <v>1</v>
      </c>
      <c r="H2118" s="4" t="b">
        <f>IFERROR(__xludf.DUMMYFUNCTION("""COMPUTED_VALUE"""),TRUE)</f>
        <v>1</v>
      </c>
      <c r="I2118" s="4">
        <f>IFERROR(__xludf.DUMMYFUNCTION("""COMPUTED_VALUE"""),0.2549440625)</f>
        <v>0.2549440625</v>
      </c>
      <c r="J2118" s="4">
        <f>IFERROR(__xludf.DUMMYFUNCTION("""COMPUTED_VALUE"""),45949.27439474056)</f>
        <v>45949.27439</v>
      </c>
      <c r="K2118" s="4" t="str">
        <f>IFERROR(__xludf.DUMMYFUNCTION("""COMPUTED_VALUE"""),"")</f>
        <v/>
      </c>
      <c r="L2118" s="4">
        <f>IFERROR(__xludf.DUMMYFUNCTION("""COMPUTED_VALUE"""),45949.286390477086)</f>
        <v>45949.28639</v>
      </c>
      <c r="M2118" s="1" t="str">
        <f>IFERROR(__xludf.DUMMYFUNCTION("""COMPUTED_VALUE"""),"RFID")</f>
        <v>RFID</v>
      </c>
      <c r="N2118" s="5">
        <f>IFERROR(__xludf.DUMMYFUNCTION("""COMPUTED_VALUE"""),0.007780273148148148)</f>
        <v>0.007780273148</v>
      </c>
      <c r="O2118" s="5" t="str">
        <f>IFERROR(__xludf.DUMMYFUNCTION("""COMPUTED_VALUE"""),"")</f>
        <v/>
      </c>
      <c r="P2118" s="5" t="str">
        <f>IFERROR(__xludf.DUMMYFUNCTION("""COMPUTED_VALUE"""),"")</f>
        <v/>
      </c>
      <c r="Q2118" s="5">
        <f>IFERROR(__xludf.DUMMYFUNCTION("""COMPUTED_VALUE"""),0.006289282407407407)</f>
        <v>0.006289282407</v>
      </c>
      <c r="R2118" s="4">
        <f>IFERROR(__xludf.DUMMYFUNCTION("""COMPUTED_VALUE"""),45949.031446414585)</f>
        <v>45949.03145</v>
      </c>
      <c r="S2118" s="1" t="b">
        <f>IFERROR(__xludf.DUMMYFUNCTION("""COMPUTED_VALUE"""),TRUE)</f>
        <v>1</v>
      </c>
      <c r="T2118" s="1" t="b">
        <f>IFERROR(__xludf.DUMMYFUNCTION("""COMPUTED_VALUE"""),FALSE)</f>
        <v>0</v>
      </c>
      <c r="U2118" s="1" t="str">
        <f>IFERROR(__xludf.DUMMYFUNCTION("""COMPUTED_VALUE"""),"VALID")</f>
        <v>VALID</v>
      </c>
      <c r="V2118" s="1">
        <f>IFERROR(__xludf.DUMMYFUNCTION("""COMPUTED_VALUE"""),429.0)</f>
        <v>429</v>
      </c>
      <c r="W2118" s="1">
        <f>IFERROR(__xludf.DUMMYFUNCTION("""COMPUTED_VALUE"""),659.0)</f>
        <v>659</v>
      </c>
      <c r="X2118" s="1">
        <f>IFERROR(__xludf.DUMMYFUNCTION("""COMPUTED_VALUE"""),550.0)</f>
        <v>550</v>
      </c>
      <c r="Y2118" s="2"/>
      <c r="Z2118" s="2"/>
    </row>
    <row r="2119">
      <c r="A2119" s="1">
        <f>IFERROR(__xludf.DUMMYFUNCTION("""COMPUTED_VALUE"""),2118.0)</f>
        <v>2118</v>
      </c>
      <c r="B2119" s="1">
        <f>IFERROR(__xludf.DUMMYFUNCTION("""COMPUTED_VALUE"""),5747.0)</f>
        <v>5747</v>
      </c>
      <c r="C2119" s="2" t="str">
        <f>IFERROR(__xludf.DUMMYFUNCTION("""COMPUTED_VALUE"""),"A.A.Yaqub")</f>
        <v>A.A.Yaqub</v>
      </c>
      <c r="D2119" s="2" t="str">
        <f>IFERROR(__xludf.DUMMYFUNCTION("""COMPUTED_VALUE"""),"5KM OVERALL M")</f>
        <v>5KM OVERALL M</v>
      </c>
      <c r="E2119" s="1">
        <f>IFERROR(__xludf.DUMMYFUNCTION("""COMPUTED_VALUE"""),2.0)</f>
        <v>2</v>
      </c>
      <c r="F2119" s="1" t="str">
        <f>IFERROR(__xludf.DUMMYFUNCTION("""COMPUTED_VALUE"""),"Male")</f>
        <v>Male</v>
      </c>
      <c r="G2119" s="4" t="b">
        <f>IFERROR(__xludf.DUMMYFUNCTION("""COMPUTED_VALUE"""),TRUE)</f>
        <v>1</v>
      </c>
      <c r="H2119" s="4" t="b">
        <f>IFERROR(__xludf.DUMMYFUNCTION("""COMPUTED_VALUE"""),FALSE)</f>
        <v>0</v>
      </c>
      <c r="I2119" s="4">
        <f>IFERROR(__xludf.DUMMYFUNCTION("""COMPUTED_VALUE"""),0.2549440625)</f>
        <v>0.2549440625</v>
      </c>
      <c r="J2119" s="4">
        <f>IFERROR(__xludf.DUMMYFUNCTION("""COMPUTED_VALUE"""),45949.28326279355)</f>
        <v>45949.28326</v>
      </c>
      <c r="K2119" s="4" t="str">
        <f>IFERROR(__xludf.DUMMYFUNCTION("""COMPUTED_VALUE"""),"")</f>
        <v/>
      </c>
      <c r="L2119" s="4">
        <f>IFERROR(__xludf.DUMMYFUNCTION("""COMPUTED_VALUE"""),45949.3027376716)</f>
        <v>45949.30274</v>
      </c>
      <c r="M2119" s="1" t="str">
        <f>IFERROR(__xludf.DUMMYFUNCTION("""COMPUTED_VALUE"""),"RFID")</f>
        <v>RFID</v>
      </c>
      <c r="N2119" s="5">
        <f>IFERROR(__xludf.DUMMYFUNCTION("""COMPUTED_VALUE"""),0.011327490740740739)</f>
        <v>0.01132749074</v>
      </c>
      <c r="O2119" s="5" t="str">
        <f>IFERROR(__xludf.DUMMYFUNCTION("""COMPUTED_VALUE"""),"")</f>
        <v/>
      </c>
      <c r="P2119" s="5" t="str">
        <f>IFERROR(__xludf.DUMMYFUNCTION("""COMPUTED_VALUE"""),"")</f>
        <v/>
      </c>
      <c r="Q2119" s="5">
        <f>IFERROR(__xludf.DUMMYFUNCTION("""COMPUTED_VALUE"""),0.009558722222222222)</f>
        <v>0.009558722222</v>
      </c>
      <c r="R2119" s="4">
        <f>IFERROR(__xludf.DUMMYFUNCTION("""COMPUTED_VALUE"""),45949.0477936091)</f>
        <v>45949.04779</v>
      </c>
      <c r="S2119" s="1" t="b">
        <f>IFERROR(__xludf.DUMMYFUNCTION("""COMPUTED_VALUE"""),TRUE)</f>
        <v>1</v>
      </c>
      <c r="T2119" s="1" t="b">
        <f>IFERROR(__xludf.DUMMYFUNCTION("""COMPUTED_VALUE"""),FALSE)</f>
        <v>0</v>
      </c>
      <c r="U2119" s="1" t="str">
        <f>IFERROR(__xludf.DUMMYFUNCTION("""COMPUTED_VALUE"""),"VALID")</f>
        <v>VALID</v>
      </c>
      <c r="V2119" s="1">
        <f>IFERROR(__xludf.DUMMYFUNCTION("""COMPUTED_VALUE"""),825.0)</f>
        <v>825</v>
      </c>
      <c r="W2119" s="1">
        <f>IFERROR(__xludf.DUMMYFUNCTION("""COMPUTED_VALUE"""),1534.0)</f>
        <v>1534</v>
      </c>
      <c r="X2119" s="1">
        <f>IFERROR(__xludf.DUMMYFUNCTION("""COMPUTED_VALUE"""),1300.0)</f>
        <v>1300</v>
      </c>
      <c r="Y2119" s="2"/>
      <c r="Z2119" s="2"/>
    </row>
    <row r="2120">
      <c r="A2120" s="1">
        <f>IFERROR(__xludf.DUMMYFUNCTION("""COMPUTED_VALUE"""),2119.0)</f>
        <v>2119</v>
      </c>
      <c r="B2120" s="1">
        <f>IFERROR(__xludf.DUMMYFUNCTION("""COMPUTED_VALUE"""),5748.0)</f>
        <v>5748</v>
      </c>
      <c r="C2120" s="2" t="str">
        <f>IFERROR(__xludf.DUMMYFUNCTION("""COMPUTED_VALUE"""),"Admin")</f>
        <v>Admin</v>
      </c>
      <c r="D2120" s="2" t="str">
        <f>IFERROR(__xludf.DUMMYFUNCTION("""COMPUTED_VALUE"""),"5KM OVERALL M")</f>
        <v>5KM OVERALL M</v>
      </c>
      <c r="E2120" s="1">
        <f>IFERROR(__xludf.DUMMYFUNCTION("""COMPUTED_VALUE"""),2.0)</f>
        <v>2</v>
      </c>
      <c r="F2120" s="1" t="str">
        <f>IFERROR(__xludf.DUMMYFUNCTION("""COMPUTED_VALUE"""),"Male")</f>
        <v>Male</v>
      </c>
      <c r="G2120" s="4" t="b">
        <f>IFERROR(__xludf.DUMMYFUNCTION("""COMPUTED_VALUE"""),TRUE)</f>
        <v>1</v>
      </c>
      <c r="H2120" s="4" t="b">
        <f>IFERROR(__xludf.DUMMYFUNCTION("""COMPUTED_VALUE"""),TRUE)</f>
        <v>1</v>
      </c>
      <c r="I2120" s="4">
        <f>IFERROR(__xludf.DUMMYFUNCTION("""COMPUTED_VALUE"""),0.2549440625)</f>
        <v>0.2549440625</v>
      </c>
      <c r="J2120" s="4">
        <f>IFERROR(__xludf.DUMMYFUNCTION("""COMPUTED_VALUE"""),45949.28558613463)</f>
        <v>45949.28559</v>
      </c>
      <c r="K2120" s="4" t="str">
        <f>IFERROR(__xludf.DUMMYFUNCTION("""COMPUTED_VALUE"""),"")</f>
        <v/>
      </c>
      <c r="L2120" s="4">
        <f>IFERROR(__xludf.DUMMYFUNCTION("""COMPUTED_VALUE"""),45949.30701887192)</f>
        <v>45949.30702</v>
      </c>
      <c r="M2120" s="1" t="str">
        <f>IFERROR(__xludf.DUMMYFUNCTION("""COMPUTED_VALUE"""),"RFID")</f>
        <v>RFID</v>
      </c>
      <c r="N2120" s="5">
        <f>IFERROR(__xludf.DUMMYFUNCTION("""COMPUTED_VALUE"""),0.012256828703703704)</f>
        <v>0.0122568287</v>
      </c>
      <c r="O2120" s="5" t="str">
        <f>IFERROR(__xludf.DUMMYFUNCTION("""COMPUTED_VALUE"""),"")</f>
        <v/>
      </c>
      <c r="P2120" s="5" t="str">
        <f>IFERROR(__xludf.DUMMYFUNCTION("""COMPUTED_VALUE"""),"")</f>
        <v/>
      </c>
      <c r="Q2120" s="5">
        <f>IFERROR(__xludf.DUMMYFUNCTION("""COMPUTED_VALUE"""),0.010414962962962963)</f>
        <v>0.01041496296</v>
      </c>
      <c r="R2120" s="4">
        <f>IFERROR(__xludf.DUMMYFUNCTION("""COMPUTED_VALUE"""),45949.05207480942)</f>
        <v>45949.05207</v>
      </c>
      <c r="S2120" s="1" t="b">
        <f>IFERROR(__xludf.DUMMYFUNCTION("""COMPUTED_VALUE"""),TRUE)</f>
        <v>1</v>
      </c>
      <c r="T2120" s="1" t="b">
        <f>IFERROR(__xludf.DUMMYFUNCTION("""COMPUTED_VALUE"""),FALSE)</f>
        <v>0</v>
      </c>
      <c r="U2120" s="1" t="str">
        <f>IFERROR(__xludf.DUMMYFUNCTION("""COMPUTED_VALUE"""),"VALID")</f>
        <v>VALID</v>
      </c>
      <c r="V2120" s="1">
        <f>IFERROR(__xludf.DUMMYFUNCTION("""COMPUTED_VALUE"""),849.0)</f>
        <v>849</v>
      </c>
      <c r="W2120" s="1">
        <f>IFERROR(__xludf.DUMMYFUNCTION("""COMPUTED_VALUE"""),1587.0)</f>
        <v>1587</v>
      </c>
      <c r="X2120" s="1">
        <f>IFERROR(__xludf.DUMMYFUNCTION("""COMPUTED_VALUE"""),1436.0)</f>
        <v>1436</v>
      </c>
      <c r="Y2120" s="2"/>
      <c r="Z2120" s="2"/>
    </row>
    <row r="2121">
      <c r="A2121" s="1">
        <f>IFERROR(__xludf.DUMMYFUNCTION("""COMPUTED_VALUE"""),2120.0)</f>
        <v>2120</v>
      </c>
      <c r="B2121" s="1">
        <f>IFERROR(__xludf.DUMMYFUNCTION("""COMPUTED_VALUE"""),5750.0)</f>
        <v>5750</v>
      </c>
      <c r="C2121" s="2" t="str">
        <f>IFERROR(__xludf.DUMMYFUNCTION("""COMPUTED_VALUE"""),"Muhammad Faisal")</f>
        <v>Muhammad Faisal</v>
      </c>
      <c r="D2121" s="2" t="str">
        <f>IFERROR(__xludf.DUMMYFUNCTION("""COMPUTED_VALUE"""),"5KM OVERALL M")</f>
        <v>5KM OVERALL M</v>
      </c>
      <c r="E2121" s="1">
        <f>IFERROR(__xludf.DUMMYFUNCTION("""COMPUTED_VALUE"""),2.0)</f>
        <v>2</v>
      </c>
      <c r="F2121" s="1" t="str">
        <f>IFERROR(__xludf.DUMMYFUNCTION("""COMPUTED_VALUE"""),"Male")</f>
        <v>Male</v>
      </c>
      <c r="G2121" s="4" t="b">
        <f>IFERROR(__xludf.DUMMYFUNCTION("""COMPUTED_VALUE"""),TRUE)</f>
        <v>1</v>
      </c>
      <c r="H2121" s="4" t="b">
        <f>IFERROR(__xludf.DUMMYFUNCTION("""COMPUTED_VALUE"""),FALSE)</f>
        <v>0</v>
      </c>
      <c r="I2121" s="4">
        <f>IFERROR(__xludf.DUMMYFUNCTION("""COMPUTED_VALUE"""),0.2549440625)</f>
        <v>0.2549440625</v>
      </c>
      <c r="J2121" s="4">
        <f>IFERROR(__xludf.DUMMYFUNCTION("""COMPUTED_VALUE"""),45949.2733184219)</f>
        <v>45949.27332</v>
      </c>
      <c r="K2121" s="4" t="str">
        <f>IFERROR(__xludf.DUMMYFUNCTION("""COMPUTED_VALUE"""),"")</f>
        <v/>
      </c>
      <c r="L2121" s="4">
        <f>IFERROR(__xludf.DUMMYFUNCTION("""COMPUTED_VALUE"""),45949.28562730963)</f>
        <v>45949.28563</v>
      </c>
      <c r="M2121" s="1" t="str">
        <f>IFERROR(__xludf.DUMMYFUNCTION("""COMPUTED_VALUE"""),"RFID")</f>
        <v>RFID</v>
      </c>
      <c r="N2121" s="5">
        <f>IFERROR(__xludf.DUMMYFUNCTION("""COMPUTED_VALUE"""),0.007349745370370371)</f>
        <v>0.00734974537</v>
      </c>
      <c r="O2121" s="5" t="str">
        <f>IFERROR(__xludf.DUMMYFUNCTION("""COMPUTED_VALUE"""),"")</f>
        <v/>
      </c>
      <c r="P2121" s="5" t="str">
        <f>IFERROR(__xludf.DUMMYFUNCTION("""COMPUTED_VALUE"""),"")</f>
        <v/>
      </c>
      <c r="Q2121" s="5">
        <f>IFERROR(__xludf.DUMMYFUNCTION("""COMPUTED_VALUE"""),0.006136650462962963)</f>
        <v>0.006136650463</v>
      </c>
      <c r="R2121" s="4">
        <f>IFERROR(__xludf.DUMMYFUNCTION("""COMPUTED_VALUE"""),45949.03068324713)</f>
        <v>45949.03068</v>
      </c>
      <c r="S2121" s="1" t="b">
        <f>IFERROR(__xludf.DUMMYFUNCTION("""COMPUTED_VALUE"""),TRUE)</f>
        <v>1</v>
      </c>
      <c r="T2121" s="1" t="b">
        <f>IFERROR(__xludf.DUMMYFUNCTION("""COMPUTED_VALUE"""),FALSE)</f>
        <v>0</v>
      </c>
      <c r="U2121" s="1" t="str">
        <f>IFERROR(__xludf.DUMMYFUNCTION("""COMPUTED_VALUE"""),"VALID")</f>
        <v>VALID</v>
      </c>
      <c r="V2121" s="1">
        <f>IFERROR(__xludf.DUMMYFUNCTION("""COMPUTED_VALUE"""),401.0)</f>
        <v>401</v>
      </c>
      <c r="W2121" s="1">
        <f>IFERROR(__xludf.DUMMYFUNCTION("""COMPUTED_VALUE"""),614.0)</f>
        <v>614</v>
      </c>
      <c r="X2121" s="1">
        <f>IFERROR(__xludf.DUMMYFUNCTION("""COMPUTED_VALUE"""),515.0)</f>
        <v>515</v>
      </c>
      <c r="Y2121" s="2"/>
      <c r="Z2121" s="2"/>
    </row>
    <row r="2122">
      <c r="A2122" s="1">
        <f>IFERROR(__xludf.DUMMYFUNCTION("""COMPUTED_VALUE"""),2121.0)</f>
        <v>2121</v>
      </c>
      <c r="B2122" s="1">
        <f>IFERROR(__xludf.DUMMYFUNCTION("""COMPUTED_VALUE"""),5752.0)</f>
        <v>5752</v>
      </c>
      <c r="C2122" s="2" t="str">
        <f>IFERROR(__xludf.DUMMYFUNCTION("""COMPUTED_VALUE"""),"udin")</f>
        <v>udin</v>
      </c>
      <c r="D2122" s="2" t="str">
        <f>IFERROR(__xludf.DUMMYFUNCTION("""COMPUTED_VALUE"""),"5KM OVERALL M")</f>
        <v>5KM OVERALL M</v>
      </c>
      <c r="E2122" s="1">
        <f>IFERROR(__xludf.DUMMYFUNCTION("""COMPUTED_VALUE"""),2.0)</f>
        <v>2</v>
      </c>
      <c r="F2122" s="1" t="str">
        <f>IFERROR(__xludf.DUMMYFUNCTION("""COMPUTED_VALUE"""),"Male")</f>
        <v>Male</v>
      </c>
      <c r="G2122" s="4" t="b">
        <f>IFERROR(__xludf.DUMMYFUNCTION("""COMPUTED_VALUE"""),TRUE)</f>
        <v>1</v>
      </c>
      <c r="H2122" s="4" t="b">
        <f>IFERROR(__xludf.DUMMYFUNCTION("""COMPUTED_VALUE"""),TRUE)</f>
        <v>1</v>
      </c>
      <c r="I2122" s="4">
        <f>IFERROR(__xludf.DUMMYFUNCTION("""COMPUTED_VALUE"""),0.2549440625)</f>
        <v>0.2549440625</v>
      </c>
      <c r="J2122" s="4">
        <f>IFERROR(__xludf.DUMMYFUNCTION("""COMPUTED_VALUE"""),45949.27495377846)</f>
        <v>45949.27495</v>
      </c>
      <c r="K2122" s="4" t="str">
        <f>IFERROR(__xludf.DUMMYFUNCTION("""COMPUTED_VALUE"""),"")</f>
        <v/>
      </c>
      <c r="L2122" s="4">
        <f>IFERROR(__xludf.DUMMYFUNCTION("""COMPUTED_VALUE"""),45949.28976198952)</f>
        <v>45949.28976</v>
      </c>
      <c r="M2122" s="1" t="str">
        <f>IFERROR(__xludf.DUMMYFUNCTION("""COMPUTED_VALUE"""),"RFID")</f>
        <v>RFID</v>
      </c>
      <c r="N2122" s="5">
        <f>IFERROR(__xludf.DUMMYFUNCTION("""COMPUTED_VALUE"""),0.00800388425925926)</f>
        <v>0.008003884259</v>
      </c>
      <c r="O2122" s="5" t="str">
        <f>IFERROR(__xludf.DUMMYFUNCTION("""COMPUTED_VALUE"""),"")</f>
        <v/>
      </c>
      <c r="P2122" s="5" t="str">
        <f>IFERROR(__xludf.DUMMYFUNCTION("""COMPUTED_VALUE"""),"")</f>
        <v/>
      </c>
      <c r="Q2122" s="5">
        <f>IFERROR(__xludf.DUMMYFUNCTION("""COMPUTED_VALUE"""),0.006963585648148148)</f>
        <v>0.006963585648</v>
      </c>
      <c r="R2122" s="4">
        <f>IFERROR(__xludf.DUMMYFUNCTION("""COMPUTED_VALUE"""),45949.03481792702)</f>
        <v>45949.03482</v>
      </c>
      <c r="S2122" s="1" t="b">
        <f>IFERROR(__xludf.DUMMYFUNCTION("""COMPUTED_VALUE"""),TRUE)</f>
        <v>1</v>
      </c>
      <c r="T2122" s="1" t="b">
        <f>IFERROR(__xludf.DUMMYFUNCTION("""COMPUTED_VALUE"""),FALSE)</f>
        <v>0</v>
      </c>
      <c r="U2122" s="1" t="str">
        <f>IFERROR(__xludf.DUMMYFUNCTION("""COMPUTED_VALUE"""),"VALID")</f>
        <v>VALID</v>
      </c>
      <c r="V2122" s="1">
        <f>IFERROR(__xludf.DUMMYFUNCTION("""COMPUTED_VALUE"""),553.0)</f>
        <v>553</v>
      </c>
      <c r="W2122" s="1">
        <f>IFERROR(__xludf.DUMMYFUNCTION("""COMPUTED_VALUE"""),878.0)</f>
        <v>878</v>
      </c>
      <c r="X2122" s="1">
        <f>IFERROR(__xludf.DUMMYFUNCTION("""COMPUTED_VALUE"""),714.0)</f>
        <v>714</v>
      </c>
      <c r="Y2122" s="2"/>
      <c r="Z2122" s="2"/>
    </row>
    <row r="2123">
      <c r="A2123" s="1">
        <f>IFERROR(__xludf.DUMMYFUNCTION("""COMPUTED_VALUE"""),2122.0)</f>
        <v>2122</v>
      </c>
      <c r="B2123" s="1">
        <f>IFERROR(__xludf.DUMMYFUNCTION("""COMPUTED_VALUE"""),5753.0)</f>
        <v>5753</v>
      </c>
      <c r="C2123" s="2" t="str">
        <f>IFERROR(__xludf.DUMMYFUNCTION("""COMPUTED_VALUE"""),"HANDA")</f>
        <v>HANDA</v>
      </c>
      <c r="D2123" s="2" t="str">
        <f>IFERROR(__xludf.DUMMYFUNCTION("""COMPUTED_VALUE"""),"5KM OVERALL M")</f>
        <v>5KM OVERALL M</v>
      </c>
      <c r="E2123" s="1">
        <f>IFERROR(__xludf.DUMMYFUNCTION("""COMPUTED_VALUE"""),2.0)</f>
        <v>2</v>
      </c>
      <c r="F2123" s="1" t="str">
        <f>IFERROR(__xludf.DUMMYFUNCTION("""COMPUTED_VALUE"""),"Male")</f>
        <v>Male</v>
      </c>
      <c r="G2123" s="4" t="str">
        <f>IFERROR(__xludf.DUMMYFUNCTION("""COMPUTED_VALUE"""),"")</f>
        <v/>
      </c>
      <c r="H2123" s="4" t="b">
        <f>IFERROR(__xludf.DUMMYFUNCTION("""COMPUTED_VALUE"""),TRUE)</f>
        <v>1</v>
      </c>
      <c r="I2123" s="4">
        <f>IFERROR(__xludf.DUMMYFUNCTION("""COMPUTED_VALUE"""),0.2549440625)</f>
        <v>0.2549440625</v>
      </c>
      <c r="J2123" s="4">
        <f>IFERROR(__xludf.DUMMYFUNCTION("""COMPUTED_VALUE"""),45950.2734375)</f>
        <v>45950.27344</v>
      </c>
      <c r="K2123" s="4" t="str">
        <f>IFERROR(__xludf.DUMMYFUNCTION("""COMPUTED_VALUE"""),"")</f>
        <v/>
      </c>
      <c r="L2123" s="4">
        <f>IFERROR(__xludf.DUMMYFUNCTION("""COMPUTED_VALUE"""),45949.28576198492)</f>
        <v>45949.28576</v>
      </c>
      <c r="M2123" s="1" t="str">
        <f>IFERROR(__xludf.DUMMYFUNCTION("""COMPUTED_VALUE"""),"RFID")</f>
        <v>RFID</v>
      </c>
      <c r="N2123" s="5">
        <f>IFERROR(__xludf.DUMMYFUNCTION("""COMPUTED_VALUE"""),0.007397375)</f>
        <v>0.007397375</v>
      </c>
      <c r="O2123" s="5" t="str">
        <f>IFERROR(__xludf.DUMMYFUNCTION("""COMPUTED_VALUE"""),"")</f>
        <v/>
      </c>
      <c r="P2123" s="5" t="str">
        <f>IFERROR(__xludf.DUMMYFUNCTION("""COMPUTED_VALUE"""),"")</f>
        <v/>
      </c>
      <c r="Q2123" s="5">
        <f>IFERROR(__xludf.DUMMYFUNCTION("""COMPUTED_VALUE"""),0.006163583333333333)</f>
        <v>0.006163583333</v>
      </c>
      <c r="R2123" s="4">
        <f>IFERROR(__xludf.DUMMYFUNCTION("""COMPUTED_VALUE"""),45949.030817922416)</f>
        <v>45949.03082</v>
      </c>
      <c r="S2123" s="1" t="b">
        <f>IFERROR(__xludf.DUMMYFUNCTION("""COMPUTED_VALUE"""),TRUE)</f>
        <v>1</v>
      </c>
      <c r="T2123" s="1" t="b">
        <f>IFERROR(__xludf.DUMMYFUNCTION("""COMPUTED_VALUE"""),FALSE)</f>
        <v>0</v>
      </c>
      <c r="U2123" s="1" t="str">
        <f>IFERROR(__xludf.DUMMYFUNCTION("""COMPUTED_VALUE"""),"VALID")</f>
        <v>VALID</v>
      </c>
      <c r="V2123" s="1">
        <f>IFERROR(__xludf.DUMMYFUNCTION("""COMPUTED_VALUE"""),405.0)</f>
        <v>405</v>
      </c>
      <c r="W2123" s="1">
        <f>IFERROR(__xludf.DUMMYFUNCTION("""COMPUTED_VALUE"""),620.0)</f>
        <v>620</v>
      </c>
      <c r="X2123" s="1">
        <f>IFERROR(__xludf.DUMMYFUNCTION("""COMPUTED_VALUE"""),520.0)</f>
        <v>520</v>
      </c>
      <c r="Y2123" s="2"/>
      <c r="Z2123" s="2" t="str">
        <f>IFERROR(__xludf.DUMMYFUNCTION("""COMPUTED_VALUE"""),"C")</f>
        <v>C</v>
      </c>
    </row>
    <row r="2124">
      <c r="A2124" s="1">
        <f>IFERROR(__xludf.DUMMYFUNCTION("""COMPUTED_VALUE"""),2123.0)</f>
        <v>2123</v>
      </c>
      <c r="B2124" s="1">
        <f>IFERROR(__xludf.DUMMYFUNCTION("""COMPUTED_VALUE"""),5754.0)</f>
        <v>5754</v>
      </c>
      <c r="C2124" s="2" t="str">
        <f>IFERROR(__xludf.DUMMYFUNCTION("""COMPUTED_VALUE"""),"victor pardosi")</f>
        <v>victor pardosi</v>
      </c>
      <c r="D2124" s="2" t="str">
        <f>IFERROR(__xludf.DUMMYFUNCTION("""COMPUTED_VALUE"""),"5KM OVERALL M")</f>
        <v>5KM OVERALL M</v>
      </c>
      <c r="E2124" s="1">
        <f>IFERROR(__xludf.DUMMYFUNCTION("""COMPUTED_VALUE"""),2.0)</f>
        <v>2</v>
      </c>
      <c r="F2124" s="1" t="str">
        <f>IFERROR(__xludf.DUMMYFUNCTION("""COMPUTED_VALUE"""),"Male")</f>
        <v>Male</v>
      </c>
      <c r="G2124" s="4" t="b">
        <f>IFERROR(__xludf.DUMMYFUNCTION("""COMPUTED_VALUE"""),TRUE)</f>
        <v>1</v>
      </c>
      <c r="H2124" s="4" t="b">
        <f>IFERROR(__xludf.DUMMYFUNCTION("""COMPUTED_VALUE"""),TRUE)</f>
        <v>1</v>
      </c>
      <c r="I2124" s="4">
        <f>IFERROR(__xludf.DUMMYFUNCTION("""COMPUTED_VALUE"""),0.2549440625)</f>
        <v>0.2549440625</v>
      </c>
      <c r="J2124" s="4">
        <f>IFERROR(__xludf.DUMMYFUNCTION("""COMPUTED_VALUE"""),45949.27222807468)</f>
        <v>45949.27223</v>
      </c>
      <c r="K2124" s="4" t="str">
        <f>IFERROR(__xludf.DUMMYFUNCTION("""COMPUTED_VALUE"""),"")</f>
        <v/>
      </c>
      <c r="L2124" s="4">
        <f>IFERROR(__xludf.DUMMYFUNCTION("""COMPUTED_VALUE"""),45949.283755066455)</f>
        <v>45949.28376</v>
      </c>
      <c r="M2124" s="1" t="str">
        <f>IFERROR(__xludf.DUMMYFUNCTION("""COMPUTED_VALUE"""),"RFID")</f>
        <v>RFID</v>
      </c>
      <c r="N2124" s="5">
        <f>IFERROR(__xludf.DUMMYFUNCTION("""COMPUTED_VALUE"""),0.006913606481481481)</f>
        <v>0.006913606481</v>
      </c>
      <c r="O2124" s="5" t="str">
        <f>IFERROR(__xludf.DUMMYFUNCTION("""COMPUTED_VALUE"""),"")</f>
        <v/>
      </c>
      <c r="P2124" s="5" t="str">
        <f>IFERROR(__xludf.DUMMYFUNCTION("""COMPUTED_VALUE"""),"")</f>
        <v/>
      </c>
      <c r="Q2124" s="5">
        <f>IFERROR(__xludf.DUMMYFUNCTION("""COMPUTED_VALUE"""),0.00576220138888889)</f>
        <v>0.005762201389</v>
      </c>
      <c r="R2124" s="4">
        <f>IFERROR(__xludf.DUMMYFUNCTION("""COMPUTED_VALUE"""),45949.028811003955)</f>
        <v>45949.02881</v>
      </c>
      <c r="S2124" s="1" t="b">
        <f>IFERROR(__xludf.DUMMYFUNCTION("""COMPUTED_VALUE"""),TRUE)</f>
        <v>1</v>
      </c>
      <c r="T2124" s="1" t="b">
        <f>IFERROR(__xludf.DUMMYFUNCTION("""COMPUTED_VALUE"""),FALSE)</f>
        <v>0</v>
      </c>
      <c r="U2124" s="1" t="str">
        <f>IFERROR(__xludf.DUMMYFUNCTION("""COMPUTED_VALUE"""),"VALID")</f>
        <v>VALID</v>
      </c>
      <c r="V2124" s="1">
        <f>IFERROR(__xludf.DUMMYFUNCTION("""COMPUTED_VALUE"""),321.0)</f>
        <v>321</v>
      </c>
      <c r="W2124" s="1">
        <f>IFERROR(__xludf.DUMMYFUNCTION("""COMPUTED_VALUE"""),478.0)</f>
        <v>478</v>
      </c>
      <c r="X2124" s="1">
        <f>IFERROR(__xludf.DUMMYFUNCTION("""COMPUTED_VALUE"""),414.0)</f>
        <v>414</v>
      </c>
      <c r="Y2124" s="2"/>
      <c r="Z2124" s="2"/>
    </row>
    <row r="2125">
      <c r="A2125" s="1">
        <f>IFERROR(__xludf.DUMMYFUNCTION("""COMPUTED_VALUE"""),2124.0)</f>
        <v>2124</v>
      </c>
      <c r="B2125" s="1">
        <f>IFERROR(__xludf.DUMMYFUNCTION("""COMPUTED_VALUE"""),5755.0)</f>
        <v>5755</v>
      </c>
      <c r="C2125" s="2" t="str">
        <f>IFERROR(__xludf.DUMMYFUNCTION("""COMPUTED_VALUE"""),"Guruh N.")</f>
        <v>Guruh N.</v>
      </c>
      <c r="D2125" s="2" t="str">
        <f>IFERROR(__xludf.DUMMYFUNCTION("""COMPUTED_VALUE"""),"5KM OVERALL M")</f>
        <v>5KM OVERALL M</v>
      </c>
      <c r="E2125" s="1">
        <f>IFERROR(__xludf.DUMMYFUNCTION("""COMPUTED_VALUE"""),2.0)</f>
        <v>2</v>
      </c>
      <c r="F2125" s="1" t="str">
        <f>IFERROR(__xludf.DUMMYFUNCTION("""COMPUTED_VALUE"""),"Male")</f>
        <v>Male</v>
      </c>
      <c r="G2125" s="4" t="b">
        <f>IFERROR(__xludf.DUMMYFUNCTION("""COMPUTED_VALUE"""),TRUE)</f>
        <v>1</v>
      </c>
      <c r="H2125" s="4" t="b">
        <f>IFERROR(__xludf.DUMMYFUNCTION("""COMPUTED_VALUE"""),TRUE)</f>
        <v>1</v>
      </c>
      <c r="I2125" s="4">
        <f>IFERROR(__xludf.DUMMYFUNCTION("""COMPUTED_VALUE"""),0.2549440625)</f>
        <v>0.2549440625</v>
      </c>
      <c r="J2125" s="4">
        <f>IFERROR(__xludf.DUMMYFUNCTION("""COMPUTED_VALUE"""),45949.28787391841)</f>
        <v>45949.28787</v>
      </c>
      <c r="K2125" s="4" t="str">
        <f>IFERROR(__xludf.DUMMYFUNCTION("""COMPUTED_VALUE"""),"")</f>
        <v/>
      </c>
      <c r="L2125" s="4">
        <f>IFERROR(__xludf.DUMMYFUNCTION("""COMPUTED_VALUE"""),45949.3096655131)</f>
        <v>45949.30967</v>
      </c>
      <c r="M2125" s="1" t="str">
        <f>IFERROR(__xludf.DUMMYFUNCTION("""COMPUTED_VALUE"""),"RFID")</f>
        <v>RFID</v>
      </c>
      <c r="N2125" s="5">
        <f>IFERROR(__xludf.DUMMYFUNCTION("""COMPUTED_VALUE"""),0.013171944444444444)</f>
        <v>0.01317194444</v>
      </c>
      <c r="O2125" s="5" t="str">
        <f>IFERROR(__xludf.DUMMYFUNCTION("""COMPUTED_VALUE"""),"")</f>
        <v/>
      </c>
      <c r="P2125" s="5" t="str">
        <f>IFERROR(__xludf.DUMMYFUNCTION("""COMPUTED_VALUE"""),"")</f>
        <v/>
      </c>
      <c r="Q2125" s="5">
        <f>IFERROR(__xludf.DUMMYFUNCTION("""COMPUTED_VALUE"""),0.010944289351851853)</f>
        <v>0.01094428935</v>
      </c>
      <c r="R2125" s="4">
        <f>IFERROR(__xludf.DUMMYFUNCTION("""COMPUTED_VALUE"""),45949.0547214506)</f>
        <v>45949.05472</v>
      </c>
      <c r="S2125" s="1" t="b">
        <f>IFERROR(__xludf.DUMMYFUNCTION("""COMPUTED_VALUE"""),TRUE)</f>
        <v>1</v>
      </c>
      <c r="T2125" s="1" t="b">
        <f>IFERROR(__xludf.DUMMYFUNCTION("""COMPUTED_VALUE"""),FALSE)</f>
        <v>0</v>
      </c>
      <c r="U2125" s="1" t="str">
        <f>IFERROR(__xludf.DUMMYFUNCTION("""COMPUTED_VALUE"""),"VALID")</f>
        <v>VALID</v>
      </c>
      <c r="V2125" s="1">
        <f>IFERROR(__xludf.DUMMYFUNCTION("""COMPUTED_VALUE"""),852.0)</f>
        <v>852</v>
      </c>
      <c r="W2125" s="1">
        <f>IFERROR(__xludf.DUMMYFUNCTION("""COMPUTED_VALUE"""),1604.0)</f>
        <v>1604</v>
      </c>
      <c r="X2125" s="1">
        <f>IFERROR(__xludf.DUMMYFUNCTION("""COMPUTED_VALUE"""),1521.0)</f>
        <v>1521</v>
      </c>
      <c r="Y2125" s="2"/>
      <c r="Z2125" s="2"/>
    </row>
    <row r="2126">
      <c r="A2126" s="1">
        <f>IFERROR(__xludf.DUMMYFUNCTION("""COMPUTED_VALUE"""),2125.0)</f>
        <v>2125</v>
      </c>
      <c r="B2126" s="1">
        <f>IFERROR(__xludf.DUMMYFUNCTION("""COMPUTED_VALUE"""),5757.0)</f>
        <v>5757</v>
      </c>
      <c r="C2126" s="2" t="str">
        <f>IFERROR(__xludf.DUMMYFUNCTION("""COMPUTED_VALUE"""),"Yupi")</f>
        <v>Yupi</v>
      </c>
      <c r="D2126" s="2" t="str">
        <f>IFERROR(__xludf.DUMMYFUNCTION("""COMPUTED_VALUE"""),"5KM OVERALL M")</f>
        <v>5KM OVERALL M</v>
      </c>
      <c r="E2126" s="1">
        <f>IFERROR(__xludf.DUMMYFUNCTION("""COMPUTED_VALUE"""),2.0)</f>
        <v>2</v>
      </c>
      <c r="F2126" s="1" t="str">
        <f>IFERROR(__xludf.DUMMYFUNCTION("""COMPUTED_VALUE"""),"Male")</f>
        <v>Male</v>
      </c>
      <c r="G2126" s="4" t="b">
        <f>IFERROR(__xludf.DUMMYFUNCTION("""COMPUTED_VALUE"""),TRUE)</f>
        <v>1</v>
      </c>
      <c r="H2126" s="4" t="b">
        <f>IFERROR(__xludf.DUMMYFUNCTION("""COMPUTED_VALUE"""),FALSE)</f>
        <v>0</v>
      </c>
      <c r="I2126" s="4">
        <f>IFERROR(__xludf.DUMMYFUNCTION("""COMPUTED_VALUE"""),0.2549440625)</f>
        <v>0.2549440625</v>
      </c>
      <c r="J2126" s="4">
        <f>IFERROR(__xludf.DUMMYFUNCTION("""COMPUTED_VALUE"""),45949.27318641294)</f>
        <v>45949.27319</v>
      </c>
      <c r="K2126" s="4" t="str">
        <f>IFERROR(__xludf.DUMMYFUNCTION("""COMPUTED_VALUE"""),"")</f>
        <v/>
      </c>
      <c r="L2126" s="4">
        <f>IFERROR(__xludf.DUMMYFUNCTION("""COMPUTED_VALUE"""),45949.28784184464)</f>
        <v>45949.28784</v>
      </c>
      <c r="M2126" s="1" t="str">
        <f>IFERROR(__xludf.DUMMYFUNCTION("""COMPUTED_VALUE"""),"RFID")</f>
        <v>RFID</v>
      </c>
      <c r="N2126" s="5">
        <f>IFERROR(__xludf.DUMMYFUNCTION("""COMPUTED_VALUE"""),0.007296939814814813)</f>
        <v>0.007296939815</v>
      </c>
      <c r="O2126" s="5" t="str">
        <f>IFERROR(__xludf.DUMMYFUNCTION("""COMPUTED_VALUE"""),"")</f>
        <v/>
      </c>
      <c r="P2126" s="5" t="str">
        <f>IFERROR(__xludf.DUMMYFUNCTION("""COMPUTED_VALUE"""),"")</f>
        <v/>
      </c>
      <c r="Q2126" s="5">
        <f>IFERROR(__xludf.DUMMYFUNCTION("""COMPUTED_VALUE"""),0.0065795555555555555)</f>
        <v>0.006579555556</v>
      </c>
      <c r="R2126" s="4">
        <f>IFERROR(__xludf.DUMMYFUNCTION("""COMPUTED_VALUE"""),45949.03289778214)</f>
        <v>45949.0329</v>
      </c>
      <c r="S2126" s="1" t="b">
        <f>IFERROR(__xludf.DUMMYFUNCTION("""COMPUTED_VALUE"""),TRUE)</f>
        <v>1</v>
      </c>
      <c r="T2126" s="1" t="b">
        <f>IFERROR(__xludf.DUMMYFUNCTION("""COMPUTED_VALUE"""),FALSE)</f>
        <v>0</v>
      </c>
      <c r="U2126" s="1" t="str">
        <f>IFERROR(__xludf.DUMMYFUNCTION("""COMPUTED_VALUE"""),"VALID")</f>
        <v>VALID</v>
      </c>
      <c r="V2126" s="1">
        <f>IFERROR(__xludf.DUMMYFUNCTION("""COMPUTED_VALUE"""),490.0)</f>
        <v>490</v>
      </c>
      <c r="W2126" s="1">
        <f>IFERROR(__xludf.DUMMYFUNCTION("""COMPUTED_VALUE"""),767.0)</f>
        <v>767</v>
      </c>
      <c r="X2126" s="1">
        <f>IFERROR(__xludf.DUMMYFUNCTION("""COMPUTED_VALUE"""),634.0)</f>
        <v>634</v>
      </c>
      <c r="Y2126" s="2"/>
      <c r="Z2126" s="2"/>
    </row>
    <row r="2127">
      <c r="A2127" s="1">
        <f>IFERROR(__xludf.DUMMYFUNCTION("""COMPUTED_VALUE"""),2126.0)</f>
        <v>2126</v>
      </c>
      <c r="B2127" s="1">
        <f>IFERROR(__xludf.DUMMYFUNCTION("""COMPUTED_VALUE"""),5759.0)</f>
        <v>5759</v>
      </c>
      <c r="C2127" s="2" t="str">
        <f>IFERROR(__xludf.DUMMYFUNCTION("""COMPUTED_VALUE"""),"Daeng21")</f>
        <v>Daeng21</v>
      </c>
      <c r="D2127" s="2" t="str">
        <f>IFERROR(__xludf.DUMMYFUNCTION("""COMPUTED_VALUE"""),"5KM OVERALL M")</f>
        <v>5KM OVERALL M</v>
      </c>
      <c r="E2127" s="1">
        <f>IFERROR(__xludf.DUMMYFUNCTION("""COMPUTED_VALUE"""),2.0)</f>
        <v>2</v>
      </c>
      <c r="F2127" s="1" t="str">
        <f>IFERROR(__xludf.DUMMYFUNCTION("""COMPUTED_VALUE"""),"Male")</f>
        <v>Male</v>
      </c>
      <c r="G2127" s="4" t="b">
        <f>IFERROR(__xludf.DUMMYFUNCTION("""COMPUTED_VALUE"""),TRUE)</f>
        <v>1</v>
      </c>
      <c r="H2127" s="4" t="b">
        <f>IFERROR(__xludf.DUMMYFUNCTION("""COMPUTED_VALUE"""),FALSE)</f>
        <v>0</v>
      </c>
      <c r="I2127" s="4">
        <f>IFERROR(__xludf.DUMMYFUNCTION("""COMPUTED_VALUE"""),0.2549440625)</f>
        <v>0.2549440625</v>
      </c>
      <c r="J2127" s="4">
        <f>IFERROR(__xludf.DUMMYFUNCTION("""COMPUTED_VALUE"""),45949.273655164274)</f>
        <v>45949.27366</v>
      </c>
      <c r="K2127" s="4" t="str">
        <f>IFERROR(__xludf.DUMMYFUNCTION("""COMPUTED_VALUE"""),"")</f>
        <v/>
      </c>
      <c r="L2127" s="4">
        <f>IFERROR(__xludf.DUMMYFUNCTION("""COMPUTED_VALUE"""),45949.28717864391)</f>
        <v>45949.28718</v>
      </c>
      <c r="M2127" s="1" t="str">
        <f>IFERROR(__xludf.DUMMYFUNCTION("""COMPUTED_VALUE"""),"RFID")</f>
        <v>RFID</v>
      </c>
      <c r="N2127" s="5">
        <f>IFERROR(__xludf.DUMMYFUNCTION("""COMPUTED_VALUE"""),0.0074844398148148136)</f>
        <v>0.007484439815</v>
      </c>
      <c r="O2127" s="5" t="str">
        <f>IFERROR(__xludf.DUMMYFUNCTION("""COMPUTED_VALUE"""),"")</f>
        <v/>
      </c>
      <c r="P2127" s="5" t="str">
        <f>IFERROR(__xludf.DUMMYFUNCTION("""COMPUTED_VALUE"""),"")</f>
        <v/>
      </c>
      <c r="Q2127" s="5">
        <f>IFERROR(__xludf.DUMMYFUNCTION("""COMPUTED_VALUE"""),0.006446916666666668)</f>
        <v>0.006446916667</v>
      </c>
      <c r="R2127" s="4">
        <f>IFERROR(__xludf.DUMMYFUNCTION("""COMPUTED_VALUE"""),45949.032234581406)</f>
        <v>45949.03223</v>
      </c>
      <c r="S2127" s="1" t="b">
        <f>IFERROR(__xludf.DUMMYFUNCTION("""COMPUTED_VALUE"""),TRUE)</f>
        <v>1</v>
      </c>
      <c r="T2127" s="1" t="b">
        <f>IFERROR(__xludf.DUMMYFUNCTION("""COMPUTED_VALUE"""),FALSE)</f>
        <v>0</v>
      </c>
      <c r="U2127" s="1" t="str">
        <f>IFERROR(__xludf.DUMMYFUNCTION("""COMPUTED_VALUE"""),"VALID")</f>
        <v>VALID</v>
      </c>
      <c r="V2127" s="1">
        <f>IFERROR(__xludf.DUMMYFUNCTION("""COMPUTED_VALUE"""),463.0)</f>
        <v>463</v>
      </c>
      <c r="W2127" s="1">
        <f>IFERROR(__xludf.DUMMYFUNCTION("""COMPUTED_VALUE"""),716.0)</f>
        <v>716</v>
      </c>
      <c r="X2127" s="1">
        <f>IFERROR(__xludf.DUMMYFUNCTION("""COMPUTED_VALUE"""),602.0)</f>
        <v>602</v>
      </c>
      <c r="Y2127" s="2"/>
      <c r="Z2127" s="2"/>
    </row>
    <row r="2128">
      <c r="A2128" s="1">
        <f>IFERROR(__xludf.DUMMYFUNCTION("""COMPUTED_VALUE"""),2127.0)</f>
        <v>2127</v>
      </c>
      <c r="B2128" s="1">
        <f>IFERROR(__xludf.DUMMYFUNCTION("""COMPUTED_VALUE"""),5760.0)</f>
        <v>5760</v>
      </c>
      <c r="C2128" s="2" t="str">
        <f>IFERROR(__xludf.DUMMYFUNCTION("""COMPUTED_VALUE"""),"Abay")</f>
        <v>Abay</v>
      </c>
      <c r="D2128" s="2" t="str">
        <f>IFERROR(__xludf.DUMMYFUNCTION("""COMPUTED_VALUE"""),"5KM OVERALL M")</f>
        <v>5KM OVERALL M</v>
      </c>
      <c r="E2128" s="1">
        <f>IFERROR(__xludf.DUMMYFUNCTION("""COMPUTED_VALUE"""),2.0)</f>
        <v>2</v>
      </c>
      <c r="F2128" s="1" t="str">
        <f>IFERROR(__xludf.DUMMYFUNCTION("""COMPUTED_VALUE"""),"Male")</f>
        <v>Male</v>
      </c>
      <c r="G2128" s="4" t="b">
        <f>IFERROR(__xludf.DUMMYFUNCTION("""COMPUTED_VALUE"""),TRUE)</f>
        <v>1</v>
      </c>
      <c r="H2128" s="4" t="b">
        <f>IFERROR(__xludf.DUMMYFUNCTION("""COMPUTED_VALUE"""),TRUE)</f>
        <v>1</v>
      </c>
      <c r="I2128" s="4">
        <f>IFERROR(__xludf.DUMMYFUNCTION("""COMPUTED_VALUE"""),0.2549440625)</f>
        <v>0.2549440625</v>
      </c>
      <c r="J2128" s="4">
        <f>IFERROR(__xludf.DUMMYFUNCTION("""COMPUTED_VALUE"""),45949.2789260003)</f>
        <v>45949.27893</v>
      </c>
      <c r="K2128" s="4" t="str">
        <f>IFERROR(__xludf.DUMMYFUNCTION("""COMPUTED_VALUE"""),"")</f>
        <v/>
      </c>
      <c r="L2128" s="4">
        <f>IFERROR(__xludf.DUMMYFUNCTION("""COMPUTED_VALUE"""),45949.294671703356)</f>
        <v>45949.29467</v>
      </c>
      <c r="M2128" s="1" t="str">
        <f>IFERROR(__xludf.DUMMYFUNCTION("""COMPUTED_VALUE"""),"RFID")</f>
        <v>RFID</v>
      </c>
      <c r="N2128" s="5">
        <f>IFERROR(__xludf.DUMMYFUNCTION("""COMPUTED_VALUE"""),0.009592773148148149)</f>
        <v>0.009592773148</v>
      </c>
      <c r="O2128" s="5" t="str">
        <f>IFERROR(__xludf.DUMMYFUNCTION("""COMPUTED_VALUE"""),"")</f>
        <v/>
      </c>
      <c r="P2128" s="5" t="str">
        <f>IFERROR(__xludf.DUMMYFUNCTION("""COMPUTED_VALUE"""),"")</f>
        <v/>
      </c>
      <c r="Q2128" s="5">
        <f>IFERROR(__xludf.DUMMYFUNCTION("""COMPUTED_VALUE"""),0.007945527777777777)</f>
        <v>0.007945527778</v>
      </c>
      <c r="R2128" s="4">
        <f>IFERROR(__xludf.DUMMYFUNCTION("""COMPUTED_VALUE"""),45949.039727640855)</f>
        <v>45949.03973</v>
      </c>
      <c r="S2128" s="1" t="b">
        <f>IFERROR(__xludf.DUMMYFUNCTION("""COMPUTED_VALUE"""),TRUE)</f>
        <v>1</v>
      </c>
      <c r="T2128" s="1" t="b">
        <f>IFERROR(__xludf.DUMMYFUNCTION("""COMPUTED_VALUE"""),FALSE)</f>
        <v>0</v>
      </c>
      <c r="U2128" s="1" t="str">
        <f>IFERROR(__xludf.DUMMYFUNCTION("""COMPUTED_VALUE"""),"VALID")</f>
        <v>VALID</v>
      </c>
      <c r="V2128" s="1">
        <f>IFERROR(__xludf.DUMMYFUNCTION("""COMPUTED_VALUE"""),709.0)</f>
        <v>709</v>
      </c>
      <c r="W2128" s="1">
        <f>IFERROR(__xludf.DUMMYFUNCTION("""COMPUTED_VALUE"""),1230.0)</f>
        <v>1230</v>
      </c>
      <c r="X2128" s="1">
        <f>IFERROR(__xludf.DUMMYFUNCTION("""COMPUTED_VALUE"""),967.0)</f>
        <v>967</v>
      </c>
      <c r="Y2128" s="2"/>
      <c r="Z2128" s="2"/>
    </row>
    <row r="2129">
      <c r="A2129" s="1">
        <f>IFERROR(__xludf.DUMMYFUNCTION("""COMPUTED_VALUE"""),2128.0)</f>
        <v>2128</v>
      </c>
      <c r="B2129" s="1">
        <f>IFERROR(__xludf.DUMMYFUNCTION("""COMPUTED_VALUE"""),5762.0)</f>
        <v>5762</v>
      </c>
      <c r="C2129" s="2" t="str">
        <f>IFERROR(__xludf.DUMMYFUNCTION("""COMPUTED_VALUE"""),"Riduan")</f>
        <v>Riduan</v>
      </c>
      <c r="D2129" s="2" t="str">
        <f>IFERROR(__xludf.DUMMYFUNCTION("""COMPUTED_VALUE"""),"5KM OVERALL M")</f>
        <v>5KM OVERALL M</v>
      </c>
      <c r="E2129" s="1">
        <f>IFERROR(__xludf.DUMMYFUNCTION("""COMPUTED_VALUE"""),2.0)</f>
        <v>2</v>
      </c>
      <c r="F2129" s="1" t="str">
        <f>IFERROR(__xludf.DUMMYFUNCTION("""COMPUTED_VALUE"""),"Male")</f>
        <v>Male</v>
      </c>
      <c r="G2129" s="4" t="b">
        <f>IFERROR(__xludf.DUMMYFUNCTION("""COMPUTED_VALUE"""),TRUE)</f>
        <v>1</v>
      </c>
      <c r="H2129" s="4" t="b">
        <f>IFERROR(__xludf.DUMMYFUNCTION("""COMPUTED_VALUE"""),FALSE)</f>
        <v>0</v>
      </c>
      <c r="I2129" s="4">
        <f>IFERROR(__xludf.DUMMYFUNCTION("""COMPUTED_VALUE"""),0.2549440625)</f>
        <v>0.2549440625</v>
      </c>
      <c r="J2129" s="4">
        <f>IFERROR(__xludf.DUMMYFUNCTION("""COMPUTED_VALUE"""),45949.26596420298)</f>
        <v>45949.26596</v>
      </c>
      <c r="K2129" s="4" t="str">
        <f>IFERROR(__xludf.DUMMYFUNCTION("""COMPUTED_VALUE"""),"")</f>
        <v/>
      </c>
      <c r="L2129" s="4">
        <f>IFERROR(__xludf.DUMMYFUNCTION("""COMPUTED_VALUE"""),45949.273595315026)</f>
        <v>45949.2736</v>
      </c>
      <c r="M2129" s="1" t="str">
        <f>IFERROR(__xludf.DUMMYFUNCTION("""COMPUTED_VALUE"""),"RFID")</f>
        <v>RFID</v>
      </c>
      <c r="N2129" s="5">
        <f>IFERROR(__xludf.DUMMYFUNCTION("""COMPUTED_VALUE"""),0.004408055555555556)</f>
        <v>0.004408055556</v>
      </c>
      <c r="O2129" s="5" t="str">
        <f>IFERROR(__xludf.DUMMYFUNCTION("""COMPUTED_VALUE"""),"")</f>
        <v/>
      </c>
      <c r="P2129" s="5" t="str">
        <f>IFERROR(__xludf.DUMMYFUNCTION("""COMPUTED_VALUE"""),"")</f>
        <v/>
      </c>
      <c r="Q2129" s="5">
        <f>IFERROR(__xludf.DUMMYFUNCTION("""COMPUTED_VALUE"""),0.00373025)</f>
        <v>0.00373025</v>
      </c>
      <c r="R2129" s="4">
        <f>IFERROR(__xludf.DUMMYFUNCTION("""COMPUTED_VALUE"""),45949.018651252525)</f>
        <v>45949.01865</v>
      </c>
      <c r="S2129" s="1" t="b">
        <f>IFERROR(__xludf.DUMMYFUNCTION("""COMPUTED_VALUE"""),TRUE)</f>
        <v>1</v>
      </c>
      <c r="T2129" s="1" t="b">
        <f>IFERROR(__xludf.DUMMYFUNCTION("""COMPUTED_VALUE"""),FALSE)</f>
        <v>0</v>
      </c>
      <c r="U2129" s="1" t="str">
        <f>IFERROR(__xludf.DUMMYFUNCTION("""COMPUTED_VALUE"""),"VALID")</f>
        <v>VALID</v>
      </c>
      <c r="V2129" s="1">
        <f>IFERROR(__xludf.DUMMYFUNCTION("""COMPUTED_VALUE"""),50.0)</f>
        <v>50</v>
      </c>
      <c r="W2129" s="1">
        <f>IFERROR(__xludf.DUMMYFUNCTION("""COMPUTED_VALUE"""),74.0)</f>
        <v>74</v>
      </c>
      <c r="X2129" s="1">
        <f>IFERROR(__xludf.DUMMYFUNCTION("""COMPUTED_VALUE"""),68.0)</f>
        <v>68</v>
      </c>
      <c r="Y2129" s="2"/>
      <c r="Z2129" s="2"/>
    </row>
    <row r="2130">
      <c r="A2130" s="1">
        <f>IFERROR(__xludf.DUMMYFUNCTION("""COMPUTED_VALUE"""),2129.0)</f>
        <v>2129</v>
      </c>
      <c r="B2130" s="1">
        <f>IFERROR(__xludf.DUMMYFUNCTION("""COMPUTED_VALUE"""),5763.0)</f>
        <v>5763</v>
      </c>
      <c r="C2130" s="2" t="str">
        <f>IFERROR(__xludf.DUMMYFUNCTION("""COMPUTED_VALUE"""),"Kolfi H.")</f>
        <v>Kolfi H.</v>
      </c>
      <c r="D2130" s="2" t="str">
        <f>IFERROR(__xludf.DUMMYFUNCTION("""COMPUTED_VALUE"""),"5KM OVERALL M")</f>
        <v>5KM OVERALL M</v>
      </c>
      <c r="E2130" s="1">
        <f>IFERROR(__xludf.DUMMYFUNCTION("""COMPUTED_VALUE"""),2.0)</f>
        <v>2</v>
      </c>
      <c r="F2130" s="1" t="str">
        <f>IFERROR(__xludf.DUMMYFUNCTION("""COMPUTED_VALUE"""),"Male")</f>
        <v>Male</v>
      </c>
      <c r="G2130" s="4" t="b">
        <f>IFERROR(__xludf.DUMMYFUNCTION("""COMPUTED_VALUE"""),TRUE)</f>
        <v>1</v>
      </c>
      <c r="H2130" s="4" t="b">
        <f>IFERROR(__xludf.DUMMYFUNCTION("""COMPUTED_VALUE"""),FALSE)</f>
        <v>0</v>
      </c>
      <c r="I2130" s="4">
        <f>IFERROR(__xludf.DUMMYFUNCTION("""COMPUTED_VALUE"""),0.2549440625)</f>
        <v>0.2549440625</v>
      </c>
      <c r="J2130" s="4">
        <f>IFERROR(__xludf.DUMMYFUNCTION("""COMPUTED_VALUE"""),45949.27811697985)</f>
        <v>45949.27812</v>
      </c>
      <c r="K2130" s="4" t="str">
        <f>IFERROR(__xludf.DUMMYFUNCTION("""COMPUTED_VALUE"""),"")</f>
        <v/>
      </c>
      <c r="L2130" s="4">
        <f>IFERROR(__xludf.DUMMYFUNCTION("""COMPUTED_VALUE"""),45949.295654630565)</f>
        <v>45949.29565</v>
      </c>
      <c r="M2130" s="1" t="str">
        <f>IFERROR(__xludf.DUMMYFUNCTION("""COMPUTED_VALUE"""),"RFID")</f>
        <v>RFID</v>
      </c>
      <c r="N2130" s="5">
        <f>IFERROR(__xludf.DUMMYFUNCTION("""COMPUTED_VALUE"""),0.009269166666666667)</f>
        <v>0.009269166667</v>
      </c>
      <c r="O2130" s="5" t="str">
        <f>IFERROR(__xludf.DUMMYFUNCTION("""COMPUTED_VALUE"""),"")</f>
        <v/>
      </c>
      <c r="P2130" s="5" t="str">
        <f>IFERROR(__xludf.DUMMYFUNCTION("""COMPUTED_VALUE"""),"")</f>
        <v/>
      </c>
      <c r="Q2130" s="5">
        <f>IFERROR(__xludf.DUMMYFUNCTION("""COMPUTED_VALUE"""),0.008142113425925926)</f>
        <v>0.008142113426</v>
      </c>
      <c r="R2130" s="4">
        <f>IFERROR(__xludf.DUMMYFUNCTION("""COMPUTED_VALUE"""),45949.040710568064)</f>
        <v>45949.04071</v>
      </c>
      <c r="S2130" s="1" t="b">
        <f>IFERROR(__xludf.DUMMYFUNCTION("""COMPUTED_VALUE"""),TRUE)</f>
        <v>1</v>
      </c>
      <c r="T2130" s="1" t="b">
        <f>IFERROR(__xludf.DUMMYFUNCTION("""COMPUTED_VALUE"""),FALSE)</f>
        <v>0</v>
      </c>
      <c r="U2130" s="1" t="str">
        <f>IFERROR(__xludf.DUMMYFUNCTION("""COMPUTED_VALUE"""),"VALID")</f>
        <v>VALID</v>
      </c>
      <c r="V2130" s="1">
        <f>IFERROR(__xludf.DUMMYFUNCTION("""COMPUTED_VALUE"""),731.0)</f>
        <v>731</v>
      </c>
      <c r="W2130" s="1">
        <f>IFERROR(__xludf.DUMMYFUNCTION("""COMPUTED_VALUE"""),1277.0)</f>
        <v>1277</v>
      </c>
      <c r="X2130" s="1">
        <f>IFERROR(__xludf.DUMMYFUNCTION("""COMPUTED_VALUE"""),1011.0)</f>
        <v>1011</v>
      </c>
      <c r="Y2130" s="2"/>
      <c r="Z2130" s="2"/>
    </row>
    <row r="2131">
      <c r="A2131" s="1">
        <f>IFERROR(__xludf.DUMMYFUNCTION("""COMPUTED_VALUE"""),2130.0)</f>
        <v>2130</v>
      </c>
      <c r="B2131" s="1">
        <f>IFERROR(__xludf.DUMMYFUNCTION("""COMPUTED_VALUE"""),5764.0)</f>
        <v>5764</v>
      </c>
      <c r="C2131" s="2" t="str">
        <f>IFERROR(__xludf.DUMMYFUNCTION("""COMPUTED_VALUE"""),"Eza")</f>
        <v>Eza</v>
      </c>
      <c r="D2131" s="2" t="str">
        <f>IFERROR(__xludf.DUMMYFUNCTION("""COMPUTED_VALUE"""),"5KM OVERALL M")</f>
        <v>5KM OVERALL M</v>
      </c>
      <c r="E2131" s="1">
        <f>IFERROR(__xludf.DUMMYFUNCTION("""COMPUTED_VALUE"""),2.0)</f>
        <v>2</v>
      </c>
      <c r="F2131" s="1" t="str">
        <f>IFERROR(__xludf.DUMMYFUNCTION("""COMPUTED_VALUE"""),"Male")</f>
        <v>Male</v>
      </c>
      <c r="G2131" s="4" t="b">
        <f>IFERROR(__xludf.DUMMYFUNCTION("""COMPUTED_VALUE"""),TRUE)</f>
        <v>1</v>
      </c>
      <c r="H2131" s="4" t="b">
        <f>IFERROR(__xludf.DUMMYFUNCTION("""COMPUTED_VALUE"""),TRUE)</f>
        <v>1</v>
      </c>
      <c r="I2131" s="4">
        <f>IFERROR(__xludf.DUMMYFUNCTION("""COMPUTED_VALUE"""),0.2549440625)</f>
        <v>0.2549440625</v>
      </c>
      <c r="J2131" s="4">
        <f>IFERROR(__xludf.DUMMYFUNCTION("""COMPUTED_VALUE"""),45949.26403711287)</f>
        <v>45949.26404</v>
      </c>
      <c r="K2131" s="4" t="str">
        <f>IFERROR(__xludf.DUMMYFUNCTION("""COMPUTED_VALUE"""),"")</f>
        <v/>
      </c>
      <c r="L2131" s="4">
        <f>IFERROR(__xludf.DUMMYFUNCTION("""COMPUTED_VALUE"""),45949.27240781555)</f>
        <v>45949.27241</v>
      </c>
      <c r="M2131" s="1" t="str">
        <f>IFERROR(__xludf.DUMMYFUNCTION("""COMPUTED_VALUE"""),"RFID")</f>
        <v>RFID</v>
      </c>
      <c r="N2131" s="5">
        <f>IFERROR(__xludf.DUMMYFUNCTION("""COMPUTED_VALUE"""),0.0036372222222222222)</f>
        <v>0.003637222222</v>
      </c>
      <c r="O2131" s="5" t="str">
        <f>IFERROR(__xludf.DUMMYFUNCTION("""COMPUTED_VALUE"""),"")</f>
        <v/>
      </c>
      <c r="P2131" s="5" t="str">
        <f>IFERROR(__xludf.DUMMYFUNCTION("""COMPUTED_VALUE"""),"")</f>
        <v/>
      </c>
      <c r="Q2131" s="5">
        <f>IFERROR(__xludf.DUMMYFUNCTION("""COMPUTED_VALUE"""),0.00349275)</f>
        <v>0.00349275</v>
      </c>
      <c r="R2131" s="4">
        <f>IFERROR(__xludf.DUMMYFUNCTION("""COMPUTED_VALUE"""),45949.01746375305)</f>
        <v>45949.01746</v>
      </c>
      <c r="S2131" s="1" t="b">
        <f>IFERROR(__xludf.DUMMYFUNCTION("""COMPUTED_VALUE"""),TRUE)</f>
        <v>1</v>
      </c>
      <c r="T2131" s="1" t="b">
        <f>IFERROR(__xludf.DUMMYFUNCTION("""COMPUTED_VALUE"""),FALSE)</f>
        <v>0</v>
      </c>
      <c r="U2131" s="1" t="str">
        <f>IFERROR(__xludf.DUMMYFUNCTION("""COMPUTED_VALUE"""),"VALID")</f>
        <v>VALID</v>
      </c>
      <c r="V2131" s="1">
        <f>IFERROR(__xludf.DUMMYFUNCTION("""COMPUTED_VALUE"""),29.0)</f>
        <v>29</v>
      </c>
      <c r="W2131" s="1">
        <f>IFERROR(__xludf.DUMMYFUNCTION("""COMPUTED_VALUE"""),44.0)</f>
        <v>44</v>
      </c>
      <c r="X2131" s="1">
        <f>IFERROR(__xludf.DUMMYFUNCTION("""COMPUTED_VALUE"""),42.0)</f>
        <v>42</v>
      </c>
      <c r="Y2131" s="2"/>
      <c r="Z2131" s="2"/>
    </row>
    <row r="2132">
      <c r="A2132" s="1">
        <f>IFERROR(__xludf.DUMMYFUNCTION("""COMPUTED_VALUE"""),2131.0)</f>
        <v>2131</v>
      </c>
      <c r="B2132" s="1">
        <f>IFERROR(__xludf.DUMMYFUNCTION("""COMPUTED_VALUE"""),5766.0)</f>
        <v>5766</v>
      </c>
      <c r="C2132" s="2" t="str">
        <f>IFERROR(__xludf.DUMMYFUNCTION("""COMPUTED_VALUE"""),"Rahman")</f>
        <v>Rahman</v>
      </c>
      <c r="D2132" s="2" t="str">
        <f>IFERROR(__xludf.DUMMYFUNCTION("""COMPUTED_VALUE"""),"5KM OVERALL M")</f>
        <v>5KM OVERALL M</v>
      </c>
      <c r="E2132" s="1">
        <f>IFERROR(__xludf.DUMMYFUNCTION("""COMPUTED_VALUE"""),2.0)</f>
        <v>2</v>
      </c>
      <c r="F2132" s="1" t="str">
        <f>IFERROR(__xludf.DUMMYFUNCTION("""COMPUTED_VALUE"""),"Male")</f>
        <v>Male</v>
      </c>
      <c r="G2132" s="4" t="str">
        <f>IFERROR(__xludf.DUMMYFUNCTION("""COMPUTED_VALUE"""),"")</f>
        <v/>
      </c>
      <c r="H2132" s="4" t="b">
        <f>IFERROR(__xludf.DUMMYFUNCTION("""COMPUTED_VALUE"""),FALSE)</f>
        <v>0</v>
      </c>
      <c r="I2132" s="4">
        <f>IFERROR(__xludf.DUMMYFUNCTION("""COMPUTED_VALUE"""),0.2549440625)</f>
        <v>0.2549440625</v>
      </c>
      <c r="J2132" s="4" t="str">
        <f>IFERROR(__xludf.DUMMYFUNCTION("""COMPUTED_VALUE"""),"")</f>
        <v/>
      </c>
      <c r="K2132" s="4" t="str">
        <f>IFERROR(__xludf.DUMMYFUNCTION("""COMPUTED_VALUE"""),"")</f>
        <v/>
      </c>
      <c r="L2132" s="4" t="str">
        <f>IFERROR(__xludf.DUMMYFUNCTION("""COMPUTED_VALUE"""),"")</f>
        <v/>
      </c>
      <c r="M2132" s="1" t="str">
        <f>IFERROR(__xludf.DUMMYFUNCTION("""COMPUTED_VALUE"""),"RFID")</f>
        <v>RFID</v>
      </c>
      <c r="N2132" s="5" t="str">
        <f>IFERROR(__xludf.DUMMYFUNCTION("""COMPUTED_VALUE"""),"")</f>
        <v/>
      </c>
      <c r="O2132" s="5" t="str">
        <f>IFERROR(__xludf.DUMMYFUNCTION("""COMPUTED_VALUE"""),"")</f>
        <v/>
      </c>
      <c r="P2132" s="5" t="str">
        <f>IFERROR(__xludf.DUMMYFUNCTION("""COMPUTED_VALUE"""),"")</f>
        <v/>
      </c>
      <c r="Q2132" s="5" t="str">
        <f>IFERROR(__xludf.DUMMYFUNCTION("""COMPUTED_VALUE"""),"")</f>
        <v/>
      </c>
      <c r="R2132" s="4" t="str">
        <f>IFERROR(__xludf.DUMMYFUNCTION("""COMPUTED_VALUE"""),"")</f>
        <v/>
      </c>
      <c r="S2132" s="1" t="b">
        <f>IFERROR(__xludf.DUMMYFUNCTION("""COMPUTED_VALUE"""),FALSE)</f>
        <v>0</v>
      </c>
      <c r="T2132" s="1" t="b">
        <f>IFERROR(__xludf.DUMMYFUNCTION("""COMPUTED_VALUE"""),FALSE)</f>
        <v>0</v>
      </c>
      <c r="U2132" s="1" t="str">
        <f>IFERROR(__xludf.DUMMYFUNCTION("""COMPUTED_VALUE"""),"DSQ")</f>
        <v>DSQ</v>
      </c>
      <c r="V2132" s="1" t="str">
        <f>IFERROR(__xludf.DUMMYFUNCTION("""COMPUTED_VALUE"""),"DSQ")</f>
        <v>DSQ</v>
      </c>
      <c r="W2132" s="1" t="str">
        <f>IFERROR(__xludf.DUMMYFUNCTION("""COMPUTED_VALUE"""),"DSQ")</f>
        <v>DSQ</v>
      </c>
      <c r="X2132" s="1" t="str">
        <f>IFERROR(__xludf.DUMMYFUNCTION("""COMPUTED_VALUE"""),"DSQ")</f>
        <v>DSQ</v>
      </c>
      <c r="Y2132" s="2"/>
      <c r="Z2132" s="2" t="str">
        <f>IFERROR(__xludf.DUMMYFUNCTION("""COMPUTED_VALUE"""),"")</f>
        <v/>
      </c>
    </row>
    <row r="2133">
      <c r="A2133" s="1">
        <f>IFERROR(__xludf.DUMMYFUNCTION("""COMPUTED_VALUE"""),2132.0)</f>
        <v>2132</v>
      </c>
      <c r="B2133" s="1">
        <f>IFERROR(__xludf.DUMMYFUNCTION("""COMPUTED_VALUE"""),5767.0)</f>
        <v>5767</v>
      </c>
      <c r="C2133" s="2" t="str">
        <f>IFERROR(__xludf.DUMMYFUNCTION("""COMPUTED_VALUE"""),"Aditya")</f>
        <v>Aditya</v>
      </c>
      <c r="D2133" s="2" t="str">
        <f>IFERROR(__xludf.DUMMYFUNCTION("""COMPUTED_VALUE"""),"5KM OVERALL M")</f>
        <v>5KM OVERALL M</v>
      </c>
      <c r="E2133" s="1">
        <f>IFERROR(__xludf.DUMMYFUNCTION("""COMPUTED_VALUE"""),2.0)</f>
        <v>2</v>
      </c>
      <c r="F2133" s="1" t="str">
        <f>IFERROR(__xludf.DUMMYFUNCTION("""COMPUTED_VALUE"""),"Male")</f>
        <v>Male</v>
      </c>
      <c r="G2133" s="4" t="str">
        <f>IFERROR(__xludf.DUMMYFUNCTION("""COMPUTED_VALUE"""),"")</f>
        <v/>
      </c>
      <c r="H2133" s="4" t="b">
        <f>IFERROR(__xludf.DUMMYFUNCTION("""COMPUTED_VALUE"""),FALSE)</f>
        <v>0</v>
      </c>
      <c r="I2133" s="4">
        <f>IFERROR(__xludf.DUMMYFUNCTION("""COMPUTED_VALUE"""),0.2549440625)</f>
        <v>0.2549440625</v>
      </c>
      <c r="J2133" s="4" t="str">
        <f>IFERROR(__xludf.DUMMYFUNCTION("""COMPUTED_VALUE"""),"")</f>
        <v/>
      </c>
      <c r="K2133" s="4" t="str">
        <f>IFERROR(__xludf.DUMMYFUNCTION("""COMPUTED_VALUE"""),"")</f>
        <v/>
      </c>
      <c r="L2133" s="4" t="str">
        <f>IFERROR(__xludf.DUMMYFUNCTION("""COMPUTED_VALUE"""),"")</f>
        <v/>
      </c>
      <c r="M2133" s="1" t="str">
        <f>IFERROR(__xludf.DUMMYFUNCTION("""COMPUTED_VALUE"""),"RFID")</f>
        <v>RFID</v>
      </c>
      <c r="N2133" s="5" t="str">
        <f>IFERROR(__xludf.DUMMYFUNCTION("""COMPUTED_VALUE"""),"")</f>
        <v/>
      </c>
      <c r="O2133" s="5" t="str">
        <f>IFERROR(__xludf.DUMMYFUNCTION("""COMPUTED_VALUE"""),"")</f>
        <v/>
      </c>
      <c r="P2133" s="5" t="str">
        <f>IFERROR(__xludf.DUMMYFUNCTION("""COMPUTED_VALUE"""),"")</f>
        <v/>
      </c>
      <c r="Q2133" s="5" t="str">
        <f>IFERROR(__xludf.DUMMYFUNCTION("""COMPUTED_VALUE"""),"")</f>
        <v/>
      </c>
      <c r="R2133" s="4" t="str">
        <f>IFERROR(__xludf.DUMMYFUNCTION("""COMPUTED_VALUE"""),"")</f>
        <v/>
      </c>
      <c r="S2133" s="1" t="b">
        <f>IFERROR(__xludf.DUMMYFUNCTION("""COMPUTED_VALUE"""),FALSE)</f>
        <v>0</v>
      </c>
      <c r="T2133" s="1" t="b">
        <f>IFERROR(__xludf.DUMMYFUNCTION("""COMPUTED_VALUE"""),FALSE)</f>
        <v>0</v>
      </c>
      <c r="U2133" s="1" t="str">
        <f>IFERROR(__xludf.DUMMYFUNCTION("""COMPUTED_VALUE"""),"DSQ")</f>
        <v>DSQ</v>
      </c>
      <c r="V2133" s="1" t="str">
        <f>IFERROR(__xludf.DUMMYFUNCTION("""COMPUTED_VALUE"""),"DSQ")</f>
        <v>DSQ</v>
      </c>
      <c r="W2133" s="1" t="str">
        <f>IFERROR(__xludf.DUMMYFUNCTION("""COMPUTED_VALUE"""),"DSQ")</f>
        <v>DSQ</v>
      </c>
      <c r="X2133" s="1" t="str">
        <f>IFERROR(__xludf.DUMMYFUNCTION("""COMPUTED_VALUE"""),"DSQ")</f>
        <v>DSQ</v>
      </c>
      <c r="Y2133" s="2"/>
      <c r="Z2133" s="2" t="str">
        <f>IFERROR(__xludf.DUMMYFUNCTION("""COMPUTED_VALUE"""),"")</f>
        <v/>
      </c>
    </row>
    <row r="2134">
      <c r="A2134" s="1">
        <f>IFERROR(__xludf.DUMMYFUNCTION("""COMPUTED_VALUE"""),2133.0)</f>
        <v>2133</v>
      </c>
      <c r="B2134" s="1">
        <f>IFERROR(__xludf.DUMMYFUNCTION("""COMPUTED_VALUE"""),5769.0)</f>
        <v>5769</v>
      </c>
      <c r="C2134" s="2" t="str">
        <f>IFERROR(__xludf.DUMMYFUNCTION("""COMPUTED_VALUE"""),"RIZA")</f>
        <v>RIZA</v>
      </c>
      <c r="D2134" s="2" t="str">
        <f>IFERROR(__xludf.DUMMYFUNCTION("""COMPUTED_VALUE"""),"5KM OVERALL M")</f>
        <v>5KM OVERALL M</v>
      </c>
      <c r="E2134" s="1">
        <f>IFERROR(__xludf.DUMMYFUNCTION("""COMPUTED_VALUE"""),2.0)</f>
        <v>2</v>
      </c>
      <c r="F2134" s="1" t="str">
        <f>IFERROR(__xludf.DUMMYFUNCTION("""COMPUTED_VALUE"""),"Male")</f>
        <v>Male</v>
      </c>
      <c r="G2134" s="4" t="b">
        <f>IFERROR(__xludf.DUMMYFUNCTION("""COMPUTED_VALUE"""),TRUE)</f>
        <v>1</v>
      </c>
      <c r="H2134" s="4" t="b">
        <f>IFERROR(__xludf.DUMMYFUNCTION("""COMPUTED_VALUE"""),FALSE)</f>
        <v>0</v>
      </c>
      <c r="I2134" s="4">
        <f>IFERROR(__xludf.DUMMYFUNCTION("""COMPUTED_VALUE"""),0.2549440625)</f>
        <v>0.2549440625</v>
      </c>
      <c r="J2134" s="4">
        <f>IFERROR(__xludf.DUMMYFUNCTION("""COMPUTED_VALUE"""),45949.26839479754)</f>
        <v>45949.26839</v>
      </c>
      <c r="K2134" s="4" t="str">
        <f>IFERROR(__xludf.DUMMYFUNCTION("""COMPUTED_VALUE"""),"")</f>
        <v/>
      </c>
      <c r="L2134" s="4">
        <f>IFERROR(__xludf.DUMMYFUNCTION("""COMPUTED_VALUE"""),45949.2789400568)</f>
        <v>45949.27894</v>
      </c>
      <c r="M2134" s="1" t="str">
        <f>IFERROR(__xludf.DUMMYFUNCTION("""COMPUTED_VALUE"""),"RFID")</f>
        <v>RFID</v>
      </c>
      <c r="N2134" s="5">
        <f>IFERROR(__xludf.DUMMYFUNCTION("""COMPUTED_VALUE"""),0.005380296296296296)</f>
        <v>0.005380296296</v>
      </c>
      <c r="O2134" s="5" t="str">
        <f>IFERROR(__xludf.DUMMYFUNCTION("""COMPUTED_VALUE"""),"")</f>
        <v/>
      </c>
      <c r="P2134" s="5" t="str">
        <f>IFERROR(__xludf.DUMMYFUNCTION("""COMPUTED_VALUE"""),"")</f>
        <v/>
      </c>
      <c r="Q2134" s="5">
        <f>IFERROR(__xludf.DUMMYFUNCTION("""COMPUTED_VALUE"""),0.004799199074074074)</f>
        <v>0.004799199074</v>
      </c>
      <c r="R2134" s="4">
        <f>IFERROR(__xludf.DUMMYFUNCTION("""COMPUTED_VALUE"""),45949.0239959943)</f>
        <v>45949.024</v>
      </c>
      <c r="S2134" s="1" t="b">
        <f>IFERROR(__xludf.DUMMYFUNCTION("""COMPUTED_VALUE"""),TRUE)</f>
        <v>1</v>
      </c>
      <c r="T2134" s="1" t="b">
        <f>IFERROR(__xludf.DUMMYFUNCTION("""COMPUTED_VALUE"""),FALSE)</f>
        <v>0</v>
      </c>
      <c r="U2134" s="1" t="str">
        <f>IFERROR(__xludf.DUMMYFUNCTION("""COMPUTED_VALUE"""),"VALID")</f>
        <v>VALID</v>
      </c>
      <c r="V2134" s="1">
        <f>IFERROR(__xludf.DUMMYFUNCTION("""COMPUTED_VALUE"""),162.0)</f>
        <v>162</v>
      </c>
      <c r="W2134" s="1">
        <f>IFERROR(__xludf.DUMMYFUNCTION("""COMPUTED_VALUE"""),248.0)</f>
        <v>248</v>
      </c>
      <c r="X2134" s="1">
        <f>IFERROR(__xludf.DUMMYFUNCTION("""COMPUTED_VALUE"""),217.0)</f>
        <v>217</v>
      </c>
      <c r="Y2134" s="2"/>
      <c r="Z2134" s="2"/>
    </row>
    <row r="2135">
      <c r="A2135" s="1">
        <f>IFERROR(__xludf.DUMMYFUNCTION("""COMPUTED_VALUE"""),2134.0)</f>
        <v>2134</v>
      </c>
      <c r="B2135" s="1">
        <f>IFERROR(__xludf.DUMMYFUNCTION("""COMPUTED_VALUE"""),5770.0)</f>
        <v>5770</v>
      </c>
      <c r="C2135" s="2" t="str">
        <f>IFERROR(__xludf.DUMMYFUNCTION("""COMPUTED_VALUE"""),"Depy")</f>
        <v>Depy</v>
      </c>
      <c r="D2135" s="2" t="str">
        <f>IFERROR(__xludf.DUMMYFUNCTION("""COMPUTED_VALUE"""),"5KM OVERALL M")</f>
        <v>5KM OVERALL M</v>
      </c>
      <c r="E2135" s="1">
        <f>IFERROR(__xludf.DUMMYFUNCTION("""COMPUTED_VALUE"""),2.0)</f>
        <v>2</v>
      </c>
      <c r="F2135" s="1" t="str">
        <f>IFERROR(__xludf.DUMMYFUNCTION("""COMPUTED_VALUE"""),"Male")</f>
        <v>Male</v>
      </c>
      <c r="G2135" s="4" t="b">
        <f>IFERROR(__xludf.DUMMYFUNCTION("""COMPUTED_VALUE"""),TRUE)</f>
        <v>1</v>
      </c>
      <c r="H2135" s="4" t="b">
        <f>IFERROR(__xludf.DUMMYFUNCTION("""COMPUTED_VALUE"""),TRUE)</f>
        <v>1</v>
      </c>
      <c r="I2135" s="4">
        <f>IFERROR(__xludf.DUMMYFUNCTION("""COMPUTED_VALUE"""),0.2549440625)</f>
        <v>0.2549440625</v>
      </c>
      <c r="J2135" s="4">
        <f>IFERROR(__xludf.DUMMYFUNCTION("""COMPUTED_VALUE"""),45949.27551974283)</f>
        <v>45949.27552</v>
      </c>
      <c r="K2135" s="4" t="str">
        <f>IFERROR(__xludf.DUMMYFUNCTION("""COMPUTED_VALUE"""),"")</f>
        <v/>
      </c>
      <c r="L2135" s="4">
        <f>IFERROR(__xludf.DUMMYFUNCTION("""COMPUTED_VALUE"""),45949.28924462481)</f>
        <v>45949.28924</v>
      </c>
      <c r="M2135" s="1" t="str">
        <f>IFERROR(__xludf.DUMMYFUNCTION("""COMPUTED_VALUE"""),"RFID")</f>
        <v>RFID</v>
      </c>
      <c r="N2135" s="5">
        <f>IFERROR(__xludf.DUMMYFUNCTION("""COMPUTED_VALUE"""),0.008230273148148148)</f>
        <v>0.008230273148</v>
      </c>
      <c r="O2135" s="5" t="str">
        <f>IFERROR(__xludf.DUMMYFUNCTION("""COMPUTED_VALUE"""),"")</f>
        <v/>
      </c>
      <c r="P2135" s="5" t="str">
        <f>IFERROR(__xludf.DUMMYFUNCTION("""COMPUTED_VALUE"""),"")</f>
        <v/>
      </c>
      <c r="Q2135" s="5">
        <f>IFERROR(__xludf.DUMMYFUNCTION("""COMPUTED_VALUE"""),0.006860113425925926)</f>
        <v>0.006860113426</v>
      </c>
      <c r="R2135" s="4">
        <f>IFERROR(__xludf.DUMMYFUNCTION("""COMPUTED_VALUE"""),45949.03430056231)</f>
        <v>45949.0343</v>
      </c>
      <c r="S2135" s="1" t="b">
        <f>IFERROR(__xludf.DUMMYFUNCTION("""COMPUTED_VALUE"""),TRUE)</f>
        <v>1</v>
      </c>
      <c r="T2135" s="1" t="b">
        <f>IFERROR(__xludf.DUMMYFUNCTION("""COMPUTED_VALUE"""),FALSE)</f>
        <v>0</v>
      </c>
      <c r="U2135" s="1" t="str">
        <f>IFERROR(__xludf.DUMMYFUNCTION("""COMPUTED_VALUE"""),"VALID")</f>
        <v>VALID</v>
      </c>
      <c r="V2135" s="1">
        <f>IFERROR(__xludf.DUMMYFUNCTION("""COMPUTED_VALUE"""),543.0)</f>
        <v>543</v>
      </c>
      <c r="W2135" s="1">
        <f>IFERROR(__xludf.DUMMYFUNCTION("""COMPUTED_VALUE"""),856.0)</f>
        <v>856</v>
      </c>
      <c r="X2135" s="1">
        <f>IFERROR(__xludf.DUMMYFUNCTION("""COMPUTED_VALUE"""),700.0)</f>
        <v>700</v>
      </c>
      <c r="Y2135" s="2"/>
      <c r="Z2135" s="2"/>
    </row>
    <row r="2136">
      <c r="A2136" s="1">
        <f>IFERROR(__xludf.DUMMYFUNCTION("""COMPUTED_VALUE"""),2135.0)</f>
        <v>2135</v>
      </c>
      <c r="B2136" s="1">
        <f>IFERROR(__xludf.DUMMYFUNCTION("""COMPUTED_VALUE"""),5771.0)</f>
        <v>5771</v>
      </c>
      <c r="C2136" s="2" t="str">
        <f>IFERROR(__xludf.DUMMYFUNCTION("""COMPUTED_VALUE"""),"arif fitriyadi")</f>
        <v>arif fitriyadi</v>
      </c>
      <c r="D2136" s="2" t="str">
        <f>IFERROR(__xludf.DUMMYFUNCTION("""COMPUTED_VALUE"""),"5KM OVERALL M")</f>
        <v>5KM OVERALL M</v>
      </c>
      <c r="E2136" s="1">
        <f>IFERROR(__xludf.DUMMYFUNCTION("""COMPUTED_VALUE"""),2.0)</f>
        <v>2</v>
      </c>
      <c r="F2136" s="1" t="str">
        <f>IFERROR(__xludf.DUMMYFUNCTION("""COMPUTED_VALUE"""),"Male")</f>
        <v>Male</v>
      </c>
      <c r="G2136" s="4" t="str">
        <f>IFERROR(__xludf.DUMMYFUNCTION("""COMPUTED_VALUE"""),"")</f>
        <v/>
      </c>
      <c r="H2136" s="4" t="b">
        <f>IFERROR(__xludf.DUMMYFUNCTION("""COMPUTED_VALUE"""),FALSE)</f>
        <v>0</v>
      </c>
      <c r="I2136" s="4">
        <f>IFERROR(__xludf.DUMMYFUNCTION("""COMPUTED_VALUE"""),0.2549440625)</f>
        <v>0.2549440625</v>
      </c>
      <c r="J2136" s="4" t="str">
        <f>IFERROR(__xludf.DUMMYFUNCTION("""COMPUTED_VALUE"""),"")</f>
        <v/>
      </c>
      <c r="K2136" s="4" t="str">
        <f>IFERROR(__xludf.DUMMYFUNCTION("""COMPUTED_VALUE"""),"")</f>
        <v/>
      </c>
      <c r="L2136" s="4" t="str">
        <f>IFERROR(__xludf.DUMMYFUNCTION("""COMPUTED_VALUE"""),"")</f>
        <v/>
      </c>
      <c r="M2136" s="1" t="str">
        <f>IFERROR(__xludf.DUMMYFUNCTION("""COMPUTED_VALUE"""),"RFID")</f>
        <v>RFID</v>
      </c>
      <c r="N2136" s="5" t="str">
        <f>IFERROR(__xludf.DUMMYFUNCTION("""COMPUTED_VALUE"""),"")</f>
        <v/>
      </c>
      <c r="O2136" s="5" t="str">
        <f>IFERROR(__xludf.DUMMYFUNCTION("""COMPUTED_VALUE"""),"")</f>
        <v/>
      </c>
      <c r="P2136" s="5" t="str">
        <f>IFERROR(__xludf.DUMMYFUNCTION("""COMPUTED_VALUE"""),"")</f>
        <v/>
      </c>
      <c r="Q2136" s="5" t="str">
        <f>IFERROR(__xludf.DUMMYFUNCTION("""COMPUTED_VALUE"""),"")</f>
        <v/>
      </c>
      <c r="R2136" s="4" t="str">
        <f>IFERROR(__xludf.DUMMYFUNCTION("""COMPUTED_VALUE"""),"")</f>
        <v/>
      </c>
      <c r="S2136" s="1" t="b">
        <f>IFERROR(__xludf.DUMMYFUNCTION("""COMPUTED_VALUE"""),FALSE)</f>
        <v>0</v>
      </c>
      <c r="T2136" s="1" t="b">
        <f>IFERROR(__xludf.DUMMYFUNCTION("""COMPUTED_VALUE"""),FALSE)</f>
        <v>0</v>
      </c>
      <c r="U2136" s="1" t="str">
        <f>IFERROR(__xludf.DUMMYFUNCTION("""COMPUTED_VALUE"""),"DSQ")</f>
        <v>DSQ</v>
      </c>
      <c r="V2136" s="1" t="str">
        <f>IFERROR(__xludf.DUMMYFUNCTION("""COMPUTED_VALUE"""),"DSQ")</f>
        <v>DSQ</v>
      </c>
      <c r="W2136" s="1" t="str">
        <f>IFERROR(__xludf.DUMMYFUNCTION("""COMPUTED_VALUE"""),"DSQ")</f>
        <v>DSQ</v>
      </c>
      <c r="X2136" s="1" t="str">
        <f>IFERROR(__xludf.DUMMYFUNCTION("""COMPUTED_VALUE"""),"DSQ")</f>
        <v>DSQ</v>
      </c>
      <c r="Y2136" s="2"/>
      <c r="Z2136" s="2" t="str">
        <f>IFERROR(__xludf.DUMMYFUNCTION("""COMPUTED_VALUE"""),"")</f>
        <v/>
      </c>
    </row>
    <row r="2137">
      <c r="A2137" s="1">
        <f>IFERROR(__xludf.DUMMYFUNCTION("""COMPUTED_VALUE"""),2136.0)</f>
        <v>2136</v>
      </c>
      <c r="B2137" s="1">
        <f>IFERROR(__xludf.DUMMYFUNCTION("""COMPUTED_VALUE"""),5773.0)</f>
        <v>5773</v>
      </c>
      <c r="C2137" s="2" t="str">
        <f>IFERROR(__xludf.DUMMYFUNCTION("""COMPUTED_VALUE"""),"M.JAMALULAIL")</f>
        <v>M.JAMALULAIL</v>
      </c>
      <c r="D2137" s="2" t="str">
        <f>IFERROR(__xludf.DUMMYFUNCTION("""COMPUTED_VALUE"""),"5KM OVERALL M")</f>
        <v>5KM OVERALL M</v>
      </c>
      <c r="E2137" s="1">
        <f>IFERROR(__xludf.DUMMYFUNCTION("""COMPUTED_VALUE"""),2.0)</f>
        <v>2</v>
      </c>
      <c r="F2137" s="1" t="str">
        <f>IFERROR(__xludf.DUMMYFUNCTION("""COMPUTED_VALUE"""),"Male")</f>
        <v>Male</v>
      </c>
      <c r="G2137" s="4" t="b">
        <f>IFERROR(__xludf.DUMMYFUNCTION("""COMPUTED_VALUE"""),TRUE)</f>
        <v>1</v>
      </c>
      <c r="H2137" s="4" t="b">
        <f>IFERROR(__xludf.DUMMYFUNCTION("""COMPUTED_VALUE"""),FALSE)</f>
        <v>0</v>
      </c>
      <c r="I2137" s="4">
        <f>IFERROR(__xludf.DUMMYFUNCTION("""COMPUTED_VALUE"""),0.2549440625)</f>
        <v>0.2549440625</v>
      </c>
      <c r="J2137" s="4">
        <f>IFERROR(__xludf.DUMMYFUNCTION("""COMPUTED_VALUE"""),45949.27788433802)</f>
        <v>45949.27788</v>
      </c>
      <c r="K2137" s="4" t="str">
        <f>IFERROR(__xludf.DUMMYFUNCTION("""COMPUTED_VALUE"""),"")</f>
        <v/>
      </c>
      <c r="L2137" s="4">
        <f>IFERROR(__xludf.DUMMYFUNCTION("""COMPUTED_VALUE"""),45949.29529666038)</f>
        <v>45949.2953</v>
      </c>
      <c r="M2137" s="1" t="str">
        <f>IFERROR(__xludf.DUMMYFUNCTION("""COMPUTED_VALUE"""),"RFID")</f>
        <v>RFID</v>
      </c>
      <c r="N2137" s="5">
        <f>IFERROR(__xludf.DUMMYFUNCTION("""COMPUTED_VALUE"""),0.00917611111111111)</f>
        <v>0.009176111111</v>
      </c>
      <c r="O2137" s="5" t="str">
        <f>IFERROR(__xludf.DUMMYFUNCTION("""COMPUTED_VALUE"""),"")</f>
        <v/>
      </c>
      <c r="P2137" s="5" t="str">
        <f>IFERROR(__xludf.DUMMYFUNCTION("""COMPUTED_VALUE"""),"")</f>
        <v/>
      </c>
      <c r="Q2137" s="5">
        <f>IFERROR(__xludf.DUMMYFUNCTION("""COMPUTED_VALUE"""),0.008070518518518519)</f>
        <v>0.008070518519</v>
      </c>
      <c r="R2137" s="4">
        <f>IFERROR(__xludf.DUMMYFUNCTION("""COMPUTED_VALUE"""),45949.040352597876)</f>
        <v>45949.04035</v>
      </c>
      <c r="S2137" s="1" t="b">
        <f>IFERROR(__xludf.DUMMYFUNCTION("""COMPUTED_VALUE"""),TRUE)</f>
        <v>1</v>
      </c>
      <c r="T2137" s="1" t="b">
        <f>IFERROR(__xludf.DUMMYFUNCTION("""COMPUTED_VALUE"""),FALSE)</f>
        <v>0</v>
      </c>
      <c r="U2137" s="1" t="str">
        <f>IFERROR(__xludf.DUMMYFUNCTION("""COMPUTED_VALUE"""),"VALID")</f>
        <v>VALID</v>
      </c>
      <c r="V2137" s="1">
        <f>IFERROR(__xludf.DUMMYFUNCTION("""COMPUTED_VALUE"""),722.0)</f>
        <v>722</v>
      </c>
      <c r="W2137" s="1">
        <f>IFERROR(__xludf.DUMMYFUNCTION("""COMPUTED_VALUE"""),1261.0)</f>
        <v>1261</v>
      </c>
      <c r="X2137" s="1">
        <f>IFERROR(__xludf.DUMMYFUNCTION("""COMPUTED_VALUE"""),994.0)</f>
        <v>994</v>
      </c>
      <c r="Y2137" s="2"/>
      <c r="Z2137" s="2"/>
    </row>
    <row r="2138">
      <c r="A2138" s="1">
        <f>IFERROR(__xludf.DUMMYFUNCTION("""COMPUTED_VALUE"""),2137.0)</f>
        <v>2137</v>
      </c>
      <c r="B2138" s="1">
        <f>IFERROR(__xludf.DUMMYFUNCTION("""COMPUTED_VALUE"""),5774.0)</f>
        <v>5774</v>
      </c>
      <c r="C2138" s="2" t="str">
        <f>IFERROR(__xludf.DUMMYFUNCTION("""COMPUTED_VALUE"""),"teguh")</f>
        <v>teguh</v>
      </c>
      <c r="D2138" s="2" t="str">
        <f>IFERROR(__xludf.DUMMYFUNCTION("""COMPUTED_VALUE"""),"5KM OVERALL M")</f>
        <v>5KM OVERALL M</v>
      </c>
      <c r="E2138" s="1">
        <f>IFERROR(__xludf.DUMMYFUNCTION("""COMPUTED_VALUE"""),2.0)</f>
        <v>2</v>
      </c>
      <c r="F2138" s="1" t="str">
        <f>IFERROR(__xludf.DUMMYFUNCTION("""COMPUTED_VALUE"""),"Male")</f>
        <v>Male</v>
      </c>
      <c r="G2138" s="4" t="b">
        <f>IFERROR(__xludf.DUMMYFUNCTION("""COMPUTED_VALUE"""),TRUE)</f>
        <v>1</v>
      </c>
      <c r="H2138" s="4" t="b">
        <f>IFERROR(__xludf.DUMMYFUNCTION("""COMPUTED_VALUE"""),TRUE)</f>
        <v>1</v>
      </c>
      <c r="I2138" s="4">
        <f>IFERROR(__xludf.DUMMYFUNCTION("""COMPUTED_VALUE"""),0.2549440625)</f>
        <v>0.2549440625</v>
      </c>
      <c r="J2138" s="4">
        <f>IFERROR(__xludf.DUMMYFUNCTION("""COMPUTED_VALUE"""),45949.27413085933)</f>
        <v>45949.27413</v>
      </c>
      <c r="K2138" s="4" t="str">
        <f>IFERROR(__xludf.DUMMYFUNCTION("""COMPUTED_VALUE"""),"")</f>
        <v/>
      </c>
      <c r="L2138" s="4">
        <f>IFERROR(__xludf.DUMMYFUNCTION("""COMPUTED_VALUE"""),45949.28920990933)</f>
        <v>45949.28921</v>
      </c>
      <c r="M2138" s="1" t="str">
        <f>IFERROR(__xludf.DUMMYFUNCTION("""COMPUTED_VALUE"""),"RFID")</f>
        <v>RFID</v>
      </c>
      <c r="N2138" s="5">
        <f>IFERROR(__xludf.DUMMYFUNCTION("""COMPUTED_VALUE"""),0.007674717592592593)</f>
        <v>0.007674717593</v>
      </c>
      <c r="O2138" s="5" t="str">
        <f>IFERROR(__xludf.DUMMYFUNCTION("""COMPUTED_VALUE"""),"")</f>
        <v/>
      </c>
      <c r="P2138" s="5" t="str">
        <f>IFERROR(__xludf.DUMMYFUNCTION("""COMPUTED_VALUE"""),"")</f>
        <v/>
      </c>
      <c r="Q2138" s="5">
        <f>IFERROR(__xludf.DUMMYFUNCTION("""COMPUTED_VALUE"""),0.006853168981481482)</f>
        <v>0.006853168981</v>
      </c>
      <c r="R2138" s="4">
        <f>IFERROR(__xludf.DUMMYFUNCTION("""COMPUTED_VALUE"""),45949.03426584683)</f>
        <v>45949.03427</v>
      </c>
      <c r="S2138" s="1" t="b">
        <f>IFERROR(__xludf.DUMMYFUNCTION("""COMPUTED_VALUE"""),TRUE)</f>
        <v>1</v>
      </c>
      <c r="T2138" s="1" t="b">
        <f>IFERROR(__xludf.DUMMYFUNCTION("""COMPUTED_VALUE"""),FALSE)</f>
        <v>0</v>
      </c>
      <c r="U2138" s="1" t="str">
        <f>IFERROR(__xludf.DUMMYFUNCTION("""COMPUTED_VALUE"""),"VALID")</f>
        <v>VALID</v>
      </c>
      <c r="V2138" s="1">
        <f>IFERROR(__xludf.DUMMYFUNCTION("""COMPUTED_VALUE"""),541.0)</f>
        <v>541</v>
      </c>
      <c r="W2138" s="1">
        <f>IFERROR(__xludf.DUMMYFUNCTION("""COMPUTED_VALUE"""),854.0)</f>
        <v>854</v>
      </c>
      <c r="X2138" s="1">
        <f>IFERROR(__xludf.DUMMYFUNCTION("""COMPUTED_VALUE"""),697.0)</f>
        <v>697</v>
      </c>
      <c r="Y2138" s="2"/>
      <c r="Z2138" s="2"/>
    </row>
    <row r="2139">
      <c r="A2139" s="1">
        <f>IFERROR(__xludf.DUMMYFUNCTION("""COMPUTED_VALUE"""),2138.0)</f>
        <v>2138</v>
      </c>
      <c r="B2139" s="1">
        <f>IFERROR(__xludf.DUMMYFUNCTION("""COMPUTED_VALUE"""),5775.0)</f>
        <v>5775</v>
      </c>
      <c r="C2139" s="2" t="str">
        <f>IFERROR(__xludf.DUMMYFUNCTION("""COMPUTED_VALUE"""),"ARSYLA")</f>
        <v>ARSYLA</v>
      </c>
      <c r="D2139" s="2" t="str">
        <f>IFERROR(__xludf.DUMMYFUNCTION("""COMPUTED_VALUE"""),"5KM OVERALL M")</f>
        <v>5KM OVERALL M</v>
      </c>
      <c r="E2139" s="1">
        <f>IFERROR(__xludf.DUMMYFUNCTION("""COMPUTED_VALUE"""),2.0)</f>
        <v>2</v>
      </c>
      <c r="F2139" s="1" t="str">
        <f>IFERROR(__xludf.DUMMYFUNCTION("""COMPUTED_VALUE"""),"Male")</f>
        <v>Male</v>
      </c>
      <c r="G2139" s="4" t="b">
        <f>IFERROR(__xludf.DUMMYFUNCTION("""COMPUTED_VALUE"""),TRUE)</f>
        <v>1</v>
      </c>
      <c r="H2139" s="4" t="b">
        <f>IFERROR(__xludf.DUMMYFUNCTION("""COMPUTED_VALUE"""),FALSE)</f>
        <v>0</v>
      </c>
      <c r="I2139" s="4">
        <f>IFERROR(__xludf.DUMMYFUNCTION("""COMPUTED_VALUE"""),0.2549440625)</f>
        <v>0.2549440625</v>
      </c>
      <c r="J2139" s="4">
        <f>IFERROR(__xludf.DUMMYFUNCTION("""COMPUTED_VALUE"""),45949.27043294935)</f>
        <v>45949.27043</v>
      </c>
      <c r="K2139" s="4" t="str">
        <f>IFERROR(__xludf.DUMMYFUNCTION("""COMPUTED_VALUE"""),"")</f>
        <v/>
      </c>
      <c r="L2139" s="4">
        <f>IFERROR(__xludf.DUMMYFUNCTION("""COMPUTED_VALUE"""),45949.284796698084)</f>
        <v>45949.2848</v>
      </c>
      <c r="M2139" s="1" t="str">
        <f>IFERROR(__xludf.DUMMYFUNCTION("""COMPUTED_VALUE"""),"RFID")</f>
        <v>RFID</v>
      </c>
      <c r="N2139" s="5">
        <f>IFERROR(__xludf.DUMMYFUNCTION("""COMPUTED_VALUE"""),0.006195555555555556)</f>
        <v>0.006195555556</v>
      </c>
      <c r="O2139" s="5" t="str">
        <f>IFERROR(__xludf.DUMMYFUNCTION("""COMPUTED_VALUE"""),"")</f>
        <v/>
      </c>
      <c r="P2139" s="5" t="str">
        <f>IFERROR(__xludf.DUMMYFUNCTION("""COMPUTED_VALUE"""),"")</f>
        <v/>
      </c>
      <c r="Q2139" s="5">
        <f>IFERROR(__xludf.DUMMYFUNCTION("""COMPUTED_VALUE"""),0.005970527777777778)</f>
        <v>0.005970527778</v>
      </c>
      <c r="R2139" s="4">
        <f>IFERROR(__xludf.DUMMYFUNCTION("""COMPUTED_VALUE"""),45949.029852635584)</f>
        <v>45949.02985</v>
      </c>
      <c r="S2139" s="1" t="b">
        <f>IFERROR(__xludf.DUMMYFUNCTION("""COMPUTED_VALUE"""),TRUE)</f>
        <v>1</v>
      </c>
      <c r="T2139" s="1" t="b">
        <f>IFERROR(__xludf.DUMMYFUNCTION("""COMPUTED_VALUE"""),FALSE)</f>
        <v>0</v>
      </c>
      <c r="U2139" s="1" t="str">
        <f>IFERROR(__xludf.DUMMYFUNCTION("""COMPUTED_VALUE"""),"VALID")</f>
        <v>VALID</v>
      </c>
      <c r="V2139" s="1">
        <f>IFERROR(__xludf.DUMMYFUNCTION("""COMPUTED_VALUE"""),373.0)</f>
        <v>373</v>
      </c>
      <c r="W2139" s="1">
        <f>IFERROR(__xludf.DUMMYFUNCTION("""COMPUTED_VALUE"""),562.0)</f>
        <v>562</v>
      </c>
      <c r="X2139" s="1">
        <f>IFERROR(__xludf.DUMMYFUNCTION("""COMPUTED_VALUE"""),479.0)</f>
        <v>479</v>
      </c>
      <c r="Y2139" s="2"/>
      <c r="Z2139" s="2"/>
    </row>
    <row r="2140">
      <c r="A2140" s="1">
        <f>IFERROR(__xludf.DUMMYFUNCTION("""COMPUTED_VALUE"""),2139.0)</f>
        <v>2139</v>
      </c>
      <c r="B2140" s="1">
        <f>IFERROR(__xludf.DUMMYFUNCTION("""COMPUTED_VALUE"""),5777.0)</f>
        <v>5777</v>
      </c>
      <c r="C2140" s="2" t="str">
        <f>IFERROR(__xludf.DUMMYFUNCTION("""COMPUTED_VALUE"""),"ADAN")</f>
        <v>ADAN</v>
      </c>
      <c r="D2140" s="2" t="str">
        <f>IFERROR(__xludf.DUMMYFUNCTION("""COMPUTED_VALUE"""),"5KM OVERALL M")</f>
        <v>5KM OVERALL M</v>
      </c>
      <c r="E2140" s="1">
        <f>IFERROR(__xludf.DUMMYFUNCTION("""COMPUTED_VALUE"""),2.0)</f>
        <v>2</v>
      </c>
      <c r="F2140" s="1" t="str">
        <f>IFERROR(__xludf.DUMMYFUNCTION("""COMPUTED_VALUE"""),"Male")</f>
        <v>Male</v>
      </c>
      <c r="G2140" s="4" t="str">
        <f>IFERROR(__xludf.DUMMYFUNCTION("""COMPUTED_VALUE"""),"")</f>
        <v/>
      </c>
      <c r="H2140" s="4" t="b">
        <f>IFERROR(__xludf.DUMMYFUNCTION("""COMPUTED_VALUE"""),FALSE)</f>
        <v>0</v>
      </c>
      <c r="I2140" s="4">
        <f>IFERROR(__xludf.DUMMYFUNCTION("""COMPUTED_VALUE"""),0.2549440625)</f>
        <v>0.2549440625</v>
      </c>
      <c r="J2140" s="4" t="str">
        <f>IFERROR(__xludf.DUMMYFUNCTION("""COMPUTED_VALUE"""),"")</f>
        <v/>
      </c>
      <c r="K2140" s="4" t="str">
        <f>IFERROR(__xludf.DUMMYFUNCTION("""COMPUTED_VALUE"""),"")</f>
        <v/>
      </c>
      <c r="L2140" s="4" t="str">
        <f>IFERROR(__xludf.DUMMYFUNCTION("""COMPUTED_VALUE"""),"")</f>
        <v/>
      </c>
      <c r="M2140" s="1" t="str">
        <f>IFERROR(__xludf.DUMMYFUNCTION("""COMPUTED_VALUE"""),"RFID")</f>
        <v>RFID</v>
      </c>
      <c r="N2140" s="5" t="str">
        <f>IFERROR(__xludf.DUMMYFUNCTION("""COMPUTED_VALUE"""),"")</f>
        <v/>
      </c>
      <c r="O2140" s="5" t="str">
        <f>IFERROR(__xludf.DUMMYFUNCTION("""COMPUTED_VALUE"""),"")</f>
        <v/>
      </c>
      <c r="P2140" s="5" t="str">
        <f>IFERROR(__xludf.DUMMYFUNCTION("""COMPUTED_VALUE"""),"")</f>
        <v/>
      </c>
      <c r="Q2140" s="5" t="str">
        <f>IFERROR(__xludf.DUMMYFUNCTION("""COMPUTED_VALUE"""),"")</f>
        <v/>
      </c>
      <c r="R2140" s="4" t="str">
        <f>IFERROR(__xludf.DUMMYFUNCTION("""COMPUTED_VALUE"""),"")</f>
        <v/>
      </c>
      <c r="S2140" s="1" t="b">
        <f>IFERROR(__xludf.DUMMYFUNCTION("""COMPUTED_VALUE"""),FALSE)</f>
        <v>0</v>
      </c>
      <c r="T2140" s="1" t="b">
        <f>IFERROR(__xludf.DUMMYFUNCTION("""COMPUTED_VALUE"""),FALSE)</f>
        <v>0</v>
      </c>
      <c r="U2140" s="1" t="str">
        <f>IFERROR(__xludf.DUMMYFUNCTION("""COMPUTED_VALUE"""),"DSQ")</f>
        <v>DSQ</v>
      </c>
      <c r="V2140" s="1" t="str">
        <f>IFERROR(__xludf.DUMMYFUNCTION("""COMPUTED_VALUE"""),"DSQ")</f>
        <v>DSQ</v>
      </c>
      <c r="W2140" s="1" t="str">
        <f>IFERROR(__xludf.DUMMYFUNCTION("""COMPUTED_VALUE"""),"DSQ")</f>
        <v>DSQ</v>
      </c>
      <c r="X2140" s="1" t="str">
        <f>IFERROR(__xludf.DUMMYFUNCTION("""COMPUTED_VALUE"""),"DSQ")</f>
        <v>DSQ</v>
      </c>
      <c r="Y2140" s="2"/>
      <c r="Z2140" s="2" t="str">
        <f>IFERROR(__xludf.DUMMYFUNCTION("""COMPUTED_VALUE"""),"")</f>
        <v/>
      </c>
    </row>
    <row r="2141">
      <c r="A2141" s="1">
        <f>IFERROR(__xludf.DUMMYFUNCTION("""COMPUTED_VALUE"""),2140.0)</f>
        <v>2140</v>
      </c>
      <c r="B2141" s="1">
        <f>IFERROR(__xludf.DUMMYFUNCTION("""COMPUTED_VALUE"""),5779.0)</f>
        <v>5779</v>
      </c>
      <c r="C2141" s="2" t="str">
        <f>IFERROR(__xludf.DUMMYFUNCTION("""COMPUTED_VALUE"""),"arbi")</f>
        <v>arbi</v>
      </c>
      <c r="D2141" s="2" t="str">
        <f>IFERROR(__xludf.DUMMYFUNCTION("""COMPUTED_VALUE"""),"5KM OVERALL M")</f>
        <v>5KM OVERALL M</v>
      </c>
      <c r="E2141" s="1">
        <f>IFERROR(__xludf.DUMMYFUNCTION("""COMPUTED_VALUE"""),2.0)</f>
        <v>2</v>
      </c>
      <c r="F2141" s="1" t="str">
        <f>IFERROR(__xludf.DUMMYFUNCTION("""COMPUTED_VALUE"""),"Male")</f>
        <v>Male</v>
      </c>
      <c r="G2141" s="4" t="str">
        <f>IFERROR(__xludf.DUMMYFUNCTION("""COMPUTED_VALUE"""),"")</f>
        <v/>
      </c>
      <c r="H2141" s="4" t="b">
        <f>IFERROR(__xludf.DUMMYFUNCTION("""COMPUTED_VALUE"""),FALSE)</f>
        <v>0</v>
      </c>
      <c r="I2141" s="4">
        <f>IFERROR(__xludf.DUMMYFUNCTION("""COMPUTED_VALUE"""),0.2549440625)</f>
        <v>0.2549440625</v>
      </c>
      <c r="J2141" s="4" t="str">
        <f>IFERROR(__xludf.DUMMYFUNCTION("""COMPUTED_VALUE"""),"")</f>
        <v/>
      </c>
      <c r="K2141" s="4" t="str">
        <f>IFERROR(__xludf.DUMMYFUNCTION("""COMPUTED_VALUE"""),"")</f>
        <v/>
      </c>
      <c r="L2141" s="4" t="str">
        <f>IFERROR(__xludf.DUMMYFUNCTION("""COMPUTED_VALUE"""),"")</f>
        <v/>
      </c>
      <c r="M2141" s="1" t="str">
        <f>IFERROR(__xludf.DUMMYFUNCTION("""COMPUTED_VALUE"""),"RFID")</f>
        <v>RFID</v>
      </c>
      <c r="N2141" s="5" t="str">
        <f>IFERROR(__xludf.DUMMYFUNCTION("""COMPUTED_VALUE"""),"")</f>
        <v/>
      </c>
      <c r="O2141" s="5" t="str">
        <f>IFERROR(__xludf.DUMMYFUNCTION("""COMPUTED_VALUE"""),"")</f>
        <v/>
      </c>
      <c r="P2141" s="5" t="str">
        <f>IFERROR(__xludf.DUMMYFUNCTION("""COMPUTED_VALUE"""),"")</f>
        <v/>
      </c>
      <c r="Q2141" s="5" t="str">
        <f>IFERROR(__xludf.DUMMYFUNCTION("""COMPUTED_VALUE"""),"")</f>
        <v/>
      </c>
      <c r="R2141" s="4" t="str">
        <f>IFERROR(__xludf.DUMMYFUNCTION("""COMPUTED_VALUE"""),"")</f>
        <v/>
      </c>
      <c r="S2141" s="1" t="b">
        <f>IFERROR(__xludf.DUMMYFUNCTION("""COMPUTED_VALUE"""),FALSE)</f>
        <v>0</v>
      </c>
      <c r="T2141" s="1" t="b">
        <f>IFERROR(__xludf.DUMMYFUNCTION("""COMPUTED_VALUE"""),FALSE)</f>
        <v>0</v>
      </c>
      <c r="U2141" s="1" t="str">
        <f>IFERROR(__xludf.DUMMYFUNCTION("""COMPUTED_VALUE"""),"DSQ")</f>
        <v>DSQ</v>
      </c>
      <c r="V2141" s="1" t="str">
        <f>IFERROR(__xludf.DUMMYFUNCTION("""COMPUTED_VALUE"""),"DSQ")</f>
        <v>DSQ</v>
      </c>
      <c r="W2141" s="1" t="str">
        <f>IFERROR(__xludf.DUMMYFUNCTION("""COMPUTED_VALUE"""),"DSQ")</f>
        <v>DSQ</v>
      </c>
      <c r="X2141" s="1" t="str">
        <f>IFERROR(__xludf.DUMMYFUNCTION("""COMPUTED_VALUE"""),"DSQ")</f>
        <v>DSQ</v>
      </c>
      <c r="Y2141" s="2"/>
      <c r="Z2141" s="2" t="str">
        <f>IFERROR(__xludf.DUMMYFUNCTION("""COMPUTED_VALUE"""),"")</f>
        <v/>
      </c>
    </row>
    <row r="2142">
      <c r="A2142" s="1">
        <f>IFERROR(__xludf.DUMMYFUNCTION("""COMPUTED_VALUE"""),2141.0)</f>
        <v>2141</v>
      </c>
      <c r="B2142" s="1">
        <f>IFERROR(__xludf.DUMMYFUNCTION("""COMPUTED_VALUE"""),5780.0)</f>
        <v>5780</v>
      </c>
      <c r="C2142" s="2" t="str">
        <f>IFERROR(__xludf.DUMMYFUNCTION("""COMPUTED_VALUE"""),"Danang CD")</f>
        <v>Danang CD</v>
      </c>
      <c r="D2142" s="2" t="str">
        <f>IFERROR(__xludf.DUMMYFUNCTION("""COMPUTED_VALUE"""),"5KM OVERALL M")</f>
        <v>5KM OVERALL M</v>
      </c>
      <c r="E2142" s="1">
        <f>IFERROR(__xludf.DUMMYFUNCTION("""COMPUTED_VALUE"""),2.0)</f>
        <v>2</v>
      </c>
      <c r="F2142" s="1" t="str">
        <f>IFERROR(__xludf.DUMMYFUNCTION("""COMPUTED_VALUE"""),"Male")</f>
        <v>Male</v>
      </c>
      <c r="G2142" s="4" t="b">
        <f>IFERROR(__xludf.DUMMYFUNCTION("""COMPUTED_VALUE"""),TRUE)</f>
        <v>1</v>
      </c>
      <c r="H2142" s="4" t="b">
        <f>IFERROR(__xludf.DUMMYFUNCTION("""COMPUTED_VALUE"""),TRUE)</f>
        <v>1</v>
      </c>
      <c r="I2142" s="4">
        <f>IFERROR(__xludf.DUMMYFUNCTION("""COMPUTED_VALUE"""),0.2549440625)</f>
        <v>0.2549440625</v>
      </c>
      <c r="J2142" s="4">
        <f>IFERROR(__xludf.DUMMYFUNCTION("""COMPUTED_VALUE"""),45949.27334267295)</f>
        <v>45949.27334</v>
      </c>
      <c r="K2142" s="4" t="str">
        <f>IFERROR(__xludf.DUMMYFUNCTION("""COMPUTED_VALUE"""),"")</f>
        <v/>
      </c>
      <c r="L2142" s="4">
        <f>IFERROR(__xludf.DUMMYFUNCTION("""COMPUTED_VALUE"""),45949.28788003315)</f>
        <v>45949.28788</v>
      </c>
      <c r="M2142" s="1" t="str">
        <f>IFERROR(__xludf.DUMMYFUNCTION("""COMPUTED_VALUE"""),"RFID")</f>
        <v>RFID</v>
      </c>
      <c r="N2142" s="5">
        <f>IFERROR(__xludf.DUMMYFUNCTION("""COMPUTED_VALUE"""),0.0073594444444444445)</f>
        <v>0.007359444444</v>
      </c>
      <c r="O2142" s="5" t="str">
        <f>IFERROR(__xludf.DUMMYFUNCTION("""COMPUTED_VALUE"""),"")</f>
        <v/>
      </c>
      <c r="P2142" s="5" t="str">
        <f>IFERROR(__xludf.DUMMYFUNCTION("""COMPUTED_VALUE"""),"")</f>
        <v/>
      </c>
      <c r="Q2142" s="5">
        <f>IFERROR(__xludf.DUMMYFUNCTION("""COMPUTED_VALUE"""),0.006587194444444444)</f>
        <v>0.006587194444</v>
      </c>
      <c r="R2142" s="4">
        <f>IFERROR(__xludf.DUMMYFUNCTION("""COMPUTED_VALUE"""),45949.03293597065)</f>
        <v>45949.03294</v>
      </c>
      <c r="S2142" s="1" t="b">
        <f>IFERROR(__xludf.DUMMYFUNCTION("""COMPUTED_VALUE"""),TRUE)</f>
        <v>1</v>
      </c>
      <c r="T2142" s="1" t="b">
        <f>IFERROR(__xludf.DUMMYFUNCTION("""COMPUTED_VALUE"""),FALSE)</f>
        <v>0</v>
      </c>
      <c r="U2142" s="1" t="str">
        <f>IFERROR(__xludf.DUMMYFUNCTION("""COMPUTED_VALUE"""),"VALID")</f>
        <v>VALID</v>
      </c>
      <c r="V2142" s="1">
        <f>IFERROR(__xludf.DUMMYFUNCTION("""COMPUTED_VALUE"""),492.0)</f>
        <v>492</v>
      </c>
      <c r="W2142" s="1">
        <f>IFERROR(__xludf.DUMMYFUNCTION("""COMPUTED_VALUE"""),770.0)</f>
        <v>770</v>
      </c>
      <c r="X2142" s="1">
        <f>IFERROR(__xludf.DUMMYFUNCTION("""COMPUTED_VALUE"""),636.0)</f>
        <v>636</v>
      </c>
      <c r="Y2142" s="2"/>
      <c r="Z2142" s="2"/>
    </row>
    <row r="2143">
      <c r="A2143" s="1">
        <f>IFERROR(__xludf.DUMMYFUNCTION("""COMPUTED_VALUE"""),2142.0)</f>
        <v>2142</v>
      </c>
      <c r="B2143" s="1">
        <f>IFERROR(__xludf.DUMMYFUNCTION("""COMPUTED_VALUE"""),5782.0)</f>
        <v>5782</v>
      </c>
      <c r="C2143" s="2" t="str">
        <f>IFERROR(__xludf.DUMMYFUNCTION("""COMPUTED_VALUE"""),"PRAS")</f>
        <v>PRAS</v>
      </c>
      <c r="D2143" s="2" t="str">
        <f>IFERROR(__xludf.DUMMYFUNCTION("""COMPUTED_VALUE"""),"5KM OVERALL M")</f>
        <v>5KM OVERALL M</v>
      </c>
      <c r="E2143" s="1">
        <f>IFERROR(__xludf.DUMMYFUNCTION("""COMPUTED_VALUE"""),2.0)</f>
        <v>2</v>
      </c>
      <c r="F2143" s="1" t="str">
        <f>IFERROR(__xludf.DUMMYFUNCTION("""COMPUTED_VALUE"""),"Male")</f>
        <v>Male</v>
      </c>
      <c r="G2143" s="4" t="str">
        <f>IFERROR(__xludf.DUMMYFUNCTION("""COMPUTED_VALUE"""),"")</f>
        <v/>
      </c>
      <c r="H2143" s="4" t="b">
        <f>IFERROR(__xludf.DUMMYFUNCTION("""COMPUTED_VALUE"""),FALSE)</f>
        <v>0</v>
      </c>
      <c r="I2143" s="4">
        <f>IFERROR(__xludf.DUMMYFUNCTION("""COMPUTED_VALUE"""),0.2549440625)</f>
        <v>0.2549440625</v>
      </c>
      <c r="J2143" s="4" t="str">
        <f>IFERROR(__xludf.DUMMYFUNCTION("""COMPUTED_VALUE"""),"")</f>
        <v/>
      </c>
      <c r="K2143" s="4" t="str">
        <f>IFERROR(__xludf.DUMMYFUNCTION("""COMPUTED_VALUE"""),"")</f>
        <v/>
      </c>
      <c r="L2143" s="4" t="str">
        <f>IFERROR(__xludf.DUMMYFUNCTION("""COMPUTED_VALUE"""),"")</f>
        <v/>
      </c>
      <c r="M2143" s="1" t="str">
        <f>IFERROR(__xludf.DUMMYFUNCTION("""COMPUTED_VALUE"""),"RFID")</f>
        <v>RFID</v>
      </c>
      <c r="N2143" s="5" t="str">
        <f>IFERROR(__xludf.DUMMYFUNCTION("""COMPUTED_VALUE"""),"")</f>
        <v/>
      </c>
      <c r="O2143" s="5" t="str">
        <f>IFERROR(__xludf.DUMMYFUNCTION("""COMPUTED_VALUE"""),"")</f>
        <v/>
      </c>
      <c r="P2143" s="5" t="str">
        <f>IFERROR(__xludf.DUMMYFUNCTION("""COMPUTED_VALUE"""),"")</f>
        <v/>
      </c>
      <c r="Q2143" s="5" t="str">
        <f>IFERROR(__xludf.DUMMYFUNCTION("""COMPUTED_VALUE"""),"")</f>
        <v/>
      </c>
      <c r="R2143" s="4" t="str">
        <f>IFERROR(__xludf.DUMMYFUNCTION("""COMPUTED_VALUE"""),"")</f>
        <v/>
      </c>
      <c r="S2143" s="1" t="b">
        <f>IFERROR(__xludf.DUMMYFUNCTION("""COMPUTED_VALUE"""),FALSE)</f>
        <v>0</v>
      </c>
      <c r="T2143" s="1" t="b">
        <f>IFERROR(__xludf.DUMMYFUNCTION("""COMPUTED_VALUE"""),FALSE)</f>
        <v>0</v>
      </c>
      <c r="U2143" s="1" t="str">
        <f>IFERROR(__xludf.DUMMYFUNCTION("""COMPUTED_VALUE"""),"DSQ")</f>
        <v>DSQ</v>
      </c>
      <c r="V2143" s="1" t="str">
        <f>IFERROR(__xludf.DUMMYFUNCTION("""COMPUTED_VALUE"""),"DSQ")</f>
        <v>DSQ</v>
      </c>
      <c r="W2143" s="1" t="str">
        <f>IFERROR(__xludf.DUMMYFUNCTION("""COMPUTED_VALUE"""),"DSQ")</f>
        <v>DSQ</v>
      </c>
      <c r="X2143" s="1" t="str">
        <f>IFERROR(__xludf.DUMMYFUNCTION("""COMPUTED_VALUE"""),"DSQ")</f>
        <v>DSQ</v>
      </c>
      <c r="Y2143" s="2"/>
      <c r="Z2143" s="2" t="str">
        <f>IFERROR(__xludf.DUMMYFUNCTION("""COMPUTED_VALUE"""),"")</f>
        <v/>
      </c>
    </row>
    <row r="2144">
      <c r="A2144" s="1">
        <f>IFERROR(__xludf.DUMMYFUNCTION("""COMPUTED_VALUE"""),2143.0)</f>
        <v>2143</v>
      </c>
      <c r="B2144" s="1">
        <f>IFERROR(__xludf.DUMMYFUNCTION("""COMPUTED_VALUE"""),5783.0)</f>
        <v>5783</v>
      </c>
      <c r="C2144" s="2" t="str">
        <f>IFERROR(__xludf.DUMMYFUNCTION("""COMPUTED_VALUE"""),"RAPPI")</f>
        <v>RAPPI</v>
      </c>
      <c r="D2144" s="2" t="str">
        <f>IFERROR(__xludf.DUMMYFUNCTION("""COMPUTED_VALUE"""),"5KM OVERALL M")</f>
        <v>5KM OVERALL M</v>
      </c>
      <c r="E2144" s="1">
        <f>IFERROR(__xludf.DUMMYFUNCTION("""COMPUTED_VALUE"""),2.0)</f>
        <v>2</v>
      </c>
      <c r="F2144" s="1" t="str">
        <f>IFERROR(__xludf.DUMMYFUNCTION("""COMPUTED_VALUE"""),"Male")</f>
        <v>Male</v>
      </c>
      <c r="G2144" s="4" t="b">
        <f>IFERROR(__xludf.DUMMYFUNCTION("""COMPUTED_VALUE"""),TRUE)</f>
        <v>1</v>
      </c>
      <c r="H2144" s="4" t="b">
        <f>IFERROR(__xludf.DUMMYFUNCTION("""COMPUTED_VALUE"""),FALSE)</f>
        <v>0</v>
      </c>
      <c r="I2144" s="4">
        <f>IFERROR(__xludf.DUMMYFUNCTION("""COMPUTED_VALUE"""),0.2549440625)</f>
        <v>0.2549440625</v>
      </c>
      <c r="J2144" s="4">
        <f>IFERROR(__xludf.DUMMYFUNCTION("""COMPUTED_VALUE"""),45949.27318642444)</f>
        <v>45949.27319</v>
      </c>
      <c r="K2144" s="4" t="str">
        <f>IFERROR(__xludf.DUMMYFUNCTION("""COMPUTED_VALUE"""),"")</f>
        <v/>
      </c>
      <c r="L2144" s="4">
        <f>IFERROR(__xludf.DUMMYFUNCTION("""COMPUTED_VALUE"""),45949.28581748302)</f>
        <v>45949.28582</v>
      </c>
      <c r="M2144" s="1" t="str">
        <f>IFERROR(__xludf.DUMMYFUNCTION("""COMPUTED_VALUE"""),"RFID")</f>
        <v>RFID</v>
      </c>
      <c r="N2144" s="5">
        <f>IFERROR(__xludf.DUMMYFUNCTION("""COMPUTED_VALUE"""),0.0072969444444444444)</f>
        <v>0.007296944444</v>
      </c>
      <c r="O2144" s="5" t="str">
        <f>IFERROR(__xludf.DUMMYFUNCTION("""COMPUTED_VALUE"""),"")</f>
        <v/>
      </c>
      <c r="P2144" s="5" t="str">
        <f>IFERROR(__xludf.DUMMYFUNCTION("""COMPUTED_VALUE"""),"")</f>
        <v/>
      </c>
      <c r="Q2144" s="5">
        <f>IFERROR(__xludf.DUMMYFUNCTION("""COMPUTED_VALUE"""),0.006174685185185185)</f>
        <v>0.006174685185</v>
      </c>
      <c r="R2144" s="4">
        <f>IFERROR(__xludf.DUMMYFUNCTION("""COMPUTED_VALUE"""),45949.03087342052)</f>
        <v>45949.03087</v>
      </c>
      <c r="S2144" s="1" t="b">
        <f>IFERROR(__xludf.DUMMYFUNCTION("""COMPUTED_VALUE"""),TRUE)</f>
        <v>1</v>
      </c>
      <c r="T2144" s="1" t="b">
        <f>IFERROR(__xludf.DUMMYFUNCTION("""COMPUTED_VALUE"""),FALSE)</f>
        <v>0</v>
      </c>
      <c r="U2144" s="1" t="str">
        <f>IFERROR(__xludf.DUMMYFUNCTION("""COMPUTED_VALUE"""),"VALID")</f>
        <v>VALID</v>
      </c>
      <c r="V2144" s="1">
        <f>IFERROR(__xludf.DUMMYFUNCTION("""COMPUTED_VALUE"""),409.0)</f>
        <v>409</v>
      </c>
      <c r="W2144" s="1">
        <f>IFERROR(__xludf.DUMMYFUNCTION("""COMPUTED_VALUE"""),625.0)</f>
        <v>625</v>
      </c>
      <c r="X2144" s="1">
        <f>IFERROR(__xludf.DUMMYFUNCTION("""COMPUTED_VALUE"""),524.0)</f>
        <v>524</v>
      </c>
      <c r="Y2144" s="2"/>
      <c r="Z2144" s="2"/>
    </row>
    <row r="2145">
      <c r="A2145" s="1">
        <f>IFERROR(__xludf.DUMMYFUNCTION("""COMPUTED_VALUE"""),2144.0)</f>
        <v>2144</v>
      </c>
      <c r="B2145" s="1">
        <f>IFERROR(__xludf.DUMMYFUNCTION("""COMPUTED_VALUE"""),5785.0)</f>
        <v>5785</v>
      </c>
      <c r="C2145" s="2" t="str">
        <f>IFERROR(__xludf.DUMMYFUNCTION("""COMPUTED_VALUE"""),"EVAN")</f>
        <v>EVAN</v>
      </c>
      <c r="D2145" s="2" t="str">
        <f>IFERROR(__xludf.DUMMYFUNCTION("""COMPUTED_VALUE"""),"5KM OVERALL M")</f>
        <v>5KM OVERALL M</v>
      </c>
      <c r="E2145" s="1">
        <f>IFERROR(__xludf.DUMMYFUNCTION("""COMPUTED_VALUE"""),2.0)</f>
        <v>2</v>
      </c>
      <c r="F2145" s="1" t="str">
        <f>IFERROR(__xludf.DUMMYFUNCTION("""COMPUTED_VALUE"""),"Male")</f>
        <v>Male</v>
      </c>
      <c r="G2145" s="4" t="str">
        <f>IFERROR(__xludf.DUMMYFUNCTION("""COMPUTED_VALUE"""),"")</f>
        <v/>
      </c>
      <c r="H2145" s="4" t="b">
        <f>IFERROR(__xludf.DUMMYFUNCTION("""COMPUTED_VALUE"""),FALSE)</f>
        <v>0</v>
      </c>
      <c r="I2145" s="4">
        <f>IFERROR(__xludf.DUMMYFUNCTION("""COMPUTED_VALUE"""),0.2549440625)</f>
        <v>0.2549440625</v>
      </c>
      <c r="J2145" s="4" t="str">
        <f>IFERROR(__xludf.DUMMYFUNCTION("""COMPUTED_VALUE"""),"")</f>
        <v/>
      </c>
      <c r="K2145" s="4" t="str">
        <f>IFERROR(__xludf.DUMMYFUNCTION("""COMPUTED_VALUE"""),"")</f>
        <v/>
      </c>
      <c r="L2145" s="4" t="str">
        <f>IFERROR(__xludf.DUMMYFUNCTION("""COMPUTED_VALUE"""),"")</f>
        <v/>
      </c>
      <c r="M2145" s="1" t="str">
        <f>IFERROR(__xludf.DUMMYFUNCTION("""COMPUTED_VALUE"""),"RFID")</f>
        <v>RFID</v>
      </c>
      <c r="N2145" s="5" t="str">
        <f>IFERROR(__xludf.DUMMYFUNCTION("""COMPUTED_VALUE"""),"")</f>
        <v/>
      </c>
      <c r="O2145" s="5" t="str">
        <f>IFERROR(__xludf.DUMMYFUNCTION("""COMPUTED_VALUE"""),"")</f>
        <v/>
      </c>
      <c r="P2145" s="5" t="str">
        <f>IFERROR(__xludf.DUMMYFUNCTION("""COMPUTED_VALUE"""),"")</f>
        <v/>
      </c>
      <c r="Q2145" s="5" t="str">
        <f>IFERROR(__xludf.DUMMYFUNCTION("""COMPUTED_VALUE"""),"")</f>
        <v/>
      </c>
      <c r="R2145" s="4" t="str">
        <f>IFERROR(__xludf.DUMMYFUNCTION("""COMPUTED_VALUE"""),"")</f>
        <v/>
      </c>
      <c r="S2145" s="1" t="b">
        <f>IFERROR(__xludf.DUMMYFUNCTION("""COMPUTED_VALUE"""),FALSE)</f>
        <v>0</v>
      </c>
      <c r="T2145" s="1" t="b">
        <f>IFERROR(__xludf.DUMMYFUNCTION("""COMPUTED_VALUE"""),FALSE)</f>
        <v>0</v>
      </c>
      <c r="U2145" s="1" t="str">
        <f>IFERROR(__xludf.DUMMYFUNCTION("""COMPUTED_VALUE"""),"DSQ")</f>
        <v>DSQ</v>
      </c>
      <c r="V2145" s="1" t="str">
        <f>IFERROR(__xludf.DUMMYFUNCTION("""COMPUTED_VALUE"""),"DSQ")</f>
        <v>DSQ</v>
      </c>
      <c r="W2145" s="1" t="str">
        <f>IFERROR(__xludf.DUMMYFUNCTION("""COMPUTED_VALUE"""),"DSQ")</f>
        <v>DSQ</v>
      </c>
      <c r="X2145" s="1" t="str">
        <f>IFERROR(__xludf.DUMMYFUNCTION("""COMPUTED_VALUE"""),"DSQ")</f>
        <v>DSQ</v>
      </c>
      <c r="Y2145" s="2"/>
      <c r="Z2145" s="2" t="str">
        <f>IFERROR(__xludf.DUMMYFUNCTION("""COMPUTED_VALUE"""),"")</f>
        <v/>
      </c>
    </row>
    <row r="2146">
      <c r="A2146" s="1">
        <f>IFERROR(__xludf.DUMMYFUNCTION("""COMPUTED_VALUE"""),2145.0)</f>
        <v>2145</v>
      </c>
      <c r="B2146" s="1">
        <f>IFERROR(__xludf.DUMMYFUNCTION("""COMPUTED_VALUE"""),5792.0)</f>
        <v>5792</v>
      </c>
      <c r="C2146" s="2" t="str">
        <f>IFERROR(__xludf.DUMMYFUNCTION("""COMPUTED_VALUE"""),"DEVA WIRATAMA")</f>
        <v>DEVA WIRATAMA</v>
      </c>
      <c r="D2146" s="2" t="str">
        <f>IFERROR(__xludf.DUMMYFUNCTION("""COMPUTED_VALUE"""),"5KM OVERALL M")</f>
        <v>5KM OVERALL M</v>
      </c>
      <c r="E2146" s="1">
        <f>IFERROR(__xludf.DUMMYFUNCTION("""COMPUTED_VALUE"""),2.0)</f>
        <v>2</v>
      </c>
      <c r="F2146" s="1" t="str">
        <f>IFERROR(__xludf.DUMMYFUNCTION("""COMPUTED_VALUE"""),"Male")</f>
        <v>Male</v>
      </c>
      <c r="G2146" s="4" t="b">
        <f>IFERROR(__xludf.DUMMYFUNCTION("""COMPUTED_VALUE"""),TRUE)</f>
        <v>1</v>
      </c>
      <c r="H2146" s="4" t="b">
        <f>IFERROR(__xludf.DUMMYFUNCTION("""COMPUTED_VALUE"""),FALSE)</f>
        <v>0</v>
      </c>
      <c r="I2146" s="4">
        <f>IFERROR(__xludf.DUMMYFUNCTION("""COMPUTED_VALUE"""),0.2549440625)</f>
        <v>0.2549440625</v>
      </c>
      <c r="J2146" s="4">
        <f>IFERROR(__xludf.DUMMYFUNCTION("""COMPUTED_VALUE"""),45949.26931487783)</f>
        <v>45949.26931</v>
      </c>
      <c r="K2146" s="4" t="str">
        <f>IFERROR(__xludf.DUMMYFUNCTION("""COMPUTED_VALUE"""),"")</f>
        <v/>
      </c>
      <c r="L2146" s="4">
        <f>IFERROR(__xludf.DUMMYFUNCTION("""COMPUTED_VALUE"""),45949.28077934432)</f>
        <v>45949.28078</v>
      </c>
      <c r="M2146" s="1" t="str">
        <f>IFERROR(__xludf.DUMMYFUNCTION("""COMPUTED_VALUE"""),"RFID")</f>
        <v>RFID</v>
      </c>
      <c r="N2146" s="5">
        <f>IFERROR(__xludf.DUMMYFUNCTION("""COMPUTED_VALUE"""),0.005748324074074074)</f>
        <v>0.005748324074</v>
      </c>
      <c r="O2146" s="5" t="str">
        <f>IFERROR(__xludf.DUMMYFUNCTION("""COMPUTED_VALUE"""),"")</f>
        <v/>
      </c>
      <c r="P2146" s="5" t="str">
        <f>IFERROR(__xludf.DUMMYFUNCTION("""COMPUTED_VALUE"""),"")</f>
        <v/>
      </c>
      <c r="Q2146" s="5">
        <f>IFERROR(__xludf.DUMMYFUNCTION("""COMPUTED_VALUE"""),0.005167055555555556)</f>
        <v>0.005167055556</v>
      </c>
      <c r="R2146" s="4">
        <f>IFERROR(__xludf.DUMMYFUNCTION("""COMPUTED_VALUE"""),45949.02583528182)</f>
        <v>45949.02584</v>
      </c>
      <c r="S2146" s="1" t="b">
        <f>IFERROR(__xludf.DUMMYFUNCTION("""COMPUTED_VALUE"""),TRUE)</f>
        <v>1</v>
      </c>
      <c r="T2146" s="1" t="b">
        <f>IFERROR(__xludf.DUMMYFUNCTION("""COMPUTED_VALUE"""),FALSE)</f>
        <v>0</v>
      </c>
      <c r="U2146" s="1" t="str">
        <f>IFERROR(__xludf.DUMMYFUNCTION("""COMPUTED_VALUE"""),"VALID")</f>
        <v>VALID</v>
      </c>
      <c r="V2146" s="1">
        <f>IFERROR(__xludf.DUMMYFUNCTION("""COMPUTED_VALUE"""),215.0)</f>
        <v>215</v>
      </c>
      <c r="W2146" s="1">
        <f>IFERROR(__xludf.DUMMYFUNCTION("""COMPUTED_VALUE"""),332.0)</f>
        <v>332</v>
      </c>
      <c r="X2146" s="1">
        <f>IFERROR(__xludf.DUMMYFUNCTION("""COMPUTED_VALUE"""),291.0)</f>
        <v>291</v>
      </c>
      <c r="Y2146" s="2"/>
      <c r="Z2146" s="2"/>
    </row>
    <row r="2147">
      <c r="A2147" s="1">
        <f>IFERROR(__xludf.DUMMYFUNCTION("""COMPUTED_VALUE"""),2146.0)</f>
        <v>2146</v>
      </c>
      <c r="B2147" s="1">
        <f>IFERROR(__xludf.DUMMYFUNCTION("""COMPUTED_VALUE"""),5793.0)</f>
        <v>5793</v>
      </c>
      <c r="C2147" s="2" t="str">
        <f>IFERROR(__xludf.DUMMYFUNCTION("""COMPUTED_VALUE"""),"Riqi Akbari")</f>
        <v>Riqi Akbari</v>
      </c>
      <c r="D2147" s="2" t="str">
        <f>IFERROR(__xludf.DUMMYFUNCTION("""COMPUTED_VALUE"""),"5KM OVERALL M")</f>
        <v>5KM OVERALL M</v>
      </c>
      <c r="E2147" s="1">
        <f>IFERROR(__xludf.DUMMYFUNCTION("""COMPUTED_VALUE"""),2.0)</f>
        <v>2</v>
      </c>
      <c r="F2147" s="1" t="str">
        <f>IFERROR(__xludf.DUMMYFUNCTION("""COMPUTED_VALUE"""),"Male")</f>
        <v>Male</v>
      </c>
      <c r="G2147" s="4" t="b">
        <f>IFERROR(__xludf.DUMMYFUNCTION("""COMPUTED_VALUE"""),TRUE)</f>
        <v>1</v>
      </c>
      <c r="H2147" s="4" t="b">
        <f>IFERROR(__xludf.DUMMYFUNCTION("""COMPUTED_VALUE"""),TRUE)</f>
        <v>1</v>
      </c>
      <c r="I2147" s="4">
        <f>IFERROR(__xludf.DUMMYFUNCTION("""COMPUTED_VALUE"""),0.2549440625)</f>
        <v>0.2549440625</v>
      </c>
      <c r="J2147" s="4" t="str">
        <f>IFERROR(__xludf.DUMMYFUNCTION("""COMPUTED_VALUE"""),"")</f>
        <v/>
      </c>
      <c r="K2147" s="4" t="str">
        <f>IFERROR(__xludf.DUMMYFUNCTION("""COMPUTED_VALUE"""),"")</f>
        <v/>
      </c>
      <c r="L2147" s="4" t="str">
        <f>IFERROR(__xludf.DUMMYFUNCTION("""COMPUTED_VALUE"""),"")</f>
        <v/>
      </c>
      <c r="M2147" s="1" t="str">
        <f>IFERROR(__xludf.DUMMYFUNCTION("""COMPUTED_VALUE"""),"RFID")</f>
        <v>RFID</v>
      </c>
      <c r="N2147" s="5" t="str">
        <f>IFERROR(__xludf.DUMMYFUNCTION("""COMPUTED_VALUE"""),"")</f>
        <v/>
      </c>
      <c r="O2147" s="5" t="str">
        <f>IFERROR(__xludf.DUMMYFUNCTION("""COMPUTED_VALUE"""),"")</f>
        <v/>
      </c>
      <c r="P2147" s="5" t="str">
        <f>IFERROR(__xludf.DUMMYFUNCTION("""COMPUTED_VALUE"""),"")</f>
        <v/>
      </c>
      <c r="Q2147" s="5" t="str">
        <f>IFERROR(__xludf.DUMMYFUNCTION("""COMPUTED_VALUE"""),"")</f>
        <v/>
      </c>
      <c r="R2147" s="4" t="str">
        <f>IFERROR(__xludf.DUMMYFUNCTION("""COMPUTED_VALUE"""),"")</f>
        <v/>
      </c>
      <c r="S2147" s="1" t="b">
        <f>IFERROR(__xludf.DUMMYFUNCTION("""COMPUTED_VALUE"""),FALSE)</f>
        <v>0</v>
      </c>
      <c r="T2147" s="1" t="b">
        <f>IFERROR(__xludf.DUMMYFUNCTION("""COMPUTED_VALUE"""),FALSE)</f>
        <v>0</v>
      </c>
      <c r="U2147" s="1" t="str">
        <f>IFERROR(__xludf.DUMMYFUNCTION("""COMPUTED_VALUE"""),"DSQ")</f>
        <v>DSQ</v>
      </c>
      <c r="V2147" s="1" t="str">
        <f>IFERROR(__xludf.DUMMYFUNCTION("""COMPUTED_VALUE"""),"DSQ")</f>
        <v>DSQ</v>
      </c>
      <c r="W2147" s="1" t="str">
        <f>IFERROR(__xludf.DUMMYFUNCTION("""COMPUTED_VALUE"""),"DSQ")</f>
        <v>DSQ</v>
      </c>
      <c r="X2147" s="1" t="str">
        <f>IFERROR(__xludf.DUMMYFUNCTION("""COMPUTED_VALUE"""),"DSQ")</f>
        <v>DSQ</v>
      </c>
      <c r="Y2147" s="2"/>
      <c r="Z2147" s="2" t="str">
        <f>IFERROR(__xludf.DUMMYFUNCTION("""COMPUTED_VALUE"""),"")</f>
        <v/>
      </c>
    </row>
    <row r="2148">
      <c r="A2148" s="1">
        <f>IFERROR(__xludf.DUMMYFUNCTION("""COMPUTED_VALUE"""),2147.0)</f>
        <v>2147</v>
      </c>
      <c r="B2148" s="1">
        <f>IFERROR(__xludf.DUMMYFUNCTION("""COMPUTED_VALUE"""),5795.0)</f>
        <v>5795</v>
      </c>
      <c r="C2148" s="2" t="str">
        <f>IFERROR(__xludf.DUMMYFUNCTION("""COMPUTED_VALUE"""),"BARRY, ABDUL HALIM")</f>
        <v>BARRY, ABDUL HALIM</v>
      </c>
      <c r="D2148" s="2" t="str">
        <f>IFERROR(__xludf.DUMMYFUNCTION("""COMPUTED_VALUE"""),"5KM OVERALL M")</f>
        <v>5KM OVERALL M</v>
      </c>
      <c r="E2148" s="1">
        <f>IFERROR(__xludf.DUMMYFUNCTION("""COMPUTED_VALUE"""),2.0)</f>
        <v>2</v>
      </c>
      <c r="F2148" s="1" t="str">
        <f>IFERROR(__xludf.DUMMYFUNCTION("""COMPUTED_VALUE"""),"Male")</f>
        <v>Male</v>
      </c>
      <c r="G2148" s="4" t="b">
        <f>IFERROR(__xludf.DUMMYFUNCTION("""COMPUTED_VALUE"""),TRUE)</f>
        <v>1</v>
      </c>
      <c r="H2148" s="4" t="b">
        <f>IFERROR(__xludf.DUMMYFUNCTION("""COMPUTED_VALUE"""),FALSE)</f>
        <v>0</v>
      </c>
      <c r="I2148" s="4">
        <f>IFERROR(__xludf.DUMMYFUNCTION("""COMPUTED_VALUE"""),0.2549440625)</f>
        <v>0.2549440625</v>
      </c>
      <c r="J2148" s="4">
        <f>IFERROR(__xludf.DUMMYFUNCTION("""COMPUTED_VALUE"""),45949.27190932719)</f>
        <v>45949.27191</v>
      </c>
      <c r="K2148" s="4" t="str">
        <f>IFERROR(__xludf.DUMMYFUNCTION("""COMPUTED_VALUE"""),"")</f>
        <v/>
      </c>
      <c r="L2148" s="4">
        <f>IFERROR(__xludf.DUMMYFUNCTION("""COMPUTED_VALUE"""),45949.285220337755)</f>
        <v>45949.28522</v>
      </c>
      <c r="M2148" s="1" t="str">
        <f>IFERROR(__xludf.DUMMYFUNCTION("""COMPUTED_VALUE"""),"RFID")</f>
        <v>RFID</v>
      </c>
      <c r="N2148" s="5">
        <f>IFERROR(__xludf.DUMMYFUNCTION("""COMPUTED_VALUE"""),0.0067861064814814815)</f>
        <v>0.006786106481</v>
      </c>
      <c r="O2148" s="5" t="str">
        <f>IFERROR(__xludf.DUMMYFUNCTION("""COMPUTED_VALUE"""),"")</f>
        <v/>
      </c>
      <c r="P2148" s="5" t="str">
        <f>IFERROR(__xludf.DUMMYFUNCTION("""COMPUTED_VALUE"""),"")</f>
        <v/>
      </c>
      <c r="Q2148" s="5">
        <f>IFERROR(__xludf.DUMMYFUNCTION("""COMPUTED_VALUE"""),0.006055254629629629)</f>
        <v>0.00605525463</v>
      </c>
      <c r="R2148" s="4">
        <f>IFERROR(__xludf.DUMMYFUNCTION("""COMPUTED_VALUE"""),45949.030276275254)</f>
        <v>45949.03028</v>
      </c>
      <c r="S2148" s="1" t="b">
        <f>IFERROR(__xludf.DUMMYFUNCTION("""COMPUTED_VALUE"""),TRUE)</f>
        <v>1</v>
      </c>
      <c r="T2148" s="1" t="b">
        <f>IFERROR(__xludf.DUMMYFUNCTION("""COMPUTED_VALUE"""),FALSE)</f>
        <v>0</v>
      </c>
      <c r="U2148" s="1" t="str">
        <f>IFERROR(__xludf.DUMMYFUNCTION("""COMPUTED_VALUE"""),"VALID")</f>
        <v>VALID</v>
      </c>
      <c r="V2148" s="1">
        <f>IFERROR(__xludf.DUMMYFUNCTION("""COMPUTED_VALUE"""),390.0)</f>
        <v>390</v>
      </c>
      <c r="W2148" s="1">
        <f>IFERROR(__xludf.DUMMYFUNCTION("""COMPUTED_VALUE"""),589.0)</f>
        <v>589</v>
      </c>
      <c r="X2148" s="1">
        <f>IFERROR(__xludf.DUMMYFUNCTION("""COMPUTED_VALUE"""),500.0)</f>
        <v>500</v>
      </c>
      <c r="Y2148" s="2"/>
      <c r="Z2148" s="2"/>
    </row>
    <row r="2149">
      <c r="A2149" s="1">
        <f>IFERROR(__xludf.DUMMYFUNCTION("""COMPUTED_VALUE"""),2148.0)</f>
        <v>2148</v>
      </c>
      <c r="B2149" s="1">
        <f>IFERROR(__xludf.DUMMYFUNCTION("""COMPUTED_VALUE"""),5801.0)</f>
        <v>5801</v>
      </c>
      <c r="C2149" s="2" t="str">
        <f>IFERROR(__xludf.DUMMYFUNCTION("""COMPUTED_VALUE"""),"GUGUN")</f>
        <v>GUGUN</v>
      </c>
      <c r="D2149" s="2" t="str">
        <f>IFERROR(__xludf.DUMMYFUNCTION("""COMPUTED_VALUE"""),"5KM OVERALL M")</f>
        <v>5KM OVERALL M</v>
      </c>
      <c r="E2149" s="1">
        <f>IFERROR(__xludf.DUMMYFUNCTION("""COMPUTED_VALUE"""),2.0)</f>
        <v>2</v>
      </c>
      <c r="F2149" s="1" t="str">
        <f>IFERROR(__xludf.DUMMYFUNCTION("""COMPUTED_VALUE"""),"Male")</f>
        <v>Male</v>
      </c>
      <c r="G2149" s="4" t="b">
        <f>IFERROR(__xludf.DUMMYFUNCTION("""COMPUTED_VALUE"""),TRUE)</f>
        <v>1</v>
      </c>
      <c r="H2149" s="4" t="b">
        <f>IFERROR(__xludf.DUMMYFUNCTION("""COMPUTED_VALUE"""),TRUE)</f>
        <v>1</v>
      </c>
      <c r="I2149" s="4">
        <f>IFERROR(__xludf.DUMMYFUNCTION("""COMPUTED_VALUE"""),0.2549440625)</f>
        <v>0.2549440625</v>
      </c>
      <c r="J2149" s="4">
        <f>IFERROR(__xludf.DUMMYFUNCTION("""COMPUTED_VALUE"""),45949.27574890796)</f>
        <v>45949.27575</v>
      </c>
      <c r="K2149" s="4" t="str">
        <f>IFERROR(__xludf.DUMMYFUNCTION("""COMPUTED_VALUE"""),"")</f>
        <v/>
      </c>
      <c r="L2149" s="4">
        <f>IFERROR(__xludf.DUMMYFUNCTION("""COMPUTED_VALUE"""),45949.28827586705)</f>
        <v>45949.28828</v>
      </c>
      <c r="M2149" s="1" t="str">
        <f>IFERROR(__xludf.DUMMYFUNCTION("""COMPUTED_VALUE"""),"RFID")</f>
        <v>RFID</v>
      </c>
      <c r="N2149" s="5">
        <f>IFERROR(__xludf.DUMMYFUNCTION("""COMPUTED_VALUE"""),0.008321939814814815)</f>
        <v>0.008321939815</v>
      </c>
      <c r="O2149" s="5" t="str">
        <f>IFERROR(__xludf.DUMMYFUNCTION("""COMPUTED_VALUE"""),"")</f>
        <v/>
      </c>
      <c r="P2149" s="5" t="str">
        <f>IFERROR(__xludf.DUMMYFUNCTION("""COMPUTED_VALUE"""),"")</f>
        <v/>
      </c>
      <c r="Q2149" s="5">
        <f>IFERROR(__xludf.DUMMYFUNCTION("""COMPUTED_VALUE"""),0.006666361111111111)</f>
        <v>0.006666361111</v>
      </c>
      <c r="R2149" s="4">
        <f>IFERROR(__xludf.DUMMYFUNCTION("""COMPUTED_VALUE"""),45949.03333180455)</f>
        <v>45949.03333</v>
      </c>
      <c r="S2149" s="1" t="b">
        <f>IFERROR(__xludf.DUMMYFUNCTION("""COMPUTED_VALUE"""),TRUE)</f>
        <v>1</v>
      </c>
      <c r="T2149" s="1" t="b">
        <f>IFERROR(__xludf.DUMMYFUNCTION("""COMPUTED_VALUE"""),FALSE)</f>
        <v>0</v>
      </c>
      <c r="U2149" s="1" t="str">
        <f>IFERROR(__xludf.DUMMYFUNCTION("""COMPUTED_VALUE"""),"VALID")</f>
        <v>VALID</v>
      </c>
      <c r="V2149" s="1">
        <f>IFERROR(__xludf.DUMMYFUNCTION("""COMPUTED_VALUE"""),510.0)</f>
        <v>510</v>
      </c>
      <c r="W2149" s="1">
        <f>IFERROR(__xludf.DUMMYFUNCTION("""COMPUTED_VALUE"""),796.0)</f>
        <v>796</v>
      </c>
      <c r="X2149" s="1">
        <f>IFERROR(__xludf.DUMMYFUNCTION("""COMPUTED_VALUE"""),658.0)</f>
        <v>658</v>
      </c>
      <c r="Y2149" s="2"/>
      <c r="Z2149" s="2"/>
    </row>
    <row r="2150">
      <c r="A2150" s="1">
        <f>IFERROR(__xludf.DUMMYFUNCTION("""COMPUTED_VALUE"""),2149.0)</f>
        <v>2149</v>
      </c>
      <c r="B2150" s="1">
        <f>IFERROR(__xludf.DUMMYFUNCTION("""COMPUTED_VALUE"""),5802.0)</f>
        <v>5802</v>
      </c>
      <c r="C2150" s="2" t="str">
        <f>IFERROR(__xludf.DUMMYFUNCTION("""COMPUTED_VALUE"""),"Hasby")</f>
        <v>Hasby</v>
      </c>
      <c r="D2150" s="2" t="str">
        <f>IFERROR(__xludf.DUMMYFUNCTION("""COMPUTED_VALUE"""),"5KM OVERALL M")</f>
        <v>5KM OVERALL M</v>
      </c>
      <c r="E2150" s="1">
        <f>IFERROR(__xludf.DUMMYFUNCTION("""COMPUTED_VALUE"""),2.0)</f>
        <v>2</v>
      </c>
      <c r="F2150" s="1" t="str">
        <f>IFERROR(__xludf.DUMMYFUNCTION("""COMPUTED_VALUE"""),"Male")</f>
        <v>Male</v>
      </c>
      <c r="G2150" s="4" t="b">
        <f>IFERROR(__xludf.DUMMYFUNCTION("""COMPUTED_VALUE"""),TRUE)</f>
        <v>1</v>
      </c>
      <c r="H2150" s="4" t="b">
        <f>IFERROR(__xludf.DUMMYFUNCTION("""COMPUTED_VALUE"""),TRUE)</f>
        <v>1</v>
      </c>
      <c r="I2150" s="4">
        <f>IFERROR(__xludf.DUMMYFUNCTION("""COMPUTED_VALUE"""),0.2549440625)</f>
        <v>0.2549440625</v>
      </c>
      <c r="J2150" s="4">
        <f>IFERROR(__xludf.DUMMYFUNCTION("""COMPUTED_VALUE"""),45949.277255942405)</f>
        <v>45949.27726</v>
      </c>
      <c r="K2150" s="4" t="str">
        <f>IFERROR(__xludf.DUMMYFUNCTION("""COMPUTED_VALUE"""),"")</f>
        <v/>
      </c>
      <c r="L2150" s="4">
        <f>IFERROR(__xludf.DUMMYFUNCTION("""COMPUTED_VALUE"""),45949.29166476179)</f>
        <v>45949.29166</v>
      </c>
      <c r="M2150" s="1" t="str">
        <f>IFERROR(__xludf.DUMMYFUNCTION("""COMPUTED_VALUE"""),"RFID")</f>
        <v>RFID</v>
      </c>
      <c r="N2150" s="5">
        <f>IFERROR(__xludf.DUMMYFUNCTION("""COMPUTED_VALUE"""),0.00892475)</f>
        <v>0.00892475</v>
      </c>
      <c r="O2150" s="5" t="str">
        <f>IFERROR(__xludf.DUMMYFUNCTION("""COMPUTED_VALUE"""),"")</f>
        <v/>
      </c>
      <c r="P2150" s="5" t="str">
        <f>IFERROR(__xludf.DUMMYFUNCTION("""COMPUTED_VALUE"""),"")</f>
        <v/>
      </c>
      <c r="Q2150" s="5">
        <f>IFERROR(__xludf.DUMMYFUNCTION("""COMPUTED_VALUE"""),0.007344138888888889)</f>
        <v>0.007344138889</v>
      </c>
      <c r="R2150" s="4">
        <f>IFERROR(__xludf.DUMMYFUNCTION("""COMPUTED_VALUE"""),45949.03672069929)</f>
        <v>45949.03672</v>
      </c>
      <c r="S2150" s="1" t="b">
        <f>IFERROR(__xludf.DUMMYFUNCTION("""COMPUTED_VALUE"""),TRUE)</f>
        <v>1</v>
      </c>
      <c r="T2150" s="1" t="b">
        <f>IFERROR(__xludf.DUMMYFUNCTION("""COMPUTED_VALUE"""),FALSE)</f>
        <v>0</v>
      </c>
      <c r="U2150" s="1" t="str">
        <f>IFERROR(__xludf.DUMMYFUNCTION("""COMPUTED_VALUE"""),"VALID")</f>
        <v>VALID</v>
      </c>
      <c r="V2150" s="1">
        <f>IFERROR(__xludf.DUMMYFUNCTION("""COMPUTED_VALUE"""),615.0)</f>
        <v>615</v>
      </c>
      <c r="W2150" s="1">
        <f>IFERROR(__xludf.DUMMYFUNCTION("""COMPUTED_VALUE"""),1008.0)</f>
        <v>1008</v>
      </c>
      <c r="X2150" s="1">
        <f>IFERROR(__xludf.DUMMYFUNCTION("""COMPUTED_VALUE"""),813.0)</f>
        <v>813</v>
      </c>
      <c r="Y2150" s="2"/>
      <c r="Z2150" s="2"/>
    </row>
    <row r="2151">
      <c r="A2151" s="1">
        <f>IFERROR(__xludf.DUMMYFUNCTION("""COMPUTED_VALUE"""),2150.0)</f>
        <v>2150</v>
      </c>
      <c r="B2151" s="1">
        <f>IFERROR(__xludf.DUMMYFUNCTION("""COMPUTED_VALUE"""),5803.0)</f>
        <v>5803</v>
      </c>
      <c r="C2151" s="2" t="str">
        <f>IFERROR(__xludf.DUMMYFUNCTION("""COMPUTED_VALUE"""),"Hanafi")</f>
        <v>Hanafi</v>
      </c>
      <c r="D2151" s="2" t="str">
        <f>IFERROR(__xludf.DUMMYFUNCTION("""COMPUTED_VALUE"""),"5KM OVERALL M")</f>
        <v>5KM OVERALL M</v>
      </c>
      <c r="E2151" s="1">
        <f>IFERROR(__xludf.DUMMYFUNCTION("""COMPUTED_VALUE"""),2.0)</f>
        <v>2</v>
      </c>
      <c r="F2151" s="1" t="str">
        <f>IFERROR(__xludf.DUMMYFUNCTION("""COMPUTED_VALUE"""),"Male")</f>
        <v>Male</v>
      </c>
      <c r="G2151" s="4" t="b">
        <f>IFERROR(__xludf.DUMMYFUNCTION("""COMPUTED_VALUE"""),TRUE)</f>
        <v>1</v>
      </c>
      <c r="H2151" s="4" t="b">
        <f>IFERROR(__xludf.DUMMYFUNCTION("""COMPUTED_VALUE"""),TRUE)</f>
        <v>1</v>
      </c>
      <c r="I2151" s="4">
        <f>IFERROR(__xludf.DUMMYFUNCTION("""COMPUTED_VALUE"""),0.2549440625)</f>
        <v>0.2549440625</v>
      </c>
      <c r="J2151" s="4">
        <f>IFERROR(__xludf.DUMMYFUNCTION("""COMPUTED_VALUE"""),45949.2743427318)</f>
        <v>45949.27434</v>
      </c>
      <c r="K2151" s="4" t="str">
        <f>IFERROR(__xludf.DUMMYFUNCTION("""COMPUTED_VALUE"""),"")</f>
        <v/>
      </c>
      <c r="L2151" s="4">
        <f>IFERROR(__xludf.DUMMYFUNCTION("""COMPUTED_VALUE"""),45949.287380038935)</f>
        <v>45949.28738</v>
      </c>
      <c r="M2151" s="1" t="str">
        <f>IFERROR(__xludf.DUMMYFUNCTION("""COMPUTED_VALUE"""),"RFID")</f>
        <v>RFID</v>
      </c>
      <c r="N2151" s="5">
        <f>IFERROR(__xludf.DUMMYFUNCTION("""COMPUTED_VALUE"""),0.007759467592592594)</f>
        <v>0.007759467593</v>
      </c>
      <c r="O2151" s="5" t="str">
        <f>IFERROR(__xludf.DUMMYFUNCTION("""COMPUTED_VALUE"""),"")</f>
        <v/>
      </c>
      <c r="P2151" s="5" t="str">
        <f>IFERROR(__xludf.DUMMYFUNCTION("""COMPUTED_VALUE"""),"")</f>
        <v/>
      </c>
      <c r="Q2151" s="5">
        <f>IFERROR(__xludf.DUMMYFUNCTION("""COMPUTED_VALUE"""),0.006487194444444444)</f>
        <v>0.006487194444</v>
      </c>
      <c r="R2151" s="4">
        <f>IFERROR(__xludf.DUMMYFUNCTION("""COMPUTED_VALUE"""),45949.032435976434)</f>
        <v>45949.03244</v>
      </c>
      <c r="S2151" s="1" t="b">
        <f>IFERROR(__xludf.DUMMYFUNCTION("""COMPUTED_VALUE"""),TRUE)</f>
        <v>1</v>
      </c>
      <c r="T2151" s="1" t="b">
        <f>IFERROR(__xludf.DUMMYFUNCTION("""COMPUTED_VALUE"""),FALSE)</f>
        <v>0</v>
      </c>
      <c r="U2151" s="1" t="str">
        <f>IFERROR(__xludf.DUMMYFUNCTION("""COMPUTED_VALUE"""),"VALID")</f>
        <v>VALID</v>
      </c>
      <c r="V2151" s="1">
        <f>IFERROR(__xludf.DUMMYFUNCTION("""COMPUTED_VALUE"""),470.0)</f>
        <v>470</v>
      </c>
      <c r="W2151" s="1">
        <f>IFERROR(__xludf.DUMMYFUNCTION("""COMPUTED_VALUE"""),726.0)</f>
        <v>726</v>
      </c>
      <c r="X2151" s="1">
        <f>IFERROR(__xludf.DUMMYFUNCTION("""COMPUTED_VALUE"""),609.0)</f>
        <v>609</v>
      </c>
      <c r="Y2151" s="2"/>
      <c r="Z2151" s="2"/>
    </row>
    <row r="2152">
      <c r="A2152" s="1">
        <f>IFERROR(__xludf.DUMMYFUNCTION("""COMPUTED_VALUE"""),2151.0)</f>
        <v>2151</v>
      </c>
      <c r="B2152" s="1">
        <f>IFERROR(__xludf.DUMMYFUNCTION("""COMPUTED_VALUE"""),5808.0)</f>
        <v>5808</v>
      </c>
      <c r="C2152" s="2" t="str">
        <f>IFERROR(__xludf.DUMMYFUNCTION("""COMPUTED_VALUE"""),"Mas AL")</f>
        <v>Mas AL</v>
      </c>
      <c r="D2152" s="2" t="str">
        <f>IFERROR(__xludf.DUMMYFUNCTION("""COMPUTED_VALUE"""),"5KM OVERALL M")</f>
        <v>5KM OVERALL M</v>
      </c>
      <c r="E2152" s="1">
        <f>IFERROR(__xludf.DUMMYFUNCTION("""COMPUTED_VALUE"""),2.0)</f>
        <v>2</v>
      </c>
      <c r="F2152" s="1" t="str">
        <f>IFERROR(__xludf.DUMMYFUNCTION("""COMPUTED_VALUE"""),"Male")</f>
        <v>Male</v>
      </c>
      <c r="G2152" s="4" t="b">
        <f>IFERROR(__xludf.DUMMYFUNCTION("""COMPUTED_VALUE"""),TRUE)</f>
        <v>1</v>
      </c>
      <c r="H2152" s="4" t="b">
        <f>IFERROR(__xludf.DUMMYFUNCTION("""COMPUTED_VALUE"""),TRUE)</f>
        <v>1</v>
      </c>
      <c r="I2152" s="4">
        <f>IFERROR(__xludf.DUMMYFUNCTION("""COMPUTED_VALUE"""),0.2549440625)</f>
        <v>0.2549440625</v>
      </c>
      <c r="J2152" s="4">
        <f>IFERROR(__xludf.DUMMYFUNCTION("""COMPUTED_VALUE"""),45949.2801586939)</f>
        <v>45949.28016</v>
      </c>
      <c r="K2152" s="4" t="str">
        <f>IFERROR(__xludf.DUMMYFUNCTION("""COMPUTED_VALUE"""),"")</f>
        <v/>
      </c>
      <c r="L2152" s="4">
        <f>IFERROR(__xludf.DUMMYFUNCTION("""COMPUTED_VALUE"""),45949.2947237894)</f>
        <v>45949.29472</v>
      </c>
      <c r="M2152" s="1" t="str">
        <f>IFERROR(__xludf.DUMMYFUNCTION("""COMPUTED_VALUE"""),"RFID")</f>
        <v>RFID</v>
      </c>
      <c r="N2152" s="5">
        <f>IFERROR(__xludf.DUMMYFUNCTION("""COMPUTED_VALUE"""),0.010085851851851851)</f>
        <v>0.01008585185</v>
      </c>
      <c r="O2152" s="5" t="str">
        <f>IFERROR(__xludf.DUMMYFUNCTION("""COMPUTED_VALUE"""),"")</f>
        <v/>
      </c>
      <c r="P2152" s="5" t="str">
        <f>IFERROR(__xludf.DUMMYFUNCTION("""COMPUTED_VALUE"""),"")</f>
        <v/>
      </c>
      <c r="Q2152" s="5">
        <f>IFERROR(__xludf.DUMMYFUNCTION("""COMPUTED_VALUE"""),0.007955944444444444)</f>
        <v>0.007955944444</v>
      </c>
      <c r="R2152" s="4">
        <f>IFERROR(__xludf.DUMMYFUNCTION("""COMPUTED_VALUE"""),45949.039779726896)</f>
        <v>45949.03978</v>
      </c>
      <c r="S2152" s="1" t="b">
        <f>IFERROR(__xludf.DUMMYFUNCTION("""COMPUTED_VALUE"""),TRUE)</f>
        <v>1</v>
      </c>
      <c r="T2152" s="1" t="b">
        <f>IFERROR(__xludf.DUMMYFUNCTION("""COMPUTED_VALUE"""),FALSE)</f>
        <v>0</v>
      </c>
      <c r="U2152" s="1" t="str">
        <f>IFERROR(__xludf.DUMMYFUNCTION("""COMPUTED_VALUE"""),"VALID")</f>
        <v>VALID</v>
      </c>
      <c r="V2152" s="1">
        <f>IFERROR(__xludf.DUMMYFUNCTION("""COMPUTED_VALUE"""),710.0)</f>
        <v>710</v>
      </c>
      <c r="W2152" s="1">
        <f>IFERROR(__xludf.DUMMYFUNCTION("""COMPUTED_VALUE"""),1232.0)</f>
        <v>1232</v>
      </c>
      <c r="X2152" s="1">
        <f>IFERROR(__xludf.DUMMYFUNCTION("""COMPUTED_VALUE"""),968.0)</f>
        <v>968</v>
      </c>
      <c r="Y2152" s="2"/>
      <c r="Z2152" s="2"/>
    </row>
    <row r="2153">
      <c r="A2153" s="1">
        <f>IFERROR(__xludf.DUMMYFUNCTION("""COMPUTED_VALUE"""),2152.0)</f>
        <v>2152</v>
      </c>
      <c r="B2153" s="1">
        <f>IFERROR(__xludf.DUMMYFUNCTION("""COMPUTED_VALUE"""),5810.0)</f>
        <v>5810</v>
      </c>
      <c r="C2153" s="2" t="str">
        <f>IFERROR(__xludf.DUMMYFUNCTION("""COMPUTED_VALUE"""),"Eightball")</f>
        <v>Eightball</v>
      </c>
      <c r="D2153" s="2" t="str">
        <f>IFERROR(__xludf.DUMMYFUNCTION("""COMPUTED_VALUE"""),"5KM OVERALL M")</f>
        <v>5KM OVERALL M</v>
      </c>
      <c r="E2153" s="1">
        <f>IFERROR(__xludf.DUMMYFUNCTION("""COMPUTED_VALUE"""),2.0)</f>
        <v>2</v>
      </c>
      <c r="F2153" s="1" t="str">
        <f>IFERROR(__xludf.DUMMYFUNCTION("""COMPUTED_VALUE"""),"Male")</f>
        <v>Male</v>
      </c>
      <c r="G2153" s="4" t="b">
        <f>IFERROR(__xludf.DUMMYFUNCTION("""COMPUTED_VALUE"""),TRUE)</f>
        <v>1</v>
      </c>
      <c r="H2153" s="4" t="b">
        <f>IFERROR(__xludf.DUMMYFUNCTION("""COMPUTED_VALUE"""),FALSE)</f>
        <v>0</v>
      </c>
      <c r="I2153" s="4">
        <f>IFERROR(__xludf.DUMMYFUNCTION("""COMPUTED_VALUE"""),0.2549440625)</f>
        <v>0.2549440625</v>
      </c>
      <c r="J2153" s="4">
        <f>IFERROR(__xludf.DUMMYFUNCTION("""COMPUTED_VALUE"""),45949.2730371037)</f>
        <v>45949.27304</v>
      </c>
      <c r="K2153" s="4" t="str">
        <f>IFERROR(__xludf.DUMMYFUNCTION("""COMPUTED_VALUE"""),"")</f>
        <v/>
      </c>
      <c r="L2153" s="4">
        <f>IFERROR(__xludf.DUMMYFUNCTION("""COMPUTED_VALUE"""),45949.28903686228)</f>
        <v>45949.28904</v>
      </c>
      <c r="M2153" s="1" t="str">
        <f>IFERROR(__xludf.DUMMYFUNCTION("""COMPUTED_VALUE"""),"RFID")</f>
        <v>RFID</v>
      </c>
      <c r="N2153" s="5">
        <f>IFERROR(__xludf.DUMMYFUNCTION("""COMPUTED_VALUE"""),0.007237217592592593)</f>
        <v>0.007237217593</v>
      </c>
      <c r="O2153" s="5" t="str">
        <f>IFERROR(__xludf.DUMMYFUNCTION("""COMPUTED_VALUE"""),"")</f>
        <v/>
      </c>
      <c r="P2153" s="5" t="str">
        <f>IFERROR(__xludf.DUMMYFUNCTION("""COMPUTED_VALUE"""),"")</f>
        <v/>
      </c>
      <c r="Q2153" s="5">
        <f>IFERROR(__xludf.DUMMYFUNCTION("""COMPUTED_VALUE"""),0.006818560185185185)</f>
        <v>0.006818560185</v>
      </c>
      <c r="R2153" s="4">
        <f>IFERROR(__xludf.DUMMYFUNCTION("""COMPUTED_VALUE"""),45949.03409279978)</f>
        <v>45949.03409</v>
      </c>
      <c r="S2153" s="1" t="b">
        <f>IFERROR(__xludf.DUMMYFUNCTION("""COMPUTED_VALUE"""),TRUE)</f>
        <v>1</v>
      </c>
      <c r="T2153" s="1" t="b">
        <f>IFERROR(__xludf.DUMMYFUNCTION("""COMPUTED_VALUE"""),FALSE)</f>
        <v>0</v>
      </c>
      <c r="U2153" s="1" t="str">
        <f>IFERROR(__xludf.DUMMYFUNCTION("""COMPUTED_VALUE"""),"VALID")</f>
        <v>VALID</v>
      </c>
      <c r="V2153" s="1">
        <f>IFERROR(__xludf.DUMMYFUNCTION("""COMPUTED_VALUE"""),538.0)</f>
        <v>538</v>
      </c>
      <c r="W2153" s="1">
        <f>IFERROR(__xludf.DUMMYFUNCTION("""COMPUTED_VALUE"""),846.0)</f>
        <v>846</v>
      </c>
      <c r="X2153" s="1">
        <f>IFERROR(__xludf.DUMMYFUNCTION("""COMPUTED_VALUE"""),693.0)</f>
        <v>693</v>
      </c>
      <c r="Y2153" s="2"/>
      <c r="Z2153" s="2"/>
    </row>
    <row r="2154">
      <c r="A2154" s="1">
        <f>IFERROR(__xludf.DUMMYFUNCTION("""COMPUTED_VALUE"""),2153.0)</f>
        <v>2153</v>
      </c>
      <c r="B2154" s="1">
        <f>IFERROR(__xludf.DUMMYFUNCTION("""COMPUTED_VALUE"""),5811.0)</f>
        <v>5811</v>
      </c>
      <c r="C2154" s="2" t="str">
        <f>IFERROR(__xludf.DUMMYFUNCTION("""COMPUTED_VALUE"""),"LUTHFAN")</f>
        <v>LUTHFAN</v>
      </c>
      <c r="D2154" s="2" t="str">
        <f>IFERROR(__xludf.DUMMYFUNCTION("""COMPUTED_VALUE"""),"5KM OVERALL M")</f>
        <v>5KM OVERALL M</v>
      </c>
      <c r="E2154" s="1">
        <f>IFERROR(__xludf.DUMMYFUNCTION("""COMPUTED_VALUE"""),2.0)</f>
        <v>2</v>
      </c>
      <c r="F2154" s="1" t="str">
        <f>IFERROR(__xludf.DUMMYFUNCTION("""COMPUTED_VALUE"""),"Male")</f>
        <v>Male</v>
      </c>
      <c r="G2154" s="4" t="b">
        <f>IFERROR(__xludf.DUMMYFUNCTION("""COMPUTED_VALUE"""),TRUE)</f>
        <v>1</v>
      </c>
      <c r="H2154" s="4" t="b">
        <f>IFERROR(__xludf.DUMMYFUNCTION("""COMPUTED_VALUE"""),TRUE)</f>
        <v>1</v>
      </c>
      <c r="I2154" s="4">
        <f>IFERROR(__xludf.DUMMYFUNCTION("""COMPUTED_VALUE"""),0.2549440625)</f>
        <v>0.2549440625</v>
      </c>
      <c r="J2154" s="4">
        <f>IFERROR(__xludf.DUMMYFUNCTION("""COMPUTED_VALUE"""),45949.269585760776)</f>
        <v>45949.26959</v>
      </c>
      <c r="K2154" s="4" t="str">
        <f>IFERROR(__xludf.DUMMYFUNCTION("""COMPUTED_VALUE"""),"")</f>
        <v/>
      </c>
      <c r="L2154" s="4">
        <f>IFERROR(__xludf.DUMMYFUNCTION("""COMPUTED_VALUE"""),45949.28047726615)</f>
        <v>45949.28048</v>
      </c>
      <c r="M2154" s="1" t="str">
        <f>IFERROR(__xludf.DUMMYFUNCTION("""COMPUTED_VALUE"""),"RFID")</f>
        <v>RFID</v>
      </c>
      <c r="N2154" s="5">
        <f>IFERROR(__xludf.DUMMYFUNCTION("""COMPUTED_VALUE"""),0.005856680555555555)</f>
        <v>0.005856680556</v>
      </c>
      <c r="O2154" s="5" t="str">
        <f>IFERROR(__xludf.DUMMYFUNCTION("""COMPUTED_VALUE"""),"")</f>
        <v/>
      </c>
      <c r="P2154" s="5" t="str">
        <f>IFERROR(__xludf.DUMMYFUNCTION("""COMPUTED_VALUE"""),"")</f>
        <v/>
      </c>
      <c r="Q2154" s="5">
        <f>IFERROR(__xludf.DUMMYFUNCTION("""COMPUTED_VALUE"""),0.0051066412037037035)</f>
        <v>0.005106641204</v>
      </c>
      <c r="R2154" s="4">
        <f>IFERROR(__xludf.DUMMYFUNCTION("""COMPUTED_VALUE"""),45949.02553320365)</f>
        <v>45949.02553</v>
      </c>
      <c r="S2154" s="1" t="b">
        <f>IFERROR(__xludf.DUMMYFUNCTION("""COMPUTED_VALUE"""),TRUE)</f>
        <v>1</v>
      </c>
      <c r="T2154" s="1" t="b">
        <f>IFERROR(__xludf.DUMMYFUNCTION("""COMPUTED_VALUE"""),FALSE)</f>
        <v>0</v>
      </c>
      <c r="U2154" s="1" t="str">
        <f>IFERROR(__xludf.DUMMYFUNCTION("""COMPUTED_VALUE"""),"VALID")</f>
        <v>VALID</v>
      </c>
      <c r="V2154" s="1">
        <f>IFERROR(__xludf.DUMMYFUNCTION("""COMPUTED_VALUE"""),205.0)</f>
        <v>205</v>
      </c>
      <c r="W2154" s="1">
        <f>IFERROR(__xludf.DUMMYFUNCTION("""COMPUTED_VALUE"""),318.0)</f>
        <v>318</v>
      </c>
      <c r="X2154" s="1">
        <f>IFERROR(__xludf.DUMMYFUNCTION("""COMPUTED_VALUE"""),279.0)</f>
        <v>279</v>
      </c>
      <c r="Y2154" s="2"/>
      <c r="Z2154" s="2"/>
    </row>
    <row r="2155">
      <c r="A2155" s="1">
        <f>IFERROR(__xludf.DUMMYFUNCTION("""COMPUTED_VALUE"""),2154.0)</f>
        <v>2154</v>
      </c>
      <c r="B2155" s="1">
        <f>IFERROR(__xludf.DUMMYFUNCTION("""COMPUTED_VALUE"""),5813.0)</f>
        <v>5813</v>
      </c>
      <c r="C2155" s="2" t="str">
        <f>IFERROR(__xludf.DUMMYFUNCTION("""COMPUTED_VALUE"""),"Arliansah")</f>
        <v>Arliansah</v>
      </c>
      <c r="D2155" s="2" t="str">
        <f>IFERROR(__xludf.DUMMYFUNCTION("""COMPUTED_VALUE"""),"5KM OVERALL M")</f>
        <v>5KM OVERALL M</v>
      </c>
      <c r="E2155" s="1">
        <f>IFERROR(__xludf.DUMMYFUNCTION("""COMPUTED_VALUE"""),2.0)</f>
        <v>2</v>
      </c>
      <c r="F2155" s="1" t="str">
        <f>IFERROR(__xludf.DUMMYFUNCTION("""COMPUTED_VALUE"""),"Male")</f>
        <v>Male</v>
      </c>
      <c r="G2155" s="4" t="b">
        <f>IFERROR(__xludf.DUMMYFUNCTION("""COMPUTED_VALUE"""),TRUE)</f>
        <v>1</v>
      </c>
      <c r="H2155" s="4" t="b">
        <f>IFERROR(__xludf.DUMMYFUNCTION("""COMPUTED_VALUE"""),FALSE)</f>
        <v>0</v>
      </c>
      <c r="I2155" s="4">
        <f>IFERROR(__xludf.DUMMYFUNCTION("""COMPUTED_VALUE"""),0.2549440625)</f>
        <v>0.2549440625</v>
      </c>
      <c r="J2155" s="4">
        <f>IFERROR(__xludf.DUMMYFUNCTION("""COMPUTED_VALUE"""),45949.284578866645)</f>
        <v>45949.28458</v>
      </c>
      <c r="K2155" s="4" t="str">
        <f>IFERROR(__xludf.DUMMYFUNCTION("""COMPUTED_VALUE"""),"")</f>
        <v/>
      </c>
      <c r="L2155" s="4">
        <f>IFERROR(__xludf.DUMMYFUNCTION("""COMPUTED_VALUE"""),45949.30299808843)</f>
        <v>45949.303</v>
      </c>
      <c r="M2155" s="1" t="str">
        <f>IFERROR(__xludf.DUMMYFUNCTION("""COMPUTED_VALUE"""),"RFID")</f>
        <v>RFID</v>
      </c>
      <c r="N2155" s="5">
        <f>IFERROR(__xludf.DUMMYFUNCTION("""COMPUTED_VALUE"""),0.011853921296296296)</f>
        <v>0.0118539213</v>
      </c>
      <c r="O2155" s="5" t="str">
        <f>IFERROR(__xludf.DUMMYFUNCTION("""COMPUTED_VALUE"""),"")</f>
        <v/>
      </c>
      <c r="P2155" s="5" t="str">
        <f>IFERROR(__xludf.DUMMYFUNCTION("""COMPUTED_VALUE"""),"")</f>
        <v/>
      </c>
      <c r="Q2155" s="5">
        <f>IFERROR(__xludf.DUMMYFUNCTION("""COMPUTED_VALUE"""),0.009610805555555556)</f>
        <v>0.009610805556</v>
      </c>
      <c r="R2155" s="4">
        <f>IFERROR(__xludf.DUMMYFUNCTION("""COMPUTED_VALUE"""),45949.04805402593)</f>
        <v>45949.04805</v>
      </c>
      <c r="S2155" s="1" t="b">
        <f>IFERROR(__xludf.DUMMYFUNCTION("""COMPUTED_VALUE"""),TRUE)</f>
        <v>1</v>
      </c>
      <c r="T2155" s="1" t="b">
        <f>IFERROR(__xludf.DUMMYFUNCTION("""COMPUTED_VALUE"""),FALSE)</f>
        <v>0</v>
      </c>
      <c r="U2155" s="1" t="str">
        <f>IFERROR(__xludf.DUMMYFUNCTION("""COMPUTED_VALUE"""),"VALID")</f>
        <v>VALID</v>
      </c>
      <c r="V2155" s="1">
        <f>IFERROR(__xludf.DUMMYFUNCTION("""COMPUTED_VALUE"""),831.0)</f>
        <v>831</v>
      </c>
      <c r="W2155" s="1">
        <f>IFERROR(__xludf.DUMMYFUNCTION("""COMPUTED_VALUE"""),1550.0)</f>
        <v>1550</v>
      </c>
      <c r="X2155" s="1">
        <f>IFERROR(__xludf.DUMMYFUNCTION("""COMPUTED_VALUE"""),1311.0)</f>
        <v>1311</v>
      </c>
      <c r="Y2155" s="2"/>
      <c r="Z2155" s="2"/>
    </row>
    <row r="2156">
      <c r="A2156" s="1">
        <f>IFERROR(__xludf.DUMMYFUNCTION("""COMPUTED_VALUE"""),2155.0)</f>
        <v>2155</v>
      </c>
      <c r="B2156" s="1">
        <f>IFERROR(__xludf.DUMMYFUNCTION("""COMPUTED_VALUE"""),5815.0)</f>
        <v>5815</v>
      </c>
      <c r="C2156" s="2" t="str">
        <f>IFERROR(__xludf.DUMMYFUNCTION("""COMPUTED_VALUE"""),"FAHMI AP")</f>
        <v>FAHMI AP</v>
      </c>
      <c r="D2156" s="2" t="str">
        <f>IFERROR(__xludf.DUMMYFUNCTION("""COMPUTED_VALUE"""),"5KM OVERALL M")</f>
        <v>5KM OVERALL M</v>
      </c>
      <c r="E2156" s="1">
        <f>IFERROR(__xludf.DUMMYFUNCTION("""COMPUTED_VALUE"""),2.0)</f>
        <v>2</v>
      </c>
      <c r="F2156" s="1" t="str">
        <f>IFERROR(__xludf.DUMMYFUNCTION("""COMPUTED_VALUE"""),"Male")</f>
        <v>Male</v>
      </c>
      <c r="G2156" s="4" t="str">
        <f>IFERROR(__xludf.DUMMYFUNCTION("""COMPUTED_VALUE"""),"")</f>
        <v/>
      </c>
      <c r="H2156" s="4" t="b">
        <f>IFERROR(__xludf.DUMMYFUNCTION("""COMPUTED_VALUE"""),FALSE)</f>
        <v>0</v>
      </c>
      <c r="I2156" s="4">
        <f>IFERROR(__xludf.DUMMYFUNCTION("""COMPUTED_VALUE"""),0.2549440625)</f>
        <v>0.2549440625</v>
      </c>
      <c r="J2156" s="4" t="str">
        <f>IFERROR(__xludf.DUMMYFUNCTION("""COMPUTED_VALUE"""),"")</f>
        <v/>
      </c>
      <c r="K2156" s="4" t="str">
        <f>IFERROR(__xludf.DUMMYFUNCTION("""COMPUTED_VALUE"""),"")</f>
        <v/>
      </c>
      <c r="L2156" s="4" t="str">
        <f>IFERROR(__xludf.DUMMYFUNCTION("""COMPUTED_VALUE"""),"")</f>
        <v/>
      </c>
      <c r="M2156" s="1" t="str">
        <f>IFERROR(__xludf.DUMMYFUNCTION("""COMPUTED_VALUE"""),"RFID")</f>
        <v>RFID</v>
      </c>
      <c r="N2156" s="5" t="str">
        <f>IFERROR(__xludf.DUMMYFUNCTION("""COMPUTED_VALUE"""),"")</f>
        <v/>
      </c>
      <c r="O2156" s="5" t="str">
        <f>IFERROR(__xludf.DUMMYFUNCTION("""COMPUTED_VALUE"""),"")</f>
        <v/>
      </c>
      <c r="P2156" s="5" t="str">
        <f>IFERROR(__xludf.DUMMYFUNCTION("""COMPUTED_VALUE"""),"")</f>
        <v/>
      </c>
      <c r="Q2156" s="5" t="str">
        <f>IFERROR(__xludf.DUMMYFUNCTION("""COMPUTED_VALUE"""),"")</f>
        <v/>
      </c>
      <c r="R2156" s="4" t="str">
        <f>IFERROR(__xludf.DUMMYFUNCTION("""COMPUTED_VALUE"""),"")</f>
        <v/>
      </c>
      <c r="S2156" s="1" t="b">
        <f>IFERROR(__xludf.DUMMYFUNCTION("""COMPUTED_VALUE"""),FALSE)</f>
        <v>0</v>
      </c>
      <c r="T2156" s="1" t="b">
        <f>IFERROR(__xludf.DUMMYFUNCTION("""COMPUTED_VALUE"""),FALSE)</f>
        <v>0</v>
      </c>
      <c r="U2156" s="1" t="str">
        <f>IFERROR(__xludf.DUMMYFUNCTION("""COMPUTED_VALUE"""),"DSQ")</f>
        <v>DSQ</v>
      </c>
      <c r="V2156" s="1" t="str">
        <f>IFERROR(__xludf.DUMMYFUNCTION("""COMPUTED_VALUE"""),"DSQ")</f>
        <v>DSQ</v>
      </c>
      <c r="W2156" s="1" t="str">
        <f>IFERROR(__xludf.DUMMYFUNCTION("""COMPUTED_VALUE"""),"DSQ")</f>
        <v>DSQ</v>
      </c>
      <c r="X2156" s="1" t="str">
        <f>IFERROR(__xludf.DUMMYFUNCTION("""COMPUTED_VALUE"""),"DSQ")</f>
        <v>DSQ</v>
      </c>
      <c r="Y2156" s="2"/>
      <c r="Z2156" s="2" t="str">
        <f>IFERROR(__xludf.DUMMYFUNCTION("""COMPUTED_VALUE"""),"")</f>
        <v/>
      </c>
    </row>
    <row r="2157">
      <c r="A2157" s="1">
        <f>IFERROR(__xludf.DUMMYFUNCTION("""COMPUTED_VALUE"""),2156.0)</f>
        <v>2156</v>
      </c>
      <c r="B2157" s="1">
        <f>IFERROR(__xludf.DUMMYFUNCTION("""COMPUTED_VALUE"""),5816.0)</f>
        <v>5816</v>
      </c>
      <c r="C2157" s="2" t="str">
        <f>IFERROR(__xludf.DUMMYFUNCTION("""COMPUTED_VALUE"""),"TAQWA PENJURU")</f>
        <v>TAQWA PENJURU</v>
      </c>
      <c r="D2157" s="2" t="str">
        <f>IFERROR(__xludf.DUMMYFUNCTION("""COMPUTED_VALUE"""),"5KM OVERALL M")</f>
        <v>5KM OVERALL M</v>
      </c>
      <c r="E2157" s="1">
        <f>IFERROR(__xludf.DUMMYFUNCTION("""COMPUTED_VALUE"""),2.0)</f>
        <v>2</v>
      </c>
      <c r="F2157" s="1" t="str">
        <f>IFERROR(__xludf.DUMMYFUNCTION("""COMPUTED_VALUE"""),"Male")</f>
        <v>Male</v>
      </c>
      <c r="G2157" s="4" t="b">
        <f>IFERROR(__xludf.DUMMYFUNCTION("""COMPUTED_VALUE"""),TRUE)</f>
        <v>1</v>
      </c>
      <c r="H2157" s="4" t="b">
        <f>IFERROR(__xludf.DUMMYFUNCTION("""COMPUTED_VALUE"""),TRUE)</f>
        <v>1</v>
      </c>
      <c r="I2157" s="4">
        <f>IFERROR(__xludf.DUMMYFUNCTION("""COMPUTED_VALUE"""),0.2549440625)</f>
        <v>0.2549440625</v>
      </c>
      <c r="J2157" s="4">
        <f>IFERROR(__xludf.DUMMYFUNCTION("""COMPUTED_VALUE"""),45949.2710649351)</f>
        <v>45949.27106</v>
      </c>
      <c r="K2157" s="4" t="str">
        <f>IFERROR(__xludf.DUMMYFUNCTION("""COMPUTED_VALUE"""),"")</f>
        <v/>
      </c>
      <c r="L2157" s="4">
        <f>IFERROR(__xludf.DUMMYFUNCTION("""COMPUTED_VALUE"""),45949.281317534376)</f>
        <v>45949.28132</v>
      </c>
      <c r="M2157" s="1" t="str">
        <f>IFERROR(__xludf.DUMMYFUNCTION("""COMPUTED_VALUE"""),"RFID")</f>
        <v>RFID</v>
      </c>
      <c r="N2157" s="5">
        <f>IFERROR(__xludf.DUMMYFUNCTION("""COMPUTED_VALUE"""),0.0064483472222222225)</f>
        <v>0.006448347222</v>
      </c>
      <c r="O2157" s="5" t="str">
        <f>IFERROR(__xludf.DUMMYFUNCTION("""COMPUTED_VALUE"""),"")</f>
        <v/>
      </c>
      <c r="P2157" s="5" t="str">
        <f>IFERROR(__xludf.DUMMYFUNCTION("""COMPUTED_VALUE"""),"")</f>
        <v/>
      </c>
      <c r="Q2157" s="5">
        <f>IFERROR(__xludf.DUMMYFUNCTION("""COMPUTED_VALUE"""),0.005274694444444445)</f>
        <v>0.005274694444</v>
      </c>
      <c r="R2157" s="4">
        <f>IFERROR(__xludf.DUMMYFUNCTION("""COMPUTED_VALUE"""),45949.026373471876)</f>
        <v>45949.02637</v>
      </c>
      <c r="S2157" s="1" t="b">
        <f>IFERROR(__xludf.DUMMYFUNCTION("""COMPUTED_VALUE"""),TRUE)</f>
        <v>1</v>
      </c>
      <c r="T2157" s="1" t="b">
        <f>IFERROR(__xludf.DUMMYFUNCTION("""COMPUTED_VALUE"""),FALSE)</f>
        <v>0</v>
      </c>
      <c r="U2157" s="1" t="str">
        <f>IFERROR(__xludf.DUMMYFUNCTION("""COMPUTED_VALUE"""),"VALID")</f>
        <v>VALID</v>
      </c>
      <c r="V2157" s="1">
        <f>IFERROR(__xludf.DUMMYFUNCTION("""COMPUTED_VALUE"""),229.0)</f>
        <v>229</v>
      </c>
      <c r="W2157" s="1">
        <f>IFERROR(__xludf.DUMMYFUNCTION("""COMPUTED_VALUE"""),352.0)</f>
        <v>352</v>
      </c>
      <c r="X2157" s="1">
        <f>IFERROR(__xludf.DUMMYFUNCTION("""COMPUTED_VALUE"""),306.0)</f>
        <v>306</v>
      </c>
      <c r="Y2157" s="2"/>
      <c r="Z2157" s="2"/>
    </row>
    <row r="2158">
      <c r="A2158" s="1">
        <f>IFERROR(__xludf.DUMMYFUNCTION("""COMPUTED_VALUE"""),2157.0)</f>
        <v>2157</v>
      </c>
      <c r="B2158" s="1">
        <f>IFERROR(__xludf.DUMMYFUNCTION("""COMPUTED_VALUE"""),5817.0)</f>
        <v>5817</v>
      </c>
      <c r="C2158" s="2" t="str">
        <f>IFERROR(__xludf.DUMMYFUNCTION("""COMPUTED_VALUE"""),"Astiana")</f>
        <v>Astiana</v>
      </c>
      <c r="D2158" s="2" t="str">
        <f>IFERROR(__xludf.DUMMYFUNCTION("""COMPUTED_VALUE"""),"5KM OVERALL M")</f>
        <v>5KM OVERALL M</v>
      </c>
      <c r="E2158" s="1">
        <f>IFERROR(__xludf.DUMMYFUNCTION("""COMPUTED_VALUE"""),2.0)</f>
        <v>2</v>
      </c>
      <c r="F2158" s="1" t="str">
        <f>IFERROR(__xludf.DUMMYFUNCTION("""COMPUTED_VALUE"""),"Male")</f>
        <v>Male</v>
      </c>
      <c r="G2158" s="4" t="b">
        <f>IFERROR(__xludf.DUMMYFUNCTION("""COMPUTED_VALUE"""),TRUE)</f>
        <v>1</v>
      </c>
      <c r="H2158" s="4" t="b">
        <f>IFERROR(__xludf.DUMMYFUNCTION("""COMPUTED_VALUE"""),TRUE)</f>
        <v>1</v>
      </c>
      <c r="I2158" s="4">
        <f>IFERROR(__xludf.DUMMYFUNCTION("""COMPUTED_VALUE"""),0.2549440625)</f>
        <v>0.2549440625</v>
      </c>
      <c r="J2158" s="4">
        <f>IFERROR(__xludf.DUMMYFUNCTION("""COMPUTED_VALUE"""),45949.27698155486)</f>
        <v>45949.27698</v>
      </c>
      <c r="K2158" s="4" t="str">
        <f>IFERROR(__xludf.DUMMYFUNCTION("""COMPUTED_VALUE"""),"")</f>
        <v/>
      </c>
      <c r="L2158" s="4">
        <f>IFERROR(__xludf.DUMMYFUNCTION("""COMPUTED_VALUE"""),45949.295341851976)</f>
        <v>45949.29534</v>
      </c>
      <c r="M2158" s="1" t="str">
        <f>IFERROR(__xludf.DUMMYFUNCTION("""COMPUTED_VALUE"""),"RFID")</f>
        <v>RFID</v>
      </c>
      <c r="N2158" s="5">
        <f>IFERROR(__xludf.DUMMYFUNCTION("""COMPUTED_VALUE"""),0.00881499537037037)</f>
        <v>0.00881499537</v>
      </c>
      <c r="O2158" s="5" t="str">
        <f>IFERROR(__xludf.DUMMYFUNCTION("""COMPUTED_VALUE"""),"")</f>
        <v/>
      </c>
      <c r="P2158" s="5" t="str">
        <f>IFERROR(__xludf.DUMMYFUNCTION("""COMPUTED_VALUE"""),"")</f>
        <v/>
      </c>
      <c r="Q2158" s="5">
        <f>IFERROR(__xludf.DUMMYFUNCTION("""COMPUTED_VALUE"""),0.00807955787037037)</f>
        <v>0.00807955787</v>
      </c>
      <c r="R2158" s="4">
        <f>IFERROR(__xludf.DUMMYFUNCTION("""COMPUTED_VALUE"""),45949.040397789475)</f>
        <v>45949.0404</v>
      </c>
      <c r="S2158" s="1" t="b">
        <f>IFERROR(__xludf.DUMMYFUNCTION("""COMPUTED_VALUE"""),TRUE)</f>
        <v>1</v>
      </c>
      <c r="T2158" s="1" t="b">
        <f>IFERROR(__xludf.DUMMYFUNCTION("""COMPUTED_VALUE"""),FALSE)</f>
        <v>0</v>
      </c>
      <c r="U2158" s="1" t="str">
        <f>IFERROR(__xludf.DUMMYFUNCTION("""COMPUTED_VALUE"""),"VALID")</f>
        <v>VALID</v>
      </c>
      <c r="V2158" s="1">
        <f>IFERROR(__xludf.DUMMYFUNCTION("""COMPUTED_VALUE"""),727.0)</f>
        <v>727</v>
      </c>
      <c r="W2158" s="1">
        <f>IFERROR(__xludf.DUMMYFUNCTION("""COMPUTED_VALUE"""),1267.0)</f>
        <v>1267</v>
      </c>
      <c r="X2158" s="1">
        <f>IFERROR(__xludf.DUMMYFUNCTION("""COMPUTED_VALUE"""),1001.0)</f>
        <v>1001</v>
      </c>
      <c r="Y2158" s="2"/>
      <c r="Z2158" s="2"/>
    </row>
    <row r="2159">
      <c r="A2159" s="1">
        <f>IFERROR(__xludf.DUMMYFUNCTION("""COMPUTED_VALUE"""),2158.0)</f>
        <v>2158</v>
      </c>
      <c r="B2159" s="1">
        <f>IFERROR(__xludf.DUMMYFUNCTION("""COMPUTED_VALUE"""),5819.0)</f>
        <v>5819</v>
      </c>
      <c r="C2159" s="2" t="str">
        <f>IFERROR(__xludf.DUMMYFUNCTION("""COMPUTED_VALUE"""),"Hanif Susanto")</f>
        <v>Hanif Susanto</v>
      </c>
      <c r="D2159" s="2" t="str">
        <f>IFERROR(__xludf.DUMMYFUNCTION("""COMPUTED_VALUE"""),"5KM OVERALL M")</f>
        <v>5KM OVERALL M</v>
      </c>
      <c r="E2159" s="1">
        <f>IFERROR(__xludf.DUMMYFUNCTION("""COMPUTED_VALUE"""),2.0)</f>
        <v>2</v>
      </c>
      <c r="F2159" s="1" t="str">
        <f>IFERROR(__xludf.DUMMYFUNCTION("""COMPUTED_VALUE"""),"Male")</f>
        <v>Male</v>
      </c>
      <c r="G2159" s="4" t="str">
        <f>IFERROR(__xludf.DUMMYFUNCTION("""COMPUTED_VALUE"""),"")</f>
        <v/>
      </c>
      <c r="H2159" s="4" t="b">
        <f>IFERROR(__xludf.DUMMYFUNCTION("""COMPUTED_VALUE"""),FALSE)</f>
        <v>0</v>
      </c>
      <c r="I2159" s="4">
        <f>IFERROR(__xludf.DUMMYFUNCTION("""COMPUTED_VALUE"""),0.2549440625)</f>
        <v>0.2549440625</v>
      </c>
      <c r="J2159" s="4" t="str">
        <f>IFERROR(__xludf.DUMMYFUNCTION("""COMPUTED_VALUE"""),"")</f>
        <v/>
      </c>
      <c r="K2159" s="4" t="str">
        <f>IFERROR(__xludf.DUMMYFUNCTION("""COMPUTED_VALUE"""),"")</f>
        <v/>
      </c>
      <c r="L2159" s="4" t="str">
        <f>IFERROR(__xludf.DUMMYFUNCTION("""COMPUTED_VALUE"""),"")</f>
        <v/>
      </c>
      <c r="M2159" s="1" t="str">
        <f>IFERROR(__xludf.DUMMYFUNCTION("""COMPUTED_VALUE"""),"RFID")</f>
        <v>RFID</v>
      </c>
      <c r="N2159" s="5" t="str">
        <f>IFERROR(__xludf.DUMMYFUNCTION("""COMPUTED_VALUE"""),"")</f>
        <v/>
      </c>
      <c r="O2159" s="5" t="str">
        <f>IFERROR(__xludf.DUMMYFUNCTION("""COMPUTED_VALUE"""),"")</f>
        <v/>
      </c>
      <c r="P2159" s="5" t="str">
        <f>IFERROR(__xludf.DUMMYFUNCTION("""COMPUTED_VALUE"""),"")</f>
        <v/>
      </c>
      <c r="Q2159" s="5" t="str">
        <f>IFERROR(__xludf.DUMMYFUNCTION("""COMPUTED_VALUE"""),"")</f>
        <v/>
      </c>
      <c r="R2159" s="4" t="str">
        <f>IFERROR(__xludf.DUMMYFUNCTION("""COMPUTED_VALUE"""),"")</f>
        <v/>
      </c>
      <c r="S2159" s="1" t="b">
        <f>IFERROR(__xludf.DUMMYFUNCTION("""COMPUTED_VALUE"""),FALSE)</f>
        <v>0</v>
      </c>
      <c r="T2159" s="1" t="b">
        <f>IFERROR(__xludf.DUMMYFUNCTION("""COMPUTED_VALUE"""),FALSE)</f>
        <v>0</v>
      </c>
      <c r="U2159" s="1" t="str">
        <f>IFERROR(__xludf.DUMMYFUNCTION("""COMPUTED_VALUE"""),"DSQ")</f>
        <v>DSQ</v>
      </c>
      <c r="V2159" s="1" t="str">
        <f>IFERROR(__xludf.DUMMYFUNCTION("""COMPUTED_VALUE"""),"DSQ")</f>
        <v>DSQ</v>
      </c>
      <c r="W2159" s="1" t="str">
        <f>IFERROR(__xludf.DUMMYFUNCTION("""COMPUTED_VALUE"""),"DSQ")</f>
        <v>DSQ</v>
      </c>
      <c r="X2159" s="1" t="str">
        <f>IFERROR(__xludf.DUMMYFUNCTION("""COMPUTED_VALUE"""),"DSQ")</f>
        <v>DSQ</v>
      </c>
      <c r="Y2159" s="2"/>
      <c r="Z2159" s="2" t="str">
        <f>IFERROR(__xludf.DUMMYFUNCTION("""COMPUTED_VALUE"""),"")</f>
        <v/>
      </c>
    </row>
    <row r="2160">
      <c r="A2160" s="1">
        <f>IFERROR(__xludf.DUMMYFUNCTION("""COMPUTED_VALUE"""),2159.0)</f>
        <v>2159</v>
      </c>
      <c r="B2160" s="1">
        <f>IFERROR(__xludf.DUMMYFUNCTION("""COMPUTED_VALUE"""),5820.0)</f>
        <v>5820</v>
      </c>
      <c r="C2160" s="2" t="str">
        <f>IFERROR(__xludf.DUMMYFUNCTION("""COMPUTED_VALUE"""),"Rizky Riovani Aditya")</f>
        <v>Rizky Riovani Aditya</v>
      </c>
      <c r="D2160" s="2" t="str">
        <f>IFERROR(__xludf.DUMMYFUNCTION("""COMPUTED_VALUE"""),"5KM OVERALL M")</f>
        <v>5KM OVERALL M</v>
      </c>
      <c r="E2160" s="1">
        <f>IFERROR(__xludf.DUMMYFUNCTION("""COMPUTED_VALUE"""),2.0)</f>
        <v>2</v>
      </c>
      <c r="F2160" s="1" t="str">
        <f>IFERROR(__xludf.DUMMYFUNCTION("""COMPUTED_VALUE"""),"Male")</f>
        <v>Male</v>
      </c>
      <c r="G2160" s="4" t="b">
        <f>IFERROR(__xludf.DUMMYFUNCTION("""COMPUTED_VALUE"""),TRUE)</f>
        <v>1</v>
      </c>
      <c r="H2160" s="4" t="b">
        <f>IFERROR(__xludf.DUMMYFUNCTION("""COMPUTED_VALUE"""),TRUE)</f>
        <v>1</v>
      </c>
      <c r="I2160" s="4">
        <f>IFERROR(__xludf.DUMMYFUNCTION("""COMPUTED_VALUE"""),0.2549440625)</f>
        <v>0.2549440625</v>
      </c>
      <c r="J2160" s="4">
        <f>IFERROR(__xludf.DUMMYFUNCTION("""COMPUTED_VALUE"""),45949.27266221345)</f>
        <v>45949.27266</v>
      </c>
      <c r="K2160" s="4" t="str">
        <f>IFERROR(__xludf.DUMMYFUNCTION("""COMPUTED_VALUE"""),"")</f>
        <v/>
      </c>
      <c r="L2160" s="4">
        <f>IFERROR(__xludf.DUMMYFUNCTION("""COMPUTED_VALUE"""),45949.28665775981)</f>
        <v>45949.28666</v>
      </c>
      <c r="M2160" s="1" t="str">
        <f>IFERROR(__xludf.DUMMYFUNCTION("""COMPUTED_VALUE"""),"RFID")</f>
        <v>RFID</v>
      </c>
      <c r="N2160" s="5">
        <f>IFERROR(__xludf.DUMMYFUNCTION("""COMPUTED_VALUE"""),0.007087259259259258)</f>
        <v>0.007087259259</v>
      </c>
      <c r="O2160" s="5" t="str">
        <f>IFERROR(__xludf.DUMMYFUNCTION("""COMPUTED_VALUE"""),"")</f>
        <v/>
      </c>
      <c r="P2160" s="5" t="str">
        <f>IFERROR(__xludf.DUMMYFUNCTION("""COMPUTED_VALUE"""),"")</f>
        <v/>
      </c>
      <c r="Q2160" s="5">
        <f>IFERROR(__xludf.DUMMYFUNCTION("""COMPUTED_VALUE"""),0.006342738425925925)</f>
        <v>0.006342738426</v>
      </c>
      <c r="R2160" s="4">
        <f>IFERROR(__xludf.DUMMYFUNCTION("""COMPUTED_VALUE"""),45949.03171369731)</f>
        <v>45949.03171</v>
      </c>
      <c r="S2160" s="1" t="b">
        <f>IFERROR(__xludf.DUMMYFUNCTION("""COMPUTED_VALUE"""),TRUE)</f>
        <v>1</v>
      </c>
      <c r="T2160" s="1" t="b">
        <f>IFERROR(__xludf.DUMMYFUNCTION("""COMPUTED_VALUE"""),FALSE)</f>
        <v>0</v>
      </c>
      <c r="U2160" s="1" t="str">
        <f>IFERROR(__xludf.DUMMYFUNCTION("""COMPUTED_VALUE"""),"VALID")</f>
        <v>VALID</v>
      </c>
      <c r="V2160" s="1">
        <f>IFERROR(__xludf.DUMMYFUNCTION("""COMPUTED_VALUE"""),443.0)</f>
        <v>443</v>
      </c>
      <c r="W2160" s="1">
        <f>IFERROR(__xludf.DUMMYFUNCTION("""COMPUTED_VALUE"""),682.0)</f>
        <v>682</v>
      </c>
      <c r="X2160" s="1">
        <f>IFERROR(__xludf.DUMMYFUNCTION("""COMPUTED_VALUE"""),571.0)</f>
        <v>571</v>
      </c>
      <c r="Y2160" s="2"/>
      <c r="Z2160" s="2"/>
    </row>
    <row r="2161">
      <c r="A2161" s="1">
        <f>IFERROR(__xludf.DUMMYFUNCTION("""COMPUTED_VALUE"""),2160.0)</f>
        <v>2160</v>
      </c>
      <c r="B2161" s="1">
        <f>IFERROR(__xludf.DUMMYFUNCTION("""COMPUTED_VALUE"""),5823.0)</f>
        <v>5823</v>
      </c>
      <c r="C2161" s="2" t="str">
        <f>IFERROR(__xludf.DUMMYFUNCTION("""COMPUTED_VALUE"""),"Aminullah")</f>
        <v>Aminullah</v>
      </c>
      <c r="D2161" s="2" t="str">
        <f>IFERROR(__xludf.DUMMYFUNCTION("""COMPUTED_VALUE"""),"5KM OVERALL M")</f>
        <v>5KM OVERALL M</v>
      </c>
      <c r="E2161" s="1">
        <f>IFERROR(__xludf.DUMMYFUNCTION("""COMPUTED_VALUE"""),2.0)</f>
        <v>2</v>
      </c>
      <c r="F2161" s="1" t="str">
        <f>IFERROR(__xludf.DUMMYFUNCTION("""COMPUTED_VALUE"""),"Male")</f>
        <v>Male</v>
      </c>
      <c r="G2161" s="4" t="str">
        <f>IFERROR(__xludf.DUMMYFUNCTION("""COMPUTED_VALUE"""),"")</f>
        <v/>
      </c>
      <c r="H2161" s="4" t="b">
        <f>IFERROR(__xludf.DUMMYFUNCTION("""COMPUTED_VALUE"""),FALSE)</f>
        <v>0</v>
      </c>
      <c r="I2161" s="4">
        <f>IFERROR(__xludf.DUMMYFUNCTION("""COMPUTED_VALUE"""),0.2549440625)</f>
        <v>0.2549440625</v>
      </c>
      <c r="J2161" s="4" t="str">
        <f>IFERROR(__xludf.DUMMYFUNCTION("""COMPUTED_VALUE"""),"")</f>
        <v/>
      </c>
      <c r="K2161" s="4" t="str">
        <f>IFERROR(__xludf.DUMMYFUNCTION("""COMPUTED_VALUE"""),"")</f>
        <v/>
      </c>
      <c r="L2161" s="4" t="str">
        <f>IFERROR(__xludf.DUMMYFUNCTION("""COMPUTED_VALUE"""),"")</f>
        <v/>
      </c>
      <c r="M2161" s="1" t="str">
        <f>IFERROR(__xludf.DUMMYFUNCTION("""COMPUTED_VALUE"""),"RFID")</f>
        <v>RFID</v>
      </c>
      <c r="N2161" s="5" t="str">
        <f>IFERROR(__xludf.DUMMYFUNCTION("""COMPUTED_VALUE"""),"")</f>
        <v/>
      </c>
      <c r="O2161" s="5" t="str">
        <f>IFERROR(__xludf.DUMMYFUNCTION("""COMPUTED_VALUE"""),"")</f>
        <v/>
      </c>
      <c r="P2161" s="5" t="str">
        <f>IFERROR(__xludf.DUMMYFUNCTION("""COMPUTED_VALUE"""),"")</f>
        <v/>
      </c>
      <c r="Q2161" s="5" t="str">
        <f>IFERROR(__xludf.DUMMYFUNCTION("""COMPUTED_VALUE"""),"")</f>
        <v/>
      </c>
      <c r="R2161" s="4" t="str">
        <f>IFERROR(__xludf.DUMMYFUNCTION("""COMPUTED_VALUE"""),"")</f>
        <v/>
      </c>
      <c r="S2161" s="1" t="b">
        <f>IFERROR(__xludf.DUMMYFUNCTION("""COMPUTED_VALUE"""),FALSE)</f>
        <v>0</v>
      </c>
      <c r="T2161" s="1" t="b">
        <f>IFERROR(__xludf.DUMMYFUNCTION("""COMPUTED_VALUE"""),FALSE)</f>
        <v>0</v>
      </c>
      <c r="U2161" s="1" t="str">
        <f>IFERROR(__xludf.DUMMYFUNCTION("""COMPUTED_VALUE"""),"DSQ")</f>
        <v>DSQ</v>
      </c>
      <c r="V2161" s="1" t="str">
        <f>IFERROR(__xludf.DUMMYFUNCTION("""COMPUTED_VALUE"""),"DSQ")</f>
        <v>DSQ</v>
      </c>
      <c r="W2161" s="1" t="str">
        <f>IFERROR(__xludf.DUMMYFUNCTION("""COMPUTED_VALUE"""),"DSQ")</f>
        <v>DSQ</v>
      </c>
      <c r="X2161" s="1" t="str">
        <f>IFERROR(__xludf.DUMMYFUNCTION("""COMPUTED_VALUE"""),"DSQ")</f>
        <v>DSQ</v>
      </c>
      <c r="Y2161" s="2"/>
      <c r="Z2161" s="2" t="str">
        <f>IFERROR(__xludf.DUMMYFUNCTION("""COMPUTED_VALUE"""),"")</f>
        <v/>
      </c>
    </row>
    <row r="2162">
      <c r="A2162" s="1">
        <f>IFERROR(__xludf.DUMMYFUNCTION("""COMPUTED_VALUE"""),2161.0)</f>
        <v>2161</v>
      </c>
      <c r="B2162" s="1">
        <f>IFERROR(__xludf.DUMMYFUNCTION("""COMPUTED_VALUE"""),5824.0)</f>
        <v>5824</v>
      </c>
      <c r="C2162" s="2" t="str">
        <f>IFERROR(__xludf.DUMMYFUNCTION("""COMPUTED_VALUE"""),"MUCHTAR")</f>
        <v>MUCHTAR</v>
      </c>
      <c r="D2162" s="2" t="str">
        <f>IFERROR(__xludf.DUMMYFUNCTION("""COMPUTED_VALUE"""),"5KM OVERALL M")</f>
        <v>5KM OVERALL M</v>
      </c>
      <c r="E2162" s="1">
        <f>IFERROR(__xludf.DUMMYFUNCTION("""COMPUTED_VALUE"""),2.0)</f>
        <v>2</v>
      </c>
      <c r="F2162" s="1" t="str">
        <f>IFERROR(__xludf.DUMMYFUNCTION("""COMPUTED_VALUE"""),"Male")</f>
        <v>Male</v>
      </c>
      <c r="G2162" s="4" t="b">
        <f>IFERROR(__xludf.DUMMYFUNCTION("""COMPUTED_VALUE"""),TRUE)</f>
        <v>1</v>
      </c>
      <c r="H2162" s="4" t="b">
        <f>IFERROR(__xludf.DUMMYFUNCTION("""COMPUTED_VALUE"""),TRUE)</f>
        <v>1</v>
      </c>
      <c r="I2162" s="4">
        <f>IFERROR(__xludf.DUMMYFUNCTION("""COMPUTED_VALUE"""),0.2549440625)</f>
        <v>0.2549440625</v>
      </c>
      <c r="J2162" s="4">
        <f>IFERROR(__xludf.DUMMYFUNCTION("""COMPUTED_VALUE"""),45949.27856836415)</f>
        <v>45949.27857</v>
      </c>
      <c r="K2162" s="4" t="str">
        <f>IFERROR(__xludf.DUMMYFUNCTION("""COMPUTED_VALUE"""),"")</f>
        <v/>
      </c>
      <c r="L2162" s="4">
        <f>IFERROR(__xludf.DUMMYFUNCTION("""COMPUTED_VALUE"""),45949.2945327577)</f>
        <v>45949.29453</v>
      </c>
      <c r="M2162" s="1" t="str">
        <f>IFERROR(__xludf.DUMMYFUNCTION("""COMPUTED_VALUE"""),"RFID")</f>
        <v>RFID</v>
      </c>
      <c r="N2162" s="5">
        <f>IFERROR(__xludf.DUMMYFUNCTION("""COMPUTED_VALUE"""),0.009449722222222224)</f>
        <v>0.009449722222</v>
      </c>
      <c r="O2162" s="5" t="str">
        <f>IFERROR(__xludf.DUMMYFUNCTION("""COMPUTED_VALUE"""),"")</f>
        <v/>
      </c>
      <c r="P2162" s="5" t="str">
        <f>IFERROR(__xludf.DUMMYFUNCTION("""COMPUTED_VALUE"""),"")</f>
        <v/>
      </c>
      <c r="Q2162" s="5">
        <f>IFERROR(__xludf.DUMMYFUNCTION("""COMPUTED_VALUE"""),0.007917738425925927)</f>
        <v>0.007917738426</v>
      </c>
      <c r="R2162" s="4">
        <f>IFERROR(__xludf.DUMMYFUNCTION("""COMPUTED_VALUE"""),45949.0395886952)</f>
        <v>45949.03959</v>
      </c>
      <c r="S2162" s="1" t="b">
        <f>IFERROR(__xludf.DUMMYFUNCTION("""COMPUTED_VALUE"""),TRUE)</f>
        <v>1</v>
      </c>
      <c r="T2162" s="1" t="b">
        <f>IFERROR(__xludf.DUMMYFUNCTION("""COMPUTED_VALUE"""),FALSE)</f>
        <v>0</v>
      </c>
      <c r="U2162" s="1" t="str">
        <f>IFERROR(__xludf.DUMMYFUNCTION("""COMPUTED_VALUE"""),"VALID")</f>
        <v>VALID</v>
      </c>
      <c r="V2162" s="1">
        <f>IFERROR(__xludf.DUMMYFUNCTION("""COMPUTED_VALUE"""),706.0)</f>
        <v>706</v>
      </c>
      <c r="W2162" s="1">
        <f>IFERROR(__xludf.DUMMYFUNCTION("""COMPUTED_VALUE"""),1223.0)</f>
        <v>1223</v>
      </c>
      <c r="X2162" s="1">
        <f>IFERROR(__xludf.DUMMYFUNCTION("""COMPUTED_VALUE"""),959.0)</f>
        <v>959</v>
      </c>
      <c r="Y2162" s="2"/>
      <c r="Z2162" s="2"/>
    </row>
    <row r="2163">
      <c r="A2163" s="1">
        <f>IFERROR(__xludf.DUMMYFUNCTION("""COMPUTED_VALUE"""),2162.0)</f>
        <v>2162</v>
      </c>
      <c r="B2163" s="1">
        <f>IFERROR(__xludf.DUMMYFUNCTION("""COMPUTED_VALUE"""),5825.0)</f>
        <v>5825</v>
      </c>
      <c r="C2163" s="2" t="str">
        <f>IFERROR(__xludf.DUMMYFUNCTION("""COMPUTED_VALUE"""),"Fadel")</f>
        <v>Fadel</v>
      </c>
      <c r="D2163" s="2" t="str">
        <f>IFERROR(__xludf.DUMMYFUNCTION("""COMPUTED_VALUE"""),"5KM OVERALL M")</f>
        <v>5KM OVERALL M</v>
      </c>
      <c r="E2163" s="1">
        <f>IFERROR(__xludf.DUMMYFUNCTION("""COMPUTED_VALUE"""),2.0)</f>
        <v>2</v>
      </c>
      <c r="F2163" s="1" t="str">
        <f>IFERROR(__xludf.DUMMYFUNCTION("""COMPUTED_VALUE"""),"Male")</f>
        <v>Male</v>
      </c>
      <c r="G2163" s="4" t="b">
        <f>IFERROR(__xludf.DUMMYFUNCTION("""COMPUTED_VALUE"""),TRUE)</f>
        <v>1</v>
      </c>
      <c r="H2163" s="4" t="b">
        <f>IFERROR(__xludf.DUMMYFUNCTION("""COMPUTED_VALUE"""),FALSE)</f>
        <v>0</v>
      </c>
      <c r="I2163" s="4">
        <f>IFERROR(__xludf.DUMMYFUNCTION("""COMPUTED_VALUE"""),0.2549440625)</f>
        <v>0.2549440625</v>
      </c>
      <c r="J2163" s="4">
        <f>IFERROR(__xludf.DUMMYFUNCTION("""COMPUTED_VALUE"""),45949.276478085616)</f>
        <v>45949.27648</v>
      </c>
      <c r="K2163" s="4" t="str">
        <f>IFERROR(__xludf.DUMMYFUNCTION("""COMPUTED_VALUE"""),"")</f>
        <v/>
      </c>
      <c r="L2163" s="4">
        <f>IFERROR(__xludf.DUMMYFUNCTION("""COMPUTED_VALUE"""),45949.29020636743)</f>
        <v>45949.29021</v>
      </c>
      <c r="M2163" s="1" t="str">
        <f>IFERROR(__xludf.DUMMYFUNCTION("""COMPUTED_VALUE"""),"RFID")</f>
        <v>RFID</v>
      </c>
      <c r="N2163" s="5">
        <f>IFERROR(__xludf.DUMMYFUNCTION("""COMPUTED_VALUE"""),0.00861361111111111)</f>
        <v>0.008613611111</v>
      </c>
      <c r="O2163" s="5" t="str">
        <f>IFERROR(__xludf.DUMMYFUNCTION("""COMPUTED_VALUE"""),"")</f>
        <v/>
      </c>
      <c r="P2163" s="5" t="str">
        <f>IFERROR(__xludf.DUMMYFUNCTION("""COMPUTED_VALUE"""),"")</f>
        <v/>
      </c>
      <c r="Q2163" s="5">
        <f>IFERROR(__xludf.DUMMYFUNCTION("""COMPUTED_VALUE"""),0.007052460648148148)</f>
        <v>0.007052460648</v>
      </c>
      <c r="R2163" s="4">
        <f>IFERROR(__xludf.DUMMYFUNCTION("""COMPUTED_VALUE"""),45949.035262304926)</f>
        <v>45949.03526</v>
      </c>
      <c r="S2163" s="1" t="b">
        <f>IFERROR(__xludf.DUMMYFUNCTION("""COMPUTED_VALUE"""),TRUE)</f>
        <v>1</v>
      </c>
      <c r="T2163" s="1" t="b">
        <f>IFERROR(__xludf.DUMMYFUNCTION("""COMPUTED_VALUE"""),FALSE)</f>
        <v>0</v>
      </c>
      <c r="U2163" s="1" t="str">
        <f>IFERROR(__xludf.DUMMYFUNCTION("""COMPUTED_VALUE"""),"VALID")</f>
        <v>VALID</v>
      </c>
      <c r="V2163" s="1">
        <f>IFERROR(__xludf.DUMMYFUNCTION("""COMPUTED_VALUE"""),566.0)</f>
        <v>566</v>
      </c>
      <c r="W2163" s="1">
        <f>IFERROR(__xludf.DUMMYFUNCTION("""COMPUTED_VALUE"""),901.0)</f>
        <v>901</v>
      </c>
      <c r="X2163" s="1">
        <f>IFERROR(__xludf.DUMMYFUNCTION("""COMPUTED_VALUE"""),737.0)</f>
        <v>737</v>
      </c>
      <c r="Y2163" s="2"/>
      <c r="Z2163" s="2"/>
    </row>
    <row r="2164">
      <c r="A2164" s="1">
        <f>IFERROR(__xludf.DUMMYFUNCTION("""COMPUTED_VALUE"""),2163.0)</f>
        <v>2163</v>
      </c>
      <c r="B2164" s="1">
        <f>IFERROR(__xludf.DUMMYFUNCTION("""COMPUTED_VALUE"""),5826.0)</f>
        <v>5826</v>
      </c>
      <c r="C2164" s="2" t="str">
        <f>IFERROR(__xludf.DUMMYFUNCTION("""COMPUTED_VALUE"""),"Gerry")</f>
        <v>Gerry</v>
      </c>
      <c r="D2164" s="2" t="str">
        <f>IFERROR(__xludf.DUMMYFUNCTION("""COMPUTED_VALUE"""),"5KM OVERALL M")</f>
        <v>5KM OVERALL M</v>
      </c>
      <c r="E2164" s="1">
        <f>IFERROR(__xludf.DUMMYFUNCTION("""COMPUTED_VALUE"""),2.0)</f>
        <v>2</v>
      </c>
      <c r="F2164" s="1" t="str">
        <f>IFERROR(__xludf.DUMMYFUNCTION("""COMPUTED_VALUE"""),"Male")</f>
        <v>Male</v>
      </c>
      <c r="G2164" s="4" t="b">
        <f>IFERROR(__xludf.DUMMYFUNCTION("""COMPUTED_VALUE"""),TRUE)</f>
        <v>1</v>
      </c>
      <c r="H2164" s="4" t="b">
        <f>IFERROR(__xludf.DUMMYFUNCTION("""COMPUTED_VALUE"""),TRUE)</f>
        <v>1</v>
      </c>
      <c r="I2164" s="4">
        <f>IFERROR(__xludf.DUMMYFUNCTION("""COMPUTED_VALUE"""),0.2549440625)</f>
        <v>0.2549440625</v>
      </c>
      <c r="J2164" s="4">
        <f>IFERROR(__xludf.DUMMYFUNCTION("""COMPUTED_VALUE"""),45949.273800988565)</f>
        <v>45949.2738</v>
      </c>
      <c r="K2164" s="4" t="str">
        <f>IFERROR(__xludf.DUMMYFUNCTION("""COMPUTED_VALUE"""),"")</f>
        <v/>
      </c>
      <c r="L2164" s="4">
        <f>IFERROR(__xludf.DUMMYFUNCTION("""COMPUTED_VALUE"""),45949.28505758292)</f>
        <v>45949.28506</v>
      </c>
      <c r="M2164" s="1" t="str">
        <f>IFERROR(__xludf.DUMMYFUNCTION("""COMPUTED_VALUE"""),"RFID")</f>
        <v>RFID</v>
      </c>
      <c r="N2164" s="5">
        <f>IFERROR(__xludf.DUMMYFUNCTION("""COMPUTED_VALUE"""),0.007542768518518518)</f>
        <v>0.007542768519</v>
      </c>
      <c r="O2164" s="5" t="str">
        <f>IFERROR(__xludf.DUMMYFUNCTION("""COMPUTED_VALUE"""),"")</f>
        <v/>
      </c>
      <c r="P2164" s="5" t="str">
        <f>IFERROR(__xludf.DUMMYFUNCTION("""COMPUTED_VALUE"""),"")</f>
        <v/>
      </c>
      <c r="Q2164" s="5">
        <f>IFERROR(__xludf.DUMMYFUNCTION("""COMPUTED_VALUE"""),0.006022703703703704)</f>
        <v>0.006022703704</v>
      </c>
      <c r="R2164" s="4">
        <f>IFERROR(__xludf.DUMMYFUNCTION("""COMPUTED_VALUE"""),45949.03011352042)</f>
        <v>45949.03011</v>
      </c>
      <c r="S2164" s="1" t="b">
        <f>IFERROR(__xludf.DUMMYFUNCTION("""COMPUTED_VALUE"""),TRUE)</f>
        <v>1</v>
      </c>
      <c r="T2164" s="1" t="b">
        <f>IFERROR(__xludf.DUMMYFUNCTION("""COMPUTED_VALUE"""),FALSE)</f>
        <v>0</v>
      </c>
      <c r="U2164" s="1" t="str">
        <f>IFERROR(__xludf.DUMMYFUNCTION("""COMPUTED_VALUE"""),"VALID")</f>
        <v>VALID</v>
      </c>
      <c r="V2164" s="1">
        <f>IFERROR(__xludf.DUMMYFUNCTION("""COMPUTED_VALUE"""),380.0)</f>
        <v>380</v>
      </c>
      <c r="W2164" s="1">
        <f>IFERROR(__xludf.DUMMYFUNCTION("""COMPUTED_VALUE"""),575.0)</f>
        <v>575</v>
      </c>
      <c r="X2164" s="1">
        <f>IFERROR(__xludf.DUMMYFUNCTION("""COMPUTED_VALUE"""),489.0)</f>
        <v>489</v>
      </c>
      <c r="Y2164" s="2"/>
      <c r="Z2164" s="2"/>
    </row>
    <row r="2165">
      <c r="A2165" s="1">
        <f>IFERROR(__xludf.DUMMYFUNCTION("""COMPUTED_VALUE"""),2164.0)</f>
        <v>2164</v>
      </c>
      <c r="B2165" s="1">
        <f>IFERROR(__xludf.DUMMYFUNCTION("""COMPUTED_VALUE"""),5828.0)</f>
        <v>5828</v>
      </c>
      <c r="C2165" s="2" t="str">
        <f>IFERROR(__xludf.DUMMYFUNCTION("""COMPUTED_VALUE"""),"HANS")</f>
        <v>HANS</v>
      </c>
      <c r="D2165" s="2" t="str">
        <f>IFERROR(__xludf.DUMMYFUNCTION("""COMPUTED_VALUE"""),"5KM OVERALL M")</f>
        <v>5KM OVERALL M</v>
      </c>
      <c r="E2165" s="1">
        <f>IFERROR(__xludf.DUMMYFUNCTION("""COMPUTED_VALUE"""),2.0)</f>
        <v>2</v>
      </c>
      <c r="F2165" s="1" t="str">
        <f>IFERROR(__xludf.DUMMYFUNCTION("""COMPUTED_VALUE"""),"Male")</f>
        <v>Male</v>
      </c>
      <c r="G2165" s="4" t="str">
        <f>IFERROR(__xludf.DUMMYFUNCTION("""COMPUTED_VALUE"""),"")</f>
        <v/>
      </c>
      <c r="H2165" s="4" t="b">
        <f>IFERROR(__xludf.DUMMYFUNCTION("""COMPUTED_VALUE"""),TRUE)</f>
        <v>1</v>
      </c>
      <c r="I2165" s="4">
        <f>IFERROR(__xludf.DUMMYFUNCTION("""COMPUTED_VALUE"""),0.2549440625)</f>
        <v>0.2549440625</v>
      </c>
      <c r="J2165" s="4">
        <f>IFERROR(__xludf.DUMMYFUNCTION("""COMPUTED_VALUE"""),45949.27682182941)</f>
        <v>45949.27682</v>
      </c>
      <c r="K2165" s="4" t="str">
        <f>IFERROR(__xludf.DUMMYFUNCTION("""COMPUTED_VALUE"""),"")</f>
        <v/>
      </c>
      <c r="L2165" s="4">
        <f>IFERROR(__xludf.DUMMYFUNCTION("""COMPUTED_VALUE"""),45949.29441471528)</f>
        <v>45949.29441</v>
      </c>
      <c r="M2165" s="1" t="str">
        <f>IFERROR(__xludf.DUMMYFUNCTION("""COMPUTED_VALUE"""),"RFID")</f>
        <v>RFID</v>
      </c>
      <c r="N2165" s="5">
        <f>IFERROR(__xludf.DUMMYFUNCTION("""COMPUTED_VALUE"""),0.008751106481481481)</f>
        <v>0.008751106481</v>
      </c>
      <c r="O2165" s="5" t="str">
        <f>IFERROR(__xludf.DUMMYFUNCTION("""COMPUTED_VALUE"""),"")</f>
        <v/>
      </c>
      <c r="P2165" s="5" t="str">
        <f>IFERROR(__xludf.DUMMYFUNCTION("""COMPUTED_VALUE"""),"")</f>
        <v/>
      </c>
      <c r="Q2165" s="5">
        <f>IFERROR(__xludf.DUMMYFUNCTION("""COMPUTED_VALUE"""),0.00789412962962963)</f>
        <v>0.00789412963</v>
      </c>
      <c r="R2165" s="4">
        <f>IFERROR(__xludf.DUMMYFUNCTION("""COMPUTED_VALUE"""),45949.03947065278)</f>
        <v>45949.03947</v>
      </c>
      <c r="S2165" s="1" t="b">
        <f>IFERROR(__xludf.DUMMYFUNCTION("""COMPUTED_VALUE"""),TRUE)</f>
        <v>1</v>
      </c>
      <c r="T2165" s="1" t="b">
        <f>IFERROR(__xludf.DUMMYFUNCTION("""COMPUTED_VALUE"""),FALSE)</f>
        <v>0</v>
      </c>
      <c r="U2165" s="1" t="str">
        <f>IFERROR(__xludf.DUMMYFUNCTION("""COMPUTED_VALUE"""),"VALID")</f>
        <v>VALID</v>
      </c>
      <c r="V2165" s="1">
        <f>IFERROR(__xludf.DUMMYFUNCTION("""COMPUTED_VALUE"""),699.0)</f>
        <v>699</v>
      </c>
      <c r="W2165" s="1">
        <f>IFERROR(__xludf.DUMMYFUNCTION("""COMPUTED_VALUE"""),1210.0)</f>
        <v>1210</v>
      </c>
      <c r="X2165" s="1">
        <f>IFERROR(__xludf.DUMMYFUNCTION("""COMPUTED_VALUE"""),946.0)</f>
        <v>946</v>
      </c>
      <c r="Y2165" s="2"/>
      <c r="Z2165" s="2"/>
    </row>
    <row r="2166">
      <c r="A2166" s="1">
        <f>IFERROR(__xludf.DUMMYFUNCTION("""COMPUTED_VALUE"""),2165.0)</f>
        <v>2165</v>
      </c>
      <c r="B2166" s="1">
        <f>IFERROR(__xludf.DUMMYFUNCTION("""COMPUTED_VALUE"""),5829.0)</f>
        <v>5829</v>
      </c>
      <c r="C2166" s="2" t="str">
        <f>IFERROR(__xludf.DUMMYFUNCTION("""COMPUTED_VALUE"""),"aspan ahmad")</f>
        <v>aspan ahmad</v>
      </c>
      <c r="D2166" s="2" t="str">
        <f>IFERROR(__xludf.DUMMYFUNCTION("""COMPUTED_VALUE"""),"5KM OVERALL M")</f>
        <v>5KM OVERALL M</v>
      </c>
      <c r="E2166" s="1">
        <f>IFERROR(__xludf.DUMMYFUNCTION("""COMPUTED_VALUE"""),2.0)</f>
        <v>2</v>
      </c>
      <c r="F2166" s="1" t="str">
        <f>IFERROR(__xludf.DUMMYFUNCTION("""COMPUTED_VALUE"""),"Male")</f>
        <v>Male</v>
      </c>
      <c r="G2166" s="4" t="b">
        <f>IFERROR(__xludf.DUMMYFUNCTION("""COMPUTED_VALUE"""),TRUE)</f>
        <v>1</v>
      </c>
      <c r="H2166" s="4" t="b">
        <f>IFERROR(__xludf.DUMMYFUNCTION("""COMPUTED_VALUE"""),TRUE)</f>
        <v>1</v>
      </c>
      <c r="I2166" s="4">
        <f>IFERROR(__xludf.DUMMYFUNCTION("""COMPUTED_VALUE"""),0.2549440625)</f>
        <v>0.2549440625</v>
      </c>
      <c r="J2166" s="4">
        <f>IFERROR(__xludf.DUMMYFUNCTION("""COMPUTED_VALUE"""),45949.27195730883)</f>
        <v>45949.27196</v>
      </c>
      <c r="K2166" s="4" t="str">
        <f>IFERROR(__xludf.DUMMYFUNCTION("""COMPUTED_VALUE"""),"")</f>
        <v/>
      </c>
      <c r="L2166" s="4">
        <f>IFERROR(__xludf.DUMMYFUNCTION("""COMPUTED_VALUE"""),45949.28388005205)</f>
        <v>45949.28388</v>
      </c>
      <c r="M2166" s="1" t="str">
        <f>IFERROR(__xludf.DUMMYFUNCTION("""COMPUTED_VALUE"""),"RFID")</f>
        <v>RFID</v>
      </c>
      <c r="N2166" s="5">
        <f>IFERROR(__xludf.DUMMYFUNCTION("""COMPUTED_VALUE"""),0.006805296296296297)</f>
        <v>0.006805296296</v>
      </c>
      <c r="O2166" s="5" t="str">
        <f>IFERROR(__xludf.DUMMYFUNCTION("""COMPUTED_VALUE"""),"")</f>
        <v/>
      </c>
      <c r="P2166" s="5" t="str">
        <f>IFERROR(__xludf.DUMMYFUNCTION("""COMPUTED_VALUE"""),"")</f>
        <v/>
      </c>
      <c r="Q2166" s="5">
        <f>IFERROR(__xludf.DUMMYFUNCTION("""COMPUTED_VALUE"""),0.005787196759259259)</f>
        <v>0.005787196759</v>
      </c>
      <c r="R2166" s="4">
        <f>IFERROR(__xludf.DUMMYFUNCTION("""COMPUTED_VALUE"""),45949.02893598955)</f>
        <v>45949.02894</v>
      </c>
      <c r="S2166" s="1" t="b">
        <f>IFERROR(__xludf.DUMMYFUNCTION("""COMPUTED_VALUE"""),TRUE)</f>
        <v>1</v>
      </c>
      <c r="T2166" s="1" t="b">
        <f>IFERROR(__xludf.DUMMYFUNCTION("""COMPUTED_VALUE"""),FALSE)</f>
        <v>0</v>
      </c>
      <c r="U2166" s="1" t="str">
        <f>IFERROR(__xludf.DUMMYFUNCTION("""COMPUTED_VALUE"""),"VALID")</f>
        <v>VALID</v>
      </c>
      <c r="V2166" s="1">
        <f>IFERROR(__xludf.DUMMYFUNCTION("""COMPUTED_VALUE"""),329.0)</f>
        <v>329</v>
      </c>
      <c r="W2166" s="1">
        <f>IFERROR(__xludf.DUMMYFUNCTION("""COMPUTED_VALUE"""),492.0)</f>
        <v>492</v>
      </c>
      <c r="X2166" s="1">
        <f>IFERROR(__xludf.DUMMYFUNCTION("""COMPUTED_VALUE"""),428.0)</f>
        <v>428</v>
      </c>
      <c r="Y2166" s="2"/>
      <c r="Z2166" s="2"/>
    </row>
    <row r="2167">
      <c r="A2167" s="1">
        <f>IFERROR(__xludf.DUMMYFUNCTION("""COMPUTED_VALUE"""),2166.0)</f>
        <v>2166</v>
      </c>
      <c r="B2167" s="1">
        <f>IFERROR(__xludf.DUMMYFUNCTION("""COMPUTED_VALUE"""),5830.0)</f>
        <v>5830</v>
      </c>
      <c r="C2167" s="2" t="str">
        <f>IFERROR(__xludf.DUMMYFUNCTION("""COMPUTED_VALUE"""),"RICKYHIM")</f>
        <v>RICKYHIM</v>
      </c>
      <c r="D2167" s="2" t="str">
        <f>IFERROR(__xludf.DUMMYFUNCTION("""COMPUTED_VALUE"""),"5KM OVERALL M")</f>
        <v>5KM OVERALL M</v>
      </c>
      <c r="E2167" s="1">
        <f>IFERROR(__xludf.DUMMYFUNCTION("""COMPUTED_VALUE"""),2.0)</f>
        <v>2</v>
      </c>
      <c r="F2167" s="1" t="str">
        <f>IFERROR(__xludf.DUMMYFUNCTION("""COMPUTED_VALUE"""),"Male")</f>
        <v>Male</v>
      </c>
      <c r="G2167" s="4" t="b">
        <f>IFERROR(__xludf.DUMMYFUNCTION("""COMPUTED_VALUE"""),TRUE)</f>
        <v>1</v>
      </c>
      <c r="H2167" s="4" t="b">
        <f>IFERROR(__xludf.DUMMYFUNCTION("""COMPUTED_VALUE"""),TRUE)</f>
        <v>1</v>
      </c>
      <c r="I2167" s="4">
        <f>IFERROR(__xludf.DUMMYFUNCTION("""COMPUTED_VALUE"""),0.2549440625)</f>
        <v>0.2549440625</v>
      </c>
      <c r="J2167" s="4">
        <f>IFERROR(__xludf.DUMMYFUNCTION("""COMPUTED_VALUE"""),45949.26991562779)</f>
        <v>45949.26992</v>
      </c>
      <c r="K2167" s="4" t="str">
        <f>IFERROR(__xludf.DUMMYFUNCTION("""COMPUTED_VALUE"""),"")</f>
        <v/>
      </c>
      <c r="L2167" s="4">
        <f>IFERROR(__xludf.DUMMYFUNCTION("""COMPUTED_VALUE"""),45949.28316822482)</f>
        <v>45949.28317</v>
      </c>
      <c r="M2167" s="1" t="str">
        <f>IFERROR(__xludf.DUMMYFUNCTION("""COMPUTED_VALUE"""),"RFID")</f>
        <v>RFID</v>
      </c>
      <c r="N2167" s="5">
        <f>IFERROR(__xludf.DUMMYFUNCTION("""COMPUTED_VALUE"""),0.005988624999999999)</f>
        <v>0.005988625</v>
      </c>
      <c r="O2167" s="5" t="str">
        <f>IFERROR(__xludf.DUMMYFUNCTION("""COMPUTED_VALUE"""),"")</f>
        <v/>
      </c>
      <c r="P2167" s="5" t="str">
        <f>IFERROR(__xludf.DUMMYFUNCTION("""COMPUTED_VALUE"""),"")</f>
        <v/>
      </c>
      <c r="Q2167" s="5">
        <f>IFERROR(__xludf.DUMMYFUNCTION("""COMPUTED_VALUE"""),0.005644833333333333)</f>
        <v>0.005644833333</v>
      </c>
      <c r="R2167" s="4">
        <f>IFERROR(__xludf.DUMMYFUNCTION("""COMPUTED_VALUE"""),45949.02822416232)</f>
        <v>45949.02822</v>
      </c>
      <c r="S2167" s="1" t="b">
        <f>IFERROR(__xludf.DUMMYFUNCTION("""COMPUTED_VALUE"""),TRUE)</f>
        <v>1</v>
      </c>
      <c r="T2167" s="1" t="b">
        <f>IFERROR(__xludf.DUMMYFUNCTION("""COMPUTED_VALUE"""),FALSE)</f>
        <v>0</v>
      </c>
      <c r="U2167" s="1" t="str">
        <f>IFERROR(__xludf.DUMMYFUNCTION("""COMPUTED_VALUE"""),"VALID")</f>
        <v>VALID</v>
      </c>
      <c r="V2167" s="1">
        <f>IFERROR(__xludf.DUMMYFUNCTION("""COMPUTED_VALUE"""),295.0)</f>
        <v>295</v>
      </c>
      <c r="W2167" s="1">
        <f>IFERROR(__xludf.DUMMYFUNCTION("""COMPUTED_VALUE"""),444.0)</f>
        <v>444</v>
      </c>
      <c r="X2167" s="1">
        <f>IFERROR(__xludf.DUMMYFUNCTION("""COMPUTED_VALUE"""),384.0)</f>
        <v>384</v>
      </c>
      <c r="Y2167" s="2"/>
      <c r="Z2167" s="2"/>
    </row>
    <row r="2168">
      <c r="A2168" s="1">
        <f>IFERROR(__xludf.DUMMYFUNCTION("""COMPUTED_VALUE"""),2167.0)</f>
        <v>2167</v>
      </c>
      <c r="B2168" s="1">
        <f>IFERROR(__xludf.DUMMYFUNCTION("""COMPUTED_VALUE"""),5832.0)</f>
        <v>5832</v>
      </c>
      <c r="C2168" s="2" t="str">
        <f>IFERROR(__xludf.DUMMYFUNCTION("""COMPUTED_VALUE"""),"AY")</f>
        <v>AY</v>
      </c>
      <c r="D2168" s="2" t="str">
        <f>IFERROR(__xludf.DUMMYFUNCTION("""COMPUTED_VALUE"""),"5KM OVERALL M")</f>
        <v>5KM OVERALL M</v>
      </c>
      <c r="E2168" s="1">
        <f>IFERROR(__xludf.DUMMYFUNCTION("""COMPUTED_VALUE"""),2.0)</f>
        <v>2</v>
      </c>
      <c r="F2168" s="1" t="str">
        <f>IFERROR(__xludf.DUMMYFUNCTION("""COMPUTED_VALUE"""),"Male")</f>
        <v>Male</v>
      </c>
      <c r="G2168" s="4" t="str">
        <f>IFERROR(__xludf.DUMMYFUNCTION("""COMPUTED_VALUE"""),"")</f>
        <v/>
      </c>
      <c r="H2168" s="4" t="b">
        <f>IFERROR(__xludf.DUMMYFUNCTION("""COMPUTED_VALUE"""),FALSE)</f>
        <v>0</v>
      </c>
      <c r="I2168" s="4">
        <f>IFERROR(__xludf.DUMMYFUNCTION("""COMPUTED_VALUE"""),0.2549440625)</f>
        <v>0.2549440625</v>
      </c>
      <c r="J2168" s="4" t="str">
        <f>IFERROR(__xludf.DUMMYFUNCTION("""COMPUTED_VALUE"""),"")</f>
        <v/>
      </c>
      <c r="K2168" s="4" t="str">
        <f>IFERROR(__xludf.DUMMYFUNCTION("""COMPUTED_VALUE"""),"")</f>
        <v/>
      </c>
      <c r="L2168" s="4" t="str">
        <f>IFERROR(__xludf.DUMMYFUNCTION("""COMPUTED_VALUE"""),"")</f>
        <v/>
      </c>
      <c r="M2168" s="1" t="str">
        <f>IFERROR(__xludf.DUMMYFUNCTION("""COMPUTED_VALUE"""),"RFID")</f>
        <v>RFID</v>
      </c>
      <c r="N2168" s="5" t="str">
        <f>IFERROR(__xludf.DUMMYFUNCTION("""COMPUTED_VALUE"""),"")</f>
        <v/>
      </c>
      <c r="O2168" s="5" t="str">
        <f>IFERROR(__xludf.DUMMYFUNCTION("""COMPUTED_VALUE"""),"")</f>
        <v/>
      </c>
      <c r="P2168" s="5" t="str">
        <f>IFERROR(__xludf.DUMMYFUNCTION("""COMPUTED_VALUE"""),"")</f>
        <v/>
      </c>
      <c r="Q2168" s="5" t="str">
        <f>IFERROR(__xludf.DUMMYFUNCTION("""COMPUTED_VALUE"""),"")</f>
        <v/>
      </c>
      <c r="R2168" s="4" t="str">
        <f>IFERROR(__xludf.DUMMYFUNCTION("""COMPUTED_VALUE"""),"")</f>
        <v/>
      </c>
      <c r="S2168" s="1" t="b">
        <f>IFERROR(__xludf.DUMMYFUNCTION("""COMPUTED_VALUE"""),FALSE)</f>
        <v>0</v>
      </c>
      <c r="T2168" s="1" t="b">
        <f>IFERROR(__xludf.DUMMYFUNCTION("""COMPUTED_VALUE"""),FALSE)</f>
        <v>0</v>
      </c>
      <c r="U2168" s="1" t="str">
        <f>IFERROR(__xludf.DUMMYFUNCTION("""COMPUTED_VALUE"""),"DSQ")</f>
        <v>DSQ</v>
      </c>
      <c r="V2168" s="1" t="str">
        <f>IFERROR(__xludf.DUMMYFUNCTION("""COMPUTED_VALUE"""),"DSQ")</f>
        <v>DSQ</v>
      </c>
      <c r="W2168" s="1" t="str">
        <f>IFERROR(__xludf.DUMMYFUNCTION("""COMPUTED_VALUE"""),"DSQ")</f>
        <v>DSQ</v>
      </c>
      <c r="X2168" s="1" t="str">
        <f>IFERROR(__xludf.DUMMYFUNCTION("""COMPUTED_VALUE"""),"DSQ")</f>
        <v>DSQ</v>
      </c>
      <c r="Y2168" s="2"/>
      <c r="Z2168" s="2" t="str">
        <f>IFERROR(__xludf.DUMMYFUNCTION("""COMPUTED_VALUE"""),"")</f>
        <v/>
      </c>
    </row>
    <row r="2169">
      <c r="A2169" s="1">
        <f>IFERROR(__xludf.DUMMYFUNCTION("""COMPUTED_VALUE"""),2168.0)</f>
        <v>2168</v>
      </c>
      <c r="B2169" s="1">
        <f>IFERROR(__xludf.DUMMYFUNCTION("""COMPUTED_VALUE"""),5833.0)</f>
        <v>5833</v>
      </c>
      <c r="C2169" s="2" t="str">
        <f>IFERROR(__xludf.DUMMYFUNCTION("""COMPUTED_VALUE"""),"EBN")</f>
        <v>EBN</v>
      </c>
      <c r="D2169" s="2" t="str">
        <f>IFERROR(__xludf.DUMMYFUNCTION("""COMPUTED_VALUE"""),"5KM OVERALL M")</f>
        <v>5KM OVERALL M</v>
      </c>
      <c r="E2169" s="1">
        <f>IFERROR(__xludf.DUMMYFUNCTION("""COMPUTED_VALUE"""),2.0)</f>
        <v>2</v>
      </c>
      <c r="F2169" s="1" t="str">
        <f>IFERROR(__xludf.DUMMYFUNCTION("""COMPUTED_VALUE"""),"Male")</f>
        <v>Male</v>
      </c>
      <c r="G2169" s="4" t="str">
        <f>IFERROR(__xludf.DUMMYFUNCTION("""COMPUTED_VALUE"""),"")</f>
        <v/>
      </c>
      <c r="H2169" s="4" t="b">
        <f>IFERROR(__xludf.DUMMYFUNCTION("""COMPUTED_VALUE"""),FALSE)</f>
        <v>0</v>
      </c>
      <c r="I2169" s="4">
        <f>IFERROR(__xludf.DUMMYFUNCTION("""COMPUTED_VALUE"""),0.2549440625)</f>
        <v>0.2549440625</v>
      </c>
      <c r="J2169" s="4" t="str">
        <f>IFERROR(__xludf.DUMMYFUNCTION("""COMPUTED_VALUE"""),"")</f>
        <v/>
      </c>
      <c r="K2169" s="4" t="str">
        <f>IFERROR(__xludf.DUMMYFUNCTION("""COMPUTED_VALUE"""),"")</f>
        <v/>
      </c>
      <c r="L2169" s="4" t="str">
        <f>IFERROR(__xludf.DUMMYFUNCTION("""COMPUTED_VALUE"""),"")</f>
        <v/>
      </c>
      <c r="M2169" s="1" t="str">
        <f>IFERROR(__xludf.DUMMYFUNCTION("""COMPUTED_VALUE"""),"RFID")</f>
        <v>RFID</v>
      </c>
      <c r="N2169" s="5" t="str">
        <f>IFERROR(__xludf.DUMMYFUNCTION("""COMPUTED_VALUE"""),"")</f>
        <v/>
      </c>
      <c r="O2169" s="5" t="str">
        <f>IFERROR(__xludf.DUMMYFUNCTION("""COMPUTED_VALUE"""),"")</f>
        <v/>
      </c>
      <c r="P2169" s="5" t="str">
        <f>IFERROR(__xludf.DUMMYFUNCTION("""COMPUTED_VALUE"""),"")</f>
        <v/>
      </c>
      <c r="Q2169" s="5" t="str">
        <f>IFERROR(__xludf.DUMMYFUNCTION("""COMPUTED_VALUE"""),"")</f>
        <v/>
      </c>
      <c r="R2169" s="4" t="str">
        <f>IFERROR(__xludf.DUMMYFUNCTION("""COMPUTED_VALUE"""),"")</f>
        <v/>
      </c>
      <c r="S2169" s="1" t="b">
        <f>IFERROR(__xludf.DUMMYFUNCTION("""COMPUTED_VALUE"""),FALSE)</f>
        <v>0</v>
      </c>
      <c r="T2169" s="1" t="b">
        <f>IFERROR(__xludf.DUMMYFUNCTION("""COMPUTED_VALUE"""),FALSE)</f>
        <v>0</v>
      </c>
      <c r="U2169" s="1" t="str">
        <f>IFERROR(__xludf.DUMMYFUNCTION("""COMPUTED_VALUE"""),"DSQ")</f>
        <v>DSQ</v>
      </c>
      <c r="V2169" s="1" t="str">
        <f>IFERROR(__xludf.DUMMYFUNCTION("""COMPUTED_VALUE"""),"DSQ")</f>
        <v>DSQ</v>
      </c>
      <c r="W2169" s="1" t="str">
        <f>IFERROR(__xludf.DUMMYFUNCTION("""COMPUTED_VALUE"""),"DSQ")</f>
        <v>DSQ</v>
      </c>
      <c r="X2169" s="1" t="str">
        <f>IFERROR(__xludf.DUMMYFUNCTION("""COMPUTED_VALUE"""),"DSQ")</f>
        <v>DSQ</v>
      </c>
      <c r="Y2169" s="2"/>
      <c r="Z2169" s="2" t="str">
        <f>IFERROR(__xludf.DUMMYFUNCTION("""COMPUTED_VALUE"""),"")</f>
        <v/>
      </c>
    </row>
    <row r="2170">
      <c r="A2170" s="1">
        <f>IFERROR(__xludf.DUMMYFUNCTION("""COMPUTED_VALUE"""),2169.0)</f>
        <v>2169</v>
      </c>
      <c r="B2170" s="1">
        <f>IFERROR(__xludf.DUMMYFUNCTION("""COMPUTED_VALUE"""),5834.0)</f>
        <v>5834</v>
      </c>
      <c r="C2170" s="2" t="str">
        <f>IFERROR(__xludf.DUMMYFUNCTION("""COMPUTED_VALUE"""),"alkutu")</f>
        <v>alkutu</v>
      </c>
      <c r="D2170" s="2" t="str">
        <f>IFERROR(__xludf.DUMMYFUNCTION("""COMPUTED_VALUE"""),"5KM OVERALL M")</f>
        <v>5KM OVERALL M</v>
      </c>
      <c r="E2170" s="1">
        <f>IFERROR(__xludf.DUMMYFUNCTION("""COMPUTED_VALUE"""),2.0)</f>
        <v>2</v>
      </c>
      <c r="F2170" s="1" t="str">
        <f>IFERROR(__xludf.DUMMYFUNCTION("""COMPUTED_VALUE"""),"Male")</f>
        <v>Male</v>
      </c>
      <c r="G2170" s="4" t="str">
        <f>IFERROR(__xludf.DUMMYFUNCTION("""COMPUTED_VALUE"""),"")</f>
        <v/>
      </c>
      <c r="H2170" s="4" t="b">
        <f>IFERROR(__xludf.DUMMYFUNCTION("""COMPUTED_VALUE"""),FALSE)</f>
        <v>0</v>
      </c>
      <c r="I2170" s="4">
        <f>IFERROR(__xludf.DUMMYFUNCTION("""COMPUTED_VALUE"""),0.2549440625)</f>
        <v>0.2549440625</v>
      </c>
      <c r="J2170" s="4" t="str">
        <f>IFERROR(__xludf.DUMMYFUNCTION("""COMPUTED_VALUE"""),"")</f>
        <v/>
      </c>
      <c r="K2170" s="4" t="str">
        <f>IFERROR(__xludf.DUMMYFUNCTION("""COMPUTED_VALUE"""),"")</f>
        <v/>
      </c>
      <c r="L2170" s="4" t="str">
        <f>IFERROR(__xludf.DUMMYFUNCTION("""COMPUTED_VALUE"""),"")</f>
        <v/>
      </c>
      <c r="M2170" s="1" t="str">
        <f>IFERROR(__xludf.DUMMYFUNCTION("""COMPUTED_VALUE"""),"RFID")</f>
        <v>RFID</v>
      </c>
      <c r="N2170" s="5" t="str">
        <f>IFERROR(__xludf.DUMMYFUNCTION("""COMPUTED_VALUE"""),"")</f>
        <v/>
      </c>
      <c r="O2170" s="5" t="str">
        <f>IFERROR(__xludf.DUMMYFUNCTION("""COMPUTED_VALUE"""),"")</f>
        <v/>
      </c>
      <c r="P2170" s="5" t="str">
        <f>IFERROR(__xludf.DUMMYFUNCTION("""COMPUTED_VALUE"""),"")</f>
        <v/>
      </c>
      <c r="Q2170" s="5" t="str">
        <f>IFERROR(__xludf.DUMMYFUNCTION("""COMPUTED_VALUE"""),"")</f>
        <v/>
      </c>
      <c r="R2170" s="4" t="str">
        <f>IFERROR(__xludf.DUMMYFUNCTION("""COMPUTED_VALUE"""),"")</f>
        <v/>
      </c>
      <c r="S2170" s="1" t="b">
        <f>IFERROR(__xludf.DUMMYFUNCTION("""COMPUTED_VALUE"""),FALSE)</f>
        <v>0</v>
      </c>
      <c r="T2170" s="1" t="b">
        <f>IFERROR(__xludf.DUMMYFUNCTION("""COMPUTED_VALUE"""),FALSE)</f>
        <v>0</v>
      </c>
      <c r="U2170" s="1" t="str">
        <f>IFERROR(__xludf.DUMMYFUNCTION("""COMPUTED_VALUE"""),"DSQ")</f>
        <v>DSQ</v>
      </c>
      <c r="V2170" s="1" t="str">
        <f>IFERROR(__xludf.DUMMYFUNCTION("""COMPUTED_VALUE"""),"DSQ")</f>
        <v>DSQ</v>
      </c>
      <c r="W2170" s="1" t="str">
        <f>IFERROR(__xludf.DUMMYFUNCTION("""COMPUTED_VALUE"""),"DSQ")</f>
        <v>DSQ</v>
      </c>
      <c r="X2170" s="1" t="str">
        <f>IFERROR(__xludf.DUMMYFUNCTION("""COMPUTED_VALUE"""),"DSQ")</f>
        <v>DSQ</v>
      </c>
      <c r="Y2170" s="2"/>
      <c r="Z2170" s="2" t="str">
        <f>IFERROR(__xludf.DUMMYFUNCTION("""COMPUTED_VALUE"""),"")</f>
        <v/>
      </c>
    </row>
    <row r="2171">
      <c r="A2171" s="1">
        <f>IFERROR(__xludf.DUMMYFUNCTION("""COMPUTED_VALUE"""),2170.0)</f>
        <v>2170</v>
      </c>
      <c r="B2171" s="1">
        <f>IFERROR(__xludf.DUMMYFUNCTION("""COMPUTED_VALUE"""),5835.0)</f>
        <v>5835</v>
      </c>
      <c r="C2171" s="2" t="str">
        <f>IFERROR(__xludf.DUMMYFUNCTION("""COMPUTED_VALUE"""),"Ikhien")</f>
        <v>Ikhien</v>
      </c>
      <c r="D2171" s="2" t="str">
        <f>IFERROR(__xludf.DUMMYFUNCTION("""COMPUTED_VALUE"""),"5KM OVERALL M")</f>
        <v>5KM OVERALL M</v>
      </c>
      <c r="E2171" s="1">
        <f>IFERROR(__xludf.DUMMYFUNCTION("""COMPUTED_VALUE"""),2.0)</f>
        <v>2</v>
      </c>
      <c r="F2171" s="1" t="str">
        <f>IFERROR(__xludf.DUMMYFUNCTION("""COMPUTED_VALUE"""),"Male")</f>
        <v>Male</v>
      </c>
      <c r="G2171" s="4" t="b">
        <f>IFERROR(__xludf.DUMMYFUNCTION("""COMPUTED_VALUE"""),TRUE)</f>
        <v>1</v>
      </c>
      <c r="H2171" s="4" t="b">
        <f>IFERROR(__xludf.DUMMYFUNCTION("""COMPUTED_VALUE"""),FALSE)</f>
        <v>0</v>
      </c>
      <c r="I2171" s="4">
        <f>IFERROR(__xludf.DUMMYFUNCTION("""COMPUTED_VALUE"""),0.2549440625)</f>
        <v>0.2549440625</v>
      </c>
      <c r="J2171" s="4">
        <f>IFERROR(__xludf.DUMMYFUNCTION("""COMPUTED_VALUE"""),45949.28044335537)</f>
        <v>45949.28044</v>
      </c>
      <c r="K2171" s="4" t="str">
        <f>IFERROR(__xludf.DUMMYFUNCTION("""COMPUTED_VALUE"""),"")</f>
        <v/>
      </c>
      <c r="L2171" s="4">
        <f>IFERROR(__xludf.DUMMYFUNCTION("""COMPUTED_VALUE"""),45949.30045637159)</f>
        <v>45949.30046</v>
      </c>
      <c r="M2171" s="1" t="str">
        <f>IFERROR(__xludf.DUMMYFUNCTION("""COMPUTED_VALUE"""),"RFID")</f>
        <v>RFID</v>
      </c>
      <c r="N2171" s="5">
        <f>IFERROR(__xludf.DUMMYFUNCTION("""COMPUTED_VALUE"""),0.010199717592592594)</f>
        <v>0.01019971759</v>
      </c>
      <c r="O2171" s="5" t="str">
        <f>IFERROR(__xludf.DUMMYFUNCTION("""COMPUTED_VALUE"""),"")</f>
        <v/>
      </c>
      <c r="P2171" s="5" t="str">
        <f>IFERROR(__xludf.DUMMYFUNCTION("""COMPUTED_VALUE"""),"")</f>
        <v/>
      </c>
      <c r="Q2171" s="5">
        <f>IFERROR(__xludf.DUMMYFUNCTION("""COMPUTED_VALUE"""),0.009102462962962963)</f>
        <v>0.009102462963</v>
      </c>
      <c r="R2171" s="4">
        <f>IFERROR(__xludf.DUMMYFUNCTION("""COMPUTED_VALUE"""),45949.04551230909)</f>
        <v>45949.04551</v>
      </c>
      <c r="S2171" s="1" t="b">
        <f>IFERROR(__xludf.DUMMYFUNCTION("""COMPUTED_VALUE"""),TRUE)</f>
        <v>1</v>
      </c>
      <c r="T2171" s="1" t="b">
        <f>IFERROR(__xludf.DUMMYFUNCTION("""COMPUTED_VALUE"""),FALSE)</f>
        <v>0</v>
      </c>
      <c r="U2171" s="1" t="str">
        <f>IFERROR(__xludf.DUMMYFUNCTION("""COMPUTED_VALUE"""),"VALID")</f>
        <v>VALID</v>
      </c>
      <c r="V2171" s="1">
        <f>IFERROR(__xludf.DUMMYFUNCTION("""COMPUTED_VALUE"""),801.0)</f>
        <v>801</v>
      </c>
      <c r="W2171" s="1">
        <f>IFERROR(__xludf.DUMMYFUNCTION("""COMPUTED_VALUE"""),1466.0)</f>
        <v>1466</v>
      </c>
      <c r="X2171" s="1">
        <f>IFERROR(__xludf.DUMMYFUNCTION("""COMPUTED_VALUE"""),1216.0)</f>
        <v>1216</v>
      </c>
      <c r="Y2171" s="2"/>
      <c r="Z2171" s="2"/>
    </row>
    <row r="2172">
      <c r="A2172" s="1">
        <f>IFERROR(__xludf.DUMMYFUNCTION("""COMPUTED_VALUE"""),2171.0)</f>
        <v>2171</v>
      </c>
      <c r="B2172" s="1">
        <f>IFERROR(__xludf.DUMMYFUNCTION("""COMPUTED_VALUE"""),5836.0)</f>
        <v>5836</v>
      </c>
      <c r="C2172" s="2">
        <f>IFERROR(__xludf.DUMMYFUNCTION("""COMPUTED_VALUE"""),211320.0)</f>
        <v>211320</v>
      </c>
      <c r="D2172" s="2" t="str">
        <f>IFERROR(__xludf.DUMMYFUNCTION("""COMPUTED_VALUE"""),"5KM OVERALL M")</f>
        <v>5KM OVERALL M</v>
      </c>
      <c r="E2172" s="1">
        <f>IFERROR(__xludf.DUMMYFUNCTION("""COMPUTED_VALUE"""),2.0)</f>
        <v>2</v>
      </c>
      <c r="F2172" s="1" t="str">
        <f>IFERROR(__xludf.DUMMYFUNCTION("""COMPUTED_VALUE"""),"Male")</f>
        <v>Male</v>
      </c>
      <c r="G2172" s="4" t="b">
        <f>IFERROR(__xludf.DUMMYFUNCTION("""COMPUTED_VALUE"""),TRUE)</f>
        <v>1</v>
      </c>
      <c r="H2172" s="4" t="b">
        <f>IFERROR(__xludf.DUMMYFUNCTION("""COMPUTED_VALUE"""),FALSE)</f>
        <v>0</v>
      </c>
      <c r="I2172" s="4">
        <f>IFERROR(__xludf.DUMMYFUNCTION("""COMPUTED_VALUE"""),0.2549440625)</f>
        <v>0.2549440625</v>
      </c>
      <c r="J2172" s="4">
        <f>IFERROR(__xludf.DUMMYFUNCTION("""COMPUTED_VALUE"""),45949.27508919646)</f>
        <v>45949.27509</v>
      </c>
      <c r="K2172" s="4" t="str">
        <f>IFERROR(__xludf.DUMMYFUNCTION("""COMPUTED_VALUE"""),"")</f>
        <v/>
      </c>
      <c r="L2172" s="4">
        <f>IFERROR(__xludf.DUMMYFUNCTION("""COMPUTED_VALUE"""),45949.28825845512)</f>
        <v>45949.28826</v>
      </c>
      <c r="M2172" s="1" t="str">
        <f>IFERROR(__xludf.DUMMYFUNCTION("""COMPUTED_VALUE"""),"RFID")</f>
        <v>RFID</v>
      </c>
      <c r="N2172" s="5">
        <f>IFERROR(__xludf.DUMMYFUNCTION("""COMPUTED_VALUE"""),0.008058055555555556)</f>
        <v>0.008058055556</v>
      </c>
      <c r="O2172" s="5" t="str">
        <f>IFERROR(__xludf.DUMMYFUNCTION("""COMPUTED_VALUE"""),"")</f>
        <v/>
      </c>
      <c r="P2172" s="5" t="str">
        <f>IFERROR(__xludf.DUMMYFUNCTION("""COMPUTED_VALUE"""),"")</f>
        <v/>
      </c>
      <c r="Q2172" s="5">
        <f>IFERROR(__xludf.DUMMYFUNCTION("""COMPUTED_VALUE"""),0.00666287962962963)</f>
        <v>0.00666287963</v>
      </c>
      <c r="R2172" s="4">
        <f>IFERROR(__xludf.DUMMYFUNCTION("""COMPUTED_VALUE"""),45949.03331439262)</f>
        <v>45949.03331</v>
      </c>
      <c r="S2172" s="1" t="b">
        <f>IFERROR(__xludf.DUMMYFUNCTION("""COMPUTED_VALUE"""),TRUE)</f>
        <v>1</v>
      </c>
      <c r="T2172" s="1" t="b">
        <f>IFERROR(__xludf.DUMMYFUNCTION("""COMPUTED_VALUE"""),FALSE)</f>
        <v>0</v>
      </c>
      <c r="U2172" s="1" t="str">
        <f>IFERROR(__xludf.DUMMYFUNCTION("""COMPUTED_VALUE"""),"VALID")</f>
        <v>VALID</v>
      </c>
      <c r="V2172" s="1">
        <f>IFERROR(__xludf.DUMMYFUNCTION("""COMPUTED_VALUE"""),509.0)</f>
        <v>509</v>
      </c>
      <c r="W2172" s="1">
        <f>IFERROR(__xludf.DUMMYFUNCTION("""COMPUTED_VALUE"""),795.0)</f>
        <v>795</v>
      </c>
      <c r="X2172" s="1">
        <f>IFERROR(__xludf.DUMMYFUNCTION("""COMPUTED_VALUE"""),657.0)</f>
        <v>657</v>
      </c>
      <c r="Y2172" s="2"/>
      <c r="Z2172" s="2"/>
    </row>
    <row r="2173">
      <c r="A2173" s="1">
        <f>IFERROR(__xludf.DUMMYFUNCTION("""COMPUTED_VALUE"""),2172.0)</f>
        <v>2172</v>
      </c>
      <c r="B2173" s="1">
        <f>IFERROR(__xludf.DUMMYFUNCTION("""COMPUTED_VALUE"""),5838.0)</f>
        <v>5838</v>
      </c>
      <c r="C2173" s="2" t="str">
        <f>IFERROR(__xludf.DUMMYFUNCTION("""COMPUTED_VALUE"""),"DEDY")</f>
        <v>DEDY</v>
      </c>
      <c r="D2173" s="2" t="str">
        <f>IFERROR(__xludf.DUMMYFUNCTION("""COMPUTED_VALUE"""),"5KM OVERALL M")</f>
        <v>5KM OVERALL M</v>
      </c>
      <c r="E2173" s="1">
        <f>IFERROR(__xludf.DUMMYFUNCTION("""COMPUTED_VALUE"""),2.0)</f>
        <v>2</v>
      </c>
      <c r="F2173" s="1" t="str">
        <f>IFERROR(__xludf.DUMMYFUNCTION("""COMPUTED_VALUE"""),"Male")</f>
        <v>Male</v>
      </c>
      <c r="G2173" s="4" t="b">
        <f>IFERROR(__xludf.DUMMYFUNCTION("""COMPUTED_VALUE"""),TRUE)</f>
        <v>1</v>
      </c>
      <c r="H2173" s="4" t="b">
        <f>IFERROR(__xludf.DUMMYFUNCTION("""COMPUTED_VALUE"""),FALSE)</f>
        <v>0</v>
      </c>
      <c r="I2173" s="4">
        <f>IFERROR(__xludf.DUMMYFUNCTION("""COMPUTED_VALUE"""),0.2549440625)</f>
        <v>0.2549440625</v>
      </c>
      <c r="J2173" s="4">
        <f>IFERROR(__xludf.DUMMYFUNCTION("""COMPUTED_VALUE"""),45949.26838433994)</f>
        <v>45949.26838</v>
      </c>
      <c r="K2173" s="4" t="str">
        <f>IFERROR(__xludf.DUMMYFUNCTION("""COMPUTED_VALUE"""),"")</f>
        <v/>
      </c>
      <c r="L2173" s="4">
        <f>IFERROR(__xludf.DUMMYFUNCTION("""COMPUTED_VALUE"""),45949.27781401011)</f>
        <v>45949.27781</v>
      </c>
      <c r="M2173" s="1" t="str">
        <f>IFERROR(__xludf.DUMMYFUNCTION("""COMPUTED_VALUE"""),"RFID")</f>
        <v>RFID</v>
      </c>
      <c r="N2173" s="5">
        <f>IFERROR(__xludf.DUMMYFUNCTION("""COMPUTED_VALUE"""),0.005376111111111111)</f>
        <v>0.005376111111</v>
      </c>
      <c r="O2173" s="5" t="str">
        <f>IFERROR(__xludf.DUMMYFUNCTION("""COMPUTED_VALUE"""),"")</f>
        <v/>
      </c>
      <c r="P2173" s="5" t="str">
        <f>IFERROR(__xludf.DUMMYFUNCTION("""COMPUTED_VALUE"""),"")</f>
        <v/>
      </c>
      <c r="Q2173" s="5">
        <f>IFERROR(__xludf.DUMMYFUNCTION("""COMPUTED_VALUE"""),0.004573988425925926)</f>
        <v>0.004573988426</v>
      </c>
      <c r="R2173" s="4">
        <f>IFERROR(__xludf.DUMMYFUNCTION("""COMPUTED_VALUE"""),45949.02286994761)</f>
        <v>45949.02287</v>
      </c>
      <c r="S2173" s="1" t="b">
        <f>IFERROR(__xludf.DUMMYFUNCTION("""COMPUTED_VALUE"""),TRUE)</f>
        <v>1</v>
      </c>
      <c r="T2173" s="1" t="b">
        <f>IFERROR(__xludf.DUMMYFUNCTION("""COMPUTED_VALUE"""),FALSE)</f>
        <v>0</v>
      </c>
      <c r="U2173" s="1" t="str">
        <f>IFERROR(__xludf.DUMMYFUNCTION("""COMPUTED_VALUE"""),"VALID")</f>
        <v>VALID</v>
      </c>
      <c r="V2173" s="1">
        <f>IFERROR(__xludf.DUMMYFUNCTION("""COMPUTED_VALUE"""),132.0)</f>
        <v>132</v>
      </c>
      <c r="W2173" s="1">
        <f>IFERROR(__xludf.DUMMYFUNCTION("""COMPUTED_VALUE"""),204.0)</f>
        <v>204</v>
      </c>
      <c r="X2173" s="1">
        <f>IFERROR(__xludf.DUMMYFUNCTION("""COMPUTED_VALUE"""),178.0)</f>
        <v>178</v>
      </c>
      <c r="Y2173" s="2"/>
      <c r="Z2173" s="2"/>
    </row>
    <row r="2174">
      <c r="A2174" s="1">
        <f>IFERROR(__xludf.DUMMYFUNCTION("""COMPUTED_VALUE"""),2173.0)</f>
        <v>2173</v>
      </c>
      <c r="B2174" s="1">
        <f>IFERROR(__xludf.DUMMYFUNCTION("""COMPUTED_VALUE"""),5839.0)</f>
        <v>5839</v>
      </c>
      <c r="C2174" s="2" t="str">
        <f>IFERROR(__xludf.DUMMYFUNCTION("""COMPUTED_VALUE"""),"A Budi")</f>
        <v>A Budi</v>
      </c>
      <c r="D2174" s="2" t="str">
        <f>IFERROR(__xludf.DUMMYFUNCTION("""COMPUTED_VALUE"""),"5KM OVERALL M")</f>
        <v>5KM OVERALL M</v>
      </c>
      <c r="E2174" s="1">
        <f>IFERROR(__xludf.DUMMYFUNCTION("""COMPUTED_VALUE"""),2.0)</f>
        <v>2</v>
      </c>
      <c r="F2174" s="1" t="str">
        <f>IFERROR(__xludf.DUMMYFUNCTION("""COMPUTED_VALUE"""),"Male")</f>
        <v>Male</v>
      </c>
      <c r="G2174" s="4" t="str">
        <f>IFERROR(__xludf.DUMMYFUNCTION("""COMPUTED_VALUE"""),"")</f>
        <v/>
      </c>
      <c r="H2174" s="4" t="b">
        <f>IFERROR(__xludf.DUMMYFUNCTION("""COMPUTED_VALUE"""),FALSE)</f>
        <v>0</v>
      </c>
      <c r="I2174" s="4">
        <f>IFERROR(__xludf.DUMMYFUNCTION("""COMPUTED_VALUE"""),0.2549440625)</f>
        <v>0.2549440625</v>
      </c>
      <c r="J2174" s="4" t="str">
        <f>IFERROR(__xludf.DUMMYFUNCTION("""COMPUTED_VALUE"""),"")</f>
        <v/>
      </c>
      <c r="K2174" s="4" t="str">
        <f>IFERROR(__xludf.DUMMYFUNCTION("""COMPUTED_VALUE"""),"")</f>
        <v/>
      </c>
      <c r="L2174" s="4" t="str">
        <f>IFERROR(__xludf.DUMMYFUNCTION("""COMPUTED_VALUE"""),"")</f>
        <v/>
      </c>
      <c r="M2174" s="1" t="str">
        <f>IFERROR(__xludf.DUMMYFUNCTION("""COMPUTED_VALUE"""),"RFID")</f>
        <v>RFID</v>
      </c>
      <c r="N2174" s="5" t="str">
        <f>IFERROR(__xludf.DUMMYFUNCTION("""COMPUTED_VALUE"""),"")</f>
        <v/>
      </c>
      <c r="O2174" s="5" t="str">
        <f>IFERROR(__xludf.DUMMYFUNCTION("""COMPUTED_VALUE"""),"")</f>
        <v/>
      </c>
      <c r="P2174" s="5" t="str">
        <f>IFERROR(__xludf.DUMMYFUNCTION("""COMPUTED_VALUE"""),"")</f>
        <v/>
      </c>
      <c r="Q2174" s="5" t="str">
        <f>IFERROR(__xludf.DUMMYFUNCTION("""COMPUTED_VALUE"""),"")</f>
        <v/>
      </c>
      <c r="R2174" s="4" t="str">
        <f>IFERROR(__xludf.DUMMYFUNCTION("""COMPUTED_VALUE"""),"")</f>
        <v/>
      </c>
      <c r="S2174" s="1" t="b">
        <f>IFERROR(__xludf.DUMMYFUNCTION("""COMPUTED_VALUE"""),FALSE)</f>
        <v>0</v>
      </c>
      <c r="T2174" s="1" t="b">
        <f>IFERROR(__xludf.DUMMYFUNCTION("""COMPUTED_VALUE"""),FALSE)</f>
        <v>0</v>
      </c>
      <c r="U2174" s="1" t="str">
        <f>IFERROR(__xludf.DUMMYFUNCTION("""COMPUTED_VALUE"""),"DSQ")</f>
        <v>DSQ</v>
      </c>
      <c r="V2174" s="1" t="str">
        <f>IFERROR(__xludf.DUMMYFUNCTION("""COMPUTED_VALUE"""),"DSQ")</f>
        <v>DSQ</v>
      </c>
      <c r="W2174" s="1" t="str">
        <f>IFERROR(__xludf.DUMMYFUNCTION("""COMPUTED_VALUE"""),"DSQ")</f>
        <v>DSQ</v>
      </c>
      <c r="X2174" s="1" t="str">
        <f>IFERROR(__xludf.DUMMYFUNCTION("""COMPUTED_VALUE"""),"DSQ")</f>
        <v>DSQ</v>
      </c>
      <c r="Y2174" s="2"/>
      <c r="Z2174" s="2" t="str">
        <f>IFERROR(__xludf.DUMMYFUNCTION("""COMPUTED_VALUE"""),"")</f>
        <v/>
      </c>
    </row>
    <row r="2175">
      <c r="A2175" s="1">
        <f>IFERROR(__xludf.DUMMYFUNCTION("""COMPUTED_VALUE"""),2174.0)</f>
        <v>2174</v>
      </c>
      <c r="B2175" s="1">
        <f>IFERROR(__xludf.DUMMYFUNCTION("""COMPUTED_VALUE"""),5840.0)</f>
        <v>5840</v>
      </c>
      <c r="C2175" s="2" t="str">
        <f>IFERROR(__xludf.DUMMYFUNCTION("""COMPUTED_VALUE"""),"rama")</f>
        <v>rama</v>
      </c>
      <c r="D2175" s="2" t="str">
        <f>IFERROR(__xludf.DUMMYFUNCTION("""COMPUTED_VALUE"""),"5KM OVERALL M")</f>
        <v>5KM OVERALL M</v>
      </c>
      <c r="E2175" s="1">
        <f>IFERROR(__xludf.DUMMYFUNCTION("""COMPUTED_VALUE"""),2.0)</f>
        <v>2</v>
      </c>
      <c r="F2175" s="1" t="str">
        <f>IFERROR(__xludf.DUMMYFUNCTION("""COMPUTED_VALUE"""),"Male")</f>
        <v>Male</v>
      </c>
      <c r="G2175" s="4" t="b">
        <f>IFERROR(__xludf.DUMMYFUNCTION("""COMPUTED_VALUE"""),TRUE)</f>
        <v>1</v>
      </c>
      <c r="H2175" s="4" t="b">
        <f>IFERROR(__xludf.DUMMYFUNCTION("""COMPUTED_VALUE"""),FALSE)</f>
        <v>0</v>
      </c>
      <c r="I2175" s="4">
        <f>IFERROR(__xludf.DUMMYFUNCTION("""COMPUTED_VALUE"""),0.2549440625)</f>
        <v>0.2549440625</v>
      </c>
      <c r="J2175" s="4">
        <f>IFERROR(__xludf.DUMMYFUNCTION("""COMPUTED_VALUE"""),45949.264221145735)</f>
        <v>45949.26422</v>
      </c>
      <c r="K2175" s="4" t="str">
        <f>IFERROR(__xludf.DUMMYFUNCTION("""COMPUTED_VALUE"""),"")</f>
        <v/>
      </c>
      <c r="L2175" s="4">
        <f>IFERROR(__xludf.DUMMYFUNCTION("""COMPUTED_VALUE"""),45949.2720189211)</f>
        <v>45949.27202</v>
      </c>
      <c r="M2175" s="1" t="str">
        <f>IFERROR(__xludf.DUMMYFUNCTION("""COMPUTED_VALUE"""),"RFID")</f>
        <v>RFID</v>
      </c>
      <c r="N2175" s="5">
        <f>IFERROR(__xludf.DUMMYFUNCTION("""COMPUTED_VALUE"""),0.0037108333333333333)</f>
        <v>0.003710833333</v>
      </c>
      <c r="O2175" s="5" t="str">
        <f>IFERROR(__xludf.DUMMYFUNCTION("""COMPUTED_VALUE"""),"")</f>
        <v/>
      </c>
      <c r="P2175" s="5" t="str">
        <f>IFERROR(__xludf.DUMMYFUNCTION("""COMPUTED_VALUE"""),"")</f>
        <v/>
      </c>
      <c r="Q2175" s="5">
        <f>IFERROR(__xludf.DUMMYFUNCTION("""COMPUTED_VALUE"""),0.003414972222222222)</f>
        <v>0.003414972222</v>
      </c>
      <c r="R2175" s="4">
        <f>IFERROR(__xludf.DUMMYFUNCTION("""COMPUTED_VALUE"""),45949.0170748586)</f>
        <v>45949.01707</v>
      </c>
      <c r="S2175" s="1" t="b">
        <f>IFERROR(__xludf.DUMMYFUNCTION("""COMPUTED_VALUE"""),TRUE)</f>
        <v>1</v>
      </c>
      <c r="T2175" s="1" t="b">
        <f>IFERROR(__xludf.DUMMYFUNCTION("""COMPUTED_VALUE"""),FALSE)</f>
        <v>0</v>
      </c>
      <c r="U2175" s="1" t="str">
        <f>IFERROR(__xludf.DUMMYFUNCTION("""COMPUTED_VALUE"""),"VALID")</f>
        <v>VALID</v>
      </c>
      <c r="V2175" s="1">
        <f>IFERROR(__xludf.DUMMYFUNCTION("""COMPUTED_VALUE"""),24.0)</f>
        <v>24</v>
      </c>
      <c r="W2175" s="1">
        <f>IFERROR(__xludf.DUMMYFUNCTION("""COMPUTED_VALUE"""),36.0)</f>
        <v>36</v>
      </c>
      <c r="X2175" s="1">
        <f>IFERROR(__xludf.DUMMYFUNCTION("""COMPUTED_VALUE"""),35.0)</f>
        <v>35</v>
      </c>
      <c r="Y2175" s="2"/>
      <c r="Z2175" s="2"/>
    </row>
    <row r="2176">
      <c r="A2176" s="1">
        <f>IFERROR(__xludf.DUMMYFUNCTION("""COMPUTED_VALUE"""),2175.0)</f>
        <v>2175</v>
      </c>
      <c r="B2176" s="1">
        <f>IFERROR(__xludf.DUMMYFUNCTION("""COMPUTED_VALUE"""),5842.0)</f>
        <v>5842</v>
      </c>
      <c r="C2176" s="2" t="str">
        <f>IFERROR(__xludf.DUMMYFUNCTION("""COMPUTED_VALUE"""),"Setyo")</f>
        <v>Setyo</v>
      </c>
      <c r="D2176" s="2" t="str">
        <f>IFERROR(__xludf.DUMMYFUNCTION("""COMPUTED_VALUE"""),"5KM OVERALL M")</f>
        <v>5KM OVERALL M</v>
      </c>
      <c r="E2176" s="1">
        <f>IFERROR(__xludf.DUMMYFUNCTION("""COMPUTED_VALUE"""),2.0)</f>
        <v>2</v>
      </c>
      <c r="F2176" s="1" t="str">
        <f>IFERROR(__xludf.DUMMYFUNCTION("""COMPUTED_VALUE"""),"Male")</f>
        <v>Male</v>
      </c>
      <c r="G2176" s="4" t="b">
        <f>IFERROR(__xludf.DUMMYFUNCTION("""COMPUTED_VALUE"""),TRUE)</f>
        <v>1</v>
      </c>
      <c r="H2176" s="4" t="b">
        <f>IFERROR(__xludf.DUMMYFUNCTION("""COMPUTED_VALUE"""),FALSE)</f>
        <v>0</v>
      </c>
      <c r="I2176" s="4">
        <f>IFERROR(__xludf.DUMMYFUNCTION("""COMPUTED_VALUE"""),0.2549440625)</f>
        <v>0.2549440625</v>
      </c>
      <c r="J2176" s="4">
        <f>IFERROR(__xludf.DUMMYFUNCTION("""COMPUTED_VALUE"""),45949.27732186241)</f>
        <v>45949.27732</v>
      </c>
      <c r="K2176" s="4" t="str">
        <f>IFERROR(__xludf.DUMMYFUNCTION("""COMPUTED_VALUE"""),"")</f>
        <v/>
      </c>
      <c r="L2176" s="4">
        <f>IFERROR(__xludf.DUMMYFUNCTION("""COMPUTED_VALUE"""),45949.29195601852)</f>
        <v>45949.29196</v>
      </c>
      <c r="M2176" s="1" t="str">
        <f>IFERROR(__xludf.DUMMYFUNCTION("""COMPUTED_VALUE"""),"RFID")</f>
        <v>RFID</v>
      </c>
      <c r="N2176" s="5">
        <f>IFERROR(__xludf.DUMMYFUNCTION("""COMPUTED_VALUE"""),0.00895112037037037)</f>
        <v>0.00895112037</v>
      </c>
      <c r="O2176" s="5" t="str">
        <f>IFERROR(__xludf.DUMMYFUNCTION("""COMPUTED_VALUE"""),"")</f>
        <v/>
      </c>
      <c r="P2176" s="5" t="str">
        <f>IFERROR(__xludf.DUMMYFUNCTION("""COMPUTED_VALUE"""),"")</f>
        <v/>
      </c>
      <c r="Q2176" s="5">
        <f>IFERROR(__xludf.DUMMYFUNCTION("""COMPUTED_VALUE"""),0.0074023912037037036)</f>
        <v>0.007402391204</v>
      </c>
      <c r="R2176" s="4">
        <f>IFERROR(__xludf.DUMMYFUNCTION("""COMPUTED_VALUE"""),45949.03701195602)</f>
        <v>45949.03701</v>
      </c>
      <c r="S2176" s="1" t="b">
        <f>IFERROR(__xludf.DUMMYFUNCTION("""COMPUTED_VALUE"""),TRUE)</f>
        <v>1</v>
      </c>
      <c r="T2176" s="1" t="b">
        <f>IFERROR(__xludf.DUMMYFUNCTION("""COMPUTED_VALUE"""),FALSE)</f>
        <v>0</v>
      </c>
      <c r="U2176" s="1" t="str">
        <f>IFERROR(__xludf.DUMMYFUNCTION("""COMPUTED_VALUE"""),"VALID")</f>
        <v>VALID</v>
      </c>
      <c r="V2176" s="1">
        <f>IFERROR(__xludf.DUMMYFUNCTION("""COMPUTED_VALUE"""),627.0)</f>
        <v>627</v>
      </c>
      <c r="W2176" s="1">
        <f>IFERROR(__xludf.DUMMYFUNCTION("""COMPUTED_VALUE"""),1030.0)</f>
        <v>1030</v>
      </c>
      <c r="X2176" s="1">
        <f>IFERROR(__xludf.DUMMYFUNCTION("""COMPUTED_VALUE"""),826.0)</f>
        <v>826</v>
      </c>
      <c r="Y2176" s="2"/>
      <c r="Z2176" s="2"/>
    </row>
    <row r="2177">
      <c r="A2177" s="1">
        <f>IFERROR(__xludf.DUMMYFUNCTION("""COMPUTED_VALUE"""),2176.0)</f>
        <v>2176</v>
      </c>
      <c r="B2177" s="1">
        <f>IFERROR(__xludf.DUMMYFUNCTION("""COMPUTED_VALUE"""),5844.0)</f>
        <v>5844</v>
      </c>
      <c r="C2177" s="2" t="str">
        <f>IFERROR(__xludf.DUMMYFUNCTION("""COMPUTED_VALUE"""),"ANTON")</f>
        <v>ANTON</v>
      </c>
      <c r="D2177" s="2" t="str">
        <f>IFERROR(__xludf.DUMMYFUNCTION("""COMPUTED_VALUE"""),"5KM OVERALL M")</f>
        <v>5KM OVERALL M</v>
      </c>
      <c r="E2177" s="1">
        <f>IFERROR(__xludf.DUMMYFUNCTION("""COMPUTED_VALUE"""),2.0)</f>
        <v>2</v>
      </c>
      <c r="F2177" s="1" t="str">
        <f>IFERROR(__xludf.DUMMYFUNCTION("""COMPUTED_VALUE"""),"Male")</f>
        <v>Male</v>
      </c>
      <c r="G2177" s="4" t="b">
        <f>IFERROR(__xludf.DUMMYFUNCTION("""COMPUTED_VALUE"""),TRUE)</f>
        <v>1</v>
      </c>
      <c r="H2177" s="4" t="b">
        <f>IFERROR(__xludf.DUMMYFUNCTION("""COMPUTED_VALUE"""),TRUE)</f>
        <v>1</v>
      </c>
      <c r="I2177" s="4">
        <f>IFERROR(__xludf.DUMMYFUNCTION("""COMPUTED_VALUE"""),0.2549440625)</f>
        <v>0.2549440625</v>
      </c>
      <c r="J2177" s="4">
        <f>IFERROR(__xludf.DUMMYFUNCTION("""COMPUTED_VALUE"""),45949.278516276805)</f>
        <v>45949.27852</v>
      </c>
      <c r="K2177" s="4" t="str">
        <f>IFERROR(__xludf.DUMMYFUNCTION("""COMPUTED_VALUE"""),"")</f>
        <v/>
      </c>
      <c r="L2177" s="4">
        <f>IFERROR(__xludf.DUMMYFUNCTION("""COMPUTED_VALUE"""),45949.294546708334)</f>
        <v>45949.29455</v>
      </c>
      <c r="M2177" s="1" t="str">
        <f>IFERROR(__xludf.DUMMYFUNCTION("""COMPUTED_VALUE"""),"RFID")</f>
        <v>RFID</v>
      </c>
      <c r="N2177" s="5">
        <f>IFERROR(__xludf.DUMMYFUNCTION("""COMPUTED_VALUE"""),0.009428884259259258)</f>
        <v>0.009428884259</v>
      </c>
      <c r="O2177" s="5" t="str">
        <f>IFERROR(__xludf.DUMMYFUNCTION("""COMPUTED_VALUE"""),"")</f>
        <v/>
      </c>
      <c r="P2177" s="5" t="str">
        <f>IFERROR(__xludf.DUMMYFUNCTION("""COMPUTED_VALUE"""),"")</f>
        <v/>
      </c>
      <c r="Q2177" s="5">
        <f>IFERROR(__xludf.DUMMYFUNCTION("""COMPUTED_VALUE"""),0.007920530092592592)</f>
        <v>0.007920530093</v>
      </c>
      <c r="R2177" s="4">
        <f>IFERROR(__xludf.DUMMYFUNCTION("""COMPUTED_VALUE"""),45949.03960264583)</f>
        <v>45949.0396</v>
      </c>
      <c r="S2177" s="1" t="b">
        <f>IFERROR(__xludf.DUMMYFUNCTION("""COMPUTED_VALUE"""),TRUE)</f>
        <v>1</v>
      </c>
      <c r="T2177" s="1" t="b">
        <f>IFERROR(__xludf.DUMMYFUNCTION("""COMPUTED_VALUE"""),FALSE)</f>
        <v>0</v>
      </c>
      <c r="U2177" s="1" t="str">
        <f>IFERROR(__xludf.DUMMYFUNCTION("""COMPUTED_VALUE"""),"VALID")</f>
        <v>VALID</v>
      </c>
      <c r="V2177" s="1">
        <f>IFERROR(__xludf.DUMMYFUNCTION("""COMPUTED_VALUE"""),707.0)</f>
        <v>707</v>
      </c>
      <c r="W2177" s="1">
        <f>IFERROR(__xludf.DUMMYFUNCTION("""COMPUTED_VALUE"""),1224.0)</f>
        <v>1224</v>
      </c>
      <c r="X2177" s="1">
        <f>IFERROR(__xludf.DUMMYFUNCTION("""COMPUTED_VALUE"""),960.0)</f>
        <v>960</v>
      </c>
      <c r="Y2177" s="2"/>
      <c r="Z2177" s="2"/>
    </row>
    <row r="2178">
      <c r="A2178" s="1">
        <f>IFERROR(__xludf.DUMMYFUNCTION("""COMPUTED_VALUE"""),2177.0)</f>
        <v>2177</v>
      </c>
      <c r="B2178" s="1">
        <f>IFERROR(__xludf.DUMMYFUNCTION("""COMPUTED_VALUE"""),5845.0)</f>
        <v>5845</v>
      </c>
      <c r="C2178" s="2" t="str">
        <f>IFERROR(__xludf.DUMMYFUNCTION("""COMPUTED_VALUE"""),"Bay")</f>
        <v>Bay</v>
      </c>
      <c r="D2178" s="2" t="str">
        <f>IFERROR(__xludf.DUMMYFUNCTION("""COMPUTED_VALUE"""),"5KM OVERALL M")</f>
        <v>5KM OVERALL M</v>
      </c>
      <c r="E2178" s="1">
        <f>IFERROR(__xludf.DUMMYFUNCTION("""COMPUTED_VALUE"""),2.0)</f>
        <v>2</v>
      </c>
      <c r="F2178" s="1" t="str">
        <f>IFERROR(__xludf.DUMMYFUNCTION("""COMPUTED_VALUE"""),"Male")</f>
        <v>Male</v>
      </c>
      <c r="G2178" s="4" t="b">
        <f>IFERROR(__xludf.DUMMYFUNCTION("""COMPUTED_VALUE"""),TRUE)</f>
        <v>1</v>
      </c>
      <c r="H2178" s="4" t="b">
        <f>IFERROR(__xludf.DUMMYFUNCTION("""COMPUTED_VALUE"""),TRUE)</f>
        <v>1</v>
      </c>
      <c r="I2178" s="4">
        <f>IFERROR(__xludf.DUMMYFUNCTION("""COMPUTED_VALUE"""),0.2549440625)</f>
        <v>0.2549440625</v>
      </c>
      <c r="J2178" s="4">
        <f>IFERROR(__xludf.DUMMYFUNCTION("""COMPUTED_VALUE"""),45949.27836356637)</f>
        <v>45949.27836</v>
      </c>
      <c r="K2178" s="4" t="str">
        <f>IFERROR(__xludf.DUMMYFUNCTION("""COMPUTED_VALUE"""),"")</f>
        <v/>
      </c>
      <c r="L2178" s="4">
        <f>IFERROR(__xludf.DUMMYFUNCTION("""COMPUTED_VALUE"""),45949.29398767312)</f>
        <v>45949.29399</v>
      </c>
      <c r="M2178" s="1" t="str">
        <f>IFERROR(__xludf.DUMMYFUNCTION("""COMPUTED_VALUE"""),"RFID")</f>
        <v>RFID</v>
      </c>
      <c r="N2178" s="5">
        <f>IFERROR(__xludf.DUMMYFUNCTION("""COMPUTED_VALUE"""),0.009367800925925925)</f>
        <v>0.009367800926</v>
      </c>
      <c r="O2178" s="5" t="str">
        <f>IFERROR(__xludf.DUMMYFUNCTION("""COMPUTED_VALUE"""),"")</f>
        <v/>
      </c>
      <c r="P2178" s="5" t="str">
        <f>IFERROR(__xludf.DUMMYFUNCTION("""COMPUTED_VALUE"""),"")</f>
        <v/>
      </c>
      <c r="Q2178" s="5">
        <f>IFERROR(__xludf.DUMMYFUNCTION("""COMPUTED_VALUE"""),0.007808722222222222)</f>
        <v>0.007808722222</v>
      </c>
      <c r="R2178" s="4">
        <f>IFERROR(__xludf.DUMMYFUNCTION("""COMPUTED_VALUE"""),45949.03904361062)</f>
        <v>45949.03904</v>
      </c>
      <c r="S2178" s="1" t="b">
        <f>IFERROR(__xludf.DUMMYFUNCTION("""COMPUTED_VALUE"""),TRUE)</f>
        <v>1</v>
      </c>
      <c r="T2178" s="1" t="b">
        <f>IFERROR(__xludf.DUMMYFUNCTION("""COMPUTED_VALUE"""),FALSE)</f>
        <v>0</v>
      </c>
      <c r="U2178" s="1" t="str">
        <f>IFERROR(__xludf.DUMMYFUNCTION("""COMPUTED_VALUE"""),"VALID")</f>
        <v>VALID</v>
      </c>
      <c r="V2178" s="1">
        <f>IFERROR(__xludf.DUMMYFUNCTION("""COMPUTED_VALUE"""),686.0)</f>
        <v>686</v>
      </c>
      <c r="W2178" s="1">
        <f>IFERROR(__xludf.DUMMYFUNCTION("""COMPUTED_VALUE"""),1175.0)</f>
        <v>1175</v>
      </c>
      <c r="X2178" s="1">
        <f>IFERROR(__xludf.DUMMYFUNCTION("""COMPUTED_VALUE"""),928.0)</f>
        <v>928</v>
      </c>
      <c r="Y2178" s="2"/>
      <c r="Z2178" s="2"/>
    </row>
    <row r="2179">
      <c r="A2179" s="1">
        <f>IFERROR(__xludf.DUMMYFUNCTION("""COMPUTED_VALUE"""),2178.0)</f>
        <v>2178</v>
      </c>
      <c r="B2179" s="1">
        <f>IFERROR(__xludf.DUMMYFUNCTION("""COMPUTED_VALUE"""),5846.0)</f>
        <v>5846</v>
      </c>
      <c r="C2179" s="2" t="str">
        <f>IFERROR(__xludf.DUMMYFUNCTION("""COMPUTED_VALUE"""),"Rapii Hamdi")</f>
        <v>Rapii Hamdi</v>
      </c>
      <c r="D2179" s="2" t="str">
        <f>IFERROR(__xludf.DUMMYFUNCTION("""COMPUTED_VALUE"""),"5KM OVERALL M")</f>
        <v>5KM OVERALL M</v>
      </c>
      <c r="E2179" s="1">
        <f>IFERROR(__xludf.DUMMYFUNCTION("""COMPUTED_VALUE"""),2.0)</f>
        <v>2</v>
      </c>
      <c r="F2179" s="1" t="str">
        <f>IFERROR(__xludf.DUMMYFUNCTION("""COMPUTED_VALUE"""),"Male")</f>
        <v>Male</v>
      </c>
      <c r="G2179" s="4" t="b">
        <f>IFERROR(__xludf.DUMMYFUNCTION("""COMPUTED_VALUE"""),TRUE)</f>
        <v>1</v>
      </c>
      <c r="H2179" s="4" t="b">
        <f>IFERROR(__xludf.DUMMYFUNCTION("""COMPUTED_VALUE"""),TRUE)</f>
        <v>1</v>
      </c>
      <c r="I2179" s="4">
        <f>IFERROR(__xludf.DUMMYFUNCTION("""COMPUTED_VALUE"""),0.2549440625)</f>
        <v>0.2549440625</v>
      </c>
      <c r="J2179" s="4">
        <f>IFERROR(__xludf.DUMMYFUNCTION("""COMPUTED_VALUE"""),45949.27411355164)</f>
        <v>45949.27411</v>
      </c>
      <c r="K2179" s="4" t="str">
        <f>IFERROR(__xludf.DUMMYFUNCTION("""COMPUTED_VALUE"""),"")</f>
        <v/>
      </c>
      <c r="L2179" s="4">
        <f>IFERROR(__xludf.DUMMYFUNCTION("""COMPUTED_VALUE"""),45949.28922025721)</f>
        <v>45949.28922</v>
      </c>
      <c r="M2179" s="1" t="str">
        <f>IFERROR(__xludf.DUMMYFUNCTION("""COMPUTED_VALUE"""),"RFID")</f>
        <v>RFID</v>
      </c>
      <c r="N2179" s="5">
        <f>IFERROR(__xludf.DUMMYFUNCTION("""COMPUTED_VALUE"""),0.007667796296296296)</f>
        <v>0.007667796296</v>
      </c>
      <c r="O2179" s="5" t="str">
        <f>IFERROR(__xludf.DUMMYFUNCTION("""COMPUTED_VALUE"""),"")</f>
        <v/>
      </c>
      <c r="P2179" s="5" t="str">
        <f>IFERROR(__xludf.DUMMYFUNCTION("""COMPUTED_VALUE"""),"")</f>
        <v/>
      </c>
      <c r="Q2179" s="5">
        <f>IFERROR(__xludf.DUMMYFUNCTION("""COMPUTED_VALUE"""),0.006855238425925926)</f>
        <v>0.006855238426</v>
      </c>
      <c r="R2179" s="4">
        <f>IFERROR(__xludf.DUMMYFUNCTION("""COMPUTED_VALUE"""),45949.03427619471)</f>
        <v>45949.03428</v>
      </c>
      <c r="S2179" s="1" t="b">
        <f>IFERROR(__xludf.DUMMYFUNCTION("""COMPUTED_VALUE"""),TRUE)</f>
        <v>1</v>
      </c>
      <c r="T2179" s="1" t="b">
        <f>IFERROR(__xludf.DUMMYFUNCTION("""COMPUTED_VALUE"""),FALSE)</f>
        <v>0</v>
      </c>
      <c r="U2179" s="1" t="str">
        <f>IFERROR(__xludf.DUMMYFUNCTION("""COMPUTED_VALUE"""),"VALID")</f>
        <v>VALID</v>
      </c>
      <c r="V2179" s="1">
        <f>IFERROR(__xludf.DUMMYFUNCTION("""COMPUTED_VALUE"""),542.0)</f>
        <v>542</v>
      </c>
      <c r="W2179" s="1">
        <f>IFERROR(__xludf.DUMMYFUNCTION("""COMPUTED_VALUE"""),855.0)</f>
        <v>855</v>
      </c>
      <c r="X2179" s="1">
        <f>IFERROR(__xludf.DUMMYFUNCTION("""COMPUTED_VALUE"""),699.0)</f>
        <v>699</v>
      </c>
      <c r="Y2179" s="2"/>
      <c r="Z2179" s="2"/>
    </row>
    <row r="2180">
      <c r="A2180" s="1">
        <f>IFERROR(__xludf.DUMMYFUNCTION("""COMPUTED_VALUE"""),2179.0)</f>
        <v>2179</v>
      </c>
      <c r="B2180" s="1">
        <f>IFERROR(__xludf.DUMMYFUNCTION("""COMPUTED_VALUE"""),5847.0)</f>
        <v>5847</v>
      </c>
      <c r="C2180" s="2" t="str">
        <f>IFERROR(__xludf.DUMMYFUNCTION("""COMPUTED_VALUE"""),"Ahmad Zayn")</f>
        <v>Ahmad Zayn</v>
      </c>
      <c r="D2180" s="2" t="str">
        <f>IFERROR(__xludf.DUMMYFUNCTION("""COMPUTED_VALUE"""),"5KM OVERALL M")</f>
        <v>5KM OVERALL M</v>
      </c>
      <c r="E2180" s="1">
        <f>IFERROR(__xludf.DUMMYFUNCTION("""COMPUTED_VALUE"""),2.0)</f>
        <v>2</v>
      </c>
      <c r="F2180" s="1" t="str">
        <f>IFERROR(__xludf.DUMMYFUNCTION("""COMPUTED_VALUE"""),"Male")</f>
        <v>Male</v>
      </c>
      <c r="G2180" s="4" t="b">
        <f>IFERROR(__xludf.DUMMYFUNCTION("""COMPUTED_VALUE"""),TRUE)</f>
        <v>1</v>
      </c>
      <c r="H2180" s="4" t="b">
        <f>IFERROR(__xludf.DUMMYFUNCTION("""COMPUTED_VALUE"""),TRUE)</f>
        <v>1</v>
      </c>
      <c r="I2180" s="4">
        <f>IFERROR(__xludf.DUMMYFUNCTION("""COMPUTED_VALUE"""),0.2549440625)</f>
        <v>0.2549440625</v>
      </c>
      <c r="J2180" s="4">
        <f>IFERROR(__xludf.DUMMYFUNCTION("""COMPUTED_VALUE"""),45949.26969448761)</f>
        <v>45949.26969</v>
      </c>
      <c r="K2180" s="4" t="str">
        <f>IFERROR(__xludf.DUMMYFUNCTION("""COMPUTED_VALUE"""),"")</f>
        <v/>
      </c>
      <c r="L2180" s="4">
        <f>IFERROR(__xludf.DUMMYFUNCTION("""COMPUTED_VALUE"""),45949.28095324476)</f>
        <v>45949.28095</v>
      </c>
      <c r="M2180" s="1" t="str">
        <f>IFERROR(__xludf.DUMMYFUNCTION("""COMPUTED_VALUE"""),"RFID")</f>
        <v>RFID</v>
      </c>
      <c r="N2180" s="5">
        <f>IFERROR(__xludf.DUMMYFUNCTION("""COMPUTED_VALUE"""),0.005900171296296296)</f>
        <v>0.005900171296</v>
      </c>
      <c r="O2180" s="5" t="str">
        <f>IFERROR(__xludf.DUMMYFUNCTION("""COMPUTED_VALUE"""),"")</f>
        <v/>
      </c>
      <c r="P2180" s="5" t="str">
        <f>IFERROR(__xludf.DUMMYFUNCTION("""COMPUTED_VALUE"""),"")</f>
        <v/>
      </c>
      <c r="Q2180" s="5">
        <f>IFERROR(__xludf.DUMMYFUNCTION("""COMPUTED_VALUE"""),0.005201835648148149)</f>
        <v>0.005201835648</v>
      </c>
      <c r="R2180" s="4">
        <f>IFERROR(__xludf.DUMMYFUNCTION("""COMPUTED_VALUE"""),45949.02600918226)</f>
        <v>45949.02601</v>
      </c>
      <c r="S2180" s="1" t="b">
        <f>IFERROR(__xludf.DUMMYFUNCTION("""COMPUTED_VALUE"""),TRUE)</f>
        <v>1</v>
      </c>
      <c r="T2180" s="1" t="b">
        <f>IFERROR(__xludf.DUMMYFUNCTION("""COMPUTED_VALUE"""),FALSE)</f>
        <v>0</v>
      </c>
      <c r="U2180" s="1" t="str">
        <f>IFERROR(__xludf.DUMMYFUNCTION("""COMPUTED_VALUE"""),"VALID")</f>
        <v>VALID</v>
      </c>
      <c r="V2180" s="1">
        <f>IFERROR(__xludf.DUMMYFUNCTION("""COMPUTED_VALUE"""),219.0)</f>
        <v>219</v>
      </c>
      <c r="W2180" s="1">
        <f>IFERROR(__xludf.DUMMYFUNCTION("""COMPUTED_VALUE"""),336.0)</f>
        <v>336</v>
      </c>
      <c r="X2180" s="1">
        <f>IFERROR(__xludf.DUMMYFUNCTION("""COMPUTED_VALUE"""),295.0)</f>
        <v>295</v>
      </c>
      <c r="Y2180" s="2"/>
      <c r="Z2180" s="2"/>
    </row>
    <row r="2181">
      <c r="A2181" s="1">
        <f>IFERROR(__xludf.DUMMYFUNCTION("""COMPUTED_VALUE"""),2180.0)</f>
        <v>2180</v>
      </c>
      <c r="B2181" s="1">
        <f>IFERROR(__xludf.DUMMYFUNCTION("""COMPUTED_VALUE"""),5848.0)</f>
        <v>5848</v>
      </c>
      <c r="C2181" s="2" t="str">
        <f>IFERROR(__xludf.DUMMYFUNCTION("""COMPUTED_VALUE"""),"MUHAMMAD NOR ATMA RIDHONI")</f>
        <v>MUHAMMAD NOR ATMA RIDHONI</v>
      </c>
      <c r="D2181" s="2" t="str">
        <f>IFERROR(__xludf.DUMMYFUNCTION("""COMPUTED_VALUE"""),"5KM OVERALL M")</f>
        <v>5KM OVERALL M</v>
      </c>
      <c r="E2181" s="1">
        <f>IFERROR(__xludf.DUMMYFUNCTION("""COMPUTED_VALUE"""),2.0)</f>
        <v>2</v>
      </c>
      <c r="F2181" s="1" t="str">
        <f>IFERROR(__xludf.DUMMYFUNCTION("""COMPUTED_VALUE"""),"Male")</f>
        <v>Male</v>
      </c>
      <c r="G2181" s="4" t="b">
        <f>IFERROR(__xludf.DUMMYFUNCTION("""COMPUTED_VALUE"""),TRUE)</f>
        <v>1</v>
      </c>
      <c r="H2181" s="4" t="b">
        <f>IFERROR(__xludf.DUMMYFUNCTION("""COMPUTED_VALUE"""),TRUE)</f>
        <v>1</v>
      </c>
      <c r="I2181" s="4">
        <f>IFERROR(__xludf.DUMMYFUNCTION("""COMPUTED_VALUE"""),0.2549440625)</f>
        <v>0.2549440625</v>
      </c>
      <c r="J2181" s="4">
        <f>IFERROR(__xludf.DUMMYFUNCTION("""COMPUTED_VALUE"""),45949.27229063305)</f>
        <v>45949.27229</v>
      </c>
      <c r="K2181" s="4" t="str">
        <f>IFERROR(__xludf.DUMMYFUNCTION("""COMPUTED_VALUE"""),"")</f>
        <v/>
      </c>
      <c r="L2181" s="4">
        <f>IFERROR(__xludf.DUMMYFUNCTION("""COMPUTED_VALUE"""),45949.28459184573)</f>
        <v>45949.28459</v>
      </c>
      <c r="M2181" s="1" t="str">
        <f>IFERROR(__xludf.DUMMYFUNCTION("""COMPUTED_VALUE"""),"RFID")</f>
        <v>RFID</v>
      </c>
      <c r="N2181" s="5">
        <f>IFERROR(__xludf.DUMMYFUNCTION("""COMPUTED_VALUE"""),0.00693862962962963)</f>
        <v>0.00693862963</v>
      </c>
      <c r="O2181" s="5" t="str">
        <f>IFERROR(__xludf.DUMMYFUNCTION("""COMPUTED_VALUE"""),"")</f>
        <v/>
      </c>
      <c r="P2181" s="5" t="str">
        <f>IFERROR(__xludf.DUMMYFUNCTION("""COMPUTED_VALUE"""),"")</f>
        <v/>
      </c>
      <c r="Q2181" s="5">
        <f>IFERROR(__xludf.DUMMYFUNCTION("""COMPUTED_VALUE"""),0.005929555555555556)</f>
        <v>0.005929555556</v>
      </c>
      <c r="R2181" s="4">
        <f>IFERROR(__xludf.DUMMYFUNCTION("""COMPUTED_VALUE"""),45949.02964778323)</f>
        <v>45949.02965</v>
      </c>
      <c r="S2181" s="1" t="b">
        <f>IFERROR(__xludf.DUMMYFUNCTION("""COMPUTED_VALUE"""),TRUE)</f>
        <v>1</v>
      </c>
      <c r="T2181" s="1" t="b">
        <f>IFERROR(__xludf.DUMMYFUNCTION("""COMPUTED_VALUE"""),FALSE)</f>
        <v>0</v>
      </c>
      <c r="U2181" s="1" t="str">
        <f>IFERROR(__xludf.DUMMYFUNCTION("""COMPUTED_VALUE"""),"VALID")</f>
        <v>VALID</v>
      </c>
      <c r="V2181" s="1">
        <f>IFERROR(__xludf.DUMMYFUNCTION("""COMPUTED_VALUE"""),367.0)</f>
        <v>367</v>
      </c>
      <c r="W2181" s="1">
        <f>IFERROR(__xludf.DUMMYFUNCTION("""COMPUTED_VALUE"""),549.0)</f>
        <v>549</v>
      </c>
      <c r="X2181" s="1">
        <f>IFERROR(__xludf.DUMMYFUNCTION("""COMPUTED_VALUE"""),471.0)</f>
        <v>471</v>
      </c>
      <c r="Y2181" s="2"/>
      <c r="Z2181" s="2"/>
    </row>
    <row r="2182">
      <c r="A2182" s="1">
        <f>IFERROR(__xludf.DUMMYFUNCTION("""COMPUTED_VALUE"""),2181.0)</f>
        <v>2181</v>
      </c>
      <c r="B2182" s="1">
        <f>IFERROR(__xludf.DUMMYFUNCTION("""COMPUTED_VALUE"""),5849.0)</f>
        <v>5849</v>
      </c>
      <c r="C2182" s="2" t="str">
        <f>IFERROR(__xludf.DUMMYFUNCTION("""COMPUTED_VALUE"""),"Dian Cahyo")</f>
        <v>Dian Cahyo</v>
      </c>
      <c r="D2182" s="2" t="str">
        <f>IFERROR(__xludf.DUMMYFUNCTION("""COMPUTED_VALUE"""),"5KM OVERALL M")</f>
        <v>5KM OVERALL M</v>
      </c>
      <c r="E2182" s="1">
        <f>IFERROR(__xludf.DUMMYFUNCTION("""COMPUTED_VALUE"""),2.0)</f>
        <v>2</v>
      </c>
      <c r="F2182" s="1" t="str">
        <f>IFERROR(__xludf.DUMMYFUNCTION("""COMPUTED_VALUE"""),"Male")</f>
        <v>Male</v>
      </c>
      <c r="G2182" s="4" t="b">
        <f>IFERROR(__xludf.DUMMYFUNCTION("""COMPUTED_VALUE"""),TRUE)</f>
        <v>1</v>
      </c>
      <c r="H2182" s="4" t="b">
        <f>IFERROR(__xludf.DUMMYFUNCTION("""COMPUTED_VALUE"""),TRUE)</f>
        <v>1</v>
      </c>
      <c r="I2182" s="4">
        <f>IFERROR(__xludf.DUMMYFUNCTION("""COMPUTED_VALUE"""),0.2549440625)</f>
        <v>0.2549440625</v>
      </c>
      <c r="J2182" s="4">
        <f>IFERROR(__xludf.DUMMYFUNCTION("""COMPUTED_VALUE"""),45949.26597112814)</f>
        <v>45949.26597</v>
      </c>
      <c r="K2182" s="4" t="str">
        <f>IFERROR(__xludf.DUMMYFUNCTION("""COMPUTED_VALUE"""),"")</f>
        <v/>
      </c>
      <c r="L2182" s="4">
        <f>IFERROR(__xludf.DUMMYFUNCTION("""COMPUTED_VALUE"""),45949.274873088194)</f>
        <v>45949.27487</v>
      </c>
      <c r="M2182" s="1" t="str">
        <f>IFERROR(__xludf.DUMMYFUNCTION("""COMPUTED_VALUE"""),"RFID")</f>
        <v>RFID</v>
      </c>
      <c r="N2182" s="5">
        <f>IFERROR(__xludf.DUMMYFUNCTION("""COMPUTED_VALUE"""),0.004410824074074075)</f>
        <v>0.004410824074</v>
      </c>
      <c r="O2182" s="5" t="str">
        <f>IFERROR(__xludf.DUMMYFUNCTION("""COMPUTED_VALUE"""),"")</f>
        <v/>
      </c>
      <c r="P2182" s="5" t="str">
        <f>IFERROR(__xludf.DUMMYFUNCTION("""COMPUTED_VALUE"""),"")</f>
        <v/>
      </c>
      <c r="Q2182" s="5">
        <f>IFERROR(__xludf.DUMMYFUNCTION("""COMPUTED_VALUE"""),0.003985805555555556)</f>
        <v>0.003985805556</v>
      </c>
      <c r="R2182" s="4">
        <f>IFERROR(__xludf.DUMMYFUNCTION("""COMPUTED_VALUE"""),45949.01992902569)</f>
        <v>45949.01993</v>
      </c>
      <c r="S2182" s="1" t="b">
        <f>IFERROR(__xludf.DUMMYFUNCTION("""COMPUTED_VALUE"""),TRUE)</f>
        <v>1</v>
      </c>
      <c r="T2182" s="1" t="b">
        <f>IFERROR(__xludf.DUMMYFUNCTION("""COMPUTED_VALUE"""),FALSE)</f>
        <v>0</v>
      </c>
      <c r="U2182" s="1" t="str">
        <f>IFERROR(__xludf.DUMMYFUNCTION("""COMPUTED_VALUE"""),"VALID")</f>
        <v>VALID</v>
      </c>
      <c r="V2182" s="1">
        <f>IFERROR(__xludf.DUMMYFUNCTION("""COMPUTED_VALUE"""),77.0)</f>
        <v>77</v>
      </c>
      <c r="W2182" s="1">
        <f>IFERROR(__xludf.DUMMYFUNCTION("""COMPUTED_VALUE"""),115.0)</f>
        <v>115</v>
      </c>
      <c r="X2182" s="1">
        <f>IFERROR(__xludf.DUMMYFUNCTION("""COMPUTED_VALUE"""),104.0)</f>
        <v>104</v>
      </c>
      <c r="Y2182" s="2"/>
      <c r="Z2182" s="2"/>
    </row>
    <row r="2183">
      <c r="A2183" s="1">
        <f>IFERROR(__xludf.DUMMYFUNCTION("""COMPUTED_VALUE"""),2182.0)</f>
        <v>2182</v>
      </c>
      <c r="B2183" s="1">
        <f>IFERROR(__xludf.DUMMYFUNCTION("""COMPUTED_VALUE"""),5850.0)</f>
        <v>5850</v>
      </c>
      <c r="C2183" s="2" t="str">
        <f>IFERROR(__xludf.DUMMYFUNCTION("""COMPUTED_VALUE"""),"Ade Surya")</f>
        <v>Ade Surya</v>
      </c>
      <c r="D2183" s="2" t="str">
        <f>IFERROR(__xludf.DUMMYFUNCTION("""COMPUTED_VALUE"""),"5KM OVERALL M")</f>
        <v>5KM OVERALL M</v>
      </c>
      <c r="E2183" s="1">
        <f>IFERROR(__xludf.DUMMYFUNCTION("""COMPUTED_VALUE"""),2.0)</f>
        <v>2</v>
      </c>
      <c r="F2183" s="1" t="str">
        <f>IFERROR(__xludf.DUMMYFUNCTION("""COMPUTED_VALUE"""),"Male")</f>
        <v>Male</v>
      </c>
      <c r="G2183" s="4" t="b">
        <f>IFERROR(__xludf.DUMMYFUNCTION("""COMPUTED_VALUE"""),TRUE)</f>
        <v>1</v>
      </c>
      <c r="H2183" s="4" t="b">
        <f>IFERROR(__xludf.DUMMYFUNCTION("""COMPUTED_VALUE"""),TRUE)</f>
        <v>1</v>
      </c>
      <c r="I2183" s="4">
        <f>IFERROR(__xludf.DUMMYFUNCTION("""COMPUTED_VALUE"""),0.2549440625)</f>
        <v>0.2549440625</v>
      </c>
      <c r="J2183" s="4">
        <f>IFERROR(__xludf.DUMMYFUNCTION("""COMPUTED_VALUE"""),45949.27883918516)</f>
        <v>45949.27884</v>
      </c>
      <c r="K2183" s="4" t="str">
        <f>IFERROR(__xludf.DUMMYFUNCTION("""COMPUTED_VALUE"""),"")</f>
        <v/>
      </c>
      <c r="L2183" s="4">
        <f>IFERROR(__xludf.DUMMYFUNCTION("""COMPUTED_VALUE"""),45949.29596684423)</f>
        <v>45949.29597</v>
      </c>
      <c r="M2183" s="1" t="str">
        <f>IFERROR(__xludf.DUMMYFUNCTION("""COMPUTED_VALUE"""),"RFID")</f>
        <v>RFID</v>
      </c>
      <c r="N2183" s="5">
        <f>IFERROR(__xludf.DUMMYFUNCTION("""COMPUTED_VALUE"""),0.009558050925925928)</f>
        <v>0.009558050926</v>
      </c>
      <c r="O2183" s="5" t="str">
        <f>IFERROR(__xludf.DUMMYFUNCTION("""COMPUTED_VALUE"""),"")</f>
        <v/>
      </c>
      <c r="P2183" s="5" t="str">
        <f>IFERROR(__xludf.DUMMYFUNCTION("""COMPUTED_VALUE"""),"")</f>
        <v/>
      </c>
      <c r="Q2183" s="5">
        <f>IFERROR(__xludf.DUMMYFUNCTION("""COMPUTED_VALUE"""),0.008204555555555555)</f>
        <v>0.008204555556</v>
      </c>
      <c r="R2183" s="4">
        <f>IFERROR(__xludf.DUMMYFUNCTION("""COMPUTED_VALUE"""),45949.04102278173)</f>
        <v>45949.04102</v>
      </c>
      <c r="S2183" s="1" t="b">
        <f>IFERROR(__xludf.DUMMYFUNCTION("""COMPUTED_VALUE"""),TRUE)</f>
        <v>1</v>
      </c>
      <c r="T2183" s="1" t="b">
        <f>IFERROR(__xludf.DUMMYFUNCTION("""COMPUTED_VALUE"""),FALSE)</f>
        <v>0</v>
      </c>
      <c r="U2183" s="1" t="str">
        <f>IFERROR(__xludf.DUMMYFUNCTION("""COMPUTED_VALUE"""),"VALID")</f>
        <v>VALID</v>
      </c>
      <c r="V2183" s="1">
        <f>IFERROR(__xludf.DUMMYFUNCTION("""COMPUTED_VALUE"""),733.0)</f>
        <v>733</v>
      </c>
      <c r="W2183" s="1">
        <f>IFERROR(__xludf.DUMMYFUNCTION("""COMPUTED_VALUE"""),1286.0)</f>
        <v>1286</v>
      </c>
      <c r="X2183" s="1">
        <f>IFERROR(__xludf.DUMMYFUNCTION("""COMPUTED_VALUE"""),1020.0)</f>
        <v>1020</v>
      </c>
      <c r="Y2183" s="2"/>
      <c r="Z2183" s="2"/>
    </row>
    <row r="2184">
      <c r="A2184" s="1">
        <f>IFERROR(__xludf.DUMMYFUNCTION("""COMPUTED_VALUE"""),2183.0)</f>
        <v>2183</v>
      </c>
      <c r="B2184" s="1">
        <f>IFERROR(__xludf.DUMMYFUNCTION("""COMPUTED_VALUE"""),5851.0)</f>
        <v>5851</v>
      </c>
      <c r="C2184" s="2" t="str">
        <f>IFERROR(__xludf.DUMMYFUNCTION("""COMPUTED_VALUE"""),"ADIAT")</f>
        <v>ADIAT</v>
      </c>
      <c r="D2184" s="2" t="str">
        <f>IFERROR(__xludf.DUMMYFUNCTION("""COMPUTED_VALUE"""),"5KM OVERALL M")</f>
        <v>5KM OVERALL M</v>
      </c>
      <c r="E2184" s="1">
        <f>IFERROR(__xludf.DUMMYFUNCTION("""COMPUTED_VALUE"""),2.0)</f>
        <v>2</v>
      </c>
      <c r="F2184" s="1" t="str">
        <f>IFERROR(__xludf.DUMMYFUNCTION("""COMPUTED_VALUE"""),"Male")</f>
        <v>Male</v>
      </c>
      <c r="G2184" s="4" t="b">
        <f>IFERROR(__xludf.DUMMYFUNCTION("""COMPUTED_VALUE"""),TRUE)</f>
        <v>1</v>
      </c>
      <c r="H2184" s="4" t="b">
        <f>IFERROR(__xludf.DUMMYFUNCTION("""COMPUTED_VALUE"""),TRUE)</f>
        <v>1</v>
      </c>
      <c r="I2184" s="4">
        <f>IFERROR(__xludf.DUMMYFUNCTION("""COMPUTED_VALUE"""),0.2549440625)</f>
        <v>0.2549440625</v>
      </c>
      <c r="J2184" s="4">
        <f>IFERROR(__xludf.DUMMYFUNCTION("""COMPUTED_VALUE"""),45949.27700933544)</f>
        <v>45949.27701</v>
      </c>
      <c r="K2184" s="4" t="str">
        <f>IFERROR(__xludf.DUMMYFUNCTION("""COMPUTED_VALUE"""),"")</f>
        <v/>
      </c>
      <c r="L2184" s="4">
        <f>IFERROR(__xludf.DUMMYFUNCTION("""COMPUTED_VALUE"""),45949.291386977326)</f>
        <v>45949.29139</v>
      </c>
      <c r="M2184" s="1" t="str">
        <f>IFERROR(__xludf.DUMMYFUNCTION("""COMPUTED_VALUE"""),"RFID")</f>
        <v>RFID</v>
      </c>
      <c r="N2184" s="5">
        <f>IFERROR(__xludf.DUMMYFUNCTION("""COMPUTED_VALUE"""),0.008826111111111111)</f>
        <v>0.008826111111</v>
      </c>
      <c r="O2184" s="5" t="str">
        <f>IFERROR(__xludf.DUMMYFUNCTION("""COMPUTED_VALUE"""),"")</f>
        <v/>
      </c>
      <c r="P2184" s="5" t="str">
        <f>IFERROR(__xludf.DUMMYFUNCTION("""COMPUTED_VALUE"""),"")</f>
        <v/>
      </c>
      <c r="Q2184" s="5">
        <f>IFERROR(__xludf.DUMMYFUNCTION("""COMPUTED_VALUE"""),0.007288583333333333)</f>
        <v>0.007288583333</v>
      </c>
      <c r="R2184" s="4">
        <f>IFERROR(__xludf.DUMMYFUNCTION("""COMPUTED_VALUE"""),45949.036442914825)</f>
        <v>45949.03644</v>
      </c>
      <c r="S2184" s="1" t="b">
        <f>IFERROR(__xludf.DUMMYFUNCTION("""COMPUTED_VALUE"""),TRUE)</f>
        <v>1</v>
      </c>
      <c r="T2184" s="1" t="b">
        <f>IFERROR(__xludf.DUMMYFUNCTION("""COMPUTED_VALUE"""),FALSE)</f>
        <v>0</v>
      </c>
      <c r="U2184" s="1" t="str">
        <f>IFERROR(__xludf.DUMMYFUNCTION("""COMPUTED_VALUE"""),"VALID")</f>
        <v>VALID</v>
      </c>
      <c r="V2184" s="1">
        <f>IFERROR(__xludf.DUMMYFUNCTION("""COMPUTED_VALUE"""),607.0)</f>
        <v>607</v>
      </c>
      <c r="W2184" s="1">
        <f>IFERROR(__xludf.DUMMYFUNCTION("""COMPUTED_VALUE"""),992.0)</f>
        <v>992</v>
      </c>
      <c r="X2184" s="1">
        <f>IFERROR(__xludf.DUMMYFUNCTION("""COMPUTED_VALUE"""),801.0)</f>
        <v>801</v>
      </c>
      <c r="Y2184" s="2"/>
      <c r="Z2184" s="2"/>
    </row>
    <row r="2185">
      <c r="A2185" s="1">
        <f>IFERROR(__xludf.DUMMYFUNCTION("""COMPUTED_VALUE"""),2184.0)</f>
        <v>2184</v>
      </c>
      <c r="B2185" s="1">
        <f>IFERROR(__xludf.DUMMYFUNCTION("""COMPUTED_VALUE"""),5853.0)</f>
        <v>5853</v>
      </c>
      <c r="C2185" s="2" t="str">
        <f>IFERROR(__xludf.DUMMYFUNCTION("""COMPUTED_VALUE"""),"Albaiq")</f>
        <v>Albaiq</v>
      </c>
      <c r="D2185" s="2" t="str">
        <f>IFERROR(__xludf.DUMMYFUNCTION("""COMPUTED_VALUE"""),"5KM OVERALL M")</f>
        <v>5KM OVERALL M</v>
      </c>
      <c r="E2185" s="1">
        <f>IFERROR(__xludf.DUMMYFUNCTION("""COMPUTED_VALUE"""),2.0)</f>
        <v>2</v>
      </c>
      <c r="F2185" s="1" t="str">
        <f>IFERROR(__xludf.DUMMYFUNCTION("""COMPUTED_VALUE"""),"Male")</f>
        <v>Male</v>
      </c>
      <c r="G2185" s="4" t="b">
        <f>IFERROR(__xludf.DUMMYFUNCTION("""COMPUTED_VALUE"""),TRUE)</f>
        <v>1</v>
      </c>
      <c r="H2185" s="4" t="b">
        <f>IFERROR(__xludf.DUMMYFUNCTION("""COMPUTED_VALUE"""),TRUE)</f>
        <v>1</v>
      </c>
      <c r="I2185" s="4">
        <f>IFERROR(__xludf.DUMMYFUNCTION("""COMPUTED_VALUE"""),0.2549440625)</f>
        <v>0.2549440625</v>
      </c>
      <c r="J2185" s="4">
        <f>IFERROR(__xludf.DUMMYFUNCTION("""COMPUTED_VALUE"""),45949.27641216837)</f>
        <v>45949.27641</v>
      </c>
      <c r="K2185" s="4" t="str">
        <f>IFERROR(__xludf.DUMMYFUNCTION("""COMPUTED_VALUE"""),"")</f>
        <v/>
      </c>
      <c r="L2185" s="4">
        <f>IFERROR(__xludf.DUMMYFUNCTION("""COMPUTED_VALUE"""),45949.28851192771)</f>
        <v>45949.28851</v>
      </c>
      <c r="M2185" s="1" t="str">
        <f>IFERROR(__xludf.DUMMYFUNCTION("""COMPUTED_VALUE"""),"RFID")</f>
        <v>RFID</v>
      </c>
      <c r="N2185" s="5">
        <f>IFERROR(__xludf.DUMMYFUNCTION("""COMPUTED_VALUE"""),0.00858724074074074)</f>
        <v>0.008587240741</v>
      </c>
      <c r="O2185" s="5" t="str">
        <f>IFERROR(__xludf.DUMMYFUNCTION("""COMPUTED_VALUE"""),"")</f>
        <v/>
      </c>
      <c r="P2185" s="5" t="str">
        <f>IFERROR(__xludf.DUMMYFUNCTION("""COMPUTED_VALUE"""),"")</f>
        <v/>
      </c>
      <c r="Q2185" s="5">
        <f>IFERROR(__xludf.DUMMYFUNCTION("""COMPUTED_VALUE"""),0.006713574074074075)</f>
        <v>0.006713574074</v>
      </c>
      <c r="R2185" s="4">
        <f>IFERROR(__xludf.DUMMYFUNCTION("""COMPUTED_VALUE"""),45949.03356786521)</f>
        <v>45949.03357</v>
      </c>
      <c r="S2185" s="1" t="b">
        <f>IFERROR(__xludf.DUMMYFUNCTION("""COMPUTED_VALUE"""),TRUE)</f>
        <v>1</v>
      </c>
      <c r="T2185" s="1" t="b">
        <f>IFERROR(__xludf.DUMMYFUNCTION("""COMPUTED_VALUE"""),FALSE)</f>
        <v>0</v>
      </c>
      <c r="U2185" s="1" t="str">
        <f>IFERROR(__xludf.DUMMYFUNCTION("""COMPUTED_VALUE"""),"VALID")</f>
        <v>VALID</v>
      </c>
      <c r="V2185" s="1">
        <f>IFERROR(__xludf.DUMMYFUNCTION("""COMPUTED_VALUE"""),517.0)</f>
        <v>517</v>
      </c>
      <c r="W2185" s="1">
        <f>IFERROR(__xludf.DUMMYFUNCTION("""COMPUTED_VALUE"""),812.0)</f>
        <v>812</v>
      </c>
      <c r="X2185" s="1">
        <f>IFERROR(__xludf.DUMMYFUNCTION("""COMPUTED_VALUE"""),668.0)</f>
        <v>668</v>
      </c>
      <c r="Y2185" s="2"/>
      <c r="Z2185" s="2"/>
    </row>
    <row r="2186">
      <c r="A2186" s="1">
        <f>IFERROR(__xludf.DUMMYFUNCTION("""COMPUTED_VALUE"""),2185.0)</f>
        <v>2185</v>
      </c>
      <c r="B2186" s="1">
        <f>IFERROR(__xludf.DUMMYFUNCTION("""COMPUTED_VALUE"""),5856.0)</f>
        <v>5856</v>
      </c>
      <c r="C2186" s="2" t="str">
        <f>IFERROR(__xludf.DUMMYFUNCTION("""COMPUTED_VALUE"""),"andy satrianto")</f>
        <v>andy satrianto</v>
      </c>
      <c r="D2186" s="2" t="str">
        <f>IFERROR(__xludf.DUMMYFUNCTION("""COMPUTED_VALUE"""),"5KM OVERALL M")</f>
        <v>5KM OVERALL M</v>
      </c>
      <c r="E2186" s="1">
        <f>IFERROR(__xludf.DUMMYFUNCTION("""COMPUTED_VALUE"""),2.0)</f>
        <v>2</v>
      </c>
      <c r="F2186" s="1" t="str">
        <f>IFERROR(__xludf.DUMMYFUNCTION("""COMPUTED_VALUE"""),"Male")</f>
        <v>Male</v>
      </c>
      <c r="G2186" s="4" t="b">
        <f>IFERROR(__xludf.DUMMYFUNCTION("""COMPUTED_VALUE"""),TRUE)</f>
        <v>1</v>
      </c>
      <c r="H2186" s="4" t="b">
        <f>IFERROR(__xludf.DUMMYFUNCTION("""COMPUTED_VALUE"""),TRUE)</f>
        <v>1</v>
      </c>
      <c r="I2186" s="4">
        <f>IFERROR(__xludf.DUMMYFUNCTION("""COMPUTED_VALUE"""),0.2549440625)</f>
        <v>0.2549440625</v>
      </c>
      <c r="J2186" s="4">
        <f>IFERROR(__xludf.DUMMYFUNCTION("""COMPUTED_VALUE"""),45949.26598154525)</f>
        <v>45949.26598</v>
      </c>
      <c r="K2186" s="4" t="str">
        <f>IFERROR(__xludf.DUMMYFUNCTION("""COMPUTED_VALUE"""),"")</f>
        <v/>
      </c>
      <c r="L2186" s="4">
        <f>IFERROR(__xludf.DUMMYFUNCTION("""COMPUTED_VALUE"""),45949.27423414733)</f>
        <v>45949.27423</v>
      </c>
      <c r="M2186" s="1" t="str">
        <f>IFERROR(__xludf.DUMMYFUNCTION("""COMPUTED_VALUE"""),"RFID")</f>
        <v>RFID</v>
      </c>
      <c r="N2186" s="5">
        <f>IFERROR(__xludf.DUMMYFUNCTION("""COMPUTED_VALUE"""),0.00441499537037037)</f>
        <v>0.00441499537</v>
      </c>
      <c r="O2186" s="5" t="str">
        <f>IFERROR(__xludf.DUMMYFUNCTION("""COMPUTED_VALUE"""),"")</f>
        <v/>
      </c>
      <c r="P2186" s="5" t="str">
        <f>IFERROR(__xludf.DUMMYFUNCTION("""COMPUTED_VALUE"""),"")</f>
        <v/>
      </c>
      <c r="Q2186" s="5">
        <f>IFERROR(__xludf.DUMMYFUNCTION("""COMPUTED_VALUE"""),0.0038580162037037033)</f>
        <v>0.003858016204</v>
      </c>
      <c r="R2186" s="4">
        <f>IFERROR(__xludf.DUMMYFUNCTION("""COMPUTED_VALUE"""),45949.01929008483)</f>
        <v>45949.01929</v>
      </c>
      <c r="S2186" s="1" t="b">
        <f>IFERROR(__xludf.DUMMYFUNCTION("""COMPUTED_VALUE"""),TRUE)</f>
        <v>1</v>
      </c>
      <c r="T2186" s="1" t="b">
        <f>IFERROR(__xludf.DUMMYFUNCTION("""COMPUTED_VALUE"""),FALSE)</f>
        <v>0</v>
      </c>
      <c r="U2186" s="1" t="str">
        <f>IFERROR(__xludf.DUMMYFUNCTION("""COMPUTED_VALUE"""),"VALID")</f>
        <v>VALID</v>
      </c>
      <c r="V2186" s="1">
        <f>IFERROR(__xludf.DUMMYFUNCTION("""COMPUTED_VALUE"""),65.0)</f>
        <v>65</v>
      </c>
      <c r="W2186" s="1">
        <f>IFERROR(__xludf.DUMMYFUNCTION("""COMPUTED_VALUE"""),96.0)</f>
        <v>96</v>
      </c>
      <c r="X2186" s="1">
        <f>IFERROR(__xludf.DUMMYFUNCTION("""COMPUTED_VALUE"""),86.0)</f>
        <v>86</v>
      </c>
      <c r="Y2186" s="2"/>
      <c r="Z2186" s="2"/>
    </row>
    <row r="2187">
      <c r="A2187" s="1">
        <f>IFERROR(__xludf.DUMMYFUNCTION("""COMPUTED_VALUE"""),2186.0)</f>
        <v>2186</v>
      </c>
      <c r="B2187" s="1">
        <f>IFERROR(__xludf.DUMMYFUNCTION("""COMPUTED_VALUE"""),5858.0)</f>
        <v>5858</v>
      </c>
      <c r="C2187" s="2" t="str">
        <f>IFERROR(__xludf.DUMMYFUNCTION("""COMPUTED_VALUE"""),"Nico Agustian Putra")</f>
        <v>Nico Agustian Putra</v>
      </c>
      <c r="D2187" s="2" t="str">
        <f>IFERROR(__xludf.DUMMYFUNCTION("""COMPUTED_VALUE"""),"5KM OVERALL M")</f>
        <v>5KM OVERALL M</v>
      </c>
      <c r="E2187" s="1">
        <f>IFERROR(__xludf.DUMMYFUNCTION("""COMPUTED_VALUE"""),2.0)</f>
        <v>2</v>
      </c>
      <c r="F2187" s="1" t="str">
        <f>IFERROR(__xludf.DUMMYFUNCTION("""COMPUTED_VALUE"""),"Male")</f>
        <v>Male</v>
      </c>
      <c r="G2187" s="4" t="b">
        <f>IFERROR(__xludf.DUMMYFUNCTION("""COMPUTED_VALUE"""),TRUE)</f>
        <v>1</v>
      </c>
      <c r="H2187" s="4" t="b">
        <f>IFERROR(__xludf.DUMMYFUNCTION("""COMPUTED_VALUE"""),FALSE)</f>
        <v>0</v>
      </c>
      <c r="I2187" s="4">
        <f>IFERROR(__xludf.DUMMYFUNCTION("""COMPUTED_VALUE"""),0.2549440625)</f>
        <v>0.2549440625</v>
      </c>
      <c r="J2187" s="4">
        <f>IFERROR(__xludf.DUMMYFUNCTION("""COMPUTED_VALUE"""),45949.26926975504)</f>
        <v>45949.26927</v>
      </c>
      <c r="K2187" s="4" t="str">
        <f>IFERROR(__xludf.DUMMYFUNCTION("""COMPUTED_VALUE"""),"")</f>
        <v/>
      </c>
      <c r="L2187" s="4">
        <f>IFERROR(__xludf.DUMMYFUNCTION("""COMPUTED_VALUE"""),45949.27857445026)</f>
        <v>45949.27857</v>
      </c>
      <c r="M2187" s="1" t="str">
        <f>IFERROR(__xludf.DUMMYFUNCTION("""COMPUTED_VALUE"""),"RFID")</f>
        <v>RFID</v>
      </c>
      <c r="N2187" s="5">
        <f>IFERROR(__xludf.DUMMYFUNCTION("""COMPUTED_VALUE"""),0.005730277777777778)</f>
        <v>0.005730277778</v>
      </c>
      <c r="O2187" s="5" t="str">
        <f>IFERROR(__xludf.DUMMYFUNCTION("""COMPUTED_VALUE"""),"")</f>
        <v/>
      </c>
      <c r="P2187" s="5" t="str">
        <f>IFERROR(__xludf.DUMMYFUNCTION("""COMPUTED_VALUE"""),"")</f>
        <v/>
      </c>
      <c r="Q2187" s="5">
        <f>IFERROR(__xludf.DUMMYFUNCTION("""COMPUTED_VALUE"""),0.004726078703703704)</f>
        <v>0.004726078704</v>
      </c>
      <c r="R2187" s="4">
        <f>IFERROR(__xludf.DUMMYFUNCTION("""COMPUTED_VALUE"""),45949.02363038776)</f>
        <v>45949.02363</v>
      </c>
      <c r="S2187" s="1" t="b">
        <f>IFERROR(__xludf.DUMMYFUNCTION("""COMPUTED_VALUE"""),TRUE)</f>
        <v>1</v>
      </c>
      <c r="T2187" s="1" t="b">
        <f>IFERROR(__xludf.DUMMYFUNCTION("""COMPUTED_VALUE"""),FALSE)</f>
        <v>0</v>
      </c>
      <c r="U2187" s="1" t="str">
        <f>IFERROR(__xludf.DUMMYFUNCTION("""COMPUTED_VALUE"""),"VALID")</f>
        <v>VALID</v>
      </c>
      <c r="V2187" s="1">
        <f>IFERROR(__xludf.DUMMYFUNCTION("""COMPUTED_VALUE"""),157.0)</f>
        <v>157</v>
      </c>
      <c r="W2187" s="1">
        <f>IFERROR(__xludf.DUMMYFUNCTION("""COMPUTED_VALUE"""),240.0)</f>
        <v>240</v>
      </c>
      <c r="X2187" s="1">
        <f>IFERROR(__xludf.DUMMYFUNCTION("""COMPUTED_VALUE"""),210.0)</f>
        <v>210</v>
      </c>
      <c r="Y2187" s="2"/>
      <c r="Z2187" s="2"/>
    </row>
    <row r="2188">
      <c r="A2188" s="1">
        <f>IFERROR(__xludf.DUMMYFUNCTION("""COMPUTED_VALUE"""),2187.0)</f>
        <v>2187</v>
      </c>
      <c r="B2188" s="1">
        <f>IFERROR(__xludf.DUMMYFUNCTION("""COMPUTED_VALUE"""),5859.0)</f>
        <v>5859</v>
      </c>
      <c r="C2188" s="2" t="str">
        <f>IFERROR(__xludf.DUMMYFUNCTION("""COMPUTED_VALUE"""),"M.Effendi")</f>
        <v>M.Effendi</v>
      </c>
      <c r="D2188" s="2" t="str">
        <f>IFERROR(__xludf.DUMMYFUNCTION("""COMPUTED_VALUE"""),"5KM OVERALL M")</f>
        <v>5KM OVERALL M</v>
      </c>
      <c r="E2188" s="1">
        <f>IFERROR(__xludf.DUMMYFUNCTION("""COMPUTED_VALUE"""),2.0)</f>
        <v>2</v>
      </c>
      <c r="F2188" s="1" t="str">
        <f>IFERROR(__xludf.DUMMYFUNCTION("""COMPUTED_VALUE"""),"Male")</f>
        <v>Male</v>
      </c>
      <c r="G2188" s="4" t="b">
        <f>IFERROR(__xludf.DUMMYFUNCTION("""COMPUTED_VALUE"""),TRUE)</f>
        <v>1</v>
      </c>
      <c r="H2188" s="4" t="b">
        <f>IFERROR(__xludf.DUMMYFUNCTION("""COMPUTED_VALUE"""),FALSE)</f>
        <v>0</v>
      </c>
      <c r="I2188" s="4">
        <f>IFERROR(__xludf.DUMMYFUNCTION("""COMPUTED_VALUE"""),0.2549440625)</f>
        <v>0.2549440625</v>
      </c>
      <c r="J2188" s="4">
        <f>IFERROR(__xludf.DUMMYFUNCTION("""COMPUTED_VALUE"""),45949.27784265588)</f>
        <v>45949.27784</v>
      </c>
      <c r="K2188" s="4" t="str">
        <f>IFERROR(__xludf.DUMMYFUNCTION("""COMPUTED_VALUE"""),"")</f>
        <v/>
      </c>
      <c r="L2188" s="4">
        <f>IFERROR(__xludf.DUMMYFUNCTION("""COMPUTED_VALUE"""),45949.290696024)</f>
        <v>45949.2907</v>
      </c>
      <c r="M2188" s="1" t="str">
        <f>IFERROR(__xludf.DUMMYFUNCTION("""COMPUTED_VALUE"""),"RFID")</f>
        <v>RFID</v>
      </c>
      <c r="N2188" s="5">
        <f>IFERROR(__xludf.DUMMYFUNCTION("""COMPUTED_VALUE"""),0.009159435185185185)</f>
        <v>0.009159435185</v>
      </c>
      <c r="O2188" s="5" t="str">
        <f>IFERROR(__xludf.DUMMYFUNCTION("""COMPUTED_VALUE"""),"")</f>
        <v/>
      </c>
      <c r="P2188" s="5" t="str">
        <f>IFERROR(__xludf.DUMMYFUNCTION("""COMPUTED_VALUE"""),"")</f>
        <v/>
      </c>
      <c r="Q2188" s="5">
        <f>IFERROR(__xludf.DUMMYFUNCTION("""COMPUTED_VALUE"""),0.007150391203703704)</f>
        <v>0.007150391204</v>
      </c>
      <c r="R2188" s="4">
        <f>IFERROR(__xludf.DUMMYFUNCTION("""COMPUTED_VALUE"""),45949.0357519615)</f>
        <v>45949.03575</v>
      </c>
      <c r="S2188" s="1" t="b">
        <f>IFERROR(__xludf.DUMMYFUNCTION("""COMPUTED_VALUE"""),TRUE)</f>
        <v>1</v>
      </c>
      <c r="T2188" s="1" t="b">
        <f>IFERROR(__xludf.DUMMYFUNCTION("""COMPUTED_VALUE"""),FALSE)</f>
        <v>0</v>
      </c>
      <c r="U2188" s="1" t="str">
        <f>IFERROR(__xludf.DUMMYFUNCTION("""COMPUTED_VALUE"""),"VALID")</f>
        <v>VALID</v>
      </c>
      <c r="V2188" s="1">
        <f>IFERROR(__xludf.DUMMYFUNCTION("""COMPUTED_VALUE"""),588.0)</f>
        <v>588</v>
      </c>
      <c r="W2188" s="1">
        <f>IFERROR(__xludf.DUMMYFUNCTION("""COMPUTED_VALUE"""),939.0)</f>
        <v>939</v>
      </c>
      <c r="X2188" s="1">
        <f>IFERROR(__xludf.DUMMYFUNCTION("""COMPUTED_VALUE"""),767.0)</f>
        <v>767</v>
      </c>
      <c r="Y2188" s="2"/>
      <c r="Z2188" s="2"/>
    </row>
    <row r="2189">
      <c r="A2189" s="1">
        <f>IFERROR(__xludf.DUMMYFUNCTION("""COMPUTED_VALUE"""),2188.0)</f>
        <v>2188</v>
      </c>
      <c r="B2189" s="1">
        <f>IFERROR(__xludf.DUMMYFUNCTION("""COMPUTED_VALUE"""),5860.0)</f>
        <v>5860</v>
      </c>
      <c r="C2189" s="2" t="str">
        <f>IFERROR(__xludf.DUMMYFUNCTION("""COMPUTED_VALUE"""),"Seno Wijayanto")</f>
        <v>Seno Wijayanto</v>
      </c>
      <c r="D2189" s="2" t="str">
        <f>IFERROR(__xludf.DUMMYFUNCTION("""COMPUTED_VALUE"""),"5KM OVERALL M")</f>
        <v>5KM OVERALL M</v>
      </c>
      <c r="E2189" s="1">
        <f>IFERROR(__xludf.DUMMYFUNCTION("""COMPUTED_VALUE"""),2.0)</f>
        <v>2</v>
      </c>
      <c r="F2189" s="1" t="str">
        <f>IFERROR(__xludf.DUMMYFUNCTION("""COMPUTED_VALUE"""),"Male")</f>
        <v>Male</v>
      </c>
      <c r="G2189" s="4" t="b">
        <f>IFERROR(__xludf.DUMMYFUNCTION("""COMPUTED_VALUE"""),TRUE)</f>
        <v>1</v>
      </c>
      <c r="H2189" s="4" t="b">
        <f>IFERROR(__xludf.DUMMYFUNCTION("""COMPUTED_VALUE"""),TRUE)</f>
        <v>1</v>
      </c>
      <c r="I2189" s="4">
        <f>IFERROR(__xludf.DUMMYFUNCTION("""COMPUTED_VALUE"""),0.2549440625)</f>
        <v>0.2549440625</v>
      </c>
      <c r="J2189" s="4">
        <f>IFERROR(__xludf.DUMMYFUNCTION("""COMPUTED_VALUE"""),45949.26985308669)</f>
        <v>45949.26985</v>
      </c>
      <c r="K2189" s="4" t="str">
        <f>IFERROR(__xludf.DUMMYFUNCTION("""COMPUTED_VALUE"""),"")</f>
        <v/>
      </c>
      <c r="L2189" s="4">
        <f>IFERROR(__xludf.DUMMYFUNCTION("""COMPUTED_VALUE"""),45949.281654339415)</f>
        <v>45949.28165</v>
      </c>
      <c r="M2189" s="1" t="str">
        <f>IFERROR(__xludf.DUMMYFUNCTION("""COMPUTED_VALUE"""),"RFID")</f>
        <v>RFID</v>
      </c>
      <c r="N2189" s="5">
        <f>IFERROR(__xludf.DUMMYFUNCTION("""COMPUTED_VALUE"""),0.005963611111111112)</f>
        <v>0.005963611111</v>
      </c>
      <c r="O2189" s="5" t="str">
        <f>IFERROR(__xludf.DUMMYFUNCTION("""COMPUTED_VALUE"""),"")</f>
        <v/>
      </c>
      <c r="P2189" s="5" t="str">
        <f>IFERROR(__xludf.DUMMYFUNCTION("""COMPUTED_VALUE"""),"")</f>
        <v/>
      </c>
      <c r="Q2189" s="5">
        <f>IFERROR(__xludf.DUMMYFUNCTION("""COMPUTED_VALUE"""),0.005342055555555556)</f>
        <v>0.005342055556</v>
      </c>
      <c r="R2189" s="4">
        <f>IFERROR(__xludf.DUMMYFUNCTION("""COMPUTED_VALUE"""),45949.026710276914)</f>
        <v>45949.02671</v>
      </c>
      <c r="S2189" s="1" t="b">
        <f>IFERROR(__xludf.DUMMYFUNCTION("""COMPUTED_VALUE"""),TRUE)</f>
        <v>1</v>
      </c>
      <c r="T2189" s="1" t="b">
        <f>IFERROR(__xludf.DUMMYFUNCTION("""COMPUTED_VALUE"""),FALSE)</f>
        <v>0</v>
      </c>
      <c r="U2189" s="1" t="str">
        <f>IFERROR(__xludf.DUMMYFUNCTION("""COMPUTED_VALUE"""),"VALID")</f>
        <v>VALID</v>
      </c>
      <c r="V2189" s="1">
        <f>IFERROR(__xludf.DUMMYFUNCTION("""COMPUTED_VALUE"""),242.0)</f>
        <v>242</v>
      </c>
      <c r="W2189" s="1">
        <f>IFERROR(__xludf.DUMMYFUNCTION("""COMPUTED_VALUE"""),374.0)</f>
        <v>374</v>
      </c>
      <c r="X2189" s="1">
        <f>IFERROR(__xludf.DUMMYFUNCTION("""COMPUTED_VALUE"""),323.0)</f>
        <v>323</v>
      </c>
      <c r="Y2189" s="2"/>
      <c r="Z2189" s="2"/>
    </row>
    <row r="2190">
      <c r="A2190" s="1">
        <f>IFERROR(__xludf.DUMMYFUNCTION("""COMPUTED_VALUE"""),2189.0)</f>
        <v>2189</v>
      </c>
      <c r="B2190" s="1">
        <f>IFERROR(__xludf.DUMMYFUNCTION("""COMPUTED_VALUE"""),5861.0)</f>
        <v>5861</v>
      </c>
      <c r="C2190" s="2" t="str">
        <f>IFERROR(__xludf.DUMMYFUNCTION("""COMPUTED_VALUE"""),"Nizar")</f>
        <v>Nizar</v>
      </c>
      <c r="D2190" s="2" t="str">
        <f>IFERROR(__xludf.DUMMYFUNCTION("""COMPUTED_VALUE"""),"5KM OVERALL M")</f>
        <v>5KM OVERALL M</v>
      </c>
      <c r="E2190" s="1">
        <f>IFERROR(__xludf.DUMMYFUNCTION("""COMPUTED_VALUE"""),2.0)</f>
        <v>2</v>
      </c>
      <c r="F2190" s="1" t="str">
        <f>IFERROR(__xludf.DUMMYFUNCTION("""COMPUTED_VALUE"""),"Male")</f>
        <v>Male</v>
      </c>
      <c r="G2190" s="4" t="str">
        <f>IFERROR(__xludf.DUMMYFUNCTION("""COMPUTED_VALUE"""),"")</f>
        <v/>
      </c>
      <c r="H2190" s="4" t="b">
        <f>IFERROR(__xludf.DUMMYFUNCTION("""COMPUTED_VALUE"""),FALSE)</f>
        <v>0</v>
      </c>
      <c r="I2190" s="4">
        <f>IFERROR(__xludf.DUMMYFUNCTION("""COMPUTED_VALUE"""),0.2549440625)</f>
        <v>0.2549440625</v>
      </c>
      <c r="J2190" s="4" t="str">
        <f>IFERROR(__xludf.DUMMYFUNCTION("""COMPUTED_VALUE"""),"")</f>
        <v/>
      </c>
      <c r="K2190" s="4" t="str">
        <f>IFERROR(__xludf.DUMMYFUNCTION("""COMPUTED_VALUE"""),"")</f>
        <v/>
      </c>
      <c r="L2190" s="4" t="str">
        <f>IFERROR(__xludf.DUMMYFUNCTION("""COMPUTED_VALUE"""),"")</f>
        <v/>
      </c>
      <c r="M2190" s="1" t="str">
        <f>IFERROR(__xludf.DUMMYFUNCTION("""COMPUTED_VALUE"""),"RFID")</f>
        <v>RFID</v>
      </c>
      <c r="N2190" s="5" t="str">
        <f>IFERROR(__xludf.DUMMYFUNCTION("""COMPUTED_VALUE"""),"")</f>
        <v/>
      </c>
      <c r="O2190" s="5" t="str">
        <f>IFERROR(__xludf.DUMMYFUNCTION("""COMPUTED_VALUE"""),"")</f>
        <v/>
      </c>
      <c r="P2190" s="5" t="str">
        <f>IFERROR(__xludf.DUMMYFUNCTION("""COMPUTED_VALUE"""),"")</f>
        <v/>
      </c>
      <c r="Q2190" s="5" t="str">
        <f>IFERROR(__xludf.DUMMYFUNCTION("""COMPUTED_VALUE"""),"")</f>
        <v/>
      </c>
      <c r="R2190" s="4" t="str">
        <f>IFERROR(__xludf.DUMMYFUNCTION("""COMPUTED_VALUE"""),"")</f>
        <v/>
      </c>
      <c r="S2190" s="1" t="b">
        <f>IFERROR(__xludf.DUMMYFUNCTION("""COMPUTED_VALUE"""),FALSE)</f>
        <v>0</v>
      </c>
      <c r="T2190" s="1" t="b">
        <f>IFERROR(__xludf.DUMMYFUNCTION("""COMPUTED_VALUE"""),FALSE)</f>
        <v>0</v>
      </c>
      <c r="U2190" s="1" t="str">
        <f>IFERROR(__xludf.DUMMYFUNCTION("""COMPUTED_VALUE"""),"DSQ")</f>
        <v>DSQ</v>
      </c>
      <c r="V2190" s="1" t="str">
        <f>IFERROR(__xludf.DUMMYFUNCTION("""COMPUTED_VALUE"""),"DSQ")</f>
        <v>DSQ</v>
      </c>
      <c r="W2190" s="1" t="str">
        <f>IFERROR(__xludf.DUMMYFUNCTION("""COMPUTED_VALUE"""),"DSQ")</f>
        <v>DSQ</v>
      </c>
      <c r="X2190" s="1" t="str">
        <f>IFERROR(__xludf.DUMMYFUNCTION("""COMPUTED_VALUE"""),"DSQ")</f>
        <v>DSQ</v>
      </c>
      <c r="Y2190" s="2"/>
      <c r="Z2190" s="2" t="str">
        <f>IFERROR(__xludf.DUMMYFUNCTION("""COMPUTED_VALUE"""),"")</f>
        <v/>
      </c>
    </row>
    <row r="2191">
      <c r="A2191" s="1">
        <f>IFERROR(__xludf.DUMMYFUNCTION("""COMPUTED_VALUE"""),2190.0)</f>
        <v>2190</v>
      </c>
      <c r="B2191" s="1">
        <f>IFERROR(__xludf.DUMMYFUNCTION("""COMPUTED_VALUE"""),5863.0)</f>
        <v>5863</v>
      </c>
      <c r="C2191" s="2" t="str">
        <f>IFERROR(__xludf.DUMMYFUNCTION("""COMPUTED_VALUE"""),"MUHAMMAD DENNY FALAH")</f>
        <v>MUHAMMAD DENNY FALAH</v>
      </c>
      <c r="D2191" s="2" t="str">
        <f>IFERROR(__xludf.DUMMYFUNCTION("""COMPUTED_VALUE"""),"5KM OVERALL M")</f>
        <v>5KM OVERALL M</v>
      </c>
      <c r="E2191" s="1">
        <f>IFERROR(__xludf.DUMMYFUNCTION("""COMPUTED_VALUE"""),2.0)</f>
        <v>2</v>
      </c>
      <c r="F2191" s="1" t="str">
        <f>IFERROR(__xludf.DUMMYFUNCTION("""COMPUTED_VALUE"""),"Male")</f>
        <v>Male</v>
      </c>
      <c r="G2191" s="4" t="b">
        <f>IFERROR(__xludf.DUMMYFUNCTION("""COMPUTED_VALUE"""),TRUE)</f>
        <v>1</v>
      </c>
      <c r="H2191" s="4" t="b">
        <f>IFERROR(__xludf.DUMMYFUNCTION("""COMPUTED_VALUE"""),FALSE)</f>
        <v>0</v>
      </c>
      <c r="I2191" s="4">
        <f>IFERROR(__xludf.DUMMYFUNCTION("""COMPUTED_VALUE"""),0.2549440625)</f>
        <v>0.2549440625</v>
      </c>
      <c r="J2191" s="4">
        <f>IFERROR(__xludf.DUMMYFUNCTION("""COMPUTED_VALUE"""),45949.271328804236)</f>
        <v>45949.27133</v>
      </c>
      <c r="K2191" s="4" t="str">
        <f>IFERROR(__xludf.DUMMYFUNCTION("""COMPUTED_VALUE"""),"")</f>
        <v/>
      </c>
      <c r="L2191" s="4">
        <f>IFERROR(__xludf.DUMMYFUNCTION("""COMPUTED_VALUE"""),45949.2831473516)</f>
        <v>45949.28315</v>
      </c>
      <c r="M2191" s="1" t="str">
        <f>IFERROR(__xludf.DUMMYFUNCTION("""COMPUTED_VALUE"""),"RFID")</f>
        <v>RFID</v>
      </c>
      <c r="N2191" s="5">
        <f>IFERROR(__xludf.DUMMYFUNCTION("""COMPUTED_VALUE"""),0.006553898148148149)</f>
        <v>0.006553898148</v>
      </c>
      <c r="O2191" s="5" t="str">
        <f>IFERROR(__xludf.DUMMYFUNCTION("""COMPUTED_VALUE"""),"")</f>
        <v/>
      </c>
      <c r="P2191" s="5" t="str">
        <f>IFERROR(__xludf.DUMMYFUNCTION("""COMPUTED_VALUE"""),"")</f>
        <v/>
      </c>
      <c r="Q2191" s="5">
        <f>IFERROR(__xludf.DUMMYFUNCTION("""COMPUTED_VALUE"""),0.005640657407407408)</f>
        <v>0.005640657407</v>
      </c>
      <c r="R2191" s="4">
        <f>IFERROR(__xludf.DUMMYFUNCTION("""COMPUTED_VALUE"""),45949.0282032891)</f>
        <v>45949.0282</v>
      </c>
      <c r="S2191" s="1" t="b">
        <f>IFERROR(__xludf.DUMMYFUNCTION("""COMPUTED_VALUE"""),TRUE)</f>
        <v>1</v>
      </c>
      <c r="T2191" s="1" t="b">
        <f>IFERROR(__xludf.DUMMYFUNCTION("""COMPUTED_VALUE"""),FALSE)</f>
        <v>0</v>
      </c>
      <c r="U2191" s="1" t="str">
        <f>IFERROR(__xludf.DUMMYFUNCTION("""COMPUTED_VALUE"""),"VALID")</f>
        <v>VALID</v>
      </c>
      <c r="V2191" s="1">
        <f>IFERROR(__xludf.DUMMYFUNCTION("""COMPUTED_VALUE"""),293.0)</f>
        <v>293</v>
      </c>
      <c r="W2191" s="1">
        <f>IFERROR(__xludf.DUMMYFUNCTION("""COMPUTED_VALUE"""),442.0)</f>
        <v>442</v>
      </c>
      <c r="X2191" s="1">
        <f>IFERROR(__xludf.DUMMYFUNCTION("""COMPUTED_VALUE"""),382.0)</f>
        <v>382</v>
      </c>
      <c r="Y2191" s="2"/>
      <c r="Z2191" s="2"/>
    </row>
    <row r="2192">
      <c r="A2192" s="1">
        <f>IFERROR(__xludf.DUMMYFUNCTION("""COMPUTED_VALUE"""),2191.0)</f>
        <v>2191</v>
      </c>
      <c r="B2192" s="1">
        <f>IFERROR(__xludf.DUMMYFUNCTION("""COMPUTED_VALUE"""),5864.0)</f>
        <v>5864</v>
      </c>
      <c r="C2192" s="2" t="str">
        <f>IFERROR(__xludf.DUMMYFUNCTION("""COMPUTED_VALUE"""),"RIHAN")</f>
        <v>RIHAN</v>
      </c>
      <c r="D2192" s="2" t="str">
        <f>IFERROR(__xludf.DUMMYFUNCTION("""COMPUTED_VALUE"""),"5KM OVERALL M")</f>
        <v>5KM OVERALL M</v>
      </c>
      <c r="E2192" s="1">
        <f>IFERROR(__xludf.DUMMYFUNCTION("""COMPUTED_VALUE"""),2.0)</f>
        <v>2</v>
      </c>
      <c r="F2192" s="1" t="str">
        <f>IFERROR(__xludf.DUMMYFUNCTION("""COMPUTED_VALUE"""),"Male")</f>
        <v>Male</v>
      </c>
      <c r="G2192" s="4" t="b">
        <f>IFERROR(__xludf.DUMMYFUNCTION("""COMPUTED_VALUE"""),TRUE)</f>
        <v>1</v>
      </c>
      <c r="H2192" s="4" t="b">
        <f>IFERROR(__xludf.DUMMYFUNCTION("""COMPUTED_VALUE"""),TRUE)</f>
        <v>1</v>
      </c>
      <c r="I2192" s="4">
        <f>IFERROR(__xludf.DUMMYFUNCTION("""COMPUTED_VALUE"""),0.2549440625)</f>
        <v>0.2549440625</v>
      </c>
      <c r="J2192" s="4">
        <f>IFERROR(__xludf.DUMMYFUNCTION("""COMPUTED_VALUE"""),45949.27384275617)</f>
        <v>45949.27384</v>
      </c>
      <c r="K2192" s="4" t="str">
        <f>IFERROR(__xludf.DUMMYFUNCTION("""COMPUTED_VALUE"""),"")</f>
        <v/>
      </c>
      <c r="L2192" s="4">
        <f>IFERROR(__xludf.DUMMYFUNCTION("""COMPUTED_VALUE"""),45949.28710648148)</f>
        <v>45949.28711</v>
      </c>
      <c r="M2192" s="1" t="str">
        <f>IFERROR(__xludf.DUMMYFUNCTION("""COMPUTED_VALUE"""),"RFID")</f>
        <v>RFID</v>
      </c>
      <c r="N2192" s="5">
        <f>IFERROR(__xludf.DUMMYFUNCTION("""COMPUTED_VALUE"""),0.007559476851851851)</f>
        <v>0.007559476852</v>
      </c>
      <c r="O2192" s="5" t="str">
        <f>IFERROR(__xludf.DUMMYFUNCTION("""COMPUTED_VALUE"""),"")</f>
        <v/>
      </c>
      <c r="P2192" s="5" t="str">
        <f>IFERROR(__xludf.DUMMYFUNCTION("""COMPUTED_VALUE"""),"")</f>
        <v/>
      </c>
      <c r="Q2192" s="5">
        <f>IFERROR(__xludf.DUMMYFUNCTION("""COMPUTED_VALUE"""),0.006432483796296297)</f>
        <v>0.006432483796</v>
      </c>
      <c r="R2192" s="4">
        <f>IFERROR(__xludf.DUMMYFUNCTION("""COMPUTED_VALUE"""),45949.03216241898)</f>
        <v>45949.03216</v>
      </c>
      <c r="S2192" s="1" t="b">
        <f>IFERROR(__xludf.DUMMYFUNCTION("""COMPUTED_VALUE"""),TRUE)</f>
        <v>1</v>
      </c>
      <c r="T2192" s="1" t="b">
        <f>IFERROR(__xludf.DUMMYFUNCTION("""COMPUTED_VALUE"""),FALSE)</f>
        <v>0</v>
      </c>
      <c r="U2192" s="1" t="str">
        <f>IFERROR(__xludf.DUMMYFUNCTION("""COMPUTED_VALUE"""),"VALID")</f>
        <v>VALID</v>
      </c>
      <c r="V2192" s="1">
        <f>IFERROR(__xludf.DUMMYFUNCTION("""COMPUTED_VALUE"""),461.0)</f>
        <v>461</v>
      </c>
      <c r="W2192" s="1">
        <f>IFERROR(__xludf.DUMMYFUNCTION("""COMPUTED_VALUE"""),713.0)</f>
        <v>713</v>
      </c>
      <c r="X2192" s="1">
        <f>IFERROR(__xludf.DUMMYFUNCTION("""COMPUTED_VALUE"""),600.0)</f>
        <v>600</v>
      </c>
      <c r="Y2192" s="2"/>
      <c r="Z2192" s="2"/>
    </row>
    <row r="2193">
      <c r="A2193" s="1">
        <f>IFERROR(__xludf.DUMMYFUNCTION("""COMPUTED_VALUE"""),2192.0)</f>
        <v>2192</v>
      </c>
      <c r="B2193" s="1">
        <f>IFERROR(__xludf.DUMMYFUNCTION("""COMPUTED_VALUE"""),5865.0)</f>
        <v>5865</v>
      </c>
      <c r="C2193" s="2" t="str">
        <f>IFERROR(__xludf.DUMMYFUNCTION("""COMPUTED_VALUE"""),"SYAMLAWI")</f>
        <v>SYAMLAWI</v>
      </c>
      <c r="D2193" s="2" t="str">
        <f>IFERROR(__xludf.DUMMYFUNCTION("""COMPUTED_VALUE"""),"5KM OVERALL M")</f>
        <v>5KM OVERALL M</v>
      </c>
      <c r="E2193" s="1">
        <f>IFERROR(__xludf.DUMMYFUNCTION("""COMPUTED_VALUE"""),2.0)</f>
        <v>2</v>
      </c>
      <c r="F2193" s="1" t="str">
        <f>IFERROR(__xludf.DUMMYFUNCTION("""COMPUTED_VALUE"""),"Male")</f>
        <v>Male</v>
      </c>
      <c r="G2193" s="4" t="b">
        <f>IFERROR(__xludf.DUMMYFUNCTION("""COMPUTED_VALUE"""),TRUE)</f>
        <v>1</v>
      </c>
      <c r="H2193" s="4" t="b">
        <f>IFERROR(__xludf.DUMMYFUNCTION("""COMPUTED_VALUE"""),FALSE)</f>
        <v>0</v>
      </c>
      <c r="I2193" s="4">
        <f>IFERROR(__xludf.DUMMYFUNCTION("""COMPUTED_VALUE"""),0.2549440625)</f>
        <v>0.2549440625</v>
      </c>
      <c r="J2193" s="4">
        <f>IFERROR(__xludf.DUMMYFUNCTION("""COMPUTED_VALUE"""),45949.277800993215)</f>
        <v>45949.2778</v>
      </c>
      <c r="K2193" s="4" t="str">
        <f>IFERROR(__xludf.DUMMYFUNCTION("""COMPUTED_VALUE"""),"")</f>
        <v/>
      </c>
      <c r="L2193" s="4">
        <f>IFERROR(__xludf.DUMMYFUNCTION("""COMPUTED_VALUE"""),45949.29064046373)</f>
        <v>45949.29064</v>
      </c>
      <c r="M2193" s="1" t="str">
        <f>IFERROR(__xludf.DUMMYFUNCTION("""COMPUTED_VALUE"""),"RFID")</f>
        <v>RFID</v>
      </c>
      <c r="N2193" s="5">
        <f>IFERROR(__xludf.DUMMYFUNCTION("""COMPUTED_VALUE"""),0.009142773148148148)</f>
        <v>0.009142773148</v>
      </c>
      <c r="O2193" s="5" t="str">
        <f>IFERROR(__xludf.DUMMYFUNCTION("""COMPUTED_VALUE"""),"")</f>
        <v/>
      </c>
      <c r="P2193" s="5" t="str">
        <f>IFERROR(__xludf.DUMMYFUNCTION("""COMPUTED_VALUE"""),"")</f>
        <v/>
      </c>
      <c r="Q2193" s="5">
        <f>IFERROR(__xludf.DUMMYFUNCTION("""COMPUTED_VALUE"""),0.007139280092592593)</f>
        <v>0.007139280093</v>
      </c>
      <c r="R2193" s="4">
        <f>IFERROR(__xludf.DUMMYFUNCTION("""COMPUTED_VALUE"""),45949.03569640123)</f>
        <v>45949.0357</v>
      </c>
      <c r="S2193" s="1" t="b">
        <f>IFERROR(__xludf.DUMMYFUNCTION("""COMPUTED_VALUE"""),TRUE)</f>
        <v>1</v>
      </c>
      <c r="T2193" s="1" t="b">
        <f>IFERROR(__xludf.DUMMYFUNCTION("""COMPUTED_VALUE"""),FALSE)</f>
        <v>0</v>
      </c>
      <c r="U2193" s="1" t="str">
        <f>IFERROR(__xludf.DUMMYFUNCTION("""COMPUTED_VALUE"""),"VALID")</f>
        <v>VALID</v>
      </c>
      <c r="V2193" s="1">
        <f>IFERROR(__xludf.DUMMYFUNCTION("""COMPUTED_VALUE"""),584.0)</f>
        <v>584</v>
      </c>
      <c r="W2193" s="1">
        <f>IFERROR(__xludf.DUMMYFUNCTION("""COMPUTED_VALUE"""),933.0)</f>
        <v>933</v>
      </c>
      <c r="X2193" s="1">
        <f>IFERROR(__xludf.DUMMYFUNCTION("""COMPUTED_VALUE"""),763.0)</f>
        <v>763</v>
      </c>
      <c r="Y2193" s="2"/>
      <c r="Z2193" s="2"/>
    </row>
    <row r="2194">
      <c r="A2194" s="1">
        <f>IFERROR(__xludf.DUMMYFUNCTION("""COMPUTED_VALUE"""),2193.0)</f>
        <v>2193</v>
      </c>
      <c r="B2194" s="1">
        <f>IFERROR(__xludf.DUMMYFUNCTION("""COMPUTED_VALUE"""),5866.0)</f>
        <v>5866</v>
      </c>
      <c r="C2194" s="2" t="str">
        <f>IFERROR(__xludf.DUMMYFUNCTION("""COMPUTED_VALUE"""),"Army CH")</f>
        <v>Army CH</v>
      </c>
      <c r="D2194" s="2" t="str">
        <f>IFERROR(__xludf.DUMMYFUNCTION("""COMPUTED_VALUE"""),"5KM OVERALL M")</f>
        <v>5KM OVERALL M</v>
      </c>
      <c r="E2194" s="1">
        <f>IFERROR(__xludf.DUMMYFUNCTION("""COMPUTED_VALUE"""),2.0)</f>
        <v>2</v>
      </c>
      <c r="F2194" s="1" t="str">
        <f>IFERROR(__xludf.DUMMYFUNCTION("""COMPUTED_VALUE"""),"Male")</f>
        <v>Male</v>
      </c>
      <c r="G2194" s="4" t="b">
        <f>IFERROR(__xludf.DUMMYFUNCTION("""COMPUTED_VALUE"""),TRUE)</f>
        <v>1</v>
      </c>
      <c r="H2194" s="4" t="b">
        <f>IFERROR(__xludf.DUMMYFUNCTION("""COMPUTED_VALUE"""),TRUE)</f>
        <v>1</v>
      </c>
      <c r="I2194" s="4">
        <f>IFERROR(__xludf.DUMMYFUNCTION("""COMPUTED_VALUE"""),0.2549440625)</f>
        <v>0.2549440625</v>
      </c>
      <c r="J2194" s="4">
        <f>IFERROR(__xludf.DUMMYFUNCTION("""COMPUTED_VALUE"""),45949.28612391088)</f>
        <v>45949.28612</v>
      </c>
      <c r="K2194" s="4" t="str">
        <f>IFERROR(__xludf.DUMMYFUNCTION("""COMPUTED_VALUE"""),"")</f>
        <v/>
      </c>
      <c r="L2194" s="4">
        <f>IFERROR(__xludf.DUMMYFUNCTION("""COMPUTED_VALUE"""),45949.30205017154)</f>
        <v>45949.30205</v>
      </c>
      <c r="M2194" s="1" t="str">
        <f>IFERROR(__xludf.DUMMYFUNCTION("""COMPUTED_VALUE"""),"RFID")</f>
        <v>RFID</v>
      </c>
      <c r="N2194" s="5">
        <f>IFERROR(__xludf.DUMMYFUNCTION("""COMPUTED_VALUE"""),0.012471939814814814)</f>
        <v>0.01247193981</v>
      </c>
      <c r="O2194" s="5" t="str">
        <f>IFERROR(__xludf.DUMMYFUNCTION("""COMPUTED_VALUE"""),"")</f>
        <v/>
      </c>
      <c r="P2194" s="5" t="str">
        <f>IFERROR(__xludf.DUMMYFUNCTION("""COMPUTED_VALUE"""),"")</f>
        <v/>
      </c>
      <c r="Q2194" s="5">
        <f>IFERROR(__xludf.DUMMYFUNCTION("""COMPUTED_VALUE"""),0.009421222222222223)</f>
        <v>0.009421222222</v>
      </c>
      <c r="R2194" s="4">
        <f>IFERROR(__xludf.DUMMYFUNCTION("""COMPUTED_VALUE"""),45949.047106109036)</f>
        <v>45949.04711</v>
      </c>
      <c r="S2194" s="1" t="b">
        <f>IFERROR(__xludf.DUMMYFUNCTION("""COMPUTED_VALUE"""),TRUE)</f>
        <v>1</v>
      </c>
      <c r="T2194" s="1" t="b">
        <f>IFERROR(__xludf.DUMMYFUNCTION("""COMPUTED_VALUE"""),FALSE)</f>
        <v>0</v>
      </c>
      <c r="U2194" s="1" t="str">
        <f>IFERROR(__xludf.DUMMYFUNCTION("""COMPUTED_VALUE"""),"VALID")</f>
        <v>VALID</v>
      </c>
      <c r="V2194" s="1">
        <f>IFERROR(__xludf.DUMMYFUNCTION("""COMPUTED_VALUE"""),819.0)</f>
        <v>819</v>
      </c>
      <c r="W2194" s="1">
        <f>IFERROR(__xludf.DUMMYFUNCTION("""COMPUTED_VALUE"""),1521.0)</f>
        <v>1521</v>
      </c>
      <c r="X2194" s="1">
        <f>IFERROR(__xludf.DUMMYFUNCTION("""COMPUTED_VALUE"""),1273.0)</f>
        <v>1273</v>
      </c>
      <c r="Y2194" s="2"/>
      <c r="Z2194" s="2"/>
    </row>
    <row r="2195">
      <c r="A2195" s="1">
        <f>IFERROR(__xludf.DUMMYFUNCTION("""COMPUTED_VALUE"""),2194.0)</f>
        <v>2194</v>
      </c>
      <c r="B2195" s="1">
        <f>IFERROR(__xludf.DUMMYFUNCTION("""COMPUTED_VALUE"""),5867.0)</f>
        <v>5867</v>
      </c>
      <c r="C2195" s="2" t="str">
        <f>IFERROR(__xludf.DUMMYFUNCTION("""COMPUTED_VALUE"""),"ahmad rifa'i")</f>
        <v>ahmad rifa'i</v>
      </c>
      <c r="D2195" s="2" t="str">
        <f>IFERROR(__xludf.DUMMYFUNCTION("""COMPUTED_VALUE"""),"5KM OVERALL M")</f>
        <v>5KM OVERALL M</v>
      </c>
      <c r="E2195" s="1">
        <f>IFERROR(__xludf.DUMMYFUNCTION("""COMPUTED_VALUE"""),2.0)</f>
        <v>2</v>
      </c>
      <c r="F2195" s="1" t="str">
        <f>IFERROR(__xludf.DUMMYFUNCTION("""COMPUTED_VALUE"""),"Male")</f>
        <v>Male</v>
      </c>
      <c r="G2195" s="4" t="b">
        <f>IFERROR(__xludf.DUMMYFUNCTION("""COMPUTED_VALUE"""),TRUE)</f>
        <v>1</v>
      </c>
      <c r="H2195" s="4" t="b">
        <f>IFERROR(__xludf.DUMMYFUNCTION("""COMPUTED_VALUE"""),FALSE)</f>
        <v>0</v>
      </c>
      <c r="I2195" s="4">
        <f>IFERROR(__xludf.DUMMYFUNCTION("""COMPUTED_VALUE"""),0.2549440625)</f>
        <v>0.2549440625</v>
      </c>
      <c r="J2195" s="4">
        <f>IFERROR(__xludf.DUMMYFUNCTION("""COMPUTED_VALUE"""),45949.27778018433)</f>
        <v>45949.27778</v>
      </c>
      <c r="K2195" s="4" t="str">
        <f>IFERROR(__xludf.DUMMYFUNCTION("""COMPUTED_VALUE"""),"")</f>
        <v/>
      </c>
      <c r="L2195" s="4">
        <f>IFERROR(__xludf.DUMMYFUNCTION("""COMPUTED_VALUE"""),45949.29065088114)</f>
        <v>45949.29065</v>
      </c>
      <c r="M2195" s="1" t="str">
        <f>IFERROR(__xludf.DUMMYFUNCTION("""COMPUTED_VALUE"""),"RFID")</f>
        <v>RFID</v>
      </c>
      <c r="N2195" s="5">
        <f>IFERROR(__xludf.DUMMYFUNCTION("""COMPUTED_VALUE"""),0.009134449074074073)</f>
        <v>0.009134449074</v>
      </c>
      <c r="O2195" s="5" t="str">
        <f>IFERROR(__xludf.DUMMYFUNCTION("""COMPUTED_VALUE"""),"")</f>
        <v/>
      </c>
      <c r="P2195" s="5" t="str">
        <f>IFERROR(__xludf.DUMMYFUNCTION("""COMPUTED_VALUE"""),"")</f>
        <v/>
      </c>
      <c r="Q2195" s="5">
        <f>IFERROR(__xludf.DUMMYFUNCTION("""COMPUTED_VALUE"""),0.007141363425925926)</f>
        <v>0.007141363426</v>
      </c>
      <c r="R2195" s="4">
        <f>IFERROR(__xludf.DUMMYFUNCTION("""COMPUTED_VALUE"""),45949.03570681864)</f>
        <v>45949.03571</v>
      </c>
      <c r="S2195" s="1" t="b">
        <f>IFERROR(__xludf.DUMMYFUNCTION("""COMPUTED_VALUE"""),TRUE)</f>
        <v>1</v>
      </c>
      <c r="T2195" s="1" t="b">
        <f>IFERROR(__xludf.DUMMYFUNCTION("""COMPUTED_VALUE"""),FALSE)</f>
        <v>0</v>
      </c>
      <c r="U2195" s="1" t="str">
        <f>IFERROR(__xludf.DUMMYFUNCTION("""COMPUTED_VALUE"""),"VALID")</f>
        <v>VALID</v>
      </c>
      <c r="V2195" s="1">
        <f>IFERROR(__xludf.DUMMYFUNCTION("""COMPUTED_VALUE"""),585.0)</f>
        <v>585</v>
      </c>
      <c r="W2195" s="1">
        <f>IFERROR(__xludf.DUMMYFUNCTION("""COMPUTED_VALUE"""),935.0)</f>
        <v>935</v>
      </c>
      <c r="X2195" s="1">
        <f>IFERROR(__xludf.DUMMYFUNCTION("""COMPUTED_VALUE"""),764.0)</f>
        <v>764</v>
      </c>
      <c r="Y2195" s="2"/>
      <c r="Z2195" s="2"/>
    </row>
    <row r="2196">
      <c r="A2196" s="1">
        <f>IFERROR(__xludf.DUMMYFUNCTION("""COMPUTED_VALUE"""),2195.0)</f>
        <v>2195</v>
      </c>
      <c r="B2196" s="1">
        <f>IFERROR(__xludf.DUMMYFUNCTION("""COMPUTED_VALUE"""),5874.0)</f>
        <v>5874</v>
      </c>
      <c r="C2196" s="2" t="str">
        <f>IFERROR(__xludf.DUMMYFUNCTION("""COMPUTED_VALUE"""),"Bagus Legowo")</f>
        <v>Bagus Legowo</v>
      </c>
      <c r="D2196" s="2" t="str">
        <f>IFERROR(__xludf.DUMMYFUNCTION("""COMPUTED_VALUE"""),"5KM OVERALL M")</f>
        <v>5KM OVERALL M</v>
      </c>
      <c r="E2196" s="1">
        <f>IFERROR(__xludf.DUMMYFUNCTION("""COMPUTED_VALUE"""),2.0)</f>
        <v>2</v>
      </c>
      <c r="F2196" s="1" t="str">
        <f>IFERROR(__xludf.DUMMYFUNCTION("""COMPUTED_VALUE"""),"Male")</f>
        <v>Male</v>
      </c>
      <c r="G2196" s="4" t="b">
        <f>IFERROR(__xludf.DUMMYFUNCTION("""COMPUTED_VALUE"""),TRUE)</f>
        <v>1</v>
      </c>
      <c r="H2196" s="4" t="b">
        <f>IFERROR(__xludf.DUMMYFUNCTION("""COMPUTED_VALUE"""),TRUE)</f>
        <v>1</v>
      </c>
      <c r="I2196" s="4">
        <f>IFERROR(__xludf.DUMMYFUNCTION("""COMPUTED_VALUE"""),0.2549440625)</f>
        <v>0.2549440625</v>
      </c>
      <c r="J2196" s="4">
        <f>IFERROR(__xludf.DUMMYFUNCTION("""COMPUTED_VALUE"""),45949.2619954386)</f>
        <v>45949.262</v>
      </c>
      <c r="K2196" s="4" t="str">
        <f>IFERROR(__xludf.DUMMYFUNCTION("""COMPUTED_VALUE"""),"")</f>
        <v/>
      </c>
      <c r="L2196" s="4">
        <f>IFERROR(__xludf.DUMMYFUNCTION("""COMPUTED_VALUE"""),45949.26741898148)</f>
        <v>45949.26742</v>
      </c>
      <c r="M2196" s="1" t="str">
        <f>IFERROR(__xludf.DUMMYFUNCTION("""COMPUTED_VALUE"""),"RFID")</f>
        <v>RFID</v>
      </c>
      <c r="N2196" s="5">
        <f>IFERROR(__xludf.DUMMYFUNCTION("""COMPUTED_VALUE"""),0.002820550925925926)</f>
        <v>0.002820550926</v>
      </c>
      <c r="O2196" s="5" t="str">
        <f>IFERROR(__xludf.DUMMYFUNCTION("""COMPUTED_VALUE"""),"")</f>
        <v/>
      </c>
      <c r="P2196" s="5" t="str">
        <f>IFERROR(__xludf.DUMMYFUNCTION("""COMPUTED_VALUE"""),"")</f>
        <v/>
      </c>
      <c r="Q2196" s="5">
        <f>IFERROR(__xludf.DUMMYFUNCTION("""COMPUTED_VALUE"""),0.0024949837962962964)</f>
        <v>0.002494983796</v>
      </c>
      <c r="R2196" s="4">
        <f>IFERROR(__xludf.DUMMYFUNCTION("""COMPUTED_VALUE"""),45949.01247491898)</f>
        <v>45949.01247</v>
      </c>
      <c r="S2196" s="1" t="b">
        <f>IFERROR(__xludf.DUMMYFUNCTION("""COMPUTED_VALUE"""),TRUE)</f>
        <v>1</v>
      </c>
      <c r="T2196" s="1" t="b">
        <f>IFERROR(__xludf.DUMMYFUNCTION("""COMPUTED_VALUE"""),FALSE)</f>
        <v>0</v>
      </c>
      <c r="U2196" s="1" t="str">
        <f>IFERROR(__xludf.DUMMYFUNCTION("""COMPUTED_VALUE"""),"VALID")</f>
        <v>VALID</v>
      </c>
      <c r="V2196" s="1">
        <f>IFERROR(__xludf.DUMMYFUNCTION("""COMPUTED_VALUE"""),3.0)</f>
        <v>3</v>
      </c>
      <c r="W2196" s="1">
        <f>IFERROR(__xludf.DUMMYFUNCTION("""COMPUTED_VALUE"""),3.0)</f>
        <v>3</v>
      </c>
      <c r="X2196" s="1">
        <f>IFERROR(__xludf.DUMMYFUNCTION("""COMPUTED_VALUE"""),3.0)</f>
        <v>3</v>
      </c>
      <c r="Y2196" s="2"/>
      <c r="Z2196" s="2"/>
    </row>
    <row r="2197">
      <c r="A2197" s="1">
        <f>IFERROR(__xludf.DUMMYFUNCTION("""COMPUTED_VALUE"""),2196.0)</f>
        <v>2196</v>
      </c>
      <c r="B2197" s="1">
        <f>IFERROR(__xludf.DUMMYFUNCTION("""COMPUTED_VALUE"""),5875.0)</f>
        <v>5875</v>
      </c>
      <c r="C2197" s="2" t="str">
        <f>IFERROR(__xludf.DUMMYFUNCTION("""COMPUTED_VALUE"""),"Mail")</f>
        <v>Mail</v>
      </c>
      <c r="D2197" s="2" t="str">
        <f>IFERROR(__xludf.DUMMYFUNCTION("""COMPUTED_VALUE"""),"5KM OVERALL M")</f>
        <v>5KM OVERALL M</v>
      </c>
      <c r="E2197" s="1">
        <f>IFERROR(__xludf.DUMMYFUNCTION("""COMPUTED_VALUE"""),2.0)</f>
        <v>2</v>
      </c>
      <c r="F2197" s="1" t="str">
        <f>IFERROR(__xludf.DUMMYFUNCTION("""COMPUTED_VALUE"""),"Male")</f>
        <v>Male</v>
      </c>
      <c r="G2197" s="4" t="b">
        <f>IFERROR(__xludf.DUMMYFUNCTION("""COMPUTED_VALUE"""),TRUE)</f>
        <v>1</v>
      </c>
      <c r="H2197" s="4" t="b">
        <f>IFERROR(__xludf.DUMMYFUNCTION("""COMPUTED_VALUE"""),TRUE)</f>
        <v>1</v>
      </c>
      <c r="I2197" s="4">
        <f>IFERROR(__xludf.DUMMYFUNCTION("""COMPUTED_VALUE"""),0.2549440625)</f>
        <v>0.2549440625</v>
      </c>
      <c r="J2197" s="4">
        <f>IFERROR(__xludf.DUMMYFUNCTION("""COMPUTED_VALUE"""),45949.270193366494)</f>
        <v>45949.27019</v>
      </c>
      <c r="K2197" s="4" t="str">
        <f>IFERROR(__xludf.DUMMYFUNCTION("""COMPUTED_VALUE"""),"")</f>
        <v/>
      </c>
      <c r="L2197" s="4">
        <f>IFERROR(__xludf.DUMMYFUNCTION("""COMPUTED_VALUE"""),45949.28291239172)</f>
        <v>45949.28291</v>
      </c>
      <c r="M2197" s="1" t="str">
        <f>IFERROR(__xludf.DUMMYFUNCTION("""COMPUTED_VALUE"""),"RFID")</f>
        <v>RFID</v>
      </c>
      <c r="N2197" s="5">
        <f>IFERROR(__xludf.DUMMYFUNCTION("""COMPUTED_VALUE"""),0.0060997222222222225)</f>
        <v>0.006099722222</v>
      </c>
      <c r="O2197" s="5" t="str">
        <f>IFERROR(__xludf.DUMMYFUNCTION("""COMPUTED_VALUE"""),"")</f>
        <v/>
      </c>
      <c r="P2197" s="5" t="str">
        <f>IFERROR(__xludf.DUMMYFUNCTION("""COMPUTED_VALUE"""),"")</f>
        <v/>
      </c>
      <c r="Q2197" s="5">
        <f>IFERROR(__xludf.DUMMYFUNCTION("""COMPUTED_VALUE"""),0.005593666666666666)</f>
        <v>0.005593666667</v>
      </c>
      <c r="R2197" s="4">
        <f>IFERROR(__xludf.DUMMYFUNCTION("""COMPUTED_VALUE"""),45949.02796832922)</f>
        <v>45949.02797</v>
      </c>
      <c r="S2197" s="1" t="b">
        <f>IFERROR(__xludf.DUMMYFUNCTION("""COMPUTED_VALUE"""),TRUE)</f>
        <v>1</v>
      </c>
      <c r="T2197" s="1" t="b">
        <f>IFERROR(__xludf.DUMMYFUNCTION("""COMPUTED_VALUE"""),FALSE)</f>
        <v>0</v>
      </c>
      <c r="U2197" s="1" t="str">
        <f>IFERROR(__xludf.DUMMYFUNCTION("""COMPUTED_VALUE"""),"VALID")</f>
        <v>VALID</v>
      </c>
      <c r="V2197" s="1">
        <f>IFERROR(__xludf.DUMMYFUNCTION("""COMPUTED_VALUE"""),287.0)</f>
        <v>287</v>
      </c>
      <c r="W2197" s="1">
        <f>IFERROR(__xludf.DUMMYFUNCTION("""COMPUTED_VALUE"""),432.0)</f>
        <v>432</v>
      </c>
      <c r="X2197" s="1">
        <f>IFERROR(__xludf.DUMMYFUNCTION("""COMPUTED_VALUE"""),374.0)</f>
        <v>374</v>
      </c>
      <c r="Y2197" s="2"/>
      <c r="Z2197" s="2"/>
    </row>
    <row r="2198">
      <c r="A2198" s="1">
        <f>IFERROR(__xludf.DUMMYFUNCTION("""COMPUTED_VALUE"""),2197.0)</f>
        <v>2197</v>
      </c>
      <c r="B2198" s="1">
        <f>IFERROR(__xludf.DUMMYFUNCTION("""COMPUTED_VALUE"""),5876.0)</f>
        <v>5876</v>
      </c>
      <c r="C2198" s="2" t="str">
        <f>IFERROR(__xludf.DUMMYFUNCTION("""COMPUTED_VALUE"""),"Muhammad Aripin")</f>
        <v>Muhammad Aripin</v>
      </c>
      <c r="D2198" s="2" t="str">
        <f>IFERROR(__xludf.DUMMYFUNCTION("""COMPUTED_VALUE"""),"5KM OVERALL M")</f>
        <v>5KM OVERALL M</v>
      </c>
      <c r="E2198" s="1">
        <f>IFERROR(__xludf.DUMMYFUNCTION("""COMPUTED_VALUE"""),2.0)</f>
        <v>2</v>
      </c>
      <c r="F2198" s="1" t="str">
        <f>IFERROR(__xludf.DUMMYFUNCTION("""COMPUTED_VALUE"""),"Male")</f>
        <v>Male</v>
      </c>
      <c r="G2198" s="4" t="b">
        <f>IFERROR(__xludf.DUMMYFUNCTION("""COMPUTED_VALUE"""),TRUE)</f>
        <v>1</v>
      </c>
      <c r="H2198" s="4" t="b">
        <f>IFERROR(__xludf.DUMMYFUNCTION("""COMPUTED_VALUE"""),FALSE)</f>
        <v>0</v>
      </c>
      <c r="I2198" s="4">
        <f>IFERROR(__xludf.DUMMYFUNCTION("""COMPUTED_VALUE"""),0.2549440625)</f>
        <v>0.2549440625</v>
      </c>
      <c r="J2198" s="4">
        <f>IFERROR(__xludf.DUMMYFUNCTION("""COMPUTED_VALUE"""),45949.2731794761)</f>
        <v>45949.27318</v>
      </c>
      <c r="K2198" s="4" t="str">
        <f>IFERROR(__xludf.DUMMYFUNCTION("""COMPUTED_VALUE"""),"")</f>
        <v/>
      </c>
      <c r="L2198" s="4">
        <f>IFERROR(__xludf.DUMMYFUNCTION("""COMPUTED_VALUE"""),45949.2870536048)</f>
        <v>45949.28705</v>
      </c>
      <c r="M2198" s="1" t="str">
        <f>IFERROR(__xludf.DUMMYFUNCTION("""COMPUTED_VALUE"""),"RFID")</f>
        <v>RFID</v>
      </c>
      <c r="N2198" s="5">
        <f>IFERROR(__xludf.DUMMYFUNCTION("""COMPUTED_VALUE"""),0.007294166666666667)</f>
        <v>0.007294166667</v>
      </c>
      <c r="O2198" s="5" t="str">
        <f>IFERROR(__xludf.DUMMYFUNCTION("""COMPUTED_VALUE"""),"")</f>
        <v/>
      </c>
      <c r="P2198" s="5" t="str">
        <f>IFERROR(__xludf.DUMMYFUNCTION("""COMPUTED_VALUE"""),"")</f>
        <v/>
      </c>
      <c r="Q2198" s="5">
        <f>IFERROR(__xludf.DUMMYFUNCTION("""COMPUTED_VALUE"""),0.006421907407407408)</f>
        <v>0.006421907407</v>
      </c>
      <c r="R2198" s="4">
        <f>IFERROR(__xludf.DUMMYFUNCTION("""COMPUTED_VALUE"""),45949.0321095423)</f>
        <v>45949.03211</v>
      </c>
      <c r="S2198" s="1" t="b">
        <f>IFERROR(__xludf.DUMMYFUNCTION("""COMPUTED_VALUE"""),TRUE)</f>
        <v>1</v>
      </c>
      <c r="T2198" s="1" t="b">
        <f>IFERROR(__xludf.DUMMYFUNCTION("""COMPUTED_VALUE"""),FALSE)</f>
        <v>0</v>
      </c>
      <c r="U2198" s="1" t="str">
        <f>IFERROR(__xludf.DUMMYFUNCTION("""COMPUTED_VALUE"""),"VALID")</f>
        <v>VALID</v>
      </c>
      <c r="V2198" s="1">
        <f>IFERROR(__xludf.DUMMYFUNCTION("""COMPUTED_VALUE"""),459.0)</f>
        <v>459</v>
      </c>
      <c r="W2198" s="1">
        <f>IFERROR(__xludf.DUMMYFUNCTION("""COMPUTED_VALUE"""),708.0)</f>
        <v>708</v>
      </c>
      <c r="X2198" s="1">
        <f>IFERROR(__xludf.DUMMYFUNCTION("""COMPUTED_VALUE"""),595.0)</f>
        <v>595</v>
      </c>
      <c r="Y2198" s="2"/>
      <c r="Z2198" s="2"/>
    </row>
    <row r="2199">
      <c r="A2199" s="1">
        <f>IFERROR(__xludf.DUMMYFUNCTION("""COMPUTED_VALUE"""),2198.0)</f>
        <v>2198</v>
      </c>
      <c r="B2199" s="1">
        <f>IFERROR(__xludf.DUMMYFUNCTION("""COMPUTED_VALUE"""),5877.0)</f>
        <v>5877</v>
      </c>
      <c r="C2199" s="2" t="str">
        <f>IFERROR(__xludf.DUMMYFUNCTION("""COMPUTED_VALUE"""),"Shorea")</f>
        <v>Shorea</v>
      </c>
      <c r="D2199" s="2" t="str">
        <f>IFERROR(__xludf.DUMMYFUNCTION("""COMPUTED_VALUE"""),"5KM OVERALL M")</f>
        <v>5KM OVERALL M</v>
      </c>
      <c r="E2199" s="1">
        <f>IFERROR(__xludf.DUMMYFUNCTION("""COMPUTED_VALUE"""),2.0)</f>
        <v>2</v>
      </c>
      <c r="F2199" s="1" t="str">
        <f>IFERROR(__xludf.DUMMYFUNCTION("""COMPUTED_VALUE"""),"Male")</f>
        <v>Male</v>
      </c>
      <c r="G2199" s="4" t="b">
        <f>IFERROR(__xludf.DUMMYFUNCTION("""COMPUTED_VALUE"""),TRUE)</f>
        <v>1</v>
      </c>
      <c r="H2199" s="4" t="b">
        <f>IFERROR(__xludf.DUMMYFUNCTION("""COMPUTED_VALUE"""),FALSE)</f>
        <v>0</v>
      </c>
      <c r="I2199" s="4">
        <f>IFERROR(__xludf.DUMMYFUNCTION("""COMPUTED_VALUE"""),0.2549440625)</f>
        <v>0.2549440625</v>
      </c>
      <c r="J2199" s="4">
        <f>IFERROR(__xludf.DUMMYFUNCTION("""COMPUTED_VALUE"""),45949.27783925728)</f>
        <v>45949.27784</v>
      </c>
      <c r="K2199" s="4" t="str">
        <f>IFERROR(__xludf.DUMMYFUNCTION("""COMPUTED_VALUE"""),"")</f>
        <v/>
      </c>
      <c r="L2199" s="4">
        <f>IFERROR(__xludf.DUMMYFUNCTION("""COMPUTED_VALUE"""),45949.290661281826)</f>
        <v>45949.29066</v>
      </c>
      <c r="M2199" s="1" t="str">
        <f>IFERROR(__xludf.DUMMYFUNCTION("""COMPUTED_VALUE"""),"RFID")</f>
        <v>RFID</v>
      </c>
      <c r="N2199" s="5">
        <f>IFERROR(__xludf.DUMMYFUNCTION("""COMPUTED_VALUE"""),0.009158078703703703)</f>
        <v>0.009158078704</v>
      </c>
      <c r="O2199" s="5" t="str">
        <f>IFERROR(__xludf.DUMMYFUNCTION("""COMPUTED_VALUE"""),"")</f>
        <v/>
      </c>
      <c r="P2199" s="5" t="str">
        <f>IFERROR(__xludf.DUMMYFUNCTION("""COMPUTED_VALUE"""),"")</f>
        <v/>
      </c>
      <c r="Q2199" s="5">
        <f>IFERROR(__xludf.DUMMYFUNCTION("""COMPUTED_VALUE"""),0.007143444444444444)</f>
        <v>0.007143444444</v>
      </c>
      <c r="R2199" s="4">
        <f>IFERROR(__xludf.DUMMYFUNCTION("""COMPUTED_VALUE"""),45949.035717219325)</f>
        <v>45949.03572</v>
      </c>
      <c r="S2199" s="1" t="b">
        <f>IFERROR(__xludf.DUMMYFUNCTION("""COMPUTED_VALUE"""),TRUE)</f>
        <v>1</v>
      </c>
      <c r="T2199" s="1" t="b">
        <f>IFERROR(__xludf.DUMMYFUNCTION("""COMPUTED_VALUE"""),FALSE)</f>
        <v>0</v>
      </c>
      <c r="U2199" s="1" t="str">
        <f>IFERROR(__xludf.DUMMYFUNCTION("""COMPUTED_VALUE"""),"VALID")</f>
        <v>VALID</v>
      </c>
      <c r="V2199" s="1">
        <f>IFERROR(__xludf.DUMMYFUNCTION("""COMPUTED_VALUE"""),586.0)</f>
        <v>586</v>
      </c>
      <c r="W2199" s="1">
        <f>IFERROR(__xludf.DUMMYFUNCTION("""COMPUTED_VALUE"""),936.0)</f>
        <v>936</v>
      </c>
      <c r="X2199" s="1">
        <f>IFERROR(__xludf.DUMMYFUNCTION("""COMPUTED_VALUE"""),765.0)</f>
        <v>765</v>
      </c>
      <c r="Y2199" s="2"/>
      <c r="Z2199" s="2"/>
    </row>
    <row r="2200">
      <c r="A2200" s="1">
        <f>IFERROR(__xludf.DUMMYFUNCTION("""COMPUTED_VALUE"""),2199.0)</f>
        <v>2199</v>
      </c>
      <c r="B2200" s="1">
        <f>IFERROR(__xludf.DUMMYFUNCTION("""COMPUTED_VALUE"""),5878.0)</f>
        <v>5878</v>
      </c>
      <c r="C2200" s="2" t="str">
        <f>IFERROR(__xludf.DUMMYFUNCTION("""COMPUTED_VALUE"""),"MRizka")</f>
        <v>MRizka</v>
      </c>
      <c r="D2200" s="2" t="str">
        <f>IFERROR(__xludf.DUMMYFUNCTION("""COMPUTED_VALUE"""),"5KM OVERALL M")</f>
        <v>5KM OVERALL M</v>
      </c>
      <c r="E2200" s="1">
        <f>IFERROR(__xludf.DUMMYFUNCTION("""COMPUTED_VALUE"""),2.0)</f>
        <v>2</v>
      </c>
      <c r="F2200" s="1" t="str">
        <f>IFERROR(__xludf.DUMMYFUNCTION("""COMPUTED_VALUE"""),"Male")</f>
        <v>Male</v>
      </c>
      <c r="G2200" s="4" t="b">
        <f>IFERROR(__xludf.DUMMYFUNCTION("""COMPUTED_VALUE"""),TRUE)</f>
        <v>1</v>
      </c>
      <c r="H2200" s="4" t="b">
        <f>IFERROR(__xludf.DUMMYFUNCTION("""COMPUTED_VALUE"""),FALSE)</f>
        <v>0</v>
      </c>
      <c r="I2200" s="4">
        <f>IFERROR(__xludf.DUMMYFUNCTION("""COMPUTED_VALUE"""),0.2549440625)</f>
        <v>0.2549440625</v>
      </c>
      <c r="J2200" s="4">
        <f>IFERROR(__xludf.DUMMYFUNCTION("""COMPUTED_VALUE"""),45950.28065972222)</f>
        <v>45950.28066</v>
      </c>
      <c r="K2200" s="4" t="str">
        <f>IFERROR(__xludf.DUMMYFUNCTION("""COMPUTED_VALUE"""),"")</f>
        <v/>
      </c>
      <c r="L2200" s="4">
        <f>IFERROR(__xludf.DUMMYFUNCTION("""COMPUTED_VALUE"""),45949.29780364938)</f>
        <v>45949.2978</v>
      </c>
      <c r="M2200" s="1" t="str">
        <f>IFERROR(__xludf.DUMMYFUNCTION("""COMPUTED_VALUE"""),"RFID")</f>
        <v>RFID</v>
      </c>
      <c r="N2200" s="5">
        <f>IFERROR(__xludf.DUMMYFUNCTION("""COMPUTED_VALUE"""),0.01028626388888889)</f>
        <v>0.01028626389</v>
      </c>
      <c r="O2200" s="5" t="str">
        <f>IFERROR(__xludf.DUMMYFUNCTION("""COMPUTED_VALUE"""),"")</f>
        <v/>
      </c>
      <c r="P2200" s="5" t="str">
        <f>IFERROR(__xludf.DUMMYFUNCTION("""COMPUTED_VALUE"""),"")</f>
        <v/>
      </c>
      <c r="Q2200" s="5">
        <f>IFERROR(__xludf.DUMMYFUNCTION("""COMPUTED_VALUE"""),0.008571916666666667)</f>
        <v>0.008571916667</v>
      </c>
      <c r="R2200" s="4">
        <f>IFERROR(__xludf.DUMMYFUNCTION("""COMPUTED_VALUE"""),45949.04285958688)</f>
        <v>45949.04286</v>
      </c>
      <c r="S2200" s="1" t="b">
        <f>IFERROR(__xludf.DUMMYFUNCTION("""COMPUTED_VALUE"""),TRUE)</f>
        <v>1</v>
      </c>
      <c r="T2200" s="1" t="b">
        <f>IFERROR(__xludf.DUMMYFUNCTION("""COMPUTED_VALUE"""),FALSE)</f>
        <v>0</v>
      </c>
      <c r="U2200" s="1" t="str">
        <f>IFERROR(__xludf.DUMMYFUNCTION("""COMPUTED_VALUE"""),"VALID")</f>
        <v>VALID</v>
      </c>
      <c r="V2200" s="1">
        <f>IFERROR(__xludf.DUMMYFUNCTION("""COMPUTED_VALUE"""),764.0)</f>
        <v>764</v>
      </c>
      <c r="W2200" s="1">
        <f>IFERROR(__xludf.DUMMYFUNCTION("""COMPUTED_VALUE"""),1359.0)</f>
        <v>1359</v>
      </c>
      <c r="X2200" s="1">
        <f>IFERROR(__xludf.DUMMYFUNCTION("""COMPUTED_VALUE"""),1097.0)</f>
        <v>1097</v>
      </c>
      <c r="Y2200" s="2"/>
      <c r="Z2200" s="2" t="str">
        <f>IFERROR(__xludf.DUMMYFUNCTION("""COMPUTED_VALUE"""),"C")</f>
        <v>C</v>
      </c>
    </row>
    <row r="2201">
      <c r="A2201" s="1">
        <f>IFERROR(__xludf.DUMMYFUNCTION("""COMPUTED_VALUE"""),2200.0)</f>
        <v>2200</v>
      </c>
      <c r="B2201" s="1">
        <f>IFERROR(__xludf.DUMMYFUNCTION("""COMPUTED_VALUE"""),5879.0)</f>
        <v>5879</v>
      </c>
      <c r="C2201" s="2" t="str">
        <f>IFERROR(__xludf.DUMMYFUNCTION("""COMPUTED_VALUE"""),"Zaki")</f>
        <v>Zaki</v>
      </c>
      <c r="D2201" s="2" t="str">
        <f>IFERROR(__xludf.DUMMYFUNCTION("""COMPUTED_VALUE"""),"5KM OVERALL M")</f>
        <v>5KM OVERALL M</v>
      </c>
      <c r="E2201" s="1">
        <f>IFERROR(__xludf.DUMMYFUNCTION("""COMPUTED_VALUE"""),2.0)</f>
        <v>2</v>
      </c>
      <c r="F2201" s="1" t="str">
        <f>IFERROR(__xludf.DUMMYFUNCTION("""COMPUTED_VALUE"""),"Male")</f>
        <v>Male</v>
      </c>
      <c r="G2201" s="4" t="b">
        <f>IFERROR(__xludf.DUMMYFUNCTION("""COMPUTED_VALUE"""),TRUE)</f>
        <v>1</v>
      </c>
      <c r="H2201" s="4" t="b">
        <f>IFERROR(__xludf.DUMMYFUNCTION("""COMPUTED_VALUE"""),TRUE)</f>
        <v>1</v>
      </c>
      <c r="I2201" s="4">
        <f>IFERROR(__xludf.DUMMYFUNCTION("""COMPUTED_VALUE"""),0.2549440625)</f>
        <v>0.2549440625</v>
      </c>
      <c r="J2201" s="4">
        <f>IFERROR(__xludf.DUMMYFUNCTION("""COMPUTED_VALUE"""),45949.275380924926)</f>
        <v>45949.27538</v>
      </c>
      <c r="K2201" s="4" t="str">
        <f>IFERROR(__xludf.DUMMYFUNCTION("""COMPUTED_VALUE"""),"")</f>
        <v/>
      </c>
      <c r="L2201" s="4">
        <f>IFERROR(__xludf.DUMMYFUNCTION("""COMPUTED_VALUE"""),45949.28956060184)</f>
        <v>45949.28956</v>
      </c>
      <c r="M2201" s="1" t="str">
        <f>IFERROR(__xludf.DUMMYFUNCTION("""COMPUTED_VALUE"""),"RFID")</f>
        <v>RFID</v>
      </c>
      <c r="N2201" s="5">
        <f>IFERROR(__xludf.DUMMYFUNCTION("""COMPUTED_VALUE"""),0.00817474537037037)</f>
        <v>0.00817474537</v>
      </c>
      <c r="O2201" s="5" t="str">
        <f>IFERROR(__xludf.DUMMYFUNCTION("""COMPUTED_VALUE"""),"")</f>
        <v/>
      </c>
      <c r="P2201" s="5" t="str">
        <f>IFERROR(__xludf.DUMMYFUNCTION("""COMPUTED_VALUE"""),"")</f>
        <v/>
      </c>
      <c r="Q2201" s="5">
        <f>IFERROR(__xludf.DUMMYFUNCTION("""COMPUTED_VALUE"""),0.006923307870370371)</f>
        <v>0.00692330787</v>
      </c>
      <c r="R2201" s="4">
        <f>IFERROR(__xludf.DUMMYFUNCTION("""COMPUTED_VALUE"""),45949.03461653934)</f>
        <v>45949.03462</v>
      </c>
      <c r="S2201" s="1" t="b">
        <f>IFERROR(__xludf.DUMMYFUNCTION("""COMPUTED_VALUE"""),TRUE)</f>
        <v>1</v>
      </c>
      <c r="T2201" s="1" t="b">
        <f>IFERROR(__xludf.DUMMYFUNCTION("""COMPUTED_VALUE"""),FALSE)</f>
        <v>0</v>
      </c>
      <c r="U2201" s="1" t="str">
        <f>IFERROR(__xludf.DUMMYFUNCTION("""COMPUTED_VALUE"""),"VALID")</f>
        <v>VALID</v>
      </c>
      <c r="V2201" s="1">
        <f>IFERROR(__xludf.DUMMYFUNCTION("""COMPUTED_VALUE"""),551.0)</f>
        <v>551</v>
      </c>
      <c r="W2201" s="1">
        <f>IFERROR(__xludf.DUMMYFUNCTION("""COMPUTED_VALUE"""),871.0)</f>
        <v>871</v>
      </c>
      <c r="X2201" s="1">
        <f>IFERROR(__xludf.DUMMYFUNCTION("""COMPUTED_VALUE"""),710.0)</f>
        <v>710</v>
      </c>
      <c r="Y2201" s="2"/>
      <c r="Z2201" s="2"/>
    </row>
    <row r="2202">
      <c r="A2202" s="1">
        <f>IFERROR(__xludf.DUMMYFUNCTION("""COMPUTED_VALUE"""),2201.0)</f>
        <v>2201</v>
      </c>
      <c r="B2202" s="1">
        <f>IFERROR(__xludf.DUMMYFUNCTION("""COMPUTED_VALUE"""),5884.0)</f>
        <v>5884</v>
      </c>
      <c r="C2202" s="2" t="str">
        <f>IFERROR(__xludf.DUMMYFUNCTION("""COMPUTED_VALUE"""),"MAX")</f>
        <v>MAX</v>
      </c>
      <c r="D2202" s="2" t="str">
        <f>IFERROR(__xludf.DUMMYFUNCTION("""COMPUTED_VALUE"""),"5KM OVERALL M")</f>
        <v>5KM OVERALL M</v>
      </c>
      <c r="E2202" s="1">
        <f>IFERROR(__xludf.DUMMYFUNCTION("""COMPUTED_VALUE"""),2.0)</f>
        <v>2</v>
      </c>
      <c r="F2202" s="1" t="str">
        <f>IFERROR(__xludf.DUMMYFUNCTION("""COMPUTED_VALUE"""),"Male")</f>
        <v>Male</v>
      </c>
      <c r="G2202" s="4" t="b">
        <f>IFERROR(__xludf.DUMMYFUNCTION("""COMPUTED_VALUE"""),TRUE)</f>
        <v>1</v>
      </c>
      <c r="H2202" s="4" t="b">
        <f>IFERROR(__xludf.DUMMYFUNCTION("""COMPUTED_VALUE"""),TRUE)</f>
        <v>1</v>
      </c>
      <c r="I2202" s="4">
        <f>IFERROR(__xludf.DUMMYFUNCTION("""COMPUTED_VALUE"""),0.2549440625)</f>
        <v>0.2549440625</v>
      </c>
      <c r="J2202" s="4">
        <f>IFERROR(__xludf.DUMMYFUNCTION("""COMPUTED_VALUE"""),45949.265068354136)</f>
        <v>45949.26507</v>
      </c>
      <c r="K2202" s="4" t="str">
        <f>IFERROR(__xludf.DUMMYFUNCTION("""COMPUTED_VALUE"""),"")</f>
        <v/>
      </c>
      <c r="L2202" s="4">
        <f>IFERROR(__xludf.DUMMYFUNCTION("""COMPUTED_VALUE"""),45949.297320963706)</f>
        <v>45949.29732</v>
      </c>
      <c r="M2202" s="1" t="str">
        <f>IFERROR(__xludf.DUMMYFUNCTION("""COMPUTED_VALUE"""),"RFID")</f>
        <v>RFID</v>
      </c>
      <c r="N2202" s="5">
        <f>IFERROR(__xludf.DUMMYFUNCTION("""COMPUTED_VALUE"""),0.004049717592592593)</f>
        <v>0.004049717593</v>
      </c>
      <c r="O2202" s="5" t="str">
        <f>IFERROR(__xludf.DUMMYFUNCTION("""COMPUTED_VALUE"""),"")</f>
        <v/>
      </c>
      <c r="P2202" s="5" t="str">
        <f>IFERROR(__xludf.DUMMYFUNCTION("""COMPUTED_VALUE"""),"")</f>
        <v/>
      </c>
      <c r="Q2202" s="5">
        <f>IFERROR(__xludf.DUMMYFUNCTION("""COMPUTED_VALUE"""),0.00847537962962963)</f>
        <v>0.00847537963</v>
      </c>
      <c r="R2202" s="4">
        <f>IFERROR(__xludf.DUMMYFUNCTION("""COMPUTED_VALUE"""),45949.042376901205)</f>
        <v>45949.04238</v>
      </c>
      <c r="S2202" s="1" t="b">
        <f>IFERROR(__xludf.DUMMYFUNCTION("""COMPUTED_VALUE"""),TRUE)</f>
        <v>1</v>
      </c>
      <c r="T2202" s="1" t="b">
        <f>IFERROR(__xludf.DUMMYFUNCTION("""COMPUTED_VALUE"""),FALSE)</f>
        <v>0</v>
      </c>
      <c r="U2202" s="1" t="str">
        <f>IFERROR(__xludf.DUMMYFUNCTION("""COMPUTED_VALUE"""),"VALID")</f>
        <v>VALID</v>
      </c>
      <c r="V2202" s="1">
        <f>IFERROR(__xludf.DUMMYFUNCTION("""COMPUTED_VALUE"""),759.0)</f>
        <v>759</v>
      </c>
      <c r="W2202" s="1">
        <f>IFERROR(__xludf.DUMMYFUNCTION("""COMPUTED_VALUE"""),1344.0)</f>
        <v>1344</v>
      </c>
      <c r="X2202" s="1">
        <f>IFERROR(__xludf.DUMMYFUNCTION("""COMPUTED_VALUE"""),1082.0)</f>
        <v>1082</v>
      </c>
      <c r="Y2202" s="2"/>
      <c r="Z2202" s="2"/>
    </row>
    <row r="2203">
      <c r="A2203" s="1">
        <f>IFERROR(__xludf.DUMMYFUNCTION("""COMPUTED_VALUE"""),2202.0)</f>
        <v>2202</v>
      </c>
      <c r="B2203" s="1">
        <f>IFERROR(__xludf.DUMMYFUNCTION("""COMPUTED_VALUE"""),5886.0)</f>
        <v>5886</v>
      </c>
      <c r="C2203" s="2" t="str">
        <f>IFERROR(__xludf.DUMMYFUNCTION("""COMPUTED_VALUE"""),"Arif")</f>
        <v>Arif</v>
      </c>
      <c r="D2203" s="2" t="str">
        <f>IFERROR(__xludf.DUMMYFUNCTION("""COMPUTED_VALUE"""),"5KM OVERALL M")</f>
        <v>5KM OVERALL M</v>
      </c>
      <c r="E2203" s="1">
        <f>IFERROR(__xludf.DUMMYFUNCTION("""COMPUTED_VALUE"""),2.0)</f>
        <v>2</v>
      </c>
      <c r="F2203" s="1" t="str">
        <f>IFERROR(__xludf.DUMMYFUNCTION("""COMPUTED_VALUE"""),"Male")</f>
        <v>Male</v>
      </c>
      <c r="G2203" s="4" t="b">
        <f>IFERROR(__xludf.DUMMYFUNCTION("""COMPUTED_VALUE"""),TRUE)</f>
        <v>1</v>
      </c>
      <c r="H2203" s="4" t="b">
        <f>IFERROR(__xludf.DUMMYFUNCTION("""COMPUTED_VALUE"""),TRUE)</f>
        <v>1</v>
      </c>
      <c r="I2203" s="4">
        <f>IFERROR(__xludf.DUMMYFUNCTION("""COMPUTED_VALUE"""),0.2549440625)</f>
        <v>0.2549440625</v>
      </c>
      <c r="J2203" s="4">
        <f>IFERROR(__xludf.DUMMYFUNCTION("""COMPUTED_VALUE"""),45949.26950239378)</f>
        <v>45949.2695</v>
      </c>
      <c r="K2203" s="4" t="str">
        <f>IFERROR(__xludf.DUMMYFUNCTION("""COMPUTED_VALUE"""),"")</f>
        <v/>
      </c>
      <c r="L2203" s="4">
        <f>IFERROR(__xludf.DUMMYFUNCTION("""COMPUTED_VALUE"""),45949.283755066455)</f>
        <v>45949.28376</v>
      </c>
      <c r="M2203" s="1" t="str">
        <f>IFERROR(__xludf.DUMMYFUNCTION("""COMPUTED_VALUE"""),"RFID")</f>
        <v>RFID</v>
      </c>
      <c r="N2203" s="5">
        <f>IFERROR(__xludf.DUMMYFUNCTION("""COMPUTED_VALUE"""),0.005823333333333333)</f>
        <v>0.005823333333</v>
      </c>
      <c r="O2203" s="5" t="str">
        <f>IFERROR(__xludf.DUMMYFUNCTION("""COMPUTED_VALUE"""),"")</f>
        <v/>
      </c>
      <c r="P2203" s="5" t="str">
        <f>IFERROR(__xludf.DUMMYFUNCTION("""COMPUTED_VALUE"""),"")</f>
        <v/>
      </c>
      <c r="Q2203" s="5">
        <f>IFERROR(__xludf.DUMMYFUNCTION("""COMPUTED_VALUE"""),0.00576220138888889)</f>
        <v>0.005762201389</v>
      </c>
      <c r="R2203" s="4">
        <f>IFERROR(__xludf.DUMMYFUNCTION("""COMPUTED_VALUE"""),45949.028811003955)</f>
        <v>45949.02881</v>
      </c>
      <c r="S2203" s="1" t="b">
        <f>IFERROR(__xludf.DUMMYFUNCTION("""COMPUTED_VALUE"""),TRUE)</f>
        <v>1</v>
      </c>
      <c r="T2203" s="1" t="b">
        <f>IFERROR(__xludf.DUMMYFUNCTION("""COMPUTED_VALUE"""),FALSE)</f>
        <v>0</v>
      </c>
      <c r="U2203" s="1" t="str">
        <f>IFERROR(__xludf.DUMMYFUNCTION("""COMPUTED_VALUE"""),"VALID")</f>
        <v>VALID</v>
      </c>
      <c r="V2203" s="1">
        <f>IFERROR(__xludf.DUMMYFUNCTION("""COMPUTED_VALUE"""),320.0)</f>
        <v>320</v>
      </c>
      <c r="W2203" s="1">
        <f>IFERROR(__xludf.DUMMYFUNCTION("""COMPUTED_VALUE"""),477.0)</f>
        <v>477</v>
      </c>
      <c r="X2203" s="1">
        <f>IFERROR(__xludf.DUMMYFUNCTION("""COMPUTED_VALUE"""),413.0)</f>
        <v>413</v>
      </c>
      <c r="Y2203" s="2"/>
      <c r="Z2203" s="2"/>
    </row>
    <row r="2204">
      <c r="A2204" s="1">
        <f>IFERROR(__xludf.DUMMYFUNCTION("""COMPUTED_VALUE"""),2203.0)</f>
        <v>2203</v>
      </c>
      <c r="B2204" s="1">
        <f>IFERROR(__xludf.DUMMYFUNCTION("""COMPUTED_VALUE"""),5887.0)</f>
        <v>5887</v>
      </c>
      <c r="C2204" s="2" t="str">
        <f>IFERROR(__xludf.DUMMYFUNCTION("""COMPUTED_VALUE"""),"Rabtinta")</f>
        <v>Rabtinta</v>
      </c>
      <c r="D2204" s="2" t="str">
        <f>IFERROR(__xludf.DUMMYFUNCTION("""COMPUTED_VALUE"""),"5KM OVERALL M")</f>
        <v>5KM OVERALL M</v>
      </c>
      <c r="E2204" s="1">
        <f>IFERROR(__xludf.DUMMYFUNCTION("""COMPUTED_VALUE"""),2.0)</f>
        <v>2</v>
      </c>
      <c r="F2204" s="1" t="str">
        <f>IFERROR(__xludf.DUMMYFUNCTION("""COMPUTED_VALUE"""),"Male")</f>
        <v>Male</v>
      </c>
      <c r="G2204" s="4" t="b">
        <f>IFERROR(__xludf.DUMMYFUNCTION("""COMPUTED_VALUE"""),TRUE)</f>
        <v>1</v>
      </c>
      <c r="H2204" s="4" t="b">
        <f>IFERROR(__xludf.DUMMYFUNCTION("""COMPUTED_VALUE"""),TRUE)</f>
        <v>1</v>
      </c>
      <c r="I2204" s="4">
        <f>IFERROR(__xludf.DUMMYFUNCTION("""COMPUTED_VALUE"""),0.2549440625)</f>
        <v>0.2549440625</v>
      </c>
      <c r="J2204" s="4">
        <f>IFERROR(__xludf.DUMMYFUNCTION("""COMPUTED_VALUE"""),45949.27156488268)</f>
        <v>45949.27156</v>
      </c>
      <c r="K2204" s="4" t="str">
        <f>IFERROR(__xludf.DUMMYFUNCTION("""COMPUTED_VALUE"""),"")</f>
        <v/>
      </c>
      <c r="L2204" s="4">
        <f>IFERROR(__xludf.DUMMYFUNCTION("""COMPUTED_VALUE"""),45949.28242256591)</f>
        <v>45949.28242</v>
      </c>
      <c r="M2204" s="1" t="str">
        <f>IFERROR(__xludf.DUMMYFUNCTION("""COMPUTED_VALUE"""),"RFID")</f>
        <v>RFID</v>
      </c>
      <c r="N2204" s="5">
        <f>IFERROR(__xludf.DUMMYFUNCTION("""COMPUTED_VALUE"""),0.006648328703703704)</f>
        <v>0.006648328704</v>
      </c>
      <c r="O2204" s="5" t="str">
        <f>IFERROR(__xludf.DUMMYFUNCTION("""COMPUTED_VALUE"""),"")</f>
        <v/>
      </c>
      <c r="P2204" s="5" t="str">
        <f>IFERROR(__xludf.DUMMYFUNCTION("""COMPUTED_VALUE"""),"")</f>
        <v/>
      </c>
      <c r="Q2204" s="5">
        <f>IFERROR(__xludf.DUMMYFUNCTION("""COMPUTED_VALUE"""),0.005495701388888889)</f>
        <v>0.005495701389</v>
      </c>
      <c r="R2204" s="4">
        <f>IFERROR(__xludf.DUMMYFUNCTION("""COMPUTED_VALUE"""),45949.02747850341)</f>
        <v>45949.02748</v>
      </c>
      <c r="S2204" s="1" t="b">
        <f>IFERROR(__xludf.DUMMYFUNCTION("""COMPUTED_VALUE"""),TRUE)</f>
        <v>1</v>
      </c>
      <c r="T2204" s="1" t="b">
        <f>IFERROR(__xludf.DUMMYFUNCTION("""COMPUTED_VALUE"""),FALSE)</f>
        <v>0</v>
      </c>
      <c r="U2204" s="1" t="str">
        <f>IFERROR(__xludf.DUMMYFUNCTION("""COMPUTED_VALUE"""),"VALID")</f>
        <v>VALID</v>
      </c>
      <c r="V2204" s="1">
        <f>IFERROR(__xludf.DUMMYFUNCTION("""COMPUTED_VALUE"""),264.0)</f>
        <v>264</v>
      </c>
      <c r="W2204" s="1">
        <f>IFERROR(__xludf.DUMMYFUNCTION("""COMPUTED_VALUE"""),403.0)</f>
        <v>403</v>
      </c>
      <c r="X2204" s="1">
        <f>IFERROR(__xludf.DUMMYFUNCTION("""COMPUTED_VALUE"""),350.0)</f>
        <v>350</v>
      </c>
      <c r="Y2204" s="2"/>
      <c r="Z2204" s="2"/>
    </row>
    <row r="2205">
      <c r="A2205" s="1">
        <f>IFERROR(__xludf.DUMMYFUNCTION("""COMPUTED_VALUE"""),2204.0)</f>
        <v>2204</v>
      </c>
      <c r="B2205" s="1">
        <f>IFERROR(__xludf.DUMMYFUNCTION("""COMPUTED_VALUE"""),5889.0)</f>
        <v>5889</v>
      </c>
      <c r="C2205" s="2" t="str">
        <f>IFERROR(__xludf.DUMMYFUNCTION("""COMPUTED_VALUE"""),"Atrofan Azmi")</f>
        <v>Atrofan Azmi</v>
      </c>
      <c r="D2205" s="2" t="str">
        <f>IFERROR(__xludf.DUMMYFUNCTION("""COMPUTED_VALUE"""),"5KM OVERALL M")</f>
        <v>5KM OVERALL M</v>
      </c>
      <c r="E2205" s="1">
        <f>IFERROR(__xludf.DUMMYFUNCTION("""COMPUTED_VALUE"""),2.0)</f>
        <v>2</v>
      </c>
      <c r="F2205" s="1" t="str">
        <f>IFERROR(__xludf.DUMMYFUNCTION("""COMPUTED_VALUE"""),"Male")</f>
        <v>Male</v>
      </c>
      <c r="G2205" s="4" t="b">
        <f>IFERROR(__xludf.DUMMYFUNCTION("""COMPUTED_VALUE"""),TRUE)</f>
        <v>1</v>
      </c>
      <c r="H2205" s="4" t="b">
        <f>IFERROR(__xludf.DUMMYFUNCTION("""COMPUTED_VALUE"""),FALSE)</f>
        <v>0</v>
      </c>
      <c r="I2205" s="4">
        <f>IFERROR(__xludf.DUMMYFUNCTION("""COMPUTED_VALUE"""),0.2549440625)</f>
        <v>0.2549440625</v>
      </c>
      <c r="J2205" s="4">
        <f>IFERROR(__xludf.DUMMYFUNCTION("""COMPUTED_VALUE"""),45949.27211007374)</f>
        <v>45949.27211</v>
      </c>
      <c r="K2205" s="4" t="str">
        <f>IFERROR(__xludf.DUMMYFUNCTION("""COMPUTED_VALUE"""),"")</f>
        <v/>
      </c>
      <c r="L2205" s="4">
        <f>IFERROR(__xludf.DUMMYFUNCTION("""COMPUTED_VALUE"""),45949.28519950178)</f>
        <v>45949.2852</v>
      </c>
      <c r="M2205" s="1" t="str">
        <f>IFERROR(__xludf.DUMMYFUNCTION("""COMPUTED_VALUE"""),"RFID")</f>
        <v>RFID</v>
      </c>
      <c r="N2205" s="5">
        <f>IFERROR(__xludf.DUMMYFUNCTION("""COMPUTED_VALUE"""),0.006866402777777778)</f>
        <v>0.006866402778</v>
      </c>
      <c r="O2205" s="5" t="str">
        <f>IFERROR(__xludf.DUMMYFUNCTION("""COMPUTED_VALUE"""),"")</f>
        <v/>
      </c>
      <c r="P2205" s="5" t="str">
        <f>IFERROR(__xludf.DUMMYFUNCTION("""COMPUTED_VALUE"""),"")</f>
        <v/>
      </c>
      <c r="Q2205" s="5">
        <f>IFERROR(__xludf.DUMMYFUNCTION("""COMPUTED_VALUE"""),0.006051087962962964)</f>
        <v>0.006051087963</v>
      </c>
      <c r="R2205" s="4">
        <f>IFERROR(__xludf.DUMMYFUNCTION("""COMPUTED_VALUE"""),45949.03025543928)</f>
        <v>45949.03026</v>
      </c>
      <c r="S2205" s="1" t="b">
        <f>IFERROR(__xludf.DUMMYFUNCTION("""COMPUTED_VALUE"""),TRUE)</f>
        <v>1</v>
      </c>
      <c r="T2205" s="1" t="b">
        <f>IFERROR(__xludf.DUMMYFUNCTION("""COMPUTED_VALUE"""),FALSE)</f>
        <v>0</v>
      </c>
      <c r="U2205" s="1" t="str">
        <f>IFERROR(__xludf.DUMMYFUNCTION("""COMPUTED_VALUE"""),"VALID")</f>
        <v>VALID</v>
      </c>
      <c r="V2205" s="1">
        <f>IFERROR(__xludf.DUMMYFUNCTION("""COMPUTED_VALUE"""),387.0)</f>
        <v>387</v>
      </c>
      <c r="W2205" s="1">
        <f>IFERROR(__xludf.DUMMYFUNCTION("""COMPUTED_VALUE"""),586.0)</f>
        <v>586</v>
      </c>
      <c r="X2205" s="1">
        <f>IFERROR(__xludf.DUMMYFUNCTION("""COMPUTED_VALUE"""),497.0)</f>
        <v>497</v>
      </c>
      <c r="Y2205" s="2"/>
      <c r="Z2205" s="2"/>
    </row>
    <row r="2206">
      <c r="A2206" s="1">
        <f>IFERROR(__xludf.DUMMYFUNCTION("""COMPUTED_VALUE"""),2205.0)</f>
        <v>2205</v>
      </c>
      <c r="B2206" s="1">
        <f>IFERROR(__xludf.DUMMYFUNCTION("""COMPUTED_VALUE"""),5890.0)</f>
        <v>5890</v>
      </c>
      <c r="C2206" s="2" t="str">
        <f>IFERROR(__xludf.DUMMYFUNCTION("""COMPUTED_VALUE"""),"Yil")</f>
        <v>Yil</v>
      </c>
      <c r="D2206" s="2" t="str">
        <f>IFERROR(__xludf.DUMMYFUNCTION("""COMPUTED_VALUE"""),"5KM OVERALL M")</f>
        <v>5KM OVERALL M</v>
      </c>
      <c r="E2206" s="1">
        <f>IFERROR(__xludf.DUMMYFUNCTION("""COMPUTED_VALUE"""),2.0)</f>
        <v>2</v>
      </c>
      <c r="F2206" s="1" t="str">
        <f>IFERROR(__xludf.DUMMYFUNCTION("""COMPUTED_VALUE"""),"Male")</f>
        <v>Male</v>
      </c>
      <c r="G2206" s="4" t="b">
        <f>IFERROR(__xludf.DUMMYFUNCTION("""COMPUTED_VALUE"""),TRUE)</f>
        <v>1</v>
      </c>
      <c r="H2206" s="4" t="b">
        <f>IFERROR(__xludf.DUMMYFUNCTION("""COMPUTED_VALUE"""),FALSE)</f>
        <v>0</v>
      </c>
      <c r="I2206" s="4">
        <f>IFERROR(__xludf.DUMMYFUNCTION("""COMPUTED_VALUE"""),0.2549440625)</f>
        <v>0.2549440625</v>
      </c>
      <c r="J2206" s="4">
        <f>IFERROR(__xludf.DUMMYFUNCTION("""COMPUTED_VALUE"""),45949.27835657188)</f>
        <v>45949.27836</v>
      </c>
      <c r="K2206" s="4" t="str">
        <f>IFERROR(__xludf.DUMMYFUNCTION("""COMPUTED_VALUE"""),"")</f>
        <v/>
      </c>
      <c r="L2206" s="4">
        <f>IFERROR(__xludf.DUMMYFUNCTION("""COMPUTED_VALUE"""),45949.294459894016)</f>
        <v>45949.29446</v>
      </c>
      <c r="M2206" s="1" t="str">
        <f>IFERROR(__xludf.DUMMYFUNCTION("""COMPUTED_VALUE"""),"RFID")</f>
        <v>RFID</v>
      </c>
      <c r="N2206" s="5">
        <f>IFERROR(__xludf.DUMMYFUNCTION("""COMPUTED_VALUE"""),0.00936500462962963)</f>
        <v>0.00936500463</v>
      </c>
      <c r="O2206" s="5" t="str">
        <f>IFERROR(__xludf.DUMMYFUNCTION("""COMPUTED_VALUE"""),"")</f>
        <v/>
      </c>
      <c r="P2206" s="5" t="str">
        <f>IFERROR(__xludf.DUMMYFUNCTION("""COMPUTED_VALUE"""),"")</f>
        <v/>
      </c>
      <c r="Q2206" s="5">
        <f>IFERROR(__xludf.DUMMYFUNCTION("""COMPUTED_VALUE"""),0.007903166666666666)</f>
        <v>0.007903166667</v>
      </c>
      <c r="R2206" s="4">
        <f>IFERROR(__xludf.DUMMYFUNCTION("""COMPUTED_VALUE"""),45949.039515831515)</f>
        <v>45949.03952</v>
      </c>
      <c r="S2206" s="1" t="b">
        <f>IFERROR(__xludf.DUMMYFUNCTION("""COMPUTED_VALUE"""),TRUE)</f>
        <v>1</v>
      </c>
      <c r="T2206" s="1" t="b">
        <f>IFERROR(__xludf.DUMMYFUNCTION("""COMPUTED_VALUE"""),FALSE)</f>
        <v>0</v>
      </c>
      <c r="U2206" s="1" t="str">
        <f>IFERROR(__xludf.DUMMYFUNCTION("""COMPUTED_VALUE"""),"VALID")</f>
        <v>VALID</v>
      </c>
      <c r="V2206" s="1">
        <f>IFERROR(__xludf.DUMMYFUNCTION("""COMPUTED_VALUE"""),703.0)</f>
        <v>703</v>
      </c>
      <c r="W2206" s="1">
        <f>IFERROR(__xludf.DUMMYFUNCTION("""COMPUTED_VALUE"""),1216.0)</f>
        <v>1216</v>
      </c>
      <c r="X2206" s="1">
        <f>IFERROR(__xludf.DUMMYFUNCTION("""COMPUTED_VALUE"""),954.0)</f>
        <v>954</v>
      </c>
      <c r="Y2206" s="2"/>
      <c r="Z2206" s="2"/>
    </row>
    <row r="2207">
      <c r="A2207" s="1">
        <f>IFERROR(__xludf.DUMMYFUNCTION("""COMPUTED_VALUE"""),2206.0)</f>
        <v>2206</v>
      </c>
      <c r="B2207" s="1">
        <f>IFERROR(__xludf.DUMMYFUNCTION("""COMPUTED_VALUE"""),5891.0)</f>
        <v>5891</v>
      </c>
      <c r="C2207" s="2" t="str">
        <f>IFERROR(__xludf.DUMMYFUNCTION("""COMPUTED_VALUE"""),"Sanak.Motret")</f>
        <v>Sanak.Motret</v>
      </c>
      <c r="D2207" s="2" t="str">
        <f>IFERROR(__xludf.DUMMYFUNCTION("""COMPUTED_VALUE"""),"5KM OVERALL M")</f>
        <v>5KM OVERALL M</v>
      </c>
      <c r="E2207" s="1">
        <f>IFERROR(__xludf.DUMMYFUNCTION("""COMPUTED_VALUE"""),2.0)</f>
        <v>2</v>
      </c>
      <c r="F2207" s="1" t="str">
        <f>IFERROR(__xludf.DUMMYFUNCTION("""COMPUTED_VALUE"""),"Male")</f>
        <v>Male</v>
      </c>
      <c r="G2207" s="4" t="b">
        <f>IFERROR(__xludf.DUMMYFUNCTION("""COMPUTED_VALUE"""),TRUE)</f>
        <v>1</v>
      </c>
      <c r="H2207" s="4" t="b">
        <f>IFERROR(__xludf.DUMMYFUNCTION("""COMPUTED_VALUE"""),TRUE)</f>
        <v>1</v>
      </c>
      <c r="I2207" s="4">
        <f>IFERROR(__xludf.DUMMYFUNCTION("""COMPUTED_VALUE"""),0.2549440625)</f>
        <v>0.2549440625</v>
      </c>
      <c r="J2207" s="4">
        <f>IFERROR(__xludf.DUMMYFUNCTION("""COMPUTED_VALUE"""),45949.271127381944)</f>
        <v>45949.27113</v>
      </c>
      <c r="K2207" s="4" t="str">
        <f>IFERROR(__xludf.DUMMYFUNCTION("""COMPUTED_VALUE"""),"")</f>
        <v/>
      </c>
      <c r="L2207" s="4">
        <f>IFERROR(__xludf.DUMMYFUNCTION("""COMPUTED_VALUE"""),45949.28314045048)</f>
        <v>45949.28314</v>
      </c>
      <c r="M2207" s="1" t="str">
        <f>IFERROR(__xludf.DUMMYFUNCTION("""COMPUTED_VALUE"""),"RFID")</f>
        <v>RFID</v>
      </c>
      <c r="N2207" s="5">
        <f>IFERROR(__xludf.DUMMYFUNCTION("""COMPUTED_VALUE"""),0.006473328703703704)</f>
        <v>0.006473328704</v>
      </c>
      <c r="O2207" s="5" t="str">
        <f>IFERROR(__xludf.DUMMYFUNCTION("""COMPUTED_VALUE"""),"")</f>
        <v/>
      </c>
      <c r="P2207" s="5" t="str">
        <f>IFERROR(__xludf.DUMMYFUNCTION("""COMPUTED_VALUE"""),"")</f>
        <v/>
      </c>
      <c r="Q2207" s="5">
        <f>IFERROR(__xludf.DUMMYFUNCTION("""COMPUTED_VALUE"""),0.005639277777777778)</f>
        <v>0.005639277778</v>
      </c>
      <c r="R2207" s="4">
        <f>IFERROR(__xludf.DUMMYFUNCTION("""COMPUTED_VALUE"""),45949.02819638798)</f>
        <v>45949.0282</v>
      </c>
      <c r="S2207" s="1" t="b">
        <f>IFERROR(__xludf.DUMMYFUNCTION("""COMPUTED_VALUE"""),TRUE)</f>
        <v>1</v>
      </c>
      <c r="T2207" s="1" t="b">
        <f>IFERROR(__xludf.DUMMYFUNCTION("""COMPUTED_VALUE"""),FALSE)</f>
        <v>0</v>
      </c>
      <c r="U2207" s="1" t="str">
        <f>IFERROR(__xludf.DUMMYFUNCTION("""COMPUTED_VALUE"""),"VALID")</f>
        <v>VALID</v>
      </c>
      <c r="V2207" s="1">
        <f>IFERROR(__xludf.DUMMYFUNCTION("""COMPUTED_VALUE"""),291.0)</f>
        <v>291</v>
      </c>
      <c r="W2207" s="1">
        <f>IFERROR(__xludf.DUMMYFUNCTION("""COMPUTED_VALUE"""),440.0)</f>
        <v>440</v>
      </c>
      <c r="X2207" s="1">
        <f>IFERROR(__xludf.DUMMYFUNCTION("""COMPUTED_VALUE"""),380.0)</f>
        <v>380</v>
      </c>
      <c r="Y2207" s="2"/>
      <c r="Z2207" s="2"/>
    </row>
    <row r="2208">
      <c r="A2208" s="1">
        <f>IFERROR(__xludf.DUMMYFUNCTION("""COMPUTED_VALUE"""),2207.0)</f>
        <v>2207</v>
      </c>
      <c r="B2208" s="1">
        <f>IFERROR(__xludf.DUMMYFUNCTION("""COMPUTED_VALUE"""),5892.0)</f>
        <v>5892</v>
      </c>
      <c r="C2208" s="2" t="str">
        <f>IFERROR(__xludf.DUMMYFUNCTION("""COMPUTED_VALUE"""),"IMAM SAFI'I")</f>
        <v>IMAM SAFI'I</v>
      </c>
      <c r="D2208" s="2" t="str">
        <f>IFERROR(__xludf.DUMMYFUNCTION("""COMPUTED_VALUE"""),"5KM OVERALL M")</f>
        <v>5KM OVERALL M</v>
      </c>
      <c r="E2208" s="1">
        <f>IFERROR(__xludf.DUMMYFUNCTION("""COMPUTED_VALUE"""),2.0)</f>
        <v>2</v>
      </c>
      <c r="F2208" s="1" t="str">
        <f>IFERROR(__xludf.DUMMYFUNCTION("""COMPUTED_VALUE"""),"Male")</f>
        <v>Male</v>
      </c>
      <c r="G2208" s="4" t="b">
        <f>IFERROR(__xludf.DUMMYFUNCTION("""COMPUTED_VALUE"""),TRUE)</f>
        <v>1</v>
      </c>
      <c r="H2208" s="4" t="b">
        <f>IFERROR(__xludf.DUMMYFUNCTION("""COMPUTED_VALUE"""),TRUE)</f>
        <v>1</v>
      </c>
      <c r="I2208" s="4">
        <f>IFERROR(__xludf.DUMMYFUNCTION("""COMPUTED_VALUE"""),0.2549440625)</f>
        <v>0.2549440625</v>
      </c>
      <c r="J2208" s="4">
        <f>IFERROR(__xludf.DUMMYFUNCTION("""COMPUTED_VALUE"""),45949.274360264084)</f>
        <v>45949.27436</v>
      </c>
      <c r="K2208" s="4" t="str">
        <f>IFERROR(__xludf.DUMMYFUNCTION("""COMPUTED_VALUE"""),"")</f>
        <v/>
      </c>
      <c r="L2208" s="4">
        <f>IFERROR(__xludf.DUMMYFUNCTION("""COMPUTED_VALUE"""),45949.28768559229)</f>
        <v>45949.28769</v>
      </c>
      <c r="M2208" s="1" t="str">
        <f>IFERROR(__xludf.DUMMYFUNCTION("""COMPUTED_VALUE"""),"RFID")</f>
        <v>RFID</v>
      </c>
      <c r="N2208" s="5">
        <f>IFERROR(__xludf.DUMMYFUNCTION("""COMPUTED_VALUE"""),0.007766481481481481)</f>
        <v>0.007766481481</v>
      </c>
      <c r="O2208" s="5" t="str">
        <f>IFERROR(__xludf.DUMMYFUNCTION("""COMPUTED_VALUE"""),"")</f>
        <v/>
      </c>
      <c r="P2208" s="5" t="str">
        <f>IFERROR(__xludf.DUMMYFUNCTION("""COMPUTED_VALUE"""),"")</f>
        <v/>
      </c>
      <c r="Q2208" s="5">
        <f>IFERROR(__xludf.DUMMYFUNCTION("""COMPUTED_VALUE"""),0.0065483055555555555)</f>
        <v>0.006548305556</v>
      </c>
      <c r="R2208" s="4">
        <f>IFERROR(__xludf.DUMMYFUNCTION("""COMPUTED_VALUE"""),45949.03274152979)</f>
        <v>45949.03274</v>
      </c>
      <c r="S2208" s="1" t="b">
        <f>IFERROR(__xludf.DUMMYFUNCTION("""COMPUTED_VALUE"""),TRUE)</f>
        <v>1</v>
      </c>
      <c r="T2208" s="1" t="b">
        <f>IFERROR(__xludf.DUMMYFUNCTION("""COMPUTED_VALUE"""),FALSE)</f>
        <v>0</v>
      </c>
      <c r="U2208" s="1" t="str">
        <f>IFERROR(__xludf.DUMMYFUNCTION("""COMPUTED_VALUE"""),"VALID")</f>
        <v>VALID</v>
      </c>
      <c r="V2208" s="1">
        <f>IFERROR(__xludf.DUMMYFUNCTION("""COMPUTED_VALUE"""),482.0)</f>
        <v>482</v>
      </c>
      <c r="W2208" s="1">
        <f>IFERROR(__xludf.DUMMYFUNCTION("""COMPUTED_VALUE"""),749.0)</f>
        <v>749</v>
      </c>
      <c r="X2208" s="1">
        <f>IFERROR(__xludf.DUMMYFUNCTION("""COMPUTED_VALUE"""),623.0)</f>
        <v>623</v>
      </c>
      <c r="Y2208" s="2"/>
      <c r="Z2208" s="2"/>
    </row>
    <row r="2209">
      <c r="A2209" s="1">
        <f>IFERROR(__xludf.DUMMYFUNCTION("""COMPUTED_VALUE"""),2208.0)</f>
        <v>2208</v>
      </c>
      <c r="B2209" s="1">
        <f>IFERROR(__xludf.DUMMYFUNCTION("""COMPUTED_VALUE"""),5893.0)</f>
        <v>5893</v>
      </c>
      <c r="C2209" s="2" t="str">
        <f>IFERROR(__xludf.DUMMYFUNCTION("""COMPUTED_VALUE"""),"KAAZEE")</f>
        <v>KAAZEE</v>
      </c>
      <c r="D2209" s="2" t="str">
        <f>IFERROR(__xludf.DUMMYFUNCTION("""COMPUTED_VALUE"""),"5KM OVERALL M")</f>
        <v>5KM OVERALL M</v>
      </c>
      <c r="E2209" s="1">
        <f>IFERROR(__xludf.DUMMYFUNCTION("""COMPUTED_VALUE"""),2.0)</f>
        <v>2</v>
      </c>
      <c r="F2209" s="1" t="str">
        <f>IFERROR(__xludf.DUMMYFUNCTION("""COMPUTED_VALUE"""),"Male")</f>
        <v>Male</v>
      </c>
      <c r="G2209" s="4" t="b">
        <f>IFERROR(__xludf.DUMMYFUNCTION("""COMPUTED_VALUE"""),TRUE)</f>
        <v>1</v>
      </c>
      <c r="H2209" s="4" t="b">
        <f>IFERROR(__xludf.DUMMYFUNCTION("""COMPUTED_VALUE"""),FALSE)</f>
        <v>0</v>
      </c>
      <c r="I2209" s="4">
        <f>IFERROR(__xludf.DUMMYFUNCTION("""COMPUTED_VALUE"""),0.2549440625)</f>
        <v>0.2549440625</v>
      </c>
      <c r="J2209" s="4">
        <f>IFERROR(__xludf.DUMMYFUNCTION("""COMPUTED_VALUE"""),45949.26750590616)</f>
        <v>45949.26751</v>
      </c>
      <c r="K2209" s="4" t="str">
        <f>IFERROR(__xludf.DUMMYFUNCTION("""COMPUTED_VALUE"""),"")</f>
        <v/>
      </c>
      <c r="L2209" s="4">
        <f>IFERROR(__xludf.DUMMYFUNCTION("""COMPUTED_VALUE"""),45949.276557064986)</f>
        <v>45949.27656</v>
      </c>
      <c r="M2209" s="1" t="str">
        <f>IFERROR(__xludf.DUMMYFUNCTION("""COMPUTED_VALUE"""),"RFID")</f>
        <v>RFID</v>
      </c>
      <c r="N2209" s="5">
        <f>IFERROR(__xludf.DUMMYFUNCTION("""COMPUTED_VALUE"""),0.005024736111111112)</f>
        <v>0.005024736111</v>
      </c>
      <c r="O2209" s="5" t="str">
        <f>IFERROR(__xludf.DUMMYFUNCTION("""COMPUTED_VALUE"""),"")</f>
        <v/>
      </c>
      <c r="P2209" s="5" t="str">
        <f>IFERROR(__xludf.DUMMYFUNCTION("""COMPUTED_VALUE"""),"")</f>
        <v/>
      </c>
      <c r="Q2209" s="5">
        <f>IFERROR(__xludf.DUMMYFUNCTION("""COMPUTED_VALUE"""),0.004322599537037037)</f>
        <v>0.004322599537</v>
      </c>
      <c r="R2209" s="4">
        <f>IFERROR(__xludf.DUMMYFUNCTION("""COMPUTED_VALUE"""),45949.021613002486)</f>
        <v>45949.02161</v>
      </c>
      <c r="S2209" s="1" t="b">
        <f>IFERROR(__xludf.DUMMYFUNCTION("""COMPUTED_VALUE"""),TRUE)</f>
        <v>1</v>
      </c>
      <c r="T2209" s="1" t="b">
        <f>IFERROR(__xludf.DUMMYFUNCTION("""COMPUTED_VALUE"""),FALSE)</f>
        <v>0</v>
      </c>
      <c r="U2209" s="1" t="str">
        <f>IFERROR(__xludf.DUMMYFUNCTION("""COMPUTED_VALUE"""),"VALID")</f>
        <v>VALID</v>
      </c>
      <c r="V2209" s="1">
        <f>IFERROR(__xludf.DUMMYFUNCTION("""COMPUTED_VALUE"""),106.0)</f>
        <v>106</v>
      </c>
      <c r="W2209" s="1">
        <f>IFERROR(__xludf.DUMMYFUNCTION("""COMPUTED_VALUE"""),163.0)</f>
        <v>163</v>
      </c>
      <c r="X2209" s="1">
        <f>IFERROR(__xludf.DUMMYFUNCTION("""COMPUTED_VALUE"""),144.0)</f>
        <v>144</v>
      </c>
      <c r="Y2209" s="2"/>
      <c r="Z2209" s="2"/>
    </row>
    <row r="2210">
      <c r="A2210" s="1">
        <f>IFERROR(__xludf.DUMMYFUNCTION("""COMPUTED_VALUE"""),2209.0)</f>
        <v>2209</v>
      </c>
      <c r="B2210" s="1">
        <f>IFERROR(__xludf.DUMMYFUNCTION("""COMPUTED_VALUE"""),5895.0)</f>
        <v>5895</v>
      </c>
      <c r="C2210" s="2" t="str">
        <f>IFERROR(__xludf.DUMMYFUNCTION("""COMPUTED_VALUE"""),"Achmad Rizky Zulkarnain")</f>
        <v>Achmad Rizky Zulkarnain</v>
      </c>
      <c r="D2210" s="2" t="str">
        <f>IFERROR(__xludf.DUMMYFUNCTION("""COMPUTED_VALUE"""),"5KM OVERALL M")</f>
        <v>5KM OVERALL M</v>
      </c>
      <c r="E2210" s="1">
        <f>IFERROR(__xludf.DUMMYFUNCTION("""COMPUTED_VALUE"""),2.0)</f>
        <v>2</v>
      </c>
      <c r="F2210" s="1" t="str">
        <f>IFERROR(__xludf.DUMMYFUNCTION("""COMPUTED_VALUE"""),"Male")</f>
        <v>Male</v>
      </c>
      <c r="G2210" s="4" t="str">
        <f>IFERROR(__xludf.DUMMYFUNCTION("""COMPUTED_VALUE"""),"")</f>
        <v/>
      </c>
      <c r="H2210" s="4" t="b">
        <f>IFERROR(__xludf.DUMMYFUNCTION("""COMPUTED_VALUE"""),TRUE)</f>
        <v>1</v>
      </c>
      <c r="I2210" s="4">
        <f>IFERROR(__xludf.DUMMYFUNCTION("""COMPUTED_VALUE"""),0.2549440625)</f>
        <v>0.2549440625</v>
      </c>
      <c r="J2210" s="4">
        <f>IFERROR(__xludf.DUMMYFUNCTION("""COMPUTED_VALUE"""),45949.26749544796)</f>
        <v>45949.2675</v>
      </c>
      <c r="K2210" s="4" t="str">
        <f>IFERROR(__xludf.DUMMYFUNCTION("""COMPUTED_VALUE"""),"")</f>
        <v/>
      </c>
      <c r="L2210" s="4">
        <f>IFERROR(__xludf.DUMMYFUNCTION("""COMPUTED_VALUE"""),45949.27791122582)</f>
        <v>45949.27791</v>
      </c>
      <c r="M2210" s="1" t="str">
        <f>IFERROR(__xludf.DUMMYFUNCTION("""COMPUTED_VALUE"""),"RFID")</f>
        <v>RFID</v>
      </c>
      <c r="N2210" s="5">
        <f>IFERROR(__xludf.DUMMYFUNCTION("""COMPUTED_VALUE"""),0.005020555555555556)</f>
        <v>0.005020555556</v>
      </c>
      <c r="O2210" s="5" t="str">
        <f>IFERROR(__xludf.DUMMYFUNCTION("""COMPUTED_VALUE"""),"")</f>
        <v/>
      </c>
      <c r="P2210" s="5" t="str">
        <f>IFERROR(__xludf.DUMMYFUNCTION("""COMPUTED_VALUE"""),"")</f>
        <v/>
      </c>
      <c r="Q2210" s="5">
        <f>IFERROR(__xludf.DUMMYFUNCTION("""COMPUTED_VALUE"""),0.00459343287037037)</f>
        <v>0.00459343287</v>
      </c>
      <c r="R2210" s="4">
        <f>IFERROR(__xludf.DUMMYFUNCTION("""COMPUTED_VALUE"""),45949.02296716332)</f>
        <v>45949.02297</v>
      </c>
      <c r="S2210" s="1" t="b">
        <f>IFERROR(__xludf.DUMMYFUNCTION("""COMPUTED_VALUE"""),TRUE)</f>
        <v>1</v>
      </c>
      <c r="T2210" s="1" t="b">
        <f>IFERROR(__xludf.DUMMYFUNCTION("""COMPUTED_VALUE"""),FALSE)</f>
        <v>0</v>
      </c>
      <c r="U2210" s="1" t="str">
        <f>IFERROR(__xludf.DUMMYFUNCTION("""COMPUTED_VALUE"""),"VALID")</f>
        <v>VALID</v>
      </c>
      <c r="V2210" s="1">
        <f>IFERROR(__xludf.DUMMYFUNCTION("""COMPUTED_VALUE"""),137.0)</f>
        <v>137</v>
      </c>
      <c r="W2210" s="1">
        <f>IFERROR(__xludf.DUMMYFUNCTION("""COMPUTED_VALUE"""),210.0)</f>
        <v>210</v>
      </c>
      <c r="X2210" s="1">
        <f>IFERROR(__xludf.DUMMYFUNCTION("""COMPUTED_VALUE"""),183.0)</f>
        <v>183</v>
      </c>
      <c r="Y2210" s="2"/>
      <c r="Z2210" s="2"/>
    </row>
    <row r="2211">
      <c r="A2211" s="1">
        <f>IFERROR(__xludf.DUMMYFUNCTION("""COMPUTED_VALUE"""),2210.0)</f>
        <v>2210</v>
      </c>
      <c r="B2211" s="1">
        <f>IFERROR(__xludf.DUMMYFUNCTION("""COMPUTED_VALUE"""),5896.0)</f>
        <v>5896</v>
      </c>
      <c r="C2211" s="2" t="str">
        <f>IFERROR(__xludf.DUMMYFUNCTION("""COMPUTED_VALUE"""),"Imelda")</f>
        <v>Imelda</v>
      </c>
      <c r="D2211" s="2" t="str">
        <f>IFERROR(__xludf.DUMMYFUNCTION("""COMPUTED_VALUE"""),"5KM OVERALL M")</f>
        <v>5KM OVERALL M</v>
      </c>
      <c r="E2211" s="1">
        <f>IFERROR(__xludf.DUMMYFUNCTION("""COMPUTED_VALUE"""),2.0)</f>
        <v>2</v>
      </c>
      <c r="F2211" s="1" t="str">
        <f>IFERROR(__xludf.DUMMYFUNCTION("""COMPUTED_VALUE"""),"Male")</f>
        <v>Male</v>
      </c>
      <c r="G2211" s="4" t="b">
        <f>IFERROR(__xludf.DUMMYFUNCTION("""COMPUTED_VALUE"""),TRUE)</f>
        <v>1</v>
      </c>
      <c r="H2211" s="4" t="b">
        <f>IFERROR(__xludf.DUMMYFUNCTION("""COMPUTED_VALUE"""),FALSE)</f>
        <v>0</v>
      </c>
      <c r="I2211" s="4">
        <f>IFERROR(__xludf.DUMMYFUNCTION("""COMPUTED_VALUE"""),0.2549440625)</f>
        <v>0.2549440625</v>
      </c>
      <c r="J2211" s="4">
        <f>IFERROR(__xludf.DUMMYFUNCTION("""COMPUTED_VALUE"""),45949.28050938814)</f>
        <v>45949.28051</v>
      </c>
      <c r="K2211" s="4" t="str">
        <f>IFERROR(__xludf.DUMMYFUNCTION("""COMPUTED_VALUE"""),"")</f>
        <v/>
      </c>
      <c r="L2211" s="4">
        <f>IFERROR(__xludf.DUMMYFUNCTION("""COMPUTED_VALUE"""),45949.29949809427)</f>
        <v>45949.2995</v>
      </c>
      <c r="M2211" s="1" t="str">
        <f>IFERROR(__xludf.DUMMYFUNCTION("""COMPUTED_VALUE"""),"RFID")</f>
        <v>RFID</v>
      </c>
      <c r="N2211" s="5">
        <f>IFERROR(__xludf.DUMMYFUNCTION("""COMPUTED_VALUE"""),0.01022612962962963)</f>
        <v>0.01022612963</v>
      </c>
      <c r="O2211" s="5" t="str">
        <f>IFERROR(__xludf.DUMMYFUNCTION("""COMPUTED_VALUE"""),"")</f>
        <v/>
      </c>
      <c r="P2211" s="5" t="str">
        <f>IFERROR(__xludf.DUMMYFUNCTION("""COMPUTED_VALUE"""),"")</f>
        <v/>
      </c>
      <c r="Q2211" s="5">
        <f>IFERROR(__xludf.DUMMYFUNCTION("""COMPUTED_VALUE"""),0.008910805555555555)</f>
        <v>0.008910805556</v>
      </c>
      <c r="R2211" s="4">
        <f>IFERROR(__xludf.DUMMYFUNCTION("""COMPUTED_VALUE"""),45949.04455403177)</f>
        <v>45949.04455</v>
      </c>
      <c r="S2211" s="1" t="b">
        <f>IFERROR(__xludf.DUMMYFUNCTION("""COMPUTED_VALUE"""),TRUE)</f>
        <v>1</v>
      </c>
      <c r="T2211" s="1" t="b">
        <f>IFERROR(__xludf.DUMMYFUNCTION("""COMPUTED_VALUE"""),FALSE)</f>
        <v>0</v>
      </c>
      <c r="U2211" s="1" t="str">
        <f>IFERROR(__xludf.DUMMYFUNCTION("""COMPUTED_VALUE"""),"VALID")</f>
        <v>VALID</v>
      </c>
      <c r="V2211" s="1">
        <f>IFERROR(__xludf.DUMMYFUNCTION("""COMPUTED_VALUE"""),789.0)</f>
        <v>789</v>
      </c>
      <c r="W2211" s="1">
        <f>IFERROR(__xludf.DUMMYFUNCTION("""COMPUTED_VALUE"""),1431.0)</f>
        <v>1431</v>
      </c>
      <c r="X2211" s="1">
        <f>IFERROR(__xludf.DUMMYFUNCTION("""COMPUTED_VALUE"""),1178.0)</f>
        <v>1178</v>
      </c>
      <c r="Y2211" s="2"/>
      <c r="Z2211" s="2"/>
    </row>
    <row r="2212">
      <c r="A2212" s="1">
        <f>IFERROR(__xludf.DUMMYFUNCTION("""COMPUTED_VALUE"""),2211.0)</f>
        <v>2211</v>
      </c>
      <c r="B2212" s="1">
        <f>IFERROR(__xludf.DUMMYFUNCTION("""COMPUTED_VALUE"""),5897.0)</f>
        <v>5897</v>
      </c>
      <c r="C2212" s="2" t="str">
        <f>IFERROR(__xludf.DUMMYFUNCTION("""COMPUTED_VALUE"""),"Stefanny")</f>
        <v>Stefanny</v>
      </c>
      <c r="D2212" s="2" t="str">
        <f>IFERROR(__xludf.DUMMYFUNCTION("""COMPUTED_VALUE"""),"5KM OVERALL M")</f>
        <v>5KM OVERALL M</v>
      </c>
      <c r="E2212" s="1">
        <f>IFERROR(__xludf.DUMMYFUNCTION("""COMPUTED_VALUE"""),2.0)</f>
        <v>2</v>
      </c>
      <c r="F2212" s="1" t="str">
        <f>IFERROR(__xludf.DUMMYFUNCTION("""COMPUTED_VALUE"""),"Male")</f>
        <v>Male</v>
      </c>
      <c r="G2212" s="4" t="b">
        <f>IFERROR(__xludf.DUMMYFUNCTION("""COMPUTED_VALUE"""),TRUE)</f>
        <v>1</v>
      </c>
      <c r="H2212" s="4" t="b">
        <f>IFERROR(__xludf.DUMMYFUNCTION("""COMPUTED_VALUE"""),TRUE)</f>
        <v>1</v>
      </c>
      <c r="I2212" s="4">
        <f>IFERROR(__xludf.DUMMYFUNCTION("""COMPUTED_VALUE"""),0.2549440625)</f>
        <v>0.2549440625</v>
      </c>
      <c r="J2212" s="4">
        <f>IFERROR(__xludf.DUMMYFUNCTION("""COMPUTED_VALUE"""),45949.27847460846)</f>
        <v>45949.27847</v>
      </c>
      <c r="K2212" s="4" t="str">
        <f>IFERROR(__xludf.DUMMYFUNCTION("""COMPUTED_VALUE"""),"")</f>
        <v/>
      </c>
      <c r="L2212" s="4">
        <f>IFERROR(__xludf.DUMMYFUNCTION("""COMPUTED_VALUE"""),45949.294425208456)</f>
        <v>45949.29443</v>
      </c>
      <c r="M2212" s="1" t="str">
        <f>IFERROR(__xludf.DUMMYFUNCTION("""COMPUTED_VALUE"""),"RFID")</f>
        <v>RFID</v>
      </c>
      <c r="N2212" s="5">
        <f>IFERROR(__xludf.DUMMYFUNCTION("""COMPUTED_VALUE"""),0.009412217592592592)</f>
        <v>0.009412217593</v>
      </c>
      <c r="O2212" s="5" t="str">
        <f>IFERROR(__xludf.DUMMYFUNCTION("""COMPUTED_VALUE"""),"")</f>
        <v/>
      </c>
      <c r="P2212" s="5" t="str">
        <f>IFERROR(__xludf.DUMMYFUNCTION("""COMPUTED_VALUE"""),"")</f>
        <v/>
      </c>
      <c r="Q2212" s="5">
        <f>IFERROR(__xludf.DUMMYFUNCTION("""COMPUTED_VALUE"""),0.007896229166666666)</f>
        <v>0.007896229167</v>
      </c>
      <c r="R2212" s="4">
        <f>IFERROR(__xludf.DUMMYFUNCTION("""COMPUTED_VALUE"""),45949.039481145956)</f>
        <v>45949.03948</v>
      </c>
      <c r="S2212" s="1" t="b">
        <f>IFERROR(__xludf.DUMMYFUNCTION("""COMPUTED_VALUE"""),TRUE)</f>
        <v>1</v>
      </c>
      <c r="T2212" s="1" t="b">
        <f>IFERROR(__xludf.DUMMYFUNCTION("""COMPUTED_VALUE"""),FALSE)</f>
        <v>0</v>
      </c>
      <c r="U2212" s="1" t="str">
        <f>IFERROR(__xludf.DUMMYFUNCTION("""COMPUTED_VALUE"""),"VALID")</f>
        <v>VALID</v>
      </c>
      <c r="V2212" s="1">
        <f>IFERROR(__xludf.DUMMYFUNCTION("""COMPUTED_VALUE"""),701.0)</f>
        <v>701</v>
      </c>
      <c r="W2212" s="1">
        <f>IFERROR(__xludf.DUMMYFUNCTION("""COMPUTED_VALUE"""),1212.0)</f>
        <v>1212</v>
      </c>
      <c r="X2212" s="1">
        <f>IFERROR(__xludf.DUMMYFUNCTION("""COMPUTED_VALUE"""),948.0)</f>
        <v>948</v>
      </c>
      <c r="Y2212" s="2"/>
      <c r="Z2212" s="2"/>
    </row>
    <row r="2213">
      <c r="A2213" s="1">
        <f>IFERROR(__xludf.DUMMYFUNCTION("""COMPUTED_VALUE"""),2212.0)</f>
        <v>2212</v>
      </c>
      <c r="B2213" s="1">
        <f>IFERROR(__xludf.DUMMYFUNCTION("""COMPUTED_VALUE"""),5898.0)</f>
        <v>5898</v>
      </c>
      <c r="C2213" s="2" t="str">
        <f>IFERROR(__xludf.DUMMYFUNCTION("""COMPUTED_VALUE"""),"ILMY")</f>
        <v>ILMY</v>
      </c>
      <c r="D2213" s="2" t="str">
        <f>IFERROR(__xludf.DUMMYFUNCTION("""COMPUTED_VALUE"""),"5KM OVERALL M")</f>
        <v>5KM OVERALL M</v>
      </c>
      <c r="E2213" s="1">
        <f>IFERROR(__xludf.DUMMYFUNCTION("""COMPUTED_VALUE"""),2.0)</f>
        <v>2</v>
      </c>
      <c r="F2213" s="1" t="str">
        <f>IFERROR(__xludf.DUMMYFUNCTION("""COMPUTED_VALUE"""),"Male")</f>
        <v>Male</v>
      </c>
      <c r="G2213" s="4" t="b">
        <f>IFERROR(__xludf.DUMMYFUNCTION("""COMPUTED_VALUE"""),TRUE)</f>
        <v>1</v>
      </c>
      <c r="H2213" s="4" t="b">
        <f>IFERROR(__xludf.DUMMYFUNCTION("""COMPUTED_VALUE"""),FALSE)</f>
        <v>0</v>
      </c>
      <c r="I2213" s="4">
        <f>IFERROR(__xludf.DUMMYFUNCTION("""COMPUTED_VALUE"""),0.2549440625)</f>
        <v>0.2549440625</v>
      </c>
      <c r="J2213" s="4">
        <f>IFERROR(__xludf.DUMMYFUNCTION("""COMPUTED_VALUE"""),45949.26796452871)</f>
        <v>45949.26796</v>
      </c>
      <c r="K2213" s="4" t="str">
        <f>IFERROR(__xludf.DUMMYFUNCTION("""COMPUTED_VALUE"""),"")</f>
        <v/>
      </c>
      <c r="L2213" s="4">
        <f>IFERROR(__xludf.DUMMYFUNCTION("""COMPUTED_VALUE"""),45949.2801751935)</f>
        <v>45949.28018</v>
      </c>
      <c r="M2213" s="1" t="str">
        <f>IFERROR(__xludf.DUMMYFUNCTION("""COMPUTED_VALUE"""),"RFID")</f>
        <v>RFID</v>
      </c>
      <c r="N2213" s="5">
        <f>IFERROR(__xludf.DUMMYFUNCTION("""COMPUTED_VALUE"""),0.0052081851851851855)</f>
        <v>0.005208185185</v>
      </c>
      <c r="O2213" s="5" t="str">
        <f>IFERROR(__xludf.DUMMYFUNCTION("""COMPUTED_VALUE"""),"")</f>
        <v/>
      </c>
      <c r="P2213" s="5" t="str">
        <f>IFERROR(__xludf.DUMMYFUNCTION("""COMPUTED_VALUE"""),"")</f>
        <v/>
      </c>
      <c r="Q2213" s="5">
        <f>IFERROR(__xludf.DUMMYFUNCTION("""COMPUTED_VALUE"""),0.005046226851851851)</f>
        <v>0.005046226852</v>
      </c>
      <c r="R2213" s="4">
        <f>IFERROR(__xludf.DUMMYFUNCTION("""COMPUTED_VALUE"""),45949.025231130996)</f>
        <v>45949.02523</v>
      </c>
      <c r="S2213" s="1" t="b">
        <f>IFERROR(__xludf.DUMMYFUNCTION("""COMPUTED_VALUE"""),TRUE)</f>
        <v>1</v>
      </c>
      <c r="T2213" s="1" t="b">
        <f>IFERROR(__xludf.DUMMYFUNCTION("""COMPUTED_VALUE"""),FALSE)</f>
        <v>0</v>
      </c>
      <c r="U2213" s="1" t="str">
        <f>IFERROR(__xludf.DUMMYFUNCTION("""COMPUTED_VALUE"""),"VALID")</f>
        <v>VALID</v>
      </c>
      <c r="V2213" s="1">
        <f>IFERROR(__xludf.DUMMYFUNCTION("""COMPUTED_VALUE"""),194.0)</f>
        <v>194</v>
      </c>
      <c r="W2213" s="1">
        <f>IFERROR(__xludf.DUMMYFUNCTION("""COMPUTED_VALUE"""),302.0)</f>
        <v>302</v>
      </c>
      <c r="X2213" s="1">
        <f>IFERROR(__xludf.DUMMYFUNCTION("""COMPUTED_VALUE"""),265.0)</f>
        <v>265</v>
      </c>
      <c r="Y2213" s="2"/>
      <c r="Z2213" s="2"/>
    </row>
    <row r="2214">
      <c r="A2214" s="1">
        <f>IFERROR(__xludf.DUMMYFUNCTION("""COMPUTED_VALUE"""),2213.0)</f>
        <v>2213</v>
      </c>
      <c r="B2214" s="1">
        <f>IFERROR(__xludf.DUMMYFUNCTION("""COMPUTED_VALUE"""),5899.0)</f>
        <v>5899</v>
      </c>
      <c r="C2214" s="2" t="str">
        <f>IFERROR(__xludf.DUMMYFUNCTION("""COMPUTED_VALUE"""),"Duan")</f>
        <v>Duan</v>
      </c>
      <c r="D2214" s="2" t="str">
        <f>IFERROR(__xludf.DUMMYFUNCTION("""COMPUTED_VALUE"""),"5KM OVERALL M")</f>
        <v>5KM OVERALL M</v>
      </c>
      <c r="E2214" s="1">
        <f>IFERROR(__xludf.DUMMYFUNCTION("""COMPUTED_VALUE"""),2.0)</f>
        <v>2</v>
      </c>
      <c r="F2214" s="1" t="str">
        <f>IFERROR(__xludf.DUMMYFUNCTION("""COMPUTED_VALUE"""),"Male")</f>
        <v>Male</v>
      </c>
      <c r="G2214" s="4" t="b">
        <f>IFERROR(__xludf.DUMMYFUNCTION("""COMPUTED_VALUE"""),TRUE)</f>
        <v>1</v>
      </c>
      <c r="H2214" s="4" t="b">
        <f>IFERROR(__xludf.DUMMYFUNCTION("""COMPUTED_VALUE"""),TRUE)</f>
        <v>1</v>
      </c>
      <c r="I2214" s="4">
        <f>IFERROR(__xludf.DUMMYFUNCTION("""COMPUTED_VALUE"""),0.2549440625)</f>
        <v>0.2549440625</v>
      </c>
      <c r="J2214" s="4">
        <f>IFERROR(__xludf.DUMMYFUNCTION("""COMPUTED_VALUE"""),45949.26944684116)</f>
        <v>45949.26945</v>
      </c>
      <c r="K2214" s="4" t="str">
        <f>IFERROR(__xludf.DUMMYFUNCTION("""COMPUTED_VALUE"""),"")</f>
        <v/>
      </c>
      <c r="L2214" s="4">
        <f>IFERROR(__xludf.DUMMYFUNCTION("""COMPUTED_VALUE"""),45949.2791508768)</f>
        <v>45949.27915</v>
      </c>
      <c r="M2214" s="1" t="str">
        <f>IFERROR(__xludf.DUMMYFUNCTION("""COMPUTED_VALUE"""),"RFID")</f>
        <v>RFID</v>
      </c>
      <c r="N2214" s="5">
        <f>IFERROR(__xludf.DUMMYFUNCTION("""COMPUTED_VALUE"""),0.005801111111111111)</f>
        <v>0.005801111111</v>
      </c>
      <c r="O2214" s="5" t="str">
        <f>IFERROR(__xludf.DUMMYFUNCTION("""COMPUTED_VALUE"""),"")</f>
        <v/>
      </c>
      <c r="P2214" s="5" t="str">
        <f>IFERROR(__xludf.DUMMYFUNCTION("""COMPUTED_VALUE"""),"")</f>
        <v/>
      </c>
      <c r="Q2214" s="5">
        <f>IFERROR(__xludf.DUMMYFUNCTION("""COMPUTED_VALUE"""),0.004841363425925926)</f>
        <v>0.004841363426</v>
      </c>
      <c r="R2214" s="4">
        <f>IFERROR(__xludf.DUMMYFUNCTION("""COMPUTED_VALUE"""),45949.0242068143)</f>
        <v>45949.02421</v>
      </c>
      <c r="S2214" s="1" t="b">
        <f>IFERROR(__xludf.DUMMYFUNCTION("""COMPUTED_VALUE"""),TRUE)</f>
        <v>1</v>
      </c>
      <c r="T2214" s="1" t="b">
        <f>IFERROR(__xludf.DUMMYFUNCTION("""COMPUTED_VALUE"""),FALSE)</f>
        <v>0</v>
      </c>
      <c r="U2214" s="1" t="str">
        <f>IFERROR(__xludf.DUMMYFUNCTION("""COMPUTED_VALUE"""),"VALID")</f>
        <v>VALID</v>
      </c>
      <c r="V2214" s="1">
        <f>IFERROR(__xludf.DUMMYFUNCTION("""COMPUTED_VALUE"""),165.0)</f>
        <v>165</v>
      </c>
      <c r="W2214" s="1">
        <f>IFERROR(__xludf.DUMMYFUNCTION("""COMPUTED_VALUE"""),254.0)</f>
        <v>254</v>
      </c>
      <c r="X2214" s="1">
        <f>IFERROR(__xludf.DUMMYFUNCTION("""COMPUTED_VALUE"""),223.0)</f>
        <v>223</v>
      </c>
      <c r="Y2214" s="2"/>
      <c r="Z2214" s="2"/>
    </row>
    <row r="2215">
      <c r="A2215" s="1">
        <f>IFERROR(__xludf.DUMMYFUNCTION("""COMPUTED_VALUE"""),2214.0)</f>
        <v>2214</v>
      </c>
      <c r="B2215" s="1">
        <f>IFERROR(__xludf.DUMMYFUNCTION("""COMPUTED_VALUE"""),5901.0)</f>
        <v>5901</v>
      </c>
      <c r="C2215" s="2" t="str">
        <f>IFERROR(__xludf.DUMMYFUNCTION("""COMPUTED_VALUE"""),"RIFQI")</f>
        <v>RIFQI</v>
      </c>
      <c r="D2215" s="2" t="str">
        <f>IFERROR(__xludf.DUMMYFUNCTION("""COMPUTED_VALUE"""),"5KM OVERALL M")</f>
        <v>5KM OVERALL M</v>
      </c>
      <c r="E2215" s="1">
        <f>IFERROR(__xludf.DUMMYFUNCTION("""COMPUTED_VALUE"""),2.0)</f>
        <v>2</v>
      </c>
      <c r="F2215" s="1" t="str">
        <f>IFERROR(__xludf.DUMMYFUNCTION("""COMPUTED_VALUE"""),"Male")</f>
        <v>Male</v>
      </c>
      <c r="G2215" s="4" t="b">
        <f>IFERROR(__xludf.DUMMYFUNCTION("""COMPUTED_VALUE"""),TRUE)</f>
        <v>1</v>
      </c>
      <c r="H2215" s="4" t="b">
        <f>IFERROR(__xludf.DUMMYFUNCTION("""COMPUTED_VALUE"""),TRUE)</f>
        <v>1</v>
      </c>
      <c r="I2215" s="4">
        <f>IFERROR(__xludf.DUMMYFUNCTION("""COMPUTED_VALUE"""),0.2549440625)</f>
        <v>0.2549440625</v>
      </c>
      <c r="J2215" s="4">
        <f>IFERROR(__xludf.DUMMYFUNCTION("""COMPUTED_VALUE"""),45949.26787048494)</f>
        <v>45949.26787</v>
      </c>
      <c r="K2215" s="4" t="str">
        <f>IFERROR(__xludf.DUMMYFUNCTION("""COMPUTED_VALUE"""),"")</f>
        <v/>
      </c>
      <c r="L2215" s="4">
        <f>IFERROR(__xludf.DUMMYFUNCTION("""COMPUTED_VALUE"""),45949.278046764965)</f>
        <v>45949.27805</v>
      </c>
      <c r="M2215" s="1" t="str">
        <f>IFERROR(__xludf.DUMMYFUNCTION("""COMPUTED_VALUE"""),"RFID")</f>
        <v>RFID</v>
      </c>
      <c r="N2215" s="5">
        <f>IFERROR(__xludf.DUMMYFUNCTION("""COMPUTED_VALUE"""),0.005170569444444445)</f>
        <v>0.005170569444</v>
      </c>
      <c r="O2215" s="5" t="str">
        <f>IFERROR(__xludf.DUMMYFUNCTION("""COMPUTED_VALUE"""),"")</f>
        <v/>
      </c>
      <c r="P2215" s="5" t="str">
        <f>IFERROR(__xludf.DUMMYFUNCTION("""COMPUTED_VALUE"""),"")</f>
        <v/>
      </c>
      <c r="Q2215" s="5">
        <f>IFERROR(__xludf.DUMMYFUNCTION("""COMPUTED_VALUE"""),0.004620539351851852)</f>
        <v>0.004620539352</v>
      </c>
      <c r="R2215" s="4">
        <f>IFERROR(__xludf.DUMMYFUNCTION("""COMPUTED_VALUE"""),45949.023102702464)</f>
        <v>45949.0231</v>
      </c>
      <c r="S2215" s="1" t="b">
        <f>IFERROR(__xludf.DUMMYFUNCTION("""COMPUTED_VALUE"""),TRUE)</f>
        <v>1</v>
      </c>
      <c r="T2215" s="1" t="b">
        <f>IFERROR(__xludf.DUMMYFUNCTION("""COMPUTED_VALUE"""),FALSE)</f>
        <v>0</v>
      </c>
      <c r="U2215" s="1" t="str">
        <f>IFERROR(__xludf.DUMMYFUNCTION("""COMPUTED_VALUE"""),"VALID")</f>
        <v>VALID</v>
      </c>
      <c r="V2215" s="1">
        <f>IFERROR(__xludf.DUMMYFUNCTION("""COMPUTED_VALUE"""),143.0)</f>
        <v>143</v>
      </c>
      <c r="W2215" s="1">
        <f>IFERROR(__xludf.DUMMYFUNCTION("""COMPUTED_VALUE"""),218.0)</f>
        <v>218</v>
      </c>
      <c r="X2215" s="1">
        <f>IFERROR(__xludf.DUMMYFUNCTION("""COMPUTED_VALUE"""),190.0)</f>
        <v>190</v>
      </c>
      <c r="Y2215" s="2"/>
      <c r="Z2215" s="2"/>
    </row>
    <row r="2216">
      <c r="A2216" s="1">
        <f>IFERROR(__xludf.DUMMYFUNCTION("""COMPUTED_VALUE"""),2215.0)</f>
        <v>2215</v>
      </c>
      <c r="B2216" s="1">
        <f>IFERROR(__xludf.DUMMYFUNCTION("""COMPUTED_VALUE"""),5902.0)</f>
        <v>5902</v>
      </c>
      <c r="C2216" s="2" t="str">
        <f>IFERROR(__xludf.DUMMYFUNCTION("""COMPUTED_VALUE"""),"Edo Chandra")</f>
        <v>Edo Chandra</v>
      </c>
      <c r="D2216" s="2" t="str">
        <f>IFERROR(__xludf.DUMMYFUNCTION("""COMPUTED_VALUE"""),"5KM OVERALL M")</f>
        <v>5KM OVERALL M</v>
      </c>
      <c r="E2216" s="1">
        <f>IFERROR(__xludf.DUMMYFUNCTION("""COMPUTED_VALUE"""),2.0)</f>
        <v>2</v>
      </c>
      <c r="F2216" s="1" t="str">
        <f>IFERROR(__xludf.DUMMYFUNCTION("""COMPUTED_VALUE"""),"Male")</f>
        <v>Male</v>
      </c>
      <c r="G2216" s="4" t="b">
        <f>IFERROR(__xludf.DUMMYFUNCTION("""COMPUTED_VALUE"""),TRUE)</f>
        <v>1</v>
      </c>
      <c r="H2216" s="4" t="b">
        <f>IFERROR(__xludf.DUMMYFUNCTION("""COMPUTED_VALUE"""),TRUE)</f>
        <v>1</v>
      </c>
      <c r="I2216" s="4">
        <f>IFERROR(__xludf.DUMMYFUNCTION("""COMPUTED_VALUE"""),0.2549440625)</f>
        <v>0.2549440625</v>
      </c>
      <c r="J2216" s="4">
        <f>IFERROR(__xludf.DUMMYFUNCTION("""COMPUTED_VALUE"""),45949.276516362734)</f>
        <v>45949.27652</v>
      </c>
      <c r="K2216" s="4" t="str">
        <f>IFERROR(__xludf.DUMMYFUNCTION("""COMPUTED_VALUE"""),"")</f>
        <v/>
      </c>
      <c r="L2216" s="4">
        <f>IFERROR(__xludf.DUMMYFUNCTION("""COMPUTED_VALUE"""),45949.28905446777)</f>
        <v>45949.28905</v>
      </c>
      <c r="M2216" s="1" t="str">
        <f>IFERROR(__xludf.DUMMYFUNCTION("""COMPUTED_VALUE"""),"RFID")</f>
        <v>RFID</v>
      </c>
      <c r="N2216" s="5">
        <f>IFERROR(__xludf.DUMMYFUNCTION("""COMPUTED_VALUE"""),0.008628921296296296)</f>
        <v>0.008628921296</v>
      </c>
      <c r="O2216" s="5" t="str">
        <f>IFERROR(__xludf.DUMMYFUNCTION("""COMPUTED_VALUE"""),"")</f>
        <v/>
      </c>
      <c r="P2216" s="5" t="str">
        <f>IFERROR(__xludf.DUMMYFUNCTION("""COMPUTED_VALUE"""),"")</f>
        <v/>
      </c>
      <c r="Q2216" s="5">
        <f>IFERROR(__xludf.DUMMYFUNCTION("""COMPUTED_VALUE"""),0.006822081018518519)</f>
        <v>0.006822081019</v>
      </c>
      <c r="R2216" s="4">
        <f>IFERROR(__xludf.DUMMYFUNCTION("""COMPUTED_VALUE"""),45949.03411040527)</f>
        <v>45949.03411</v>
      </c>
      <c r="S2216" s="1" t="b">
        <f>IFERROR(__xludf.DUMMYFUNCTION("""COMPUTED_VALUE"""),TRUE)</f>
        <v>1</v>
      </c>
      <c r="T2216" s="1" t="b">
        <f>IFERROR(__xludf.DUMMYFUNCTION("""COMPUTED_VALUE"""),FALSE)</f>
        <v>0</v>
      </c>
      <c r="U2216" s="1" t="str">
        <f>IFERROR(__xludf.DUMMYFUNCTION("""COMPUTED_VALUE"""),"VALID")</f>
        <v>VALID</v>
      </c>
      <c r="V2216" s="1">
        <f>IFERROR(__xludf.DUMMYFUNCTION("""COMPUTED_VALUE"""),539.0)</f>
        <v>539</v>
      </c>
      <c r="W2216" s="1">
        <f>IFERROR(__xludf.DUMMYFUNCTION("""COMPUTED_VALUE"""),848.0)</f>
        <v>848</v>
      </c>
      <c r="X2216" s="1">
        <f>IFERROR(__xludf.DUMMYFUNCTION("""COMPUTED_VALUE"""),694.0)</f>
        <v>694</v>
      </c>
      <c r="Y2216" s="2"/>
      <c r="Z2216" s="2"/>
    </row>
    <row r="2217">
      <c r="A2217" s="1">
        <f>IFERROR(__xludf.DUMMYFUNCTION("""COMPUTED_VALUE"""),2216.0)</f>
        <v>2216</v>
      </c>
      <c r="B2217" s="1">
        <f>IFERROR(__xludf.DUMMYFUNCTION("""COMPUTED_VALUE"""),5904.0)</f>
        <v>5904</v>
      </c>
      <c r="C2217" s="2" t="str">
        <f>IFERROR(__xludf.DUMMYFUNCTION("""COMPUTED_VALUE"""),"WAHH")</f>
        <v>WAHH</v>
      </c>
      <c r="D2217" s="2" t="str">
        <f>IFERROR(__xludf.DUMMYFUNCTION("""COMPUTED_VALUE"""),"5KM OVERALL M")</f>
        <v>5KM OVERALL M</v>
      </c>
      <c r="E2217" s="1">
        <f>IFERROR(__xludf.DUMMYFUNCTION("""COMPUTED_VALUE"""),2.0)</f>
        <v>2</v>
      </c>
      <c r="F2217" s="1" t="str">
        <f>IFERROR(__xludf.DUMMYFUNCTION("""COMPUTED_VALUE"""),"Male")</f>
        <v>Male</v>
      </c>
      <c r="G2217" s="4" t="b">
        <f>IFERROR(__xludf.DUMMYFUNCTION("""COMPUTED_VALUE"""),TRUE)</f>
        <v>1</v>
      </c>
      <c r="H2217" s="4" t="b">
        <f>IFERROR(__xludf.DUMMYFUNCTION("""COMPUTED_VALUE"""),FALSE)</f>
        <v>0</v>
      </c>
      <c r="I2217" s="4">
        <f>IFERROR(__xludf.DUMMYFUNCTION("""COMPUTED_VALUE"""),0.2549440625)</f>
        <v>0.2549440625</v>
      </c>
      <c r="J2217" s="4">
        <f>IFERROR(__xludf.DUMMYFUNCTION("""COMPUTED_VALUE"""),45949.27483225088)</f>
        <v>45949.27483</v>
      </c>
      <c r="K2217" s="4" t="str">
        <f>IFERROR(__xludf.DUMMYFUNCTION("""COMPUTED_VALUE"""),"")</f>
        <v/>
      </c>
      <c r="L2217" s="4">
        <f>IFERROR(__xludf.DUMMYFUNCTION("""COMPUTED_VALUE"""),45949.28872031828)</f>
        <v>45949.28872</v>
      </c>
      <c r="M2217" s="1" t="str">
        <f>IFERROR(__xludf.DUMMYFUNCTION("""COMPUTED_VALUE"""),"RFID")</f>
        <v>RFID</v>
      </c>
      <c r="N2217" s="5">
        <f>IFERROR(__xludf.DUMMYFUNCTION("""COMPUTED_VALUE"""),0.007955273148148149)</f>
        <v>0.007955273148</v>
      </c>
      <c r="O2217" s="5" t="str">
        <f>IFERROR(__xludf.DUMMYFUNCTION("""COMPUTED_VALUE"""),"")</f>
        <v/>
      </c>
      <c r="P2217" s="5" t="str">
        <f>IFERROR(__xludf.DUMMYFUNCTION("""COMPUTED_VALUE"""),"")</f>
        <v/>
      </c>
      <c r="Q2217" s="5">
        <f>IFERROR(__xludf.DUMMYFUNCTION("""COMPUTED_VALUE"""),0.00675525)</f>
        <v>0.00675525</v>
      </c>
      <c r="R2217" s="4">
        <f>IFERROR(__xludf.DUMMYFUNCTION("""COMPUTED_VALUE"""),45949.03377625578)</f>
        <v>45949.03378</v>
      </c>
      <c r="S2217" s="1" t="b">
        <f>IFERROR(__xludf.DUMMYFUNCTION("""COMPUTED_VALUE"""),TRUE)</f>
        <v>1</v>
      </c>
      <c r="T2217" s="1" t="b">
        <f>IFERROR(__xludf.DUMMYFUNCTION("""COMPUTED_VALUE"""),FALSE)</f>
        <v>0</v>
      </c>
      <c r="U2217" s="1" t="str">
        <f>IFERROR(__xludf.DUMMYFUNCTION("""COMPUTED_VALUE"""),"VALID")</f>
        <v>VALID</v>
      </c>
      <c r="V2217" s="1">
        <f>IFERROR(__xludf.DUMMYFUNCTION("""COMPUTED_VALUE"""),525.0)</f>
        <v>525</v>
      </c>
      <c r="W2217" s="1">
        <f>IFERROR(__xludf.DUMMYFUNCTION("""COMPUTED_VALUE"""),827.0)</f>
        <v>827</v>
      </c>
      <c r="X2217" s="1">
        <f>IFERROR(__xludf.DUMMYFUNCTION("""COMPUTED_VALUE"""),678.0)</f>
        <v>678</v>
      </c>
      <c r="Y2217" s="2"/>
      <c r="Z2217" s="2"/>
    </row>
    <row r="2218">
      <c r="A2218" s="1">
        <f>IFERROR(__xludf.DUMMYFUNCTION("""COMPUTED_VALUE"""),2217.0)</f>
        <v>2217</v>
      </c>
      <c r="B2218" s="1">
        <f>IFERROR(__xludf.DUMMYFUNCTION("""COMPUTED_VALUE"""),5905.0)</f>
        <v>5905</v>
      </c>
      <c r="C2218" s="2" t="str">
        <f>IFERROR(__xludf.DUMMYFUNCTION("""COMPUTED_VALUE"""),"Sa'duddin")</f>
        <v>Sa'duddin</v>
      </c>
      <c r="D2218" s="2" t="str">
        <f>IFERROR(__xludf.DUMMYFUNCTION("""COMPUTED_VALUE"""),"5KM OVERALL M")</f>
        <v>5KM OVERALL M</v>
      </c>
      <c r="E2218" s="1">
        <f>IFERROR(__xludf.DUMMYFUNCTION("""COMPUTED_VALUE"""),2.0)</f>
        <v>2</v>
      </c>
      <c r="F2218" s="1" t="str">
        <f>IFERROR(__xludf.DUMMYFUNCTION("""COMPUTED_VALUE"""),"Male")</f>
        <v>Male</v>
      </c>
      <c r="G2218" s="4" t="b">
        <f>IFERROR(__xludf.DUMMYFUNCTION("""COMPUTED_VALUE"""),TRUE)</f>
        <v>1</v>
      </c>
      <c r="H2218" s="4" t="b">
        <f>IFERROR(__xludf.DUMMYFUNCTION("""COMPUTED_VALUE"""),TRUE)</f>
        <v>1</v>
      </c>
      <c r="I2218" s="4">
        <f>IFERROR(__xludf.DUMMYFUNCTION("""COMPUTED_VALUE"""),0.2549440625)</f>
        <v>0.2549440625</v>
      </c>
      <c r="J2218" s="4">
        <f>IFERROR(__xludf.DUMMYFUNCTION("""COMPUTED_VALUE"""),45950.28109953704)</f>
        <v>45950.2811</v>
      </c>
      <c r="K2218" s="4" t="str">
        <f>IFERROR(__xludf.DUMMYFUNCTION("""COMPUTED_VALUE"""),"")</f>
        <v/>
      </c>
      <c r="L2218" s="4">
        <f>IFERROR(__xludf.DUMMYFUNCTION("""COMPUTED_VALUE"""),45949.29853977001)</f>
        <v>45949.29854</v>
      </c>
      <c r="M2218" s="1" t="str">
        <f>IFERROR(__xludf.DUMMYFUNCTION("""COMPUTED_VALUE"""),"RFID")</f>
        <v>RFID</v>
      </c>
      <c r="N2218" s="5">
        <f>IFERROR(__xludf.DUMMYFUNCTION("""COMPUTED_VALUE"""),0.010462189814814815)</f>
        <v>0.01046218981</v>
      </c>
      <c r="O2218" s="5" t="str">
        <f>IFERROR(__xludf.DUMMYFUNCTION("""COMPUTED_VALUE"""),"")</f>
        <v/>
      </c>
      <c r="P2218" s="5" t="str">
        <f>IFERROR(__xludf.DUMMYFUNCTION("""COMPUTED_VALUE"""),"")</f>
        <v/>
      </c>
      <c r="Q2218" s="5">
        <f>IFERROR(__xludf.DUMMYFUNCTION("""COMPUTED_VALUE"""),0.008719141203703703)</f>
        <v>0.008719141204</v>
      </c>
      <c r="R2218" s="4">
        <f>IFERROR(__xludf.DUMMYFUNCTION("""COMPUTED_VALUE"""),45949.04359570751)</f>
        <v>45949.0436</v>
      </c>
      <c r="S2218" s="1" t="b">
        <f>IFERROR(__xludf.DUMMYFUNCTION("""COMPUTED_VALUE"""),TRUE)</f>
        <v>1</v>
      </c>
      <c r="T2218" s="1" t="b">
        <f>IFERROR(__xludf.DUMMYFUNCTION("""COMPUTED_VALUE"""),FALSE)</f>
        <v>0</v>
      </c>
      <c r="U2218" s="1" t="str">
        <f>IFERROR(__xludf.DUMMYFUNCTION("""COMPUTED_VALUE"""),"VALID")</f>
        <v>VALID</v>
      </c>
      <c r="V2218" s="1">
        <f>IFERROR(__xludf.DUMMYFUNCTION("""COMPUTED_VALUE"""),769.0)</f>
        <v>769</v>
      </c>
      <c r="W2218" s="1">
        <f>IFERROR(__xludf.DUMMYFUNCTION("""COMPUTED_VALUE"""),1380.0)</f>
        <v>1380</v>
      </c>
      <c r="X2218" s="1">
        <f>IFERROR(__xludf.DUMMYFUNCTION("""COMPUTED_VALUE"""),1120.0)</f>
        <v>1120</v>
      </c>
      <c r="Y2218" s="2"/>
      <c r="Z2218" s="2" t="str">
        <f>IFERROR(__xludf.DUMMYFUNCTION("""COMPUTED_VALUE"""),"C")</f>
        <v>C</v>
      </c>
    </row>
    <row r="2219">
      <c r="A2219" s="1">
        <f>IFERROR(__xludf.DUMMYFUNCTION("""COMPUTED_VALUE"""),2218.0)</f>
        <v>2218</v>
      </c>
      <c r="B2219" s="1">
        <f>IFERROR(__xludf.DUMMYFUNCTION("""COMPUTED_VALUE"""),5906.0)</f>
        <v>5906</v>
      </c>
      <c r="C2219" s="2" t="str">
        <f>IFERROR(__xludf.DUMMYFUNCTION("""COMPUTED_VALUE"""),"Kholidi")</f>
        <v>Kholidi</v>
      </c>
      <c r="D2219" s="2" t="str">
        <f>IFERROR(__xludf.DUMMYFUNCTION("""COMPUTED_VALUE"""),"5KM OVERALL M")</f>
        <v>5KM OVERALL M</v>
      </c>
      <c r="E2219" s="1">
        <f>IFERROR(__xludf.DUMMYFUNCTION("""COMPUTED_VALUE"""),2.0)</f>
        <v>2</v>
      </c>
      <c r="F2219" s="1" t="str">
        <f>IFERROR(__xludf.DUMMYFUNCTION("""COMPUTED_VALUE"""),"Male")</f>
        <v>Male</v>
      </c>
      <c r="G2219" s="4" t="b">
        <f>IFERROR(__xludf.DUMMYFUNCTION("""COMPUTED_VALUE"""),TRUE)</f>
        <v>1</v>
      </c>
      <c r="H2219" s="4" t="b">
        <f>IFERROR(__xludf.DUMMYFUNCTION("""COMPUTED_VALUE"""),TRUE)</f>
        <v>1</v>
      </c>
      <c r="I2219" s="4">
        <f>IFERROR(__xludf.DUMMYFUNCTION("""COMPUTED_VALUE"""),0.2549440625)</f>
        <v>0.2549440625</v>
      </c>
      <c r="J2219" s="4">
        <f>IFERROR(__xludf.DUMMYFUNCTION("""COMPUTED_VALUE"""),45949.266294086636)</f>
        <v>45949.26629</v>
      </c>
      <c r="K2219" s="4" t="str">
        <f>IFERROR(__xludf.DUMMYFUNCTION("""COMPUTED_VALUE"""),"")</f>
        <v/>
      </c>
      <c r="L2219" s="4">
        <f>IFERROR(__xludf.DUMMYFUNCTION("""COMPUTED_VALUE"""),45949.27453697391)</f>
        <v>45949.27454</v>
      </c>
      <c r="M2219" s="1" t="str">
        <f>IFERROR(__xludf.DUMMYFUNCTION("""COMPUTED_VALUE"""),"RFID")</f>
        <v>RFID</v>
      </c>
      <c r="N2219" s="5">
        <f>IFERROR(__xludf.DUMMYFUNCTION("""COMPUTED_VALUE"""),0.004540009259259259)</f>
        <v>0.004540009259</v>
      </c>
      <c r="O2219" s="5" t="str">
        <f>IFERROR(__xludf.DUMMYFUNCTION("""COMPUTED_VALUE"""),"")</f>
        <v/>
      </c>
      <c r="P2219" s="5" t="str">
        <f>IFERROR(__xludf.DUMMYFUNCTION("""COMPUTED_VALUE"""),"")</f>
        <v/>
      </c>
      <c r="Q2219" s="5">
        <f>IFERROR(__xludf.DUMMYFUNCTION("""COMPUTED_VALUE"""),0.003918583333333333)</f>
        <v>0.003918583333</v>
      </c>
      <c r="R2219" s="4">
        <f>IFERROR(__xludf.DUMMYFUNCTION("""COMPUTED_VALUE"""),45949.01959291141)</f>
        <v>45949.01959</v>
      </c>
      <c r="S2219" s="1" t="b">
        <f>IFERROR(__xludf.DUMMYFUNCTION("""COMPUTED_VALUE"""),TRUE)</f>
        <v>1</v>
      </c>
      <c r="T2219" s="1" t="b">
        <f>IFERROR(__xludf.DUMMYFUNCTION("""COMPUTED_VALUE"""),FALSE)</f>
        <v>0</v>
      </c>
      <c r="U2219" s="1" t="str">
        <f>IFERROR(__xludf.DUMMYFUNCTION("""COMPUTED_VALUE"""),"VALID")</f>
        <v>VALID</v>
      </c>
      <c r="V2219" s="1">
        <f>IFERROR(__xludf.DUMMYFUNCTION("""COMPUTED_VALUE"""),72.0)</f>
        <v>72</v>
      </c>
      <c r="W2219" s="1">
        <f>IFERROR(__xludf.DUMMYFUNCTION("""COMPUTED_VALUE"""),107.0)</f>
        <v>107</v>
      </c>
      <c r="X2219" s="1">
        <f>IFERROR(__xludf.DUMMYFUNCTION("""COMPUTED_VALUE"""),96.0)</f>
        <v>96</v>
      </c>
      <c r="Y2219" s="2"/>
      <c r="Z2219" s="2"/>
    </row>
    <row r="2220">
      <c r="A2220" s="1">
        <f>IFERROR(__xludf.DUMMYFUNCTION("""COMPUTED_VALUE"""),2219.0)</f>
        <v>2219</v>
      </c>
      <c r="B2220" s="1">
        <f>IFERROR(__xludf.DUMMYFUNCTION("""COMPUTED_VALUE"""),5907.0)</f>
        <v>5907</v>
      </c>
      <c r="C2220" s="2" t="str">
        <f>IFERROR(__xludf.DUMMYFUNCTION("""COMPUTED_VALUE"""),"Fauzi")</f>
        <v>Fauzi</v>
      </c>
      <c r="D2220" s="2" t="str">
        <f>IFERROR(__xludf.DUMMYFUNCTION("""COMPUTED_VALUE"""),"5KM OVERALL M")</f>
        <v>5KM OVERALL M</v>
      </c>
      <c r="E2220" s="1">
        <f>IFERROR(__xludf.DUMMYFUNCTION("""COMPUTED_VALUE"""),2.0)</f>
        <v>2</v>
      </c>
      <c r="F2220" s="1" t="str">
        <f>IFERROR(__xludf.DUMMYFUNCTION("""COMPUTED_VALUE"""),"Male")</f>
        <v>Male</v>
      </c>
      <c r="G2220" s="4" t="b">
        <f>IFERROR(__xludf.DUMMYFUNCTION("""COMPUTED_VALUE"""),TRUE)</f>
        <v>1</v>
      </c>
      <c r="H2220" s="4" t="b">
        <f>IFERROR(__xludf.DUMMYFUNCTION("""COMPUTED_VALUE"""),TRUE)</f>
        <v>1</v>
      </c>
      <c r="I2220" s="4">
        <f>IFERROR(__xludf.DUMMYFUNCTION("""COMPUTED_VALUE"""),0.2549440625)</f>
        <v>0.2549440625</v>
      </c>
      <c r="J2220" s="4">
        <f>IFERROR(__xludf.DUMMYFUNCTION("""COMPUTED_VALUE"""),45949.28055100565)</f>
        <v>45949.28055</v>
      </c>
      <c r="K2220" s="4" t="str">
        <f>IFERROR(__xludf.DUMMYFUNCTION("""COMPUTED_VALUE"""),"")</f>
        <v/>
      </c>
      <c r="L2220" s="4">
        <f>IFERROR(__xludf.DUMMYFUNCTION("""COMPUTED_VALUE"""),45949.298678641535)</f>
        <v>45949.29868</v>
      </c>
      <c r="M2220" s="1" t="str">
        <f>IFERROR(__xludf.DUMMYFUNCTION("""COMPUTED_VALUE"""),"RFID")</f>
        <v>RFID</v>
      </c>
      <c r="N2220" s="5">
        <f>IFERROR(__xludf.DUMMYFUNCTION("""COMPUTED_VALUE"""),0.010242777777777778)</f>
        <v>0.01024277778</v>
      </c>
      <c r="O2220" s="5" t="str">
        <f>IFERROR(__xludf.DUMMYFUNCTION("""COMPUTED_VALUE"""),"")</f>
        <v/>
      </c>
      <c r="P2220" s="5" t="str">
        <f>IFERROR(__xludf.DUMMYFUNCTION("""COMPUTED_VALUE"""),"")</f>
        <v/>
      </c>
      <c r="Q2220" s="5">
        <f>IFERROR(__xludf.DUMMYFUNCTION("""COMPUTED_VALUE"""),0.008746916666666667)</f>
        <v>0.008746916667</v>
      </c>
      <c r="R2220" s="4">
        <f>IFERROR(__xludf.DUMMYFUNCTION("""COMPUTED_VALUE"""),45949.043734579034)</f>
        <v>45949.04373</v>
      </c>
      <c r="S2220" s="1" t="b">
        <f>IFERROR(__xludf.DUMMYFUNCTION("""COMPUTED_VALUE"""),TRUE)</f>
        <v>1</v>
      </c>
      <c r="T2220" s="1" t="b">
        <f>IFERROR(__xludf.DUMMYFUNCTION("""COMPUTED_VALUE"""),FALSE)</f>
        <v>0</v>
      </c>
      <c r="U2220" s="1" t="str">
        <f>IFERROR(__xludf.DUMMYFUNCTION("""COMPUTED_VALUE"""),"VALID")</f>
        <v>VALID</v>
      </c>
      <c r="V2220" s="1">
        <f>IFERROR(__xludf.DUMMYFUNCTION("""COMPUTED_VALUE"""),775.0)</f>
        <v>775</v>
      </c>
      <c r="W2220" s="1">
        <f>IFERROR(__xludf.DUMMYFUNCTION("""COMPUTED_VALUE"""),1395.0)</f>
        <v>1395</v>
      </c>
      <c r="X2220" s="1">
        <f>IFERROR(__xludf.DUMMYFUNCTION("""COMPUTED_VALUE"""),1134.0)</f>
        <v>1134</v>
      </c>
      <c r="Y2220" s="2"/>
      <c r="Z2220" s="2"/>
    </row>
    <row r="2221">
      <c r="A2221" s="1">
        <f>IFERROR(__xludf.DUMMYFUNCTION("""COMPUTED_VALUE"""),2220.0)</f>
        <v>2220</v>
      </c>
      <c r="B2221" s="1">
        <f>IFERROR(__xludf.DUMMYFUNCTION("""COMPUTED_VALUE"""),5908.0)</f>
        <v>5908</v>
      </c>
      <c r="C2221" s="2" t="str">
        <f>IFERROR(__xludf.DUMMYFUNCTION("""COMPUTED_VALUE"""),"Ferry Agung Nugroho")</f>
        <v>Ferry Agung Nugroho</v>
      </c>
      <c r="D2221" s="2" t="str">
        <f>IFERROR(__xludf.DUMMYFUNCTION("""COMPUTED_VALUE"""),"5KM OVERALL M")</f>
        <v>5KM OVERALL M</v>
      </c>
      <c r="E2221" s="1">
        <f>IFERROR(__xludf.DUMMYFUNCTION("""COMPUTED_VALUE"""),2.0)</f>
        <v>2</v>
      </c>
      <c r="F2221" s="1" t="str">
        <f>IFERROR(__xludf.DUMMYFUNCTION("""COMPUTED_VALUE"""),"Male")</f>
        <v>Male</v>
      </c>
      <c r="G2221" s="4" t="b">
        <f>IFERROR(__xludf.DUMMYFUNCTION("""COMPUTED_VALUE"""),TRUE)</f>
        <v>1</v>
      </c>
      <c r="H2221" s="4" t="b">
        <f>IFERROR(__xludf.DUMMYFUNCTION("""COMPUTED_VALUE"""),TRUE)</f>
        <v>1</v>
      </c>
      <c r="I2221" s="4">
        <f>IFERROR(__xludf.DUMMYFUNCTION("""COMPUTED_VALUE"""),0.2549440625)</f>
        <v>0.2549440625</v>
      </c>
      <c r="J2221" s="4">
        <f>IFERROR(__xludf.DUMMYFUNCTION("""COMPUTED_VALUE"""),45949.274821885345)</f>
        <v>45949.27482</v>
      </c>
      <c r="K2221" s="4" t="str">
        <f>IFERROR(__xludf.DUMMYFUNCTION("""COMPUTED_VALUE"""),"")</f>
        <v/>
      </c>
      <c r="L2221" s="4">
        <f>IFERROR(__xludf.DUMMYFUNCTION("""COMPUTED_VALUE"""),45949.29032883246)</f>
        <v>45949.29033</v>
      </c>
      <c r="M2221" s="1" t="str">
        <f>IFERROR(__xludf.DUMMYFUNCTION("""COMPUTED_VALUE"""),"RFID")</f>
        <v>RFID</v>
      </c>
      <c r="N2221" s="5">
        <f>IFERROR(__xludf.DUMMYFUNCTION("""COMPUTED_VALUE"""),0.00795112962962963)</f>
        <v>0.00795112963</v>
      </c>
      <c r="O2221" s="5" t="str">
        <f>IFERROR(__xludf.DUMMYFUNCTION("""COMPUTED_VALUE"""),"")</f>
        <v/>
      </c>
      <c r="P2221" s="5" t="str">
        <f>IFERROR(__xludf.DUMMYFUNCTION("""COMPUTED_VALUE"""),"")</f>
        <v/>
      </c>
      <c r="Q2221" s="5">
        <f>IFERROR(__xludf.DUMMYFUNCTION("""COMPUTED_VALUE"""),0.007076953703703703)</f>
        <v>0.007076953704</v>
      </c>
      <c r="R2221" s="4">
        <f>IFERROR(__xludf.DUMMYFUNCTION("""COMPUTED_VALUE"""),45949.03538476996)</f>
        <v>45949.03538</v>
      </c>
      <c r="S2221" s="1" t="b">
        <f>IFERROR(__xludf.DUMMYFUNCTION("""COMPUTED_VALUE"""),TRUE)</f>
        <v>1</v>
      </c>
      <c r="T2221" s="1" t="b">
        <f>IFERROR(__xludf.DUMMYFUNCTION("""COMPUTED_VALUE"""),FALSE)</f>
        <v>0</v>
      </c>
      <c r="U2221" s="1" t="str">
        <f>IFERROR(__xludf.DUMMYFUNCTION("""COMPUTED_VALUE"""),"VALID")</f>
        <v>VALID</v>
      </c>
      <c r="V2221" s="1">
        <f>IFERROR(__xludf.DUMMYFUNCTION("""COMPUTED_VALUE"""),570.0)</f>
        <v>570</v>
      </c>
      <c r="W2221" s="1">
        <f>IFERROR(__xludf.DUMMYFUNCTION("""COMPUTED_VALUE"""),910.0)</f>
        <v>910</v>
      </c>
      <c r="X2221" s="1">
        <f>IFERROR(__xludf.DUMMYFUNCTION("""COMPUTED_VALUE"""),742.0)</f>
        <v>742</v>
      </c>
      <c r="Y2221" s="2"/>
      <c r="Z2221" s="2"/>
    </row>
    <row r="2222">
      <c r="A2222" s="1">
        <f>IFERROR(__xludf.DUMMYFUNCTION("""COMPUTED_VALUE"""),2221.0)</f>
        <v>2221</v>
      </c>
      <c r="B2222" s="1">
        <f>IFERROR(__xludf.DUMMYFUNCTION("""COMPUTED_VALUE"""),5909.0)</f>
        <v>5909</v>
      </c>
      <c r="C2222" s="2" t="str">
        <f>IFERROR(__xludf.DUMMYFUNCTION("""COMPUTED_VALUE"""),"Erul Juliandy")</f>
        <v>Erul Juliandy</v>
      </c>
      <c r="D2222" s="2" t="str">
        <f>IFERROR(__xludf.DUMMYFUNCTION("""COMPUTED_VALUE"""),"5KM OVERALL M")</f>
        <v>5KM OVERALL M</v>
      </c>
      <c r="E2222" s="1">
        <f>IFERROR(__xludf.DUMMYFUNCTION("""COMPUTED_VALUE"""),2.0)</f>
        <v>2</v>
      </c>
      <c r="F2222" s="1" t="str">
        <f>IFERROR(__xludf.DUMMYFUNCTION("""COMPUTED_VALUE"""),"Male")</f>
        <v>Male</v>
      </c>
      <c r="G2222" s="4" t="b">
        <f>IFERROR(__xludf.DUMMYFUNCTION("""COMPUTED_VALUE"""),TRUE)</f>
        <v>1</v>
      </c>
      <c r="H2222" s="4" t="b">
        <f>IFERROR(__xludf.DUMMYFUNCTION("""COMPUTED_VALUE"""),FALSE)</f>
        <v>0</v>
      </c>
      <c r="I2222" s="4">
        <f>IFERROR(__xludf.DUMMYFUNCTION("""COMPUTED_VALUE"""),0.2549440625)</f>
        <v>0.2549440625</v>
      </c>
      <c r="J2222" s="4">
        <f>IFERROR(__xludf.DUMMYFUNCTION("""COMPUTED_VALUE"""),45949.27932188942)</f>
        <v>45949.27932</v>
      </c>
      <c r="K2222" s="4" t="str">
        <f>IFERROR(__xludf.DUMMYFUNCTION("""COMPUTED_VALUE"""),"")</f>
        <v/>
      </c>
      <c r="L2222" s="4">
        <f>IFERROR(__xludf.DUMMYFUNCTION("""COMPUTED_VALUE"""),45949.29598420873)</f>
        <v>45949.29598</v>
      </c>
      <c r="M2222" s="1" t="str">
        <f>IFERROR(__xludf.DUMMYFUNCTION("""COMPUTED_VALUE"""),"RFID")</f>
        <v>RFID</v>
      </c>
      <c r="N2222" s="5">
        <f>IFERROR(__xludf.DUMMYFUNCTION("""COMPUTED_VALUE"""),0.00975112962962963)</f>
        <v>0.00975112963</v>
      </c>
      <c r="O2222" s="5" t="str">
        <f>IFERROR(__xludf.DUMMYFUNCTION("""COMPUTED_VALUE"""),"")</f>
        <v/>
      </c>
      <c r="P2222" s="5" t="str">
        <f>IFERROR(__xludf.DUMMYFUNCTION("""COMPUTED_VALUE"""),"")</f>
        <v/>
      </c>
      <c r="Q2222" s="5">
        <f>IFERROR(__xludf.DUMMYFUNCTION("""COMPUTED_VALUE"""),0.008208030092592593)</f>
        <v>0.008208030093</v>
      </c>
      <c r="R2222" s="4">
        <f>IFERROR(__xludf.DUMMYFUNCTION("""COMPUTED_VALUE"""),45949.04104014623)</f>
        <v>45949.04104</v>
      </c>
      <c r="S2222" s="1" t="b">
        <f>IFERROR(__xludf.DUMMYFUNCTION("""COMPUTED_VALUE"""),TRUE)</f>
        <v>1</v>
      </c>
      <c r="T2222" s="1" t="b">
        <f>IFERROR(__xludf.DUMMYFUNCTION("""COMPUTED_VALUE"""),FALSE)</f>
        <v>0</v>
      </c>
      <c r="U2222" s="1" t="str">
        <f>IFERROR(__xludf.DUMMYFUNCTION("""COMPUTED_VALUE"""),"VALID")</f>
        <v>VALID</v>
      </c>
      <c r="V2222" s="1">
        <f>IFERROR(__xludf.DUMMYFUNCTION("""COMPUTED_VALUE"""),734.0)</f>
        <v>734</v>
      </c>
      <c r="W2222" s="1">
        <f>IFERROR(__xludf.DUMMYFUNCTION("""COMPUTED_VALUE"""),1288.0)</f>
        <v>1288</v>
      </c>
      <c r="X2222" s="1">
        <f>IFERROR(__xludf.DUMMYFUNCTION("""COMPUTED_VALUE"""),1021.0)</f>
        <v>1021</v>
      </c>
      <c r="Y2222" s="2"/>
      <c r="Z2222" s="2"/>
    </row>
    <row r="2223">
      <c r="A2223" s="1">
        <f>IFERROR(__xludf.DUMMYFUNCTION("""COMPUTED_VALUE"""),2222.0)</f>
        <v>2222</v>
      </c>
      <c r="B2223" s="1">
        <f>IFERROR(__xludf.DUMMYFUNCTION("""COMPUTED_VALUE"""),5912.0)</f>
        <v>5912</v>
      </c>
      <c r="C2223" s="2" t="str">
        <f>IFERROR(__xludf.DUMMYFUNCTION("""COMPUTED_VALUE"""),"Allahumma sholli ala sayyidina Muhammad")</f>
        <v>Allahumma sholli ala sayyidina Muhammad</v>
      </c>
      <c r="D2223" s="2" t="str">
        <f>IFERROR(__xludf.DUMMYFUNCTION("""COMPUTED_VALUE"""),"5KM OVERALL M")</f>
        <v>5KM OVERALL M</v>
      </c>
      <c r="E2223" s="1">
        <f>IFERROR(__xludf.DUMMYFUNCTION("""COMPUTED_VALUE"""),2.0)</f>
        <v>2</v>
      </c>
      <c r="F2223" s="1" t="str">
        <f>IFERROR(__xludf.DUMMYFUNCTION("""COMPUTED_VALUE"""),"Male")</f>
        <v>Male</v>
      </c>
      <c r="G2223" s="4" t="b">
        <f>IFERROR(__xludf.DUMMYFUNCTION("""COMPUTED_VALUE"""),TRUE)</f>
        <v>1</v>
      </c>
      <c r="H2223" s="4" t="b">
        <f>IFERROR(__xludf.DUMMYFUNCTION("""COMPUTED_VALUE"""),TRUE)</f>
        <v>1</v>
      </c>
      <c r="I2223" s="4">
        <f>IFERROR(__xludf.DUMMYFUNCTION("""COMPUTED_VALUE"""),0.2549440625)</f>
        <v>0.2549440625</v>
      </c>
      <c r="J2223" s="4">
        <f>IFERROR(__xludf.DUMMYFUNCTION("""COMPUTED_VALUE"""),45949.26369340509)</f>
        <v>45949.26369</v>
      </c>
      <c r="K2223" s="4" t="str">
        <f>IFERROR(__xludf.DUMMYFUNCTION("""COMPUTED_VALUE"""),"")</f>
        <v/>
      </c>
      <c r="L2223" s="4">
        <f>IFERROR(__xludf.DUMMYFUNCTION("""COMPUTED_VALUE"""),45949.27107449837)</f>
        <v>45949.27107</v>
      </c>
      <c r="M2223" s="1" t="str">
        <f>IFERROR(__xludf.DUMMYFUNCTION("""COMPUTED_VALUE"""),"RFID")</f>
        <v>RFID</v>
      </c>
      <c r="N2223" s="5">
        <f>IFERROR(__xludf.DUMMYFUNCTION("""COMPUTED_VALUE"""),0.003499736111111111)</f>
        <v>0.003499736111</v>
      </c>
      <c r="O2223" s="5" t="str">
        <f>IFERROR(__xludf.DUMMYFUNCTION("""COMPUTED_VALUE"""),"")</f>
        <v/>
      </c>
      <c r="P2223" s="5" t="str">
        <f>IFERROR(__xludf.DUMMYFUNCTION("""COMPUTED_VALUE"""),"")</f>
        <v/>
      </c>
      <c r="Q2223" s="5">
        <f>IFERROR(__xludf.DUMMYFUNCTION("""COMPUTED_VALUE"""),0.003226087962962963)</f>
        <v>0.003226087963</v>
      </c>
      <c r="R2223" s="4">
        <f>IFERROR(__xludf.DUMMYFUNCTION("""COMPUTED_VALUE"""),45949.01613043587)</f>
        <v>45949.01613</v>
      </c>
      <c r="S2223" s="1" t="b">
        <f>IFERROR(__xludf.DUMMYFUNCTION("""COMPUTED_VALUE"""),TRUE)</f>
        <v>1</v>
      </c>
      <c r="T2223" s="1" t="b">
        <f>IFERROR(__xludf.DUMMYFUNCTION("""COMPUTED_VALUE"""),FALSE)</f>
        <v>0</v>
      </c>
      <c r="U2223" s="1" t="str">
        <f>IFERROR(__xludf.DUMMYFUNCTION("""COMPUTED_VALUE"""),"VALID")</f>
        <v>VALID</v>
      </c>
      <c r="V2223" s="1">
        <f>IFERROR(__xludf.DUMMYFUNCTION("""COMPUTED_VALUE"""),16.0)</f>
        <v>16</v>
      </c>
      <c r="W2223" s="1">
        <f>IFERROR(__xludf.DUMMYFUNCTION("""COMPUTED_VALUE"""),24.0)</f>
        <v>24</v>
      </c>
      <c r="X2223" s="1">
        <f>IFERROR(__xludf.DUMMYFUNCTION("""COMPUTED_VALUE"""),24.0)</f>
        <v>24</v>
      </c>
      <c r="Y2223" s="2"/>
      <c r="Z2223" s="2"/>
    </row>
    <row r="2224">
      <c r="A2224" s="1">
        <f>IFERROR(__xludf.DUMMYFUNCTION("""COMPUTED_VALUE"""),2223.0)</f>
        <v>2223</v>
      </c>
      <c r="B2224" s="1">
        <f>IFERROR(__xludf.DUMMYFUNCTION("""COMPUTED_VALUE"""),5913.0)</f>
        <v>5913</v>
      </c>
      <c r="C2224" s="2" t="str">
        <f>IFERROR(__xludf.DUMMYFUNCTION("""COMPUTED_VALUE"""),"Ayah zafran")</f>
        <v>Ayah zafran</v>
      </c>
      <c r="D2224" s="2" t="str">
        <f>IFERROR(__xludf.DUMMYFUNCTION("""COMPUTED_VALUE"""),"5KM OVERALL M")</f>
        <v>5KM OVERALL M</v>
      </c>
      <c r="E2224" s="1">
        <f>IFERROR(__xludf.DUMMYFUNCTION("""COMPUTED_VALUE"""),2.0)</f>
        <v>2</v>
      </c>
      <c r="F2224" s="1" t="str">
        <f>IFERROR(__xludf.DUMMYFUNCTION("""COMPUTED_VALUE"""),"Male")</f>
        <v>Male</v>
      </c>
      <c r="G2224" s="4" t="b">
        <f>IFERROR(__xludf.DUMMYFUNCTION("""COMPUTED_VALUE"""),TRUE)</f>
        <v>1</v>
      </c>
      <c r="H2224" s="4" t="b">
        <f>IFERROR(__xludf.DUMMYFUNCTION("""COMPUTED_VALUE"""),TRUE)</f>
        <v>1</v>
      </c>
      <c r="I2224" s="4">
        <f>IFERROR(__xludf.DUMMYFUNCTION("""COMPUTED_VALUE"""),0.2549440625)</f>
        <v>0.2549440625</v>
      </c>
      <c r="J2224" s="4">
        <f>IFERROR(__xludf.DUMMYFUNCTION("""COMPUTED_VALUE"""),45949.2779538212)</f>
        <v>45949.27795</v>
      </c>
      <c r="K2224" s="4" t="str">
        <f>IFERROR(__xludf.DUMMYFUNCTION("""COMPUTED_VALUE"""),"")</f>
        <v/>
      </c>
      <c r="L2224" s="4">
        <f>IFERROR(__xludf.DUMMYFUNCTION("""COMPUTED_VALUE"""),45949.29605364443)</f>
        <v>45949.29605</v>
      </c>
      <c r="M2224" s="1" t="str">
        <f>IFERROR(__xludf.DUMMYFUNCTION("""COMPUTED_VALUE"""),"RFID")</f>
        <v>RFID</v>
      </c>
      <c r="N2224" s="5">
        <f>IFERROR(__xludf.DUMMYFUNCTION("""COMPUTED_VALUE"""),0.009203902777777776)</f>
        <v>0.009203902778</v>
      </c>
      <c r="O2224" s="5" t="str">
        <f>IFERROR(__xludf.DUMMYFUNCTION("""COMPUTED_VALUE"""),"")</f>
        <v/>
      </c>
      <c r="P2224" s="5" t="str">
        <f>IFERROR(__xludf.DUMMYFUNCTION("""COMPUTED_VALUE"""),"")</f>
        <v/>
      </c>
      <c r="Q2224" s="5">
        <f>IFERROR(__xludf.DUMMYFUNCTION("""COMPUTED_VALUE"""),0.008221916666666666)</f>
        <v>0.008221916667</v>
      </c>
      <c r="R2224" s="4">
        <f>IFERROR(__xludf.DUMMYFUNCTION("""COMPUTED_VALUE"""),45949.04110958193)</f>
        <v>45949.04111</v>
      </c>
      <c r="S2224" s="1" t="b">
        <f>IFERROR(__xludf.DUMMYFUNCTION("""COMPUTED_VALUE"""),TRUE)</f>
        <v>1</v>
      </c>
      <c r="T2224" s="1" t="b">
        <f>IFERROR(__xludf.DUMMYFUNCTION("""COMPUTED_VALUE"""),FALSE)</f>
        <v>0</v>
      </c>
      <c r="U2224" s="1" t="str">
        <f>IFERROR(__xludf.DUMMYFUNCTION("""COMPUTED_VALUE"""),"VALID")</f>
        <v>VALID</v>
      </c>
      <c r="V2224" s="1">
        <f>IFERROR(__xludf.DUMMYFUNCTION("""COMPUTED_VALUE"""),736.0)</f>
        <v>736</v>
      </c>
      <c r="W2224" s="1">
        <f>IFERROR(__xludf.DUMMYFUNCTION("""COMPUTED_VALUE"""),1293.0)</f>
        <v>1293</v>
      </c>
      <c r="X2224" s="1">
        <f>IFERROR(__xludf.DUMMYFUNCTION("""COMPUTED_VALUE"""),1024.0)</f>
        <v>1024</v>
      </c>
      <c r="Y2224" s="2"/>
      <c r="Z2224" s="2"/>
    </row>
    <row r="2225">
      <c r="A2225" s="1">
        <f>IFERROR(__xludf.DUMMYFUNCTION("""COMPUTED_VALUE"""),2224.0)</f>
        <v>2224</v>
      </c>
      <c r="B2225" s="1">
        <f>IFERROR(__xludf.DUMMYFUNCTION("""COMPUTED_VALUE"""),5914.0)</f>
        <v>5914</v>
      </c>
      <c r="C2225" s="2" t="str">
        <f>IFERROR(__xludf.DUMMYFUNCTION("""COMPUTED_VALUE"""),"Paijo")</f>
        <v>Paijo</v>
      </c>
      <c r="D2225" s="2" t="str">
        <f>IFERROR(__xludf.DUMMYFUNCTION("""COMPUTED_VALUE"""),"5KM OVERALL M")</f>
        <v>5KM OVERALL M</v>
      </c>
      <c r="E2225" s="1">
        <f>IFERROR(__xludf.DUMMYFUNCTION("""COMPUTED_VALUE"""),2.0)</f>
        <v>2</v>
      </c>
      <c r="F2225" s="1" t="str">
        <f>IFERROR(__xludf.DUMMYFUNCTION("""COMPUTED_VALUE"""),"Male")</f>
        <v>Male</v>
      </c>
      <c r="G2225" s="4" t="b">
        <f>IFERROR(__xludf.DUMMYFUNCTION("""COMPUTED_VALUE"""),TRUE)</f>
        <v>1</v>
      </c>
      <c r="H2225" s="4" t="b">
        <f>IFERROR(__xludf.DUMMYFUNCTION("""COMPUTED_VALUE"""),TRUE)</f>
        <v>1</v>
      </c>
      <c r="I2225" s="4">
        <f>IFERROR(__xludf.DUMMYFUNCTION("""COMPUTED_VALUE"""),0.2549440625)</f>
        <v>0.2549440625</v>
      </c>
      <c r="J2225" s="4">
        <f>IFERROR(__xludf.DUMMYFUNCTION("""COMPUTED_VALUE"""),45949.26596072723)</f>
        <v>45949.26596</v>
      </c>
      <c r="K2225" s="4" t="str">
        <f>IFERROR(__xludf.DUMMYFUNCTION("""COMPUTED_VALUE"""),"")</f>
        <v/>
      </c>
      <c r="L2225" s="4">
        <f>IFERROR(__xludf.DUMMYFUNCTION("""COMPUTED_VALUE"""),45949.27444253024)</f>
        <v>45949.27444</v>
      </c>
      <c r="M2225" s="1" t="str">
        <f>IFERROR(__xludf.DUMMYFUNCTION("""COMPUTED_VALUE"""),"RFID")</f>
        <v>RFID</v>
      </c>
      <c r="N2225" s="5">
        <f>IFERROR(__xludf.DUMMYFUNCTION("""COMPUTED_VALUE"""),0.004406666666666667)</f>
        <v>0.004406666667</v>
      </c>
      <c r="O2225" s="5" t="str">
        <f>IFERROR(__xludf.DUMMYFUNCTION("""COMPUTED_VALUE"""),"")</f>
        <v/>
      </c>
      <c r="P2225" s="5" t="str">
        <f>IFERROR(__xludf.DUMMYFUNCTION("""COMPUTED_VALUE"""),"")</f>
        <v/>
      </c>
      <c r="Q2225" s="5">
        <f>IFERROR(__xludf.DUMMYFUNCTION("""COMPUTED_VALUE"""),0.0038996944444444443)</f>
        <v>0.003899694444</v>
      </c>
      <c r="R2225" s="4">
        <f>IFERROR(__xludf.DUMMYFUNCTION("""COMPUTED_VALUE"""),45949.01949846774)</f>
        <v>45949.0195</v>
      </c>
      <c r="S2225" s="1" t="b">
        <f>IFERROR(__xludf.DUMMYFUNCTION("""COMPUTED_VALUE"""),TRUE)</f>
        <v>1</v>
      </c>
      <c r="T2225" s="1" t="b">
        <f>IFERROR(__xludf.DUMMYFUNCTION("""COMPUTED_VALUE"""),FALSE)</f>
        <v>0</v>
      </c>
      <c r="U2225" s="1" t="str">
        <f>IFERROR(__xludf.DUMMYFUNCTION("""COMPUTED_VALUE"""),"VALID")</f>
        <v>VALID</v>
      </c>
      <c r="V2225" s="1">
        <f>IFERROR(__xludf.DUMMYFUNCTION("""COMPUTED_VALUE"""),71.0)</f>
        <v>71</v>
      </c>
      <c r="W2225" s="1">
        <f>IFERROR(__xludf.DUMMYFUNCTION("""COMPUTED_VALUE"""),105.0)</f>
        <v>105</v>
      </c>
      <c r="X2225" s="1">
        <f>IFERROR(__xludf.DUMMYFUNCTION("""COMPUTED_VALUE"""),94.0)</f>
        <v>94</v>
      </c>
      <c r="Y2225" s="2"/>
      <c r="Z2225" s="2"/>
    </row>
    <row r="2226">
      <c r="A2226" s="1">
        <f>IFERROR(__xludf.DUMMYFUNCTION("""COMPUTED_VALUE"""),2225.0)</f>
        <v>2225</v>
      </c>
      <c r="B2226" s="1">
        <f>IFERROR(__xludf.DUMMYFUNCTION("""COMPUTED_VALUE"""),5915.0)</f>
        <v>5915</v>
      </c>
      <c r="C2226" s="2" t="str">
        <f>IFERROR(__xludf.DUMMYFUNCTION("""COMPUTED_VALUE"""),"MAULANA")</f>
        <v>MAULANA</v>
      </c>
      <c r="D2226" s="2" t="str">
        <f>IFERROR(__xludf.DUMMYFUNCTION("""COMPUTED_VALUE"""),"5KM OVERALL M")</f>
        <v>5KM OVERALL M</v>
      </c>
      <c r="E2226" s="1">
        <f>IFERROR(__xludf.DUMMYFUNCTION("""COMPUTED_VALUE"""),2.0)</f>
        <v>2</v>
      </c>
      <c r="F2226" s="1" t="str">
        <f>IFERROR(__xludf.DUMMYFUNCTION("""COMPUTED_VALUE"""),"Male")</f>
        <v>Male</v>
      </c>
      <c r="G2226" s="4" t="b">
        <f>IFERROR(__xludf.DUMMYFUNCTION("""COMPUTED_VALUE"""),TRUE)</f>
        <v>1</v>
      </c>
      <c r="H2226" s="4" t="b">
        <f>IFERROR(__xludf.DUMMYFUNCTION("""COMPUTED_VALUE"""),TRUE)</f>
        <v>1</v>
      </c>
      <c r="I2226" s="4">
        <f>IFERROR(__xludf.DUMMYFUNCTION("""COMPUTED_VALUE"""),0.2549440625)</f>
        <v>0.2549440625</v>
      </c>
      <c r="J2226" s="4">
        <f>IFERROR(__xludf.DUMMYFUNCTION("""COMPUTED_VALUE"""),45949.27128833377)</f>
        <v>45949.27129</v>
      </c>
      <c r="K2226" s="4" t="str">
        <f>IFERROR(__xludf.DUMMYFUNCTION("""COMPUTED_VALUE"""),"")</f>
        <v/>
      </c>
      <c r="L2226" s="4">
        <f>IFERROR(__xludf.DUMMYFUNCTION("""COMPUTED_VALUE"""),45949.283227256936)</f>
        <v>45949.28323</v>
      </c>
      <c r="M2226" s="1" t="str">
        <f>IFERROR(__xludf.DUMMYFUNCTION("""COMPUTED_VALUE"""),"RFID")</f>
        <v>RFID</v>
      </c>
      <c r="N2226" s="5">
        <f>IFERROR(__xludf.DUMMYFUNCTION("""COMPUTED_VALUE"""),0.006537708333333334)</f>
        <v>0.006537708333</v>
      </c>
      <c r="O2226" s="5" t="str">
        <f>IFERROR(__xludf.DUMMYFUNCTION("""COMPUTED_VALUE"""),"")</f>
        <v/>
      </c>
      <c r="P2226" s="5" t="str">
        <f>IFERROR(__xludf.DUMMYFUNCTION("""COMPUTED_VALUE"""),"")</f>
        <v/>
      </c>
      <c r="Q2226" s="5">
        <f>IFERROR(__xludf.DUMMYFUNCTION("""COMPUTED_VALUE"""),0.005656638888888889)</f>
        <v>0.005656638889</v>
      </c>
      <c r="R2226" s="4">
        <f>IFERROR(__xludf.DUMMYFUNCTION("""COMPUTED_VALUE"""),45949.028283194435)</f>
        <v>45949.02828</v>
      </c>
      <c r="S2226" s="1" t="b">
        <f>IFERROR(__xludf.DUMMYFUNCTION("""COMPUTED_VALUE"""),TRUE)</f>
        <v>1</v>
      </c>
      <c r="T2226" s="1" t="b">
        <f>IFERROR(__xludf.DUMMYFUNCTION("""COMPUTED_VALUE"""),FALSE)</f>
        <v>0</v>
      </c>
      <c r="U2226" s="1" t="str">
        <f>IFERROR(__xludf.DUMMYFUNCTION("""COMPUTED_VALUE"""),"VALID")</f>
        <v>VALID</v>
      </c>
      <c r="V2226" s="1">
        <f>IFERROR(__xludf.DUMMYFUNCTION("""COMPUTED_VALUE"""),298.0)</f>
        <v>298</v>
      </c>
      <c r="W2226" s="1">
        <f>IFERROR(__xludf.DUMMYFUNCTION("""COMPUTED_VALUE"""),448.0)</f>
        <v>448</v>
      </c>
      <c r="X2226" s="1">
        <f>IFERROR(__xludf.DUMMYFUNCTION("""COMPUTED_VALUE"""),387.0)</f>
        <v>387</v>
      </c>
      <c r="Y2226" s="2"/>
      <c r="Z2226" s="2"/>
    </row>
    <row r="2227">
      <c r="A2227" s="1">
        <f>IFERROR(__xludf.DUMMYFUNCTION("""COMPUTED_VALUE"""),2226.0)</f>
        <v>2226</v>
      </c>
      <c r="B2227" s="1">
        <f>IFERROR(__xludf.DUMMYFUNCTION("""COMPUTED_VALUE"""),5916.0)</f>
        <v>5916</v>
      </c>
      <c r="C2227" s="2" t="str">
        <f>IFERROR(__xludf.DUMMYFUNCTION("""COMPUTED_VALUE"""),"Abi Al-Fatih")</f>
        <v>Abi Al-Fatih</v>
      </c>
      <c r="D2227" s="2" t="str">
        <f>IFERROR(__xludf.DUMMYFUNCTION("""COMPUTED_VALUE"""),"5KM OVERALL M")</f>
        <v>5KM OVERALL M</v>
      </c>
      <c r="E2227" s="1">
        <f>IFERROR(__xludf.DUMMYFUNCTION("""COMPUTED_VALUE"""),2.0)</f>
        <v>2</v>
      </c>
      <c r="F2227" s="1" t="str">
        <f>IFERROR(__xludf.DUMMYFUNCTION("""COMPUTED_VALUE"""),"Male")</f>
        <v>Male</v>
      </c>
      <c r="G2227" s="4" t="b">
        <f>IFERROR(__xludf.DUMMYFUNCTION("""COMPUTED_VALUE"""),TRUE)</f>
        <v>1</v>
      </c>
      <c r="H2227" s="4" t="b">
        <f>IFERROR(__xludf.DUMMYFUNCTION("""COMPUTED_VALUE"""),TRUE)</f>
        <v>1</v>
      </c>
      <c r="I2227" s="4">
        <f>IFERROR(__xludf.DUMMYFUNCTION("""COMPUTED_VALUE"""),0.2549440625)</f>
        <v>0.2549440625</v>
      </c>
      <c r="J2227" s="4">
        <f>IFERROR(__xludf.DUMMYFUNCTION("""COMPUTED_VALUE"""),45949.26446767297)</f>
        <v>45949.26447</v>
      </c>
      <c r="K2227" s="4" t="str">
        <f>IFERROR(__xludf.DUMMYFUNCTION("""COMPUTED_VALUE"""),"")</f>
        <v/>
      </c>
      <c r="L2227" s="4">
        <f>IFERROR(__xludf.DUMMYFUNCTION("""COMPUTED_VALUE"""),45949.272702967435)</f>
        <v>45949.2727</v>
      </c>
      <c r="M2227" s="1" t="str">
        <f>IFERROR(__xludf.DUMMYFUNCTION("""COMPUTED_VALUE"""),"RFID")</f>
        <v>RFID</v>
      </c>
      <c r="N2227" s="5">
        <f>IFERROR(__xludf.DUMMYFUNCTION("""COMPUTED_VALUE"""),0.0038094444444444443)</f>
        <v>0.003809444444</v>
      </c>
      <c r="O2227" s="5" t="str">
        <f>IFERROR(__xludf.DUMMYFUNCTION("""COMPUTED_VALUE"""),"")</f>
        <v/>
      </c>
      <c r="P2227" s="5" t="str">
        <f>IFERROR(__xludf.DUMMYFUNCTION("""COMPUTED_VALUE"""),"")</f>
        <v/>
      </c>
      <c r="Q2227" s="5">
        <f>IFERROR(__xludf.DUMMYFUNCTION("""COMPUTED_VALUE"""),0.003551780092592592)</f>
        <v>0.003551780093</v>
      </c>
      <c r="R2227" s="4">
        <f>IFERROR(__xludf.DUMMYFUNCTION("""COMPUTED_VALUE"""),45949.017758904934)</f>
        <v>45949.01776</v>
      </c>
      <c r="S2227" s="1" t="b">
        <f>IFERROR(__xludf.DUMMYFUNCTION("""COMPUTED_VALUE"""),TRUE)</f>
        <v>1</v>
      </c>
      <c r="T2227" s="1" t="b">
        <f>IFERROR(__xludf.DUMMYFUNCTION("""COMPUTED_VALUE"""),FALSE)</f>
        <v>0</v>
      </c>
      <c r="U2227" s="1" t="str">
        <f>IFERROR(__xludf.DUMMYFUNCTION("""COMPUTED_VALUE"""),"VALID")</f>
        <v>VALID</v>
      </c>
      <c r="V2227" s="1">
        <f>IFERROR(__xludf.DUMMYFUNCTION("""COMPUTED_VALUE"""),33.0)</f>
        <v>33</v>
      </c>
      <c r="W2227" s="1">
        <f>IFERROR(__xludf.DUMMYFUNCTION("""COMPUTED_VALUE"""),50.0)</f>
        <v>50</v>
      </c>
      <c r="X2227" s="1">
        <f>IFERROR(__xludf.DUMMYFUNCTION("""COMPUTED_VALUE"""),48.0)</f>
        <v>48</v>
      </c>
      <c r="Y2227" s="2"/>
      <c r="Z2227" s="2"/>
    </row>
    <row r="2228">
      <c r="A2228" s="1">
        <f>IFERROR(__xludf.DUMMYFUNCTION("""COMPUTED_VALUE"""),2227.0)</f>
        <v>2227</v>
      </c>
      <c r="B2228" s="1">
        <f>IFERROR(__xludf.DUMMYFUNCTION("""COMPUTED_VALUE"""),5918.0)</f>
        <v>5918</v>
      </c>
      <c r="C2228" s="2" t="str">
        <f>IFERROR(__xludf.DUMMYFUNCTION("""COMPUTED_VALUE"""),"PUTRA")</f>
        <v>PUTRA</v>
      </c>
      <c r="D2228" s="2" t="str">
        <f>IFERROR(__xludf.DUMMYFUNCTION("""COMPUTED_VALUE"""),"5KM OVERALL M")</f>
        <v>5KM OVERALL M</v>
      </c>
      <c r="E2228" s="1">
        <f>IFERROR(__xludf.DUMMYFUNCTION("""COMPUTED_VALUE"""),2.0)</f>
        <v>2</v>
      </c>
      <c r="F2228" s="1" t="str">
        <f>IFERROR(__xludf.DUMMYFUNCTION("""COMPUTED_VALUE"""),"Male")</f>
        <v>Male</v>
      </c>
      <c r="G2228" s="4" t="b">
        <f>IFERROR(__xludf.DUMMYFUNCTION("""COMPUTED_VALUE"""),TRUE)</f>
        <v>1</v>
      </c>
      <c r="H2228" s="4" t="b">
        <f>IFERROR(__xludf.DUMMYFUNCTION("""COMPUTED_VALUE"""),TRUE)</f>
        <v>1</v>
      </c>
      <c r="I2228" s="4">
        <f>IFERROR(__xludf.DUMMYFUNCTION("""COMPUTED_VALUE"""),0.2549440625)</f>
        <v>0.2549440625</v>
      </c>
      <c r="J2228" s="4">
        <f>IFERROR(__xludf.DUMMYFUNCTION("""COMPUTED_VALUE"""),45949.279189895584)</f>
        <v>45949.27919</v>
      </c>
      <c r="K2228" s="4" t="str">
        <f>IFERROR(__xludf.DUMMYFUNCTION("""COMPUTED_VALUE"""),"")</f>
        <v/>
      </c>
      <c r="L2228" s="4">
        <f>IFERROR(__xludf.DUMMYFUNCTION("""COMPUTED_VALUE"""),45949.29633837682)</f>
        <v>45949.29634</v>
      </c>
      <c r="M2228" s="1" t="str">
        <f>IFERROR(__xludf.DUMMYFUNCTION("""COMPUTED_VALUE"""),"RFID")</f>
        <v>RFID</v>
      </c>
      <c r="N2228" s="5">
        <f>IFERROR(__xludf.DUMMYFUNCTION("""COMPUTED_VALUE"""),0.009698333333333333)</f>
        <v>0.009698333333</v>
      </c>
      <c r="O2228" s="5" t="str">
        <f>IFERROR(__xludf.DUMMYFUNCTION("""COMPUTED_VALUE"""),"")</f>
        <v/>
      </c>
      <c r="P2228" s="5" t="str">
        <f>IFERROR(__xludf.DUMMYFUNCTION("""COMPUTED_VALUE"""),"")</f>
        <v/>
      </c>
      <c r="Q2228" s="5">
        <f>IFERROR(__xludf.DUMMYFUNCTION("""COMPUTED_VALUE"""),0.008278863425925927)</f>
        <v>0.008278863426</v>
      </c>
      <c r="R2228" s="4">
        <f>IFERROR(__xludf.DUMMYFUNCTION("""COMPUTED_VALUE"""),45949.04139431432)</f>
        <v>45949.04139</v>
      </c>
      <c r="S2228" s="1" t="b">
        <f>IFERROR(__xludf.DUMMYFUNCTION("""COMPUTED_VALUE"""),TRUE)</f>
        <v>1</v>
      </c>
      <c r="T2228" s="1" t="b">
        <f>IFERROR(__xludf.DUMMYFUNCTION("""COMPUTED_VALUE"""),FALSE)</f>
        <v>0</v>
      </c>
      <c r="U2228" s="1" t="str">
        <f>IFERROR(__xludf.DUMMYFUNCTION("""COMPUTED_VALUE"""),"VALID")</f>
        <v>VALID</v>
      </c>
      <c r="V2228" s="1">
        <f>IFERROR(__xludf.DUMMYFUNCTION("""COMPUTED_VALUE"""),742.0)</f>
        <v>742</v>
      </c>
      <c r="W2228" s="1">
        <f>IFERROR(__xludf.DUMMYFUNCTION("""COMPUTED_VALUE"""),1304.0)</f>
        <v>1304</v>
      </c>
      <c r="X2228" s="1">
        <f>IFERROR(__xludf.DUMMYFUNCTION("""COMPUTED_VALUE"""),1037.0)</f>
        <v>1037</v>
      </c>
      <c r="Y2228" s="2"/>
      <c r="Z2228" s="2"/>
    </row>
    <row r="2229">
      <c r="A2229" s="1">
        <f>IFERROR(__xludf.DUMMYFUNCTION("""COMPUTED_VALUE"""),2228.0)</f>
        <v>2228</v>
      </c>
      <c r="B2229" s="1">
        <f>IFERROR(__xludf.DUMMYFUNCTION("""COMPUTED_VALUE"""),5919.0)</f>
        <v>5919</v>
      </c>
      <c r="C2229" s="2" t="str">
        <f>IFERROR(__xludf.DUMMYFUNCTION("""COMPUTED_VALUE"""),"Muhammad Anwarur Ridhwan")</f>
        <v>Muhammad Anwarur Ridhwan</v>
      </c>
      <c r="D2229" s="2" t="str">
        <f>IFERROR(__xludf.DUMMYFUNCTION("""COMPUTED_VALUE"""),"5KM OVERALL M")</f>
        <v>5KM OVERALL M</v>
      </c>
      <c r="E2229" s="1">
        <f>IFERROR(__xludf.DUMMYFUNCTION("""COMPUTED_VALUE"""),2.0)</f>
        <v>2</v>
      </c>
      <c r="F2229" s="1" t="str">
        <f>IFERROR(__xludf.DUMMYFUNCTION("""COMPUTED_VALUE"""),"Male")</f>
        <v>Male</v>
      </c>
      <c r="G2229" s="4" t="b">
        <f>IFERROR(__xludf.DUMMYFUNCTION("""COMPUTED_VALUE"""),TRUE)</f>
        <v>1</v>
      </c>
      <c r="H2229" s="4" t="b">
        <f>IFERROR(__xludf.DUMMYFUNCTION("""COMPUTED_VALUE"""),TRUE)</f>
        <v>1</v>
      </c>
      <c r="I2229" s="4">
        <f>IFERROR(__xludf.DUMMYFUNCTION("""COMPUTED_VALUE"""),0.2549440625)</f>
        <v>0.2549440625</v>
      </c>
      <c r="J2229" s="4">
        <f>IFERROR(__xludf.DUMMYFUNCTION("""COMPUTED_VALUE"""),45949.262127389964)</f>
        <v>45949.26213</v>
      </c>
      <c r="K2229" s="4" t="str">
        <f>IFERROR(__xludf.DUMMYFUNCTION("""COMPUTED_VALUE"""),"")</f>
        <v/>
      </c>
      <c r="L2229" s="4">
        <f>IFERROR(__xludf.DUMMYFUNCTION("""COMPUTED_VALUE"""),45949.26813346708)</f>
        <v>45949.26813</v>
      </c>
      <c r="M2229" s="1" t="str">
        <f>IFERROR(__xludf.DUMMYFUNCTION("""COMPUTED_VALUE"""),"RFID")</f>
        <v>RFID</v>
      </c>
      <c r="N2229" s="5">
        <f>IFERROR(__xludf.DUMMYFUNCTION("""COMPUTED_VALUE"""),0.0028733287037037035)</f>
        <v>0.002873328704</v>
      </c>
      <c r="O2229" s="5" t="str">
        <f>IFERROR(__xludf.DUMMYFUNCTION("""COMPUTED_VALUE"""),"")</f>
        <v/>
      </c>
      <c r="P2229" s="5" t="str">
        <f>IFERROR(__xludf.DUMMYFUNCTION("""COMPUTED_VALUE"""),"")</f>
        <v/>
      </c>
      <c r="Q2229" s="5">
        <f>IFERROR(__xludf.DUMMYFUNCTION("""COMPUTED_VALUE"""),0.0026378819444444444)</f>
        <v>0.002637881944</v>
      </c>
      <c r="R2229" s="4">
        <f>IFERROR(__xludf.DUMMYFUNCTION("""COMPUTED_VALUE"""),45949.01318940458)</f>
        <v>45949.01319</v>
      </c>
      <c r="S2229" s="1" t="b">
        <f>IFERROR(__xludf.DUMMYFUNCTION("""COMPUTED_VALUE"""),TRUE)</f>
        <v>1</v>
      </c>
      <c r="T2229" s="1" t="b">
        <f>IFERROR(__xludf.DUMMYFUNCTION("""COMPUTED_VALUE"""),FALSE)</f>
        <v>0</v>
      </c>
      <c r="U2229" s="1" t="str">
        <f>IFERROR(__xludf.DUMMYFUNCTION("""COMPUTED_VALUE"""),"VALID")</f>
        <v>VALID</v>
      </c>
      <c r="V2229" s="1">
        <f>IFERROR(__xludf.DUMMYFUNCTION("""COMPUTED_VALUE"""),7.0)</f>
        <v>7</v>
      </c>
      <c r="W2229" s="1">
        <f>IFERROR(__xludf.DUMMYFUNCTION("""COMPUTED_VALUE"""),7.0)</f>
        <v>7</v>
      </c>
      <c r="X2229" s="1">
        <f>IFERROR(__xludf.DUMMYFUNCTION("""COMPUTED_VALUE"""),7.0)</f>
        <v>7</v>
      </c>
      <c r="Y2229" s="2"/>
      <c r="Z2229" s="2"/>
    </row>
    <row r="2230">
      <c r="A2230" s="1">
        <f>IFERROR(__xludf.DUMMYFUNCTION("""COMPUTED_VALUE"""),2229.0)</f>
        <v>2229</v>
      </c>
      <c r="B2230" s="1">
        <f>IFERROR(__xludf.DUMMYFUNCTION("""COMPUTED_VALUE"""),5923.0)</f>
        <v>5923</v>
      </c>
      <c r="C2230" s="2" t="str">
        <f>IFERROR(__xludf.DUMMYFUNCTION("""COMPUTED_VALUE"""),"M. Faris Hermawan")</f>
        <v>M. Faris Hermawan</v>
      </c>
      <c r="D2230" s="2" t="str">
        <f>IFERROR(__xludf.DUMMYFUNCTION("""COMPUTED_VALUE"""),"5KM OVERALL M")</f>
        <v>5KM OVERALL M</v>
      </c>
      <c r="E2230" s="1">
        <f>IFERROR(__xludf.DUMMYFUNCTION("""COMPUTED_VALUE"""),2.0)</f>
        <v>2</v>
      </c>
      <c r="F2230" s="1" t="str">
        <f>IFERROR(__xludf.DUMMYFUNCTION("""COMPUTED_VALUE"""),"Male")</f>
        <v>Male</v>
      </c>
      <c r="G2230" s="4" t="b">
        <f>IFERROR(__xludf.DUMMYFUNCTION("""COMPUTED_VALUE"""),TRUE)</f>
        <v>1</v>
      </c>
      <c r="H2230" s="4" t="b">
        <f>IFERROR(__xludf.DUMMYFUNCTION("""COMPUTED_VALUE"""),TRUE)</f>
        <v>1</v>
      </c>
      <c r="I2230" s="4">
        <f>IFERROR(__xludf.DUMMYFUNCTION("""COMPUTED_VALUE"""),0.2549440625)</f>
        <v>0.2549440625</v>
      </c>
      <c r="J2230" s="4">
        <f>IFERROR(__xludf.DUMMYFUNCTION("""COMPUTED_VALUE"""),45949.2715996629)</f>
        <v>45949.2716</v>
      </c>
      <c r="K2230" s="4" t="str">
        <f>IFERROR(__xludf.DUMMYFUNCTION("""COMPUTED_VALUE"""),"")</f>
        <v/>
      </c>
      <c r="L2230" s="4">
        <f>IFERROR(__xludf.DUMMYFUNCTION("""COMPUTED_VALUE"""),45949.28406060693)</f>
        <v>45949.28406</v>
      </c>
      <c r="M2230" s="1" t="str">
        <f>IFERROR(__xludf.DUMMYFUNCTION("""COMPUTED_VALUE"""),"RFID")</f>
        <v>RFID</v>
      </c>
      <c r="N2230" s="5">
        <f>IFERROR(__xludf.DUMMYFUNCTION("""COMPUTED_VALUE"""),0.006662240740740741)</f>
        <v>0.006662240741</v>
      </c>
      <c r="O2230" s="5" t="str">
        <f>IFERROR(__xludf.DUMMYFUNCTION("""COMPUTED_VALUE"""),"")</f>
        <v/>
      </c>
      <c r="P2230" s="5" t="str">
        <f>IFERROR(__xludf.DUMMYFUNCTION("""COMPUTED_VALUE"""),"")</f>
        <v/>
      </c>
      <c r="Q2230" s="5">
        <f>IFERROR(__xludf.DUMMYFUNCTION("""COMPUTED_VALUE"""),0.00582330787037037)</f>
        <v>0.00582330787</v>
      </c>
      <c r="R2230" s="4">
        <f>IFERROR(__xludf.DUMMYFUNCTION("""COMPUTED_VALUE"""),45949.02911654443)</f>
        <v>45949.02912</v>
      </c>
      <c r="S2230" s="1" t="b">
        <f>IFERROR(__xludf.DUMMYFUNCTION("""COMPUTED_VALUE"""),TRUE)</f>
        <v>1</v>
      </c>
      <c r="T2230" s="1" t="b">
        <f>IFERROR(__xludf.DUMMYFUNCTION("""COMPUTED_VALUE"""),FALSE)</f>
        <v>0</v>
      </c>
      <c r="U2230" s="1" t="str">
        <f>IFERROR(__xludf.DUMMYFUNCTION("""COMPUTED_VALUE"""),"VALID")</f>
        <v>VALID</v>
      </c>
      <c r="V2230" s="1">
        <f>IFERROR(__xludf.DUMMYFUNCTION("""COMPUTED_VALUE"""),338.0)</f>
        <v>338</v>
      </c>
      <c r="W2230" s="1">
        <f>IFERROR(__xludf.DUMMYFUNCTION("""COMPUTED_VALUE"""),502.0)</f>
        <v>502</v>
      </c>
      <c r="X2230" s="1">
        <f>IFERROR(__xludf.DUMMYFUNCTION("""COMPUTED_VALUE"""),437.0)</f>
        <v>437</v>
      </c>
      <c r="Y2230" s="2"/>
      <c r="Z2230" s="2"/>
    </row>
    <row r="2231">
      <c r="A2231" s="1">
        <f>IFERROR(__xludf.DUMMYFUNCTION("""COMPUTED_VALUE"""),2230.0)</f>
        <v>2230</v>
      </c>
      <c r="B2231" s="1">
        <f>IFERROR(__xludf.DUMMYFUNCTION("""COMPUTED_VALUE"""),5927.0)</f>
        <v>5927</v>
      </c>
      <c r="C2231" s="2" t="str">
        <f>IFERROR(__xludf.DUMMYFUNCTION("""COMPUTED_VALUE"""),"Nanda J")</f>
        <v>Nanda J</v>
      </c>
      <c r="D2231" s="2" t="str">
        <f>IFERROR(__xludf.DUMMYFUNCTION("""COMPUTED_VALUE"""),"5KM OVERALL M")</f>
        <v>5KM OVERALL M</v>
      </c>
      <c r="E2231" s="1">
        <f>IFERROR(__xludf.DUMMYFUNCTION("""COMPUTED_VALUE"""),2.0)</f>
        <v>2</v>
      </c>
      <c r="F2231" s="1" t="str">
        <f>IFERROR(__xludf.DUMMYFUNCTION("""COMPUTED_VALUE"""),"Male")</f>
        <v>Male</v>
      </c>
      <c r="G2231" s="4" t="b">
        <f>IFERROR(__xludf.DUMMYFUNCTION("""COMPUTED_VALUE"""),TRUE)</f>
        <v>1</v>
      </c>
      <c r="H2231" s="4" t="b">
        <f>IFERROR(__xludf.DUMMYFUNCTION("""COMPUTED_VALUE"""),TRUE)</f>
        <v>1</v>
      </c>
      <c r="I2231" s="4">
        <f>IFERROR(__xludf.DUMMYFUNCTION("""COMPUTED_VALUE"""),0.2549440625)</f>
        <v>0.2549440625</v>
      </c>
      <c r="J2231" s="4">
        <f>IFERROR(__xludf.DUMMYFUNCTION("""COMPUTED_VALUE"""),45949.267485091186)</f>
        <v>45949.26749</v>
      </c>
      <c r="K2231" s="4" t="str">
        <f>IFERROR(__xludf.DUMMYFUNCTION("""COMPUTED_VALUE"""),"")</f>
        <v/>
      </c>
      <c r="L2231" s="4">
        <f>IFERROR(__xludf.DUMMYFUNCTION("""COMPUTED_VALUE"""),45949.27858142305)</f>
        <v>45949.27858</v>
      </c>
      <c r="M2231" s="1" t="str">
        <f>IFERROR(__xludf.DUMMYFUNCTION("""COMPUTED_VALUE"""),"RFID")</f>
        <v>RFID</v>
      </c>
      <c r="N2231" s="5">
        <f>IFERROR(__xludf.DUMMYFUNCTION("""COMPUTED_VALUE"""),0.005016412037037037)</f>
        <v>0.005016412037</v>
      </c>
      <c r="O2231" s="5" t="str">
        <f>IFERROR(__xludf.DUMMYFUNCTION("""COMPUTED_VALUE"""),"")</f>
        <v/>
      </c>
      <c r="P2231" s="5" t="str">
        <f>IFERROR(__xludf.DUMMYFUNCTION("""COMPUTED_VALUE"""),"")</f>
        <v/>
      </c>
      <c r="Q2231" s="5">
        <f>IFERROR(__xludf.DUMMYFUNCTION("""COMPUTED_VALUE"""),0.004727472222222222)</f>
        <v>0.004727472222</v>
      </c>
      <c r="R2231" s="4">
        <f>IFERROR(__xludf.DUMMYFUNCTION("""COMPUTED_VALUE"""),45949.02363736055)</f>
        <v>45949.02364</v>
      </c>
      <c r="S2231" s="1" t="b">
        <f>IFERROR(__xludf.DUMMYFUNCTION("""COMPUTED_VALUE"""),TRUE)</f>
        <v>1</v>
      </c>
      <c r="T2231" s="1" t="b">
        <f>IFERROR(__xludf.DUMMYFUNCTION("""COMPUTED_VALUE"""),FALSE)</f>
        <v>0</v>
      </c>
      <c r="U2231" s="1" t="str">
        <f>IFERROR(__xludf.DUMMYFUNCTION("""COMPUTED_VALUE"""),"VALID")</f>
        <v>VALID</v>
      </c>
      <c r="V2231" s="1">
        <f>IFERROR(__xludf.DUMMYFUNCTION("""COMPUTED_VALUE"""),158.0)</f>
        <v>158</v>
      </c>
      <c r="W2231" s="1">
        <f>IFERROR(__xludf.DUMMYFUNCTION("""COMPUTED_VALUE"""),241.0)</f>
        <v>241</v>
      </c>
      <c r="X2231" s="1">
        <f>IFERROR(__xludf.DUMMYFUNCTION("""COMPUTED_VALUE"""),211.0)</f>
        <v>211</v>
      </c>
      <c r="Y2231" s="2"/>
      <c r="Z2231" s="2"/>
    </row>
    <row r="2232">
      <c r="A2232" s="1">
        <f>IFERROR(__xludf.DUMMYFUNCTION("""COMPUTED_VALUE"""),2231.0)</f>
        <v>2231</v>
      </c>
      <c r="B2232" s="1">
        <f>IFERROR(__xludf.DUMMYFUNCTION("""COMPUTED_VALUE"""),5928.0)</f>
        <v>5928</v>
      </c>
      <c r="C2232" s="2" t="str">
        <f>IFERROR(__xludf.DUMMYFUNCTION("""COMPUTED_VALUE"""),"Doni Jongka")</f>
        <v>Doni Jongka</v>
      </c>
      <c r="D2232" s="2" t="str">
        <f>IFERROR(__xludf.DUMMYFUNCTION("""COMPUTED_VALUE"""),"5KM OVERALL M")</f>
        <v>5KM OVERALL M</v>
      </c>
      <c r="E2232" s="1">
        <f>IFERROR(__xludf.DUMMYFUNCTION("""COMPUTED_VALUE"""),2.0)</f>
        <v>2</v>
      </c>
      <c r="F2232" s="1" t="str">
        <f>IFERROR(__xludf.DUMMYFUNCTION("""COMPUTED_VALUE"""),"Male")</f>
        <v>Male</v>
      </c>
      <c r="G2232" s="4" t="b">
        <f>IFERROR(__xludf.DUMMYFUNCTION("""COMPUTED_VALUE"""),TRUE)</f>
        <v>1</v>
      </c>
      <c r="H2232" s="4" t="b">
        <f>IFERROR(__xludf.DUMMYFUNCTION("""COMPUTED_VALUE"""),TRUE)</f>
        <v>1</v>
      </c>
      <c r="I2232" s="4">
        <f>IFERROR(__xludf.DUMMYFUNCTION("""COMPUTED_VALUE"""),0.2549440625)</f>
        <v>0.2549440625</v>
      </c>
      <c r="J2232" s="4">
        <f>IFERROR(__xludf.DUMMYFUNCTION("""COMPUTED_VALUE"""),45949.27415863791)</f>
        <v>45949.27416</v>
      </c>
      <c r="K2232" s="4" t="str">
        <f>IFERROR(__xludf.DUMMYFUNCTION("""COMPUTED_VALUE"""),"")</f>
        <v/>
      </c>
      <c r="L2232" s="4">
        <f>IFERROR(__xludf.DUMMYFUNCTION("""COMPUTED_VALUE"""),45949.28821332656)</f>
        <v>45949.28821</v>
      </c>
      <c r="M2232" s="1" t="str">
        <f>IFERROR(__xludf.DUMMYFUNCTION("""COMPUTED_VALUE"""),"RFID")</f>
        <v>RFID</v>
      </c>
      <c r="N2232" s="5">
        <f>IFERROR(__xludf.DUMMYFUNCTION("""COMPUTED_VALUE"""),0.007685828703703703)</f>
        <v>0.007685828704</v>
      </c>
      <c r="O2232" s="5" t="str">
        <f>IFERROR(__xludf.DUMMYFUNCTION("""COMPUTED_VALUE"""),"")</f>
        <v/>
      </c>
      <c r="P2232" s="5" t="str">
        <f>IFERROR(__xludf.DUMMYFUNCTION("""COMPUTED_VALUE"""),"")</f>
        <v/>
      </c>
      <c r="Q2232" s="5">
        <f>IFERROR(__xludf.DUMMYFUNCTION("""COMPUTED_VALUE"""),0.006653851851851851)</f>
        <v>0.006653851852</v>
      </c>
      <c r="R2232" s="4">
        <f>IFERROR(__xludf.DUMMYFUNCTION("""COMPUTED_VALUE"""),45949.03326926406)</f>
        <v>45949.03327</v>
      </c>
      <c r="S2232" s="1" t="b">
        <f>IFERROR(__xludf.DUMMYFUNCTION("""COMPUTED_VALUE"""),TRUE)</f>
        <v>1</v>
      </c>
      <c r="T2232" s="1" t="b">
        <f>IFERROR(__xludf.DUMMYFUNCTION("""COMPUTED_VALUE"""),FALSE)</f>
        <v>0</v>
      </c>
      <c r="U2232" s="1" t="str">
        <f>IFERROR(__xludf.DUMMYFUNCTION("""COMPUTED_VALUE"""),"VALID")</f>
        <v>VALID</v>
      </c>
      <c r="V2232" s="1">
        <f>IFERROR(__xludf.DUMMYFUNCTION("""COMPUTED_VALUE"""),506.0)</f>
        <v>506</v>
      </c>
      <c r="W2232" s="1">
        <f>IFERROR(__xludf.DUMMYFUNCTION("""COMPUTED_VALUE"""),791.0)</f>
        <v>791</v>
      </c>
      <c r="X2232" s="1">
        <f>IFERROR(__xludf.DUMMYFUNCTION("""COMPUTED_VALUE"""),653.0)</f>
        <v>653</v>
      </c>
      <c r="Y2232" s="2"/>
      <c r="Z2232" s="2"/>
    </row>
    <row r="2233">
      <c r="A2233" s="1">
        <f>IFERROR(__xludf.DUMMYFUNCTION("""COMPUTED_VALUE"""),2232.0)</f>
        <v>2232</v>
      </c>
      <c r="B2233" s="1">
        <f>IFERROR(__xludf.DUMMYFUNCTION("""COMPUTED_VALUE"""),5929.0)</f>
        <v>5929</v>
      </c>
      <c r="C2233" s="2" t="str">
        <f>IFERROR(__xludf.DUMMYFUNCTION("""COMPUTED_VALUE"""),"Indri01")</f>
        <v>Indri01</v>
      </c>
      <c r="D2233" s="2" t="str">
        <f>IFERROR(__xludf.DUMMYFUNCTION("""COMPUTED_VALUE"""),"5KM OVERALL M")</f>
        <v>5KM OVERALL M</v>
      </c>
      <c r="E2233" s="1">
        <f>IFERROR(__xludf.DUMMYFUNCTION("""COMPUTED_VALUE"""),2.0)</f>
        <v>2</v>
      </c>
      <c r="F2233" s="1" t="str">
        <f>IFERROR(__xludf.DUMMYFUNCTION("""COMPUTED_VALUE"""),"Male")</f>
        <v>Male</v>
      </c>
      <c r="G2233" s="4" t="b">
        <f>IFERROR(__xludf.DUMMYFUNCTION("""COMPUTED_VALUE"""),TRUE)</f>
        <v>1</v>
      </c>
      <c r="H2233" s="4" t="b">
        <f>IFERROR(__xludf.DUMMYFUNCTION("""COMPUTED_VALUE"""),TRUE)</f>
        <v>1</v>
      </c>
      <c r="I2233" s="4">
        <f>IFERROR(__xludf.DUMMYFUNCTION("""COMPUTED_VALUE"""),0.2549440625)</f>
        <v>0.2549440625</v>
      </c>
      <c r="J2233" s="4">
        <f>IFERROR(__xludf.DUMMYFUNCTION("""COMPUTED_VALUE"""),45949.27638085048)</f>
        <v>45949.27638</v>
      </c>
      <c r="K2233" s="4" t="str">
        <f>IFERROR(__xludf.DUMMYFUNCTION("""COMPUTED_VALUE"""),"")</f>
        <v/>
      </c>
      <c r="L2233" s="4">
        <f>IFERROR(__xludf.DUMMYFUNCTION("""COMPUTED_VALUE"""),45949.29266823734)</f>
        <v>45949.29267</v>
      </c>
      <c r="M2233" s="1" t="str">
        <f>IFERROR(__xludf.DUMMYFUNCTION("""COMPUTED_VALUE"""),"RFID")</f>
        <v>RFID</v>
      </c>
      <c r="N2233" s="5">
        <f>IFERROR(__xludf.DUMMYFUNCTION("""COMPUTED_VALUE"""),0.008574712962962963)</f>
        <v>0.008574712963</v>
      </c>
      <c r="O2233" s="5" t="str">
        <f>IFERROR(__xludf.DUMMYFUNCTION("""COMPUTED_VALUE"""),"")</f>
        <v/>
      </c>
      <c r="P2233" s="5" t="str">
        <f>IFERROR(__xludf.DUMMYFUNCTION("""COMPUTED_VALUE"""),"")</f>
        <v/>
      </c>
      <c r="Q2233" s="5">
        <f>IFERROR(__xludf.DUMMYFUNCTION("""COMPUTED_VALUE"""),0.007544835648148149)</f>
        <v>0.007544835648</v>
      </c>
      <c r="R2233" s="4">
        <f>IFERROR(__xludf.DUMMYFUNCTION("""COMPUTED_VALUE"""),45949.03772417484)</f>
        <v>45949.03772</v>
      </c>
      <c r="S2233" s="1" t="b">
        <f>IFERROR(__xludf.DUMMYFUNCTION("""COMPUTED_VALUE"""),TRUE)</f>
        <v>1</v>
      </c>
      <c r="T2233" s="1" t="b">
        <f>IFERROR(__xludf.DUMMYFUNCTION("""COMPUTED_VALUE"""),FALSE)</f>
        <v>0</v>
      </c>
      <c r="U2233" s="1" t="str">
        <f>IFERROR(__xludf.DUMMYFUNCTION("""COMPUTED_VALUE"""),"VALID")</f>
        <v>VALID</v>
      </c>
      <c r="V2233" s="1">
        <f>IFERROR(__xludf.DUMMYFUNCTION("""COMPUTED_VALUE"""),647.0)</f>
        <v>647</v>
      </c>
      <c r="W2233" s="1">
        <f>IFERROR(__xludf.DUMMYFUNCTION("""COMPUTED_VALUE"""),1082.0)</f>
        <v>1082</v>
      </c>
      <c r="X2233" s="1">
        <f>IFERROR(__xludf.DUMMYFUNCTION("""COMPUTED_VALUE"""),860.0)</f>
        <v>860</v>
      </c>
      <c r="Y2233" s="2"/>
      <c r="Z2233" s="2"/>
    </row>
    <row r="2234">
      <c r="A2234" s="1">
        <f>IFERROR(__xludf.DUMMYFUNCTION("""COMPUTED_VALUE"""),2233.0)</f>
        <v>2233</v>
      </c>
      <c r="B2234" s="1">
        <f>IFERROR(__xludf.DUMMYFUNCTION("""COMPUTED_VALUE"""),5930.0)</f>
        <v>5930</v>
      </c>
      <c r="C2234" s="2" t="str">
        <f>IFERROR(__xludf.DUMMYFUNCTION("""COMPUTED_VALUE"""),"AldiFatwa")</f>
        <v>AldiFatwa</v>
      </c>
      <c r="D2234" s="2" t="str">
        <f>IFERROR(__xludf.DUMMYFUNCTION("""COMPUTED_VALUE"""),"5KM OVERALL M")</f>
        <v>5KM OVERALL M</v>
      </c>
      <c r="E2234" s="1">
        <f>IFERROR(__xludf.DUMMYFUNCTION("""COMPUTED_VALUE"""),2.0)</f>
        <v>2</v>
      </c>
      <c r="F2234" s="1" t="str">
        <f>IFERROR(__xludf.DUMMYFUNCTION("""COMPUTED_VALUE"""),"Male")</f>
        <v>Male</v>
      </c>
      <c r="G2234" s="4" t="b">
        <f>IFERROR(__xludf.DUMMYFUNCTION("""COMPUTED_VALUE"""),TRUE)</f>
        <v>1</v>
      </c>
      <c r="H2234" s="4" t="b">
        <f>IFERROR(__xludf.DUMMYFUNCTION("""COMPUTED_VALUE"""),TRUE)</f>
        <v>1</v>
      </c>
      <c r="I2234" s="4">
        <f>IFERROR(__xludf.DUMMYFUNCTION("""COMPUTED_VALUE"""),0.2549440625)</f>
        <v>0.2549440625</v>
      </c>
      <c r="J2234" s="4">
        <f>IFERROR(__xludf.DUMMYFUNCTION("""COMPUTED_VALUE"""),45949.26794335059)</f>
        <v>45949.26794</v>
      </c>
      <c r="K2234" s="4" t="str">
        <f>IFERROR(__xludf.DUMMYFUNCTION("""COMPUTED_VALUE"""),"")</f>
        <v/>
      </c>
      <c r="L2234" s="4">
        <f>IFERROR(__xludf.DUMMYFUNCTION("""COMPUTED_VALUE"""),45949.27965087173)</f>
        <v>45949.27965</v>
      </c>
      <c r="M2234" s="1" t="str">
        <f>IFERROR(__xludf.DUMMYFUNCTION("""COMPUTED_VALUE"""),"RFID")</f>
        <v>RFID</v>
      </c>
      <c r="N2234" s="5">
        <f>IFERROR(__xludf.DUMMYFUNCTION("""COMPUTED_VALUE"""),0.005199712962962963)</f>
        <v>0.005199712963</v>
      </c>
      <c r="O2234" s="5" t="str">
        <f>IFERROR(__xludf.DUMMYFUNCTION("""COMPUTED_VALUE"""),"")</f>
        <v/>
      </c>
      <c r="P2234" s="5" t="str">
        <f>IFERROR(__xludf.DUMMYFUNCTION("""COMPUTED_VALUE"""),"")</f>
        <v/>
      </c>
      <c r="Q2234" s="5">
        <f>IFERROR(__xludf.DUMMYFUNCTION("""COMPUTED_VALUE"""),0.004941361111111112)</f>
        <v>0.004941361111</v>
      </c>
      <c r="R2234" s="4">
        <f>IFERROR(__xludf.DUMMYFUNCTION("""COMPUTED_VALUE"""),45949.02470680923)</f>
        <v>45949.02471</v>
      </c>
      <c r="S2234" s="1" t="b">
        <f>IFERROR(__xludf.DUMMYFUNCTION("""COMPUTED_VALUE"""),TRUE)</f>
        <v>1</v>
      </c>
      <c r="T2234" s="1" t="b">
        <f>IFERROR(__xludf.DUMMYFUNCTION("""COMPUTED_VALUE"""),FALSE)</f>
        <v>0</v>
      </c>
      <c r="U2234" s="1" t="str">
        <f>IFERROR(__xludf.DUMMYFUNCTION("""COMPUTED_VALUE"""),"VALID")</f>
        <v>VALID</v>
      </c>
      <c r="V2234" s="1">
        <f>IFERROR(__xludf.DUMMYFUNCTION("""COMPUTED_VALUE"""),177.0)</f>
        <v>177</v>
      </c>
      <c r="W2234" s="1">
        <f>IFERROR(__xludf.DUMMYFUNCTION("""COMPUTED_VALUE"""),272.0)</f>
        <v>272</v>
      </c>
      <c r="X2234" s="1">
        <f>IFERROR(__xludf.DUMMYFUNCTION("""COMPUTED_VALUE"""),238.0)</f>
        <v>238</v>
      </c>
      <c r="Y2234" s="2"/>
      <c r="Z2234" s="2"/>
    </row>
    <row r="2235">
      <c r="A2235" s="1">
        <f>IFERROR(__xludf.DUMMYFUNCTION("""COMPUTED_VALUE"""),2234.0)</f>
        <v>2234</v>
      </c>
      <c r="B2235" s="1">
        <f>IFERROR(__xludf.DUMMYFUNCTION("""COMPUTED_VALUE"""),5931.0)</f>
        <v>5931</v>
      </c>
      <c r="C2235" s="2" t="str">
        <f>IFERROR(__xludf.DUMMYFUNCTION("""COMPUTED_VALUE"""),"Asep Mohamad")</f>
        <v>Asep Mohamad</v>
      </c>
      <c r="D2235" s="2" t="str">
        <f>IFERROR(__xludf.DUMMYFUNCTION("""COMPUTED_VALUE"""),"5KM OVERALL M")</f>
        <v>5KM OVERALL M</v>
      </c>
      <c r="E2235" s="1">
        <f>IFERROR(__xludf.DUMMYFUNCTION("""COMPUTED_VALUE"""),2.0)</f>
        <v>2</v>
      </c>
      <c r="F2235" s="1" t="str">
        <f>IFERROR(__xludf.DUMMYFUNCTION("""COMPUTED_VALUE"""),"Male")</f>
        <v>Male</v>
      </c>
      <c r="G2235" s="4" t="b">
        <f>IFERROR(__xludf.DUMMYFUNCTION("""COMPUTED_VALUE"""),TRUE)</f>
        <v>1</v>
      </c>
      <c r="H2235" s="4" t="b">
        <f>IFERROR(__xludf.DUMMYFUNCTION("""COMPUTED_VALUE"""),FALSE)</f>
        <v>0</v>
      </c>
      <c r="I2235" s="4">
        <f>IFERROR(__xludf.DUMMYFUNCTION("""COMPUTED_VALUE"""),0.2549440625)</f>
        <v>0.2549440625</v>
      </c>
      <c r="J2235" s="4">
        <f>IFERROR(__xludf.DUMMYFUNCTION("""COMPUTED_VALUE"""),45949.280241980756)</f>
        <v>45949.28024</v>
      </c>
      <c r="K2235" s="4" t="str">
        <f>IFERROR(__xludf.DUMMYFUNCTION("""COMPUTED_VALUE"""),"")</f>
        <v/>
      </c>
      <c r="L2235" s="4">
        <f>IFERROR(__xludf.DUMMYFUNCTION("""COMPUTED_VALUE"""),45949.297574475495)</f>
        <v>45949.29757</v>
      </c>
      <c r="M2235" s="1" t="str">
        <f>IFERROR(__xludf.DUMMYFUNCTION("""COMPUTED_VALUE"""),"RFID")</f>
        <v>RFID</v>
      </c>
      <c r="N2235" s="5">
        <f>IFERROR(__xludf.DUMMYFUNCTION("""COMPUTED_VALUE"""),0.010119166666666665)</f>
        <v>0.01011916667</v>
      </c>
      <c r="O2235" s="5" t="str">
        <f>IFERROR(__xludf.DUMMYFUNCTION("""COMPUTED_VALUE"""),"")</f>
        <v/>
      </c>
      <c r="P2235" s="5" t="str">
        <f>IFERROR(__xludf.DUMMYFUNCTION("""COMPUTED_VALUE"""),"")</f>
        <v/>
      </c>
      <c r="Q2235" s="5">
        <f>IFERROR(__xludf.DUMMYFUNCTION("""COMPUTED_VALUE"""),0.008526083333333333)</f>
        <v>0.008526083333</v>
      </c>
      <c r="R2235" s="4">
        <f>IFERROR(__xludf.DUMMYFUNCTION("""COMPUTED_VALUE"""),45949.042630412994)</f>
        <v>45949.04263</v>
      </c>
      <c r="S2235" s="1" t="b">
        <f>IFERROR(__xludf.DUMMYFUNCTION("""COMPUTED_VALUE"""),TRUE)</f>
        <v>1</v>
      </c>
      <c r="T2235" s="1" t="b">
        <f>IFERROR(__xludf.DUMMYFUNCTION("""COMPUTED_VALUE"""),FALSE)</f>
        <v>0</v>
      </c>
      <c r="U2235" s="1" t="str">
        <f>IFERROR(__xludf.DUMMYFUNCTION("""COMPUTED_VALUE"""),"VALID")</f>
        <v>VALID</v>
      </c>
      <c r="V2235" s="1">
        <f>IFERROR(__xludf.DUMMYFUNCTION("""COMPUTED_VALUE"""),760.0)</f>
        <v>760</v>
      </c>
      <c r="W2235" s="1">
        <f>IFERROR(__xludf.DUMMYFUNCTION("""COMPUTED_VALUE"""),1348.0)</f>
        <v>1348</v>
      </c>
      <c r="X2235" s="1">
        <f>IFERROR(__xludf.DUMMYFUNCTION("""COMPUTED_VALUE"""),1091.0)</f>
        <v>1091</v>
      </c>
      <c r="Y2235" s="2"/>
      <c r="Z2235" s="2"/>
    </row>
    <row r="2236">
      <c r="A2236" s="1">
        <f>IFERROR(__xludf.DUMMYFUNCTION("""COMPUTED_VALUE"""),2235.0)</f>
        <v>2235</v>
      </c>
      <c r="B2236" s="1">
        <f>IFERROR(__xludf.DUMMYFUNCTION("""COMPUTED_VALUE"""),5932.0)</f>
        <v>5932</v>
      </c>
      <c r="C2236" s="2" t="str">
        <f>IFERROR(__xludf.DUMMYFUNCTION("""COMPUTED_VALUE"""),"Agus Thoriq")</f>
        <v>Agus Thoriq</v>
      </c>
      <c r="D2236" s="2" t="str">
        <f>IFERROR(__xludf.DUMMYFUNCTION("""COMPUTED_VALUE"""),"5KM OVERALL M")</f>
        <v>5KM OVERALL M</v>
      </c>
      <c r="E2236" s="1">
        <f>IFERROR(__xludf.DUMMYFUNCTION("""COMPUTED_VALUE"""),2.0)</f>
        <v>2</v>
      </c>
      <c r="F2236" s="1" t="str">
        <f>IFERROR(__xludf.DUMMYFUNCTION("""COMPUTED_VALUE"""),"Male")</f>
        <v>Male</v>
      </c>
      <c r="G2236" s="4" t="b">
        <f>IFERROR(__xludf.DUMMYFUNCTION("""COMPUTED_VALUE"""),TRUE)</f>
        <v>1</v>
      </c>
      <c r="H2236" s="4" t="b">
        <f>IFERROR(__xludf.DUMMYFUNCTION("""COMPUTED_VALUE"""),FALSE)</f>
        <v>0</v>
      </c>
      <c r="I2236" s="4">
        <f>IFERROR(__xludf.DUMMYFUNCTION("""COMPUTED_VALUE"""),0.2549440625)</f>
        <v>0.2549440625</v>
      </c>
      <c r="J2236" s="4">
        <f>IFERROR(__xludf.DUMMYFUNCTION("""COMPUTED_VALUE"""),45949.27902327776)</f>
        <v>45949.27902</v>
      </c>
      <c r="K2236" s="4" t="str">
        <f>IFERROR(__xludf.DUMMYFUNCTION("""COMPUTED_VALUE"""),"")</f>
        <v/>
      </c>
      <c r="L2236" s="4">
        <f>IFERROR(__xludf.DUMMYFUNCTION("""COMPUTED_VALUE"""),45949.2945293501)</f>
        <v>45949.29453</v>
      </c>
      <c r="M2236" s="1" t="str">
        <f>IFERROR(__xludf.DUMMYFUNCTION("""COMPUTED_VALUE"""),"RFID")</f>
        <v>RFID</v>
      </c>
      <c r="N2236" s="5">
        <f>IFERROR(__xludf.DUMMYFUNCTION("""COMPUTED_VALUE"""),0.009631685185185184)</f>
        <v>0.009631685185</v>
      </c>
      <c r="O2236" s="5" t="str">
        <f>IFERROR(__xludf.DUMMYFUNCTION("""COMPUTED_VALUE"""),"")</f>
        <v/>
      </c>
      <c r="P2236" s="5" t="str">
        <f>IFERROR(__xludf.DUMMYFUNCTION("""COMPUTED_VALUE"""),"")</f>
        <v/>
      </c>
      <c r="Q2236" s="5">
        <f>IFERROR(__xludf.DUMMYFUNCTION("""COMPUTED_VALUE"""),0.00791705787037037)</f>
        <v>0.00791705787</v>
      </c>
      <c r="R2236" s="4">
        <f>IFERROR(__xludf.DUMMYFUNCTION("""COMPUTED_VALUE"""),45949.0395852876)</f>
        <v>45949.03959</v>
      </c>
      <c r="S2236" s="1" t="b">
        <f>IFERROR(__xludf.DUMMYFUNCTION("""COMPUTED_VALUE"""),TRUE)</f>
        <v>1</v>
      </c>
      <c r="T2236" s="1" t="b">
        <f>IFERROR(__xludf.DUMMYFUNCTION("""COMPUTED_VALUE"""),FALSE)</f>
        <v>0</v>
      </c>
      <c r="U2236" s="1" t="str">
        <f>IFERROR(__xludf.DUMMYFUNCTION("""COMPUTED_VALUE"""),"VALID")</f>
        <v>VALID</v>
      </c>
      <c r="V2236" s="1">
        <f>IFERROR(__xludf.DUMMYFUNCTION("""COMPUTED_VALUE"""),705.0)</f>
        <v>705</v>
      </c>
      <c r="W2236" s="1">
        <f>IFERROR(__xludf.DUMMYFUNCTION("""COMPUTED_VALUE"""),1221.0)</f>
        <v>1221</v>
      </c>
      <c r="X2236" s="1">
        <f>IFERROR(__xludf.DUMMYFUNCTION("""COMPUTED_VALUE"""),958.0)</f>
        <v>958</v>
      </c>
      <c r="Y2236" s="2"/>
      <c r="Z2236" s="2"/>
    </row>
    <row r="2237">
      <c r="A2237" s="1">
        <f>IFERROR(__xludf.DUMMYFUNCTION("""COMPUTED_VALUE"""),2236.0)</f>
        <v>2236</v>
      </c>
      <c r="B2237" s="1">
        <f>IFERROR(__xludf.DUMMYFUNCTION("""COMPUTED_VALUE"""),5934.0)</f>
        <v>5934</v>
      </c>
      <c r="C2237" s="2" t="str">
        <f>IFERROR(__xludf.DUMMYFUNCTION("""COMPUTED_VALUE"""),"WAHYU")</f>
        <v>WAHYU</v>
      </c>
      <c r="D2237" s="2" t="str">
        <f>IFERROR(__xludf.DUMMYFUNCTION("""COMPUTED_VALUE"""),"5KM OVERALL M")</f>
        <v>5KM OVERALL M</v>
      </c>
      <c r="E2237" s="1">
        <f>IFERROR(__xludf.DUMMYFUNCTION("""COMPUTED_VALUE"""),2.0)</f>
        <v>2</v>
      </c>
      <c r="F2237" s="1" t="str">
        <f>IFERROR(__xludf.DUMMYFUNCTION("""COMPUTED_VALUE"""),"Male")</f>
        <v>Male</v>
      </c>
      <c r="G2237" s="4" t="b">
        <f>IFERROR(__xludf.DUMMYFUNCTION("""COMPUTED_VALUE"""),TRUE)</f>
        <v>1</v>
      </c>
      <c r="H2237" s="4" t="b">
        <f>IFERROR(__xludf.DUMMYFUNCTION("""COMPUTED_VALUE"""),TRUE)</f>
        <v>1</v>
      </c>
      <c r="I2237" s="4">
        <f>IFERROR(__xludf.DUMMYFUNCTION("""COMPUTED_VALUE"""),0.2549440625)</f>
        <v>0.2549440625</v>
      </c>
      <c r="J2237" s="4">
        <f>IFERROR(__xludf.DUMMYFUNCTION("""COMPUTED_VALUE"""),45949.27789475051)</f>
        <v>45949.27789</v>
      </c>
      <c r="K2237" s="4" t="str">
        <f>IFERROR(__xludf.DUMMYFUNCTION("""COMPUTED_VALUE"""),"")</f>
        <v/>
      </c>
      <c r="L2237" s="4">
        <f>IFERROR(__xludf.DUMMYFUNCTION("""COMPUTED_VALUE"""),45949.29369253649)</f>
        <v>45949.29369</v>
      </c>
      <c r="M2237" s="1" t="str">
        <f>IFERROR(__xludf.DUMMYFUNCTION("""COMPUTED_VALUE"""),"RFID")</f>
        <v>RFID</v>
      </c>
      <c r="N2237" s="5">
        <f>IFERROR(__xludf.DUMMYFUNCTION("""COMPUTED_VALUE"""),0.009180273148148147)</f>
        <v>0.009180273148</v>
      </c>
      <c r="O2237" s="5" t="str">
        <f>IFERROR(__xludf.DUMMYFUNCTION("""COMPUTED_VALUE"""),"")</f>
        <v/>
      </c>
      <c r="P2237" s="5" t="str">
        <f>IFERROR(__xludf.DUMMYFUNCTION("""COMPUTED_VALUE"""),"")</f>
        <v/>
      </c>
      <c r="Q2237" s="5">
        <f>IFERROR(__xludf.DUMMYFUNCTION("""COMPUTED_VALUE"""),0.007749694444444444)</f>
        <v>0.007749694444</v>
      </c>
      <c r="R2237" s="4">
        <f>IFERROR(__xludf.DUMMYFUNCTION("""COMPUTED_VALUE"""),45949.03874847399)</f>
        <v>45949.03875</v>
      </c>
      <c r="S2237" s="1" t="b">
        <f>IFERROR(__xludf.DUMMYFUNCTION("""COMPUTED_VALUE"""),TRUE)</f>
        <v>1</v>
      </c>
      <c r="T2237" s="1" t="b">
        <f>IFERROR(__xludf.DUMMYFUNCTION("""COMPUTED_VALUE"""),FALSE)</f>
        <v>0</v>
      </c>
      <c r="U2237" s="1" t="str">
        <f>IFERROR(__xludf.DUMMYFUNCTION("""COMPUTED_VALUE"""),"VALID")</f>
        <v>VALID</v>
      </c>
      <c r="V2237" s="1">
        <f>IFERROR(__xludf.DUMMYFUNCTION("""COMPUTED_VALUE"""),673.0)</f>
        <v>673</v>
      </c>
      <c r="W2237" s="1">
        <f>IFERROR(__xludf.DUMMYFUNCTION("""COMPUTED_VALUE"""),1149.0)</f>
        <v>1149</v>
      </c>
      <c r="X2237" s="1">
        <f>IFERROR(__xludf.DUMMYFUNCTION("""COMPUTED_VALUE"""),911.0)</f>
        <v>911</v>
      </c>
      <c r="Y2237" s="2"/>
      <c r="Z2237" s="2"/>
    </row>
    <row r="2238">
      <c r="A2238" s="1">
        <f>IFERROR(__xludf.DUMMYFUNCTION("""COMPUTED_VALUE"""),2237.0)</f>
        <v>2237</v>
      </c>
      <c r="B2238" s="1">
        <f>IFERROR(__xludf.DUMMYFUNCTION("""COMPUTED_VALUE"""),5936.0)</f>
        <v>5936</v>
      </c>
      <c r="C2238" s="2" t="str">
        <f>IFERROR(__xludf.DUMMYFUNCTION("""COMPUTED_VALUE"""),"Sultan_Ridha")</f>
        <v>Sultan_Ridha</v>
      </c>
      <c r="D2238" s="2" t="str">
        <f>IFERROR(__xludf.DUMMYFUNCTION("""COMPUTED_VALUE"""),"5KM OVERALL M")</f>
        <v>5KM OVERALL M</v>
      </c>
      <c r="E2238" s="1">
        <f>IFERROR(__xludf.DUMMYFUNCTION("""COMPUTED_VALUE"""),2.0)</f>
        <v>2</v>
      </c>
      <c r="F2238" s="1" t="str">
        <f>IFERROR(__xludf.DUMMYFUNCTION("""COMPUTED_VALUE"""),"Male")</f>
        <v>Male</v>
      </c>
      <c r="G2238" s="4" t="b">
        <f>IFERROR(__xludf.DUMMYFUNCTION("""COMPUTED_VALUE"""),TRUE)</f>
        <v>1</v>
      </c>
      <c r="H2238" s="4" t="b">
        <f>IFERROR(__xludf.DUMMYFUNCTION("""COMPUTED_VALUE"""),TRUE)</f>
        <v>1</v>
      </c>
      <c r="I2238" s="4">
        <f>IFERROR(__xludf.DUMMYFUNCTION("""COMPUTED_VALUE"""),0.2549440625)</f>
        <v>0.2549440625</v>
      </c>
      <c r="J2238" s="4">
        <f>IFERROR(__xludf.DUMMYFUNCTION("""COMPUTED_VALUE"""),45949.27774544465)</f>
        <v>45949.27775</v>
      </c>
      <c r="K2238" s="4" t="str">
        <f>IFERROR(__xludf.DUMMYFUNCTION("""COMPUTED_VALUE"""),"")</f>
        <v/>
      </c>
      <c r="L2238" s="4">
        <f>IFERROR(__xludf.DUMMYFUNCTION("""COMPUTED_VALUE"""),45949.29231058989)</f>
        <v>45949.29231</v>
      </c>
      <c r="M2238" s="1" t="str">
        <f>IFERROR(__xludf.DUMMYFUNCTION("""COMPUTED_VALUE"""),"RFID")</f>
        <v>RFID</v>
      </c>
      <c r="N2238" s="5">
        <f>IFERROR(__xludf.DUMMYFUNCTION("""COMPUTED_VALUE"""),0.009120550925925926)</f>
        <v>0.009120550926</v>
      </c>
      <c r="O2238" s="5" t="str">
        <f>IFERROR(__xludf.DUMMYFUNCTION("""COMPUTED_VALUE"""),"")</f>
        <v/>
      </c>
      <c r="P2238" s="5" t="str">
        <f>IFERROR(__xludf.DUMMYFUNCTION("""COMPUTED_VALUE"""),"")</f>
        <v/>
      </c>
      <c r="Q2238" s="5">
        <f>IFERROR(__xludf.DUMMYFUNCTION("""COMPUTED_VALUE"""),0.007473305555555555)</f>
        <v>0.007473305556</v>
      </c>
      <c r="R2238" s="4">
        <f>IFERROR(__xludf.DUMMYFUNCTION("""COMPUTED_VALUE"""),45949.03736652739)</f>
        <v>45949.03737</v>
      </c>
      <c r="S2238" s="1" t="b">
        <f>IFERROR(__xludf.DUMMYFUNCTION("""COMPUTED_VALUE"""),TRUE)</f>
        <v>1</v>
      </c>
      <c r="T2238" s="1" t="b">
        <f>IFERROR(__xludf.DUMMYFUNCTION("""COMPUTED_VALUE"""),FALSE)</f>
        <v>0</v>
      </c>
      <c r="U2238" s="1" t="str">
        <f>IFERROR(__xludf.DUMMYFUNCTION("""COMPUTED_VALUE"""),"VALID")</f>
        <v>VALID</v>
      </c>
      <c r="V2238" s="1">
        <f>IFERROR(__xludf.DUMMYFUNCTION("""COMPUTED_VALUE"""),636.0)</f>
        <v>636</v>
      </c>
      <c r="W2238" s="1">
        <f>IFERROR(__xludf.DUMMYFUNCTION("""COMPUTED_VALUE"""),1050.0)</f>
        <v>1050</v>
      </c>
      <c r="X2238" s="1">
        <f>IFERROR(__xludf.DUMMYFUNCTION("""COMPUTED_VALUE"""),838.0)</f>
        <v>838</v>
      </c>
      <c r="Y2238" s="2"/>
      <c r="Z2238" s="2"/>
    </row>
    <row r="2239">
      <c r="A2239" s="1">
        <f>IFERROR(__xludf.DUMMYFUNCTION("""COMPUTED_VALUE"""),2238.0)</f>
        <v>2238</v>
      </c>
      <c r="B2239" s="1">
        <f>IFERROR(__xludf.DUMMYFUNCTION("""COMPUTED_VALUE"""),5938.0)</f>
        <v>5938</v>
      </c>
      <c r="C2239" s="2" t="str">
        <f>IFERROR(__xludf.DUMMYFUNCTION("""COMPUTED_VALUE"""),"Dhaifan")</f>
        <v>Dhaifan</v>
      </c>
      <c r="D2239" s="2" t="str">
        <f>IFERROR(__xludf.DUMMYFUNCTION("""COMPUTED_VALUE"""),"5KM OVERALL M")</f>
        <v>5KM OVERALL M</v>
      </c>
      <c r="E2239" s="1">
        <f>IFERROR(__xludf.DUMMYFUNCTION("""COMPUTED_VALUE"""),2.0)</f>
        <v>2</v>
      </c>
      <c r="F2239" s="1" t="str">
        <f>IFERROR(__xludf.DUMMYFUNCTION("""COMPUTED_VALUE"""),"Male")</f>
        <v>Male</v>
      </c>
      <c r="G2239" s="4" t="b">
        <f>IFERROR(__xludf.DUMMYFUNCTION("""COMPUTED_VALUE"""),TRUE)</f>
        <v>1</v>
      </c>
      <c r="H2239" s="4" t="b">
        <f>IFERROR(__xludf.DUMMYFUNCTION("""COMPUTED_VALUE"""),TRUE)</f>
        <v>1</v>
      </c>
      <c r="I2239" s="4">
        <f>IFERROR(__xludf.DUMMYFUNCTION("""COMPUTED_VALUE"""),0.2549440625)</f>
        <v>0.2549440625</v>
      </c>
      <c r="J2239" s="4">
        <f>IFERROR(__xludf.DUMMYFUNCTION("""COMPUTED_VALUE"""),45949.280328840134)</f>
        <v>45949.28033</v>
      </c>
      <c r="K2239" s="4" t="str">
        <f>IFERROR(__xludf.DUMMYFUNCTION("""COMPUTED_VALUE"""),"")</f>
        <v/>
      </c>
      <c r="L2239" s="4">
        <f>IFERROR(__xludf.DUMMYFUNCTION("""COMPUTED_VALUE"""),45949.29863005246)</f>
        <v>45949.29863</v>
      </c>
      <c r="M2239" s="1" t="str">
        <f>IFERROR(__xludf.DUMMYFUNCTION("""COMPUTED_VALUE"""),"RFID")</f>
        <v>RFID</v>
      </c>
      <c r="N2239" s="5">
        <f>IFERROR(__xludf.DUMMYFUNCTION("""COMPUTED_VALUE"""),0.010153912037037038)</f>
        <v>0.01015391204</v>
      </c>
      <c r="O2239" s="5" t="str">
        <f>IFERROR(__xludf.DUMMYFUNCTION("""COMPUTED_VALUE"""),"")</f>
        <v/>
      </c>
      <c r="P2239" s="5" t="str">
        <f>IFERROR(__xludf.DUMMYFUNCTION("""COMPUTED_VALUE"""),"")</f>
        <v/>
      </c>
      <c r="Q2239" s="5">
        <f>IFERROR(__xludf.DUMMYFUNCTION("""COMPUTED_VALUE"""),0.008737199074074073)</f>
        <v>0.008737199074</v>
      </c>
      <c r="R2239" s="4">
        <f>IFERROR(__xludf.DUMMYFUNCTION("""COMPUTED_VALUE"""),45949.04368598996)</f>
        <v>45949.04369</v>
      </c>
      <c r="S2239" s="1" t="b">
        <f>IFERROR(__xludf.DUMMYFUNCTION("""COMPUTED_VALUE"""),TRUE)</f>
        <v>1</v>
      </c>
      <c r="T2239" s="1" t="b">
        <f>IFERROR(__xludf.DUMMYFUNCTION("""COMPUTED_VALUE"""),FALSE)</f>
        <v>0</v>
      </c>
      <c r="U2239" s="1" t="str">
        <f>IFERROR(__xludf.DUMMYFUNCTION("""COMPUTED_VALUE"""),"VALID")</f>
        <v>VALID</v>
      </c>
      <c r="V2239" s="1">
        <f>IFERROR(__xludf.DUMMYFUNCTION("""COMPUTED_VALUE"""),774.0)</f>
        <v>774</v>
      </c>
      <c r="W2239" s="1">
        <f>IFERROR(__xludf.DUMMYFUNCTION("""COMPUTED_VALUE"""),1391.0)</f>
        <v>1391</v>
      </c>
      <c r="X2239" s="1">
        <f>IFERROR(__xludf.DUMMYFUNCTION("""COMPUTED_VALUE"""),1131.0)</f>
        <v>1131</v>
      </c>
      <c r="Y2239" s="2"/>
      <c r="Z2239" s="2"/>
    </row>
    <row r="2240">
      <c r="A2240" s="1">
        <f>IFERROR(__xludf.DUMMYFUNCTION("""COMPUTED_VALUE"""),2239.0)</f>
        <v>2239</v>
      </c>
      <c r="B2240" s="1">
        <f>IFERROR(__xludf.DUMMYFUNCTION("""COMPUTED_VALUE"""),5939.0)</f>
        <v>5939</v>
      </c>
      <c r="C2240" s="2" t="str">
        <f>IFERROR(__xludf.DUMMYFUNCTION("""COMPUTED_VALUE"""),"Fazzeri")</f>
        <v>Fazzeri</v>
      </c>
      <c r="D2240" s="2" t="str">
        <f>IFERROR(__xludf.DUMMYFUNCTION("""COMPUTED_VALUE"""),"5KM OVERALL M")</f>
        <v>5KM OVERALL M</v>
      </c>
      <c r="E2240" s="1">
        <f>IFERROR(__xludf.DUMMYFUNCTION("""COMPUTED_VALUE"""),2.0)</f>
        <v>2</v>
      </c>
      <c r="F2240" s="1" t="str">
        <f>IFERROR(__xludf.DUMMYFUNCTION("""COMPUTED_VALUE"""),"Male")</f>
        <v>Male</v>
      </c>
      <c r="G2240" s="4" t="b">
        <f>IFERROR(__xludf.DUMMYFUNCTION("""COMPUTED_VALUE"""),TRUE)</f>
        <v>1</v>
      </c>
      <c r="H2240" s="4" t="b">
        <f>IFERROR(__xludf.DUMMYFUNCTION("""COMPUTED_VALUE"""),TRUE)</f>
        <v>1</v>
      </c>
      <c r="I2240" s="4">
        <f>IFERROR(__xludf.DUMMYFUNCTION("""COMPUTED_VALUE"""),0.2549440625)</f>
        <v>0.2549440625</v>
      </c>
      <c r="J2240" s="4">
        <f>IFERROR(__xludf.DUMMYFUNCTION("""COMPUTED_VALUE"""),45949.266165572386)</f>
        <v>45949.26617</v>
      </c>
      <c r="K2240" s="4" t="str">
        <f>IFERROR(__xludf.DUMMYFUNCTION("""COMPUTED_VALUE"""),"")</f>
        <v/>
      </c>
      <c r="L2240" s="4">
        <f>IFERROR(__xludf.DUMMYFUNCTION("""COMPUTED_VALUE"""),45949.27380365341)</f>
        <v>45949.2738</v>
      </c>
      <c r="M2240" s="1" t="str">
        <f>IFERROR(__xludf.DUMMYFUNCTION("""COMPUTED_VALUE"""),"RFID")</f>
        <v>RFID</v>
      </c>
      <c r="N2240" s="5">
        <f>IFERROR(__xludf.DUMMYFUNCTION("""COMPUTED_VALUE"""),0.004488601851851852)</f>
        <v>0.004488601852</v>
      </c>
      <c r="O2240" s="5" t="str">
        <f>IFERROR(__xludf.DUMMYFUNCTION("""COMPUTED_VALUE"""),"")</f>
        <v/>
      </c>
      <c r="P2240" s="5" t="str">
        <f>IFERROR(__xludf.DUMMYFUNCTION("""COMPUTED_VALUE"""),"")</f>
        <v/>
      </c>
      <c r="Q2240" s="5">
        <f>IFERROR(__xludf.DUMMYFUNCTION("""COMPUTED_VALUE"""),0.003771918981481481)</f>
        <v>0.003771918981</v>
      </c>
      <c r="R2240" s="4">
        <f>IFERROR(__xludf.DUMMYFUNCTION("""COMPUTED_VALUE"""),45949.018859590906)</f>
        <v>45949.01886</v>
      </c>
      <c r="S2240" s="1" t="b">
        <f>IFERROR(__xludf.DUMMYFUNCTION("""COMPUTED_VALUE"""),TRUE)</f>
        <v>1</v>
      </c>
      <c r="T2240" s="1" t="b">
        <f>IFERROR(__xludf.DUMMYFUNCTION("""COMPUTED_VALUE"""),FALSE)</f>
        <v>0</v>
      </c>
      <c r="U2240" s="1" t="str">
        <f>IFERROR(__xludf.DUMMYFUNCTION("""COMPUTED_VALUE"""),"VALID")</f>
        <v>VALID</v>
      </c>
      <c r="V2240" s="1">
        <f>IFERROR(__xludf.DUMMYFUNCTION("""COMPUTED_VALUE"""),55.0)</f>
        <v>55</v>
      </c>
      <c r="W2240" s="1">
        <f>IFERROR(__xludf.DUMMYFUNCTION("""COMPUTED_VALUE"""),81.0)</f>
        <v>81</v>
      </c>
      <c r="X2240" s="1">
        <f>IFERROR(__xludf.DUMMYFUNCTION("""COMPUTED_VALUE"""),74.0)</f>
        <v>74</v>
      </c>
      <c r="Y2240" s="2"/>
      <c r="Z2240" s="2"/>
    </row>
    <row r="2241">
      <c r="A2241" s="1">
        <f>IFERROR(__xludf.DUMMYFUNCTION("""COMPUTED_VALUE"""),2240.0)</f>
        <v>2240</v>
      </c>
      <c r="B2241" s="1">
        <f>IFERROR(__xludf.DUMMYFUNCTION("""COMPUTED_VALUE"""),5941.0)</f>
        <v>5941</v>
      </c>
      <c r="C2241" s="2" t="str">
        <f>IFERROR(__xludf.DUMMYFUNCTION("""COMPUTED_VALUE"""),"IWAN SOELISTIJONO")</f>
        <v>IWAN SOELISTIJONO</v>
      </c>
      <c r="D2241" s="2" t="str">
        <f>IFERROR(__xludf.DUMMYFUNCTION("""COMPUTED_VALUE"""),"5KM OVERALL M")</f>
        <v>5KM OVERALL M</v>
      </c>
      <c r="E2241" s="1">
        <f>IFERROR(__xludf.DUMMYFUNCTION("""COMPUTED_VALUE"""),2.0)</f>
        <v>2</v>
      </c>
      <c r="F2241" s="1" t="str">
        <f>IFERROR(__xludf.DUMMYFUNCTION("""COMPUTED_VALUE"""),"Male")</f>
        <v>Male</v>
      </c>
      <c r="G2241" s="4" t="b">
        <f>IFERROR(__xludf.DUMMYFUNCTION("""COMPUTED_VALUE"""),TRUE)</f>
        <v>1</v>
      </c>
      <c r="H2241" s="4" t="b">
        <f>IFERROR(__xludf.DUMMYFUNCTION("""COMPUTED_VALUE"""),TRUE)</f>
        <v>1</v>
      </c>
      <c r="I2241" s="4">
        <f>IFERROR(__xludf.DUMMYFUNCTION("""COMPUTED_VALUE"""),0.2549440625)</f>
        <v>0.2549440625</v>
      </c>
      <c r="J2241" s="4">
        <f>IFERROR(__xludf.DUMMYFUNCTION("""COMPUTED_VALUE"""),45949.2842975856)</f>
        <v>45949.2843</v>
      </c>
      <c r="K2241" s="4" t="str">
        <f>IFERROR(__xludf.DUMMYFUNCTION("""COMPUTED_VALUE"""),"")</f>
        <v/>
      </c>
      <c r="L2241" s="4">
        <f>IFERROR(__xludf.DUMMYFUNCTION("""COMPUTED_VALUE"""),45949.30291824701)</f>
        <v>45949.30292</v>
      </c>
      <c r="M2241" s="1" t="str">
        <f>IFERROR(__xludf.DUMMYFUNCTION("""COMPUTED_VALUE"""),"RFID")</f>
        <v>RFID</v>
      </c>
      <c r="N2241" s="5">
        <f>IFERROR(__xludf.DUMMYFUNCTION("""COMPUTED_VALUE"""),0.011741407407407405)</f>
        <v>0.01174140741</v>
      </c>
      <c r="O2241" s="5" t="str">
        <f>IFERROR(__xludf.DUMMYFUNCTION("""COMPUTED_VALUE"""),"")</f>
        <v/>
      </c>
      <c r="P2241" s="5" t="str">
        <f>IFERROR(__xludf.DUMMYFUNCTION("""COMPUTED_VALUE"""),"")</f>
        <v/>
      </c>
      <c r="Q2241" s="5">
        <f>IFERROR(__xludf.DUMMYFUNCTION("""COMPUTED_VALUE"""),0.009594837962962965)</f>
        <v>0.009594837963</v>
      </c>
      <c r="R2241" s="4">
        <f>IFERROR(__xludf.DUMMYFUNCTION("""COMPUTED_VALUE"""),45949.04797418451)</f>
        <v>45949.04797</v>
      </c>
      <c r="S2241" s="1" t="b">
        <f>IFERROR(__xludf.DUMMYFUNCTION("""COMPUTED_VALUE"""),TRUE)</f>
        <v>1</v>
      </c>
      <c r="T2241" s="1" t="b">
        <f>IFERROR(__xludf.DUMMYFUNCTION("""COMPUTED_VALUE"""),FALSE)</f>
        <v>0</v>
      </c>
      <c r="U2241" s="1" t="str">
        <f>IFERROR(__xludf.DUMMYFUNCTION("""COMPUTED_VALUE"""),"VALID")</f>
        <v>VALID</v>
      </c>
      <c r="V2241" s="1">
        <f>IFERROR(__xludf.DUMMYFUNCTION("""COMPUTED_VALUE"""),827.0)</f>
        <v>827</v>
      </c>
      <c r="W2241" s="1">
        <f>IFERROR(__xludf.DUMMYFUNCTION("""COMPUTED_VALUE"""),1544.0)</f>
        <v>1544</v>
      </c>
      <c r="X2241" s="1">
        <f>IFERROR(__xludf.DUMMYFUNCTION("""COMPUTED_VALUE"""),1306.0)</f>
        <v>1306</v>
      </c>
      <c r="Y2241" s="2"/>
      <c r="Z2241" s="2"/>
    </row>
    <row r="2242">
      <c r="A2242" s="1">
        <f>IFERROR(__xludf.DUMMYFUNCTION("""COMPUTED_VALUE"""),2241.0)</f>
        <v>2241</v>
      </c>
      <c r="B2242" s="1">
        <f>IFERROR(__xludf.DUMMYFUNCTION("""COMPUTED_VALUE"""),5943.0)</f>
        <v>5943</v>
      </c>
      <c r="C2242" s="2" t="str">
        <f>IFERROR(__xludf.DUMMYFUNCTION("""COMPUTED_VALUE"""),"Herlyanto Effendy")</f>
        <v>Herlyanto Effendy</v>
      </c>
      <c r="D2242" s="2" t="str">
        <f>IFERROR(__xludf.DUMMYFUNCTION("""COMPUTED_VALUE"""),"5KM OVERALL M")</f>
        <v>5KM OVERALL M</v>
      </c>
      <c r="E2242" s="1">
        <f>IFERROR(__xludf.DUMMYFUNCTION("""COMPUTED_VALUE"""),2.0)</f>
        <v>2</v>
      </c>
      <c r="F2242" s="1" t="str">
        <f>IFERROR(__xludf.DUMMYFUNCTION("""COMPUTED_VALUE"""),"Male")</f>
        <v>Male</v>
      </c>
      <c r="G2242" s="4" t="b">
        <f>IFERROR(__xludf.DUMMYFUNCTION("""COMPUTED_VALUE"""),TRUE)</f>
        <v>1</v>
      </c>
      <c r="H2242" s="4" t="b">
        <f>IFERROR(__xludf.DUMMYFUNCTION("""COMPUTED_VALUE"""),FALSE)</f>
        <v>0</v>
      </c>
      <c r="I2242" s="4">
        <f>IFERROR(__xludf.DUMMYFUNCTION("""COMPUTED_VALUE"""),0.2549440625)</f>
        <v>0.2549440625</v>
      </c>
      <c r="J2242" s="4">
        <f>IFERROR(__xludf.DUMMYFUNCTION("""COMPUTED_VALUE"""),45949.280870450726)</f>
        <v>45949.28087</v>
      </c>
      <c r="K2242" s="4" t="str">
        <f>IFERROR(__xludf.DUMMYFUNCTION("""COMPUTED_VALUE"""),"")</f>
        <v/>
      </c>
      <c r="L2242" s="4">
        <f>IFERROR(__xludf.DUMMYFUNCTION("""COMPUTED_VALUE"""),45949.29870645121)</f>
        <v>45949.29871</v>
      </c>
      <c r="M2242" s="1" t="str">
        <f>IFERROR(__xludf.DUMMYFUNCTION("""COMPUTED_VALUE"""),"RFID")</f>
        <v>RFID</v>
      </c>
      <c r="N2242" s="5">
        <f>IFERROR(__xludf.DUMMYFUNCTION("""COMPUTED_VALUE"""),0.010370555555555555)</f>
        <v>0.01037055556</v>
      </c>
      <c r="O2242" s="5" t="str">
        <f>IFERROR(__xludf.DUMMYFUNCTION("""COMPUTED_VALUE"""),"")</f>
        <v/>
      </c>
      <c r="P2242" s="5" t="str">
        <f>IFERROR(__xludf.DUMMYFUNCTION("""COMPUTED_VALUE"""),"")</f>
        <v/>
      </c>
      <c r="Q2242" s="5">
        <f>IFERROR(__xludf.DUMMYFUNCTION("""COMPUTED_VALUE"""),0.008752476851851852)</f>
        <v>0.008752476852</v>
      </c>
      <c r="R2242" s="4">
        <f>IFERROR(__xludf.DUMMYFUNCTION("""COMPUTED_VALUE"""),45949.04376238871)</f>
        <v>45949.04376</v>
      </c>
      <c r="S2242" s="1" t="b">
        <f>IFERROR(__xludf.DUMMYFUNCTION("""COMPUTED_VALUE"""),TRUE)</f>
        <v>1</v>
      </c>
      <c r="T2242" s="1" t="b">
        <f>IFERROR(__xludf.DUMMYFUNCTION("""COMPUTED_VALUE"""),FALSE)</f>
        <v>0</v>
      </c>
      <c r="U2242" s="1" t="str">
        <f>IFERROR(__xludf.DUMMYFUNCTION("""COMPUTED_VALUE"""),"VALID")</f>
        <v>VALID</v>
      </c>
      <c r="V2242" s="1">
        <f>IFERROR(__xludf.DUMMYFUNCTION("""COMPUTED_VALUE"""),776.0)</f>
        <v>776</v>
      </c>
      <c r="W2242" s="1">
        <f>IFERROR(__xludf.DUMMYFUNCTION("""COMPUTED_VALUE"""),1397.0)</f>
        <v>1397</v>
      </c>
      <c r="X2242" s="1">
        <f>IFERROR(__xludf.DUMMYFUNCTION("""COMPUTED_VALUE"""),1136.0)</f>
        <v>1136</v>
      </c>
      <c r="Y2242" s="2"/>
      <c r="Z2242" s="2"/>
    </row>
    <row r="2243">
      <c r="A2243" s="1">
        <f>IFERROR(__xludf.DUMMYFUNCTION("""COMPUTED_VALUE"""),2242.0)</f>
        <v>2242</v>
      </c>
      <c r="B2243" s="1">
        <f>IFERROR(__xludf.DUMMYFUNCTION("""COMPUTED_VALUE"""),5944.0)</f>
        <v>5944</v>
      </c>
      <c r="C2243" s="2" t="str">
        <f>IFERROR(__xludf.DUMMYFUNCTION("""COMPUTED_VALUE"""),"Fikri")</f>
        <v>Fikri</v>
      </c>
      <c r="D2243" s="2" t="str">
        <f>IFERROR(__xludf.DUMMYFUNCTION("""COMPUTED_VALUE"""),"5KM OVERALL M")</f>
        <v>5KM OVERALL M</v>
      </c>
      <c r="E2243" s="1">
        <f>IFERROR(__xludf.DUMMYFUNCTION("""COMPUTED_VALUE"""),2.0)</f>
        <v>2</v>
      </c>
      <c r="F2243" s="1" t="str">
        <f>IFERROR(__xludf.DUMMYFUNCTION("""COMPUTED_VALUE"""),"Male")</f>
        <v>Male</v>
      </c>
      <c r="G2243" s="4" t="b">
        <f>IFERROR(__xludf.DUMMYFUNCTION("""COMPUTED_VALUE"""),TRUE)</f>
        <v>1</v>
      </c>
      <c r="H2243" s="4" t="b">
        <f>IFERROR(__xludf.DUMMYFUNCTION("""COMPUTED_VALUE"""),TRUE)</f>
        <v>1</v>
      </c>
      <c r="I2243" s="4">
        <f>IFERROR(__xludf.DUMMYFUNCTION("""COMPUTED_VALUE"""),0.2549440625)</f>
        <v>0.2549440625</v>
      </c>
      <c r="J2243" s="4">
        <f>IFERROR(__xludf.DUMMYFUNCTION("""COMPUTED_VALUE"""),45949.27878711013)</f>
        <v>45949.27879</v>
      </c>
      <c r="K2243" s="4" t="str">
        <f>IFERROR(__xludf.DUMMYFUNCTION("""COMPUTED_VALUE"""),"")</f>
        <v/>
      </c>
      <c r="L2243" s="4">
        <f>IFERROR(__xludf.DUMMYFUNCTION("""COMPUTED_VALUE"""),45949.294768921216)</f>
        <v>45949.29477</v>
      </c>
      <c r="M2243" s="1" t="str">
        <f>IFERROR(__xludf.DUMMYFUNCTION("""COMPUTED_VALUE"""),"RFID")</f>
        <v>RFID</v>
      </c>
      <c r="N2243" s="5">
        <f>IFERROR(__xludf.DUMMYFUNCTION("""COMPUTED_VALUE"""),0.009537217592592594)</f>
        <v>0.009537217593</v>
      </c>
      <c r="O2243" s="5" t="str">
        <f>IFERROR(__xludf.DUMMYFUNCTION("""COMPUTED_VALUE"""),"")</f>
        <v/>
      </c>
      <c r="P2243" s="5" t="str">
        <f>IFERROR(__xludf.DUMMYFUNCTION("""COMPUTED_VALUE"""),"")</f>
        <v/>
      </c>
      <c r="Q2243" s="5">
        <f>IFERROR(__xludf.DUMMYFUNCTION("""COMPUTED_VALUE"""),0.007964972222222222)</f>
        <v>0.007964972222</v>
      </c>
      <c r="R2243" s="4">
        <f>IFERROR(__xludf.DUMMYFUNCTION("""COMPUTED_VALUE"""),45949.039824858715)</f>
        <v>45949.03982</v>
      </c>
      <c r="S2243" s="1" t="b">
        <f>IFERROR(__xludf.DUMMYFUNCTION("""COMPUTED_VALUE"""),TRUE)</f>
        <v>1</v>
      </c>
      <c r="T2243" s="1" t="b">
        <f>IFERROR(__xludf.DUMMYFUNCTION("""COMPUTED_VALUE"""),FALSE)</f>
        <v>0</v>
      </c>
      <c r="U2243" s="1" t="str">
        <f>IFERROR(__xludf.DUMMYFUNCTION("""COMPUTED_VALUE"""),"VALID")</f>
        <v>VALID</v>
      </c>
      <c r="V2243" s="1">
        <f>IFERROR(__xludf.DUMMYFUNCTION("""COMPUTED_VALUE"""),711.0)</f>
        <v>711</v>
      </c>
      <c r="W2243" s="1">
        <f>IFERROR(__xludf.DUMMYFUNCTION("""COMPUTED_VALUE"""),1237.0)</f>
        <v>1237</v>
      </c>
      <c r="X2243" s="1">
        <f>IFERROR(__xludf.DUMMYFUNCTION("""COMPUTED_VALUE"""),970.0)</f>
        <v>970</v>
      </c>
      <c r="Y2243" s="2"/>
      <c r="Z2243" s="2"/>
    </row>
    <row r="2244">
      <c r="A2244" s="1">
        <f>IFERROR(__xludf.DUMMYFUNCTION("""COMPUTED_VALUE"""),2243.0)</f>
        <v>2243</v>
      </c>
      <c r="B2244" s="1">
        <f>IFERROR(__xludf.DUMMYFUNCTION("""COMPUTED_VALUE"""),5946.0)</f>
        <v>5946</v>
      </c>
      <c r="C2244" s="2" t="str">
        <f>IFERROR(__xludf.DUMMYFUNCTION("""COMPUTED_VALUE"""),"SINUNG")</f>
        <v>SINUNG</v>
      </c>
      <c r="D2244" s="2" t="str">
        <f>IFERROR(__xludf.DUMMYFUNCTION("""COMPUTED_VALUE"""),"5KM OVERALL M")</f>
        <v>5KM OVERALL M</v>
      </c>
      <c r="E2244" s="1">
        <f>IFERROR(__xludf.DUMMYFUNCTION("""COMPUTED_VALUE"""),2.0)</f>
        <v>2</v>
      </c>
      <c r="F2244" s="1" t="str">
        <f>IFERROR(__xludf.DUMMYFUNCTION("""COMPUTED_VALUE"""),"Male")</f>
        <v>Male</v>
      </c>
      <c r="G2244" s="4" t="b">
        <f>IFERROR(__xludf.DUMMYFUNCTION("""COMPUTED_VALUE"""),TRUE)</f>
        <v>1</v>
      </c>
      <c r="H2244" s="4" t="b">
        <f>IFERROR(__xludf.DUMMYFUNCTION("""COMPUTED_VALUE"""),FALSE)</f>
        <v>0</v>
      </c>
      <c r="I2244" s="4">
        <f>IFERROR(__xludf.DUMMYFUNCTION("""COMPUTED_VALUE"""),0.2549440625)</f>
        <v>0.2549440625</v>
      </c>
      <c r="J2244" s="4">
        <f>IFERROR(__xludf.DUMMYFUNCTION("""COMPUTED_VALUE"""),45949.27613090637)</f>
        <v>45949.27613</v>
      </c>
      <c r="K2244" s="4" t="str">
        <f>IFERROR(__xludf.DUMMYFUNCTION("""COMPUTED_VALUE"""),"")</f>
        <v/>
      </c>
      <c r="L2244" s="4">
        <f>IFERROR(__xludf.DUMMYFUNCTION("""COMPUTED_VALUE"""),45949.288689060995)</f>
        <v>45949.28869</v>
      </c>
      <c r="M2244" s="1" t="str">
        <f>IFERROR(__xludf.DUMMYFUNCTION("""COMPUTED_VALUE"""),"RFID")</f>
        <v>RFID</v>
      </c>
      <c r="N2244" s="5">
        <f>IFERROR(__xludf.DUMMYFUNCTION("""COMPUTED_VALUE"""),0.00847473611111111)</f>
        <v>0.008474736111</v>
      </c>
      <c r="O2244" s="5" t="str">
        <f>IFERROR(__xludf.DUMMYFUNCTION("""COMPUTED_VALUE"""),"")</f>
        <v/>
      </c>
      <c r="P2244" s="5" t="str">
        <f>IFERROR(__xludf.DUMMYFUNCTION("""COMPUTED_VALUE"""),"")</f>
        <v/>
      </c>
      <c r="Q2244" s="5">
        <f>IFERROR(__xludf.DUMMYFUNCTION("""COMPUTED_VALUE"""),0.006749000000000001)</f>
        <v>0.006749</v>
      </c>
      <c r="R2244" s="4">
        <f>IFERROR(__xludf.DUMMYFUNCTION("""COMPUTED_VALUE"""),45949.033744998495)</f>
        <v>45949.03374</v>
      </c>
      <c r="S2244" s="1" t="b">
        <f>IFERROR(__xludf.DUMMYFUNCTION("""COMPUTED_VALUE"""),TRUE)</f>
        <v>1</v>
      </c>
      <c r="T2244" s="1" t="b">
        <f>IFERROR(__xludf.DUMMYFUNCTION("""COMPUTED_VALUE"""),FALSE)</f>
        <v>0</v>
      </c>
      <c r="U2244" s="1" t="str">
        <f>IFERROR(__xludf.DUMMYFUNCTION("""COMPUTED_VALUE"""),"VALID")</f>
        <v>VALID</v>
      </c>
      <c r="V2244" s="1">
        <f>IFERROR(__xludf.DUMMYFUNCTION("""COMPUTED_VALUE"""),521.0)</f>
        <v>521</v>
      </c>
      <c r="W2244" s="1">
        <f>IFERROR(__xludf.DUMMYFUNCTION("""COMPUTED_VALUE"""),822.0)</f>
        <v>822</v>
      </c>
      <c r="X2244" s="1">
        <f>IFERROR(__xludf.DUMMYFUNCTION("""COMPUTED_VALUE"""),674.0)</f>
        <v>674</v>
      </c>
      <c r="Y2244" s="2"/>
      <c r="Z2244" s="2"/>
    </row>
    <row r="2245">
      <c r="A2245" s="1">
        <f>IFERROR(__xludf.DUMMYFUNCTION("""COMPUTED_VALUE"""),2244.0)</f>
        <v>2244</v>
      </c>
      <c r="B2245" s="1">
        <f>IFERROR(__xludf.DUMMYFUNCTION("""COMPUTED_VALUE"""),5947.0)</f>
        <v>5947</v>
      </c>
      <c r="C2245" s="2" t="str">
        <f>IFERROR(__xludf.DUMMYFUNCTION("""COMPUTED_VALUE"""),"Bangkit Satria")</f>
        <v>Bangkit Satria</v>
      </c>
      <c r="D2245" s="2" t="str">
        <f>IFERROR(__xludf.DUMMYFUNCTION("""COMPUTED_VALUE"""),"5KM OVERALL M")</f>
        <v>5KM OVERALL M</v>
      </c>
      <c r="E2245" s="1">
        <f>IFERROR(__xludf.DUMMYFUNCTION("""COMPUTED_VALUE"""),2.0)</f>
        <v>2</v>
      </c>
      <c r="F2245" s="1" t="str">
        <f>IFERROR(__xludf.DUMMYFUNCTION("""COMPUTED_VALUE"""),"Male")</f>
        <v>Male</v>
      </c>
      <c r="G2245" s="4" t="b">
        <f>IFERROR(__xludf.DUMMYFUNCTION("""COMPUTED_VALUE"""),TRUE)</f>
        <v>1</v>
      </c>
      <c r="H2245" s="4" t="b">
        <f>IFERROR(__xludf.DUMMYFUNCTION("""COMPUTED_VALUE"""),FALSE)</f>
        <v>0</v>
      </c>
      <c r="I2245" s="4">
        <f>IFERROR(__xludf.DUMMYFUNCTION("""COMPUTED_VALUE"""),0.2549440625)</f>
        <v>0.2549440625</v>
      </c>
      <c r="J2245" s="4">
        <f>IFERROR(__xludf.DUMMYFUNCTION("""COMPUTED_VALUE"""),45949.27699550145)</f>
        <v>45949.277</v>
      </c>
      <c r="K2245" s="4" t="str">
        <f>IFERROR(__xludf.DUMMYFUNCTION("""COMPUTED_VALUE"""),"")</f>
        <v/>
      </c>
      <c r="L2245" s="4">
        <f>IFERROR(__xludf.DUMMYFUNCTION("""COMPUTED_VALUE"""),45949.29342170926)</f>
        <v>45949.29342</v>
      </c>
      <c r="M2245" s="1" t="str">
        <f>IFERROR(__xludf.DUMMYFUNCTION("""COMPUTED_VALUE"""),"RFID")</f>
        <v>RFID</v>
      </c>
      <c r="N2245" s="5">
        <f>IFERROR(__xludf.DUMMYFUNCTION("""COMPUTED_VALUE"""),0.008820574074074074)</f>
        <v>0.008820574074</v>
      </c>
      <c r="O2245" s="5" t="str">
        <f>IFERROR(__xludf.DUMMYFUNCTION("""COMPUTED_VALUE"""),"")</f>
        <v/>
      </c>
      <c r="P2245" s="5" t="str">
        <f>IFERROR(__xludf.DUMMYFUNCTION("""COMPUTED_VALUE"""),"")</f>
        <v/>
      </c>
      <c r="Q2245" s="5">
        <f>IFERROR(__xludf.DUMMYFUNCTION("""COMPUTED_VALUE"""),0.007695530092592592)</f>
        <v>0.007695530093</v>
      </c>
      <c r="R2245" s="4">
        <f>IFERROR(__xludf.DUMMYFUNCTION("""COMPUTED_VALUE"""),45949.03847764676)</f>
        <v>45949.03848</v>
      </c>
      <c r="S2245" s="1" t="b">
        <f>IFERROR(__xludf.DUMMYFUNCTION("""COMPUTED_VALUE"""),TRUE)</f>
        <v>1</v>
      </c>
      <c r="T2245" s="1" t="b">
        <f>IFERROR(__xludf.DUMMYFUNCTION("""COMPUTED_VALUE"""),FALSE)</f>
        <v>0</v>
      </c>
      <c r="U2245" s="1" t="str">
        <f>IFERROR(__xludf.DUMMYFUNCTION("""COMPUTED_VALUE"""),"VALID")</f>
        <v>VALID</v>
      </c>
      <c r="V2245" s="1">
        <f>IFERROR(__xludf.DUMMYFUNCTION("""COMPUTED_VALUE"""),666.0)</f>
        <v>666</v>
      </c>
      <c r="W2245" s="1">
        <f>IFERROR(__xludf.DUMMYFUNCTION("""COMPUTED_VALUE"""),1133.0)</f>
        <v>1133</v>
      </c>
      <c r="X2245" s="1">
        <f>IFERROR(__xludf.DUMMYFUNCTION("""COMPUTED_VALUE"""),900.0)</f>
        <v>900</v>
      </c>
      <c r="Y2245" s="2"/>
      <c r="Z2245" s="2"/>
    </row>
    <row r="2246">
      <c r="A2246" s="1">
        <f>IFERROR(__xludf.DUMMYFUNCTION("""COMPUTED_VALUE"""),2245.0)</f>
        <v>2245</v>
      </c>
      <c r="B2246" s="1">
        <f>IFERROR(__xludf.DUMMYFUNCTION("""COMPUTED_VALUE"""),5948.0)</f>
        <v>5948</v>
      </c>
      <c r="C2246" s="2" t="str">
        <f>IFERROR(__xludf.DUMMYFUNCTION("""COMPUTED_VALUE"""),"Aulia")</f>
        <v>Aulia</v>
      </c>
      <c r="D2246" s="2" t="str">
        <f>IFERROR(__xludf.DUMMYFUNCTION("""COMPUTED_VALUE"""),"5KM OVERALL M")</f>
        <v>5KM OVERALL M</v>
      </c>
      <c r="E2246" s="1">
        <f>IFERROR(__xludf.DUMMYFUNCTION("""COMPUTED_VALUE"""),2.0)</f>
        <v>2</v>
      </c>
      <c r="F2246" s="1" t="str">
        <f>IFERROR(__xludf.DUMMYFUNCTION("""COMPUTED_VALUE"""),"Male")</f>
        <v>Male</v>
      </c>
      <c r="G2246" s="4" t="b">
        <f>IFERROR(__xludf.DUMMYFUNCTION("""COMPUTED_VALUE"""),TRUE)</f>
        <v>1</v>
      </c>
      <c r="H2246" s="4" t="b">
        <f>IFERROR(__xludf.DUMMYFUNCTION("""COMPUTED_VALUE"""),TRUE)</f>
        <v>1</v>
      </c>
      <c r="I2246" s="4">
        <f>IFERROR(__xludf.DUMMYFUNCTION("""COMPUTED_VALUE"""),0.2549440625)</f>
        <v>0.2549440625</v>
      </c>
      <c r="J2246" s="4">
        <f>IFERROR(__xludf.DUMMYFUNCTION("""COMPUTED_VALUE"""),45949.28165174949)</f>
        <v>45949.28165</v>
      </c>
      <c r="K2246" s="4" t="str">
        <f>IFERROR(__xludf.DUMMYFUNCTION("""COMPUTED_VALUE"""),"")</f>
        <v/>
      </c>
      <c r="L2246" s="4">
        <f>IFERROR(__xludf.DUMMYFUNCTION("""COMPUTED_VALUE"""),45949.302636997454)</f>
        <v>45949.30264</v>
      </c>
      <c r="M2246" s="1" t="str">
        <f>IFERROR(__xludf.DUMMYFUNCTION("""COMPUTED_VALUE"""),"RFID")</f>
        <v>RFID</v>
      </c>
      <c r="N2246" s="5">
        <f>IFERROR(__xludf.DUMMYFUNCTION("""COMPUTED_VALUE"""),0.010683074074074074)</f>
        <v>0.01068307407</v>
      </c>
      <c r="O2246" s="5" t="str">
        <f>IFERROR(__xludf.DUMMYFUNCTION("""COMPUTED_VALUE"""),"")</f>
        <v/>
      </c>
      <c r="P2246" s="5" t="str">
        <f>IFERROR(__xludf.DUMMYFUNCTION("""COMPUTED_VALUE"""),"")</f>
        <v/>
      </c>
      <c r="Q2246" s="5">
        <f>IFERROR(__xludf.DUMMYFUNCTION("""COMPUTED_VALUE"""),0.009538587962962964)</f>
        <v>0.009538587963</v>
      </c>
      <c r="R2246" s="4">
        <f>IFERROR(__xludf.DUMMYFUNCTION("""COMPUTED_VALUE"""),45949.04769293495)</f>
        <v>45949.04769</v>
      </c>
      <c r="S2246" s="1" t="b">
        <f>IFERROR(__xludf.DUMMYFUNCTION("""COMPUTED_VALUE"""),TRUE)</f>
        <v>1</v>
      </c>
      <c r="T2246" s="1" t="b">
        <f>IFERROR(__xludf.DUMMYFUNCTION("""COMPUTED_VALUE"""),FALSE)</f>
        <v>0</v>
      </c>
      <c r="U2246" s="1" t="str">
        <f>IFERROR(__xludf.DUMMYFUNCTION("""COMPUTED_VALUE"""),"VALID")</f>
        <v>VALID</v>
      </c>
      <c r="V2246" s="1">
        <f>IFERROR(__xludf.DUMMYFUNCTION("""COMPUTED_VALUE"""),823.0)</f>
        <v>823</v>
      </c>
      <c r="W2246" s="1">
        <f>IFERROR(__xludf.DUMMYFUNCTION("""COMPUTED_VALUE"""),1530.0)</f>
        <v>1530</v>
      </c>
      <c r="X2246" s="1">
        <f>IFERROR(__xludf.DUMMYFUNCTION("""COMPUTED_VALUE"""),1292.0)</f>
        <v>1292</v>
      </c>
      <c r="Y2246" s="2"/>
      <c r="Z2246" s="2"/>
    </row>
    <row r="2247">
      <c r="A2247" s="1">
        <f>IFERROR(__xludf.DUMMYFUNCTION("""COMPUTED_VALUE"""),2246.0)</f>
        <v>2246</v>
      </c>
      <c r="B2247" s="1">
        <f>IFERROR(__xludf.DUMMYFUNCTION("""COMPUTED_VALUE"""),5949.0)</f>
        <v>5949</v>
      </c>
      <c r="C2247" s="2" t="str">
        <f>IFERROR(__xludf.DUMMYFUNCTION("""COMPUTED_VALUE"""),"RAFI SOELISTIJONO")</f>
        <v>RAFI SOELISTIJONO</v>
      </c>
      <c r="D2247" s="2" t="str">
        <f>IFERROR(__xludf.DUMMYFUNCTION("""COMPUTED_VALUE"""),"5KM OVERALL M")</f>
        <v>5KM OVERALL M</v>
      </c>
      <c r="E2247" s="1">
        <f>IFERROR(__xludf.DUMMYFUNCTION("""COMPUTED_VALUE"""),2.0)</f>
        <v>2</v>
      </c>
      <c r="F2247" s="1" t="str">
        <f>IFERROR(__xludf.DUMMYFUNCTION("""COMPUTED_VALUE"""),"Male")</f>
        <v>Male</v>
      </c>
      <c r="G2247" s="4" t="str">
        <f>IFERROR(__xludf.DUMMYFUNCTION("""COMPUTED_VALUE"""),"")</f>
        <v/>
      </c>
      <c r="H2247" s="4" t="b">
        <f>IFERROR(__xludf.DUMMYFUNCTION("""COMPUTED_VALUE"""),FALSE)</f>
        <v>0</v>
      </c>
      <c r="I2247" s="4">
        <f>IFERROR(__xludf.DUMMYFUNCTION("""COMPUTED_VALUE"""),0.2549440625)</f>
        <v>0.2549440625</v>
      </c>
      <c r="J2247" s="4" t="str">
        <f>IFERROR(__xludf.DUMMYFUNCTION("""COMPUTED_VALUE"""),"")</f>
        <v/>
      </c>
      <c r="K2247" s="4" t="str">
        <f>IFERROR(__xludf.DUMMYFUNCTION("""COMPUTED_VALUE"""),"")</f>
        <v/>
      </c>
      <c r="L2247" s="4">
        <f>IFERROR(__xludf.DUMMYFUNCTION("""COMPUTED_VALUE"""),45949.28302240484)</f>
        <v>45949.28302</v>
      </c>
      <c r="M2247" s="1" t="str">
        <f>IFERROR(__xludf.DUMMYFUNCTION("""COMPUTED_VALUE"""),"RFID")</f>
        <v>RFID</v>
      </c>
      <c r="N2247" s="5" t="str">
        <f>IFERROR(__xludf.DUMMYFUNCTION("""COMPUTED_VALUE"""),"")</f>
        <v/>
      </c>
      <c r="O2247" s="5" t="str">
        <f>IFERROR(__xludf.DUMMYFUNCTION("""COMPUTED_VALUE"""),"")</f>
        <v/>
      </c>
      <c r="P2247" s="5" t="str">
        <f>IFERROR(__xludf.DUMMYFUNCTION("""COMPUTED_VALUE"""),"")</f>
        <v/>
      </c>
      <c r="Q2247" s="5">
        <f>IFERROR(__xludf.DUMMYFUNCTION("""COMPUTED_VALUE"""),0.005615668981481482)</f>
        <v>0.005615668981</v>
      </c>
      <c r="R2247" s="4">
        <f>IFERROR(__xludf.DUMMYFUNCTION("""COMPUTED_VALUE"""),45949.02807834234)</f>
        <v>45949.02808</v>
      </c>
      <c r="S2247" s="1" t="b">
        <f>IFERROR(__xludf.DUMMYFUNCTION("""COMPUTED_VALUE"""),FALSE)</f>
        <v>0</v>
      </c>
      <c r="T2247" s="1" t="b">
        <f>IFERROR(__xludf.DUMMYFUNCTION("""COMPUTED_VALUE"""),FALSE)</f>
        <v>0</v>
      </c>
      <c r="U2247" s="1" t="str">
        <f>IFERROR(__xludf.DUMMYFUNCTION("""COMPUTED_VALUE"""),"DSQ")</f>
        <v>DSQ</v>
      </c>
      <c r="V2247" s="1" t="str">
        <f>IFERROR(__xludf.DUMMYFUNCTION("""COMPUTED_VALUE"""),"DSQ")</f>
        <v>DSQ</v>
      </c>
      <c r="W2247" s="1" t="str">
        <f>IFERROR(__xludf.DUMMYFUNCTION("""COMPUTED_VALUE"""),"DSQ")</f>
        <v>DSQ</v>
      </c>
      <c r="X2247" s="1" t="str">
        <f>IFERROR(__xludf.DUMMYFUNCTION("""COMPUTED_VALUE"""),"DSQ")</f>
        <v>DSQ</v>
      </c>
      <c r="Y2247" s="2"/>
      <c r="Z2247" s="2" t="str">
        <f>IFERROR(__xludf.DUMMYFUNCTION("""COMPUTED_VALUE"""),"")</f>
        <v/>
      </c>
    </row>
    <row r="2248">
      <c r="A2248" s="1">
        <f>IFERROR(__xludf.DUMMYFUNCTION("""COMPUTED_VALUE"""),2247.0)</f>
        <v>2247</v>
      </c>
      <c r="B2248" s="1">
        <f>IFERROR(__xludf.DUMMYFUNCTION("""COMPUTED_VALUE"""),5950.0)</f>
        <v>5950</v>
      </c>
      <c r="C2248" s="2" t="str">
        <f>IFERROR(__xludf.DUMMYFUNCTION("""COMPUTED_VALUE"""),"Roberth")</f>
        <v>Roberth</v>
      </c>
      <c r="D2248" s="2" t="str">
        <f>IFERROR(__xludf.DUMMYFUNCTION("""COMPUTED_VALUE"""),"5KM OVERALL M")</f>
        <v>5KM OVERALL M</v>
      </c>
      <c r="E2248" s="1">
        <f>IFERROR(__xludf.DUMMYFUNCTION("""COMPUTED_VALUE"""),2.0)</f>
        <v>2</v>
      </c>
      <c r="F2248" s="1" t="str">
        <f>IFERROR(__xludf.DUMMYFUNCTION("""COMPUTED_VALUE"""),"Male")</f>
        <v>Male</v>
      </c>
      <c r="G2248" s="4" t="str">
        <f>IFERROR(__xludf.DUMMYFUNCTION("""COMPUTED_VALUE"""),"")</f>
        <v/>
      </c>
      <c r="H2248" s="4" t="b">
        <f>IFERROR(__xludf.DUMMYFUNCTION("""COMPUTED_VALUE"""),FALSE)</f>
        <v>0</v>
      </c>
      <c r="I2248" s="4">
        <f>IFERROR(__xludf.DUMMYFUNCTION("""COMPUTED_VALUE"""),0.2549440625)</f>
        <v>0.2549440625</v>
      </c>
      <c r="J2248" s="4" t="str">
        <f>IFERROR(__xludf.DUMMYFUNCTION("""COMPUTED_VALUE"""),"")</f>
        <v/>
      </c>
      <c r="K2248" s="4" t="str">
        <f>IFERROR(__xludf.DUMMYFUNCTION("""COMPUTED_VALUE"""),"")</f>
        <v/>
      </c>
      <c r="L2248" s="4" t="str">
        <f>IFERROR(__xludf.DUMMYFUNCTION("""COMPUTED_VALUE"""),"")</f>
        <v/>
      </c>
      <c r="M2248" s="1" t="str">
        <f>IFERROR(__xludf.DUMMYFUNCTION("""COMPUTED_VALUE"""),"RFID")</f>
        <v>RFID</v>
      </c>
      <c r="N2248" s="5" t="str">
        <f>IFERROR(__xludf.DUMMYFUNCTION("""COMPUTED_VALUE"""),"")</f>
        <v/>
      </c>
      <c r="O2248" s="5" t="str">
        <f>IFERROR(__xludf.DUMMYFUNCTION("""COMPUTED_VALUE"""),"")</f>
        <v/>
      </c>
      <c r="P2248" s="5" t="str">
        <f>IFERROR(__xludf.DUMMYFUNCTION("""COMPUTED_VALUE"""),"")</f>
        <v/>
      </c>
      <c r="Q2248" s="5" t="str">
        <f>IFERROR(__xludf.DUMMYFUNCTION("""COMPUTED_VALUE"""),"")</f>
        <v/>
      </c>
      <c r="R2248" s="4" t="str">
        <f>IFERROR(__xludf.DUMMYFUNCTION("""COMPUTED_VALUE"""),"")</f>
        <v/>
      </c>
      <c r="S2248" s="1" t="b">
        <f>IFERROR(__xludf.DUMMYFUNCTION("""COMPUTED_VALUE"""),FALSE)</f>
        <v>0</v>
      </c>
      <c r="T2248" s="1" t="b">
        <f>IFERROR(__xludf.DUMMYFUNCTION("""COMPUTED_VALUE"""),FALSE)</f>
        <v>0</v>
      </c>
      <c r="U2248" s="1" t="str">
        <f>IFERROR(__xludf.DUMMYFUNCTION("""COMPUTED_VALUE"""),"DSQ")</f>
        <v>DSQ</v>
      </c>
      <c r="V2248" s="1" t="str">
        <f>IFERROR(__xludf.DUMMYFUNCTION("""COMPUTED_VALUE"""),"DSQ")</f>
        <v>DSQ</v>
      </c>
      <c r="W2248" s="1" t="str">
        <f>IFERROR(__xludf.DUMMYFUNCTION("""COMPUTED_VALUE"""),"DSQ")</f>
        <v>DSQ</v>
      </c>
      <c r="X2248" s="1" t="str">
        <f>IFERROR(__xludf.DUMMYFUNCTION("""COMPUTED_VALUE"""),"DSQ")</f>
        <v>DSQ</v>
      </c>
      <c r="Y2248" s="2"/>
      <c r="Z2248" s="2" t="str">
        <f>IFERROR(__xludf.DUMMYFUNCTION("""COMPUTED_VALUE"""),"")</f>
        <v/>
      </c>
    </row>
    <row r="2249">
      <c r="A2249" s="1">
        <f>IFERROR(__xludf.DUMMYFUNCTION("""COMPUTED_VALUE"""),2248.0)</f>
        <v>2248</v>
      </c>
      <c r="B2249" s="1">
        <f>IFERROR(__xludf.DUMMYFUNCTION("""COMPUTED_VALUE"""),5951.0)</f>
        <v>5951</v>
      </c>
      <c r="C2249" s="2" t="str">
        <f>IFERROR(__xludf.DUMMYFUNCTION("""COMPUTED_VALUE"""),"Nurhasanah")</f>
        <v>Nurhasanah</v>
      </c>
      <c r="D2249" s="2" t="str">
        <f>IFERROR(__xludf.DUMMYFUNCTION("""COMPUTED_VALUE"""),"5KM OVERALL M")</f>
        <v>5KM OVERALL M</v>
      </c>
      <c r="E2249" s="1">
        <f>IFERROR(__xludf.DUMMYFUNCTION("""COMPUTED_VALUE"""),2.0)</f>
        <v>2</v>
      </c>
      <c r="F2249" s="1" t="str">
        <f>IFERROR(__xludf.DUMMYFUNCTION("""COMPUTED_VALUE"""),"Male")</f>
        <v>Male</v>
      </c>
      <c r="G2249" s="4" t="b">
        <f>IFERROR(__xludf.DUMMYFUNCTION("""COMPUTED_VALUE"""),TRUE)</f>
        <v>1</v>
      </c>
      <c r="H2249" s="4" t="b">
        <f>IFERROR(__xludf.DUMMYFUNCTION("""COMPUTED_VALUE"""),TRUE)</f>
        <v>1</v>
      </c>
      <c r="I2249" s="4">
        <f>IFERROR(__xludf.DUMMYFUNCTION("""COMPUTED_VALUE"""),0.2549440625)</f>
        <v>0.2549440625</v>
      </c>
      <c r="J2249" s="4">
        <f>IFERROR(__xludf.DUMMYFUNCTION("""COMPUTED_VALUE"""),45949.281686479844)</f>
        <v>45949.28169</v>
      </c>
      <c r="K2249" s="4" t="str">
        <f>IFERROR(__xludf.DUMMYFUNCTION("""COMPUTED_VALUE"""),"")</f>
        <v/>
      </c>
      <c r="L2249" s="4">
        <f>IFERROR(__xludf.DUMMYFUNCTION("""COMPUTED_VALUE"""),45949.30260916058)</f>
        <v>45949.30261</v>
      </c>
      <c r="M2249" s="1" t="str">
        <f>IFERROR(__xludf.DUMMYFUNCTION("""COMPUTED_VALUE"""),"RFID")</f>
        <v>RFID</v>
      </c>
      <c r="N2249" s="5">
        <f>IFERROR(__xludf.DUMMYFUNCTION("""COMPUTED_VALUE"""),0.010696967592592593)</f>
        <v>0.01069696759</v>
      </c>
      <c r="O2249" s="5" t="str">
        <f>IFERROR(__xludf.DUMMYFUNCTION("""COMPUTED_VALUE"""),"")</f>
        <v/>
      </c>
      <c r="P2249" s="5" t="str">
        <f>IFERROR(__xludf.DUMMYFUNCTION("""COMPUTED_VALUE"""),"")</f>
        <v/>
      </c>
      <c r="Q2249" s="5">
        <f>IFERROR(__xludf.DUMMYFUNCTION("""COMPUTED_VALUE"""),0.009533018518518519)</f>
        <v>0.009533018519</v>
      </c>
      <c r="R2249" s="4">
        <f>IFERROR(__xludf.DUMMYFUNCTION("""COMPUTED_VALUE"""),45949.04766509808)</f>
        <v>45949.04767</v>
      </c>
      <c r="S2249" s="1" t="b">
        <f>IFERROR(__xludf.DUMMYFUNCTION("""COMPUTED_VALUE"""),TRUE)</f>
        <v>1</v>
      </c>
      <c r="T2249" s="1" t="b">
        <f>IFERROR(__xludf.DUMMYFUNCTION("""COMPUTED_VALUE"""),FALSE)</f>
        <v>0</v>
      </c>
      <c r="U2249" s="1" t="str">
        <f>IFERROR(__xludf.DUMMYFUNCTION("""COMPUTED_VALUE"""),"VALID")</f>
        <v>VALID</v>
      </c>
      <c r="V2249" s="1">
        <f>IFERROR(__xludf.DUMMYFUNCTION("""COMPUTED_VALUE"""),822.0)</f>
        <v>822</v>
      </c>
      <c r="W2249" s="1">
        <f>IFERROR(__xludf.DUMMYFUNCTION("""COMPUTED_VALUE"""),1529.0)</f>
        <v>1529</v>
      </c>
      <c r="X2249" s="1">
        <f>IFERROR(__xludf.DUMMYFUNCTION("""COMPUTED_VALUE"""),1291.0)</f>
        <v>1291</v>
      </c>
      <c r="Y2249" s="2"/>
      <c r="Z2249" s="2"/>
    </row>
    <row r="2250">
      <c r="A2250" s="1">
        <f>IFERROR(__xludf.DUMMYFUNCTION("""COMPUTED_VALUE"""),2249.0)</f>
        <v>2249</v>
      </c>
      <c r="B2250" s="1">
        <f>IFERROR(__xludf.DUMMYFUNCTION("""COMPUTED_VALUE"""),5955.0)</f>
        <v>5955</v>
      </c>
      <c r="C2250" s="2" t="str">
        <f>IFERROR(__xludf.DUMMYFUNCTION("""COMPUTED_VALUE"""),"Arba")</f>
        <v>Arba</v>
      </c>
      <c r="D2250" s="2" t="str">
        <f>IFERROR(__xludf.DUMMYFUNCTION("""COMPUTED_VALUE"""),"5KM OVERALL M")</f>
        <v>5KM OVERALL M</v>
      </c>
      <c r="E2250" s="1">
        <f>IFERROR(__xludf.DUMMYFUNCTION("""COMPUTED_VALUE"""),2.0)</f>
        <v>2</v>
      </c>
      <c r="F2250" s="1" t="str">
        <f>IFERROR(__xludf.DUMMYFUNCTION("""COMPUTED_VALUE"""),"Male")</f>
        <v>Male</v>
      </c>
      <c r="G2250" s="4" t="str">
        <f>IFERROR(__xludf.DUMMYFUNCTION("""COMPUTED_VALUE"""),"")</f>
        <v/>
      </c>
      <c r="H2250" s="4" t="b">
        <f>IFERROR(__xludf.DUMMYFUNCTION("""COMPUTED_VALUE"""),FALSE)</f>
        <v>0</v>
      </c>
      <c r="I2250" s="4">
        <f>IFERROR(__xludf.DUMMYFUNCTION("""COMPUTED_VALUE"""),0.2549440625)</f>
        <v>0.2549440625</v>
      </c>
      <c r="J2250" s="4" t="str">
        <f>IFERROR(__xludf.DUMMYFUNCTION("""COMPUTED_VALUE"""),"")</f>
        <v/>
      </c>
      <c r="K2250" s="4" t="str">
        <f>IFERROR(__xludf.DUMMYFUNCTION("""COMPUTED_VALUE"""),"")</f>
        <v/>
      </c>
      <c r="L2250" s="4" t="str">
        <f>IFERROR(__xludf.DUMMYFUNCTION("""COMPUTED_VALUE"""),"")</f>
        <v/>
      </c>
      <c r="M2250" s="1" t="str">
        <f>IFERROR(__xludf.DUMMYFUNCTION("""COMPUTED_VALUE"""),"RFID")</f>
        <v>RFID</v>
      </c>
      <c r="N2250" s="5" t="str">
        <f>IFERROR(__xludf.DUMMYFUNCTION("""COMPUTED_VALUE"""),"")</f>
        <v/>
      </c>
      <c r="O2250" s="5" t="str">
        <f>IFERROR(__xludf.DUMMYFUNCTION("""COMPUTED_VALUE"""),"")</f>
        <v/>
      </c>
      <c r="P2250" s="5" t="str">
        <f>IFERROR(__xludf.DUMMYFUNCTION("""COMPUTED_VALUE"""),"")</f>
        <v/>
      </c>
      <c r="Q2250" s="5" t="str">
        <f>IFERROR(__xludf.DUMMYFUNCTION("""COMPUTED_VALUE"""),"")</f>
        <v/>
      </c>
      <c r="R2250" s="4" t="str">
        <f>IFERROR(__xludf.DUMMYFUNCTION("""COMPUTED_VALUE"""),"")</f>
        <v/>
      </c>
      <c r="S2250" s="1" t="b">
        <f>IFERROR(__xludf.DUMMYFUNCTION("""COMPUTED_VALUE"""),FALSE)</f>
        <v>0</v>
      </c>
      <c r="T2250" s="1" t="b">
        <f>IFERROR(__xludf.DUMMYFUNCTION("""COMPUTED_VALUE"""),FALSE)</f>
        <v>0</v>
      </c>
      <c r="U2250" s="1" t="str">
        <f>IFERROR(__xludf.DUMMYFUNCTION("""COMPUTED_VALUE"""),"DSQ")</f>
        <v>DSQ</v>
      </c>
      <c r="V2250" s="1" t="str">
        <f>IFERROR(__xludf.DUMMYFUNCTION("""COMPUTED_VALUE"""),"DSQ")</f>
        <v>DSQ</v>
      </c>
      <c r="W2250" s="1" t="str">
        <f>IFERROR(__xludf.DUMMYFUNCTION("""COMPUTED_VALUE"""),"DSQ")</f>
        <v>DSQ</v>
      </c>
      <c r="X2250" s="1" t="str">
        <f>IFERROR(__xludf.DUMMYFUNCTION("""COMPUTED_VALUE"""),"DSQ")</f>
        <v>DSQ</v>
      </c>
      <c r="Y2250" s="2"/>
      <c r="Z2250" s="2" t="str">
        <f>IFERROR(__xludf.DUMMYFUNCTION("""COMPUTED_VALUE"""),"")</f>
        <v/>
      </c>
    </row>
    <row r="2251">
      <c r="A2251" s="1">
        <f>IFERROR(__xludf.DUMMYFUNCTION("""COMPUTED_VALUE"""),2250.0)</f>
        <v>2250</v>
      </c>
      <c r="B2251" s="1">
        <f>IFERROR(__xludf.DUMMYFUNCTION("""COMPUTED_VALUE"""),5956.0)</f>
        <v>5956</v>
      </c>
      <c r="C2251" s="2" t="str">
        <f>IFERROR(__xludf.DUMMYFUNCTION("""COMPUTED_VALUE"""),"Tora JR")</f>
        <v>Tora JR</v>
      </c>
      <c r="D2251" s="2" t="str">
        <f>IFERROR(__xludf.DUMMYFUNCTION("""COMPUTED_VALUE"""),"5KM OVERALL M")</f>
        <v>5KM OVERALL M</v>
      </c>
      <c r="E2251" s="1">
        <f>IFERROR(__xludf.DUMMYFUNCTION("""COMPUTED_VALUE"""),2.0)</f>
        <v>2</v>
      </c>
      <c r="F2251" s="1" t="str">
        <f>IFERROR(__xludf.DUMMYFUNCTION("""COMPUTED_VALUE"""),"Male")</f>
        <v>Male</v>
      </c>
      <c r="G2251" s="4" t="str">
        <f>IFERROR(__xludf.DUMMYFUNCTION("""COMPUTED_VALUE"""),"")</f>
        <v/>
      </c>
      <c r="H2251" s="4" t="b">
        <f>IFERROR(__xludf.DUMMYFUNCTION("""COMPUTED_VALUE"""),FALSE)</f>
        <v>0</v>
      </c>
      <c r="I2251" s="4">
        <f>IFERROR(__xludf.DUMMYFUNCTION("""COMPUTED_VALUE"""),0.2549440625)</f>
        <v>0.2549440625</v>
      </c>
      <c r="J2251" s="4" t="str">
        <f>IFERROR(__xludf.DUMMYFUNCTION("""COMPUTED_VALUE"""),"")</f>
        <v/>
      </c>
      <c r="K2251" s="4" t="str">
        <f>IFERROR(__xludf.DUMMYFUNCTION("""COMPUTED_VALUE"""),"")</f>
        <v/>
      </c>
      <c r="L2251" s="4" t="str">
        <f>IFERROR(__xludf.DUMMYFUNCTION("""COMPUTED_VALUE"""),"")</f>
        <v/>
      </c>
      <c r="M2251" s="1" t="str">
        <f>IFERROR(__xludf.DUMMYFUNCTION("""COMPUTED_VALUE"""),"RFID")</f>
        <v>RFID</v>
      </c>
      <c r="N2251" s="5" t="str">
        <f>IFERROR(__xludf.DUMMYFUNCTION("""COMPUTED_VALUE"""),"")</f>
        <v/>
      </c>
      <c r="O2251" s="5" t="str">
        <f>IFERROR(__xludf.DUMMYFUNCTION("""COMPUTED_VALUE"""),"")</f>
        <v/>
      </c>
      <c r="P2251" s="5" t="str">
        <f>IFERROR(__xludf.DUMMYFUNCTION("""COMPUTED_VALUE"""),"")</f>
        <v/>
      </c>
      <c r="Q2251" s="5" t="str">
        <f>IFERROR(__xludf.DUMMYFUNCTION("""COMPUTED_VALUE"""),"")</f>
        <v/>
      </c>
      <c r="R2251" s="4" t="str">
        <f>IFERROR(__xludf.DUMMYFUNCTION("""COMPUTED_VALUE"""),"")</f>
        <v/>
      </c>
      <c r="S2251" s="1" t="b">
        <f>IFERROR(__xludf.DUMMYFUNCTION("""COMPUTED_VALUE"""),FALSE)</f>
        <v>0</v>
      </c>
      <c r="T2251" s="1" t="b">
        <f>IFERROR(__xludf.DUMMYFUNCTION("""COMPUTED_VALUE"""),FALSE)</f>
        <v>0</v>
      </c>
      <c r="U2251" s="1" t="str">
        <f>IFERROR(__xludf.DUMMYFUNCTION("""COMPUTED_VALUE"""),"DSQ")</f>
        <v>DSQ</v>
      </c>
      <c r="V2251" s="1" t="str">
        <f>IFERROR(__xludf.DUMMYFUNCTION("""COMPUTED_VALUE"""),"DSQ")</f>
        <v>DSQ</v>
      </c>
      <c r="W2251" s="1" t="str">
        <f>IFERROR(__xludf.DUMMYFUNCTION("""COMPUTED_VALUE"""),"DSQ")</f>
        <v>DSQ</v>
      </c>
      <c r="X2251" s="1" t="str">
        <f>IFERROR(__xludf.DUMMYFUNCTION("""COMPUTED_VALUE"""),"DSQ")</f>
        <v>DSQ</v>
      </c>
      <c r="Y2251" s="2"/>
      <c r="Z2251" s="2" t="str">
        <f>IFERROR(__xludf.DUMMYFUNCTION("""COMPUTED_VALUE"""),"")</f>
        <v/>
      </c>
    </row>
    <row r="2252">
      <c r="A2252" s="1">
        <f>IFERROR(__xludf.DUMMYFUNCTION("""COMPUTED_VALUE"""),2251.0)</f>
        <v>2251</v>
      </c>
      <c r="B2252" s="1">
        <f>IFERROR(__xludf.DUMMYFUNCTION("""COMPUTED_VALUE"""),5957.0)</f>
        <v>5957</v>
      </c>
      <c r="C2252" s="2" t="str">
        <f>IFERROR(__xludf.DUMMYFUNCTION("""COMPUTED_VALUE"""),"BAYU GANTENG")</f>
        <v>BAYU GANTENG</v>
      </c>
      <c r="D2252" s="2" t="str">
        <f>IFERROR(__xludf.DUMMYFUNCTION("""COMPUTED_VALUE"""),"5KM OVERALL M")</f>
        <v>5KM OVERALL M</v>
      </c>
      <c r="E2252" s="1">
        <f>IFERROR(__xludf.DUMMYFUNCTION("""COMPUTED_VALUE"""),2.0)</f>
        <v>2</v>
      </c>
      <c r="F2252" s="1" t="str">
        <f>IFERROR(__xludf.DUMMYFUNCTION("""COMPUTED_VALUE"""),"Male")</f>
        <v>Male</v>
      </c>
      <c r="G2252" s="4" t="b">
        <f>IFERROR(__xludf.DUMMYFUNCTION("""COMPUTED_VALUE"""),TRUE)</f>
        <v>1</v>
      </c>
      <c r="H2252" s="4" t="b">
        <f>IFERROR(__xludf.DUMMYFUNCTION("""COMPUTED_VALUE"""),TRUE)</f>
        <v>1</v>
      </c>
      <c r="I2252" s="4">
        <f>IFERROR(__xludf.DUMMYFUNCTION("""COMPUTED_VALUE"""),0.2549440625)</f>
        <v>0.2549440625</v>
      </c>
      <c r="J2252" s="4">
        <f>IFERROR(__xludf.DUMMYFUNCTION("""COMPUTED_VALUE"""),45949.26691563037)</f>
        <v>45949.26692</v>
      </c>
      <c r="K2252" s="4" t="str">
        <f>IFERROR(__xludf.DUMMYFUNCTION("""COMPUTED_VALUE"""),"")</f>
        <v/>
      </c>
      <c r="L2252" s="4">
        <f>IFERROR(__xludf.DUMMYFUNCTION("""COMPUTED_VALUE"""),45949.277268920036)</f>
        <v>45949.27727</v>
      </c>
      <c r="M2252" s="1" t="str">
        <f>IFERROR(__xludf.DUMMYFUNCTION("""COMPUTED_VALUE"""),"RFID")</f>
        <v>RFID</v>
      </c>
      <c r="N2252" s="5">
        <f>IFERROR(__xludf.DUMMYFUNCTION("""COMPUTED_VALUE"""),0.004788625)</f>
        <v>0.004788625</v>
      </c>
      <c r="O2252" s="5" t="str">
        <f>IFERROR(__xludf.DUMMYFUNCTION("""COMPUTED_VALUE"""),"")</f>
        <v/>
      </c>
      <c r="P2252" s="5" t="str">
        <f>IFERROR(__xludf.DUMMYFUNCTION("""COMPUTED_VALUE"""),"")</f>
        <v/>
      </c>
      <c r="Q2252" s="5">
        <f>IFERROR(__xludf.DUMMYFUNCTION("""COMPUTED_VALUE"""),0.004464972222222223)</f>
        <v>0.004464972222</v>
      </c>
      <c r="R2252" s="4">
        <f>IFERROR(__xludf.DUMMYFUNCTION("""COMPUTED_VALUE"""),45949.022324857535)</f>
        <v>45949.02232</v>
      </c>
      <c r="S2252" s="1" t="b">
        <f>IFERROR(__xludf.DUMMYFUNCTION("""COMPUTED_VALUE"""),TRUE)</f>
        <v>1</v>
      </c>
      <c r="T2252" s="1" t="b">
        <f>IFERROR(__xludf.DUMMYFUNCTION("""COMPUTED_VALUE"""),FALSE)</f>
        <v>0</v>
      </c>
      <c r="U2252" s="1" t="str">
        <f>IFERROR(__xludf.DUMMYFUNCTION("""COMPUTED_VALUE"""),"VALID")</f>
        <v>VALID</v>
      </c>
      <c r="V2252" s="1">
        <f>IFERROR(__xludf.DUMMYFUNCTION("""COMPUTED_VALUE"""),118.0)</f>
        <v>118</v>
      </c>
      <c r="W2252" s="1">
        <f>IFERROR(__xludf.DUMMYFUNCTION("""COMPUTED_VALUE"""),179.0)</f>
        <v>179</v>
      </c>
      <c r="X2252" s="1">
        <f>IFERROR(__xludf.DUMMYFUNCTION("""COMPUTED_VALUE"""),159.0)</f>
        <v>159</v>
      </c>
      <c r="Y2252" s="2"/>
      <c r="Z2252" s="2"/>
    </row>
    <row r="2253">
      <c r="A2253" s="1">
        <f>IFERROR(__xludf.DUMMYFUNCTION("""COMPUTED_VALUE"""),2252.0)</f>
        <v>2252</v>
      </c>
      <c r="B2253" s="1">
        <f>IFERROR(__xludf.DUMMYFUNCTION("""COMPUTED_VALUE"""),5959.0)</f>
        <v>5959</v>
      </c>
      <c r="C2253" s="2" t="str">
        <f>IFERROR(__xludf.DUMMYFUNCTION("""COMPUTED_VALUE"""),"Fajar")</f>
        <v>Fajar</v>
      </c>
      <c r="D2253" s="2" t="str">
        <f>IFERROR(__xludf.DUMMYFUNCTION("""COMPUTED_VALUE"""),"5KM OVERALL M")</f>
        <v>5KM OVERALL M</v>
      </c>
      <c r="E2253" s="1">
        <f>IFERROR(__xludf.DUMMYFUNCTION("""COMPUTED_VALUE"""),2.0)</f>
        <v>2</v>
      </c>
      <c r="F2253" s="1" t="str">
        <f>IFERROR(__xludf.DUMMYFUNCTION("""COMPUTED_VALUE"""),"Male")</f>
        <v>Male</v>
      </c>
      <c r="G2253" s="4" t="b">
        <f>IFERROR(__xludf.DUMMYFUNCTION("""COMPUTED_VALUE"""),TRUE)</f>
        <v>1</v>
      </c>
      <c r="H2253" s="4" t="b">
        <f>IFERROR(__xludf.DUMMYFUNCTION("""COMPUTED_VALUE"""),TRUE)</f>
        <v>1</v>
      </c>
      <c r="I2253" s="4">
        <f>IFERROR(__xludf.DUMMYFUNCTION("""COMPUTED_VALUE"""),0.2549440625)</f>
        <v>0.2549440625</v>
      </c>
      <c r="J2253" s="4">
        <f>IFERROR(__xludf.DUMMYFUNCTION("""COMPUTED_VALUE"""),45949.28449893255)</f>
        <v>45949.2845</v>
      </c>
      <c r="K2253" s="4" t="str">
        <f>IFERROR(__xludf.DUMMYFUNCTION("""COMPUTED_VALUE"""),"")</f>
        <v/>
      </c>
      <c r="L2253" s="4">
        <f>IFERROR(__xludf.DUMMYFUNCTION("""COMPUTED_VALUE"""),45949.303911231655)</f>
        <v>45949.30391</v>
      </c>
      <c r="M2253" s="1" t="str">
        <f>IFERROR(__xludf.DUMMYFUNCTION("""COMPUTED_VALUE"""),"RFID")</f>
        <v>RFID</v>
      </c>
      <c r="N2253" s="5">
        <f>IFERROR(__xludf.DUMMYFUNCTION("""COMPUTED_VALUE"""),0.011821949074074075)</f>
        <v>0.01182194907</v>
      </c>
      <c r="O2253" s="5" t="str">
        <f>IFERROR(__xludf.DUMMYFUNCTION("""COMPUTED_VALUE"""),"")</f>
        <v/>
      </c>
      <c r="P2253" s="5" t="str">
        <f>IFERROR(__xludf.DUMMYFUNCTION("""COMPUTED_VALUE"""),"")</f>
        <v/>
      </c>
      <c r="Q2253" s="5">
        <f>IFERROR(__xludf.DUMMYFUNCTION("""COMPUTED_VALUE"""),0.00979343287037037)</f>
        <v>0.00979343287</v>
      </c>
      <c r="R2253" s="4">
        <f>IFERROR(__xludf.DUMMYFUNCTION("""COMPUTED_VALUE"""),45949.048967169154)</f>
        <v>45949.04897</v>
      </c>
      <c r="S2253" s="1" t="b">
        <f>IFERROR(__xludf.DUMMYFUNCTION("""COMPUTED_VALUE"""),TRUE)</f>
        <v>1</v>
      </c>
      <c r="T2253" s="1" t="b">
        <f>IFERROR(__xludf.DUMMYFUNCTION("""COMPUTED_VALUE"""),FALSE)</f>
        <v>0</v>
      </c>
      <c r="U2253" s="1" t="str">
        <f>IFERROR(__xludf.DUMMYFUNCTION("""COMPUTED_VALUE"""),"VALID")</f>
        <v>VALID</v>
      </c>
      <c r="V2253" s="1">
        <f>IFERROR(__xludf.DUMMYFUNCTION("""COMPUTED_VALUE"""),837.0)</f>
        <v>837</v>
      </c>
      <c r="W2253" s="1">
        <f>IFERROR(__xludf.DUMMYFUNCTION("""COMPUTED_VALUE"""),1562.0)</f>
        <v>1562</v>
      </c>
      <c r="X2253" s="1">
        <f>IFERROR(__xludf.DUMMYFUNCTION("""COMPUTED_VALUE"""),1341.0)</f>
        <v>1341</v>
      </c>
      <c r="Y2253" s="2"/>
      <c r="Z2253" s="2"/>
    </row>
    <row r="2254">
      <c r="A2254" s="1">
        <f>IFERROR(__xludf.DUMMYFUNCTION("""COMPUTED_VALUE"""),2253.0)</f>
        <v>2253</v>
      </c>
      <c r="B2254" s="1">
        <f>IFERROR(__xludf.DUMMYFUNCTION("""COMPUTED_VALUE"""),5962.0)</f>
        <v>5962</v>
      </c>
      <c r="C2254" s="2" t="str">
        <f>IFERROR(__xludf.DUMMYFUNCTION("""COMPUTED_VALUE"""),"Aril Latados")</f>
        <v>Aril Latados</v>
      </c>
      <c r="D2254" s="2" t="str">
        <f>IFERROR(__xludf.DUMMYFUNCTION("""COMPUTED_VALUE"""),"5KM OVERALL M")</f>
        <v>5KM OVERALL M</v>
      </c>
      <c r="E2254" s="1">
        <f>IFERROR(__xludf.DUMMYFUNCTION("""COMPUTED_VALUE"""),2.0)</f>
        <v>2</v>
      </c>
      <c r="F2254" s="1" t="str">
        <f>IFERROR(__xludf.DUMMYFUNCTION("""COMPUTED_VALUE"""),"Male")</f>
        <v>Male</v>
      </c>
      <c r="G2254" s="4" t="b">
        <f>IFERROR(__xludf.DUMMYFUNCTION("""COMPUTED_VALUE"""),TRUE)</f>
        <v>1</v>
      </c>
      <c r="H2254" s="4" t="b">
        <f>IFERROR(__xludf.DUMMYFUNCTION("""COMPUTED_VALUE"""),TRUE)</f>
        <v>1</v>
      </c>
      <c r="I2254" s="4">
        <f>IFERROR(__xludf.DUMMYFUNCTION("""COMPUTED_VALUE"""),0.2549440625)</f>
        <v>0.2549440625</v>
      </c>
      <c r="J2254" s="4">
        <f>IFERROR(__xludf.DUMMYFUNCTION("""COMPUTED_VALUE"""),45949.272769747724)</f>
        <v>45949.27277</v>
      </c>
      <c r="K2254" s="4" t="str">
        <f>IFERROR(__xludf.DUMMYFUNCTION("""COMPUTED_VALUE"""),"")</f>
        <v/>
      </c>
      <c r="L2254" s="4">
        <f>IFERROR(__xludf.DUMMYFUNCTION("""COMPUTED_VALUE"""),45949.28261616404)</f>
        <v>45949.28262</v>
      </c>
      <c r="M2254" s="1" t="str">
        <f>IFERROR(__xludf.DUMMYFUNCTION("""COMPUTED_VALUE"""),"RFID")</f>
        <v>RFID</v>
      </c>
      <c r="N2254" s="5">
        <f>IFERROR(__xludf.DUMMYFUNCTION("""COMPUTED_VALUE"""),0.007130273148148148)</f>
        <v>0.007130273148</v>
      </c>
      <c r="O2254" s="5" t="str">
        <f>IFERROR(__xludf.DUMMYFUNCTION("""COMPUTED_VALUE"""),"")</f>
        <v/>
      </c>
      <c r="P2254" s="5" t="str">
        <f>IFERROR(__xludf.DUMMYFUNCTION("""COMPUTED_VALUE"""),"")</f>
        <v/>
      </c>
      <c r="Q2254" s="5">
        <f>IFERROR(__xludf.DUMMYFUNCTION("""COMPUTED_VALUE"""),0.005534421296296296)</f>
        <v>0.005534421296</v>
      </c>
      <c r="R2254" s="4">
        <f>IFERROR(__xludf.DUMMYFUNCTION("""COMPUTED_VALUE"""),45949.02767210154)</f>
        <v>45949.02767</v>
      </c>
      <c r="S2254" s="1" t="b">
        <f>IFERROR(__xludf.DUMMYFUNCTION("""COMPUTED_VALUE"""),TRUE)</f>
        <v>1</v>
      </c>
      <c r="T2254" s="1" t="b">
        <f>IFERROR(__xludf.DUMMYFUNCTION("""COMPUTED_VALUE"""),FALSE)</f>
        <v>0</v>
      </c>
      <c r="U2254" s="1" t="str">
        <f>IFERROR(__xludf.DUMMYFUNCTION("""COMPUTED_VALUE"""),"VALID")</f>
        <v>VALID</v>
      </c>
      <c r="V2254" s="1">
        <f>IFERROR(__xludf.DUMMYFUNCTION("""COMPUTED_VALUE"""),272.0)</f>
        <v>272</v>
      </c>
      <c r="W2254" s="1">
        <f>IFERROR(__xludf.DUMMYFUNCTION("""COMPUTED_VALUE"""),414.0)</f>
        <v>414</v>
      </c>
      <c r="X2254" s="1">
        <f>IFERROR(__xludf.DUMMYFUNCTION("""COMPUTED_VALUE"""),358.0)</f>
        <v>358</v>
      </c>
      <c r="Y2254" s="2"/>
      <c r="Z2254" s="2"/>
    </row>
    <row r="2255">
      <c r="A2255" s="1">
        <f>IFERROR(__xludf.DUMMYFUNCTION("""COMPUTED_VALUE"""),2254.0)</f>
        <v>2254</v>
      </c>
      <c r="B2255" s="1">
        <f>IFERROR(__xludf.DUMMYFUNCTION("""COMPUTED_VALUE"""),5965.0)</f>
        <v>5965</v>
      </c>
      <c r="C2255" s="2" t="str">
        <f>IFERROR(__xludf.DUMMYFUNCTION("""COMPUTED_VALUE"""),"Setiyawan")</f>
        <v>Setiyawan</v>
      </c>
      <c r="D2255" s="2" t="str">
        <f>IFERROR(__xludf.DUMMYFUNCTION("""COMPUTED_VALUE"""),"5KM OVERALL M")</f>
        <v>5KM OVERALL M</v>
      </c>
      <c r="E2255" s="1">
        <f>IFERROR(__xludf.DUMMYFUNCTION("""COMPUTED_VALUE"""),2.0)</f>
        <v>2</v>
      </c>
      <c r="F2255" s="1" t="str">
        <f>IFERROR(__xludf.DUMMYFUNCTION("""COMPUTED_VALUE"""),"Male")</f>
        <v>Male</v>
      </c>
      <c r="G2255" s="4" t="b">
        <f>IFERROR(__xludf.DUMMYFUNCTION("""COMPUTED_VALUE"""),TRUE)</f>
        <v>1</v>
      </c>
      <c r="H2255" s="4" t="b">
        <f>IFERROR(__xludf.DUMMYFUNCTION("""COMPUTED_VALUE"""),TRUE)</f>
        <v>1</v>
      </c>
      <c r="I2255" s="4">
        <f>IFERROR(__xludf.DUMMYFUNCTION("""COMPUTED_VALUE"""),0.2549440625)</f>
        <v>0.2549440625</v>
      </c>
      <c r="J2255" s="4">
        <f>IFERROR(__xludf.DUMMYFUNCTION("""COMPUTED_VALUE"""),45949.284436404516)</f>
        <v>45949.28444</v>
      </c>
      <c r="K2255" s="4" t="str">
        <f>IFERROR(__xludf.DUMMYFUNCTION("""COMPUTED_VALUE"""),"")</f>
        <v/>
      </c>
      <c r="L2255" s="4">
        <f>IFERROR(__xludf.DUMMYFUNCTION("""COMPUTED_VALUE"""),45949.303991130204)</f>
        <v>45949.30399</v>
      </c>
      <c r="M2255" s="1" t="str">
        <f>IFERROR(__xludf.DUMMYFUNCTION("""COMPUTED_VALUE"""),"RFID")</f>
        <v>RFID</v>
      </c>
      <c r="N2255" s="5">
        <f>IFERROR(__xludf.DUMMYFUNCTION("""COMPUTED_VALUE"""),0.011796935185185185)</f>
        <v>0.01179693519</v>
      </c>
      <c r="O2255" s="5" t="str">
        <f>IFERROR(__xludf.DUMMYFUNCTION("""COMPUTED_VALUE"""),"")</f>
        <v/>
      </c>
      <c r="P2255" s="5" t="str">
        <f>IFERROR(__xludf.DUMMYFUNCTION("""COMPUTED_VALUE"""),"")</f>
        <v/>
      </c>
      <c r="Q2255" s="5">
        <f>IFERROR(__xludf.DUMMYFUNCTION("""COMPUTED_VALUE"""),0.009809414351851852)</f>
        <v>0.009809414352</v>
      </c>
      <c r="R2255" s="4">
        <f>IFERROR(__xludf.DUMMYFUNCTION("""COMPUTED_VALUE"""),45949.0490470677)</f>
        <v>45949.04905</v>
      </c>
      <c r="S2255" s="1" t="b">
        <f>IFERROR(__xludf.DUMMYFUNCTION("""COMPUTED_VALUE"""),TRUE)</f>
        <v>1</v>
      </c>
      <c r="T2255" s="1" t="b">
        <f>IFERROR(__xludf.DUMMYFUNCTION("""COMPUTED_VALUE"""),FALSE)</f>
        <v>0</v>
      </c>
      <c r="U2255" s="1" t="str">
        <f>IFERROR(__xludf.DUMMYFUNCTION("""COMPUTED_VALUE"""),"VALID")</f>
        <v>VALID</v>
      </c>
      <c r="V2255" s="1">
        <f>IFERROR(__xludf.DUMMYFUNCTION("""COMPUTED_VALUE"""),839.0)</f>
        <v>839</v>
      </c>
      <c r="W2255" s="1">
        <f>IFERROR(__xludf.DUMMYFUNCTION("""COMPUTED_VALUE"""),1564.0)</f>
        <v>1564</v>
      </c>
      <c r="X2255" s="1">
        <f>IFERROR(__xludf.DUMMYFUNCTION("""COMPUTED_VALUE"""),1347.0)</f>
        <v>1347</v>
      </c>
      <c r="Y2255" s="2"/>
      <c r="Z2255" s="2"/>
    </row>
    <row r="2256">
      <c r="A2256" s="1">
        <f>IFERROR(__xludf.DUMMYFUNCTION("""COMPUTED_VALUE"""),2255.0)</f>
        <v>2255</v>
      </c>
      <c r="B2256" s="1">
        <f>IFERROR(__xludf.DUMMYFUNCTION("""COMPUTED_VALUE"""),5966.0)</f>
        <v>5966</v>
      </c>
      <c r="C2256" s="2" t="str">
        <f>IFERROR(__xludf.DUMMYFUNCTION("""COMPUTED_VALUE"""),"Muhammad Ari")</f>
        <v>Muhammad Ari</v>
      </c>
      <c r="D2256" s="2" t="str">
        <f>IFERROR(__xludf.DUMMYFUNCTION("""COMPUTED_VALUE"""),"5KM OVERALL M")</f>
        <v>5KM OVERALL M</v>
      </c>
      <c r="E2256" s="1">
        <f>IFERROR(__xludf.DUMMYFUNCTION("""COMPUTED_VALUE"""),2.0)</f>
        <v>2</v>
      </c>
      <c r="F2256" s="1" t="str">
        <f>IFERROR(__xludf.DUMMYFUNCTION("""COMPUTED_VALUE"""),"Male")</f>
        <v>Male</v>
      </c>
      <c r="G2256" s="4" t="b">
        <f>IFERROR(__xludf.DUMMYFUNCTION("""COMPUTED_VALUE"""),TRUE)</f>
        <v>1</v>
      </c>
      <c r="H2256" s="4" t="b">
        <f>IFERROR(__xludf.DUMMYFUNCTION("""COMPUTED_VALUE"""),TRUE)</f>
        <v>1</v>
      </c>
      <c r="I2256" s="4">
        <f>IFERROR(__xludf.DUMMYFUNCTION("""COMPUTED_VALUE"""),0.2549440625)</f>
        <v>0.2549440625</v>
      </c>
      <c r="J2256" s="4">
        <f>IFERROR(__xludf.DUMMYFUNCTION("""COMPUTED_VALUE"""),45949.27108223952)</f>
        <v>45949.27108</v>
      </c>
      <c r="K2256" s="4" t="str">
        <f>IFERROR(__xludf.DUMMYFUNCTION("""COMPUTED_VALUE"""),"")</f>
        <v/>
      </c>
      <c r="L2256" s="4">
        <f>IFERROR(__xludf.DUMMYFUNCTION("""COMPUTED_VALUE"""),45949.28357450848)</f>
        <v>45949.28357</v>
      </c>
      <c r="M2256" s="1" t="str">
        <f>IFERROR(__xludf.DUMMYFUNCTION("""COMPUTED_VALUE"""),"RFID")</f>
        <v>RFID</v>
      </c>
      <c r="N2256" s="5">
        <f>IFERROR(__xludf.DUMMYFUNCTION("""COMPUTED_VALUE"""),0.006455268518518518)</f>
        <v>0.006455268519</v>
      </c>
      <c r="O2256" s="5" t="str">
        <f>IFERROR(__xludf.DUMMYFUNCTION("""COMPUTED_VALUE"""),"")</f>
        <v/>
      </c>
      <c r="P2256" s="5" t="str">
        <f>IFERROR(__xludf.DUMMYFUNCTION("""COMPUTED_VALUE"""),"")</f>
        <v/>
      </c>
      <c r="Q2256" s="5">
        <f>IFERROR(__xludf.DUMMYFUNCTION("""COMPUTED_VALUE"""),0.005726090277777778)</f>
        <v>0.005726090278</v>
      </c>
      <c r="R2256" s="4">
        <f>IFERROR(__xludf.DUMMYFUNCTION("""COMPUTED_VALUE"""),45949.02863044598)</f>
        <v>45949.02863</v>
      </c>
      <c r="S2256" s="1" t="b">
        <f>IFERROR(__xludf.DUMMYFUNCTION("""COMPUTED_VALUE"""),TRUE)</f>
        <v>1</v>
      </c>
      <c r="T2256" s="1" t="b">
        <f>IFERROR(__xludf.DUMMYFUNCTION("""COMPUTED_VALUE"""),FALSE)</f>
        <v>0</v>
      </c>
      <c r="U2256" s="1" t="str">
        <f>IFERROR(__xludf.DUMMYFUNCTION("""COMPUTED_VALUE"""),"VALID")</f>
        <v>VALID</v>
      </c>
      <c r="V2256" s="1">
        <f>IFERROR(__xludf.DUMMYFUNCTION("""COMPUTED_VALUE"""),315.0)</f>
        <v>315</v>
      </c>
      <c r="W2256" s="1">
        <f>IFERROR(__xludf.DUMMYFUNCTION("""COMPUTED_VALUE"""),469.0)</f>
        <v>469</v>
      </c>
      <c r="X2256" s="1">
        <f>IFERROR(__xludf.DUMMYFUNCTION("""COMPUTED_VALUE"""),406.0)</f>
        <v>406</v>
      </c>
      <c r="Y2256" s="2"/>
      <c r="Z2256" s="2"/>
    </row>
    <row r="2257">
      <c r="A2257" s="1">
        <f>IFERROR(__xludf.DUMMYFUNCTION("""COMPUTED_VALUE"""),2256.0)</f>
        <v>2256</v>
      </c>
      <c r="B2257" s="1">
        <f>IFERROR(__xludf.DUMMYFUNCTION("""COMPUTED_VALUE"""),5967.0)</f>
        <v>5967</v>
      </c>
      <c r="C2257" s="2" t="str">
        <f>IFERROR(__xludf.DUMMYFUNCTION("""COMPUTED_VALUE"""),"icank")</f>
        <v>icank</v>
      </c>
      <c r="D2257" s="2" t="str">
        <f>IFERROR(__xludf.DUMMYFUNCTION("""COMPUTED_VALUE"""),"5KM OVERALL M")</f>
        <v>5KM OVERALL M</v>
      </c>
      <c r="E2257" s="1">
        <f>IFERROR(__xludf.DUMMYFUNCTION("""COMPUTED_VALUE"""),2.0)</f>
        <v>2</v>
      </c>
      <c r="F2257" s="1" t="str">
        <f>IFERROR(__xludf.DUMMYFUNCTION("""COMPUTED_VALUE"""),"Male")</f>
        <v>Male</v>
      </c>
      <c r="G2257" s="4" t="b">
        <f>IFERROR(__xludf.DUMMYFUNCTION("""COMPUTED_VALUE"""),TRUE)</f>
        <v>1</v>
      </c>
      <c r="H2257" s="4" t="b">
        <f>IFERROR(__xludf.DUMMYFUNCTION("""COMPUTED_VALUE"""),TRUE)</f>
        <v>1</v>
      </c>
      <c r="I2257" s="4">
        <f>IFERROR(__xludf.DUMMYFUNCTION("""COMPUTED_VALUE"""),0.2549440625)</f>
        <v>0.2549440625</v>
      </c>
      <c r="J2257" s="4">
        <f>IFERROR(__xludf.DUMMYFUNCTION("""COMPUTED_VALUE"""),45949.267985032915)</f>
        <v>45949.26799</v>
      </c>
      <c r="K2257" s="4" t="str">
        <f>IFERROR(__xludf.DUMMYFUNCTION("""COMPUTED_VALUE"""),"")</f>
        <v/>
      </c>
      <c r="L2257" s="4">
        <f>IFERROR(__xludf.DUMMYFUNCTION("""COMPUTED_VALUE"""),45949.278182934235)</f>
        <v>45949.27818</v>
      </c>
      <c r="M2257" s="1" t="str">
        <f>IFERROR(__xludf.DUMMYFUNCTION("""COMPUTED_VALUE"""),"RFID")</f>
        <v>RFID</v>
      </c>
      <c r="N2257" s="5">
        <f>IFERROR(__xludf.DUMMYFUNCTION("""COMPUTED_VALUE"""),0.005216388888888889)</f>
        <v>0.005216388889</v>
      </c>
      <c r="O2257" s="5" t="str">
        <f>IFERROR(__xludf.DUMMYFUNCTION("""COMPUTED_VALUE"""),"")</f>
        <v/>
      </c>
      <c r="P2257" s="5" t="str">
        <f>IFERROR(__xludf.DUMMYFUNCTION("""COMPUTED_VALUE"""),"")</f>
        <v/>
      </c>
      <c r="Q2257" s="5">
        <f>IFERROR(__xludf.DUMMYFUNCTION("""COMPUTED_VALUE"""),0.004647775462962963)</f>
        <v>0.004647775463</v>
      </c>
      <c r="R2257" s="4">
        <f>IFERROR(__xludf.DUMMYFUNCTION("""COMPUTED_VALUE"""),45949.023238871734)</f>
        <v>45949.02324</v>
      </c>
      <c r="S2257" s="1" t="b">
        <f>IFERROR(__xludf.DUMMYFUNCTION("""COMPUTED_VALUE"""),TRUE)</f>
        <v>1</v>
      </c>
      <c r="T2257" s="1" t="b">
        <f>IFERROR(__xludf.DUMMYFUNCTION("""COMPUTED_VALUE"""),FALSE)</f>
        <v>0</v>
      </c>
      <c r="U2257" s="1" t="str">
        <f>IFERROR(__xludf.DUMMYFUNCTION("""COMPUTED_VALUE"""),"VALID")</f>
        <v>VALID</v>
      </c>
      <c r="V2257" s="1">
        <f>IFERROR(__xludf.DUMMYFUNCTION("""COMPUTED_VALUE"""),148.0)</f>
        <v>148</v>
      </c>
      <c r="W2257" s="1">
        <f>IFERROR(__xludf.DUMMYFUNCTION("""COMPUTED_VALUE"""),224.0)</f>
        <v>224</v>
      </c>
      <c r="X2257" s="1">
        <f>IFERROR(__xludf.DUMMYFUNCTION("""COMPUTED_VALUE"""),196.0)</f>
        <v>196</v>
      </c>
      <c r="Y2257" s="2"/>
      <c r="Z2257" s="2"/>
    </row>
    <row r="2258">
      <c r="A2258" s="1">
        <f>IFERROR(__xludf.DUMMYFUNCTION("""COMPUTED_VALUE"""),2257.0)</f>
        <v>2257</v>
      </c>
      <c r="B2258" s="1">
        <f>IFERROR(__xludf.DUMMYFUNCTION("""COMPUTED_VALUE"""),5968.0)</f>
        <v>5968</v>
      </c>
      <c r="C2258" s="2" t="str">
        <f>IFERROR(__xludf.DUMMYFUNCTION("""COMPUTED_VALUE"""),"AKHMAD SOLIHIN")</f>
        <v>AKHMAD SOLIHIN</v>
      </c>
      <c r="D2258" s="2" t="str">
        <f>IFERROR(__xludf.DUMMYFUNCTION("""COMPUTED_VALUE"""),"5KM OVERALL M")</f>
        <v>5KM OVERALL M</v>
      </c>
      <c r="E2258" s="1">
        <f>IFERROR(__xludf.DUMMYFUNCTION("""COMPUTED_VALUE"""),2.0)</f>
        <v>2</v>
      </c>
      <c r="F2258" s="1" t="str">
        <f>IFERROR(__xludf.DUMMYFUNCTION("""COMPUTED_VALUE"""),"Male")</f>
        <v>Male</v>
      </c>
      <c r="G2258" s="4" t="b">
        <f>IFERROR(__xludf.DUMMYFUNCTION("""COMPUTED_VALUE"""),TRUE)</f>
        <v>1</v>
      </c>
      <c r="H2258" s="4" t="b">
        <f>IFERROR(__xludf.DUMMYFUNCTION("""COMPUTED_VALUE"""),TRUE)</f>
        <v>1</v>
      </c>
      <c r="I2258" s="4">
        <f>IFERROR(__xludf.DUMMYFUNCTION("""COMPUTED_VALUE"""),0.2549440625)</f>
        <v>0.2549440625</v>
      </c>
      <c r="J2258" s="4">
        <f>IFERROR(__xludf.DUMMYFUNCTION("""COMPUTED_VALUE"""),45949.27316905987)</f>
        <v>45949.27317</v>
      </c>
      <c r="K2258" s="4" t="str">
        <f>IFERROR(__xludf.DUMMYFUNCTION("""COMPUTED_VALUE"""),"")</f>
        <v/>
      </c>
      <c r="L2258" s="4">
        <f>IFERROR(__xludf.DUMMYFUNCTION("""COMPUTED_VALUE"""),45949.28621336717)</f>
        <v>45949.28621</v>
      </c>
      <c r="M2258" s="1" t="str">
        <f>IFERROR(__xludf.DUMMYFUNCTION("""COMPUTED_VALUE"""),"RFID")</f>
        <v>RFID</v>
      </c>
      <c r="N2258" s="5">
        <f>IFERROR(__xludf.DUMMYFUNCTION("""COMPUTED_VALUE"""),0.0072900000000000005)</f>
        <v>0.00729</v>
      </c>
      <c r="O2258" s="5" t="str">
        <f>IFERROR(__xludf.DUMMYFUNCTION("""COMPUTED_VALUE"""),"")</f>
        <v/>
      </c>
      <c r="P2258" s="5" t="str">
        <f>IFERROR(__xludf.DUMMYFUNCTION("""COMPUTED_VALUE"""),"")</f>
        <v/>
      </c>
      <c r="Q2258" s="5">
        <f>IFERROR(__xludf.DUMMYFUNCTION("""COMPUTED_VALUE"""),0.006253861111111111)</f>
        <v>0.006253861111</v>
      </c>
      <c r="R2258" s="4">
        <f>IFERROR(__xludf.DUMMYFUNCTION("""COMPUTED_VALUE"""),45949.03126930467)</f>
        <v>45949.03127</v>
      </c>
      <c r="S2258" s="1" t="b">
        <f>IFERROR(__xludf.DUMMYFUNCTION("""COMPUTED_VALUE"""),TRUE)</f>
        <v>1</v>
      </c>
      <c r="T2258" s="1" t="b">
        <f>IFERROR(__xludf.DUMMYFUNCTION("""COMPUTED_VALUE"""),FALSE)</f>
        <v>0</v>
      </c>
      <c r="U2258" s="1" t="str">
        <f>IFERROR(__xludf.DUMMYFUNCTION("""COMPUTED_VALUE"""),"VALID")</f>
        <v>VALID</v>
      </c>
      <c r="V2258" s="1">
        <f>IFERROR(__xludf.DUMMYFUNCTION("""COMPUTED_VALUE"""),422.0)</f>
        <v>422</v>
      </c>
      <c r="W2258" s="1">
        <f>IFERROR(__xludf.DUMMYFUNCTION("""COMPUTED_VALUE"""),647.0)</f>
        <v>647</v>
      </c>
      <c r="X2258" s="1">
        <f>IFERROR(__xludf.DUMMYFUNCTION("""COMPUTED_VALUE"""),542.0)</f>
        <v>542</v>
      </c>
      <c r="Y2258" s="2"/>
      <c r="Z2258" s="2"/>
    </row>
    <row r="2259">
      <c r="A2259" s="1">
        <f>IFERROR(__xludf.DUMMYFUNCTION("""COMPUTED_VALUE"""),2258.0)</f>
        <v>2258</v>
      </c>
      <c r="B2259" s="1">
        <f>IFERROR(__xludf.DUMMYFUNCTION("""COMPUTED_VALUE"""),5970.0)</f>
        <v>5970</v>
      </c>
      <c r="C2259" s="2" t="str">
        <f>IFERROR(__xludf.DUMMYFUNCTION("""COMPUTED_VALUE"""),"WINARDI")</f>
        <v>WINARDI</v>
      </c>
      <c r="D2259" s="2" t="str">
        <f>IFERROR(__xludf.DUMMYFUNCTION("""COMPUTED_VALUE"""),"5KM OVERALL M")</f>
        <v>5KM OVERALL M</v>
      </c>
      <c r="E2259" s="1">
        <f>IFERROR(__xludf.DUMMYFUNCTION("""COMPUTED_VALUE"""),2.0)</f>
        <v>2</v>
      </c>
      <c r="F2259" s="1" t="str">
        <f>IFERROR(__xludf.DUMMYFUNCTION("""COMPUTED_VALUE"""),"Male")</f>
        <v>Male</v>
      </c>
      <c r="G2259" s="4" t="b">
        <f>IFERROR(__xludf.DUMMYFUNCTION("""COMPUTED_VALUE"""),TRUE)</f>
        <v>1</v>
      </c>
      <c r="H2259" s="4" t="b">
        <f>IFERROR(__xludf.DUMMYFUNCTION("""COMPUTED_VALUE"""),TRUE)</f>
        <v>1</v>
      </c>
      <c r="I2259" s="4">
        <f>IFERROR(__xludf.DUMMYFUNCTION("""COMPUTED_VALUE"""),0.2549440625)</f>
        <v>0.2549440625</v>
      </c>
      <c r="J2259" s="4">
        <f>IFERROR(__xludf.DUMMYFUNCTION("""COMPUTED_VALUE"""),45949.274832262454)</f>
        <v>45949.27483</v>
      </c>
      <c r="K2259" s="4" t="str">
        <f>IFERROR(__xludf.DUMMYFUNCTION("""COMPUTED_VALUE"""),"")</f>
        <v/>
      </c>
      <c r="L2259" s="4">
        <f>IFERROR(__xludf.DUMMYFUNCTION("""COMPUTED_VALUE"""),45949.288869622906)</f>
        <v>45949.28887</v>
      </c>
      <c r="M2259" s="1" t="str">
        <f>IFERROR(__xludf.DUMMYFUNCTION("""COMPUTED_VALUE"""),"RFID")</f>
        <v>RFID</v>
      </c>
      <c r="N2259" s="5">
        <f>IFERROR(__xludf.DUMMYFUNCTION("""COMPUTED_VALUE"""),0.007955277777777778)</f>
        <v>0.007955277778</v>
      </c>
      <c r="O2259" s="5" t="str">
        <f>IFERROR(__xludf.DUMMYFUNCTION("""COMPUTED_VALUE"""),"")</f>
        <v/>
      </c>
      <c r="P2259" s="5" t="str">
        <f>IFERROR(__xludf.DUMMYFUNCTION("""COMPUTED_VALUE"""),"")</f>
        <v/>
      </c>
      <c r="Q2259" s="5">
        <f>IFERROR(__xludf.DUMMYFUNCTION("""COMPUTED_VALUE"""),0.0067851111111111116)</f>
        <v>0.006785111111</v>
      </c>
      <c r="R2259" s="4">
        <f>IFERROR(__xludf.DUMMYFUNCTION("""COMPUTED_VALUE"""),45949.033925560405)</f>
        <v>45949.03393</v>
      </c>
      <c r="S2259" s="1" t="b">
        <f>IFERROR(__xludf.DUMMYFUNCTION("""COMPUTED_VALUE"""),TRUE)</f>
        <v>1</v>
      </c>
      <c r="T2259" s="1" t="b">
        <f>IFERROR(__xludf.DUMMYFUNCTION("""COMPUTED_VALUE"""),FALSE)</f>
        <v>0</v>
      </c>
      <c r="U2259" s="1" t="str">
        <f>IFERROR(__xludf.DUMMYFUNCTION("""COMPUTED_VALUE"""),"VALID")</f>
        <v>VALID</v>
      </c>
      <c r="V2259" s="1">
        <f>IFERROR(__xludf.DUMMYFUNCTION("""COMPUTED_VALUE"""),531.0)</f>
        <v>531</v>
      </c>
      <c r="W2259" s="1">
        <f>IFERROR(__xludf.DUMMYFUNCTION("""COMPUTED_VALUE"""),837.0)</f>
        <v>837</v>
      </c>
      <c r="X2259" s="1">
        <f>IFERROR(__xludf.DUMMYFUNCTION("""COMPUTED_VALUE"""),684.0)</f>
        <v>684</v>
      </c>
      <c r="Y2259" s="2"/>
      <c r="Z2259" s="2"/>
    </row>
    <row r="2260">
      <c r="A2260" s="1">
        <f>IFERROR(__xludf.DUMMYFUNCTION("""COMPUTED_VALUE"""),2259.0)</f>
        <v>2259</v>
      </c>
      <c r="B2260" s="1">
        <f>IFERROR(__xludf.DUMMYFUNCTION("""COMPUTED_VALUE"""),5971.0)</f>
        <v>5971</v>
      </c>
      <c r="C2260" s="2" t="str">
        <f>IFERROR(__xludf.DUMMYFUNCTION("""COMPUTED_VALUE"""),"Kany")</f>
        <v>Kany</v>
      </c>
      <c r="D2260" s="2" t="str">
        <f>IFERROR(__xludf.DUMMYFUNCTION("""COMPUTED_VALUE"""),"5KM OVERALL M")</f>
        <v>5KM OVERALL M</v>
      </c>
      <c r="E2260" s="1">
        <f>IFERROR(__xludf.DUMMYFUNCTION("""COMPUTED_VALUE"""),2.0)</f>
        <v>2</v>
      </c>
      <c r="F2260" s="1" t="str">
        <f>IFERROR(__xludf.DUMMYFUNCTION("""COMPUTED_VALUE"""),"Male")</f>
        <v>Male</v>
      </c>
      <c r="G2260" s="4" t="str">
        <f>IFERROR(__xludf.DUMMYFUNCTION("""COMPUTED_VALUE"""),"")</f>
        <v/>
      </c>
      <c r="H2260" s="4" t="b">
        <f>IFERROR(__xludf.DUMMYFUNCTION("""COMPUTED_VALUE"""),FALSE)</f>
        <v>0</v>
      </c>
      <c r="I2260" s="4">
        <f>IFERROR(__xludf.DUMMYFUNCTION("""COMPUTED_VALUE"""),0.2549440625)</f>
        <v>0.2549440625</v>
      </c>
      <c r="J2260" s="4" t="str">
        <f>IFERROR(__xludf.DUMMYFUNCTION("""COMPUTED_VALUE"""),"")</f>
        <v/>
      </c>
      <c r="K2260" s="4" t="str">
        <f>IFERROR(__xludf.DUMMYFUNCTION("""COMPUTED_VALUE"""),"")</f>
        <v/>
      </c>
      <c r="L2260" s="4" t="str">
        <f>IFERROR(__xludf.DUMMYFUNCTION("""COMPUTED_VALUE"""),"")</f>
        <v/>
      </c>
      <c r="M2260" s="1" t="str">
        <f>IFERROR(__xludf.DUMMYFUNCTION("""COMPUTED_VALUE"""),"RFID")</f>
        <v>RFID</v>
      </c>
      <c r="N2260" s="5" t="str">
        <f>IFERROR(__xludf.DUMMYFUNCTION("""COMPUTED_VALUE"""),"")</f>
        <v/>
      </c>
      <c r="O2260" s="5" t="str">
        <f>IFERROR(__xludf.DUMMYFUNCTION("""COMPUTED_VALUE"""),"")</f>
        <v/>
      </c>
      <c r="P2260" s="5" t="str">
        <f>IFERROR(__xludf.DUMMYFUNCTION("""COMPUTED_VALUE"""),"")</f>
        <v/>
      </c>
      <c r="Q2260" s="5" t="str">
        <f>IFERROR(__xludf.DUMMYFUNCTION("""COMPUTED_VALUE"""),"")</f>
        <v/>
      </c>
      <c r="R2260" s="4" t="str">
        <f>IFERROR(__xludf.DUMMYFUNCTION("""COMPUTED_VALUE"""),"")</f>
        <v/>
      </c>
      <c r="S2260" s="1" t="b">
        <f>IFERROR(__xludf.DUMMYFUNCTION("""COMPUTED_VALUE"""),FALSE)</f>
        <v>0</v>
      </c>
      <c r="T2260" s="1" t="b">
        <f>IFERROR(__xludf.DUMMYFUNCTION("""COMPUTED_VALUE"""),FALSE)</f>
        <v>0</v>
      </c>
      <c r="U2260" s="1" t="str">
        <f>IFERROR(__xludf.DUMMYFUNCTION("""COMPUTED_VALUE"""),"DSQ")</f>
        <v>DSQ</v>
      </c>
      <c r="V2260" s="1" t="str">
        <f>IFERROR(__xludf.DUMMYFUNCTION("""COMPUTED_VALUE"""),"DSQ")</f>
        <v>DSQ</v>
      </c>
      <c r="W2260" s="1" t="str">
        <f>IFERROR(__xludf.DUMMYFUNCTION("""COMPUTED_VALUE"""),"DSQ")</f>
        <v>DSQ</v>
      </c>
      <c r="X2260" s="1" t="str">
        <f>IFERROR(__xludf.DUMMYFUNCTION("""COMPUTED_VALUE"""),"DSQ")</f>
        <v>DSQ</v>
      </c>
      <c r="Y2260" s="2"/>
      <c r="Z2260" s="2" t="str">
        <f>IFERROR(__xludf.DUMMYFUNCTION("""COMPUTED_VALUE"""),"")</f>
        <v/>
      </c>
    </row>
    <row r="2261">
      <c r="A2261" s="1">
        <f>IFERROR(__xludf.DUMMYFUNCTION("""COMPUTED_VALUE"""),2260.0)</f>
        <v>2260</v>
      </c>
      <c r="B2261" s="1">
        <f>IFERROR(__xludf.DUMMYFUNCTION("""COMPUTED_VALUE"""),5972.0)</f>
        <v>5972</v>
      </c>
      <c r="C2261" s="2" t="str">
        <f>IFERROR(__xludf.DUMMYFUNCTION("""COMPUTED_VALUE"""),"Yusfian Abdillah")</f>
        <v>Yusfian Abdillah</v>
      </c>
      <c r="D2261" s="2" t="str">
        <f>IFERROR(__xludf.DUMMYFUNCTION("""COMPUTED_VALUE"""),"5KM OVERALL M")</f>
        <v>5KM OVERALL M</v>
      </c>
      <c r="E2261" s="1">
        <f>IFERROR(__xludf.DUMMYFUNCTION("""COMPUTED_VALUE"""),2.0)</f>
        <v>2</v>
      </c>
      <c r="F2261" s="1" t="str">
        <f>IFERROR(__xludf.DUMMYFUNCTION("""COMPUTED_VALUE"""),"Male")</f>
        <v>Male</v>
      </c>
      <c r="G2261" s="4" t="b">
        <f>IFERROR(__xludf.DUMMYFUNCTION("""COMPUTED_VALUE"""),TRUE)</f>
        <v>1</v>
      </c>
      <c r="H2261" s="4" t="b">
        <f>IFERROR(__xludf.DUMMYFUNCTION("""COMPUTED_VALUE"""),FALSE)</f>
        <v>0</v>
      </c>
      <c r="I2261" s="4">
        <f>IFERROR(__xludf.DUMMYFUNCTION("""COMPUTED_VALUE"""),0.2549440625)</f>
        <v>0.2549440625</v>
      </c>
      <c r="J2261" s="4">
        <f>IFERROR(__xludf.DUMMYFUNCTION("""COMPUTED_VALUE"""),45949.27438432153)</f>
        <v>45949.27438</v>
      </c>
      <c r="K2261" s="4" t="str">
        <f>IFERROR(__xludf.DUMMYFUNCTION("""COMPUTED_VALUE"""),"")</f>
        <v/>
      </c>
      <c r="L2261" s="4">
        <f>IFERROR(__xludf.DUMMYFUNCTION("""COMPUTED_VALUE"""),45949.28523768977)</f>
        <v>45949.28524</v>
      </c>
      <c r="M2261" s="1" t="str">
        <f>IFERROR(__xludf.DUMMYFUNCTION("""COMPUTED_VALUE"""),"RFID")</f>
        <v>RFID</v>
      </c>
      <c r="N2261" s="5">
        <f>IFERROR(__xludf.DUMMYFUNCTION("""COMPUTED_VALUE"""),0.007776101851851852)</f>
        <v>0.007776101852</v>
      </c>
      <c r="O2261" s="5" t="str">
        <f>IFERROR(__xludf.DUMMYFUNCTION("""COMPUTED_VALUE"""),"")</f>
        <v/>
      </c>
      <c r="P2261" s="5" t="str">
        <f>IFERROR(__xludf.DUMMYFUNCTION("""COMPUTED_VALUE"""),"")</f>
        <v/>
      </c>
      <c r="Q2261" s="5">
        <f>IFERROR(__xludf.DUMMYFUNCTION("""COMPUTED_VALUE"""),0.006058724537037037)</f>
        <v>0.006058724537</v>
      </c>
      <c r="R2261" s="4">
        <f>IFERROR(__xludf.DUMMYFUNCTION("""COMPUTED_VALUE"""),45949.03029362727)</f>
        <v>45949.03029</v>
      </c>
      <c r="S2261" s="1" t="b">
        <f>IFERROR(__xludf.DUMMYFUNCTION("""COMPUTED_VALUE"""),TRUE)</f>
        <v>1</v>
      </c>
      <c r="T2261" s="1" t="b">
        <f>IFERROR(__xludf.DUMMYFUNCTION("""COMPUTED_VALUE"""),FALSE)</f>
        <v>0</v>
      </c>
      <c r="U2261" s="1" t="str">
        <f>IFERROR(__xludf.DUMMYFUNCTION("""COMPUTED_VALUE"""),"VALID")</f>
        <v>VALID</v>
      </c>
      <c r="V2261" s="1">
        <f>IFERROR(__xludf.DUMMYFUNCTION("""COMPUTED_VALUE"""),391.0)</f>
        <v>391</v>
      </c>
      <c r="W2261" s="1">
        <f>IFERROR(__xludf.DUMMYFUNCTION("""COMPUTED_VALUE"""),590.0)</f>
        <v>590</v>
      </c>
      <c r="X2261" s="1">
        <f>IFERROR(__xludf.DUMMYFUNCTION("""COMPUTED_VALUE"""),501.0)</f>
        <v>501</v>
      </c>
      <c r="Y2261" s="2"/>
      <c r="Z2261" s="2"/>
    </row>
    <row r="2262">
      <c r="A2262" s="1">
        <f>IFERROR(__xludf.DUMMYFUNCTION("""COMPUTED_VALUE"""),2261.0)</f>
        <v>2261</v>
      </c>
      <c r="B2262" s="1">
        <f>IFERROR(__xludf.DUMMYFUNCTION("""COMPUTED_VALUE"""),5974.0)</f>
        <v>5974</v>
      </c>
      <c r="C2262" s="2" t="str">
        <f>IFERROR(__xludf.DUMMYFUNCTION("""COMPUTED_VALUE"""),"SUGIANTO")</f>
        <v>SUGIANTO</v>
      </c>
      <c r="D2262" s="2" t="str">
        <f>IFERROR(__xludf.DUMMYFUNCTION("""COMPUTED_VALUE"""),"5KM OVERALL M")</f>
        <v>5KM OVERALL M</v>
      </c>
      <c r="E2262" s="1">
        <f>IFERROR(__xludf.DUMMYFUNCTION("""COMPUTED_VALUE"""),2.0)</f>
        <v>2</v>
      </c>
      <c r="F2262" s="1" t="str">
        <f>IFERROR(__xludf.DUMMYFUNCTION("""COMPUTED_VALUE"""),"Male")</f>
        <v>Male</v>
      </c>
      <c r="G2262" s="4" t="b">
        <f>IFERROR(__xludf.DUMMYFUNCTION("""COMPUTED_VALUE"""),TRUE)</f>
        <v>1</v>
      </c>
      <c r="H2262" s="4" t="b">
        <f>IFERROR(__xludf.DUMMYFUNCTION("""COMPUTED_VALUE"""),TRUE)</f>
        <v>1</v>
      </c>
      <c r="I2262" s="4">
        <f>IFERROR(__xludf.DUMMYFUNCTION("""COMPUTED_VALUE"""),0.2549440625)</f>
        <v>0.2549440625</v>
      </c>
      <c r="J2262" s="4">
        <f>IFERROR(__xludf.DUMMYFUNCTION("""COMPUTED_VALUE"""),45949.271474614565)</f>
        <v>45949.27147</v>
      </c>
      <c r="K2262" s="4" t="str">
        <f>IFERROR(__xludf.DUMMYFUNCTION("""COMPUTED_VALUE"""),"")</f>
        <v/>
      </c>
      <c r="L2262" s="4">
        <f>IFERROR(__xludf.DUMMYFUNCTION("""COMPUTED_VALUE"""),45949.28483485763)</f>
        <v>45949.28483</v>
      </c>
      <c r="M2262" s="1" t="str">
        <f>IFERROR(__xludf.DUMMYFUNCTION("""COMPUTED_VALUE"""),"RFID")</f>
        <v>RFID</v>
      </c>
      <c r="N2262" s="5">
        <f>IFERROR(__xludf.DUMMYFUNCTION("""COMPUTED_VALUE"""),0.0066122222222222225)</f>
        <v>0.006612222222</v>
      </c>
      <c r="O2262" s="5" t="str">
        <f>IFERROR(__xludf.DUMMYFUNCTION("""COMPUTED_VALUE"""),"")</f>
        <v/>
      </c>
      <c r="P2262" s="5" t="str">
        <f>IFERROR(__xludf.DUMMYFUNCTION("""COMPUTED_VALUE"""),"")</f>
        <v/>
      </c>
      <c r="Q2262" s="5">
        <f>IFERROR(__xludf.DUMMYFUNCTION("""COMPUTED_VALUE"""),0.005978159722222222)</f>
        <v>0.005978159722</v>
      </c>
      <c r="R2262" s="4">
        <f>IFERROR(__xludf.DUMMYFUNCTION("""COMPUTED_VALUE"""),45949.02989079513)</f>
        <v>45949.02989</v>
      </c>
      <c r="S2262" s="1" t="b">
        <f>IFERROR(__xludf.DUMMYFUNCTION("""COMPUTED_VALUE"""),TRUE)</f>
        <v>1</v>
      </c>
      <c r="T2262" s="1" t="b">
        <f>IFERROR(__xludf.DUMMYFUNCTION("""COMPUTED_VALUE"""),FALSE)</f>
        <v>0</v>
      </c>
      <c r="U2262" s="1" t="str">
        <f>IFERROR(__xludf.DUMMYFUNCTION("""COMPUTED_VALUE"""),"VALID")</f>
        <v>VALID</v>
      </c>
      <c r="V2262" s="1">
        <f>IFERROR(__xludf.DUMMYFUNCTION("""COMPUTED_VALUE"""),377.0)</f>
        <v>377</v>
      </c>
      <c r="W2262" s="1">
        <f>IFERROR(__xludf.DUMMYFUNCTION("""COMPUTED_VALUE"""),566.0)</f>
        <v>566</v>
      </c>
      <c r="X2262" s="1">
        <f>IFERROR(__xludf.DUMMYFUNCTION("""COMPUTED_VALUE"""),483.0)</f>
        <v>483</v>
      </c>
      <c r="Y2262" s="2"/>
      <c r="Z2262" s="2"/>
    </row>
    <row r="2263">
      <c r="A2263" s="1">
        <f>IFERROR(__xludf.DUMMYFUNCTION("""COMPUTED_VALUE"""),2262.0)</f>
        <v>2262</v>
      </c>
      <c r="B2263" s="1">
        <f>IFERROR(__xludf.DUMMYFUNCTION("""COMPUTED_VALUE"""),5975.0)</f>
        <v>5975</v>
      </c>
      <c r="C2263" s="2" t="str">
        <f>IFERROR(__xludf.DUMMYFUNCTION("""COMPUTED_VALUE"""),"MRCHL")</f>
        <v>MRCHL</v>
      </c>
      <c r="D2263" s="2" t="str">
        <f>IFERROR(__xludf.DUMMYFUNCTION("""COMPUTED_VALUE"""),"5KM OVERALL M")</f>
        <v>5KM OVERALL M</v>
      </c>
      <c r="E2263" s="1">
        <f>IFERROR(__xludf.DUMMYFUNCTION("""COMPUTED_VALUE"""),2.0)</f>
        <v>2</v>
      </c>
      <c r="F2263" s="1" t="str">
        <f>IFERROR(__xludf.DUMMYFUNCTION("""COMPUTED_VALUE"""),"Male")</f>
        <v>Male</v>
      </c>
      <c r="G2263" s="4" t="b">
        <f>IFERROR(__xludf.DUMMYFUNCTION("""COMPUTED_VALUE"""),TRUE)</f>
        <v>1</v>
      </c>
      <c r="H2263" s="4" t="b">
        <f>IFERROR(__xludf.DUMMYFUNCTION("""COMPUTED_VALUE"""),TRUE)</f>
        <v>1</v>
      </c>
      <c r="I2263" s="4">
        <f>IFERROR(__xludf.DUMMYFUNCTION("""COMPUTED_VALUE"""),0.2549440625)</f>
        <v>0.2549440625</v>
      </c>
      <c r="J2263" s="4">
        <f>IFERROR(__xludf.DUMMYFUNCTION("""COMPUTED_VALUE"""),45949.281384339076)</f>
        <v>45949.28138</v>
      </c>
      <c r="K2263" s="4" t="str">
        <f>IFERROR(__xludf.DUMMYFUNCTION("""COMPUTED_VALUE"""),"")</f>
        <v/>
      </c>
      <c r="L2263" s="4">
        <f>IFERROR(__xludf.DUMMYFUNCTION("""COMPUTED_VALUE"""),45949.299258511826)</f>
        <v>45949.29926</v>
      </c>
      <c r="M2263" s="1" t="str">
        <f>IFERROR(__xludf.DUMMYFUNCTION("""COMPUTED_VALUE"""),"RFID")</f>
        <v>RFID</v>
      </c>
      <c r="N2263" s="5">
        <f>IFERROR(__xludf.DUMMYFUNCTION("""COMPUTED_VALUE"""),0.01057611111111111)</f>
        <v>0.01057611111</v>
      </c>
      <c r="O2263" s="5" t="str">
        <f>IFERROR(__xludf.DUMMYFUNCTION("""COMPUTED_VALUE"""),"")</f>
        <v/>
      </c>
      <c r="P2263" s="5" t="str">
        <f>IFERROR(__xludf.DUMMYFUNCTION("""COMPUTED_VALUE"""),"")</f>
        <v/>
      </c>
      <c r="Q2263" s="5">
        <f>IFERROR(__xludf.DUMMYFUNCTION("""COMPUTED_VALUE"""),0.008862888888888889)</f>
        <v>0.008862888889</v>
      </c>
      <c r="R2263" s="4">
        <f>IFERROR(__xludf.DUMMYFUNCTION("""COMPUTED_VALUE"""),45949.044314449326)</f>
        <v>45949.04431</v>
      </c>
      <c r="S2263" s="1" t="b">
        <f>IFERROR(__xludf.DUMMYFUNCTION("""COMPUTED_VALUE"""),TRUE)</f>
        <v>1</v>
      </c>
      <c r="T2263" s="1" t="b">
        <f>IFERROR(__xludf.DUMMYFUNCTION("""COMPUTED_VALUE"""),FALSE)</f>
        <v>0</v>
      </c>
      <c r="U2263" s="1" t="str">
        <f>IFERROR(__xludf.DUMMYFUNCTION("""COMPUTED_VALUE"""),"VALID")</f>
        <v>VALID</v>
      </c>
      <c r="V2263" s="1">
        <f>IFERROR(__xludf.DUMMYFUNCTION("""COMPUTED_VALUE"""),783.0)</f>
        <v>783</v>
      </c>
      <c r="W2263" s="1">
        <f>IFERROR(__xludf.DUMMYFUNCTION("""COMPUTED_VALUE"""),1419.0)</f>
        <v>1419</v>
      </c>
      <c r="X2263" s="1">
        <f>IFERROR(__xludf.DUMMYFUNCTION("""COMPUTED_VALUE"""),1161.0)</f>
        <v>1161</v>
      </c>
      <c r="Y2263" s="2"/>
      <c r="Z2263" s="2"/>
    </row>
    <row r="2264">
      <c r="A2264" s="1">
        <f>IFERROR(__xludf.DUMMYFUNCTION("""COMPUTED_VALUE"""),2263.0)</f>
        <v>2263</v>
      </c>
      <c r="B2264" s="1">
        <f>IFERROR(__xludf.DUMMYFUNCTION("""COMPUTED_VALUE"""),5976.0)</f>
        <v>5976</v>
      </c>
      <c r="C2264" s="2" t="str">
        <f>IFERROR(__xludf.DUMMYFUNCTION("""COMPUTED_VALUE"""),"Ahmanu Rija")</f>
        <v>Ahmanu Rija</v>
      </c>
      <c r="D2264" s="2" t="str">
        <f>IFERROR(__xludf.DUMMYFUNCTION("""COMPUTED_VALUE"""),"5KM OVERALL M")</f>
        <v>5KM OVERALL M</v>
      </c>
      <c r="E2264" s="1">
        <f>IFERROR(__xludf.DUMMYFUNCTION("""COMPUTED_VALUE"""),2.0)</f>
        <v>2</v>
      </c>
      <c r="F2264" s="1" t="str">
        <f>IFERROR(__xludf.DUMMYFUNCTION("""COMPUTED_VALUE"""),"Male")</f>
        <v>Male</v>
      </c>
      <c r="G2264" s="4" t="b">
        <f>IFERROR(__xludf.DUMMYFUNCTION("""COMPUTED_VALUE"""),TRUE)</f>
        <v>1</v>
      </c>
      <c r="H2264" s="4" t="b">
        <f>IFERROR(__xludf.DUMMYFUNCTION("""COMPUTED_VALUE"""),TRUE)</f>
        <v>1</v>
      </c>
      <c r="I2264" s="4">
        <f>IFERROR(__xludf.DUMMYFUNCTION("""COMPUTED_VALUE"""),0.2549440625)</f>
        <v>0.2549440625</v>
      </c>
      <c r="J2264" s="4">
        <f>IFERROR(__xludf.DUMMYFUNCTION("""COMPUTED_VALUE"""),45949.27130099002)</f>
        <v>45949.2713</v>
      </c>
      <c r="K2264" s="4" t="str">
        <f>IFERROR(__xludf.DUMMYFUNCTION("""COMPUTED_VALUE"""),"")</f>
        <v/>
      </c>
      <c r="L2264" s="4">
        <f>IFERROR(__xludf.DUMMYFUNCTION("""COMPUTED_VALUE"""),45949.284682128906)</f>
        <v>45949.28468</v>
      </c>
      <c r="M2264" s="1" t="str">
        <f>IFERROR(__xludf.DUMMYFUNCTION("""COMPUTED_VALUE"""),"RFID")</f>
        <v>RFID</v>
      </c>
      <c r="N2264" s="5">
        <f>IFERROR(__xludf.DUMMYFUNCTION("""COMPUTED_VALUE"""),0.006542773148148148)</f>
        <v>0.006542773148</v>
      </c>
      <c r="O2264" s="5" t="str">
        <f>IFERROR(__xludf.DUMMYFUNCTION("""COMPUTED_VALUE"""),"")</f>
        <v/>
      </c>
      <c r="P2264" s="5" t="str">
        <f>IFERROR(__xludf.DUMMYFUNCTION("""COMPUTED_VALUE"""),"")</f>
        <v/>
      </c>
      <c r="Q2264" s="5">
        <f>IFERROR(__xludf.DUMMYFUNCTION("""COMPUTED_VALUE"""),0.005947613425925926)</f>
        <v>0.005947613426</v>
      </c>
      <c r="R2264" s="4">
        <f>IFERROR(__xludf.DUMMYFUNCTION("""COMPUTED_VALUE"""),45949.029738066405)</f>
        <v>45949.02974</v>
      </c>
      <c r="S2264" s="1" t="b">
        <f>IFERROR(__xludf.DUMMYFUNCTION("""COMPUTED_VALUE"""),TRUE)</f>
        <v>1</v>
      </c>
      <c r="T2264" s="1" t="b">
        <f>IFERROR(__xludf.DUMMYFUNCTION("""COMPUTED_VALUE"""),FALSE)</f>
        <v>0</v>
      </c>
      <c r="U2264" s="1" t="str">
        <f>IFERROR(__xludf.DUMMYFUNCTION("""COMPUTED_VALUE"""),"VALID")</f>
        <v>VALID</v>
      </c>
      <c r="V2264" s="1">
        <f>IFERROR(__xludf.DUMMYFUNCTION("""COMPUTED_VALUE"""),371.0)</f>
        <v>371</v>
      </c>
      <c r="W2264" s="1">
        <f>IFERROR(__xludf.DUMMYFUNCTION("""COMPUTED_VALUE"""),556.0)</f>
        <v>556</v>
      </c>
      <c r="X2264" s="1">
        <f>IFERROR(__xludf.DUMMYFUNCTION("""COMPUTED_VALUE"""),476.0)</f>
        <v>476</v>
      </c>
      <c r="Y2264" s="2"/>
      <c r="Z2264" s="2"/>
    </row>
    <row r="2265">
      <c r="A2265" s="1">
        <f>IFERROR(__xludf.DUMMYFUNCTION("""COMPUTED_VALUE"""),2264.0)</f>
        <v>2264</v>
      </c>
      <c r="B2265" s="1">
        <f>IFERROR(__xludf.DUMMYFUNCTION("""COMPUTED_VALUE"""),5978.0)</f>
        <v>5978</v>
      </c>
      <c r="C2265" s="2" t="str">
        <f>IFERROR(__xludf.DUMMYFUNCTION("""COMPUTED_VALUE"""),"AL")</f>
        <v>AL</v>
      </c>
      <c r="D2265" s="2" t="str">
        <f>IFERROR(__xludf.DUMMYFUNCTION("""COMPUTED_VALUE"""),"5KM OVERALL M")</f>
        <v>5KM OVERALL M</v>
      </c>
      <c r="E2265" s="1">
        <f>IFERROR(__xludf.DUMMYFUNCTION("""COMPUTED_VALUE"""),2.0)</f>
        <v>2</v>
      </c>
      <c r="F2265" s="1" t="str">
        <f>IFERROR(__xludf.DUMMYFUNCTION("""COMPUTED_VALUE"""),"Male")</f>
        <v>Male</v>
      </c>
      <c r="G2265" s="4" t="b">
        <f>IFERROR(__xludf.DUMMYFUNCTION("""COMPUTED_VALUE"""),TRUE)</f>
        <v>1</v>
      </c>
      <c r="H2265" s="4" t="b">
        <f>IFERROR(__xludf.DUMMYFUNCTION("""COMPUTED_VALUE"""),TRUE)</f>
        <v>1</v>
      </c>
      <c r="I2265" s="4">
        <f>IFERROR(__xludf.DUMMYFUNCTION("""COMPUTED_VALUE"""),0.2549440625)</f>
        <v>0.2549440625</v>
      </c>
      <c r="J2265" s="4">
        <f>IFERROR(__xludf.DUMMYFUNCTION("""COMPUTED_VALUE"""),45949.26976287206)</f>
        <v>45949.26976</v>
      </c>
      <c r="K2265" s="4" t="str">
        <f>IFERROR(__xludf.DUMMYFUNCTION("""COMPUTED_VALUE"""),"")</f>
        <v/>
      </c>
      <c r="L2265" s="4">
        <f>IFERROR(__xludf.DUMMYFUNCTION("""COMPUTED_VALUE"""),45949.27761269475)</f>
        <v>45949.27761</v>
      </c>
      <c r="M2265" s="1" t="str">
        <f>IFERROR(__xludf.DUMMYFUNCTION("""COMPUTED_VALUE"""),"RFID")</f>
        <v>RFID</v>
      </c>
      <c r="N2265" s="5">
        <f>IFERROR(__xludf.DUMMYFUNCTION("""COMPUTED_VALUE"""),0.005927523148148149)</f>
        <v>0.005927523148</v>
      </c>
      <c r="O2265" s="5" t="str">
        <f>IFERROR(__xludf.DUMMYFUNCTION("""COMPUTED_VALUE"""),"")</f>
        <v/>
      </c>
      <c r="P2265" s="5" t="str">
        <f>IFERROR(__xludf.DUMMYFUNCTION("""COMPUTED_VALUE"""),"")</f>
        <v/>
      </c>
      <c r="Q2265" s="5">
        <f>IFERROR(__xludf.DUMMYFUNCTION("""COMPUTED_VALUE"""),0.004533726851851852)</f>
        <v>0.004533726852</v>
      </c>
      <c r="R2265" s="4">
        <f>IFERROR(__xludf.DUMMYFUNCTION("""COMPUTED_VALUE"""),45949.02266863225)</f>
        <v>45949.02267</v>
      </c>
      <c r="S2265" s="1" t="b">
        <f>IFERROR(__xludf.DUMMYFUNCTION("""COMPUTED_VALUE"""),TRUE)</f>
        <v>1</v>
      </c>
      <c r="T2265" s="1" t="b">
        <f>IFERROR(__xludf.DUMMYFUNCTION("""COMPUTED_VALUE"""),FALSE)</f>
        <v>0</v>
      </c>
      <c r="U2265" s="1" t="str">
        <f>IFERROR(__xludf.DUMMYFUNCTION("""COMPUTED_VALUE"""),"VALID")</f>
        <v>VALID</v>
      </c>
      <c r="V2265" s="1">
        <f>IFERROR(__xludf.DUMMYFUNCTION("""COMPUTED_VALUE"""),126.0)</f>
        <v>126</v>
      </c>
      <c r="W2265" s="1">
        <f>IFERROR(__xludf.DUMMYFUNCTION("""COMPUTED_VALUE"""),194.0)</f>
        <v>194</v>
      </c>
      <c r="X2265" s="1">
        <f>IFERROR(__xludf.DUMMYFUNCTION("""COMPUTED_VALUE"""),170.0)</f>
        <v>170</v>
      </c>
      <c r="Y2265" s="2"/>
      <c r="Z2265" s="2"/>
    </row>
    <row r="2266">
      <c r="A2266" s="1">
        <f>IFERROR(__xludf.DUMMYFUNCTION("""COMPUTED_VALUE"""),2265.0)</f>
        <v>2265</v>
      </c>
      <c r="B2266" s="1">
        <f>IFERROR(__xludf.DUMMYFUNCTION("""COMPUTED_VALUE"""),5980.0)</f>
        <v>5980</v>
      </c>
      <c r="C2266" s="2" t="str">
        <f>IFERROR(__xludf.DUMMYFUNCTION("""COMPUTED_VALUE"""),"Heri")</f>
        <v>Heri</v>
      </c>
      <c r="D2266" s="2" t="str">
        <f>IFERROR(__xludf.DUMMYFUNCTION("""COMPUTED_VALUE"""),"5KM OVERALL M")</f>
        <v>5KM OVERALL M</v>
      </c>
      <c r="E2266" s="1">
        <f>IFERROR(__xludf.DUMMYFUNCTION("""COMPUTED_VALUE"""),2.0)</f>
        <v>2</v>
      </c>
      <c r="F2266" s="1" t="str">
        <f>IFERROR(__xludf.DUMMYFUNCTION("""COMPUTED_VALUE"""),"Male")</f>
        <v>Male</v>
      </c>
      <c r="G2266" s="4" t="b">
        <f>IFERROR(__xludf.DUMMYFUNCTION("""COMPUTED_VALUE"""),TRUE)</f>
        <v>1</v>
      </c>
      <c r="H2266" s="4" t="b">
        <f>IFERROR(__xludf.DUMMYFUNCTION("""COMPUTED_VALUE"""),TRUE)</f>
        <v>1</v>
      </c>
      <c r="I2266" s="4">
        <f>IFERROR(__xludf.DUMMYFUNCTION("""COMPUTED_VALUE"""),0.2549440625)</f>
        <v>0.2549440625</v>
      </c>
      <c r="J2266" s="4">
        <f>IFERROR(__xludf.DUMMYFUNCTION("""COMPUTED_VALUE"""),45949.27161697798)</f>
        <v>45949.27162</v>
      </c>
      <c r="K2266" s="4" t="str">
        <f>IFERROR(__xludf.DUMMYFUNCTION("""COMPUTED_VALUE"""),"")</f>
        <v/>
      </c>
      <c r="L2266" s="4">
        <f>IFERROR(__xludf.DUMMYFUNCTION("""COMPUTED_VALUE"""),45949.28323767431)</f>
        <v>45949.28324</v>
      </c>
      <c r="M2266" s="1" t="str">
        <f>IFERROR(__xludf.DUMMYFUNCTION("""COMPUTED_VALUE"""),"RFID")</f>
        <v>RFID</v>
      </c>
      <c r="N2266" s="5">
        <f>IFERROR(__xludf.DUMMYFUNCTION("""COMPUTED_VALUE"""),0.006669166666666666)</f>
        <v>0.006669166667</v>
      </c>
      <c r="O2266" s="5" t="str">
        <f>IFERROR(__xludf.DUMMYFUNCTION("""COMPUTED_VALUE"""),"")</f>
        <v/>
      </c>
      <c r="P2266" s="5" t="str">
        <f>IFERROR(__xludf.DUMMYFUNCTION("""COMPUTED_VALUE"""),"")</f>
        <v/>
      </c>
      <c r="Q2266" s="5">
        <f>IFERROR(__xludf.DUMMYFUNCTION("""COMPUTED_VALUE"""),0.005658722222222223)</f>
        <v>0.005658722222</v>
      </c>
      <c r="R2266" s="4">
        <f>IFERROR(__xludf.DUMMYFUNCTION("""COMPUTED_VALUE"""),45949.02829361181)</f>
        <v>45949.02829</v>
      </c>
      <c r="S2266" s="1" t="b">
        <f>IFERROR(__xludf.DUMMYFUNCTION("""COMPUTED_VALUE"""),TRUE)</f>
        <v>1</v>
      </c>
      <c r="T2266" s="1" t="b">
        <f>IFERROR(__xludf.DUMMYFUNCTION("""COMPUTED_VALUE"""),FALSE)</f>
        <v>0</v>
      </c>
      <c r="U2266" s="1" t="str">
        <f>IFERROR(__xludf.DUMMYFUNCTION("""COMPUTED_VALUE"""),"VALID")</f>
        <v>VALID</v>
      </c>
      <c r="V2266" s="1">
        <f>IFERROR(__xludf.DUMMYFUNCTION("""COMPUTED_VALUE"""),300.0)</f>
        <v>300</v>
      </c>
      <c r="W2266" s="1">
        <f>IFERROR(__xludf.DUMMYFUNCTION("""COMPUTED_VALUE"""),450.0)</f>
        <v>450</v>
      </c>
      <c r="X2266" s="1">
        <f>IFERROR(__xludf.DUMMYFUNCTION("""COMPUTED_VALUE"""),389.0)</f>
        <v>389</v>
      </c>
      <c r="Y2266" s="2"/>
      <c r="Z2266" s="2"/>
    </row>
    <row r="2267">
      <c r="A2267" s="1">
        <f>IFERROR(__xludf.DUMMYFUNCTION("""COMPUTED_VALUE"""),2266.0)</f>
        <v>2266</v>
      </c>
      <c r="B2267" s="1">
        <f>IFERROR(__xludf.DUMMYFUNCTION("""COMPUTED_VALUE"""),5981.0)</f>
        <v>5981</v>
      </c>
      <c r="C2267" s="2" t="str">
        <f>IFERROR(__xludf.DUMMYFUNCTION("""COMPUTED_VALUE"""),"IKY")</f>
        <v>IKY</v>
      </c>
      <c r="D2267" s="2" t="str">
        <f>IFERROR(__xludf.DUMMYFUNCTION("""COMPUTED_VALUE"""),"5KM OVERALL M")</f>
        <v>5KM OVERALL M</v>
      </c>
      <c r="E2267" s="1">
        <f>IFERROR(__xludf.DUMMYFUNCTION("""COMPUTED_VALUE"""),2.0)</f>
        <v>2</v>
      </c>
      <c r="F2267" s="1" t="str">
        <f>IFERROR(__xludf.DUMMYFUNCTION("""COMPUTED_VALUE"""),"Male")</f>
        <v>Male</v>
      </c>
      <c r="G2267" s="4" t="b">
        <f>IFERROR(__xludf.DUMMYFUNCTION("""COMPUTED_VALUE"""),TRUE)</f>
        <v>1</v>
      </c>
      <c r="H2267" s="4" t="b">
        <f>IFERROR(__xludf.DUMMYFUNCTION("""COMPUTED_VALUE"""),FALSE)</f>
        <v>0</v>
      </c>
      <c r="I2267" s="4">
        <f>IFERROR(__xludf.DUMMYFUNCTION("""COMPUTED_VALUE"""),0.2549440625)</f>
        <v>0.2549440625</v>
      </c>
      <c r="J2267" s="4">
        <f>IFERROR(__xludf.DUMMYFUNCTION("""COMPUTED_VALUE"""),45949.27478756317)</f>
        <v>45949.27479</v>
      </c>
      <c r="K2267" s="4" t="str">
        <f>IFERROR(__xludf.DUMMYFUNCTION("""COMPUTED_VALUE"""),"")</f>
        <v/>
      </c>
      <c r="L2267" s="4">
        <f>IFERROR(__xludf.DUMMYFUNCTION("""COMPUTED_VALUE"""),45949.289268877445)</f>
        <v>45949.28927</v>
      </c>
      <c r="M2267" s="1" t="str">
        <f>IFERROR(__xludf.DUMMYFUNCTION("""COMPUTED_VALUE"""),"RFID")</f>
        <v>RFID</v>
      </c>
      <c r="N2267" s="5">
        <f>IFERROR(__xludf.DUMMYFUNCTION("""COMPUTED_VALUE"""),0.007937398148148148)</f>
        <v>0.007937398148</v>
      </c>
      <c r="O2267" s="5" t="str">
        <f>IFERROR(__xludf.DUMMYFUNCTION("""COMPUTED_VALUE"""),"")</f>
        <v/>
      </c>
      <c r="P2267" s="5" t="str">
        <f>IFERROR(__xludf.DUMMYFUNCTION("""COMPUTED_VALUE"""),"")</f>
        <v/>
      </c>
      <c r="Q2267" s="5">
        <f>IFERROR(__xludf.DUMMYFUNCTION("""COMPUTED_VALUE"""),0.006864962962962963)</f>
        <v>0.006864962963</v>
      </c>
      <c r="R2267" s="4">
        <f>IFERROR(__xludf.DUMMYFUNCTION("""COMPUTED_VALUE"""),45949.034324814944)</f>
        <v>45949.03432</v>
      </c>
      <c r="S2267" s="1" t="b">
        <f>IFERROR(__xludf.DUMMYFUNCTION("""COMPUTED_VALUE"""),TRUE)</f>
        <v>1</v>
      </c>
      <c r="T2267" s="1" t="b">
        <f>IFERROR(__xludf.DUMMYFUNCTION("""COMPUTED_VALUE"""),FALSE)</f>
        <v>0</v>
      </c>
      <c r="U2267" s="1" t="str">
        <f>IFERROR(__xludf.DUMMYFUNCTION("""COMPUTED_VALUE"""),"VALID")</f>
        <v>VALID</v>
      </c>
      <c r="V2267" s="1">
        <f>IFERROR(__xludf.DUMMYFUNCTION("""COMPUTED_VALUE"""),545.0)</f>
        <v>545</v>
      </c>
      <c r="W2267" s="1">
        <f>IFERROR(__xludf.DUMMYFUNCTION("""COMPUTED_VALUE"""),859.0)</f>
        <v>859</v>
      </c>
      <c r="X2267" s="1">
        <f>IFERROR(__xludf.DUMMYFUNCTION("""COMPUTED_VALUE"""),702.0)</f>
        <v>702</v>
      </c>
      <c r="Y2267" s="2"/>
      <c r="Z2267" s="2"/>
    </row>
    <row r="2268">
      <c r="A2268" s="1">
        <f>IFERROR(__xludf.DUMMYFUNCTION("""COMPUTED_VALUE"""),2267.0)</f>
        <v>2267</v>
      </c>
      <c r="B2268" s="1">
        <f>IFERROR(__xludf.DUMMYFUNCTION("""COMPUTED_VALUE"""),5983.0)</f>
        <v>5983</v>
      </c>
      <c r="C2268" s="2" t="str">
        <f>IFERROR(__xludf.DUMMYFUNCTION("""COMPUTED_VALUE"""),"Safri YR")</f>
        <v>Safri YR</v>
      </c>
      <c r="D2268" s="2" t="str">
        <f>IFERROR(__xludf.DUMMYFUNCTION("""COMPUTED_VALUE"""),"5KM OVERALL M")</f>
        <v>5KM OVERALL M</v>
      </c>
      <c r="E2268" s="1">
        <f>IFERROR(__xludf.DUMMYFUNCTION("""COMPUTED_VALUE"""),2.0)</f>
        <v>2</v>
      </c>
      <c r="F2268" s="1" t="str">
        <f>IFERROR(__xludf.DUMMYFUNCTION("""COMPUTED_VALUE"""),"Male")</f>
        <v>Male</v>
      </c>
      <c r="G2268" s="4" t="b">
        <f>IFERROR(__xludf.DUMMYFUNCTION("""COMPUTED_VALUE"""),TRUE)</f>
        <v>1</v>
      </c>
      <c r="H2268" s="4" t="b">
        <f>IFERROR(__xludf.DUMMYFUNCTION("""COMPUTED_VALUE"""),TRUE)</f>
        <v>1</v>
      </c>
      <c r="I2268" s="4">
        <f>IFERROR(__xludf.DUMMYFUNCTION("""COMPUTED_VALUE"""),0.2549440625)</f>
        <v>0.2549440625</v>
      </c>
      <c r="J2268" s="4">
        <f>IFERROR(__xludf.DUMMYFUNCTION("""COMPUTED_VALUE"""),45949.27094689528)</f>
        <v>45949.27095</v>
      </c>
      <c r="K2268" s="4" t="str">
        <f>IFERROR(__xludf.DUMMYFUNCTION("""COMPUTED_VALUE"""),"")</f>
        <v/>
      </c>
      <c r="L2268" s="4">
        <f>IFERROR(__xludf.DUMMYFUNCTION("""COMPUTED_VALUE"""),45949.28388352221)</f>
        <v>45949.28388</v>
      </c>
      <c r="M2268" s="1" t="str">
        <f>IFERROR(__xludf.DUMMYFUNCTION("""COMPUTED_VALUE"""),"RFID")</f>
        <v>RFID</v>
      </c>
      <c r="N2268" s="5">
        <f>IFERROR(__xludf.DUMMYFUNCTION("""COMPUTED_VALUE"""),0.006401134259259258)</f>
        <v>0.006401134259</v>
      </c>
      <c r="O2268" s="5" t="str">
        <f>IFERROR(__xludf.DUMMYFUNCTION("""COMPUTED_VALUE"""),"")</f>
        <v/>
      </c>
      <c r="P2268" s="5" t="str">
        <f>IFERROR(__xludf.DUMMYFUNCTION("""COMPUTED_VALUE"""),"")</f>
        <v/>
      </c>
      <c r="Q2268" s="5">
        <f>IFERROR(__xludf.DUMMYFUNCTION("""COMPUTED_VALUE"""),0.005787891203703704)</f>
        <v>0.005787891204</v>
      </c>
      <c r="R2268" s="4">
        <f>IFERROR(__xludf.DUMMYFUNCTION("""COMPUTED_VALUE"""),45949.028939459706)</f>
        <v>45949.02894</v>
      </c>
      <c r="S2268" s="1" t="b">
        <f>IFERROR(__xludf.DUMMYFUNCTION("""COMPUTED_VALUE"""),TRUE)</f>
        <v>1</v>
      </c>
      <c r="T2268" s="1" t="b">
        <f>IFERROR(__xludf.DUMMYFUNCTION("""COMPUTED_VALUE"""),FALSE)</f>
        <v>0</v>
      </c>
      <c r="U2268" s="1" t="str">
        <f>IFERROR(__xludf.DUMMYFUNCTION("""COMPUTED_VALUE"""),"VALID")</f>
        <v>VALID</v>
      </c>
      <c r="V2268" s="1">
        <f>IFERROR(__xludf.DUMMYFUNCTION("""COMPUTED_VALUE"""),330.0)</f>
        <v>330</v>
      </c>
      <c r="W2268" s="1">
        <f>IFERROR(__xludf.DUMMYFUNCTION("""COMPUTED_VALUE"""),493.0)</f>
        <v>493</v>
      </c>
      <c r="X2268" s="1">
        <f>IFERROR(__xludf.DUMMYFUNCTION("""COMPUTED_VALUE"""),429.0)</f>
        <v>429</v>
      </c>
      <c r="Y2268" s="2"/>
      <c r="Z2268" s="2"/>
    </row>
    <row r="2269">
      <c r="A2269" s="1">
        <f>IFERROR(__xludf.DUMMYFUNCTION("""COMPUTED_VALUE"""),2268.0)</f>
        <v>2268</v>
      </c>
      <c r="B2269" s="1">
        <f>IFERROR(__xludf.DUMMYFUNCTION("""COMPUTED_VALUE"""),5984.0)</f>
        <v>5984</v>
      </c>
      <c r="C2269" s="2" t="str">
        <f>IFERROR(__xludf.DUMMYFUNCTION("""COMPUTED_VALUE"""),"BAGUS")</f>
        <v>BAGUS</v>
      </c>
      <c r="D2269" s="2" t="str">
        <f>IFERROR(__xludf.DUMMYFUNCTION("""COMPUTED_VALUE"""),"5KM OVERALL M")</f>
        <v>5KM OVERALL M</v>
      </c>
      <c r="E2269" s="1">
        <f>IFERROR(__xludf.DUMMYFUNCTION("""COMPUTED_VALUE"""),2.0)</f>
        <v>2</v>
      </c>
      <c r="F2269" s="1" t="str">
        <f>IFERROR(__xludf.DUMMYFUNCTION("""COMPUTED_VALUE"""),"Male")</f>
        <v>Male</v>
      </c>
      <c r="G2269" s="4" t="b">
        <f>IFERROR(__xludf.DUMMYFUNCTION("""COMPUTED_VALUE"""),TRUE)</f>
        <v>1</v>
      </c>
      <c r="H2269" s="4" t="b">
        <f>IFERROR(__xludf.DUMMYFUNCTION("""COMPUTED_VALUE"""),TRUE)</f>
        <v>1</v>
      </c>
      <c r="I2269" s="4">
        <f>IFERROR(__xludf.DUMMYFUNCTION("""COMPUTED_VALUE"""),0.2549440625)</f>
        <v>0.2549440625</v>
      </c>
      <c r="J2269" s="4">
        <f>IFERROR(__xludf.DUMMYFUNCTION("""COMPUTED_VALUE"""),45949.284297608654)</f>
        <v>45949.2843</v>
      </c>
      <c r="K2269" s="4" t="str">
        <f>IFERROR(__xludf.DUMMYFUNCTION("""COMPUTED_VALUE"""),"")</f>
        <v/>
      </c>
      <c r="L2269" s="4">
        <f>IFERROR(__xludf.DUMMYFUNCTION("""COMPUTED_VALUE"""),45949.302977660205)</f>
        <v>45949.30298</v>
      </c>
      <c r="M2269" s="1" t="str">
        <f>IFERROR(__xludf.DUMMYFUNCTION("""COMPUTED_VALUE"""),"RFID")</f>
        <v>RFID</v>
      </c>
      <c r="N2269" s="5">
        <f>IFERROR(__xludf.DUMMYFUNCTION("""COMPUTED_VALUE"""),0.011741416666666667)</f>
        <v>0.01174141667</v>
      </c>
      <c r="O2269" s="5" t="str">
        <f>IFERROR(__xludf.DUMMYFUNCTION("""COMPUTED_VALUE"""),"")</f>
        <v/>
      </c>
      <c r="P2269" s="5" t="str">
        <f>IFERROR(__xludf.DUMMYFUNCTION("""COMPUTED_VALUE"""),"")</f>
        <v/>
      </c>
      <c r="Q2269" s="5">
        <f>IFERROR(__xludf.DUMMYFUNCTION("""COMPUTED_VALUE"""),0.009606719907407408)</f>
        <v>0.009606719907</v>
      </c>
      <c r="R2269" s="4">
        <f>IFERROR(__xludf.DUMMYFUNCTION("""COMPUTED_VALUE"""),45949.048033597704)</f>
        <v>45949.04803</v>
      </c>
      <c r="S2269" s="1" t="b">
        <f>IFERROR(__xludf.DUMMYFUNCTION("""COMPUTED_VALUE"""),TRUE)</f>
        <v>1</v>
      </c>
      <c r="T2269" s="1" t="b">
        <f>IFERROR(__xludf.DUMMYFUNCTION("""COMPUTED_VALUE"""),FALSE)</f>
        <v>0</v>
      </c>
      <c r="U2269" s="1" t="str">
        <f>IFERROR(__xludf.DUMMYFUNCTION("""COMPUTED_VALUE"""),"VALID")</f>
        <v>VALID</v>
      </c>
      <c r="V2269" s="1">
        <f>IFERROR(__xludf.DUMMYFUNCTION("""COMPUTED_VALUE"""),829.0)</f>
        <v>829</v>
      </c>
      <c r="W2269" s="1">
        <f>IFERROR(__xludf.DUMMYFUNCTION("""COMPUTED_VALUE"""),1548.0)</f>
        <v>1548</v>
      </c>
      <c r="X2269" s="1">
        <f>IFERROR(__xludf.DUMMYFUNCTION("""COMPUTED_VALUE"""),1309.0)</f>
        <v>1309</v>
      </c>
      <c r="Y2269" s="2"/>
      <c r="Z2269" s="2"/>
    </row>
    <row r="2270">
      <c r="A2270" s="1">
        <f>IFERROR(__xludf.DUMMYFUNCTION("""COMPUTED_VALUE"""),2269.0)</f>
        <v>2269</v>
      </c>
      <c r="B2270" s="1">
        <f>IFERROR(__xludf.DUMMYFUNCTION("""COMPUTED_VALUE"""),5988.0)</f>
        <v>5988</v>
      </c>
      <c r="C2270" s="2" t="str">
        <f>IFERROR(__xludf.DUMMYFUNCTION("""COMPUTED_VALUE"""),"Musa")</f>
        <v>Musa</v>
      </c>
      <c r="D2270" s="2" t="str">
        <f>IFERROR(__xludf.DUMMYFUNCTION("""COMPUTED_VALUE"""),"5KM OVERALL M")</f>
        <v>5KM OVERALL M</v>
      </c>
      <c r="E2270" s="1">
        <f>IFERROR(__xludf.DUMMYFUNCTION("""COMPUTED_VALUE"""),2.0)</f>
        <v>2</v>
      </c>
      <c r="F2270" s="1" t="str">
        <f>IFERROR(__xludf.DUMMYFUNCTION("""COMPUTED_VALUE"""),"Male")</f>
        <v>Male</v>
      </c>
      <c r="G2270" s="4" t="str">
        <f>IFERROR(__xludf.DUMMYFUNCTION("""COMPUTED_VALUE"""),"")</f>
        <v/>
      </c>
      <c r="H2270" s="4" t="b">
        <f>IFERROR(__xludf.DUMMYFUNCTION("""COMPUTED_VALUE"""),FALSE)</f>
        <v>0</v>
      </c>
      <c r="I2270" s="4">
        <f>IFERROR(__xludf.DUMMYFUNCTION("""COMPUTED_VALUE"""),0.2549440625)</f>
        <v>0.2549440625</v>
      </c>
      <c r="J2270" s="4" t="str">
        <f>IFERROR(__xludf.DUMMYFUNCTION("""COMPUTED_VALUE"""),"")</f>
        <v/>
      </c>
      <c r="K2270" s="4" t="str">
        <f>IFERROR(__xludf.DUMMYFUNCTION("""COMPUTED_VALUE"""),"")</f>
        <v/>
      </c>
      <c r="L2270" s="4" t="str">
        <f>IFERROR(__xludf.DUMMYFUNCTION("""COMPUTED_VALUE"""),"")</f>
        <v/>
      </c>
      <c r="M2270" s="1" t="str">
        <f>IFERROR(__xludf.DUMMYFUNCTION("""COMPUTED_VALUE"""),"RFID")</f>
        <v>RFID</v>
      </c>
      <c r="N2270" s="5" t="str">
        <f>IFERROR(__xludf.DUMMYFUNCTION("""COMPUTED_VALUE"""),"")</f>
        <v/>
      </c>
      <c r="O2270" s="5" t="str">
        <f>IFERROR(__xludf.DUMMYFUNCTION("""COMPUTED_VALUE"""),"")</f>
        <v/>
      </c>
      <c r="P2270" s="5" t="str">
        <f>IFERROR(__xludf.DUMMYFUNCTION("""COMPUTED_VALUE"""),"")</f>
        <v/>
      </c>
      <c r="Q2270" s="5" t="str">
        <f>IFERROR(__xludf.DUMMYFUNCTION("""COMPUTED_VALUE"""),"")</f>
        <v/>
      </c>
      <c r="R2270" s="4" t="str">
        <f>IFERROR(__xludf.DUMMYFUNCTION("""COMPUTED_VALUE"""),"")</f>
        <v/>
      </c>
      <c r="S2270" s="1" t="b">
        <f>IFERROR(__xludf.DUMMYFUNCTION("""COMPUTED_VALUE"""),FALSE)</f>
        <v>0</v>
      </c>
      <c r="T2270" s="1" t="b">
        <f>IFERROR(__xludf.DUMMYFUNCTION("""COMPUTED_VALUE"""),FALSE)</f>
        <v>0</v>
      </c>
      <c r="U2270" s="1" t="str">
        <f>IFERROR(__xludf.DUMMYFUNCTION("""COMPUTED_VALUE"""),"DSQ")</f>
        <v>DSQ</v>
      </c>
      <c r="V2270" s="1" t="str">
        <f>IFERROR(__xludf.DUMMYFUNCTION("""COMPUTED_VALUE"""),"DSQ")</f>
        <v>DSQ</v>
      </c>
      <c r="W2270" s="1" t="str">
        <f>IFERROR(__xludf.DUMMYFUNCTION("""COMPUTED_VALUE"""),"DSQ")</f>
        <v>DSQ</v>
      </c>
      <c r="X2270" s="1" t="str">
        <f>IFERROR(__xludf.DUMMYFUNCTION("""COMPUTED_VALUE"""),"DSQ")</f>
        <v>DSQ</v>
      </c>
      <c r="Y2270" s="2"/>
      <c r="Z2270" s="2" t="str">
        <f>IFERROR(__xludf.DUMMYFUNCTION("""COMPUTED_VALUE"""),"")</f>
        <v/>
      </c>
    </row>
    <row r="2271">
      <c r="A2271" s="1">
        <f>IFERROR(__xludf.DUMMYFUNCTION("""COMPUTED_VALUE"""),2270.0)</f>
        <v>2270</v>
      </c>
      <c r="B2271" s="1">
        <f>IFERROR(__xludf.DUMMYFUNCTION("""COMPUTED_VALUE"""),5992.0)</f>
        <v>5992</v>
      </c>
      <c r="C2271" s="2" t="str">
        <f>IFERROR(__xludf.DUMMYFUNCTION("""COMPUTED_VALUE"""),"Erik")</f>
        <v>Erik</v>
      </c>
      <c r="D2271" s="2" t="str">
        <f>IFERROR(__xludf.DUMMYFUNCTION("""COMPUTED_VALUE"""),"5KM OVERALL M")</f>
        <v>5KM OVERALL M</v>
      </c>
      <c r="E2271" s="1">
        <f>IFERROR(__xludf.DUMMYFUNCTION("""COMPUTED_VALUE"""),2.0)</f>
        <v>2</v>
      </c>
      <c r="F2271" s="1" t="str">
        <f>IFERROR(__xludf.DUMMYFUNCTION("""COMPUTED_VALUE"""),"Male")</f>
        <v>Male</v>
      </c>
      <c r="G2271" s="4" t="b">
        <f>IFERROR(__xludf.DUMMYFUNCTION("""COMPUTED_VALUE"""),TRUE)</f>
        <v>1</v>
      </c>
      <c r="H2271" s="4" t="b">
        <f>IFERROR(__xludf.DUMMYFUNCTION("""COMPUTED_VALUE"""),TRUE)</f>
        <v>1</v>
      </c>
      <c r="I2271" s="4">
        <f>IFERROR(__xludf.DUMMYFUNCTION("""COMPUTED_VALUE"""),0.2549440625)</f>
        <v>0.2549440625</v>
      </c>
      <c r="J2271" s="4">
        <f>IFERROR(__xludf.DUMMYFUNCTION("""COMPUTED_VALUE"""),45949.27727670252)</f>
        <v>45949.27728</v>
      </c>
      <c r="K2271" s="4" t="str">
        <f>IFERROR(__xludf.DUMMYFUNCTION("""COMPUTED_VALUE"""),"")</f>
        <v/>
      </c>
      <c r="L2271" s="4">
        <f>IFERROR(__xludf.DUMMYFUNCTION("""COMPUTED_VALUE"""),45949.295341851976)</f>
        <v>45949.29534</v>
      </c>
      <c r="M2271" s="1" t="str">
        <f>IFERROR(__xludf.DUMMYFUNCTION("""COMPUTED_VALUE"""),"RFID")</f>
        <v>RFID</v>
      </c>
      <c r="N2271" s="5">
        <f>IFERROR(__xludf.DUMMYFUNCTION("""COMPUTED_VALUE"""),0.008933055555555555)</f>
        <v>0.008933055556</v>
      </c>
      <c r="O2271" s="5" t="str">
        <f>IFERROR(__xludf.DUMMYFUNCTION("""COMPUTED_VALUE"""),"")</f>
        <v/>
      </c>
      <c r="P2271" s="5" t="str">
        <f>IFERROR(__xludf.DUMMYFUNCTION("""COMPUTED_VALUE"""),"")</f>
        <v/>
      </c>
      <c r="Q2271" s="5">
        <f>IFERROR(__xludf.DUMMYFUNCTION("""COMPUTED_VALUE"""),0.00807955787037037)</f>
        <v>0.00807955787</v>
      </c>
      <c r="R2271" s="4">
        <f>IFERROR(__xludf.DUMMYFUNCTION("""COMPUTED_VALUE"""),45949.040397789475)</f>
        <v>45949.0404</v>
      </c>
      <c r="S2271" s="1" t="b">
        <f>IFERROR(__xludf.DUMMYFUNCTION("""COMPUTED_VALUE"""),TRUE)</f>
        <v>1</v>
      </c>
      <c r="T2271" s="1" t="b">
        <f>IFERROR(__xludf.DUMMYFUNCTION("""COMPUTED_VALUE"""),FALSE)</f>
        <v>0</v>
      </c>
      <c r="U2271" s="1" t="str">
        <f>IFERROR(__xludf.DUMMYFUNCTION("""COMPUTED_VALUE"""),"VALID")</f>
        <v>VALID</v>
      </c>
      <c r="V2271" s="1">
        <f>IFERROR(__xludf.DUMMYFUNCTION("""COMPUTED_VALUE"""),726.0)</f>
        <v>726</v>
      </c>
      <c r="W2271" s="1">
        <f>IFERROR(__xludf.DUMMYFUNCTION("""COMPUTED_VALUE"""),1266.0)</f>
        <v>1266</v>
      </c>
      <c r="X2271" s="1">
        <f>IFERROR(__xludf.DUMMYFUNCTION("""COMPUTED_VALUE"""),1000.0)</f>
        <v>1000</v>
      </c>
      <c r="Y2271" s="2"/>
      <c r="Z2271" s="2"/>
    </row>
    <row r="2272">
      <c r="A2272" s="1">
        <f>IFERROR(__xludf.DUMMYFUNCTION("""COMPUTED_VALUE"""),2271.0)</f>
        <v>2271</v>
      </c>
      <c r="B2272" s="1">
        <f>IFERROR(__xludf.DUMMYFUNCTION("""COMPUTED_VALUE"""),5993.0)</f>
        <v>5993</v>
      </c>
      <c r="C2272" s="2" t="str">
        <f>IFERROR(__xludf.DUMMYFUNCTION("""COMPUTED_VALUE"""),"CGeT3W")</f>
        <v>CGeT3W</v>
      </c>
      <c r="D2272" s="2" t="str">
        <f>IFERROR(__xludf.DUMMYFUNCTION("""COMPUTED_VALUE"""),"5KM OVERALL M")</f>
        <v>5KM OVERALL M</v>
      </c>
      <c r="E2272" s="1">
        <f>IFERROR(__xludf.DUMMYFUNCTION("""COMPUTED_VALUE"""),2.0)</f>
        <v>2</v>
      </c>
      <c r="F2272" s="1" t="str">
        <f>IFERROR(__xludf.DUMMYFUNCTION("""COMPUTED_VALUE"""),"Male")</f>
        <v>Male</v>
      </c>
      <c r="G2272" s="4" t="str">
        <f>IFERROR(__xludf.DUMMYFUNCTION("""COMPUTED_VALUE"""),"")</f>
        <v/>
      </c>
      <c r="H2272" s="4" t="b">
        <f>IFERROR(__xludf.DUMMYFUNCTION("""COMPUTED_VALUE"""),FALSE)</f>
        <v>0</v>
      </c>
      <c r="I2272" s="4">
        <f>IFERROR(__xludf.DUMMYFUNCTION("""COMPUTED_VALUE"""),0.2549440625)</f>
        <v>0.2549440625</v>
      </c>
      <c r="J2272" s="4" t="str">
        <f>IFERROR(__xludf.DUMMYFUNCTION("""COMPUTED_VALUE"""),"")</f>
        <v/>
      </c>
      <c r="K2272" s="4" t="str">
        <f>IFERROR(__xludf.DUMMYFUNCTION("""COMPUTED_VALUE"""),"")</f>
        <v/>
      </c>
      <c r="L2272" s="4" t="str">
        <f>IFERROR(__xludf.DUMMYFUNCTION("""COMPUTED_VALUE"""),"")</f>
        <v/>
      </c>
      <c r="M2272" s="1" t="str">
        <f>IFERROR(__xludf.DUMMYFUNCTION("""COMPUTED_VALUE"""),"RFID")</f>
        <v>RFID</v>
      </c>
      <c r="N2272" s="5" t="str">
        <f>IFERROR(__xludf.DUMMYFUNCTION("""COMPUTED_VALUE"""),"")</f>
        <v/>
      </c>
      <c r="O2272" s="5" t="str">
        <f>IFERROR(__xludf.DUMMYFUNCTION("""COMPUTED_VALUE"""),"")</f>
        <v/>
      </c>
      <c r="P2272" s="5" t="str">
        <f>IFERROR(__xludf.DUMMYFUNCTION("""COMPUTED_VALUE"""),"")</f>
        <v/>
      </c>
      <c r="Q2272" s="5" t="str">
        <f>IFERROR(__xludf.DUMMYFUNCTION("""COMPUTED_VALUE"""),"")</f>
        <v/>
      </c>
      <c r="R2272" s="4" t="str">
        <f>IFERROR(__xludf.DUMMYFUNCTION("""COMPUTED_VALUE"""),"")</f>
        <v/>
      </c>
      <c r="S2272" s="1" t="b">
        <f>IFERROR(__xludf.DUMMYFUNCTION("""COMPUTED_VALUE"""),FALSE)</f>
        <v>0</v>
      </c>
      <c r="T2272" s="1" t="b">
        <f>IFERROR(__xludf.DUMMYFUNCTION("""COMPUTED_VALUE"""),FALSE)</f>
        <v>0</v>
      </c>
      <c r="U2272" s="1" t="str">
        <f>IFERROR(__xludf.DUMMYFUNCTION("""COMPUTED_VALUE"""),"DSQ")</f>
        <v>DSQ</v>
      </c>
      <c r="V2272" s="1" t="str">
        <f>IFERROR(__xludf.DUMMYFUNCTION("""COMPUTED_VALUE"""),"DSQ")</f>
        <v>DSQ</v>
      </c>
      <c r="W2272" s="1" t="str">
        <f>IFERROR(__xludf.DUMMYFUNCTION("""COMPUTED_VALUE"""),"DSQ")</f>
        <v>DSQ</v>
      </c>
      <c r="X2272" s="1" t="str">
        <f>IFERROR(__xludf.DUMMYFUNCTION("""COMPUTED_VALUE"""),"DSQ")</f>
        <v>DSQ</v>
      </c>
      <c r="Y2272" s="2"/>
      <c r="Z2272" s="2" t="str">
        <f>IFERROR(__xludf.DUMMYFUNCTION("""COMPUTED_VALUE"""),"")</f>
        <v/>
      </c>
    </row>
    <row r="2273">
      <c r="A2273" s="1">
        <f>IFERROR(__xludf.DUMMYFUNCTION("""COMPUTED_VALUE"""),2272.0)</f>
        <v>2272</v>
      </c>
      <c r="B2273" s="1">
        <f>IFERROR(__xludf.DUMMYFUNCTION("""COMPUTED_VALUE"""),5996.0)</f>
        <v>5996</v>
      </c>
      <c r="C2273" s="2" t="str">
        <f>IFERROR(__xludf.DUMMYFUNCTION("""COMPUTED_VALUE"""),"yoga")</f>
        <v>yoga</v>
      </c>
      <c r="D2273" s="2" t="str">
        <f>IFERROR(__xludf.DUMMYFUNCTION("""COMPUTED_VALUE"""),"5KM OVERALL M")</f>
        <v>5KM OVERALL M</v>
      </c>
      <c r="E2273" s="1">
        <f>IFERROR(__xludf.DUMMYFUNCTION("""COMPUTED_VALUE"""),2.0)</f>
        <v>2</v>
      </c>
      <c r="F2273" s="1" t="str">
        <f>IFERROR(__xludf.DUMMYFUNCTION("""COMPUTED_VALUE"""),"Male")</f>
        <v>Male</v>
      </c>
      <c r="G2273" s="4" t="str">
        <f>IFERROR(__xludf.DUMMYFUNCTION("""COMPUTED_VALUE"""),"")</f>
        <v/>
      </c>
      <c r="H2273" s="4" t="b">
        <f>IFERROR(__xludf.DUMMYFUNCTION("""COMPUTED_VALUE"""),FALSE)</f>
        <v>0</v>
      </c>
      <c r="I2273" s="4">
        <f>IFERROR(__xludf.DUMMYFUNCTION("""COMPUTED_VALUE"""),0.2549440625)</f>
        <v>0.2549440625</v>
      </c>
      <c r="J2273" s="4" t="str">
        <f>IFERROR(__xludf.DUMMYFUNCTION("""COMPUTED_VALUE"""),"")</f>
        <v/>
      </c>
      <c r="K2273" s="4" t="str">
        <f>IFERROR(__xludf.DUMMYFUNCTION("""COMPUTED_VALUE"""),"")</f>
        <v/>
      </c>
      <c r="L2273" s="4" t="str">
        <f>IFERROR(__xludf.DUMMYFUNCTION("""COMPUTED_VALUE"""),"")</f>
        <v/>
      </c>
      <c r="M2273" s="1" t="str">
        <f>IFERROR(__xludf.DUMMYFUNCTION("""COMPUTED_VALUE"""),"RFID")</f>
        <v>RFID</v>
      </c>
      <c r="N2273" s="5" t="str">
        <f>IFERROR(__xludf.DUMMYFUNCTION("""COMPUTED_VALUE"""),"")</f>
        <v/>
      </c>
      <c r="O2273" s="5" t="str">
        <f>IFERROR(__xludf.DUMMYFUNCTION("""COMPUTED_VALUE"""),"")</f>
        <v/>
      </c>
      <c r="P2273" s="5" t="str">
        <f>IFERROR(__xludf.DUMMYFUNCTION("""COMPUTED_VALUE"""),"")</f>
        <v/>
      </c>
      <c r="Q2273" s="5" t="str">
        <f>IFERROR(__xludf.DUMMYFUNCTION("""COMPUTED_VALUE"""),"")</f>
        <v/>
      </c>
      <c r="R2273" s="4" t="str">
        <f>IFERROR(__xludf.DUMMYFUNCTION("""COMPUTED_VALUE"""),"")</f>
        <v/>
      </c>
      <c r="S2273" s="1" t="b">
        <f>IFERROR(__xludf.DUMMYFUNCTION("""COMPUTED_VALUE"""),FALSE)</f>
        <v>0</v>
      </c>
      <c r="T2273" s="1" t="b">
        <f>IFERROR(__xludf.DUMMYFUNCTION("""COMPUTED_VALUE"""),FALSE)</f>
        <v>0</v>
      </c>
      <c r="U2273" s="1" t="str">
        <f>IFERROR(__xludf.DUMMYFUNCTION("""COMPUTED_VALUE"""),"DSQ")</f>
        <v>DSQ</v>
      </c>
      <c r="V2273" s="1" t="str">
        <f>IFERROR(__xludf.DUMMYFUNCTION("""COMPUTED_VALUE"""),"DSQ")</f>
        <v>DSQ</v>
      </c>
      <c r="W2273" s="1" t="str">
        <f>IFERROR(__xludf.DUMMYFUNCTION("""COMPUTED_VALUE"""),"DSQ")</f>
        <v>DSQ</v>
      </c>
      <c r="X2273" s="1" t="str">
        <f>IFERROR(__xludf.DUMMYFUNCTION("""COMPUTED_VALUE"""),"DSQ")</f>
        <v>DSQ</v>
      </c>
      <c r="Y2273" s="2"/>
      <c r="Z2273" s="2" t="str">
        <f>IFERROR(__xludf.DUMMYFUNCTION("""COMPUTED_VALUE"""),"")</f>
        <v/>
      </c>
    </row>
    <row r="2274">
      <c r="A2274" s="1">
        <f>IFERROR(__xludf.DUMMYFUNCTION("""COMPUTED_VALUE"""),2273.0)</f>
        <v>2273</v>
      </c>
      <c r="B2274" s="1">
        <f>IFERROR(__xludf.DUMMYFUNCTION("""COMPUTED_VALUE"""),5997.0)</f>
        <v>5997</v>
      </c>
      <c r="C2274" s="2" t="str">
        <f>IFERROR(__xludf.DUMMYFUNCTION("""COMPUTED_VALUE"""),"Akhmad")</f>
        <v>Akhmad</v>
      </c>
      <c r="D2274" s="2" t="str">
        <f>IFERROR(__xludf.DUMMYFUNCTION("""COMPUTED_VALUE"""),"5KM OVERALL M")</f>
        <v>5KM OVERALL M</v>
      </c>
      <c r="E2274" s="1">
        <f>IFERROR(__xludf.DUMMYFUNCTION("""COMPUTED_VALUE"""),2.0)</f>
        <v>2</v>
      </c>
      <c r="F2274" s="1" t="str">
        <f>IFERROR(__xludf.DUMMYFUNCTION("""COMPUTED_VALUE"""),"Male")</f>
        <v>Male</v>
      </c>
      <c r="G2274" s="4" t="b">
        <f>IFERROR(__xludf.DUMMYFUNCTION("""COMPUTED_VALUE"""),TRUE)</f>
        <v>1</v>
      </c>
      <c r="H2274" s="4" t="b">
        <f>IFERROR(__xludf.DUMMYFUNCTION("""COMPUTED_VALUE"""),TRUE)</f>
        <v>1</v>
      </c>
      <c r="I2274" s="4">
        <f>IFERROR(__xludf.DUMMYFUNCTION("""COMPUTED_VALUE"""),0.2549440625)</f>
        <v>0.2549440625</v>
      </c>
      <c r="J2274" s="4">
        <f>IFERROR(__xludf.DUMMYFUNCTION("""COMPUTED_VALUE"""),45949.282134377296)</f>
        <v>45949.28213</v>
      </c>
      <c r="K2274" s="4" t="str">
        <f>IFERROR(__xludf.DUMMYFUNCTION("""COMPUTED_VALUE"""),"")</f>
        <v/>
      </c>
      <c r="L2274" s="4">
        <f>IFERROR(__xludf.DUMMYFUNCTION("""COMPUTED_VALUE"""),45949.30109531773)</f>
        <v>45949.3011</v>
      </c>
      <c r="M2274" s="1" t="str">
        <f>IFERROR(__xludf.DUMMYFUNCTION("""COMPUTED_VALUE"""),"RFID")</f>
        <v>RFID</v>
      </c>
      <c r="N2274" s="5">
        <f>IFERROR(__xludf.DUMMYFUNCTION("""COMPUTED_VALUE"""),0.010876125)</f>
        <v>0.010876125</v>
      </c>
      <c r="O2274" s="5" t="str">
        <f>IFERROR(__xludf.DUMMYFUNCTION("""COMPUTED_VALUE"""),"")</f>
        <v/>
      </c>
      <c r="P2274" s="5" t="str">
        <f>IFERROR(__xludf.DUMMYFUNCTION("""COMPUTED_VALUE"""),"")</f>
        <v/>
      </c>
      <c r="Q2274" s="5">
        <f>IFERROR(__xludf.DUMMYFUNCTION("""COMPUTED_VALUE"""),0.009230249999999999)</f>
        <v>0.00923025</v>
      </c>
      <c r="R2274" s="4">
        <f>IFERROR(__xludf.DUMMYFUNCTION("""COMPUTED_VALUE"""),45949.04615125523)</f>
        <v>45949.04615</v>
      </c>
      <c r="S2274" s="1" t="b">
        <f>IFERROR(__xludf.DUMMYFUNCTION("""COMPUTED_VALUE"""),TRUE)</f>
        <v>1</v>
      </c>
      <c r="T2274" s="1" t="b">
        <f>IFERROR(__xludf.DUMMYFUNCTION("""COMPUTED_VALUE"""),FALSE)</f>
        <v>0</v>
      </c>
      <c r="U2274" s="1" t="str">
        <f>IFERROR(__xludf.DUMMYFUNCTION("""COMPUTED_VALUE"""),"VALID")</f>
        <v>VALID</v>
      </c>
      <c r="V2274" s="1">
        <f>IFERROR(__xludf.DUMMYFUNCTION("""COMPUTED_VALUE"""),810.0)</f>
        <v>810</v>
      </c>
      <c r="W2274" s="1">
        <f>IFERROR(__xludf.DUMMYFUNCTION("""COMPUTED_VALUE"""),1494.0)</f>
        <v>1494</v>
      </c>
      <c r="X2274" s="1">
        <f>IFERROR(__xludf.DUMMYFUNCTION("""COMPUTED_VALUE"""),1247.0)</f>
        <v>1247</v>
      </c>
      <c r="Y2274" s="2"/>
      <c r="Z2274" s="2"/>
    </row>
    <row r="2275">
      <c r="A2275" s="1">
        <f>IFERROR(__xludf.DUMMYFUNCTION("""COMPUTED_VALUE"""),2274.0)</f>
        <v>2274</v>
      </c>
      <c r="B2275" s="1">
        <f>IFERROR(__xludf.DUMMYFUNCTION("""COMPUTED_VALUE"""),5998.0)</f>
        <v>5998</v>
      </c>
      <c r="C2275" s="2" t="str">
        <f>IFERROR(__xludf.DUMMYFUNCTION("""COMPUTED_VALUE"""),"Achmadi Nur")</f>
        <v>Achmadi Nur</v>
      </c>
      <c r="D2275" s="2" t="str">
        <f>IFERROR(__xludf.DUMMYFUNCTION("""COMPUTED_VALUE"""),"5KM OVERALL M")</f>
        <v>5KM OVERALL M</v>
      </c>
      <c r="E2275" s="1">
        <f>IFERROR(__xludf.DUMMYFUNCTION("""COMPUTED_VALUE"""),2.0)</f>
        <v>2</v>
      </c>
      <c r="F2275" s="1" t="str">
        <f>IFERROR(__xludf.DUMMYFUNCTION("""COMPUTED_VALUE"""),"Male")</f>
        <v>Male</v>
      </c>
      <c r="G2275" s="4" t="b">
        <f>IFERROR(__xludf.DUMMYFUNCTION("""COMPUTED_VALUE"""),TRUE)</f>
        <v>1</v>
      </c>
      <c r="H2275" s="4" t="b">
        <f>IFERROR(__xludf.DUMMYFUNCTION("""COMPUTED_VALUE"""),TRUE)</f>
        <v>1</v>
      </c>
      <c r="I2275" s="4">
        <f>IFERROR(__xludf.DUMMYFUNCTION("""COMPUTED_VALUE"""),0.2549440625)</f>
        <v>0.2549440625</v>
      </c>
      <c r="J2275" s="4">
        <f>IFERROR(__xludf.DUMMYFUNCTION("""COMPUTED_VALUE"""),45949.26623197821)</f>
        <v>45949.26623</v>
      </c>
      <c r="K2275" s="4" t="str">
        <f>IFERROR(__xludf.DUMMYFUNCTION("""COMPUTED_VALUE"""),"")</f>
        <v/>
      </c>
      <c r="L2275" s="4">
        <f>IFERROR(__xludf.DUMMYFUNCTION("""COMPUTED_VALUE"""),45949.27348072522)</f>
        <v>45949.27348</v>
      </c>
      <c r="M2275" s="1" t="str">
        <f>IFERROR(__xludf.DUMMYFUNCTION("""COMPUTED_VALUE"""),"RFID")</f>
        <v>RFID</v>
      </c>
      <c r="N2275" s="5">
        <f>IFERROR(__xludf.DUMMYFUNCTION("""COMPUTED_VALUE"""),0.0045151666666666665)</f>
        <v>0.004515166667</v>
      </c>
      <c r="O2275" s="5" t="str">
        <f>IFERROR(__xludf.DUMMYFUNCTION("""COMPUTED_VALUE"""),"")</f>
        <v/>
      </c>
      <c r="P2275" s="5" t="str">
        <f>IFERROR(__xludf.DUMMYFUNCTION("""COMPUTED_VALUE"""),"")</f>
        <v/>
      </c>
      <c r="Q2275" s="5">
        <f>IFERROR(__xludf.DUMMYFUNCTION("""COMPUTED_VALUE"""),0.0037073333333333333)</f>
        <v>0.003707333333</v>
      </c>
      <c r="R2275" s="4">
        <f>IFERROR(__xludf.DUMMYFUNCTION("""COMPUTED_VALUE"""),45949.01853666272)</f>
        <v>45949.01854</v>
      </c>
      <c r="S2275" s="1" t="b">
        <f>IFERROR(__xludf.DUMMYFUNCTION("""COMPUTED_VALUE"""),TRUE)</f>
        <v>1</v>
      </c>
      <c r="T2275" s="1" t="b">
        <f>IFERROR(__xludf.DUMMYFUNCTION("""COMPUTED_VALUE"""),FALSE)</f>
        <v>0</v>
      </c>
      <c r="U2275" s="1" t="str">
        <f>IFERROR(__xludf.DUMMYFUNCTION("""COMPUTED_VALUE"""),"VALID")</f>
        <v>VALID</v>
      </c>
      <c r="V2275" s="1">
        <f>IFERROR(__xludf.DUMMYFUNCTION("""COMPUTED_VALUE"""),47.0)</f>
        <v>47</v>
      </c>
      <c r="W2275" s="1">
        <f>IFERROR(__xludf.DUMMYFUNCTION("""COMPUTED_VALUE"""),70.0)</f>
        <v>70</v>
      </c>
      <c r="X2275" s="1">
        <f>IFERROR(__xludf.DUMMYFUNCTION("""COMPUTED_VALUE"""),65.0)</f>
        <v>65</v>
      </c>
      <c r="Y2275" s="2"/>
      <c r="Z2275" s="2"/>
    </row>
    <row r="2276">
      <c r="A2276" s="1">
        <f>IFERROR(__xludf.DUMMYFUNCTION("""COMPUTED_VALUE"""),2275.0)</f>
        <v>2275</v>
      </c>
      <c r="B2276" s="1">
        <f>IFERROR(__xludf.DUMMYFUNCTION("""COMPUTED_VALUE"""),5999.0)</f>
        <v>5999</v>
      </c>
      <c r="C2276" s="2" t="str">
        <f>IFERROR(__xludf.DUMMYFUNCTION("""COMPUTED_VALUE"""),"Rahmat k.s")</f>
        <v>Rahmat k.s</v>
      </c>
      <c r="D2276" s="2" t="str">
        <f>IFERROR(__xludf.DUMMYFUNCTION("""COMPUTED_VALUE"""),"5KM OVERALL M")</f>
        <v>5KM OVERALL M</v>
      </c>
      <c r="E2276" s="1">
        <f>IFERROR(__xludf.DUMMYFUNCTION("""COMPUTED_VALUE"""),2.0)</f>
        <v>2</v>
      </c>
      <c r="F2276" s="1" t="str">
        <f>IFERROR(__xludf.DUMMYFUNCTION("""COMPUTED_VALUE"""),"Male")</f>
        <v>Male</v>
      </c>
      <c r="G2276" s="4" t="b">
        <f>IFERROR(__xludf.DUMMYFUNCTION("""COMPUTED_VALUE"""),TRUE)</f>
        <v>1</v>
      </c>
      <c r="H2276" s="4" t="b">
        <f>IFERROR(__xludf.DUMMYFUNCTION("""COMPUTED_VALUE"""),TRUE)</f>
        <v>1</v>
      </c>
      <c r="I2276" s="4">
        <f>IFERROR(__xludf.DUMMYFUNCTION("""COMPUTED_VALUE"""),0.2549440625)</f>
        <v>0.2549440625</v>
      </c>
      <c r="J2276" s="4">
        <f>IFERROR(__xludf.DUMMYFUNCTION("""COMPUTED_VALUE"""),45949.263141267715)</f>
        <v>45949.26314</v>
      </c>
      <c r="K2276" s="4" t="str">
        <f>IFERROR(__xludf.DUMMYFUNCTION("""COMPUTED_VALUE"""),"")</f>
        <v/>
      </c>
      <c r="L2276" s="4">
        <f>IFERROR(__xludf.DUMMYFUNCTION("""COMPUTED_VALUE"""),45949.27019253179)</f>
        <v>45949.27019</v>
      </c>
      <c r="M2276" s="1" t="str">
        <f>IFERROR(__xludf.DUMMYFUNCTION("""COMPUTED_VALUE"""),"RFID")</f>
        <v>RFID</v>
      </c>
      <c r="N2276" s="5">
        <f>IFERROR(__xludf.DUMMYFUNCTION("""COMPUTED_VALUE"""),0.003278884259259259)</f>
        <v>0.003278884259</v>
      </c>
      <c r="O2276" s="5" t="str">
        <f>IFERROR(__xludf.DUMMYFUNCTION("""COMPUTED_VALUE"""),"")</f>
        <v/>
      </c>
      <c r="P2276" s="5" t="str">
        <f>IFERROR(__xludf.DUMMYFUNCTION("""COMPUTED_VALUE"""),"")</f>
        <v/>
      </c>
      <c r="Q2276" s="5">
        <f>IFERROR(__xludf.DUMMYFUNCTION("""COMPUTED_VALUE"""),0.0030496944444444443)</f>
        <v>0.003049694444</v>
      </c>
      <c r="R2276" s="4">
        <f>IFERROR(__xludf.DUMMYFUNCTION("""COMPUTED_VALUE"""),45949.01524846929)</f>
        <v>45949.01525</v>
      </c>
      <c r="S2276" s="1" t="b">
        <f>IFERROR(__xludf.DUMMYFUNCTION("""COMPUTED_VALUE"""),TRUE)</f>
        <v>1</v>
      </c>
      <c r="T2276" s="1" t="b">
        <f>IFERROR(__xludf.DUMMYFUNCTION("""COMPUTED_VALUE"""),FALSE)</f>
        <v>0</v>
      </c>
      <c r="U2276" s="1" t="str">
        <f>IFERROR(__xludf.DUMMYFUNCTION("""COMPUTED_VALUE"""),"VALID")</f>
        <v>VALID</v>
      </c>
      <c r="V2276" s="1">
        <f>IFERROR(__xludf.DUMMYFUNCTION("""COMPUTED_VALUE"""),13.0)</f>
        <v>13</v>
      </c>
      <c r="W2276" s="1">
        <f>IFERROR(__xludf.DUMMYFUNCTION("""COMPUTED_VALUE"""),16.0)</f>
        <v>16</v>
      </c>
      <c r="X2276" s="1">
        <f>IFERROR(__xludf.DUMMYFUNCTION("""COMPUTED_VALUE"""),16.0)</f>
        <v>16</v>
      </c>
      <c r="Y2276" s="2"/>
      <c r="Z2276" s="2"/>
    </row>
    <row r="2277">
      <c r="A2277" s="1">
        <f>IFERROR(__xludf.DUMMYFUNCTION("""COMPUTED_VALUE"""),2276.0)</f>
        <v>2276</v>
      </c>
      <c r="B2277" s="1">
        <f>IFERROR(__xludf.DUMMYFUNCTION("""COMPUTED_VALUE"""),6001.0)</f>
        <v>6001</v>
      </c>
      <c r="C2277" s="2" t="str">
        <f>IFERROR(__xludf.DUMMYFUNCTION("""COMPUTED_VALUE"""),"Bambang")</f>
        <v>Bambang</v>
      </c>
      <c r="D2277" s="2" t="str">
        <f>IFERROR(__xludf.DUMMYFUNCTION("""COMPUTED_VALUE"""),"5KM OVERALL M")</f>
        <v>5KM OVERALL M</v>
      </c>
      <c r="E2277" s="1">
        <f>IFERROR(__xludf.DUMMYFUNCTION("""COMPUTED_VALUE"""),2.0)</f>
        <v>2</v>
      </c>
      <c r="F2277" s="1" t="str">
        <f>IFERROR(__xludf.DUMMYFUNCTION("""COMPUTED_VALUE"""),"Male")</f>
        <v>Male</v>
      </c>
      <c r="G2277" s="4" t="b">
        <f>IFERROR(__xludf.DUMMYFUNCTION("""COMPUTED_VALUE"""),TRUE)</f>
        <v>1</v>
      </c>
      <c r="H2277" s="4" t="b">
        <f>IFERROR(__xludf.DUMMYFUNCTION("""COMPUTED_VALUE"""),TRUE)</f>
        <v>1</v>
      </c>
      <c r="I2277" s="4">
        <f>IFERROR(__xludf.DUMMYFUNCTION("""COMPUTED_VALUE"""),0.2549440625)</f>
        <v>0.2549440625</v>
      </c>
      <c r="J2277" s="4">
        <f>IFERROR(__xludf.DUMMYFUNCTION("""COMPUTED_VALUE"""),45949.2816551702)</f>
        <v>45949.28166</v>
      </c>
      <c r="K2277" s="4" t="str">
        <f>IFERROR(__xludf.DUMMYFUNCTION("""COMPUTED_VALUE"""),"")</f>
        <v/>
      </c>
      <c r="L2277" s="4">
        <f>IFERROR(__xludf.DUMMYFUNCTION("""COMPUTED_VALUE"""),45949.30117170902)</f>
        <v>45949.30117</v>
      </c>
      <c r="M2277" s="1" t="str">
        <f>IFERROR(__xludf.DUMMYFUNCTION("""COMPUTED_VALUE"""),"RFID")</f>
        <v>RFID</v>
      </c>
      <c r="N2277" s="5">
        <f>IFERROR(__xludf.DUMMYFUNCTION("""COMPUTED_VALUE"""),0.010684444444444444)</f>
        <v>0.01068444444</v>
      </c>
      <c r="O2277" s="5" t="str">
        <f>IFERROR(__xludf.DUMMYFUNCTION("""COMPUTED_VALUE"""),"")</f>
        <v/>
      </c>
      <c r="P2277" s="5" t="str">
        <f>IFERROR(__xludf.DUMMYFUNCTION("""COMPUTED_VALUE"""),"")</f>
        <v/>
      </c>
      <c r="Q2277" s="5">
        <f>IFERROR(__xludf.DUMMYFUNCTION("""COMPUTED_VALUE"""),0.009245530092592592)</f>
        <v>0.009245530093</v>
      </c>
      <c r="R2277" s="4">
        <f>IFERROR(__xludf.DUMMYFUNCTION("""COMPUTED_VALUE"""),45949.04622764652)</f>
        <v>45949.04623</v>
      </c>
      <c r="S2277" s="1" t="b">
        <f>IFERROR(__xludf.DUMMYFUNCTION("""COMPUTED_VALUE"""),TRUE)</f>
        <v>1</v>
      </c>
      <c r="T2277" s="1" t="b">
        <f>IFERROR(__xludf.DUMMYFUNCTION("""COMPUTED_VALUE"""),FALSE)</f>
        <v>0</v>
      </c>
      <c r="U2277" s="1" t="str">
        <f>IFERROR(__xludf.DUMMYFUNCTION("""COMPUTED_VALUE"""),"VALID")</f>
        <v>VALID</v>
      </c>
      <c r="V2277" s="1">
        <f>IFERROR(__xludf.DUMMYFUNCTION("""COMPUTED_VALUE"""),813.0)</f>
        <v>813</v>
      </c>
      <c r="W2277" s="1">
        <f>IFERROR(__xludf.DUMMYFUNCTION("""COMPUTED_VALUE"""),1499.0)</f>
        <v>1499</v>
      </c>
      <c r="X2277" s="1">
        <f>IFERROR(__xludf.DUMMYFUNCTION("""COMPUTED_VALUE"""),1251.0)</f>
        <v>1251</v>
      </c>
      <c r="Y2277" s="2"/>
      <c r="Z2277" s="2"/>
    </row>
    <row r="2278">
      <c r="A2278" s="1">
        <f>IFERROR(__xludf.DUMMYFUNCTION("""COMPUTED_VALUE"""),2277.0)</f>
        <v>2277</v>
      </c>
      <c r="B2278" s="1">
        <f>IFERROR(__xludf.DUMMYFUNCTION("""COMPUTED_VALUE"""),6002.0)</f>
        <v>6002</v>
      </c>
      <c r="C2278" s="2" t="str">
        <f>IFERROR(__xludf.DUMMYFUNCTION("""COMPUTED_VALUE"""),"Ahmad Jumadi")</f>
        <v>Ahmad Jumadi</v>
      </c>
      <c r="D2278" s="2" t="str">
        <f>IFERROR(__xludf.DUMMYFUNCTION("""COMPUTED_VALUE"""),"5KM OVERALL M")</f>
        <v>5KM OVERALL M</v>
      </c>
      <c r="E2278" s="1">
        <f>IFERROR(__xludf.DUMMYFUNCTION("""COMPUTED_VALUE"""),2.0)</f>
        <v>2</v>
      </c>
      <c r="F2278" s="1" t="str">
        <f>IFERROR(__xludf.DUMMYFUNCTION("""COMPUTED_VALUE"""),"Male")</f>
        <v>Male</v>
      </c>
      <c r="G2278" s="4" t="b">
        <f>IFERROR(__xludf.DUMMYFUNCTION("""COMPUTED_VALUE"""),TRUE)</f>
        <v>1</v>
      </c>
      <c r="H2278" s="4" t="b">
        <f>IFERROR(__xludf.DUMMYFUNCTION("""COMPUTED_VALUE"""),TRUE)</f>
        <v>1</v>
      </c>
      <c r="I2278" s="4">
        <f>IFERROR(__xludf.DUMMYFUNCTION("""COMPUTED_VALUE"""),0.2549440625)</f>
        <v>0.2549440625</v>
      </c>
      <c r="J2278" s="4">
        <f>IFERROR(__xludf.DUMMYFUNCTION("""COMPUTED_VALUE"""),45949.2792419731)</f>
        <v>45949.27924</v>
      </c>
      <c r="K2278" s="4" t="str">
        <f>IFERROR(__xludf.DUMMYFUNCTION("""COMPUTED_VALUE"""),"")</f>
        <v/>
      </c>
      <c r="L2278" s="4">
        <f>IFERROR(__xludf.DUMMYFUNCTION("""COMPUTED_VALUE"""),45949.29634531484)</f>
        <v>45949.29635</v>
      </c>
      <c r="M2278" s="1" t="str">
        <f>IFERROR(__xludf.DUMMYFUNCTION("""COMPUTED_VALUE"""),"RFID")</f>
        <v>RFID</v>
      </c>
      <c r="N2278" s="5">
        <f>IFERROR(__xludf.DUMMYFUNCTION("""COMPUTED_VALUE"""),0.009719162037037037)</f>
        <v>0.009719162037</v>
      </c>
      <c r="O2278" s="5" t="str">
        <f>IFERROR(__xludf.DUMMYFUNCTION("""COMPUTED_VALUE"""),"")</f>
        <v/>
      </c>
      <c r="P2278" s="5" t="str">
        <f>IFERROR(__xludf.DUMMYFUNCTION("""COMPUTED_VALUE"""),"")</f>
        <v/>
      </c>
      <c r="Q2278" s="5">
        <f>IFERROR(__xludf.DUMMYFUNCTION("""COMPUTED_VALUE"""),0.00828025)</f>
        <v>0.00828025</v>
      </c>
      <c r="R2278" s="4">
        <f>IFERROR(__xludf.DUMMYFUNCTION("""COMPUTED_VALUE"""),45949.04140125234)</f>
        <v>45949.0414</v>
      </c>
      <c r="S2278" s="1" t="b">
        <f>IFERROR(__xludf.DUMMYFUNCTION("""COMPUTED_VALUE"""),TRUE)</f>
        <v>1</v>
      </c>
      <c r="T2278" s="1" t="b">
        <f>IFERROR(__xludf.DUMMYFUNCTION("""COMPUTED_VALUE"""),FALSE)</f>
        <v>0</v>
      </c>
      <c r="U2278" s="1" t="str">
        <f>IFERROR(__xludf.DUMMYFUNCTION("""COMPUTED_VALUE"""),"VALID")</f>
        <v>VALID</v>
      </c>
      <c r="V2278" s="1">
        <f>IFERROR(__xludf.DUMMYFUNCTION("""COMPUTED_VALUE"""),743.0)</f>
        <v>743</v>
      </c>
      <c r="W2278" s="1">
        <f>IFERROR(__xludf.DUMMYFUNCTION("""COMPUTED_VALUE"""),1305.0)</f>
        <v>1305</v>
      </c>
      <c r="X2278" s="1">
        <f>IFERROR(__xludf.DUMMYFUNCTION("""COMPUTED_VALUE"""),1038.0)</f>
        <v>1038</v>
      </c>
      <c r="Y2278" s="2"/>
      <c r="Z2278" s="2"/>
    </row>
    <row r="2279">
      <c r="A2279" s="1">
        <f>IFERROR(__xludf.DUMMYFUNCTION("""COMPUTED_VALUE"""),2278.0)</f>
        <v>2278</v>
      </c>
      <c r="B2279" s="1">
        <f>IFERROR(__xludf.DUMMYFUNCTION("""COMPUTED_VALUE"""),6003.0)</f>
        <v>6003</v>
      </c>
      <c r="C2279" s="2" t="str">
        <f>IFERROR(__xludf.DUMMYFUNCTION("""COMPUTED_VALUE"""),"kuricikbihi")</f>
        <v>kuricikbihi</v>
      </c>
      <c r="D2279" s="2" t="str">
        <f>IFERROR(__xludf.DUMMYFUNCTION("""COMPUTED_VALUE"""),"5KM OVERALL M")</f>
        <v>5KM OVERALL M</v>
      </c>
      <c r="E2279" s="1">
        <f>IFERROR(__xludf.DUMMYFUNCTION("""COMPUTED_VALUE"""),2.0)</f>
        <v>2</v>
      </c>
      <c r="F2279" s="1" t="str">
        <f>IFERROR(__xludf.DUMMYFUNCTION("""COMPUTED_VALUE"""),"Male")</f>
        <v>Male</v>
      </c>
      <c r="G2279" s="4" t="b">
        <f>IFERROR(__xludf.DUMMYFUNCTION("""COMPUTED_VALUE"""),TRUE)</f>
        <v>1</v>
      </c>
      <c r="H2279" s="4" t="b">
        <f>IFERROR(__xludf.DUMMYFUNCTION("""COMPUTED_VALUE"""),FALSE)</f>
        <v>0</v>
      </c>
      <c r="I2279" s="4">
        <f>IFERROR(__xludf.DUMMYFUNCTION("""COMPUTED_VALUE"""),0.2549440625)</f>
        <v>0.2549440625</v>
      </c>
      <c r="J2279" s="4">
        <f>IFERROR(__xludf.DUMMYFUNCTION("""COMPUTED_VALUE"""),45949.27091212777)</f>
        <v>45949.27091</v>
      </c>
      <c r="K2279" s="4" t="str">
        <f>IFERROR(__xludf.DUMMYFUNCTION("""COMPUTED_VALUE"""),"")</f>
        <v/>
      </c>
      <c r="L2279" s="4">
        <f>IFERROR(__xludf.DUMMYFUNCTION("""COMPUTED_VALUE"""),45949.28158143802)</f>
        <v>45949.28158</v>
      </c>
      <c r="M2279" s="1" t="str">
        <f>IFERROR(__xludf.DUMMYFUNCTION("""COMPUTED_VALUE"""),"RFID")</f>
        <v>RFID</v>
      </c>
      <c r="N2279" s="5">
        <f>IFERROR(__xludf.DUMMYFUNCTION("""COMPUTED_VALUE"""),0.006387226851851851)</f>
        <v>0.006387226852</v>
      </c>
      <c r="O2279" s="5" t="str">
        <f>IFERROR(__xludf.DUMMYFUNCTION("""COMPUTED_VALUE"""),"")</f>
        <v/>
      </c>
      <c r="P2279" s="5" t="str">
        <f>IFERROR(__xludf.DUMMYFUNCTION("""COMPUTED_VALUE"""),"")</f>
        <v/>
      </c>
      <c r="Q2279" s="5">
        <f>IFERROR(__xludf.DUMMYFUNCTION("""COMPUTED_VALUE"""),0.005327474537037037)</f>
        <v>0.005327474537</v>
      </c>
      <c r="R2279" s="4">
        <f>IFERROR(__xludf.DUMMYFUNCTION("""COMPUTED_VALUE"""),45949.02663737552)</f>
        <v>45949.02664</v>
      </c>
      <c r="S2279" s="1" t="b">
        <f>IFERROR(__xludf.DUMMYFUNCTION("""COMPUTED_VALUE"""),TRUE)</f>
        <v>1</v>
      </c>
      <c r="T2279" s="1" t="b">
        <f>IFERROR(__xludf.DUMMYFUNCTION("""COMPUTED_VALUE"""),FALSE)</f>
        <v>0</v>
      </c>
      <c r="U2279" s="1" t="str">
        <f>IFERROR(__xludf.DUMMYFUNCTION("""COMPUTED_VALUE"""),"VALID")</f>
        <v>VALID</v>
      </c>
      <c r="V2279" s="1">
        <f>IFERROR(__xludf.DUMMYFUNCTION("""COMPUTED_VALUE"""),241.0)</f>
        <v>241</v>
      </c>
      <c r="W2279" s="1">
        <f>IFERROR(__xludf.DUMMYFUNCTION("""COMPUTED_VALUE"""),371.0)</f>
        <v>371</v>
      </c>
      <c r="X2279" s="1">
        <f>IFERROR(__xludf.DUMMYFUNCTION("""COMPUTED_VALUE"""),321.0)</f>
        <v>321</v>
      </c>
      <c r="Y2279" s="2"/>
      <c r="Z2279" s="2"/>
    </row>
    <row r="2280">
      <c r="A2280" s="1">
        <f>IFERROR(__xludf.DUMMYFUNCTION("""COMPUTED_VALUE"""),2279.0)</f>
        <v>2279</v>
      </c>
      <c r="B2280" s="1">
        <f>IFERROR(__xludf.DUMMYFUNCTION("""COMPUTED_VALUE"""),6005.0)</f>
        <v>6005</v>
      </c>
      <c r="C2280" s="2" t="str">
        <f>IFERROR(__xludf.DUMMYFUNCTION("""COMPUTED_VALUE"""),"Dadan")</f>
        <v>Dadan</v>
      </c>
      <c r="D2280" s="2" t="str">
        <f>IFERROR(__xludf.DUMMYFUNCTION("""COMPUTED_VALUE"""),"5KM OVERALL M")</f>
        <v>5KM OVERALL M</v>
      </c>
      <c r="E2280" s="1">
        <f>IFERROR(__xludf.DUMMYFUNCTION("""COMPUTED_VALUE"""),2.0)</f>
        <v>2</v>
      </c>
      <c r="F2280" s="1" t="str">
        <f>IFERROR(__xludf.DUMMYFUNCTION("""COMPUTED_VALUE"""),"Male")</f>
        <v>Male</v>
      </c>
      <c r="G2280" s="4" t="b">
        <f>IFERROR(__xludf.DUMMYFUNCTION("""COMPUTED_VALUE"""),TRUE)</f>
        <v>1</v>
      </c>
      <c r="H2280" s="4" t="b">
        <f>IFERROR(__xludf.DUMMYFUNCTION("""COMPUTED_VALUE"""),FALSE)</f>
        <v>0</v>
      </c>
      <c r="I2280" s="4">
        <f>IFERROR(__xludf.DUMMYFUNCTION("""COMPUTED_VALUE"""),0.2549440625)</f>
        <v>0.2549440625</v>
      </c>
      <c r="J2280" s="4">
        <f>IFERROR(__xludf.DUMMYFUNCTION("""COMPUTED_VALUE"""),45949.2703600247)</f>
        <v>45949.27036</v>
      </c>
      <c r="K2280" s="4" t="str">
        <f>IFERROR(__xludf.DUMMYFUNCTION("""COMPUTED_VALUE"""),"")</f>
        <v/>
      </c>
      <c r="L2280" s="4">
        <f>IFERROR(__xludf.DUMMYFUNCTION("""COMPUTED_VALUE"""),45949.2829668359)</f>
        <v>45949.28297</v>
      </c>
      <c r="M2280" s="1" t="str">
        <f>IFERROR(__xludf.DUMMYFUNCTION("""COMPUTED_VALUE"""),"RFID")</f>
        <v>RFID</v>
      </c>
      <c r="N2280" s="5">
        <f>IFERROR(__xludf.DUMMYFUNCTION("""COMPUTED_VALUE"""),0.0061663842592592595)</f>
        <v>0.006166384259</v>
      </c>
      <c r="O2280" s="5" t="str">
        <f>IFERROR(__xludf.DUMMYFUNCTION("""COMPUTED_VALUE"""),"")</f>
        <v/>
      </c>
      <c r="P2280" s="5" t="str">
        <f>IFERROR(__xludf.DUMMYFUNCTION("""COMPUTED_VALUE"""),"")</f>
        <v/>
      </c>
      <c r="Q2280" s="5">
        <f>IFERROR(__xludf.DUMMYFUNCTION("""COMPUTED_VALUE"""),0.005604555555555555)</f>
        <v>0.005604555556</v>
      </c>
      <c r="R2280" s="4">
        <f>IFERROR(__xludf.DUMMYFUNCTION("""COMPUTED_VALUE"""),45949.0280227734)</f>
        <v>45949.02802</v>
      </c>
      <c r="S2280" s="1" t="b">
        <f>IFERROR(__xludf.DUMMYFUNCTION("""COMPUTED_VALUE"""),TRUE)</f>
        <v>1</v>
      </c>
      <c r="T2280" s="1" t="b">
        <f>IFERROR(__xludf.DUMMYFUNCTION("""COMPUTED_VALUE"""),FALSE)</f>
        <v>0</v>
      </c>
      <c r="U2280" s="1" t="str">
        <f>IFERROR(__xludf.DUMMYFUNCTION("""COMPUTED_VALUE"""),"VALID")</f>
        <v>VALID</v>
      </c>
      <c r="V2280" s="1">
        <f>IFERROR(__xludf.DUMMYFUNCTION("""COMPUTED_VALUE"""),288.0)</f>
        <v>288</v>
      </c>
      <c r="W2280" s="1">
        <f>IFERROR(__xludf.DUMMYFUNCTION("""COMPUTED_VALUE"""),434.0)</f>
        <v>434</v>
      </c>
      <c r="X2280" s="1">
        <f>IFERROR(__xludf.DUMMYFUNCTION("""COMPUTED_VALUE"""),375.0)</f>
        <v>375</v>
      </c>
      <c r="Y2280" s="2"/>
      <c r="Z2280" s="2"/>
    </row>
    <row r="2281">
      <c r="A2281" s="1">
        <f>IFERROR(__xludf.DUMMYFUNCTION("""COMPUTED_VALUE"""),2280.0)</f>
        <v>2280</v>
      </c>
      <c r="B2281" s="1">
        <f>IFERROR(__xludf.DUMMYFUNCTION("""COMPUTED_VALUE"""),6006.0)</f>
        <v>6006</v>
      </c>
      <c r="C2281" s="2" t="str">
        <f>IFERROR(__xludf.DUMMYFUNCTION("""COMPUTED_VALUE"""),"Yanuar")</f>
        <v>Yanuar</v>
      </c>
      <c r="D2281" s="2" t="str">
        <f>IFERROR(__xludf.DUMMYFUNCTION("""COMPUTED_VALUE"""),"5KM OVERALL M")</f>
        <v>5KM OVERALL M</v>
      </c>
      <c r="E2281" s="1">
        <f>IFERROR(__xludf.DUMMYFUNCTION("""COMPUTED_VALUE"""),2.0)</f>
        <v>2</v>
      </c>
      <c r="F2281" s="1" t="str">
        <f>IFERROR(__xludf.DUMMYFUNCTION("""COMPUTED_VALUE"""),"Male")</f>
        <v>Male</v>
      </c>
      <c r="G2281" s="4" t="str">
        <f>IFERROR(__xludf.DUMMYFUNCTION("""COMPUTED_VALUE"""),"")</f>
        <v/>
      </c>
      <c r="H2281" s="4" t="b">
        <f>IFERROR(__xludf.DUMMYFUNCTION("""COMPUTED_VALUE"""),FALSE)</f>
        <v>0</v>
      </c>
      <c r="I2281" s="4">
        <f>IFERROR(__xludf.DUMMYFUNCTION("""COMPUTED_VALUE"""),0.2549440625)</f>
        <v>0.2549440625</v>
      </c>
      <c r="J2281" s="4" t="str">
        <f>IFERROR(__xludf.DUMMYFUNCTION("""COMPUTED_VALUE"""),"")</f>
        <v/>
      </c>
      <c r="K2281" s="4" t="str">
        <f>IFERROR(__xludf.DUMMYFUNCTION("""COMPUTED_VALUE"""),"")</f>
        <v/>
      </c>
      <c r="L2281" s="4" t="str">
        <f>IFERROR(__xludf.DUMMYFUNCTION("""COMPUTED_VALUE"""),"")</f>
        <v/>
      </c>
      <c r="M2281" s="1" t="str">
        <f>IFERROR(__xludf.DUMMYFUNCTION("""COMPUTED_VALUE"""),"RFID")</f>
        <v>RFID</v>
      </c>
      <c r="N2281" s="5" t="str">
        <f>IFERROR(__xludf.DUMMYFUNCTION("""COMPUTED_VALUE"""),"")</f>
        <v/>
      </c>
      <c r="O2281" s="5" t="str">
        <f>IFERROR(__xludf.DUMMYFUNCTION("""COMPUTED_VALUE"""),"")</f>
        <v/>
      </c>
      <c r="P2281" s="5" t="str">
        <f>IFERROR(__xludf.DUMMYFUNCTION("""COMPUTED_VALUE"""),"")</f>
        <v/>
      </c>
      <c r="Q2281" s="5" t="str">
        <f>IFERROR(__xludf.DUMMYFUNCTION("""COMPUTED_VALUE"""),"")</f>
        <v/>
      </c>
      <c r="R2281" s="4" t="str">
        <f>IFERROR(__xludf.DUMMYFUNCTION("""COMPUTED_VALUE"""),"")</f>
        <v/>
      </c>
      <c r="S2281" s="1" t="b">
        <f>IFERROR(__xludf.DUMMYFUNCTION("""COMPUTED_VALUE"""),FALSE)</f>
        <v>0</v>
      </c>
      <c r="T2281" s="1" t="b">
        <f>IFERROR(__xludf.DUMMYFUNCTION("""COMPUTED_VALUE"""),FALSE)</f>
        <v>0</v>
      </c>
      <c r="U2281" s="1" t="str">
        <f>IFERROR(__xludf.DUMMYFUNCTION("""COMPUTED_VALUE"""),"DSQ")</f>
        <v>DSQ</v>
      </c>
      <c r="V2281" s="1" t="str">
        <f>IFERROR(__xludf.DUMMYFUNCTION("""COMPUTED_VALUE"""),"DSQ")</f>
        <v>DSQ</v>
      </c>
      <c r="W2281" s="1" t="str">
        <f>IFERROR(__xludf.DUMMYFUNCTION("""COMPUTED_VALUE"""),"DSQ")</f>
        <v>DSQ</v>
      </c>
      <c r="X2281" s="1" t="str">
        <f>IFERROR(__xludf.DUMMYFUNCTION("""COMPUTED_VALUE"""),"DSQ")</f>
        <v>DSQ</v>
      </c>
      <c r="Y2281" s="2"/>
      <c r="Z2281" s="2" t="str">
        <f>IFERROR(__xludf.DUMMYFUNCTION("""COMPUTED_VALUE"""),"")</f>
        <v/>
      </c>
    </row>
    <row r="2282">
      <c r="A2282" s="1">
        <f>IFERROR(__xludf.DUMMYFUNCTION("""COMPUTED_VALUE"""),2281.0)</f>
        <v>2281</v>
      </c>
      <c r="B2282" s="1">
        <f>IFERROR(__xludf.DUMMYFUNCTION("""COMPUTED_VALUE"""),6009.0)</f>
        <v>6009</v>
      </c>
      <c r="C2282" s="2" t="str">
        <f>IFERROR(__xludf.DUMMYFUNCTION("""COMPUTED_VALUE"""),"KAD")</f>
        <v>KAD</v>
      </c>
      <c r="D2282" s="2" t="str">
        <f>IFERROR(__xludf.DUMMYFUNCTION("""COMPUTED_VALUE"""),"5KM OVERALL M")</f>
        <v>5KM OVERALL M</v>
      </c>
      <c r="E2282" s="1">
        <f>IFERROR(__xludf.DUMMYFUNCTION("""COMPUTED_VALUE"""),2.0)</f>
        <v>2</v>
      </c>
      <c r="F2282" s="1" t="str">
        <f>IFERROR(__xludf.DUMMYFUNCTION("""COMPUTED_VALUE"""),"Male")</f>
        <v>Male</v>
      </c>
      <c r="G2282" s="4" t="str">
        <f>IFERROR(__xludf.DUMMYFUNCTION("""COMPUTED_VALUE"""),"")</f>
        <v/>
      </c>
      <c r="H2282" s="4" t="b">
        <f>IFERROR(__xludf.DUMMYFUNCTION("""COMPUTED_VALUE"""),TRUE)</f>
        <v>1</v>
      </c>
      <c r="I2282" s="4">
        <f>IFERROR(__xludf.DUMMYFUNCTION("""COMPUTED_VALUE"""),0.2549440625)</f>
        <v>0.2549440625</v>
      </c>
      <c r="J2282" s="4">
        <f>IFERROR(__xludf.DUMMYFUNCTION("""COMPUTED_VALUE"""),45949.272019743)</f>
        <v>45949.27202</v>
      </c>
      <c r="K2282" s="4" t="str">
        <f>IFERROR(__xludf.DUMMYFUNCTION("""COMPUTED_VALUE"""),"")</f>
        <v/>
      </c>
      <c r="L2282" s="4">
        <f>IFERROR(__xludf.DUMMYFUNCTION("""COMPUTED_VALUE"""),45949.28553975572)</f>
        <v>45949.28554</v>
      </c>
      <c r="M2282" s="1" t="str">
        <f>IFERROR(__xludf.DUMMYFUNCTION("""COMPUTED_VALUE"""),"RFID")</f>
        <v>RFID</v>
      </c>
      <c r="N2282" s="5">
        <f>IFERROR(__xludf.DUMMYFUNCTION("""COMPUTED_VALUE"""),0.006830273148148149)</f>
        <v>0.006830273148</v>
      </c>
      <c r="O2282" s="5" t="str">
        <f>IFERROR(__xludf.DUMMYFUNCTION("""COMPUTED_VALUE"""),"")</f>
        <v/>
      </c>
      <c r="P2282" s="5" t="str">
        <f>IFERROR(__xludf.DUMMYFUNCTION("""COMPUTED_VALUE"""),"")</f>
        <v/>
      </c>
      <c r="Q2282" s="5">
        <f>IFERROR(__xludf.DUMMYFUNCTION("""COMPUTED_VALUE"""),0.006119138888888888)</f>
        <v>0.006119138889</v>
      </c>
      <c r="R2282" s="4">
        <f>IFERROR(__xludf.DUMMYFUNCTION("""COMPUTED_VALUE"""),45949.03059569322)</f>
        <v>45949.0306</v>
      </c>
      <c r="S2282" s="1" t="b">
        <f>IFERROR(__xludf.DUMMYFUNCTION("""COMPUTED_VALUE"""),TRUE)</f>
        <v>1</v>
      </c>
      <c r="T2282" s="1" t="b">
        <f>IFERROR(__xludf.DUMMYFUNCTION("""COMPUTED_VALUE"""),FALSE)</f>
        <v>0</v>
      </c>
      <c r="U2282" s="1" t="str">
        <f>IFERROR(__xludf.DUMMYFUNCTION("""COMPUTED_VALUE"""),"VALID")</f>
        <v>VALID</v>
      </c>
      <c r="V2282" s="1">
        <f>IFERROR(__xludf.DUMMYFUNCTION("""COMPUTED_VALUE"""),398.0)</f>
        <v>398</v>
      </c>
      <c r="W2282" s="1">
        <f>IFERROR(__xludf.DUMMYFUNCTION("""COMPUTED_VALUE"""),607.0)</f>
        <v>607</v>
      </c>
      <c r="X2282" s="1">
        <f>IFERROR(__xludf.DUMMYFUNCTION("""COMPUTED_VALUE"""),511.0)</f>
        <v>511</v>
      </c>
      <c r="Y2282" s="2"/>
      <c r="Z2282" s="2"/>
    </row>
    <row r="2283">
      <c r="A2283" s="1">
        <f>IFERROR(__xludf.DUMMYFUNCTION("""COMPUTED_VALUE"""),2282.0)</f>
        <v>2282</v>
      </c>
      <c r="B2283" s="1">
        <f>IFERROR(__xludf.DUMMYFUNCTION("""COMPUTED_VALUE"""),6011.0)</f>
        <v>6011</v>
      </c>
      <c r="C2283" s="2" t="str">
        <f>IFERROR(__xludf.DUMMYFUNCTION("""COMPUTED_VALUE"""),"SANDY")</f>
        <v>SANDY</v>
      </c>
      <c r="D2283" s="2" t="str">
        <f>IFERROR(__xludf.DUMMYFUNCTION("""COMPUTED_VALUE"""),"5KM OVERALL M")</f>
        <v>5KM OVERALL M</v>
      </c>
      <c r="E2283" s="1">
        <f>IFERROR(__xludf.DUMMYFUNCTION("""COMPUTED_VALUE"""),2.0)</f>
        <v>2</v>
      </c>
      <c r="F2283" s="1" t="str">
        <f>IFERROR(__xludf.DUMMYFUNCTION("""COMPUTED_VALUE"""),"Male")</f>
        <v>Male</v>
      </c>
      <c r="G2283" s="4" t="str">
        <f>IFERROR(__xludf.DUMMYFUNCTION("""COMPUTED_VALUE"""),"")</f>
        <v/>
      </c>
      <c r="H2283" s="4" t="b">
        <f>IFERROR(__xludf.DUMMYFUNCTION("""COMPUTED_VALUE"""),TRUE)</f>
        <v>1</v>
      </c>
      <c r="I2283" s="4">
        <f>IFERROR(__xludf.DUMMYFUNCTION("""COMPUTED_VALUE"""),0.2549440625)</f>
        <v>0.2549440625</v>
      </c>
      <c r="J2283" s="4">
        <f>IFERROR(__xludf.DUMMYFUNCTION("""COMPUTED_VALUE"""),45949.279033634804)</f>
        <v>45949.27903</v>
      </c>
      <c r="K2283" s="4" t="str">
        <f>IFERROR(__xludf.DUMMYFUNCTION("""COMPUTED_VALUE"""),"")</f>
        <v/>
      </c>
      <c r="L2283" s="4">
        <f>IFERROR(__xludf.DUMMYFUNCTION("""COMPUTED_VALUE"""),45949.294834899236)</f>
        <v>45949.29483</v>
      </c>
      <c r="M2283" s="1" t="str">
        <f>IFERROR(__xludf.DUMMYFUNCTION("""COMPUTED_VALUE"""),"RFID")</f>
        <v>RFID</v>
      </c>
      <c r="N2283" s="5">
        <f>IFERROR(__xludf.DUMMYFUNCTION("""COMPUTED_VALUE"""),0.009635828703703704)</f>
        <v>0.009635828704</v>
      </c>
      <c r="O2283" s="5" t="str">
        <f>IFERROR(__xludf.DUMMYFUNCTION("""COMPUTED_VALUE"""),"")</f>
        <v/>
      </c>
      <c r="P2283" s="5" t="str">
        <f>IFERROR(__xludf.DUMMYFUNCTION("""COMPUTED_VALUE"""),"")</f>
        <v/>
      </c>
      <c r="Q2283" s="5">
        <f>IFERROR(__xludf.DUMMYFUNCTION("""COMPUTED_VALUE"""),0.007978166666666666)</f>
        <v>0.007978166667</v>
      </c>
      <c r="R2283" s="4">
        <f>IFERROR(__xludf.DUMMYFUNCTION("""COMPUTED_VALUE"""),45949.039890836735)</f>
        <v>45949.03989</v>
      </c>
      <c r="S2283" s="1" t="b">
        <f>IFERROR(__xludf.DUMMYFUNCTION("""COMPUTED_VALUE"""),TRUE)</f>
        <v>1</v>
      </c>
      <c r="T2283" s="1" t="b">
        <f>IFERROR(__xludf.DUMMYFUNCTION("""COMPUTED_VALUE"""),FALSE)</f>
        <v>0</v>
      </c>
      <c r="U2283" s="1" t="str">
        <f>IFERROR(__xludf.DUMMYFUNCTION("""COMPUTED_VALUE"""),"VALID")</f>
        <v>VALID</v>
      </c>
      <c r="V2283" s="1">
        <f>IFERROR(__xludf.DUMMYFUNCTION("""COMPUTED_VALUE"""),712.0)</f>
        <v>712</v>
      </c>
      <c r="W2283" s="1">
        <f>IFERROR(__xludf.DUMMYFUNCTION("""COMPUTED_VALUE"""),1240.0)</f>
        <v>1240</v>
      </c>
      <c r="X2283" s="1">
        <f>IFERROR(__xludf.DUMMYFUNCTION("""COMPUTED_VALUE"""),975.0)</f>
        <v>975</v>
      </c>
      <c r="Y2283" s="2"/>
      <c r="Z2283" s="2"/>
    </row>
    <row r="2284">
      <c r="A2284" s="1">
        <f>IFERROR(__xludf.DUMMYFUNCTION("""COMPUTED_VALUE"""),2283.0)</f>
        <v>2283</v>
      </c>
      <c r="B2284" s="1">
        <f>IFERROR(__xludf.DUMMYFUNCTION("""COMPUTED_VALUE"""),6012.0)</f>
        <v>6012</v>
      </c>
      <c r="C2284" s="2" t="str">
        <f>IFERROR(__xludf.DUMMYFUNCTION("""COMPUTED_VALUE"""),"alfi")</f>
        <v>alfi</v>
      </c>
      <c r="D2284" s="2" t="str">
        <f>IFERROR(__xludf.DUMMYFUNCTION("""COMPUTED_VALUE"""),"5KM OVERALL M")</f>
        <v>5KM OVERALL M</v>
      </c>
      <c r="E2284" s="1">
        <f>IFERROR(__xludf.DUMMYFUNCTION("""COMPUTED_VALUE"""),2.0)</f>
        <v>2</v>
      </c>
      <c r="F2284" s="1" t="str">
        <f>IFERROR(__xludf.DUMMYFUNCTION("""COMPUTED_VALUE"""),"Male")</f>
        <v>Male</v>
      </c>
      <c r="G2284" s="4" t="b">
        <f>IFERROR(__xludf.DUMMYFUNCTION("""COMPUTED_VALUE"""),TRUE)</f>
        <v>1</v>
      </c>
      <c r="H2284" s="4" t="b">
        <f>IFERROR(__xludf.DUMMYFUNCTION("""COMPUTED_VALUE"""),TRUE)</f>
        <v>1</v>
      </c>
      <c r="I2284" s="4">
        <f>IFERROR(__xludf.DUMMYFUNCTION("""COMPUTED_VALUE"""),0.2549440625)</f>
        <v>0.2549440625</v>
      </c>
      <c r="J2284" s="4">
        <f>IFERROR(__xludf.DUMMYFUNCTION("""COMPUTED_VALUE"""),45949.273575302665)</f>
        <v>45949.27358</v>
      </c>
      <c r="K2284" s="4" t="str">
        <f>IFERROR(__xludf.DUMMYFUNCTION("""COMPUTED_VALUE"""),"")</f>
        <v/>
      </c>
      <c r="L2284" s="4">
        <f>IFERROR(__xludf.DUMMYFUNCTION("""COMPUTED_VALUE"""),45949.2861126839)</f>
        <v>45949.28611</v>
      </c>
      <c r="M2284" s="1" t="str">
        <f>IFERROR(__xludf.DUMMYFUNCTION("""COMPUTED_VALUE"""),"RFID")</f>
        <v>RFID</v>
      </c>
      <c r="N2284" s="5">
        <f>IFERROR(__xludf.DUMMYFUNCTION("""COMPUTED_VALUE"""),0.0074524953703703715)</f>
        <v>0.00745249537</v>
      </c>
      <c r="O2284" s="5" t="str">
        <f>IFERROR(__xludf.DUMMYFUNCTION("""COMPUTED_VALUE"""),"")</f>
        <v/>
      </c>
      <c r="P2284" s="5" t="str">
        <f>IFERROR(__xludf.DUMMYFUNCTION("""COMPUTED_VALUE"""),"")</f>
        <v/>
      </c>
      <c r="Q2284" s="5">
        <f>IFERROR(__xludf.DUMMYFUNCTION("""COMPUTED_VALUE"""),0.006233724537037038)</f>
        <v>0.006233724537</v>
      </c>
      <c r="R2284" s="4">
        <f>IFERROR(__xludf.DUMMYFUNCTION("""COMPUTED_VALUE"""),45949.0311686214)</f>
        <v>45949.03117</v>
      </c>
      <c r="S2284" s="1" t="b">
        <f>IFERROR(__xludf.DUMMYFUNCTION("""COMPUTED_VALUE"""),TRUE)</f>
        <v>1</v>
      </c>
      <c r="T2284" s="1" t="b">
        <f>IFERROR(__xludf.DUMMYFUNCTION("""COMPUTED_VALUE"""),FALSE)</f>
        <v>0</v>
      </c>
      <c r="U2284" s="1" t="str">
        <f>IFERROR(__xludf.DUMMYFUNCTION("""COMPUTED_VALUE"""),"VALID")</f>
        <v>VALID</v>
      </c>
      <c r="V2284" s="1">
        <f>IFERROR(__xludf.DUMMYFUNCTION("""COMPUTED_VALUE"""),416.0)</f>
        <v>416</v>
      </c>
      <c r="W2284" s="1">
        <f>IFERROR(__xludf.DUMMYFUNCTION("""COMPUTED_VALUE"""),640.0)</f>
        <v>640</v>
      </c>
      <c r="X2284" s="1">
        <f>IFERROR(__xludf.DUMMYFUNCTION("""COMPUTED_VALUE"""),534.0)</f>
        <v>534</v>
      </c>
      <c r="Y2284" s="2"/>
      <c r="Z2284" s="2"/>
    </row>
    <row r="2285">
      <c r="A2285" s="1">
        <f>IFERROR(__xludf.DUMMYFUNCTION("""COMPUTED_VALUE"""),2284.0)</f>
        <v>2284</v>
      </c>
      <c r="B2285" s="1">
        <f>IFERROR(__xludf.DUMMYFUNCTION("""COMPUTED_VALUE"""),6014.0)</f>
        <v>6014</v>
      </c>
      <c r="C2285" s="2" t="str">
        <f>IFERROR(__xludf.DUMMYFUNCTION("""COMPUTED_VALUE"""),"Rama")</f>
        <v>Rama</v>
      </c>
      <c r="D2285" s="2" t="str">
        <f>IFERROR(__xludf.DUMMYFUNCTION("""COMPUTED_VALUE"""),"5KM OVERALL M")</f>
        <v>5KM OVERALL M</v>
      </c>
      <c r="E2285" s="1">
        <f>IFERROR(__xludf.DUMMYFUNCTION("""COMPUTED_VALUE"""),2.0)</f>
        <v>2</v>
      </c>
      <c r="F2285" s="1" t="str">
        <f>IFERROR(__xludf.DUMMYFUNCTION("""COMPUTED_VALUE"""),"Male")</f>
        <v>Male</v>
      </c>
      <c r="G2285" s="4" t="b">
        <f>IFERROR(__xludf.DUMMYFUNCTION("""COMPUTED_VALUE"""),TRUE)</f>
        <v>1</v>
      </c>
      <c r="H2285" s="4" t="b">
        <f>IFERROR(__xludf.DUMMYFUNCTION("""COMPUTED_VALUE"""),TRUE)</f>
        <v>1</v>
      </c>
      <c r="I2285" s="4">
        <f>IFERROR(__xludf.DUMMYFUNCTION("""COMPUTED_VALUE"""),0.2549440625)</f>
        <v>0.2549440625</v>
      </c>
      <c r="J2285" s="4">
        <f>IFERROR(__xludf.DUMMYFUNCTION("""COMPUTED_VALUE"""),45949.27601632372)</f>
        <v>45949.27602</v>
      </c>
      <c r="K2285" s="4" t="str">
        <f>IFERROR(__xludf.DUMMYFUNCTION("""COMPUTED_VALUE"""),"")</f>
        <v/>
      </c>
      <c r="L2285" s="4">
        <f>IFERROR(__xludf.DUMMYFUNCTION("""COMPUTED_VALUE"""),45949.29172725455)</f>
        <v>45949.29173</v>
      </c>
      <c r="M2285" s="1" t="str">
        <f>IFERROR(__xludf.DUMMYFUNCTION("""COMPUTED_VALUE"""),"RFID")</f>
        <v>RFID</v>
      </c>
      <c r="N2285" s="5">
        <f>IFERROR(__xludf.DUMMYFUNCTION("""COMPUTED_VALUE"""),0.008428902777777778)</f>
        <v>0.008428902778</v>
      </c>
      <c r="O2285" s="5" t="str">
        <f>IFERROR(__xludf.DUMMYFUNCTION("""COMPUTED_VALUE"""),"")</f>
        <v/>
      </c>
      <c r="P2285" s="5" t="str">
        <f>IFERROR(__xludf.DUMMYFUNCTION("""COMPUTED_VALUE"""),"")</f>
        <v/>
      </c>
      <c r="Q2285" s="5">
        <f>IFERROR(__xludf.DUMMYFUNCTION("""COMPUTED_VALUE"""),0.007356638888888889)</f>
        <v>0.007356638889</v>
      </c>
      <c r="R2285" s="4">
        <f>IFERROR(__xludf.DUMMYFUNCTION("""COMPUTED_VALUE"""),45949.03678319205)</f>
        <v>45949.03678</v>
      </c>
      <c r="S2285" s="1" t="b">
        <f>IFERROR(__xludf.DUMMYFUNCTION("""COMPUTED_VALUE"""),TRUE)</f>
        <v>1</v>
      </c>
      <c r="T2285" s="1" t="b">
        <f>IFERROR(__xludf.DUMMYFUNCTION("""COMPUTED_VALUE"""),FALSE)</f>
        <v>0</v>
      </c>
      <c r="U2285" s="1" t="str">
        <f>IFERROR(__xludf.DUMMYFUNCTION("""COMPUTED_VALUE"""),"VALID")</f>
        <v>VALID</v>
      </c>
      <c r="V2285" s="1">
        <f>IFERROR(__xludf.DUMMYFUNCTION("""COMPUTED_VALUE"""),619.0)</f>
        <v>619</v>
      </c>
      <c r="W2285" s="1">
        <f>IFERROR(__xludf.DUMMYFUNCTION("""COMPUTED_VALUE"""),1013.0)</f>
        <v>1013</v>
      </c>
      <c r="X2285" s="1">
        <f>IFERROR(__xludf.DUMMYFUNCTION("""COMPUTED_VALUE"""),817.0)</f>
        <v>817</v>
      </c>
      <c r="Y2285" s="2"/>
      <c r="Z2285" s="2"/>
    </row>
    <row r="2286">
      <c r="A2286" s="1">
        <f>IFERROR(__xludf.DUMMYFUNCTION("""COMPUTED_VALUE"""),2285.0)</f>
        <v>2285</v>
      </c>
      <c r="B2286" s="1">
        <f>IFERROR(__xludf.DUMMYFUNCTION("""COMPUTED_VALUE"""),6015.0)</f>
        <v>6015</v>
      </c>
      <c r="C2286" s="2" t="str">
        <f>IFERROR(__xludf.DUMMYFUNCTION("""COMPUTED_VALUE"""),"ErjeyAja")</f>
        <v>ErjeyAja</v>
      </c>
      <c r="D2286" s="2" t="str">
        <f>IFERROR(__xludf.DUMMYFUNCTION("""COMPUTED_VALUE"""),"5KM OVERALL M")</f>
        <v>5KM OVERALL M</v>
      </c>
      <c r="E2286" s="1">
        <f>IFERROR(__xludf.DUMMYFUNCTION("""COMPUTED_VALUE"""),2.0)</f>
        <v>2</v>
      </c>
      <c r="F2286" s="1" t="str">
        <f>IFERROR(__xludf.DUMMYFUNCTION("""COMPUTED_VALUE"""),"Male")</f>
        <v>Male</v>
      </c>
      <c r="G2286" s="4" t="b">
        <f>IFERROR(__xludf.DUMMYFUNCTION("""COMPUTED_VALUE"""),TRUE)</f>
        <v>1</v>
      </c>
      <c r="H2286" s="4" t="b">
        <f>IFERROR(__xludf.DUMMYFUNCTION("""COMPUTED_VALUE"""),TRUE)</f>
        <v>1</v>
      </c>
      <c r="I2286" s="4">
        <f>IFERROR(__xludf.DUMMYFUNCTION("""COMPUTED_VALUE"""),0.2549440625)</f>
        <v>0.2549440625</v>
      </c>
      <c r="J2286" s="4">
        <f>IFERROR(__xludf.DUMMYFUNCTION("""COMPUTED_VALUE"""),45949.28196071274)</f>
        <v>45949.28196</v>
      </c>
      <c r="K2286" s="4" t="str">
        <f>IFERROR(__xludf.DUMMYFUNCTION("""COMPUTED_VALUE"""),"")</f>
        <v/>
      </c>
      <c r="L2286" s="4">
        <f>IFERROR(__xludf.DUMMYFUNCTION("""COMPUTED_VALUE"""),45949.29932795188)</f>
        <v>45949.29933</v>
      </c>
      <c r="M2286" s="1" t="str">
        <f>IFERROR(__xludf.DUMMYFUNCTION("""COMPUTED_VALUE"""),"RFID")</f>
        <v>RFID</v>
      </c>
      <c r="N2286" s="5">
        <f>IFERROR(__xludf.DUMMYFUNCTION("""COMPUTED_VALUE"""),0.010806662037037038)</f>
        <v>0.01080666204</v>
      </c>
      <c r="O2286" s="5" t="str">
        <f>IFERROR(__xludf.DUMMYFUNCTION("""COMPUTED_VALUE"""),"")</f>
        <v/>
      </c>
      <c r="P2286" s="5" t="str">
        <f>IFERROR(__xludf.DUMMYFUNCTION("""COMPUTED_VALUE"""),"")</f>
        <v/>
      </c>
      <c r="Q2286" s="5">
        <f>IFERROR(__xludf.DUMMYFUNCTION("""COMPUTED_VALUE"""),0.008876777777777779)</f>
        <v>0.008876777778</v>
      </c>
      <c r="R2286" s="4">
        <f>IFERROR(__xludf.DUMMYFUNCTION("""COMPUTED_VALUE"""),45949.04438388938)</f>
        <v>45949.04438</v>
      </c>
      <c r="S2286" s="1" t="b">
        <f>IFERROR(__xludf.DUMMYFUNCTION("""COMPUTED_VALUE"""),TRUE)</f>
        <v>1</v>
      </c>
      <c r="T2286" s="1" t="b">
        <f>IFERROR(__xludf.DUMMYFUNCTION("""COMPUTED_VALUE"""),FALSE)</f>
        <v>0</v>
      </c>
      <c r="U2286" s="1" t="str">
        <f>IFERROR(__xludf.DUMMYFUNCTION("""COMPUTED_VALUE"""),"VALID")</f>
        <v>VALID</v>
      </c>
      <c r="V2286" s="1">
        <f>IFERROR(__xludf.DUMMYFUNCTION("""COMPUTED_VALUE"""),784.0)</f>
        <v>784</v>
      </c>
      <c r="W2286" s="1">
        <f>IFERROR(__xludf.DUMMYFUNCTION("""COMPUTED_VALUE"""),1423.0)</f>
        <v>1423</v>
      </c>
      <c r="X2286" s="1">
        <f>IFERROR(__xludf.DUMMYFUNCTION("""COMPUTED_VALUE"""),1166.0)</f>
        <v>1166</v>
      </c>
      <c r="Y2286" s="2"/>
      <c r="Z2286" s="2"/>
    </row>
    <row r="2287">
      <c r="A2287" s="1">
        <f>IFERROR(__xludf.DUMMYFUNCTION("""COMPUTED_VALUE"""),2286.0)</f>
        <v>2286</v>
      </c>
      <c r="B2287" s="1">
        <f>IFERROR(__xludf.DUMMYFUNCTION("""COMPUTED_VALUE"""),6017.0)</f>
        <v>6017</v>
      </c>
      <c r="C2287" s="2" t="str">
        <f>IFERROR(__xludf.DUMMYFUNCTION("""COMPUTED_VALUE"""),"Rahmat Hidayatullah")</f>
        <v>Rahmat Hidayatullah</v>
      </c>
      <c r="D2287" s="2" t="str">
        <f>IFERROR(__xludf.DUMMYFUNCTION("""COMPUTED_VALUE"""),"5KM OVERALL M")</f>
        <v>5KM OVERALL M</v>
      </c>
      <c r="E2287" s="1">
        <f>IFERROR(__xludf.DUMMYFUNCTION("""COMPUTED_VALUE"""),2.0)</f>
        <v>2</v>
      </c>
      <c r="F2287" s="1" t="str">
        <f>IFERROR(__xludf.DUMMYFUNCTION("""COMPUTED_VALUE"""),"Male")</f>
        <v>Male</v>
      </c>
      <c r="G2287" s="4" t="b">
        <f>IFERROR(__xludf.DUMMYFUNCTION("""COMPUTED_VALUE"""),TRUE)</f>
        <v>1</v>
      </c>
      <c r="H2287" s="4" t="b">
        <f>IFERROR(__xludf.DUMMYFUNCTION("""COMPUTED_VALUE"""),TRUE)</f>
        <v>1</v>
      </c>
      <c r="I2287" s="4">
        <f>IFERROR(__xludf.DUMMYFUNCTION("""COMPUTED_VALUE"""),0.2549440625)</f>
        <v>0.2549440625</v>
      </c>
      <c r="J2287" s="4">
        <f>IFERROR(__xludf.DUMMYFUNCTION("""COMPUTED_VALUE"""),45949.27872808597)</f>
        <v>45949.27873</v>
      </c>
      <c r="K2287" s="4" t="str">
        <f>IFERROR(__xludf.DUMMYFUNCTION("""COMPUTED_VALUE"""),"")</f>
        <v/>
      </c>
      <c r="L2287" s="4">
        <f>IFERROR(__xludf.DUMMYFUNCTION("""COMPUTED_VALUE"""),45949.29354669888)</f>
        <v>45949.29355</v>
      </c>
      <c r="M2287" s="1" t="str">
        <f>IFERROR(__xludf.DUMMYFUNCTION("""COMPUTED_VALUE"""),"RFID")</f>
        <v>RFID</v>
      </c>
      <c r="N2287" s="5">
        <f>IFERROR(__xludf.DUMMYFUNCTION("""COMPUTED_VALUE"""),0.009513611111111112)</f>
        <v>0.009513611111</v>
      </c>
      <c r="O2287" s="5" t="str">
        <f>IFERROR(__xludf.DUMMYFUNCTION("""COMPUTED_VALUE"""),"")</f>
        <v/>
      </c>
      <c r="P2287" s="5" t="str">
        <f>IFERROR(__xludf.DUMMYFUNCTION("""COMPUTED_VALUE"""),"")</f>
        <v/>
      </c>
      <c r="Q2287" s="5">
        <f>IFERROR(__xludf.DUMMYFUNCTION("""COMPUTED_VALUE"""),0.0077205277777777775)</f>
        <v>0.007720527778</v>
      </c>
      <c r="R2287" s="4">
        <f>IFERROR(__xludf.DUMMYFUNCTION("""COMPUTED_VALUE"""),45949.03860263638)</f>
        <v>45949.0386</v>
      </c>
      <c r="S2287" s="1" t="b">
        <f>IFERROR(__xludf.DUMMYFUNCTION("""COMPUTED_VALUE"""),TRUE)</f>
        <v>1</v>
      </c>
      <c r="T2287" s="1" t="b">
        <f>IFERROR(__xludf.DUMMYFUNCTION("""COMPUTED_VALUE"""),FALSE)</f>
        <v>0</v>
      </c>
      <c r="U2287" s="1" t="str">
        <f>IFERROR(__xludf.DUMMYFUNCTION("""COMPUTED_VALUE"""),"VALID")</f>
        <v>VALID</v>
      </c>
      <c r="V2287" s="1">
        <f>IFERROR(__xludf.DUMMYFUNCTION("""COMPUTED_VALUE"""),670.0)</f>
        <v>670</v>
      </c>
      <c r="W2287" s="1">
        <f>IFERROR(__xludf.DUMMYFUNCTION("""COMPUTED_VALUE"""),1138.0)</f>
        <v>1138</v>
      </c>
      <c r="X2287" s="1">
        <f>IFERROR(__xludf.DUMMYFUNCTION("""COMPUTED_VALUE"""),906.0)</f>
        <v>906</v>
      </c>
      <c r="Y2287" s="2"/>
      <c r="Z2287" s="2"/>
    </row>
    <row r="2288">
      <c r="A2288" s="1">
        <f>IFERROR(__xludf.DUMMYFUNCTION("""COMPUTED_VALUE"""),2287.0)</f>
        <v>2287</v>
      </c>
      <c r="B2288" s="1">
        <f>IFERROR(__xludf.DUMMYFUNCTION("""COMPUTED_VALUE"""),6018.0)</f>
        <v>6018</v>
      </c>
      <c r="C2288" s="2" t="str">
        <f>IFERROR(__xludf.DUMMYFUNCTION("""COMPUTED_VALUE"""),"AMRUL")</f>
        <v>AMRUL</v>
      </c>
      <c r="D2288" s="2" t="str">
        <f>IFERROR(__xludf.DUMMYFUNCTION("""COMPUTED_VALUE"""),"5KM OVERALL M")</f>
        <v>5KM OVERALL M</v>
      </c>
      <c r="E2288" s="1">
        <f>IFERROR(__xludf.DUMMYFUNCTION("""COMPUTED_VALUE"""),2.0)</f>
        <v>2</v>
      </c>
      <c r="F2288" s="1" t="str">
        <f>IFERROR(__xludf.DUMMYFUNCTION("""COMPUTED_VALUE"""),"Male")</f>
        <v>Male</v>
      </c>
      <c r="G2288" s="4" t="b">
        <f>IFERROR(__xludf.DUMMYFUNCTION("""COMPUTED_VALUE"""),TRUE)</f>
        <v>1</v>
      </c>
      <c r="H2288" s="4" t="b">
        <f>IFERROR(__xludf.DUMMYFUNCTION("""COMPUTED_VALUE"""),FALSE)</f>
        <v>0</v>
      </c>
      <c r="I2288" s="4">
        <f>IFERROR(__xludf.DUMMYFUNCTION("""COMPUTED_VALUE"""),0.2549440625)</f>
        <v>0.2549440625</v>
      </c>
      <c r="J2288" s="4">
        <f>IFERROR(__xludf.DUMMYFUNCTION("""COMPUTED_VALUE"""),45949.27015866904)</f>
        <v>45949.27016</v>
      </c>
      <c r="K2288" s="4" t="str">
        <f>IFERROR(__xludf.DUMMYFUNCTION("""COMPUTED_VALUE"""),"")</f>
        <v/>
      </c>
      <c r="L2288" s="4">
        <f>IFERROR(__xludf.DUMMYFUNCTION("""COMPUTED_VALUE"""),45949.28136961972)</f>
        <v>45949.28137</v>
      </c>
      <c r="M2288" s="1" t="str">
        <f>IFERROR(__xludf.DUMMYFUNCTION("""COMPUTED_VALUE"""),"RFID")</f>
        <v>RFID</v>
      </c>
      <c r="N2288" s="5">
        <f>IFERROR(__xludf.DUMMYFUNCTION("""COMPUTED_VALUE"""),0.006085842592592592)</f>
        <v>0.006085842593</v>
      </c>
      <c r="O2288" s="5" t="str">
        <f>IFERROR(__xludf.DUMMYFUNCTION("""COMPUTED_VALUE"""),"")</f>
        <v/>
      </c>
      <c r="P2288" s="5" t="str">
        <f>IFERROR(__xludf.DUMMYFUNCTION("""COMPUTED_VALUE"""),"")</f>
        <v/>
      </c>
      <c r="Q2288" s="5">
        <f>IFERROR(__xludf.DUMMYFUNCTION("""COMPUTED_VALUE"""),0.005285111111111111)</f>
        <v>0.005285111111</v>
      </c>
      <c r="R2288" s="4">
        <f>IFERROR(__xludf.DUMMYFUNCTION("""COMPUTED_VALUE"""),45949.02642555722)</f>
        <v>45949.02643</v>
      </c>
      <c r="S2288" s="1" t="b">
        <f>IFERROR(__xludf.DUMMYFUNCTION("""COMPUTED_VALUE"""),TRUE)</f>
        <v>1</v>
      </c>
      <c r="T2288" s="1" t="b">
        <f>IFERROR(__xludf.DUMMYFUNCTION("""COMPUTED_VALUE"""),FALSE)</f>
        <v>0</v>
      </c>
      <c r="U2288" s="1" t="str">
        <f>IFERROR(__xludf.DUMMYFUNCTION("""COMPUTED_VALUE"""),"VALID")</f>
        <v>VALID</v>
      </c>
      <c r="V2288" s="1">
        <f>IFERROR(__xludf.DUMMYFUNCTION("""COMPUTED_VALUE"""),231.0)</f>
        <v>231</v>
      </c>
      <c r="W2288" s="1">
        <f>IFERROR(__xludf.DUMMYFUNCTION("""COMPUTED_VALUE"""),355.0)</f>
        <v>355</v>
      </c>
      <c r="X2288" s="1">
        <f>IFERROR(__xludf.DUMMYFUNCTION("""COMPUTED_VALUE"""),309.0)</f>
        <v>309</v>
      </c>
      <c r="Y2288" s="2"/>
      <c r="Z2288" s="2"/>
    </row>
    <row r="2289">
      <c r="A2289" s="1">
        <f>IFERROR(__xludf.DUMMYFUNCTION("""COMPUTED_VALUE"""),2288.0)</f>
        <v>2288</v>
      </c>
      <c r="B2289" s="1">
        <f>IFERROR(__xludf.DUMMYFUNCTION("""COMPUTED_VALUE"""),6019.0)</f>
        <v>6019</v>
      </c>
      <c r="C2289" s="2" t="str">
        <f>IFERROR(__xludf.DUMMYFUNCTION("""COMPUTED_VALUE"""),"HAIDIR SAKTI")</f>
        <v>HAIDIR SAKTI</v>
      </c>
      <c r="D2289" s="2" t="str">
        <f>IFERROR(__xludf.DUMMYFUNCTION("""COMPUTED_VALUE"""),"5KM OVERALL M")</f>
        <v>5KM OVERALL M</v>
      </c>
      <c r="E2289" s="1">
        <f>IFERROR(__xludf.DUMMYFUNCTION("""COMPUTED_VALUE"""),2.0)</f>
        <v>2</v>
      </c>
      <c r="F2289" s="1" t="str">
        <f>IFERROR(__xludf.DUMMYFUNCTION("""COMPUTED_VALUE"""),"Male")</f>
        <v>Male</v>
      </c>
      <c r="G2289" s="4" t="b">
        <f>IFERROR(__xludf.DUMMYFUNCTION("""COMPUTED_VALUE"""),TRUE)</f>
        <v>1</v>
      </c>
      <c r="H2289" s="4" t="b">
        <f>IFERROR(__xludf.DUMMYFUNCTION("""COMPUTED_VALUE"""),TRUE)</f>
        <v>1</v>
      </c>
      <c r="I2289" s="4">
        <f>IFERROR(__xludf.DUMMYFUNCTION("""COMPUTED_VALUE"""),0.2549440625)</f>
        <v>0.2549440625</v>
      </c>
      <c r="J2289" s="4">
        <f>IFERROR(__xludf.DUMMYFUNCTION("""COMPUTED_VALUE"""),45949.26644335416)</f>
        <v>45949.26644</v>
      </c>
      <c r="K2289" s="4" t="str">
        <f>IFERROR(__xludf.DUMMYFUNCTION("""COMPUTED_VALUE"""),"")</f>
        <v/>
      </c>
      <c r="L2289" s="4">
        <f>IFERROR(__xludf.DUMMYFUNCTION("""COMPUTED_VALUE"""),45949.27554670755)</f>
        <v>45949.27555</v>
      </c>
      <c r="M2289" s="1" t="str">
        <f>IFERROR(__xludf.DUMMYFUNCTION("""COMPUTED_VALUE"""),"RFID")</f>
        <v>RFID</v>
      </c>
      <c r="N2289" s="5">
        <f>IFERROR(__xludf.DUMMYFUNCTION("""COMPUTED_VALUE"""),0.004599717592592593)</f>
        <v>0.004599717593</v>
      </c>
      <c r="O2289" s="5" t="str">
        <f>IFERROR(__xludf.DUMMYFUNCTION("""COMPUTED_VALUE"""),"")</f>
        <v/>
      </c>
      <c r="P2289" s="5" t="str">
        <f>IFERROR(__xludf.DUMMYFUNCTION("""COMPUTED_VALUE"""),"")</f>
        <v/>
      </c>
      <c r="Q2289" s="5">
        <f>IFERROR(__xludf.DUMMYFUNCTION("""COMPUTED_VALUE"""),0.004120530092592592)</f>
        <v>0.004120530093</v>
      </c>
      <c r="R2289" s="4">
        <f>IFERROR(__xludf.DUMMYFUNCTION("""COMPUTED_VALUE"""),45949.02060264505)</f>
        <v>45949.0206</v>
      </c>
      <c r="S2289" s="1" t="b">
        <f>IFERROR(__xludf.DUMMYFUNCTION("""COMPUTED_VALUE"""),TRUE)</f>
        <v>1</v>
      </c>
      <c r="T2289" s="1" t="b">
        <f>IFERROR(__xludf.DUMMYFUNCTION("""COMPUTED_VALUE"""),FALSE)</f>
        <v>0</v>
      </c>
      <c r="U2289" s="1" t="str">
        <f>IFERROR(__xludf.DUMMYFUNCTION("""COMPUTED_VALUE"""),"VALID")</f>
        <v>VALID</v>
      </c>
      <c r="V2289" s="1">
        <f>IFERROR(__xludf.DUMMYFUNCTION("""COMPUTED_VALUE"""),85.0)</f>
        <v>85</v>
      </c>
      <c r="W2289" s="1">
        <f>IFERROR(__xludf.DUMMYFUNCTION("""COMPUTED_VALUE"""),131.0)</f>
        <v>131</v>
      </c>
      <c r="X2289" s="1">
        <f>IFERROR(__xludf.DUMMYFUNCTION("""COMPUTED_VALUE"""),119.0)</f>
        <v>119</v>
      </c>
      <c r="Y2289" s="2"/>
      <c r="Z2289" s="2"/>
    </row>
    <row r="2290">
      <c r="A2290" s="1">
        <f>IFERROR(__xludf.DUMMYFUNCTION("""COMPUTED_VALUE"""),2289.0)</f>
        <v>2289</v>
      </c>
      <c r="B2290" s="1">
        <f>IFERROR(__xludf.DUMMYFUNCTION("""COMPUTED_VALUE"""),6021.0)</f>
        <v>6021</v>
      </c>
      <c r="C2290" s="2" t="str">
        <f>IFERROR(__xludf.DUMMYFUNCTION("""COMPUTED_VALUE"""),"Han")</f>
        <v>Han</v>
      </c>
      <c r="D2290" s="2" t="str">
        <f>IFERROR(__xludf.DUMMYFUNCTION("""COMPUTED_VALUE"""),"5KM OVERALL M")</f>
        <v>5KM OVERALL M</v>
      </c>
      <c r="E2290" s="1">
        <f>IFERROR(__xludf.DUMMYFUNCTION("""COMPUTED_VALUE"""),2.0)</f>
        <v>2</v>
      </c>
      <c r="F2290" s="1" t="str">
        <f>IFERROR(__xludf.DUMMYFUNCTION("""COMPUTED_VALUE"""),"Male")</f>
        <v>Male</v>
      </c>
      <c r="G2290" s="4" t="b">
        <f>IFERROR(__xludf.DUMMYFUNCTION("""COMPUTED_VALUE"""),TRUE)</f>
        <v>1</v>
      </c>
      <c r="H2290" s="4" t="b">
        <f>IFERROR(__xludf.DUMMYFUNCTION("""COMPUTED_VALUE"""),TRUE)</f>
        <v>1</v>
      </c>
      <c r="I2290" s="4">
        <f>IFERROR(__xludf.DUMMYFUNCTION("""COMPUTED_VALUE"""),0.2549440625)</f>
        <v>0.2549440625</v>
      </c>
      <c r="J2290" s="4">
        <f>IFERROR(__xludf.DUMMYFUNCTION("""COMPUTED_VALUE"""),45949.277113560434)</f>
        <v>45949.27711</v>
      </c>
      <c r="K2290" s="4" t="str">
        <f>IFERROR(__xludf.DUMMYFUNCTION("""COMPUTED_VALUE"""),"")</f>
        <v/>
      </c>
      <c r="L2290" s="4">
        <f>IFERROR(__xludf.DUMMYFUNCTION("""COMPUTED_VALUE"""),45949.29443213498)</f>
        <v>45949.29443</v>
      </c>
      <c r="M2290" s="1" t="str">
        <f>IFERROR(__xludf.DUMMYFUNCTION("""COMPUTED_VALUE"""),"RFID")</f>
        <v>RFID</v>
      </c>
      <c r="N2290" s="5">
        <f>IFERROR(__xludf.DUMMYFUNCTION("""COMPUTED_VALUE"""),0.008867800925925925)</f>
        <v>0.008867800926</v>
      </c>
      <c r="O2290" s="5" t="str">
        <f>IFERROR(__xludf.DUMMYFUNCTION("""COMPUTED_VALUE"""),"")</f>
        <v/>
      </c>
      <c r="P2290" s="5" t="str">
        <f>IFERROR(__xludf.DUMMYFUNCTION("""COMPUTED_VALUE"""),"")</f>
        <v/>
      </c>
      <c r="Q2290" s="5">
        <f>IFERROR(__xludf.DUMMYFUNCTION("""COMPUTED_VALUE"""),0.007897613425925926)</f>
        <v>0.007897613426</v>
      </c>
      <c r="R2290" s="4">
        <f>IFERROR(__xludf.DUMMYFUNCTION("""COMPUTED_VALUE"""),45949.03948807248)</f>
        <v>45949.03949</v>
      </c>
      <c r="S2290" s="1" t="b">
        <f>IFERROR(__xludf.DUMMYFUNCTION("""COMPUTED_VALUE"""),TRUE)</f>
        <v>1</v>
      </c>
      <c r="T2290" s="1" t="b">
        <f>IFERROR(__xludf.DUMMYFUNCTION("""COMPUTED_VALUE"""),FALSE)</f>
        <v>0</v>
      </c>
      <c r="U2290" s="1" t="str">
        <f>IFERROR(__xludf.DUMMYFUNCTION("""COMPUTED_VALUE"""),"VALID")</f>
        <v>VALID</v>
      </c>
      <c r="V2290" s="1">
        <f>IFERROR(__xludf.DUMMYFUNCTION("""COMPUTED_VALUE"""),702.0)</f>
        <v>702</v>
      </c>
      <c r="W2290" s="1">
        <f>IFERROR(__xludf.DUMMYFUNCTION("""COMPUTED_VALUE"""),1214.0)</f>
        <v>1214</v>
      </c>
      <c r="X2290" s="1">
        <f>IFERROR(__xludf.DUMMYFUNCTION("""COMPUTED_VALUE"""),950.0)</f>
        <v>950</v>
      </c>
      <c r="Y2290" s="2"/>
      <c r="Z2290" s="2"/>
    </row>
    <row r="2291">
      <c r="A2291" s="1">
        <f>IFERROR(__xludf.DUMMYFUNCTION("""COMPUTED_VALUE"""),2290.0)</f>
        <v>2290</v>
      </c>
      <c r="B2291" s="1">
        <f>IFERROR(__xludf.DUMMYFUNCTION("""COMPUTED_VALUE"""),6022.0)</f>
        <v>6022</v>
      </c>
      <c r="C2291" s="2" t="str">
        <f>IFERROR(__xludf.DUMMYFUNCTION("""COMPUTED_VALUE"""),"Dedesku")</f>
        <v>Dedesku</v>
      </c>
      <c r="D2291" s="2" t="str">
        <f>IFERROR(__xludf.DUMMYFUNCTION("""COMPUTED_VALUE"""),"5KM OVERALL M")</f>
        <v>5KM OVERALL M</v>
      </c>
      <c r="E2291" s="1">
        <f>IFERROR(__xludf.DUMMYFUNCTION("""COMPUTED_VALUE"""),2.0)</f>
        <v>2</v>
      </c>
      <c r="F2291" s="1" t="str">
        <f>IFERROR(__xludf.DUMMYFUNCTION("""COMPUTED_VALUE"""),"Male")</f>
        <v>Male</v>
      </c>
      <c r="G2291" s="4" t="b">
        <f>IFERROR(__xludf.DUMMYFUNCTION("""COMPUTED_VALUE"""),TRUE)</f>
        <v>1</v>
      </c>
      <c r="H2291" s="4" t="b">
        <f>IFERROR(__xludf.DUMMYFUNCTION("""COMPUTED_VALUE"""),TRUE)</f>
        <v>1</v>
      </c>
      <c r="I2291" s="4">
        <f>IFERROR(__xludf.DUMMYFUNCTION("""COMPUTED_VALUE"""),0.2549440625)</f>
        <v>0.2549440625</v>
      </c>
      <c r="J2291" s="4">
        <f>IFERROR(__xludf.DUMMYFUNCTION("""COMPUTED_VALUE"""),45949.28111700289)</f>
        <v>45949.28112</v>
      </c>
      <c r="K2291" s="4" t="str">
        <f>IFERROR(__xludf.DUMMYFUNCTION("""COMPUTED_VALUE"""),"")</f>
        <v/>
      </c>
      <c r="L2291" s="4">
        <f>IFERROR(__xludf.DUMMYFUNCTION("""COMPUTED_VALUE"""),45949.2945154515)</f>
        <v>45949.29452</v>
      </c>
      <c r="M2291" s="1" t="str">
        <f>IFERROR(__xludf.DUMMYFUNCTION("""COMPUTED_VALUE"""),"RFID")</f>
        <v>RFID</v>
      </c>
      <c r="N2291" s="5">
        <f>IFERROR(__xludf.DUMMYFUNCTION("""COMPUTED_VALUE"""),0.010469175925925927)</f>
        <v>0.01046917593</v>
      </c>
      <c r="O2291" s="5" t="str">
        <f>IFERROR(__xludf.DUMMYFUNCTION("""COMPUTED_VALUE"""),"")</f>
        <v/>
      </c>
      <c r="P2291" s="5" t="str">
        <f>IFERROR(__xludf.DUMMYFUNCTION("""COMPUTED_VALUE"""),"")</f>
        <v/>
      </c>
      <c r="Q2291" s="5">
        <f>IFERROR(__xludf.DUMMYFUNCTION("""COMPUTED_VALUE"""),0.007914277777777777)</f>
        <v>0.007914277778</v>
      </c>
      <c r="R2291" s="4">
        <f>IFERROR(__xludf.DUMMYFUNCTION("""COMPUTED_VALUE"""),45949.039571388996)</f>
        <v>45949.03957</v>
      </c>
      <c r="S2291" s="1" t="b">
        <f>IFERROR(__xludf.DUMMYFUNCTION("""COMPUTED_VALUE"""),TRUE)</f>
        <v>1</v>
      </c>
      <c r="T2291" s="1" t="b">
        <f>IFERROR(__xludf.DUMMYFUNCTION("""COMPUTED_VALUE"""),FALSE)</f>
        <v>0</v>
      </c>
      <c r="U2291" s="1" t="str">
        <f>IFERROR(__xludf.DUMMYFUNCTION("""COMPUTED_VALUE"""),"VALID")</f>
        <v>VALID</v>
      </c>
      <c r="V2291" s="1">
        <f>IFERROR(__xludf.DUMMYFUNCTION("""COMPUTED_VALUE"""),704.0)</f>
        <v>704</v>
      </c>
      <c r="W2291" s="1">
        <f>IFERROR(__xludf.DUMMYFUNCTION("""COMPUTED_VALUE"""),1219.0)</f>
        <v>1219</v>
      </c>
      <c r="X2291" s="1">
        <f>IFERROR(__xludf.DUMMYFUNCTION("""COMPUTED_VALUE"""),957.0)</f>
        <v>957</v>
      </c>
      <c r="Y2291" s="2"/>
      <c r="Z2291" s="2"/>
    </row>
    <row r="2292">
      <c r="A2292" s="1">
        <f>IFERROR(__xludf.DUMMYFUNCTION("""COMPUTED_VALUE"""),2291.0)</f>
        <v>2291</v>
      </c>
      <c r="B2292" s="1">
        <f>IFERROR(__xludf.DUMMYFUNCTION("""COMPUTED_VALUE"""),6024.0)</f>
        <v>6024</v>
      </c>
      <c r="C2292" s="2" t="str">
        <f>IFERROR(__xludf.DUMMYFUNCTION("""COMPUTED_VALUE"""),"Beta")</f>
        <v>Beta</v>
      </c>
      <c r="D2292" s="2" t="str">
        <f>IFERROR(__xludf.DUMMYFUNCTION("""COMPUTED_VALUE"""),"5KM OVERALL M")</f>
        <v>5KM OVERALL M</v>
      </c>
      <c r="E2292" s="1">
        <f>IFERROR(__xludf.DUMMYFUNCTION("""COMPUTED_VALUE"""),2.0)</f>
        <v>2</v>
      </c>
      <c r="F2292" s="1" t="str">
        <f>IFERROR(__xludf.DUMMYFUNCTION("""COMPUTED_VALUE"""),"Male")</f>
        <v>Male</v>
      </c>
      <c r="G2292" s="4" t="b">
        <f>IFERROR(__xludf.DUMMYFUNCTION("""COMPUTED_VALUE"""),TRUE)</f>
        <v>1</v>
      </c>
      <c r="H2292" s="4" t="b">
        <f>IFERROR(__xludf.DUMMYFUNCTION("""COMPUTED_VALUE"""),TRUE)</f>
        <v>1</v>
      </c>
      <c r="I2292" s="4">
        <f>IFERROR(__xludf.DUMMYFUNCTION("""COMPUTED_VALUE"""),0.2549440625)</f>
        <v>0.2549440625</v>
      </c>
      <c r="J2292" s="4">
        <f>IFERROR(__xludf.DUMMYFUNCTION("""COMPUTED_VALUE"""),45949.280401699194)</f>
        <v>45949.2804</v>
      </c>
      <c r="K2292" s="4" t="str">
        <f>IFERROR(__xludf.DUMMYFUNCTION("""COMPUTED_VALUE"""),"")</f>
        <v/>
      </c>
      <c r="L2292" s="4">
        <f>IFERROR(__xludf.DUMMYFUNCTION("""COMPUTED_VALUE"""),45949.29957101422)</f>
        <v>45949.29957</v>
      </c>
      <c r="M2292" s="1" t="str">
        <f>IFERROR(__xludf.DUMMYFUNCTION("""COMPUTED_VALUE"""),"RFID")</f>
        <v>RFID</v>
      </c>
      <c r="N2292" s="5">
        <f>IFERROR(__xludf.DUMMYFUNCTION("""COMPUTED_VALUE"""),0.010183055555555555)</f>
        <v>0.01018305556</v>
      </c>
      <c r="O2292" s="5" t="str">
        <f>IFERROR(__xludf.DUMMYFUNCTION("""COMPUTED_VALUE"""),"")</f>
        <v/>
      </c>
      <c r="P2292" s="5" t="str">
        <f>IFERROR(__xludf.DUMMYFUNCTION("""COMPUTED_VALUE"""),"")</f>
        <v/>
      </c>
      <c r="Q2292" s="5">
        <f>IFERROR(__xludf.DUMMYFUNCTION("""COMPUTED_VALUE"""),0.008925391203703703)</f>
        <v>0.008925391204</v>
      </c>
      <c r="R2292" s="4">
        <f>IFERROR(__xludf.DUMMYFUNCTION("""COMPUTED_VALUE"""),45949.04462695172)</f>
        <v>45949.04463</v>
      </c>
      <c r="S2292" s="1" t="b">
        <f>IFERROR(__xludf.DUMMYFUNCTION("""COMPUTED_VALUE"""),TRUE)</f>
        <v>1</v>
      </c>
      <c r="T2292" s="1" t="b">
        <f>IFERROR(__xludf.DUMMYFUNCTION("""COMPUTED_VALUE"""),FALSE)</f>
        <v>0</v>
      </c>
      <c r="U2292" s="1" t="str">
        <f>IFERROR(__xludf.DUMMYFUNCTION("""COMPUTED_VALUE"""),"VALID")</f>
        <v>VALID</v>
      </c>
      <c r="V2292" s="1">
        <f>IFERROR(__xludf.DUMMYFUNCTION("""COMPUTED_VALUE"""),792.0)</f>
        <v>792</v>
      </c>
      <c r="W2292" s="1">
        <f>IFERROR(__xludf.DUMMYFUNCTION("""COMPUTED_VALUE"""),1437.0)</f>
        <v>1437</v>
      </c>
      <c r="X2292" s="1">
        <f>IFERROR(__xludf.DUMMYFUNCTION("""COMPUTED_VALUE"""),1186.0)</f>
        <v>1186</v>
      </c>
      <c r="Y2292" s="2"/>
      <c r="Z2292" s="2"/>
    </row>
    <row r="2293">
      <c r="A2293" s="1">
        <f>IFERROR(__xludf.DUMMYFUNCTION("""COMPUTED_VALUE"""),2292.0)</f>
        <v>2292</v>
      </c>
      <c r="B2293" s="1">
        <f>IFERROR(__xludf.DUMMYFUNCTION("""COMPUTED_VALUE"""),6025.0)</f>
        <v>6025</v>
      </c>
      <c r="C2293" s="2" t="str">
        <f>IFERROR(__xludf.DUMMYFUNCTION("""COMPUTED_VALUE"""),"WIR")</f>
        <v>WIR</v>
      </c>
      <c r="D2293" s="2" t="str">
        <f>IFERROR(__xludf.DUMMYFUNCTION("""COMPUTED_VALUE"""),"5KM OVERALL M")</f>
        <v>5KM OVERALL M</v>
      </c>
      <c r="E2293" s="1">
        <f>IFERROR(__xludf.DUMMYFUNCTION("""COMPUTED_VALUE"""),2.0)</f>
        <v>2</v>
      </c>
      <c r="F2293" s="1" t="str">
        <f>IFERROR(__xludf.DUMMYFUNCTION("""COMPUTED_VALUE"""),"Male")</f>
        <v>Male</v>
      </c>
      <c r="G2293" s="4" t="b">
        <f>IFERROR(__xludf.DUMMYFUNCTION("""COMPUTED_VALUE"""),TRUE)</f>
        <v>1</v>
      </c>
      <c r="H2293" s="4" t="b">
        <f>IFERROR(__xludf.DUMMYFUNCTION("""COMPUTED_VALUE"""),TRUE)</f>
        <v>1</v>
      </c>
      <c r="I2293" s="4">
        <f>IFERROR(__xludf.DUMMYFUNCTION("""COMPUTED_VALUE"""),0.2549440625)</f>
        <v>0.2549440625</v>
      </c>
      <c r="J2293" s="4">
        <f>IFERROR(__xludf.DUMMYFUNCTION("""COMPUTED_VALUE"""),45949.27877670497)</f>
        <v>45949.27878</v>
      </c>
      <c r="K2293" s="4" t="str">
        <f>IFERROR(__xludf.DUMMYFUNCTION("""COMPUTED_VALUE"""),"")</f>
        <v/>
      </c>
      <c r="L2293" s="4">
        <f>IFERROR(__xludf.DUMMYFUNCTION("""COMPUTED_VALUE"""),45949.29650850206)</f>
        <v>45949.29651</v>
      </c>
      <c r="M2293" s="1" t="str">
        <f>IFERROR(__xludf.DUMMYFUNCTION("""COMPUTED_VALUE"""),"RFID")</f>
        <v>RFID</v>
      </c>
      <c r="N2293" s="5">
        <f>IFERROR(__xludf.DUMMYFUNCTION("""COMPUTED_VALUE"""),0.009533055555555555)</f>
        <v>0.009533055556</v>
      </c>
      <c r="O2293" s="5" t="str">
        <f>IFERROR(__xludf.DUMMYFUNCTION("""COMPUTED_VALUE"""),"")</f>
        <v/>
      </c>
      <c r="P2293" s="5" t="str">
        <f>IFERROR(__xludf.DUMMYFUNCTION("""COMPUTED_VALUE"""),"")</f>
        <v/>
      </c>
      <c r="Q2293" s="5">
        <f>IFERROR(__xludf.DUMMYFUNCTION("""COMPUTED_VALUE"""),0.008312888888888889)</f>
        <v>0.008312888889</v>
      </c>
      <c r="R2293" s="4">
        <f>IFERROR(__xludf.DUMMYFUNCTION("""COMPUTED_VALUE"""),45949.04156443956)</f>
        <v>45949.04156</v>
      </c>
      <c r="S2293" s="1" t="b">
        <f>IFERROR(__xludf.DUMMYFUNCTION("""COMPUTED_VALUE"""),TRUE)</f>
        <v>1</v>
      </c>
      <c r="T2293" s="1" t="b">
        <f>IFERROR(__xludf.DUMMYFUNCTION("""COMPUTED_VALUE"""),FALSE)</f>
        <v>0</v>
      </c>
      <c r="U2293" s="1" t="str">
        <f>IFERROR(__xludf.DUMMYFUNCTION("""COMPUTED_VALUE"""),"VALID")</f>
        <v>VALID</v>
      </c>
      <c r="V2293" s="1">
        <f>IFERROR(__xludf.DUMMYFUNCTION("""COMPUTED_VALUE"""),749.0)</f>
        <v>749</v>
      </c>
      <c r="W2293" s="1">
        <f>IFERROR(__xludf.DUMMYFUNCTION("""COMPUTED_VALUE"""),1317.0)</f>
        <v>1317</v>
      </c>
      <c r="X2293" s="1">
        <f>IFERROR(__xludf.DUMMYFUNCTION("""COMPUTED_VALUE"""),1048.0)</f>
        <v>1048</v>
      </c>
      <c r="Y2293" s="2"/>
      <c r="Z2293" s="2"/>
    </row>
    <row r="2294">
      <c r="A2294" s="1">
        <f>IFERROR(__xludf.DUMMYFUNCTION("""COMPUTED_VALUE"""),2293.0)</f>
        <v>2293</v>
      </c>
      <c r="B2294" s="1">
        <f>IFERROR(__xludf.DUMMYFUNCTION("""COMPUTED_VALUE"""),6026.0)</f>
        <v>6026</v>
      </c>
      <c r="C2294" s="2" t="str">
        <f>IFERROR(__xludf.DUMMYFUNCTION("""COMPUTED_VALUE"""),"Anas F")</f>
        <v>Anas F</v>
      </c>
      <c r="D2294" s="2" t="str">
        <f>IFERROR(__xludf.DUMMYFUNCTION("""COMPUTED_VALUE"""),"5KM OVERALL M")</f>
        <v>5KM OVERALL M</v>
      </c>
      <c r="E2294" s="1">
        <f>IFERROR(__xludf.DUMMYFUNCTION("""COMPUTED_VALUE"""),2.0)</f>
        <v>2</v>
      </c>
      <c r="F2294" s="1" t="str">
        <f>IFERROR(__xludf.DUMMYFUNCTION("""COMPUTED_VALUE"""),"Male")</f>
        <v>Male</v>
      </c>
      <c r="G2294" s="4" t="str">
        <f>IFERROR(__xludf.DUMMYFUNCTION("""COMPUTED_VALUE"""),"")</f>
        <v/>
      </c>
      <c r="H2294" s="4" t="b">
        <f>IFERROR(__xludf.DUMMYFUNCTION("""COMPUTED_VALUE"""),FALSE)</f>
        <v>0</v>
      </c>
      <c r="I2294" s="4">
        <f>IFERROR(__xludf.DUMMYFUNCTION("""COMPUTED_VALUE"""),0.2549440625)</f>
        <v>0.2549440625</v>
      </c>
      <c r="J2294" s="4" t="str">
        <f>IFERROR(__xludf.DUMMYFUNCTION("""COMPUTED_VALUE"""),"")</f>
        <v/>
      </c>
      <c r="K2294" s="4" t="str">
        <f>IFERROR(__xludf.DUMMYFUNCTION("""COMPUTED_VALUE"""),"")</f>
        <v/>
      </c>
      <c r="L2294" s="4" t="str">
        <f>IFERROR(__xludf.DUMMYFUNCTION("""COMPUTED_VALUE"""),"")</f>
        <v/>
      </c>
      <c r="M2294" s="1" t="str">
        <f>IFERROR(__xludf.DUMMYFUNCTION("""COMPUTED_VALUE"""),"RFID")</f>
        <v>RFID</v>
      </c>
      <c r="N2294" s="5" t="str">
        <f>IFERROR(__xludf.DUMMYFUNCTION("""COMPUTED_VALUE"""),"")</f>
        <v/>
      </c>
      <c r="O2294" s="5" t="str">
        <f>IFERROR(__xludf.DUMMYFUNCTION("""COMPUTED_VALUE"""),"")</f>
        <v/>
      </c>
      <c r="P2294" s="5" t="str">
        <f>IFERROR(__xludf.DUMMYFUNCTION("""COMPUTED_VALUE"""),"")</f>
        <v/>
      </c>
      <c r="Q2294" s="5" t="str">
        <f>IFERROR(__xludf.DUMMYFUNCTION("""COMPUTED_VALUE"""),"")</f>
        <v/>
      </c>
      <c r="R2294" s="4" t="str">
        <f>IFERROR(__xludf.DUMMYFUNCTION("""COMPUTED_VALUE"""),"")</f>
        <v/>
      </c>
      <c r="S2294" s="1" t="b">
        <f>IFERROR(__xludf.DUMMYFUNCTION("""COMPUTED_VALUE"""),FALSE)</f>
        <v>0</v>
      </c>
      <c r="T2294" s="1" t="b">
        <f>IFERROR(__xludf.DUMMYFUNCTION("""COMPUTED_VALUE"""),FALSE)</f>
        <v>0</v>
      </c>
      <c r="U2294" s="1" t="str">
        <f>IFERROR(__xludf.DUMMYFUNCTION("""COMPUTED_VALUE"""),"DSQ")</f>
        <v>DSQ</v>
      </c>
      <c r="V2294" s="1" t="str">
        <f>IFERROR(__xludf.DUMMYFUNCTION("""COMPUTED_VALUE"""),"DSQ")</f>
        <v>DSQ</v>
      </c>
      <c r="W2294" s="1" t="str">
        <f>IFERROR(__xludf.DUMMYFUNCTION("""COMPUTED_VALUE"""),"DSQ")</f>
        <v>DSQ</v>
      </c>
      <c r="X2294" s="1" t="str">
        <f>IFERROR(__xludf.DUMMYFUNCTION("""COMPUTED_VALUE"""),"DSQ")</f>
        <v>DSQ</v>
      </c>
      <c r="Y2294" s="2"/>
      <c r="Z2294" s="2" t="str">
        <f>IFERROR(__xludf.DUMMYFUNCTION("""COMPUTED_VALUE"""),"")</f>
        <v/>
      </c>
    </row>
    <row r="2295">
      <c r="A2295" s="1">
        <f>IFERROR(__xludf.DUMMYFUNCTION("""COMPUTED_VALUE"""),2294.0)</f>
        <v>2294</v>
      </c>
      <c r="B2295" s="1">
        <f>IFERROR(__xludf.DUMMYFUNCTION("""COMPUTED_VALUE"""),6027.0)</f>
        <v>6027</v>
      </c>
      <c r="C2295" s="2" t="str">
        <f>IFERROR(__xludf.DUMMYFUNCTION("""COMPUTED_VALUE"""),"MUHAMMAD NABIL")</f>
        <v>MUHAMMAD NABIL</v>
      </c>
      <c r="D2295" s="2" t="str">
        <f>IFERROR(__xludf.DUMMYFUNCTION("""COMPUTED_VALUE"""),"5KM OVERALL M")</f>
        <v>5KM OVERALL M</v>
      </c>
      <c r="E2295" s="1">
        <f>IFERROR(__xludf.DUMMYFUNCTION("""COMPUTED_VALUE"""),2.0)</f>
        <v>2</v>
      </c>
      <c r="F2295" s="1" t="str">
        <f>IFERROR(__xludf.DUMMYFUNCTION("""COMPUTED_VALUE"""),"Male")</f>
        <v>Male</v>
      </c>
      <c r="G2295" s="4" t="b">
        <f>IFERROR(__xludf.DUMMYFUNCTION("""COMPUTED_VALUE"""),TRUE)</f>
        <v>1</v>
      </c>
      <c r="H2295" s="4" t="b">
        <f>IFERROR(__xludf.DUMMYFUNCTION("""COMPUTED_VALUE"""),TRUE)</f>
        <v>1</v>
      </c>
      <c r="I2295" s="4">
        <f>IFERROR(__xludf.DUMMYFUNCTION("""COMPUTED_VALUE"""),0.2549440625)</f>
        <v>0.2549440625</v>
      </c>
      <c r="J2295" s="4">
        <f>IFERROR(__xludf.DUMMYFUNCTION("""COMPUTED_VALUE"""),45949.26448501686)</f>
        <v>45949.26449</v>
      </c>
      <c r="K2295" s="4" t="str">
        <f>IFERROR(__xludf.DUMMYFUNCTION("""COMPUTED_VALUE"""),"")</f>
        <v/>
      </c>
      <c r="L2295" s="4">
        <f>IFERROR(__xludf.DUMMYFUNCTION("""COMPUTED_VALUE"""),45949.27224462219)</f>
        <v>45949.27224</v>
      </c>
      <c r="M2295" s="1" t="str">
        <f>IFERROR(__xludf.DUMMYFUNCTION("""COMPUTED_VALUE"""),"RFID")</f>
        <v>RFID</v>
      </c>
      <c r="N2295" s="5">
        <f>IFERROR(__xludf.DUMMYFUNCTION("""COMPUTED_VALUE"""),0.003816379629629629)</f>
        <v>0.00381637963</v>
      </c>
      <c r="O2295" s="5" t="str">
        <f>IFERROR(__xludf.DUMMYFUNCTION("""COMPUTED_VALUE"""),"")</f>
        <v/>
      </c>
      <c r="P2295" s="5" t="str">
        <f>IFERROR(__xludf.DUMMYFUNCTION("""COMPUTED_VALUE"""),"")</f>
        <v/>
      </c>
      <c r="Q2295" s="5">
        <f>IFERROR(__xludf.DUMMYFUNCTION("""COMPUTED_VALUE"""),0.003460111111111111)</f>
        <v>0.003460111111</v>
      </c>
      <c r="R2295" s="4">
        <f>IFERROR(__xludf.DUMMYFUNCTION("""COMPUTED_VALUE"""),45949.01730055969)</f>
        <v>45949.0173</v>
      </c>
      <c r="S2295" s="1" t="b">
        <f>IFERROR(__xludf.DUMMYFUNCTION("""COMPUTED_VALUE"""),TRUE)</f>
        <v>1</v>
      </c>
      <c r="T2295" s="1" t="b">
        <f>IFERROR(__xludf.DUMMYFUNCTION("""COMPUTED_VALUE"""),FALSE)</f>
        <v>0</v>
      </c>
      <c r="U2295" s="1" t="str">
        <f>IFERROR(__xludf.DUMMYFUNCTION("""COMPUTED_VALUE"""),"VALID")</f>
        <v>VALID</v>
      </c>
      <c r="V2295" s="1">
        <f>IFERROR(__xludf.DUMMYFUNCTION("""COMPUTED_VALUE"""),25.0)</f>
        <v>25</v>
      </c>
      <c r="W2295" s="1">
        <f>IFERROR(__xludf.DUMMYFUNCTION("""COMPUTED_VALUE"""),38.0)</f>
        <v>38</v>
      </c>
      <c r="X2295" s="1">
        <f>IFERROR(__xludf.DUMMYFUNCTION("""COMPUTED_VALUE"""),37.0)</f>
        <v>37</v>
      </c>
      <c r="Y2295" s="2"/>
      <c r="Z2295" s="2"/>
    </row>
    <row r="2296">
      <c r="A2296" s="1">
        <f>IFERROR(__xludf.DUMMYFUNCTION("""COMPUTED_VALUE"""),2295.0)</f>
        <v>2295</v>
      </c>
      <c r="B2296" s="1">
        <f>IFERROR(__xludf.DUMMYFUNCTION("""COMPUTED_VALUE"""),6030.0)</f>
        <v>6030</v>
      </c>
      <c r="C2296" s="2" t="str">
        <f>IFERROR(__xludf.DUMMYFUNCTION("""COMPUTED_VALUE"""),"rofiq")</f>
        <v>rofiq</v>
      </c>
      <c r="D2296" s="2" t="str">
        <f>IFERROR(__xludf.DUMMYFUNCTION("""COMPUTED_VALUE"""),"5KM OVERALL M")</f>
        <v>5KM OVERALL M</v>
      </c>
      <c r="E2296" s="1">
        <f>IFERROR(__xludf.DUMMYFUNCTION("""COMPUTED_VALUE"""),2.0)</f>
        <v>2</v>
      </c>
      <c r="F2296" s="1" t="str">
        <f>IFERROR(__xludf.DUMMYFUNCTION("""COMPUTED_VALUE"""),"Male")</f>
        <v>Male</v>
      </c>
      <c r="G2296" s="4" t="b">
        <f>IFERROR(__xludf.DUMMYFUNCTION("""COMPUTED_VALUE"""),TRUE)</f>
        <v>1</v>
      </c>
      <c r="H2296" s="4" t="b">
        <f>IFERROR(__xludf.DUMMYFUNCTION("""COMPUTED_VALUE"""),TRUE)</f>
        <v>1</v>
      </c>
      <c r="I2296" s="4">
        <f>IFERROR(__xludf.DUMMYFUNCTION("""COMPUTED_VALUE"""),0.2549440625)</f>
        <v>0.2549440625</v>
      </c>
      <c r="J2296" s="4">
        <f>IFERROR(__xludf.DUMMYFUNCTION("""COMPUTED_VALUE"""),45949.27983226366)</f>
        <v>45949.27983</v>
      </c>
      <c r="K2296" s="4" t="str">
        <f>IFERROR(__xludf.DUMMYFUNCTION("""COMPUTED_VALUE"""),"")</f>
        <v/>
      </c>
      <c r="L2296" s="4">
        <f>IFERROR(__xludf.DUMMYFUNCTION("""COMPUTED_VALUE"""),45949.26576170065)</f>
        <v>45949.26576</v>
      </c>
      <c r="M2296" s="1" t="str">
        <f>IFERROR(__xludf.DUMMYFUNCTION("""COMPUTED_VALUE"""),"RFID")</f>
        <v>RFID</v>
      </c>
      <c r="N2296" s="5">
        <f>IFERROR(__xludf.DUMMYFUNCTION("""COMPUTED_VALUE"""),0.009955282407407406)</f>
        <v>0.009955282407</v>
      </c>
      <c r="O2296" s="5" t="str">
        <f>IFERROR(__xludf.DUMMYFUNCTION("""COMPUTED_VALUE"""),"")</f>
        <v/>
      </c>
      <c r="P2296" s="5" t="str">
        <f>IFERROR(__xludf.DUMMYFUNCTION("""COMPUTED_VALUE"""),"")</f>
        <v/>
      </c>
      <c r="Q2296" s="5">
        <f>IFERROR(__xludf.DUMMYFUNCTION("""COMPUTED_VALUE"""),0.0021635277777777777)</f>
        <v>0.002163527778</v>
      </c>
      <c r="R2296" s="4">
        <f>IFERROR(__xludf.DUMMYFUNCTION("""COMPUTED_VALUE"""),45949.01081763815)</f>
        <v>45949.01082</v>
      </c>
      <c r="S2296" s="1" t="b">
        <f>IFERROR(__xludf.DUMMYFUNCTION("""COMPUTED_VALUE"""),TRUE)</f>
        <v>1</v>
      </c>
      <c r="T2296" s="1" t="b">
        <f>IFERROR(__xludf.DUMMYFUNCTION("""COMPUTED_VALUE"""),TRUE)</f>
        <v>1</v>
      </c>
      <c r="U2296" s="1" t="str">
        <f>IFERROR(__xludf.DUMMYFUNCTION("""COMPUTED_VALUE"""),"DSQ")</f>
        <v>DSQ</v>
      </c>
      <c r="V2296" s="1" t="str">
        <f>IFERROR(__xludf.DUMMYFUNCTION("""COMPUTED_VALUE"""),"DSQ")</f>
        <v>DSQ</v>
      </c>
      <c r="W2296" s="1" t="str">
        <f>IFERROR(__xludf.DUMMYFUNCTION("""COMPUTED_VALUE"""),"DSQ")</f>
        <v>DSQ</v>
      </c>
      <c r="X2296" s="1" t="str">
        <f>IFERROR(__xludf.DUMMYFUNCTION("""COMPUTED_VALUE"""),"DSQ")</f>
        <v>DSQ</v>
      </c>
      <c r="Y2296" s="2" t="str">
        <f>IFERROR(__xludf.DUMMYFUNCTION("""COMPUTED_VALUE"""),"start setelah batas waktu")</f>
        <v>start setelah batas waktu</v>
      </c>
      <c r="Z2296" s="2"/>
    </row>
    <row r="2297">
      <c r="A2297" s="1">
        <f>IFERROR(__xludf.DUMMYFUNCTION("""COMPUTED_VALUE"""),2296.0)</f>
        <v>2296</v>
      </c>
      <c r="B2297" s="1">
        <f>IFERROR(__xludf.DUMMYFUNCTION("""COMPUTED_VALUE"""),6033.0)</f>
        <v>6033</v>
      </c>
      <c r="C2297" s="2" t="str">
        <f>IFERROR(__xludf.DUMMYFUNCTION("""COMPUTED_VALUE"""),"Arif")</f>
        <v>Arif</v>
      </c>
      <c r="D2297" s="2" t="str">
        <f>IFERROR(__xludf.DUMMYFUNCTION("""COMPUTED_VALUE"""),"5KM OVERALL M")</f>
        <v>5KM OVERALL M</v>
      </c>
      <c r="E2297" s="1">
        <f>IFERROR(__xludf.DUMMYFUNCTION("""COMPUTED_VALUE"""),2.0)</f>
        <v>2</v>
      </c>
      <c r="F2297" s="1" t="str">
        <f>IFERROR(__xludf.DUMMYFUNCTION("""COMPUTED_VALUE"""),"Male")</f>
        <v>Male</v>
      </c>
      <c r="G2297" s="4" t="b">
        <f>IFERROR(__xludf.DUMMYFUNCTION("""COMPUTED_VALUE"""),TRUE)</f>
        <v>1</v>
      </c>
      <c r="H2297" s="4" t="b">
        <f>IFERROR(__xludf.DUMMYFUNCTION("""COMPUTED_VALUE"""),TRUE)</f>
        <v>1</v>
      </c>
      <c r="I2297" s="4">
        <f>IFERROR(__xludf.DUMMYFUNCTION("""COMPUTED_VALUE"""),0.2549440625)</f>
        <v>0.2549440625</v>
      </c>
      <c r="J2297" s="4">
        <f>IFERROR(__xludf.DUMMYFUNCTION("""COMPUTED_VALUE"""),45949.27397807793)</f>
        <v>45949.27398</v>
      </c>
      <c r="K2297" s="4" t="str">
        <f>IFERROR(__xludf.DUMMYFUNCTION("""COMPUTED_VALUE"""),"")</f>
        <v/>
      </c>
      <c r="L2297" s="4">
        <f>IFERROR(__xludf.DUMMYFUNCTION("""COMPUTED_VALUE"""),45949.28520990864)</f>
        <v>45949.28521</v>
      </c>
      <c r="M2297" s="1" t="str">
        <f>IFERROR(__xludf.DUMMYFUNCTION("""COMPUTED_VALUE"""),"RFID")</f>
        <v>RFID</v>
      </c>
      <c r="N2297" s="5">
        <f>IFERROR(__xludf.DUMMYFUNCTION("""COMPUTED_VALUE"""),0.007613606481481482)</f>
        <v>0.007613606481</v>
      </c>
      <c r="O2297" s="5" t="str">
        <f>IFERROR(__xludf.DUMMYFUNCTION("""COMPUTED_VALUE"""),"")</f>
        <v/>
      </c>
      <c r="P2297" s="5" t="str">
        <f>IFERROR(__xludf.DUMMYFUNCTION("""COMPUTED_VALUE"""),"")</f>
        <v/>
      </c>
      <c r="Q2297" s="5">
        <f>IFERROR(__xludf.DUMMYFUNCTION("""COMPUTED_VALUE"""),0.006053168981481482)</f>
        <v>0.006053168981</v>
      </c>
      <c r="R2297" s="4">
        <f>IFERROR(__xludf.DUMMYFUNCTION("""COMPUTED_VALUE"""),45949.03026584614)</f>
        <v>45949.03027</v>
      </c>
      <c r="S2297" s="1" t="b">
        <f>IFERROR(__xludf.DUMMYFUNCTION("""COMPUTED_VALUE"""),TRUE)</f>
        <v>1</v>
      </c>
      <c r="T2297" s="1" t="b">
        <f>IFERROR(__xludf.DUMMYFUNCTION("""COMPUTED_VALUE"""),FALSE)</f>
        <v>0</v>
      </c>
      <c r="U2297" s="1" t="str">
        <f>IFERROR(__xludf.DUMMYFUNCTION("""COMPUTED_VALUE"""),"VALID")</f>
        <v>VALID</v>
      </c>
      <c r="V2297" s="1">
        <f>IFERROR(__xludf.DUMMYFUNCTION("""COMPUTED_VALUE"""),389.0)</f>
        <v>389</v>
      </c>
      <c r="W2297" s="1">
        <f>IFERROR(__xludf.DUMMYFUNCTION("""COMPUTED_VALUE"""),588.0)</f>
        <v>588</v>
      </c>
      <c r="X2297" s="1">
        <f>IFERROR(__xludf.DUMMYFUNCTION("""COMPUTED_VALUE"""),499.0)</f>
        <v>499</v>
      </c>
      <c r="Y2297" s="2"/>
      <c r="Z2297" s="2"/>
    </row>
    <row r="2298">
      <c r="A2298" s="1">
        <f>IFERROR(__xludf.DUMMYFUNCTION("""COMPUTED_VALUE"""),2297.0)</f>
        <v>2297</v>
      </c>
      <c r="B2298" s="1">
        <f>IFERROR(__xludf.DUMMYFUNCTION("""COMPUTED_VALUE"""),6035.0)</f>
        <v>6035</v>
      </c>
      <c r="C2298" s="2" t="str">
        <f>IFERROR(__xludf.DUMMYFUNCTION("""COMPUTED_VALUE"""),"Irvan")</f>
        <v>Irvan</v>
      </c>
      <c r="D2298" s="2" t="str">
        <f>IFERROR(__xludf.DUMMYFUNCTION("""COMPUTED_VALUE"""),"5KM OVERALL M")</f>
        <v>5KM OVERALL M</v>
      </c>
      <c r="E2298" s="1">
        <f>IFERROR(__xludf.DUMMYFUNCTION("""COMPUTED_VALUE"""),2.0)</f>
        <v>2</v>
      </c>
      <c r="F2298" s="1" t="str">
        <f>IFERROR(__xludf.DUMMYFUNCTION("""COMPUTED_VALUE"""),"Male")</f>
        <v>Male</v>
      </c>
      <c r="G2298" s="4" t="b">
        <f>IFERROR(__xludf.DUMMYFUNCTION("""COMPUTED_VALUE"""),TRUE)</f>
        <v>1</v>
      </c>
      <c r="H2298" s="4" t="b">
        <f>IFERROR(__xludf.DUMMYFUNCTION("""COMPUTED_VALUE"""),FALSE)</f>
        <v>0</v>
      </c>
      <c r="I2298" s="4">
        <f>IFERROR(__xludf.DUMMYFUNCTION("""COMPUTED_VALUE"""),0.2549440625)</f>
        <v>0.2549440625</v>
      </c>
      <c r="J2298" s="4">
        <f>IFERROR(__xludf.DUMMYFUNCTION("""COMPUTED_VALUE"""),45949.26855098851)</f>
        <v>45949.26855</v>
      </c>
      <c r="K2298" s="4" t="str">
        <f>IFERROR(__xludf.DUMMYFUNCTION("""COMPUTED_VALUE"""),"")</f>
        <v/>
      </c>
      <c r="L2298" s="4">
        <f>IFERROR(__xludf.DUMMYFUNCTION("""COMPUTED_VALUE"""),45949.27907447844)</f>
        <v>45949.27907</v>
      </c>
      <c r="M2298" s="1" t="str">
        <f>IFERROR(__xludf.DUMMYFUNCTION("""COMPUTED_VALUE"""),"RFID")</f>
        <v>RFID</v>
      </c>
      <c r="N2298" s="5">
        <f>IFERROR(__xludf.DUMMYFUNCTION("""COMPUTED_VALUE"""),0.005442768518518519)</f>
        <v>0.005442768519</v>
      </c>
      <c r="O2298" s="5" t="str">
        <f>IFERROR(__xludf.DUMMYFUNCTION("""COMPUTED_VALUE"""),"")</f>
        <v/>
      </c>
      <c r="P2298" s="5" t="str">
        <f>IFERROR(__xludf.DUMMYFUNCTION("""COMPUTED_VALUE"""),"")</f>
        <v/>
      </c>
      <c r="Q2298" s="5">
        <f>IFERROR(__xludf.DUMMYFUNCTION("""COMPUTED_VALUE"""),0.004826083333333333)</f>
        <v>0.004826083333</v>
      </c>
      <c r="R2298" s="4">
        <f>IFERROR(__xludf.DUMMYFUNCTION("""COMPUTED_VALUE"""),45949.02413041594)</f>
        <v>45949.02413</v>
      </c>
      <c r="S2298" s="1" t="b">
        <f>IFERROR(__xludf.DUMMYFUNCTION("""COMPUTED_VALUE"""),TRUE)</f>
        <v>1</v>
      </c>
      <c r="T2298" s="1" t="b">
        <f>IFERROR(__xludf.DUMMYFUNCTION("""COMPUTED_VALUE"""),FALSE)</f>
        <v>0</v>
      </c>
      <c r="U2298" s="1" t="str">
        <f>IFERROR(__xludf.DUMMYFUNCTION("""COMPUTED_VALUE"""),"VALID")</f>
        <v>VALID</v>
      </c>
      <c r="V2298" s="1">
        <f>IFERROR(__xludf.DUMMYFUNCTION("""COMPUTED_VALUE"""),163.0)</f>
        <v>163</v>
      </c>
      <c r="W2298" s="1">
        <f>IFERROR(__xludf.DUMMYFUNCTION("""COMPUTED_VALUE"""),251.0)</f>
        <v>251</v>
      </c>
      <c r="X2298" s="1">
        <f>IFERROR(__xludf.DUMMYFUNCTION("""COMPUTED_VALUE"""),221.0)</f>
        <v>221</v>
      </c>
      <c r="Y2298" s="2"/>
      <c r="Z2298" s="2"/>
    </row>
    <row r="2299">
      <c r="A2299" s="1">
        <f>IFERROR(__xludf.DUMMYFUNCTION("""COMPUTED_VALUE"""),2298.0)</f>
        <v>2298</v>
      </c>
      <c r="B2299" s="1">
        <f>IFERROR(__xludf.DUMMYFUNCTION("""COMPUTED_VALUE"""),6036.0)</f>
        <v>6036</v>
      </c>
      <c r="C2299" s="2" t="str">
        <f>IFERROR(__xludf.DUMMYFUNCTION("""COMPUTED_VALUE"""),"Pak Wo")</f>
        <v>Pak Wo</v>
      </c>
      <c r="D2299" s="2" t="str">
        <f>IFERROR(__xludf.DUMMYFUNCTION("""COMPUTED_VALUE"""),"5KM OVERALL M")</f>
        <v>5KM OVERALL M</v>
      </c>
      <c r="E2299" s="1">
        <f>IFERROR(__xludf.DUMMYFUNCTION("""COMPUTED_VALUE"""),2.0)</f>
        <v>2</v>
      </c>
      <c r="F2299" s="1" t="str">
        <f>IFERROR(__xludf.DUMMYFUNCTION("""COMPUTED_VALUE"""),"Male")</f>
        <v>Male</v>
      </c>
      <c r="G2299" s="4" t="b">
        <f>IFERROR(__xludf.DUMMYFUNCTION("""COMPUTED_VALUE"""),TRUE)</f>
        <v>1</v>
      </c>
      <c r="H2299" s="4" t="b">
        <f>IFERROR(__xludf.DUMMYFUNCTION("""COMPUTED_VALUE"""),TRUE)</f>
        <v>1</v>
      </c>
      <c r="I2299" s="4">
        <f>IFERROR(__xludf.DUMMYFUNCTION("""COMPUTED_VALUE"""),0.2549440625)</f>
        <v>0.2549440625</v>
      </c>
      <c r="J2299" s="4">
        <f>IFERROR(__xludf.DUMMYFUNCTION("""COMPUTED_VALUE"""),45949.27203711961)</f>
        <v>45949.27204</v>
      </c>
      <c r="K2299" s="4" t="str">
        <f>IFERROR(__xludf.DUMMYFUNCTION("""COMPUTED_VALUE"""),"")</f>
        <v/>
      </c>
      <c r="L2299" s="4">
        <f>IFERROR(__xludf.DUMMYFUNCTION("""COMPUTED_VALUE"""),45949.28417517501)</f>
        <v>45949.28418</v>
      </c>
      <c r="M2299" s="1" t="str">
        <f>IFERROR(__xludf.DUMMYFUNCTION("""COMPUTED_VALUE"""),"RFID")</f>
        <v>RFID</v>
      </c>
      <c r="N2299" s="5">
        <f>IFERROR(__xludf.DUMMYFUNCTION("""COMPUTED_VALUE"""),0.006837222222222222)</f>
        <v>0.006837222222</v>
      </c>
      <c r="O2299" s="5" t="str">
        <f>IFERROR(__xludf.DUMMYFUNCTION("""COMPUTED_VALUE"""),"")</f>
        <v/>
      </c>
      <c r="P2299" s="5" t="str">
        <f>IFERROR(__xludf.DUMMYFUNCTION("""COMPUTED_VALUE"""),"")</f>
        <v/>
      </c>
      <c r="Q2299" s="5">
        <f>IFERROR(__xludf.DUMMYFUNCTION("""COMPUTED_VALUE"""),0.005846222222222223)</f>
        <v>0.005846222222</v>
      </c>
      <c r="R2299" s="4">
        <f>IFERROR(__xludf.DUMMYFUNCTION("""COMPUTED_VALUE"""),45949.02923111251)</f>
        <v>45949.02923</v>
      </c>
      <c r="S2299" s="1" t="b">
        <f>IFERROR(__xludf.DUMMYFUNCTION("""COMPUTED_VALUE"""),TRUE)</f>
        <v>1</v>
      </c>
      <c r="T2299" s="1" t="b">
        <f>IFERROR(__xludf.DUMMYFUNCTION("""COMPUTED_VALUE"""),FALSE)</f>
        <v>0</v>
      </c>
      <c r="U2299" s="1" t="str">
        <f>IFERROR(__xludf.DUMMYFUNCTION("""COMPUTED_VALUE"""),"VALID")</f>
        <v>VALID</v>
      </c>
      <c r="V2299" s="1">
        <f>IFERROR(__xludf.DUMMYFUNCTION("""COMPUTED_VALUE"""),344.0)</f>
        <v>344</v>
      </c>
      <c r="W2299" s="1">
        <f>IFERROR(__xludf.DUMMYFUNCTION("""COMPUTED_VALUE"""),509.0)</f>
        <v>509</v>
      </c>
      <c r="X2299" s="1">
        <f>IFERROR(__xludf.DUMMYFUNCTION("""COMPUTED_VALUE"""),443.0)</f>
        <v>443</v>
      </c>
      <c r="Y2299" s="2"/>
      <c r="Z2299" s="2"/>
    </row>
    <row r="2300">
      <c r="A2300" s="1">
        <f>IFERROR(__xludf.DUMMYFUNCTION("""COMPUTED_VALUE"""),2299.0)</f>
        <v>2299</v>
      </c>
      <c r="B2300" s="1">
        <f>IFERROR(__xludf.DUMMYFUNCTION("""COMPUTED_VALUE"""),6037.0)</f>
        <v>6037</v>
      </c>
      <c r="C2300" s="2" t="str">
        <f>IFERROR(__xludf.DUMMYFUNCTION("""COMPUTED_VALUE"""),"Andra")</f>
        <v>Andra</v>
      </c>
      <c r="D2300" s="2" t="str">
        <f>IFERROR(__xludf.DUMMYFUNCTION("""COMPUTED_VALUE"""),"5KM OVERALL M")</f>
        <v>5KM OVERALL M</v>
      </c>
      <c r="E2300" s="1">
        <f>IFERROR(__xludf.DUMMYFUNCTION("""COMPUTED_VALUE"""),2.0)</f>
        <v>2</v>
      </c>
      <c r="F2300" s="1" t="str">
        <f>IFERROR(__xludf.DUMMYFUNCTION("""COMPUTED_VALUE"""),"Male")</f>
        <v>Male</v>
      </c>
      <c r="G2300" s="4" t="b">
        <f>IFERROR(__xludf.DUMMYFUNCTION("""COMPUTED_VALUE"""),TRUE)</f>
        <v>1</v>
      </c>
      <c r="H2300" s="4" t="b">
        <f>IFERROR(__xludf.DUMMYFUNCTION("""COMPUTED_VALUE"""),TRUE)</f>
        <v>1</v>
      </c>
      <c r="I2300" s="4">
        <f>IFERROR(__xludf.DUMMYFUNCTION("""COMPUTED_VALUE"""),0.2549440625)</f>
        <v>0.2549440625</v>
      </c>
      <c r="J2300" s="4">
        <f>IFERROR(__xludf.DUMMYFUNCTION("""COMPUTED_VALUE"""),45949.26591213525)</f>
        <v>45949.26591</v>
      </c>
      <c r="K2300" s="4" t="str">
        <f>IFERROR(__xludf.DUMMYFUNCTION("""COMPUTED_VALUE"""),"")</f>
        <v/>
      </c>
      <c r="L2300" s="4">
        <f>IFERROR(__xludf.DUMMYFUNCTION("""COMPUTED_VALUE"""),45949.27490788155)</f>
        <v>45949.27491</v>
      </c>
      <c r="M2300" s="1" t="str">
        <f>IFERROR(__xludf.DUMMYFUNCTION("""COMPUTED_VALUE"""),"RFID")</f>
        <v>RFID</v>
      </c>
      <c r="N2300" s="5">
        <f>IFERROR(__xludf.DUMMYFUNCTION("""COMPUTED_VALUE"""),0.004387226851851852)</f>
        <v>0.004387226852</v>
      </c>
      <c r="O2300" s="5" t="str">
        <f>IFERROR(__xludf.DUMMYFUNCTION("""COMPUTED_VALUE"""),"")</f>
        <v/>
      </c>
      <c r="P2300" s="5" t="str">
        <f>IFERROR(__xludf.DUMMYFUNCTION("""COMPUTED_VALUE"""),"")</f>
        <v/>
      </c>
      <c r="Q2300" s="5">
        <f>IFERROR(__xludf.DUMMYFUNCTION("""COMPUTED_VALUE"""),0.003992763888888889)</f>
        <v>0.003992763889</v>
      </c>
      <c r="R2300" s="4">
        <f>IFERROR(__xludf.DUMMYFUNCTION("""COMPUTED_VALUE"""),45949.019963819046)</f>
        <v>45949.01996</v>
      </c>
      <c r="S2300" s="1" t="b">
        <f>IFERROR(__xludf.DUMMYFUNCTION("""COMPUTED_VALUE"""),TRUE)</f>
        <v>1</v>
      </c>
      <c r="T2300" s="1" t="b">
        <f>IFERROR(__xludf.DUMMYFUNCTION("""COMPUTED_VALUE"""),FALSE)</f>
        <v>0</v>
      </c>
      <c r="U2300" s="1" t="str">
        <f>IFERROR(__xludf.DUMMYFUNCTION("""COMPUTED_VALUE"""),"VALID")</f>
        <v>VALID</v>
      </c>
      <c r="V2300" s="1">
        <f>IFERROR(__xludf.DUMMYFUNCTION("""COMPUTED_VALUE"""),78.0)</f>
        <v>78</v>
      </c>
      <c r="W2300" s="1">
        <f>IFERROR(__xludf.DUMMYFUNCTION("""COMPUTED_VALUE"""),117.0)</f>
        <v>117</v>
      </c>
      <c r="X2300" s="1">
        <f>IFERROR(__xludf.DUMMYFUNCTION("""COMPUTED_VALUE"""),106.0)</f>
        <v>106</v>
      </c>
      <c r="Y2300" s="2"/>
      <c r="Z2300" s="2"/>
    </row>
    <row r="2301">
      <c r="A2301" s="1">
        <f>IFERROR(__xludf.DUMMYFUNCTION("""COMPUTED_VALUE"""),2300.0)</f>
        <v>2300</v>
      </c>
      <c r="B2301" s="1">
        <f>IFERROR(__xludf.DUMMYFUNCTION("""COMPUTED_VALUE"""),6038.0)</f>
        <v>6038</v>
      </c>
      <c r="C2301" s="2" t="str">
        <f>IFERROR(__xludf.DUMMYFUNCTION("""COMPUTED_VALUE"""),"IQBAL3")</f>
        <v>IQBAL3</v>
      </c>
      <c r="D2301" s="2" t="str">
        <f>IFERROR(__xludf.DUMMYFUNCTION("""COMPUTED_VALUE"""),"5KM OVERALL M")</f>
        <v>5KM OVERALL M</v>
      </c>
      <c r="E2301" s="1">
        <f>IFERROR(__xludf.DUMMYFUNCTION("""COMPUTED_VALUE"""),2.0)</f>
        <v>2</v>
      </c>
      <c r="F2301" s="1" t="str">
        <f>IFERROR(__xludf.DUMMYFUNCTION("""COMPUTED_VALUE"""),"Male")</f>
        <v>Male</v>
      </c>
      <c r="G2301" s="4" t="b">
        <f>IFERROR(__xludf.DUMMYFUNCTION("""COMPUTED_VALUE"""),TRUE)</f>
        <v>1</v>
      </c>
      <c r="H2301" s="4" t="b">
        <f>IFERROR(__xludf.DUMMYFUNCTION("""COMPUTED_VALUE"""),TRUE)</f>
        <v>1</v>
      </c>
      <c r="I2301" s="4">
        <f>IFERROR(__xludf.DUMMYFUNCTION("""COMPUTED_VALUE"""),0.2549440625)</f>
        <v>0.2549440625</v>
      </c>
      <c r="J2301" s="4">
        <f>IFERROR(__xludf.DUMMYFUNCTION("""COMPUTED_VALUE"""),45949.265613545744)</f>
        <v>45949.26561</v>
      </c>
      <c r="K2301" s="4" t="str">
        <f>IFERROR(__xludf.DUMMYFUNCTION("""COMPUTED_VALUE"""),"")</f>
        <v/>
      </c>
      <c r="L2301" s="4">
        <f>IFERROR(__xludf.DUMMYFUNCTION("""COMPUTED_VALUE"""),45949.274383522854)</f>
        <v>45949.27438</v>
      </c>
      <c r="M2301" s="1" t="str">
        <f>IFERROR(__xludf.DUMMYFUNCTION("""COMPUTED_VALUE"""),"RFID")</f>
        <v>RFID</v>
      </c>
      <c r="N2301" s="5">
        <f>IFERROR(__xludf.DUMMYFUNCTION("""COMPUTED_VALUE"""),0.004267791666666666)</f>
        <v>0.004267791667</v>
      </c>
      <c r="O2301" s="5" t="str">
        <f>IFERROR(__xludf.DUMMYFUNCTION("""COMPUTED_VALUE"""),"")</f>
        <v/>
      </c>
      <c r="P2301" s="5" t="str">
        <f>IFERROR(__xludf.DUMMYFUNCTION("""COMPUTED_VALUE"""),"")</f>
        <v/>
      </c>
      <c r="Q2301" s="5">
        <f>IFERROR(__xludf.DUMMYFUNCTION("""COMPUTED_VALUE"""),0.0038878912037037033)</f>
        <v>0.003887891204</v>
      </c>
      <c r="R2301" s="4">
        <f>IFERROR(__xludf.DUMMYFUNCTION("""COMPUTED_VALUE"""),45949.01943946035)</f>
        <v>45949.01944</v>
      </c>
      <c r="S2301" s="1" t="b">
        <f>IFERROR(__xludf.DUMMYFUNCTION("""COMPUTED_VALUE"""),TRUE)</f>
        <v>1</v>
      </c>
      <c r="T2301" s="1" t="b">
        <f>IFERROR(__xludf.DUMMYFUNCTION("""COMPUTED_VALUE"""),FALSE)</f>
        <v>0</v>
      </c>
      <c r="U2301" s="1" t="str">
        <f>IFERROR(__xludf.DUMMYFUNCTION("""COMPUTED_VALUE"""),"VALID")</f>
        <v>VALID</v>
      </c>
      <c r="V2301" s="1">
        <f>IFERROR(__xludf.DUMMYFUNCTION("""COMPUTED_VALUE"""),67.0)</f>
        <v>67</v>
      </c>
      <c r="W2301" s="1">
        <f>IFERROR(__xludf.DUMMYFUNCTION("""COMPUTED_VALUE"""),99.0)</f>
        <v>99</v>
      </c>
      <c r="X2301" s="1">
        <f>IFERROR(__xludf.DUMMYFUNCTION("""COMPUTED_VALUE"""),89.0)</f>
        <v>89</v>
      </c>
      <c r="Y2301" s="2"/>
      <c r="Z2301" s="2"/>
    </row>
    <row r="2302">
      <c r="A2302" s="1">
        <f>IFERROR(__xludf.DUMMYFUNCTION("""COMPUTED_VALUE"""),2301.0)</f>
        <v>2301</v>
      </c>
      <c r="B2302" s="1">
        <f>IFERROR(__xludf.DUMMYFUNCTION("""COMPUTED_VALUE"""),6041.0)</f>
        <v>6041</v>
      </c>
      <c r="C2302" s="2" t="str">
        <f>IFERROR(__xludf.DUMMYFUNCTION("""COMPUTED_VALUE"""),"Eta SS")</f>
        <v>Eta SS</v>
      </c>
      <c r="D2302" s="2" t="str">
        <f>IFERROR(__xludf.DUMMYFUNCTION("""COMPUTED_VALUE"""),"5KM OVERALL M")</f>
        <v>5KM OVERALL M</v>
      </c>
      <c r="E2302" s="1">
        <f>IFERROR(__xludf.DUMMYFUNCTION("""COMPUTED_VALUE"""),2.0)</f>
        <v>2</v>
      </c>
      <c r="F2302" s="1" t="str">
        <f>IFERROR(__xludf.DUMMYFUNCTION("""COMPUTED_VALUE"""),"Male")</f>
        <v>Male</v>
      </c>
      <c r="G2302" s="4" t="b">
        <f>IFERROR(__xludf.DUMMYFUNCTION("""COMPUTED_VALUE"""),TRUE)</f>
        <v>1</v>
      </c>
      <c r="H2302" s="4" t="b">
        <f>IFERROR(__xludf.DUMMYFUNCTION("""COMPUTED_VALUE"""),FALSE)</f>
        <v>0</v>
      </c>
      <c r="I2302" s="4">
        <f>IFERROR(__xludf.DUMMYFUNCTION("""COMPUTED_VALUE"""),0.2549440625)</f>
        <v>0.2549440625</v>
      </c>
      <c r="J2302" s="4">
        <f>IFERROR(__xludf.DUMMYFUNCTION("""COMPUTED_VALUE"""),45949.27343311348)</f>
        <v>45949.27343</v>
      </c>
      <c r="K2302" s="4" t="str">
        <f>IFERROR(__xludf.DUMMYFUNCTION("""COMPUTED_VALUE"""),"")</f>
        <v/>
      </c>
      <c r="L2302" s="4">
        <f>IFERROR(__xludf.DUMMYFUNCTION("""COMPUTED_VALUE"""),45949.28660225194)</f>
        <v>45949.2866</v>
      </c>
      <c r="M2302" s="1" t="str">
        <f>IFERROR(__xludf.DUMMYFUNCTION("""COMPUTED_VALUE"""),"RFID")</f>
        <v>RFID</v>
      </c>
      <c r="N2302" s="5">
        <f>IFERROR(__xludf.DUMMYFUNCTION("""COMPUTED_VALUE"""),0.00739562037037037)</f>
        <v>0.00739562037</v>
      </c>
      <c r="O2302" s="5" t="str">
        <f>IFERROR(__xludf.DUMMYFUNCTION("""COMPUTED_VALUE"""),"")</f>
        <v/>
      </c>
      <c r="P2302" s="5" t="str">
        <f>IFERROR(__xludf.DUMMYFUNCTION("""COMPUTED_VALUE"""),"")</f>
        <v/>
      </c>
      <c r="Q2302" s="5">
        <f>IFERROR(__xludf.DUMMYFUNCTION("""COMPUTED_VALUE"""),0.006331638888888889)</f>
        <v>0.006331638889</v>
      </c>
      <c r="R2302" s="4">
        <f>IFERROR(__xludf.DUMMYFUNCTION("""COMPUTED_VALUE"""),45949.03165818944)</f>
        <v>45949.03166</v>
      </c>
      <c r="S2302" s="1" t="b">
        <f>IFERROR(__xludf.DUMMYFUNCTION("""COMPUTED_VALUE"""),TRUE)</f>
        <v>1</v>
      </c>
      <c r="T2302" s="1" t="b">
        <f>IFERROR(__xludf.DUMMYFUNCTION("""COMPUTED_VALUE"""),FALSE)</f>
        <v>0</v>
      </c>
      <c r="U2302" s="1" t="str">
        <f>IFERROR(__xludf.DUMMYFUNCTION("""COMPUTED_VALUE"""),"VALID")</f>
        <v>VALID</v>
      </c>
      <c r="V2302" s="1">
        <f>IFERROR(__xludf.DUMMYFUNCTION("""COMPUTED_VALUE"""),437.0)</f>
        <v>437</v>
      </c>
      <c r="W2302" s="1">
        <f>IFERROR(__xludf.DUMMYFUNCTION("""COMPUTED_VALUE"""),676.0)</f>
        <v>676</v>
      </c>
      <c r="X2302" s="1">
        <f>IFERROR(__xludf.DUMMYFUNCTION("""COMPUTED_VALUE"""),564.0)</f>
        <v>564</v>
      </c>
      <c r="Y2302" s="2"/>
      <c r="Z2302" s="2"/>
    </row>
    <row r="2303">
      <c r="A2303" s="1">
        <f>IFERROR(__xludf.DUMMYFUNCTION("""COMPUTED_VALUE"""),2302.0)</f>
        <v>2302</v>
      </c>
      <c r="B2303" s="1">
        <f>IFERROR(__xludf.DUMMYFUNCTION("""COMPUTED_VALUE"""),6042.0)</f>
        <v>6042</v>
      </c>
      <c r="C2303" s="2" t="str">
        <f>IFERROR(__xludf.DUMMYFUNCTION("""COMPUTED_VALUE"""),"Rizal.Aprido")</f>
        <v>Rizal.Aprido</v>
      </c>
      <c r="D2303" s="2" t="str">
        <f>IFERROR(__xludf.DUMMYFUNCTION("""COMPUTED_VALUE"""),"5KM OVERALL M")</f>
        <v>5KM OVERALL M</v>
      </c>
      <c r="E2303" s="1">
        <f>IFERROR(__xludf.DUMMYFUNCTION("""COMPUTED_VALUE"""),2.0)</f>
        <v>2</v>
      </c>
      <c r="F2303" s="1" t="str">
        <f>IFERROR(__xludf.DUMMYFUNCTION("""COMPUTED_VALUE"""),"Male")</f>
        <v>Male</v>
      </c>
      <c r="G2303" s="4" t="b">
        <f>IFERROR(__xludf.DUMMYFUNCTION("""COMPUTED_VALUE"""),TRUE)</f>
        <v>1</v>
      </c>
      <c r="H2303" s="4" t="b">
        <f>IFERROR(__xludf.DUMMYFUNCTION("""COMPUTED_VALUE"""),FALSE)</f>
        <v>0</v>
      </c>
      <c r="I2303" s="4">
        <f>IFERROR(__xludf.DUMMYFUNCTION("""COMPUTED_VALUE"""),0.2549440625)</f>
        <v>0.2549440625</v>
      </c>
      <c r="J2303" s="4">
        <f>IFERROR(__xludf.DUMMYFUNCTION("""COMPUTED_VALUE"""),45949.27165174576)</f>
        <v>45949.27165</v>
      </c>
      <c r="K2303" s="4" t="str">
        <f>IFERROR(__xludf.DUMMYFUNCTION("""COMPUTED_VALUE"""),"")</f>
        <v/>
      </c>
      <c r="L2303" s="4">
        <f>IFERROR(__xludf.DUMMYFUNCTION("""COMPUTED_VALUE"""),45949.285459911356)</f>
        <v>45949.28546</v>
      </c>
      <c r="M2303" s="1" t="str">
        <f>IFERROR(__xludf.DUMMYFUNCTION("""COMPUTED_VALUE"""),"RFID")</f>
        <v>RFID</v>
      </c>
      <c r="N2303" s="5">
        <f>IFERROR(__xludf.DUMMYFUNCTION("""COMPUTED_VALUE"""),0.006683074074074075)</f>
        <v>0.006683074074</v>
      </c>
      <c r="O2303" s="5" t="str">
        <f>IFERROR(__xludf.DUMMYFUNCTION("""COMPUTED_VALUE"""),"")</f>
        <v/>
      </c>
      <c r="P2303" s="5" t="str">
        <f>IFERROR(__xludf.DUMMYFUNCTION("""COMPUTED_VALUE"""),"")</f>
        <v/>
      </c>
      <c r="Q2303" s="5">
        <f>IFERROR(__xludf.DUMMYFUNCTION("""COMPUTED_VALUE"""),0.006103168981481481)</f>
        <v>0.006103168981</v>
      </c>
      <c r="R2303" s="4">
        <f>IFERROR(__xludf.DUMMYFUNCTION("""COMPUTED_VALUE"""),45949.030515848855)</f>
        <v>45949.03052</v>
      </c>
      <c r="S2303" s="1" t="b">
        <f>IFERROR(__xludf.DUMMYFUNCTION("""COMPUTED_VALUE"""),TRUE)</f>
        <v>1</v>
      </c>
      <c r="T2303" s="1" t="b">
        <f>IFERROR(__xludf.DUMMYFUNCTION("""COMPUTED_VALUE"""),FALSE)</f>
        <v>0</v>
      </c>
      <c r="U2303" s="1" t="str">
        <f>IFERROR(__xludf.DUMMYFUNCTION("""COMPUTED_VALUE"""),"VALID")</f>
        <v>VALID</v>
      </c>
      <c r="V2303" s="1">
        <f>IFERROR(__xludf.DUMMYFUNCTION("""COMPUTED_VALUE"""),395.0)</f>
        <v>395</v>
      </c>
      <c r="W2303" s="1">
        <f>IFERROR(__xludf.DUMMYFUNCTION("""COMPUTED_VALUE"""),602.0)</f>
        <v>602</v>
      </c>
      <c r="X2303" s="1">
        <f>IFERROR(__xludf.DUMMYFUNCTION("""COMPUTED_VALUE"""),507.0)</f>
        <v>507</v>
      </c>
      <c r="Y2303" s="2"/>
      <c r="Z2303" s="2"/>
    </row>
    <row r="2304">
      <c r="A2304" s="1">
        <f>IFERROR(__xludf.DUMMYFUNCTION("""COMPUTED_VALUE"""),2303.0)</f>
        <v>2303</v>
      </c>
      <c r="B2304" s="1">
        <f>IFERROR(__xludf.DUMMYFUNCTION("""COMPUTED_VALUE"""),6044.0)</f>
        <v>6044</v>
      </c>
      <c r="C2304" s="2" t="str">
        <f>IFERROR(__xludf.DUMMYFUNCTION("""COMPUTED_VALUE"""),"RIZKAN")</f>
        <v>RIZKAN</v>
      </c>
      <c r="D2304" s="2" t="str">
        <f>IFERROR(__xludf.DUMMYFUNCTION("""COMPUTED_VALUE"""),"5KM OVERALL M")</f>
        <v>5KM OVERALL M</v>
      </c>
      <c r="E2304" s="1">
        <f>IFERROR(__xludf.DUMMYFUNCTION("""COMPUTED_VALUE"""),2.0)</f>
        <v>2</v>
      </c>
      <c r="F2304" s="1" t="str">
        <f>IFERROR(__xludf.DUMMYFUNCTION("""COMPUTED_VALUE"""),"Male")</f>
        <v>Male</v>
      </c>
      <c r="G2304" s="4" t="str">
        <f>IFERROR(__xludf.DUMMYFUNCTION("""COMPUTED_VALUE"""),"")</f>
        <v/>
      </c>
      <c r="H2304" s="4" t="b">
        <f>IFERROR(__xludf.DUMMYFUNCTION("""COMPUTED_VALUE"""),FALSE)</f>
        <v>0</v>
      </c>
      <c r="I2304" s="4">
        <f>IFERROR(__xludf.DUMMYFUNCTION("""COMPUTED_VALUE"""),0.2549440625)</f>
        <v>0.2549440625</v>
      </c>
      <c r="J2304" s="4" t="str">
        <f>IFERROR(__xludf.DUMMYFUNCTION("""COMPUTED_VALUE"""),"")</f>
        <v/>
      </c>
      <c r="K2304" s="4" t="str">
        <f>IFERROR(__xludf.DUMMYFUNCTION("""COMPUTED_VALUE"""),"")</f>
        <v/>
      </c>
      <c r="L2304" s="4" t="str">
        <f>IFERROR(__xludf.DUMMYFUNCTION("""COMPUTED_VALUE"""),"")</f>
        <v/>
      </c>
      <c r="M2304" s="1" t="str">
        <f>IFERROR(__xludf.DUMMYFUNCTION("""COMPUTED_VALUE"""),"RFID")</f>
        <v>RFID</v>
      </c>
      <c r="N2304" s="5" t="str">
        <f>IFERROR(__xludf.DUMMYFUNCTION("""COMPUTED_VALUE"""),"")</f>
        <v/>
      </c>
      <c r="O2304" s="5" t="str">
        <f>IFERROR(__xludf.DUMMYFUNCTION("""COMPUTED_VALUE"""),"")</f>
        <v/>
      </c>
      <c r="P2304" s="5" t="str">
        <f>IFERROR(__xludf.DUMMYFUNCTION("""COMPUTED_VALUE"""),"")</f>
        <v/>
      </c>
      <c r="Q2304" s="5" t="str">
        <f>IFERROR(__xludf.DUMMYFUNCTION("""COMPUTED_VALUE"""),"")</f>
        <v/>
      </c>
      <c r="R2304" s="4" t="str">
        <f>IFERROR(__xludf.DUMMYFUNCTION("""COMPUTED_VALUE"""),"")</f>
        <v/>
      </c>
      <c r="S2304" s="1" t="b">
        <f>IFERROR(__xludf.DUMMYFUNCTION("""COMPUTED_VALUE"""),FALSE)</f>
        <v>0</v>
      </c>
      <c r="T2304" s="1" t="b">
        <f>IFERROR(__xludf.DUMMYFUNCTION("""COMPUTED_VALUE"""),FALSE)</f>
        <v>0</v>
      </c>
      <c r="U2304" s="1" t="str">
        <f>IFERROR(__xludf.DUMMYFUNCTION("""COMPUTED_VALUE"""),"DSQ")</f>
        <v>DSQ</v>
      </c>
      <c r="V2304" s="1" t="str">
        <f>IFERROR(__xludf.DUMMYFUNCTION("""COMPUTED_VALUE"""),"DSQ")</f>
        <v>DSQ</v>
      </c>
      <c r="W2304" s="1" t="str">
        <f>IFERROR(__xludf.DUMMYFUNCTION("""COMPUTED_VALUE"""),"DSQ")</f>
        <v>DSQ</v>
      </c>
      <c r="X2304" s="1" t="str">
        <f>IFERROR(__xludf.DUMMYFUNCTION("""COMPUTED_VALUE"""),"DSQ")</f>
        <v>DSQ</v>
      </c>
      <c r="Y2304" s="2"/>
      <c r="Z2304" s="2" t="str">
        <f>IFERROR(__xludf.DUMMYFUNCTION("""COMPUTED_VALUE"""),"")</f>
        <v/>
      </c>
    </row>
    <row r="2305">
      <c r="A2305" s="1">
        <f>IFERROR(__xludf.DUMMYFUNCTION("""COMPUTED_VALUE"""),2304.0)</f>
        <v>2304</v>
      </c>
      <c r="B2305" s="1">
        <f>IFERROR(__xludf.DUMMYFUNCTION("""COMPUTED_VALUE"""),6046.0)</f>
        <v>6046</v>
      </c>
      <c r="C2305" s="2" t="str">
        <f>IFERROR(__xludf.DUMMYFUNCTION("""COMPUTED_VALUE"""),"Daru Dwi Utomo")</f>
        <v>Daru Dwi Utomo</v>
      </c>
      <c r="D2305" s="2" t="str">
        <f>IFERROR(__xludf.DUMMYFUNCTION("""COMPUTED_VALUE"""),"5KM OVERALL M")</f>
        <v>5KM OVERALL M</v>
      </c>
      <c r="E2305" s="1">
        <f>IFERROR(__xludf.DUMMYFUNCTION("""COMPUTED_VALUE"""),2.0)</f>
        <v>2</v>
      </c>
      <c r="F2305" s="1" t="str">
        <f>IFERROR(__xludf.DUMMYFUNCTION("""COMPUTED_VALUE"""),"Male")</f>
        <v>Male</v>
      </c>
      <c r="G2305" s="4" t="b">
        <f>IFERROR(__xludf.DUMMYFUNCTION("""COMPUTED_VALUE"""),TRUE)</f>
        <v>1</v>
      </c>
      <c r="H2305" s="4" t="b">
        <f>IFERROR(__xludf.DUMMYFUNCTION("""COMPUTED_VALUE"""),TRUE)</f>
        <v>1</v>
      </c>
      <c r="I2305" s="4">
        <f>IFERROR(__xludf.DUMMYFUNCTION("""COMPUTED_VALUE"""),0.2549440625)</f>
        <v>0.2549440625</v>
      </c>
      <c r="J2305" s="4">
        <f>IFERROR(__xludf.DUMMYFUNCTION("""COMPUTED_VALUE"""),45949.27207188888)</f>
        <v>45949.27207</v>
      </c>
      <c r="K2305" s="4" t="str">
        <f>IFERROR(__xludf.DUMMYFUNCTION("""COMPUTED_VALUE"""),"")</f>
        <v/>
      </c>
      <c r="L2305" s="4">
        <f>IFERROR(__xludf.DUMMYFUNCTION("""COMPUTED_VALUE"""),45949.28272727726)</f>
        <v>45949.28273</v>
      </c>
      <c r="M2305" s="1" t="str">
        <f>IFERROR(__xludf.DUMMYFUNCTION("""COMPUTED_VALUE"""),"RFID")</f>
        <v>RFID</v>
      </c>
      <c r="N2305" s="5">
        <f>IFERROR(__xludf.DUMMYFUNCTION("""COMPUTED_VALUE"""),0.006851129629629629)</f>
        <v>0.00685112963</v>
      </c>
      <c r="O2305" s="5" t="str">
        <f>IFERROR(__xludf.DUMMYFUNCTION("""COMPUTED_VALUE"""),"")</f>
        <v/>
      </c>
      <c r="P2305" s="5" t="str">
        <f>IFERROR(__xludf.DUMMYFUNCTION("""COMPUTED_VALUE"""),"")</f>
        <v/>
      </c>
      <c r="Q2305" s="5">
        <f>IFERROR(__xludf.DUMMYFUNCTION("""COMPUTED_VALUE"""),0.005556643518518518)</f>
        <v>0.005556643519</v>
      </c>
      <c r="R2305" s="4">
        <f>IFERROR(__xludf.DUMMYFUNCTION("""COMPUTED_VALUE"""),45949.02778321476)</f>
        <v>45949.02778</v>
      </c>
      <c r="S2305" s="1" t="b">
        <f>IFERROR(__xludf.DUMMYFUNCTION("""COMPUTED_VALUE"""),TRUE)</f>
        <v>1</v>
      </c>
      <c r="T2305" s="1" t="b">
        <f>IFERROR(__xludf.DUMMYFUNCTION("""COMPUTED_VALUE"""),FALSE)</f>
        <v>0</v>
      </c>
      <c r="U2305" s="1" t="str">
        <f>IFERROR(__xludf.DUMMYFUNCTION("""COMPUTED_VALUE"""),"VALID")</f>
        <v>VALID</v>
      </c>
      <c r="V2305" s="1">
        <f>IFERROR(__xludf.DUMMYFUNCTION("""COMPUTED_VALUE"""),278.0)</f>
        <v>278</v>
      </c>
      <c r="W2305" s="1">
        <f>IFERROR(__xludf.DUMMYFUNCTION("""COMPUTED_VALUE"""),421.0)</f>
        <v>421</v>
      </c>
      <c r="X2305" s="1">
        <f>IFERROR(__xludf.DUMMYFUNCTION("""COMPUTED_VALUE"""),365.0)</f>
        <v>365</v>
      </c>
      <c r="Y2305" s="2"/>
      <c r="Z2305" s="2"/>
    </row>
    <row r="2306">
      <c r="A2306" s="1">
        <f>IFERROR(__xludf.DUMMYFUNCTION("""COMPUTED_VALUE"""),2305.0)</f>
        <v>2305</v>
      </c>
      <c r="B2306" s="1">
        <f>IFERROR(__xludf.DUMMYFUNCTION("""COMPUTED_VALUE"""),6047.0)</f>
        <v>6047</v>
      </c>
      <c r="C2306" s="2" t="str">
        <f>IFERROR(__xludf.DUMMYFUNCTION("""COMPUTED_VALUE"""),"Rezki")</f>
        <v>Rezki</v>
      </c>
      <c r="D2306" s="2" t="str">
        <f>IFERROR(__xludf.DUMMYFUNCTION("""COMPUTED_VALUE"""),"5KM OVERALL M")</f>
        <v>5KM OVERALL M</v>
      </c>
      <c r="E2306" s="1">
        <f>IFERROR(__xludf.DUMMYFUNCTION("""COMPUTED_VALUE"""),2.0)</f>
        <v>2</v>
      </c>
      <c r="F2306" s="1" t="str">
        <f>IFERROR(__xludf.DUMMYFUNCTION("""COMPUTED_VALUE"""),"Male")</f>
        <v>Male</v>
      </c>
      <c r="G2306" s="4" t="b">
        <f>IFERROR(__xludf.DUMMYFUNCTION("""COMPUTED_VALUE"""),TRUE)</f>
        <v>1</v>
      </c>
      <c r="H2306" s="4" t="b">
        <f>IFERROR(__xludf.DUMMYFUNCTION("""COMPUTED_VALUE"""),TRUE)</f>
        <v>1</v>
      </c>
      <c r="I2306" s="4">
        <f>IFERROR(__xludf.DUMMYFUNCTION("""COMPUTED_VALUE"""),0.2549440625)</f>
        <v>0.2549440625</v>
      </c>
      <c r="J2306" s="4">
        <f>IFERROR(__xludf.DUMMYFUNCTION("""COMPUTED_VALUE"""),45949.272231561816)</f>
        <v>45949.27223</v>
      </c>
      <c r="K2306" s="4" t="str">
        <f>IFERROR(__xludf.DUMMYFUNCTION("""COMPUTED_VALUE"""),"")</f>
        <v/>
      </c>
      <c r="L2306" s="4">
        <f>IFERROR(__xludf.DUMMYFUNCTION("""COMPUTED_VALUE"""),45949.28193211429)</f>
        <v>45949.28193</v>
      </c>
      <c r="M2306" s="1" t="str">
        <f>IFERROR(__xludf.DUMMYFUNCTION("""COMPUTED_VALUE"""),"RFID")</f>
        <v>RFID</v>
      </c>
      <c r="N2306" s="5">
        <f>IFERROR(__xludf.DUMMYFUNCTION("""COMPUTED_VALUE"""),0.006915)</f>
        <v>0.006915</v>
      </c>
      <c r="O2306" s="5" t="str">
        <f>IFERROR(__xludf.DUMMYFUNCTION("""COMPUTED_VALUE"""),"")</f>
        <v/>
      </c>
      <c r="P2306" s="5" t="str">
        <f>IFERROR(__xludf.DUMMYFUNCTION("""COMPUTED_VALUE"""),"")</f>
        <v/>
      </c>
      <c r="Q2306" s="5">
        <f>IFERROR(__xludf.DUMMYFUNCTION("""COMPUTED_VALUE"""),0.005397611111111112)</f>
        <v>0.005397611111</v>
      </c>
      <c r="R2306" s="4">
        <f>IFERROR(__xludf.DUMMYFUNCTION("""COMPUTED_VALUE"""),45949.02698805179)</f>
        <v>45949.02699</v>
      </c>
      <c r="S2306" s="1" t="b">
        <f>IFERROR(__xludf.DUMMYFUNCTION("""COMPUTED_VALUE"""),TRUE)</f>
        <v>1</v>
      </c>
      <c r="T2306" s="1" t="b">
        <f>IFERROR(__xludf.DUMMYFUNCTION("""COMPUTED_VALUE"""),FALSE)</f>
        <v>0</v>
      </c>
      <c r="U2306" s="1" t="str">
        <f>IFERROR(__xludf.DUMMYFUNCTION("""COMPUTED_VALUE"""),"VALID")</f>
        <v>VALID</v>
      </c>
      <c r="V2306" s="1">
        <f>IFERROR(__xludf.DUMMYFUNCTION("""COMPUTED_VALUE"""),247.0)</f>
        <v>247</v>
      </c>
      <c r="W2306" s="1">
        <f>IFERROR(__xludf.DUMMYFUNCTION("""COMPUTED_VALUE"""),383.0)</f>
        <v>383</v>
      </c>
      <c r="X2306" s="1">
        <f>IFERROR(__xludf.DUMMYFUNCTION("""COMPUTED_VALUE"""),330.0)</f>
        <v>330</v>
      </c>
      <c r="Y2306" s="2"/>
      <c r="Z2306" s="2"/>
    </row>
    <row r="2307">
      <c r="A2307" s="1">
        <f>IFERROR(__xludf.DUMMYFUNCTION("""COMPUTED_VALUE"""),2306.0)</f>
        <v>2306</v>
      </c>
      <c r="B2307" s="1">
        <f>IFERROR(__xludf.DUMMYFUNCTION("""COMPUTED_VALUE"""),6048.0)</f>
        <v>6048</v>
      </c>
      <c r="C2307" s="2" t="str">
        <f>IFERROR(__xludf.DUMMYFUNCTION("""COMPUTED_VALUE"""),"Rizqi")</f>
        <v>Rizqi</v>
      </c>
      <c r="D2307" s="2" t="str">
        <f>IFERROR(__xludf.DUMMYFUNCTION("""COMPUTED_VALUE"""),"5KM OVERALL M")</f>
        <v>5KM OVERALL M</v>
      </c>
      <c r="E2307" s="1">
        <f>IFERROR(__xludf.DUMMYFUNCTION("""COMPUTED_VALUE"""),2.0)</f>
        <v>2</v>
      </c>
      <c r="F2307" s="1" t="str">
        <f>IFERROR(__xludf.DUMMYFUNCTION("""COMPUTED_VALUE"""),"Male")</f>
        <v>Male</v>
      </c>
      <c r="G2307" s="4" t="b">
        <f>IFERROR(__xludf.DUMMYFUNCTION("""COMPUTED_VALUE"""),TRUE)</f>
        <v>1</v>
      </c>
      <c r="H2307" s="4" t="b">
        <f>IFERROR(__xludf.DUMMYFUNCTION("""COMPUTED_VALUE"""),FALSE)</f>
        <v>0</v>
      </c>
      <c r="I2307" s="4">
        <f>IFERROR(__xludf.DUMMYFUNCTION("""COMPUTED_VALUE"""),0.2549440625)</f>
        <v>0.2549440625</v>
      </c>
      <c r="J2307" s="4">
        <f>IFERROR(__xludf.DUMMYFUNCTION("""COMPUTED_VALUE"""),45950.278136574074)</f>
        <v>45950.27814</v>
      </c>
      <c r="K2307" s="4" t="str">
        <f>IFERROR(__xludf.DUMMYFUNCTION("""COMPUTED_VALUE"""),"")</f>
        <v/>
      </c>
      <c r="L2307" s="4">
        <f>IFERROR(__xludf.DUMMYFUNCTION("""COMPUTED_VALUE"""),45949.293598790195)</f>
        <v>45949.2936</v>
      </c>
      <c r="M2307" s="1" t="str">
        <f>IFERROR(__xludf.DUMMYFUNCTION("""COMPUTED_VALUE"""),"RFID")</f>
        <v>RFID</v>
      </c>
      <c r="N2307" s="5">
        <f>IFERROR(__xludf.DUMMYFUNCTION("""COMPUTED_VALUE"""),0.00927700462962963)</f>
        <v>0.00927700463</v>
      </c>
      <c r="O2307" s="5" t="str">
        <f>IFERROR(__xludf.DUMMYFUNCTION("""COMPUTED_VALUE"""),"")</f>
        <v/>
      </c>
      <c r="P2307" s="5" t="str">
        <f>IFERROR(__xludf.DUMMYFUNCTION("""COMPUTED_VALUE"""),"")</f>
        <v/>
      </c>
      <c r="Q2307" s="5">
        <f>IFERROR(__xludf.DUMMYFUNCTION("""COMPUTED_VALUE"""),0.007730944444444445)</f>
        <v>0.007730944444</v>
      </c>
      <c r="R2307" s="4">
        <f>IFERROR(__xludf.DUMMYFUNCTION("""COMPUTED_VALUE"""),45949.038654727694)</f>
        <v>45949.03865</v>
      </c>
      <c r="S2307" s="1" t="b">
        <f>IFERROR(__xludf.DUMMYFUNCTION("""COMPUTED_VALUE"""),TRUE)</f>
        <v>1</v>
      </c>
      <c r="T2307" s="1" t="b">
        <f>IFERROR(__xludf.DUMMYFUNCTION("""COMPUTED_VALUE"""),FALSE)</f>
        <v>0</v>
      </c>
      <c r="U2307" s="1" t="str">
        <f>IFERROR(__xludf.DUMMYFUNCTION("""COMPUTED_VALUE"""),"VALID")</f>
        <v>VALID</v>
      </c>
      <c r="V2307" s="1">
        <f>IFERROR(__xludf.DUMMYFUNCTION("""COMPUTED_VALUE"""),671.0)</f>
        <v>671</v>
      </c>
      <c r="W2307" s="1">
        <f>IFERROR(__xludf.DUMMYFUNCTION("""COMPUTED_VALUE"""),1140.0)</f>
        <v>1140</v>
      </c>
      <c r="X2307" s="1">
        <f>IFERROR(__xludf.DUMMYFUNCTION("""COMPUTED_VALUE"""),907.0)</f>
        <v>907</v>
      </c>
      <c r="Y2307" s="2"/>
      <c r="Z2307" s="2" t="str">
        <f>IFERROR(__xludf.DUMMYFUNCTION("""COMPUTED_VALUE"""),"C")</f>
        <v>C</v>
      </c>
    </row>
    <row r="2308">
      <c r="A2308" s="1">
        <f>IFERROR(__xludf.DUMMYFUNCTION("""COMPUTED_VALUE"""),2307.0)</f>
        <v>2307</v>
      </c>
      <c r="B2308" s="1">
        <f>IFERROR(__xludf.DUMMYFUNCTION("""COMPUTED_VALUE"""),6049.0)</f>
        <v>6049</v>
      </c>
      <c r="C2308" s="2" t="str">
        <f>IFERROR(__xludf.DUMMYFUNCTION("""COMPUTED_VALUE"""),"Rizki")</f>
        <v>Rizki</v>
      </c>
      <c r="D2308" s="2" t="str">
        <f>IFERROR(__xludf.DUMMYFUNCTION("""COMPUTED_VALUE"""),"5KM OVERALL M")</f>
        <v>5KM OVERALL M</v>
      </c>
      <c r="E2308" s="1">
        <f>IFERROR(__xludf.DUMMYFUNCTION("""COMPUTED_VALUE"""),2.0)</f>
        <v>2</v>
      </c>
      <c r="F2308" s="1" t="str">
        <f>IFERROR(__xludf.DUMMYFUNCTION("""COMPUTED_VALUE"""),"Male")</f>
        <v>Male</v>
      </c>
      <c r="G2308" s="4" t="b">
        <f>IFERROR(__xludf.DUMMYFUNCTION("""COMPUTED_VALUE"""),TRUE)</f>
        <v>1</v>
      </c>
      <c r="H2308" s="4" t="b">
        <f>IFERROR(__xludf.DUMMYFUNCTION("""COMPUTED_VALUE"""),TRUE)</f>
        <v>1</v>
      </c>
      <c r="I2308" s="4">
        <f>IFERROR(__xludf.DUMMYFUNCTION("""COMPUTED_VALUE"""),0.2549440625)</f>
        <v>0.2549440625</v>
      </c>
      <c r="J2308" s="4">
        <f>IFERROR(__xludf.DUMMYFUNCTION("""COMPUTED_VALUE"""),45949.27851974431)</f>
        <v>45949.27852</v>
      </c>
      <c r="K2308" s="4" t="str">
        <f>IFERROR(__xludf.DUMMYFUNCTION("""COMPUTED_VALUE"""),"")</f>
        <v/>
      </c>
      <c r="L2308" s="4">
        <f>IFERROR(__xludf.DUMMYFUNCTION("""COMPUTED_VALUE"""),45949.293744563394)</f>
        <v>45949.29374</v>
      </c>
      <c r="M2308" s="1" t="str">
        <f>IFERROR(__xludf.DUMMYFUNCTION("""COMPUTED_VALUE"""),"RFID")</f>
        <v>RFID</v>
      </c>
      <c r="N2308" s="5">
        <f>IFERROR(__xludf.DUMMYFUNCTION("""COMPUTED_VALUE"""),0.009430273148148148)</f>
        <v>0.009430273148</v>
      </c>
      <c r="O2308" s="5" t="str">
        <f>IFERROR(__xludf.DUMMYFUNCTION("""COMPUTED_VALUE"""),"")</f>
        <v/>
      </c>
      <c r="P2308" s="5" t="str">
        <f>IFERROR(__xludf.DUMMYFUNCTION("""COMPUTED_VALUE"""),"")</f>
        <v/>
      </c>
      <c r="Q2308" s="5">
        <f>IFERROR(__xludf.DUMMYFUNCTION("""COMPUTED_VALUE"""),0.007760099537037037)</f>
        <v>0.007760099537</v>
      </c>
      <c r="R2308" s="4">
        <f>IFERROR(__xludf.DUMMYFUNCTION("""COMPUTED_VALUE"""),45949.03880050089)</f>
        <v>45949.0388</v>
      </c>
      <c r="S2308" s="1" t="b">
        <f>IFERROR(__xludf.DUMMYFUNCTION("""COMPUTED_VALUE"""),TRUE)</f>
        <v>1</v>
      </c>
      <c r="T2308" s="1" t="b">
        <f>IFERROR(__xludf.DUMMYFUNCTION("""COMPUTED_VALUE"""),FALSE)</f>
        <v>0</v>
      </c>
      <c r="U2308" s="1" t="str">
        <f>IFERROR(__xludf.DUMMYFUNCTION("""COMPUTED_VALUE"""),"VALID")</f>
        <v>VALID</v>
      </c>
      <c r="V2308" s="1">
        <f>IFERROR(__xludf.DUMMYFUNCTION("""COMPUTED_VALUE"""),676.0)</f>
        <v>676</v>
      </c>
      <c r="W2308" s="1">
        <f>IFERROR(__xludf.DUMMYFUNCTION("""COMPUTED_VALUE"""),1154.0)</f>
        <v>1154</v>
      </c>
      <c r="X2308" s="1">
        <f>IFERROR(__xludf.DUMMYFUNCTION("""COMPUTED_VALUE"""),915.0)</f>
        <v>915</v>
      </c>
      <c r="Y2308" s="2"/>
      <c r="Z2308" s="2"/>
    </row>
    <row r="2309">
      <c r="A2309" s="1">
        <f>IFERROR(__xludf.DUMMYFUNCTION("""COMPUTED_VALUE"""),2308.0)</f>
        <v>2308</v>
      </c>
      <c r="B2309" s="1">
        <f>IFERROR(__xludf.DUMMYFUNCTION("""COMPUTED_VALUE"""),6054.0)</f>
        <v>6054</v>
      </c>
      <c r="C2309" s="2" t="str">
        <f>IFERROR(__xludf.DUMMYFUNCTION("""COMPUTED_VALUE"""),"ayes")</f>
        <v>ayes</v>
      </c>
      <c r="D2309" s="2" t="str">
        <f>IFERROR(__xludf.DUMMYFUNCTION("""COMPUTED_VALUE"""),"5KM OVERALL M")</f>
        <v>5KM OVERALL M</v>
      </c>
      <c r="E2309" s="1">
        <f>IFERROR(__xludf.DUMMYFUNCTION("""COMPUTED_VALUE"""),2.0)</f>
        <v>2</v>
      </c>
      <c r="F2309" s="1" t="str">
        <f>IFERROR(__xludf.DUMMYFUNCTION("""COMPUTED_VALUE"""),"Male")</f>
        <v>Male</v>
      </c>
      <c r="G2309" s="4" t="b">
        <f>IFERROR(__xludf.DUMMYFUNCTION("""COMPUTED_VALUE"""),TRUE)</f>
        <v>1</v>
      </c>
      <c r="H2309" s="4" t="b">
        <f>IFERROR(__xludf.DUMMYFUNCTION("""COMPUTED_VALUE"""),FALSE)</f>
        <v>0</v>
      </c>
      <c r="I2309" s="4">
        <f>IFERROR(__xludf.DUMMYFUNCTION("""COMPUTED_VALUE"""),0.2549440625)</f>
        <v>0.2549440625</v>
      </c>
      <c r="J2309" s="4">
        <f>IFERROR(__xludf.DUMMYFUNCTION("""COMPUTED_VALUE"""),45949.26683229984)</f>
        <v>45949.26683</v>
      </c>
      <c r="K2309" s="4" t="str">
        <f>IFERROR(__xludf.DUMMYFUNCTION("""COMPUTED_VALUE"""),"")</f>
        <v/>
      </c>
      <c r="L2309" s="4">
        <f>IFERROR(__xludf.DUMMYFUNCTION("""COMPUTED_VALUE"""),45949.27787655714)</f>
        <v>45949.27788</v>
      </c>
      <c r="M2309" s="1" t="str">
        <f>IFERROR(__xludf.DUMMYFUNCTION("""COMPUTED_VALUE"""),"RFID")</f>
        <v>RFID</v>
      </c>
      <c r="N2309" s="5">
        <f>IFERROR(__xludf.DUMMYFUNCTION("""COMPUTED_VALUE"""),0.0047552962962962965)</f>
        <v>0.004755296296</v>
      </c>
      <c r="O2309" s="5" t="str">
        <f>IFERROR(__xludf.DUMMYFUNCTION("""COMPUTED_VALUE"""),"")</f>
        <v/>
      </c>
      <c r="P2309" s="5" t="str">
        <f>IFERROR(__xludf.DUMMYFUNCTION("""COMPUTED_VALUE"""),"")</f>
        <v/>
      </c>
      <c r="Q2309" s="5">
        <f>IFERROR(__xludf.DUMMYFUNCTION("""COMPUTED_VALUE"""),0.004586499999999999)</f>
        <v>0.0045865</v>
      </c>
      <c r="R2309" s="4">
        <f>IFERROR(__xludf.DUMMYFUNCTION("""COMPUTED_VALUE"""),45949.02293249464)</f>
        <v>45949.02293</v>
      </c>
      <c r="S2309" s="1" t="b">
        <f>IFERROR(__xludf.DUMMYFUNCTION("""COMPUTED_VALUE"""),TRUE)</f>
        <v>1</v>
      </c>
      <c r="T2309" s="1" t="b">
        <f>IFERROR(__xludf.DUMMYFUNCTION("""COMPUTED_VALUE"""),FALSE)</f>
        <v>0</v>
      </c>
      <c r="U2309" s="1" t="str">
        <f>IFERROR(__xludf.DUMMYFUNCTION("""COMPUTED_VALUE"""),"VALID")</f>
        <v>VALID</v>
      </c>
      <c r="V2309" s="1">
        <f>IFERROR(__xludf.DUMMYFUNCTION("""COMPUTED_VALUE"""),133.0)</f>
        <v>133</v>
      </c>
      <c r="W2309" s="1">
        <f>IFERROR(__xludf.DUMMYFUNCTION("""COMPUTED_VALUE"""),205.0)</f>
        <v>205</v>
      </c>
      <c r="X2309" s="1">
        <f>IFERROR(__xludf.DUMMYFUNCTION("""COMPUTED_VALUE"""),179.0)</f>
        <v>179</v>
      </c>
      <c r="Y2309" s="2"/>
      <c r="Z2309" s="2"/>
    </row>
    <row r="2310">
      <c r="A2310" s="1">
        <f>IFERROR(__xludf.DUMMYFUNCTION("""COMPUTED_VALUE"""),2309.0)</f>
        <v>2309</v>
      </c>
      <c r="B2310" s="1">
        <f>IFERROR(__xludf.DUMMYFUNCTION("""COMPUTED_VALUE"""),6055.0)</f>
        <v>6055</v>
      </c>
      <c r="C2310" s="2" t="str">
        <f>IFERROR(__xludf.DUMMYFUNCTION("""COMPUTED_VALUE"""),"ELLO CK")</f>
        <v>ELLO CK</v>
      </c>
      <c r="D2310" s="2" t="str">
        <f>IFERROR(__xludf.DUMMYFUNCTION("""COMPUTED_VALUE"""),"5KM OVERALL M")</f>
        <v>5KM OVERALL M</v>
      </c>
      <c r="E2310" s="1">
        <f>IFERROR(__xludf.DUMMYFUNCTION("""COMPUTED_VALUE"""),2.0)</f>
        <v>2</v>
      </c>
      <c r="F2310" s="1" t="str">
        <f>IFERROR(__xludf.DUMMYFUNCTION("""COMPUTED_VALUE"""),"Male")</f>
        <v>Male</v>
      </c>
      <c r="G2310" s="4" t="b">
        <f>IFERROR(__xludf.DUMMYFUNCTION("""COMPUTED_VALUE"""),TRUE)</f>
        <v>1</v>
      </c>
      <c r="H2310" s="4" t="b">
        <f>IFERROR(__xludf.DUMMYFUNCTION("""COMPUTED_VALUE"""),FALSE)</f>
        <v>0</v>
      </c>
      <c r="I2310" s="4">
        <f>IFERROR(__xludf.DUMMYFUNCTION("""COMPUTED_VALUE"""),0.2549440625)</f>
        <v>0.2549440625</v>
      </c>
      <c r="J2310" s="4">
        <f>IFERROR(__xludf.DUMMYFUNCTION("""COMPUTED_VALUE"""),45949.277575301094)</f>
        <v>45949.27758</v>
      </c>
      <c r="K2310" s="4" t="str">
        <f>IFERROR(__xludf.DUMMYFUNCTION("""COMPUTED_VALUE"""),"")</f>
        <v/>
      </c>
      <c r="L2310" s="4">
        <f>IFERROR(__xludf.DUMMYFUNCTION("""COMPUTED_VALUE"""),45949.293477270076)</f>
        <v>45949.29348</v>
      </c>
      <c r="M2310" s="1" t="str">
        <f>IFERROR(__xludf.DUMMYFUNCTION("""COMPUTED_VALUE"""),"RFID")</f>
        <v>RFID</v>
      </c>
      <c r="N2310" s="5">
        <f>IFERROR(__xludf.DUMMYFUNCTION("""COMPUTED_VALUE"""),0.00905249537037037)</f>
        <v>0.00905249537</v>
      </c>
      <c r="O2310" s="5" t="str">
        <f>IFERROR(__xludf.DUMMYFUNCTION("""COMPUTED_VALUE"""),"")</f>
        <v/>
      </c>
      <c r="P2310" s="5" t="str">
        <f>IFERROR(__xludf.DUMMYFUNCTION("""COMPUTED_VALUE"""),"")</f>
        <v/>
      </c>
      <c r="Q2310" s="5">
        <f>IFERROR(__xludf.DUMMYFUNCTION("""COMPUTED_VALUE"""),0.0077066412037037025)</f>
        <v>0.007706641204</v>
      </c>
      <c r="R2310" s="4">
        <f>IFERROR(__xludf.DUMMYFUNCTION("""COMPUTED_VALUE"""),45949.038533207575)</f>
        <v>45949.03853</v>
      </c>
      <c r="S2310" s="1" t="b">
        <f>IFERROR(__xludf.DUMMYFUNCTION("""COMPUTED_VALUE"""),TRUE)</f>
        <v>1</v>
      </c>
      <c r="T2310" s="1" t="b">
        <f>IFERROR(__xludf.DUMMYFUNCTION("""COMPUTED_VALUE"""),FALSE)</f>
        <v>0</v>
      </c>
      <c r="U2310" s="1" t="str">
        <f>IFERROR(__xludf.DUMMYFUNCTION("""COMPUTED_VALUE"""),"VALID")</f>
        <v>VALID</v>
      </c>
      <c r="V2310" s="1">
        <f>IFERROR(__xludf.DUMMYFUNCTION("""COMPUTED_VALUE"""),669.0)</f>
        <v>669</v>
      </c>
      <c r="W2310" s="1">
        <f>IFERROR(__xludf.DUMMYFUNCTION("""COMPUTED_VALUE"""),1136.0)</f>
        <v>1136</v>
      </c>
      <c r="X2310" s="1">
        <f>IFERROR(__xludf.DUMMYFUNCTION("""COMPUTED_VALUE"""),904.0)</f>
        <v>904</v>
      </c>
      <c r="Y2310" s="2"/>
      <c r="Z2310" s="2"/>
    </row>
    <row r="2311">
      <c r="A2311" s="1">
        <f>IFERROR(__xludf.DUMMYFUNCTION("""COMPUTED_VALUE"""),2310.0)</f>
        <v>2310</v>
      </c>
      <c r="B2311" s="1">
        <f>IFERROR(__xludf.DUMMYFUNCTION("""COMPUTED_VALUE"""),6057.0)</f>
        <v>6057</v>
      </c>
      <c r="C2311" s="2" t="str">
        <f>IFERROR(__xludf.DUMMYFUNCTION("""COMPUTED_VALUE"""),"syah abdi")</f>
        <v>syah abdi</v>
      </c>
      <c r="D2311" s="2" t="str">
        <f>IFERROR(__xludf.DUMMYFUNCTION("""COMPUTED_VALUE"""),"5KM OVERALL M")</f>
        <v>5KM OVERALL M</v>
      </c>
      <c r="E2311" s="1">
        <f>IFERROR(__xludf.DUMMYFUNCTION("""COMPUTED_VALUE"""),2.0)</f>
        <v>2</v>
      </c>
      <c r="F2311" s="1" t="str">
        <f>IFERROR(__xludf.DUMMYFUNCTION("""COMPUTED_VALUE"""),"Male")</f>
        <v>Male</v>
      </c>
      <c r="G2311" s="4" t="b">
        <f>IFERROR(__xludf.DUMMYFUNCTION("""COMPUTED_VALUE"""),TRUE)</f>
        <v>1</v>
      </c>
      <c r="H2311" s="4" t="b">
        <f>IFERROR(__xludf.DUMMYFUNCTION("""COMPUTED_VALUE"""),FALSE)</f>
        <v>0</v>
      </c>
      <c r="I2311" s="4">
        <f>IFERROR(__xludf.DUMMYFUNCTION("""COMPUTED_VALUE"""),0.2549440625)</f>
        <v>0.2549440625</v>
      </c>
      <c r="J2311" s="4">
        <f>IFERROR(__xludf.DUMMYFUNCTION("""COMPUTED_VALUE"""),45949.28050939973)</f>
        <v>45949.28051</v>
      </c>
      <c r="K2311" s="4" t="str">
        <f>IFERROR(__xludf.DUMMYFUNCTION("""COMPUTED_VALUE"""),"")</f>
        <v/>
      </c>
      <c r="L2311" s="4">
        <f>IFERROR(__xludf.DUMMYFUNCTION("""COMPUTED_VALUE"""),45949.29893902393)</f>
        <v>45949.29894</v>
      </c>
      <c r="M2311" s="1" t="str">
        <f>IFERROR(__xludf.DUMMYFUNCTION("""COMPUTED_VALUE"""),"RFID")</f>
        <v>RFID</v>
      </c>
      <c r="N2311" s="5">
        <f>IFERROR(__xludf.DUMMYFUNCTION("""COMPUTED_VALUE"""),0.010226134259259258)</f>
        <v>0.01022613426</v>
      </c>
      <c r="O2311" s="5" t="str">
        <f>IFERROR(__xludf.DUMMYFUNCTION("""COMPUTED_VALUE"""),"")</f>
        <v/>
      </c>
      <c r="P2311" s="5" t="str">
        <f>IFERROR(__xludf.DUMMYFUNCTION("""COMPUTED_VALUE"""),"")</f>
        <v/>
      </c>
      <c r="Q2311" s="5">
        <f>IFERROR(__xludf.DUMMYFUNCTION("""COMPUTED_VALUE"""),0.008798993055555555)</f>
        <v>0.008798993056</v>
      </c>
      <c r="R2311" s="4">
        <f>IFERROR(__xludf.DUMMYFUNCTION("""COMPUTED_VALUE"""),45949.04399496143)</f>
        <v>45949.04399</v>
      </c>
      <c r="S2311" s="1" t="b">
        <f>IFERROR(__xludf.DUMMYFUNCTION("""COMPUTED_VALUE"""),TRUE)</f>
        <v>1</v>
      </c>
      <c r="T2311" s="1" t="b">
        <f>IFERROR(__xludf.DUMMYFUNCTION("""COMPUTED_VALUE"""),FALSE)</f>
        <v>0</v>
      </c>
      <c r="U2311" s="1" t="str">
        <f>IFERROR(__xludf.DUMMYFUNCTION("""COMPUTED_VALUE"""),"VALID")</f>
        <v>VALID</v>
      </c>
      <c r="V2311" s="1">
        <f>IFERROR(__xludf.DUMMYFUNCTION("""COMPUTED_VALUE"""),779.0)</f>
        <v>779</v>
      </c>
      <c r="W2311" s="1">
        <f>IFERROR(__xludf.DUMMYFUNCTION("""COMPUTED_VALUE"""),1409.0)</f>
        <v>1409</v>
      </c>
      <c r="X2311" s="1">
        <f>IFERROR(__xludf.DUMMYFUNCTION("""COMPUTED_VALUE"""),1150.0)</f>
        <v>1150</v>
      </c>
      <c r="Y2311" s="2"/>
      <c r="Z2311" s="2"/>
    </row>
    <row r="2312">
      <c r="A2312" s="1">
        <f>IFERROR(__xludf.DUMMYFUNCTION("""COMPUTED_VALUE"""),2311.0)</f>
        <v>2311</v>
      </c>
      <c r="B2312" s="1">
        <f>IFERROR(__xludf.DUMMYFUNCTION("""COMPUTED_VALUE"""),6058.0)</f>
        <v>6058</v>
      </c>
      <c r="C2312" s="2" t="str">
        <f>IFERROR(__xludf.DUMMYFUNCTION("""COMPUTED_VALUE"""),"SUMANTO")</f>
        <v>SUMANTO</v>
      </c>
      <c r="D2312" s="2" t="str">
        <f>IFERROR(__xludf.DUMMYFUNCTION("""COMPUTED_VALUE"""),"5KM OVERALL M")</f>
        <v>5KM OVERALL M</v>
      </c>
      <c r="E2312" s="1">
        <f>IFERROR(__xludf.DUMMYFUNCTION("""COMPUTED_VALUE"""),2.0)</f>
        <v>2</v>
      </c>
      <c r="F2312" s="1" t="str">
        <f>IFERROR(__xludf.DUMMYFUNCTION("""COMPUTED_VALUE"""),"Male")</f>
        <v>Male</v>
      </c>
      <c r="G2312" s="4" t="str">
        <f>IFERROR(__xludf.DUMMYFUNCTION("""COMPUTED_VALUE"""),"")</f>
        <v/>
      </c>
      <c r="H2312" s="4" t="b">
        <f>IFERROR(__xludf.DUMMYFUNCTION("""COMPUTED_VALUE"""),FALSE)</f>
        <v>0</v>
      </c>
      <c r="I2312" s="4">
        <f>IFERROR(__xludf.DUMMYFUNCTION("""COMPUTED_VALUE"""),0.2549440625)</f>
        <v>0.2549440625</v>
      </c>
      <c r="J2312" s="4" t="str">
        <f>IFERROR(__xludf.DUMMYFUNCTION("""COMPUTED_VALUE"""),"")</f>
        <v/>
      </c>
      <c r="K2312" s="4" t="str">
        <f>IFERROR(__xludf.DUMMYFUNCTION("""COMPUTED_VALUE"""),"")</f>
        <v/>
      </c>
      <c r="L2312" s="4" t="str">
        <f>IFERROR(__xludf.DUMMYFUNCTION("""COMPUTED_VALUE"""),"")</f>
        <v/>
      </c>
      <c r="M2312" s="1" t="str">
        <f>IFERROR(__xludf.DUMMYFUNCTION("""COMPUTED_VALUE"""),"RFID")</f>
        <v>RFID</v>
      </c>
      <c r="N2312" s="5" t="str">
        <f>IFERROR(__xludf.DUMMYFUNCTION("""COMPUTED_VALUE"""),"")</f>
        <v/>
      </c>
      <c r="O2312" s="5" t="str">
        <f>IFERROR(__xludf.DUMMYFUNCTION("""COMPUTED_VALUE"""),"")</f>
        <v/>
      </c>
      <c r="P2312" s="5" t="str">
        <f>IFERROR(__xludf.DUMMYFUNCTION("""COMPUTED_VALUE"""),"")</f>
        <v/>
      </c>
      <c r="Q2312" s="5" t="str">
        <f>IFERROR(__xludf.DUMMYFUNCTION("""COMPUTED_VALUE"""),"")</f>
        <v/>
      </c>
      <c r="R2312" s="4" t="str">
        <f>IFERROR(__xludf.DUMMYFUNCTION("""COMPUTED_VALUE"""),"")</f>
        <v/>
      </c>
      <c r="S2312" s="1" t="b">
        <f>IFERROR(__xludf.DUMMYFUNCTION("""COMPUTED_VALUE"""),FALSE)</f>
        <v>0</v>
      </c>
      <c r="T2312" s="1" t="b">
        <f>IFERROR(__xludf.DUMMYFUNCTION("""COMPUTED_VALUE"""),FALSE)</f>
        <v>0</v>
      </c>
      <c r="U2312" s="1" t="str">
        <f>IFERROR(__xludf.DUMMYFUNCTION("""COMPUTED_VALUE"""),"DSQ")</f>
        <v>DSQ</v>
      </c>
      <c r="V2312" s="1" t="str">
        <f>IFERROR(__xludf.DUMMYFUNCTION("""COMPUTED_VALUE"""),"DSQ")</f>
        <v>DSQ</v>
      </c>
      <c r="W2312" s="1" t="str">
        <f>IFERROR(__xludf.DUMMYFUNCTION("""COMPUTED_VALUE"""),"DSQ")</f>
        <v>DSQ</v>
      </c>
      <c r="X2312" s="1" t="str">
        <f>IFERROR(__xludf.DUMMYFUNCTION("""COMPUTED_VALUE"""),"DSQ")</f>
        <v>DSQ</v>
      </c>
      <c r="Y2312" s="2"/>
      <c r="Z2312" s="2" t="str">
        <f>IFERROR(__xludf.DUMMYFUNCTION("""COMPUTED_VALUE"""),"")</f>
        <v/>
      </c>
    </row>
    <row r="2313">
      <c r="A2313" s="1">
        <f>IFERROR(__xludf.DUMMYFUNCTION("""COMPUTED_VALUE"""),2312.0)</f>
        <v>2312</v>
      </c>
      <c r="B2313" s="1">
        <f>IFERROR(__xludf.DUMMYFUNCTION("""COMPUTED_VALUE"""),6060.0)</f>
        <v>6060</v>
      </c>
      <c r="C2313" s="2" t="str">
        <f>IFERROR(__xludf.DUMMYFUNCTION("""COMPUTED_VALUE"""),"herukun")</f>
        <v>herukun</v>
      </c>
      <c r="D2313" s="2" t="str">
        <f>IFERROR(__xludf.DUMMYFUNCTION("""COMPUTED_VALUE"""),"5KM OVERALL M")</f>
        <v>5KM OVERALL M</v>
      </c>
      <c r="E2313" s="1">
        <f>IFERROR(__xludf.DUMMYFUNCTION("""COMPUTED_VALUE"""),2.0)</f>
        <v>2</v>
      </c>
      <c r="F2313" s="1" t="str">
        <f>IFERROR(__xludf.DUMMYFUNCTION("""COMPUTED_VALUE"""),"Male")</f>
        <v>Male</v>
      </c>
      <c r="G2313" s="4" t="b">
        <f>IFERROR(__xludf.DUMMYFUNCTION("""COMPUTED_VALUE"""),TRUE)</f>
        <v>1</v>
      </c>
      <c r="H2313" s="4" t="b">
        <f>IFERROR(__xludf.DUMMYFUNCTION("""COMPUTED_VALUE"""),FALSE)</f>
        <v>0</v>
      </c>
      <c r="I2313" s="4">
        <f>IFERROR(__xludf.DUMMYFUNCTION("""COMPUTED_VALUE"""),0.2549440625)</f>
        <v>0.2549440625</v>
      </c>
      <c r="J2313" s="4">
        <f>IFERROR(__xludf.DUMMYFUNCTION("""COMPUTED_VALUE"""),45949.27344690486)</f>
        <v>45949.27345</v>
      </c>
      <c r="K2313" s="4" t="str">
        <f>IFERROR(__xludf.DUMMYFUNCTION("""COMPUTED_VALUE"""),"")</f>
        <v/>
      </c>
      <c r="L2313" s="4">
        <f>IFERROR(__xludf.DUMMYFUNCTION("""COMPUTED_VALUE"""),45949.28661962978)</f>
        <v>45949.28662</v>
      </c>
      <c r="M2313" s="1" t="str">
        <f>IFERROR(__xludf.DUMMYFUNCTION("""COMPUTED_VALUE"""),"RFID")</f>
        <v>RFID</v>
      </c>
      <c r="N2313" s="5">
        <f>IFERROR(__xludf.DUMMYFUNCTION("""COMPUTED_VALUE"""),0.007401138888888889)</f>
        <v>0.007401138889</v>
      </c>
      <c r="O2313" s="5" t="str">
        <f>IFERROR(__xludf.DUMMYFUNCTION("""COMPUTED_VALUE"""),"")</f>
        <v/>
      </c>
      <c r="P2313" s="5" t="str">
        <f>IFERROR(__xludf.DUMMYFUNCTION("""COMPUTED_VALUE"""),"")</f>
        <v/>
      </c>
      <c r="Q2313" s="5">
        <f>IFERROR(__xludf.DUMMYFUNCTION("""COMPUTED_VALUE"""),0.0063351134259259255)</f>
        <v>0.006335113426</v>
      </c>
      <c r="R2313" s="4">
        <f>IFERROR(__xludf.DUMMYFUNCTION("""COMPUTED_VALUE"""),45949.031675567276)</f>
        <v>45949.03168</v>
      </c>
      <c r="S2313" s="1" t="b">
        <f>IFERROR(__xludf.DUMMYFUNCTION("""COMPUTED_VALUE"""),TRUE)</f>
        <v>1</v>
      </c>
      <c r="T2313" s="1" t="b">
        <f>IFERROR(__xludf.DUMMYFUNCTION("""COMPUTED_VALUE"""),FALSE)</f>
        <v>0</v>
      </c>
      <c r="U2313" s="1" t="str">
        <f>IFERROR(__xludf.DUMMYFUNCTION("""COMPUTED_VALUE"""),"VALID")</f>
        <v>VALID</v>
      </c>
      <c r="V2313" s="1">
        <f>IFERROR(__xludf.DUMMYFUNCTION("""COMPUTED_VALUE"""),439.0)</f>
        <v>439</v>
      </c>
      <c r="W2313" s="1">
        <f>IFERROR(__xludf.DUMMYFUNCTION("""COMPUTED_VALUE"""),678.0)</f>
        <v>678</v>
      </c>
      <c r="X2313" s="1">
        <f>IFERROR(__xludf.DUMMYFUNCTION("""COMPUTED_VALUE"""),566.0)</f>
        <v>566</v>
      </c>
      <c r="Y2313" s="2"/>
      <c r="Z2313" s="2"/>
    </row>
    <row r="2314">
      <c r="A2314" s="1">
        <f>IFERROR(__xludf.DUMMYFUNCTION("""COMPUTED_VALUE"""),2313.0)</f>
        <v>2313</v>
      </c>
      <c r="B2314" s="1">
        <f>IFERROR(__xludf.DUMMYFUNCTION("""COMPUTED_VALUE"""),6063.0)</f>
        <v>6063</v>
      </c>
      <c r="C2314" s="2" t="str">
        <f>IFERROR(__xludf.DUMMYFUNCTION("""COMPUTED_VALUE"""),"malfii.nn")</f>
        <v>malfii.nn</v>
      </c>
      <c r="D2314" s="2" t="str">
        <f>IFERROR(__xludf.DUMMYFUNCTION("""COMPUTED_VALUE"""),"5KM OVERALL M")</f>
        <v>5KM OVERALL M</v>
      </c>
      <c r="E2314" s="1">
        <f>IFERROR(__xludf.DUMMYFUNCTION("""COMPUTED_VALUE"""),2.0)</f>
        <v>2</v>
      </c>
      <c r="F2314" s="1" t="str">
        <f>IFERROR(__xludf.DUMMYFUNCTION("""COMPUTED_VALUE"""),"Male")</f>
        <v>Male</v>
      </c>
      <c r="G2314" s="4" t="b">
        <f>IFERROR(__xludf.DUMMYFUNCTION("""COMPUTED_VALUE"""),TRUE)</f>
        <v>1</v>
      </c>
      <c r="H2314" s="4" t="b">
        <f>IFERROR(__xludf.DUMMYFUNCTION("""COMPUTED_VALUE"""),FALSE)</f>
        <v>0</v>
      </c>
      <c r="I2314" s="4">
        <f>IFERROR(__xludf.DUMMYFUNCTION("""COMPUTED_VALUE"""),0.2549440625)</f>
        <v>0.2549440625</v>
      </c>
      <c r="J2314" s="4">
        <f>IFERROR(__xludf.DUMMYFUNCTION("""COMPUTED_VALUE"""),45949.272673500236)</f>
        <v>45949.27267</v>
      </c>
      <c r="K2314" s="4" t="str">
        <f>IFERROR(__xludf.DUMMYFUNCTION("""COMPUTED_VALUE"""),"")</f>
        <v/>
      </c>
      <c r="L2314" s="4">
        <f>IFERROR(__xludf.DUMMYFUNCTION("""COMPUTED_VALUE"""),45949.28481754641)</f>
        <v>45949.28482</v>
      </c>
      <c r="M2314" s="1" t="str">
        <f>IFERROR(__xludf.DUMMYFUNCTION("""COMPUTED_VALUE"""),"RFID")</f>
        <v>RFID</v>
      </c>
      <c r="N2314" s="5">
        <f>IFERROR(__xludf.DUMMYFUNCTION("""COMPUTED_VALUE"""),0.007091773148148149)</f>
        <v>0.007091773148</v>
      </c>
      <c r="O2314" s="5" t="str">
        <f>IFERROR(__xludf.DUMMYFUNCTION("""COMPUTED_VALUE"""),"")</f>
        <v/>
      </c>
      <c r="P2314" s="5" t="str">
        <f>IFERROR(__xludf.DUMMYFUNCTION("""COMPUTED_VALUE"""),"")</f>
        <v/>
      </c>
      <c r="Q2314" s="5">
        <f>IFERROR(__xludf.DUMMYFUNCTION("""COMPUTED_VALUE"""),0.0059746967592592595)</f>
        <v>0.005974696759</v>
      </c>
      <c r="R2314" s="4">
        <f>IFERROR(__xludf.DUMMYFUNCTION("""COMPUTED_VALUE"""),45949.02987348391)</f>
        <v>45949.02987</v>
      </c>
      <c r="S2314" s="1" t="b">
        <f>IFERROR(__xludf.DUMMYFUNCTION("""COMPUTED_VALUE"""),TRUE)</f>
        <v>1</v>
      </c>
      <c r="T2314" s="1" t="b">
        <f>IFERROR(__xludf.DUMMYFUNCTION("""COMPUTED_VALUE"""),FALSE)</f>
        <v>0</v>
      </c>
      <c r="U2314" s="1" t="str">
        <f>IFERROR(__xludf.DUMMYFUNCTION("""COMPUTED_VALUE"""),"VALID")</f>
        <v>VALID</v>
      </c>
      <c r="V2314" s="1">
        <f>IFERROR(__xludf.DUMMYFUNCTION("""COMPUTED_VALUE"""),375.0)</f>
        <v>375</v>
      </c>
      <c r="W2314" s="1">
        <f>IFERROR(__xludf.DUMMYFUNCTION("""COMPUTED_VALUE"""),564.0)</f>
        <v>564</v>
      </c>
      <c r="X2314" s="1">
        <f>IFERROR(__xludf.DUMMYFUNCTION("""COMPUTED_VALUE"""),481.0)</f>
        <v>481</v>
      </c>
      <c r="Y2314" s="2"/>
      <c r="Z2314" s="2"/>
    </row>
    <row r="2315">
      <c r="A2315" s="1">
        <f>IFERROR(__xludf.DUMMYFUNCTION("""COMPUTED_VALUE"""),2314.0)</f>
        <v>2314</v>
      </c>
      <c r="B2315" s="1">
        <f>IFERROR(__xludf.DUMMYFUNCTION("""COMPUTED_VALUE"""),6064.0)</f>
        <v>6064</v>
      </c>
      <c r="C2315" s="2" t="str">
        <f>IFERROR(__xludf.DUMMYFUNCTION("""COMPUTED_VALUE"""),"MIKA")</f>
        <v>MIKA</v>
      </c>
      <c r="D2315" s="2" t="str">
        <f>IFERROR(__xludf.DUMMYFUNCTION("""COMPUTED_VALUE"""),"5KM OVERALL M")</f>
        <v>5KM OVERALL M</v>
      </c>
      <c r="E2315" s="1">
        <f>IFERROR(__xludf.DUMMYFUNCTION("""COMPUTED_VALUE"""),2.0)</f>
        <v>2</v>
      </c>
      <c r="F2315" s="1" t="str">
        <f>IFERROR(__xludf.DUMMYFUNCTION("""COMPUTED_VALUE"""),"Male")</f>
        <v>Male</v>
      </c>
      <c r="G2315" s="4" t="b">
        <f>IFERROR(__xludf.DUMMYFUNCTION("""COMPUTED_VALUE"""),TRUE)</f>
        <v>1</v>
      </c>
      <c r="H2315" s="4" t="b">
        <f>IFERROR(__xludf.DUMMYFUNCTION("""COMPUTED_VALUE"""),TRUE)</f>
        <v>1</v>
      </c>
      <c r="I2315" s="4">
        <f>IFERROR(__xludf.DUMMYFUNCTION("""COMPUTED_VALUE"""),0.2549440625)</f>
        <v>0.2549440625</v>
      </c>
      <c r="J2315" s="4">
        <f>IFERROR(__xludf.DUMMYFUNCTION("""COMPUTED_VALUE"""),45949.26568993249)</f>
        <v>45949.26569</v>
      </c>
      <c r="K2315" s="4" t="str">
        <f>IFERROR(__xludf.DUMMYFUNCTION("""COMPUTED_VALUE"""),"")</f>
        <v/>
      </c>
      <c r="L2315" s="4">
        <f>IFERROR(__xludf.DUMMYFUNCTION("""COMPUTED_VALUE"""),45949.27405445801)</f>
        <v>45949.27405</v>
      </c>
      <c r="M2315" s="1" t="str">
        <f>IFERROR(__xludf.DUMMYFUNCTION("""COMPUTED_VALUE"""),"RFID")</f>
        <v>RFID</v>
      </c>
      <c r="N2315" s="5">
        <f>IFERROR(__xludf.DUMMYFUNCTION("""COMPUTED_VALUE"""),0.0042983472222222225)</f>
        <v>0.004298347222</v>
      </c>
      <c r="O2315" s="5" t="str">
        <f>IFERROR(__xludf.DUMMYFUNCTION("""COMPUTED_VALUE"""),"")</f>
        <v/>
      </c>
      <c r="P2315" s="5" t="str">
        <f>IFERROR(__xludf.DUMMYFUNCTION("""COMPUTED_VALUE"""),"")</f>
        <v/>
      </c>
      <c r="Q2315" s="5">
        <f>IFERROR(__xludf.DUMMYFUNCTION("""COMPUTED_VALUE"""),0.0038220787037037034)</f>
        <v>0.003822078704</v>
      </c>
      <c r="R2315" s="4">
        <f>IFERROR(__xludf.DUMMYFUNCTION("""COMPUTED_VALUE"""),45949.01911039551)</f>
        <v>45949.01911</v>
      </c>
      <c r="S2315" s="1" t="b">
        <f>IFERROR(__xludf.DUMMYFUNCTION("""COMPUTED_VALUE"""),TRUE)</f>
        <v>1</v>
      </c>
      <c r="T2315" s="1" t="b">
        <f>IFERROR(__xludf.DUMMYFUNCTION("""COMPUTED_VALUE"""),FALSE)</f>
        <v>0</v>
      </c>
      <c r="U2315" s="1" t="str">
        <f>IFERROR(__xludf.DUMMYFUNCTION("""COMPUTED_VALUE"""),"VALID")</f>
        <v>VALID</v>
      </c>
      <c r="V2315" s="1">
        <f>IFERROR(__xludf.DUMMYFUNCTION("""COMPUTED_VALUE"""),60.0)</f>
        <v>60</v>
      </c>
      <c r="W2315" s="1">
        <f>IFERROR(__xludf.DUMMYFUNCTION("""COMPUTED_VALUE"""),89.0)</f>
        <v>89</v>
      </c>
      <c r="X2315" s="1">
        <f>IFERROR(__xludf.DUMMYFUNCTION("""COMPUTED_VALUE"""),80.0)</f>
        <v>80</v>
      </c>
      <c r="Y2315" s="2"/>
      <c r="Z2315" s="2"/>
    </row>
    <row r="2316">
      <c r="A2316" s="1">
        <f>IFERROR(__xludf.DUMMYFUNCTION("""COMPUTED_VALUE"""),2315.0)</f>
        <v>2315</v>
      </c>
      <c r="B2316" s="1">
        <f>IFERROR(__xludf.DUMMYFUNCTION("""COMPUTED_VALUE"""),6065.0)</f>
        <v>6065</v>
      </c>
      <c r="C2316" s="2" t="str">
        <f>IFERROR(__xludf.DUMMYFUNCTION("""COMPUTED_VALUE"""),"inas")</f>
        <v>inas</v>
      </c>
      <c r="D2316" s="2" t="str">
        <f>IFERROR(__xludf.DUMMYFUNCTION("""COMPUTED_VALUE"""),"5KM OVERALL M")</f>
        <v>5KM OVERALL M</v>
      </c>
      <c r="E2316" s="1">
        <f>IFERROR(__xludf.DUMMYFUNCTION("""COMPUTED_VALUE"""),2.0)</f>
        <v>2</v>
      </c>
      <c r="F2316" s="1" t="str">
        <f>IFERROR(__xludf.DUMMYFUNCTION("""COMPUTED_VALUE"""),"Male")</f>
        <v>Male</v>
      </c>
      <c r="G2316" s="4" t="b">
        <f>IFERROR(__xludf.DUMMYFUNCTION("""COMPUTED_VALUE"""),TRUE)</f>
        <v>1</v>
      </c>
      <c r="H2316" s="4" t="b">
        <f>IFERROR(__xludf.DUMMYFUNCTION("""COMPUTED_VALUE"""),TRUE)</f>
        <v>1</v>
      </c>
      <c r="I2316" s="4">
        <f>IFERROR(__xludf.DUMMYFUNCTION("""COMPUTED_VALUE"""),0.2549440625)</f>
        <v>0.2549440625</v>
      </c>
      <c r="J2316" s="4">
        <f>IFERROR(__xludf.DUMMYFUNCTION("""COMPUTED_VALUE"""),45949.265446878206)</f>
        <v>45949.26545</v>
      </c>
      <c r="K2316" s="4" t="str">
        <f>IFERROR(__xludf.DUMMYFUNCTION("""COMPUTED_VALUE"""),"")</f>
        <v/>
      </c>
      <c r="L2316" s="4">
        <f>IFERROR(__xludf.DUMMYFUNCTION("""COMPUTED_VALUE"""),45949.27375156623)</f>
        <v>45949.27375</v>
      </c>
      <c r="M2316" s="1" t="str">
        <f>IFERROR(__xludf.DUMMYFUNCTION("""COMPUTED_VALUE"""),"RFID")</f>
        <v>RFID</v>
      </c>
      <c r="N2316" s="5">
        <f>IFERROR(__xludf.DUMMYFUNCTION("""COMPUTED_VALUE"""),0.004201125)</f>
        <v>0.004201125</v>
      </c>
      <c r="O2316" s="5" t="str">
        <f>IFERROR(__xludf.DUMMYFUNCTION("""COMPUTED_VALUE"""),"")</f>
        <v/>
      </c>
      <c r="P2316" s="5" t="str">
        <f>IFERROR(__xludf.DUMMYFUNCTION("""COMPUTED_VALUE"""),"")</f>
        <v/>
      </c>
      <c r="Q2316" s="5">
        <f>IFERROR(__xludf.DUMMYFUNCTION("""COMPUTED_VALUE"""),0.0037615)</f>
        <v>0.0037615</v>
      </c>
      <c r="R2316" s="4">
        <f>IFERROR(__xludf.DUMMYFUNCTION("""COMPUTED_VALUE"""),45949.01880750373)</f>
        <v>45949.01881</v>
      </c>
      <c r="S2316" s="1" t="b">
        <f>IFERROR(__xludf.DUMMYFUNCTION("""COMPUTED_VALUE"""),TRUE)</f>
        <v>1</v>
      </c>
      <c r="T2316" s="1" t="b">
        <f>IFERROR(__xludf.DUMMYFUNCTION("""COMPUTED_VALUE"""),FALSE)</f>
        <v>0</v>
      </c>
      <c r="U2316" s="1" t="str">
        <f>IFERROR(__xludf.DUMMYFUNCTION("""COMPUTED_VALUE"""),"VALID")</f>
        <v>VALID</v>
      </c>
      <c r="V2316" s="1">
        <f>IFERROR(__xludf.DUMMYFUNCTION("""COMPUTED_VALUE"""),53.0)</f>
        <v>53</v>
      </c>
      <c r="W2316" s="1">
        <f>IFERROR(__xludf.DUMMYFUNCTION("""COMPUTED_VALUE"""),78.0)</f>
        <v>78</v>
      </c>
      <c r="X2316" s="1">
        <f>IFERROR(__xludf.DUMMYFUNCTION("""COMPUTED_VALUE"""),71.0)</f>
        <v>71</v>
      </c>
      <c r="Y2316" s="2"/>
      <c r="Z2316" s="2"/>
    </row>
    <row r="2317">
      <c r="A2317" s="1">
        <f>IFERROR(__xludf.DUMMYFUNCTION("""COMPUTED_VALUE"""),2316.0)</f>
        <v>2316</v>
      </c>
      <c r="B2317" s="1">
        <f>IFERROR(__xludf.DUMMYFUNCTION("""COMPUTED_VALUE"""),6068.0)</f>
        <v>6068</v>
      </c>
      <c r="C2317" s="2" t="str">
        <f>IFERROR(__xludf.DUMMYFUNCTION("""COMPUTED_VALUE"""),"ABI")</f>
        <v>ABI</v>
      </c>
      <c r="D2317" s="2" t="str">
        <f>IFERROR(__xludf.DUMMYFUNCTION("""COMPUTED_VALUE"""),"5KM OVERALL M")</f>
        <v>5KM OVERALL M</v>
      </c>
      <c r="E2317" s="1">
        <f>IFERROR(__xludf.DUMMYFUNCTION("""COMPUTED_VALUE"""),2.0)</f>
        <v>2</v>
      </c>
      <c r="F2317" s="1" t="str">
        <f>IFERROR(__xludf.DUMMYFUNCTION("""COMPUTED_VALUE"""),"Male")</f>
        <v>Male</v>
      </c>
      <c r="G2317" s="4" t="b">
        <f>IFERROR(__xludf.DUMMYFUNCTION("""COMPUTED_VALUE"""),TRUE)</f>
        <v>1</v>
      </c>
      <c r="H2317" s="4" t="b">
        <f>IFERROR(__xludf.DUMMYFUNCTION("""COMPUTED_VALUE"""),TRUE)</f>
        <v>1</v>
      </c>
      <c r="I2317" s="4">
        <f>IFERROR(__xludf.DUMMYFUNCTION("""COMPUTED_VALUE"""),0.2549440625)</f>
        <v>0.2549440625</v>
      </c>
      <c r="J2317" s="4">
        <f>IFERROR(__xludf.DUMMYFUNCTION("""COMPUTED_VALUE"""),45949.28434963555)</f>
        <v>45949.28435</v>
      </c>
      <c r="K2317" s="4" t="str">
        <f>IFERROR(__xludf.DUMMYFUNCTION("""COMPUTED_VALUE"""),"")</f>
        <v/>
      </c>
      <c r="L2317" s="4">
        <f>IFERROR(__xludf.DUMMYFUNCTION("""COMPUTED_VALUE"""),45949.30299114659)</f>
        <v>45949.30299</v>
      </c>
      <c r="M2317" s="1" t="str">
        <f>IFERROR(__xludf.DUMMYFUNCTION("""COMPUTED_VALUE"""),"RFID")</f>
        <v>RFID</v>
      </c>
      <c r="N2317" s="5">
        <f>IFERROR(__xludf.DUMMYFUNCTION("""COMPUTED_VALUE"""),0.011762231481481481)</f>
        <v>0.01176223148</v>
      </c>
      <c r="O2317" s="5" t="str">
        <f>IFERROR(__xludf.DUMMYFUNCTION("""COMPUTED_VALUE"""),"")</f>
        <v/>
      </c>
      <c r="P2317" s="5" t="str">
        <f>IFERROR(__xludf.DUMMYFUNCTION("""COMPUTED_VALUE"""),"")</f>
        <v/>
      </c>
      <c r="Q2317" s="5">
        <f>IFERROR(__xludf.DUMMYFUNCTION("""COMPUTED_VALUE"""),0.009609416666666665)</f>
        <v>0.009609416667</v>
      </c>
      <c r="R2317" s="4">
        <f>IFERROR(__xludf.DUMMYFUNCTION("""COMPUTED_VALUE"""),45949.04804708409)</f>
        <v>45949.04805</v>
      </c>
      <c r="S2317" s="1" t="b">
        <f>IFERROR(__xludf.DUMMYFUNCTION("""COMPUTED_VALUE"""),TRUE)</f>
        <v>1</v>
      </c>
      <c r="T2317" s="1" t="b">
        <f>IFERROR(__xludf.DUMMYFUNCTION("""COMPUTED_VALUE"""),FALSE)</f>
        <v>0</v>
      </c>
      <c r="U2317" s="1" t="str">
        <f>IFERROR(__xludf.DUMMYFUNCTION("""COMPUTED_VALUE"""),"VALID")</f>
        <v>VALID</v>
      </c>
      <c r="V2317" s="1">
        <f>IFERROR(__xludf.DUMMYFUNCTION("""COMPUTED_VALUE"""),830.0)</f>
        <v>830</v>
      </c>
      <c r="W2317" s="1">
        <f>IFERROR(__xludf.DUMMYFUNCTION("""COMPUTED_VALUE"""),1549.0)</f>
        <v>1549</v>
      </c>
      <c r="X2317" s="1">
        <f>IFERROR(__xludf.DUMMYFUNCTION("""COMPUTED_VALUE"""),1310.0)</f>
        <v>1310</v>
      </c>
      <c r="Y2317" s="2"/>
      <c r="Z2317" s="2"/>
    </row>
    <row r="2318">
      <c r="A2318" s="1">
        <f>IFERROR(__xludf.DUMMYFUNCTION("""COMPUTED_VALUE"""),2317.0)</f>
        <v>2317</v>
      </c>
      <c r="B2318" s="1">
        <f>IFERROR(__xludf.DUMMYFUNCTION("""COMPUTED_VALUE"""),6071.0)</f>
        <v>6071</v>
      </c>
      <c r="C2318" s="2" t="str">
        <f>IFERROR(__xludf.DUMMYFUNCTION("""COMPUTED_VALUE"""),"Zainnudin A")</f>
        <v>Zainnudin A</v>
      </c>
      <c r="D2318" s="2" t="str">
        <f>IFERROR(__xludf.DUMMYFUNCTION("""COMPUTED_VALUE"""),"5KM OVERALL M")</f>
        <v>5KM OVERALL M</v>
      </c>
      <c r="E2318" s="1">
        <f>IFERROR(__xludf.DUMMYFUNCTION("""COMPUTED_VALUE"""),2.0)</f>
        <v>2</v>
      </c>
      <c r="F2318" s="1" t="str">
        <f>IFERROR(__xludf.DUMMYFUNCTION("""COMPUTED_VALUE"""),"Male")</f>
        <v>Male</v>
      </c>
      <c r="G2318" s="4" t="str">
        <f>IFERROR(__xludf.DUMMYFUNCTION("""COMPUTED_VALUE"""),"")</f>
        <v/>
      </c>
      <c r="H2318" s="4" t="b">
        <f>IFERROR(__xludf.DUMMYFUNCTION("""COMPUTED_VALUE"""),FALSE)</f>
        <v>0</v>
      </c>
      <c r="I2318" s="4">
        <f>IFERROR(__xludf.DUMMYFUNCTION("""COMPUTED_VALUE"""),0.2549440625)</f>
        <v>0.2549440625</v>
      </c>
      <c r="J2318" s="4" t="str">
        <f>IFERROR(__xludf.DUMMYFUNCTION("""COMPUTED_VALUE"""),"")</f>
        <v/>
      </c>
      <c r="K2318" s="4" t="str">
        <f>IFERROR(__xludf.DUMMYFUNCTION("""COMPUTED_VALUE"""),"")</f>
        <v/>
      </c>
      <c r="L2318" s="4" t="str">
        <f>IFERROR(__xludf.DUMMYFUNCTION("""COMPUTED_VALUE"""),"")</f>
        <v/>
      </c>
      <c r="M2318" s="1" t="str">
        <f>IFERROR(__xludf.DUMMYFUNCTION("""COMPUTED_VALUE"""),"RFID")</f>
        <v>RFID</v>
      </c>
      <c r="N2318" s="5" t="str">
        <f>IFERROR(__xludf.DUMMYFUNCTION("""COMPUTED_VALUE"""),"")</f>
        <v/>
      </c>
      <c r="O2318" s="5" t="str">
        <f>IFERROR(__xludf.DUMMYFUNCTION("""COMPUTED_VALUE"""),"")</f>
        <v/>
      </c>
      <c r="P2318" s="5" t="str">
        <f>IFERROR(__xludf.DUMMYFUNCTION("""COMPUTED_VALUE"""),"")</f>
        <v/>
      </c>
      <c r="Q2318" s="5" t="str">
        <f>IFERROR(__xludf.DUMMYFUNCTION("""COMPUTED_VALUE"""),"")</f>
        <v/>
      </c>
      <c r="R2318" s="4" t="str">
        <f>IFERROR(__xludf.DUMMYFUNCTION("""COMPUTED_VALUE"""),"")</f>
        <v/>
      </c>
      <c r="S2318" s="1" t="b">
        <f>IFERROR(__xludf.DUMMYFUNCTION("""COMPUTED_VALUE"""),FALSE)</f>
        <v>0</v>
      </c>
      <c r="T2318" s="1" t="b">
        <f>IFERROR(__xludf.DUMMYFUNCTION("""COMPUTED_VALUE"""),FALSE)</f>
        <v>0</v>
      </c>
      <c r="U2318" s="1" t="str">
        <f>IFERROR(__xludf.DUMMYFUNCTION("""COMPUTED_VALUE"""),"DSQ")</f>
        <v>DSQ</v>
      </c>
      <c r="V2318" s="1" t="str">
        <f>IFERROR(__xludf.DUMMYFUNCTION("""COMPUTED_VALUE"""),"DSQ")</f>
        <v>DSQ</v>
      </c>
      <c r="W2318" s="1" t="str">
        <f>IFERROR(__xludf.DUMMYFUNCTION("""COMPUTED_VALUE"""),"DSQ")</f>
        <v>DSQ</v>
      </c>
      <c r="X2318" s="1" t="str">
        <f>IFERROR(__xludf.DUMMYFUNCTION("""COMPUTED_VALUE"""),"DSQ")</f>
        <v>DSQ</v>
      </c>
      <c r="Y2318" s="2"/>
      <c r="Z2318" s="2" t="str">
        <f>IFERROR(__xludf.DUMMYFUNCTION("""COMPUTED_VALUE"""),"")</f>
        <v/>
      </c>
    </row>
    <row r="2319">
      <c r="A2319" s="1">
        <f>IFERROR(__xludf.DUMMYFUNCTION("""COMPUTED_VALUE"""),2318.0)</f>
        <v>2318</v>
      </c>
      <c r="B2319" s="1">
        <f>IFERROR(__xludf.DUMMYFUNCTION("""COMPUTED_VALUE"""),6073.0)</f>
        <v>6073</v>
      </c>
      <c r="C2319" s="2" t="str">
        <f>IFERROR(__xludf.DUMMYFUNCTION("""COMPUTED_VALUE"""),"gusti eddy mulya marwizy")</f>
        <v>gusti eddy mulya marwizy</v>
      </c>
      <c r="D2319" s="2" t="str">
        <f>IFERROR(__xludf.DUMMYFUNCTION("""COMPUTED_VALUE"""),"5KM OVERALL M")</f>
        <v>5KM OVERALL M</v>
      </c>
      <c r="E2319" s="1">
        <f>IFERROR(__xludf.DUMMYFUNCTION("""COMPUTED_VALUE"""),2.0)</f>
        <v>2</v>
      </c>
      <c r="F2319" s="1" t="str">
        <f>IFERROR(__xludf.DUMMYFUNCTION("""COMPUTED_VALUE"""),"Male")</f>
        <v>Male</v>
      </c>
      <c r="G2319" s="4" t="b">
        <f>IFERROR(__xludf.DUMMYFUNCTION("""COMPUTED_VALUE"""),TRUE)</f>
        <v>1</v>
      </c>
      <c r="H2319" s="4" t="b">
        <f>IFERROR(__xludf.DUMMYFUNCTION("""COMPUTED_VALUE"""),FALSE)</f>
        <v>0</v>
      </c>
      <c r="I2319" s="4">
        <f>IFERROR(__xludf.DUMMYFUNCTION("""COMPUTED_VALUE"""),0.2549440625)</f>
        <v>0.2549440625</v>
      </c>
      <c r="J2319" s="4">
        <f>IFERROR(__xludf.DUMMYFUNCTION("""COMPUTED_VALUE"""),45949.27227374354)</f>
        <v>45949.27227</v>
      </c>
      <c r="K2319" s="4" t="str">
        <f>IFERROR(__xludf.DUMMYFUNCTION("""COMPUTED_VALUE"""),"")</f>
        <v/>
      </c>
      <c r="L2319" s="4">
        <f>IFERROR(__xludf.DUMMYFUNCTION("""COMPUTED_VALUE"""),45949.28513003837)</f>
        <v>45949.28513</v>
      </c>
      <c r="M2319" s="1" t="str">
        <f>IFERROR(__xludf.DUMMYFUNCTION("""COMPUTED_VALUE"""),"RFID")</f>
        <v>RFID</v>
      </c>
      <c r="N2319" s="5">
        <f>IFERROR(__xludf.DUMMYFUNCTION("""COMPUTED_VALUE"""),0.00693187037037037)</f>
        <v>0.00693187037</v>
      </c>
      <c r="O2319" s="5" t="str">
        <f>IFERROR(__xludf.DUMMYFUNCTION("""COMPUTED_VALUE"""),"")</f>
        <v/>
      </c>
      <c r="P2319" s="5" t="str">
        <f>IFERROR(__xludf.DUMMYFUNCTION("""COMPUTED_VALUE"""),"")</f>
        <v/>
      </c>
      <c r="Q2319" s="5">
        <f>IFERROR(__xludf.DUMMYFUNCTION("""COMPUTED_VALUE"""),0.006037194444444445)</f>
        <v>0.006037194444</v>
      </c>
      <c r="R2319" s="4">
        <f>IFERROR(__xludf.DUMMYFUNCTION("""COMPUTED_VALUE"""),45949.03018597587)</f>
        <v>45949.03019</v>
      </c>
      <c r="S2319" s="1" t="b">
        <f>IFERROR(__xludf.DUMMYFUNCTION("""COMPUTED_VALUE"""),TRUE)</f>
        <v>1</v>
      </c>
      <c r="T2319" s="1" t="b">
        <f>IFERROR(__xludf.DUMMYFUNCTION("""COMPUTED_VALUE"""),FALSE)</f>
        <v>0</v>
      </c>
      <c r="U2319" s="1" t="str">
        <f>IFERROR(__xludf.DUMMYFUNCTION("""COMPUTED_VALUE"""),"VALID")</f>
        <v>VALID</v>
      </c>
      <c r="V2319" s="1">
        <f>IFERROR(__xludf.DUMMYFUNCTION("""COMPUTED_VALUE"""),383.0)</f>
        <v>383</v>
      </c>
      <c r="W2319" s="1">
        <f>IFERROR(__xludf.DUMMYFUNCTION("""COMPUTED_VALUE"""),578.0)</f>
        <v>578</v>
      </c>
      <c r="X2319" s="1">
        <f>IFERROR(__xludf.DUMMYFUNCTION("""COMPUTED_VALUE"""),492.0)</f>
        <v>492</v>
      </c>
      <c r="Y2319" s="2"/>
      <c r="Z2319" s="2"/>
    </row>
    <row r="2320">
      <c r="A2320" s="1">
        <f>IFERROR(__xludf.DUMMYFUNCTION("""COMPUTED_VALUE"""),2319.0)</f>
        <v>2319</v>
      </c>
      <c r="B2320" s="1">
        <f>IFERROR(__xludf.DUMMYFUNCTION("""COMPUTED_VALUE"""),6077.0)</f>
        <v>6077</v>
      </c>
      <c r="C2320" s="2" t="str">
        <f>IFERROR(__xludf.DUMMYFUNCTION("""COMPUTED_VALUE"""),"TONDI")</f>
        <v>TONDI</v>
      </c>
      <c r="D2320" s="2" t="str">
        <f>IFERROR(__xludf.DUMMYFUNCTION("""COMPUTED_VALUE"""),"5KM OVERALL M")</f>
        <v>5KM OVERALL M</v>
      </c>
      <c r="E2320" s="1">
        <f>IFERROR(__xludf.DUMMYFUNCTION("""COMPUTED_VALUE"""),2.0)</f>
        <v>2</v>
      </c>
      <c r="F2320" s="1" t="str">
        <f>IFERROR(__xludf.DUMMYFUNCTION("""COMPUTED_VALUE"""),"Male")</f>
        <v>Male</v>
      </c>
      <c r="G2320" s="4" t="b">
        <f>IFERROR(__xludf.DUMMYFUNCTION("""COMPUTED_VALUE"""),TRUE)</f>
        <v>1</v>
      </c>
      <c r="H2320" s="4" t="b">
        <f>IFERROR(__xludf.DUMMYFUNCTION("""COMPUTED_VALUE"""),FALSE)</f>
        <v>0</v>
      </c>
      <c r="I2320" s="4">
        <f>IFERROR(__xludf.DUMMYFUNCTION("""COMPUTED_VALUE"""),0.2549440625)</f>
        <v>0.2549440625</v>
      </c>
      <c r="J2320" s="4">
        <f>IFERROR(__xludf.DUMMYFUNCTION("""COMPUTED_VALUE"""),45949.269054459575)</f>
        <v>45949.26905</v>
      </c>
      <c r="K2320" s="4" t="str">
        <f>IFERROR(__xludf.DUMMYFUNCTION("""COMPUTED_VALUE"""),"")</f>
        <v/>
      </c>
      <c r="L2320" s="4">
        <f>IFERROR(__xludf.DUMMYFUNCTION("""COMPUTED_VALUE"""),45949.281553648674)</f>
        <v>45949.28155</v>
      </c>
      <c r="M2320" s="1" t="str">
        <f>IFERROR(__xludf.DUMMYFUNCTION("""COMPUTED_VALUE"""),"RFID")</f>
        <v>RFID</v>
      </c>
      <c r="N2320" s="5">
        <f>IFERROR(__xludf.DUMMYFUNCTION("""COMPUTED_VALUE"""),0.005644157407407407)</f>
        <v>0.005644157407</v>
      </c>
      <c r="O2320" s="5" t="str">
        <f>IFERROR(__xludf.DUMMYFUNCTION("""COMPUTED_VALUE"""),"")</f>
        <v/>
      </c>
      <c r="P2320" s="5" t="str">
        <f>IFERROR(__xludf.DUMMYFUNCTION("""COMPUTED_VALUE"""),"")</f>
        <v/>
      </c>
      <c r="Q2320" s="5">
        <f>IFERROR(__xludf.DUMMYFUNCTION("""COMPUTED_VALUE"""),0.0053219166666666675)</f>
        <v>0.005321916667</v>
      </c>
      <c r="R2320" s="4">
        <f>IFERROR(__xludf.DUMMYFUNCTION("""COMPUTED_VALUE"""),45949.02660958617)</f>
        <v>45949.02661</v>
      </c>
      <c r="S2320" s="1" t="b">
        <f>IFERROR(__xludf.DUMMYFUNCTION("""COMPUTED_VALUE"""),TRUE)</f>
        <v>1</v>
      </c>
      <c r="T2320" s="1" t="b">
        <f>IFERROR(__xludf.DUMMYFUNCTION("""COMPUTED_VALUE"""),FALSE)</f>
        <v>0</v>
      </c>
      <c r="U2320" s="1" t="str">
        <f>IFERROR(__xludf.DUMMYFUNCTION("""COMPUTED_VALUE"""),"VALID")</f>
        <v>VALID</v>
      </c>
      <c r="V2320" s="1">
        <f>IFERROR(__xludf.DUMMYFUNCTION("""COMPUTED_VALUE"""),240.0)</f>
        <v>240</v>
      </c>
      <c r="W2320" s="1">
        <f>IFERROR(__xludf.DUMMYFUNCTION("""COMPUTED_VALUE"""),369.0)</f>
        <v>369</v>
      </c>
      <c r="X2320" s="1">
        <f>IFERROR(__xludf.DUMMYFUNCTION("""COMPUTED_VALUE"""),320.0)</f>
        <v>320</v>
      </c>
      <c r="Y2320" s="2"/>
      <c r="Z2320" s="2"/>
    </row>
    <row r="2321">
      <c r="A2321" s="1">
        <f>IFERROR(__xludf.DUMMYFUNCTION("""COMPUTED_VALUE"""),2320.0)</f>
        <v>2320</v>
      </c>
      <c r="B2321" s="1">
        <f>IFERROR(__xludf.DUMMYFUNCTION("""COMPUTED_VALUE"""),6078.0)</f>
        <v>6078</v>
      </c>
      <c r="C2321" s="2" t="str">
        <f>IFERROR(__xludf.DUMMYFUNCTION("""COMPUTED_VALUE"""),"Iskandar Hendro")</f>
        <v>Iskandar Hendro</v>
      </c>
      <c r="D2321" s="2" t="str">
        <f>IFERROR(__xludf.DUMMYFUNCTION("""COMPUTED_VALUE"""),"5KM OVERALL M")</f>
        <v>5KM OVERALL M</v>
      </c>
      <c r="E2321" s="1">
        <f>IFERROR(__xludf.DUMMYFUNCTION("""COMPUTED_VALUE"""),2.0)</f>
        <v>2</v>
      </c>
      <c r="F2321" s="1" t="str">
        <f>IFERROR(__xludf.DUMMYFUNCTION("""COMPUTED_VALUE"""),"Male")</f>
        <v>Male</v>
      </c>
      <c r="G2321" s="4" t="b">
        <f>IFERROR(__xludf.DUMMYFUNCTION("""COMPUTED_VALUE"""),TRUE)</f>
        <v>1</v>
      </c>
      <c r="H2321" s="4" t="b">
        <f>IFERROR(__xludf.DUMMYFUNCTION("""COMPUTED_VALUE"""),TRUE)</f>
        <v>1</v>
      </c>
      <c r="I2321" s="4">
        <f>IFERROR(__xludf.DUMMYFUNCTION("""COMPUTED_VALUE"""),0.2549440625)</f>
        <v>0.2549440625</v>
      </c>
      <c r="J2321" s="4">
        <f>IFERROR(__xludf.DUMMYFUNCTION("""COMPUTED_VALUE"""),45949.27628368455)</f>
        <v>45949.27628</v>
      </c>
      <c r="K2321" s="4" t="str">
        <f>IFERROR(__xludf.DUMMYFUNCTION("""COMPUTED_VALUE"""),"")</f>
        <v/>
      </c>
      <c r="L2321" s="4">
        <f>IFERROR(__xludf.DUMMYFUNCTION("""COMPUTED_VALUE"""),45949.292234156674)</f>
        <v>45949.29223</v>
      </c>
      <c r="M2321" s="1" t="str">
        <f>IFERROR(__xludf.DUMMYFUNCTION("""COMPUTED_VALUE"""),"RFID")</f>
        <v>RFID</v>
      </c>
      <c r="N2321" s="5">
        <f>IFERROR(__xludf.DUMMYFUNCTION("""COMPUTED_VALUE"""),0.008535847222222222)</f>
        <v>0.008535847222</v>
      </c>
      <c r="O2321" s="5" t="str">
        <f>IFERROR(__xludf.DUMMYFUNCTION("""COMPUTED_VALUE"""),"")</f>
        <v/>
      </c>
      <c r="P2321" s="5" t="str">
        <f>IFERROR(__xludf.DUMMYFUNCTION("""COMPUTED_VALUE"""),"")</f>
        <v/>
      </c>
      <c r="Q2321" s="5">
        <f>IFERROR(__xludf.DUMMYFUNCTION("""COMPUTED_VALUE"""),0.007458018518518518)</f>
        <v>0.007458018519</v>
      </c>
      <c r="R2321" s="4">
        <f>IFERROR(__xludf.DUMMYFUNCTION("""COMPUTED_VALUE"""),45949.03729009417)</f>
        <v>45949.03729</v>
      </c>
      <c r="S2321" s="1" t="b">
        <f>IFERROR(__xludf.DUMMYFUNCTION("""COMPUTED_VALUE"""),TRUE)</f>
        <v>1</v>
      </c>
      <c r="T2321" s="1" t="b">
        <f>IFERROR(__xludf.DUMMYFUNCTION("""COMPUTED_VALUE"""),FALSE)</f>
        <v>0</v>
      </c>
      <c r="U2321" s="1" t="str">
        <f>IFERROR(__xludf.DUMMYFUNCTION("""COMPUTED_VALUE"""),"VALID")</f>
        <v>VALID</v>
      </c>
      <c r="V2321" s="1">
        <f>IFERROR(__xludf.DUMMYFUNCTION("""COMPUTED_VALUE"""),633.0)</f>
        <v>633</v>
      </c>
      <c r="W2321" s="1">
        <f>IFERROR(__xludf.DUMMYFUNCTION("""COMPUTED_VALUE"""),1046.0)</f>
        <v>1046</v>
      </c>
      <c r="X2321" s="1">
        <f>IFERROR(__xludf.DUMMYFUNCTION("""COMPUTED_VALUE"""),833.0)</f>
        <v>833</v>
      </c>
      <c r="Y2321" s="2"/>
      <c r="Z2321" s="2"/>
    </row>
    <row r="2322">
      <c r="A2322" s="1">
        <f>IFERROR(__xludf.DUMMYFUNCTION("""COMPUTED_VALUE"""),2321.0)</f>
        <v>2321</v>
      </c>
      <c r="B2322" s="1">
        <f>IFERROR(__xludf.DUMMYFUNCTION("""COMPUTED_VALUE"""),6079.0)</f>
        <v>6079</v>
      </c>
      <c r="C2322" s="2" t="str">
        <f>IFERROR(__xludf.DUMMYFUNCTION("""COMPUTED_VALUE"""),"prio")</f>
        <v>prio</v>
      </c>
      <c r="D2322" s="2" t="str">
        <f>IFERROR(__xludf.DUMMYFUNCTION("""COMPUTED_VALUE"""),"5KM OVERALL M")</f>
        <v>5KM OVERALL M</v>
      </c>
      <c r="E2322" s="1">
        <f>IFERROR(__xludf.DUMMYFUNCTION("""COMPUTED_VALUE"""),2.0)</f>
        <v>2</v>
      </c>
      <c r="F2322" s="1" t="str">
        <f>IFERROR(__xludf.DUMMYFUNCTION("""COMPUTED_VALUE"""),"Male")</f>
        <v>Male</v>
      </c>
      <c r="G2322" s="4" t="b">
        <f>IFERROR(__xludf.DUMMYFUNCTION("""COMPUTED_VALUE"""),TRUE)</f>
        <v>1</v>
      </c>
      <c r="H2322" s="4" t="b">
        <f>IFERROR(__xludf.DUMMYFUNCTION("""COMPUTED_VALUE"""),TRUE)</f>
        <v>1</v>
      </c>
      <c r="I2322" s="4">
        <f>IFERROR(__xludf.DUMMYFUNCTION("""COMPUTED_VALUE"""),0.2549440625)</f>
        <v>0.2549440625</v>
      </c>
      <c r="J2322" s="4">
        <f>IFERROR(__xludf.DUMMYFUNCTION("""COMPUTED_VALUE"""),45949.27492948035)</f>
        <v>45949.27493</v>
      </c>
      <c r="K2322" s="4" t="str">
        <f>IFERROR(__xludf.DUMMYFUNCTION("""COMPUTED_VALUE"""),"")</f>
        <v/>
      </c>
      <c r="L2322" s="4">
        <f>IFERROR(__xludf.DUMMYFUNCTION("""COMPUTED_VALUE"""),45949.290175174836)</f>
        <v>45949.29018</v>
      </c>
      <c r="M2322" s="1" t="str">
        <f>IFERROR(__xludf.DUMMYFUNCTION("""COMPUTED_VALUE"""),"RFID")</f>
        <v>RFID</v>
      </c>
      <c r="N2322" s="5">
        <f>IFERROR(__xludf.DUMMYFUNCTION("""COMPUTED_VALUE"""),0.007994166666666667)</f>
        <v>0.007994166667</v>
      </c>
      <c r="O2322" s="5" t="str">
        <f>IFERROR(__xludf.DUMMYFUNCTION("""COMPUTED_VALUE"""),"")</f>
        <v/>
      </c>
      <c r="P2322" s="5" t="str">
        <f>IFERROR(__xludf.DUMMYFUNCTION("""COMPUTED_VALUE"""),"")</f>
        <v/>
      </c>
      <c r="Q2322" s="5">
        <f>IFERROR(__xludf.DUMMYFUNCTION("""COMPUTED_VALUE"""),0.007046222222222222)</f>
        <v>0.007046222222</v>
      </c>
      <c r="R2322" s="4">
        <f>IFERROR(__xludf.DUMMYFUNCTION("""COMPUTED_VALUE"""),45949.035231112335)</f>
        <v>45949.03523</v>
      </c>
      <c r="S2322" s="1" t="b">
        <f>IFERROR(__xludf.DUMMYFUNCTION("""COMPUTED_VALUE"""),TRUE)</f>
        <v>1</v>
      </c>
      <c r="T2322" s="1" t="b">
        <f>IFERROR(__xludf.DUMMYFUNCTION("""COMPUTED_VALUE"""),FALSE)</f>
        <v>0</v>
      </c>
      <c r="U2322" s="1" t="str">
        <f>IFERROR(__xludf.DUMMYFUNCTION("""COMPUTED_VALUE"""),"VALID")</f>
        <v>VALID</v>
      </c>
      <c r="V2322" s="1">
        <f>IFERROR(__xludf.DUMMYFUNCTION("""COMPUTED_VALUE"""),564.0)</f>
        <v>564</v>
      </c>
      <c r="W2322" s="1">
        <f>IFERROR(__xludf.DUMMYFUNCTION("""COMPUTED_VALUE"""),899.0)</f>
        <v>899</v>
      </c>
      <c r="X2322" s="1">
        <f>IFERROR(__xludf.DUMMYFUNCTION("""COMPUTED_VALUE"""),735.0)</f>
        <v>735</v>
      </c>
      <c r="Y2322" s="2"/>
      <c r="Z2322" s="2"/>
    </row>
    <row r="2323">
      <c r="A2323" s="1">
        <f>IFERROR(__xludf.DUMMYFUNCTION("""COMPUTED_VALUE"""),2322.0)</f>
        <v>2322</v>
      </c>
      <c r="B2323" s="1">
        <f>IFERROR(__xludf.DUMMYFUNCTION("""COMPUTED_VALUE"""),6080.0)</f>
        <v>6080</v>
      </c>
      <c r="C2323" s="2" t="str">
        <f>IFERROR(__xludf.DUMMYFUNCTION("""COMPUTED_VALUE"""),"KIRANA ZEBRA 86")</f>
        <v>KIRANA ZEBRA 86</v>
      </c>
      <c r="D2323" s="2" t="str">
        <f>IFERROR(__xludf.DUMMYFUNCTION("""COMPUTED_VALUE"""),"5KM OVERALL M")</f>
        <v>5KM OVERALL M</v>
      </c>
      <c r="E2323" s="1">
        <f>IFERROR(__xludf.DUMMYFUNCTION("""COMPUTED_VALUE"""),2.0)</f>
        <v>2</v>
      </c>
      <c r="F2323" s="1" t="str">
        <f>IFERROR(__xludf.DUMMYFUNCTION("""COMPUTED_VALUE"""),"Male")</f>
        <v>Male</v>
      </c>
      <c r="G2323" s="4" t="b">
        <f>IFERROR(__xludf.DUMMYFUNCTION("""COMPUTED_VALUE"""),TRUE)</f>
        <v>1</v>
      </c>
      <c r="H2323" s="4" t="b">
        <f>IFERROR(__xludf.DUMMYFUNCTION("""COMPUTED_VALUE"""),TRUE)</f>
        <v>1</v>
      </c>
      <c r="I2323" s="4">
        <f>IFERROR(__xludf.DUMMYFUNCTION("""COMPUTED_VALUE"""),0.2549440625)</f>
        <v>0.2549440625</v>
      </c>
      <c r="J2323" s="4">
        <f>IFERROR(__xludf.DUMMYFUNCTION("""COMPUTED_VALUE"""),45949.266571822074)</f>
        <v>45949.26657</v>
      </c>
      <c r="K2323" s="4" t="str">
        <f>IFERROR(__xludf.DUMMYFUNCTION("""COMPUTED_VALUE"""),"")</f>
        <v/>
      </c>
      <c r="L2323" s="4">
        <f>IFERROR(__xludf.DUMMYFUNCTION("""COMPUTED_VALUE"""),45949.27635573854)</f>
        <v>45949.27636</v>
      </c>
      <c r="M2323" s="1" t="str">
        <f>IFERROR(__xludf.DUMMYFUNCTION("""COMPUTED_VALUE"""),"RFID")</f>
        <v>RFID</v>
      </c>
      <c r="N2323" s="5">
        <f>IFERROR(__xludf.DUMMYFUNCTION("""COMPUTED_VALUE"""),0.0046511018518518524)</f>
        <v>0.004651101852</v>
      </c>
      <c r="O2323" s="5" t="str">
        <f>IFERROR(__xludf.DUMMYFUNCTION("""COMPUTED_VALUE"""),"")</f>
        <v/>
      </c>
      <c r="P2323" s="5" t="str">
        <f>IFERROR(__xludf.DUMMYFUNCTION("""COMPUTED_VALUE"""),"")</f>
        <v/>
      </c>
      <c r="Q2323" s="5">
        <f>IFERROR(__xludf.DUMMYFUNCTION("""COMPUTED_VALUE"""),0.004282335648148148)</f>
        <v>0.004282335648</v>
      </c>
      <c r="R2323" s="4">
        <f>IFERROR(__xludf.DUMMYFUNCTION("""COMPUTED_VALUE"""),45949.02141167604)</f>
        <v>45949.02141</v>
      </c>
      <c r="S2323" s="1" t="b">
        <f>IFERROR(__xludf.DUMMYFUNCTION("""COMPUTED_VALUE"""),TRUE)</f>
        <v>1</v>
      </c>
      <c r="T2323" s="1" t="b">
        <f>IFERROR(__xludf.DUMMYFUNCTION("""COMPUTED_VALUE"""),FALSE)</f>
        <v>0</v>
      </c>
      <c r="U2323" s="1" t="str">
        <f>IFERROR(__xludf.DUMMYFUNCTION("""COMPUTED_VALUE"""),"VALID")</f>
        <v>VALID</v>
      </c>
      <c r="V2323" s="1">
        <f>IFERROR(__xludf.DUMMYFUNCTION("""COMPUTED_VALUE"""),102.0)</f>
        <v>102</v>
      </c>
      <c r="W2323" s="1">
        <f>IFERROR(__xludf.DUMMYFUNCTION("""COMPUTED_VALUE"""),159.0)</f>
        <v>159</v>
      </c>
      <c r="X2323" s="1">
        <f>IFERROR(__xludf.DUMMYFUNCTION("""COMPUTED_VALUE"""),140.0)</f>
        <v>140</v>
      </c>
      <c r="Y2323" s="2"/>
      <c r="Z2323" s="2"/>
    </row>
    <row r="2324">
      <c r="A2324" s="1">
        <f>IFERROR(__xludf.DUMMYFUNCTION("""COMPUTED_VALUE"""),2323.0)</f>
        <v>2323</v>
      </c>
      <c r="B2324" s="1">
        <f>IFERROR(__xludf.DUMMYFUNCTION("""COMPUTED_VALUE"""),6081.0)</f>
        <v>6081</v>
      </c>
      <c r="C2324" s="2" t="str">
        <f>IFERROR(__xludf.DUMMYFUNCTION("""COMPUTED_VALUE"""),"Ikhwan")</f>
        <v>Ikhwan</v>
      </c>
      <c r="D2324" s="2" t="str">
        <f>IFERROR(__xludf.DUMMYFUNCTION("""COMPUTED_VALUE"""),"5KM OVERALL M")</f>
        <v>5KM OVERALL M</v>
      </c>
      <c r="E2324" s="1">
        <f>IFERROR(__xludf.DUMMYFUNCTION("""COMPUTED_VALUE"""),2.0)</f>
        <v>2</v>
      </c>
      <c r="F2324" s="1" t="str">
        <f>IFERROR(__xludf.DUMMYFUNCTION("""COMPUTED_VALUE"""),"Male")</f>
        <v>Male</v>
      </c>
      <c r="G2324" s="4" t="b">
        <f>IFERROR(__xludf.DUMMYFUNCTION("""COMPUTED_VALUE"""),TRUE)</f>
        <v>1</v>
      </c>
      <c r="H2324" s="4" t="b">
        <f>IFERROR(__xludf.DUMMYFUNCTION("""COMPUTED_VALUE"""),FALSE)</f>
        <v>0</v>
      </c>
      <c r="I2324" s="4">
        <f>IFERROR(__xludf.DUMMYFUNCTION("""COMPUTED_VALUE"""),0.2549440625)</f>
        <v>0.2549440625</v>
      </c>
      <c r="J2324" s="4">
        <f>IFERROR(__xludf.DUMMYFUNCTION("""COMPUTED_VALUE"""),45949.26538086089)</f>
        <v>45949.26538</v>
      </c>
      <c r="K2324" s="4" t="str">
        <f>IFERROR(__xludf.DUMMYFUNCTION("""COMPUTED_VALUE"""),"")</f>
        <v/>
      </c>
      <c r="L2324" s="4">
        <f>IFERROR(__xludf.DUMMYFUNCTION("""COMPUTED_VALUE"""),45949.27391824074)</f>
        <v>45949.27392</v>
      </c>
      <c r="M2324" s="1" t="str">
        <f>IFERROR(__xludf.DUMMYFUNCTION("""COMPUTED_VALUE"""),"RFID")</f>
        <v>RFID</v>
      </c>
      <c r="N2324" s="5">
        <f>IFERROR(__xludf.DUMMYFUNCTION("""COMPUTED_VALUE"""),0.004174717592592593)</f>
        <v>0.004174717593</v>
      </c>
      <c r="O2324" s="5" t="str">
        <f>IFERROR(__xludf.DUMMYFUNCTION("""COMPUTED_VALUE"""),"")</f>
        <v/>
      </c>
      <c r="P2324" s="5" t="str">
        <f>IFERROR(__xludf.DUMMYFUNCTION("""COMPUTED_VALUE"""),"")</f>
        <v/>
      </c>
      <c r="Q2324" s="5">
        <f>IFERROR(__xludf.DUMMYFUNCTION("""COMPUTED_VALUE"""),0.0037948356481481483)</f>
        <v>0.003794835648</v>
      </c>
      <c r="R2324" s="4">
        <f>IFERROR(__xludf.DUMMYFUNCTION("""COMPUTED_VALUE"""),45949.01897417824)</f>
        <v>45949.01897</v>
      </c>
      <c r="S2324" s="1" t="b">
        <f>IFERROR(__xludf.DUMMYFUNCTION("""COMPUTED_VALUE"""),TRUE)</f>
        <v>1</v>
      </c>
      <c r="T2324" s="1" t="b">
        <f>IFERROR(__xludf.DUMMYFUNCTION("""COMPUTED_VALUE"""),FALSE)</f>
        <v>0</v>
      </c>
      <c r="U2324" s="1" t="str">
        <f>IFERROR(__xludf.DUMMYFUNCTION("""COMPUTED_VALUE"""),"VALID")</f>
        <v>VALID</v>
      </c>
      <c r="V2324" s="1">
        <f>IFERROR(__xludf.DUMMYFUNCTION("""COMPUTED_VALUE"""),56.0)</f>
        <v>56</v>
      </c>
      <c r="W2324" s="1">
        <f>IFERROR(__xludf.DUMMYFUNCTION("""COMPUTED_VALUE"""),85.0)</f>
        <v>85</v>
      </c>
      <c r="X2324" s="1">
        <f>IFERROR(__xludf.DUMMYFUNCTION("""COMPUTED_VALUE"""),76.0)</f>
        <v>76</v>
      </c>
      <c r="Y2324" s="2"/>
      <c r="Z2324" s="2"/>
    </row>
    <row r="2325">
      <c r="A2325" s="1">
        <f>IFERROR(__xludf.DUMMYFUNCTION("""COMPUTED_VALUE"""),2324.0)</f>
        <v>2324</v>
      </c>
      <c r="B2325" s="1">
        <f>IFERROR(__xludf.DUMMYFUNCTION("""COMPUTED_VALUE"""),6082.0)</f>
        <v>6082</v>
      </c>
      <c r="C2325" s="2" t="str">
        <f>IFERROR(__xludf.DUMMYFUNCTION("""COMPUTED_VALUE"""),"Fahmi Justin")</f>
        <v>Fahmi Justin</v>
      </c>
      <c r="D2325" s="2" t="str">
        <f>IFERROR(__xludf.DUMMYFUNCTION("""COMPUTED_VALUE"""),"5KM OVERALL M")</f>
        <v>5KM OVERALL M</v>
      </c>
      <c r="E2325" s="1">
        <f>IFERROR(__xludf.DUMMYFUNCTION("""COMPUTED_VALUE"""),2.0)</f>
        <v>2</v>
      </c>
      <c r="F2325" s="1" t="str">
        <f>IFERROR(__xludf.DUMMYFUNCTION("""COMPUTED_VALUE"""),"Male")</f>
        <v>Male</v>
      </c>
      <c r="G2325" s="4" t="b">
        <f>IFERROR(__xludf.DUMMYFUNCTION("""COMPUTED_VALUE"""),TRUE)</f>
        <v>1</v>
      </c>
      <c r="H2325" s="4" t="b">
        <f>IFERROR(__xludf.DUMMYFUNCTION("""COMPUTED_VALUE"""),FALSE)</f>
        <v>0</v>
      </c>
      <c r="I2325" s="4">
        <f>IFERROR(__xludf.DUMMYFUNCTION("""COMPUTED_VALUE"""),0.2549440625)</f>
        <v>0.2549440625</v>
      </c>
      <c r="J2325" s="4">
        <f>IFERROR(__xludf.DUMMYFUNCTION("""COMPUTED_VALUE"""),45949.28050237904)</f>
        <v>45949.2805</v>
      </c>
      <c r="K2325" s="4" t="str">
        <f>IFERROR(__xludf.DUMMYFUNCTION("""COMPUTED_VALUE"""),"")</f>
        <v/>
      </c>
      <c r="L2325" s="4">
        <f>IFERROR(__xludf.DUMMYFUNCTION("""COMPUTED_VALUE"""),45949.29615087696)</f>
        <v>45949.29615</v>
      </c>
      <c r="M2325" s="1" t="str">
        <f>IFERROR(__xludf.DUMMYFUNCTION("""COMPUTED_VALUE"""),"RFID")</f>
        <v>RFID</v>
      </c>
      <c r="N2325" s="5">
        <f>IFERROR(__xludf.DUMMYFUNCTION("""COMPUTED_VALUE"""),0.010223328703703703)</f>
        <v>0.0102233287</v>
      </c>
      <c r="O2325" s="5" t="str">
        <f>IFERROR(__xludf.DUMMYFUNCTION("""COMPUTED_VALUE"""),"")</f>
        <v/>
      </c>
      <c r="P2325" s="5" t="str">
        <f>IFERROR(__xludf.DUMMYFUNCTION("""COMPUTED_VALUE"""),"")</f>
        <v/>
      </c>
      <c r="Q2325" s="5">
        <f>IFERROR(__xludf.DUMMYFUNCTION("""COMPUTED_VALUE"""),0.008241363425925925)</f>
        <v>0.008241363426</v>
      </c>
      <c r="R2325" s="4">
        <f>IFERROR(__xludf.DUMMYFUNCTION("""COMPUTED_VALUE"""),45949.04120681446)</f>
        <v>45949.04121</v>
      </c>
      <c r="S2325" s="1" t="b">
        <f>IFERROR(__xludf.DUMMYFUNCTION("""COMPUTED_VALUE"""),TRUE)</f>
        <v>1</v>
      </c>
      <c r="T2325" s="1" t="b">
        <f>IFERROR(__xludf.DUMMYFUNCTION("""COMPUTED_VALUE"""),FALSE)</f>
        <v>0</v>
      </c>
      <c r="U2325" s="1" t="str">
        <f>IFERROR(__xludf.DUMMYFUNCTION("""COMPUTED_VALUE"""),"VALID")</f>
        <v>VALID</v>
      </c>
      <c r="V2325" s="1">
        <f>IFERROR(__xludf.DUMMYFUNCTION("""COMPUTED_VALUE"""),737.0)</f>
        <v>737</v>
      </c>
      <c r="W2325" s="1">
        <f>IFERROR(__xludf.DUMMYFUNCTION("""COMPUTED_VALUE"""),1295.0)</f>
        <v>1295</v>
      </c>
      <c r="X2325" s="1">
        <f>IFERROR(__xludf.DUMMYFUNCTION("""COMPUTED_VALUE"""),1026.0)</f>
        <v>1026</v>
      </c>
      <c r="Y2325" s="2"/>
      <c r="Z2325" s="2"/>
    </row>
    <row r="2326">
      <c r="A2326" s="1">
        <f>IFERROR(__xludf.DUMMYFUNCTION("""COMPUTED_VALUE"""),2325.0)</f>
        <v>2325</v>
      </c>
      <c r="B2326" s="1">
        <f>IFERROR(__xludf.DUMMYFUNCTION("""COMPUTED_VALUE"""),6085.0)</f>
        <v>6085</v>
      </c>
      <c r="C2326" s="2" t="str">
        <f>IFERROR(__xludf.DUMMYFUNCTION("""COMPUTED_VALUE"""),"RED")</f>
        <v>RED</v>
      </c>
      <c r="D2326" s="2" t="str">
        <f>IFERROR(__xludf.DUMMYFUNCTION("""COMPUTED_VALUE"""),"5KM OVERALL M")</f>
        <v>5KM OVERALL M</v>
      </c>
      <c r="E2326" s="1">
        <f>IFERROR(__xludf.DUMMYFUNCTION("""COMPUTED_VALUE"""),2.0)</f>
        <v>2</v>
      </c>
      <c r="F2326" s="1" t="str">
        <f>IFERROR(__xludf.DUMMYFUNCTION("""COMPUTED_VALUE"""),"Male")</f>
        <v>Male</v>
      </c>
      <c r="G2326" s="4" t="b">
        <f>IFERROR(__xludf.DUMMYFUNCTION("""COMPUTED_VALUE"""),TRUE)</f>
        <v>1</v>
      </c>
      <c r="H2326" s="4" t="b">
        <f>IFERROR(__xludf.DUMMYFUNCTION("""COMPUTED_VALUE"""),FALSE)</f>
        <v>0</v>
      </c>
      <c r="I2326" s="4">
        <f>IFERROR(__xludf.DUMMYFUNCTION("""COMPUTED_VALUE"""),0.2549440625)</f>
        <v>0.2549440625</v>
      </c>
      <c r="J2326" s="4">
        <f>IFERROR(__xludf.DUMMYFUNCTION("""COMPUTED_VALUE"""),45949.277457241325)</f>
        <v>45949.27746</v>
      </c>
      <c r="K2326" s="4" t="str">
        <f>IFERROR(__xludf.DUMMYFUNCTION("""COMPUTED_VALUE"""),"")</f>
        <v/>
      </c>
      <c r="L2326" s="4">
        <f>IFERROR(__xludf.DUMMYFUNCTION("""COMPUTED_VALUE"""),45949.293880042605)</f>
        <v>45949.29388</v>
      </c>
      <c r="M2326" s="1" t="str">
        <f>IFERROR(__xludf.DUMMYFUNCTION("""COMPUTED_VALUE"""),"RFID")</f>
        <v>RFID</v>
      </c>
      <c r="N2326" s="5">
        <f>IFERROR(__xludf.DUMMYFUNCTION("""COMPUTED_VALUE"""),0.009005273148148148)</f>
        <v>0.009005273148</v>
      </c>
      <c r="O2326" s="5" t="str">
        <f>IFERROR(__xludf.DUMMYFUNCTION("""COMPUTED_VALUE"""),"")</f>
        <v/>
      </c>
      <c r="P2326" s="5" t="str">
        <f>IFERROR(__xludf.DUMMYFUNCTION("""COMPUTED_VALUE"""),"")</f>
        <v/>
      </c>
      <c r="Q2326" s="5">
        <f>IFERROR(__xludf.DUMMYFUNCTION("""COMPUTED_VALUE"""),0.0077871967592592585)</f>
        <v>0.007787196759</v>
      </c>
      <c r="R2326" s="4">
        <f>IFERROR(__xludf.DUMMYFUNCTION("""COMPUTED_VALUE"""),45949.038935980105)</f>
        <v>45949.03894</v>
      </c>
      <c r="S2326" s="1" t="b">
        <f>IFERROR(__xludf.DUMMYFUNCTION("""COMPUTED_VALUE"""),TRUE)</f>
        <v>1</v>
      </c>
      <c r="T2326" s="1" t="b">
        <f>IFERROR(__xludf.DUMMYFUNCTION("""COMPUTED_VALUE"""),FALSE)</f>
        <v>0</v>
      </c>
      <c r="U2326" s="1" t="str">
        <f>IFERROR(__xludf.DUMMYFUNCTION("""COMPUTED_VALUE"""),"VALID")</f>
        <v>VALID</v>
      </c>
      <c r="V2326" s="1">
        <f>IFERROR(__xludf.DUMMYFUNCTION("""COMPUTED_VALUE"""),681.0)</f>
        <v>681</v>
      </c>
      <c r="W2326" s="1">
        <f>IFERROR(__xludf.DUMMYFUNCTION("""COMPUTED_VALUE"""),1166.0)</f>
        <v>1166</v>
      </c>
      <c r="X2326" s="1">
        <f>IFERROR(__xludf.DUMMYFUNCTION("""COMPUTED_VALUE"""),922.0)</f>
        <v>922</v>
      </c>
      <c r="Y2326" s="2"/>
      <c r="Z2326" s="2"/>
    </row>
    <row r="2327">
      <c r="A2327" s="1">
        <f>IFERROR(__xludf.DUMMYFUNCTION("""COMPUTED_VALUE"""),2326.0)</f>
        <v>2326</v>
      </c>
      <c r="B2327" s="1">
        <f>IFERROR(__xludf.DUMMYFUNCTION("""COMPUTED_VALUE"""),6087.0)</f>
        <v>6087</v>
      </c>
      <c r="C2327" s="2" t="str">
        <f>IFERROR(__xludf.DUMMYFUNCTION("""COMPUTED_VALUE"""),"Robby darmawan")</f>
        <v>Robby darmawan</v>
      </c>
      <c r="D2327" s="2" t="str">
        <f>IFERROR(__xludf.DUMMYFUNCTION("""COMPUTED_VALUE"""),"5KM OVERALL M")</f>
        <v>5KM OVERALL M</v>
      </c>
      <c r="E2327" s="1">
        <f>IFERROR(__xludf.DUMMYFUNCTION("""COMPUTED_VALUE"""),2.0)</f>
        <v>2</v>
      </c>
      <c r="F2327" s="1" t="str">
        <f>IFERROR(__xludf.DUMMYFUNCTION("""COMPUTED_VALUE"""),"Male")</f>
        <v>Male</v>
      </c>
      <c r="G2327" s="4" t="b">
        <f>IFERROR(__xludf.DUMMYFUNCTION("""COMPUTED_VALUE"""),TRUE)</f>
        <v>1</v>
      </c>
      <c r="H2327" s="4" t="b">
        <f>IFERROR(__xludf.DUMMYFUNCTION("""COMPUTED_VALUE"""),TRUE)</f>
        <v>1</v>
      </c>
      <c r="I2327" s="4">
        <f>IFERROR(__xludf.DUMMYFUNCTION("""COMPUTED_VALUE"""),0.2549440625)</f>
        <v>0.2549440625</v>
      </c>
      <c r="J2327" s="4">
        <f>IFERROR(__xludf.DUMMYFUNCTION("""COMPUTED_VALUE"""),45949.26905448271)</f>
        <v>45949.26905</v>
      </c>
      <c r="K2327" s="4" t="str">
        <f>IFERROR(__xludf.DUMMYFUNCTION("""COMPUTED_VALUE"""),"")</f>
        <v/>
      </c>
      <c r="L2327" s="4">
        <f>IFERROR(__xludf.DUMMYFUNCTION("""COMPUTED_VALUE"""),45949.27789393567)</f>
        <v>45949.27789</v>
      </c>
      <c r="M2327" s="1" t="str">
        <f>IFERROR(__xludf.DUMMYFUNCTION("""COMPUTED_VALUE"""),"RFID")</f>
        <v>RFID</v>
      </c>
      <c r="N2327" s="5">
        <f>IFERROR(__xludf.DUMMYFUNCTION("""COMPUTED_VALUE"""),0.005644166666666667)</f>
        <v>0.005644166667</v>
      </c>
      <c r="O2327" s="5" t="str">
        <f>IFERROR(__xludf.DUMMYFUNCTION("""COMPUTED_VALUE"""),"")</f>
        <v/>
      </c>
      <c r="P2327" s="5" t="str">
        <f>IFERROR(__xludf.DUMMYFUNCTION("""COMPUTED_VALUE"""),"")</f>
        <v/>
      </c>
      <c r="Q2327" s="5">
        <f>IFERROR(__xludf.DUMMYFUNCTION("""COMPUTED_VALUE"""),0.0045899745370370365)</f>
        <v>0.004589974537</v>
      </c>
      <c r="R2327" s="4">
        <f>IFERROR(__xludf.DUMMYFUNCTION("""COMPUTED_VALUE"""),45949.02294987317)</f>
        <v>45949.02295</v>
      </c>
      <c r="S2327" s="1" t="b">
        <f>IFERROR(__xludf.DUMMYFUNCTION("""COMPUTED_VALUE"""),TRUE)</f>
        <v>1</v>
      </c>
      <c r="T2327" s="1" t="b">
        <f>IFERROR(__xludf.DUMMYFUNCTION("""COMPUTED_VALUE"""),FALSE)</f>
        <v>0</v>
      </c>
      <c r="U2327" s="1" t="str">
        <f>IFERROR(__xludf.DUMMYFUNCTION("""COMPUTED_VALUE"""),"VALID")</f>
        <v>VALID</v>
      </c>
      <c r="V2327" s="1">
        <f>IFERROR(__xludf.DUMMYFUNCTION("""COMPUTED_VALUE"""),135.0)</f>
        <v>135</v>
      </c>
      <c r="W2327" s="1">
        <f>IFERROR(__xludf.DUMMYFUNCTION("""COMPUTED_VALUE"""),208.0)</f>
        <v>208</v>
      </c>
      <c r="X2327" s="1">
        <f>IFERROR(__xludf.DUMMYFUNCTION("""COMPUTED_VALUE"""),181.0)</f>
        <v>181</v>
      </c>
      <c r="Y2327" s="2"/>
      <c r="Z2327" s="2"/>
    </row>
    <row r="2328">
      <c r="A2328" s="1">
        <f>IFERROR(__xludf.DUMMYFUNCTION("""COMPUTED_VALUE"""),2327.0)</f>
        <v>2327</v>
      </c>
      <c r="B2328" s="1">
        <f>IFERROR(__xludf.DUMMYFUNCTION("""COMPUTED_VALUE"""),6088.0)</f>
        <v>6088</v>
      </c>
      <c r="C2328" s="2" t="str">
        <f>IFERROR(__xludf.DUMMYFUNCTION("""COMPUTED_VALUE"""),"EDO")</f>
        <v>EDO</v>
      </c>
      <c r="D2328" s="2" t="str">
        <f>IFERROR(__xludf.DUMMYFUNCTION("""COMPUTED_VALUE"""),"5KM OVERALL M")</f>
        <v>5KM OVERALL M</v>
      </c>
      <c r="E2328" s="1">
        <f>IFERROR(__xludf.DUMMYFUNCTION("""COMPUTED_VALUE"""),2.0)</f>
        <v>2</v>
      </c>
      <c r="F2328" s="1" t="str">
        <f>IFERROR(__xludf.DUMMYFUNCTION("""COMPUTED_VALUE"""),"Male")</f>
        <v>Male</v>
      </c>
      <c r="G2328" s="4" t="b">
        <f>IFERROR(__xludf.DUMMYFUNCTION("""COMPUTED_VALUE"""),TRUE)</f>
        <v>1</v>
      </c>
      <c r="H2328" s="4" t="b">
        <f>IFERROR(__xludf.DUMMYFUNCTION("""COMPUTED_VALUE"""),FALSE)</f>
        <v>0</v>
      </c>
      <c r="I2328" s="4">
        <f>IFERROR(__xludf.DUMMYFUNCTION("""COMPUTED_VALUE"""),0.2549440625)</f>
        <v>0.2549440625</v>
      </c>
      <c r="J2328" s="4">
        <f>IFERROR(__xludf.DUMMYFUNCTION("""COMPUTED_VALUE"""),45949.2727627997)</f>
        <v>45949.27276</v>
      </c>
      <c r="K2328" s="4" t="str">
        <f>IFERROR(__xludf.DUMMYFUNCTION("""COMPUTED_VALUE"""),"")</f>
        <v/>
      </c>
      <c r="L2328" s="4">
        <f>IFERROR(__xludf.DUMMYFUNCTION("""COMPUTED_VALUE"""),45949.28467512156)</f>
        <v>45949.28468</v>
      </c>
      <c r="M2328" s="1" t="str">
        <f>IFERROR(__xludf.DUMMYFUNCTION("""COMPUTED_VALUE"""),"RFID")</f>
        <v>RFID</v>
      </c>
      <c r="N2328" s="5">
        <f>IFERROR(__xludf.DUMMYFUNCTION("""COMPUTED_VALUE"""),0.007127495370370371)</f>
        <v>0.00712749537</v>
      </c>
      <c r="O2328" s="5" t="str">
        <f>IFERROR(__xludf.DUMMYFUNCTION("""COMPUTED_VALUE"""),"")</f>
        <v/>
      </c>
      <c r="P2328" s="5" t="str">
        <f>IFERROR(__xludf.DUMMYFUNCTION("""COMPUTED_VALUE"""),"")</f>
        <v/>
      </c>
      <c r="Q2328" s="5">
        <f>IFERROR(__xludf.DUMMYFUNCTION("""COMPUTED_VALUE"""),0.005946212962962964)</f>
        <v>0.005946212963</v>
      </c>
      <c r="R2328" s="4">
        <f>IFERROR(__xludf.DUMMYFUNCTION("""COMPUTED_VALUE"""),45949.02973105906)</f>
        <v>45949.02973</v>
      </c>
      <c r="S2328" s="1" t="b">
        <f>IFERROR(__xludf.DUMMYFUNCTION("""COMPUTED_VALUE"""),TRUE)</f>
        <v>1</v>
      </c>
      <c r="T2328" s="1" t="b">
        <f>IFERROR(__xludf.DUMMYFUNCTION("""COMPUTED_VALUE"""),FALSE)</f>
        <v>0</v>
      </c>
      <c r="U2328" s="1" t="str">
        <f>IFERROR(__xludf.DUMMYFUNCTION("""COMPUTED_VALUE"""),"VALID")</f>
        <v>VALID</v>
      </c>
      <c r="V2328" s="1">
        <f>IFERROR(__xludf.DUMMYFUNCTION("""COMPUTED_VALUE"""),370.0)</f>
        <v>370</v>
      </c>
      <c r="W2328" s="1">
        <f>IFERROR(__xludf.DUMMYFUNCTION("""COMPUTED_VALUE"""),555.0)</f>
        <v>555</v>
      </c>
      <c r="X2328" s="1">
        <f>IFERROR(__xludf.DUMMYFUNCTION("""COMPUTED_VALUE"""),475.0)</f>
        <v>475</v>
      </c>
      <c r="Y2328" s="2"/>
      <c r="Z2328" s="2"/>
    </row>
    <row r="2329">
      <c r="A2329" s="1">
        <f>IFERROR(__xludf.DUMMYFUNCTION("""COMPUTED_VALUE"""),2328.0)</f>
        <v>2328</v>
      </c>
      <c r="B2329" s="1">
        <f>IFERROR(__xludf.DUMMYFUNCTION("""COMPUTED_VALUE"""),6089.0)</f>
        <v>6089</v>
      </c>
      <c r="C2329" s="2" t="str">
        <f>IFERROR(__xludf.DUMMYFUNCTION("""COMPUTED_VALUE"""),"Septian Adi")</f>
        <v>Septian Adi</v>
      </c>
      <c r="D2329" s="2" t="str">
        <f>IFERROR(__xludf.DUMMYFUNCTION("""COMPUTED_VALUE"""),"5KM OVERALL M")</f>
        <v>5KM OVERALL M</v>
      </c>
      <c r="E2329" s="1">
        <f>IFERROR(__xludf.DUMMYFUNCTION("""COMPUTED_VALUE"""),2.0)</f>
        <v>2</v>
      </c>
      <c r="F2329" s="1" t="str">
        <f>IFERROR(__xludf.DUMMYFUNCTION("""COMPUTED_VALUE"""),"Male")</f>
        <v>Male</v>
      </c>
      <c r="G2329" s="4" t="str">
        <f>IFERROR(__xludf.DUMMYFUNCTION("""COMPUTED_VALUE"""),"")</f>
        <v/>
      </c>
      <c r="H2329" s="4" t="b">
        <f>IFERROR(__xludf.DUMMYFUNCTION("""COMPUTED_VALUE"""),FALSE)</f>
        <v>0</v>
      </c>
      <c r="I2329" s="4">
        <f>IFERROR(__xludf.DUMMYFUNCTION("""COMPUTED_VALUE"""),0.2549440625)</f>
        <v>0.2549440625</v>
      </c>
      <c r="J2329" s="4" t="str">
        <f>IFERROR(__xludf.DUMMYFUNCTION("""COMPUTED_VALUE"""),"")</f>
        <v/>
      </c>
      <c r="K2329" s="4" t="str">
        <f>IFERROR(__xludf.DUMMYFUNCTION("""COMPUTED_VALUE"""),"")</f>
        <v/>
      </c>
      <c r="L2329" s="4" t="str">
        <f>IFERROR(__xludf.DUMMYFUNCTION("""COMPUTED_VALUE"""),"")</f>
        <v/>
      </c>
      <c r="M2329" s="1" t="str">
        <f>IFERROR(__xludf.DUMMYFUNCTION("""COMPUTED_VALUE"""),"RFID")</f>
        <v>RFID</v>
      </c>
      <c r="N2329" s="5" t="str">
        <f>IFERROR(__xludf.DUMMYFUNCTION("""COMPUTED_VALUE"""),"")</f>
        <v/>
      </c>
      <c r="O2329" s="5" t="str">
        <f>IFERROR(__xludf.DUMMYFUNCTION("""COMPUTED_VALUE"""),"")</f>
        <v/>
      </c>
      <c r="P2329" s="5" t="str">
        <f>IFERROR(__xludf.DUMMYFUNCTION("""COMPUTED_VALUE"""),"")</f>
        <v/>
      </c>
      <c r="Q2329" s="5" t="str">
        <f>IFERROR(__xludf.DUMMYFUNCTION("""COMPUTED_VALUE"""),"")</f>
        <v/>
      </c>
      <c r="R2329" s="4" t="str">
        <f>IFERROR(__xludf.DUMMYFUNCTION("""COMPUTED_VALUE"""),"")</f>
        <v/>
      </c>
      <c r="S2329" s="1" t="b">
        <f>IFERROR(__xludf.DUMMYFUNCTION("""COMPUTED_VALUE"""),FALSE)</f>
        <v>0</v>
      </c>
      <c r="T2329" s="1" t="b">
        <f>IFERROR(__xludf.DUMMYFUNCTION("""COMPUTED_VALUE"""),FALSE)</f>
        <v>0</v>
      </c>
      <c r="U2329" s="1" t="str">
        <f>IFERROR(__xludf.DUMMYFUNCTION("""COMPUTED_VALUE"""),"DSQ")</f>
        <v>DSQ</v>
      </c>
      <c r="V2329" s="1" t="str">
        <f>IFERROR(__xludf.DUMMYFUNCTION("""COMPUTED_VALUE"""),"DSQ")</f>
        <v>DSQ</v>
      </c>
      <c r="W2329" s="1" t="str">
        <f>IFERROR(__xludf.DUMMYFUNCTION("""COMPUTED_VALUE"""),"DSQ")</f>
        <v>DSQ</v>
      </c>
      <c r="X2329" s="1" t="str">
        <f>IFERROR(__xludf.DUMMYFUNCTION("""COMPUTED_VALUE"""),"DSQ")</f>
        <v>DSQ</v>
      </c>
      <c r="Y2329" s="2"/>
      <c r="Z2329" s="2" t="str">
        <f>IFERROR(__xludf.DUMMYFUNCTION("""COMPUTED_VALUE"""),"")</f>
        <v/>
      </c>
    </row>
    <row r="2330">
      <c r="A2330" s="1">
        <f>IFERROR(__xludf.DUMMYFUNCTION("""COMPUTED_VALUE"""),2329.0)</f>
        <v>2329</v>
      </c>
      <c r="B2330" s="1">
        <f>IFERROR(__xludf.DUMMYFUNCTION("""COMPUTED_VALUE"""),6092.0)</f>
        <v>6092</v>
      </c>
      <c r="C2330" s="2" t="str">
        <f>IFERROR(__xludf.DUMMYFUNCTION("""COMPUTED_VALUE"""),"Khayubi")</f>
        <v>Khayubi</v>
      </c>
      <c r="D2330" s="2" t="str">
        <f>IFERROR(__xludf.DUMMYFUNCTION("""COMPUTED_VALUE"""),"5KM OVERALL M")</f>
        <v>5KM OVERALL M</v>
      </c>
      <c r="E2330" s="1">
        <f>IFERROR(__xludf.DUMMYFUNCTION("""COMPUTED_VALUE"""),2.0)</f>
        <v>2</v>
      </c>
      <c r="F2330" s="1" t="str">
        <f>IFERROR(__xludf.DUMMYFUNCTION("""COMPUTED_VALUE"""),"Male")</f>
        <v>Male</v>
      </c>
      <c r="G2330" s="4" t="b">
        <f>IFERROR(__xludf.DUMMYFUNCTION("""COMPUTED_VALUE"""),TRUE)</f>
        <v>1</v>
      </c>
      <c r="H2330" s="4" t="b">
        <f>IFERROR(__xludf.DUMMYFUNCTION("""COMPUTED_VALUE"""),TRUE)</f>
        <v>1</v>
      </c>
      <c r="I2330" s="4">
        <f>IFERROR(__xludf.DUMMYFUNCTION("""COMPUTED_VALUE"""),0.2549440625)</f>
        <v>0.2549440625</v>
      </c>
      <c r="J2330" s="4">
        <f>IFERROR(__xludf.DUMMYFUNCTION("""COMPUTED_VALUE"""),45949.28054751824)</f>
        <v>45949.28055</v>
      </c>
      <c r="K2330" s="4" t="str">
        <f>IFERROR(__xludf.DUMMYFUNCTION("""COMPUTED_VALUE"""),"")</f>
        <v/>
      </c>
      <c r="L2330" s="4">
        <f>IFERROR(__xludf.DUMMYFUNCTION("""COMPUTED_VALUE"""),45949.29937309764)</f>
        <v>45949.29937</v>
      </c>
      <c r="M2330" s="1" t="str">
        <f>IFERROR(__xludf.DUMMYFUNCTION("""COMPUTED_VALUE"""),"RFID")</f>
        <v>RFID</v>
      </c>
      <c r="N2330" s="5">
        <f>IFERROR(__xludf.DUMMYFUNCTION("""COMPUTED_VALUE"""),0.01024138425925926)</f>
        <v>0.01024138426</v>
      </c>
      <c r="O2330" s="5" t="str">
        <f>IFERROR(__xludf.DUMMYFUNCTION("""COMPUTED_VALUE"""),"")</f>
        <v/>
      </c>
      <c r="P2330" s="5" t="str">
        <f>IFERROR(__xludf.DUMMYFUNCTION("""COMPUTED_VALUE"""),"")</f>
        <v/>
      </c>
      <c r="Q2330" s="5">
        <f>IFERROR(__xludf.DUMMYFUNCTION("""COMPUTED_VALUE"""),0.00888580787037037)</f>
        <v>0.00888580787</v>
      </c>
      <c r="R2330" s="4">
        <f>IFERROR(__xludf.DUMMYFUNCTION("""COMPUTED_VALUE"""),45949.04442903514)</f>
        <v>45949.04443</v>
      </c>
      <c r="S2330" s="1" t="b">
        <f>IFERROR(__xludf.DUMMYFUNCTION("""COMPUTED_VALUE"""),TRUE)</f>
        <v>1</v>
      </c>
      <c r="T2330" s="1" t="b">
        <f>IFERROR(__xludf.DUMMYFUNCTION("""COMPUTED_VALUE"""),FALSE)</f>
        <v>0</v>
      </c>
      <c r="U2330" s="1" t="str">
        <f>IFERROR(__xludf.DUMMYFUNCTION("""COMPUTED_VALUE"""),"VALID")</f>
        <v>VALID</v>
      </c>
      <c r="V2330" s="1">
        <f>IFERROR(__xludf.DUMMYFUNCTION("""COMPUTED_VALUE"""),786.0)</f>
        <v>786</v>
      </c>
      <c r="W2330" s="1">
        <f>IFERROR(__xludf.DUMMYFUNCTION("""COMPUTED_VALUE"""),1427.0)</f>
        <v>1427</v>
      </c>
      <c r="X2330" s="1">
        <f>IFERROR(__xludf.DUMMYFUNCTION("""COMPUTED_VALUE"""),1170.0)</f>
        <v>1170</v>
      </c>
      <c r="Y2330" s="2"/>
      <c r="Z2330" s="2"/>
    </row>
    <row r="2331">
      <c r="A2331" s="1">
        <f>IFERROR(__xludf.DUMMYFUNCTION("""COMPUTED_VALUE"""),2330.0)</f>
        <v>2330</v>
      </c>
      <c r="B2331" s="1">
        <f>IFERROR(__xludf.DUMMYFUNCTION("""COMPUTED_VALUE"""),6093.0)</f>
        <v>6093</v>
      </c>
      <c r="C2331" s="2" t="str">
        <f>IFERROR(__xludf.DUMMYFUNCTION("""COMPUTED_VALUE"""),"MUHAMMAD ALFIAN NOOR")</f>
        <v>MUHAMMAD ALFIAN NOOR</v>
      </c>
      <c r="D2331" s="2" t="str">
        <f>IFERROR(__xludf.DUMMYFUNCTION("""COMPUTED_VALUE"""),"5KM OVERALL M")</f>
        <v>5KM OVERALL M</v>
      </c>
      <c r="E2331" s="1">
        <f>IFERROR(__xludf.DUMMYFUNCTION("""COMPUTED_VALUE"""),2.0)</f>
        <v>2</v>
      </c>
      <c r="F2331" s="1" t="str">
        <f>IFERROR(__xludf.DUMMYFUNCTION("""COMPUTED_VALUE"""),"Male")</f>
        <v>Male</v>
      </c>
      <c r="G2331" s="4" t="b">
        <f>IFERROR(__xludf.DUMMYFUNCTION("""COMPUTED_VALUE"""),TRUE)</f>
        <v>1</v>
      </c>
      <c r="H2331" s="4" t="b">
        <f>IFERROR(__xludf.DUMMYFUNCTION("""COMPUTED_VALUE"""),TRUE)</f>
        <v>1</v>
      </c>
      <c r="I2331" s="4">
        <f>IFERROR(__xludf.DUMMYFUNCTION("""COMPUTED_VALUE"""),0.2549440625)</f>
        <v>0.2549440625</v>
      </c>
      <c r="J2331" s="4">
        <f>IFERROR(__xludf.DUMMYFUNCTION("""COMPUTED_VALUE"""),45949.2637801667)</f>
        <v>45949.26378</v>
      </c>
      <c r="K2331" s="4" t="str">
        <f>IFERROR(__xludf.DUMMYFUNCTION("""COMPUTED_VALUE"""),"")</f>
        <v/>
      </c>
      <c r="L2331" s="4">
        <f>IFERROR(__xludf.DUMMYFUNCTION("""COMPUTED_VALUE"""),45949.27113350931)</f>
        <v>45949.27113</v>
      </c>
      <c r="M2331" s="1" t="str">
        <f>IFERROR(__xludf.DUMMYFUNCTION("""COMPUTED_VALUE"""),"RFID")</f>
        <v>RFID</v>
      </c>
      <c r="N2331" s="5">
        <f>IFERROR(__xludf.DUMMYFUNCTION("""COMPUTED_VALUE"""),0.0035344398148148145)</f>
        <v>0.003534439815</v>
      </c>
      <c r="O2331" s="5" t="str">
        <f>IFERROR(__xludf.DUMMYFUNCTION("""COMPUTED_VALUE"""),"")</f>
        <v/>
      </c>
      <c r="P2331" s="5" t="str">
        <f>IFERROR(__xludf.DUMMYFUNCTION("""COMPUTED_VALUE"""),"")</f>
        <v/>
      </c>
      <c r="Q2331" s="5">
        <f>IFERROR(__xludf.DUMMYFUNCTION("""COMPUTED_VALUE"""),0.0032378888888888887)</f>
        <v>0.003237888889</v>
      </c>
      <c r="R2331" s="4">
        <f>IFERROR(__xludf.DUMMYFUNCTION("""COMPUTED_VALUE"""),45949.01618944681)</f>
        <v>45949.01619</v>
      </c>
      <c r="S2331" s="1" t="b">
        <f>IFERROR(__xludf.DUMMYFUNCTION("""COMPUTED_VALUE"""),TRUE)</f>
        <v>1</v>
      </c>
      <c r="T2331" s="1" t="b">
        <f>IFERROR(__xludf.DUMMYFUNCTION("""COMPUTED_VALUE"""),FALSE)</f>
        <v>0</v>
      </c>
      <c r="U2331" s="1" t="str">
        <f>IFERROR(__xludf.DUMMYFUNCTION("""COMPUTED_VALUE"""),"VALID")</f>
        <v>VALID</v>
      </c>
      <c r="V2331" s="1">
        <f>IFERROR(__xludf.DUMMYFUNCTION("""COMPUTED_VALUE"""),18.0)</f>
        <v>18</v>
      </c>
      <c r="W2331" s="1">
        <f>IFERROR(__xludf.DUMMYFUNCTION("""COMPUTED_VALUE"""),26.0)</f>
        <v>26</v>
      </c>
      <c r="X2331" s="1">
        <f>IFERROR(__xludf.DUMMYFUNCTION("""COMPUTED_VALUE"""),26.0)</f>
        <v>26</v>
      </c>
      <c r="Y2331" s="2"/>
      <c r="Z2331" s="2"/>
    </row>
    <row r="2332">
      <c r="A2332" s="1">
        <f>IFERROR(__xludf.DUMMYFUNCTION("""COMPUTED_VALUE"""),2331.0)</f>
        <v>2331</v>
      </c>
      <c r="B2332" s="1">
        <f>IFERROR(__xludf.DUMMYFUNCTION("""COMPUTED_VALUE"""),6094.0)</f>
        <v>6094</v>
      </c>
      <c r="C2332" s="2" t="str">
        <f>IFERROR(__xludf.DUMMYFUNCTION("""COMPUTED_VALUE"""),"Eko Agus Wahyudi")</f>
        <v>Eko Agus Wahyudi</v>
      </c>
      <c r="D2332" s="2" t="str">
        <f>IFERROR(__xludf.DUMMYFUNCTION("""COMPUTED_VALUE"""),"5KM OVERALL M")</f>
        <v>5KM OVERALL M</v>
      </c>
      <c r="E2332" s="1">
        <f>IFERROR(__xludf.DUMMYFUNCTION("""COMPUTED_VALUE"""),2.0)</f>
        <v>2</v>
      </c>
      <c r="F2332" s="1" t="str">
        <f>IFERROR(__xludf.DUMMYFUNCTION("""COMPUTED_VALUE"""),"Male")</f>
        <v>Male</v>
      </c>
      <c r="G2332" s="4" t="b">
        <f>IFERROR(__xludf.DUMMYFUNCTION("""COMPUTED_VALUE"""),TRUE)</f>
        <v>1</v>
      </c>
      <c r="H2332" s="4" t="b">
        <f>IFERROR(__xludf.DUMMYFUNCTION("""COMPUTED_VALUE"""),TRUE)</f>
        <v>1</v>
      </c>
      <c r="I2332" s="4">
        <f>IFERROR(__xludf.DUMMYFUNCTION("""COMPUTED_VALUE"""),0.2549440625)</f>
        <v>0.2549440625</v>
      </c>
      <c r="J2332" s="4">
        <f>IFERROR(__xludf.DUMMYFUNCTION("""COMPUTED_VALUE"""),45949.27715516185)</f>
        <v>45949.27716</v>
      </c>
      <c r="K2332" s="4" t="str">
        <f>IFERROR(__xludf.DUMMYFUNCTION("""COMPUTED_VALUE"""),"")</f>
        <v/>
      </c>
      <c r="L2332" s="4">
        <f>IFERROR(__xludf.DUMMYFUNCTION("""COMPUTED_VALUE"""),45949.293397396985)</f>
        <v>45949.2934</v>
      </c>
      <c r="M2332" s="1" t="str">
        <f>IFERROR(__xludf.DUMMYFUNCTION("""COMPUTED_VALUE"""),"RFID")</f>
        <v>RFID</v>
      </c>
      <c r="N2332" s="5">
        <f>IFERROR(__xludf.DUMMYFUNCTION("""COMPUTED_VALUE"""),0.008884439814814815)</f>
        <v>0.008884439815</v>
      </c>
      <c r="O2332" s="5" t="str">
        <f>IFERROR(__xludf.DUMMYFUNCTION("""COMPUTED_VALUE"""),"")</f>
        <v/>
      </c>
      <c r="P2332" s="5" t="str">
        <f>IFERROR(__xludf.DUMMYFUNCTION("""COMPUTED_VALUE"""),"")</f>
        <v/>
      </c>
      <c r="Q2332" s="5">
        <f>IFERROR(__xludf.DUMMYFUNCTION("""COMPUTED_VALUE"""),0.007690666666666667)</f>
        <v>0.007690666667</v>
      </c>
      <c r="R2332" s="4">
        <f>IFERROR(__xludf.DUMMYFUNCTION("""COMPUTED_VALUE"""),45949.038453334484)</f>
        <v>45949.03845</v>
      </c>
      <c r="S2332" s="1" t="b">
        <f>IFERROR(__xludf.DUMMYFUNCTION("""COMPUTED_VALUE"""),TRUE)</f>
        <v>1</v>
      </c>
      <c r="T2332" s="1" t="b">
        <f>IFERROR(__xludf.DUMMYFUNCTION("""COMPUTED_VALUE"""),FALSE)</f>
        <v>0</v>
      </c>
      <c r="U2332" s="1" t="str">
        <f>IFERROR(__xludf.DUMMYFUNCTION("""COMPUTED_VALUE"""),"VALID")</f>
        <v>VALID</v>
      </c>
      <c r="V2332" s="1">
        <f>IFERROR(__xludf.DUMMYFUNCTION("""COMPUTED_VALUE"""),664.0)</f>
        <v>664</v>
      </c>
      <c r="W2332" s="1">
        <f>IFERROR(__xludf.DUMMYFUNCTION("""COMPUTED_VALUE"""),1131.0)</f>
        <v>1131</v>
      </c>
      <c r="X2332" s="1">
        <f>IFERROR(__xludf.DUMMYFUNCTION("""COMPUTED_VALUE"""),897.0)</f>
        <v>897</v>
      </c>
      <c r="Y2332" s="2"/>
      <c r="Z2332" s="2"/>
    </row>
    <row r="2333">
      <c r="A2333" s="1">
        <f>IFERROR(__xludf.DUMMYFUNCTION("""COMPUTED_VALUE"""),2332.0)</f>
        <v>2332</v>
      </c>
      <c r="B2333" s="1">
        <f>IFERROR(__xludf.DUMMYFUNCTION("""COMPUTED_VALUE"""),6095.0)</f>
        <v>6095</v>
      </c>
      <c r="C2333" s="2" t="str">
        <f>IFERROR(__xludf.DUMMYFUNCTION("""COMPUTED_VALUE"""),"KOSIM")</f>
        <v>KOSIM</v>
      </c>
      <c r="D2333" s="2" t="str">
        <f>IFERROR(__xludf.DUMMYFUNCTION("""COMPUTED_VALUE"""),"5KM OVERALL M")</f>
        <v>5KM OVERALL M</v>
      </c>
      <c r="E2333" s="1">
        <f>IFERROR(__xludf.DUMMYFUNCTION("""COMPUTED_VALUE"""),2.0)</f>
        <v>2</v>
      </c>
      <c r="F2333" s="1" t="str">
        <f>IFERROR(__xludf.DUMMYFUNCTION("""COMPUTED_VALUE"""),"Male")</f>
        <v>Male</v>
      </c>
      <c r="G2333" s="4" t="b">
        <f>IFERROR(__xludf.DUMMYFUNCTION("""COMPUTED_VALUE"""),TRUE)</f>
        <v>1</v>
      </c>
      <c r="H2333" s="4" t="b">
        <f>IFERROR(__xludf.DUMMYFUNCTION("""COMPUTED_VALUE"""),TRUE)</f>
        <v>1</v>
      </c>
      <c r="I2333" s="4">
        <f>IFERROR(__xludf.DUMMYFUNCTION("""COMPUTED_VALUE"""),0.2549440625)</f>
        <v>0.2549440625</v>
      </c>
      <c r="J2333" s="4">
        <f>IFERROR(__xludf.DUMMYFUNCTION("""COMPUTED_VALUE"""),45949.26834265695)</f>
        <v>45949.26834</v>
      </c>
      <c r="K2333" s="4" t="str">
        <f>IFERROR(__xludf.DUMMYFUNCTION("""COMPUTED_VALUE"""),"")</f>
        <v/>
      </c>
      <c r="L2333" s="4">
        <f>IFERROR(__xludf.DUMMYFUNCTION("""COMPUTED_VALUE"""),45949.276702910436)</f>
        <v>45949.2767</v>
      </c>
      <c r="M2333" s="1" t="str">
        <f>IFERROR(__xludf.DUMMYFUNCTION("""COMPUTED_VALUE"""),"RFID")</f>
        <v>RFID</v>
      </c>
      <c r="N2333" s="5">
        <f>IFERROR(__xludf.DUMMYFUNCTION("""COMPUTED_VALUE"""),0.005359439814814814)</f>
        <v>0.005359439815</v>
      </c>
      <c r="O2333" s="5" t="str">
        <f>IFERROR(__xludf.DUMMYFUNCTION("""COMPUTED_VALUE"""),"")</f>
        <v/>
      </c>
      <c r="P2333" s="5" t="str">
        <f>IFERROR(__xludf.DUMMYFUNCTION("""COMPUTED_VALUE"""),"")</f>
        <v/>
      </c>
      <c r="Q2333" s="5">
        <f>IFERROR(__xludf.DUMMYFUNCTION("""COMPUTED_VALUE"""),0.004351768518518519)</f>
        <v>0.004351768519</v>
      </c>
      <c r="R2333" s="4">
        <f>IFERROR(__xludf.DUMMYFUNCTION("""COMPUTED_VALUE"""),45949.021758847935)</f>
        <v>45949.02176</v>
      </c>
      <c r="S2333" s="1" t="b">
        <f>IFERROR(__xludf.DUMMYFUNCTION("""COMPUTED_VALUE"""),TRUE)</f>
        <v>1</v>
      </c>
      <c r="T2333" s="1" t="b">
        <f>IFERROR(__xludf.DUMMYFUNCTION("""COMPUTED_VALUE"""),FALSE)</f>
        <v>0</v>
      </c>
      <c r="U2333" s="1" t="str">
        <f>IFERROR(__xludf.DUMMYFUNCTION("""COMPUTED_VALUE"""),"VALID")</f>
        <v>VALID</v>
      </c>
      <c r="V2333" s="1">
        <f>IFERROR(__xludf.DUMMYFUNCTION("""COMPUTED_VALUE"""),107.0)</f>
        <v>107</v>
      </c>
      <c r="W2333" s="1">
        <f>IFERROR(__xludf.DUMMYFUNCTION("""COMPUTED_VALUE"""),167.0)</f>
        <v>167</v>
      </c>
      <c r="X2333" s="1">
        <f>IFERROR(__xludf.DUMMYFUNCTION("""COMPUTED_VALUE"""),148.0)</f>
        <v>148</v>
      </c>
      <c r="Y2333" s="2"/>
      <c r="Z2333" s="2"/>
    </row>
    <row r="2334">
      <c r="A2334" s="1">
        <f>IFERROR(__xludf.DUMMYFUNCTION("""COMPUTED_VALUE"""),2333.0)</f>
        <v>2333</v>
      </c>
      <c r="B2334" s="1">
        <f>IFERROR(__xludf.DUMMYFUNCTION("""COMPUTED_VALUE"""),6096.0)</f>
        <v>6096</v>
      </c>
      <c r="C2334" s="2" t="str">
        <f>IFERROR(__xludf.DUMMYFUNCTION("""COMPUTED_VALUE"""),"Jonson")</f>
        <v>Jonson</v>
      </c>
      <c r="D2334" s="2" t="str">
        <f>IFERROR(__xludf.DUMMYFUNCTION("""COMPUTED_VALUE"""),"5KM OVERALL M")</f>
        <v>5KM OVERALL M</v>
      </c>
      <c r="E2334" s="1">
        <f>IFERROR(__xludf.DUMMYFUNCTION("""COMPUTED_VALUE"""),2.0)</f>
        <v>2</v>
      </c>
      <c r="F2334" s="1" t="str">
        <f>IFERROR(__xludf.DUMMYFUNCTION("""COMPUTED_VALUE"""),"Male")</f>
        <v>Male</v>
      </c>
      <c r="G2334" s="4" t="b">
        <f>IFERROR(__xludf.DUMMYFUNCTION("""COMPUTED_VALUE"""),TRUE)</f>
        <v>1</v>
      </c>
      <c r="H2334" s="4" t="b">
        <f>IFERROR(__xludf.DUMMYFUNCTION("""COMPUTED_VALUE"""),TRUE)</f>
        <v>1</v>
      </c>
      <c r="I2334" s="4">
        <f>IFERROR(__xludf.DUMMYFUNCTION("""COMPUTED_VALUE"""),0.2549440625)</f>
        <v>0.2549440625</v>
      </c>
      <c r="J2334" s="4">
        <f>IFERROR(__xludf.DUMMYFUNCTION("""COMPUTED_VALUE"""),45949.2735926735)</f>
        <v>45949.27359</v>
      </c>
      <c r="K2334" s="4" t="str">
        <f>IFERROR(__xludf.DUMMYFUNCTION("""COMPUTED_VALUE"""),"")</f>
        <v/>
      </c>
      <c r="L2334" s="4">
        <f>IFERROR(__xludf.DUMMYFUNCTION("""COMPUTED_VALUE"""),45949.29018559093)</f>
        <v>45949.29019</v>
      </c>
      <c r="M2334" s="1" t="str">
        <f>IFERROR(__xludf.DUMMYFUNCTION("""COMPUTED_VALUE"""),"RFID")</f>
        <v>RFID</v>
      </c>
      <c r="N2334" s="5">
        <f>IFERROR(__xludf.DUMMYFUNCTION("""COMPUTED_VALUE"""),0.007459444444444445)</f>
        <v>0.007459444444</v>
      </c>
      <c r="O2334" s="5" t="str">
        <f>IFERROR(__xludf.DUMMYFUNCTION("""COMPUTED_VALUE"""),"")</f>
        <v/>
      </c>
      <c r="P2334" s="5" t="str">
        <f>IFERROR(__xludf.DUMMYFUNCTION("""COMPUTED_VALUE"""),"")</f>
        <v/>
      </c>
      <c r="Q2334" s="5">
        <f>IFERROR(__xludf.DUMMYFUNCTION("""COMPUTED_VALUE"""),0.007048305555555555)</f>
        <v>0.007048305556</v>
      </c>
      <c r="R2334" s="4">
        <f>IFERROR(__xludf.DUMMYFUNCTION("""COMPUTED_VALUE"""),45949.03524152843)</f>
        <v>45949.03524</v>
      </c>
      <c r="S2334" s="1" t="b">
        <f>IFERROR(__xludf.DUMMYFUNCTION("""COMPUTED_VALUE"""),TRUE)</f>
        <v>1</v>
      </c>
      <c r="T2334" s="1" t="b">
        <f>IFERROR(__xludf.DUMMYFUNCTION("""COMPUTED_VALUE"""),FALSE)</f>
        <v>0</v>
      </c>
      <c r="U2334" s="1" t="str">
        <f>IFERROR(__xludf.DUMMYFUNCTION("""COMPUTED_VALUE"""),"VALID")</f>
        <v>VALID</v>
      </c>
      <c r="V2334" s="1">
        <f>IFERROR(__xludf.DUMMYFUNCTION("""COMPUTED_VALUE"""),565.0)</f>
        <v>565</v>
      </c>
      <c r="W2334" s="1">
        <f>IFERROR(__xludf.DUMMYFUNCTION("""COMPUTED_VALUE"""),900.0)</f>
        <v>900</v>
      </c>
      <c r="X2334" s="1">
        <f>IFERROR(__xludf.DUMMYFUNCTION("""COMPUTED_VALUE"""),736.0)</f>
        <v>736</v>
      </c>
      <c r="Y2334" s="2"/>
      <c r="Z2334" s="2"/>
    </row>
    <row r="2335">
      <c r="A2335" s="1">
        <f>IFERROR(__xludf.DUMMYFUNCTION("""COMPUTED_VALUE"""),2334.0)</f>
        <v>2334</v>
      </c>
      <c r="B2335" s="1">
        <f>IFERROR(__xludf.DUMMYFUNCTION("""COMPUTED_VALUE"""),6097.0)</f>
        <v>6097</v>
      </c>
      <c r="C2335" s="2" t="str">
        <f>IFERROR(__xludf.DUMMYFUNCTION("""COMPUTED_VALUE"""),"Nugroho")</f>
        <v>Nugroho</v>
      </c>
      <c r="D2335" s="2" t="str">
        <f>IFERROR(__xludf.DUMMYFUNCTION("""COMPUTED_VALUE"""),"5KM OVERALL M")</f>
        <v>5KM OVERALL M</v>
      </c>
      <c r="E2335" s="1">
        <f>IFERROR(__xludf.DUMMYFUNCTION("""COMPUTED_VALUE"""),2.0)</f>
        <v>2</v>
      </c>
      <c r="F2335" s="1" t="str">
        <f>IFERROR(__xludf.DUMMYFUNCTION("""COMPUTED_VALUE"""),"Male")</f>
        <v>Male</v>
      </c>
      <c r="G2335" s="4" t="str">
        <f>IFERROR(__xludf.DUMMYFUNCTION("""COMPUTED_VALUE"""),"")</f>
        <v/>
      </c>
      <c r="H2335" s="4" t="b">
        <f>IFERROR(__xludf.DUMMYFUNCTION("""COMPUTED_VALUE"""),FALSE)</f>
        <v>0</v>
      </c>
      <c r="I2335" s="4">
        <f>IFERROR(__xludf.DUMMYFUNCTION("""COMPUTED_VALUE"""),0.2549440625)</f>
        <v>0.2549440625</v>
      </c>
      <c r="J2335" s="4" t="str">
        <f>IFERROR(__xludf.DUMMYFUNCTION("""COMPUTED_VALUE"""),"")</f>
        <v/>
      </c>
      <c r="K2335" s="4" t="str">
        <f>IFERROR(__xludf.DUMMYFUNCTION("""COMPUTED_VALUE"""),"")</f>
        <v/>
      </c>
      <c r="L2335" s="4" t="str">
        <f>IFERROR(__xludf.DUMMYFUNCTION("""COMPUTED_VALUE"""),"")</f>
        <v/>
      </c>
      <c r="M2335" s="1" t="str">
        <f>IFERROR(__xludf.DUMMYFUNCTION("""COMPUTED_VALUE"""),"RFID")</f>
        <v>RFID</v>
      </c>
      <c r="N2335" s="5" t="str">
        <f>IFERROR(__xludf.DUMMYFUNCTION("""COMPUTED_VALUE"""),"")</f>
        <v/>
      </c>
      <c r="O2335" s="5" t="str">
        <f>IFERROR(__xludf.DUMMYFUNCTION("""COMPUTED_VALUE"""),"")</f>
        <v/>
      </c>
      <c r="P2335" s="5" t="str">
        <f>IFERROR(__xludf.DUMMYFUNCTION("""COMPUTED_VALUE"""),"")</f>
        <v/>
      </c>
      <c r="Q2335" s="5" t="str">
        <f>IFERROR(__xludf.DUMMYFUNCTION("""COMPUTED_VALUE"""),"")</f>
        <v/>
      </c>
      <c r="R2335" s="4" t="str">
        <f>IFERROR(__xludf.DUMMYFUNCTION("""COMPUTED_VALUE"""),"")</f>
        <v/>
      </c>
      <c r="S2335" s="1" t="b">
        <f>IFERROR(__xludf.DUMMYFUNCTION("""COMPUTED_VALUE"""),FALSE)</f>
        <v>0</v>
      </c>
      <c r="T2335" s="1" t="b">
        <f>IFERROR(__xludf.DUMMYFUNCTION("""COMPUTED_VALUE"""),FALSE)</f>
        <v>0</v>
      </c>
      <c r="U2335" s="1" t="str">
        <f>IFERROR(__xludf.DUMMYFUNCTION("""COMPUTED_VALUE"""),"DSQ")</f>
        <v>DSQ</v>
      </c>
      <c r="V2335" s="1" t="str">
        <f>IFERROR(__xludf.DUMMYFUNCTION("""COMPUTED_VALUE"""),"DSQ")</f>
        <v>DSQ</v>
      </c>
      <c r="W2335" s="1" t="str">
        <f>IFERROR(__xludf.DUMMYFUNCTION("""COMPUTED_VALUE"""),"DSQ")</f>
        <v>DSQ</v>
      </c>
      <c r="X2335" s="1" t="str">
        <f>IFERROR(__xludf.DUMMYFUNCTION("""COMPUTED_VALUE"""),"DSQ")</f>
        <v>DSQ</v>
      </c>
      <c r="Y2335" s="2"/>
      <c r="Z2335" s="2" t="str">
        <f>IFERROR(__xludf.DUMMYFUNCTION("""COMPUTED_VALUE"""),"")</f>
        <v/>
      </c>
    </row>
    <row r="2336">
      <c r="A2336" s="1">
        <f>IFERROR(__xludf.DUMMYFUNCTION("""COMPUTED_VALUE"""),2335.0)</f>
        <v>2335</v>
      </c>
      <c r="B2336" s="1">
        <f>IFERROR(__xludf.DUMMYFUNCTION("""COMPUTED_VALUE"""),6101.0)</f>
        <v>6101</v>
      </c>
      <c r="C2336" s="2" t="str">
        <f>IFERROR(__xludf.DUMMYFUNCTION("""COMPUTED_VALUE"""),"rizaldi")</f>
        <v>rizaldi</v>
      </c>
      <c r="D2336" s="2" t="str">
        <f>IFERROR(__xludf.DUMMYFUNCTION("""COMPUTED_VALUE"""),"5KM OVERALL M")</f>
        <v>5KM OVERALL M</v>
      </c>
      <c r="E2336" s="1">
        <f>IFERROR(__xludf.DUMMYFUNCTION("""COMPUTED_VALUE"""),2.0)</f>
        <v>2</v>
      </c>
      <c r="F2336" s="1" t="str">
        <f>IFERROR(__xludf.DUMMYFUNCTION("""COMPUTED_VALUE"""),"Male")</f>
        <v>Male</v>
      </c>
      <c r="G2336" s="4" t="b">
        <f>IFERROR(__xludf.DUMMYFUNCTION("""COMPUTED_VALUE"""),TRUE)</f>
        <v>1</v>
      </c>
      <c r="H2336" s="4" t="b">
        <f>IFERROR(__xludf.DUMMYFUNCTION("""COMPUTED_VALUE"""),TRUE)</f>
        <v>1</v>
      </c>
      <c r="I2336" s="4">
        <f>IFERROR(__xludf.DUMMYFUNCTION("""COMPUTED_VALUE"""),0.2549440625)</f>
        <v>0.2549440625</v>
      </c>
      <c r="J2336" s="4">
        <f>IFERROR(__xludf.DUMMYFUNCTION("""COMPUTED_VALUE"""),45949.27325591747)</f>
        <v>45949.27326</v>
      </c>
      <c r="K2336" s="4" t="str">
        <f>IFERROR(__xludf.DUMMYFUNCTION("""COMPUTED_VALUE"""),"")</f>
        <v/>
      </c>
      <c r="L2336" s="4">
        <f>IFERROR(__xludf.DUMMYFUNCTION("""COMPUTED_VALUE"""),45949.28806755089)</f>
        <v>45949.28807</v>
      </c>
      <c r="M2336" s="1" t="str">
        <f>IFERROR(__xludf.DUMMYFUNCTION("""COMPUTED_VALUE"""),"RFID")</f>
        <v>RFID</v>
      </c>
      <c r="N2336" s="5">
        <f>IFERROR(__xludf.DUMMYFUNCTION("""COMPUTED_VALUE"""),0.007324740740740741)</f>
        <v>0.007324740741</v>
      </c>
      <c r="O2336" s="5" t="str">
        <f>IFERROR(__xludf.DUMMYFUNCTION("""COMPUTED_VALUE"""),"")</f>
        <v/>
      </c>
      <c r="P2336" s="5" t="str">
        <f>IFERROR(__xludf.DUMMYFUNCTION("""COMPUTED_VALUE"""),"")</f>
        <v/>
      </c>
      <c r="Q2336" s="5">
        <f>IFERROR(__xludf.DUMMYFUNCTION("""COMPUTED_VALUE"""),0.006624696759259259)</f>
        <v>0.006624696759</v>
      </c>
      <c r="R2336" s="4">
        <f>IFERROR(__xludf.DUMMYFUNCTION("""COMPUTED_VALUE"""),45949.03312348839)</f>
        <v>45949.03312</v>
      </c>
      <c r="S2336" s="1" t="b">
        <f>IFERROR(__xludf.DUMMYFUNCTION("""COMPUTED_VALUE"""),TRUE)</f>
        <v>1</v>
      </c>
      <c r="T2336" s="1" t="b">
        <f>IFERROR(__xludf.DUMMYFUNCTION("""COMPUTED_VALUE"""),FALSE)</f>
        <v>0</v>
      </c>
      <c r="U2336" s="1" t="str">
        <f>IFERROR(__xludf.DUMMYFUNCTION("""COMPUTED_VALUE"""),"VALID")</f>
        <v>VALID</v>
      </c>
      <c r="V2336" s="1">
        <f>IFERROR(__xludf.DUMMYFUNCTION("""COMPUTED_VALUE"""),500.0)</f>
        <v>500</v>
      </c>
      <c r="W2336" s="1">
        <f>IFERROR(__xludf.DUMMYFUNCTION("""COMPUTED_VALUE"""),782.0)</f>
        <v>782</v>
      </c>
      <c r="X2336" s="1">
        <f>IFERROR(__xludf.DUMMYFUNCTION("""COMPUTED_VALUE"""),647.0)</f>
        <v>647</v>
      </c>
      <c r="Y2336" s="2"/>
      <c r="Z2336" s="2"/>
    </row>
    <row r="2337">
      <c r="A2337" s="1">
        <f>IFERROR(__xludf.DUMMYFUNCTION("""COMPUTED_VALUE"""),2336.0)</f>
        <v>2336</v>
      </c>
      <c r="B2337" s="1">
        <f>IFERROR(__xludf.DUMMYFUNCTION("""COMPUTED_VALUE"""),6102.0)</f>
        <v>6102</v>
      </c>
      <c r="C2337" s="2" t="str">
        <f>IFERROR(__xludf.DUMMYFUNCTION("""COMPUTED_VALUE"""),"Hah.")</f>
        <v>Hah.</v>
      </c>
      <c r="D2337" s="2" t="str">
        <f>IFERROR(__xludf.DUMMYFUNCTION("""COMPUTED_VALUE"""),"5KM OVERALL M")</f>
        <v>5KM OVERALL M</v>
      </c>
      <c r="E2337" s="1">
        <f>IFERROR(__xludf.DUMMYFUNCTION("""COMPUTED_VALUE"""),2.0)</f>
        <v>2</v>
      </c>
      <c r="F2337" s="1" t="str">
        <f>IFERROR(__xludf.DUMMYFUNCTION("""COMPUTED_VALUE"""),"Male")</f>
        <v>Male</v>
      </c>
      <c r="G2337" s="4" t="b">
        <f>IFERROR(__xludf.DUMMYFUNCTION("""COMPUTED_VALUE"""),TRUE)</f>
        <v>1</v>
      </c>
      <c r="H2337" s="4" t="b">
        <f>IFERROR(__xludf.DUMMYFUNCTION("""COMPUTED_VALUE"""),TRUE)</f>
        <v>1</v>
      </c>
      <c r="I2337" s="4">
        <f>IFERROR(__xludf.DUMMYFUNCTION("""COMPUTED_VALUE"""),0.2549440625)</f>
        <v>0.2549440625</v>
      </c>
      <c r="J2337" s="4">
        <f>IFERROR(__xludf.DUMMYFUNCTION("""COMPUTED_VALUE"""),45949.27491219008)</f>
        <v>45949.27491</v>
      </c>
      <c r="K2337" s="4" t="str">
        <f>IFERROR(__xludf.DUMMYFUNCTION("""COMPUTED_VALUE"""),"")</f>
        <v/>
      </c>
      <c r="L2337" s="4">
        <f>IFERROR(__xludf.DUMMYFUNCTION("""COMPUTED_VALUE"""),45949.2861404666)</f>
        <v>45949.28614</v>
      </c>
      <c r="M2337" s="1" t="str">
        <f>IFERROR(__xludf.DUMMYFUNCTION("""COMPUTED_VALUE"""),"RFID")</f>
        <v>RFID</v>
      </c>
      <c r="N2337" s="5">
        <f>IFERROR(__xludf.DUMMYFUNCTION("""COMPUTED_VALUE"""),0.00798725)</f>
        <v>0.00798725</v>
      </c>
      <c r="O2337" s="5" t="str">
        <f>IFERROR(__xludf.DUMMYFUNCTION("""COMPUTED_VALUE"""),"")</f>
        <v/>
      </c>
      <c r="P2337" s="5" t="str">
        <f>IFERROR(__xludf.DUMMYFUNCTION("""COMPUTED_VALUE"""),"")</f>
        <v/>
      </c>
      <c r="Q2337" s="5">
        <f>IFERROR(__xludf.DUMMYFUNCTION("""COMPUTED_VALUE"""),0.006239280092592593)</f>
        <v>0.006239280093</v>
      </c>
      <c r="R2337" s="4">
        <f>IFERROR(__xludf.DUMMYFUNCTION("""COMPUTED_VALUE"""),45949.031196404096)</f>
        <v>45949.0312</v>
      </c>
      <c r="S2337" s="1" t="b">
        <f>IFERROR(__xludf.DUMMYFUNCTION("""COMPUTED_VALUE"""),TRUE)</f>
        <v>1</v>
      </c>
      <c r="T2337" s="1" t="b">
        <f>IFERROR(__xludf.DUMMYFUNCTION("""COMPUTED_VALUE"""),FALSE)</f>
        <v>0</v>
      </c>
      <c r="U2337" s="1" t="str">
        <f>IFERROR(__xludf.DUMMYFUNCTION("""COMPUTED_VALUE"""),"VALID")</f>
        <v>VALID</v>
      </c>
      <c r="V2337" s="1">
        <f>IFERROR(__xludf.DUMMYFUNCTION("""COMPUTED_VALUE"""),418.0)</f>
        <v>418</v>
      </c>
      <c r="W2337" s="1">
        <f>IFERROR(__xludf.DUMMYFUNCTION("""COMPUTED_VALUE"""),642.0)</f>
        <v>642</v>
      </c>
      <c r="X2337" s="1">
        <f>IFERROR(__xludf.DUMMYFUNCTION("""COMPUTED_VALUE"""),536.0)</f>
        <v>536</v>
      </c>
      <c r="Y2337" s="2"/>
      <c r="Z2337" s="2"/>
    </row>
    <row r="2338">
      <c r="A2338" s="1">
        <f>IFERROR(__xludf.DUMMYFUNCTION("""COMPUTED_VALUE"""),2337.0)</f>
        <v>2337</v>
      </c>
      <c r="B2338" s="1">
        <f>IFERROR(__xludf.DUMMYFUNCTION("""COMPUTED_VALUE"""),6103.0)</f>
        <v>6103</v>
      </c>
      <c r="C2338" s="2" t="str">
        <f>IFERROR(__xludf.DUMMYFUNCTION("""COMPUTED_VALUE"""),"MARCEL")</f>
        <v>MARCEL</v>
      </c>
      <c r="D2338" s="2" t="str">
        <f>IFERROR(__xludf.DUMMYFUNCTION("""COMPUTED_VALUE"""),"5KM OVERALL M")</f>
        <v>5KM OVERALL M</v>
      </c>
      <c r="E2338" s="1">
        <f>IFERROR(__xludf.DUMMYFUNCTION("""COMPUTED_VALUE"""),2.0)</f>
        <v>2</v>
      </c>
      <c r="F2338" s="1" t="str">
        <f>IFERROR(__xludf.DUMMYFUNCTION("""COMPUTED_VALUE"""),"Male")</f>
        <v>Male</v>
      </c>
      <c r="G2338" s="4" t="b">
        <f>IFERROR(__xludf.DUMMYFUNCTION("""COMPUTED_VALUE"""),TRUE)</f>
        <v>1</v>
      </c>
      <c r="H2338" s="4" t="b">
        <f>IFERROR(__xludf.DUMMYFUNCTION("""COMPUTED_VALUE"""),FALSE)</f>
        <v>0</v>
      </c>
      <c r="I2338" s="4">
        <f>IFERROR(__xludf.DUMMYFUNCTION("""COMPUTED_VALUE"""),0.2549440625)</f>
        <v>0.2549440625</v>
      </c>
      <c r="J2338" s="4">
        <f>IFERROR(__xludf.DUMMYFUNCTION("""COMPUTED_VALUE"""),45949.27626286986)</f>
        <v>45949.27626</v>
      </c>
      <c r="K2338" s="4" t="str">
        <f>IFERROR(__xludf.DUMMYFUNCTION("""COMPUTED_VALUE"""),"")</f>
        <v/>
      </c>
      <c r="L2338" s="4">
        <f>IFERROR(__xludf.DUMMYFUNCTION("""COMPUTED_VALUE"""),45949.29250851379)</f>
        <v>45949.29251</v>
      </c>
      <c r="M2338" s="1" t="str">
        <f>IFERROR(__xludf.DUMMYFUNCTION("""COMPUTED_VALUE"""),"RFID")</f>
        <v>RFID</v>
      </c>
      <c r="N2338" s="5">
        <f>IFERROR(__xludf.DUMMYFUNCTION("""COMPUTED_VALUE"""),0.008527523148148147)</f>
        <v>0.008527523148</v>
      </c>
      <c r="O2338" s="5" t="str">
        <f>IFERROR(__xludf.DUMMYFUNCTION("""COMPUTED_VALUE"""),"")</f>
        <v/>
      </c>
      <c r="P2338" s="5" t="str">
        <f>IFERROR(__xludf.DUMMYFUNCTION("""COMPUTED_VALUE"""),"")</f>
        <v/>
      </c>
      <c r="Q2338" s="5">
        <f>IFERROR(__xludf.DUMMYFUNCTION("""COMPUTED_VALUE"""),0.007512891203703703)</f>
        <v>0.007512891204</v>
      </c>
      <c r="R2338" s="4">
        <f>IFERROR(__xludf.DUMMYFUNCTION("""COMPUTED_VALUE"""),45949.03756445129)</f>
        <v>45949.03756</v>
      </c>
      <c r="S2338" s="1" t="b">
        <f>IFERROR(__xludf.DUMMYFUNCTION("""COMPUTED_VALUE"""),TRUE)</f>
        <v>1</v>
      </c>
      <c r="T2338" s="1" t="b">
        <f>IFERROR(__xludf.DUMMYFUNCTION("""COMPUTED_VALUE"""),FALSE)</f>
        <v>0</v>
      </c>
      <c r="U2338" s="1" t="str">
        <f>IFERROR(__xludf.DUMMYFUNCTION("""COMPUTED_VALUE"""),"VALID")</f>
        <v>VALID</v>
      </c>
      <c r="V2338" s="1">
        <f>IFERROR(__xludf.DUMMYFUNCTION("""COMPUTED_VALUE"""),641.0)</f>
        <v>641</v>
      </c>
      <c r="W2338" s="1">
        <f>IFERROR(__xludf.DUMMYFUNCTION("""COMPUTED_VALUE"""),1065.0)</f>
        <v>1065</v>
      </c>
      <c r="X2338" s="1">
        <f>IFERROR(__xludf.DUMMYFUNCTION("""COMPUTED_VALUE"""),851.0)</f>
        <v>851</v>
      </c>
      <c r="Y2338" s="2"/>
      <c r="Z2338" s="2"/>
    </row>
    <row r="2339">
      <c r="A2339" s="1">
        <f>IFERROR(__xludf.DUMMYFUNCTION("""COMPUTED_VALUE"""),2338.0)</f>
        <v>2338</v>
      </c>
      <c r="B2339" s="1">
        <f>IFERROR(__xludf.DUMMYFUNCTION("""COMPUTED_VALUE"""),6105.0)</f>
        <v>6105</v>
      </c>
      <c r="C2339" s="2" t="str">
        <f>IFERROR(__xludf.DUMMYFUNCTION("""COMPUTED_VALUE"""),"Hakim")</f>
        <v>Hakim</v>
      </c>
      <c r="D2339" s="2" t="str">
        <f>IFERROR(__xludf.DUMMYFUNCTION("""COMPUTED_VALUE"""),"5KM OVERALL M")</f>
        <v>5KM OVERALL M</v>
      </c>
      <c r="E2339" s="1">
        <f>IFERROR(__xludf.DUMMYFUNCTION("""COMPUTED_VALUE"""),2.0)</f>
        <v>2</v>
      </c>
      <c r="F2339" s="1" t="str">
        <f>IFERROR(__xludf.DUMMYFUNCTION("""COMPUTED_VALUE"""),"Male")</f>
        <v>Male</v>
      </c>
      <c r="G2339" s="4" t="b">
        <f>IFERROR(__xludf.DUMMYFUNCTION("""COMPUTED_VALUE"""),TRUE)</f>
        <v>1</v>
      </c>
      <c r="H2339" s="4" t="b">
        <f>IFERROR(__xludf.DUMMYFUNCTION("""COMPUTED_VALUE"""),TRUE)</f>
        <v>1</v>
      </c>
      <c r="I2339" s="4">
        <f>IFERROR(__xludf.DUMMYFUNCTION("""COMPUTED_VALUE"""),0.2549440625)</f>
        <v>0.2549440625</v>
      </c>
      <c r="J2339" s="4">
        <f>IFERROR(__xludf.DUMMYFUNCTION("""COMPUTED_VALUE"""),45949.27349543125)</f>
        <v>45949.2735</v>
      </c>
      <c r="K2339" s="4" t="str">
        <f>IFERROR(__xludf.DUMMYFUNCTION("""COMPUTED_VALUE"""),"")</f>
        <v/>
      </c>
      <c r="L2339" s="4">
        <f>IFERROR(__xludf.DUMMYFUNCTION("""COMPUTED_VALUE"""),45949.28847727391)</f>
        <v>45949.28848</v>
      </c>
      <c r="M2339" s="1" t="str">
        <f>IFERROR(__xludf.DUMMYFUNCTION("""COMPUTED_VALUE"""),"RFID")</f>
        <v>RFID</v>
      </c>
      <c r="N2339" s="5">
        <f>IFERROR(__xludf.DUMMYFUNCTION("""COMPUTED_VALUE"""),0.007420546296296296)</f>
        <v>0.007420546296</v>
      </c>
      <c r="O2339" s="5" t="str">
        <f>IFERROR(__xludf.DUMMYFUNCTION("""COMPUTED_VALUE"""),"")</f>
        <v/>
      </c>
      <c r="P2339" s="5" t="str">
        <f>IFERROR(__xludf.DUMMYFUNCTION("""COMPUTED_VALUE"""),"")</f>
        <v/>
      </c>
      <c r="Q2339" s="5">
        <f>IFERROR(__xludf.DUMMYFUNCTION("""COMPUTED_VALUE"""),0.006706641203703703)</f>
        <v>0.006706641204</v>
      </c>
      <c r="R2339" s="4">
        <f>IFERROR(__xludf.DUMMYFUNCTION("""COMPUTED_VALUE"""),45949.03353321141)</f>
        <v>45949.03353</v>
      </c>
      <c r="S2339" s="1" t="b">
        <f>IFERROR(__xludf.DUMMYFUNCTION("""COMPUTED_VALUE"""),TRUE)</f>
        <v>1</v>
      </c>
      <c r="T2339" s="1" t="b">
        <f>IFERROR(__xludf.DUMMYFUNCTION("""COMPUTED_VALUE"""),FALSE)</f>
        <v>0</v>
      </c>
      <c r="U2339" s="1" t="str">
        <f>IFERROR(__xludf.DUMMYFUNCTION("""COMPUTED_VALUE"""),"VALID")</f>
        <v>VALID</v>
      </c>
      <c r="V2339" s="1">
        <f>IFERROR(__xludf.DUMMYFUNCTION("""COMPUTED_VALUE"""),516.0)</f>
        <v>516</v>
      </c>
      <c r="W2339" s="1">
        <f>IFERROR(__xludf.DUMMYFUNCTION("""COMPUTED_VALUE"""),811.0)</f>
        <v>811</v>
      </c>
      <c r="X2339" s="1">
        <f>IFERROR(__xludf.DUMMYFUNCTION("""COMPUTED_VALUE"""),666.0)</f>
        <v>666</v>
      </c>
      <c r="Y2339" s="2"/>
      <c r="Z2339" s="2"/>
    </row>
    <row r="2340">
      <c r="A2340" s="1">
        <f>IFERROR(__xludf.DUMMYFUNCTION("""COMPUTED_VALUE"""),2339.0)</f>
        <v>2339</v>
      </c>
      <c r="B2340" s="1">
        <f>IFERROR(__xludf.DUMMYFUNCTION("""COMPUTED_VALUE"""),6106.0)</f>
        <v>6106</v>
      </c>
      <c r="C2340" s="2" t="str">
        <f>IFERROR(__xludf.DUMMYFUNCTION("""COMPUTED_VALUE"""),"Alif")</f>
        <v>Alif</v>
      </c>
      <c r="D2340" s="2" t="str">
        <f>IFERROR(__xludf.DUMMYFUNCTION("""COMPUTED_VALUE"""),"5KM OVERALL M")</f>
        <v>5KM OVERALL M</v>
      </c>
      <c r="E2340" s="1">
        <f>IFERROR(__xludf.DUMMYFUNCTION("""COMPUTED_VALUE"""),2.0)</f>
        <v>2</v>
      </c>
      <c r="F2340" s="1" t="str">
        <f>IFERROR(__xludf.DUMMYFUNCTION("""COMPUTED_VALUE"""),"Male")</f>
        <v>Male</v>
      </c>
      <c r="G2340" s="4" t="b">
        <f>IFERROR(__xludf.DUMMYFUNCTION("""COMPUTED_VALUE"""),TRUE)</f>
        <v>1</v>
      </c>
      <c r="H2340" s="4" t="b">
        <f>IFERROR(__xludf.DUMMYFUNCTION("""COMPUTED_VALUE"""),FALSE)</f>
        <v>0</v>
      </c>
      <c r="I2340" s="4">
        <f>IFERROR(__xludf.DUMMYFUNCTION("""COMPUTED_VALUE"""),0.2549440625)</f>
        <v>0.2549440625</v>
      </c>
      <c r="J2340" s="4">
        <f>IFERROR(__xludf.DUMMYFUNCTION("""COMPUTED_VALUE"""),45949.278457323795)</f>
        <v>45949.27846</v>
      </c>
      <c r="K2340" s="4" t="str">
        <f>IFERROR(__xludf.DUMMYFUNCTION("""COMPUTED_VALUE"""),"")</f>
        <v/>
      </c>
      <c r="L2340" s="4">
        <f>IFERROR(__xludf.DUMMYFUNCTION("""COMPUTED_VALUE"""),45949.29666818404)</f>
        <v>45949.29667</v>
      </c>
      <c r="M2340" s="1" t="str">
        <f>IFERROR(__xludf.DUMMYFUNCTION("""COMPUTED_VALUE"""),"RFID")</f>
        <v>RFID</v>
      </c>
      <c r="N2340" s="5">
        <f>IFERROR(__xludf.DUMMYFUNCTION("""COMPUTED_VALUE"""),0.009405305555555556)</f>
        <v>0.009405305556</v>
      </c>
      <c r="O2340" s="5" t="str">
        <f>IFERROR(__xludf.DUMMYFUNCTION("""COMPUTED_VALUE"""),"")</f>
        <v/>
      </c>
      <c r="P2340" s="5" t="str">
        <f>IFERROR(__xludf.DUMMYFUNCTION("""COMPUTED_VALUE"""),"")</f>
        <v/>
      </c>
      <c r="Q2340" s="5">
        <f>IFERROR(__xludf.DUMMYFUNCTION("""COMPUTED_VALUE"""),0.008344824074074074)</f>
        <v>0.008344824074</v>
      </c>
      <c r="R2340" s="4">
        <f>IFERROR(__xludf.DUMMYFUNCTION("""COMPUTED_VALUE"""),45949.04172412154)</f>
        <v>45949.04172</v>
      </c>
      <c r="S2340" s="1" t="b">
        <f>IFERROR(__xludf.DUMMYFUNCTION("""COMPUTED_VALUE"""),TRUE)</f>
        <v>1</v>
      </c>
      <c r="T2340" s="1" t="b">
        <f>IFERROR(__xludf.DUMMYFUNCTION("""COMPUTED_VALUE"""),FALSE)</f>
        <v>0</v>
      </c>
      <c r="U2340" s="1" t="str">
        <f>IFERROR(__xludf.DUMMYFUNCTION("""COMPUTED_VALUE"""),"VALID")</f>
        <v>VALID</v>
      </c>
      <c r="V2340" s="1">
        <f>IFERROR(__xludf.DUMMYFUNCTION("""COMPUTED_VALUE"""),752.0)</f>
        <v>752</v>
      </c>
      <c r="W2340" s="1">
        <f>IFERROR(__xludf.DUMMYFUNCTION("""COMPUTED_VALUE"""),1323.0)</f>
        <v>1323</v>
      </c>
      <c r="X2340" s="1">
        <f>IFERROR(__xludf.DUMMYFUNCTION("""COMPUTED_VALUE"""),1056.0)</f>
        <v>1056</v>
      </c>
      <c r="Y2340" s="2"/>
      <c r="Z2340" s="2"/>
    </row>
    <row r="2341">
      <c r="A2341" s="1">
        <f>IFERROR(__xludf.DUMMYFUNCTION("""COMPUTED_VALUE"""),2340.0)</f>
        <v>2340</v>
      </c>
      <c r="B2341" s="1">
        <f>IFERROR(__xludf.DUMMYFUNCTION("""COMPUTED_VALUE"""),6111.0)</f>
        <v>6111</v>
      </c>
      <c r="C2341" s="2" t="str">
        <f>IFERROR(__xludf.DUMMYFUNCTION("""COMPUTED_VALUE"""),"djar.forbes")</f>
        <v>djar.forbes</v>
      </c>
      <c r="D2341" s="2" t="str">
        <f>IFERROR(__xludf.DUMMYFUNCTION("""COMPUTED_VALUE"""),"5KM OVERALL M")</f>
        <v>5KM OVERALL M</v>
      </c>
      <c r="E2341" s="1">
        <f>IFERROR(__xludf.DUMMYFUNCTION("""COMPUTED_VALUE"""),2.0)</f>
        <v>2</v>
      </c>
      <c r="F2341" s="1" t="str">
        <f>IFERROR(__xludf.DUMMYFUNCTION("""COMPUTED_VALUE"""),"Male")</f>
        <v>Male</v>
      </c>
      <c r="G2341" s="4" t="b">
        <f>IFERROR(__xludf.DUMMYFUNCTION("""COMPUTED_VALUE"""),TRUE)</f>
        <v>1</v>
      </c>
      <c r="H2341" s="4" t="b">
        <f>IFERROR(__xludf.DUMMYFUNCTION("""COMPUTED_VALUE"""),TRUE)</f>
        <v>1</v>
      </c>
      <c r="I2341" s="4">
        <f>IFERROR(__xludf.DUMMYFUNCTION("""COMPUTED_VALUE"""),0.2549440625)</f>
        <v>0.2549440625</v>
      </c>
      <c r="J2341" s="4">
        <f>IFERROR(__xludf.DUMMYFUNCTION("""COMPUTED_VALUE"""),45949.277571830535)</f>
        <v>45949.27757</v>
      </c>
      <c r="K2341" s="4" t="str">
        <f>IFERROR(__xludf.DUMMYFUNCTION("""COMPUTED_VALUE"""),"")</f>
        <v/>
      </c>
      <c r="L2341" s="4">
        <f>IFERROR(__xludf.DUMMYFUNCTION("""COMPUTED_VALUE"""),45949.2949535885)</f>
        <v>45949.29495</v>
      </c>
      <c r="M2341" s="1" t="str">
        <f>IFERROR(__xludf.DUMMYFUNCTION("""COMPUTED_VALUE"""),"RFID")</f>
        <v>RFID</v>
      </c>
      <c r="N2341" s="5">
        <f>IFERROR(__xludf.DUMMYFUNCTION("""COMPUTED_VALUE"""),0.009051106481481481)</f>
        <v>0.009051106481</v>
      </c>
      <c r="O2341" s="5" t="str">
        <f>IFERROR(__xludf.DUMMYFUNCTION("""COMPUTED_VALUE"""),"")</f>
        <v/>
      </c>
      <c r="P2341" s="5" t="str">
        <f>IFERROR(__xludf.DUMMYFUNCTION("""COMPUTED_VALUE"""),"")</f>
        <v/>
      </c>
      <c r="Q2341" s="5">
        <f>IFERROR(__xludf.DUMMYFUNCTION("""COMPUTED_VALUE"""),0.008001905092592593)</f>
        <v>0.008001905093</v>
      </c>
      <c r="R2341" s="4">
        <f>IFERROR(__xludf.DUMMYFUNCTION("""COMPUTED_VALUE"""),45949.040009526)</f>
        <v>45949.04001</v>
      </c>
      <c r="S2341" s="1" t="b">
        <f>IFERROR(__xludf.DUMMYFUNCTION("""COMPUTED_VALUE"""),TRUE)</f>
        <v>1</v>
      </c>
      <c r="T2341" s="1" t="b">
        <f>IFERROR(__xludf.DUMMYFUNCTION("""COMPUTED_VALUE"""),FALSE)</f>
        <v>0</v>
      </c>
      <c r="U2341" s="1" t="str">
        <f>IFERROR(__xludf.DUMMYFUNCTION("""COMPUTED_VALUE"""),"VALID")</f>
        <v>VALID</v>
      </c>
      <c r="V2341" s="1">
        <f>IFERROR(__xludf.DUMMYFUNCTION("""COMPUTED_VALUE"""),714.0)</f>
        <v>714</v>
      </c>
      <c r="W2341" s="1">
        <f>IFERROR(__xludf.DUMMYFUNCTION("""COMPUTED_VALUE"""),1244.0)</f>
        <v>1244</v>
      </c>
      <c r="X2341" s="1">
        <f>IFERROR(__xludf.DUMMYFUNCTION("""COMPUTED_VALUE"""),980.0)</f>
        <v>980</v>
      </c>
      <c r="Y2341" s="2"/>
      <c r="Z2341" s="2"/>
    </row>
    <row r="2342">
      <c r="A2342" s="1">
        <f>IFERROR(__xludf.DUMMYFUNCTION("""COMPUTED_VALUE"""),2341.0)</f>
        <v>2341</v>
      </c>
      <c r="B2342" s="1">
        <f>IFERROR(__xludf.DUMMYFUNCTION("""COMPUTED_VALUE"""),6112.0)</f>
        <v>6112</v>
      </c>
      <c r="C2342" s="2" t="str">
        <f>IFERROR(__xludf.DUMMYFUNCTION("""COMPUTED_VALUE"""),"Imam Utomo Police Runners Tala")</f>
        <v>Imam Utomo Police Runners Tala</v>
      </c>
      <c r="D2342" s="2" t="str">
        <f>IFERROR(__xludf.DUMMYFUNCTION("""COMPUTED_VALUE"""),"5KM OVERALL M")</f>
        <v>5KM OVERALL M</v>
      </c>
      <c r="E2342" s="1">
        <f>IFERROR(__xludf.DUMMYFUNCTION("""COMPUTED_VALUE"""),2.0)</f>
        <v>2</v>
      </c>
      <c r="F2342" s="1" t="str">
        <f>IFERROR(__xludf.DUMMYFUNCTION("""COMPUTED_VALUE"""),"Male")</f>
        <v>Male</v>
      </c>
      <c r="G2342" s="4" t="b">
        <f>IFERROR(__xludf.DUMMYFUNCTION("""COMPUTED_VALUE"""),TRUE)</f>
        <v>1</v>
      </c>
      <c r="H2342" s="4" t="b">
        <f>IFERROR(__xludf.DUMMYFUNCTION("""COMPUTED_VALUE"""),FALSE)</f>
        <v>0</v>
      </c>
      <c r="I2342" s="4">
        <f>IFERROR(__xludf.DUMMYFUNCTION("""COMPUTED_VALUE"""),0.2549440625)</f>
        <v>0.2549440625</v>
      </c>
      <c r="J2342" s="4">
        <f>IFERROR(__xludf.DUMMYFUNCTION("""COMPUTED_VALUE"""),45949.27439133611)</f>
        <v>45949.27439</v>
      </c>
      <c r="K2342" s="4" t="str">
        <f>IFERROR(__xludf.DUMMYFUNCTION("""COMPUTED_VALUE"""),"")</f>
        <v/>
      </c>
      <c r="L2342" s="4">
        <f>IFERROR(__xludf.DUMMYFUNCTION("""COMPUTED_VALUE"""),45949.28837656221)</f>
        <v>45949.28838</v>
      </c>
      <c r="M2342" s="1" t="str">
        <f>IFERROR(__xludf.DUMMYFUNCTION("""COMPUTED_VALUE"""),"RFID")</f>
        <v>RFID</v>
      </c>
      <c r="N2342" s="5">
        <f>IFERROR(__xludf.DUMMYFUNCTION("""COMPUTED_VALUE"""),0.007778907407407406)</f>
        <v>0.007778907407</v>
      </c>
      <c r="O2342" s="5" t="str">
        <f>IFERROR(__xludf.DUMMYFUNCTION("""COMPUTED_VALUE"""),"")</f>
        <v/>
      </c>
      <c r="P2342" s="5" t="str">
        <f>IFERROR(__xludf.DUMMYFUNCTION("""COMPUTED_VALUE"""),"")</f>
        <v/>
      </c>
      <c r="Q2342" s="5">
        <f>IFERROR(__xludf.DUMMYFUNCTION("""COMPUTED_VALUE"""),0.006686500000000001)</f>
        <v>0.0066865</v>
      </c>
      <c r="R2342" s="4">
        <f>IFERROR(__xludf.DUMMYFUNCTION("""COMPUTED_VALUE"""),45949.03343249971)</f>
        <v>45949.03343</v>
      </c>
      <c r="S2342" s="1" t="b">
        <f>IFERROR(__xludf.DUMMYFUNCTION("""COMPUTED_VALUE"""),TRUE)</f>
        <v>1</v>
      </c>
      <c r="T2342" s="1" t="b">
        <f>IFERROR(__xludf.DUMMYFUNCTION("""COMPUTED_VALUE"""),FALSE)</f>
        <v>0</v>
      </c>
      <c r="U2342" s="1" t="str">
        <f>IFERROR(__xludf.DUMMYFUNCTION("""COMPUTED_VALUE"""),"VALID")</f>
        <v>VALID</v>
      </c>
      <c r="V2342" s="1">
        <f>IFERROR(__xludf.DUMMYFUNCTION("""COMPUTED_VALUE"""),512.0)</f>
        <v>512</v>
      </c>
      <c r="W2342" s="1">
        <f>IFERROR(__xludf.DUMMYFUNCTION("""COMPUTED_VALUE"""),803.0)</f>
        <v>803</v>
      </c>
      <c r="X2342" s="1">
        <f>IFERROR(__xludf.DUMMYFUNCTION("""COMPUTED_VALUE"""),661.0)</f>
        <v>661</v>
      </c>
      <c r="Y2342" s="2"/>
      <c r="Z2342" s="2"/>
    </row>
    <row r="2343">
      <c r="A2343" s="1">
        <f>IFERROR(__xludf.DUMMYFUNCTION("""COMPUTED_VALUE"""),2342.0)</f>
        <v>2342</v>
      </c>
      <c r="B2343" s="1">
        <f>IFERROR(__xludf.DUMMYFUNCTION("""COMPUTED_VALUE"""),6113.0)</f>
        <v>6113</v>
      </c>
      <c r="C2343" s="2" t="str">
        <f>IFERROR(__xludf.DUMMYFUNCTION("""COMPUTED_VALUE"""),"indra")</f>
        <v>indra</v>
      </c>
      <c r="D2343" s="2" t="str">
        <f>IFERROR(__xludf.DUMMYFUNCTION("""COMPUTED_VALUE"""),"5KM OVERALL M")</f>
        <v>5KM OVERALL M</v>
      </c>
      <c r="E2343" s="1">
        <f>IFERROR(__xludf.DUMMYFUNCTION("""COMPUTED_VALUE"""),2.0)</f>
        <v>2</v>
      </c>
      <c r="F2343" s="1" t="str">
        <f>IFERROR(__xludf.DUMMYFUNCTION("""COMPUTED_VALUE"""),"Male")</f>
        <v>Male</v>
      </c>
      <c r="G2343" s="4" t="str">
        <f>IFERROR(__xludf.DUMMYFUNCTION("""COMPUTED_VALUE"""),"")</f>
        <v/>
      </c>
      <c r="H2343" s="4" t="b">
        <f>IFERROR(__xludf.DUMMYFUNCTION("""COMPUTED_VALUE"""),FALSE)</f>
        <v>0</v>
      </c>
      <c r="I2343" s="4">
        <f>IFERROR(__xludf.DUMMYFUNCTION("""COMPUTED_VALUE"""),0.2549440625)</f>
        <v>0.2549440625</v>
      </c>
      <c r="J2343" s="4" t="str">
        <f>IFERROR(__xludf.DUMMYFUNCTION("""COMPUTED_VALUE"""),"")</f>
        <v/>
      </c>
      <c r="K2343" s="4" t="str">
        <f>IFERROR(__xludf.DUMMYFUNCTION("""COMPUTED_VALUE"""),"")</f>
        <v/>
      </c>
      <c r="L2343" s="4" t="str">
        <f>IFERROR(__xludf.DUMMYFUNCTION("""COMPUTED_VALUE"""),"")</f>
        <v/>
      </c>
      <c r="M2343" s="1" t="str">
        <f>IFERROR(__xludf.DUMMYFUNCTION("""COMPUTED_VALUE"""),"RFID")</f>
        <v>RFID</v>
      </c>
      <c r="N2343" s="5" t="str">
        <f>IFERROR(__xludf.DUMMYFUNCTION("""COMPUTED_VALUE"""),"")</f>
        <v/>
      </c>
      <c r="O2343" s="5" t="str">
        <f>IFERROR(__xludf.DUMMYFUNCTION("""COMPUTED_VALUE"""),"")</f>
        <v/>
      </c>
      <c r="P2343" s="5" t="str">
        <f>IFERROR(__xludf.DUMMYFUNCTION("""COMPUTED_VALUE"""),"")</f>
        <v/>
      </c>
      <c r="Q2343" s="5" t="str">
        <f>IFERROR(__xludf.DUMMYFUNCTION("""COMPUTED_VALUE"""),"")</f>
        <v/>
      </c>
      <c r="R2343" s="4" t="str">
        <f>IFERROR(__xludf.DUMMYFUNCTION("""COMPUTED_VALUE"""),"")</f>
        <v/>
      </c>
      <c r="S2343" s="1" t="b">
        <f>IFERROR(__xludf.DUMMYFUNCTION("""COMPUTED_VALUE"""),FALSE)</f>
        <v>0</v>
      </c>
      <c r="T2343" s="1" t="b">
        <f>IFERROR(__xludf.DUMMYFUNCTION("""COMPUTED_VALUE"""),FALSE)</f>
        <v>0</v>
      </c>
      <c r="U2343" s="1" t="str">
        <f>IFERROR(__xludf.DUMMYFUNCTION("""COMPUTED_VALUE"""),"DSQ")</f>
        <v>DSQ</v>
      </c>
      <c r="V2343" s="1" t="str">
        <f>IFERROR(__xludf.DUMMYFUNCTION("""COMPUTED_VALUE"""),"DSQ")</f>
        <v>DSQ</v>
      </c>
      <c r="W2343" s="1" t="str">
        <f>IFERROR(__xludf.DUMMYFUNCTION("""COMPUTED_VALUE"""),"DSQ")</f>
        <v>DSQ</v>
      </c>
      <c r="X2343" s="1" t="str">
        <f>IFERROR(__xludf.DUMMYFUNCTION("""COMPUTED_VALUE"""),"DSQ")</f>
        <v>DSQ</v>
      </c>
      <c r="Y2343" s="2"/>
      <c r="Z2343" s="2" t="str">
        <f>IFERROR(__xludf.DUMMYFUNCTION("""COMPUTED_VALUE"""),"")</f>
        <v/>
      </c>
    </row>
    <row r="2344">
      <c r="A2344" s="1">
        <f>IFERROR(__xludf.DUMMYFUNCTION("""COMPUTED_VALUE"""),2343.0)</f>
        <v>2343</v>
      </c>
      <c r="B2344" s="1">
        <f>IFERROR(__xludf.DUMMYFUNCTION("""COMPUTED_VALUE"""),6115.0)</f>
        <v>6115</v>
      </c>
      <c r="C2344" s="2" t="str">
        <f>IFERROR(__xludf.DUMMYFUNCTION("""COMPUTED_VALUE"""),"Hanif")</f>
        <v>Hanif</v>
      </c>
      <c r="D2344" s="2" t="str">
        <f>IFERROR(__xludf.DUMMYFUNCTION("""COMPUTED_VALUE"""),"5KM OVERALL M")</f>
        <v>5KM OVERALL M</v>
      </c>
      <c r="E2344" s="1">
        <f>IFERROR(__xludf.DUMMYFUNCTION("""COMPUTED_VALUE"""),2.0)</f>
        <v>2</v>
      </c>
      <c r="F2344" s="1" t="str">
        <f>IFERROR(__xludf.DUMMYFUNCTION("""COMPUTED_VALUE"""),"Male")</f>
        <v>Male</v>
      </c>
      <c r="G2344" s="4" t="str">
        <f>IFERROR(__xludf.DUMMYFUNCTION("""COMPUTED_VALUE"""),"")</f>
        <v/>
      </c>
      <c r="H2344" s="4" t="b">
        <f>IFERROR(__xludf.DUMMYFUNCTION("""COMPUTED_VALUE"""),FALSE)</f>
        <v>0</v>
      </c>
      <c r="I2344" s="4">
        <f>IFERROR(__xludf.DUMMYFUNCTION("""COMPUTED_VALUE"""),0.2549440625)</f>
        <v>0.2549440625</v>
      </c>
      <c r="J2344" s="4" t="str">
        <f>IFERROR(__xludf.DUMMYFUNCTION("""COMPUTED_VALUE"""),"")</f>
        <v/>
      </c>
      <c r="K2344" s="4" t="str">
        <f>IFERROR(__xludf.DUMMYFUNCTION("""COMPUTED_VALUE"""),"")</f>
        <v/>
      </c>
      <c r="L2344" s="4" t="str">
        <f>IFERROR(__xludf.DUMMYFUNCTION("""COMPUTED_VALUE"""),"")</f>
        <v/>
      </c>
      <c r="M2344" s="1" t="str">
        <f>IFERROR(__xludf.DUMMYFUNCTION("""COMPUTED_VALUE"""),"RFID")</f>
        <v>RFID</v>
      </c>
      <c r="N2344" s="5" t="str">
        <f>IFERROR(__xludf.DUMMYFUNCTION("""COMPUTED_VALUE"""),"")</f>
        <v/>
      </c>
      <c r="O2344" s="5" t="str">
        <f>IFERROR(__xludf.DUMMYFUNCTION("""COMPUTED_VALUE"""),"")</f>
        <v/>
      </c>
      <c r="P2344" s="5" t="str">
        <f>IFERROR(__xludf.DUMMYFUNCTION("""COMPUTED_VALUE"""),"")</f>
        <v/>
      </c>
      <c r="Q2344" s="5" t="str">
        <f>IFERROR(__xludf.DUMMYFUNCTION("""COMPUTED_VALUE"""),"")</f>
        <v/>
      </c>
      <c r="R2344" s="4" t="str">
        <f>IFERROR(__xludf.DUMMYFUNCTION("""COMPUTED_VALUE"""),"")</f>
        <v/>
      </c>
      <c r="S2344" s="1" t="b">
        <f>IFERROR(__xludf.DUMMYFUNCTION("""COMPUTED_VALUE"""),FALSE)</f>
        <v>0</v>
      </c>
      <c r="T2344" s="1" t="b">
        <f>IFERROR(__xludf.DUMMYFUNCTION("""COMPUTED_VALUE"""),FALSE)</f>
        <v>0</v>
      </c>
      <c r="U2344" s="1" t="str">
        <f>IFERROR(__xludf.DUMMYFUNCTION("""COMPUTED_VALUE"""),"DSQ")</f>
        <v>DSQ</v>
      </c>
      <c r="V2344" s="1" t="str">
        <f>IFERROR(__xludf.DUMMYFUNCTION("""COMPUTED_VALUE"""),"DSQ")</f>
        <v>DSQ</v>
      </c>
      <c r="W2344" s="1" t="str">
        <f>IFERROR(__xludf.DUMMYFUNCTION("""COMPUTED_VALUE"""),"DSQ")</f>
        <v>DSQ</v>
      </c>
      <c r="X2344" s="1" t="str">
        <f>IFERROR(__xludf.DUMMYFUNCTION("""COMPUTED_VALUE"""),"DSQ")</f>
        <v>DSQ</v>
      </c>
      <c r="Y2344" s="2"/>
      <c r="Z2344" s="2" t="str">
        <f>IFERROR(__xludf.DUMMYFUNCTION("""COMPUTED_VALUE"""),"")</f>
        <v/>
      </c>
    </row>
    <row r="2345">
      <c r="A2345" s="1">
        <f>IFERROR(__xludf.DUMMYFUNCTION("""COMPUTED_VALUE"""),2344.0)</f>
        <v>2344</v>
      </c>
      <c r="B2345" s="1">
        <f>IFERROR(__xludf.DUMMYFUNCTION("""COMPUTED_VALUE"""),6116.0)</f>
        <v>6116</v>
      </c>
      <c r="C2345" s="2" t="str">
        <f>IFERROR(__xludf.DUMMYFUNCTION("""COMPUTED_VALUE"""),"Affa")</f>
        <v>Affa</v>
      </c>
      <c r="D2345" s="2" t="str">
        <f>IFERROR(__xludf.DUMMYFUNCTION("""COMPUTED_VALUE"""),"5KM OVERALL M")</f>
        <v>5KM OVERALL M</v>
      </c>
      <c r="E2345" s="1">
        <f>IFERROR(__xludf.DUMMYFUNCTION("""COMPUTED_VALUE"""),2.0)</f>
        <v>2</v>
      </c>
      <c r="F2345" s="1" t="str">
        <f>IFERROR(__xludf.DUMMYFUNCTION("""COMPUTED_VALUE"""),"Male")</f>
        <v>Male</v>
      </c>
      <c r="G2345" s="4" t="str">
        <f>IFERROR(__xludf.DUMMYFUNCTION("""COMPUTED_VALUE"""),"")</f>
        <v/>
      </c>
      <c r="H2345" s="4" t="b">
        <f>IFERROR(__xludf.DUMMYFUNCTION("""COMPUTED_VALUE"""),FALSE)</f>
        <v>0</v>
      </c>
      <c r="I2345" s="4">
        <f>IFERROR(__xludf.DUMMYFUNCTION("""COMPUTED_VALUE"""),0.2549440625)</f>
        <v>0.2549440625</v>
      </c>
      <c r="J2345" s="4" t="str">
        <f>IFERROR(__xludf.DUMMYFUNCTION("""COMPUTED_VALUE"""),"")</f>
        <v/>
      </c>
      <c r="K2345" s="4" t="str">
        <f>IFERROR(__xludf.DUMMYFUNCTION("""COMPUTED_VALUE"""),"")</f>
        <v/>
      </c>
      <c r="L2345" s="4" t="str">
        <f>IFERROR(__xludf.DUMMYFUNCTION("""COMPUTED_VALUE"""),"")</f>
        <v/>
      </c>
      <c r="M2345" s="1" t="str">
        <f>IFERROR(__xludf.DUMMYFUNCTION("""COMPUTED_VALUE"""),"RFID")</f>
        <v>RFID</v>
      </c>
      <c r="N2345" s="5" t="str">
        <f>IFERROR(__xludf.DUMMYFUNCTION("""COMPUTED_VALUE"""),"")</f>
        <v/>
      </c>
      <c r="O2345" s="5" t="str">
        <f>IFERROR(__xludf.DUMMYFUNCTION("""COMPUTED_VALUE"""),"")</f>
        <v/>
      </c>
      <c r="P2345" s="5" t="str">
        <f>IFERROR(__xludf.DUMMYFUNCTION("""COMPUTED_VALUE"""),"")</f>
        <v/>
      </c>
      <c r="Q2345" s="5" t="str">
        <f>IFERROR(__xludf.DUMMYFUNCTION("""COMPUTED_VALUE"""),"")</f>
        <v/>
      </c>
      <c r="R2345" s="4" t="str">
        <f>IFERROR(__xludf.DUMMYFUNCTION("""COMPUTED_VALUE"""),"")</f>
        <v/>
      </c>
      <c r="S2345" s="1" t="b">
        <f>IFERROR(__xludf.DUMMYFUNCTION("""COMPUTED_VALUE"""),FALSE)</f>
        <v>0</v>
      </c>
      <c r="T2345" s="1" t="b">
        <f>IFERROR(__xludf.DUMMYFUNCTION("""COMPUTED_VALUE"""),FALSE)</f>
        <v>0</v>
      </c>
      <c r="U2345" s="1" t="str">
        <f>IFERROR(__xludf.DUMMYFUNCTION("""COMPUTED_VALUE"""),"DSQ")</f>
        <v>DSQ</v>
      </c>
      <c r="V2345" s="1" t="str">
        <f>IFERROR(__xludf.DUMMYFUNCTION("""COMPUTED_VALUE"""),"DSQ")</f>
        <v>DSQ</v>
      </c>
      <c r="W2345" s="1" t="str">
        <f>IFERROR(__xludf.DUMMYFUNCTION("""COMPUTED_VALUE"""),"DSQ")</f>
        <v>DSQ</v>
      </c>
      <c r="X2345" s="1" t="str">
        <f>IFERROR(__xludf.DUMMYFUNCTION("""COMPUTED_VALUE"""),"DSQ")</f>
        <v>DSQ</v>
      </c>
      <c r="Y2345" s="2"/>
      <c r="Z2345" s="2" t="str">
        <f>IFERROR(__xludf.DUMMYFUNCTION("""COMPUTED_VALUE"""),"")</f>
        <v/>
      </c>
    </row>
    <row r="2346">
      <c r="A2346" s="1">
        <f>IFERROR(__xludf.DUMMYFUNCTION("""COMPUTED_VALUE"""),2345.0)</f>
        <v>2345</v>
      </c>
      <c r="B2346" s="1">
        <f>IFERROR(__xludf.DUMMYFUNCTION("""COMPUTED_VALUE"""),6117.0)</f>
        <v>6117</v>
      </c>
      <c r="C2346" s="2" t="str">
        <f>IFERROR(__xludf.DUMMYFUNCTION("""COMPUTED_VALUE"""),"Rizky")</f>
        <v>Rizky</v>
      </c>
      <c r="D2346" s="2" t="str">
        <f>IFERROR(__xludf.DUMMYFUNCTION("""COMPUTED_VALUE"""),"5KM OVERALL M")</f>
        <v>5KM OVERALL M</v>
      </c>
      <c r="E2346" s="1">
        <f>IFERROR(__xludf.DUMMYFUNCTION("""COMPUTED_VALUE"""),2.0)</f>
        <v>2</v>
      </c>
      <c r="F2346" s="1" t="str">
        <f>IFERROR(__xludf.DUMMYFUNCTION("""COMPUTED_VALUE"""),"Male")</f>
        <v>Male</v>
      </c>
      <c r="G2346" s="4" t="b">
        <f>IFERROR(__xludf.DUMMYFUNCTION("""COMPUTED_VALUE"""),TRUE)</f>
        <v>1</v>
      </c>
      <c r="H2346" s="4" t="b">
        <f>IFERROR(__xludf.DUMMYFUNCTION("""COMPUTED_VALUE"""),TRUE)</f>
        <v>1</v>
      </c>
      <c r="I2346" s="4">
        <f>IFERROR(__xludf.DUMMYFUNCTION("""COMPUTED_VALUE"""),0.2549440625)</f>
        <v>0.2549440625</v>
      </c>
      <c r="J2346" s="4">
        <f>IFERROR(__xludf.DUMMYFUNCTION("""COMPUTED_VALUE"""),45949.271738551826)</f>
        <v>45949.27174</v>
      </c>
      <c r="K2346" s="4" t="str">
        <f>IFERROR(__xludf.DUMMYFUNCTION("""COMPUTED_VALUE"""),"")</f>
        <v/>
      </c>
      <c r="L2346" s="4">
        <f>IFERROR(__xludf.DUMMYFUNCTION("""COMPUTED_VALUE"""),45949.28255364055)</f>
        <v>45949.28255</v>
      </c>
      <c r="M2346" s="1" t="str">
        <f>IFERROR(__xludf.DUMMYFUNCTION("""COMPUTED_VALUE"""),"RFID")</f>
        <v>RFID</v>
      </c>
      <c r="N2346" s="5">
        <f>IFERROR(__xludf.DUMMYFUNCTION("""COMPUTED_VALUE"""),0.006717796296296296)</f>
        <v>0.006717796296</v>
      </c>
      <c r="O2346" s="5" t="str">
        <f>IFERROR(__xludf.DUMMYFUNCTION("""COMPUTED_VALUE"""),"")</f>
        <v/>
      </c>
      <c r="P2346" s="5" t="str">
        <f>IFERROR(__xludf.DUMMYFUNCTION("""COMPUTED_VALUE"""),"")</f>
        <v/>
      </c>
      <c r="Q2346" s="5">
        <f>IFERROR(__xludf.DUMMYFUNCTION("""COMPUTED_VALUE"""),0.005521916666666666)</f>
        <v>0.005521916667</v>
      </c>
      <c r="R2346" s="4">
        <f>IFERROR(__xludf.DUMMYFUNCTION("""COMPUTED_VALUE"""),45949.02760957805)</f>
        <v>45949.02761</v>
      </c>
      <c r="S2346" s="1" t="b">
        <f>IFERROR(__xludf.DUMMYFUNCTION("""COMPUTED_VALUE"""),TRUE)</f>
        <v>1</v>
      </c>
      <c r="T2346" s="1" t="b">
        <f>IFERROR(__xludf.DUMMYFUNCTION("""COMPUTED_VALUE"""),FALSE)</f>
        <v>0</v>
      </c>
      <c r="U2346" s="1" t="str">
        <f>IFERROR(__xludf.DUMMYFUNCTION("""COMPUTED_VALUE"""),"VALID")</f>
        <v>VALID</v>
      </c>
      <c r="V2346" s="1">
        <f>IFERROR(__xludf.DUMMYFUNCTION("""COMPUTED_VALUE"""),268.0)</f>
        <v>268</v>
      </c>
      <c r="W2346" s="1">
        <f>IFERROR(__xludf.DUMMYFUNCTION("""COMPUTED_VALUE"""),408.0)</f>
        <v>408</v>
      </c>
      <c r="X2346" s="1">
        <f>IFERROR(__xludf.DUMMYFUNCTION("""COMPUTED_VALUE"""),354.0)</f>
        <v>354</v>
      </c>
      <c r="Y2346" s="2"/>
      <c r="Z2346" s="2"/>
    </row>
    <row r="2347">
      <c r="A2347" s="1">
        <f>IFERROR(__xludf.DUMMYFUNCTION("""COMPUTED_VALUE"""),2346.0)</f>
        <v>2346</v>
      </c>
      <c r="B2347" s="1">
        <f>IFERROR(__xludf.DUMMYFUNCTION("""COMPUTED_VALUE"""),6118.0)</f>
        <v>6118</v>
      </c>
      <c r="C2347" s="2" t="str">
        <f>IFERROR(__xludf.DUMMYFUNCTION("""COMPUTED_VALUE"""),"FA")</f>
        <v>FA</v>
      </c>
      <c r="D2347" s="2" t="str">
        <f>IFERROR(__xludf.DUMMYFUNCTION("""COMPUTED_VALUE"""),"5KM OVERALL M")</f>
        <v>5KM OVERALL M</v>
      </c>
      <c r="E2347" s="1">
        <f>IFERROR(__xludf.DUMMYFUNCTION("""COMPUTED_VALUE"""),2.0)</f>
        <v>2</v>
      </c>
      <c r="F2347" s="1" t="str">
        <f>IFERROR(__xludf.DUMMYFUNCTION("""COMPUTED_VALUE"""),"Male")</f>
        <v>Male</v>
      </c>
      <c r="G2347" s="4" t="b">
        <f>IFERROR(__xludf.DUMMYFUNCTION("""COMPUTED_VALUE"""),TRUE)</f>
        <v>1</v>
      </c>
      <c r="H2347" s="4" t="b">
        <f>IFERROR(__xludf.DUMMYFUNCTION("""COMPUTED_VALUE"""),TRUE)</f>
        <v>1</v>
      </c>
      <c r="I2347" s="4">
        <f>IFERROR(__xludf.DUMMYFUNCTION("""COMPUTED_VALUE"""),0.2549440625)</f>
        <v>0.2549440625</v>
      </c>
      <c r="J2347" s="4">
        <f>IFERROR(__xludf.DUMMYFUNCTION("""COMPUTED_VALUE"""),45949.26919687675)</f>
        <v>45949.2692</v>
      </c>
      <c r="K2347" s="4" t="str">
        <f>IFERROR(__xludf.DUMMYFUNCTION("""COMPUTED_VALUE"""),"")</f>
        <v/>
      </c>
      <c r="L2347" s="4">
        <f>IFERROR(__xludf.DUMMYFUNCTION("""COMPUTED_VALUE"""),45949.28181852281)</f>
        <v>45949.28182</v>
      </c>
      <c r="M2347" s="1" t="str">
        <f>IFERROR(__xludf.DUMMYFUNCTION("""COMPUTED_VALUE"""),"RFID")</f>
        <v>RFID</v>
      </c>
      <c r="N2347" s="5">
        <f>IFERROR(__xludf.DUMMYFUNCTION("""COMPUTED_VALUE"""),0.005701125)</f>
        <v>0.005701125</v>
      </c>
      <c r="O2347" s="5" t="str">
        <f>IFERROR(__xludf.DUMMYFUNCTION("""COMPUTED_VALUE"""),"")</f>
        <v/>
      </c>
      <c r="P2347" s="5" t="str">
        <f>IFERROR(__xludf.DUMMYFUNCTION("""COMPUTED_VALUE"""),"")</f>
        <v/>
      </c>
      <c r="Q2347" s="5">
        <f>IFERROR(__xludf.DUMMYFUNCTION("""COMPUTED_VALUE"""),0.005374891203703704)</f>
        <v>0.005374891204</v>
      </c>
      <c r="R2347" s="4">
        <f>IFERROR(__xludf.DUMMYFUNCTION("""COMPUTED_VALUE"""),45949.02687446031)</f>
        <v>45949.02687</v>
      </c>
      <c r="S2347" s="1" t="b">
        <f>IFERROR(__xludf.DUMMYFUNCTION("""COMPUTED_VALUE"""),TRUE)</f>
        <v>1</v>
      </c>
      <c r="T2347" s="1" t="b">
        <f>IFERROR(__xludf.DUMMYFUNCTION("""COMPUTED_VALUE"""),FALSE)</f>
        <v>0</v>
      </c>
      <c r="U2347" s="1" t="str">
        <f>IFERROR(__xludf.DUMMYFUNCTION("""COMPUTED_VALUE"""),"VALID")</f>
        <v>VALID</v>
      </c>
      <c r="V2347" s="1">
        <f>IFERROR(__xludf.DUMMYFUNCTION("""COMPUTED_VALUE"""),244.0)</f>
        <v>244</v>
      </c>
      <c r="W2347" s="1">
        <f>IFERROR(__xludf.DUMMYFUNCTION("""COMPUTED_VALUE"""),379.0)</f>
        <v>379</v>
      </c>
      <c r="X2347" s="1">
        <f>IFERROR(__xludf.DUMMYFUNCTION("""COMPUTED_VALUE"""),326.0)</f>
        <v>326</v>
      </c>
      <c r="Y2347" s="2"/>
      <c r="Z2347" s="2"/>
    </row>
    <row r="2348">
      <c r="A2348" s="1">
        <f>IFERROR(__xludf.DUMMYFUNCTION("""COMPUTED_VALUE"""),2347.0)</f>
        <v>2347</v>
      </c>
      <c r="B2348" s="1">
        <f>IFERROR(__xludf.DUMMYFUNCTION("""COMPUTED_VALUE"""),6120.0)</f>
        <v>6120</v>
      </c>
      <c r="C2348" s="2" t="str">
        <f>IFERROR(__xludf.DUMMYFUNCTION("""COMPUTED_VALUE"""),"@Kodogk2")</f>
        <v>@Kodogk2</v>
      </c>
      <c r="D2348" s="2" t="str">
        <f>IFERROR(__xludf.DUMMYFUNCTION("""COMPUTED_VALUE"""),"5KM OVERALL M")</f>
        <v>5KM OVERALL M</v>
      </c>
      <c r="E2348" s="1">
        <f>IFERROR(__xludf.DUMMYFUNCTION("""COMPUTED_VALUE"""),2.0)</f>
        <v>2</v>
      </c>
      <c r="F2348" s="1" t="str">
        <f>IFERROR(__xludf.DUMMYFUNCTION("""COMPUTED_VALUE"""),"Male")</f>
        <v>Male</v>
      </c>
      <c r="G2348" s="4" t="b">
        <f>IFERROR(__xludf.DUMMYFUNCTION("""COMPUTED_VALUE"""),TRUE)</f>
        <v>1</v>
      </c>
      <c r="H2348" s="4" t="b">
        <f>IFERROR(__xludf.DUMMYFUNCTION("""COMPUTED_VALUE"""),FALSE)</f>
        <v>0</v>
      </c>
      <c r="I2348" s="4">
        <f>IFERROR(__xludf.DUMMYFUNCTION("""COMPUTED_VALUE"""),0.2549440625)</f>
        <v>0.2549440625</v>
      </c>
      <c r="J2348" s="4">
        <f>IFERROR(__xludf.DUMMYFUNCTION("""COMPUTED_VALUE"""),45949.275057936065)</f>
        <v>45949.27506</v>
      </c>
      <c r="K2348" s="4" t="str">
        <f>IFERROR(__xludf.DUMMYFUNCTION("""COMPUTED_VALUE"""),"")</f>
        <v/>
      </c>
      <c r="L2348" s="4">
        <f>IFERROR(__xludf.DUMMYFUNCTION("""COMPUTED_VALUE"""),45949.29047726026)</f>
        <v>45949.29048</v>
      </c>
      <c r="M2348" s="1" t="str">
        <f>IFERROR(__xludf.DUMMYFUNCTION("""COMPUTED_VALUE"""),"RFID")</f>
        <v>RFID</v>
      </c>
      <c r="N2348" s="5">
        <f>IFERROR(__xludf.DUMMYFUNCTION("""COMPUTED_VALUE"""),0.008045550925925926)</f>
        <v>0.008045550926</v>
      </c>
      <c r="O2348" s="5" t="str">
        <f>IFERROR(__xludf.DUMMYFUNCTION("""COMPUTED_VALUE"""),"")</f>
        <v/>
      </c>
      <c r="P2348" s="5" t="str">
        <f>IFERROR(__xludf.DUMMYFUNCTION("""COMPUTED_VALUE"""),"")</f>
        <v/>
      </c>
      <c r="Q2348" s="5">
        <f>IFERROR(__xludf.DUMMYFUNCTION("""COMPUTED_VALUE"""),0.007106638888888889)</f>
        <v>0.007106638889</v>
      </c>
      <c r="R2348" s="4">
        <f>IFERROR(__xludf.DUMMYFUNCTION("""COMPUTED_VALUE"""),45949.03553319776)</f>
        <v>45949.03553</v>
      </c>
      <c r="S2348" s="1" t="b">
        <f>IFERROR(__xludf.DUMMYFUNCTION("""COMPUTED_VALUE"""),TRUE)</f>
        <v>1</v>
      </c>
      <c r="T2348" s="1" t="b">
        <f>IFERROR(__xludf.DUMMYFUNCTION("""COMPUTED_VALUE"""),FALSE)</f>
        <v>0</v>
      </c>
      <c r="U2348" s="1" t="str">
        <f>IFERROR(__xludf.DUMMYFUNCTION("""COMPUTED_VALUE"""),"VALID")</f>
        <v>VALID</v>
      </c>
      <c r="V2348" s="1">
        <f>IFERROR(__xludf.DUMMYFUNCTION("""COMPUTED_VALUE"""),576.0)</f>
        <v>576</v>
      </c>
      <c r="W2348" s="1">
        <f>IFERROR(__xludf.DUMMYFUNCTION("""COMPUTED_VALUE"""),921.0)</f>
        <v>921</v>
      </c>
      <c r="X2348" s="1">
        <f>IFERROR(__xludf.DUMMYFUNCTION("""COMPUTED_VALUE"""),752.0)</f>
        <v>752</v>
      </c>
      <c r="Y2348" s="2"/>
      <c r="Z2348" s="2"/>
    </row>
    <row r="2349">
      <c r="A2349" s="1">
        <f>IFERROR(__xludf.DUMMYFUNCTION("""COMPUTED_VALUE"""),2348.0)</f>
        <v>2348</v>
      </c>
      <c r="B2349" s="1">
        <f>IFERROR(__xludf.DUMMYFUNCTION("""COMPUTED_VALUE"""),6121.0)</f>
        <v>6121</v>
      </c>
      <c r="C2349" s="2" t="str">
        <f>IFERROR(__xludf.DUMMYFUNCTION("""COMPUTED_VALUE"""),"SAHID AKBAR")</f>
        <v>SAHID AKBAR</v>
      </c>
      <c r="D2349" s="2" t="str">
        <f>IFERROR(__xludf.DUMMYFUNCTION("""COMPUTED_VALUE"""),"5KM OVERALL M")</f>
        <v>5KM OVERALL M</v>
      </c>
      <c r="E2349" s="1">
        <f>IFERROR(__xludf.DUMMYFUNCTION("""COMPUTED_VALUE"""),2.0)</f>
        <v>2</v>
      </c>
      <c r="F2349" s="1" t="str">
        <f>IFERROR(__xludf.DUMMYFUNCTION("""COMPUTED_VALUE"""),"Male")</f>
        <v>Male</v>
      </c>
      <c r="G2349" s="4" t="b">
        <f>IFERROR(__xludf.DUMMYFUNCTION("""COMPUTED_VALUE"""),TRUE)</f>
        <v>1</v>
      </c>
      <c r="H2349" s="4" t="b">
        <f>IFERROR(__xludf.DUMMYFUNCTION("""COMPUTED_VALUE"""),FALSE)</f>
        <v>0</v>
      </c>
      <c r="I2349" s="4">
        <f>IFERROR(__xludf.DUMMYFUNCTION("""COMPUTED_VALUE"""),0.2549440625)</f>
        <v>0.2549440625</v>
      </c>
      <c r="J2349" s="4">
        <f>IFERROR(__xludf.DUMMYFUNCTION("""COMPUTED_VALUE"""),45949.27822808669)</f>
        <v>45949.27823</v>
      </c>
      <c r="K2349" s="4" t="str">
        <f>IFERROR(__xludf.DUMMYFUNCTION("""COMPUTED_VALUE"""),"")</f>
        <v/>
      </c>
      <c r="L2349" s="4">
        <f>IFERROR(__xludf.DUMMYFUNCTION("""COMPUTED_VALUE"""),45949.29442519202)</f>
        <v>45949.29443</v>
      </c>
      <c r="M2349" s="1" t="str">
        <f>IFERROR(__xludf.DUMMYFUNCTION("""COMPUTED_VALUE"""),"RFID")</f>
        <v>RFID</v>
      </c>
      <c r="N2349" s="5">
        <f>IFERROR(__xludf.DUMMYFUNCTION("""COMPUTED_VALUE"""),0.009313611111111111)</f>
        <v>0.009313611111</v>
      </c>
      <c r="O2349" s="5" t="str">
        <f>IFERROR(__xludf.DUMMYFUNCTION("""COMPUTED_VALUE"""),"")</f>
        <v/>
      </c>
      <c r="P2349" s="5" t="str">
        <f>IFERROR(__xludf.DUMMYFUNCTION("""COMPUTED_VALUE"""),"")</f>
        <v/>
      </c>
      <c r="Q2349" s="5">
        <f>IFERROR(__xludf.DUMMYFUNCTION("""COMPUTED_VALUE"""),0.007896226851851852)</f>
        <v>0.007896226852</v>
      </c>
      <c r="R2349" s="4">
        <f>IFERROR(__xludf.DUMMYFUNCTION("""COMPUTED_VALUE"""),45949.03948112952)</f>
        <v>45949.03948</v>
      </c>
      <c r="S2349" s="1" t="b">
        <f>IFERROR(__xludf.DUMMYFUNCTION("""COMPUTED_VALUE"""),TRUE)</f>
        <v>1</v>
      </c>
      <c r="T2349" s="1" t="b">
        <f>IFERROR(__xludf.DUMMYFUNCTION("""COMPUTED_VALUE"""),FALSE)</f>
        <v>0</v>
      </c>
      <c r="U2349" s="1" t="str">
        <f>IFERROR(__xludf.DUMMYFUNCTION("""COMPUTED_VALUE"""),"VALID")</f>
        <v>VALID</v>
      </c>
      <c r="V2349" s="1">
        <f>IFERROR(__xludf.DUMMYFUNCTION("""COMPUTED_VALUE"""),700.0)</f>
        <v>700</v>
      </c>
      <c r="W2349" s="1">
        <f>IFERROR(__xludf.DUMMYFUNCTION("""COMPUTED_VALUE"""),1211.0)</f>
        <v>1211</v>
      </c>
      <c r="X2349" s="1">
        <f>IFERROR(__xludf.DUMMYFUNCTION("""COMPUTED_VALUE"""),947.0)</f>
        <v>947</v>
      </c>
      <c r="Y2349" s="2"/>
      <c r="Z2349" s="2"/>
    </row>
    <row r="2350">
      <c r="A2350" s="1">
        <f>IFERROR(__xludf.DUMMYFUNCTION("""COMPUTED_VALUE"""),2349.0)</f>
        <v>2349</v>
      </c>
      <c r="B2350" s="1">
        <f>IFERROR(__xludf.DUMMYFUNCTION("""COMPUTED_VALUE"""),6126.0)</f>
        <v>6126</v>
      </c>
      <c r="C2350" s="2" t="str">
        <f>IFERROR(__xludf.DUMMYFUNCTION("""COMPUTED_VALUE"""),"Reza")</f>
        <v>Reza</v>
      </c>
      <c r="D2350" s="2" t="str">
        <f>IFERROR(__xludf.DUMMYFUNCTION("""COMPUTED_VALUE"""),"5KM OVERALL M")</f>
        <v>5KM OVERALL M</v>
      </c>
      <c r="E2350" s="1">
        <f>IFERROR(__xludf.DUMMYFUNCTION("""COMPUTED_VALUE"""),2.0)</f>
        <v>2</v>
      </c>
      <c r="F2350" s="1" t="str">
        <f>IFERROR(__xludf.DUMMYFUNCTION("""COMPUTED_VALUE"""),"Male")</f>
        <v>Male</v>
      </c>
      <c r="G2350" s="4" t="b">
        <f>IFERROR(__xludf.DUMMYFUNCTION("""COMPUTED_VALUE"""),TRUE)</f>
        <v>1</v>
      </c>
      <c r="H2350" s="4" t="b">
        <f>IFERROR(__xludf.DUMMYFUNCTION("""COMPUTED_VALUE"""),FALSE)</f>
        <v>0</v>
      </c>
      <c r="I2350" s="4">
        <f>IFERROR(__xludf.DUMMYFUNCTION("""COMPUTED_VALUE"""),0.2549440625)</f>
        <v>0.2549440625</v>
      </c>
      <c r="J2350" s="4">
        <f>IFERROR(__xludf.DUMMYFUNCTION("""COMPUTED_VALUE"""),45949.27186348882)</f>
        <v>45949.27186</v>
      </c>
      <c r="K2350" s="4" t="str">
        <f>IFERROR(__xludf.DUMMYFUNCTION("""COMPUTED_VALUE"""),"")</f>
        <v/>
      </c>
      <c r="L2350" s="4">
        <f>IFERROR(__xludf.DUMMYFUNCTION("""COMPUTED_VALUE"""),45949.28444601043)</f>
        <v>45949.28445</v>
      </c>
      <c r="M2350" s="1" t="str">
        <f>IFERROR(__xludf.DUMMYFUNCTION("""COMPUTED_VALUE"""),"RFID")</f>
        <v>RFID</v>
      </c>
      <c r="N2350" s="5">
        <f>IFERROR(__xludf.DUMMYFUNCTION("""COMPUTED_VALUE"""),0.0067677685185185184)</f>
        <v>0.006767768519</v>
      </c>
      <c r="O2350" s="5" t="str">
        <f>IFERROR(__xludf.DUMMYFUNCTION("""COMPUTED_VALUE"""),"")</f>
        <v/>
      </c>
      <c r="P2350" s="5" t="str">
        <f>IFERROR(__xludf.DUMMYFUNCTION("""COMPUTED_VALUE"""),"")</f>
        <v/>
      </c>
      <c r="Q2350" s="5">
        <f>IFERROR(__xludf.DUMMYFUNCTION("""COMPUTED_VALUE"""),0.005900388888888888)</f>
        <v>0.005900388889</v>
      </c>
      <c r="R2350" s="4">
        <f>IFERROR(__xludf.DUMMYFUNCTION("""COMPUTED_VALUE"""),45949.02950194793)</f>
        <v>45949.0295</v>
      </c>
      <c r="S2350" s="1" t="b">
        <f>IFERROR(__xludf.DUMMYFUNCTION("""COMPUTED_VALUE"""),TRUE)</f>
        <v>1</v>
      </c>
      <c r="T2350" s="1" t="b">
        <f>IFERROR(__xludf.DUMMYFUNCTION("""COMPUTED_VALUE"""),FALSE)</f>
        <v>0</v>
      </c>
      <c r="U2350" s="1" t="str">
        <f>IFERROR(__xludf.DUMMYFUNCTION("""COMPUTED_VALUE"""),"VALID")</f>
        <v>VALID</v>
      </c>
      <c r="V2350" s="1">
        <f>IFERROR(__xludf.DUMMYFUNCTION("""COMPUTED_VALUE"""),359.0)</f>
        <v>359</v>
      </c>
      <c r="W2350" s="1">
        <f>IFERROR(__xludf.DUMMYFUNCTION("""COMPUTED_VALUE"""),538.0)</f>
        <v>538</v>
      </c>
      <c r="X2350" s="1">
        <f>IFERROR(__xludf.DUMMYFUNCTION("""COMPUTED_VALUE"""),462.0)</f>
        <v>462</v>
      </c>
      <c r="Y2350" s="2"/>
      <c r="Z2350" s="2"/>
    </row>
    <row r="2351">
      <c r="A2351" s="1">
        <f>IFERROR(__xludf.DUMMYFUNCTION("""COMPUTED_VALUE"""),2350.0)</f>
        <v>2350</v>
      </c>
      <c r="B2351" s="1">
        <f>IFERROR(__xludf.DUMMYFUNCTION("""COMPUTED_VALUE"""),6128.0)</f>
        <v>6128</v>
      </c>
      <c r="C2351" s="2" t="str">
        <f>IFERROR(__xludf.DUMMYFUNCTION("""COMPUTED_VALUE"""),"M taufik hidayat")</f>
        <v>M taufik hidayat</v>
      </c>
      <c r="D2351" s="2" t="str">
        <f>IFERROR(__xludf.DUMMYFUNCTION("""COMPUTED_VALUE"""),"5KM OVERALL M")</f>
        <v>5KM OVERALL M</v>
      </c>
      <c r="E2351" s="1">
        <f>IFERROR(__xludf.DUMMYFUNCTION("""COMPUTED_VALUE"""),2.0)</f>
        <v>2</v>
      </c>
      <c r="F2351" s="1" t="str">
        <f>IFERROR(__xludf.DUMMYFUNCTION("""COMPUTED_VALUE"""),"Male")</f>
        <v>Male</v>
      </c>
      <c r="G2351" s="4" t="b">
        <f>IFERROR(__xludf.DUMMYFUNCTION("""COMPUTED_VALUE"""),TRUE)</f>
        <v>1</v>
      </c>
      <c r="H2351" s="4" t="b">
        <f>IFERROR(__xludf.DUMMYFUNCTION("""COMPUTED_VALUE"""),TRUE)</f>
        <v>1</v>
      </c>
      <c r="I2351" s="4">
        <f>IFERROR(__xludf.DUMMYFUNCTION("""COMPUTED_VALUE"""),0.2549440625)</f>
        <v>0.2549440625</v>
      </c>
      <c r="J2351" s="4">
        <f>IFERROR(__xludf.DUMMYFUNCTION("""COMPUTED_VALUE"""),45949.26885309075)</f>
        <v>45949.26885</v>
      </c>
      <c r="K2351" s="4" t="str">
        <f>IFERROR(__xludf.DUMMYFUNCTION("""COMPUTED_VALUE"""),"")</f>
        <v/>
      </c>
      <c r="L2351" s="4">
        <f>IFERROR(__xludf.DUMMYFUNCTION("""COMPUTED_VALUE"""),45949.27793907183)</f>
        <v>45949.27794</v>
      </c>
      <c r="M2351" s="1" t="str">
        <f>IFERROR(__xludf.DUMMYFUNCTION("""COMPUTED_VALUE"""),"RFID")</f>
        <v>RFID</v>
      </c>
      <c r="N2351" s="5">
        <f>IFERROR(__xludf.DUMMYFUNCTION("""COMPUTED_VALUE"""),0.005563611111111111)</f>
        <v>0.005563611111</v>
      </c>
      <c r="O2351" s="5" t="str">
        <f>IFERROR(__xludf.DUMMYFUNCTION("""COMPUTED_VALUE"""),"")</f>
        <v/>
      </c>
      <c r="P2351" s="5" t="str">
        <f>IFERROR(__xludf.DUMMYFUNCTION("""COMPUTED_VALUE"""),"")</f>
        <v/>
      </c>
      <c r="Q2351" s="5">
        <f>IFERROR(__xludf.DUMMYFUNCTION("""COMPUTED_VALUE"""),0.004599002314814815)</f>
        <v>0.004599002315</v>
      </c>
      <c r="R2351" s="4">
        <f>IFERROR(__xludf.DUMMYFUNCTION("""COMPUTED_VALUE"""),45949.02299500933)</f>
        <v>45949.023</v>
      </c>
      <c r="S2351" s="1" t="b">
        <f>IFERROR(__xludf.DUMMYFUNCTION("""COMPUTED_VALUE"""),TRUE)</f>
        <v>1</v>
      </c>
      <c r="T2351" s="1" t="b">
        <f>IFERROR(__xludf.DUMMYFUNCTION("""COMPUTED_VALUE"""),FALSE)</f>
        <v>0</v>
      </c>
      <c r="U2351" s="1" t="str">
        <f>IFERROR(__xludf.DUMMYFUNCTION("""COMPUTED_VALUE"""),"VALID")</f>
        <v>VALID</v>
      </c>
      <c r="V2351" s="1">
        <f>IFERROR(__xludf.DUMMYFUNCTION("""COMPUTED_VALUE"""),140.0)</f>
        <v>140</v>
      </c>
      <c r="W2351" s="1">
        <f>IFERROR(__xludf.DUMMYFUNCTION("""COMPUTED_VALUE"""),213.0)</f>
        <v>213</v>
      </c>
      <c r="X2351" s="1">
        <f>IFERROR(__xludf.DUMMYFUNCTION("""COMPUTED_VALUE"""),186.0)</f>
        <v>186</v>
      </c>
      <c r="Y2351" s="2"/>
      <c r="Z2351" s="2"/>
    </row>
    <row r="2352">
      <c r="A2352" s="1">
        <f>IFERROR(__xludf.DUMMYFUNCTION("""COMPUTED_VALUE"""),2351.0)</f>
        <v>2351</v>
      </c>
      <c r="B2352" s="1">
        <f>IFERROR(__xludf.DUMMYFUNCTION("""COMPUTED_VALUE"""),6129.0)</f>
        <v>6129</v>
      </c>
      <c r="C2352" s="2" t="str">
        <f>IFERROR(__xludf.DUMMYFUNCTION("""COMPUTED_VALUE"""),"Dhika")</f>
        <v>Dhika</v>
      </c>
      <c r="D2352" s="2" t="str">
        <f>IFERROR(__xludf.DUMMYFUNCTION("""COMPUTED_VALUE"""),"5KM OVERALL M")</f>
        <v>5KM OVERALL M</v>
      </c>
      <c r="E2352" s="1">
        <f>IFERROR(__xludf.DUMMYFUNCTION("""COMPUTED_VALUE"""),2.0)</f>
        <v>2</v>
      </c>
      <c r="F2352" s="1" t="str">
        <f>IFERROR(__xludf.DUMMYFUNCTION("""COMPUTED_VALUE"""),"Male")</f>
        <v>Male</v>
      </c>
      <c r="G2352" s="4" t="b">
        <f>IFERROR(__xludf.DUMMYFUNCTION("""COMPUTED_VALUE"""),TRUE)</f>
        <v>1</v>
      </c>
      <c r="H2352" s="4" t="b">
        <f>IFERROR(__xludf.DUMMYFUNCTION("""COMPUTED_VALUE"""),TRUE)</f>
        <v>1</v>
      </c>
      <c r="I2352" s="4">
        <f>IFERROR(__xludf.DUMMYFUNCTION("""COMPUTED_VALUE"""),0.2549440625)</f>
        <v>0.2549440625</v>
      </c>
      <c r="J2352" s="4">
        <f>IFERROR(__xludf.DUMMYFUNCTION("""COMPUTED_VALUE"""),45949.281148284805)</f>
        <v>45949.28115</v>
      </c>
      <c r="K2352" s="4" t="str">
        <f>IFERROR(__xludf.DUMMYFUNCTION("""COMPUTED_VALUE"""),"")</f>
        <v/>
      </c>
      <c r="L2352" s="4">
        <f>IFERROR(__xludf.DUMMYFUNCTION("""COMPUTED_VALUE"""),45949.29861963536)</f>
        <v>45949.29862</v>
      </c>
      <c r="M2352" s="1" t="str">
        <f>IFERROR(__xludf.DUMMYFUNCTION("""COMPUTED_VALUE"""),"RFID")</f>
        <v>RFID</v>
      </c>
      <c r="N2352" s="5">
        <f>IFERROR(__xludf.DUMMYFUNCTION("""COMPUTED_VALUE"""),0.010481689814814815)</f>
        <v>0.01048168981</v>
      </c>
      <c r="O2352" s="5" t="str">
        <f>IFERROR(__xludf.DUMMYFUNCTION("""COMPUTED_VALUE"""),"")</f>
        <v/>
      </c>
      <c r="P2352" s="5" t="str">
        <f>IFERROR(__xludf.DUMMYFUNCTION("""COMPUTED_VALUE"""),"")</f>
        <v/>
      </c>
      <c r="Q2352" s="5">
        <f>IFERROR(__xludf.DUMMYFUNCTION("""COMPUTED_VALUE"""),0.008735113425925926)</f>
        <v>0.008735113426</v>
      </c>
      <c r="R2352" s="4">
        <f>IFERROR(__xludf.DUMMYFUNCTION("""COMPUTED_VALUE"""),45949.04367557286)</f>
        <v>45949.04368</v>
      </c>
      <c r="S2352" s="1" t="b">
        <f>IFERROR(__xludf.DUMMYFUNCTION("""COMPUTED_VALUE"""),TRUE)</f>
        <v>1</v>
      </c>
      <c r="T2352" s="1" t="b">
        <f>IFERROR(__xludf.DUMMYFUNCTION("""COMPUTED_VALUE"""),FALSE)</f>
        <v>0</v>
      </c>
      <c r="U2352" s="1" t="str">
        <f>IFERROR(__xludf.DUMMYFUNCTION("""COMPUTED_VALUE"""),"VALID")</f>
        <v>VALID</v>
      </c>
      <c r="V2352" s="1">
        <f>IFERROR(__xludf.DUMMYFUNCTION("""COMPUTED_VALUE"""),771.0)</f>
        <v>771</v>
      </c>
      <c r="W2352" s="1">
        <f>IFERROR(__xludf.DUMMYFUNCTION("""COMPUTED_VALUE"""),1388.0)</f>
        <v>1388</v>
      </c>
      <c r="X2352" s="1">
        <f>IFERROR(__xludf.DUMMYFUNCTION("""COMPUTED_VALUE"""),1128.0)</f>
        <v>1128</v>
      </c>
      <c r="Y2352" s="2"/>
      <c r="Z2352" s="2"/>
    </row>
    <row r="2353">
      <c r="A2353" s="1">
        <f>IFERROR(__xludf.DUMMYFUNCTION("""COMPUTED_VALUE"""),2352.0)</f>
        <v>2352</v>
      </c>
      <c r="B2353" s="1">
        <f>IFERROR(__xludf.DUMMYFUNCTION("""COMPUTED_VALUE"""),6132.0)</f>
        <v>6132</v>
      </c>
      <c r="C2353" s="2" t="str">
        <f>IFERROR(__xludf.DUMMYFUNCTION("""COMPUTED_VALUE"""),"Andi Yusuf")</f>
        <v>Andi Yusuf</v>
      </c>
      <c r="D2353" s="2" t="str">
        <f>IFERROR(__xludf.DUMMYFUNCTION("""COMPUTED_VALUE"""),"5KM OVERALL M")</f>
        <v>5KM OVERALL M</v>
      </c>
      <c r="E2353" s="1">
        <f>IFERROR(__xludf.DUMMYFUNCTION("""COMPUTED_VALUE"""),2.0)</f>
        <v>2</v>
      </c>
      <c r="F2353" s="1" t="str">
        <f>IFERROR(__xludf.DUMMYFUNCTION("""COMPUTED_VALUE"""),"Male")</f>
        <v>Male</v>
      </c>
      <c r="G2353" s="4" t="str">
        <f>IFERROR(__xludf.DUMMYFUNCTION("""COMPUTED_VALUE"""),"")</f>
        <v/>
      </c>
      <c r="H2353" s="4" t="b">
        <f>IFERROR(__xludf.DUMMYFUNCTION("""COMPUTED_VALUE"""),TRUE)</f>
        <v>1</v>
      </c>
      <c r="I2353" s="4">
        <f>IFERROR(__xludf.DUMMYFUNCTION("""COMPUTED_VALUE"""),0.2549440625)</f>
        <v>0.2549440625</v>
      </c>
      <c r="J2353" s="4">
        <f>IFERROR(__xludf.DUMMYFUNCTION("""COMPUTED_VALUE"""),45949.291436471176)</f>
        <v>45949.29144</v>
      </c>
      <c r="K2353" s="4" t="str">
        <f>IFERROR(__xludf.DUMMYFUNCTION("""COMPUTED_VALUE"""),"")</f>
        <v/>
      </c>
      <c r="L2353" s="4">
        <f>IFERROR(__xludf.DUMMYFUNCTION("""COMPUTED_VALUE"""),45949.30820295422)</f>
        <v>45949.3082</v>
      </c>
      <c r="M2353" s="1" t="str">
        <f>IFERROR(__xludf.DUMMYFUNCTION("""COMPUTED_VALUE"""),"RFID")</f>
        <v>RFID</v>
      </c>
      <c r="N2353" s="5">
        <f>IFERROR(__xludf.DUMMYFUNCTION("""COMPUTED_VALUE"""),0.014596962962962961)</f>
        <v>0.01459696296</v>
      </c>
      <c r="O2353" s="5" t="str">
        <f>IFERROR(__xludf.DUMMYFUNCTION("""COMPUTED_VALUE"""),"")</f>
        <v/>
      </c>
      <c r="P2353" s="5" t="str">
        <f>IFERROR(__xludf.DUMMYFUNCTION("""COMPUTED_VALUE"""),"")</f>
        <v/>
      </c>
      <c r="Q2353" s="5">
        <f>IFERROR(__xludf.DUMMYFUNCTION("""COMPUTED_VALUE"""),0.010651777777777777)</f>
        <v>0.01065177778</v>
      </c>
      <c r="R2353" s="4">
        <f>IFERROR(__xludf.DUMMYFUNCTION("""COMPUTED_VALUE"""),45949.05325889172)</f>
        <v>45949.05326</v>
      </c>
      <c r="S2353" s="1" t="b">
        <f>IFERROR(__xludf.DUMMYFUNCTION("""COMPUTED_VALUE"""),TRUE)</f>
        <v>1</v>
      </c>
      <c r="T2353" s="1" t="b">
        <f>IFERROR(__xludf.DUMMYFUNCTION("""COMPUTED_VALUE"""),FALSE)</f>
        <v>0</v>
      </c>
      <c r="U2353" s="1" t="str">
        <f>IFERROR(__xludf.DUMMYFUNCTION("""COMPUTED_VALUE"""),"VALID")</f>
        <v>VALID</v>
      </c>
      <c r="V2353" s="1">
        <f>IFERROR(__xludf.DUMMYFUNCTION("""COMPUTED_VALUE"""),851.0)</f>
        <v>851</v>
      </c>
      <c r="W2353" s="1">
        <f>IFERROR(__xludf.DUMMYFUNCTION("""COMPUTED_VALUE"""),1590.0)</f>
        <v>1590</v>
      </c>
      <c r="X2353" s="1">
        <f>IFERROR(__xludf.DUMMYFUNCTION("""COMPUTED_VALUE"""),1458.0)</f>
        <v>1458</v>
      </c>
      <c r="Y2353" s="2"/>
      <c r="Z2353" s="2"/>
    </row>
    <row r="2354">
      <c r="A2354" s="1">
        <f>IFERROR(__xludf.DUMMYFUNCTION("""COMPUTED_VALUE"""),2353.0)</f>
        <v>2353</v>
      </c>
      <c r="B2354" s="1">
        <f>IFERROR(__xludf.DUMMYFUNCTION("""COMPUTED_VALUE"""),6133.0)</f>
        <v>6133</v>
      </c>
      <c r="C2354" s="2" t="str">
        <f>IFERROR(__xludf.DUMMYFUNCTION("""COMPUTED_VALUE"""),"UFIEK RASTA")</f>
        <v>UFIEK RASTA</v>
      </c>
      <c r="D2354" s="2" t="str">
        <f>IFERROR(__xludf.DUMMYFUNCTION("""COMPUTED_VALUE"""),"5KM OVERALL M")</f>
        <v>5KM OVERALL M</v>
      </c>
      <c r="E2354" s="1">
        <f>IFERROR(__xludf.DUMMYFUNCTION("""COMPUTED_VALUE"""),2.0)</f>
        <v>2</v>
      </c>
      <c r="F2354" s="1" t="str">
        <f>IFERROR(__xludf.DUMMYFUNCTION("""COMPUTED_VALUE"""),"Male")</f>
        <v>Male</v>
      </c>
      <c r="G2354" s="4" t="b">
        <f>IFERROR(__xludf.DUMMYFUNCTION("""COMPUTED_VALUE"""),TRUE)</f>
        <v>1</v>
      </c>
      <c r="H2354" s="4" t="b">
        <f>IFERROR(__xludf.DUMMYFUNCTION("""COMPUTED_VALUE"""),FALSE)</f>
        <v>0</v>
      </c>
      <c r="I2354" s="4">
        <f>IFERROR(__xludf.DUMMYFUNCTION("""COMPUTED_VALUE"""),0.2549440625)</f>
        <v>0.2549440625</v>
      </c>
      <c r="J2354" s="4">
        <f>IFERROR(__xludf.DUMMYFUNCTION("""COMPUTED_VALUE"""),45949.277644766014)</f>
        <v>45949.27764</v>
      </c>
      <c r="K2354" s="4" t="str">
        <f>IFERROR(__xludf.DUMMYFUNCTION("""COMPUTED_VALUE"""),"")</f>
        <v/>
      </c>
      <c r="L2354" s="4">
        <f>IFERROR(__xludf.DUMMYFUNCTION("""COMPUTED_VALUE"""),45949.294348799034)</f>
        <v>45949.29435</v>
      </c>
      <c r="M2354" s="1" t="str">
        <f>IFERROR(__xludf.DUMMYFUNCTION("""COMPUTED_VALUE"""),"RFID")</f>
        <v>RFID</v>
      </c>
      <c r="N2354" s="5">
        <f>IFERROR(__xludf.DUMMYFUNCTION("""COMPUTED_VALUE"""),0.009080282407407407)</f>
        <v>0.009080282407</v>
      </c>
      <c r="O2354" s="5" t="str">
        <f>IFERROR(__xludf.DUMMYFUNCTION("""COMPUTED_VALUE"""),"")</f>
        <v/>
      </c>
      <c r="P2354" s="5" t="str">
        <f>IFERROR(__xludf.DUMMYFUNCTION("""COMPUTED_VALUE"""),"")</f>
        <v/>
      </c>
      <c r="Q2354" s="5">
        <f>IFERROR(__xludf.DUMMYFUNCTION("""COMPUTED_VALUE"""),0.00788094675925926)</f>
        <v>0.007880946759</v>
      </c>
      <c r="R2354" s="4">
        <f>IFERROR(__xludf.DUMMYFUNCTION("""COMPUTED_VALUE"""),45949.03940473653)</f>
        <v>45949.0394</v>
      </c>
      <c r="S2354" s="1" t="b">
        <f>IFERROR(__xludf.DUMMYFUNCTION("""COMPUTED_VALUE"""),TRUE)</f>
        <v>1</v>
      </c>
      <c r="T2354" s="1" t="b">
        <f>IFERROR(__xludf.DUMMYFUNCTION("""COMPUTED_VALUE"""),FALSE)</f>
        <v>0</v>
      </c>
      <c r="U2354" s="1" t="str">
        <f>IFERROR(__xludf.DUMMYFUNCTION("""COMPUTED_VALUE"""),"VALID")</f>
        <v>VALID</v>
      </c>
      <c r="V2354" s="1">
        <f>IFERROR(__xludf.DUMMYFUNCTION("""COMPUTED_VALUE"""),696.0)</f>
        <v>696</v>
      </c>
      <c r="W2354" s="1">
        <f>IFERROR(__xludf.DUMMYFUNCTION("""COMPUTED_VALUE"""),1205.0)</f>
        <v>1205</v>
      </c>
      <c r="X2354" s="1">
        <f>IFERROR(__xludf.DUMMYFUNCTION("""COMPUTED_VALUE"""),943.0)</f>
        <v>943</v>
      </c>
      <c r="Y2354" s="2"/>
      <c r="Z2354" s="2"/>
    </row>
    <row r="2355">
      <c r="A2355" s="1">
        <f>IFERROR(__xludf.DUMMYFUNCTION("""COMPUTED_VALUE"""),2354.0)</f>
        <v>2354</v>
      </c>
      <c r="B2355" s="1">
        <f>IFERROR(__xludf.DUMMYFUNCTION("""COMPUTED_VALUE"""),6136.0)</f>
        <v>6136</v>
      </c>
      <c r="C2355" s="2" t="str">
        <f>IFERROR(__xludf.DUMMYFUNCTION("""COMPUTED_VALUE"""),"IWANK")</f>
        <v>IWANK</v>
      </c>
      <c r="D2355" s="2" t="str">
        <f>IFERROR(__xludf.DUMMYFUNCTION("""COMPUTED_VALUE"""),"5KM OVERALL M")</f>
        <v>5KM OVERALL M</v>
      </c>
      <c r="E2355" s="1">
        <f>IFERROR(__xludf.DUMMYFUNCTION("""COMPUTED_VALUE"""),2.0)</f>
        <v>2</v>
      </c>
      <c r="F2355" s="1" t="str">
        <f>IFERROR(__xludf.DUMMYFUNCTION("""COMPUTED_VALUE"""),"Male")</f>
        <v>Male</v>
      </c>
      <c r="G2355" s="4" t="b">
        <f>IFERROR(__xludf.DUMMYFUNCTION("""COMPUTED_VALUE"""),TRUE)</f>
        <v>1</v>
      </c>
      <c r="H2355" s="4" t="b">
        <f>IFERROR(__xludf.DUMMYFUNCTION("""COMPUTED_VALUE"""),TRUE)</f>
        <v>1</v>
      </c>
      <c r="I2355" s="4">
        <f>IFERROR(__xludf.DUMMYFUNCTION("""COMPUTED_VALUE"""),0.2549440625)</f>
        <v>0.2549440625</v>
      </c>
      <c r="J2355" s="4">
        <f>IFERROR(__xludf.DUMMYFUNCTION("""COMPUTED_VALUE"""),45949.2778322491)</f>
        <v>45949.27783</v>
      </c>
      <c r="K2355" s="4" t="str">
        <f>IFERROR(__xludf.DUMMYFUNCTION("""COMPUTED_VALUE"""),"")</f>
        <v/>
      </c>
      <c r="L2355" s="4">
        <f>IFERROR(__xludf.DUMMYFUNCTION("""COMPUTED_VALUE"""),45949.293196022525)</f>
        <v>45949.2932</v>
      </c>
      <c r="M2355" s="1" t="str">
        <f>IFERROR(__xludf.DUMMYFUNCTION("""COMPUTED_VALUE"""),"RFID")</f>
        <v>RFID</v>
      </c>
      <c r="N2355" s="5">
        <f>IFERROR(__xludf.DUMMYFUNCTION("""COMPUTED_VALUE"""),0.009155273148148148)</f>
        <v>0.009155273148</v>
      </c>
      <c r="O2355" s="5" t="str">
        <f>IFERROR(__xludf.DUMMYFUNCTION("""COMPUTED_VALUE"""),"")</f>
        <v/>
      </c>
      <c r="P2355" s="5" t="str">
        <f>IFERROR(__xludf.DUMMYFUNCTION("""COMPUTED_VALUE"""),"")</f>
        <v/>
      </c>
      <c r="Q2355" s="5">
        <f>IFERROR(__xludf.DUMMYFUNCTION("""COMPUTED_VALUE"""),0.0076503912037037035)</f>
        <v>0.007650391204</v>
      </c>
      <c r="R2355" s="4">
        <f>IFERROR(__xludf.DUMMYFUNCTION("""COMPUTED_VALUE"""),45949.038251960024)</f>
        <v>45949.03825</v>
      </c>
      <c r="S2355" s="1" t="b">
        <f>IFERROR(__xludf.DUMMYFUNCTION("""COMPUTED_VALUE"""),TRUE)</f>
        <v>1</v>
      </c>
      <c r="T2355" s="1" t="b">
        <f>IFERROR(__xludf.DUMMYFUNCTION("""COMPUTED_VALUE"""),FALSE)</f>
        <v>0</v>
      </c>
      <c r="U2355" s="1" t="str">
        <f>IFERROR(__xludf.DUMMYFUNCTION("""COMPUTED_VALUE"""),"VALID")</f>
        <v>VALID</v>
      </c>
      <c r="V2355" s="1">
        <f>IFERROR(__xludf.DUMMYFUNCTION("""COMPUTED_VALUE"""),661.0)</f>
        <v>661</v>
      </c>
      <c r="W2355" s="1">
        <f>IFERROR(__xludf.DUMMYFUNCTION("""COMPUTED_VALUE"""),1120.0)</f>
        <v>1120</v>
      </c>
      <c r="X2355" s="1">
        <f>IFERROR(__xludf.DUMMYFUNCTION("""COMPUTED_VALUE"""),889.0)</f>
        <v>889</v>
      </c>
      <c r="Y2355" s="2"/>
      <c r="Z2355" s="2"/>
    </row>
    <row r="2356">
      <c r="A2356" s="1">
        <f>IFERROR(__xludf.DUMMYFUNCTION("""COMPUTED_VALUE"""),2355.0)</f>
        <v>2355</v>
      </c>
      <c r="B2356" s="1">
        <f>IFERROR(__xludf.DUMMYFUNCTION("""COMPUTED_VALUE"""),6137.0)</f>
        <v>6137</v>
      </c>
      <c r="C2356" s="2" t="str">
        <f>IFERROR(__xludf.DUMMYFUNCTION("""COMPUTED_VALUE"""),"Yosephnetan")</f>
        <v>Yosephnetan</v>
      </c>
      <c r="D2356" s="2" t="str">
        <f>IFERROR(__xludf.DUMMYFUNCTION("""COMPUTED_VALUE"""),"5KM OVERALL M")</f>
        <v>5KM OVERALL M</v>
      </c>
      <c r="E2356" s="1">
        <f>IFERROR(__xludf.DUMMYFUNCTION("""COMPUTED_VALUE"""),2.0)</f>
        <v>2</v>
      </c>
      <c r="F2356" s="1" t="str">
        <f>IFERROR(__xludf.DUMMYFUNCTION("""COMPUTED_VALUE"""),"Male")</f>
        <v>Male</v>
      </c>
      <c r="G2356" s="4" t="b">
        <f>IFERROR(__xludf.DUMMYFUNCTION("""COMPUTED_VALUE"""),TRUE)</f>
        <v>1</v>
      </c>
      <c r="H2356" s="4" t="b">
        <f>IFERROR(__xludf.DUMMYFUNCTION("""COMPUTED_VALUE"""),TRUE)</f>
        <v>1</v>
      </c>
      <c r="I2356" s="4">
        <f>IFERROR(__xludf.DUMMYFUNCTION("""COMPUTED_VALUE"""),0.2549440625)</f>
        <v>0.2549440625</v>
      </c>
      <c r="J2356" s="4">
        <f>IFERROR(__xludf.DUMMYFUNCTION("""COMPUTED_VALUE"""),45949.28484613092)</f>
        <v>45949.28485</v>
      </c>
      <c r="K2356" s="4" t="str">
        <f>IFERROR(__xludf.DUMMYFUNCTION("""COMPUTED_VALUE"""),"")</f>
        <v/>
      </c>
      <c r="L2356" s="4">
        <f>IFERROR(__xludf.DUMMYFUNCTION("""COMPUTED_VALUE"""),45949.30168558615)</f>
        <v>45949.30169</v>
      </c>
      <c r="M2356" s="1" t="str">
        <f>IFERROR(__xludf.DUMMYFUNCTION("""COMPUTED_VALUE"""),"RFID")</f>
        <v>RFID</v>
      </c>
      <c r="N2356" s="5">
        <f>IFERROR(__xludf.DUMMYFUNCTION("""COMPUTED_VALUE"""),0.011960828703703704)</f>
        <v>0.0119608287</v>
      </c>
      <c r="O2356" s="5" t="str">
        <f>IFERROR(__xludf.DUMMYFUNCTION("""COMPUTED_VALUE"""),"")</f>
        <v/>
      </c>
      <c r="P2356" s="5" t="str">
        <f>IFERROR(__xludf.DUMMYFUNCTION("""COMPUTED_VALUE"""),"")</f>
        <v/>
      </c>
      <c r="Q2356" s="5">
        <f>IFERROR(__xludf.DUMMYFUNCTION("""COMPUTED_VALUE"""),0.009348305555555556)</f>
        <v>0.009348305556</v>
      </c>
      <c r="R2356" s="4">
        <f>IFERROR(__xludf.DUMMYFUNCTION("""COMPUTED_VALUE"""),45949.04674152365)</f>
        <v>45949.04674</v>
      </c>
      <c r="S2356" s="1" t="b">
        <f>IFERROR(__xludf.DUMMYFUNCTION("""COMPUTED_VALUE"""),TRUE)</f>
        <v>1</v>
      </c>
      <c r="T2356" s="1" t="b">
        <f>IFERROR(__xludf.DUMMYFUNCTION("""COMPUTED_VALUE"""),FALSE)</f>
        <v>0</v>
      </c>
      <c r="U2356" s="1" t="str">
        <f>IFERROR(__xludf.DUMMYFUNCTION("""COMPUTED_VALUE"""),"VALID")</f>
        <v>VALID</v>
      </c>
      <c r="V2356" s="1">
        <f>IFERROR(__xludf.DUMMYFUNCTION("""COMPUTED_VALUE"""),816.0)</f>
        <v>816</v>
      </c>
      <c r="W2356" s="1">
        <f>IFERROR(__xludf.DUMMYFUNCTION("""COMPUTED_VALUE"""),1509.0)</f>
        <v>1509</v>
      </c>
      <c r="X2356" s="1">
        <f>IFERROR(__xludf.DUMMYFUNCTION("""COMPUTED_VALUE"""),1264.0)</f>
        <v>1264</v>
      </c>
      <c r="Y2356" s="2"/>
      <c r="Z2356" s="2"/>
    </row>
    <row r="2357">
      <c r="A2357" s="1">
        <f>IFERROR(__xludf.DUMMYFUNCTION("""COMPUTED_VALUE"""),2356.0)</f>
        <v>2356</v>
      </c>
      <c r="B2357" s="1">
        <f>IFERROR(__xludf.DUMMYFUNCTION("""COMPUTED_VALUE"""),6138.0)</f>
        <v>6138</v>
      </c>
      <c r="C2357" s="2" t="str">
        <f>IFERROR(__xludf.DUMMYFUNCTION("""COMPUTED_VALUE"""),"M.A.R")</f>
        <v>M.A.R</v>
      </c>
      <c r="D2357" s="2" t="str">
        <f>IFERROR(__xludf.DUMMYFUNCTION("""COMPUTED_VALUE"""),"5KM OVERALL M")</f>
        <v>5KM OVERALL M</v>
      </c>
      <c r="E2357" s="1">
        <f>IFERROR(__xludf.DUMMYFUNCTION("""COMPUTED_VALUE"""),2.0)</f>
        <v>2</v>
      </c>
      <c r="F2357" s="1" t="str">
        <f>IFERROR(__xludf.DUMMYFUNCTION("""COMPUTED_VALUE"""),"Male")</f>
        <v>Male</v>
      </c>
      <c r="G2357" s="4" t="b">
        <f>IFERROR(__xludf.DUMMYFUNCTION("""COMPUTED_VALUE"""),TRUE)</f>
        <v>1</v>
      </c>
      <c r="H2357" s="4" t="b">
        <f>IFERROR(__xludf.DUMMYFUNCTION("""COMPUTED_VALUE"""),TRUE)</f>
        <v>1</v>
      </c>
      <c r="I2357" s="4">
        <f>IFERROR(__xludf.DUMMYFUNCTION("""COMPUTED_VALUE"""),0.2549440625)</f>
        <v>0.2549440625</v>
      </c>
      <c r="J2357" s="4">
        <f>IFERROR(__xludf.DUMMYFUNCTION("""COMPUTED_VALUE"""),45949.266061465285)</f>
        <v>45949.26606</v>
      </c>
      <c r="K2357" s="4" t="str">
        <f>IFERROR(__xludf.DUMMYFUNCTION("""COMPUTED_VALUE"""),"")</f>
        <v/>
      </c>
      <c r="L2357" s="4">
        <f>IFERROR(__xludf.DUMMYFUNCTION("""COMPUTED_VALUE"""),45949.27493583544)</f>
        <v>45949.27494</v>
      </c>
      <c r="M2357" s="1" t="str">
        <f>IFERROR(__xludf.DUMMYFUNCTION("""COMPUTED_VALUE"""),"RFID")</f>
        <v>RFID</v>
      </c>
      <c r="N2357" s="5">
        <f>IFERROR(__xludf.DUMMYFUNCTION("""COMPUTED_VALUE"""),0.004446962962962963)</f>
        <v>0.004446962963</v>
      </c>
      <c r="O2357" s="5" t="str">
        <f>IFERROR(__xludf.DUMMYFUNCTION("""COMPUTED_VALUE"""),"")</f>
        <v/>
      </c>
      <c r="P2357" s="5" t="str">
        <f>IFERROR(__xludf.DUMMYFUNCTION("""COMPUTED_VALUE"""),"")</f>
        <v/>
      </c>
      <c r="Q2357" s="5">
        <f>IFERROR(__xludf.DUMMYFUNCTION("""COMPUTED_VALUE"""),0.0039983541666666665)</f>
        <v>0.003998354167</v>
      </c>
      <c r="R2357" s="4">
        <f>IFERROR(__xludf.DUMMYFUNCTION("""COMPUTED_VALUE"""),45949.01999177294)</f>
        <v>45949.01999</v>
      </c>
      <c r="S2357" s="1" t="b">
        <f>IFERROR(__xludf.DUMMYFUNCTION("""COMPUTED_VALUE"""),TRUE)</f>
        <v>1</v>
      </c>
      <c r="T2357" s="1" t="b">
        <f>IFERROR(__xludf.DUMMYFUNCTION("""COMPUTED_VALUE"""),FALSE)</f>
        <v>0</v>
      </c>
      <c r="U2357" s="1" t="str">
        <f>IFERROR(__xludf.DUMMYFUNCTION("""COMPUTED_VALUE"""),"VALID")</f>
        <v>VALID</v>
      </c>
      <c r="V2357" s="1">
        <f>IFERROR(__xludf.DUMMYFUNCTION("""COMPUTED_VALUE"""),79.0)</f>
        <v>79</v>
      </c>
      <c r="W2357" s="1">
        <f>IFERROR(__xludf.DUMMYFUNCTION("""COMPUTED_VALUE"""),118.0)</f>
        <v>118</v>
      </c>
      <c r="X2357" s="1">
        <f>IFERROR(__xludf.DUMMYFUNCTION("""COMPUTED_VALUE"""),107.0)</f>
        <v>107</v>
      </c>
      <c r="Y2357" s="2"/>
      <c r="Z2357" s="2"/>
    </row>
    <row r="2358">
      <c r="A2358" s="1">
        <f>IFERROR(__xludf.DUMMYFUNCTION("""COMPUTED_VALUE"""),2357.0)</f>
        <v>2357</v>
      </c>
      <c r="B2358" s="1">
        <f>IFERROR(__xludf.DUMMYFUNCTION("""COMPUTED_VALUE"""),6139.0)</f>
        <v>6139</v>
      </c>
      <c r="C2358" s="2" t="str">
        <f>IFERROR(__xludf.DUMMYFUNCTION("""COMPUTED_VALUE"""),"irwan")</f>
        <v>irwan</v>
      </c>
      <c r="D2358" s="2" t="str">
        <f>IFERROR(__xludf.DUMMYFUNCTION("""COMPUTED_VALUE"""),"5KM OVERALL M")</f>
        <v>5KM OVERALL M</v>
      </c>
      <c r="E2358" s="1">
        <f>IFERROR(__xludf.DUMMYFUNCTION("""COMPUTED_VALUE"""),2.0)</f>
        <v>2</v>
      </c>
      <c r="F2358" s="1" t="str">
        <f>IFERROR(__xludf.DUMMYFUNCTION("""COMPUTED_VALUE"""),"Male")</f>
        <v>Male</v>
      </c>
      <c r="G2358" s="4" t="b">
        <f>IFERROR(__xludf.DUMMYFUNCTION("""COMPUTED_VALUE"""),TRUE)</f>
        <v>1</v>
      </c>
      <c r="H2358" s="4" t="b">
        <f>IFERROR(__xludf.DUMMYFUNCTION("""COMPUTED_VALUE"""),FALSE)</f>
        <v>0</v>
      </c>
      <c r="I2358" s="4">
        <f>IFERROR(__xludf.DUMMYFUNCTION("""COMPUTED_VALUE"""),0.2549440625)</f>
        <v>0.2549440625</v>
      </c>
      <c r="J2358" s="4">
        <f>IFERROR(__xludf.DUMMYFUNCTION("""COMPUTED_VALUE"""),45949.275248923106)</f>
        <v>45949.27525</v>
      </c>
      <c r="K2358" s="4" t="str">
        <f>IFERROR(__xludf.DUMMYFUNCTION("""COMPUTED_VALUE"""),"")</f>
        <v/>
      </c>
      <c r="L2358" s="4">
        <f>IFERROR(__xludf.DUMMYFUNCTION("""COMPUTED_VALUE"""),45949.287932059175)</f>
        <v>45949.28793</v>
      </c>
      <c r="M2358" s="1" t="str">
        <f>IFERROR(__xludf.DUMMYFUNCTION("""COMPUTED_VALUE"""),"RFID")</f>
        <v>RFID</v>
      </c>
      <c r="N2358" s="5">
        <f>IFERROR(__xludf.DUMMYFUNCTION("""COMPUTED_VALUE"""),0.008121944444444444)</f>
        <v>0.008121944444</v>
      </c>
      <c r="O2358" s="5" t="str">
        <f>IFERROR(__xludf.DUMMYFUNCTION("""COMPUTED_VALUE"""),"")</f>
        <v/>
      </c>
      <c r="P2358" s="5" t="str">
        <f>IFERROR(__xludf.DUMMYFUNCTION("""COMPUTED_VALUE"""),"")</f>
        <v/>
      </c>
      <c r="Q2358" s="5">
        <f>IFERROR(__xludf.DUMMYFUNCTION("""COMPUTED_VALUE"""),0.006597599537037037)</f>
        <v>0.006597599537</v>
      </c>
      <c r="R2358" s="4">
        <f>IFERROR(__xludf.DUMMYFUNCTION("""COMPUTED_VALUE"""),45949.032987996674)</f>
        <v>45949.03299</v>
      </c>
      <c r="S2358" s="1" t="b">
        <f>IFERROR(__xludf.DUMMYFUNCTION("""COMPUTED_VALUE"""),TRUE)</f>
        <v>1</v>
      </c>
      <c r="T2358" s="1" t="b">
        <f>IFERROR(__xludf.DUMMYFUNCTION("""COMPUTED_VALUE"""),FALSE)</f>
        <v>0</v>
      </c>
      <c r="U2358" s="1" t="str">
        <f>IFERROR(__xludf.DUMMYFUNCTION("""COMPUTED_VALUE"""),"VALID")</f>
        <v>VALID</v>
      </c>
      <c r="V2358" s="1">
        <f>IFERROR(__xludf.DUMMYFUNCTION("""COMPUTED_VALUE"""),494.0)</f>
        <v>494</v>
      </c>
      <c r="W2358" s="1">
        <f>IFERROR(__xludf.DUMMYFUNCTION("""COMPUTED_VALUE"""),774.0)</f>
        <v>774</v>
      </c>
      <c r="X2358" s="1">
        <f>IFERROR(__xludf.DUMMYFUNCTION("""COMPUTED_VALUE"""),639.0)</f>
        <v>639</v>
      </c>
      <c r="Y2358" s="2"/>
      <c r="Z2358" s="2"/>
    </row>
    <row r="2359">
      <c r="A2359" s="1">
        <f>IFERROR(__xludf.DUMMYFUNCTION("""COMPUTED_VALUE"""),2358.0)</f>
        <v>2358</v>
      </c>
      <c r="B2359" s="1">
        <f>IFERROR(__xludf.DUMMYFUNCTION("""COMPUTED_VALUE"""),6140.0)</f>
        <v>6140</v>
      </c>
      <c r="C2359" s="2" t="str">
        <f>IFERROR(__xludf.DUMMYFUNCTION("""COMPUTED_VALUE"""),"Dendy Perdana")</f>
        <v>Dendy Perdana</v>
      </c>
      <c r="D2359" s="2" t="str">
        <f>IFERROR(__xludf.DUMMYFUNCTION("""COMPUTED_VALUE"""),"5KM OVERALL M")</f>
        <v>5KM OVERALL M</v>
      </c>
      <c r="E2359" s="1">
        <f>IFERROR(__xludf.DUMMYFUNCTION("""COMPUTED_VALUE"""),2.0)</f>
        <v>2</v>
      </c>
      <c r="F2359" s="1" t="str">
        <f>IFERROR(__xludf.DUMMYFUNCTION("""COMPUTED_VALUE"""),"Male")</f>
        <v>Male</v>
      </c>
      <c r="G2359" s="4" t="b">
        <f>IFERROR(__xludf.DUMMYFUNCTION("""COMPUTED_VALUE"""),TRUE)</f>
        <v>1</v>
      </c>
      <c r="H2359" s="4" t="b">
        <f>IFERROR(__xludf.DUMMYFUNCTION("""COMPUTED_VALUE"""),TRUE)</f>
        <v>1</v>
      </c>
      <c r="I2359" s="4">
        <f>IFERROR(__xludf.DUMMYFUNCTION("""COMPUTED_VALUE"""),0.2549440625)</f>
        <v>0.2549440625</v>
      </c>
      <c r="J2359" s="4">
        <f>IFERROR(__xludf.DUMMYFUNCTION("""COMPUTED_VALUE"""),45949.27831491146)</f>
        <v>45949.27831</v>
      </c>
      <c r="K2359" s="4" t="str">
        <f>IFERROR(__xludf.DUMMYFUNCTION("""COMPUTED_VALUE"""),"")</f>
        <v/>
      </c>
      <c r="L2359" s="4">
        <f>IFERROR(__xludf.DUMMYFUNCTION("""COMPUTED_VALUE"""),45949.29321684889)</f>
        <v>45949.29322</v>
      </c>
      <c r="M2359" s="1" t="str">
        <f>IFERROR(__xludf.DUMMYFUNCTION("""COMPUTED_VALUE"""),"RFID")</f>
        <v>RFID</v>
      </c>
      <c r="N2359" s="5">
        <f>IFERROR(__xludf.DUMMYFUNCTION("""COMPUTED_VALUE"""),0.009348337962962963)</f>
        <v>0.009348337963</v>
      </c>
      <c r="O2359" s="5" t="str">
        <f>IFERROR(__xludf.DUMMYFUNCTION("""COMPUTED_VALUE"""),"")</f>
        <v/>
      </c>
      <c r="P2359" s="5" t="str">
        <f>IFERROR(__xludf.DUMMYFUNCTION("""COMPUTED_VALUE"""),"")</f>
        <v/>
      </c>
      <c r="Q2359" s="5">
        <f>IFERROR(__xludf.DUMMYFUNCTION("""COMPUTED_VALUE"""),0.00765455787037037)</f>
        <v>0.00765455787</v>
      </c>
      <c r="R2359" s="4">
        <f>IFERROR(__xludf.DUMMYFUNCTION("""COMPUTED_VALUE"""),45949.03827278639)</f>
        <v>45949.03827</v>
      </c>
      <c r="S2359" s="1" t="b">
        <f>IFERROR(__xludf.DUMMYFUNCTION("""COMPUTED_VALUE"""),TRUE)</f>
        <v>1</v>
      </c>
      <c r="T2359" s="1" t="b">
        <f>IFERROR(__xludf.DUMMYFUNCTION("""COMPUTED_VALUE"""),FALSE)</f>
        <v>0</v>
      </c>
      <c r="U2359" s="1" t="str">
        <f>IFERROR(__xludf.DUMMYFUNCTION("""COMPUTED_VALUE"""),"VALID")</f>
        <v>VALID</v>
      </c>
      <c r="V2359" s="1">
        <f>IFERROR(__xludf.DUMMYFUNCTION("""COMPUTED_VALUE"""),662.0)</f>
        <v>662</v>
      </c>
      <c r="W2359" s="1">
        <f>IFERROR(__xludf.DUMMYFUNCTION("""COMPUTED_VALUE"""),1121.0)</f>
        <v>1121</v>
      </c>
      <c r="X2359" s="1">
        <f>IFERROR(__xludf.DUMMYFUNCTION("""COMPUTED_VALUE"""),890.0)</f>
        <v>890</v>
      </c>
      <c r="Y2359" s="2"/>
      <c r="Z2359" s="2"/>
    </row>
    <row r="2360">
      <c r="A2360" s="1">
        <f>IFERROR(__xludf.DUMMYFUNCTION("""COMPUTED_VALUE"""),2359.0)</f>
        <v>2359</v>
      </c>
      <c r="B2360" s="1">
        <f>IFERROR(__xludf.DUMMYFUNCTION("""COMPUTED_VALUE"""),6141.0)</f>
        <v>6141</v>
      </c>
      <c r="C2360" s="2" t="str">
        <f>IFERROR(__xludf.DUMMYFUNCTION("""COMPUTED_VALUE"""),"KANG HARRY")</f>
        <v>KANG HARRY</v>
      </c>
      <c r="D2360" s="2" t="str">
        <f>IFERROR(__xludf.DUMMYFUNCTION("""COMPUTED_VALUE"""),"5KM OVERALL M")</f>
        <v>5KM OVERALL M</v>
      </c>
      <c r="E2360" s="1">
        <f>IFERROR(__xludf.DUMMYFUNCTION("""COMPUTED_VALUE"""),2.0)</f>
        <v>2</v>
      </c>
      <c r="F2360" s="1" t="str">
        <f>IFERROR(__xludf.DUMMYFUNCTION("""COMPUTED_VALUE"""),"Male")</f>
        <v>Male</v>
      </c>
      <c r="G2360" s="4" t="b">
        <f>IFERROR(__xludf.DUMMYFUNCTION("""COMPUTED_VALUE"""),TRUE)</f>
        <v>1</v>
      </c>
      <c r="H2360" s="4" t="b">
        <f>IFERROR(__xludf.DUMMYFUNCTION("""COMPUTED_VALUE"""),TRUE)</f>
        <v>1</v>
      </c>
      <c r="I2360" s="4">
        <f>IFERROR(__xludf.DUMMYFUNCTION("""COMPUTED_VALUE"""),0.2549440625)</f>
        <v>0.2549440625</v>
      </c>
      <c r="J2360" s="4">
        <f>IFERROR(__xludf.DUMMYFUNCTION("""COMPUTED_VALUE"""),45949.271960729464)</f>
        <v>45949.27196</v>
      </c>
      <c r="K2360" s="4" t="str">
        <f>IFERROR(__xludf.DUMMYFUNCTION("""COMPUTED_VALUE"""),"")</f>
        <v/>
      </c>
      <c r="L2360" s="4">
        <f>IFERROR(__xludf.DUMMYFUNCTION("""COMPUTED_VALUE"""),45949.28584531014)</f>
        <v>45949.28585</v>
      </c>
      <c r="M2360" s="1" t="str">
        <f>IFERROR(__xludf.DUMMYFUNCTION("""COMPUTED_VALUE"""),"RFID")</f>
        <v>RFID</v>
      </c>
      <c r="N2360" s="5">
        <f>IFERROR(__xludf.DUMMYFUNCTION("""COMPUTED_VALUE"""),0.006806666666666667)</f>
        <v>0.006806666667</v>
      </c>
      <c r="O2360" s="5" t="str">
        <f>IFERROR(__xludf.DUMMYFUNCTION("""COMPUTED_VALUE"""),"")</f>
        <v/>
      </c>
      <c r="P2360" s="5" t="str">
        <f>IFERROR(__xludf.DUMMYFUNCTION("""COMPUTED_VALUE"""),"")</f>
        <v/>
      </c>
      <c r="Q2360" s="5">
        <f>IFERROR(__xludf.DUMMYFUNCTION("""COMPUTED_VALUE"""),0.00618025)</f>
        <v>0.00618025</v>
      </c>
      <c r="R2360" s="4">
        <f>IFERROR(__xludf.DUMMYFUNCTION("""COMPUTED_VALUE"""),45949.03090124764)</f>
        <v>45949.0309</v>
      </c>
      <c r="S2360" s="1" t="b">
        <f>IFERROR(__xludf.DUMMYFUNCTION("""COMPUTED_VALUE"""),TRUE)</f>
        <v>1</v>
      </c>
      <c r="T2360" s="1" t="b">
        <f>IFERROR(__xludf.DUMMYFUNCTION("""COMPUTED_VALUE"""),FALSE)</f>
        <v>0</v>
      </c>
      <c r="U2360" s="1" t="str">
        <f>IFERROR(__xludf.DUMMYFUNCTION("""COMPUTED_VALUE"""),"VALID")</f>
        <v>VALID</v>
      </c>
      <c r="V2360" s="1">
        <f>IFERROR(__xludf.DUMMYFUNCTION("""COMPUTED_VALUE"""),411.0)</f>
        <v>411</v>
      </c>
      <c r="W2360" s="1">
        <f>IFERROR(__xludf.DUMMYFUNCTION("""COMPUTED_VALUE"""),629.0)</f>
        <v>629</v>
      </c>
      <c r="X2360" s="1">
        <f>IFERROR(__xludf.DUMMYFUNCTION("""COMPUTED_VALUE"""),526.0)</f>
        <v>526</v>
      </c>
      <c r="Y2360" s="2"/>
      <c r="Z2360" s="2"/>
    </row>
    <row r="2361">
      <c r="A2361" s="1">
        <f>IFERROR(__xludf.DUMMYFUNCTION("""COMPUTED_VALUE"""),2360.0)</f>
        <v>2360</v>
      </c>
      <c r="B2361" s="1">
        <f>IFERROR(__xludf.DUMMYFUNCTION("""COMPUTED_VALUE"""),6142.0)</f>
        <v>6142</v>
      </c>
      <c r="C2361" s="2" t="str">
        <f>IFERROR(__xludf.DUMMYFUNCTION("""COMPUTED_VALUE"""),"Rizki Budiman")</f>
        <v>Rizki Budiman</v>
      </c>
      <c r="D2361" s="2" t="str">
        <f>IFERROR(__xludf.DUMMYFUNCTION("""COMPUTED_VALUE"""),"5KM OVERALL M")</f>
        <v>5KM OVERALL M</v>
      </c>
      <c r="E2361" s="1">
        <f>IFERROR(__xludf.DUMMYFUNCTION("""COMPUTED_VALUE"""),2.0)</f>
        <v>2</v>
      </c>
      <c r="F2361" s="1" t="str">
        <f>IFERROR(__xludf.DUMMYFUNCTION("""COMPUTED_VALUE"""),"Male")</f>
        <v>Male</v>
      </c>
      <c r="G2361" s="4" t="b">
        <f>IFERROR(__xludf.DUMMYFUNCTION("""COMPUTED_VALUE"""),TRUE)</f>
        <v>1</v>
      </c>
      <c r="H2361" s="4" t="b">
        <f>IFERROR(__xludf.DUMMYFUNCTION("""COMPUTED_VALUE"""),FALSE)</f>
        <v>0</v>
      </c>
      <c r="I2361" s="4">
        <f>IFERROR(__xludf.DUMMYFUNCTION("""COMPUTED_VALUE"""),0.2549440625)</f>
        <v>0.2549440625</v>
      </c>
      <c r="J2361" s="4">
        <f>IFERROR(__xludf.DUMMYFUNCTION("""COMPUTED_VALUE"""),45949.276985042074)</f>
        <v>45949.27699</v>
      </c>
      <c r="K2361" s="4" t="str">
        <f>IFERROR(__xludf.DUMMYFUNCTION("""COMPUTED_VALUE"""),"")</f>
        <v/>
      </c>
      <c r="L2361" s="4">
        <f>IFERROR(__xludf.DUMMYFUNCTION("""COMPUTED_VALUE"""),45949.290893928635)</f>
        <v>45949.29089</v>
      </c>
      <c r="M2361" s="1" t="str">
        <f>IFERROR(__xludf.DUMMYFUNCTION("""COMPUTED_VALUE"""),"RFID")</f>
        <v>RFID</v>
      </c>
      <c r="N2361" s="5">
        <f>IFERROR(__xludf.DUMMYFUNCTION("""COMPUTED_VALUE"""),0.008816393518518519)</f>
        <v>0.008816393519</v>
      </c>
      <c r="O2361" s="5" t="str">
        <f>IFERROR(__xludf.DUMMYFUNCTION("""COMPUTED_VALUE"""),"")</f>
        <v/>
      </c>
      <c r="P2361" s="5" t="str">
        <f>IFERROR(__xludf.DUMMYFUNCTION("""COMPUTED_VALUE"""),"")</f>
        <v/>
      </c>
      <c r="Q2361" s="5">
        <f>IFERROR(__xludf.DUMMYFUNCTION("""COMPUTED_VALUE"""),0.007189972222222223)</f>
        <v>0.007189972222</v>
      </c>
      <c r="R2361" s="4">
        <f>IFERROR(__xludf.DUMMYFUNCTION("""COMPUTED_VALUE"""),45949.035949866135)</f>
        <v>45949.03595</v>
      </c>
      <c r="S2361" s="1" t="b">
        <f>IFERROR(__xludf.DUMMYFUNCTION("""COMPUTED_VALUE"""),TRUE)</f>
        <v>1</v>
      </c>
      <c r="T2361" s="1" t="b">
        <f>IFERROR(__xludf.DUMMYFUNCTION("""COMPUTED_VALUE"""),FALSE)</f>
        <v>0</v>
      </c>
      <c r="U2361" s="1" t="str">
        <f>IFERROR(__xludf.DUMMYFUNCTION("""COMPUTED_VALUE"""),"VALID")</f>
        <v>VALID</v>
      </c>
      <c r="V2361" s="1">
        <f>IFERROR(__xludf.DUMMYFUNCTION("""COMPUTED_VALUE"""),593.0)</f>
        <v>593</v>
      </c>
      <c r="W2361" s="1">
        <f>IFERROR(__xludf.DUMMYFUNCTION("""COMPUTED_VALUE"""),957.0)</f>
        <v>957</v>
      </c>
      <c r="X2361" s="1">
        <f>IFERROR(__xludf.DUMMYFUNCTION("""COMPUTED_VALUE"""),776.0)</f>
        <v>776</v>
      </c>
      <c r="Y2361" s="2"/>
      <c r="Z2361" s="2"/>
    </row>
    <row r="2362">
      <c r="A2362" s="1">
        <f>IFERROR(__xludf.DUMMYFUNCTION("""COMPUTED_VALUE"""),2361.0)</f>
        <v>2361</v>
      </c>
      <c r="B2362" s="1">
        <f>IFERROR(__xludf.DUMMYFUNCTION("""COMPUTED_VALUE"""),6143.0)</f>
        <v>6143</v>
      </c>
      <c r="C2362" s="2" t="str">
        <f>IFERROR(__xludf.DUMMYFUNCTION("""COMPUTED_VALUE"""),"ALDI AFREZA")</f>
        <v>ALDI AFREZA</v>
      </c>
      <c r="D2362" s="2" t="str">
        <f>IFERROR(__xludf.DUMMYFUNCTION("""COMPUTED_VALUE"""),"5KM OVERALL M")</f>
        <v>5KM OVERALL M</v>
      </c>
      <c r="E2362" s="1">
        <f>IFERROR(__xludf.DUMMYFUNCTION("""COMPUTED_VALUE"""),2.0)</f>
        <v>2</v>
      </c>
      <c r="F2362" s="1" t="str">
        <f>IFERROR(__xludf.DUMMYFUNCTION("""COMPUTED_VALUE"""),"Male")</f>
        <v>Male</v>
      </c>
      <c r="G2362" s="4" t="b">
        <f>IFERROR(__xludf.DUMMYFUNCTION("""COMPUTED_VALUE"""),TRUE)</f>
        <v>1</v>
      </c>
      <c r="H2362" s="4" t="b">
        <f>IFERROR(__xludf.DUMMYFUNCTION("""COMPUTED_VALUE"""),TRUE)</f>
        <v>1</v>
      </c>
      <c r="I2362" s="4">
        <f>IFERROR(__xludf.DUMMYFUNCTION("""COMPUTED_VALUE"""),0.2549440625)</f>
        <v>0.2549440625</v>
      </c>
      <c r="J2362" s="4">
        <f>IFERROR(__xludf.DUMMYFUNCTION("""COMPUTED_VALUE"""),45949.27354062915)</f>
        <v>45949.27354</v>
      </c>
      <c r="K2362" s="4" t="str">
        <f>IFERROR(__xludf.DUMMYFUNCTION("""COMPUTED_VALUE"""),"")</f>
        <v/>
      </c>
      <c r="L2362" s="4">
        <f>IFERROR(__xludf.DUMMYFUNCTION("""COMPUTED_VALUE"""),45949.28518212986)</f>
        <v>45949.28518</v>
      </c>
      <c r="M2362" s="1" t="str">
        <f>IFERROR(__xludf.DUMMYFUNCTION("""COMPUTED_VALUE"""),"RFID")</f>
        <v>RFID</v>
      </c>
      <c r="N2362" s="5">
        <f>IFERROR(__xludf.DUMMYFUNCTION("""COMPUTED_VALUE"""),0.007438625)</f>
        <v>0.007438625</v>
      </c>
      <c r="O2362" s="5" t="str">
        <f>IFERROR(__xludf.DUMMYFUNCTION("""COMPUTED_VALUE"""),"")</f>
        <v/>
      </c>
      <c r="P2362" s="5" t="str">
        <f>IFERROR(__xludf.DUMMYFUNCTION("""COMPUTED_VALUE"""),"")</f>
        <v/>
      </c>
      <c r="Q2362" s="5">
        <f>IFERROR(__xludf.DUMMYFUNCTION("""COMPUTED_VALUE"""),0.006047613425925926)</f>
        <v>0.006047613426</v>
      </c>
      <c r="R2362" s="4">
        <f>IFERROR(__xludf.DUMMYFUNCTION("""COMPUTED_VALUE"""),45949.03023806736)</f>
        <v>45949.03024</v>
      </c>
      <c r="S2362" s="1" t="b">
        <f>IFERROR(__xludf.DUMMYFUNCTION("""COMPUTED_VALUE"""),TRUE)</f>
        <v>1</v>
      </c>
      <c r="T2362" s="1" t="b">
        <f>IFERROR(__xludf.DUMMYFUNCTION("""COMPUTED_VALUE"""),FALSE)</f>
        <v>0</v>
      </c>
      <c r="U2362" s="1" t="str">
        <f>IFERROR(__xludf.DUMMYFUNCTION("""COMPUTED_VALUE"""),"VALID")</f>
        <v>VALID</v>
      </c>
      <c r="V2362" s="1">
        <f>IFERROR(__xludf.DUMMYFUNCTION("""COMPUTED_VALUE"""),385.0)</f>
        <v>385</v>
      </c>
      <c r="W2362" s="1">
        <f>IFERROR(__xludf.DUMMYFUNCTION("""COMPUTED_VALUE"""),583.0)</f>
        <v>583</v>
      </c>
      <c r="X2362" s="1">
        <f>IFERROR(__xludf.DUMMYFUNCTION("""COMPUTED_VALUE"""),494.0)</f>
        <v>494</v>
      </c>
      <c r="Y2362" s="2"/>
      <c r="Z2362" s="2"/>
    </row>
    <row r="2363">
      <c r="A2363" s="1">
        <f>IFERROR(__xludf.DUMMYFUNCTION("""COMPUTED_VALUE"""),2362.0)</f>
        <v>2362</v>
      </c>
      <c r="B2363" s="1">
        <f>IFERROR(__xludf.DUMMYFUNCTION("""COMPUTED_VALUE"""),6144.0)</f>
        <v>6144</v>
      </c>
      <c r="C2363" s="2" t="str">
        <f>IFERROR(__xludf.DUMMYFUNCTION("""COMPUTED_VALUE"""),"ALFABA21")</f>
        <v>ALFABA21</v>
      </c>
      <c r="D2363" s="2" t="str">
        <f>IFERROR(__xludf.DUMMYFUNCTION("""COMPUTED_VALUE"""),"5KM OVERALL M")</f>
        <v>5KM OVERALL M</v>
      </c>
      <c r="E2363" s="1">
        <f>IFERROR(__xludf.DUMMYFUNCTION("""COMPUTED_VALUE"""),2.0)</f>
        <v>2</v>
      </c>
      <c r="F2363" s="1" t="str">
        <f>IFERROR(__xludf.DUMMYFUNCTION("""COMPUTED_VALUE"""),"Male")</f>
        <v>Male</v>
      </c>
      <c r="G2363" s="4" t="b">
        <f>IFERROR(__xludf.DUMMYFUNCTION("""COMPUTED_VALUE"""),TRUE)</f>
        <v>1</v>
      </c>
      <c r="H2363" s="4" t="b">
        <f>IFERROR(__xludf.DUMMYFUNCTION("""COMPUTED_VALUE"""),TRUE)</f>
        <v>1</v>
      </c>
      <c r="I2363" s="4">
        <f>IFERROR(__xludf.DUMMYFUNCTION("""COMPUTED_VALUE"""),0.2549440625)</f>
        <v>0.2549440625</v>
      </c>
      <c r="J2363" s="4">
        <f>IFERROR(__xludf.DUMMYFUNCTION("""COMPUTED_VALUE"""),45949.273214262335)</f>
        <v>45949.27321</v>
      </c>
      <c r="K2363" s="4" t="str">
        <f>IFERROR(__xludf.DUMMYFUNCTION("""COMPUTED_VALUE"""),"")</f>
        <v/>
      </c>
      <c r="L2363" s="4">
        <f>IFERROR(__xludf.DUMMYFUNCTION("""COMPUTED_VALUE"""),45949.28520990864)</f>
        <v>45949.28521</v>
      </c>
      <c r="M2363" s="1" t="str">
        <f>IFERROR(__xludf.DUMMYFUNCTION("""COMPUTED_VALUE"""),"RFID")</f>
        <v>RFID</v>
      </c>
      <c r="N2363" s="5">
        <f>IFERROR(__xludf.DUMMYFUNCTION("""COMPUTED_VALUE"""),0.007308078703703704)</f>
        <v>0.007308078704</v>
      </c>
      <c r="O2363" s="5" t="str">
        <f>IFERROR(__xludf.DUMMYFUNCTION("""COMPUTED_VALUE"""),"")</f>
        <v/>
      </c>
      <c r="P2363" s="5" t="str">
        <f>IFERROR(__xludf.DUMMYFUNCTION("""COMPUTED_VALUE"""),"")</f>
        <v/>
      </c>
      <c r="Q2363" s="5">
        <f>IFERROR(__xludf.DUMMYFUNCTION("""COMPUTED_VALUE"""),0.006053168981481482)</f>
        <v>0.006053168981</v>
      </c>
      <c r="R2363" s="4">
        <f>IFERROR(__xludf.DUMMYFUNCTION("""COMPUTED_VALUE"""),45949.03026584614)</f>
        <v>45949.03027</v>
      </c>
      <c r="S2363" s="1" t="b">
        <f>IFERROR(__xludf.DUMMYFUNCTION("""COMPUTED_VALUE"""),TRUE)</f>
        <v>1</v>
      </c>
      <c r="T2363" s="1" t="b">
        <f>IFERROR(__xludf.DUMMYFUNCTION("""COMPUTED_VALUE"""),FALSE)</f>
        <v>0</v>
      </c>
      <c r="U2363" s="1" t="str">
        <f>IFERROR(__xludf.DUMMYFUNCTION("""COMPUTED_VALUE"""),"VALID")</f>
        <v>VALID</v>
      </c>
      <c r="V2363" s="1">
        <f>IFERROR(__xludf.DUMMYFUNCTION("""COMPUTED_VALUE"""),388.0)</f>
        <v>388</v>
      </c>
      <c r="W2363" s="1">
        <f>IFERROR(__xludf.DUMMYFUNCTION("""COMPUTED_VALUE"""),587.0)</f>
        <v>587</v>
      </c>
      <c r="X2363" s="1">
        <f>IFERROR(__xludf.DUMMYFUNCTION("""COMPUTED_VALUE"""),498.0)</f>
        <v>498</v>
      </c>
      <c r="Y2363" s="2"/>
      <c r="Z2363" s="2"/>
    </row>
    <row r="2364">
      <c r="A2364" s="1">
        <f>IFERROR(__xludf.DUMMYFUNCTION("""COMPUTED_VALUE"""),2363.0)</f>
        <v>2363</v>
      </c>
      <c r="B2364" s="1">
        <f>IFERROR(__xludf.DUMMYFUNCTION("""COMPUTED_VALUE"""),6145.0)</f>
        <v>6145</v>
      </c>
      <c r="C2364" s="2" t="str">
        <f>IFERROR(__xludf.DUMMYFUNCTION("""COMPUTED_VALUE"""),"Egganteng")</f>
        <v>Egganteng</v>
      </c>
      <c r="D2364" s="2" t="str">
        <f>IFERROR(__xludf.DUMMYFUNCTION("""COMPUTED_VALUE"""),"5KM OVERALL M")</f>
        <v>5KM OVERALL M</v>
      </c>
      <c r="E2364" s="1">
        <f>IFERROR(__xludf.DUMMYFUNCTION("""COMPUTED_VALUE"""),2.0)</f>
        <v>2</v>
      </c>
      <c r="F2364" s="1" t="str">
        <f>IFERROR(__xludf.DUMMYFUNCTION("""COMPUTED_VALUE"""),"Male")</f>
        <v>Male</v>
      </c>
      <c r="G2364" s="4" t="b">
        <f>IFERROR(__xludf.DUMMYFUNCTION("""COMPUTED_VALUE"""),TRUE)</f>
        <v>1</v>
      </c>
      <c r="H2364" s="4" t="b">
        <f>IFERROR(__xludf.DUMMYFUNCTION("""COMPUTED_VALUE"""),FALSE)</f>
        <v>0</v>
      </c>
      <c r="I2364" s="4">
        <f>IFERROR(__xludf.DUMMYFUNCTION("""COMPUTED_VALUE"""),0.2549440625)</f>
        <v>0.2549440625</v>
      </c>
      <c r="J2364" s="4">
        <f>IFERROR(__xludf.DUMMYFUNCTION("""COMPUTED_VALUE"""),45949.27751628127)</f>
        <v>45949.27752</v>
      </c>
      <c r="K2364" s="4" t="str">
        <f>IFERROR(__xludf.DUMMYFUNCTION("""COMPUTED_VALUE"""),"")</f>
        <v/>
      </c>
      <c r="L2364" s="4">
        <f>IFERROR(__xludf.DUMMYFUNCTION("""COMPUTED_VALUE"""),45949.29290781864)</f>
        <v>45949.29291</v>
      </c>
      <c r="M2364" s="1" t="str">
        <f>IFERROR(__xludf.DUMMYFUNCTION("""COMPUTED_VALUE"""),"RFID")</f>
        <v>RFID</v>
      </c>
      <c r="N2364" s="5">
        <f>IFERROR(__xludf.DUMMYFUNCTION("""COMPUTED_VALUE"""),0.009028888888888888)</f>
        <v>0.009028888889</v>
      </c>
      <c r="O2364" s="5" t="str">
        <f>IFERROR(__xludf.DUMMYFUNCTION("""COMPUTED_VALUE"""),"")</f>
        <v/>
      </c>
      <c r="P2364" s="5" t="str">
        <f>IFERROR(__xludf.DUMMYFUNCTION("""COMPUTED_VALUE"""),"")</f>
        <v/>
      </c>
      <c r="Q2364" s="5">
        <f>IFERROR(__xludf.DUMMYFUNCTION("""COMPUTED_VALUE"""),0.007592752314814814)</f>
        <v>0.007592752315</v>
      </c>
      <c r="R2364" s="4">
        <f>IFERROR(__xludf.DUMMYFUNCTION("""COMPUTED_VALUE"""),45949.03796375614)</f>
        <v>45949.03796</v>
      </c>
      <c r="S2364" s="1" t="b">
        <f>IFERROR(__xludf.DUMMYFUNCTION("""COMPUTED_VALUE"""),TRUE)</f>
        <v>1</v>
      </c>
      <c r="T2364" s="1" t="b">
        <f>IFERROR(__xludf.DUMMYFUNCTION("""COMPUTED_VALUE"""),FALSE)</f>
        <v>0</v>
      </c>
      <c r="U2364" s="1" t="str">
        <f>IFERROR(__xludf.DUMMYFUNCTION("""COMPUTED_VALUE"""),"VALID")</f>
        <v>VALID</v>
      </c>
      <c r="V2364" s="1">
        <f>IFERROR(__xludf.DUMMYFUNCTION("""COMPUTED_VALUE"""),652.0)</f>
        <v>652</v>
      </c>
      <c r="W2364" s="1">
        <f>IFERROR(__xludf.DUMMYFUNCTION("""COMPUTED_VALUE"""),1099.0)</f>
        <v>1099</v>
      </c>
      <c r="X2364" s="1">
        <f>IFERROR(__xludf.DUMMYFUNCTION("""COMPUTED_VALUE"""),873.0)</f>
        <v>873</v>
      </c>
      <c r="Y2364" s="2"/>
      <c r="Z2364" s="2"/>
    </row>
    <row r="2365">
      <c r="A2365" s="1">
        <f>IFERROR(__xludf.DUMMYFUNCTION("""COMPUTED_VALUE"""),2364.0)</f>
        <v>2364</v>
      </c>
      <c r="B2365" s="1">
        <f>IFERROR(__xludf.DUMMYFUNCTION("""COMPUTED_VALUE"""),6146.0)</f>
        <v>6146</v>
      </c>
      <c r="C2365" s="2" t="str">
        <f>IFERROR(__xludf.DUMMYFUNCTION("""COMPUTED_VALUE"""),"anwr.cha")</f>
        <v>anwr.cha</v>
      </c>
      <c r="D2365" s="2" t="str">
        <f>IFERROR(__xludf.DUMMYFUNCTION("""COMPUTED_VALUE"""),"5KM OVERALL M")</f>
        <v>5KM OVERALL M</v>
      </c>
      <c r="E2365" s="1">
        <f>IFERROR(__xludf.DUMMYFUNCTION("""COMPUTED_VALUE"""),2.0)</f>
        <v>2</v>
      </c>
      <c r="F2365" s="1" t="str">
        <f>IFERROR(__xludf.DUMMYFUNCTION("""COMPUTED_VALUE"""),"Male")</f>
        <v>Male</v>
      </c>
      <c r="G2365" s="4" t="str">
        <f>IFERROR(__xludf.DUMMYFUNCTION("""COMPUTED_VALUE"""),"")</f>
        <v/>
      </c>
      <c r="H2365" s="4" t="b">
        <f>IFERROR(__xludf.DUMMYFUNCTION("""COMPUTED_VALUE"""),FALSE)</f>
        <v>0</v>
      </c>
      <c r="I2365" s="4">
        <f>IFERROR(__xludf.DUMMYFUNCTION("""COMPUTED_VALUE"""),0.2549440625)</f>
        <v>0.2549440625</v>
      </c>
      <c r="J2365" s="4" t="str">
        <f>IFERROR(__xludf.DUMMYFUNCTION("""COMPUTED_VALUE"""),"")</f>
        <v/>
      </c>
      <c r="K2365" s="4" t="str">
        <f>IFERROR(__xludf.DUMMYFUNCTION("""COMPUTED_VALUE"""),"")</f>
        <v/>
      </c>
      <c r="L2365" s="4" t="str">
        <f>IFERROR(__xludf.DUMMYFUNCTION("""COMPUTED_VALUE"""),"")</f>
        <v/>
      </c>
      <c r="M2365" s="1" t="str">
        <f>IFERROR(__xludf.DUMMYFUNCTION("""COMPUTED_VALUE"""),"RFID")</f>
        <v>RFID</v>
      </c>
      <c r="N2365" s="5" t="str">
        <f>IFERROR(__xludf.DUMMYFUNCTION("""COMPUTED_VALUE"""),"")</f>
        <v/>
      </c>
      <c r="O2365" s="5" t="str">
        <f>IFERROR(__xludf.DUMMYFUNCTION("""COMPUTED_VALUE"""),"")</f>
        <v/>
      </c>
      <c r="P2365" s="5" t="str">
        <f>IFERROR(__xludf.DUMMYFUNCTION("""COMPUTED_VALUE"""),"")</f>
        <v/>
      </c>
      <c r="Q2365" s="5" t="str">
        <f>IFERROR(__xludf.DUMMYFUNCTION("""COMPUTED_VALUE"""),"")</f>
        <v/>
      </c>
      <c r="R2365" s="4" t="str">
        <f>IFERROR(__xludf.DUMMYFUNCTION("""COMPUTED_VALUE"""),"")</f>
        <v/>
      </c>
      <c r="S2365" s="1" t="b">
        <f>IFERROR(__xludf.DUMMYFUNCTION("""COMPUTED_VALUE"""),FALSE)</f>
        <v>0</v>
      </c>
      <c r="T2365" s="1" t="b">
        <f>IFERROR(__xludf.DUMMYFUNCTION("""COMPUTED_VALUE"""),FALSE)</f>
        <v>0</v>
      </c>
      <c r="U2365" s="1" t="str">
        <f>IFERROR(__xludf.DUMMYFUNCTION("""COMPUTED_VALUE"""),"DSQ")</f>
        <v>DSQ</v>
      </c>
      <c r="V2365" s="1" t="str">
        <f>IFERROR(__xludf.DUMMYFUNCTION("""COMPUTED_VALUE"""),"DSQ")</f>
        <v>DSQ</v>
      </c>
      <c r="W2365" s="1" t="str">
        <f>IFERROR(__xludf.DUMMYFUNCTION("""COMPUTED_VALUE"""),"DSQ")</f>
        <v>DSQ</v>
      </c>
      <c r="X2365" s="1" t="str">
        <f>IFERROR(__xludf.DUMMYFUNCTION("""COMPUTED_VALUE"""),"DSQ")</f>
        <v>DSQ</v>
      </c>
      <c r="Y2365" s="2"/>
      <c r="Z2365" s="2" t="str">
        <f>IFERROR(__xludf.DUMMYFUNCTION("""COMPUTED_VALUE"""),"")</f>
        <v/>
      </c>
    </row>
    <row r="2366">
      <c r="A2366" s="1">
        <f>IFERROR(__xludf.DUMMYFUNCTION("""COMPUTED_VALUE"""),2365.0)</f>
        <v>2365</v>
      </c>
      <c r="B2366" s="1">
        <f>IFERROR(__xludf.DUMMYFUNCTION("""COMPUTED_VALUE"""),6147.0)</f>
        <v>6147</v>
      </c>
      <c r="C2366" s="2" t="str">
        <f>IFERROR(__xludf.DUMMYFUNCTION("""COMPUTED_VALUE"""),"Kahfi")</f>
        <v>Kahfi</v>
      </c>
      <c r="D2366" s="2" t="str">
        <f>IFERROR(__xludf.DUMMYFUNCTION("""COMPUTED_VALUE"""),"5KM OVERALL M")</f>
        <v>5KM OVERALL M</v>
      </c>
      <c r="E2366" s="1">
        <f>IFERROR(__xludf.DUMMYFUNCTION("""COMPUTED_VALUE"""),2.0)</f>
        <v>2</v>
      </c>
      <c r="F2366" s="1" t="str">
        <f>IFERROR(__xludf.DUMMYFUNCTION("""COMPUTED_VALUE"""),"Male")</f>
        <v>Male</v>
      </c>
      <c r="G2366" s="4" t="str">
        <f>IFERROR(__xludf.DUMMYFUNCTION("""COMPUTED_VALUE"""),"")</f>
        <v/>
      </c>
      <c r="H2366" s="4" t="b">
        <f>IFERROR(__xludf.DUMMYFUNCTION("""COMPUTED_VALUE"""),FALSE)</f>
        <v>0</v>
      </c>
      <c r="I2366" s="4">
        <f>IFERROR(__xludf.DUMMYFUNCTION("""COMPUTED_VALUE"""),0.2549440625)</f>
        <v>0.2549440625</v>
      </c>
      <c r="J2366" s="4" t="str">
        <f>IFERROR(__xludf.DUMMYFUNCTION("""COMPUTED_VALUE"""),"")</f>
        <v/>
      </c>
      <c r="K2366" s="4" t="str">
        <f>IFERROR(__xludf.DUMMYFUNCTION("""COMPUTED_VALUE"""),"")</f>
        <v/>
      </c>
      <c r="L2366" s="4" t="str">
        <f>IFERROR(__xludf.DUMMYFUNCTION("""COMPUTED_VALUE"""),"")</f>
        <v/>
      </c>
      <c r="M2366" s="1" t="str">
        <f>IFERROR(__xludf.DUMMYFUNCTION("""COMPUTED_VALUE"""),"RFID")</f>
        <v>RFID</v>
      </c>
      <c r="N2366" s="5" t="str">
        <f>IFERROR(__xludf.DUMMYFUNCTION("""COMPUTED_VALUE"""),"")</f>
        <v/>
      </c>
      <c r="O2366" s="5" t="str">
        <f>IFERROR(__xludf.DUMMYFUNCTION("""COMPUTED_VALUE"""),"")</f>
        <v/>
      </c>
      <c r="P2366" s="5" t="str">
        <f>IFERROR(__xludf.DUMMYFUNCTION("""COMPUTED_VALUE"""),"")</f>
        <v/>
      </c>
      <c r="Q2366" s="5" t="str">
        <f>IFERROR(__xludf.DUMMYFUNCTION("""COMPUTED_VALUE"""),"")</f>
        <v/>
      </c>
      <c r="R2366" s="4" t="str">
        <f>IFERROR(__xludf.DUMMYFUNCTION("""COMPUTED_VALUE"""),"")</f>
        <v/>
      </c>
      <c r="S2366" s="1" t="b">
        <f>IFERROR(__xludf.DUMMYFUNCTION("""COMPUTED_VALUE"""),FALSE)</f>
        <v>0</v>
      </c>
      <c r="T2366" s="1" t="b">
        <f>IFERROR(__xludf.DUMMYFUNCTION("""COMPUTED_VALUE"""),FALSE)</f>
        <v>0</v>
      </c>
      <c r="U2366" s="1" t="str">
        <f>IFERROR(__xludf.DUMMYFUNCTION("""COMPUTED_VALUE"""),"DSQ")</f>
        <v>DSQ</v>
      </c>
      <c r="V2366" s="1" t="str">
        <f>IFERROR(__xludf.DUMMYFUNCTION("""COMPUTED_VALUE"""),"DSQ")</f>
        <v>DSQ</v>
      </c>
      <c r="W2366" s="1" t="str">
        <f>IFERROR(__xludf.DUMMYFUNCTION("""COMPUTED_VALUE"""),"DSQ")</f>
        <v>DSQ</v>
      </c>
      <c r="X2366" s="1" t="str">
        <f>IFERROR(__xludf.DUMMYFUNCTION("""COMPUTED_VALUE"""),"DSQ")</f>
        <v>DSQ</v>
      </c>
      <c r="Y2366" s="2"/>
      <c r="Z2366" s="2" t="str">
        <f>IFERROR(__xludf.DUMMYFUNCTION("""COMPUTED_VALUE"""),"")</f>
        <v/>
      </c>
    </row>
    <row r="2367">
      <c r="A2367" s="1">
        <f>IFERROR(__xludf.DUMMYFUNCTION("""COMPUTED_VALUE"""),2366.0)</f>
        <v>2366</v>
      </c>
      <c r="B2367" s="1">
        <f>IFERROR(__xludf.DUMMYFUNCTION("""COMPUTED_VALUE"""),6148.0)</f>
        <v>6148</v>
      </c>
      <c r="C2367" s="2" t="str">
        <f>IFERROR(__xludf.DUMMYFUNCTION("""COMPUTED_VALUE"""),"Zubair")</f>
        <v>Zubair</v>
      </c>
      <c r="D2367" s="2" t="str">
        <f>IFERROR(__xludf.DUMMYFUNCTION("""COMPUTED_VALUE"""),"5KM OVERALL M")</f>
        <v>5KM OVERALL M</v>
      </c>
      <c r="E2367" s="1">
        <f>IFERROR(__xludf.DUMMYFUNCTION("""COMPUTED_VALUE"""),2.0)</f>
        <v>2</v>
      </c>
      <c r="F2367" s="1" t="str">
        <f>IFERROR(__xludf.DUMMYFUNCTION("""COMPUTED_VALUE"""),"Male")</f>
        <v>Male</v>
      </c>
      <c r="G2367" s="4" t="str">
        <f>IFERROR(__xludf.DUMMYFUNCTION("""COMPUTED_VALUE"""),"")</f>
        <v/>
      </c>
      <c r="H2367" s="4" t="b">
        <f>IFERROR(__xludf.DUMMYFUNCTION("""COMPUTED_VALUE"""),FALSE)</f>
        <v>0</v>
      </c>
      <c r="I2367" s="4">
        <f>IFERROR(__xludf.DUMMYFUNCTION("""COMPUTED_VALUE"""),0.2549440625)</f>
        <v>0.2549440625</v>
      </c>
      <c r="J2367" s="4" t="str">
        <f>IFERROR(__xludf.DUMMYFUNCTION("""COMPUTED_VALUE"""),"")</f>
        <v/>
      </c>
      <c r="K2367" s="4" t="str">
        <f>IFERROR(__xludf.DUMMYFUNCTION("""COMPUTED_VALUE"""),"")</f>
        <v/>
      </c>
      <c r="L2367" s="4" t="str">
        <f>IFERROR(__xludf.DUMMYFUNCTION("""COMPUTED_VALUE"""),"")</f>
        <v/>
      </c>
      <c r="M2367" s="1" t="str">
        <f>IFERROR(__xludf.DUMMYFUNCTION("""COMPUTED_VALUE"""),"RFID")</f>
        <v>RFID</v>
      </c>
      <c r="N2367" s="5" t="str">
        <f>IFERROR(__xludf.DUMMYFUNCTION("""COMPUTED_VALUE"""),"")</f>
        <v/>
      </c>
      <c r="O2367" s="5" t="str">
        <f>IFERROR(__xludf.DUMMYFUNCTION("""COMPUTED_VALUE"""),"")</f>
        <v/>
      </c>
      <c r="P2367" s="5" t="str">
        <f>IFERROR(__xludf.DUMMYFUNCTION("""COMPUTED_VALUE"""),"")</f>
        <v/>
      </c>
      <c r="Q2367" s="5" t="str">
        <f>IFERROR(__xludf.DUMMYFUNCTION("""COMPUTED_VALUE"""),"")</f>
        <v/>
      </c>
      <c r="R2367" s="4" t="str">
        <f>IFERROR(__xludf.DUMMYFUNCTION("""COMPUTED_VALUE"""),"")</f>
        <v/>
      </c>
      <c r="S2367" s="1" t="b">
        <f>IFERROR(__xludf.DUMMYFUNCTION("""COMPUTED_VALUE"""),FALSE)</f>
        <v>0</v>
      </c>
      <c r="T2367" s="1" t="b">
        <f>IFERROR(__xludf.DUMMYFUNCTION("""COMPUTED_VALUE"""),FALSE)</f>
        <v>0</v>
      </c>
      <c r="U2367" s="1" t="str">
        <f>IFERROR(__xludf.DUMMYFUNCTION("""COMPUTED_VALUE"""),"DSQ")</f>
        <v>DSQ</v>
      </c>
      <c r="V2367" s="1" t="str">
        <f>IFERROR(__xludf.DUMMYFUNCTION("""COMPUTED_VALUE"""),"DSQ")</f>
        <v>DSQ</v>
      </c>
      <c r="W2367" s="1" t="str">
        <f>IFERROR(__xludf.DUMMYFUNCTION("""COMPUTED_VALUE"""),"DSQ")</f>
        <v>DSQ</v>
      </c>
      <c r="X2367" s="1" t="str">
        <f>IFERROR(__xludf.DUMMYFUNCTION("""COMPUTED_VALUE"""),"DSQ")</f>
        <v>DSQ</v>
      </c>
      <c r="Y2367" s="2"/>
      <c r="Z2367" s="2" t="str">
        <f>IFERROR(__xludf.DUMMYFUNCTION("""COMPUTED_VALUE"""),"")</f>
        <v/>
      </c>
    </row>
    <row r="2368">
      <c r="A2368" s="1">
        <f>IFERROR(__xludf.DUMMYFUNCTION("""COMPUTED_VALUE"""),2367.0)</f>
        <v>2367</v>
      </c>
      <c r="B2368" s="1">
        <f>IFERROR(__xludf.DUMMYFUNCTION("""COMPUTED_VALUE"""),6151.0)</f>
        <v>6151</v>
      </c>
      <c r="C2368" s="2" t="str">
        <f>IFERROR(__xludf.DUMMYFUNCTION("""COMPUTED_VALUE"""),"RiyadiNabilAzzam")</f>
        <v>RiyadiNabilAzzam</v>
      </c>
      <c r="D2368" s="2" t="str">
        <f>IFERROR(__xludf.DUMMYFUNCTION("""COMPUTED_VALUE"""),"5KM OVERALL M")</f>
        <v>5KM OVERALL M</v>
      </c>
      <c r="E2368" s="1">
        <f>IFERROR(__xludf.DUMMYFUNCTION("""COMPUTED_VALUE"""),2.0)</f>
        <v>2</v>
      </c>
      <c r="F2368" s="1" t="str">
        <f>IFERROR(__xludf.DUMMYFUNCTION("""COMPUTED_VALUE"""),"Male")</f>
        <v>Male</v>
      </c>
      <c r="G2368" s="4" t="b">
        <f>IFERROR(__xludf.DUMMYFUNCTION("""COMPUTED_VALUE"""),TRUE)</f>
        <v>1</v>
      </c>
      <c r="H2368" s="4" t="b">
        <f>IFERROR(__xludf.DUMMYFUNCTION("""COMPUTED_VALUE"""),TRUE)</f>
        <v>1</v>
      </c>
      <c r="I2368" s="4">
        <f>IFERROR(__xludf.DUMMYFUNCTION("""COMPUTED_VALUE"""),0.2549440625)</f>
        <v>0.2549440625</v>
      </c>
      <c r="J2368" s="4">
        <f>IFERROR(__xludf.DUMMYFUNCTION("""COMPUTED_VALUE"""),45949.271835739484)</f>
        <v>45949.27184</v>
      </c>
      <c r="K2368" s="4" t="str">
        <f>IFERROR(__xludf.DUMMYFUNCTION("""COMPUTED_VALUE"""),"")</f>
        <v/>
      </c>
      <c r="L2368" s="4">
        <f>IFERROR(__xludf.DUMMYFUNCTION("""COMPUTED_VALUE"""),45949.28186324691)</f>
        <v>45949.28186</v>
      </c>
      <c r="M2368" s="1" t="str">
        <f>IFERROR(__xludf.DUMMYFUNCTION("""COMPUTED_VALUE"""),"RFID")</f>
        <v>RFID</v>
      </c>
      <c r="N2368" s="5">
        <f>IFERROR(__xludf.DUMMYFUNCTION("""COMPUTED_VALUE"""),0.006756671296296296)</f>
        <v>0.006756671296</v>
      </c>
      <c r="O2368" s="5" t="str">
        <f>IFERROR(__xludf.DUMMYFUNCTION("""COMPUTED_VALUE"""),"")</f>
        <v/>
      </c>
      <c r="P2368" s="5" t="str">
        <f>IFERROR(__xludf.DUMMYFUNCTION("""COMPUTED_VALUE"""),"")</f>
        <v/>
      </c>
      <c r="Q2368" s="5">
        <f>IFERROR(__xludf.DUMMYFUNCTION("""COMPUTED_VALUE"""),0.0053838379629629635)</f>
        <v>0.005383837963</v>
      </c>
      <c r="R2368" s="4">
        <f>IFERROR(__xludf.DUMMYFUNCTION("""COMPUTED_VALUE"""),45949.02691918441)</f>
        <v>45949.02692</v>
      </c>
      <c r="S2368" s="1" t="b">
        <f>IFERROR(__xludf.DUMMYFUNCTION("""COMPUTED_VALUE"""),TRUE)</f>
        <v>1</v>
      </c>
      <c r="T2368" s="1" t="b">
        <f>IFERROR(__xludf.DUMMYFUNCTION("""COMPUTED_VALUE"""),FALSE)</f>
        <v>0</v>
      </c>
      <c r="U2368" s="1" t="str">
        <f>IFERROR(__xludf.DUMMYFUNCTION("""COMPUTED_VALUE"""),"VALID")</f>
        <v>VALID</v>
      </c>
      <c r="V2368" s="1">
        <f>IFERROR(__xludf.DUMMYFUNCTION("""COMPUTED_VALUE"""),246.0)</f>
        <v>246</v>
      </c>
      <c r="W2368" s="1">
        <f>IFERROR(__xludf.DUMMYFUNCTION("""COMPUTED_VALUE"""),381.0)</f>
        <v>381</v>
      </c>
      <c r="X2368" s="1">
        <f>IFERROR(__xludf.DUMMYFUNCTION("""COMPUTED_VALUE"""),328.0)</f>
        <v>328</v>
      </c>
      <c r="Y2368" s="2"/>
      <c r="Z2368" s="2"/>
    </row>
    <row r="2369">
      <c r="A2369" s="1">
        <f>IFERROR(__xludf.DUMMYFUNCTION("""COMPUTED_VALUE"""),2368.0)</f>
        <v>2368</v>
      </c>
      <c r="B2369" s="1">
        <f>IFERROR(__xludf.DUMMYFUNCTION("""COMPUTED_VALUE"""),6152.0)</f>
        <v>6152</v>
      </c>
      <c r="C2369" s="2" t="str">
        <f>IFERROR(__xludf.DUMMYFUNCTION("""COMPUTED_VALUE"""),"Ryan")</f>
        <v>Ryan</v>
      </c>
      <c r="D2369" s="2" t="str">
        <f>IFERROR(__xludf.DUMMYFUNCTION("""COMPUTED_VALUE"""),"5KM OVERALL M")</f>
        <v>5KM OVERALL M</v>
      </c>
      <c r="E2369" s="1">
        <f>IFERROR(__xludf.DUMMYFUNCTION("""COMPUTED_VALUE"""),2.0)</f>
        <v>2</v>
      </c>
      <c r="F2369" s="1" t="str">
        <f>IFERROR(__xludf.DUMMYFUNCTION("""COMPUTED_VALUE"""),"Male")</f>
        <v>Male</v>
      </c>
      <c r="G2369" s="4" t="str">
        <f>IFERROR(__xludf.DUMMYFUNCTION("""COMPUTED_VALUE"""),"")</f>
        <v/>
      </c>
      <c r="H2369" s="4" t="b">
        <f>IFERROR(__xludf.DUMMYFUNCTION("""COMPUTED_VALUE"""),FALSE)</f>
        <v>0</v>
      </c>
      <c r="I2369" s="4">
        <f>IFERROR(__xludf.DUMMYFUNCTION("""COMPUTED_VALUE"""),0.2549440625)</f>
        <v>0.2549440625</v>
      </c>
      <c r="J2369" s="4" t="str">
        <f>IFERROR(__xludf.DUMMYFUNCTION("""COMPUTED_VALUE"""),"")</f>
        <v/>
      </c>
      <c r="K2369" s="4" t="str">
        <f>IFERROR(__xludf.DUMMYFUNCTION("""COMPUTED_VALUE"""),"")</f>
        <v/>
      </c>
      <c r="L2369" s="4" t="str">
        <f>IFERROR(__xludf.DUMMYFUNCTION("""COMPUTED_VALUE"""),"")</f>
        <v/>
      </c>
      <c r="M2369" s="1" t="str">
        <f>IFERROR(__xludf.DUMMYFUNCTION("""COMPUTED_VALUE"""),"RFID")</f>
        <v>RFID</v>
      </c>
      <c r="N2369" s="5" t="str">
        <f>IFERROR(__xludf.DUMMYFUNCTION("""COMPUTED_VALUE"""),"")</f>
        <v/>
      </c>
      <c r="O2369" s="5" t="str">
        <f>IFERROR(__xludf.DUMMYFUNCTION("""COMPUTED_VALUE"""),"")</f>
        <v/>
      </c>
      <c r="P2369" s="5" t="str">
        <f>IFERROR(__xludf.DUMMYFUNCTION("""COMPUTED_VALUE"""),"")</f>
        <v/>
      </c>
      <c r="Q2369" s="5" t="str">
        <f>IFERROR(__xludf.DUMMYFUNCTION("""COMPUTED_VALUE"""),"")</f>
        <v/>
      </c>
      <c r="R2369" s="4" t="str">
        <f>IFERROR(__xludf.DUMMYFUNCTION("""COMPUTED_VALUE"""),"")</f>
        <v/>
      </c>
      <c r="S2369" s="1" t="b">
        <f>IFERROR(__xludf.DUMMYFUNCTION("""COMPUTED_VALUE"""),FALSE)</f>
        <v>0</v>
      </c>
      <c r="T2369" s="1" t="b">
        <f>IFERROR(__xludf.DUMMYFUNCTION("""COMPUTED_VALUE"""),FALSE)</f>
        <v>0</v>
      </c>
      <c r="U2369" s="1" t="str">
        <f>IFERROR(__xludf.DUMMYFUNCTION("""COMPUTED_VALUE"""),"DSQ")</f>
        <v>DSQ</v>
      </c>
      <c r="V2369" s="1" t="str">
        <f>IFERROR(__xludf.DUMMYFUNCTION("""COMPUTED_VALUE"""),"DSQ")</f>
        <v>DSQ</v>
      </c>
      <c r="W2369" s="1" t="str">
        <f>IFERROR(__xludf.DUMMYFUNCTION("""COMPUTED_VALUE"""),"DSQ")</f>
        <v>DSQ</v>
      </c>
      <c r="X2369" s="1" t="str">
        <f>IFERROR(__xludf.DUMMYFUNCTION("""COMPUTED_VALUE"""),"DSQ")</f>
        <v>DSQ</v>
      </c>
      <c r="Y2369" s="2"/>
      <c r="Z2369" s="2" t="str">
        <f>IFERROR(__xludf.DUMMYFUNCTION("""COMPUTED_VALUE"""),"")</f>
        <v/>
      </c>
    </row>
    <row r="2370">
      <c r="A2370" s="1">
        <f>IFERROR(__xludf.DUMMYFUNCTION("""COMPUTED_VALUE"""),2369.0)</f>
        <v>2369</v>
      </c>
      <c r="B2370" s="1">
        <f>IFERROR(__xludf.DUMMYFUNCTION("""COMPUTED_VALUE"""),6153.0)</f>
        <v>6153</v>
      </c>
      <c r="C2370" s="2" t="str">
        <f>IFERROR(__xludf.DUMMYFUNCTION("""COMPUTED_VALUE"""),"Achmad Rusyandhy")</f>
        <v>Achmad Rusyandhy</v>
      </c>
      <c r="D2370" s="2" t="str">
        <f>IFERROR(__xludf.DUMMYFUNCTION("""COMPUTED_VALUE"""),"5KM OVERALL M")</f>
        <v>5KM OVERALL M</v>
      </c>
      <c r="E2370" s="1">
        <f>IFERROR(__xludf.DUMMYFUNCTION("""COMPUTED_VALUE"""),2.0)</f>
        <v>2</v>
      </c>
      <c r="F2370" s="1" t="str">
        <f>IFERROR(__xludf.DUMMYFUNCTION("""COMPUTED_VALUE"""),"Male")</f>
        <v>Male</v>
      </c>
      <c r="G2370" s="4" t="b">
        <f>IFERROR(__xludf.DUMMYFUNCTION("""COMPUTED_VALUE"""),TRUE)</f>
        <v>1</v>
      </c>
      <c r="H2370" s="4" t="b">
        <f>IFERROR(__xludf.DUMMYFUNCTION("""COMPUTED_VALUE"""),TRUE)</f>
        <v>1</v>
      </c>
      <c r="I2370" s="4">
        <f>IFERROR(__xludf.DUMMYFUNCTION("""COMPUTED_VALUE"""),0.2549440625)</f>
        <v>0.2549440625</v>
      </c>
      <c r="J2370" s="4">
        <f>IFERROR(__xludf.DUMMYFUNCTION("""COMPUTED_VALUE"""),45949.271044063054)</f>
        <v>45949.27104</v>
      </c>
      <c r="K2370" s="4" t="str">
        <f>IFERROR(__xludf.DUMMYFUNCTION("""COMPUTED_VALUE"""),"")</f>
        <v/>
      </c>
      <c r="L2370" s="4">
        <f>IFERROR(__xludf.DUMMYFUNCTION("""COMPUTED_VALUE"""),45949.28232448104)</f>
        <v>45949.28232</v>
      </c>
      <c r="M2370" s="1" t="str">
        <f>IFERROR(__xludf.DUMMYFUNCTION("""COMPUTED_VALUE"""),"RFID")</f>
        <v>RFID</v>
      </c>
      <c r="N2370" s="5">
        <f>IFERROR(__xludf.DUMMYFUNCTION("""COMPUTED_VALUE"""),0.0064399999999999995)</f>
        <v>0.00644</v>
      </c>
      <c r="O2370" s="5" t="str">
        <f>IFERROR(__xludf.DUMMYFUNCTION("""COMPUTED_VALUE"""),"")</f>
        <v/>
      </c>
      <c r="P2370" s="5" t="str">
        <f>IFERROR(__xludf.DUMMYFUNCTION("""COMPUTED_VALUE"""),"")</f>
        <v/>
      </c>
      <c r="Q2370" s="5">
        <f>IFERROR(__xludf.DUMMYFUNCTION("""COMPUTED_VALUE"""),0.005476083333333334)</f>
        <v>0.005476083333</v>
      </c>
      <c r="R2370" s="4">
        <f>IFERROR(__xludf.DUMMYFUNCTION("""COMPUTED_VALUE"""),45949.02738041854)</f>
        <v>45949.02738</v>
      </c>
      <c r="S2370" s="1" t="b">
        <f>IFERROR(__xludf.DUMMYFUNCTION("""COMPUTED_VALUE"""),TRUE)</f>
        <v>1</v>
      </c>
      <c r="T2370" s="1" t="b">
        <f>IFERROR(__xludf.DUMMYFUNCTION("""COMPUTED_VALUE"""),FALSE)</f>
        <v>0</v>
      </c>
      <c r="U2370" s="1" t="str">
        <f>IFERROR(__xludf.DUMMYFUNCTION("""COMPUTED_VALUE"""),"VALID")</f>
        <v>VALID</v>
      </c>
      <c r="V2370" s="1">
        <f>IFERROR(__xludf.DUMMYFUNCTION("""COMPUTED_VALUE"""),260.0)</f>
        <v>260</v>
      </c>
      <c r="W2370" s="1">
        <f>IFERROR(__xludf.DUMMYFUNCTION("""COMPUTED_VALUE"""),397.0)</f>
        <v>397</v>
      </c>
      <c r="X2370" s="1">
        <f>IFERROR(__xludf.DUMMYFUNCTION("""COMPUTED_VALUE"""),344.0)</f>
        <v>344</v>
      </c>
      <c r="Y2370" s="2"/>
      <c r="Z2370" s="2"/>
    </row>
    <row r="2371">
      <c r="A2371" s="1">
        <f>IFERROR(__xludf.DUMMYFUNCTION("""COMPUTED_VALUE"""),2370.0)</f>
        <v>2370</v>
      </c>
      <c r="B2371" s="1">
        <f>IFERROR(__xludf.DUMMYFUNCTION("""COMPUTED_VALUE"""),6154.0)</f>
        <v>6154</v>
      </c>
      <c r="C2371" s="2" t="str">
        <f>IFERROR(__xludf.DUMMYFUNCTION("""COMPUTED_VALUE"""),"andhika")</f>
        <v>andhika</v>
      </c>
      <c r="D2371" s="2" t="str">
        <f>IFERROR(__xludf.DUMMYFUNCTION("""COMPUTED_VALUE"""),"5KM OVERALL M")</f>
        <v>5KM OVERALL M</v>
      </c>
      <c r="E2371" s="1">
        <f>IFERROR(__xludf.DUMMYFUNCTION("""COMPUTED_VALUE"""),2.0)</f>
        <v>2</v>
      </c>
      <c r="F2371" s="1" t="str">
        <f>IFERROR(__xludf.DUMMYFUNCTION("""COMPUTED_VALUE"""),"Male")</f>
        <v>Male</v>
      </c>
      <c r="G2371" s="4" t="b">
        <f>IFERROR(__xludf.DUMMYFUNCTION("""COMPUTED_VALUE"""),TRUE)</f>
        <v>1</v>
      </c>
      <c r="H2371" s="4" t="b">
        <f>IFERROR(__xludf.DUMMYFUNCTION("""COMPUTED_VALUE"""),FALSE)</f>
        <v>0</v>
      </c>
      <c r="I2371" s="4">
        <f>IFERROR(__xludf.DUMMYFUNCTION("""COMPUTED_VALUE"""),0.2549440625)</f>
        <v>0.2549440625</v>
      </c>
      <c r="J2371" s="4">
        <f>IFERROR(__xludf.DUMMYFUNCTION("""COMPUTED_VALUE"""),45949.27662738634)</f>
        <v>45949.27663</v>
      </c>
      <c r="K2371" s="4" t="str">
        <f>IFERROR(__xludf.DUMMYFUNCTION("""COMPUTED_VALUE"""),"")</f>
        <v/>
      </c>
      <c r="L2371" s="4">
        <f>IFERROR(__xludf.DUMMYFUNCTION("""COMPUTED_VALUE"""),45949.29412304944)</f>
        <v>45949.29412</v>
      </c>
      <c r="M2371" s="1" t="str">
        <f>IFERROR(__xludf.DUMMYFUNCTION("""COMPUTED_VALUE"""),"RFID")</f>
        <v>RFID</v>
      </c>
      <c r="N2371" s="5">
        <f>IFERROR(__xludf.DUMMYFUNCTION("""COMPUTED_VALUE"""),0.008673328703703704)</f>
        <v>0.008673328704</v>
      </c>
      <c r="O2371" s="5" t="str">
        <f>IFERROR(__xludf.DUMMYFUNCTION("""COMPUTED_VALUE"""),"")</f>
        <v/>
      </c>
      <c r="P2371" s="5" t="str">
        <f>IFERROR(__xludf.DUMMYFUNCTION("""COMPUTED_VALUE"""),"")</f>
        <v/>
      </c>
      <c r="Q2371" s="5">
        <f>IFERROR(__xludf.DUMMYFUNCTION("""COMPUTED_VALUE"""),0.007835796296296296)</f>
        <v>0.007835796296</v>
      </c>
      <c r="R2371" s="4">
        <f>IFERROR(__xludf.DUMMYFUNCTION("""COMPUTED_VALUE"""),45949.03917898694)</f>
        <v>45949.03918</v>
      </c>
      <c r="S2371" s="1" t="b">
        <f>IFERROR(__xludf.DUMMYFUNCTION("""COMPUTED_VALUE"""),TRUE)</f>
        <v>1</v>
      </c>
      <c r="T2371" s="1" t="b">
        <f>IFERROR(__xludf.DUMMYFUNCTION("""COMPUTED_VALUE"""),FALSE)</f>
        <v>0</v>
      </c>
      <c r="U2371" s="1" t="str">
        <f>IFERROR(__xludf.DUMMYFUNCTION("""COMPUTED_VALUE"""),"VALID")</f>
        <v>VALID</v>
      </c>
      <c r="V2371" s="1">
        <f>IFERROR(__xludf.DUMMYFUNCTION("""COMPUTED_VALUE"""),691.0)</f>
        <v>691</v>
      </c>
      <c r="W2371" s="1">
        <f>IFERROR(__xludf.DUMMYFUNCTION("""COMPUTED_VALUE"""),1185.0)</f>
        <v>1185</v>
      </c>
      <c r="X2371" s="1">
        <f>IFERROR(__xludf.DUMMYFUNCTION("""COMPUTED_VALUE"""),935.0)</f>
        <v>935</v>
      </c>
      <c r="Y2371" s="2"/>
      <c r="Z2371" s="2"/>
    </row>
    <row r="2372">
      <c r="A2372" s="1">
        <f>IFERROR(__xludf.DUMMYFUNCTION("""COMPUTED_VALUE"""),2371.0)</f>
        <v>2371</v>
      </c>
      <c r="B2372" s="1">
        <f>IFERROR(__xludf.DUMMYFUNCTION("""COMPUTED_VALUE"""),6155.0)</f>
        <v>6155</v>
      </c>
      <c r="C2372" s="2" t="str">
        <f>IFERROR(__xludf.DUMMYFUNCTION("""COMPUTED_VALUE"""),"SUND4NESE")</f>
        <v>SUND4NESE</v>
      </c>
      <c r="D2372" s="2" t="str">
        <f>IFERROR(__xludf.DUMMYFUNCTION("""COMPUTED_VALUE"""),"5KM OVERALL M")</f>
        <v>5KM OVERALL M</v>
      </c>
      <c r="E2372" s="1">
        <f>IFERROR(__xludf.DUMMYFUNCTION("""COMPUTED_VALUE"""),2.0)</f>
        <v>2</v>
      </c>
      <c r="F2372" s="1" t="str">
        <f>IFERROR(__xludf.DUMMYFUNCTION("""COMPUTED_VALUE"""),"Male")</f>
        <v>Male</v>
      </c>
      <c r="G2372" s="4" t="b">
        <f>IFERROR(__xludf.DUMMYFUNCTION("""COMPUTED_VALUE"""),TRUE)</f>
        <v>1</v>
      </c>
      <c r="H2372" s="4" t="b">
        <f>IFERROR(__xludf.DUMMYFUNCTION("""COMPUTED_VALUE"""),TRUE)</f>
        <v>1</v>
      </c>
      <c r="I2372" s="4">
        <f>IFERROR(__xludf.DUMMYFUNCTION("""COMPUTED_VALUE"""),0.2549440625)</f>
        <v>0.2549440625</v>
      </c>
      <c r="J2372" s="4">
        <f>IFERROR(__xludf.DUMMYFUNCTION("""COMPUTED_VALUE"""),45949.27658224586)</f>
        <v>45949.27658</v>
      </c>
      <c r="K2372" s="4" t="str">
        <f>IFERROR(__xludf.DUMMYFUNCTION("""COMPUTED_VALUE"""),"")</f>
        <v/>
      </c>
      <c r="L2372" s="4">
        <f>IFERROR(__xludf.DUMMYFUNCTION("""COMPUTED_VALUE"""),45949.29409878944)</f>
        <v>45949.2941</v>
      </c>
      <c r="M2372" s="1" t="str">
        <f>IFERROR(__xludf.DUMMYFUNCTION("""COMPUTED_VALUE"""),"RFID")</f>
        <v>RFID</v>
      </c>
      <c r="N2372" s="5">
        <f>IFERROR(__xludf.DUMMYFUNCTION("""COMPUTED_VALUE"""),0.008655273148148148)</f>
        <v>0.008655273148</v>
      </c>
      <c r="O2372" s="5" t="str">
        <f>IFERROR(__xludf.DUMMYFUNCTION("""COMPUTED_VALUE"""),"")</f>
        <v/>
      </c>
      <c r="P2372" s="5" t="str">
        <f>IFERROR(__xludf.DUMMYFUNCTION("""COMPUTED_VALUE"""),"")</f>
        <v/>
      </c>
      <c r="Q2372" s="5">
        <f>IFERROR(__xludf.DUMMYFUNCTION("""COMPUTED_VALUE"""),0.007830944444444444)</f>
        <v>0.007830944444</v>
      </c>
      <c r="R2372" s="4">
        <f>IFERROR(__xludf.DUMMYFUNCTION("""COMPUTED_VALUE"""),45949.03915472694)</f>
        <v>45949.03915</v>
      </c>
      <c r="S2372" s="1" t="b">
        <f>IFERROR(__xludf.DUMMYFUNCTION("""COMPUTED_VALUE"""),TRUE)</f>
        <v>1</v>
      </c>
      <c r="T2372" s="1" t="b">
        <f>IFERROR(__xludf.DUMMYFUNCTION("""COMPUTED_VALUE"""),FALSE)</f>
        <v>0</v>
      </c>
      <c r="U2372" s="1" t="str">
        <f>IFERROR(__xludf.DUMMYFUNCTION("""COMPUTED_VALUE"""),"VALID")</f>
        <v>VALID</v>
      </c>
      <c r="V2372" s="1">
        <f>IFERROR(__xludf.DUMMYFUNCTION("""COMPUTED_VALUE"""),690.0)</f>
        <v>690</v>
      </c>
      <c r="W2372" s="1">
        <f>IFERROR(__xludf.DUMMYFUNCTION("""COMPUTED_VALUE"""),1182.0)</f>
        <v>1182</v>
      </c>
      <c r="X2372" s="1">
        <f>IFERROR(__xludf.DUMMYFUNCTION("""COMPUTED_VALUE"""),934.0)</f>
        <v>934</v>
      </c>
      <c r="Y2372" s="2"/>
      <c r="Z2372" s="2"/>
    </row>
    <row r="2373">
      <c r="A2373" s="1">
        <f>IFERROR(__xludf.DUMMYFUNCTION("""COMPUTED_VALUE"""),2372.0)</f>
        <v>2372</v>
      </c>
      <c r="B2373" s="1">
        <f>IFERROR(__xludf.DUMMYFUNCTION("""COMPUTED_VALUE"""),6156.0)</f>
        <v>6156</v>
      </c>
      <c r="C2373" s="2" t="str">
        <f>IFERROR(__xludf.DUMMYFUNCTION("""COMPUTED_VALUE"""),"GC 03")</f>
        <v>GC 03</v>
      </c>
      <c r="D2373" s="2" t="str">
        <f>IFERROR(__xludf.DUMMYFUNCTION("""COMPUTED_VALUE"""),"5KM OVERALL M")</f>
        <v>5KM OVERALL M</v>
      </c>
      <c r="E2373" s="1">
        <f>IFERROR(__xludf.DUMMYFUNCTION("""COMPUTED_VALUE"""),2.0)</f>
        <v>2</v>
      </c>
      <c r="F2373" s="1" t="str">
        <f>IFERROR(__xludf.DUMMYFUNCTION("""COMPUTED_VALUE"""),"Male")</f>
        <v>Male</v>
      </c>
      <c r="G2373" s="4" t="b">
        <f>IFERROR(__xludf.DUMMYFUNCTION("""COMPUTED_VALUE"""),TRUE)</f>
        <v>1</v>
      </c>
      <c r="H2373" s="4" t="b">
        <f>IFERROR(__xludf.DUMMYFUNCTION("""COMPUTED_VALUE"""),FALSE)</f>
        <v>0</v>
      </c>
      <c r="I2373" s="4">
        <f>IFERROR(__xludf.DUMMYFUNCTION("""COMPUTED_VALUE"""),0.2549440625)</f>
        <v>0.2549440625</v>
      </c>
      <c r="J2373" s="4">
        <f>IFERROR(__xludf.DUMMYFUNCTION("""COMPUTED_VALUE"""),45949.27540174904)</f>
        <v>45949.2754</v>
      </c>
      <c r="K2373" s="4" t="str">
        <f>IFERROR(__xludf.DUMMYFUNCTION("""COMPUTED_VALUE"""),"")</f>
        <v/>
      </c>
      <c r="L2373" s="4">
        <f>IFERROR(__xludf.DUMMYFUNCTION("""COMPUTED_VALUE"""),45949.29390781573)</f>
        <v>45949.29391</v>
      </c>
      <c r="M2373" s="1" t="str">
        <f>IFERROR(__xludf.DUMMYFUNCTION("""COMPUTED_VALUE"""),"RFID")</f>
        <v>RFID</v>
      </c>
      <c r="N2373" s="5">
        <f>IFERROR(__xludf.DUMMYFUNCTION("""COMPUTED_VALUE"""),0.008183074074074075)</f>
        <v>0.008183074074</v>
      </c>
      <c r="O2373" s="5" t="str">
        <f>IFERROR(__xludf.DUMMYFUNCTION("""COMPUTED_VALUE"""),"")</f>
        <v/>
      </c>
      <c r="P2373" s="5" t="str">
        <f>IFERROR(__xludf.DUMMYFUNCTION("""COMPUTED_VALUE"""),"")</f>
        <v/>
      </c>
      <c r="Q2373" s="5">
        <f>IFERROR(__xludf.DUMMYFUNCTION("""COMPUTED_VALUE"""),0.007792749999999999)</f>
        <v>0.00779275</v>
      </c>
      <c r="R2373" s="4">
        <f>IFERROR(__xludf.DUMMYFUNCTION("""COMPUTED_VALUE"""),45949.03896375323)</f>
        <v>45949.03896</v>
      </c>
      <c r="S2373" s="1" t="b">
        <f>IFERROR(__xludf.DUMMYFUNCTION("""COMPUTED_VALUE"""),TRUE)</f>
        <v>1</v>
      </c>
      <c r="T2373" s="1" t="b">
        <f>IFERROR(__xludf.DUMMYFUNCTION("""COMPUTED_VALUE"""),FALSE)</f>
        <v>0</v>
      </c>
      <c r="U2373" s="1" t="str">
        <f>IFERROR(__xludf.DUMMYFUNCTION("""COMPUTED_VALUE"""),"VALID")</f>
        <v>VALID</v>
      </c>
      <c r="V2373" s="1">
        <f>IFERROR(__xludf.DUMMYFUNCTION("""COMPUTED_VALUE"""),682.0)</f>
        <v>682</v>
      </c>
      <c r="W2373" s="1">
        <f>IFERROR(__xludf.DUMMYFUNCTION("""COMPUTED_VALUE"""),1167.0)</f>
        <v>1167</v>
      </c>
      <c r="X2373" s="1">
        <f>IFERROR(__xludf.DUMMYFUNCTION("""COMPUTED_VALUE"""),923.0)</f>
        <v>923</v>
      </c>
      <c r="Y2373" s="2"/>
      <c r="Z2373" s="2"/>
    </row>
    <row r="2374">
      <c r="A2374" s="1">
        <f>IFERROR(__xludf.DUMMYFUNCTION("""COMPUTED_VALUE"""),2373.0)</f>
        <v>2373</v>
      </c>
      <c r="B2374" s="1">
        <f>IFERROR(__xludf.DUMMYFUNCTION("""COMPUTED_VALUE"""),6157.0)</f>
        <v>6157</v>
      </c>
      <c r="C2374" s="2" t="str">
        <f>IFERROR(__xludf.DUMMYFUNCTION("""COMPUTED_VALUE"""),"Dayat")</f>
        <v>Dayat</v>
      </c>
      <c r="D2374" s="2" t="str">
        <f>IFERROR(__xludf.DUMMYFUNCTION("""COMPUTED_VALUE"""),"5KM OVERALL M")</f>
        <v>5KM OVERALL M</v>
      </c>
      <c r="E2374" s="1">
        <f>IFERROR(__xludf.DUMMYFUNCTION("""COMPUTED_VALUE"""),2.0)</f>
        <v>2</v>
      </c>
      <c r="F2374" s="1" t="str">
        <f>IFERROR(__xludf.DUMMYFUNCTION("""COMPUTED_VALUE"""),"Male")</f>
        <v>Male</v>
      </c>
      <c r="G2374" s="4" t="b">
        <f>IFERROR(__xludf.DUMMYFUNCTION("""COMPUTED_VALUE"""),TRUE)</f>
        <v>1</v>
      </c>
      <c r="H2374" s="4" t="b">
        <f>IFERROR(__xludf.DUMMYFUNCTION("""COMPUTED_VALUE"""),TRUE)</f>
        <v>1</v>
      </c>
      <c r="I2374" s="4">
        <f>IFERROR(__xludf.DUMMYFUNCTION("""COMPUTED_VALUE"""),0.2549440625)</f>
        <v>0.2549440625</v>
      </c>
      <c r="J2374" s="4">
        <f>IFERROR(__xludf.DUMMYFUNCTION("""COMPUTED_VALUE"""),45949.270245510954)</f>
        <v>45949.27025</v>
      </c>
      <c r="K2374" s="4" t="str">
        <f>IFERROR(__xludf.DUMMYFUNCTION("""COMPUTED_VALUE"""),"")</f>
        <v/>
      </c>
      <c r="L2374" s="4">
        <f>IFERROR(__xludf.DUMMYFUNCTION("""COMPUTED_VALUE"""),45949.28285921546)</f>
        <v>45949.28286</v>
      </c>
      <c r="M2374" s="1" t="str">
        <f>IFERROR(__xludf.DUMMYFUNCTION("""COMPUTED_VALUE"""),"RFID")</f>
        <v>RFID</v>
      </c>
      <c r="N2374" s="5">
        <f>IFERROR(__xludf.DUMMYFUNCTION("""COMPUTED_VALUE"""),0.006120578703703704)</f>
        <v>0.006120578704</v>
      </c>
      <c r="O2374" s="5" t="str">
        <f>IFERROR(__xludf.DUMMYFUNCTION("""COMPUTED_VALUE"""),"")</f>
        <v/>
      </c>
      <c r="P2374" s="5" t="str">
        <f>IFERROR(__xludf.DUMMYFUNCTION("""COMPUTED_VALUE"""),"")</f>
        <v/>
      </c>
      <c r="Q2374" s="5">
        <f>IFERROR(__xludf.DUMMYFUNCTION("""COMPUTED_VALUE"""),0.005583030092592593)</f>
        <v>0.005583030093</v>
      </c>
      <c r="R2374" s="4">
        <f>IFERROR(__xludf.DUMMYFUNCTION("""COMPUTED_VALUE"""),45949.02791515296)</f>
        <v>45949.02792</v>
      </c>
      <c r="S2374" s="1" t="b">
        <f>IFERROR(__xludf.DUMMYFUNCTION("""COMPUTED_VALUE"""),TRUE)</f>
        <v>1</v>
      </c>
      <c r="T2374" s="1" t="b">
        <f>IFERROR(__xludf.DUMMYFUNCTION("""COMPUTED_VALUE"""),FALSE)</f>
        <v>0</v>
      </c>
      <c r="U2374" s="1" t="str">
        <f>IFERROR(__xludf.DUMMYFUNCTION("""COMPUTED_VALUE"""),"VALID")</f>
        <v>VALID</v>
      </c>
      <c r="V2374" s="1">
        <f>IFERROR(__xludf.DUMMYFUNCTION("""COMPUTED_VALUE"""),284.0)</f>
        <v>284</v>
      </c>
      <c r="W2374" s="1">
        <f>IFERROR(__xludf.DUMMYFUNCTION("""COMPUTED_VALUE"""),428.0)</f>
        <v>428</v>
      </c>
      <c r="X2374" s="1">
        <f>IFERROR(__xludf.DUMMYFUNCTION("""COMPUTED_VALUE"""),371.0)</f>
        <v>371</v>
      </c>
      <c r="Y2374" s="2"/>
      <c r="Z2374" s="2"/>
    </row>
    <row r="2375">
      <c r="A2375" s="1">
        <f>IFERROR(__xludf.DUMMYFUNCTION("""COMPUTED_VALUE"""),2374.0)</f>
        <v>2374</v>
      </c>
      <c r="B2375" s="1">
        <f>IFERROR(__xludf.DUMMYFUNCTION("""COMPUTED_VALUE"""),6158.0)</f>
        <v>6158</v>
      </c>
      <c r="C2375" s="2" t="str">
        <f>IFERROR(__xludf.DUMMYFUNCTION("""COMPUTED_VALUE"""),"Fajar")</f>
        <v>Fajar</v>
      </c>
      <c r="D2375" s="2" t="str">
        <f>IFERROR(__xludf.DUMMYFUNCTION("""COMPUTED_VALUE"""),"5KM OVERALL M")</f>
        <v>5KM OVERALL M</v>
      </c>
      <c r="E2375" s="1">
        <f>IFERROR(__xludf.DUMMYFUNCTION("""COMPUTED_VALUE"""),2.0)</f>
        <v>2</v>
      </c>
      <c r="F2375" s="1" t="str">
        <f>IFERROR(__xludf.DUMMYFUNCTION("""COMPUTED_VALUE"""),"Male")</f>
        <v>Male</v>
      </c>
      <c r="G2375" s="4" t="b">
        <f>IFERROR(__xludf.DUMMYFUNCTION("""COMPUTED_VALUE"""),TRUE)</f>
        <v>1</v>
      </c>
      <c r="H2375" s="4" t="b">
        <f>IFERROR(__xludf.DUMMYFUNCTION("""COMPUTED_VALUE"""),FALSE)</f>
        <v>0</v>
      </c>
      <c r="I2375" s="4">
        <f>IFERROR(__xludf.DUMMYFUNCTION("""COMPUTED_VALUE"""),0.2549440625)</f>
        <v>0.2549440625</v>
      </c>
      <c r="J2375" s="4">
        <f>IFERROR(__xludf.DUMMYFUNCTION("""COMPUTED_VALUE"""),45949.283367832184)</f>
        <v>45949.28337</v>
      </c>
      <c r="K2375" s="4" t="str">
        <f>IFERROR(__xludf.DUMMYFUNCTION("""COMPUTED_VALUE"""),"")</f>
        <v/>
      </c>
      <c r="L2375" s="4">
        <f>IFERROR(__xludf.DUMMYFUNCTION("""COMPUTED_VALUE"""),45949.30481754955)</f>
        <v>45949.30482</v>
      </c>
      <c r="M2375" s="1" t="str">
        <f>IFERROR(__xludf.DUMMYFUNCTION("""COMPUTED_VALUE"""),"RFID")</f>
        <v>RFID</v>
      </c>
      <c r="N2375" s="5">
        <f>IFERROR(__xludf.DUMMYFUNCTION("""COMPUTED_VALUE"""),0.011369509259259258)</f>
        <v>0.01136950926</v>
      </c>
      <c r="O2375" s="5" t="str">
        <f>IFERROR(__xludf.DUMMYFUNCTION("""COMPUTED_VALUE"""),"")</f>
        <v/>
      </c>
      <c r="P2375" s="5" t="str">
        <f>IFERROR(__xludf.DUMMYFUNCTION("""COMPUTED_VALUE"""),"")</f>
        <v/>
      </c>
      <c r="Q2375" s="5">
        <f>IFERROR(__xludf.DUMMYFUNCTION("""COMPUTED_VALUE"""),0.009974696759259261)</f>
        <v>0.009974696759</v>
      </c>
      <c r="R2375" s="4">
        <f>IFERROR(__xludf.DUMMYFUNCTION("""COMPUTED_VALUE"""),45949.04987348705)</f>
        <v>45949.04987</v>
      </c>
      <c r="S2375" s="1" t="b">
        <f>IFERROR(__xludf.DUMMYFUNCTION("""COMPUTED_VALUE"""),TRUE)</f>
        <v>1</v>
      </c>
      <c r="T2375" s="1" t="b">
        <f>IFERROR(__xludf.DUMMYFUNCTION("""COMPUTED_VALUE"""),FALSE)</f>
        <v>0</v>
      </c>
      <c r="U2375" s="1" t="str">
        <f>IFERROR(__xludf.DUMMYFUNCTION("""COMPUTED_VALUE"""),"VALID")</f>
        <v>VALID</v>
      </c>
      <c r="V2375" s="1">
        <f>IFERROR(__xludf.DUMMYFUNCTION("""COMPUTED_VALUE"""),843.0)</f>
        <v>843</v>
      </c>
      <c r="W2375" s="1">
        <f>IFERROR(__xludf.DUMMYFUNCTION("""COMPUTED_VALUE"""),1571.0)</f>
        <v>1571</v>
      </c>
      <c r="X2375" s="1">
        <f>IFERROR(__xludf.DUMMYFUNCTION("""COMPUTED_VALUE"""),1373.0)</f>
        <v>1373</v>
      </c>
      <c r="Y2375" s="2"/>
      <c r="Z2375" s="2"/>
    </row>
    <row r="2376">
      <c r="A2376" s="1">
        <f>IFERROR(__xludf.DUMMYFUNCTION("""COMPUTED_VALUE"""),2375.0)</f>
        <v>2375</v>
      </c>
      <c r="B2376" s="1">
        <f>IFERROR(__xludf.DUMMYFUNCTION("""COMPUTED_VALUE"""),6159.0)</f>
        <v>6159</v>
      </c>
      <c r="C2376" s="2" t="str">
        <f>IFERROR(__xludf.DUMMYFUNCTION("""COMPUTED_VALUE"""),"Oriandeni")</f>
        <v>Oriandeni</v>
      </c>
      <c r="D2376" s="2" t="str">
        <f>IFERROR(__xludf.DUMMYFUNCTION("""COMPUTED_VALUE"""),"5KM OVERALL M")</f>
        <v>5KM OVERALL M</v>
      </c>
      <c r="E2376" s="1">
        <f>IFERROR(__xludf.DUMMYFUNCTION("""COMPUTED_VALUE"""),2.0)</f>
        <v>2</v>
      </c>
      <c r="F2376" s="1" t="str">
        <f>IFERROR(__xludf.DUMMYFUNCTION("""COMPUTED_VALUE"""),"Male")</f>
        <v>Male</v>
      </c>
      <c r="G2376" s="4" t="b">
        <f>IFERROR(__xludf.DUMMYFUNCTION("""COMPUTED_VALUE"""),TRUE)</f>
        <v>1</v>
      </c>
      <c r="H2376" s="4" t="b">
        <f>IFERROR(__xludf.DUMMYFUNCTION("""COMPUTED_VALUE"""),FALSE)</f>
        <v>0</v>
      </c>
      <c r="I2376" s="4">
        <f>IFERROR(__xludf.DUMMYFUNCTION("""COMPUTED_VALUE"""),0.2549440625)</f>
        <v>0.2549440625</v>
      </c>
      <c r="J2376" s="4">
        <f>IFERROR(__xludf.DUMMYFUNCTION("""COMPUTED_VALUE"""),45949.26888432638)</f>
        <v>45949.26888</v>
      </c>
      <c r="K2376" s="4" t="str">
        <f>IFERROR(__xludf.DUMMYFUNCTION("""COMPUTED_VALUE"""),"")</f>
        <v/>
      </c>
      <c r="L2376" s="4">
        <f>IFERROR(__xludf.DUMMYFUNCTION("""COMPUTED_VALUE"""),45949.2801300305)</f>
        <v>45949.28013</v>
      </c>
      <c r="M2376" s="1" t="str">
        <f>IFERROR(__xludf.DUMMYFUNCTION("""COMPUTED_VALUE"""),"RFID")</f>
        <v>RFID</v>
      </c>
      <c r="N2376" s="5">
        <f>IFERROR(__xludf.DUMMYFUNCTION("""COMPUTED_VALUE"""),0.005576106481481482)</f>
        <v>0.005576106481</v>
      </c>
      <c r="O2376" s="5" t="str">
        <f>IFERROR(__xludf.DUMMYFUNCTION("""COMPUTED_VALUE"""),"")</f>
        <v/>
      </c>
      <c r="P2376" s="5" t="str">
        <f>IFERROR(__xludf.DUMMYFUNCTION("""COMPUTED_VALUE"""),"")</f>
        <v/>
      </c>
      <c r="Q2376" s="5">
        <f>IFERROR(__xludf.DUMMYFUNCTION("""COMPUTED_VALUE"""),0.005037194444444445)</f>
        <v>0.005037194444</v>
      </c>
      <c r="R2376" s="4">
        <f>IFERROR(__xludf.DUMMYFUNCTION("""COMPUTED_VALUE"""),45949.025185968)</f>
        <v>45949.02519</v>
      </c>
      <c r="S2376" s="1" t="b">
        <f>IFERROR(__xludf.DUMMYFUNCTION("""COMPUTED_VALUE"""),TRUE)</f>
        <v>1</v>
      </c>
      <c r="T2376" s="1" t="b">
        <f>IFERROR(__xludf.DUMMYFUNCTION("""COMPUTED_VALUE"""),FALSE)</f>
        <v>0</v>
      </c>
      <c r="U2376" s="1" t="str">
        <f>IFERROR(__xludf.DUMMYFUNCTION("""COMPUTED_VALUE"""),"VALID")</f>
        <v>VALID</v>
      </c>
      <c r="V2376" s="1">
        <f>IFERROR(__xludf.DUMMYFUNCTION("""COMPUTED_VALUE"""),192.0)</f>
        <v>192</v>
      </c>
      <c r="W2376" s="1">
        <f>IFERROR(__xludf.DUMMYFUNCTION("""COMPUTED_VALUE"""),296.0)</f>
        <v>296</v>
      </c>
      <c r="X2376" s="1">
        <f>IFERROR(__xludf.DUMMYFUNCTION("""COMPUTED_VALUE"""),258.0)</f>
        <v>258</v>
      </c>
      <c r="Y2376" s="2"/>
      <c r="Z2376" s="2"/>
    </row>
    <row r="2377">
      <c r="A2377" s="1">
        <f>IFERROR(__xludf.DUMMYFUNCTION("""COMPUTED_VALUE"""),2376.0)</f>
        <v>2376</v>
      </c>
      <c r="B2377" s="1">
        <f>IFERROR(__xludf.DUMMYFUNCTION("""COMPUTED_VALUE"""),6164.0)</f>
        <v>6164</v>
      </c>
      <c r="C2377" s="2" t="str">
        <f>IFERROR(__xludf.DUMMYFUNCTION("""COMPUTED_VALUE"""),"ALDI")</f>
        <v>ALDI</v>
      </c>
      <c r="D2377" s="2" t="str">
        <f>IFERROR(__xludf.DUMMYFUNCTION("""COMPUTED_VALUE"""),"5KM OVERALL M")</f>
        <v>5KM OVERALL M</v>
      </c>
      <c r="E2377" s="1">
        <f>IFERROR(__xludf.DUMMYFUNCTION("""COMPUTED_VALUE"""),2.0)</f>
        <v>2</v>
      </c>
      <c r="F2377" s="1" t="str">
        <f>IFERROR(__xludf.DUMMYFUNCTION("""COMPUTED_VALUE"""),"Male")</f>
        <v>Male</v>
      </c>
      <c r="G2377" s="4" t="b">
        <f>IFERROR(__xludf.DUMMYFUNCTION("""COMPUTED_VALUE"""),TRUE)</f>
        <v>1</v>
      </c>
      <c r="H2377" s="4" t="b">
        <f>IFERROR(__xludf.DUMMYFUNCTION("""COMPUTED_VALUE"""),TRUE)</f>
        <v>1</v>
      </c>
      <c r="I2377" s="4">
        <f>IFERROR(__xludf.DUMMYFUNCTION("""COMPUTED_VALUE"""),0.2549440625)</f>
        <v>0.2549440625</v>
      </c>
      <c r="J2377" s="4">
        <f>IFERROR(__xludf.DUMMYFUNCTION("""COMPUTED_VALUE"""),45949.27526287773)</f>
        <v>45949.27526</v>
      </c>
      <c r="K2377" s="4" t="str">
        <f>IFERROR(__xludf.DUMMYFUNCTION("""COMPUTED_VALUE"""),"")</f>
        <v/>
      </c>
      <c r="L2377" s="4">
        <f>IFERROR(__xludf.DUMMYFUNCTION("""COMPUTED_VALUE"""),45949.286775862696)</f>
        <v>45949.28678</v>
      </c>
      <c r="M2377" s="1" t="str">
        <f>IFERROR(__xludf.DUMMYFUNCTION("""COMPUTED_VALUE"""),"RFID")</f>
        <v>RFID</v>
      </c>
      <c r="N2377" s="5">
        <f>IFERROR(__xludf.DUMMYFUNCTION("""COMPUTED_VALUE"""),0.008127527777777779)</f>
        <v>0.008127527778</v>
      </c>
      <c r="O2377" s="5" t="str">
        <f>IFERROR(__xludf.DUMMYFUNCTION("""COMPUTED_VALUE"""),"")</f>
        <v/>
      </c>
      <c r="P2377" s="5" t="str">
        <f>IFERROR(__xludf.DUMMYFUNCTION("""COMPUTED_VALUE"""),"")</f>
        <v/>
      </c>
      <c r="Q2377" s="5">
        <f>IFERROR(__xludf.DUMMYFUNCTION("""COMPUTED_VALUE"""),0.006366361111111112)</f>
        <v>0.006366361111</v>
      </c>
      <c r="R2377" s="4">
        <f>IFERROR(__xludf.DUMMYFUNCTION("""COMPUTED_VALUE"""),45949.031831800196)</f>
        <v>45949.03183</v>
      </c>
      <c r="S2377" s="1" t="b">
        <f>IFERROR(__xludf.DUMMYFUNCTION("""COMPUTED_VALUE"""),TRUE)</f>
        <v>1</v>
      </c>
      <c r="T2377" s="1" t="b">
        <f>IFERROR(__xludf.DUMMYFUNCTION("""COMPUTED_VALUE"""),FALSE)</f>
        <v>0</v>
      </c>
      <c r="U2377" s="1" t="str">
        <f>IFERROR(__xludf.DUMMYFUNCTION("""COMPUTED_VALUE"""),"VALID")</f>
        <v>VALID</v>
      </c>
      <c r="V2377" s="1">
        <f>IFERROR(__xludf.DUMMYFUNCTION("""COMPUTED_VALUE"""),448.0)</f>
        <v>448</v>
      </c>
      <c r="W2377" s="1">
        <f>IFERROR(__xludf.DUMMYFUNCTION("""COMPUTED_VALUE"""),690.0)</f>
        <v>690</v>
      </c>
      <c r="X2377" s="1">
        <f>IFERROR(__xludf.DUMMYFUNCTION("""COMPUTED_VALUE"""),576.0)</f>
        <v>576</v>
      </c>
      <c r="Y2377" s="2"/>
      <c r="Z2377" s="2"/>
    </row>
    <row r="2378">
      <c r="A2378" s="1">
        <f>IFERROR(__xludf.DUMMYFUNCTION("""COMPUTED_VALUE"""),2377.0)</f>
        <v>2377</v>
      </c>
      <c r="B2378" s="1">
        <f>IFERROR(__xludf.DUMMYFUNCTION("""COMPUTED_VALUE"""),6165.0)</f>
        <v>6165</v>
      </c>
      <c r="C2378" s="2" t="str">
        <f>IFERROR(__xludf.DUMMYFUNCTION("""COMPUTED_VALUE"""),"Singgih")</f>
        <v>Singgih</v>
      </c>
      <c r="D2378" s="2" t="str">
        <f>IFERROR(__xludf.DUMMYFUNCTION("""COMPUTED_VALUE"""),"5KM OVERALL M")</f>
        <v>5KM OVERALL M</v>
      </c>
      <c r="E2378" s="1">
        <f>IFERROR(__xludf.DUMMYFUNCTION("""COMPUTED_VALUE"""),2.0)</f>
        <v>2</v>
      </c>
      <c r="F2378" s="1" t="str">
        <f>IFERROR(__xludf.DUMMYFUNCTION("""COMPUTED_VALUE"""),"Male")</f>
        <v>Male</v>
      </c>
      <c r="G2378" s="4" t="b">
        <f>IFERROR(__xludf.DUMMYFUNCTION("""COMPUTED_VALUE"""),TRUE)</f>
        <v>1</v>
      </c>
      <c r="H2378" s="4" t="b">
        <f>IFERROR(__xludf.DUMMYFUNCTION("""COMPUTED_VALUE"""),TRUE)</f>
        <v>1</v>
      </c>
      <c r="I2378" s="4">
        <f>IFERROR(__xludf.DUMMYFUNCTION("""COMPUTED_VALUE"""),0.2549440625)</f>
        <v>0.2549440625</v>
      </c>
      <c r="J2378" s="4">
        <f>IFERROR(__xludf.DUMMYFUNCTION("""COMPUTED_VALUE"""),45949.26750591773)</f>
        <v>45949.26751</v>
      </c>
      <c r="K2378" s="4" t="str">
        <f>IFERROR(__xludf.DUMMYFUNCTION("""COMPUTED_VALUE"""),"")</f>
        <v/>
      </c>
      <c r="L2378" s="4">
        <f>IFERROR(__xludf.DUMMYFUNCTION("""COMPUTED_VALUE"""),45949.27675503828)</f>
        <v>45949.27676</v>
      </c>
      <c r="M2378" s="1" t="str">
        <f>IFERROR(__xludf.DUMMYFUNCTION("""COMPUTED_VALUE"""),"RFID")</f>
        <v>RFID</v>
      </c>
      <c r="N2378" s="5">
        <f>IFERROR(__xludf.DUMMYFUNCTION("""COMPUTED_VALUE"""),0.005024740740740741)</f>
        <v>0.005024740741</v>
      </c>
      <c r="O2378" s="5" t="str">
        <f>IFERROR(__xludf.DUMMYFUNCTION("""COMPUTED_VALUE"""),"")</f>
        <v/>
      </c>
      <c r="P2378" s="5" t="str">
        <f>IFERROR(__xludf.DUMMYFUNCTION("""COMPUTED_VALUE"""),"")</f>
        <v/>
      </c>
      <c r="Q2378" s="5">
        <f>IFERROR(__xludf.DUMMYFUNCTION("""COMPUTED_VALUE"""),0.004362194444444445)</f>
        <v>0.004362194444</v>
      </c>
      <c r="R2378" s="4">
        <f>IFERROR(__xludf.DUMMYFUNCTION("""COMPUTED_VALUE"""),45949.02181097578)</f>
        <v>45949.02181</v>
      </c>
      <c r="S2378" s="1" t="b">
        <f>IFERROR(__xludf.DUMMYFUNCTION("""COMPUTED_VALUE"""),TRUE)</f>
        <v>1</v>
      </c>
      <c r="T2378" s="1" t="b">
        <f>IFERROR(__xludf.DUMMYFUNCTION("""COMPUTED_VALUE"""),FALSE)</f>
        <v>0</v>
      </c>
      <c r="U2378" s="1" t="str">
        <f>IFERROR(__xludf.DUMMYFUNCTION("""COMPUTED_VALUE"""),"VALID")</f>
        <v>VALID</v>
      </c>
      <c r="V2378" s="1">
        <f>IFERROR(__xludf.DUMMYFUNCTION("""COMPUTED_VALUE"""),108.0)</f>
        <v>108</v>
      </c>
      <c r="W2378" s="1">
        <f>IFERROR(__xludf.DUMMYFUNCTION("""COMPUTED_VALUE"""),168.0)</f>
        <v>168</v>
      </c>
      <c r="X2378" s="1">
        <f>IFERROR(__xludf.DUMMYFUNCTION("""COMPUTED_VALUE"""),149.0)</f>
        <v>149</v>
      </c>
      <c r="Y2378" s="2"/>
      <c r="Z2378" s="2"/>
    </row>
    <row r="2379">
      <c r="A2379" s="1">
        <f>IFERROR(__xludf.DUMMYFUNCTION("""COMPUTED_VALUE"""),2378.0)</f>
        <v>2378</v>
      </c>
      <c r="B2379" s="1">
        <f>IFERROR(__xludf.DUMMYFUNCTION("""COMPUTED_VALUE"""),6167.0)</f>
        <v>6167</v>
      </c>
      <c r="C2379" s="2" t="str">
        <f>IFERROR(__xludf.DUMMYFUNCTION("""COMPUTED_VALUE"""),"Bahrani")</f>
        <v>Bahrani</v>
      </c>
      <c r="D2379" s="2" t="str">
        <f>IFERROR(__xludf.DUMMYFUNCTION("""COMPUTED_VALUE"""),"5KM OVERALL M")</f>
        <v>5KM OVERALL M</v>
      </c>
      <c r="E2379" s="1">
        <f>IFERROR(__xludf.DUMMYFUNCTION("""COMPUTED_VALUE"""),2.0)</f>
        <v>2</v>
      </c>
      <c r="F2379" s="1" t="str">
        <f>IFERROR(__xludf.DUMMYFUNCTION("""COMPUTED_VALUE"""),"Male")</f>
        <v>Male</v>
      </c>
      <c r="G2379" s="4" t="b">
        <f>IFERROR(__xludf.DUMMYFUNCTION("""COMPUTED_VALUE"""),TRUE)</f>
        <v>1</v>
      </c>
      <c r="H2379" s="4" t="b">
        <f>IFERROR(__xludf.DUMMYFUNCTION("""COMPUTED_VALUE"""),FALSE)</f>
        <v>0</v>
      </c>
      <c r="I2379" s="4">
        <f>IFERROR(__xludf.DUMMYFUNCTION("""COMPUTED_VALUE"""),0.2549440625)</f>
        <v>0.2549440625</v>
      </c>
      <c r="J2379" s="4">
        <f>IFERROR(__xludf.DUMMYFUNCTION("""COMPUTED_VALUE"""),45950.27471064815)</f>
        <v>45950.27471</v>
      </c>
      <c r="K2379" s="4" t="str">
        <f>IFERROR(__xludf.DUMMYFUNCTION("""COMPUTED_VALUE"""),"")</f>
        <v/>
      </c>
      <c r="L2379" s="4">
        <f>IFERROR(__xludf.DUMMYFUNCTION("""COMPUTED_VALUE"""),45949.28789044822)</f>
        <v>45949.28789</v>
      </c>
      <c r="M2379" s="1" t="str">
        <f>IFERROR(__xludf.DUMMYFUNCTION("""COMPUTED_VALUE"""),"RFID")</f>
        <v>RFID</v>
      </c>
      <c r="N2379" s="5">
        <f>IFERROR(__xludf.DUMMYFUNCTION("""COMPUTED_VALUE"""),0.007906634259259259)</f>
        <v>0.007906634259</v>
      </c>
      <c r="O2379" s="5" t="str">
        <f>IFERROR(__xludf.DUMMYFUNCTION("""COMPUTED_VALUE"""),"")</f>
        <v/>
      </c>
      <c r="P2379" s="5" t="str">
        <f>IFERROR(__xludf.DUMMYFUNCTION("""COMPUTED_VALUE"""),"")</f>
        <v/>
      </c>
      <c r="Q2379" s="5">
        <f>IFERROR(__xludf.DUMMYFUNCTION("""COMPUTED_VALUE"""),0.006589277777777779)</f>
        <v>0.006589277778</v>
      </c>
      <c r="R2379" s="4">
        <f>IFERROR(__xludf.DUMMYFUNCTION("""COMPUTED_VALUE"""),45949.03294638572)</f>
        <v>45949.03295</v>
      </c>
      <c r="S2379" s="1" t="b">
        <f>IFERROR(__xludf.DUMMYFUNCTION("""COMPUTED_VALUE"""),TRUE)</f>
        <v>1</v>
      </c>
      <c r="T2379" s="1" t="b">
        <f>IFERROR(__xludf.DUMMYFUNCTION("""COMPUTED_VALUE"""),FALSE)</f>
        <v>0</v>
      </c>
      <c r="U2379" s="1" t="str">
        <f>IFERROR(__xludf.DUMMYFUNCTION("""COMPUTED_VALUE"""),"VALID")</f>
        <v>VALID</v>
      </c>
      <c r="V2379" s="1">
        <f>IFERROR(__xludf.DUMMYFUNCTION("""COMPUTED_VALUE"""),493.0)</f>
        <v>493</v>
      </c>
      <c r="W2379" s="1">
        <f>IFERROR(__xludf.DUMMYFUNCTION("""COMPUTED_VALUE"""),771.0)</f>
        <v>771</v>
      </c>
      <c r="X2379" s="1">
        <f>IFERROR(__xludf.DUMMYFUNCTION("""COMPUTED_VALUE"""),637.0)</f>
        <v>637</v>
      </c>
      <c r="Y2379" s="2"/>
      <c r="Z2379" s="2" t="str">
        <f>IFERROR(__xludf.DUMMYFUNCTION("""COMPUTED_VALUE"""),"C")</f>
        <v>C</v>
      </c>
    </row>
    <row r="2380">
      <c r="A2380" s="1">
        <f>IFERROR(__xludf.DUMMYFUNCTION("""COMPUTED_VALUE"""),2379.0)</f>
        <v>2379</v>
      </c>
      <c r="B2380" s="1">
        <f>IFERROR(__xludf.DUMMYFUNCTION("""COMPUTED_VALUE"""),6170.0)</f>
        <v>6170</v>
      </c>
      <c r="C2380" s="2" t="str">
        <f>IFERROR(__xludf.DUMMYFUNCTION("""COMPUTED_VALUE"""),"Curzs")</f>
        <v>Curzs</v>
      </c>
      <c r="D2380" s="2" t="str">
        <f>IFERROR(__xludf.DUMMYFUNCTION("""COMPUTED_VALUE"""),"5KM OVERALL M")</f>
        <v>5KM OVERALL M</v>
      </c>
      <c r="E2380" s="1">
        <f>IFERROR(__xludf.DUMMYFUNCTION("""COMPUTED_VALUE"""),2.0)</f>
        <v>2</v>
      </c>
      <c r="F2380" s="1" t="str">
        <f>IFERROR(__xludf.DUMMYFUNCTION("""COMPUTED_VALUE"""),"Male")</f>
        <v>Male</v>
      </c>
      <c r="G2380" s="4" t="b">
        <f>IFERROR(__xludf.DUMMYFUNCTION("""COMPUTED_VALUE"""),TRUE)</f>
        <v>1</v>
      </c>
      <c r="H2380" s="4" t="b">
        <f>IFERROR(__xludf.DUMMYFUNCTION("""COMPUTED_VALUE"""),FALSE)</f>
        <v>0</v>
      </c>
      <c r="I2380" s="4">
        <f>IFERROR(__xludf.DUMMYFUNCTION("""COMPUTED_VALUE"""),0.2549440625)</f>
        <v>0.2549440625</v>
      </c>
      <c r="J2380" s="4">
        <f>IFERROR(__xludf.DUMMYFUNCTION("""COMPUTED_VALUE"""),45949.28284266915)</f>
        <v>45949.28284</v>
      </c>
      <c r="K2380" s="4" t="str">
        <f>IFERROR(__xludf.DUMMYFUNCTION("""COMPUTED_VALUE"""),"")</f>
        <v/>
      </c>
      <c r="L2380" s="4">
        <f>IFERROR(__xludf.DUMMYFUNCTION("""COMPUTED_VALUE"""),45949.30199456551)</f>
        <v>45949.30199</v>
      </c>
      <c r="M2380" s="1" t="str">
        <f>IFERROR(__xludf.DUMMYFUNCTION("""COMPUTED_VALUE"""),"RFID")</f>
        <v>RFID</v>
      </c>
      <c r="N2380" s="5">
        <f>IFERROR(__xludf.DUMMYFUNCTION("""COMPUTED_VALUE"""),0.011159444444444444)</f>
        <v>0.01115944444</v>
      </c>
      <c r="O2380" s="5" t="str">
        <f>IFERROR(__xludf.DUMMYFUNCTION("""COMPUTED_VALUE"""),"")</f>
        <v/>
      </c>
      <c r="P2380" s="5" t="str">
        <f>IFERROR(__xludf.DUMMYFUNCTION("""COMPUTED_VALUE"""),"")</f>
        <v/>
      </c>
      <c r="Q2380" s="5">
        <f>IFERROR(__xludf.DUMMYFUNCTION("""COMPUTED_VALUE"""),0.009410099537037036)</f>
        <v>0.009410099537</v>
      </c>
      <c r="R2380" s="4">
        <f>IFERROR(__xludf.DUMMYFUNCTION("""COMPUTED_VALUE"""),45949.04705050301)</f>
        <v>45949.04705</v>
      </c>
      <c r="S2380" s="1" t="b">
        <f>IFERROR(__xludf.DUMMYFUNCTION("""COMPUTED_VALUE"""),TRUE)</f>
        <v>1</v>
      </c>
      <c r="T2380" s="1" t="b">
        <f>IFERROR(__xludf.DUMMYFUNCTION("""COMPUTED_VALUE"""),FALSE)</f>
        <v>0</v>
      </c>
      <c r="U2380" s="1" t="str">
        <f>IFERROR(__xludf.DUMMYFUNCTION("""COMPUTED_VALUE"""),"VALID")</f>
        <v>VALID</v>
      </c>
      <c r="V2380" s="1">
        <f>IFERROR(__xludf.DUMMYFUNCTION("""COMPUTED_VALUE"""),818.0)</f>
        <v>818</v>
      </c>
      <c r="W2380" s="1">
        <f>IFERROR(__xludf.DUMMYFUNCTION("""COMPUTED_VALUE"""),1519.0)</f>
        <v>1519</v>
      </c>
      <c r="X2380" s="1">
        <f>IFERROR(__xludf.DUMMYFUNCTION("""COMPUTED_VALUE"""),1272.0)</f>
        <v>1272</v>
      </c>
      <c r="Y2380" s="2"/>
      <c r="Z2380" s="2"/>
    </row>
    <row r="2381">
      <c r="A2381" s="1">
        <f>IFERROR(__xludf.DUMMYFUNCTION("""COMPUTED_VALUE"""),2380.0)</f>
        <v>2380</v>
      </c>
      <c r="B2381" s="1">
        <f>IFERROR(__xludf.DUMMYFUNCTION("""COMPUTED_VALUE"""),6171.0)</f>
        <v>6171</v>
      </c>
      <c r="C2381" s="2" t="str">
        <f>IFERROR(__xludf.DUMMYFUNCTION("""COMPUTED_VALUE"""),"Rio Wahyu")</f>
        <v>Rio Wahyu</v>
      </c>
      <c r="D2381" s="2" t="str">
        <f>IFERROR(__xludf.DUMMYFUNCTION("""COMPUTED_VALUE"""),"5KM OVERALL M")</f>
        <v>5KM OVERALL M</v>
      </c>
      <c r="E2381" s="1">
        <f>IFERROR(__xludf.DUMMYFUNCTION("""COMPUTED_VALUE"""),2.0)</f>
        <v>2</v>
      </c>
      <c r="F2381" s="1" t="str">
        <f>IFERROR(__xludf.DUMMYFUNCTION("""COMPUTED_VALUE"""),"Male")</f>
        <v>Male</v>
      </c>
      <c r="G2381" s="4" t="b">
        <f>IFERROR(__xludf.DUMMYFUNCTION("""COMPUTED_VALUE"""),TRUE)</f>
        <v>1</v>
      </c>
      <c r="H2381" s="4" t="b">
        <f>IFERROR(__xludf.DUMMYFUNCTION("""COMPUTED_VALUE"""),TRUE)</f>
        <v>1</v>
      </c>
      <c r="I2381" s="4">
        <f>IFERROR(__xludf.DUMMYFUNCTION("""COMPUTED_VALUE"""),0.2549440625)</f>
        <v>0.2549440625</v>
      </c>
      <c r="J2381" s="4">
        <f>IFERROR(__xludf.DUMMYFUNCTION("""COMPUTED_VALUE"""),45949.27579759446)</f>
        <v>45949.2758</v>
      </c>
      <c r="K2381" s="4" t="str">
        <f>IFERROR(__xludf.DUMMYFUNCTION("""COMPUTED_VALUE"""),"")</f>
        <v/>
      </c>
      <c r="L2381" s="4">
        <f>IFERROR(__xludf.DUMMYFUNCTION("""COMPUTED_VALUE"""),45949.29025156335)</f>
        <v>45949.29025</v>
      </c>
      <c r="M2381" s="1" t="str">
        <f>IFERROR(__xludf.DUMMYFUNCTION("""COMPUTED_VALUE"""),"RFID")</f>
        <v>RFID</v>
      </c>
      <c r="N2381" s="5">
        <f>IFERROR(__xludf.DUMMYFUNCTION("""COMPUTED_VALUE"""),0.008341412037037036)</f>
        <v>0.008341412037</v>
      </c>
      <c r="O2381" s="5" t="str">
        <f>IFERROR(__xludf.DUMMYFUNCTION("""COMPUTED_VALUE"""),"")</f>
        <v/>
      </c>
      <c r="P2381" s="5" t="str">
        <f>IFERROR(__xludf.DUMMYFUNCTION("""COMPUTED_VALUE"""),"")</f>
        <v/>
      </c>
      <c r="Q2381" s="5">
        <f>IFERROR(__xludf.DUMMYFUNCTION("""COMPUTED_VALUE"""),0.007061500000000001)</f>
        <v>0.0070615</v>
      </c>
      <c r="R2381" s="4">
        <f>IFERROR(__xludf.DUMMYFUNCTION("""COMPUTED_VALUE"""),45949.035307500846)</f>
        <v>45949.03531</v>
      </c>
      <c r="S2381" s="1" t="b">
        <f>IFERROR(__xludf.DUMMYFUNCTION("""COMPUTED_VALUE"""),TRUE)</f>
        <v>1</v>
      </c>
      <c r="T2381" s="1" t="b">
        <f>IFERROR(__xludf.DUMMYFUNCTION("""COMPUTED_VALUE"""),FALSE)</f>
        <v>0</v>
      </c>
      <c r="U2381" s="1" t="str">
        <f>IFERROR(__xludf.DUMMYFUNCTION("""COMPUTED_VALUE"""),"VALID")</f>
        <v>VALID</v>
      </c>
      <c r="V2381" s="1">
        <f>IFERROR(__xludf.DUMMYFUNCTION("""COMPUTED_VALUE"""),568.0)</f>
        <v>568</v>
      </c>
      <c r="W2381" s="1">
        <f>IFERROR(__xludf.DUMMYFUNCTION("""COMPUTED_VALUE"""),904.0)</f>
        <v>904</v>
      </c>
      <c r="X2381" s="1">
        <f>IFERROR(__xludf.DUMMYFUNCTION("""COMPUTED_VALUE"""),739.0)</f>
        <v>739</v>
      </c>
      <c r="Y2381" s="2"/>
      <c r="Z2381" s="2"/>
    </row>
    <row r="2382">
      <c r="A2382" s="1">
        <f>IFERROR(__xludf.DUMMYFUNCTION("""COMPUTED_VALUE"""),2381.0)</f>
        <v>2381</v>
      </c>
      <c r="B2382" s="1">
        <f>IFERROR(__xludf.DUMMYFUNCTION("""COMPUTED_VALUE"""),6174.0)</f>
        <v>6174</v>
      </c>
      <c r="C2382" s="2" t="str">
        <f>IFERROR(__xludf.DUMMYFUNCTION("""COMPUTED_VALUE"""),"zain")</f>
        <v>zain</v>
      </c>
      <c r="D2382" s="2" t="str">
        <f>IFERROR(__xludf.DUMMYFUNCTION("""COMPUTED_VALUE"""),"5KM OVERALL M")</f>
        <v>5KM OVERALL M</v>
      </c>
      <c r="E2382" s="1">
        <f>IFERROR(__xludf.DUMMYFUNCTION("""COMPUTED_VALUE"""),2.0)</f>
        <v>2</v>
      </c>
      <c r="F2382" s="1" t="str">
        <f>IFERROR(__xludf.DUMMYFUNCTION("""COMPUTED_VALUE"""),"Male")</f>
        <v>Male</v>
      </c>
      <c r="G2382" s="4" t="b">
        <f>IFERROR(__xludf.DUMMYFUNCTION("""COMPUTED_VALUE"""),TRUE)</f>
        <v>1</v>
      </c>
      <c r="H2382" s="4" t="b">
        <f>IFERROR(__xludf.DUMMYFUNCTION("""COMPUTED_VALUE"""),TRUE)</f>
        <v>1</v>
      </c>
      <c r="I2382" s="4">
        <f>IFERROR(__xludf.DUMMYFUNCTION("""COMPUTED_VALUE"""),0.2549440625)</f>
        <v>0.2549440625</v>
      </c>
      <c r="J2382" s="4">
        <f>IFERROR(__xludf.DUMMYFUNCTION("""COMPUTED_VALUE"""),45949.26562398924)</f>
        <v>45949.26562</v>
      </c>
      <c r="K2382" s="4" t="str">
        <f>IFERROR(__xludf.DUMMYFUNCTION("""COMPUTED_VALUE"""),"")</f>
        <v/>
      </c>
      <c r="L2382" s="4">
        <f>IFERROR(__xludf.DUMMYFUNCTION("""COMPUTED_VALUE"""),45949.273327956835)</f>
        <v>45949.27333</v>
      </c>
      <c r="M2382" s="1" t="str">
        <f>IFERROR(__xludf.DUMMYFUNCTION("""COMPUTED_VALUE"""),"RFID")</f>
        <v>RFID</v>
      </c>
      <c r="N2382" s="5">
        <f>IFERROR(__xludf.DUMMYFUNCTION("""COMPUTED_VALUE"""),0.004271972222222222)</f>
        <v>0.004271972222</v>
      </c>
      <c r="O2382" s="5" t="str">
        <f>IFERROR(__xludf.DUMMYFUNCTION("""COMPUTED_VALUE"""),"")</f>
        <v/>
      </c>
      <c r="P2382" s="5" t="str">
        <f>IFERROR(__xludf.DUMMYFUNCTION("""COMPUTED_VALUE"""),"")</f>
        <v/>
      </c>
      <c r="Q2382" s="5">
        <f>IFERROR(__xludf.DUMMYFUNCTION("""COMPUTED_VALUE"""),0.0036767777777777775)</f>
        <v>0.003676777778</v>
      </c>
      <c r="R2382" s="4">
        <f>IFERROR(__xludf.DUMMYFUNCTION("""COMPUTED_VALUE"""),45949.018383894334)</f>
        <v>45949.01838</v>
      </c>
      <c r="S2382" s="1" t="b">
        <f>IFERROR(__xludf.DUMMYFUNCTION("""COMPUTED_VALUE"""),TRUE)</f>
        <v>1</v>
      </c>
      <c r="T2382" s="1" t="b">
        <f>IFERROR(__xludf.DUMMYFUNCTION("""COMPUTED_VALUE"""),FALSE)</f>
        <v>0</v>
      </c>
      <c r="U2382" s="1" t="str">
        <f>IFERROR(__xludf.DUMMYFUNCTION("""COMPUTED_VALUE"""),"VALID")</f>
        <v>VALID</v>
      </c>
      <c r="V2382" s="1">
        <f>IFERROR(__xludf.DUMMYFUNCTION("""COMPUTED_VALUE"""),46.0)</f>
        <v>46</v>
      </c>
      <c r="W2382" s="1">
        <f>IFERROR(__xludf.DUMMYFUNCTION("""COMPUTED_VALUE"""),69.0)</f>
        <v>69</v>
      </c>
      <c r="X2382" s="1">
        <f>IFERROR(__xludf.DUMMYFUNCTION("""COMPUTED_VALUE"""),64.0)</f>
        <v>64</v>
      </c>
      <c r="Y2382" s="2"/>
      <c r="Z2382" s="2"/>
    </row>
    <row r="2383">
      <c r="A2383" s="1">
        <f>IFERROR(__xludf.DUMMYFUNCTION("""COMPUTED_VALUE"""),2382.0)</f>
        <v>2382</v>
      </c>
      <c r="B2383" s="1">
        <f>IFERROR(__xludf.DUMMYFUNCTION("""COMPUTED_VALUE"""),6175.0)</f>
        <v>6175</v>
      </c>
      <c r="C2383" s="2" t="str">
        <f>IFERROR(__xludf.DUMMYFUNCTION("""COMPUTED_VALUE"""),"Rivaldo")</f>
        <v>Rivaldo</v>
      </c>
      <c r="D2383" s="2" t="str">
        <f>IFERROR(__xludf.DUMMYFUNCTION("""COMPUTED_VALUE"""),"5KM OVERALL M")</f>
        <v>5KM OVERALL M</v>
      </c>
      <c r="E2383" s="1">
        <f>IFERROR(__xludf.DUMMYFUNCTION("""COMPUTED_VALUE"""),2.0)</f>
        <v>2</v>
      </c>
      <c r="F2383" s="1" t="str">
        <f>IFERROR(__xludf.DUMMYFUNCTION("""COMPUTED_VALUE"""),"Male")</f>
        <v>Male</v>
      </c>
      <c r="G2383" s="4" t="str">
        <f>IFERROR(__xludf.DUMMYFUNCTION("""COMPUTED_VALUE"""),"")</f>
        <v/>
      </c>
      <c r="H2383" s="4" t="b">
        <f>IFERROR(__xludf.DUMMYFUNCTION("""COMPUTED_VALUE"""),FALSE)</f>
        <v>0</v>
      </c>
      <c r="I2383" s="4">
        <f>IFERROR(__xludf.DUMMYFUNCTION("""COMPUTED_VALUE"""),0.2549440625)</f>
        <v>0.2549440625</v>
      </c>
      <c r="J2383" s="4" t="str">
        <f>IFERROR(__xludf.DUMMYFUNCTION("""COMPUTED_VALUE"""),"")</f>
        <v/>
      </c>
      <c r="K2383" s="4" t="str">
        <f>IFERROR(__xludf.DUMMYFUNCTION("""COMPUTED_VALUE"""),"")</f>
        <v/>
      </c>
      <c r="L2383" s="4" t="str">
        <f>IFERROR(__xludf.DUMMYFUNCTION("""COMPUTED_VALUE"""),"")</f>
        <v/>
      </c>
      <c r="M2383" s="1" t="str">
        <f>IFERROR(__xludf.DUMMYFUNCTION("""COMPUTED_VALUE"""),"RFID")</f>
        <v>RFID</v>
      </c>
      <c r="N2383" s="5" t="str">
        <f>IFERROR(__xludf.DUMMYFUNCTION("""COMPUTED_VALUE"""),"")</f>
        <v/>
      </c>
      <c r="O2383" s="5" t="str">
        <f>IFERROR(__xludf.DUMMYFUNCTION("""COMPUTED_VALUE"""),"")</f>
        <v/>
      </c>
      <c r="P2383" s="5" t="str">
        <f>IFERROR(__xludf.DUMMYFUNCTION("""COMPUTED_VALUE"""),"")</f>
        <v/>
      </c>
      <c r="Q2383" s="5" t="str">
        <f>IFERROR(__xludf.DUMMYFUNCTION("""COMPUTED_VALUE"""),"")</f>
        <v/>
      </c>
      <c r="R2383" s="4" t="str">
        <f>IFERROR(__xludf.DUMMYFUNCTION("""COMPUTED_VALUE"""),"")</f>
        <v/>
      </c>
      <c r="S2383" s="1" t="b">
        <f>IFERROR(__xludf.DUMMYFUNCTION("""COMPUTED_VALUE"""),FALSE)</f>
        <v>0</v>
      </c>
      <c r="T2383" s="1" t="b">
        <f>IFERROR(__xludf.DUMMYFUNCTION("""COMPUTED_VALUE"""),FALSE)</f>
        <v>0</v>
      </c>
      <c r="U2383" s="1" t="str">
        <f>IFERROR(__xludf.DUMMYFUNCTION("""COMPUTED_VALUE"""),"DSQ")</f>
        <v>DSQ</v>
      </c>
      <c r="V2383" s="1" t="str">
        <f>IFERROR(__xludf.DUMMYFUNCTION("""COMPUTED_VALUE"""),"DSQ")</f>
        <v>DSQ</v>
      </c>
      <c r="W2383" s="1" t="str">
        <f>IFERROR(__xludf.DUMMYFUNCTION("""COMPUTED_VALUE"""),"DSQ")</f>
        <v>DSQ</v>
      </c>
      <c r="X2383" s="1" t="str">
        <f>IFERROR(__xludf.DUMMYFUNCTION("""COMPUTED_VALUE"""),"DSQ")</f>
        <v>DSQ</v>
      </c>
      <c r="Y2383" s="2"/>
      <c r="Z2383" s="2" t="str">
        <f>IFERROR(__xludf.DUMMYFUNCTION("""COMPUTED_VALUE"""),"")</f>
        <v/>
      </c>
    </row>
    <row r="2384">
      <c r="A2384" s="1">
        <f>IFERROR(__xludf.DUMMYFUNCTION("""COMPUTED_VALUE"""),2383.0)</f>
        <v>2383</v>
      </c>
      <c r="B2384" s="1">
        <f>IFERROR(__xludf.DUMMYFUNCTION("""COMPUTED_VALUE"""),6176.0)</f>
        <v>6176</v>
      </c>
      <c r="C2384" s="2" t="str">
        <f>IFERROR(__xludf.DUMMYFUNCTION("""COMPUTED_VALUE"""),"meiditya")</f>
        <v>meiditya</v>
      </c>
      <c r="D2384" s="2" t="str">
        <f>IFERROR(__xludf.DUMMYFUNCTION("""COMPUTED_VALUE"""),"5KM OVERALL M")</f>
        <v>5KM OVERALL M</v>
      </c>
      <c r="E2384" s="1">
        <f>IFERROR(__xludf.DUMMYFUNCTION("""COMPUTED_VALUE"""),2.0)</f>
        <v>2</v>
      </c>
      <c r="F2384" s="1" t="str">
        <f>IFERROR(__xludf.DUMMYFUNCTION("""COMPUTED_VALUE"""),"Male")</f>
        <v>Male</v>
      </c>
      <c r="G2384" s="4" t="b">
        <f>IFERROR(__xludf.DUMMYFUNCTION("""COMPUTED_VALUE"""),TRUE)</f>
        <v>1</v>
      </c>
      <c r="H2384" s="4" t="b">
        <f>IFERROR(__xludf.DUMMYFUNCTION("""COMPUTED_VALUE"""),TRUE)</f>
        <v>1</v>
      </c>
      <c r="I2384" s="4">
        <f>IFERROR(__xludf.DUMMYFUNCTION("""COMPUTED_VALUE"""),0.2549440625)</f>
        <v>0.2549440625</v>
      </c>
      <c r="J2384" s="4">
        <f>IFERROR(__xludf.DUMMYFUNCTION("""COMPUTED_VALUE"""),45949.284578843486)</f>
        <v>45949.28458</v>
      </c>
      <c r="K2384" s="4" t="str">
        <f>IFERROR(__xludf.DUMMYFUNCTION("""COMPUTED_VALUE"""),"")</f>
        <v/>
      </c>
      <c r="L2384" s="4">
        <f>IFERROR(__xludf.DUMMYFUNCTION("""COMPUTED_VALUE"""),45949.302366158954)</f>
        <v>45949.30237</v>
      </c>
      <c r="M2384" s="1" t="str">
        <f>IFERROR(__xludf.DUMMYFUNCTION("""COMPUTED_VALUE"""),"RFID")</f>
        <v>RFID</v>
      </c>
      <c r="N2384" s="5">
        <f>IFERROR(__xludf.DUMMYFUNCTION("""COMPUTED_VALUE"""),0.011853912037037038)</f>
        <v>0.01185391204</v>
      </c>
      <c r="O2384" s="5" t="str">
        <f>IFERROR(__xludf.DUMMYFUNCTION("""COMPUTED_VALUE"""),"")</f>
        <v/>
      </c>
      <c r="P2384" s="5" t="str">
        <f>IFERROR(__xludf.DUMMYFUNCTION("""COMPUTED_VALUE"""),"")</f>
        <v/>
      </c>
      <c r="Q2384" s="5">
        <f>IFERROR(__xludf.DUMMYFUNCTION("""COMPUTED_VALUE"""),0.009484418981481483)</f>
        <v>0.009484418981</v>
      </c>
      <c r="R2384" s="4">
        <f>IFERROR(__xludf.DUMMYFUNCTION("""COMPUTED_VALUE"""),45949.04742209645)</f>
        <v>45949.04742</v>
      </c>
      <c r="S2384" s="1" t="b">
        <f>IFERROR(__xludf.DUMMYFUNCTION("""COMPUTED_VALUE"""),TRUE)</f>
        <v>1</v>
      </c>
      <c r="T2384" s="1" t="b">
        <f>IFERROR(__xludf.DUMMYFUNCTION("""COMPUTED_VALUE"""),FALSE)</f>
        <v>0</v>
      </c>
      <c r="U2384" s="1" t="str">
        <f>IFERROR(__xludf.DUMMYFUNCTION("""COMPUTED_VALUE"""),"VALID")</f>
        <v>VALID</v>
      </c>
      <c r="V2384" s="1">
        <f>IFERROR(__xludf.DUMMYFUNCTION("""COMPUTED_VALUE"""),820.0)</f>
        <v>820</v>
      </c>
      <c r="W2384" s="1">
        <f>IFERROR(__xludf.DUMMYFUNCTION("""COMPUTED_VALUE"""),1526.0)</f>
        <v>1526</v>
      </c>
      <c r="X2384" s="1">
        <f>IFERROR(__xludf.DUMMYFUNCTION("""COMPUTED_VALUE"""),1282.0)</f>
        <v>1282</v>
      </c>
      <c r="Y2384" s="2"/>
      <c r="Z2384" s="2"/>
    </row>
    <row r="2385">
      <c r="A2385" s="1">
        <f>IFERROR(__xludf.DUMMYFUNCTION("""COMPUTED_VALUE"""),2384.0)</f>
        <v>2384</v>
      </c>
      <c r="B2385" s="1">
        <f>IFERROR(__xludf.DUMMYFUNCTION("""COMPUTED_VALUE"""),6178.0)</f>
        <v>6178</v>
      </c>
      <c r="C2385" s="2" t="str">
        <f>IFERROR(__xludf.DUMMYFUNCTION("""COMPUTED_VALUE"""),"Akhyat")</f>
        <v>Akhyat</v>
      </c>
      <c r="D2385" s="2" t="str">
        <f>IFERROR(__xludf.DUMMYFUNCTION("""COMPUTED_VALUE"""),"5KM OVERALL M")</f>
        <v>5KM OVERALL M</v>
      </c>
      <c r="E2385" s="1">
        <f>IFERROR(__xludf.DUMMYFUNCTION("""COMPUTED_VALUE"""),2.0)</f>
        <v>2</v>
      </c>
      <c r="F2385" s="1" t="str">
        <f>IFERROR(__xludf.DUMMYFUNCTION("""COMPUTED_VALUE"""),"Male")</f>
        <v>Male</v>
      </c>
      <c r="G2385" s="4" t="b">
        <f>IFERROR(__xludf.DUMMYFUNCTION("""COMPUTED_VALUE"""),TRUE)</f>
        <v>1</v>
      </c>
      <c r="H2385" s="4" t="b">
        <f>IFERROR(__xludf.DUMMYFUNCTION("""COMPUTED_VALUE"""),FALSE)</f>
        <v>0</v>
      </c>
      <c r="I2385" s="4">
        <f>IFERROR(__xludf.DUMMYFUNCTION("""COMPUTED_VALUE"""),0.2549440625)</f>
        <v>0.2549440625</v>
      </c>
      <c r="J2385" s="4">
        <f>IFERROR(__xludf.DUMMYFUNCTION("""COMPUTED_VALUE"""),45949.28189473829)</f>
        <v>45949.28189</v>
      </c>
      <c r="K2385" s="4" t="str">
        <f>IFERROR(__xludf.DUMMYFUNCTION("""COMPUTED_VALUE"""),"")</f>
        <v/>
      </c>
      <c r="L2385" s="4">
        <f>IFERROR(__xludf.DUMMYFUNCTION("""COMPUTED_VALUE"""),45949.30245642106)</f>
        <v>45949.30246</v>
      </c>
      <c r="M2385" s="1" t="str">
        <f>IFERROR(__xludf.DUMMYFUNCTION("""COMPUTED_VALUE"""),"RFID")</f>
        <v>RFID</v>
      </c>
      <c r="N2385" s="5">
        <f>IFERROR(__xludf.DUMMYFUNCTION("""COMPUTED_VALUE"""),0.010780268518518519)</f>
        <v>0.01078026852</v>
      </c>
      <c r="O2385" s="5" t="str">
        <f>IFERROR(__xludf.DUMMYFUNCTION("""COMPUTED_VALUE"""),"")</f>
        <v/>
      </c>
      <c r="P2385" s="5" t="str">
        <f>IFERROR(__xludf.DUMMYFUNCTION("""COMPUTED_VALUE"""),"")</f>
        <v/>
      </c>
      <c r="Q2385" s="5">
        <f>IFERROR(__xludf.DUMMYFUNCTION("""COMPUTED_VALUE"""),0.009502472222222223)</f>
        <v>0.009502472222</v>
      </c>
      <c r="R2385" s="4">
        <f>IFERROR(__xludf.DUMMYFUNCTION("""COMPUTED_VALUE"""),45949.04751235856)</f>
        <v>45949.04751</v>
      </c>
      <c r="S2385" s="1" t="b">
        <f>IFERROR(__xludf.DUMMYFUNCTION("""COMPUTED_VALUE"""),TRUE)</f>
        <v>1</v>
      </c>
      <c r="T2385" s="1" t="b">
        <f>IFERROR(__xludf.DUMMYFUNCTION("""COMPUTED_VALUE"""),FALSE)</f>
        <v>0</v>
      </c>
      <c r="U2385" s="1" t="str">
        <f>IFERROR(__xludf.DUMMYFUNCTION("""COMPUTED_VALUE"""),"VALID")</f>
        <v>VALID</v>
      </c>
      <c r="V2385" s="1">
        <f>IFERROR(__xludf.DUMMYFUNCTION("""COMPUTED_VALUE"""),821.0)</f>
        <v>821</v>
      </c>
      <c r="W2385" s="1">
        <f>IFERROR(__xludf.DUMMYFUNCTION("""COMPUTED_VALUE"""),1528.0)</f>
        <v>1528</v>
      </c>
      <c r="X2385" s="1">
        <f>IFERROR(__xludf.DUMMYFUNCTION("""COMPUTED_VALUE"""),1285.0)</f>
        <v>1285</v>
      </c>
      <c r="Y2385" s="2"/>
      <c r="Z2385" s="2"/>
    </row>
    <row r="2386">
      <c r="A2386" s="1">
        <f>IFERROR(__xludf.DUMMYFUNCTION("""COMPUTED_VALUE"""),2385.0)</f>
        <v>2385</v>
      </c>
      <c r="B2386" s="1">
        <f>IFERROR(__xludf.DUMMYFUNCTION("""COMPUTED_VALUE"""),6180.0)</f>
        <v>6180</v>
      </c>
      <c r="C2386" s="2" t="str">
        <f>IFERROR(__xludf.DUMMYFUNCTION("""COMPUTED_VALUE"""),"Ahmad Winarto Saputra")</f>
        <v>Ahmad Winarto Saputra</v>
      </c>
      <c r="D2386" s="2" t="str">
        <f>IFERROR(__xludf.DUMMYFUNCTION("""COMPUTED_VALUE"""),"5KM OVERALL M")</f>
        <v>5KM OVERALL M</v>
      </c>
      <c r="E2386" s="1">
        <f>IFERROR(__xludf.DUMMYFUNCTION("""COMPUTED_VALUE"""),2.0)</f>
        <v>2</v>
      </c>
      <c r="F2386" s="1" t="str">
        <f>IFERROR(__xludf.DUMMYFUNCTION("""COMPUTED_VALUE"""),"Male")</f>
        <v>Male</v>
      </c>
      <c r="G2386" s="4" t="b">
        <f>IFERROR(__xludf.DUMMYFUNCTION("""COMPUTED_VALUE"""),TRUE)</f>
        <v>1</v>
      </c>
      <c r="H2386" s="4" t="b">
        <f>IFERROR(__xludf.DUMMYFUNCTION("""COMPUTED_VALUE"""),TRUE)</f>
        <v>1</v>
      </c>
      <c r="I2386" s="4">
        <f>IFERROR(__xludf.DUMMYFUNCTION("""COMPUTED_VALUE"""),0.2549440625)</f>
        <v>0.2549440625</v>
      </c>
      <c r="J2386" s="4">
        <f>IFERROR(__xludf.DUMMYFUNCTION("""COMPUTED_VALUE"""),45949.26958573765)</f>
        <v>45949.26959</v>
      </c>
      <c r="K2386" s="4" t="str">
        <f>IFERROR(__xludf.DUMMYFUNCTION("""COMPUTED_VALUE"""),"")</f>
        <v/>
      </c>
      <c r="L2386" s="4">
        <f>IFERROR(__xludf.DUMMYFUNCTION("""COMPUTED_VALUE"""),45949.281186257074)</f>
        <v>45949.28119</v>
      </c>
      <c r="M2386" s="1" t="str">
        <f>IFERROR(__xludf.DUMMYFUNCTION("""COMPUTED_VALUE"""),"RFID")</f>
        <v>RFID</v>
      </c>
      <c r="N2386" s="5">
        <f>IFERROR(__xludf.DUMMYFUNCTION("""COMPUTED_VALUE"""),0.005856671296296296)</f>
        <v>0.005856671296</v>
      </c>
      <c r="O2386" s="5" t="str">
        <f>IFERROR(__xludf.DUMMYFUNCTION("""COMPUTED_VALUE"""),"")</f>
        <v/>
      </c>
      <c r="P2386" s="5" t="str">
        <f>IFERROR(__xludf.DUMMYFUNCTION("""COMPUTED_VALUE"""),"")</f>
        <v/>
      </c>
      <c r="Q2386" s="5">
        <f>IFERROR(__xludf.DUMMYFUNCTION("""COMPUTED_VALUE"""),0.005248439814814815)</f>
        <v>0.005248439815</v>
      </c>
      <c r="R2386" s="4">
        <f>IFERROR(__xludf.DUMMYFUNCTION("""COMPUTED_VALUE"""),45949.02624219457)</f>
        <v>45949.02624</v>
      </c>
      <c r="S2386" s="1" t="b">
        <f>IFERROR(__xludf.DUMMYFUNCTION("""COMPUTED_VALUE"""),TRUE)</f>
        <v>1</v>
      </c>
      <c r="T2386" s="1" t="b">
        <f>IFERROR(__xludf.DUMMYFUNCTION("""COMPUTED_VALUE"""),FALSE)</f>
        <v>0</v>
      </c>
      <c r="U2386" s="1" t="str">
        <f>IFERROR(__xludf.DUMMYFUNCTION("""COMPUTED_VALUE"""),"VALID")</f>
        <v>VALID</v>
      </c>
      <c r="V2386" s="1">
        <f>IFERROR(__xludf.DUMMYFUNCTION("""COMPUTED_VALUE"""),227.0)</f>
        <v>227</v>
      </c>
      <c r="W2386" s="1">
        <f>IFERROR(__xludf.DUMMYFUNCTION("""COMPUTED_VALUE"""),347.0)</f>
        <v>347</v>
      </c>
      <c r="X2386" s="1">
        <f>IFERROR(__xludf.DUMMYFUNCTION("""COMPUTED_VALUE"""),304.0)</f>
        <v>304</v>
      </c>
      <c r="Y2386" s="2"/>
      <c r="Z2386" s="2"/>
    </row>
    <row r="2387">
      <c r="A2387" s="1">
        <f>IFERROR(__xludf.DUMMYFUNCTION("""COMPUTED_VALUE"""),2386.0)</f>
        <v>2386</v>
      </c>
      <c r="B2387" s="1">
        <f>IFERROR(__xludf.DUMMYFUNCTION("""COMPUTED_VALUE"""),6181.0)</f>
        <v>6181</v>
      </c>
      <c r="C2387" s="2" t="str">
        <f>IFERROR(__xludf.DUMMYFUNCTION("""COMPUTED_VALUE"""),"Kresna")</f>
        <v>Kresna</v>
      </c>
      <c r="D2387" s="2" t="str">
        <f>IFERROR(__xludf.DUMMYFUNCTION("""COMPUTED_VALUE"""),"5KM OVERALL M")</f>
        <v>5KM OVERALL M</v>
      </c>
      <c r="E2387" s="1">
        <f>IFERROR(__xludf.DUMMYFUNCTION("""COMPUTED_VALUE"""),2.0)</f>
        <v>2</v>
      </c>
      <c r="F2387" s="1" t="str">
        <f>IFERROR(__xludf.DUMMYFUNCTION("""COMPUTED_VALUE"""),"Male")</f>
        <v>Male</v>
      </c>
      <c r="G2387" s="4" t="b">
        <f>IFERROR(__xludf.DUMMYFUNCTION("""COMPUTED_VALUE"""),TRUE)</f>
        <v>1</v>
      </c>
      <c r="H2387" s="4" t="b">
        <f>IFERROR(__xludf.DUMMYFUNCTION("""COMPUTED_VALUE"""),TRUE)</f>
        <v>1</v>
      </c>
      <c r="I2387" s="4">
        <f>IFERROR(__xludf.DUMMYFUNCTION("""COMPUTED_VALUE"""),0.2549440625)</f>
        <v>0.2549440625</v>
      </c>
      <c r="J2387" s="4">
        <f>IFERROR(__xludf.DUMMYFUNCTION("""COMPUTED_VALUE"""),45949.27887392161)</f>
        <v>45949.27887</v>
      </c>
      <c r="K2387" s="4" t="str">
        <f>IFERROR(__xludf.DUMMYFUNCTION("""COMPUTED_VALUE"""),"")</f>
        <v/>
      </c>
      <c r="L2387" s="4">
        <f>IFERROR(__xludf.DUMMYFUNCTION("""COMPUTED_VALUE"""),45949.297265455745)</f>
        <v>45949.29727</v>
      </c>
      <c r="M2387" s="1" t="str">
        <f>IFERROR(__xludf.DUMMYFUNCTION("""COMPUTED_VALUE"""),"RFID")</f>
        <v>RFID</v>
      </c>
      <c r="N2387" s="5">
        <f>IFERROR(__xludf.DUMMYFUNCTION("""COMPUTED_VALUE"""),0.009571944444444444)</f>
        <v>0.009571944444</v>
      </c>
      <c r="O2387" s="5" t="str">
        <f>IFERROR(__xludf.DUMMYFUNCTION("""COMPUTED_VALUE"""),"")</f>
        <v/>
      </c>
      <c r="P2387" s="5" t="str">
        <f>IFERROR(__xludf.DUMMYFUNCTION("""COMPUTED_VALUE"""),"")</f>
        <v/>
      </c>
      <c r="Q2387" s="5">
        <f>IFERROR(__xludf.DUMMYFUNCTION("""COMPUTED_VALUE"""),0.008464277777777779)</f>
        <v>0.008464277778</v>
      </c>
      <c r="R2387" s="4">
        <f>IFERROR(__xludf.DUMMYFUNCTION("""COMPUTED_VALUE"""),45949.042321393244)</f>
        <v>45949.04232</v>
      </c>
      <c r="S2387" s="1" t="b">
        <f>IFERROR(__xludf.DUMMYFUNCTION("""COMPUTED_VALUE"""),TRUE)</f>
        <v>1</v>
      </c>
      <c r="T2387" s="1" t="b">
        <f>IFERROR(__xludf.DUMMYFUNCTION("""COMPUTED_VALUE"""),FALSE)</f>
        <v>0</v>
      </c>
      <c r="U2387" s="1" t="str">
        <f>IFERROR(__xludf.DUMMYFUNCTION("""COMPUTED_VALUE"""),"VALID")</f>
        <v>VALID</v>
      </c>
      <c r="V2387" s="1">
        <f>IFERROR(__xludf.DUMMYFUNCTION("""COMPUTED_VALUE"""),758.0)</f>
        <v>758</v>
      </c>
      <c r="W2387" s="1">
        <f>IFERROR(__xludf.DUMMYFUNCTION("""COMPUTED_VALUE"""),1340.0)</f>
        <v>1340</v>
      </c>
      <c r="X2387" s="1">
        <f>IFERROR(__xludf.DUMMYFUNCTION("""COMPUTED_VALUE"""),1078.0)</f>
        <v>1078</v>
      </c>
      <c r="Y2387" s="2"/>
      <c r="Z2387" s="2"/>
    </row>
    <row r="2388">
      <c r="A2388" s="1">
        <f>IFERROR(__xludf.DUMMYFUNCTION("""COMPUTED_VALUE"""),2387.0)</f>
        <v>2387</v>
      </c>
      <c r="B2388" s="1">
        <f>IFERROR(__xludf.DUMMYFUNCTION("""COMPUTED_VALUE"""),6182.0)</f>
        <v>6182</v>
      </c>
      <c r="C2388" s="2" t="str">
        <f>IFERROR(__xludf.DUMMYFUNCTION("""COMPUTED_VALUE"""),"MATSUL")</f>
        <v>MATSUL</v>
      </c>
      <c r="D2388" s="2" t="str">
        <f>IFERROR(__xludf.DUMMYFUNCTION("""COMPUTED_VALUE"""),"5KM OVERALL M")</f>
        <v>5KM OVERALL M</v>
      </c>
      <c r="E2388" s="1">
        <f>IFERROR(__xludf.DUMMYFUNCTION("""COMPUTED_VALUE"""),2.0)</f>
        <v>2</v>
      </c>
      <c r="F2388" s="1" t="str">
        <f>IFERROR(__xludf.DUMMYFUNCTION("""COMPUTED_VALUE"""),"Male")</f>
        <v>Male</v>
      </c>
      <c r="G2388" s="4" t="b">
        <f>IFERROR(__xludf.DUMMYFUNCTION("""COMPUTED_VALUE"""),TRUE)</f>
        <v>1</v>
      </c>
      <c r="H2388" s="4" t="b">
        <f>IFERROR(__xludf.DUMMYFUNCTION("""COMPUTED_VALUE"""),TRUE)</f>
        <v>1</v>
      </c>
      <c r="I2388" s="4">
        <f>IFERROR(__xludf.DUMMYFUNCTION("""COMPUTED_VALUE"""),0.2549440625)</f>
        <v>0.2549440625</v>
      </c>
      <c r="J2388" s="4">
        <f>IFERROR(__xludf.DUMMYFUNCTION("""COMPUTED_VALUE"""),45949.27082906611)</f>
        <v>45949.27083</v>
      </c>
      <c r="K2388" s="4" t="str">
        <f>IFERROR(__xludf.DUMMYFUNCTION("""COMPUTED_VALUE"""),"")</f>
        <v/>
      </c>
      <c r="L2388" s="4">
        <f>IFERROR(__xludf.DUMMYFUNCTION("""COMPUTED_VALUE"""),45949.283737684986)</f>
        <v>45949.28374</v>
      </c>
      <c r="M2388" s="1" t="str">
        <f>IFERROR(__xludf.DUMMYFUNCTION("""COMPUTED_VALUE"""),"RFID")</f>
        <v>RFID</v>
      </c>
      <c r="N2388" s="5">
        <f>IFERROR(__xludf.DUMMYFUNCTION("""COMPUTED_VALUE"""),0.006354)</f>
        <v>0.006354</v>
      </c>
      <c r="O2388" s="5" t="str">
        <f>IFERROR(__xludf.DUMMYFUNCTION("""COMPUTED_VALUE"""),"")</f>
        <v/>
      </c>
      <c r="P2388" s="5" t="str">
        <f>IFERROR(__xludf.DUMMYFUNCTION("""COMPUTED_VALUE"""),"")</f>
        <v/>
      </c>
      <c r="Q2388" s="5">
        <f>IFERROR(__xludf.DUMMYFUNCTION("""COMPUTED_VALUE"""),0.005758724537037037)</f>
        <v>0.005758724537</v>
      </c>
      <c r="R2388" s="4">
        <f>IFERROR(__xludf.DUMMYFUNCTION("""COMPUTED_VALUE"""),45949.028793622485)</f>
        <v>45949.02879</v>
      </c>
      <c r="S2388" s="1" t="b">
        <f>IFERROR(__xludf.DUMMYFUNCTION("""COMPUTED_VALUE"""),TRUE)</f>
        <v>1</v>
      </c>
      <c r="T2388" s="1" t="b">
        <f>IFERROR(__xludf.DUMMYFUNCTION("""COMPUTED_VALUE"""),FALSE)</f>
        <v>0</v>
      </c>
      <c r="U2388" s="1" t="str">
        <f>IFERROR(__xludf.DUMMYFUNCTION("""COMPUTED_VALUE"""),"VALID")</f>
        <v>VALID</v>
      </c>
      <c r="V2388" s="1">
        <f>IFERROR(__xludf.DUMMYFUNCTION("""COMPUTED_VALUE"""),319.0)</f>
        <v>319</v>
      </c>
      <c r="W2388" s="1">
        <f>IFERROR(__xludf.DUMMYFUNCTION("""COMPUTED_VALUE"""),475.0)</f>
        <v>475</v>
      </c>
      <c r="X2388" s="1">
        <f>IFERROR(__xludf.DUMMYFUNCTION("""COMPUTED_VALUE"""),411.0)</f>
        <v>411</v>
      </c>
      <c r="Y2388" s="2"/>
      <c r="Z2388" s="2"/>
    </row>
    <row r="2389">
      <c r="A2389" s="1">
        <f>IFERROR(__xludf.DUMMYFUNCTION("""COMPUTED_VALUE"""),2388.0)</f>
        <v>2388</v>
      </c>
      <c r="B2389" s="1">
        <f>IFERROR(__xludf.DUMMYFUNCTION("""COMPUTED_VALUE"""),6183.0)</f>
        <v>6183</v>
      </c>
      <c r="C2389" s="2" t="str">
        <f>IFERROR(__xludf.DUMMYFUNCTION("""COMPUTED_VALUE"""),"RUJI")</f>
        <v>RUJI</v>
      </c>
      <c r="D2389" s="2" t="str">
        <f>IFERROR(__xludf.DUMMYFUNCTION("""COMPUTED_VALUE"""),"5KM OVERALL M")</f>
        <v>5KM OVERALL M</v>
      </c>
      <c r="E2389" s="1">
        <f>IFERROR(__xludf.DUMMYFUNCTION("""COMPUTED_VALUE"""),2.0)</f>
        <v>2</v>
      </c>
      <c r="F2389" s="1" t="str">
        <f>IFERROR(__xludf.DUMMYFUNCTION("""COMPUTED_VALUE"""),"Male")</f>
        <v>Male</v>
      </c>
      <c r="G2389" s="4" t="b">
        <f>IFERROR(__xludf.DUMMYFUNCTION("""COMPUTED_VALUE"""),TRUE)</f>
        <v>1</v>
      </c>
      <c r="H2389" s="4" t="b">
        <f>IFERROR(__xludf.DUMMYFUNCTION("""COMPUTED_VALUE"""),TRUE)</f>
        <v>1</v>
      </c>
      <c r="I2389" s="4">
        <f>IFERROR(__xludf.DUMMYFUNCTION("""COMPUTED_VALUE"""),0.2549440625)</f>
        <v>0.2549440625</v>
      </c>
      <c r="J2389" s="4">
        <f>IFERROR(__xludf.DUMMYFUNCTION("""COMPUTED_VALUE"""),45949.27940862859)</f>
        <v>45949.27941</v>
      </c>
      <c r="K2389" s="4" t="str">
        <f>IFERROR(__xludf.DUMMYFUNCTION("""COMPUTED_VALUE"""),"")</f>
        <v/>
      </c>
      <c r="L2389" s="4">
        <f>IFERROR(__xludf.DUMMYFUNCTION("""COMPUTED_VALUE"""),45949.29850910202)</f>
        <v>45949.29851</v>
      </c>
      <c r="M2389" s="1" t="str">
        <f>IFERROR(__xludf.DUMMYFUNCTION("""COMPUTED_VALUE"""),"RFID")</f>
        <v>RFID</v>
      </c>
      <c r="N2389" s="5">
        <f>IFERROR(__xludf.DUMMYFUNCTION("""COMPUTED_VALUE"""),0.009785828703703705)</f>
        <v>0.009785828704</v>
      </c>
      <c r="O2389" s="5" t="str">
        <f>IFERROR(__xludf.DUMMYFUNCTION("""COMPUTED_VALUE"""),"")</f>
        <v/>
      </c>
      <c r="P2389" s="5" t="str">
        <f>IFERROR(__xludf.DUMMYFUNCTION("""COMPUTED_VALUE"""),"")</f>
        <v/>
      </c>
      <c r="Q2389" s="5">
        <f>IFERROR(__xludf.DUMMYFUNCTION("""COMPUTED_VALUE"""),0.008713006944444445)</f>
        <v>0.008713006944</v>
      </c>
      <c r="R2389" s="4">
        <f>IFERROR(__xludf.DUMMYFUNCTION("""COMPUTED_VALUE"""),45949.043565039516)</f>
        <v>45949.04357</v>
      </c>
      <c r="S2389" s="1" t="b">
        <f>IFERROR(__xludf.DUMMYFUNCTION("""COMPUTED_VALUE"""),TRUE)</f>
        <v>1</v>
      </c>
      <c r="T2389" s="1" t="b">
        <f>IFERROR(__xludf.DUMMYFUNCTION("""COMPUTED_VALUE"""),FALSE)</f>
        <v>0</v>
      </c>
      <c r="U2389" s="1" t="str">
        <f>IFERROR(__xludf.DUMMYFUNCTION("""COMPUTED_VALUE"""),"VALID")</f>
        <v>VALID</v>
      </c>
      <c r="V2389" s="1">
        <f>IFERROR(__xludf.DUMMYFUNCTION("""COMPUTED_VALUE"""),768.0)</f>
        <v>768</v>
      </c>
      <c r="W2389" s="1">
        <f>IFERROR(__xludf.DUMMYFUNCTION("""COMPUTED_VALUE"""),1377.0)</f>
        <v>1377</v>
      </c>
      <c r="X2389" s="1">
        <f>IFERROR(__xludf.DUMMYFUNCTION("""COMPUTED_VALUE"""),1117.0)</f>
        <v>1117</v>
      </c>
      <c r="Y2389" s="2"/>
      <c r="Z2389" s="2"/>
    </row>
    <row r="2390">
      <c r="A2390" s="1">
        <f>IFERROR(__xludf.DUMMYFUNCTION("""COMPUTED_VALUE"""),2389.0)</f>
        <v>2389</v>
      </c>
      <c r="B2390" s="1">
        <f>IFERROR(__xludf.DUMMYFUNCTION("""COMPUTED_VALUE"""),6184.0)</f>
        <v>6184</v>
      </c>
      <c r="C2390" s="2" t="str">
        <f>IFERROR(__xludf.DUMMYFUNCTION("""COMPUTED_VALUE"""),"Sofyan Hartopo")</f>
        <v>Sofyan Hartopo</v>
      </c>
      <c r="D2390" s="2" t="str">
        <f>IFERROR(__xludf.DUMMYFUNCTION("""COMPUTED_VALUE"""),"5KM OVERALL M")</f>
        <v>5KM OVERALL M</v>
      </c>
      <c r="E2390" s="1">
        <f>IFERROR(__xludf.DUMMYFUNCTION("""COMPUTED_VALUE"""),2.0)</f>
        <v>2</v>
      </c>
      <c r="F2390" s="1" t="str">
        <f>IFERROR(__xludf.DUMMYFUNCTION("""COMPUTED_VALUE"""),"Male")</f>
        <v>Male</v>
      </c>
      <c r="G2390" s="4" t="b">
        <f>IFERROR(__xludf.DUMMYFUNCTION("""COMPUTED_VALUE"""),TRUE)</f>
        <v>1</v>
      </c>
      <c r="H2390" s="4" t="b">
        <f>IFERROR(__xludf.DUMMYFUNCTION("""COMPUTED_VALUE"""),TRUE)</f>
        <v>1</v>
      </c>
      <c r="I2390" s="4">
        <f>IFERROR(__xludf.DUMMYFUNCTION("""COMPUTED_VALUE"""),0.2549440625)</f>
        <v>0.2549440625</v>
      </c>
      <c r="J2390" s="4">
        <f>IFERROR(__xludf.DUMMYFUNCTION("""COMPUTED_VALUE"""),45949.27518294635)</f>
        <v>45949.27518</v>
      </c>
      <c r="K2390" s="4" t="str">
        <f>IFERROR(__xludf.DUMMYFUNCTION("""COMPUTED_VALUE"""),"")</f>
        <v/>
      </c>
      <c r="L2390" s="4">
        <f>IFERROR(__xludf.DUMMYFUNCTION("""COMPUTED_VALUE"""),45949.29109531252)</f>
        <v>45949.2911</v>
      </c>
      <c r="M2390" s="1" t="str">
        <f>IFERROR(__xludf.DUMMYFUNCTION("""COMPUTED_VALUE"""),"RFID")</f>
        <v>RFID</v>
      </c>
      <c r="N2390" s="5">
        <f>IFERROR(__xludf.DUMMYFUNCTION("""COMPUTED_VALUE"""),0.008095555555555555)</f>
        <v>0.008095555556</v>
      </c>
      <c r="O2390" s="5" t="str">
        <f>IFERROR(__xludf.DUMMYFUNCTION("""COMPUTED_VALUE"""),"")</f>
        <v/>
      </c>
      <c r="P2390" s="5" t="str">
        <f>IFERROR(__xludf.DUMMYFUNCTION("""COMPUTED_VALUE"""),"")</f>
        <v/>
      </c>
      <c r="Q2390" s="5">
        <f>IFERROR(__xludf.DUMMYFUNCTION("""COMPUTED_VALUE"""),0.007230249999999999)</f>
        <v>0.00723025</v>
      </c>
      <c r="R2390" s="4">
        <f>IFERROR(__xludf.DUMMYFUNCTION("""COMPUTED_VALUE"""),45949.03615125002)</f>
        <v>45949.03615</v>
      </c>
      <c r="S2390" s="1" t="b">
        <f>IFERROR(__xludf.DUMMYFUNCTION("""COMPUTED_VALUE"""),TRUE)</f>
        <v>1</v>
      </c>
      <c r="T2390" s="1" t="b">
        <f>IFERROR(__xludf.DUMMYFUNCTION("""COMPUTED_VALUE"""),FALSE)</f>
        <v>0</v>
      </c>
      <c r="U2390" s="1" t="str">
        <f>IFERROR(__xludf.DUMMYFUNCTION("""COMPUTED_VALUE"""),"VALID")</f>
        <v>VALID</v>
      </c>
      <c r="V2390" s="1">
        <f>IFERROR(__xludf.DUMMYFUNCTION("""COMPUTED_VALUE"""),599.0)</f>
        <v>599</v>
      </c>
      <c r="W2390" s="1">
        <f>IFERROR(__xludf.DUMMYFUNCTION("""COMPUTED_VALUE"""),968.0)</f>
        <v>968</v>
      </c>
      <c r="X2390" s="1">
        <f>IFERROR(__xludf.DUMMYFUNCTION("""COMPUTED_VALUE"""),785.0)</f>
        <v>785</v>
      </c>
      <c r="Y2390" s="2"/>
      <c r="Z2390" s="2"/>
    </row>
    <row r="2391">
      <c r="A2391" s="1">
        <f>IFERROR(__xludf.DUMMYFUNCTION("""COMPUTED_VALUE"""),2390.0)</f>
        <v>2390</v>
      </c>
      <c r="B2391" s="1">
        <f>IFERROR(__xludf.DUMMYFUNCTION("""COMPUTED_VALUE"""),6185.0)</f>
        <v>6185</v>
      </c>
      <c r="C2391" s="2" t="str">
        <f>IFERROR(__xludf.DUMMYFUNCTION("""COMPUTED_VALUE"""),"Rifaldi Nurmeidian")</f>
        <v>Rifaldi Nurmeidian</v>
      </c>
      <c r="D2391" s="2" t="str">
        <f>IFERROR(__xludf.DUMMYFUNCTION("""COMPUTED_VALUE"""),"5KM OVERALL M")</f>
        <v>5KM OVERALL M</v>
      </c>
      <c r="E2391" s="1">
        <f>IFERROR(__xludf.DUMMYFUNCTION("""COMPUTED_VALUE"""),2.0)</f>
        <v>2</v>
      </c>
      <c r="F2391" s="1" t="str">
        <f>IFERROR(__xludf.DUMMYFUNCTION("""COMPUTED_VALUE"""),"Male")</f>
        <v>Male</v>
      </c>
      <c r="G2391" s="4" t="b">
        <f>IFERROR(__xludf.DUMMYFUNCTION("""COMPUTED_VALUE"""),TRUE)</f>
        <v>1</v>
      </c>
      <c r="H2391" s="4" t="b">
        <f>IFERROR(__xludf.DUMMYFUNCTION("""COMPUTED_VALUE"""),TRUE)</f>
        <v>1</v>
      </c>
      <c r="I2391" s="4">
        <f>IFERROR(__xludf.DUMMYFUNCTION("""COMPUTED_VALUE"""),0.2549440625)</f>
        <v>0.2549440625</v>
      </c>
      <c r="J2391" s="4">
        <f>IFERROR(__xludf.DUMMYFUNCTION("""COMPUTED_VALUE"""),45949.27670726584)</f>
        <v>45949.27671</v>
      </c>
      <c r="K2391" s="4" t="str">
        <f>IFERROR(__xludf.DUMMYFUNCTION("""COMPUTED_VALUE"""),"")</f>
        <v/>
      </c>
      <c r="L2391" s="4">
        <f>IFERROR(__xludf.DUMMYFUNCTION("""COMPUTED_VALUE"""),45949.29182448436)</f>
        <v>45949.29182</v>
      </c>
      <c r="M2391" s="1" t="str">
        <f>IFERROR(__xludf.DUMMYFUNCTION("""COMPUTED_VALUE"""),"RFID")</f>
        <v>RFID</v>
      </c>
      <c r="N2391" s="5">
        <f>IFERROR(__xludf.DUMMYFUNCTION("""COMPUTED_VALUE"""),0.008705282407407406)</f>
        <v>0.008705282407</v>
      </c>
      <c r="O2391" s="5" t="str">
        <f>IFERROR(__xludf.DUMMYFUNCTION("""COMPUTED_VALUE"""),"")</f>
        <v/>
      </c>
      <c r="P2391" s="5" t="str">
        <f>IFERROR(__xludf.DUMMYFUNCTION("""COMPUTED_VALUE"""),"")</f>
        <v/>
      </c>
      <c r="Q2391" s="5">
        <f>IFERROR(__xludf.DUMMYFUNCTION("""COMPUTED_VALUE"""),0.0073760833333333334)</f>
        <v>0.007376083333</v>
      </c>
      <c r="R2391" s="4">
        <f>IFERROR(__xludf.DUMMYFUNCTION("""COMPUTED_VALUE"""),45949.03688042186)</f>
        <v>45949.03688</v>
      </c>
      <c r="S2391" s="1" t="b">
        <f>IFERROR(__xludf.DUMMYFUNCTION("""COMPUTED_VALUE"""),TRUE)</f>
        <v>1</v>
      </c>
      <c r="T2391" s="1" t="b">
        <f>IFERROR(__xludf.DUMMYFUNCTION("""COMPUTED_VALUE"""),FALSE)</f>
        <v>0</v>
      </c>
      <c r="U2391" s="1" t="str">
        <f>IFERROR(__xludf.DUMMYFUNCTION("""COMPUTED_VALUE"""),"VALID")</f>
        <v>VALID</v>
      </c>
      <c r="V2391" s="1">
        <f>IFERROR(__xludf.DUMMYFUNCTION("""COMPUTED_VALUE"""),624.0)</f>
        <v>624</v>
      </c>
      <c r="W2391" s="1">
        <f>IFERROR(__xludf.DUMMYFUNCTION("""COMPUTED_VALUE"""),1023.0)</f>
        <v>1023</v>
      </c>
      <c r="X2391" s="1">
        <f>IFERROR(__xludf.DUMMYFUNCTION("""COMPUTED_VALUE"""),823.0)</f>
        <v>823</v>
      </c>
      <c r="Y2391" s="2"/>
      <c r="Z2391" s="2"/>
    </row>
    <row r="2392">
      <c r="A2392" s="1">
        <f>IFERROR(__xludf.DUMMYFUNCTION("""COMPUTED_VALUE"""),2391.0)</f>
        <v>2391</v>
      </c>
      <c r="B2392" s="1">
        <f>IFERROR(__xludf.DUMMYFUNCTION("""COMPUTED_VALUE"""),6186.0)</f>
        <v>6186</v>
      </c>
      <c r="C2392" s="2" t="str">
        <f>IFERROR(__xludf.DUMMYFUNCTION("""COMPUTED_VALUE"""),"Mufid")</f>
        <v>Mufid</v>
      </c>
      <c r="D2392" s="2" t="str">
        <f>IFERROR(__xludf.DUMMYFUNCTION("""COMPUTED_VALUE"""),"5KM OVERALL M")</f>
        <v>5KM OVERALL M</v>
      </c>
      <c r="E2392" s="1">
        <f>IFERROR(__xludf.DUMMYFUNCTION("""COMPUTED_VALUE"""),2.0)</f>
        <v>2</v>
      </c>
      <c r="F2392" s="1" t="str">
        <f>IFERROR(__xludf.DUMMYFUNCTION("""COMPUTED_VALUE"""),"Male")</f>
        <v>Male</v>
      </c>
      <c r="G2392" s="4" t="str">
        <f>IFERROR(__xludf.DUMMYFUNCTION("""COMPUTED_VALUE"""),"")</f>
        <v/>
      </c>
      <c r="H2392" s="4" t="b">
        <f>IFERROR(__xludf.DUMMYFUNCTION("""COMPUTED_VALUE"""),FALSE)</f>
        <v>0</v>
      </c>
      <c r="I2392" s="4">
        <f>IFERROR(__xludf.DUMMYFUNCTION("""COMPUTED_VALUE"""),0.2549440625)</f>
        <v>0.2549440625</v>
      </c>
      <c r="J2392" s="4" t="str">
        <f>IFERROR(__xludf.DUMMYFUNCTION("""COMPUTED_VALUE"""),"")</f>
        <v/>
      </c>
      <c r="K2392" s="4" t="str">
        <f>IFERROR(__xludf.DUMMYFUNCTION("""COMPUTED_VALUE"""),"")</f>
        <v/>
      </c>
      <c r="L2392" s="4" t="str">
        <f>IFERROR(__xludf.DUMMYFUNCTION("""COMPUTED_VALUE"""),"")</f>
        <v/>
      </c>
      <c r="M2392" s="1" t="str">
        <f>IFERROR(__xludf.DUMMYFUNCTION("""COMPUTED_VALUE"""),"RFID")</f>
        <v>RFID</v>
      </c>
      <c r="N2392" s="5" t="str">
        <f>IFERROR(__xludf.DUMMYFUNCTION("""COMPUTED_VALUE"""),"")</f>
        <v/>
      </c>
      <c r="O2392" s="5" t="str">
        <f>IFERROR(__xludf.DUMMYFUNCTION("""COMPUTED_VALUE"""),"")</f>
        <v/>
      </c>
      <c r="P2392" s="5" t="str">
        <f>IFERROR(__xludf.DUMMYFUNCTION("""COMPUTED_VALUE"""),"")</f>
        <v/>
      </c>
      <c r="Q2392" s="5" t="str">
        <f>IFERROR(__xludf.DUMMYFUNCTION("""COMPUTED_VALUE"""),"")</f>
        <v/>
      </c>
      <c r="R2392" s="4" t="str">
        <f>IFERROR(__xludf.DUMMYFUNCTION("""COMPUTED_VALUE"""),"")</f>
        <v/>
      </c>
      <c r="S2392" s="1" t="b">
        <f>IFERROR(__xludf.DUMMYFUNCTION("""COMPUTED_VALUE"""),FALSE)</f>
        <v>0</v>
      </c>
      <c r="T2392" s="1" t="b">
        <f>IFERROR(__xludf.DUMMYFUNCTION("""COMPUTED_VALUE"""),FALSE)</f>
        <v>0</v>
      </c>
      <c r="U2392" s="1" t="str">
        <f>IFERROR(__xludf.DUMMYFUNCTION("""COMPUTED_VALUE"""),"DSQ")</f>
        <v>DSQ</v>
      </c>
      <c r="V2392" s="1" t="str">
        <f>IFERROR(__xludf.DUMMYFUNCTION("""COMPUTED_VALUE"""),"DSQ")</f>
        <v>DSQ</v>
      </c>
      <c r="W2392" s="1" t="str">
        <f>IFERROR(__xludf.DUMMYFUNCTION("""COMPUTED_VALUE"""),"DSQ")</f>
        <v>DSQ</v>
      </c>
      <c r="X2392" s="1" t="str">
        <f>IFERROR(__xludf.DUMMYFUNCTION("""COMPUTED_VALUE"""),"DSQ")</f>
        <v>DSQ</v>
      </c>
      <c r="Y2392" s="2"/>
      <c r="Z2392" s="2" t="str">
        <f>IFERROR(__xludf.DUMMYFUNCTION("""COMPUTED_VALUE"""),"")</f>
        <v/>
      </c>
    </row>
    <row r="2393">
      <c r="A2393" s="1">
        <f>IFERROR(__xludf.DUMMYFUNCTION("""COMPUTED_VALUE"""),2392.0)</f>
        <v>2392</v>
      </c>
      <c r="B2393" s="1">
        <f>IFERROR(__xludf.DUMMYFUNCTION("""COMPUTED_VALUE"""),6188.0)</f>
        <v>6188</v>
      </c>
      <c r="C2393" s="2" t="str">
        <f>IFERROR(__xludf.DUMMYFUNCTION("""COMPUTED_VALUE"""),"DYDA")</f>
        <v>DYDA</v>
      </c>
      <c r="D2393" s="2" t="str">
        <f>IFERROR(__xludf.DUMMYFUNCTION("""COMPUTED_VALUE"""),"5KM OVERALL M")</f>
        <v>5KM OVERALL M</v>
      </c>
      <c r="E2393" s="1">
        <f>IFERROR(__xludf.DUMMYFUNCTION("""COMPUTED_VALUE"""),2.0)</f>
        <v>2</v>
      </c>
      <c r="F2393" s="1" t="str">
        <f>IFERROR(__xludf.DUMMYFUNCTION("""COMPUTED_VALUE"""),"Male")</f>
        <v>Male</v>
      </c>
      <c r="G2393" s="4" t="str">
        <f>IFERROR(__xludf.DUMMYFUNCTION("""COMPUTED_VALUE"""),"")</f>
        <v/>
      </c>
      <c r="H2393" s="4" t="b">
        <f>IFERROR(__xludf.DUMMYFUNCTION("""COMPUTED_VALUE"""),FALSE)</f>
        <v>0</v>
      </c>
      <c r="I2393" s="4">
        <f>IFERROR(__xludf.DUMMYFUNCTION("""COMPUTED_VALUE"""),0.2549440625)</f>
        <v>0.2549440625</v>
      </c>
      <c r="J2393" s="4" t="str">
        <f>IFERROR(__xludf.DUMMYFUNCTION("""COMPUTED_VALUE"""),"")</f>
        <v/>
      </c>
      <c r="K2393" s="4" t="str">
        <f>IFERROR(__xludf.DUMMYFUNCTION("""COMPUTED_VALUE"""),"")</f>
        <v/>
      </c>
      <c r="L2393" s="4" t="str">
        <f>IFERROR(__xludf.DUMMYFUNCTION("""COMPUTED_VALUE"""),"")</f>
        <v/>
      </c>
      <c r="M2393" s="1" t="str">
        <f>IFERROR(__xludf.DUMMYFUNCTION("""COMPUTED_VALUE"""),"RFID")</f>
        <v>RFID</v>
      </c>
      <c r="N2393" s="5" t="str">
        <f>IFERROR(__xludf.DUMMYFUNCTION("""COMPUTED_VALUE"""),"")</f>
        <v/>
      </c>
      <c r="O2393" s="5" t="str">
        <f>IFERROR(__xludf.DUMMYFUNCTION("""COMPUTED_VALUE"""),"")</f>
        <v/>
      </c>
      <c r="P2393" s="5" t="str">
        <f>IFERROR(__xludf.DUMMYFUNCTION("""COMPUTED_VALUE"""),"")</f>
        <v/>
      </c>
      <c r="Q2393" s="5" t="str">
        <f>IFERROR(__xludf.DUMMYFUNCTION("""COMPUTED_VALUE"""),"")</f>
        <v/>
      </c>
      <c r="R2393" s="4" t="str">
        <f>IFERROR(__xludf.DUMMYFUNCTION("""COMPUTED_VALUE"""),"")</f>
        <v/>
      </c>
      <c r="S2393" s="1" t="b">
        <f>IFERROR(__xludf.DUMMYFUNCTION("""COMPUTED_VALUE"""),FALSE)</f>
        <v>0</v>
      </c>
      <c r="T2393" s="1" t="b">
        <f>IFERROR(__xludf.DUMMYFUNCTION("""COMPUTED_VALUE"""),FALSE)</f>
        <v>0</v>
      </c>
      <c r="U2393" s="1" t="str">
        <f>IFERROR(__xludf.DUMMYFUNCTION("""COMPUTED_VALUE"""),"DSQ")</f>
        <v>DSQ</v>
      </c>
      <c r="V2393" s="1" t="str">
        <f>IFERROR(__xludf.DUMMYFUNCTION("""COMPUTED_VALUE"""),"DSQ")</f>
        <v>DSQ</v>
      </c>
      <c r="W2393" s="1" t="str">
        <f>IFERROR(__xludf.DUMMYFUNCTION("""COMPUTED_VALUE"""),"DSQ")</f>
        <v>DSQ</v>
      </c>
      <c r="X2393" s="1" t="str">
        <f>IFERROR(__xludf.DUMMYFUNCTION("""COMPUTED_VALUE"""),"DSQ")</f>
        <v>DSQ</v>
      </c>
      <c r="Y2393" s="2"/>
      <c r="Z2393" s="2" t="str">
        <f>IFERROR(__xludf.DUMMYFUNCTION("""COMPUTED_VALUE"""),"")</f>
        <v/>
      </c>
    </row>
    <row r="2394">
      <c r="A2394" s="1">
        <f>IFERROR(__xludf.DUMMYFUNCTION("""COMPUTED_VALUE"""),2393.0)</f>
        <v>2393</v>
      </c>
      <c r="B2394" s="1">
        <f>IFERROR(__xludf.DUMMYFUNCTION("""COMPUTED_VALUE"""),6189.0)</f>
        <v>6189</v>
      </c>
      <c r="C2394" s="2" t="str">
        <f>IFERROR(__xludf.DUMMYFUNCTION("""COMPUTED_VALUE"""),"mas uden")</f>
        <v>mas uden</v>
      </c>
      <c r="D2394" s="2" t="str">
        <f>IFERROR(__xludf.DUMMYFUNCTION("""COMPUTED_VALUE"""),"5KM OVERALL M")</f>
        <v>5KM OVERALL M</v>
      </c>
      <c r="E2394" s="1">
        <f>IFERROR(__xludf.DUMMYFUNCTION("""COMPUTED_VALUE"""),2.0)</f>
        <v>2</v>
      </c>
      <c r="F2394" s="1" t="str">
        <f>IFERROR(__xludf.DUMMYFUNCTION("""COMPUTED_VALUE"""),"Male")</f>
        <v>Male</v>
      </c>
      <c r="G2394" s="4" t="b">
        <f>IFERROR(__xludf.DUMMYFUNCTION("""COMPUTED_VALUE"""),TRUE)</f>
        <v>1</v>
      </c>
      <c r="H2394" s="4" t="b">
        <f>IFERROR(__xludf.DUMMYFUNCTION("""COMPUTED_VALUE"""),FALSE)</f>
        <v>0</v>
      </c>
      <c r="I2394" s="4">
        <f>IFERROR(__xludf.DUMMYFUNCTION("""COMPUTED_VALUE"""),0.2549440625)</f>
        <v>0.2549440625</v>
      </c>
      <c r="J2394" s="4">
        <f>IFERROR(__xludf.DUMMYFUNCTION("""COMPUTED_VALUE"""),45949.27399897404)</f>
        <v>45949.274</v>
      </c>
      <c r="K2394" s="4" t="str">
        <f>IFERROR(__xludf.DUMMYFUNCTION("""COMPUTED_VALUE"""),"")</f>
        <v/>
      </c>
      <c r="L2394" s="4">
        <f>IFERROR(__xludf.DUMMYFUNCTION("""COMPUTED_VALUE"""),45949.28891471757)</f>
        <v>45949.28891</v>
      </c>
      <c r="M2394" s="1" t="str">
        <f>IFERROR(__xludf.DUMMYFUNCTION("""COMPUTED_VALUE"""),"RFID")</f>
        <v>RFID</v>
      </c>
      <c r="N2394" s="5">
        <f>IFERROR(__xludf.DUMMYFUNCTION("""COMPUTED_VALUE"""),0.007621962962962964)</f>
        <v>0.007621962963</v>
      </c>
      <c r="O2394" s="5" t="str">
        <f>IFERROR(__xludf.DUMMYFUNCTION("""COMPUTED_VALUE"""),"")</f>
        <v/>
      </c>
      <c r="P2394" s="5" t="str">
        <f>IFERROR(__xludf.DUMMYFUNCTION("""COMPUTED_VALUE"""),"")</f>
        <v/>
      </c>
      <c r="Q2394" s="5">
        <f>IFERROR(__xludf.DUMMYFUNCTION("""COMPUTED_VALUE"""),0.006794131944444444)</f>
        <v>0.006794131944</v>
      </c>
      <c r="R2394" s="4">
        <f>IFERROR(__xludf.DUMMYFUNCTION("""COMPUTED_VALUE"""),45949.033970655066)</f>
        <v>45949.03397</v>
      </c>
      <c r="S2394" s="1" t="b">
        <f>IFERROR(__xludf.DUMMYFUNCTION("""COMPUTED_VALUE"""),TRUE)</f>
        <v>1</v>
      </c>
      <c r="T2394" s="1" t="b">
        <f>IFERROR(__xludf.DUMMYFUNCTION("""COMPUTED_VALUE"""),FALSE)</f>
        <v>0</v>
      </c>
      <c r="U2394" s="1" t="str">
        <f>IFERROR(__xludf.DUMMYFUNCTION("""COMPUTED_VALUE"""),"VALID")</f>
        <v>VALID</v>
      </c>
      <c r="V2394" s="1">
        <f>IFERROR(__xludf.DUMMYFUNCTION("""COMPUTED_VALUE"""),535.0)</f>
        <v>535</v>
      </c>
      <c r="W2394" s="1">
        <f>IFERROR(__xludf.DUMMYFUNCTION("""COMPUTED_VALUE"""),841.0)</f>
        <v>841</v>
      </c>
      <c r="X2394" s="1">
        <f>IFERROR(__xludf.DUMMYFUNCTION("""COMPUTED_VALUE"""),688.0)</f>
        <v>688</v>
      </c>
      <c r="Y2394" s="2"/>
      <c r="Z2394" s="2"/>
    </row>
    <row r="2395">
      <c r="A2395" s="1">
        <f>IFERROR(__xludf.DUMMYFUNCTION("""COMPUTED_VALUE"""),2394.0)</f>
        <v>2394</v>
      </c>
      <c r="B2395" s="1">
        <f>IFERROR(__xludf.DUMMYFUNCTION("""COMPUTED_VALUE"""),6190.0)</f>
        <v>6190</v>
      </c>
      <c r="C2395" s="2" t="str">
        <f>IFERROR(__xludf.DUMMYFUNCTION("""COMPUTED_VALUE"""),"suharji")</f>
        <v>suharji</v>
      </c>
      <c r="D2395" s="2" t="str">
        <f>IFERROR(__xludf.DUMMYFUNCTION("""COMPUTED_VALUE"""),"5KM OVERALL M")</f>
        <v>5KM OVERALL M</v>
      </c>
      <c r="E2395" s="1">
        <f>IFERROR(__xludf.DUMMYFUNCTION("""COMPUTED_VALUE"""),2.0)</f>
        <v>2</v>
      </c>
      <c r="F2395" s="1" t="str">
        <f>IFERROR(__xludf.DUMMYFUNCTION("""COMPUTED_VALUE"""),"Male")</f>
        <v>Male</v>
      </c>
      <c r="G2395" s="4" t="b">
        <f>IFERROR(__xludf.DUMMYFUNCTION("""COMPUTED_VALUE"""),TRUE)</f>
        <v>1</v>
      </c>
      <c r="H2395" s="4" t="b">
        <f>IFERROR(__xludf.DUMMYFUNCTION("""COMPUTED_VALUE"""),TRUE)</f>
        <v>1</v>
      </c>
      <c r="I2395" s="4">
        <f>IFERROR(__xludf.DUMMYFUNCTION("""COMPUTED_VALUE"""),0.2549440625)</f>
        <v>0.2549440625</v>
      </c>
      <c r="J2395" s="4">
        <f>IFERROR(__xludf.DUMMYFUNCTION("""COMPUTED_VALUE"""),45949.2686032536)</f>
        <v>45949.2686</v>
      </c>
      <c r="K2395" s="4" t="str">
        <f>IFERROR(__xludf.DUMMYFUNCTION("""COMPUTED_VALUE"""),"")</f>
        <v/>
      </c>
      <c r="L2395" s="4">
        <f>IFERROR(__xludf.DUMMYFUNCTION("""COMPUTED_VALUE"""),45949.27957159772)</f>
        <v>45949.27957</v>
      </c>
      <c r="M2395" s="1" t="str">
        <f>IFERROR(__xludf.DUMMYFUNCTION("""COMPUTED_VALUE"""),"RFID")</f>
        <v>RFID</v>
      </c>
      <c r="N2395" s="5">
        <f>IFERROR(__xludf.DUMMYFUNCTION("""COMPUTED_VALUE"""),0.005463675925925926)</f>
        <v>0.005463675926</v>
      </c>
      <c r="O2395" s="5" t="str">
        <f>IFERROR(__xludf.DUMMYFUNCTION("""COMPUTED_VALUE"""),"")</f>
        <v/>
      </c>
      <c r="P2395" s="5" t="str">
        <f>IFERROR(__xludf.DUMMYFUNCTION("""COMPUTED_VALUE"""),"")</f>
        <v/>
      </c>
      <c r="Q2395" s="5">
        <f>IFERROR(__xludf.DUMMYFUNCTION("""COMPUTED_VALUE"""),0.004925506944444444)</f>
        <v>0.004925506944</v>
      </c>
      <c r="R2395" s="4">
        <f>IFERROR(__xludf.DUMMYFUNCTION("""COMPUTED_VALUE"""),45949.02462753522)</f>
        <v>45949.02463</v>
      </c>
      <c r="S2395" s="1" t="b">
        <f>IFERROR(__xludf.DUMMYFUNCTION("""COMPUTED_VALUE"""),TRUE)</f>
        <v>1</v>
      </c>
      <c r="T2395" s="1" t="b">
        <f>IFERROR(__xludf.DUMMYFUNCTION("""COMPUTED_VALUE"""),FALSE)</f>
        <v>0</v>
      </c>
      <c r="U2395" s="1" t="str">
        <f>IFERROR(__xludf.DUMMYFUNCTION("""COMPUTED_VALUE"""),"VALID")</f>
        <v>VALID</v>
      </c>
      <c r="V2395" s="1">
        <f>IFERROR(__xludf.DUMMYFUNCTION("""COMPUTED_VALUE"""),174.0)</f>
        <v>174</v>
      </c>
      <c r="W2395" s="1">
        <f>IFERROR(__xludf.DUMMYFUNCTION("""COMPUTED_VALUE"""),268.0)</f>
        <v>268</v>
      </c>
      <c r="X2395" s="1">
        <f>IFERROR(__xludf.DUMMYFUNCTION("""COMPUTED_VALUE"""),235.0)</f>
        <v>235</v>
      </c>
      <c r="Y2395" s="2"/>
      <c r="Z2395" s="2"/>
    </row>
    <row r="2396">
      <c r="A2396" s="1">
        <f>IFERROR(__xludf.DUMMYFUNCTION("""COMPUTED_VALUE"""),2395.0)</f>
        <v>2395</v>
      </c>
      <c r="B2396" s="1">
        <f>IFERROR(__xludf.DUMMYFUNCTION("""COMPUTED_VALUE"""),6191.0)</f>
        <v>6191</v>
      </c>
      <c r="C2396" s="2" t="str">
        <f>IFERROR(__xludf.DUMMYFUNCTION("""COMPUTED_VALUE"""),"Muhammad Seman")</f>
        <v>Muhammad Seman</v>
      </c>
      <c r="D2396" s="2" t="str">
        <f>IFERROR(__xludf.DUMMYFUNCTION("""COMPUTED_VALUE"""),"5KM OVERALL M")</f>
        <v>5KM OVERALL M</v>
      </c>
      <c r="E2396" s="1">
        <f>IFERROR(__xludf.DUMMYFUNCTION("""COMPUTED_VALUE"""),2.0)</f>
        <v>2</v>
      </c>
      <c r="F2396" s="1" t="str">
        <f>IFERROR(__xludf.DUMMYFUNCTION("""COMPUTED_VALUE"""),"Male")</f>
        <v>Male</v>
      </c>
      <c r="G2396" s="4" t="b">
        <f>IFERROR(__xludf.DUMMYFUNCTION("""COMPUTED_VALUE"""),TRUE)</f>
        <v>1</v>
      </c>
      <c r="H2396" s="4" t="b">
        <f>IFERROR(__xludf.DUMMYFUNCTION("""COMPUTED_VALUE"""),TRUE)</f>
        <v>1</v>
      </c>
      <c r="I2396" s="4">
        <f>IFERROR(__xludf.DUMMYFUNCTION("""COMPUTED_VALUE"""),0.2549440625)</f>
        <v>0.2549440625</v>
      </c>
      <c r="J2396" s="4">
        <f>IFERROR(__xludf.DUMMYFUNCTION("""COMPUTED_VALUE"""),45949.26303710561)</f>
        <v>45949.26304</v>
      </c>
      <c r="K2396" s="4" t="str">
        <f>IFERROR(__xludf.DUMMYFUNCTION("""COMPUTED_VALUE"""),"")</f>
        <v/>
      </c>
      <c r="L2396" s="4">
        <f>IFERROR(__xludf.DUMMYFUNCTION("""COMPUTED_VALUE"""),45949.26946684089)</f>
        <v>45949.26947</v>
      </c>
      <c r="M2396" s="1" t="str">
        <f>IFERROR(__xludf.DUMMYFUNCTION("""COMPUTED_VALUE"""),"RFID")</f>
        <v>RFID</v>
      </c>
      <c r="N2396" s="5">
        <f>IFERROR(__xludf.DUMMYFUNCTION("""COMPUTED_VALUE"""),0.0032372175925925928)</f>
        <v>0.003237217593</v>
      </c>
      <c r="O2396" s="5" t="str">
        <f>IFERROR(__xludf.DUMMYFUNCTION("""COMPUTED_VALUE"""),"")</f>
        <v/>
      </c>
      <c r="P2396" s="5" t="str">
        <f>IFERROR(__xludf.DUMMYFUNCTION("""COMPUTED_VALUE"""),"")</f>
        <v/>
      </c>
      <c r="Q2396" s="5">
        <f>IFERROR(__xludf.DUMMYFUNCTION("""COMPUTED_VALUE"""),0.0029045555555555556)</f>
        <v>0.002904555556</v>
      </c>
      <c r="R2396" s="4">
        <f>IFERROR(__xludf.DUMMYFUNCTION("""COMPUTED_VALUE"""),45949.01452277839)</f>
        <v>45949.01452</v>
      </c>
      <c r="S2396" s="1" t="b">
        <f>IFERROR(__xludf.DUMMYFUNCTION("""COMPUTED_VALUE"""),TRUE)</f>
        <v>1</v>
      </c>
      <c r="T2396" s="1" t="b">
        <f>IFERROR(__xludf.DUMMYFUNCTION("""COMPUTED_VALUE"""),FALSE)</f>
        <v>0</v>
      </c>
      <c r="U2396" s="1" t="str">
        <f>IFERROR(__xludf.DUMMYFUNCTION("""COMPUTED_VALUE"""),"VALID")</f>
        <v>VALID</v>
      </c>
      <c r="V2396" s="1">
        <f>IFERROR(__xludf.DUMMYFUNCTION("""COMPUTED_VALUE"""),9.0)</f>
        <v>9</v>
      </c>
      <c r="W2396" s="1">
        <f>IFERROR(__xludf.DUMMYFUNCTION("""COMPUTED_VALUE"""),10.0)</f>
        <v>10</v>
      </c>
      <c r="X2396" s="1">
        <f>IFERROR(__xludf.DUMMYFUNCTION("""COMPUTED_VALUE"""),10.0)</f>
        <v>10</v>
      </c>
      <c r="Y2396" s="2"/>
      <c r="Z2396" s="2"/>
    </row>
    <row r="2397">
      <c r="A2397" s="1">
        <f>IFERROR(__xludf.DUMMYFUNCTION("""COMPUTED_VALUE"""),2396.0)</f>
        <v>2396</v>
      </c>
      <c r="B2397" s="1">
        <f>IFERROR(__xludf.DUMMYFUNCTION("""COMPUTED_VALUE"""),6192.0)</f>
        <v>6192</v>
      </c>
      <c r="C2397" s="2" t="str">
        <f>IFERROR(__xludf.DUMMYFUNCTION("""COMPUTED_VALUE"""),"IFNU AL FIRDAUS")</f>
        <v>IFNU AL FIRDAUS</v>
      </c>
      <c r="D2397" s="2" t="str">
        <f>IFERROR(__xludf.DUMMYFUNCTION("""COMPUTED_VALUE"""),"5KM OVERALL M")</f>
        <v>5KM OVERALL M</v>
      </c>
      <c r="E2397" s="1">
        <f>IFERROR(__xludf.DUMMYFUNCTION("""COMPUTED_VALUE"""),2.0)</f>
        <v>2</v>
      </c>
      <c r="F2397" s="1" t="str">
        <f>IFERROR(__xludf.DUMMYFUNCTION("""COMPUTED_VALUE"""),"Male")</f>
        <v>Male</v>
      </c>
      <c r="G2397" s="4" t="b">
        <f>IFERROR(__xludf.DUMMYFUNCTION("""COMPUTED_VALUE"""),TRUE)</f>
        <v>1</v>
      </c>
      <c r="H2397" s="4" t="b">
        <f>IFERROR(__xludf.DUMMYFUNCTION("""COMPUTED_VALUE"""),TRUE)</f>
        <v>1</v>
      </c>
      <c r="I2397" s="4">
        <f>IFERROR(__xludf.DUMMYFUNCTION("""COMPUTED_VALUE"""),0.2549440625)</f>
        <v>0.2549440625</v>
      </c>
      <c r="J2397" s="4">
        <f>IFERROR(__xludf.DUMMYFUNCTION("""COMPUTED_VALUE"""),45949.27652420247)</f>
        <v>45949.27652</v>
      </c>
      <c r="K2397" s="4" t="str">
        <f>IFERROR(__xludf.DUMMYFUNCTION("""COMPUTED_VALUE"""),"")</f>
        <v/>
      </c>
      <c r="L2397" s="4">
        <f>IFERROR(__xludf.DUMMYFUNCTION("""COMPUTED_VALUE"""),45949.29147726446)</f>
        <v>45949.29148</v>
      </c>
      <c r="M2397" s="1" t="str">
        <f>IFERROR(__xludf.DUMMYFUNCTION("""COMPUTED_VALUE"""),"RFID")</f>
        <v>RFID</v>
      </c>
      <c r="N2397" s="5">
        <f>IFERROR(__xludf.DUMMYFUNCTION("""COMPUTED_VALUE"""),0.008632055555555556)</f>
        <v>0.008632055556</v>
      </c>
      <c r="O2397" s="5" t="str">
        <f>IFERROR(__xludf.DUMMYFUNCTION("""COMPUTED_VALUE"""),"")</f>
        <v/>
      </c>
      <c r="P2397" s="5" t="str">
        <f>IFERROR(__xludf.DUMMYFUNCTION("""COMPUTED_VALUE"""),"")</f>
        <v/>
      </c>
      <c r="Q2397" s="5">
        <f>IFERROR(__xludf.DUMMYFUNCTION("""COMPUTED_VALUE"""),0.007306641203703704)</f>
        <v>0.007306641204</v>
      </c>
      <c r="R2397" s="4">
        <f>IFERROR(__xludf.DUMMYFUNCTION("""COMPUTED_VALUE"""),45949.03653320196)</f>
        <v>45949.03653</v>
      </c>
      <c r="S2397" s="1" t="b">
        <f>IFERROR(__xludf.DUMMYFUNCTION("""COMPUTED_VALUE"""),TRUE)</f>
        <v>1</v>
      </c>
      <c r="T2397" s="1" t="b">
        <f>IFERROR(__xludf.DUMMYFUNCTION("""COMPUTED_VALUE"""),FALSE)</f>
        <v>0</v>
      </c>
      <c r="U2397" s="1" t="str">
        <f>IFERROR(__xludf.DUMMYFUNCTION("""COMPUTED_VALUE"""),"VALID")</f>
        <v>VALID</v>
      </c>
      <c r="V2397" s="1">
        <f>IFERROR(__xludf.DUMMYFUNCTION("""COMPUTED_VALUE"""),611.0)</f>
        <v>611</v>
      </c>
      <c r="W2397" s="1">
        <f>IFERROR(__xludf.DUMMYFUNCTION("""COMPUTED_VALUE"""),996.0)</f>
        <v>996</v>
      </c>
      <c r="X2397" s="1">
        <f>IFERROR(__xludf.DUMMYFUNCTION("""COMPUTED_VALUE"""),806.0)</f>
        <v>806</v>
      </c>
      <c r="Y2397" s="2"/>
      <c r="Z2397" s="2"/>
    </row>
    <row r="2398">
      <c r="A2398" s="1">
        <f>IFERROR(__xludf.DUMMYFUNCTION("""COMPUTED_VALUE"""),2397.0)</f>
        <v>2397</v>
      </c>
      <c r="B2398" s="1">
        <f>IFERROR(__xludf.DUMMYFUNCTION("""COMPUTED_VALUE"""),6193.0)</f>
        <v>6193</v>
      </c>
      <c r="C2398" s="2" t="str">
        <f>IFERROR(__xludf.DUMMYFUNCTION("""COMPUTED_VALUE"""),"Wahyu Ch")</f>
        <v>Wahyu Ch</v>
      </c>
      <c r="D2398" s="2" t="str">
        <f>IFERROR(__xludf.DUMMYFUNCTION("""COMPUTED_VALUE"""),"5KM OVERALL M")</f>
        <v>5KM OVERALL M</v>
      </c>
      <c r="E2398" s="1">
        <f>IFERROR(__xludf.DUMMYFUNCTION("""COMPUTED_VALUE"""),2.0)</f>
        <v>2</v>
      </c>
      <c r="F2398" s="1" t="str">
        <f>IFERROR(__xludf.DUMMYFUNCTION("""COMPUTED_VALUE"""),"Male")</f>
        <v>Male</v>
      </c>
      <c r="G2398" s="4" t="b">
        <f>IFERROR(__xludf.DUMMYFUNCTION("""COMPUTED_VALUE"""),TRUE)</f>
        <v>1</v>
      </c>
      <c r="H2398" s="4" t="b">
        <f>IFERROR(__xludf.DUMMYFUNCTION("""COMPUTED_VALUE"""),TRUE)</f>
        <v>1</v>
      </c>
      <c r="I2398" s="4">
        <f>IFERROR(__xludf.DUMMYFUNCTION("""COMPUTED_VALUE"""),0.2549440625)</f>
        <v>0.2549440625</v>
      </c>
      <c r="J2398" s="4">
        <f>IFERROR(__xludf.DUMMYFUNCTION("""COMPUTED_VALUE"""),45949.275294102394)</f>
        <v>45949.27529</v>
      </c>
      <c r="K2398" s="4" t="str">
        <f>IFERROR(__xludf.DUMMYFUNCTION("""COMPUTED_VALUE"""),"")</f>
        <v/>
      </c>
      <c r="L2398" s="4">
        <f>IFERROR(__xludf.DUMMYFUNCTION("""COMPUTED_VALUE"""),45949.28811269498)</f>
        <v>45949.28811</v>
      </c>
      <c r="M2398" s="1" t="str">
        <f>IFERROR(__xludf.DUMMYFUNCTION("""COMPUTED_VALUE"""),"RFID")</f>
        <v>RFID</v>
      </c>
      <c r="N2398" s="5">
        <f>IFERROR(__xludf.DUMMYFUNCTION("""COMPUTED_VALUE"""),0.00814001388888889)</f>
        <v>0.008140013889</v>
      </c>
      <c r="O2398" s="5" t="str">
        <f>IFERROR(__xludf.DUMMYFUNCTION("""COMPUTED_VALUE"""),"")</f>
        <v/>
      </c>
      <c r="P2398" s="5" t="str">
        <f>IFERROR(__xludf.DUMMYFUNCTION("""COMPUTED_VALUE"""),"")</f>
        <v/>
      </c>
      <c r="Q2398" s="5">
        <f>IFERROR(__xludf.DUMMYFUNCTION("""COMPUTED_VALUE"""),0.0066337268518518525)</f>
        <v>0.006633726852</v>
      </c>
      <c r="R2398" s="4">
        <f>IFERROR(__xludf.DUMMYFUNCTION("""COMPUTED_VALUE"""),45949.03316863248)</f>
        <v>45949.03317</v>
      </c>
      <c r="S2398" s="1" t="b">
        <f>IFERROR(__xludf.DUMMYFUNCTION("""COMPUTED_VALUE"""),TRUE)</f>
        <v>1</v>
      </c>
      <c r="T2398" s="1" t="b">
        <f>IFERROR(__xludf.DUMMYFUNCTION("""COMPUTED_VALUE"""),FALSE)</f>
        <v>0</v>
      </c>
      <c r="U2398" s="1" t="str">
        <f>IFERROR(__xludf.DUMMYFUNCTION("""COMPUTED_VALUE"""),"VALID")</f>
        <v>VALID</v>
      </c>
      <c r="V2398" s="1">
        <f>IFERROR(__xludf.DUMMYFUNCTION("""COMPUTED_VALUE"""),501.0)</f>
        <v>501</v>
      </c>
      <c r="W2398" s="1">
        <f>IFERROR(__xludf.DUMMYFUNCTION("""COMPUTED_VALUE"""),783.0)</f>
        <v>783</v>
      </c>
      <c r="X2398" s="1">
        <f>IFERROR(__xludf.DUMMYFUNCTION("""COMPUTED_VALUE"""),648.0)</f>
        <v>648</v>
      </c>
      <c r="Y2398" s="2"/>
      <c r="Z2398" s="2"/>
    </row>
    <row r="2399">
      <c r="A2399" s="1">
        <f>IFERROR(__xludf.DUMMYFUNCTION("""COMPUTED_VALUE"""),2398.0)</f>
        <v>2398</v>
      </c>
      <c r="B2399" s="1">
        <f>IFERROR(__xludf.DUMMYFUNCTION("""COMPUTED_VALUE"""),6194.0)</f>
        <v>6194</v>
      </c>
      <c r="C2399" s="2" t="str">
        <f>IFERROR(__xludf.DUMMYFUNCTION("""COMPUTED_VALUE"""),"nizar")</f>
        <v>nizar</v>
      </c>
      <c r="D2399" s="2" t="str">
        <f>IFERROR(__xludf.DUMMYFUNCTION("""COMPUTED_VALUE"""),"5KM OVERALL M")</f>
        <v>5KM OVERALL M</v>
      </c>
      <c r="E2399" s="1">
        <f>IFERROR(__xludf.DUMMYFUNCTION("""COMPUTED_VALUE"""),2.0)</f>
        <v>2</v>
      </c>
      <c r="F2399" s="1" t="str">
        <f>IFERROR(__xludf.DUMMYFUNCTION("""COMPUTED_VALUE"""),"Male")</f>
        <v>Male</v>
      </c>
      <c r="G2399" s="4" t="b">
        <f>IFERROR(__xludf.DUMMYFUNCTION("""COMPUTED_VALUE"""),TRUE)</f>
        <v>1</v>
      </c>
      <c r="H2399" s="4" t="b">
        <f>IFERROR(__xludf.DUMMYFUNCTION("""COMPUTED_VALUE"""),TRUE)</f>
        <v>1</v>
      </c>
      <c r="I2399" s="4">
        <f>IFERROR(__xludf.DUMMYFUNCTION("""COMPUTED_VALUE"""),0.2549440625)</f>
        <v>0.2549440625</v>
      </c>
      <c r="J2399" s="4">
        <f>IFERROR(__xludf.DUMMYFUNCTION("""COMPUTED_VALUE"""),45949.26905793483)</f>
        <v>45949.26906</v>
      </c>
      <c r="K2399" s="4" t="str">
        <f>IFERROR(__xludf.DUMMYFUNCTION("""COMPUTED_VALUE"""),"")</f>
        <v/>
      </c>
      <c r="L2399" s="4">
        <f>IFERROR(__xludf.DUMMYFUNCTION("""COMPUTED_VALUE"""),45949.27773763633)</f>
        <v>45949.27774</v>
      </c>
      <c r="M2399" s="1" t="str">
        <f>IFERROR(__xludf.DUMMYFUNCTION("""COMPUTED_VALUE"""),"RFID")</f>
        <v>RFID</v>
      </c>
      <c r="N2399" s="5">
        <f>IFERROR(__xludf.DUMMYFUNCTION("""COMPUTED_VALUE"""),0.005645550925925926)</f>
        <v>0.005645550926</v>
      </c>
      <c r="O2399" s="5" t="str">
        <f>IFERROR(__xludf.DUMMYFUNCTION("""COMPUTED_VALUE"""),"")</f>
        <v/>
      </c>
      <c r="P2399" s="5" t="str">
        <f>IFERROR(__xludf.DUMMYFUNCTION("""COMPUTED_VALUE"""),"")</f>
        <v/>
      </c>
      <c r="Q2399" s="5">
        <f>IFERROR(__xludf.DUMMYFUNCTION("""COMPUTED_VALUE"""),0.004558715277777778)</f>
        <v>0.004558715278</v>
      </c>
      <c r="R2399" s="4">
        <f>IFERROR(__xludf.DUMMYFUNCTION("""COMPUTED_VALUE"""),45949.02279357383)</f>
        <v>45949.02279</v>
      </c>
      <c r="S2399" s="1" t="b">
        <f>IFERROR(__xludf.DUMMYFUNCTION("""COMPUTED_VALUE"""),TRUE)</f>
        <v>1</v>
      </c>
      <c r="T2399" s="1" t="b">
        <f>IFERROR(__xludf.DUMMYFUNCTION("""COMPUTED_VALUE"""),FALSE)</f>
        <v>0</v>
      </c>
      <c r="U2399" s="1" t="str">
        <f>IFERROR(__xludf.DUMMYFUNCTION("""COMPUTED_VALUE"""),"VALID")</f>
        <v>VALID</v>
      </c>
      <c r="V2399" s="1">
        <f>IFERROR(__xludf.DUMMYFUNCTION("""COMPUTED_VALUE"""),130.0)</f>
        <v>130</v>
      </c>
      <c r="W2399" s="1">
        <f>IFERROR(__xludf.DUMMYFUNCTION("""COMPUTED_VALUE"""),202.0)</f>
        <v>202</v>
      </c>
      <c r="X2399" s="1">
        <f>IFERROR(__xludf.DUMMYFUNCTION("""COMPUTED_VALUE"""),176.0)</f>
        <v>176</v>
      </c>
      <c r="Y2399" s="2"/>
      <c r="Z2399" s="2"/>
    </row>
    <row r="2400">
      <c r="A2400" s="1">
        <f>IFERROR(__xludf.DUMMYFUNCTION("""COMPUTED_VALUE"""),2399.0)</f>
        <v>2399</v>
      </c>
      <c r="B2400" s="1">
        <f>IFERROR(__xludf.DUMMYFUNCTION("""COMPUTED_VALUE"""),6196.0)</f>
        <v>6196</v>
      </c>
      <c r="C2400" s="2" t="str">
        <f>IFERROR(__xludf.DUMMYFUNCTION("""COMPUTED_VALUE"""),"Arief Rahman")</f>
        <v>Arief Rahman</v>
      </c>
      <c r="D2400" s="2" t="str">
        <f>IFERROR(__xludf.DUMMYFUNCTION("""COMPUTED_VALUE"""),"5KM OVERALL M")</f>
        <v>5KM OVERALL M</v>
      </c>
      <c r="E2400" s="1">
        <f>IFERROR(__xludf.DUMMYFUNCTION("""COMPUTED_VALUE"""),2.0)</f>
        <v>2</v>
      </c>
      <c r="F2400" s="1" t="str">
        <f>IFERROR(__xludf.DUMMYFUNCTION("""COMPUTED_VALUE"""),"Male")</f>
        <v>Male</v>
      </c>
      <c r="G2400" s="4" t="b">
        <f>IFERROR(__xludf.DUMMYFUNCTION("""COMPUTED_VALUE"""),TRUE)</f>
        <v>1</v>
      </c>
      <c r="H2400" s="4" t="b">
        <f>IFERROR(__xludf.DUMMYFUNCTION("""COMPUTED_VALUE"""),TRUE)</f>
        <v>1</v>
      </c>
      <c r="I2400" s="4">
        <f>IFERROR(__xludf.DUMMYFUNCTION("""COMPUTED_VALUE"""),0.2549440625)</f>
        <v>0.2549440625</v>
      </c>
      <c r="J2400" s="4">
        <f>IFERROR(__xludf.DUMMYFUNCTION("""COMPUTED_VALUE"""),45949.28283230338)</f>
        <v>45949.28283</v>
      </c>
      <c r="K2400" s="4" t="str">
        <f>IFERROR(__xludf.DUMMYFUNCTION("""COMPUTED_VALUE"""),"")</f>
        <v/>
      </c>
      <c r="L2400" s="4">
        <f>IFERROR(__xludf.DUMMYFUNCTION("""COMPUTED_VALUE"""),45949.30314420951)</f>
        <v>45949.30314</v>
      </c>
      <c r="M2400" s="1" t="str">
        <f>IFERROR(__xludf.DUMMYFUNCTION("""COMPUTED_VALUE"""),"RFID")</f>
        <v>RFID</v>
      </c>
      <c r="N2400" s="5">
        <f>IFERROR(__xludf.DUMMYFUNCTION("""COMPUTED_VALUE"""),0.011155296296296295)</f>
        <v>0.0111552963</v>
      </c>
      <c r="O2400" s="5" t="str">
        <f>IFERROR(__xludf.DUMMYFUNCTION("""COMPUTED_VALUE"""),"")</f>
        <v/>
      </c>
      <c r="P2400" s="5" t="str">
        <f>IFERROR(__xludf.DUMMYFUNCTION("""COMPUTED_VALUE"""),"")</f>
        <v/>
      </c>
      <c r="Q2400" s="5">
        <f>IFERROR(__xludf.DUMMYFUNCTION("""COMPUTED_VALUE"""),0.009640030092592594)</f>
        <v>0.009640030093</v>
      </c>
      <c r="R2400" s="4">
        <f>IFERROR(__xludf.DUMMYFUNCTION("""COMPUTED_VALUE"""),45949.04820014701)</f>
        <v>45949.0482</v>
      </c>
      <c r="S2400" s="1" t="b">
        <f>IFERROR(__xludf.DUMMYFUNCTION("""COMPUTED_VALUE"""),TRUE)</f>
        <v>1</v>
      </c>
      <c r="T2400" s="1" t="b">
        <f>IFERROR(__xludf.DUMMYFUNCTION("""COMPUTED_VALUE"""),FALSE)</f>
        <v>0</v>
      </c>
      <c r="U2400" s="1" t="str">
        <f>IFERROR(__xludf.DUMMYFUNCTION("""COMPUTED_VALUE"""),"VALID")</f>
        <v>VALID</v>
      </c>
      <c r="V2400" s="1">
        <f>IFERROR(__xludf.DUMMYFUNCTION("""COMPUTED_VALUE"""),835.0)</f>
        <v>835</v>
      </c>
      <c r="W2400" s="1">
        <f>IFERROR(__xludf.DUMMYFUNCTION("""COMPUTED_VALUE"""),1556.0)</f>
        <v>1556</v>
      </c>
      <c r="X2400" s="1">
        <f>IFERROR(__xludf.DUMMYFUNCTION("""COMPUTED_VALUE"""),1318.0)</f>
        <v>1318</v>
      </c>
      <c r="Y2400" s="2"/>
      <c r="Z2400" s="2"/>
    </row>
    <row r="2401">
      <c r="A2401" s="1">
        <f>IFERROR(__xludf.DUMMYFUNCTION("""COMPUTED_VALUE"""),2400.0)</f>
        <v>2400</v>
      </c>
      <c r="B2401" s="1">
        <f>IFERROR(__xludf.DUMMYFUNCTION("""COMPUTED_VALUE"""),6197.0)</f>
        <v>6197</v>
      </c>
      <c r="C2401" s="2" t="str">
        <f>IFERROR(__xludf.DUMMYFUNCTION("""COMPUTED_VALUE"""),"Auliani")</f>
        <v>Auliani</v>
      </c>
      <c r="D2401" s="2" t="str">
        <f>IFERROR(__xludf.DUMMYFUNCTION("""COMPUTED_VALUE"""),"5KM OVERALL M")</f>
        <v>5KM OVERALL M</v>
      </c>
      <c r="E2401" s="1">
        <f>IFERROR(__xludf.DUMMYFUNCTION("""COMPUTED_VALUE"""),2.0)</f>
        <v>2</v>
      </c>
      <c r="F2401" s="1" t="str">
        <f>IFERROR(__xludf.DUMMYFUNCTION("""COMPUTED_VALUE"""),"Male")</f>
        <v>Male</v>
      </c>
      <c r="G2401" s="4" t="b">
        <f>IFERROR(__xludf.DUMMYFUNCTION("""COMPUTED_VALUE"""),TRUE)</f>
        <v>1</v>
      </c>
      <c r="H2401" s="4" t="b">
        <f>IFERROR(__xludf.DUMMYFUNCTION("""COMPUTED_VALUE"""),TRUE)</f>
        <v>1</v>
      </c>
      <c r="I2401" s="4">
        <f>IFERROR(__xludf.DUMMYFUNCTION("""COMPUTED_VALUE"""),0.2549440625)</f>
        <v>0.2549440625</v>
      </c>
      <c r="J2401" s="4">
        <f>IFERROR(__xludf.DUMMYFUNCTION("""COMPUTED_VALUE"""),45949.27024552253)</f>
        <v>45949.27025</v>
      </c>
      <c r="K2401" s="4" t="str">
        <f>IFERROR(__xludf.DUMMYFUNCTION("""COMPUTED_VALUE"""),"")</f>
        <v/>
      </c>
      <c r="L2401" s="4">
        <f>IFERROR(__xludf.DUMMYFUNCTION("""COMPUTED_VALUE"""),45949.28047407891)</f>
        <v>45949.28047</v>
      </c>
      <c r="M2401" s="1" t="str">
        <f>IFERROR(__xludf.DUMMYFUNCTION("""COMPUTED_VALUE"""),"RFID")</f>
        <v>RFID</v>
      </c>
      <c r="N2401" s="5">
        <f>IFERROR(__xludf.DUMMYFUNCTION("""COMPUTED_VALUE"""),0.006120583333333334)</f>
        <v>0.006120583333</v>
      </c>
      <c r="O2401" s="5" t="str">
        <f>IFERROR(__xludf.DUMMYFUNCTION("""COMPUTED_VALUE"""),"")</f>
        <v/>
      </c>
      <c r="P2401" s="5" t="str">
        <f>IFERROR(__xludf.DUMMYFUNCTION("""COMPUTED_VALUE"""),"")</f>
        <v/>
      </c>
      <c r="Q2401" s="5">
        <f>IFERROR(__xludf.DUMMYFUNCTION("""COMPUTED_VALUE"""),0.005106002314814815)</f>
        <v>0.005106002315</v>
      </c>
      <c r="R2401" s="4">
        <f>IFERROR(__xludf.DUMMYFUNCTION("""COMPUTED_VALUE"""),45949.025530016406)</f>
        <v>45949.02553</v>
      </c>
      <c r="S2401" s="1" t="b">
        <f>IFERROR(__xludf.DUMMYFUNCTION("""COMPUTED_VALUE"""),TRUE)</f>
        <v>1</v>
      </c>
      <c r="T2401" s="1" t="b">
        <f>IFERROR(__xludf.DUMMYFUNCTION("""COMPUTED_VALUE"""),FALSE)</f>
        <v>0</v>
      </c>
      <c r="U2401" s="1" t="str">
        <f>IFERROR(__xludf.DUMMYFUNCTION("""COMPUTED_VALUE"""),"VALID")</f>
        <v>VALID</v>
      </c>
      <c r="V2401" s="1">
        <f>IFERROR(__xludf.DUMMYFUNCTION("""COMPUTED_VALUE"""),203.0)</f>
        <v>203</v>
      </c>
      <c r="W2401" s="1">
        <f>IFERROR(__xludf.DUMMYFUNCTION("""COMPUTED_VALUE"""),316.0)</f>
        <v>316</v>
      </c>
      <c r="X2401" s="1">
        <f>IFERROR(__xludf.DUMMYFUNCTION("""COMPUTED_VALUE"""),277.0)</f>
        <v>277</v>
      </c>
      <c r="Y2401" s="2"/>
      <c r="Z2401" s="2"/>
    </row>
    <row r="2402">
      <c r="A2402" s="1">
        <f>IFERROR(__xludf.DUMMYFUNCTION("""COMPUTED_VALUE"""),2401.0)</f>
        <v>2401</v>
      </c>
      <c r="B2402" s="1">
        <f>IFERROR(__xludf.DUMMYFUNCTION("""COMPUTED_VALUE"""),6199.0)</f>
        <v>6199</v>
      </c>
      <c r="C2402" s="2" t="str">
        <f>IFERROR(__xludf.DUMMYFUNCTION("""COMPUTED_VALUE"""),"iqbal rizkyawan")</f>
        <v>iqbal rizkyawan</v>
      </c>
      <c r="D2402" s="2" t="str">
        <f>IFERROR(__xludf.DUMMYFUNCTION("""COMPUTED_VALUE"""),"5KM OVERALL M")</f>
        <v>5KM OVERALL M</v>
      </c>
      <c r="E2402" s="1">
        <f>IFERROR(__xludf.DUMMYFUNCTION("""COMPUTED_VALUE"""),2.0)</f>
        <v>2</v>
      </c>
      <c r="F2402" s="1" t="str">
        <f>IFERROR(__xludf.DUMMYFUNCTION("""COMPUTED_VALUE"""),"Male")</f>
        <v>Male</v>
      </c>
      <c r="G2402" s="4" t="b">
        <f>IFERROR(__xludf.DUMMYFUNCTION("""COMPUTED_VALUE"""),TRUE)</f>
        <v>1</v>
      </c>
      <c r="H2402" s="4" t="b">
        <f>IFERROR(__xludf.DUMMYFUNCTION("""COMPUTED_VALUE"""),TRUE)</f>
        <v>1</v>
      </c>
      <c r="I2402" s="4">
        <f>IFERROR(__xludf.DUMMYFUNCTION("""COMPUTED_VALUE"""),0.2549440625)</f>
        <v>0.2549440625</v>
      </c>
      <c r="J2402" s="4">
        <f>IFERROR(__xludf.DUMMYFUNCTION("""COMPUTED_VALUE"""),45949.273822816736)</f>
        <v>45949.27382</v>
      </c>
      <c r="K2402" s="4" t="str">
        <f>IFERROR(__xludf.DUMMYFUNCTION("""COMPUTED_VALUE"""),"")</f>
        <v/>
      </c>
      <c r="L2402" s="4">
        <f>IFERROR(__xludf.DUMMYFUNCTION("""COMPUTED_VALUE"""),45949.28797726424)</f>
        <v>45949.28798</v>
      </c>
      <c r="M2402" s="1" t="str">
        <f>IFERROR(__xludf.DUMMYFUNCTION("""COMPUTED_VALUE"""),"RFID")</f>
        <v>RFID</v>
      </c>
      <c r="N2402" s="5">
        <f>IFERROR(__xludf.DUMMYFUNCTION("""COMPUTED_VALUE"""),0.0075515)</f>
        <v>0.0075515</v>
      </c>
      <c r="O2402" s="5" t="str">
        <f>IFERROR(__xludf.DUMMYFUNCTION("""COMPUTED_VALUE"""),"")</f>
        <v/>
      </c>
      <c r="P2402" s="5" t="str">
        <f>IFERROR(__xludf.DUMMYFUNCTION("""COMPUTED_VALUE"""),"")</f>
        <v/>
      </c>
      <c r="Q2402" s="5">
        <f>IFERROR(__xludf.DUMMYFUNCTION("""COMPUTED_VALUE"""),0.006606641203703703)</f>
        <v>0.006606641204</v>
      </c>
      <c r="R2402" s="4">
        <f>IFERROR(__xludf.DUMMYFUNCTION("""COMPUTED_VALUE"""),45949.03303320174)</f>
        <v>45949.03303</v>
      </c>
      <c r="S2402" s="1" t="b">
        <f>IFERROR(__xludf.DUMMYFUNCTION("""COMPUTED_VALUE"""),TRUE)</f>
        <v>1</v>
      </c>
      <c r="T2402" s="1" t="b">
        <f>IFERROR(__xludf.DUMMYFUNCTION("""COMPUTED_VALUE"""),FALSE)</f>
        <v>0</v>
      </c>
      <c r="U2402" s="1" t="str">
        <f>IFERROR(__xludf.DUMMYFUNCTION("""COMPUTED_VALUE"""),"VALID")</f>
        <v>VALID</v>
      </c>
      <c r="V2402" s="1">
        <f>IFERROR(__xludf.DUMMYFUNCTION("""COMPUTED_VALUE"""),498.0)</f>
        <v>498</v>
      </c>
      <c r="W2402" s="1">
        <f>IFERROR(__xludf.DUMMYFUNCTION("""COMPUTED_VALUE"""),779.0)</f>
        <v>779</v>
      </c>
      <c r="X2402" s="1">
        <f>IFERROR(__xludf.DUMMYFUNCTION("""COMPUTED_VALUE"""),644.0)</f>
        <v>644</v>
      </c>
      <c r="Y2402" s="2"/>
      <c r="Z2402" s="2"/>
    </row>
    <row r="2403">
      <c r="A2403" s="1">
        <f>IFERROR(__xludf.DUMMYFUNCTION("""COMPUTED_VALUE"""),2402.0)</f>
        <v>2402</v>
      </c>
      <c r="B2403" s="1">
        <f>IFERROR(__xludf.DUMMYFUNCTION("""COMPUTED_VALUE"""),6201.0)</f>
        <v>6201</v>
      </c>
      <c r="C2403" s="2" t="str">
        <f>IFERROR(__xludf.DUMMYFUNCTION("""COMPUTED_VALUE"""),"Iskandar")</f>
        <v>Iskandar</v>
      </c>
      <c r="D2403" s="2" t="str">
        <f>IFERROR(__xludf.DUMMYFUNCTION("""COMPUTED_VALUE"""),"5KM OVERALL M")</f>
        <v>5KM OVERALL M</v>
      </c>
      <c r="E2403" s="1">
        <f>IFERROR(__xludf.DUMMYFUNCTION("""COMPUTED_VALUE"""),2.0)</f>
        <v>2</v>
      </c>
      <c r="F2403" s="1" t="str">
        <f>IFERROR(__xludf.DUMMYFUNCTION("""COMPUTED_VALUE"""),"Male")</f>
        <v>Male</v>
      </c>
      <c r="G2403" s="4" t="b">
        <f>IFERROR(__xludf.DUMMYFUNCTION("""COMPUTED_VALUE"""),TRUE)</f>
        <v>1</v>
      </c>
      <c r="H2403" s="4" t="b">
        <f>IFERROR(__xludf.DUMMYFUNCTION("""COMPUTED_VALUE"""),FALSE)</f>
        <v>0</v>
      </c>
      <c r="I2403" s="4">
        <f>IFERROR(__xludf.DUMMYFUNCTION("""COMPUTED_VALUE"""),0.2549440625)</f>
        <v>0.2549440625</v>
      </c>
      <c r="J2403" s="4">
        <f>IFERROR(__xludf.DUMMYFUNCTION("""COMPUTED_VALUE"""),45949.27358572601)</f>
        <v>45949.27359</v>
      </c>
      <c r="K2403" s="4" t="str">
        <f>IFERROR(__xludf.DUMMYFUNCTION("""COMPUTED_VALUE"""),"")</f>
        <v/>
      </c>
      <c r="L2403" s="4">
        <f>IFERROR(__xludf.DUMMYFUNCTION("""COMPUTED_VALUE"""),45949.287765453875)</f>
        <v>45949.28777</v>
      </c>
      <c r="M2403" s="1" t="str">
        <f>IFERROR(__xludf.DUMMYFUNCTION("""COMPUTED_VALUE"""),"RFID")</f>
        <v>RFID</v>
      </c>
      <c r="N2403" s="5">
        <f>IFERROR(__xludf.DUMMYFUNCTION("""COMPUTED_VALUE"""),0.007456666666666667)</f>
        <v>0.007456666667</v>
      </c>
      <c r="O2403" s="5" t="str">
        <f>IFERROR(__xludf.DUMMYFUNCTION("""COMPUTED_VALUE"""),"")</f>
        <v/>
      </c>
      <c r="P2403" s="5" t="str">
        <f>IFERROR(__xludf.DUMMYFUNCTION("""COMPUTED_VALUE"""),"")</f>
        <v/>
      </c>
      <c r="Q2403" s="5">
        <f>IFERROR(__xludf.DUMMYFUNCTION("""COMPUTED_VALUE"""),0.006564277777777777)</f>
        <v>0.006564277778</v>
      </c>
      <c r="R2403" s="4">
        <f>IFERROR(__xludf.DUMMYFUNCTION("""COMPUTED_VALUE"""),45949.032821391374)</f>
        <v>45949.03282</v>
      </c>
      <c r="S2403" s="1" t="b">
        <f>IFERROR(__xludf.DUMMYFUNCTION("""COMPUTED_VALUE"""),TRUE)</f>
        <v>1</v>
      </c>
      <c r="T2403" s="1" t="b">
        <f>IFERROR(__xludf.DUMMYFUNCTION("""COMPUTED_VALUE"""),FALSE)</f>
        <v>0</v>
      </c>
      <c r="U2403" s="1" t="str">
        <f>IFERROR(__xludf.DUMMYFUNCTION("""COMPUTED_VALUE"""),"VALID")</f>
        <v>VALID</v>
      </c>
      <c r="V2403" s="1">
        <f>IFERROR(__xludf.DUMMYFUNCTION("""COMPUTED_VALUE"""),486.0)</f>
        <v>486</v>
      </c>
      <c r="W2403" s="1">
        <f>IFERROR(__xludf.DUMMYFUNCTION("""COMPUTED_VALUE"""),758.0)</f>
        <v>758</v>
      </c>
      <c r="X2403" s="1">
        <f>IFERROR(__xludf.DUMMYFUNCTION("""COMPUTED_VALUE"""),629.0)</f>
        <v>629</v>
      </c>
      <c r="Y2403" s="2"/>
      <c r="Z2403" s="2"/>
    </row>
    <row r="2404">
      <c r="A2404" s="1">
        <f>IFERROR(__xludf.DUMMYFUNCTION("""COMPUTED_VALUE"""),2403.0)</f>
        <v>2403</v>
      </c>
      <c r="B2404" s="1">
        <f>IFERROR(__xludf.DUMMYFUNCTION("""COMPUTED_VALUE"""),6202.0)</f>
        <v>6202</v>
      </c>
      <c r="C2404" s="2" t="str">
        <f>IFERROR(__xludf.DUMMYFUNCTION("""COMPUTED_VALUE"""),"Nanang Shalokal")</f>
        <v>Nanang Shalokal</v>
      </c>
      <c r="D2404" s="2" t="str">
        <f>IFERROR(__xludf.DUMMYFUNCTION("""COMPUTED_VALUE"""),"5KM OVERALL M")</f>
        <v>5KM OVERALL M</v>
      </c>
      <c r="E2404" s="1">
        <f>IFERROR(__xludf.DUMMYFUNCTION("""COMPUTED_VALUE"""),2.0)</f>
        <v>2</v>
      </c>
      <c r="F2404" s="1" t="str">
        <f>IFERROR(__xludf.DUMMYFUNCTION("""COMPUTED_VALUE"""),"Male")</f>
        <v>Male</v>
      </c>
      <c r="G2404" s="4" t="str">
        <f>IFERROR(__xludf.DUMMYFUNCTION("""COMPUTED_VALUE"""),"")</f>
        <v/>
      </c>
      <c r="H2404" s="4" t="b">
        <f>IFERROR(__xludf.DUMMYFUNCTION("""COMPUTED_VALUE"""),FALSE)</f>
        <v>0</v>
      </c>
      <c r="I2404" s="4">
        <f>IFERROR(__xludf.DUMMYFUNCTION("""COMPUTED_VALUE"""),0.2549440625)</f>
        <v>0.2549440625</v>
      </c>
      <c r="J2404" s="4" t="str">
        <f>IFERROR(__xludf.DUMMYFUNCTION("""COMPUTED_VALUE"""),"")</f>
        <v/>
      </c>
      <c r="K2404" s="4" t="str">
        <f>IFERROR(__xludf.DUMMYFUNCTION("""COMPUTED_VALUE"""),"")</f>
        <v/>
      </c>
      <c r="L2404" s="4" t="str">
        <f>IFERROR(__xludf.DUMMYFUNCTION("""COMPUTED_VALUE"""),"")</f>
        <v/>
      </c>
      <c r="M2404" s="1" t="str">
        <f>IFERROR(__xludf.DUMMYFUNCTION("""COMPUTED_VALUE"""),"RFID")</f>
        <v>RFID</v>
      </c>
      <c r="N2404" s="5" t="str">
        <f>IFERROR(__xludf.DUMMYFUNCTION("""COMPUTED_VALUE"""),"")</f>
        <v/>
      </c>
      <c r="O2404" s="5" t="str">
        <f>IFERROR(__xludf.DUMMYFUNCTION("""COMPUTED_VALUE"""),"")</f>
        <v/>
      </c>
      <c r="P2404" s="5" t="str">
        <f>IFERROR(__xludf.DUMMYFUNCTION("""COMPUTED_VALUE"""),"")</f>
        <v/>
      </c>
      <c r="Q2404" s="5" t="str">
        <f>IFERROR(__xludf.DUMMYFUNCTION("""COMPUTED_VALUE"""),"")</f>
        <v/>
      </c>
      <c r="R2404" s="4" t="str">
        <f>IFERROR(__xludf.DUMMYFUNCTION("""COMPUTED_VALUE"""),"")</f>
        <v/>
      </c>
      <c r="S2404" s="1" t="b">
        <f>IFERROR(__xludf.DUMMYFUNCTION("""COMPUTED_VALUE"""),FALSE)</f>
        <v>0</v>
      </c>
      <c r="T2404" s="1" t="b">
        <f>IFERROR(__xludf.DUMMYFUNCTION("""COMPUTED_VALUE"""),FALSE)</f>
        <v>0</v>
      </c>
      <c r="U2404" s="1" t="str">
        <f>IFERROR(__xludf.DUMMYFUNCTION("""COMPUTED_VALUE"""),"DSQ")</f>
        <v>DSQ</v>
      </c>
      <c r="V2404" s="1" t="str">
        <f>IFERROR(__xludf.DUMMYFUNCTION("""COMPUTED_VALUE"""),"DSQ")</f>
        <v>DSQ</v>
      </c>
      <c r="W2404" s="1" t="str">
        <f>IFERROR(__xludf.DUMMYFUNCTION("""COMPUTED_VALUE"""),"DSQ")</f>
        <v>DSQ</v>
      </c>
      <c r="X2404" s="1" t="str">
        <f>IFERROR(__xludf.DUMMYFUNCTION("""COMPUTED_VALUE"""),"DSQ")</f>
        <v>DSQ</v>
      </c>
      <c r="Y2404" s="2"/>
      <c r="Z2404" s="2" t="str">
        <f>IFERROR(__xludf.DUMMYFUNCTION("""COMPUTED_VALUE"""),"")</f>
        <v/>
      </c>
    </row>
    <row r="2405">
      <c r="A2405" s="1">
        <f>IFERROR(__xludf.DUMMYFUNCTION("""COMPUTED_VALUE"""),2404.0)</f>
        <v>2404</v>
      </c>
      <c r="B2405" s="1">
        <f>IFERROR(__xludf.DUMMYFUNCTION("""COMPUTED_VALUE"""),6203.0)</f>
        <v>6203</v>
      </c>
      <c r="C2405" s="2" t="str">
        <f>IFERROR(__xludf.DUMMYFUNCTION("""COMPUTED_VALUE"""),"MAULANA")</f>
        <v>MAULANA</v>
      </c>
      <c r="D2405" s="2" t="str">
        <f>IFERROR(__xludf.DUMMYFUNCTION("""COMPUTED_VALUE"""),"5KM OVERALL M")</f>
        <v>5KM OVERALL M</v>
      </c>
      <c r="E2405" s="1">
        <f>IFERROR(__xludf.DUMMYFUNCTION("""COMPUTED_VALUE"""),2.0)</f>
        <v>2</v>
      </c>
      <c r="F2405" s="1" t="str">
        <f>IFERROR(__xludf.DUMMYFUNCTION("""COMPUTED_VALUE"""),"Male")</f>
        <v>Male</v>
      </c>
      <c r="G2405" s="4" t="b">
        <f>IFERROR(__xludf.DUMMYFUNCTION("""COMPUTED_VALUE"""),TRUE)</f>
        <v>1</v>
      </c>
      <c r="H2405" s="4" t="b">
        <f>IFERROR(__xludf.DUMMYFUNCTION("""COMPUTED_VALUE"""),FALSE)</f>
        <v>0</v>
      </c>
      <c r="I2405" s="4">
        <f>IFERROR(__xludf.DUMMYFUNCTION("""COMPUTED_VALUE"""),0.2549440625)</f>
        <v>0.2549440625</v>
      </c>
      <c r="J2405" s="4">
        <f>IFERROR(__xludf.DUMMYFUNCTION("""COMPUTED_VALUE"""),45949.273214239285)</f>
        <v>45949.27321</v>
      </c>
      <c r="K2405" s="4" t="str">
        <f>IFERROR(__xludf.DUMMYFUNCTION("""COMPUTED_VALUE"""),"")</f>
        <v/>
      </c>
      <c r="L2405" s="4">
        <f>IFERROR(__xludf.DUMMYFUNCTION("""COMPUTED_VALUE"""),45949.28756754449)</f>
        <v>45949.28757</v>
      </c>
      <c r="M2405" s="1" t="str">
        <f>IFERROR(__xludf.DUMMYFUNCTION("""COMPUTED_VALUE"""),"RFID")</f>
        <v>RFID</v>
      </c>
      <c r="N2405" s="5">
        <f>IFERROR(__xludf.DUMMYFUNCTION("""COMPUTED_VALUE"""),0.007308069444444444)</f>
        <v>0.007308069444</v>
      </c>
      <c r="O2405" s="5" t="str">
        <f>IFERROR(__xludf.DUMMYFUNCTION("""COMPUTED_VALUE"""),"")</f>
        <v/>
      </c>
      <c r="P2405" s="5" t="str">
        <f>IFERROR(__xludf.DUMMYFUNCTION("""COMPUTED_VALUE"""),"")</f>
        <v/>
      </c>
      <c r="Q2405" s="5">
        <f>IFERROR(__xludf.DUMMYFUNCTION("""COMPUTED_VALUE"""),0.006524696759259259)</f>
        <v>0.006524696759</v>
      </c>
      <c r="R2405" s="4">
        <f>IFERROR(__xludf.DUMMYFUNCTION("""COMPUTED_VALUE"""),45949.03262348199)</f>
        <v>45949.03262</v>
      </c>
      <c r="S2405" s="1" t="b">
        <f>IFERROR(__xludf.DUMMYFUNCTION("""COMPUTED_VALUE"""),TRUE)</f>
        <v>1</v>
      </c>
      <c r="T2405" s="1" t="b">
        <f>IFERROR(__xludf.DUMMYFUNCTION("""COMPUTED_VALUE"""),FALSE)</f>
        <v>0</v>
      </c>
      <c r="U2405" s="1" t="str">
        <f>IFERROR(__xludf.DUMMYFUNCTION("""COMPUTED_VALUE"""),"VALID")</f>
        <v>VALID</v>
      </c>
      <c r="V2405" s="1">
        <f>IFERROR(__xludf.DUMMYFUNCTION("""COMPUTED_VALUE"""),476.0)</f>
        <v>476</v>
      </c>
      <c r="W2405" s="1">
        <f>IFERROR(__xludf.DUMMYFUNCTION("""COMPUTED_VALUE"""),741.0)</f>
        <v>741</v>
      </c>
      <c r="X2405" s="1">
        <f>IFERROR(__xludf.DUMMYFUNCTION("""COMPUTED_VALUE"""),616.0)</f>
        <v>616</v>
      </c>
      <c r="Y2405" s="2"/>
      <c r="Z2405" s="2"/>
    </row>
    <row r="2406">
      <c r="A2406" s="1">
        <f>IFERROR(__xludf.DUMMYFUNCTION("""COMPUTED_VALUE"""),2405.0)</f>
        <v>2405</v>
      </c>
      <c r="B2406" s="1">
        <f>IFERROR(__xludf.DUMMYFUNCTION("""COMPUTED_VALUE"""),6205.0)</f>
        <v>6205</v>
      </c>
      <c r="C2406" s="2" t="str">
        <f>IFERROR(__xludf.DUMMYFUNCTION("""COMPUTED_VALUE"""),"MUHAMMAD FURQON")</f>
        <v>MUHAMMAD FURQON</v>
      </c>
      <c r="D2406" s="2" t="str">
        <f>IFERROR(__xludf.DUMMYFUNCTION("""COMPUTED_VALUE"""),"5KM OVERALL M")</f>
        <v>5KM OVERALL M</v>
      </c>
      <c r="E2406" s="1">
        <f>IFERROR(__xludf.DUMMYFUNCTION("""COMPUTED_VALUE"""),2.0)</f>
        <v>2</v>
      </c>
      <c r="F2406" s="1" t="str">
        <f>IFERROR(__xludf.DUMMYFUNCTION("""COMPUTED_VALUE"""),"Male")</f>
        <v>Male</v>
      </c>
      <c r="G2406" s="4" t="b">
        <f>IFERROR(__xludf.DUMMYFUNCTION("""COMPUTED_VALUE"""),TRUE)</f>
        <v>1</v>
      </c>
      <c r="H2406" s="4" t="b">
        <f>IFERROR(__xludf.DUMMYFUNCTION("""COMPUTED_VALUE"""),TRUE)</f>
        <v>1</v>
      </c>
      <c r="I2406" s="4">
        <f>IFERROR(__xludf.DUMMYFUNCTION("""COMPUTED_VALUE"""),0.2549440625)</f>
        <v>0.2549440625</v>
      </c>
      <c r="J2406" s="4">
        <f>IFERROR(__xludf.DUMMYFUNCTION("""COMPUTED_VALUE"""),45949.272384326425)</f>
        <v>45949.27238</v>
      </c>
      <c r="K2406" s="4" t="str">
        <f>IFERROR(__xludf.DUMMYFUNCTION("""COMPUTED_VALUE"""),"")</f>
        <v/>
      </c>
      <c r="L2406" s="4">
        <f>IFERROR(__xludf.DUMMYFUNCTION("""COMPUTED_VALUE"""),45949.28197378775)</f>
        <v>45949.28197</v>
      </c>
      <c r="M2406" s="1" t="str">
        <f>IFERROR(__xludf.DUMMYFUNCTION("""COMPUTED_VALUE"""),"RFID")</f>
        <v>RFID</v>
      </c>
      <c r="N2406" s="5">
        <f>IFERROR(__xludf.DUMMYFUNCTION("""COMPUTED_VALUE"""),0.006976106481481481)</f>
        <v>0.006976106481</v>
      </c>
      <c r="O2406" s="5" t="str">
        <f>IFERROR(__xludf.DUMMYFUNCTION("""COMPUTED_VALUE"""),"")</f>
        <v/>
      </c>
      <c r="P2406" s="5" t="str">
        <f>IFERROR(__xludf.DUMMYFUNCTION("""COMPUTED_VALUE"""),"")</f>
        <v/>
      </c>
      <c r="Q2406" s="5">
        <f>IFERROR(__xludf.DUMMYFUNCTION("""COMPUTED_VALUE"""),0.005405944444444444)</f>
        <v>0.005405944444</v>
      </c>
      <c r="R2406" s="4">
        <f>IFERROR(__xludf.DUMMYFUNCTION("""COMPUTED_VALUE"""),45949.02702972525)</f>
        <v>45949.02703</v>
      </c>
      <c r="S2406" s="1" t="b">
        <f>IFERROR(__xludf.DUMMYFUNCTION("""COMPUTED_VALUE"""),TRUE)</f>
        <v>1</v>
      </c>
      <c r="T2406" s="1" t="b">
        <f>IFERROR(__xludf.DUMMYFUNCTION("""COMPUTED_VALUE"""),FALSE)</f>
        <v>0</v>
      </c>
      <c r="U2406" s="1" t="str">
        <f>IFERROR(__xludf.DUMMYFUNCTION("""COMPUTED_VALUE"""),"VALID")</f>
        <v>VALID</v>
      </c>
      <c r="V2406" s="1">
        <f>IFERROR(__xludf.DUMMYFUNCTION("""COMPUTED_VALUE"""),250.0)</f>
        <v>250</v>
      </c>
      <c r="W2406" s="1">
        <f>IFERROR(__xludf.DUMMYFUNCTION("""COMPUTED_VALUE"""),386.0)</f>
        <v>386</v>
      </c>
      <c r="X2406" s="1">
        <f>IFERROR(__xludf.DUMMYFUNCTION("""COMPUTED_VALUE"""),333.0)</f>
        <v>333</v>
      </c>
      <c r="Y2406" s="2"/>
      <c r="Z2406" s="2"/>
    </row>
    <row r="2407">
      <c r="A2407" s="1">
        <f>IFERROR(__xludf.DUMMYFUNCTION("""COMPUTED_VALUE"""),2406.0)</f>
        <v>2406</v>
      </c>
      <c r="B2407" s="1">
        <f>IFERROR(__xludf.DUMMYFUNCTION("""COMPUTED_VALUE"""),6207.0)</f>
        <v>6207</v>
      </c>
      <c r="C2407" s="2" t="str">
        <f>IFERROR(__xludf.DUMMYFUNCTION("""COMPUTED_VALUE"""),"MaUl")</f>
        <v>MaUl</v>
      </c>
      <c r="D2407" s="2" t="str">
        <f>IFERROR(__xludf.DUMMYFUNCTION("""COMPUTED_VALUE"""),"5KM OVERALL M")</f>
        <v>5KM OVERALL M</v>
      </c>
      <c r="E2407" s="1">
        <f>IFERROR(__xludf.DUMMYFUNCTION("""COMPUTED_VALUE"""),2.0)</f>
        <v>2</v>
      </c>
      <c r="F2407" s="1" t="str">
        <f>IFERROR(__xludf.DUMMYFUNCTION("""COMPUTED_VALUE"""),"Male")</f>
        <v>Male</v>
      </c>
      <c r="G2407" s="4" t="b">
        <f>IFERROR(__xludf.DUMMYFUNCTION("""COMPUTED_VALUE"""),TRUE)</f>
        <v>1</v>
      </c>
      <c r="H2407" s="4" t="b">
        <f>IFERROR(__xludf.DUMMYFUNCTION("""COMPUTED_VALUE"""),TRUE)</f>
        <v>1</v>
      </c>
      <c r="I2407" s="4">
        <f>IFERROR(__xludf.DUMMYFUNCTION("""COMPUTED_VALUE"""),0.2549440625)</f>
        <v>0.2549440625</v>
      </c>
      <c r="J2407" s="4">
        <f>IFERROR(__xludf.DUMMYFUNCTION("""COMPUTED_VALUE"""),45949.271950296024)</f>
        <v>45949.27195</v>
      </c>
      <c r="K2407" s="4" t="str">
        <f>IFERROR(__xludf.DUMMYFUNCTION("""COMPUTED_VALUE"""),"")</f>
        <v/>
      </c>
      <c r="L2407" s="4">
        <f>IFERROR(__xludf.DUMMYFUNCTION("""COMPUTED_VALUE"""),45949.283317541966)</f>
        <v>45949.28332</v>
      </c>
      <c r="M2407" s="1" t="str">
        <f>IFERROR(__xludf.DUMMYFUNCTION("""COMPUTED_VALUE"""),"RFID")</f>
        <v>RFID</v>
      </c>
      <c r="N2407" s="5">
        <f>IFERROR(__xludf.DUMMYFUNCTION("""COMPUTED_VALUE"""),0.00680249537037037)</f>
        <v>0.00680249537</v>
      </c>
      <c r="O2407" s="5" t="str">
        <f>IFERROR(__xludf.DUMMYFUNCTION("""COMPUTED_VALUE"""),"")</f>
        <v/>
      </c>
      <c r="P2407" s="5" t="str">
        <f>IFERROR(__xludf.DUMMYFUNCTION("""COMPUTED_VALUE"""),"")</f>
        <v/>
      </c>
      <c r="Q2407" s="5">
        <f>IFERROR(__xludf.DUMMYFUNCTION("""COMPUTED_VALUE"""),0.0056746967592592595)</f>
        <v>0.005674696759</v>
      </c>
      <c r="R2407" s="4">
        <f>IFERROR(__xludf.DUMMYFUNCTION("""COMPUTED_VALUE"""),45949.028373479465)</f>
        <v>45949.02837</v>
      </c>
      <c r="S2407" s="1" t="b">
        <f>IFERROR(__xludf.DUMMYFUNCTION("""COMPUTED_VALUE"""),TRUE)</f>
        <v>1</v>
      </c>
      <c r="T2407" s="1" t="b">
        <f>IFERROR(__xludf.DUMMYFUNCTION("""COMPUTED_VALUE"""),FALSE)</f>
        <v>0</v>
      </c>
      <c r="U2407" s="1" t="str">
        <f>IFERROR(__xludf.DUMMYFUNCTION("""COMPUTED_VALUE"""),"VALID")</f>
        <v>VALID</v>
      </c>
      <c r="V2407" s="1">
        <f>IFERROR(__xludf.DUMMYFUNCTION("""COMPUTED_VALUE"""),303.0)</f>
        <v>303</v>
      </c>
      <c r="W2407" s="1">
        <f>IFERROR(__xludf.DUMMYFUNCTION("""COMPUTED_VALUE"""),454.0)</f>
        <v>454</v>
      </c>
      <c r="X2407" s="1">
        <f>IFERROR(__xludf.DUMMYFUNCTION("""COMPUTED_VALUE"""),392.0)</f>
        <v>392</v>
      </c>
      <c r="Y2407" s="2"/>
      <c r="Z2407" s="2"/>
    </row>
    <row r="2408">
      <c r="A2408" s="1">
        <f>IFERROR(__xludf.DUMMYFUNCTION("""COMPUTED_VALUE"""),2407.0)</f>
        <v>2407</v>
      </c>
      <c r="B2408" s="1">
        <f>IFERROR(__xludf.DUMMYFUNCTION("""COMPUTED_VALUE"""),6209.0)</f>
        <v>6209</v>
      </c>
      <c r="C2408" s="2" t="str">
        <f>IFERROR(__xludf.DUMMYFUNCTION("""COMPUTED_VALUE"""),"Hazi Qudsyia")</f>
        <v>Hazi Qudsyia</v>
      </c>
      <c r="D2408" s="2" t="str">
        <f>IFERROR(__xludf.DUMMYFUNCTION("""COMPUTED_VALUE"""),"5KM OVERALL M")</f>
        <v>5KM OVERALL M</v>
      </c>
      <c r="E2408" s="1">
        <f>IFERROR(__xludf.DUMMYFUNCTION("""COMPUTED_VALUE"""),2.0)</f>
        <v>2</v>
      </c>
      <c r="F2408" s="1" t="str">
        <f>IFERROR(__xludf.DUMMYFUNCTION("""COMPUTED_VALUE"""),"Male")</f>
        <v>Male</v>
      </c>
      <c r="G2408" s="4" t="b">
        <f>IFERROR(__xludf.DUMMYFUNCTION("""COMPUTED_VALUE"""),TRUE)</f>
        <v>1</v>
      </c>
      <c r="H2408" s="4" t="b">
        <f>IFERROR(__xludf.DUMMYFUNCTION("""COMPUTED_VALUE"""),FALSE)</f>
        <v>0</v>
      </c>
      <c r="I2408" s="4">
        <f>IFERROR(__xludf.DUMMYFUNCTION("""COMPUTED_VALUE"""),0.2549440625)</f>
        <v>0.2549440625</v>
      </c>
      <c r="J2408" s="4">
        <f>IFERROR(__xludf.DUMMYFUNCTION("""COMPUTED_VALUE"""),45949.273290577396)</f>
        <v>45949.27329</v>
      </c>
      <c r="K2408" s="4" t="str">
        <f>IFERROR(__xludf.DUMMYFUNCTION("""COMPUTED_VALUE"""),"")</f>
        <v/>
      </c>
      <c r="L2408" s="4">
        <f>IFERROR(__xludf.DUMMYFUNCTION("""COMPUTED_VALUE"""),45949.283015472094)</f>
        <v>45949.28302</v>
      </c>
      <c r="M2408" s="1" t="str">
        <f>IFERROR(__xludf.DUMMYFUNCTION("""COMPUTED_VALUE"""),"RFID")</f>
        <v>RFID</v>
      </c>
      <c r="N2408" s="5">
        <f>IFERROR(__xludf.DUMMYFUNCTION("""COMPUTED_VALUE"""),0.0073386064814814815)</f>
        <v>0.007338606481</v>
      </c>
      <c r="O2408" s="5" t="str">
        <f>IFERROR(__xludf.DUMMYFUNCTION("""COMPUTED_VALUE"""),"")</f>
        <v/>
      </c>
      <c r="P2408" s="5" t="str">
        <f>IFERROR(__xludf.DUMMYFUNCTION("""COMPUTED_VALUE"""),"")</f>
        <v/>
      </c>
      <c r="Q2408" s="5">
        <f>IFERROR(__xludf.DUMMYFUNCTION("""COMPUTED_VALUE"""),0.005614282407407407)</f>
        <v>0.005614282407</v>
      </c>
      <c r="R2408" s="4">
        <f>IFERROR(__xludf.DUMMYFUNCTION("""COMPUTED_VALUE"""),45949.02807140959)</f>
        <v>45949.02807</v>
      </c>
      <c r="S2408" s="1" t="b">
        <f>IFERROR(__xludf.DUMMYFUNCTION("""COMPUTED_VALUE"""),TRUE)</f>
        <v>1</v>
      </c>
      <c r="T2408" s="1" t="b">
        <f>IFERROR(__xludf.DUMMYFUNCTION("""COMPUTED_VALUE"""),FALSE)</f>
        <v>0</v>
      </c>
      <c r="U2408" s="1" t="str">
        <f>IFERROR(__xludf.DUMMYFUNCTION("""COMPUTED_VALUE"""),"VALID")</f>
        <v>VALID</v>
      </c>
      <c r="V2408" s="1">
        <f>IFERROR(__xludf.DUMMYFUNCTION("""COMPUTED_VALUE"""),289.0)</f>
        <v>289</v>
      </c>
      <c r="W2408" s="1">
        <f>IFERROR(__xludf.DUMMYFUNCTION("""COMPUTED_VALUE"""),436.0)</f>
        <v>436</v>
      </c>
      <c r="X2408" s="1">
        <f>IFERROR(__xludf.DUMMYFUNCTION("""COMPUTED_VALUE"""),377.0)</f>
        <v>377</v>
      </c>
      <c r="Y2408" s="2"/>
      <c r="Z2408" s="2"/>
    </row>
    <row r="2409">
      <c r="A2409" s="1">
        <f>IFERROR(__xludf.DUMMYFUNCTION("""COMPUTED_VALUE"""),2408.0)</f>
        <v>2408</v>
      </c>
      <c r="B2409" s="1">
        <f>IFERROR(__xludf.DUMMYFUNCTION("""COMPUTED_VALUE"""),6211.0)</f>
        <v>6211</v>
      </c>
      <c r="C2409" s="2" t="str">
        <f>IFERROR(__xludf.DUMMYFUNCTION("""COMPUTED_VALUE"""),"NORDIK")</f>
        <v>NORDIK</v>
      </c>
      <c r="D2409" s="2" t="str">
        <f>IFERROR(__xludf.DUMMYFUNCTION("""COMPUTED_VALUE"""),"5KM OVERALL M")</f>
        <v>5KM OVERALL M</v>
      </c>
      <c r="E2409" s="1">
        <f>IFERROR(__xludf.DUMMYFUNCTION("""COMPUTED_VALUE"""),2.0)</f>
        <v>2</v>
      </c>
      <c r="F2409" s="1" t="str">
        <f>IFERROR(__xludf.DUMMYFUNCTION("""COMPUTED_VALUE"""),"Male")</f>
        <v>Male</v>
      </c>
      <c r="G2409" s="4" t="b">
        <f>IFERROR(__xludf.DUMMYFUNCTION("""COMPUTED_VALUE"""),TRUE)</f>
        <v>1</v>
      </c>
      <c r="H2409" s="4" t="b">
        <f>IFERROR(__xludf.DUMMYFUNCTION("""COMPUTED_VALUE"""),FALSE)</f>
        <v>0</v>
      </c>
      <c r="I2409" s="4">
        <f>IFERROR(__xludf.DUMMYFUNCTION("""COMPUTED_VALUE"""),0.2549440625)</f>
        <v>0.2549440625</v>
      </c>
      <c r="J2409" s="4">
        <f>IFERROR(__xludf.DUMMYFUNCTION("""COMPUTED_VALUE"""),45949.27639480753)</f>
        <v>45949.27639</v>
      </c>
      <c r="K2409" s="4" t="str">
        <f>IFERROR(__xludf.DUMMYFUNCTION("""COMPUTED_VALUE"""),"")</f>
        <v/>
      </c>
      <c r="L2409" s="4">
        <f>IFERROR(__xludf.DUMMYFUNCTION("""COMPUTED_VALUE"""),45949.29248768123)</f>
        <v>45949.29249</v>
      </c>
      <c r="M2409" s="1" t="str">
        <f>IFERROR(__xludf.DUMMYFUNCTION("""COMPUTED_VALUE"""),"RFID")</f>
        <v>RFID</v>
      </c>
      <c r="N2409" s="5">
        <f>IFERROR(__xludf.DUMMYFUNCTION("""COMPUTED_VALUE"""),0.008580296296296298)</f>
        <v>0.008580296296</v>
      </c>
      <c r="O2409" s="5" t="str">
        <f>IFERROR(__xludf.DUMMYFUNCTION("""COMPUTED_VALUE"""),"")</f>
        <v/>
      </c>
      <c r="P2409" s="5" t="str">
        <f>IFERROR(__xludf.DUMMYFUNCTION("""COMPUTED_VALUE"""),"")</f>
        <v/>
      </c>
      <c r="Q2409" s="5">
        <f>IFERROR(__xludf.DUMMYFUNCTION("""COMPUTED_VALUE"""),0.007508724537037037)</f>
        <v>0.007508724537</v>
      </c>
      <c r="R2409" s="4">
        <f>IFERROR(__xludf.DUMMYFUNCTION("""COMPUTED_VALUE"""),45949.03754361873)</f>
        <v>45949.03754</v>
      </c>
      <c r="S2409" s="1" t="b">
        <f>IFERROR(__xludf.DUMMYFUNCTION("""COMPUTED_VALUE"""),TRUE)</f>
        <v>1</v>
      </c>
      <c r="T2409" s="1" t="b">
        <f>IFERROR(__xludf.DUMMYFUNCTION("""COMPUTED_VALUE"""),FALSE)</f>
        <v>0</v>
      </c>
      <c r="U2409" s="1" t="str">
        <f>IFERROR(__xludf.DUMMYFUNCTION("""COMPUTED_VALUE"""),"VALID")</f>
        <v>VALID</v>
      </c>
      <c r="V2409" s="1">
        <f>IFERROR(__xludf.DUMMYFUNCTION("""COMPUTED_VALUE"""),640.0)</f>
        <v>640</v>
      </c>
      <c r="W2409" s="1">
        <f>IFERROR(__xludf.DUMMYFUNCTION("""COMPUTED_VALUE"""),1061.0)</f>
        <v>1061</v>
      </c>
      <c r="X2409" s="1">
        <f>IFERROR(__xludf.DUMMYFUNCTION("""COMPUTED_VALUE"""),848.0)</f>
        <v>848</v>
      </c>
      <c r="Y2409" s="2"/>
      <c r="Z2409" s="2"/>
    </row>
    <row r="2410">
      <c r="A2410" s="1">
        <f>IFERROR(__xludf.DUMMYFUNCTION("""COMPUTED_VALUE"""),2409.0)</f>
        <v>2409</v>
      </c>
      <c r="B2410" s="1">
        <f>IFERROR(__xludf.DUMMYFUNCTION("""COMPUTED_VALUE"""),6212.0)</f>
        <v>6212</v>
      </c>
      <c r="C2410" s="2" t="str">
        <f>IFERROR(__xludf.DUMMYFUNCTION("""COMPUTED_VALUE"""),"Haris")</f>
        <v>Haris</v>
      </c>
      <c r="D2410" s="2" t="str">
        <f>IFERROR(__xludf.DUMMYFUNCTION("""COMPUTED_VALUE"""),"5KM OVERALL M")</f>
        <v>5KM OVERALL M</v>
      </c>
      <c r="E2410" s="1">
        <f>IFERROR(__xludf.DUMMYFUNCTION("""COMPUTED_VALUE"""),2.0)</f>
        <v>2</v>
      </c>
      <c r="F2410" s="1" t="str">
        <f>IFERROR(__xludf.DUMMYFUNCTION("""COMPUTED_VALUE"""),"Male")</f>
        <v>Male</v>
      </c>
      <c r="G2410" s="4" t="b">
        <f>IFERROR(__xludf.DUMMYFUNCTION("""COMPUTED_VALUE"""),TRUE)</f>
        <v>1</v>
      </c>
      <c r="H2410" s="4" t="b">
        <f>IFERROR(__xludf.DUMMYFUNCTION("""COMPUTED_VALUE"""),TRUE)</f>
        <v>1</v>
      </c>
      <c r="I2410" s="4">
        <f>IFERROR(__xludf.DUMMYFUNCTION("""COMPUTED_VALUE"""),0.2549440625)</f>
        <v>0.2549440625</v>
      </c>
      <c r="J2410" s="4">
        <f>IFERROR(__xludf.DUMMYFUNCTION("""COMPUTED_VALUE"""),45949.2774989621)</f>
        <v>45949.2775</v>
      </c>
      <c r="K2410" s="4" t="str">
        <f>IFERROR(__xludf.DUMMYFUNCTION("""COMPUTED_VALUE"""),"")</f>
        <v/>
      </c>
      <c r="L2410" s="4">
        <f>IFERROR(__xludf.DUMMYFUNCTION("""COMPUTED_VALUE"""),45949.295296644435)</f>
        <v>45949.2953</v>
      </c>
      <c r="M2410" s="1" t="str">
        <f>IFERROR(__xludf.DUMMYFUNCTION("""COMPUTED_VALUE"""),"RFID")</f>
        <v>RFID</v>
      </c>
      <c r="N2410" s="5">
        <f>IFERROR(__xludf.DUMMYFUNCTION("""COMPUTED_VALUE"""),0.009021958333333333)</f>
        <v>0.009021958333</v>
      </c>
      <c r="O2410" s="5" t="str">
        <f>IFERROR(__xludf.DUMMYFUNCTION("""COMPUTED_VALUE"""),"")</f>
        <v/>
      </c>
      <c r="P2410" s="5" t="str">
        <f>IFERROR(__xludf.DUMMYFUNCTION("""COMPUTED_VALUE"""),"")</f>
        <v/>
      </c>
      <c r="Q2410" s="5">
        <f>IFERROR(__xludf.DUMMYFUNCTION("""COMPUTED_VALUE"""),0.008070516203703703)</f>
        <v>0.008070516204</v>
      </c>
      <c r="R2410" s="4">
        <f>IFERROR(__xludf.DUMMYFUNCTION("""COMPUTED_VALUE"""),45949.040352581935)</f>
        <v>45949.04035</v>
      </c>
      <c r="S2410" s="1" t="b">
        <f>IFERROR(__xludf.DUMMYFUNCTION("""COMPUTED_VALUE"""),TRUE)</f>
        <v>1</v>
      </c>
      <c r="T2410" s="1" t="b">
        <f>IFERROR(__xludf.DUMMYFUNCTION("""COMPUTED_VALUE"""),FALSE)</f>
        <v>0</v>
      </c>
      <c r="U2410" s="1" t="str">
        <f>IFERROR(__xludf.DUMMYFUNCTION("""COMPUTED_VALUE"""),"VALID")</f>
        <v>VALID</v>
      </c>
      <c r="V2410" s="1">
        <f>IFERROR(__xludf.DUMMYFUNCTION("""COMPUTED_VALUE"""),721.0)</f>
        <v>721</v>
      </c>
      <c r="W2410" s="1">
        <f>IFERROR(__xludf.DUMMYFUNCTION("""COMPUTED_VALUE"""),1260.0)</f>
        <v>1260</v>
      </c>
      <c r="X2410" s="1">
        <f>IFERROR(__xludf.DUMMYFUNCTION("""COMPUTED_VALUE"""),993.0)</f>
        <v>993</v>
      </c>
      <c r="Y2410" s="2"/>
      <c r="Z2410" s="2"/>
    </row>
    <row r="2411">
      <c r="A2411" s="1">
        <f>IFERROR(__xludf.DUMMYFUNCTION("""COMPUTED_VALUE"""),2410.0)</f>
        <v>2410</v>
      </c>
      <c r="B2411" s="1">
        <f>IFERROR(__xludf.DUMMYFUNCTION("""COMPUTED_VALUE"""),6213.0)</f>
        <v>6213</v>
      </c>
      <c r="C2411" s="2" t="str">
        <f>IFERROR(__xludf.DUMMYFUNCTION("""COMPUTED_VALUE"""),"Mahli")</f>
        <v>Mahli</v>
      </c>
      <c r="D2411" s="2" t="str">
        <f>IFERROR(__xludf.DUMMYFUNCTION("""COMPUTED_VALUE"""),"5KM OVERALL M")</f>
        <v>5KM OVERALL M</v>
      </c>
      <c r="E2411" s="1">
        <f>IFERROR(__xludf.DUMMYFUNCTION("""COMPUTED_VALUE"""),2.0)</f>
        <v>2</v>
      </c>
      <c r="F2411" s="1" t="str">
        <f>IFERROR(__xludf.DUMMYFUNCTION("""COMPUTED_VALUE"""),"Male")</f>
        <v>Male</v>
      </c>
      <c r="G2411" s="4" t="b">
        <f>IFERROR(__xludf.DUMMYFUNCTION("""COMPUTED_VALUE"""),TRUE)</f>
        <v>1</v>
      </c>
      <c r="H2411" s="4" t="b">
        <f>IFERROR(__xludf.DUMMYFUNCTION("""COMPUTED_VALUE"""),TRUE)</f>
        <v>1</v>
      </c>
      <c r="I2411" s="4">
        <f>IFERROR(__xludf.DUMMYFUNCTION("""COMPUTED_VALUE"""),0.2549440625)</f>
        <v>0.2549440625</v>
      </c>
      <c r="J2411" s="4">
        <f>IFERROR(__xludf.DUMMYFUNCTION("""COMPUTED_VALUE"""),45949.26690169125)</f>
        <v>45949.2669</v>
      </c>
      <c r="K2411" s="4" t="str">
        <f>IFERROR(__xludf.DUMMYFUNCTION("""COMPUTED_VALUE"""),"")</f>
        <v/>
      </c>
      <c r="L2411" s="4">
        <f>IFERROR(__xludf.DUMMYFUNCTION("""COMPUTED_VALUE"""),45949.27603623131)</f>
        <v>45949.27604</v>
      </c>
      <c r="M2411" s="1" t="str">
        <f>IFERROR(__xludf.DUMMYFUNCTION("""COMPUTED_VALUE"""),"RFID")</f>
        <v>RFID</v>
      </c>
      <c r="N2411" s="5">
        <f>IFERROR(__xludf.DUMMYFUNCTION("""COMPUTED_VALUE"""),0.004783050925925925)</f>
        <v>0.004783050926</v>
      </c>
      <c r="O2411" s="5" t="str">
        <f>IFERROR(__xludf.DUMMYFUNCTION("""COMPUTED_VALUE"""),"")</f>
        <v/>
      </c>
      <c r="P2411" s="5" t="str">
        <f>IFERROR(__xludf.DUMMYFUNCTION("""COMPUTED_VALUE"""),"")</f>
        <v/>
      </c>
      <c r="Q2411" s="5">
        <f>IFERROR(__xludf.DUMMYFUNCTION("""COMPUTED_VALUE"""),0.004218432870370371)</f>
        <v>0.00421843287</v>
      </c>
      <c r="R2411" s="4">
        <f>IFERROR(__xludf.DUMMYFUNCTION("""COMPUTED_VALUE"""),45949.02109216881)</f>
        <v>45949.02109</v>
      </c>
      <c r="S2411" s="1" t="b">
        <f>IFERROR(__xludf.DUMMYFUNCTION("""COMPUTED_VALUE"""),TRUE)</f>
        <v>1</v>
      </c>
      <c r="T2411" s="1" t="b">
        <f>IFERROR(__xludf.DUMMYFUNCTION("""COMPUTED_VALUE"""),FALSE)</f>
        <v>0</v>
      </c>
      <c r="U2411" s="1" t="str">
        <f>IFERROR(__xludf.DUMMYFUNCTION("""COMPUTED_VALUE"""),"VALID")</f>
        <v>VALID</v>
      </c>
      <c r="V2411" s="1">
        <f>IFERROR(__xludf.DUMMYFUNCTION("""COMPUTED_VALUE"""),93.0)</f>
        <v>93</v>
      </c>
      <c r="W2411" s="1">
        <f>IFERROR(__xludf.DUMMYFUNCTION("""COMPUTED_VALUE"""),146.0)</f>
        <v>146</v>
      </c>
      <c r="X2411" s="1">
        <f>IFERROR(__xludf.DUMMYFUNCTION("""COMPUTED_VALUE"""),130.0)</f>
        <v>130</v>
      </c>
      <c r="Y2411" s="2"/>
      <c r="Z2411" s="2"/>
    </row>
    <row r="2412">
      <c r="A2412" s="1">
        <f>IFERROR(__xludf.DUMMYFUNCTION("""COMPUTED_VALUE"""),2411.0)</f>
        <v>2411</v>
      </c>
      <c r="B2412" s="1">
        <f>IFERROR(__xludf.DUMMYFUNCTION("""COMPUTED_VALUE"""),6214.0)</f>
        <v>6214</v>
      </c>
      <c r="C2412" s="2" t="str">
        <f>IFERROR(__xludf.DUMMYFUNCTION("""COMPUTED_VALUE"""),"Ma'ruful Fahri")</f>
        <v>Ma'ruful Fahri</v>
      </c>
      <c r="D2412" s="2" t="str">
        <f>IFERROR(__xludf.DUMMYFUNCTION("""COMPUTED_VALUE"""),"5KM OVERALL M")</f>
        <v>5KM OVERALL M</v>
      </c>
      <c r="E2412" s="1">
        <f>IFERROR(__xludf.DUMMYFUNCTION("""COMPUTED_VALUE"""),2.0)</f>
        <v>2</v>
      </c>
      <c r="F2412" s="1" t="str">
        <f>IFERROR(__xludf.DUMMYFUNCTION("""COMPUTED_VALUE"""),"Male")</f>
        <v>Male</v>
      </c>
      <c r="G2412" s="4" t="b">
        <f>IFERROR(__xludf.DUMMYFUNCTION("""COMPUTED_VALUE"""),TRUE)</f>
        <v>1</v>
      </c>
      <c r="H2412" s="4" t="b">
        <f>IFERROR(__xludf.DUMMYFUNCTION("""COMPUTED_VALUE"""),TRUE)</f>
        <v>1</v>
      </c>
      <c r="I2412" s="4">
        <f>IFERROR(__xludf.DUMMYFUNCTION("""COMPUTED_VALUE"""),0.2549440625)</f>
        <v>0.2549440625</v>
      </c>
      <c r="J2412" s="4">
        <f>IFERROR(__xludf.DUMMYFUNCTION("""COMPUTED_VALUE"""),45949.27472114234)</f>
        <v>45949.27472</v>
      </c>
      <c r="K2412" s="4" t="str">
        <f>IFERROR(__xludf.DUMMYFUNCTION("""COMPUTED_VALUE"""),"")</f>
        <v/>
      </c>
      <c r="L2412" s="4">
        <f>IFERROR(__xludf.DUMMYFUNCTION("""COMPUTED_VALUE"""),45949.28797725226)</f>
        <v>45949.28798</v>
      </c>
      <c r="M2412" s="1" t="str">
        <f>IFERROR(__xludf.DUMMYFUNCTION("""COMPUTED_VALUE"""),"RFID")</f>
        <v>RFID</v>
      </c>
      <c r="N2412" s="5">
        <f>IFERROR(__xludf.DUMMYFUNCTION("""COMPUTED_VALUE"""),0.007910833333333334)</f>
        <v>0.007910833333</v>
      </c>
      <c r="O2412" s="5" t="str">
        <f>IFERROR(__xludf.DUMMYFUNCTION("""COMPUTED_VALUE"""),"")</f>
        <v/>
      </c>
      <c r="P2412" s="5" t="str">
        <f>IFERROR(__xludf.DUMMYFUNCTION("""COMPUTED_VALUE"""),"")</f>
        <v/>
      </c>
      <c r="Q2412" s="5">
        <f>IFERROR(__xludf.DUMMYFUNCTION("""COMPUTED_VALUE"""),0.006606638888888889)</f>
        <v>0.006606638889</v>
      </c>
      <c r="R2412" s="4">
        <f>IFERROR(__xludf.DUMMYFUNCTION("""COMPUTED_VALUE"""),45949.03303318976)</f>
        <v>45949.03303</v>
      </c>
      <c r="S2412" s="1" t="b">
        <f>IFERROR(__xludf.DUMMYFUNCTION("""COMPUTED_VALUE"""),TRUE)</f>
        <v>1</v>
      </c>
      <c r="T2412" s="1" t="b">
        <f>IFERROR(__xludf.DUMMYFUNCTION("""COMPUTED_VALUE"""),FALSE)</f>
        <v>0</v>
      </c>
      <c r="U2412" s="1" t="str">
        <f>IFERROR(__xludf.DUMMYFUNCTION("""COMPUTED_VALUE"""),"VALID")</f>
        <v>VALID</v>
      </c>
      <c r="V2412" s="1">
        <f>IFERROR(__xludf.DUMMYFUNCTION("""COMPUTED_VALUE"""),497.0)</f>
        <v>497</v>
      </c>
      <c r="W2412" s="1">
        <f>IFERROR(__xludf.DUMMYFUNCTION("""COMPUTED_VALUE"""),778.0)</f>
        <v>778</v>
      </c>
      <c r="X2412" s="1">
        <f>IFERROR(__xludf.DUMMYFUNCTION("""COMPUTED_VALUE"""),643.0)</f>
        <v>643</v>
      </c>
      <c r="Y2412" s="2"/>
      <c r="Z2412" s="2"/>
    </row>
    <row r="2413">
      <c r="A2413" s="1">
        <f>IFERROR(__xludf.DUMMYFUNCTION("""COMPUTED_VALUE"""),2412.0)</f>
        <v>2412</v>
      </c>
      <c r="B2413" s="1">
        <f>IFERROR(__xludf.DUMMYFUNCTION("""COMPUTED_VALUE"""),6217.0)</f>
        <v>6217</v>
      </c>
      <c r="C2413" s="2" t="str">
        <f>IFERROR(__xludf.DUMMYFUNCTION("""COMPUTED_VALUE"""),"maolana")</f>
        <v>maolana</v>
      </c>
      <c r="D2413" s="2" t="str">
        <f>IFERROR(__xludf.DUMMYFUNCTION("""COMPUTED_VALUE"""),"5KM OVERALL M")</f>
        <v>5KM OVERALL M</v>
      </c>
      <c r="E2413" s="1">
        <f>IFERROR(__xludf.DUMMYFUNCTION("""COMPUTED_VALUE"""),2.0)</f>
        <v>2</v>
      </c>
      <c r="F2413" s="1" t="str">
        <f>IFERROR(__xludf.DUMMYFUNCTION("""COMPUTED_VALUE"""),"Male")</f>
        <v>Male</v>
      </c>
      <c r="G2413" s="4" t="b">
        <f>IFERROR(__xludf.DUMMYFUNCTION("""COMPUTED_VALUE"""),TRUE)</f>
        <v>1</v>
      </c>
      <c r="H2413" s="4" t="b">
        <f>IFERROR(__xludf.DUMMYFUNCTION("""COMPUTED_VALUE"""),FALSE)</f>
        <v>0</v>
      </c>
      <c r="I2413" s="4">
        <f>IFERROR(__xludf.DUMMYFUNCTION("""COMPUTED_VALUE"""),0.2549440625)</f>
        <v>0.2549440625</v>
      </c>
      <c r="J2413" s="4">
        <f>IFERROR(__xludf.DUMMYFUNCTION("""COMPUTED_VALUE"""),45949.27345378334)</f>
        <v>45949.27345</v>
      </c>
      <c r="K2413" s="4" t="str">
        <f>IFERROR(__xludf.DUMMYFUNCTION("""COMPUTED_VALUE"""),"")</f>
        <v/>
      </c>
      <c r="L2413" s="4">
        <f>IFERROR(__xludf.DUMMYFUNCTION("""COMPUTED_VALUE"""),45949.285845322185)</f>
        <v>45949.28585</v>
      </c>
      <c r="M2413" s="1" t="str">
        <f>IFERROR(__xludf.DUMMYFUNCTION("""COMPUTED_VALUE"""),"RFID")</f>
        <v>RFID</v>
      </c>
      <c r="N2413" s="5">
        <f>IFERROR(__xludf.DUMMYFUNCTION("""COMPUTED_VALUE"""),0.007403888888888889)</f>
        <v>0.007403888889</v>
      </c>
      <c r="O2413" s="5" t="str">
        <f>IFERROR(__xludf.DUMMYFUNCTION("""COMPUTED_VALUE"""),"")</f>
        <v/>
      </c>
      <c r="P2413" s="5" t="str">
        <f>IFERROR(__xludf.DUMMYFUNCTION("""COMPUTED_VALUE"""),"")</f>
        <v/>
      </c>
      <c r="Q2413" s="5">
        <f>IFERROR(__xludf.DUMMYFUNCTION("""COMPUTED_VALUE"""),0.0061802523148148155)</f>
        <v>0.006180252315</v>
      </c>
      <c r="R2413" s="4">
        <f>IFERROR(__xludf.DUMMYFUNCTION("""COMPUTED_VALUE"""),45949.030901259684)</f>
        <v>45949.0309</v>
      </c>
      <c r="S2413" s="1" t="b">
        <f>IFERROR(__xludf.DUMMYFUNCTION("""COMPUTED_VALUE"""),TRUE)</f>
        <v>1</v>
      </c>
      <c r="T2413" s="1" t="b">
        <f>IFERROR(__xludf.DUMMYFUNCTION("""COMPUTED_VALUE"""),FALSE)</f>
        <v>0</v>
      </c>
      <c r="U2413" s="1" t="str">
        <f>IFERROR(__xludf.DUMMYFUNCTION("""COMPUTED_VALUE"""),"VALID")</f>
        <v>VALID</v>
      </c>
      <c r="V2413" s="1">
        <f>IFERROR(__xludf.DUMMYFUNCTION("""COMPUTED_VALUE"""),412.0)</f>
        <v>412</v>
      </c>
      <c r="W2413" s="1">
        <f>IFERROR(__xludf.DUMMYFUNCTION("""COMPUTED_VALUE"""),630.0)</f>
        <v>630</v>
      </c>
      <c r="X2413" s="1">
        <f>IFERROR(__xludf.DUMMYFUNCTION("""COMPUTED_VALUE"""),527.0)</f>
        <v>527</v>
      </c>
      <c r="Y2413" s="2"/>
      <c r="Z2413" s="2"/>
    </row>
    <row r="2414">
      <c r="A2414" s="1">
        <f>IFERROR(__xludf.DUMMYFUNCTION("""COMPUTED_VALUE"""),2413.0)</f>
        <v>2413</v>
      </c>
      <c r="B2414" s="1">
        <f>IFERROR(__xludf.DUMMYFUNCTION("""COMPUTED_VALUE"""),6219.0)</f>
        <v>6219</v>
      </c>
      <c r="C2414" s="2" t="str">
        <f>IFERROR(__xludf.DUMMYFUNCTION("""COMPUTED_VALUE"""),"Ayah Aca And Joy")</f>
        <v>Ayah Aca And Joy</v>
      </c>
      <c r="D2414" s="2" t="str">
        <f>IFERROR(__xludf.DUMMYFUNCTION("""COMPUTED_VALUE"""),"5KM OVERALL M")</f>
        <v>5KM OVERALL M</v>
      </c>
      <c r="E2414" s="1">
        <f>IFERROR(__xludf.DUMMYFUNCTION("""COMPUTED_VALUE"""),2.0)</f>
        <v>2</v>
      </c>
      <c r="F2414" s="1" t="str">
        <f>IFERROR(__xludf.DUMMYFUNCTION("""COMPUTED_VALUE"""),"Male")</f>
        <v>Male</v>
      </c>
      <c r="G2414" s="4" t="b">
        <f>IFERROR(__xludf.DUMMYFUNCTION("""COMPUTED_VALUE"""),TRUE)</f>
        <v>1</v>
      </c>
      <c r="H2414" s="4" t="b">
        <f>IFERROR(__xludf.DUMMYFUNCTION("""COMPUTED_VALUE"""),FALSE)</f>
        <v>0</v>
      </c>
      <c r="I2414" s="4">
        <f>IFERROR(__xludf.DUMMYFUNCTION("""COMPUTED_VALUE"""),0.2549440625)</f>
        <v>0.2549440625</v>
      </c>
      <c r="J2414" s="4">
        <f>IFERROR(__xludf.DUMMYFUNCTION("""COMPUTED_VALUE"""),45949.279342671514)</f>
        <v>45949.27934</v>
      </c>
      <c r="K2414" s="4" t="str">
        <f>IFERROR(__xludf.DUMMYFUNCTION("""COMPUTED_VALUE"""),"")</f>
        <v/>
      </c>
      <c r="L2414" s="4">
        <f>IFERROR(__xludf.DUMMYFUNCTION("""COMPUTED_VALUE"""),45949.296862678)</f>
        <v>45949.29686</v>
      </c>
      <c r="M2414" s="1" t="str">
        <f>IFERROR(__xludf.DUMMYFUNCTION("""COMPUTED_VALUE"""),"RFID")</f>
        <v>RFID</v>
      </c>
      <c r="N2414" s="5">
        <f>IFERROR(__xludf.DUMMYFUNCTION("""COMPUTED_VALUE"""),0.009759444444444444)</f>
        <v>0.009759444444</v>
      </c>
      <c r="O2414" s="5" t="str">
        <f>IFERROR(__xludf.DUMMYFUNCTION("""COMPUTED_VALUE"""),"")</f>
        <v/>
      </c>
      <c r="P2414" s="5" t="str">
        <f>IFERROR(__xludf.DUMMYFUNCTION("""COMPUTED_VALUE"""),"")</f>
        <v/>
      </c>
      <c r="Q2414" s="5">
        <f>IFERROR(__xludf.DUMMYFUNCTION("""COMPUTED_VALUE"""),0.008383722222222223)</f>
        <v>0.008383722222</v>
      </c>
      <c r="R2414" s="4">
        <f>IFERROR(__xludf.DUMMYFUNCTION("""COMPUTED_VALUE"""),45949.0419186155)</f>
        <v>45949.04192</v>
      </c>
      <c r="S2414" s="1" t="b">
        <f>IFERROR(__xludf.DUMMYFUNCTION("""COMPUTED_VALUE"""),TRUE)</f>
        <v>1</v>
      </c>
      <c r="T2414" s="1" t="b">
        <f>IFERROR(__xludf.DUMMYFUNCTION("""COMPUTED_VALUE"""),FALSE)</f>
        <v>0</v>
      </c>
      <c r="U2414" s="1" t="str">
        <f>IFERROR(__xludf.DUMMYFUNCTION("""COMPUTED_VALUE"""),"VALID")</f>
        <v>VALID</v>
      </c>
      <c r="V2414" s="1">
        <f>IFERROR(__xludf.DUMMYFUNCTION("""COMPUTED_VALUE"""),755.0)</f>
        <v>755</v>
      </c>
      <c r="W2414" s="1">
        <f>IFERROR(__xludf.DUMMYFUNCTION("""COMPUTED_VALUE"""),1329.0)</f>
        <v>1329</v>
      </c>
      <c r="X2414" s="1">
        <f>IFERROR(__xludf.DUMMYFUNCTION("""COMPUTED_VALUE"""),1061.0)</f>
        <v>1061</v>
      </c>
      <c r="Y2414" s="2"/>
      <c r="Z2414" s="2"/>
    </row>
    <row r="2415">
      <c r="A2415" s="1">
        <f>IFERROR(__xludf.DUMMYFUNCTION("""COMPUTED_VALUE"""),2414.0)</f>
        <v>2414</v>
      </c>
      <c r="B2415" s="1">
        <f>IFERROR(__xludf.DUMMYFUNCTION("""COMPUTED_VALUE"""),6220.0)</f>
        <v>6220</v>
      </c>
      <c r="C2415" s="2" t="str">
        <f>IFERROR(__xludf.DUMMYFUNCTION("""COMPUTED_VALUE"""),"AKBAR KURNIA OCTAVIANTO")</f>
        <v>AKBAR KURNIA OCTAVIANTO</v>
      </c>
      <c r="D2415" s="2" t="str">
        <f>IFERROR(__xludf.DUMMYFUNCTION("""COMPUTED_VALUE"""),"5KM OVERALL M")</f>
        <v>5KM OVERALL M</v>
      </c>
      <c r="E2415" s="1">
        <f>IFERROR(__xludf.DUMMYFUNCTION("""COMPUTED_VALUE"""),2.0)</f>
        <v>2</v>
      </c>
      <c r="F2415" s="1" t="str">
        <f>IFERROR(__xludf.DUMMYFUNCTION("""COMPUTED_VALUE"""),"Male")</f>
        <v>Male</v>
      </c>
      <c r="G2415" s="4" t="b">
        <f>IFERROR(__xludf.DUMMYFUNCTION("""COMPUTED_VALUE"""),TRUE)</f>
        <v>1</v>
      </c>
      <c r="H2415" s="4" t="b">
        <f>IFERROR(__xludf.DUMMYFUNCTION("""COMPUTED_VALUE"""),TRUE)</f>
        <v>1</v>
      </c>
      <c r="I2415" s="4">
        <f>IFERROR(__xludf.DUMMYFUNCTION("""COMPUTED_VALUE"""),0.2549440625)</f>
        <v>0.2549440625</v>
      </c>
      <c r="J2415" s="4">
        <f>IFERROR(__xludf.DUMMYFUNCTION("""COMPUTED_VALUE"""),45949.284585767804)</f>
        <v>45949.28459</v>
      </c>
      <c r="K2415" s="4" t="str">
        <f>IFERROR(__xludf.DUMMYFUNCTION("""COMPUTED_VALUE"""),"")</f>
        <v/>
      </c>
      <c r="L2415" s="4">
        <f>IFERROR(__xludf.DUMMYFUNCTION("""COMPUTED_VALUE"""),45949.30300850305)</f>
        <v>45949.30301</v>
      </c>
      <c r="M2415" s="1" t="str">
        <f>IFERROR(__xludf.DUMMYFUNCTION("""COMPUTED_VALUE"""),"RFID")</f>
        <v>RFID</v>
      </c>
      <c r="N2415" s="5">
        <f>IFERROR(__xludf.DUMMYFUNCTION("""COMPUTED_VALUE"""),0.011856680555555556)</f>
        <v>0.01185668056</v>
      </c>
      <c r="O2415" s="5" t="str">
        <f>IFERROR(__xludf.DUMMYFUNCTION("""COMPUTED_VALUE"""),"")</f>
        <v/>
      </c>
      <c r="P2415" s="5" t="str">
        <f>IFERROR(__xludf.DUMMYFUNCTION("""COMPUTED_VALUE"""),"")</f>
        <v/>
      </c>
      <c r="Q2415" s="5">
        <f>IFERROR(__xludf.DUMMYFUNCTION("""COMPUTED_VALUE"""),0.00961288888888889)</f>
        <v>0.009612888889</v>
      </c>
      <c r="R2415" s="4">
        <f>IFERROR(__xludf.DUMMYFUNCTION("""COMPUTED_VALUE"""),45949.04806444055)</f>
        <v>45949.04806</v>
      </c>
      <c r="S2415" s="1" t="b">
        <f>IFERROR(__xludf.DUMMYFUNCTION("""COMPUTED_VALUE"""),TRUE)</f>
        <v>1</v>
      </c>
      <c r="T2415" s="1" t="b">
        <f>IFERROR(__xludf.DUMMYFUNCTION("""COMPUTED_VALUE"""),FALSE)</f>
        <v>0</v>
      </c>
      <c r="U2415" s="1" t="str">
        <f>IFERROR(__xludf.DUMMYFUNCTION("""COMPUTED_VALUE"""),"VALID")</f>
        <v>VALID</v>
      </c>
      <c r="V2415" s="1">
        <f>IFERROR(__xludf.DUMMYFUNCTION("""COMPUTED_VALUE"""),832.0)</f>
        <v>832</v>
      </c>
      <c r="W2415" s="1">
        <f>IFERROR(__xludf.DUMMYFUNCTION("""COMPUTED_VALUE"""),1551.0)</f>
        <v>1551</v>
      </c>
      <c r="X2415" s="1">
        <f>IFERROR(__xludf.DUMMYFUNCTION("""COMPUTED_VALUE"""),1312.0)</f>
        <v>1312</v>
      </c>
      <c r="Y2415" s="2"/>
      <c r="Z2415" s="2"/>
    </row>
    <row r="2416">
      <c r="A2416" s="1">
        <f>IFERROR(__xludf.DUMMYFUNCTION("""COMPUTED_VALUE"""),2415.0)</f>
        <v>2415</v>
      </c>
      <c r="B2416" s="1">
        <f>IFERROR(__xludf.DUMMYFUNCTION("""COMPUTED_VALUE"""),6224.0)</f>
        <v>6224</v>
      </c>
      <c r="C2416" s="2" t="str">
        <f>IFERROR(__xludf.DUMMYFUNCTION("""COMPUTED_VALUE"""),"SayTama")</f>
        <v>SayTama</v>
      </c>
      <c r="D2416" s="2" t="str">
        <f>IFERROR(__xludf.DUMMYFUNCTION("""COMPUTED_VALUE"""),"5KM OVERALL M")</f>
        <v>5KM OVERALL M</v>
      </c>
      <c r="E2416" s="1">
        <f>IFERROR(__xludf.DUMMYFUNCTION("""COMPUTED_VALUE"""),2.0)</f>
        <v>2</v>
      </c>
      <c r="F2416" s="1" t="str">
        <f>IFERROR(__xludf.DUMMYFUNCTION("""COMPUTED_VALUE"""),"Male")</f>
        <v>Male</v>
      </c>
      <c r="G2416" s="4" t="b">
        <f>IFERROR(__xludf.DUMMYFUNCTION("""COMPUTED_VALUE"""),TRUE)</f>
        <v>1</v>
      </c>
      <c r="H2416" s="4" t="b">
        <f>IFERROR(__xludf.DUMMYFUNCTION("""COMPUTED_VALUE"""),TRUE)</f>
        <v>1</v>
      </c>
      <c r="I2416" s="4">
        <f>IFERROR(__xludf.DUMMYFUNCTION("""COMPUTED_VALUE"""),0.2549440625)</f>
        <v>0.2549440625</v>
      </c>
      <c r="J2416" s="4">
        <f>IFERROR(__xludf.DUMMYFUNCTION("""COMPUTED_VALUE"""),45949.27383227415)</f>
        <v>45949.27383</v>
      </c>
      <c r="K2416" s="4" t="str">
        <f>IFERROR(__xludf.DUMMYFUNCTION("""COMPUTED_VALUE"""),"")</f>
        <v/>
      </c>
      <c r="L2416" s="4">
        <f>IFERROR(__xludf.DUMMYFUNCTION("""COMPUTED_VALUE"""),45949.28519948528)</f>
        <v>45949.2852</v>
      </c>
      <c r="M2416" s="1" t="str">
        <f>IFERROR(__xludf.DUMMYFUNCTION("""COMPUTED_VALUE"""),"RFID")</f>
        <v>RFID</v>
      </c>
      <c r="N2416" s="5">
        <f>IFERROR(__xludf.DUMMYFUNCTION("""COMPUTED_VALUE"""),0.007555282407407407)</f>
        <v>0.007555282407</v>
      </c>
      <c r="O2416" s="5" t="str">
        <f>IFERROR(__xludf.DUMMYFUNCTION("""COMPUTED_VALUE"""),"")</f>
        <v/>
      </c>
      <c r="P2416" s="5" t="str">
        <f>IFERROR(__xludf.DUMMYFUNCTION("""COMPUTED_VALUE"""),"")</f>
        <v/>
      </c>
      <c r="Q2416" s="5">
        <f>IFERROR(__xludf.DUMMYFUNCTION("""COMPUTED_VALUE"""),0.006051085648148148)</f>
        <v>0.006051085648</v>
      </c>
      <c r="R2416" s="4">
        <f>IFERROR(__xludf.DUMMYFUNCTION("""COMPUTED_VALUE"""),45949.03025542278)</f>
        <v>45949.03026</v>
      </c>
      <c r="S2416" s="1" t="b">
        <f>IFERROR(__xludf.DUMMYFUNCTION("""COMPUTED_VALUE"""),TRUE)</f>
        <v>1</v>
      </c>
      <c r="T2416" s="1" t="b">
        <f>IFERROR(__xludf.DUMMYFUNCTION("""COMPUTED_VALUE"""),FALSE)</f>
        <v>0</v>
      </c>
      <c r="U2416" s="1" t="str">
        <f>IFERROR(__xludf.DUMMYFUNCTION("""COMPUTED_VALUE"""),"VALID")</f>
        <v>VALID</v>
      </c>
      <c r="V2416" s="1">
        <f>IFERROR(__xludf.DUMMYFUNCTION("""COMPUTED_VALUE"""),386.0)</f>
        <v>386</v>
      </c>
      <c r="W2416" s="1">
        <f>IFERROR(__xludf.DUMMYFUNCTION("""COMPUTED_VALUE"""),585.0)</f>
        <v>585</v>
      </c>
      <c r="X2416" s="1">
        <f>IFERROR(__xludf.DUMMYFUNCTION("""COMPUTED_VALUE"""),496.0)</f>
        <v>496</v>
      </c>
      <c r="Y2416" s="2"/>
      <c r="Z2416" s="2"/>
    </row>
    <row r="2417">
      <c r="A2417" s="1">
        <f>IFERROR(__xludf.DUMMYFUNCTION("""COMPUTED_VALUE"""),2416.0)</f>
        <v>2416</v>
      </c>
      <c r="B2417" s="1">
        <f>IFERROR(__xludf.DUMMYFUNCTION("""COMPUTED_VALUE"""),6225.0)</f>
        <v>6225</v>
      </c>
      <c r="C2417" s="2" t="str">
        <f>IFERROR(__xludf.DUMMYFUNCTION("""COMPUTED_VALUE"""),"agus tego")</f>
        <v>agus tego</v>
      </c>
      <c r="D2417" s="2" t="str">
        <f>IFERROR(__xludf.DUMMYFUNCTION("""COMPUTED_VALUE"""),"5KM OVERALL M")</f>
        <v>5KM OVERALL M</v>
      </c>
      <c r="E2417" s="1">
        <f>IFERROR(__xludf.DUMMYFUNCTION("""COMPUTED_VALUE"""),2.0)</f>
        <v>2</v>
      </c>
      <c r="F2417" s="1" t="str">
        <f>IFERROR(__xludf.DUMMYFUNCTION("""COMPUTED_VALUE"""),"Male")</f>
        <v>Male</v>
      </c>
      <c r="G2417" s="4" t="str">
        <f>IFERROR(__xludf.DUMMYFUNCTION("""COMPUTED_VALUE"""),"")</f>
        <v/>
      </c>
      <c r="H2417" s="4" t="b">
        <f>IFERROR(__xludf.DUMMYFUNCTION("""COMPUTED_VALUE"""),FALSE)</f>
        <v>0</v>
      </c>
      <c r="I2417" s="4">
        <f>IFERROR(__xludf.DUMMYFUNCTION("""COMPUTED_VALUE"""),0.2549440625)</f>
        <v>0.2549440625</v>
      </c>
      <c r="J2417" s="4" t="str">
        <f>IFERROR(__xludf.DUMMYFUNCTION("""COMPUTED_VALUE"""),"")</f>
        <v/>
      </c>
      <c r="K2417" s="4" t="str">
        <f>IFERROR(__xludf.DUMMYFUNCTION("""COMPUTED_VALUE"""),"")</f>
        <v/>
      </c>
      <c r="L2417" s="4" t="str">
        <f>IFERROR(__xludf.DUMMYFUNCTION("""COMPUTED_VALUE"""),"")</f>
        <v/>
      </c>
      <c r="M2417" s="1" t="str">
        <f>IFERROR(__xludf.DUMMYFUNCTION("""COMPUTED_VALUE"""),"RFID")</f>
        <v>RFID</v>
      </c>
      <c r="N2417" s="5" t="str">
        <f>IFERROR(__xludf.DUMMYFUNCTION("""COMPUTED_VALUE"""),"")</f>
        <v/>
      </c>
      <c r="O2417" s="5" t="str">
        <f>IFERROR(__xludf.DUMMYFUNCTION("""COMPUTED_VALUE"""),"")</f>
        <v/>
      </c>
      <c r="P2417" s="5" t="str">
        <f>IFERROR(__xludf.DUMMYFUNCTION("""COMPUTED_VALUE"""),"")</f>
        <v/>
      </c>
      <c r="Q2417" s="5" t="str">
        <f>IFERROR(__xludf.DUMMYFUNCTION("""COMPUTED_VALUE"""),"")</f>
        <v/>
      </c>
      <c r="R2417" s="4" t="str">
        <f>IFERROR(__xludf.DUMMYFUNCTION("""COMPUTED_VALUE"""),"")</f>
        <v/>
      </c>
      <c r="S2417" s="1" t="b">
        <f>IFERROR(__xludf.DUMMYFUNCTION("""COMPUTED_VALUE"""),FALSE)</f>
        <v>0</v>
      </c>
      <c r="T2417" s="1" t="b">
        <f>IFERROR(__xludf.DUMMYFUNCTION("""COMPUTED_VALUE"""),FALSE)</f>
        <v>0</v>
      </c>
      <c r="U2417" s="1" t="str">
        <f>IFERROR(__xludf.DUMMYFUNCTION("""COMPUTED_VALUE"""),"DSQ")</f>
        <v>DSQ</v>
      </c>
      <c r="V2417" s="1" t="str">
        <f>IFERROR(__xludf.DUMMYFUNCTION("""COMPUTED_VALUE"""),"DSQ")</f>
        <v>DSQ</v>
      </c>
      <c r="W2417" s="1" t="str">
        <f>IFERROR(__xludf.DUMMYFUNCTION("""COMPUTED_VALUE"""),"DSQ")</f>
        <v>DSQ</v>
      </c>
      <c r="X2417" s="1" t="str">
        <f>IFERROR(__xludf.DUMMYFUNCTION("""COMPUTED_VALUE"""),"DSQ")</f>
        <v>DSQ</v>
      </c>
      <c r="Y2417" s="2"/>
      <c r="Z2417" s="2" t="str">
        <f>IFERROR(__xludf.DUMMYFUNCTION("""COMPUTED_VALUE"""),"")</f>
        <v/>
      </c>
    </row>
    <row r="2418">
      <c r="A2418" s="1">
        <f>IFERROR(__xludf.DUMMYFUNCTION("""COMPUTED_VALUE"""),2417.0)</f>
        <v>2417</v>
      </c>
      <c r="B2418" s="1">
        <f>IFERROR(__xludf.DUMMYFUNCTION("""COMPUTED_VALUE"""),6226.0)</f>
        <v>6226</v>
      </c>
      <c r="C2418" s="2" t="str">
        <f>IFERROR(__xludf.DUMMYFUNCTION("""COMPUTED_VALUE"""),"Maulana Firmansyah")</f>
        <v>Maulana Firmansyah</v>
      </c>
      <c r="D2418" s="2" t="str">
        <f>IFERROR(__xludf.DUMMYFUNCTION("""COMPUTED_VALUE"""),"5KM OVERALL M")</f>
        <v>5KM OVERALL M</v>
      </c>
      <c r="E2418" s="1">
        <f>IFERROR(__xludf.DUMMYFUNCTION("""COMPUTED_VALUE"""),2.0)</f>
        <v>2</v>
      </c>
      <c r="F2418" s="1" t="str">
        <f>IFERROR(__xludf.DUMMYFUNCTION("""COMPUTED_VALUE"""),"Male")</f>
        <v>Male</v>
      </c>
      <c r="G2418" s="4" t="b">
        <f>IFERROR(__xludf.DUMMYFUNCTION("""COMPUTED_VALUE"""),TRUE)</f>
        <v>1</v>
      </c>
      <c r="H2418" s="4" t="b">
        <f>IFERROR(__xludf.DUMMYFUNCTION("""COMPUTED_VALUE"""),TRUE)</f>
        <v>1</v>
      </c>
      <c r="I2418" s="4">
        <f>IFERROR(__xludf.DUMMYFUNCTION("""COMPUTED_VALUE"""),0.2549440625)</f>
        <v>0.2549440625</v>
      </c>
      <c r="J2418" s="4">
        <f>IFERROR(__xludf.DUMMYFUNCTION("""COMPUTED_VALUE"""),45949.273828822)</f>
        <v>45949.27383</v>
      </c>
      <c r="K2418" s="4" t="str">
        <f>IFERROR(__xludf.DUMMYFUNCTION("""COMPUTED_VALUE"""),"")</f>
        <v/>
      </c>
      <c r="L2418" s="4">
        <f>IFERROR(__xludf.DUMMYFUNCTION("""COMPUTED_VALUE"""),45949.286647410896)</f>
        <v>45949.28665</v>
      </c>
      <c r="M2418" s="1" t="str">
        <f>IFERROR(__xludf.DUMMYFUNCTION("""COMPUTED_VALUE"""),"RFID")</f>
        <v>RFID</v>
      </c>
      <c r="N2418" s="5">
        <f>IFERROR(__xludf.DUMMYFUNCTION("""COMPUTED_VALUE"""),0.007553902777777778)</f>
        <v>0.007553902778</v>
      </c>
      <c r="O2418" s="5" t="str">
        <f>IFERROR(__xludf.DUMMYFUNCTION("""COMPUTED_VALUE"""),"")</f>
        <v/>
      </c>
      <c r="P2418" s="5" t="str">
        <f>IFERROR(__xludf.DUMMYFUNCTION("""COMPUTED_VALUE"""),"")</f>
        <v/>
      </c>
      <c r="Q2418" s="5">
        <f>IFERROR(__xludf.DUMMYFUNCTION("""COMPUTED_VALUE"""),0.006340668981481482)</f>
        <v>0.006340668981</v>
      </c>
      <c r="R2418" s="4">
        <f>IFERROR(__xludf.DUMMYFUNCTION("""COMPUTED_VALUE"""),45949.031703348395)</f>
        <v>45949.0317</v>
      </c>
      <c r="S2418" s="1" t="b">
        <f>IFERROR(__xludf.DUMMYFUNCTION("""COMPUTED_VALUE"""),TRUE)</f>
        <v>1</v>
      </c>
      <c r="T2418" s="1" t="b">
        <f>IFERROR(__xludf.DUMMYFUNCTION("""COMPUTED_VALUE"""),FALSE)</f>
        <v>0</v>
      </c>
      <c r="U2418" s="1" t="str">
        <f>IFERROR(__xludf.DUMMYFUNCTION("""COMPUTED_VALUE"""),"VALID")</f>
        <v>VALID</v>
      </c>
      <c r="V2418" s="1">
        <f>IFERROR(__xludf.DUMMYFUNCTION("""COMPUTED_VALUE"""),441.0)</f>
        <v>441</v>
      </c>
      <c r="W2418" s="1">
        <f>IFERROR(__xludf.DUMMYFUNCTION("""COMPUTED_VALUE"""),680.0)</f>
        <v>680</v>
      </c>
      <c r="X2418" s="1">
        <f>IFERROR(__xludf.DUMMYFUNCTION("""COMPUTED_VALUE"""),569.0)</f>
        <v>569</v>
      </c>
      <c r="Y2418" s="2"/>
      <c r="Z2418" s="2"/>
    </row>
    <row r="2419">
      <c r="A2419" s="1">
        <f>IFERROR(__xludf.DUMMYFUNCTION("""COMPUTED_VALUE"""),2418.0)</f>
        <v>2418</v>
      </c>
      <c r="B2419" s="1">
        <f>IFERROR(__xludf.DUMMYFUNCTION("""COMPUTED_VALUE"""),6227.0)</f>
        <v>6227</v>
      </c>
      <c r="C2419" s="2" t="str">
        <f>IFERROR(__xludf.DUMMYFUNCTION("""COMPUTED_VALUE"""),"Johan")</f>
        <v>Johan</v>
      </c>
      <c r="D2419" s="2" t="str">
        <f>IFERROR(__xludf.DUMMYFUNCTION("""COMPUTED_VALUE"""),"5KM OVERALL M")</f>
        <v>5KM OVERALL M</v>
      </c>
      <c r="E2419" s="1">
        <f>IFERROR(__xludf.DUMMYFUNCTION("""COMPUTED_VALUE"""),2.0)</f>
        <v>2</v>
      </c>
      <c r="F2419" s="1" t="str">
        <f>IFERROR(__xludf.DUMMYFUNCTION("""COMPUTED_VALUE"""),"Male")</f>
        <v>Male</v>
      </c>
      <c r="G2419" s="4" t="b">
        <f>IFERROR(__xludf.DUMMYFUNCTION("""COMPUTED_VALUE"""),TRUE)</f>
        <v>1</v>
      </c>
      <c r="H2419" s="4" t="b">
        <f>IFERROR(__xludf.DUMMYFUNCTION("""COMPUTED_VALUE"""),TRUE)</f>
        <v>1</v>
      </c>
      <c r="I2419" s="4">
        <f>IFERROR(__xludf.DUMMYFUNCTION("""COMPUTED_VALUE"""),0.2549440625)</f>
        <v>0.2549440625</v>
      </c>
      <c r="J2419" s="4">
        <f>IFERROR(__xludf.DUMMYFUNCTION("""COMPUTED_VALUE"""),45949.27263086777)</f>
        <v>45949.27263</v>
      </c>
      <c r="K2419" s="4" t="str">
        <f>IFERROR(__xludf.DUMMYFUNCTION("""COMPUTED_VALUE"""),"")</f>
        <v/>
      </c>
      <c r="L2419" s="4">
        <f>IFERROR(__xludf.DUMMYFUNCTION("""COMPUTED_VALUE"""),45949.28335226122)</f>
        <v>45949.28335</v>
      </c>
      <c r="M2419" s="1" t="str">
        <f>IFERROR(__xludf.DUMMYFUNCTION("""COMPUTED_VALUE"""),"RFID")</f>
        <v>RFID</v>
      </c>
      <c r="N2419" s="5">
        <f>IFERROR(__xludf.DUMMYFUNCTION("""COMPUTED_VALUE"""),0.007074722222222223)</f>
        <v>0.007074722222</v>
      </c>
      <c r="O2419" s="5" t="str">
        <f>IFERROR(__xludf.DUMMYFUNCTION("""COMPUTED_VALUE"""),"")</f>
        <v/>
      </c>
      <c r="P2419" s="5" t="str">
        <f>IFERROR(__xludf.DUMMYFUNCTION("""COMPUTED_VALUE"""),"")</f>
        <v/>
      </c>
      <c r="Q2419" s="5">
        <f>IFERROR(__xludf.DUMMYFUNCTION("""COMPUTED_VALUE"""),0.005681638888888889)</f>
        <v>0.005681638889</v>
      </c>
      <c r="R2419" s="4">
        <f>IFERROR(__xludf.DUMMYFUNCTION("""COMPUTED_VALUE"""),45949.02840819872)</f>
        <v>45949.02841</v>
      </c>
      <c r="S2419" s="1" t="b">
        <f>IFERROR(__xludf.DUMMYFUNCTION("""COMPUTED_VALUE"""),TRUE)</f>
        <v>1</v>
      </c>
      <c r="T2419" s="1" t="b">
        <f>IFERROR(__xludf.DUMMYFUNCTION("""COMPUTED_VALUE"""),FALSE)</f>
        <v>0</v>
      </c>
      <c r="U2419" s="1" t="str">
        <f>IFERROR(__xludf.DUMMYFUNCTION("""COMPUTED_VALUE"""),"VALID")</f>
        <v>VALID</v>
      </c>
      <c r="V2419" s="1">
        <f>IFERROR(__xludf.DUMMYFUNCTION("""COMPUTED_VALUE"""),306.0)</f>
        <v>306</v>
      </c>
      <c r="W2419" s="1">
        <f>IFERROR(__xludf.DUMMYFUNCTION("""COMPUTED_VALUE"""),457.0)</f>
        <v>457</v>
      </c>
      <c r="X2419" s="1">
        <f>IFERROR(__xludf.DUMMYFUNCTION("""COMPUTED_VALUE"""),395.0)</f>
        <v>395</v>
      </c>
      <c r="Y2419" s="2"/>
      <c r="Z2419" s="2"/>
    </row>
    <row r="2420">
      <c r="A2420" s="1">
        <f>IFERROR(__xludf.DUMMYFUNCTION("""COMPUTED_VALUE"""),2419.0)</f>
        <v>2419</v>
      </c>
      <c r="B2420" s="1">
        <f>IFERROR(__xludf.DUMMYFUNCTION("""COMPUTED_VALUE"""),6229.0)</f>
        <v>6229</v>
      </c>
      <c r="C2420" s="2" t="str">
        <f>IFERROR(__xludf.DUMMYFUNCTION("""COMPUTED_VALUE"""),"BAGUS REFO")</f>
        <v>BAGUS REFO</v>
      </c>
      <c r="D2420" s="2" t="str">
        <f>IFERROR(__xludf.DUMMYFUNCTION("""COMPUTED_VALUE"""),"5KM OVERALL M")</f>
        <v>5KM OVERALL M</v>
      </c>
      <c r="E2420" s="1">
        <f>IFERROR(__xludf.DUMMYFUNCTION("""COMPUTED_VALUE"""),2.0)</f>
        <v>2</v>
      </c>
      <c r="F2420" s="1" t="str">
        <f>IFERROR(__xludf.DUMMYFUNCTION("""COMPUTED_VALUE"""),"Male")</f>
        <v>Male</v>
      </c>
      <c r="G2420" s="4" t="b">
        <f>IFERROR(__xludf.DUMMYFUNCTION("""COMPUTED_VALUE"""),TRUE)</f>
        <v>1</v>
      </c>
      <c r="H2420" s="4" t="b">
        <f>IFERROR(__xludf.DUMMYFUNCTION("""COMPUTED_VALUE"""),FALSE)</f>
        <v>0</v>
      </c>
      <c r="I2420" s="4">
        <f>IFERROR(__xludf.DUMMYFUNCTION("""COMPUTED_VALUE"""),0.2549440625)</f>
        <v>0.2549440625</v>
      </c>
      <c r="J2420" s="4">
        <f>IFERROR(__xludf.DUMMYFUNCTION("""COMPUTED_VALUE"""),45949.279057945416)</f>
        <v>45949.27906</v>
      </c>
      <c r="K2420" s="4" t="str">
        <f>IFERROR(__xludf.DUMMYFUNCTION("""COMPUTED_VALUE"""),"")</f>
        <v/>
      </c>
      <c r="L2420" s="4">
        <f>IFERROR(__xludf.DUMMYFUNCTION("""COMPUTED_VALUE"""),45949.29761615151)</f>
        <v>45949.29762</v>
      </c>
      <c r="M2420" s="1" t="str">
        <f>IFERROR(__xludf.DUMMYFUNCTION("""COMPUTED_VALUE"""),"RFID")</f>
        <v>RFID</v>
      </c>
      <c r="N2420" s="5">
        <f>IFERROR(__xludf.DUMMYFUNCTION("""COMPUTED_VALUE"""),0.009645550925925925)</f>
        <v>0.009645550926</v>
      </c>
      <c r="O2420" s="5" t="str">
        <f>IFERROR(__xludf.DUMMYFUNCTION("""COMPUTED_VALUE"""),"")</f>
        <v/>
      </c>
      <c r="P2420" s="5" t="str">
        <f>IFERROR(__xludf.DUMMYFUNCTION("""COMPUTED_VALUE"""),"")</f>
        <v/>
      </c>
      <c r="Q2420" s="5">
        <f>IFERROR(__xludf.DUMMYFUNCTION("""COMPUTED_VALUE"""),0.008534416666666666)</f>
        <v>0.008534416667</v>
      </c>
      <c r="R2420" s="4">
        <f>IFERROR(__xludf.DUMMYFUNCTION("""COMPUTED_VALUE"""),45949.04267208901)</f>
        <v>45949.04267</v>
      </c>
      <c r="S2420" s="1" t="b">
        <f>IFERROR(__xludf.DUMMYFUNCTION("""COMPUTED_VALUE"""),TRUE)</f>
        <v>1</v>
      </c>
      <c r="T2420" s="1" t="b">
        <f>IFERROR(__xludf.DUMMYFUNCTION("""COMPUTED_VALUE"""),FALSE)</f>
        <v>0</v>
      </c>
      <c r="U2420" s="1" t="str">
        <f>IFERROR(__xludf.DUMMYFUNCTION("""COMPUTED_VALUE"""),"VALID")</f>
        <v>VALID</v>
      </c>
      <c r="V2420" s="1">
        <f>IFERROR(__xludf.DUMMYFUNCTION("""COMPUTED_VALUE"""),761.0)</f>
        <v>761</v>
      </c>
      <c r="W2420" s="1">
        <f>IFERROR(__xludf.DUMMYFUNCTION("""COMPUTED_VALUE"""),1349.0)</f>
        <v>1349</v>
      </c>
      <c r="X2420" s="1">
        <f>IFERROR(__xludf.DUMMYFUNCTION("""COMPUTED_VALUE"""),1093.0)</f>
        <v>1093</v>
      </c>
      <c r="Y2420" s="2"/>
      <c r="Z2420" s="2"/>
    </row>
    <row r="2421">
      <c r="A2421" s="1">
        <f>IFERROR(__xludf.DUMMYFUNCTION("""COMPUTED_VALUE"""),2420.0)</f>
        <v>2420</v>
      </c>
      <c r="B2421" s="1">
        <f>IFERROR(__xludf.DUMMYFUNCTION("""COMPUTED_VALUE"""),6231.0)</f>
        <v>6231</v>
      </c>
      <c r="C2421" s="2" t="str">
        <f>IFERROR(__xludf.DUMMYFUNCTION("""COMPUTED_VALUE"""),"Inridhoni")</f>
        <v>Inridhoni</v>
      </c>
      <c r="D2421" s="2" t="str">
        <f>IFERROR(__xludf.DUMMYFUNCTION("""COMPUTED_VALUE"""),"5KM OVERALL M")</f>
        <v>5KM OVERALL M</v>
      </c>
      <c r="E2421" s="1">
        <f>IFERROR(__xludf.DUMMYFUNCTION("""COMPUTED_VALUE"""),2.0)</f>
        <v>2</v>
      </c>
      <c r="F2421" s="1" t="str">
        <f>IFERROR(__xludf.DUMMYFUNCTION("""COMPUTED_VALUE"""),"Male")</f>
        <v>Male</v>
      </c>
      <c r="G2421" s="4" t="b">
        <f>IFERROR(__xludf.DUMMYFUNCTION("""COMPUTED_VALUE"""),TRUE)</f>
        <v>1</v>
      </c>
      <c r="H2421" s="4" t="b">
        <f>IFERROR(__xludf.DUMMYFUNCTION("""COMPUTED_VALUE"""),FALSE)</f>
        <v>0</v>
      </c>
      <c r="I2421" s="4">
        <f>IFERROR(__xludf.DUMMYFUNCTION("""COMPUTED_VALUE"""),0.2549440625)</f>
        <v>0.2549440625</v>
      </c>
      <c r="J2421" s="4">
        <f>IFERROR(__xludf.DUMMYFUNCTION("""COMPUTED_VALUE"""),45949.27751973963)</f>
        <v>45949.27752</v>
      </c>
      <c r="K2421" s="4" t="str">
        <f>IFERROR(__xludf.DUMMYFUNCTION("""COMPUTED_VALUE"""),"")</f>
        <v/>
      </c>
      <c r="L2421" s="4">
        <f>IFERROR(__xludf.DUMMYFUNCTION("""COMPUTED_VALUE"""),45949.29198768513)</f>
        <v>45949.29199</v>
      </c>
      <c r="M2421" s="1" t="str">
        <f>IFERROR(__xludf.DUMMYFUNCTION("""COMPUTED_VALUE"""),"RFID")</f>
        <v>RFID</v>
      </c>
      <c r="N2421" s="5">
        <f>IFERROR(__xludf.DUMMYFUNCTION("""COMPUTED_VALUE"""),0.009030273148148148)</f>
        <v>0.009030273148</v>
      </c>
      <c r="O2421" s="5" t="str">
        <f>IFERROR(__xludf.DUMMYFUNCTION("""COMPUTED_VALUE"""),"")</f>
        <v/>
      </c>
      <c r="P2421" s="5" t="str">
        <f>IFERROR(__xludf.DUMMYFUNCTION("""COMPUTED_VALUE"""),"")</f>
        <v/>
      </c>
      <c r="Q2421" s="5">
        <f>IFERROR(__xludf.DUMMYFUNCTION("""COMPUTED_VALUE"""),0.007408724537037037)</f>
        <v>0.007408724537</v>
      </c>
      <c r="R2421" s="4">
        <f>IFERROR(__xludf.DUMMYFUNCTION("""COMPUTED_VALUE"""),45949.03704362263)</f>
        <v>45949.03704</v>
      </c>
      <c r="S2421" s="1" t="b">
        <f>IFERROR(__xludf.DUMMYFUNCTION("""COMPUTED_VALUE"""),TRUE)</f>
        <v>1</v>
      </c>
      <c r="T2421" s="1" t="b">
        <f>IFERROR(__xludf.DUMMYFUNCTION("""COMPUTED_VALUE"""),FALSE)</f>
        <v>0</v>
      </c>
      <c r="U2421" s="1" t="str">
        <f>IFERROR(__xludf.DUMMYFUNCTION("""COMPUTED_VALUE"""),"VALID")</f>
        <v>VALID</v>
      </c>
      <c r="V2421" s="1">
        <f>IFERROR(__xludf.DUMMYFUNCTION("""COMPUTED_VALUE"""),628.0)</f>
        <v>628</v>
      </c>
      <c r="W2421" s="1">
        <f>IFERROR(__xludf.DUMMYFUNCTION("""COMPUTED_VALUE"""),1032.0)</f>
        <v>1032</v>
      </c>
      <c r="X2421" s="1">
        <f>IFERROR(__xludf.DUMMYFUNCTION("""COMPUTED_VALUE"""),827.0)</f>
        <v>827</v>
      </c>
      <c r="Y2421" s="2"/>
      <c r="Z2421" s="2"/>
    </row>
    <row r="2422">
      <c r="A2422" s="1">
        <f>IFERROR(__xludf.DUMMYFUNCTION("""COMPUTED_VALUE"""),2421.0)</f>
        <v>2421</v>
      </c>
      <c r="B2422" s="1">
        <f>IFERROR(__xludf.DUMMYFUNCTION("""COMPUTED_VALUE"""),6232.0)</f>
        <v>6232</v>
      </c>
      <c r="C2422" s="2" t="str">
        <f>IFERROR(__xludf.DUMMYFUNCTION("""COMPUTED_VALUE"""),"rifan")</f>
        <v>rifan</v>
      </c>
      <c r="D2422" s="2" t="str">
        <f>IFERROR(__xludf.DUMMYFUNCTION("""COMPUTED_VALUE"""),"5KM OVERALL M")</f>
        <v>5KM OVERALL M</v>
      </c>
      <c r="E2422" s="1">
        <f>IFERROR(__xludf.DUMMYFUNCTION("""COMPUTED_VALUE"""),2.0)</f>
        <v>2</v>
      </c>
      <c r="F2422" s="1" t="str">
        <f>IFERROR(__xludf.DUMMYFUNCTION("""COMPUTED_VALUE"""),"Male")</f>
        <v>Male</v>
      </c>
      <c r="G2422" s="4" t="b">
        <f>IFERROR(__xludf.DUMMYFUNCTION("""COMPUTED_VALUE"""),TRUE)</f>
        <v>1</v>
      </c>
      <c r="H2422" s="4" t="b">
        <f>IFERROR(__xludf.DUMMYFUNCTION("""COMPUTED_VALUE"""),FALSE)</f>
        <v>0</v>
      </c>
      <c r="I2422" s="4">
        <f>IFERROR(__xludf.DUMMYFUNCTION("""COMPUTED_VALUE"""),0.2549440625)</f>
        <v>0.2549440625</v>
      </c>
      <c r="J2422" s="4">
        <f>IFERROR(__xludf.DUMMYFUNCTION("""COMPUTED_VALUE"""),45949.27548851304)</f>
        <v>45949.27549</v>
      </c>
      <c r="K2422" s="4" t="str">
        <f>IFERROR(__xludf.DUMMYFUNCTION("""COMPUTED_VALUE"""),"")</f>
        <v/>
      </c>
      <c r="L2422" s="4">
        <f>IFERROR(__xludf.DUMMYFUNCTION("""COMPUTED_VALUE"""),45949.29168560479)</f>
        <v>45949.29169</v>
      </c>
      <c r="M2422" s="1" t="str">
        <f>IFERROR(__xludf.DUMMYFUNCTION("""COMPUTED_VALUE"""),"RFID")</f>
        <v>RFID</v>
      </c>
      <c r="N2422" s="5">
        <f>IFERROR(__xludf.DUMMYFUNCTION("""COMPUTED_VALUE"""),0.008217782407407408)</f>
        <v>0.008217782407</v>
      </c>
      <c r="O2422" s="5" t="str">
        <f>IFERROR(__xludf.DUMMYFUNCTION("""COMPUTED_VALUE"""),"")</f>
        <v/>
      </c>
      <c r="P2422" s="5" t="str">
        <f>IFERROR(__xludf.DUMMYFUNCTION("""COMPUTED_VALUE"""),"")</f>
        <v/>
      </c>
      <c r="Q2422" s="5">
        <f>IFERROR(__xludf.DUMMYFUNCTION("""COMPUTED_VALUE"""),0.00734830787037037)</f>
        <v>0.00734830787</v>
      </c>
      <c r="R2422" s="4">
        <f>IFERROR(__xludf.DUMMYFUNCTION("""COMPUTED_VALUE"""),45949.03674154229)</f>
        <v>45949.03674</v>
      </c>
      <c r="S2422" s="1" t="b">
        <f>IFERROR(__xludf.DUMMYFUNCTION("""COMPUTED_VALUE"""),TRUE)</f>
        <v>1</v>
      </c>
      <c r="T2422" s="1" t="b">
        <f>IFERROR(__xludf.DUMMYFUNCTION("""COMPUTED_VALUE"""),FALSE)</f>
        <v>0</v>
      </c>
      <c r="U2422" s="1" t="str">
        <f>IFERROR(__xludf.DUMMYFUNCTION("""COMPUTED_VALUE"""),"VALID")</f>
        <v>VALID</v>
      </c>
      <c r="V2422" s="1">
        <f>IFERROR(__xludf.DUMMYFUNCTION("""COMPUTED_VALUE"""),616.0)</f>
        <v>616</v>
      </c>
      <c r="W2422" s="1">
        <f>IFERROR(__xludf.DUMMYFUNCTION("""COMPUTED_VALUE"""),1009.0)</f>
        <v>1009</v>
      </c>
      <c r="X2422" s="1">
        <f>IFERROR(__xludf.DUMMYFUNCTION("""COMPUTED_VALUE"""),814.0)</f>
        <v>814</v>
      </c>
      <c r="Y2422" s="2"/>
      <c r="Z2422" s="2"/>
    </row>
    <row r="2423">
      <c r="A2423" s="1">
        <f>IFERROR(__xludf.DUMMYFUNCTION("""COMPUTED_VALUE"""),2422.0)</f>
        <v>2422</v>
      </c>
      <c r="B2423" s="1">
        <f>IFERROR(__xludf.DUMMYFUNCTION("""COMPUTED_VALUE"""),6234.0)</f>
        <v>6234</v>
      </c>
      <c r="C2423" s="2" t="str">
        <f>IFERROR(__xludf.DUMMYFUNCTION("""COMPUTED_VALUE"""),"Ari Sukma Setiawan")</f>
        <v>Ari Sukma Setiawan</v>
      </c>
      <c r="D2423" s="2" t="str">
        <f>IFERROR(__xludf.DUMMYFUNCTION("""COMPUTED_VALUE"""),"5KM OVERALL M")</f>
        <v>5KM OVERALL M</v>
      </c>
      <c r="E2423" s="1">
        <f>IFERROR(__xludf.DUMMYFUNCTION("""COMPUTED_VALUE"""),2.0)</f>
        <v>2</v>
      </c>
      <c r="F2423" s="1" t="str">
        <f>IFERROR(__xludf.DUMMYFUNCTION("""COMPUTED_VALUE"""),"Male")</f>
        <v>Male</v>
      </c>
      <c r="G2423" s="4" t="str">
        <f>IFERROR(__xludf.DUMMYFUNCTION("""COMPUTED_VALUE"""),"")</f>
        <v/>
      </c>
      <c r="H2423" s="4" t="b">
        <f>IFERROR(__xludf.DUMMYFUNCTION("""COMPUTED_VALUE"""),FALSE)</f>
        <v>0</v>
      </c>
      <c r="I2423" s="4">
        <f>IFERROR(__xludf.DUMMYFUNCTION("""COMPUTED_VALUE"""),0.2549440625)</f>
        <v>0.2549440625</v>
      </c>
      <c r="J2423" s="4" t="str">
        <f>IFERROR(__xludf.DUMMYFUNCTION("""COMPUTED_VALUE"""),"")</f>
        <v/>
      </c>
      <c r="K2423" s="4" t="str">
        <f>IFERROR(__xludf.DUMMYFUNCTION("""COMPUTED_VALUE"""),"")</f>
        <v/>
      </c>
      <c r="L2423" s="4" t="str">
        <f>IFERROR(__xludf.DUMMYFUNCTION("""COMPUTED_VALUE"""),"")</f>
        <v/>
      </c>
      <c r="M2423" s="1" t="str">
        <f>IFERROR(__xludf.DUMMYFUNCTION("""COMPUTED_VALUE"""),"RFID")</f>
        <v>RFID</v>
      </c>
      <c r="N2423" s="5" t="str">
        <f>IFERROR(__xludf.DUMMYFUNCTION("""COMPUTED_VALUE"""),"")</f>
        <v/>
      </c>
      <c r="O2423" s="5" t="str">
        <f>IFERROR(__xludf.DUMMYFUNCTION("""COMPUTED_VALUE"""),"")</f>
        <v/>
      </c>
      <c r="P2423" s="5" t="str">
        <f>IFERROR(__xludf.DUMMYFUNCTION("""COMPUTED_VALUE"""),"")</f>
        <v/>
      </c>
      <c r="Q2423" s="5" t="str">
        <f>IFERROR(__xludf.DUMMYFUNCTION("""COMPUTED_VALUE"""),"")</f>
        <v/>
      </c>
      <c r="R2423" s="4" t="str">
        <f>IFERROR(__xludf.DUMMYFUNCTION("""COMPUTED_VALUE"""),"")</f>
        <v/>
      </c>
      <c r="S2423" s="1" t="b">
        <f>IFERROR(__xludf.DUMMYFUNCTION("""COMPUTED_VALUE"""),FALSE)</f>
        <v>0</v>
      </c>
      <c r="T2423" s="1" t="b">
        <f>IFERROR(__xludf.DUMMYFUNCTION("""COMPUTED_VALUE"""),FALSE)</f>
        <v>0</v>
      </c>
      <c r="U2423" s="1" t="str">
        <f>IFERROR(__xludf.DUMMYFUNCTION("""COMPUTED_VALUE"""),"DSQ")</f>
        <v>DSQ</v>
      </c>
      <c r="V2423" s="1" t="str">
        <f>IFERROR(__xludf.DUMMYFUNCTION("""COMPUTED_VALUE"""),"DSQ")</f>
        <v>DSQ</v>
      </c>
      <c r="W2423" s="1" t="str">
        <f>IFERROR(__xludf.DUMMYFUNCTION("""COMPUTED_VALUE"""),"DSQ")</f>
        <v>DSQ</v>
      </c>
      <c r="X2423" s="1" t="str">
        <f>IFERROR(__xludf.DUMMYFUNCTION("""COMPUTED_VALUE"""),"DSQ")</f>
        <v>DSQ</v>
      </c>
      <c r="Y2423" s="2"/>
      <c r="Z2423" s="2" t="str">
        <f>IFERROR(__xludf.DUMMYFUNCTION("""COMPUTED_VALUE"""),"")</f>
        <v/>
      </c>
    </row>
    <row r="2424">
      <c r="A2424" s="1">
        <f>IFERROR(__xludf.DUMMYFUNCTION("""COMPUTED_VALUE"""),2423.0)</f>
        <v>2423</v>
      </c>
      <c r="B2424" s="1">
        <f>IFERROR(__xludf.DUMMYFUNCTION("""COMPUTED_VALUE"""),6236.0)</f>
        <v>6236</v>
      </c>
      <c r="C2424" s="2" t="str">
        <f>IFERROR(__xludf.DUMMYFUNCTION("""COMPUTED_VALUE"""),"rian huthut")</f>
        <v>rian huthut</v>
      </c>
      <c r="D2424" s="2" t="str">
        <f>IFERROR(__xludf.DUMMYFUNCTION("""COMPUTED_VALUE"""),"5KM OVERALL M")</f>
        <v>5KM OVERALL M</v>
      </c>
      <c r="E2424" s="1">
        <f>IFERROR(__xludf.DUMMYFUNCTION("""COMPUTED_VALUE"""),2.0)</f>
        <v>2</v>
      </c>
      <c r="F2424" s="1" t="str">
        <f>IFERROR(__xludf.DUMMYFUNCTION("""COMPUTED_VALUE"""),"Male")</f>
        <v>Male</v>
      </c>
      <c r="G2424" s="4" t="b">
        <f>IFERROR(__xludf.DUMMYFUNCTION("""COMPUTED_VALUE"""),TRUE)</f>
        <v>1</v>
      </c>
      <c r="H2424" s="4" t="b">
        <f>IFERROR(__xludf.DUMMYFUNCTION("""COMPUTED_VALUE"""),FALSE)</f>
        <v>0</v>
      </c>
      <c r="I2424" s="4">
        <f>IFERROR(__xludf.DUMMYFUNCTION("""COMPUTED_VALUE"""),0.2549440625)</f>
        <v>0.2549440625</v>
      </c>
      <c r="J2424" s="4">
        <f>IFERROR(__xludf.DUMMYFUNCTION("""COMPUTED_VALUE"""),45949.269689945075)</f>
        <v>45949.26969</v>
      </c>
      <c r="K2424" s="4" t="str">
        <f>IFERROR(__xludf.DUMMYFUNCTION("""COMPUTED_VALUE"""),"")</f>
        <v/>
      </c>
      <c r="L2424" s="4">
        <f>IFERROR(__xludf.DUMMYFUNCTION("""COMPUTED_VALUE"""),45949.28069600453)</f>
        <v>45949.2807</v>
      </c>
      <c r="M2424" s="1" t="str">
        <f>IFERROR(__xludf.DUMMYFUNCTION("""COMPUTED_VALUE"""),"RFID")</f>
        <v>RFID</v>
      </c>
      <c r="N2424" s="5">
        <f>IFERROR(__xludf.DUMMYFUNCTION("""COMPUTED_VALUE"""),0.0058983518518518525)</f>
        <v>0.005898351852</v>
      </c>
      <c r="O2424" s="5" t="str">
        <f>IFERROR(__xludf.DUMMYFUNCTION("""COMPUTED_VALUE"""),"")</f>
        <v/>
      </c>
      <c r="P2424" s="5" t="str">
        <f>IFERROR(__xludf.DUMMYFUNCTION("""COMPUTED_VALUE"""),"")</f>
        <v/>
      </c>
      <c r="Q2424" s="5">
        <f>IFERROR(__xludf.DUMMYFUNCTION("""COMPUTED_VALUE"""),0.005150388888888888)</f>
        <v>0.005150388889</v>
      </c>
      <c r="R2424" s="4">
        <f>IFERROR(__xludf.DUMMYFUNCTION("""COMPUTED_VALUE"""),45949.02575194203)</f>
        <v>45949.02575</v>
      </c>
      <c r="S2424" s="1" t="b">
        <f>IFERROR(__xludf.DUMMYFUNCTION("""COMPUTED_VALUE"""),TRUE)</f>
        <v>1</v>
      </c>
      <c r="T2424" s="1" t="b">
        <f>IFERROR(__xludf.DUMMYFUNCTION("""COMPUTED_VALUE"""),FALSE)</f>
        <v>0</v>
      </c>
      <c r="U2424" s="1" t="str">
        <f>IFERROR(__xludf.DUMMYFUNCTION("""COMPUTED_VALUE"""),"VALID")</f>
        <v>VALID</v>
      </c>
      <c r="V2424" s="1">
        <f>IFERROR(__xludf.DUMMYFUNCTION("""COMPUTED_VALUE"""),209.0)</f>
        <v>209</v>
      </c>
      <c r="W2424" s="1">
        <f>IFERROR(__xludf.DUMMYFUNCTION("""COMPUTED_VALUE"""),324.0)</f>
        <v>324</v>
      </c>
      <c r="X2424" s="1">
        <f>IFERROR(__xludf.DUMMYFUNCTION("""COMPUTED_VALUE"""),284.0)</f>
        <v>284</v>
      </c>
      <c r="Y2424" s="2"/>
      <c r="Z2424" s="2"/>
    </row>
    <row r="2425">
      <c r="A2425" s="1">
        <f>IFERROR(__xludf.DUMMYFUNCTION("""COMPUTED_VALUE"""),2424.0)</f>
        <v>2424</v>
      </c>
      <c r="B2425" s="1">
        <f>IFERROR(__xludf.DUMMYFUNCTION("""COMPUTED_VALUE"""),6237.0)</f>
        <v>6237</v>
      </c>
      <c r="C2425" s="2" t="str">
        <f>IFERROR(__xludf.DUMMYFUNCTION("""COMPUTED_VALUE"""),"nanda")</f>
        <v>nanda</v>
      </c>
      <c r="D2425" s="2" t="str">
        <f>IFERROR(__xludf.DUMMYFUNCTION("""COMPUTED_VALUE"""),"5KM OVERALL M")</f>
        <v>5KM OVERALL M</v>
      </c>
      <c r="E2425" s="1">
        <f>IFERROR(__xludf.DUMMYFUNCTION("""COMPUTED_VALUE"""),2.0)</f>
        <v>2</v>
      </c>
      <c r="F2425" s="1" t="str">
        <f>IFERROR(__xludf.DUMMYFUNCTION("""COMPUTED_VALUE"""),"Male")</f>
        <v>Male</v>
      </c>
      <c r="G2425" s="4" t="b">
        <f>IFERROR(__xludf.DUMMYFUNCTION("""COMPUTED_VALUE"""),TRUE)</f>
        <v>1</v>
      </c>
      <c r="H2425" s="4" t="b">
        <f>IFERROR(__xludf.DUMMYFUNCTION("""COMPUTED_VALUE"""),TRUE)</f>
        <v>1</v>
      </c>
      <c r="I2425" s="4">
        <f>IFERROR(__xludf.DUMMYFUNCTION("""COMPUTED_VALUE"""),0.2549440625)</f>
        <v>0.2549440625</v>
      </c>
      <c r="J2425" s="4">
        <f>IFERROR(__xludf.DUMMYFUNCTION("""COMPUTED_VALUE"""),45949.27105448113)</f>
        <v>45949.27105</v>
      </c>
      <c r="K2425" s="4" t="str">
        <f>IFERROR(__xludf.DUMMYFUNCTION("""COMPUTED_VALUE"""),"")</f>
        <v/>
      </c>
      <c r="L2425" s="4">
        <f>IFERROR(__xludf.DUMMYFUNCTION("""COMPUTED_VALUE"""),45949.283796709766)</f>
        <v>45949.2838</v>
      </c>
      <c r="M2425" s="1" t="str">
        <f>IFERROR(__xludf.DUMMYFUNCTION("""COMPUTED_VALUE"""),"RFID")</f>
        <v>RFID</v>
      </c>
      <c r="N2425" s="5">
        <f>IFERROR(__xludf.DUMMYFUNCTION("""COMPUTED_VALUE"""),0.0064441666666666675)</f>
        <v>0.006444166667</v>
      </c>
      <c r="O2425" s="5" t="str">
        <f>IFERROR(__xludf.DUMMYFUNCTION("""COMPUTED_VALUE"""),"")</f>
        <v/>
      </c>
      <c r="P2425" s="5" t="str">
        <f>IFERROR(__xludf.DUMMYFUNCTION("""COMPUTED_VALUE"""),"")</f>
        <v/>
      </c>
      <c r="Q2425" s="5">
        <f>IFERROR(__xludf.DUMMYFUNCTION("""COMPUTED_VALUE"""),0.005770530092592593)</f>
        <v>0.005770530093</v>
      </c>
      <c r="R2425" s="4">
        <f>IFERROR(__xludf.DUMMYFUNCTION("""COMPUTED_VALUE"""),45949.028852647265)</f>
        <v>45949.02885</v>
      </c>
      <c r="S2425" s="1" t="b">
        <f>IFERROR(__xludf.DUMMYFUNCTION("""COMPUTED_VALUE"""),TRUE)</f>
        <v>1</v>
      </c>
      <c r="T2425" s="1" t="b">
        <f>IFERROR(__xludf.DUMMYFUNCTION("""COMPUTED_VALUE"""),FALSE)</f>
        <v>0</v>
      </c>
      <c r="U2425" s="1" t="str">
        <f>IFERROR(__xludf.DUMMYFUNCTION("""COMPUTED_VALUE"""),"VALID")</f>
        <v>VALID</v>
      </c>
      <c r="V2425" s="1">
        <f>IFERROR(__xludf.DUMMYFUNCTION("""COMPUTED_VALUE"""),324.0)</f>
        <v>324</v>
      </c>
      <c r="W2425" s="1">
        <f>IFERROR(__xludf.DUMMYFUNCTION("""COMPUTED_VALUE"""),482.0)</f>
        <v>482</v>
      </c>
      <c r="X2425" s="1">
        <f>IFERROR(__xludf.DUMMYFUNCTION("""COMPUTED_VALUE"""),418.0)</f>
        <v>418</v>
      </c>
      <c r="Y2425" s="2"/>
      <c r="Z2425" s="2"/>
    </row>
    <row r="2426">
      <c r="A2426" s="1">
        <f>IFERROR(__xludf.DUMMYFUNCTION("""COMPUTED_VALUE"""),2425.0)</f>
        <v>2425</v>
      </c>
      <c r="B2426" s="1">
        <f>IFERROR(__xludf.DUMMYFUNCTION("""COMPUTED_VALUE"""),6238.0)</f>
        <v>6238</v>
      </c>
      <c r="C2426" s="2" t="str">
        <f>IFERROR(__xludf.DUMMYFUNCTION("""COMPUTED_VALUE"""),"Doni Rahman")</f>
        <v>Doni Rahman</v>
      </c>
      <c r="D2426" s="2" t="str">
        <f>IFERROR(__xludf.DUMMYFUNCTION("""COMPUTED_VALUE"""),"5KM OVERALL M")</f>
        <v>5KM OVERALL M</v>
      </c>
      <c r="E2426" s="1">
        <f>IFERROR(__xludf.DUMMYFUNCTION("""COMPUTED_VALUE"""),2.0)</f>
        <v>2</v>
      </c>
      <c r="F2426" s="1" t="str">
        <f>IFERROR(__xludf.DUMMYFUNCTION("""COMPUTED_VALUE"""),"Male")</f>
        <v>Male</v>
      </c>
      <c r="G2426" s="4" t="b">
        <f>IFERROR(__xludf.DUMMYFUNCTION("""COMPUTED_VALUE"""),TRUE)</f>
        <v>1</v>
      </c>
      <c r="H2426" s="4" t="b">
        <f>IFERROR(__xludf.DUMMYFUNCTION("""COMPUTED_VALUE"""),TRUE)</f>
        <v>1</v>
      </c>
      <c r="I2426" s="4">
        <f>IFERROR(__xludf.DUMMYFUNCTION("""COMPUTED_VALUE"""),0.2549440625)</f>
        <v>0.2549440625</v>
      </c>
      <c r="J2426" s="4">
        <f>IFERROR(__xludf.DUMMYFUNCTION("""COMPUTED_VALUE"""),45949.261998922004)</f>
        <v>45949.262</v>
      </c>
      <c r="K2426" s="4" t="str">
        <f>IFERROR(__xludf.DUMMYFUNCTION("""COMPUTED_VALUE"""),"")</f>
        <v/>
      </c>
      <c r="L2426" s="4">
        <f>IFERROR(__xludf.DUMMYFUNCTION("""COMPUTED_VALUE"""),45949.26740007228)</f>
        <v>45949.2674</v>
      </c>
      <c r="M2426" s="1" t="str">
        <f>IFERROR(__xludf.DUMMYFUNCTION("""COMPUTED_VALUE"""),"RFID")</f>
        <v>RFID</v>
      </c>
      <c r="N2426" s="5">
        <f>IFERROR(__xludf.DUMMYFUNCTION("""COMPUTED_VALUE"""),0.002821944444444444)</f>
        <v>0.002821944444</v>
      </c>
      <c r="O2426" s="5" t="str">
        <f>IFERROR(__xludf.DUMMYFUNCTION("""COMPUTED_VALUE"""),"")</f>
        <v/>
      </c>
      <c r="P2426" s="5" t="str">
        <f>IFERROR(__xludf.DUMMYFUNCTION("""COMPUTED_VALUE"""),"")</f>
        <v/>
      </c>
      <c r="Q2426" s="5">
        <f>IFERROR(__xludf.DUMMYFUNCTION("""COMPUTED_VALUE"""),0.002491201388888889)</f>
        <v>0.002491201389</v>
      </c>
      <c r="R2426" s="4">
        <f>IFERROR(__xludf.DUMMYFUNCTION("""COMPUTED_VALUE"""),45949.01245600978)</f>
        <v>45949.01246</v>
      </c>
      <c r="S2426" s="1" t="b">
        <f>IFERROR(__xludf.DUMMYFUNCTION("""COMPUTED_VALUE"""),TRUE)</f>
        <v>1</v>
      </c>
      <c r="T2426" s="1" t="b">
        <f>IFERROR(__xludf.DUMMYFUNCTION("""COMPUTED_VALUE"""),FALSE)</f>
        <v>0</v>
      </c>
      <c r="U2426" s="1" t="str">
        <f>IFERROR(__xludf.DUMMYFUNCTION("""COMPUTED_VALUE"""),"VALID")</f>
        <v>VALID</v>
      </c>
      <c r="V2426" s="1">
        <f>IFERROR(__xludf.DUMMYFUNCTION("""COMPUTED_VALUE"""),2.0)</f>
        <v>2</v>
      </c>
      <c r="W2426" s="1">
        <f>IFERROR(__xludf.DUMMYFUNCTION("""COMPUTED_VALUE"""),2.0)</f>
        <v>2</v>
      </c>
      <c r="X2426" s="1">
        <f>IFERROR(__xludf.DUMMYFUNCTION("""COMPUTED_VALUE"""),2.0)</f>
        <v>2</v>
      </c>
      <c r="Y2426" s="2"/>
      <c r="Z2426" s="2"/>
    </row>
    <row r="2427">
      <c r="A2427" s="1">
        <f>IFERROR(__xludf.DUMMYFUNCTION("""COMPUTED_VALUE"""),2426.0)</f>
        <v>2426</v>
      </c>
      <c r="B2427" s="1">
        <f>IFERROR(__xludf.DUMMYFUNCTION("""COMPUTED_VALUE"""),6239.0)</f>
        <v>6239</v>
      </c>
      <c r="C2427" s="2" t="str">
        <f>IFERROR(__xludf.DUMMYFUNCTION("""COMPUTED_VALUE"""),"ragilsabekti")</f>
        <v>ragilsabekti</v>
      </c>
      <c r="D2427" s="2" t="str">
        <f>IFERROR(__xludf.DUMMYFUNCTION("""COMPUTED_VALUE"""),"5KM OVERALL M")</f>
        <v>5KM OVERALL M</v>
      </c>
      <c r="E2427" s="1">
        <f>IFERROR(__xludf.DUMMYFUNCTION("""COMPUTED_VALUE"""),2.0)</f>
        <v>2</v>
      </c>
      <c r="F2427" s="1" t="str">
        <f>IFERROR(__xludf.DUMMYFUNCTION("""COMPUTED_VALUE"""),"Male")</f>
        <v>Male</v>
      </c>
      <c r="G2427" s="4" t="b">
        <f>IFERROR(__xludf.DUMMYFUNCTION("""COMPUTED_VALUE"""),TRUE)</f>
        <v>1</v>
      </c>
      <c r="H2427" s="4" t="b">
        <f>IFERROR(__xludf.DUMMYFUNCTION("""COMPUTED_VALUE"""),TRUE)</f>
        <v>1</v>
      </c>
      <c r="I2427" s="4">
        <f>IFERROR(__xludf.DUMMYFUNCTION("""COMPUTED_VALUE"""),0.2549440625)</f>
        <v>0.2549440625</v>
      </c>
      <c r="J2427" s="4">
        <f>IFERROR(__xludf.DUMMYFUNCTION("""COMPUTED_VALUE"""),45949.27282880106)</f>
        <v>45949.27283</v>
      </c>
      <c r="K2427" s="4" t="str">
        <f>IFERROR(__xludf.DUMMYFUNCTION("""COMPUTED_VALUE"""),"")</f>
        <v/>
      </c>
      <c r="L2427" s="4">
        <f>IFERROR(__xludf.DUMMYFUNCTION("""COMPUTED_VALUE"""),45949.28384878535)</f>
        <v>45949.28385</v>
      </c>
      <c r="M2427" s="1" t="str">
        <f>IFERROR(__xludf.DUMMYFUNCTION("""COMPUTED_VALUE"""),"RFID")</f>
        <v>RFID</v>
      </c>
      <c r="N2427" s="5">
        <f>IFERROR(__xludf.DUMMYFUNCTION("""COMPUTED_VALUE"""),0.007153893518518519)</f>
        <v>0.007153893519</v>
      </c>
      <c r="O2427" s="5" t="str">
        <f>IFERROR(__xludf.DUMMYFUNCTION("""COMPUTED_VALUE"""),"")</f>
        <v/>
      </c>
      <c r="P2427" s="5" t="str">
        <f>IFERROR(__xludf.DUMMYFUNCTION("""COMPUTED_VALUE"""),"")</f>
        <v/>
      </c>
      <c r="Q2427" s="5">
        <f>IFERROR(__xludf.DUMMYFUNCTION("""COMPUTED_VALUE"""),0.0057809444444444445)</f>
        <v>0.005780944444</v>
      </c>
      <c r="R2427" s="4">
        <f>IFERROR(__xludf.DUMMYFUNCTION("""COMPUTED_VALUE"""),45949.02890472285)</f>
        <v>45949.0289</v>
      </c>
      <c r="S2427" s="1" t="b">
        <f>IFERROR(__xludf.DUMMYFUNCTION("""COMPUTED_VALUE"""),TRUE)</f>
        <v>1</v>
      </c>
      <c r="T2427" s="1" t="b">
        <f>IFERROR(__xludf.DUMMYFUNCTION("""COMPUTED_VALUE"""),FALSE)</f>
        <v>0</v>
      </c>
      <c r="U2427" s="1" t="str">
        <f>IFERROR(__xludf.DUMMYFUNCTION("""COMPUTED_VALUE"""),"VALID")</f>
        <v>VALID</v>
      </c>
      <c r="V2427" s="1">
        <f>IFERROR(__xludf.DUMMYFUNCTION("""COMPUTED_VALUE"""),327.0)</f>
        <v>327</v>
      </c>
      <c r="W2427" s="1">
        <f>IFERROR(__xludf.DUMMYFUNCTION("""COMPUTED_VALUE"""),488.0)</f>
        <v>488</v>
      </c>
      <c r="X2427" s="1">
        <f>IFERROR(__xludf.DUMMYFUNCTION("""COMPUTED_VALUE"""),424.0)</f>
        <v>424</v>
      </c>
      <c r="Y2427" s="2"/>
      <c r="Z2427" s="2"/>
    </row>
    <row r="2428">
      <c r="A2428" s="1">
        <f>IFERROR(__xludf.DUMMYFUNCTION("""COMPUTED_VALUE"""),2427.0)</f>
        <v>2427</v>
      </c>
      <c r="B2428" s="1">
        <f>IFERROR(__xludf.DUMMYFUNCTION("""COMPUTED_VALUE"""),6241.0)</f>
        <v>6241</v>
      </c>
      <c r="C2428" s="2" t="str">
        <f>IFERROR(__xludf.DUMMYFUNCTION("""COMPUTED_VALUE"""),"Nizar")</f>
        <v>Nizar</v>
      </c>
      <c r="D2428" s="2" t="str">
        <f>IFERROR(__xludf.DUMMYFUNCTION("""COMPUTED_VALUE"""),"5KM OVERALL M")</f>
        <v>5KM OVERALL M</v>
      </c>
      <c r="E2428" s="1">
        <f>IFERROR(__xludf.DUMMYFUNCTION("""COMPUTED_VALUE"""),2.0)</f>
        <v>2</v>
      </c>
      <c r="F2428" s="1" t="str">
        <f>IFERROR(__xludf.DUMMYFUNCTION("""COMPUTED_VALUE"""),"Male")</f>
        <v>Male</v>
      </c>
      <c r="G2428" s="4" t="b">
        <f>IFERROR(__xludf.DUMMYFUNCTION("""COMPUTED_VALUE"""),TRUE)</f>
        <v>1</v>
      </c>
      <c r="H2428" s="4" t="b">
        <f>IFERROR(__xludf.DUMMYFUNCTION("""COMPUTED_VALUE"""),TRUE)</f>
        <v>1</v>
      </c>
      <c r="I2428" s="4">
        <f>IFERROR(__xludf.DUMMYFUNCTION("""COMPUTED_VALUE"""),0.2549440625)</f>
        <v>0.2549440625</v>
      </c>
      <c r="J2428" s="4">
        <f>IFERROR(__xludf.DUMMYFUNCTION("""COMPUTED_VALUE"""),45949.27543988983)</f>
        <v>45949.27544</v>
      </c>
      <c r="K2428" s="4" t="str">
        <f>IFERROR(__xludf.DUMMYFUNCTION("""COMPUTED_VALUE"""),"")</f>
        <v/>
      </c>
      <c r="L2428" s="4">
        <f>IFERROR(__xludf.DUMMYFUNCTION("""COMPUTED_VALUE"""),45949.2877376766)</f>
        <v>45949.28774</v>
      </c>
      <c r="M2428" s="1" t="str">
        <f>IFERROR(__xludf.DUMMYFUNCTION("""COMPUTED_VALUE"""),"RFID")</f>
        <v>RFID</v>
      </c>
      <c r="N2428" s="5">
        <f>IFERROR(__xludf.DUMMYFUNCTION("""COMPUTED_VALUE"""),0.008198328703703702)</f>
        <v>0.008198328704</v>
      </c>
      <c r="O2428" s="5" t="str">
        <f>IFERROR(__xludf.DUMMYFUNCTION("""COMPUTED_VALUE"""),"")</f>
        <v/>
      </c>
      <c r="P2428" s="5" t="str">
        <f>IFERROR(__xludf.DUMMYFUNCTION("""COMPUTED_VALUE"""),"")</f>
        <v/>
      </c>
      <c r="Q2428" s="5">
        <f>IFERROR(__xludf.DUMMYFUNCTION("""COMPUTED_VALUE"""),0.006558722222222223)</f>
        <v>0.006558722222</v>
      </c>
      <c r="R2428" s="4">
        <f>IFERROR(__xludf.DUMMYFUNCTION("""COMPUTED_VALUE"""),45949.0327936141)</f>
        <v>45949.03279</v>
      </c>
      <c r="S2428" s="1" t="b">
        <f>IFERROR(__xludf.DUMMYFUNCTION("""COMPUTED_VALUE"""),TRUE)</f>
        <v>1</v>
      </c>
      <c r="T2428" s="1" t="b">
        <f>IFERROR(__xludf.DUMMYFUNCTION("""COMPUTED_VALUE"""),FALSE)</f>
        <v>0</v>
      </c>
      <c r="U2428" s="1" t="str">
        <f>IFERROR(__xludf.DUMMYFUNCTION("""COMPUTED_VALUE"""),"VALID")</f>
        <v>VALID</v>
      </c>
      <c r="V2428" s="1">
        <f>IFERROR(__xludf.DUMMYFUNCTION("""COMPUTED_VALUE"""),484.0)</f>
        <v>484</v>
      </c>
      <c r="W2428" s="1">
        <f>IFERROR(__xludf.DUMMYFUNCTION("""COMPUTED_VALUE"""),754.0)</f>
        <v>754</v>
      </c>
      <c r="X2428" s="1">
        <f>IFERROR(__xludf.DUMMYFUNCTION("""COMPUTED_VALUE"""),626.0)</f>
        <v>626</v>
      </c>
      <c r="Y2428" s="2"/>
      <c r="Z2428" s="2"/>
    </row>
    <row r="2429">
      <c r="A2429" s="1">
        <f>IFERROR(__xludf.DUMMYFUNCTION("""COMPUTED_VALUE"""),2428.0)</f>
        <v>2428</v>
      </c>
      <c r="B2429" s="1">
        <f>IFERROR(__xludf.DUMMYFUNCTION("""COMPUTED_VALUE"""),6244.0)</f>
        <v>6244</v>
      </c>
      <c r="C2429" s="2" t="str">
        <f>IFERROR(__xludf.DUMMYFUNCTION("""COMPUTED_VALUE"""),"Arsyil")</f>
        <v>Arsyil</v>
      </c>
      <c r="D2429" s="2" t="str">
        <f>IFERROR(__xludf.DUMMYFUNCTION("""COMPUTED_VALUE"""),"5KM OVERALL M")</f>
        <v>5KM OVERALL M</v>
      </c>
      <c r="E2429" s="1">
        <f>IFERROR(__xludf.DUMMYFUNCTION("""COMPUTED_VALUE"""),2.0)</f>
        <v>2</v>
      </c>
      <c r="F2429" s="1" t="str">
        <f>IFERROR(__xludf.DUMMYFUNCTION("""COMPUTED_VALUE"""),"Male")</f>
        <v>Male</v>
      </c>
      <c r="G2429" s="4" t="b">
        <f>IFERROR(__xludf.DUMMYFUNCTION("""COMPUTED_VALUE"""),TRUE)</f>
        <v>1</v>
      </c>
      <c r="H2429" s="4" t="b">
        <f>IFERROR(__xludf.DUMMYFUNCTION("""COMPUTED_VALUE"""),TRUE)</f>
        <v>1</v>
      </c>
      <c r="I2429" s="4">
        <f>IFERROR(__xludf.DUMMYFUNCTION("""COMPUTED_VALUE"""),0.2549440625)</f>
        <v>0.2549440625</v>
      </c>
      <c r="J2429" s="4">
        <f>IFERROR(__xludf.DUMMYFUNCTION("""COMPUTED_VALUE"""),45949.276040644596)</f>
        <v>45949.27604</v>
      </c>
      <c r="K2429" s="4" t="str">
        <f>IFERROR(__xludf.DUMMYFUNCTION("""COMPUTED_VALUE"""),"")</f>
        <v/>
      </c>
      <c r="L2429" s="4">
        <f>IFERROR(__xludf.DUMMYFUNCTION("""COMPUTED_VALUE"""),45949.29063350301)</f>
        <v>45949.29063</v>
      </c>
      <c r="M2429" s="1" t="str">
        <f>IFERROR(__xludf.DUMMYFUNCTION("""COMPUTED_VALUE"""),"RFID")</f>
        <v>RFID</v>
      </c>
      <c r="N2429" s="5">
        <f>IFERROR(__xludf.DUMMYFUNCTION("""COMPUTED_VALUE"""),0.008438634259259259)</f>
        <v>0.008438634259</v>
      </c>
      <c r="O2429" s="5" t="str">
        <f>IFERROR(__xludf.DUMMYFUNCTION("""COMPUTED_VALUE"""),"")</f>
        <v/>
      </c>
      <c r="P2429" s="5" t="str">
        <f>IFERROR(__xludf.DUMMYFUNCTION("""COMPUTED_VALUE"""),"")</f>
        <v/>
      </c>
      <c r="Q2429" s="5">
        <f>IFERROR(__xludf.DUMMYFUNCTION("""COMPUTED_VALUE"""),0.00713788888888889)</f>
        <v>0.007137888889</v>
      </c>
      <c r="R2429" s="4">
        <f>IFERROR(__xludf.DUMMYFUNCTION("""COMPUTED_VALUE"""),45949.03568944051)</f>
        <v>45949.03569</v>
      </c>
      <c r="S2429" s="1" t="b">
        <f>IFERROR(__xludf.DUMMYFUNCTION("""COMPUTED_VALUE"""),TRUE)</f>
        <v>1</v>
      </c>
      <c r="T2429" s="1" t="b">
        <f>IFERROR(__xludf.DUMMYFUNCTION("""COMPUTED_VALUE"""),FALSE)</f>
        <v>0</v>
      </c>
      <c r="U2429" s="1" t="str">
        <f>IFERROR(__xludf.DUMMYFUNCTION("""COMPUTED_VALUE"""),"VALID")</f>
        <v>VALID</v>
      </c>
      <c r="V2429" s="1">
        <f>IFERROR(__xludf.DUMMYFUNCTION("""COMPUTED_VALUE"""),583.0)</f>
        <v>583</v>
      </c>
      <c r="W2429" s="1">
        <f>IFERROR(__xludf.DUMMYFUNCTION("""COMPUTED_VALUE"""),931.0)</f>
        <v>931</v>
      </c>
      <c r="X2429" s="1">
        <f>IFERROR(__xludf.DUMMYFUNCTION("""COMPUTED_VALUE"""),762.0)</f>
        <v>762</v>
      </c>
      <c r="Y2429" s="2"/>
      <c r="Z2429" s="2"/>
    </row>
    <row r="2430">
      <c r="A2430" s="1">
        <f>IFERROR(__xludf.DUMMYFUNCTION("""COMPUTED_VALUE"""),2429.0)</f>
        <v>2429</v>
      </c>
      <c r="B2430" s="1">
        <f>IFERROR(__xludf.DUMMYFUNCTION("""COMPUTED_VALUE"""),6246.0)</f>
        <v>6246</v>
      </c>
      <c r="C2430" s="2" t="str">
        <f>IFERROR(__xludf.DUMMYFUNCTION("""COMPUTED_VALUE"""),"Rafi")</f>
        <v>Rafi</v>
      </c>
      <c r="D2430" s="2" t="str">
        <f>IFERROR(__xludf.DUMMYFUNCTION("""COMPUTED_VALUE"""),"5KM OVERALL M")</f>
        <v>5KM OVERALL M</v>
      </c>
      <c r="E2430" s="1">
        <f>IFERROR(__xludf.DUMMYFUNCTION("""COMPUTED_VALUE"""),2.0)</f>
        <v>2</v>
      </c>
      <c r="F2430" s="1" t="str">
        <f>IFERROR(__xludf.DUMMYFUNCTION("""COMPUTED_VALUE"""),"Male")</f>
        <v>Male</v>
      </c>
      <c r="G2430" s="4" t="b">
        <f>IFERROR(__xludf.DUMMYFUNCTION("""COMPUTED_VALUE"""),TRUE)</f>
        <v>1</v>
      </c>
      <c r="H2430" s="4" t="b">
        <f>IFERROR(__xludf.DUMMYFUNCTION("""COMPUTED_VALUE"""),TRUE)</f>
        <v>1</v>
      </c>
      <c r="I2430" s="4">
        <f>IFERROR(__xludf.DUMMYFUNCTION("""COMPUTED_VALUE"""),0.2549440625)</f>
        <v>0.2549440625</v>
      </c>
      <c r="J2430" s="4">
        <f>IFERROR(__xludf.DUMMYFUNCTION("""COMPUTED_VALUE"""),45949.271894745776)</f>
        <v>45949.27189</v>
      </c>
      <c r="K2430" s="4" t="str">
        <f>IFERROR(__xludf.DUMMYFUNCTION("""COMPUTED_VALUE"""),"")</f>
        <v/>
      </c>
      <c r="L2430" s="4">
        <f>IFERROR(__xludf.DUMMYFUNCTION("""COMPUTED_VALUE"""),45949.28389393362)</f>
        <v>45949.28389</v>
      </c>
      <c r="M2430" s="1" t="str">
        <f>IFERROR(__xludf.DUMMYFUNCTION("""COMPUTED_VALUE"""),"RFID")</f>
        <v>RFID</v>
      </c>
      <c r="N2430" s="5">
        <f>IFERROR(__xludf.DUMMYFUNCTION("""COMPUTED_VALUE"""),0.006780273148148148)</f>
        <v>0.006780273148</v>
      </c>
      <c r="O2430" s="5" t="str">
        <f>IFERROR(__xludf.DUMMYFUNCTION("""COMPUTED_VALUE"""),"")</f>
        <v/>
      </c>
      <c r="P2430" s="5" t="str">
        <f>IFERROR(__xludf.DUMMYFUNCTION("""COMPUTED_VALUE"""),"")</f>
        <v/>
      </c>
      <c r="Q2430" s="5">
        <f>IFERROR(__xludf.DUMMYFUNCTION("""COMPUTED_VALUE"""),0.005789974537037036)</f>
        <v>0.005789974537</v>
      </c>
      <c r="R2430" s="4">
        <f>IFERROR(__xludf.DUMMYFUNCTION("""COMPUTED_VALUE"""),45949.02894987112)</f>
        <v>45949.02895</v>
      </c>
      <c r="S2430" s="1" t="b">
        <f>IFERROR(__xludf.DUMMYFUNCTION("""COMPUTED_VALUE"""),TRUE)</f>
        <v>1</v>
      </c>
      <c r="T2430" s="1" t="b">
        <f>IFERROR(__xludf.DUMMYFUNCTION("""COMPUTED_VALUE"""),FALSE)</f>
        <v>0</v>
      </c>
      <c r="U2430" s="1" t="str">
        <f>IFERROR(__xludf.DUMMYFUNCTION("""COMPUTED_VALUE"""),"VALID")</f>
        <v>VALID</v>
      </c>
      <c r="V2430" s="1">
        <f>IFERROR(__xludf.DUMMYFUNCTION("""COMPUTED_VALUE"""),334.0)</f>
        <v>334</v>
      </c>
      <c r="W2430" s="1">
        <f>IFERROR(__xludf.DUMMYFUNCTION("""COMPUTED_VALUE"""),497.0)</f>
        <v>497</v>
      </c>
      <c r="X2430" s="1">
        <f>IFERROR(__xludf.DUMMYFUNCTION("""COMPUTED_VALUE"""),433.0)</f>
        <v>433</v>
      </c>
      <c r="Y2430" s="2"/>
      <c r="Z2430" s="2"/>
    </row>
    <row r="2431">
      <c r="A2431" s="1">
        <f>IFERROR(__xludf.DUMMYFUNCTION("""COMPUTED_VALUE"""),2430.0)</f>
        <v>2430</v>
      </c>
      <c r="B2431" s="1">
        <f>IFERROR(__xludf.DUMMYFUNCTION("""COMPUTED_VALUE"""),6252.0)</f>
        <v>6252</v>
      </c>
      <c r="C2431" s="2" t="str">
        <f>IFERROR(__xludf.DUMMYFUNCTION("""COMPUTED_VALUE"""),"RidhaMS")</f>
        <v>RidhaMS</v>
      </c>
      <c r="D2431" s="2" t="str">
        <f>IFERROR(__xludf.DUMMYFUNCTION("""COMPUTED_VALUE"""),"5KM OVERALL M")</f>
        <v>5KM OVERALL M</v>
      </c>
      <c r="E2431" s="1">
        <f>IFERROR(__xludf.DUMMYFUNCTION("""COMPUTED_VALUE"""),2.0)</f>
        <v>2</v>
      </c>
      <c r="F2431" s="1" t="str">
        <f>IFERROR(__xludf.DUMMYFUNCTION("""COMPUTED_VALUE"""),"Male")</f>
        <v>Male</v>
      </c>
      <c r="G2431" s="4" t="b">
        <f>IFERROR(__xludf.DUMMYFUNCTION("""COMPUTED_VALUE"""),TRUE)</f>
        <v>1</v>
      </c>
      <c r="H2431" s="4" t="b">
        <f>IFERROR(__xludf.DUMMYFUNCTION("""COMPUTED_VALUE"""),TRUE)</f>
        <v>1</v>
      </c>
      <c r="I2431" s="4">
        <f>IFERROR(__xludf.DUMMYFUNCTION("""COMPUTED_VALUE"""),0.2549440625)</f>
        <v>0.2549440625</v>
      </c>
      <c r="J2431" s="4">
        <f>IFERROR(__xludf.DUMMYFUNCTION("""COMPUTED_VALUE"""),45949.27551281317)</f>
        <v>45949.27551</v>
      </c>
      <c r="K2431" s="4" t="str">
        <f>IFERROR(__xludf.DUMMYFUNCTION("""COMPUTED_VALUE"""),"")</f>
        <v/>
      </c>
      <c r="L2431" s="4">
        <f>IFERROR(__xludf.DUMMYFUNCTION("""COMPUTED_VALUE"""),45949.28874115082)</f>
        <v>45949.28874</v>
      </c>
      <c r="M2431" s="1" t="str">
        <f>IFERROR(__xludf.DUMMYFUNCTION("""COMPUTED_VALUE"""),"RFID")</f>
        <v>RFID</v>
      </c>
      <c r="N2431" s="5">
        <f>IFERROR(__xludf.DUMMYFUNCTION("""COMPUTED_VALUE"""),0.0082275)</f>
        <v>0.0082275</v>
      </c>
      <c r="O2431" s="5" t="str">
        <f>IFERROR(__xludf.DUMMYFUNCTION("""COMPUTED_VALUE"""),"")</f>
        <v/>
      </c>
      <c r="P2431" s="5" t="str">
        <f>IFERROR(__xludf.DUMMYFUNCTION("""COMPUTED_VALUE"""),"")</f>
        <v/>
      </c>
      <c r="Q2431" s="5">
        <f>IFERROR(__xludf.DUMMYFUNCTION("""COMPUTED_VALUE"""),0.006759416666666668)</f>
        <v>0.006759416667</v>
      </c>
      <c r="R2431" s="4">
        <f>IFERROR(__xludf.DUMMYFUNCTION("""COMPUTED_VALUE"""),45949.03379708832)</f>
        <v>45949.0338</v>
      </c>
      <c r="S2431" s="1" t="b">
        <f>IFERROR(__xludf.DUMMYFUNCTION("""COMPUTED_VALUE"""),TRUE)</f>
        <v>1</v>
      </c>
      <c r="T2431" s="1" t="b">
        <f>IFERROR(__xludf.DUMMYFUNCTION("""COMPUTED_VALUE"""),FALSE)</f>
        <v>0</v>
      </c>
      <c r="U2431" s="1" t="str">
        <f>IFERROR(__xludf.DUMMYFUNCTION("""COMPUTED_VALUE"""),"VALID")</f>
        <v>VALID</v>
      </c>
      <c r="V2431" s="1">
        <f>IFERROR(__xludf.DUMMYFUNCTION("""COMPUTED_VALUE"""),527.0)</f>
        <v>527</v>
      </c>
      <c r="W2431" s="1">
        <f>IFERROR(__xludf.DUMMYFUNCTION("""COMPUTED_VALUE"""),829.0)</f>
        <v>829</v>
      </c>
      <c r="X2431" s="1">
        <f>IFERROR(__xludf.DUMMYFUNCTION("""COMPUTED_VALUE"""),680.0)</f>
        <v>680</v>
      </c>
      <c r="Y2431" s="2"/>
      <c r="Z2431" s="2"/>
    </row>
    <row r="2432">
      <c r="A2432" s="1">
        <f>IFERROR(__xludf.DUMMYFUNCTION("""COMPUTED_VALUE"""),2431.0)</f>
        <v>2431</v>
      </c>
      <c r="B2432" s="1">
        <f>IFERROR(__xludf.DUMMYFUNCTION("""COMPUTED_VALUE"""),6253.0)</f>
        <v>6253</v>
      </c>
      <c r="C2432" s="2" t="str">
        <f>IFERROR(__xludf.DUMMYFUNCTION("""COMPUTED_VALUE"""),"SULTAN")</f>
        <v>SULTAN</v>
      </c>
      <c r="D2432" s="2" t="str">
        <f>IFERROR(__xludf.DUMMYFUNCTION("""COMPUTED_VALUE"""),"5KM OVERALL M")</f>
        <v>5KM OVERALL M</v>
      </c>
      <c r="E2432" s="1">
        <f>IFERROR(__xludf.DUMMYFUNCTION("""COMPUTED_VALUE"""),2.0)</f>
        <v>2</v>
      </c>
      <c r="F2432" s="1" t="str">
        <f>IFERROR(__xludf.DUMMYFUNCTION("""COMPUTED_VALUE"""),"Male")</f>
        <v>Male</v>
      </c>
      <c r="G2432" s="4" t="b">
        <f>IFERROR(__xludf.DUMMYFUNCTION("""COMPUTED_VALUE"""),TRUE)</f>
        <v>1</v>
      </c>
      <c r="H2432" s="4" t="b">
        <f>IFERROR(__xludf.DUMMYFUNCTION("""COMPUTED_VALUE"""),TRUE)</f>
        <v>1</v>
      </c>
      <c r="I2432" s="4">
        <f>IFERROR(__xludf.DUMMYFUNCTION("""COMPUTED_VALUE"""),0.2549440625)</f>
        <v>0.2549440625</v>
      </c>
      <c r="J2432" s="4">
        <f>IFERROR(__xludf.DUMMYFUNCTION("""COMPUTED_VALUE"""),45949.27202332909)</f>
        <v>45949.27202</v>
      </c>
      <c r="K2432" s="4" t="str">
        <f>IFERROR(__xludf.DUMMYFUNCTION("""COMPUTED_VALUE"""),"")</f>
        <v/>
      </c>
      <c r="L2432" s="4">
        <f>IFERROR(__xludf.DUMMYFUNCTION("""COMPUTED_VALUE"""),45949.281373048696)</f>
        <v>45949.28137</v>
      </c>
      <c r="M2432" s="1" t="str">
        <f>IFERROR(__xludf.DUMMYFUNCTION("""COMPUTED_VALUE"""),"RFID")</f>
        <v>RFID</v>
      </c>
      <c r="N2432" s="5">
        <f>IFERROR(__xludf.DUMMYFUNCTION("""COMPUTED_VALUE"""),0.006831708333333334)</f>
        <v>0.006831708333</v>
      </c>
      <c r="O2432" s="5" t="str">
        <f>IFERROR(__xludf.DUMMYFUNCTION("""COMPUTED_VALUE"""),"")</f>
        <v/>
      </c>
      <c r="P2432" s="5" t="str">
        <f>IFERROR(__xludf.DUMMYFUNCTION("""COMPUTED_VALUE"""),"")</f>
        <v/>
      </c>
      <c r="Q2432" s="5">
        <f>IFERROR(__xludf.DUMMYFUNCTION("""COMPUTED_VALUE"""),0.005285796296296296)</f>
        <v>0.005285796296</v>
      </c>
      <c r="R2432" s="4">
        <f>IFERROR(__xludf.DUMMYFUNCTION("""COMPUTED_VALUE"""),45949.026428986195)</f>
        <v>45949.02643</v>
      </c>
      <c r="S2432" s="1" t="b">
        <f>IFERROR(__xludf.DUMMYFUNCTION("""COMPUTED_VALUE"""),TRUE)</f>
        <v>1</v>
      </c>
      <c r="T2432" s="1" t="b">
        <f>IFERROR(__xludf.DUMMYFUNCTION("""COMPUTED_VALUE"""),FALSE)</f>
        <v>0</v>
      </c>
      <c r="U2432" s="1" t="str">
        <f>IFERROR(__xludf.DUMMYFUNCTION("""COMPUTED_VALUE"""),"VALID")</f>
        <v>VALID</v>
      </c>
      <c r="V2432" s="1">
        <f>IFERROR(__xludf.DUMMYFUNCTION("""COMPUTED_VALUE"""),233.0)</f>
        <v>233</v>
      </c>
      <c r="W2432" s="1">
        <f>IFERROR(__xludf.DUMMYFUNCTION("""COMPUTED_VALUE"""),357.0)</f>
        <v>357</v>
      </c>
      <c r="X2432" s="1">
        <f>IFERROR(__xludf.DUMMYFUNCTION("""COMPUTED_VALUE"""),311.0)</f>
        <v>311</v>
      </c>
      <c r="Y2432" s="2"/>
      <c r="Z2432" s="2"/>
    </row>
    <row r="2433">
      <c r="A2433" s="1">
        <f>IFERROR(__xludf.DUMMYFUNCTION("""COMPUTED_VALUE"""),2432.0)</f>
        <v>2432</v>
      </c>
      <c r="B2433" s="1">
        <f>IFERROR(__xludf.DUMMYFUNCTION("""COMPUTED_VALUE"""),6254.0)</f>
        <v>6254</v>
      </c>
      <c r="C2433" s="2" t="str">
        <f>IFERROR(__xludf.DUMMYFUNCTION("""COMPUTED_VALUE"""),"muhammad ramli")</f>
        <v>muhammad ramli</v>
      </c>
      <c r="D2433" s="2" t="str">
        <f>IFERROR(__xludf.DUMMYFUNCTION("""COMPUTED_VALUE"""),"5KM OVERALL M")</f>
        <v>5KM OVERALL M</v>
      </c>
      <c r="E2433" s="1">
        <f>IFERROR(__xludf.DUMMYFUNCTION("""COMPUTED_VALUE"""),2.0)</f>
        <v>2</v>
      </c>
      <c r="F2433" s="1" t="str">
        <f>IFERROR(__xludf.DUMMYFUNCTION("""COMPUTED_VALUE"""),"Male")</f>
        <v>Male</v>
      </c>
      <c r="G2433" s="4" t="b">
        <f>IFERROR(__xludf.DUMMYFUNCTION("""COMPUTED_VALUE"""),TRUE)</f>
        <v>1</v>
      </c>
      <c r="H2433" s="4" t="b">
        <f>IFERROR(__xludf.DUMMYFUNCTION("""COMPUTED_VALUE"""),TRUE)</f>
        <v>1</v>
      </c>
      <c r="I2433" s="4">
        <f>IFERROR(__xludf.DUMMYFUNCTION("""COMPUTED_VALUE"""),0.2549440625)</f>
        <v>0.2549440625</v>
      </c>
      <c r="J2433" s="4">
        <f>IFERROR(__xludf.DUMMYFUNCTION("""COMPUTED_VALUE"""),45949.27142947577)</f>
        <v>45949.27143</v>
      </c>
      <c r="K2433" s="4" t="str">
        <f>IFERROR(__xludf.DUMMYFUNCTION("""COMPUTED_VALUE"""),"")</f>
        <v/>
      </c>
      <c r="L2433" s="4">
        <f>IFERROR(__xludf.DUMMYFUNCTION("""COMPUTED_VALUE"""),45949.28424813268)</f>
        <v>45949.28425</v>
      </c>
      <c r="M2433" s="1" t="str">
        <f>IFERROR(__xludf.DUMMYFUNCTION("""COMPUTED_VALUE"""),"RFID")</f>
        <v>RFID</v>
      </c>
      <c r="N2433" s="5">
        <f>IFERROR(__xludf.DUMMYFUNCTION("""COMPUTED_VALUE"""),0.006594166666666667)</f>
        <v>0.006594166667</v>
      </c>
      <c r="O2433" s="5" t="str">
        <f>IFERROR(__xludf.DUMMYFUNCTION("""COMPUTED_VALUE"""),"")</f>
        <v/>
      </c>
      <c r="P2433" s="5" t="str">
        <f>IFERROR(__xludf.DUMMYFUNCTION("""COMPUTED_VALUE"""),"")</f>
        <v/>
      </c>
      <c r="Q2433" s="5">
        <f>IFERROR(__xludf.DUMMYFUNCTION("""COMPUTED_VALUE"""),0.005860814814814814)</f>
        <v>0.005860814815</v>
      </c>
      <c r="R2433" s="4">
        <f>IFERROR(__xludf.DUMMYFUNCTION("""COMPUTED_VALUE"""),45949.02930407018)</f>
        <v>45949.0293</v>
      </c>
      <c r="S2433" s="1" t="b">
        <f>IFERROR(__xludf.DUMMYFUNCTION("""COMPUTED_VALUE"""),TRUE)</f>
        <v>1</v>
      </c>
      <c r="T2433" s="1" t="b">
        <f>IFERROR(__xludf.DUMMYFUNCTION("""COMPUTED_VALUE"""),FALSE)</f>
        <v>0</v>
      </c>
      <c r="U2433" s="1" t="str">
        <f>IFERROR(__xludf.DUMMYFUNCTION("""COMPUTED_VALUE"""),"VALID")</f>
        <v>VALID</v>
      </c>
      <c r="V2433" s="1">
        <f>IFERROR(__xludf.DUMMYFUNCTION("""COMPUTED_VALUE"""),349.0)</f>
        <v>349</v>
      </c>
      <c r="W2433" s="1">
        <f>IFERROR(__xludf.DUMMYFUNCTION("""COMPUTED_VALUE"""),517.0)</f>
        <v>517</v>
      </c>
      <c r="X2433" s="1">
        <f>IFERROR(__xludf.DUMMYFUNCTION("""COMPUTED_VALUE"""),449.0)</f>
        <v>449</v>
      </c>
      <c r="Y2433" s="2"/>
      <c r="Z2433" s="2"/>
    </row>
    <row r="2434">
      <c r="A2434" s="1">
        <f>IFERROR(__xludf.DUMMYFUNCTION("""COMPUTED_VALUE"""),2433.0)</f>
        <v>2433</v>
      </c>
      <c r="B2434" s="1">
        <f>IFERROR(__xludf.DUMMYFUNCTION("""COMPUTED_VALUE"""),6255.0)</f>
        <v>6255</v>
      </c>
      <c r="C2434" s="2" t="str">
        <f>IFERROR(__xludf.DUMMYFUNCTION("""COMPUTED_VALUE"""),"M.AKBAR ADZHAR")</f>
        <v>M.AKBAR ADZHAR</v>
      </c>
      <c r="D2434" s="2" t="str">
        <f>IFERROR(__xludf.DUMMYFUNCTION("""COMPUTED_VALUE"""),"5KM OVERALL M")</f>
        <v>5KM OVERALL M</v>
      </c>
      <c r="E2434" s="1">
        <f>IFERROR(__xludf.DUMMYFUNCTION("""COMPUTED_VALUE"""),2.0)</f>
        <v>2</v>
      </c>
      <c r="F2434" s="1" t="str">
        <f>IFERROR(__xludf.DUMMYFUNCTION("""COMPUTED_VALUE"""),"Male")</f>
        <v>Male</v>
      </c>
      <c r="G2434" s="4" t="b">
        <f>IFERROR(__xludf.DUMMYFUNCTION("""COMPUTED_VALUE"""),TRUE)</f>
        <v>1</v>
      </c>
      <c r="H2434" s="4" t="b">
        <f>IFERROR(__xludf.DUMMYFUNCTION("""COMPUTED_VALUE"""),TRUE)</f>
        <v>1</v>
      </c>
      <c r="I2434" s="4">
        <f>IFERROR(__xludf.DUMMYFUNCTION("""COMPUTED_VALUE"""),0.2549440625)</f>
        <v>0.2549440625</v>
      </c>
      <c r="J2434" s="4">
        <f>IFERROR(__xludf.DUMMYFUNCTION("""COMPUTED_VALUE"""),45950.277291666665)</f>
        <v>45950.27729</v>
      </c>
      <c r="K2434" s="4" t="str">
        <f>IFERROR(__xludf.DUMMYFUNCTION("""COMPUTED_VALUE"""),"")</f>
        <v/>
      </c>
      <c r="L2434" s="4">
        <f>IFERROR(__xludf.DUMMYFUNCTION("""COMPUTED_VALUE"""),45949.29218906091)</f>
        <v>45949.29219</v>
      </c>
      <c r="M2434" s="1" t="str">
        <f>IFERROR(__xludf.DUMMYFUNCTION("""COMPUTED_VALUE"""),"RFID")</f>
        <v>RFID</v>
      </c>
      <c r="N2434" s="5">
        <f>IFERROR(__xludf.DUMMYFUNCTION("""COMPUTED_VALUE"""),0.008939041666666666)</f>
        <v>0.008939041667</v>
      </c>
      <c r="O2434" s="5" t="str">
        <f>IFERROR(__xludf.DUMMYFUNCTION("""COMPUTED_VALUE"""),"")</f>
        <v/>
      </c>
      <c r="P2434" s="5" t="str">
        <f>IFERROR(__xludf.DUMMYFUNCTION("""COMPUTED_VALUE"""),"")</f>
        <v/>
      </c>
      <c r="Q2434" s="5">
        <f>IFERROR(__xludf.DUMMYFUNCTION("""COMPUTED_VALUE"""),0.007449)</f>
        <v>0.007449</v>
      </c>
      <c r="R2434" s="4">
        <f>IFERROR(__xludf.DUMMYFUNCTION("""COMPUTED_VALUE"""),45949.037244998406)</f>
        <v>45949.03724</v>
      </c>
      <c r="S2434" s="1" t="b">
        <f>IFERROR(__xludf.DUMMYFUNCTION("""COMPUTED_VALUE"""),TRUE)</f>
        <v>1</v>
      </c>
      <c r="T2434" s="1" t="b">
        <f>IFERROR(__xludf.DUMMYFUNCTION("""COMPUTED_VALUE"""),FALSE)</f>
        <v>0</v>
      </c>
      <c r="U2434" s="1" t="str">
        <f>IFERROR(__xludf.DUMMYFUNCTION("""COMPUTED_VALUE"""),"VALID")</f>
        <v>VALID</v>
      </c>
      <c r="V2434" s="1">
        <f>IFERROR(__xludf.DUMMYFUNCTION("""COMPUTED_VALUE"""),630.0)</f>
        <v>630</v>
      </c>
      <c r="W2434" s="1">
        <f>IFERROR(__xludf.DUMMYFUNCTION("""COMPUTED_VALUE"""),1041.0)</f>
        <v>1041</v>
      </c>
      <c r="X2434" s="1">
        <f>IFERROR(__xludf.DUMMYFUNCTION("""COMPUTED_VALUE"""),830.0)</f>
        <v>830</v>
      </c>
      <c r="Y2434" s="2"/>
      <c r="Z2434" s="2" t="str">
        <f>IFERROR(__xludf.DUMMYFUNCTION("""COMPUTED_VALUE"""),"C")</f>
        <v>C</v>
      </c>
    </row>
    <row r="2435">
      <c r="A2435" s="1">
        <f>IFERROR(__xludf.DUMMYFUNCTION("""COMPUTED_VALUE"""),2434.0)</f>
        <v>2434</v>
      </c>
      <c r="B2435" s="1">
        <f>IFERROR(__xludf.DUMMYFUNCTION("""COMPUTED_VALUE"""),6256.0)</f>
        <v>6256</v>
      </c>
      <c r="C2435" s="2" t="str">
        <f>IFERROR(__xludf.DUMMYFUNCTION("""COMPUTED_VALUE"""),"Abdul Karim")</f>
        <v>Abdul Karim</v>
      </c>
      <c r="D2435" s="2" t="str">
        <f>IFERROR(__xludf.DUMMYFUNCTION("""COMPUTED_VALUE"""),"5KM OVERALL M")</f>
        <v>5KM OVERALL M</v>
      </c>
      <c r="E2435" s="1">
        <f>IFERROR(__xludf.DUMMYFUNCTION("""COMPUTED_VALUE"""),2.0)</f>
        <v>2</v>
      </c>
      <c r="F2435" s="1" t="str">
        <f>IFERROR(__xludf.DUMMYFUNCTION("""COMPUTED_VALUE"""),"Male")</f>
        <v>Male</v>
      </c>
      <c r="G2435" s="4" t="b">
        <f>IFERROR(__xludf.DUMMYFUNCTION("""COMPUTED_VALUE"""),TRUE)</f>
        <v>1</v>
      </c>
      <c r="H2435" s="4" t="b">
        <f>IFERROR(__xludf.DUMMYFUNCTION("""COMPUTED_VALUE"""),TRUE)</f>
        <v>1</v>
      </c>
      <c r="I2435" s="4">
        <f>IFERROR(__xludf.DUMMYFUNCTION("""COMPUTED_VALUE"""),0.2549440625)</f>
        <v>0.2549440625</v>
      </c>
      <c r="J2435" s="4">
        <f>IFERROR(__xludf.DUMMYFUNCTION("""COMPUTED_VALUE"""),45949.2720544658)</f>
        <v>45949.27205</v>
      </c>
      <c r="K2435" s="4" t="str">
        <f>IFERROR(__xludf.DUMMYFUNCTION("""COMPUTED_VALUE"""),"")</f>
        <v/>
      </c>
      <c r="L2435" s="4">
        <f>IFERROR(__xludf.DUMMYFUNCTION("""COMPUTED_VALUE"""),45949.28551198819)</f>
        <v>45949.28551</v>
      </c>
      <c r="M2435" s="1" t="str">
        <f>IFERROR(__xludf.DUMMYFUNCTION("""COMPUTED_VALUE"""),"RFID")</f>
        <v>RFID</v>
      </c>
      <c r="N2435" s="5">
        <f>IFERROR(__xludf.DUMMYFUNCTION("""COMPUTED_VALUE"""),0.006844162037037037)</f>
        <v>0.006844162037</v>
      </c>
      <c r="O2435" s="5" t="str">
        <f>IFERROR(__xludf.DUMMYFUNCTION("""COMPUTED_VALUE"""),"")</f>
        <v/>
      </c>
      <c r="P2435" s="5" t="str">
        <f>IFERROR(__xludf.DUMMYFUNCTION("""COMPUTED_VALUE"""),"")</f>
        <v/>
      </c>
      <c r="Q2435" s="5">
        <f>IFERROR(__xludf.DUMMYFUNCTION("""COMPUTED_VALUE"""),0.006113585648148148)</f>
        <v>0.006113585648</v>
      </c>
      <c r="R2435" s="4">
        <f>IFERROR(__xludf.DUMMYFUNCTION("""COMPUTED_VALUE"""),45949.03056792569)</f>
        <v>45949.03057</v>
      </c>
      <c r="S2435" s="1" t="b">
        <f>IFERROR(__xludf.DUMMYFUNCTION("""COMPUTED_VALUE"""),TRUE)</f>
        <v>1</v>
      </c>
      <c r="T2435" s="1" t="b">
        <f>IFERROR(__xludf.DUMMYFUNCTION("""COMPUTED_VALUE"""),FALSE)</f>
        <v>0</v>
      </c>
      <c r="U2435" s="1" t="str">
        <f>IFERROR(__xludf.DUMMYFUNCTION("""COMPUTED_VALUE"""),"VALID")</f>
        <v>VALID</v>
      </c>
      <c r="V2435" s="1">
        <f>IFERROR(__xludf.DUMMYFUNCTION("""COMPUTED_VALUE"""),397.0)</f>
        <v>397</v>
      </c>
      <c r="W2435" s="1">
        <f>IFERROR(__xludf.DUMMYFUNCTION("""COMPUTED_VALUE"""),604.0)</f>
        <v>604</v>
      </c>
      <c r="X2435" s="1">
        <f>IFERROR(__xludf.DUMMYFUNCTION("""COMPUTED_VALUE"""),510.0)</f>
        <v>510</v>
      </c>
      <c r="Y2435" s="2"/>
      <c r="Z2435" s="2"/>
    </row>
    <row r="2436">
      <c r="A2436" s="1">
        <f>IFERROR(__xludf.DUMMYFUNCTION("""COMPUTED_VALUE"""),2435.0)</f>
        <v>2435</v>
      </c>
      <c r="B2436" s="1">
        <f>IFERROR(__xludf.DUMMYFUNCTION("""COMPUTED_VALUE"""),6257.0)</f>
        <v>6257</v>
      </c>
      <c r="C2436" s="2" t="str">
        <f>IFERROR(__xludf.DUMMYFUNCTION("""COMPUTED_VALUE"""),"ahmad sufi")</f>
        <v>ahmad sufi</v>
      </c>
      <c r="D2436" s="2" t="str">
        <f>IFERROR(__xludf.DUMMYFUNCTION("""COMPUTED_VALUE"""),"5KM OVERALL M")</f>
        <v>5KM OVERALL M</v>
      </c>
      <c r="E2436" s="1">
        <f>IFERROR(__xludf.DUMMYFUNCTION("""COMPUTED_VALUE"""),2.0)</f>
        <v>2</v>
      </c>
      <c r="F2436" s="1" t="str">
        <f>IFERROR(__xludf.DUMMYFUNCTION("""COMPUTED_VALUE"""),"Male")</f>
        <v>Male</v>
      </c>
      <c r="G2436" s="4" t="b">
        <f>IFERROR(__xludf.DUMMYFUNCTION("""COMPUTED_VALUE"""),TRUE)</f>
        <v>1</v>
      </c>
      <c r="H2436" s="4" t="b">
        <f>IFERROR(__xludf.DUMMYFUNCTION("""COMPUTED_VALUE"""),TRUE)</f>
        <v>1</v>
      </c>
      <c r="I2436" s="4">
        <f>IFERROR(__xludf.DUMMYFUNCTION("""COMPUTED_VALUE"""),0.2549440625)</f>
        <v>0.2549440625</v>
      </c>
      <c r="J2436" s="4">
        <f>IFERROR(__xludf.DUMMYFUNCTION("""COMPUTED_VALUE"""),45949.26485326401)</f>
        <v>45949.26485</v>
      </c>
      <c r="K2436" s="4" t="str">
        <f>IFERROR(__xludf.DUMMYFUNCTION("""COMPUTED_VALUE"""),"")</f>
        <v/>
      </c>
      <c r="L2436" s="4">
        <f>IFERROR(__xludf.DUMMYFUNCTION("""COMPUTED_VALUE"""),45949.27249457062)</f>
        <v>45949.27249</v>
      </c>
      <c r="M2436" s="1" t="str">
        <f>IFERROR(__xludf.DUMMYFUNCTION("""COMPUTED_VALUE"""),"RFID")</f>
        <v>RFID</v>
      </c>
      <c r="N2436" s="5">
        <f>IFERROR(__xludf.DUMMYFUNCTION("""COMPUTED_VALUE"""),0.003963680555555555)</f>
        <v>0.003963680556</v>
      </c>
      <c r="O2436" s="5" t="str">
        <f>IFERROR(__xludf.DUMMYFUNCTION("""COMPUTED_VALUE"""),"")</f>
        <v/>
      </c>
      <c r="P2436" s="5" t="str">
        <f>IFERROR(__xludf.DUMMYFUNCTION("""COMPUTED_VALUE"""),"")</f>
        <v/>
      </c>
      <c r="Q2436" s="5">
        <f>IFERROR(__xludf.DUMMYFUNCTION("""COMPUTED_VALUE"""),0.003510101851851852)</f>
        <v>0.003510101852</v>
      </c>
      <c r="R2436" s="4">
        <f>IFERROR(__xludf.DUMMYFUNCTION("""COMPUTED_VALUE"""),45949.01755050812)</f>
        <v>45949.01755</v>
      </c>
      <c r="S2436" s="1" t="b">
        <f>IFERROR(__xludf.DUMMYFUNCTION("""COMPUTED_VALUE"""),TRUE)</f>
        <v>1</v>
      </c>
      <c r="T2436" s="1" t="b">
        <f>IFERROR(__xludf.DUMMYFUNCTION("""COMPUTED_VALUE"""),FALSE)</f>
        <v>0</v>
      </c>
      <c r="U2436" s="1" t="str">
        <f>IFERROR(__xludf.DUMMYFUNCTION("""COMPUTED_VALUE"""),"VALID")</f>
        <v>VALID</v>
      </c>
      <c r="V2436" s="1">
        <f>IFERROR(__xludf.DUMMYFUNCTION("""COMPUTED_VALUE"""),31.0)</f>
        <v>31</v>
      </c>
      <c r="W2436" s="1">
        <f>IFERROR(__xludf.DUMMYFUNCTION("""COMPUTED_VALUE"""),46.0)</f>
        <v>46</v>
      </c>
      <c r="X2436" s="1">
        <f>IFERROR(__xludf.DUMMYFUNCTION("""COMPUTED_VALUE"""),44.0)</f>
        <v>44</v>
      </c>
      <c r="Y2436" s="2"/>
      <c r="Z2436" s="2"/>
    </row>
    <row r="2437">
      <c r="A2437" s="1">
        <f>IFERROR(__xludf.DUMMYFUNCTION("""COMPUTED_VALUE"""),2436.0)</f>
        <v>2436</v>
      </c>
      <c r="B2437" s="1">
        <f>IFERROR(__xludf.DUMMYFUNCTION("""COMPUTED_VALUE"""),6258.0)</f>
        <v>6258</v>
      </c>
      <c r="C2437" s="2" t="str">
        <f>IFERROR(__xludf.DUMMYFUNCTION("""COMPUTED_VALUE"""),"M. Akbar Y")</f>
        <v>M. Akbar Y</v>
      </c>
      <c r="D2437" s="2" t="str">
        <f>IFERROR(__xludf.DUMMYFUNCTION("""COMPUTED_VALUE"""),"5KM OVERALL M")</f>
        <v>5KM OVERALL M</v>
      </c>
      <c r="E2437" s="1">
        <f>IFERROR(__xludf.DUMMYFUNCTION("""COMPUTED_VALUE"""),2.0)</f>
        <v>2</v>
      </c>
      <c r="F2437" s="1" t="str">
        <f>IFERROR(__xludf.DUMMYFUNCTION("""COMPUTED_VALUE"""),"Male")</f>
        <v>Male</v>
      </c>
      <c r="G2437" s="4" t="b">
        <f>IFERROR(__xludf.DUMMYFUNCTION("""COMPUTED_VALUE"""),TRUE)</f>
        <v>1</v>
      </c>
      <c r="H2437" s="4" t="b">
        <f>IFERROR(__xludf.DUMMYFUNCTION("""COMPUTED_VALUE"""),TRUE)</f>
        <v>1</v>
      </c>
      <c r="I2437" s="4">
        <f>IFERROR(__xludf.DUMMYFUNCTION("""COMPUTED_VALUE"""),0.2549440625)</f>
        <v>0.2549440625</v>
      </c>
      <c r="J2437" s="4">
        <f>IFERROR(__xludf.DUMMYFUNCTION("""COMPUTED_VALUE"""),45949.27370724011)</f>
        <v>45949.27371</v>
      </c>
      <c r="K2437" s="4" t="str">
        <f>IFERROR(__xludf.DUMMYFUNCTION("""COMPUTED_VALUE"""),"")</f>
        <v/>
      </c>
      <c r="L2437" s="4">
        <f>IFERROR(__xludf.DUMMYFUNCTION("""COMPUTED_VALUE"""),45949.286876565915)</f>
        <v>45949.28688</v>
      </c>
      <c r="M2437" s="1" t="str">
        <f>IFERROR(__xludf.DUMMYFUNCTION("""COMPUTED_VALUE"""),"RFID")</f>
        <v>RFID</v>
      </c>
      <c r="N2437" s="5">
        <f>IFERROR(__xludf.DUMMYFUNCTION("""COMPUTED_VALUE"""),0.007505273148148148)</f>
        <v>0.007505273148</v>
      </c>
      <c r="O2437" s="5" t="str">
        <f>IFERROR(__xludf.DUMMYFUNCTION("""COMPUTED_VALUE"""),"")</f>
        <v/>
      </c>
      <c r="P2437" s="5" t="str">
        <f>IFERROR(__xludf.DUMMYFUNCTION("""COMPUTED_VALUE"""),"")</f>
        <v/>
      </c>
      <c r="Q2437" s="5">
        <f>IFERROR(__xludf.DUMMYFUNCTION("""COMPUTED_VALUE"""),0.006386499999999999)</f>
        <v>0.0063865</v>
      </c>
      <c r="R2437" s="4">
        <f>IFERROR(__xludf.DUMMYFUNCTION("""COMPUTED_VALUE"""),45949.031932503414)</f>
        <v>45949.03193</v>
      </c>
      <c r="S2437" s="1" t="b">
        <f>IFERROR(__xludf.DUMMYFUNCTION("""COMPUTED_VALUE"""),TRUE)</f>
        <v>1</v>
      </c>
      <c r="T2437" s="1" t="b">
        <f>IFERROR(__xludf.DUMMYFUNCTION("""COMPUTED_VALUE"""),FALSE)</f>
        <v>0</v>
      </c>
      <c r="U2437" s="1" t="str">
        <f>IFERROR(__xludf.DUMMYFUNCTION("""COMPUTED_VALUE"""),"VALID")</f>
        <v>VALID</v>
      </c>
      <c r="V2437" s="1">
        <f>IFERROR(__xludf.DUMMYFUNCTION("""COMPUTED_VALUE"""),451.0)</f>
        <v>451</v>
      </c>
      <c r="W2437" s="1">
        <f>IFERROR(__xludf.DUMMYFUNCTION("""COMPUTED_VALUE"""),693.0)</f>
        <v>693</v>
      </c>
      <c r="X2437" s="1">
        <f>IFERROR(__xludf.DUMMYFUNCTION("""COMPUTED_VALUE"""),579.0)</f>
        <v>579</v>
      </c>
      <c r="Y2437" s="2"/>
      <c r="Z2437" s="2"/>
    </row>
    <row r="2438">
      <c r="A2438" s="1">
        <f>IFERROR(__xludf.DUMMYFUNCTION("""COMPUTED_VALUE"""),2437.0)</f>
        <v>2437</v>
      </c>
      <c r="B2438" s="1">
        <f>IFERROR(__xludf.DUMMYFUNCTION("""COMPUTED_VALUE"""),6262.0)</f>
        <v>6262</v>
      </c>
      <c r="C2438" s="2" t="str">
        <f>IFERROR(__xludf.DUMMYFUNCTION("""COMPUTED_VALUE"""),"Hafis")</f>
        <v>Hafis</v>
      </c>
      <c r="D2438" s="2" t="str">
        <f>IFERROR(__xludf.DUMMYFUNCTION("""COMPUTED_VALUE"""),"5KM OVERALL M")</f>
        <v>5KM OVERALL M</v>
      </c>
      <c r="E2438" s="1">
        <f>IFERROR(__xludf.DUMMYFUNCTION("""COMPUTED_VALUE"""),2.0)</f>
        <v>2</v>
      </c>
      <c r="F2438" s="1" t="str">
        <f>IFERROR(__xludf.DUMMYFUNCTION("""COMPUTED_VALUE"""),"Male")</f>
        <v>Male</v>
      </c>
      <c r="G2438" s="4" t="b">
        <f>IFERROR(__xludf.DUMMYFUNCTION("""COMPUTED_VALUE"""),TRUE)</f>
        <v>1</v>
      </c>
      <c r="H2438" s="4" t="b">
        <f>IFERROR(__xludf.DUMMYFUNCTION("""COMPUTED_VALUE"""),TRUE)</f>
        <v>1</v>
      </c>
      <c r="I2438" s="4">
        <f>IFERROR(__xludf.DUMMYFUNCTION("""COMPUTED_VALUE"""),0.2549440625)</f>
        <v>0.2549440625</v>
      </c>
      <c r="J2438" s="4">
        <f>IFERROR(__xludf.DUMMYFUNCTION("""COMPUTED_VALUE"""),45949.26348501907)</f>
        <v>45949.26349</v>
      </c>
      <c r="K2438" s="4" t="str">
        <f>IFERROR(__xludf.DUMMYFUNCTION("""COMPUTED_VALUE"""),"")</f>
        <v/>
      </c>
      <c r="L2438" s="4">
        <f>IFERROR(__xludf.DUMMYFUNCTION("""COMPUTED_VALUE"""),45949.27078628045)</f>
        <v>45949.27079</v>
      </c>
      <c r="M2438" s="1" t="str">
        <f>IFERROR(__xludf.DUMMYFUNCTION("""COMPUTED_VALUE"""),"RFID")</f>
        <v>RFID</v>
      </c>
      <c r="N2438" s="5">
        <f>IFERROR(__xludf.DUMMYFUNCTION("""COMPUTED_VALUE"""),0.003416384259259259)</f>
        <v>0.003416384259</v>
      </c>
      <c r="O2438" s="5" t="str">
        <f>IFERROR(__xludf.DUMMYFUNCTION("""COMPUTED_VALUE"""),"")</f>
        <v/>
      </c>
      <c r="P2438" s="5" t="str">
        <f>IFERROR(__xludf.DUMMYFUNCTION("""COMPUTED_VALUE"""),"")</f>
        <v/>
      </c>
      <c r="Q2438" s="5">
        <f>IFERROR(__xludf.DUMMYFUNCTION("""COMPUTED_VALUE"""),0.0031684444444444446)</f>
        <v>0.003168444444</v>
      </c>
      <c r="R2438" s="4">
        <f>IFERROR(__xludf.DUMMYFUNCTION("""COMPUTED_VALUE"""),45949.01584221795)</f>
        <v>45949.01584</v>
      </c>
      <c r="S2438" s="1" t="b">
        <f>IFERROR(__xludf.DUMMYFUNCTION("""COMPUTED_VALUE"""),TRUE)</f>
        <v>1</v>
      </c>
      <c r="T2438" s="1" t="b">
        <f>IFERROR(__xludf.DUMMYFUNCTION("""COMPUTED_VALUE"""),FALSE)</f>
        <v>0</v>
      </c>
      <c r="U2438" s="1" t="str">
        <f>IFERROR(__xludf.DUMMYFUNCTION("""COMPUTED_VALUE"""),"VALID")</f>
        <v>VALID</v>
      </c>
      <c r="V2438" s="1">
        <f>IFERROR(__xludf.DUMMYFUNCTION("""COMPUTED_VALUE"""),15.0)</f>
        <v>15</v>
      </c>
      <c r="W2438" s="1">
        <f>IFERROR(__xludf.DUMMYFUNCTION("""COMPUTED_VALUE"""),23.0)</f>
        <v>23</v>
      </c>
      <c r="X2438" s="1">
        <f>IFERROR(__xludf.DUMMYFUNCTION("""COMPUTED_VALUE"""),23.0)</f>
        <v>23</v>
      </c>
      <c r="Y2438" s="2"/>
      <c r="Z2438" s="2"/>
    </row>
    <row r="2439">
      <c r="A2439" s="1">
        <f>IFERROR(__xludf.DUMMYFUNCTION("""COMPUTED_VALUE"""),2438.0)</f>
        <v>2438</v>
      </c>
      <c r="B2439" s="1">
        <f>IFERROR(__xludf.DUMMYFUNCTION("""COMPUTED_VALUE"""),6265.0)</f>
        <v>6265</v>
      </c>
      <c r="C2439" s="2" t="str">
        <f>IFERROR(__xludf.DUMMYFUNCTION("""COMPUTED_VALUE"""),"DON")</f>
        <v>DON</v>
      </c>
      <c r="D2439" s="2" t="str">
        <f>IFERROR(__xludf.DUMMYFUNCTION("""COMPUTED_VALUE"""),"5KM OVERALL M")</f>
        <v>5KM OVERALL M</v>
      </c>
      <c r="E2439" s="1">
        <f>IFERROR(__xludf.DUMMYFUNCTION("""COMPUTED_VALUE"""),2.0)</f>
        <v>2</v>
      </c>
      <c r="F2439" s="1" t="str">
        <f>IFERROR(__xludf.DUMMYFUNCTION("""COMPUTED_VALUE"""),"Male")</f>
        <v>Male</v>
      </c>
      <c r="G2439" s="4" t="b">
        <f>IFERROR(__xludf.DUMMYFUNCTION("""COMPUTED_VALUE"""),TRUE)</f>
        <v>1</v>
      </c>
      <c r="H2439" s="4" t="b">
        <f>IFERROR(__xludf.DUMMYFUNCTION("""COMPUTED_VALUE"""),FALSE)</f>
        <v>0</v>
      </c>
      <c r="I2439" s="4">
        <f>IFERROR(__xludf.DUMMYFUNCTION("""COMPUTED_VALUE"""),0.2549440625)</f>
        <v>0.2549440625</v>
      </c>
      <c r="J2439" s="4">
        <f>IFERROR(__xludf.DUMMYFUNCTION("""COMPUTED_VALUE"""),45949.26764134191)</f>
        <v>45949.26764</v>
      </c>
      <c r="K2439" s="4" t="str">
        <f>IFERROR(__xludf.DUMMYFUNCTION("""COMPUTED_VALUE"""),"")</f>
        <v/>
      </c>
      <c r="L2439" s="4">
        <f>IFERROR(__xludf.DUMMYFUNCTION("""COMPUTED_VALUE"""),45949.27718907272)</f>
        <v>45949.27719</v>
      </c>
      <c r="M2439" s="1" t="str">
        <f>IFERROR(__xludf.DUMMYFUNCTION("""COMPUTED_VALUE"""),"RFID")</f>
        <v>RFID</v>
      </c>
      <c r="N2439" s="5">
        <f>IFERROR(__xludf.DUMMYFUNCTION("""COMPUTED_VALUE"""),0.005078912037037037)</f>
        <v>0.005078912037</v>
      </c>
      <c r="O2439" s="5" t="str">
        <f>IFERROR(__xludf.DUMMYFUNCTION("""COMPUTED_VALUE"""),"")</f>
        <v/>
      </c>
      <c r="P2439" s="5" t="str">
        <f>IFERROR(__xludf.DUMMYFUNCTION("""COMPUTED_VALUE"""),"")</f>
        <v/>
      </c>
      <c r="Q2439" s="5">
        <f>IFERROR(__xludf.DUMMYFUNCTION("""COMPUTED_VALUE"""),0.004449002314814815)</f>
        <v>0.004449002315</v>
      </c>
      <c r="R2439" s="4">
        <f>IFERROR(__xludf.DUMMYFUNCTION("""COMPUTED_VALUE"""),45949.02224501022)</f>
        <v>45949.02225</v>
      </c>
      <c r="S2439" s="1" t="b">
        <f>IFERROR(__xludf.DUMMYFUNCTION("""COMPUTED_VALUE"""),TRUE)</f>
        <v>1</v>
      </c>
      <c r="T2439" s="1" t="b">
        <f>IFERROR(__xludf.DUMMYFUNCTION("""COMPUTED_VALUE"""),FALSE)</f>
        <v>0</v>
      </c>
      <c r="U2439" s="1" t="str">
        <f>IFERROR(__xludf.DUMMYFUNCTION("""COMPUTED_VALUE"""),"VALID")</f>
        <v>VALID</v>
      </c>
      <c r="V2439" s="1">
        <f>IFERROR(__xludf.DUMMYFUNCTION("""COMPUTED_VALUE"""),116.0)</f>
        <v>116</v>
      </c>
      <c r="W2439" s="1">
        <f>IFERROR(__xludf.DUMMYFUNCTION("""COMPUTED_VALUE"""),177.0)</f>
        <v>177</v>
      </c>
      <c r="X2439" s="1">
        <f>IFERROR(__xludf.DUMMYFUNCTION("""COMPUTED_VALUE"""),157.0)</f>
        <v>157</v>
      </c>
      <c r="Y2439" s="2"/>
      <c r="Z2439" s="2"/>
    </row>
    <row r="2440">
      <c r="A2440" s="1">
        <f>IFERROR(__xludf.DUMMYFUNCTION("""COMPUTED_VALUE"""),2439.0)</f>
        <v>2439</v>
      </c>
      <c r="B2440" s="1">
        <f>IFERROR(__xludf.DUMMYFUNCTION("""COMPUTED_VALUE"""),6271.0)</f>
        <v>6271</v>
      </c>
      <c r="C2440" s="2" t="str">
        <f>IFERROR(__xludf.DUMMYFUNCTION("""COMPUTED_VALUE"""),"ALFI")</f>
        <v>ALFI</v>
      </c>
      <c r="D2440" s="2" t="str">
        <f>IFERROR(__xludf.DUMMYFUNCTION("""COMPUTED_VALUE"""),"5KM OVERALL M")</f>
        <v>5KM OVERALL M</v>
      </c>
      <c r="E2440" s="1">
        <f>IFERROR(__xludf.DUMMYFUNCTION("""COMPUTED_VALUE"""),2.0)</f>
        <v>2</v>
      </c>
      <c r="F2440" s="1" t="str">
        <f>IFERROR(__xludf.DUMMYFUNCTION("""COMPUTED_VALUE"""),"Male")</f>
        <v>Male</v>
      </c>
      <c r="G2440" s="4" t="b">
        <f>IFERROR(__xludf.DUMMYFUNCTION("""COMPUTED_VALUE"""),TRUE)</f>
        <v>1</v>
      </c>
      <c r="H2440" s="4" t="b">
        <f>IFERROR(__xludf.DUMMYFUNCTION("""COMPUTED_VALUE"""),TRUE)</f>
        <v>1</v>
      </c>
      <c r="I2440" s="4">
        <f>IFERROR(__xludf.DUMMYFUNCTION("""COMPUTED_VALUE"""),0.2549440625)</f>
        <v>0.2549440625</v>
      </c>
      <c r="J2440" s="4">
        <f>IFERROR(__xludf.DUMMYFUNCTION("""COMPUTED_VALUE"""),45949.26682184136)</f>
        <v>45949.26682</v>
      </c>
      <c r="K2440" s="4" t="str">
        <f>IFERROR(__xludf.DUMMYFUNCTION("""COMPUTED_VALUE"""),"")</f>
        <v/>
      </c>
      <c r="L2440" s="4">
        <f>IFERROR(__xludf.DUMMYFUNCTION("""COMPUTED_VALUE"""),45949.27635306244)</f>
        <v>45949.27635</v>
      </c>
      <c r="M2440" s="1" t="str">
        <f>IFERROR(__xludf.DUMMYFUNCTION("""COMPUTED_VALUE"""),"RFID")</f>
        <v>RFID</v>
      </c>
      <c r="N2440" s="5">
        <f>IFERROR(__xludf.DUMMYFUNCTION("""COMPUTED_VALUE"""),0.0047511111111111105)</f>
        <v>0.004751111111</v>
      </c>
      <c r="O2440" s="5" t="str">
        <f>IFERROR(__xludf.DUMMYFUNCTION("""COMPUTED_VALUE"""),"")</f>
        <v/>
      </c>
      <c r="P2440" s="5" t="str">
        <f>IFERROR(__xludf.DUMMYFUNCTION("""COMPUTED_VALUE"""),"")</f>
        <v/>
      </c>
      <c r="Q2440" s="5">
        <f>IFERROR(__xludf.DUMMYFUNCTION("""COMPUTED_VALUE"""),0.004281800925925927)</f>
        <v>0.004281800926</v>
      </c>
      <c r="R2440" s="4">
        <f>IFERROR(__xludf.DUMMYFUNCTION("""COMPUTED_VALUE"""),45949.02140899994)</f>
        <v>45949.02141</v>
      </c>
      <c r="S2440" s="1" t="b">
        <f>IFERROR(__xludf.DUMMYFUNCTION("""COMPUTED_VALUE"""),TRUE)</f>
        <v>1</v>
      </c>
      <c r="T2440" s="1" t="b">
        <f>IFERROR(__xludf.DUMMYFUNCTION("""COMPUTED_VALUE"""),FALSE)</f>
        <v>0</v>
      </c>
      <c r="U2440" s="1" t="str">
        <f>IFERROR(__xludf.DUMMYFUNCTION("""COMPUTED_VALUE"""),"VALID")</f>
        <v>VALID</v>
      </c>
      <c r="V2440" s="1">
        <f>IFERROR(__xludf.DUMMYFUNCTION("""COMPUTED_VALUE"""),100.0)</f>
        <v>100</v>
      </c>
      <c r="W2440" s="1">
        <f>IFERROR(__xludf.DUMMYFUNCTION("""COMPUTED_VALUE"""),157.0)</f>
        <v>157</v>
      </c>
      <c r="X2440" s="1">
        <f>IFERROR(__xludf.DUMMYFUNCTION("""COMPUTED_VALUE"""),138.0)</f>
        <v>138</v>
      </c>
      <c r="Y2440" s="2"/>
      <c r="Z2440" s="2"/>
    </row>
    <row r="2441">
      <c r="A2441" s="1">
        <f>IFERROR(__xludf.DUMMYFUNCTION("""COMPUTED_VALUE"""),2440.0)</f>
        <v>2440</v>
      </c>
      <c r="B2441" s="1">
        <f>IFERROR(__xludf.DUMMYFUNCTION("""COMPUTED_VALUE"""),6272.0)</f>
        <v>6272</v>
      </c>
      <c r="C2441" s="2" t="str">
        <f>IFERROR(__xludf.DUMMYFUNCTION("""COMPUTED_VALUE"""),"AHMAD ABDILLAH")</f>
        <v>AHMAD ABDILLAH</v>
      </c>
      <c r="D2441" s="2" t="str">
        <f>IFERROR(__xludf.DUMMYFUNCTION("""COMPUTED_VALUE"""),"5KM OVERALL M")</f>
        <v>5KM OVERALL M</v>
      </c>
      <c r="E2441" s="1">
        <f>IFERROR(__xludf.DUMMYFUNCTION("""COMPUTED_VALUE"""),2.0)</f>
        <v>2</v>
      </c>
      <c r="F2441" s="1" t="str">
        <f>IFERROR(__xludf.DUMMYFUNCTION("""COMPUTED_VALUE"""),"Male")</f>
        <v>Male</v>
      </c>
      <c r="G2441" s="4" t="b">
        <f>IFERROR(__xludf.DUMMYFUNCTION("""COMPUTED_VALUE"""),TRUE)</f>
        <v>1</v>
      </c>
      <c r="H2441" s="4" t="b">
        <f>IFERROR(__xludf.DUMMYFUNCTION("""COMPUTED_VALUE"""),FALSE)</f>
        <v>0</v>
      </c>
      <c r="I2441" s="4">
        <f>IFERROR(__xludf.DUMMYFUNCTION("""COMPUTED_VALUE"""),0.2549440625)</f>
        <v>0.2549440625</v>
      </c>
      <c r="J2441" s="4">
        <f>IFERROR(__xludf.DUMMYFUNCTION("""COMPUTED_VALUE"""),45949.27610308809)</f>
        <v>45949.2761</v>
      </c>
      <c r="K2441" s="4" t="str">
        <f>IFERROR(__xludf.DUMMYFUNCTION("""COMPUTED_VALUE"""),"")</f>
        <v/>
      </c>
      <c r="L2441" s="4">
        <f>IFERROR(__xludf.DUMMYFUNCTION("""COMPUTED_VALUE"""),45949.2930883786)</f>
        <v>45949.29309</v>
      </c>
      <c r="M2441" s="1" t="str">
        <f>IFERROR(__xludf.DUMMYFUNCTION("""COMPUTED_VALUE"""),"RFID")</f>
        <v>RFID</v>
      </c>
      <c r="N2441" s="5">
        <f>IFERROR(__xludf.DUMMYFUNCTION("""COMPUTED_VALUE"""),0.008463611111111113)</f>
        <v>0.008463611111</v>
      </c>
      <c r="O2441" s="5" t="str">
        <f>IFERROR(__xludf.DUMMYFUNCTION("""COMPUTED_VALUE"""),"")</f>
        <v/>
      </c>
      <c r="P2441" s="5" t="str">
        <f>IFERROR(__xludf.DUMMYFUNCTION("""COMPUTED_VALUE"""),"")</f>
        <v/>
      </c>
      <c r="Q2441" s="5">
        <f>IFERROR(__xludf.DUMMYFUNCTION("""COMPUTED_VALUE"""),0.007628863425925926)</f>
        <v>0.007628863426</v>
      </c>
      <c r="R2441" s="4">
        <f>IFERROR(__xludf.DUMMYFUNCTION("""COMPUTED_VALUE"""),45949.0381443161)</f>
        <v>45949.03814</v>
      </c>
      <c r="S2441" s="1" t="b">
        <f>IFERROR(__xludf.DUMMYFUNCTION("""COMPUTED_VALUE"""),TRUE)</f>
        <v>1</v>
      </c>
      <c r="T2441" s="1" t="b">
        <f>IFERROR(__xludf.DUMMYFUNCTION("""COMPUTED_VALUE"""),FALSE)</f>
        <v>0</v>
      </c>
      <c r="U2441" s="1" t="str">
        <f>IFERROR(__xludf.DUMMYFUNCTION("""COMPUTED_VALUE"""),"VALID")</f>
        <v>VALID</v>
      </c>
      <c r="V2441" s="1">
        <f>IFERROR(__xludf.DUMMYFUNCTION("""COMPUTED_VALUE"""),658.0)</f>
        <v>658</v>
      </c>
      <c r="W2441" s="1">
        <f>IFERROR(__xludf.DUMMYFUNCTION("""COMPUTED_VALUE"""),1108.0)</f>
        <v>1108</v>
      </c>
      <c r="X2441" s="1">
        <f>IFERROR(__xludf.DUMMYFUNCTION("""COMPUTED_VALUE"""),883.0)</f>
        <v>883</v>
      </c>
      <c r="Y2441" s="2"/>
      <c r="Z2441" s="2"/>
    </row>
    <row r="2442">
      <c r="A2442" s="1">
        <f>IFERROR(__xludf.DUMMYFUNCTION("""COMPUTED_VALUE"""),2441.0)</f>
        <v>2441</v>
      </c>
      <c r="B2442" s="1">
        <f>IFERROR(__xludf.DUMMYFUNCTION("""COMPUTED_VALUE"""),6274.0)</f>
        <v>6274</v>
      </c>
      <c r="C2442" s="2" t="str">
        <f>IFERROR(__xludf.DUMMYFUNCTION("""COMPUTED_VALUE"""),"Suryakamil")</f>
        <v>Suryakamil</v>
      </c>
      <c r="D2442" s="2" t="str">
        <f>IFERROR(__xludf.DUMMYFUNCTION("""COMPUTED_VALUE"""),"5KM OVERALL M")</f>
        <v>5KM OVERALL M</v>
      </c>
      <c r="E2442" s="1">
        <f>IFERROR(__xludf.DUMMYFUNCTION("""COMPUTED_VALUE"""),2.0)</f>
        <v>2</v>
      </c>
      <c r="F2442" s="1" t="str">
        <f>IFERROR(__xludf.DUMMYFUNCTION("""COMPUTED_VALUE"""),"Male")</f>
        <v>Male</v>
      </c>
      <c r="G2442" s="4" t="b">
        <f>IFERROR(__xludf.DUMMYFUNCTION("""COMPUTED_VALUE"""),TRUE)</f>
        <v>1</v>
      </c>
      <c r="H2442" s="4" t="b">
        <f>IFERROR(__xludf.DUMMYFUNCTION("""COMPUTED_VALUE"""),FALSE)</f>
        <v>0</v>
      </c>
      <c r="I2442" s="4">
        <f>IFERROR(__xludf.DUMMYFUNCTION("""COMPUTED_VALUE"""),0.2549440625)</f>
        <v>0.2549440625</v>
      </c>
      <c r="J2442" s="4">
        <f>IFERROR(__xludf.DUMMYFUNCTION("""COMPUTED_VALUE"""),45949.27628711241)</f>
        <v>45949.27629</v>
      </c>
      <c r="K2442" s="4" t="str">
        <f>IFERROR(__xludf.DUMMYFUNCTION("""COMPUTED_VALUE"""),"")</f>
        <v/>
      </c>
      <c r="L2442" s="4">
        <f>IFERROR(__xludf.DUMMYFUNCTION("""COMPUTED_VALUE"""),45949.29139391879)</f>
        <v>45949.29139</v>
      </c>
      <c r="M2442" s="1" t="str">
        <f>IFERROR(__xludf.DUMMYFUNCTION("""COMPUTED_VALUE"""),"RFID")</f>
        <v>RFID</v>
      </c>
      <c r="N2442" s="5">
        <f>IFERROR(__xludf.DUMMYFUNCTION("""COMPUTED_VALUE"""),0.008537222222222222)</f>
        <v>0.008537222222</v>
      </c>
      <c r="O2442" s="5" t="str">
        <f>IFERROR(__xludf.DUMMYFUNCTION("""COMPUTED_VALUE"""),"")</f>
        <v/>
      </c>
      <c r="P2442" s="5" t="str">
        <f>IFERROR(__xludf.DUMMYFUNCTION("""COMPUTED_VALUE"""),"")</f>
        <v/>
      </c>
      <c r="Q2442" s="5">
        <f>IFERROR(__xludf.DUMMYFUNCTION("""COMPUTED_VALUE"""),0.007289972222222223)</f>
        <v>0.007289972222</v>
      </c>
      <c r="R2442" s="4">
        <f>IFERROR(__xludf.DUMMYFUNCTION("""COMPUTED_VALUE"""),45949.03644985629)</f>
        <v>45949.03645</v>
      </c>
      <c r="S2442" s="1" t="b">
        <f>IFERROR(__xludf.DUMMYFUNCTION("""COMPUTED_VALUE"""),TRUE)</f>
        <v>1</v>
      </c>
      <c r="T2442" s="1" t="b">
        <f>IFERROR(__xludf.DUMMYFUNCTION("""COMPUTED_VALUE"""),FALSE)</f>
        <v>0</v>
      </c>
      <c r="U2442" s="1" t="str">
        <f>IFERROR(__xludf.DUMMYFUNCTION("""COMPUTED_VALUE"""),"VALID")</f>
        <v>VALID</v>
      </c>
      <c r="V2442" s="1">
        <f>IFERROR(__xludf.DUMMYFUNCTION("""COMPUTED_VALUE"""),608.0)</f>
        <v>608</v>
      </c>
      <c r="W2442" s="1">
        <f>IFERROR(__xludf.DUMMYFUNCTION("""COMPUTED_VALUE"""),993.0)</f>
        <v>993</v>
      </c>
      <c r="X2442" s="1">
        <f>IFERROR(__xludf.DUMMYFUNCTION("""COMPUTED_VALUE"""),802.0)</f>
        <v>802</v>
      </c>
      <c r="Y2442" s="2"/>
      <c r="Z2442" s="2"/>
    </row>
    <row r="2443">
      <c r="A2443" s="1">
        <f>IFERROR(__xludf.DUMMYFUNCTION("""COMPUTED_VALUE"""),2442.0)</f>
        <v>2442</v>
      </c>
      <c r="B2443" s="1">
        <f>IFERROR(__xludf.DUMMYFUNCTION("""COMPUTED_VALUE"""),6276.0)</f>
        <v>6276</v>
      </c>
      <c r="C2443" s="2" t="str">
        <f>IFERROR(__xludf.DUMMYFUNCTION("""COMPUTED_VALUE"""),"zubai")</f>
        <v>zubai</v>
      </c>
      <c r="D2443" s="2" t="str">
        <f>IFERROR(__xludf.DUMMYFUNCTION("""COMPUTED_VALUE"""),"5KM OVERALL M")</f>
        <v>5KM OVERALL M</v>
      </c>
      <c r="E2443" s="1">
        <f>IFERROR(__xludf.DUMMYFUNCTION("""COMPUTED_VALUE"""),2.0)</f>
        <v>2</v>
      </c>
      <c r="F2443" s="1" t="str">
        <f>IFERROR(__xludf.DUMMYFUNCTION("""COMPUTED_VALUE"""),"Male")</f>
        <v>Male</v>
      </c>
      <c r="G2443" s="4" t="b">
        <f>IFERROR(__xludf.DUMMYFUNCTION("""COMPUTED_VALUE"""),TRUE)</f>
        <v>1</v>
      </c>
      <c r="H2443" s="4" t="b">
        <f>IFERROR(__xludf.DUMMYFUNCTION("""COMPUTED_VALUE"""),FALSE)</f>
        <v>0</v>
      </c>
      <c r="I2443" s="4">
        <f>IFERROR(__xludf.DUMMYFUNCTION("""COMPUTED_VALUE"""),0.2549440625)</f>
        <v>0.2549440625</v>
      </c>
      <c r="J2443" s="4">
        <f>IFERROR(__xludf.DUMMYFUNCTION("""COMPUTED_VALUE"""),45949.2693982288)</f>
        <v>45949.2694</v>
      </c>
      <c r="K2443" s="4" t="str">
        <f>IFERROR(__xludf.DUMMYFUNCTION("""COMPUTED_VALUE"""),"")</f>
        <v/>
      </c>
      <c r="L2443" s="4">
        <f>IFERROR(__xludf.DUMMYFUNCTION("""COMPUTED_VALUE"""),45949.27991476972)</f>
        <v>45949.27991</v>
      </c>
      <c r="M2443" s="1" t="str">
        <f>IFERROR(__xludf.DUMMYFUNCTION("""COMPUTED_VALUE"""),"RFID")</f>
        <v>RFID</v>
      </c>
      <c r="N2443" s="5">
        <f>IFERROR(__xludf.DUMMYFUNCTION("""COMPUTED_VALUE"""),0.005781666666666666)</f>
        <v>0.005781666667</v>
      </c>
      <c r="O2443" s="5" t="str">
        <f>IFERROR(__xludf.DUMMYFUNCTION("""COMPUTED_VALUE"""),"")</f>
        <v/>
      </c>
      <c r="P2443" s="5" t="str">
        <f>IFERROR(__xludf.DUMMYFUNCTION("""COMPUTED_VALUE"""),"")</f>
        <v/>
      </c>
      <c r="Q2443" s="5">
        <f>IFERROR(__xludf.DUMMYFUNCTION("""COMPUTED_VALUE"""),0.004994141203703704)</f>
        <v>0.004994141204</v>
      </c>
      <c r="R2443" s="4">
        <f>IFERROR(__xludf.DUMMYFUNCTION("""COMPUTED_VALUE"""),45949.02497070722)</f>
        <v>45949.02497</v>
      </c>
      <c r="S2443" s="1" t="b">
        <f>IFERROR(__xludf.DUMMYFUNCTION("""COMPUTED_VALUE"""),TRUE)</f>
        <v>1</v>
      </c>
      <c r="T2443" s="1" t="b">
        <f>IFERROR(__xludf.DUMMYFUNCTION("""COMPUTED_VALUE"""),FALSE)</f>
        <v>0</v>
      </c>
      <c r="U2443" s="1" t="str">
        <f>IFERROR(__xludf.DUMMYFUNCTION("""COMPUTED_VALUE"""),"VALID")</f>
        <v>VALID</v>
      </c>
      <c r="V2443" s="1">
        <f>IFERROR(__xludf.DUMMYFUNCTION("""COMPUTED_VALUE"""),185.0)</f>
        <v>185</v>
      </c>
      <c r="W2443" s="1">
        <f>IFERROR(__xludf.DUMMYFUNCTION("""COMPUTED_VALUE"""),284.0)</f>
        <v>284</v>
      </c>
      <c r="X2443" s="1">
        <f>IFERROR(__xludf.DUMMYFUNCTION("""COMPUTED_VALUE"""),248.0)</f>
        <v>248</v>
      </c>
      <c r="Y2443" s="2"/>
      <c r="Z2443" s="2"/>
    </row>
    <row r="2444">
      <c r="A2444" s="1">
        <f>IFERROR(__xludf.DUMMYFUNCTION("""COMPUTED_VALUE"""),2443.0)</f>
        <v>2443</v>
      </c>
      <c r="B2444" s="1">
        <f>IFERROR(__xludf.DUMMYFUNCTION("""COMPUTED_VALUE"""),6277.0)</f>
        <v>6277</v>
      </c>
      <c r="C2444" s="2" t="str">
        <f>IFERROR(__xludf.DUMMYFUNCTION("""COMPUTED_VALUE"""),"Yehezkiel")</f>
        <v>Yehezkiel</v>
      </c>
      <c r="D2444" s="2" t="str">
        <f>IFERROR(__xludf.DUMMYFUNCTION("""COMPUTED_VALUE"""),"5KM OVERALL M")</f>
        <v>5KM OVERALL M</v>
      </c>
      <c r="E2444" s="1">
        <f>IFERROR(__xludf.DUMMYFUNCTION("""COMPUTED_VALUE"""),2.0)</f>
        <v>2</v>
      </c>
      <c r="F2444" s="1" t="str">
        <f>IFERROR(__xludf.DUMMYFUNCTION("""COMPUTED_VALUE"""),"Male")</f>
        <v>Male</v>
      </c>
      <c r="G2444" s="4" t="b">
        <f>IFERROR(__xludf.DUMMYFUNCTION("""COMPUTED_VALUE"""),TRUE)</f>
        <v>1</v>
      </c>
      <c r="H2444" s="4" t="b">
        <f>IFERROR(__xludf.DUMMYFUNCTION("""COMPUTED_VALUE"""),FALSE)</f>
        <v>0</v>
      </c>
      <c r="I2444" s="4">
        <f>IFERROR(__xludf.DUMMYFUNCTION("""COMPUTED_VALUE"""),0.2549440625)</f>
        <v>0.2549440625</v>
      </c>
      <c r="J2444" s="4">
        <f>IFERROR(__xludf.DUMMYFUNCTION("""COMPUTED_VALUE"""),45949.272398217654)</f>
        <v>45949.2724</v>
      </c>
      <c r="K2444" s="4" t="str">
        <f>IFERROR(__xludf.DUMMYFUNCTION("""COMPUTED_VALUE"""),"")</f>
        <v/>
      </c>
      <c r="L2444" s="4">
        <f>IFERROR(__xludf.DUMMYFUNCTION("""COMPUTED_VALUE"""),45949.28497031032)</f>
        <v>45949.28497</v>
      </c>
      <c r="M2444" s="1" t="str">
        <f>IFERROR(__xludf.DUMMYFUNCTION("""COMPUTED_VALUE"""),"RFID")</f>
        <v>RFID</v>
      </c>
      <c r="N2444" s="5">
        <f>IFERROR(__xludf.DUMMYFUNCTION("""COMPUTED_VALUE"""),0.006981662037037037)</f>
        <v>0.006981662037</v>
      </c>
      <c r="O2444" s="5" t="str">
        <f>IFERROR(__xludf.DUMMYFUNCTION("""COMPUTED_VALUE"""),"")</f>
        <v/>
      </c>
      <c r="P2444" s="5" t="str">
        <f>IFERROR(__xludf.DUMMYFUNCTION("""COMPUTED_VALUE"""),"")</f>
        <v/>
      </c>
      <c r="Q2444" s="5">
        <f>IFERROR(__xludf.DUMMYFUNCTION("""COMPUTED_VALUE"""),0.00600525)</f>
        <v>0.00600525</v>
      </c>
      <c r="R2444" s="4">
        <f>IFERROR(__xludf.DUMMYFUNCTION("""COMPUTED_VALUE"""),45949.03002624782)</f>
        <v>45949.03003</v>
      </c>
      <c r="S2444" s="1" t="b">
        <f>IFERROR(__xludf.DUMMYFUNCTION("""COMPUTED_VALUE"""),TRUE)</f>
        <v>1</v>
      </c>
      <c r="T2444" s="1" t="b">
        <f>IFERROR(__xludf.DUMMYFUNCTION("""COMPUTED_VALUE"""),FALSE)</f>
        <v>0</v>
      </c>
      <c r="U2444" s="1" t="str">
        <f>IFERROR(__xludf.DUMMYFUNCTION("""COMPUTED_VALUE"""),"VALID")</f>
        <v>VALID</v>
      </c>
      <c r="V2444" s="1">
        <f>IFERROR(__xludf.DUMMYFUNCTION("""COMPUTED_VALUE"""),379.0)</f>
        <v>379</v>
      </c>
      <c r="W2444" s="1">
        <f>IFERROR(__xludf.DUMMYFUNCTION("""COMPUTED_VALUE"""),571.0)</f>
        <v>571</v>
      </c>
      <c r="X2444" s="1">
        <f>IFERROR(__xludf.DUMMYFUNCTION("""COMPUTED_VALUE"""),486.0)</f>
        <v>486</v>
      </c>
      <c r="Y2444" s="2"/>
      <c r="Z2444" s="2"/>
    </row>
    <row r="2445">
      <c r="A2445" s="1">
        <f>IFERROR(__xludf.DUMMYFUNCTION("""COMPUTED_VALUE"""),2444.0)</f>
        <v>2444</v>
      </c>
      <c r="B2445" s="1">
        <f>IFERROR(__xludf.DUMMYFUNCTION("""COMPUTED_VALUE"""),6278.0)</f>
        <v>6278</v>
      </c>
      <c r="C2445" s="2" t="str">
        <f>IFERROR(__xludf.DUMMYFUNCTION("""COMPUTED_VALUE"""),"vick")</f>
        <v>vick</v>
      </c>
      <c r="D2445" s="2" t="str">
        <f>IFERROR(__xludf.DUMMYFUNCTION("""COMPUTED_VALUE"""),"5KM OVERALL M")</f>
        <v>5KM OVERALL M</v>
      </c>
      <c r="E2445" s="1">
        <f>IFERROR(__xludf.DUMMYFUNCTION("""COMPUTED_VALUE"""),2.0)</f>
        <v>2</v>
      </c>
      <c r="F2445" s="1" t="str">
        <f>IFERROR(__xludf.DUMMYFUNCTION("""COMPUTED_VALUE"""),"Male")</f>
        <v>Male</v>
      </c>
      <c r="G2445" s="4" t="b">
        <f>IFERROR(__xludf.DUMMYFUNCTION("""COMPUTED_VALUE"""),TRUE)</f>
        <v>1</v>
      </c>
      <c r="H2445" s="4" t="b">
        <f>IFERROR(__xludf.DUMMYFUNCTION("""COMPUTED_VALUE"""),TRUE)</f>
        <v>1</v>
      </c>
      <c r="I2445" s="4">
        <f>IFERROR(__xludf.DUMMYFUNCTION("""COMPUTED_VALUE"""),0.2549440625)</f>
        <v>0.2549440625</v>
      </c>
      <c r="J2445" s="4">
        <f>IFERROR(__xludf.DUMMYFUNCTION("""COMPUTED_VALUE"""),45949.27934961164)</f>
        <v>45949.27935</v>
      </c>
      <c r="K2445" s="4" t="str">
        <f>IFERROR(__xludf.DUMMYFUNCTION("""COMPUTED_VALUE"""),"")</f>
        <v/>
      </c>
      <c r="L2445" s="4">
        <f>IFERROR(__xludf.DUMMYFUNCTION("""COMPUTED_VALUE"""),45949.29345294695)</f>
        <v>45949.29345</v>
      </c>
      <c r="M2445" s="1" t="str">
        <f>IFERROR(__xludf.DUMMYFUNCTION("""COMPUTED_VALUE"""),"RFID")</f>
        <v>RFID</v>
      </c>
      <c r="N2445" s="5">
        <f>IFERROR(__xludf.DUMMYFUNCTION("""COMPUTED_VALUE"""),0.009762217592592593)</f>
        <v>0.009762217593</v>
      </c>
      <c r="O2445" s="5" t="str">
        <f>IFERROR(__xludf.DUMMYFUNCTION("""COMPUTED_VALUE"""),"")</f>
        <v/>
      </c>
      <c r="P2445" s="5" t="str">
        <f>IFERROR(__xludf.DUMMYFUNCTION("""COMPUTED_VALUE"""),"")</f>
        <v/>
      </c>
      <c r="Q2445" s="5">
        <f>IFERROR(__xludf.DUMMYFUNCTION("""COMPUTED_VALUE"""),0.007701777777777778)</f>
        <v>0.007701777778</v>
      </c>
      <c r="R2445" s="4">
        <f>IFERROR(__xludf.DUMMYFUNCTION("""COMPUTED_VALUE"""),45949.03850888445)</f>
        <v>45949.03851</v>
      </c>
      <c r="S2445" s="1" t="b">
        <f>IFERROR(__xludf.DUMMYFUNCTION("""COMPUTED_VALUE"""),TRUE)</f>
        <v>1</v>
      </c>
      <c r="T2445" s="1" t="b">
        <f>IFERROR(__xludf.DUMMYFUNCTION("""COMPUTED_VALUE"""),FALSE)</f>
        <v>0</v>
      </c>
      <c r="U2445" s="1" t="str">
        <f>IFERROR(__xludf.DUMMYFUNCTION("""COMPUTED_VALUE"""),"VALID")</f>
        <v>VALID</v>
      </c>
      <c r="V2445" s="1">
        <f>IFERROR(__xludf.DUMMYFUNCTION("""COMPUTED_VALUE"""),667.0)</f>
        <v>667</v>
      </c>
      <c r="W2445" s="1">
        <f>IFERROR(__xludf.DUMMYFUNCTION("""COMPUTED_VALUE"""),1134.0)</f>
        <v>1134</v>
      </c>
      <c r="X2445" s="1">
        <f>IFERROR(__xludf.DUMMYFUNCTION("""COMPUTED_VALUE"""),902.0)</f>
        <v>902</v>
      </c>
      <c r="Y2445" s="2"/>
      <c r="Z2445" s="2"/>
    </row>
    <row r="2446">
      <c r="A2446" s="1">
        <f>IFERROR(__xludf.DUMMYFUNCTION("""COMPUTED_VALUE"""),2445.0)</f>
        <v>2445</v>
      </c>
      <c r="B2446" s="1">
        <f>IFERROR(__xludf.DUMMYFUNCTION("""COMPUTED_VALUE"""),6279.0)</f>
        <v>6279</v>
      </c>
      <c r="C2446" s="2" t="str">
        <f>IFERROR(__xludf.DUMMYFUNCTION("""COMPUTED_VALUE"""),"WISNU BACHTIAR")</f>
        <v>WISNU BACHTIAR</v>
      </c>
      <c r="D2446" s="2" t="str">
        <f>IFERROR(__xludf.DUMMYFUNCTION("""COMPUTED_VALUE"""),"5KM OVERALL M")</f>
        <v>5KM OVERALL M</v>
      </c>
      <c r="E2446" s="1">
        <f>IFERROR(__xludf.DUMMYFUNCTION("""COMPUTED_VALUE"""),2.0)</f>
        <v>2</v>
      </c>
      <c r="F2446" s="1" t="str">
        <f>IFERROR(__xludf.DUMMYFUNCTION("""COMPUTED_VALUE"""),"Male")</f>
        <v>Male</v>
      </c>
      <c r="G2446" s="4" t="str">
        <f>IFERROR(__xludf.DUMMYFUNCTION("""COMPUTED_VALUE"""),"")</f>
        <v/>
      </c>
      <c r="H2446" s="4" t="b">
        <f>IFERROR(__xludf.DUMMYFUNCTION("""COMPUTED_VALUE"""),FALSE)</f>
        <v>0</v>
      </c>
      <c r="I2446" s="4">
        <f>IFERROR(__xludf.DUMMYFUNCTION("""COMPUTED_VALUE"""),0.2549440625)</f>
        <v>0.2549440625</v>
      </c>
      <c r="J2446" s="4" t="str">
        <f>IFERROR(__xludf.DUMMYFUNCTION("""COMPUTED_VALUE"""),"")</f>
        <v/>
      </c>
      <c r="K2446" s="4" t="str">
        <f>IFERROR(__xludf.DUMMYFUNCTION("""COMPUTED_VALUE"""),"")</f>
        <v/>
      </c>
      <c r="L2446" s="4" t="str">
        <f>IFERROR(__xludf.DUMMYFUNCTION("""COMPUTED_VALUE"""),"")</f>
        <v/>
      </c>
      <c r="M2446" s="1" t="str">
        <f>IFERROR(__xludf.DUMMYFUNCTION("""COMPUTED_VALUE"""),"RFID")</f>
        <v>RFID</v>
      </c>
      <c r="N2446" s="5" t="str">
        <f>IFERROR(__xludf.DUMMYFUNCTION("""COMPUTED_VALUE"""),"")</f>
        <v/>
      </c>
      <c r="O2446" s="5" t="str">
        <f>IFERROR(__xludf.DUMMYFUNCTION("""COMPUTED_VALUE"""),"")</f>
        <v/>
      </c>
      <c r="P2446" s="5" t="str">
        <f>IFERROR(__xludf.DUMMYFUNCTION("""COMPUTED_VALUE"""),"")</f>
        <v/>
      </c>
      <c r="Q2446" s="5" t="str">
        <f>IFERROR(__xludf.DUMMYFUNCTION("""COMPUTED_VALUE"""),"")</f>
        <v/>
      </c>
      <c r="R2446" s="4" t="str">
        <f>IFERROR(__xludf.DUMMYFUNCTION("""COMPUTED_VALUE"""),"")</f>
        <v/>
      </c>
      <c r="S2446" s="1" t="b">
        <f>IFERROR(__xludf.DUMMYFUNCTION("""COMPUTED_VALUE"""),FALSE)</f>
        <v>0</v>
      </c>
      <c r="T2446" s="1" t="b">
        <f>IFERROR(__xludf.DUMMYFUNCTION("""COMPUTED_VALUE"""),FALSE)</f>
        <v>0</v>
      </c>
      <c r="U2446" s="1" t="str">
        <f>IFERROR(__xludf.DUMMYFUNCTION("""COMPUTED_VALUE"""),"DSQ")</f>
        <v>DSQ</v>
      </c>
      <c r="V2446" s="1" t="str">
        <f>IFERROR(__xludf.DUMMYFUNCTION("""COMPUTED_VALUE"""),"DSQ")</f>
        <v>DSQ</v>
      </c>
      <c r="W2446" s="1" t="str">
        <f>IFERROR(__xludf.DUMMYFUNCTION("""COMPUTED_VALUE"""),"DSQ")</f>
        <v>DSQ</v>
      </c>
      <c r="X2446" s="1" t="str">
        <f>IFERROR(__xludf.DUMMYFUNCTION("""COMPUTED_VALUE"""),"DSQ")</f>
        <v>DSQ</v>
      </c>
      <c r="Y2446" s="2"/>
      <c r="Z2446" s="2" t="str">
        <f>IFERROR(__xludf.DUMMYFUNCTION("""COMPUTED_VALUE"""),"")</f>
        <v/>
      </c>
    </row>
    <row r="2447">
      <c r="A2447" s="1">
        <f>IFERROR(__xludf.DUMMYFUNCTION("""COMPUTED_VALUE"""),2446.0)</f>
        <v>2446</v>
      </c>
      <c r="B2447" s="1">
        <f>IFERROR(__xludf.DUMMYFUNCTION("""COMPUTED_VALUE"""),6285.0)</f>
        <v>6285</v>
      </c>
      <c r="C2447" s="2" t="str">
        <f>IFERROR(__xludf.DUMMYFUNCTION("""COMPUTED_VALUE"""),"Ozan")</f>
        <v>Ozan</v>
      </c>
      <c r="D2447" s="2" t="str">
        <f>IFERROR(__xludf.DUMMYFUNCTION("""COMPUTED_VALUE"""),"5KM OVERALL M")</f>
        <v>5KM OVERALL M</v>
      </c>
      <c r="E2447" s="1">
        <f>IFERROR(__xludf.DUMMYFUNCTION("""COMPUTED_VALUE"""),2.0)</f>
        <v>2</v>
      </c>
      <c r="F2447" s="1" t="str">
        <f>IFERROR(__xludf.DUMMYFUNCTION("""COMPUTED_VALUE"""),"Male")</f>
        <v>Male</v>
      </c>
      <c r="G2447" s="4" t="b">
        <f>IFERROR(__xludf.DUMMYFUNCTION("""COMPUTED_VALUE"""),TRUE)</f>
        <v>1</v>
      </c>
      <c r="H2447" s="4" t="b">
        <f>IFERROR(__xludf.DUMMYFUNCTION("""COMPUTED_VALUE"""),FALSE)</f>
        <v>0</v>
      </c>
      <c r="I2447" s="4">
        <f>IFERROR(__xludf.DUMMYFUNCTION("""COMPUTED_VALUE"""),0.2549440625)</f>
        <v>0.2549440625</v>
      </c>
      <c r="J2447" s="4">
        <f>IFERROR(__xludf.DUMMYFUNCTION("""COMPUTED_VALUE"""),45949.2752593346)</f>
        <v>45949.27526</v>
      </c>
      <c r="K2447" s="4" t="str">
        <f>IFERROR(__xludf.DUMMYFUNCTION("""COMPUTED_VALUE"""),"")</f>
        <v/>
      </c>
      <c r="L2447" s="4">
        <f>IFERROR(__xludf.DUMMYFUNCTION("""COMPUTED_VALUE"""),45949.29089047164)</f>
        <v>45949.29089</v>
      </c>
      <c r="M2447" s="1" t="str">
        <f>IFERROR(__xludf.DUMMYFUNCTION("""COMPUTED_VALUE"""),"RFID")</f>
        <v>RFID</v>
      </c>
      <c r="N2447" s="5">
        <f>IFERROR(__xludf.DUMMYFUNCTION("""COMPUTED_VALUE"""),0.008126111111111112)</f>
        <v>0.008126111111</v>
      </c>
      <c r="O2447" s="5" t="str">
        <f>IFERROR(__xludf.DUMMYFUNCTION("""COMPUTED_VALUE"""),"")</f>
        <v/>
      </c>
      <c r="P2447" s="5" t="str">
        <f>IFERROR(__xludf.DUMMYFUNCTION("""COMPUTED_VALUE"""),"")</f>
        <v/>
      </c>
      <c r="Q2447" s="5">
        <f>IFERROR(__xludf.DUMMYFUNCTION("""COMPUTED_VALUE"""),0.007189282407407407)</f>
        <v>0.007189282407</v>
      </c>
      <c r="R2447" s="4">
        <f>IFERROR(__xludf.DUMMYFUNCTION("""COMPUTED_VALUE"""),45949.03594640914)</f>
        <v>45949.03595</v>
      </c>
      <c r="S2447" s="1" t="b">
        <f>IFERROR(__xludf.DUMMYFUNCTION("""COMPUTED_VALUE"""),TRUE)</f>
        <v>1</v>
      </c>
      <c r="T2447" s="1" t="b">
        <f>IFERROR(__xludf.DUMMYFUNCTION("""COMPUTED_VALUE"""),FALSE)</f>
        <v>0</v>
      </c>
      <c r="U2447" s="1" t="str">
        <f>IFERROR(__xludf.DUMMYFUNCTION("""COMPUTED_VALUE"""),"VALID")</f>
        <v>VALID</v>
      </c>
      <c r="V2447" s="1">
        <f>IFERROR(__xludf.DUMMYFUNCTION("""COMPUTED_VALUE"""),592.0)</f>
        <v>592</v>
      </c>
      <c r="W2447" s="1">
        <f>IFERROR(__xludf.DUMMYFUNCTION("""COMPUTED_VALUE"""),955.0)</f>
        <v>955</v>
      </c>
      <c r="X2447" s="1">
        <f>IFERROR(__xludf.DUMMYFUNCTION("""COMPUTED_VALUE"""),775.0)</f>
        <v>775</v>
      </c>
      <c r="Y2447" s="2"/>
      <c r="Z2447" s="2"/>
    </row>
    <row r="2448">
      <c r="A2448" s="1">
        <f>IFERROR(__xludf.DUMMYFUNCTION("""COMPUTED_VALUE"""),2447.0)</f>
        <v>2447</v>
      </c>
      <c r="B2448" s="1">
        <f>IFERROR(__xludf.DUMMYFUNCTION("""COMPUTED_VALUE"""),6287.0)</f>
        <v>6287</v>
      </c>
      <c r="C2448" s="2" t="str">
        <f>IFERROR(__xludf.DUMMYFUNCTION("""COMPUTED_VALUE"""),"hamid")</f>
        <v>hamid</v>
      </c>
      <c r="D2448" s="2" t="str">
        <f>IFERROR(__xludf.DUMMYFUNCTION("""COMPUTED_VALUE"""),"5KM OVERALL M")</f>
        <v>5KM OVERALL M</v>
      </c>
      <c r="E2448" s="1">
        <f>IFERROR(__xludf.DUMMYFUNCTION("""COMPUTED_VALUE"""),2.0)</f>
        <v>2</v>
      </c>
      <c r="F2448" s="1" t="str">
        <f>IFERROR(__xludf.DUMMYFUNCTION("""COMPUTED_VALUE"""),"Male")</f>
        <v>Male</v>
      </c>
      <c r="G2448" s="4" t="b">
        <f>IFERROR(__xludf.DUMMYFUNCTION("""COMPUTED_VALUE"""),TRUE)</f>
        <v>1</v>
      </c>
      <c r="H2448" s="4" t="b">
        <f>IFERROR(__xludf.DUMMYFUNCTION("""COMPUTED_VALUE"""),TRUE)</f>
        <v>1</v>
      </c>
      <c r="I2448" s="4">
        <f>IFERROR(__xludf.DUMMYFUNCTION("""COMPUTED_VALUE"""),0.2549440625)</f>
        <v>0.2549440625</v>
      </c>
      <c r="J2448" s="4">
        <f>IFERROR(__xludf.DUMMYFUNCTION("""COMPUTED_VALUE"""),45949.2684398773)</f>
        <v>45949.26844</v>
      </c>
      <c r="K2448" s="4" t="str">
        <f>IFERROR(__xludf.DUMMYFUNCTION("""COMPUTED_VALUE"""),"")</f>
        <v/>
      </c>
      <c r="L2448" s="4">
        <f>IFERROR(__xludf.DUMMYFUNCTION("""COMPUTED_VALUE"""),45949.27732101529)</f>
        <v>45949.27732</v>
      </c>
      <c r="M2448" s="1" t="str">
        <f>IFERROR(__xludf.DUMMYFUNCTION("""COMPUTED_VALUE"""),"RFID")</f>
        <v>RFID</v>
      </c>
      <c r="N2448" s="5">
        <f>IFERROR(__xludf.DUMMYFUNCTION("""COMPUTED_VALUE"""),0.0053983240740740745)</f>
        <v>0.005398324074</v>
      </c>
      <c r="O2448" s="5" t="str">
        <f>IFERROR(__xludf.DUMMYFUNCTION("""COMPUTED_VALUE"""),"")</f>
        <v/>
      </c>
      <c r="P2448" s="5" t="str">
        <f>IFERROR(__xludf.DUMMYFUNCTION("""COMPUTED_VALUE"""),"")</f>
        <v/>
      </c>
      <c r="Q2448" s="5">
        <f>IFERROR(__xludf.DUMMYFUNCTION("""COMPUTED_VALUE"""),0.004475391203703704)</f>
        <v>0.004475391204</v>
      </c>
      <c r="R2448" s="4">
        <f>IFERROR(__xludf.DUMMYFUNCTION("""COMPUTED_VALUE"""),45949.02237695279)</f>
        <v>45949.02238</v>
      </c>
      <c r="S2448" s="1" t="b">
        <f>IFERROR(__xludf.DUMMYFUNCTION("""COMPUTED_VALUE"""),TRUE)</f>
        <v>1</v>
      </c>
      <c r="T2448" s="1" t="b">
        <f>IFERROR(__xludf.DUMMYFUNCTION("""COMPUTED_VALUE"""),FALSE)</f>
        <v>0</v>
      </c>
      <c r="U2448" s="1" t="str">
        <f>IFERROR(__xludf.DUMMYFUNCTION("""COMPUTED_VALUE"""),"VALID")</f>
        <v>VALID</v>
      </c>
      <c r="V2448" s="1">
        <f>IFERROR(__xludf.DUMMYFUNCTION("""COMPUTED_VALUE"""),120.0)</f>
        <v>120</v>
      </c>
      <c r="W2448" s="1">
        <f>IFERROR(__xludf.DUMMYFUNCTION("""COMPUTED_VALUE"""),182.0)</f>
        <v>182</v>
      </c>
      <c r="X2448" s="1">
        <f>IFERROR(__xludf.DUMMYFUNCTION("""COMPUTED_VALUE"""),162.0)</f>
        <v>162</v>
      </c>
      <c r="Y2448" s="2"/>
      <c r="Z2448" s="2"/>
    </row>
    <row r="2449">
      <c r="A2449" s="1">
        <f>IFERROR(__xludf.DUMMYFUNCTION("""COMPUTED_VALUE"""),2448.0)</f>
        <v>2448</v>
      </c>
      <c r="B2449" s="1">
        <f>IFERROR(__xludf.DUMMYFUNCTION("""COMPUTED_VALUE"""),6288.0)</f>
        <v>6288</v>
      </c>
      <c r="C2449" s="2" t="str">
        <f>IFERROR(__xludf.DUMMYFUNCTION("""COMPUTED_VALUE"""),"FITRIAH")</f>
        <v>FITRIAH</v>
      </c>
      <c r="D2449" s="2" t="str">
        <f>IFERROR(__xludf.DUMMYFUNCTION("""COMPUTED_VALUE"""),"5KM OVERALL M")</f>
        <v>5KM OVERALL M</v>
      </c>
      <c r="E2449" s="1">
        <f>IFERROR(__xludf.DUMMYFUNCTION("""COMPUTED_VALUE"""),2.0)</f>
        <v>2</v>
      </c>
      <c r="F2449" s="1" t="str">
        <f>IFERROR(__xludf.DUMMYFUNCTION("""COMPUTED_VALUE"""),"Male")</f>
        <v>Male</v>
      </c>
      <c r="G2449" s="4" t="b">
        <f>IFERROR(__xludf.DUMMYFUNCTION("""COMPUTED_VALUE"""),TRUE)</f>
        <v>1</v>
      </c>
      <c r="H2449" s="4" t="b">
        <f>IFERROR(__xludf.DUMMYFUNCTION("""COMPUTED_VALUE"""),TRUE)</f>
        <v>1</v>
      </c>
      <c r="I2449" s="4">
        <f>IFERROR(__xludf.DUMMYFUNCTION("""COMPUTED_VALUE"""),0.2549440625)</f>
        <v>0.2549440625</v>
      </c>
      <c r="J2449" s="4">
        <f>IFERROR(__xludf.DUMMYFUNCTION("""COMPUTED_VALUE"""),45949.268131273566)</f>
        <v>45949.26813</v>
      </c>
      <c r="K2449" s="4" t="str">
        <f>IFERROR(__xludf.DUMMYFUNCTION("""COMPUTED_VALUE"""),"")</f>
        <v/>
      </c>
      <c r="L2449" s="4">
        <f>IFERROR(__xludf.DUMMYFUNCTION("""COMPUTED_VALUE"""),45949.27705064061)</f>
        <v>45949.27705</v>
      </c>
      <c r="M2449" s="1" t="str">
        <f>IFERROR(__xludf.DUMMYFUNCTION("""COMPUTED_VALUE"""),"RFID")</f>
        <v>RFID</v>
      </c>
      <c r="N2449" s="5">
        <f>IFERROR(__xludf.DUMMYFUNCTION("""COMPUTED_VALUE"""),0.005274884259259259)</f>
        <v>0.005274884259</v>
      </c>
      <c r="O2449" s="5" t="str">
        <f>IFERROR(__xludf.DUMMYFUNCTION("""COMPUTED_VALUE"""),"")</f>
        <v/>
      </c>
      <c r="P2449" s="5" t="str">
        <f>IFERROR(__xludf.DUMMYFUNCTION("""COMPUTED_VALUE"""),"")</f>
        <v/>
      </c>
      <c r="Q2449" s="5">
        <f>IFERROR(__xludf.DUMMYFUNCTION("""COMPUTED_VALUE"""),0.0044213148148148146)</f>
        <v>0.004421314815</v>
      </c>
      <c r="R2449" s="4">
        <f>IFERROR(__xludf.DUMMYFUNCTION("""COMPUTED_VALUE"""),45949.02210657811)</f>
        <v>45949.02211</v>
      </c>
      <c r="S2449" s="1" t="b">
        <f>IFERROR(__xludf.DUMMYFUNCTION("""COMPUTED_VALUE"""),TRUE)</f>
        <v>1</v>
      </c>
      <c r="T2449" s="1" t="b">
        <f>IFERROR(__xludf.DUMMYFUNCTION("""COMPUTED_VALUE"""),FALSE)</f>
        <v>0</v>
      </c>
      <c r="U2449" s="1" t="str">
        <f>IFERROR(__xludf.DUMMYFUNCTION("""COMPUTED_VALUE"""),"VALID")</f>
        <v>VALID</v>
      </c>
      <c r="V2449" s="1">
        <f>IFERROR(__xludf.DUMMYFUNCTION("""COMPUTED_VALUE"""),113.0)</f>
        <v>113</v>
      </c>
      <c r="W2449" s="1">
        <f>IFERROR(__xludf.DUMMYFUNCTION("""COMPUTED_VALUE"""),174.0)</f>
        <v>174</v>
      </c>
      <c r="X2449" s="1">
        <f>IFERROR(__xludf.DUMMYFUNCTION("""COMPUTED_VALUE"""),154.0)</f>
        <v>154</v>
      </c>
      <c r="Y2449" s="2"/>
      <c r="Z2449" s="2"/>
    </row>
    <row r="2450">
      <c r="A2450" s="1">
        <f>IFERROR(__xludf.DUMMYFUNCTION("""COMPUTED_VALUE"""),2449.0)</f>
        <v>2449</v>
      </c>
      <c r="B2450" s="1">
        <f>IFERROR(__xludf.DUMMYFUNCTION("""COMPUTED_VALUE"""),6291.0)</f>
        <v>6291</v>
      </c>
      <c r="C2450" s="2" t="str">
        <f>IFERROR(__xludf.DUMMYFUNCTION("""COMPUTED_VALUE"""),"Gombal Amoh")</f>
        <v>Gombal Amoh</v>
      </c>
      <c r="D2450" s="2" t="str">
        <f>IFERROR(__xludf.DUMMYFUNCTION("""COMPUTED_VALUE"""),"5KM OVERALL M")</f>
        <v>5KM OVERALL M</v>
      </c>
      <c r="E2450" s="1">
        <f>IFERROR(__xludf.DUMMYFUNCTION("""COMPUTED_VALUE"""),2.0)</f>
        <v>2</v>
      </c>
      <c r="F2450" s="1" t="str">
        <f>IFERROR(__xludf.DUMMYFUNCTION("""COMPUTED_VALUE"""),"Male")</f>
        <v>Male</v>
      </c>
      <c r="G2450" s="4" t="b">
        <f>IFERROR(__xludf.DUMMYFUNCTION("""COMPUTED_VALUE"""),TRUE)</f>
        <v>1</v>
      </c>
      <c r="H2450" s="4" t="b">
        <f>IFERROR(__xludf.DUMMYFUNCTION("""COMPUTED_VALUE"""),TRUE)</f>
        <v>1</v>
      </c>
      <c r="I2450" s="4">
        <f>IFERROR(__xludf.DUMMYFUNCTION("""COMPUTED_VALUE"""),0.2549440625)</f>
        <v>0.2549440625</v>
      </c>
      <c r="J2450" s="4">
        <f>IFERROR(__xludf.DUMMYFUNCTION("""COMPUTED_VALUE"""),45949.27101285266)</f>
        <v>45949.27101</v>
      </c>
      <c r="K2450" s="4" t="str">
        <f>IFERROR(__xludf.DUMMYFUNCTION("""COMPUTED_VALUE"""),"")</f>
        <v/>
      </c>
      <c r="L2450" s="4">
        <f>IFERROR(__xludf.DUMMYFUNCTION("""COMPUTED_VALUE"""),45949.28451544764)</f>
        <v>45949.28452</v>
      </c>
      <c r="M2450" s="1" t="str">
        <f>IFERROR(__xludf.DUMMYFUNCTION("""COMPUTED_VALUE"""),"RFID")</f>
        <v>RFID</v>
      </c>
      <c r="N2450" s="5">
        <f>IFERROR(__xludf.DUMMYFUNCTION("""COMPUTED_VALUE"""),0.006427513888888889)</f>
        <v>0.006427513889</v>
      </c>
      <c r="O2450" s="5" t="str">
        <f>IFERROR(__xludf.DUMMYFUNCTION("""COMPUTED_VALUE"""),"")</f>
        <v/>
      </c>
      <c r="P2450" s="5" t="str">
        <f>IFERROR(__xludf.DUMMYFUNCTION("""COMPUTED_VALUE"""),"")</f>
        <v/>
      </c>
      <c r="Q2450" s="5">
        <f>IFERROR(__xludf.DUMMYFUNCTION("""COMPUTED_VALUE"""),0.005914277777777777)</f>
        <v>0.005914277778</v>
      </c>
      <c r="R2450" s="4">
        <f>IFERROR(__xludf.DUMMYFUNCTION("""COMPUTED_VALUE"""),45949.02957138514)</f>
        <v>45949.02957</v>
      </c>
      <c r="S2450" s="1" t="b">
        <f>IFERROR(__xludf.DUMMYFUNCTION("""COMPUTED_VALUE"""),TRUE)</f>
        <v>1</v>
      </c>
      <c r="T2450" s="1" t="b">
        <f>IFERROR(__xludf.DUMMYFUNCTION("""COMPUTED_VALUE"""),FALSE)</f>
        <v>0</v>
      </c>
      <c r="U2450" s="1" t="str">
        <f>IFERROR(__xludf.DUMMYFUNCTION("""COMPUTED_VALUE"""),"VALID")</f>
        <v>VALID</v>
      </c>
      <c r="V2450" s="1">
        <f>IFERROR(__xludf.DUMMYFUNCTION("""COMPUTED_VALUE"""),362.0)</f>
        <v>362</v>
      </c>
      <c r="W2450" s="1">
        <f>IFERROR(__xludf.DUMMYFUNCTION("""COMPUTED_VALUE"""),544.0)</f>
        <v>544</v>
      </c>
      <c r="X2450" s="1">
        <f>IFERROR(__xludf.DUMMYFUNCTION("""COMPUTED_VALUE"""),466.0)</f>
        <v>466</v>
      </c>
      <c r="Y2450" s="2"/>
      <c r="Z2450" s="2"/>
    </row>
    <row r="2451">
      <c r="A2451" s="1">
        <f>IFERROR(__xludf.DUMMYFUNCTION("""COMPUTED_VALUE"""),2450.0)</f>
        <v>2450</v>
      </c>
      <c r="B2451" s="1">
        <f>IFERROR(__xludf.DUMMYFUNCTION("""COMPUTED_VALUE"""),6293.0)</f>
        <v>6293</v>
      </c>
      <c r="C2451" s="2" t="str">
        <f>IFERROR(__xludf.DUMMYFUNCTION("""COMPUTED_VALUE"""),"hamdanthalib")</f>
        <v>hamdanthalib</v>
      </c>
      <c r="D2451" s="2" t="str">
        <f>IFERROR(__xludf.DUMMYFUNCTION("""COMPUTED_VALUE"""),"5KM OVERALL M")</f>
        <v>5KM OVERALL M</v>
      </c>
      <c r="E2451" s="1">
        <f>IFERROR(__xludf.DUMMYFUNCTION("""COMPUTED_VALUE"""),2.0)</f>
        <v>2</v>
      </c>
      <c r="F2451" s="1" t="str">
        <f>IFERROR(__xludf.DUMMYFUNCTION("""COMPUTED_VALUE"""),"Male")</f>
        <v>Male</v>
      </c>
      <c r="G2451" s="4" t="b">
        <f>IFERROR(__xludf.DUMMYFUNCTION("""COMPUTED_VALUE"""),TRUE)</f>
        <v>1</v>
      </c>
      <c r="H2451" s="4" t="b">
        <f>IFERROR(__xludf.DUMMYFUNCTION("""COMPUTED_VALUE"""),TRUE)</f>
        <v>1</v>
      </c>
      <c r="I2451" s="4">
        <f>IFERROR(__xludf.DUMMYFUNCTION("""COMPUTED_VALUE"""),0.2549440625)</f>
        <v>0.2549440625</v>
      </c>
      <c r="J2451" s="4">
        <f>IFERROR(__xludf.DUMMYFUNCTION("""COMPUTED_VALUE"""),45949.270301074816)</f>
        <v>45949.2703</v>
      </c>
      <c r="K2451" s="4" t="str">
        <f>IFERROR(__xludf.DUMMYFUNCTION("""COMPUTED_VALUE"""),"")</f>
        <v/>
      </c>
      <c r="L2451" s="4">
        <f>IFERROR(__xludf.DUMMYFUNCTION("""COMPUTED_VALUE"""),45949.28201194419)</f>
        <v>45949.28201</v>
      </c>
      <c r="M2451" s="1" t="str">
        <f>IFERROR(__xludf.DUMMYFUNCTION("""COMPUTED_VALUE"""),"RFID")</f>
        <v>RFID</v>
      </c>
      <c r="N2451" s="5">
        <f>IFERROR(__xludf.DUMMYFUNCTION("""COMPUTED_VALUE"""),0.006142805555555556)</f>
        <v>0.006142805556</v>
      </c>
      <c r="O2451" s="5" t="str">
        <f>IFERROR(__xludf.DUMMYFUNCTION("""COMPUTED_VALUE"""),"")</f>
        <v/>
      </c>
      <c r="P2451" s="5" t="str">
        <f>IFERROR(__xludf.DUMMYFUNCTION("""COMPUTED_VALUE"""),"")</f>
        <v/>
      </c>
      <c r="Q2451" s="5">
        <f>IFERROR(__xludf.DUMMYFUNCTION("""COMPUTED_VALUE"""),0.005413576388888889)</f>
        <v>0.005413576389</v>
      </c>
      <c r="R2451" s="4">
        <f>IFERROR(__xludf.DUMMYFUNCTION("""COMPUTED_VALUE"""),45949.02706788169)</f>
        <v>45949.02707</v>
      </c>
      <c r="S2451" s="1" t="b">
        <f>IFERROR(__xludf.DUMMYFUNCTION("""COMPUTED_VALUE"""),TRUE)</f>
        <v>1</v>
      </c>
      <c r="T2451" s="1" t="b">
        <f>IFERROR(__xludf.DUMMYFUNCTION("""COMPUTED_VALUE"""),FALSE)</f>
        <v>0</v>
      </c>
      <c r="U2451" s="1" t="str">
        <f>IFERROR(__xludf.DUMMYFUNCTION("""COMPUTED_VALUE"""),"VALID")</f>
        <v>VALID</v>
      </c>
      <c r="V2451" s="1">
        <f>IFERROR(__xludf.DUMMYFUNCTION("""COMPUTED_VALUE"""),253.0)</f>
        <v>253</v>
      </c>
      <c r="W2451" s="1">
        <f>IFERROR(__xludf.DUMMYFUNCTION("""COMPUTED_VALUE"""),389.0)</f>
        <v>389</v>
      </c>
      <c r="X2451" s="1">
        <f>IFERROR(__xludf.DUMMYFUNCTION("""COMPUTED_VALUE"""),336.0)</f>
        <v>336</v>
      </c>
      <c r="Y2451" s="2"/>
      <c r="Z2451" s="2"/>
    </row>
    <row r="2452">
      <c r="A2452" s="1">
        <f>IFERROR(__xludf.DUMMYFUNCTION("""COMPUTED_VALUE"""),2451.0)</f>
        <v>2451</v>
      </c>
      <c r="B2452" s="1">
        <f>IFERROR(__xludf.DUMMYFUNCTION("""COMPUTED_VALUE"""),6294.0)</f>
        <v>6294</v>
      </c>
      <c r="C2452" s="2" t="str">
        <f>IFERROR(__xludf.DUMMYFUNCTION("""COMPUTED_VALUE"""),"Putra")</f>
        <v>Putra</v>
      </c>
      <c r="D2452" s="2" t="str">
        <f>IFERROR(__xludf.DUMMYFUNCTION("""COMPUTED_VALUE"""),"5KM OVERALL M")</f>
        <v>5KM OVERALL M</v>
      </c>
      <c r="E2452" s="1">
        <f>IFERROR(__xludf.DUMMYFUNCTION("""COMPUTED_VALUE"""),2.0)</f>
        <v>2</v>
      </c>
      <c r="F2452" s="1" t="str">
        <f>IFERROR(__xludf.DUMMYFUNCTION("""COMPUTED_VALUE"""),"Male")</f>
        <v>Male</v>
      </c>
      <c r="G2452" s="4" t="b">
        <f>IFERROR(__xludf.DUMMYFUNCTION("""COMPUTED_VALUE"""),TRUE)</f>
        <v>1</v>
      </c>
      <c r="H2452" s="4" t="b">
        <f>IFERROR(__xludf.DUMMYFUNCTION("""COMPUTED_VALUE"""),FALSE)</f>
        <v>0</v>
      </c>
      <c r="I2452" s="4">
        <f>IFERROR(__xludf.DUMMYFUNCTION("""COMPUTED_VALUE"""),0.2549440625)</f>
        <v>0.2549440625</v>
      </c>
      <c r="J2452" s="4">
        <f>IFERROR(__xludf.DUMMYFUNCTION("""COMPUTED_VALUE"""),45949.27470382724)</f>
        <v>45949.2747</v>
      </c>
      <c r="K2452" s="4" t="str">
        <f>IFERROR(__xludf.DUMMYFUNCTION("""COMPUTED_VALUE"""),"")</f>
        <v/>
      </c>
      <c r="L2452" s="4">
        <f>IFERROR(__xludf.DUMMYFUNCTION("""COMPUTED_VALUE"""),45949.287522515566)</f>
        <v>45949.28752</v>
      </c>
      <c r="M2452" s="1" t="str">
        <f>IFERROR(__xludf.DUMMYFUNCTION("""COMPUTED_VALUE"""),"RFID")</f>
        <v>RFID</v>
      </c>
      <c r="N2452" s="5">
        <f>IFERROR(__xludf.DUMMYFUNCTION("""COMPUTED_VALUE"""),0.007903907407407406)</f>
        <v>0.007903907407</v>
      </c>
      <c r="O2452" s="5" t="str">
        <f>IFERROR(__xludf.DUMMYFUNCTION("""COMPUTED_VALUE"""),"")</f>
        <v/>
      </c>
      <c r="P2452" s="5" t="str">
        <f>IFERROR(__xludf.DUMMYFUNCTION("""COMPUTED_VALUE"""),"")</f>
        <v/>
      </c>
      <c r="Q2452" s="5">
        <f>IFERROR(__xludf.DUMMYFUNCTION("""COMPUTED_VALUE"""),0.006515689814814814)</f>
        <v>0.006515689815</v>
      </c>
      <c r="R2452" s="4">
        <f>IFERROR(__xludf.DUMMYFUNCTION("""COMPUTED_VALUE"""),45949.032578453065)</f>
        <v>45949.03258</v>
      </c>
      <c r="S2452" s="1" t="b">
        <f>IFERROR(__xludf.DUMMYFUNCTION("""COMPUTED_VALUE"""),TRUE)</f>
        <v>1</v>
      </c>
      <c r="T2452" s="1" t="b">
        <f>IFERROR(__xludf.DUMMYFUNCTION("""COMPUTED_VALUE"""),FALSE)</f>
        <v>0</v>
      </c>
      <c r="U2452" s="1" t="str">
        <f>IFERROR(__xludf.DUMMYFUNCTION("""COMPUTED_VALUE"""),"VALID")</f>
        <v>VALID</v>
      </c>
      <c r="V2452" s="1">
        <f>IFERROR(__xludf.DUMMYFUNCTION("""COMPUTED_VALUE"""),474.0)</f>
        <v>474</v>
      </c>
      <c r="W2452" s="1">
        <f>IFERROR(__xludf.DUMMYFUNCTION("""COMPUTED_VALUE"""),737.0)</f>
        <v>737</v>
      </c>
      <c r="X2452" s="1">
        <f>IFERROR(__xludf.DUMMYFUNCTION("""COMPUTED_VALUE"""),614.0)</f>
        <v>614</v>
      </c>
      <c r="Y2452" s="2"/>
      <c r="Z2452" s="2"/>
    </row>
    <row r="2453">
      <c r="A2453" s="1">
        <f>IFERROR(__xludf.DUMMYFUNCTION("""COMPUTED_VALUE"""),2452.0)</f>
        <v>2452</v>
      </c>
      <c r="B2453" s="1">
        <f>IFERROR(__xludf.DUMMYFUNCTION("""COMPUTED_VALUE"""),6295.0)</f>
        <v>6295</v>
      </c>
      <c r="C2453" s="2" t="str">
        <f>IFERROR(__xludf.DUMMYFUNCTION("""COMPUTED_VALUE"""),"Tatang")</f>
        <v>Tatang</v>
      </c>
      <c r="D2453" s="2" t="str">
        <f>IFERROR(__xludf.DUMMYFUNCTION("""COMPUTED_VALUE"""),"5KM OVERALL M")</f>
        <v>5KM OVERALL M</v>
      </c>
      <c r="E2453" s="1">
        <f>IFERROR(__xludf.DUMMYFUNCTION("""COMPUTED_VALUE"""),2.0)</f>
        <v>2</v>
      </c>
      <c r="F2453" s="1" t="str">
        <f>IFERROR(__xludf.DUMMYFUNCTION("""COMPUTED_VALUE"""),"Male")</f>
        <v>Male</v>
      </c>
      <c r="G2453" s="4" t="b">
        <f>IFERROR(__xludf.DUMMYFUNCTION("""COMPUTED_VALUE"""),TRUE)</f>
        <v>1</v>
      </c>
      <c r="H2453" s="4" t="b">
        <f>IFERROR(__xludf.DUMMYFUNCTION("""COMPUTED_VALUE"""),TRUE)</f>
        <v>1</v>
      </c>
      <c r="I2453" s="4">
        <f>IFERROR(__xludf.DUMMYFUNCTION("""COMPUTED_VALUE"""),0.2549440625)</f>
        <v>0.2549440625</v>
      </c>
      <c r="J2453" s="4">
        <f>IFERROR(__xludf.DUMMYFUNCTION("""COMPUTED_VALUE"""),45949.27187045129)</f>
        <v>45949.27187</v>
      </c>
      <c r="K2453" s="4" t="str">
        <f>IFERROR(__xludf.DUMMYFUNCTION("""COMPUTED_VALUE"""),"")</f>
        <v/>
      </c>
      <c r="L2453" s="4">
        <f>IFERROR(__xludf.DUMMYFUNCTION("""COMPUTED_VALUE"""),45949.28144253021)</f>
        <v>45949.28144</v>
      </c>
      <c r="M2453" s="1" t="str">
        <f>IFERROR(__xludf.DUMMYFUNCTION("""COMPUTED_VALUE"""),"RFID")</f>
        <v>RFID</v>
      </c>
      <c r="N2453" s="5">
        <f>IFERROR(__xludf.DUMMYFUNCTION("""COMPUTED_VALUE"""),0.006770555555555556)</f>
        <v>0.006770555556</v>
      </c>
      <c r="O2453" s="5" t="str">
        <f>IFERROR(__xludf.DUMMYFUNCTION("""COMPUTED_VALUE"""),"")</f>
        <v/>
      </c>
      <c r="P2453" s="5" t="str">
        <f>IFERROR(__xludf.DUMMYFUNCTION("""COMPUTED_VALUE"""),"")</f>
        <v/>
      </c>
      <c r="Q2453" s="5">
        <f>IFERROR(__xludf.DUMMYFUNCTION("""COMPUTED_VALUE"""),0.0052996944444444445)</f>
        <v>0.005299694444</v>
      </c>
      <c r="R2453" s="4">
        <f>IFERROR(__xludf.DUMMYFUNCTION("""COMPUTED_VALUE"""),45949.02649846771)</f>
        <v>45949.0265</v>
      </c>
      <c r="S2453" s="1" t="b">
        <f>IFERROR(__xludf.DUMMYFUNCTION("""COMPUTED_VALUE"""),TRUE)</f>
        <v>1</v>
      </c>
      <c r="T2453" s="1" t="b">
        <f>IFERROR(__xludf.DUMMYFUNCTION("""COMPUTED_VALUE"""),FALSE)</f>
        <v>0</v>
      </c>
      <c r="U2453" s="1" t="str">
        <f>IFERROR(__xludf.DUMMYFUNCTION("""COMPUTED_VALUE"""),"VALID")</f>
        <v>VALID</v>
      </c>
      <c r="V2453" s="1">
        <f>IFERROR(__xludf.DUMMYFUNCTION("""COMPUTED_VALUE"""),234.0)</f>
        <v>234</v>
      </c>
      <c r="W2453" s="1">
        <f>IFERROR(__xludf.DUMMYFUNCTION("""COMPUTED_VALUE"""),361.0)</f>
        <v>361</v>
      </c>
      <c r="X2453" s="1">
        <f>IFERROR(__xludf.DUMMYFUNCTION("""COMPUTED_VALUE"""),314.0)</f>
        <v>314</v>
      </c>
      <c r="Y2453" s="2"/>
      <c r="Z2453" s="2"/>
    </row>
    <row r="2454">
      <c r="A2454" s="1">
        <f>IFERROR(__xludf.DUMMYFUNCTION("""COMPUTED_VALUE"""),2453.0)</f>
        <v>2453</v>
      </c>
      <c r="B2454" s="1">
        <f>IFERROR(__xludf.DUMMYFUNCTION("""COMPUTED_VALUE"""),6296.0)</f>
        <v>6296</v>
      </c>
      <c r="C2454" s="2" t="str">
        <f>IFERROR(__xludf.DUMMYFUNCTION("""COMPUTED_VALUE"""),"Bagus Chandra M")</f>
        <v>Bagus Chandra M</v>
      </c>
      <c r="D2454" s="2" t="str">
        <f>IFERROR(__xludf.DUMMYFUNCTION("""COMPUTED_VALUE"""),"5KM OVERALL M")</f>
        <v>5KM OVERALL M</v>
      </c>
      <c r="E2454" s="1">
        <f>IFERROR(__xludf.DUMMYFUNCTION("""COMPUTED_VALUE"""),2.0)</f>
        <v>2</v>
      </c>
      <c r="F2454" s="1" t="str">
        <f>IFERROR(__xludf.DUMMYFUNCTION("""COMPUTED_VALUE"""),"Male")</f>
        <v>Male</v>
      </c>
      <c r="G2454" s="4" t="b">
        <f>IFERROR(__xludf.DUMMYFUNCTION("""COMPUTED_VALUE"""),TRUE)</f>
        <v>1</v>
      </c>
      <c r="H2454" s="4" t="b">
        <f>IFERROR(__xludf.DUMMYFUNCTION("""COMPUTED_VALUE"""),FALSE)</f>
        <v>0</v>
      </c>
      <c r="I2454" s="4">
        <f>IFERROR(__xludf.DUMMYFUNCTION("""COMPUTED_VALUE"""),0.2549440625)</f>
        <v>0.2549440625</v>
      </c>
      <c r="J2454" s="4">
        <f>IFERROR(__xludf.DUMMYFUNCTION("""COMPUTED_VALUE"""),45949.27252322753)</f>
        <v>45949.27252</v>
      </c>
      <c r="K2454" s="4" t="str">
        <f>IFERROR(__xludf.DUMMYFUNCTION("""COMPUTED_VALUE"""),"")</f>
        <v/>
      </c>
      <c r="L2454" s="4">
        <f>IFERROR(__xludf.DUMMYFUNCTION("""COMPUTED_VALUE"""),45949.28614739115)</f>
        <v>45949.28615</v>
      </c>
      <c r="M2454" s="1" t="str">
        <f>IFERROR(__xludf.DUMMYFUNCTION("""COMPUTED_VALUE"""),"RFID")</f>
        <v>RFID</v>
      </c>
      <c r="N2454" s="5">
        <f>IFERROR(__xludf.DUMMYFUNCTION("""COMPUTED_VALUE"""),0.007031666666666667)</f>
        <v>0.007031666667</v>
      </c>
      <c r="O2454" s="5" t="str">
        <f>IFERROR(__xludf.DUMMYFUNCTION("""COMPUTED_VALUE"""),"")</f>
        <v/>
      </c>
      <c r="P2454" s="5" t="str">
        <f>IFERROR(__xludf.DUMMYFUNCTION("""COMPUTED_VALUE"""),"")</f>
        <v/>
      </c>
      <c r="Q2454" s="5">
        <f>IFERROR(__xludf.DUMMYFUNCTION("""COMPUTED_VALUE"""),0.006240666666666667)</f>
        <v>0.006240666667</v>
      </c>
      <c r="R2454" s="4">
        <f>IFERROR(__xludf.DUMMYFUNCTION("""COMPUTED_VALUE"""),45949.03120332865)</f>
        <v>45949.0312</v>
      </c>
      <c r="S2454" s="1" t="b">
        <f>IFERROR(__xludf.DUMMYFUNCTION("""COMPUTED_VALUE"""),TRUE)</f>
        <v>1</v>
      </c>
      <c r="T2454" s="1" t="b">
        <f>IFERROR(__xludf.DUMMYFUNCTION("""COMPUTED_VALUE"""),FALSE)</f>
        <v>0</v>
      </c>
      <c r="U2454" s="1" t="str">
        <f>IFERROR(__xludf.DUMMYFUNCTION("""COMPUTED_VALUE"""),"VALID")</f>
        <v>VALID</v>
      </c>
      <c r="V2454" s="1">
        <f>IFERROR(__xludf.DUMMYFUNCTION("""COMPUTED_VALUE"""),419.0)</f>
        <v>419</v>
      </c>
      <c r="W2454" s="1">
        <f>IFERROR(__xludf.DUMMYFUNCTION("""COMPUTED_VALUE"""),643.0)</f>
        <v>643</v>
      </c>
      <c r="X2454" s="1">
        <f>IFERROR(__xludf.DUMMYFUNCTION("""COMPUTED_VALUE"""),537.0)</f>
        <v>537</v>
      </c>
      <c r="Y2454" s="2"/>
      <c r="Z2454" s="2"/>
    </row>
    <row r="2455">
      <c r="A2455" s="1">
        <f>IFERROR(__xludf.DUMMYFUNCTION("""COMPUTED_VALUE"""),2454.0)</f>
        <v>2454</v>
      </c>
      <c r="B2455" s="1">
        <f>IFERROR(__xludf.DUMMYFUNCTION("""COMPUTED_VALUE"""),6297.0)</f>
        <v>6297</v>
      </c>
      <c r="C2455" s="2" t="str">
        <f>IFERROR(__xludf.DUMMYFUNCTION("""COMPUTED_VALUE"""),"rizkyikhsaan")</f>
        <v>rizkyikhsaan</v>
      </c>
      <c r="D2455" s="2" t="str">
        <f>IFERROR(__xludf.DUMMYFUNCTION("""COMPUTED_VALUE"""),"5KM OVERALL M")</f>
        <v>5KM OVERALL M</v>
      </c>
      <c r="E2455" s="1">
        <f>IFERROR(__xludf.DUMMYFUNCTION("""COMPUTED_VALUE"""),2.0)</f>
        <v>2</v>
      </c>
      <c r="F2455" s="1" t="str">
        <f>IFERROR(__xludf.DUMMYFUNCTION("""COMPUTED_VALUE"""),"Male")</f>
        <v>Male</v>
      </c>
      <c r="G2455" s="4" t="b">
        <f>IFERROR(__xludf.DUMMYFUNCTION("""COMPUTED_VALUE"""),TRUE)</f>
        <v>1</v>
      </c>
      <c r="H2455" s="4" t="b">
        <f>IFERROR(__xludf.DUMMYFUNCTION("""COMPUTED_VALUE"""),TRUE)</f>
        <v>1</v>
      </c>
      <c r="I2455" s="4">
        <f>IFERROR(__xludf.DUMMYFUNCTION("""COMPUTED_VALUE"""),0.2549440625)</f>
        <v>0.2549440625</v>
      </c>
      <c r="J2455" s="4">
        <f>IFERROR(__xludf.DUMMYFUNCTION("""COMPUTED_VALUE"""),45949.27496765644)</f>
        <v>45949.27497</v>
      </c>
      <c r="K2455" s="4" t="str">
        <f>IFERROR(__xludf.DUMMYFUNCTION("""COMPUTED_VALUE"""),"")</f>
        <v/>
      </c>
      <c r="L2455" s="4">
        <f>IFERROR(__xludf.DUMMYFUNCTION("""COMPUTED_VALUE"""),45949.28453629287)</f>
        <v>45949.28454</v>
      </c>
      <c r="M2455" s="1" t="str">
        <f>IFERROR(__xludf.DUMMYFUNCTION("""COMPUTED_VALUE"""),"RFID")</f>
        <v>RFID</v>
      </c>
      <c r="N2455" s="5">
        <f>IFERROR(__xludf.DUMMYFUNCTION("""COMPUTED_VALUE"""),0.008009439814814815)</f>
        <v>0.008009439815</v>
      </c>
      <c r="O2455" s="5" t="str">
        <f>IFERROR(__xludf.DUMMYFUNCTION("""COMPUTED_VALUE"""),"")</f>
        <v/>
      </c>
      <c r="P2455" s="5" t="str">
        <f>IFERROR(__xludf.DUMMYFUNCTION("""COMPUTED_VALUE"""),"")</f>
        <v/>
      </c>
      <c r="Q2455" s="5">
        <f>IFERROR(__xludf.DUMMYFUNCTION("""COMPUTED_VALUE"""),0.005918446759259259)</f>
        <v>0.005918446759</v>
      </c>
      <c r="R2455" s="4">
        <f>IFERROR(__xludf.DUMMYFUNCTION("""COMPUTED_VALUE"""),45949.02959223037)</f>
        <v>45949.02959</v>
      </c>
      <c r="S2455" s="1" t="b">
        <f>IFERROR(__xludf.DUMMYFUNCTION("""COMPUTED_VALUE"""),TRUE)</f>
        <v>1</v>
      </c>
      <c r="T2455" s="1" t="b">
        <f>IFERROR(__xludf.DUMMYFUNCTION("""COMPUTED_VALUE"""),FALSE)</f>
        <v>0</v>
      </c>
      <c r="U2455" s="1" t="str">
        <f>IFERROR(__xludf.DUMMYFUNCTION("""COMPUTED_VALUE"""),"VALID")</f>
        <v>VALID</v>
      </c>
      <c r="V2455" s="1">
        <f>IFERROR(__xludf.DUMMYFUNCTION("""COMPUTED_VALUE"""),364.0)</f>
        <v>364</v>
      </c>
      <c r="W2455" s="1">
        <f>IFERROR(__xludf.DUMMYFUNCTION("""COMPUTED_VALUE"""),546.0)</f>
        <v>546</v>
      </c>
      <c r="X2455" s="1">
        <f>IFERROR(__xludf.DUMMYFUNCTION("""COMPUTED_VALUE"""),468.0)</f>
        <v>468</v>
      </c>
      <c r="Y2455" s="2"/>
      <c r="Z2455" s="2"/>
    </row>
    <row r="2456">
      <c r="A2456" s="1">
        <f>IFERROR(__xludf.DUMMYFUNCTION("""COMPUTED_VALUE"""),2455.0)</f>
        <v>2455</v>
      </c>
      <c r="B2456" s="1">
        <f>IFERROR(__xludf.DUMMYFUNCTION("""COMPUTED_VALUE"""),6299.0)</f>
        <v>6299</v>
      </c>
      <c r="C2456" s="2" t="str">
        <f>IFERROR(__xludf.DUMMYFUNCTION("""COMPUTED_VALUE"""),"Rifai")</f>
        <v>Rifai</v>
      </c>
      <c r="D2456" s="2" t="str">
        <f>IFERROR(__xludf.DUMMYFUNCTION("""COMPUTED_VALUE"""),"5KM OVERALL M")</f>
        <v>5KM OVERALL M</v>
      </c>
      <c r="E2456" s="1">
        <f>IFERROR(__xludf.DUMMYFUNCTION("""COMPUTED_VALUE"""),2.0)</f>
        <v>2</v>
      </c>
      <c r="F2456" s="1" t="str">
        <f>IFERROR(__xludf.DUMMYFUNCTION("""COMPUTED_VALUE"""),"Male")</f>
        <v>Male</v>
      </c>
      <c r="G2456" s="4" t="b">
        <f>IFERROR(__xludf.DUMMYFUNCTION("""COMPUTED_VALUE"""),TRUE)</f>
        <v>1</v>
      </c>
      <c r="H2456" s="4" t="b">
        <f>IFERROR(__xludf.DUMMYFUNCTION("""COMPUTED_VALUE"""),FALSE)</f>
        <v>0</v>
      </c>
      <c r="I2456" s="4">
        <f>IFERROR(__xludf.DUMMYFUNCTION("""COMPUTED_VALUE"""),0.2549440625)</f>
        <v>0.2549440625</v>
      </c>
      <c r="J2456" s="4">
        <f>IFERROR(__xludf.DUMMYFUNCTION("""COMPUTED_VALUE"""),45949.27625933842)</f>
        <v>45949.27626</v>
      </c>
      <c r="K2456" s="4" t="str">
        <f>IFERROR(__xludf.DUMMYFUNCTION("""COMPUTED_VALUE"""),"")</f>
        <v/>
      </c>
      <c r="L2456" s="4">
        <f>IFERROR(__xludf.DUMMYFUNCTION("""COMPUTED_VALUE"""),45949.29058489434)</f>
        <v>45949.29058</v>
      </c>
      <c r="M2456" s="1" t="str">
        <f>IFERROR(__xludf.DUMMYFUNCTION("""COMPUTED_VALUE"""),"RFID")</f>
        <v>RFID</v>
      </c>
      <c r="N2456" s="5">
        <f>IFERROR(__xludf.DUMMYFUNCTION("""COMPUTED_VALUE"""),0.008526111111111113)</f>
        <v>0.008526111111</v>
      </c>
      <c r="O2456" s="5" t="str">
        <f>IFERROR(__xludf.DUMMYFUNCTION("""COMPUTED_VALUE"""),"")</f>
        <v/>
      </c>
      <c r="P2456" s="5" t="str">
        <f>IFERROR(__xludf.DUMMYFUNCTION("""COMPUTED_VALUE"""),"")</f>
        <v/>
      </c>
      <c r="Q2456" s="5">
        <f>IFERROR(__xludf.DUMMYFUNCTION("""COMPUTED_VALUE"""),0.007128166666666666)</f>
        <v>0.007128166667</v>
      </c>
      <c r="R2456" s="4">
        <f>IFERROR(__xludf.DUMMYFUNCTION("""COMPUTED_VALUE"""),45949.03564083184)</f>
        <v>45949.03564</v>
      </c>
      <c r="S2456" s="1" t="b">
        <f>IFERROR(__xludf.DUMMYFUNCTION("""COMPUTED_VALUE"""),TRUE)</f>
        <v>1</v>
      </c>
      <c r="T2456" s="1" t="b">
        <f>IFERROR(__xludf.DUMMYFUNCTION("""COMPUTED_VALUE"""),FALSE)</f>
        <v>0</v>
      </c>
      <c r="U2456" s="1" t="str">
        <f>IFERROR(__xludf.DUMMYFUNCTION("""COMPUTED_VALUE"""),"VALID")</f>
        <v>VALID</v>
      </c>
      <c r="V2456" s="1">
        <f>IFERROR(__xludf.DUMMYFUNCTION("""COMPUTED_VALUE"""),580.0)</f>
        <v>580</v>
      </c>
      <c r="W2456" s="1">
        <f>IFERROR(__xludf.DUMMYFUNCTION("""COMPUTED_VALUE"""),927.0)</f>
        <v>927</v>
      </c>
      <c r="X2456" s="1">
        <f>IFERROR(__xludf.DUMMYFUNCTION("""COMPUTED_VALUE"""),757.0)</f>
        <v>757</v>
      </c>
      <c r="Y2456" s="2"/>
      <c r="Z2456" s="2"/>
    </row>
    <row r="2457">
      <c r="A2457" s="1">
        <f>IFERROR(__xludf.DUMMYFUNCTION("""COMPUTED_VALUE"""),2456.0)</f>
        <v>2456</v>
      </c>
      <c r="B2457" s="1">
        <f>IFERROR(__xludf.DUMMYFUNCTION("""COMPUTED_VALUE"""),6302.0)</f>
        <v>6302</v>
      </c>
      <c r="C2457" s="2" t="str">
        <f>IFERROR(__xludf.DUMMYFUNCTION("""COMPUTED_VALUE"""),"Rifqi ichwanul")</f>
        <v>Rifqi ichwanul</v>
      </c>
      <c r="D2457" s="2" t="str">
        <f>IFERROR(__xludf.DUMMYFUNCTION("""COMPUTED_VALUE"""),"5KM OVERALL M")</f>
        <v>5KM OVERALL M</v>
      </c>
      <c r="E2457" s="1">
        <f>IFERROR(__xludf.DUMMYFUNCTION("""COMPUTED_VALUE"""),2.0)</f>
        <v>2</v>
      </c>
      <c r="F2457" s="1" t="str">
        <f>IFERROR(__xludf.DUMMYFUNCTION("""COMPUTED_VALUE"""),"Male")</f>
        <v>Male</v>
      </c>
      <c r="G2457" s="4" t="b">
        <f>IFERROR(__xludf.DUMMYFUNCTION("""COMPUTED_VALUE"""),TRUE)</f>
        <v>1</v>
      </c>
      <c r="H2457" s="4" t="b">
        <f>IFERROR(__xludf.DUMMYFUNCTION("""COMPUTED_VALUE"""),FALSE)</f>
        <v>0</v>
      </c>
      <c r="I2457" s="4">
        <f>IFERROR(__xludf.DUMMYFUNCTION("""COMPUTED_VALUE"""),0.2549440625)</f>
        <v>0.2549440625</v>
      </c>
      <c r="J2457" s="4">
        <f>IFERROR(__xludf.DUMMYFUNCTION("""COMPUTED_VALUE"""),45949.27738086722)</f>
        <v>45949.27738</v>
      </c>
      <c r="K2457" s="4" t="str">
        <f>IFERROR(__xludf.DUMMYFUNCTION("""COMPUTED_VALUE"""),"")</f>
        <v/>
      </c>
      <c r="L2457" s="4">
        <f>IFERROR(__xludf.DUMMYFUNCTION("""COMPUTED_VALUE"""),45949.29509253485)</f>
        <v>45949.29509</v>
      </c>
      <c r="M2457" s="1" t="str">
        <f>IFERROR(__xludf.DUMMYFUNCTION("""COMPUTED_VALUE"""),"RFID")</f>
        <v>RFID</v>
      </c>
      <c r="N2457" s="5">
        <f>IFERROR(__xludf.DUMMYFUNCTION("""COMPUTED_VALUE"""),0.00897472222222222)</f>
        <v>0.008974722222</v>
      </c>
      <c r="O2457" s="5" t="str">
        <f>IFERROR(__xludf.DUMMYFUNCTION("""COMPUTED_VALUE"""),"")</f>
        <v/>
      </c>
      <c r="P2457" s="5" t="str">
        <f>IFERROR(__xludf.DUMMYFUNCTION("""COMPUTED_VALUE"""),"")</f>
        <v/>
      </c>
      <c r="Q2457" s="5">
        <f>IFERROR(__xludf.DUMMYFUNCTION("""COMPUTED_VALUE"""),0.008029694444444445)</f>
        <v>0.008029694444</v>
      </c>
      <c r="R2457" s="4">
        <f>IFERROR(__xludf.DUMMYFUNCTION("""COMPUTED_VALUE"""),45949.04014847235)</f>
        <v>45949.04015</v>
      </c>
      <c r="S2457" s="1" t="b">
        <f>IFERROR(__xludf.DUMMYFUNCTION("""COMPUTED_VALUE"""),TRUE)</f>
        <v>1</v>
      </c>
      <c r="T2457" s="1" t="b">
        <f>IFERROR(__xludf.DUMMYFUNCTION("""COMPUTED_VALUE"""),FALSE)</f>
        <v>0</v>
      </c>
      <c r="U2457" s="1" t="str">
        <f>IFERROR(__xludf.DUMMYFUNCTION("""COMPUTED_VALUE"""),"VALID")</f>
        <v>VALID</v>
      </c>
      <c r="V2457" s="1">
        <f>IFERROR(__xludf.DUMMYFUNCTION("""COMPUTED_VALUE"""),715.0)</f>
        <v>715</v>
      </c>
      <c r="W2457" s="1">
        <f>IFERROR(__xludf.DUMMYFUNCTION("""COMPUTED_VALUE"""),1248.0)</f>
        <v>1248</v>
      </c>
      <c r="X2457" s="1">
        <f>IFERROR(__xludf.DUMMYFUNCTION("""COMPUTED_VALUE"""),985.0)</f>
        <v>985</v>
      </c>
      <c r="Y2457" s="2"/>
      <c r="Z2457" s="2"/>
    </row>
    <row r="2458">
      <c r="A2458" s="1">
        <f>IFERROR(__xludf.DUMMYFUNCTION("""COMPUTED_VALUE"""),2457.0)</f>
        <v>2457</v>
      </c>
      <c r="B2458" s="1">
        <f>IFERROR(__xludf.DUMMYFUNCTION("""COMPUTED_VALUE"""),6303.0)</f>
        <v>6303</v>
      </c>
      <c r="C2458" s="2" t="str">
        <f>IFERROR(__xludf.DUMMYFUNCTION("""COMPUTED_VALUE"""),"RENJANA")</f>
        <v>RENJANA</v>
      </c>
      <c r="D2458" s="2" t="str">
        <f>IFERROR(__xludf.DUMMYFUNCTION("""COMPUTED_VALUE"""),"5KM OVERALL M")</f>
        <v>5KM OVERALL M</v>
      </c>
      <c r="E2458" s="1">
        <f>IFERROR(__xludf.DUMMYFUNCTION("""COMPUTED_VALUE"""),2.0)</f>
        <v>2</v>
      </c>
      <c r="F2458" s="1" t="str">
        <f>IFERROR(__xludf.DUMMYFUNCTION("""COMPUTED_VALUE"""),"Male")</f>
        <v>Male</v>
      </c>
      <c r="G2458" s="4" t="b">
        <f>IFERROR(__xludf.DUMMYFUNCTION("""COMPUTED_VALUE"""),TRUE)</f>
        <v>1</v>
      </c>
      <c r="H2458" s="4" t="b">
        <f>IFERROR(__xludf.DUMMYFUNCTION("""COMPUTED_VALUE"""),TRUE)</f>
        <v>1</v>
      </c>
      <c r="I2458" s="4">
        <f>IFERROR(__xludf.DUMMYFUNCTION("""COMPUTED_VALUE"""),0.2549440625)</f>
        <v>0.2549440625</v>
      </c>
      <c r="J2458" s="4">
        <f>IFERROR(__xludf.DUMMYFUNCTION("""COMPUTED_VALUE"""),45949.272033636036)</f>
        <v>45949.27203</v>
      </c>
      <c r="K2458" s="4" t="str">
        <f>IFERROR(__xludf.DUMMYFUNCTION("""COMPUTED_VALUE"""),"")</f>
        <v/>
      </c>
      <c r="L2458" s="4">
        <f>IFERROR(__xludf.DUMMYFUNCTION("""COMPUTED_VALUE"""),45949.28433491572)</f>
        <v>45949.28433</v>
      </c>
      <c r="M2458" s="1" t="str">
        <f>IFERROR(__xludf.DUMMYFUNCTION("""COMPUTED_VALUE"""),"RFID")</f>
        <v>RFID</v>
      </c>
      <c r="N2458" s="5">
        <f>IFERROR(__xludf.DUMMYFUNCTION("""COMPUTED_VALUE"""),0.006835828703703703)</f>
        <v>0.006835828704</v>
      </c>
      <c r="O2458" s="5" t="str">
        <f>IFERROR(__xludf.DUMMYFUNCTION("""COMPUTED_VALUE"""),"")</f>
        <v/>
      </c>
      <c r="P2458" s="5" t="str">
        <f>IFERROR(__xludf.DUMMYFUNCTION("""COMPUTED_VALUE"""),"")</f>
        <v/>
      </c>
      <c r="Q2458" s="5">
        <f>IFERROR(__xludf.DUMMYFUNCTION("""COMPUTED_VALUE"""),0.005878171296296296)</f>
        <v>0.005878171296</v>
      </c>
      <c r="R2458" s="4">
        <f>IFERROR(__xludf.DUMMYFUNCTION("""COMPUTED_VALUE"""),45949.02939085322)</f>
        <v>45949.02939</v>
      </c>
      <c r="S2458" s="1" t="b">
        <f>IFERROR(__xludf.DUMMYFUNCTION("""COMPUTED_VALUE"""),TRUE)</f>
        <v>1</v>
      </c>
      <c r="T2458" s="1" t="b">
        <f>IFERROR(__xludf.DUMMYFUNCTION("""COMPUTED_VALUE"""),FALSE)</f>
        <v>0</v>
      </c>
      <c r="U2458" s="1" t="str">
        <f>IFERROR(__xludf.DUMMYFUNCTION("""COMPUTED_VALUE"""),"VALID")</f>
        <v>VALID</v>
      </c>
      <c r="V2458" s="1">
        <f>IFERROR(__xludf.DUMMYFUNCTION("""COMPUTED_VALUE"""),353.0)</f>
        <v>353</v>
      </c>
      <c r="W2458" s="1">
        <f>IFERROR(__xludf.DUMMYFUNCTION("""COMPUTED_VALUE"""),525.0)</f>
        <v>525</v>
      </c>
      <c r="X2458" s="1">
        <f>IFERROR(__xludf.DUMMYFUNCTION("""COMPUTED_VALUE"""),455.0)</f>
        <v>455</v>
      </c>
      <c r="Y2458" s="2"/>
      <c r="Z2458" s="2"/>
    </row>
    <row r="2459">
      <c r="A2459" s="1">
        <f>IFERROR(__xludf.DUMMYFUNCTION("""COMPUTED_VALUE"""),2458.0)</f>
        <v>2458</v>
      </c>
      <c r="B2459" s="1">
        <f>IFERROR(__xludf.DUMMYFUNCTION("""COMPUTED_VALUE"""),6304.0)</f>
        <v>6304</v>
      </c>
      <c r="C2459" s="2" t="str">
        <f>IFERROR(__xludf.DUMMYFUNCTION("""COMPUTED_VALUE"""),"Afri Abu Zaid")</f>
        <v>Afri Abu Zaid</v>
      </c>
      <c r="D2459" s="2" t="str">
        <f>IFERROR(__xludf.DUMMYFUNCTION("""COMPUTED_VALUE"""),"5KM OVERALL M")</f>
        <v>5KM OVERALL M</v>
      </c>
      <c r="E2459" s="1">
        <f>IFERROR(__xludf.DUMMYFUNCTION("""COMPUTED_VALUE"""),2.0)</f>
        <v>2</v>
      </c>
      <c r="F2459" s="1" t="str">
        <f>IFERROR(__xludf.DUMMYFUNCTION("""COMPUTED_VALUE"""),"Male")</f>
        <v>Male</v>
      </c>
      <c r="G2459" s="4" t="b">
        <f>IFERROR(__xludf.DUMMYFUNCTION("""COMPUTED_VALUE"""),TRUE)</f>
        <v>1</v>
      </c>
      <c r="H2459" s="4" t="b">
        <f>IFERROR(__xludf.DUMMYFUNCTION("""COMPUTED_VALUE"""),FALSE)</f>
        <v>0</v>
      </c>
      <c r="I2459" s="4">
        <f>IFERROR(__xludf.DUMMYFUNCTION("""COMPUTED_VALUE"""),0.2549440625)</f>
        <v>0.2549440625</v>
      </c>
      <c r="J2459" s="4">
        <f>IFERROR(__xludf.DUMMYFUNCTION("""COMPUTED_VALUE"""),45949.27324202554)</f>
        <v>45949.27324</v>
      </c>
      <c r="K2459" s="4" t="str">
        <f>IFERROR(__xludf.DUMMYFUNCTION("""COMPUTED_VALUE"""),"")</f>
        <v/>
      </c>
      <c r="L2459" s="4">
        <f>IFERROR(__xludf.DUMMYFUNCTION("""COMPUTED_VALUE"""),45949.28377239275)</f>
        <v>45949.28377</v>
      </c>
      <c r="M2459" s="1" t="str">
        <f>IFERROR(__xludf.DUMMYFUNCTION("""COMPUTED_VALUE"""),"RFID")</f>
        <v>RFID</v>
      </c>
      <c r="N2459" s="5">
        <f>IFERROR(__xludf.DUMMYFUNCTION("""COMPUTED_VALUE"""),0.0073191851851851855)</f>
        <v>0.007319185185</v>
      </c>
      <c r="O2459" s="5" t="str">
        <f>IFERROR(__xludf.DUMMYFUNCTION("""COMPUTED_VALUE"""),"")</f>
        <v/>
      </c>
      <c r="P2459" s="5" t="str">
        <f>IFERROR(__xludf.DUMMYFUNCTION("""COMPUTED_VALUE"""),"")</f>
        <v/>
      </c>
      <c r="Q2459" s="5">
        <f>IFERROR(__xludf.DUMMYFUNCTION("""COMPUTED_VALUE"""),0.005765666666666667)</f>
        <v>0.005765666667</v>
      </c>
      <c r="R2459" s="4">
        <f>IFERROR(__xludf.DUMMYFUNCTION("""COMPUTED_VALUE"""),45949.02882833025)</f>
        <v>45949.02883</v>
      </c>
      <c r="S2459" s="1" t="b">
        <f>IFERROR(__xludf.DUMMYFUNCTION("""COMPUTED_VALUE"""),TRUE)</f>
        <v>1</v>
      </c>
      <c r="T2459" s="1" t="b">
        <f>IFERROR(__xludf.DUMMYFUNCTION("""COMPUTED_VALUE"""),FALSE)</f>
        <v>0</v>
      </c>
      <c r="U2459" s="1" t="str">
        <f>IFERROR(__xludf.DUMMYFUNCTION("""COMPUTED_VALUE"""),"VALID")</f>
        <v>VALID</v>
      </c>
      <c r="V2459" s="1">
        <f>IFERROR(__xludf.DUMMYFUNCTION("""COMPUTED_VALUE"""),323.0)</f>
        <v>323</v>
      </c>
      <c r="W2459" s="1">
        <f>IFERROR(__xludf.DUMMYFUNCTION("""COMPUTED_VALUE"""),480.0)</f>
        <v>480</v>
      </c>
      <c r="X2459" s="1">
        <f>IFERROR(__xludf.DUMMYFUNCTION("""COMPUTED_VALUE"""),416.0)</f>
        <v>416</v>
      </c>
      <c r="Y2459" s="2"/>
      <c r="Z2459" s="2"/>
    </row>
    <row r="2460">
      <c r="A2460" s="1">
        <f>IFERROR(__xludf.DUMMYFUNCTION("""COMPUTED_VALUE"""),2459.0)</f>
        <v>2459</v>
      </c>
      <c r="B2460" s="1">
        <f>IFERROR(__xludf.DUMMYFUNCTION("""COMPUTED_VALUE"""),6305.0)</f>
        <v>6305</v>
      </c>
      <c r="C2460" s="2" t="str">
        <f>IFERROR(__xludf.DUMMYFUNCTION("""COMPUTED_VALUE"""),"fiziakhmad")</f>
        <v>fiziakhmad</v>
      </c>
      <c r="D2460" s="2" t="str">
        <f>IFERROR(__xludf.DUMMYFUNCTION("""COMPUTED_VALUE"""),"5KM OVERALL M")</f>
        <v>5KM OVERALL M</v>
      </c>
      <c r="E2460" s="1">
        <f>IFERROR(__xludf.DUMMYFUNCTION("""COMPUTED_VALUE"""),2.0)</f>
        <v>2</v>
      </c>
      <c r="F2460" s="1" t="str">
        <f>IFERROR(__xludf.DUMMYFUNCTION("""COMPUTED_VALUE"""),"Male")</f>
        <v>Male</v>
      </c>
      <c r="G2460" s="4" t="b">
        <f>IFERROR(__xludf.DUMMYFUNCTION("""COMPUTED_VALUE"""),TRUE)</f>
        <v>1</v>
      </c>
      <c r="H2460" s="4" t="b">
        <f>IFERROR(__xludf.DUMMYFUNCTION("""COMPUTED_VALUE"""),TRUE)</f>
        <v>1</v>
      </c>
      <c r="I2460" s="4">
        <f>IFERROR(__xludf.DUMMYFUNCTION("""COMPUTED_VALUE"""),0.2549440625)</f>
        <v>0.2549440625</v>
      </c>
      <c r="J2460" s="4">
        <f>IFERROR(__xludf.DUMMYFUNCTION("""COMPUTED_VALUE"""),45949.27140869613)</f>
        <v>45949.27141</v>
      </c>
      <c r="K2460" s="4" t="str">
        <f>IFERROR(__xludf.DUMMYFUNCTION("""COMPUTED_VALUE"""),"")</f>
        <v/>
      </c>
      <c r="L2460" s="4">
        <f>IFERROR(__xludf.DUMMYFUNCTION("""COMPUTED_VALUE"""),45949.28422378068)</f>
        <v>45949.28422</v>
      </c>
      <c r="M2460" s="1" t="str">
        <f>IFERROR(__xludf.DUMMYFUNCTION("""COMPUTED_VALUE"""),"RFID")</f>
        <v>RFID</v>
      </c>
      <c r="N2460" s="5">
        <f>IFERROR(__xludf.DUMMYFUNCTION("""COMPUTED_VALUE"""),0.006585851851851852)</f>
        <v>0.006585851852</v>
      </c>
      <c r="O2460" s="5" t="str">
        <f>IFERROR(__xludf.DUMMYFUNCTION("""COMPUTED_VALUE"""),"")</f>
        <v/>
      </c>
      <c r="P2460" s="5" t="str">
        <f>IFERROR(__xludf.DUMMYFUNCTION("""COMPUTED_VALUE"""),"")</f>
        <v/>
      </c>
      <c r="Q2460" s="5">
        <f>IFERROR(__xludf.DUMMYFUNCTION("""COMPUTED_VALUE"""),0.005855944444444444)</f>
        <v>0.005855944444</v>
      </c>
      <c r="R2460" s="4">
        <f>IFERROR(__xludf.DUMMYFUNCTION("""COMPUTED_VALUE"""),45949.02927971818)</f>
        <v>45949.02928</v>
      </c>
      <c r="S2460" s="1" t="b">
        <f>IFERROR(__xludf.DUMMYFUNCTION("""COMPUTED_VALUE"""),TRUE)</f>
        <v>1</v>
      </c>
      <c r="T2460" s="1" t="b">
        <f>IFERROR(__xludf.DUMMYFUNCTION("""COMPUTED_VALUE"""),FALSE)</f>
        <v>0</v>
      </c>
      <c r="U2460" s="1" t="str">
        <f>IFERROR(__xludf.DUMMYFUNCTION("""COMPUTED_VALUE"""),"VALID")</f>
        <v>VALID</v>
      </c>
      <c r="V2460" s="1">
        <f>IFERROR(__xludf.DUMMYFUNCTION("""COMPUTED_VALUE"""),347.0)</f>
        <v>347</v>
      </c>
      <c r="W2460" s="1">
        <f>IFERROR(__xludf.DUMMYFUNCTION("""COMPUTED_VALUE"""),515.0)</f>
        <v>515</v>
      </c>
      <c r="X2460" s="1">
        <f>IFERROR(__xludf.DUMMYFUNCTION("""COMPUTED_VALUE"""),447.0)</f>
        <v>447</v>
      </c>
      <c r="Y2460" s="2"/>
      <c r="Z2460" s="2"/>
    </row>
    <row r="2461">
      <c r="A2461" s="1">
        <f>IFERROR(__xludf.DUMMYFUNCTION("""COMPUTED_VALUE"""),2460.0)</f>
        <v>2460</v>
      </c>
      <c r="B2461" s="1">
        <f>IFERROR(__xludf.DUMMYFUNCTION("""COMPUTED_VALUE"""),6306.0)</f>
        <v>6306</v>
      </c>
      <c r="C2461" s="2" t="str">
        <f>IFERROR(__xludf.DUMMYFUNCTION("""COMPUTED_VALUE"""),"ROBI INDRAJID")</f>
        <v>ROBI INDRAJID</v>
      </c>
      <c r="D2461" s="2" t="str">
        <f>IFERROR(__xludf.DUMMYFUNCTION("""COMPUTED_VALUE"""),"5KM OVERALL M")</f>
        <v>5KM OVERALL M</v>
      </c>
      <c r="E2461" s="1">
        <f>IFERROR(__xludf.DUMMYFUNCTION("""COMPUTED_VALUE"""),2.0)</f>
        <v>2</v>
      </c>
      <c r="F2461" s="1" t="str">
        <f>IFERROR(__xludf.DUMMYFUNCTION("""COMPUTED_VALUE"""),"Male")</f>
        <v>Male</v>
      </c>
      <c r="G2461" s="4" t="b">
        <f>IFERROR(__xludf.DUMMYFUNCTION("""COMPUTED_VALUE"""),TRUE)</f>
        <v>1</v>
      </c>
      <c r="H2461" s="4" t="b">
        <f>IFERROR(__xludf.DUMMYFUNCTION("""COMPUTED_VALUE"""),TRUE)</f>
        <v>1</v>
      </c>
      <c r="I2461" s="4">
        <f>IFERROR(__xludf.DUMMYFUNCTION("""COMPUTED_VALUE"""),0.2549440625)</f>
        <v>0.2549440625</v>
      </c>
      <c r="J2461" s="4">
        <f>IFERROR(__xludf.DUMMYFUNCTION("""COMPUTED_VALUE"""),45949.27672119408)</f>
        <v>45949.27672</v>
      </c>
      <c r="K2461" s="4" t="str">
        <f>IFERROR(__xludf.DUMMYFUNCTION("""COMPUTED_VALUE"""),"")</f>
        <v/>
      </c>
      <c r="L2461" s="4">
        <f>IFERROR(__xludf.DUMMYFUNCTION("""COMPUTED_VALUE"""),45949.29276892)</f>
        <v>45949.29277</v>
      </c>
      <c r="M2461" s="1" t="str">
        <f>IFERROR(__xludf.DUMMYFUNCTION("""COMPUTED_VALUE"""),"RFID")</f>
        <v>RFID</v>
      </c>
      <c r="N2461" s="5">
        <f>IFERROR(__xludf.DUMMYFUNCTION("""COMPUTED_VALUE"""),0.008710851851851853)</f>
        <v>0.008710851852</v>
      </c>
      <c r="O2461" s="5" t="str">
        <f>IFERROR(__xludf.DUMMYFUNCTION("""COMPUTED_VALUE"""),"")</f>
        <v/>
      </c>
      <c r="P2461" s="5" t="str">
        <f>IFERROR(__xludf.DUMMYFUNCTION("""COMPUTED_VALUE"""),"")</f>
        <v/>
      </c>
      <c r="Q2461" s="5">
        <f>IFERROR(__xludf.DUMMYFUNCTION("""COMPUTED_VALUE"""),0.007564972222222223)</f>
        <v>0.007564972222</v>
      </c>
      <c r="R2461" s="4">
        <f>IFERROR(__xludf.DUMMYFUNCTION("""COMPUTED_VALUE"""),45949.0378248575)</f>
        <v>45949.03782</v>
      </c>
      <c r="S2461" s="1" t="b">
        <f>IFERROR(__xludf.DUMMYFUNCTION("""COMPUTED_VALUE"""),TRUE)</f>
        <v>1</v>
      </c>
      <c r="T2461" s="1" t="b">
        <f>IFERROR(__xludf.DUMMYFUNCTION("""COMPUTED_VALUE"""),FALSE)</f>
        <v>0</v>
      </c>
      <c r="U2461" s="1" t="str">
        <f>IFERROR(__xludf.DUMMYFUNCTION("""COMPUTED_VALUE"""),"VALID")</f>
        <v>VALID</v>
      </c>
      <c r="V2461" s="1">
        <f>IFERROR(__xludf.DUMMYFUNCTION("""COMPUTED_VALUE"""),649.0)</f>
        <v>649</v>
      </c>
      <c r="W2461" s="1">
        <f>IFERROR(__xludf.DUMMYFUNCTION("""COMPUTED_VALUE"""),1091.0)</f>
        <v>1091</v>
      </c>
      <c r="X2461" s="1">
        <f>IFERROR(__xludf.DUMMYFUNCTION("""COMPUTED_VALUE"""),866.0)</f>
        <v>866</v>
      </c>
      <c r="Y2461" s="2"/>
      <c r="Z2461" s="2"/>
    </row>
    <row r="2462">
      <c r="A2462" s="1">
        <f>IFERROR(__xludf.DUMMYFUNCTION("""COMPUTED_VALUE"""),2461.0)</f>
        <v>2461</v>
      </c>
      <c r="B2462" s="1">
        <f>IFERROR(__xludf.DUMMYFUNCTION("""COMPUTED_VALUE"""),6308.0)</f>
        <v>6308</v>
      </c>
      <c r="C2462" s="2" t="str">
        <f>IFERROR(__xludf.DUMMYFUNCTION("""COMPUTED_VALUE"""),"Raflie")</f>
        <v>Raflie</v>
      </c>
      <c r="D2462" s="2" t="str">
        <f>IFERROR(__xludf.DUMMYFUNCTION("""COMPUTED_VALUE"""),"5KM OVERALL M")</f>
        <v>5KM OVERALL M</v>
      </c>
      <c r="E2462" s="1">
        <f>IFERROR(__xludf.DUMMYFUNCTION("""COMPUTED_VALUE"""),2.0)</f>
        <v>2</v>
      </c>
      <c r="F2462" s="1" t="str">
        <f>IFERROR(__xludf.DUMMYFUNCTION("""COMPUTED_VALUE"""),"Male")</f>
        <v>Male</v>
      </c>
      <c r="G2462" s="4" t="b">
        <f>IFERROR(__xludf.DUMMYFUNCTION("""COMPUTED_VALUE"""),TRUE)</f>
        <v>1</v>
      </c>
      <c r="H2462" s="4" t="b">
        <f>IFERROR(__xludf.DUMMYFUNCTION("""COMPUTED_VALUE"""),FALSE)</f>
        <v>0</v>
      </c>
      <c r="I2462" s="4">
        <f>IFERROR(__xludf.DUMMYFUNCTION("""COMPUTED_VALUE"""),0.2549440625)</f>
        <v>0.2549440625</v>
      </c>
      <c r="J2462" s="4">
        <f>IFERROR(__xludf.DUMMYFUNCTION("""COMPUTED_VALUE"""),45949.274971136074)</f>
        <v>45949.27497</v>
      </c>
      <c r="K2462" s="4" t="str">
        <f>IFERROR(__xludf.DUMMYFUNCTION("""COMPUTED_VALUE"""),"")</f>
        <v/>
      </c>
      <c r="L2462" s="4">
        <f>IFERROR(__xludf.DUMMYFUNCTION("""COMPUTED_VALUE"""),45949.28685572548)</f>
        <v>45949.28686</v>
      </c>
      <c r="M2462" s="1" t="str">
        <f>IFERROR(__xludf.DUMMYFUNCTION("""COMPUTED_VALUE"""),"RFID")</f>
        <v>RFID</v>
      </c>
      <c r="N2462" s="5">
        <f>IFERROR(__xludf.DUMMYFUNCTION("""COMPUTED_VALUE"""),0.008010828703703704)</f>
        <v>0.008010828704</v>
      </c>
      <c r="O2462" s="5" t="str">
        <f>IFERROR(__xludf.DUMMYFUNCTION("""COMPUTED_VALUE"""),"")</f>
        <v/>
      </c>
      <c r="P2462" s="5" t="str">
        <f>IFERROR(__xludf.DUMMYFUNCTION("""COMPUTED_VALUE"""),"")</f>
        <v/>
      </c>
      <c r="Q2462" s="5">
        <f>IFERROR(__xludf.DUMMYFUNCTION("""COMPUTED_VALUE"""),0.0063823333333333345)</f>
        <v>0.006382333333</v>
      </c>
      <c r="R2462" s="4">
        <f>IFERROR(__xludf.DUMMYFUNCTION("""COMPUTED_VALUE"""),45949.031911662976)</f>
        <v>45949.03191</v>
      </c>
      <c r="S2462" s="1" t="b">
        <f>IFERROR(__xludf.DUMMYFUNCTION("""COMPUTED_VALUE"""),TRUE)</f>
        <v>1</v>
      </c>
      <c r="T2462" s="1" t="b">
        <f>IFERROR(__xludf.DUMMYFUNCTION("""COMPUTED_VALUE"""),FALSE)</f>
        <v>0</v>
      </c>
      <c r="U2462" s="1" t="str">
        <f>IFERROR(__xludf.DUMMYFUNCTION("""COMPUTED_VALUE"""),"VALID")</f>
        <v>VALID</v>
      </c>
      <c r="V2462" s="1">
        <f>IFERROR(__xludf.DUMMYFUNCTION("""COMPUTED_VALUE"""),450.0)</f>
        <v>450</v>
      </c>
      <c r="W2462" s="1">
        <f>IFERROR(__xludf.DUMMYFUNCTION("""COMPUTED_VALUE"""),692.0)</f>
        <v>692</v>
      </c>
      <c r="X2462" s="1">
        <f>IFERROR(__xludf.DUMMYFUNCTION("""COMPUTED_VALUE"""),578.0)</f>
        <v>578</v>
      </c>
      <c r="Y2462" s="2"/>
      <c r="Z2462" s="2"/>
    </row>
    <row r="2463">
      <c r="A2463" s="1">
        <f>IFERROR(__xludf.DUMMYFUNCTION("""COMPUTED_VALUE"""),2462.0)</f>
        <v>2462</v>
      </c>
      <c r="B2463" s="1">
        <f>IFERROR(__xludf.DUMMYFUNCTION("""COMPUTED_VALUE"""),6309.0)</f>
        <v>6309</v>
      </c>
      <c r="C2463" s="2" t="str">
        <f>IFERROR(__xludf.DUMMYFUNCTION("""COMPUTED_VALUE"""),"FAHRI")</f>
        <v>FAHRI</v>
      </c>
      <c r="D2463" s="2" t="str">
        <f>IFERROR(__xludf.DUMMYFUNCTION("""COMPUTED_VALUE"""),"5KM OVERALL M")</f>
        <v>5KM OVERALL M</v>
      </c>
      <c r="E2463" s="1">
        <f>IFERROR(__xludf.DUMMYFUNCTION("""COMPUTED_VALUE"""),2.0)</f>
        <v>2</v>
      </c>
      <c r="F2463" s="1" t="str">
        <f>IFERROR(__xludf.DUMMYFUNCTION("""COMPUTED_VALUE"""),"Male")</f>
        <v>Male</v>
      </c>
      <c r="G2463" s="4" t="str">
        <f>IFERROR(__xludf.DUMMYFUNCTION("""COMPUTED_VALUE"""),"")</f>
        <v/>
      </c>
      <c r="H2463" s="4" t="b">
        <f>IFERROR(__xludf.DUMMYFUNCTION("""COMPUTED_VALUE"""),FALSE)</f>
        <v>0</v>
      </c>
      <c r="I2463" s="4">
        <f>IFERROR(__xludf.DUMMYFUNCTION("""COMPUTED_VALUE"""),0.2549440625)</f>
        <v>0.2549440625</v>
      </c>
      <c r="J2463" s="4" t="str">
        <f>IFERROR(__xludf.DUMMYFUNCTION("""COMPUTED_VALUE"""),"")</f>
        <v/>
      </c>
      <c r="K2463" s="4" t="str">
        <f>IFERROR(__xludf.DUMMYFUNCTION("""COMPUTED_VALUE"""),"")</f>
        <v/>
      </c>
      <c r="L2463" s="4" t="str">
        <f>IFERROR(__xludf.DUMMYFUNCTION("""COMPUTED_VALUE"""),"")</f>
        <v/>
      </c>
      <c r="M2463" s="1" t="str">
        <f>IFERROR(__xludf.DUMMYFUNCTION("""COMPUTED_VALUE"""),"RFID")</f>
        <v>RFID</v>
      </c>
      <c r="N2463" s="5" t="str">
        <f>IFERROR(__xludf.DUMMYFUNCTION("""COMPUTED_VALUE"""),"")</f>
        <v/>
      </c>
      <c r="O2463" s="5" t="str">
        <f>IFERROR(__xludf.DUMMYFUNCTION("""COMPUTED_VALUE"""),"")</f>
        <v/>
      </c>
      <c r="P2463" s="5" t="str">
        <f>IFERROR(__xludf.DUMMYFUNCTION("""COMPUTED_VALUE"""),"")</f>
        <v/>
      </c>
      <c r="Q2463" s="5" t="str">
        <f>IFERROR(__xludf.DUMMYFUNCTION("""COMPUTED_VALUE"""),"")</f>
        <v/>
      </c>
      <c r="R2463" s="4" t="str">
        <f>IFERROR(__xludf.DUMMYFUNCTION("""COMPUTED_VALUE"""),"")</f>
        <v/>
      </c>
      <c r="S2463" s="1" t="b">
        <f>IFERROR(__xludf.DUMMYFUNCTION("""COMPUTED_VALUE"""),FALSE)</f>
        <v>0</v>
      </c>
      <c r="T2463" s="1" t="b">
        <f>IFERROR(__xludf.DUMMYFUNCTION("""COMPUTED_VALUE"""),FALSE)</f>
        <v>0</v>
      </c>
      <c r="U2463" s="1" t="str">
        <f>IFERROR(__xludf.DUMMYFUNCTION("""COMPUTED_VALUE"""),"DSQ")</f>
        <v>DSQ</v>
      </c>
      <c r="V2463" s="1" t="str">
        <f>IFERROR(__xludf.DUMMYFUNCTION("""COMPUTED_VALUE"""),"DSQ")</f>
        <v>DSQ</v>
      </c>
      <c r="W2463" s="1" t="str">
        <f>IFERROR(__xludf.DUMMYFUNCTION("""COMPUTED_VALUE"""),"DSQ")</f>
        <v>DSQ</v>
      </c>
      <c r="X2463" s="1" t="str">
        <f>IFERROR(__xludf.DUMMYFUNCTION("""COMPUTED_VALUE"""),"DSQ")</f>
        <v>DSQ</v>
      </c>
      <c r="Y2463" s="2"/>
      <c r="Z2463" s="2" t="str">
        <f>IFERROR(__xludf.DUMMYFUNCTION("""COMPUTED_VALUE"""),"")</f>
        <v/>
      </c>
    </row>
    <row r="2464">
      <c r="A2464" s="1">
        <f>IFERROR(__xludf.DUMMYFUNCTION("""COMPUTED_VALUE"""),2463.0)</f>
        <v>2463</v>
      </c>
      <c r="B2464" s="1">
        <f>IFERROR(__xludf.DUMMYFUNCTION("""COMPUTED_VALUE"""),6313.0)</f>
        <v>6313</v>
      </c>
      <c r="C2464" s="2" t="str">
        <f>IFERROR(__xludf.DUMMYFUNCTION("""COMPUTED_VALUE"""),"Burhani")</f>
        <v>Burhani</v>
      </c>
      <c r="D2464" s="2" t="str">
        <f>IFERROR(__xludf.DUMMYFUNCTION("""COMPUTED_VALUE"""),"5KM OVERALL M")</f>
        <v>5KM OVERALL M</v>
      </c>
      <c r="E2464" s="1">
        <f>IFERROR(__xludf.DUMMYFUNCTION("""COMPUTED_VALUE"""),2.0)</f>
        <v>2</v>
      </c>
      <c r="F2464" s="1" t="str">
        <f>IFERROR(__xludf.DUMMYFUNCTION("""COMPUTED_VALUE"""),"Male")</f>
        <v>Male</v>
      </c>
      <c r="G2464" s="4" t="b">
        <f>IFERROR(__xludf.DUMMYFUNCTION("""COMPUTED_VALUE"""),TRUE)</f>
        <v>1</v>
      </c>
      <c r="H2464" s="4" t="b">
        <f>IFERROR(__xludf.DUMMYFUNCTION("""COMPUTED_VALUE"""),TRUE)</f>
        <v>1</v>
      </c>
      <c r="I2464" s="4">
        <f>IFERROR(__xludf.DUMMYFUNCTION("""COMPUTED_VALUE"""),0.2549440625)</f>
        <v>0.2549440625</v>
      </c>
      <c r="J2464" s="4">
        <f>IFERROR(__xludf.DUMMYFUNCTION("""COMPUTED_VALUE"""),45949.273610071985)</f>
        <v>45949.27361</v>
      </c>
      <c r="K2464" s="4" t="str">
        <f>IFERROR(__xludf.DUMMYFUNCTION("""COMPUTED_VALUE"""),"")</f>
        <v/>
      </c>
      <c r="L2464" s="4">
        <f>IFERROR(__xludf.DUMMYFUNCTION("""COMPUTED_VALUE"""),45949.28831076666)</f>
        <v>45949.28831</v>
      </c>
      <c r="M2464" s="1" t="str">
        <f>IFERROR(__xludf.DUMMYFUNCTION("""COMPUTED_VALUE"""),"RFID")</f>
        <v>RFID</v>
      </c>
      <c r="N2464" s="5">
        <f>IFERROR(__xludf.DUMMYFUNCTION("""COMPUTED_VALUE"""),0.007466402777777778)</f>
        <v>0.007466402778</v>
      </c>
      <c r="O2464" s="5" t="str">
        <f>IFERROR(__xludf.DUMMYFUNCTION("""COMPUTED_VALUE"""),"")</f>
        <v/>
      </c>
      <c r="P2464" s="5" t="str">
        <f>IFERROR(__xludf.DUMMYFUNCTION("""COMPUTED_VALUE"""),"")</f>
        <v/>
      </c>
      <c r="Q2464" s="5">
        <f>IFERROR(__xludf.DUMMYFUNCTION("""COMPUTED_VALUE"""),0.006673340277777777)</f>
        <v>0.006673340278</v>
      </c>
      <c r="R2464" s="4">
        <f>IFERROR(__xludf.DUMMYFUNCTION("""COMPUTED_VALUE"""),45949.033366704156)</f>
        <v>45949.03337</v>
      </c>
      <c r="S2464" s="1" t="b">
        <f>IFERROR(__xludf.DUMMYFUNCTION("""COMPUTED_VALUE"""),TRUE)</f>
        <v>1</v>
      </c>
      <c r="T2464" s="1" t="b">
        <f>IFERROR(__xludf.DUMMYFUNCTION("""COMPUTED_VALUE"""),FALSE)</f>
        <v>0</v>
      </c>
      <c r="U2464" s="1" t="str">
        <f>IFERROR(__xludf.DUMMYFUNCTION("""COMPUTED_VALUE"""),"VALID")</f>
        <v>VALID</v>
      </c>
      <c r="V2464" s="1">
        <f>IFERROR(__xludf.DUMMYFUNCTION("""COMPUTED_VALUE"""),511.0)</f>
        <v>511</v>
      </c>
      <c r="W2464" s="1">
        <f>IFERROR(__xludf.DUMMYFUNCTION("""COMPUTED_VALUE"""),798.0)</f>
        <v>798</v>
      </c>
      <c r="X2464" s="1">
        <f>IFERROR(__xludf.DUMMYFUNCTION("""COMPUTED_VALUE"""),659.0)</f>
        <v>659</v>
      </c>
      <c r="Y2464" s="2"/>
      <c r="Z2464" s="2"/>
    </row>
    <row r="2465">
      <c r="A2465" s="1">
        <f>IFERROR(__xludf.DUMMYFUNCTION("""COMPUTED_VALUE"""),2464.0)</f>
        <v>2464</v>
      </c>
      <c r="B2465" s="1">
        <f>IFERROR(__xludf.DUMMYFUNCTION("""COMPUTED_VALUE"""),6315.0)</f>
        <v>6315</v>
      </c>
      <c r="C2465" s="2" t="str">
        <f>IFERROR(__xludf.DUMMYFUNCTION("""COMPUTED_VALUE"""),"ERTE")</f>
        <v>ERTE</v>
      </c>
      <c r="D2465" s="2" t="str">
        <f>IFERROR(__xludf.DUMMYFUNCTION("""COMPUTED_VALUE"""),"5KM OVERALL M")</f>
        <v>5KM OVERALL M</v>
      </c>
      <c r="E2465" s="1">
        <f>IFERROR(__xludf.DUMMYFUNCTION("""COMPUTED_VALUE"""),2.0)</f>
        <v>2</v>
      </c>
      <c r="F2465" s="1" t="str">
        <f>IFERROR(__xludf.DUMMYFUNCTION("""COMPUTED_VALUE"""),"Male")</f>
        <v>Male</v>
      </c>
      <c r="G2465" s="4" t="b">
        <f>IFERROR(__xludf.DUMMYFUNCTION("""COMPUTED_VALUE"""),TRUE)</f>
        <v>1</v>
      </c>
      <c r="H2465" s="4" t="b">
        <f>IFERROR(__xludf.DUMMYFUNCTION("""COMPUTED_VALUE"""),FALSE)</f>
        <v>0</v>
      </c>
      <c r="I2465" s="4">
        <f>IFERROR(__xludf.DUMMYFUNCTION("""COMPUTED_VALUE"""),0.2549440625)</f>
        <v>0.2549440625</v>
      </c>
      <c r="J2465" s="4">
        <f>IFERROR(__xludf.DUMMYFUNCTION("""COMPUTED_VALUE"""),45949.28056487844)</f>
        <v>45949.28056</v>
      </c>
      <c r="K2465" s="4" t="str">
        <f>IFERROR(__xludf.DUMMYFUNCTION("""COMPUTED_VALUE"""),"")</f>
        <v/>
      </c>
      <c r="L2465" s="4">
        <f>IFERROR(__xludf.DUMMYFUNCTION("""COMPUTED_VALUE"""),45949.30005017383)</f>
        <v>45949.30005</v>
      </c>
      <c r="M2465" s="1" t="str">
        <f>IFERROR(__xludf.DUMMYFUNCTION("""COMPUTED_VALUE"""),"RFID")</f>
        <v>RFID</v>
      </c>
      <c r="N2465" s="5">
        <f>IFERROR(__xludf.DUMMYFUNCTION("""COMPUTED_VALUE"""),0.010248324074074073)</f>
        <v>0.01024832407</v>
      </c>
      <c r="O2465" s="5" t="str">
        <f>IFERROR(__xludf.DUMMYFUNCTION("""COMPUTED_VALUE"""),"")</f>
        <v/>
      </c>
      <c r="P2465" s="5" t="str">
        <f>IFERROR(__xludf.DUMMYFUNCTION("""COMPUTED_VALUE"""),"")</f>
        <v/>
      </c>
      <c r="Q2465" s="5">
        <f>IFERROR(__xludf.DUMMYFUNCTION("""COMPUTED_VALUE"""),0.009021222222222222)</f>
        <v>0.009021222222</v>
      </c>
      <c r="R2465" s="4">
        <f>IFERROR(__xludf.DUMMYFUNCTION("""COMPUTED_VALUE"""),45949.04510611133)</f>
        <v>45949.04511</v>
      </c>
      <c r="S2465" s="1" t="b">
        <f>IFERROR(__xludf.DUMMYFUNCTION("""COMPUTED_VALUE"""),TRUE)</f>
        <v>1</v>
      </c>
      <c r="T2465" s="1" t="b">
        <f>IFERROR(__xludf.DUMMYFUNCTION("""COMPUTED_VALUE"""),FALSE)</f>
        <v>0</v>
      </c>
      <c r="U2465" s="1" t="str">
        <f>IFERROR(__xludf.DUMMYFUNCTION("""COMPUTED_VALUE"""),"VALID")</f>
        <v>VALID</v>
      </c>
      <c r="V2465" s="1">
        <f>IFERROR(__xludf.DUMMYFUNCTION("""COMPUTED_VALUE"""),797.0)</f>
        <v>797</v>
      </c>
      <c r="W2465" s="1">
        <f>IFERROR(__xludf.DUMMYFUNCTION("""COMPUTED_VALUE"""),1451.0)</f>
        <v>1451</v>
      </c>
      <c r="X2465" s="1">
        <f>IFERROR(__xludf.DUMMYFUNCTION("""COMPUTED_VALUE"""),1201.0)</f>
        <v>1201</v>
      </c>
      <c r="Y2465" s="2"/>
      <c r="Z2465" s="2"/>
    </row>
    <row r="2466">
      <c r="A2466" s="1">
        <f>IFERROR(__xludf.DUMMYFUNCTION("""COMPUTED_VALUE"""),2465.0)</f>
        <v>2465</v>
      </c>
      <c r="B2466" s="1">
        <f>IFERROR(__xludf.DUMMYFUNCTION("""COMPUTED_VALUE"""),6317.0)</f>
        <v>6317</v>
      </c>
      <c r="C2466" s="2" t="str">
        <f>IFERROR(__xludf.DUMMYFUNCTION("""COMPUTED_VALUE"""),"AKHMAD FADHILLAH")</f>
        <v>AKHMAD FADHILLAH</v>
      </c>
      <c r="D2466" s="2" t="str">
        <f>IFERROR(__xludf.DUMMYFUNCTION("""COMPUTED_VALUE"""),"5KM OVERALL M")</f>
        <v>5KM OVERALL M</v>
      </c>
      <c r="E2466" s="1">
        <f>IFERROR(__xludf.DUMMYFUNCTION("""COMPUTED_VALUE"""),2.0)</f>
        <v>2</v>
      </c>
      <c r="F2466" s="1" t="str">
        <f>IFERROR(__xludf.DUMMYFUNCTION("""COMPUTED_VALUE"""),"Male")</f>
        <v>Male</v>
      </c>
      <c r="G2466" s="4" t="b">
        <f>IFERROR(__xludf.DUMMYFUNCTION("""COMPUTED_VALUE"""),TRUE)</f>
        <v>1</v>
      </c>
      <c r="H2466" s="4" t="b">
        <f>IFERROR(__xludf.DUMMYFUNCTION("""COMPUTED_VALUE"""),FALSE)</f>
        <v>0</v>
      </c>
      <c r="I2466" s="4">
        <f>IFERROR(__xludf.DUMMYFUNCTION("""COMPUTED_VALUE"""),0.2549440625)</f>
        <v>0.2549440625</v>
      </c>
      <c r="J2466" s="4">
        <f>IFERROR(__xludf.DUMMYFUNCTION("""COMPUTED_VALUE"""),45949.271471144486)</f>
        <v>45949.27147</v>
      </c>
      <c r="K2466" s="4" t="str">
        <f>IFERROR(__xludf.DUMMYFUNCTION("""COMPUTED_VALUE"""),"")</f>
        <v/>
      </c>
      <c r="L2466" s="4">
        <f>IFERROR(__xludf.DUMMYFUNCTION("""COMPUTED_VALUE"""),45949.28422378068)</f>
        <v>45949.28422</v>
      </c>
      <c r="M2466" s="1" t="str">
        <f>IFERROR(__xludf.DUMMYFUNCTION("""COMPUTED_VALUE"""),"RFID")</f>
        <v>RFID</v>
      </c>
      <c r="N2466" s="5">
        <f>IFERROR(__xludf.DUMMYFUNCTION("""COMPUTED_VALUE"""),0.006610833333333334)</f>
        <v>0.006610833333</v>
      </c>
      <c r="O2466" s="5" t="str">
        <f>IFERROR(__xludf.DUMMYFUNCTION("""COMPUTED_VALUE"""),"")</f>
        <v/>
      </c>
      <c r="P2466" s="5" t="str">
        <f>IFERROR(__xludf.DUMMYFUNCTION("""COMPUTED_VALUE"""),"")</f>
        <v/>
      </c>
      <c r="Q2466" s="5">
        <f>IFERROR(__xludf.DUMMYFUNCTION("""COMPUTED_VALUE"""),0.005855944444444444)</f>
        <v>0.005855944444</v>
      </c>
      <c r="R2466" s="4">
        <f>IFERROR(__xludf.DUMMYFUNCTION("""COMPUTED_VALUE"""),45949.02927971818)</f>
        <v>45949.02928</v>
      </c>
      <c r="S2466" s="1" t="b">
        <f>IFERROR(__xludf.DUMMYFUNCTION("""COMPUTED_VALUE"""),TRUE)</f>
        <v>1</v>
      </c>
      <c r="T2466" s="1" t="b">
        <f>IFERROR(__xludf.DUMMYFUNCTION("""COMPUTED_VALUE"""),FALSE)</f>
        <v>0</v>
      </c>
      <c r="U2466" s="1" t="str">
        <f>IFERROR(__xludf.DUMMYFUNCTION("""COMPUTED_VALUE"""),"VALID")</f>
        <v>VALID</v>
      </c>
      <c r="V2466" s="1">
        <f>IFERROR(__xludf.DUMMYFUNCTION("""COMPUTED_VALUE"""),346.0)</f>
        <v>346</v>
      </c>
      <c r="W2466" s="1">
        <f>IFERROR(__xludf.DUMMYFUNCTION("""COMPUTED_VALUE"""),514.0)</f>
        <v>514</v>
      </c>
      <c r="X2466" s="1">
        <f>IFERROR(__xludf.DUMMYFUNCTION("""COMPUTED_VALUE"""),446.0)</f>
        <v>446</v>
      </c>
      <c r="Y2466" s="2"/>
      <c r="Z2466" s="2"/>
    </row>
    <row r="2467">
      <c r="A2467" s="1">
        <f>IFERROR(__xludf.DUMMYFUNCTION("""COMPUTED_VALUE"""),2466.0)</f>
        <v>2466</v>
      </c>
      <c r="B2467" s="1">
        <f>IFERROR(__xludf.DUMMYFUNCTION("""COMPUTED_VALUE"""),6318.0)</f>
        <v>6318</v>
      </c>
      <c r="C2467" s="2" t="str">
        <f>IFERROR(__xludf.DUMMYFUNCTION("""COMPUTED_VALUE"""),"AMY")</f>
        <v>AMY</v>
      </c>
      <c r="D2467" s="2" t="str">
        <f>IFERROR(__xludf.DUMMYFUNCTION("""COMPUTED_VALUE"""),"5KM OVERALL M")</f>
        <v>5KM OVERALL M</v>
      </c>
      <c r="E2467" s="1">
        <f>IFERROR(__xludf.DUMMYFUNCTION("""COMPUTED_VALUE"""),2.0)</f>
        <v>2</v>
      </c>
      <c r="F2467" s="1" t="str">
        <f>IFERROR(__xludf.DUMMYFUNCTION("""COMPUTED_VALUE"""),"Male")</f>
        <v>Male</v>
      </c>
      <c r="G2467" s="4" t="b">
        <f>IFERROR(__xludf.DUMMYFUNCTION("""COMPUTED_VALUE"""),TRUE)</f>
        <v>1</v>
      </c>
      <c r="H2467" s="4" t="b">
        <f>IFERROR(__xludf.DUMMYFUNCTION("""COMPUTED_VALUE"""),FALSE)</f>
        <v>0</v>
      </c>
      <c r="I2467" s="4">
        <f>IFERROR(__xludf.DUMMYFUNCTION("""COMPUTED_VALUE"""),0.2549440625)</f>
        <v>0.2549440625</v>
      </c>
      <c r="J2467" s="4">
        <f>IFERROR(__xludf.DUMMYFUNCTION("""COMPUTED_VALUE"""),45949.26822119813)</f>
        <v>45949.26822</v>
      </c>
      <c r="K2467" s="4" t="str">
        <f>IFERROR(__xludf.DUMMYFUNCTION("""COMPUTED_VALUE"""),"")</f>
        <v/>
      </c>
      <c r="L2467" s="4">
        <f>IFERROR(__xludf.DUMMYFUNCTION("""COMPUTED_VALUE"""),45949.27938003225)</f>
        <v>45949.27938</v>
      </c>
      <c r="M2467" s="1" t="str">
        <f>IFERROR(__xludf.DUMMYFUNCTION("""COMPUTED_VALUE"""),"RFID")</f>
        <v>RFID</v>
      </c>
      <c r="N2467" s="5">
        <f>IFERROR(__xludf.DUMMYFUNCTION("""COMPUTED_VALUE"""),0.0053108564814814815)</f>
        <v>0.005310856481</v>
      </c>
      <c r="O2467" s="5" t="str">
        <f>IFERROR(__xludf.DUMMYFUNCTION("""COMPUTED_VALUE"""),"")</f>
        <v/>
      </c>
      <c r="P2467" s="5" t="str">
        <f>IFERROR(__xludf.DUMMYFUNCTION("""COMPUTED_VALUE"""),"")</f>
        <v/>
      </c>
      <c r="Q2467" s="5">
        <f>IFERROR(__xludf.DUMMYFUNCTION("""COMPUTED_VALUE"""),0.004887194444444445)</f>
        <v>0.004887194444</v>
      </c>
      <c r="R2467" s="4">
        <f>IFERROR(__xludf.DUMMYFUNCTION("""COMPUTED_VALUE"""),45949.024435969746)</f>
        <v>45949.02444</v>
      </c>
      <c r="S2467" s="1" t="b">
        <f>IFERROR(__xludf.DUMMYFUNCTION("""COMPUTED_VALUE"""),TRUE)</f>
        <v>1</v>
      </c>
      <c r="T2467" s="1" t="b">
        <f>IFERROR(__xludf.DUMMYFUNCTION("""COMPUTED_VALUE"""),FALSE)</f>
        <v>0</v>
      </c>
      <c r="U2467" s="1" t="str">
        <f>IFERROR(__xludf.DUMMYFUNCTION("""COMPUTED_VALUE"""),"VALID")</f>
        <v>VALID</v>
      </c>
      <c r="V2467" s="1">
        <f>IFERROR(__xludf.DUMMYFUNCTION("""COMPUTED_VALUE"""),170.0)</f>
        <v>170</v>
      </c>
      <c r="W2467" s="1">
        <f>IFERROR(__xludf.DUMMYFUNCTION("""COMPUTED_VALUE"""),261.0)</f>
        <v>261</v>
      </c>
      <c r="X2467" s="1">
        <f>IFERROR(__xludf.DUMMYFUNCTION("""COMPUTED_VALUE"""),228.0)</f>
        <v>228</v>
      </c>
      <c r="Y2467" s="2"/>
      <c r="Z2467" s="2"/>
    </row>
    <row r="2468">
      <c r="A2468" s="1">
        <f>IFERROR(__xludf.DUMMYFUNCTION("""COMPUTED_VALUE"""),2467.0)</f>
        <v>2467</v>
      </c>
      <c r="B2468" s="1">
        <f>IFERROR(__xludf.DUMMYFUNCTION("""COMPUTED_VALUE"""),6320.0)</f>
        <v>6320</v>
      </c>
      <c r="C2468" s="2" t="str">
        <f>IFERROR(__xludf.DUMMYFUNCTION("""COMPUTED_VALUE"""),"SETIAWAN PUTRA")</f>
        <v>SETIAWAN PUTRA</v>
      </c>
      <c r="D2468" s="2" t="str">
        <f>IFERROR(__xludf.DUMMYFUNCTION("""COMPUTED_VALUE"""),"5KM OVERALL M")</f>
        <v>5KM OVERALL M</v>
      </c>
      <c r="E2468" s="1">
        <f>IFERROR(__xludf.DUMMYFUNCTION("""COMPUTED_VALUE"""),2.0)</f>
        <v>2</v>
      </c>
      <c r="F2468" s="1" t="str">
        <f>IFERROR(__xludf.DUMMYFUNCTION("""COMPUTED_VALUE"""),"Male")</f>
        <v>Male</v>
      </c>
      <c r="G2468" s="4" t="b">
        <f>IFERROR(__xludf.DUMMYFUNCTION("""COMPUTED_VALUE"""),TRUE)</f>
        <v>1</v>
      </c>
      <c r="H2468" s="4" t="b">
        <f>IFERROR(__xludf.DUMMYFUNCTION("""COMPUTED_VALUE"""),TRUE)</f>
        <v>1</v>
      </c>
      <c r="I2468" s="4">
        <f>IFERROR(__xludf.DUMMYFUNCTION("""COMPUTED_VALUE"""),0.2549440625)</f>
        <v>0.2549440625</v>
      </c>
      <c r="J2468" s="4">
        <f>IFERROR(__xludf.DUMMYFUNCTION("""COMPUTED_VALUE"""),45949.27091210465)</f>
        <v>45949.27091</v>
      </c>
      <c r="K2468" s="4" t="str">
        <f>IFERROR(__xludf.DUMMYFUNCTION("""COMPUTED_VALUE"""),"")</f>
        <v/>
      </c>
      <c r="L2468" s="4">
        <f>IFERROR(__xludf.DUMMYFUNCTION("""COMPUTED_VALUE"""),45949.28557448147)</f>
        <v>45949.28557</v>
      </c>
      <c r="M2468" s="1" t="str">
        <f>IFERROR(__xludf.DUMMYFUNCTION("""COMPUTED_VALUE"""),"RFID")</f>
        <v>RFID</v>
      </c>
      <c r="N2468" s="5">
        <f>IFERROR(__xludf.DUMMYFUNCTION("""COMPUTED_VALUE"""),0.006387217592592592)</f>
        <v>0.006387217593</v>
      </c>
      <c r="O2468" s="5" t="str">
        <f>IFERROR(__xludf.DUMMYFUNCTION("""COMPUTED_VALUE"""),"")</f>
        <v/>
      </c>
      <c r="P2468" s="5" t="str">
        <f>IFERROR(__xludf.DUMMYFUNCTION("""COMPUTED_VALUE"""),"")</f>
        <v/>
      </c>
      <c r="Q2468" s="5">
        <f>IFERROR(__xludf.DUMMYFUNCTION("""COMPUTED_VALUE"""),0.006126083333333332)</f>
        <v>0.006126083333</v>
      </c>
      <c r="R2468" s="4">
        <f>IFERROR(__xludf.DUMMYFUNCTION("""COMPUTED_VALUE"""),45949.03063041897)</f>
        <v>45949.03063</v>
      </c>
      <c r="S2468" s="1" t="b">
        <f>IFERROR(__xludf.DUMMYFUNCTION("""COMPUTED_VALUE"""),TRUE)</f>
        <v>1</v>
      </c>
      <c r="T2468" s="1" t="b">
        <f>IFERROR(__xludf.DUMMYFUNCTION("""COMPUTED_VALUE"""),FALSE)</f>
        <v>0</v>
      </c>
      <c r="U2468" s="1" t="str">
        <f>IFERROR(__xludf.DUMMYFUNCTION("""COMPUTED_VALUE"""),"VALID")</f>
        <v>VALID</v>
      </c>
      <c r="V2468" s="1">
        <f>IFERROR(__xludf.DUMMYFUNCTION("""COMPUTED_VALUE"""),399.0)</f>
        <v>399</v>
      </c>
      <c r="W2468" s="1">
        <f>IFERROR(__xludf.DUMMYFUNCTION("""COMPUTED_VALUE"""),610.0)</f>
        <v>610</v>
      </c>
      <c r="X2468" s="1">
        <f>IFERROR(__xludf.DUMMYFUNCTION("""COMPUTED_VALUE"""),512.0)</f>
        <v>512</v>
      </c>
      <c r="Y2468" s="2"/>
      <c r="Z2468" s="2"/>
    </row>
    <row r="2469">
      <c r="A2469" s="1">
        <f>IFERROR(__xludf.DUMMYFUNCTION("""COMPUTED_VALUE"""),2468.0)</f>
        <v>2468</v>
      </c>
      <c r="B2469" s="1">
        <f>IFERROR(__xludf.DUMMYFUNCTION("""COMPUTED_VALUE"""),6321.0)</f>
        <v>6321</v>
      </c>
      <c r="C2469" s="2" t="str">
        <f>IFERROR(__xludf.DUMMYFUNCTION("""COMPUTED_VALUE"""),"Zhar")</f>
        <v>Zhar</v>
      </c>
      <c r="D2469" s="2" t="str">
        <f>IFERROR(__xludf.DUMMYFUNCTION("""COMPUTED_VALUE"""),"5KM OVERALL M")</f>
        <v>5KM OVERALL M</v>
      </c>
      <c r="E2469" s="1">
        <f>IFERROR(__xludf.DUMMYFUNCTION("""COMPUTED_VALUE"""),2.0)</f>
        <v>2</v>
      </c>
      <c r="F2469" s="1" t="str">
        <f>IFERROR(__xludf.DUMMYFUNCTION("""COMPUTED_VALUE"""),"Male")</f>
        <v>Male</v>
      </c>
      <c r="G2469" s="4" t="str">
        <f>IFERROR(__xludf.DUMMYFUNCTION("""COMPUTED_VALUE"""),"")</f>
        <v/>
      </c>
      <c r="H2469" s="4" t="b">
        <f>IFERROR(__xludf.DUMMYFUNCTION("""COMPUTED_VALUE"""),FALSE)</f>
        <v>0</v>
      </c>
      <c r="I2469" s="4">
        <f>IFERROR(__xludf.DUMMYFUNCTION("""COMPUTED_VALUE"""),0.2549440625)</f>
        <v>0.2549440625</v>
      </c>
      <c r="J2469" s="4" t="str">
        <f>IFERROR(__xludf.DUMMYFUNCTION("""COMPUTED_VALUE"""),"")</f>
        <v/>
      </c>
      <c r="K2469" s="4" t="str">
        <f>IFERROR(__xludf.DUMMYFUNCTION("""COMPUTED_VALUE"""),"")</f>
        <v/>
      </c>
      <c r="L2469" s="4" t="str">
        <f>IFERROR(__xludf.DUMMYFUNCTION("""COMPUTED_VALUE"""),"")</f>
        <v/>
      </c>
      <c r="M2469" s="1" t="str">
        <f>IFERROR(__xludf.DUMMYFUNCTION("""COMPUTED_VALUE"""),"RFID")</f>
        <v>RFID</v>
      </c>
      <c r="N2469" s="5" t="str">
        <f>IFERROR(__xludf.DUMMYFUNCTION("""COMPUTED_VALUE"""),"")</f>
        <v/>
      </c>
      <c r="O2469" s="5" t="str">
        <f>IFERROR(__xludf.DUMMYFUNCTION("""COMPUTED_VALUE"""),"")</f>
        <v/>
      </c>
      <c r="P2469" s="5" t="str">
        <f>IFERROR(__xludf.DUMMYFUNCTION("""COMPUTED_VALUE"""),"")</f>
        <v/>
      </c>
      <c r="Q2469" s="5" t="str">
        <f>IFERROR(__xludf.DUMMYFUNCTION("""COMPUTED_VALUE"""),"")</f>
        <v/>
      </c>
      <c r="R2469" s="4" t="str">
        <f>IFERROR(__xludf.DUMMYFUNCTION("""COMPUTED_VALUE"""),"")</f>
        <v/>
      </c>
      <c r="S2469" s="1" t="b">
        <f>IFERROR(__xludf.DUMMYFUNCTION("""COMPUTED_VALUE"""),FALSE)</f>
        <v>0</v>
      </c>
      <c r="T2469" s="1" t="b">
        <f>IFERROR(__xludf.DUMMYFUNCTION("""COMPUTED_VALUE"""),FALSE)</f>
        <v>0</v>
      </c>
      <c r="U2469" s="1" t="str">
        <f>IFERROR(__xludf.DUMMYFUNCTION("""COMPUTED_VALUE"""),"DSQ")</f>
        <v>DSQ</v>
      </c>
      <c r="V2469" s="1" t="str">
        <f>IFERROR(__xludf.DUMMYFUNCTION("""COMPUTED_VALUE"""),"DSQ")</f>
        <v>DSQ</v>
      </c>
      <c r="W2469" s="1" t="str">
        <f>IFERROR(__xludf.DUMMYFUNCTION("""COMPUTED_VALUE"""),"DSQ")</f>
        <v>DSQ</v>
      </c>
      <c r="X2469" s="1" t="str">
        <f>IFERROR(__xludf.DUMMYFUNCTION("""COMPUTED_VALUE"""),"DSQ")</f>
        <v>DSQ</v>
      </c>
      <c r="Y2469" s="2"/>
      <c r="Z2469" s="2" t="str">
        <f>IFERROR(__xludf.DUMMYFUNCTION("""COMPUTED_VALUE"""),"")</f>
        <v/>
      </c>
    </row>
    <row r="2470">
      <c r="A2470" s="1">
        <f>IFERROR(__xludf.DUMMYFUNCTION("""COMPUTED_VALUE"""),2469.0)</f>
        <v>2469</v>
      </c>
      <c r="B2470" s="1">
        <f>IFERROR(__xludf.DUMMYFUNCTION("""COMPUTED_VALUE"""),6323.0)</f>
        <v>6323</v>
      </c>
      <c r="C2470" s="2" t="str">
        <f>IFERROR(__xludf.DUMMYFUNCTION("""COMPUTED_VALUE"""),"WAHAB")</f>
        <v>WAHAB</v>
      </c>
      <c r="D2470" s="2" t="str">
        <f>IFERROR(__xludf.DUMMYFUNCTION("""COMPUTED_VALUE"""),"5KM OVERALL M")</f>
        <v>5KM OVERALL M</v>
      </c>
      <c r="E2470" s="1">
        <f>IFERROR(__xludf.DUMMYFUNCTION("""COMPUTED_VALUE"""),2.0)</f>
        <v>2</v>
      </c>
      <c r="F2470" s="1" t="str">
        <f>IFERROR(__xludf.DUMMYFUNCTION("""COMPUTED_VALUE"""),"Male")</f>
        <v>Male</v>
      </c>
      <c r="G2470" s="4" t="b">
        <f>IFERROR(__xludf.DUMMYFUNCTION("""COMPUTED_VALUE"""),TRUE)</f>
        <v>1</v>
      </c>
      <c r="H2470" s="4" t="b">
        <f>IFERROR(__xludf.DUMMYFUNCTION("""COMPUTED_VALUE"""),FALSE)</f>
        <v>0</v>
      </c>
      <c r="I2470" s="4">
        <f>IFERROR(__xludf.DUMMYFUNCTION("""COMPUTED_VALUE"""),0.2549440625)</f>
        <v>0.2549440625</v>
      </c>
      <c r="J2470" s="4">
        <f>IFERROR(__xludf.DUMMYFUNCTION("""COMPUTED_VALUE"""),45949.27774547947)</f>
        <v>45949.27775</v>
      </c>
      <c r="K2470" s="4" t="str">
        <f>IFERROR(__xludf.DUMMYFUNCTION("""COMPUTED_VALUE"""),"")</f>
        <v/>
      </c>
      <c r="L2470" s="4">
        <f>IFERROR(__xludf.DUMMYFUNCTION("""COMPUTED_VALUE"""),45949.29420642085)</f>
        <v>45949.29421</v>
      </c>
      <c r="M2470" s="1" t="str">
        <f>IFERROR(__xludf.DUMMYFUNCTION("""COMPUTED_VALUE"""),"RFID")</f>
        <v>RFID</v>
      </c>
      <c r="N2470" s="5">
        <f>IFERROR(__xludf.DUMMYFUNCTION("""COMPUTED_VALUE"""),0.009120564814814814)</f>
        <v>0.009120564815</v>
      </c>
      <c r="O2470" s="5" t="str">
        <f>IFERROR(__xludf.DUMMYFUNCTION("""COMPUTED_VALUE"""),"")</f>
        <v/>
      </c>
      <c r="P2470" s="5" t="str">
        <f>IFERROR(__xludf.DUMMYFUNCTION("""COMPUTED_VALUE"""),"")</f>
        <v/>
      </c>
      <c r="Q2470" s="5">
        <f>IFERROR(__xludf.DUMMYFUNCTION("""COMPUTED_VALUE"""),0.007852472222222222)</f>
        <v>0.007852472222</v>
      </c>
      <c r="R2470" s="4">
        <f>IFERROR(__xludf.DUMMYFUNCTION("""COMPUTED_VALUE"""),45949.03926235835)</f>
        <v>45949.03926</v>
      </c>
      <c r="S2470" s="1" t="b">
        <f>IFERROR(__xludf.DUMMYFUNCTION("""COMPUTED_VALUE"""),TRUE)</f>
        <v>1</v>
      </c>
      <c r="T2470" s="1" t="b">
        <f>IFERROR(__xludf.DUMMYFUNCTION("""COMPUTED_VALUE"""),FALSE)</f>
        <v>0</v>
      </c>
      <c r="U2470" s="1" t="str">
        <f>IFERROR(__xludf.DUMMYFUNCTION("""COMPUTED_VALUE"""),"VALID")</f>
        <v>VALID</v>
      </c>
      <c r="V2470" s="1">
        <f>IFERROR(__xludf.DUMMYFUNCTION("""COMPUTED_VALUE"""),694.0)</f>
        <v>694</v>
      </c>
      <c r="W2470" s="1">
        <f>IFERROR(__xludf.DUMMYFUNCTION("""COMPUTED_VALUE"""),1194.0)</f>
        <v>1194</v>
      </c>
      <c r="X2470" s="1">
        <f>IFERROR(__xludf.DUMMYFUNCTION("""COMPUTED_VALUE"""),940.0)</f>
        <v>940</v>
      </c>
      <c r="Y2470" s="2"/>
      <c r="Z2470" s="2"/>
    </row>
    <row r="2471">
      <c r="A2471" s="1">
        <f>IFERROR(__xludf.DUMMYFUNCTION("""COMPUTED_VALUE"""),2470.0)</f>
        <v>2470</v>
      </c>
      <c r="B2471" s="1">
        <f>IFERROR(__xludf.DUMMYFUNCTION("""COMPUTED_VALUE"""),6325.0)</f>
        <v>6325</v>
      </c>
      <c r="C2471" s="2" t="str">
        <f>IFERROR(__xludf.DUMMYFUNCTION("""COMPUTED_VALUE"""),"arbaini")</f>
        <v>arbaini</v>
      </c>
      <c r="D2471" s="2" t="str">
        <f>IFERROR(__xludf.DUMMYFUNCTION("""COMPUTED_VALUE"""),"5KM OVERALL M")</f>
        <v>5KM OVERALL M</v>
      </c>
      <c r="E2471" s="1">
        <f>IFERROR(__xludf.DUMMYFUNCTION("""COMPUTED_VALUE"""),2.0)</f>
        <v>2</v>
      </c>
      <c r="F2471" s="1" t="str">
        <f>IFERROR(__xludf.DUMMYFUNCTION("""COMPUTED_VALUE"""),"Male")</f>
        <v>Male</v>
      </c>
      <c r="G2471" s="4" t="b">
        <f>IFERROR(__xludf.DUMMYFUNCTION("""COMPUTED_VALUE"""),TRUE)</f>
        <v>1</v>
      </c>
      <c r="H2471" s="4" t="b">
        <f>IFERROR(__xludf.DUMMYFUNCTION("""COMPUTED_VALUE"""),TRUE)</f>
        <v>1</v>
      </c>
      <c r="I2471" s="4">
        <f>IFERROR(__xludf.DUMMYFUNCTION("""COMPUTED_VALUE"""),0.2549440625)</f>
        <v>0.2549440625</v>
      </c>
      <c r="J2471" s="4">
        <f>IFERROR(__xludf.DUMMYFUNCTION("""COMPUTED_VALUE"""),45949.26713092308)</f>
        <v>45949.26713</v>
      </c>
      <c r="K2471" s="4" t="str">
        <f>IFERROR(__xludf.DUMMYFUNCTION("""COMPUTED_VALUE"""),"")</f>
        <v/>
      </c>
      <c r="L2471" s="4">
        <f>IFERROR(__xludf.DUMMYFUNCTION("""COMPUTED_VALUE"""),45949.278057120224)</f>
        <v>45949.27806</v>
      </c>
      <c r="M2471" s="1" t="str">
        <f>IFERROR(__xludf.DUMMYFUNCTION("""COMPUTED_VALUE"""),"RFID")</f>
        <v>RFID</v>
      </c>
      <c r="N2471" s="5">
        <f>IFERROR(__xludf.DUMMYFUNCTION("""COMPUTED_VALUE"""),0.00487474537037037)</f>
        <v>0.00487474537</v>
      </c>
      <c r="O2471" s="5" t="str">
        <f>IFERROR(__xludf.DUMMYFUNCTION("""COMPUTED_VALUE"""),"")</f>
        <v/>
      </c>
      <c r="P2471" s="5" t="str">
        <f>IFERROR(__xludf.DUMMYFUNCTION("""COMPUTED_VALUE"""),"")</f>
        <v/>
      </c>
      <c r="Q2471" s="5">
        <f>IFERROR(__xludf.DUMMYFUNCTION("""COMPUTED_VALUE"""),0.004622611111111111)</f>
        <v>0.004622611111</v>
      </c>
      <c r="R2471" s="4">
        <f>IFERROR(__xludf.DUMMYFUNCTION("""COMPUTED_VALUE"""),45949.02311305772)</f>
        <v>45949.02311</v>
      </c>
      <c r="S2471" s="1" t="b">
        <f>IFERROR(__xludf.DUMMYFUNCTION("""COMPUTED_VALUE"""),TRUE)</f>
        <v>1</v>
      </c>
      <c r="T2471" s="1" t="b">
        <f>IFERROR(__xludf.DUMMYFUNCTION("""COMPUTED_VALUE"""),FALSE)</f>
        <v>0</v>
      </c>
      <c r="U2471" s="1" t="str">
        <f>IFERROR(__xludf.DUMMYFUNCTION("""COMPUTED_VALUE"""),"VALID")</f>
        <v>VALID</v>
      </c>
      <c r="V2471" s="1">
        <f>IFERROR(__xludf.DUMMYFUNCTION("""COMPUTED_VALUE"""),144.0)</f>
        <v>144</v>
      </c>
      <c r="W2471" s="1">
        <f>IFERROR(__xludf.DUMMYFUNCTION("""COMPUTED_VALUE"""),219.0)</f>
        <v>219</v>
      </c>
      <c r="X2471" s="1">
        <f>IFERROR(__xludf.DUMMYFUNCTION("""COMPUTED_VALUE"""),191.0)</f>
        <v>191</v>
      </c>
      <c r="Y2471" s="2"/>
      <c r="Z2471" s="2"/>
    </row>
    <row r="2472">
      <c r="A2472" s="1">
        <f>IFERROR(__xludf.DUMMYFUNCTION("""COMPUTED_VALUE"""),2471.0)</f>
        <v>2471</v>
      </c>
      <c r="B2472" s="1">
        <f>IFERROR(__xludf.DUMMYFUNCTION("""COMPUTED_VALUE"""),6326.0)</f>
        <v>6326</v>
      </c>
      <c r="C2472" s="2" t="str">
        <f>IFERROR(__xludf.DUMMYFUNCTION("""COMPUTED_VALUE"""),"Khairuman Riswanda")</f>
        <v>Khairuman Riswanda</v>
      </c>
      <c r="D2472" s="2" t="str">
        <f>IFERROR(__xludf.DUMMYFUNCTION("""COMPUTED_VALUE"""),"5KM OVERALL M")</f>
        <v>5KM OVERALL M</v>
      </c>
      <c r="E2472" s="1">
        <f>IFERROR(__xludf.DUMMYFUNCTION("""COMPUTED_VALUE"""),2.0)</f>
        <v>2</v>
      </c>
      <c r="F2472" s="1" t="str">
        <f>IFERROR(__xludf.DUMMYFUNCTION("""COMPUTED_VALUE"""),"Male")</f>
        <v>Male</v>
      </c>
      <c r="G2472" s="4" t="b">
        <f>IFERROR(__xludf.DUMMYFUNCTION("""COMPUTED_VALUE"""),TRUE)</f>
        <v>1</v>
      </c>
      <c r="H2472" s="4" t="b">
        <f>IFERROR(__xludf.DUMMYFUNCTION("""COMPUTED_VALUE"""),TRUE)</f>
        <v>1</v>
      </c>
      <c r="I2472" s="4">
        <f>IFERROR(__xludf.DUMMYFUNCTION("""COMPUTED_VALUE"""),0.2549440625)</f>
        <v>0.2549440625</v>
      </c>
      <c r="J2472" s="4">
        <f>IFERROR(__xludf.DUMMYFUNCTION("""COMPUTED_VALUE"""),45949.28151286124)</f>
        <v>45949.28151</v>
      </c>
      <c r="K2472" s="4" t="str">
        <f>IFERROR(__xludf.DUMMYFUNCTION("""COMPUTED_VALUE"""),"")</f>
        <v/>
      </c>
      <c r="L2472" s="4">
        <f>IFERROR(__xludf.DUMMYFUNCTION("""COMPUTED_VALUE"""),45949.30051903995)</f>
        <v>45949.30052</v>
      </c>
      <c r="M2472" s="1" t="str">
        <f>IFERROR(__xludf.DUMMYFUNCTION("""COMPUTED_VALUE"""),"RFID")</f>
        <v>RFID</v>
      </c>
      <c r="N2472" s="5">
        <f>IFERROR(__xludf.DUMMYFUNCTION("""COMPUTED_VALUE"""),0.010627518518518519)</f>
        <v>0.01062751852</v>
      </c>
      <c r="O2472" s="5" t="str">
        <f>IFERROR(__xludf.DUMMYFUNCTION("""COMPUTED_VALUE"""),"")</f>
        <v/>
      </c>
      <c r="P2472" s="5" t="str">
        <f>IFERROR(__xludf.DUMMYFUNCTION("""COMPUTED_VALUE"""),"")</f>
        <v/>
      </c>
      <c r="Q2472" s="5">
        <f>IFERROR(__xludf.DUMMYFUNCTION("""COMPUTED_VALUE"""),0.00911499537037037)</f>
        <v>0.00911499537</v>
      </c>
      <c r="R2472" s="4">
        <f>IFERROR(__xludf.DUMMYFUNCTION("""COMPUTED_VALUE"""),45949.04557497745)</f>
        <v>45949.04557</v>
      </c>
      <c r="S2472" s="1" t="b">
        <f>IFERROR(__xludf.DUMMYFUNCTION("""COMPUTED_VALUE"""),TRUE)</f>
        <v>1</v>
      </c>
      <c r="T2472" s="1" t="b">
        <f>IFERROR(__xludf.DUMMYFUNCTION("""COMPUTED_VALUE"""),FALSE)</f>
        <v>0</v>
      </c>
      <c r="U2472" s="1" t="str">
        <f>IFERROR(__xludf.DUMMYFUNCTION("""COMPUTED_VALUE"""),"VALID")</f>
        <v>VALID</v>
      </c>
      <c r="V2472" s="1">
        <f>IFERROR(__xludf.DUMMYFUNCTION("""COMPUTED_VALUE"""),803.0)</f>
        <v>803</v>
      </c>
      <c r="W2472" s="1">
        <f>IFERROR(__xludf.DUMMYFUNCTION("""COMPUTED_VALUE"""),1469.0)</f>
        <v>1469</v>
      </c>
      <c r="X2472" s="1">
        <f>IFERROR(__xludf.DUMMYFUNCTION("""COMPUTED_VALUE"""),1220.0)</f>
        <v>1220</v>
      </c>
      <c r="Y2472" s="2"/>
      <c r="Z2472" s="2"/>
    </row>
    <row r="2473">
      <c r="A2473" s="1">
        <f>IFERROR(__xludf.DUMMYFUNCTION("""COMPUTED_VALUE"""),2472.0)</f>
        <v>2472</v>
      </c>
      <c r="B2473" s="1">
        <f>IFERROR(__xludf.DUMMYFUNCTION("""COMPUTED_VALUE"""),6330.0)</f>
        <v>6330</v>
      </c>
      <c r="C2473" s="2" t="str">
        <f>IFERROR(__xludf.DUMMYFUNCTION("""COMPUTED_VALUE"""),"Kelly Kherwanto")</f>
        <v>Kelly Kherwanto</v>
      </c>
      <c r="D2473" s="2" t="str">
        <f>IFERROR(__xludf.DUMMYFUNCTION("""COMPUTED_VALUE"""),"5KM OVERALL M")</f>
        <v>5KM OVERALL M</v>
      </c>
      <c r="E2473" s="1">
        <f>IFERROR(__xludf.DUMMYFUNCTION("""COMPUTED_VALUE"""),2.0)</f>
        <v>2</v>
      </c>
      <c r="F2473" s="1" t="str">
        <f>IFERROR(__xludf.DUMMYFUNCTION("""COMPUTED_VALUE"""),"Male")</f>
        <v>Male</v>
      </c>
      <c r="G2473" s="4" t="b">
        <f>IFERROR(__xludf.DUMMYFUNCTION("""COMPUTED_VALUE"""),TRUE)</f>
        <v>1</v>
      </c>
      <c r="H2473" s="4" t="b">
        <f>IFERROR(__xludf.DUMMYFUNCTION("""COMPUTED_VALUE"""),TRUE)</f>
        <v>1</v>
      </c>
      <c r="I2473" s="4">
        <f>IFERROR(__xludf.DUMMYFUNCTION("""COMPUTED_VALUE"""),0.2549440625)</f>
        <v>0.2549440625</v>
      </c>
      <c r="J2473" s="4">
        <f>IFERROR(__xludf.DUMMYFUNCTION("""COMPUTED_VALUE"""),45949.26985309828)</f>
        <v>45949.26985</v>
      </c>
      <c r="K2473" s="4" t="str">
        <f>IFERROR(__xludf.DUMMYFUNCTION("""COMPUTED_VALUE"""),"")</f>
        <v/>
      </c>
      <c r="L2473" s="4">
        <f>IFERROR(__xludf.DUMMYFUNCTION("""COMPUTED_VALUE"""),45949.282425181176)</f>
        <v>45949.28243</v>
      </c>
      <c r="M2473" s="1" t="str">
        <f>IFERROR(__xludf.DUMMYFUNCTION("""COMPUTED_VALUE"""),"RFID")</f>
        <v>RFID</v>
      </c>
      <c r="N2473" s="5">
        <f>IFERROR(__xludf.DUMMYFUNCTION("""COMPUTED_VALUE"""),0.005963615740740741)</f>
        <v>0.005963615741</v>
      </c>
      <c r="O2473" s="5" t="str">
        <f>IFERROR(__xludf.DUMMYFUNCTION("""COMPUTED_VALUE"""),"")</f>
        <v/>
      </c>
      <c r="P2473" s="5" t="str">
        <f>IFERROR(__xludf.DUMMYFUNCTION("""COMPUTED_VALUE"""),"")</f>
        <v/>
      </c>
      <c r="Q2473" s="5">
        <f>IFERROR(__xludf.DUMMYFUNCTION("""COMPUTED_VALUE"""),0.005496224537037037)</f>
        <v>0.005496224537</v>
      </c>
      <c r="R2473" s="4">
        <f>IFERROR(__xludf.DUMMYFUNCTION("""COMPUTED_VALUE"""),45949.027481118675)</f>
        <v>45949.02748</v>
      </c>
      <c r="S2473" s="1" t="b">
        <f>IFERROR(__xludf.DUMMYFUNCTION("""COMPUTED_VALUE"""),TRUE)</f>
        <v>1</v>
      </c>
      <c r="T2473" s="1" t="b">
        <f>IFERROR(__xludf.DUMMYFUNCTION("""COMPUTED_VALUE"""),FALSE)</f>
        <v>0</v>
      </c>
      <c r="U2473" s="1" t="str">
        <f>IFERROR(__xludf.DUMMYFUNCTION("""COMPUTED_VALUE"""),"VALID")</f>
        <v>VALID</v>
      </c>
      <c r="V2473" s="1">
        <f>IFERROR(__xludf.DUMMYFUNCTION("""COMPUTED_VALUE"""),265.0)</f>
        <v>265</v>
      </c>
      <c r="W2473" s="1">
        <f>IFERROR(__xludf.DUMMYFUNCTION("""COMPUTED_VALUE"""),404.0)</f>
        <v>404</v>
      </c>
      <c r="X2473" s="1">
        <f>IFERROR(__xludf.DUMMYFUNCTION("""COMPUTED_VALUE"""),351.0)</f>
        <v>351</v>
      </c>
      <c r="Y2473" s="2"/>
      <c r="Z2473" s="2"/>
    </row>
    <row r="2474">
      <c r="A2474" s="1">
        <f>IFERROR(__xludf.DUMMYFUNCTION("""COMPUTED_VALUE"""),2473.0)</f>
        <v>2473</v>
      </c>
      <c r="B2474" s="1">
        <f>IFERROR(__xludf.DUMMYFUNCTION("""COMPUTED_VALUE"""),6332.0)</f>
        <v>6332</v>
      </c>
      <c r="C2474" s="2" t="str">
        <f>IFERROR(__xludf.DUMMYFUNCTION("""COMPUTED_VALUE"""),"IDUWAN")</f>
        <v>IDUWAN</v>
      </c>
      <c r="D2474" s="2" t="str">
        <f>IFERROR(__xludf.DUMMYFUNCTION("""COMPUTED_VALUE"""),"5KM OVERALL M")</f>
        <v>5KM OVERALL M</v>
      </c>
      <c r="E2474" s="1">
        <f>IFERROR(__xludf.DUMMYFUNCTION("""COMPUTED_VALUE"""),2.0)</f>
        <v>2</v>
      </c>
      <c r="F2474" s="1" t="str">
        <f>IFERROR(__xludf.DUMMYFUNCTION("""COMPUTED_VALUE"""),"Male")</f>
        <v>Male</v>
      </c>
      <c r="G2474" s="4" t="b">
        <f>IFERROR(__xludf.DUMMYFUNCTION("""COMPUTED_VALUE"""),TRUE)</f>
        <v>1</v>
      </c>
      <c r="H2474" s="4" t="b">
        <f>IFERROR(__xludf.DUMMYFUNCTION("""COMPUTED_VALUE"""),TRUE)</f>
        <v>1</v>
      </c>
      <c r="I2474" s="4">
        <f>IFERROR(__xludf.DUMMYFUNCTION("""COMPUTED_VALUE"""),0.2549440625)</f>
        <v>0.2549440625</v>
      </c>
      <c r="J2474" s="4">
        <f>IFERROR(__xludf.DUMMYFUNCTION("""COMPUTED_VALUE"""),45949.26878711682)</f>
        <v>45949.26879</v>
      </c>
      <c r="K2474" s="4" t="str">
        <f>IFERROR(__xludf.DUMMYFUNCTION("""COMPUTED_VALUE"""),"")</f>
        <v/>
      </c>
      <c r="L2474" s="4">
        <f>IFERROR(__xludf.DUMMYFUNCTION("""COMPUTED_VALUE"""),45949.2799460121)</f>
        <v>45949.27995</v>
      </c>
      <c r="M2474" s="1" t="str">
        <f>IFERROR(__xludf.DUMMYFUNCTION("""COMPUTED_VALUE"""),"RFID")</f>
        <v>RFID</v>
      </c>
      <c r="N2474" s="5">
        <f>IFERROR(__xludf.DUMMYFUNCTION("""COMPUTED_VALUE"""),0.005537222222222222)</f>
        <v>0.005537222222</v>
      </c>
      <c r="O2474" s="5" t="str">
        <f>IFERROR(__xludf.DUMMYFUNCTION("""COMPUTED_VALUE"""),"")</f>
        <v/>
      </c>
      <c r="P2474" s="5" t="str">
        <f>IFERROR(__xludf.DUMMYFUNCTION("""COMPUTED_VALUE"""),"")</f>
        <v/>
      </c>
      <c r="Q2474" s="5">
        <f>IFERROR(__xludf.DUMMYFUNCTION("""COMPUTED_VALUE"""),0.005000388888888889)</f>
        <v>0.005000388889</v>
      </c>
      <c r="R2474" s="4">
        <f>IFERROR(__xludf.DUMMYFUNCTION("""COMPUTED_VALUE"""),45949.0250019496)</f>
        <v>45949.025</v>
      </c>
      <c r="S2474" s="1" t="b">
        <f>IFERROR(__xludf.DUMMYFUNCTION("""COMPUTED_VALUE"""),TRUE)</f>
        <v>1</v>
      </c>
      <c r="T2474" s="1" t="b">
        <f>IFERROR(__xludf.DUMMYFUNCTION("""COMPUTED_VALUE"""),FALSE)</f>
        <v>0</v>
      </c>
      <c r="U2474" s="1" t="str">
        <f>IFERROR(__xludf.DUMMYFUNCTION("""COMPUTED_VALUE"""),"VALID")</f>
        <v>VALID</v>
      </c>
      <c r="V2474" s="1">
        <f>IFERROR(__xludf.DUMMYFUNCTION("""COMPUTED_VALUE"""),186.0)</f>
        <v>186</v>
      </c>
      <c r="W2474" s="1">
        <f>IFERROR(__xludf.DUMMYFUNCTION("""COMPUTED_VALUE"""),286.0)</f>
        <v>286</v>
      </c>
      <c r="X2474" s="1">
        <f>IFERROR(__xludf.DUMMYFUNCTION("""COMPUTED_VALUE"""),249.0)</f>
        <v>249</v>
      </c>
      <c r="Y2474" s="2"/>
      <c r="Z2474" s="2"/>
    </row>
    <row r="2475">
      <c r="A2475" s="1">
        <f>IFERROR(__xludf.DUMMYFUNCTION("""COMPUTED_VALUE"""),2474.0)</f>
        <v>2474</v>
      </c>
      <c r="B2475" s="1">
        <f>IFERROR(__xludf.DUMMYFUNCTION("""COMPUTED_VALUE"""),6335.0)</f>
        <v>6335</v>
      </c>
      <c r="C2475" s="2" t="str">
        <f>IFERROR(__xludf.DUMMYFUNCTION("""COMPUTED_VALUE"""),"Cak Adhi")</f>
        <v>Cak Adhi</v>
      </c>
      <c r="D2475" s="2" t="str">
        <f>IFERROR(__xludf.DUMMYFUNCTION("""COMPUTED_VALUE"""),"5KM OVERALL M")</f>
        <v>5KM OVERALL M</v>
      </c>
      <c r="E2475" s="1">
        <f>IFERROR(__xludf.DUMMYFUNCTION("""COMPUTED_VALUE"""),2.0)</f>
        <v>2</v>
      </c>
      <c r="F2475" s="1" t="str">
        <f>IFERROR(__xludf.DUMMYFUNCTION("""COMPUTED_VALUE"""),"Male")</f>
        <v>Male</v>
      </c>
      <c r="G2475" s="4" t="b">
        <f>IFERROR(__xludf.DUMMYFUNCTION("""COMPUTED_VALUE"""),TRUE)</f>
        <v>1</v>
      </c>
      <c r="H2475" s="4" t="b">
        <f>IFERROR(__xludf.DUMMYFUNCTION("""COMPUTED_VALUE"""),FALSE)</f>
        <v>0</v>
      </c>
      <c r="I2475" s="4">
        <f>IFERROR(__xludf.DUMMYFUNCTION("""COMPUTED_VALUE"""),0.2549440625)</f>
        <v>0.2549440625</v>
      </c>
      <c r="J2475" s="4">
        <f>IFERROR(__xludf.DUMMYFUNCTION("""COMPUTED_VALUE"""),45949.27327703763)</f>
        <v>45949.27328</v>
      </c>
      <c r="K2475" s="4" t="str">
        <f>IFERROR(__xludf.DUMMYFUNCTION("""COMPUTED_VALUE"""),"")</f>
        <v/>
      </c>
      <c r="L2475" s="4">
        <f>IFERROR(__xludf.DUMMYFUNCTION("""COMPUTED_VALUE"""),45949.28389393362)</f>
        <v>45949.28389</v>
      </c>
      <c r="M2475" s="1" t="str">
        <f>IFERROR(__xludf.DUMMYFUNCTION("""COMPUTED_VALUE"""),"RFID")</f>
        <v>RFID</v>
      </c>
      <c r="N2475" s="5">
        <f>IFERROR(__xludf.DUMMYFUNCTION("""COMPUTED_VALUE"""),0.007333189814814815)</f>
        <v>0.007333189815</v>
      </c>
      <c r="O2475" s="5" t="str">
        <f>IFERROR(__xludf.DUMMYFUNCTION("""COMPUTED_VALUE"""),"")</f>
        <v/>
      </c>
      <c r="P2475" s="5" t="str">
        <f>IFERROR(__xludf.DUMMYFUNCTION("""COMPUTED_VALUE"""),"")</f>
        <v/>
      </c>
      <c r="Q2475" s="5">
        <f>IFERROR(__xludf.DUMMYFUNCTION("""COMPUTED_VALUE"""),0.005789974537037036)</f>
        <v>0.005789974537</v>
      </c>
      <c r="R2475" s="4">
        <f>IFERROR(__xludf.DUMMYFUNCTION("""COMPUTED_VALUE"""),45949.02894987112)</f>
        <v>45949.02895</v>
      </c>
      <c r="S2475" s="1" t="b">
        <f>IFERROR(__xludf.DUMMYFUNCTION("""COMPUTED_VALUE"""),TRUE)</f>
        <v>1</v>
      </c>
      <c r="T2475" s="1" t="b">
        <f>IFERROR(__xludf.DUMMYFUNCTION("""COMPUTED_VALUE"""),FALSE)</f>
        <v>0</v>
      </c>
      <c r="U2475" s="1" t="str">
        <f>IFERROR(__xludf.DUMMYFUNCTION("""COMPUTED_VALUE"""),"VALID")</f>
        <v>VALID</v>
      </c>
      <c r="V2475" s="1">
        <f>IFERROR(__xludf.DUMMYFUNCTION("""COMPUTED_VALUE"""),333.0)</f>
        <v>333</v>
      </c>
      <c r="W2475" s="1">
        <f>IFERROR(__xludf.DUMMYFUNCTION("""COMPUTED_VALUE"""),496.0)</f>
        <v>496</v>
      </c>
      <c r="X2475" s="1">
        <f>IFERROR(__xludf.DUMMYFUNCTION("""COMPUTED_VALUE"""),432.0)</f>
        <v>432</v>
      </c>
      <c r="Y2475" s="2"/>
      <c r="Z2475" s="2"/>
    </row>
    <row r="2476">
      <c r="A2476" s="1">
        <f>IFERROR(__xludf.DUMMYFUNCTION("""COMPUTED_VALUE"""),2475.0)</f>
        <v>2475</v>
      </c>
      <c r="B2476" s="1">
        <f>IFERROR(__xludf.DUMMYFUNCTION("""COMPUTED_VALUE"""),6339.0)</f>
        <v>6339</v>
      </c>
      <c r="C2476" s="2" t="str">
        <f>IFERROR(__xludf.DUMMYFUNCTION("""COMPUTED_VALUE"""),"Syahid Thalib")</f>
        <v>Syahid Thalib</v>
      </c>
      <c r="D2476" s="2" t="str">
        <f>IFERROR(__xludf.DUMMYFUNCTION("""COMPUTED_VALUE"""),"5KM OVERALL M")</f>
        <v>5KM OVERALL M</v>
      </c>
      <c r="E2476" s="1">
        <f>IFERROR(__xludf.DUMMYFUNCTION("""COMPUTED_VALUE"""),2.0)</f>
        <v>2</v>
      </c>
      <c r="F2476" s="1" t="str">
        <f>IFERROR(__xludf.DUMMYFUNCTION("""COMPUTED_VALUE"""),"Male")</f>
        <v>Male</v>
      </c>
      <c r="G2476" s="4" t="b">
        <f>IFERROR(__xludf.DUMMYFUNCTION("""COMPUTED_VALUE"""),TRUE)</f>
        <v>1</v>
      </c>
      <c r="H2476" s="4" t="b">
        <f>IFERROR(__xludf.DUMMYFUNCTION("""COMPUTED_VALUE"""),TRUE)</f>
        <v>1</v>
      </c>
      <c r="I2476" s="4">
        <f>IFERROR(__xludf.DUMMYFUNCTION("""COMPUTED_VALUE"""),0.2549440625)</f>
        <v>0.2549440625</v>
      </c>
      <c r="J2476" s="4">
        <f>IFERROR(__xludf.DUMMYFUNCTION("""COMPUTED_VALUE"""),45949.26612402152)</f>
        <v>45949.26612</v>
      </c>
      <c r="K2476" s="4" t="str">
        <f>IFERROR(__xludf.DUMMYFUNCTION("""COMPUTED_VALUE"""),"")</f>
        <v/>
      </c>
      <c r="L2476" s="4">
        <f>IFERROR(__xludf.DUMMYFUNCTION("""COMPUTED_VALUE"""),45949.27406053383)</f>
        <v>45949.27406</v>
      </c>
      <c r="M2476" s="1" t="str">
        <f>IFERROR(__xludf.DUMMYFUNCTION("""COMPUTED_VALUE"""),"RFID")</f>
        <v>RFID</v>
      </c>
      <c r="N2476" s="5">
        <f>IFERROR(__xludf.DUMMYFUNCTION("""COMPUTED_VALUE"""),0.004471981481481481)</f>
        <v>0.004471981481</v>
      </c>
      <c r="O2476" s="5" t="str">
        <f>IFERROR(__xludf.DUMMYFUNCTION("""COMPUTED_VALUE"""),"")</f>
        <v/>
      </c>
      <c r="P2476" s="5" t="str">
        <f>IFERROR(__xludf.DUMMYFUNCTION("""COMPUTED_VALUE"""),"")</f>
        <v/>
      </c>
      <c r="Q2476" s="5">
        <f>IFERROR(__xludf.DUMMYFUNCTION("""COMPUTED_VALUE"""),0.0038232939814814813)</f>
        <v>0.003823293981</v>
      </c>
      <c r="R2476" s="4">
        <f>IFERROR(__xludf.DUMMYFUNCTION("""COMPUTED_VALUE"""),45949.01911647133)</f>
        <v>45949.01912</v>
      </c>
      <c r="S2476" s="1" t="b">
        <f>IFERROR(__xludf.DUMMYFUNCTION("""COMPUTED_VALUE"""),TRUE)</f>
        <v>1</v>
      </c>
      <c r="T2476" s="1" t="b">
        <f>IFERROR(__xludf.DUMMYFUNCTION("""COMPUTED_VALUE"""),FALSE)</f>
        <v>0</v>
      </c>
      <c r="U2476" s="1" t="str">
        <f>IFERROR(__xludf.DUMMYFUNCTION("""COMPUTED_VALUE"""),"VALID")</f>
        <v>VALID</v>
      </c>
      <c r="V2476" s="1">
        <f>IFERROR(__xludf.DUMMYFUNCTION("""COMPUTED_VALUE"""),61.0)</f>
        <v>61</v>
      </c>
      <c r="W2476" s="1">
        <f>IFERROR(__xludf.DUMMYFUNCTION("""COMPUTED_VALUE"""),90.0)</f>
        <v>90</v>
      </c>
      <c r="X2476" s="1">
        <f>IFERROR(__xludf.DUMMYFUNCTION("""COMPUTED_VALUE"""),81.0)</f>
        <v>81</v>
      </c>
      <c r="Y2476" s="2"/>
      <c r="Z2476" s="2"/>
    </row>
    <row r="2477">
      <c r="A2477" s="1">
        <f>IFERROR(__xludf.DUMMYFUNCTION("""COMPUTED_VALUE"""),2476.0)</f>
        <v>2476</v>
      </c>
      <c r="B2477" s="1">
        <f>IFERROR(__xludf.DUMMYFUNCTION("""COMPUTED_VALUE"""),6341.0)</f>
        <v>6341</v>
      </c>
      <c r="C2477" s="2" t="str">
        <f>IFERROR(__xludf.DUMMYFUNCTION("""COMPUTED_VALUE"""),"Veven")</f>
        <v>Veven</v>
      </c>
      <c r="D2477" s="2" t="str">
        <f>IFERROR(__xludf.DUMMYFUNCTION("""COMPUTED_VALUE"""),"5KM OVERALL M")</f>
        <v>5KM OVERALL M</v>
      </c>
      <c r="E2477" s="1">
        <f>IFERROR(__xludf.DUMMYFUNCTION("""COMPUTED_VALUE"""),2.0)</f>
        <v>2</v>
      </c>
      <c r="F2477" s="1" t="str">
        <f>IFERROR(__xludf.DUMMYFUNCTION("""COMPUTED_VALUE"""),"Male")</f>
        <v>Male</v>
      </c>
      <c r="G2477" s="4" t="b">
        <f>IFERROR(__xludf.DUMMYFUNCTION("""COMPUTED_VALUE"""),TRUE)</f>
        <v>1</v>
      </c>
      <c r="H2477" s="4" t="b">
        <f>IFERROR(__xludf.DUMMYFUNCTION("""COMPUTED_VALUE"""),TRUE)</f>
        <v>1</v>
      </c>
      <c r="I2477" s="4">
        <f>IFERROR(__xludf.DUMMYFUNCTION("""COMPUTED_VALUE"""),0.2549440625)</f>
        <v>0.2549440625</v>
      </c>
      <c r="J2477" s="4">
        <f>IFERROR(__xludf.DUMMYFUNCTION("""COMPUTED_VALUE"""),45949.28362391791)</f>
        <v>45949.28362</v>
      </c>
      <c r="K2477" s="4" t="str">
        <f>IFERROR(__xludf.DUMMYFUNCTION("""COMPUTED_VALUE"""),"")</f>
        <v/>
      </c>
      <c r="L2477" s="4">
        <f>IFERROR(__xludf.DUMMYFUNCTION("""COMPUTED_VALUE"""),45949.305321238644)</f>
        <v>45949.30532</v>
      </c>
      <c r="M2477" s="1" t="str">
        <f>IFERROR(__xludf.DUMMYFUNCTION("""COMPUTED_VALUE"""),"RFID")</f>
        <v>RFID</v>
      </c>
      <c r="N2477" s="5">
        <f>IFERROR(__xludf.DUMMYFUNCTION("""COMPUTED_VALUE"""),0.011471944444444444)</f>
        <v>0.01147194444</v>
      </c>
      <c r="O2477" s="5" t="str">
        <f>IFERROR(__xludf.DUMMYFUNCTION("""COMPUTED_VALUE"""),"")</f>
        <v/>
      </c>
      <c r="P2477" s="5" t="str">
        <f>IFERROR(__xludf.DUMMYFUNCTION("""COMPUTED_VALUE"""),"")</f>
        <v/>
      </c>
      <c r="Q2477" s="5">
        <f>IFERROR(__xludf.DUMMYFUNCTION("""COMPUTED_VALUE"""),0.010075435185185184)</f>
        <v>0.01007543519</v>
      </c>
      <c r="R2477" s="4">
        <f>IFERROR(__xludf.DUMMYFUNCTION("""COMPUTED_VALUE"""),45949.05037717614)</f>
        <v>45949.05038</v>
      </c>
      <c r="S2477" s="1" t="b">
        <f>IFERROR(__xludf.DUMMYFUNCTION("""COMPUTED_VALUE"""),TRUE)</f>
        <v>1</v>
      </c>
      <c r="T2477" s="1" t="b">
        <f>IFERROR(__xludf.DUMMYFUNCTION("""COMPUTED_VALUE"""),FALSE)</f>
        <v>0</v>
      </c>
      <c r="U2477" s="1" t="str">
        <f>IFERROR(__xludf.DUMMYFUNCTION("""COMPUTED_VALUE"""),"VALID")</f>
        <v>VALID</v>
      </c>
      <c r="V2477" s="1">
        <f>IFERROR(__xludf.DUMMYFUNCTION("""COMPUTED_VALUE"""),846.0)</f>
        <v>846</v>
      </c>
      <c r="W2477" s="1">
        <f>IFERROR(__xludf.DUMMYFUNCTION("""COMPUTED_VALUE"""),1577.0)</f>
        <v>1577</v>
      </c>
      <c r="X2477" s="1">
        <f>IFERROR(__xludf.DUMMYFUNCTION("""COMPUTED_VALUE"""),1391.0)</f>
        <v>1391</v>
      </c>
      <c r="Y2477" s="2"/>
      <c r="Z2477" s="2"/>
    </row>
    <row r="2478">
      <c r="A2478" s="1">
        <f>IFERROR(__xludf.DUMMYFUNCTION("""COMPUTED_VALUE"""),2477.0)</f>
        <v>2477</v>
      </c>
      <c r="B2478" s="1">
        <f>IFERROR(__xludf.DUMMYFUNCTION("""COMPUTED_VALUE"""),6342.0)</f>
        <v>6342</v>
      </c>
      <c r="C2478" s="2" t="str">
        <f>IFERROR(__xludf.DUMMYFUNCTION("""COMPUTED_VALUE"""),"ISA")</f>
        <v>ISA</v>
      </c>
      <c r="D2478" s="2" t="str">
        <f>IFERROR(__xludf.DUMMYFUNCTION("""COMPUTED_VALUE"""),"5KM OVERALL M")</f>
        <v>5KM OVERALL M</v>
      </c>
      <c r="E2478" s="1">
        <f>IFERROR(__xludf.DUMMYFUNCTION("""COMPUTED_VALUE"""),2.0)</f>
        <v>2</v>
      </c>
      <c r="F2478" s="1" t="str">
        <f>IFERROR(__xludf.DUMMYFUNCTION("""COMPUTED_VALUE"""),"Male")</f>
        <v>Male</v>
      </c>
      <c r="G2478" s="4" t="b">
        <f>IFERROR(__xludf.DUMMYFUNCTION("""COMPUTED_VALUE"""),TRUE)</f>
        <v>1</v>
      </c>
      <c r="H2478" s="4" t="b">
        <f>IFERROR(__xludf.DUMMYFUNCTION("""COMPUTED_VALUE"""),TRUE)</f>
        <v>1</v>
      </c>
      <c r="I2478" s="4">
        <f>IFERROR(__xludf.DUMMYFUNCTION("""COMPUTED_VALUE"""),0.2549440625)</f>
        <v>0.2549440625</v>
      </c>
      <c r="J2478" s="4">
        <f>IFERROR(__xludf.DUMMYFUNCTION("""COMPUTED_VALUE"""),45949.26521777485)</f>
        <v>45949.26522</v>
      </c>
      <c r="K2478" s="4" t="str">
        <f>IFERROR(__xludf.DUMMYFUNCTION("""COMPUTED_VALUE"""),"")</f>
        <v/>
      </c>
      <c r="L2478" s="4">
        <f>IFERROR(__xludf.DUMMYFUNCTION("""COMPUTED_VALUE"""),45949.274102257994)</f>
        <v>45949.2741</v>
      </c>
      <c r="M2478" s="1" t="str">
        <f>IFERROR(__xludf.DUMMYFUNCTION("""COMPUTED_VALUE"""),"RFID")</f>
        <v>RFID</v>
      </c>
      <c r="N2478" s="5">
        <f>IFERROR(__xludf.DUMMYFUNCTION("""COMPUTED_VALUE"""),0.004109486111111111)</f>
        <v>0.004109486111</v>
      </c>
      <c r="O2478" s="5" t="str">
        <f>IFERROR(__xludf.DUMMYFUNCTION("""COMPUTED_VALUE"""),"")</f>
        <v/>
      </c>
      <c r="P2478" s="5" t="str">
        <f>IFERROR(__xludf.DUMMYFUNCTION("""COMPUTED_VALUE"""),"")</f>
        <v/>
      </c>
      <c r="Q2478" s="5">
        <f>IFERROR(__xludf.DUMMYFUNCTION("""COMPUTED_VALUE"""),0.003831638888888889)</f>
        <v>0.003831638889</v>
      </c>
      <c r="R2478" s="4">
        <f>IFERROR(__xludf.DUMMYFUNCTION("""COMPUTED_VALUE"""),45949.01915819549)</f>
        <v>45949.01916</v>
      </c>
      <c r="S2478" s="1" t="b">
        <f>IFERROR(__xludf.DUMMYFUNCTION("""COMPUTED_VALUE"""),TRUE)</f>
        <v>1</v>
      </c>
      <c r="T2478" s="1" t="b">
        <f>IFERROR(__xludf.DUMMYFUNCTION("""COMPUTED_VALUE"""),FALSE)</f>
        <v>0</v>
      </c>
      <c r="U2478" s="1" t="str">
        <f>IFERROR(__xludf.DUMMYFUNCTION("""COMPUTED_VALUE"""),"VALID")</f>
        <v>VALID</v>
      </c>
      <c r="V2478" s="1">
        <f>IFERROR(__xludf.DUMMYFUNCTION("""COMPUTED_VALUE"""),62.0)</f>
        <v>62</v>
      </c>
      <c r="W2478" s="1">
        <f>IFERROR(__xludf.DUMMYFUNCTION("""COMPUTED_VALUE"""),91.0)</f>
        <v>91</v>
      </c>
      <c r="X2478" s="1">
        <f>IFERROR(__xludf.DUMMYFUNCTION("""COMPUTED_VALUE"""),82.0)</f>
        <v>82</v>
      </c>
      <c r="Y2478" s="2"/>
      <c r="Z2478" s="2"/>
    </row>
    <row r="2479">
      <c r="A2479" s="1">
        <f>IFERROR(__xludf.DUMMYFUNCTION("""COMPUTED_VALUE"""),2478.0)</f>
        <v>2478</v>
      </c>
      <c r="B2479" s="1">
        <f>IFERROR(__xludf.DUMMYFUNCTION("""COMPUTED_VALUE"""),6343.0)</f>
        <v>6343</v>
      </c>
      <c r="C2479" s="2" t="str">
        <f>IFERROR(__xludf.DUMMYFUNCTION("""COMPUTED_VALUE"""),"Abah Selyn")</f>
        <v>Abah Selyn</v>
      </c>
      <c r="D2479" s="2" t="str">
        <f>IFERROR(__xludf.DUMMYFUNCTION("""COMPUTED_VALUE"""),"5KM OVERALL M")</f>
        <v>5KM OVERALL M</v>
      </c>
      <c r="E2479" s="1">
        <f>IFERROR(__xludf.DUMMYFUNCTION("""COMPUTED_VALUE"""),2.0)</f>
        <v>2</v>
      </c>
      <c r="F2479" s="1" t="str">
        <f>IFERROR(__xludf.DUMMYFUNCTION("""COMPUTED_VALUE"""),"Male")</f>
        <v>Male</v>
      </c>
      <c r="G2479" s="4" t="str">
        <f>IFERROR(__xludf.DUMMYFUNCTION("""COMPUTED_VALUE"""),"")</f>
        <v/>
      </c>
      <c r="H2479" s="4" t="b">
        <f>IFERROR(__xludf.DUMMYFUNCTION("""COMPUTED_VALUE"""),FALSE)</f>
        <v>0</v>
      </c>
      <c r="I2479" s="4">
        <f>IFERROR(__xludf.DUMMYFUNCTION("""COMPUTED_VALUE"""),0.2549440625)</f>
        <v>0.2549440625</v>
      </c>
      <c r="J2479" s="4" t="str">
        <f>IFERROR(__xludf.DUMMYFUNCTION("""COMPUTED_VALUE"""),"")</f>
        <v/>
      </c>
      <c r="K2479" s="4" t="str">
        <f>IFERROR(__xludf.DUMMYFUNCTION("""COMPUTED_VALUE"""),"")</f>
        <v/>
      </c>
      <c r="L2479" s="4" t="str">
        <f>IFERROR(__xludf.DUMMYFUNCTION("""COMPUTED_VALUE"""),"")</f>
        <v/>
      </c>
      <c r="M2479" s="1" t="str">
        <f>IFERROR(__xludf.DUMMYFUNCTION("""COMPUTED_VALUE"""),"RFID")</f>
        <v>RFID</v>
      </c>
      <c r="N2479" s="5" t="str">
        <f>IFERROR(__xludf.DUMMYFUNCTION("""COMPUTED_VALUE"""),"")</f>
        <v/>
      </c>
      <c r="O2479" s="5" t="str">
        <f>IFERROR(__xludf.DUMMYFUNCTION("""COMPUTED_VALUE"""),"")</f>
        <v/>
      </c>
      <c r="P2479" s="5" t="str">
        <f>IFERROR(__xludf.DUMMYFUNCTION("""COMPUTED_VALUE"""),"")</f>
        <v/>
      </c>
      <c r="Q2479" s="5" t="str">
        <f>IFERROR(__xludf.DUMMYFUNCTION("""COMPUTED_VALUE"""),"")</f>
        <v/>
      </c>
      <c r="R2479" s="4" t="str">
        <f>IFERROR(__xludf.DUMMYFUNCTION("""COMPUTED_VALUE"""),"")</f>
        <v/>
      </c>
      <c r="S2479" s="1" t="b">
        <f>IFERROR(__xludf.DUMMYFUNCTION("""COMPUTED_VALUE"""),FALSE)</f>
        <v>0</v>
      </c>
      <c r="T2479" s="1" t="b">
        <f>IFERROR(__xludf.DUMMYFUNCTION("""COMPUTED_VALUE"""),FALSE)</f>
        <v>0</v>
      </c>
      <c r="U2479" s="1" t="str">
        <f>IFERROR(__xludf.DUMMYFUNCTION("""COMPUTED_VALUE"""),"DSQ")</f>
        <v>DSQ</v>
      </c>
      <c r="V2479" s="1" t="str">
        <f>IFERROR(__xludf.DUMMYFUNCTION("""COMPUTED_VALUE"""),"DSQ")</f>
        <v>DSQ</v>
      </c>
      <c r="W2479" s="1" t="str">
        <f>IFERROR(__xludf.DUMMYFUNCTION("""COMPUTED_VALUE"""),"DSQ")</f>
        <v>DSQ</v>
      </c>
      <c r="X2479" s="1" t="str">
        <f>IFERROR(__xludf.DUMMYFUNCTION("""COMPUTED_VALUE"""),"DSQ")</f>
        <v>DSQ</v>
      </c>
      <c r="Y2479" s="2"/>
      <c r="Z2479" s="2" t="str">
        <f>IFERROR(__xludf.DUMMYFUNCTION("""COMPUTED_VALUE"""),"")</f>
        <v/>
      </c>
    </row>
    <row r="2480">
      <c r="A2480" s="1">
        <f>IFERROR(__xludf.DUMMYFUNCTION("""COMPUTED_VALUE"""),2479.0)</f>
        <v>2479</v>
      </c>
      <c r="B2480" s="1">
        <f>IFERROR(__xludf.DUMMYFUNCTION("""COMPUTED_VALUE"""),6344.0)</f>
        <v>6344</v>
      </c>
      <c r="C2480" s="2" t="str">
        <f>IFERROR(__xludf.DUMMYFUNCTION("""COMPUTED_VALUE"""),"IBRHM")</f>
        <v>IBRHM</v>
      </c>
      <c r="D2480" s="2" t="str">
        <f>IFERROR(__xludf.DUMMYFUNCTION("""COMPUTED_VALUE"""),"5KM OVERALL M")</f>
        <v>5KM OVERALL M</v>
      </c>
      <c r="E2480" s="1">
        <f>IFERROR(__xludf.DUMMYFUNCTION("""COMPUTED_VALUE"""),2.0)</f>
        <v>2</v>
      </c>
      <c r="F2480" s="1" t="str">
        <f>IFERROR(__xludf.DUMMYFUNCTION("""COMPUTED_VALUE"""),"Male")</f>
        <v>Male</v>
      </c>
      <c r="G2480" s="4" t="b">
        <f>IFERROR(__xludf.DUMMYFUNCTION("""COMPUTED_VALUE"""),TRUE)</f>
        <v>1</v>
      </c>
      <c r="H2480" s="4" t="b">
        <f>IFERROR(__xludf.DUMMYFUNCTION("""COMPUTED_VALUE"""),TRUE)</f>
        <v>1</v>
      </c>
      <c r="I2480" s="4">
        <f>IFERROR(__xludf.DUMMYFUNCTION("""COMPUTED_VALUE"""),0.2549440625)</f>
        <v>0.2549440625</v>
      </c>
      <c r="J2480" s="4">
        <f>IFERROR(__xludf.DUMMYFUNCTION("""COMPUTED_VALUE"""),45950.27445601852)</f>
        <v>45950.27446</v>
      </c>
      <c r="K2480" s="4" t="str">
        <f>IFERROR(__xludf.DUMMYFUNCTION("""COMPUTED_VALUE"""),"")</f>
        <v/>
      </c>
      <c r="L2480" s="4">
        <f>IFERROR(__xludf.DUMMYFUNCTION("""COMPUTED_VALUE"""),45949.28745990046)</f>
        <v>45949.28746</v>
      </c>
      <c r="M2480" s="1" t="str">
        <f>IFERROR(__xludf.DUMMYFUNCTION("""COMPUTED_VALUE"""),"RFID")</f>
        <v>RFID</v>
      </c>
      <c r="N2480" s="5">
        <f>IFERROR(__xludf.DUMMYFUNCTION("""COMPUTED_VALUE"""),0.007804782407407408)</f>
        <v>0.007804782407</v>
      </c>
      <c r="O2480" s="5" t="str">
        <f>IFERROR(__xludf.DUMMYFUNCTION("""COMPUTED_VALUE"""),"")</f>
        <v/>
      </c>
      <c r="P2480" s="5" t="str">
        <f>IFERROR(__xludf.DUMMYFUNCTION("""COMPUTED_VALUE"""),"")</f>
        <v/>
      </c>
      <c r="Q2480" s="5">
        <f>IFERROR(__xludf.DUMMYFUNCTION("""COMPUTED_VALUE"""),0.006503166666666667)</f>
        <v>0.006503166667</v>
      </c>
      <c r="R2480" s="4">
        <f>IFERROR(__xludf.DUMMYFUNCTION("""COMPUTED_VALUE"""),45949.03251583796)</f>
        <v>45949.03252</v>
      </c>
      <c r="S2480" s="1" t="b">
        <f>IFERROR(__xludf.DUMMYFUNCTION("""COMPUTED_VALUE"""),TRUE)</f>
        <v>1</v>
      </c>
      <c r="T2480" s="1" t="b">
        <f>IFERROR(__xludf.DUMMYFUNCTION("""COMPUTED_VALUE"""),FALSE)</f>
        <v>0</v>
      </c>
      <c r="U2480" s="1" t="str">
        <f>IFERROR(__xludf.DUMMYFUNCTION("""COMPUTED_VALUE"""),"VALID")</f>
        <v>VALID</v>
      </c>
      <c r="V2480" s="1">
        <f>IFERROR(__xludf.DUMMYFUNCTION("""COMPUTED_VALUE"""),472.0)</f>
        <v>472</v>
      </c>
      <c r="W2480" s="1">
        <f>IFERROR(__xludf.DUMMYFUNCTION("""COMPUTED_VALUE"""),734.0)</f>
        <v>734</v>
      </c>
      <c r="X2480" s="1">
        <f>IFERROR(__xludf.DUMMYFUNCTION("""COMPUTED_VALUE"""),612.0)</f>
        <v>612</v>
      </c>
      <c r="Y2480" s="2"/>
      <c r="Z2480" s="2" t="str">
        <f>IFERROR(__xludf.DUMMYFUNCTION("""COMPUTED_VALUE"""),"C")</f>
        <v>C</v>
      </c>
    </row>
    <row r="2481">
      <c r="A2481" s="1">
        <f>IFERROR(__xludf.DUMMYFUNCTION("""COMPUTED_VALUE"""),2480.0)</f>
        <v>2480</v>
      </c>
      <c r="B2481" s="1">
        <f>IFERROR(__xludf.DUMMYFUNCTION("""COMPUTED_VALUE"""),6346.0)</f>
        <v>6346</v>
      </c>
      <c r="C2481" s="2" t="str">
        <f>IFERROR(__xludf.DUMMYFUNCTION("""COMPUTED_VALUE"""),"zainal js")</f>
        <v>zainal js</v>
      </c>
      <c r="D2481" s="2" t="str">
        <f>IFERROR(__xludf.DUMMYFUNCTION("""COMPUTED_VALUE"""),"5KM OVERALL M")</f>
        <v>5KM OVERALL M</v>
      </c>
      <c r="E2481" s="1">
        <f>IFERROR(__xludf.DUMMYFUNCTION("""COMPUTED_VALUE"""),2.0)</f>
        <v>2</v>
      </c>
      <c r="F2481" s="1" t="str">
        <f>IFERROR(__xludf.DUMMYFUNCTION("""COMPUTED_VALUE"""),"Male")</f>
        <v>Male</v>
      </c>
      <c r="G2481" s="4" t="b">
        <f>IFERROR(__xludf.DUMMYFUNCTION("""COMPUTED_VALUE"""),TRUE)</f>
        <v>1</v>
      </c>
      <c r="H2481" s="4" t="b">
        <f>IFERROR(__xludf.DUMMYFUNCTION("""COMPUTED_VALUE"""),TRUE)</f>
        <v>1</v>
      </c>
      <c r="I2481" s="4">
        <f>IFERROR(__xludf.DUMMYFUNCTION("""COMPUTED_VALUE"""),0.2549440625)</f>
        <v>0.2549440625</v>
      </c>
      <c r="J2481" s="4">
        <f>IFERROR(__xludf.DUMMYFUNCTION("""COMPUTED_VALUE"""),45949.26969445281)</f>
        <v>45949.26969</v>
      </c>
      <c r="K2481" s="4" t="str">
        <f>IFERROR(__xludf.DUMMYFUNCTION("""COMPUTED_VALUE"""),"")</f>
        <v/>
      </c>
      <c r="L2481" s="4">
        <f>IFERROR(__xludf.DUMMYFUNCTION("""COMPUTED_VALUE"""),45949.28272727726)</f>
        <v>45949.28273</v>
      </c>
      <c r="M2481" s="1" t="str">
        <f>IFERROR(__xludf.DUMMYFUNCTION("""COMPUTED_VALUE"""),"RFID")</f>
        <v>RFID</v>
      </c>
      <c r="N2481" s="5">
        <f>IFERROR(__xludf.DUMMYFUNCTION("""COMPUTED_VALUE"""),0.005900157407407408)</f>
        <v>0.005900157407</v>
      </c>
      <c r="O2481" s="5" t="str">
        <f>IFERROR(__xludf.DUMMYFUNCTION("""COMPUTED_VALUE"""),"")</f>
        <v/>
      </c>
      <c r="P2481" s="5" t="str">
        <f>IFERROR(__xludf.DUMMYFUNCTION("""COMPUTED_VALUE"""),"")</f>
        <v/>
      </c>
      <c r="Q2481" s="5">
        <f>IFERROR(__xludf.DUMMYFUNCTION("""COMPUTED_VALUE"""),0.005556643518518518)</f>
        <v>0.005556643519</v>
      </c>
      <c r="R2481" s="4">
        <f>IFERROR(__xludf.DUMMYFUNCTION("""COMPUTED_VALUE"""),45949.02778321476)</f>
        <v>45949.02778</v>
      </c>
      <c r="S2481" s="1" t="b">
        <f>IFERROR(__xludf.DUMMYFUNCTION("""COMPUTED_VALUE"""),TRUE)</f>
        <v>1</v>
      </c>
      <c r="T2481" s="1" t="b">
        <f>IFERROR(__xludf.DUMMYFUNCTION("""COMPUTED_VALUE"""),FALSE)</f>
        <v>0</v>
      </c>
      <c r="U2481" s="1" t="str">
        <f>IFERROR(__xludf.DUMMYFUNCTION("""COMPUTED_VALUE"""),"VALID")</f>
        <v>VALID</v>
      </c>
      <c r="V2481" s="1">
        <f>IFERROR(__xludf.DUMMYFUNCTION("""COMPUTED_VALUE"""),277.0)</f>
        <v>277</v>
      </c>
      <c r="W2481" s="1">
        <f>IFERROR(__xludf.DUMMYFUNCTION("""COMPUTED_VALUE"""),420.0)</f>
        <v>420</v>
      </c>
      <c r="X2481" s="1">
        <f>IFERROR(__xludf.DUMMYFUNCTION("""COMPUTED_VALUE"""),364.0)</f>
        <v>364</v>
      </c>
      <c r="Y2481" s="2"/>
      <c r="Z2481" s="2"/>
    </row>
    <row r="2482">
      <c r="A2482" s="1">
        <f>IFERROR(__xludf.DUMMYFUNCTION("""COMPUTED_VALUE"""),2481.0)</f>
        <v>2481</v>
      </c>
      <c r="B2482" s="1">
        <f>IFERROR(__xludf.DUMMYFUNCTION("""COMPUTED_VALUE"""),6347.0)</f>
        <v>6347</v>
      </c>
      <c r="C2482" s="2" t="str">
        <f>IFERROR(__xludf.DUMMYFUNCTION("""COMPUTED_VALUE"""),"ayah kay")</f>
        <v>ayah kay</v>
      </c>
      <c r="D2482" s="2" t="str">
        <f>IFERROR(__xludf.DUMMYFUNCTION("""COMPUTED_VALUE"""),"5KM OVERALL M")</f>
        <v>5KM OVERALL M</v>
      </c>
      <c r="E2482" s="1">
        <f>IFERROR(__xludf.DUMMYFUNCTION("""COMPUTED_VALUE"""),2.0)</f>
        <v>2</v>
      </c>
      <c r="F2482" s="1" t="str">
        <f>IFERROR(__xludf.DUMMYFUNCTION("""COMPUTED_VALUE"""),"Male")</f>
        <v>Male</v>
      </c>
      <c r="G2482" s="4" t="b">
        <f>IFERROR(__xludf.DUMMYFUNCTION("""COMPUTED_VALUE"""),TRUE)</f>
        <v>1</v>
      </c>
      <c r="H2482" s="4" t="b">
        <f>IFERROR(__xludf.DUMMYFUNCTION("""COMPUTED_VALUE"""),TRUE)</f>
        <v>1</v>
      </c>
      <c r="I2482" s="4">
        <f>IFERROR(__xludf.DUMMYFUNCTION("""COMPUTED_VALUE"""),0.2549440625)</f>
        <v>0.2549440625</v>
      </c>
      <c r="J2482" s="4">
        <f>IFERROR(__xludf.DUMMYFUNCTION("""COMPUTED_VALUE"""),45949.27678369395)</f>
        <v>45949.27678</v>
      </c>
      <c r="K2482" s="4" t="str">
        <f>IFERROR(__xludf.DUMMYFUNCTION("""COMPUTED_VALUE"""),"")</f>
        <v/>
      </c>
      <c r="L2482" s="4">
        <f>IFERROR(__xludf.DUMMYFUNCTION("""COMPUTED_VALUE"""),45949.294414702184)</f>
        <v>45949.29441</v>
      </c>
      <c r="M2482" s="1" t="str">
        <f>IFERROR(__xludf.DUMMYFUNCTION("""COMPUTED_VALUE"""),"RFID")</f>
        <v>RFID</v>
      </c>
      <c r="N2482" s="5">
        <f>IFERROR(__xludf.DUMMYFUNCTION("""COMPUTED_VALUE"""),0.008735851851851852)</f>
        <v>0.008735851852</v>
      </c>
      <c r="O2482" s="5" t="str">
        <f>IFERROR(__xludf.DUMMYFUNCTION("""COMPUTED_VALUE"""),"")</f>
        <v/>
      </c>
      <c r="P2482" s="5" t="str">
        <f>IFERROR(__xludf.DUMMYFUNCTION("""COMPUTED_VALUE"""),"")</f>
        <v/>
      </c>
      <c r="Q2482" s="5">
        <f>IFERROR(__xludf.DUMMYFUNCTION("""COMPUTED_VALUE"""),0.007894127314814816)</f>
        <v>0.007894127315</v>
      </c>
      <c r="R2482" s="4">
        <f>IFERROR(__xludf.DUMMYFUNCTION("""COMPUTED_VALUE"""),45949.039470639684)</f>
        <v>45949.03947</v>
      </c>
      <c r="S2482" s="1" t="b">
        <f>IFERROR(__xludf.DUMMYFUNCTION("""COMPUTED_VALUE"""),TRUE)</f>
        <v>1</v>
      </c>
      <c r="T2482" s="1" t="b">
        <f>IFERROR(__xludf.DUMMYFUNCTION("""COMPUTED_VALUE"""),FALSE)</f>
        <v>0</v>
      </c>
      <c r="U2482" s="1" t="str">
        <f>IFERROR(__xludf.DUMMYFUNCTION("""COMPUTED_VALUE"""),"VALID")</f>
        <v>VALID</v>
      </c>
      <c r="V2482" s="1">
        <f>IFERROR(__xludf.DUMMYFUNCTION("""COMPUTED_VALUE"""),698.0)</f>
        <v>698</v>
      </c>
      <c r="W2482" s="1">
        <f>IFERROR(__xludf.DUMMYFUNCTION("""COMPUTED_VALUE"""),1209.0)</f>
        <v>1209</v>
      </c>
      <c r="X2482" s="1">
        <f>IFERROR(__xludf.DUMMYFUNCTION("""COMPUTED_VALUE"""),945.0)</f>
        <v>945</v>
      </c>
      <c r="Y2482" s="2"/>
      <c r="Z2482" s="2"/>
    </row>
    <row r="2483">
      <c r="A2483" s="1">
        <f>IFERROR(__xludf.DUMMYFUNCTION("""COMPUTED_VALUE"""),2482.0)</f>
        <v>2482</v>
      </c>
      <c r="B2483" s="1">
        <f>IFERROR(__xludf.DUMMYFUNCTION("""COMPUTED_VALUE"""),6348.0)</f>
        <v>6348</v>
      </c>
      <c r="C2483" s="2" t="str">
        <f>IFERROR(__xludf.DUMMYFUNCTION("""COMPUTED_VALUE"""),"faza")</f>
        <v>faza</v>
      </c>
      <c r="D2483" s="2" t="str">
        <f>IFERROR(__xludf.DUMMYFUNCTION("""COMPUTED_VALUE"""),"5KM OVERALL M")</f>
        <v>5KM OVERALL M</v>
      </c>
      <c r="E2483" s="1">
        <f>IFERROR(__xludf.DUMMYFUNCTION("""COMPUTED_VALUE"""),2.0)</f>
        <v>2</v>
      </c>
      <c r="F2483" s="1" t="str">
        <f>IFERROR(__xludf.DUMMYFUNCTION("""COMPUTED_VALUE"""),"Male")</f>
        <v>Male</v>
      </c>
      <c r="G2483" s="4" t="b">
        <f>IFERROR(__xludf.DUMMYFUNCTION("""COMPUTED_VALUE"""),TRUE)</f>
        <v>1</v>
      </c>
      <c r="H2483" s="4" t="b">
        <f>IFERROR(__xludf.DUMMYFUNCTION("""COMPUTED_VALUE"""),TRUE)</f>
        <v>1</v>
      </c>
      <c r="I2483" s="4">
        <f>IFERROR(__xludf.DUMMYFUNCTION("""COMPUTED_VALUE"""),0.2549440625)</f>
        <v>0.2549440625</v>
      </c>
      <c r="J2483" s="4">
        <f>IFERROR(__xludf.DUMMYFUNCTION("""COMPUTED_VALUE"""),45949.27209267874)</f>
        <v>45949.27209</v>
      </c>
      <c r="K2483" s="4" t="str">
        <f>IFERROR(__xludf.DUMMYFUNCTION("""COMPUTED_VALUE"""),"")</f>
        <v/>
      </c>
      <c r="L2483" s="4">
        <f>IFERROR(__xludf.DUMMYFUNCTION("""COMPUTED_VALUE"""),45949.28261616404)</f>
        <v>45949.28262</v>
      </c>
      <c r="M2483" s="1" t="str">
        <f>IFERROR(__xludf.DUMMYFUNCTION("""COMPUTED_VALUE"""),"RFID")</f>
        <v>RFID</v>
      </c>
      <c r="N2483" s="5">
        <f>IFERROR(__xludf.DUMMYFUNCTION("""COMPUTED_VALUE"""),0.006859444444444444)</f>
        <v>0.006859444444</v>
      </c>
      <c r="O2483" s="5" t="str">
        <f>IFERROR(__xludf.DUMMYFUNCTION("""COMPUTED_VALUE"""),"")</f>
        <v/>
      </c>
      <c r="P2483" s="5" t="str">
        <f>IFERROR(__xludf.DUMMYFUNCTION("""COMPUTED_VALUE"""),"")</f>
        <v/>
      </c>
      <c r="Q2483" s="5">
        <f>IFERROR(__xludf.DUMMYFUNCTION("""COMPUTED_VALUE"""),0.005534421296296296)</f>
        <v>0.005534421296</v>
      </c>
      <c r="R2483" s="4">
        <f>IFERROR(__xludf.DUMMYFUNCTION("""COMPUTED_VALUE"""),45949.02767210154)</f>
        <v>45949.02767</v>
      </c>
      <c r="S2483" s="1" t="b">
        <f>IFERROR(__xludf.DUMMYFUNCTION("""COMPUTED_VALUE"""),TRUE)</f>
        <v>1</v>
      </c>
      <c r="T2483" s="1" t="b">
        <f>IFERROR(__xludf.DUMMYFUNCTION("""COMPUTED_VALUE"""),FALSE)</f>
        <v>0</v>
      </c>
      <c r="U2483" s="1" t="str">
        <f>IFERROR(__xludf.DUMMYFUNCTION("""COMPUTED_VALUE"""),"VALID")</f>
        <v>VALID</v>
      </c>
      <c r="V2483" s="1">
        <f>IFERROR(__xludf.DUMMYFUNCTION("""COMPUTED_VALUE"""),271.0)</f>
        <v>271</v>
      </c>
      <c r="W2483" s="1">
        <f>IFERROR(__xludf.DUMMYFUNCTION("""COMPUTED_VALUE"""),413.0)</f>
        <v>413</v>
      </c>
      <c r="X2483" s="1">
        <f>IFERROR(__xludf.DUMMYFUNCTION("""COMPUTED_VALUE"""),357.0)</f>
        <v>357</v>
      </c>
      <c r="Y2483" s="2"/>
      <c r="Z2483" s="2"/>
    </row>
    <row r="2484">
      <c r="A2484" s="1">
        <f>IFERROR(__xludf.DUMMYFUNCTION("""COMPUTED_VALUE"""),2483.0)</f>
        <v>2483</v>
      </c>
      <c r="B2484" s="1">
        <f>IFERROR(__xludf.DUMMYFUNCTION("""COMPUTED_VALUE"""),6349.0)</f>
        <v>6349</v>
      </c>
      <c r="C2484" s="2" t="str">
        <f>IFERROR(__xludf.DUMMYFUNCTION("""COMPUTED_VALUE"""),"Sepupunya Zola")</f>
        <v>Sepupunya Zola</v>
      </c>
      <c r="D2484" s="2" t="str">
        <f>IFERROR(__xludf.DUMMYFUNCTION("""COMPUTED_VALUE"""),"5KM OVERALL M")</f>
        <v>5KM OVERALL M</v>
      </c>
      <c r="E2484" s="1">
        <f>IFERROR(__xludf.DUMMYFUNCTION("""COMPUTED_VALUE"""),2.0)</f>
        <v>2</v>
      </c>
      <c r="F2484" s="1" t="str">
        <f>IFERROR(__xludf.DUMMYFUNCTION("""COMPUTED_VALUE"""),"Male")</f>
        <v>Male</v>
      </c>
      <c r="G2484" s="4" t="b">
        <f>IFERROR(__xludf.DUMMYFUNCTION("""COMPUTED_VALUE"""),TRUE)</f>
        <v>1</v>
      </c>
      <c r="H2484" s="4" t="b">
        <f>IFERROR(__xludf.DUMMYFUNCTION("""COMPUTED_VALUE"""),TRUE)</f>
        <v>1</v>
      </c>
      <c r="I2484" s="4">
        <f>IFERROR(__xludf.DUMMYFUNCTION("""COMPUTED_VALUE"""),0.2549440625)</f>
        <v>0.2549440625</v>
      </c>
      <c r="J2484" s="4">
        <f>IFERROR(__xludf.DUMMYFUNCTION("""COMPUTED_VALUE"""),45949.27439873738)</f>
        <v>45949.2744</v>
      </c>
      <c r="K2484" s="4" t="str">
        <f>IFERROR(__xludf.DUMMYFUNCTION("""COMPUTED_VALUE"""),"")</f>
        <v/>
      </c>
      <c r="L2484" s="4">
        <f>IFERROR(__xludf.DUMMYFUNCTION("""COMPUTED_VALUE"""),45949.2853418408)</f>
        <v>45949.28534</v>
      </c>
      <c r="M2484" s="1" t="str">
        <f>IFERROR(__xludf.DUMMYFUNCTION("""COMPUTED_VALUE"""),"RFID")</f>
        <v>RFID</v>
      </c>
      <c r="N2484" s="5">
        <f>IFERROR(__xludf.DUMMYFUNCTION("""COMPUTED_VALUE"""),0.007781870370370371)</f>
        <v>0.00778187037</v>
      </c>
      <c r="O2484" s="5" t="str">
        <f>IFERROR(__xludf.DUMMYFUNCTION("""COMPUTED_VALUE"""),"")</f>
        <v/>
      </c>
      <c r="P2484" s="5" t="str">
        <f>IFERROR(__xludf.DUMMYFUNCTION("""COMPUTED_VALUE"""),"")</f>
        <v/>
      </c>
      <c r="Q2484" s="5">
        <f>IFERROR(__xludf.DUMMYFUNCTION("""COMPUTED_VALUE"""),0.006079555555555555)</f>
        <v>0.006079555556</v>
      </c>
      <c r="R2484" s="4">
        <f>IFERROR(__xludf.DUMMYFUNCTION("""COMPUTED_VALUE"""),45949.0303977783)</f>
        <v>45949.0304</v>
      </c>
      <c r="S2484" s="1" t="b">
        <f>IFERROR(__xludf.DUMMYFUNCTION("""COMPUTED_VALUE"""),TRUE)</f>
        <v>1</v>
      </c>
      <c r="T2484" s="1" t="b">
        <f>IFERROR(__xludf.DUMMYFUNCTION("""COMPUTED_VALUE"""),FALSE)</f>
        <v>0</v>
      </c>
      <c r="U2484" s="1" t="str">
        <f>IFERROR(__xludf.DUMMYFUNCTION("""COMPUTED_VALUE"""),"VALID")</f>
        <v>VALID</v>
      </c>
      <c r="V2484" s="1">
        <f>IFERROR(__xludf.DUMMYFUNCTION("""COMPUTED_VALUE"""),392.0)</f>
        <v>392</v>
      </c>
      <c r="W2484" s="1">
        <f>IFERROR(__xludf.DUMMYFUNCTION("""COMPUTED_VALUE"""),593.0)</f>
        <v>593</v>
      </c>
      <c r="X2484" s="1">
        <f>IFERROR(__xludf.DUMMYFUNCTION("""COMPUTED_VALUE"""),504.0)</f>
        <v>504</v>
      </c>
      <c r="Y2484" s="2"/>
      <c r="Z2484" s="2"/>
    </row>
    <row r="2485">
      <c r="A2485" s="1">
        <f>IFERROR(__xludf.DUMMYFUNCTION("""COMPUTED_VALUE"""),2484.0)</f>
        <v>2484</v>
      </c>
      <c r="B2485" s="1">
        <f>IFERROR(__xludf.DUMMYFUNCTION("""COMPUTED_VALUE"""),6350.0)</f>
        <v>6350</v>
      </c>
      <c r="C2485" s="2" t="str">
        <f>IFERROR(__xludf.DUMMYFUNCTION("""COMPUTED_VALUE"""),"Dhani")</f>
        <v>Dhani</v>
      </c>
      <c r="D2485" s="2" t="str">
        <f>IFERROR(__xludf.DUMMYFUNCTION("""COMPUTED_VALUE"""),"5KM OVERALL M")</f>
        <v>5KM OVERALL M</v>
      </c>
      <c r="E2485" s="1">
        <f>IFERROR(__xludf.DUMMYFUNCTION("""COMPUTED_VALUE"""),2.0)</f>
        <v>2</v>
      </c>
      <c r="F2485" s="1" t="str">
        <f>IFERROR(__xludf.DUMMYFUNCTION("""COMPUTED_VALUE"""),"Male")</f>
        <v>Male</v>
      </c>
      <c r="G2485" s="4" t="b">
        <f>IFERROR(__xludf.DUMMYFUNCTION("""COMPUTED_VALUE"""),TRUE)</f>
        <v>1</v>
      </c>
      <c r="H2485" s="4" t="b">
        <f>IFERROR(__xludf.DUMMYFUNCTION("""COMPUTED_VALUE"""),TRUE)</f>
        <v>1</v>
      </c>
      <c r="I2485" s="4">
        <f>IFERROR(__xludf.DUMMYFUNCTION("""COMPUTED_VALUE"""),0.2549440625)</f>
        <v>0.2549440625</v>
      </c>
      <c r="J2485" s="4">
        <f>IFERROR(__xludf.DUMMYFUNCTION("""COMPUTED_VALUE"""),45949.270665574506)</f>
        <v>45949.27067</v>
      </c>
      <c r="K2485" s="4" t="str">
        <f>IFERROR(__xludf.DUMMYFUNCTION("""COMPUTED_VALUE"""),"")</f>
        <v/>
      </c>
      <c r="L2485" s="4">
        <f>IFERROR(__xludf.DUMMYFUNCTION("""COMPUTED_VALUE"""),45949.27839742181)</f>
        <v>45949.2784</v>
      </c>
      <c r="M2485" s="1" t="str">
        <f>IFERROR(__xludf.DUMMYFUNCTION("""COMPUTED_VALUE"""),"RFID")</f>
        <v>RFID</v>
      </c>
      <c r="N2485" s="5">
        <f>IFERROR(__xludf.DUMMYFUNCTION("""COMPUTED_VALUE"""),0.006288606481481482)</f>
        <v>0.006288606481</v>
      </c>
      <c r="O2485" s="5" t="str">
        <f>IFERROR(__xludf.DUMMYFUNCTION("""COMPUTED_VALUE"""),"")</f>
        <v/>
      </c>
      <c r="P2485" s="5" t="str">
        <f>IFERROR(__xludf.DUMMYFUNCTION("""COMPUTED_VALUE"""),"")</f>
        <v/>
      </c>
      <c r="Q2485" s="5">
        <f>IFERROR(__xludf.DUMMYFUNCTION("""COMPUTED_VALUE"""),0.004690671296296296)</f>
        <v>0.004690671296</v>
      </c>
      <c r="R2485" s="4">
        <f>IFERROR(__xludf.DUMMYFUNCTION("""COMPUTED_VALUE"""),45949.02345335931)</f>
        <v>45949.02345</v>
      </c>
      <c r="S2485" s="1" t="b">
        <f>IFERROR(__xludf.DUMMYFUNCTION("""COMPUTED_VALUE"""),TRUE)</f>
        <v>1</v>
      </c>
      <c r="T2485" s="1" t="b">
        <f>IFERROR(__xludf.DUMMYFUNCTION("""COMPUTED_VALUE"""),FALSE)</f>
        <v>0</v>
      </c>
      <c r="U2485" s="1" t="str">
        <f>IFERROR(__xludf.DUMMYFUNCTION("""COMPUTED_VALUE"""),"VALID")</f>
        <v>VALID</v>
      </c>
      <c r="V2485" s="1">
        <f>IFERROR(__xludf.DUMMYFUNCTION("""COMPUTED_VALUE"""),153.0)</f>
        <v>153</v>
      </c>
      <c r="W2485" s="1">
        <f>IFERROR(__xludf.DUMMYFUNCTION("""COMPUTED_VALUE"""),231.0)</f>
        <v>231</v>
      </c>
      <c r="X2485" s="1">
        <f>IFERROR(__xludf.DUMMYFUNCTION("""COMPUTED_VALUE"""),202.0)</f>
        <v>202</v>
      </c>
      <c r="Y2485" s="2"/>
      <c r="Z2485" s="2"/>
    </row>
    <row r="2486">
      <c r="A2486" s="1">
        <f>IFERROR(__xludf.DUMMYFUNCTION("""COMPUTED_VALUE"""),2485.0)</f>
        <v>2485</v>
      </c>
      <c r="B2486" s="1">
        <f>IFERROR(__xludf.DUMMYFUNCTION("""COMPUTED_VALUE"""),6354.0)</f>
        <v>6354</v>
      </c>
      <c r="C2486" s="2" t="str">
        <f>IFERROR(__xludf.DUMMYFUNCTION("""COMPUTED_VALUE"""),"AHMAD RIDHANI")</f>
        <v>AHMAD RIDHANI</v>
      </c>
      <c r="D2486" s="2" t="str">
        <f>IFERROR(__xludf.DUMMYFUNCTION("""COMPUTED_VALUE"""),"5KM OVERALL M")</f>
        <v>5KM OVERALL M</v>
      </c>
      <c r="E2486" s="1">
        <f>IFERROR(__xludf.DUMMYFUNCTION("""COMPUTED_VALUE"""),2.0)</f>
        <v>2</v>
      </c>
      <c r="F2486" s="1" t="str">
        <f>IFERROR(__xludf.DUMMYFUNCTION("""COMPUTED_VALUE"""),"Male")</f>
        <v>Male</v>
      </c>
      <c r="G2486" s="4" t="str">
        <f>IFERROR(__xludf.DUMMYFUNCTION("""COMPUTED_VALUE"""),"")</f>
        <v/>
      </c>
      <c r="H2486" s="4" t="b">
        <f>IFERROR(__xludf.DUMMYFUNCTION("""COMPUTED_VALUE"""),FALSE)</f>
        <v>0</v>
      </c>
      <c r="I2486" s="4">
        <f>IFERROR(__xludf.DUMMYFUNCTION("""COMPUTED_VALUE"""),0.2549440625)</f>
        <v>0.2549440625</v>
      </c>
      <c r="J2486" s="4" t="str">
        <f>IFERROR(__xludf.DUMMYFUNCTION("""COMPUTED_VALUE"""),"")</f>
        <v/>
      </c>
      <c r="K2486" s="4" t="str">
        <f>IFERROR(__xludf.DUMMYFUNCTION("""COMPUTED_VALUE"""),"")</f>
        <v/>
      </c>
      <c r="L2486" s="4" t="str">
        <f>IFERROR(__xludf.DUMMYFUNCTION("""COMPUTED_VALUE"""),"")</f>
        <v/>
      </c>
      <c r="M2486" s="1" t="str">
        <f>IFERROR(__xludf.DUMMYFUNCTION("""COMPUTED_VALUE"""),"RFID")</f>
        <v>RFID</v>
      </c>
      <c r="N2486" s="5" t="str">
        <f>IFERROR(__xludf.DUMMYFUNCTION("""COMPUTED_VALUE"""),"")</f>
        <v/>
      </c>
      <c r="O2486" s="5" t="str">
        <f>IFERROR(__xludf.DUMMYFUNCTION("""COMPUTED_VALUE"""),"")</f>
        <v/>
      </c>
      <c r="P2486" s="5" t="str">
        <f>IFERROR(__xludf.DUMMYFUNCTION("""COMPUTED_VALUE"""),"")</f>
        <v/>
      </c>
      <c r="Q2486" s="5" t="str">
        <f>IFERROR(__xludf.DUMMYFUNCTION("""COMPUTED_VALUE"""),"")</f>
        <v/>
      </c>
      <c r="R2486" s="4" t="str">
        <f>IFERROR(__xludf.DUMMYFUNCTION("""COMPUTED_VALUE"""),"")</f>
        <v/>
      </c>
      <c r="S2486" s="1" t="b">
        <f>IFERROR(__xludf.DUMMYFUNCTION("""COMPUTED_VALUE"""),FALSE)</f>
        <v>0</v>
      </c>
      <c r="T2486" s="1" t="b">
        <f>IFERROR(__xludf.DUMMYFUNCTION("""COMPUTED_VALUE"""),FALSE)</f>
        <v>0</v>
      </c>
      <c r="U2486" s="1" t="str">
        <f>IFERROR(__xludf.DUMMYFUNCTION("""COMPUTED_VALUE"""),"DSQ")</f>
        <v>DSQ</v>
      </c>
      <c r="V2486" s="1" t="str">
        <f>IFERROR(__xludf.DUMMYFUNCTION("""COMPUTED_VALUE"""),"DSQ")</f>
        <v>DSQ</v>
      </c>
      <c r="W2486" s="1" t="str">
        <f>IFERROR(__xludf.DUMMYFUNCTION("""COMPUTED_VALUE"""),"DSQ")</f>
        <v>DSQ</v>
      </c>
      <c r="X2486" s="1" t="str">
        <f>IFERROR(__xludf.DUMMYFUNCTION("""COMPUTED_VALUE"""),"DSQ")</f>
        <v>DSQ</v>
      </c>
      <c r="Y2486" s="2"/>
      <c r="Z2486" s="2" t="str">
        <f>IFERROR(__xludf.DUMMYFUNCTION("""COMPUTED_VALUE"""),"")</f>
        <v/>
      </c>
    </row>
    <row r="2487">
      <c r="A2487" s="1">
        <f>IFERROR(__xludf.DUMMYFUNCTION("""COMPUTED_VALUE"""),2486.0)</f>
        <v>2486</v>
      </c>
      <c r="B2487" s="1">
        <f>IFERROR(__xludf.DUMMYFUNCTION("""COMPUTED_VALUE"""),6355.0)</f>
        <v>6355</v>
      </c>
      <c r="C2487" s="2" t="str">
        <f>IFERROR(__xludf.DUMMYFUNCTION("""COMPUTED_VALUE"""),"Irham")</f>
        <v>Irham</v>
      </c>
      <c r="D2487" s="2" t="str">
        <f>IFERROR(__xludf.DUMMYFUNCTION("""COMPUTED_VALUE"""),"5KM OVERALL M")</f>
        <v>5KM OVERALL M</v>
      </c>
      <c r="E2487" s="1">
        <f>IFERROR(__xludf.DUMMYFUNCTION("""COMPUTED_VALUE"""),2.0)</f>
        <v>2</v>
      </c>
      <c r="F2487" s="1" t="str">
        <f>IFERROR(__xludf.DUMMYFUNCTION("""COMPUTED_VALUE"""),"Male")</f>
        <v>Male</v>
      </c>
      <c r="G2487" s="4" t="b">
        <f>IFERROR(__xludf.DUMMYFUNCTION("""COMPUTED_VALUE"""),TRUE)</f>
        <v>1</v>
      </c>
      <c r="H2487" s="4" t="b">
        <f>IFERROR(__xludf.DUMMYFUNCTION("""COMPUTED_VALUE"""),TRUE)</f>
        <v>1</v>
      </c>
      <c r="I2487" s="4">
        <f>IFERROR(__xludf.DUMMYFUNCTION("""COMPUTED_VALUE"""),0.2549440625)</f>
        <v>0.2549440625</v>
      </c>
      <c r="J2487" s="4">
        <f>IFERROR(__xludf.DUMMYFUNCTION("""COMPUTED_VALUE"""),45949.26623196664)</f>
        <v>45949.26623</v>
      </c>
      <c r="K2487" s="4" t="str">
        <f>IFERROR(__xludf.DUMMYFUNCTION("""COMPUTED_VALUE"""),"")</f>
        <v/>
      </c>
      <c r="L2487" s="4">
        <f>IFERROR(__xludf.DUMMYFUNCTION("""COMPUTED_VALUE"""),45949.2734876296)</f>
        <v>45949.27349</v>
      </c>
      <c r="M2487" s="1" t="str">
        <f>IFERROR(__xludf.DUMMYFUNCTION("""COMPUTED_VALUE"""),"RFID")</f>
        <v>RFID</v>
      </c>
      <c r="N2487" s="5">
        <f>IFERROR(__xludf.DUMMYFUNCTION("""COMPUTED_VALUE"""),0.004515162037037037)</f>
        <v>0.004515162037</v>
      </c>
      <c r="O2487" s="5" t="str">
        <f>IFERROR(__xludf.DUMMYFUNCTION("""COMPUTED_VALUE"""),"")</f>
        <v/>
      </c>
      <c r="P2487" s="5" t="str">
        <f>IFERROR(__xludf.DUMMYFUNCTION("""COMPUTED_VALUE"""),"")</f>
        <v/>
      </c>
      <c r="Q2487" s="5">
        <f>IFERROR(__xludf.DUMMYFUNCTION("""COMPUTED_VALUE"""),0.003708712962962963)</f>
        <v>0.003708712963</v>
      </c>
      <c r="R2487" s="4">
        <f>IFERROR(__xludf.DUMMYFUNCTION("""COMPUTED_VALUE"""),45949.0185435671)</f>
        <v>45949.01854</v>
      </c>
      <c r="S2487" s="1" t="b">
        <f>IFERROR(__xludf.DUMMYFUNCTION("""COMPUTED_VALUE"""),TRUE)</f>
        <v>1</v>
      </c>
      <c r="T2487" s="1" t="b">
        <f>IFERROR(__xludf.DUMMYFUNCTION("""COMPUTED_VALUE"""),FALSE)</f>
        <v>0</v>
      </c>
      <c r="U2487" s="1" t="str">
        <f>IFERROR(__xludf.DUMMYFUNCTION("""COMPUTED_VALUE"""),"VALID")</f>
        <v>VALID</v>
      </c>
      <c r="V2487" s="1">
        <f>IFERROR(__xludf.DUMMYFUNCTION("""COMPUTED_VALUE"""),49.0)</f>
        <v>49</v>
      </c>
      <c r="W2487" s="1">
        <f>IFERROR(__xludf.DUMMYFUNCTION("""COMPUTED_VALUE"""),72.0)</f>
        <v>72</v>
      </c>
      <c r="X2487" s="1">
        <f>IFERROR(__xludf.DUMMYFUNCTION("""COMPUTED_VALUE"""),67.0)</f>
        <v>67</v>
      </c>
      <c r="Y2487" s="2"/>
      <c r="Z2487" s="2"/>
    </row>
    <row r="2488">
      <c r="A2488" s="1">
        <f>IFERROR(__xludf.DUMMYFUNCTION("""COMPUTED_VALUE"""),2487.0)</f>
        <v>2487</v>
      </c>
      <c r="B2488" s="1">
        <f>IFERROR(__xludf.DUMMYFUNCTION("""COMPUTED_VALUE"""),6357.0)</f>
        <v>6357</v>
      </c>
      <c r="C2488" s="2" t="str">
        <f>IFERROR(__xludf.DUMMYFUNCTION("""COMPUTED_VALUE"""),"amangikam_")</f>
        <v>amangikam_</v>
      </c>
      <c r="D2488" s="2" t="str">
        <f>IFERROR(__xludf.DUMMYFUNCTION("""COMPUTED_VALUE"""),"5KM OVERALL M")</f>
        <v>5KM OVERALL M</v>
      </c>
      <c r="E2488" s="1">
        <f>IFERROR(__xludf.DUMMYFUNCTION("""COMPUTED_VALUE"""),2.0)</f>
        <v>2</v>
      </c>
      <c r="F2488" s="1" t="str">
        <f>IFERROR(__xludf.DUMMYFUNCTION("""COMPUTED_VALUE"""),"Male")</f>
        <v>Male</v>
      </c>
      <c r="G2488" s="4" t="b">
        <f>IFERROR(__xludf.DUMMYFUNCTION("""COMPUTED_VALUE"""),TRUE)</f>
        <v>1</v>
      </c>
      <c r="H2488" s="4" t="b">
        <f>IFERROR(__xludf.DUMMYFUNCTION("""COMPUTED_VALUE"""),FALSE)</f>
        <v>0</v>
      </c>
      <c r="I2488" s="4">
        <f>IFERROR(__xludf.DUMMYFUNCTION("""COMPUTED_VALUE"""),0.2549440625)</f>
        <v>0.2549440625</v>
      </c>
      <c r="J2488" s="4">
        <f>IFERROR(__xludf.DUMMYFUNCTION("""COMPUTED_VALUE"""),45949.2739190595)</f>
        <v>45949.27392</v>
      </c>
      <c r="K2488" s="4" t="str">
        <f>IFERROR(__xludf.DUMMYFUNCTION("""COMPUTED_VALUE"""),"")</f>
        <v/>
      </c>
      <c r="L2488" s="4">
        <f>IFERROR(__xludf.DUMMYFUNCTION("""COMPUTED_VALUE"""),45949.28540198912)</f>
        <v>45949.2854</v>
      </c>
      <c r="M2488" s="1" t="str">
        <f>IFERROR(__xludf.DUMMYFUNCTION("""COMPUTED_VALUE"""),"RFID")</f>
        <v>RFID</v>
      </c>
      <c r="N2488" s="5">
        <f>IFERROR(__xludf.DUMMYFUNCTION("""COMPUTED_VALUE"""),0.007590000000000001)</f>
        <v>0.00759</v>
      </c>
      <c r="O2488" s="5" t="str">
        <f>IFERROR(__xludf.DUMMYFUNCTION("""COMPUTED_VALUE"""),"")</f>
        <v/>
      </c>
      <c r="P2488" s="5" t="str">
        <f>IFERROR(__xludf.DUMMYFUNCTION("""COMPUTED_VALUE"""),"")</f>
        <v/>
      </c>
      <c r="Q2488" s="5">
        <f>IFERROR(__xludf.DUMMYFUNCTION("""COMPUTED_VALUE"""),0.006091585648148148)</f>
        <v>0.006091585648</v>
      </c>
      <c r="R2488" s="4">
        <f>IFERROR(__xludf.DUMMYFUNCTION("""COMPUTED_VALUE"""),45949.030457926616)</f>
        <v>45949.03046</v>
      </c>
      <c r="S2488" s="1" t="b">
        <f>IFERROR(__xludf.DUMMYFUNCTION("""COMPUTED_VALUE"""),TRUE)</f>
        <v>1</v>
      </c>
      <c r="T2488" s="1" t="b">
        <f>IFERROR(__xludf.DUMMYFUNCTION("""COMPUTED_VALUE"""),FALSE)</f>
        <v>0</v>
      </c>
      <c r="U2488" s="1" t="str">
        <f>IFERROR(__xludf.DUMMYFUNCTION("""COMPUTED_VALUE"""),"VALID")</f>
        <v>VALID</v>
      </c>
      <c r="V2488" s="1">
        <f>IFERROR(__xludf.DUMMYFUNCTION("""COMPUTED_VALUE"""),393.0)</f>
        <v>393</v>
      </c>
      <c r="W2488" s="1">
        <f>IFERROR(__xludf.DUMMYFUNCTION("""COMPUTED_VALUE"""),595.0)</f>
        <v>595</v>
      </c>
      <c r="X2488" s="1">
        <f>IFERROR(__xludf.DUMMYFUNCTION("""COMPUTED_VALUE"""),505.0)</f>
        <v>505</v>
      </c>
      <c r="Y2488" s="2"/>
      <c r="Z2488" s="2"/>
    </row>
    <row r="2489">
      <c r="A2489" s="1">
        <f>IFERROR(__xludf.DUMMYFUNCTION("""COMPUTED_VALUE"""),2488.0)</f>
        <v>2488</v>
      </c>
      <c r="B2489" s="1">
        <f>IFERROR(__xludf.DUMMYFUNCTION("""COMPUTED_VALUE"""),6358.0)</f>
        <v>6358</v>
      </c>
      <c r="C2489" s="2" t="str">
        <f>IFERROR(__xludf.DUMMYFUNCTION("""COMPUTED_VALUE"""),"ABDI")</f>
        <v>ABDI</v>
      </c>
      <c r="D2489" s="2" t="str">
        <f>IFERROR(__xludf.DUMMYFUNCTION("""COMPUTED_VALUE"""),"5KM OVERALL M")</f>
        <v>5KM OVERALL M</v>
      </c>
      <c r="E2489" s="1">
        <f>IFERROR(__xludf.DUMMYFUNCTION("""COMPUTED_VALUE"""),2.0)</f>
        <v>2</v>
      </c>
      <c r="F2489" s="1" t="str">
        <f>IFERROR(__xludf.DUMMYFUNCTION("""COMPUTED_VALUE"""),"Male")</f>
        <v>Male</v>
      </c>
      <c r="G2489" s="4" t="b">
        <f>IFERROR(__xludf.DUMMYFUNCTION("""COMPUTED_VALUE"""),TRUE)</f>
        <v>1</v>
      </c>
      <c r="H2489" s="4" t="b">
        <f>IFERROR(__xludf.DUMMYFUNCTION("""COMPUTED_VALUE"""),FALSE)</f>
        <v>0</v>
      </c>
      <c r="I2489" s="4">
        <f>IFERROR(__xludf.DUMMYFUNCTION("""COMPUTED_VALUE"""),0.2549440625)</f>
        <v>0.2549440625</v>
      </c>
      <c r="J2489" s="4">
        <f>IFERROR(__xludf.DUMMYFUNCTION("""COMPUTED_VALUE"""),45949.28162044974)</f>
        <v>45949.28162</v>
      </c>
      <c r="K2489" s="4" t="str">
        <f>IFERROR(__xludf.DUMMYFUNCTION("""COMPUTED_VALUE"""),"")</f>
        <v/>
      </c>
      <c r="L2489" s="4">
        <f>IFERROR(__xludf.DUMMYFUNCTION("""COMPUTED_VALUE"""),45949.29943906672)</f>
        <v>45949.29944</v>
      </c>
      <c r="M2489" s="1" t="str">
        <f>IFERROR(__xludf.DUMMYFUNCTION("""COMPUTED_VALUE"""),"RFID")</f>
        <v>RFID</v>
      </c>
      <c r="N2489" s="5">
        <f>IFERROR(__xludf.DUMMYFUNCTION("""COMPUTED_VALUE"""),0.010670555555555556)</f>
        <v>0.01067055556</v>
      </c>
      <c r="O2489" s="5" t="str">
        <f>IFERROR(__xludf.DUMMYFUNCTION("""COMPUTED_VALUE"""),"")</f>
        <v/>
      </c>
      <c r="P2489" s="5" t="str">
        <f>IFERROR(__xludf.DUMMYFUNCTION("""COMPUTED_VALUE"""),"")</f>
        <v/>
      </c>
      <c r="Q2489" s="5">
        <f>IFERROR(__xludf.DUMMYFUNCTION("""COMPUTED_VALUE"""),0.008899)</f>
        <v>0.008899</v>
      </c>
      <c r="R2489" s="4">
        <f>IFERROR(__xludf.DUMMYFUNCTION("""COMPUTED_VALUE"""),45949.04449500422)</f>
        <v>45949.0445</v>
      </c>
      <c r="S2489" s="1" t="b">
        <f>IFERROR(__xludf.DUMMYFUNCTION("""COMPUTED_VALUE"""),TRUE)</f>
        <v>1</v>
      </c>
      <c r="T2489" s="1" t="b">
        <f>IFERROR(__xludf.DUMMYFUNCTION("""COMPUTED_VALUE"""),FALSE)</f>
        <v>0</v>
      </c>
      <c r="U2489" s="1" t="str">
        <f>IFERROR(__xludf.DUMMYFUNCTION("""COMPUTED_VALUE"""),"VALID")</f>
        <v>VALID</v>
      </c>
      <c r="V2489" s="1">
        <f>IFERROR(__xludf.DUMMYFUNCTION("""COMPUTED_VALUE"""),788.0)</f>
        <v>788</v>
      </c>
      <c r="W2489" s="1">
        <f>IFERROR(__xludf.DUMMYFUNCTION("""COMPUTED_VALUE"""),1429.0)</f>
        <v>1429</v>
      </c>
      <c r="X2489" s="1">
        <f>IFERROR(__xludf.DUMMYFUNCTION("""COMPUTED_VALUE"""),1173.0)</f>
        <v>1173</v>
      </c>
      <c r="Y2489" s="2"/>
      <c r="Z2489" s="2"/>
    </row>
    <row r="2490">
      <c r="A2490" s="1">
        <f>IFERROR(__xludf.DUMMYFUNCTION("""COMPUTED_VALUE"""),2489.0)</f>
        <v>2489</v>
      </c>
      <c r="B2490" s="1">
        <f>IFERROR(__xludf.DUMMYFUNCTION("""COMPUTED_VALUE"""),6359.0)</f>
        <v>6359</v>
      </c>
      <c r="C2490" s="2" t="str">
        <f>IFERROR(__xludf.DUMMYFUNCTION("""COMPUTED_VALUE"""),"Nazala")</f>
        <v>Nazala</v>
      </c>
      <c r="D2490" s="2" t="str">
        <f>IFERROR(__xludf.DUMMYFUNCTION("""COMPUTED_VALUE"""),"5KM OVERALL M")</f>
        <v>5KM OVERALL M</v>
      </c>
      <c r="E2490" s="1">
        <f>IFERROR(__xludf.DUMMYFUNCTION("""COMPUTED_VALUE"""),2.0)</f>
        <v>2</v>
      </c>
      <c r="F2490" s="1" t="str">
        <f>IFERROR(__xludf.DUMMYFUNCTION("""COMPUTED_VALUE"""),"Male")</f>
        <v>Male</v>
      </c>
      <c r="G2490" s="4" t="b">
        <f>IFERROR(__xludf.DUMMYFUNCTION("""COMPUTED_VALUE"""),TRUE)</f>
        <v>1</v>
      </c>
      <c r="H2490" s="4" t="b">
        <f>IFERROR(__xludf.DUMMYFUNCTION("""COMPUTED_VALUE"""),TRUE)</f>
        <v>1</v>
      </c>
      <c r="I2490" s="4">
        <f>IFERROR(__xludf.DUMMYFUNCTION("""COMPUTED_VALUE"""),0.2549440625)</f>
        <v>0.2549440625</v>
      </c>
      <c r="J2490" s="4">
        <f>IFERROR(__xludf.DUMMYFUNCTION("""COMPUTED_VALUE"""),45949.2745649189)</f>
        <v>45949.27456</v>
      </c>
      <c r="K2490" s="4" t="str">
        <f>IFERROR(__xludf.DUMMYFUNCTION("""COMPUTED_VALUE"""),"")</f>
        <v/>
      </c>
      <c r="L2490" s="4">
        <f>IFERROR(__xludf.DUMMYFUNCTION("""COMPUTED_VALUE"""),45949.28872378358)</f>
        <v>45949.28872</v>
      </c>
      <c r="M2490" s="1" t="str">
        <f>IFERROR(__xludf.DUMMYFUNCTION("""COMPUTED_VALUE"""),"RFID")</f>
        <v>RFID</v>
      </c>
      <c r="N2490" s="5">
        <f>IFERROR(__xludf.DUMMYFUNCTION("""COMPUTED_VALUE"""),0.007848342592592593)</f>
        <v>0.007848342593</v>
      </c>
      <c r="O2490" s="5" t="str">
        <f>IFERROR(__xludf.DUMMYFUNCTION("""COMPUTED_VALUE"""),"")</f>
        <v/>
      </c>
      <c r="P2490" s="5" t="str">
        <f>IFERROR(__xludf.DUMMYFUNCTION("""COMPUTED_VALUE"""),"")</f>
        <v/>
      </c>
      <c r="Q2490" s="5">
        <f>IFERROR(__xludf.DUMMYFUNCTION("""COMPUTED_VALUE"""),0.006755944444444445)</f>
        <v>0.006755944444</v>
      </c>
      <c r="R2490" s="4">
        <f>IFERROR(__xludf.DUMMYFUNCTION("""COMPUTED_VALUE"""),45949.03377972108)</f>
        <v>45949.03378</v>
      </c>
      <c r="S2490" s="1" t="b">
        <f>IFERROR(__xludf.DUMMYFUNCTION("""COMPUTED_VALUE"""),TRUE)</f>
        <v>1</v>
      </c>
      <c r="T2490" s="1" t="b">
        <f>IFERROR(__xludf.DUMMYFUNCTION("""COMPUTED_VALUE"""),FALSE)</f>
        <v>0</v>
      </c>
      <c r="U2490" s="1" t="str">
        <f>IFERROR(__xludf.DUMMYFUNCTION("""COMPUTED_VALUE"""),"VALID")</f>
        <v>VALID</v>
      </c>
      <c r="V2490" s="1">
        <f>IFERROR(__xludf.DUMMYFUNCTION("""COMPUTED_VALUE"""),526.0)</f>
        <v>526</v>
      </c>
      <c r="W2490" s="1">
        <f>IFERROR(__xludf.DUMMYFUNCTION("""COMPUTED_VALUE"""),828.0)</f>
        <v>828</v>
      </c>
      <c r="X2490" s="1">
        <f>IFERROR(__xludf.DUMMYFUNCTION("""COMPUTED_VALUE"""),679.0)</f>
        <v>679</v>
      </c>
      <c r="Y2490" s="2"/>
      <c r="Z2490" s="2"/>
    </row>
    <row r="2491">
      <c r="A2491" s="1">
        <f>IFERROR(__xludf.DUMMYFUNCTION("""COMPUTED_VALUE"""),2490.0)</f>
        <v>2490</v>
      </c>
      <c r="B2491" s="1">
        <f>IFERROR(__xludf.DUMMYFUNCTION("""COMPUTED_VALUE"""),6361.0)</f>
        <v>6361</v>
      </c>
      <c r="C2491" s="2" t="str">
        <f>IFERROR(__xludf.DUMMYFUNCTION("""COMPUTED_VALUE"""),"Angga Saputra")</f>
        <v>Angga Saputra</v>
      </c>
      <c r="D2491" s="2" t="str">
        <f>IFERROR(__xludf.DUMMYFUNCTION("""COMPUTED_VALUE"""),"5KM OVERALL M")</f>
        <v>5KM OVERALL M</v>
      </c>
      <c r="E2491" s="1">
        <f>IFERROR(__xludf.DUMMYFUNCTION("""COMPUTED_VALUE"""),2.0)</f>
        <v>2</v>
      </c>
      <c r="F2491" s="1" t="str">
        <f>IFERROR(__xludf.DUMMYFUNCTION("""COMPUTED_VALUE"""),"Male")</f>
        <v>Male</v>
      </c>
      <c r="G2491" s="4" t="b">
        <f>IFERROR(__xludf.DUMMYFUNCTION("""COMPUTED_VALUE"""),TRUE)</f>
        <v>1</v>
      </c>
      <c r="H2491" s="4" t="b">
        <f>IFERROR(__xludf.DUMMYFUNCTION("""COMPUTED_VALUE"""),TRUE)</f>
        <v>1</v>
      </c>
      <c r="I2491" s="4">
        <f>IFERROR(__xludf.DUMMYFUNCTION("""COMPUTED_VALUE"""),0.2549440625)</f>
        <v>0.2549440625</v>
      </c>
      <c r="J2491" s="4">
        <f>IFERROR(__xludf.DUMMYFUNCTION("""COMPUTED_VALUE"""),45949.265978127405)</f>
        <v>45949.26598</v>
      </c>
      <c r="K2491" s="4" t="str">
        <f>IFERROR(__xludf.DUMMYFUNCTION("""COMPUTED_VALUE"""),"")</f>
        <v/>
      </c>
      <c r="L2491" s="4">
        <f>IFERROR(__xludf.DUMMYFUNCTION("""COMPUTED_VALUE"""),45949.288616164224)</f>
        <v>45949.28862</v>
      </c>
      <c r="M2491" s="1" t="str">
        <f>IFERROR(__xludf.DUMMYFUNCTION("""COMPUTED_VALUE"""),"RFID")</f>
        <v>RFID</v>
      </c>
      <c r="N2491" s="5">
        <f>IFERROR(__xludf.DUMMYFUNCTION("""COMPUTED_VALUE"""),0.004413624999999999)</f>
        <v>0.004413625</v>
      </c>
      <c r="O2491" s="5" t="str">
        <f>IFERROR(__xludf.DUMMYFUNCTION("""COMPUTED_VALUE"""),"")</f>
        <v/>
      </c>
      <c r="P2491" s="5" t="str">
        <f>IFERROR(__xludf.DUMMYFUNCTION("""COMPUTED_VALUE"""),"")</f>
        <v/>
      </c>
      <c r="Q2491" s="5">
        <f>IFERROR(__xludf.DUMMYFUNCTION("""COMPUTED_VALUE"""),0.006734421296296296)</f>
        <v>0.006734421296</v>
      </c>
      <c r="R2491" s="4">
        <f>IFERROR(__xludf.DUMMYFUNCTION("""COMPUTED_VALUE"""),45949.03367210172)</f>
        <v>45949.03367</v>
      </c>
      <c r="S2491" s="1" t="b">
        <f>IFERROR(__xludf.DUMMYFUNCTION("""COMPUTED_VALUE"""),TRUE)</f>
        <v>1</v>
      </c>
      <c r="T2491" s="1" t="b">
        <f>IFERROR(__xludf.DUMMYFUNCTION("""COMPUTED_VALUE"""),FALSE)</f>
        <v>0</v>
      </c>
      <c r="U2491" s="1" t="str">
        <f>IFERROR(__xludf.DUMMYFUNCTION("""COMPUTED_VALUE"""),"VALID")</f>
        <v>VALID</v>
      </c>
      <c r="V2491" s="1">
        <f>IFERROR(__xludf.DUMMYFUNCTION("""COMPUTED_VALUE"""),520.0)</f>
        <v>520</v>
      </c>
      <c r="W2491" s="1">
        <f>IFERROR(__xludf.DUMMYFUNCTION("""COMPUTED_VALUE"""),818.0)</f>
        <v>818</v>
      </c>
      <c r="X2491" s="1">
        <f>IFERROR(__xludf.DUMMYFUNCTION("""COMPUTED_VALUE"""),671.0)</f>
        <v>671</v>
      </c>
      <c r="Y2491" s="2"/>
      <c r="Z2491" s="2"/>
    </row>
    <row r="2492">
      <c r="A2492" s="1">
        <f>IFERROR(__xludf.DUMMYFUNCTION("""COMPUTED_VALUE"""),2491.0)</f>
        <v>2491</v>
      </c>
      <c r="B2492" s="1">
        <f>IFERROR(__xludf.DUMMYFUNCTION("""COMPUTED_VALUE"""),6364.0)</f>
        <v>6364</v>
      </c>
      <c r="C2492" s="2" t="str">
        <f>IFERROR(__xludf.DUMMYFUNCTION("""COMPUTED_VALUE"""),"Muhammad Zaini")</f>
        <v>Muhammad Zaini</v>
      </c>
      <c r="D2492" s="2" t="str">
        <f>IFERROR(__xludf.DUMMYFUNCTION("""COMPUTED_VALUE"""),"5KM OVERALL M")</f>
        <v>5KM OVERALL M</v>
      </c>
      <c r="E2492" s="1">
        <f>IFERROR(__xludf.DUMMYFUNCTION("""COMPUTED_VALUE"""),2.0)</f>
        <v>2</v>
      </c>
      <c r="F2492" s="1" t="str">
        <f>IFERROR(__xludf.DUMMYFUNCTION("""COMPUTED_VALUE"""),"Male")</f>
        <v>Male</v>
      </c>
      <c r="G2492" s="4" t="b">
        <f>IFERROR(__xludf.DUMMYFUNCTION("""COMPUTED_VALUE"""),TRUE)</f>
        <v>1</v>
      </c>
      <c r="H2492" s="4" t="b">
        <f>IFERROR(__xludf.DUMMYFUNCTION("""COMPUTED_VALUE"""),FALSE)</f>
        <v>0</v>
      </c>
      <c r="I2492" s="4">
        <f>IFERROR(__xludf.DUMMYFUNCTION("""COMPUTED_VALUE"""),0.2549440625)</f>
        <v>0.2549440625</v>
      </c>
      <c r="J2492" s="4">
        <f>IFERROR(__xludf.DUMMYFUNCTION("""COMPUTED_VALUE"""),45949.27434274344)</f>
        <v>45949.27434</v>
      </c>
      <c r="K2492" s="4" t="str">
        <f>IFERROR(__xludf.DUMMYFUNCTION("""COMPUTED_VALUE"""),"")</f>
        <v/>
      </c>
      <c r="L2492" s="4">
        <f>IFERROR(__xludf.DUMMYFUNCTION("""COMPUTED_VALUE"""),45949.2887411759)</f>
        <v>45949.28874</v>
      </c>
      <c r="M2492" s="1" t="str">
        <f>IFERROR(__xludf.DUMMYFUNCTION("""COMPUTED_VALUE"""),"RFID")</f>
        <v>RFID</v>
      </c>
      <c r="N2492" s="5">
        <f>IFERROR(__xludf.DUMMYFUNCTION("""COMPUTED_VALUE"""),0.007759472222222221)</f>
        <v>0.007759472222</v>
      </c>
      <c r="O2492" s="5" t="str">
        <f>IFERROR(__xludf.DUMMYFUNCTION("""COMPUTED_VALUE"""),"")</f>
        <v/>
      </c>
      <c r="P2492" s="5" t="str">
        <f>IFERROR(__xludf.DUMMYFUNCTION("""COMPUTED_VALUE"""),"")</f>
        <v/>
      </c>
      <c r="Q2492" s="5">
        <f>IFERROR(__xludf.DUMMYFUNCTION("""COMPUTED_VALUE"""),0.006759423611111111)</f>
        <v>0.006759423611</v>
      </c>
      <c r="R2492" s="4">
        <f>IFERROR(__xludf.DUMMYFUNCTION("""COMPUTED_VALUE"""),45949.0337971134)</f>
        <v>45949.0338</v>
      </c>
      <c r="S2492" s="1" t="b">
        <f>IFERROR(__xludf.DUMMYFUNCTION("""COMPUTED_VALUE"""),TRUE)</f>
        <v>1</v>
      </c>
      <c r="T2492" s="1" t="b">
        <f>IFERROR(__xludf.DUMMYFUNCTION("""COMPUTED_VALUE"""),FALSE)</f>
        <v>0</v>
      </c>
      <c r="U2492" s="1" t="str">
        <f>IFERROR(__xludf.DUMMYFUNCTION("""COMPUTED_VALUE"""),"VALID")</f>
        <v>VALID</v>
      </c>
      <c r="V2492" s="1">
        <f>IFERROR(__xludf.DUMMYFUNCTION("""COMPUTED_VALUE"""),528.0)</f>
        <v>528</v>
      </c>
      <c r="W2492" s="1">
        <f>IFERROR(__xludf.DUMMYFUNCTION("""COMPUTED_VALUE"""),830.0)</f>
        <v>830</v>
      </c>
      <c r="X2492" s="1">
        <f>IFERROR(__xludf.DUMMYFUNCTION("""COMPUTED_VALUE"""),681.0)</f>
        <v>681</v>
      </c>
      <c r="Y2492" s="2"/>
      <c r="Z2492" s="2"/>
    </row>
    <row r="2493">
      <c r="A2493" s="1">
        <f>IFERROR(__xludf.DUMMYFUNCTION("""COMPUTED_VALUE"""),2492.0)</f>
        <v>2492</v>
      </c>
      <c r="B2493" s="1">
        <f>IFERROR(__xludf.DUMMYFUNCTION("""COMPUTED_VALUE"""),6365.0)</f>
        <v>6365</v>
      </c>
      <c r="C2493" s="2" t="str">
        <f>IFERROR(__xludf.DUMMYFUNCTION("""COMPUTED_VALUE"""),"Wahyu W")</f>
        <v>Wahyu W</v>
      </c>
      <c r="D2493" s="2" t="str">
        <f>IFERROR(__xludf.DUMMYFUNCTION("""COMPUTED_VALUE"""),"5KM OVERALL M")</f>
        <v>5KM OVERALL M</v>
      </c>
      <c r="E2493" s="1">
        <f>IFERROR(__xludf.DUMMYFUNCTION("""COMPUTED_VALUE"""),2.0)</f>
        <v>2</v>
      </c>
      <c r="F2493" s="1" t="str">
        <f>IFERROR(__xludf.DUMMYFUNCTION("""COMPUTED_VALUE"""),"Male")</f>
        <v>Male</v>
      </c>
      <c r="G2493" s="4" t="str">
        <f>IFERROR(__xludf.DUMMYFUNCTION("""COMPUTED_VALUE"""),"")</f>
        <v/>
      </c>
      <c r="H2493" s="4" t="b">
        <f>IFERROR(__xludf.DUMMYFUNCTION("""COMPUTED_VALUE"""),FALSE)</f>
        <v>0</v>
      </c>
      <c r="I2493" s="4">
        <f>IFERROR(__xludf.DUMMYFUNCTION("""COMPUTED_VALUE"""),0.2549440625)</f>
        <v>0.2549440625</v>
      </c>
      <c r="J2493" s="4" t="str">
        <f>IFERROR(__xludf.DUMMYFUNCTION("""COMPUTED_VALUE"""),"")</f>
        <v/>
      </c>
      <c r="K2493" s="4" t="str">
        <f>IFERROR(__xludf.DUMMYFUNCTION("""COMPUTED_VALUE"""),"")</f>
        <v/>
      </c>
      <c r="L2493" s="4" t="str">
        <f>IFERROR(__xludf.DUMMYFUNCTION("""COMPUTED_VALUE"""),"")</f>
        <v/>
      </c>
      <c r="M2493" s="1" t="str">
        <f>IFERROR(__xludf.DUMMYFUNCTION("""COMPUTED_VALUE"""),"RFID")</f>
        <v>RFID</v>
      </c>
      <c r="N2493" s="5" t="str">
        <f>IFERROR(__xludf.DUMMYFUNCTION("""COMPUTED_VALUE"""),"")</f>
        <v/>
      </c>
      <c r="O2493" s="5" t="str">
        <f>IFERROR(__xludf.DUMMYFUNCTION("""COMPUTED_VALUE"""),"")</f>
        <v/>
      </c>
      <c r="P2493" s="5" t="str">
        <f>IFERROR(__xludf.DUMMYFUNCTION("""COMPUTED_VALUE"""),"")</f>
        <v/>
      </c>
      <c r="Q2493" s="5" t="str">
        <f>IFERROR(__xludf.DUMMYFUNCTION("""COMPUTED_VALUE"""),"")</f>
        <v/>
      </c>
      <c r="R2493" s="4" t="str">
        <f>IFERROR(__xludf.DUMMYFUNCTION("""COMPUTED_VALUE"""),"")</f>
        <v/>
      </c>
      <c r="S2493" s="1" t="b">
        <f>IFERROR(__xludf.DUMMYFUNCTION("""COMPUTED_VALUE"""),FALSE)</f>
        <v>0</v>
      </c>
      <c r="T2493" s="1" t="b">
        <f>IFERROR(__xludf.DUMMYFUNCTION("""COMPUTED_VALUE"""),FALSE)</f>
        <v>0</v>
      </c>
      <c r="U2493" s="1" t="str">
        <f>IFERROR(__xludf.DUMMYFUNCTION("""COMPUTED_VALUE"""),"DSQ")</f>
        <v>DSQ</v>
      </c>
      <c r="V2493" s="1" t="str">
        <f>IFERROR(__xludf.DUMMYFUNCTION("""COMPUTED_VALUE"""),"DSQ")</f>
        <v>DSQ</v>
      </c>
      <c r="W2493" s="1" t="str">
        <f>IFERROR(__xludf.DUMMYFUNCTION("""COMPUTED_VALUE"""),"DSQ")</f>
        <v>DSQ</v>
      </c>
      <c r="X2493" s="1" t="str">
        <f>IFERROR(__xludf.DUMMYFUNCTION("""COMPUTED_VALUE"""),"DSQ")</f>
        <v>DSQ</v>
      </c>
      <c r="Y2493" s="2"/>
      <c r="Z2493" s="2" t="str">
        <f>IFERROR(__xludf.DUMMYFUNCTION("""COMPUTED_VALUE"""),"")</f>
        <v/>
      </c>
    </row>
    <row r="2494">
      <c r="A2494" s="1">
        <f>IFERROR(__xludf.DUMMYFUNCTION("""COMPUTED_VALUE"""),2493.0)</f>
        <v>2493</v>
      </c>
      <c r="B2494" s="1">
        <f>IFERROR(__xludf.DUMMYFUNCTION("""COMPUTED_VALUE"""),6367.0)</f>
        <v>6367</v>
      </c>
      <c r="C2494" s="2" t="str">
        <f>IFERROR(__xludf.DUMMYFUNCTION("""COMPUTED_VALUE"""),"Boy Mardani")</f>
        <v>Boy Mardani</v>
      </c>
      <c r="D2494" s="2" t="str">
        <f>IFERROR(__xludf.DUMMYFUNCTION("""COMPUTED_VALUE"""),"5KM OVERALL M")</f>
        <v>5KM OVERALL M</v>
      </c>
      <c r="E2494" s="1">
        <f>IFERROR(__xludf.DUMMYFUNCTION("""COMPUTED_VALUE"""),2.0)</f>
        <v>2</v>
      </c>
      <c r="F2494" s="1" t="str">
        <f>IFERROR(__xludf.DUMMYFUNCTION("""COMPUTED_VALUE"""),"Male")</f>
        <v>Male</v>
      </c>
      <c r="G2494" s="4" t="b">
        <f>IFERROR(__xludf.DUMMYFUNCTION("""COMPUTED_VALUE"""),TRUE)</f>
        <v>1</v>
      </c>
      <c r="H2494" s="4" t="b">
        <f>IFERROR(__xludf.DUMMYFUNCTION("""COMPUTED_VALUE"""),TRUE)</f>
        <v>1</v>
      </c>
      <c r="I2494" s="4">
        <f>IFERROR(__xludf.DUMMYFUNCTION("""COMPUTED_VALUE"""),0.2549440625)</f>
        <v>0.2549440625</v>
      </c>
      <c r="J2494" s="4">
        <f>IFERROR(__xludf.DUMMYFUNCTION("""COMPUTED_VALUE"""),45949.27667950739)</f>
        <v>45949.27668</v>
      </c>
      <c r="K2494" s="4" t="str">
        <f>IFERROR(__xludf.DUMMYFUNCTION("""COMPUTED_VALUE"""),"")</f>
        <v/>
      </c>
      <c r="L2494" s="4">
        <f>IFERROR(__xludf.DUMMYFUNCTION("""COMPUTED_VALUE"""),45949.28815783035)</f>
        <v>45949.28816</v>
      </c>
      <c r="M2494" s="1" t="str">
        <f>IFERROR(__xludf.DUMMYFUNCTION("""COMPUTED_VALUE"""),"RFID")</f>
        <v>RFID</v>
      </c>
      <c r="N2494" s="5">
        <f>IFERROR(__xludf.DUMMYFUNCTION("""COMPUTED_VALUE"""),0.008694175925925926)</f>
        <v>0.008694175926</v>
      </c>
      <c r="O2494" s="5" t="str">
        <f>IFERROR(__xludf.DUMMYFUNCTION("""COMPUTED_VALUE"""),"")</f>
        <v/>
      </c>
      <c r="P2494" s="5" t="str">
        <f>IFERROR(__xludf.DUMMYFUNCTION("""COMPUTED_VALUE"""),"")</f>
        <v/>
      </c>
      <c r="Q2494" s="5">
        <f>IFERROR(__xludf.DUMMYFUNCTION("""COMPUTED_VALUE"""),0.0066427546296296295)</f>
        <v>0.00664275463</v>
      </c>
      <c r="R2494" s="4">
        <f>IFERROR(__xludf.DUMMYFUNCTION("""COMPUTED_VALUE"""),45949.03321376785)</f>
        <v>45949.03321</v>
      </c>
      <c r="S2494" s="1" t="b">
        <f>IFERROR(__xludf.DUMMYFUNCTION("""COMPUTED_VALUE"""),TRUE)</f>
        <v>1</v>
      </c>
      <c r="T2494" s="1" t="b">
        <f>IFERROR(__xludf.DUMMYFUNCTION("""COMPUTED_VALUE"""),FALSE)</f>
        <v>0</v>
      </c>
      <c r="U2494" s="1" t="str">
        <f>IFERROR(__xludf.DUMMYFUNCTION("""COMPUTED_VALUE"""),"VALID")</f>
        <v>VALID</v>
      </c>
      <c r="V2494" s="1">
        <f>IFERROR(__xludf.DUMMYFUNCTION("""COMPUTED_VALUE"""),504.0)</f>
        <v>504</v>
      </c>
      <c r="W2494" s="1">
        <f>IFERROR(__xludf.DUMMYFUNCTION("""COMPUTED_VALUE"""),787.0)</f>
        <v>787</v>
      </c>
      <c r="X2494" s="1">
        <f>IFERROR(__xludf.DUMMYFUNCTION("""COMPUTED_VALUE"""),651.0)</f>
        <v>651</v>
      </c>
      <c r="Y2494" s="2"/>
      <c r="Z2494" s="2"/>
    </row>
    <row r="2495">
      <c r="A2495" s="1">
        <f>IFERROR(__xludf.DUMMYFUNCTION("""COMPUTED_VALUE"""),2494.0)</f>
        <v>2494</v>
      </c>
      <c r="B2495" s="1">
        <f>IFERROR(__xludf.DUMMYFUNCTION("""COMPUTED_VALUE"""),6369.0)</f>
        <v>6369</v>
      </c>
      <c r="C2495" s="2" t="str">
        <f>IFERROR(__xludf.DUMMYFUNCTION("""COMPUTED_VALUE"""),"Gt ajie")</f>
        <v>Gt ajie</v>
      </c>
      <c r="D2495" s="2" t="str">
        <f>IFERROR(__xludf.DUMMYFUNCTION("""COMPUTED_VALUE"""),"5KM OVERALL M")</f>
        <v>5KM OVERALL M</v>
      </c>
      <c r="E2495" s="1">
        <f>IFERROR(__xludf.DUMMYFUNCTION("""COMPUTED_VALUE"""),2.0)</f>
        <v>2</v>
      </c>
      <c r="F2495" s="1" t="str">
        <f>IFERROR(__xludf.DUMMYFUNCTION("""COMPUTED_VALUE"""),"Male")</f>
        <v>Male</v>
      </c>
      <c r="G2495" s="4" t="b">
        <f>IFERROR(__xludf.DUMMYFUNCTION("""COMPUTED_VALUE"""),TRUE)</f>
        <v>1</v>
      </c>
      <c r="H2495" s="4" t="b">
        <f>IFERROR(__xludf.DUMMYFUNCTION("""COMPUTED_VALUE"""),TRUE)</f>
        <v>1</v>
      </c>
      <c r="I2495" s="4">
        <f>IFERROR(__xludf.DUMMYFUNCTION("""COMPUTED_VALUE"""),0.2549440625)</f>
        <v>0.2549440625</v>
      </c>
      <c r="J2495" s="4">
        <f>IFERROR(__xludf.DUMMYFUNCTION("""COMPUTED_VALUE"""),45950.272881944446)</f>
        <v>45950.27288</v>
      </c>
      <c r="K2495" s="4" t="str">
        <f>IFERROR(__xludf.DUMMYFUNCTION("""COMPUTED_VALUE"""),"")</f>
        <v/>
      </c>
      <c r="L2495" s="4">
        <f>IFERROR(__xludf.DUMMYFUNCTION("""COMPUTED_VALUE"""),45949.284832298414)</f>
        <v>45949.28483</v>
      </c>
      <c r="M2495" s="1" t="str">
        <f>IFERROR(__xludf.DUMMYFUNCTION("""COMPUTED_VALUE"""),"RFID")</f>
        <v>RFID</v>
      </c>
      <c r="N2495" s="5">
        <f>IFERROR(__xludf.DUMMYFUNCTION("""COMPUTED_VALUE"""),0.0071751527777777786)</f>
        <v>0.007175152778</v>
      </c>
      <c r="O2495" s="5" t="str">
        <f>IFERROR(__xludf.DUMMYFUNCTION("""COMPUTED_VALUE"""),"")</f>
        <v/>
      </c>
      <c r="P2495" s="5" t="str">
        <f>IFERROR(__xludf.DUMMYFUNCTION("""COMPUTED_VALUE"""),"")</f>
        <v/>
      </c>
      <c r="Q2495" s="5">
        <f>IFERROR(__xludf.DUMMYFUNCTION("""COMPUTED_VALUE"""),0.005977648148148149)</f>
        <v>0.005977648148</v>
      </c>
      <c r="R2495" s="4">
        <f>IFERROR(__xludf.DUMMYFUNCTION("""COMPUTED_VALUE"""),45949.02988823591)</f>
        <v>45949.02989</v>
      </c>
      <c r="S2495" s="1" t="b">
        <f>IFERROR(__xludf.DUMMYFUNCTION("""COMPUTED_VALUE"""),TRUE)</f>
        <v>1</v>
      </c>
      <c r="T2495" s="1" t="b">
        <f>IFERROR(__xludf.DUMMYFUNCTION("""COMPUTED_VALUE"""),FALSE)</f>
        <v>0</v>
      </c>
      <c r="U2495" s="1" t="str">
        <f>IFERROR(__xludf.DUMMYFUNCTION("""COMPUTED_VALUE"""),"VALID")</f>
        <v>VALID</v>
      </c>
      <c r="V2495" s="1">
        <f>IFERROR(__xludf.DUMMYFUNCTION("""COMPUTED_VALUE"""),376.0)</f>
        <v>376</v>
      </c>
      <c r="W2495" s="1">
        <f>IFERROR(__xludf.DUMMYFUNCTION("""COMPUTED_VALUE"""),565.0)</f>
        <v>565</v>
      </c>
      <c r="X2495" s="1">
        <f>IFERROR(__xludf.DUMMYFUNCTION("""COMPUTED_VALUE"""),482.0)</f>
        <v>482</v>
      </c>
      <c r="Y2495" s="2"/>
      <c r="Z2495" s="2" t="str">
        <f>IFERROR(__xludf.DUMMYFUNCTION("""COMPUTED_VALUE"""),"C")</f>
        <v>C</v>
      </c>
    </row>
    <row r="2496">
      <c r="A2496" s="1">
        <f>IFERROR(__xludf.DUMMYFUNCTION("""COMPUTED_VALUE"""),2495.0)</f>
        <v>2495</v>
      </c>
      <c r="B2496" s="1">
        <f>IFERROR(__xludf.DUMMYFUNCTION("""COMPUTED_VALUE"""),6371.0)</f>
        <v>6371</v>
      </c>
      <c r="C2496" s="2" t="str">
        <f>IFERROR(__xludf.DUMMYFUNCTION("""COMPUTED_VALUE"""),"Toni")</f>
        <v>Toni</v>
      </c>
      <c r="D2496" s="2" t="str">
        <f>IFERROR(__xludf.DUMMYFUNCTION("""COMPUTED_VALUE"""),"5KM OVERALL M")</f>
        <v>5KM OVERALL M</v>
      </c>
      <c r="E2496" s="1">
        <f>IFERROR(__xludf.DUMMYFUNCTION("""COMPUTED_VALUE"""),2.0)</f>
        <v>2</v>
      </c>
      <c r="F2496" s="1" t="str">
        <f>IFERROR(__xludf.DUMMYFUNCTION("""COMPUTED_VALUE"""),"Male")</f>
        <v>Male</v>
      </c>
      <c r="G2496" s="4" t="b">
        <f>IFERROR(__xludf.DUMMYFUNCTION("""COMPUTED_VALUE"""),TRUE)</f>
        <v>1</v>
      </c>
      <c r="H2496" s="4" t="b">
        <f>IFERROR(__xludf.DUMMYFUNCTION("""COMPUTED_VALUE"""),TRUE)</f>
        <v>1</v>
      </c>
      <c r="I2496" s="4">
        <f>IFERROR(__xludf.DUMMYFUNCTION("""COMPUTED_VALUE"""),0.2549440625)</f>
        <v>0.2549440625</v>
      </c>
      <c r="J2496" s="4">
        <f>IFERROR(__xludf.DUMMYFUNCTION("""COMPUTED_VALUE"""),45949.26618386254)</f>
        <v>45949.26618</v>
      </c>
      <c r="K2496" s="4" t="str">
        <f>IFERROR(__xludf.DUMMYFUNCTION("""COMPUTED_VALUE"""),"")</f>
        <v/>
      </c>
      <c r="L2496" s="4">
        <f>IFERROR(__xludf.DUMMYFUNCTION("""COMPUTED_VALUE"""),45949.279185591964)</f>
        <v>45949.27919</v>
      </c>
      <c r="M2496" s="1" t="str">
        <f>IFERROR(__xludf.DUMMYFUNCTION("""COMPUTED_VALUE"""),"RFID")</f>
        <v>RFID</v>
      </c>
      <c r="N2496" s="5">
        <f>IFERROR(__xludf.DUMMYFUNCTION("""COMPUTED_VALUE"""),0.0044959212962962965)</f>
        <v>0.004495921296</v>
      </c>
      <c r="O2496" s="5" t="str">
        <f>IFERROR(__xludf.DUMMYFUNCTION("""COMPUTED_VALUE"""),"")</f>
        <v/>
      </c>
      <c r="P2496" s="5" t="str">
        <f>IFERROR(__xludf.DUMMYFUNCTION("""COMPUTED_VALUE"""),"")</f>
        <v/>
      </c>
      <c r="Q2496" s="5">
        <f>IFERROR(__xludf.DUMMYFUNCTION("""COMPUTED_VALUE"""),0.004848305555555555)</f>
        <v>0.004848305556</v>
      </c>
      <c r="R2496" s="4">
        <f>IFERROR(__xludf.DUMMYFUNCTION("""COMPUTED_VALUE"""),45949.02424152946)</f>
        <v>45949.02424</v>
      </c>
      <c r="S2496" s="1" t="b">
        <f>IFERROR(__xludf.DUMMYFUNCTION("""COMPUTED_VALUE"""),TRUE)</f>
        <v>1</v>
      </c>
      <c r="T2496" s="1" t="b">
        <f>IFERROR(__xludf.DUMMYFUNCTION("""COMPUTED_VALUE"""),FALSE)</f>
        <v>0</v>
      </c>
      <c r="U2496" s="1" t="str">
        <f>IFERROR(__xludf.DUMMYFUNCTION("""COMPUTED_VALUE"""),"VALID")</f>
        <v>VALID</v>
      </c>
      <c r="V2496" s="1">
        <f>IFERROR(__xludf.DUMMYFUNCTION("""COMPUTED_VALUE"""),166.0)</f>
        <v>166</v>
      </c>
      <c r="W2496" s="1">
        <f>IFERROR(__xludf.DUMMYFUNCTION("""COMPUTED_VALUE"""),255.0)</f>
        <v>255</v>
      </c>
      <c r="X2496" s="1">
        <f>IFERROR(__xludf.DUMMYFUNCTION("""COMPUTED_VALUE"""),224.0)</f>
        <v>224</v>
      </c>
      <c r="Y2496" s="2"/>
      <c r="Z2496" s="2"/>
    </row>
    <row r="2497">
      <c r="A2497" s="1">
        <f>IFERROR(__xludf.DUMMYFUNCTION("""COMPUTED_VALUE"""),2496.0)</f>
        <v>2496</v>
      </c>
      <c r="B2497" s="1">
        <f>IFERROR(__xludf.DUMMYFUNCTION("""COMPUTED_VALUE"""),6373.0)</f>
        <v>6373</v>
      </c>
      <c r="C2497" s="2" t="str">
        <f>IFERROR(__xludf.DUMMYFUNCTION("""COMPUTED_VALUE"""),"Wsl")</f>
        <v>Wsl</v>
      </c>
      <c r="D2497" s="2" t="str">
        <f>IFERROR(__xludf.DUMMYFUNCTION("""COMPUTED_VALUE"""),"5KM OVERALL M")</f>
        <v>5KM OVERALL M</v>
      </c>
      <c r="E2497" s="1">
        <f>IFERROR(__xludf.DUMMYFUNCTION("""COMPUTED_VALUE"""),2.0)</f>
        <v>2</v>
      </c>
      <c r="F2497" s="1" t="str">
        <f>IFERROR(__xludf.DUMMYFUNCTION("""COMPUTED_VALUE"""),"Male")</f>
        <v>Male</v>
      </c>
      <c r="G2497" s="4" t="b">
        <f>IFERROR(__xludf.DUMMYFUNCTION("""COMPUTED_VALUE"""),TRUE)</f>
        <v>1</v>
      </c>
      <c r="H2497" s="4" t="b">
        <f>IFERROR(__xludf.DUMMYFUNCTION("""COMPUTED_VALUE"""),TRUE)</f>
        <v>1</v>
      </c>
      <c r="I2497" s="4">
        <f>IFERROR(__xludf.DUMMYFUNCTION("""COMPUTED_VALUE"""),0.2549440625)</f>
        <v>0.2549440625</v>
      </c>
      <c r="J2497" s="4">
        <f>IFERROR(__xludf.DUMMYFUNCTION("""COMPUTED_VALUE"""),45949.268863495716)</f>
        <v>45949.26886</v>
      </c>
      <c r="K2497" s="4" t="str">
        <f>IFERROR(__xludf.DUMMYFUNCTION("""COMPUTED_VALUE"""),"")</f>
        <v/>
      </c>
      <c r="L2497" s="4">
        <f>IFERROR(__xludf.DUMMYFUNCTION("""COMPUTED_VALUE"""),45949.27803280815)</f>
        <v>45949.27803</v>
      </c>
      <c r="M2497" s="1" t="str">
        <f>IFERROR(__xludf.DUMMYFUNCTION("""COMPUTED_VALUE"""),"RFID")</f>
        <v>RFID</v>
      </c>
      <c r="N2497" s="5">
        <f>IFERROR(__xludf.DUMMYFUNCTION("""COMPUTED_VALUE"""),0.005567773148148147)</f>
        <v>0.005567773148</v>
      </c>
      <c r="O2497" s="5" t="str">
        <f>IFERROR(__xludf.DUMMYFUNCTION("""COMPUTED_VALUE"""),"")</f>
        <v/>
      </c>
      <c r="P2497" s="5" t="str">
        <f>IFERROR(__xludf.DUMMYFUNCTION("""COMPUTED_VALUE"""),"")</f>
        <v/>
      </c>
      <c r="Q2497" s="5">
        <f>IFERROR(__xludf.DUMMYFUNCTION("""COMPUTED_VALUE"""),0.0046177499999999995)</f>
        <v>0.00461775</v>
      </c>
      <c r="R2497" s="4">
        <f>IFERROR(__xludf.DUMMYFUNCTION("""COMPUTED_VALUE"""),45949.02308874565)</f>
        <v>45949.02309</v>
      </c>
      <c r="S2497" s="1" t="b">
        <f>IFERROR(__xludf.DUMMYFUNCTION("""COMPUTED_VALUE"""),TRUE)</f>
        <v>1</v>
      </c>
      <c r="T2497" s="1" t="b">
        <f>IFERROR(__xludf.DUMMYFUNCTION("""COMPUTED_VALUE"""),FALSE)</f>
        <v>0</v>
      </c>
      <c r="U2497" s="1" t="str">
        <f>IFERROR(__xludf.DUMMYFUNCTION("""COMPUTED_VALUE"""),"VALID")</f>
        <v>VALID</v>
      </c>
      <c r="V2497" s="1">
        <f>IFERROR(__xludf.DUMMYFUNCTION("""COMPUTED_VALUE"""),142.0)</f>
        <v>142</v>
      </c>
      <c r="W2497" s="1">
        <f>IFERROR(__xludf.DUMMYFUNCTION("""COMPUTED_VALUE"""),217.0)</f>
        <v>217</v>
      </c>
      <c r="X2497" s="1">
        <f>IFERROR(__xludf.DUMMYFUNCTION("""COMPUTED_VALUE"""),189.0)</f>
        <v>189</v>
      </c>
      <c r="Y2497" s="2"/>
      <c r="Z2497" s="2"/>
    </row>
    <row r="2498">
      <c r="A2498" s="1">
        <f>IFERROR(__xludf.DUMMYFUNCTION("""COMPUTED_VALUE"""),2497.0)</f>
        <v>2497</v>
      </c>
      <c r="B2498" s="1">
        <f>IFERROR(__xludf.DUMMYFUNCTION("""COMPUTED_VALUE"""),6374.0)</f>
        <v>6374</v>
      </c>
      <c r="C2498" s="2" t="str">
        <f>IFERROR(__xludf.DUMMYFUNCTION("""COMPUTED_VALUE"""),"Yumna")</f>
        <v>Yumna</v>
      </c>
      <c r="D2498" s="2" t="str">
        <f>IFERROR(__xludf.DUMMYFUNCTION("""COMPUTED_VALUE"""),"5KM OVERALL M")</f>
        <v>5KM OVERALL M</v>
      </c>
      <c r="E2498" s="1">
        <f>IFERROR(__xludf.DUMMYFUNCTION("""COMPUTED_VALUE"""),2.0)</f>
        <v>2</v>
      </c>
      <c r="F2498" s="1" t="str">
        <f>IFERROR(__xludf.DUMMYFUNCTION("""COMPUTED_VALUE"""),"Male")</f>
        <v>Male</v>
      </c>
      <c r="G2498" s="4" t="str">
        <f>IFERROR(__xludf.DUMMYFUNCTION("""COMPUTED_VALUE"""),"")</f>
        <v/>
      </c>
      <c r="H2498" s="4" t="b">
        <f>IFERROR(__xludf.DUMMYFUNCTION("""COMPUTED_VALUE"""),FALSE)</f>
        <v>0</v>
      </c>
      <c r="I2498" s="4">
        <f>IFERROR(__xludf.DUMMYFUNCTION("""COMPUTED_VALUE"""),0.2549440625)</f>
        <v>0.2549440625</v>
      </c>
      <c r="J2498" s="4" t="str">
        <f>IFERROR(__xludf.DUMMYFUNCTION("""COMPUTED_VALUE"""),"")</f>
        <v/>
      </c>
      <c r="K2498" s="4" t="str">
        <f>IFERROR(__xludf.DUMMYFUNCTION("""COMPUTED_VALUE"""),"")</f>
        <v/>
      </c>
      <c r="L2498" s="4" t="str">
        <f>IFERROR(__xludf.DUMMYFUNCTION("""COMPUTED_VALUE"""),"")</f>
        <v/>
      </c>
      <c r="M2498" s="1" t="str">
        <f>IFERROR(__xludf.DUMMYFUNCTION("""COMPUTED_VALUE"""),"RFID")</f>
        <v>RFID</v>
      </c>
      <c r="N2498" s="5" t="str">
        <f>IFERROR(__xludf.DUMMYFUNCTION("""COMPUTED_VALUE"""),"")</f>
        <v/>
      </c>
      <c r="O2498" s="5" t="str">
        <f>IFERROR(__xludf.DUMMYFUNCTION("""COMPUTED_VALUE"""),"")</f>
        <v/>
      </c>
      <c r="P2498" s="5" t="str">
        <f>IFERROR(__xludf.DUMMYFUNCTION("""COMPUTED_VALUE"""),"")</f>
        <v/>
      </c>
      <c r="Q2498" s="5" t="str">
        <f>IFERROR(__xludf.DUMMYFUNCTION("""COMPUTED_VALUE"""),"")</f>
        <v/>
      </c>
      <c r="R2498" s="4" t="str">
        <f>IFERROR(__xludf.DUMMYFUNCTION("""COMPUTED_VALUE"""),"")</f>
        <v/>
      </c>
      <c r="S2498" s="1" t="b">
        <f>IFERROR(__xludf.DUMMYFUNCTION("""COMPUTED_VALUE"""),FALSE)</f>
        <v>0</v>
      </c>
      <c r="T2498" s="1" t="b">
        <f>IFERROR(__xludf.DUMMYFUNCTION("""COMPUTED_VALUE"""),FALSE)</f>
        <v>0</v>
      </c>
      <c r="U2498" s="1" t="str">
        <f>IFERROR(__xludf.DUMMYFUNCTION("""COMPUTED_VALUE"""),"DSQ")</f>
        <v>DSQ</v>
      </c>
      <c r="V2498" s="1" t="str">
        <f>IFERROR(__xludf.DUMMYFUNCTION("""COMPUTED_VALUE"""),"DSQ")</f>
        <v>DSQ</v>
      </c>
      <c r="W2498" s="1" t="str">
        <f>IFERROR(__xludf.DUMMYFUNCTION("""COMPUTED_VALUE"""),"DSQ")</f>
        <v>DSQ</v>
      </c>
      <c r="X2498" s="1" t="str">
        <f>IFERROR(__xludf.DUMMYFUNCTION("""COMPUTED_VALUE"""),"DSQ")</f>
        <v>DSQ</v>
      </c>
      <c r="Y2498" s="2"/>
      <c r="Z2498" s="2" t="str">
        <f>IFERROR(__xludf.DUMMYFUNCTION("""COMPUTED_VALUE"""),"")</f>
        <v/>
      </c>
    </row>
    <row r="2499">
      <c r="A2499" s="1">
        <f>IFERROR(__xludf.DUMMYFUNCTION("""COMPUTED_VALUE"""),2498.0)</f>
        <v>2498</v>
      </c>
      <c r="B2499" s="1">
        <f>IFERROR(__xludf.DUMMYFUNCTION("""COMPUTED_VALUE"""),6375.0)</f>
        <v>6375</v>
      </c>
      <c r="C2499" s="2" t="str">
        <f>IFERROR(__xludf.DUMMYFUNCTION("""COMPUTED_VALUE"""),"ALDI")</f>
        <v>ALDI</v>
      </c>
      <c r="D2499" s="2" t="str">
        <f>IFERROR(__xludf.DUMMYFUNCTION("""COMPUTED_VALUE"""),"5KM OVERALL M")</f>
        <v>5KM OVERALL M</v>
      </c>
      <c r="E2499" s="1">
        <f>IFERROR(__xludf.DUMMYFUNCTION("""COMPUTED_VALUE"""),2.0)</f>
        <v>2</v>
      </c>
      <c r="F2499" s="1" t="str">
        <f>IFERROR(__xludf.DUMMYFUNCTION("""COMPUTED_VALUE"""),"Male")</f>
        <v>Male</v>
      </c>
      <c r="G2499" s="4" t="b">
        <f>IFERROR(__xludf.DUMMYFUNCTION("""COMPUTED_VALUE"""),TRUE)</f>
        <v>1</v>
      </c>
      <c r="H2499" s="4" t="b">
        <f>IFERROR(__xludf.DUMMYFUNCTION("""COMPUTED_VALUE"""),FALSE)</f>
        <v>0</v>
      </c>
      <c r="I2499" s="4">
        <f>IFERROR(__xludf.DUMMYFUNCTION("""COMPUTED_VALUE"""),0.2549440625)</f>
        <v>0.2549440625</v>
      </c>
      <c r="J2499" s="4">
        <f>IFERROR(__xludf.DUMMYFUNCTION("""COMPUTED_VALUE"""),45949.26993298848)</f>
        <v>45949.26993</v>
      </c>
      <c r="K2499" s="4" t="str">
        <f>IFERROR(__xludf.DUMMYFUNCTION("""COMPUTED_VALUE"""),"")</f>
        <v/>
      </c>
      <c r="L2499" s="4">
        <f>IFERROR(__xludf.DUMMYFUNCTION("""COMPUTED_VALUE"""),45949.28323420284)</f>
        <v>45949.28323</v>
      </c>
      <c r="M2499" s="1" t="str">
        <f>IFERROR(__xludf.DUMMYFUNCTION("""COMPUTED_VALUE"""),"RFID")</f>
        <v>RFID</v>
      </c>
      <c r="N2499" s="5">
        <f>IFERROR(__xludf.DUMMYFUNCTION("""COMPUTED_VALUE"""),0.005995569444444444)</f>
        <v>0.005995569444</v>
      </c>
      <c r="O2499" s="5" t="str">
        <f>IFERROR(__xludf.DUMMYFUNCTION("""COMPUTED_VALUE"""),"")</f>
        <v/>
      </c>
      <c r="P2499" s="5" t="str">
        <f>IFERROR(__xludf.DUMMYFUNCTION("""COMPUTED_VALUE"""),"")</f>
        <v/>
      </c>
      <c r="Q2499" s="5">
        <f>IFERROR(__xludf.DUMMYFUNCTION("""COMPUTED_VALUE"""),0.0056580277777777774)</f>
        <v>0.005658027778</v>
      </c>
      <c r="R2499" s="4">
        <f>IFERROR(__xludf.DUMMYFUNCTION("""COMPUTED_VALUE"""),45949.02829014034)</f>
        <v>45949.02829</v>
      </c>
      <c r="S2499" s="1" t="b">
        <f>IFERROR(__xludf.DUMMYFUNCTION("""COMPUTED_VALUE"""),TRUE)</f>
        <v>1</v>
      </c>
      <c r="T2499" s="1" t="b">
        <f>IFERROR(__xludf.DUMMYFUNCTION("""COMPUTED_VALUE"""),FALSE)</f>
        <v>0</v>
      </c>
      <c r="U2499" s="1" t="str">
        <f>IFERROR(__xludf.DUMMYFUNCTION("""COMPUTED_VALUE"""),"VALID")</f>
        <v>VALID</v>
      </c>
      <c r="V2499" s="1">
        <f>IFERROR(__xludf.DUMMYFUNCTION("""COMPUTED_VALUE"""),299.0)</f>
        <v>299</v>
      </c>
      <c r="W2499" s="1">
        <f>IFERROR(__xludf.DUMMYFUNCTION("""COMPUTED_VALUE"""),449.0)</f>
        <v>449</v>
      </c>
      <c r="X2499" s="1">
        <f>IFERROR(__xludf.DUMMYFUNCTION("""COMPUTED_VALUE"""),388.0)</f>
        <v>388</v>
      </c>
      <c r="Y2499" s="2"/>
      <c r="Z2499" s="2"/>
    </row>
    <row r="2500">
      <c r="A2500" s="1">
        <f>IFERROR(__xludf.DUMMYFUNCTION("""COMPUTED_VALUE"""),2499.0)</f>
        <v>2499</v>
      </c>
      <c r="B2500" s="1">
        <f>IFERROR(__xludf.DUMMYFUNCTION("""COMPUTED_VALUE"""),6376.0)</f>
        <v>6376</v>
      </c>
      <c r="C2500" s="2" t="str">
        <f>IFERROR(__xludf.DUMMYFUNCTION("""COMPUTED_VALUE"""),"Nasher")</f>
        <v>Nasher</v>
      </c>
      <c r="D2500" s="2" t="str">
        <f>IFERROR(__xludf.DUMMYFUNCTION("""COMPUTED_VALUE"""),"5KM OVERALL M")</f>
        <v>5KM OVERALL M</v>
      </c>
      <c r="E2500" s="1">
        <f>IFERROR(__xludf.DUMMYFUNCTION("""COMPUTED_VALUE"""),2.0)</f>
        <v>2</v>
      </c>
      <c r="F2500" s="1" t="str">
        <f>IFERROR(__xludf.DUMMYFUNCTION("""COMPUTED_VALUE"""),"Male")</f>
        <v>Male</v>
      </c>
      <c r="G2500" s="4" t="b">
        <f>IFERROR(__xludf.DUMMYFUNCTION("""COMPUTED_VALUE"""),TRUE)</f>
        <v>1</v>
      </c>
      <c r="H2500" s="4" t="b">
        <f>IFERROR(__xludf.DUMMYFUNCTION("""COMPUTED_VALUE"""),FALSE)</f>
        <v>0</v>
      </c>
      <c r="I2500" s="4">
        <f>IFERROR(__xludf.DUMMYFUNCTION("""COMPUTED_VALUE"""),0.2549440625)</f>
        <v>0.2549440625</v>
      </c>
      <c r="J2500" s="4">
        <f>IFERROR(__xludf.DUMMYFUNCTION("""COMPUTED_VALUE"""),45950.27462962963)</f>
        <v>45950.27463</v>
      </c>
      <c r="K2500" s="4" t="str">
        <f>IFERROR(__xludf.DUMMYFUNCTION("""COMPUTED_VALUE"""),"")</f>
        <v/>
      </c>
      <c r="L2500" s="4">
        <f>IFERROR(__xludf.DUMMYFUNCTION("""COMPUTED_VALUE"""),45949.287758466475)</f>
        <v>45949.28776</v>
      </c>
      <c r="M2500" s="1" t="str">
        <f>IFERROR(__xludf.DUMMYFUNCTION("""COMPUTED_VALUE"""),"RFID")</f>
        <v>RFID</v>
      </c>
      <c r="N2500" s="5">
        <f>IFERROR(__xludf.DUMMYFUNCTION("""COMPUTED_VALUE"""),0.007874226851851853)</f>
        <v>0.007874226852</v>
      </c>
      <c r="O2500" s="5" t="str">
        <f>IFERROR(__xludf.DUMMYFUNCTION("""COMPUTED_VALUE"""),"")</f>
        <v/>
      </c>
      <c r="P2500" s="5" t="str">
        <f>IFERROR(__xludf.DUMMYFUNCTION("""COMPUTED_VALUE"""),"")</f>
        <v/>
      </c>
      <c r="Q2500" s="5">
        <f>IFERROR(__xludf.DUMMYFUNCTION("""COMPUTED_VALUE"""),0.006562881944444444)</f>
        <v>0.006562881944</v>
      </c>
      <c r="R2500" s="4">
        <f>IFERROR(__xludf.DUMMYFUNCTION("""COMPUTED_VALUE"""),45949.032814403974)</f>
        <v>45949.03281</v>
      </c>
      <c r="S2500" s="1" t="b">
        <f>IFERROR(__xludf.DUMMYFUNCTION("""COMPUTED_VALUE"""),TRUE)</f>
        <v>1</v>
      </c>
      <c r="T2500" s="1" t="b">
        <f>IFERROR(__xludf.DUMMYFUNCTION("""COMPUTED_VALUE"""),FALSE)</f>
        <v>0</v>
      </c>
      <c r="U2500" s="1" t="str">
        <f>IFERROR(__xludf.DUMMYFUNCTION("""COMPUTED_VALUE"""),"VALID")</f>
        <v>VALID</v>
      </c>
      <c r="V2500" s="1">
        <f>IFERROR(__xludf.DUMMYFUNCTION("""COMPUTED_VALUE"""),485.0)</f>
        <v>485</v>
      </c>
      <c r="W2500" s="1">
        <f>IFERROR(__xludf.DUMMYFUNCTION("""COMPUTED_VALUE"""),756.0)</f>
        <v>756</v>
      </c>
      <c r="X2500" s="1">
        <f>IFERROR(__xludf.DUMMYFUNCTION("""COMPUTED_VALUE"""),628.0)</f>
        <v>628</v>
      </c>
      <c r="Y2500" s="2"/>
      <c r="Z2500" s="2" t="str">
        <f>IFERROR(__xludf.DUMMYFUNCTION("""COMPUTED_VALUE"""),"C")</f>
        <v>C</v>
      </c>
    </row>
    <row r="2501">
      <c r="A2501" s="1">
        <f>IFERROR(__xludf.DUMMYFUNCTION("""COMPUTED_VALUE"""),2500.0)</f>
        <v>2500</v>
      </c>
      <c r="B2501" s="1">
        <f>IFERROR(__xludf.DUMMYFUNCTION("""COMPUTED_VALUE"""),6378.0)</f>
        <v>6378</v>
      </c>
      <c r="C2501" s="2" t="str">
        <f>IFERROR(__xludf.DUMMYFUNCTION("""COMPUTED_VALUE"""),"DD")</f>
        <v>DD</v>
      </c>
      <c r="D2501" s="2" t="str">
        <f>IFERROR(__xludf.DUMMYFUNCTION("""COMPUTED_VALUE"""),"5KM OVERALL M")</f>
        <v>5KM OVERALL M</v>
      </c>
      <c r="E2501" s="1">
        <f>IFERROR(__xludf.DUMMYFUNCTION("""COMPUTED_VALUE"""),2.0)</f>
        <v>2</v>
      </c>
      <c r="F2501" s="1" t="str">
        <f>IFERROR(__xludf.DUMMYFUNCTION("""COMPUTED_VALUE"""),"Male")</f>
        <v>Male</v>
      </c>
      <c r="G2501" s="4" t="b">
        <f>IFERROR(__xludf.DUMMYFUNCTION("""COMPUTED_VALUE"""),TRUE)</f>
        <v>1</v>
      </c>
      <c r="H2501" s="4" t="b">
        <f>IFERROR(__xludf.DUMMYFUNCTION("""COMPUTED_VALUE"""),FALSE)</f>
        <v>0</v>
      </c>
      <c r="I2501" s="4">
        <f>IFERROR(__xludf.DUMMYFUNCTION("""COMPUTED_VALUE"""),0.2549440625)</f>
        <v>0.2549440625</v>
      </c>
      <c r="J2501" s="4">
        <f>IFERROR(__xludf.DUMMYFUNCTION("""COMPUTED_VALUE"""),45949.2699745995)</f>
        <v>45949.26997</v>
      </c>
      <c r="K2501" s="4" t="str">
        <f>IFERROR(__xludf.DUMMYFUNCTION("""COMPUTED_VALUE"""),"")</f>
        <v/>
      </c>
      <c r="L2501" s="4">
        <f>IFERROR(__xludf.DUMMYFUNCTION("""COMPUTED_VALUE"""),45949.27908839606)</f>
        <v>45949.27909</v>
      </c>
      <c r="M2501" s="1" t="str">
        <f>IFERROR(__xludf.DUMMYFUNCTION("""COMPUTED_VALUE"""),"RFID")</f>
        <v>RFID</v>
      </c>
      <c r="N2501" s="5">
        <f>IFERROR(__xludf.DUMMYFUNCTION("""COMPUTED_VALUE"""),0.006012212962962962)</f>
        <v>0.006012212963</v>
      </c>
      <c r="O2501" s="5" t="str">
        <f>IFERROR(__xludf.DUMMYFUNCTION("""COMPUTED_VALUE"""),"")</f>
        <v/>
      </c>
      <c r="P2501" s="5" t="str">
        <f>IFERROR(__xludf.DUMMYFUNCTION("""COMPUTED_VALUE"""),"")</f>
        <v/>
      </c>
      <c r="Q2501" s="5">
        <f>IFERROR(__xludf.DUMMYFUNCTION("""COMPUTED_VALUE"""),0.004828865740740741)</f>
        <v>0.004828865741</v>
      </c>
      <c r="R2501" s="4">
        <f>IFERROR(__xludf.DUMMYFUNCTION("""COMPUTED_VALUE"""),45949.02414433356)</f>
        <v>45949.02414</v>
      </c>
      <c r="S2501" s="1" t="b">
        <f>IFERROR(__xludf.DUMMYFUNCTION("""COMPUTED_VALUE"""),TRUE)</f>
        <v>1</v>
      </c>
      <c r="T2501" s="1" t="b">
        <f>IFERROR(__xludf.DUMMYFUNCTION("""COMPUTED_VALUE"""),FALSE)</f>
        <v>0</v>
      </c>
      <c r="U2501" s="1" t="str">
        <f>IFERROR(__xludf.DUMMYFUNCTION("""COMPUTED_VALUE"""),"VALID")</f>
        <v>VALID</v>
      </c>
      <c r="V2501" s="1">
        <f>IFERROR(__xludf.DUMMYFUNCTION("""COMPUTED_VALUE"""),164.0)</f>
        <v>164</v>
      </c>
      <c r="W2501" s="1">
        <f>IFERROR(__xludf.DUMMYFUNCTION("""COMPUTED_VALUE"""),252.0)</f>
        <v>252</v>
      </c>
      <c r="X2501" s="1">
        <f>IFERROR(__xludf.DUMMYFUNCTION("""COMPUTED_VALUE"""),222.0)</f>
        <v>222</v>
      </c>
      <c r="Y2501" s="2"/>
      <c r="Z2501" s="2"/>
    </row>
    <row r="2502">
      <c r="A2502" s="1">
        <f>IFERROR(__xludf.DUMMYFUNCTION("""COMPUTED_VALUE"""),2501.0)</f>
        <v>2501</v>
      </c>
      <c r="B2502" s="1">
        <f>IFERROR(__xludf.DUMMYFUNCTION("""COMPUTED_VALUE"""),6382.0)</f>
        <v>6382</v>
      </c>
      <c r="C2502" s="2" t="str">
        <f>IFERROR(__xludf.DUMMYFUNCTION("""COMPUTED_VALUE"""),"REYNALDI HAKIM")</f>
        <v>REYNALDI HAKIM</v>
      </c>
      <c r="D2502" s="2" t="str">
        <f>IFERROR(__xludf.DUMMYFUNCTION("""COMPUTED_VALUE"""),"5KM OVERALL M")</f>
        <v>5KM OVERALL M</v>
      </c>
      <c r="E2502" s="1">
        <f>IFERROR(__xludf.DUMMYFUNCTION("""COMPUTED_VALUE"""),2.0)</f>
        <v>2</v>
      </c>
      <c r="F2502" s="1" t="str">
        <f>IFERROR(__xludf.DUMMYFUNCTION("""COMPUTED_VALUE"""),"Male")</f>
        <v>Male</v>
      </c>
      <c r="G2502" s="4" t="b">
        <f>IFERROR(__xludf.DUMMYFUNCTION("""COMPUTED_VALUE"""),TRUE)</f>
        <v>1</v>
      </c>
      <c r="H2502" s="4" t="b">
        <f>IFERROR(__xludf.DUMMYFUNCTION("""COMPUTED_VALUE"""),FALSE)</f>
        <v>0</v>
      </c>
      <c r="I2502" s="4">
        <f>IFERROR(__xludf.DUMMYFUNCTION("""COMPUTED_VALUE"""),0.2549440625)</f>
        <v>0.2549440625</v>
      </c>
      <c r="J2502" s="4">
        <f>IFERROR(__xludf.DUMMYFUNCTION("""COMPUTED_VALUE"""),45949.27271766883)</f>
        <v>45949.27272</v>
      </c>
      <c r="K2502" s="4" t="str">
        <f>IFERROR(__xludf.DUMMYFUNCTION("""COMPUTED_VALUE"""),"")</f>
        <v/>
      </c>
      <c r="L2502" s="4">
        <f>IFERROR(__xludf.DUMMYFUNCTION("""COMPUTED_VALUE"""),45949.28720643799)</f>
        <v>45949.28721</v>
      </c>
      <c r="M2502" s="1" t="str">
        <f>IFERROR(__xludf.DUMMYFUNCTION("""COMPUTED_VALUE"""),"RFID")</f>
        <v>RFID</v>
      </c>
      <c r="N2502" s="5">
        <f>IFERROR(__xludf.DUMMYFUNCTION("""COMPUTED_VALUE"""),0.007109444444444444)</f>
        <v>0.007109444444</v>
      </c>
      <c r="O2502" s="5" t="str">
        <f>IFERROR(__xludf.DUMMYFUNCTION("""COMPUTED_VALUE"""),"")</f>
        <v/>
      </c>
      <c r="P2502" s="5" t="str">
        <f>IFERROR(__xludf.DUMMYFUNCTION("""COMPUTED_VALUE"""),"")</f>
        <v/>
      </c>
      <c r="Q2502" s="5">
        <f>IFERROR(__xludf.DUMMYFUNCTION("""COMPUTED_VALUE"""),0.006452474537037037)</f>
        <v>0.006452474537</v>
      </c>
      <c r="R2502" s="4">
        <f>IFERROR(__xludf.DUMMYFUNCTION("""COMPUTED_VALUE"""),45949.03226237549)</f>
        <v>45949.03226</v>
      </c>
      <c r="S2502" s="1" t="b">
        <f>IFERROR(__xludf.DUMMYFUNCTION("""COMPUTED_VALUE"""),TRUE)</f>
        <v>1</v>
      </c>
      <c r="T2502" s="1" t="b">
        <f>IFERROR(__xludf.DUMMYFUNCTION("""COMPUTED_VALUE"""),FALSE)</f>
        <v>0</v>
      </c>
      <c r="U2502" s="1" t="str">
        <f>IFERROR(__xludf.DUMMYFUNCTION("""COMPUTED_VALUE"""),"VALID")</f>
        <v>VALID</v>
      </c>
      <c r="V2502" s="1">
        <f>IFERROR(__xludf.DUMMYFUNCTION("""COMPUTED_VALUE"""),468.0)</f>
        <v>468</v>
      </c>
      <c r="W2502" s="1">
        <f>IFERROR(__xludf.DUMMYFUNCTION("""COMPUTED_VALUE"""),721.0)</f>
        <v>721</v>
      </c>
      <c r="X2502" s="1">
        <f>IFERROR(__xludf.DUMMYFUNCTION("""COMPUTED_VALUE"""),607.0)</f>
        <v>607</v>
      </c>
      <c r="Y2502" s="2"/>
      <c r="Z2502" s="2"/>
    </row>
    <row r="2503">
      <c r="A2503" s="1">
        <f>IFERROR(__xludf.DUMMYFUNCTION("""COMPUTED_VALUE"""),2502.0)</f>
        <v>2502</v>
      </c>
      <c r="B2503" s="1">
        <f>IFERROR(__xludf.DUMMYFUNCTION("""COMPUTED_VALUE"""),6383.0)</f>
        <v>6383</v>
      </c>
      <c r="C2503" s="2" t="str">
        <f>IFERROR(__xludf.DUMMYFUNCTION("""COMPUTED_VALUE"""),"Indra harianto")</f>
        <v>Indra harianto</v>
      </c>
      <c r="D2503" s="2" t="str">
        <f>IFERROR(__xludf.DUMMYFUNCTION("""COMPUTED_VALUE"""),"5KM OVERALL M")</f>
        <v>5KM OVERALL M</v>
      </c>
      <c r="E2503" s="1">
        <f>IFERROR(__xludf.DUMMYFUNCTION("""COMPUTED_VALUE"""),2.0)</f>
        <v>2</v>
      </c>
      <c r="F2503" s="1" t="str">
        <f>IFERROR(__xludf.DUMMYFUNCTION("""COMPUTED_VALUE"""),"Male")</f>
        <v>Male</v>
      </c>
      <c r="G2503" s="4" t="b">
        <f>IFERROR(__xludf.DUMMYFUNCTION("""COMPUTED_VALUE"""),TRUE)</f>
        <v>1</v>
      </c>
      <c r="H2503" s="4" t="b">
        <f>IFERROR(__xludf.DUMMYFUNCTION("""COMPUTED_VALUE"""),TRUE)</f>
        <v>1</v>
      </c>
      <c r="I2503" s="4">
        <f>IFERROR(__xludf.DUMMYFUNCTION("""COMPUTED_VALUE"""),0.2549440625)</f>
        <v>0.2549440625</v>
      </c>
      <c r="J2503" s="4">
        <f>IFERROR(__xludf.DUMMYFUNCTION("""COMPUTED_VALUE"""),45949.27310661366)</f>
        <v>45949.27311</v>
      </c>
      <c r="K2503" s="4" t="str">
        <f>IFERROR(__xludf.DUMMYFUNCTION("""COMPUTED_VALUE"""),"")</f>
        <v/>
      </c>
      <c r="L2503" s="4">
        <f>IFERROR(__xludf.DUMMYFUNCTION("""COMPUTED_VALUE"""),45949.286390477086)</f>
        <v>45949.28639</v>
      </c>
      <c r="M2503" s="1" t="str">
        <f>IFERROR(__xludf.DUMMYFUNCTION("""COMPUTED_VALUE"""),"RFID")</f>
        <v>RFID</v>
      </c>
      <c r="N2503" s="5">
        <f>IFERROR(__xludf.DUMMYFUNCTION("""COMPUTED_VALUE"""),0.007265018518518518)</f>
        <v>0.007265018519</v>
      </c>
      <c r="O2503" s="5" t="str">
        <f>IFERROR(__xludf.DUMMYFUNCTION("""COMPUTED_VALUE"""),"")</f>
        <v/>
      </c>
      <c r="P2503" s="5" t="str">
        <f>IFERROR(__xludf.DUMMYFUNCTION("""COMPUTED_VALUE"""),"")</f>
        <v/>
      </c>
      <c r="Q2503" s="5">
        <f>IFERROR(__xludf.DUMMYFUNCTION("""COMPUTED_VALUE"""),0.006289282407407407)</f>
        <v>0.006289282407</v>
      </c>
      <c r="R2503" s="4">
        <f>IFERROR(__xludf.DUMMYFUNCTION("""COMPUTED_VALUE"""),45949.031446414585)</f>
        <v>45949.03145</v>
      </c>
      <c r="S2503" s="1" t="b">
        <f>IFERROR(__xludf.DUMMYFUNCTION("""COMPUTED_VALUE"""),TRUE)</f>
        <v>1</v>
      </c>
      <c r="T2503" s="1" t="b">
        <f>IFERROR(__xludf.DUMMYFUNCTION("""COMPUTED_VALUE"""),FALSE)</f>
        <v>0</v>
      </c>
      <c r="U2503" s="1" t="str">
        <f>IFERROR(__xludf.DUMMYFUNCTION("""COMPUTED_VALUE"""),"VALID")</f>
        <v>VALID</v>
      </c>
      <c r="V2503" s="1">
        <f>IFERROR(__xludf.DUMMYFUNCTION("""COMPUTED_VALUE"""),428.0)</f>
        <v>428</v>
      </c>
      <c r="W2503" s="1">
        <f>IFERROR(__xludf.DUMMYFUNCTION("""COMPUTED_VALUE"""),658.0)</f>
        <v>658</v>
      </c>
      <c r="X2503" s="1">
        <f>IFERROR(__xludf.DUMMYFUNCTION("""COMPUTED_VALUE"""),549.0)</f>
        <v>549</v>
      </c>
      <c r="Y2503" s="2"/>
      <c r="Z2503" s="2"/>
    </row>
    <row r="2504">
      <c r="A2504" s="1">
        <f>IFERROR(__xludf.DUMMYFUNCTION("""COMPUTED_VALUE"""),2503.0)</f>
        <v>2503</v>
      </c>
      <c r="B2504" s="1">
        <f>IFERROR(__xludf.DUMMYFUNCTION("""COMPUTED_VALUE"""),6385.0)</f>
        <v>6385</v>
      </c>
      <c r="C2504" s="2" t="str">
        <f>IFERROR(__xludf.DUMMYFUNCTION("""COMPUTED_VALUE"""),"ADIB")</f>
        <v>ADIB</v>
      </c>
      <c r="D2504" s="2" t="str">
        <f>IFERROR(__xludf.DUMMYFUNCTION("""COMPUTED_VALUE"""),"5KM OVERALL M")</f>
        <v>5KM OVERALL M</v>
      </c>
      <c r="E2504" s="1">
        <f>IFERROR(__xludf.DUMMYFUNCTION("""COMPUTED_VALUE"""),2.0)</f>
        <v>2</v>
      </c>
      <c r="F2504" s="1" t="str">
        <f>IFERROR(__xludf.DUMMYFUNCTION("""COMPUTED_VALUE"""),"Male")</f>
        <v>Male</v>
      </c>
      <c r="G2504" s="4" t="b">
        <f>IFERROR(__xludf.DUMMYFUNCTION("""COMPUTED_VALUE"""),TRUE)</f>
        <v>1</v>
      </c>
      <c r="H2504" s="4" t="b">
        <f>IFERROR(__xludf.DUMMYFUNCTION("""COMPUTED_VALUE"""),TRUE)</f>
        <v>1</v>
      </c>
      <c r="I2504" s="4">
        <f>IFERROR(__xludf.DUMMYFUNCTION("""COMPUTED_VALUE"""),0.2549440625)</f>
        <v>0.2549440625</v>
      </c>
      <c r="J2504" s="4">
        <f>IFERROR(__xludf.DUMMYFUNCTION("""COMPUTED_VALUE"""),45949.275682953084)</f>
        <v>45949.27568</v>
      </c>
      <c r="K2504" s="4" t="str">
        <f>IFERROR(__xludf.DUMMYFUNCTION("""COMPUTED_VALUE"""),"")</f>
        <v/>
      </c>
      <c r="L2504" s="4">
        <f>IFERROR(__xludf.DUMMYFUNCTION("""COMPUTED_VALUE"""),45949.28758486205)</f>
        <v>45949.28758</v>
      </c>
      <c r="M2504" s="1" t="str">
        <f>IFERROR(__xludf.DUMMYFUNCTION("""COMPUTED_VALUE"""),"RFID")</f>
        <v>RFID</v>
      </c>
      <c r="N2504" s="5">
        <f>IFERROR(__xludf.DUMMYFUNCTION("""COMPUTED_VALUE"""),0.008295555555555554)</f>
        <v>0.008295555556</v>
      </c>
      <c r="O2504" s="5" t="str">
        <f>IFERROR(__xludf.DUMMYFUNCTION("""COMPUTED_VALUE"""),"")</f>
        <v/>
      </c>
      <c r="P2504" s="5" t="str">
        <f>IFERROR(__xludf.DUMMYFUNCTION("""COMPUTED_VALUE"""),"")</f>
        <v/>
      </c>
      <c r="Q2504" s="5">
        <f>IFERROR(__xludf.DUMMYFUNCTION("""COMPUTED_VALUE"""),0.0065281597222222225)</f>
        <v>0.006528159722</v>
      </c>
      <c r="R2504" s="4">
        <f>IFERROR(__xludf.DUMMYFUNCTION("""COMPUTED_VALUE"""),45949.03264079955)</f>
        <v>45949.03264</v>
      </c>
      <c r="S2504" s="1" t="b">
        <f>IFERROR(__xludf.DUMMYFUNCTION("""COMPUTED_VALUE"""),TRUE)</f>
        <v>1</v>
      </c>
      <c r="T2504" s="1" t="b">
        <f>IFERROR(__xludf.DUMMYFUNCTION("""COMPUTED_VALUE"""),FALSE)</f>
        <v>0</v>
      </c>
      <c r="U2504" s="1" t="str">
        <f>IFERROR(__xludf.DUMMYFUNCTION("""COMPUTED_VALUE"""),"VALID")</f>
        <v>VALID</v>
      </c>
      <c r="V2504" s="1">
        <f>IFERROR(__xludf.DUMMYFUNCTION("""COMPUTED_VALUE"""),477.0)</f>
        <v>477</v>
      </c>
      <c r="W2504" s="1">
        <f>IFERROR(__xludf.DUMMYFUNCTION("""COMPUTED_VALUE"""),742.0)</f>
        <v>742</v>
      </c>
      <c r="X2504" s="1">
        <f>IFERROR(__xludf.DUMMYFUNCTION("""COMPUTED_VALUE"""),617.0)</f>
        <v>617</v>
      </c>
      <c r="Y2504" s="2"/>
      <c r="Z2504" s="2"/>
    </row>
    <row r="2505">
      <c r="A2505" s="1">
        <f>IFERROR(__xludf.DUMMYFUNCTION("""COMPUTED_VALUE"""),2504.0)</f>
        <v>2504</v>
      </c>
      <c r="B2505" s="1">
        <f>IFERROR(__xludf.DUMMYFUNCTION("""COMPUTED_VALUE"""),6387.0)</f>
        <v>6387</v>
      </c>
      <c r="C2505" s="2" t="str">
        <f>IFERROR(__xludf.DUMMYFUNCTION("""COMPUTED_VALUE"""),"muhammad sandi")</f>
        <v>muhammad sandi</v>
      </c>
      <c r="D2505" s="2" t="str">
        <f>IFERROR(__xludf.DUMMYFUNCTION("""COMPUTED_VALUE"""),"5KM OVERALL M")</f>
        <v>5KM OVERALL M</v>
      </c>
      <c r="E2505" s="1">
        <f>IFERROR(__xludf.DUMMYFUNCTION("""COMPUTED_VALUE"""),2.0)</f>
        <v>2</v>
      </c>
      <c r="F2505" s="1" t="str">
        <f>IFERROR(__xludf.DUMMYFUNCTION("""COMPUTED_VALUE"""),"Male")</f>
        <v>Male</v>
      </c>
      <c r="G2505" s="4" t="b">
        <f>IFERROR(__xludf.DUMMYFUNCTION("""COMPUTED_VALUE"""),TRUE)</f>
        <v>1</v>
      </c>
      <c r="H2505" s="4" t="b">
        <f>IFERROR(__xludf.DUMMYFUNCTION("""COMPUTED_VALUE"""),FALSE)</f>
        <v>0</v>
      </c>
      <c r="I2505" s="4">
        <f>IFERROR(__xludf.DUMMYFUNCTION("""COMPUTED_VALUE"""),0.2549440625)</f>
        <v>0.2549440625</v>
      </c>
      <c r="J2505" s="4">
        <f>IFERROR(__xludf.DUMMYFUNCTION("""COMPUTED_VALUE"""),45949.26933577793)</f>
        <v>45949.26934</v>
      </c>
      <c r="K2505" s="4" t="str">
        <f>IFERROR(__xludf.DUMMYFUNCTION("""COMPUTED_VALUE"""),"")</f>
        <v/>
      </c>
      <c r="L2505" s="4">
        <f>IFERROR(__xludf.DUMMYFUNCTION("""COMPUTED_VALUE"""),45949.279949480406)</f>
        <v>45949.27995</v>
      </c>
      <c r="M2505" s="1" t="str">
        <f>IFERROR(__xludf.DUMMYFUNCTION("""COMPUTED_VALUE"""),"RFID")</f>
        <v>RFID</v>
      </c>
      <c r="N2505" s="5">
        <f>IFERROR(__xludf.DUMMYFUNCTION("""COMPUTED_VALUE"""),0.005756685185185185)</f>
        <v>0.005756685185</v>
      </c>
      <c r="O2505" s="5" t="str">
        <f>IFERROR(__xludf.DUMMYFUNCTION("""COMPUTED_VALUE"""),"")</f>
        <v/>
      </c>
      <c r="P2505" s="5" t="str">
        <f>IFERROR(__xludf.DUMMYFUNCTION("""COMPUTED_VALUE"""),"")</f>
        <v/>
      </c>
      <c r="Q2505" s="5">
        <f>IFERROR(__xludf.DUMMYFUNCTION("""COMPUTED_VALUE"""),0.005001083333333333)</f>
        <v>0.005001083333</v>
      </c>
      <c r="R2505" s="4">
        <f>IFERROR(__xludf.DUMMYFUNCTION("""COMPUTED_VALUE"""),45949.025005417905)</f>
        <v>45949.02501</v>
      </c>
      <c r="S2505" s="1" t="b">
        <f>IFERROR(__xludf.DUMMYFUNCTION("""COMPUTED_VALUE"""),TRUE)</f>
        <v>1</v>
      </c>
      <c r="T2505" s="1" t="b">
        <f>IFERROR(__xludf.DUMMYFUNCTION("""COMPUTED_VALUE"""),FALSE)</f>
        <v>0</v>
      </c>
      <c r="U2505" s="1" t="str">
        <f>IFERROR(__xludf.DUMMYFUNCTION("""COMPUTED_VALUE"""),"VALID")</f>
        <v>VALID</v>
      </c>
      <c r="V2505" s="1">
        <f>IFERROR(__xludf.DUMMYFUNCTION("""COMPUTED_VALUE"""),187.0)</f>
        <v>187</v>
      </c>
      <c r="W2505" s="1">
        <f>IFERROR(__xludf.DUMMYFUNCTION("""COMPUTED_VALUE"""),287.0)</f>
        <v>287</v>
      </c>
      <c r="X2505" s="1">
        <f>IFERROR(__xludf.DUMMYFUNCTION("""COMPUTED_VALUE"""),250.0)</f>
        <v>250</v>
      </c>
      <c r="Y2505" s="2"/>
      <c r="Z2505" s="2"/>
    </row>
    <row r="2506">
      <c r="A2506" s="1">
        <f>IFERROR(__xludf.DUMMYFUNCTION("""COMPUTED_VALUE"""),2505.0)</f>
        <v>2505</v>
      </c>
      <c r="B2506" s="1">
        <f>IFERROR(__xludf.DUMMYFUNCTION("""COMPUTED_VALUE"""),6388.0)</f>
        <v>6388</v>
      </c>
      <c r="C2506" s="2" t="str">
        <f>IFERROR(__xludf.DUMMYFUNCTION("""COMPUTED_VALUE"""),"Satria D")</f>
        <v>Satria D</v>
      </c>
      <c r="D2506" s="2" t="str">
        <f>IFERROR(__xludf.DUMMYFUNCTION("""COMPUTED_VALUE"""),"5KM OVERALL M")</f>
        <v>5KM OVERALL M</v>
      </c>
      <c r="E2506" s="1">
        <f>IFERROR(__xludf.DUMMYFUNCTION("""COMPUTED_VALUE"""),2.0)</f>
        <v>2</v>
      </c>
      <c r="F2506" s="1" t="str">
        <f>IFERROR(__xludf.DUMMYFUNCTION("""COMPUTED_VALUE"""),"Male")</f>
        <v>Male</v>
      </c>
      <c r="G2506" s="4" t="b">
        <f>IFERROR(__xludf.DUMMYFUNCTION("""COMPUTED_VALUE"""),TRUE)</f>
        <v>1</v>
      </c>
      <c r="H2506" s="4" t="b">
        <f>IFERROR(__xludf.DUMMYFUNCTION("""COMPUTED_VALUE"""),TRUE)</f>
        <v>1</v>
      </c>
      <c r="I2506" s="4">
        <f>IFERROR(__xludf.DUMMYFUNCTION("""COMPUTED_VALUE"""),0.2549440625)</f>
        <v>0.2549440625</v>
      </c>
      <c r="J2506" s="4">
        <f>IFERROR(__xludf.DUMMYFUNCTION("""COMPUTED_VALUE"""),45949.26868993418)</f>
        <v>45949.26869</v>
      </c>
      <c r="K2506" s="4" t="str">
        <f>IFERROR(__xludf.DUMMYFUNCTION("""COMPUTED_VALUE"""),"")</f>
        <v/>
      </c>
      <c r="L2506" s="4">
        <f>IFERROR(__xludf.DUMMYFUNCTION("""COMPUTED_VALUE"""),45949.27839741025)</f>
        <v>45949.2784</v>
      </c>
      <c r="M2506" s="1" t="str">
        <f>IFERROR(__xludf.DUMMYFUNCTION("""COMPUTED_VALUE"""),"RFID")</f>
        <v>RFID</v>
      </c>
      <c r="N2506" s="5">
        <f>IFERROR(__xludf.DUMMYFUNCTION("""COMPUTED_VALUE"""),0.005498347222222222)</f>
        <v>0.005498347222</v>
      </c>
      <c r="O2506" s="5" t="str">
        <f>IFERROR(__xludf.DUMMYFUNCTION("""COMPUTED_VALUE"""),"")</f>
        <v/>
      </c>
      <c r="P2506" s="5" t="str">
        <f>IFERROR(__xludf.DUMMYFUNCTION("""COMPUTED_VALUE"""),"")</f>
        <v/>
      </c>
      <c r="Q2506" s="5">
        <f>IFERROR(__xludf.DUMMYFUNCTION("""COMPUTED_VALUE"""),0.004690668981481481)</f>
        <v>0.004690668981</v>
      </c>
      <c r="R2506" s="4">
        <f>IFERROR(__xludf.DUMMYFUNCTION("""COMPUTED_VALUE"""),45949.02345334775)</f>
        <v>45949.02345</v>
      </c>
      <c r="S2506" s="1" t="b">
        <f>IFERROR(__xludf.DUMMYFUNCTION("""COMPUTED_VALUE"""),TRUE)</f>
        <v>1</v>
      </c>
      <c r="T2506" s="1" t="b">
        <f>IFERROR(__xludf.DUMMYFUNCTION("""COMPUTED_VALUE"""),FALSE)</f>
        <v>0</v>
      </c>
      <c r="U2506" s="1" t="str">
        <f>IFERROR(__xludf.DUMMYFUNCTION("""COMPUTED_VALUE"""),"VALID")</f>
        <v>VALID</v>
      </c>
      <c r="V2506" s="1">
        <f>IFERROR(__xludf.DUMMYFUNCTION("""COMPUTED_VALUE"""),152.0)</f>
        <v>152</v>
      </c>
      <c r="W2506" s="1">
        <f>IFERROR(__xludf.DUMMYFUNCTION("""COMPUTED_VALUE"""),230.0)</f>
        <v>230</v>
      </c>
      <c r="X2506" s="1">
        <f>IFERROR(__xludf.DUMMYFUNCTION("""COMPUTED_VALUE"""),201.0)</f>
        <v>201</v>
      </c>
      <c r="Y2506" s="2"/>
      <c r="Z2506" s="2"/>
    </row>
    <row r="2507">
      <c r="A2507" s="1">
        <f>IFERROR(__xludf.DUMMYFUNCTION("""COMPUTED_VALUE"""),2506.0)</f>
        <v>2506</v>
      </c>
      <c r="B2507" s="1">
        <f>IFERROR(__xludf.DUMMYFUNCTION("""COMPUTED_VALUE"""),6389.0)</f>
        <v>6389</v>
      </c>
      <c r="C2507" s="2" t="str">
        <f>IFERROR(__xludf.DUMMYFUNCTION("""COMPUTED_VALUE"""),"catuy")</f>
        <v>catuy</v>
      </c>
      <c r="D2507" s="2" t="str">
        <f>IFERROR(__xludf.DUMMYFUNCTION("""COMPUTED_VALUE"""),"5KM OVERALL M")</f>
        <v>5KM OVERALL M</v>
      </c>
      <c r="E2507" s="1">
        <f>IFERROR(__xludf.DUMMYFUNCTION("""COMPUTED_VALUE"""),2.0)</f>
        <v>2</v>
      </c>
      <c r="F2507" s="1" t="str">
        <f>IFERROR(__xludf.DUMMYFUNCTION("""COMPUTED_VALUE"""),"Male")</f>
        <v>Male</v>
      </c>
      <c r="G2507" s="4" t="b">
        <f>IFERROR(__xludf.DUMMYFUNCTION("""COMPUTED_VALUE"""),TRUE)</f>
        <v>1</v>
      </c>
      <c r="H2507" s="4" t="b">
        <f>IFERROR(__xludf.DUMMYFUNCTION("""COMPUTED_VALUE"""),TRUE)</f>
        <v>1</v>
      </c>
      <c r="I2507" s="4">
        <f>IFERROR(__xludf.DUMMYFUNCTION("""COMPUTED_VALUE"""),0.2549440625)</f>
        <v>0.2549440625</v>
      </c>
      <c r="J2507" s="4">
        <f>IFERROR(__xludf.DUMMYFUNCTION("""COMPUTED_VALUE"""),45949.271519806)</f>
        <v>45949.27152</v>
      </c>
      <c r="K2507" s="4" t="str">
        <f>IFERROR(__xludf.DUMMYFUNCTION("""COMPUTED_VALUE"""),"")</f>
        <v/>
      </c>
      <c r="L2507" s="4">
        <f>IFERROR(__xludf.DUMMYFUNCTION("""COMPUTED_VALUE"""),45949.283855747024)</f>
        <v>45949.28386</v>
      </c>
      <c r="M2507" s="1" t="str">
        <f>IFERROR(__xludf.DUMMYFUNCTION("""COMPUTED_VALUE"""),"RFID")</f>
        <v>RFID</v>
      </c>
      <c r="N2507" s="5">
        <f>IFERROR(__xludf.DUMMYFUNCTION("""COMPUTED_VALUE"""),0.0066302962962962965)</f>
        <v>0.006630296296</v>
      </c>
      <c r="O2507" s="5" t="str">
        <f>IFERROR(__xludf.DUMMYFUNCTION("""COMPUTED_VALUE"""),"")</f>
        <v/>
      </c>
      <c r="P2507" s="5" t="str">
        <f>IFERROR(__xludf.DUMMYFUNCTION("""COMPUTED_VALUE"""),"")</f>
        <v/>
      </c>
      <c r="Q2507" s="5">
        <f>IFERROR(__xludf.DUMMYFUNCTION("""COMPUTED_VALUE"""),0.005782337962962963)</f>
        <v>0.005782337963</v>
      </c>
      <c r="R2507" s="4">
        <f>IFERROR(__xludf.DUMMYFUNCTION("""COMPUTED_VALUE"""),45949.02891168452)</f>
        <v>45949.02891</v>
      </c>
      <c r="S2507" s="1" t="b">
        <f>IFERROR(__xludf.DUMMYFUNCTION("""COMPUTED_VALUE"""),TRUE)</f>
        <v>1</v>
      </c>
      <c r="T2507" s="1" t="b">
        <f>IFERROR(__xludf.DUMMYFUNCTION("""COMPUTED_VALUE"""),FALSE)</f>
        <v>0</v>
      </c>
      <c r="U2507" s="1" t="str">
        <f>IFERROR(__xludf.DUMMYFUNCTION("""COMPUTED_VALUE"""),"VALID")</f>
        <v>VALID</v>
      </c>
      <c r="V2507" s="1">
        <f>IFERROR(__xludf.DUMMYFUNCTION("""COMPUTED_VALUE"""),328.0)</f>
        <v>328</v>
      </c>
      <c r="W2507" s="1">
        <f>IFERROR(__xludf.DUMMYFUNCTION("""COMPUTED_VALUE"""),490.0)</f>
        <v>490</v>
      </c>
      <c r="X2507" s="1">
        <f>IFERROR(__xludf.DUMMYFUNCTION("""COMPUTED_VALUE"""),426.0)</f>
        <v>426</v>
      </c>
      <c r="Y2507" s="2"/>
      <c r="Z2507" s="2"/>
    </row>
    <row r="2508">
      <c r="A2508" s="1">
        <f>IFERROR(__xludf.DUMMYFUNCTION("""COMPUTED_VALUE"""),2507.0)</f>
        <v>2507</v>
      </c>
      <c r="B2508" s="1">
        <f>IFERROR(__xludf.DUMMYFUNCTION("""COMPUTED_VALUE"""),6391.0)</f>
        <v>6391</v>
      </c>
      <c r="C2508" s="2" t="str">
        <f>IFERROR(__xludf.DUMMYFUNCTION("""COMPUTED_VALUE"""),"Rizqy Iskandar")</f>
        <v>Rizqy Iskandar</v>
      </c>
      <c r="D2508" s="2" t="str">
        <f>IFERROR(__xludf.DUMMYFUNCTION("""COMPUTED_VALUE"""),"5KM OVERALL M")</f>
        <v>5KM OVERALL M</v>
      </c>
      <c r="E2508" s="1">
        <f>IFERROR(__xludf.DUMMYFUNCTION("""COMPUTED_VALUE"""),2.0)</f>
        <v>2</v>
      </c>
      <c r="F2508" s="1" t="str">
        <f>IFERROR(__xludf.DUMMYFUNCTION("""COMPUTED_VALUE"""),"Male")</f>
        <v>Male</v>
      </c>
      <c r="G2508" s="4" t="b">
        <f>IFERROR(__xludf.DUMMYFUNCTION("""COMPUTED_VALUE"""),TRUE)</f>
        <v>1</v>
      </c>
      <c r="H2508" s="4" t="b">
        <f>IFERROR(__xludf.DUMMYFUNCTION("""COMPUTED_VALUE"""),TRUE)</f>
        <v>1</v>
      </c>
      <c r="I2508" s="4">
        <f>IFERROR(__xludf.DUMMYFUNCTION("""COMPUTED_VALUE"""),0.2549440625)</f>
        <v>0.2549440625</v>
      </c>
      <c r="J2508" s="4">
        <f>IFERROR(__xludf.DUMMYFUNCTION("""COMPUTED_VALUE"""),45949.26933576648)</f>
        <v>45949.26934</v>
      </c>
      <c r="K2508" s="4" t="str">
        <f>IFERROR(__xludf.DUMMYFUNCTION("""COMPUTED_VALUE"""),"")</f>
        <v/>
      </c>
      <c r="L2508" s="4">
        <f>IFERROR(__xludf.DUMMYFUNCTION("""COMPUTED_VALUE"""),45949.28008836443)</f>
        <v>45949.28009</v>
      </c>
      <c r="M2508" s="1" t="str">
        <f>IFERROR(__xludf.DUMMYFUNCTION("""COMPUTED_VALUE"""),"RFID")</f>
        <v>RFID</v>
      </c>
      <c r="N2508" s="5">
        <f>IFERROR(__xludf.DUMMYFUNCTION("""COMPUTED_VALUE"""),0.005756680555555555)</f>
        <v>0.005756680556</v>
      </c>
      <c r="O2508" s="5" t="str">
        <f>IFERROR(__xludf.DUMMYFUNCTION("""COMPUTED_VALUE"""),"")</f>
        <v/>
      </c>
      <c r="P2508" s="5" t="str">
        <f>IFERROR(__xludf.DUMMYFUNCTION("""COMPUTED_VALUE"""),"")</f>
        <v/>
      </c>
      <c r="Q2508" s="5">
        <f>IFERROR(__xludf.DUMMYFUNCTION("""COMPUTED_VALUE"""),0.005028861111111111)</f>
        <v>0.005028861111</v>
      </c>
      <c r="R2508" s="4">
        <f>IFERROR(__xludf.DUMMYFUNCTION("""COMPUTED_VALUE"""),45949.02514430193)</f>
        <v>45949.02514</v>
      </c>
      <c r="S2508" s="1" t="b">
        <f>IFERROR(__xludf.DUMMYFUNCTION("""COMPUTED_VALUE"""),TRUE)</f>
        <v>1</v>
      </c>
      <c r="T2508" s="1" t="b">
        <f>IFERROR(__xludf.DUMMYFUNCTION("""COMPUTED_VALUE"""),FALSE)</f>
        <v>0</v>
      </c>
      <c r="U2508" s="1" t="str">
        <f>IFERROR(__xludf.DUMMYFUNCTION("""COMPUTED_VALUE"""),"VALID")</f>
        <v>VALID</v>
      </c>
      <c r="V2508" s="1">
        <f>IFERROR(__xludf.DUMMYFUNCTION("""COMPUTED_VALUE"""),191.0)</f>
        <v>191</v>
      </c>
      <c r="W2508" s="1">
        <f>IFERROR(__xludf.DUMMYFUNCTION("""COMPUTED_VALUE"""),293.0)</f>
        <v>293</v>
      </c>
      <c r="X2508" s="1">
        <f>IFERROR(__xludf.DUMMYFUNCTION("""COMPUTED_VALUE"""),255.0)</f>
        <v>255</v>
      </c>
      <c r="Y2508" s="2"/>
      <c r="Z2508" s="2"/>
    </row>
    <row r="2509">
      <c r="A2509" s="1">
        <f>IFERROR(__xludf.DUMMYFUNCTION("""COMPUTED_VALUE"""),2508.0)</f>
        <v>2508</v>
      </c>
      <c r="B2509" s="1">
        <f>IFERROR(__xludf.DUMMYFUNCTION("""COMPUTED_VALUE"""),6392.0)</f>
        <v>6392</v>
      </c>
      <c r="C2509" s="2" t="str">
        <f>IFERROR(__xludf.DUMMYFUNCTION("""COMPUTED_VALUE"""),"MzF")</f>
        <v>MzF</v>
      </c>
      <c r="D2509" s="2" t="str">
        <f>IFERROR(__xludf.DUMMYFUNCTION("""COMPUTED_VALUE"""),"5KM OVERALL M")</f>
        <v>5KM OVERALL M</v>
      </c>
      <c r="E2509" s="1">
        <f>IFERROR(__xludf.DUMMYFUNCTION("""COMPUTED_VALUE"""),2.0)</f>
        <v>2</v>
      </c>
      <c r="F2509" s="1" t="str">
        <f>IFERROR(__xludf.DUMMYFUNCTION("""COMPUTED_VALUE"""),"Male")</f>
        <v>Male</v>
      </c>
      <c r="G2509" s="4" t="b">
        <f>IFERROR(__xludf.DUMMYFUNCTION("""COMPUTED_VALUE"""),TRUE)</f>
        <v>1</v>
      </c>
      <c r="H2509" s="4" t="b">
        <f>IFERROR(__xludf.DUMMYFUNCTION("""COMPUTED_VALUE"""),TRUE)</f>
        <v>1</v>
      </c>
      <c r="I2509" s="4">
        <f>IFERROR(__xludf.DUMMYFUNCTION("""COMPUTED_VALUE"""),0.2549440625)</f>
        <v>0.2549440625</v>
      </c>
      <c r="J2509" s="4">
        <f>IFERROR(__xludf.DUMMYFUNCTION("""COMPUTED_VALUE"""),45949.26793642965)</f>
        <v>45949.26794</v>
      </c>
      <c r="K2509" s="4" t="str">
        <f>IFERROR(__xludf.DUMMYFUNCTION("""COMPUTED_VALUE"""),"")</f>
        <v/>
      </c>
      <c r="L2509" s="4">
        <f>IFERROR(__xludf.DUMMYFUNCTION("""COMPUTED_VALUE"""),45949.27869600412)</f>
        <v>45949.2787</v>
      </c>
      <c r="M2509" s="1" t="str">
        <f>IFERROR(__xludf.DUMMYFUNCTION("""COMPUTED_VALUE"""),"RFID")</f>
        <v>RFID</v>
      </c>
      <c r="N2509" s="5">
        <f>IFERROR(__xludf.DUMMYFUNCTION("""COMPUTED_VALUE"""),0.005196949074074074)</f>
        <v>0.005196949074</v>
      </c>
      <c r="O2509" s="5" t="str">
        <f>IFERROR(__xludf.DUMMYFUNCTION("""COMPUTED_VALUE"""),"")</f>
        <v/>
      </c>
      <c r="P2509" s="5" t="str">
        <f>IFERROR(__xludf.DUMMYFUNCTION("""COMPUTED_VALUE"""),"")</f>
        <v/>
      </c>
      <c r="Q2509" s="5">
        <f>IFERROR(__xludf.DUMMYFUNCTION("""COMPUTED_VALUE"""),0.004750388888888889)</f>
        <v>0.004750388889</v>
      </c>
      <c r="R2509" s="4">
        <f>IFERROR(__xludf.DUMMYFUNCTION("""COMPUTED_VALUE"""),45949.02375194162)</f>
        <v>45949.02375</v>
      </c>
      <c r="S2509" s="1" t="b">
        <f>IFERROR(__xludf.DUMMYFUNCTION("""COMPUTED_VALUE"""),TRUE)</f>
        <v>1</v>
      </c>
      <c r="T2509" s="1" t="b">
        <f>IFERROR(__xludf.DUMMYFUNCTION("""COMPUTED_VALUE"""),FALSE)</f>
        <v>0</v>
      </c>
      <c r="U2509" s="1" t="str">
        <f>IFERROR(__xludf.DUMMYFUNCTION("""COMPUTED_VALUE"""),"VALID")</f>
        <v>VALID</v>
      </c>
      <c r="V2509" s="1">
        <f>IFERROR(__xludf.DUMMYFUNCTION("""COMPUTED_VALUE"""),159.0)</f>
        <v>159</v>
      </c>
      <c r="W2509" s="1">
        <f>IFERROR(__xludf.DUMMYFUNCTION("""COMPUTED_VALUE"""),242.0)</f>
        <v>242</v>
      </c>
      <c r="X2509" s="1">
        <f>IFERROR(__xludf.DUMMYFUNCTION("""COMPUTED_VALUE"""),212.0)</f>
        <v>212</v>
      </c>
      <c r="Y2509" s="2"/>
      <c r="Z2509" s="2"/>
    </row>
    <row r="2510">
      <c r="A2510" s="1">
        <f>IFERROR(__xludf.DUMMYFUNCTION("""COMPUTED_VALUE"""),2509.0)</f>
        <v>2509</v>
      </c>
      <c r="B2510" s="1">
        <f>IFERROR(__xludf.DUMMYFUNCTION("""COMPUTED_VALUE"""),6393.0)</f>
        <v>6393</v>
      </c>
      <c r="C2510" s="2" t="str">
        <f>IFERROR(__xludf.DUMMYFUNCTION("""COMPUTED_VALUE"""),"Rifqi Mubarok")</f>
        <v>Rifqi Mubarok</v>
      </c>
      <c r="D2510" s="2" t="str">
        <f>IFERROR(__xludf.DUMMYFUNCTION("""COMPUTED_VALUE"""),"5KM OVERALL M")</f>
        <v>5KM OVERALL M</v>
      </c>
      <c r="E2510" s="1">
        <f>IFERROR(__xludf.DUMMYFUNCTION("""COMPUTED_VALUE"""),2.0)</f>
        <v>2</v>
      </c>
      <c r="F2510" s="1" t="str">
        <f>IFERROR(__xludf.DUMMYFUNCTION("""COMPUTED_VALUE"""),"Male")</f>
        <v>Male</v>
      </c>
      <c r="G2510" s="4" t="b">
        <f>IFERROR(__xludf.DUMMYFUNCTION("""COMPUTED_VALUE"""),TRUE)</f>
        <v>1</v>
      </c>
      <c r="H2510" s="4" t="b">
        <f>IFERROR(__xludf.DUMMYFUNCTION("""COMPUTED_VALUE"""),TRUE)</f>
        <v>1</v>
      </c>
      <c r="I2510" s="4">
        <f>IFERROR(__xludf.DUMMYFUNCTION("""COMPUTED_VALUE"""),0.2549440625)</f>
        <v>0.2549440625</v>
      </c>
      <c r="J2510" s="4">
        <f>IFERROR(__xludf.DUMMYFUNCTION("""COMPUTED_VALUE"""),45949.27538782573)</f>
        <v>45949.27539</v>
      </c>
      <c r="K2510" s="4" t="str">
        <f>IFERROR(__xludf.DUMMYFUNCTION("""COMPUTED_VALUE"""),"")</f>
        <v/>
      </c>
      <c r="L2510" s="4">
        <f>IFERROR(__xludf.DUMMYFUNCTION("""COMPUTED_VALUE"""),45949.28975158123)</f>
        <v>45949.28975</v>
      </c>
      <c r="M2510" s="1" t="str">
        <f>IFERROR(__xludf.DUMMYFUNCTION("""COMPUTED_VALUE"""),"RFID")</f>
        <v>RFID</v>
      </c>
      <c r="N2510" s="5">
        <f>IFERROR(__xludf.DUMMYFUNCTION("""COMPUTED_VALUE"""),0.00817750462962963)</f>
        <v>0.00817750463</v>
      </c>
      <c r="O2510" s="5" t="str">
        <f>IFERROR(__xludf.DUMMYFUNCTION("""COMPUTED_VALUE"""),"")</f>
        <v/>
      </c>
      <c r="P2510" s="5" t="str">
        <f>IFERROR(__xludf.DUMMYFUNCTION("""COMPUTED_VALUE"""),"")</f>
        <v/>
      </c>
      <c r="Q2510" s="5">
        <f>IFERROR(__xludf.DUMMYFUNCTION("""COMPUTED_VALUE"""),0.006961504629629629)</f>
        <v>0.00696150463</v>
      </c>
      <c r="R2510" s="4">
        <f>IFERROR(__xludf.DUMMYFUNCTION("""COMPUTED_VALUE"""),45949.03480751873)</f>
        <v>45949.03481</v>
      </c>
      <c r="S2510" s="1" t="b">
        <f>IFERROR(__xludf.DUMMYFUNCTION("""COMPUTED_VALUE"""),TRUE)</f>
        <v>1</v>
      </c>
      <c r="T2510" s="1" t="b">
        <f>IFERROR(__xludf.DUMMYFUNCTION("""COMPUTED_VALUE"""),FALSE)</f>
        <v>0</v>
      </c>
      <c r="U2510" s="1" t="str">
        <f>IFERROR(__xludf.DUMMYFUNCTION("""COMPUTED_VALUE"""),"VALID")</f>
        <v>VALID</v>
      </c>
      <c r="V2510" s="1">
        <f>IFERROR(__xludf.DUMMYFUNCTION("""COMPUTED_VALUE"""),552.0)</f>
        <v>552</v>
      </c>
      <c r="W2510" s="1">
        <f>IFERROR(__xludf.DUMMYFUNCTION("""COMPUTED_VALUE"""),877.0)</f>
        <v>877</v>
      </c>
      <c r="X2510" s="1">
        <f>IFERROR(__xludf.DUMMYFUNCTION("""COMPUTED_VALUE"""),713.0)</f>
        <v>713</v>
      </c>
      <c r="Y2510" s="2"/>
      <c r="Z2510" s="2"/>
    </row>
    <row r="2511">
      <c r="A2511" s="1">
        <f>IFERROR(__xludf.DUMMYFUNCTION("""COMPUTED_VALUE"""),2510.0)</f>
        <v>2510</v>
      </c>
      <c r="B2511" s="1">
        <f>IFERROR(__xludf.DUMMYFUNCTION("""COMPUTED_VALUE"""),6394.0)</f>
        <v>6394</v>
      </c>
      <c r="C2511" s="2" t="str">
        <f>IFERROR(__xludf.DUMMYFUNCTION("""COMPUTED_VALUE"""),"akbarr")</f>
        <v>akbarr</v>
      </c>
      <c r="D2511" s="2" t="str">
        <f>IFERROR(__xludf.DUMMYFUNCTION("""COMPUTED_VALUE"""),"5KM OVERALL M")</f>
        <v>5KM OVERALL M</v>
      </c>
      <c r="E2511" s="1">
        <f>IFERROR(__xludf.DUMMYFUNCTION("""COMPUTED_VALUE"""),2.0)</f>
        <v>2</v>
      </c>
      <c r="F2511" s="1" t="str">
        <f>IFERROR(__xludf.DUMMYFUNCTION("""COMPUTED_VALUE"""),"Male")</f>
        <v>Male</v>
      </c>
      <c r="G2511" s="4" t="b">
        <f>IFERROR(__xludf.DUMMYFUNCTION("""COMPUTED_VALUE"""),TRUE)</f>
        <v>1</v>
      </c>
      <c r="H2511" s="4" t="b">
        <f>IFERROR(__xludf.DUMMYFUNCTION("""COMPUTED_VALUE"""),FALSE)</f>
        <v>0</v>
      </c>
      <c r="I2511" s="4">
        <f>IFERROR(__xludf.DUMMYFUNCTION("""COMPUTED_VALUE"""),0.2549440625)</f>
        <v>0.2549440625</v>
      </c>
      <c r="J2511" s="4">
        <f>IFERROR(__xludf.DUMMYFUNCTION("""COMPUTED_VALUE"""),45949.26713094616)</f>
        <v>45949.26713</v>
      </c>
      <c r="K2511" s="4" t="str">
        <f>IFERROR(__xludf.DUMMYFUNCTION("""COMPUTED_VALUE"""),"")</f>
        <v/>
      </c>
      <c r="L2511" s="4">
        <f>IFERROR(__xludf.DUMMYFUNCTION("""COMPUTED_VALUE"""),45949.278147393066)</f>
        <v>45949.27815</v>
      </c>
      <c r="M2511" s="1" t="str">
        <f>IFERROR(__xludf.DUMMYFUNCTION("""COMPUTED_VALUE"""),"RFID")</f>
        <v>RFID</v>
      </c>
      <c r="N2511" s="5">
        <f>IFERROR(__xludf.DUMMYFUNCTION("""COMPUTED_VALUE"""),0.00487475462962963)</f>
        <v>0.00487475463</v>
      </c>
      <c r="O2511" s="5" t="str">
        <f>IFERROR(__xludf.DUMMYFUNCTION("""COMPUTED_VALUE"""),"")</f>
        <v/>
      </c>
      <c r="P2511" s="5" t="str">
        <f>IFERROR(__xludf.DUMMYFUNCTION("""COMPUTED_VALUE"""),"")</f>
        <v/>
      </c>
      <c r="Q2511" s="5">
        <f>IFERROR(__xludf.DUMMYFUNCTION("""COMPUTED_VALUE"""),0.004640666666666666)</f>
        <v>0.004640666667</v>
      </c>
      <c r="R2511" s="4">
        <f>IFERROR(__xludf.DUMMYFUNCTION("""COMPUTED_VALUE"""),45949.023203330566)</f>
        <v>45949.0232</v>
      </c>
      <c r="S2511" s="1" t="b">
        <f>IFERROR(__xludf.DUMMYFUNCTION("""COMPUTED_VALUE"""),TRUE)</f>
        <v>1</v>
      </c>
      <c r="T2511" s="1" t="b">
        <f>IFERROR(__xludf.DUMMYFUNCTION("""COMPUTED_VALUE"""),FALSE)</f>
        <v>0</v>
      </c>
      <c r="U2511" s="1" t="str">
        <f>IFERROR(__xludf.DUMMYFUNCTION("""COMPUTED_VALUE"""),"VALID")</f>
        <v>VALID</v>
      </c>
      <c r="V2511" s="1">
        <f>IFERROR(__xludf.DUMMYFUNCTION("""COMPUTED_VALUE"""),147.0)</f>
        <v>147</v>
      </c>
      <c r="W2511" s="1">
        <f>IFERROR(__xludf.DUMMYFUNCTION("""COMPUTED_VALUE"""),223.0)</f>
        <v>223</v>
      </c>
      <c r="X2511" s="1">
        <f>IFERROR(__xludf.DUMMYFUNCTION("""COMPUTED_VALUE"""),195.0)</f>
        <v>195</v>
      </c>
      <c r="Y2511" s="2"/>
      <c r="Z2511" s="2"/>
    </row>
    <row r="2512">
      <c r="A2512" s="1">
        <f>IFERROR(__xludf.DUMMYFUNCTION("""COMPUTED_VALUE"""),2511.0)</f>
        <v>2511</v>
      </c>
      <c r="B2512" s="1">
        <f>IFERROR(__xludf.DUMMYFUNCTION("""COMPUTED_VALUE"""),6400.0)</f>
        <v>6400</v>
      </c>
      <c r="C2512" s="2" t="str">
        <f>IFERROR(__xludf.DUMMYFUNCTION("""COMPUTED_VALUE"""),"I KADEK PASEK PURNAMA")</f>
        <v>I KADEK PASEK PURNAMA</v>
      </c>
      <c r="D2512" s="2" t="str">
        <f>IFERROR(__xludf.DUMMYFUNCTION("""COMPUTED_VALUE"""),"5KM OVERALL M")</f>
        <v>5KM OVERALL M</v>
      </c>
      <c r="E2512" s="1">
        <f>IFERROR(__xludf.DUMMYFUNCTION("""COMPUTED_VALUE"""),2.0)</f>
        <v>2</v>
      </c>
      <c r="F2512" s="1" t="str">
        <f>IFERROR(__xludf.DUMMYFUNCTION("""COMPUTED_VALUE"""),"Male")</f>
        <v>Male</v>
      </c>
      <c r="G2512" s="4" t="b">
        <f>IFERROR(__xludf.DUMMYFUNCTION("""COMPUTED_VALUE"""),TRUE)</f>
        <v>1</v>
      </c>
      <c r="H2512" s="4" t="b">
        <f>IFERROR(__xludf.DUMMYFUNCTION("""COMPUTED_VALUE"""),FALSE)</f>
        <v>0</v>
      </c>
      <c r="I2512" s="4">
        <f>IFERROR(__xludf.DUMMYFUNCTION("""COMPUTED_VALUE"""),0.2549440625)</f>
        <v>0.2549440625</v>
      </c>
      <c r="J2512" s="4">
        <f>IFERROR(__xludf.DUMMYFUNCTION("""COMPUTED_VALUE"""),45949.2692419661)</f>
        <v>45949.26924</v>
      </c>
      <c r="K2512" s="4" t="str">
        <f>IFERROR(__xludf.DUMMYFUNCTION("""COMPUTED_VALUE"""),"")</f>
        <v/>
      </c>
      <c r="L2512" s="4">
        <f>IFERROR(__xludf.DUMMYFUNCTION("""COMPUTED_VALUE"""),45949.28047725218)</f>
        <v>45949.28048</v>
      </c>
      <c r="M2512" s="1" t="str">
        <f>IFERROR(__xludf.DUMMYFUNCTION("""COMPUTED_VALUE"""),"RFID")</f>
        <v>RFID</v>
      </c>
      <c r="N2512" s="5">
        <f>IFERROR(__xludf.DUMMYFUNCTION("""COMPUTED_VALUE"""),0.0057191620370370365)</f>
        <v>0.005719162037</v>
      </c>
      <c r="O2512" s="5" t="str">
        <f>IFERROR(__xludf.DUMMYFUNCTION("""COMPUTED_VALUE"""),"")</f>
        <v/>
      </c>
      <c r="P2512" s="5" t="str">
        <f>IFERROR(__xludf.DUMMYFUNCTION("""COMPUTED_VALUE"""),"")</f>
        <v/>
      </c>
      <c r="Q2512" s="5">
        <f>IFERROR(__xludf.DUMMYFUNCTION("""COMPUTED_VALUE"""),0.005106638888888889)</f>
        <v>0.005106638889</v>
      </c>
      <c r="R2512" s="4">
        <f>IFERROR(__xludf.DUMMYFUNCTION("""COMPUTED_VALUE"""),45949.02553318968)</f>
        <v>45949.02553</v>
      </c>
      <c r="S2512" s="1" t="b">
        <f>IFERROR(__xludf.DUMMYFUNCTION("""COMPUTED_VALUE"""),TRUE)</f>
        <v>1</v>
      </c>
      <c r="T2512" s="1" t="b">
        <f>IFERROR(__xludf.DUMMYFUNCTION("""COMPUTED_VALUE"""),FALSE)</f>
        <v>0</v>
      </c>
      <c r="U2512" s="1" t="str">
        <f>IFERROR(__xludf.DUMMYFUNCTION("""COMPUTED_VALUE"""),"VALID")</f>
        <v>VALID</v>
      </c>
      <c r="V2512" s="1">
        <f>IFERROR(__xludf.DUMMYFUNCTION("""COMPUTED_VALUE"""),204.0)</f>
        <v>204</v>
      </c>
      <c r="W2512" s="1">
        <f>IFERROR(__xludf.DUMMYFUNCTION("""COMPUTED_VALUE"""),317.0)</f>
        <v>317</v>
      </c>
      <c r="X2512" s="1">
        <f>IFERROR(__xludf.DUMMYFUNCTION("""COMPUTED_VALUE"""),278.0)</f>
        <v>278</v>
      </c>
      <c r="Y2512" s="2"/>
      <c r="Z2512" s="2"/>
    </row>
    <row r="2513">
      <c r="A2513" s="1">
        <f>IFERROR(__xludf.DUMMYFUNCTION("""COMPUTED_VALUE"""),2512.0)</f>
        <v>2512</v>
      </c>
      <c r="B2513" s="1">
        <f>IFERROR(__xludf.DUMMYFUNCTION("""COMPUTED_VALUE"""),6402.0)</f>
        <v>6402</v>
      </c>
      <c r="C2513" s="2" t="str">
        <f>IFERROR(__xludf.DUMMYFUNCTION("""COMPUTED_VALUE"""),"Arief M")</f>
        <v>Arief M</v>
      </c>
      <c r="D2513" s="2" t="str">
        <f>IFERROR(__xludf.DUMMYFUNCTION("""COMPUTED_VALUE"""),"5KM OVERALL M")</f>
        <v>5KM OVERALL M</v>
      </c>
      <c r="E2513" s="1">
        <f>IFERROR(__xludf.DUMMYFUNCTION("""COMPUTED_VALUE"""),2.0)</f>
        <v>2</v>
      </c>
      <c r="F2513" s="1" t="str">
        <f>IFERROR(__xludf.DUMMYFUNCTION("""COMPUTED_VALUE"""),"Male")</f>
        <v>Male</v>
      </c>
      <c r="G2513" s="4" t="str">
        <f>IFERROR(__xludf.DUMMYFUNCTION("""COMPUTED_VALUE"""),"")</f>
        <v/>
      </c>
      <c r="H2513" s="4" t="b">
        <f>IFERROR(__xludf.DUMMYFUNCTION("""COMPUTED_VALUE"""),FALSE)</f>
        <v>0</v>
      </c>
      <c r="I2513" s="4">
        <f>IFERROR(__xludf.DUMMYFUNCTION("""COMPUTED_VALUE"""),0.2549440625)</f>
        <v>0.2549440625</v>
      </c>
      <c r="J2513" s="4" t="str">
        <f>IFERROR(__xludf.DUMMYFUNCTION("""COMPUTED_VALUE"""),"")</f>
        <v/>
      </c>
      <c r="K2513" s="4" t="str">
        <f>IFERROR(__xludf.DUMMYFUNCTION("""COMPUTED_VALUE"""),"")</f>
        <v/>
      </c>
      <c r="L2513" s="4" t="str">
        <f>IFERROR(__xludf.DUMMYFUNCTION("""COMPUTED_VALUE"""),"")</f>
        <v/>
      </c>
      <c r="M2513" s="1" t="str">
        <f>IFERROR(__xludf.DUMMYFUNCTION("""COMPUTED_VALUE"""),"RFID")</f>
        <v>RFID</v>
      </c>
      <c r="N2513" s="5" t="str">
        <f>IFERROR(__xludf.DUMMYFUNCTION("""COMPUTED_VALUE"""),"")</f>
        <v/>
      </c>
      <c r="O2513" s="5" t="str">
        <f>IFERROR(__xludf.DUMMYFUNCTION("""COMPUTED_VALUE"""),"")</f>
        <v/>
      </c>
      <c r="P2513" s="5" t="str">
        <f>IFERROR(__xludf.DUMMYFUNCTION("""COMPUTED_VALUE"""),"")</f>
        <v/>
      </c>
      <c r="Q2513" s="5" t="str">
        <f>IFERROR(__xludf.DUMMYFUNCTION("""COMPUTED_VALUE"""),"")</f>
        <v/>
      </c>
      <c r="R2513" s="4" t="str">
        <f>IFERROR(__xludf.DUMMYFUNCTION("""COMPUTED_VALUE"""),"")</f>
        <v/>
      </c>
      <c r="S2513" s="1" t="b">
        <f>IFERROR(__xludf.DUMMYFUNCTION("""COMPUTED_VALUE"""),FALSE)</f>
        <v>0</v>
      </c>
      <c r="T2513" s="1" t="b">
        <f>IFERROR(__xludf.DUMMYFUNCTION("""COMPUTED_VALUE"""),FALSE)</f>
        <v>0</v>
      </c>
      <c r="U2513" s="1" t="str">
        <f>IFERROR(__xludf.DUMMYFUNCTION("""COMPUTED_VALUE"""),"DSQ")</f>
        <v>DSQ</v>
      </c>
      <c r="V2513" s="1" t="str">
        <f>IFERROR(__xludf.DUMMYFUNCTION("""COMPUTED_VALUE"""),"DSQ")</f>
        <v>DSQ</v>
      </c>
      <c r="W2513" s="1" t="str">
        <f>IFERROR(__xludf.DUMMYFUNCTION("""COMPUTED_VALUE"""),"DSQ")</f>
        <v>DSQ</v>
      </c>
      <c r="X2513" s="1" t="str">
        <f>IFERROR(__xludf.DUMMYFUNCTION("""COMPUTED_VALUE"""),"DSQ")</f>
        <v>DSQ</v>
      </c>
      <c r="Y2513" s="2"/>
      <c r="Z2513" s="2" t="str">
        <f>IFERROR(__xludf.DUMMYFUNCTION("""COMPUTED_VALUE"""),"")</f>
        <v/>
      </c>
    </row>
    <row r="2514">
      <c r="A2514" s="1">
        <f>IFERROR(__xludf.DUMMYFUNCTION("""COMPUTED_VALUE"""),2513.0)</f>
        <v>2513</v>
      </c>
      <c r="B2514" s="1">
        <f>IFERROR(__xludf.DUMMYFUNCTION("""COMPUTED_VALUE"""),6403.0)</f>
        <v>6403</v>
      </c>
      <c r="C2514" s="2" t="str">
        <f>IFERROR(__xludf.DUMMYFUNCTION("""COMPUTED_VALUE"""),"Hery")</f>
        <v>Hery</v>
      </c>
      <c r="D2514" s="2" t="str">
        <f>IFERROR(__xludf.DUMMYFUNCTION("""COMPUTED_VALUE"""),"5KM OVERALL M")</f>
        <v>5KM OVERALL M</v>
      </c>
      <c r="E2514" s="1">
        <f>IFERROR(__xludf.DUMMYFUNCTION("""COMPUTED_VALUE"""),2.0)</f>
        <v>2</v>
      </c>
      <c r="F2514" s="1" t="str">
        <f>IFERROR(__xludf.DUMMYFUNCTION("""COMPUTED_VALUE"""),"Male")</f>
        <v>Male</v>
      </c>
      <c r="G2514" s="4" t="b">
        <f>IFERROR(__xludf.DUMMYFUNCTION("""COMPUTED_VALUE"""),TRUE)</f>
        <v>1</v>
      </c>
      <c r="H2514" s="4" t="b">
        <f>IFERROR(__xludf.DUMMYFUNCTION("""COMPUTED_VALUE"""),TRUE)</f>
        <v>1</v>
      </c>
      <c r="I2514" s="4">
        <f>IFERROR(__xludf.DUMMYFUNCTION("""COMPUTED_VALUE"""),0.2549440625)</f>
        <v>0.2549440625</v>
      </c>
      <c r="J2514" s="4">
        <f>IFERROR(__xludf.DUMMYFUNCTION("""COMPUTED_VALUE"""),45949.27539822717)</f>
        <v>45949.2754</v>
      </c>
      <c r="K2514" s="4" t="str">
        <f>IFERROR(__xludf.DUMMYFUNCTION("""COMPUTED_VALUE"""),"")</f>
        <v/>
      </c>
      <c r="L2514" s="4">
        <f>IFERROR(__xludf.DUMMYFUNCTION("""COMPUTED_VALUE"""),45949.289547279564)</f>
        <v>45949.28955</v>
      </c>
      <c r="M2514" s="1" t="str">
        <f>IFERROR(__xludf.DUMMYFUNCTION("""COMPUTED_VALUE"""),"RFID")</f>
        <v>RFID</v>
      </c>
      <c r="N2514" s="5">
        <f>IFERROR(__xludf.DUMMYFUNCTION("""COMPUTED_VALUE"""),0.008181666666666667)</f>
        <v>0.008181666667</v>
      </c>
      <c r="O2514" s="5" t="str">
        <f>IFERROR(__xludf.DUMMYFUNCTION("""COMPUTED_VALUE"""),"")</f>
        <v/>
      </c>
      <c r="P2514" s="5" t="str">
        <f>IFERROR(__xludf.DUMMYFUNCTION("""COMPUTED_VALUE"""),"")</f>
        <v/>
      </c>
      <c r="Q2514" s="5">
        <f>IFERROR(__xludf.DUMMYFUNCTION("""COMPUTED_VALUE"""),0.006920643518518519)</f>
        <v>0.006920643519</v>
      </c>
      <c r="R2514" s="4">
        <f>IFERROR(__xludf.DUMMYFUNCTION("""COMPUTED_VALUE"""),45949.034603217064)</f>
        <v>45949.0346</v>
      </c>
      <c r="S2514" s="1" t="b">
        <f>IFERROR(__xludf.DUMMYFUNCTION("""COMPUTED_VALUE"""),TRUE)</f>
        <v>1</v>
      </c>
      <c r="T2514" s="1" t="b">
        <f>IFERROR(__xludf.DUMMYFUNCTION("""COMPUTED_VALUE"""),FALSE)</f>
        <v>0</v>
      </c>
      <c r="U2514" s="1" t="str">
        <f>IFERROR(__xludf.DUMMYFUNCTION("""COMPUTED_VALUE"""),"VALID")</f>
        <v>VALID</v>
      </c>
      <c r="V2514" s="1">
        <f>IFERROR(__xludf.DUMMYFUNCTION("""COMPUTED_VALUE"""),550.0)</f>
        <v>550</v>
      </c>
      <c r="W2514" s="1">
        <f>IFERROR(__xludf.DUMMYFUNCTION("""COMPUTED_VALUE"""),870.0)</f>
        <v>870</v>
      </c>
      <c r="X2514" s="1">
        <f>IFERROR(__xludf.DUMMYFUNCTION("""COMPUTED_VALUE"""),709.0)</f>
        <v>709</v>
      </c>
      <c r="Y2514" s="2"/>
      <c r="Z2514" s="2"/>
    </row>
    <row r="2515">
      <c r="A2515" s="1">
        <f>IFERROR(__xludf.DUMMYFUNCTION("""COMPUTED_VALUE"""),2514.0)</f>
        <v>2514</v>
      </c>
      <c r="B2515" s="1">
        <f>IFERROR(__xludf.DUMMYFUNCTION("""COMPUTED_VALUE"""),6404.0)</f>
        <v>6404</v>
      </c>
      <c r="C2515" s="2" t="str">
        <f>IFERROR(__xludf.DUMMYFUNCTION("""COMPUTED_VALUE"""),"Ade Triyanto")</f>
        <v>Ade Triyanto</v>
      </c>
      <c r="D2515" s="2" t="str">
        <f>IFERROR(__xludf.DUMMYFUNCTION("""COMPUTED_VALUE"""),"5KM OVERALL M")</f>
        <v>5KM OVERALL M</v>
      </c>
      <c r="E2515" s="1">
        <f>IFERROR(__xludf.DUMMYFUNCTION("""COMPUTED_VALUE"""),2.0)</f>
        <v>2</v>
      </c>
      <c r="F2515" s="1" t="str">
        <f>IFERROR(__xludf.DUMMYFUNCTION("""COMPUTED_VALUE"""),"Male")</f>
        <v>Male</v>
      </c>
      <c r="G2515" s="4" t="b">
        <f>IFERROR(__xludf.DUMMYFUNCTION("""COMPUTED_VALUE"""),TRUE)</f>
        <v>1</v>
      </c>
      <c r="H2515" s="4" t="b">
        <f>IFERROR(__xludf.DUMMYFUNCTION("""COMPUTED_VALUE"""),TRUE)</f>
        <v>1</v>
      </c>
      <c r="I2515" s="4">
        <f>IFERROR(__xludf.DUMMYFUNCTION("""COMPUTED_VALUE"""),0.2549440625)</f>
        <v>0.2549440625</v>
      </c>
      <c r="J2515" s="4">
        <f>IFERROR(__xludf.DUMMYFUNCTION("""COMPUTED_VALUE"""),45949.27887746535)</f>
        <v>45949.27888</v>
      </c>
      <c r="K2515" s="4" t="str">
        <f>IFERROR(__xludf.DUMMYFUNCTION("""COMPUTED_VALUE"""),"")</f>
        <v/>
      </c>
      <c r="L2515" s="4">
        <f>IFERROR(__xludf.DUMMYFUNCTION("""COMPUTED_VALUE"""),45949.29465167425)</f>
        <v>45949.29465</v>
      </c>
      <c r="M2515" s="1" t="str">
        <f>IFERROR(__xludf.DUMMYFUNCTION("""COMPUTED_VALUE"""),"RFID")</f>
        <v>RFID</v>
      </c>
      <c r="N2515" s="5">
        <f>IFERROR(__xludf.DUMMYFUNCTION("""COMPUTED_VALUE"""),0.009573361111111112)</f>
        <v>0.009573361111</v>
      </c>
      <c r="O2515" s="5" t="str">
        <f>IFERROR(__xludf.DUMMYFUNCTION("""COMPUTED_VALUE"""),"")</f>
        <v/>
      </c>
      <c r="P2515" s="5" t="str">
        <f>IFERROR(__xludf.DUMMYFUNCTION("""COMPUTED_VALUE"""),"")</f>
        <v/>
      </c>
      <c r="Q2515" s="5">
        <f>IFERROR(__xludf.DUMMYFUNCTION("""COMPUTED_VALUE"""),0.007941523148148149)</f>
        <v>0.007941523148</v>
      </c>
      <c r="R2515" s="4">
        <f>IFERROR(__xludf.DUMMYFUNCTION("""COMPUTED_VALUE"""),45949.03970761175)</f>
        <v>45949.03971</v>
      </c>
      <c r="S2515" s="1" t="b">
        <f>IFERROR(__xludf.DUMMYFUNCTION("""COMPUTED_VALUE"""),TRUE)</f>
        <v>1</v>
      </c>
      <c r="T2515" s="1" t="b">
        <f>IFERROR(__xludf.DUMMYFUNCTION("""COMPUTED_VALUE"""),FALSE)</f>
        <v>0</v>
      </c>
      <c r="U2515" s="1" t="str">
        <f>IFERROR(__xludf.DUMMYFUNCTION("""COMPUTED_VALUE"""),"VALID")</f>
        <v>VALID</v>
      </c>
      <c r="V2515" s="1">
        <f>IFERROR(__xludf.DUMMYFUNCTION("""COMPUTED_VALUE"""),708.0)</f>
        <v>708</v>
      </c>
      <c r="W2515" s="1">
        <f>IFERROR(__xludf.DUMMYFUNCTION("""COMPUTED_VALUE"""),1229.0)</f>
        <v>1229</v>
      </c>
      <c r="X2515" s="1">
        <f>IFERROR(__xludf.DUMMYFUNCTION("""COMPUTED_VALUE"""),966.0)</f>
        <v>966</v>
      </c>
      <c r="Y2515" s="2"/>
      <c r="Z2515" s="2"/>
    </row>
    <row r="2516">
      <c r="A2516" s="1">
        <f>IFERROR(__xludf.DUMMYFUNCTION("""COMPUTED_VALUE"""),2515.0)</f>
        <v>2515</v>
      </c>
      <c r="B2516" s="1">
        <f>IFERROR(__xludf.DUMMYFUNCTION("""COMPUTED_VALUE"""),6405.0)</f>
        <v>6405</v>
      </c>
      <c r="C2516" s="2" t="str">
        <f>IFERROR(__xludf.DUMMYFUNCTION("""COMPUTED_VALUE"""),"Muhammad Zaki Nuri, S.T., M.T.")</f>
        <v>Muhammad Zaki Nuri, S.T., M.T.</v>
      </c>
      <c r="D2516" s="2" t="str">
        <f>IFERROR(__xludf.DUMMYFUNCTION("""COMPUTED_VALUE"""),"5KM OVERALL M")</f>
        <v>5KM OVERALL M</v>
      </c>
      <c r="E2516" s="1">
        <f>IFERROR(__xludf.DUMMYFUNCTION("""COMPUTED_VALUE"""),2.0)</f>
        <v>2</v>
      </c>
      <c r="F2516" s="1" t="str">
        <f>IFERROR(__xludf.DUMMYFUNCTION("""COMPUTED_VALUE"""),"Male")</f>
        <v>Male</v>
      </c>
      <c r="G2516" s="4" t="b">
        <f>IFERROR(__xludf.DUMMYFUNCTION("""COMPUTED_VALUE"""),TRUE)</f>
        <v>1</v>
      </c>
      <c r="H2516" s="4" t="b">
        <f>IFERROR(__xludf.DUMMYFUNCTION("""COMPUTED_VALUE"""),TRUE)</f>
        <v>1</v>
      </c>
      <c r="I2516" s="4">
        <f>IFERROR(__xludf.DUMMYFUNCTION("""COMPUTED_VALUE"""),0.2549440625)</f>
        <v>0.2549440625</v>
      </c>
      <c r="J2516" s="4">
        <f>IFERROR(__xludf.DUMMYFUNCTION("""COMPUTED_VALUE"""),45949.274644745194)</f>
        <v>45949.27464</v>
      </c>
      <c r="K2516" s="4" t="str">
        <f>IFERROR(__xludf.DUMMYFUNCTION("""COMPUTED_VALUE"""),"")</f>
        <v/>
      </c>
      <c r="L2516" s="4">
        <f>IFERROR(__xludf.DUMMYFUNCTION("""COMPUTED_VALUE"""),45949.288692530376)</f>
        <v>45949.28869</v>
      </c>
      <c r="M2516" s="1" t="str">
        <f>IFERROR(__xludf.DUMMYFUNCTION("""COMPUTED_VALUE"""),"RFID")</f>
        <v>RFID</v>
      </c>
      <c r="N2516" s="5">
        <f>IFERROR(__xludf.DUMMYFUNCTION("""COMPUTED_VALUE"""),0.007880273148148148)</f>
        <v>0.007880273148</v>
      </c>
      <c r="O2516" s="5" t="str">
        <f>IFERROR(__xludf.DUMMYFUNCTION("""COMPUTED_VALUE"""),"")</f>
        <v/>
      </c>
      <c r="P2516" s="5" t="str">
        <f>IFERROR(__xludf.DUMMYFUNCTION("""COMPUTED_VALUE"""),"")</f>
        <v/>
      </c>
      <c r="Q2516" s="5">
        <f>IFERROR(__xludf.DUMMYFUNCTION("""COMPUTED_VALUE"""),0.0067496944444444444)</f>
        <v>0.006749694444</v>
      </c>
      <c r="R2516" s="4">
        <f>IFERROR(__xludf.DUMMYFUNCTION("""COMPUTED_VALUE"""),45949.033748467875)</f>
        <v>45949.03375</v>
      </c>
      <c r="S2516" s="1" t="b">
        <f>IFERROR(__xludf.DUMMYFUNCTION("""COMPUTED_VALUE"""),TRUE)</f>
        <v>1</v>
      </c>
      <c r="T2516" s="1" t="b">
        <f>IFERROR(__xludf.DUMMYFUNCTION("""COMPUTED_VALUE"""),FALSE)</f>
        <v>0</v>
      </c>
      <c r="U2516" s="1" t="str">
        <f>IFERROR(__xludf.DUMMYFUNCTION("""COMPUTED_VALUE"""),"VALID")</f>
        <v>VALID</v>
      </c>
      <c r="V2516" s="1">
        <f>IFERROR(__xludf.DUMMYFUNCTION("""COMPUTED_VALUE"""),522.0)</f>
        <v>522</v>
      </c>
      <c r="W2516" s="1">
        <f>IFERROR(__xludf.DUMMYFUNCTION("""COMPUTED_VALUE"""),823.0)</f>
        <v>823</v>
      </c>
      <c r="X2516" s="1">
        <f>IFERROR(__xludf.DUMMYFUNCTION("""COMPUTED_VALUE"""),675.0)</f>
        <v>675</v>
      </c>
      <c r="Y2516" s="2"/>
      <c r="Z2516" s="2"/>
    </row>
    <row r="2517">
      <c r="A2517" s="1">
        <f>IFERROR(__xludf.DUMMYFUNCTION("""COMPUTED_VALUE"""),2516.0)</f>
        <v>2516</v>
      </c>
      <c r="B2517" s="1">
        <f>IFERROR(__xludf.DUMMYFUNCTION("""COMPUTED_VALUE"""),6406.0)</f>
        <v>6406</v>
      </c>
      <c r="C2517" s="2" t="str">
        <f>IFERROR(__xludf.DUMMYFUNCTION("""COMPUTED_VALUE"""),"CALU")</f>
        <v>CALU</v>
      </c>
      <c r="D2517" s="2" t="str">
        <f>IFERROR(__xludf.DUMMYFUNCTION("""COMPUTED_VALUE"""),"5KM OVERALL M")</f>
        <v>5KM OVERALL M</v>
      </c>
      <c r="E2517" s="1">
        <f>IFERROR(__xludf.DUMMYFUNCTION("""COMPUTED_VALUE"""),2.0)</f>
        <v>2</v>
      </c>
      <c r="F2517" s="1" t="str">
        <f>IFERROR(__xludf.DUMMYFUNCTION("""COMPUTED_VALUE"""),"Male")</f>
        <v>Male</v>
      </c>
      <c r="G2517" s="4" t="b">
        <f>IFERROR(__xludf.DUMMYFUNCTION("""COMPUTED_VALUE"""),TRUE)</f>
        <v>1</v>
      </c>
      <c r="H2517" s="4" t="b">
        <f>IFERROR(__xludf.DUMMYFUNCTION("""COMPUTED_VALUE"""),FALSE)</f>
        <v>0</v>
      </c>
      <c r="I2517" s="4">
        <f>IFERROR(__xludf.DUMMYFUNCTION("""COMPUTED_VALUE"""),0.2549440625)</f>
        <v>0.2549440625</v>
      </c>
      <c r="J2517" s="4">
        <f>IFERROR(__xludf.DUMMYFUNCTION("""COMPUTED_VALUE"""),45949.27706492084)</f>
        <v>45949.27706</v>
      </c>
      <c r="K2517" s="4" t="str">
        <f>IFERROR(__xludf.DUMMYFUNCTION("""COMPUTED_VALUE"""),"")</f>
        <v/>
      </c>
      <c r="L2517" s="4">
        <f>IFERROR(__xludf.DUMMYFUNCTION("""COMPUTED_VALUE"""),45949.294085153604)</f>
        <v>45949.29409</v>
      </c>
      <c r="M2517" s="1" t="str">
        <f>IFERROR(__xludf.DUMMYFUNCTION("""COMPUTED_VALUE"""),"RFID")</f>
        <v>RFID</v>
      </c>
      <c r="N2517" s="5">
        <f>IFERROR(__xludf.DUMMYFUNCTION("""COMPUTED_VALUE"""),0.008848342592592592)</f>
        <v>0.008848342593</v>
      </c>
      <c r="O2517" s="5" t="str">
        <f>IFERROR(__xludf.DUMMYFUNCTION("""COMPUTED_VALUE"""),"")</f>
        <v/>
      </c>
      <c r="P2517" s="5" t="str">
        <f>IFERROR(__xludf.DUMMYFUNCTION("""COMPUTED_VALUE"""),"")</f>
        <v/>
      </c>
      <c r="Q2517" s="5">
        <f>IFERROR(__xludf.DUMMYFUNCTION("""COMPUTED_VALUE"""),0.007828217592592593)</f>
        <v>0.007828217593</v>
      </c>
      <c r="R2517" s="4">
        <f>IFERROR(__xludf.DUMMYFUNCTION("""COMPUTED_VALUE"""),45949.0391410911)</f>
        <v>45949.03914</v>
      </c>
      <c r="S2517" s="1" t="b">
        <f>IFERROR(__xludf.DUMMYFUNCTION("""COMPUTED_VALUE"""),TRUE)</f>
        <v>1</v>
      </c>
      <c r="T2517" s="1" t="b">
        <f>IFERROR(__xludf.DUMMYFUNCTION("""COMPUTED_VALUE"""),FALSE)</f>
        <v>0</v>
      </c>
      <c r="U2517" s="1" t="str">
        <f>IFERROR(__xludf.DUMMYFUNCTION("""COMPUTED_VALUE"""),"VALID")</f>
        <v>VALID</v>
      </c>
      <c r="V2517" s="1">
        <f>IFERROR(__xludf.DUMMYFUNCTION("""COMPUTED_VALUE"""),689.0)</f>
        <v>689</v>
      </c>
      <c r="W2517" s="1">
        <f>IFERROR(__xludf.DUMMYFUNCTION("""COMPUTED_VALUE"""),1181.0)</f>
        <v>1181</v>
      </c>
      <c r="X2517" s="1">
        <f>IFERROR(__xludf.DUMMYFUNCTION("""COMPUTED_VALUE"""),933.0)</f>
        <v>933</v>
      </c>
      <c r="Y2517" s="2"/>
      <c r="Z2517" s="2"/>
    </row>
    <row r="2518">
      <c r="A2518" s="1">
        <f>IFERROR(__xludf.DUMMYFUNCTION("""COMPUTED_VALUE"""),2517.0)</f>
        <v>2517</v>
      </c>
      <c r="B2518" s="1">
        <f>IFERROR(__xludf.DUMMYFUNCTION("""COMPUTED_VALUE"""),6407.0)</f>
        <v>6407</v>
      </c>
      <c r="C2518" s="2" t="str">
        <f>IFERROR(__xludf.DUMMYFUNCTION("""COMPUTED_VALUE"""),"Erza Pratama")</f>
        <v>Erza Pratama</v>
      </c>
      <c r="D2518" s="2" t="str">
        <f>IFERROR(__xludf.DUMMYFUNCTION("""COMPUTED_VALUE"""),"5KM OVERALL M")</f>
        <v>5KM OVERALL M</v>
      </c>
      <c r="E2518" s="1">
        <f>IFERROR(__xludf.DUMMYFUNCTION("""COMPUTED_VALUE"""),2.0)</f>
        <v>2</v>
      </c>
      <c r="F2518" s="1" t="str">
        <f>IFERROR(__xludf.DUMMYFUNCTION("""COMPUTED_VALUE"""),"Male")</f>
        <v>Male</v>
      </c>
      <c r="G2518" s="4" t="b">
        <f>IFERROR(__xludf.DUMMYFUNCTION("""COMPUTED_VALUE"""),TRUE)</f>
        <v>1</v>
      </c>
      <c r="H2518" s="4" t="b">
        <f>IFERROR(__xludf.DUMMYFUNCTION("""COMPUTED_VALUE"""),TRUE)</f>
        <v>1</v>
      </c>
      <c r="I2518" s="4">
        <f>IFERROR(__xludf.DUMMYFUNCTION("""COMPUTED_VALUE"""),0.2549440625)</f>
        <v>0.2549440625</v>
      </c>
      <c r="J2518" s="4">
        <f>IFERROR(__xludf.DUMMYFUNCTION("""COMPUTED_VALUE"""),45949.26767252385)</f>
        <v>45949.26767</v>
      </c>
      <c r="K2518" s="4" t="str">
        <f>IFERROR(__xludf.DUMMYFUNCTION("""COMPUTED_VALUE"""),"")</f>
        <v/>
      </c>
      <c r="L2518" s="4">
        <f>IFERROR(__xludf.DUMMYFUNCTION("""COMPUTED_VALUE"""),45949.277442551065)</f>
        <v>45949.27744</v>
      </c>
      <c r="M2518" s="1" t="str">
        <f>IFERROR(__xludf.DUMMYFUNCTION("""COMPUTED_VALUE"""),"RFID")</f>
        <v>RFID</v>
      </c>
      <c r="N2518" s="5">
        <f>IFERROR(__xludf.DUMMYFUNCTION("""COMPUTED_VALUE"""),0.005091384259259259)</f>
        <v>0.005091384259</v>
      </c>
      <c r="O2518" s="5" t="str">
        <f>IFERROR(__xludf.DUMMYFUNCTION("""COMPUTED_VALUE"""),"")</f>
        <v/>
      </c>
      <c r="P2518" s="5" t="str">
        <f>IFERROR(__xludf.DUMMYFUNCTION("""COMPUTED_VALUE"""),"")</f>
        <v/>
      </c>
      <c r="Q2518" s="5">
        <f>IFERROR(__xludf.DUMMYFUNCTION("""COMPUTED_VALUE"""),0.004499696759259259)</f>
        <v>0.004499696759</v>
      </c>
      <c r="R2518" s="4">
        <f>IFERROR(__xludf.DUMMYFUNCTION("""COMPUTED_VALUE"""),45949.022498488564)</f>
        <v>45949.0225</v>
      </c>
      <c r="S2518" s="1" t="b">
        <f>IFERROR(__xludf.DUMMYFUNCTION("""COMPUTED_VALUE"""),TRUE)</f>
        <v>1</v>
      </c>
      <c r="T2518" s="1" t="b">
        <f>IFERROR(__xludf.DUMMYFUNCTION("""COMPUTED_VALUE"""),FALSE)</f>
        <v>0</v>
      </c>
      <c r="U2518" s="1" t="str">
        <f>IFERROR(__xludf.DUMMYFUNCTION("""COMPUTED_VALUE"""),"VALID")</f>
        <v>VALID</v>
      </c>
      <c r="V2518" s="1">
        <f>IFERROR(__xludf.DUMMYFUNCTION("""COMPUTED_VALUE"""),122.0)</f>
        <v>122</v>
      </c>
      <c r="W2518" s="1">
        <f>IFERROR(__xludf.DUMMYFUNCTION("""COMPUTED_VALUE"""),187.0)</f>
        <v>187</v>
      </c>
      <c r="X2518" s="1">
        <f>IFERROR(__xludf.DUMMYFUNCTION("""COMPUTED_VALUE"""),165.0)</f>
        <v>165</v>
      </c>
      <c r="Y2518" s="2"/>
      <c r="Z2518" s="2"/>
    </row>
    <row r="2519">
      <c r="A2519" s="1">
        <f>IFERROR(__xludf.DUMMYFUNCTION("""COMPUTED_VALUE"""),2518.0)</f>
        <v>2518</v>
      </c>
      <c r="B2519" s="1">
        <f>IFERROR(__xludf.DUMMYFUNCTION("""COMPUTED_VALUE"""),6409.0)</f>
        <v>6409</v>
      </c>
      <c r="C2519" s="2" t="str">
        <f>IFERROR(__xludf.DUMMYFUNCTION("""COMPUTED_VALUE"""),"Rosyad")</f>
        <v>Rosyad</v>
      </c>
      <c r="D2519" s="2" t="str">
        <f>IFERROR(__xludf.DUMMYFUNCTION("""COMPUTED_VALUE"""),"5KM OVERALL M")</f>
        <v>5KM OVERALL M</v>
      </c>
      <c r="E2519" s="1">
        <f>IFERROR(__xludf.DUMMYFUNCTION("""COMPUTED_VALUE"""),2.0)</f>
        <v>2</v>
      </c>
      <c r="F2519" s="1" t="str">
        <f>IFERROR(__xludf.DUMMYFUNCTION("""COMPUTED_VALUE"""),"Male")</f>
        <v>Male</v>
      </c>
      <c r="G2519" s="4" t="str">
        <f>IFERROR(__xludf.DUMMYFUNCTION("""COMPUTED_VALUE"""),"")</f>
        <v/>
      </c>
      <c r="H2519" s="4" t="b">
        <f>IFERROR(__xludf.DUMMYFUNCTION("""COMPUTED_VALUE"""),FALSE)</f>
        <v>0</v>
      </c>
      <c r="I2519" s="4">
        <f>IFERROR(__xludf.DUMMYFUNCTION("""COMPUTED_VALUE"""),0.2549440625)</f>
        <v>0.2549440625</v>
      </c>
      <c r="J2519" s="4" t="str">
        <f>IFERROR(__xludf.DUMMYFUNCTION("""COMPUTED_VALUE"""),"")</f>
        <v/>
      </c>
      <c r="K2519" s="4" t="str">
        <f>IFERROR(__xludf.DUMMYFUNCTION("""COMPUTED_VALUE"""),"")</f>
        <v/>
      </c>
      <c r="L2519" s="4" t="str">
        <f>IFERROR(__xludf.DUMMYFUNCTION("""COMPUTED_VALUE"""),"")</f>
        <v/>
      </c>
      <c r="M2519" s="1" t="str">
        <f>IFERROR(__xludf.DUMMYFUNCTION("""COMPUTED_VALUE"""),"RFID")</f>
        <v>RFID</v>
      </c>
      <c r="N2519" s="5" t="str">
        <f>IFERROR(__xludf.DUMMYFUNCTION("""COMPUTED_VALUE"""),"")</f>
        <v/>
      </c>
      <c r="O2519" s="5" t="str">
        <f>IFERROR(__xludf.DUMMYFUNCTION("""COMPUTED_VALUE"""),"")</f>
        <v/>
      </c>
      <c r="P2519" s="5" t="str">
        <f>IFERROR(__xludf.DUMMYFUNCTION("""COMPUTED_VALUE"""),"")</f>
        <v/>
      </c>
      <c r="Q2519" s="5" t="str">
        <f>IFERROR(__xludf.DUMMYFUNCTION("""COMPUTED_VALUE"""),"")</f>
        <v/>
      </c>
      <c r="R2519" s="4" t="str">
        <f>IFERROR(__xludf.DUMMYFUNCTION("""COMPUTED_VALUE"""),"")</f>
        <v/>
      </c>
      <c r="S2519" s="1" t="b">
        <f>IFERROR(__xludf.DUMMYFUNCTION("""COMPUTED_VALUE"""),FALSE)</f>
        <v>0</v>
      </c>
      <c r="T2519" s="1" t="b">
        <f>IFERROR(__xludf.DUMMYFUNCTION("""COMPUTED_VALUE"""),FALSE)</f>
        <v>0</v>
      </c>
      <c r="U2519" s="1" t="str">
        <f>IFERROR(__xludf.DUMMYFUNCTION("""COMPUTED_VALUE"""),"DSQ")</f>
        <v>DSQ</v>
      </c>
      <c r="V2519" s="1" t="str">
        <f>IFERROR(__xludf.DUMMYFUNCTION("""COMPUTED_VALUE"""),"DSQ")</f>
        <v>DSQ</v>
      </c>
      <c r="W2519" s="1" t="str">
        <f>IFERROR(__xludf.DUMMYFUNCTION("""COMPUTED_VALUE"""),"DSQ")</f>
        <v>DSQ</v>
      </c>
      <c r="X2519" s="1" t="str">
        <f>IFERROR(__xludf.DUMMYFUNCTION("""COMPUTED_VALUE"""),"DSQ")</f>
        <v>DSQ</v>
      </c>
      <c r="Y2519" s="2"/>
      <c r="Z2519" s="2" t="str">
        <f>IFERROR(__xludf.DUMMYFUNCTION("""COMPUTED_VALUE"""),"")</f>
        <v/>
      </c>
    </row>
    <row r="2520">
      <c r="A2520" s="1">
        <f>IFERROR(__xludf.DUMMYFUNCTION("""COMPUTED_VALUE"""),2519.0)</f>
        <v>2519</v>
      </c>
      <c r="B2520" s="1">
        <f>IFERROR(__xludf.DUMMYFUNCTION("""COMPUTED_VALUE"""),6410.0)</f>
        <v>6410</v>
      </c>
      <c r="C2520" s="2" t="str">
        <f>IFERROR(__xludf.DUMMYFUNCTION("""COMPUTED_VALUE"""),"Alfi R")</f>
        <v>Alfi R</v>
      </c>
      <c r="D2520" s="2" t="str">
        <f>IFERROR(__xludf.DUMMYFUNCTION("""COMPUTED_VALUE"""),"5KM OVERALL M")</f>
        <v>5KM OVERALL M</v>
      </c>
      <c r="E2520" s="1">
        <f>IFERROR(__xludf.DUMMYFUNCTION("""COMPUTED_VALUE"""),2.0)</f>
        <v>2</v>
      </c>
      <c r="F2520" s="1" t="str">
        <f>IFERROR(__xludf.DUMMYFUNCTION("""COMPUTED_VALUE"""),"Male")</f>
        <v>Male</v>
      </c>
      <c r="G2520" s="4" t="b">
        <f>IFERROR(__xludf.DUMMYFUNCTION("""COMPUTED_VALUE"""),TRUE)</f>
        <v>1</v>
      </c>
      <c r="H2520" s="4" t="b">
        <f>IFERROR(__xludf.DUMMYFUNCTION("""COMPUTED_VALUE"""),TRUE)</f>
        <v>1</v>
      </c>
      <c r="I2520" s="4">
        <f>IFERROR(__xludf.DUMMYFUNCTION("""COMPUTED_VALUE"""),0.2549440625)</f>
        <v>0.2549440625</v>
      </c>
      <c r="J2520" s="4">
        <f>IFERROR(__xludf.DUMMYFUNCTION("""COMPUTED_VALUE"""),45949.27939473873)</f>
        <v>45949.27939</v>
      </c>
      <c r="K2520" s="4" t="str">
        <f>IFERROR(__xludf.DUMMYFUNCTION("""COMPUTED_VALUE"""),"")</f>
        <v/>
      </c>
      <c r="L2520" s="4">
        <f>IFERROR(__xludf.DUMMYFUNCTION("""COMPUTED_VALUE"""),45949.29633836483)</f>
        <v>45949.29634</v>
      </c>
      <c r="M2520" s="1" t="str">
        <f>IFERROR(__xludf.DUMMYFUNCTION("""COMPUTED_VALUE"""),"RFID")</f>
        <v>RFID</v>
      </c>
      <c r="N2520" s="5">
        <f>IFERROR(__xludf.DUMMYFUNCTION("""COMPUTED_VALUE"""),0.009780268518518518)</f>
        <v>0.009780268519</v>
      </c>
      <c r="O2520" s="5" t="str">
        <f>IFERROR(__xludf.DUMMYFUNCTION("""COMPUTED_VALUE"""),"")</f>
        <v/>
      </c>
      <c r="P2520" s="5" t="str">
        <f>IFERROR(__xludf.DUMMYFUNCTION("""COMPUTED_VALUE"""),"")</f>
        <v/>
      </c>
      <c r="Q2520" s="5">
        <f>IFERROR(__xludf.DUMMYFUNCTION("""COMPUTED_VALUE"""),0.00827886111111111)</f>
        <v>0.008278861111</v>
      </c>
      <c r="R2520" s="4">
        <f>IFERROR(__xludf.DUMMYFUNCTION("""COMPUTED_VALUE"""),45949.04139430233)</f>
        <v>45949.04139</v>
      </c>
      <c r="S2520" s="1" t="b">
        <f>IFERROR(__xludf.DUMMYFUNCTION("""COMPUTED_VALUE"""),TRUE)</f>
        <v>1</v>
      </c>
      <c r="T2520" s="1" t="b">
        <f>IFERROR(__xludf.DUMMYFUNCTION("""COMPUTED_VALUE"""),FALSE)</f>
        <v>0</v>
      </c>
      <c r="U2520" s="1" t="str">
        <f>IFERROR(__xludf.DUMMYFUNCTION("""COMPUTED_VALUE"""),"VALID")</f>
        <v>VALID</v>
      </c>
      <c r="V2520" s="1">
        <f>IFERROR(__xludf.DUMMYFUNCTION("""COMPUTED_VALUE"""),741.0)</f>
        <v>741</v>
      </c>
      <c r="W2520" s="1">
        <f>IFERROR(__xludf.DUMMYFUNCTION("""COMPUTED_VALUE"""),1303.0)</f>
        <v>1303</v>
      </c>
      <c r="X2520" s="1">
        <f>IFERROR(__xludf.DUMMYFUNCTION("""COMPUTED_VALUE"""),1036.0)</f>
        <v>1036</v>
      </c>
      <c r="Y2520" s="2"/>
      <c r="Z2520" s="2"/>
    </row>
    <row r="2521">
      <c r="A2521" s="1">
        <f>IFERROR(__xludf.DUMMYFUNCTION("""COMPUTED_VALUE"""),2520.0)</f>
        <v>2520</v>
      </c>
      <c r="B2521" s="1">
        <f>IFERROR(__xludf.DUMMYFUNCTION("""COMPUTED_VALUE"""),6411.0)</f>
        <v>6411</v>
      </c>
      <c r="C2521" s="2" t="str">
        <f>IFERROR(__xludf.DUMMYFUNCTION("""COMPUTED_VALUE"""),"jufry_dy")</f>
        <v>jufry_dy</v>
      </c>
      <c r="D2521" s="2" t="str">
        <f>IFERROR(__xludf.DUMMYFUNCTION("""COMPUTED_VALUE"""),"5KM OVERALL M")</f>
        <v>5KM OVERALL M</v>
      </c>
      <c r="E2521" s="1">
        <f>IFERROR(__xludf.DUMMYFUNCTION("""COMPUTED_VALUE"""),2.0)</f>
        <v>2</v>
      </c>
      <c r="F2521" s="1" t="str">
        <f>IFERROR(__xludf.DUMMYFUNCTION("""COMPUTED_VALUE"""),"Male")</f>
        <v>Male</v>
      </c>
      <c r="G2521" s="4" t="b">
        <f>IFERROR(__xludf.DUMMYFUNCTION("""COMPUTED_VALUE"""),TRUE)</f>
        <v>1</v>
      </c>
      <c r="H2521" s="4" t="b">
        <f>IFERROR(__xludf.DUMMYFUNCTION("""COMPUTED_VALUE"""),TRUE)</f>
        <v>1</v>
      </c>
      <c r="I2521" s="4">
        <f>IFERROR(__xludf.DUMMYFUNCTION("""COMPUTED_VALUE"""),0.2549440625)</f>
        <v>0.2549440625</v>
      </c>
      <c r="J2521" s="4">
        <f>IFERROR(__xludf.DUMMYFUNCTION("""COMPUTED_VALUE"""),45949.270547605665)</f>
        <v>45949.27055</v>
      </c>
      <c r="K2521" s="4" t="str">
        <f>IFERROR(__xludf.DUMMYFUNCTION("""COMPUTED_VALUE"""),"")</f>
        <v/>
      </c>
      <c r="L2521" s="4">
        <f>IFERROR(__xludf.DUMMYFUNCTION("""COMPUTED_VALUE"""),45949.28194944786)</f>
        <v>45949.28195</v>
      </c>
      <c r="M2521" s="1" t="str">
        <f>IFERROR(__xludf.DUMMYFUNCTION("""COMPUTED_VALUE"""),"RFID")</f>
        <v>RFID</v>
      </c>
      <c r="N2521" s="5">
        <f>IFERROR(__xludf.DUMMYFUNCTION("""COMPUTED_VALUE"""),0.006241416666666667)</f>
        <v>0.006241416667</v>
      </c>
      <c r="O2521" s="5" t="str">
        <f>IFERROR(__xludf.DUMMYFUNCTION("""COMPUTED_VALUE"""),"")</f>
        <v/>
      </c>
      <c r="P2521" s="5" t="str">
        <f>IFERROR(__xludf.DUMMYFUNCTION("""COMPUTED_VALUE"""),"")</f>
        <v/>
      </c>
      <c r="Q2521" s="5">
        <f>IFERROR(__xludf.DUMMYFUNCTION("""COMPUTED_VALUE"""),0.005401076388888889)</f>
        <v>0.005401076389</v>
      </c>
      <c r="R2521" s="4">
        <f>IFERROR(__xludf.DUMMYFUNCTION("""COMPUTED_VALUE"""),45949.02700538536)</f>
        <v>45949.02701</v>
      </c>
      <c r="S2521" s="1" t="b">
        <f>IFERROR(__xludf.DUMMYFUNCTION("""COMPUTED_VALUE"""),TRUE)</f>
        <v>1</v>
      </c>
      <c r="T2521" s="1" t="b">
        <f>IFERROR(__xludf.DUMMYFUNCTION("""COMPUTED_VALUE"""),FALSE)</f>
        <v>0</v>
      </c>
      <c r="U2521" s="1" t="str">
        <f>IFERROR(__xludf.DUMMYFUNCTION("""COMPUTED_VALUE"""),"VALID")</f>
        <v>VALID</v>
      </c>
      <c r="V2521" s="1">
        <f>IFERROR(__xludf.DUMMYFUNCTION("""COMPUTED_VALUE"""),248.0)</f>
        <v>248</v>
      </c>
      <c r="W2521" s="1">
        <f>IFERROR(__xludf.DUMMYFUNCTION("""COMPUTED_VALUE"""),384.0)</f>
        <v>384</v>
      </c>
      <c r="X2521" s="1">
        <f>IFERROR(__xludf.DUMMYFUNCTION("""COMPUTED_VALUE"""),331.0)</f>
        <v>331</v>
      </c>
      <c r="Y2521" s="2"/>
      <c r="Z2521" s="2"/>
    </row>
    <row r="2522">
      <c r="A2522" s="1">
        <f>IFERROR(__xludf.DUMMYFUNCTION("""COMPUTED_VALUE"""),2521.0)</f>
        <v>2521</v>
      </c>
      <c r="B2522" s="1">
        <f>IFERROR(__xludf.DUMMYFUNCTION("""COMPUTED_VALUE"""),6412.0)</f>
        <v>6412</v>
      </c>
      <c r="C2522" s="2" t="str">
        <f>IFERROR(__xludf.DUMMYFUNCTION("""COMPUTED_VALUE"""),"Reza")</f>
        <v>Reza</v>
      </c>
      <c r="D2522" s="2" t="str">
        <f>IFERROR(__xludf.DUMMYFUNCTION("""COMPUTED_VALUE"""),"5KM OVERALL M")</f>
        <v>5KM OVERALL M</v>
      </c>
      <c r="E2522" s="1">
        <f>IFERROR(__xludf.DUMMYFUNCTION("""COMPUTED_VALUE"""),2.0)</f>
        <v>2</v>
      </c>
      <c r="F2522" s="1" t="str">
        <f>IFERROR(__xludf.DUMMYFUNCTION("""COMPUTED_VALUE"""),"Male")</f>
        <v>Male</v>
      </c>
      <c r="G2522" s="4" t="b">
        <f>IFERROR(__xludf.DUMMYFUNCTION("""COMPUTED_VALUE"""),TRUE)</f>
        <v>1</v>
      </c>
      <c r="H2522" s="4" t="b">
        <f>IFERROR(__xludf.DUMMYFUNCTION("""COMPUTED_VALUE"""),TRUE)</f>
        <v>1</v>
      </c>
      <c r="I2522" s="4">
        <f>IFERROR(__xludf.DUMMYFUNCTION("""COMPUTED_VALUE"""),0.2549440625)</f>
        <v>0.2549440625</v>
      </c>
      <c r="J2522" s="4">
        <f>IFERROR(__xludf.DUMMYFUNCTION("""COMPUTED_VALUE"""),45949.28195029642)</f>
        <v>45949.28195</v>
      </c>
      <c r="K2522" s="4" t="str">
        <f>IFERROR(__xludf.DUMMYFUNCTION("""COMPUTED_VALUE"""),"")</f>
        <v/>
      </c>
      <c r="L2522" s="4">
        <f>IFERROR(__xludf.DUMMYFUNCTION("""COMPUTED_VALUE"""),45949.30056753049)</f>
        <v>45949.30057</v>
      </c>
      <c r="M2522" s="1" t="str">
        <f>IFERROR(__xludf.DUMMYFUNCTION("""COMPUTED_VALUE"""),"RFID")</f>
        <v>RFID</v>
      </c>
      <c r="N2522" s="5">
        <f>IFERROR(__xludf.DUMMYFUNCTION("""COMPUTED_VALUE"""),0.01080249537037037)</f>
        <v>0.01080249537</v>
      </c>
      <c r="O2522" s="5" t="str">
        <f>IFERROR(__xludf.DUMMYFUNCTION("""COMPUTED_VALUE"""),"")</f>
        <v/>
      </c>
      <c r="P2522" s="5" t="str">
        <f>IFERROR(__xludf.DUMMYFUNCTION("""COMPUTED_VALUE"""),"")</f>
        <v/>
      </c>
      <c r="Q2522" s="5">
        <f>IFERROR(__xludf.DUMMYFUNCTION("""COMPUTED_VALUE"""),0.009124694444444444)</f>
        <v>0.009124694444</v>
      </c>
      <c r="R2522" s="4">
        <f>IFERROR(__xludf.DUMMYFUNCTION("""COMPUTED_VALUE"""),45949.04562346799)</f>
        <v>45949.04562</v>
      </c>
      <c r="S2522" s="1" t="b">
        <f>IFERROR(__xludf.DUMMYFUNCTION("""COMPUTED_VALUE"""),TRUE)</f>
        <v>1</v>
      </c>
      <c r="T2522" s="1" t="b">
        <f>IFERROR(__xludf.DUMMYFUNCTION("""COMPUTED_VALUE"""),FALSE)</f>
        <v>0</v>
      </c>
      <c r="U2522" s="1" t="str">
        <f>IFERROR(__xludf.DUMMYFUNCTION("""COMPUTED_VALUE"""),"VALID")</f>
        <v>VALID</v>
      </c>
      <c r="V2522" s="1">
        <f>IFERROR(__xludf.DUMMYFUNCTION("""COMPUTED_VALUE"""),804.0)</f>
        <v>804</v>
      </c>
      <c r="W2522" s="1">
        <f>IFERROR(__xludf.DUMMYFUNCTION("""COMPUTED_VALUE"""),1473.0)</f>
        <v>1473</v>
      </c>
      <c r="X2522" s="1">
        <f>IFERROR(__xludf.DUMMYFUNCTION("""COMPUTED_VALUE"""),1223.0)</f>
        <v>1223</v>
      </c>
      <c r="Y2522" s="2"/>
      <c r="Z2522" s="2"/>
    </row>
    <row r="2523">
      <c r="A2523" s="1">
        <f>IFERROR(__xludf.DUMMYFUNCTION("""COMPUTED_VALUE"""),2522.0)</f>
        <v>2522</v>
      </c>
      <c r="B2523" s="1">
        <f>IFERROR(__xludf.DUMMYFUNCTION("""COMPUTED_VALUE"""),6414.0)</f>
        <v>6414</v>
      </c>
      <c r="C2523" s="2" t="str">
        <f>IFERROR(__xludf.DUMMYFUNCTION("""COMPUTED_VALUE"""),"Ridho Kurnia")</f>
        <v>Ridho Kurnia</v>
      </c>
      <c r="D2523" s="2" t="str">
        <f>IFERROR(__xludf.DUMMYFUNCTION("""COMPUTED_VALUE"""),"5KM OVERALL M")</f>
        <v>5KM OVERALL M</v>
      </c>
      <c r="E2523" s="1">
        <f>IFERROR(__xludf.DUMMYFUNCTION("""COMPUTED_VALUE"""),2.0)</f>
        <v>2</v>
      </c>
      <c r="F2523" s="1" t="str">
        <f>IFERROR(__xludf.DUMMYFUNCTION("""COMPUTED_VALUE"""),"Male")</f>
        <v>Male</v>
      </c>
      <c r="G2523" s="4" t="b">
        <f>IFERROR(__xludf.DUMMYFUNCTION("""COMPUTED_VALUE"""),TRUE)</f>
        <v>1</v>
      </c>
      <c r="H2523" s="4" t="b">
        <f>IFERROR(__xludf.DUMMYFUNCTION("""COMPUTED_VALUE"""),TRUE)</f>
        <v>1</v>
      </c>
      <c r="I2523" s="4">
        <f>IFERROR(__xludf.DUMMYFUNCTION("""COMPUTED_VALUE"""),0.2549440625)</f>
        <v>0.2549440625</v>
      </c>
      <c r="J2523" s="4">
        <f>IFERROR(__xludf.DUMMYFUNCTION("""COMPUTED_VALUE"""),45949.26540171277)</f>
        <v>45949.2654</v>
      </c>
      <c r="K2523" s="4" t="str">
        <f>IFERROR(__xludf.DUMMYFUNCTION("""COMPUTED_VALUE"""),"")</f>
        <v/>
      </c>
      <c r="L2523" s="4">
        <f>IFERROR(__xludf.DUMMYFUNCTION("""COMPUTED_VALUE"""),45949.27311956651)</f>
        <v>45949.27312</v>
      </c>
      <c r="M2523" s="1" t="str">
        <f>IFERROR(__xludf.DUMMYFUNCTION("""COMPUTED_VALUE"""),"RFID")</f>
        <v>RFID</v>
      </c>
      <c r="N2523" s="5">
        <f>IFERROR(__xludf.DUMMYFUNCTION("""COMPUTED_VALUE"""),0.0041830601851851855)</f>
        <v>0.004183060185</v>
      </c>
      <c r="O2523" s="5" t="str">
        <f>IFERROR(__xludf.DUMMYFUNCTION("""COMPUTED_VALUE"""),"")</f>
        <v/>
      </c>
      <c r="P2523" s="5" t="str">
        <f>IFERROR(__xludf.DUMMYFUNCTION("""COMPUTED_VALUE"""),"")</f>
        <v/>
      </c>
      <c r="Q2523" s="5">
        <f>IFERROR(__xludf.DUMMYFUNCTION("""COMPUTED_VALUE"""),0.003635101851851852)</f>
        <v>0.003635101852</v>
      </c>
      <c r="R2523" s="4">
        <f>IFERROR(__xludf.DUMMYFUNCTION("""COMPUTED_VALUE"""),45949.01817550401)</f>
        <v>45949.01818</v>
      </c>
      <c r="S2523" s="1" t="b">
        <f>IFERROR(__xludf.DUMMYFUNCTION("""COMPUTED_VALUE"""),TRUE)</f>
        <v>1</v>
      </c>
      <c r="T2523" s="1" t="b">
        <f>IFERROR(__xludf.DUMMYFUNCTION("""COMPUTED_VALUE"""),FALSE)</f>
        <v>0</v>
      </c>
      <c r="U2523" s="1" t="str">
        <f>IFERROR(__xludf.DUMMYFUNCTION("""COMPUTED_VALUE"""),"VALID")</f>
        <v>VALID</v>
      </c>
      <c r="V2523" s="1">
        <f>IFERROR(__xludf.DUMMYFUNCTION("""COMPUTED_VALUE"""),38.0)</f>
        <v>38</v>
      </c>
      <c r="W2523" s="1">
        <f>IFERROR(__xludf.DUMMYFUNCTION("""COMPUTED_VALUE"""),58.0)</f>
        <v>58</v>
      </c>
      <c r="X2523" s="1">
        <f>IFERROR(__xludf.DUMMYFUNCTION("""COMPUTED_VALUE"""),55.0)</f>
        <v>55</v>
      </c>
      <c r="Y2523" s="2"/>
      <c r="Z2523" s="2"/>
    </row>
    <row r="2524">
      <c r="A2524" s="1">
        <f>IFERROR(__xludf.DUMMYFUNCTION("""COMPUTED_VALUE"""),2523.0)</f>
        <v>2523</v>
      </c>
      <c r="B2524" s="1">
        <f>IFERROR(__xludf.DUMMYFUNCTION("""COMPUTED_VALUE"""),6415.0)</f>
        <v>6415</v>
      </c>
      <c r="C2524" s="2" t="str">
        <f>IFERROR(__xludf.DUMMYFUNCTION("""COMPUTED_VALUE"""),"Ireland")</f>
        <v>Ireland</v>
      </c>
      <c r="D2524" s="2" t="str">
        <f>IFERROR(__xludf.DUMMYFUNCTION("""COMPUTED_VALUE"""),"5KM OVERALL M")</f>
        <v>5KM OVERALL M</v>
      </c>
      <c r="E2524" s="1">
        <f>IFERROR(__xludf.DUMMYFUNCTION("""COMPUTED_VALUE"""),2.0)</f>
        <v>2</v>
      </c>
      <c r="F2524" s="1" t="str">
        <f>IFERROR(__xludf.DUMMYFUNCTION("""COMPUTED_VALUE"""),"Male")</f>
        <v>Male</v>
      </c>
      <c r="G2524" s="4" t="b">
        <f>IFERROR(__xludf.DUMMYFUNCTION("""COMPUTED_VALUE"""),TRUE)</f>
        <v>1</v>
      </c>
      <c r="H2524" s="4" t="b">
        <f>IFERROR(__xludf.DUMMYFUNCTION("""COMPUTED_VALUE"""),TRUE)</f>
        <v>1</v>
      </c>
      <c r="I2524" s="4">
        <f>IFERROR(__xludf.DUMMYFUNCTION("""COMPUTED_VALUE"""),0.2549440625)</f>
        <v>0.2549440625</v>
      </c>
      <c r="J2524" s="4">
        <f>IFERROR(__xludf.DUMMYFUNCTION("""COMPUTED_VALUE"""),45949.27651633955)</f>
        <v>45949.27652</v>
      </c>
      <c r="K2524" s="4" t="str">
        <f>IFERROR(__xludf.DUMMYFUNCTION("""COMPUTED_VALUE"""),"")</f>
        <v/>
      </c>
      <c r="L2524" s="4">
        <f>IFERROR(__xludf.DUMMYFUNCTION("""COMPUTED_VALUE"""),45949.288772397886)</f>
        <v>45949.28877</v>
      </c>
      <c r="M2524" s="1" t="str">
        <f>IFERROR(__xludf.DUMMYFUNCTION("""COMPUTED_VALUE"""),"RFID")</f>
        <v>RFID</v>
      </c>
      <c r="N2524" s="5">
        <f>IFERROR(__xludf.DUMMYFUNCTION("""COMPUTED_VALUE"""),0.008628912037037037)</f>
        <v>0.008628912037</v>
      </c>
      <c r="O2524" s="5" t="str">
        <f>IFERROR(__xludf.DUMMYFUNCTION("""COMPUTED_VALUE"""),"")</f>
        <v/>
      </c>
      <c r="P2524" s="5" t="str">
        <f>IFERROR(__xludf.DUMMYFUNCTION("""COMPUTED_VALUE"""),"")</f>
        <v/>
      </c>
      <c r="Q2524" s="5">
        <f>IFERROR(__xludf.DUMMYFUNCTION("""COMPUTED_VALUE"""),0.006765666666666667)</f>
        <v>0.006765666667</v>
      </c>
      <c r="R2524" s="4">
        <f>IFERROR(__xludf.DUMMYFUNCTION("""COMPUTED_VALUE"""),45949.033828335385)</f>
        <v>45949.03383</v>
      </c>
      <c r="S2524" s="1" t="b">
        <f>IFERROR(__xludf.DUMMYFUNCTION("""COMPUTED_VALUE"""),TRUE)</f>
        <v>1</v>
      </c>
      <c r="T2524" s="1" t="b">
        <f>IFERROR(__xludf.DUMMYFUNCTION("""COMPUTED_VALUE"""),FALSE)</f>
        <v>0</v>
      </c>
      <c r="U2524" s="1" t="str">
        <f>IFERROR(__xludf.DUMMYFUNCTION("""COMPUTED_VALUE"""),"VALID")</f>
        <v>VALID</v>
      </c>
      <c r="V2524" s="1">
        <f>IFERROR(__xludf.DUMMYFUNCTION("""COMPUTED_VALUE"""),529.0)</f>
        <v>529</v>
      </c>
      <c r="W2524" s="1">
        <f>IFERROR(__xludf.DUMMYFUNCTION("""COMPUTED_VALUE"""),831.0)</f>
        <v>831</v>
      </c>
      <c r="X2524" s="1">
        <f>IFERROR(__xludf.DUMMYFUNCTION("""COMPUTED_VALUE"""),682.0)</f>
        <v>682</v>
      </c>
      <c r="Y2524" s="2"/>
      <c r="Z2524" s="2"/>
    </row>
    <row r="2525">
      <c r="A2525" s="1">
        <f>IFERROR(__xludf.DUMMYFUNCTION("""COMPUTED_VALUE"""),2524.0)</f>
        <v>2524</v>
      </c>
      <c r="B2525" s="1">
        <f>IFERROR(__xludf.DUMMYFUNCTION("""COMPUTED_VALUE"""),6416.0)</f>
        <v>6416</v>
      </c>
      <c r="C2525" s="2" t="str">
        <f>IFERROR(__xludf.DUMMYFUNCTION("""COMPUTED_VALUE"""),"Febry")</f>
        <v>Febry</v>
      </c>
      <c r="D2525" s="2" t="str">
        <f>IFERROR(__xludf.DUMMYFUNCTION("""COMPUTED_VALUE"""),"5KM OVERALL M")</f>
        <v>5KM OVERALL M</v>
      </c>
      <c r="E2525" s="1">
        <f>IFERROR(__xludf.DUMMYFUNCTION("""COMPUTED_VALUE"""),2.0)</f>
        <v>2</v>
      </c>
      <c r="F2525" s="1" t="str">
        <f>IFERROR(__xludf.DUMMYFUNCTION("""COMPUTED_VALUE"""),"Male")</f>
        <v>Male</v>
      </c>
      <c r="G2525" s="4" t="b">
        <f>IFERROR(__xludf.DUMMYFUNCTION("""COMPUTED_VALUE"""),TRUE)</f>
        <v>1</v>
      </c>
      <c r="H2525" s="4" t="b">
        <f>IFERROR(__xludf.DUMMYFUNCTION("""COMPUTED_VALUE"""),TRUE)</f>
        <v>1</v>
      </c>
      <c r="I2525" s="4">
        <f>IFERROR(__xludf.DUMMYFUNCTION("""COMPUTED_VALUE"""),0.2549440625)</f>
        <v>0.2549440625</v>
      </c>
      <c r="J2525" s="4">
        <f>IFERROR(__xludf.DUMMYFUNCTION("""COMPUTED_VALUE"""),45949.27351287287)</f>
        <v>45949.27351</v>
      </c>
      <c r="K2525" s="4" t="str">
        <f>IFERROR(__xludf.DUMMYFUNCTION("""COMPUTED_VALUE"""),"")</f>
        <v/>
      </c>
      <c r="L2525" s="4">
        <f>IFERROR(__xludf.DUMMYFUNCTION("""COMPUTED_VALUE"""),45949.28582449134)</f>
        <v>45949.28582</v>
      </c>
      <c r="M2525" s="1" t="str">
        <f>IFERROR(__xludf.DUMMYFUNCTION("""COMPUTED_VALUE"""),"RFID")</f>
        <v>RFID</v>
      </c>
      <c r="N2525" s="5">
        <f>IFERROR(__xludf.DUMMYFUNCTION("""COMPUTED_VALUE"""),0.0074275231481481475)</f>
        <v>0.007427523148</v>
      </c>
      <c r="O2525" s="5" t="str">
        <f>IFERROR(__xludf.DUMMYFUNCTION("""COMPUTED_VALUE"""),"")</f>
        <v/>
      </c>
      <c r="P2525" s="5" t="str">
        <f>IFERROR(__xludf.DUMMYFUNCTION("""COMPUTED_VALUE"""),"")</f>
        <v/>
      </c>
      <c r="Q2525" s="5">
        <f>IFERROR(__xludf.DUMMYFUNCTION("""COMPUTED_VALUE"""),0.006176085648148148)</f>
        <v>0.006176085648</v>
      </c>
      <c r="R2525" s="4">
        <f>IFERROR(__xludf.DUMMYFUNCTION("""COMPUTED_VALUE"""),45949.030880428836)</f>
        <v>45949.03088</v>
      </c>
      <c r="S2525" s="1" t="b">
        <f>IFERROR(__xludf.DUMMYFUNCTION("""COMPUTED_VALUE"""),TRUE)</f>
        <v>1</v>
      </c>
      <c r="T2525" s="1" t="b">
        <f>IFERROR(__xludf.DUMMYFUNCTION("""COMPUTED_VALUE"""),FALSE)</f>
        <v>0</v>
      </c>
      <c r="U2525" s="1" t="str">
        <f>IFERROR(__xludf.DUMMYFUNCTION("""COMPUTED_VALUE"""),"VALID")</f>
        <v>VALID</v>
      </c>
      <c r="V2525" s="1">
        <f>IFERROR(__xludf.DUMMYFUNCTION("""COMPUTED_VALUE"""),410.0)</f>
        <v>410</v>
      </c>
      <c r="W2525" s="1">
        <f>IFERROR(__xludf.DUMMYFUNCTION("""COMPUTED_VALUE"""),626.0)</f>
        <v>626</v>
      </c>
      <c r="X2525" s="1">
        <f>IFERROR(__xludf.DUMMYFUNCTION("""COMPUTED_VALUE"""),525.0)</f>
        <v>525</v>
      </c>
      <c r="Y2525" s="2"/>
      <c r="Z2525" s="2"/>
    </row>
    <row r="2526">
      <c r="A2526" s="1">
        <f>IFERROR(__xludf.DUMMYFUNCTION("""COMPUTED_VALUE"""),2525.0)</f>
        <v>2525</v>
      </c>
      <c r="B2526" s="1">
        <f>IFERROR(__xludf.DUMMYFUNCTION("""COMPUTED_VALUE"""),6417.0)</f>
        <v>6417</v>
      </c>
      <c r="C2526" s="2" t="str">
        <f>IFERROR(__xludf.DUMMYFUNCTION("""COMPUTED_VALUE"""),"Muhammad Ferdy Wardhana")</f>
        <v>Muhammad Ferdy Wardhana</v>
      </c>
      <c r="D2526" s="2" t="str">
        <f>IFERROR(__xludf.DUMMYFUNCTION("""COMPUTED_VALUE"""),"5KM OVERALL M")</f>
        <v>5KM OVERALL M</v>
      </c>
      <c r="E2526" s="1">
        <f>IFERROR(__xludf.DUMMYFUNCTION("""COMPUTED_VALUE"""),2.0)</f>
        <v>2</v>
      </c>
      <c r="F2526" s="1" t="str">
        <f>IFERROR(__xludf.DUMMYFUNCTION("""COMPUTED_VALUE"""),"Male")</f>
        <v>Male</v>
      </c>
      <c r="G2526" s="4" t="b">
        <f>IFERROR(__xludf.DUMMYFUNCTION("""COMPUTED_VALUE"""),TRUE)</f>
        <v>1</v>
      </c>
      <c r="H2526" s="4" t="b">
        <f>IFERROR(__xludf.DUMMYFUNCTION("""COMPUTED_VALUE"""),TRUE)</f>
        <v>1</v>
      </c>
      <c r="I2526" s="4">
        <f>IFERROR(__xludf.DUMMYFUNCTION("""COMPUTED_VALUE"""),0.2549440625)</f>
        <v>0.2549440625</v>
      </c>
      <c r="J2526" s="4">
        <f>IFERROR(__xludf.DUMMYFUNCTION("""COMPUTED_VALUE"""),45949.27081489229)</f>
        <v>45949.27081</v>
      </c>
      <c r="K2526" s="4" t="str">
        <f>IFERROR(__xludf.DUMMYFUNCTION("""COMPUTED_VALUE"""),"")</f>
        <v/>
      </c>
      <c r="L2526" s="4">
        <f>IFERROR(__xludf.DUMMYFUNCTION("""COMPUTED_VALUE"""),45949.28433490417)</f>
        <v>45949.28433</v>
      </c>
      <c r="M2526" s="1" t="str">
        <f>IFERROR(__xludf.DUMMYFUNCTION("""COMPUTED_VALUE"""),"RFID")</f>
        <v>RFID</v>
      </c>
      <c r="N2526" s="5">
        <f>IFERROR(__xludf.DUMMYFUNCTION("""COMPUTED_VALUE"""),0.006348333333333333)</f>
        <v>0.006348333333</v>
      </c>
      <c r="O2526" s="5" t="str">
        <f>IFERROR(__xludf.DUMMYFUNCTION("""COMPUTED_VALUE"""),"")</f>
        <v/>
      </c>
      <c r="P2526" s="5" t="str">
        <f>IFERROR(__xludf.DUMMYFUNCTION("""COMPUTED_VALUE"""),"")</f>
        <v/>
      </c>
      <c r="Q2526" s="5">
        <f>IFERROR(__xludf.DUMMYFUNCTION("""COMPUTED_VALUE"""),0.005878168981481482)</f>
        <v>0.005878168981</v>
      </c>
      <c r="R2526" s="4">
        <f>IFERROR(__xludf.DUMMYFUNCTION("""COMPUTED_VALUE"""),45949.02939084167)</f>
        <v>45949.02939</v>
      </c>
      <c r="S2526" s="1" t="b">
        <f>IFERROR(__xludf.DUMMYFUNCTION("""COMPUTED_VALUE"""),TRUE)</f>
        <v>1</v>
      </c>
      <c r="T2526" s="1" t="b">
        <f>IFERROR(__xludf.DUMMYFUNCTION("""COMPUTED_VALUE"""),FALSE)</f>
        <v>0</v>
      </c>
      <c r="U2526" s="1" t="str">
        <f>IFERROR(__xludf.DUMMYFUNCTION("""COMPUTED_VALUE"""),"VALID")</f>
        <v>VALID</v>
      </c>
      <c r="V2526" s="1">
        <f>IFERROR(__xludf.DUMMYFUNCTION("""COMPUTED_VALUE"""),352.0)</f>
        <v>352</v>
      </c>
      <c r="W2526" s="1">
        <f>IFERROR(__xludf.DUMMYFUNCTION("""COMPUTED_VALUE"""),524.0)</f>
        <v>524</v>
      </c>
      <c r="X2526" s="1">
        <f>IFERROR(__xludf.DUMMYFUNCTION("""COMPUTED_VALUE"""),454.0)</f>
        <v>454</v>
      </c>
      <c r="Y2526" s="2"/>
      <c r="Z2526" s="2"/>
    </row>
    <row r="2527">
      <c r="A2527" s="1">
        <f>IFERROR(__xludf.DUMMYFUNCTION("""COMPUTED_VALUE"""),2526.0)</f>
        <v>2526</v>
      </c>
      <c r="B2527" s="1">
        <f>IFERROR(__xludf.DUMMYFUNCTION("""COMPUTED_VALUE"""),6418.0)</f>
        <v>6418</v>
      </c>
      <c r="C2527" s="2" t="str">
        <f>IFERROR(__xludf.DUMMYFUNCTION("""COMPUTED_VALUE"""),"Rozie")</f>
        <v>Rozie</v>
      </c>
      <c r="D2527" s="2" t="str">
        <f>IFERROR(__xludf.DUMMYFUNCTION("""COMPUTED_VALUE"""),"5KM OVERALL M")</f>
        <v>5KM OVERALL M</v>
      </c>
      <c r="E2527" s="1">
        <f>IFERROR(__xludf.DUMMYFUNCTION("""COMPUTED_VALUE"""),2.0)</f>
        <v>2</v>
      </c>
      <c r="F2527" s="1" t="str">
        <f>IFERROR(__xludf.DUMMYFUNCTION("""COMPUTED_VALUE"""),"Male")</f>
        <v>Male</v>
      </c>
      <c r="G2527" s="4" t="b">
        <f>IFERROR(__xludf.DUMMYFUNCTION("""COMPUTED_VALUE"""),TRUE)</f>
        <v>1</v>
      </c>
      <c r="H2527" s="4" t="b">
        <f>IFERROR(__xludf.DUMMYFUNCTION("""COMPUTED_VALUE"""),FALSE)</f>
        <v>0</v>
      </c>
      <c r="I2527" s="4">
        <f>IFERROR(__xludf.DUMMYFUNCTION("""COMPUTED_VALUE"""),0.2549440625)</f>
        <v>0.2549440625</v>
      </c>
      <c r="J2527" s="4">
        <f>IFERROR(__xludf.DUMMYFUNCTION("""COMPUTED_VALUE"""),45949.26562396618)</f>
        <v>45949.26562</v>
      </c>
      <c r="K2527" s="4" t="str">
        <f>IFERROR(__xludf.DUMMYFUNCTION("""COMPUTED_VALUE"""),"")</f>
        <v/>
      </c>
      <c r="L2527" s="4">
        <f>IFERROR(__xludf.DUMMYFUNCTION("""COMPUTED_VALUE"""),45949.274696005836)</f>
        <v>45949.2747</v>
      </c>
      <c r="M2527" s="1" t="str">
        <f>IFERROR(__xludf.DUMMYFUNCTION("""COMPUTED_VALUE"""),"RFID")</f>
        <v>RFID</v>
      </c>
      <c r="N2527" s="5">
        <f>IFERROR(__xludf.DUMMYFUNCTION("""COMPUTED_VALUE"""),0.004271962962962963)</f>
        <v>0.004271962963</v>
      </c>
      <c r="O2527" s="5" t="str">
        <f>IFERROR(__xludf.DUMMYFUNCTION("""COMPUTED_VALUE"""),"")</f>
        <v/>
      </c>
      <c r="P2527" s="5" t="str">
        <f>IFERROR(__xludf.DUMMYFUNCTION("""COMPUTED_VALUE"""),"")</f>
        <v/>
      </c>
      <c r="Q2527" s="5">
        <f>IFERROR(__xludf.DUMMYFUNCTION("""COMPUTED_VALUE"""),0.003950388888888889)</f>
        <v>0.003950388889</v>
      </c>
      <c r="R2527" s="4">
        <f>IFERROR(__xludf.DUMMYFUNCTION("""COMPUTED_VALUE"""),45949.019751943335)</f>
        <v>45949.01975</v>
      </c>
      <c r="S2527" s="1" t="b">
        <f>IFERROR(__xludf.DUMMYFUNCTION("""COMPUTED_VALUE"""),TRUE)</f>
        <v>1</v>
      </c>
      <c r="T2527" s="1" t="b">
        <f>IFERROR(__xludf.DUMMYFUNCTION("""COMPUTED_VALUE"""),FALSE)</f>
        <v>0</v>
      </c>
      <c r="U2527" s="1" t="str">
        <f>IFERROR(__xludf.DUMMYFUNCTION("""COMPUTED_VALUE"""),"VALID")</f>
        <v>VALID</v>
      </c>
      <c r="V2527" s="1">
        <f>IFERROR(__xludf.DUMMYFUNCTION("""COMPUTED_VALUE"""),74.0)</f>
        <v>74</v>
      </c>
      <c r="W2527" s="1">
        <f>IFERROR(__xludf.DUMMYFUNCTION("""COMPUTED_VALUE"""),109.0)</f>
        <v>109</v>
      </c>
      <c r="X2527" s="1">
        <f>IFERROR(__xludf.DUMMYFUNCTION("""COMPUTED_VALUE"""),98.0)</f>
        <v>98</v>
      </c>
      <c r="Y2527" s="2"/>
      <c r="Z2527" s="2"/>
    </row>
    <row r="2528">
      <c r="A2528" s="1">
        <f>IFERROR(__xludf.DUMMYFUNCTION("""COMPUTED_VALUE"""),2527.0)</f>
        <v>2527</v>
      </c>
      <c r="B2528" s="1">
        <f>IFERROR(__xludf.DUMMYFUNCTION("""COMPUTED_VALUE"""),6419.0)</f>
        <v>6419</v>
      </c>
      <c r="C2528" s="2" t="str">
        <f>IFERROR(__xludf.DUMMYFUNCTION("""COMPUTED_VALUE"""),"WAHYU DWI SISWANTO")</f>
        <v>WAHYU DWI SISWANTO</v>
      </c>
      <c r="D2528" s="2" t="str">
        <f>IFERROR(__xludf.DUMMYFUNCTION("""COMPUTED_VALUE"""),"5KM OVERALL M")</f>
        <v>5KM OVERALL M</v>
      </c>
      <c r="E2528" s="1">
        <f>IFERROR(__xludf.DUMMYFUNCTION("""COMPUTED_VALUE"""),2.0)</f>
        <v>2</v>
      </c>
      <c r="F2528" s="1" t="str">
        <f>IFERROR(__xludf.DUMMYFUNCTION("""COMPUTED_VALUE"""),"Male")</f>
        <v>Male</v>
      </c>
      <c r="G2528" s="4" t="b">
        <f>IFERROR(__xludf.DUMMYFUNCTION("""COMPUTED_VALUE"""),TRUE)</f>
        <v>1</v>
      </c>
      <c r="H2528" s="4" t="b">
        <f>IFERROR(__xludf.DUMMYFUNCTION("""COMPUTED_VALUE"""),TRUE)</f>
        <v>1</v>
      </c>
      <c r="I2528" s="4">
        <f>IFERROR(__xludf.DUMMYFUNCTION("""COMPUTED_VALUE"""),0.2549440625)</f>
        <v>0.2549440625</v>
      </c>
      <c r="J2528" s="4">
        <f>IFERROR(__xludf.DUMMYFUNCTION("""COMPUTED_VALUE"""),45949.26922809077)</f>
        <v>45949.26923</v>
      </c>
      <c r="K2528" s="4" t="str">
        <f>IFERROR(__xludf.DUMMYFUNCTION("""COMPUTED_VALUE"""),"")</f>
        <v/>
      </c>
      <c r="L2528" s="4">
        <f>IFERROR(__xludf.DUMMYFUNCTION("""COMPUTED_VALUE"""),45949.27967610022)</f>
        <v>45949.27968</v>
      </c>
      <c r="M2528" s="1" t="str">
        <f>IFERROR(__xludf.DUMMYFUNCTION("""COMPUTED_VALUE"""),"RFID")</f>
        <v>RFID</v>
      </c>
      <c r="N2528" s="5">
        <f>IFERROR(__xludf.DUMMYFUNCTION("""COMPUTED_VALUE"""),0.005713611111111112)</f>
        <v>0.005713611111</v>
      </c>
      <c r="O2528" s="5" t="str">
        <f>IFERROR(__xludf.DUMMYFUNCTION("""COMPUTED_VALUE"""),"")</f>
        <v/>
      </c>
      <c r="P2528" s="5" t="str">
        <f>IFERROR(__xludf.DUMMYFUNCTION("""COMPUTED_VALUE"""),"")</f>
        <v/>
      </c>
      <c r="Q2528" s="5">
        <f>IFERROR(__xludf.DUMMYFUNCTION("""COMPUTED_VALUE"""),0.004946407407407407)</f>
        <v>0.004946407407</v>
      </c>
      <c r="R2528" s="4">
        <f>IFERROR(__xludf.DUMMYFUNCTION("""COMPUTED_VALUE"""),45949.02473203772)</f>
        <v>45949.02473</v>
      </c>
      <c r="S2528" s="1" t="b">
        <f>IFERROR(__xludf.DUMMYFUNCTION("""COMPUTED_VALUE"""),TRUE)</f>
        <v>1</v>
      </c>
      <c r="T2528" s="1" t="b">
        <f>IFERROR(__xludf.DUMMYFUNCTION("""COMPUTED_VALUE"""),FALSE)</f>
        <v>0</v>
      </c>
      <c r="U2528" s="1" t="str">
        <f>IFERROR(__xludf.DUMMYFUNCTION("""COMPUTED_VALUE"""),"VALID")</f>
        <v>VALID</v>
      </c>
      <c r="V2528" s="1">
        <f>IFERROR(__xludf.DUMMYFUNCTION("""COMPUTED_VALUE"""),178.0)</f>
        <v>178</v>
      </c>
      <c r="W2528" s="1">
        <f>IFERROR(__xludf.DUMMYFUNCTION("""COMPUTED_VALUE"""),273.0)</f>
        <v>273</v>
      </c>
      <c r="X2528" s="1">
        <f>IFERROR(__xludf.DUMMYFUNCTION("""COMPUTED_VALUE"""),239.0)</f>
        <v>239</v>
      </c>
      <c r="Y2528" s="2"/>
      <c r="Z2528" s="2"/>
    </row>
    <row r="2529">
      <c r="A2529" s="1">
        <f>IFERROR(__xludf.DUMMYFUNCTION("""COMPUTED_VALUE"""),2528.0)</f>
        <v>2528</v>
      </c>
      <c r="B2529" s="1">
        <f>IFERROR(__xludf.DUMMYFUNCTION("""COMPUTED_VALUE"""),6420.0)</f>
        <v>6420</v>
      </c>
      <c r="C2529" s="2" t="str">
        <f>IFERROR(__xludf.DUMMYFUNCTION("""COMPUTED_VALUE"""),"JAHIF")</f>
        <v>JAHIF</v>
      </c>
      <c r="D2529" s="2" t="str">
        <f>IFERROR(__xludf.DUMMYFUNCTION("""COMPUTED_VALUE"""),"5KM OVERALL M")</f>
        <v>5KM OVERALL M</v>
      </c>
      <c r="E2529" s="1">
        <f>IFERROR(__xludf.DUMMYFUNCTION("""COMPUTED_VALUE"""),2.0)</f>
        <v>2</v>
      </c>
      <c r="F2529" s="1" t="str">
        <f>IFERROR(__xludf.DUMMYFUNCTION("""COMPUTED_VALUE"""),"Male")</f>
        <v>Male</v>
      </c>
      <c r="G2529" s="4" t="b">
        <f>IFERROR(__xludf.DUMMYFUNCTION("""COMPUTED_VALUE"""),TRUE)</f>
        <v>1</v>
      </c>
      <c r="H2529" s="4" t="b">
        <f>IFERROR(__xludf.DUMMYFUNCTION("""COMPUTED_VALUE"""),TRUE)</f>
        <v>1</v>
      </c>
      <c r="I2529" s="4">
        <f>IFERROR(__xludf.DUMMYFUNCTION("""COMPUTED_VALUE"""),0.2549440625)</f>
        <v>0.2549440625</v>
      </c>
      <c r="J2529" s="4">
        <f>IFERROR(__xludf.DUMMYFUNCTION("""COMPUTED_VALUE"""),45949.270235086005)</f>
        <v>45949.27024</v>
      </c>
      <c r="K2529" s="4" t="str">
        <f>IFERROR(__xludf.DUMMYFUNCTION("""COMPUTED_VALUE"""),"")</f>
        <v/>
      </c>
      <c r="L2529" s="4">
        <f>IFERROR(__xludf.DUMMYFUNCTION("""COMPUTED_VALUE"""),45949.28137303614)</f>
        <v>45949.28137</v>
      </c>
      <c r="M2529" s="1" t="str">
        <f>IFERROR(__xludf.DUMMYFUNCTION("""COMPUTED_VALUE"""),"RFID")</f>
        <v>RFID</v>
      </c>
      <c r="N2529" s="5">
        <f>IFERROR(__xludf.DUMMYFUNCTION("""COMPUTED_VALUE"""),0.006116407407407407)</f>
        <v>0.006116407407</v>
      </c>
      <c r="O2529" s="5" t="str">
        <f>IFERROR(__xludf.DUMMYFUNCTION("""COMPUTED_VALUE"""),"")</f>
        <v/>
      </c>
      <c r="P2529" s="5" t="str">
        <f>IFERROR(__xludf.DUMMYFUNCTION("""COMPUTED_VALUE"""),"")</f>
        <v/>
      </c>
      <c r="Q2529" s="5">
        <f>IFERROR(__xludf.DUMMYFUNCTION("""COMPUTED_VALUE"""),0.005285793981481482)</f>
        <v>0.005285793981</v>
      </c>
      <c r="R2529" s="4">
        <f>IFERROR(__xludf.DUMMYFUNCTION("""COMPUTED_VALUE"""),45949.02642897364)</f>
        <v>45949.02643</v>
      </c>
      <c r="S2529" s="1" t="b">
        <f>IFERROR(__xludf.DUMMYFUNCTION("""COMPUTED_VALUE"""),TRUE)</f>
        <v>1</v>
      </c>
      <c r="T2529" s="1" t="b">
        <f>IFERROR(__xludf.DUMMYFUNCTION("""COMPUTED_VALUE"""),FALSE)</f>
        <v>0</v>
      </c>
      <c r="U2529" s="1" t="str">
        <f>IFERROR(__xludf.DUMMYFUNCTION("""COMPUTED_VALUE"""),"VALID")</f>
        <v>VALID</v>
      </c>
      <c r="V2529" s="1">
        <f>IFERROR(__xludf.DUMMYFUNCTION("""COMPUTED_VALUE"""),232.0)</f>
        <v>232</v>
      </c>
      <c r="W2529" s="1">
        <f>IFERROR(__xludf.DUMMYFUNCTION("""COMPUTED_VALUE"""),356.0)</f>
        <v>356</v>
      </c>
      <c r="X2529" s="1">
        <f>IFERROR(__xludf.DUMMYFUNCTION("""COMPUTED_VALUE"""),310.0)</f>
        <v>310</v>
      </c>
      <c r="Y2529" s="2"/>
      <c r="Z2529" s="2"/>
    </row>
    <row r="2530">
      <c r="A2530" s="1">
        <f>IFERROR(__xludf.DUMMYFUNCTION("""COMPUTED_VALUE"""),2529.0)</f>
        <v>2529</v>
      </c>
      <c r="B2530" s="1">
        <f>IFERROR(__xludf.DUMMYFUNCTION("""COMPUTED_VALUE"""),6422.0)</f>
        <v>6422</v>
      </c>
      <c r="C2530" s="2" t="str">
        <f>IFERROR(__xludf.DUMMYFUNCTION("""COMPUTED_VALUE"""),"Tazmi Little")</f>
        <v>Tazmi Little</v>
      </c>
      <c r="D2530" s="2" t="str">
        <f>IFERROR(__xludf.DUMMYFUNCTION("""COMPUTED_VALUE"""),"5KM OVERALL M")</f>
        <v>5KM OVERALL M</v>
      </c>
      <c r="E2530" s="1">
        <f>IFERROR(__xludf.DUMMYFUNCTION("""COMPUTED_VALUE"""),2.0)</f>
        <v>2</v>
      </c>
      <c r="F2530" s="1" t="str">
        <f>IFERROR(__xludf.DUMMYFUNCTION("""COMPUTED_VALUE"""),"Male")</f>
        <v>Male</v>
      </c>
      <c r="G2530" s="4" t="b">
        <f>IFERROR(__xludf.DUMMYFUNCTION("""COMPUTED_VALUE"""),TRUE)</f>
        <v>1</v>
      </c>
      <c r="H2530" s="4" t="b">
        <f>IFERROR(__xludf.DUMMYFUNCTION("""COMPUTED_VALUE"""),FALSE)</f>
        <v>0</v>
      </c>
      <c r="I2530" s="4">
        <f>IFERROR(__xludf.DUMMYFUNCTION("""COMPUTED_VALUE"""),0.2549440625)</f>
        <v>0.2549440625</v>
      </c>
      <c r="J2530" s="4">
        <f>IFERROR(__xludf.DUMMYFUNCTION("""COMPUTED_VALUE"""),45949.26734647378)</f>
        <v>45949.26735</v>
      </c>
      <c r="K2530" s="4" t="str">
        <f>IFERROR(__xludf.DUMMYFUNCTION("""COMPUTED_VALUE"""),"")</f>
        <v/>
      </c>
      <c r="L2530" s="4">
        <f>IFERROR(__xludf.DUMMYFUNCTION("""COMPUTED_VALUE"""),45949.275571589525)</f>
        <v>45949.27557</v>
      </c>
      <c r="M2530" s="1" t="str">
        <f>IFERROR(__xludf.DUMMYFUNCTION("""COMPUTED_VALUE"""),"RFID")</f>
        <v>RFID</v>
      </c>
      <c r="N2530" s="5">
        <f>IFERROR(__xludf.DUMMYFUNCTION("""COMPUTED_VALUE"""),0.004960962962962963)</f>
        <v>0.004960962963</v>
      </c>
      <c r="O2530" s="5" t="str">
        <f>IFERROR(__xludf.DUMMYFUNCTION("""COMPUTED_VALUE"""),"")</f>
        <v/>
      </c>
      <c r="P2530" s="5" t="str">
        <f>IFERROR(__xludf.DUMMYFUNCTION("""COMPUTED_VALUE"""),"")</f>
        <v/>
      </c>
      <c r="Q2530" s="5">
        <f>IFERROR(__xludf.DUMMYFUNCTION("""COMPUTED_VALUE"""),0.00412550462962963)</f>
        <v>0.00412550463</v>
      </c>
      <c r="R2530" s="4">
        <f>IFERROR(__xludf.DUMMYFUNCTION("""COMPUTED_VALUE"""),45949.020627527025)</f>
        <v>45949.02063</v>
      </c>
      <c r="S2530" s="1" t="b">
        <f>IFERROR(__xludf.DUMMYFUNCTION("""COMPUTED_VALUE"""),TRUE)</f>
        <v>1</v>
      </c>
      <c r="T2530" s="1" t="b">
        <f>IFERROR(__xludf.DUMMYFUNCTION("""COMPUTED_VALUE"""),FALSE)</f>
        <v>0</v>
      </c>
      <c r="U2530" s="1" t="str">
        <f>IFERROR(__xludf.DUMMYFUNCTION("""COMPUTED_VALUE"""),"VALID")</f>
        <v>VALID</v>
      </c>
      <c r="V2530" s="1">
        <f>IFERROR(__xludf.DUMMYFUNCTION("""COMPUTED_VALUE"""),86.0)</f>
        <v>86</v>
      </c>
      <c r="W2530" s="1">
        <f>IFERROR(__xludf.DUMMYFUNCTION("""COMPUTED_VALUE"""),132.0)</f>
        <v>132</v>
      </c>
      <c r="X2530" s="1">
        <f>IFERROR(__xludf.DUMMYFUNCTION("""COMPUTED_VALUE"""),120.0)</f>
        <v>120</v>
      </c>
      <c r="Y2530" s="2"/>
      <c r="Z2530" s="2"/>
    </row>
    <row r="2531">
      <c r="A2531" s="1">
        <f>IFERROR(__xludf.DUMMYFUNCTION("""COMPUTED_VALUE"""),2530.0)</f>
        <v>2530</v>
      </c>
      <c r="B2531" s="1">
        <f>IFERROR(__xludf.DUMMYFUNCTION("""COMPUTED_VALUE"""),6423.0)</f>
        <v>6423</v>
      </c>
      <c r="C2531" s="2" t="str">
        <f>IFERROR(__xludf.DUMMYFUNCTION("""COMPUTED_VALUE"""),"HAIDIR ALI")</f>
        <v>HAIDIR ALI</v>
      </c>
      <c r="D2531" s="2" t="str">
        <f>IFERROR(__xludf.DUMMYFUNCTION("""COMPUTED_VALUE"""),"5KM OVERALL M")</f>
        <v>5KM OVERALL M</v>
      </c>
      <c r="E2531" s="1">
        <f>IFERROR(__xludf.DUMMYFUNCTION("""COMPUTED_VALUE"""),2.0)</f>
        <v>2</v>
      </c>
      <c r="F2531" s="1" t="str">
        <f>IFERROR(__xludf.DUMMYFUNCTION("""COMPUTED_VALUE"""),"Male")</f>
        <v>Male</v>
      </c>
      <c r="G2531" s="4" t="b">
        <f>IFERROR(__xludf.DUMMYFUNCTION("""COMPUTED_VALUE"""),TRUE)</f>
        <v>1</v>
      </c>
      <c r="H2531" s="4" t="b">
        <f>IFERROR(__xludf.DUMMYFUNCTION("""COMPUTED_VALUE"""),TRUE)</f>
        <v>1</v>
      </c>
      <c r="I2531" s="4">
        <f>IFERROR(__xludf.DUMMYFUNCTION("""COMPUTED_VALUE"""),0.2549440625)</f>
        <v>0.2549440625</v>
      </c>
      <c r="J2531" s="4">
        <f>IFERROR(__xludf.DUMMYFUNCTION("""COMPUTED_VALUE"""),45949.26629406348)</f>
        <v>45949.26629</v>
      </c>
      <c r="K2531" s="4" t="str">
        <f>IFERROR(__xludf.DUMMYFUNCTION("""COMPUTED_VALUE"""),"")</f>
        <v/>
      </c>
      <c r="L2531" s="4">
        <f>IFERROR(__xludf.DUMMYFUNCTION("""COMPUTED_VALUE"""),45949.27548421637)</f>
        <v>45949.27548</v>
      </c>
      <c r="M2531" s="1" t="str">
        <f>IFERROR(__xludf.DUMMYFUNCTION("""COMPUTED_VALUE"""),"RFID")</f>
        <v>RFID</v>
      </c>
      <c r="N2531" s="5">
        <f>IFERROR(__xludf.DUMMYFUNCTION("""COMPUTED_VALUE"""),0.00454)</f>
        <v>0.00454</v>
      </c>
      <c r="O2531" s="5" t="str">
        <f>IFERROR(__xludf.DUMMYFUNCTION("""COMPUTED_VALUE"""),"")</f>
        <v/>
      </c>
      <c r="P2531" s="5" t="str">
        <f>IFERROR(__xludf.DUMMYFUNCTION("""COMPUTED_VALUE"""),"")</f>
        <v/>
      </c>
      <c r="Q2531" s="5">
        <f>IFERROR(__xludf.DUMMYFUNCTION("""COMPUTED_VALUE"""),0.004108030092592593)</f>
        <v>0.004108030093</v>
      </c>
      <c r="R2531" s="4">
        <f>IFERROR(__xludf.DUMMYFUNCTION("""COMPUTED_VALUE"""),45949.02054015387)</f>
        <v>45949.02054</v>
      </c>
      <c r="S2531" s="1" t="b">
        <f>IFERROR(__xludf.DUMMYFUNCTION("""COMPUTED_VALUE"""),TRUE)</f>
        <v>1</v>
      </c>
      <c r="T2531" s="1" t="b">
        <f>IFERROR(__xludf.DUMMYFUNCTION("""COMPUTED_VALUE"""),FALSE)</f>
        <v>0</v>
      </c>
      <c r="U2531" s="1" t="str">
        <f>IFERROR(__xludf.DUMMYFUNCTION("""COMPUTED_VALUE"""),"VALID")</f>
        <v>VALID</v>
      </c>
      <c r="V2531" s="1">
        <f>IFERROR(__xludf.DUMMYFUNCTION("""COMPUTED_VALUE"""),82.0)</f>
        <v>82</v>
      </c>
      <c r="W2531" s="1">
        <f>IFERROR(__xludf.DUMMYFUNCTION("""COMPUTED_VALUE"""),128.0)</f>
        <v>128</v>
      </c>
      <c r="X2531" s="1">
        <f>IFERROR(__xludf.DUMMYFUNCTION("""COMPUTED_VALUE"""),116.0)</f>
        <v>116</v>
      </c>
      <c r="Y2531" s="2"/>
      <c r="Z2531" s="2"/>
    </row>
    <row r="2532">
      <c r="A2532" s="1">
        <f>IFERROR(__xludf.DUMMYFUNCTION("""COMPUTED_VALUE"""),2531.0)</f>
        <v>2531</v>
      </c>
      <c r="B2532" s="1">
        <f>IFERROR(__xludf.DUMMYFUNCTION("""COMPUTED_VALUE"""),6431.0)</f>
        <v>6431</v>
      </c>
      <c r="C2532" s="2" t="str">
        <f>IFERROR(__xludf.DUMMYFUNCTION("""COMPUTED_VALUE"""),"JAYA")</f>
        <v>JAYA</v>
      </c>
      <c r="D2532" s="2" t="str">
        <f>IFERROR(__xludf.DUMMYFUNCTION("""COMPUTED_VALUE"""),"5KM OVERALL M")</f>
        <v>5KM OVERALL M</v>
      </c>
      <c r="E2532" s="1">
        <f>IFERROR(__xludf.DUMMYFUNCTION("""COMPUTED_VALUE"""),2.0)</f>
        <v>2</v>
      </c>
      <c r="F2532" s="1" t="str">
        <f>IFERROR(__xludf.DUMMYFUNCTION("""COMPUTED_VALUE"""),"Male")</f>
        <v>Male</v>
      </c>
      <c r="G2532" s="4" t="b">
        <f>IFERROR(__xludf.DUMMYFUNCTION("""COMPUTED_VALUE"""),TRUE)</f>
        <v>1</v>
      </c>
      <c r="H2532" s="4" t="b">
        <f>IFERROR(__xludf.DUMMYFUNCTION("""COMPUTED_VALUE"""),TRUE)</f>
        <v>1</v>
      </c>
      <c r="I2532" s="4">
        <f>IFERROR(__xludf.DUMMYFUNCTION("""COMPUTED_VALUE"""),0.2549440625)</f>
        <v>0.2549440625</v>
      </c>
      <c r="J2532" s="4">
        <f>IFERROR(__xludf.DUMMYFUNCTION("""COMPUTED_VALUE"""),45949.26635656181)</f>
        <v>45949.26636</v>
      </c>
      <c r="K2532" s="4" t="str">
        <f>IFERROR(__xludf.DUMMYFUNCTION("""COMPUTED_VALUE"""),"")</f>
        <v/>
      </c>
      <c r="L2532" s="4">
        <f>IFERROR(__xludf.DUMMYFUNCTION("""COMPUTED_VALUE"""),45949.27551197749)</f>
        <v>45949.27551</v>
      </c>
      <c r="M2532" s="1" t="str">
        <f>IFERROR(__xludf.DUMMYFUNCTION("""COMPUTED_VALUE"""),"RFID")</f>
        <v>RFID</v>
      </c>
      <c r="N2532" s="5">
        <f>IFERROR(__xludf.DUMMYFUNCTION("""COMPUTED_VALUE"""),0.004565)</f>
        <v>0.004565</v>
      </c>
      <c r="O2532" s="5" t="str">
        <f>IFERROR(__xludf.DUMMYFUNCTION("""COMPUTED_VALUE"""),"")</f>
        <v/>
      </c>
      <c r="P2532" s="5" t="str">
        <f>IFERROR(__xludf.DUMMYFUNCTION("""COMPUTED_VALUE"""),"")</f>
        <v/>
      </c>
      <c r="Q2532" s="5">
        <f>IFERROR(__xludf.DUMMYFUNCTION("""COMPUTED_VALUE"""),0.004113583333333333)</f>
        <v>0.004113583333</v>
      </c>
      <c r="R2532" s="4">
        <f>IFERROR(__xludf.DUMMYFUNCTION("""COMPUTED_VALUE"""),45949.02056791499)</f>
        <v>45949.02057</v>
      </c>
      <c r="S2532" s="1" t="b">
        <f>IFERROR(__xludf.DUMMYFUNCTION("""COMPUTED_VALUE"""),TRUE)</f>
        <v>1</v>
      </c>
      <c r="T2532" s="1" t="b">
        <f>IFERROR(__xludf.DUMMYFUNCTION("""COMPUTED_VALUE"""),FALSE)</f>
        <v>0</v>
      </c>
      <c r="U2532" s="1" t="str">
        <f>IFERROR(__xludf.DUMMYFUNCTION("""COMPUTED_VALUE"""),"VALID")</f>
        <v>VALID</v>
      </c>
      <c r="V2532" s="1">
        <f>IFERROR(__xludf.DUMMYFUNCTION("""COMPUTED_VALUE"""),83.0)</f>
        <v>83</v>
      </c>
      <c r="W2532" s="1">
        <f>IFERROR(__xludf.DUMMYFUNCTION("""COMPUTED_VALUE"""),129.0)</f>
        <v>129</v>
      </c>
      <c r="X2532" s="1">
        <f>IFERROR(__xludf.DUMMYFUNCTION("""COMPUTED_VALUE"""),117.0)</f>
        <v>117</v>
      </c>
      <c r="Y2532" s="2"/>
      <c r="Z2532" s="2"/>
    </row>
    <row r="2533">
      <c r="A2533" s="1">
        <f>IFERROR(__xludf.DUMMYFUNCTION("""COMPUTED_VALUE"""),2532.0)</f>
        <v>2532</v>
      </c>
      <c r="B2533" s="1">
        <f>IFERROR(__xludf.DUMMYFUNCTION("""COMPUTED_VALUE"""),6432.0)</f>
        <v>6432</v>
      </c>
      <c r="C2533" s="2" t="str">
        <f>IFERROR(__xludf.DUMMYFUNCTION("""COMPUTED_VALUE"""),"JAKA")</f>
        <v>JAKA</v>
      </c>
      <c r="D2533" s="2" t="str">
        <f>IFERROR(__xludf.DUMMYFUNCTION("""COMPUTED_VALUE"""),"5KM OVERALL M")</f>
        <v>5KM OVERALL M</v>
      </c>
      <c r="E2533" s="1">
        <f>IFERROR(__xludf.DUMMYFUNCTION("""COMPUTED_VALUE"""),2.0)</f>
        <v>2</v>
      </c>
      <c r="F2533" s="1" t="str">
        <f>IFERROR(__xludf.DUMMYFUNCTION("""COMPUTED_VALUE"""),"Male")</f>
        <v>Male</v>
      </c>
      <c r="G2533" s="4" t="b">
        <f>IFERROR(__xludf.DUMMYFUNCTION("""COMPUTED_VALUE"""),TRUE)</f>
        <v>1</v>
      </c>
      <c r="H2533" s="4" t="b">
        <f>IFERROR(__xludf.DUMMYFUNCTION("""COMPUTED_VALUE"""),FALSE)</f>
        <v>0</v>
      </c>
      <c r="I2533" s="4">
        <f>IFERROR(__xludf.DUMMYFUNCTION("""COMPUTED_VALUE"""),0.2549440625)</f>
        <v>0.2549440625</v>
      </c>
      <c r="J2533" s="4">
        <f>IFERROR(__xludf.DUMMYFUNCTION("""COMPUTED_VALUE"""),45950.27118055556)</f>
        <v>45950.27118</v>
      </c>
      <c r="K2533" s="4" t="str">
        <f>IFERROR(__xludf.DUMMYFUNCTION("""COMPUTED_VALUE"""),"")</f>
        <v/>
      </c>
      <c r="L2533" s="4">
        <f>IFERROR(__xludf.DUMMYFUNCTION("""COMPUTED_VALUE"""),45949.282008507806)</f>
        <v>45949.28201</v>
      </c>
      <c r="M2533" s="1" t="str">
        <f>IFERROR(__xludf.DUMMYFUNCTION("""COMPUTED_VALUE"""),"RFID")</f>
        <v>RFID</v>
      </c>
      <c r="N2533" s="5">
        <f>IFERROR(__xludf.DUMMYFUNCTION("""COMPUTED_VALUE"""),0.006494597222222223)</f>
        <v>0.006494597222</v>
      </c>
      <c r="O2533" s="5" t="str">
        <f>IFERROR(__xludf.DUMMYFUNCTION("""COMPUTED_VALUE"""),"")</f>
        <v/>
      </c>
      <c r="P2533" s="5" t="str">
        <f>IFERROR(__xludf.DUMMYFUNCTION("""COMPUTED_VALUE"""),"")</f>
        <v/>
      </c>
      <c r="Q2533" s="5">
        <f>IFERROR(__xludf.DUMMYFUNCTION("""COMPUTED_VALUE"""),0.005412888888888889)</f>
        <v>0.005412888889</v>
      </c>
      <c r="R2533" s="4">
        <f>IFERROR(__xludf.DUMMYFUNCTION("""COMPUTED_VALUE"""),45949.027064445305)</f>
        <v>45949.02706</v>
      </c>
      <c r="S2533" s="1" t="b">
        <f>IFERROR(__xludf.DUMMYFUNCTION("""COMPUTED_VALUE"""),TRUE)</f>
        <v>1</v>
      </c>
      <c r="T2533" s="1" t="b">
        <f>IFERROR(__xludf.DUMMYFUNCTION("""COMPUTED_VALUE"""),FALSE)</f>
        <v>0</v>
      </c>
      <c r="U2533" s="1" t="str">
        <f>IFERROR(__xludf.DUMMYFUNCTION("""COMPUTED_VALUE"""),"VALID")</f>
        <v>VALID</v>
      </c>
      <c r="V2533" s="1">
        <f>IFERROR(__xludf.DUMMYFUNCTION("""COMPUTED_VALUE"""),251.0)</f>
        <v>251</v>
      </c>
      <c r="W2533" s="1">
        <f>IFERROR(__xludf.DUMMYFUNCTION("""COMPUTED_VALUE"""),387.0)</f>
        <v>387</v>
      </c>
      <c r="X2533" s="1">
        <f>IFERROR(__xludf.DUMMYFUNCTION("""COMPUTED_VALUE"""),334.0)</f>
        <v>334</v>
      </c>
      <c r="Y2533" s="2"/>
      <c r="Z2533" s="2" t="str">
        <f>IFERROR(__xludf.DUMMYFUNCTION("""COMPUTED_VALUE"""),"C")</f>
        <v>C</v>
      </c>
    </row>
    <row r="2534">
      <c r="A2534" s="1">
        <f>IFERROR(__xludf.DUMMYFUNCTION("""COMPUTED_VALUE"""),2533.0)</f>
        <v>2533</v>
      </c>
      <c r="B2534" s="1">
        <f>IFERROR(__xludf.DUMMYFUNCTION("""COMPUTED_VALUE"""),6433.0)</f>
        <v>6433</v>
      </c>
      <c r="C2534" s="2" t="str">
        <f>IFERROR(__xludf.DUMMYFUNCTION("""COMPUTED_VALUE"""),"WILDAN")</f>
        <v>WILDAN</v>
      </c>
      <c r="D2534" s="2" t="str">
        <f>IFERROR(__xludf.DUMMYFUNCTION("""COMPUTED_VALUE"""),"5KM OVERALL M")</f>
        <v>5KM OVERALL M</v>
      </c>
      <c r="E2534" s="1">
        <f>IFERROR(__xludf.DUMMYFUNCTION("""COMPUTED_VALUE"""),2.0)</f>
        <v>2</v>
      </c>
      <c r="F2534" s="1" t="str">
        <f>IFERROR(__xludf.DUMMYFUNCTION("""COMPUTED_VALUE"""),"Male")</f>
        <v>Male</v>
      </c>
      <c r="G2534" s="4" t="str">
        <f>IFERROR(__xludf.DUMMYFUNCTION("""COMPUTED_VALUE"""),"")</f>
        <v/>
      </c>
      <c r="H2534" s="4" t="b">
        <f>IFERROR(__xludf.DUMMYFUNCTION("""COMPUTED_VALUE"""),TRUE)</f>
        <v>1</v>
      </c>
      <c r="I2534" s="4">
        <f>IFERROR(__xludf.DUMMYFUNCTION("""COMPUTED_VALUE"""),0.2549440625)</f>
        <v>0.2549440625</v>
      </c>
      <c r="J2534" s="4">
        <f>IFERROR(__xludf.DUMMYFUNCTION("""COMPUTED_VALUE"""),45949.26573156113)</f>
        <v>45949.26573</v>
      </c>
      <c r="K2534" s="4" t="str">
        <f>IFERROR(__xludf.DUMMYFUNCTION("""COMPUTED_VALUE"""),"")</f>
        <v/>
      </c>
      <c r="L2534" s="4">
        <f>IFERROR(__xludf.DUMMYFUNCTION("""COMPUTED_VALUE"""),45949.27442517937)</f>
        <v>45949.27443</v>
      </c>
      <c r="M2534" s="1" t="str">
        <f>IFERROR(__xludf.DUMMYFUNCTION("""COMPUTED_VALUE"""),"RFID")</f>
        <v>RFID</v>
      </c>
      <c r="N2534" s="5">
        <f>IFERROR(__xludf.DUMMYFUNCTION("""COMPUTED_VALUE"""),0.004315)</f>
        <v>0.004315</v>
      </c>
      <c r="O2534" s="5" t="str">
        <f>IFERROR(__xludf.DUMMYFUNCTION("""COMPUTED_VALUE"""),"")</f>
        <v/>
      </c>
      <c r="P2534" s="5" t="str">
        <f>IFERROR(__xludf.DUMMYFUNCTION("""COMPUTED_VALUE"""),"")</f>
        <v/>
      </c>
      <c r="Q2534" s="5">
        <f>IFERROR(__xludf.DUMMYFUNCTION("""COMPUTED_VALUE"""),0.003896222222222222)</f>
        <v>0.003896222222</v>
      </c>
      <c r="R2534" s="4">
        <f>IFERROR(__xludf.DUMMYFUNCTION("""COMPUTED_VALUE"""),45949.01948111687)</f>
        <v>45949.01948</v>
      </c>
      <c r="S2534" s="1" t="b">
        <f>IFERROR(__xludf.DUMMYFUNCTION("""COMPUTED_VALUE"""),TRUE)</f>
        <v>1</v>
      </c>
      <c r="T2534" s="1" t="b">
        <f>IFERROR(__xludf.DUMMYFUNCTION("""COMPUTED_VALUE"""),FALSE)</f>
        <v>0</v>
      </c>
      <c r="U2534" s="1" t="str">
        <f>IFERROR(__xludf.DUMMYFUNCTION("""COMPUTED_VALUE"""),"VALID")</f>
        <v>VALID</v>
      </c>
      <c r="V2534" s="1">
        <f>IFERROR(__xludf.DUMMYFUNCTION("""COMPUTED_VALUE"""),70.0)</f>
        <v>70</v>
      </c>
      <c r="W2534" s="1">
        <f>IFERROR(__xludf.DUMMYFUNCTION("""COMPUTED_VALUE"""),103.0)</f>
        <v>103</v>
      </c>
      <c r="X2534" s="1">
        <f>IFERROR(__xludf.DUMMYFUNCTION("""COMPUTED_VALUE"""),93.0)</f>
        <v>93</v>
      </c>
      <c r="Y2534" s="2"/>
      <c r="Z2534" s="2"/>
    </row>
    <row r="2535">
      <c r="A2535" s="1">
        <f>IFERROR(__xludf.DUMMYFUNCTION("""COMPUTED_VALUE"""),2534.0)</f>
        <v>2534</v>
      </c>
      <c r="B2535" s="1">
        <f>IFERROR(__xludf.DUMMYFUNCTION("""COMPUTED_VALUE"""),6434.0)</f>
        <v>6434</v>
      </c>
      <c r="C2535" s="2" t="str">
        <f>IFERROR(__xludf.DUMMYFUNCTION("""COMPUTED_VALUE"""),"RICKY")</f>
        <v>RICKY</v>
      </c>
      <c r="D2535" s="2" t="str">
        <f>IFERROR(__xludf.DUMMYFUNCTION("""COMPUTED_VALUE"""),"5KM OVERALL M")</f>
        <v>5KM OVERALL M</v>
      </c>
      <c r="E2535" s="1">
        <f>IFERROR(__xludf.DUMMYFUNCTION("""COMPUTED_VALUE"""),2.0)</f>
        <v>2</v>
      </c>
      <c r="F2535" s="1" t="str">
        <f>IFERROR(__xludf.DUMMYFUNCTION("""COMPUTED_VALUE"""),"Male")</f>
        <v>Male</v>
      </c>
      <c r="G2535" s="4" t="b">
        <f>IFERROR(__xludf.DUMMYFUNCTION("""COMPUTED_VALUE"""),TRUE)</f>
        <v>1</v>
      </c>
      <c r="H2535" s="4" t="b">
        <f>IFERROR(__xludf.DUMMYFUNCTION("""COMPUTED_VALUE"""),TRUE)</f>
        <v>1</v>
      </c>
      <c r="I2535" s="4">
        <f>IFERROR(__xludf.DUMMYFUNCTION("""COMPUTED_VALUE"""),0.2549440625)</f>
        <v>0.2549440625</v>
      </c>
      <c r="J2535" s="4">
        <f>IFERROR(__xludf.DUMMYFUNCTION("""COMPUTED_VALUE"""),45949.2736969165)</f>
        <v>45949.2737</v>
      </c>
      <c r="K2535" s="4" t="str">
        <f>IFERROR(__xludf.DUMMYFUNCTION("""COMPUTED_VALUE"""),"")</f>
        <v/>
      </c>
      <c r="L2535" s="4">
        <f>IFERROR(__xludf.DUMMYFUNCTION("""COMPUTED_VALUE"""),45949.28944248103)</f>
        <v>45949.28944</v>
      </c>
      <c r="M2535" s="1" t="str">
        <f>IFERROR(__xludf.DUMMYFUNCTION("""COMPUTED_VALUE"""),"RFID")</f>
        <v>RFID</v>
      </c>
      <c r="N2535" s="5">
        <f>IFERROR(__xludf.DUMMYFUNCTION("""COMPUTED_VALUE"""),0.007501143518518519)</f>
        <v>0.007501143519</v>
      </c>
      <c r="O2535" s="5" t="str">
        <f>IFERROR(__xludf.DUMMYFUNCTION("""COMPUTED_VALUE"""),"")</f>
        <v/>
      </c>
      <c r="P2535" s="5" t="str">
        <f>IFERROR(__xludf.DUMMYFUNCTION("""COMPUTED_VALUE"""),"")</f>
        <v/>
      </c>
      <c r="Q2535" s="5">
        <f>IFERROR(__xludf.DUMMYFUNCTION("""COMPUTED_VALUE"""),0.00689968287037037)</f>
        <v>0.00689968287</v>
      </c>
      <c r="R2535" s="4">
        <f>IFERROR(__xludf.DUMMYFUNCTION("""COMPUTED_VALUE"""),45949.03449841853)</f>
        <v>45949.0345</v>
      </c>
      <c r="S2535" s="1" t="b">
        <f>IFERROR(__xludf.DUMMYFUNCTION("""COMPUTED_VALUE"""),TRUE)</f>
        <v>1</v>
      </c>
      <c r="T2535" s="1" t="b">
        <f>IFERROR(__xludf.DUMMYFUNCTION("""COMPUTED_VALUE"""),FALSE)</f>
        <v>0</v>
      </c>
      <c r="U2535" s="1" t="str">
        <f>IFERROR(__xludf.DUMMYFUNCTION("""COMPUTED_VALUE"""),"VALID")</f>
        <v>VALID</v>
      </c>
      <c r="V2535" s="1">
        <f>IFERROR(__xludf.DUMMYFUNCTION("""COMPUTED_VALUE"""),548.0)</f>
        <v>548</v>
      </c>
      <c r="W2535" s="1">
        <f>IFERROR(__xludf.DUMMYFUNCTION("""COMPUTED_VALUE"""),865.0)</f>
        <v>865</v>
      </c>
      <c r="X2535" s="1">
        <f>IFERROR(__xludf.DUMMYFUNCTION("""COMPUTED_VALUE"""),707.0)</f>
        <v>707</v>
      </c>
      <c r="Y2535" s="2"/>
      <c r="Z2535" s="2"/>
    </row>
    <row r="2536">
      <c r="A2536" s="1">
        <f>IFERROR(__xludf.DUMMYFUNCTION("""COMPUTED_VALUE"""),2535.0)</f>
        <v>2535</v>
      </c>
      <c r="B2536" s="1">
        <f>IFERROR(__xludf.DUMMYFUNCTION("""COMPUTED_VALUE"""),6435.0)</f>
        <v>6435</v>
      </c>
      <c r="C2536" s="2" t="str">
        <f>IFERROR(__xludf.DUMMYFUNCTION("""COMPUTED_VALUE"""),"SATRIO")</f>
        <v>SATRIO</v>
      </c>
      <c r="D2536" s="2" t="str">
        <f>IFERROR(__xludf.DUMMYFUNCTION("""COMPUTED_VALUE"""),"5KM OVERALL M")</f>
        <v>5KM OVERALL M</v>
      </c>
      <c r="E2536" s="1">
        <f>IFERROR(__xludf.DUMMYFUNCTION("""COMPUTED_VALUE"""),2.0)</f>
        <v>2</v>
      </c>
      <c r="F2536" s="1" t="str">
        <f>IFERROR(__xludf.DUMMYFUNCTION("""COMPUTED_VALUE"""),"Male")</f>
        <v>Male</v>
      </c>
      <c r="G2536" s="4" t="b">
        <f>IFERROR(__xludf.DUMMYFUNCTION("""COMPUTED_VALUE"""),TRUE)</f>
        <v>1</v>
      </c>
      <c r="H2536" s="4" t="b">
        <f>IFERROR(__xludf.DUMMYFUNCTION("""COMPUTED_VALUE"""),TRUE)</f>
        <v>1</v>
      </c>
      <c r="I2536" s="4">
        <f>IFERROR(__xludf.DUMMYFUNCTION("""COMPUTED_VALUE"""),0.2549440625)</f>
        <v>0.2549440625</v>
      </c>
      <c r="J2536" s="4">
        <f>IFERROR(__xludf.DUMMYFUNCTION("""COMPUTED_VALUE"""),45949.27209265561)</f>
        <v>45949.27209</v>
      </c>
      <c r="K2536" s="4" t="str">
        <f>IFERROR(__xludf.DUMMYFUNCTION("""COMPUTED_VALUE"""),"")</f>
        <v/>
      </c>
      <c r="L2536" s="4">
        <f>IFERROR(__xludf.DUMMYFUNCTION("""COMPUTED_VALUE"""),45949.28147030929)</f>
        <v>45949.28147</v>
      </c>
      <c r="M2536" s="1" t="str">
        <f>IFERROR(__xludf.DUMMYFUNCTION("""COMPUTED_VALUE"""),"RFID")</f>
        <v>RFID</v>
      </c>
      <c r="N2536" s="5">
        <f>IFERROR(__xludf.DUMMYFUNCTION("""COMPUTED_VALUE"""),0.006859435185185185)</f>
        <v>0.006859435185</v>
      </c>
      <c r="O2536" s="5" t="str">
        <f>IFERROR(__xludf.DUMMYFUNCTION("""COMPUTED_VALUE"""),"")</f>
        <v/>
      </c>
      <c r="P2536" s="5" t="str">
        <f>IFERROR(__xludf.DUMMYFUNCTION("""COMPUTED_VALUE"""),"")</f>
        <v/>
      </c>
      <c r="Q2536" s="5">
        <f>IFERROR(__xludf.DUMMYFUNCTION("""COMPUTED_VALUE"""),0.005305249999999999)</f>
        <v>0.00530525</v>
      </c>
      <c r="R2536" s="4">
        <f>IFERROR(__xludf.DUMMYFUNCTION("""COMPUTED_VALUE"""),45949.02652624679)</f>
        <v>45949.02653</v>
      </c>
      <c r="S2536" s="1" t="b">
        <f>IFERROR(__xludf.DUMMYFUNCTION("""COMPUTED_VALUE"""),TRUE)</f>
        <v>1</v>
      </c>
      <c r="T2536" s="1" t="b">
        <f>IFERROR(__xludf.DUMMYFUNCTION("""COMPUTED_VALUE"""),FALSE)</f>
        <v>0</v>
      </c>
      <c r="U2536" s="1" t="str">
        <f>IFERROR(__xludf.DUMMYFUNCTION("""COMPUTED_VALUE"""),"VALID")</f>
        <v>VALID</v>
      </c>
      <c r="V2536" s="1">
        <f>IFERROR(__xludf.DUMMYFUNCTION("""COMPUTED_VALUE"""),235.0)</f>
        <v>235</v>
      </c>
      <c r="W2536" s="1">
        <f>IFERROR(__xludf.DUMMYFUNCTION("""COMPUTED_VALUE"""),362.0)</f>
        <v>362</v>
      </c>
      <c r="X2536" s="1">
        <f>IFERROR(__xludf.DUMMYFUNCTION("""COMPUTED_VALUE"""),315.0)</f>
        <v>315</v>
      </c>
      <c r="Y2536" s="2"/>
      <c r="Z2536" s="2"/>
    </row>
    <row r="2537">
      <c r="A2537" s="1">
        <f>IFERROR(__xludf.DUMMYFUNCTION("""COMPUTED_VALUE"""),2536.0)</f>
        <v>2536</v>
      </c>
      <c r="B2537" s="1">
        <f>IFERROR(__xludf.DUMMYFUNCTION("""COMPUTED_VALUE"""),6436.0)</f>
        <v>6436</v>
      </c>
      <c r="C2537" s="2" t="str">
        <f>IFERROR(__xludf.DUMMYFUNCTION("""COMPUTED_VALUE"""),"AGUS HARYANTO")</f>
        <v>AGUS HARYANTO</v>
      </c>
      <c r="D2537" s="2" t="str">
        <f>IFERROR(__xludf.DUMMYFUNCTION("""COMPUTED_VALUE"""),"5KM OVERALL M")</f>
        <v>5KM OVERALL M</v>
      </c>
      <c r="E2537" s="1">
        <f>IFERROR(__xludf.DUMMYFUNCTION("""COMPUTED_VALUE"""),2.0)</f>
        <v>2</v>
      </c>
      <c r="F2537" s="1" t="str">
        <f>IFERROR(__xludf.DUMMYFUNCTION("""COMPUTED_VALUE"""),"Male")</f>
        <v>Male</v>
      </c>
      <c r="G2537" s="4" t="b">
        <f>IFERROR(__xludf.DUMMYFUNCTION("""COMPUTED_VALUE"""),TRUE)</f>
        <v>1</v>
      </c>
      <c r="H2537" s="4" t="b">
        <f>IFERROR(__xludf.DUMMYFUNCTION("""COMPUTED_VALUE"""),TRUE)</f>
        <v>1</v>
      </c>
      <c r="I2537" s="4">
        <f>IFERROR(__xludf.DUMMYFUNCTION("""COMPUTED_VALUE"""),0.2549440625)</f>
        <v>0.2549440625</v>
      </c>
      <c r="J2537" s="4">
        <f>IFERROR(__xludf.DUMMYFUNCTION("""COMPUTED_VALUE"""),45949.26693994469)</f>
        <v>45949.26694</v>
      </c>
      <c r="K2537" s="4" t="str">
        <f>IFERROR(__xludf.DUMMYFUNCTION("""COMPUTED_VALUE"""),"")</f>
        <v/>
      </c>
      <c r="L2537" s="4">
        <f>IFERROR(__xludf.DUMMYFUNCTION("""COMPUTED_VALUE"""),45949.27617546769)</f>
        <v>45949.27618</v>
      </c>
      <c r="M2537" s="1" t="str">
        <f>IFERROR(__xludf.DUMMYFUNCTION("""COMPUTED_VALUE"""),"RFID")</f>
        <v>RFID</v>
      </c>
      <c r="N2537" s="5">
        <f>IFERROR(__xludf.DUMMYFUNCTION("""COMPUTED_VALUE"""),0.004798351851851851)</f>
        <v>0.004798351852</v>
      </c>
      <c r="O2537" s="5" t="str">
        <f>IFERROR(__xludf.DUMMYFUNCTION("""COMPUTED_VALUE"""),"")</f>
        <v/>
      </c>
      <c r="P2537" s="5" t="str">
        <f>IFERROR(__xludf.DUMMYFUNCTION("""COMPUTED_VALUE"""),"")</f>
        <v/>
      </c>
      <c r="Q2537" s="5">
        <f>IFERROR(__xludf.DUMMYFUNCTION("""COMPUTED_VALUE"""),0.004246280092592593)</f>
        <v>0.004246280093</v>
      </c>
      <c r="R2537" s="4">
        <f>IFERROR(__xludf.DUMMYFUNCTION("""COMPUTED_VALUE"""),45949.02123140519)</f>
        <v>45949.02123</v>
      </c>
      <c r="S2537" s="1" t="b">
        <f>IFERROR(__xludf.DUMMYFUNCTION("""COMPUTED_VALUE"""),TRUE)</f>
        <v>1</v>
      </c>
      <c r="T2537" s="1" t="b">
        <f>IFERROR(__xludf.DUMMYFUNCTION("""COMPUTED_VALUE"""),FALSE)</f>
        <v>0</v>
      </c>
      <c r="U2537" s="1" t="str">
        <f>IFERROR(__xludf.DUMMYFUNCTION("""COMPUTED_VALUE"""),"VALID")</f>
        <v>VALID</v>
      </c>
      <c r="V2537" s="1">
        <f>IFERROR(__xludf.DUMMYFUNCTION("""COMPUTED_VALUE"""),96.0)</f>
        <v>96</v>
      </c>
      <c r="W2537" s="1">
        <f>IFERROR(__xludf.DUMMYFUNCTION("""COMPUTED_VALUE"""),150.0)</f>
        <v>150</v>
      </c>
      <c r="X2537" s="1">
        <f>IFERROR(__xludf.DUMMYFUNCTION("""COMPUTED_VALUE"""),134.0)</f>
        <v>134</v>
      </c>
      <c r="Y2537" s="2"/>
      <c r="Z2537" s="2"/>
    </row>
    <row r="2538">
      <c r="A2538" s="1">
        <f>IFERROR(__xludf.DUMMYFUNCTION("""COMPUTED_VALUE"""),2537.0)</f>
        <v>2537</v>
      </c>
      <c r="B2538" s="1">
        <f>IFERROR(__xludf.DUMMYFUNCTION("""COMPUTED_VALUE"""),6437.0)</f>
        <v>6437</v>
      </c>
      <c r="C2538" s="2" t="str">
        <f>IFERROR(__xludf.DUMMYFUNCTION("""COMPUTED_VALUE"""),"SUMARSONO")</f>
        <v>SUMARSONO</v>
      </c>
      <c r="D2538" s="2" t="str">
        <f>IFERROR(__xludf.DUMMYFUNCTION("""COMPUTED_VALUE"""),"5KM OVERALL M")</f>
        <v>5KM OVERALL M</v>
      </c>
      <c r="E2538" s="1">
        <f>IFERROR(__xludf.DUMMYFUNCTION("""COMPUTED_VALUE"""),2.0)</f>
        <v>2</v>
      </c>
      <c r="F2538" s="1" t="str">
        <f>IFERROR(__xludf.DUMMYFUNCTION("""COMPUTED_VALUE"""),"Male")</f>
        <v>Male</v>
      </c>
      <c r="G2538" s="4" t="b">
        <f>IFERROR(__xludf.DUMMYFUNCTION("""COMPUTED_VALUE"""),TRUE)</f>
        <v>1</v>
      </c>
      <c r="H2538" s="4" t="b">
        <f>IFERROR(__xludf.DUMMYFUNCTION("""COMPUTED_VALUE"""),TRUE)</f>
        <v>1</v>
      </c>
      <c r="I2538" s="4">
        <f>IFERROR(__xludf.DUMMYFUNCTION("""COMPUTED_VALUE"""),0.2549440625)</f>
        <v>0.2549440625</v>
      </c>
      <c r="J2538" s="4">
        <f>IFERROR(__xludf.DUMMYFUNCTION("""COMPUTED_VALUE"""),45949.269120439414)</f>
        <v>45949.26912</v>
      </c>
      <c r="K2538" s="4" t="str">
        <f>IFERROR(__xludf.DUMMYFUNCTION("""COMPUTED_VALUE"""),"")</f>
        <v/>
      </c>
      <c r="L2538" s="4">
        <f>IFERROR(__xludf.DUMMYFUNCTION("""COMPUTED_VALUE"""),45949.28151888599)</f>
        <v>45949.28152</v>
      </c>
      <c r="M2538" s="1" t="str">
        <f>IFERROR(__xludf.DUMMYFUNCTION("""COMPUTED_VALUE"""),"RFID")</f>
        <v>RFID</v>
      </c>
      <c r="N2538" s="5">
        <f>IFERROR(__xludf.DUMMYFUNCTION("""COMPUTED_VALUE"""),0.005670550925925925)</f>
        <v>0.005670550926</v>
      </c>
      <c r="O2538" s="5" t="str">
        <f>IFERROR(__xludf.DUMMYFUNCTION("""COMPUTED_VALUE"""),"")</f>
        <v/>
      </c>
      <c r="P2538" s="5" t="str">
        <f>IFERROR(__xludf.DUMMYFUNCTION("""COMPUTED_VALUE"""),"")</f>
        <v/>
      </c>
      <c r="Q2538" s="5">
        <f>IFERROR(__xludf.DUMMYFUNCTION("""COMPUTED_VALUE"""),0.005314965277777778)</f>
        <v>0.005314965278</v>
      </c>
      <c r="R2538" s="4">
        <f>IFERROR(__xludf.DUMMYFUNCTION("""COMPUTED_VALUE"""),45949.02657482349)</f>
        <v>45949.02657</v>
      </c>
      <c r="S2538" s="1" t="b">
        <f>IFERROR(__xludf.DUMMYFUNCTION("""COMPUTED_VALUE"""),TRUE)</f>
        <v>1</v>
      </c>
      <c r="T2538" s="1" t="b">
        <f>IFERROR(__xludf.DUMMYFUNCTION("""COMPUTED_VALUE"""),FALSE)</f>
        <v>0</v>
      </c>
      <c r="U2538" s="1" t="str">
        <f>IFERROR(__xludf.DUMMYFUNCTION("""COMPUTED_VALUE"""),"VALID")</f>
        <v>VALID</v>
      </c>
      <c r="V2538" s="1">
        <f>IFERROR(__xludf.DUMMYFUNCTION("""COMPUTED_VALUE"""),239.0)</f>
        <v>239</v>
      </c>
      <c r="W2538" s="1">
        <f>IFERROR(__xludf.DUMMYFUNCTION("""COMPUTED_VALUE"""),368.0)</f>
        <v>368</v>
      </c>
      <c r="X2538" s="1">
        <f>IFERROR(__xludf.DUMMYFUNCTION("""COMPUTED_VALUE"""),319.0)</f>
        <v>319</v>
      </c>
      <c r="Y2538" s="2"/>
      <c r="Z2538" s="2"/>
    </row>
    <row r="2539">
      <c r="A2539" s="1">
        <f>IFERROR(__xludf.DUMMYFUNCTION("""COMPUTED_VALUE"""),2538.0)</f>
        <v>2538</v>
      </c>
      <c r="B2539" s="1">
        <f>IFERROR(__xludf.DUMMYFUNCTION("""COMPUTED_VALUE"""),6438.0)</f>
        <v>6438</v>
      </c>
      <c r="C2539" s="2" t="str">
        <f>IFERROR(__xludf.DUMMYFUNCTION("""COMPUTED_VALUE"""),"TEGUH KAMNEG")</f>
        <v>TEGUH KAMNEG</v>
      </c>
      <c r="D2539" s="2" t="str">
        <f>IFERROR(__xludf.DUMMYFUNCTION("""COMPUTED_VALUE"""),"5KM OVERALL M")</f>
        <v>5KM OVERALL M</v>
      </c>
      <c r="E2539" s="1">
        <f>IFERROR(__xludf.DUMMYFUNCTION("""COMPUTED_VALUE"""),2.0)</f>
        <v>2</v>
      </c>
      <c r="F2539" s="1" t="str">
        <f>IFERROR(__xludf.DUMMYFUNCTION("""COMPUTED_VALUE"""),"Male")</f>
        <v>Male</v>
      </c>
      <c r="G2539" s="4" t="b">
        <f>IFERROR(__xludf.DUMMYFUNCTION("""COMPUTED_VALUE"""),TRUE)</f>
        <v>1</v>
      </c>
      <c r="H2539" s="4" t="b">
        <f>IFERROR(__xludf.DUMMYFUNCTION("""COMPUTED_VALUE"""),FALSE)</f>
        <v>0</v>
      </c>
      <c r="I2539" s="4">
        <f>IFERROR(__xludf.DUMMYFUNCTION("""COMPUTED_VALUE"""),0.2549440625)</f>
        <v>0.2549440625</v>
      </c>
      <c r="J2539" s="4">
        <f>IFERROR(__xludf.DUMMYFUNCTION("""COMPUTED_VALUE"""),45949.27056835457)</f>
        <v>45949.27057</v>
      </c>
      <c r="K2539" s="4" t="str">
        <f>IFERROR(__xludf.DUMMYFUNCTION("""COMPUTED_VALUE"""),"")</f>
        <v/>
      </c>
      <c r="L2539" s="4">
        <f>IFERROR(__xludf.DUMMYFUNCTION("""COMPUTED_VALUE"""),45949.28331752981)</f>
        <v>45949.28332</v>
      </c>
      <c r="M2539" s="1" t="str">
        <f>IFERROR(__xludf.DUMMYFUNCTION("""COMPUTED_VALUE"""),"RFID")</f>
        <v>RFID</v>
      </c>
      <c r="N2539" s="5">
        <f>IFERROR(__xludf.DUMMYFUNCTION("""COMPUTED_VALUE"""),0.006249717592592593)</f>
        <v>0.006249717593</v>
      </c>
      <c r="O2539" s="5" t="str">
        <f>IFERROR(__xludf.DUMMYFUNCTION("""COMPUTED_VALUE"""),"")</f>
        <v/>
      </c>
      <c r="P2539" s="5" t="str">
        <f>IFERROR(__xludf.DUMMYFUNCTION("""COMPUTED_VALUE"""),"")</f>
        <v/>
      </c>
      <c r="Q2539" s="5">
        <f>IFERROR(__xludf.DUMMYFUNCTION("""COMPUTED_VALUE"""),0.005674694444444444)</f>
        <v>0.005674694444</v>
      </c>
      <c r="R2539" s="4">
        <f>IFERROR(__xludf.DUMMYFUNCTION("""COMPUTED_VALUE"""),45949.02837346731)</f>
        <v>45949.02837</v>
      </c>
      <c r="S2539" s="1" t="b">
        <f>IFERROR(__xludf.DUMMYFUNCTION("""COMPUTED_VALUE"""),TRUE)</f>
        <v>1</v>
      </c>
      <c r="T2539" s="1" t="b">
        <f>IFERROR(__xludf.DUMMYFUNCTION("""COMPUTED_VALUE"""),FALSE)</f>
        <v>0</v>
      </c>
      <c r="U2539" s="1" t="str">
        <f>IFERROR(__xludf.DUMMYFUNCTION("""COMPUTED_VALUE"""),"VALID")</f>
        <v>VALID</v>
      </c>
      <c r="V2539" s="1">
        <f>IFERROR(__xludf.DUMMYFUNCTION("""COMPUTED_VALUE"""),302.0)</f>
        <v>302</v>
      </c>
      <c r="W2539" s="1">
        <f>IFERROR(__xludf.DUMMYFUNCTION("""COMPUTED_VALUE"""),453.0)</f>
        <v>453</v>
      </c>
      <c r="X2539" s="1">
        <f>IFERROR(__xludf.DUMMYFUNCTION("""COMPUTED_VALUE"""),391.0)</f>
        <v>391</v>
      </c>
      <c r="Y2539" s="2"/>
      <c r="Z2539" s="2"/>
    </row>
    <row r="2540">
      <c r="A2540" s="1">
        <f>IFERROR(__xludf.DUMMYFUNCTION("""COMPUTED_VALUE"""),2539.0)</f>
        <v>2539</v>
      </c>
      <c r="B2540" s="1">
        <f>IFERROR(__xludf.DUMMYFUNCTION("""COMPUTED_VALUE"""),6439.0)</f>
        <v>6439</v>
      </c>
      <c r="C2540" s="2" t="str">
        <f>IFERROR(__xludf.DUMMYFUNCTION("""COMPUTED_VALUE"""),"WAHYU")</f>
        <v>WAHYU</v>
      </c>
      <c r="D2540" s="2" t="str">
        <f>IFERROR(__xludf.DUMMYFUNCTION("""COMPUTED_VALUE"""),"5KM OVERALL M")</f>
        <v>5KM OVERALL M</v>
      </c>
      <c r="E2540" s="1">
        <f>IFERROR(__xludf.DUMMYFUNCTION("""COMPUTED_VALUE"""),2.0)</f>
        <v>2</v>
      </c>
      <c r="F2540" s="1" t="str">
        <f>IFERROR(__xludf.DUMMYFUNCTION("""COMPUTED_VALUE"""),"Male")</f>
        <v>Male</v>
      </c>
      <c r="G2540" s="4" t="str">
        <f>IFERROR(__xludf.DUMMYFUNCTION("""COMPUTED_VALUE"""),"")</f>
        <v/>
      </c>
      <c r="H2540" s="4" t="b">
        <f>IFERROR(__xludf.DUMMYFUNCTION("""COMPUTED_VALUE"""),FALSE)</f>
        <v>0</v>
      </c>
      <c r="I2540" s="4">
        <f>IFERROR(__xludf.DUMMYFUNCTION("""COMPUTED_VALUE"""),0.2549440625)</f>
        <v>0.2549440625</v>
      </c>
      <c r="J2540" s="4" t="str">
        <f>IFERROR(__xludf.DUMMYFUNCTION("""COMPUTED_VALUE"""),"")</f>
        <v/>
      </c>
      <c r="K2540" s="4" t="str">
        <f>IFERROR(__xludf.DUMMYFUNCTION("""COMPUTED_VALUE"""),"")</f>
        <v/>
      </c>
      <c r="L2540" s="4" t="str">
        <f>IFERROR(__xludf.DUMMYFUNCTION("""COMPUTED_VALUE"""),"")</f>
        <v/>
      </c>
      <c r="M2540" s="1" t="str">
        <f>IFERROR(__xludf.DUMMYFUNCTION("""COMPUTED_VALUE"""),"RFID")</f>
        <v>RFID</v>
      </c>
      <c r="N2540" s="5" t="str">
        <f>IFERROR(__xludf.DUMMYFUNCTION("""COMPUTED_VALUE"""),"")</f>
        <v/>
      </c>
      <c r="O2540" s="5" t="str">
        <f>IFERROR(__xludf.DUMMYFUNCTION("""COMPUTED_VALUE"""),"")</f>
        <v/>
      </c>
      <c r="P2540" s="5" t="str">
        <f>IFERROR(__xludf.DUMMYFUNCTION("""COMPUTED_VALUE"""),"")</f>
        <v/>
      </c>
      <c r="Q2540" s="5" t="str">
        <f>IFERROR(__xludf.DUMMYFUNCTION("""COMPUTED_VALUE"""),"")</f>
        <v/>
      </c>
      <c r="R2540" s="4" t="str">
        <f>IFERROR(__xludf.DUMMYFUNCTION("""COMPUTED_VALUE"""),"")</f>
        <v/>
      </c>
      <c r="S2540" s="1" t="b">
        <f>IFERROR(__xludf.DUMMYFUNCTION("""COMPUTED_VALUE"""),FALSE)</f>
        <v>0</v>
      </c>
      <c r="T2540" s="1" t="b">
        <f>IFERROR(__xludf.DUMMYFUNCTION("""COMPUTED_VALUE"""),FALSE)</f>
        <v>0</v>
      </c>
      <c r="U2540" s="1" t="str">
        <f>IFERROR(__xludf.DUMMYFUNCTION("""COMPUTED_VALUE"""),"DSQ")</f>
        <v>DSQ</v>
      </c>
      <c r="V2540" s="1" t="str">
        <f>IFERROR(__xludf.DUMMYFUNCTION("""COMPUTED_VALUE"""),"DSQ")</f>
        <v>DSQ</v>
      </c>
      <c r="W2540" s="1" t="str">
        <f>IFERROR(__xludf.DUMMYFUNCTION("""COMPUTED_VALUE"""),"DSQ")</f>
        <v>DSQ</v>
      </c>
      <c r="X2540" s="1" t="str">
        <f>IFERROR(__xludf.DUMMYFUNCTION("""COMPUTED_VALUE"""),"DSQ")</f>
        <v>DSQ</v>
      </c>
      <c r="Y2540" s="2"/>
      <c r="Z2540" s="2" t="str">
        <f>IFERROR(__xludf.DUMMYFUNCTION("""COMPUTED_VALUE"""),"")</f>
        <v/>
      </c>
    </row>
    <row r="2541">
      <c r="A2541" s="1">
        <f>IFERROR(__xludf.DUMMYFUNCTION("""COMPUTED_VALUE"""),2540.0)</f>
        <v>2540</v>
      </c>
      <c r="B2541" s="1">
        <f>IFERROR(__xludf.DUMMYFUNCTION("""COMPUTED_VALUE"""),6440.0)</f>
        <v>6440</v>
      </c>
      <c r="C2541" s="2" t="str">
        <f>IFERROR(__xludf.DUMMYFUNCTION("""COMPUTED_VALUE"""),"FREDDY")</f>
        <v>FREDDY</v>
      </c>
      <c r="D2541" s="2" t="str">
        <f>IFERROR(__xludf.DUMMYFUNCTION("""COMPUTED_VALUE"""),"5KM OVERALL M")</f>
        <v>5KM OVERALL M</v>
      </c>
      <c r="E2541" s="1">
        <f>IFERROR(__xludf.DUMMYFUNCTION("""COMPUTED_VALUE"""),2.0)</f>
        <v>2</v>
      </c>
      <c r="F2541" s="1" t="str">
        <f>IFERROR(__xludf.DUMMYFUNCTION("""COMPUTED_VALUE"""),"Male")</f>
        <v>Male</v>
      </c>
      <c r="G2541" s="4" t="b">
        <f>IFERROR(__xludf.DUMMYFUNCTION("""COMPUTED_VALUE"""),TRUE)</f>
        <v>1</v>
      </c>
      <c r="H2541" s="4" t="b">
        <f>IFERROR(__xludf.DUMMYFUNCTION("""COMPUTED_VALUE"""),FALSE)</f>
        <v>0</v>
      </c>
      <c r="I2541" s="4">
        <f>IFERROR(__xludf.DUMMYFUNCTION("""COMPUTED_VALUE"""),0.2549440625)</f>
        <v>0.2549440625</v>
      </c>
      <c r="J2541" s="4">
        <f>IFERROR(__xludf.DUMMYFUNCTION("""COMPUTED_VALUE"""),45950.269282407404)</f>
        <v>45950.26928</v>
      </c>
      <c r="K2541" s="4" t="str">
        <f>IFERROR(__xludf.DUMMYFUNCTION("""COMPUTED_VALUE"""),"")</f>
        <v/>
      </c>
      <c r="L2541" s="4">
        <f>IFERROR(__xludf.DUMMYFUNCTION("""COMPUTED_VALUE"""),45949.27883547528)</f>
        <v>45949.27884</v>
      </c>
      <c r="M2541" s="1" t="str">
        <f>IFERROR(__xludf.DUMMYFUNCTION("""COMPUTED_VALUE"""),"RFID")</f>
        <v>RFID</v>
      </c>
      <c r="N2541" s="5">
        <f>IFERROR(__xludf.DUMMYFUNCTION("""COMPUTED_VALUE"""),0.005735337962962964)</f>
        <v>0.005735337963</v>
      </c>
      <c r="O2541" s="5" t="str">
        <f>IFERROR(__xludf.DUMMYFUNCTION("""COMPUTED_VALUE"""),"")</f>
        <v/>
      </c>
      <c r="P2541" s="5" t="str">
        <f>IFERROR(__xludf.DUMMYFUNCTION("""COMPUTED_VALUE"""),"")</f>
        <v/>
      </c>
      <c r="Q2541" s="5">
        <f>IFERROR(__xludf.DUMMYFUNCTION("""COMPUTED_VALUE"""),0.0047782824074074064)</f>
        <v>0.004778282407</v>
      </c>
      <c r="R2541" s="4">
        <f>IFERROR(__xludf.DUMMYFUNCTION("""COMPUTED_VALUE"""),45949.02389141278)</f>
        <v>45949.02389</v>
      </c>
      <c r="S2541" s="1" t="b">
        <f>IFERROR(__xludf.DUMMYFUNCTION("""COMPUTED_VALUE"""),TRUE)</f>
        <v>1</v>
      </c>
      <c r="T2541" s="1" t="b">
        <f>IFERROR(__xludf.DUMMYFUNCTION("""COMPUTED_VALUE"""),FALSE)</f>
        <v>0</v>
      </c>
      <c r="U2541" s="1" t="str">
        <f>IFERROR(__xludf.DUMMYFUNCTION("""COMPUTED_VALUE"""),"VALID")</f>
        <v>VALID</v>
      </c>
      <c r="V2541" s="1">
        <f>IFERROR(__xludf.DUMMYFUNCTION("""COMPUTED_VALUE"""),160.0)</f>
        <v>160</v>
      </c>
      <c r="W2541" s="1">
        <f>IFERROR(__xludf.DUMMYFUNCTION("""COMPUTED_VALUE"""),244.0)</f>
        <v>244</v>
      </c>
      <c r="X2541" s="1">
        <f>IFERROR(__xludf.DUMMYFUNCTION("""COMPUTED_VALUE"""),214.0)</f>
        <v>214</v>
      </c>
      <c r="Y2541" s="2"/>
      <c r="Z2541" s="2" t="str">
        <f>IFERROR(__xludf.DUMMYFUNCTION("""COMPUTED_VALUE"""),"C")</f>
        <v>C</v>
      </c>
    </row>
    <row r="2542">
      <c r="A2542" s="1">
        <f>IFERROR(__xludf.DUMMYFUNCTION("""COMPUTED_VALUE"""),2541.0)</f>
        <v>2541</v>
      </c>
      <c r="B2542" s="1">
        <f>IFERROR(__xludf.DUMMYFUNCTION("""COMPUTED_VALUE"""),6441.0)</f>
        <v>6441</v>
      </c>
      <c r="C2542" s="2" t="str">
        <f>IFERROR(__xludf.DUMMYFUNCTION("""COMPUTED_VALUE"""),"IPAN")</f>
        <v>IPAN</v>
      </c>
      <c r="D2542" s="2" t="str">
        <f>IFERROR(__xludf.DUMMYFUNCTION("""COMPUTED_VALUE"""),"5KM OVERALL M")</f>
        <v>5KM OVERALL M</v>
      </c>
      <c r="E2542" s="1">
        <f>IFERROR(__xludf.DUMMYFUNCTION("""COMPUTED_VALUE"""),2.0)</f>
        <v>2</v>
      </c>
      <c r="F2542" s="1" t="str">
        <f>IFERROR(__xludf.DUMMYFUNCTION("""COMPUTED_VALUE"""),"Male")</f>
        <v>Male</v>
      </c>
      <c r="G2542" s="4" t="b">
        <f>IFERROR(__xludf.DUMMYFUNCTION("""COMPUTED_VALUE"""),TRUE)</f>
        <v>1</v>
      </c>
      <c r="H2542" s="4" t="b">
        <f>IFERROR(__xludf.DUMMYFUNCTION("""COMPUTED_VALUE"""),FALSE)</f>
        <v>0</v>
      </c>
      <c r="I2542" s="4">
        <f>IFERROR(__xludf.DUMMYFUNCTION("""COMPUTED_VALUE"""),0.2549440625)</f>
        <v>0.2549440625</v>
      </c>
      <c r="J2542" s="4">
        <f>IFERROR(__xludf.DUMMYFUNCTION("""COMPUTED_VALUE"""),45949.26678084706)</f>
        <v>45949.26678</v>
      </c>
      <c r="K2542" s="4" t="str">
        <f>IFERROR(__xludf.DUMMYFUNCTION("""COMPUTED_VALUE"""),"")</f>
        <v/>
      </c>
      <c r="L2542" s="4">
        <f>IFERROR(__xludf.DUMMYFUNCTION("""COMPUTED_VALUE"""),45949.27722725377)</f>
        <v>45949.27723</v>
      </c>
      <c r="M2542" s="1" t="str">
        <f>IFERROR(__xludf.DUMMYFUNCTION("""COMPUTED_VALUE"""),"RFID")</f>
        <v>RFID</v>
      </c>
      <c r="N2542" s="5">
        <f>IFERROR(__xludf.DUMMYFUNCTION("""COMPUTED_VALUE"""),0.004734712962962963)</f>
        <v>0.004734712963</v>
      </c>
      <c r="O2542" s="5" t="str">
        <f>IFERROR(__xludf.DUMMYFUNCTION("""COMPUTED_VALUE"""),"")</f>
        <v/>
      </c>
      <c r="P2542" s="5" t="str">
        <f>IFERROR(__xludf.DUMMYFUNCTION("""COMPUTED_VALUE"""),"")</f>
        <v/>
      </c>
      <c r="Q2542" s="5">
        <f>IFERROR(__xludf.DUMMYFUNCTION("""COMPUTED_VALUE"""),0.004456638888888889)</f>
        <v>0.004456638889</v>
      </c>
      <c r="R2542" s="4">
        <f>IFERROR(__xludf.DUMMYFUNCTION("""COMPUTED_VALUE"""),45949.02228319127)</f>
        <v>45949.02228</v>
      </c>
      <c r="S2542" s="1" t="b">
        <f>IFERROR(__xludf.DUMMYFUNCTION("""COMPUTED_VALUE"""),TRUE)</f>
        <v>1</v>
      </c>
      <c r="T2542" s="1" t="b">
        <f>IFERROR(__xludf.DUMMYFUNCTION("""COMPUTED_VALUE"""),FALSE)</f>
        <v>0</v>
      </c>
      <c r="U2542" s="1" t="str">
        <f>IFERROR(__xludf.DUMMYFUNCTION("""COMPUTED_VALUE"""),"VALID")</f>
        <v>VALID</v>
      </c>
      <c r="V2542" s="1">
        <f>IFERROR(__xludf.DUMMYFUNCTION("""COMPUTED_VALUE"""),117.0)</f>
        <v>117</v>
      </c>
      <c r="W2542" s="1">
        <f>IFERROR(__xludf.DUMMYFUNCTION("""COMPUTED_VALUE"""),178.0)</f>
        <v>178</v>
      </c>
      <c r="X2542" s="1">
        <f>IFERROR(__xludf.DUMMYFUNCTION("""COMPUTED_VALUE"""),158.0)</f>
        <v>158</v>
      </c>
      <c r="Y2542" s="2"/>
      <c r="Z2542" s="2"/>
    </row>
    <row r="2543">
      <c r="A2543" s="1">
        <f>IFERROR(__xludf.DUMMYFUNCTION("""COMPUTED_VALUE"""),2542.0)</f>
        <v>2542</v>
      </c>
      <c r="B2543" s="1">
        <f>IFERROR(__xludf.DUMMYFUNCTION("""COMPUTED_VALUE"""),6442.0)</f>
        <v>6442</v>
      </c>
      <c r="C2543" s="2" t="str">
        <f>IFERROR(__xludf.DUMMYFUNCTION("""COMPUTED_VALUE"""),"KAMDARI")</f>
        <v>KAMDARI</v>
      </c>
      <c r="D2543" s="2" t="str">
        <f>IFERROR(__xludf.DUMMYFUNCTION("""COMPUTED_VALUE"""),"5KM OVERALL M")</f>
        <v>5KM OVERALL M</v>
      </c>
      <c r="E2543" s="1">
        <f>IFERROR(__xludf.DUMMYFUNCTION("""COMPUTED_VALUE"""),2.0)</f>
        <v>2</v>
      </c>
      <c r="F2543" s="1" t="str">
        <f>IFERROR(__xludf.DUMMYFUNCTION("""COMPUTED_VALUE"""),"Male")</f>
        <v>Male</v>
      </c>
      <c r="G2543" s="4" t="b">
        <f>IFERROR(__xludf.DUMMYFUNCTION("""COMPUTED_VALUE"""),TRUE)</f>
        <v>1</v>
      </c>
      <c r="H2543" s="4" t="b">
        <f>IFERROR(__xludf.DUMMYFUNCTION("""COMPUTED_VALUE"""),FALSE)</f>
        <v>0</v>
      </c>
      <c r="I2543" s="4">
        <f>IFERROR(__xludf.DUMMYFUNCTION("""COMPUTED_VALUE"""),0.2549440625)</f>
        <v>0.2549440625</v>
      </c>
      <c r="J2543" s="4">
        <f>IFERROR(__xludf.DUMMYFUNCTION("""COMPUTED_VALUE"""),45949.27073502464)</f>
        <v>45949.27074</v>
      </c>
      <c r="K2543" s="4" t="str">
        <f>IFERROR(__xludf.DUMMYFUNCTION("""COMPUTED_VALUE"""),"")</f>
        <v/>
      </c>
      <c r="L2543" s="4">
        <f>IFERROR(__xludf.DUMMYFUNCTION("""COMPUTED_VALUE"""),45949.28337309799)</f>
        <v>45949.28337</v>
      </c>
      <c r="M2543" s="1" t="str">
        <f>IFERROR(__xludf.DUMMYFUNCTION("""COMPUTED_VALUE"""),"RFID")</f>
        <v>RFID</v>
      </c>
      <c r="N2543" s="5">
        <f>IFERROR(__xludf.DUMMYFUNCTION("""COMPUTED_VALUE"""),0.006316384259259259)</f>
        <v>0.006316384259</v>
      </c>
      <c r="O2543" s="5" t="str">
        <f>IFERROR(__xludf.DUMMYFUNCTION("""COMPUTED_VALUE"""),"")</f>
        <v/>
      </c>
      <c r="P2543" s="5" t="str">
        <f>IFERROR(__xludf.DUMMYFUNCTION("""COMPUTED_VALUE"""),"")</f>
        <v/>
      </c>
      <c r="Q2543" s="5">
        <f>IFERROR(__xludf.DUMMYFUNCTION("""COMPUTED_VALUE"""),0.00568580787037037)</f>
        <v>0.00568580787</v>
      </c>
      <c r="R2543" s="4">
        <f>IFERROR(__xludf.DUMMYFUNCTION("""COMPUTED_VALUE"""),45949.02842903549)</f>
        <v>45949.02843</v>
      </c>
      <c r="S2543" s="1" t="b">
        <f>IFERROR(__xludf.DUMMYFUNCTION("""COMPUTED_VALUE"""),TRUE)</f>
        <v>1</v>
      </c>
      <c r="T2543" s="1" t="b">
        <f>IFERROR(__xludf.DUMMYFUNCTION("""COMPUTED_VALUE"""),FALSE)</f>
        <v>0</v>
      </c>
      <c r="U2543" s="1" t="str">
        <f>IFERROR(__xludf.DUMMYFUNCTION("""COMPUTED_VALUE"""),"VALID")</f>
        <v>VALID</v>
      </c>
      <c r="V2543" s="1">
        <f>IFERROR(__xludf.DUMMYFUNCTION("""COMPUTED_VALUE"""),309.0)</f>
        <v>309</v>
      </c>
      <c r="W2543" s="1">
        <f>IFERROR(__xludf.DUMMYFUNCTION("""COMPUTED_VALUE"""),460.0)</f>
        <v>460</v>
      </c>
      <c r="X2543" s="1">
        <f>IFERROR(__xludf.DUMMYFUNCTION("""COMPUTED_VALUE"""),398.0)</f>
        <v>398</v>
      </c>
      <c r="Y2543" s="2"/>
      <c r="Z2543" s="2"/>
    </row>
    <row r="2544">
      <c r="A2544" s="1">
        <f>IFERROR(__xludf.DUMMYFUNCTION("""COMPUTED_VALUE"""),2543.0)</f>
        <v>2543</v>
      </c>
      <c r="B2544" s="1">
        <f>IFERROR(__xludf.DUMMYFUNCTION("""COMPUTED_VALUE"""),6443.0)</f>
        <v>6443</v>
      </c>
      <c r="C2544" s="2" t="str">
        <f>IFERROR(__xludf.DUMMYFUNCTION("""COMPUTED_VALUE"""),"ADANG")</f>
        <v>ADANG</v>
      </c>
      <c r="D2544" s="2" t="str">
        <f>IFERROR(__xludf.DUMMYFUNCTION("""COMPUTED_VALUE"""),"5KM OVERALL M")</f>
        <v>5KM OVERALL M</v>
      </c>
      <c r="E2544" s="1">
        <f>IFERROR(__xludf.DUMMYFUNCTION("""COMPUTED_VALUE"""),2.0)</f>
        <v>2</v>
      </c>
      <c r="F2544" s="1" t="str">
        <f>IFERROR(__xludf.DUMMYFUNCTION("""COMPUTED_VALUE"""),"Male")</f>
        <v>Male</v>
      </c>
      <c r="G2544" s="4" t="str">
        <f>IFERROR(__xludf.DUMMYFUNCTION("""COMPUTED_VALUE"""),"")</f>
        <v/>
      </c>
      <c r="H2544" s="4" t="b">
        <f>IFERROR(__xludf.DUMMYFUNCTION("""COMPUTED_VALUE"""),FALSE)</f>
        <v>0</v>
      </c>
      <c r="I2544" s="4">
        <f>IFERROR(__xludf.DUMMYFUNCTION("""COMPUTED_VALUE"""),0.2549440625)</f>
        <v>0.2549440625</v>
      </c>
      <c r="J2544" s="4" t="str">
        <f>IFERROR(__xludf.DUMMYFUNCTION("""COMPUTED_VALUE"""),"")</f>
        <v/>
      </c>
      <c r="K2544" s="4" t="str">
        <f>IFERROR(__xludf.DUMMYFUNCTION("""COMPUTED_VALUE"""),"")</f>
        <v/>
      </c>
      <c r="L2544" s="4" t="str">
        <f>IFERROR(__xludf.DUMMYFUNCTION("""COMPUTED_VALUE"""),"")</f>
        <v/>
      </c>
      <c r="M2544" s="1" t="str">
        <f>IFERROR(__xludf.DUMMYFUNCTION("""COMPUTED_VALUE"""),"RFID")</f>
        <v>RFID</v>
      </c>
      <c r="N2544" s="5" t="str">
        <f>IFERROR(__xludf.DUMMYFUNCTION("""COMPUTED_VALUE"""),"")</f>
        <v/>
      </c>
      <c r="O2544" s="5" t="str">
        <f>IFERROR(__xludf.DUMMYFUNCTION("""COMPUTED_VALUE"""),"")</f>
        <v/>
      </c>
      <c r="P2544" s="5" t="str">
        <f>IFERROR(__xludf.DUMMYFUNCTION("""COMPUTED_VALUE"""),"")</f>
        <v/>
      </c>
      <c r="Q2544" s="5" t="str">
        <f>IFERROR(__xludf.DUMMYFUNCTION("""COMPUTED_VALUE"""),"")</f>
        <v/>
      </c>
      <c r="R2544" s="4" t="str">
        <f>IFERROR(__xludf.DUMMYFUNCTION("""COMPUTED_VALUE"""),"")</f>
        <v/>
      </c>
      <c r="S2544" s="1" t="b">
        <f>IFERROR(__xludf.DUMMYFUNCTION("""COMPUTED_VALUE"""),FALSE)</f>
        <v>0</v>
      </c>
      <c r="T2544" s="1" t="b">
        <f>IFERROR(__xludf.DUMMYFUNCTION("""COMPUTED_VALUE"""),FALSE)</f>
        <v>0</v>
      </c>
      <c r="U2544" s="1" t="str">
        <f>IFERROR(__xludf.DUMMYFUNCTION("""COMPUTED_VALUE"""),"DSQ")</f>
        <v>DSQ</v>
      </c>
      <c r="V2544" s="1" t="str">
        <f>IFERROR(__xludf.DUMMYFUNCTION("""COMPUTED_VALUE"""),"DSQ")</f>
        <v>DSQ</v>
      </c>
      <c r="W2544" s="1" t="str">
        <f>IFERROR(__xludf.DUMMYFUNCTION("""COMPUTED_VALUE"""),"DSQ")</f>
        <v>DSQ</v>
      </c>
      <c r="X2544" s="1" t="str">
        <f>IFERROR(__xludf.DUMMYFUNCTION("""COMPUTED_VALUE"""),"DSQ")</f>
        <v>DSQ</v>
      </c>
      <c r="Y2544" s="2"/>
      <c r="Z2544" s="2" t="str">
        <f>IFERROR(__xludf.DUMMYFUNCTION("""COMPUTED_VALUE"""),"")</f>
        <v/>
      </c>
    </row>
    <row r="2545">
      <c r="A2545" s="1">
        <f>IFERROR(__xludf.DUMMYFUNCTION("""COMPUTED_VALUE"""),2544.0)</f>
        <v>2544</v>
      </c>
      <c r="B2545" s="1">
        <f>IFERROR(__xludf.DUMMYFUNCTION("""COMPUTED_VALUE"""),6444.0)</f>
        <v>6444</v>
      </c>
      <c r="C2545" s="2" t="str">
        <f>IFERROR(__xludf.DUMMYFUNCTION("""COMPUTED_VALUE"""),"HERU KAPOLSEK BANJARBARU UTARA")</f>
        <v>HERU KAPOLSEK BANJARBARU UTARA</v>
      </c>
      <c r="D2545" s="2" t="str">
        <f>IFERROR(__xludf.DUMMYFUNCTION("""COMPUTED_VALUE"""),"5KM OVERALL M")</f>
        <v>5KM OVERALL M</v>
      </c>
      <c r="E2545" s="1">
        <f>IFERROR(__xludf.DUMMYFUNCTION("""COMPUTED_VALUE"""),2.0)</f>
        <v>2</v>
      </c>
      <c r="F2545" s="1" t="str">
        <f>IFERROR(__xludf.DUMMYFUNCTION("""COMPUTED_VALUE"""),"Male")</f>
        <v>Male</v>
      </c>
      <c r="G2545" s="4" t="b">
        <f>IFERROR(__xludf.DUMMYFUNCTION("""COMPUTED_VALUE"""),TRUE)</f>
        <v>1</v>
      </c>
      <c r="H2545" s="4" t="b">
        <f>IFERROR(__xludf.DUMMYFUNCTION("""COMPUTED_VALUE"""),TRUE)</f>
        <v>1</v>
      </c>
      <c r="I2545" s="4">
        <f>IFERROR(__xludf.DUMMYFUNCTION("""COMPUTED_VALUE"""),0.2549440625)</f>
        <v>0.2549440625</v>
      </c>
      <c r="J2545" s="4">
        <f>IFERROR(__xludf.DUMMYFUNCTION("""COMPUTED_VALUE"""),45949.27136348947)</f>
        <v>45949.27136</v>
      </c>
      <c r="K2545" s="4" t="str">
        <f>IFERROR(__xludf.DUMMYFUNCTION("""COMPUTED_VALUE"""),"")</f>
        <v/>
      </c>
      <c r="L2545" s="4">
        <f>IFERROR(__xludf.DUMMYFUNCTION("""COMPUTED_VALUE"""),45949.28282449819)</f>
        <v>45949.28282</v>
      </c>
      <c r="M2545" s="1" t="str">
        <f>IFERROR(__xludf.DUMMYFUNCTION("""COMPUTED_VALUE"""),"RFID")</f>
        <v>RFID</v>
      </c>
      <c r="N2545" s="5">
        <f>IFERROR(__xludf.DUMMYFUNCTION("""COMPUTED_VALUE"""),0.006567768518518519)</f>
        <v>0.006567768519</v>
      </c>
      <c r="O2545" s="5" t="str">
        <f>IFERROR(__xludf.DUMMYFUNCTION("""COMPUTED_VALUE"""),"")</f>
        <v/>
      </c>
      <c r="P2545" s="5" t="str">
        <f>IFERROR(__xludf.DUMMYFUNCTION("""COMPUTED_VALUE"""),"")</f>
        <v/>
      </c>
      <c r="Q2545" s="5">
        <f>IFERROR(__xludf.DUMMYFUNCTION("""COMPUTED_VALUE"""),0.005576087962962962)</f>
        <v>0.005576087963</v>
      </c>
      <c r="R2545" s="4">
        <f>IFERROR(__xludf.DUMMYFUNCTION("""COMPUTED_VALUE"""),45949.027880435686)</f>
        <v>45949.02788</v>
      </c>
      <c r="S2545" s="1" t="b">
        <f>IFERROR(__xludf.DUMMYFUNCTION("""COMPUTED_VALUE"""),TRUE)</f>
        <v>1</v>
      </c>
      <c r="T2545" s="1" t="b">
        <f>IFERROR(__xludf.DUMMYFUNCTION("""COMPUTED_VALUE"""),FALSE)</f>
        <v>0</v>
      </c>
      <c r="U2545" s="1" t="str">
        <f>IFERROR(__xludf.DUMMYFUNCTION("""COMPUTED_VALUE"""),"VALID")</f>
        <v>VALID</v>
      </c>
      <c r="V2545" s="1">
        <f>IFERROR(__xludf.DUMMYFUNCTION("""COMPUTED_VALUE"""),282.0)</f>
        <v>282</v>
      </c>
      <c r="W2545" s="1">
        <f>IFERROR(__xludf.DUMMYFUNCTION("""COMPUTED_VALUE"""),426.0)</f>
        <v>426</v>
      </c>
      <c r="X2545" s="1">
        <f>IFERROR(__xludf.DUMMYFUNCTION("""COMPUTED_VALUE"""),369.0)</f>
        <v>369</v>
      </c>
      <c r="Y2545" s="2"/>
      <c r="Z2545" s="2"/>
    </row>
    <row r="2546">
      <c r="A2546" s="1">
        <f>IFERROR(__xludf.DUMMYFUNCTION("""COMPUTED_VALUE"""),2545.0)</f>
        <v>2545</v>
      </c>
      <c r="B2546" s="1">
        <f>IFERROR(__xludf.DUMMYFUNCTION("""COMPUTED_VALUE"""),6445.0)</f>
        <v>6445</v>
      </c>
      <c r="C2546" s="2" t="str">
        <f>IFERROR(__xludf.DUMMYFUNCTION("""COMPUTED_VALUE"""),"KASAT IK")</f>
        <v>KASAT IK</v>
      </c>
      <c r="D2546" s="2" t="str">
        <f>IFERROR(__xludf.DUMMYFUNCTION("""COMPUTED_VALUE"""),"5KM OVERALL M")</f>
        <v>5KM OVERALL M</v>
      </c>
      <c r="E2546" s="1">
        <f>IFERROR(__xludf.DUMMYFUNCTION("""COMPUTED_VALUE"""),2.0)</f>
        <v>2</v>
      </c>
      <c r="F2546" s="1" t="str">
        <f>IFERROR(__xludf.DUMMYFUNCTION("""COMPUTED_VALUE"""),"Male")</f>
        <v>Male</v>
      </c>
      <c r="G2546" s="4" t="str">
        <f>IFERROR(__xludf.DUMMYFUNCTION("""COMPUTED_VALUE"""),"")</f>
        <v/>
      </c>
      <c r="H2546" s="4" t="b">
        <f>IFERROR(__xludf.DUMMYFUNCTION("""COMPUTED_VALUE"""),FALSE)</f>
        <v>0</v>
      </c>
      <c r="I2546" s="4">
        <f>IFERROR(__xludf.DUMMYFUNCTION("""COMPUTED_VALUE"""),0.2549440625)</f>
        <v>0.2549440625</v>
      </c>
      <c r="J2546" s="4" t="str">
        <f>IFERROR(__xludf.DUMMYFUNCTION("""COMPUTED_VALUE"""),"")</f>
        <v/>
      </c>
      <c r="K2546" s="4" t="str">
        <f>IFERROR(__xludf.DUMMYFUNCTION("""COMPUTED_VALUE"""),"")</f>
        <v/>
      </c>
      <c r="L2546" s="4" t="str">
        <f>IFERROR(__xludf.DUMMYFUNCTION("""COMPUTED_VALUE"""),"")</f>
        <v/>
      </c>
      <c r="M2546" s="1" t="str">
        <f>IFERROR(__xludf.DUMMYFUNCTION("""COMPUTED_VALUE"""),"RFID")</f>
        <v>RFID</v>
      </c>
      <c r="N2546" s="5" t="str">
        <f>IFERROR(__xludf.DUMMYFUNCTION("""COMPUTED_VALUE"""),"")</f>
        <v/>
      </c>
      <c r="O2546" s="5" t="str">
        <f>IFERROR(__xludf.DUMMYFUNCTION("""COMPUTED_VALUE"""),"")</f>
        <v/>
      </c>
      <c r="P2546" s="5" t="str">
        <f>IFERROR(__xludf.DUMMYFUNCTION("""COMPUTED_VALUE"""),"")</f>
        <v/>
      </c>
      <c r="Q2546" s="5" t="str">
        <f>IFERROR(__xludf.DUMMYFUNCTION("""COMPUTED_VALUE"""),"")</f>
        <v/>
      </c>
      <c r="R2546" s="4" t="str">
        <f>IFERROR(__xludf.DUMMYFUNCTION("""COMPUTED_VALUE"""),"")</f>
        <v/>
      </c>
      <c r="S2546" s="1" t="b">
        <f>IFERROR(__xludf.DUMMYFUNCTION("""COMPUTED_VALUE"""),FALSE)</f>
        <v>0</v>
      </c>
      <c r="T2546" s="1" t="b">
        <f>IFERROR(__xludf.DUMMYFUNCTION("""COMPUTED_VALUE"""),FALSE)</f>
        <v>0</v>
      </c>
      <c r="U2546" s="1" t="str">
        <f>IFERROR(__xludf.DUMMYFUNCTION("""COMPUTED_VALUE"""),"DSQ")</f>
        <v>DSQ</v>
      </c>
      <c r="V2546" s="1" t="str">
        <f>IFERROR(__xludf.DUMMYFUNCTION("""COMPUTED_VALUE"""),"DSQ")</f>
        <v>DSQ</v>
      </c>
      <c r="W2546" s="1" t="str">
        <f>IFERROR(__xludf.DUMMYFUNCTION("""COMPUTED_VALUE"""),"DSQ")</f>
        <v>DSQ</v>
      </c>
      <c r="X2546" s="1" t="str">
        <f>IFERROR(__xludf.DUMMYFUNCTION("""COMPUTED_VALUE"""),"DSQ")</f>
        <v>DSQ</v>
      </c>
      <c r="Y2546" s="2"/>
      <c r="Z2546" s="2" t="str">
        <f>IFERROR(__xludf.DUMMYFUNCTION("""COMPUTED_VALUE"""),"")</f>
        <v/>
      </c>
    </row>
    <row r="2547">
      <c r="A2547" s="1">
        <f>IFERROR(__xludf.DUMMYFUNCTION("""COMPUTED_VALUE"""),2546.0)</f>
        <v>2546</v>
      </c>
      <c r="B2547" s="1">
        <f>IFERROR(__xludf.DUMMYFUNCTION("""COMPUTED_VALUE"""),6446.0)</f>
        <v>6446</v>
      </c>
      <c r="C2547" s="2" t="str">
        <f>IFERROR(__xludf.DUMMYFUNCTION("""COMPUTED_VALUE"""),"WAKAPOLRES LETJON")</f>
        <v>WAKAPOLRES LETJON</v>
      </c>
      <c r="D2547" s="2" t="str">
        <f>IFERROR(__xludf.DUMMYFUNCTION("""COMPUTED_VALUE"""),"5KM OVERALL M")</f>
        <v>5KM OVERALL M</v>
      </c>
      <c r="E2547" s="1">
        <f>IFERROR(__xludf.DUMMYFUNCTION("""COMPUTED_VALUE"""),2.0)</f>
        <v>2</v>
      </c>
      <c r="F2547" s="1" t="str">
        <f>IFERROR(__xludf.DUMMYFUNCTION("""COMPUTED_VALUE"""),"Male")</f>
        <v>Male</v>
      </c>
      <c r="G2547" s="4" t="b">
        <f>IFERROR(__xludf.DUMMYFUNCTION("""COMPUTED_VALUE"""),TRUE)</f>
        <v>1</v>
      </c>
      <c r="H2547" s="4" t="b">
        <f>IFERROR(__xludf.DUMMYFUNCTION("""COMPUTED_VALUE"""),FALSE)</f>
        <v>0</v>
      </c>
      <c r="I2547" s="4">
        <f>IFERROR(__xludf.DUMMYFUNCTION("""COMPUTED_VALUE"""),0.2549440625)</f>
        <v>0.2549440625</v>
      </c>
      <c r="J2547" s="4">
        <f>IFERROR(__xludf.DUMMYFUNCTION("""COMPUTED_VALUE"""),45949.267762813724)</f>
        <v>45949.26776</v>
      </c>
      <c r="K2547" s="4" t="str">
        <f>IFERROR(__xludf.DUMMYFUNCTION("""COMPUTED_VALUE"""),"")</f>
        <v/>
      </c>
      <c r="L2547" s="4">
        <f>IFERROR(__xludf.DUMMYFUNCTION("""COMPUTED_VALUE"""),45949.27769253752)</f>
        <v>45949.27769</v>
      </c>
      <c r="M2547" s="1" t="str">
        <f>IFERROR(__xludf.DUMMYFUNCTION("""COMPUTED_VALUE"""),"RFID")</f>
        <v>RFID</v>
      </c>
      <c r="N2547" s="5">
        <f>IFERROR(__xludf.DUMMYFUNCTION("""COMPUTED_VALUE"""),0.0051275)</f>
        <v>0.0051275</v>
      </c>
      <c r="O2547" s="5" t="str">
        <f>IFERROR(__xludf.DUMMYFUNCTION("""COMPUTED_VALUE"""),"")</f>
        <v/>
      </c>
      <c r="P2547" s="5" t="str">
        <f>IFERROR(__xludf.DUMMYFUNCTION("""COMPUTED_VALUE"""),"")</f>
        <v/>
      </c>
      <c r="Q2547" s="5">
        <f>IFERROR(__xludf.DUMMYFUNCTION("""COMPUTED_VALUE"""),0.004549694444444445)</f>
        <v>0.004549694444</v>
      </c>
      <c r="R2547" s="4">
        <f>IFERROR(__xludf.DUMMYFUNCTION("""COMPUTED_VALUE"""),45949.02274847502)</f>
        <v>45949.02275</v>
      </c>
      <c r="S2547" s="1" t="b">
        <f>IFERROR(__xludf.DUMMYFUNCTION("""COMPUTED_VALUE"""),TRUE)</f>
        <v>1</v>
      </c>
      <c r="T2547" s="1" t="b">
        <f>IFERROR(__xludf.DUMMYFUNCTION("""COMPUTED_VALUE"""),FALSE)</f>
        <v>0</v>
      </c>
      <c r="U2547" s="1" t="str">
        <f>IFERROR(__xludf.DUMMYFUNCTION("""COMPUTED_VALUE"""),"VALID")</f>
        <v>VALID</v>
      </c>
      <c r="V2547" s="1">
        <f>IFERROR(__xludf.DUMMYFUNCTION("""COMPUTED_VALUE"""),129.0)</f>
        <v>129</v>
      </c>
      <c r="W2547" s="1">
        <f>IFERROR(__xludf.DUMMYFUNCTION("""COMPUTED_VALUE"""),199.0)</f>
        <v>199</v>
      </c>
      <c r="X2547" s="1">
        <f>IFERROR(__xludf.DUMMYFUNCTION("""COMPUTED_VALUE"""),174.0)</f>
        <v>174</v>
      </c>
      <c r="Y2547" s="2"/>
      <c r="Z2547" s="2"/>
    </row>
    <row r="2548">
      <c r="A2548" s="1">
        <f>IFERROR(__xludf.DUMMYFUNCTION("""COMPUTED_VALUE"""),2547.0)</f>
        <v>2547</v>
      </c>
      <c r="B2548" s="1">
        <f>IFERROR(__xludf.DUMMYFUNCTION("""COMPUTED_VALUE"""),6448.0)</f>
        <v>6448</v>
      </c>
      <c r="C2548" s="2" t="str">
        <f>IFERROR(__xludf.DUMMYFUNCTION("""COMPUTED_VALUE"""),"SONY F. L. GAOL")</f>
        <v>SONY F. L. GAOL</v>
      </c>
      <c r="D2548" s="2" t="str">
        <f>IFERROR(__xludf.DUMMYFUNCTION("""COMPUTED_VALUE"""),"5KM OVERALL M")</f>
        <v>5KM OVERALL M</v>
      </c>
      <c r="E2548" s="1">
        <f>IFERROR(__xludf.DUMMYFUNCTION("""COMPUTED_VALUE"""),2.0)</f>
        <v>2</v>
      </c>
      <c r="F2548" s="1" t="str">
        <f>IFERROR(__xludf.DUMMYFUNCTION("""COMPUTED_VALUE"""),"Male")</f>
        <v>Male</v>
      </c>
      <c r="G2548" s="4" t="b">
        <f>IFERROR(__xludf.DUMMYFUNCTION("""COMPUTED_VALUE"""),TRUE)</f>
        <v>1</v>
      </c>
      <c r="H2548" s="4" t="b">
        <f>IFERROR(__xludf.DUMMYFUNCTION("""COMPUTED_VALUE"""),TRUE)</f>
        <v>1</v>
      </c>
      <c r="I2548" s="4">
        <f>IFERROR(__xludf.DUMMYFUNCTION("""COMPUTED_VALUE"""),0.2549440625)</f>
        <v>0.2549440625</v>
      </c>
      <c r="J2548" s="4">
        <f>IFERROR(__xludf.DUMMYFUNCTION("""COMPUTED_VALUE"""),45949.27302322311)</f>
        <v>45949.27302</v>
      </c>
      <c r="K2548" s="4" t="str">
        <f>IFERROR(__xludf.DUMMYFUNCTION("""COMPUTED_VALUE"""),"")</f>
        <v/>
      </c>
      <c r="L2548" s="4">
        <f>IFERROR(__xludf.DUMMYFUNCTION("""COMPUTED_VALUE"""),45949.28795990215)</f>
        <v>45949.28796</v>
      </c>
      <c r="M2548" s="1" t="str">
        <f>IFERROR(__xludf.DUMMYFUNCTION("""COMPUTED_VALUE"""),"RFID")</f>
        <v>RFID</v>
      </c>
      <c r="N2548" s="5">
        <f>IFERROR(__xludf.DUMMYFUNCTION("""COMPUTED_VALUE"""),0.007231662037037037)</f>
        <v>0.007231662037</v>
      </c>
      <c r="O2548" s="5" t="str">
        <f>IFERROR(__xludf.DUMMYFUNCTION("""COMPUTED_VALUE"""),"")</f>
        <v/>
      </c>
      <c r="P2548" s="5" t="str">
        <f>IFERROR(__xludf.DUMMYFUNCTION("""COMPUTED_VALUE"""),"")</f>
        <v/>
      </c>
      <c r="Q2548" s="5">
        <f>IFERROR(__xludf.DUMMYFUNCTION("""COMPUTED_VALUE"""),0.0066031689814814816)</f>
        <v>0.006603168981</v>
      </c>
      <c r="R2548" s="4">
        <f>IFERROR(__xludf.DUMMYFUNCTION("""COMPUTED_VALUE"""),45949.03301583965)</f>
        <v>45949.03302</v>
      </c>
      <c r="S2548" s="1" t="b">
        <f>IFERROR(__xludf.DUMMYFUNCTION("""COMPUTED_VALUE"""),TRUE)</f>
        <v>1</v>
      </c>
      <c r="T2548" s="1" t="b">
        <f>IFERROR(__xludf.DUMMYFUNCTION("""COMPUTED_VALUE"""),FALSE)</f>
        <v>0</v>
      </c>
      <c r="U2548" s="1" t="str">
        <f>IFERROR(__xludf.DUMMYFUNCTION("""COMPUTED_VALUE"""),"VALID")</f>
        <v>VALID</v>
      </c>
      <c r="V2548" s="1">
        <f>IFERROR(__xludf.DUMMYFUNCTION("""COMPUTED_VALUE"""),496.0)</f>
        <v>496</v>
      </c>
      <c r="W2548" s="1">
        <f>IFERROR(__xludf.DUMMYFUNCTION("""COMPUTED_VALUE"""),777.0)</f>
        <v>777</v>
      </c>
      <c r="X2548" s="1">
        <f>IFERROR(__xludf.DUMMYFUNCTION("""COMPUTED_VALUE"""),642.0)</f>
        <v>642</v>
      </c>
      <c r="Y2548" s="2"/>
      <c r="Z2548" s="2"/>
    </row>
    <row r="2549">
      <c r="A2549" s="1">
        <f>IFERROR(__xludf.DUMMYFUNCTION("""COMPUTED_VALUE"""),2548.0)</f>
        <v>2548</v>
      </c>
      <c r="B2549" s="1">
        <f>IFERROR(__xludf.DUMMYFUNCTION("""COMPUTED_VALUE"""),6451.0)</f>
        <v>6451</v>
      </c>
      <c r="C2549" s="2" t="str">
        <f>IFERROR(__xludf.DUMMYFUNCTION("""COMPUTED_VALUE"""),"HERMAN INDRA SAKTI")</f>
        <v>HERMAN INDRA SAKTI</v>
      </c>
      <c r="D2549" s="2" t="str">
        <f>IFERROR(__xludf.DUMMYFUNCTION("""COMPUTED_VALUE"""),"5KM OVERALL M")</f>
        <v>5KM OVERALL M</v>
      </c>
      <c r="E2549" s="1">
        <f>IFERROR(__xludf.DUMMYFUNCTION("""COMPUTED_VALUE"""),2.0)</f>
        <v>2</v>
      </c>
      <c r="F2549" s="1" t="str">
        <f>IFERROR(__xludf.DUMMYFUNCTION("""COMPUTED_VALUE"""),"Male")</f>
        <v>Male</v>
      </c>
      <c r="G2549" s="4" t="b">
        <f>IFERROR(__xludf.DUMMYFUNCTION("""COMPUTED_VALUE"""),TRUE)</f>
        <v>1</v>
      </c>
      <c r="H2549" s="4" t="b">
        <f>IFERROR(__xludf.DUMMYFUNCTION("""COMPUTED_VALUE"""),TRUE)</f>
        <v>1</v>
      </c>
      <c r="I2549" s="4">
        <f>IFERROR(__xludf.DUMMYFUNCTION("""COMPUTED_VALUE"""),0.2549440625)</f>
        <v>0.2549440625</v>
      </c>
      <c r="J2549" s="4">
        <f>IFERROR(__xludf.DUMMYFUNCTION("""COMPUTED_VALUE"""),45949.271339185216)</f>
        <v>45949.27134</v>
      </c>
      <c r="K2549" s="4" t="str">
        <f>IFERROR(__xludf.DUMMYFUNCTION("""COMPUTED_VALUE"""),"")</f>
        <v/>
      </c>
      <c r="L2549" s="4">
        <f>IFERROR(__xludf.DUMMYFUNCTION("""COMPUTED_VALUE"""),45949.28383489934)</f>
        <v>45949.28383</v>
      </c>
      <c r="M2549" s="1" t="str">
        <f>IFERROR(__xludf.DUMMYFUNCTION("""COMPUTED_VALUE"""),"RFID")</f>
        <v>RFID</v>
      </c>
      <c r="N2549" s="5">
        <f>IFERROR(__xludf.DUMMYFUNCTION("""COMPUTED_VALUE"""),0.006558050925925926)</f>
        <v>0.006558050926</v>
      </c>
      <c r="O2549" s="5" t="str">
        <f>IFERROR(__xludf.DUMMYFUNCTION("""COMPUTED_VALUE"""),"")</f>
        <v/>
      </c>
      <c r="P2549" s="5" t="str">
        <f>IFERROR(__xludf.DUMMYFUNCTION("""COMPUTED_VALUE"""),"")</f>
        <v/>
      </c>
      <c r="Q2549" s="5">
        <f>IFERROR(__xludf.DUMMYFUNCTION("""COMPUTED_VALUE"""),0.005778166666666667)</f>
        <v>0.005778166667</v>
      </c>
      <c r="R2549" s="4">
        <f>IFERROR(__xludf.DUMMYFUNCTION("""COMPUTED_VALUE"""),45949.02889083684)</f>
        <v>45949.02889</v>
      </c>
      <c r="S2549" s="1" t="b">
        <f>IFERROR(__xludf.DUMMYFUNCTION("""COMPUTED_VALUE"""),TRUE)</f>
        <v>1</v>
      </c>
      <c r="T2549" s="1" t="b">
        <f>IFERROR(__xludf.DUMMYFUNCTION("""COMPUTED_VALUE"""),FALSE)</f>
        <v>0</v>
      </c>
      <c r="U2549" s="1" t="str">
        <f>IFERROR(__xludf.DUMMYFUNCTION("""COMPUTED_VALUE"""),"VALID")</f>
        <v>VALID</v>
      </c>
      <c r="V2549" s="1">
        <f>IFERROR(__xludf.DUMMYFUNCTION("""COMPUTED_VALUE"""),325.0)</f>
        <v>325</v>
      </c>
      <c r="W2549" s="1">
        <f>IFERROR(__xludf.DUMMYFUNCTION("""COMPUTED_VALUE"""),485.0)</f>
        <v>485</v>
      </c>
      <c r="X2549" s="1">
        <f>IFERROR(__xludf.DUMMYFUNCTION("""COMPUTED_VALUE"""),421.0)</f>
        <v>421</v>
      </c>
      <c r="Y2549" s="2"/>
      <c r="Z2549" s="2"/>
    </row>
    <row r="2550">
      <c r="A2550" s="1">
        <f>IFERROR(__xludf.DUMMYFUNCTION("""COMPUTED_VALUE"""),2549.0)</f>
        <v>2549</v>
      </c>
      <c r="B2550" s="1">
        <f>IFERROR(__xludf.DUMMYFUNCTION("""COMPUTED_VALUE"""),6452.0)</f>
        <v>6452</v>
      </c>
      <c r="C2550" s="2" t="str">
        <f>IFERROR(__xludf.DUMMYFUNCTION("""COMPUTED_VALUE"""),"-")</f>
        <v>-</v>
      </c>
      <c r="D2550" s="2" t="str">
        <f>IFERROR(__xludf.DUMMYFUNCTION("""COMPUTED_VALUE"""),"5KM OVERALL M")</f>
        <v>5KM OVERALL M</v>
      </c>
      <c r="E2550" s="1">
        <f>IFERROR(__xludf.DUMMYFUNCTION("""COMPUTED_VALUE"""),2.0)</f>
        <v>2</v>
      </c>
      <c r="F2550" s="1" t="str">
        <f>IFERROR(__xludf.DUMMYFUNCTION("""COMPUTED_VALUE"""),"Male")</f>
        <v>Male</v>
      </c>
      <c r="G2550" s="4" t="b">
        <f>IFERROR(__xludf.DUMMYFUNCTION("""COMPUTED_VALUE"""),TRUE)</f>
        <v>1</v>
      </c>
      <c r="H2550" s="4" t="b">
        <f>IFERROR(__xludf.DUMMYFUNCTION("""COMPUTED_VALUE"""),TRUE)</f>
        <v>1</v>
      </c>
      <c r="I2550" s="4">
        <f>IFERROR(__xludf.DUMMYFUNCTION("""COMPUTED_VALUE"""),0.2549440625)</f>
        <v>0.2549440625</v>
      </c>
      <c r="J2550" s="4">
        <f>IFERROR(__xludf.DUMMYFUNCTION("""COMPUTED_VALUE"""),45949.28220724419)</f>
        <v>45949.28221</v>
      </c>
      <c r="K2550" s="4" t="str">
        <f>IFERROR(__xludf.DUMMYFUNCTION("""COMPUTED_VALUE"""),"")</f>
        <v/>
      </c>
      <c r="L2550" s="4">
        <f>IFERROR(__xludf.DUMMYFUNCTION("""COMPUTED_VALUE"""),45949.30117170902)</f>
        <v>45949.30117</v>
      </c>
      <c r="M2550" s="1" t="str">
        <f>IFERROR(__xludf.DUMMYFUNCTION("""COMPUTED_VALUE"""),"RFID")</f>
        <v>RFID</v>
      </c>
      <c r="N2550" s="5">
        <f>IFERROR(__xludf.DUMMYFUNCTION("""COMPUTED_VALUE"""),0.01090527314814815)</f>
        <v>0.01090527315</v>
      </c>
      <c r="O2550" s="5" t="str">
        <f>IFERROR(__xludf.DUMMYFUNCTION("""COMPUTED_VALUE"""),"")</f>
        <v/>
      </c>
      <c r="P2550" s="5" t="str">
        <f>IFERROR(__xludf.DUMMYFUNCTION("""COMPUTED_VALUE"""),"")</f>
        <v/>
      </c>
      <c r="Q2550" s="5">
        <f>IFERROR(__xludf.DUMMYFUNCTION("""COMPUTED_VALUE"""),0.009245530092592592)</f>
        <v>0.009245530093</v>
      </c>
      <c r="R2550" s="4">
        <f>IFERROR(__xludf.DUMMYFUNCTION("""COMPUTED_VALUE"""),45949.04622764652)</f>
        <v>45949.04623</v>
      </c>
      <c r="S2550" s="1" t="b">
        <f>IFERROR(__xludf.DUMMYFUNCTION("""COMPUTED_VALUE"""),TRUE)</f>
        <v>1</v>
      </c>
      <c r="T2550" s="1" t="b">
        <f>IFERROR(__xludf.DUMMYFUNCTION("""COMPUTED_VALUE"""),FALSE)</f>
        <v>0</v>
      </c>
      <c r="U2550" s="1" t="str">
        <f>IFERROR(__xludf.DUMMYFUNCTION("""COMPUTED_VALUE"""),"VALID")</f>
        <v>VALID</v>
      </c>
      <c r="V2550" s="1">
        <f>IFERROR(__xludf.DUMMYFUNCTION("""COMPUTED_VALUE"""),812.0)</f>
        <v>812</v>
      </c>
      <c r="W2550" s="1">
        <f>IFERROR(__xludf.DUMMYFUNCTION("""COMPUTED_VALUE"""),1498.0)</f>
        <v>1498</v>
      </c>
      <c r="X2550" s="1">
        <f>IFERROR(__xludf.DUMMYFUNCTION("""COMPUTED_VALUE"""),1250.0)</f>
        <v>1250</v>
      </c>
      <c r="Y2550" s="2"/>
      <c r="Z2550" s="2"/>
    </row>
    <row r="2551">
      <c r="A2551" s="1">
        <f>IFERROR(__xludf.DUMMYFUNCTION("""COMPUTED_VALUE"""),2550.0)</f>
        <v>2550</v>
      </c>
      <c r="B2551" s="1">
        <f>IFERROR(__xludf.DUMMYFUNCTION("""COMPUTED_VALUE"""),6453.0)</f>
        <v>6453</v>
      </c>
      <c r="C2551" s="2" t="str">
        <f>IFERROR(__xludf.DUMMYFUNCTION("""COMPUTED_VALUE"""),"-")</f>
        <v>-</v>
      </c>
      <c r="D2551" s="2" t="str">
        <f>IFERROR(__xludf.DUMMYFUNCTION("""COMPUTED_VALUE"""),"5KM OVERALL M")</f>
        <v>5KM OVERALL M</v>
      </c>
      <c r="E2551" s="1">
        <f>IFERROR(__xludf.DUMMYFUNCTION("""COMPUTED_VALUE"""),2.0)</f>
        <v>2</v>
      </c>
      <c r="F2551" s="1" t="str">
        <f>IFERROR(__xludf.DUMMYFUNCTION("""COMPUTED_VALUE"""),"Male")</f>
        <v>Male</v>
      </c>
      <c r="G2551" s="4" t="str">
        <f>IFERROR(__xludf.DUMMYFUNCTION("""COMPUTED_VALUE"""),"")</f>
        <v/>
      </c>
      <c r="H2551" s="4" t="b">
        <f>IFERROR(__xludf.DUMMYFUNCTION("""COMPUTED_VALUE"""),FALSE)</f>
        <v>0</v>
      </c>
      <c r="I2551" s="4">
        <f>IFERROR(__xludf.DUMMYFUNCTION("""COMPUTED_VALUE"""),0.2549440625)</f>
        <v>0.2549440625</v>
      </c>
      <c r="J2551" s="4" t="str">
        <f>IFERROR(__xludf.DUMMYFUNCTION("""COMPUTED_VALUE"""),"")</f>
        <v/>
      </c>
      <c r="K2551" s="4" t="str">
        <f>IFERROR(__xludf.DUMMYFUNCTION("""COMPUTED_VALUE"""),"")</f>
        <v/>
      </c>
      <c r="L2551" s="4" t="str">
        <f>IFERROR(__xludf.DUMMYFUNCTION("""COMPUTED_VALUE"""),"")</f>
        <v/>
      </c>
      <c r="M2551" s="1" t="str">
        <f>IFERROR(__xludf.DUMMYFUNCTION("""COMPUTED_VALUE"""),"RFID")</f>
        <v>RFID</v>
      </c>
      <c r="N2551" s="5" t="str">
        <f>IFERROR(__xludf.DUMMYFUNCTION("""COMPUTED_VALUE"""),"")</f>
        <v/>
      </c>
      <c r="O2551" s="5" t="str">
        <f>IFERROR(__xludf.DUMMYFUNCTION("""COMPUTED_VALUE"""),"")</f>
        <v/>
      </c>
      <c r="P2551" s="5" t="str">
        <f>IFERROR(__xludf.DUMMYFUNCTION("""COMPUTED_VALUE"""),"")</f>
        <v/>
      </c>
      <c r="Q2551" s="5" t="str">
        <f>IFERROR(__xludf.DUMMYFUNCTION("""COMPUTED_VALUE"""),"")</f>
        <v/>
      </c>
      <c r="R2551" s="4" t="str">
        <f>IFERROR(__xludf.DUMMYFUNCTION("""COMPUTED_VALUE"""),"")</f>
        <v/>
      </c>
      <c r="S2551" s="1" t="b">
        <f>IFERROR(__xludf.DUMMYFUNCTION("""COMPUTED_VALUE"""),FALSE)</f>
        <v>0</v>
      </c>
      <c r="T2551" s="1" t="b">
        <f>IFERROR(__xludf.DUMMYFUNCTION("""COMPUTED_VALUE"""),FALSE)</f>
        <v>0</v>
      </c>
      <c r="U2551" s="1" t="str">
        <f>IFERROR(__xludf.DUMMYFUNCTION("""COMPUTED_VALUE"""),"DSQ")</f>
        <v>DSQ</v>
      </c>
      <c r="V2551" s="1" t="str">
        <f>IFERROR(__xludf.DUMMYFUNCTION("""COMPUTED_VALUE"""),"DSQ")</f>
        <v>DSQ</v>
      </c>
      <c r="W2551" s="1" t="str">
        <f>IFERROR(__xludf.DUMMYFUNCTION("""COMPUTED_VALUE"""),"DSQ")</f>
        <v>DSQ</v>
      </c>
      <c r="X2551" s="1" t="str">
        <f>IFERROR(__xludf.DUMMYFUNCTION("""COMPUTED_VALUE"""),"DSQ")</f>
        <v>DSQ</v>
      </c>
      <c r="Y2551" s="2"/>
      <c r="Z2551" s="2" t="str">
        <f>IFERROR(__xludf.DUMMYFUNCTION("""COMPUTED_VALUE"""),"")</f>
        <v/>
      </c>
    </row>
    <row r="2552">
      <c r="A2552" s="1">
        <f>IFERROR(__xludf.DUMMYFUNCTION("""COMPUTED_VALUE"""),2551.0)</f>
        <v>2551</v>
      </c>
      <c r="B2552" s="1">
        <f>IFERROR(__xludf.DUMMYFUNCTION("""COMPUTED_VALUE"""),6454.0)</f>
        <v>6454</v>
      </c>
      <c r="C2552" s="2" t="str">
        <f>IFERROR(__xludf.DUMMYFUNCTION("""COMPUTED_VALUE"""),"-")</f>
        <v>-</v>
      </c>
      <c r="D2552" s="2" t="str">
        <f>IFERROR(__xludf.DUMMYFUNCTION("""COMPUTED_VALUE"""),"5KM OVERALL M")</f>
        <v>5KM OVERALL M</v>
      </c>
      <c r="E2552" s="1">
        <f>IFERROR(__xludf.DUMMYFUNCTION("""COMPUTED_VALUE"""),2.0)</f>
        <v>2</v>
      </c>
      <c r="F2552" s="1" t="str">
        <f>IFERROR(__xludf.DUMMYFUNCTION("""COMPUTED_VALUE"""),"Male")</f>
        <v>Male</v>
      </c>
      <c r="G2552" s="4" t="b">
        <f>IFERROR(__xludf.DUMMYFUNCTION("""COMPUTED_VALUE"""),TRUE)</f>
        <v>1</v>
      </c>
      <c r="H2552" s="4" t="b">
        <f>IFERROR(__xludf.DUMMYFUNCTION("""COMPUTED_VALUE"""),TRUE)</f>
        <v>1</v>
      </c>
      <c r="I2552" s="4">
        <f>IFERROR(__xludf.DUMMYFUNCTION("""COMPUTED_VALUE"""),0.2549440625)</f>
        <v>0.2549440625</v>
      </c>
      <c r="J2552" s="4">
        <f>IFERROR(__xludf.DUMMYFUNCTION("""COMPUTED_VALUE"""),45949.26309964174)</f>
        <v>45949.2631</v>
      </c>
      <c r="K2552" s="4" t="str">
        <f>IFERROR(__xludf.DUMMYFUNCTION("""COMPUTED_VALUE"""),"")</f>
        <v/>
      </c>
      <c r="L2552" s="4">
        <f>IFERROR(__xludf.DUMMYFUNCTION("""COMPUTED_VALUE"""),45949.26978276107)</f>
        <v>45949.26978</v>
      </c>
      <c r="M2552" s="1" t="str">
        <f>IFERROR(__xludf.DUMMYFUNCTION("""COMPUTED_VALUE"""),"RFID")</f>
        <v>RFID</v>
      </c>
      <c r="N2552" s="5">
        <f>IFERROR(__xludf.DUMMYFUNCTION("""COMPUTED_VALUE"""),0.003262231481481482)</f>
        <v>0.003262231481</v>
      </c>
      <c r="O2552" s="5" t="str">
        <f>IFERROR(__xludf.DUMMYFUNCTION("""COMPUTED_VALUE"""),"")</f>
        <v/>
      </c>
      <c r="P2552" s="5" t="str">
        <f>IFERROR(__xludf.DUMMYFUNCTION("""COMPUTED_VALUE"""),"")</f>
        <v/>
      </c>
      <c r="Q2552" s="5">
        <f>IFERROR(__xludf.DUMMYFUNCTION("""COMPUTED_VALUE"""),0.002967740740740741)</f>
        <v>0.002967740741</v>
      </c>
      <c r="R2552" s="4">
        <f>IFERROR(__xludf.DUMMYFUNCTION("""COMPUTED_VALUE"""),45949.01483869857)</f>
        <v>45949.01484</v>
      </c>
      <c r="S2552" s="1" t="b">
        <f>IFERROR(__xludf.DUMMYFUNCTION("""COMPUTED_VALUE"""),TRUE)</f>
        <v>1</v>
      </c>
      <c r="T2552" s="1" t="b">
        <f>IFERROR(__xludf.DUMMYFUNCTION("""COMPUTED_VALUE"""),FALSE)</f>
        <v>0</v>
      </c>
      <c r="U2552" s="1" t="str">
        <f>IFERROR(__xludf.DUMMYFUNCTION("""COMPUTED_VALUE"""),"VALID")</f>
        <v>VALID</v>
      </c>
      <c r="V2552" s="1">
        <f>IFERROR(__xludf.DUMMYFUNCTION("""COMPUTED_VALUE"""),10.0)</f>
        <v>10</v>
      </c>
      <c r="W2552" s="1">
        <f>IFERROR(__xludf.DUMMYFUNCTION("""COMPUTED_VALUE"""),12.0)</f>
        <v>12</v>
      </c>
      <c r="X2552" s="1">
        <f>IFERROR(__xludf.DUMMYFUNCTION("""COMPUTED_VALUE"""),12.0)</f>
        <v>12</v>
      </c>
      <c r="Y2552" s="2"/>
      <c r="Z2552" s="2"/>
    </row>
    <row r="2553">
      <c r="A2553" s="1">
        <f>IFERROR(__xludf.DUMMYFUNCTION("""COMPUTED_VALUE"""),2552.0)</f>
        <v>2552</v>
      </c>
      <c r="B2553" s="1">
        <f>IFERROR(__xludf.DUMMYFUNCTION("""COMPUTED_VALUE"""),6455.0)</f>
        <v>6455</v>
      </c>
      <c r="C2553" s="2" t="str">
        <f>IFERROR(__xludf.DUMMYFUNCTION("""COMPUTED_VALUE"""),"-")</f>
        <v>-</v>
      </c>
      <c r="D2553" s="2" t="str">
        <f>IFERROR(__xludf.DUMMYFUNCTION("""COMPUTED_VALUE"""),"5KM OVERALL M")</f>
        <v>5KM OVERALL M</v>
      </c>
      <c r="E2553" s="1">
        <f>IFERROR(__xludf.DUMMYFUNCTION("""COMPUTED_VALUE"""),2.0)</f>
        <v>2</v>
      </c>
      <c r="F2553" s="1" t="str">
        <f>IFERROR(__xludf.DUMMYFUNCTION("""COMPUTED_VALUE"""),"Male")</f>
        <v>Male</v>
      </c>
      <c r="G2553" s="4" t="b">
        <f>IFERROR(__xludf.DUMMYFUNCTION("""COMPUTED_VALUE"""),TRUE)</f>
        <v>1</v>
      </c>
      <c r="H2553" s="4" t="b">
        <f>IFERROR(__xludf.DUMMYFUNCTION("""COMPUTED_VALUE"""),FALSE)</f>
        <v>0</v>
      </c>
      <c r="I2553" s="4">
        <f>IFERROR(__xludf.DUMMYFUNCTION("""COMPUTED_VALUE"""),0.2549440625)</f>
        <v>0.2549440625</v>
      </c>
      <c r="J2553" s="4">
        <f>IFERROR(__xludf.DUMMYFUNCTION("""COMPUTED_VALUE"""),45949.28355454666)</f>
        <v>45949.28355</v>
      </c>
      <c r="K2553" s="4" t="str">
        <f>IFERROR(__xludf.DUMMYFUNCTION("""COMPUTED_VALUE"""),"")</f>
        <v/>
      </c>
      <c r="L2553" s="4">
        <f>IFERROR(__xludf.DUMMYFUNCTION("""COMPUTED_VALUE"""),45949.303984212114)</f>
        <v>45949.30398</v>
      </c>
      <c r="M2553" s="1" t="str">
        <f>IFERROR(__xludf.DUMMYFUNCTION("""COMPUTED_VALUE"""),"RFID")</f>
        <v>RFID</v>
      </c>
      <c r="N2553" s="5">
        <f>IFERROR(__xludf.DUMMYFUNCTION("""COMPUTED_VALUE"""),0.011444194444444444)</f>
        <v>0.01144419444</v>
      </c>
      <c r="O2553" s="5" t="str">
        <f>IFERROR(__xludf.DUMMYFUNCTION("""COMPUTED_VALUE"""),"")</f>
        <v/>
      </c>
      <c r="P2553" s="5" t="str">
        <f>IFERROR(__xludf.DUMMYFUNCTION("""COMPUTED_VALUE"""),"")</f>
        <v/>
      </c>
      <c r="Q2553" s="5">
        <f>IFERROR(__xludf.DUMMYFUNCTION("""COMPUTED_VALUE"""),0.009808030092592594)</f>
        <v>0.009808030093</v>
      </c>
      <c r="R2553" s="4">
        <f>IFERROR(__xludf.DUMMYFUNCTION("""COMPUTED_VALUE"""),45949.04904014961)</f>
        <v>45949.04904</v>
      </c>
      <c r="S2553" s="1" t="b">
        <f>IFERROR(__xludf.DUMMYFUNCTION("""COMPUTED_VALUE"""),TRUE)</f>
        <v>1</v>
      </c>
      <c r="T2553" s="1" t="b">
        <f>IFERROR(__xludf.DUMMYFUNCTION("""COMPUTED_VALUE"""),FALSE)</f>
        <v>0</v>
      </c>
      <c r="U2553" s="1" t="str">
        <f>IFERROR(__xludf.DUMMYFUNCTION("""COMPUTED_VALUE"""),"VALID")</f>
        <v>VALID</v>
      </c>
      <c r="V2553" s="1">
        <f>IFERROR(__xludf.DUMMYFUNCTION("""COMPUTED_VALUE"""),838.0)</f>
        <v>838</v>
      </c>
      <c r="W2553" s="1">
        <f>IFERROR(__xludf.DUMMYFUNCTION("""COMPUTED_VALUE"""),1563.0)</f>
        <v>1563</v>
      </c>
      <c r="X2553" s="1">
        <f>IFERROR(__xludf.DUMMYFUNCTION("""COMPUTED_VALUE"""),1345.0)</f>
        <v>1345</v>
      </c>
      <c r="Y2553" s="2"/>
      <c r="Z2553" s="2"/>
    </row>
    <row r="2554">
      <c r="A2554" s="1">
        <f>IFERROR(__xludf.DUMMYFUNCTION("""COMPUTED_VALUE"""),2553.0)</f>
        <v>2553</v>
      </c>
      <c r="B2554" s="1">
        <f>IFERROR(__xludf.DUMMYFUNCTION("""COMPUTED_VALUE"""),6456.0)</f>
        <v>6456</v>
      </c>
      <c r="C2554" s="2" t="str">
        <f>IFERROR(__xludf.DUMMYFUNCTION("""COMPUTED_VALUE"""),"-")</f>
        <v>-</v>
      </c>
      <c r="D2554" s="2" t="str">
        <f>IFERROR(__xludf.DUMMYFUNCTION("""COMPUTED_VALUE"""),"5KM OVERALL M")</f>
        <v>5KM OVERALL M</v>
      </c>
      <c r="E2554" s="1">
        <f>IFERROR(__xludf.DUMMYFUNCTION("""COMPUTED_VALUE"""),2.0)</f>
        <v>2</v>
      </c>
      <c r="F2554" s="1" t="str">
        <f>IFERROR(__xludf.DUMMYFUNCTION("""COMPUTED_VALUE"""),"Male")</f>
        <v>Male</v>
      </c>
      <c r="G2554" s="4" t="b">
        <f>IFERROR(__xludf.DUMMYFUNCTION("""COMPUTED_VALUE"""),TRUE)</f>
        <v>1</v>
      </c>
      <c r="H2554" s="4" t="b">
        <f>IFERROR(__xludf.DUMMYFUNCTION("""COMPUTED_VALUE"""),FALSE)</f>
        <v>0</v>
      </c>
      <c r="I2554" s="4">
        <f>IFERROR(__xludf.DUMMYFUNCTION("""COMPUTED_VALUE"""),0.2549440625)</f>
        <v>0.2549440625</v>
      </c>
      <c r="J2554" s="4">
        <f>IFERROR(__xludf.DUMMYFUNCTION("""COMPUTED_VALUE"""),45950.27545138889)</f>
        <v>45950.27545</v>
      </c>
      <c r="K2554" s="4" t="str">
        <f>IFERROR(__xludf.DUMMYFUNCTION("""COMPUTED_VALUE"""),"")</f>
        <v/>
      </c>
      <c r="L2554" s="4">
        <f>IFERROR(__xludf.DUMMYFUNCTION("""COMPUTED_VALUE"""),45949.28912309443)</f>
        <v>45949.28912</v>
      </c>
      <c r="M2554" s="1" t="str">
        <f>IFERROR(__xludf.DUMMYFUNCTION("""COMPUTED_VALUE"""),"RFID")</f>
        <v>RFID</v>
      </c>
      <c r="N2554" s="5">
        <f>IFERROR(__xludf.DUMMYFUNCTION("""COMPUTED_VALUE"""),0.008202930555555555)</f>
        <v>0.008202930556</v>
      </c>
      <c r="O2554" s="5" t="str">
        <f>IFERROR(__xludf.DUMMYFUNCTION("""COMPUTED_VALUE"""),"")</f>
        <v/>
      </c>
      <c r="P2554" s="5" t="str">
        <f>IFERROR(__xludf.DUMMYFUNCTION("""COMPUTED_VALUE"""),"")</f>
        <v/>
      </c>
      <c r="Q2554" s="5">
        <f>IFERROR(__xludf.DUMMYFUNCTION("""COMPUTED_VALUE"""),0.006835805555555556)</f>
        <v>0.006835805556</v>
      </c>
      <c r="R2554" s="4">
        <f>IFERROR(__xludf.DUMMYFUNCTION("""COMPUTED_VALUE"""),45949.03417903193)</f>
        <v>45949.03418</v>
      </c>
      <c r="S2554" s="1" t="b">
        <f>IFERROR(__xludf.DUMMYFUNCTION("""COMPUTED_VALUE"""),TRUE)</f>
        <v>1</v>
      </c>
      <c r="T2554" s="1" t="b">
        <f>IFERROR(__xludf.DUMMYFUNCTION("""COMPUTED_VALUE"""),FALSE)</f>
        <v>0</v>
      </c>
      <c r="U2554" s="1" t="str">
        <f>IFERROR(__xludf.DUMMYFUNCTION("""COMPUTED_VALUE"""),"VALID")</f>
        <v>VALID</v>
      </c>
      <c r="V2554" s="1">
        <f>IFERROR(__xludf.DUMMYFUNCTION("""COMPUTED_VALUE"""),540.0)</f>
        <v>540</v>
      </c>
      <c r="W2554" s="1">
        <f>IFERROR(__xludf.DUMMYFUNCTION("""COMPUTED_VALUE"""),850.0)</f>
        <v>850</v>
      </c>
      <c r="X2554" s="1">
        <f>IFERROR(__xludf.DUMMYFUNCTION("""COMPUTED_VALUE"""),695.0)</f>
        <v>695</v>
      </c>
      <c r="Y2554" s="2"/>
      <c r="Z2554" s="2" t="str">
        <f>IFERROR(__xludf.DUMMYFUNCTION("""COMPUTED_VALUE"""),"C")</f>
        <v>C</v>
      </c>
    </row>
    <row r="2555">
      <c r="A2555" s="1">
        <f>IFERROR(__xludf.DUMMYFUNCTION("""COMPUTED_VALUE"""),2554.0)</f>
        <v>2554</v>
      </c>
      <c r="B2555" s="1">
        <f>IFERROR(__xludf.DUMMYFUNCTION("""COMPUTED_VALUE"""),6457.0)</f>
        <v>6457</v>
      </c>
      <c r="C2555" s="2" t="str">
        <f>IFERROR(__xludf.DUMMYFUNCTION("""COMPUTED_VALUE"""),"-")</f>
        <v>-</v>
      </c>
      <c r="D2555" s="2" t="str">
        <f>IFERROR(__xludf.DUMMYFUNCTION("""COMPUTED_VALUE"""),"5KM OVERALL M")</f>
        <v>5KM OVERALL M</v>
      </c>
      <c r="E2555" s="1">
        <f>IFERROR(__xludf.DUMMYFUNCTION("""COMPUTED_VALUE"""),2.0)</f>
        <v>2</v>
      </c>
      <c r="F2555" s="1" t="str">
        <f>IFERROR(__xludf.DUMMYFUNCTION("""COMPUTED_VALUE"""),"Male")</f>
        <v>Male</v>
      </c>
      <c r="G2555" s="4" t="b">
        <f>IFERROR(__xludf.DUMMYFUNCTION("""COMPUTED_VALUE"""),TRUE)</f>
        <v>1</v>
      </c>
      <c r="H2555" s="4" t="b">
        <f>IFERROR(__xludf.DUMMYFUNCTION("""COMPUTED_VALUE"""),TRUE)</f>
        <v>1</v>
      </c>
      <c r="I2555" s="4">
        <f>IFERROR(__xludf.DUMMYFUNCTION("""COMPUTED_VALUE"""),0.2549440625)</f>
        <v>0.2549440625</v>
      </c>
      <c r="J2555" s="4">
        <f>IFERROR(__xludf.DUMMYFUNCTION("""COMPUTED_VALUE"""),45949.267773212596)</f>
        <v>45949.26777</v>
      </c>
      <c r="K2555" s="4" t="str">
        <f>IFERROR(__xludf.DUMMYFUNCTION("""COMPUTED_VALUE"""),"")</f>
        <v/>
      </c>
      <c r="L2555" s="4">
        <f>IFERROR(__xludf.DUMMYFUNCTION("""COMPUTED_VALUE"""),45949.277293226725)</f>
        <v>45949.27729</v>
      </c>
      <c r="M2555" s="1" t="str">
        <f>IFERROR(__xludf.DUMMYFUNCTION("""COMPUTED_VALUE"""),"RFID")</f>
        <v>RFID</v>
      </c>
      <c r="N2555" s="5">
        <f>IFERROR(__xludf.DUMMYFUNCTION("""COMPUTED_VALUE"""),0.005131662037037037)</f>
        <v>0.005131662037</v>
      </c>
      <c r="O2555" s="5" t="str">
        <f>IFERROR(__xludf.DUMMYFUNCTION("""COMPUTED_VALUE"""),"")</f>
        <v/>
      </c>
      <c r="P2555" s="5" t="str">
        <f>IFERROR(__xludf.DUMMYFUNCTION("""COMPUTED_VALUE"""),"")</f>
        <v/>
      </c>
      <c r="Q2555" s="5">
        <f>IFERROR(__xludf.DUMMYFUNCTION("""COMPUTED_VALUE"""),0.0044698333333333335)</f>
        <v>0.004469833333</v>
      </c>
      <c r="R2555" s="4">
        <f>IFERROR(__xludf.DUMMYFUNCTION("""COMPUTED_VALUE"""),45949.022349164225)</f>
        <v>45949.02235</v>
      </c>
      <c r="S2555" s="1" t="b">
        <f>IFERROR(__xludf.DUMMYFUNCTION("""COMPUTED_VALUE"""),TRUE)</f>
        <v>1</v>
      </c>
      <c r="T2555" s="1" t="b">
        <f>IFERROR(__xludf.DUMMYFUNCTION("""COMPUTED_VALUE"""),FALSE)</f>
        <v>0</v>
      </c>
      <c r="U2555" s="1" t="str">
        <f>IFERROR(__xludf.DUMMYFUNCTION("""COMPUTED_VALUE"""),"VALID")</f>
        <v>VALID</v>
      </c>
      <c r="V2555" s="1">
        <f>IFERROR(__xludf.DUMMYFUNCTION("""COMPUTED_VALUE"""),119.0)</f>
        <v>119</v>
      </c>
      <c r="W2555" s="1">
        <f>IFERROR(__xludf.DUMMYFUNCTION("""COMPUTED_VALUE"""),180.0)</f>
        <v>180</v>
      </c>
      <c r="X2555" s="1">
        <f>IFERROR(__xludf.DUMMYFUNCTION("""COMPUTED_VALUE"""),160.0)</f>
        <v>160</v>
      </c>
      <c r="Y2555" s="2"/>
      <c r="Z2555" s="2"/>
    </row>
    <row r="2556">
      <c r="A2556" s="1">
        <f>IFERROR(__xludf.DUMMYFUNCTION("""COMPUTED_VALUE"""),2555.0)</f>
        <v>2555</v>
      </c>
      <c r="B2556" s="1">
        <f>IFERROR(__xludf.DUMMYFUNCTION("""COMPUTED_VALUE"""),6458.0)</f>
        <v>6458</v>
      </c>
      <c r="C2556" s="2" t="str">
        <f>IFERROR(__xludf.DUMMYFUNCTION("""COMPUTED_VALUE"""),"-")</f>
        <v>-</v>
      </c>
      <c r="D2556" s="2" t="str">
        <f>IFERROR(__xludf.DUMMYFUNCTION("""COMPUTED_VALUE"""),"5KM OVERALL M")</f>
        <v>5KM OVERALL M</v>
      </c>
      <c r="E2556" s="1">
        <f>IFERROR(__xludf.DUMMYFUNCTION("""COMPUTED_VALUE"""),2.0)</f>
        <v>2</v>
      </c>
      <c r="F2556" s="1" t="str">
        <f>IFERROR(__xludf.DUMMYFUNCTION("""COMPUTED_VALUE"""),"Male")</f>
        <v>Male</v>
      </c>
      <c r="G2556" s="4" t="b">
        <f>IFERROR(__xludf.DUMMYFUNCTION("""COMPUTED_VALUE"""),TRUE)</f>
        <v>1</v>
      </c>
      <c r="H2556" s="4" t="b">
        <f>IFERROR(__xludf.DUMMYFUNCTION("""COMPUTED_VALUE"""),FALSE)</f>
        <v>0</v>
      </c>
      <c r="I2556" s="4">
        <f>IFERROR(__xludf.DUMMYFUNCTION("""COMPUTED_VALUE"""),0.2549440625)</f>
        <v>0.2549440625</v>
      </c>
      <c r="J2556" s="4">
        <f>IFERROR(__xludf.DUMMYFUNCTION("""COMPUTED_VALUE"""),45949.2751968778)</f>
        <v>45949.2752</v>
      </c>
      <c r="K2556" s="4" t="str">
        <f>IFERROR(__xludf.DUMMYFUNCTION("""COMPUTED_VALUE"""),"")</f>
        <v/>
      </c>
      <c r="L2556" s="4">
        <f>IFERROR(__xludf.DUMMYFUNCTION("""COMPUTED_VALUE"""),45949.29228976435)</f>
        <v>45949.29229</v>
      </c>
      <c r="M2556" s="1" t="str">
        <f>IFERROR(__xludf.DUMMYFUNCTION("""COMPUTED_VALUE"""),"RFID")</f>
        <v>RFID</v>
      </c>
      <c r="N2556" s="5">
        <f>IFERROR(__xludf.DUMMYFUNCTION("""COMPUTED_VALUE"""),0.008101125)</f>
        <v>0.008101125</v>
      </c>
      <c r="O2556" s="5" t="str">
        <f>IFERROR(__xludf.DUMMYFUNCTION("""COMPUTED_VALUE"""),"")</f>
        <v/>
      </c>
      <c r="P2556" s="5" t="str">
        <f>IFERROR(__xludf.DUMMYFUNCTION("""COMPUTED_VALUE"""),"")</f>
        <v/>
      </c>
      <c r="Q2556" s="5">
        <f>IFERROR(__xludf.DUMMYFUNCTION("""COMPUTED_VALUE"""),0.0074691412037037035)</f>
        <v>0.007469141204</v>
      </c>
      <c r="R2556" s="4">
        <f>IFERROR(__xludf.DUMMYFUNCTION("""COMPUTED_VALUE"""),45949.03734570185)</f>
        <v>45949.03735</v>
      </c>
      <c r="S2556" s="1" t="b">
        <f>IFERROR(__xludf.DUMMYFUNCTION("""COMPUTED_VALUE"""),TRUE)</f>
        <v>1</v>
      </c>
      <c r="T2556" s="1" t="b">
        <f>IFERROR(__xludf.DUMMYFUNCTION("""COMPUTED_VALUE"""),FALSE)</f>
        <v>0</v>
      </c>
      <c r="U2556" s="1" t="str">
        <f>IFERROR(__xludf.DUMMYFUNCTION("""COMPUTED_VALUE"""),"VALID")</f>
        <v>VALID</v>
      </c>
      <c r="V2556" s="1">
        <f>IFERROR(__xludf.DUMMYFUNCTION("""COMPUTED_VALUE"""),635.0)</f>
        <v>635</v>
      </c>
      <c r="W2556" s="1">
        <f>IFERROR(__xludf.DUMMYFUNCTION("""COMPUTED_VALUE"""),1048.0)</f>
        <v>1048</v>
      </c>
      <c r="X2556" s="1">
        <f>IFERROR(__xludf.DUMMYFUNCTION("""COMPUTED_VALUE"""),836.0)</f>
        <v>836</v>
      </c>
      <c r="Y2556" s="2"/>
      <c r="Z2556" s="2"/>
    </row>
    <row r="2557">
      <c r="A2557" s="1">
        <f>IFERROR(__xludf.DUMMYFUNCTION("""COMPUTED_VALUE"""),2556.0)</f>
        <v>2556</v>
      </c>
      <c r="B2557" s="1">
        <f>IFERROR(__xludf.DUMMYFUNCTION("""COMPUTED_VALUE"""),6459.0)</f>
        <v>6459</v>
      </c>
      <c r="C2557" s="2" t="str">
        <f>IFERROR(__xludf.DUMMYFUNCTION("""COMPUTED_VALUE"""),"MBALPE")</f>
        <v>MBALPE</v>
      </c>
      <c r="D2557" s="2" t="str">
        <f>IFERROR(__xludf.DUMMYFUNCTION("""COMPUTED_VALUE"""),"5KM OVERALL M")</f>
        <v>5KM OVERALL M</v>
      </c>
      <c r="E2557" s="1">
        <f>IFERROR(__xludf.DUMMYFUNCTION("""COMPUTED_VALUE"""),2.0)</f>
        <v>2</v>
      </c>
      <c r="F2557" s="1" t="str">
        <f>IFERROR(__xludf.DUMMYFUNCTION("""COMPUTED_VALUE"""),"Male")</f>
        <v>Male</v>
      </c>
      <c r="G2557" s="4" t="str">
        <f>IFERROR(__xludf.DUMMYFUNCTION("""COMPUTED_VALUE"""),"")</f>
        <v/>
      </c>
      <c r="H2557" s="4" t="b">
        <f>IFERROR(__xludf.DUMMYFUNCTION("""COMPUTED_VALUE"""),FALSE)</f>
        <v>0</v>
      </c>
      <c r="I2557" s="4">
        <f>IFERROR(__xludf.DUMMYFUNCTION("""COMPUTED_VALUE"""),0.2549440625)</f>
        <v>0.2549440625</v>
      </c>
      <c r="J2557" s="4" t="str">
        <f>IFERROR(__xludf.DUMMYFUNCTION("""COMPUTED_VALUE"""),"")</f>
        <v/>
      </c>
      <c r="K2557" s="4" t="str">
        <f>IFERROR(__xludf.DUMMYFUNCTION("""COMPUTED_VALUE"""),"")</f>
        <v/>
      </c>
      <c r="L2557" s="4" t="str">
        <f>IFERROR(__xludf.DUMMYFUNCTION("""COMPUTED_VALUE"""),"")</f>
        <v/>
      </c>
      <c r="M2557" s="1" t="str">
        <f>IFERROR(__xludf.DUMMYFUNCTION("""COMPUTED_VALUE"""),"RFID")</f>
        <v>RFID</v>
      </c>
      <c r="N2557" s="5" t="str">
        <f>IFERROR(__xludf.DUMMYFUNCTION("""COMPUTED_VALUE"""),"")</f>
        <v/>
      </c>
      <c r="O2557" s="5" t="str">
        <f>IFERROR(__xludf.DUMMYFUNCTION("""COMPUTED_VALUE"""),"")</f>
        <v/>
      </c>
      <c r="P2557" s="5" t="str">
        <f>IFERROR(__xludf.DUMMYFUNCTION("""COMPUTED_VALUE"""),"")</f>
        <v/>
      </c>
      <c r="Q2557" s="5" t="str">
        <f>IFERROR(__xludf.DUMMYFUNCTION("""COMPUTED_VALUE"""),"")</f>
        <v/>
      </c>
      <c r="R2557" s="4" t="str">
        <f>IFERROR(__xludf.DUMMYFUNCTION("""COMPUTED_VALUE"""),"")</f>
        <v/>
      </c>
      <c r="S2557" s="1" t="b">
        <f>IFERROR(__xludf.DUMMYFUNCTION("""COMPUTED_VALUE"""),FALSE)</f>
        <v>0</v>
      </c>
      <c r="T2557" s="1" t="b">
        <f>IFERROR(__xludf.DUMMYFUNCTION("""COMPUTED_VALUE"""),FALSE)</f>
        <v>0</v>
      </c>
      <c r="U2557" s="1" t="str">
        <f>IFERROR(__xludf.DUMMYFUNCTION("""COMPUTED_VALUE"""),"DSQ")</f>
        <v>DSQ</v>
      </c>
      <c r="V2557" s="1" t="str">
        <f>IFERROR(__xludf.DUMMYFUNCTION("""COMPUTED_VALUE"""),"DSQ")</f>
        <v>DSQ</v>
      </c>
      <c r="W2557" s="1" t="str">
        <f>IFERROR(__xludf.DUMMYFUNCTION("""COMPUTED_VALUE"""),"DSQ")</f>
        <v>DSQ</v>
      </c>
      <c r="X2557" s="1" t="str">
        <f>IFERROR(__xludf.DUMMYFUNCTION("""COMPUTED_VALUE"""),"DSQ")</f>
        <v>DSQ</v>
      </c>
      <c r="Y2557" s="2"/>
      <c r="Z2557" s="2" t="str">
        <f>IFERROR(__xludf.DUMMYFUNCTION("""COMPUTED_VALUE"""),"")</f>
        <v/>
      </c>
    </row>
    <row r="2558">
      <c r="A2558" s="1">
        <f>IFERROR(__xludf.DUMMYFUNCTION("""COMPUTED_VALUE"""),2557.0)</f>
        <v>2557</v>
      </c>
      <c r="B2558" s="1">
        <f>IFERROR(__xludf.DUMMYFUNCTION("""COMPUTED_VALUE"""),6460.0)</f>
        <v>6460</v>
      </c>
      <c r="C2558" s="2" t="str">
        <f>IFERROR(__xludf.DUMMYFUNCTION("""COMPUTED_VALUE"""),"KASIE YANMIN")</f>
        <v>KASIE YANMIN</v>
      </c>
      <c r="D2558" s="2" t="str">
        <f>IFERROR(__xludf.DUMMYFUNCTION("""COMPUTED_VALUE"""),"5KM OVERALL M")</f>
        <v>5KM OVERALL M</v>
      </c>
      <c r="E2558" s="1">
        <f>IFERROR(__xludf.DUMMYFUNCTION("""COMPUTED_VALUE"""),2.0)</f>
        <v>2</v>
      </c>
      <c r="F2558" s="1" t="str">
        <f>IFERROR(__xludf.DUMMYFUNCTION("""COMPUTED_VALUE"""),"Male")</f>
        <v>Male</v>
      </c>
      <c r="G2558" s="4" t="b">
        <f>IFERROR(__xludf.DUMMYFUNCTION("""COMPUTED_VALUE"""),TRUE)</f>
        <v>1</v>
      </c>
      <c r="H2558" s="4" t="b">
        <f>IFERROR(__xludf.DUMMYFUNCTION("""COMPUTED_VALUE"""),FALSE)</f>
        <v>0</v>
      </c>
      <c r="I2558" s="4">
        <f>IFERROR(__xludf.DUMMYFUNCTION("""COMPUTED_VALUE"""),0.2549440625)</f>
        <v>0.2549440625</v>
      </c>
      <c r="J2558" s="4">
        <f>IFERROR(__xludf.DUMMYFUNCTION("""COMPUTED_VALUE"""),45949.28380098775)</f>
        <v>45949.2838</v>
      </c>
      <c r="K2558" s="4" t="str">
        <f>IFERROR(__xludf.DUMMYFUNCTION("""COMPUTED_VALUE"""),"")</f>
        <v/>
      </c>
      <c r="L2558" s="4">
        <f>IFERROR(__xludf.DUMMYFUNCTION("""COMPUTED_VALUE"""),45949.30435915003)</f>
        <v>45949.30436</v>
      </c>
      <c r="M2558" s="1" t="str">
        <f>IFERROR(__xludf.DUMMYFUNCTION("""COMPUTED_VALUE"""),"RFID")</f>
        <v>RFID</v>
      </c>
      <c r="N2558" s="5">
        <f>IFERROR(__xludf.DUMMYFUNCTION("""COMPUTED_VALUE"""),0.011542768518518518)</f>
        <v>0.01154276852</v>
      </c>
      <c r="O2558" s="5" t="str">
        <f>IFERROR(__xludf.DUMMYFUNCTION("""COMPUTED_VALUE"""),"")</f>
        <v/>
      </c>
      <c r="P2558" s="5" t="str">
        <f>IFERROR(__xludf.DUMMYFUNCTION("""COMPUTED_VALUE"""),"")</f>
        <v/>
      </c>
      <c r="Q2558" s="5">
        <f>IFERROR(__xludf.DUMMYFUNCTION("""COMPUTED_VALUE"""),0.009883018518518518)</f>
        <v>0.009883018519</v>
      </c>
      <c r="R2558" s="4">
        <f>IFERROR(__xludf.DUMMYFUNCTION("""COMPUTED_VALUE"""),45949.04941508753)</f>
        <v>45949.04942</v>
      </c>
      <c r="S2558" s="1" t="b">
        <f>IFERROR(__xludf.DUMMYFUNCTION("""COMPUTED_VALUE"""),TRUE)</f>
        <v>1</v>
      </c>
      <c r="T2558" s="1" t="b">
        <f>IFERROR(__xludf.DUMMYFUNCTION("""COMPUTED_VALUE"""),FALSE)</f>
        <v>0</v>
      </c>
      <c r="U2558" s="1" t="str">
        <f>IFERROR(__xludf.DUMMYFUNCTION("""COMPUTED_VALUE"""),"VALID")</f>
        <v>VALID</v>
      </c>
      <c r="V2558" s="1">
        <f>IFERROR(__xludf.DUMMYFUNCTION("""COMPUTED_VALUE"""),842.0)</f>
        <v>842</v>
      </c>
      <c r="W2558" s="1">
        <f>IFERROR(__xludf.DUMMYFUNCTION("""COMPUTED_VALUE"""),1567.0)</f>
        <v>1567</v>
      </c>
      <c r="X2558" s="1">
        <f>IFERROR(__xludf.DUMMYFUNCTION("""COMPUTED_VALUE"""),1361.0)</f>
        <v>1361</v>
      </c>
      <c r="Y2558" s="2"/>
      <c r="Z2558" s="2"/>
    </row>
    <row r="2559">
      <c r="A2559" s="1">
        <f>IFERROR(__xludf.DUMMYFUNCTION("""COMPUTED_VALUE"""),2558.0)</f>
        <v>2558</v>
      </c>
      <c r="B2559" s="1">
        <f>IFERROR(__xludf.DUMMYFUNCTION("""COMPUTED_VALUE"""),6461.0)</f>
        <v>6461</v>
      </c>
      <c r="C2559" s="2" t="str">
        <f>IFERROR(__xludf.DUMMYFUNCTION("""COMPUTED_VALUE"""),"DIR LANTAS")</f>
        <v>DIR LANTAS</v>
      </c>
      <c r="D2559" s="2" t="str">
        <f>IFERROR(__xludf.DUMMYFUNCTION("""COMPUTED_VALUE"""),"5KM OVERALL M")</f>
        <v>5KM OVERALL M</v>
      </c>
      <c r="E2559" s="1">
        <f>IFERROR(__xludf.DUMMYFUNCTION("""COMPUTED_VALUE"""),2.0)</f>
        <v>2</v>
      </c>
      <c r="F2559" s="1" t="str">
        <f>IFERROR(__xludf.DUMMYFUNCTION("""COMPUTED_VALUE"""),"Male")</f>
        <v>Male</v>
      </c>
      <c r="G2559" s="4" t="str">
        <f>IFERROR(__xludf.DUMMYFUNCTION("""COMPUTED_VALUE"""),"")</f>
        <v/>
      </c>
      <c r="H2559" s="4" t="b">
        <f>IFERROR(__xludf.DUMMYFUNCTION("""COMPUTED_VALUE"""),FALSE)</f>
        <v>0</v>
      </c>
      <c r="I2559" s="4">
        <f>IFERROR(__xludf.DUMMYFUNCTION("""COMPUTED_VALUE"""),0.2549440625)</f>
        <v>0.2549440625</v>
      </c>
      <c r="J2559" s="4" t="str">
        <f>IFERROR(__xludf.DUMMYFUNCTION("""COMPUTED_VALUE"""),"")</f>
        <v/>
      </c>
      <c r="K2559" s="4" t="str">
        <f>IFERROR(__xludf.DUMMYFUNCTION("""COMPUTED_VALUE"""),"")</f>
        <v/>
      </c>
      <c r="L2559" s="4" t="str">
        <f>IFERROR(__xludf.DUMMYFUNCTION("""COMPUTED_VALUE"""),"")</f>
        <v/>
      </c>
      <c r="M2559" s="1" t="str">
        <f>IFERROR(__xludf.DUMMYFUNCTION("""COMPUTED_VALUE"""),"RFID")</f>
        <v>RFID</v>
      </c>
      <c r="N2559" s="5" t="str">
        <f>IFERROR(__xludf.DUMMYFUNCTION("""COMPUTED_VALUE"""),"")</f>
        <v/>
      </c>
      <c r="O2559" s="5" t="str">
        <f>IFERROR(__xludf.DUMMYFUNCTION("""COMPUTED_VALUE"""),"")</f>
        <v/>
      </c>
      <c r="P2559" s="5" t="str">
        <f>IFERROR(__xludf.DUMMYFUNCTION("""COMPUTED_VALUE"""),"")</f>
        <v/>
      </c>
      <c r="Q2559" s="5" t="str">
        <f>IFERROR(__xludf.DUMMYFUNCTION("""COMPUTED_VALUE"""),"")</f>
        <v/>
      </c>
      <c r="R2559" s="4" t="str">
        <f>IFERROR(__xludf.DUMMYFUNCTION("""COMPUTED_VALUE"""),"")</f>
        <v/>
      </c>
      <c r="S2559" s="1" t="b">
        <f>IFERROR(__xludf.DUMMYFUNCTION("""COMPUTED_VALUE"""),FALSE)</f>
        <v>0</v>
      </c>
      <c r="T2559" s="1" t="b">
        <f>IFERROR(__xludf.DUMMYFUNCTION("""COMPUTED_VALUE"""),FALSE)</f>
        <v>0</v>
      </c>
      <c r="U2559" s="1" t="str">
        <f>IFERROR(__xludf.DUMMYFUNCTION("""COMPUTED_VALUE"""),"DSQ")</f>
        <v>DSQ</v>
      </c>
      <c r="V2559" s="1" t="str">
        <f>IFERROR(__xludf.DUMMYFUNCTION("""COMPUTED_VALUE"""),"DSQ")</f>
        <v>DSQ</v>
      </c>
      <c r="W2559" s="1" t="str">
        <f>IFERROR(__xludf.DUMMYFUNCTION("""COMPUTED_VALUE"""),"DSQ")</f>
        <v>DSQ</v>
      </c>
      <c r="X2559" s="1" t="str">
        <f>IFERROR(__xludf.DUMMYFUNCTION("""COMPUTED_VALUE"""),"DSQ")</f>
        <v>DSQ</v>
      </c>
      <c r="Y2559" s="2"/>
      <c r="Z2559" s="2" t="str">
        <f>IFERROR(__xludf.DUMMYFUNCTION("""COMPUTED_VALUE"""),"")</f>
        <v/>
      </c>
    </row>
    <row r="2560">
      <c r="A2560" s="1">
        <f>IFERROR(__xludf.DUMMYFUNCTION("""COMPUTED_VALUE"""),2559.0)</f>
        <v>2559</v>
      </c>
      <c r="B2560" s="1">
        <f>IFERROR(__xludf.DUMMYFUNCTION("""COMPUTED_VALUE"""),6462.0)</f>
        <v>6462</v>
      </c>
      <c r="C2560" s="2" t="str">
        <f>IFERROR(__xludf.DUMMYFUNCTION("""COMPUTED_VALUE"""),"DISHUB")</f>
        <v>DISHUB</v>
      </c>
      <c r="D2560" s="2" t="str">
        <f>IFERROR(__xludf.DUMMYFUNCTION("""COMPUTED_VALUE"""),"5KM OVERALL M")</f>
        <v>5KM OVERALL M</v>
      </c>
      <c r="E2560" s="1">
        <f>IFERROR(__xludf.DUMMYFUNCTION("""COMPUTED_VALUE"""),2.0)</f>
        <v>2</v>
      </c>
      <c r="F2560" s="1" t="str">
        <f>IFERROR(__xludf.DUMMYFUNCTION("""COMPUTED_VALUE"""),"Male")</f>
        <v>Male</v>
      </c>
      <c r="G2560" s="4" t="b">
        <f>IFERROR(__xludf.DUMMYFUNCTION("""COMPUTED_VALUE"""),TRUE)</f>
        <v>1</v>
      </c>
      <c r="H2560" s="4" t="b">
        <f>IFERROR(__xludf.DUMMYFUNCTION("""COMPUTED_VALUE"""),FALSE)</f>
        <v>0</v>
      </c>
      <c r="I2560" s="4">
        <f>IFERROR(__xludf.DUMMYFUNCTION("""COMPUTED_VALUE"""),0.2549440625)</f>
        <v>0.2549440625</v>
      </c>
      <c r="J2560" s="4">
        <f>IFERROR(__xludf.DUMMYFUNCTION("""COMPUTED_VALUE"""),45949.27830795737)</f>
        <v>45949.27831</v>
      </c>
      <c r="K2560" s="4" t="str">
        <f>IFERROR(__xludf.DUMMYFUNCTION("""COMPUTED_VALUE"""),"")</f>
        <v/>
      </c>
      <c r="L2560" s="4">
        <f>IFERROR(__xludf.DUMMYFUNCTION("""COMPUTED_VALUE"""),45949.294025870746)</f>
        <v>45949.29403</v>
      </c>
      <c r="M2560" s="1" t="str">
        <f>IFERROR(__xludf.DUMMYFUNCTION("""COMPUTED_VALUE"""),"RFID")</f>
        <v>RFID</v>
      </c>
      <c r="N2560" s="5">
        <f>IFERROR(__xludf.DUMMYFUNCTION("""COMPUTED_VALUE"""),0.009345560185185186)</f>
        <v>0.009345560185</v>
      </c>
      <c r="O2560" s="5" t="str">
        <f>IFERROR(__xludf.DUMMYFUNCTION("""COMPUTED_VALUE"""),"")</f>
        <v/>
      </c>
      <c r="P2560" s="5" t="str">
        <f>IFERROR(__xludf.DUMMYFUNCTION("""COMPUTED_VALUE"""),"")</f>
        <v/>
      </c>
      <c r="Q2560" s="5">
        <f>IFERROR(__xludf.DUMMYFUNCTION("""COMPUTED_VALUE"""),0.00781636111111111)</f>
        <v>0.007816361111</v>
      </c>
      <c r="R2560" s="4">
        <f>IFERROR(__xludf.DUMMYFUNCTION("""COMPUTED_VALUE"""),45949.039081808245)</f>
        <v>45949.03908</v>
      </c>
      <c r="S2560" s="1" t="b">
        <f>IFERROR(__xludf.DUMMYFUNCTION("""COMPUTED_VALUE"""),TRUE)</f>
        <v>1</v>
      </c>
      <c r="T2560" s="1" t="b">
        <f>IFERROR(__xludf.DUMMYFUNCTION("""COMPUTED_VALUE"""),FALSE)</f>
        <v>0</v>
      </c>
      <c r="U2560" s="1" t="str">
        <f>IFERROR(__xludf.DUMMYFUNCTION("""COMPUTED_VALUE"""),"VALID")</f>
        <v>VALID</v>
      </c>
      <c r="V2560" s="1">
        <f>IFERROR(__xludf.DUMMYFUNCTION("""COMPUTED_VALUE"""),688.0)</f>
        <v>688</v>
      </c>
      <c r="W2560" s="1">
        <f>IFERROR(__xludf.DUMMYFUNCTION("""COMPUTED_VALUE"""),1178.0)</f>
        <v>1178</v>
      </c>
      <c r="X2560" s="1">
        <f>IFERROR(__xludf.DUMMYFUNCTION("""COMPUTED_VALUE"""),932.0)</f>
        <v>932</v>
      </c>
      <c r="Y2560" s="2"/>
      <c r="Z2560" s="2"/>
    </row>
    <row r="2561">
      <c r="A2561" s="1">
        <f>IFERROR(__xludf.DUMMYFUNCTION("""COMPUTED_VALUE"""),2560.0)</f>
        <v>2560</v>
      </c>
      <c r="B2561" s="1">
        <f>IFERROR(__xludf.DUMMYFUNCTION("""COMPUTED_VALUE"""),6463.0)</f>
        <v>6463</v>
      </c>
      <c r="C2561" s="2" t="str">
        <f>IFERROR(__xludf.DUMMYFUNCTION("""COMPUTED_VALUE"""),"DISHUB")</f>
        <v>DISHUB</v>
      </c>
      <c r="D2561" s="2" t="str">
        <f>IFERROR(__xludf.DUMMYFUNCTION("""COMPUTED_VALUE"""),"5KM OVERALL M")</f>
        <v>5KM OVERALL M</v>
      </c>
      <c r="E2561" s="1">
        <f>IFERROR(__xludf.DUMMYFUNCTION("""COMPUTED_VALUE"""),2.0)</f>
        <v>2</v>
      </c>
      <c r="F2561" s="1" t="str">
        <f>IFERROR(__xludf.DUMMYFUNCTION("""COMPUTED_VALUE"""),"Male")</f>
        <v>Male</v>
      </c>
      <c r="G2561" s="4" t="b">
        <f>IFERROR(__xludf.DUMMYFUNCTION("""COMPUTED_VALUE"""),TRUE)</f>
        <v>1</v>
      </c>
      <c r="H2561" s="4" t="b">
        <f>IFERROR(__xludf.DUMMYFUNCTION("""COMPUTED_VALUE"""),TRUE)</f>
        <v>1</v>
      </c>
      <c r="I2561" s="4">
        <f>IFERROR(__xludf.DUMMYFUNCTION("""COMPUTED_VALUE"""),0.2549440625)</f>
        <v>0.2549440625</v>
      </c>
      <c r="J2561" s="4">
        <f>IFERROR(__xludf.DUMMYFUNCTION("""COMPUTED_VALUE"""),45949.28350934158)</f>
        <v>45949.28351</v>
      </c>
      <c r="K2561" s="4" t="str">
        <f>IFERROR(__xludf.DUMMYFUNCTION("""COMPUTED_VALUE"""),"")</f>
        <v/>
      </c>
      <c r="L2561" s="4">
        <f>IFERROR(__xludf.DUMMYFUNCTION("""COMPUTED_VALUE"""),45949.3043210082)</f>
        <v>45949.30432</v>
      </c>
      <c r="M2561" s="1" t="str">
        <f>IFERROR(__xludf.DUMMYFUNCTION("""COMPUTED_VALUE"""),"RFID")</f>
        <v>RFID</v>
      </c>
      <c r="N2561" s="5">
        <f>IFERROR(__xludf.DUMMYFUNCTION("""COMPUTED_VALUE"""),0.01142611111111111)</f>
        <v>0.01142611111</v>
      </c>
      <c r="O2561" s="5" t="str">
        <f>IFERROR(__xludf.DUMMYFUNCTION("""COMPUTED_VALUE"""),"")</f>
        <v/>
      </c>
      <c r="P2561" s="5" t="str">
        <f>IFERROR(__xludf.DUMMYFUNCTION("""COMPUTED_VALUE"""),"")</f>
        <v/>
      </c>
      <c r="Q2561" s="5">
        <f>IFERROR(__xludf.DUMMYFUNCTION("""COMPUTED_VALUE"""),0.009875388888888888)</f>
        <v>0.009875388889</v>
      </c>
      <c r="R2561" s="4">
        <f>IFERROR(__xludf.DUMMYFUNCTION("""COMPUTED_VALUE"""),45949.0493769457)</f>
        <v>45949.04938</v>
      </c>
      <c r="S2561" s="1" t="b">
        <f>IFERROR(__xludf.DUMMYFUNCTION("""COMPUTED_VALUE"""),TRUE)</f>
        <v>1</v>
      </c>
      <c r="T2561" s="1" t="b">
        <f>IFERROR(__xludf.DUMMYFUNCTION("""COMPUTED_VALUE"""),FALSE)</f>
        <v>0</v>
      </c>
      <c r="U2561" s="1" t="str">
        <f>IFERROR(__xludf.DUMMYFUNCTION("""COMPUTED_VALUE"""),"VALID")</f>
        <v>VALID</v>
      </c>
      <c r="V2561" s="1">
        <f>IFERROR(__xludf.DUMMYFUNCTION("""COMPUTED_VALUE"""),840.0)</f>
        <v>840</v>
      </c>
      <c r="W2561" s="1">
        <f>IFERROR(__xludf.DUMMYFUNCTION("""COMPUTED_VALUE"""),1565.0)</f>
        <v>1565</v>
      </c>
      <c r="X2561" s="1">
        <f>IFERROR(__xludf.DUMMYFUNCTION("""COMPUTED_VALUE"""),1357.0)</f>
        <v>1357</v>
      </c>
      <c r="Y2561" s="2"/>
      <c r="Z2561" s="2"/>
    </row>
    <row r="2562">
      <c r="A2562" s="1">
        <f>IFERROR(__xludf.DUMMYFUNCTION("""COMPUTED_VALUE"""),2561.0)</f>
        <v>2561</v>
      </c>
      <c r="B2562" s="1">
        <f>IFERROR(__xludf.DUMMYFUNCTION("""COMPUTED_VALUE"""),6464.0)</f>
        <v>6464</v>
      </c>
      <c r="C2562" s="2" t="str">
        <f>IFERROR(__xludf.DUMMYFUNCTION("""COMPUTED_VALUE"""),"DISHUB")</f>
        <v>DISHUB</v>
      </c>
      <c r="D2562" s="2" t="str">
        <f>IFERROR(__xludf.DUMMYFUNCTION("""COMPUTED_VALUE"""),"5KM OVERALL M")</f>
        <v>5KM OVERALL M</v>
      </c>
      <c r="E2562" s="1">
        <f>IFERROR(__xludf.DUMMYFUNCTION("""COMPUTED_VALUE"""),2.0)</f>
        <v>2</v>
      </c>
      <c r="F2562" s="1" t="str">
        <f>IFERROR(__xludf.DUMMYFUNCTION("""COMPUTED_VALUE"""),"Male")</f>
        <v>Male</v>
      </c>
      <c r="G2562" s="4" t="str">
        <f>IFERROR(__xludf.DUMMYFUNCTION("""COMPUTED_VALUE"""),"")</f>
        <v/>
      </c>
      <c r="H2562" s="4" t="b">
        <f>IFERROR(__xludf.DUMMYFUNCTION("""COMPUTED_VALUE"""),FALSE)</f>
        <v>0</v>
      </c>
      <c r="I2562" s="4">
        <f>IFERROR(__xludf.DUMMYFUNCTION("""COMPUTED_VALUE"""),0.2549440625)</f>
        <v>0.2549440625</v>
      </c>
      <c r="J2562" s="4" t="str">
        <f>IFERROR(__xludf.DUMMYFUNCTION("""COMPUTED_VALUE"""),"")</f>
        <v/>
      </c>
      <c r="K2562" s="4" t="str">
        <f>IFERROR(__xludf.DUMMYFUNCTION("""COMPUTED_VALUE"""),"")</f>
        <v/>
      </c>
      <c r="L2562" s="4" t="str">
        <f>IFERROR(__xludf.DUMMYFUNCTION("""COMPUTED_VALUE"""),"")</f>
        <v/>
      </c>
      <c r="M2562" s="1" t="str">
        <f>IFERROR(__xludf.DUMMYFUNCTION("""COMPUTED_VALUE"""),"RFID")</f>
        <v>RFID</v>
      </c>
      <c r="N2562" s="5" t="str">
        <f>IFERROR(__xludf.DUMMYFUNCTION("""COMPUTED_VALUE"""),"")</f>
        <v/>
      </c>
      <c r="O2562" s="5" t="str">
        <f>IFERROR(__xludf.DUMMYFUNCTION("""COMPUTED_VALUE"""),"")</f>
        <v/>
      </c>
      <c r="P2562" s="5" t="str">
        <f>IFERROR(__xludf.DUMMYFUNCTION("""COMPUTED_VALUE"""),"")</f>
        <v/>
      </c>
      <c r="Q2562" s="5" t="str">
        <f>IFERROR(__xludf.DUMMYFUNCTION("""COMPUTED_VALUE"""),"")</f>
        <v/>
      </c>
      <c r="R2562" s="4" t="str">
        <f>IFERROR(__xludf.DUMMYFUNCTION("""COMPUTED_VALUE"""),"")</f>
        <v/>
      </c>
      <c r="S2562" s="1" t="b">
        <f>IFERROR(__xludf.DUMMYFUNCTION("""COMPUTED_VALUE"""),FALSE)</f>
        <v>0</v>
      </c>
      <c r="T2562" s="1" t="b">
        <f>IFERROR(__xludf.DUMMYFUNCTION("""COMPUTED_VALUE"""),FALSE)</f>
        <v>0</v>
      </c>
      <c r="U2562" s="1" t="str">
        <f>IFERROR(__xludf.DUMMYFUNCTION("""COMPUTED_VALUE"""),"DSQ")</f>
        <v>DSQ</v>
      </c>
      <c r="V2562" s="1" t="str">
        <f>IFERROR(__xludf.DUMMYFUNCTION("""COMPUTED_VALUE"""),"DSQ")</f>
        <v>DSQ</v>
      </c>
      <c r="W2562" s="1" t="str">
        <f>IFERROR(__xludf.DUMMYFUNCTION("""COMPUTED_VALUE"""),"DSQ")</f>
        <v>DSQ</v>
      </c>
      <c r="X2562" s="1" t="str">
        <f>IFERROR(__xludf.DUMMYFUNCTION("""COMPUTED_VALUE"""),"DSQ")</f>
        <v>DSQ</v>
      </c>
      <c r="Y2562" s="2"/>
      <c r="Z2562" s="2" t="str">
        <f>IFERROR(__xludf.DUMMYFUNCTION("""COMPUTED_VALUE"""),"")</f>
        <v/>
      </c>
    </row>
    <row r="2563">
      <c r="A2563" s="1">
        <f>IFERROR(__xludf.DUMMYFUNCTION("""COMPUTED_VALUE"""),2562.0)</f>
        <v>2562</v>
      </c>
      <c r="B2563" s="1">
        <f>IFERROR(__xludf.DUMMYFUNCTION("""COMPUTED_VALUE"""),6465.0)</f>
        <v>6465</v>
      </c>
      <c r="C2563" s="2" t="str">
        <f>IFERROR(__xludf.DUMMYFUNCTION("""COMPUTED_VALUE"""),"DISHUB")</f>
        <v>DISHUB</v>
      </c>
      <c r="D2563" s="2" t="str">
        <f>IFERROR(__xludf.DUMMYFUNCTION("""COMPUTED_VALUE"""),"5KM OVERALL M")</f>
        <v>5KM OVERALL M</v>
      </c>
      <c r="E2563" s="1">
        <f>IFERROR(__xludf.DUMMYFUNCTION("""COMPUTED_VALUE"""),2.0)</f>
        <v>2</v>
      </c>
      <c r="F2563" s="1" t="str">
        <f>IFERROR(__xludf.DUMMYFUNCTION("""COMPUTED_VALUE"""),"Male")</f>
        <v>Male</v>
      </c>
      <c r="G2563" s="4" t="b">
        <f>IFERROR(__xludf.DUMMYFUNCTION("""COMPUTED_VALUE"""),TRUE)</f>
        <v>1</v>
      </c>
      <c r="H2563" s="4" t="b">
        <f>IFERROR(__xludf.DUMMYFUNCTION("""COMPUTED_VALUE"""),TRUE)</f>
        <v>1</v>
      </c>
      <c r="I2563" s="4">
        <f>IFERROR(__xludf.DUMMYFUNCTION("""COMPUTED_VALUE"""),0.2549440625)</f>
        <v>0.2549440625</v>
      </c>
      <c r="J2563" s="4">
        <f>IFERROR(__xludf.DUMMYFUNCTION("""COMPUTED_VALUE"""),45949.29535661685)</f>
        <v>45949.29536</v>
      </c>
      <c r="K2563" s="4" t="str">
        <f>IFERROR(__xludf.DUMMYFUNCTION("""COMPUTED_VALUE"""),"")</f>
        <v/>
      </c>
      <c r="L2563" s="4">
        <f>IFERROR(__xludf.DUMMYFUNCTION("""COMPUTED_VALUE"""),45949.30561961598)</f>
        <v>45949.30562</v>
      </c>
      <c r="M2563" s="1" t="str">
        <f>IFERROR(__xludf.DUMMYFUNCTION("""COMPUTED_VALUE"""),"RFID")</f>
        <v>RFID</v>
      </c>
      <c r="N2563" s="5">
        <f>IFERROR(__xludf.DUMMYFUNCTION("""COMPUTED_VALUE"""),0.016165023148148147)</f>
        <v>0.01616502315</v>
      </c>
      <c r="O2563" s="5" t="str">
        <f>IFERROR(__xludf.DUMMYFUNCTION("""COMPUTED_VALUE"""),"")</f>
        <v/>
      </c>
      <c r="P2563" s="5" t="str">
        <f>IFERROR(__xludf.DUMMYFUNCTION("""COMPUTED_VALUE"""),"")</f>
        <v/>
      </c>
      <c r="Q2563" s="5">
        <f>IFERROR(__xludf.DUMMYFUNCTION("""COMPUTED_VALUE"""),0.010135111111111112)</f>
        <v>0.01013511111</v>
      </c>
      <c r="R2563" s="4">
        <f>IFERROR(__xludf.DUMMYFUNCTION("""COMPUTED_VALUE"""),45949.05067555348)</f>
        <v>45949.05068</v>
      </c>
      <c r="S2563" s="1" t="b">
        <f>IFERROR(__xludf.DUMMYFUNCTION("""COMPUTED_VALUE"""),TRUE)</f>
        <v>1</v>
      </c>
      <c r="T2563" s="1" t="b">
        <f>IFERROR(__xludf.DUMMYFUNCTION("""COMPUTED_VALUE"""),FALSE)</f>
        <v>0</v>
      </c>
      <c r="U2563" s="1" t="str">
        <f>IFERROR(__xludf.DUMMYFUNCTION("""COMPUTED_VALUE"""),"VALID")</f>
        <v>VALID</v>
      </c>
      <c r="V2563" s="1">
        <f>IFERROR(__xludf.DUMMYFUNCTION("""COMPUTED_VALUE"""),848.0)</f>
        <v>848</v>
      </c>
      <c r="W2563" s="1">
        <f>IFERROR(__xludf.DUMMYFUNCTION("""COMPUTED_VALUE"""),1582.0)</f>
        <v>1582</v>
      </c>
      <c r="X2563" s="1">
        <f>IFERROR(__xludf.DUMMYFUNCTION("""COMPUTED_VALUE"""),1406.0)</f>
        <v>1406</v>
      </c>
      <c r="Y2563" s="2"/>
      <c r="Z2563" s="2"/>
    </row>
    <row r="2564">
      <c r="A2564" s="1">
        <f>IFERROR(__xludf.DUMMYFUNCTION("""COMPUTED_VALUE"""),2563.0)</f>
        <v>2563</v>
      </c>
      <c r="B2564" s="1">
        <f>IFERROR(__xludf.DUMMYFUNCTION("""COMPUTED_VALUE"""),6466.0)</f>
        <v>6466</v>
      </c>
      <c r="C2564" s="2" t="str">
        <f>IFERROR(__xludf.DUMMYFUNCTION("""COMPUTED_VALUE"""),"DISHUB")</f>
        <v>DISHUB</v>
      </c>
      <c r="D2564" s="2" t="str">
        <f>IFERROR(__xludf.DUMMYFUNCTION("""COMPUTED_VALUE"""),"5KM OVERALL M")</f>
        <v>5KM OVERALL M</v>
      </c>
      <c r="E2564" s="1">
        <f>IFERROR(__xludf.DUMMYFUNCTION("""COMPUTED_VALUE"""),2.0)</f>
        <v>2</v>
      </c>
      <c r="F2564" s="1" t="str">
        <f>IFERROR(__xludf.DUMMYFUNCTION("""COMPUTED_VALUE"""),"Male")</f>
        <v>Male</v>
      </c>
      <c r="G2564" s="4" t="b">
        <f>IFERROR(__xludf.DUMMYFUNCTION("""COMPUTED_VALUE"""),TRUE)</f>
        <v>1</v>
      </c>
      <c r="H2564" s="4" t="b">
        <f>IFERROR(__xludf.DUMMYFUNCTION("""COMPUTED_VALUE"""),TRUE)</f>
        <v>1</v>
      </c>
      <c r="I2564" s="4">
        <f>IFERROR(__xludf.DUMMYFUNCTION("""COMPUTED_VALUE"""),0.2549440625)</f>
        <v>0.2549440625</v>
      </c>
      <c r="J2564" s="4">
        <f>IFERROR(__xludf.DUMMYFUNCTION("""COMPUTED_VALUE"""),45950.281273148146)</f>
        <v>45950.28127</v>
      </c>
      <c r="K2564" s="4" t="str">
        <f>IFERROR(__xludf.DUMMYFUNCTION("""COMPUTED_VALUE"""),"")</f>
        <v/>
      </c>
      <c r="L2564" s="4">
        <f>IFERROR(__xludf.DUMMYFUNCTION("""COMPUTED_VALUE"""),45949.29883142718)</f>
        <v>45949.29883</v>
      </c>
      <c r="M2564" s="1" t="str">
        <f>IFERROR(__xludf.DUMMYFUNCTION("""COMPUTED_VALUE"""),"RFID")</f>
        <v>RFID</v>
      </c>
      <c r="N2564" s="5">
        <f>IFERROR(__xludf.DUMMYFUNCTION("""COMPUTED_VALUE"""),0.01053163425925926)</f>
        <v>0.01053163426</v>
      </c>
      <c r="O2564" s="5" t="str">
        <f>IFERROR(__xludf.DUMMYFUNCTION("""COMPUTED_VALUE"""),"")</f>
        <v/>
      </c>
      <c r="P2564" s="5" t="str">
        <f>IFERROR(__xludf.DUMMYFUNCTION("""COMPUTED_VALUE"""),"")</f>
        <v/>
      </c>
      <c r="Q2564" s="5">
        <f>IFERROR(__xludf.DUMMYFUNCTION("""COMPUTED_VALUE"""),0.008777472222222223)</f>
        <v>0.008777472222</v>
      </c>
      <c r="R2564" s="4">
        <f>IFERROR(__xludf.DUMMYFUNCTION("""COMPUTED_VALUE"""),45949.04388736468)</f>
        <v>45949.04389</v>
      </c>
      <c r="S2564" s="1" t="b">
        <f>IFERROR(__xludf.DUMMYFUNCTION("""COMPUTED_VALUE"""),TRUE)</f>
        <v>1</v>
      </c>
      <c r="T2564" s="1" t="b">
        <f>IFERROR(__xludf.DUMMYFUNCTION("""COMPUTED_VALUE"""),FALSE)</f>
        <v>0</v>
      </c>
      <c r="U2564" s="1" t="str">
        <f>IFERROR(__xludf.DUMMYFUNCTION("""COMPUTED_VALUE"""),"VALID")</f>
        <v>VALID</v>
      </c>
      <c r="V2564" s="1">
        <f>IFERROR(__xludf.DUMMYFUNCTION("""COMPUTED_VALUE"""),778.0)</f>
        <v>778</v>
      </c>
      <c r="W2564" s="1">
        <f>IFERROR(__xludf.DUMMYFUNCTION("""COMPUTED_VALUE"""),1402.0)</f>
        <v>1402</v>
      </c>
      <c r="X2564" s="1">
        <f>IFERROR(__xludf.DUMMYFUNCTION("""COMPUTED_VALUE"""),1143.0)</f>
        <v>1143</v>
      </c>
      <c r="Y2564" s="2"/>
      <c r="Z2564" s="2" t="str">
        <f>IFERROR(__xludf.DUMMYFUNCTION("""COMPUTED_VALUE"""),"C")</f>
        <v>C</v>
      </c>
    </row>
    <row r="2565">
      <c r="A2565" s="1">
        <f>IFERROR(__xludf.DUMMYFUNCTION("""COMPUTED_VALUE"""),2564.0)</f>
        <v>2564</v>
      </c>
      <c r="B2565" s="1">
        <f>IFERROR(__xludf.DUMMYFUNCTION("""COMPUTED_VALUE"""),6467.0)</f>
        <v>6467</v>
      </c>
      <c r="C2565" s="2" t="str">
        <f>IFERROR(__xludf.DUMMYFUNCTION("""COMPUTED_VALUE"""),"DISHUB")</f>
        <v>DISHUB</v>
      </c>
      <c r="D2565" s="2" t="str">
        <f>IFERROR(__xludf.DUMMYFUNCTION("""COMPUTED_VALUE"""),"5KM OVERALL M")</f>
        <v>5KM OVERALL M</v>
      </c>
      <c r="E2565" s="1">
        <f>IFERROR(__xludf.DUMMYFUNCTION("""COMPUTED_VALUE"""),2.0)</f>
        <v>2</v>
      </c>
      <c r="F2565" s="1" t="str">
        <f>IFERROR(__xludf.DUMMYFUNCTION("""COMPUTED_VALUE"""),"Male")</f>
        <v>Male</v>
      </c>
      <c r="G2565" s="4" t="b">
        <f>IFERROR(__xludf.DUMMYFUNCTION("""COMPUTED_VALUE"""),TRUE)</f>
        <v>1</v>
      </c>
      <c r="H2565" s="4" t="b">
        <f>IFERROR(__xludf.DUMMYFUNCTION("""COMPUTED_VALUE"""),TRUE)</f>
        <v>1</v>
      </c>
      <c r="I2565" s="4">
        <f>IFERROR(__xludf.DUMMYFUNCTION("""COMPUTED_VALUE"""),0.2549440625)</f>
        <v>0.2549440625</v>
      </c>
      <c r="J2565" s="4">
        <f>IFERROR(__xludf.DUMMYFUNCTION("""COMPUTED_VALUE"""),45950.277141203704)</f>
        <v>45950.27714</v>
      </c>
      <c r="K2565" s="4" t="str">
        <f>IFERROR(__xludf.DUMMYFUNCTION("""COMPUTED_VALUE"""),"")</f>
        <v/>
      </c>
      <c r="L2565" s="4">
        <f>IFERROR(__xludf.DUMMYFUNCTION("""COMPUTED_VALUE"""),45949.29194254046)</f>
        <v>45949.29194</v>
      </c>
      <c r="M2565" s="1" t="str">
        <f>IFERROR(__xludf.DUMMYFUNCTION("""COMPUTED_VALUE"""),"RFID")</f>
        <v>RFID</v>
      </c>
      <c r="N2565" s="5">
        <f>IFERROR(__xludf.DUMMYFUNCTION("""COMPUTED_VALUE"""),0.00887885648148148)</f>
        <v>0.008878856481</v>
      </c>
      <c r="O2565" s="5" t="str">
        <f>IFERROR(__xludf.DUMMYFUNCTION("""COMPUTED_VALUE"""),"")</f>
        <v/>
      </c>
      <c r="P2565" s="5" t="str">
        <f>IFERROR(__xludf.DUMMYFUNCTION("""COMPUTED_VALUE"""),"")</f>
        <v/>
      </c>
      <c r="Q2565" s="5">
        <f>IFERROR(__xludf.DUMMYFUNCTION("""COMPUTED_VALUE"""),0.007399694444444445)</f>
        <v>0.007399694444</v>
      </c>
      <c r="R2565" s="4">
        <f>IFERROR(__xludf.DUMMYFUNCTION("""COMPUTED_VALUE"""),45949.03699847796)</f>
        <v>45949.037</v>
      </c>
      <c r="S2565" s="1" t="b">
        <f>IFERROR(__xludf.DUMMYFUNCTION("""COMPUTED_VALUE"""),TRUE)</f>
        <v>1</v>
      </c>
      <c r="T2565" s="1" t="b">
        <f>IFERROR(__xludf.DUMMYFUNCTION("""COMPUTED_VALUE"""),FALSE)</f>
        <v>0</v>
      </c>
      <c r="U2565" s="1" t="str">
        <f>IFERROR(__xludf.DUMMYFUNCTION("""COMPUTED_VALUE"""),"VALID")</f>
        <v>VALID</v>
      </c>
      <c r="V2565" s="1">
        <f>IFERROR(__xludf.DUMMYFUNCTION("""COMPUTED_VALUE"""),626.0)</f>
        <v>626</v>
      </c>
      <c r="W2565" s="1">
        <f>IFERROR(__xludf.DUMMYFUNCTION("""COMPUTED_VALUE"""),1029.0)</f>
        <v>1029</v>
      </c>
      <c r="X2565" s="1">
        <f>IFERROR(__xludf.DUMMYFUNCTION("""COMPUTED_VALUE"""),825.0)</f>
        <v>825</v>
      </c>
      <c r="Y2565" s="2"/>
      <c r="Z2565" s="2" t="str">
        <f>IFERROR(__xludf.DUMMYFUNCTION("""COMPUTED_VALUE"""),"C")</f>
        <v>C</v>
      </c>
    </row>
    <row r="2566">
      <c r="A2566" s="1">
        <f>IFERROR(__xludf.DUMMYFUNCTION("""COMPUTED_VALUE"""),2565.0)</f>
        <v>2565</v>
      </c>
      <c r="B2566" s="1">
        <f>IFERROR(__xludf.DUMMYFUNCTION("""COMPUTED_VALUE"""),6468.0)</f>
        <v>6468</v>
      </c>
      <c r="C2566" s="2" t="str">
        <f>IFERROR(__xludf.DUMMYFUNCTION("""COMPUTED_VALUE"""),"DISHUB")</f>
        <v>DISHUB</v>
      </c>
      <c r="D2566" s="2" t="str">
        <f>IFERROR(__xludf.DUMMYFUNCTION("""COMPUTED_VALUE"""),"5KM OVERALL M")</f>
        <v>5KM OVERALL M</v>
      </c>
      <c r="E2566" s="1">
        <f>IFERROR(__xludf.DUMMYFUNCTION("""COMPUTED_VALUE"""),2.0)</f>
        <v>2</v>
      </c>
      <c r="F2566" s="1" t="str">
        <f>IFERROR(__xludf.DUMMYFUNCTION("""COMPUTED_VALUE"""),"Male")</f>
        <v>Male</v>
      </c>
      <c r="G2566" s="4" t="b">
        <f>IFERROR(__xludf.DUMMYFUNCTION("""COMPUTED_VALUE"""),TRUE)</f>
        <v>1</v>
      </c>
      <c r="H2566" s="4" t="b">
        <f>IFERROR(__xludf.DUMMYFUNCTION("""COMPUTED_VALUE"""),TRUE)</f>
        <v>1</v>
      </c>
      <c r="I2566" s="4">
        <f>IFERROR(__xludf.DUMMYFUNCTION("""COMPUTED_VALUE"""),0.2549440625)</f>
        <v>0.2549440625</v>
      </c>
      <c r="J2566" s="4">
        <f>IFERROR(__xludf.DUMMYFUNCTION("""COMPUTED_VALUE"""),45949.28031487814)</f>
        <v>45949.28031</v>
      </c>
      <c r="K2566" s="4" t="str">
        <f>IFERROR(__xludf.DUMMYFUNCTION("""COMPUTED_VALUE"""),"")</f>
        <v/>
      </c>
      <c r="L2566" s="4">
        <f>IFERROR(__xludf.DUMMYFUNCTION("""COMPUTED_VALUE"""),45949.2988038795)</f>
        <v>45949.2988</v>
      </c>
      <c r="M2566" s="1" t="str">
        <f>IFERROR(__xludf.DUMMYFUNCTION("""COMPUTED_VALUE"""),"RFID")</f>
        <v>RFID</v>
      </c>
      <c r="N2566" s="5">
        <f>IFERROR(__xludf.DUMMYFUNCTION("""COMPUTED_VALUE"""),0.010148324074074073)</f>
        <v>0.01014832407</v>
      </c>
      <c r="O2566" s="5" t="str">
        <f>IFERROR(__xludf.DUMMYFUNCTION("""COMPUTED_VALUE"""),"")</f>
        <v/>
      </c>
      <c r="P2566" s="5" t="str">
        <f>IFERROR(__xludf.DUMMYFUNCTION("""COMPUTED_VALUE"""),"")</f>
        <v/>
      </c>
      <c r="Q2566" s="5">
        <f>IFERROR(__xludf.DUMMYFUNCTION("""COMPUTED_VALUE"""),0.008771962962962962)</f>
        <v>0.008771962963</v>
      </c>
      <c r="R2566" s="4">
        <f>IFERROR(__xludf.DUMMYFUNCTION("""COMPUTED_VALUE"""),45949.043859817)</f>
        <v>45949.04386</v>
      </c>
      <c r="S2566" s="1" t="b">
        <f>IFERROR(__xludf.DUMMYFUNCTION("""COMPUTED_VALUE"""),TRUE)</f>
        <v>1</v>
      </c>
      <c r="T2566" s="1" t="b">
        <f>IFERROR(__xludf.DUMMYFUNCTION("""COMPUTED_VALUE"""),FALSE)</f>
        <v>0</v>
      </c>
      <c r="U2566" s="1" t="str">
        <f>IFERROR(__xludf.DUMMYFUNCTION("""COMPUTED_VALUE"""),"VALID")</f>
        <v>VALID</v>
      </c>
      <c r="V2566" s="1">
        <f>IFERROR(__xludf.DUMMYFUNCTION("""COMPUTED_VALUE"""),777.0)</f>
        <v>777</v>
      </c>
      <c r="W2566" s="1">
        <f>IFERROR(__xludf.DUMMYFUNCTION("""COMPUTED_VALUE"""),1400.0)</f>
        <v>1400</v>
      </c>
      <c r="X2566" s="1">
        <f>IFERROR(__xludf.DUMMYFUNCTION("""COMPUTED_VALUE"""),1142.0)</f>
        <v>1142</v>
      </c>
      <c r="Y2566" s="2"/>
      <c r="Z2566" s="2"/>
    </row>
    <row r="2567">
      <c r="A2567" s="1">
        <f>IFERROR(__xludf.DUMMYFUNCTION("""COMPUTED_VALUE"""),2566.0)</f>
        <v>2566</v>
      </c>
      <c r="B2567" s="1">
        <f>IFERROR(__xludf.DUMMYFUNCTION("""COMPUTED_VALUE"""),6469.0)</f>
        <v>6469</v>
      </c>
      <c r="C2567" s="2" t="str">
        <f>IFERROR(__xludf.DUMMYFUNCTION("""COMPUTED_VALUE"""),"M. FATIH ")</f>
        <v>M. FATIH </v>
      </c>
      <c r="D2567" s="2" t="str">
        <f>IFERROR(__xludf.DUMMYFUNCTION("""COMPUTED_VALUE"""),"5KM OVERALL M")</f>
        <v>5KM OVERALL M</v>
      </c>
      <c r="E2567" s="1">
        <f>IFERROR(__xludf.DUMMYFUNCTION("""COMPUTED_VALUE"""),2.0)</f>
        <v>2</v>
      </c>
      <c r="F2567" s="1" t="str">
        <f>IFERROR(__xludf.DUMMYFUNCTION("""COMPUTED_VALUE"""),"Male")</f>
        <v>Male</v>
      </c>
      <c r="G2567" s="4" t="str">
        <f>IFERROR(__xludf.DUMMYFUNCTION("""COMPUTED_VALUE"""),"")</f>
        <v/>
      </c>
      <c r="H2567" s="4" t="b">
        <f>IFERROR(__xludf.DUMMYFUNCTION("""COMPUTED_VALUE"""),TRUE)</f>
        <v>1</v>
      </c>
      <c r="I2567" s="4">
        <f>IFERROR(__xludf.DUMMYFUNCTION("""COMPUTED_VALUE"""),0.2549440625)</f>
        <v>0.2549440625</v>
      </c>
      <c r="J2567" s="4">
        <f>IFERROR(__xludf.DUMMYFUNCTION("""COMPUTED_VALUE"""),45949.27203715435)</f>
        <v>45949.27204</v>
      </c>
      <c r="K2567" s="4" t="str">
        <f>IFERROR(__xludf.DUMMYFUNCTION("""COMPUTED_VALUE"""),"")</f>
        <v/>
      </c>
      <c r="L2567" s="4">
        <f>IFERROR(__xludf.DUMMYFUNCTION("""COMPUTED_VALUE"""),45949.28727928732)</f>
        <v>45949.28728</v>
      </c>
      <c r="M2567" s="1" t="str">
        <f>IFERROR(__xludf.DUMMYFUNCTION("""COMPUTED_VALUE"""),"RFID")</f>
        <v>RFID</v>
      </c>
      <c r="N2567" s="5">
        <f>IFERROR(__xludf.DUMMYFUNCTION("""COMPUTED_VALUE"""),0.006837236111111112)</f>
        <v>0.006837236111</v>
      </c>
      <c r="O2567" s="5" t="str">
        <f>IFERROR(__xludf.DUMMYFUNCTION("""COMPUTED_VALUE"""),"")</f>
        <v/>
      </c>
      <c r="P2567" s="5" t="str">
        <f>IFERROR(__xludf.DUMMYFUNCTION("""COMPUTED_VALUE"""),"")</f>
        <v/>
      </c>
      <c r="Q2567" s="5">
        <f>IFERROR(__xludf.DUMMYFUNCTION("""COMPUTED_VALUE"""),0.006467043981481481)</f>
        <v>0.006467043981</v>
      </c>
      <c r="R2567" s="4">
        <f>IFERROR(__xludf.DUMMYFUNCTION("""COMPUTED_VALUE"""),45949.032335224816)</f>
        <v>45949.03234</v>
      </c>
      <c r="S2567" s="1" t="b">
        <f>IFERROR(__xludf.DUMMYFUNCTION("""COMPUTED_VALUE"""),TRUE)</f>
        <v>1</v>
      </c>
      <c r="T2567" s="1" t="b">
        <f>IFERROR(__xludf.DUMMYFUNCTION("""COMPUTED_VALUE"""),FALSE)</f>
        <v>0</v>
      </c>
      <c r="U2567" s="1" t="str">
        <f>IFERROR(__xludf.DUMMYFUNCTION("""COMPUTED_VALUE"""),"VALID")</f>
        <v>VALID</v>
      </c>
      <c r="V2567" s="1">
        <f>IFERROR(__xludf.DUMMYFUNCTION("""COMPUTED_VALUE"""),469.0)</f>
        <v>469</v>
      </c>
      <c r="W2567" s="1">
        <f>IFERROR(__xludf.DUMMYFUNCTION("""COMPUTED_VALUE"""),723.0)</f>
        <v>723</v>
      </c>
      <c r="X2567" s="1">
        <f>IFERROR(__xludf.DUMMYFUNCTION("""COMPUTED_VALUE"""),608.0)</f>
        <v>608</v>
      </c>
      <c r="Y2567" s="2"/>
      <c r="Z2567" s="2"/>
    </row>
    <row r="2568">
      <c r="A2568" s="1">
        <f>IFERROR(__xludf.DUMMYFUNCTION("""COMPUTED_VALUE"""),2567.0)</f>
        <v>2567</v>
      </c>
      <c r="B2568" s="1">
        <f>IFERROR(__xludf.DUMMYFUNCTION("""COMPUTED_VALUE"""),6470.0)</f>
        <v>6470</v>
      </c>
      <c r="C2568" s="2" t="str">
        <f>IFERROR(__xludf.DUMMYFUNCTION("""COMPUTED_VALUE"""),"DISHUB")</f>
        <v>DISHUB</v>
      </c>
      <c r="D2568" s="2" t="str">
        <f>IFERROR(__xludf.DUMMYFUNCTION("""COMPUTED_VALUE"""),"5KM OVERALL M")</f>
        <v>5KM OVERALL M</v>
      </c>
      <c r="E2568" s="1">
        <f>IFERROR(__xludf.DUMMYFUNCTION("""COMPUTED_VALUE"""),2.0)</f>
        <v>2</v>
      </c>
      <c r="F2568" s="1" t="str">
        <f>IFERROR(__xludf.DUMMYFUNCTION("""COMPUTED_VALUE"""),"Male")</f>
        <v>Male</v>
      </c>
      <c r="G2568" s="4" t="b">
        <f>IFERROR(__xludf.DUMMYFUNCTION("""COMPUTED_VALUE"""),TRUE)</f>
        <v>1</v>
      </c>
      <c r="H2568" s="4" t="b">
        <f>IFERROR(__xludf.DUMMYFUNCTION("""COMPUTED_VALUE"""),TRUE)</f>
        <v>1</v>
      </c>
      <c r="I2568" s="4">
        <f>IFERROR(__xludf.DUMMYFUNCTION("""COMPUTED_VALUE"""),0.2549440625)</f>
        <v>0.2549440625</v>
      </c>
      <c r="J2568" s="4">
        <f>IFERROR(__xludf.DUMMYFUNCTION("""COMPUTED_VALUE"""),45949.28348154747)</f>
        <v>45949.28348</v>
      </c>
      <c r="K2568" s="4" t="str">
        <f>IFERROR(__xludf.DUMMYFUNCTION("""COMPUTED_VALUE"""),"")</f>
        <v/>
      </c>
      <c r="L2568" s="4">
        <f>IFERROR(__xludf.DUMMYFUNCTION("""COMPUTED_VALUE"""),45949.30433836295)</f>
        <v>45949.30434</v>
      </c>
      <c r="M2568" s="1" t="str">
        <f>IFERROR(__xludf.DUMMYFUNCTION("""COMPUTED_VALUE"""),"RFID")</f>
        <v>RFID</v>
      </c>
      <c r="N2568" s="5">
        <f>IFERROR(__xludf.DUMMYFUNCTION("""COMPUTED_VALUE"""),0.01141499537037037)</f>
        <v>0.01141499537</v>
      </c>
      <c r="O2568" s="5" t="str">
        <f>IFERROR(__xludf.DUMMYFUNCTION("""COMPUTED_VALUE"""),"")</f>
        <v/>
      </c>
      <c r="P2568" s="5" t="str">
        <f>IFERROR(__xludf.DUMMYFUNCTION("""COMPUTED_VALUE"""),"")</f>
        <v/>
      </c>
      <c r="Q2568" s="5">
        <f>IFERROR(__xludf.DUMMYFUNCTION("""COMPUTED_VALUE"""),0.00987886111111111)</f>
        <v>0.009878861111</v>
      </c>
      <c r="R2568" s="4">
        <f>IFERROR(__xludf.DUMMYFUNCTION("""COMPUTED_VALUE"""),45949.04939430045)</f>
        <v>45949.04939</v>
      </c>
      <c r="S2568" s="1" t="b">
        <f>IFERROR(__xludf.DUMMYFUNCTION("""COMPUTED_VALUE"""),TRUE)</f>
        <v>1</v>
      </c>
      <c r="T2568" s="1" t="b">
        <f>IFERROR(__xludf.DUMMYFUNCTION("""COMPUTED_VALUE"""),FALSE)</f>
        <v>0</v>
      </c>
      <c r="U2568" s="1" t="str">
        <f>IFERROR(__xludf.DUMMYFUNCTION("""COMPUTED_VALUE"""),"VALID")</f>
        <v>VALID</v>
      </c>
      <c r="V2568" s="1">
        <f>IFERROR(__xludf.DUMMYFUNCTION("""COMPUTED_VALUE"""),841.0)</f>
        <v>841</v>
      </c>
      <c r="W2568" s="1">
        <f>IFERROR(__xludf.DUMMYFUNCTION("""COMPUTED_VALUE"""),1566.0)</f>
        <v>1566</v>
      </c>
      <c r="X2568" s="1">
        <f>IFERROR(__xludf.DUMMYFUNCTION("""COMPUTED_VALUE"""),1359.0)</f>
        <v>1359</v>
      </c>
      <c r="Y2568" s="2"/>
      <c r="Z2568" s="2"/>
    </row>
    <row r="2569">
      <c r="A2569" s="1">
        <f>IFERROR(__xludf.DUMMYFUNCTION("""COMPUTED_VALUE"""),2568.0)</f>
        <v>2568</v>
      </c>
      <c r="B2569" s="1">
        <f>IFERROR(__xludf.DUMMYFUNCTION("""COMPUTED_VALUE"""),6471.0)</f>
        <v>6471</v>
      </c>
      <c r="C2569" s="2" t="str">
        <f>IFERROR(__xludf.DUMMYFUNCTION("""COMPUTED_VALUE"""),"DISHUB")</f>
        <v>DISHUB</v>
      </c>
      <c r="D2569" s="2" t="str">
        <f>IFERROR(__xludf.DUMMYFUNCTION("""COMPUTED_VALUE"""),"5KM OVERALL M")</f>
        <v>5KM OVERALL M</v>
      </c>
      <c r="E2569" s="1">
        <f>IFERROR(__xludf.DUMMYFUNCTION("""COMPUTED_VALUE"""),2.0)</f>
        <v>2</v>
      </c>
      <c r="F2569" s="1" t="str">
        <f>IFERROR(__xludf.DUMMYFUNCTION("""COMPUTED_VALUE"""),"Male")</f>
        <v>Male</v>
      </c>
      <c r="G2569" s="4" t="str">
        <f>IFERROR(__xludf.DUMMYFUNCTION("""COMPUTED_VALUE"""),"")</f>
        <v/>
      </c>
      <c r="H2569" s="4" t="b">
        <f>IFERROR(__xludf.DUMMYFUNCTION("""COMPUTED_VALUE"""),FALSE)</f>
        <v>0</v>
      </c>
      <c r="I2569" s="4">
        <f>IFERROR(__xludf.DUMMYFUNCTION("""COMPUTED_VALUE"""),0.2549440625)</f>
        <v>0.2549440625</v>
      </c>
      <c r="J2569" s="4" t="str">
        <f>IFERROR(__xludf.DUMMYFUNCTION("""COMPUTED_VALUE"""),"")</f>
        <v/>
      </c>
      <c r="K2569" s="4" t="str">
        <f>IFERROR(__xludf.DUMMYFUNCTION("""COMPUTED_VALUE"""),"")</f>
        <v/>
      </c>
      <c r="L2569" s="4" t="str">
        <f>IFERROR(__xludf.DUMMYFUNCTION("""COMPUTED_VALUE"""),"")</f>
        <v/>
      </c>
      <c r="M2569" s="1" t="str">
        <f>IFERROR(__xludf.DUMMYFUNCTION("""COMPUTED_VALUE"""),"RFID")</f>
        <v>RFID</v>
      </c>
      <c r="N2569" s="5" t="str">
        <f>IFERROR(__xludf.DUMMYFUNCTION("""COMPUTED_VALUE"""),"")</f>
        <v/>
      </c>
      <c r="O2569" s="5" t="str">
        <f>IFERROR(__xludf.DUMMYFUNCTION("""COMPUTED_VALUE"""),"")</f>
        <v/>
      </c>
      <c r="P2569" s="5" t="str">
        <f>IFERROR(__xludf.DUMMYFUNCTION("""COMPUTED_VALUE"""),"")</f>
        <v/>
      </c>
      <c r="Q2569" s="5" t="str">
        <f>IFERROR(__xludf.DUMMYFUNCTION("""COMPUTED_VALUE"""),"")</f>
        <v/>
      </c>
      <c r="R2569" s="4" t="str">
        <f>IFERROR(__xludf.DUMMYFUNCTION("""COMPUTED_VALUE"""),"")</f>
        <v/>
      </c>
      <c r="S2569" s="1" t="b">
        <f>IFERROR(__xludf.DUMMYFUNCTION("""COMPUTED_VALUE"""),FALSE)</f>
        <v>0</v>
      </c>
      <c r="T2569" s="1" t="b">
        <f>IFERROR(__xludf.DUMMYFUNCTION("""COMPUTED_VALUE"""),FALSE)</f>
        <v>0</v>
      </c>
      <c r="U2569" s="1" t="str">
        <f>IFERROR(__xludf.DUMMYFUNCTION("""COMPUTED_VALUE"""),"DSQ")</f>
        <v>DSQ</v>
      </c>
      <c r="V2569" s="1" t="str">
        <f>IFERROR(__xludf.DUMMYFUNCTION("""COMPUTED_VALUE"""),"DSQ")</f>
        <v>DSQ</v>
      </c>
      <c r="W2569" s="1" t="str">
        <f>IFERROR(__xludf.DUMMYFUNCTION("""COMPUTED_VALUE"""),"DSQ")</f>
        <v>DSQ</v>
      </c>
      <c r="X2569" s="1" t="str">
        <f>IFERROR(__xludf.DUMMYFUNCTION("""COMPUTED_VALUE"""),"DSQ")</f>
        <v>DSQ</v>
      </c>
      <c r="Y2569" s="2"/>
      <c r="Z2569" s="2" t="str">
        <f>IFERROR(__xludf.DUMMYFUNCTION("""COMPUTED_VALUE"""),"")</f>
        <v/>
      </c>
    </row>
    <row r="2570">
      <c r="A2570" s="1">
        <f>IFERROR(__xludf.DUMMYFUNCTION("""COMPUTED_VALUE"""),2569.0)</f>
        <v>2569</v>
      </c>
      <c r="B2570" s="1">
        <f>IFERROR(__xludf.DUMMYFUNCTION("""COMPUTED_VALUE"""),6472.0)</f>
        <v>6472</v>
      </c>
      <c r="C2570" s="2" t="str">
        <f>IFERROR(__xludf.DUMMYFUNCTION("""COMPUTED_VALUE"""),"GUBERNUR KALSEL")</f>
        <v>GUBERNUR KALSEL</v>
      </c>
      <c r="D2570" s="2" t="str">
        <f>IFERROR(__xludf.DUMMYFUNCTION("""COMPUTED_VALUE"""),"5KM OVERALL M")</f>
        <v>5KM OVERALL M</v>
      </c>
      <c r="E2570" s="1">
        <f>IFERROR(__xludf.DUMMYFUNCTION("""COMPUTED_VALUE"""),2.0)</f>
        <v>2</v>
      </c>
      <c r="F2570" s="1" t="str">
        <f>IFERROR(__xludf.DUMMYFUNCTION("""COMPUTED_VALUE"""),"Male")</f>
        <v>Male</v>
      </c>
      <c r="G2570" s="4" t="str">
        <f>IFERROR(__xludf.DUMMYFUNCTION("""COMPUTED_VALUE"""),"")</f>
        <v/>
      </c>
      <c r="H2570" s="4" t="b">
        <f>IFERROR(__xludf.DUMMYFUNCTION("""COMPUTED_VALUE"""),FALSE)</f>
        <v>0</v>
      </c>
      <c r="I2570" s="4">
        <f>IFERROR(__xludf.DUMMYFUNCTION("""COMPUTED_VALUE"""),0.2549440625)</f>
        <v>0.2549440625</v>
      </c>
      <c r="J2570" s="4" t="str">
        <f>IFERROR(__xludf.DUMMYFUNCTION("""COMPUTED_VALUE"""),"")</f>
        <v/>
      </c>
      <c r="K2570" s="4" t="str">
        <f>IFERROR(__xludf.DUMMYFUNCTION("""COMPUTED_VALUE"""),"")</f>
        <v/>
      </c>
      <c r="L2570" s="4" t="str">
        <f>IFERROR(__xludf.DUMMYFUNCTION("""COMPUTED_VALUE"""),"")</f>
        <v/>
      </c>
      <c r="M2570" s="1" t="str">
        <f>IFERROR(__xludf.DUMMYFUNCTION("""COMPUTED_VALUE"""),"RFID")</f>
        <v>RFID</v>
      </c>
      <c r="N2570" s="5" t="str">
        <f>IFERROR(__xludf.DUMMYFUNCTION("""COMPUTED_VALUE"""),"")</f>
        <v/>
      </c>
      <c r="O2570" s="5" t="str">
        <f>IFERROR(__xludf.DUMMYFUNCTION("""COMPUTED_VALUE"""),"")</f>
        <v/>
      </c>
      <c r="P2570" s="5" t="str">
        <f>IFERROR(__xludf.DUMMYFUNCTION("""COMPUTED_VALUE"""),"")</f>
        <v/>
      </c>
      <c r="Q2570" s="5" t="str">
        <f>IFERROR(__xludf.DUMMYFUNCTION("""COMPUTED_VALUE"""),"")</f>
        <v/>
      </c>
      <c r="R2570" s="4" t="str">
        <f>IFERROR(__xludf.DUMMYFUNCTION("""COMPUTED_VALUE"""),"")</f>
        <v/>
      </c>
      <c r="S2570" s="1" t="b">
        <f>IFERROR(__xludf.DUMMYFUNCTION("""COMPUTED_VALUE"""),FALSE)</f>
        <v>0</v>
      </c>
      <c r="T2570" s="1" t="b">
        <f>IFERROR(__xludf.DUMMYFUNCTION("""COMPUTED_VALUE"""),FALSE)</f>
        <v>0</v>
      </c>
      <c r="U2570" s="1" t="str">
        <f>IFERROR(__xludf.DUMMYFUNCTION("""COMPUTED_VALUE"""),"DSQ")</f>
        <v>DSQ</v>
      </c>
      <c r="V2570" s="1" t="str">
        <f>IFERROR(__xludf.DUMMYFUNCTION("""COMPUTED_VALUE"""),"DSQ")</f>
        <v>DSQ</v>
      </c>
      <c r="W2570" s="1" t="str">
        <f>IFERROR(__xludf.DUMMYFUNCTION("""COMPUTED_VALUE"""),"DSQ")</f>
        <v>DSQ</v>
      </c>
      <c r="X2570" s="1" t="str">
        <f>IFERROR(__xludf.DUMMYFUNCTION("""COMPUTED_VALUE"""),"DSQ")</f>
        <v>DSQ</v>
      </c>
      <c r="Y2570" s="2"/>
      <c r="Z2570" s="2" t="str">
        <f>IFERROR(__xludf.DUMMYFUNCTION("""COMPUTED_VALUE"""),"")</f>
        <v/>
      </c>
    </row>
    <row r="2571">
      <c r="A2571" s="1">
        <f>IFERROR(__xludf.DUMMYFUNCTION("""COMPUTED_VALUE"""),2570.0)</f>
        <v>2570</v>
      </c>
      <c r="B2571" s="1">
        <f>IFERROR(__xludf.DUMMYFUNCTION("""COMPUTED_VALUE"""),6473.0)</f>
        <v>6473</v>
      </c>
      <c r="C2571" s="2" t="str">
        <f>IFERROR(__xludf.DUMMYFUNCTION("""COMPUTED_VALUE"""),"GUBERNUR KALSEL")</f>
        <v>GUBERNUR KALSEL</v>
      </c>
      <c r="D2571" s="2" t="str">
        <f>IFERROR(__xludf.DUMMYFUNCTION("""COMPUTED_VALUE"""),"5KM OVERALL M")</f>
        <v>5KM OVERALL M</v>
      </c>
      <c r="E2571" s="1">
        <f>IFERROR(__xludf.DUMMYFUNCTION("""COMPUTED_VALUE"""),2.0)</f>
        <v>2</v>
      </c>
      <c r="F2571" s="1" t="str">
        <f>IFERROR(__xludf.DUMMYFUNCTION("""COMPUTED_VALUE"""),"Male")</f>
        <v>Male</v>
      </c>
      <c r="G2571" s="4" t="str">
        <f>IFERROR(__xludf.DUMMYFUNCTION("""COMPUTED_VALUE"""),"")</f>
        <v/>
      </c>
      <c r="H2571" s="4" t="b">
        <f>IFERROR(__xludf.DUMMYFUNCTION("""COMPUTED_VALUE"""),FALSE)</f>
        <v>0</v>
      </c>
      <c r="I2571" s="4">
        <f>IFERROR(__xludf.DUMMYFUNCTION("""COMPUTED_VALUE"""),0.2549440625)</f>
        <v>0.2549440625</v>
      </c>
      <c r="J2571" s="4" t="str">
        <f>IFERROR(__xludf.DUMMYFUNCTION("""COMPUTED_VALUE"""),"")</f>
        <v/>
      </c>
      <c r="K2571" s="4" t="str">
        <f>IFERROR(__xludf.DUMMYFUNCTION("""COMPUTED_VALUE"""),"")</f>
        <v/>
      </c>
      <c r="L2571" s="4" t="str">
        <f>IFERROR(__xludf.DUMMYFUNCTION("""COMPUTED_VALUE"""),"")</f>
        <v/>
      </c>
      <c r="M2571" s="1" t="str">
        <f>IFERROR(__xludf.DUMMYFUNCTION("""COMPUTED_VALUE"""),"RFID")</f>
        <v>RFID</v>
      </c>
      <c r="N2571" s="5" t="str">
        <f>IFERROR(__xludf.DUMMYFUNCTION("""COMPUTED_VALUE"""),"")</f>
        <v/>
      </c>
      <c r="O2571" s="5" t="str">
        <f>IFERROR(__xludf.DUMMYFUNCTION("""COMPUTED_VALUE"""),"")</f>
        <v/>
      </c>
      <c r="P2571" s="5" t="str">
        <f>IFERROR(__xludf.DUMMYFUNCTION("""COMPUTED_VALUE"""),"")</f>
        <v/>
      </c>
      <c r="Q2571" s="5" t="str">
        <f>IFERROR(__xludf.DUMMYFUNCTION("""COMPUTED_VALUE"""),"")</f>
        <v/>
      </c>
      <c r="R2571" s="4" t="str">
        <f>IFERROR(__xludf.DUMMYFUNCTION("""COMPUTED_VALUE"""),"")</f>
        <v/>
      </c>
      <c r="S2571" s="1" t="b">
        <f>IFERROR(__xludf.DUMMYFUNCTION("""COMPUTED_VALUE"""),FALSE)</f>
        <v>0</v>
      </c>
      <c r="T2571" s="1" t="b">
        <f>IFERROR(__xludf.DUMMYFUNCTION("""COMPUTED_VALUE"""),FALSE)</f>
        <v>0</v>
      </c>
      <c r="U2571" s="1" t="str">
        <f>IFERROR(__xludf.DUMMYFUNCTION("""COMPUTED_VALUE"""),"DSQ")</f>
        <v>DSQ</v>
      </c>
      <c r="V2571" s="1" t="str">
        <f>IFERROR(__xludf.DUMMYFUNCTION("""COMPUTED_VALUE"""),"DSQ")</f>
        <v>DSQ</v>
      </c>
      <c r="W2571" s="1" t="str">
        <f>IFERROR(__xludf.DUMMYFUNCTION("""COMPUTED_VALUE"""),"DSQ")</f>
        <v>DSQ</v>
      </c>
      <c r="X2571" s="1" t="str">
        <f>IFERROR(__xludf.DUMMYFUNCTION("""COMPUTED_VALUE"""),"DSQ")</f>
        <v>DSQ</v>
      </c>
      <c r="Y2571" s="2"/>
      <c r="Z2571" s="2" t="str">
        <f>IFERROR(__xludf.DUMMYFUNCTION("""COMPUTED_VALUE"""),"")</f>
        <v/>
      </c>
    </row>
    <row r="2572">
      <c r="A2572" s="1">
        <f>IFERROR(__xludf.DUMMYFUNCTION("""COMPUTED_VALUE"""),2571.0)</f>
        <v>2571</v>
      </c>
      <c r="B2572" s="1">
        <f>IFERROR(__xludf.DUMMYFUNCTION("""COMPUTED_VALUE"""),6474.0)</f>
        <v>6474</v>
      </c>
      <c r="C2572" s="2" t="str">
        <f>IFERROR(__xludf.DUMMYFUNCTION("""COMPUTED_VALUE"""),"GUBERNUR KALSEL")</f>
        <v>GUBERNUR KALSEL</v>
      </c>
      <c r="D2572" s="2" t="str">
        <f>IFERROR(__xludf.DUMMYFUNCTION("""COMPUTED_VALUE"""),"5KM OVERALL M")</f>
        <v>5KM OVERALL M</v>
      </c>
      <c r="E2572" s="1">
        <f>IFERROR(__xludf.DUMMYFUNCTION("""COMPUTED_VALUE"""),2.0)</f>
        <v>2</v>
      </c>
      <c r="F2572" s="1" t="str">
        <f>IFERROR(__xludf.DUMMYFUNCTION("""COMPUTED_VALUE"""),"Male")</f>
        <v>Male</v>
      </c>
      <c r="G2572" s="4" t="str">
        <f>IFERROR(__xludf.DUMMYFUNCTION("""COMPUTED_VALUE"""),"")</f>
        <v/>
      </c>
      <c r="H2572" s="4" t="b">
        <f>IFERROR(__xludf.DUMMYFUNCTION("""COMPUTED_VALUE"""),FALSE)</f>
        <v>0</v>
      </c>
      <c r="I2572" s="4">
        <f>IFERROR(__xludf.DUMMYFUNCTION("""COMPUTED_VALUE"""),0.2549440625)</f>
        <v>0.2549440625</v>
      </c>
      <c r="J2572" s="4" t="str">
        <f>IFERROR(__xludf.DUMMYFUNCTION("""COMPUTED_VALUE"""),"")</f>
        <v/>
      </c>
      <c r="K2572" s="4" t="str">
        <f>IFERROR(__xludf.DUMMYFUNCTION("""COMPUTED_VALUE"""),"")</f>
        <v/>
      </c>
      <c r="L2572" s="4" t="str">
        <f>IFERROR(__xludf.DUMMYFUNCTION("""COMPUTED_VALUE"""),"")</f>
        <v/>
      </c>
      <c r="M2572" s="1" t="str">
        <f>IFERROR(__xludf.DUMMYFUNCTION("""COMPUTED_VALUE"""),"RFID")</f>
        <v>RFID</v>
      </c>
      <c r="N2572" s="5" t="str">
        <f>IFERROR(__xludf.DUMMYFUNCTION("""COMPUTED_VALUE"""),"")</f>
        <v/>
      </c>
      <c r="O2572" s="5" t="str">
        <f>IFERROR(__xludf.DUMMYFUNCTION("""COMPUTED_VALUE"""),"")</f>
        <v/>
      </c>
      <c r="P2572" s="5" t="str">
        <f>IFERROR(__xludf.DUMMYFUNCTION("""COMPUTED_VALUE"""),"")</f>
        <v/>
      </c>
      <c r="Q2572" s="5" t="str">
        <f>IFERROR(__xludf.DUMMYFUNCTION("""COMPUTED_VALUE"""),"")</f>
        <v/>
      </c>
      <c r="R2572" s="4" t="str">
        <f>IFERROR(__xludf.DUMMYFUNCTION("""COMPUTED_VALUE"""),"")</f>
        <v/>
      </c>
      <c r="S2572" s="1" t="b">
        <f>IFERROR(__xludf.DUMMYFUNCTION("""COMPUTED_VALUE"""),FALSE)</f>
        <v>0</v>
      </c>
      <c r="T2572" s="1" t="b">
        <f>IFERROR(__xludf.DUMMYFUNCTION("""COMPUTED_VALUE"""),FALSE)</f>
        <v>0</v>
      </c>
      <c r="U2572" s="1" t="str">
        <f>IFERROR(__xludf.DUMMYFUNCTION("""COMPUTED_VALUE"""),"DSQ")</f>
        <v>DSQ</v>
      </c>
      <c r="V2572" s="1" t="str">
        <f>IFERROR(__xludf.DUMMYFUNCTION("""COMPUTED_VALUE"""),"DSQ")</f>
        <v>DSQ</v>
      </c>
      <c r="W2572" s="1" t="str">
        <f>IFERROR(__xludf.DUMMYFUNCTION("""COMPUTED_VALUE"""),"DSQ")</f>
        <v>DSQ</v>
      </c>
      <c r="X2572" s="1" t="str">
        <f>IFERROR(__xludf.DUMMYFUNCTION("""COMPUTED_VALUE"""),"DSQ")</f>
        <v>DSQ</v>
      </c>
      <c r="Y2572" s="2"/>
      <c r="Z2572" s="2" t="str">
        <f>IFERROR(__xludf.DUMMYFUNCTION("""COMPUTED_VALUE"""),"")</f>
        <v/>
      </c>
    </row>
    <row r="2573">
      <c r="A2573" s="1">
        <f>IFERROR(__xludf.DUMMYFUNCTION("""COMPUTED_VALUE"""),2572.0)</f>
        <v>2572</v>
      </c>
      <c r="B2573" s="1">
        <f>IFERROR(__xludf.DUMMYFUNCTION("""COMPUTED_VALUE"""),6475.0)</f>
        <v>6475</v>
      </c>
      <c r="C2573" s="2" t="str">
        <f>IFERROR(__xludf.DUMMYFUNCTION("""COMPUTED_VALUE"""),"KEJATI KALSEL")</f>
        <v>KEJATI KALSEL</v>
      </c>
      <c r="D2573" s="2" t="str">
        <f>IFERROR(__xludf.DUMMYFUNCTION("""COMPUTED_VALUE"""),"5KM OVERALL M")</f>
        <v>5KM OVERALL M</v>
      </c>
      <c r="E2573" s="1">
        <f>IFERROR(__xludf.DUMMYFUNCTION("""COMPUTED_VALUE"""),2.0)</f>
        <v>2</v>
      </c>
      <c r="F2573" s="1" t="str">
        <f>IFERROR(__xludf.DUMMYFUNCTION("""COMPUTED_VALUE"""),"Male")</f>
        <v>Male</v>
      </c>
      <c r="G2573" s="4" t="str">
        <f>IFERROR(__xludf.DUMMYFUNCTION("""COMPUTED_VALUE"""),"")</f>
        <v/>
      </c>
      <c r="H2573" s="4" t="b">
        <f>IFERROR(__xludf.DUMMYFUNCTION("""COMPUTED_VALUE"""),FALSE)</f>
        <v>0</v>
      </c>
      <c r="I2573" s="4">
        <f>IFERROR(__xludf.DUMMYFUNCTION("""COMPUTED_VALUE"""),0.2549440625)</f>
        <v>0.2549440625</v>
      </c>
      <c r="J2573" s="4" t="str">
        <f>IFERROR(__xludf.DUMMYFUNCTION("""COMPUTED_VALUE"""),"")</f>
        <v/>
      </c>
      <c r="K2573" s="4" t="str">
        <f>IFERROR(__xludf.DUMMYFUNCTION("""COMPUTED_VALUE"""),"")</f>
        <v/>
      </c>
      <c r="L2573" s="4" t="str">
        <f>IFERROR(__xludf.DUMMYFUNCTION("""COMPUTED_VALUE"""),"")</f>
        <v/>
      </c>
      <c r="M2573" s="1" t="str">
        <f>IFERROR(__xludf.DUMMYFUNCTION("""COMPUTED_VALUE"""),"RFID")</f>
        <v>RFID</v>
      </c>
      <c r="N2573" s="5" t="str">
        <f>IFERROR(__xludf.DUMMYFUNCTION("""COMPUTED_VALUE"""),"")</f>
        <v/>
      </c>
      <c r="O2573" s="5" t="str">
        <f>IFERROR(__xludf.DUMMYFUNCTION("""COMPUTED_VALUE"""),"")</f>
        <v/>
      </c>
      <c r="P2573" s="5" t="str">
        <f>IFERROR(__xludf.DUMMYFUNCTION("""COMPUTED_VALUE"""),"")</f>
        <v/>
      </c>
      <c r="Q2573" s="5" t="str">
        <f>IFERROR(__xludf.DUMMYFUNCTION("""COMPUTED_VALUE"""),"")</f>
        <v/>
      </c>
      <c r="R2573" s="4" t="str">
        <f>IFERROR(__xludf.DUMMYFUNCTION("""COMPUTED_VALUE"""),"")</f>
        <v/>
      </c>
      <c r="S2573" s="1" t="b">
        <f>IFERROR(__xludf.DUMMYFUNCTION("""COMPUTED_VALUE"""),FALSE)</f>
        <v>0</v>
      </c>
      <c r="T2573" s="1" t="b">
        <f>IFERROR(__xludf.DUMMYFUNCTION("""COMPUTED_VALUE"""),FALSE)</f>
        <v>0</v>
      </c>
      <c r="U2573" s="1" t="str">
        <f>IFERROR(__xludf.DUMMYFUNCTION("""COMPUTED_VALUE"""),"DSQ")</f>
        <v>DSQ</v>
      </c>
      <c r="V2573" s="1" t="str">
        <f>IFERROR(__xludf.DUMMYFUNCTION("""COMPUTED_VALUE"""),"DSQ")</f>
        <v>DSQ</v>
      </c>
      <c r="W2573" s="1" t="str">
        <f>IFERROR(__xludf.DUMMYFUNCTION("""COMPUTED_VALUE"""),"DSQ")</f>
        <v>DSQ</v>
      </c>
      <c r="X2573" s="1" t="str">
        <f>IFERROR(__xludf.DUMMYFUNCTION("""COMPUTED_VALUE"""),"DSQ")</f>
        <v>DSQ</v>
      </c>
      <c r="Y2573" s="2"/>
      <c r="Z2573" s="2" t="str">
        <f>IFERROR(__xludf.DUMMYFUNCTION("""COMPUTED_VALUE"""),"")</f>
        <v/>
      </c>
    </row>
    <row r="2574">
      <c r="A2574" s="1">
        <f>IFERROR(__xludf.DUMMYFUNCTION("""COMPUTED_VALUE"""),2573.0)</f>
        <v>2573</v>
      </c>
      <c r="B2574" s="1">
        <f>IFERROR(__xludf.DUMMYFUNCTION("""COMPUTED_VALUE"""),6476.0)</f>
        <v>6476</v>
      </c>
      <c r="C2574" s="2" t="str">
        <f>IFERROR(__xludf.DUMMYFUNCTION("""COMPUTED_VALUE"""),"KEJATI KALSEL")</f>
        <v>KEJATI KALSEL</v>
      </c>
      <c r="D2574" s="2" t="str">
        <f>IFERROR(__xludf.DUMMYFUNCTION("""COMPUTED_VALUE"""),"5KM OVERALL M")</f>
        <v>5KM OVERALL M</v>
      </c>
      <c r="E2574" s="1">
        <f>IFERROR(__xludf.DUMMYFUNCTION("""COMPUTED_VALUE"""),2.0)</f>
        <v>2</v>
      </c>
      <c r="F2574" s="1" t="str">
        <f>IFERROR(__xludf.DUMMYFUNCTION("""COMPUTED_VALUE"""),"Male")</f>
        <v>Male</v>
      </c>
      <c r="G2574" s="4" t="str">
        <f>IFERROR(__xludf.DUMMYFUNCTION("""COMPUTED_VALUE"""),"")</f>
        <v/>
      </c>
      <c r="H2574" s="4" t="b">
        <f>IFERROR(__xludf.DUMMYFUNCTION("""COMPUTED_VALUE"""),FALSE)</f>
        <v>0</v>
      </c>
      <c r="I2574" s="4">
        <f>IFERROR(__xludf.DUMMYFUNCTION("""COMPUTED_VALUE"""),0.2549440625)</f>
        <v>0.2549440625</v>
      </c>
      <c r="J2574" s="4" t="str">
        <f>IFERROR(__xludf.DUMMYFUNCTION("""COMPUTED_VALUE"""),"")</f>
        <v/>
      </c>
      <c r="K2574" s="4" t="str">
        <f>IFERROR(__xludf.DUMMYFUNCTION("""COMPUTED_VALUE"""),"")</f>
        <v/>
      </c>
      <c r="L2574" s="4" t="str">
        <f>IFERROR(__xludf.DUMMYFUNCTION("""COMPUTED_VALUE"""),"")</f>
        <v/>
      </c>
      <c r="M2574" s="1" t="str">
        <f>IFERROR(__xludf.DUMMYFUNCTION("""COMPUTED_VALUE"""),"RFID")</f>
        <v>RFID</v>
      </c>
      <c r="N2574" s="5" t="str">
        <f>IFERROR(__xludf.DUMMYFUNCTION("""COMPUTED_VALUE"""),"")</f>
        <v/>
      </c>
      <c r="O2574" s="5" t="str">
        <f>IFERROR(__xludf.DUMMYFUNCTION("""COMPUTED_VALUE"""),"")</f>
        <v/>
      </c>
      <c r="P2574" s="5" t="str">
        <f>IFERROR(__xludf.DUMMYFUNCTION("""COMPUTED_VALUE"""),"")</f>
        <v/>
      </c>
      <c r="Q2574" s="5" t="str">
        <f>IFERROR(__xludf.DUMMYFUNCTION("""COMPUTED_VALUE"""),"")</f>
        <v/>
      </c>
      <c r="R2574" s="4" t="str">
        <f>IFERROR(__xludf.DUMMYFUNCTION("""COMPUTED_VALUE"""),"")</f>
        <v/>
      </c>
      <c r="S2574" s="1" t="b">
        <f>IFERROR(__xludf.DUMMYFUNCTION("""COMPUTED_VALUE"""),FALSE)</f>
        <v>0</v>
      </c>
      <c r="T2574" s="1" t="b">
        <f>IFERROR(__xludf.DUMMYFUNCTION("""COMPUTED_VALUE"""),FALSE)</f>
        <v>0</v>
      </c>
      <c r="U2574" s="1" t="str">
        <f>IFERROR(__xludf.DUMMYFUNCTION("""COMPUTED_VALUE"""),"DSQ")</f>
        <v>DSQ</v>
      </c>
      <c r="V2574" s="1" t="str">
        <f>IFERROR(__xludf.DUMMYFUNCTION("""COMPUTED_VALUE"""),"DSQ")</f>
        <v>DSQ</v>
      </c>
      <c r="W2574" s="1" t="str">
        <f>IFERROR(__xludf.DUMMYFUNCTION("""COMPUTED_VALUE"""),"DSQ")</f>
        <v>DSQ</v>
      </c>
      <c r="X2574" s="1" t="str">
        <f>IFERROR(__xludf.DUMMYFUNCTION("""COMPUTED_VALUE"""),"DSQ")</f>
        <v>DSQ</v>
      </c>
      <c r="Y2574" s="2"/>
      <c r="Z2574" s="2" t="str">
        <f>IFERROR(__xludf.DUMMYFUNCTION("""COMPUTED_VALUE"""),"")</f>
        <v/>
      </c>
    </row>
    <row r="2575">
      <c r="A2575" s="1">
        <f>IFERROR(__xludf.DUMMYFUNCTION("""COMPUTED_VALUE"""),2574.0)</f>
        <v>2574</v>
      </c>
      <c r="B2575" s="1">
        <f>IFERROR(__xludf.DUMMYFUNCTION("""COMPUTED_VALUE"""),6477.0)</f>
        <v>6477</v>
      </c>
      <c r="C2575" s="2" t="str">
        <f>IFERROR(__xludf.DUMMYFUNCTION("""COMPUTED_VALUE"""),"KEJATI KALSEL")</f>
        <v>KEJATI KALSEL</v>
      </c>
      <c r="D2575" s="2" t="str">
        <f>IFERROR(__xludf.DUMMYFUNCTION("""COMPUTED_VALUE"""),"5KM OVERALL M")</f>
        <v>5KM OVERALL M</v>
      </c>
      <c r="E2575" s="1">
        <f>IFERROR(__xludf.DUMMYFUNCTION("""COMPUTED_VALUE"""),2.0)</f>
        <v>2</v>
      </c>
      <c r="F2575" s="1" t="str">
        <f>IFERROR(__xludf.DUMMYFUNCTION("""COMPUTED_VALUE"""),"Male")</f>
        <v>Male</v>
      </c>
      <c r="G2575" s="4" t="b">
        <f>IFERROR(__xludf.DUMMYFUNCTION("""COMPUTED_VALUE"""),TRUE)</f>
        <v>1</v>
      </c>
      <c r="H2575" s="4" t="b">
        <f>IFERROR(__xludf.DUMMYFUNCTION("""COMPUTED_VALUE"""),FALSE)</f>
        <v>0</v>
      </c>
      <c r="I2575" s="4">
        <f>IFERROR(__xludf.DUMMYFUNCTION("""COMPUTED_VALUE"""),0.2549440625)</f>
        <v>0.2549440625</v>
      </c>
      <c r="J2575" s="4" t="str">
        <f>IFERROR(__xludf.DUMMYFUNCTION("""COMPUTED_VALUE"""),"")</f>
        <v/>
      </c>
      <c r="K2575" s="4" t="str">
        <f>IFERROR(__xludf.DUMMYFUNCTION("""COMPUTED_VALUE"""),"")</f>
        <v/>
      </c>
      <c r="L2575" s="4" t="str">
        <f>IFERROR(__xludf.DUMMYFUNCTION("""COMPUTED_VALUE"""),"")</f>
        <v/>
      </c>
      <c r="M2575" s="1" t="str">
        <f>IFERROR(__xludf.DUMMYFUNCTION("""COMPUTED_VALUE"""),"RFID")</f>
        <v>RFID</v>
      </c>
      <c r="N2575" s="5" t="str">
        <f>IFERROR(__xludf.DUMMYFUNCTION("""COMPUTED_VALUE"""),"")</f>
        <v/>
      </c>
      <c r="O2575" s="5" t="str">
        <f>IFERROR(__xludf.DUMMYFUNCTION("""COMPUTED_VALUE"""),"")</f>
        <v/>
      </c>
      <c r="P2575" s="5" t="str">
        <f>IFERROR(__xludf.DUMMYFUNCTION("""COMPUTED_VALUE"""),"")</f>
        <v/>
      </c>
      <c r="Q2575" s="5" t="str">
        <f>IFERROR(__xludf.DUMMYFUNCTION("""COMPUTED_VALUE"""),"")</f>
        <v/>
      </c>
      <c r="R2575" s="4" t="str">
        <f>IFERROR(__xludf.DUMMYFUNCTION("""COMPUTED_VALUE"""),"")</f>
        <v/>
      </c>
      <c r="S2575" s="1" t="b">
        <f>IFERROR(__xludf.DUMMYFUNCTION("""COMPUTED_VALUE"""),FALSE)</f>
        <v>0</v>
      </c>
      <c r="T2575" s="1" t="b">
        <f>IFERROR(__xludf.DUMMYFUNCTION("""COMPUTED_VALUE"""),FALSE)</f>
        <v>0</v>
      </c>
      <c r="U2575" s="1" t="str">
        <f>IFERROR(__xludf.DUMMYFUNCTION("""COMPUTED_VALUE"""),"DSQ")</f>
        <v>DSQ</v>
      </c>
      <c r="V2575" s="1" t="str">
        <f>IFERROR(__xludf.DUMMYFUNCTION("""COMPUTED_VALUE"""),"DSQ")</f>
        <v>DSQ</v>
      </c>
      <c r="W2575" s="1" t="str">
        <f>IFERROR(__xludf.DUMMYFUNCTION("""COMPUTED_VALUE"""),"DSQ")</f>
        <v>DSQ</v>
      </c>
      <c r="X2575" s="1" t="str">
        <f>IFERROR(__xludf.DUMMYFUNCTION("""COMPUTED_VALUE"""),"DSQ")</f>
        <v>DSQ</v>
      </c>
      <c r="Y2575" s="2"/>
      <c r="Z2575" s="2" t="str">
        <f>IFERROR(__xludf.DUMMYFUNCTION("""COMPUTED_VALUE"""),"")</f>
        <v/>
      </c>
    </row>
    <row r="2576">
      <c r="A2576" s="1">
        <f>IFERROR(__xludf.DUMMYFUNCTION("""COMPUTED_VALUE"""),2575.0)</f>
        <v>2575</v>
      </c>
      <c r="B2576" s="1">
        <f>IFERROR(__xludf.DUMMYFUNCTION("""COMPUTED_VALUE"""),6478.0)</f>
        <v>6478</v>
      </c>
      <c r="C2576" s="2" t="str">
        <f>IFERROR(__xludf.DUMMYFUNCTION("""COMPUTED_VALUE"""),"DANREM 101 ANTASARI")</f>
        <v>DANREM 101 ANTASARI</v>
      </c>
      <c r="D2576" s="2" t="str">
        <f>IFERROR(__xludf.DUMMYFUNCTION("""COMPUTED_VALUE"""),"5KM OVERALL M")</f>
        <v>5KM OVERALL M</v>
      </c>
      <c r="E2576" s="1">
        <f>IFERROR(__xludf.DUMMYFUNCTION("""COMPUTED_VALUE"""),2.0)</f>
        <v>2</v>
      </c>
      <c r="F2576" s="1" t="str">
        <f>IFERROR(__xludf.DUMMYFUNCTION("""COMPUTED_VALUE"""),"Male")</f>
        <v>Male</v>
      </c>
      <c r="G2576" s="4" t="str">
        <f>IFERROR(__xludf.DUMMYFUNCTION("""COMPUTED_VALUE"""),"")</f>
        <v/>
      </c>
      <c r="H2576" s="4" t="b">
        <f>IFERROR(__xludf.DUMMYFUNCTION("""COMPUTED_VALUE"""),FALSE)</f>
        <v>0</v>
      </c>
      <c r="I2576" s="4">
        <f>IFERROR(__xludf.DUMMYFUNCTION("""COMPUTED_VALUE"""),0.2549440625)</f>
        <v>0.2549440625</v>
      </c>
      <c r="J2576" s="4" t="str">
        <f>IFERROR(__xludf.DUMMYFUNCTION("""COMPUTED_VALUE"""),"")</f>
        <v/>
      </c>
      <c r="K2576" s="4" t="str">
        <f>IFERROR(__xludf.DUMMYFUNCTION("""COMPUTED_VALUE"""),"")</f>
        <v/>
      </c>
      <c r="L2576" s="4" t="str">
        <f>IFERROR(__xludf.DUMMYFUNCTION("""COMPUTED_VALUE"""),"")</f>
        <v/>
      </c>
      <c r="M2576" s="1" t="str">
        <f>IFERROR(__xludf.DUMMYFUNCTION("""COMPUTED_VALUE"""),"RFID")</f>
        <v>RFID</v>
      </c>
      <c r="N2576" s="5" t="str">
        <f>IFERROR(__xludf.DUMMYFUNCTION("""COMPUTED_VALUE"""),"")</f>
        <v/>
      </c>
      <c r="O2576" s="5" t="str">
        <f>IFERROR(__xludf.DUMMYFUNCTION("""COMPUTED_VALUE"""),"")</f>
        <v/>
      </c>
      <c r="P2576" s="5" t="str">
        <f>IFERROR(__xludf.DUMMYFUNCTION("""COMPUTED_VALUE"""),"")</f>
        <v/>
      </c>
      <c r="Q2576" s="5" t="str">
        <f>IFERROR(__xludf.DUMMYFUNCTION("""COMPUTED_VALUE"""),"")</f>
        <v/>
      </c>
      <c r="R2576" s="4" t="str">
        <f>IFERROR(__xludf.DUMMYFUNCTION("""COMPUTED_VALUE"""),"")</f>
        <v/>
      </c>
      <c r="S2576" s="1" t="b">
        <f>IFERROR(__xludf.DUMMYFUNCTION("""COMPUTED_VALUE"""),FALSE)</f>
        <v>0</v>
      </c>
      <c r="T2576" s="1" t="b">
        <f>IFERROR(__xludf.DUMMYFUNCTION("""COMPUTED_VALUE"""),FALSE)</f>
        <v>0</v>
      </c>
      <c r="U2576" s="1" t="str">
        <f>IFERROR(__xludf.DUMMYFUNCTION("""COMPUTED_VALUE"""),"DSQ")</f>
        <v>DSQ</v>
      </c>
      <c r="V2576" s="1" t="str">
        <f>IFERROR(__xludf.DUMMYFUNCTION("""COMPUTED_VALUE"""),"DSQ")</f>
        <v>DSQ</v>
      </c>
      <c r="W2576" s="1" t="str">
        <f>IFERROR(__xludf.DUMMYFUNCTION("""COMPUTED_VALUE"""),"DSQ")</f>
        <v>DSQ</v>
      </c>
      <c r="X2576" s="1" t="str">
        <f>IFERROR(__xludf.DUMMYFUNCTION("""COMPUTED_VALUE"""),"DSQ")</f>
        <v>DSQ</v>
      </c>
      <c r="Y2576" s="2"/>
      <c r="Z2576" s="2" t="str">
        <f>IFERROR(__xludf.DUMMYFUNCTION("""COMPUTED_VALUE"""),"")</f>
        <v/>
      </c>
    </row>
    <row r="2577">
      <c r="A2577" s="1">
        <f>IFERROR(__xludf.DUMMYFUNCTION("""COMPUTED_VALUE"""),2576.0)</f>
        <v>2576</v>
      </c>
      <c r="B2577" s="1">
        <f>IFERROR(__xludf.DUMMYFUNCTION("""COMPUTED_VALUE"""),6479.0)</f>
        <v>6479</v>
      </c>
      <c r="C2577" s="2" t="str">
        <f>IFERROR(__xludf.DUMMYFUNCTION("""COMPUTED_VALUE"""),"DANREM 101 ANTASARI")</f>
        <v>DANREM 101 ANTASARI</v>
      </c>
      <c r="D2577" s="2" t="str">
        <f>IFERROR(__xludf.DUMMYFUNCTION("""COMPUTED_VALUE"""),"5KM OVERALL M")</f>
        <v>5KM OVERALL M</v>
      </c>
      <c r="E2577" s="1">
        <f>IFERROR(__xludf.DUMMYFUNCTION("""COMPUTED_VALUE"""),2.0)</f>
        <v>2</v>
      </c>
      <c r="F2577" s="1" t="str">
        <f>IFERROR(__xludf.DUMMYFUNCTION("""COMPUTED_VALUE"""),"Male")</f>
        <v>Male</v>
      </c>
      <c r="G2577" s="4" t="str">
        <f>IFERROR(__xludf.DUMMYFUNCTION("""COMPUTED_VALUE"""),"")</f>
        <v/>
      </c>
      <c r="H2577" s="4" t="b">
        <f>IFERROR(__xludf.DUMMYFUNCTION("""COMPUTED_VALUE"""),FALSE)</f>
        <v>0</v>
      </c>
      <c r="I2577" s="4">
        <f>IFERROR(__xludf.DUMMYFUNCTION("""COMPUTED_VALUE"""),0.2549440625)</f>
        <v>0.2549440625</v>
      </c>
      <c r="J2577" s="4" t="str">
        <f>IFERROR(__xludf.DUMMYFUNCTION("""COMPUTED_VALUE"""),"")</f>
        <v/>
      </c>
      <c r="K2577" s="4" t="str">
        <f>IFERROR(__xludf.DUMMYFUNCTION("""COMPUTED_VALUE"""),"")</f>
        <v/>
      </c>
      <c r="L2577" s="4" t="str">
        <f>IFERROR(__xludf.DUMMYFUNCTION("""COMPUTED_VALUE"""),"")</f>
        <v/>
      </c>
      <c r="M2577" s="1" t="str">
        <f>IFERROR(__xludf.DUMMYFUNCTION("""COMPUTED_VALUE"""),"RFID")</f>
        <v>RFID</v>
      </c>
      <c r="N2577" s="5" t="str">
        <f>IFERROR(__xludf.DUMMYFUNCTION("""COMPUTED_VALUE"""),"")</f>
        <v/>
      </c>
      <c r="O2577" s="5" t="str">
        <f>IFERROR(__xludf.DUMMYFUNCTION("""COMPUTED_VALUE"""),"")</f>
        <v/>
      </c>
      <c r="P2577" s="5" t="str">
        <f>IFERROR(__xludf.DUMMYFUNCTION("""COMPUTED_VALUE"""),"")</f>
        <v/>
      </c>
      <c r="Q2577" s="5" t="str">
        <f>IFERROR(__xludf.DUMMYFUNCTION("""COMPUTED_VALUE"""),"")</f>
        <v/>
      </c>
      <c r="R2577" s="4" t="str">
        <f>IFERROR(__xludf.DUMMYFUNCTION("""COMPUTED_VALUE"""),"")</f>
        <v/>
      </c>
      <c r="S2577" s="1" t="b">
        <f>IFERROR(__xludf.DUMMYFUNCTION("""COMPUTED_VALUE"""),FALSE)</f>
        <v>0</v>
      </c>
      <c r="T2577" s="1" t="b">
        <f>IFERROR(__xludf.DUMMYFUNCTION("""COMPUTED_VALUE"""),FALSE)</f>
        <v>0</v>
      </c>
      <c r="U2577" s="1" t="str">
        <f>IFERROR(__xludf.DUMMYFUNCTION("""COMPUTED_VALUE"""),"DSQ")</f>
        <v>DSQ</v>
      </c>
      <c r="V2577" s="1" t="str">
        <f>IFERROR(__xludf.DUMMYFUNCTION("""COMPUTED_VALUE"""),"DSQ")</f>
        <v>DSQ</v>
      </c>
      <c r="W2577" s="1" t="str">
        <f>IFERROR(__xludf.DUMMYFUNCTION("""COMPUTED_VALUE"""),"DSQ")</f>
        <v>DSQ</v>
      </c>
      <c r="X2577" s="1" t="str">
        <f>IFERROR(__xludf.DUMMYFUNCTION("""COMPUTED_VALUE"""),"DSQ")</f>
        <v>DSQ</v>
      </c>
      <c r="Y2577" s="2"/>
      <c r="Z2577" s="2" t="str">
        <f>IFERROR(__xludf.DUMMYFUNCTION("""COMPUTED_VALUE"""),"")</f>
        <v/>
      </c>
    </row>
    <row r="2578">
      <c r="A2578" s="1">
        <f>IFERROR(__xludf.DUMMYFUNCTION("""COMPUTED_VALUE"""),2577.0)</f>
        <v>2577</v>
      </c>
      <c r="B2578" s="1">
        <f>IFERROR(__xludf.DUMMYFUNCTION("""COMPUTED_VALUE"""),6480.0)</f>
        <v>6480</v>
      </c>
      <c r="C2578" s="2" t="str">
        <f>IFERROR(__xludf.DUMMYFUNCTION("""COMPUTED_VALUE"""),"DPRD PROVINSI KALSEL")</f>
        <v>DPRD PROVINSI KALSEL</v>
      </c>
      <c r="D2578" s="2" t="str">
        <f>IFERROR(__xludf.DUMMYFUNCTION("""COMPUTED_VALUE"""),"5KM OVERALL M")</f>
        <v>5KM OVERALL M</v>
      </c>
      <c r="E2578" s="1">
        <f>IFERROR(__xludf.DUMMYFUNCTION("""COMPUTED_VALUE"""),2.0)</f>
        <v>2</v>
      </c>
      <c r="F2578" s="1" t="str">
        <f>IFERROR(__xludf.DUMMYFUNCTION("""COMPUTED_VALUE"""),"Male")</f>
        <v>Male</v>
      </c>
      <c r="G2578" s="4" t="str">
        <f>IFERROR(__xludf.DUMMYFUNCTION("""COMPUTED_VALUE"""),"")</f>
        <v/>
      </c>
      <c r="H2578" s="4" t="b">
        <f>IFERROR(__xludf.DUMMYFUNCTION("""COMPUTED_VALUE"""),FALSE)</f>
        <v>0</v>
      </c>
      <c r="I2578" s="4">
        <f>IFERROR(__xludf.DUMMYFUNCTION("""COMPUTED_VALUE"""),0.2549440625)</f>
        <v>0.2549440625</v>
      </c>
      <c r="J2578" s="4" t="str">
        <f>IFERROR(__xludf.DUMMYFUNCTION("""COMPUTED_VALUE"""),"")</f>
        <v/>
      </c>
      <c r="K2578" s="4" t="str">
        <f>IFERROR(__xludf.DUMMYFUNCTION("""COMPUTED_VALUE"""),"")</f>
        <v/>
      </c>
      <c r="L2578" s="4" t="str">
        <f>IFERROR(__xludf.DUMMYFUNCTION("""COMPUTED_VALUE"""),"")</f>
        <v/>
      </c>
      <c r="M2578" s="1" t="str">
        <f>IFERROR(__xludf.DUMMYFUNCTION("""COMPUTED_VALUE"""),"RFID")</f>
        <v>RFID</v>
      </c>
      <c r="N2578" s="5" t="str">
        <f>IFERROR(__xludf.DUMMYFUNCTION("""COMPUTED_VALUE"""),"")</f>
        <v/>
      </c>
      <c r="O2578" s="5" t="str">
        <f>IFERROR(__xludf.DUMMYFUNCTION("""COMPUTED_VALUE"""),"")</f>
        <v/>
      </c>
      <c r="P2578" s="5" t="str">
        <f>IFERROR(__xludf.DUMMYFUNCTION("""COMPUTED_VALUE"""),"")</f>
        <v/>
      </c>
      <c r="Q2578" s="5" t="str">
        <f>IFERROR(__xludf.DUMMYFUNCTION("""COMPUTED_VALUE"""),"")</f>
        <v/>
      </c>
      <c r="R2578" s="4" t="str">
        <f>IFERROR(__xludf.DUMMYFUNCTION("""COMPUTED_VALUE"""),"")</f>
        <v/>
      </c>
      <c r="S2578" s="1" t="b">
        <f>IFERROR(__xludf.DUMMYFUNCTION("""COMPUTED_VALUE"""),FALSE)</f>
        <v>0</v>
      </c>
      <c r="T2578" s="1" t="b">
        <f>IFERROR(__xludf.DUMMYFUNCTION("""COMPUTED_VALUE"""),FALSE)</f>
        <v>0</v>
      </c>
      <c r="U2578" s="1" t="str">
        <f>IFERROR(__xludf.DUMMYFUNCTION("""COMPUTED_VALUE"""),"DSQ")</f>
        <v>DSQ</v>
      </c>
      <c r="V2578" s="1" t="str">
        <f>IFERROR(__xludf.DUMMYFUNCTION("""COMPUTED_VALUE"""),"DSQ")</f>
        <v>DSQ</v>
      </c>
      <c r="W2578" s="1" t="str">
        <f>IFERROR(__xludf.DUMMYFUNCTION("""COMPUTED_VALUE"""),"DSQ")</f>
        <v>DSQ</v>
      </c>
      <c r="X2578" s="1" t="str">
        <f>IFERROR(__xludf.DUMMYFUNCTION("""COMPUTED_VALUE"""),"DSQ")</f>
        <v>DSQ</v>
      </c>
      <c r="Y2578" s="2"/>
      <c r="Z2578" s="2" t="str">
        <f>IFERROR(__xludf.DUMMYFUNCTION("""COMPUTED_VALUE"""),"")</f>
        <v/>
      </c>
    </row>
    <row r="2579">
      <c r="A2579" s="1">
        <f>IFERROR(__xludf.DUMMYFUNCTION("""COMPUTED_VALUE"""),2578.0)</f>
        <v>2578</v>
      </c>
      <c r="B2579" s="1">
        <f>IFERROR(__xludf.DUMMYFUNCTION("""COMPUTED_VALUE"""),6481.0)</f>
        <v>6481</v>
      </c>
      <c r="C2579" s="2" t="str">
        <f>IFERROR(__xludf.DUMMYFUNCTION("""COMPUTED_VALUE"""),"DPRD PROVINSI KALSEL")</f>
        <v>DPRD PROVINSI KALSEL</v>
      </c>
      <c r="D2579" s="2" t="str">
        <f>IFERROR(__xludf.DUMMYFUNCTION("""COMPUTED_VALUE"""),"5KM OVERALL M")</f>
        <v>5KM OVERALL M</v>
      </c>
      <c r="E2579" s="1">
        <f>IFERROR(__xludf.DUMMYFUNCTION("""COMPUTED_VALUE"""),2.0)</f>
        <v>2</v>
      </c>
      <c r="F2579" s="1" t="str">
        <f>IFERROR(__xludf.DUMMYFUNCTION("""COMPUTED_VALUE"""),"Male")</f>
        <v>Male</v>
      </c>
      <c r="G2579" s="4" t="str">
        <f>IFERROR(__xludf.DUMMYFUNCTION("""COMPUTED_VALUE"""),"")</f>
        <v/>
      </c>
      <c r="H2579" s="4" t="b">
        <f>IFERROR(__xludf.DUMMYFUNCTION("""COMPUTED_VALUE"""),FALSE)</f>
        <v>0</v>
      </c>
      <c r="I2579" s="4">
        <f>IFERROR(__xludf.DUMMYFUNCTION("""COMPUTED_VALUE"""),0.2549440625)</f>
        <v>0.2549440625</v>
      </c>
      <c r="J2579" s="4" t="str">
        <f>IFERROR(__xludf.DUMMYFUNCTION("""COMPUTED_VALUE"""),"")</f>
        <v/>
      </c>
      <c r="K2579" s="4" t="str">
        <f>IFERROR(__xludf.DUMMYFUNCTION("""COMPUTED_VALUE"""),"")</f>
        <v/>
      </c>
      <c r="L2579" s="4" t="str">
        <f>IFERROR(__xludf.DUMMYFUNCTION("""COMPUTED_VALUE"""),"")</f>
        <v/>
      </c>
      <c r="M2579" s="1" t="str">
        <f>IFERROR(__xludf.DUMMYFUNCTION("""COMPUTED_VALUE"""),"RFID")</f>
        <v>RFID</v>
      </c>
      <c r="N2579" s="5" t="str">
        <f>IFERROR(__xludf.DUMMYFUNCTION("""COMPUTED_VALUE"""),"")</f>
        <v/>
      </c>
      <c r="O2579" s="5" t="str">
        <f>IFERROR(__xludf.DUMMYFUNCTION("""COMPUTED_VALUE"""),"")</f>
        <v/>
      </c>
      <c r="P2579" s="5" t="str">
        <f>IFERROR(__xludf.DUMMYFUNCTION("""COMPUTED_VALUE"""),"")</f>
        <v/>
      </c>
      <c r="Q2579" s="5" t="str">
        <f>IFERROR(__xludf.DUMMYFUNCTION("""COMPUTED_VALUE"""),"")</f>
        <v/>
      </c>
      <c r="R2579" s="4" t="str">
        <f>IFERROR(__xludf.DUMMYFUNCTION("""COMPUTED_VALUE"""),"")</f>
        <v/>
      </c>
      <c r="S2579" s="1" t="b">
        <f>IFERROR(__xludf.DUMMYFUNCTION("""COMPUTED_VALUE"""),FALSE)</f>
        <v>0</v>
      </c>
      <c r="T2579" s="1" t="b">
        <f>IFERROR(__xludf.DUMMYFUNCTION("""COMPUTED_VALUE"""),FALSE)</f>
        <v>0</v>
      </c>
      <c r="U2579" s="1" t="str">
        <f>IFERROR(__xludf.DUMMYFUNCTION("""COMPUTED_VALUE"""),"DSQ")</f>
        <v>DSQ</v>
      </c>
      <c r="V2579" s="1" t="str">
        <f>IFERROR(__xludf.DUMMYFUNCTION("""COMPUTED_VALUE"""),"DSQ")</f>
        <v>DSQ</v>
      </c>
      <c r="W2579" s="1" t="str">
        <f>IFERROR(__xludf.DUMMYFUNCTION("""COMPUTED_VALUE"""),"DSQ")</f>
        <v>DSQ</v>
      </c>
      <c r="X2579" s="1" t="str">
        <f>IFERROR(__xludf.DUMMYFUNCTION("""COMPUTED_VALUE"""),"DSQ")</f>
        <v>DSQ</v>
      </c>
      <c r="Y2579" s="2"/>
      <c r="Z2579" s="2" t="str">
        <f>IFERROR(__xludf.DUMMYFUNCTION("""COMPUTED_VALUE"""),"")</f>
        <v/>
      </c>
    </row>
    <row r="2580">
      <c r="A2580" s="1">
        <f>IFERROR(__xludf.DUMMYFUNCTION("""COMPUTED_VALUE"""),2579.0)</f>
        <v>2579</v>
      </c>
      <c r="B2580" s="1">
        <f>IFERROR(__xludf.DUMMYFUNCTION("""COMPUTED_VALUE"""),6482.0)</f>
        <v>6482</v>
      </c>
      <c r="C2580" s="2" t="str">
        <f>IFERROR(__xludf.DUMMYFUNCTION("""COMPUTED_VALUE"""),"DINAS ESDM PROVINSI KALSEL")</f>
        <v>DINAS ESDM PROVINSI KALSEL</v>
      </c>
      <c r="D2580" s="2" t="str">
        <f>IFERROR(__xludf.DUMMYFUNCTION("""COMPUTED_VALUE"""),"5KM OVERALL M")</f>
        <v>5KM OVERALL M</v>
      </c>
      <c r="E2580" s="1">
        <f>IFERROR(__xludf.DUMMYFUNCTION("""COMPUTED_VALUE"""),2.0)</f>
        <v>2</v>
      </c>
      <c r="F2580" s="1" t="str">
        <f>IFERROR(__xludf.DUMMYFUNCTION("""COMPUTED_VALUE"""),"Male")</f>
        <v>Male</v>
      </c>
      <c r="G2580" s="4" t="str">
        <f>IFERROR(__xludf.DUMMYFUNCTION("""COMPUTED_VALUE"""),"")</f>
        <v/>
      </c>
      <c r="H2580" s="4" t="b">
        <f>IFERROR(__xludf.DUMMYFUNCTION("""COMPUTED_VALUE"""),FALSE)</f>
        <v>0</v>
      </c>
      <c r="I2580" s="4">
        <f>IFERROR(__xludf.DUMMYFUNCTION("""COMPUTED_VALUE"""),0.2549440625)</f>
        <v>0.2549440625</v>
      </c>
      <c r="J2580" s="4" t="str">
        <f>IFERROR(__xludf.DUMMYFUNCTION("""COMPUTED_VALUE"""),"")</f>
        <v/>
      </c>
      <c r="K2580" s="4" t="str">
        <f>IFERROR(__xludf.DUMMYFUNCTION("""COMPUTED_VALUE"""),"")</f>
        <v/>
      </c>
      <c r="L2580" s="4" t="str">
        <f>IFERROR(__xludf.DUMMYFUNCTION("""COMPUTED_VALUE"""),"")</f>
        <v/>
      </c>
      <c r="M2580" s="1" t="str">
        <f>IFERROR(__xludf.DUMMYFUNCTION("""COMPUTED_VALUE"""),"RFID")</f>
        <v>RFID</v>
      </c>
      <c r="N2580" s="5" t="str">
        <f>IFERROR(__xludf.DUMMYFUNCTION("""COMPUTED_VALUE"""),"")</f>
        <v/>
      </c>
      <c r="O2580" s="5" t="str">
        <f>IFERROR(__xludf.DUMMYFUNCTION("""COMPUTED_VALUE"""),"")</f>
        <v/>
      </c>
      <c r="P2580" s="5" t="str">
        <f>IFERROR(__xludf.DUMMYFUNCTION("""COMPUTED_VALUE"""),"")</f>
        <v/>
      </c>
      <c r="Q2580" s="5" t="str">
        <f>IFERROR(__xludf.DUMMYFUNCTION("""COMPUTED_VALUE"""),"")</f>
        <v/>
      </c>
      <c r="R2580" s="4" t="str">
        <f>IFERROR(__xludf.DUMMYFUNCTION("""COMPUTED_VALUE"""),"")</f>
        <v/>
      </c>
      <c r="S2580" s="1" t="b">
        <f>IFERROR(__xludf.DUMMYFUNCTION("""COMPUTED_VALUE"""),FALSE)</f>
        <v>0</v>
      </c>
      <c r="T2580" s="1" t="b">
        <f>IFERROR(__xludf.DUMMYFUNCTION("""COMPUTED_VALUE"""),FALSE)</f>
        <v>0</v>
      </c>
      <c r="U2580" s="1" t="str">
        <f>IFERROR(__xludf.DUMMYFUNCTION("""COMPUTED_VALUE"""),"DSQ")</f>
        <v>DSQ</v>
      </c>
      <c r="V2580" s="1" t="str">
        <f>IFERROR(__xludf.DUMMYFUNCTION("""COMPUTED_VALUE"""),"DSQ")</f>
        <v>DSQ</v>
      </c>
      <c r="W2580" s="1" t="str">
        <f>IFERROR(__xludf.DUMMYFUNCTION("""COMPUTED_VALUE"""),"DSQ")</f>
        <v>DSQ</v>
      </c>
      <c r="X2580" s="1" t="str">
        <f>IFERROR(__xludf.DUMMYFUNCTION("""COMPUTED_VALUE"""),"DSQ")</f>
        <v>DSQ</v>
      </c>
      <c r="Y2580" s="2"/>
      <c r="Z2580" s="2" t="str">
        <f>IFERROR(__xludf.DUMMYFUNCTION("""COMPUTED_VALUE"""),"")</f>
        <v/>
      </c>
    </row>
    <row r="2581">
      <c r="A2581" s="1">
        <f>IFERROR(__xludf.DUMMYFUNCTION("""COMPUTED_VALUE"""),2580.0)</f>
        <v>2580</v>
      </c>
      <c r="B2581" s="1">
        <f>IFERROR(__xludf.DUMMYFUNCTION("""COMPUTED_VALUE"""),6483.0)</f>
        <v>6483</v>
      </c>
      <c r="C2581" s="2" t="str">
        <f>IFERROR(__xludf.DUMMYFUNCTION("""COMPUTED_VALUE"""),"DINAS ESDM PROVINSI KALSEL")</f>
        <v>DINAS ESDM PROVINSI KALSEL</v>
      </c>
      <c r="D2581" s="2" t="str">
        <f>IFERROR(__xludf.DUMMYFUNCTION("""COMPUTED_VALUE"""),"5KM OVERALL M")</f>
        <v>5KM OVERALL M</v>
      </c>
      <c r="E2581" s="1">
        <f>IFERROR(__xludf.DUMMYFUNCTION("""COMPUTED_VALUE"""),2.0)</f>
        <v>2</v>
      </c>
      <c r="F2581" s="1" t="str">
        <f>IFERROR(__xludf.DUMMYFUNCTION("""COMPUTED_VALUE"""),"Male")</f>
        <v>Male</v>
      </c>
      <c r="G2581" s="4" t="str">
        <f>IFERROR(__xludf.DUMMYFUNCTION("""COMPUTED_VALUE"""),"")</f>
        <v/>
      </c>
      <c r="H2581" s="4" t="b">
        <f>IFERROR(__xludf.DUMMYFUNCTION("""COMPUTED_VALUE"""),FALSE)</f>
        <v>0</v>
      </c>
      <c r="I2581" s="4">
        <f>IFERROR(__xludf.DUMMYFUNCTION("""COMPUTED_VALUE"""),0.2549440625)</f>
        <v>0.2549440625</v>
      </c>
      <c r="J2581" s="4" t="str">
        <f>IFERROR(__xludf.DUMMYFUNCTION("""COMPUTED_VALUE"""),"")</f>
        <v/>
      </c>
      <c r="K2581" s="4" t="str">
        <f>IFERROR(__xludf.DUMMYFUNCTION("""COMPUTED_VALUE"""),"")</f>
        <v/>
      </c>
      <c r="L2581" s="4" t="str">
        <f>IFERROR(__xludf.DUMMYFUNCTION("""COMPUTED_VALUE"""),"")</f>
        <v/>
      </c>
      <c r="M2581" s="1" t="str">
        <f>IFERROR(__xludf.DUMMYFUNCTION("""COMPUTED_VALUE"""),"RFID")</f>
        <v>RFID</v>
      </c>
      <c r="N2581" s="5" t="str">
        <f>IFERROR(__xludf.DUMMYFUNCTION("""COMPUTED_VALUE"""),"")</f>
        <v/>
      </c>
      <c r="O2581" s="5" t="str">
        <f>IFERROR(__xludf.DUMMYFUNCTION("""COMPUTED_VALUE"""),"")</f>
        <v/>
      </c>
      <c r="P2581" s="5" t="str">
        <f>IFERROR(__xludf.DUMMYFUNCTION("""COMPUTED_VALUE"""),"")</f>
        <v/>
      </c>
      <c r="Q2581" s="5" t="str">
        <f>IFERROR(__xludf.DUMMYFUNCTION("""COMPUTED_VALUE"""),"")</f>
        <v/>
      </c>
      <c r="R2581" s="4" t="str">
        <f>IFERROR(__xludf.DUMMYFUNCTION("""COMPUTED_VALUE"""),"")</f>
        <v/>
      </c>
      <c r="S2581" s="1" t="b">
        <f>IFERROR(__xludf.DUMMYFUNCTION("""COMPUTED_VALUE"""),FALSE)</f>
        <v>0</v>
      </c>
      <c r="T2581" s="1" t="b">
        <f>IFERROR(__xludf.DUMMYFUNCTION("""COMPUTED_VALUE"""),FALSE)</f>
        <v>0</v>
      </c>
      <c r="U2581" s="1" t="str">
        <f>IFERROR(__xludf.DUMMYFUNCTION("""COMPUTED_VALUE"""),"DSQ")</f>
        <v>DSQ</v>
      </c>
      <c r="V2581" s="1" t="str">
        <f>IFERROR(__xludf.DUMMYFUNCTION("""COMPUTED_VALUE"""),"DSQ")</f>
        <v>DSQ</v>
      </c>
      <c r="W2581" s="1" t="str">
        <f>IFERROR(__xludf.DUMMYFUNCTION("""COMPUTED_VALUE"""),"DSQ")</f>
        <v>DSQ</v>
      </c>
      <c r="X2581" s="1" t="str">
        <f>IFERROR(__xludf.DUMMYFUNCTION("""COMPUTED_VALUE"""),"DSQ")</f>
        <v>DSQ</v>
      </c>
      <c r="Y2581" s="2"/>
      <c r="Z2581" s="2" t="str">
        <f>IFERROR(__xludf.DUMMYFUNCTION("""COMPUTED_VALUE"""),"")</f>
        <v/>
      </c>
    </row>
    <row r="2582">
      <c r="A2582" s="1">
        <f>IFERROR(__xludf.DUMMYFUNCTION("""COMPUTED_VALUE"""),2581.0)</f>
        <v>2581</v>
      </c>
      <c r="B2582" s="1">
        <f>IFERROR(__xludf.DUMMYFUNCTION("""COMPUTED_VALUE"""),6484.0)</f>
        <v>6484</v>
      </c>
      <c r="C2582" s="2" t="str">
        <f>IFERROR(__xludf.DUMMYFUNCTION("""COMPUTED_VALUE"""),"DISHUT PROVINSI KALSEL")</f>
        <v>DISHUT PROVINSI KALSEL</v>
      </c>
      <c r="D2582" s="2" t="str">
        <f>IFERROR(__xludf.DUMMYFUNCTION("""COMPUTED_VALUE"""),"5KM OVERALL M")</f>
        <v>5KM OVERALL M</v>
      </c>
      <c r="E2582" s="1">
        <f>IFERROR(__xludf.DUMMYFUNCTION("""COMPUTED_VALUE"""),2.0)</f>
        <v>2</v>
      </c>
      <c r="F2582" s="1" t="str">
        <f>IFERROR(__xludf.DUMMYFUNCTION("""COMPUTED_VALUE"""),"Male")</f>
        <v>Male</v>
      </c>
      <c r="G2582" s="4" t="str">
        <f>IFERROR(__xludf.DUMMYFUNCTION("""COMPUTED_VALUE"""),"")</f>
        <v/>
      </c>
      <c r="H2582" s="4" t="b">
        <f>IFERROR(__xludf.DUMMYFUNCTION("""COMPUTED_VALUE"""),FALSE)</f>
        <v>0</v>
      </c>
      <c r="I2582" s="4">
        <f>IFERROR(__xludf.DUMMYFUNCTION("""COMPUTED_VALUE"""),0.2549440625)</f>
        <v>0.2549440625</v>
      </c>
      <c r="J2582" s="4" t="str">
        <f>IFERROR(__xludf.DUMMYFUNCTION("""COMPUTED_VALUE"""),"")</f>
        <v/>
      </c>
      <c r="K2582" s="4" t="str">
        <f>IFERROR(__xludf.DUMMYFUNCTION("""COMPUTED_VALUE"""),"")</f>
        <v/>
      </c>
      <c r="L2582" s="4" t="str">
        <f>IFERROR(__xludf.DUMMYFUNCTION("""COMPUTED_VALUE"""),"")</f>
        <v/>
      </c>
      <c r="M2582" s="1" t="str">
        <f>IFERROR(__xludf.DUMMYFUNCTION("""COMPUTED_VALUE"""),"RFID")</f>
        <v>RFID</v>
      </c>
      <c r="N2582" s="5" t="str">
        <f>IFERROR(__xludf.DUMMYFUNCTION("""COMPUTED_VALUE"""),"")</f>
        <v/>
      </c>
      <c r="O2582" s="5" t="str">
        <f>IFERROR(__xludf.DUMMYFUNCTION("""COMPUTED_VALUE"""),"")</f>
        <v/>
      </c>
      <c r="P2582" s="5" t="str">
        <f>IFERROR(__xludf.DUMMYFUNCTION("""COMPUTED_VALUE"""),"")</f>
        <v/>
      </c>
      <c r="Q2582" s="5" t="str">
        <f>IFERROR(__xludf.DUMMYFUNCTION("""COMPUTED_VALUE"""),"")</f>
        <v/>
      </c>
      <c r="R2582" s="4" t="str">
        <f>IFERROR(__xludf.DUMMYFUNCTION("""COMPUTED_VALUE"""),"")</f>
        <v/>
      </c>
      <c r="S2582" s="1" t="b">
        <f>IFERROR(__xludf.DUMMYFUNCTION("""COMPUTED_VALUE"""),FALSE)</f>
        <v>0</v>
      </c>
      <c r="T2582" s="1" t="b">
        <f>IFERROR(__xludf.DUMMYFUNCTION("""COMPUTED_VALUE"""),FALSE)</f>
        <v>0</v>
      </c>
      <c r="U2582" s="1" t="str">
        <f>IFERROR(__xludf.DUMMYFUNCTION("""COMPUTED_VALUE"""),"DSQ")</f>
        <v>DSQ</v>
      </c>
      <c r="V2582" s="1" t="str">
        <f>IFERROR(__xludf.DUMMYFUNCTION("""COMPUTED_VALUE"""),"DSQ")</f>
        <v>DSQ</v>
      </c>
      <c r="W2582" s="1" t="str">
        <f>IFERROR(__xludf.DUMMYFUNCTION("""COMPUTED_VALUE"""),"DSQ")</f>
        <v>DSQ</v>
      </c>
      <c r="X2582" s="1" t="str">
        <f>IFERROR(__xludf.DUMMYFUNCTION("""COMPUTED_VALUE"""),"DSQ")</f>
        <v>DSQ</v>
      </c>
      <c r="Y2582" s="2"/>
      <c r="Z2582" s="2" t="str">
        <f>IFERROR(__xludf.DUMMYFUNCTION("""COMPUTED_VALUE"""),"")</f>
        <v/>
      </c>
    </row>
    <row r="2583">
      <c r="A2583" s="1">
        <f>IFERROR(__xludf.DUMMYFUNCTION("""COMPUTED_VALUE"""),2582.0)</f>
        <v>2582</v>
      </c>
      <c r="B2583" s="1">
        <f>IFERROR(__xludf.DUMMYFUNCTION("""COMPUTED_VALUE"""),6485.0)</f>
        <v>6485</v>
      </c>
      <c r="C2583" s="2" t="str">
        <f>IFERROR(__xludf.DUMMYFUNCTION("""COMPUTED_VALUE"""),"DLH PROVINSI KALSEL")</f>
        <v>DLH PROVINSI KALSEL</v>
      </c>
      <c r="D2583" s="2" t="str">
        <f>IFERROR(__xludf.DUMMYFUNCTION("""COMPUTED_VALUE"""),"5KM OVERALL M")</f>
        <v>5KM OVERALL M</v>
      </c>
      <c r="E2583" s="1">
        <f>IFERROR(__xludf.DUMMYFUNCTION("""COMPUTED_VALUE"""),2.0)</f>
        <v>2</v>
      </c>
      <c r="F2583" s="1" t="str">
        <f>IFERROR(__xludf.DUMMYFUNCTION("""COMPUTED_VALUE"""),"Male")</f>
        <v>Male</v>
      </c>
      <c r="G2583" s="4" t="str">
        <f>IFERROR(__xludf.DUMMYFUNCTION("""COMPUTED_VALUE"""),"")</f>
        <v/>
      </c>
      <c r="H2583" s="4" t="b">
        <f>IFERROR(__xludf.DUMMYFUNCTION("""COMPUTED_VALUE"""),FALSE)</f>
        <v>0</v>
      </c>
      <c r="I2583" s="4">
        <f>IFERROR(__xludf.DUMMYFUNCTION("""COMPUTED_VALUE"""),0.2549440625)</f>
        <v>0.2549440625</v>
      </c>
      <c r="J2583" s="4" t="str">
        <f>IFERROR(__xludf.DUMMYFUNCTION("""COMPUTED_VALUE"""),"")</f>
        <v/>
      </c>
      <c r="K2583" s="4" t="str">
        <f>IFERROR(__xludf.DUMMYFUNCTION("""COMPUTED_VALUE"""),"")</f>
        <v/>
      </c>
      <c r="L2583" s="4" t="str">
        <f>IFERROR(__xludf.DUMMYFUNCTION("""COMPUTED_VALUE"""),"")</f>
        <v/>
      </c>
      <c r="M2583" s="1" t="str">
        <f>IFERROR(__xludf.DUMMYFUNCTION("""COMPUTED_VALUE"""),"RFID")</f>
        <v>RFID</v>
      </c>
      <c r="N2583" s="5" t="str">
        <f>IFERROR(__xludf.DUMMYFUNCTION("""COMPUTED_VALUE"""),"")</f>
        <v/>
      </c>
      <c r="O2583" s="5" t="str">
        <f>IFERROR(__xludf.DUMMYFUNCTION("""COMPUTED_VALUE"""),"")</f>
        <v/>
      </c>
      <c r="P2583" s="5" t="str">
        <f>IFERROR(__xludf.DUMMYFUNCTION("""COMPUTED_VALUE"""),"")</f>
        <v/>
      </c>
      <c r="Q2583" s="5" t="str">
        <f>IFERROR(__xludf.DUMMYFUNCTION("""COMPUTED_VALUE"""),"")</f>
        <v/>
      </c>
      <c r="R2583" s="4" t="str">
        <f>IFERROR(__xludf.DUMMYFUNCTION("""COMPUTED_VALUE"""),"")</f>
        <v/>
      </c>
      <c r="S2583" s="1" t="b">
        <f>IFERROR(__xludf.DUMMYFUNCTION("""COMPUTED_VALUE"""),FALSE)</f>
        <v>0</v>
      </c>
      <c r="T2583" s="1" t="b">
        <f>IFERROR(__xludf.DUMMYFUNCTION("""COMPUTED_VALUE"""),FALSE)</f>
        <v>0</v>
      </c>
      <c r="U2583" s="1" t="str">
        <f>IFERROR(__xludf.DUMMYFUNCTION("""COMPUTED_VALUE"""),"DSQ")</f>
        <v>DSQ</v>
      </c>
      <c r="V2583" s="1" t="str">
        <f>IFERROR(__xludf.DUMMYFUNCTION("""COMPUTED_VALUE"""),"DSQ")</f>
        <v>DSQ</v>
      </c>
      <c r="W2583" s="1" t="str">
        <f>IFERROR(__xludf.DUMMYFUNCTION("""COMPUTED_VALUE"""),"DSQ")</f>
        <v>DSQ</v>
      </c>
      <c r="X2583" s="1" t="str">
        <f>IFERROR(__xludf.DUMMYFUNCTION("""COMPUTED_VALUE"""),"DSQ")</f>
        <v>DSQ</v>
      </c>
      <c r="Y2583" s="2"/>
      <c r="Z2583" s="2" t="str">
        <f>IFERROR(__xludf.DUMMYFUNCTION("""COMPUTED_VALUE"""),"")</f>
        <v/>
      </c>
    </row>
    <row r="2584">
      <c r="A2584" s="1">
        <f>IFERROR(__xludf.DUMMYFUNCTION("""COMPUTED_VALUE"""),2583.0)</f>
        <v>2583</v>
      </c>
      <c r="B2584" s="1">
        <f>IFERROR(__xludf.DUMMYFUNCTION("""COMPUTED_VALUE"""),6486.0)</f>
        <v>6486</v>
      </c>
      <c r="C2584" s="2" t="str">
        <f>IFERROR(__xludf.DUMMYFUNCTION("""COMPUTED_VALUE"""),"BKSDA PROVINSI KALSEL")</f>
        <v>BKSDA PROVINSI KALSEL</v>
      </c>
      <c r="D2584" s="2" t="str">
        <f>IFERROR(__xludf.DUMMYFUNCTION("""COMPUTED_VALUE"""),"5KM OVERALL M")</f>
        <v>5KM OVERALL M</v>
      </c>
      <c r="E2584" s="1">
        <f>IFERROR(__xludf.DUMMYFUNCTION("""COMPUTED_VALUE"""),2.0)</f>
        <v>2</v>
      </c>
      <c r="F2584" s="1" t="str">
        <f>IFERROR(__xludf.DUMMYFUNCTION("""COMPUTED_VALUE"""),"Male")</f>
        <v>Male</v>
      </c>
      <c r="G2584" s="4" t="b">
        <f>IFERROR(__xludf.DUMMYFUNCTION("""COMPUTED_VALUE"""),TRUE)</f>
        <v>1</v>
      </c>
      <c r="H2584" s="4" t="b">
        <f>IFERROR(__xludf.DUMMYFUNCTION("""COMPUTED_VALUE"""),TRUE)</f>
        <v>1</v>
      </c>
      <c r="I2584" s="4">
        <f>IFERROR(__xludf.DUMMYFUNCTION("""COMPUTED_VALUE"""),0.2549440625)</f>
        <v>0.2549440625</v>
      </c>
      <c r="J2584" s="4">
        <f>IFERROR(__xludf.DUMMYFUNCTION("""COMPUTED_VALUE"""),45949.273832250874)</f>
        <v>45949.27383</v>
      </c>
      <c r="K2584" s="4" t="str">
        <f>IFERROR(__xludf.DUMMYFUNCTION("""COMPUTED_VALUE"""),"")</f>
        <v/>
      </c>
      <c r="L2584" s="4">
        <f>IFERROR(__xludf.DUMMYFUNCTION("""COMPUTED_VALUE"""),45949.28639045321)</f>
        <v>45949.28639</v>
      </c>
      <c r="M2584" s="1" t="str">
        <f>IFERROR(__xludf.DUMMYFUNCTION("""COMPUTED_VALUE"""),"RFID")</f>
        <v>RFID</v>
      </c>
      <c r="N2584" s="5">
        <f>IFERROR(__xludf.DUMMYFUNCTION("""COMPUTED_VALUE"""),0.0075552731481481495)</f>
        <v>0.007555273148</v>
      </c>
      <c r="O2584" s="5" t="str">
        <f>IFERROR(__xludf.DUMMYFUNCTION("""COMPUTED_VALUE"""),"")</f>
        <v/>
      </c>
      <c r="P2584" s="5" t="str">
        <f>IFERROR(__xludf.DUMMYFUNCTION("""COMPUTED_VALUE"""),"")</f>
        <v/>
      </c>
      <c r="Q2584" s="5">
        <f>IFERROR(__xludf.DUMMYFUNCTION("""COMPUTED_VALUE"""),0.006289277777777777)</f>
        <v>0.006289277778</v>
      </c>
      <c r="R2584" s="4">
        <f>IFERROR(__xludf.DUMMYFUNCTION("""COMPUTED_VALUE"""),45949.03144639071)</f>
        <v>45949.03145</v>
      </c>
      <c r="S2584" s="1" t="b">
        <f>IFERROR(__xludf.DUMMYFUNCTION("""COMPUTED_VALUE"""),TRUE)</f>
        <v>1</v>
      </c>
      <c r="T2584" s="1" t="b">
        <f>IFERROR(__xludf.DUMMYFUNCTION("""COMPUTED_VALUE"""),FALSE)</f>
        <v>0</v>
      </c>
      <c r="U2584" s="1" t="str">
        <f>IFERROR(__xludf.DUMMYFUNCTION("""COMPUTED_VALUE"""),"VALID")</f>
        <v>VALID</v>
      </c>
      <c r="V2584" s="1">
        <f>IFERROR(__xludf.DUMMYFUNCTION("""COMPUTED_VALUE"""),426.0)</f>
        <v>426</v>
      </c>
      <c r="W2584" s="1">
        <f>IFERROR(__xludf.DUMMYFUNCTION("""COMPUTED_VALUE"""),655.0)</f>
        <v>655</v>
      </c>
      <c r="X2584" s="1">
        <f>IFERROR(__xludf.DUMMYFUNCTION("""COMPUTED_VALUE"""),547.0)</f>
        <v>547</v>
      </c>
      <c r="Y2584" s="2"/>
      <c r="Z2584" s="2"/>
    </row>
    <row r="2585">
      <c r="A2585" s="1">
        <f>IFERROR(__xludf.DUMMYFUNCTION("""COMPUTED_VALUE"""),2584.0)</f>
        <v>2584</v>
      </c>
      <c r="B2585" s="1">
        <f>IFERROR(__xludf.DUMMYFUNCTION("""COMPUTED_VALUE"""),6487.0)</f>
        <v>6487</v>
      </c>
      <c r="C2585" s="2" t="str">
        <f>IFERROR(__xludf.DUMMYFUNCTION("""COMPUTED_VALUE"""),"DISNAKER PROVINSI KALSEL")</f>
        <v>DISNAKER PROVINSI KALSEL</v>
      </c>
      <c r="D2585" s="2" t="str">
        <f>IFERROR(__xludf.DUMMYFUNCTION("""COMPUTED_VALUE"""),"5KM OVERALL M")</f>
        <v>5KM OVERALL M</v>
      </c>
      <c r="E2585" s="1">
        <f>IFERROR(__xludf.DUMMYFUNCTION("""COMPUTED_VALUE"""),2.0)</f>
        <v>2</v>
      </c>
      <c r="F2585" s="1" t="str">
        <f>IFERROR(__xludf.DUMMYFUNCTION("""COMPUTED_VALUE"""),"Male")</f>
        <v>Male</v>
      </c>
      <c r="G2585" s="4" t="str">
        <f>IFERROR(__xludf.DUMMYFUNCTION("""COMPUTED_VALUE"""),"")</f>
        <v/>
      </c>
      <c r="H2585" s="4" t="b">
        <f>IFERROR(__xludf.DUMMYFUNCTION("""COMPUTED_VALUE"""),FALSE)</f>
        <v>0</v>
      </c>
      <c r="I2585" s="4">
        <f>IFERROR(__xludf.DUMMYFUNCTION("""COMPUTED_VALUE"""),0.2549440625)</f>
        <v>0.2549440625</v>
      </c>
      <c r="J2585" s="4" t="str">
        <f>IFERROR(__xludf.DUMMYFUNCTION("""COMPUTED_VALUE"""),"")</f>
        <v/>
      </c>
      <c r="K2585" s="4" t="str">
        <f>IFERROR(__xludf.DUMMYFUNCTION("""COMPUTED_VALUE"""),"")</f>
        <v/>
      </c>
      <c r="L2585" s="4" t="str">
        <f>IFERROR(__xludf.DUMMYFUNCTION("""COMPUTED_VALUE"""),"")</f>
        <v/>
      </c>
      <c r="M2585" s="1" t="str">
        <f>IFERROR(__xludf.DUMMYFUNCTION("""COMPUTED_VALUE"""),"RFID")</f>
        <v>RFID</v>
      </c>
      <c r="N2585" s="5" t="str">
        <f>IFERROR(__xludf.DUMMYFUNCTION("""COMPUTED_VALUE"""),"")</f>
        <v/>
      </c>
      <c r="O2585" s="5" t="str">
        <f>IFERROR(__xludf.DUMMYFUNCTION("""COMPUTED_VALUE"""),"")</f>
        <v/>
      </c>
      <c r="P2585" s="5" t="str">
        <f>IFERROR(__xludf.DUMMYFUNCTION("""COMPUTED_VALUE"""),"")</f>
        <v/>
      </c>
      <c r="Q2585" s="5" t="str">
        <f>IFERROR(__xludf.DUMMYFUNCTION("""COMPUTED_VALUE"""),"")</f>
        <v/>
      </c>
      <c r="R2585" s="4" t="str">
        <f>IFERROR(__xludf.DUMMYFUNCTION("""COMPUTED_VALUE"""),"")</f>
        <v/>
      </c>
      <c r="S2585" s="1" t="b">
        <f>IFERROR(__xludf.DUMMYFUNCTION("""COMPUTED_VALUE"""),FALSE)</f>
        <v>0</v>
      </c>
      <c r="T2585" s="1" t="b">
        <f>IFERROR(__xludf.DUMMYFUNCTION("""COMPUTED_VALUE"""),FALSE)</f>
        <v>0</v>
      </c>
      <c r="U2585" s="1" t="str">
        <f>IFERROR(__xludf.DUMMYFUNCTION("""COMPUTED_VALUE"""),"DSQ")</f>
        <v>DSQ</v>
      </c>
      <c r="V2585" s="1" t="str">
        <f>IFERROR(__xludf.DUMMYFUNCTION("""COMPUTED_VALUE"""),"DSQ")</f>
        <v>DSQ</v>
      </c>
      <c r="W2585" s="1" t="str">
        <f>IFERROR(__xludf.DUMMYFUNCTION("""COMPUTED_VALUE"""),"DSQ")</f>
        <v>DSQ</v>
      </c>
      <c r="X2585" s="1" t="str">
        <f>IFERROR(__xludf.DUMMYFUNCTION("""COMPUTED_VALUE"""),"DSQ")</f>
        <v>DSQ</v>
      </c>
      <c r="Y2585" s="2"/>
      <c r="Z2585" s="2" t="str">
        <f>IFERROR(__xludf.DUMMYFUNCTION("""COMPUTED_VALUE"""),"")</f>
        <v/>
      </c>
    </row>
    <row r="2586">
      <c r="A2586" s="1">
        <f>IFERROR(__xludf.DUMMYFUNCTION("""COMPUTED_VALUE"""),2585.0)</f>
        <v>2585</v>
      </c>
      <c r="B2586" s="1">
        <f>IFERROR(__xludf.DUMMYFUNCTION("""COMPUTED_VALUE"""),6488.0)</f>
        <v>6488</v>
      </c>
      <c r="C2586" s="2" t="str">
        <f>IFERROR(__xludf.DUMMYFUNCTION("""COMPUTED_VALUE"""),"WALIKOTA BANJARBARU")</f>
        <v>WALIKOTA BANJARBARU</v>
      </c>
      <c r="D2586" s="2" t="str">
        <f>IFERROR(__xludf.DUMMYFUNCTION("""COMPUTED_VALUE"""),"5KM OVERALL M")</f>
        <v>5KM OVERALL M</v>
      </c>
      <c r="E2586" s="1">
        <f>IFERROR(__xludf.DUMMYFUNCTION("""COMPUTED_VALUE"""),2.0)</f>
        <v>2</v>
      </c>
      <c r="F2586" s="1" t="str">
        <f>IFERROR(__xludf.DUMMYFUNCTION("""COMPUTED_VALUE"""),"Male")</f>
        <v>Male</v>
      </c>
      <c r="G2586" s="4" t="b">
        <f>IFERROR(__xludf.DUMMYFUNCTION("""COMPUTED_VALUE"""),TRUE)</f>
        <v>1</v>
      </c>
      <c r="H2586" s="4" t="b">
        <f>IFERROR(__xludf.DUMMYFUNCTION("""COMPUTED_VALUE"""),FALSE)</f>
        <v>0</v>
      </c>
      <c r="I2586" s="4">
        <f>IFERROR(__xludf.DUMMYFUNCTION("""COMPUTED_VALUE"""),0.2549440625)</f>
        <v>0.2549440625</v>
      </c>
      <c r="J2586" s="4">
        <f>IFERROR(__xludf.DUMMYFUNCTION("""COMPUTED_VALUE"""),45950.272314814814)</f>
        <v>45950.27231</v>
      </c>
      <c r="K2586" s="4" t="str">
        <f>IFERROR(__xludf.DUMMYFUNCTION("""COMPUTED_VALUE"""),"")</f>
        <v/>
      </c>
      <c r="L2586" s="4">
        <f>IFERROR(__xludf.DUMMYFUNCTION("""COMPUTED_VALUE"""),45949.28389392154)</f>
        <v>45949.28389</v>
      </c>
      <c r="M2586" s="1" t="str">
        <f>IFERROR(__xludf.DUMMYFUNCTION("""COMPUTED_VALUE"""),"RFID")</f>
        <v>RFID</v>
      </c>
      <c r="N2586" s="5">
        <f>IFERROR(__xludf.DUMMYFUNCTION("""COMPUTED_VALUE"""),0.006948300925925926)</f>
        <v>0.006948300926</v>
      </c>
      <c r="O2586" s="5" t="str">
        <f>IFERROR(__xludf.DUMMYFUNCTION("""COMPUTED_VALUE"""),"")</f>
        <v/>
      </c>
      <c r="P2586" s="5" t="str">
        <f>IFERROR(__xludf.DUMMYFUNCTION("""COMPUTED_VALUE"""),"")</f>
        <v/>
      </c>
      <c r="Q2586" s="5">
        <f>IFERROR(__xludf.DUMMYFUNCTION("""COMPUTED_VALUE"""),0.005789972222222222)</f>
        <v>0.005789972222</v>
      </c>
      <c r="R2586" s="4">
        <f>IFERROR(__xludf.DUMMYFUNCTION("""COMPUTED_VALUE"""),45949.02894985904)</f>
        <v>45949.02895</v>
      </c>
      <c r="S2586" s="1" t="b">
        <f>IFERROR(__xludf.DUMMYFUNCTION("""COMPUTED_VALUE"""),TRUE)</f>
        <v>1</v>
      </c>
      <c r="T2586" s="1" t="b">
        <f>IFERROR(__xludf.DUMMYFUNCTION("""COMPUTED_VALUE"""),FALSE)</f>
        <v>0</v>
      </c>
      <c r="U2586" s="1" t="str">
        <f>IFERROR(__xludf.DUMMYFUNCTION("""COMPUTED_VALUE"""),"VALID")</f>
        <v>VALID</v>
      </c>
      <c r="V2586" s="1">
        <f>IFERROR(__xludf.DUMMYFUNCTION("""COMPUTED_VALUE"""),332.0)</f>
        <v>332</v>
      </c>
      <c r="W2586" s="1">
        <f>IFERROR(__xludf.DUMMYFUNCTION("""COMPUTED_VALUE"""),495.0)</f>
        <v>495</v>
      </c>
      <c r="X2586" s="1">
        <f>IFERROR(__xludf.DUMMYFUNCTION("""COMPUTED_VALUE"""),431.0)</f>
        <v>431</v>
      </c>
      <c r="Y2586" s="2"/>
      <c r="Z2586" s="2" t="str">
        <f>IFERROR(__xludf.DUMMYFUNCTION("""COMPUTED_VALUE"""),"C")</f>
        <v>C</v>
      </c>
    </row>
    <row r="2587">
      <c r="A2587" s="1">
        <f>IFERROR(__xludf.DUMMYFUNCTION("""COMPUTED_VALUE"""),2586.0)</f>
        <v>2586</v>
      </c>
      <c r="B2587" s="1">
        <f>IFERROR(__xludf.DUMMYFUNCTION("""COMPUTED_VALUE"""),6489.0)</f>
        <v>6489</v>
      </c>
      <c r="C2587" s="2" t="str">
        <f>IFERROR(__xludf.DUMMYFUNCTION("""COMPUTED_VALUE"""),"WALIKOTA BANJARBARU")</f>
        <v>WALIKOTA BANJARBARU</v>
      </c>
      <c r="D2587" s="2" t="str">
        <f>IFERROR(__xludf.DUMMYFUNCTION("""COMPUTED_VALUE"""),"5KM OVERALL M")</f>
        <v>5KM OVERALL M</v>
      </c>
      <c r="E2587" s="1">
        <f>IFERROR(__xludf.DUMMYFUNCTION("""COMPUTED_VALUE"""),2.0)</f>
        <v>2</v>
      </c>
      <c r="F2587" s="1" t="str">
        <f>IFERROR(__xludf.DUMMYFUNCTION("""COMPUTED_VALUE"""),"Male")</f>
        <v>Male</v>
      </c>
      <c r="G2587" s="4" t="b">
        <f>IFERROR(__xludf.DUMMYFUNCTION("""COMPUTED_VALUE"""),TRUE)</f>
        <v>1</v>
      </c>
      <c r="H2587" s="4" t="b">
        <f>IFERROR(__xludf.DUMMYFUNCTION("""COMPUTED_VALUE"""),FALSE)</f>
        <v>0</v>
      </c>
      <c r="I2587" s="4">
        <f>IFERROR(__xludf.DUMMYFUNCTION("""COMPUTED_VALUE"""),0.2549440625)</f>
        <v>0.2549440625</v>
      </c>
      <c r="J2587" s="4">
        <f>IFERROR(__xludf.DUMMYFUNCTION("""COMPUTED_VALUE"""),45950.27621527778)</f>
        <v>45950.27622</v>
      </c>
      <c r="K2587" s="4" t="str">
        <f>IFERROR(__xludf.DUMMYFUNCTION("""COMPUTED_VALUE"""),"")</f>
        <v/>
      </c>
      <c r="L2587" s="4">
        <f>IFERROR(__xludf.DUMMYFUNCTION("""COMPUTED_VALUE"""),45949.29038698496)</f>
        <v>45949.29039</v>
      </c>
      <c r="M2587" s="1" t="str">
        <f>IFERROR(__xludf.DUMMYFUNCTION("""COMPUTED_VALUE"""),"RFID")</f>
        <v>RFID</v>
      </c>
      <c r="N2587" s="5">
        <f>IFERROR(__xludf.DUMMYFUNCTION("""COMPUTED_VALUE"""),0.008508486111111112)</f>
        <v>0.008508486111</v>
      </c>
      <c r="O2587" s="5" t="str">
        <f>IFERROR(__xludf.DUMMYFUNCTION("""COMPUTED_VALUE"""),"")</f>
        <v/>
      </c>
      <c r="P2587" s="5" t="str">
        <f>IFERROR(__xludf.DUMMYFUNCTION("""COMPUTED_VALUE"""),"")</f>
        <v/>
      </c>
      <c r="Q2587" s="5">
        <f>IFERROR(__xludf.DUMMYFUNCTION("""COMPUTED_VALUE"""),0.007088585648148148)</f>
        <v>0.007088585648</v>
      </c>
      <c r="R2587" s="4">
        <f>IFERROR(__xludf.DUMMYFUNCTION("""COMPUTED_VALUE"""),45949.03544292246)</f>
        <v>45949.03544</v>
      </c>
      <c r="S2587" s="1" t="b">
        <f>IFERROR(__xludf.DUMMYFUNCTION("""COMPUTED_VALUE"""),TRUE)</f>
        <v>1</v>
      </c>
      <c r="T2587" s="1" t="b">
        <f>IFERROR(__xludf.DUMMYFUNCTION("""COMPUTED_VALUE"""),FALSE)</f>
        <v>0</v>
      </c>
      <c r="U2587" s="1" t="str">
        <f>IFERROR(__xludf.DUMMYFUNCTION("""COMPUTED_VALUE"""),"VALID")</f>
        <v>VALID</v>
      </c>
      <c r="V2587" s="1">
        <f>IFERROR(__xludf.DUMMYFUNCTION("""COMPUTED_VALUE"""),572.0)</f>
        <v>572</v>
      </c>
      <c r="W2587" s="1">
        <f>IFERROR(__xludf.DUMMYFUNCTION("""COMPUTED_VALUE"""),914.0)</f>
        <v>914</v>
      </c>
      <c r="X2587" s="1">
        <f>IFERROR(__xludf.DUMMYFUNCTION("""COMPUTED_VALUE"""),747.0)</f>
        <v>747</v>
      </c>
      <c r="Y2587" s="2"/>
      <c r="Z2587" s="2" t="str">
        <f>IFERROR(__xludf.DUMMYFUNCTION("""COMPUTED_VALUE"""),"C")</f>
        <v>C</v>
      </c>
    </row>
    <row r="2588">
      <c r="A2588" s="1">
        <f>IFERROR(__xludf.DUMMYFUNCTION("""COMPUTED_VALUE"""),2587.0)</f>
        <v>2587</v>
      </c>
      <c r="B2588" s="1">
        <f>IFERROR(__xludf.DUMMYFUNCTION("""COMPUTED_VALUE"""),6490.0)</f>
        <v>6490</v>
      </c>
      <c r="C2588" s="2" t="str">
        <f>IFERROR(__xludf.DUMMYFUNCTION("""COMPUTED_VALUE"""),"WALIKOTA BANJARBARU")</f>
        <v>WALIKOTA BANJARBARU</v>
      </c>
      <c r="D2588" s="2" t="str">
        <f>IFERROR(__xludf.DUMMYFUNCTION("""COMPUTED_VALUE"""),"5KM OVERALL M")</f>
        <v>5KM OVERALL M</v>
      </c>
      <c r="E2588" s="1">
        <f>IFERROR(__xludf.DUMMYFUNCTION("""COMPUTED_VALUE"""),2.0)</f>
        <v>2</v>
      </c>
      <c r="F2588" s="1" t="str">
        <f>IFERROR(__xludf.DUMMYFUNCTION("""COMPUTED_VALUE"""),"Male")</f>
        <v>Male</v>
      </c>
      <c r="G2588" s="4" t="str">
        <f>IFERROR(__xludf.DUMMYFUNCTION("""COMPUTED_VALUE"""),"")</f>
        <v/>
      </c>
      <c r="H2588" s="4" t="b">
        <f>IFERROR(__xludf.DUMMYFUNCTION("""COMPUTED_VALUE"""),FALSE)</f>
        <v>0</v>
      </c>
      <c r="I2588" s="4">
        <f>IFERROR(__xludf.DUMMYFUNCTION("""COMPUTED_VALUE"""),0.2549440625)</f>
        <v>0.2549440625</v>
      </c>
      <c r="J2588" s="4" t="str">
        <f>IFERROR(__xludf.DUMMYFUNCTION("""COMPUTED_VALUE"""),"")</f>
        <v/>
      </c>
      <c r="K2588" s="4" t="str">
        <f>IFERROR(__xludf.DUMMYFUNCTION("""COMPUTED_VALUE"""),"")</f>
        <v/>
      </c>
      <c r="L2588" s="4" t="str">
        <f>IFERROR(__xludf.DUMMYFUNCTION("""COMPUTED_VALUE"""),"")</f>
        <v/>
      </c>
      <c r="M2588" s="1" t="str">
        <f>IFERROR(__xludf.DUMMYFUNCTION("""COMPUTED_VALUE"""),"RFID")</f>
        <v>RFID</v>
      </c>
      <c r="N2588" s="5" t="str">
        <f>IFERROR(__xludf.DUMMYFUNCTION("""COMPUTED_VALUE"""),"")</f>
        <v/>
      </c>
      <c r="O2588" s="5" t="str">
        <f>IFERROR(__xludf.DUMMYFUNCTION("""COMPUTED_VALUE"""),"")</f>
        <v/>
      </c>
      <c r="P2588" s="5" t="str">
        <f>IFERROR(__xludf.DUMMYFUNCTION("""COMPUTED_VALUE"""),"")</f>
        <v/>
      </c>
      <c r="Q2588" s="5" t="str">
        <f>IFERROR(__xludf.DUMMYFUNCTION("""COMPUTED_VALUE"""),"")</f>
        <v/>
      </c>
      <c r="R2588" s="4" t="str">
        <f>IFERROR(__xludf.DUMMYFUNCTION("""COMPUTED_VALUE"""),"")</f>
        <v/>
      </c>
      <c r="S2588" s="1" t="b">
        <f>IFERROR(__xludf.DUMMYFUNCTION("""COMPUTED_VALUE"""),FALSE)</f>
        <v>0</v>
      </c>
      <c r="T2588" s="1" t="b">
        <f>IFERROR(__xludf.DUMMYFUNCTION("""COMPUTED_VALUE"""),FALSE)</f>
        <v>0</v>
      </c>
      <c r="U2588" s="1" t="str">
        <f>IFERROR(__xludf.DUMMYFUNCTION("""COMPUTED_VALUE"""),"DSQ")</f>
        <v>DSQ</v>
      </c>
      <c r="V2588" s="1" t="str">
        <f>IFERROR(__xludf.DUMMYFUNCTION("""COMPUTED_VALUE"""),"DSQ")</f>
        <v>DSQ</v>
      </c>
      <c r="W2588" s="1" t="str">
        <f>IFERROR(__xludf.DUMMYFUNCTION("""COMPUTED_VALUE"""),"DSQ")</f>
        <v>DSQ</v>
      </c>
      <c r="X2588" s="1" t="str">
        <f>IFERROR(__xludf.DUMMYFUNCTION("""COMPUTED_VALUE"""),"DSQ")</f>
        <v>DSQ</v>
      </c>
      <c r="Y2588" s="2"/>
      <c r="Z2588" s="2" t="str">
        <f>IFERROR(__xludf.DUMMYFUNCTION("""COMPUTED_VALUE"""),"")</f>
        <v/>
      </c>
    </row>
    <row r="2589">
      <c r="A2589" s="1">
        <f>IFERROR(__xludf.DUMMYFUNCTION("""COMPUTED_VALUE"""),2588.0)</f>
        <v>2588</v>
      </c>
      <c r="B2589" s="1">
        <f>IFERROR(__xludf.DUMMYFUNCTION("""COMPUTED_VALUE"""),6491.0)</f>
        <v>6491</v>
      </c>
      <c r="C2589" s="2" t="str">
        <f>IFERROR(__xludf.DUMMYFUNCTION("""COMPUTED_VALUE"""),"WALIKOTA BANJARBARU")</f>
        <v>WALIKOTA BANJARBARU</v>
      </c>
      <c r="D2589" s="2" t="str">
        <f>IFERROR(__xludf.DUMMYFUNCTION("""COMPUTED_VALUE"""),"5KM OVERALL M")</f>
        <v>5KM OVERALL M</v>
      </c>
      <c r="E2589" s="1">
        <f>IFERROR(__xludf.DUMMYFUNCTION("""COMPUTED_VALUE"""),2.0)</f>
        <v>2</v>
      </c>
      <c r="F2589" s="1" t="str">
        <f>IFERROR(__xludf.DUMMYFUNCTION("""COMPUTED_VALUE"""),"Male")</f>
        <v>Male</v>
      </c>
      <c r="G2589" s="4" t="str">
        <f>IFERROR(__xludf.DUMMYFUNCTION("""COMPUTED_VALUE"""),"")</f>
        <v/>
      </c>
      <c r="H2589" s="4" t="b">
        <f>IFERROR(__xludf.DUMMYFUNCTION("""COMPUTED_VALUE"""),FALSE)</f>
        <v>0</v>
      </c>
      <c r="I2589" s="4">
        <f>IFERROR(__xludf.DUMMYFUNCTION("""COMPUTED_VALUE"""),0.2549440625)</f>
        <v>0.2549440625</v>
      </c>
      <c r="J2589" s="4" t="str">
        <f>IFERROR(__xludf.DUMMYFUNCTION("""COMPUTED_VALUE"""),"")</f>
        <v/>
      </c>
      <c r="K2589" s="4" t="str">
        <f>IFERROR(__xludf.DUMMYFUNCTION("""COMPUTED_VALUE"""),"")</f>
        <v/>
      </c>
      <c r="L2589" s="4" t="str">
        <f>IFERROR(__xludf.DUMMYFUNCTION("""COMPUTED_VALUE"""),"")</f>
        <v/>
      </c>
      <c r="M2589" s="1" t="str">
        <f>IFERROR(__xludf.DUMMYFUNCTION("""COMPUTED_VALUE"""),"RFID")</f>
        <v>RFID</v>
      </c>
      <c r="N2589" s="5" t="str">
        <f>IFERROR(__xludf.DUMMYFUNCTION("""COMPUTED_VALUE"""),"")</f>
        <v/>
      </c>
      <c r="O2589" s="5" t="str">
        <f>IFERROR(__xludf.DUMMYFUNCTION("""COMPUTED_VALUE"""),"")</f>
        <v/>
      </c>
      <c r="P2589" s="5" t="str">
        <f>IFERROR(__xludf.DUMMYFUNCTION("""COMPUTED_VALUE"""),"")</f>
        <v/>
      </c>
      <c r="Q2589" s="5" t="str">
        <f>IFERROR(__xludf.DUMMYFUNCTION("""COMPUTED_VALUE"""),"")</f>
        <v/>
      </c>
      <c r="R2589" s="4" t="str">
        <f>IFERROR(__xludf.DUMMYFUNCTION("""COMPUTED_VALUE"""),"")</f>
        <v/>
      </c>
      <c r="S2589" s="1" t="b">
        <f>IFERROR(__xludf.DUMMYFUNCTION("""COMPUTED_VALUE"""),FALSE)</f>
        <v>0</v>
      </c>
      <c r="T2589" s="1" t="b">
        <f>IFERROR(__xludf.DUMMYFUNCTION("""COMPUTED_VALUE"""),FALSE)</f>
        <v>0</v>
      </c>
      <c r="U2589" s="1" t="str">
        <f>IFERROR(__xludf.DUMMYFUNCTION("""COMPUTED_VALUE"""),"DSQ")</f>
        <v>DSQ</v>
      </c>
      <c r="V2589" s="1" t="str">
        <f>IFERROR(__xludf.DUMMYFUNCTION("""COMPUTED_VALUE"""),"DSQ")</f>
        <v>DSQ</v>
      </c>
      <c r="W2589" s="1" t="str">
        <f>IFERROR(__xludf.DUMMYFUNCTION("""COMPUTED_VALUE"""),"DSQ")</f>
        <v>DSQ</v>
      </c>
      <c r="X2589" s="1" t="str">
        <f>IFERROR(__xludf.DUMMYFUNCTION("""COMPUTED_VALUE"""),"DSQ")</f>
        <v>DSQ</v>
      </c>
      <c r="Y2589" s="2"/>
      <c r="Z2589" s="2" t="str">
        <f>IFERROR(__xludf.DUMMYFUNCTION("""COMPUTED_VALUE"""),"")</f>
        <v/>
      </c>
    </row>
    <row r="2590">
      <c r="A2590" s="1">
        <f>IFERROR(__xludf.DUMMYFUNCTION("""COMPUTED_VALUE"""),2589.0)</f>
        <v>2589</v>
      </c>
      <c r="B2590" s="1">
        <f>IFERROR(__xludf.DUMMYFUNCTION("""COMPUTED_VALUE"""),6492.0)</f>
        <v>6492</v>
      </c>
      <c r="C2590" s="2" t="str">
        <f>IFERROR(__xludf.DUMMYFUNCTION("""COMPUTED_VALUE"""),"WALIKOTA BANJARBARU")</f>
        <v>WALIKOTA BANJARBARU</v>
      </c>
      <c r="D2590" s="2" t="str">
        <f>IFERROR(__xludf.DUMMYFUNCTION("""COMPUTED_VALUE"""),"5KM OVERALL M")</f>
        <v>5KM OVERALL M</v>
      </c>
      <c r="E2590" s="1">
        <f>IFERROR(__xludf.DUMMYFUNCTION("""COMPUTED_VALUE"""),2.0)</f>
        <v>2</v>
      </c>
      <c r="F2590" s="1" t="str">
        <f>IFERROR(__xludf.DUMMYFUNCTION("""COMPUTED_VALUE"""),"Male")</f>
        <v>Male</v>
      </c>
      <c r="G2590" s="4" t="b">
        <f>IFERROR(__xludf.DUMMYFUNCTION("""COMPUTED_VALUE"""),TRUE)</f>
        <v>1</v>
      </c>
      <c r="H2590" s="4" t="b">
        <f>IFERROR(__xludf.DUMMYFUNCTION("""COMPUTED_VALUE"""),FALSE)</f>
        <v>0</v>
      </c>
      <c r="I2590" s="4">
        <f>IFERROR(__xludf.DUMMYFUNCTION("""COMPUTED_VALUE"""),0.2549440625)</f>
        <v>0.2549440625</v>
      </c>
      <c r="J2590" s="4">
        <f>IFERROR(__xludf.DUMMYFUNCTION("""COMPUTED_VALUE"""),45950.2762037037)</f>
        <v>45950.2762</v>
      </c>
      <c r="K2590" s="4" t="str">
        <f>IFERROR(__xludf.DUMMYFUNCTION("""COMPUTED_VALUE"""),"")</f>
        <v/>
      </c>
      <c r="L2590" s="4">
        <f>IFERROR(__xludf.DUMMYFUNCTION("""COMPUTED_VALUE"""),45949.29037656084)</f>
        <v>45949.29038</v>
      </c>
      <c r="M2590" s="1" t="str">
        <f>IFERROR(__xludf.DUMMYFUNCTION("""COMPUTED_VALUE"""),"RFID")</f>
        <v>RFID</v>
      </c>
      <c r="N2590" s="5">
        <f>IFERROR(__xludf.DUMMYFUNCTION("""COMPUTED_VALUE"""),0.008503856481481482)</f>
        <v>0.008503856481</v>
      </c>
      <c r="O2590" s="5" t="str">
        <f>IFERROR(__xludf.DUMMYFUNCTION("""COMPUTED_VALUE"""),"")</f>
        <v/>
      </c>
      <c r="P2590" s="5" t="str">
        <f>IFERROR(__xludf.DUMMYFUNCTION("""COMPUTED_VALUE"""),"")</f>
        <v/>
      </c>
      <c r="Q2590" s="5">
        <f>IFERROR(__xludf.DUMMYFUNCTION("""COMPUTED_VALUE"""),0.0070865)</f>
        <v>0.0070865</v>
      </c>
      <c r="R2590" s="4">
        <f>IFERROR(__xludf.DUMMYFUNCTION("""COMPUTED_VALUE"""),45949.03543249834)</f>
        <v>45949.03543</v>
      </c>
      <c r="S2590" s="1" t="b">
        <f>IFERROR(__xludf.DUMMYFUNCTION("""COMPUTED_VALUE"""),TRUE)</f>
        <v>1</v>
      </c>
      <c r="T2590" s="1" t="b">
        <f>IFERROR(__xludf.DUMMYFUNCTION("""COMPUTED_VALUE"""),FALSE)</f>
        <v>0</v>
      </c>
      <c r="U2590" s="1" t="str">
        <f>IFERROR(__xludf.DUMMYFUNCTION("""COMPUTED_VALUE"""),"VALID")</f>
        <v>VALID</v>
      </c>
      <c r="V2590" s="1">
        <f>IFERROR(__xludf.DUMMYFUNCTION("""COMPUTED_VALUE"""),571.0)</f>
        <v>571</v>
      </c>
      <c r="W2590" s="1">
        <f>IFERROR(__xludf.DUMMYFUNCTION("""COMPUTED_VALUE"""),913.0)</f>
        <v>913</v>
      </c>
      <c r="X2590" s="1">
        <f>IFERROR(__xludf.DUMMYFUNCTION("""COMPUTED_VALUE"""),746.0)</f>
        <v>746</v>
      </c>
      <c r="Y2590" s="2"/>
      <c r="Z2590" s="2" t="str">
        <f>IFERROR(__xludf.DUMMYFUNCTION("""COMPUTED_VALUE"""),"C")</f>
        <v>C</v>
      </c>
    </row>
    <row r="2591">
      <c r="A2591" s="1">
        <f>IFERROR(__xludf.DUMMYFUNCTION("""COMPUTED_VALUE"""),2590.0)</f>
        <v>2590</v>
      </c>
      <c r="B2591" s="1">
        <f>IFERROR(__xludf.DUMMYFUNCTION("""COMPUTED_VALUE"""),6493.0)</f>
        <v>6493</v>
      </c>
      <c r="C2591" s="2" t="str">
        <f>IFERROR(__xludf.DUMMYFUNCTION("""COMPUTED_VALUE"""),"BPBD PROVINSI KALSEL")</f>
        <v>BPBD PROVINSI KALSEL</v>
      </c>
      <c r="D2591" s="2" t="str">
        <f>IFERROR(__xludf.DUMMYFUNCTION("""COMPUTED_VALUE"""),"5KM OVERALL M")</f>
        <v>5KM OVERALL M</v>
      </c>
      <c r="E2591" s="1">
        <f>IFERROR(__xludf.DUMMYFUNCTION("""COMPUTED_VALUE"""),2.0)</f>
        <v>2</v>
      </c>
      <c r="F2591" s="1" t="str">
        <f>IFERROR(__xludf.DUMMYFUNCTION("""COMPUTED_VALUE"""),"Male")</f>
        <v>Male</v>
      </c>
      <c r="G2591" s="4" t="str">
        <f>IFERROR(__xludf.DUMMYFUNCTION("""COMPUTED_VALUE"""),"")</f>
        <v/>
      </c>
      <c r="H2591" s="4" t="b">
        <f>IFERROR(__xludf.DUMMYFUNCTION("""COMPUTED_VALUE"""),FALSE)</f>
        <v>0</v>
      </c>
      <c r="I2591" s="4">
        <f>IFERROR(__xludf.DUMMYFUNCTION("""COMPUTED_VALUE"""),0.2549440625)</f>
        <v>0.2549440625</v>
      </c>
      <c r="J2591" s="4" t="str">
        <f>IFERROR(__xludf.DUMMYFUNCTION("""COMPUTED_VALUE"""),"")</f>
        <v/>
      </c>
      <c r="K2591" s="4" t="str">
        <f>IFERROR(__xludf.DUMMYFUNCTION("""COMPUTED_VALUE"""),"")</f>
        <v/>
      </c>
      <c r="L2591" s="4" t="str">
        <f>IFERROR(__xludf.DUMMYFUNCTION("""COMPUTED_VALUE"""),"")</f>
        <v/>
      </c>
      <c r="M2591" s="1" t="str">
        <f>IFERROR(__xludf.DUMMYFUNCTION("""COMPUTED_VALUE"""),"RFID")</f>
        <v>RFID</v>
      </c>
      <c r="N2591" s="5" t="str">
        <f>IFERROR(__xludf.DUMMYFUNCTION("""COMPUTED_VALUE"""),"")</f>
        <v/>
      </c>
      <c r="O2591" s="5" t="str">
        <f>IFERROR(__xludf.DUMMYFUNCTION("""COMPUTED_VALUE"""),"")</f>
        <v/>
      </c>
      <c r="P2591" s="5" t="str">
        <f>IFERROR(__xludf.DUMMYFUNCTION("""COMPUTED_VALUE"""),"")</f>
        <v/>
      </c>
      <c r="Q2591" s="5" t="str">
        <f>IFERROR(__xludf.DUMMYFUNCTION("""COMPUTED_VALUE"""),"")</f>
        <v/>
      </c>
      <c r="R2591" s="4" t="str">
        <f>IFERROR(__xludf.DUMMYFUNCTION("""COMPUTED_VALUE"""),"")</f>
        <v/>
      </c>
      <c r="S2591" s="1" t="b">
        <f>IFERROR(__xludf.DUMMYFUNCTION("""COMPUTED_VALUE"""),FALSE)</f>
        <v>0</v>
      </c>
      <c r="T2591" s="1" t="b">
        <f>IFERROR(__xludf.DUMMYFUNCTION("""COMPUTED_VALUE"""),FALSE)</f>
        <v>0</v>
      </c>
      <c r="U2591" s="1" t="str">
        <f>IFERROR(__xludf.DUMMYFUNCTION("""COMPUTED_VALUE"""),"DSQ")</f>
        <v>DSQ</v>
      </c>
      <c r="V2591" s="1" t="str">
        <f>IFERROR(__xludf.DUMMYFUNCTION("""COMPUTED_VALUE"""),"DSQ")</f>
        <v>DSQ</v>
      </c>
      <c r="W2591" s="1" t="str">
        <f>IFERROR(__xludf.DUMMYFUNCTION("""COMPUTED_VALUE"""),"DSQ")</f>
        <v>DSQ</v>
      </c>
      <c r="X2591" s="1" t="str">
        <f>IFERROR(__xludf.DUMMYFUNCTION("""COMPUTED_VALUE"""),"DSQ")</f>
        <v>DSQ</v>
      </c>
      <c r="Y2591" s="2"/>
      <c r="Z2591" s="2" t="str">
        <f>IFERROR(__xludf.DUMMYFUNCTION("""COMPUTED_VALUE"""),"")</f>
        <v/>
      </c>
    </row>
    <row r="2592">
      <c r="A2592" s="1">
        <f>IFERROR(__xludf.DUMMYFUNCTION("""COMPUTED_VALUE"""),2591.0)</f>
        <v>2591</v>
      </c>
      <c r="B2592" s="1">
        <f>IFERROR(__xludf.DUMMYFUNCTION("""COMPUTED_VALUE"""),6494.0)</f>
        <v>6494</v>
      </c>
      <c r="C2592" s="2" t="str">
        <f>IFERROR(__xludf.DUMMYFUNCTION("""COMPUTED_VALUE"""),"BPBD PROVINSI KALSEL")</f>
        <v>BPBD PROVINSI KALSEL</v>
      </c>
      <c r="D2592" s="2" t="str">
        <f>IFERROR(__xludf.DUMMYFUNCTION("""COMPUTED_VALUE"""),"5KM OVERALL M")</f>
        <v>5KM OVERALL M</v>
      </c>
      <c r="E2592" s="1">
        <f>IFERROR(__xludf.DUMMYFUNCTION("""COMPUTED_VALUE"""),2.0)</f>
        <v>2</v>
      </c>
      <c r="F2592" s="1" t="str">
        <f>IFERROR(__xludf.DUMMYFUNCTION("""COMPUTED_VALUE"""),"Male")</f>
        <v>Male</v>
      </c>
      <c r="G2592" s="4" t="b">
        <f>IFERROR(__xludf.DUMMYFUNCTION("""COMPUTED_VALUE"""),TRUE)</f>
        <v>1</v>
      </c>
      <c r="H2592" s="4" t="b">
        <f>IFERROR(__xludf.DUMMYFUNCTION("""COMPUTED_VALUE"""),TRUE)</f>
        <v>1</v>
      </c>
      <c r="I2592" s="4">
        <f>IFERROR(__xludf.DUMMYFUNCTION("""COMPUTED_VALUE"""),0.2549440625)</f>
        <v>0.2549440625</v>
      </c>
      <c r="J2592" s="4">
        <f>IFERROR(__xludf.DUMMYFUNCTION("""COMPUTED_VALUE"""),45949.270689913974)</f>
        <v>45949.27069</v>
      </c>
      <c r="K2592" s="4" t="str">
        <f>IFERROR(__xludf.DUMMYFUNCTION("""COMPUTED_VALUE"""),"")</f>
        <v/>
      </c>
      <c r="L2592" s="4">
        <f>IFERROR(__xludf.DUMMYFUNCTION("""COMPUTED_VALUE"""),45949.2844078211)</f>
        <v>45949.28441</v>
      </c>
      <c r="M2592" s="1" t="str">
        <f>IFERROR(__xludf.DUMMYFUNCTION("""COMPUTED_VALUE"""),"RFID")</f>
        <v>RFID</v>
      </c>
      <c r="N2592" s="5">
        <f>IFERROR(__xludf.DUMMYFUNCTION("""COMPUTED_VALUE"""),0.006298342592592593)</f>
        <v>0.006298342593</v>
      </c>
      <c r="O2592" s="5" t="str">
        <f>IFERROR(__xludf.DUMMYFUNCTION("""COMPUTED_VALUE"""),"")</f>
        <v/>
      </c>
      <c r="P2592" s="5" t="str">
        <f>IFERROR(__xludf.DUMMYFUNCTION("""COMPUTED_VALUE"""),"")</f>
        <v/>
      </c>
      <c r="Q2592" s="5">
        <f>IFERROR(__xludf.DUMMYFUNCTION("""COMPUTED_VALUE"""),0.005892752314814814)</f>
        <v>0.005892752315</v>
      </c>
      <c r="R2592" s="4">
        <f>IFERROR(__xludf.DUMMYFUNCTION("""COMPUTED_VALUE"""),45949.0294637586)</f>
        <v>45949.02946</v>
      </c>
      <c r="S2592" s="1" t="b">
        <f>IFERROR(__xludf.DUMMYFUNCTION("""COMPUTED_VALUE"""),TRUE)</f>
        <v>1</v>
      </c>
      <c r="T2592" s="1" t="b">
        <f>IFERROR(__xludf.DUMMYFUNCTION("""COMPUTED_VALUE"""),FALSE)</f>
        <v>0</v>
      </c>
      <c r="U2592" s="1" t="str">
        <f>IFERROR(__xludf.DUMMYFUNCTION("""COMPUTED_VALUE"""),"VALID")</f>
        <v>VALID</v>
      </c>
      <c r="V2592" s="1">
        <f>IFERROR(__xludf.DUMMYFUNCTION("""COMPUTED_VALUE"""),356.0)</f>
        <v>356</v>
      </c>
      <c r="W2592" s="1">
        <f>IFERROR(__xludf.DUMMYFUNCTION("""COMPUTED_VALUE"""),535.0)</f>
        <v>535</v>
      </c>
      <c r="X2592" s="1">
        <f>IFERROR(__xludf.DUMMYFUNCTION("""COMPUTED_VALUE"""),459.0)</f>
        <v>459</v>
      </c>
      <c r="Y2592" s="2"/>
      <c r="Z2592" s="2"/>
    </row>
    <row r="2593">
      <c r="A2593" s="1">
        <f>IFERROR(__xludf.DUMMYFUNCTION("""COMPUTED_VALUE"""),2592.0)</f>
        <v>2592</v>
      </c>
      <c r="B2593" s="1">
        <f>IFERROR(__xludf.DUMMYFUNCTION("""COMPUTED_VALUE"""),6495.0)</f>
        <v>6495</v>
      </c>
      <c r="C2593" s="2" t="str">
        <f>IFERROR(__xludf.DUMMYFUNCTION("""COMPUTED_VALUE"""),"OMBUDSMAN KALSEL")</f>
        <v>OMBUDSMAN KALSEL</v>
      </c>
      <c r="D2593" s="2" t="str">
        <f>IFERROR(__xludf.DUMMYFUNCTION("""COMPUTED_VALUE"""),"5KM OVERALL M")</f>
        <v>5KM OVERALL M</v>
      </c>
      <c r="E2593" s="1">
        <f>IFERROR(__xludf.DUMMYFUNCTION("""COMPUTED_VALUE"""),2.0)</f>
        <v>2</v>
      </c>
      <c r="F2593" s="1" t="str">
        <f>IFERROR(__xludf.DUMMYFUNCTION("""COMPUTED_VALUE"""),"Male")</f>
        <v>Male</v>
      </c>
      <c r="G2593" s="4" t="str">
        <f>IFERROR(__xludf.DUMMYFUNCTION("""COMPUTED_VALUE"""),"")</f>
        <v/>
      </c>
      <c r="H2593" s="4" t="b">
        <f>IFERROR(__xludf.DUMMYFUNCTION("""COMPUTED_VALUE"""),FALSE)</f>
        <v>0</v>
      </c>
      <c r="I2593" s="4">
        <f>IFERROR(__xludf.DUMMYFUNCTION("""COMPUTED_VALUE"""),0.2549440625)</f>
        <v>0.2549440625</v>
      </c>
      <c r="J2593" s="4" t="str">
        <f>IFERROR(__xludf.DUMMYFUNCTION("""COMPUTED_VALUE"""),"")</f>
        <v/>
      </c>
      <c r="K2593" s="4" t="str">
        <f>IFERROR(__xludf.DUMMYFUNCTION("""COMPUTED_VALUE"""),"")</f>
        <v/>
      </c>
      <c r="L2593" s="4">
        <f>IFERROR(__xludf.DUMMYFUNCTION("""COMPUTED_VALUE"""),45949.28298421265)</f>
        <v>45949.28298</v>
      </c>
      <c r="M2593" s="1" t="str">
        <f>IFERROR(__xludf.DUMMYFUNCTION("""COMPUTED_VALUE"""),"RFID")</f>
        <v>RFID</v>
      </c>
      <c r="N2593" s="5" t="str">
        <f>IFERROR(__xludf.DUMMYFUNCTION("""COMPUTED_VALUE"""),"")</f>
        <v/>
      </c>
      <c r="O2593" s="5" t="str">
        <f>IFERROR(__xludf.DUMMYFUNCTION("""COMPUTED_VALUE"""),"")</f>
        <v/>
      </c>
      <c r="P2593" s="5" t="str">
        <f>IFERROR(__xludf.DUMMYFUNCTION("""COMPUTED_VALUE"""),"")</f>
        <v/>
      </c>
      <c r="Q2593" s="5">
        <f>IFERROR(__xludf.DUMMYFUNCTION("""COMPUTED_VALUE"""),0.005608030092592592)</f>
        <v>0.005608030093</v>
      </c>
      <c r="R2593" s="4">
        <f>IFERROR(__xludf.DUMMYFUNCTION("""COMPUTED_VALUE"""),45949.02804015015)</f>
        <v>45949.02804</v>
      </c>
      <c r="S2593" s="1" t="b">
        <f>IFERROR(__xludf.DUMMYFUNCTION("""COMPUTED_VALUE"""),FALSE)</f>
        <v>0</v>
      </c>
      <c r="T2593" s="1" t="b">
        <f>IFERROR(__xludf.DUMMYFUNCTION("""COMPUTED_VALUE"""),FALSE)</f>
        <v>0</v>
      </c>
      <c r="U2593" s="1" t="str">
        <f>IFERROR(__xludf.DUMMYFUNCTION("""COMPUTED_VALUE"""),"DSQ")</f>
        <v>DSQ</v>
      </c>
      <c r="V2593" s="1" t="str">
        <f>IFERROR(__xludf.DUMMYFUNCTION("""COMPUTED_VALUE"""),"DSQ")</f>
        <v>DSQ</v>
      </c>
      <c r="W2593" s="1" t="str">
        <f>IFERROR(__xludf.DUMMYFUNCTION("""COMPUTED_VALUE"""),"DSQ")</f>
        <v>DSQ</v>
      </c>
      <c r="X2593" s="1" t="str">
        <f>IFERROR(__xludf.DUMMYFUNCTION("""COMPUTED_VALUE"""),"DSQ")</f>
        <v>DSQ</v>
      </c>
      <c r="Y2593" s="2"/>
      <c r="Z2593" s="2" t="str">
        <f>IFERROR(__xludf.DUMMYFUNCTION("""COMPUTED_VALUE"""),"")</f>
        <v/>
      </c>
    </row>
    <row r="2594">
      <c r="A2594" s="1">
        <f>IFERROR(__xludf.DUMMYFUNCTION("""COMPUTED_VALUE"""),2593.0)</f>
        <v>2593</v>
      </c>
      <c r="B2594" s="1">
        <f>IFERROR(__xludf.DUMMYFUNCTION("""COMPUTED_VALUE"""),6496.0)</f>
        <v>6496</v>
      </c>
      <c r="C2594" s="2" t="str">
        <f>IFERROR(__xludf.DUMMYFUNCTION("""COMPUTED_VALUE"""),"OMBUDSMAN KALSEL")</f>
        <v>OMBUDSMAN KALSEL</v>
      </c>
      <c r="D2594" s="2" t="str">
        <f>IFERROR(__xludf.DUMMYFUNCTION("""COMPUTED_VALUE"""),"5KM OVERALL M")</f>
        <v>5KM OVERALL M</v>
      </c>
      <c r="E2594" s="1">
        <f>IFERROR(__xludf.DUMMYFUNCTION("""COMPUTED_VALUE"""),2.0)</f>
        <v>2</v>
      </c>
      <c r="F2594" s="1" t="str">
        <f>IFERROR(__xludf.DUMMYFUNCTION("""COMPUTED_VALUE"""),"Male")</f>
        <v>Male</v>
      </c>
      <c r="G2594" s="4" t="str">
        <f>IFERROR(__xludf.DUMMYFUNCTION("""COMPUTED_VALUE"""),"")</f>
        <v/>
      </c>
      <c r="H2594" s="4" t="b">
        <f>IFERROR(__xludf.DUMMYFUNCTION("""COMPUTED_VALUE"""),FALSE)</f>
        <v>0</v>
      </c>
      <c r="I2594" s="4">
        <f>IFERROR(__xludf.DUMMYFUNCTION("""COMPUTED_VALUE"""),0.2549440625)</f>
        <v>0.2549440625</v>
      </c>
      <c r="J2594" s="4" t="str">
        <f>IFERROR(__xludf.DUMMYFUNCTION("""COMPUTED_VALUE"""),"")</f>
        <v/>
      </c>
      <c r="K2594" s="4" t="str">
        <f>IFERROR(__xludf.DUMMYFUNCTION("""COMPUTED_VALUE"""),"")</f>
        <v/>
      </c>
      <c r="L2594" s="4" t="str">
        <f>IFERROR(__xludf.DUMMYFUNCTION("""COMPUTED_VALUE"""),"")</f>
        <v/>
      </c>
      <c r="M2594" s="1" t="str">
        <f>IFERROR(__xludf.DUMMYFUNCTION("""COMPUTED_VALUE"""),"RFID")</f>
        <v>RFID</v>
      </c>
      <c r="N2594" s="5" t="str">
        <f>IFERROR(__xludf.DUMMYFUNCTION("""COMPUTED_VALUE"""),"")</f>
        <v/>
      </c>
      <c r="O2594" s="5" t="str">
        <f>IFERROR(__xludf.DUMMYFUNCTION("""COMPUTED_VALUE"""),"")</f>
        <v/>
      </c>
      <c r="P2594" s="5" t="str">
        <f>IFERROR(__xludf.DUMMYFUNCTION("""COMPUTED_VALUE"""),"")</f>
        <v/>
      </c>
      <c r="Q2594" s="5" t="str">
        <f>IFERROR(__xludf.DUMMYFUNCTION("""COMPUTED_VALUE"""),"")</f>
        <v/>
      </c>
      <c r="R2594" s="4" t="str">
        <f>IFERROR(__xludf.DUMMYFUNCTION("""COMPUTED_VALUE"""),"")</f>
        <v/>
      </c>
      <c r="S2594" s="1" t="b">
        <f>IFERROR(__xludf.DUMMYFUNCTION("""COMPUTED_VALUE"""),FALSE)</f>
        <v>0</v>
      </c>
      <c r="T2594" s="1" t="b">
        <f>IFERROR(__xludf.DUMMYFUNCTION("""COMPUTED_VALUE"""),FALSE)</f>
        <v>0</v>
      </c>
      <c r="U2594" s="1" t="str">
        <f>IFERROR(__xludf.DUMMYFUNCTION("""COMPUTED_VALUE"""),"DSQ")</f>
        <v>DSQ</v>
      </c>
      <c r="V2594" s="1" t="str">
        <f>IFERROR(__xludf.DUMMYFUNCTION("""COMPUTED_VALUE"""),"DSQ")</f>
        <v>DSQ</v>
      </c>
      <c r="W2594" s="1" t="str">
        <f>IFERROR(__xludf.DUMMYFUNCTION("""COMPUTED_VALUE"""),"DSQ")</f>
        <v>DSQ</v>
      </c>
      <c r="X2594" s="1" t="str">
        <f>IFERROR(__xludf.DUMMYFUNCTION("""COMPUTED_VALUE"""),"DSQ")</f>
        <v>DSQ</v>
      </c>
      <c r="Y2594" s="2"/>
      <c r="Z2594" s="2" t="str">
        <f>IFERROR(__xludf.DUMMYFUNCTION("""COMPUTED_VALUE"""),"")</f>
        <v/>
      </c>
    </row>
    <row r="2595">
      <c r="A2595" s="1">
        <f>IFERROR(__xludf.DUMMYFUNCTION("""COMPUTED_VALUE"""),2594.0)</f>
        <v>2594</v>
      </c>
      <c r="B2595" s="1">
        <f>IFERROR(__xludf.DUMMYFUNCTION("""COMPUTED_VALUE"""),6497.0)</f>
        <v>6497</v>
      </c>
      <c r="C2595" s="2" t="str">
        <f>IFERROR(__xludf.DUMMYFUNCTION("""COMPUTED_VALUE"""),"KEJARI BANJARBARU")</f>
        <v>KEJARI BANJARBARU</v>
      </c>
      <c r="D2595" s="2" t="str">
        <f>IFERROR(__xludf.DUMMYFUNCTION("""COMPUTED_VALUE"""),"5KM OVERALL M")</f>
        <v>5KM OVERALL M</v>
      </c>
      <c r="E2595" s="1">
        <f>IFERROR(__xludf.DUMMYFUNCTION("""COMPUTED_VALUE"""),2.0)</f>
        <v>2</v>
      </c>
      <c r="F2595" s="1" t="str">
        <f>IFERROR(__xludf.DUMMYFUNCTION("""COMPUTED_VALUE"""),"Male")</f>
        <v>Male</v>
      </c>
      <c r="G2595" s="4" t="b">
        <f>IFERROR(__xludf.DUMMYFUNCTION("""COMPUTED_VALUE"""),TRUE)</f>
        <v>1</v>
      </c>
      <c r="H2595" s="4" t="b">
        <f>IFERROR(__xludf.DUMMYFUNCTION("""COMPUTED_VALUE"""),TRUE)</f>
        <v>1</v>
      </c>
      <c r="I2595" s="4">
        <f>IFERROR(__xludf.DUMMYFUNCTION("""COMPUTED_VALUE"""),0.2549440625)</f>
        <v>0.2549440625</v>
      </c>
      <c r="J2595" s="4">
        <f>IFERROR(__xludf.DUMMYFUNCTION("""COMPUTED_VALUE"""),45949.26930446758)</f>
        <v>45949.2693</v>
      </c>
      <c r="K2595" s="4" t="str">
        <f>IFERROR(__xludf.DUMMYFUNCTION("""COMPUTED_VALUE"""),"")</f>
        <v/>
      </c>
      <c r="L2595" s="4">
        <f>IFERROR(__xludf.DUMMYFUNCTION("""COMPUTED_VALUE"""),45949.280616148266)</f>
        <v>45949.28062</v>
      </c>
      <c r="M2595" s="1" t="str">
        <f>IFERROR(__xludf.DUMMYFUNCTION("""COMPUTED_VALUE"""),"RFID")</f>
        <v>RFID</v>
      </c>
      <c r="N2595" s="5">
        <f>IFERROR(__xludf.DUMMYFUNCTION("""COMPUTED_VALUE"""),0.005744162037037037)</f>
        <v>0.005744162037</v>
      </c>
      <c r="O2595" s="5" t="str">
        <f>IFERROR(__xludf.DUMMYFUNCTION("""COMPUTED_VALUE"""),"")</f>
        <v/>
      </c>
      <c r="P2595" s="5" t="str">
        <f>IFERROR(__xludf.DUMMYFUNCTION("""COMPUTED_VALUE"""),"")</f>
        <v/>
      </c>
      <c r="Q2595" s="5">
        <f>IFERROR(__xludf.DUMMYFUNCTION("""COMPUTED_VALUE"""),0.005134416666666667)</f>
        <v>0.005134416667</v>
      </c>
      <c r="R2595" s="4">
        <f>IFERROR(__xludf.DUMMYFUNCTION("""COMPUTED_VALUE"""),45949.025672085765)</f>
        <v>45949.02567</v>
      </c>
      <c r="S2595" s="1" t="b">
        <f>IFERROR(__xludf.DUMMYFUNCTION("""COMPUTED_VALUE"""),TRUE)</f>
        <v>1</v>
      </c>
      <c r="T2595" s="1" t="b">
        <f>IFERROR(__xludf.DUMMYFUNCTION("""COMPUTED_VALUE"""),FALSE)</f>
        <v>0</v>
      </c>
      <c r="U2595" s="1" t="str">
        <f>IFERROR(__xludf.DUMMYFUNCTION("""COMPUTED_VALUE"""),"VALID")</f>
        <v>VALID</v>
      </c>
      <c r="V2595" s="1">
        <f>IFERROR(__xludf.DUMMYFUNCTION("""COMPUTED_VALUE"""),206.0)</f>
        <v>206</v>
      </c>
      <c r="W2595" s="1">
        <f>IFERROR(__xludf.DUMMYFUNCTION("""COMPUTED_VALUE"""),321.0)</f>
        <v>321</v>
      </c>
      <c r="X2595" s="1">
        <f>IFERROR(__xludf.DUMMYFUNCTION("""COMPUTED_VALUE"""),281.0)</f>
        <v>281</v>
      </c>
      <c r="Y2595" s="2"/>
      <c r="Z2595" s="2"/>
    </row>
    <row r="2596">
      <c r="A2596" s="1">
        <f>IFERROR(__xludf.DUMMYFUNCTION("""COMPUTED_VALUE"""),2595.0)</f>
        <v>2595</v>
      </c>
      <c r="B2596" s="1">
        <f>IFERROR(__xludf.DUMMYFUNCTION("""COMPUTED_VALUE"""),6498.0)</f>
        <v>6498</v>
      </c>
      <c r="C2596" s="2" t="str">
        <f>IFERROR(__xludf.DUMMYFUNCTION("""COMPUTED_VALUE"""),"KEJARI BANJARBARU")</f>
        <v>KEJARI BANJARBARU</v>
      </c>
      <c r="D2596" s="2" t="str">
        <f>IFERROR(__xludf.DUMMYFUNCTION("""COMPUTED_VALUE"""),"5KM OVERALL M")</f>
        <v>5KM OVERALL M</v>
      </c>
      <c r="E2596" s="1">
        <f>IFERROR(__xludf.DUMMYFUNCTION("""COMPUTED_VALUE"""),2.0)</f>
        <v>2</v>
      </c>
      <c r="F2596" s="1" t="str">
        <f>IFERROR(__xludf.DUMMYFUNCTION("""COMPUTED_VALUE"""),"Male")</f>
        <v>Male</v>
      </c>
      <c r="G2596" s="4" t="b">
        <f>IFERROR(__xludf.DUMMYFUNCTION("""COMPUTED_VALUE"""),TRUE)</f>
        <v>1</v>
      </c>
      <c r="H2596" s="4" t="b">
        <f>IFERROR(__xludf.DUMMYFUNCTION("""COMPUTED_VALUE"""),FALSE)</f>
        <v>0</v>
      </c>
      <c r="I2596" s="4">
        <f>IFERROR(__xludf.DUMMYFUNCTION("""COMPUTED_VALUE"""),0.2549440625)</f>
        <v>0.2549440625</v>
      </c>
      <c r="J2596" s="4">
        <f>IFERROR(__xludf.DUMMYFUNCTION("""COMPUTED_VALUE"""),45949.26832882853)</f>
        <v>45949.26833</v>
      </c>
      <c r="K2596" s="4" t="str">
        <f>IFERROR(__xludf.DUMMYFUNCTION("""COMPUTED_VALUE"""),"")</f>
        <v/>
      </c>
      <c r="L2596" s="4">
        <f>IFERROR(__xludf.DUMMYFUNCTION("""COMPUTED_VALUE"""),45949.27646990741)</f>
        <v>45949.27647</v>
      </c>
      <c r="M2596" s="1" t="str">
        <f>IFERROR(__xludf.DUMMYFUNCTION("""COMPUTED_VALUE"""),"RFID")</f>
        <v>RFID</v>
      </c>
      <c r="N2596" s="5">
        <f>IFERROR(__xludf.DUMMYFUNCTION("""COMPUTED_VALUE"""),0.005353907407407407)</f>
        <v>0.005353907407</v>
      </c>
      <c r="O2596" s="5" t="str">
        <f>IFERROR(__xludf.DUMMYFUNCTION("""COMPUTED_VALUE"""),"")</f>
        <v/>
      </c>
      <c r="P2596" s="5" t="str">
        <f>IFERROR(__xludf.DUMMYFUNCTION("""COMPUTED_VALUE"""),"")</f>
        <v/>
      </c>
      <c r="Q2596" s="5">
        <f>IFERROR(__xludf.DUMMYFUNCTION("""COMPUTED_VALUE"""),0.004305168981481482)</f>
        <v>0.004305168981</v>
      </c>
      <c r="R2596" s="4">
        <f>IFERROR(__xludf.DUMMYFUNCTION("""COMPUTED_VALUE"""),45949.02152584491)</f>
        <v>45949.02153</v>
      </c>
      <c r="S2596" s="1" t="b">
        <f>IFERROR(__xludf.DUMMYFUNCTION("""COMPUTED_VALUE"""),TRUE)</f>
        <v>1</v>
      </c>
      <c r="T2596" s="1" t="b">
        <f>IFERROR(__xludf.DUMMYFUNCTION("""COMPUTED_VALUE"""),FALSE)</f>
        <v>0</v>
      </c>
      <c r="U2596" s="1" t="str">
        <f>IFERROR(__xludf.DUMMYFUNCTION("""COMPUTED_VALUE"""),"VALID")</f>
        <v>VALID</v>
      </c>
      <c r="V2596" s="1">
        <f>IFERROR(__xludf.DUMMYFUNCTION("""COMPUTED_VALUE"""),104.0)</f>
        <v>104</v>
      </c>
      <c r="W2596" s="1">
        <f>IFERROR(__xludf.DUMMYFUNCTION("""COMPUTED_VALUE"""),161.0)</f>
        <v>161</v>
      </c>
      <c r="X2596" s="1">
        <f>IFERROR(__xludf.DUMMYFUNCTION("""COMPUTED_VALUE"""),142.0)</f>
        <v>142</v>
      </c>
      <c r="Y2596" s="2"/>
      <c r="Z2596" s="2"/>
    </row>
    <row r="2597">
      <c r="A2597" s="1">
        <f>IFERROR(__xludf.DUMMYFUNCTION("""COMPUTED_VALUE"""),2596.0)</f>
        <v>2596</v>
      </c>
      <c r="B2597" s="1">
        <f>IFERROR(__xludf.DUMMYFUNCTION("""COMPUTED_VALUE"""),6499.0)</f>
        <v>6499</v>
      </c>
      <c r="C2597" s="2" t="str">
        <f>IFERROR(__xludf.DUMMYFUNCTION("""COMPUTED_VALUE"""),"PENGADILAN NEGERI BANJARBARU")</f>
        <v>PENGADILAN NEGERI BANJARBARU</v>
      </c>
      <c r="D2597" s="2" t="str">
        <f>IFERROR(__xludf.DUMMYFUNCTION("""COMPUTED_VALUE"""),"5KM OVERALL M")</f>
        <v>5KM OVERALL M</v>
      </c>
      <c r="E2597" s="1">
        <f>IFERROR(__xludf.DUMMYFUNCTION("""COMPUTED_VALUE"""),2.0)</f>
        <v>2</v>
      </c>
      <c r="F2597" s="1" t="str">
        <f>IFERROR(__xludf.DUMMYFUNCTION("""COMPUTED_VALUE"""),"Male")</f>
        <v>Male</v>
      </c>
      <c r="G2597" s="4" t="str">
        <f>IFERROR(__xludf.DUMMYFUNCTION("""COMPUTED_VALUE"""),"")</f>
        <v/>
      </c>
      <c r="H2597" s="4" t="b">
        <f>IFERROR(__xludf.DUMMYFUNCTION("""COMPUTED_VALUE"""),FALSE)</f>
        <v>0</v>
      </c>
      <c r="I2597" s="4">
        <f>IFERROR(__xludf.DUMMYFUNCTION("""COMPUTED_VALUE"""),0.2549440625)</f>
        <v>0.2549440625</v>
      </c>
      <c r="J2597" s="4" t="str">
        <f>IFERROR(__xludf.DUMMYFUNCTION("""COMPUTED_VALUE"""),"")</f>
        <v/>
      </c>
      <c r="K2597" s="4" t="str">
        <f>IFERROR(__xludf.DUMMYFUNCTION("""COMPUTED_VALUE"""),"")</f>
        <v/>
      </c>
      <c r="L2597" s="4" t="str">
        <f>IFERROR(__xludf.DUMMYFUNCTION("""COMPUTED_VALUE"""),"")</f>
        <v/>
      </c>
      <c r="M2597" s="1" t="str">
        <f>IFERROR(__xludf.DUMMYFUNCTION("""COMPUTED_VALUE"""),"RFID")</f>
        <v>RFID</v>
      </c>
      <c r="N2597" s="5" t="str">
        <f>IFERROR(__xludf.DUMMYFUNCTION("""COMPUTED_VALUE"""),"")</f>
        <v/>
      </c>
      <c r="O2597" s="5" t="str">
        <f>IFERROR(__xludf.DUMMYFUNCTION("""COMPUTED_VALUE"""),"")</f>
        <v/>
      </c>
      <c r="P2597" s="5" t="str">
        <f>IFERROR(__xludf.DUMMYFUNCTION("""COMPUTED_VALUE"""),"")</f>
        <v/>
      </c>
      <c r="Q2597" s="5" t="str">
        <f>IFERROR(__xludf.DUMMYFUNCTION("""COMPUTED_VALUE"""),"")</f>
        <v/>
      </c>
      <c r="R2597" s="4" t="str">
        <f>IFERROR(__xludf.DUMMYFUNCTION("""COMPUTED_VALUE"""),"")</f>
        <v/>
      </c>
      <c r="S2597" s="1" t="b">
        <f>IFERROR(__xludf.DUMMYFUNCTION("""COMPUTED_VALUE"""),FALSE)</f>
        <v>0</v>
      </c>
      <c r="T2597" s="1" t="b">
        <f>IFERROR(__xludf.DUMMYFUNCTION("""COMPUTED_VALUE"""),FALSE)</f>
        <v>0</v>
      </c>
      <c r="U2597" s="1" t="str">
        <f>IFERROR(__xludf.DUMMYFUNCTION("""COMPUTED_VALUE"""),"DSQ")</f>
        <v>DSQ</v>
      </c>
      <c r="V2597" s="1" t="str">
        <f>IFERROR(__xludf.DUMMYFUNCTION("""COMPUTED_VALUE"""),"DSQ")</f>
        <v>DSQ</v>
      </c>
      <c r="W2597" s="1" t="str">
        <f>IFERROR(__xludf.DUMMYFUNCTION("""COMPUTED_VALUE"""),"DSQ")</f>
        <v>DSQ</v>
      </c>
      <c r="X2597" s="1" t="str">
        <f>IFERROR(__xludf.DUMMYFUNCTION("""COMPUTED_VALUE"""),"DSQ")</f>
        <v>DSQ</v>
      </c>
      <c r="Y2597" s="2"/>
      <c r="Z2597" s="2" t="str">
        <f>IFERROR(__xludf.DUMMYFUNCTION("""COMPUTED_VALUE"""),"")</f>
        <v/>
      </c>
    </row>
    <row r="2598">
      <c r="A2598" s="1">
        <f>IFERROR(__xludf.DUMMYFUNCTION("""COMPUTED_VALUE"""),2597.0)</f>
        <v>2597</v>
      </c>
      <c r="B2598" s="1">
        <f>IFERROR(__xludf.DUMMYFUNCTION("""COMPUTED_VALUE"""),6500.0)</f>
        <v>6500</v>
      </c>
      <c r="C2598" s="2" t="str">
        <f>IFERROR(__xludf.DUMMYFUNCTION("""COMPUTED_VALUE"""),"PENGADILAN NEGERI BANJARBARU")</f>
        <v>PENGADILAN NEGERI BANJARBARU</v>
      </c>
      <c r="D2598" s="2" t="str">
        <f>IFERROR(__xludf.DUMMYFUNCTION("""COMPUTED_VALUE"""),"5KM OVERALL M")</f>
        <v>5KM OVERALL M</v>
      </c>
      <c r="E2598" s="1">
        <f>IFERROR(__xludf.DUMMYFUNCTION("""COMPUTED_VALUE"""),2.0)</f>
        <v>2</v>
      </c>
      <c r="F2598" s="1" t="str">
        <f>IFERROR(__xludf.DUMMYFUNCTION("""COMPUTED_VALUE"""),"Male")</f>
        <v>Male</v>
      </c>
      <c r="G2598" s="4" t="str">
        <f>IFERROR(__xludf.DUMMYFUNCTION("""COMPUTED_VALUE"""),"")</f>
        <v/>
      </c>
      <c r="H2598" s="4" t="b">
        <f>IFERROR(__xludf.DUMMYFUNCTION("""COMPUTED_VALUE"""),FALSE)</f>
        <v>0</v>
      </c>
      <c r="I2598" s="4">
        <f>IFERROR(__xludf.DUMMYFUNCTION("""COMPUTED_VALUE"""),0.2549440625)</f>
        <v>0.2549440625</v>
      </c>
      <c r="J2598" s="4" t="str">
        <f>IFERROR(__xludf.DUMMYFUNCTION("""COMPUTED_VALUE"""),"")</f>
        <v/>
      </c>
      <c r="K2598" s="4" t="str">
        <f>IFERROR(__xludf.DUMMYFUNCTION("""COMPUTED_VALUE"""),"")</f>
        <v/>
      </c>
      <c r="L2598" s="4" t="str">
        <f>IFERROR(__xludf.DUMMYFUNCTION("""COMPUTED_VALUE"""),"")</f>
        <v/>
      </c>
      <c r="M2598" s="1" t="str">
        <f>IFERROR(__xludf.DUMMYFUNCTION("""COMPUTED_VALUE"""),"RFID")</f>
        <v>RFID</v>
      </c>
      <c r="N2598" s="5" t="str">
        <f>IFERROR(__xludf.DUMMYFUNCTION("""COMPUTED_VALUE"""),"")</f>
        <v/>
      </c>
      <c r="O2598" s="5" t="str">
        <f>IFERROR(__xludf.DUMMYFUNCTION("""COMPUTED_VALUE"""),"")</f>
        <v/>
      </c>
      <c r="P2598" s="5" t="str">
        <f>IFERROR(__xludf.DUMMYFUNCTION("""COMPUTED_VALUE"""),"")</f>
        <v/>
      </c>
      <c r="Q2598" s="5" t="str">
        <f>IFERROR(__xludf.DUMMYFUNCTION("""COMPUTED_VALUE"""),"")</f>
        <v/>
      </c>
      <c r="R2598" s="4" t="str">
        <f>IFERROR(__xludf.DUMMYFUNCTION("""COMPUTED_VALUE"""),"")</f>
        <v/>
      </c>
      <c r="S2598" s="1" t="b">
        <f>IFERROR(__xludf.DUMMYFUNCTION("""COMPUTED_VALUE"""),FALSE)</f>
        <v>0</v>
      </c>
      <c r="T2598" s="1" t="b">
        <f>IFERROR(__xludf.DUMMYFUNCTION("""COMPUTED_VALUE"""),FALSE)</f>
        <v>0</v>
      </c>
      <c r="U2598" s="1" t="str">
        <f>IFERROR(__xludf.DUMMYFUNCTION("""COMPUTED_VALUE"""),"DSQ")</f>
        <v>DSQ</v>
      </c>
      <c r="V2598" s="1" t="str">
        <f>IFERROR(__xludf.DUMMYFUNCTION("""COMPUTED_VALUE"""),"DSQ")</f>
        <v>DSQ</v>
      </c>
      <c r="W2598" s="1" t="str">
        <f>IFERROR(__xludf.DUMMYFUNCTION("""COMPUTED_VALUE"""),"DSQ")</f>
        <v>DSQ</v>
      </c>
      <c r="X2598" s="1" t="str">
        <f>IFERROR(__xludf.DUMMYFUNCTION("""COMPUTED_VALUE"""),"DSQ")</f>
        <v>DSQ</v>
      </c>
      <c r="Y2598" s="2"/>
      <c r="Z2598" s="2" t="str">
        <f>IFERROR(__xludf.DUMMYFUNCTION("""COMPUTED_VALUE"""),"")</f>
        <v/>
      </c>
    </row>
    <row r="2599">
      <c r="A2599" s="1">
        <f>IFERROR(__xludf.DUMMYFUNCTION("""COMPUTED_VALUE"""),2598.0)</f>
        <v>2598</v>
      </c>
      <c r="B2599" s="1">
        <f>IFERROR(__xludf.DUMMYFUNCTION("""COMPUTED_VALUE"""),6501.0)</f>
        <v>6501</v>
      </c>
      <c r="C2599" s="2" t="str">
        <f>IFERROR(__xludf.DUMMYFUNCTION("""COMPUTED_VALUE"""),"POLISI MILITER")</f>
        <v>POLISI MILITER</v>
      </c>
      <c r="D2599" s="2" t="str">
        <f>IFERROR(__xludf.DUMMYFUNCTION("""COMPUTED_VALUE"""),"5KM OVERALL M")</f>
        <v>5KM OVERALL M</v>
      </c>
      <c r="E2599" s="1">
        <f>IFERROR(__xludf.DUMMYFUNCTION("""COMPUTED_VALUE"""),2.0)</f>
        <v>2</v>
      </c>
      <c r="F2599" s="1" t="str">
        <f>IFERROR(__xludf.DUMMYFUNCTION("""COMPUTED_VALUE"""),"Male")</f>
        <v>Male</v>
      </c>
      <c r="G2599" s="4" t="b">
        <f>IFERROR(__xludf.DUMMYFUNCTION("""COMPUTED_VALUE"""),TRUE)</f>
        <v>1</v>
      </c>
      <c r="H2599" s="4" t="b">
        <f>IFERROR(__xludf.DUMMYFUNCTION("""COMPUTED_VALUE"""),TRUE)</f>
        <v>1</v>
      </c>
      <c r="I2599" s="4">
        <f>IFERROR(__xludf.DUMMYFUNCTION("""COMPUTED_VALUE"""),0.2549440625)</f>
        <v>0.2549440625</v>
      </c>
      <c r="J2599" s="4">
        <f>IFERROR(__xludf.DUMMYFUNCTION("""COMPUTED_VALUE"""),45949.28222461395)</f>
        <v>45949.28222</v>
      </c>
      <c r="K2599" s="4" t="str">
        <f>IFERROR(__xludf.DUMMYFUNCTION("""COMPUTED_VALUE"""),"")</f>
        <v/>
      </c>
      <c r="L2599" s="4">
        <f>IFERROR(__xludf.DUMMYFUNCTION("""COMPUTED_VALUE"""),45949.30098072683)</f>
        <v>45949.30098</v>
      </c>
      <c r="M2599" s="1" t="str">
        <f>IFERROR(__xludf.DUMMYFUNCTION("""COMPUTED_VALUE"""),"RFID")</f>
        <v>RFID</v>
      </c>
      <c r="N2599" s="5">
        <f>IFERROR(__xludf.DUMMYFUNCTION("""COMPUTED_VALUE"""),0.010912222222222222)</f>
        <v>0.01091222222</v>
      </c>
      <c r="O2599" s="5" t="str">
        <f>IFERROR(__xludf.DUMMYFUNCTION("""COMPUTED_VALUE"""),"")</f>
        <v/>
      </c>
      <c r="P2599" s="5" t="str">
        <f>IFERROR(__xludf.DUMMYFUNCTION("""COMPUTED_VALUE"""),"")</f>
        <v/>
      </c>
      <c r="Q2599" s="5">
        <f>IFERROR(__xludf.DUMMYFUNCTION("""COMPUTED_VALUE"""),0.009207333333333335)</f>
        <v>0.009207333333</v>
      </c>
      <c r="R2599" s="4">
        <f>IFERROR(__xludf.DUMMYFUNCTION("""COMPUTED_VALUE"""),45949.04603666433)</f>
        <v>45949.04604</v>
      </c>
      <c r="S2599" s="1" t="b">
        <f>IFERROR(__xludf.DUMMYFUNCTION("""COMPUTED_VALUE"""),TRUE)</f>
        <v>1</v>
      </c>
      <c r="T2599" s="1" t="b">
        <f>IFERROR(__xludf.DUMMYFUNCTION("""COMPUTED_VALUE"""),FALSE)</f>
        <v>0</v>
      </c>
      <c r="U2599" s="1" t="str">
        <f>IFERROR(__xludf.DUMMYFUNCTION("""COMPUTED_VALUE"""),"VALID")</f>
        <v>VALID</v>
      </c>
      <c r="V2599" s="1">
        <f>IFERROR(__xludf.DUMMYFUNCTION("""COMPUTED_VALUE"""),808.0)</f>
        <v>808</v>
      </c>
      <c r="W2599" s="1">
        <f>IFERROR(__xludf.DUMMYFUNCTION("""COMPUTED_VALUE"""),1485.0)</f>
        <v>1485</v>
      </c>
      <c r="X2599" s="1">
        <f>IFERROR(__xludf.DUMMYFUNCTION("""COMPUTED_VALUE"""),1238.0)</f>
        <v>1238</v>
      </c>
      <c r="Y2599" s="2"/>
      <c r="Z2599" s="2"/>
    </row>
    <row r="2600">
      <c r="A2600" s="1">
        <f>IFERROR(__xludf.DUMMYFUNCTION("""COMPUTED_VALUE"""),2599.0)</f>
        <v>2599</v>
      </c>
      <c r="B2600" s="1">
        <f>IFERROR(__xludf.DUMMYFUNCTION("""COMPUTED_VALUE"""),6502.0)</f>
        <v>6502</v>
      </c>
      <c r="C2600" s="2" t="str">
        <f>IFERROR(__xludf.DUMMYFUNCTION("""COMPUTED_VALUE"""),"POLISI MILITER")</f>
        <v>POLISI MILITER</v>
      </c>
      <c r="D2600" s="2" t="str">
        <f>IFERROR(__xludf.DUMMYFUNCTION("""COMPUTED_VALUE"""),"5KM OVERALL M")</f>
        <v>5KM OVERALL M</v>
      </c>
      <c r="E2600" s="1">
        <f>IFERROR(__xludf.DUMMYFUNCTION("""COMPUTED_VALUE"""),2.0)</f>
        <v>2</v>
      </c>
      <c r="F2600" s="1" t="str">
        <f>IFERROR(__xludf.DUMMYFUNCTION("""COMPUTED_VALUE"""),"Male")</f>
        <v>Male</v>
      </c>
      <c r="G2600" s="4" t="b">
        <f>IFERROR(__xludf.DUMMYFUNCTION("""COMPUTED_VALUE"""),TRUE)</f>
        <v>1</v>
      </c>
      <c r="H2600" s="4" t="b">
        <f>IFERROR(__xludf.DUMMYFUNCTION("""COMPUTED_VALUE"""),TRUE)</f>
        <v>1</v>
      </c>
      <c r="I2600" s="4">
        <f>IFERROR(__xludf.DUMMYFUNCTION("""COMPUTED_VALUE"""),0.2549440625)</f>
        <v>0.2549440625</v>
      </c>
      <c r="J2600" s="4">
        <f>IFERROR(__xludf.DUMMYFUNCTION("""COMPUTED_VALUE"""),45949.27246075234)</f>
        <v>45949.27246</v>
      </c>
      <c r="K2600" s="4" t="str">
        <f>IFERROR(__xludf.DUMMYFUNCTION("""COMPUTED_VALUE"""),"")</f>
        <v/>
      </c>
      <c r="L2600" s="4">
        <f>IFERROR(__xludf.DUMMYFUNCTION("""COMPUTED_VALUE"""),45949.28847031864)</f>
        <v>45949.28847</v>
      </c>
      <c r="M2600" s="1" t="str">
        <f>IFERROR(__xludf.DUMMYFUNCTION("""COMPUTED_VALUE"""),"RFID")</f>
        <v>RFID</v>
      </c>
      <c r="N2600" s="5">
        <f>IFERROR(__xludf.DUMMYFUNCTION("""COMPUTED_VALUE"""),0.007006675925925926)</f>
        <v>0.007006675926</v>
      </c>
      <c r="O2600" s="5" t="str">
        <f>IFERROR(__xludf.DUMMYFUNCTION("""COMPUTED_VALUE"""),"")</f>
        <v/>
      </c>
      <c r="P2600" s="5" t="str">
        <f>IFERROR(__xludf.DUMMYFUNCTION("""COMPUTED_VALUE"""),"")</f>
        <v/>
      </c>
      <c r="Q2600" s="5">
        <f>IFERROR(__xludf.DUMMYFUNCTION("""COMPUTED_VALUE"""),0.006705252314814815)</f>
        <v>0.006705252315</v>
      </c>
      <c r="R2600" s="4">
        <f>IFERROR(__xludf.DUMMYFUNCTION("""COMPUTED_VALUE"""),45949.03352625614)</f>
        <v>45949.03353</v>
      </c>
      <c r="S2600" s="1" t="b">
        <f>IFERROR(__xludf.DUMMYFUNCTION("""COMPUTED_VALUE"""),TRUE)</f>
        <v>1</v>
      </c>
      <c r="T2600" s="1" t="b">
        <f>IFERROR(__xludf.DUMMYFUNCTION("""COMPUTED_VALUE"""),FALSE)</f>
        <v>0</v>
      </c>
      <c r="U2600" s="1" t="str">
        <f>IFERROR(__xludf.DUMMYFUNCTION("""COMPUTED_VALUE"""),"VALID")</f>
        <v>VALID</v>
      </c>
      <c r="V2600" s="1">
        <f>IFERROR(__xludf.DUMMYFUNCTION("""COMPUTED_VALUE"""),515.0)</f>
        <v>515</v>
      </c>
      <c r="W2600" s="1">
        <f>IFERROR(__xludf.DUMMYFUNCTION("""COMPUTED_VALUE"""),810.0)</f>
        <v>810</v>
      </c>
      <c r="X2600" s="1">
        <f>IFERROR(__xludf.DUMMYFUNCTION("""COMPUTED_VALUE"""),665.0)</f>
        <v>665</v>
      </c>
      <c r="Y2600" s="2"/>
      <c r="Z2600" s="2"/>
    </row>
    <row r="2601">
      <c r="A2601" s="1">
        <f>IFERROR(__xludf.DUMMYFUNCTION("""COMPUTED_VALUE"""),2600.0)</f>
        <v>2600</v>
      </c>
      <c r="B2601" s="1">
        <f>IFERROR(__xludf.DUMMYFUNCTION("""COMPUTED_VALUE"""),6503.0)</f>
        <v>6503</v>
      </c>
      <c r="C2601" s="2" t="str">
        <f>IFERROR(__xludf.DUMMYFUNCTION("""COMPUTED_VALUE"""),"ANGKASA PURA")</f>
        <v>ANGKASA PURA</v>
      </c>
      <c r="D2601" s="2" t="str">
        <f>IFERROR(__xludf.DUMMYFUNCTION("""COMPUTED_VALUE"""),"5KM OVERALL M")</f>
        <v>5KM OVERALL M</v>
      </c>
      <c r="E2601" s="1">
        <f>IFERROR(__xludf.DUMMYFUNCTION("""COMPUTED_VALUE"""),2.0)</f>
        <v>2</v>
      </c>
      <c r="F2601" s="1" t="str">
        <f>IFERROR(__xludf.DUMMYFUNCTION("""COMPUTED_VALUE"""),"Male")</f>
        <v>Male</v>
      </c>
      <c r="G2601" s="4" t="b">
        <f>IFERROR(__xludf.DUMMYFUNCTION("""COMPUTED_VALUE"""),TRUE)</f>
        <v>1</v>
      </c>
      <c r="H2601" s="4" t="b">
        <f>IFERROR(__xludf.DUMMYFUNCTION("""COMPUTED_VALUE"""),TRUE)</f>
        <v>1</v>
      </c>
      <c r="I2601" s="4">
        <f>IFERROR(__xludf.DUMMYFUNCTION("""COMPUTED_VALUE"""),0.2549440625)</f>
        <v>0.2549440625</v>
      </c>
      <c r="J2601" s="4">
        <f>IFERROR(__xludf.DUMMYFUNCTION("""COMPUTED_VALUE"""),45950.27234953704)</f>
        <v>45950.27235</v>
      </c>
      <c r="K2601" s="4" t="str">
        <f>IFERROR(__xludf.DUMMYFUNCTION("""COMPUTED_VALUE"""),"")</f>
        <v/>
      </c>
      <c r="L2601" s="4">
        <f>IFERROR(__xludf.DUMMYFUNCTION("""COMPUTED_VALUE"""),45949.28395642155)</f>
        <v>45949.28396</v>
      </c>
      <c r="M2601" s="1" t="str">
        <f>IFERROR(__xludf.DUMMYFUNCTION("""COMPUTED_VALUE"""),"RFID")</f>
        <v>RFID</v>
      </c>
      <c r="N2601" s="5">
        <f>IFERROR(__xludf.DUMMYFUNCTION("""COMPUTED_VALUE"""),0.006962189814814815)</f>
        <v>0.006962189815</v>
      </c>
      <c r="O2601" s="5" t="str">
        <f>IFERROR(__xludf.DUMMYFUNCTION("""COMPUTED_VALUE"""),"")</f>
        <v/>
      </c>
      <c r="P2601" s="5" t="str">
        <f>IFERROR(__xludf.DUMMYFUNCTION("""COMPUTED_VALUE"""),"")</f>
        <v/>
      </c>
      <c r="Q2601" s="5">
        <f>IFERROR(__xludf.DUMMYFUNCTION("""COMPUTED_VALUE"""),0.005802472222222223)</f>
        <v>0.005802472222</v>
      </c>
      <c r="R2601" s="4">
        <f>IFERROR(__xludf.DUMMYFUNCTION("""COMPUTED_VALUE"""),45949.029012359046)</f>
        <v>45949.02901</v>
      </c>
      <c r="S2601" s="1" t="b">
        <f>IFERROR(__xludf.DUMMYFUNCTION("""COMPUTED_VALUE"""),TRUE)</f>
        <v>1</v>
      </c>
      <c r="T2601" s="1" t="b">
        <f>IFERROR(__xludf.DUMMYFUNCTION("""COMPUTED_VALUE"""),FALSE)</f>
        <v>0</v>
      </c>
      <c r="U2601" s="1" t="str">
        <f>IFERROR(__xludf.DUMMYFUNCTION("""COMPUTED_VALUE"""),"VALID")</f>
        <v>VALID</v>
      </c>
      <c r="V2601" s="1">
        <f>IFERROR(__xludf.DUMMYFUNCTION("""COMPUTED_VALUE"""),336.0)</f>
        <v>336</v>
      </c>
      <c r="W2601" s="1">
        <f>IFERROR(__xludf.DUMMYFUNCTION("""COMPUTED_VALUE"""),499.0)</f>
        <v>499</v>
      </c>
      <c r="X2601" s="1">
        <f>IFERROR(__xludf.DUMMYFUNCTION("""COMPUTED_VALUE"""),435.0)</f>
        <v>435</v>
      </c>
      <c r="Y2601" s="2"/>
      <c r="Z2601" s="2" t="str">
        <f>IFERROR(__xludf.DUMMYFUNCTION("""COMPUTED_VALUE"""),"C")</f>
        <v>C</v>
      </c>
    </row>
    <row r="2602">
      <c r="A2602" s="1">
        <f>IFERROR(__xludf.DUMMYFUNCTION("""COMPUTED_VALUE"""),2601.0)</f>
        <v>2601</v>
      </c>
      <c r="B2602" s="1">
        <f>IFERROR(__xludf.DUMMYFUNCTION("""COMPUTED_VALUE"""),6504.0)</f>
        <v>6504</v>
      </c>
      <c r="C2602" s="2" t="str">
        <f>IFERROR(__xludf.DUMMYFUNCTION("""COMPUTED_VALUE"""),"PDAM INTAN BANJAR")</f>
        <v>PDAM INTAN BANJAR</v>
      </c>
      <c r="D2602" s="2" t="str">
        <f>IFERROR(__xludf.DUMMYFUNCTION("""COMPUTED_VALUE"""),"5KM OVERALL M")</f>
        <v>5KM OVERALL M</v>
      </c>
      <c r="E2602" s="1">
        <f>IFERROR(__xludf.DUMMYFUNCTION("""COMPUTED_VALUE"""),2.0)</f>
        <v>2</v>
      </c>
      <c r="F2602" s="1" t="str">
        <f>IFERROR(__xludf.DUMMYFUNCTION("""COMPUTED_VALUE"""),"Male")</f>
        <v>Male</v>
      </c>
      <c r="G2602" s="4" t="str">
        <f>IFERROR(__xludf.DUMMYFUNCTION("""COMPUTED_VALUE"""),"")</f>
        <v/>
      </c>
      <c r="H2602" s="4" t="b">
        <f>IFERROR(__xludf.DUMMYFUNCTION("""COMPUTED_VALUE"""),FALSE)</f>
        <v>0</v>
      </c>
      <c r="I2602" s="4">
        <f>IFERROR(__xludf.DUMMYFUNCTION("""COMPUTED_VALUE"""),0.2549440625)</f>
        <v>0.2549440625</v>
      </c>
      <c r="J2602" s="4" t="str">
        <f>IFERROR(__xludf.DUMMYFUNCTION("""COMPUTED_VALUE"""),"")</f>
        <v/>
      </c>
      <c r="K2602" s="4" t="str">
        <f>IFERROR(__xludf.DUMMYFUNCTION("""COMPUTED_VALUE"""),"")</f>
        <v/>
      </c>
      <c r="L2602" s="4" t="str">
        <f>IFERROR(__xludf.DUMMYFUNCTION("""COMPUTED_VALUE"""),"")</f>
        <v/>
      </c>
      <c r="M2602" s="1" t="str">
        <f>IFERROR(__xludf.DUMMYFUNCTION("""COMPUTED_VALUE"""),"RFID")</f>
        <v>RFID</v>
      </c>
      <c r="N2602" s="5" t="str">
        <f>IFERROR(__xludf.DUMMYFUNCTION("""COMPUTED_VALUE"""),"")</f>
        <v/>
      </c>
      <c r="O2602" s="5" t="str">
        <f>IFERROR(__xludf.DUMMYFUNCTION("""COMPUTED_VALUE"""),"")</f>
        <v/>
      </c>
      <c r="P2602" s="5" t="str">
        <f>IFERROR(__xludf.DUMMYFUNCTION("""COMPUTED_VALUE"""),"")</f>
        <v/>
      </c>
      <c r="Q2602" s="5" t="str">
        <f>IFERROR(__xludf.DUMMYFUNCTION("""COMPUTED_VALUE"""),"")</f>
        <v/>
      </c>
      <c r="R2602" s="4" t="str">
        <f>IFERROR(__xludf.DUMMYFUNCTION("""COMPUTED_VALUE"""),"")</f>
        <v/>
      </c>
      <c r="S2602" s="1" t="b">
        <f>IFERROR(__xludf.DUMMYFUNCTION("""COMPUTED_VALUE"""),FALSE)</f>
        <v>0</v>
      </c>
      <c r="T2602" s="1" t="b">
        <f>IFERROR(__xludf.DUMMYFUNCTION("""COMPUTED_VALUE"""),FALSE)</f>
        <v>0</v>
      </c>
      <c r="U2602" s="1" t="str">
        <f>IFERROR(__xludf.DUMMYFUNCTION("""COMPUTED_VALUE"""),"DSQ")</f>
        <v>DSQ</v>
      </c>
      <c r="V2602" s="1" t="str">
        <f>IFERROR(__xludf.DUMMYFUNCTION("""COMPUTED_VALUE"""),"DSQ")</f>
        <v>DSQ</v>
      </c>
      <c r="W2602" s="1" t="str">
        <f>IFERROR(__xludf.DUMMYFUNCTION("""COMPUTED_VALUE"""),"DSQ")</f>
        <v>DSQ</v>
      </c>
      <c r="X2602" s="1" t="str">
        <f>IFERROR(__xludf.DUMMYFUNCTION("""COMPUTED_VALUE"""),"DSQ")</f>
        <v>DSQ</v>
      </c>
      <c r="Y2602" s="2"/>
      <c r="Z2602" s="2" t="str">
        <f>IFERROR(__xludf.DUMMYFUNCTION("""COMPUTED_VALUE"""),"")</f>
        <v/>
      </c>
    </row>
    <row r="2603">
      <c r="A2603" s="1">
        <f>IFERROR(__xludf.DUMMYFUNCTION("""COMPUTED_VALUE"""),2602.0)</f>
        <v>2602</v>
      </c>
      <c r="B2603" s="1">
        <f>IFERROR(__xludf.DUMMYFUNCTION("""COMPUTED_VALUE"""),6505.0)</f>
        <v>6505</v>
      </c>
      <c r="C2603" s="2" t="str">
        <f>IFERROR(__xludf.DUMMYFUNCTION("""COMPUTED_VALUE"""),"BANJARMASIN POST")</f>
        <v>BANJARMASIN POST</v>
      </c>
      <c r="D2603" s="2" t="str">
        <f>IFERROR(__xludf.DUMMYFUNCTION("""COMPUTED_VALUE"""),"5KM OVERALL M")</f>
        <v>5KM OVERALL M</v>
      </c>
      <c r="E2603" s="1">
        <f>IFERROR(__xludf.DUMMYFUNCTION("""COMPUTED_VALUE"""),2.0)</f>
        <v>2</v>
      </c>
      <c r="F2603" s="1" t="str">
        <f>IFERROR(__xludf.DUMMYFUNCTION("""COMPUTED_VALUE"""),"Male")</f>
        <v>Male</v>
      </c>
      <c r="G2603" s="4" t="b">
        <f>IFERROR(__xludf.DUMMYFUNCTION("""COMPUTED_VALUE"""),TRUE)</f>
        <v>1</v>
      </c>
      <c r="H2603" s="4" t="b">
        <f>IFERROR(__xludf.DUMMYFUNCTION("""COMPUTED_VALUE"""),FALSE)</f>
        <v>0</v>
      </c>
      <c r="I2603" s="4">
        <f>IFERROR(__xludf.DUMMYFUNCTION("""COMPUTED_VALUE"""),0.2549440625)</f>
        <v>0.2549440625</v>
      </c>
      <c r="J2603" s="4">
        <f>IFERROR(__xludf.DUMMYFUNCTION("""COMPUTED_VALUE"""),45949.283554523514)</f>
        <v>45949.28355</v>
      </c>
      <c r="K2603" s="4" t="str">
        <f>IFERROR(__xludf.DUMMYFUNCTION("""COMPUTED_VALUE"""),"")</f>
        <v/>
      </c>
      <c r="L2603" s="4">
        <f>IFERROR(__xludf.DUMMYFUNCTION("""COMPUTED_VALUE"""),45949.303102261016)</f>
        <v>45949.3031</v>
      </c>
      <c r="M2603" s="1" t="str">
        <f>IFERROR(__xludf.DUMMYFUNCTION("""COMPUTED_VALUE"""),"RFID")</f>
        <v>RFID</v>
      </c>
      <c r="N2603" s="5">
        <f>IFERROR(__xludf.DUMMYFUNCTION("""COMPUTED_VALUE"""),0.011444185185185186)</f>
        <v>0.01144418519</v>
      </c>
      <c r="O2603" s="5" t="str">
        <f>IFERROR(__xludf.DUMMYFUNCTION("""COMPUTED_VALUE"""),"")</f>
        <v/>
      </c>
      <c r="P2603" s="5" t="str">
        <f>IFERROR(__xludf.DUMMYFUNCTION("""COMPUTED_VALUE"""),"")</f>
        <v/>
      </c>
      <c r="Q2603" s="5">
        <f>IFERROR(__xludf.DUMMYFUNCTION("""COMPUTED_VALUE"""),0.00963163888888889)</f>
        <v>0.009631638889</v>
      </c>
      <c r="R2603" s="4">
        <f>IFERROR(__xludf.DUMMYFUNCTION("""COMPUTED_VALUE"""),45949.048158198515)</f>
        <v>45949.04816</v>
      </c>
      <c r="S2603" s="1" t="b">
        <f>IFERROR(__xludf.DUMMYFUNCTION("""COMPUTED_VALUE"""),TRUE)</f>
        <v>1</v>
      </c>
      <c r="T2603" s="1" t="b">
        <f>IFERROR(__xludf.DUMMYFUNCTION("""COMPUTED_VALUE"""),FALSE)</f>
        <v>0</v>
      </c>
      <c r="U2603" s="1" t="str">
        <f>IFERROR(__xludf.DUMMYFUNCTION("""COMPUTED_VALUE"""),"VALID")</f>
        <v>VALID</v>
      </c>
      <c r="V2603" s="1">
        <f>IFERROR(__xludf.DUMMYFUNCTION("""COMPUTED_VALUE"""),834.0)</f>
        <v>834</v>
      </c>
      <c r="W2603" s="1">
        <f>IFERROR(__xludf.DUMMYFUNCTION("""COMPUTED_VALUE"""),1555.0)</f>
        <v>1555</v>
      </c>
      <c r="X2603" s="1">
        <f>IFERROR(__xludf.DUMMYFUNCTION("""COMPUTED_VALUE"""),1315.0)</f>
        <v>1315</v>
      </c>
      <c r="Y2603" s="2"/>
      <c r="Z2603" s="2"/>
    </row>
    <row r="2604">
      <c r="A2604" s="1">
        <f>IFERROR(__xludf.DUMMYFUNCTION("""COMPUTED_VALUE"""),2603.0)</f>
        <v>2603</v>
      </c>
      <c r="B2604" s="1">
        <f>IFERROR(__xludf.DUMMYFUNCTION("""COMPUTED_VALUE"""),6506.0)</f>
        <v>6506</v>
      </c>
      <c r="C2604" s="2" t="str">
        <f>IFERROR(__xludf.DUMMYFUNCTION("""COMPUTED_VALUE"""),"RADAR BANJARMASIN")</f>
        <v>RADAR BANJARMASIN</v>
      </c>
      <c r="D2604" s="2" t="str">
        <f>IFERROR(__xludf.DUMMYFUNCTION("""COMPUTED_VALUE"""),"5KM OVERALL M")</f>
        <v>5KM OVERALL M</v>
      </c>
      <c r="E2604" s="1">
        <f>IFERROR(__xludf.DUMMYFUNCTION("""COMPUTED_VALUE"""),2.0)</f>
        <v>2</v>
      </c>
      <c r="F2604" s="1" t="str">
        <f>IFERROR(__xludf.DUMMYFUNCTION("""COMPUTED_VALUE"""),"Male")</f>
        <v>Male</v>
      </c>
      <c r="G2604" s="4" t="str">
        <f>IFERROR(__xludf.DUMMYFUNCTION("""COMPUTED_VALUE"""),"")</f>
        <v/>
      </c>
      <c r="H2604" s="4" t="b">
        <f>IFERROR(__xludf.DUMMYFUNCTION("""COMPUTED_VALUE"""),FALSE)</f>
        <v>0</v>
      </c>
      <c r="I2604" s="4">
        <f>IFERROR(__xludf.DUMMYFUNCTION("""COMPUTED_VALUE"""),0.2549440625)</f>
        <v>0.2549440625</v>
      </c>
      <c r="J2604" s="4" t="str">
        <f>IFERROR(__xludf.DUMMYFUNCTION("""COMPUTED_VALUE"""),"")</f>
        <v/>
      </c>
      <c r="K2604" s="4" t="str">
        <f>IFERROR(__xludf.DUMMYFUNCTION("""COMPUTED_VALUE"""),"")</f>
        <v/>
      </c>
      <c r="L2604" s="4" t="str">
        <f>IFERROR(__xludf.DUMMYFUNCTION("""COMPUTED_VALUE"""),"")</f>
        <v/>
      </c>
      <c r="M2604" s="1" t="str">
        <f>IFERROR(__xludf.DUMMYFUNCTION("""COMPUTED_VALUE"""),"RFID")</f>
        <v>RFID</v>
      </c>
      <c r="N2604" s="5" t="str">
        <f>IFERROR(__xludf.DUMMYFUNCTION("""COMPUTED_VALUE"""),"")</f>
        <v/>
      </c>
      <c r="O2604" s="5" t="str">
        <f>IFERROR(__xludf.DUMMYFUNCTION("""COMPUTED_VALUE"""),"")</f>
        <v/>
      </c>
      <c r="P2604" s="5" t="str">
        <f>IFERROR(__xludf.DUMMYFUNCTION("""COMPUTED_VALUE"""),"")</f>
        <v/>
      </c>
      <c r="Q2604" s="5" t="str">
        <f>IFERROR(__xludf.DUMMYFUNCTION("""COMPUTED_VALUE"""),"")</f>
        <v/>
      </c>
      <c r="R2604" s="4" t="str">
        <f>IFERROR(__xludf.DUMMYFUNCTION("""COMPUTED_VALUE"""),"")</f>
        <v/>
      </c>
      <c r="S2604" s="1" t="b">
        <f>IFERROR(__xludf.DUMMYFUNCTION("""COMPUTED_VALUE"""),FALSE)</f>
        <v>0</v>
      </c>
      <c r="T2604" s="1" t="b">
        <f>IFERROR(__xludf.DUMMYFUNCTION("""COMPUTED_VALUE"""),FALSE)</f>
        <v>0</v>
      </c>
      <c r="U2604" s="1" t="str">
        <f>IFERROR(__xludf.DUMMYFUNCTION("""COMPUTED_VALUE"""),"DSQ")</f>
        <v>DSQ</v>
      </c>
      <c r="V2604" s="1" t="str">
        <f>IFERROR(__xludf.DUMMYFUNCTION("""COMPUTED_VALUE"""),"DSQ")</f>
        <v>DSQ</v>
      </c>
      <c r="W2604" s="1" t="str">
        <f>IFERROR(__xludf.DUMMYFUNCTION("""COMPUTED_VALUE"""),"DSQ")</f>
        <v>DSQ</v>
      </c>
      <c r="X2604" s="1" t="str">
        <f>IFERROR(__xludf.DUMMYFUNCTION("""COMPUTED_VALUE"""),"DSQ")</f>
        <v>DSQ</v>
      </c>
      <c r="Y2604" s="2"/>
      <c r="Z2604" s="2" t="str">
        <f>IFERROR(__xludf.DUMMYFUNCTION("""COMPUTED_VALUE"""),"")</f>
        <v/>
      </c>
    </row>
    <row r="2605">
      <c r="A2605" s="1">
        <f>IFERROR(__xludf.DUMMYFUNCTION("""COMPUTED_VALUE"""),2604.0)</f>
        <v>2604</v>
      </c>
      <c r="B2605" s="1">
        <f>IFERROR(__xludf.DUMMYFUNCTION("""COMPUTED_VALUE"""),6507.0)</f>
        <v>6507</v>
      </c>
      <c r="C2605" s="2" t="str">
        <f>IFERROR(__xludf.DUMMYFUNCTION("""COMPUTED_VALUE"""),"DUTA TV")</f>
        <v>DUTA TV</v>
      </c>
      <c r="D2605" s="2" t="str">
        <f>IFERROR(__xludf.DUMMYFUNCTION("""COMPUTED_VALUE"""),"5KM OVERALL M")</f>
        <v>5KM OVERALL M</v>
      </c>
      <c r="E2605" s="1">
        <f>IFERROR(__xludf.DUMMYFUNCTION("""COMPUTED_VALUE"""),2.0)</f>
        <v>2</v>
      </c>
      <c r="F2605" s="1" t="str">
        <f>IFERROR(__xludf.DUMMYFUNCTION("""COMPUTED_VALUE"""),"Male")</f>
        <v>Male</v>
      </c>
      <c r="G2605" s="4" t="b">
        <f>IFERROR(__xludf.DUMMYFUNCTION("""COMPUTED_VALUE"""),TRUE)</f>
        <v>1</v>
      </c>
      <c r="H2605" s="4" t="b">
        <f>IFERROR(__xludf.DUMMYFUNCTION("""COMPUTED_VALUE"""),TRUE)</f>
        <v>1</v>
      </c>
      <c r="I2605" s="4">
        <f>IFERROR(__xludf.DUMMYFUNCTION("""COMPUTED_VALUE"""),0.2549440625)</f>
        <v>0.2549440625</v>
      </c>
      <c r="J2605" s="4">
        <f>IFERROR(__xludf.DUMMYFUNCTION("""COMPUTED_VALUE"""),45949.2710266827)</f>
        <v>45949.27103</v>
      </c>
      <c r="K2605" s="4" t="str">
        <f>IFERROR(__xludf.DUMMYFUNCTION("""COMPUTED_VALUE"""),"")</f>
        <v/>
      </c>
      <c r="L2605" s="4">
        <f>IFERROR(__xludf.DUMMYFUNCTION("""COMPUTED_VALUE"""),45949.28033170859)</f>
        <v>45949.28033</v>
      </c>
      <c r="M2605" s="1" t="str">
        <f>IFERROR(__xludf.DUMMYFUNCTION("""COMPUTED_VALUE"""),"RFID")</f>
        <v>RFID</v>
      </c>
      <c r="N2605" s="5">
        <f>IFERROR(__xludf.DUMMYFUNCTION("""COMPUTED_VALUE"""),0.006433046296296296)</f>
        <v>0.006433046296</v>
      </c>
      <c r="O2605" s="5" t="str">
        <f>IFERROR(__xludf.DUMMYFUNCTION("""COMPUTED_VALUE"""),"")</f>
        <v/>
      </c>
      <c r="P2605" s="5" t="str">
        <f>IFERROR(__xludf.DUMMYFUNCTION("""COMPUTED_VALUE"""),"")</f>
        <v/>
      </c>
      <c r="Q2605" s="5">
        <f>IFERROR(__xludf.DUMMYFUNCTION("""COMPUTED_VALUE"""),0.005077530092592592)</f>
        <v>0.005077530093</v>
      </c>
      <c r="R2605" s="4">
        <f>IFERROR(__xludf.DUMMYFUNCTION("""COMPUTED_VALUE"""),45949.02538764609)</f>
        <v>45949.02539</v>
      </c>
      <c r="S2605" s="1" t="b">
        <f>IFERROR(__xludf.DUMMYFUNCTION("""COMPUTED_VALUE"""),TRUE)</f>
        <v>1</v>
      </c>
      <c r="T2605" s="1" t="b">
        <f>IFERROR(__xludf.DUMMYFUNCTION("""COMPUTED_VALUE"""),FALSE)</f>
        <v>0</v>
      </c>
      <c r="U2605" s="1" t="str">
        <f>IFERROR(__xludf.DUMMYFUNCTION("""COMPUTED_VALUE"""),"VALID")</f>
        <v>VALID</v>
      </c>
      <c r="V2605" s="1">
        <f>IFERROR(__xludf.DUMMYFUNCTION("""COMPUTED_VALUE"""),197.0)</f>
        <v>197</v>
      </c>
      <c r="W2605" s="1">
        <f>IFERROR(__xludf.DUMMYFUNCTION("""COMPUTED_VALUE"""),307.0)</f>
        <v>307</v>
      </c>
      <c r="X2605" s="1">
        <f>IFERROR(__xludf.DUMMYFUNCTION("""COMPUTED_VALUE"""),270.0)</f>
        <v>270</v>
      </c>
      <c r="Y2605" s="2"/>
      <c r="Z2605" s="2"/>
    </row>
    <row r="2606">
      <c r="A2606" s="1">
        <f>IFERROR(__xludf.DUMMYFUNCTION("""COMPUTED_VALUE"""),2605.0)</f>
        <v>2605</v>
      </c>
      <c r="B2606" s="1">
        <f>IFERROR(__xludf.DUMMYFUNCTION("""COMPUTED_VALUE"""),6508.0)</f>
        <v>6508</v>
      </c>
      <c r="C2606" s="2" t="str">
        <f>IFERROR(__xludf.DUMMYFUNCTION("""COMPUTED_VALUE"""),"BIRO ANTARA KALSEL")</f>
        <v>BIRO ANTARA KALSEL</v>
      </c>
      <c r="D2606" s="2" t="str">
        <f>IFERROR(__xludf.DUMMYFUNCTION("""COMPUTED_VALUE"""),"5KM OVERALL M")</f>
        <v>5KM OVERALL M</v>
      </c>
      <c r="E2606" s="1">
        <f>IFERROR(__xludf.DUMMYFUNCTION("""COMPUTED_VALUE"""),2.0)</f>
        <v>2</v>
      </c>
      <c r="F2606" s="1" t="str">
        <f>IFERROR(__xludf.DUMMYFUNCTION("""COMPUTED_VALUE"""),"Male")</f>
        <v>Male</v>
      </c>
      <c r="G2606" s="4" t="b">
        <f>IFERROR(__xludf.DUMMYFUNCTION("""COMPUTED_VALUE"""),TRUE)</f>
        <v>1</v>
      </c>
      <c r="H2606" s="4" t="b">
        <f>IFERROR(__xludf.DUMMYFUNCTION("""COMPUTED_VALUE"""),FALSE)</f>
        <v>0</v>
      </c>
      <c r="I2606" s="4">
        <f>IFERROR(__xludf.DUMMYFUNCTION("""COMPUTED_VALUE"""),0.2549440625)</f>
        <v>0.2549440625</v>
      </c>
      <c r="J2606" s="4">
        <f>IFERROR(__xludf.DUMMYFUNCTION("""COMPUTED_VALUE"""),45949.27012392398)</f>
        <v>45949.27012</v>
      </c>
      <c r="K2606" s="4" t="str">
        <f>IFERROR(__xludf.DUMMYFUNCTION("""COMPUTED_VALUE"""),"")</f>
        <v/>
      </c>
      <c r="L2606" s="4">
        <f>IFERROR(__xludf.DUMMYFUNCTION("""COMPUTED_VALUE"""),45949.2828417898)</f>
        <v>45949.28284</v>
      </c>
      <c r="M2606" s="1" t="str">
        <f>IFERROR(__xludf.DUMMYFUNCTION("""COMPUTED_VALUE"""),"RFID")</f>
        <v>RFID</v>
      </c>
      <c r="N2606" s="5">
        <f>IFERROR(__xludf.DUMMYFUNCTION("""COMPUTED_VALUE"""),0.006071944444444444)</f>
        <v>0.006071944444</v>
      </c>
      <c r="O2606" s="5" t="str">
        <f>IFERROR(__xludf.DUMMYFUNCTION("""COMPUTED_VALUE"""),"")</f>
        <v/>
      </c>
      <c r="P2606" s="5" t="str">
        <f>IFERROR(__xludf.DUMMYFUNCTION("""COMPUTED_VALUE"""),"")</f>
        <v/>
      </c>
      <c r="Q2606" s="5">
        <f>IFERROR(__xludf.DUMMYFUNCTION("""COMPUTED_VALUE"""),0.005579546296296296)</f>
        <v>0.005579546296</v>
      </c>
      <c r="R2606" s="4">
        <f>IFERROR(__xludf.DUMMYFUNCTION("""COMPUTED_VALUE"""),45949.0278977273)</f>
        <v>45949.0279</v>
      </c>
      <c r="S2606" s="1" t="b">
        <f>IFERROR(__xludf.DUMMYFUNCTION("""COMPUTED_VALUE"""),TRUE)</f>
        <v>1</v>
      </c>
      <c r="T2606" s="1" t="b">
        <f>IFERROR(__xludf.DUMMYFUNCTION("""COMPUTED_VALUE"""),FALSE)</f>
        <v>0</v>
      </c>
      <c r="U2606" s="1" t="str">
        <f>IFERROR(__xludf.DUMMYFUNCTION("""COMPUTED_VALUE"""),"VALID")</f>
        <v>VALID</v>
      </c>
      <c r="V2606" s="1">
        <f>IFERROR(__xludf.DUMMYFUNCTION("""COMPUTED_VALUE"""),283.0)</f>
        <v>283</v>
      </c>
      <c r="W2606" s="1">
        <f>IFERROR(__xludf.DUMMYFUNCTION("""COMPUTED_VALUE"""),427.0)</f>
        <v>427</v>
      </c>
      <c r="X2606" s="1">
        <f>IFERROR(__xludf.DUMMYFUNCTION("""COMPUTED_VALUE"""),370.0)</f>
        <v>370</v>
      </c>
      <c r="Y2606" s="2"/>
      <c r="Z2606" s="2"/>
    </row>
    <row r="2607">
      <c r="A2607" s="1">
        <f>IFERROR(__xludf.DUMMYFUNCTION("""COMPUTED_VALUE"""),2606.0)</f>
        <v>2606</v>
      </c>
      <c r="B2607" s="1">
        <f>IFERROR(__xludf.DUMMYFUNCTION("""COMPUTED_VALUE"""),6509.0)</f>
        <v>6509</v>
      </c>
      <c r="C2607" s="2" t="str">
        <f>IFERROR(__xludf.DUMMYFUNCTION("""COMPUTED_VALUE"""),"GM PLN UIP3B KALIMANTAN")</f>
        <v>GM PLN UIP3B KALIMANTAN</v>
      </c>
      <c r="D2607" s="2" t="str">
        <f>IFERROR(__xludf.DUMMYFUNCTION("""COMPUTED_VALUE"""),"5KM OVERALL M")</f>
        <v>5KM OVERALL M</v>
      </c>
      <c r="E2607" s="1">
        <f>IFERROR(__xludf.DUMMYFUNCTION("""COMPUTED_VALUE"""),2.0)</f>
        <v>2</v>
      </c>
      <c r="F2607" s="1" t="str">
        <f>IFERROR(__xludf.DUMMYFUNCTION("""COMPUTED_VALUE"""),"Male")</f>
        <v>Male</v>
      </c>
      <c r="G2607" s="4" t="b">
        <f>IFERROR(__xludf.DUMMYFUNCTION("""COMPUTED_VALUE"""),TRUE)</f>
        <v>1</v>
      </c>
      <c r="H2607" s="4" t="b">
        <f>IFERROR(__xludf.DUMMYFUNCTION("""COMPUTED_VALUE"""),TRUE)</f>
        <v>1</v>
      </c>
      <c r="I2607" s="4">
        <f>IFERROR(__xludf.DUMMYFUNCTION("""COMPUTED_VALUE"""),0.2549440625)</f>
        <v>0.2549440625</v>
      </c>
      <c r="J2607" s="4">
        <f>IFERROR(__xludf.DUMMYFUNCTION("""COMPUTED_VALUE"""),45949.27525239391)</f>
        <v>45949.27525</v>
      </c>
      <c r="K2607" s="4" t="str">
        <f>IFERROR(__xludf.DUMMYFUNCTION("""COMPUTED_VALUE"""),"")</f>
        <v/>
      </c>
      <c r="L2607" s="4">
        <f>IFERROR(__xludf.DUMMYFUNCTION("""COMPUTED_VALUE"""),45949.28563003303)</f>
        <v>45949.28563</v>
      </c>
      <c r="M2607" s="1" t="str">
        <f>IFERROR(__xludf.DUMMYFUNCTION("""COMPUTED_VALUE"""),"RFID")</f>
        <v>RFID</v>
      </c>
      <c r="N2607" s="5">
        <f>IFERROR(__xludf.DUMMYFUNCTION("""COMPUTED_VALUE"""),0.008123333333333333)</f>
        <v>0.008123333333</v>
      </c>
      <c r="O2607" s="5" t="str">
        <f>IFERROR(__xludf.DUMMYFUNCTION("""COMPUTED_VALUE"""),"")</f>
        <v/>
      </c>
      <c r="P2607" s="5" t="str">
        <f>IFERROR(__xludf.DUMMYFUNCTION("""COMPUTED_VALUE"""),"")</f>
        <v/>
      </c>
      <c r="Q2607" s="5">
        <f>IFERROR(__xludf.DUMMYFUNCTION("""COMPUTED_VALUE"""),0.006137194444444444)</f>
        <v>0.006137194444</v>
      </c>
      <c r="R2607" s="4">
        <f>IFERROR(__xludf.DUMMYFUNCTION("""COMPUTED_VALUE"""),45949.03068597053)</f>
        <v>45949.03069</v>
      </c>
      <c r="S2607" s="1" t="b">
        <f>IFERROR(__xludf.DUMMYFUNCTION("""COMPUTED_VALUE"""),TRUE)</f>
        <v>1</v>
      </c>
      <c r="T2607" s="1" t="b">
        <f>IFERROR(__xludf.DUMMYFUNCTION("""COMPUTED_VALUE"""),FALSE)</f>
        <v>0</v>
      </c>
      <c r="U2607" s="1" t="str">
        <f>IFERROR(__xludf.DUMMYFUNCTION("""COMPUTED_VALUE"""),"VALID")</f>
        <v>VALID</v>
      </c>
      <c r="V2607" s="1">
        <f>IFERROR(__xludf.DUMMYFUNCTION("""COMPUTED_VALUE"""),402.0)</f>
        <v>402</v>
      </c>
      <c r="W2607" s="1">
        <f>IFERROR(__xludf.DUMMYFUNCTION("""COMPUTED_VALUE"""),615.0)</f>
        <v>615</v>
      </c>
      <c r="X2607" s="1">
        <f>IFERROR(__xludf.DUMMYFUNCTION("""COMPUTED_VALUE"""),516.0)</f>
        <v>516</v>
      </c>
      <c r="Y2607" s="2"/>
      <c r="Z2607" s="2"/>
    </row>
    <row r="2608">
      <c r="A2608" s="1">
        <f>IFERROR(__xludf.DUMMYFUNCTION("""COMPUTED_VALUE"""),2607.0)</f>
        <v>2607</v>
      </c>
      <c r="B2608" s="1">
        <f>IFERROR(__xludf.DUMMYFUNCTION("""COMPUTED_VALUE"""),6510.0)</f>
        <v>6510</v>
      </c>
      <c r="C2608" s="2" t="str">
        <f>IFERROR(__xludf.DUMMYFUNCTION("""COMPUTED_VALUE"""),"VP HTD AREA 4")</f>
        <v>VP HTD AREA 4</v>
      </c>
      <c r="D2608" s="2" t="str">
        <f>IFERROR(__xludf.DUMMYFUNCTION("""COMPUTED_VALUE"""),"5KM OVERALL M")</f>
        <v>5KM OVERALL M</v>
      </c>
      <c r="E2608" s="1">
        <f>IFERROR(__xludf.DUMMYFUNCTION("""COMPUTED_VALUE"""),2.0)</f>
        <v>2</v>
      </c>
      <c r="F2608" s="1" t="str">
        <f>IFERROR(__xludf.DUMMYFUNCTION("""COMPUTED_VALUE"""),"Male")</f>
        <v>Male</v>
      </c>
      <c r="G2608" s="4" t="str">
        <f>IFERROR(__xludf.DUMMYFUNCTION("""COMPUTED_VALUE"""),"")</f>
        <v/>
      </c>
      <c r="H2608" s="4" t="b">
        <f>IFERROR(__xludf.DUMMYFUNCTION("""COMPUTED_VALUE"""),FALSE)</f>
        <v>0</v>
      </c>
      <c r="I2608" s="4">
        <f>IFERROR(__xludf.DUMMYFUNCTION("""COMPUTED_VALUE"""),0.2549440625)</f>
        <v>0.2549440625</v>
      </c>
      <c r="J2608" s="4" t="str">
        <f>IFERROR(__xludf.DUMMYFUNCTION("""COMPUTED_VALUE"""),"")</f>
        <v/>
      </c>
      <c r="K2608" s="4" t="str">
        <f>IFERROR(__xludf.DUMMYFUNCTION("""COMPUTED_VALUE"""),"")</f>
        <v/>
      </c>
      <c r="L2608" s="4" t="str">
        <f>IFERROR(__xludf.DUMMYFUNCTION("""COMPUTED_VALUE"""),"")</f>
        <v/>
      </c>
      <c r="M2608" s="1" t="str">
        <f>IFERROR(__xludf.DUMMYFUNCTION("""COMPUTED_VALUE"""),"RFID")</f>
        <v>RFID</v>
      </c>
      <c r="N2608" s="5" t="str">
        <f>IFERROR(__xludf.DUMMYFUNCTION("""COMPUTED_VALUE"""),"")</f>
        <v/>
      </c>
      <c r="O2608" s="5" t="str">
        <f>IFERROR(__xludf.DUMMYFUNCTION("""COMPUTED_VALUE"""),"")</f>
        <v/>
      </c>
      <c r="P2608" s="5" t="str">
        <f>IFERROR(__xludf.DUMMYFUNCTION("""COMPUTED_VALUE"""),"")</f>
        <v/>
      </c>
      <c r="Q2608" s="5" t="str">
        <f>IFERROR(__xludf.DUMMYFUNCTION("""COMPUTED_VALUE"""),"")</f>
        <v/>
      </c>
      <c r="R2608" s="4" t="str">
        <f>IFERROR(__xludf.DUMMYFUNCTION("""COMPUTED_VALUE"""),"")</f>
        <v/>
      </c>
      <c r="S2608" s="1" t="b">
        <f>IFERROR(__xludf.DUMMYFUNCTION("""COMPUTED_VALUE"""),FALSE)</f>
        <v>0</v>
      </c>
      <c r="T2608" s="1" t="b">
        <f>IFERROR(__xludf.DUMMYFUNCTION("""COMPUTED_VALUE"""),FALSE)</f>
        <v>0</v>
      </c>
      <c r="U2608" s="1" t="str">
        <f>IFERROR(__xludf.DUMMYFUNCTION("""COMPUTED_VALUE"""),"DSQ")</f>
        <v>DSQ</v>
      </c>
      <c r="V2608" s="1" t="str">
        <f>IFERROR(__xludf.DUMMYFUNCTION("""COMPUTED_VALUE"""),"DSQ")</f>
        <v>DSQ</v>
      </c>
      <c r="W2608" s="1" t="str">
        <f>IFERROR(__xludf.DUMMYFUNCTION("""COMPUTED_VALUE"""),"DSQ")</f>
        <v>DSQ</v>
      </c>
      <c r="X2608" s="1" t="str">
        <f>IFERROR(__xludf.DUMMYFUNCTION("""COMPUTED_VALUE"""),"DSQ")</f>
        <v>DSQ</v>
      </c>
      <c r="Y2608" s="2"/>
      <c r="Z2608" s="2" t="str">
        <f>IFERROR(__xludf.DUMMYFUNCTION("""COMPUTED_VALUE"""),"")</f>
        <v/>
      </c>
    </row>
    <row r="2609">
      <c r="A2609" s="1">
        <f>IFERROR(__xludf.DUMMYFUNCTION("""COMPUTED_VALUE"""),2608.0)</f>
        <v>2608</v>
      </c>
      <c r="B2609" s="1">
        <f>IFERROR(__xludf.DUMMYFUNCTION("""COMPUTED_VALUE"""),6511.0)</f>
        <v>6511</v>
      </c>
      <c r="C2609" s="2" t="str">
        <f>IFERROR(__xludf.DUMMYFUNCTION("""COMPUTED_VALUE"""),"MAN UPDL BANJARBARU")</f>
        <v>MAN UPDL BANJARBARU</v>
      </c>
      <c r="D2609" s="2" t="str">
        <f>IFERROR(__xludf.DUMMYFUNCTION("""COMPUTED_VALUE"""),"5KM OVERALL M")</f>
        <v>5KM OVERALL M</v>
      </c>
      <c r="E2609" s="1">
        <f>IFERROR(__xludf.DUMMYFUNCTION("""COMPUTED_VALUE"""),2.0)</f>
        <v>2</v>
      </c>
      <c r="F2609" s="1" t="str">
        <f>IFERROR(__xludf.DUMMYFUNCTION("""COMPUTED_VALUE"""),"Male")</f>
        <v>Male</v>
      </c>
      <c r="G2609" s="4" t="b">
        <f>IFERROR(__xludf.DUMMYFUNCTION("""COMPUTED_VALUE"""),TRUE)</f>
        <v>1</v>
      </c>
      <c r="H2609" s="4" t="b">
        <f>IFERROR(__xludf.DUMMYFUNCTION("""COMPUTED_VALUE"""),FALSE)</f>
        <v>0</v>
      </c>
      <c r="I2609" s="4">
        <f>IFERROR(__xludf.DUMMYFUNCTION("""COMPUTED_VALUE"""),0.2549440625)</f>
        <v>0.2549440625</v>
      </c>
      <c r="J2609" s="4">
        <f>IFERROR(__xludf.DUMMYFUNCTION("""COMPUTED_VALUE"""),45949.27082536129)</f>
        <v>45949.27083</v>
      </c>
      <c r="K2609" s="4" t="str">
        <f>IFERROR(__xludf.DUMMYFUNCTION("""COMPUTED_VALUE"""),"")</f>
        <v/>
      </c>
      <c r="L2609" s="4">
        <f>IFERROR(__xludf.DUMMYFUNCTION("""COMPUTED_VALUE"""),45949.28219600826)</f>
        <v>45949.2822</v>
      </c>
      <c r="M2609" s="1" t="str">
        <f>IFERROR(__xludf.DUMMYFUNCTION("""COMPUTED_VALUE"""),"RFID")</f>
        <v>RFID</v>
      </c>
      <c r="N2609" s="5">
        <f>IFERROR(__xludf.DUMMYFUNCTION("""COMPUTED_VALUE"""),0.006352518518518519)</f>
        <v>0.006352518519</v>
      </c>
      <c r="O2609" s="5" t="str">
        <f>IFERROR(__xludf.DUMMYFUNCTION("""COMPUTED_VALUE"""),"")</f>
        <v/>
      </c>
      <c r="P2609" s="5" t="str">
        <f>IFERROR(__xludf.DUMMYFUNCTION("""COMPUTED_VALUE"""),"")</f>
        <v/>
      </c>
      <c r="Q2609" s="5">
        <f>IFERROR(__xludf.DUMMYFUNCTION("""COMPUTED_VALUE"""),0.005450388888888889)</f>
        <v>0.005450388889</v>
      </c>
      <c r="R2609" s="4">
        <f>IFERROR(__xludf.DUMMYFUNCTION("""COMPUTED_VALUE"""),45949.02725194576)</f>
        <v>45949.02725</v>
      </c>
      <c r="S2609" s="1" t="b">
        <f>IFERROR(__xludf.DUMMYFUNCTION("""COMPUTED_VALUE"""),TRUE)</f>
        <v>1</v>
      </c>
      <c r="T2609" s="1" t="b">
        <f>IFERROR(__xludf.DUMMYFUNCTION("""COMPUTED_VALUE"""),FALSE)</f>
        <v>0</v>
      </c>
      <c r="U2609" s="1" t="str">
        <f>IFERROR(__xludf.DUMMYFUNCTION("""COMPUTED_VALUE"""),"VALID")</f>
        <v>VALID</v>
      </c>
      <c r="V2609" s="1">
        <f>IFERROR(__xludf.DUMMYFUNCTION("""COMPUTED_VALUE"""),256.0)</f>
        <v>256</v>
      </c>
      <c r="W2609" s="1">
        <f>IFERROR(__xludf.DUMMYFUNCTION("""COMPUTED_VALUE"""),392.0)</f>
        <v>392</v>
      </c>
      <c r="X2609" s="1">
        <f>IFERROR(__xludf.DUMMYFUNCTION("""COMPUTED_VALUE"""),340.0)</f>
        <v>340</v>
      </c>
      <c r="Y2609" s="2"/>
      <c r="Z2609" s="2"/>
    </row>
    <row r="2610">
      <c r="A2610" s="1">
        <f>IFERROR(__xludf.DUMMYFUNCTION("""COMPUTED_VALUE"""),2609.0)</f>
        <v>2609</v>
      </c>
      <c r="B2610" s="1">
        <f>IFERROR(__xludf.DUMMYFUNCTION("""COMPUTED_VALUE"""),6512.0)</f>
        <v>6512</v>
      </c>
      <c r="C2610" s="2" t="str">
        <f>IFERROR(__xludf.DUMMYFUNCTION("""COMPUTED_VALUE"""),"MAN UPP 4 KALBAGTIM")</f>
        <v>MAN UPP 4 KALBAGTIM</v>
      </c>
      <c r="D2610" s="2" t="str">
        <f>IFERROR(__xludf.DUMMYFUNCTION("""COMPUTED_VALUE"""),"5KM OVERALL M")</f>
        <v>5KM OVERALL M</v>
      </c>
      <c r="E2610" s="1">
        <f>IFERROR(__xludf.DUMMYFUNCTION("""COMPUTED_VALUE"""),2.0)</f>
        <v>2</v>
      </c>
      <c r="F2610" s="1" t="str">
        <f>IFERROR(__xludf.DUMMYFUNCTION("""COMPUTED_VALUE"""),"Male")</f>
        <v>Male</v>
      </c>
      <c r="G2610" s="4" t="str">
        <f>IFERROR(__xludf.DUMMYFUNCTION("""COMPUTED_VALUE"""),"")</f>
        <v/>
      </c>
      <c r="H2610" s="4" t="b">
        <f>IFERROR(__xludf.DUMMYFUNCTION("""COMPUTED_VALUE"""),FALSE)</f>
        <v>0</v>
      </c>
      <c r="I2610" s="4">
        <f>IFERROR(__xludf.DUMMYFUNCTION("""COMPUTED_VALUE"""),0.2549440625)</f>
        <v>0.2549440625</v>
      </c>
      <c r="J2610" s="4" t="str">
        <f>IFERROR(__xludf.DUMMYFUNCTION("""COMPUTED_VALUE"""),"")</f>
        <v/>
      </c>
      <c r="K2610" s="4" t="str">
        <f>IFERROR(__xludf.DUMMYFUNCTION("""COMPUTED_VALUE"""),"")</f>
        <v/>
      </c>
      <c r="L2610" s="4" t="str">
        <f>IFERROR(__xludf.DUMMYFUNCTION("""COMPUTED_VALUE"""),"")</f>
        <v/>
      </c>
      <c r="M2610" s="1" t="str">
        <f>IFERROR(__xludf.DUMMYFUNCTION("""COMPUTED_VALUE"""),"RFID")</f>
        <v>RFID</v>
      </c>
      <c r="N2610" s="5" t="str">
        <f>IFERROR(__xludf.DUMMYFUNCTION("""COMPUTED_VALUE"""),"")</f>
        <v/>
      </c>
      <c r="O2610" s="5" t="str">
        <f>IFERROR(__xludf.DUMMYFUNCTION("""COMPUTED_VALUE"""),"")</f>
        <v/>
      </c>
      <c r="P2610" s="5" t="str">
        <f>IFERROR(__xludf.DUMMYFUNCTION("""COMPUTED_VALUE"""),"")</f>
        <v/>
      </c>
      <c r="Q2610" s="5" t="str">
        <f>IFERROR(__xludf.DUMMYFUNCTION("""COMPUTED_VALUE"""),"")</f>
        <v/>
      </c>
      <c r="R2610" s="4" t="str">
        <f>IFERROR(__xludf.DUMMYFUNCTION("""COMPUTED_VALUE"""),"")</f>
        <v/>
      </c>
      <c r="S2610" s="1" t="b">
        <f>IFERROR(__xludf.DUMMYFUNCTION("""COMPUTED_VALUE"""),FALSE)</f>
        <v>0</v>
      </c>
      <c r="T2610" s="1" t="b">
        <f>IFERROR(__xludf.DUMMYFUNCTION("""COMPUTED_VALUE"""),FALSE)</f>
        <v>0</v>
      </c>
      <c r="U2610" s="1" t="str">
        <f>IFERROR(__xludf.DUMMYFUNCTION("""COMPUTED_VALUE"""),"DSQ")</f>
        <v>DSQ</v>
      </c>
      <c r="V2610" s="1" t="str">
        <f>IFERROR(__xludf.DUMMYFUNCTION("""COMPUTED_VALUE"""),"DSQ")</f>
        <v>DSQ</v>
      </c>
      <c r="W2610" s="1" t="str">
        <f>IFERROR(__xludf.DUMMYFUNCTION("""COMPUTED_VALUE"""),"DSQ")</f>
        <v>DSQ</v>
      </c>
      <c r="X2610" s="1" t="str">
        <f>IFERROR(__xludf.DUMMYFUNCTION("""COMPUTED_VALUE"""),"DSQ")</f>
        <v>DSQ</v>
      </c>
      <c r="Y2610" s="2"/>
      <c r="Z2610" s="2" t="str">
        <f>IFERROR(__xludf.DUMMYFUNCTION("""COMPUTED_VALUE"""),"")</f>
        <v/>
      </c>
    </row>
    <row r="2611">
      <c r="A2611" s="1">
        <f>IFERROR(__xludf.DUMMYFUNCTION("""COMPUTED_VALUE"""),2610.0)</f>
        <v>2610</v>
      </c>
      <c r="B2611" s="1">
        <f>IFERROR(__xludf.DUMMYFUNCTION("""COMPUTED_VALUE"""),6513.0)</f>
        <v>6513</v>
      </c>
      <c r="C2611" s="2" t="str">
        <f>IFERROR(__xludf.DUMMYFUNCTION("""COMPUTED_VALUE"""),"MAN YAN HC KALIMANTAN")</f>
        <v>MAN YAN HC KALIMANTAN</v>
      </c>
      <c r="D2611" s="2" t="str">
        <f>IFERROR(__xludf.DUMMYFUNCTION("""COMPUTED_VALUE"""),"5KM OVERALL M")</f>
        <v>5KM OVERALL M</v>
      </c>
      <c r="E2611" s="1">
        <f>IFERROR(__xludf.DUMMYFUNCTION("""COMPUTED_VALUE"""),2.0)</f>
        <v>2</v>
      </c>
      <c r="F2611" s="1" t="str">
        <f>IFERROR(__xludf.DUMMYFUNCTION("""COMPUTED_VALUE"""),"Male")</f>
        <v>Male</v>
      </c>
      <c r="G2611" s="4" t="str">
        <f>IFERROR(__xludf.DUMMYFUNCTION("""COMPUTED_VALUE"""),"")</f>
        <v/>
      </c>
      <c r="H2611" s="4" t="b">
        <f>IFERROR(__xludf.DUMMYFUNCTION("""COMPUTED_VALUE"""),FALSE)</f>
        <v>0</v>
      </c>
      <c r="I2611" s="4">
        <f>IFERROR(__xludf.DUMMYFUNCTION("""COMPUTED_VALUE"""),0.2549440625)</f>
        <v>0.2549440625</v>
      </c>
      <c r="J2611" s="4" t="str">
        <f>IFERROR(__xludf.DUMMYFUNCTION("""COMPUTED_VALUE"""),"")</f>
        <v/>
      </c>
      <c r="K2611" s="4" t="str">
        <f>IFERROR(__xludf.DUMMYFUNCTION("""COMPUTED_VALUE"""),"")</f>
        <v/>
      </c>
      <c r="L2611" s="4" t="str">
        <f>IFERROR(__xludf.DUMMYFUNCTION("""COMPUTED_VALUE"""),"")</f>
        <v/>
      </c>
      <c r="M2611" s="1" t="str">
        <f>IFERROR(__xludf.DUMMYFUNCTION("""COMPUTED_VALUE"""),"RFID")</f>
        <v>RFID</v>
      </c>
      <c r="N2611" s="5" t="str">
        <f>IFERROR(__xludf.DUMMYFUNCTION("""COMPUTED_VALUE"""),"")</f>
        <v/>
      </c>
      <c r="O2611" s="5" t="str">
        <f>IFERROR(__xludf.DUMMYFUNCTION("""COMPUTED_VALUE"""),"")</f>
        <v/>
      </c>
      <c r="P2611" s="5" t="str">
        <f>IFERROR(__xludf.DUMMYFUNCTION("""COMPUTED_VALUE"""),"")</f>
        <v/>
      </c>
      <c r="Q2611" s="5" t="str">
        <f>IFERROR(__xludf.DUMMYFUNCTION("""COMPUTED_VALUE"""),"")</f>
        <v/>
      </c>
      <c r="R2611" s="4" t="str">
        <f>IFERROR(__xludf.DUMMYFUNCTION("""COMPUTED_VALUE"""),"")</f>
        <v/>
      </c>
      <c r="S2611" s="1" t="b">
        <f>IFERROR(__xludf.DUMMYFUNCTION("""COMPUTED_VALUE"""),FALSE)</f>
        <v>0</v>
      </c>
      <c r="T2611" s="1" t="b">
        <f>IFERROR(__xludf.DUMMYFUNCTION("""COMPUTED_VALUE"""),FALSE)</f>
        <v>0</v>
      </c>
      <c r="U2611" s="1" t="str">
        <f>IFERROR(__xludf.DUMMYFUNCTION("""COMPUTED_VALUE"""),"DSQ")</f>
        <v>DSQ</v>
      </c>
      <c r="V2611" s="1" t="str">
        <f>IFERROR(__xludf.DUMMYFUNCTION("""COMPUTED_VALUE"""),"DSQ")</f>
        <v>DSQ</v>
      </c>
      <c r="W2611" s="1" t="str">
        <f>IFERROR(__xludf.DUMMYFUNCTION("""COMPUTED_VALUE"""),"DSQ")</f>
        <v>DSQ</v>
      </c>
      <c r="X2611" s="1" t="str">
        <f>IFERROR(__xludf.DUMMYFUNCTION("""COMPUTED_VALUE"""),"DSQ")</f>
        <v>DSQ</v>
      </c>
      <c r="Y2611" s="2"/>
      <c r="Z2611" s="2" t="str">
        <f>IFERROR(__xludf.DUMMYFUNCTION("""COMPUTED_VALUE"""),"")</f>
        <v/>
      </c>
    </row>
    <row r="2612">
      <c r="A2612" s="1">
        <f>IFERROR(__xludf.DUMMYFUNCTION("""COMPUTED_VALUE"""),2611.0)</f>
        <v>2611</v>
      </c>
      <c r="B2612" s="1">
        <f>IFERROR(__xludf.DUMMYFUNCTION("""COMPUTED_VALUE"""),6514.0)</f>
        <v>6514</v>
      </c>
      <c r="C2612" s="2" t="str">
        <f>IFERROR(__xludf.DUMMYFUNCTION("""COMPUTED_VALUE"""),"MAN STI")</f>
        <v>MAN STI</v>
      </c>
      <c r="D2612" s="2" t="str">
        <f>IFERROR(__xludf.DUMMYFUNCTION("""COMPUTED_VALUE"""),"5KM OVERALL M")</f>
        <v>5KM OVERALL M</v>
      </c>
      <c r="E2612" s="1">
        <f>IFERROR(__xludf.DUMMYFUNCTION("""COMPUTED_VALUE"""),2.0)</f>
        <v>2</v>
      </c>
      <c r="F2612" s="1" t="str">
        <f>IFERROR(__xludf.DUMMYFUNCTION("""COMPUTED_VALUE"""),"Male")</f>
        <v>Male</v>
      </c>
      <c r="G2612" s="4" t="str">
        <f>IFERROR(__xludf.DUMMYFUNCTION("""COMPUTED_VALUE"""),"")</f>
        <v/>
      </c>
      <c r="H2612" s="4" t="b">
        <f>IFERROR(__xludf.DUMMYFUNCTION("""COMPUTED_VALUE"""),FALSE)</f>
        <v>0</v>
      </c>
      <c r="I2612" s="4">
        <f>IFERROR(__xludf.DUMMYFUNCTION("""COMPUTED_VALUE"""),0.2549440625)</f>
        <v>0.2549440625</v>
      </c>
      <c r="J2612" s="4" t="str">
        <f>IFERROR(__xludf.DUMMYFUNCTION("""COMPUTED_VALUE"""),"")</f>
        <v/>
      </c>
      <c r="K2612" s="4" t="str">
        <f>IFERROR(__xludf.DUMMYFUNCTION("""COMPUTED_VALUE"""),"")</f>
        <v/>
      </c>
      <c r="L2612" s="4" t="str">
        <f>IFERROR(__xludf.DUMMYFUNCTION("""COMPUTED_VALUE"""),"")</f>
        <v/>
      </c>
      <c r="M2612" s="1" t="str">
        <f>IFERROR(__xludf.DUMMYFUNCTION("""COMPUTED_VALUE"""),"RFID")</f>
        <v>RFID</v>
      </c>
      <c r="N2612" s="5" t="str">
        <f>IFERROR(__xludf.DUMMYFUNCTION("""COMPUTED_VALUE"""),"")</f>
        <v/>
      </c>
      <c r="O2612" s="5" t="str">
        <f>IFERROR(__xludf.DUMMYFUNCTION("""COMPUTED_VALUE"""),"")</f>
        <v/>
      </c>
      <c r="P2612" s="5" t="str">
        <f>IFERROR(__xludf.DUMMYFUNCTION("""COMPUTED_VALUE"""),"")</f>
        <v/>
      </c>
      <c r="Q2612" s="5" t="str">
        <f>IFERROR(__xludf.DUMMYFUNCTION("""COMPUTED_VALUE"""),"")</f>
        <v/>
      </c>
      <c r="R2612" s="4" t="str">
        <f>IFERROR(__xludf.DUMMYFUNCTION("""COMPUTED_VALUE"""),"")</f>
        <v/>
      </c>
      <c r="S2612" s="1" t="b">
        <f>IFERROR(__xludf.DUMMYFUNCTION("""COMPUTED_VALUE"""),FALSE)</f>
        <v>0</v>
      </c>
      <c r="T2612" s="1" t="b">
        <f>IFERROR(__xludf.DUMMYFUNCTION("""COMPUTED_VALUE"""),FALSE)</f>
        <v>0</v>
      </c>
      <c r="U2612" s="1" t="str">
        <f>IFERROR(__xludf.DUMMYFUNCTION("""COMPUTED_VALUE"""),"DSQ")</f>
        <v>DSQ</v>
      </c>
      <c r="V2612" s="1" t="str">
        <f>IFERROR(__xludf.DUMMYFUNCTION("""COMPUTED_VALUE"""),"DSQ")</f>
        <v>DSQ</v>
      </c>
      <c r="W2612" s="1" t="str">
        <f>IFERROR(__xludf.DUMMYFUNCTION("""COMPUTED_VALUE"""),"DSQ")</f>
        <v>DSQ</v>
      </c>
      <c r="X2612" s="1" t="str">
        <f>IFERROR(__xludf.DUMMYFUNCTION("""COMPUTED_VALUE"""),"DSQ")</f>
        <v>DSQ</v>
      </c>
      <c r="Y2612" s="2"/>
      <c r="Z2612" s="2" t="str">
        <f>IFERROR(__xludf.DUMMYFUNCTION("""COMPUTED_VALUE"""),"")</f>
        <v/>
      </c>
    </row>
    <row r="2613">
      <c r="A2613" s="1">
        <f>IFERROR(__xludf.DUMMYFUNCTION("""COMPUTED_VALUE"""),2612.0)</f>
        <v>2612</v>
      </c>
      <c r="B2613" s="1">
        <f>IFERROR(__xludf.DUMMYFUNCTION("""COMPUTED_VALUE"""),6515.0)</f>
        <v>6515</v>
      </c>
      <c r="C2613" s="2" t="str">
        <f>IFERROR(__xludf.DUMMYFUNCTION("""COMPUTED_VALUE"""),"MAN HK KALSEL")</f>
        <v>MAN HK KALSEL</v>
      </c>
      <c r="D2613" s="2" t="str">
        <f>IFERROR(__xludf.DUMMYFUNCTION("""COMPUTED_VALUE"""),"5KM OVERALL M")</f>
        <v>5KM OVERALL M</v>
      </c>
      <c r="E2613" s="1">
        <f>IFERROR(__xludf.DUMMYFUNCTION("""COMPUTED_VALUE"""),2.0)</f>
        <v>2</v>
      </c>
      <c r="F2613" s="1" t="str">
        <f>IFERROR(__xludf.DUMMYFUNCTION("""COMPUTED_VALUE"""),"Male")</f>
        <v>Male</v>
      </c>
      <c r="G2613" s="4" t="str">
        <f>IFERROR(__xludf.DUMMYFUNCTION("""COMPUTED_VALUE"""),"")</f>
        <v/>
      </c>
      <c r="H2613" s="4" t="b">
        <f>IFERROR(__xludf.DUMMYFUNCTION("""COMPUTED_VALUE"""),FALSE)</f>
        <v>0</v>
      </c>
      <c r="I2613" s="4">
        <f>IFERROR(__xludf.DUMMYFUNCTION("""COMPUTED_VALUE"""),0.2549440625)</f>
        <v>0.2549440625</v>
      </c>
      <c r="J2613" s="4" t="str">
        <f>IFERROR(__xludf.DUMMYFUNCTION("""COMPUTED_VALUE"""),"")</f>
        <v/>
      </c>
      <c r="K2613" s="4" t="str">
        <f>IFERROR(__xludf.DUMMYFUNCTION("""COMPUTED_VALUE"""),"")</f>
        <v/>
      </c>
      <c r="L2613" s="4" t="str">
        <f>IFERROR(__xludf.DUMMYFUNCTION("""COMPUTED_VALUE"""),"")</f>
        <v/>
      </c>
      <c r="M2613" s="1" t="str">
        <f>IFERROR(__xludf.DUMMYFUNCTION("""COMPUTED_VALUE"""),"RFID")</f>
        <v>RFID</v>
      </c>
      <c r="N2613" s="5" t="str">
        <f>IFERROR(__xludf.DUMMYFUNCTION("""COMPUTED_VALUE"""),"")</f>
        <v/>
      </c>
      <c r="O2613" s="5" t="str">
        <f>IFERROR(__xludf.DUMMYFUNCTION("""COMPUTED_VALUE"""),"")</f>
        <v/>
      </c>
      <c r="P2613" s="5" t="str">
        <f>IFERROR(__xludf.DUMMYFUNCTION("""COMPUTED_VALUE"""),"")</f>
        <v/>
      </c>
      <c r="Q2613" s="5" t="str">
        <f>IFERROR(__xludf.DUMMYFUNCTION("""COMPUTED_VALUE"""),"")</f>
        <v/>
      </c>
      <c r="R2613" s="4" t="str">
        <f>IFERROR(__xludf.DUMMYFUNCTION("""COMPUTED_VALUE"""),"")</f>
        <v/>
      </c>
      <c r="S2613" s="1" t="b">
        <f>IFERROR(__xludf.DUMMYFUNCTION("""COMPUTED_VALUE"""),FALSE)</f>
        <v>0</v>
      </c>
      <c r="T2613" s="1" t="b">
        <f>IFERROR(__xludf.DUMMYFUNCTION("""COMPUTED_VALUE"""),FALSE)</f>
        <v>0</v>
      </c>
      <c r="U2613" s="1" t="str">
        <f>IFERROR(__xludf.DUMMYFUNCTION("""COMPUTED_VALUE"""),"DSQ")</f>
        <v>DSQ</v>
      </c>
      <c r="V2613" s="1" t="str">
        <f>IFERROR(__xludf.DUMMYFUNCTION("""COMPUTED_VALUE"""),"DSQ")</f>
        <v>DSQ</v>
      </c>
      <c r="W2613" s="1" t="str">
        <f>IFERROR(__xludf.DUMMYFUNCTION("""COMPUTED_VALUE"""),"DSQ")</f>
        <v>DSQ</v>
      </c>
      <c r="X2613" s="1" t="str">
        <f>IFERROR(__xludf.DUMMYFUNCTION("""COMPUTED_VALUE"""),"DSQ")</f>
        <v>DSQ</v>
      </c>
      <c r="Y2613" s="2"/>
      <c r="Z2613" s="2" t="str">
        <f>IFERROR(__xludf.DUMMYFUNCTION("""COMPUTED_VALUE"""),"")</f>
        <v/>
      </c>
    </row>
    <row r="2614">
      <c r="A2614" s="1">
        <f>IFERROR(__xludf.DUMMYFUNCTION("""COMPUTED_VALUE"""),2613.0)</f>
        <v>2613</v>
      </c>
      <c r="B2614" s="1">
        <f>IFERROR(__xludf.DUMMYFUNCTION("""COMPUTED_VALUE"""),6516.0)</f>
        <v>6516</v>
      </c>
      <c r="C2614" s="2" t="str">
        <f>IFERROR(__xludf.DUMMYFUNCTION("""COMPUTED_VALUE"""),"MAN NP UP KALSELTENG")</f>
        <v>MAN NP UP KALSELTENG</v>
      </c>
      <c r="D2614" s="2" t="str">
        <f>IFERROR(__xludf.DUMMYFUNCTION("""COMPUTED_VALUE"""),"5KM OVERALL M")</f>
        <v>5KM OVERALL M</v>
      </c>
      <c r="E2614" s="1">
        <f>IFERROR(__xludf.DUMMYFUNCTION("""COMPUTED_VALUE"""),2.0)</f>
        <v>2</v>
      </c>
      <c r="F2614" s="1" t="str">
        <f>IFERROR(__xludf.DUMMYFUNCTION("""COMPUTED_VALUE"""),"Male")</f>
        <v>Male</v>
      </c>
      <c r="G2614" s="4" t="str">
        <f>IFERROR(__xludf.DUMMYFUNCTION("""COMPUTED_VALUE"""),"")</f>
        <v/>
      </c>
      <c r="H2614" s="4" t="b">
        <f>IFERROR(__xludf.DUMMYFUNCTION("""COMPUTED_VALUE"""),FALSE)</f>
        <v>0</v>
      </c>
      <c r="I2614" s="4">
        <f>IFERROR(__xludf.DUMMYFUNCTION("""COMPUTED_VALUE"""),0.2549440625)</f>
        <v>0.2549440625</v>
      </c>
      <c r="J2614" s="4" t="str">
        <f>IFERROR(__xludf.DUMMYFUNCTION("""COMPUTED_VALUE"""),"")</f>
        <v/>
      </c>
      <c r="K2614" s="4" t="str">
        <f>IFERROR(__xludf.DUMMYFUNCTION("""COMPUTED_VALUE"""),"")</f>
        <v/>
      </c>
      <c r="L2614" s="4" t="str">
        <f>IFERROR(__xludf.DUMMYFUNCTION("""COMPUTED_VALUE"""),"")</f>
        <v/>
      </c>
      <c r="M2614" s="1" t="str">
        <f>IFERROR(__xludf.DUMMYFUNCTION("""COMPUTED_VALUE"""),"RFID")</f>
        <v>RFID</v>
      </c>
      <c r="N2614" s="5" t="str">
        <f>IFERROR(__xludf.DUMMYFUNCTION("""COMPUTED_VALUE"""),"")</f>
        <v/>
      </c>
      <c r="O2614" s="5" t="str">
        <f>IFERROR(__xludf.DUMMYFUNCTION("""COMPUTED_VALUE"""),"")</f>
        <v/>
      </c>
      <c r="P2614" s="5" t="str">
        <f>IFERROR(__xludf.DUMMYFUNCTION("""COMPUTED_VALUE"""),"")</f>
        <v/>
      </c>
      <c r="Q2614" s="5" t="str">
        <f>IFERROR(__xludf.DUMMYFUNCTION("""COMPUTED_VALUE"""),"")</f>
        <v/>
      </c>
      <c r="R2614" s="4" t="str">
        <f>IFERROR(__xludf.DUMMYFUNCTION("""COMPUTED_VALUE"""),"")</f>
        <v/>
      </c>
      <c r="S2614" s="1" t="b">
        <f>IFERROR(__xludf.DUMMYFUNCTION("""COMPUTED_VALUE"""),FALSE)</f>
        <v>0</v>
      </c>
      <c r="T2614" s="1" t="b">
        <f>IFERROR(__xludf.DUMMYFUNCTION("""COMPUTED_VALUE"""),FALSE)</f>
        <v>0</v>
      </c>
      <c r="U2614" s="1" t="str">
        <f>IFERROR(__xludf.DUMMYFUNCTION("""COMPUTED_VALUE"""),"DSQ")</f>
        <v>DSQ</v>
      </c>
      <c r="V2614" s="1" t="str">
        <f>IFERROR(__xludf.DUMMYFUNCTION("""COMPUTED_VALUE"""),"DSQ")</f>
        <v>DSQ</v>
      </c>
      <c r="W2614" s="1" t="str">
        <f>IFERROR(__xludf.DUMMYFUNCTION("""COMPUTED_VALUE"""),"DSQ")</f>
        <v>DSQ</v>
      </c>
      <c r="X2614" s="1" t="str">
        <f>IFERROR(__xludf.DUMMYFUNCTION("""COMPUTED_VALUE"""),"DSQ")</f>
        <v>DSQ</v>
      </c>
      <c r="Y2614" s="2"/>
      <c r="Z2614" s="2" t="str">
        <f>IFERROR(__xludf.DUMMYFUNCTION("""COMPUTED_VALUE"""),"")</f>
        <v/>
      </c>
    </row>
    <row r="2615">
      <c r="A2615" s="1">
        <f>IFERROR(__xludf.DUMMYFUNCTION("""COMPUTED_VALUE"""),2614.0)</f>
        <v>2614</v>
      </c>
      <c r="B2615" s="1">
        <f>IFERROR(__xludf.DUMMYFUNCTION("""COMPUTED_VALUE"""),6517.0)</f>
        <v>6517</v>
      </c>
      <c r="C2615" s="2" t="str">
        <f>IFERROR(__xludf.DUMMYFUNCTION("""COMPUTED_VALUE"""),"MAN NP UP PULANG PISAU")</f>
        <v>MAN NP UP PULANG PISAU</v>
      </c>
      <c r="D2615" s="2" t="str">
        <f>IFERROR(__xludf.DUMMYFUNCTION("""COMPUTED_VALUE"""),"5KM OVERALL M")</f>
        <v>5KM OVERALL M</v>
      </c>
      <c r="E2615" s="1">
        <f>IFERROR(__xludf.DUMMYFUNCTION("""COMPUTED_VALUE"""),2.0)</f>
        <v>2</v>
      </c>
      <c r="F2615" s="1" t="str">
        <f>IFERROR(__xludf.DUMMYFUNCTION("""COMPUTED_VALUE"""),"Male")</f>
        <v>Male</v>
      </c>
      <c r="G2615" s="4" t="b">
        <f>IFERROR(__xludf.DUMMYFUNCTION("""COMPUTED_VALUE"""),TRUE)</f>
        <v>1</v>
      </c>
      <c r="H2615" s="4" t="b">
        <f>IFERROR(__xludf.DUMMYFUNCTION("""COMPUTED_VALUE"""),FALSE)</f>
        <v>0</v>
      </c>
      <c r="I2615" s="4">
        <f>IFERROR(__xludf.DUMMYFUNCTION("""COMPUTED_VALUE"""),0.2549440625)</f>
        <v>0.2549440625</v>
      </c>
      <c r="J2615" s="4">
        <f>IFERROR(__xludf.DUMMYFUNCTION("""COMPUTED_VALUE"""),45949.271224666925)</f>
        <v>45949.27122</v>
      </c>
      <c r="K2615" s="4" t="str">
        <f>IFERROR(__xludf.DUMMYFUNCTION("""COMPUTED_VALUE"""),"")</f>
        <v/>
      </c>
      <c r="L2615" s="4">
        <f>IFERROR(__xludf.DUMMYFUNCTION("""COMPUTED_VALUE"""),45949.28229670397)</f>
        <v>45949.2823</v>
      </c>
      <c r="M2615" s="1" t="str">
        <f>IFERROR(__xludf.DUMMYFUNCTION("""COMPUTED_VALUE"""),"RFID")</f>
        <v>RFID</v>
      </c>
      <c r="N2615" s="5">
        <f>IFERROR(__xludf.DUMMYFUNCTION("""COMPUTED_VALUE"""),0.00651224074074074)</f>
        <v>0.006512240741</v>
      </c>
      <c r="O2615" s="5" t="str">
        <f>IFERROR(__xludf.DUMMYFUNCTION("""COMPUTED_VALUE"""),"")</f>
        <v/>
      </c>
      <c r="P2615" s="5" t="str">
        <f>IFERROR(__xludf.DUMMYFUNCTION("""COMPUTED_VALUE"""),"")</f>
        <v/>
      </c>
      <c r="Q2615" s="5">
        <f>IFERROR(__xludf.DUMMYFUNCTION("""COMPUTED_VALUE"""),0.005470527777777777)</f>
        <v>0.005470527778</v>
      </c>
      <c r="R2615" s="4">
        <f>IFERROR(__xludf.DUMMYFUNCTION("""COMPUTED_VALUE"""),45949.02735264147)</f>
        <v>45949.02735</v>
      </c>
      <c r="S2615" s="1" t="b">
        <f>IFERROR(__xludf.DUMMYFUNCTION("""COMPUTED_VALUE"""),TRUE)</f>
        <v>1</v>
      </c>
      <c r="T2615" s="1" t="b">
        <f>IFERROR(__xludf.DUMMYFUNCTION("""COMPUTED_VALUE"""),FALSE)</f>
        <v>0</v>
      </c>
      <c r="U2615" s="1" t="str">
        <f>IFERROR(__xludf.DUMMYFUNCTION("""COMPUTED_VALUE"""),"VALID")</f>
        <v>VALID</v>
      </c>
      <c r="V2615" s="1">
        <f>IFERROR(__xludf.DUMMYFUNCTION("""COMPUTED_VALUE"""),258.0)</f>
        <v>258</v>
      </c>
      <c r="W2615" s="1">
        <f>IFERROR(__xludf.DUMMYFUNCTION("""COMPUTED_VALUE"""),395.0)</f>
        <v>395</v>
      </c>
      <c r="X2615" s="1">
        <f>IFERROR(__xludf.DUMMYFUNCTION("""COMPUTED_VALUE"""),342.0)</f>
        <v>342</v>
      </c>
      <c r="Y2615" s="2"/>
      <c r="Z2615" s="2"/>
    </row>
    <row r="2616">
      <c r="A2616" s="1">
        <f>IFERROR(__xludf.DUMMYFUNCTION("""COMPUTED_VALUE"""),2615.0)</f>
        <v>2615</v>
      </c>
      <c r="B2616" s="1">
        <f>IFERROR(__xludf.DUMMYFUNCTION("""COMPUTED_VALUE"""),6518.0)</f>
        <v>6518</v>
      </c>
      <c r="C2616" s="2" t="str">
        <f>IFERROR(__xludf.DUMMYFUNCTION("""COMPUTED_VALUE"""),"MAN IP UBP BARITO")</f>
        <v>MAN IP UBP BARITO</v>
      </c>
      <c r="D2616" s="2" t="str">
        <f>IFERROR(__xludf.DUMMYFUNCTION("""COMPUTED_VALUE"""),"5KM OVERALL M")</f>
        <v>5KM OVERALL M</v>
      </c>
      <c r="E2616" s="1">
        <f>IFERROR(__xludf.DUMMYFUNCTION("""COMPUTED_VALUE"""),2.0)</f>
        <v>2</v>
      </c>
      <c r="F2616" s="1" t="str">
        <f>IFERROR(__xludf.DUMMYFUNCTION("""COMPUTED_VALUE"""),"Male")</f>
        <v>Male</v>
      </c>
      <c r="G2616" s="4" t="str">
        <f>IFERROR(__xludf.DUMMYFUNCTION("""COMPUTED_VALUE"""),"")</f>
        <v/>
      </c>
      <c r="H2616" s="4" t="b">
        <f>IFERROR(__xludf.DUMMYFUNCTION("""COMPUTED_VALUE"""),FALSE)</f>
        <v>0</v>
      </c>
      <c r="I2616" s="4">
        <f>IFERROR(__xludf.DUMMYFUNCTION("""COMPUTED_VALUE"""),0.2549440625)</f>
        <v>0.2549440625</v>
      </c>
      <c r="J2616" s="4" t="str">
        <f>IFERROR(__xludf.DUMMYFUNCTION("""COMPUTED_VALUE"""),"")</f>
        <v/>
      </c>
      <c r="K2616" s="4" t="str">
        <f>IFERROR(__xludf.DUMMYFUNCTION("""COMPUTED_VALUE"""),"")</f>
        <v/>
      </c>
      <c r="L2616" s="4" t="str">
        <f>IFERROR(__xludf.DUMMYFUNCTION("""COMPUTED_VALUE"""),"")</f>
        <v/>
      </c>
      <c r="M2616" s="1" t="str">
        <f>IFERROR(__xludf.DUMMYFUNCTION("""COMPUTED_VALUE"""),"RFID")</f>
        <v>RFID</v>
      </c>
      <c r="N2616" s="5" t="str">
        <f>IFERROR(__xludf.DUMMYFUNCTION("""COMPUTED_VALUE"""),"")</f>
        <v/>
      </c>
      <c r="O2616" s="5" t="str">
        <f>IFERROR(__xludf.DUMMYFUNCTION("""COMPUTED_VALUE"""),"")</f>
        <v/>
      </c>
      <c r="P2616" s="5" t="str">
        <f>IFERROR(__xludf.DUMMYFUNCTION("""COMPUTED_VALUE"""),"")</f>
        <v/>
      </c>
      <c r="Q2616" s="5" t="str">
        <f>IFERROR(__xludf.DUMMYFUNCTION("""COMPUTED_VALUE"""),"")</f>
        <v/>
      </c>
      <c r="R2616" s="4" t="str">
        <f>IFERROR(__xludf.DUMMYFUNCTION("""COMPUTED_VALUE"""),"")</f>
        <v/>
      </c>
      <c r="S2616" s="1" t="b">
        <f>IFERROR(__xludf.DUMMYFUNCTION("""COMPUTED_VALUE"""),FALSE)</f>
        <v>0</v>
      </c>
      <c r="T2616" s="1" t="b">
        <f>IFERROR(__xludf.DUMMYFUNCTION("""COMPUTED_VALUE"""),FALSE)</f>
        <v>0</v>
      </c>
      <c r="U2616" s="1" t="str">
        <f>IFERROR(__xludf.DUMMYFUNCTION("""COMPUTED_VALUE"""),"DSQ")</f>
        <v>DSQ</v>
      </c>
      <c r="V2616" s="1" t="str">
        <f>IFERROR(__xludf.DUMMYFUNCTION("""COMPUTED_VALUE"""),"DSQ")</f>
        <v>DSQ</v>
      </c>
      <c r="W2616" s="1" t="str">
        <f>IFERROR(__xludf.DUMMYFUNCTION("""COMPUTED_VALUE"""),"DSQ")</f>
        <v>DSQ</v>
      </c>
      <c r="X2616" s="1" t="str">
        <f>IFERROR(__xludf.DUMMYFUNCTION("""COMPUTED_VALUE"""),"DSQ")</f>
        <v>DSQ</v>
      </c>
      <c r="Y2616" s="2"/>
      <c r="Z2616" s="2" t="str">
        <f>IFERROR(__xludf.DUMMYFUNCTION("""COMPUTED_VALUE"""),"")</f>
        <v/>
      </c>
    </row>
    <row r="2617">
      <c r="A2617" s="1">
        <f>IFERROR(__xludf.DUMMYFUNCTION("""COMPUTED_VALUE"""),2616.0)</f>
        <v>2616</v>
      </c>
      <c r="B2617" s="1">
        <f>IFERROR(__xludf.DUMMYFUNCTION("""COMPUTED_VALUE"""),6519.0)</f>
        <v>6519</v>
      </c>
      <c r="C2617" s="2" t="str">
        <f>IFERROR(__xludf.DUMMYFUNCTION("""COMPUTED_VALUE"""),"MAN IP UBP ASAM ASAM")</f>
        <v>MAN IP UBP ASAM ASAM</v>
      </c>
      <c r="D2617" s="2" t="str">
        <f>IFERROR(__xludf.DUMMYFUNCTION("""COMPUTED_VALUE"""),"5KM OVERALL M")</f>
        <v>5KM OVERALL M</v>
      </c>
      <c r="E2617" s="1">
        <f>IFERROR(__xludf.DUMMYFUNCTION("""COMPUTED_VALUE"""),2.0)</f>
        <v>2</v>
      </c>
      <c r="F2617" s="1" t="str">
        <f>IFERROR(__xludf.DUMMYFUNCTION("""COMPUTED_VALUE"""),"Male")</f>
        <v>Male</v>
      </c>
      <c r="G2617" s="4" t="str">
        <f>IFERROR(__xludf.DUMMYFUNCTION("""COMPUTED_VALUE"""),"")</f>
        <v/>
      </c>
      <c r="H2617" s="4" t="b">
        <f>IFERROR(__xludf.DUMMYFUNCTION("""COMPUTED_VALUE"""),FALSE)</f>
        <v>0</v>
      </c>
      <c r="I2617" s="4">
        <f>IFERROR(__xludf.DUMMYFUNCTION("""COMPUTED_VALUE"""),0.2549440625)</f>
        <v>0.2549440625</v>
      </c>
      <c r="J2617" s="4" t="str">
        <f>IFERROR(__xludf.DUMMYFUNCTION("""COMPUTED_VALUE"""),"")</f>
        <v/>
      </c>
      <c r="K2617" s="4" t="str">
        <f>IFERROR(__xludf.DUMMYFUNCTION("""COMPUTED_VALUE"""),"")</f>
        <v/>
      </c>
      <c r="L2617" s="4" t="str">
        <f>IFERROR(__xludf.DUMMYFUNCTION("""COMPUTED_VALUE"""),"")</f>
        <v/>
      </c>
      <c r="M2617" s="1" t="str">
        <f>IFERROR(__xludf.DUMMYFUNCTION("""COMPUTED_VALUE"""),"RFID")</f>
        <v>RFID</v>
      </c>
      <c r="N2617" s="5" t="str">
        <f>IFERROR(__xludf.DUMMYFUNCTION("""COMPUTED_VALUE"""),"")</f>
        <v/>
      </c>
      <c r="O2617" s="5" t="str">
        <f>IFERROR(__xludf.DUMMYFUNCTION("""COMPUTED_VALUE"""),"")</f>
        <v/>
      </c>
      <c r="P2617" s="5" t="str">
        <f>IFERROR(__xludf.DUMMYFUNCTION("""COMPUTED_VALUE"""),"")</f>
        <v/>
      </c>
      <c r="Q2617" s="5" t="str">
        <f>IFERROR(__xludf.DUMMYFUNCTION("""COMPUTED_VALUE"""),"")</f>
        <v/>
      </c>
      <c r="R2617" s="4" t="str">
        <f>IFERROR(__xludf.DUMMYFUNCTION("""COMPUTED_VALUE"""),"")</f>
        <v/>
      </c>
      <c r="S2617" s="1" t="b">
        <f>IFERROR(__xludf.DUMMYFUNCTION("""COMPUTED_VALUE"""),FALSE)</f>
        <v>0</v>
      </c>
      <c r="T2617" s="1" t="b">
        <f>IFERROR(__xludf.DUMMYFUNCTION("""COMPUTED_VALUE"""),FALSE)</f>
        <v>0</v>
      </c>
      <c r="U2617" s="1" t="str">
        <f>IFERROR(__xludf.DUMMYFUNCTION("""COMPUTED_VALUE"""),"DSQ")</f>
        <v>DSQ</v>
      </c>
      <c r="V2617" s="1" t="str">
        <f>IFERROR(__xludf.DUMMYFUNCTION("""COMPUTED_VALUE"""),"DSQ")</f>
        <v>DSQ</v>
      </c>
      <c r="W2617" s="1" t="str">
        <f>IFERROR(__xludf.DUMMYFUNCTION("""COMPUTED_VALUE"""),"DSQ")</f>
        <v>DSQ</v>
      </c>
      <c r="X2617" s="1" t="str">
        <f>IFERROR(__xludf.DUMMYFUNCTION("""COMPUTED_VALUE"""),"DSQ")</f>
        <v>DSQ</v>
      </c>
      <c r="Y2617" s="2"/>
      <c r="Z2617" s="2" t="str">
        <f>IFERROR(__xludf.DUMMYFUNCTION("""COMPUTED_VALUE"""),"")</f>
        <v/>
      </c>
    </row>
    <row r="2618">
      <c r="A2618" s="1">
        <f>IFERROR(__xludf.DUMMYFUNCTION("""COMPUTED_VALUE"""),2617.0)</f>
        <v>2617</v>
      </c>
      <c r="B2618" s="1">
        <f>IFERROR(__xludf.DUMMYFUNCTION("""COMPUTED_VALUE"""),6520.0)</f>
        <v>6520</v>
      </c>
      <c r="C2618" s="2" t="str">
        <f>IFERROR(__xludf.DUMMYFUNCTION("""COMPUTED_VALUE"""),"MAN ND UP KALIMANTAN 2")</f>
        <v>MAN ND UP KALIMANTAN 2</v>
      </c>
      <c r="D2618" s="2" t="str">
        <f>IFERROR(__xludf.DUMMYFUNCTION("""COMPUTED_VALUE"""),"5KM OVERALL M")</f>
        <v>5KM OVERALL M</v>
      </c>
      <c r="E2618" s="1">
        <f>IFERROR(__xludf.DUMMYFUNCTION("""COMPUTED_VALUE"""),2.0)</f>
        <v>2</v>
      </c>
      <c r="F2618" s="1" t="str">
        <f>IFERROR(__xludf.DUMMYFUNCTION("""COMPUTED_VALUE"""),"Male")</f>
        <v>Male</v>
      </c>
      <c r="G2618" s="4" t="b">
        <f>IFERROR(__xludf.DUMMYFUNCTION("""COMPUTED_VALUE"""),TRUE)</f>
        <v>1</v>
      </c>
      <c r="H2618" s="4" t="b">
        <f>IFERROR(__xludf.DUMMYFUNCTION("""COMPUTED_VALUE"""),TRUE)</f>
        <v>1</v>
      </c>
      <c r="I2618" s="4">
        <f>IFERROR(__xludf.DUMMYFUNCTION("""COMPUTED_VALUE"""),0.2549440625)</f>
        <v>0.2549440625</v>
      </c>
      <c r="J2618" s="4">
        <f>IFERROR(__xludf.DUMMYFUNCTION("""COMPUTED_VALUE"""),45949.28136696416)</f>
        <v>45949.28137</v>
      </c>
      <c r="K2618" s="4" t="str">
        <f>IFERROR(__xludf.DUMMYFUNCTION("""COMPUTED_VALUE"""),"")</f>
        <v/>
      </c>
      <c r="L2618" s="4">
        <f>IFERROR(__xludf.DUMMYFUNCTION("""COMPUTED_VALUE"""),45949.30007789718)</f>
        <v>45949.30008</v>
      </c>
      <c r="M2618" s="1" t="str">
        <f>IFERROR(__xludf.DUMMYFUNCTION("""COMPUTED_VALUE"""),"RFID")</f>
        <v>RFID</v>
      </c>
      <c r="N2618" s="5">
        <f>IFERROR(__xludf.DUMMYFUNCTION("""COMPUTED_VALUE"""),0.010569162037037037)</f>
        <v>0.01056916204</v>
      </c>
      <c r="O2618" s="5" t="str">
        <f>IFERROR(__xludf.DUMMYFUNCTION("""COMPUTED_VALUE"""),"")</f>
        <v/>
      </c>
      <c r="P2618" s="5" t="str">
        <f>IFERROR(__xludf.DUMMYFUNCTION("""COMPUTED_VALUE"""),"")</f>
        <v/>
      </c>
      <c r="Q2618" s="5">
        <f>IFERROR(__xludf.DUMMYFUNCTION("""COMPUTED_VALUE"""),0.009026766203703704)</f>
        <v>0.009026766204</v>
      </c>
      <c r="R2618" s="4">
        <f>IFERROR(__xludf.DUMMYFUNCTION("""COMPUTED_VALUE"""),45949.045133834676)</f>
        <v>45949.04513</v>
      </c>
      <c r="S2618" s="1" t="b">
        <f>IFERROR(__xludf.DUMMYFUNCTION("""COMPUTED_VALUE"""),TRUE)</f>
        <v>1</v>
      </c>
      <c r="T2618" s="1" t="b">
        <f>IFERROR(__xludf.DUMMYFUNCTION("""COMPUTED_VALUE"""),FALSE)</f>
        <v>0</v>
      </c>
      <c r="U2618" s="1" t="str">
        <f>IFERROR(__xludf.DUMMYFUNCTION("""COMPUTED_VALUE"""),"VALID")</f>
        <v>VALID</v>
      </c>
      <c r="V2618" s="1">
        <f>IFERROR(__xludf.DUMMYFUNCTION("""COMPUTED_VALUE"""),798.0)</f>
        <v>798</v>
      </c>
      <c r="W2618" s="1">
        <f>IFERROR(__xludf.DUMMYFUNCTION("""COMPUTED_VALUE"""),1455.0)</f>
        <v>1455</v>
      </c>
      <c r="X2618" s="1">
        <f>IFERROR(__xludf.DUMMYFUNCTION("""COMPUTED_VALUE"""),1203.0)</f>
        <v>1203</v>
      </c>
      <c r="Y2618" s="2"/>
      <c r="Z2618" s="2"/>
    </row>
    <row r="2619">
      <c r="A2619" s="1">
        <f>IFERROR(__xludf.DUMMYFUNCTION("""COMPUTED_VALUE"""),2618.0)</f>
        <v>2618</v>
      </c>
      <c r="B2619" s="1">
        <f>IFERROR(__xludf.DUMMYFUNCTION("""COMPUTED_VALUE"""),6521.0)</f>
        <v>6521</v>
      </c>
      <c r="C2619" s="2" t="str">
        <f>IFERROR(__xludf.DUMMYFUNCTION("""COMPUTED_VALUE"""),"MAN ICON PLUS KALSEL")</f>
        <v>MAN ICON PLUS KALSEL</v>
      </c>
      <c r="D2619" s="2" t="str">
        <f>IFERROR(__xludf.DUMMYFUNCTION("""COMPUTED_VALUE"""),"5KM OVERALL M")</f>
        <v>5KM OVERALL M</v>
      </c>
      <c r="E2619" s="1">
        <f>IFERROR(__xludf.DUMMYFUNCTION("""COMPUTED_VALUE"""),2.0)</f>
        <v>2</v>
      </c>
      <c r="F2619" s="1" t="str">
        <f>IFERROR(__xludf.DUMMYFUNCTION("""COMPUTED_VALUE"""),"Male")</f>
        <v>Male</v>
      </c>
      <c r="G2619" s="4" t="str">
        <f>IFERROR(__xludf.DUMMYFUNCTION("""COMPUTED_VALUE"""),"")</f>
        <v/>
      </c>
      <c r="H2619" s="4" t="b">
        <f>IFERROR(__xludf.DUMMYFUNCTION("""COMPUTED_VALUE"""),FALSE)</f>
        <v>0</v>
      </c>
      <c r="I2619" s="4">
        <f>IFERROR(__xludf.DUMMYFUNCTION("""COMPUTED_VALUE"""),0.2549440625)</f>
        <v>0.2549440625</v>
      </c>
      <c r="J2619" s="4" t="str">
        <f>IFERROR(__xludf.DUMMYFUNCTION("""COMPUTED_VALUE"""),"")</f>
        <v/>
      </c>
      <c r="K2619" s="4" t="str">
        <f>IFERROR(__xludf.DUMMYFUNCTION("""COMPUTED_VALUE"""),"")</f>
        <v/>
      </c>
      <c r="L2619" s="4" t="str">
        <f>IFERROR(__xludf.DUMMYFUNCTION("""COMPUTED_VALUE"""),"")</f>
        <v/>
      </c>
      <c r="M2619" s="1" t="str">
        <f>IFERROR(__xludf.DUMMYFUNCTION("""COMPUTED_VALUE"""),"RFID")</f>
        <v>RFID</v>
      </c>
      <c r="N2619" s="5" t="str">
        <f>IFERROR(__xludf.DUMMYFUNCTION("""COMPUTED_VALUE"""),"")</f>
        <v/>
      </c>
      <c r="O2619" s="5" t="str">
        <f>IFERROR(__xludf.DUMMYFUNCTION("""COMPUTED_VALUE"""),"")</f>
        <v/>
      </c>
      <c r="P2619" s="5" t="str">
        <f>IFERROR(__xludf.DUMMYFUNCTION("""COMPUTED_VALUE"""),"")</f>
        <v/>
      </c>
      <c r="Q2619" s="5" t="str">
        <f>IFERROR(__xludf.DUMMYFUNCTION("""COMPUTED_VALUE"""),"")</f>
        <v/>
      </c>
      <c r="R2619" s="4" t="str">
        <f>IFERROR(__xludf.DUMMYFUNCTION("""COMPUTED_VALUE"""),"")</f>
        <v/>
      </c>
      <c r="S2619" s="1" t="b">
        <f>IFERROR(__xludf.DUMMYFUNCTION("""COMPUTED_VALUE"""),FALSE)</f>
        <v>0</v>
      </c>
      <c r="T2619" s="1" t="b">
        <f>IFERROR(__xludf.DUMMYFUNCTION("""COMPUTED_VALUE"""),FALSE)</f>
        <v>0</v>
      </c>
      <c r="U2619" s="1" t="str">
        <f>IFERROR(__xludf.DUMMYFUNCTION("""COMPUTED_VALUE"""),"DSQ")</f>
        <v>DSQ</v>
      </c>
      <c r="V2619" s="1" t="str">
        <f>IFERROR(__xludf.DUMMYFUNCTION("""COMPUTED_VALUE"""),"DSQ")</f>
        <v>DSQ</v>
      </c>
      <c r="W2619" s="1" t="str">
        <f>IFERROR(__xludf.DUMMYFUNCTION("""COMPUTED_VALUE"""),"DSQ")</f>
        <v>DSQ</v>
      </c>
      <c r="X2619" s="1" t="str">
        <f>IFERROR(__xludf.DUMMYFUNCTION("""COMPUTED_VALUE"""),"DSQ")</f>
        <v>DSQ</v>
      </c>
      <c r="Y2619" s="2"/>
      <c r="Z2619" s="2" t="str">
        <f>IFERROR(__xludf.DUMMYFUNCTION("""COMPUTED_VALUE"""),"")</f>
        <v/>
      </c>
    </row>
    <row r="2620">
      <c r="A2620" s="1">
        <f>IFERROR(__xludf.DUMMYFUNCTION("""COMPUTED_VALUE"""),2619.0)</f>
        <v>2619</v>
      </c>
      <c r="B2620" s="1">
        <f>IFERROR(__xludf.DUMMYFUNCTION("""COMPUTED_VALUE"""),6522.0)</f>
        <v>6522</v>
      </c>
      <c r="C2620" s="2" t="str">
        <f>IFERROR(__xludf.DUMMYFUNCTION("""COMPUTED_VALUE"""),"MAN UPT BANJARBARU")</f>
        <v>MAN UPT BANJARBARU</v>
      </c>
      <c r="D2620" s="2" t="str">
        <f>IFERROR(__xludf.DUMMYFUNCTION("""COMPUTED_VALUE"""),"5KM OVERALL M")</f>
        <v>5KM OVERALL M</v>
      </c>
      <c r="E2620" s="1">
        <f>IFERROR(__xludf.DUMMYFUNCTION("""COMPUTED_VALUE"""),2.0)</f>
        <v>2</v>
      </c>
      <c r="F2620" s="1" t="str">
        <f>IFERROR(__xludf.DUMMYFUNCTION("""COMPUTED_VALUE"""),"Male")</f>
        <v>Male</v>
      </c>
      <c r="G2620" s="4" t="str">
        <f>IFERROR(__xludf.DUMMYFUNCTION("""COMPUTED_VALUE"""),"")</f>
        <v/>
      </c>
      <c r="H2620" s="4" t="b">
        <f>IFERROR(__xludf.DUMMYFUNCTION("""COMPUTED_VALUE"""),FALSE)</f>
        <v>0</v>
      </c>
      <c r="I2620" s="4">
        <f>IFERROR(__xludf.DUMMYFUNCTION("""COMPUTED_VALUE"""),0.2549440625)</f>
        <v>0.2549440625</v>
      </c>
      <c r="J2620" s="4" t="str">
        <f>IFERROR(__xludf.DUMMYFUNCTION("""COMPUTED_VALUE"""),"")</f>
        <v/>
      </c>
      <c r="K2620" s="4" t="str">
        <f>IFERROR(__xludf.DUMMYFUNCTION("""COMPUTED_VALUE"""),"")</f>
        <v/>
      </c>
      <c r="L2620" s="4" t="str">
        <f>IFERROR(__xludf.DUMMYFUNCTION("""COMPUTED_VALUE"""),"")</f>
        <v/>
      </c>
      <c r="M2620" s="1" t="str">
        <f>IFERROR(__xludf.DUMMYFUNCTION("""COMPUTED_VALUE"""),"RFID")</f>
        <v>RFID</v>
      </c>
      <c r="N2620" s="5" t="str">
        <f>IFERROR(__xludf.DUMMYFUNCTION("""COMPUTED_VALUE"""),"")</f>
        <v/>
      </c>
      <c r="O2620" s="5" t="str">
        <f>IFERROR(__xludf.DUMMYFUNCTION("""COMPUTED_VALUE"""),"")</f>
        <v/>
      </c>
      <c r="P2620" s="5" t="str">
        <f>IFERROR(__xludf.DUMMYFUNCTION("""COMPUTED_VALUE"""),"")</f>
        <v/>
      </c>
      <c r="Q2620" s="5" t="str">
        <f>IFERROR(__xludf.DUMMYFUNCTION("""COMPUTED_VALUE"""),"")</f>
        <v/>
      </c>
      <c r="R2620" s="4" t="str">
        <f>IFERROR(__xludf.DUMMYFUNCTION("""COMPUTED_VALUE"""),"")</f>
        <v/>
      </c>
      <c r="S2620" s="1" t="b">
        <f>IFERROR(__xludf.DUMMYFUNCTION("""COMPUTED_VALUE"""),FALSE)</f>
        <v>0</v>
      </c>
      <c r="T2620" s="1" t="b">
        <f>IFERROR(__xludf.DUMMYFUNCTION("""COMPUTED_VALUE"""),FALSE)</f>
        <v>0</v>
      </c>
      <c r="U2620" s="1" t="str">
        <f>IFERROR(__xludf.DUMMYFUNCTION("""COMPUTED_VALUE"""),"DSQ")</f>
        <v>DSQ</v>
      </c>
      <c r="V2620" s="1" t="str">
        <f>IFERROR(__xludf.DUMMYFUNCTION("""COMPUTED_VALUE"""),"DSQ")</f>
        <v>DSQ</v>
      </c>
      <c r="W2620" s="1" t="str">
        <f>IFERROR(__xludf.DUMMYFUNCTION("""COMPUTED_VALUE"""),"DSQ")</f>
        <v>DSQ</v>
      </c>
      <c r="X2620" s="1" t="str">
        <f>IFERROR(__xludf.DUMMYFUNCTION("""COMPUTED_VALUE"""),"DSQ")</f>
        <v>DSQ</v>
      </c>
      <c r="Y2620" s="2"/>
      <c r="Z2620" s="2" t="str">
        <f>IFERROR(__xludf.DUMMYFUNCTION("""COMPUTED_VALUE"""),"")</f>
        <v/>
      </c>
    </row>
    <row r="2621">
      <c r="A2621" s="1">
        <f>IFERROR(__xludf.DUMMYFUNCTION("""COMPUTED_VALUE"""),2620.0)</f>
        <v>2620</v>
      </c>
      <c r="B2621" s="1">
        <f>IFERROR(__xludf.DUMMYFUNCTION("""COMPUTED_VALUE"""),6523.0)</f>
        <v>6523</v>
      </c>
      <c r="C2621" s="2" t="str">
        <f>IFERROR(__xludf.DUMMYFUNCTION("""COMPUTED_VALUE"""),"MAN UP2B KALSELTENG")</f>
        <v>MAN UP2B KALSELTENG</v>
      </c>
      <c r="D2621" s="2" t="str">
        <f>IFERROR(__xludf.DUMMYFUNCTION("""COMPUTED_VALUE"""),"5KM OVERALL M")</f>
        <v>5KM OVERALL M</v>
      </c>
      <c r="E2621" s="1">
        <f>IFERROR(__xludf.DUMMYFUNCTION("""COMPUTED_VALUE"""),2.0)</f>
        <v>2</v>
      </c>
      <c r="F2621" s="1" t="str">
        <f>IFERROR(__xludf.DUMMYFUNCTION("""COMPUTED_VALUE"""),"Male")</f>
        <v>Male</v>
      </c>
      <c r="G2621" s="4" t="b">
        <f>IFERROR(__xludf.DUMMYFUNCTION("""COMPUTED_VALUE"""),TRUE)</f>
        <v>1</v>
      </c>
      <c r="H2621" s="4" t="b">
        <f>IFERROR(__xludf.DUMMYFUNCTION("""COMPUTED_VALUE"""),TRUE)</f>
        <v>1</v>
      </c>
      <c r="I2621" s="4">
        <f>IFERROR(__xludf.DUMMYFUNCTION("""COMPUTED_VALUE"""),0.2549440625)</f>
        <v>0.2549440625</v>
      </c>
      <c r="J2621" s="4">
        <f>IFERROR(__xludf.DUMMYFUNCTION("""COMPUTED_VALUE"""),45950.273368055554)</f>
        <v>45950.27337</v>
      </c>
      <c r="K2621" s="4" t="str">
        <f>IFERROR(__xludf.DUMMYFUNCTION("""COMPUTED_VALUE"""),"")</f>
        <v/>
      </c>
      <c r="L2621" s="4">
        <f>IFERROR(__xludf.DUMMYFUNCTION("""COMPUTED_VALUE"""),45949.285657815584)</f>
        <v>45949.28566</v>
      </c>
      <c r="M2621" s="1" t="str">
        <f>IFERROR(__xludf.DUMMYFUNCTION("""COMPUTED_VALUE"""),"RFID")</f>
        <v>RFID</v>
      </c>
      <c r="N2621" s="5">
        <f>IFERROR(__xludf.DUMMYFUNCTION("""COMPUTED_VALUE"""),0.007369597222222223)</f>
        <v>0.007369597222</v>
      </c>
      <c r="O2621" s="5" t="str">
        <f>IFERROR(__xludf.DUMMYFUNCTION("""COMPUTED_VALUE"""),"")</f>
        <v/>
      </c>
      <c r="P2621" s="5" t="str">
        <f>IFERROR(__xludf.DUMMYFUNCTION("""COMPUTED_VALUE"""),"")</f>
        <v/>
      </c>
      <c r="Q2621" s="5">
        <f>IFERROR(__xludf.DUMMYFUNCTION("""COMPUTED_VALUE"""),0.006142750000000001)</f>
        <v>0.00614275</v>
      </c>
      <c r="R2621" s="4">
        <f>IFERROR(__xludf.DUMMYFUNCTION("""COMPUTED_VALUE"""),45949.03071375308)</f>
        <v>45949.03071</v>
      </c>
      <c r="S2621" s="1" t="b">
        <f>IFERROR(__xludf.DUMMYFUNCTION("""COMPUTED_VALUE"""),TRUE)</f>
        <v>1</v>
      </c>
      <c r="T2621" s="1" t="b">
        <f>IFERROR(__xludf.DUMMYFUNCTION("""COMPUTED_VALUE"""),FALSE)</f>
        <v>0</v>
      </c>
      <c r="U2621" s="1" t="str">
        <f>IFERROR(__xludf.DUMMYFUNCTION("""COMPUTED_VALUE"""),"VALID")</f>
        <v>VALID</v>
      </c>
      <c r="V2621" s="1">
        <f>IFERROR(__xludf.DUMMYFUNCTION("""COMPUTED_VALUE"""),403.0)</f>
        <v>403</v>
      </c>
      <c r="W2621" s="1">
        <f>IFERROR(__xludf.DUMMYFUNCTION("""COMPUTED_VALUE"""),616.0)</f>
        <v>616</v>
      </c>
      <c r="X2621" s="1">
        <f>IFERROR(__xludf.DUMMYFUNCTION("""COMPUTED_VALUE"""),517.0)</f>
        <v>517</v>
      </c>
      <c r="Y2621" s="2"/>
      <c r="Z2621" s="2" t="str">
        <f>IFERROR(__xludf.DUMMYFUNCTION("""COMPUTED_VALUE"""),"C")</f>
        <v>C</v>
      </c>
    </row>
    <row r="2622">
      <c r="A2622" s="1">
        <f>IFERROR(__xludf.DUMMYFUNCTION("""COMPUTED_VALUE"""),2621.0)</f>
        <v>2621</v>
      </c>
      <c r="B2622" s="1">
        <f>IFERROR(__xludf.DUMMYFUNCTION("""COMPUTED_VALUE"""),6524.0)</f>
        <v>6524</v>
      </c>
      <c r="C2622" s="2" t="str">
        <f>IFERROR(__xludf.DUMMYFUNCTION("""COMPUTED_VALUE"""),"MEDIA")</f>
        <v>MEDIA</v>
      </c>
      <c r="D2622" s="2" t="str">
        <f>IFERROR(__xludf.DUMMYFUNCTION("""COMPUTED_VALUE"""),"5KM OVERALL M")</f>
        <v>5KM OVERALL M</v>
      </c>
      <c r="E2622" s="1">
        <f>IFERROR(__xludf.DUMMYFUNCTION("""COMPUTED_VALUE"""),2.0)</f>
        <v>2</v>
      </c>
      <c r="F2622" s="1" t="str">
        <f>IFERROR(__xludf.DUMMYFUNCTION("""COMPUTED_VALUE"""),"Male")</f>
        <v>Male</v>
      </c>
      <c r="G2622" s="4" t="str">
        <f>IFERROR(__xludf.DUMMYFUNCTION("""COMPUTED_VALUE"""),"")</f>
        <v/>
      </c>
      <c r="H2622" s="4" t="b">
        <f>IFERROR(__xludf.DUMMYFUNCTION("""COMPUTED_VALUE"""),FALSE)</f>
        <v>0</v>
      </c>
      <c r="I2622" s="4">
        <f>IFERROR(__xludf.DUMMYFUNCTION("""COMPUTED_VALUE"""),0.2549440625)</f>
        <v>0.2549440625</v>
      </c>
      <c r="J2622" s="4" t="str">
        <f>IFERROR(__xludf.DUMMYFUNCTION("""COMPUTED_VALUE"""),"")</f>
        <v/>
      </c>
      <c r="K2622" s="4" t="str">
        <f>IFERROR(__xludf.DUMMYFUNCTION("""COMPUTED_VALUE"""),"")</f>
        <v/>
      </c>
      <c r="L2622" s="4" t="str">
        <f>IFERROR(__xludf.DUMMYFUNCTION("""COMPUTED_VALUE"""),"")</f>
        <v/>
      </c>
      <c r="M2622" s="1" t="str">
        <f>IFERROR(__xludf.DUMMYFUNCTION("""COMPUTED_VALUE"""),"RFID")</f>
        <v>RFID</v>
      </c>
      <c r="N2622" s="5" t="str">
        <f>IFERROR(__xludf.DUMMYFUNCTION("""COMPUTED_VALUE"""),"")</f>
        <v/>
      </c>
      <c r="O2622" s="5" t="str">
        <f>IFERROR(__xludf.DUMMYFUNCTION("""COMPUTED_VALUE"""),"")</f>
        <v/>
      </c>
      <c r="P2622" s="5" t="str">
        <f>IFERROR(__xludf.DUMMYFUNCTION("""COMPUTED_VALUE"""),"")</f>
        <v/>
      </c>
      <c r="Q2622" s="5" t="str">
        <f>IFERROR(__xludf.DUMMYFUNCTION("""COMPUTED_VALUE"""),"")</f>
        <v/>
      </c>
      <c r="R2622" s="4" t="str">
        <f>IFERROR(__xludf.DUMMYFUNCTION("""COMPUTED_VALUE"""),"")</f>
        <v/>
      </c>
      <c r="S2622" s="1" t="b">
        <f>IFERROR(__xludf.DUMMYFUNCTION("""COMPUTED_VALUE"""),FALSE)</f>
        <v>0</v>
      </c>
      <c r="T2622" s="1" t="b">
        <f>IFERROR(__xludf.DUMMYFUNCTION("""COMPUTED_VALUE"""),FALSE)</f>
        <v>0</v>
      </c>
      <c r="U2622" s="1" t="str">
        <f>IFERROR(__xludf.DUMMYFUNCTION("""COMPUTED_VALUE"""),"DSQ")</f>
        <v>DSQ</v>
      </c>
      <c r="V2622" s="1" t="str">
        <f>IFERROR(__xludf.DUMMYFUNCTION("""COMPUTED_VALUE"""),"DSQ")</f>
        <v>DSQ</v>
      </c>
      <c r="W2622" s="1" t="str">
        <f>IFERROR(__xludf.DUMMYFUNCTION("""COMPUTED_VALUE"""),"DSQ")</f>
        <v>DSQ</v>
      </c>
      <c r="X2622" s="1" t="str">
        <f>IFERROR(__xludf.DUMMYFUNCTION("""COMPUTED_VALUE"""),"DSQ")</f>
        <v>DSQ</v>
      </c>
      <c r="Y2622" s="2"/>
      <c r="Z2622" s="2" t="str">
        <f>IFERROR(__xludf.DUMMYFUNCTION("""COMPUTED_VALUE"""),"")</f>
        <v/>
      </c>
    </row>
    <row r="2623">
      <c r="A2623" s="1">
        <f>IFERROR(__xludf.DUMMYFUNCTION("""COMPUTED_VALUE"""),2622.0)</f>
        <v>2622</v>
      </c>
      <c r="B2623" s="1">
        <f>IFERROR(__xludf.DUMMYFUNCTION("""COMPUTED_VALUE"""),6525.0)</f>
        <v>6525</v>
      </c>
      <c r="C2623" s="2" t="str">
        <f>IFERROR(__xludf.DUMMYFUNCTION("""COMPUTED_VALUE"""),"MEDIA")</f>
        <v>MEDIA</v>
      </c>
      <c r="D2623" s="2" t="str">
        <f>IFERROR(__xludf.DUMMYFUNCTION("""COMPUTED_VALUE"""),"5KM OVERALL M")</f>
        <v>5KM OVERALL M</v>
      </c>
      <c r="E2623" s="1">
        <f>IFERROR(__xludf.DUMMYFUNCTION("""COMPUTED_VALUE"""),2.0)</f>
        <v>2</v>
      </c>
      <c r="F2623" s="1" t="str">
        <f>IFERROR(__xludf.DUMMYFUNCTION("""COMPUTED_VALUE"""),"Male")</f>
        <v>Male</v>
      </c>
      <c r="G2623" s="4" t="b">
        <f>IFERROR(__xludf.DUMMYFUNCTION("""COMPUTED_VALUE"""),TRUE)</f>
        <v>1</v>
      </c>
      <c r="H2623" s="4" t="b">
        <f>IFERROR(__xludf.DUMMYFUNCTION("""COMPUTED_VALUE"""),FALSE)</f>
        <v>0</v>
      </c>
      <c r="I2623" s="4">
        <f>IFERROR(__xludf.DUMMYFUNCTION("""COMPUTED_VALUE"""),0.2549440625)</f>
        <v>0.2549440625</v>
      </c>
      <c r="J2623" s="4">
        <f>IFERROR(__xludf.DUMMYFUNCTION("""COMPUTED_VALUE"""),45949.279926006246)</f>
        <v>45949.27993</v>
      </c>
      <c r="K2623" s="4" t="str">
        <f>IFERROR(__xludf.DUMMYFUNCTION("""COMPUTED_VALUE"""),"")</f>
        <v/>
      </c>
      <c r="L2623" s="4">
        <f>IFERROR(__xludf.DUMMYFUNCTION("""COMPUTED_VALUE"""),45949.299907759225)</f>
        <v>45949.29991</v>
      </c>
      <c r="M2623" s="1" t="str">
        <f>IFERROR(__xludf.DUMMYFUNCTION("""COMPUTED_VALUE"""),"RFID")</f>
        <v>RFID</v>
      </c>
      <c r="N2623" s="5">
        <f>IFERROR(__xludf.DUMMYFUNCTION("""COMPUTED_VALUE"""),0.009992777777777778)</f>
        <v>0.009992777778</v>
      </c>
      <c r="O2623" s="5" t="str">
        <f>IFERROR(__xludf.DUMMYFUNCTION("""COMPUTED_VALUE"""),"")</f>
        <v/>
      </c>
      <c r="P2623" s="5" t="str">
        <f>IFERROR(__xludf.DUMMYFUNCTION("""COMPUTED_VALUE"""),"")</f>
        <v/>
      </c>
      <c r="Q2623" s="5">
        <f>IFERROR(__xludf.DUMMYFUNCTION("""COMPUTED_VALUE"""),0.008992738425925925)</f>
        <v>0.008992738426</v>
      </c>
      <c r="R2623" s="4">
        <f>IFERROR(__xludf.DUMMYFUNCTION("""COMPUTED_VALUE"""),45949.044963696724)</f>
        <v>45949.04496</v>
      </c>
      <c r="S2623" s="1" t="b">
        <f>IFERROR(__xludf.DUMMYFUNCTION("""COMPUTED_VALUE"""),TRUE)</f>
        <v>1</v>
      </c>
      <c r="T2623" s="1" t="b">
        <f>IFERROR(__xludf.DUMMYFUNCTION("""COMPUTED_VALUE"""),FALSE)</f>
        <v>0</v>
      </c>
      <c r="U2623" s="1" t="str">
        <f>IFERROR(__xludf.DUMMYFUNCTION("""COMPUTED_VALUE"""),"VALID")</f>
        <v>VALID</v>
      </c>
      <c r="V2623" s="1">
        <f>IFERROR(__xludf.DUMMYFUNCTION("""COMPUTED_VALUE"""),795.0)</f>
        <v>795</v>
      </c>
      <c r="W2623" s="1">
        <f>IFERROR(__xludf.DUMMYFUNCTION("""COMPUTED_VALUE"""),1445.0)</f>
        <v>1445</v>
      </c>
      <c r="X2623" s="1">
        <f>IFERROR(__xludf.DUMMYFUNCTION("""COMPUTED_VALUE"""),1198.0)</f>
        <v>1198</v>
      </c>
      <c r="Y2623" s="2"/>
      <c r="Z2623" s="2"/>
    </row>
    <row r="2624">
      <c r="A2624" s="1">
        <f>IFERROR(__xludf.DUMMYFUNCTION("""COMPUTED_VALUE"""),2623.0)</f>
        <v>2623</v>
      </c>
      <c r="B2624" s="1">
        <f>IFERROR(__xludf.DUMMYFUNCTION("""COMPUTED_VALUE"""),6526.0)</f>
        <v>6526</v>
      </c>
      <c r="C2624" s="2" t="str">
        <f>IFERROR(__xludf.DUMMYFUNCTION("""COMPUTED_VALUE"""),"MEDIA")</f>
        <v>MEDIA</v>
      </c>
      <c r="D2624" s="2" t="str">
        <f>IFERROR(__xludf.DUMMYFUNCTION("""COMPUTED_VALUE"""),"5KM OVERALL M")</f>
        <v>5KM OVERALL M</v>
      </c>
      <c r="E2624" s="1">
        <f>IFERROR(__xludf.DUMMYFUNCTION("""COMPUTED_VALUE"""),2.0)</f>
        <v>2</v>
      </c>
      <c r="F2624" s="1" t="str">
        <f>IFERROR(__xludf.DUMMYFUNCTION("""COMPUTED_VALUE"""),"Male")</f>
        <v>Male</v>
      </c>
      <c r="G2624" s="4" t="b">
        <f>IFERROR(__xludf.DUMMYFUNCTION("""COMPUTED_VALUE"""),TRUE)</f>
        <v>1</v>
      </c>
      <c r="H2624" s="4" t="b">
        <f>IFERROR(__xludf.DUMMYFUNCTION("""COMPUTED_VALUE"""),FALSE)</f>
        <v>0</v>
      </c>
      <c r="I2624" s="4">
        <f>IFERROR(__xludf.DUMMYFUNCTION("""COMPUTED_VALUE"""),0.2549440625)</f>
        <v>0.2549440625</v>
      </c>
      <c r="J2624" s="4">
        <f>IFERROR(__xludf.DUMMYFUNCTION("""COMPUTED_VALUE"""),45949.27436697726)</f>
        <v>45949.27437</v>
      </c>
      <c r="K2624" s="4" t="str">
        <f>IFERROR(__xludf.DUMMYFUNCTION("""COMPUTED_VALUE"""),"")</f>
        <v/>
      </c>
      <c r="L2624" s="4">
        <f>IFERROR(__xludf.DUMMYFUNCTION("""COMPUTED_VALUE"""),45949.28718211753)</f>
        <v>45949.28718</v>
      </c>
      <c r="M2624" s="1" t="str">
        <f>IFERROR(__xludf.DUMMYFUNCTION("""COMPUTED_VALUE"""),"RFID")</f>
        <v>RFID</v>
      </c>
      <c r="N2624" s="5">
        <f>IFERROR(__xludf.DUMMYFUNCTION("""COMPUTED_VALUE"""),0.007769166666666667)</f>
        <v>0.007769166667</v>
      </c>
      <c r="O2624" s="5" t="str">
        <f>IFERROR(__xludf.DUMMYFUNCTION("""COMPUTED_VALUE"""),"")</f>
        <v/>
      </c>
      <c r="P2624" s="5" t="str">
        <f>IFERROR(__xludf.DUMMYFUNCTION("""COMPUTED_VALUE"""),"")</f>
        <v/>
      </c>
      <c r="Q2624" s="5">
        <f>IFERROR(__xludf.DUMMYFUNCTION("""COMPUTED_VALUE"""),0.0064476111111111106)</f>
        <v>0.006447611111</v>
      </c>
      <c r="R2624" s="4">
        <f>IFERROR(__xludf.DUMMYFUNCTION("""COMPUTED_VALUE"""),45949.03223805503)</f>
        <v>45949.03224</v>
      </c>
      <c r="S2624" s="1" t="b">
        <f>IFERROR(__xludf.DUMMYFUNCTION("""COMPUTED_VALUE"""),TRUE)</f>
        <v>1</v>
      </c>
      <c r="T2624" s="1" t="b">
        <f>IFERROR(__xludf.DUMMYFUNCTION("""COMPUTED_VALUE"""),FALSE)</f>
        <v>0</v>
      </c>
      <c r="U2624" s="1" t="str">
        <f>IFERROR(__xludf.DUMMYFUNCTION("""COMPUTED_VALUE"""),"VALID")</f>
        <v>VALID</v>
      </c>
      <c r="V2624" s="1">
        <f>IFERROR(__xludf.DUMMYFUNCTION("""COMPUTED_VALUE"""),464.0)</f>
        <v>464</v>
      </c>
      <c r="W2624" s="1">
        <f>IFERROR(__xludf.DUMMYFUNCTION("""COMPUTED_VALUE"""),717.0)</f>
        <v>717</v>
      </c>
      <c r="X2624" s="1">
        <f>IFERROR(__xludf.DUMMYFUNCTION("""COMPUTED_VALUE"""),603.0)</f>
        <v>603</v>
      </c>
      <c r="Y2624" s="2"/>
      <c r="Z2624" s="2"/>
    </row>
    <row r="2625">
      <c r="A2625" s="1">
        <f>IFERROR(__xludf.DUMMYFUNCTION("""COMPUTED_VALUE"""),2624.0)</f>
        <v>2624</v>
      </c>
      <c r="B2625" s="1">
        <f>IFERROR(__xludf.DUMMYFUNCTION("""COMPUTED_VALUE"""),6527.0)</f>
        <v>6527</v>
      </c>
      <c r="C2625" s="2" t="str">
        <f>IFERROR(__xludf.DUMMYFUNCTION("""COMPUTED_VALUE"""),"MEDIA")</f>
        <v>MEDIA</v>
      </c>
      <c r="D2625" s="2" t="str">
        <f>IFERROR(__xludf.DUMMYFUNCTION("""COMPUTED_VALUE"""),"5KM OVERALL M")</f>
        <v>5KM OVERALL M</v>
      </c>
      <c r="E2625" s="1">
        <f>IFERROR(__xludf.DUMMYFUNCTION("""COMPUTED_VALUE"""),2.0)</f>
        <v>2</v>
      </c>
      <c r="F2625" s="1" t="str">
        <f>IFERROR(__xludf.DUMMYFUNCTION("""COMPUTED_VALUE"""),"Male")</f>
        <v>Male</v>
      </c>
      <c r="G2625" s="4" t="str">
        <f>IFERROR(__xludf.DUMMYFUNCTION("""COMPUTED_VALUE"""),"")</f>
        <v/>
      </c>
      <c r="H2625" s="4" t="b">
        <f>IFERROR(__xludf.DUMMYFUNCTION("""COMPUTED_VALUE"""),FALSE)</f>
        <v>0</v>
      </c>
      <c r="I2625" s="4">
        <f>IFERROR(__xludf.DUMMYFUNCTION("""COMPUTED_VALUE"""),0.2549440625)</f>
        <v>0.2549440625</v>
      </c>
      <c r="J2625" s="4" t="str">
        <f>IFERROR(__xludf.DUMMYFUNCTION("""COMPUTED_VALUE"""),"")</f>
        <v/>
      </c>
      <c r="K2625" s="4" t="str">
        <f>IFERROR(__xludf.DUMMYFUNCTION("""COMPUTED_VALUE"""),"")</f>
        <v/>
      </c>
      <c r="L2625" s="4" t="str">
        <f>IFERROR(__xludf.DUMMYFUNCTION("""COMPUTED_VALUE"""),"")</f>
        <v/>
      </c>
      <c r="M2625" s="1" t="str">
        <f>IFERROR(__xludf.DUMMYFUNCTION("""COMPUTED_VALUE"""),"RFID")</f>
        <v>RFID</v>
      </c>
      <c r="N2625" s="5" t="str">
        <f>IFERROR(__xludf.DUMMYFUNCTION("""COMPUTED_VALUE"""),"")</f>
        <v/>
      </c>
      <c r="O2625" s="5" t="str">
        <f>IFERROR(__xludf.DUMMYFUNCTION("""COMPUTED_VALUE"""),"")</f>
        <v/>
      </c>
      <c r="P2625" s="5" t="str">
        <f>IFERROR(__xludf.DUMMYFUNCTION("""COMPUTED_VALUE"""),"")</f>
        <v/>
      </c>
      <c r="Q2625" s="5" t="str">
        <f>IFERROR(__xludf.DUMMYFUNCTION("""COMPUTED_VALUE"""),"")</f>
        <v/>
      </c>
      <c r="R2625" s="4" t="str">
        <f>IFERROR(__xludf.DUMMYFUNCTION("""COMPUTED_VALUE"""),"")</f>
        <v/>
      </c>
      <c r="S2625" s="1" t="b">
        <f>IFERROR(__xludf.DUMMYFUNCTION("""COMPUTED_VALUE"""),FALSE)</f>
        <v>0</v>
      </c>
      <c r="T2625" s="1" t="b">
        <f>IFERROR(__xludf.DUMMYFUNCTION("""COMPUTED_VALUE"""),FALSE)</f>
        <v>0</v>
      </c>
      <c r="U2625" s="1" t="str">
        <f>IFERROR(__xludf.DUMMYFUNCTION("""COMPUTED_VALUE"""),"DSQ")</f>
        <v>DSQ</v>
      </c>
      <c r="V2625" s="1" t="str">
        <f>IFERROR(__xludf.DUMMYFUNCTION("""COMPUTED_VALUE"""),"DSQ")</f>
        <v>DSQ</v>
      </c>
      <c r="W2625" s="1" t="str">
        <f>IFERROR(__xludf.DUMMYFUNCTION("""COMPUTED_VALUE"""),"DSQ")</f>
        <v>DSQ</v>
      </c>
      <c r="X2625" s="1" t="str">
        <f>IFERROR(__xludf.DUMMYFUNCTION("""COMPUTED_VALUE"""),"DSQ")</f>
        <v>DSQ</v>
      </c>
      <c r="Y2625" s="2"/>
      <c r="Z2625" s="2" t="str">
        <f>IFERROR(__xludf.DUMMYFUNCTION("""COMPUTED_VALUE"""),"")</f>
        <v/>
      </c>
    </row>
    <row r="2626">
      <c r="A2626" s="1">
        <f>IFERROR(__xludf.DUMMYFUNCTION("""COMPUTED_VALUE"""),2625.0)</f>
        <v>2625</v>
      </c>
      <c r="B2626" s="1">
        <f>IFERROR(__xludf.DUMMYFUNCTION("""COMPUTED_VALUE"""),6528.0)</f>
        <v>6528</v>
      </c>
      <c r="C2626" s="2" t="str">
        <f>IFERROR(__xludf.DUMMYFUNCTION("""COMPUTED_VALUE"""),"MEDIA")</f>
        <v>MEDIA</v>
      </c>
      <c r="D2626" s="2" t="str">
        <f>IFERROR(__xludf.DUMMYFUNCTION("""COMPUTED_VALUE"""),"5KM OVERALL M")</f>
        <v>5KM OVERALL M</v>
      </c>
      <c r="E2626" s="1">
        <f>IFERROR(__xludf.DUMMYFUNCTION("""COMPUTED_VALUE"""),2.0)</f>
        <v>2</v>
      </c>
      <c r="F2626" s="1" t="str">
        <f>IFERROR(__xludf.DUMMYFUNCTION("""COMPUTED_VALUE"""),"Male")</f>
        <v>Male</v>
      </c>
      <c r="G2626" s="4" t="str">
        <f>IFERROR(__xludf.DUMMYFUNCTION("""COMPUTED_VALUE"""),"")</f>
        <v/>
      </c>
      <c r="H2626" s="4" t="b">
        <f>IFERROR(__xludf.DUMMYFUNCTION("""COMPUTED_VALUE"""),FALSE)</f>
        <v>0</v>
      </c>
      <c r="I2626" s="4">
        <f>IFERROR(__xludf.DUMMYFUNCTION("""COMPUTED_VALUE"""),0.2549440625)</f>
        <v>0.2549440625</v>
      </c>
      <c r="J2626" s="4" t="str">
        <f>IFERROR(__xludf.DUMMYFUNCTION("""COMPUTED_VALUE"""),"")</f>
        <v/>
      </c>
      <c r="K2626" s="4" t="str">
        <f>IFERROR(__xludf.DUMMYFUNCTION("""COMPUTED_VALUE"""),"")</f>
        <v/>
      </c>
      <c r="L2626" s="4" t="str">
        <f>IFERROR(__xludf.DUMMYFUNCTION("""COMPUTED_VALUE"""),"")</f>
        <v/>
      </c>
      <c r="M2626" s="1" t="str">
        <f>IFERROR(__xludf.DUMMYFUNCTION("""COMPUTED_VALUE"""),"RFID")</f>
        <v>RFID</v>
      </c>
      <c r="N2626" s="5" t="str">
        <f>IFERROR(__xludf.DUMMYFUNCTION("""COMPUTED_VALUE"""),"")</f>
        <v/>
      </c>
      <c r="O2626" s="5" t="str">
        <f>IFERROR(__xludf.DUMMYFUNCTION("""COMPUTED_VALUE"""),"")</f>
        <v/>
      </c>
      <c r="P2626" s="5" t="str">
        <f>IFERROR(__xludf.DUMMYFUNCTION("""COMPUTED_VALUE"""),"")</f>
        <v/>
      </c>
      <c r="Q2626" s="5" t="str">
        <f>IFERROR(__xludf.DUMMYFUNCTION("""COMPUTED_VALUE"""),"")</f>
        <v/>
      </c>
      <c r="R2626" s="4" t="str">
        <f>IFERROR(__xludf.DUMMYFUNCTION("""COMPUTED_VALUE"""),"")</f>
        <v/>
      </c>
      <c r="S2626" s="1" t="b">
        <f>IFERROR(__xludf.DUMMYFUNCTION("""COMPUTED_VALUE"""),FALSE)</f>
        <v>0</v>
      </c>
      <c r="T2626" s="1" t="b">
        <f>IFERROR(__xludf.DUMMYFUNCTION("""COMPUTED_VALUE"""),FALSE)</f>
        <v>0</v>
      </c>
      <c r="U2626" s="1" t="str">
        <f>IFERROR(__xludf.DUMMYFUNCTION("""COMPUTED_VALUE"""),"DSQ")</f>
        <v>DSQ</v>
      </c>
      <c r="V2626" s="1" t="str">
        <f>IFERROR(__xludf.DUMMYFUNCTION("""COMPUTED_VALUE"""),"DSQ")</f>
        <v>DSQ</v>
      </c>
      <c r="W2626" s="1" t="str">
        <f>IFERROR(__xludf.DUMMYFUNCTION("""COMPUTED_VALUE"""),"DSQ")</f>
        <v>DSQ</v>
      </c>
      <c r="X2626" s="1" t="str">
        <f>IFERROR(__xludf.DUMMYFUNCTION("""COMPUTED_VALUE"""),"DSQ")</f>
        <v>DSQ</v>
      </c>
      <c r="Y2626" s="2"/>
      <c r="Z2626" s="2" t="str">
        <f>IFERROR(__xludf.DUMMYFUNCTION("""COMPUTED_VALUE"""),"")</f>
        <v/>
      </c>
    </row>
    <row r="2627">
      <c r="A2627" s="1">
        <f>IFERROR(__xludf.DUMMYFUNCTION("""COMPUTED_VALUE"""),2626.0)</f>
        <v>2626</v>
      </c>
      <c r="B2627" s="1">
        <f>IFERROR(__xludf.DUMMYFUNCTION("""COMPUTED_VALUE"""),6531.0)</f>
        <v>6531</v>
      </c>
      <c r="C2627" s="2" t="str">
        <f>IFERROR(__xludf.DUMMYFUNCTION("""COMPUTED_VALUE"""),"PACER - KAHFI")</f>
        <v>PACER - KAHFI</v>
      </c>
      <c r="D2627" s="2" t="str">
        <f>IFERROR(__xludf.DUMMYFUNCTION("""COMPUTED_VALUE"""),"5KM OVERALL M")</f>
        <v>5KM OVERALL M</v>
      </c>
      <c r="E2627" s="1">
        <f>IFERROR(__xludf.DUMMYFUNCTION("""COMPUTED_VALUE"""),2.0)</f>
        <v>2</v>
      </c>
      <c r="F2627" s="1" t="str">
        <f>IFERROR(__xludf.DUMMYFUNCTION("""COMPUTED_VALUE"""),"Male")</f>
        <v>Male</v>
      </c>
      <c r="G2627" s="4" t="b">
        <f>IFERROR(__xludf.DUMMYFUNCTION("""COMPUTED_VALUE"""),TRUE)</f>
        <v>1</v>
      </c>
      <c r="H2627" s="4" t="b">
        <f>IFERROR(__xludf.DUMMYFUNCTION("""COMPUTED_VALUE"""),TRUE)</f>
        <v>1</v>
      </c>
      <c r="I2627" s="4">
        <f>IFERROR(__xludf.DUMMYFUNCTION("""COMPUTED_VALUE"""),0.2549440625)</f>
        <v>0.2549440625</v>
      </c>
      <c r="J2627" s="4">
        <f>IFERROR(__xludf.DUMMYFUNCTION("""COMPUTED_VALUE"""),45949.271853092025)</f>
        <v>45949.27185</v>
      </c>
      <c r="K2627" s="4" t="str">
        <f>IFERROR(__xludf.DUMMYFUNCTION("""COMPUTED_VALUE"""),"")</f>
        <v/>
      </c>
      <c r="L2627" s="4">
        <f>IFERROR(__xludf.DUMMYFUNCTION("""COMPUTED_VALUE"""),45949.284470321196)</f>
        <v>45949.28447</v>
      </c>
      <c r="M2627" s="1" t="str">
        <f>IFERROR(__xludf.DUMMYFUNCTION("""COMPUTED_VALUE"""),"RFID")</f>
        <v>RFID</v>
      </c>
      <c r="N2627" s="5">
        <f>IFERROR(__xludf.DUMMYFUNCTION("""COMPUTED_VALUE"""),0.006763611111111112)</f>
        <v>0.006763611111</v>
      </c>
      <c r="O2627" s="5" t="str">
        <f>IFERROR(__xludf.DUMMYFUNCTION("""COMPUTED_VALUE"""),"")</f>
        <v/>
      </c>
      <c r="P2627" s="5" t="str">
        <f>IFERROR(__xludf.DUMMYFUNCTION("""COMPUTED_VALUE"""),"")</f>
        <v/>
      </c>
      <c r="Q2627" s="5">
        <f>IFERROR(__xludf.DUMMYFUNCTION("""COMPUTED_VALUE"""),0.0059052523148148146)</f>
        <v>0.005905252315</v>
      </c>
      <c r="R2627" s="4">
        <f>IFERROR(__xludf.DUMMYFUNCTION("""COMPUTED_VALUE"""),45949.029526258695)</f>
        <v>45949.02953</v>
      </c>
      <c r="S2627" s="1" t="b">
        <f>IFERROR(__xludf.DUMMYFUNCTION("""COMPUTED_VALUE"""),TRUE)</f>
        <v>1</v>
      </c>
      <c r="T2627" s="1" t="b">
        <f>IFERROR(__xludf.DUMMYFUNCTION("""COMPUTED_VALUE"""),FALSE)</f>
        <v>0</v>
      </c>
      <c r="U2627" s="1" t="str">
        <f>IFERROR(__xludf.DUMMYFUNCTION("""COMPUTED_VALUE"""),"VALID")</f>
        <v>VALID</v>
      </c>
      <c r="V2627" s="1">
        <f>IFERROR(__xludf.DUMMYFUNCTION("""COMPUTED_VALUE"""),361.0)</f>
        <v>361</v>
      </c>
      <c r="W2627" s="1">
        <f>IFERROR(__xludf.DUMMYFUNCTION("""COMPUTED_VALUE"""),541.0)</f>
        <v>541</v>
      </c>
      <c r="X2627" s="1">
        <f>IFERROR(__xludf.DUMMYFUNCTION("""COMPUTED_VALUE"""),464.0)</f>
        <v>464</v>
      </c>
      <c r="Y2627" s="2"/>
      <c r="Z2627" s="2"/>
    </row>
    <row r="2628">
      <c r="A2628" s="1">
        <f>IFERROR(__xludf.DUMMYFUNCTION("""COMPUTED_VALUE"""),2627.0)</f>
        <v>2627</v>
      </c>
      <c r="B2628" s="1">
        <f>IFERROR(__xludf.DUMMYFUNCTION("""COMPUTED_VALUE"""),6533.0)</f>
        <v>6533</v>
      </c>
      <c r="C2628" s="2" t="str">
        <f>IFERROR(__xludf.DUMMYFUNCTION("""COMPUTED_VALUE"""),"TEGUH WASISTO")</f>
        <v>TEGUH WASISTO</v>
      </c>
      <c r="D2628" s="2" t="str">
        <f>IFERROR(__xludf.DUMMYFUNCTION("""COMPUTED_VALUE"""),"5KM OVERALL M")</f>
        <v>5KM OVERALL M</v>
      </c>
      <c r="E2628" s="1">
        <f>IFERROR(__xludf.DUMMYFUNCTION("""COMPUTED_VALUE"""),2.0)</f>
        <v>2</v>
      </c>
      <c r="F2628" s="1" t="str">
        <f>IFERROR(__xludf.DUMMYFUNCTION("""COMPUTED_VALUE"""),"Male")</f>
        <v>Male</v>
      </c>
      <c r="G2628" s="4" t="str">
        <f>IFERROR(__xludf.DUMMYFUNCTION("""COMPUTED_VALUE"""),"")</f>
        <v/>
      </c>
      <c r="H2628" s="4" t="b">
        <f>IFERROR(__xludf.DUMMYFUNCTION("""COMPUTED_VALUE"""),FALSE)</f>
        <v>0</v>
      </c>
      <c r="I2628" s="4">
        <f>IFERROR(__xludf.DUMMYFUNCTION("""COMPUTED_VALUE"""),0.2549440625)</f>
        <v>0.2549440625</v>
      </c>
      <c r="J2628" s="4" t="str">
        <f>IFERROR(__xludf.DUMMYFUNCTION("""COMPUTED_VALUE"""),"")</f>
        <v/>
      </c>
      <c r="K2628" s="4" t="str">
        <f>IFERROR(__xludf.DUMMYFUNCTION("""COMPUTED_VALUE"""),"")</f>
        <v/>
      </c>
      <c r="L2628" s="4" t="str">
        <f>IFERROR(__xludf.DUMMYFUNCTION("""COMPUTED_VALUE"""),"")</f>
        <v/>
      </c>
      <c r="M2628" s="1" t="str">
        <f>IFERROR(__xludf.DUMMYFUNCTION("""COMPUTED_VALUE"""),"RFID")</f>
        <v>RFID</v>
      </c>
      <c r="N2628" s="5" t="str">
        <f>IFERROR(__xludf.DUMMYFUNCTION("""COMPUTED_VALUE"""),"")</f>
        <v/>
      </c>
      <c r="O2628" s="5" t="str">
        <f>IFERROR(__xludf.DUMMYFUNCTION("""COMPUTED_VALUE"""),"")</f>
        <v/>
      </c>
      <c r="P2628" s="5" t="str">
        <f>IFERROR(__xludf.DUMMYFUNCTION("""COMPUTED_VALUE"""),"")</f>
        <v/>
      </c>
      <c r="Q2628" s="5" t="str">
        <f>IFERROR(__xludf.DUMMYFUNCTION("""COMPUTED_VALUE"""),"")</f>
        <v/>
      </c>
      <c r="R2628" s="4" t="str">
        <f>IFERROR(__xludf.DUMMYFUNCTION("""COMPUTED_VALUE"""),"")</f>
        <v/>
      </c>
      <c r="S2628" s="1" t="b">
        <f>IFERROR(__xludf.DUMMYFUNCTION("""COMPUTED_VALUE"""),FALSE)</f>
        <v>0</v>
      </c>
      <c r="T2628" s="1" t="b">
        <f>IFERROR(__xludf.DUMMYFUNCTION("""COMPUTED_VALUE"""),FALSE)</f>
        <v>0</v>
      </c>
      <c r="U2628" s="1" t="str">
        <f>IFERROR(__xludf.DUMMYFUNCTION("""COMPUTED_VALUE"""),"DSQ")</f>
        <v>DSQ</v>
      </c>
      <c r="V2628" s="1" t="str">
        <f>IFERROR(__xludf.DUMMYFUNCTION("""COMPUTED_VALUE"""),"DSQ")</f>
        <v>DSQ</v>
      </c>
      <c r="W2628" s="1" t="str">
        <f>IFERROR(__xludf.DUMMYFUNCTION("""COMPUTED_VALUE"""),"DSQ")</f>
        <v>DSQ</v>
      </c>
      <c r="X2628" s="1" t="str">
        <f>IFERROR(__xludf.DUMMYFUNCTION("""COMPUTED_VALUE"""),"DSQ")</f>
        <v>DSQ</v>
      </c>
      <c r="Y2628" s="2"/>
      <c r="Z2628" s="2" t="str">
        <f>IFERROR(__xludf.DUMMYFUNCTION("""COMPUTED_VALUE"""),"")</f>
        <v/>
      </c>
    </row>
    <row r="2629">
      <c r="A2629" s="1">
        <f>IFERROR(__xludf.DUMMYFUNCTION("""COMPUTED_VALUE"""),2628.0)</f>
        <v>2628</v>
      </c>
      <c r="B2629" s="1">
        <f>IFERROR(__xludf.DUMMYFUNCTION("""COMPUTED_VALUE"""),6538.0)</f>
        <v>6538</v>
      </c>
      <c r="C2629" s="2" t="str">
        <f>IFERROR(__xludf.DUMMYFUNCTION("""COMPUTED_VALUE"""),"FATIMAH KHALDA")</f>
        <v>FATIMAH KHALDA</v>
      </c>
      <c r="D2629" s="2" t="str">
        <f>IFERROR(__xludf.DUMMYFUNCTION("""COMPUTED_VALUE"""),"5KM OVERALL M")</f>
        <v>5KM OVERALL M</v>
      </c>
      <c r="E2629" s="1">
        <f>IFERROR(__xludf.DUMMYFUNCTION("""COMPUTED_VALUE"""),2.0)</f>
        <v>2</v>
      </c>
      <c r="F2629" s="1" t="str">
        <f>IFERROR(__xludf.DUMMYFUNCTION("""COMPUTED_VALUE"""),"Male")</f>
        <v>Male</v>
      </c>
      <c r="G2629" s="4" t="b">
        <f>IFERROR(__xludf.DUMMYFUNCTION("""COMPUTED_VALUE"""),TRUE)</f>
        <v>1</v>
      </c>
      <c r="H2629" s="4" t="b">
        <f>IFERROR(__xludf.DUMMYFUNCTION("""COMPUTED_VALUE"""),FALSE)</f>
        <v>0</v>
      </c>
      <c r="I2629" s="4">
        <f>IFERROR(__xludf.DUMMYFUNCTION("""COMPUTED_VALUE"""),0.2549440625)</f>
        <v>0.2549440625</v>
      </c>
      <c r="J2629" s="4">
        <f>IFERROR(__xludf.DUMMYFUNCTION("""COMPUTED_VALUE"""),45949.27652670036)</f>
        <v>45949.27653</v>
      </c>
      <c r="K2629" s="4" t="str">
        <f>IFERROR(__xludf.DUMMYFUNCTION("""COMPUTED_VALUE"""),"")</f>
        <v/>
      </c>
      <c r="L2629" s="4">
        <f>IFERROR(__xludf.DUMMYFUNCTION("""COMPUTED_VALUE"""),45949.29256753183)</f>
        <v>45949.29257</v>
      </c>
      <c r="M2629" s="1" t="str">
        <f>IFERROR(__xludf.DUMMYFUNCTION("""COMPUTED_VALUE"""),"RFID")</f>
        <v>RFID</v>
      </c>
      <c r="N2629" s="5">
        <f>IFERROR(__xludf.DUMMYFUNCTION("""COMPUTED_VALUE"""),0.008633055555555555)</f>
        <v>0.008633055556</v>
      </c>
      <c r="O2629" s="5" t="str">
        <f>IFERROR(__xludf.DUMMYFUNCTION("""COMPUTED_VALUE"""),"")</f>
        <v/>
      </c>
      <c r="P2629" s="5" t="str">
        <f>IFERROR(__xludf.DUMMYFUNCTION("""COMPUTED_VALUE"""),"")</f>
        <v/>
      </c>
      <c r="Q2629" s="5">
        <f>IFERROR(__xludf.DUMMYFUNCTION("""COMPUTED_VALUE"""),0.007524694444444445)</f>
        <v>0.007524694444</v>
      </c>
      <c r="R2629" s="4">
        <f>IFERROR(__xludf.DUMMYFUNCTION("""COMPUTED_VALUE"""),45949.03762346933)</f>
        <v>45949.03762</v>
      </c>
      <c r="S2629" s="1" t="b">
        <f>IFERROR(__xludf.DUMMYFUNCTION("""COMPUTED_VALUE"""),TRUE)</f>
        <v>1</v>
      </c>
      <c r="T2629" s="1" t="b">
        <f>IFERROR(__xludf.DUMMYFUNCTION("""COMPUTED_VALUE"""),FALSE)</f>
        <v>0</v>
      </c>
      <c r="U2629" s="1" t="str">
        <f>IFERROR(__xludf.DUMMYFUNCTION("""COMPUTED_VALUE"""),"VALID")</f>
        <v>VALID</v>
      </c>
      <c r="V2629" s="1">
        <f>IFERROR(__xludf.DUMMYFUNCTION("""COMPUTED_VALUE"""),644.0)</f>
        <v>644</v>
      </c>
      <c r="W2629" s="1">
        <f>IFERROR(__xludf.DUMMYFUNCTION("""COMPUTED_VALUE"""),1072.0)</f>
        <v>1072</v>
      </c>
      <c r="X2629" s="1">
        <f>IFERROR(__xludf.DUMMYFUNCTION("""COMPUTED_VALUE"""),854.0)</f>
        <v>854</v>
      </c>
      <c r="Y2629" s="2"/>
      <c r="Z2629" s="2"/>
    </row>
    <row r="2630">
      <c r="A2630" s="1">
        <f>IFERROR(__xludf.DUMMYFUNCTION("""COMPUTED_VALUE"""),2629.0)</f>
        <v>2629</v>
      </c>
      <c r="B2630" s="1">
        <f>IFERROR(__xludf.DUMMYFUNCTION("""COMPUTED_VALUE"""),6539.0)</f>
        <v>6539</v>
      </c>
      <c r="C2630" s="2" t="str">
        <f>IFERROR(__xludf.DUMMYFUNCTION("""COMPUTED_VALUE"""),"M. RAMADHANI SAPUTRA")</f>
        <v>M. RAMADHANI SAPUTRA</v>
      </c>
      <c r="D2630" s="2" t="str">
        <f>IFERROR(__xludf.DUMMYFUNCTION("""COMPUTED_VALUE"""),"5KM OVERALL M")</f>
        <v>5KM OVERALL M</v>
      </c>
      <c r="E2630" s="1">
        <f>IFERROR(__xludf.DUMMYFUNCTION("""COMPUTED_VALUE"""),2.0)</f>
        <v>2</v>
      </c>
      <c r="F2630" s="1" t="str">
        <f>IFERROR(__xludf.DUMMYFUNCTION("""COMPUTED_VALUE"""),"Male")</f>
        <v>Male</v>
      </c>
      <c r="G2630" s="4" t="b">
        <f>IFERROR(__xludf.DUMMYFUNCTION("""COMPUTED_VALUE"""),TRUE)</f>
        <v>1</v>
      </c>
      <c r="H2630" s="4" t="b">
        <f>IFERROR(__xludf.DUMMYFUNCTION("""COMPUTED_VALUE"""),FALSE)</f>
        <v>0</v>
      </c>
      <c r="I2630" s="4">
        <f>IFERROR(__xludf.DUMMYFUNCTION("""COMPUTED_VALUE"""),0.2549440625)</f>
        <v>0.2549440625</v>
      </c>
      <c r="J2630" s="4">
        <f>IFERROR(__xludf.DUMMYFUNCTION("""COMPUTED_VALUE"""),45950.266493055555)</f>
        <v>45950.26649</v>
      </c>
      <c r="K2630" s="4" t="str">
        <f>IFERROR(__xludf.DUMMYFUNCTION("""COMPUTED_VALUE"""),"")</f>
        <v/>
      </c>
      <c r="L2630" s="4">
        <f>IFERROR(__xludf.DUMMYFUNCTION("""COMPUTED_VALUE"""),45949.274196004866)</f>
        <v>45949.2742</v>
      </c>
      <c r="M2630" s="1" t="str">
        <f>IFERROR(__xludf.DUMMYFUNCTION("""COMPUTED_VALUE"""),"RFID")</f>
        <v>RFID</v>
      </c>
      <c r="N2630" s="5">
        <f>IFERROR(__xludf.DUMMYFUNCTION("""COMPUTED_VALUE"""),0.004619597222222222)</f>
        <v>0.004619597222</v>
      </c>
      <c r="O2630" s="5" t="str">
        <f>IFERROR(__xludf.DUMMYFUNCTION("""COMPUTED_VALUE"""),"")</f>
        <v/>
      </c>
      <c r="P2630" s="5" t="str">
        <f>IFERROR(__xludf.DUMMYFUNCTION("""COMPUTED_VALUE"""),"")</f>
        <v/>
      </c>
      <c r="Q2630" s="5">
        <f>IFERROR(__xludf.DUMMYFUNCTION("""COMPUTED_VALUE"""),0.0038503888888888884)</f>
        <v>0.003850388889</v>
      </c>
      <c r="R2630" s="4">
        <f>IFERROR(__xludf.DUMMYFUNCTION("""COMPUTED_VALUE"""),45949.019251942365)</f>
        <v>45949.01925</v>
      </c>
      <c r="S2630" s="1" t="b">
        <f>IFERROR(__xludf.DUMMYFUNCTION("""COMPUTED_VALUE"""),TRUE)</f>
        <v>1</v>
      </c>
      <c r="T2630" s="1" t="b">
        <f>IFERROR(__xludf.DUMMYFUNCTION("""COMPUTED_VALUE"""),FALSE)</f>
        <v>0</v>
      </c>
      <c r="U2630" s="1" t="str">
        <f>IFERROR(__xludf.DUMMYFUNCTION("""COMPUTED_VALUE"""),"VALID")</f>
        <v>VALID</v>
      </c>
      <c r="V2630" s="1">
        <f>IFERROR(__xludf.DUMMYFUNCTION("""COMPUTED_VALUE"""),64.0)</f>
        <v>64</v>
      </c>
      <c r="W2630" s="1">
        <f>IFERROR(__xludf.DUMMYFUNCTION("""COMPUTED_VALUE"""),95.0)</f>
        <v>95</v>
      </c>
      <c r="X2630" s="1">
        <f>IFERROR(__xludf.DUMMYFUNCTION("""COMPUTED_VALUE"""),85.0)</f>
        <v>85</v>
      </c>
      <c r="Y2630" s="2"/>
      <c r="Z2630" s="2" t="str">
        <f>IFERROR(__xludf.DUMMYFUNCTION("""COMPUTED_VALUE"""),"C")</f>
        <v>C</v>
      </c>
    </row>
    <row r="2631">
      <c r="A2631" s="1">
        <f>IFERROR(__xludf.DUMMYFUNCTION("""COMPUTED_VALUE"""),2630.0)</f>
        <v>2630</v>
      </c>
      <c r="B2631" s="1">
        <f>IFERROR(__xludf.DUMMYFUNCTION("""COMPUTED_VALUE"""),6540.0)</f>
        <v>6540</v>
      </c>
      <c r="C2631" s="2" t="str">
        <f>IFERROR(__xludf.DUMMYFUNCTION("""COMPUTED_VALUE"""),"ZAINUDDIN")</f>
        <v>ZAINUDDIN</v>
      </c>
      <c r="D2631" s="2" t="str">
        <f>IFERROR(__xludf.DUMMYFUNCTION("""COMPUTED_VALUE"""),"5KM OVERALL M")</f>
        <v>5KM OVERALL M</v>
      </c>
      <c r="E2631" s="1">
        <f>IFERROR(__xludf.DUMMYFUNCTION("""COMPUTED_VALUE"""),2.0)</f>
        <v>2</v>
      </c>
      <c r="F2631" s="1" t="str">
        <f>IFERROR(__xludf.DUMMYFUNCTION("""COMPUTED_VALUE"""),"Male")</f>
        <v>Male</v>
      </c>
      <c r="G2631" s="4" t="b">
        <f>IFERROR(__xludf.DUMMYFUNCTION("""COMPUTED_VALUE"""),TRUE)</f>
        <v>1</v>
      </c>
      <c r="H2631" s="4" t="b">
        <f>IFERROR(__xludf.DUMMYFUNCTION("""COMPUTED_VALUE"""),TRUE)</f>
        <v>1</v>
      </c>
      <c r="I2631" s="4">
        <f>IFERROR(__xludf.DUMMYFUNCTION("""COMPUTED_VALUE"""),0.2549440625)</f>
        <v>0.2549440625</v>
      </c>
      <c r="J2631" s="4">
        <f>IFERROR(__xludf.DUMMYFUNCTION("""COMPUTED_VALUE"""),45949.26973502204)</f>
        <v>45949.26974</v>
      </c>
      <c r="K2631" s="4" t="str">
        <f>IFERROR(__xludf.DUMMYFUNCTION("""COMPUTED_VALUE"""),"")</f>
        <v/>
      </c>
      <c r="L2631" s="4">
        <f>IFERROR(__xludf.DUMMYFUNCTION("""COMPUTED_VALUE"""),45949.28040191465)</f>
        <v>45949.2804</v>
      </c>
      <c r="M2631" s="1" t="str">
        <f>IFERROR(__xludf.DUMMYFUNCTION("""COMPUTED_VALUE"""),"RFID")</f>
        <v>RFID</v>
      </c>
      <c r="N2631" s="5">
        <f>IFERROR(__xludf.DUMMYFUNCTION("""COMPUTED_VALUE"""),0.005916384259259259)</f>
        <v>0.005916384259</v>
      </c>
      <c r="O2631" s="5" t="str">
        <f>IFERROR(__xludf.DUMMYFUNCTION("""COMPUTED_VALUE"""),"")</f>
        <v/>
      </c>
      <c r="P2631" s="5" t="str">
        <f>IFERROR(__xludf.DUMMYFUNCTION("""COMPUTED_VALUE"""),"")</f>
        <v/>
      </c>
      <c r="Q2631" s="5">
        <f>IFERROR(__xludf.DUMMYFUNCTION("""COMPUTED_VALUE"""),0.005091569444444445)</f>
        <v>0.005091569444</v>
      </c>
      <c r="R2631" s="4">
        <f>IFERROR(__xludf.DUMMYFUNCTION("""COMPUTED_VALUE"""),45949.02545785215)</f>
        <v>45949.02546</v>
      </c>
      <c r="S2631" s="1" t="b">
        <f>IFERROR(__xludf.DUMMYFUNCTION("""COMPUTED_VALUE"""),TRUE)</f>
        <v>1</v>
      </c>
      <c r="T2631" s="1" t="b">
        <f>IFERROR(__xludf.DUMMYFUNCTION("""COMPUTED_VALUE"""),FALSE)</f>
        <v>0</v>
      </c>
      <c r="U2631" s="1" t="str">
        <f>IFERROR(__xludf.DUMMYFUNCTION("""COMPUTED_VALUE"""),"VALID")</f>
        <v>VALID</v>
      </c>
      <c r="V2631" s="1">
        <f>IFERROR(__xludf.DUMMYFUNCTION("""COMPUTED_VALUE"""),200.0)</f>
        <v>200</v>
      </c>
      <c r="W2631" s="1">
        <f>IFERROR(__xludf.DUMMYFUNCTION("""COMPUTED_VALUE"""),311.0)</f>
        <v>311</v>
      </c>
      <c r="X2631" s="1">
        <f>IFERROR(__xludf.DUMMYFUNCTION("""COMPUTED_VALUE"""),273.0)</f>
        <v>273</v>
      </c>
      <c r="Y2631" s="2"/>
      <c r="Z2631" s="2"/>
    </row>
    <row r="2632">
      <c r="A2632" s="1">
        <f>IFERROR(__xludf.DUMMYFUNCTION("""COMPUTED_VALUE"""),2631.0)</f>
        <v>2631</v>
      </c>
      <c r="B2632" s="1">
        <f>IFERROR(__xludf.DUMMYFUNCTION("""COMPUTED_VALUE"""),6543.0)</f>
        <v>6543</v>
      </c>
      <c r="C2632" s="2" t="str">
        <f>IFERROR(__xludf.DUMMYFUNCTION("""COMPUTED_VALUE"""),"MUSLIHAH")</f>
        <v>MUSLIHAH</v>
      </c>
      <c r="D2632" s="2" t="str">
        <f>IFERROR(__xludf.DUMMYFUNCTION("""COMPUTED_VALUE"""),"5KM OVERALL M")</f>
        <v>5KM OVERALL M</v>
      </c>
      <c r="E2632" s="1">
        <f>IFERROR(__xludf.DUMMYFUNCTION("""COMPUTED_VALUE"""),2.0)</f>
        <v>2</v>
      </c>
      <c r="F2632" s="1" t="str">
        <f>IFERROR(__xludf.DUMMYFUNCTION("""COMPUTED_VALUE"""),"Male")</f>
        <v>Male</v>
      </c>
      <c r="G2632" s="4" t="b">
        <f>IFERROR(__xludf.DUMMYFUNCTION("""COMPUTED_VALUE"""),TRUE)</f>
        <v>1</v>
      </c>
      <c r="H2632" s="4" t="b">
        <f>IFERROR(__xludf.DUMMYFUNCTION("""COMPUTED_VALUE"""),FALSE)</f>
        <v>0</v>
      </c>
      <c r="I2632" s="4">
        <f>IFERROR(__xludf.DUMMYFUNCTION("""COMPUTED_VALUE"""),0.2549440625)</f>
        <v>0.2549440625</v>
      </c>
      <c r="J2632" s="4">
        <f>IFERROR(__xludf.DUMMYFUNCTION("""COMPUTED_VALUE"""),45949.28073850353)</f>
        <v>45949.28074</v>
      </c>
      <c r="K2632" s="4" t="str">
        <f>IFERROR(__xludf.DUMMYFUNCTION("""COMPUTED_VALUE"""),"")</f>
        <v/>
      </c>
      <c r="L2632" s="4">
        <f>IFERROR(__xludf.DUMMYFUNCTION("""COMPUTED_VALUE"""),45949.30189392152)</f>
        <v>45949.30189</v>
      </c>
      <c r="M2632" s="1" t="str">
        <f>IFERROR(__xludf.DUMMYFUNCTION("""COMPUTED_VALUE"""),"RFID")</f>
        <v>RFID</v>
      </c>
      <c r="N2632" s="5">
        <f>IFERROR(__xludf.DUMMYFUNCTION("""COMPUTED_VALUE"""),0.010317777777777776)</f>
        <v>0.01031777778</v>
      </c>
      <c r="O2632" s="5" t="str">
        <f>IFERROR(__xludf.DUMMYFUNCTION("""COMPUTED_VALUE"""),"")</f>
        <v/>
      </c>
      <c r="P2632" s="5" t="str">
        <f>IFERROR(__xludf.DUMMYFUNCTION("""COMPUTED_VALUE"""),"")</f>
        <v/>
      </c>
      <c r="Q2632" s="5">
        <f>IFERROR(__xludf.DUMMYFUNCTION("""COMPUTED_VALUE"""),0.009389972222222221)</f>
        <v>0.009389972222</v>
      </c>
      <c r="R2632" s="4">
        <f>IFERROR(__xludf.DUMMYFUNCTION("""COMPUTED_VALUE"""),45949.04694985902)</f>
        <v>45949.04695</v>
      </c>
      <c r="S2632" s="1" t="b">
        <f>IFERROR(__xludf.DUMMYFUNCTION("""COMPUTED_VALUE"""),TRUE)</f>
        <v>1</v>
      </c>
      <c r="T2632" s="1" t="b">
        <f>IFERROR(__xludf.DUMMYFUNCTION("""COMPUTED_VALUE"""),FALSE)</f>
        <v>0</v>
      </c>
      <c r="U2632" s="1" t="str">
        <f>IFERROR(__xludf.DUMMYFUNCTION("""COMPUTED_VALUE"""),"VALID")</f>
        <v>VALID</v>
      </c>
      <c r="V2632" s="1">
        <f>IFERROR(__xludf.DUMMYFUNCTION("""COMPUTED_VALUE"""),817.0)</f>
        <v>817</v>
      </c>
      <c r="W2632" s="1">
        <f>IFERROR(__xludf.DUMMYFUNCTION("""COMPUTED_VALUE"""),1510.0)</f>
        <v>1510</v>
      </c>
      <c r="X2632" s="1">
        <f>IFERROR(__xludf.DUMMYFUNCTION("""COMPUTED_VALUE"""),1269.0)</f>
        <v>1269</v>
      </c>
      <c r="Y2632" s="2"/>
      <c r="Z2632" s="2"/>
    </row>
    <row r="2633">
      <c r="A2633" s="1">
        <f>IFERROR(__xludf.DUMMYFUNCTION("""COMPUTED_VALUE"""),2632.0)</f>
        <v>2632</v>
      </c>
      <c r="B2633" s="1">
        <f>IFERROR(__xludf.DUMMYFUNCTION("""COMPUTED_VALUE"""),6546.0)</f>
        <v>6546</v>
      </c>
      <c r="C2633" s="2" t="str">
        <f>IFERROR(__xludf.DUMMYFUNCTION("""COMPUTED_VALUE"""),"WIDYA RAHMAWATI")</f>
        <v>WIDYA RAHMAWATI</v>
      </c>
      <c r="D2633" s="2" t="str">
        <f>IFERROR(__xludf.DUMMYFUNCTION("""COMPUTED_VALUE"""),"5KM OVERALL M")</f>
        <v>5KM OVERALL M</v>
      </c>
      <c r="E2633" s="1">
        <f>IFERROR(__xludf.DUMMYFUNCTION("""COMPUTED_VALUE"""),2.0)</f>
        <v>2</v>
      </c>
      <c r="F2633" s="1" t="str">
        <f>IFERROR(__xludf.DUMMYFUNCTION("""COMPUTED_VALUE"""),"Male")</f>
        <v>Male</v>
      </c>
      <c r="G2633" s="4" t="b">
        <f>IFERROR(__xludf.DUMMYFUNCTION("""COMPUTED_VALUE"""),TRUE)</f>
        <v>1</v>
      </c>
      <c r="H2633" s="4" t="b">
        <f>IFERROR(__xludf.DUMMYFUNCTION("""COMPUTED_VALUE"""),TRUE)</f>
        <v>1</v>
      </c>
      <c r="I2633" s="4">
        <f>IFERROR(__xludf.DUMMYFUNCTION("""COMPUTED_VALUE"""),0.2549440625)</f>
        <v>0.2549440625</v>
      </c>
      <c r="J2633" s="4">
        <f>IFERROR(__xludf.DUMMYFUNCTION("""COMPUTED_VALUE"""),45949.2839259907)</f>
        <v>45949.28393</v>
      </c>
      <c r="K2633" s="4" t="str">
        <f>IFERROR(__xludf.DUMMYFUNCTION("""COMPUTED_VALUE"""),"")</f>
        <v/>
      </c>
      <c r="L2633" s="4">
        <f>IFERROR(__xludf.DUMMYFUNCTION("""COMPUTED_VALUE"""),45949.30512656795)</f>
        <v>45949.30513</v>
      </c>
      <c r="M2633" s="1" t="str">
        <f>IFERROR(__xludf.DUMMYFUNCTION("""COMPUTED_VALUE"""),"RFID")</f>
        <v>RFID</v>
      </c>
      <c r="N2633" s="5">
        <f>IFERROR(__xludf.DUMMYFUNCTION("""COMPUTED_VALUE"""),0.011592773148148149)</f>
        <v>0.01159277315</v>
      </c>
      <c r="O2633" s="5" t="str">
        <f>IFERROR(__xludf.DUMMYFUNCTION("""COMPUTED_VALUE"""),"")</f>
        <v/>
      </c>
      <c r="P2633" s="5" t="str">
        <f>IFERROR(__xludf.DUMMYFUNCTION("""COMPUTED_VALUE"""),"")</f>
        <v/>
      </c>
      <c r="Q2633" s="5">
        <f>IFERROR(__xludf.DUMMYFUNCTION("""COMPUTED_VALUE"""),0.0100365)</f>
        <v>0.0100365</v>
      </c>
      <c r="R2633" s="4">
        <f>IFERROR(__xludf.DUMMYFUNCTION("""COMPUTED_VALUE"""),45949.05018250545)</f>
        <v>45949.05018</v>
      </c>
      <c r="S2633" s="1" t="b">
        <f>IFERROR(__xludf.DUMMYFUNCTION("""COMPUTED_VALUE"""),TRUE)</f>
        <v>1</v>
      </c>
      <c r="T2633" s="1" t="b">
        <f>IFERROR(__xludf.DUMMYFUNCTION("""COMPUTED_VALUE"""),FALSE)</f>
        <v>0</v>
      </c>
      <c r="U2633" s="1" t="str">
        <f>IFERROR(__xludf.DUMMYFUNCTION("""COMPUTED_VALUE"""),"VALID")</f>
        <v>VALID</v>
      </c>
      <c r="V2633" s="1">
        <f>IFERROR(__xludf.DUMMYFUNCTION("""COMPUTED_VALUE"""),845.0)</f>
        <v>845</v>
      </c>
      <c r="W2633" s="1">
        <f>IFERROR(__xludf.DUMMYFUNCTION("""COMPUTED_VALUE"""),1573.0)</f>
        <v>1573</v>
      </c>
      <c r="X2633" s="1">
        <f>IFERROR(__xludf.DUMMYFUNCTION("""COMPUTED_VALUE"""),1388.0)</f>
        <v>1388</v>
      </c>
      <c r="Y2633" s="2"/>
      <c r="Z2633" s="2"/>
    </row>
    <row r="2634">
      <c r="A2634" s="1">
        <f>IFERROR(__xludf.DUMMYFUNCTION("""COMPUTED_VALUE"""),2633.0)</f>
        <v>2633</v>
      </c>
      <c r="B2634" s="1">
        <f>IFERROR(__xludf.DUMMYFUNCTION("""COMPUTED_VALUE"""),6549.0)</f>
        <v>6549</v>
      </c>
      <c r="C2634" s="2" t="str">
        <f>IFERROR(__xludf.DUMMYFUNCTION("""COMPUTED_VALUE"""),"PUTRA FAJAR")</f>
        <v>PUTRA FAJAR</v>
      </c>
      <c r="D2634" s="2" t="str">
        <f>IFERROR(__xludf.DUMMYFUNCTION("""COMPUTED_VALUE"""),"5KM OVERALL M")</f>
        <v>5KM OVERALL M</v>
      </c>
      <c r="E2634" s="1">
        <f>IFERROR(__xludf.DUMMYFUNCTION("""COMPUTED_VALUE"""),2.0)</f>
        <v>2</v>
      </c>
      <c r="F2634" s="1" t="str">
        <f>IFERROR(__xludf.DUMMYFUNCTION("""COMPUTED_VALUE"""),"Male")</f>
        <v>Male</v>
      </c>
      <c r="G2634" s="4" t="str">
        <f>IFERROR(__xludf.DUMMYFUNCTION("""COMPUTED_VALUE"""),"")</f>
        <v/>
      </c>
      <c r="H2634" s="4" t="b">
        <f>IFERROR(__xludf.DUMMYFUNCTION("""COMPUTED_VALUE"""),FALSE)</f>
        <v>0</v>
      </c>
      <c r="I2634" s="4">
        <f>IFERROR(__xludf.DUMMYFUNCTION("""COMPUTED_VALUE"""),0.2549440625)</f>
        <v>0.2549440625</v>
      </c>
      <c r="J2634" s="4" t="str">
        <f>IFERROR(__xludf.DUMMYFUNCTION("""COMPUTED_VALUE"""),"")</f>
        <v/>
      </c>
      <c r="K2634" s="4" t="str">
        <f>IFERROR(__xludf.DUMMYFUNCTION("""COMPUTED_VALUE"""),"")</f>
        <v/>
      </c>
      <c r="L2634" s="4" t="str">
        <f>IFERROR(__xludf.DUMMYFUNCTION("""COMPUTED_VALUE"""),"")</f>
        <v/>
      </c>
      <c r="M2634" s="1" t="str">
        <f>IFERROR(__xludf.DUMMYFUNCTION("""COMPUTED_VALUE"""),"RFID")</f>
        <v>RFID</v>
      </c>
      <c r="N2634" s="5" t="str">
        <f>IFERROR(__xludf.DUMMYFUNCTION("""COMPUTED_VALUE"""),"")</f>
        <v/>
      </c>
      <c r="O2634" s="5" t="str">
        <f>IFERROR(__xludf.DUMMYFUNCTION("""COMPUTED_VALUE"""),"")</f>
        <v/>
      </c>
      <c r="P2634" s="5" t="str">
        <f>IFERROR(__xludf.DUMMYFUNCTION("""COMPUTED_VALUE"""),"")</f>
        <v/>
      </c>
      <c r="Q2634" s="5" t="str">
        <f>IFERROR(__xludf.DUMMYFUNCTION("""COMPUTED_VALUE"""),"")</f>
        <v/>
      </c>
      <c r="R2634" s="4" t="str">
        <f>IFERROR(__xludf.DUMMYFUNCTION("""COMPUTED_VALUE"""),"")</f>
        <v/>
      </c>
      <c r="S2634" s="1" t="b">
        <f>IFERROR(__xludf.DUMMYFUNCTION("""COMPUTED_VALUE"""),FALSE)</f>
        <v>0</v>
      </c>
      <c r="T2634" s="1" t="b">
        <f>IFERROR(__xludf.DUMMYFUNCTION("""COMPUTED_VALUE"""),FALSE)</f>
        <v>0</v>
      </c>
      <c r="U2634" s="1" t="str">
        <f>IFERROR(__xludf.DUMMYFUNCTION("""COMPUTED_VALUE"""),"DSQ")</f>
        <v>DSQ</v>
      </c>
      <c r="V2634" s="1" t="str">
        <f>IFERROR(__xludf.DUMMYFUNCTION("""COMPUTED_VALUE"""),"DSQ")</f>
        <v>DSQ</v>
      </c>
      <c r="W2634" s="1" t="str">
        <f>IFERROR(__xludf.DUMMYFUNCTION("""COMPUTED_VALUE"""),"DSQ")</f>
        <v>DSQ</v>
      </c>
      <c r="X2634" s="1" t="str">
        <f>IFERROR(__xludf.DUMMYFUNCTION("""COMPUTED_VALUE"""),"DSQ")</f>
        <v>DSQ</v>
      </c>
      <c r="Y2634" s="2"/>
      <c r="Z2634" s="2" t="str">
        <f>IFERROR(__xludf.DUMMYFUNCTION("""COMPUTED_VALUE"""),"")</f>
        <v/>
      </c>
    </row>
    <row r="2635">
      <c r="A2635" s="1">
        <f>IFERROR(__xludf.DUMMYFUNCTION("""COMPUTED_VALUE"""),2634.0)</f>
        <v>2634</v>
      </c>
      <c r="B2635" s="1">
        <f>IFERROR(__xludf.DUMMYFUNCTION("""COMPUTED_VALUE"""),6550.0)</f>
        <v>6550</v>
      </c>
      <c r="C2635" s="2" t="str">
        <f>IFERROR(__xludf.DUMMYFUNCTION("""COMPUTED_VALUE"""),"BONDAN AJA")</f>
        <v>BONDAN AJA</v>
      </c>
      <c r="D2635" s="2" t="str">
        <f>IFERROR(__xludf.DUMMYFUNCTION("""COMPUTED_VALUE"""),"5KM OVERALL M")</f>
        <v>5KM OVERALL M</v>
      </c>
      <c r="E2635" s="1">
        <f>IFERROR(__xludf.DUMMYFUNCTION("""COMPUTED_VALUE"""),2.0)</f>
        <v>2</v>
      </c>
      <c r="F2635" s="1" t="str">
        <f>IFERROR(__xludf.DUMMYFUNCTION("""COMPUTED_VALUE"""),"Male")</f>
        <v>Male</v>
      </c>
      <c r="G2635" s="4" t="str">
        <f>IFERROR(__xludf.DUMMYFUNCTION("""COMPUTED_VALUE"""),"")</f>
        <v/>
      </c>
      <c r="H2635" s="4" t="b">
        <f>IFERROR(__xludf.DUMMYFUNCTION("""COMPUTED_VALUE"""),FALSE)</f>
        <v>0</v>
      </c>
      <c r="I2635" s="4">
        <f>IFERROR(__xludf.DUMMYFUNCTION("""COMPUTED_VALUE"""),0.2549440625)</f>
        <v>0.2549440625</v>
      </c>
      <c r="J2635" s="4" t="str">
        <f>IFERROR(__xludf.DUMMYFUNCTION("""COMPUTED_VALUE"""),"")</f>
        <v/>
      </c>
      <c r="K2635" s="4" t="str">
        <f>IFERROR(__xludf.DUMMYFUNCTION("""COMPUTED_VALUE"""),"")</f>
        <v/>
      </c>
      <c r="L2635" s="4" t="str">
        <f>IFERROR(__xludf.DUMMYFUNCTION("""COMPUTED_VALUE"""),"")</f>
        <v/>
      </c>
      <c r="M2635" s="1" t="str">
        <f>IFERROR(__xludf.DUMMYFUNCTION("""COMPUTED_VALUE"""),"RFID")</f>
        <v>RFID</v>
      </c>
      <c r="N2635" s="5" t="str">
        <f>IFERROR(__xludf.DUMMYFUNCTION("""COMPUTED_VALUE"""),"")</f>
        <v/>
      </c>
      <c r="O2635" s="5" t="str">
        <f>IFERROR(__xludf.DUMMYFUNCTION("""COMPUTED_VALUE"""),"")</f>
        <v/>
      </c>
      <c r="P2635" s="5" t="str">
        <f>IFERROR(__xludf.DUMMYFUNCTION("""COMPUTED_VALUE"""),"")</f>
        <v/>
      </c>
      <c r="Q2635" s="5" t="str">
        <f>IFERROR(__xludf.DUMMYFUNCTION("""COMPUTED_VALUE"""),"")</f>
        <v/>
      </c>
      <c r="R2635" s="4" t="str">
        <f>IFERROR(__xludf.DUMMYFUNCTION("""COMPUTED_VALUE"""),"")</f>
        <v/>
      </c>
      <c r="S2635" s="1" t="b">
        <f>IFERROR(__xludf.DUMMYFUNCTION("""COMPUTED_VALUE"""),FALSE)</f>
        <v>0</v>
      </c>
      <c r="T2635" s="1" t="b">
        <f>IFERROR(__xludf.DUMMYFUNCTION("""COMPUTED_VALUE"""),FALSE)</f>
        <v>0</v>
      </c>
      <c r="U2635" s="1" t="str">
        <f>IFERROR(__xludf.DUMMYFUNCTION("""COMPUTED_VALUE"""),"DSQ")</f>
        <v>DSQ</v>
      </c>
      <c r="V2635" s="1" t="str">
        <f>IFERROR(__xludf.DUMMYFUNCTION("""COMPUTED_VALUE"""),"DSQ")</f>
        <v>DSQ</v>
      </c>
      <c r="W2635" s="1" t="str">
        <f>IFERROR(__xludf.DUMMYFUNCTION("""COMPUTED_VALUE"""),"DSQ")</f>
        <v>DSQ</v>
      </c>
      <c r="X2635" s="1" t="str">
        <f>IFERROR(__xludf.DUMMYFUNCTION("""COMPUTED_VALUE"""),"DSQ")</f>
        <v>DSQ</v>
      </c>
      <c r="Y2635" s="2"/>
      <c r="Z2635" s="2" t="str">
        <f>IFERROR(__xludf.DUMMYFUNCTION("""COMPUTED_VALUE"""),"")</f>
        <v/>
      </c>
    </row>
    <row r="2636">
      <c r="A2636" s="1">
        <f>IFERROR(__xludf.DUMMYFUNCTION("""COMPUTED_VALUE"""),2635.0)</f>
        <v>2635</v>
      </c>
      <c r="B2636" s="1">
        <f>IFERROR(__xludf.DUMMYFUNCTION("""COMPUTED_VALUE"""),6555.0)</f>
        <v>6555</v>
      </c>
      <c r="C2636" s="2" t="str">
        <f>IFERROR(__xludf.DUMMYFUNCTION("""COMPUTED_VALUE"""),"AHMAD MAULANA")</f>
        <v>AHMAD MAULANA</v>
      </c>
      <c r="D2636" s="2" t="str">
        <f>IFERROR(__xludf.DUMMYFUNCTION("""COMPUTED_VALUE"""),"5KM OVERALL M")</f>
        <v>5KM OVERALL M</v>
      </c>
      <c r="E2636" s="1">
        <f>IFERROR(__xludf.DUMMYFUNCTION("""COMPUTED_VALUE"""),2.0)</f>
        <v>2</v>
      </c>
      <c r="F2636" s="1" t="str">
        <f>IFERROR(__xludf.DUMMYFUNCTION("""COMPUTED_VALUE"""),"Male")</f>
        <v>Male</v>
      </c>
      <c r="G2636" s="4" t="b">
        <f>IFERROR(__xludf.DUMMYFUNCTION("""COMPUTED_VALUE"""),TRUE)</f>
        <v>1</v>
      </c>
      <c r="H2636" s="4" t="b">
        <f>IFERROR(__xludf.DUMMYFUNCTION("""COMPUTED_VALUE"""),TRUE)</f>
        <v>1</v>
      </c>
      <c r="I2636" s="4">
        <f>IFERROR(__xludf.DUMMYFUNCTION("""COMPUTED_VALUE"""),0.2549440625)</f>
        <v>0.2549440625</v>
      </c>
      <c r="J2636" s="4">
        <f>IFERROR(__xludf.DUMMYFUNCTION("""COMPUTED_VALUE"""),45949.27253021156)</f>
        <v>45949.27253</v>
      </c>
      <c r="K2636" s="4" t="str">
        <f>IFERROR(__xludf.DUMMYFUNCTION("""COMPUTED_VALUE"""),"")</f>
        <v/>
      </c>
      <c r="L2636" s="4">
        <f>IFERROR(__xludf.DUMMYFUNCTION("""COMPUTED_VALUE"""),45949.28700850452)</f>
        <v>45949.28701</v>
      </c>
      <c r="M2636" s="1" t="str">
        <f>IFERROR(__xludf.DUMMYFUNCTION("""COMPUTED_VALUE"""),"RFID")</f>
        <v>RFID</v>
      </c>
      <c r="N2636" s="5">
        <f>IFERROR(__xludf.DUMMYFUNCTION("""COMPUTED_VALUE"""),0.0070344583333333335)</f>
        <v>0.007034458333</v>
      </c>
      <c r="O2636" s="5" t="str">
        <f>IFERROR(__xludf.DUMMYFUNCTION("""COMPUTED_VALUE"""),"")</f>
        <v/>
      </c>
      <c r="P2636" s="5" t="str">
        <f>IFERROR(__xludf.DUMMYFUNCTION("""COMPUTED_VALUE"""),"")</f>
        <v/>
      </c>
      <c r="Q2636" s="5">
        <f>IFERROR(__xludf.DUMMYFUNCTION("""COMPUTED_VALUE"""),0.006412888888888889)</f>
        <v>0.006412888889</v>
      </c>
      <c r="R2636" s="4">
        <f>IFERROR(__xludf.DUMMYFUNCTION("""COMPUTED_VALUE"""),45949.03206444202)</f>
        <v>45949.03206</v>
      </c>
      <c r="S2636" s="1" t="b">
        <f>IFERROR(__xludf.DUMMYFUNCTION("""COMPUTED_VALUE"""),TRUE)</f>
        <v>1</v>
      </c>
      <c r="T2636" s="1" t="b">
        <f>IFERROR(__xludf.DUMMYFUNCTION("""COMPUTED_VALUE"""),FALSE)</f>
        <v>0</v>
      </c>
      <c r="U2636" s="1" t="str">
        <f>IFERROR(__xludf.DUMMYFUNCTION("""COMPUTED_VALUE"""),"VALID")</f>
        <v>VALID</v>
      </c>
      <c r="V2636" s="1">
        <f>IFERROR(__xludf.DUMMYFUNCTION("""COMPUTED_VALUE"""),457.0)</f>
        <v>457</v>
      </c>
      <c r="W2636" s="1">
        <f>IFERROR(__xludf.DUMMYFUNCTION("""COMPUTED_VALUE"""),703.0)</f>
        <v>703</v>
      </c>
      <c r="X2636" s="1">
        <f>IFERROR(__xludf.DUMMYFUNCTION("""COMPUTED_VALUE"""),591.0)</f>
        <v>591</v>
      </c>
      <c r="Y2636" s="2"/>
      <c r="Z2636" s="2"/>
    </row>
    <row r="2637">
      <c r="A2637" s="1">
        <f>IFERROR(__xludf.DUMMYFUNCTION("""COMPUTED_VALUE"""),2636.0)</f>
        <v>2636</v>
      </c>
      <c r="B2637" s="1">
        <f>IFERROR(__xludf.DUMMYFUNCTION("""COMPUTED_VALUE"""),6556.0)</f>
        <v>6556</v>
      </c>
      <c r="C2637" s="2" t="str">
        <f>IFERROR(__xludf.DUMMYFUNCTION("""COMPUTED_VALUE"""),"M. SYARIF SHIDDIQ")</f>
        <v>M. SYARIF SHIDDIQ</v>
      </c>
      <c r="D2637" s="2" t="str">
        <f>IFERROR(__xludf.DUMMYFUNCTION("""COMPUTED_VALUE"""),"5KM OVERALL M")</f>
        <v>5KM OVERALL M</v>
      </c>
      <c r="E2637" s="1">
        <f>IFERROR(__xludf.DUMMYFUNCTION("""COMPUTED_VALUE"""),2.0)</f>
        <v>2</v>
      </c>
      <c r="F2637" s="1" t="str">
        <f>IFERROR(__xludf.DUMMYFUNCTION("""COMPUTED_VALUE"""),"Male")</f>
        <v>Male</v>
      </c>
      <c r="G2637" s="4" t="b">
        <f>IFERROR(__xludf.DUMMYFUNCTION("""COMPUTED_VALUE"""),TRUE)</f>
        <v>1</v>
      </c>
      <c r="H2637" s="4" t="b">
        <f>IFERROR(__xludf.DUMMYFUNCTION("""COMPUTED_VALUE"""),TRUE)</f>
        <v>1</v>
      </c>
      <c r="I2637" s="4">
        <f>IFERROR(__xludf.DUMMYFUNCTION("""COMPUTED_VALUE"""),0.2549440625)</f>
        <v>0.2549440625</v>
      </c>
      <c r="J2637" s="4">
        <f>IFERROR(__xludf.DUMMYFUNCTION("""COMPUTED_VALUE"""),45949.270825372856)</f>
        <v>45949.27083</v>
      </c>
      <c r="K2637" s="4" t="str">
        <f>IFERROR(__xludf.DUMMYFUNCTION("""COMPUTED_VALUE"""),"")</f>
        <v/>
      </c>
      <c r="L2637" s="4">
        <f>IFERROR(__xludf.DUMMYFUNCTION("""COMPUTED_VALUE"""),45949.28168212343)</f>
        <v>45949.28168</v>
      </c>
      <c r="M2637" s="1" t="str">
        <f>IFERROR(__xludf.DUMMYFUNCTION("""COMPUTED_VALUE"""),"RFID")</f>
        <v>RFID</v>
      </c>
      <c r="N2637" s="5">
        <f>IFERROR(__xludf.DUMMYFUNCTION("""COMPUTED_VALUE"""),0.006352523148148148)</f>
        <v>0.006352523148</v>
      </c>
      <c r="O2637" s="5" t="str">
        <f>IFERROR(__xludf.DUMMYFUNCTION("""COMPUTED_VALUE"""),"")</f>
        <v/>
      </c>
      <c r="P2637" s="5" t="str">
        <f>IFERROR(__xludf.DUMMYFUNCTION("""COMPUTED_VALUE"""),"")</f>
        <v/>
      </c>
      <c r="Q2637" s="5">
        <f>IFERROR(__xludf.DUMMYFUNCTION("""COMPUTED_VALUE"""),0.005347611111111111)</f>
        <v>0.005347611111</v>
      </c>
      <c r="R2637" s="4">
        <f>IFERROR(__xludf.DUMMYFUNCTION("""COMPUTED_VALUE"""),45949.02673806093)</f>
        <v>45949.02674</v>
      </c>
      <c r="S2637" s="1" t="b">
        <f>IFERROR(__xludf.DUMMYFUNCTION("""COMPUTED_VALUE"""),TRUE)</f>
        <v>1</v>
      </c>
      <c r="T2637" s="1" t="b">
        <f>IFERROR(__xludf.DUMMYFUNCTION("""COMPUTED_VALUE"""),FALSE)</f>
        <v>0</v>
      </c>
      <c r="U2637" s="1" t="str">
        <f>IFERROR(__xludf.DUMMYFUNCTION("""COMPUTED_VALUE"""),"VALID")</f>
        <v>VALID</v>
      </c>
      <c r="V2637" s="1">
        <f>IFERROR(__xludf.DUMMYFUNCTION("""COMPUTED_VALUE"""),243.0)</f>
        <v>243</v>
      </c>
      <c r="W2637" s="1">
        <f>IFERROR(__xludf.DUMMYFUNCTION("""COMPUTED_VALUE"""),376.0)</f>
        <v>376</v>
      </c>
      <c r="X2637" s="1">
        <f>IFERROR(__xludf.DUMMYFUNCTION("""COMPUTED_VALUE"""),324.0)</f>
        <v>324</v>
      </c>
      <c r="Y2637" s="2"/>
      <c r="Z2637" s="2"/>
    </row>
    <row r="2638">
      <c r="A2638" s="1">
        <f>IFERROR(__xludf.DUMMYFUNCTION("""COMPUTED_VALUE"""),2637.0)</f>
        <v>2637</v>
      </c>
      <c r="B2638" s="1">
        <f>IFERROR(__xludf.DUMMYFUNCTION("""COMPUTED_VALUE"""),6557.0)</f>
        <v>6557</v>
      </c>
      <c r="C2638" s="2" t="str">
        <f>IFERROR(__xludf.DUMMYFUNCTION("""COMPUTED_VALUE"""),"Yoga Pranata")</f>
        <v>Yoga Pranata</v>
      </c>
      <c r="D2638" s="2" t="str">
        <f>IFERROR(__xludf.DUMMYFUNCTION("""COMPUTED_VALUE"""),"5KM OVERALL M")</f>
        <v>5KM OVERALL M</v>
      </c>
      <c r="E2638" s="1">
        <f>IFERROR(__xludf.DUMMYFUNCTION("""COMPUTED_VALUE"""),2.0)</f>
        <v>2</v>
      </c>
      <c r="F2638" s="1" t="str">
        <f>IFERROR(__xludf.DUMMYFUNCTION("""COMPUTED_VALUE"""),"Male")</f>
        <v>Male</v>
      </c>
      <c r="G2638" s="4" t="b">
        <f>IFERROR(__xludf.DUMMYFUNCTION("""COMPUTED_VALUE"""),TRUE)</f>
        <v>1</v>
      </c>
      <c r="H2638" s="4" t="b">
        <f>IFERROR(__xludf.DUMMYFUNCTION("""COMPUTED_VALUE"""),TRUE)</f>
        <v>1</v>
      </c>
      <c r="I2638" s="4">
        <f>IFERROR(__xludf.DUMMYFUNCTION("""COMPUTED_VALUE"""),0.2549440625)</f>
        <v>0.2549440625</v>
      </c>
      <c r="J2638" s="4">
        <f>IFERROR(__xludf.DUMMYFUNCTION("""COMPUTED_VALUE"""),45950.2725)</f>
        <v>45950.2725</v>
      </c>
      <c r="K2638" s="4" t="str">
        <f>IFERROR(__xludf.DUMMYFUNCTION("""COMPUTED_VALUE"""),"")</f>
        <v/>
      </c>
      <c r="L2638" s="4">
        <f>IFERROR(__xludf.DUMMYFUNCTION("""COMPUTED_VALUE"""),45949.28419600172)</f>
        <v>45949.2842</v>
      </c>
      <c r="M2638" s="1" t="str">
        <f>IFERROR(__xludf.DUMMYFUNCTION("""COMPUTED_VALUE"""),"RFID")</f>
        <v>RFID</v>
      </c>
      <c r="N2638" s="5">
        <f>IFERROR(__xludf.DUMMYFUNCTION("""COMPUTED_VALUE"""),0.007022375)</f>
        <v>0.007022375</v>
      </c>
      <c r="O2638" s="5" t="str">
        <f>IFERROR(__xludf.DUMMYFUNCTION("""COMPUTED_VALUE"""),"")</f>
        <v/>
      </c>
      <c r="P2638" s="5" t="str">
        <f>IFERROR(__xludf.DUMMYFUNCTION("""COMPUTED_VALUE"""),"")</f>
        <v/>
      </c>
      <c r="Q2638" s="5">
        <f>IFERROR(__xludf.DUMMYFUNCTION("""COMPUTED_VALUE"""),0.005850388888888889)</f>
        <v>0.005850388889</v>
      </c>
      <c r="R2638" s="4">
        <f>IFERROR(__xludf.DUMMYFUNCTION("""COMPUTED_VALUE"""),45949.02925193922)</f>
        <v>45949.02925</v>
      </c>
      <c r="S2638" s="1" t="b">
        <f>IFERROR(__xludf.DUMMYFUNCTION("""COMPUTED_VALUE"""),TRUE)</f>
        <v>1</v>
      </c>
      <c r="T2638" s="1" t="b">
        <f>IFERROR(__xludf.DUMMYFUNCTION("""COMPUTED_VALUE"""),FALSE)</f>
        <v>0</v>
      </c>
      <c r="U2638" s="1" t="str">
        <f>IFERROR(__xludf.DUMMYFUNCTION("""COMPUTED_VALUE"""),"VALID")</f>
        <v>VALID</v>
      </c>
      <c r="V2638" s="1">
        <f>IFERROR(__xludf.DUMMYFUNCTION("""COMPUTED_VALUE"""),345.0)</f>
        <v>345</v>
      </c>
      <c r="W2638" s="1">
        <f>IFERROR(__xludf.DUMMYFUNCTION("""COMPUTED_VALUE"""),513.0)</f>
        <v>513</v>
      </c>
      <c r="X2638" s="1">
        <f>IFERROR(__xludf.DUMMYFUNCTION("""COMPUTED_VALUE"""),445.0)</f>
        <v>445</v>
      </c>
      <c r="Y2638" s="2"/>
      <c r="Z2638" s="2" t="str">
        <f>IFERROR(__xludf.DUMMYFUNCTION("""COMPUTED_VALUE"""),"C")</f>
        <v>C</v>
      </c>
    </row>
    <row r="2639">
      <c r="A2639" s="1">
        <f>IFERROR(__xludf.DUMMYFUNCTION("""COMPUTED_VALUE"""),2638.0)</f>
        <v>2638</v>
      </c>
      <c r="B2639" s="1">
        <f>IFERROR(__xludf.DUMMYFUNCTION("""COMPUTED_VALUE"""),6558.0)</f>
        <v>6558</v>
      </c>
      <c r="C2639" s="2" t="str">
        <f>IFERROR(__xludf.DUMMYFUNCTION("""COMPUTED_VALUE"""),"Wahyu Budi Santoso")</f>
        <v>Wahyu Budi Santoso</v>
      </c>
      <c r="D2639" s="2" t="str">
        <f>IFERROR(__xludf.DUMMYFUNCTION("""COMPUTED_VALUE"""),"5KM OVERALL M")</f>
        <v>5KM OVERALL M</v>
      </c>
      <c r="E2639" s="1">
        <f>IFERROR(__xludf.DUMMYFUNCTION("""COMPUTED_VALUE"""),2.0)</f>
        <v>2</v>
      </c>
      <c r="F2639" s="1" t="str">
        <f>IFERROR(__xludf.DUMMYFUNCTION("""COMPUTED_VALUE"""),"Male")</f>
        <v>Male</v>
      </c>
      <c r="G2639" s="4" t="b">
        <f>IFERROR(__xludf.DUMMYFUNCTION("""COMPUTED_VALUE"""),TRUE)</f>
        <v>1</v>
      </c>
      <c r="H2639" s="4" t="b">
        <f>IFERROR(__xludf.DUMMYFUNCTION("""COMPUTED_VALUE"""),FALSE)</f>
        <v>0</v>
      </c>
      <c r="I2639" s="4">
        <f>IFERROR(__xludf.DUMMYFUNCTION("""COMPUTED_VALUE"""),0.2549440625)</f>
        <v>0.2549440625</v>
      </c>
      <c r="J2639" s="4">
        <f>IFERROR(__xludf.DUMMYFUNCTION("""COMPUTED_VALUE"""),45949.279332243874)</f>
        <v>45949.27933</v>
      </c>
      <c r="K2639" s="4" t="str">
        <f>IFERROR(__xludf.DUMMYFUNCTION("""COMPUTED_VALUE"""),"")</f>
        <v/>
      </c>
      <c r="L2639" s="4">
        <f>IFERROR(__xludf.DUMMYFUNCTION("""COMPUTED_VALUE"""),45949.29723768011)</f>
        <v>45949.29724</v>
      </c>
      <c r="M2639" s="1" t="str">
        <f>IFERROR(__xludf.DUMMYFUNCTION("""COMPUTED_VALUE"""),"RFID")</f>
        <v>RFID</v>
      </c>
      <c r="N2639" s="5">
        <f>IFERROR(__xludf.DUMMYFUNCTION("""COMPUTED_VALUE"""),0.009755273148148148)</f>
        <v>0.009755273148</v>
      </c>
      <c r="O2639" s="5" t="str">
        <f>IFERROR(__xludf.DUMMYFUNCTION("""COMPUTED_VALUE"""),"")</f>
        <v/>
      </c>
      <c r="P2639" s="5" t="str">
        <f>IFERROR(__xludf.DUMMYFUNCTION("""COMPUTED_VALUE"""),"")</f>
        <v/>
      </c>
      <c r="Q2639" s="5">
        <f>IFERROR(__xludf.DUMMYFUNCTION("""COMPUTED_VALUE"""),0.008458724537037037)</f>
        <v>0.008458724537</v>
      </c>
      <c r="R2639" s="4">
        <f>IFERROR(__xludf.DUMMYFUNCTION("""COMPUTED_VALUE"""),45949.04229361761)</f>
        <v>45949.04229</v>
      </c>
      <c r="S2639" s="1" t="b">
        <f>IFERROR(__xludf.DUMMYFUNCTION("""COMPUTED_VALUE"""),TRUE)</f>
        <v>1</v>
      </c>
      <c r="T2639" s="1" t="b">
        <f>IFERROR(__xludf.DUMMYFUNCTION("""COMPUTED_VALUE"""),FALSE)</f>
        <v>0</v>
      </c>
      <c r="U2639" s="1" t="str">
        <f>IFERROR(__xludf.DUMMYFUNCTION("""COMPUTED_VALUE"""),"VALID")</f>
        <v>VALID</v>
      </c>
      <c r="V2639" s="1">
        <f>IFERROR(__xludf.DUMMYFUNCTION("""COMPUTED_VALUE"""),757.0)</f>
        <v>757</v>
      </c>
      <c r="W2639" s="1">
        <f>IFERROR(__xludf.DUMMYFUNCTION("""COMPUTED_VALUE"""),1339.0)</f>
        <v>1339</v>
      </c>
      <c r="X2639" s="1">
        <f>IFERROR(__xludf.DUMMYFUNCTION("""COMPUTED_VALUE"""),1076.0)</f>
        <v>1076</v>
      </c>
      <c r="Y2639" s="2"/>
      <c r="Z2639" s="2"/>
    </row>
    <row r="2640">
      <c r="A2640" s="1">
        <f>IFERROR(__xludf.DUMMYFUNCTION("""COMPUTED_VALUE"""),2639.0)</f>
        <v>2639</v>
      </c>
      <c r="B2640" s="1">
        <f>IFERROR(__xludf.DUMMYFUNCTION("""COMPUTED_VALUE"""),6566.0)</f>
        <v>6566</v>
      </c>
      <c r="C2640" s="2" t="str">
        <f>IFERROR(__xludf.DUMMYFUNCTION("""COMPUTED_VALUE"""),"Agil Erbiansyah")</f>
        <v>Agil Erbiansyah</v>
      </c>
      <c r="D2640" s="2" t="str">
        <f>IFERROR(__xludf.DUMMYFUNCTION("""COMPUTED_VALUE"""),"5KM OVERALL M")</f>
        <v>5KM OVERALL M</v>
      </c>
      <c r="E2640" s="1">
        <f>IFERROR(__xludf.DUMMYFUNCTION("""COMPUTED_VALUE"""),2.0)</f>
        <v>2</v>
      </c>
      <c r="F2640" s="1" t="str">
        <f>IFERROR(__xludf.DUMMYFUNCTION("""COMPUTED_VALUE"""),"Male")</f>
        <v>Male</v>
      </c>
      <c r="G2640" s="4" t="b">
        <f>IFERROR(__xludf.DUMMYFUNCTION("""COMPUTED_VALUE"""),TRUE)</f>
        <v>1</v>
      </c>
      <c r="H2640" s="4" t="b">
        <f>IFERROR(__xludf.DUMMYFUNCTION("""COMPUTED_VALUE"""),TRUE)</f>
        <v>1</v>
      </c>
      <c r="I2640" s="4">
        <f>IFERROR(__xludf.DUMMYFUNCTION("""COMPUTED_VALUE"""),0.2549440625)</f>
        <v>0.2549440625</v>
      </c>
      <c r="J2640" s="4">
        <f>IFERROR(__xludf.DUMMYFUNCTION("""COMPUTED_VALUE"""),45949.2783600339)</f>
        <v>45949.27836</v>
      </c>
      <c r="K2640" s="4" t="str">
        <f>IFERROR(__xludf.DUMMYFUNCTION("""COMPUTED_VALUE"""),"")</f>
        <v/>
      </c>
      <c r="L2640" s="4">
        <f>IFERROR(__xludf.DUMMYFUNCTION("""COMPUTED_VALUE"""),45949.29273072837)</f>
        <v>45949.29273</v>
      </c>
      <c r="M2640" s="1" t="str">
        <f>IFERROR(__xludf.DUMMYFUNCTION("""COMPUTED_VALUE"""),"RFID")</f>
        <v>RFID</v>
      </c>
      <c r="N2640" s="5">
        <f>IFERROR(__xludf.DUMMYFUNCTION("""COMPUTED_VALUE"""),0.00936638888888889)</f>
        <v>0.009366388889</v>
      </c>
      <c r="O2640" s="5" t="str">
        <f>IFERROR(__xludf.DUMMYFUNCTION("""COMPUTED_VALUE"""),"")</f>
        <v/>
      </c>
      <c r="P2640" s="5" t="str">
        <f>IFERROR(__xludf.DUMMYFUNCTION("""COMPUTED_VALUE"""),"")</f>
        <v/>
      </c>
      <c r="Q2640" s="5">
        <f>IFERROR(__xludf.DUMMYFUNCTION("""COMPUTED_VALUE"""),0.007557333333333334)</f>
        <v>0.007557333333</v>
      </c>
      <c r="R2640" s="4">
        <f>IFERROR(__xludf.DUMMYFUNCTION("""COMPUTED_VALUE"""),45949.03778666587)</f>
        <v>45949.03779</v>
      </c>
      <c r="S2640" s="1" t="b">
        <f>IFERROR(__xludf.DUMMYFUNCTION("""COMPUTED_VALUE"""),TRUE)</f>
        <v>1</v>
      </c>
      <c r="T2640" s="1" t="b">
        <f>IFERROR(__xludf.DUMMYFUNCTION("""COMPUTED_VALUE"""),FALSE)</f>
        <v>0</v>
      </c>
      <c r="U2640" s="1" t="str">
        <f>IFERROR(__xludf.DUMMYFUNCTION("""COMPUTED_VALUE"""),"VALID")</f>
        <v>VALID</v>
      </c>
      <c r="V2640" s="1">
        <f>IFERROR(__xludf.DUMMYFUNCTION("""COMPUTED_VALUE"""),648.0)</f>
        <v>648</v>
      </c>
      <c r="W2640" s="1">
        <f>IFERROR(__xludf.DUMMYFUNCTION("""COMPUTED_VALUE"""),1087.0)</f>
        <v>1087</v>
      </c>
      <c r="X2640" s="1">
        <f>IFERROR(__xludf.DUMMYFUNCTION("""COMPUTED_VALUE"""),863.0)</f>
        <v>863</v>
      </c>
      <c r="Y2640" s="2"/>
      <c r="Z2640" s="2"/>
    </row>
    <row r="2641">
      <c r="A2641" s="1">
        <f>IFERROR(__xludf.DUMMYFUNCTION("""COMPUTED_VALUE"""),2640.0)</f>
        <v>2640</v>
      </c>
      <c r="B2641" s="1">
        <f>IFERROR(__xludf.DUMMYFUNCTION("""COMPUTED_VALUE"""),6567.0)</f>
        <v>6567</v>
      </c>
      <c r="C2641" s="2" t="str">
        <f>IFERROR(__xludf.DUMMYFUNCTION("""COMPUTED_VALUE"""),"M. Ghozi")</f>
        <v>M. Ghozi</v>
      </c>
      <c r="D2641" s="2" t="str">
        <f>IFERROR(__xludf.DUMMYFUNCTION("""COMPUTED_VALUE"""),"5KM OVERALL M")</f>
        <v>5KM OVERALL M</v>
      </c>
      <c r="E2641" s="1">
        <f>IFERROR(__xludf.DUMMYFUNCTION("""COMPUTED_VALUE"""),2.0)</f>
        <v>2</v>
      </c>
      <c r="F2641" s="1" t="str">
        <f>IFERROR(__xludf.DUMMYFUNCTION("""COMPUTED_VALUE"""),"Male")</f>
        <v>Male</v>
      </c>
      <c r="G2641" s="4" t="b">
        <f>IFERROR(__xludf.DUMMYFUNCTION("""COMPUTED_VALUE"""),TRUE)</f>
        <v>1</v>
      </c>
      <c r="H2641" s="4" t="b">
        <f>IFERROR(__xludf.DUMMYFUNCTION("""COMPUTED_VALUE"""),TRUE)</f>
        <v>1</v>
      </c>
      <c r="I2641" s="4">
        <f>IFERROR(__xludf.DUMMYFUNCTION("""COMPUTED_VALUE"""),0.2549440625)</f>
        <v>0.2549440625</v>
      </c>
      <c r="J2641" s="4">
        <f>IFERROR(__xludf.DUMMYFUNCTION("""COMPUTED_VALUE"""),45949.27596420925)</f>
        <v>45949.27596</v>
      </c>
      <c r="K2641" s="4" t="str">
        <f>IFERROR(__xludf.DUMMYFUNCTION("""COMPUTED_VALUE"""),"")</f>
        <v/>
      </c>
      <c r="L2641" s="4">
        <f>IFERROR(__xludf.DUMMYFUNCTION("""COMPUTED_VALUE"""),45949.28690081241)</f>
        <v>45949.2869</v>
      </c>
      <c r="M2641" s="1" t="str">
        <f>IFERROR(__xludf.DUMMYFUNCTION("""COMPUTED_VALUE"""),"RFID")</f>
        <v>RFID</v>
      </c>
      <c r="N2641" s="5">
        <f>IFERROR(__xludf.DUMMYFUNCTION("""COMPUTED_VALUE"""),0.008408060185185185)</f>
        <v>0.008408060185</v>
      </c>
      <c r="O2641" s="5" t="str">
        <f>IFERROR(__xludf.DUMMYFUNCTION("""COMPUTED_VALUE"""),"")</f>
        <v/>
      </c>
      <c r="P2641" s="5" t="str">
        <f>IFERROR(__xludf.DUMMYFUNCTION("""COMPUTED_VALUE"""),"")</f>
        <v/>
      </c>
      <c r="Q2641" s="5">
        <f>IFERROR(__xludf.DUMMYFUNCTION("""COMPUTED_VALUE"""),0.006391349537037037)</f>
        <v>0.006391349537</v>
      </c>
      <c r="R2641" s="4">
        <f>IFERROR(__xludf.DUMMYFUNCTION("""COMPUTED_VALUE"""),45949.03195674991)</f>
        <v>45949.03196</v>
      </c>
      <c r="S2641" s="1" t="b">
        <f>IFERROR(__xludf.DUMMYFUNCTION("""COMPUTED_VALUE"""),TRUE)</f>
        <v>1</v>
      </c>
      <c r="T2641" s="1" t="b">
        <f>IFERROR(__xludf.DUMMYFUNCTION("""COMPUTED_VALUE"""),FALSE)</f>
        <v>0</v>
      </c>
      <c r="U2641" s="1" t="str">
        <f>IFERROR(__xludf.DUMMYFUNCTION("""COMPUTED_VALUE"""),"VALID")</f>
        <v>VALID</v>
      </c>
      <c r="V2641" s="1">
        <f>IFERROR(__xludf.DUMMYFUNCTION("""COMPUTED_VALUE"""),453.0)</f>
        <v>453</v>
      </c>
      <c r="W2641" s="1">
        <f>IFERROR(__xludf.DUMMYFUNCTION("""COMPUTED_VALUE"""),695.0)</f>
        <v>695</v>
      </c>
      <c r="X2641" s="1">
        <f>IFERROR(__xludf.DUMMYFUNCTION("""COMPUTED_VALUE"""),582.0)</f>
        <v>582</v>
      </c>
      <c r="Y2641" s="2"/>
      <c r="Z2641" s="2"/>
    </row>
    <row r="2642">
      <c r="A2642" s="1">
        <f>IFERROR(__xludf.DUMMYFUNCTION("""COMPUTED_VALUE"""),2641.0)</f>
        <v>2641</v>
      </c>
      <c r="B2642" s="1">
        <f>IFERROR(__xludf.DUMMYFUNCTION("""COMPUTED_VALUE"""),6568.0)</f>
        <v>6568</v>
      </c>
      <c r="C2642" s="2" t="str">
        <f>IFERROR(__xludf.DUMMYFUNCTION("""COMPUTED_VALUE"""),"Ganda Imanda")</f>
        <v>Ganda Imanda</v>
      </c>
      <c r="D2642" s="2" t="str">
        <f>IFERROR(__xludf.DUMMYFUNCTION("""COMPUTED_VALUE"""),"5KM OVERALL M")</f>
        <v>5KM OVERALL M</v>
      </c>
      <c r="E2642" s="1">
        <f>IFERROR(__xludf.DUMMYFUNCTION("""COMPUTED_VALUE"""),2.0)</f>
        <v>2</v>
      </c>
      <c r="F2642" s="1" t="str">
        <f>IFERROR(__xludf.DUMMYFUNCTION("""COMPUTED_VALUE"""),"Male")</f>
        <v>Male</v>
      </c>
      <c r="G2642" s="4" t="b">
        <f>IFERROR(__xludf.DUMMYFUNCTION("""COMPUTED_VALUE"""),TRUE)</f>
        <v>1</v>
      </c>
      <c r="H2642" s="4" t="b">
        <f>IFERROR(__xludf.DUMMYFUNCTION("""COMPUTED_VALUE"""),TRUE)</f>
        <v>1</v>
      </c>
      <c r="I2642" s="4">
        <f>IFERROR(__xludf.DUMMYFUNCTION("""COMPUTED_VALUE"""),0.2549440625)</f>
        <v>0.2549440625</v>
      </c>
      <c r="J2642" s="4">
        <f>IFERROR(__xludf.DUMMYFUNCTION("""COMPUTED_VALUE"""),45949.266606558)</f>
        <v>45949.26661</v>
      </c>
      <c r="K2642" s="4" t="str">
        <f>IFERROR(__xludf.DUMMYFUNCTION("""COMPUTED_VALUE"""),"")</f>
        <v/>
      </c>
      <c r="L2642" s="4">
        <f>IFERROR(__xludf.DUMMYFUNCTION("""COMPUTED_VALUE"""),45949.274751579294)</f>
        <v>45949.27475</v>
      </c>
      <c r="M2642" s="1" t="str">
        <f>IFERROR(__xludf.DUMMYFUNCTION("""COMPUTED_VALUE"""),"RFID")</f>
        <v>RFID</v>
      </c>
      <c r="N2642" s="5">
        <f>IFERROR(__xludf.DUMMYFUNCTION("""COMPUTED_VALUE"""),0.004665)</f>
        <v>0.004665</v>
      </c>
      <c r="O2642" s="5" t="str">
        <f>IFERROR(__xludf.DUMMYFUNCTION("""COMPUTED_VALUE"""),"")</f>
        <v/>
      </c>
      <c r="P2642" s="5" t="str">
        <f>IFERROR(__xludf.DUMMYFUNCTION("""COMPUTED_VALUE"""),"")</f>
        <v/>
      </c>
      <c r="Q2642" s="5">
        <f>IFERROR(__xludf.DUMMYFUNCTION("""COMPUTED_VALUE"""),0.003961502314814814)</f>
        <v>0.003961502315</v>
      </c>
      <c r="R2642" s="4">
        <f>IFERROR(__xludf.DUMMYFUNCTION("""COMPUTED_VALUE"""),45949.019807516794)</f>
        <v>45949.01981</v>
      </c>
      <c r="S2642" s="1" t="b">
        <f>IFERROR(__xludf.DUMMYFUNCTION("""COMPUTED_VALUE"""),TRUE)</f>
        <v>1</v>
      </c>
      <c r="T2642" s="1" t="b">
        <f>IFERROR(__xludf.DUMMYFUNCTION("""COMPUTED_VALUE"""),FALSE)</f>
        <v>0</v>
      </c>
      <c r="U2642" s="1" t="str">
        <f>IFERROR(__xludf.DUMMYFUNCTION("""COMPUTED_VALUE"""),"VALID")</f>
        <v>VALID</v>
      </c>
      <c r="V2642" s="1">
        <f>IFERROR(__xludf.DUMMYFUNCTION("""COMPUTED_VALUE"""),75.0)</f>
        <v>75</v>
      </c>
      <c r="W2642" s="1">
        <f>IFERROR(__xludf.DUMMYFUNCTION("""COMPUTED_VALUE"""),111.0)</f>
        <v>111</v>
      </c>
      <c r="X2642" s="1">
        <f>IFERROR(__xludf.DUMMYFUNCTION("""COMPUTED_VALUE"""),100.0)</f>
        <v>100</v>
      </c>
      <c r="Y2642" s="2"/>
      <c r="Z2642" s="2"/>
    </row>
    <row r="2643">
      <c r="A2643" s="1">
        <f>IFERROR(__xludf.DUMMYFUNCTION("""COMPUTED_VALUE"""),2642.0)</f>
        <v>2642</v>
      </c>
      <c r="B2643" s="1">
        <f>IFERROR(__xludf.DUMMYFUNCTION("""COMPUTED_VALUE"""),6570.0)</f>
        <v>6570</v>
      </c>
      <c r="C2643" s="2" t="str">
        <f>IFERROR(__xludf.DUMMYFUNCTION("""COMPUTED_VALUE"""),"Ibnu Atoillah")</f>
        <v>Ibnu Atoillah</v>
      </c>
      <c r="D2643" s="2" t="str">
        <f>IFERROR(__xludf.DUMMYFUNCTION("""COMPUTED_VALUE"""),"5KM OVERALL M")</f>
        <v>5KM OVERALL M</v>
      </c>
      <c r="E2643" s="1">
        <f>IFERROR(__xludf.DUMMYFUNCTION("""COMPUTED_VALUE"""),2.0)</f>
        <v>2</v>
      </c>
      <c r="F2643" s="1" t="str">
        <f>IFERROR(__xludf.DUMMYFUNCTION("""COMPUTED_VALUE"""),"Male")</f>
        <v>Male</v>
      </c>
      <c r="G2643" s="4" t="b">
        <f>IFERROR(__xludf.DUMMYFUNCTION("""COMPUTED_VALUE"""),TRUE)</f>
        <v>1</v>
      </c>
      <c r="H2643" s="4" t="b">
        <f>IFERROR(__xludf.DUMMYFUNCTION("""COMPUTED_VALUE"""),TRUE)</f>
        <v>1</v>
      </c>
      <c r="I2643" s="4">
        <f>IFERROR(__xludf.DUMMYFUNCTION("""COMPUTED_VALUE"""),0.2549440625)</f>
        <v>0.2549440625</v>
      </c>
      <c r="J2643" s="4">
        <f>IFERROR(__xludf.DUMMYFUNCTION("""COMPUTED_VALUE"""),45949.27163160133)</f>
        <v>45949.27163</v>
      </c>
      <c r="K2643" s="4" t="str">
        <f>IFERROR(__xludf.DUMMYFUNCTION("""COMPUTED_VALUE"""),"")</f>
        <v/>
      </c>
      <c r="L2643" s="4">
        <f>IFERROR(__xludf.DUMMYFUNCTION("""COMPUTED_VALUE"""),45949.28091822841)</f>
        <v>45949.28092</v>
      </c>
      <c r="M2643" s="1" t="str">
        <f>IFERROR(__xludf.DUMMYFUNCTION("""COMPUTED_VALUE"""),"RFID")</f>
        <v>RFID</v>
      </c>
      <c r="N2643" s="5">
        <f>IFERROR(__xludf.DUMMYFUNCTION("""COMPUTED_VALUE"""),0.006675013888888889)</f>
        <v>0.006675013889</v>
      </c>
      <c r="O2643" s="5" t="str">
        <f>IFERROR(__xludf.DUMMYFUNCTION("""COMPUTED_VALUE"""),"")</f>
        <v/>
      </c>
      <c r="P2643" s="5" t="str">
        <f>IFERROR(__xludf.DUMMYFUNCTION("""COMPUTED_VALUE"""),"")</f>
        <v/>
      </c>
      <c r="Q2643" s="5">
        <f>IFERROR(__xludf.DUMMYFUNCTION("""COMPUTED_VALUE"""),0.005194833333333334)</f>
        <v>0.005194833333</v>
      </c>
      <c r="R2643" s="4">
        <f>IFERROR(__xludf.DUMMYFUNCTION("""COMPUTED_VALUE"""),45949.02597416591)</f>
        <v>45949.02597</v>
      </c>
      <c r="S2643" s="1" t="b">
        <f>IFERROR(__xludf.DUMMYFUNCTION("""COMPUTED_VALUE"""),TRUE)</f>
        <v>1</v>
      </c>
      <c r="T2643" s="1" t="b">
        <f>IFERROR(__xludf.DUMMYFUNCTION("""COMPUTED_VALUE"""),FALSE)</f>
        <v>0</v>
      </c>
      <c r="U2643" s="1" t="str">
        <f>IFERROR(__xludf.DUMMYFUNCTION("""COMPUTED_VALUE"""),"VALID")</f>
        <v>VALID</v>
      </c>
      <c r="V2643" s="1">
        <f>IFERROR(__xludf.DUMMYFUNCTION("""COMPUTED_VALUE"""),218.0)</f>
        <v>218</v>
      </c>
      <c r="W2643" s="1">
        <f>IFERROR(__xludf.DUMMYFUNCTION("""COMPUTED_VALUE"""),335.0)</f>
        <v>335</v>
      </c>
      <c r="X2643" s="1">
        <f>IFERROR(__xludf.DUMMYFUNCTION("""COMPUTED_VALUE"""),294.0)</f>
        <v>294</v>
      </c>
      <c r="Y2643" s="2"/>
      <c r="Z2643" s="2"/>
    </row>
    <row r="2644">
      <c r="A2644" s="1">
        <f>IFERROR(__xludf.DUMMYFUNCTION("""COMPUTED_VALUE"""),2643.0)</f>
        <v>2643</v>
      </c>
      <c r="B2644" s="1">
        <f>IFERROR(__xludf.DUMMYFUNCTION("""COMPUTED_VALUE"""),6571.0)</f>
        <v>6571</v>
      </c>
      <c r="C2644" s="2" t="str">
        <f>IFERROR(__xludf.DUMMYFUNCTION("""COMPUTED_VALUE"""),"Samsul Bahri")</f>
        <v>Samsul Bahri</v>
      </c>
      <c r="D2644" s="2" t="str">
        <f>IFERROR(__xludf.DUMMYFUNCTION("""COMPUTED_VALUE"""),"5KM OVERALL M")</f>
        <v>5KM OVERALL M</v>
      </c>
      <c r="E2644" s="1">
        <f>IFERROR(__xludf.DUMMYFUNCTION("""COMPUTED_VALUE"""),2.0)</f>
        <v>2</v>
      </c>
      <c r="F2644" s="1" t="str">
        <f>IFERROR(__xludf.DUMMYFUNCTION("""COMPUTED_VALUE"""),"Male")</f>
        <v>Male</v>
      </c>
      <c r="G2644" s="4" t="b">
        <f>IFERROR(__xludf.DUMMYFUNCTION("""COMPUTED_VALUE"""),TRUE)</f>
        <v>1</v>
      </c>
      <c r="H2644" s="4" t="b">
        <f>IFERROR(__xludf.DUMMYFUNCTION("""COMPUTED_VALUE"""),TRUE)</f>
        <v>1</v>
      </c>
      <c r="I2644" s="4">
        <f>IFERROR(__xludf.DUMMYFUNCTION("""COMPUTED_VALUE"""),0.2549440625)</f>
        <v>0.2549440625</v>
      </c>
      <c r="J2644" s="4">
        <f>IFERROR(__xludf.DUMMYFUNCTION("""COMPUTED_VALUE"""),45950.27533564815)</f>
        <v>45950.27534</v>
      </c>
      <c r="K2644" s="4" t="str">
        <f>IFERROR(__xludf.DUMMYFUNCTION("""COMPUTED_VALUE"""),"")</f>
        <v/>
      </c>
      <c r="L2644" s="4">
        <f>IFERROR(__xludf.DUMMYFUNCTION("""COMPUTED_VALUE"""),45949.28893906103)</f>
        <v>45949.28894</v>
      </c>
      <c r="M2644" s="1" t="str">
        <f>IFERROR(__xludf.DUMMYFUNCTION("""COMPUTED_VALUE"""),"RFID")</f>
        <v>RFID</v>
      </c>
      <c r="N2644" s="5">
        <f>IFERROR(__xludf.DUMMYFUNCTION("""COMPUTED_VALUE"""),0.00815663425925926)</f>
        <v>0.008156634259</v>
      </c>
      <c r="O2644" s="5" t="str">
        <f>IFERROR(__xludf.DUMMYFUNCTION("""COMPUTED_VALUE"""),"")</f>
        <v/>
      </c>
      <c r="P2644" s="5" t="str">
        <f>IFERROR(__xludf.DUMMYFUNCTION("""COMPUTED_VALUE"""),"")</f>
        <v/>
      </c>
      <c r="Q2644" s="5">
        <f>IFERROR(__xludf.DUMMYFUNCTION("""COMPUTED_VALUE"""),0.006799000000000001)</f>
        <v>0.006799</v>
      </c>
      <c r="R2644" s="4">
        <f>IFERROR(__xludf.DUMMYFUNCTION("""COMPUTED_VALUE"""),45949.03399499853)</f>
        <v>45949.03399</v>
      </c>
      <c r="S2644" s="1" t="b">
        <f>IFERROR(__xludf.DUMMYFUNCTION("""COMPUTED_VALUE"""),TRUE)</f>
        <v>1</v>
      </c>
      <c r="T2644" s="1" t="b">
        <f>IFERROR(__xludf.DUMMYFUNCTION("""COMPUTED_VALUE"""),FALSE)</f>
        <v>0</v>
      </c>
      <c r="U2644" s="1" t="str">
        <f>IFERROR(__xludf.DUMMYFUNCTION("""COMPUTED_VALUE"""),"VALID")</f>
        <v>VALID</v>
      </c>
      <c r="V2644" s="1">
        <f>IFERROR(__xludf.DUMMYFUNCTION("""COMPUTED_VALUE"""),536.0)</f>
        <v>536</v>
      </c>
      <c r="W2644" s="1">
        <f>IFERROR(__xludf.DUMMYFUNCTION("""COMPUTED_VALUE"""),842.0)</f>
        <v>842</v>
      </c>
      <c r="X2644" s="1">
        <f>IFERROR(__xludf.DUMMYFUNCTION("""COMPUTED_VALUE"""),690.0)</f>
        <v>690</v>
      </c>
      <c r="Y2644" s="2"/>
      <c r="Z2644" s="2" t="str">
        <f>IFERROR(__xludf.DUMMYFUNCTION("""COMPUTED_VALUE"""),"C")</f>
        <v>C</v>
      </c>
    </row>
    <row r="2645">
      <c r="A2645" s="1">
        <f>IFERROR(__xludf.DUMMYFUNCTION("""COMPUTED_VALUE"""),2644.0)</f>
        <v>2644</v>
      </c>
      <c r="B2645" s="1">
        <f>IFERROR(__xludf.DUMMYFUNCTION("""COMPUTED_VALUE"""),6575.0)</f>
        <v>6575</v>
      </c>
      <c r="C2645" s="2" t="str">
        <f>IFERROR(__xludf.DUMMYFUNCTION("""COMPUTED_VALUE"""),"Akhmad Nouval")</f>
        <v>Akhmad Nouval</v>
      </c>
      <c r="D2645" s="2" t="str">
        <f>IFERROR(__xludf.DUMMYFUNCTION("""COMPUTED_VALUE"""),"5KM OVERALL M")</f>
        <v>5KM OVERALL M</v>
      </c>
      <c r="E2645" s="1">
        <f>IFERROR(__xludf.DUMMYFUNCTION("""COMPUTED_VALUE"""),2.0)</f>
        <v>2</v>
      </c>
      <c r="F2645" s="1" t="str">
        <f>IFERROR(__xludf.DUMMYFUNCTION("""COMPUTED_VALUE"""),"Male")</f>
        <v>Male</v>
      </c>
      <c r="G2645" s="4" t="b">
        <f>IFERROR(__xludf.DUMMYFUNCTION("""COMPUTED_VALUE"""),TRUE)</f>
        <v>1</v>
      </c>
      <c r="H2645" s="4" t="b">
        <f>IFERROR(__xludf.DUMMYFUNCTION("""COMPUTED_VALUE"""),TRUE)</f>
        <v>1</v>
      </c>
      <c r="I2645" s="4">
        <f>IFERROR(__xludf.DUMMYFUNCTION("""COMPUTED_VALUE"""),0.2549440625)</f>
        <v>0.2549440625</v>
      </c>
      <c r="J2645" s="4">
        <f>IFERROR(__xludf.DUMMYFUNCTION("""COMPUTED_VALUE"""),45950.276412037034)</f>
        <v>45950.27641</v>
      </c>
      <c r="K2645" s="4" t="str">
        <f>IFERROR(__xludf.DUMMYFUNCTION("""COMPUTED_VALUE"""),"")</f>
        <v/>
      </c>
      <c r="L2645" s="4">
        <f>IFERROR(__xludf.DUMMYFUNCTION("""COMPUTED_VALUE"""),45949.290716843556)</f>
        <v>45949.29072</v>
      </c>
      <c r="M2645" s="1" t="str">
        <f>IFERROR(__xludf.DUMMYFUNCTION("""COMPUTED_VALUE"""),"RFID")</f>
        <v>RFID</v>
      </c>
      <c r="N2645" s="5">
        <f>IFERROR(__xludf.DUMMYFUNCTION("""COMPUTED_VALUE"""),0.008587189814814815)</f>
        <v>0.008587189815</v>
      </c>
      <c r="O2645" s="5" t="str">
        <f>IFERROR(__xludf.DUMMYFUNCTION("""COMPUTED_VALUE"""),"")</f>
        <v/>
      </c>
      <c r="P2645" s="5" t="str">
        <f>IFERROR(__xludf.DUMMYFUNCTION("""COMPUTED_VALUE"""),"")</f>
        <v/>
      </c>
      <c r="Q2645" s="5">
        <f>IFERROR(__xludf.DUMMYFUNCTION("""COMPUTED_VALUE"""),0.0071545555555555555)</f>
        <v>0.007154555556</v>
      </c>
      <c r="R2645" s="4">
        <f>IFERROR(__xludf.DUMMYFUNCTION("""COMPUTED_VALUE"""),45949.035772781055)</f>
        <v>45949.03577</v>
      </c>
      <c r="S2645" s="1" t="b">
        <f>IFERROR(__xludf.DUMMYFUNCTION("""COMPUTED_VALUE"""),TRUE)</f>
        <v>1</v>
      </c>
      <c r="T2645" s="1" t="b">
        <f>IFERROR(__xludf.DUMMYFUNCTION("""COMPUTED_VALUE"""),FALSE)</f>
        <v>0</v>
      </c>
      <c r="U2645" s="1" t="str">
        <f>IFERROR(__xludf.DUMMYFUNCTION("""COMPUTED_VALUE"""),"VALID")</f>
        <v>VALID</v>
      </c>
      <c r="V2645" s="1">
        <f>IFERROR(__xludf.DUMMYFUNCTION("""COMPUTED_VALUE"""),589.0)</f>
        <v>589</v>
      </c>
      <c r="W2645" s="1">
        <f>IFERROR(__xludf.DUMMYFUNCTION("""COMPUTED_VALUE"""),942.0)</f>
        <v>942</v>
      </c>
      <c r="X2645" s="1">
        <f>IFERROR(__xludf.DUMMYFUNCTION("""COMPUTED_VALUE"""),768.0)</f>
        <v>768</v>
      </c>
      <c r="Y2645" s="2"/>
      <c r="Z2645" s="2" t="str">
        <f>IFERROR(__xludf.DUMMYFUNCTION("""COMPUTED_VALUE"""),"C")</f>
        <v>C</v>
      </c>
    </row>
    <row r="2646">
      <c r="A2646" s="1">
        <f>IFERROR(__xludf.DUMMYFUNCTION("""COMPUTED_VALUE"""),2645.0)</f>
        <v>2645</v>
      </c>
      <c r="B2646" s="1">
        <f>IFERROR(__xludf.DUMMYFUNCTION("""COMPUTED_VALUE"""),6577.0)</f>
        <v>6577</v>
      </c>
      <c r="C2646" s="2" t="str">
        <f>IFERROR(__xludf.DUMMYFUNCTION("""COMPUTED_VALUE"""),"M. Zulkarnain")</f>
        <v>M. Zulkarnain</v>
      </c>
      <c r="D2646" s="2" t="str">
        <f>IFERROR(__xludf.DUMMYFUNCTION("""COMPUTED_VALUE"""),"5KM OVERALL M")</f>
        <v>5KM OVERALL M</v>
      </c>
      <c r="E2646" s="1">
        <f>IFERROR(__xludf.DUMMYFUNCTION("""COMPUTED_VALUE"""),2.0)</f>
        <v>2</v>
      </c>
      <c r="F2646" s="1" t="str">
        <f>IFERROR(__xludf.DUMMYFUNCTION("""COMPUTED_VALUE"""),"Male")</f>
        <v>Male</v>
      </c>
      <c r="G2646" s="4" t="b">
        <f>IFERROR(__xludf.DUMMYFUNCTION("""COMPUTED_VALUE"""),TRUE)</f>
        <v>1</v>
      </c>
      <c r="H2646" s="4" t="b">
        <f>IFERROR(__xludf.DUMMYFUNCTION("""COMPUTED_VALUE"""),TRUE)</f>
        <v>1</v>
      </c>
      <c r="I2646" s="4">
        <f>IFERROR(__xludf.DUMMYFUNCTION("""COMPUTED_VALUE"""),0.2549440625)</f>
        <v>0.2549440625</v>
      </c>
      <c r="J2646" s="4">
        <f>IFERROR(__xludf.DUMMYFUNCTION("""COMPUTED_VALUE"""),45949.27698501893)</f>
        <v>45949.27699</v>
      </c>
      <c r="K2646" s="4" t="str">
        <f>IFERROR(__xludf.DUMMYFUNCTION("""COMPUTED_VALUE"""),"")</f>
        <v/>
      </c>
      <c r="L2646" s="4">
        <f>IFERROR(__xludf.DUMMYFUNCTION("""COMPUTED_VALUE"""),45949.2924876692)</f>
        <v>45949.29249</v>
      </c>
      <c r="M2646" s="1" t="str">
        <f>IFERROR(__xludf.DUMMYFUNCTION("""COMPUTED_VALUE"""),"RFID")</f>
        <v>RFID</v>
      </c>
      <c r="N2646" s="5">
        <f>IFERROR(__xludf.DUMMYFUNCTION("""COMPUTED_VALUE"""),0.00881638425925926)</f>
        <v>0.008816384259</v>
      </c>
      <c r="O2646" s="5" t="str">
        <f>IFERROR(__xludf.DUMMYFUNCTION("""COMPUTED_VALUE"""),"")</f>
        <v/>
      </c>
      <c r="P2646" s="5" t="str">
        <f>IFERROR(__xludf.DUMMYFUNCTION("""COMPUTED_VALUE"""),"")</f>
        <v/>
      </c>
      <c r="Q2646" s="5">
        <f>IFERROR(__xludf.DUMMYFUNCTION("""COMPUTED_VALUE"""),0.007508722222222222)</f>
        <v>0.007508722222</v>
      </c>
      <c r="R2646" s="4">
        <f>IFERROR(__xludf.DUMMYFUNCTION("""COMPUTED_VALUE"""),45949.0375436067)</f>
        <v>45949.03754</v>
      </c>
      <c r="S2646" s="1" t="b">
        <f>IFERROR(__xludf.DUMMYFUNCTION("""COMPUTED_VALUE"""),TRUE)</f>
        <v>1</v>
      </c>
      <c r="T2646" s="1" t="b">
        <f>IFERROR(__xludf.DUMMYFUNCTION("""COMPUTED_VALUE"""),FALSE)</f>
        <v>0</v>
      </c>
      <c r="U2646" s="1" t="str">
        <f>IFERROR(__xludf.DUMMYFUNCTION("""COMPUTED_VALUE"""),"VALID")</f>
        <v>VALID</v>
      </c>
      <c r="V2646" s="1">
        <f>IFERROR(__xludf.DUMMYFUNCTION("""COMPUTED_VALUE"""),639.0)</f>
        <v>639</v>
      </c>
      <c r="W2646" s="1">
        <f>IFERROR(__xludf.DUMMYFUNCTION("""COMPUTED_VALUE"""),1060.0)</f>
        <v>1060</v>
      </c>
      <c r="X2646" s="1">
        <f>IFERROR(__xludf.DUMMYFUNCTION("""COMPUTED_VALUE"""),847.0)</f>
        <v>847</v>
      </c>
      <c r="Y2646" s="2"/>
      <c r="Z2646" s="2"/>
    </row>
    <row r="2647">
      <c r="A2647" s="1">
        <f>IFERROR(__xludf.DUMMYFUNCTION("""COMPUTED_VALUE"""),2646.0)</f>
        <v>2646</v>
      </c>
      <c r="B2647" s="1">
        <f>IFERROR(__xludf.DUMMYFUNCTION("""COMPUTED_VALUE"""),6578.0)</f>
        <v>6578</v>
      </c>
      <c r="C2647" s="2" t="str">
        <f>IFERROR(__xludf.DUMMYFUNCTION("""COMPUTED_VALUE"""),"Begawan Ranu")</f>
        <v>Begawan Ranu</v>
      </c>
      <c r="D2647" s="2" t="str">
        <f>IFERROR(__xludf.DUMMYFUNCTION("""COMPUTED_VALUE"""),"5KM OVERALL M")</f>
        <v>5KM OVERALL M</v>
      </c>
      <c r="E2647" s="1">
        <f>IFERROR(__xludf.DUMMYFUNCTION("""COMPUTED_VALUE"""),2.0)</f>
        <v>2</v>
      </c>
      <c r="F2647" s="1" t="str">
        <f>IFERROR(__xludf.DUMMYFUNCTION("""COMPUTED_VALUE"""),"Male")</f>
        <v>Male</v>
      </c>
      <c r="G2647" s="4" t="b">
        <f>IFERROR(__xludf.DUMMYFUNCTION("""COMPUTED_VALUE"""),TRUE)</f>
        <v>1</v>
      </c>
      <c r="H2647" s="4" t="b">
        <f>IFERROR(__xludf.DUMMYFUNCTION("""COMPUTED_VALUE"""),FALSE)</f>
        <v>0</v>
      </c>
      <c r="I2647" s="4">
        <f>IFERROR(__xludf.DUMMYFUNCTION("""COMPUTED_VALUE"""),0.2549440625)</f>
        <v>0.2549440625</v>
      </c>
      <c r="J2647" s="4">
        <f>IFERROR(__xludf.DUMMYFUNCTION("""COMPUTED_VALUE"""),45949.26910310946)</f>
        <v>45949.2691</v>
      </c>
      <c r="K2647" s="4" t="str">
        <f>IFERROR(__xludf.DUMMYFUNCTION("""COMPUTED_VALUE"""),"")</f>
        <v/>
      </c>
      <c r="L2647" s="4">
        <f>IFERROR(__xludf.DUMMYFUNCTION("""COMPUTED_VALUE"""),45949.27983796296)</f>
        <v>45949.27984</v>
      </c>
      <c r="M2647" s="1" t="str">
        <f>IFERROR(__xludf.DUMMYFUNCTION("""COMPUTED_VALUE"""),"RFID")</f>
        <v>RFID</v>
      </c>
      <c r="N2647" s="5">
        <f>IFERROR(__xludf.DUMMYFUNCTION("""COMPUTED_VALUE"""),0.005663620370370371)</f>
        <v>0.00566362037</v>
      </c>
      <c r="O2647" s="5" t="str">
        <f>IFERROR(__xludf.DUMMYFUNCTION("""COMPUTED_VALUE"""),"")</f>
        <v/>
      </c>
      <c r="P2647" s="5" t="str">
        <f>IFERROR(__xludf.DUMMYFUNCTION("""COMPUTED_VALUE"""),"")</f>
        <v/>
      </c>
      <c r="Q2647" s="5">
        <f>IFERROR(__xludf.DUMMYFUNCTION("""COMPUTED_VALUE"""),0.004978780092592593)</f>
        <v>0.004978780093</v>
      </c>
      <c r="R2647" s="4">
        <f>IFERROR(__xludf.DUMMYFUNCTION("""COMPUTED_VALUE"""),45949.02489390046)</f>
        <v>45949.02489</v>
      </c>
      <c r="S2647" s="1" t="b">
        <f>IFERROR(__xludf.DUMMYFUNCTION("""COMPUTED_VALUE"""),TRUE)</f>
        <v>1</v>
      </c>
      <c r="T2647" s="1" t="b">
        <f>IFERROR(__xludf.DUMMYFUNCTION("""COMPUTED_VALUE"""),FALSE)</f>
        <v>0</v>
      </c>
      <c r="U2647" s="1" t="str">
        <f>IFERROR(__xludf.DUMMYFUNCTION("""COMPUTED_VALUE"""),"VALID")</f>
        <v>VALID</v>
      </c>
      <c r="V2647" s="1">
        <f>IFERROR(__xludf.DUMMYFUNCTION("""COMPUTED_VALUE"""),184.0)</f>
        <v>184</v>
      </c>
      <c r="W2647" s="1">
        <f>IFERROR(__xludf.DUMMYFUNCTION("""COMPUTED_VALUE"""),280.0)</f>
        <v>280</v>
      </c>
      <c r="X2647" s="1">
        <f>IFERROR(__xludf.DUMMYFUNCTION("""COMPUTED_VALUE"""),246.0)</f>
        <v>246</v>
      </c>
      <c r="Y2647" s="2"/>
      <c r="Z2647" s="2"/>
    </row>
    <row r="2648">
      <c r="A2648" s="1">
        <f>IFERROR(__xludf.DUMMYFUNCTION("""COMPUTED_VALUE"""),2647.0)</f>
        <v>2647</v>
      </c>
      <c r="B2648" s="1">
        <f>IFERROR(__xludf.DUMMYFUNCTION("""COMPUTED_VALUE"""),6579.0)</f>
        <v>6579</v>
      </c>
      <c r="C2648" s="2" t="str">
        <f>IFERROR(__xludf.DUMMYFUNCTION("""COMPUTED_VALUE"""),"Tony")</f>
        <v>Tony</v>
      </c>
      <c r="D2648" s="2" t="str">
        <f>IFERROR(__xludf.DUMMYFUNCTION("""COMPUTED_VALUE"""),"5KM OVERALL M")</f>
        <v>5KM OVERALL M</v>
      </c>
      <c r="E2648" s="1">
        <f>IFERROR(__xludf.DUMMYFUNCTION("""COMPUTED_VALUE"""),2.0)</f>
        <v>2</v>
      </c>
      <c r="F2648" s="1" t="str">
        <f>IFERROR(__xludf.DUMMYFUNCTION("""COMPUTED_VALUE"""),"Male")</f>
        <v>Male</v>
      </c>
      <c r="G2648" s="4" t="str">
        <f>IFERROR(__xludf.DUMMYFUNCTION("""COMPUTED_VALUE"""),"")</f>
        <v/>
      </c>
      <c r="H2648" s="4" t="b">
        <f>IFERROR(__xludf.DUMMYFUNCTION("""COMPUTED_VALUE"""),FALSE)</f>
        <v>0</v>
      </c>
      <c r="I2648" s="4">
        <f>IFERROR(__xludf.DUMMYFUNCTION("""COMPUTED_VALUE"""),0.2549440625)</f>
        <v>0.2549440625</v>
      </c>
      <c r="J2648" s="4">
        <f>IFERROR(__xludf.DUMMYFUNCTION("""COMPUTED_VALUE"""),45949.28190516833)</f>
        <v>45949.28191</v>
      </c>
      <c r="K2648" s="4" t="str">
        <f>IFERROR(__xludf.DUMMYFUNCTION("""COMPUTED_VALUE"""),"")</f>
        <v/>
      </c>
      <c r="L2648" s="4">
        <f>IFERROR(__xludf.DUMMYFUNCTION("""COMPUTED_VALUE"""),45949.29931754172)</f>
        <v>45949.29932</v>
      </c>
      <c r="M2648" s="1" t="str">
        <f>IFERROR(__xludf.DUMMYFUNCTION("""COMPUTED_VALUE"""),"RFID")</f>
        <v>RFID</v>
      </c>
      <c r="N2648" s="5">
        <f>IFERROR(__xludf.DUMMYFUNCTION("""COMPUTED_VALUE"""),0.010784444444444445)</f>
        <v>0.01078444444</v>
      </c>
      <c r="O2648" s="5" t="str">
        <f>IFERROR(__xludf.DUMMYFUNCTION("""COMPUTED_VALUE"""),"")</f>
        <v/>
      </c>
      <c r="P2648" s="5" t="str">
        <f>IFERROR(__xludf.DUMMYFUNCTION("""COMPUTED_VALUE"""),"")</f>
        <v/>
      </c>
      <c r="Q2648" s="5">
        <f>IFERROR(__xludf.DUMMYFUNCTION("""COMPUTED_VALUE"""),0.00887469675925926)</f>
        <v>0.008874696759</v>
      </c>
      <c r="R2648" s="4">
        <f>IFERROR(__xludf.DUMMYFUNCTION("""COMPUTED_VALUE"""),45949.04437347922)</f>
        <v>45949.04437</v>
      </c>
      <c r="S2648" s="1" t="b">
        <f>IFERROR(__xludf.DUMMYFUNCTION("""COMPUTED_VALUE"""),FALSE)</f>
        <v>0</v>
      </c>
      <c r="T2648" s="1" t="b">
        <f>IFERROR(__xludf.DUMMYFUNCTION("""COMPUTED_VALUE"""),FALSE)</f>
        <v>0</v>
      </c>
      <c r="U2648" s="1" t="str">
        <f>IFERROR(__xludf.DUMMYFUNCTION("""COMPUTED_VALUE"""),"DSQ")</f>
        <v>DSQ</v>
      </c>
      <c r="V2648" s="1" t="str">
        <f>IFERROR(__xludf.DUMMYFUNCTION("""COMPUTED_VALUE"""),"DSQ")</f>
        <v>DSQ</v>
      </c>
      <c r="W2648" s="1" t="str">
        <f>IFERROR(__xludf.DUMMYFUNCTION("""COMPUTED_VALUE"""),"DSQ")</f>
        <v>DSQ</v>
      </c>
      <c r="X2648" s="1" t="str">
        <f>IFERROR(__xludf.DUMMYFUNCTION("""COMPUTED_VALUE"""),"DSQ")</f>
        <v>DSQ</v>
      </c>
      <c r="Y2648" s="2"/>
      <c r="Z2648" s="2"/>
    </row>
    <row r="2649">
      <c r="A2649" s="1">
        <f>IFERROR(__xludf.DUMMYFUNCTION("""COMPUTED_VALUE"""),2648.0)</f>
        <v>2648</v>
      </c>
      <c r="B2649" s="1">
        <f>IFERROR(__xludf.DUMMYFUNCTION("""COMPUTED_VALUE"""),6581.0)</f>
        <v>6581</v>
      </c>
      <c r="C2649" s="2" t="str">
        <f>IFERROR(__xludf.DUMMYFUNCTION("""COMPUTED_VALUE"""),"Apri")</f>
        <v>Apri</v>
      </c>
      <c r="D2649" s="2" t="str">
        <f>IFERROR(__xludf.DUMMYFUNCTION("""COMPUTED_VALUE"""),"5KM OVERALL M")</f>
        <v>5KM OVERALL M</v>
      </c>
      <c r="E2649" s="1">
        <f>IFERROR(__xludf.DUMMYFUNCTION("""COMPUTED_VALUE"""),2.0)</f>
        <v>2</v>
      </c>
      <c r="F2649" s="1" t="str">
        <f>IFERROR(__xludf.DUMMYFUNCTION("""COMPUTED_VALUE"""),"Male")</f>
        <v>Male</v>
      </c>
      <c r="G2649" s="4" t="b">
        <f>IFERROR(__xludf.DUMMYFUNCTION("""COMPUTED_VALUE"""),TRUE)</f>
        <v>1</v>
      </c>
      <c r="H2649" s="4" t="b">
        <f>IFERROR(__xludf.DUMMYFUNCTION("""COMPUTED_VALUE"""),FALSE)</f>
        <v>0</v>
      </c>
      <c r="I2649" s="4">
        <f>IFERROR(__xludf.DUMMYFUNCTION("""COMPUTED_VALUE"""),0.2549440625)</f>
        <v>0.2549440625</v>
      </c>
      <c r="J2649" s="4">
        <f>IFERROR(__xludf.DUMMYFUNCTION("""COMPUTED_VALUE"""),45949.267735022455)</f>
        <v>45949.26774</v>
      </c>
      <c r="K2649" s="4" t="str">
        <f>IFERROR(__xludf.DUMMYFUNCTION("""COMPUTED_VALUE"""),"")</f>
        <v/>
      </c>
      <c r="L2649" s="4">
        <f>IFERROR(__xludf.DUMMYFUNCTION("""COMPUTED_VALUE"""),45949.277904352966)</f>
        <v>45949.2779</v>
      </c>
      <c r="M2649" s="1" t="str">
        <f>IFERROR(__xludf.DUMMYFUNCTION("""COMPUTED_VALUE"""),"RFID")</f>
        <v>RFID</v>
      </c>
      <c r="N2649" s="5">
        <f>IFERROR(__xludf.DUMMYFUNCTION("""COMPUTED_VALUE"""),0.005116384259259259)</f>
        <v>0.005116384259</v>
      </c>
      <c r="O2649" s="5" t="str">
        <f>IFERROR(__xludf.DUMMYFUNCTION("""COMPUTED_VALUE"""),"")</f>
        <v/>
      </c>
      <c r="P2649" s="5" t="str">
        <f>IFERROR(__xludf.DUMMYFUNCTION("""COMPUTED_VALUE"""),"")</f>
        <v/>
      </c>
      <c r="Q2649" s="5">
        <f>IFERROR(__xludf.DUMMYFUNCTION("""COMPUTED_VALUE"""),0.0045920578703703705)</f>
        <v>0.00459205787</v>
      </c>
      <c r="R2649" s="4">
        <f>IFERROR(__xludf.DUMMYFUNCTION("""COMPUTED_VALUE"""),45949.022960290466)</f>
        <v>45949.02296</v>
      </c>
      <c r="S2649" s="1" t="b">
        <f>IFERROR(__xludf.DUMMYFUNCTION("""COMPUTED_VALUE"""),TRUE)</f>
        <v>1</v>
      </c>
      <c r="T2649" s="1" t="b">
        <f>IFERROR(__xludf.DUMMYFUNCTION("""COMPUTED_VALUE"""),FALSE)</f>
        <v>0</v>
      </c>
      <c r="U2649" s="1" t="str">
        <f>IFERROR(__xludf.DUMMYFUNCTION("""COMPUTED_VALUE"""),"VALID")</f>
        <v>VALID</v>
      </c>
      <c r="V2649" s="1">
        <f>IFERROR(__xludf.DUMMYFUNCTION("""COMPUTED_VALUE"""),136.0)</f>
        <v>136</v>
      </c>
      <c r="W2649" s="1">
        <f>IFERROR(__xludf.DUMMYFUNCTION("""COMPUTED_VALUE"""),209.0)</f>
        <v>209</v>
      </c>
      <c r="X2649" s="1">
        <f>IFERROR(__xludf.DUMMYFUNCTION("""COMPUTED_VALUE"""),182.0)</f>
        <v>182</v>
      </c>
      <c r="Y2649" s="2"/>
      <c r="Z2649" s="2"/>
    </row>
    <row r="2650">
      <c r="A2650" s="1">
        <f>IFERROR(__xludf.DUMMYFUNCTION("""COMPUTED_VALUE"""),2649.0)</f>
        <v>2649</v>
      </c>
      <c r="B2650" s="1">
        <f>IFERROR(__xludf.DUMMYFUNCTION("""COMPUTED_VALUE"""),6582.0)</f>
        <v>6582</v>
      </c>
      <c r="C2650" s="2" t="str">
        <f>IFERROR(__xludf.DUMMYFUNCTION("""COMPUTED_VALUE"""),"Fathan")</f>
        <v>Fathan</v>
      </c>
      <c r="D2650" s="2" t="str">
        <f>IFERROR(__xludf.DUMMYFUNCTION("""COMPUTED_VALUE"""),"5KM OVERALL M")</f>
        <v>5KM OVERALL M</v>
      </c>
      <c r="E2650" s="1">
        <f>IFERROR(__xludf.DUMMYFUNCTION("""COMPUTED_VALUE"""),2.0)</f>
        <v>2</v>
      </c>
      <c r="F2650" s="1" t="str">
        <f>IFERROR(__xludf.DUMMYFUNCTION("""COMPUTED_VALUE"""),"Male")</f>
        <v>Male</v>
      </c>
      <c r="G2650" s="4" t="b">
        <f>IFERROR(__xludf.DUMMYFUNCTION("""COMPUTED_VALUE"""),TRUE)</f>
        <v>1</v>
      </c>
      <c r="H2650" s="4" t="b">
        <f>IFERROR(__xludf.DUMMYFUNCTION("""COMPUTED_VALUE"""),FALSE)</f>
        <v>0</v>
      </c>
      <c r="I2650" s="4">
        <f>IFERROR(__xludf.DUMMYFUNCTION("""COMPUTED_VALUE"""),0.2549440625)</f>
        <v>0.2549440625</v>
      </c>
      <c r="J2650" s="4">
        <f>IFERROR(__xludf.DUMMYFUNCTION("""COMPUTED_VALUE"""),45949.26777687164)</f>
        <v>45949.26778</v>
      </c>
      <c r="K2650" s="4" t="str">
        <f>IFERROR(__xludf.DUMMYFUNCTION("""COMPUTED_VALUE"""),"")</f>
        <v/>
      </c>
      <c r="L2650" s="4">
        <f>IFERROR(__xludf.DUMMYFUNCTION("""COMPUTED_VALUE"""),45949.277914764854)</f>
        <v>45949.27791</v>
      </c>
      <c r="M2650" s="1" t="str">
        <f>IFERROR(__xludf.DUMMYFUNCTION("""COMPUTED_VALUE"""),"RFID")</f>
        <v>RFID</v>
      </c>
      <c r="N2650" s="5">
        <f>IFERROR(__xludf.DUMMYFUNCTION("""COMPUTED_VALUE"""),0.0051331250000000005)</f>
        <v>0.005133125</v>
      </c>
      <c r="O2650" s="5" t="str">
        <f>IFERROR(__xludf.DUMMYFUNCTION("""COMPUTED_VALUE"""),"")</f>
        <v/>
      </c>
      <c r="P2650" s="5" t="str">
        <f>IFERROR(__xludf.DUMMYFUNCTION("""COMPUTED_VALUE"""),"")</f>
        <v/>
      </c>
      <c r="Q2650" s="5">
        <f>IFERROR(__xludf.DUMMYFUNCTION("""COMPUTED_VALUE"""),0.0045941412037037044)</f>
        <v>0.004594141204</v>
      </c>
      <c r="R2650" s="4">
        <f>IFERROR(__xludf.DUMMYFUNCTION("""COMPUTED_VALUE"""),45949.02297070235)</f>
        <v>45949.02297</v>
      </c>
      <c r="S2650" s="1" t="b">
        <f>IFERROR(__xludf.DUMMYFUNCTION("""COMPUTED_VALUE"""),TRUE)</f>
        <v>1</v>
      </c>
      <c r="T2650" s="1" t="b">
        <f>IFERROR(__xludf.DUMMYFUNCTION("""COMPUTED_VALUE"""),FALSE)</f>
        <v>0</v>
      </c>
      <c r="U2650" s="1" t="str">
        <f>IFERROR(__xludf.DUMMYFUNCTION("""COMPUTED_VALUE"""),"VALID")</f>
        <v>VALID</v>
      </c>
      <c r="V2650" s="1">
        <f>IFERROR(__xludf.DUMMYFUNCTION("""COMPUTED_VALUE"""),138.0)</f>
        <v>138</v>
      </c>
      <c r="W2650" s="1">
        <f>IFERROR(__xludf.DUMMYFUNCTION("""COMPUTED_VALUE"""),211.0)</f>
        <v>211</v>
      </c>
      <c r="X2650" s="1">
        <f>IFERROR(__xludf.DUMMYFUNCTION("""COMPUTED_VALUE"""),184.0)</f>
        <v>184</v>
      </c>
      <c r="Y2650" s="2"/>
      <c r="Z2650" s="2"/>
    </row>
    <row r="2651">
      <c r="A2651" s="1">
        <f>IFERROR(__xludf.DUMMYFUNCTION("""COMPUTED_VALUE"""),2650.0)</f>
        <v>2650</v>
      </c>
      <c r="B2651" s="1">
        <f>IFERROR(__xludf.DUMMYFUNCTION("""COMPUTED_VALUE"""),6583.0)</f>
        <v>6583</v>
      </c>
      <c r="C2651" s="2" t="str">
        <f>IFERROR(__xludf.DUMMYFUNCTION("""COMPUTED_VALUE"""),"Np Kalselteng")</f>
        <v>Np Kalselteng</v>
      </c>
      <c r="D2651" s="2" t="str">
        <f>IFERROR(__xludf.DUMMYFUNCTION("""COMPUTED_VALUE"""),"5KM OVERALL M")</f>
        <v>5KM OVERALL M</v>
      </c>
      <c r="E2651" s="1">
        <f>IFERROR(__xludf.DUMMYFUNCTION("""COMPUTED_VALUE"""),2.0)</f>
        <v>2</v>
      </c>
      <c r="F2651" s="1" t="str">
        <f>IFERROR(__xludf.DUMMYFUNCTION("""COMPUTED_VALUE"""),"Male")</f>
        <v>Male</v>
      </c>
      <c r="G2651" s="4" t="b">
        <f>IFERROR(__xludf.DUMMYFUNCTION("""COMPUTED_VALUE"""),TRUE)</f>
        <v>1</v>
      </c>
      <c r="H2651" s="4" t="b">
        <f>IFERROR(__xludf.DUMMYFUNCTION("""COMPUTED_VALUE"""),TRUE)</f>
        <v>1</v>
      </c>
      <c r="I2651" s="4">
        <f>IFERROR(__xludf.DUMMYFUNCTION("""COMPUTED_VALUE"""),0.2549440625)</f>
        <v>0.2549440625</v>
      </c>
      <c r="J2651" s="4">
        <f>IFERROR(__xludf.DUMMYFUNCTION("""COMPUTED_VALUE"""),45949.28019336092)</f>
        <v>45949.28019</v>
      </c>
      <c r="K2651" s="4" t="str">
        <f>IFERROR(__xludf.DUMMYFUNCTION("""COMPUTED_VALUE"""),"")</f>
        <v/>
      </c>
      <c r="L2651" s="4">
        <f>IFERROR(__xludf.DUMMYFUNCTION("""COMPUTED_VALUE"""),45949.29805013496)</f>
        <v>45949.29805</v>
      </c>
      <c r="M2651" s="1" t="str">
        <f>IFERROR(__xludf.DUMMYFUNCTION("""COMPUTED_VALUE"""),"RFID")</f>
        <v>RFID</v>
      </c>
      <c r="N2651" s="5">
        <f>IFERROR(__xludf.DUMMYFUNCTION("""COMPUTED_VALUE"""),0.010099717592592594)</f>
        <v>0.01009971759</v>
      </c>
      <c r="O2651" s="5" t="str">
        <f>IFERROR(__xludf.DUMMYFUNCTION("""COMPUTED_VALUE"""),"")</f>
        <v/>
      </c>
      <c r="P2651" s="5" t="str">
        <f>IFERROR(__xludf.DUMMYFUNCTION("""COMPUTED_VALUE"""),"")</f>
        <v/>
      </c>
      <c r="Q2651" s="5">
        <f>IFERROR(__xludf.DUMMYFUNCTION("""COMPUTED_VALUE"""),0.008621215277777778)</f>
        <v>0.008621215278</v>
      </c>
      <c r="R2651" s="4">
        <f>IFERROR(__xludf.DUMMYFUNCTION("""COMPUTED_VALUE"""),45949.04310607246)</f>
        <v>45949.04311</v>
      </c>
      <c r="S2651" s="1" t="b">
        <f>IFERROR(__xludf.DUMMYFUNCTION("""COMPUTED_VALUE"""),TRUE)</f>
        <v>1</v>
      </c>
      <c r="T2651" s="1" t="b">
        <f>IFERROR(__xludf.DUMMYFUNCTION("""COMPUTED_VALUE"""),FALSE)</f>
        <v>0</v>
      </c>
      <c r="U2651" s="1" t="str">
        <f>IFERROR(__xludf.DUMMYFUNCTION("""COMPUTED_VALUE"""),"VALID")</f>
        <v>VALID</v>
      </c>
      <c r="V2651" s="1">
        <f>IFERROR(__xludf.DUMMYFUNCTION("""COMPUTED_VALUE"""),765.0)</f>
        <v>765</v>
      </c>
      <c r="W2651" s="1">
        <f>IFERROR(__xludf.DUMMYFUNCTION("""COMPUTED_VALUE"""),1364.0)</f>
        <v>1364</v>
      </c>
      <c r="X2651" s="1">
        <f>IFERROR(__xludf.DUMMYFUNCTION("""COMPUTED_VALUE"""),1104.0)</f>
        <v>1104</v>
      </c>
      <c r="Y2651" s="2"/>
      <c r="Z2651" s="2"/>
    </row>
    <row r="2652">
      <c r="A2652" s="1">
        <f>IFERROR(__xludf.DUMMYFUNCTION("""COMPUTED_VALUE"""),2651.0)</f>
        <v>2651</v>
      </c>
      <c r="B2652" s="1">
        <f>IFERROR(__xludf.DUMMYFUNCTION("""COMPUTED_VALUE"""),6584.0)</f>
        <v>6584</v>
      </c>
      <c r="C2652" s="2" t="str">
        <f>IFERROR(__xludf.DUMMYFUNCTION("""COMPUTED_VALUE"""),"Np Kalselteng")</f>
        <v>Np Kalselteng</v>
      </c>
      <c r="D2652" s="2" t="str">
        <f>IFERROR(__xludf.DUMMYFUNCTION("""COMPUTED_VALUE"""),"5KM OVERALL M")</f>
        <v>5KM OVERALL M</v>
      </c>
      <c r="E2652" s="1">
        <f>IFERROR(__xludf.DUMMYFUNCTION("""COMPUTED_VALUE"""),2.0)</f>
        <v>2</v>
      </c>
      <c r="F2652" s="1" t="str">
        <f>IFERROR(__xludf.DUMMYFUNCTION("""COMPUTED_VALUE"""),"Male")</f>
        <v>Male</v>
      </c>
      <c r="G2652" s="4" t="b">
        <f>IFERROR(__xludf.DUMMYFUNCTION("""COMPUTED_VALUE"""),TRUE)</f>
        <v>1</v>
      </c>
      <c r="H2652" s="4" t="b">
        <f>IFERROR(__xludf.DUMMYFUNCTION("""COMPUTED_VALUE"""),TRUE)</f>
        <v>1</v>
      </c>
      <c r="I2652" s="4">
        <f>IFERROR(__xludf.DUMMYFUNCTION("""COMPUTED_VALUE"""),0.2549440625)</f>
        <v>0.2549440625</v>
      </c>
      <c r="J2652" s="4">
        <f>IFERROR(__xludf.DUMMYFUNCTION("""COMPUTED_VALUE"""),45950.265601851854)</f>
        <v>45950.2656</v>
      </c>
      <c r="K2652" s="4" t="str">
        <f>IFERROR(__xludf.DUMMYFUNCTION("""COMPUTED_VALUE"""),"")</f>
        <v/>
      </c>
      <c r="L2652" s="4">
        <f>IFERROR(__xludf.DUMMYFUNCTION("""COMPUTED_VALUE"""),45949.27269948532)</f>
        <v>45949.2727</v>
      </c>
      <c r="M2652" s="1" t="str">
        <f>IFERROR(__xludf.DUMMYFUNCTION("""COMPUTED_VALUE"""),"RFID")</f>
        <v>RFID</v>
      </c>
      <c r="N2652" s="5">
        <f>IFERROR(__xludf.DUMMYFUNCTION("""COMPUTED_VALUE"""),0.004263115740740741)</f>
        <v>0.004263115741</v>
      </c>
      <c r="O2652" s="5" t="str">
        <f>IFERROR(__xludf.DUMMYFUNCTION("""COMPUTED_VALUE"""),"")</f>
        <v/>
      </c>
      <c r="P2652" s="5" t="str">
        <f>IFERROR(__xludf.DUMMYFUNCTION("""COMPUTED_VALUE"""),"")</f>
        <v/>
      </c>
      <c r="Q2652" s="5">
        <f>IFERROR(__xludf.DUMMYFUNCTION("""COMPUTED_VALUE"""),0.003551085648148148)</f>
        <v>0.003551085648</v>
      </c>
      <c r="R2652" s="4">
        <f>IFERROR(__xludf.DUMMYFUNCTION("""COMPUTED_VALUE"""),45949.01775542282)</f>
        <v>45949.01776</v>
      </c>
      <c r="S2652" s="1" t="b">
        <f>IFERROR(__xludf.DUMMYFUNCTION("""COMPUTED_VALUE"""),TRUE)</f>
        <v>1</v>
      </c>
      <c r="T2652" s="1" t="b">
        <f>IFERROR(__xludf.DUMMYFUNCTION("""COMPUTED_VALUE"""),FALSE)</f>
        <v>0</v>
      </c>
      <c r="U2652" s="1" t="str">
        <f>IFERROR(__xludf.DUMMYFUNCTION("""COMPUTED_VALUE"""),"VALID")</f>
        <v>VALID</v>
      </c>
      <c r="V2652" s="1">
        <f>IFERROR(__xludf.DUMMYFUNCTION("""COMPUTED_VALUE"""),32.0)</f>
        <v>32</v>
      </c>
      <c r="W2652" s="1">
        <f>IFERROR(__xludf.DUMMYFUNCTION("""COMPUTED_VALUE"""),49.0)</f>
        <v>49</v>
      </c>
      <c r="X2652" s="1">
        <f>IFERROR(__xludf.DUMMYFUNCTION("""COMPUTED_VALUE"""),47.0)</f>
        <v>47</v>
      </c>
      <c r="Y2652" s="2"/>
      <c r="Z2652" s="2" t="str">
        <f>IFERROR(__xludf.DUMMYFUNCTION("""COMPUTED_VALUE"""),"C")</f>
        <v>C</v>
      </c>
    </row>
    <row r="2653">
      <c r="A2653" s="1">
        <f>IFERROR(__xludf.DUMMYFUNCTION("""COMPUTED_VALUE"""),2652.0)</f>
        <v>2652</v>
      </c>
      <c r="B2653" s="1">
        <f>IFERROR(__xludf.DUMMYFUNCTION("""COMPUTED_VALUE"""),6585.0)</f>
        <v>6585</v>
      </c>
      <c r="C2653" s="2" t="str">
        <f>IFERROR(__xludf.DUMMYFUNCTION("""COMPUTED_VALUE"""),"Np Kalselteng")</f>
        <v>Np Kalselteng</v>
      </c>
      <c r="D2653" s="2" t="str">
        <f>IFERROR(__xludf.DUMMYFUNCTION("""COMPUTED_VALUE"""),"5KM OVERALL M")</f>
        <v>5KM OVERALL M</v>
      </c>
      <c r="E2653" s="1">
        <f>IFERROR(__xludf.DUMMYFUNCTION("""COMPUTED_VALUE"""),2.0)</f>
        <v>2</v>
      </c>
      <c r="F2653" s="1" t="str">
        <f>IFERROR(__xludf.DUMMYFUNCTION("""COMPUTED_VALUE"""),"Male")</f>
        <v>Male</v>
      </c>
      <c r="G2653" s="4" t="b">
        <f>IFERROR(__xludf.DUMMYFUNCTION("""COMPUTED_VALUE"""),TRUE)</f>
        <v>1</v>
      </c>
      <c r="H2653" s="4" t="b">
        <f>IFERROR(__xludf.DUMMYFUNCTION("""COMPUTED_VALUE"""),FALSE)</f>
        <v>0</v>
      </c>
      <c r="I2653" s="4">
        <f>IFERROR(__xludf.DUMMYFUNCTION("""COMPUTED_VALUE"""),0.2549440625)</f>
        <v>0.2549440625</v>
      </c>
      <c r="J2653" s="4">
        <f>IFERROR(__xludf.DUMMYFUNCTION("""COMPUTED_VALUE"""),45950.27701388889)</f>
        <v>45950.27701</v>
      </c>
      <c r="K2653" s="4" t="str">
        <f>IFERROR(__xludf.DUMMYFUNCTION("""COMPUTED_VALUE"""),"")</f>
        <v/>
      </c>
      <c r="L2653" s="4">
        <f>IFERROR(__xludf.DUMMYFUNCTION("""COMPUTED_VALUE"""),45949.29172725455)</f>
        <v>45949.29173</v>
      </c>
      <c r="M2653" s="1" t="str">
        <f>IFERROR(__xludf.DUMMYFUNCTION("""COMPUTED_VALUE"""),"RFID")</f>
        <v>RFID</v>
      </c>
      <c r="N2653" s="5">
        <f>IFERROR(__xludf.DUMMYFUNCTION("""COMPUTED_VALUE"""),0.008827930555555556)</f>
        <v>0.008827930556</v>
      </c>
      <c r="O2653" s="5" t="str">
        <f>IFERROR(__xludf.DUMMYFUNCTION("""COMPUTED_VALUE"""),"")</f>
        <v/>
      </c>
      <c r="P2653" s="5" t="str">
        <f>IFERROR(__xludf.DUMMYFUNCTION("""COMPUTED_VALUE"""),"")</f>
        <v/>
      </c>
      <c r="Q2653" s="5">
        <f>IFERROR(__xludf.DUMMYFUNCTION("""COMPUTED_VALUE"""),0.007356638888888889)</f>
        <v>0.007356638889</v>
      </c>
      <c r="R2653" s="4">
        <f>IFERROR(__xludf.DUMMYFUNCTION("""COMPUTED_VALUE"""),45949.03678319205)</f>
        <v>45949.03678</v>
      </c>
      <c r="S2653" s="1" t="b">
        <f>IFERROR(__xludf.DUMMYFUNCTION("""COMPUTED_VALUE"""),TRUE)</f>
        <v>1</v>
      </c>
      <c r="T2653" s="1" t="b">
        <f>IFERROR(__xludf.DUMMYFUNCTION("""COMPUTED_VALUE"""),FALSE)</f>
        <v>0</v>
      </c>
      <c r="U2653" s="1" t="str">
        <f>IFERROR(__xludf.DUMMYFUNCTION("""COMPUTED_VALUE"""),"VALID")</f>
        <v>VALID</v>
      </c>
      <c r="V2653" s="1">
        <f>IFERROR(__xludf.DUMMYFUNCTION("""COMPUTED_VALUE"""),618.0)</f>
        <v>618</v>
      </c>
      <c r="W2653" s="1">
        <f>IFERROR(__xludf.DUMMYFUNCTION("""COMPUTED_VALUE"""),1012.0)</f>
        <v>1012</v>
      </c>
      <c r="X2653" s="1">
        <f>IFERROR(__xludf.DUMMYFUNCTION("""COMPUTED_VALUE"""),816.0)</f>
        <v>816</v>
      </c>
      <c r="Y2653" s="2"/>
      <c r="Z2653" s="2" t="str">
        <f>IFERROR(__xludf.DUMMYFUNCTION("""COMPUTED_VALUE"""),"C")</f>
        <v>C</v>
      </c>
    </row>
    <row r="2654">
      <c r="A2654" s="1">
        <f>IFERROR(__xludf.DUMMYFUNCTION("""COMPUTED_VALUE"""),2653.0)</f>
        <v>2653</v>
      </c>
      <c r="B2654" s="1">
        <f>IFERROR(__xludf.DUMMYFUNCTION("""COMPUTED_VALUE"""),6586.0)</f>
        <v>6586</v>
      </c>
      <c r="C2654" s="2" t="str">
        <f>IFERROR(__xludf.DUMMYFUNCTION("""COMPUTED_VALUE"""),"Np Kalselteng")</f>
        <v>Np Kalselteng</v>
      </c>
      <c r="D2654" s="2" t="str">
        <f>IFERROR(__xludf.DUMMYFUNCTION("""COMPUTED_VALUE"""),"5KM OVERALL M")</f>
        <v>5KM OVERALL M</v>
      </c>
      <c r="E2654" s="1">
        <f>IFERROR(__xludf.DUMMYFUNCTION("""COMPUTED_VALUE"""),2.0)</f>
        <v>2</v>
      </c>
      <c r="F2654" s="1" t="str">
        <f>IFERROR(__xludf.DUMMYFUNCTION("""COMPUTED_VALUE"""),"Male")</f>
        <v>Male</v>
      </c>
      <c r="G2654" s="4" t="b">
        <f>IFERROR(__xludf.DUMMYFUNCTION("""COMPUTED_VALUE"""),TRUE)</f>
        <v>1</v>
      </c>
      <c r="H2654" s="4" t="b">
        <f>IFERROR(__xludf.DUMMYFUNCTION("""COMPUTED_VALUE"""),FALSE)</f>
        <v>0</v>
      </c>
      <c r="I2654" s="4">
        <f>IFERROR(__xludf.DUMMYFUNCTION("""COMPUTED_VALUE"""),0.2549440625)</f>
        <v>0.2549440625</v>
      </c>
      <c r="J2654" s="4">
        <f>IFERROR(__xludf.DUMMYFUNCTION("""COMPUTED_VALUE"""),45949.27963783109)</f>
        <v>45949.27964</v>
      </c>
      <c r="K2654" s="4" t="str">
        <f>IFERROR(__xludf.DUMMYFUNCTION("""COMPUTED_VALUE"""),"")</f>
        <v/>
      </c>
      <c r="L2654" s="4">
        <f>IFERROR(__xludf.DUMMYFUNCTION("""COMPUTED_VALUE"""),45949.29863005246)</f>
        <v>45949.29863</v>
      </c>
      <c r="M2654" s="1" t="str">
        <f>IFERROR(__xludf.DUMMYFUNCTION("""COMPUTED_VALUE"""),"RFID")</f>
        <v>RFID</v>
      </c>
      <c r="N2654" s="5">
        <f>IFERROR(__xludf.DUMMYFUNCTION("""COMPUTED_VALUE"""),0.00987750925925926)</f>
        <v>0.009877509259</v>
      </c>
      <c r="O2654" s="5" t="str">
        <f>IFERROR(__xludf.DUMMYFUNCTION("""COMPUTED_VALUE"""),"")</f>
        <v/>
      </c>
      <c r="P2654" s="5" t="str">
        <f>IFERROR(__xludf.DUMMYFUNCTION("""COMPUTED_VALUE"""),"")</f>
        <v/>
      </c>
      <c r="Q2654" s="5">
        <f>IFERROR(__xludf.DUMMYFUNCTION("""COMPUTED_VALUE"""),0.008737199074074073)</f>
        <v>0.008737199074</v>
      </c>
      <c r="R2654" s="4">
        <f>IFERROR(__xludf.DUMMYFUNCTION("""COMPUTED_VALUE"""),45949.04368598996)</f>
        <v>45949.04369</v>
      </c>
      <c r="S2654" s="1" t="b">
        <f>IFERROR(__xludf.DUMMYFUNCTION("""COMPUTED_VALUE"""),TRUE)</f>
        <v>1</v>
      </c>
      <c r="T2654" s="1" t="b">
        <f>IFERROR(__xludf.DUMMYFUNCTION("""COMPUTED_VALUE"""),FALSE)</f>
        <v>0</v>
      </c>
      <c r="U2654" s="1" t="str">
        <f>IFERROR(__xludf.DUMMYFUNCTION("""COMPUTED_VALUE"""),"VALID")</f>
        <v>VALID</v>
      </c>
      <c r="V2654" s="1">
        <f>IFERROR(__xludf.DUMMYFUNCTION("""COMPUTED_VALUE"""),773.0)</f>
        <v>773</v>
      </c>
      <c r="W2654" s="1">
        <f>IFERROR(__xludf.DUMMYFUNCTION("""COMPUTED_VALUE"""),1390.0)</f>
        <v>1390</v>
      </c>
      <c r="X2654" s="1">
        <f>IFERROR(__xludf.DUMMYFUNCTION("""COMPUTED_VALUE"""),1130.0)</f>
        <v>1130</v>
      </c>
      <c r="Y2654" s="2"/>
      <c r="Z2654" s="2"/>
    </row>
    <row r="2655">
      <c r="A2655" s="1">
        <f>IFERROR(__xludf.DUMMYFUNCTION("""COMPUTED_VALUE"""),2654.0)</f>
        <v>2654</v>
      </c>
      <c r="B2655" s="1">
        <f>IFERROR(__xludf.DUMMYFUNCTION("""COMPUTED_VALUE"""),6587.0)</f>
        <v>6587</v>
      </c>
      <c r="C2655" s="2" t="str">
        <f>IFERROR(__xludf.DUMMYFUNCTION("""COMPUTED_VALUE"""),"Np Kalselteng")</f>
        <v>Np Kalselteng</v>
      </c>
      <c r="D2655" s="2" t="str">
        <f>IFERROR(__xludf.DUMMYFUNCTION("""COMPUTED_VALUE"""),"5KM OVERALL M")</f>
        <v>5KM OVERALL M</v>
      </c>
      <c r="E2655" s="1">
        <f>IFERROR(__xludf.DUMMYFUNCTION("""COMPUTED_VALUE"""),2.0)</f>
        <v>2</v>
      </c>
      <c r="F2655" s="1" t="str">
        <f>IFERROR(__xludf.DUMMYFUNCTION("""COMPUTED_VALUE"""),"Male")</f>
        <v>Male</v>
      </c>
      <c r="G2655" s="4" t="b">
        <f>IFERROR(__xludf.DUMMYFUNCTION("""COMPUTED_VALUE"""),TRUE)</f>
        <v>1</v>
      </c>
      <c r="H2655" s="4" t="b">
        <f>IFERROR(__xludf.DUMMYFUNCTION("""COMPUTED_VALUE"""),TRUE)</f>
        <v>1</v>
      </c>
      <c r="I2655" s="4">
        <f>IFERROR(__xludf.DUMMYFUNCTION("""COMPUTED_VALUE"""),0.2549440625)</f>
        <v>0.2549440625</v>
      </c>
      <c r="J2655" s="4">
        <f>IFERROR(__xludf.DUMMYFUNCTION("""COMPUTED_VALUE"""),45949.28188785116)</f>
        <v>45949.28189</v>
      </c>
      <c r="K2655" s="4" t="str">
        <f>IFERROR(__xludf.DUMMYFUNCTION("""COMPUTED_VALUE"""),"")</f>
        <v/>
      </c>
      <c r="L2655" s="4">
        <f>IFERROR(__xludf.DUMMYFUNCTION("""COMPUTED_VALUE"""),45949.30121685544)</f>
        <v>45949.30122</v>
      </c>
      <c r="M2655" s="1" t="str">
        <f>IFERROR(__xludf.DUMMYFUNCTION("""COMPUTED_VALUE"""),"RFID")</f>
        <v>RFID</v>
      </c>
      <c r="N2655" s="5">
        <f>IFERROR(__xludf.DUMMYFUNCTION("""COMPUTED_VALUE"""),0.01077751388888889)</f>
        <v>0.01077751389</v>
      </c>
      <c r="O2655" s="5" t="str">
        <f>IFERROR(__xludf.DUMMYFUNCTION("""COMPUTED_VALUE"""),"")</f>
        <v/>
      </c>
      <c r="P2655" s="5" t="str">
        <f>IFERROR(__xludf.DUMMYFUNCTION("""COMPUTED_VALUE"""),"")</f>
        <v/>
      </c>
      <c r="Q2655" s="5">
        <f>IFERROR(__xludf.DUMMYFUNCTION("""COMPUTED_VALUE"""),0.009254557870370371)</f>
        <v>0.00925455787</v>
      </c>
      <c r="R2655" s="4">
        <f>IFERROR(__xludf.DUMMYFUNCTION("""COMPUTED_VALUE"""),45949.04627279294)</f>
        <v>45949.04627</v>
      </c>
      <c r="S2655" s="1" t="b">
        <f>IFERROR(__xludf.DUMMYFUNCTION("""COMPUTED_VALUE"""),TRUE)</f>
        <v>1</v>
      </c>
      <c r="T2655" s="1" t="b">
        <f>IFERROR(__xludf.DUMMYFUNCTION("""COMPUTED_VALUE"""),FALSE)</f>
        <v>0</v>
      </c>
      <c r="U2655" s="1" t="str">
        <f>IFERROR(__xludf.DUMMYFUNCTION("""COMPUTED_VALUE"""),"VALID")</f>
        <v>VALID</v>
      </c>
      <c r="V2655" s="1">
        <f>IFERROR(__xludf.DUMMYFUNCTION("""COMPUTED_VALUE"""),814.0)</f>
        <v>814</v>
      </c>
      <c r="W2655" s="1">
        <f>IFERROR(__xludf.DUMMYFUNCTION("""COMPUTED_VALUE"""),1502.0)</f>
        <v>1502</v>
      </c>
      <c r="X2655" s="1">
        <f>IFERROR(__xludf.DUMMYFUNCTION("""COMPUTED_VALUE"""),1252.0)</f>
        <v>1252</v>
      </c>
      <c r="Y2655" s="2"/>
      <c r="Z2655" s="2"/>
    </row>
    <row r="2656">
      <c r="A2656" s="1">
        <f>IFERROR(__xludf.DUMMYFUNCTION("""COMPUTED_VALUE"""),2655.0)</f>
        <v>2655</v>
      </c>
      <c r="B2656" s="1">
        <f>IFERROR(__xludf.DUMMYFUNCTION("""COMPUTED_VALUE"""),6588.0)</f>
        <v>6588</v>
      </c>
      <c r="C2656" s="2" t="str">
        <f>IFERROR(__xludf.DUMMYFUNCTION("""COMPUTED_VALUE"""),"Icon")</f>
        <v>Icon</v>
      </c>
      <c r="D2656" s="2" t="str">
        <f>IFERROR(__xludf.DUMMYFUNCTION("""COMPUTED_VALUE"""),"5KM OVERALL M")</f>
        <v>5KM OVERALL M</v>
      </c>
      <c r="E2656" s="1">
        <f>IFERROR(__xludf.DUMMYFUNCTION("""COMPUTED_VALUE"""),2.0)</f>
        <v>2</v>
      </c>
      <c r="F2656" s="1" t="str">
        <f>IFERROR(__xludf.DUMMYFUNCTION("""COMPUTED_VALUE"""),"Male")</f>
        <v>Male</v>
      </c>
      <c r="G2656" s="4" t="b">
        <f>IFERROR(__xludf.DUMMYFUNCTION("""COMPUTED_VALUE"""),TRUE)</f>
        <v>1</v>
      </c>
      <c r="H2656" s="4" t="b">
        <f>IFERROR(__xludf.DUMMYFUNCTION("""COMPUTED_VALUE"""),TRUE)</f>
        <v>1</v>
      </c>
      <c r="I2656" s="4">
        <f>IFERROR(__xludf.DUMMYFUNCTION("""COMPUTED_VALUE"""),0.2549440625)</f>
        <v>0.2549440625</v>
      </c>
      <c r="J2656" s="4">
        <f>IFERROR(__xludf.DUMMYFUNCTION("""COMPUTED_VALUE"""),45949.27492251545)</f>
        <v>45949.27492</v>
      </c>
      <c r="K2656" s="4" t="str">
        <f>IFERROR(__xludf.DUMMYFUNCTION("""COMPUTED_VALUE"""),"")</f>
        <v/>
      </c>
      <c r="L2656" s="4">
        <f>IFERROR(__xludf.DUMMYFUNCTION("""COMPUTED_VALUE"""),45949.29062310969)</f>
        <v>45949.29062</v>
      </c>
      <c r="M2656" s="1" t="str">
        <f>IFERROR(__xludf.DUMMYFUNCTION("""COMPUTED_VALUE"""),"RFID")</f>
        <v>RFID</v>
      </c>
      <c r="N2656" s="5">
        <f>IFERROR(__xludf.DUMMYFUNCTION("""COMPUTED_VALUE"""),0.00799137962962963)</f>
        <v>0.00799137963</v>
      </c>
      <c r="O2656" s="5" t="str">
        <f>IFERROR(__xludf.DUMMYFUNCTION("""COMPUTED_VALUE"""),"")</f>
        <v/>
      </c>
      <c r="P2656" s="5" t="str">
        <f>IFERROR(__xludf.DUMMYFUNCTION("""COMPUTED_VALUE"""),"")</f>
        <v/>
      </c>
      <c r="Q2656" s="5">
        <f>IFERROR(__xludf.DUMMYFUNCTION("""COMPUTED_VALUE"""),0.007135810185185186)</f>
        <v>0.007135810185</v>
      </c>
      <c r="R2656" s="4">
        <f>IFERROR(__xludf.DUMMYFUNCTION("""COMPUTED_VALUE"""),45949.03567904719)</f>
        <v>45949.03568</v>
      </c>
      <c r="S2656" s="1" t="b">
        <f>IFERROR(__xludf.DUMMYFUNCTION("""COMPUTED_VALUE"""),TRUE)</f>
        <v>1</v>
      </c>
      <c r="T2656" s="1" t="b">
        <f>IFERROR(__xludf.DUMMYFUNCTION("""COMPUTED_VALUE"""),FALSE)</f>
        <v>0</v>
      </c>
      <c r="U2656" s="1" t="str">
        <f>IFERROR(__xludf.DUMMYFUNCTION("""COMPUTED_VALUE"""),"VALID")</f>
        <v>VALID</v>
      </c>
      <c r="V2656" s="1">
        <f>IFERROR(__xludf.DUMMYFUNCTION("""COMPUTED_VALUE"""),582.0)</f>
        <v>582</v>
      </c>
      <c r="W2656" s="1">
        <f>IFERROR(__xludf.DUMMYFUNCTION("""COMPUTED_VALUE"""),930.0)</f>
        <v>930</v>
      </c>
      <c r="X2656" s="1">
        <f>IFERROR(__xludf.DUMMYFUNCTION("""COMPUTED_VALUE"""),760.0)</f>
        <v>760</v>
      </c>
      <c r="Y2656" s="2"/>
      <c r="Z2656" s="2"/>
    </row>
    <row r="2657">
      <c r="A2657" s="1">
        <f>IFERROR(__xludf.DUMMYFUNCTION("""COMPUTED_VALUE"""),2656.0)</f>
        <v>2656</v>
      </c>
      <c r="B2657" s="1">
        <f>IFERROR(__xludf.DUMMYFUNCTION("""COMPUTED_VALUE"""),6589.0)</f>
        <v>6589</v>
      </c>
      <c r="C2657" s="2" t="str">
        <f>IFERROR(__xludf.DUMMYFUNCTION("""COMPUTED_VALUE"""),"Icon")</f>
        <v>Icon</v>
      </c>
      <c r="D2657" s="2" t="str">
        <f>IFERROR(__xludf.DUMMYFUNCTION("""COMPUTED_VALUE"""),"5KM OVERALL M")</f>
        <v>5KM OVERALL M</v>
      </c>
      <c r="E2657" s="1">
        <f>IFERROR(__xludf.DUMMYFUNCTION("""COMPUTED_VALUE"""),2.0)</f>
        <v>2</v>
      </c>
      <c r="F2657" s="1" t="str">
        <f>IFERROR(__xludf.DUMMYFUNCTION("""COMPUTED_VALUE"""),"Male")</f>
        <v>Male</v>
      </c>
      <c r="G2657" s="4" t="b">
        <f>IFERROR(__xludf.DUMMYFUNCTION("""COMPUTED_VALUE"""),TRUE)</f>
        <v>1</v>
      </c>
      <c r="H2657" s="4" t="b">
        <f>IFERROR(__xludf.DUMMYFUNCTION("""COMPUTED_VALUE"""),TRUE)</f>
        <v>1</v>
      </c>
      <c r="I2657" s="4">
        <f>IFERROR(__xludf.DUMMYFUNCTION("""COMPUTED_VALUE"""),0.2549440625)</f>
        <v>0.2549440625</v>
      </c>
      <c r="J2657" s="4">
        <f>IFERROR(__xludf.DUMMYFUNCTION("""COMPUTED_VALUE"""),45950.27667824074)</f>
        <v>45950.27668</v>
      </c>
      <c r="K2657" s="4" t="str">
        <f>IFERROR(__xludf.DUMMYFUNCTION("""COMPUTED_VALUE"""),"")</f>
        <v/>
      </c>
      <c r="L2657" s="4">
        <f>IFERROR(__xludf.DUMMYFUNCTION("""COMPUTED_VALUE"""),45949.29116129667)</f>
        <v>45949.29116</v>
      </c>
      <c r="M2657" s="1" t="str">
        <f>IFERROR(__xludf.DUMMYFUNCTION("""COMPUTED_VALUE"""),"RFID")</f>
        <v>RFID</v>
      </c>
      <c r="N2657" s="5">
        <f>IFERROR(__xludf.DUMMYFUNCTION("""COMPUTED_VALUE"""),0.008693671296296297)</f>
        <v>0.008693671296</v>
      </c>
      <c r="O2657" s="5" t="str">
        <f>IFERROR(__xludf.DUMMYFUNCTION("""COMPUTED_VALUE"""),"")</f>
        <v/>
      </c>
      <c r="P2657" s="5" t="str">
        <f>IFERROR(__xludf.DUMMYFUNCTION("""COMPUTED_VALUE"""),"")</f>
        <v/>
      </c>
      <c r="Q2657" s="5">
        <f>IFERROR(__xludf.DUMMYFUNCTION("""COMPUTED_VALUE"""),0.0072434467592592585)</f>
        <v>0.007243446759</v>
      </c>
      <c r="R2657" s="4">
        <f>IFERROR(__xludf.DUMMYFUNCTION("""COMPUTED_VALUE"""),45949.03621723417)</f>
        <v>45949.03622</v>
      </c>
      <c r="S2657" s="1" t="b">
        <f>IFERROR(__xludf.DUMMYFUNCTION("""COMPUTED_VALUE"""),TRUE)</f>
        <v>1</v>
      </c>
      <c r="T2657" s="1" t="b">
        <f>IFERROR(__xludf.DUMMYFUNCTION("""COMPUTED_VALUE"""),FALSE)</f>
        <v>0</v>
      </c>
      <c r="U2657" s="1" t="str">
        <f>IFERROR(__xludf.DUMMYFUNCTION("""COMPUTED_VALUE"""),"VALID")</f>
        <v>VALID</v>
      </c>
      <c r="V2657" s="1">
        <f>IFERROR(__xludf.DUMMYFUNCTION("""COMPUTED_VALUE"""),600.0)</f>
        <v>600</v>
      </c>
      <c r="W2657" s="1">
        <f>IFERROR(__xludf.DUMMYFUNCTION("""COMPUTED_VALUE"""),970.0)</f>
        <v>970</v>
      </c>
      <c r="X2657" s="1">
        <f>IFERROR(__xludf.DUMMYFUNCTION("""COMPUTED_VALUE"""),789.0)</f>
        <v>789</v>
      </c>
      <c r="Y2657" s="2"/>
      <c r="Z2657" s="2" t="str">
        <f>IFERROR(__xludf.DUMMYFUNCTION("""COMPUTED_VALUE"""),"C")</f>
        <v>C</v>
      </c>
    </row>
    <row r="2658">
      <c r="A2658" s="1">
        <f>IFERROR(__xludf.DUMMYFUNCTION("""COMPUTED_VALUE"""),2657.0)</f>
        <v>2657</v>
      </c>
      <c r="B2658" s="1">
        <f>IFERROR(__xludf.DUMMYFUNCTION("""COMPUTED_VALUE"""),6590.0)</f>
        <v>6590</v>
      </c>
      <c r="C2658" s="2" t="str">
        <f>IFERROR(__xludf.DUMMYFUNCTION("""COMPUTED_VALUE"""),"Icon")</f>
        <v>Icon</v>
      </c>
      <c r="D2658" s="2" t="str">
        <f>IFERROR(__xludf.DUMMYFUNCTION("""COMPUTED_VALUE"""),"5KM OVERALL M")</f>
        <v>5KM OVERALL M</v>
      </c>
      <c r="E2658" s="1">
        <f>IFERROR(__xludf.DUMMYFUNCTION("""COMPUTED_VALUE"""),2.0)</f>
        <v>2</v>
      </c>
      <c r="F2658" s="1" t="str">
        <f>IFERROR(__xludf.DUMMYFUNCTION("""COMPUTED_VALUE"""),"Male")</f>
        <v>Male</v>
      </c>
      <c r="G2658" s="4" t="b">
        <f>IFERROR(__xludf.DUMMYFUNCTION("""COMPUTED_VALUE"""),TRUE)</f>
        <v>1</v>
      </c>
      <c r="H2658" s="4" t="b">
        <f>IFERROR(__xludf.DUMMYFUNCTION("""COMPUTED_VALUE"""),TRUE)</f>
        <v>1</v>
      </c>
      <c r="I2658" s="4">
        <f>IFERROR(__xludf.DUMMYFUNCTION("""COMPUTED_VALUE"""),0.2549440625)</f>
        <v>0.2549440625</v>
      </c>
      <c r="J2658" s="4">
        <f>IFERROR(__xludf.DUMMYFUNCTION("""COMPUTED_VALUE"""),45949.27235655026)</f>
        <v>45949.27236</v>
      </c>
      <c r="K2658" s="4" t="str">
        <f>IFERROR(__xludf.DUMMYFUNCTION("""COMPUTED_VALUE"""),"")</f>
        <v/>
      </c>
      <c r="L2658" s="4">
        <f>IFERROR(__xludf.DUMMYFUNCTION("""COMPUTED_VALUE"""),45949.286390465226)</f>
        <v>45949.28639</v>
      </c>
      <c r="M2658" s="1" t="str">
        <f>IFERROR(__xludf.DUMMYFUNCTION("""COMPUTED_VALUE"""),"RFID")</f>
        <v>RFID</v>
      </c>
      <c r="N2658" s="5">
        <f>IFERROR(__xludf.DUMMYFUNCTION("""COMPUTED_VALUE"""),0.0069649953703703705)</f>
        <v>0.00696499537</v>
      </c>
      <c r="O2658" s="5" t="str">
        <f>IFERROR(__xludf.DUMMYFUNCTION("""COMPUTED_VALUE"""),"")</f>
        <v/>
      </c>
      <c r="P2658" s="5" t="str">
        <f>IFERROR(__xludf.DUMMYFUNCTION("""COMPUTED_VALUE"""),"")</f>
        <v/>
      </c>
      <c r="Q2658" s="5">
        <f>IFERROR(__xludf.DUMMYFUNCTION("""COMPUTED_VALUE"""),0.006289280092592593)</f>
        <v>0.006289280093</v>
      </c>
      <c r="R2658" s="4">
        <f>IFERROR(__xludf.DUMMYFUNCTION("""COMPUTED_VALUE"""),45949.031446402725)</f>
        <v>45949.03145</v>
      </c>
      <c r="S2658" s="1" t="b">
        <f>IFERROR(__xludf.DUMMYFUNCTION("""COMPUTED_VALUE"""),TRUE)</f>
        <v>1</v>
      </c>
      <c r="T2658" s="1" t="b">
        <f>IFERROR(__xludf.DUMMYFUNCTION("""COMPUTED_VALUE"""),FALSE)</f>
        <v>0</v>
      </c>
      <c r="U2658" s="1" t="str">
        <f>IFERROR(__xludf.DUMMYFUNCTION("""COMPUTED_VALUE"""),"VALID")</f>
        <v>VALID</v>
      </c>
      <c r="V2658" s="1">
        <f>IFERROR(__xludf.DUMMYFUNCTION("""COMPUTED_VALUE"""),427.0)</f>
        <v>427</v>
      </c>
      <c r="W2658" s="1">
        <f>IFERROR(__xludf.DUMMYFUNCTION("""COMPUTED_VALUE"""),656.0)</f>
        <v>656</v>
      </c>
      <c r="X2658" s="1">
        <f>IFERROR(__xludf.DUMMYFUNCTION("""COMPUTED_VALUE"""),548.0)</f>
        <v>548</v>
      </c>
      <c r="Y2658" s="2"/>
      <c r="Z2658" s="2"/>
    </row>
    <row r="2659">
      <c r="A2659" s="1">
        <f>IFERROR(__xludf.DUMMYFUNCTION("""COMPUTED_VALUE"""),2658.0)</f>
        <v>2658</v>
      </c>
      <c r="B2659" s="1">
        <f>IFERROR(__xludf.DUMMYFUNCTION("""COMPUTED_VALUE"""),6592.0)</f>
        <v>6592</v>
      </c>
      <c r="C2659" s="2" t="str">
        <f>IFERROR(__xludf.DUMMYFUNCTION("""COMPUTED_VALUE"""),"PACER - ANWAR")</f>
        <v>PACER - ANWAR</v>
      </c>
      <c r="D2659" s="2" t="str">
        <f>IFERROR(__xludf.DUMMYFUNCTION("""COMPUTED_VALUE"""),"5KM OVERALL M")</f>
        <v>5KM OVERALL M</v>
      </c>
      <c r="E2659" s="1">
        <f>IFERROR(__xludf.DUMMYFUNCTION("""COMPUTED_VALUE"""),2.0)</f>
        <v>2</v>
      </c>
      <c r="F2659" s="1" t="str">
        <f>IFERROR(__xludf.DUMMYFUNCTION("""COMPUTED_VALUE"""),"Male")</f>
        <v>Male</v>
      </c>
      <c r="G2659" s="4" t="b">
        <f>IFERROR(__xludf.DUMMYFUNCTION("""COMPUTED_VALUE"""),TRUE)</f>
        <v>1</v>
      </c>
      <c r="H2659" s="4" t="b">
        <f>IFERROR(__xludf.DUMMYFUNCTION("""COMPUTED_VALUE"""),TRUE)</f>
        <v>1</v>
      </c>
      <c r="I2659" s="4">
        <f>IFERROR(__xludf.DUMMYFUNCTION("""COMPUTED_VALUE"""),0.2549440625)</f>
        <v>0.2549440625</v>
      </c>
      <c r="J2659" s="4">
        <f>IFERROR(__xludf.DUMMYFUNCTION("""COMPUTED_VALUE"""),45949.27191558998)</f>
        <v>45949.27192</v>
      </c>
      <c r="K2659" s="4" t="str">
        <f>IFERROR(__xludf.DUMMYFUNCTION("""COMPUTED_VALUE"""),"")</f>
        <v/>
      </c>
      <c r="L2659" s="4">
        <f>IFERROR(__xludf.DUMMYFUNCTION("""COMPUTED_VALUE"""),45949.28443560846)</f>
        <v>45949.28444</v>
      </c>
      <c r="M2659" s="1" t="str">
        <f>IFERROR(__xludf.DUMMYFUNCTION("""COMPUTED_VALUE"""),"RFID")</f>
        <v>RFID</v>
      </c>
      <c r="N2659" s="5">
        <f>IFERROR(__xludf.DUMMYFUNCTION("""COMPUTED_VALUE"""),0.006788611111111111)</f>
        <v>0.006788611111</v>
      </c>
      <c r="O2659" s="5" t="str">
        <f>IFERROR(__xludf.DUMMYFUNCTION("""COMPUTED_VALUE"""),"")</f>
        <v/>
      </c>
      <c r="P2659" s="5" t="str">
        <f>IFERROR(__xludf.DUMMYFUNCTION("""COMPUTED_VALUE"""),"")</f>
        <v/>
      </c>
      <c r="Q2659" s="5">
        <f>IFERROR(__xludf.DUMMYFUNCTION("""COMPUTED_VALUE"""),0.005898310185185185)</f>
        <v>0.005898310185</v>
      </c>
      <c r="R2659" s="4">
        <f>IFERROR(__xludf.DUMMYFUNCTION("""COMPUTED_VALUE"""),45949.02949154596)</f>
        <v>45949.02949</v>
      </c>
      <c r="S2659" s="1" t="b">
        <f>IFERROR(__xludf.DUMMYFUNCTION("""COMPUTED_VALUE"""),TRUE)</f>
        <v>1</v>
      </c>
      <c r="T2659" s="1" t="b">
        <f>IFERROR(__xludf.DUMMYFUNCTION("""COMPUTED_VALUE"""),FALSE)</f>
        <v>0</v>
      </c>
      <c r="U2659" s="1" t="str">
        <f>IFERROR(__xludf.DUMMYFUNCTION("""COMPUTED_VALUE"""),"VALID")</f>
        <v>VALID</v>
      </c>
      <c r="V2659" s="1">
        <f>IFERROR(__xludf.DUMMYFUNCTION("""COMPUTED_VALUE"""),358.0)</f>
        <v>358</v>
      </c>
      <c r="W2659" s="1">
        <f>IFERROR(__xludf.DUMMYFUNCTION("""COMPUTED_VALUE"""),537.0)</f>
        <v>537</v>
      </c>
      <c r="X2659" s="1">
        <f>IFERROR(__xludf.DUMMYFUNCTION("""COMPUTED_VALUE"""),461.0)</f>
        <v>461</v>
      </c>
      <c r="Y2659" s="2"/>
      <c r="Z2659" s="2"/>
    </row>
    <row r="2660">
      <c r="A2660" s="1">
        <f>IFERROR(__xludf.DUMMYFUNCTION("""COMPUTED_VALUE"""),2659.0)</f>
        <v>2659</v>
      </c>
      <c r="B2660" s="1">
        <f>IFERROR(__xludf.DUMMYFUNCTION("""COMPUTED_VALUE"""),6602.0)</f>
        <v>6602</v>
      </c>
      <c r="C2660" s="2" t="str">
        <f>IFERROR(__xludf.DUMMYFUNCTION("""COMPUTED_VALUE"""),"ANGGA")</f>
        <v>ANGGA</v>
      </c>
      <c r="D2660" s="2" t="str">
        <f>IFERROR(__xludf.DUMMYFUNCTION("""COMPUTED_VALUE"""),"5KM OVERALL M")</f>
        <v>5KM OVERALL M</v>
      </c>
      <c r="E2660" s="1">
        <f>IFERROR(__xludf.DUMMYFUNCTION("""COMPUTED_VALUE"""),2.0)</f>
        <v>2</v>
      </c>
      <c r="F2660" s="1" t="str">
        <f>IFERROR(__xludf.DUMMYFUNCTION("""COMPUTED_VALUE"""),"Male")</f>
        <v>Male</v>
      </c>
      <c r="G2660" s="4" t="b">
        <f>IFERROR(__xludf.DUMMYFUNCTION("""COMPUTED_VALUE"""),TRUE)</f>
        <v>1</v>
      </c>
      <c r="H2660" s="4" t="b">
        <f>IFERROR(__xludf.DUMMYFUNCTION("""COMPUTED_VALUE"""),TRUE)</f>
        <v>1</v>
      </c>
      <c r="I2660" s="4">
        <f>IFERROR(__xludf.DUMMYFUNCTION("""COMPUTED_VALUE"""),0.2549440625)</f>
        <v>0.2549440625</v>
      </c>
      <c r="J2660" s="4">
        <f>IFERROR(__xludf.DUMMYFUNCTION("""COMPUTED_VALUE"""),45949.26925937908)</f>
        <v>45949.26926</v>
      </c>
      <c r="K2660" s="4" t="str">
        <f>IFERROR(__xludf.DUMMYFUNCTION("""COMPUTED_VALUE"""),"")</f>
        <v/>
      </c>
      <c r="L2660" s="4">
        <f>IFERROR(__xludf.DUMMYFUNCTION("""COMPUTED_VALUE"""),45949.27807796473)</f>
        <v>45949.27808</v>
      </c>
      <c r="M2660" s="1" t="str">
        <f>IFERROR(__xludf.DUMMYFUNCTION("""COMPUTED_VALUE"""),"RFID")</f>
        <v>RFID</v>
      </c>
      <c r="N2660" s="5">
        <f>IFERROR(__xludf.DUMMYFUNCTION("""COMPUTED_VALUE"""),0.005726125)</f>
        <v>0.005726125</v>
      </c>
      <c r="O2660" s="5" t="str">
        <f>IFERROR(__xludf.DUMMYFUNCTION("""COMPUTED_VALUE"""),"")</f>
        <v/>
      </c>
      <c r="P2660" s="5" t="str">
        <f>IFERROR(__xludf.DUMMYFUNCTION("""COMPUTED_VALUE"""),"")</f>
        <v/>
      </c>
      <c r="Q2660" s="5">
        <f>IFERROR(__xludf.DUMMYFUNCTION("""COMPUTED_VALUE"""),0.004626780092592592)</f>
        <v>0.004626780093</v>
      </c>
      <c r="R2660" s="4">
        <f>IFERROR(__xludf.DUMMYFUNCTION("""COMPUTED_VALUE"""),45949.02313390223)</f>
        <v>45949.02313</v>
      </c>
      <c r="S2660" s="1" t="b">
        <f>IFERROR(__xludf.DUMMYFUNCTION("""COMPUTED_VALUE"""),TRUE)</f>
        <v>1</v>
      </c>
      <c r="T2660" s="1" t="b">
        <f>IFERROR(__xludf.DUMMYFUNCTION("""COMPUTED_VALUE"""),FALSE)</f>
        <v>0</v>
      </c>
      <c r="U2660" s="1" t="str">
        <f>IFERROR(__xludf.DUMMYFUNCTION("""COMPUTED_VALUE"""),"VALID")</f>
        <v>VALID</v>
      </c>
      <c r="V2660" s="1">
        <f>IFERROR(__xludf.DUMMYFUNCTION("""COMPUTED_VALUE"""),145.0)</f>
        <v>145</v>
      </c>
      <c r="W2660" s="1">
        <f>IFERROR(__xludf.DUMMYFUNCTION("""COMPUTED_VALUE"""),221.0)</f>
        <v>221</v>
      </c>
      <c r="X2660" s="1">
        <f>IFERROR(__xludf.DUMMYFUNCTION("""COMPUTED_VALUE"""),193.0)</f>
        <v>193</v>
      </c>
      <c r="Y2660" s="2"/>
      <c r="Z2660" s="2"/>
    </row>
    <row r="2661">
      <c r="A2661" s="1">
        <f>IFERROR(__xludf.DUMMYFUNCTION("""COMPUTED_VALUE"""),2660.0)</f>
        <v>2660</v>
      </c>
      <c r="B2661" s="1">
        <f>IFERROR(__xludf.DUMMYFUNCTION("""COMPUTED_VALUE"""),9100.0)</f>
        <v>9100</v>
      </c>
      <c r="C2661" s="2" t="str">
        <f>IFERROR(__xludf.DUMMYFUNCTION("""COMPUTED_VALUE"""),"Cie")</f>
        <v>Cie</v>
      </c>
      <c r="D2661" s="2" t="str">
        <f>IFERROR(__xludf.DUMMYFUNCTION("""COMPUTED_VALUE"""),"5KM STUDENT F")</f>
        <v>5KM STUDENT F</v>
      </c>
      <c r="E2661" s="1">
        <f>IFERROR(__xludf.DUMMYFUNCTION("""COMPUTED_VALUE"""),2.0)</f>
        <v>2</v>
      </c>
      <c r="F2661" s="1" t="str">
        <f>IFERROR(__xludf.DUMMYFUNCTION("""COMPUTED_VALUE"""),"Female")</f>
        <v>Female</v>
      </c>
      <c r="G2661" s="4" t="b">
        <f>IFERROR(__xludf.DUMMYFUNCTION("""COMPUTED_VALUE"""),TRUE)</f>
        <v>1</v>
      </c>
      <c r="H2661" s="4" t="b">
        <f>IFERROR(__xludf.DUMMYFUNCTION("""COMPUTED_VALUE"""),FALSE)</f>
        <v>0</v>
      </c>
      <c r="I2661" s="4">
        <f>IFERROR(__xludf.DUMMYFUNCTION("""COMPUTED_VALUE"""),0.2549440625)</f>
        <v>0.2549440625</v>
      </c>
      <c r="J2661" s="4">
        <f>IFERROR(__xludf.DUMMYFUNCTION("""COMPUTED_VALUE"""),45949.27671080151)</f>
        <v>45949.27671</v>
      </c>
      <c r="K2661" s="4" t="str">
        <f>IFERROR(__xludf.DUMMYFUNCTION("""COMPUTED_VALUE"""),"")</f>
        <v/>
      </c>
      <c r="L2661" s="4">
        <f>IFERROR(__xludf.DUMMYFUNCTION("""COMPUTED_VALUE"""),45949.29412656114)</f>
        <v>45949.29413</v>
      </c>
      <c r="M2661" s="1" t="str">
        <f>IFERROR(__xludf.DUMMYFUNCTION("""COMPUTED_VALUE"""),"RFID")</f>
        <v>RFID</v>
      </c>
      <c r="N2661" s="5">
        <f>IFERROR(__xludf.DUMMYFUNCTION("""COMPUTED_VALUE"""),0.008706694444444444)</f>
        <v>0.008706694444</v>
      </c>
      <c r="O2661" s="5" t="str">
        <f>IFERROR(__xludf.DUMMYFUNCTION("""COMPUTED_VALUE"""),"")</f>
        <v/>
      </c>
      <c r="P2661" s="5" t="str">
        <f>IFERROR(__xludf.DUMMYFUNCTION("""COMPUTED_VALUE"""),"")</f>
        <v/>
      </c>
      <c r="Q2661" s="5">
        <f>IFERROR(__xludf.DUMMYFUNCTION("""COMPUTED_VALUE"""),0.0078365)</f>
        <v>0.0078365</v>
      </c>
      <c r="R2661" s="4">
        <f>IFERROR(__xludf.DUMMYFUNCTION("""COMPUTED_VALUE"""),45949.03918249864)</f>
        <v>45949.03918</v>
      </c>
      <c r="S2661" s="1" t="b">
        <f>IFERROR(__xludf.DUMMYFUNCTION("""COMPUTED_VALUE"""),TRUE)</f>
        <v>1</v>
      </c>
      <c r="T2661" s="1" t="b">
        <f>IFERROR(__xludf.DUMMYFUNCTION("""COMPUTED_VALUE"""),FALSE)</f>
        <v>0</v>
      </c>
      <c r="U2661" s="1" t="str">
        <f>IFERROR(__xludf.DUMMYFUNCTION("""COMPUTED_VALUE"""),"VALID")</f>
        <v>VALID</v>
      </c>
      <c r="V2661" s="1">
        <f>IFERROR(__xludf.DUMMYFUNCTION("""COMPUTED_VALUE"""),9.0)</f>
        <v>9</v>
      </c>
      <c r="W2661" s="1">
        <f>IFERROR(__xludf.DUMMYFUNCTION("""COMPUTED_VALUE"""),1187.0)</f>
        <v>1187</v>
      </c>
      <c r="X2661" s="1">
        <f>IFERROR(__xludf.DUMMYFUNCTION("""COMPUTED_VALUE"""),352.0)</f>
        <v>352</v>
      </c>
      <c r="Y2661" s="2"/>
      <c r="Z2661" s="2"/>
    </row>
    <row r="2662">
      <c r="A2662" s="1">
        <f>IFERROR(__xludf.DUMMYFUNCTION("""COMPUTED_VALUE"""),2661.0)</f>
        <v>2661</v>
      </c>
      <c r="B2662" s="7" t="str">
        <f>IFERROR(__xludf.DUMMYFUNCTION("""COMPUTED_VALUE"""),"9002")</f>
        <v>9002</v>
      </c>
      <c r="C2662" s="8" t="str">
        <f>IFERROR(__xludf.DUMMYFUNCTION("""COMPUTED_VALUE"""),"Aqila")</f>
        <v>Aqila</v>
      </c>
      <c r="D2662" s="2" t="str">
        <f>IFERROR(__xludf.DUMMYFUNCTION("""COMPUTED_VALUE"""),"5KM STUDENT F")</f>
        <v>5KM STUDENT F</v>
      </c>
      <c r="E2662" s="1">
        <f>IFERROR(__xludf.DUMMYFUNCTION("""COMPUTED_VALUE"""),2.0)</f>
        <v>2</v>
      </c>
      <c r="F2662" s="1" t="str">
        <f>IFERROR(__xludf.DUMMYFUNCTION("""COMPUTED_VALUE"""),"Female")</f>
        <v>Female</v>
      </c>
      <c r="G2662" s="4" t="b">
        <f>IFERROR(__xludf.DUMMYFUNCTION("""COMPUTED_VALUE"""),TRUE)</f>
        <v>1</v>
      </c>
      <c r="H2662" s="4" t="b">
        <f>IFERROR(__xludf.DUMMYFUNCTION("""COMPUTED_VALUE"""),TRUE)</f>
        <v>1</v>
      </c>
      <c r="I2662" s="4">
        <f>IFERROR(__xludf.DUMMYFUNCTION("""COMPUTED_VALUE"""),0.2549440625)</f>
        <v>0.2549440625</v>
      </c>
      <c r="J2662" s="4">
        <f>IFERROR(__xludf.DUMMYFUNCTION("""COMPUTED_VALUE"""),45949.27705798904)</f>
        <v>45949.27706</v>
      </c>
      <c r="K2662" s="4" t="str">
        <f>IFERROR(__xludf.DUMMYFUNCTION("""COMPUTED_VALUE"""),"")</f>
        <v/>
      </c>
      <c r="L2662" s="4">
        <f>IFERROR(__xludf.DUMMYFUNCTION("""COMPUTED_VALUE"""),45949.29106754264)</f>
        <v>45949.29107</v>
      </c>
      <c r="M2662" s="1" t="str">
        <f>IFERROR(__xludf.DUMMYFUNCTION("""COMPUTED_VALUE"""),"RFID")</f>
        <v>RFID</v>
      </c>
      <c r="N2662" s="5">
        <f>IFERROR(__xludf.DUMMYFUNCTION("""COMPUTED_VALUE"""),0.008845569444444444)</f>
        <v>0.008845569444</v>
      </c>
      <c r="O2662" s="5" t="str">
        <f>IFERROR(__xludf.DUMMYFUNCTION("""COMPUTED_VALUE"""),"")</f>
        <v/>
      </c>
      <c r="P2662" s="5" t="str">
        <f>IFERROR(__xludf.DUMMYFUNCTION("""COMPUTED_VALUE"""),"")</f>
        <v/>
      </c>
      <c r="Q2662" s="5">
        <f>IFERROR(__xludf.DUMMYFUNCTION("""COMPUTED_VALUE"""),0.00722469675925926)</f>
        <v>0.007224696759</v>
      </c>
      <c r="R2662" s="4">
        <f>IFERROR(__xludf.DUMMYFUNCTION("""COMPUTED_VALUE"""),45949.03612348014)</f>
        <v>45949.03612</v>
      </c>
      <c r="S2662" s="1" t="b">
        <f>IFERROR(__xludf.DUMMYFUNCTION("""COMPUTED_VALUE"""),TRUE)</f>
        <v>1</v>
      </c>
      <c r="T2662" s="1" t="b">
        <f>IFERROR(__xludf.DUMMYFUNCTION("""COMPUTED_VALUE"""),FALSE)</f>
        <v>0</v>
      </c>
      <c r="U2662" s="1" t="str">
        <f>IFERROR(__xludf.DUMMYFUNCTION("""COMPUTED_VALUE"""),"VALID")</f>
        <v>VALID</v>
      </c>
      <c r="V2662" s="1">
        <f>IFERROR(__xludf.DUMMYFUNCTION("""COMPUTED_VALUE"""),7.0)</f>
        <v>7</v>
      </c>
      <c r="W2662" s="1">
        <f>IFERROR(__xludf.DUMMYFUNCTION("""COMPUTED_VALUE"""),964.0)</f>
        <v>964</v>
      </c>
      <c r="X2662" s="1">
        <f>IFERROR(__xludf.DUMMYFUNCTION("""COMPUTED_VALUE"""),239.0)</f>
        <v>239</v>
      </c>
      <c r="Y2662" s="2"/>
      <c r="Z2662" s="2"/>
    </row>
    <row r="2663">
      <c r="A2663" s="1">
        <f>IFERROR(__xludf.DUMMYFUNCTION("""COMPUTED_VALUE"""),2662.0)</f>
        <v>2662</v>
      </c>
      <c r="B2663" s="7" t="str">
        <f>IFERROR(__xludf.DUMMYFUNCTION("""COMPUTED_VALUE"""),"9003")</f>
        <v>9003</v>
      </c>
      <c r="C2663" s="8" t="str">
        <f>IFERROR(__xludf.DUMMYFUNCTION("""COMPUTED_VALUE"""),"yumna")</f>
        <v>yumna</v>
      </c>
      <c r="D2663" s="2" t="str">
        <f>IFERROR(__xludf.DUMMYFUNCTION("""COMPUTED_VALUE"""),"5KM STUDENT F")</f>
        <v>5KM STUDENT F</v>
      </c>
      <c r="E2663" s="1">
        <f>IFERROR(__xludf.DUMMYFUNCTION("""COMPUTED_VALUE"""),2.0)</f>
        <v>2</v>
      </c>
      <c r="F2663" s="1" t="str">
        <f>IFERROR(__xludf.DUMMYFUNCTION("""COMPUTED_VALUE"""),"Female")</f>
        <v>Female</v>
      </c>
      <c r="G2663" s="4" t="b">
        <f>IFERROR(__xludf.DUMMYFUNCTION("""COMPUTED_VALUE"""),TRUE)</f>
        <v>1</v>
      </c>
      <c r="H2663" s="4" t="b">
        <f>IFERROR(__xludf.DUMMYFUNCTION("""COMPUTED_VALUE"""),TRUE)</f>
        <v>1</v>
      </c>
      <c r="I2663" s="4">
        <f>IFERROR(__xludf.DUMMYFUNCTION("""COMPUTED_VALUE"""),0.2549440625)</f>
        <v>0.2549440625</v>
      </c>
      <c r="J2663" s="4">
        <f>IFERROR(__xludf.DUMMYFUNCTION("""COMPUTED_VALUE"""),45949.269148223706)</f>
        <v>45949.26915</v>
      </c>
      <c r="K2663" s="4" t="str">
        <f>IFERROR(__xludf.DUMMYFUNCTION("""COMPUTED_VALUE"""),"")</f>
        <v/>
      </c>
      <c r="L2663" s="4">
        <f>IFERROR(__xludf.DUMMYFUNCTION("""COMPUTED_VALUE"""),45949.281289757186)</f>
        <v>45949.28129</v>
      </c>
      <c r="M2663" s="1" t="str">
        <f>IFERROR(__xludf.DUMMYFUNCTION("""COMPUTED_VALUE"""),"RFID")</f>
        <v>RFID</v>
      </c>
      <c r="N2663" s="5">
        <f>IFERROR(__xludf.DUMMYFUNCTION("""COMPUTED_VALUE"""),0.0056816666666666665)</f>
        <v>0.005681666667</v>
      </c>
      <c r="O2663" s="5" t="str">
        <f>IFERROR(__xludf.DUMMYFUNCTION("""COMPUTED_VALUE"""),"")</f>
        <v/>
      </c>
      <c r="P2663" s="5" t="str">
        <f>IFERROR(__xludf.DUMMYFUNCTION("""COMPUTED_VALUE"""),"")</f>
        <v/>
      </c>
      <c r="Q2663" s="5">
        <f>IFERROR(__xludf.DUMMYFUNCTION("""COMPUTED_VALUE"""),0.005269138888888889)</f>
        <v>0.005269138889</v>
      </c>
      <c r="R2663" s="4">
        <f>IFERROR(__xludf.DUMMYFUNCTION("""COMPUTED_VALUE"""),45949.026345694685)</f>
        <v>45949.02635</v>
      </c>
      <c r="S2663" s="1" t="b">
        <f>IFERROR(__xludf.DUMMYFUNCTION("""COMPUTED_VALUE"""),TRUE)</f>
        <v>1</v>
      </c>
      <c r="T2663" s="1" t="b">
        <f>IFERROR(__xludf.DUMMYFUNCTION("""COMPUTED_VALUE"""),FALSE)</f>
        <v>0</v>
      </c>
      <c r="U2663" s="1" t="str">
        <f>IFERROR(__xludf.DUMMYFUNCTION("""COMPUTED_VALUE"""),"VALID")</f>
        <v>VALID</v>
      </c>
      <c r="V2663" s="1">
        <f>IFERROR(__xludf.DUMMYFUNCTION("""COMPUTED_VALUE"""),6.0)</f>
        <v>6</v>
      </c>
      <c r="W2663" s="1">
        <f>IFERROR(__xludf.DUMMYFUNCTION("""COMPUTED_VALUE"""),348.0)</f>
        <v>348</v>
      </c>
      <c r="X2663" s="1">
        <f>IFERROR(__xludf.DUMMYFUNCTION("""COMPUTED_VALUE"""),47.0)</f>
        <v>47</v>
      </c>
      <c r="Y2663" s="2"/>
      <c r="Z2663" s="2"/>
    </row>
    <row r="2664">
      <c r="A2664" s="1">
        <f>IFERROR(__xludf.DUMMYFUNCTION("""COMPUTED_VALUE"""),2663.0)</f>
        <v>2663</v>
      </c>
      <c r="B2664" s="7" t="str">
        <f>IFERROR(__xludf.DUMMYFUNCTION("""COMPUTED_VALUE"""),"9004")</f>
        <v>9004</v>
      </c>
      <c r="C2664" s="8" t="str">
        <f>IFERROR(__xludf.DUMMYFUNCTION("""COMPUTED_VALUE"""),"alesha")</f>
        <v>alesha</v>
      </c>
      <c r="D2664" s="2" t="str">
        <f>IFERROR(__xludf.DUMMYFUNCTION("""COMPUTED_VALUE"""),"5KM STUDENT F")</f>
        <v>5KM STUDENT F</v>
      </c>
      <c r="E2664" s="1">
        <f>IFERROR(__xludf.DUMMYFUNCTION("""COMPUTED_VALUE"""),2.0)</f>
        <v>2</v>
      </c>
      <c r="F2664" s="1" t="str">
        <f>IFERROR(__xludf.DUMMYFUNCTION("""COMPUTED_VALUE"""),"Female")</f>
        <v>Female</v>
      </c>
      <c r="G2664" s="4" t="b">
        <f>IFERROR(__xludf.DUMMYFUNCTION("""COMPUTED_VALUE"""),TRUE)</f>
        <v>1</v>
      </c>
      <c r="H2664" s="4" t="b">
        <f>IFERROR(__xludf.DUMMYFUNCTION("""COMPUTED_VALUE"""),TRUE)</f>
        <v>1</v>
      </c>
      <c r="I2664" s="4">
        <f>IFERROR(__xludf.DUMMYFUNCTION("""COMPUTED_VALUE"""),0.2549440625)</f>
        <v>0.2549440625</v>
      </c>
      <c r="J2664" s="4">
        <f>IFERROR(__xludf.DUMMYFUNCTION("""COMPUTED_VALUE"""),45949.264766852706)</f>
        <v>45949.26477</v>
      </c>
      <c r="K2664" s="4" t="str">
        <f>IFERROR(__xludf.DUMMYFUNCTION("""COMPUTED_VALUE"""),"")</f>
        <v/>
      </c>
      <c r="L2664" s="4">
        <f>IFERROR(__xludf.DUMMYFUNCTION("""COMPUTED_VALUE"""),45949.27236615082)</f>
        <v>45949.27237</v>
      </c>
      <c r="M2664" s="1" t="str">
        <f>IFERROR(__xludf.DUMMYFUNCTION("""COMPUTED_VALUE"""),"RFID")</f>
        <v>RFID</v>
      </c>
      <c r="N2664" s="5">
        <f>IFERROR(__xludf.DUMMYFUNCTION("""COMPUTED_VALUE"""),0.003929115740740741)</f>
        <v>0.003929115741</v>
      </c>
      <c r="O2664" s="5" t="str">
        <f>IFERROR(__xludf.DUMMYFUNCTION("""COMPUTED_VALUE"""),"")</f>
        <v/>
      </c>
      <c r="P2664" s="5" t="str">
        <f>IFERROR(__xludf.DUMMYFUNCTION("""COMPUTED_VALUE"""),"")</f>
        <v/>
      </c>
      <c r="Q2664" s="5">
        <f>IFERROR(__xludf.DUMMYFUNCTION("""COMPUTED_VALUE"""),0.003484416666666667)</f>
        <v>0.003484416667</v>
      </c>
      <c r="R2664" s="4">
        <f>IFERROR(__xludf.DUMMYFUNCTION("""COMPUTED_VALUE"""),45949.01742208832)</f>
        <v>45949.01742</v>
      </c>
      <c r="S2664" s="1" t="b">
        <f>IFERROR(__xludf.DUMMYFUNCTION("""COMPUTED_VALUE"""),TRUE)</f>
        <v>1</v>
      </c>
      <c r="T2664" s="1" t="b">
        <f>IFERROR(__xludf.DUMMYFUNCTION("""COMPUTED_VALUE"""),FALSE)</f>
        <v>0</v>
      </c>
      <c r="U2664" s="1" t="str">
        <f>IFERROR(__xludf.DUMMYFUNCTION("""COMPUTED_VALUE"""),"VALID")</f>
        <v>VALID</v>
      </c>
      <c r="V2664" s="1">
        <f>IFERROR(__xludf.DUMMYFUNCTION("""COMPUTED_VALUE"""),1.0)</f>
        <v>1</v>
      </c>
      <c r="W2664" s="1">
        <f>IFERROR(__xludf.DUMMYFUNCTION("""COMPUTED_VALUE"""),42.0)</f>
        <v>42</v>
      </c>
      <c r="X2664" s="1">
        <f>IFERROR(__xludf.DUMMYFUNCTION("""COMPUTED_VALUE"""),2.0)</f>
        <v>2</v>
      </c>
      <c r="Y2664" s="2"/>
      <c r="Z2664" s="2"/>
    </row>
    <row r="2665">
      <c r="A2665" s="1">
        <f>IFERROR(__xludf.DUMMYFUNCTION("""COMPUTED_VALUE"""),2664.0)</f>
        <v>2664</v>
      </c>
      <c r="B2665" s="7" t="str">
        <f>IFERROR(__xludf.DUMMYFUNCTION("""COMPUTED_VALUE"""),"9006")</f>
        <v>9006</v>
      </c>
      <c r="C2665" s="8" t="str">
        <f>IFERROR(__xludf.DUMMYFUNCTION("""COMPUTED_VALUE"""),"yumna")</f>
        <v>yumna</v>
      </c>
      <c r="D2665" s="2" t="str">
        <f>IFERROR(__xludf.DUMMYFUNCTION("""COMPUTED_VALUE"""),"5KM STUDENT F")</f>
        <v>5KM STUDENT F</v>
      </c>
      <c r="E2665" s="1">
        <f>IFERROR(__xludf.DUMMYFUNCTION("""COMPUTED_VALUE"""),2.0)</f>
        <v>2</v>
      </c>
      <c r="F2665" s="1" t="str">
        <f>IFERROR(__xludf.DUMMYFUNCTION("""COMPUTED_VALUE"""),"Female")</f>
        <v>Female</v>
      </c>
      <c r="G2665" s="4" t="b">
        <f>IFERROR(__xludf.DUMMYFUNCTION("""COMPUTED_VALUE"""),TRUE)</f>
        <v>1</v>
      </c>
      <c r="H2665" s="4" t="b">
        <f>IFERROR(__xludf.DUMMYFUNCTION("""COMPUTED_VALUE"""),FALSE)</f>
        <v>0</v>
      </c>
      <c r="I2665" s="4">
        <f>IFERROR(__xludf.DUMMYFUNCTION("""COMPUTED_VALUE"""),0.2549440625)</f>
        <v>0.2549440625</v>
      </c>
      <c r="J2665" s="4">
        <f>IFERROR(__xludf.DUMMYFUNCTION("""COMPUTED_VALUE"""),45949.2702875128)</f>
        <v>45949.27029</v>
      </c>
      <c r="K2665" s="4" t="str">
        <f>IFERROR(__xludf.DUMMYFUNCTION("""COMPUTED_VALUE"""),"")</f>
        <v/>
      </c>
      <c r="L2665" s="4">
        <f>IFERROR(__xludf.DUMMYFUNCTION("""COMPUTED_VALUE"""),45949.28069947684)</f>
        <v>45949.2807</v>
      </c>
      <c r="M2665" s="1" t="str">
        <f>IFERROR(__xludf.DUMMYFUNCTION("""COMPUTED_VALUE"""),"RFID")</f>
        <v>RFID</v>
      </c>
      <c r="N2665" s="5">
        <f>IFERROR(__xludf.DUMMYFUNCTION("""COMPUTED_VALUE"""),0.00613737962962963)</f>
        <v>0.00613737963</v>
      </c>
      <c r="O2665" s="5" t="str">
        <f>IFERROR(__xludf.DUMMYFUNCTION("""COMPUTED_VALUE"""),"")</f>
        <v/>
      </c>
      <c r="P2665" s="5" t="str">
        <f>IFERROR(__xludf.DUMMYFUNCTION("""COMPUTED_VALUE"""),"")</f>
        <v/>
      </c>
      <c r="Q2665" s="5">
        <f>IFERROR(__xludf.DUMMYFUNCTION("""COMPUTED_VALUE"""),0.005151083333333333)</f>
        <v>0.005151083333</v>
      </c>
      <c r="R2665" s="4">
        <f>IFERROR(__xludf.DUMMYFUNCTION("""COMPUTED_VALUE"""),45949.02575541434)</f>
        <v>45949.02576</v>
      </c>
      <c r="S2665" s="1" t="b">
        <f>IFERROR(__xludf.DUMMYFUNCTION("""COMPUTED_VALUE"""),TRUE)</f>
        <v>1</v>
      </c>
      <c r="T2665" s="1" t="b">
        <f>IFERROR(__xludf.DUMMYFUNCTION("""COMPUTED_VALUE"""),FALSE)</f>
        <v>0</v>
      </c>
      <c r="U2665" s="1" t="str">
        <f>IFERROR(__xludf.DUMMYFUNCTION("""COMPUTED_VALUE"""),"VALID")</f>
        <v>VALID</v>
      </c>
      <c r="V2665" s="1">
        <f>IFERROR(__xludf.DUMMYFUNCTION("""COMPUTED_VALUE"""),5.0)</f>
        <v>5</v>
      </c>
      <c r="W2665" s="1">
        <f>IFERROR(__xludf.DUMMYFUNCTION("""COMPUTED_VALUE"""),325.0)</f>
        <v>325</v>
      </c>
      <c r="X2665" s="1">
        <f>IFERROR(__xludf.DUMMYFUNCTION("""COMPUTED_VALUE"""),44.0)</f>
        <v>44</v>
      </c>
      <c r="Y2665" s="2"/>
      <c r="Z2665" s="2"/>
    </row>
    <row r="2666">
      <c r="A2666" s="1">
        <f>IFERROR(__xludf.DUMMYFUNCTION("""COMPUTED_VALUE"""),2665.0)</f>
        <v>2665</v>
      </c>
      <c r="B2666" s="7" t="str">
        <f>IFERROR(__xludf.DUMMYFUNCTION("""COMPUTED_VALUE"""),"9007")</f>
        <v>9007</v>
      </c>
      <c r="C2666" s="8" t="str">
        <f>IFERROR(__xludf.DUMMYFUNCTION("""COMPUTED_VALUE"""),"Ines")</f>
        <v>Ines</v>
      </c>
      <c r="D2666" s="2" t="str">
        <f>IFERROR(__xludf.DUMMYFUNCTION("""COMPUTED_VALUE"""),"5KM STUDENT F")</f>
        <v>5KM STUDENT F</v>
      </c>
      <c r="E2666" s="1">
        <f>IFERROR(__xludf.DUMMYFUNCTION("""COMPUTED_VALUE"""),2.0)</f>
        <v>2</v>
      </c>
      <c r="F2666" s="1" t="str">
        <f>IFERROR(__xludf.DUMMYFUNCTION("""COMPUTED_VALUE"""),"Female")</f>
        <v>Female</v>
      </c>
      <c r="G2666" s="4" t="b">
        <f>IFERROR(__xludf.DUMMYFUNCTION("""COMPUTED_VALUE"""),TRUE)</f>
        <v>1</v>
      </c>
      <c r="H2666" s="4" t="b">
        <f>IFERROR(__xludf.DUMMYFUNCTION("""COMPUTED_VALUE"""),TRUE)</f>
        <v>1</v>
      </c>
      <c r="I2666" s="4">
        <f>IFERROR(__xludf.DUMMYFUNCTION("""COMPUTED_VALUE"""),0.2549440625)</f>
        <v>0.2549440625</v>
      </c>
      <c r="J2666" s="4">
        <f>IFERROR(__xludf.DUMMYFUNCTION("""COMPUTED_VALUE"""),45949.28228717641)</f>
        <v>45949.28229</v>
      </c>
      <c r="K2666" s="4" t="str">
        <f>IFERROR(__xludf.DUMMYFUNCTION("""COMPUTED_VALUE"""),"")</f>
        <v/>
      </c>
      <c r="L2666" s="4">
        <f>IFERROR(__xludf.DUMMYFUNCTION("""COMPUTED_VALUE"""),45949.30284531571)</f>
        <v>45949.30285</v>
      </c>
      <c r="M2666" s="1" t="str">
        <f>IFERROR(__xludf.DUMMYFUNCTION("""COMPUTED_VALUE"""),"RFID")</f>
        <v>RFID</v>
      </c>
      <c r="N2666" s="5">
        <f>IFERROR(__xludf.DUMMYFUNCTION("""COMPUTED_VALUE"""),0.010937245370370371)</f>
        <v>0.01093724537</v>
      </c>
      <c r="O2666" s="5" t="str">
        <f>IFERROR(__xludf.DUMMYFUNCTION("""COMPUTED_VALUE"""),"")</f>
        <v/>
      </c>
      <c r="P2666" s="5" t="str">
        <f>IFERROR(__xludf.DUMMYFUNCTION("""COMPUTED_VALUE"""),"")</f>
        <v/>
      </c>
      <c r="Q2666" s="5">
        <f>IFERROR(__xludf.DUMMYFUNCTION("""COMPUTED_VALUE"""),0.00958025)</f>
        <v>0.00958025</v>
      </c>
      <c r="R2666" s="4">
        <f>IFERROR(__xludf.DUMMYFUNCTION("""COMPUTED_VALUE"""),45949.04790125321)</f>
        <v>45949.0479</v>
      </c>
      <c r="S2666" s="1" t="b">
        <f>IFERROR(__xludf.DUMMYFUNCTION("""COMPUTED_VALUE"""),TRUE)</f>
        <v>1</v>
      </c>
      <c r="T2666" s="1" t="b">
        <f>IFERROR(__xludf.DUMMYFUNCTION("""COMPUTED_VALUE"""),FALSE)</f>
        <v>0</v>
      </c>
      <c r="U2666" s="1" t="str">
        <f>IFERROR(__xludf.DUMMYFUNCTION("""COMPUTED_VALUE"""),"VALID")</f>
        <v>VALID</v>
      </c>
      <c r="V2666" s="1">
        <f>IFERROR(__xludf.DUMMYFUNCTION("""COMPUTED_VALUE"""),17.0)</f>
        <v>17</v>
      </c>
      <c r="W2666" s="1">
        <f>IFERROR(__xludf.DUMMYFUNCTION("""COMPUTED_VALUE"""),1538.0)</f>
        <v>1538</v>
      </c>
      <c r="X2666" s="1">
        <f>IFERROR(__xludf.DUMMYFUNCTION("""COMPUTED_VALUE"""),574.0)</f>
        <v>574</v>
      </c>
      <c r="Y2666" s="2"/>
      <c r="Z2666" s="2"/>
    </row>
    <row r="2667">
      <c r="A2667" s="1">
        <f>IFERROR(__xludf.DUMMYFUNCTION("""COMPUTED_VALUE"""),2666.0)</f>
        <v>2666</v>
      </c>
      <c r="B2667" s="7" t="str">
        <f>IFERROR(__xludf.DUMMYFUNCTION("""COMPUTED_VALUE"""),"9018")</f>
        <v>9018</v>
      </c>
      <c r="C2667" s="8" t="str">
        <f>IFERROR(__xludf.DUMMYFUNCTION("""COMPUTED_VALUE"""),"RENNY HASLINDA")</f>
        <v>RENNY HASLINDA</v>
      </c>
      <c r="D2667" s="2" t="str">
        <f>IFERROR(__xludf.DUMMYFUNCTION("""COMPUTED_VALUE"""),"5KM STUDENT F")</f>
        <v>5KM STUDENT F</v>
      </c>
      <c r="E2667" s="1">
        <f>IFERROR(__xludf.DUMMYFUNCTION("""COMPUTED_VALUE"""),2.0)</f>
        <v>2</v>
      </c>
      <c r="F2667" s="1" t="str">
        <f>IFERROR(__xludf.DUMMYFUNCTION("""COMPUTED_VALUE"""),"Female")</f>
        <v>Female</v>
      </c>
      <c r="G2667" s="4" t="str">
        <f>IFERROR(__xludf.DUMMYFUNCTION("""COMPUTED_VALUE"""),"")</f>
        <v/>
      </c>
      <c r="H2667" s="4" t="b">
        <f>IFERROR(__xludf.DUMMYFUNCTION("""COMPUTED_VALUE"""),FALSE)</f>
        <v>0</v>
      </c>
      <c r="I2667" s="4">
        <f>IFERROR(__xludf.DUMMYFUNCTION("""COMPUTED_VALUE"""),0.2549440625)</f>
        <v>0.2549440625</v>
      </c>
      <c r="J2667" s="4" t="str">
        <f>IFERROR(__xludf.DUMMYFUNCTION("""COMPUTED_VALUE"""),"")</f>
        <v/>
      </c>
      <c r="K2667" s="4" t="str">
        <f>IFERROR(__xludf.DUMMYFUNCTION("""COMPUTED_VALUE"""),"")</f>
        <v/>
      </c>
      <c r="L2667" s="4" t="str">
        <f>IFERROR(__xludf.DUMMYFUNCTION("""COMPUTED_VALUE"""),"")</f>
        <v/>
      </c>
      <c r="M2667" s="1" t="str">
        <f>IFERROR(__xludf.DUMMYFUNCTION("""COMPUTED_VALUE"""),"RFID")</f>
        <v>RFID</v>
      </c>
      <c r="N2667" s="5" t="str">
        <f>IFERROR(__xludf.DUMMYFUNCTION("""COMPUTED_VALUE"""),"")</f>
        <v/>
      </c>
      <c r="O2667" s="5" t="str">
        <f>IFERROR(__xludf.DUMMYFUNCTION("""COMPUTED_VALUE"""),"")</f>
        <v/>
      </c>
      <c r="P2667" s="5" t="str">
        <f>IFERROR(__xludf.DUMMYFUNCTION("""COMPUTED_VALUE"""),"")</f>
        <v/>
      </c>
      <c r="Q2667" s="5" t="str">
        <f>IFERROR(__xludf.DUMMYFUNCTION("""COMPUTED_VALUE"""),"")</f>
        <v/>
      </c>
      <c r="R2667" s="4" t="str">
        <f>IFERROR(__xludf.DUMMYFUNCTION("""COMPUTED_VALUE"""),"")</f>
        <v/>
      </c>
      <c r="S2667" s="1" t="b">
        <f>IFERROR(__xludf.DUMMYFUNCTION("""COMPUTED_VALUE"""),FALSE)</f>
        <v>0</v>
      </c>
      <c r="T2667" s="1" t="b">
        <f>IFERROR(__xludf.DUMMYFUNCTION("""COMPUTED_VALUE"""),FALSE)</f>
        <v>0</v>
      </c>
      <c r="U2667" s="1" t="str">
        <f>IFERROR(__xludf.DUMMYFUNCTION("""COMPUTED_VALUE"""),"DSQ")</f>
        <v>DSQ</v>
      </c>
      <c r="V2667" s="1" t="str">
        <f>IFERROR(__xludf.DUMMYFUNCTION("""COMPUTED_VALUE"""),"DSQ")</f>
        <v>DSQ</v>
      </c>
      <c r="W2667" s="1" t="str">
        <f>IFERROR(__xludf.DUMMYFUNCTION("""COMPUTED_VALUE"""),"DSQ")</f>
        <v>DSQ</v>
      </c>
      <c r="X2667" s="1" t="str">
        <f>IFERROR(__xludf.DUMMYFUNCTION("""COMPUTED_VALUE"""),"DSQ")</f>
        <v>DSQ</v>
      </c>
      <c r="Y2667" s="2"/>
      <c r="Z2667" s="2" t="str">
        <f>IFERROR(__xludf.DUMMYFUNCTION("""COMPUTED_VALUE"""),"")</f>
        <v/>
      </c>
    </row>
    <row r="2668">
      <c r="A2668" s="1">
        <f>IFERROR(__xludf.DUMMYFUNCTION("""COMPUTED_VALUE"""),2667.0)</f>
        <v>2667</v>
      </c>
      <c r="B2668" s="7" t="str">
        <f>IFERROR(__xludf.DUMMYFUNCTION("""COMPUTED_VALUE"""),"9034")</f>
        <v>9034</v>
      </c>
      <c r="C2668" s="8" t="str">
        <f>IFERROR(__xludf.DUMMYFUNCTION("""COMPUTED_VALUE"""),"Renita Dwi Ramadina")</f>
        <v>Renita Dwi Ramadina</v>
      </c>
      <c r="D2668" s="2" t="str">
        <f>IFERROR(__xludf.DUMMYFUNCTION("""COMPUTED_VALUE"""),"5KM STUDENT F")</f>
        <v>5KM STUDENT F</v>
      </c>
      <c r="E2668" s="1">
        <f>IFERROR(__xludf.DUMMYFUNCTION("""COMPUTED_VALUE"""),2.0)</f>
        <v>2</v>
      </c>
      <c r="F2668" s="1" t="str">
        <f>IFERROR(__xludf.DUMMYFUNCTION("""COMPUTED_VALUE"""),"Female")</f>
        <v>Female</v>
      </c>
      <c r="G2668" s="4" t="b">
        <f>IFERROR(__xludf.DUMMYFUNCTION("""COMPUTED_VALUE"""),TRUE)</f>
        <v>1</v>
      </c>
      <c r="H2668" s="4" t="b">
        <f>IFERROR(__xludf.DUMMYFUNCTION("""COMPUTED_VALUE"""),FALSE)</f>
        <v>0</v>
      </c>
      <c r="I2668" s="4">
        <f>IFERROR(__xludf.DUMMYFUNCTION("""COMPUTED_VALUE"""),0.2549440625)</f>
        <v>0.2549440625</v>
      </c>
      <c r="J2668" s="4">
        <f>IFERROR(__xludf.DUMMYFUNCTION("""COMPUTED_VALUE"""),45949.27631140979)</f>
        <v>45949.27631</v>
      </c>
      <c r="K2668" s="4" t="str">
        <f>IFERROR(__xludf.DUMMYFUNCTION("""COMPUTED_VALUE"""),"")</f>
        <v/>
      </c>
      <c r="L2668" s="4">
        <f>IFERROR(__xludf.DUMMYFUNCTION("""COMPUTED_VALUE"""),45949.29254671301)</f>
        <v>45949.29255</v>
      </c>
      <c r="M2668" s="1" t="str">
        <f>IFERROR(__xludf.DUMMYFUNCTION("""COMPUTED_VALUE"""),"RFID")</f>
        <v>RFID</v>
      </c>
      <c r="N2668" s="5">
        <f>IFERROR(__xludf.DUMMYFUNCTION("""COMPUTED_VALUE"""),0.008546939814814815)</f>
        <v>0.008546939815</v>
      </c>
      <c r="O2668" s="5" t="str">
        <f>IFERROR(__xludf.DUMMYFUNCTION("""COMPUTED_VALUE"""),"")</f>
        <v/>
      </c>
      <c r="P2668" s="5" t="str">
        <f>IFERROR(__xludf.DUMMYFUNCTION("""COMPUTED_VALUE"""),"")</f>
        <v/>
      </c>
      <c r="Q2668" s="5">
        <f>IFERROR(__xludf.DUMMYFUNCTION("""COMPUTED_VALUE"""),0.007520530092592593)</f>
        <v>0.007520530093</v>
      </c>
      <c r="R2668" s="4">
        <f>IFERROR(__xludf.DUMMYFUNCTION("""COMPUTED_VALUE"""),45949.03760265051)</f>
        <v>45949.0376</v>
      </c>
      <c r="S2668" s="1" t="b">
        <f>IFERROR(__xludf.DUMMYFUNCTION("""COMPUTED_VALUE"""),TRUE)</f>
        <v>1</v>
      </c>
      <c r="T2668" s="1" t="b">
        <f>IFERROR(__xludf.DUMMYFUNCTION("""COMPUTED_VALUE"""),FALSE)</f>
        <v>0</v>
      </c>
      <c r="U2668" s="1" t="str">
        <f>IFERROR(__xludf.DUMMYFUNCTION("""COMPUTED_VALUE"""),"VALID")</f>
        <v>VALID</v>
      </c>
      <c r="V2668" s="1">
        <f>IFERROR(__xludf.DUMMYFUNCTION("""COMPUTED_VALUE"""),8.0)</f>
        <v>8</v>
      </c>
      <c r="W2668" s="1">
        <f>IFERROR(__xludf.DUMMYFUNCTION("""COMPUTED_VALUE"""),1068.0)</f>
        <v>1068</v>
      </c>
      <c r="X2668" s="1">
        <f>IFERROR(__xludf.DUMMYFUNCTION("""COMPUTED_VALUE"""),290.0)</f>
        <v>290</v>
      </c>
      <c r="Y2668" s="2"/>
      <c r="Z2668" s="2"/>
    </row>
    <row r="2669">
      <c r="A2669" s="1">
        <f>IFERROR(__xludf.DUMMYFUNCTION("""COMPUTED_VALUE"""),2668.0)</f>
        <v>2668</v>
      </c>
      <c r="B2669" s="7" t="str">
        <f>IFERROR(__xludf.DUMMYFUNCTION("""COMPUTED_VALUE"""),"9042")</f>
        <v>9042</v>
      </c>
      <c r="C2669" s="8" t="str">
        <f>IFERROR(__xludf.DUMMYFUNCTION("""COMPUTED_VALUE"""),"Felosofi")</f>
        <v>Felosofi</v>
      </c>
      <c r="D2669" s="2" t="str">
        <f>IFERROR(__xludf.DUMMYFUNCTION("""COMPUTED_VALUE"""),"5KM STUDENT F")</f>
        <v>5KM STUDENT F</v>
      </c>
      <c r="E2669" s="1">
        <f>IFERROR(__xludf.DUMMYFUNCTION("""COMPUTED_VALUE"""),2.0)</f>
        <v>2</v>
      </c>
      <c r="F2669" s="1" t="str">
        <f>IFERROR(__xludf.DUMMYFUNCTION("""COMPUTED_VALUE"""),"Female")</f>
        <v>Female</v>
      </c>
      <c r="G2669" s="4" t="b">
        <f>IFERROR(__xludf.DUMMYFUNCTION("""COMPUTED_VALUE"""),TRUE)</f>
        <v>1</v>
      </c>
      <c r="H2669" s="4" t="b">
        <f>IFERROR(__xludf.DUMMYFUNCTION("""COMPUTED_VALUE"""),TRUE)</f>
        <v>1</v>
      </c>
      <c r="I2669" s="4">
        <f>IFERROR(__xludf.DUMMYFUNCTION("""COMPUTED_VALUE"""),0.2549440625)</f>
        <v>0.2549440625</v>
      </c>
      <c r="J2669" s="4">
        <f>IFERROR(__xludf.DUMMYFUNCTION("""COMPUTED_VALUE"""),45949.28619682478)</f>
        <v>45949.2862</v>
      </c>
      <c r="K2669" s="4" t="str">
        <f>IFERROR(__xludf.DUMMYFUNCTION("""COMPUTED_VALUE"""),"")</f>
        <v/>
      </c>
      <c r="L2669" s="4">
        <f>IFERROR(__xludf.DUMMYFUNCTION("""COMPUTED_VALUE"""),45949.301984203215)</f>
        <v>45949.30198</v>
      </c>
      <c r="M2669" s="1" t="str">
        <f>IFERROR(__xludf.DUMMYFUNCTION("""COMPUTED_VALUE"""),"RFID")</f>
        <v>RFID</v>
      </c>
      <c r="N2669" s="5">
        <f>IFERROR(__xludf.DUMMYFUNCTION("""COMPUTED_VALUE"""),0.012501106481481481)</f>
        <v>0.01250110648</v>
      </c>
      <c r="O2669" s="5" t="str">
        <f>IFERROR(__xludf.DUMMYFUNCTION("""COMPUTED_VALUE"""),"")</f>
        <v/>
      </c>
      <c r="P2669" s="5" t="str">
        <f>IFERROR(__xludf.DUMMYFUNCTION("""COMPUTED_VALUE"""),"")</f>
        <v/>
      </c>
      <c r="Q2669" s="5">
        <f>IFERROR(__xludf.DUMMYFUNCTION("""COMPUTED_VALUE"""),0.009408027777777777)</f>
        <v>0.009408027778</v>
      </c>
      <c r="R2669" s="4">
        <f>IFERROR(__xludf.DUMMYFUNCTION("""COMPUTED_VALUE"""),45949.047040140715)</f>
        <v>45949.04704</v>
      </c>
      <c r="S2669" s="1" t="b">
        <f>IFERROR(__xludf.DUMMYFUNCTION("""COMPUTED_VALUE"""),TRUE)</f>
        <v>1</v>
      </c>
      <c r="T2669" s="1" t="b">
        <f>IFERROR(__xludf.DUMMYFUNCTION("""COMPUTED_VALUE"""),FALSE)</f>
        <v>0</v>
      </c>
      <c r="U2669" s="1" t="str">
        <f>IFERROR(__xludf.DUMMYFUNCTION("""COMPUTED_VALUE"""),"VALID")</f>
        <v>VALID</v>
      </c>
      <c r="V2669" s="1">
        <f>IFERROR(__xludf.DUMMYFUNCTION("""COMPUTED_VALUE"""),15.0)</f>
        <v>15</v>
      </c>
      <c r="W2669" s="1">
        <f>IFERROR(__xludf.DUMMYFUNCTION("""COMPUTED_VALUE"""),1518.0)</f>
        <v>1518</v>
      </c>
      <c r="X2669" s="1">
        <f>IFERROR(__xludf.DUMMYFUNCTION("""COMPUTED_VALUE"""),562.0)</f>
        <v>562</v>
      </c>
      <c r="Y2669" s="2"/>
      <c r="Z2669" s="2"/>
    </row>
    <row r="2670">
      <c r="A2670" s="1">
        <f>IFERROR(__xludf.DUMMYFUNCTION("""COMPUTED_VALUE"""),2669.0)</f>
        <v>2669</v>
      </c>
      <c r="B2670" s="7" t="str">
        <f>IFERROR(__xludf.DUMMYFUNCTION("""COMPUTED_VALUE"""),"9048")</f>
        <v>9048</v>
      </c>
      <c r="C2670" s="8" t="str">
        <f>IFERROR(__xludf.DUMMYFUNCTION("""COMPUTED_VALUE"""),"Acacia")</f>
        <v>Acacia</v>
      </c>
      <c r="D2670" s="2" t="str">
        <f>IFERROR(__xludf.DUMMYFUNCTION("""COMPUTED_VALUE"""),"5KM STUDENT F")</f>
        <v>5KM STUDENT F</v>
      </c>
      <c r="E2670" s="1">
        <f>IFERROR(__xludf.DUMMYFUNCTION("""COMPUTED_VALUE"""),2.0)</f>
        <v>2</v>
      </c>
      <c r="F2670" s="1" t="str">
        <f>IFERROR(__xludf.DUMMYFUNCTION("""COMPUTED_VALUE"""),"Female")</f>
        <v>Female</v>
      </c>
      <c r="G2670" s="4" t="b">
        <f>IFERROR(__xludf.DUMMYFUNCTION("""COMPUTED_VALUE"""),TRUE)</f>
        <v>1</v>
      </c>
      <c r="H2670" s="4" t="b">
        <f>IFERROR(__xludf.DUMMYFUNCTION("""COMPUTED_VALUE"""),TRUE)</f>
        <v>1</v>
      </c>
      <c r="I2670" s="4">
        <f>IFERROR(__xludf.DUMMYFUNCTION("""COMPUTED_VALUE"""),0.2549440625)</f>
        <v>0.2549440625</v>
      </c>
      <c r="J2670" s="4">
        <f>IFERROR(__xludf.DUMMYFUNCTION("""COMPUTED_VALUE"""),45949.280672544715)</f>
        <v>45949.28067</v>
      </c>
      <c r="K2670" s="4" t="str">
        <f>IFERROR(__xludf.DUMMYFUNCTION("""COMPUTED_VALUE"""),"")</f>
        <v/>
      </c>
      <c r="L2670" s="4">
        <f>IFERROR(__xludf.DUMMYFUNCTION("""COMPUTED_VALUE"""),45949.298647397125)</f>
        <v>45949.29865</v>
      </c>
      <c r="M2670" s="1" t="str">
        <f>IFERROR(__xludf.DUMMYFUNCTION("""COMPUTED_VALUE"""),"RFID")</f>
        <v>RFID</v>
      </c>
      <c r="N2670" s="5">
        <f>IFERROR(__xludf.DUMMYFUNCTION("""COMPUTED_VALUE"""),0.010291393518518517)</f>
        <v>0.01029139352</v>
      </c>
      <c r="O2670" s="5" t="str">
        <f>IFERROR(__xludf.DUMMYFUNCTION("""COMPUTED_VALUE"""),"")</f>
        <v/>
      </c>
      <c r="P2670" s="5" t="str">
        <f>IFERROR(__xludf.DUMMYFUNCTION("""COMPUTED_VALUE"""),"")</f>
        <v/>
      </c>
      <c r="Q2670" s="5">
        <f>IFERROR(__xludf.DUMMYFUNCTION("""COMPUTED_VALUE"""),0.008740666666666666)</f>
        <v>0.008740666667</v>
      </c>
      <c r="R2670" s="4">
        <f>IFERROR(__xludf.DUMMYFUNCTION("""COMPUTED_VALUE"""),45949.043703334624)</f>
        <v>45949.0437</v>
      </c>
      <c r="S2670" s="1" t="b">
        <f>IFERROR(__xludf.DUMMYFUNCTION("""COMPUTED_VALUE"""),TRUE)</f>
        <v>1</v>
      </c>
      <c r="T2670" s="1" t="b">
        <f>IFERROR(__xludf.DUMMYFUNCTION("""COMPUTED_VALUE"""),FALSE)</f>
        <v>0</v>
      </c>
      <c r="U2670" s="1" t="str">
        <f>IFERROR(__xludf.DUMMYFUNCTION("""COMPUTED_VALUE"""),"VALID")</f>
        <v>VALID</v>
      </c>
      <c r="V2670" s="1">
        <f>IFERROR(__xludf.DUMMYFUNCTION("""COMPUTED_VALUE"""),12.0)</f>
        <v>12</v>
      </c>
      <c r="W2670" s="1">
        <f>IFERROR(__xludf.DUMMYFUNCTION("""COMPUTED_VALUE"""),1393.0)</f>
        <v>1393</v>
      </c>
      <c r="X2670" s="1">
        <f>IFERROR(__xludf.DUMMYFUNCTION("""COMPUTED_VALUE"""),475.0)</f>
        <v>475</v>
      </c>
      <c r="Y2670" s="2"/>
      <c r="Z2670" s="2"/>
    </row>
    <row r="2671">
      <c r="A2671" s="1">
        <f>IFERROR(__xludf.DUMMYFUNCTION("""COMPUTED_VALUE"""),2670.0)</f>
        <v>2670</v>
      </c>
      <c r="B2671" s="7" t="str">
        <f>IFERROR(__xludf.DUMMYFUNCTION("""COMPUTED_VALUE"""),"9054")</f>
        <v>9054</v>
      </c>
      <c r="C2671" s="8" t="str">
        <f>IFERROR(__xludf.DUMMYFUNCTION("""COMPUTED_VALUE"""),"hanun")</f>
        <v>hanun</v>
      </c>
      <c r="D2671" s="2" t="str">
        <f>IFERROR(__xludf.DUMMYFUNCTION("""COMPUTED_VALUE"""),"5KM STUDENT F")</f>
        <v>5KM STUDENT F</v>
      </c>
      <c r="E2671" s="1">
        <f>IFERROR(__xludf.DUMMYFUNCTION("""COMPUTED_VALUE"""),2.0)</f>
        <v>2</v>
      </c>
      <c r="F2671" s="1" t="str">
        <f>IFERROR(__xludf.DUMMYFUNCTION("""COMPUTED_VALUE"""),"Female")</f>
        <v>Female</v>
      </c>
      <c r="G2671" s="4" t="b">
        <f>IFERROR(__xludf.DUMMYFUNCTION("""COMPUTED_VALUE"""),TRUE)</f>
        <v>1</v>
      </c>
      <c r="H2671" s="4" t="b">
        <f>IFERROR(__xludf.DUMMYFUNCTION("""COMPUTED_VALUE"""),TRUE)</f>
        <v>1</v>
      </c>
      <c r="I2671" s="4">
        <f>IFERROR(__xludf.DUMMYFUNCTION("""COMPUTED_VALUE"""),0.2549440625)</f>
        <v>0.2549440625</v>
      </c>
      <c r="J2671" s="4">
        <f>IFERROR(__xludf.DUMMYFUNCTION("""COMPUTED_VALUE"""),45949.28000240142)</f>
        <v>45949.28</v>
      </c>
      <c r="K2671" s="4" t="str">
        <f>IFERROR(__xludf.DUMMYFUNCTION("""COMPUTED_VALUE"""),"")</f>
        <v/>
      </c>
      <c r="L2671" s="4">
        <f>IFERROR(__xludf.DUMMYFUNCTION("""COMPUTED_VALUE"""),45949.29907812714)</f>
        <v>45949.29908</v>
      </c>
      <c r="M2671" s="1" t="str">
        <f>IFERROR(__xludf.DUMMYFUNCTION("""COMPUTED_VALUE"""),"RFID")</f>
        <v>RFID</v>
      </c>
      <c r="N2671" s="5">
        <f>IFERROR(__xludf.DUMMYFUNCTION("""COMPUTED_VALUE"""),0.010023333333333332)</f>
        <v>0.01002333333</v>
      </c>
      <c r="O2671" s="5" t="str">
        <f>IFERROR(__xludf.DUMMYFUNCTION("""COMPUTED_VALUE"""),"")</f>
        <v/>
      </c>
      <c r="P2671" s="5" t="str">
        <f>IFERROR(__xludf.DUMMYFUNCTION("""COMPUTED_VALUE"""),"")</f>
        <v/>
      </c>
      <c r="Q2671" s="5">
        <f>IFERROR(__xludf.DUMMYFUNCTION("""COMPUTED_VALUE"""),0.0088268125)</f>
        <v>0.0088268125</v>
      </c>
      <c r="R2671" s="4">
        <f>IFERROR(__xludf.DUMMYFUNCTION("""COMPUTED_VALUE"""),45949.044134064636)</f>
        <v>45949.04413</v>
      </c>
      <c r="S2671" s="1" t="b">
        <f>IFERROR(__xludf.DUMMYFUNCTION("""COMPUTED_VALUE"""),TRUE)</f>
        <v>1</v>
      </c>
      <c r="T2671" s="1" t="b">
        <f>IFERROR(__xludf.DUMMYFUNCTION("""COMPUTED_VALUE"""),FALSE)</f>
        <v>0</v>
      </c>
      <c r="U2671" s="1" t="str">
        <f>IFERROR(__xludf.DUMMYFUNCTION("""COMPUTED_VALUE"""),"VALID")</f>
        <v>VALID</v>
      </c>
      <c r="V2671" s="1">
        <f>IFERROR(__xludf.DUMMYFUNCTION("""COMPUTED_VALUE"""),14.0)</f>
        <v>14</v>
      </c>
      <c r="W2671" s="1">
        <f>IFERROR(__xludf.DUMMYFUNCTION("""COMPUTED_VALUE"""),1412.0)</f>
        <v>1412</v>
      </c>
      <c r="X2671" s="1">
        <f>IFERROR(__xludf.DUMMYFUNCTION("""COMPUTED_VALUE"""),487.0)</f>
        <v>487</v>
      </c>
      <c r="Y2671" s="2"/>
      <c r="Z2671" s="2"/>
    </row>
    <row r="2672">
      <c r="A2672" s="1">
        <f>IFERROR(__xludf.DUMMYFUNCTION("""COMPUTED_VALUE"""),2671.0)</f>
        <v>2671</v>
      </c>
      <c r="B2672" s="7" t="str">
        <f>IFERROR(__xludf.DUMMYFUNCTION("""COMPUTED_VALUE"""),"9055")</f>
        <v>9055</v>
      </c>
      <c r="C2672" s="8" t="str">
        <f>IFERROR(__xludf.DUMMYFUNCTION("""COMPUTED_VALUE"""),"Khansa")</f>
        <v>Khansa</v>
      </c>
      <c r="D2672" s="2" t="str">
        <f>IFERROR(__xludf.DUMMYFUNCTION("""COMPUTED_VALUE"""),"5KM STUDENT F")</f>
        <v>5KM STUDENT F</v>
      </c>
      <c r="E2672" s="1">
        <f>IFERROR(__xludf.DUMMYFUNCTION("""COMPUTED_VALUE"""),2.0)</f>
        <v>2</v>
      </c>
      <c r="F2672" s="1" t="str">
        <f>IFERROR(__xludf.DUMMYFUNCTION("""COMPUTED_VALUE"""),"Female")</f>
        <v>Female</v>
      </c>
      <c r="G2672" s="4" t="b">
        <f>IFERROR(__xludf.DUMMYFUNCTION("""COMPUTED_VALUE"""),TRUE)</f>
        <v>1</v>
      </c>
      <c r="H2672" s="4" t="b">
        <f>IFERROR(__xludf.DUMMYFUNCTION("""COMPUTED_VALUE"""),FALSE)</f>
        <v>0</v>
      </c>
      <c r="I2672" s="4">
        <f>IFERROR(__xludf.DUMMYFUNCTION("""COMPUTED_VALUE"""),0.2549440625)</f>
        <v>0.2549440625</v>
      </c>
      <c r="J2672" s="4">
        <f>IFERROR(__xludf.DUMMYFUNCTION("""COMPUTED_VALUE"""),45949.267627446374)</f>
        <v>45949.26763</v>
      </c>
      <c r="K2672" s="4" t="str">
        <f>IFERROR(__xludf.DUMMYFUNCTION("""COMPUTED_VALUE"""),"")</f>
        <v/>
      </c>
      <c r="L2672" s="4">
        <f>IFERROR(__xludf.DUMMYFUNCTION("""COMPUTED_VALUE"""),45949.277522390556)</f>
        <v>45949.27752</v>
      </c>
      <c r="M2672" s="1" t="str">
        <f>IFERROR(__xludf.DUMMYFUNCTION("""COMPUTED_VALUE"""),"RFID")</f>
        <v>RFID</v>
      </c>
      <c r="N2672" s="5">
        <f>IFERROR(__xludf.DUMMYFUNCTION("""COMPUTED_VALUE"""),0.0050733518518518515)</f>
        <v>0.005073351852</v>
      </c>
      <c r="O2672" s="5" t="str">
        <f>IFERROR(__xludf.DUMMYFUNCTION("""COMPUTED_VALUE"""),"")</f>
        <v/>
      </c>
      <c r="P2672" s="5" t="str">
        <f>IFERROR(__xludf.DUMMYFUNCTION("""COMPUTED_VALUE"""),"")</f>
        <v/>
      </c>
      <c r="Q2672" s="5">
        <f>IFERROR(__xludf.DUMMYFUNCTION("""COMPUTED_VALUE"""),0.004515666666666666)</f>
        <v>0.004515666667</v>
      </c>
      <c r="R2672" s="4">
        <f>IFERROR(__xludf.DUMMYFUNCTION("""COMPUTED_VALUE"""),45949.022578328055)</f>
        <v>45949.02258</v>
      </c>
      <c r="S2672" s="1" t="b">
        <f>IFERROR(__xludf.DUMMYFUNCTION("""COMPUTED_VALUE"""),TRUE)</f>
        <v>1</v>
      </c>
      <c r="T2672" s="1" t="b">
        <f>IFERROR(__xludf.DUMMYFUNCTION("""COMPUTED_VALUE"""),FALSE)</f>
        <v>0</v>
      </c>
      <c r="U2672" s="1" t="str">
        <f>IFERROR(__xludf.DUMMYFUNCTION("""COMPUTED_VALUE"""),"VALID")</f>
        <v>VALID</v>
      </c>
      <c r="V2672" s="1">
        <f>IFERROR(__xludf.DUMMYFUNCTION("""COMPUTED_VALUE"""),3.0)</f>
        <v>3</v>
      </c>
      <c r="W2672" s="1">
        <f>IFERROR(__xludf.DUMMYFUNCTION("""COMPUTED_VALUE"""),191.0)</f>
        <v>191</v>
      </c>
      <c r="X2672" s="1">
        <f>IFERROR(__xludf.DUMMYFUNCTION("""COMPUTED_VALUE"""),24.0)</f>
        <v>24</v>
      </c>
      <c r="Y2672" s="2"/>
      <c r="Z2672" s="2"/>
    </row>
    <row r="2673">
      <c r="A2673" s="1">
        <f>IFERROR(__xludf.DUMMYFUNCTION("""COMPUTED_VALUE"""),2672.0)</f>
        <v>2672</v>
      </c>
      <c r="B2673" s="7" t="str">
        <f>IFERROR(__xludf.DUMMYFUNCTION("""COMPUTED_VALUE"""),"9061")</f>
        <v>9061</v>
      </c>
      <c r="C2673" s="8" t="str">
        <f>IFERROR(__xludf.DUMMYFUNCTION("""COMPUTED_VALUE"""),"Aida")</f>
        <v>Aida</v>
      </c>
      <c r="D2673" s="2" t="str">
        <f>IFERROR(__xludf.DUMMYFUNCTION("""COMPUTED_VALUE"""),"5KM STUDENT F")</f>
        <v>5KM STUDENT F</v>
      </c>
      <c r="E2673" s="1">
        <f>IFERROR(__xludf.DUMMYFUNCTION("""COMPUTED_VALUE"""),2.0)</f>
        <v>2</v>
      </c>
      <c r="F2673" s="1" t="str">
        <f>IFERROR(__xludf.DUMMYFUNCTION("""COMPUTED_VALUE"""),"Female")</f>
        <v>Female</v>
      </c>
      <c r="G2673" s="4" t="b">
        <f>IFERROR(__xludf.DUMMYFUNCTION("""COMPUTED_VALUE"""),TRUE)</f>
        <v>1</v>
      </c>
      <c r="H2673" s="4" t="b">
        <f>IFERROR(__xludf.DUMMYFUNCTION("""COMPUTED_VALUE"""),FALSE)</f>
        <v>0</v>
      </c>
      <c r="I2673" s="4">
        <f>IFERROR(__xludf.DUMMYFUNCTION("""COMPUTED_VALUE"""),0.2549440625)</f>
        <v>0.2549440625</v>
      </c>
      <c r="J2673" s="4">
        <f>IFERROR(__xludf.DUMMYFUNCTION("""COMPUTED_VALUE"""),45949.2776239355)</f>
        <v>45949.27762</v>
      </c>
      <c r="K2673" s="4" t="str">
        <f>IFERROR(__xludf.DUMMYFUNCTION("""COMPUTED_VALUE"""),"")</f>
        <v/>
      </c>
      <c r="L2673" s="4">
        <f>IFERROR(__xludf.DUMMYFUNCTION("""COMPUTED_VALUE"""),45949.29447725541)</f>
        <v>45949.29448</v>
      </c>
      <c r="M2673" s="1" t="str">
        <f>IFERROR(__xludf.DUMMYFUNCTION("""COMPUTED_VALUE"""),"RFID")</f>
        <v>RFID</v>
      </c>
      <c r="N2673" s="5">
        <f>IFERROR(__xludf.DUMMYFUNCTION("""COMPUTED_VALUE"""),0.009071949074074073)</f>
        <v>0.009071949074</v>
      </c>
      <c r="O2673" s="5" t="str">
        <f>IFERROR(__xludf.DUMMYFUNCTION("""COMPUTED_VALUE"""),"")</f>
        <v/>
      </c>
      <c r="P2673" s="5" t="str">
        <f>IFERROR(__xludf.DUMMYFUNCTION("""COMPUTED_VALUE"""),"")</f>
        <v/>
      </c>
      <c r="Q2673" s="5">
        <f>IFERROR(__xludf.DUMMYFUNCTION("""COMPUTED_VALUE"""),0.00790663888888889)</f>
        <v>0.007906638889</v>
      </c>
      <c r="R2673" s="4">
        <f>IFERROR(__xludf.DUMMYFUNCTION("""COMPUTED_VALUE"""),45949.03953319291)</f>
        <v>45949.03953</v>
      </c>
      <c r="S2673" s="1" t="b">
        <f>IFERROR(__xludf.DUMMYFUNCTION("""COMPUTED_VALUE"""),TRUE)</f>
        <v>1</v>
      </c>
      <c r="T2673" s="1" t="b">
        <f>IFERROR(__xludf.DUMMYFUNCTION("""COMPUTED_VALUE"""),FALSE)</f>
        <v>0</v>
      </c>
      <c r="U2673" s="1" t="str">
        <f>IFERROR(__xludf.DUMMYFUNCTION("""COMPUTED_VALUE"""),"VALID")</f>
        <v>VALID</v>
      </c>
      <c r="V2673" s="1">
        <f>IFERROR(__xludf.DUMMYFUNCTION("""COMPUTED_VALUE"""),10.0)</f>
        <v>10</v>
      </c>
      <c r="W2673" s="1">
        <f>IFERROR(__xludf.DUMMYFUNCTION("""COMPUTED_VALUE"""),1217.0)</f>
        <v>1217</v>
      </c>
      <c r="X2673" s="1">
        <f>IFERROR(__xludf.DUMMYFUNCTION("""COMPUTED_VALUE"""),371.0)</f>
        <v>371</v>
      </c>
      <c r="Y2673" s="2"/>
      <c r="Z2673" s="2"/>
    </row>
    <row r="2674">
      <c r="A2674" s="1">
        <f>IFERROR(__xludf.DUMMYFUNCTION("""COMPUTED_VALUE"""),2673.0)</f>
        <v>2673</v>
      </c>
      <c r="B2674" s="7" t="str">
        <f>IFERROR(__xludf.DUMMYFUNCTION("""COMPUTED_VALUE"""),"9068")</f>
        <v>9068</v>
      </c>
      <c r="C2674" s="8" t="str">
        <f>IFERROR(__xludf.DUMMYFUNCTION("""COMPUTED_VALUE"""),"ACHA")</f>
        <v>ACHA</v>
      </c>
      <c r="D2674" s="2" t="str">
        <f>IFERROR(__xludf.DUMMYFUNCTION("""COMPUTED_VALUE"""),"5KM STUDENT F")</f>
        <v>5KM STUDENT F</v>
      </c>
      <c r="E2674" s="1">
        <f>IFERROR(__xludf.DUMMYFUNCTION("""COMPUTED_VALUE"""),2.0)</f>
        <v>2</v>
      </c>
      <c r="F2674" s="1" t="str">
        <f>IFERROR(__xludf.DUMMYFUNCTION("""COMPUTED_VALUE"""),"Female")</f>
        <v>Female</v>
      </c>
      <c r="G2674" s="4" t="b">
        <f>IFERROR(__xludf.DUMMYFUNCTION("""COMPUTED_VALUE"""),TRUE)</f>
        <v>1</v>
      </c>
      <c r="H2674" s="4" t="b">
        <f>IFERROR(__xludf.DUMMYFUNCTION("""COMPUTED_VALUE"""),TRUE)</f>
        <v>1</v>
      </c>
      <c r="I2674" s="4">
        <f>IFERROR(__xludf.DUMMYFUNCTION("""COMPUTED_VALUE"""),0.2549440625)</f>
        <v>0.2549440625</v>
      </c>
      <c r="J2674" s="4">
        <f>IFERROR(__xludf.DUMMYFUNCTION("""COMPUTED_VALUE"""),45949.28306489477)</f>
        <v>45949.28306</v>
      </c>
      <c r="K2674" s="4" t="str">
        <f>IFERROR(__xludf.DUMMYFUNCTION("""COMPUTED_VALUE"""),"")</f>
        <v/>
      </c>
      <c r="L2674" s="4">
        <f>IFERROR(__xludf.DUMMYFUNCTION("""COMPUTED_VALUE"""),45949.30238350746)</f>
        <v>45949.30238</v>
      </c>
      <c r="M2674" s="1" t="str">
        <f>IFERROR(__xludf.DUMMYFUNCTION("""COMPUTED_VALUE"""),"RFID")</f>
        <v>RFID</v>
      </c>
      <c r="N2674" s="5">
        <f>IFERROR(__xludf.DUMMYFUNCTION("""COMPUTED_VALUE"""),0.011248333333333332)</f>
        <v>0.01124833333</v>
      </c>
      <c r="O2674" s="5" t="str">
        <f>IFERROR(__xludf.DUMMYFUNCTION("""COMPUTED_VALUE"""),"")</f>
        <v/>
      </c>
      <c r="P2674" s="5" t="str">
        <f>IFERROR(__xludf.DUMMYFUNCTION("""COMPUTED_VALUE"""),"")</f>
        <v/>
      </c>
      <c r="Q2674" s="5">
        <f>IFERROR(__xludf.DUMMYFUNCTION("""COMPUTED_VALUE"""),0.00948788888888889)</f>
        <v>0.009487888889</v>
      </c>
      <c r="R2674" s="4">
        <f>IFERROR(__xludf.DUMMYFUNCTION("""COMPUTED_VALUE"""),45949.047439444956)</f>
        <v>45949.04744</v>
      </c>
      <c r="S2674" s="1" t="b">
        <f>IFERROR(__xludf.DUMMYFUNCTION("""COMPUTED_VALUE"""),TRUE)</f>
        <v>1</v>
      </c>
      <c r="T2674" s="1" t="b">
        <f>IFERROR(__xludf.DUMMYFUNCTION("""COMPUTED_VALUE"""),FALSE)</f>
        <v>0</v>
      </c>
      <c r="U2674" s="1" t="str">
        <f>IFERROR(__xludf.DUMMYFUNCTION("""COMPUTED_VALUE"""),"VALID")</f>
        <v>VALID</v>
      </c>
      <c r="V2674" s="1">
        <f>IFERROR(__xludf.DUMMYFUNCTION("""COMPUTED_VALUE"""),16.0)</f>
        <v>16</v>
      </c>
      <c r="W2674" s="1">
        <f>IFERROR(__xludf.DUMMYFUNCTION("""COMPUTED_VALUE"""),1527.0)</f>
        <v>1527</v>
      </c>
      <c r="X2674" s="1">
        <f>IFERROR(__xludf.DUMMYFUNCTION("""COMPUTED_VALUE"""),568.0)</f>
        <v>568</v>
      </c>
      <c r="Y2674" s="2"/>
      <c r="Z2674" s="2"/>
    </row>
    <row r="2675">
      <c r="A2675" s="1">
        <f>IFERROR(__xludf.DUMMYFUNCTION("""COMPUTED_VALUE"""),2674.0)</f>
        <v>2674</v>
      </c>
      <c r="B2675" s="7" t="str">
        <f>IFERROR(__xludf.DUMMYFUNCTION("""COMPUTED_VALUE"""),"9073")</f>
        <v>9073</v>
      </c>
      <c r="C2675" s="8" t="str">
        <f>IFERROR(__xludf.DUMMYFUNCTION("""COMPUTED_VALUE"""),"Haura Anindya Mahya")</f>
        <v>Haura Anindya Mahya</v>
      </c>
      <c r="D2675" s="2" t="str">
        <f>IFERROR(__xludf.DUMMYFUNCTION("""COMPUTED_VALUE"""),"5KM STUDENT F")</f>
        <v>5KM STUDENT F</v>
      </c>
      <c r="E2675" s="1">
        <f>IFERROR(__xludf.DUMMYFUNCTION("""COMPUTED_VALUE"""),2.0)</f>
        <v>2</v>
      </c>
      <c r="F2675" s="1" t="str">
        <f>IFERROR(__xludf.DUMMYFUNCTION("""COMPUTED_VALUE"""),"Female")</f>
        <v>Female</v>
      </c>
      <c r="G2675" s="4" t="b">
        <f>IFERROR(__xludf.DUMMYFUNCTION("""COMPUTED_VALUE"""),TRUE)</f>
        <v>1</v>
      </c>
      <c r="H2675" s="4" t="b">
        <f>IFERROR(__xludf.DUMMYFUNCTION("""COMPUTED_VALUE"""),TRUE)</f>
        <v>1</v>
      </c>
      <c r="I2675" s="4">
        <f>IFERROR(__xludf.DUMMYFUNCTION("""COMPUTED_VALUE"""),0.2549440625)</f>
        <v>0.2549440625</v>
      </c>
      <c r="J2675" s="4">
        <f>IFERROR(__xludf.DUMMYFUNCTION("""COMPUTED_VALUE"""),45950.2812962963)</f>
        <v>45950.2813</v>
      </c>
      <c r="K2675" s="4" t="str">
        <f>IFERROR(__xludf.DUMMYFUNCTION("""COMPUTED_VALUE"""),"")</f>
        <v/>
      </c>
      <c r="L2675" s="4">
        <f>IFERROR(__xludf.DUMMYFUNCTION("""COMPUTED_VALUE"""),45949.29885589993)</f>
        <v>45949.29886</v>
      </c>
      <c r="M2675" s="1" t="str">
        <f>IFERROR(__xludf.DUMMYFUNCTION("""COMPUTED_VALUE"""),"RFID")</f>
        <v>RFID</v>
      </c>
      <c r="N2675" s="5">
        <f>IFERROR(__xludf.DUMMYFUNCTION("""COMPUTED_VALUE"""),0.010540893518518519)</f>
        <v>0.01054089352</v>
      </c>
      <c r="O2675" s="5" t="str">
        <f>IFERROR(__xludf.DUMMYFUNCTION("""COMPUTED_VALUE"""),"")</f>
        <v/>
      </c>
      <c r="P2675" s="5" t="str">
        <f>IFERROR(__xludf.DUMMYFUNCTION("""COMPUTED_VALUE"""),"")</f>
        <v/>
      </c>
      <c r="Q2675" s="5">
        <f>IFERROR(__xludf.DUMMYFUNCTION("""COMPUTED_VALUE"""),0.008782368055555555)</f>
        <v>0.008782368056</v>
      </c>
      <c r="R2675" s="4">
        <f>IFERROR(__xludf.DUMMYFUNCTION("""COMPUTED_VALUE"""),45949.04391183743)</f>
        <v>45949.04391</v>
      </c>
      <c r="S2675" s="1" t="b">
        <f>IFERROR(__xludf.DUMMYFUNCTION("""COMPUTED_VALUE"""),TRUE)</f>
        <v>1</v>
      </c>
      <c r="T2675" s="1" t="b">
        <f>IFERROR(__xludf.DUMMYFUNCTION("""COMPUTED_VALUE"""),FALSE)</f>
        <v>0</v>
      </c>
      <c r="U2675" s="1" t="str">
        <f>IFERROR(__xludf.DUMMYFUNCTION("""COMPUTED_VALUE"""),"VALID")</f>
        <v>VALID</v>
      </c>
      <c r="V2675" s="1">
        <f>IFERROR(__xludf.DUMMYFUNCTION("""COMPUTED_VALUE"""),13.0)</f>
        <v>13</v>
      </c>
      <c r="W2675" s="1">
        <f>IFERROR(__xludf.DUMMYFUNCTION("""COMPUTED_VALUE"""),1403.0)</f>
        <v>1403</v>
      </c>
      <c r="X2675" s="1">
        <f>IFERROR(__xludf.DUMMYFUNCTION("""COMPUTED_VALUE"""),481.0)</f>
        <v>481</v>
      </c>
      <c r="Y2675" s="2"/>
      <c r="Z2675" s="2" t="str">
        <f>IFERROR(__xludf.DUMMYFUNCTION("""COMPUTED_VALUE"""),"C")</f>
        <v>C</v>
      </c>
    </row>
    <row r="2676">
      <c r="A2676" s="1">
        <f>IFERROR(__xludf.DUMMYFUNCTION("""COMPUTED_VALUE"""),2675.0)</f>
        <v>2675</v>
      </c>
      <c r="B2676" s="7" t="str">
        <f>IFERROR(__xludf.DUMMYFUNCTION("""COMPUTED_VALUE"""),"9075")</f>
        <v>9075</v>
      </c>
      <c r="C2676" s="8" t="str">
        <f>IFERROR(__xludf.DUMMYFUNCTION("""COMPUTED_VALUE"""),"picaaa")</f>
        <v>picaaa</v>
      </c>
      <c r="D2676" s="2" t="str">
        <f>IFERROR(__xludf.DUMMYFUNCTION("""COMPUTED_VALUE"""),"5KM STUDENT F")</f>
        <v>5KM STUDENT F</v>
      </c>
      <c r="E2676" s="1">
        <f>IFERROR(__xludf.DUMMYFUNCTION("""COMPUTED_VALUE"""),2.0)</f>
        <v>2</v>
      </c>
      <c r="F2676" s="1" t="str">
        <f>IFERROR(__xludf.DUMMYFUNCTION("""COMPUTED_VALUE"""),"Female")</f>
        <v>Female</v>
      </c>
      <c r="G2676" s="4" t="b">
        <f>IFERROR(__xludf.DUMMYFUNCTION("""COMPUTED_VALUE"""),TRUE)</f>
        <v>1</v>
      </c>
      <c r="H2676" s="4" t="b">
        <f>IFERROR(__xludf.DUMMYFUNCTION("""COMPUTED_VALUE"""),TRUE)</f>
        <v>1</v>
      </c>
      <c r="I2676" s="4">
        <f>IFERROR(__xludf.DUMMYFUNCTION("""COMPUTED_VALUE"""),0.2549440625)</f>
        <v>0.2549440625</v>
      </c>
      <c r="J2676" s="4">
        <f>IFERROR(__xludf.DUMMYFUNCTION("""COMPUTED_VALUE"""),45949.26761574074)</f>
        <v>45949.26762</v>
      </c>
      <c r="K2676" s="4" t="str">
        <f>IFERROR(__xludf.DUMMYFUNCTION("""COMPUTED_VALUE"""),"")</f>
        <v/>
      </c>
      <c r="L2676" s="4">
        <f>IFERROR(__xludf.DUMMYFUNCTION("""COMPUTED_VALUE"""),45949.27591475684)</f>
        <v>45949.27591</v>
      </c>
      <c r="M2676" s="1" t="str">
        <f>IFERROR(__xludf.DUMMYFUNCTION("""COMPUTED_VALUE"""),"RFID")</f>
        <v>RFID</v>
      </c>
      <c r="N2676" s="5">
        <f>IFERROR(__xludf.DUMMYFUNCTION("""COMPUTED_VALUE"""),0.005068671296296297)</f>
        <v>0.005068671296</v>
      </c>
      <c r="O2676" s="5" t="str">
        <f>IFERROR(__xludf.DUMMYFUNCTION("""COMPUTED_VALUE"""),"")</f>
        <v/>
      </c>
      <c r="P2676" s="5" t="str">
        <f>IFERROR(__xludf.DUMMYFUNCTION("""COMPUTED_VALUE"""),"")</f>
        <v/>
      </c>
      <c r="Q2676" s="5">
        <f>IFERROR(__xludf.DUMMYFUNCTION("""COMPUTED_VALUE"""),0.004194138888888889)</f>
        <v>0.004194138889</v>
      </c>
      <c r="R2676" s="4">
        <f>IFERROR(__xludf.DUMMYFUNCTION("""COMPUTED_VALUE"""),45949.02097069434)</f>
        <v>45949.02097</v>
      </c>
      <c r="S2676" s="1" t="b">
        <f>IFERROR(__xludf.DUMMYFUNCTION("""COMPUTED_VALUE"""),TRUE)</f>
        <v>1</v>
      </c>
      <c r="T2676" s="1" t="b">
        <f>IFERROR(__xludf.DUMMYFUNCTION("""COMPUTED_VALUE"""),FALSE)</f>
        <v>0</v>
      </c>
      <c r="U2676" s="1" t="str">
        <f>IFERROR(__xludf.DUMMYFUNCTION("""COMPUTED_VALUE"""),"VALID")</f>
        <v>VALID</v>
      </c>
      <c r="V2676" s="1">
        <f>IFERROR(__xludf.DUMMYFUNCTION("""COMPUTED_VALUE"""),2.0)</f>
        <v>2</v>
      </c>
      <c r="W2676" s="1">
        <f>IFERROR(__xludf.DUMMYFUNCTION("""COMPUTED_VALUE"""),143.0)</f>
        <v>143</v>
      </c>
      <c r="X2676" s="1">
        <f>IFERROR(__xludf.DUMMYFUNCTION("""COMPUTED_VALUE"""),15.0)</f>
        <v>15</v>
      </c>
      <c r="Y2676" s="2"/>
      <c r="Z2676" s="2"/>
    </row>
    <row r="2677">
      <c r="A2677" s="1">
        <f>IFERROR(__xludf.DUMMYFUNCTION("""COMPUTED_VALUE"""),2676.0)</f>
        <v>2676</v>
      </c>
      <c r="B2677" s="7" t="str">
        <f>IFERROR(__xludf.DUMMYFUNCTION("""COMPUTED_VALUE"""),"9077")</f>
        <v>9077</v>
      </c>
      <c r="C2677" s="8" t="str">
        <f>IFERROR(__xludf.DUMMYFUNCTION("""COMPUTED_VALUE"""),"ANINDRA")</f>
        <v>ANINDRA</v>
      </c>
      <c r="D2677" s="2" t="str">
        <f>IFERROR(__xludf.DUMMYFUNCTION("""COMPUTED_VALUE"""),"5KM STUDENT F")</f>
        <v>5KM STUDENT F</v>
      </c>
      <c r="E2677" s="1">
        <f>IFERROR(__xludf.DUMMYFUNCTION("""COMPUTED_VALUE"""),2.0)</f>
        <v>2</v>
      </c>
      <c r="F2677" s="1" t="str">
        <f>IFERROR(__xludf.DUMMYFUNCTION("""COMPUTED_VALUE"""),"Female")</f>
        <v>Female</v>
      </c>
      <c r="G2677" s="4" t="str">
        <f>IFERROR(__xludf.DUMMYFUNCTION("""COMPUTED_VALUE"""),"")</f>
        <v/>
      </c>
      <c r="H2677" s="4" t="b">
        <f>IFERROR(__xludf.DUMMYFUNCTION("""COMPUTED_VALUE"""),FALSE)</f>
        <v>0</v>
      </c>
      <c r="I2677" s="4">
        <f>IFERROR(__xludf.DUMMYFUNCTION("""COMPUTED_VALUE"""),0.2549440625)</f>
        <v>0.2549440625</v>
      </c>
      <c r="J2677" s="4" t="str">
        <f>IFERROR(__xludf.DUMMYFUNCTION("""COMPUTED_VALUE"""),"")</f>
        <v/>
      </c>
      <c r="K2677" s="4" t="str">
        <f>IFERROR(__xludf.DUMMYFUNCTION("""COMPUTED_VALUE"""),"")</f>
        <v/>
      </c>
      <c r="L2677" s="4">
        <f>IFERROR(__xludf.DUMMYFUNCTION("""COMPUTED_VALUE"""),45949.28939045384)</f>
        <v>45949.28939</v>
      </c>
      <c r="M2677" s="1" t="str">
        <f>IFERROR(__xludf.DUMMYFUNCTION("""COMPUTED_VALUE"""),"RFID")</f>
        <v>RFID</v>
      </c>
      <c r="N2677" s="5" t="str">
        <f>IFERROR(__xludf.DUMMYFUNCTION("""COMPUTED_VALUE"""),"")</f>
        <v/>
      </c>
      <c r="O2677" s="5" t="str">
        <f>IFERROR(__xludf.DUMMYFUNCTION("""COMPUTED_VALUE"""),"")</f>
        <v/>
      </c>
      <c r="P2677" s="5" t="str">
        <f>IFERROR(__xludf.DUMMYFUNCTION("""COMPUTED_VALUE"""),"")</f>
        <v/>
      </c>
      <c r="Q2677" s="5">
        <f>IFERROR(__xludf.DUMMYFUNCTION("""COMPUTED_VALUE"""),0.006889277777777777)</f>
        <v>0.006889277778</v>
      </c>
      <c r="R2677" s="4">
        <f>IFERROR(__xludf.DUMMYFUNCTION("""COMPUTED_VALUE"""),45949.03444639134)</f>
        <v>45949.03445</v>
      </c>
      <c r="S2677" s="1" t="b">
        <f>IFERROR(__xludf.DUMMYFUNCTION("""COMPUTED_VALUE"""),FALSE)</f>
        <v>0</v>
      </c>
      <c r="T2677" s="1" t="b">
        <f>IFERROR(__xludf.DUMMYFUNCTION("""COMPUTED_VALUE"""),FALSE)</f>
        <v>0</v>
      </c>
      <c r="U2677" s="1" t="str">
        <f>IFERROR(__xludf.DUMMYFUNCTION("""COMPUTED_VALUE"""),"DSQ")</f>
        <v>DSQ</v>
      </c>
      <c r="V2677" s="1" t="str">
        <f>IFERROR(__xludf.DUMMYFUNCTION("""COMPUTED_VALUE"""),"DSQ")</f>
        <v>DSQ</v>
      </c>
      <c r="W2677" s="1" t="str">
        <f>IFERROR(__xludf.DUMMYFUNCTION("""COMPUTED_VALUE"""),"DSQ")</f>
        <v>DSQ</v>
      </c>
      <c r="X2677" s="1" t="str">
        <f>IFERROR(__xludf.DUMMYFUNCTION("""COMPUTED_VALUE"""),"DSQ")</f>
        <v>DSQ</v>
      </c>
      <c r="Y2677" s="2"/>
      <c r="Z2677" s="2" t="str">
        <f>IFERROR(__xludf.DUMMYFUNCTION("""COMPUTED_VALUE"""),"")</f>
        <v/>
      </c>
    </row>
    <row r="2678">
      <c r="A2678" s="1">
        <f>IFERROR(__xludf.DUMMYFUNCTION("""COMPUTED_VALUE"""),2677.0)</f>
        <v>2677</v>
      </c>
      <c r="B2678" s="7" t="str">
        <f>IFERROR(__xludf.DUMMYFUNCTION("""COMPUTED_VALUE"""),"9078")</f>
        <v>9078</v>
      </c>
      <c r="C2678" s="8" t="str">
        <f>IFERROR(__xludf.DUMMYFUNCTION("""COMPUTED_VALUE"""),"Chavira")</f>
        <v>Chavira</v>
      </c>
      <c r="D2678" s="2" t="str">
        <f>IFERROR(__xludf.DUMMYFUNCTION("""COMPUTED_VALUE"""),"5KM STUDENT F")</f>
        <v>5KM STUDENT F</v>
      </c>
      <c r="E2678" s="1">
        <f>IFERROR(__xludf.DUMMYFUNCTION("""COMPUTED_VALUE"""),2.0)</f>
        <v>2</v>
      </c>
      <c r="F2678" s="1" t="str">
        <f>IFERROR(__xludf.DUMMYFUNCTION("""COMPUTED_VALUE"""),"Female")</f>
        <v>Female</v>
      </c>
      <c r="G2678" s="4" t="b">
        <f>IFERROR(__xludf.DUMMYFUNCTION("""COMPUTED_VALUE"""),TRUE)</f>
        <v>1</v>
      </c>
      <c r="H2678" s="4" t="b">
        <f>IFERROR(__xludf.DUMMYFUNCTION("""COMPUTED_VALUE"""),TRUE)</f>
        <v>1</v>
      </c>
      <c r="I2678" s="4">
        <f>IFERROR(__xludf.DUMMYFUNCTION("""COMPUTED_VALUE"""),0.2549440625)</f>
        <v>0.2549440625</v>
      </c>
      <c r="J2678" s="4">
        <f>IFERROR(__xludf.DUMMYFUNCTION("""COMPUTED_VALUE"""),45949.26884613531)</f>
        <v>45949.26885</v>
      </c>
      <c r="K2678" s="4" t="str">
        <f>IFERROR(__xludf.DUMMYFUNCTION("""COMPUTED_VALUE"""),"")</f>
        <v/>
      </c>
      <c r="L2678" s="4">
        <f>IFERROR(__xludf.DUMMYFUNCTION("""COMPUTED_VALUE"""),45949.27988004144)</f>
        <v>45949.27988</v>
      </c>
      <c r="M2678" s="1" t="str">
        <f>IFERROR(__xludf.DUMMYFUNCTION("""COMPUTED_VALUE"""),"RFID")</f>
        <v>RFID</v>
      </c>
      <c r="N2678" s="5">
        <f>IFERROR(__xludf.DUMMYFUNCTION("""COMPUTED_VALUE"""),0.005560828703703703)</f>
        <v>0.005560828704</v>
      </c>
      <c r="O2678" s="5" t="str">
        <f>IFERROR(__xludf.DUMMYFUNCTION("""COMPUTED_VALUE"""),"")</f>
        <v/>
      </c>
      <c r="P2678" s="5" t="str">
        <f>IFERROR(__xludf.DUMMYFUNCTION("""COMPUTED_VALUE"""),"")</f>
        <v/>
      </c>
      <c r="Q2678" s="5">
        <f>IFERROR(__xludf.DUMMYFUNCTION("""COMPUTED_VALUE"""),0.00498719675925926)</f>
        <v>0.004987196759</v>
      </c>
      <c r="R2678" s="4">
        <f>IFERROR(__xludf.DUMMYFUNCTION("""COMPUTED_VALUE"""),45949.02493597894)</f>
        <v>45949.02494</v>
      </c>
      <c r="S2678" s="1" t="b">
        <f>IFERROR(__xludf.DUMMYFUNCTION("""COMPUTED_VALUE"""),TRUE)</f>
        <v>1</v>
      </c>
      <c r="T2678" s="1" t="b">
        <f>IFERROR(__xludf.DUMMYFUNCTION("""COMPUTED_VALUE"""),FALSE)</f>
        <v>0</v>
      </c>
      <c r="U2678" s="1" t="str">
        <f>IFERROR(__xludf.DUMMYFUNCTION("""COMPUTED_VALUE"""),"VALID")</f>
        <v>VALID</v>
      </c>
      <c r="V2678" s="1">
        <f>IFERROR(__xludf.DUMMYFUNCTION("""COMPUTED_VALUE"""),4.0)</f>
        <v>4</v>
      </c>
      <c r="W2678" s="1">
        <f>IFERROR(__xludf.DUMMYFUNCTION("""COMPUTED_VALUE"""),283.0)</f>
        <v>283</v>
      </c>
      <c r="X2678" s="1">
        <f>IFERROR(__xludf.DUMMYFUNCTION("""COMPUTED_VALUE"""),37.0)</f>
        <v>37</v>
      </c>
      <c r="Y2678" s="2"/>
      <c r="Z2678" s="2"/>
    </row>
    <row r="2679">
      <c r="A2679" s="1">
        <f>IFERROR(__xludf.DUMMYFUNCTION("""COMPUTED_VALUE"""),2678.0)</f>
        <v>2678</v>
      </c>
      <c r="B2679" s="7" t="str">
        <f>IFERROR(__xludf.DUMMYFUNCTION("""COMPUTED_VALUE"""),"9079")</f>
        <v>9079</v>
      </c>
      <c r="C2679" s="8" t="str">
        <f>IFERROR(__xludf.DUMMYFUNCTION("""COMPUTED_VALUE"""),"Nagita Aliya")</f>
        <v>Nagita Aliya</v>
      </c>
      <c r="D2679" s="2" t="str">
        <f>IFERROR(__xludf.DUMMYFUNCTION("""COMPUTED_VALUE"""),"5KM STUDENT F")</f>
        <v>5KM STUDENT F</v>
      </c>
      <c r="E2679" s="1">
        <f>IFERROR(__xludf.DUMMYFUNCTION("""COMPUTED_VALUE"""),2.0)</f>
        <v>2</v>
      </c>
      <c r="F2679" s="1" t="str">
        <f>IFERROR(__xludf.DUMMYFUNCTION("""COMPUTED_VALUE"""),"Female")</f>
        <v>Female</v>
      </c>
      <c r="G2679" s="4" t="b">
        <f>IFERROR(__xludf.DUMMYFUNCTION("""COMPUTED_VALUE"""),TRUE)</f>
        <v>1</v>
      </c>
      <c r="H2679" s="4" t="b">
        <f>IFERROR(__xludf.DUMMYFUNCTION("""COMPUTED_VALUE"""),FALSE)</f>
        <v>0</v>
      </c>
      <c r="I2679" s="4">
        <f>IFERROR(__xludf.DUMMYFUNCTION("""COMPUTED_VALUE"""),0.2549440625)</f>
        <v>0.2549440625</v>
      </c>
      <c r="J2679" s="4" t="str">
        <f>IFERROR(__xludf.DUMMYFUNCTION("""COMPUTED_VALUE"""),"")</f>
        <v/>
      </c>
      <c r="K2679" s="4" t="str">
        <f>IFERROR(__xludf.DUMMYFUNCTION("""COMPUTED_VALUE"""),"")</f>
        <v/>
      </c>
      <c r="L2679" s="4" t="str">
        <f>IFERROR(__xludf.DUMMYFUNCTION("""COMPUTED_VALUE"""),"")</f>
        <v/>
      </c>
      <c r="M2679" s="1" t="str">
        <f>IFERROR(__xludf.DUMMYFUNCTION("""COMPUTED_VALUE"""),"RFID")</f>
        <v>RFID</v>
      </c>
      <c r="N2679" s="5" t="str">
        <f>IFERROR(__xludf.DUMMYFUNCTION("""COMPUTED_VALUE"""),"")</f>
        <v/>
      </c>
      <c r="O2679" s="5" t="str">
        <f>IFERROR(__xludf.DUMMYFUNCTION("""COMPUTED_VALUE"""),"")</f>
        <v/>
      </c>
      <c r="P2679" s="5" t="str">
        <f>IFERROR(__xludf.DUMMYFUNCTION("""COMPUTED_VALUE"""),"")</f>
        <v/>
      </c>
      <c r="Q2679" s="5" t="str">
        <f>IFERROR(__xludf.DUMMYFUNCTION("""COMPUTED_VALUE"""),"")</f>
        <v/>
      </c>
      <c r="R2679" s="4" t="str">
        <f>IFERROR(__xludf.DUMMYFUNCTION("""COMPUTED_VALUE"""),"")</f>
        <v/>
      </c>
      <c r="S2679" s="1" t="b">
        <f>IFERROR(__xludf.DUMMYFUNCTION("""COMPUTED_VALUE"""),FALSE)</f>
        <v>0</v>
      </c>
      <c r="T2679" s="1" t="b">
        <f>IFERROR(__xludf.DUMMYFUNCTION("""COMPUTED_VALUE"""),FALSE)</f>
        <v>0</v>
      </c>
      <c r="U2679" s="1" t="str">
        <f>IFERROR(__xludf.DUMMYFUNCTION("""COMPUTED_VALUE"""),"DSQ")</f>
        <v>DSQ</v>
      </c>
      <c r="V2679" s="1" t="str">
        <f>IFERROR(__xludf.DUMMYFUNCTION("""COMPUTED_VALUE"""),"DSQ")</f>
        <v>DSQ</v>
      </c>
      <c r="W2679" s="1" t="str">
        <f>IFERROR(__xludf.DUMMYFUNCTION("""COMPUTED_VALUE"""),"DSQ")</f>
        <v>DSQ</v>
      </c>
      <c r="X2679" s="1" t="str">
        <f>IFERROR(__xludf.DUMMYFUNCTION("""COMPUTED_VALUE"""),"DSQ")</f>
        <v>DSQ</v>
      </c>
      <c r="Y2679" s="2"/>
      <c r="Z2679" s="2" t="str">
        <f>IFERROR(__xludf.DUMMYFUNCTION("""COMPUTED_VALUE"""),"")</f>
        <v/>
      </c>
    </row>
    <row r="2680">
      <c r="A2680" s="1">
        <f>IFERROR(__xludf.DUMMYFUNCTION("""COMPUTED_VALUE"""),2679.0)</f>
        <v>2679</v>
      </c>
      <c r="B2680" s="7" t="str">
        <f>IFERROR(__xludf.DUMMYFUNCTION("""COMPUTED_VALUE"""),"9097")</f>
        <v>9097</v>
      </c>
      <c r="C2680" s="8" t="str">
        <f>IFERROR(__xludf.DUMMYFUNCTION("""COMPUTED_VALUE"""),"wulan")</f>
        <v>wulan</v>
      </c>
      <c r="D2680" s="2" t="str">
        <f>IFERROR(__xludf.DUMMYFUNCTION("""COMPUTED_VALUE"""),"5KM STUDENT F")</f>
        <v>5KM STUDENT F</v>
      </c>
      <c r="E2680" s="1">
        <f>IFERROR(__xludf.DUMMYFUNCTION("""COMPUTED_VALUE"""),2.0)</f>
        <v>2</v>
      </c>
      <c r="F2680" s="1" t="str">
        <f>IFERROR(__xludf.DUMMYFUNCTION("""COMPUTED_VALUE"""),"Female")</f>
        <v>Female</v>
      </c>
      <c r="G2680" s="4" t="b">
        <f>IFERROR(__xludf.DUMMYFUNCTION("""COMPUTED_VALUE"""),TRUE)</f>
        <v>1</v>
      </c>
      <c r="H2680" s="4" t="b">
        <f>IFERROR(__xludf.DUMMYFUNCTION("""COMPUTED_VALUE"""),FALSE)</f>
        <v>0</v>
      </c>
      <c r="I2680" s="4">
        <f>IFERROR(__xludf.DUMMYFUNCTION("""COMPUTED_VALUE"""),0.2549440625)</f>
        <v>0.2549440625</v>
      </c>
      <c r="J2680" s="4">
        <f>IFERROR(__xludf.DUMMYFUNCTION("""COMPUTED_VALUE"""),45949.27786008456)</f>
        <v>45949.27786</v>
      </c>
      <c r="K2680" s="4" t="str">
        <f>IFERROR(__xludf.DUMMYFUNCTION("""COMPUTED_VALUE"""),"")</f>
        <v/>
      </c>
      <c r="L2680" s="4">
        <f>IFERROR(__xludf.DUMMYFUNCTION("""COMPUTED_VALUE"""),45949.29598419564)</f>
        <v>45949.29598</v>
      </c>
      <c r="M2680" s="1" t="str">
        <f>IFERROR(__xludf.DUMMYFUNCTION("""COMPUTED_VALUE"""),"RFID")</f>
        <v>RFID</v>
      </c>
      <c r="N2680" s="5">
        <f>IFERROR(__xludf.DUMMYFUNCTION("""COMPUTED_VALUE"""),0.009166407407407408)</f>
        <v>0.009166407407</v>
      </c>
      <c r="O2680" s="5" t="str">
        <f>IFERROR(__xludf.DUMMYFUNCTION("""COMPUTED_VALUE"""),"")</f>
        <v/>
      </c>
      <c r="P2680" s="5" t="str">
        <f>IFERROR(__xludf.DUMMYFUNCTION("""COMPUTED_VALUE"""),"")</f>
        <v/>
      </c>
      <c r="Q2680" s="5">
        <f>IFERROR(__xludf.DUMMYFUNCTION("""COMPUTED_VALUE"""),0.008208027777777778)</f>
        <v>0.008208027778</v>
      </c>
      <c r="R2680" s="4">
        <f>IFERROR(__xludf.DUMMYFUNCTION("""COMPUTED_VALUE"""),45949.04104013314)</f>
        <v>45949.04104</v>
      </c>
      <c r="S2680" s="1" t="b">
        <f>IFERROR(__xludf.DUMMYFUNCTION("""COMPUTED_VALUE"""),TRUE)</f>
        <v>1</v>
      </c>
      <c r="T2680" s="1" t="b">
        <f>IFERROR(__xludf.DUMMYFUNCTION("""COMPUTED_VALUE"""),FALSE)</f>
        <v>0</v>
      </c>
      <c r="U2680" s="1" t="str">
        <f>IFERROR(__xludf.DUMMYFUNCTION("""COMPUTED_VALUE"""),"VALID")</f>
        <v>VALID</v>
      </c>
      <c r="V2680" s="1">
        <f>IFERROR(__xludf.DUMMYFUNCTION("""COMPUTED_VALUE"""),11.0)</f>
        <v>11</v>
      </c>
      <c r="W2680" s="1">
        <f>IFERROR(__xludf.DUMMYFUNCTION("""COMPUTED_VALUE"""),1287.0)</f>
        <v>1287</v>
      </c>
      <c r="X2680" s="1">
        <f>IFERROR(__xludf.DUMMYFUNCTION("""COMPUTED_VALUE"""),412.0)</f>
        <v>412</v>
      </c>
      <c r="Y2680" s="2"/>
      <c r="Z2680" s="2"/>
    </row>
    <row r="2681">
      <c r="A2681" s="1">
        <f>IFERROR(__xludf.DUMMYFUNCTION("""COMPUTED_VALUE"""),2680.0)</f>
        <v>2680</v>
      </c>
      <c r="B2681" s="1">
        <f>IFERROR(__xludf.DUMMYFUNCTION("""COMPUTED_VALUE"""),9101.0)</f>
        <v>9101</v>
      </c>
      <c r="C2681" s="2" t="str">
        <f>IFERROR(__xludf.DUMMYFUNCTION("""COMPUTED_VALUE"""),"Firas")</f>
        <v>Firas</v>
      </c>
      <c r="D2681" s="2" t="str">
        <f>IFERROR(__xludf.DUMMYFUNCTION("""COMPUTED_VALUE"""),"5KM STUDENT M")</f>
        <v>5KM STUDENT M</v>
      </c>
      <c r="E2681" s="1">
        <f>IFERROR(__xludf.DUMMYFUNCTION("""COMPUTED_VALUE"""),2.0)</f>
        <v>2</v>
      </c>
      <c r="F2681" s="1" t="str">
        <f>IFERROR(__xludf.DUMMYFUNCTION("""COMPUTED_VALUE"""),"Male")</f>
        <v>Male</v>
      </c>
      <c r="G2681" s="4" t="b">
        <f>IFERROR(__xludf.DUMMYFUNCTION("""COMPUTED_VALUE"""),TRUE)</f>
        <v>1</v>
      </c>
      <c r="H2681" s="4" t="b">
        <f>IFERROR(__xludf.DUMMYFUNCTION("""COMPUTED_VALUE"""),TRUE)</f>
        <v>1</v>
      </c>
      <c r="I2681" s="4">
        <f>IFERROR(__xludf.DUMMYFUNCTION("""COMPUTED_VALUE"""),0.2549440625)</f>
        <v>0.2549440625</v>
      </c>
      <c r="J2681" s="4">
        <f>IFERROR(__xludf.DUMMYFUNCTION("""COMPUTED_VALUE"""),45950.27313657408)</f>
        <v>45950.27314</v>
      </c>
      <c r="K2681" s="4" t="str">
        <f>IFERROR(__xludf.DUMMYFUNCTION("""COMPUTED_VALUE"""),"")</f>
        <v/>
      </c>
      <c r="L2681" s="4">
        <f>IFERROR(__xludf.DUMMYFUNCTION("""COMPUTED_VALUE"""),45949.285258513955)</f>
        <v>45949.28526</v>
      </c>
      <c r="M2681" s="1" t="str">
        <f>IFERROR(__xludf.DUMMYFUNCTION("""COMPUTED_VALUE"""),"RFID")</f>
        <v>RFID</v>
      </c>
      <c r="N2681" s="5">
        <f>IFERROR(__xludf.DUMMYFUNCTION("""COMPUTED_VALUE"""),0.00727700462962963)</f>
        <v>0.00727700463</v>
      </c>
      <c r="O2681" s="5" t="str">
        <f>IFERROR(__xludf.DUMMYFUNCTION("""COMPUTED_VALUE"""),"")</f>
        <v/>
      </c>
      <c r="P2681" s="5" t="str">
        <f>IFERROR(__xludf.DUMMYFUNCTION("""COMPUTED_VALUE"""),"")</f>
        <v/>
      </c>
      <c r="Q2681" s="5">
        <f>IFERROR(__xludf.DUMMYFUNCTION("""COMPUTED_VALUE"""),0.006062891203703703)</f>
        <v>0.006062891204</v>
      </c>
      <c r="R2681" s="4">
        <f>IFERROR(__xludf.DUMMYFUNCTION("""COMPUTED_VALUE"""),45949.030314451455)</f>
        <v>45949.03031</v>
      </c>
      <c r="S2681" s="1" t="b">
        <f>IFERROR(__xludf.DUMMYFUNCTION("""COMPUTED_VALUE"""),TRUE)</f>
        <v>1</v>
      </c>
      <c r="T2681" s="1" t="b">
        <f>IFERROR(__xludf.DUMMYFUNCTION("""COMPUTED_VALUE"""),FALSE)</f>
        <v>0</v>
      </c>
      <c r="U2681" s="1" t="str">
        <f>IFERROR(__xludf.DUMMYFUNCTION("""COMPUTED_VALUE"""),"VALID")</f>
        <v>VALID</v>
      </c>
      <c r="V2681" s="1">
        <f>IFERROR(__xludf.DUMMYFUNCTION("""COMPUTED_VALUE"""),46.0)</f>
        <v>46</v>
      </c>
      <c r="W2681" s="1">
        <f>IFERROR(__xludf.DUMMYFUNCTION("""COMPUTED_VALUE"""),591.0)</f>
        <v>591</v>
      </c>
      <c r="X2681" s="1">
        <f>IFERROR(__xludf.DUMMYFUNCTION("""COMPUTED_VALUE"""),502.0)</f>
        <v>502</v>
      </c>
      <c r="Y2681" s="2"/>
      <c r="Z2681" s="2" t="str">
        <f>IFERROR(__xludf.DUMMYFUNCTION("""COMPUTED_VALUE"""),"C")</f>
        <v>C</v>
      </c>
    </row>
    <row r="2682">
      <c r="A2682" s="1">
        <f>IFERROR(__xludf.DUMMYFUNCTION("""COMPUTED_VALUE"""),2681.0)</f>
        <v>2681</v>
      </c>
      <c r="B2682" s="7" t="str">
        <f>IFERROR(__xludf.DUMMYFUNCTION("""COMPUTED_VALUE"""),"9001")</f>
        <v>9001</v>
      </c>
      <c r="C2682" s="8" t="str">
        <f>IFERROR(__xludf.DUMMYFUNCTION("""COMPUTED_VALUE"""),"Raditya Ahmad")</f>
        <v>Raditya Ahmad</v>
      </c>
      <c r="D2682" s="2" t="str">
        <f>IFERROR(__xludf.DUMMYFUNCTION("""COMPUTED_VALUE"""),"5KM STUDENT M")</f>
        <v>5KM STUDENT M</v>
      </c>
      <c r="E2682" s="1">
        <f>IFERROR(__xludf.DUMMYFUNCTION("""COMPUTED_VALUE"""),2.0)</f>
        <v>2</v>
      </c>
      <c r="F2682" s="1" t="str">
        <f>IFERROR(__xludf.DUMMYFUNCTION("""COMPUTED_VALUE"""),"Male")</f>
        <v>Male</v>
      </c>
      <c r="G2682" s="4" t="b">
        <f>IFERROR(__xludf.DUMMYFUNCTION("""COMPUTED_VALUE"""),TRUE)</f>
        <v>1</v>
      </c>
      <c r="H2682" s="4" t="b">
        <f>IFERROR(__xludf.DUMMYFUNCTION("""COMPUTED_VALUE"""),TRUE)</f>
        <v>1</v>
      </c>
      <c r="I2682" s="4">
        <f>IFERROR(__xludf.DUMMYFUNCTION("""COMPUTED_VALUE"""),0.2549440625)</f>
        <v>0.2549440625</v>
      </c>
      <c r="J2682" s="4">
        <f>IFERROR(__xludf.DUMMYFUNCTION("""COMPUTED_VALUE"""),45949.27100237986)</f>
        <v>45949.271</v>
      </c>
      <c r="K2682" s="4" t="str">
        <f>IFERROR(__xludf.DUMMYFUNCTION("""COMPUTED_VALUE"""),"")</f>
        <v/>
      </c>
      <c r="L2682" s="4">
        <f>IFERROR(__xludf.DUMMYFUNCTION("""COMPUTED_VALUE"""),45949.279387437884)</f>
        <v>45949.27939</v>
      </c>
      <c r="M2682" s="1" t="str">
        <f>IFERROR(__xludf.DUMMYFUNCTION("""COMPUTED_VALUE"""),"RFID")</f>
        <v>RFID</v>
      </c>
      <c r="N2682" s="5">
        <f>IFERROR(__xludf.DUMMYFUNCTION("""COMPUTED_VALUE"""),0.006423328703703704)</f>
        <v>0.006423328704</v>
      </c>
      <c r="O2682" s="5" t="str">
        <f>IFERROR(__xludf.DUMMYFUNCTION("""COMPUTED_VALUE"""),"")</f>
        <v/>
      </c>
      <c r="P2682" s="5" t="str">
        <f>IFERROR(__xludf.DUMMYFUNCTION("""COMPUTED_VALUE"""),"")</f>
        <v/>
      </c>
      <c r="Q2682" s="5">
        <f>IFERROR(__xludf.DUMMYFUNCTION("""COMPUTED_VALUE"""),0.004888675925925926)</f>
        <v>0.004888675926</v>
      </c>
      <c r="R2682" s="4">
        <f>IFERROR(__xludf.DUMMYFUNCTION("""COMPUTED_VALUE"""),45949.02444337538)</f>
        <v>45949.02444</v>
      </c>
      <c r="S2682" s="1" t="b">
        <f>IFERROR(__xludf.DUMMYFUNCTION("""COMPUTED_VALUE"""),TRUE)</f>
        <v>1</v>
      </c>
      <c r="T2682" s="1" t="b">
        <f>IFERROR(__xludf.DUMMYFUNCTION("""COMPUTED_VALUE"""),FALSE)</f>
        <v>0</v>
      </c>
      <c r="U2682" s="1" t="str">
        <f>IFERROR(__xludf.DUMMYFUNCTION("""COMPUTED_VALUE"""),"VALID")</f>
        <v>VALID</v>
      </c>
      <c r="V2682" s="1">
        <f>IFERROR(__xludf.DUMMYFUNCTION("""COMPUTED_VALUE"""),33.0)</f>
        <v>33</v>
      </c>
      <c r="W2682" s="1">
        <f>IFERROR(__xludf.DUMMYFUNCTION("""COMPUTED_VALUE"""),262.0)</f>
        <v>262</v>
      </c>
      <c r="X2682" s="1">
        <f>IFERROR(__xludf.DUMMYFUNCTION("""COMPUTED_VALUE"""),229.0)</f>
        <v>229</v>
      </c>
      <c r="Y2682" s="2"/>
      <c r="Z2682" s="2"/>
    </row>
    <row r="2683">
      <c r="A2683" s="1">
        <f>IFERROR(__xludf.DUMMYFUNCTION("""COMPUTED_VALUE"""),2682.0)</f>
        <v>2682</v>
      </c>
      <c r="B2683" s="7" t="str">
        <f>IFERROR(__xludf.DUMMYFUNCTION("""COMPUTED_VALUE"""),"9005")</f>
        <v>9005</v>
      </c>
      <c r="C2683" s="8" t="str">
        <f>IFERROR(__xludf.DUMMYFUNCTION("""COMPUTED_VALUE"""),"Gibran")</f>
        <v>Gibran</v>
      </c>
      <c r="D2683" s="2" t="str">
        <f>IFERROR(__xludf.DUMMYFUNCTION("""COMPUTED_VALUE"""),"5KM STUDENT M")</f>
        <v>5KM STUDENT M</v>
      </c>
      <c r="E2683" s="1">
        <f>IFERROR(__xludf.DUMMYFUNCTION("""COMPUTED_VALUE"""),2.0)</f>
        <v>2</v>
      </c>
      <c r="F2683" s="1" t="str">
        <f>IFERROR(__xludf.DUMMYFUNCTION("""COMPUTED_VALUE"""),"Male")</f>
        <v>Male</v>
      </c>
      <c r="G2683" s="4" t="b">
        <f>IFERROR(__xludf.DUMMYFUNCTION("""COMPUTED_VALUE"""),TRUE)</f>
        <v>1</v>
      </c>
      <c r="H2683" s="4" t="b">
        <f>IFERROR(__xludf.DUMMYFUNCTION("""COMPUTED_VALUE"""),FALSE)</f>
        <v>0</v>
      </c>
      <c r="I2683" s="4">
        <f>IFERROR(__xludf.DUMMYFUNCTION("""COMPUTED_VALUE"""),0.2549440625)</f>
        <v>0.2549440625</v>
      </c>
      <c r="J2683" s="4">
        <f>IFERROR(__xludf.DUMMYFUNCTION("""COMPUTED_VALUE"""),45949.269578854575)</f>
        <v>45949.26958</v>
      </c>
      <c r="K2683" s="4" t="str">
        <f>IFERROR(__xludf.DUMMYFUNCTION("""COMPUTED_VALUE"""),"")</f>
        <v/>
      </c>
      <c r="L2683" s="4">
        <f>IFERROR(__xludf.DUMMYFUNCTION("""COMPUTED_VALUE"""),45949.2788696228)</f>
        <v>45949.27887</v>
      </c>
      <c r="M2683" s="1" t="str">
        <f>IFERROR(__xludf.DUMMYFUNCTION("""COMPUTED_VALUE"""),"RFID")</f>
        <v>RFID</v>
      </c>
      <c r="N2683" s="5">
        <f>IFERROR(__xludf.DUMMYFUNCTION("""COMPUTED_VALUE"""),0.005853916666666666)</f>
        <v>0.005853916667</v>
      </c>
      <c r="O2683" s="5" t="str">
        <f>IFERROR(__xludf.DUMMYFUNCTION("""COMPUTED_VALUE"""),"")</f>
        <v/>
      </c>
      <c r="P2683" s="5" t="str">
        <f>IFERROR(__xludf.DUMMYFUNCTION("""COMPUTED_VALUE"""),"")</f>
        <v/>
      </c>
      <c r="Q2683" s="5">
        <f>IFERROR(__xludf.DUMMYFUNCTION("""COMPUTED_VALUE"""),0.0047851111111111115)</f>
        <v>0.004785111111</v>
      </c>
      <c r="R2683" s="4">
        <f>IFERROR(__xludf.DUMMYFUNCTION("""COMPUTED_VALUE"""),45949.0239255603)</f>
        <v>45949.02393</v>
      </c>
      <c r="S2683" s="1" t="b">
        <f>IFERROR(__xludf.DUMMYFUNCTION("""COMPUTED_VALUE"""),TRUE)</f>
        <v>1</v>
      </c>
      <c r="T2683" s="1" t="b">
        <f>IFERROR(__xludf.DUMMYFUNCTION("""COMPUTED_VALUE"""),FALSE)</f>
        <v>0</v>
      </c>
      <c r="U2683" s="1" t="str">
        <f>IFERROR(__xludf.DUMMYFUNCTION("""COMPUTED_VALUE"""),"VALID")</f>
        <v>VALID</v>
      </c>
      <c r="V2683" s="1">
        <f>IFERROR(__xludf.DUMMYFUNCTION("""COMPUTED_VALUE"""),32.0)</f>
        <v>32</v>
      </c>
      <c r="W2683" s="1">
        <f>IFERROR(__xludf.DUMMYFUNCTION("""COMPUTED_VALUE"""),245.0)</f>
        <v>245</v>
      </c>
      <c r="X2683" s="1">
        <f>IFERROR(__xludf.DUMMYFUNCTION("""COMPUTED_VALUE"""),215.0)</f>
        <v>215</v>
      </c>
      <c r="Y2683" s="2"/>
      <c r="Z2683" s="2"/>
    </row>
    <row r="2684">
      <c r="A2684" s="1">
        <f>IFERROR(__xludf.DUMMYFUNCTION("""COMPUTED_VALUE"""),2683.0)</f>
        <v>2683</v>
      </c>
      <c r="B2684" s="7" t="str">
        <f>IFERROR(__xludf.DUMMYFUNCTION("""COMPUTED_VALUE"""),"9008")</f>
        <v>9008</v>
      </c>
      <c r="C2684" s="8" t="str">
        <f>IFERROR(__xludf.DUMMYFUNCTION("""COMPUTED_VALUE"""),"AZZAM TSAQIB NABIL FARSYADANY")</f>
        <v>AZZAM TSAQIB NABIL FARSYADANY</v>
      </c>
      <c r="D2684" s="2" t="str">
        <f>IFERROR(__xludf.DUMMYFUNCTION("""COMPUTED_VALUE"""),"5KM STUDENT M")</f>
        <v>5KM STUDENT M</v>
      </c>
      <c r="E2684" s="1">
        <f>IFERROR(__xludf.DUMMYFUNCTION("""COMPUTED_VALUE"""),2.0)</f>
        <v>2</v>
      </c>
      <c r="F2684" s="1" t="str">
        <f>IFERROR(__xludf.DUMMYFUNCTION("""COMPUTED_VALUE"""),"Male")</f>
        <v>Male</v>
      </c>
      <c r="G2684" s="4" t="b">
        <f>IFERROR(__xludf.DUMMYFUNCTION("""COMPUTED_VALUE"""),TRUE)</f>
        <v>1</v>
      </c>
      <c r="H2684" s="4" t="b">
        <f>IFERROR(__xludf.DUMMYFUNCTION("""COMPUTED_VALUE"""),FALSE)</f>
        <v>0</v>
      </c>
      <c r="I2684" s="4">
        <f>IFERROR(__xludf.DUMMYFUNCTION("""COMPUTED_VALUE"""),0.2549440625)</f>
        <v>0.2549440625</v>
      </c>
      <c r="J2684" s="4">
        <f>IFERROR(__xludf.DUMMYFUNCTION("""COMPUTED_VALUE"""),45949.280731543666)</f>
        <v>45949.28073</v>
      </c>
      <c r="K2684" s="4" t="str">
        <f>IFERROR(__xludf.DUMMYFUNCTION("""COMPUTED_VALUE"""),"")</f>
        <v/>
      </c>
      <c r="L2684" s="4">
        <f>IFERROR(__xludf.DUMMYFUNCTION("""COMPUTED_VALUE"""),45949.298921661466)</f>
        <v>45949.29892</v>
      </c>
      <c r="M2684" s="1" t="str">
        <f>IFERROR(__xludf.DUMMYFUNCTION("""COMPUTED_VALUE"""),"RFID")</f>
        <v>RFID</v>
      </c>
      <c r="N2684" s="5">
        <f>IFERROR(__xludf.DUMMYFUNCTION("""COMPUTED_VALUE"""),0.010314990740740741)</f>
        <v>0.01031499074</v>
      </c>
      <c r="O2684" s="5" t="str">
        <f>IFERROR(__xludf.DUMMYFUNCTION("""COMPUTED_VALUE"""),"")</f>
        <v/>
      </c>
      <c r="P2684" s="5" t="str">
        <f>IFERROR(__xludf.DUMMYFUNCTION("""COMPUTED_VALUE"""),"")</f>
        <v/>
      </c>
      <c r="Q2684" s="5">
        <f>IFERROR(__xludf.DUMMYFUNCTION("""COMPUTED_VALUE"""),0.008795520833333332)</f>
        <v>0.008795520833</v>
      </c>
      <c r="R2684" s="4">
        <f>IFERROR(__xludf.DUMMYFUNCTION("""COMPUTED_VALUE"""),45949.043977598965)</f>
        <v>45949.04398</v>
      </c>
      <c r="S2684" s="1" t="b">
        <f>IFERROR(__xludf.DUMMYFUNCTION("""COMPUTED_VALUE"""),TRUE)</f>
        <v>1</v>
      </c>
      <c r="T2684" s="1" t="b">
        <f>IFERROR(__xludf.DUMMYFUNCTION("""COMPUTED_VALUE"""),FALSE)</f>
        <v>0</v>
      </c>
      <c r="U2684" s="1" t="str">
        <f>IFERROR(__xludf.DUMMYFUNCTION("""COMPUTED_VALUE"""),"VALID")</f>
        <v>VALID</v>
      </c>
      <c r="V2684" s="1">
        <f>IFERROR(__xludf.DUMMYFUNCTION("""COMPUTED_VALUE"""),67.0)</f>
        <v>67</v>
      </c>
      <c r="W2684" s="1">
        <f>IFERROR(__xludf.DUMMYFUNCTION("""COMPUTED_VALUE"""),1408.0)</f>
        <v>1408</v>
      </c>
      <c r="X2684" s="1">
        <f>IFERROR(__xludf.DUMMYFUNCTION("""COMPUTED_VALUE"""),1148.0)</f>
        <v>1148</v>
      </c>
      <c r="Y2684" s="2"/>
      <c r="Z2684" s="2"/>
    </row>
    <row r="2685">
      <c r="A2685" s="1">
        <f>IFERROR(__xludf.DUMMYFUNCTION("""COMPUTED_VALUE"""),2684.0)</f>
        <v>2684</v>
      </c>
      <c r="B2685" s="7" t="str">
        <f>IFERROR(__xludf.DUMMYFUNCTION("""COMPUTED_VALUE"""),"9009")</f>
        <v>9009</v>
      </c>
      <c r="C2685" s="8" t="str">
        <f>IFERROR(__xludf.DUMMYFUNCTION("""COMPUTED_VALUE"""),"ubai")</f>
        <v>ubai</v>
      </c>
      <c r="D2685" s="2" t="str">
        <f>IFERROR(__xludf.DUMMYFUNCTION("""COMPUTED_VALUE"""),"5KM STUDENT M")</f>
        <v>5KM STUDENT M</v>
      </c>
      <c r="E2685" s="1">
        <f>IFERROR(__xludf.DUMMYFUNCTION("""COMPUTED_VALUE"""),2.0)</f>
        <v>2</v>
      </c>
      <c r="F2685" s="1" t="str">
        <f>IFERROR(__xludf.DUMMYFUNCTION("""COMPUTED_VALUE"""),"Male")</f>
        <v>Male</v>
      </c>
      <c r="G2685" s="4" t="b">
        <f>IFERROR(__xludf.DUMMYFUNCTION("""COMPUTED_VALUE"""),TRUE)</f>
        <v>1</v>
      </c>
      <c r="H2685" s="4" t="b">
        <f>IFERROR(__xludf.DUMMYFUNCTION("""COMPUTED_VALUE"""),FALSE)</f>
        <v>0</v>
      </c>
      <c r="I2685" s="4">
        <f>IFERROR(__xludf.DUMMYFUNCTION("""COMPUTED_VALUE"""),0.2549440625)</f>
        <v>0.2549440625</v>
      </c>
      <c r="J2685" s="4" t="str">
        <f>IFERROR(__xludf.DUMMYFUNCTION("""COMPUTED_VALUE"""),"")</f>
        <v/>
      </c>
      <c r="K2685" s="4" t="str">
        <f>IFERROR(__xludf.DUMMYFUNCTION("""COMPUTED_VALUE"""),"")</f>
        <v/>
      </c>
      <c r="L2685" s="4" t="str">
        <f>IFERROR(__xludf.DUMMYFUNCTION("""COMPUTED_VALUE"""),"")</f>
        <v/>
      </c>
      <c r="M2685" s="1" t="str">
        <f>IFERROR(__xludf.DUMMYFUNCTION("""COMPUTED_VALUE"""),"RFID")</f>
        <v>RFID</v>
      </c>
      <c r="N2685" s="5" t="str">
        <f>IFERROR(__xludf.DUMMYFUNCTION("""COMPUTED_VALUE"""),"")</f>
        <v/>
      </c>
      <c r="O2685" s="5" t="str">
        <f>IFERROR(__xludf.DUMMYFUNCTION("""COMPUTED_VALUE"""),"")</f>
        <v/>
      </c>
      <c r="P2685" s="5" t="str">
        <f>IFERROR(__xludf.DUMMYFUNCTION("""COMPUTED_VALUE"""),"")</f>
        <v/>
      </c>
      <c r="Q2685" s="5" t="str">
        <f>IFERROR(__xludf.DUMMYFUNCTION("""COMPUTED_VALUE"""),"")</f>
        <v/>
      </c>
      <c r="R2685" s="4" t="str">
        <f>IFERROR(__xludf.DUMMYFUNCTION("""COMPUTED_VALUE"""),"")</f>
        <v/>
      </c>
      <c r="S2685" s="1" t="b">
        <f>IFERROR(__xludf.DUMMYFUNCTION("""COMPUTED_VALUE"""),FALSE)</f>
        <v>0</v>
      </c>
      <c r="T2685" s="1" t="b">
        <f>IFERROR(__xludf.DUMMYFUNCTION("""COMPUTED_VALUE"""),FALSE)</f>
        <v>0</v>
      </c>
      <c r="U2685" s="1" t="str">
        <f>IFERROR(__xludf.DUMMYFUNCTION("""COMPUTED_VALUE"""),"DSQ")</f>
        <v>DSQ</v>
      </c>
      <c r="V2685" s="1" t="str">
        <f>IFERROR(__xludf.DUMMYFUNCTION("""COMPUTED_VALUE"""),"DSQ")</f>
        <v>DSQ</v>
      </c>
      <c r="W2685" s="1" t="str">
        <f>IFERROR(__xludf.DUMMYFUNCTION("""COMPUTED_VALUE"""),"DSQ")</f>
        <v>DSQ</v>
      </c>
      <c r="X2685" s="1" t="str">
        <f>IFERROR(__xludf.DUMMYFUNCTION("""COMPUTED_VALUE"""),"DSQ")</f>
        <v>DSQ</v>
      </c>
      <c r="Y2685" s="2"/>
      <c r="Z2685" s="2" t="str">
        <f>IFERROR(__xludf.DUMMYFUNCTION("""COMPUTED_VALUE"""),"")</f>
        <v/>
      </c>
    </row>
    <row r="2686">
      <c r="A2686" s="1">
        <f>IFERROR(__xludf.DUMMYFUNCTION("""COMPUTED_VALUE"""),2685.0)</f>
        <v>2685</v>
      </c>
      <c r="B2686" s="7" t="str">
        <f>IFERROR(__xludf.DUMMYFUNCTION("""COMPUTED_VALUE"""),"9010")</f>
        <v>9010</v>
      </c>
      <c r="C2686" s="8" t="str">
        <f>IFERROR(__xludf.DUMMYFUNCTION("""COMPUTED_VALUE"""),"fico")</f>
        <v>fico</v>
      </c>
      <c r="D2686" s="2" t="str">
        <f>IFERROR(__xludf.DUMMYFUNCTION("""COMPUTED_VALUE"""),"5KM STUDENT M")</f>
        <v>5KM STUDENT M</v>
      </c>
      <c r="E2686" s="1">
        <f>IFERROR(__xludf.DUMMYFUNCTION("""COMPUTED_VALUE"""),2.0)</f>
        <v>2</v>
      </c>
      <c r="F2686" s="1" t="str">
        <f>IFERROR(__xludf.DUMMYFUNCTION("""COMPUTED_VALUE"""),"Male")</f>
        <v>Male</v>
      </c>
      <c r="G2686" s="4" t="b">
        <f>IFERROR(__xludf.DUMMYFUNCTION("""COMPUTED_VALUE"""),TRUE)</f>
        <v>1</v>
      </c>
      <c r="H2686" s="4" t="b">
        <f>IFERROR(__xludf.DUMMYFUNCTION("""COMPUTED_VALUE"""),TRUE)</f>
        <v>1</v>
      </c>
      <c r="I2686" s="4">
        <f>IFERROR(__xludf.DUMMYFUNCTION("""COMPUTED_VALUE"""),0.2549440625)</f>
        <v>0.2549440625</v>
      </c>
      <c r="J2686" s="4">
        <f>IFERROR(__xludf.DUMMYFUNCTION("""COMPUTED_VALUE"""),45949.26353009259)</f>
        <v>45949.26353</v>
      </c>
      <c r="K2686" s="4" t="str">
        <f>IFERROR(__xludf.DUMMYFUNCTION("""COMPUTED_VALUE"""),"")</f>
        <v/>
      </c>
      <c r="L2686" s="4">
        <f>IFERROR(__xludf.DUMMYFUNCTION("""COMPUTED_VALUE"""),45949.27071684201)</f>
        <v>45949.27072</v>
      </c>
      <c r="M2686" s="1" t="str">
        <f>IFERROR(__xludf.DUMMYFUNCTION("""COMPUTED_VALUE"""),"RFID")</f>
        <v>RFID</v>
      </c>
      <c r="N2686" s="5">
        <f>IFERROR(__xludf.DUMMYFUNCTION("""COMPUTED_VALUE"""),0.003434412037037037)</f>
        <v>0.003434412037</v>
      </c>
      <c r="O2686" s="5" t="str">
        <f>IFERROR(__xludf.DUMMYFUNCTION("""COMPUTED_VALUE"""),"")</f>
        <v/>
      </c>
      <c r="P2686" s="5" t="str">
        <f>IFERROR(__xludf.DUMMYFUNCTION("""COMPUTED_VALUE"""),"")</f>
        <v/>
      </c>
      <c r="Q2686" s="5">
        <f>IFERROR(__xludf.DUMMYFUNCTION("""COMPUTED_VALUE"""),0.0031545555555555554)</f>
        <v>0.003154555556</v>
      </c>
      <c r="R2686" s="4">
        <f>IFERROR(__xludf.DUMMYFUNCTION("""COMPUTED_VALUE"""),45949.01577277951)</f>
        <v>45949.01577</v>
      </c>
      <c r="S2686" s="1" t="b">
        <f>IFERROR(__xludf.DUMMYFUNCTION("""COMPUTED_VALUE"""),TRUE)</f>
        <v>1</v>
      </c>
      <c r="T2686" s="1" t="b">
        <f>IFERROR(__xludf.DUMMYFUNCTION("""COMPUTED_VALUE"""),FALSE)</f>
        <v>0</v>
      </c>
      <c r="U2686" s="1" t="str">
        <f>IFERROR(__xludf.DUMMYFUNCTION("""COMPUTED_VALUE"""),"VALID")</f>
        <v>VALID</v>
      </c>
      <c r="V2686" s="1">
        <f>IFERROR(__xludf.DUMMYFUNCTION("""COMPUTED_VALUE"""),7.0)</f>
        <v>7</v>
      </c>
      <c r="W2686" s="1">
        <f>IFERROR(__xludf.DUMMYFUNCTION("""COMPUTED_VALUE"""),21.0)</f>
        <v>21</v>
      </c>
      <c r="X2686" s="1">
        <f>IFERROR(__xludf.DUMMYFUNCTION("""COMPUTED_VALUE"""),21.0)</f>
        <v>21</v>
      </c>
      <c r="Y2686" s="2"/>
      <c r="Z2686" s="2"/>
    </row>
    <row r="2687">
      <c r="A2687" s="1">
        <f>IFERROR(__xludf.DUMMYFUNCTION("""COMPUTED_VALUE"""),2686.0)</f>
        <v>2686</v>
      </c>
      <c r="B2687" s="7" t="str">
        <f>IFERROR(__xludf.DUMMYFUNCTION("""COMPUTED_VALUE"""),"9011")</f>
        <v>9011</v>
      </c>
      <c r="C2687" s="8" t="str">
        <f>IFERROR(__xludf.DUMMYFUNCTION("""COMPUTED_VALUE"""),"Fatih")</f>
        <v>Fatih</v>
      </c>
      <c r="D2687" s="2" t="str">
        <f>IFERROR(__xludf.DUMMYFUNCTION("""COMPUTED_VALUE"""),"5KM STUDENT M")</f>
        <v>5KM STUDENT M</v>
      </c>
      <c r="E2687" s="1">
        <f>IFERROR(__xludf.DUMMYFUNCTION("""COMPUTED_VALUE"""),2.0)</f>
        <v>2</v>
      </c>
      <c r="F2687" s="1" t="str">
        <f>IFERROR(__xludf.DUMMYFUNCTION("""COMPUTED_VALUE"""),"Male")</f>
        <v>Male</v>
      </c>
      <c r="G2687" s="4" t="b">
        <f>IFERROR(__xludf.DUMMYFUNCTION("""COMPUTED_VALUE"""),TRUE)</f>
        <v>1</v>
      </c>
      <c r="H2687" s="4" t="b">
        <f>IFERROR(__xludf.DUMMYFUNCTION("""COMPUTED_VALUE"""),TRUE)</f>
        <v>1</v>
      </c>
      <c r="I2687" s="4">
        <f>IFERROR(__xludf.DUMMYFUNCTION("""COMPUTED_VALUE"""),0.2549440625)</f>
        <v>0.2549440625</v>
      </c>
      <c r="J2687" s="4">
        <f>IFERROR(__xludf.DUMMYFUNCTION("""COMPUTED_VALUE"""),45949.27176280891)</f>
        <v>45949.27176</v>
      </c>
      <c r="K2687" s="4" t="str">
        <f>IFERROR(__xludf.DUMMYFUNCTION("""COMPUTED_VALUE"""),"")</f>
        <v/>
      </c>
      <c r="L2687" s="4">
        <f>IFERROR(__xludf.DUMMYFUNCTION("""COMPUTED_VALUE"""),45949.284977255906)</f>
        <v>45949.28498</v>
      </c>
      <c r="M2687" s="1" t="str">
        <f>IFERROR(__xludf.DUMMYFUNCTION("""COMPUTED_VALUE"""),"RFID")</f>
        <v>RFID</v>
      </c>
      <c r="N2687" s="5">
        <f>IFERROR(__xludf.DUMMYFUNCTION("""COMPUTED_VALUE"""),0.0067275)</f>
        <v>0.0067275</v>
      </c>
      <c r="O2687" s="5" t="str">
        <f>IFERROR(__xludf.DUMMYFUNCTION("""COMPUTED_VALUE"""),"")</f>
        <v/>
      </c>
      <c r="P2687" s="5" t="str">
        <f>IFERROR(__xludf.DUMMYFUNCTION("""COMPUTED_VALUE"""),"")</f>
        <v/>
      </c>
      <c r="Q2687" s="5">
        <f>IFERROR(__xludf.DUMMYFUNCTION("""COMPUTED_VALUE"""),0.006006638888888889)</f>
        <v>0.006006638889</v>
      </c>
      <c r="R2687" s="4">
        <f>IFERROR(__xludf.DUMMYFUNCTION("""COMPUTED_VALUE"""),45949.030033193405)</f>
        <v>45949.03003</v>
      </c>
      <c r="S2687" s="1" t="b">
        <f>IFERROR(__xludf.DUMMYFUNCTION("""COMPUTED_VALUE"""),TRUE)</f>
        <v>1</v>
      </c>
      <c r="T2687" s="1" t="b">
        <f>IFERROR(__xludf.DUMMYFUNCTION("""COMPUTED_VALUE"""),FALSE)</f>
        <v>0</v>
      </c>
      <c r="U2687" s="1" t="str">
        <f>IFERROR(__xludf.DUMMYFUNCTION("""COMPUTED_VALUE"""),"VALID")</f>
        <v>VALID</v>
      </c>
      <c r="V2687" s="1">
        <f>IFERROR(__xludf.DUMMYFUNCTION("""COMPUTED_VALUE"""),45.0)</f>
        <v>45</v>
      </c>
      <c r="W2687" s="1">
        <f>IFERROR(__xludf.DUMMYFUNCTION("""COMPUTED_VALUE"""),573.0)</f>
        <v>573</v>
      </c>
      <c r="X2687" s="1">
        <f>IFERROR(__xludf.DUMMYFUNCTION("""COMPUTED_VALUE"""),488.0)</f>
        <v>488</v>
      </c>
      <c r="Y2687" s="2"/>
      <c r="Z2687" s="2"/>
    </row>
    <row r="2688">
      <c r="A2688" s="1">
        <f>IFERROR(__xludf.DUMMYFUNCTION("""COMPUTED_VALUE"""),2687.0)</f>
        <v>2687</v>
      </c>
      <c r="B2688" s="7" t="str">
        <f>IFERROR(__xludf.DUMMYFUNCTION("""COMPUTED_VALUE"""),"9012")</f>
        <v>9012</v>
      </c>
      <c r="C2688" s="8" t="str">
        <f>IFERROR(__xludf.DUMMYFUNCTION("""COMPUTED_VALUE"""),"D. Farshad. L")</f>
        <v>D. Farshad. L</v>
      </c>
      <c r="D2688" s="2" t="str">
        <f>IFERROR(__xludf.DUMMYFUNCTION("""COMPUTED_VALUE"""),"5KM STUDENT M")</f>
        <v>5KM STUDENT M</v>
      </c>
      <c r="E2688" s="1">
        <f>IFERROR(__xludf.DUMMYFUNCTION("""COMPUTED_VALUE"""),2.0)</f>
        <v>2</v>
      </c>
      <c r="F2688" s="1" t="str">
        <f>IFERROR(__xludf.DUMMYFUNCTION("""COMPUTED_VALUE"""),"Male")</f>
        <v>Male</v>
      </c>
      <c r="G2688" s="4" t="b">
        <f>IFERROR(__xludf.DUMMYFUNCTION("""COMPUTED_VALUE"""),TRUE)</f>
        <v>1</v>
      </c>
      <c r="H2688" s="4" t="b">
        <f>IFERROR(__xludf.DUMMYFUNCTION("""COMPUTED_VALUE"""),TRUE)</f>
        <v>1</v>
      </c>
      <c r="I2688" s="4">
        <f>IFERROR(__xludf.DUMMYFUNCTION("""COMPUTED_VALUE"""),0.2549440625)</f>
        <v>0.2549440625</v>
      </c>
      <c r="J2688" s="4">
        <f>IFERROR(__xludf.DUMMYFUNCTION("""COMPUTED_VALUE"""),45949.268009687745)</f>
        <v>45949.26801</v>
      </c>
      <c r="K2688" s="4" t="str">
        <f>IFERROR(__xludf.DUMMYFUNCTION("""COMPUTED_VALUE"""),"")</f>
        <v/>
      </c>
      <c r="L2688" s="4">
        <f>IFERROR(__xludf.DUMMYFUNCTION("""COMPUTED_VALUE"""),45949.27747720902)</f>
        <v>45949.27748</v>
      </c>
      <c r="M2688" s="1" t="str">
        <f>IFERROR(__xludf.DUMMYFUNCTION("""COMPUTED_VALUE"""),"RFID")</f>
        <v>RFID</v>
      </c>
      <c r="N2688" s="5">
        <f>IFERROR(__xludf.DUMMYFUNCTION("""COMPUTED_VALUE"""),0.00522625)</f>
        <v>0.00522625</v>
      </c>
      <c r="O2688" s="5" t="str">
        <f>IFERROR(__xludf.DUMMYFUNCTION("""COMPUTED_VALUE"""),"")</f>
        <v/>
      </c>
      <c r="P2688" s="5" t="str">
        <f>IFERROR(__xludf.DUMMYFUNCTION("""COMPUTED_VALUE"""),"")</f>
        <v/>
      </c>
      <c r="Q2688" s="5">
        <f>IFERROR(__xludf.DUMMYFUNCTION("""COMPUTED_VALUE"""),0.0045066296296296295)</f>
        <v>0.00450662963</v>
      </c>
      <c r="R2688" s="4">
        <f>IFERROR(__xludf.DUMMYFUNCTION("""COMPUTED_VALUE"""),45949.02253314652)</f>
        <v>45949.02253</v>
      </c>
      <c r="S2688" s="1" t="b">
        <f>IFERROR(__xludf.DUMMYFUNCTION("""COMPUTED_VALUE"""),TRUE)</f>
        <v>1</v>
      </c>
      <c r="T2688" s="1" t="b">
        <f>IFERROR(__xludf.DUMMYFUNCTION("""COMPUTED_VALUE"""),FALSE)</f>
        <v>0</v>
      </c>
      <c r="U2688" s="1" t="str">
        <f>IFERROR(__xludf.DUMMYFUNCTION("""COMPUTED_VALUE"""),"VALID")</f>
        <v>VALID</v>
      </c>
      <c r="V2688" s="1">
        <f>IFERROR(__xludf.DUMMYFUNCTION("""COMPUTED_VALUE"""),25.0)</f>
        <v>25</v>
      </c>
      <c r="W2688" s="1">
        <f>IFERROR(__xludf.DUMMYFUNCTION("""COMPUTED_VALUE"""),189.0)</f>
        <v>189</v>
      </c>
      <c r="X2688" s="1">
        <f>IFERROR(__xludf.DUMMYFUNCTION("""COMPUTED_VALUE"""),166.0)</f>
        <v>166</v>
      </c>
      <c r="Y2688" s="2"/>
      <c r="Z2688" s="2"/>
    </row>
    <row r="2689">
      <c r="A2689" s="1">
        <f>IFERROR(__xludf.DUMMYFUNCTION("""COMPUTED_VALUE"""),2688.0)</f>
        <v>2688</v>
      </c>
      <c r="B2689" s="7" t="str">
        <f>IFERROR(__xludf.DUMMYFUNCTION("""COMPUTED_VALUE"""),"9013")</f>
        <v>9013</v>
      </c>
      <c r="C2689" s="8" t="str">
        <f>IFERROR(__xludf.DUMMYFUNCTION("""COMPUTED_VALUE"""),"Muhammad Hafiz Ihsani")</f>
        <v>Muhammad Hafiz Ihsani</v>
      </c>
      <c r="D2689" s="2" t="str">
        <f>IFERROR(__xludf.DUMMYFUNCTION("""COMPUTED_VALUE"""),"5KM STUDENT M")</f>
        <v>5KM STUDENT M</v>
      </c>
      <c r="E2689" s="1">
        <f>IFERROR(__xludf.DUMMYFUNCTION("""COMPUTED_VALUE"""),2.0)</f>
        <v>2</v>
      </c>
      <c r="F2689" s="1" t="str">
        <f>IFERROR(__xludf.DUMMYFUNCTION("""COMPUTED_VALUE"""),"Male")</f>
        <v>Male</v>
      </c>
      <c r="G2689" s="4" t="b">
        <f>IFERROR(__xludf.DUMMYFUNCTION("""COMPUTED_VALUE"""),TRUE)</f>
        <v>1</v>
      </c>
      <c r="H2689" s="4" t="b">
        <f>IFERROR(__xludf.DUMMYFUNCTION("""COMPUTED_VALUE"""),TRUE)</f>
        <v>1</v>
      </c>
      <c r="I2689" s="4">
        <f>IFERROR(__xludf.DUMMYFUNCTION("""COMPUTED_VALUE"""),0.2549440625)</f>
        <v>0.2549440625</v>
      </c>
      <c r="J2689" s="4">
        <f>IFERROR(__xludf.DUMMYFUNCTION("""COMPUTED_VALUE"""),45949.26356481481)</f>
        <v>45949.26356</v>
      </c>
      <c r="K2689" s="4" t="str">
        <f>IFERROR(__xludf.DUMMYFUNCTION("""COMPUTED_VALUE"""),"")</f>
        <v/>
      </c>
      <c r="L2689" s="4">
        <f>IFERROR(__xludf.DUMMYFUNCTION("""COMPUTED_VALUE"""),45949.27214741107)</f>
        <v>45949.27215</v>
      </c>
      <c r="M2689" s="1" t="str">
        <f>IFERROR(__xludf.DUMMYFUNCTION("""COMPUTED_VALUE"""),"RFID")</f>
        <v>RFID</v>
      </c>
      <c r="N2689" s="5">
        <f>IFERROR(__xludf.DUMMYFUNCTION("""COMPUTED_VALUE"""),0.0034483009259259254)</f>
        <v>0.003448300926</v>
      </c>
      <c r="O2689" s="5" t="str">
        <f>IFERROR(__xludf.DUMMYFUNCTION("""COMPUTED_VALUE"""),"")</f>
        <v/>
      </c>
      <c r="P2689" s="5" t="str">
        <f>IFERROR(__xludf.DUMMYFUNCTION("""COMPUTED_VALUE"""),"")</f>
        <v/>
      </c>
      <c r="Q2689" s="5">
        <f>IFERROR(__xludf.DUMMYFUNCTION("""COMPUTED_VALUE"""),0.003440668981481481)</f>
        <v>0.003440668981</v>
      </c>
      <c r="R2689" s="4">
        <f>IFERROR(__xludf.DUMMYFUNCTION("""COMPUTED_VALUE"""),45949.01720334857)</f>
        <v>45949.0172</v>
      </c>
      <c r="S2689" s="1" t="b">
        <f>IFERROR(__xludf.DUMMYFUNCTION("""COMPUTED_VALUE"""),TRUE)</f>
        <v>1</v>
      </c>
      <c r="T2689" s="1" t="b">
        <f>IFERROR(__xludf.DUMMYFUNCTION("""COMPUTED_VALUE"""),FALSE)</f>
        <v>0</v>
      </c>
      <c r="U2689" s="1" t="str">
        <f>IFERROR(__xludf.DUMMYFUNCTION("""COMPUTED_VALUE"""),"VALID")</f>
        <v>VALID</v>
      </c>
      <c r="V2689" s="1">
        <f>IFERROR(__xludf.DUMMYFUNCTION("""COMPUTED_VALUE"""),9.0)</f>
        <v>9</v>
      </c>
      <c r="W2689" s="1">
        <f>IFERROR(__xludf.DUMMYFUNCTION("""COMPUTED_VALUE"""),37.0)</f>
        <v>37</v>
      </c>
      <c r="X2689" s="1">
        <f>IFERROR(__xludf.DUMMYFUNCTION("""COMPUTED_VALUE"""),36.0)</f>
        <v>36</v>
      </c>
      <c r="Y2689" s="2"/>
      <c r="Z2689" s="2"/>
    </row>
    <row r="2690">
      <c r="A2690" s="1">
        <f>IFERROR(__xludf.DUMMYFUNCTION("""COMPUTED_VALUE"""),2689.0)</f>
        <v>2689</v>
      </c>
      <c r="B2690" s="7" t="str">
        <f>IFERROR(__xludf.DUMMYFUNCTION("""COMPUTED_VALUE"""),"9014")</f>
        <v>9014</v>
      </c>
      <c r="C2690" s="8" t="str">
        <f>IFERROR(__xludf.DUMMYFUNCTION("""COMPUTED_VALUE"""),"M ARUNG MEISA RAHMAN")</f>
        <v>M ARUNG MEISA RAHMAN</v>
      </c>
      <c r="D2690" s="2" t="str">
        <f>IFERROR(__xludf.DUMMYFUNCTION("""COMPUTED_VALUE"""),"5KM STUDENT M")</f>
        <v>5KM STUDENT M</v>
      </c>
      <c r="E2690" s="1">
        <f>IFERROR(__xludf.DUMMYFUNCTION("""COMPUTED_VALUE"""),2.0)</f>
        <v>2</v>
      </c>
      <c r="F2690" s="1" t="str">
        <f>IFERROR(__xludf.DUMMYFUNCTION("""COMPUTED_VALUE"""),"Male")</f>
        <v>Male</v>
      </c>
      <c r="G2690" s="4" t="b">
        <f>IFERROR(__xludf.DUMMYFUNCTION("""COMPUTED_VALUE"""),TRUE)</f>
        <v>1</v>
      </c>
      <c r="H2690" s="4" t="b">
        <f>IFERROR(__xludf.DUMMYFUNCTION("""COMPUTED_VALUE"""),FALSE)</f>
        <v>0</v>
      </c>
      <c r="I2690" s="4">
        <f>IFERROR(__xludf.DUMMYFUNCTION("""COMPUTED_VALUE"""),0.2549440625)</f>
        <v>0.2549440625</v>
      </c>
      <c r="J2690" s="4">
        <f>IFERROR(__xludf.DUMMYFUNCTION("""COMPUTED_VALUE"""),45949.268971147845)</f>
        <v>45949.26897</v>
      </c>
      <c r="K2690" s="4" t="str">
        <f>IFERROR(__xludf.DUMMYFUNCTION("""COMPUTED_VALUE"""),"")</f>
        <v/>
      </c>
      <c r="L2690" s="4">
        <f>IFERROR(__xludf.DUMMYFUNCTION("""COMPUTED_VALUE"""),45949.27873072793)</f>
        <v>45949.27873</v>
      </c>
      <c r="M2690" s="1" t="str">
        <f>IFERROR(__xludf.DUMMYFUNCTION("""COMPUTED_VALUE"""),"RFID")</f>
        <v>RFID</v>
      </c>
      <c r="N2690" s="5">
        <f>IFERROR(__xludf.DUMMYFUNCTION("""COMPUTED_VALUE"""),0.005610833333333334)</f>
        <v>0.005610833333</v>
      </c>
      <c r="O2690" s="5" t="str">
        <f>IFERROR(__xludf.DUMMYFUNCTION("""COMPUTED_VALUE"""),"")</f>
        <v/>
      </c>
      <c r="P2690" s="5" t="str">
        <f>IFERROR(__xludf.DUMMYFUNCTION("""COMPUTED_VALUE"""),"")</f>
        <v/>
      </c>
      <c r="Q2690" s="5">
        <f>IFERROR(__xludf.DUMMYFUNCTION("""COMPUTED_VALUE"""),0.004757333333333334)</f>
        <v>0.004757333333</v>
      </c>
      <c r="R2690" s="4">
        <f>IFERROR(__xludf.DUMMYFUNCTION("""COMPUTED_VALUE"""),45949.02378666543)</f>
        <v>45949.02379</v>
      </c>
      <c r="S2690" s="1" t="b">
        <f>IFERROR(__xludf.DUMMYFUNCTION("""COMPUTED_VALUE"""),TRUE)</f>
        <v>1</v>
      </c>
      <c r="T2690" s="1" t="b">
        <f>IFERROR(__xludf.DUMMYFUNCTION("""COMPUTED_VALUE"""),FALSE)</f>
        <v>0</v>
      </c>
      <c r="U2690" s="1" t="str">
        <f>IFERROR(__xludf.DUMMYFUNCTION("""COMPUTED_VALUE"""),"VALID")</f>
        <v>VALID</v>
      </c>
      <c r="V2690" s="1">
        <f>IFERROR(__xludf.DUMMYFUNCTION("""COMPUTED_VALUE"""),31.0)</f>
        <v>31</v>
      </c>
      <c r="W2690" s="1">
        <f>IFERROR(__xludf.DUMMYFUNCTION("""COMPUTED_VALUE"""),243.0)</f>
        <v>243</v>
      </c>
      <c r="X2690" s="1">
        <f>IFERROR(__xludf.DUMMYFUNCTION("""COMPUTED_VALUE"""),213.0)</f>
        <v>213</v>
      </c>
      <c r="Y2690" s="2"/>
      <c r="Z2690" s="2"/>
    </row>
    <row r="2691">
      <c r="A2691" s="1">
        <f>IFERROR(__xludf.DUMMYFUNCTION("""COMPUTED_VALUE"""),2690.0)</f>
        <v>2690</v>
      </c>
      <c r="B2691" s="7" t="str">
        <f>IFERROR(__xludf.DUMMYFUNCTION("""COMPUTED_VALUE"""),"9015")</f>
        <v>9015</v>
      </c>
      <c r="C2691" s="8" t="str">
        <f>IFERROR(__xludf.DUMMYFUNCTION("""COMPUTED_VALUE"""),"M.FADHIL AKBAR")</f>
        <v>M.FADHIL AKBAR</v>
      </c>
      <c r="D2691" s="2" t="str">
        <f>IFERROR(__xludf.DUMMYFUNCTION("""COMPUTED_VALUE"""),"5KM STUDENT M")</f>
        <v>5KM STUDENT M</v>
      </c>
      <c r="E2691" s="1">
        <f>IFERROR(__xludf.DUMMYFUNCTION("""COMPUTED_VALUE"""),2.0)</f>
        <v>2</v>
      </c>
      <c r="F2691" s="1" t="str">
        <f>IFERROR(__xludf.DUMMYFUNCTION("""COMPUTED_VALUE"""),"Male")</f>
        <v>Male</v>
      </c>
      <c r="G2691" s="4" t="b">
        <f>IFERROR(__xludf.DUMMYFUNCTION("""COMPUTED_VALUE"""),TRUE)</f>
        <v>1</v>
      </c>
      <c r="H2691" s="4" t="b">
        <f>IFERROR(__xludf.DUMMYFUNCTION("""COMPUTED_VALUE"""),TRUE)</f>
        <v>1</v>
      </c>
      <c r="I2691" s="4">
        <f>IFERROR(__xludf.DUMMYFUNCTION("""COMPUTED_VALUE"""),0.2549440625)</f>
        <v>0.2549440625</v>
      </c>
      <c r="J2691" s="4">
        <f>IFERROR(__xludf.DUMMYFUNCTION("""COMPUTED_VALUE"""),45949.263919466306)</f>
        <v>45949.26392</v>
      </c>
      <c r="K2691" s="4" t="str">
        <f>IFERROR(__xludf.DUMMYFUNCTION("""COMPUTED_VALUE"""),"")</f>
        <v/>
      </c>
      <c r="L2691" s="4">
        <f>IFERROR(__xludf.DUMMYFUNCTION("""COMPUTED_VALUE"""),45949.271484172175)</f>
        <v>45949.27148</v>
      </c>
      <c r="M2691" s="1" t="str">
        <f>IFERROR(__xludf.DUMMYFUNCTION("""COMPUTED_VALUE"""),"RFID")</f>
        <v>RFID</v>
      </c>
      <c r="N2691" s="5">
        <f>IFERROR(__xludf.DUMMYFUNCTION("""COMPUTED_VALUE"""),0.0035901620370370367)</f>
        <v>0.003590162037</v>
      </c>
      <c r="O2691" s="5" t="str">
        <f>IFERROR(__xludf.DUMMYFUNCTION("""COMPUTED_VALUE"""),"")</f>
        <v/>
      </c>
      <c r="P2691" s="5" t="str">
        <f>IFERROR(__xludf.DUMMYFUNCTION("""COMPUTED_VALUE"""),"")</f>
        <v/>
      </c>
      <c r="Q2691" s="5">
        <f>IFERROR(__xludf.DUMMYFUNCTION("""COMPUTED_VALUE"""),0.0033080208333333334)</f>
        <v>0.003308020833</v>
      </c>
      <c r="R2691" s="4">
        <f>IFERROR(__xludf.DUMMYFUNCTION("""COMPUTED_VALUE"""),45949.016540109675)</f>
        <v>45949.01654</v>
      </c>
      <c r="S2691" s="1" t="b">
        <f>IFERROR(__xludf.DUMMYFUNCTION("""COMPUTED_VALUE"""),TRUE)</f>
        <v>1</v>
      </c>
      <c r="T2691" s="1" t="b">
        <f>IFERROR(__xludf.DUMMYFUNCTION("""COMPUTED_VALUE"""),FALSE)</f>
        <v>0</v>
      </c>
      <c r="U2691" s="1" t="str">
        <f>IFERROR(__xludf.DUMMYFUNCTION("""COMPUTED_VALUE"""),"VALID")</f>
        <v>VALID</v>
      </c>
      <c r="V2691" s="1">
        <f>IFERROR(__xludf.DUMMYFUNCTION("""COMPUTED_VALUE"""),8.0)</f>
        <v>8</v>
      </c>
      <c r="W2691" s="1">
        <f>IFERROR(__xludf.DUMMYFUNCTION("""COMPUTED_VALUE"""),30.0)</f>
        <v>30</v>
      </c>
      <c r="X2691" s="1">
        <f>IFERROR(__xludf.DUMMYFUNCTION("""COMPUTED_VALUE"""),29.0)</f>
        <v>29</v>
      </c>
      <c r="Y2691" s="2"/>
      <c r="Z2691" s="2"/>
    </row>
    <row r="2692">
      <c r="A2692" s="1">
        <f>IFERROR(__xludf.DUMMYFUNCTION("""COMPUTED_VALUE"""),2691.0)</f>
        <v>2691</v>
      </c>
      <c r="B2692" s="7" t="str">
        <f>IFERROR(__xludf.DUMMYFUNCTION("""COMPUTED_VALUE"""),"9016")</f>
        <v>9016</v>
      </c>
      <c r="C2692" s="8" t="str">
        <f>IFERROR(__xludf.DUMMYFUNCTION("""COMPUTED_VALUE"""),"M Rafa Narendra")</f>
        <v>M Rafa Narendra</v>
      </c>
      <c r="D2692" s="2" t="str">
        <f>IFERROR(__xludf.DUMMYFUNCTION("""COMPUTED_VALUE"""),"5KM STUDENT M")</f>
        <v>5KM STUDENT M</v>
      </c>
      <c r="E2692" s="1">
        <f>IFERROR(__xludf.DUMMYFUNCTION("""COMPUTED_VALUE"""),2.0)</f>
        <v>2</v>
      </c>
      <c r="F2692" s="1" t="str">
        <f>IFERROR(__xludf.DUMMYFUNCTION("""COMPUTED_VALUE"""),"Male")</f>
        <v>Male</v>
      </c>
      <c r="G2692" s="4" t="b">
        <f>IFERROR(__xludf.DUMMYFUNCTION("""COMPUTED_VALUE"""),TRUE)</f>
        <v>1</v>
      </c>
      <c r="H2692" s="4" t="b">
        <f>IFERROR(__xludf.DUMMYFUNCTION("""COMPUTED_VALUE"""),FALSE)</f>
        <v>0</v>
      </c>
      <c r="I2692" s="4">
        <f>IFERROR(__xludf.DUMMYFUNCTION("""COMPUTED_VALUE"""),0.2549440625)</f>
        <v>0.2549440625</v>
      </c>
      <c r="J2692" s="4">
        <f>IFERROR(__xludf.DUMMYFUNCTION("""COMPUTED_VALUE"""),45949.27724890965)</f>
        <v>45949.27725</v>
      </c>
      <c r="K2692" s="4" t="str">
        <f>IFERROR(__xludf.DUMMYFUNCTION("""COMPUTED_VALUE"""),"")</f>
        <v/>
      </c>
      <c r="L2692" s="4">
        <f>IFERROR(__xludf.DUMMYFUNCTION("""COMPUTED_VALUE"""),45949.2931856164)</f>
        <v>45949.29319</v>
      </c>
      <c r="M2692" s="1" t="str">
        <f>IFERROR(__xludf.DUMMYFUNCTION("""COMPUTED_VALUE"""),"RFID")</f>
        <v>RFID</v>
      </c>
      <c r="N2692" s="5">
        <f>IFERROR(__xludf.DUMMYFUNCTION("""COMPUTED_VALUE"""),0.008921939814814813)</f>
        <v>0.008921939815</v>
      </c>
      <c r="O2692" s="5" t="str">
        <f>IFERROR(__xludf.DUMMYFUNCTION("""COMPUTED_VALUE"""),"")</f>
        <v/>
      </c>
      <c r="P2692" s="5" t="str">
        <f>IFERROR(__xludf.DUMMYFUNCTION("""COMPUTED_VALUE"""),"")</f>
        <v/>
      </c>
      <c r="Q2692" s="5">
        <f>IFERROR(__xludf.DUMMYFUNCTION("""COMPUTED_VALUE"""),0.007648310185185185)</f>
        <v>0.007648310185</v>
      </c>
      <c r="R2692" s="4">
        <f>IFERROR(__xludf.DUMMYFUNCTION("""COMPUTED_VALUE"""),45949.0382415539)</f>
        <v>45949.03824</v>
      </c>
      <c r="S2692" s="1" t="b">
        <f>IFERROR(__xludf.DUMMYFUNCTION("""COMPUTED_VALUE"""),TRUE)</f>
        <v>1</v>
      </c>
      <c r="T2692" s="1" t="b">
        <f>IFERROR(__xludf.DUMMYFUNCTION("""COMPUTED_VALUE"""),FALSE)</f>
        <v>0</v>
      </c>
      <c r="U2692" s="1" t="str">
        <f>IFERROR(__xludf.DUMMYFUNCTION("""COMPUTED_VALUE"""),"VALID")</f>
        <v>VALID</v>
      </c>
      <c r="V2692" s="1">
        <f>IFERROR(__xludf.DUMMYFUNCTION("""COMPUTED_VALUE"""),63.0)</f>
        <v>63</v>
      </c>
      <c r="W2692" s="1">
        <f>IFERROR(__xludf.DUMMYFUNCTION("""COMPUTED_VALUE"""),1117.0)</f>
        <v>1117</v>
      </c>
      <c r="X2692" s="1">
        <f>IFERROR(__xludf.DUMMYFUNCTION("""COMPUTED_VALUE"""),888.0)</f>
        <v>888</v>
      </c>
      <c r="Y2692" s="2"/>
      <c r="Z2692" s="2"/>
    </row>
    <row r="2693">
      <c r="A2693" s="1">
        <f>IFERROR(__xludf.DUMMYFUNCTION("""COMPUTED_VALUE"""),2692.0)</f>
        <v>2692</v>
      </c>
      <c r="B2693" s="7" t="str">
        <f>IFERROR(__xludf.DUMMYFUNCTION("""COMPUTED_VALUE"""),"9017")</f>
        <v>9017</v>
      </c>
      <c r="C2693" s="8" t="str">
        <f>IFERROR(__xludf.DUMMYFUNCTION("""COMPUTED_VALUE"""),"Dimas Al fariji")</f>
        <v>Dimas Al fariji</v>
      </c>
      <c r="D2693" s="2" t="str">
        <f>IFERROR(__xludf.DUMMYFUNCTION("""COMPUTED_VALUE"""),"5KM STUDENT M")</f>
        <v>5KM STUDENT M</v>
      </c>
      <c r="E2693" s="1">
        <f>IFERROR(__xludf.DUMMYFUNCTION("""COMPUTED_VALUE"""),2.0)</f>
        <v>2</v>
      </c>
      <c r="F2693" s="1" t="str">
        <f>IFERROR(__xludf.DUMMYFUNCTION("""COMPUTED_VALUE"""),"Male")</f>
        <v>Male</v>
      </c>
      <c r="G2693" s="4" t="str">
        <f>IFERROR(__xludf.DUMMYFUNCTION("""COMPUTED_VALUE"""),"")</f>
        <v/>
      </c>
      <c r="H2693" s="4" t="b">
        <f>IFERROR(__xludf.DUMMYFUNCTION("""COMPUTED_VALUE"""),TRUE)</f>
        <v>1</v>
      </c>
      <c r="I2693" s="4">
        <f>IFERROR(__xludf.DUMMYFUNCTION("""COMPUTED_VALUE"""),0.2549440625)</f>
        <v>0.2549440625</v>
      </c>
      <c r="J2693" s="4" t="str">
        <f>IFERROR(__xludf.DUMMYFUNCTION("""COMPUTED_VALUE"""),"")</f>
        <v/>
      </c>
      <c r="K2693" s="4" t="str">
        <f>IFERROR(__xludf.DUMMYFUNCTION("""COMPUTED_VALUE"""),"")</f>
        <v/>
      </c>
      <c r="L2693" s="4">
        <f>IFERROR(__xludf.DUMMYFUNCTION("""COMPUTED_VALUE"""),45949.27265446055)</f>
        <v>45949.27265</v>
      </c>
      <c r="M2693" s="1" t="str">
        <f>IFERROR(__xludf.DUMMYFUNCTION("""COMPUTED_VALUE"""),"RFID")</f>
        <v>RFID</v>
      </c>
      <c r="N2693" s="5" t="str">
        <f>IFERROR(__xludf.DUMMYFUNCTION("""COMPUTED_VALUE"""),"")</f>
        <v/>
      </c>
      <c r="O2693" s="5" t="str">
        <f>IFERROR(__xludf.DUMMYFUNCTION("""COMPUTED_VALUE"""),"")</f>
        <v/>
      </c>
      <c r="P2693" s="5" t="str">
        <f>IFERROR(__xludf.DUMMYFUNCTION("""COMPUTED_VALUE"""),"")</f>
        <v/>
      </c>
      <c r="Q2693" s="5">
        <f>IFERROR(__xludf.DUMMYFUNCTION("""COMPUTED_VALUE"""),0.0035420787037037044)</f>
        <v>0.003542078704</v>
      </c>
      <c r="R2693" s="4">
        <f>IFERROR(__xludf.DUMMYFUNCTION("""COMPUTED_VALUE"""),45949.017710398046)</f>
        <v>45949.01771</v>
      </c>
      <c r="S2693" s="1" t="b">
        <f>IFERROR(__xludf.DUMMYFUNCTION("""COMPUTED_VALUE"""),FALSE)</f>
        <v>0</v>
      </c>
      <c r="T2693" s="1" t="b">
        <f>IFERROR(__xludf.DUMMYFUNCTION("""COMPUTED_VALUE"""),FALSE)</f>
        <v>0</v>
      </c>
      <c r="U2693" s="1" t="str">
        <f>IFERROR(__xludf.DUMMYFUNCTION("""COMPUTED_VALUE"""),"DSQ")</f>
        <v>DSQ</v>
      </c>
      <c r="V2693" s="1" t="str">
        <f>IFERROR(__xludf.DUMMYFUNCTION("""COMPUTED_VALUE"""),"DSQ")</f>
        <v>DSQ</v>
      </c>
      <c r="W2693" s="1" t="str">
        <f>IFERROR(__xludf.DUMMYFUNCTION("""COMPUTED_VALUE"""),"DSQ")</f>
        <v>DSQ</v>
      </c>
      <c r="X2693" s="1" t="str">
        <f>IFERROR(__xludf.DUMMYFUNCTION("""COMPUTED_VALUE"""),"DSQ")</f>
        <v>DSQ</v>
      </c>
      <c r="Y2693" s="2"/>
      <c r="Z2693" s="2" t="str">
        <f>IFERROR(__xludf.DUMMYFUNCTION("""COMPUTED_VALUE"""),"")</f>
        <v/>
      </c>
    </row>
    <row r="2694">
      <c r="A2694" s="1">
        <f>IFERROR(__xludf.DUMMYFUNCTION("""COMPUTED_VALUE"""),2693.0)</f>
        <v>2693</v>
      </c>
      <c r="B2694" s="7" t="str">
        <f>IFERROR(__xludf.DUMMYFUNCTION("""COMPUTED_VALUE"""),"9019")</f>
        <v>9019</v>
      </c>
      <c r="C2694" s="8" t="str">
        <f>IFERROR(__xludf.DUMMYFUNCTION("""COMPUTED_VALUE"""),"Faris Algareza")</f>
        <v>Faris Algareza</v>
      </c>
      <c r="D2694" s="2" t="str">
        <f>IFERROR(__xludf.DUMMYFUNCTION("""COMPUTED_VALUE"""),"5KM STUDENT M")</f>
        <v>5KM STUDENT M</v>
      </c>
      <c r="E2694" s="1">
        <f>IFERROR(__xludf.DUMMYFUNCTION("""COMPUTED_VALUE"""),2.0)</f>
        <v>2</v>
      </c>
      <c r="F2694" s="1" t="str">
        <f>IFERROR(__xludf.DUMMYFUNCTION("""COMPUTED_VALUE"""),"Male")</f>
        <v>Male</v>
      </c>
      <c r="G2694" s="4" t="b">
        <f>IFERROR(__xludf.DUMMYFUNCTION("""COMPUTED_VALUE"""),TRUE)</f>
        <v>1</v>
      </c>
      <c r="H2694" s="4" t="b">
        <f>IFERROR(__xludf.DUMMYFUNCTION("""COMPUTED_VALUE"""),TRUE)</f>
        <v>1</v>
      </c>
      <c r="I2694" s="4">
        <f>IFERROR(__xludf.DUMMYFUNCTION("""COMPUTED_VALUE"""),0.2549440625)</f>
        <v>0.2549440625</v>
      </c>
      <c r="J2694" s="4">
        <f>IFERROR(__xludf.DUMMYFUNCTION("""COMPUTED_VALUE"""),45949.273599613814)</f>
        <v>45949.2736</v>
      </c>
      <c r="K2694" s="4" t="str">
        <f>IFERROR(__xludf.DUMMYFUNCTION("""COMPUTED_VALUE"""),"")</f>
        <v/>
      </c>
      <c r="L2694" s="4">
        <f>IFERROR(__xludf.DUMMYFUNCTION("""COMPUTED_VALUE"""),45949.289338953036)</f>
        <v>45949.28934</v>
      </c>
      <c r="M2694" s="1" t="str">
        <f>IFERROR(__xludf.DUMMYFUNCTION("""COMPUTED_VALUE"""),"RFID")</f>
        <v>RFID</v>
      </c>
      <c r="N2694" s="5">
        <f>IFERROR(__xludf.DUMMYFUNCTION("""COMPUTED_VALUE"""),0.007462222222222222)</f>
        <v>0.007462222222</v>
      </c>
      <c r="O2694" s="5" t="str">
        <f>IFERROR(__xludf.DUMMYFUNCTION("""COMPUTED_VALUE"""),"")</f>
        <v/>
      </c>
      <c r="P2694" s="5" t="str">
        <f>IFERROR(__xludf.DUMMYFUNCTION("""COMPUTED_VALUE"""),"")</f>
        <v/>
      </c>
      <c r="Q2694" s="5">
        <f>IFERROR(__xludf.DUMMYFUNCTION("""COMPUTED_VALUE"""),0.006878979166666667)</f>
        <v>0.006878979167</v>
      </c>
      <c r="R2694" s="4">
        <f>IFERROR(__xludf.DUMMYFUNCTION("""COMPUTED_VALUE"""),45949.034394890536)</f>
        <v>45949.03439</v>
      </c>
      <c r="S2694" s="1" t="b">
        <f>IFERROR(__xludf.DUMMYFUNCTION("""COMPUTED_VALUE"""),TRUE)</f>
        <v>1</v>
      </c>
      <c r="T2694" s="1" t="b">
        <f>IFERROR(__xludf.DUMMYFUNCTION("""COMPUTED_VALUE"""),FALSE)</f>
        <v>0</v>
      </c>
      <c r="U2694" s="1" t="str">
        <f>IFERROR(__xludf.DUMMYFUNCTION("""COMPUTED_VALUE"""),"VALID")</f>
        <v>VALID</v>
      </c>
      <c r="V2694" s="1">
        <f>IFERROR(__xludf.DUMMYFUNCTION("""COMPUTED_VALUE"""),56.0)</f>
        <v>56</v>
      </c>
      <c r="W2694" s="1">
        <f>IFERROR(__xludf.DUMMYFUNCTION("""COMPUTED_VALUE"""),863.0)</f>
        <v>863</v>
      </c>
      <c r="X2694" s="1">
        <f>IFERROR(__xludf.DUMMYFUNCTION("""COMPUTED_VALUE"""),706.0)</f>
        <v>706</v>
      </c>
      <c r="Y2694" s="2"/>
      <c r="Z2694" s="2"/>
    </row>
    <row r="2695">
      <c r="A2695" s="1">
        <f>IFERROR(__xludf.DUMMYFUNCTION("""COMPUTED_VALUE"""),2694.0)</f>
        <v>2694</v>
      </c>
      <c r="B2695" s="7" t="str">
        <f>IFERROR(__xludf.DUMMYFUNCTION("""COMPUTED_VALUE"""),"9020")</f>
        <v>9020</v>
      </c>
      <c r="C2695" s="8" t="str">
        <f>IFERROR(__xludf.DUMMYFUNCTION("""COMPUTED_VALUE"""),"zimiiiiii")</f>
        <v>zimiiiiii</v>
      </c>
      <c r="D2695" s="2" t="str">
        <f>IFERROR(__xludf.DUMMYFUNCTION("""COMPUTED_VALUE"""),"5KM STUDENT M")</f>
        <v>5KM STUDENT M</v>
      </c>
      <c r="E2695" s="1">
        <f>IFERROR(__xludf.DUMMYFUNCTION("""COMPUTED_VALUE"""),2.0)</f>
        <v>2</v>
      </c>
      <c r="F2695" s="1" t="str">
        <f>IFERROR(__xludf.DUMMYFUNCTION("""COMPUTED_VALUE"""),"Male")</f>
        <v>Male</v>
      </c>
      <c r="G2695" s="4" t="b">
        <f>IFERROR(__xludf.DUMMYFUNCTION("""COMPUTED_VALUE"""),TRUE)</f>
        <v>1</v>
      </c>
      <c r="H2695" s="4" t="b">
        <f>IFERROR(__xludf.DUMMYFUNCTION("""COMPUTED_VALUE"""),TRUE)</f>
        <v>1</v>
      </c>
      <c r="I2695" s="4">
        <f>IFERROR(__xludf.DUMMYFUNCTION("""COMPUTED_VALUE"""),0.2549440625)</f>
        <v>0.2549440625</v>
      </c>
      <c r="J2695" s="4">
        <f>IFERROR(__xludf.DUMMYFUNCTION("""COMPUTED_VALUE"""),45949.266325349985)</f>
        <v>45949.26633</v>
      </c>
      <c r="K2695" s="4" t="str">
        <f>IFERROR(__xludf.DUMMYFUNCTION("""COMPUTED_VALUE"""),"")</f>
        <v/>
      </c>
      <c r="L2695" s="4">
        <f>IFERROR(__xludf.DUMMYFUNCTION("""COMPUTED_VALUE"""),45949.27764735482)</f>
        <v>45949.27765</v>
      </c>
      <c r="M2695" s="1" t="str">
        <f>IFERROR(__xludf.DUMMYFUNCTION("""COMPUTED_VALUE"""),"RFID")</f>
        <v>RFID</v>
      </c>
      <c r="N2695" s="5">
        <f>IFERROR(__xludf.DUMMYFUNCTION("""COMPUTED_VALUE"""),0.004552513888888889)</f>
        <v>0.004552513889</v>
      </c>
      <c r="O2695" s="5" t="str">
        <f>IFERROR(__xludf.DUMMYFUNCTION("""COMPUTED_VALUE"""),"")</f>
        <v/>
      </c>
      <c r="P2695" s="5" t="str">
        <f>IFERROR(__xludf.DUMMYFUNCTION("""COMPUTED_VALUE"""),"")</f>
        <v/>
      </c>
      <c r="Q2695" s="5">
        <f>IFERROR(__xludf.DUMMYFUNCTION("""COMPUTED_VALUE"""),0.004540657407407408)</f>
        <v>0.004540657407</v>
      </c>
      <c r="R2695" s="4">
        <f>IFERROR(__xludf.DUMMYFUNCTION("""COMPUTED_VALUE"""),45949.02270329232)</f>
        <v>45949.0227</v>
      </c>
      <c r="S2695" s="1" t="b">
        <f>IFERROR(__xludf.DUMMYFUNCTION("""COMPUTED_VALUE"""),TRUE)</f>
        <v>1</v>
      </c>
      <c r="T2695" s="1" t="b">
        <f>IFERROR(__xludf.DUMMYFUNCTION("""COMPUTED_VALUE"""),FALSE)</f>
        <v>0</v>
      </c>
      <c r="U2695" s="1" t="str">
        <f>IFERROR(__xludf.DUMMYFUNCTION("""COMPUTED_VALUE"""),"VALID")</f>
        <v>VALID</v>
      </c>
      <c r="V2695" s="1">
        <f>IFERROR(__xludf.DUMMYFUNCTION("""COMPUTED_VALUE"""),26.0)</f>
        <v>26</v>
      </c>
      <c r="W2695" s="1">
        <f>IFERROR(__xludf.DUMMYFUNCTION("""COMPUTED_VALUE"""),197.0)</f>
        <v>197</v>
      </c>
      <c r="X2695" s="1">
        <f>IFERROR(__xludf.DUMMYFUNCTION("""COMPUTED_VALUE"""),172.0)</f>
        <v>172</v>
      </c>
      <c r="Y2695" s="2"/>
      <c r="Z2695" s="2"/>
    </row>
    <row r="2696">
      <c r="A2696" s="1">
        <f>IFERROR(__xludf.DUMMYFUNCTION("""COMPUTED_VALUE"""),2695.0)</f>
        <v>2695</v>
      </c>
      <c r="B2696" s="7" t="str">
        <f>IFERROR(__xludf.DUMMYFUNCTION("""COMPUTED_VALUE"""),"9021")</f>
        <v>9021</v>
      </c>
      <c r="C2696" s="8" t="str">
        <f>IFERROR(__xludf.DUMMYFUNCTION("""COMPUTED_VALUE"""),"fathurrahman")</f>
        <v>fathurrahman</v>
      </c>
      <c r="D2696" s="2" t="str">
        <f>IFERROR(__xludf.DUMMYFUNCTION("""COMPUTED_VALUE"""),"5KM STUDENT M")</f>
        <v>5KM STUDENT M</v>
      </c>
      <c r="E2696" s="1">
        <f>IFERROR(__xludf.DUMMYFUNCTION("""COMPUTED_VALUE"""),2.0)</f>
        <v>2</v>
      </c>
      <c r="F2696" s="1" t="str">
        <f>IFERROR(__xludf.DUMMYFUNCTION("""COMPUTED_VALUE"""),"Male")</f>
        <v>Male</v>
      </c>
      <c r="G2696" s="4" t="b">
        <f>IFERROR(__xludf.DUMMYFUNCTION("""COMPUTED_VALUE"""),TRUE)</f>
        <v>1</v>
      </c>
      <c r="H2696" s="4" t="b">
        <f>IFERROR(__xludf.DUMMYFUNCTION("""COMPUTED_VALUE"""),TRUE)</f>
        <v>1</v>
      </c>
      <c r="I2696" s="4">
        <f>IFERROR(__xludf.DUMMYFUNCTION("""COMPUTED_VALUE"""),0.2549440625)</f>
        <v>0.2549440625</v>
      </c>
      <c r="J2696" s="4" t="str">
        <f>IFERROR(__xludf.DUMMYFUNCTION("""COMPUTED_VALUE"""),"")</f>
        <v/>
      </c>
      <c r="K2696" s="4" t="str">
        <f>IFERROR(__xludf.DUMMYFUNCTION("""COMPUTED_VALUE"""),"")</f>
        <v/>
      </c>
      <c r="L2696" s="4">
        <f>IFERROR(__xludf.DUMMYFUNCTION("""COMPUTED_VALUE"""),45949.27415434394)</f>
        <v>45949.27415</v>
      </c>
      <c r="M2696" s="1" t="str">
        <f>IFERROR(__xludf.DUMMYFUNCTION("""COMPUTED_VALUE"""),"RFID")</f>
        <v>RFID</v>
      </c>
      <c r="N2696" s="5" t="str">
        <f>IFERROR(__xludf.DUMMYFUNCTION("""COMPUTED_VALUE"""),"")</f>
        <v/>
      </c>
      <c r="O2696" s="5" t="str">
        <f>IFERROR(__xludf.DUMMYFUNCTION("""COMPUTED_VALUE"""),"")</f>
        <v/>
      </c>
      <c r="P2696" s="5" t="str">
        <f>IFERROR(__xludf.DUMMYFUNCTION("""COMPUTED_VALUE"""),"")</f>
        <v/>
      </c>
      <c r="Q2696" s="5">
        <f>IFERROR(__xludf.DUMMYFUNCTION("""COMPUTED_VALUE"""),0.0038420555555555556)</f>
        <v>0.003842055556</v>
      </c>
      <c r="R2696" s="4">
        <f>IFERROR(__xludf.DUMMYFUNCTION("""COMPUTED_VALUE"""),45949.01921028144)</f>
        <v>45949.01921</v>
      </c>
      <c r="S2696" s="1" t="b">
        <f>IFERROR(__xludf.DUMMYFUNCTION("""COMPUTED_VALUE"""),FALSE)</f>
        <v>0</v>
      </c>
      <c r="T2696" s="1" t="b">
        <f>IFERROR(__xludf.DUMMYFUNCTION("""COMPUTED_VALUE"""),FALSE)</f>
        <v>0</v>
      </c>
      <c r="U2696" s="1" t="str">
        <f>IFERROR(__xludf.DUMMYFUNCTION("""COMPUTED_VALUE"""),"DSQ")</f>
        <v>DSQ</v>
      </c>
      <c r="V2696" s="1" t="str">
        <f>IFERROR(__xludf.DUMMYFUNCTION("""COMPUTED_VALUE"""),"DSQ")</f>
        <v>DSQ</v>
      </c>
      <c r="W2696" s="1" t="str">
        <f>IFERROR(__xludf.DUMMYFUNCTION("""COMPUTED_VALUE"""),"DSQ")</f>
        <v>DSQ</v>
      </c>
      <c r="X2696" s="1" t="str">
        <f>IFERROR(__xludf.DUMMYFUNCTION("""COMPUTED_VALUE"""),"DSQ")</f>
        <v>DSQ</v>
      </c>
      <c r="Y2696" s="2"/>
      <c r="Z2696" s="2" t="str">
        <f>IFERROR(__xludf.DUMMYFUNCTION("""COMPUTED_VALUE"""),"")</f>
        <v/>
      </c>
    </row>
    <row r="2697">
      <c r="A2697" s="1">
        <f>IFERROR(__xludf.DUMMYFUNCTION("""COMPUTED_VALUE"""),2696.0)</f>
        <v>2696</v>
      </c>
      <c r="B2697" s="7" t="str">
        <f>IFERROR(__xludf.DUMMYFUNCTION("""COMPUTED_VALUE"""),"9022")</f>
        <v>9022</v>
      </c>
      <c r="C2697" s="8" t="str">
        <f>IFERROR(__xludf.DUMMYFUNCTION("""COMPUTED_VALUE"""),"sajid alkatiri")</f>
        <v>sajid alkatiri</v>
      </c>
      <c r="D2697" s="2" t="str">
        <f>IFERROR(__xludf.DUMMYFUNCTION("""COMPUTED_VALUE"""),"5KM STUDENT M")</f>
        <v>5KM STUDENT M</v>
      </c>
      <c r="E2697" s="1">
        <f>IFERROR(__xludf.DUMMYFUNCTION("""COMPUTED_VALUE"""),2.0)</f>
        <v>2</v>
      </c>
      <c r="F2697" s="1" t="str">
        <f>IFERROR(__xludf.DUMMYFUNCTION("""COMPUTED_VALUE"""),"Male")</f>
        <v>Male</v>
      </c>
      <c r="G2697" s="4" t="b">
        <f>IFERROR(__xludf.DUMMYFUNCTION("""COMPUTED_VALUE"""),TRUE)</f>
        <v>1</v>
      </c>
      <c r="H2697" s="4" t="b">
        <f>IFERROR(__xludf.DUMMYFUNCTION("""COMPUTED_VALUE"""),TRUE)</f>
        <v>1</v>
      </c>
      <c r="I2697" s="4">
        <f>IFERROR(__xludf.DUMMYFUNCTION("""COMPUTED_VALUE"""),0.2549440625)</f>
        <v>0.2549440625</v>
      </c>
      <c r="J2697" s="4">
        <f>IFERROR(__xludf.DUMMYFUNCTION("""COMPUTED_VALUE"""),45949.27284272876)</f>
        <v>45949.27284</v>
      </c>
      <c r="K2697" s="4" t="str">
        <f>IFERROR(__xludf.DUMMYFUNCTION("""COMPUTED_VALUE"""),"")</f>
        <v/>
      </c>
      <c r="L2697" s="4">
        <f>IFERROR(__xludf.DUMMYFUNCTION("""COMPUTED_VALUE"""),45949.28693556718)</f>
        <v>45949.28694</v>
      </c>
      <c r="M2697" s="1" t="str">
        <f>IFERROR(__xludf.DUMMYFUNCTION("""COMPUTED_VALUE"""),"RFID")</f>
        <v>RFID</v>
      </c>
      <c r="N2697" s="5">
        <f>IFERROR(__xludf.DUMMYFUNCTION("""COMPUTED_VALUE"""),0.007159467592592593)</f>
        <v>0.007159467593</v>
      </c>
      <c r="O2697" s="5" t="str">
        <f>IFERROR(__xludf.DUMMYFUNCTION("""COMPUTED_VALUE"""),"")</f>
        <v/>
      </c>
      <c r="P2697" s="5" t="str">
        <f>IFERROR(__xludf.DUMMYFUNCTION("""COMPUTED_VALUE"""),"")</f>
        <v/>
      </c>
      <c r="Q2697" s="5">
        <f>IFERROR(__xludf.DUMMYFUNCTION("""COMPUTED_VALUE"""),0.006398300925925926)</f>
        <v>0.006398300926</v>
      </c>
      <c r="R2697" s="4">
        <f>IFERROR(__xludf.DUMMYFUNCTION("""COMPUTED_VALUE"""),45949.03199150468)</f>
        <v>45949.03199</v>
      </c>
      <c r="S2697" s="1" t="b">
        <f>IFERROR(__xludf.DUMMYFUNCTION("""COMPUTED_VALUE"""),TRUE)</f>
        <v>1</v>
      </c>
      <c r="T2697" s="1" t="b">
        <f>IFERROR(__xludf.DUMMYFUNCTION("""COMPUTED_VALUE"""),FALSE)</f>
        <v>0</v>
      </c>
      <c r="U2697" s="1" t="str">
        <f>IFERROR(__xludf.DUMMYFUNCTION("""COMPUTED_VALUE"""),"VALID")</f>
        <v>VALID</v>
      </c>
      <c r="V2697" s="1">
        <f>IFERROR(__xludf.DUMMYFUNCTION("""COMPUTED_VALUE"""),49.0)</f>
        <v>49</v>
      </c>
      <c r="W2697" s="1">
        <f>IFERROR(__xludf.DUMMYFUNCTION("""COMPUTED_VALUE"""),697.0)</f>
        <v>697</v>
      </c>
      <c r="X2697" s="1">
        <f>IFERROR(__xludf.DUMMYFUNCTION("""COMPUTED_VALUE"""),584.0)</f>
        <v>584</v>
      </c>
      <c r="Y2697" s="2"/>
      <c r="Z2697" s="2"/>
    </row>
    <row r="2698">
      <c r="A2698" s="1">
        <f>IFERROR(__xludf.DUMMYFUNCTION("""COMPUTED_VALUE"""),2697.0)</f>
        <v>2697</v>
      </c>
      <c r="B2698" s="7" t="str">
        <f>IFERROR(__xludf.DUMMYFUNCTION("""COMPUTED_VALUE"""),"9023")</f>
        <v>9023</v>
      </c>
      <c r="C2698" s="8" t="str">
        <f>IFERROR(__xludf.DUMMYFUNCTION("""COMPUTED_VALUE"""),"Nadir")</f>
        <v>Nadir</v>
      </c>
      <c r="D2698" s="2" t="str">
        <f>IFERROR(__xludf.DUMMYFUNCTION("""COMPUTED_VALUE"""),"5KM STUDENT M")</f>
        <v>5KM STUDENT M</v>
      </c>
      <c r="E2698" s="1">
        <f>IFERROR(__xludf.DUMMYFUNCTION("""COMPUTED_VALUE"""),2.0)</f>
        <v>2</v>
      </c>
      <c r="F2698" s="1" t="str">
        <f>IFERROR(__xludf.DUMMYFUNCTION("""COMPUTED_VALUE"""),"Male")</f>
        <v>Male</v>
      </c>
      <c r="G2698" s="4" t="b">
        <f>IFERROR(__xludf.DUMMYFUNCTION("""COMPUTED_VALUE"""),TRUE)</f>
        <v>1</v>
      </c>
      <c r="H2698" s="4" t="b">
        <f>IFERROR(__xludf.DUMMYFUNCTION("""COMPUTED_VALUE"""),TRUE)</f>
        <v>1</v>
      </c>
      <c r="I2698" s="4">
        <f>IFERROR(__xludf.DUMMYFUNCTION("""COMPUTED_VALUE"""),0.2549440625)</f>
        <v>0.2549440625</v>
      </c>
      <c r="J2698" s="4">
        <f>IFERROR(__xludf.DUMMYFUNCTION("""COMPUTED_VALUE"""),45949.26842946433)</f>
        <v>45949.26843</v>
      </c>
      <c r="K2698" s="4" t="str">
        <f>IFERROR(__xludf.DUMMYFUNCTION("""COMPUTED_VALUE"""),"")</f>
        <v/>
      </c>
      <c r="L2698" s="4">
        <f>IFERROR(__xludf.DUMMYFUNCTION("""COMPUTED_VALUE"""),45949.278511938646)</f>
        <v>45949.27851</v>
      </c>
      <c r="M2698" s="1" t="str">
        <f>IFERROR(__xludf.DUMMYFUNCTION("""COMPUTED_VALUE"""),"RFID")</f>
        <v>RFID</v>
      </c>
      <c r="N2698" s="5">
        <f>IFERROR(__xludf.DUMMYFUNCTION("""COMPUTED_VALUE"""),0.005394162037037037)</f>
        <v>0.005394162037</v>
      </c>
      <c r="O2698" s="5" t="str">
        <f>IFERROR(__xludf.DUMMYFUNCTION("""COMPUTED_VALUE"""),"")</f>
        <v/>
      </c>
      <c r="P2698" s="5" t="str">
        <f>IFERROR(__xludf.DUMMYFUNCTION("""COMPUTED_VALUE"""),"")</f>
        <v/>
      </c>
      <c r="Q2698" s="5">
        <f>IFERROR(__xludf.DUMMYFUNCTION("""COMPUTED_VALUE"""),0.004713574074074073)</f>
        <v>0.004713574074</v>
      </c>
      <c r="R2698" s="4">
        <f>IFERROR(__xludf.DUMMYFUNCTION("""COMPUTED_VALUE"""),45949.023567876146)</f>
        <v>45949.02357</v>
      </c>
      <c r="S2698" s="1" t="b">
        <f>IFERROR(__xludf.DUMMYFUNCTION("""COMPUTED_VALUE"""),TRUE)</f>
        <v>1</v>
      </c>
      <c r="T2698" s="1" t="b">
        <f>IFERROR(__xludf.DUMMYFUNCTION("""COMPUTED_VALUE"""),FALSE)</f>
        <v>0</v>
      </c>
      <c r="U2698" s="1" t="str">
        <f>IFERROR(__xludf.DUMMYFUNCTION("""COMPUTED_VALUE"""),"VALID")</f>
        <v>VALID</v>
      </c>
      <c r="V2698" s="1">
        <f>IFERROR(__xludf.DUMMYFUNCTION("""COMPUTED_VALUE"""),30.0)</f>
        <v>30</v>
      </c>
      <c r="W2698" s="1">
        <f>IFERROR(__xludf.DUMMYFUNCTION("""COMPUTED_VALUE"""),238.0)</f>
        <v>238</v>
      </c>
      <c r="X2698" s="1">
        <f>IFERROR(__xludf.DUMMYFUNCTION("""COMPUTED_VALUE"""),208.0)</f>
        <v>208</v>
      </c>
      <c r="Y2698" s="2"/>
      <c r="Z2698" s="2"/>
    </row>
    <row r="2699">
      <c r="A2699" s="1">
        <f>IFERROR(__xludf.DUMMYFUNCTION("""COMPUTED_VALUE"""),2698.0)</f>
        <v>2698</v>
      </c>
      <c r="B2699" s="7" t="str">
        <f>IFERROR(__xludf.DUMMYFUNCTION("""COMPUTED_VALUE"""),"9024")</f>
        <v>9024</v>
      </c>
      <c r="C2699" s="8" t="str">
        <f>IFERROR(__xludf.DUMMYFUNCTION("""COMPUTED_VALUE"""),"Marcellino")</f>
        <v>Marcellino</v>
      </c>
      <c r="D2699" s="2" t="str">
        <f>IFERROR(__xludf.DUMMYFUNCTION("""COMPUTED_VALUE"""),"5KM STUDENT M")</f>
        <v>5KM STUDENT M</v>
      </c>
      <c r="E2699" s="1">
        <f>IFERROR(__xludf.DUMMYFUNCTION("""COMPUTED_VALUE"""),2.0)</f>
        <v>2</v>
      </c>
      <c r="F2699" s="1" t="str">
        <f>IFERROR(__xludf.DUMMYFUNCTION("""COMPUTED_VALUE"""),"Male")</f>
        <v>Male</v>
      </c>
      <c r="G2699" s="4" t="b">
        <f>IFERROR(__xludf.DUMMYFUNCTION("""COMPUTED_VALUE"""),TRUE)</f>
        <v>1</v>
      </c>
      <c r="H2699" s="4" t="b">
        <f>IFERROR(__xludf.DUMMYFUNCTION("""COMPUTED_VALUE"""),TRUE)</f>
        <v>1</v>
      </c>
      <c r="I2699" s="4">
        <f>IFERROR(__xludf.DUMMYFUNCTION("""COMPUTED_VALUE"""),0.2549440625)</f>
        <v>0.2549440625</v>
      </c>
      <c r="J2699" s="4">
        <f>IFERROR(__xludf.DUMMYFUNCTION("""COMPUTED_VALUE"""),45949.26929061069)</f>
        <v>45949.26929</v>
      </c>
      <c r="K2699" s="4" t="str">
        <f>IFERROR(__xludf.DUMMYFUNCTION("""COMPUTED_VALUE"""),"")</f>
        <v/>
      </c>
      <c r="L2699" s="4">
        <f>IFERROR(__xludf.DUMMYFUNCTION("""COMPUTED_VALUE"""),45949.28140781502)</f>
        <v>45949.28141</v>
      </c>
      <c r="M2699" s="1" t="str">
        <f>IFERROR(__xludf.DUMMYFUNCTION("""COMPUTED_VALUE"""),"RFID")</f>
        <v>RFID</v>
      </c>
      <c r="N2699" s="5">
        <f>IFERROR(__xludf.DUMMYFUNCTION("""COMPUTED_VALUE"""),0.0057386203703703705)</f>
        <v>0.00573862037</v>
      </c>
      <c r="O2699" s="5" t="str">
        <f>IFERROR(__xludf.DUMMYFUNCTION("""COMPUTED_VALUE"""),"")</f>
        <v/>
      </c>
      <c r="P2699" s="5" t="str">
        <f>IFERROR(__xludf.DUMMYFUNCTION("""COMPUTED_VALUE"""),"")</f>
        <v/>
      </c>
      <c r="Q2699" s="5">
        <f>IFERROR(__xludf.DUMMYFUNCTION("""COMPUTED_VALUE"""),0.00529275)</f>
        <v>0.00529275</v>
      </c>
      <c r="R2699" s="4">
        <f>IFERROR(__xludf.DUMMYFUNCTION("""COMPUTED_VALUE"""),45949.02646375252)</f>
        <v>45949.02646</v>
      </c>
      <c r="S2699" s="1" t="b">
        <f>IFERROR(__xludf.DUMMYFUNCTION("""COMPUTED_VALUE"""),TRUE)</f>
        <v>1</v>
      </c>
      <c r="T2699" s="1" t="b">
        <f>IFERROR(__xludf.DUMMYFUNCTION("""COMPUTED_VALUE"""),FALSE)</f>
        <v>0</v>
      </c>
      <c r="U2699" s="1" t="str">
        <f>IFERROR(__xludf.DUMMYFUNCTION("""COMPUTED_VALUE"""),"VALID")</f>
        <v>VALID</v>
      </c>
      <c r="V2699" s="1">
        <f>IFERROR(__xludf.DUMMYFUNCTION("""COMPUTED_VALUE"""),39.0)</f>
        <v>39</v>
      </c>
      <c r="W2699" s="1">
        <f>IFERROR(__xludf.DUMMYFUNCTION("""COMPUTED_VALUE"""),359.0)</f>
        <v>359</v>
      </c>
      <c r="X2699" s="1">
        <f>IFERROR(__xludf.DUMMYFUNCTION("""COMPUTED_VALUE"""),313.0)</f>
        <v>313</v>
      </c>
      <c r="Y2699" s="2"/>
      <c r="Z2699" s="2"/>
    </row>
    <row r="2700">
      <c r="A2700" s="1">
        <f>IFERROR(__xludf.DUMMYFUNCTION("""COMPUTED_VALUE"""),2699.0)</f>
        <v>2699</v>
      </c>
      <c r="B2700" s="7" t="str">
        <f>IFERROR(__xludf.DUMMYFUNCTION("""COMPUTED_VALUE"""),"9025")</f>
        <v>9025</v>
      </c>
      <c r="C2700" s="8" t="str">
        <f>IFERROR(__xludf.DUMMYFUNCTION("""COMPUTED_VALUE"""),"Rizky")</f>
        <v>Rizky</v>
      </c>
      <c r="D2700" s="2" t="str">
        <f>IFERROR(__xludf.DUMMYFUNCTION("""COMPUTED_VALUE"""),"5KM STUDENT M")</f>
        <v>5KM STUDENT M</v>
      </c>
      <c r="E2700" s="1">
        <f>IFERROR(__xludf.DUMMYFUNCTION("""COMPUTED_VALUE"""),2.0)</f>
        <v>2</v>
      </c>
      <c r="F2700" s="1" t="str">
        <f>IFERROR(__xludf.DUMMYFUNCTION("""COMPUTED_VALUE"""),"Male")</f>
        <v>Male</v>
      </c>
      <c r="G2700" s="4" t="b">
        <f>IFERROR(__xludf.DUMMYFUNCTION("""COMPUTED_VALUE"""),TRUE)</f>
        <v>1</v>
      </c>
      <c r="H2700" s="4" t="b">
        <f>IFERROR(__xludf.DUMMYFUNCTION("""COMPUTED_VALUE"""),TRUE)</f>
        <v>1</v>
      </c>
      <c r="I2700" s="4">
        <f>IFERROR(__xludf.DUMMYFUNCTION("""COMPUTED_VALUE"""),0.2549440625)</f>
        <v>0.2549440625</v>
      </c>
      <c r="J2700" s="4">
        <f>IFERROR(__xludf.DUMMYFUNCTION("""COMPUTED_VALUE"""),45949.267658667035)</f>
        <v>45949.26766</v>
      </c>
      <c r="K2700" s="4" t="str">
        <f>IFERROR(__xludf.DUMMYFUNCTION("""COMPUTED_VALUE"""),"")</f>
        <v/>
      </c>
      <c r="L2700" s="4">
        <f>IFERROR(__xludf.DUMMYFUNCTION("""COMPUTED_VALUE"""),45949.280157807065)</f>
        <v>45949.28016</v>
      </c>
      <c r="M2700" s="1" t="str">
        <f>IFERROR(__xludf.DUMMYFUNCTION("""COMPUTED_VALUE"""),"RFID")</f>
        <v>RFID</v>
      </c>
      <c r="N2700" s="5">
        <f>IFERROR(__xludf.DUMMYFUNCTION("""COMPUTED_VALUE"""),0.005085842592592592)</f>
        <v>0.005085842593</v>
      </c>
      <c r="O2700" s="5" t="str">
        <f>IFERROR(__xludf.DUMMYFUNCTION("""COMPUTED_VALUE"""),"")</f>
        <v/>
      </c>
      <c r="P2700" s="5" t="str">
        <f>IFERROR(__xludf.DUMMYFUNCTION("""COMPUTED_VALUE"""),"")</f>
        <v/>
      </c>
      <c r="Q2700" s="5">
        <f>IFERROR(__xludf.DUMMYFUNCTION("""COMPUTED_VALUE"""),0.0050427499999999995)</f>
        <v>0.00504275</v>
      </c>
      <c r="R2700" s="4">
        <f>IFERROR(__xludf.DUMMYFUNCTION("""COMPUTED_VALUE"""),45949.025213744564)</f>
        <v>45949.02521</v>
      </c>
      <c r="S2700" s="1" t="b">
        <f>IFERROR(__xludf.DUMMYFUNCTION("""COMPUTED_VALUE"""),TRUE)</f>
        <v>1</v>
      </c>
      <c r="T2700" s="1" t="b">
        <f>IFERROR(__xludf.DUMMYFUNCTION("""COMPUTED_VALUE"""),FALSE)</f>
        <v>0</v>
      </c>
      <c r="U2700" s="1" t="str">
        <f>IFERROR(__xludf.DUMMYFUNCTION("""COMPUTED_VALUE"""),"VALID")</f>
        <v>VALID</v>
      </c>
      <c r="V2700" s="1">
        <f>IFERROR(__xludf.DUMMYFUNCTION("""COMPUTED_VALUE"""),37.0)</f>
        <v>37</v>
      </c>
      <c r="W2700" s="1">
        <f>IFERROR(__xludf.DUMMYFUNCTION("""COMPUTED_VALUE"""),300.0)</f>
        <v>300</v>
      </c>
      <c r="X2700" s="1">
        <f>IFERROR(__xludf.DUMMYFUNCTION("""COMPUTED_VALUE"""),263.0)</f>
        <v>263</v>
      </c>
      <c r="Y2700" s="2"/>
      <c r="Z2700" s="2"/>
    </row>
    <row r="2701">
      <c r="A2701" s="1">
        <f>IFERROR(__xludf.DUMMYFUNCTION("""COMPUTED_VALUE"""),2700.0)</f>
        <v>2700</v>
      </c>
      <c r="B2701" s="7" t="str">
        <f>IFERROR(__xludf.DUMMYFUNCTION("""COMPUTED_VALUE"""),"9026")</f>
        <v>9026</v>
      </c>
      <c r="C2701" s="8" t="str">
        <f>IFERROR(__xludf.DUMMYFUNCTION("""COMPUTED_VALUE"""),"Fadhil")</f>
        <v>Fadhil</v>
      </c>
      <c r="D2701" s="2" t="str">
        <f>IFERROR(__xludf.DUMMYFUNCTION("""COMPUTED_VALUE"""),"5KM STUDENT M")</f>
        <v>5KM STUDENT M</v>
      </c>
      <c r="E2701" s="1">
        <f>IFERROR(__xludf.DUMMYFUNCTION("""COMPUTED_VALUE"""),2.0)</f>
        <v>2</v>
      </c>
      <c r="F2701" s="1" t="str">
        <f>IFERROR(__xludf.DUMMYFUNCTION("""COMPUTED_VALUE"""),"Male")</f>
        <v>Male</v>
      </c>
      <c r="G2701" s="4" t="b">
        <f>IFERROR(__xludf.DUMMYFUNCTION("""COMPUTED_VALUE"""),TRUE)</f>
        <v>1</v>
      </c>
      <c r="H2701" s="4" t="b">
        <f>IFERROR(__xludf.DUMMYFUNCTION("""COMPUTED_VALUE"""),TRUE)</f>
        <v>1</v>
      </c>
      <c r="I2701" s="4">
        <f>IFERROR(__xludf.DUMMYFUNCTION("""COMPUTED_VALUE"""),0.2549440625)</f>
        <v>0.2549440625</v>
      </c>
      <c r="J2701" s="4">
        <f>IFERROR(__xludf.DUMMYFUNCTION("""COMPUTED_VALUE"""),45949.27469340573)</f>
        <v>45949.27469</v>
      </c>
      <c r="K2701" s="4" t="str">
        <f>IFERROR(__xludf.DUMMYFUNCTION("""COMPUTED_VALUE"""),"")</f>
        <v/>
      </c>
      <c r="L2701" s="4">
        <f>IFERROR(__xludf.DUMMYFUNCTION("""COMPUTED_VALUE"""),45949.28708141871)</f>
        <v>45949.28708</v>
      </c>
      <c r="M2701" s="1" t="str">
        <f>IFERROR(__xludf.DUMMYFUNCTION("""COMPUTED_VALUE"""),"RFID")</f>
        <v>RFID</v>
      </c>
      <c r="N2701" s="5">
        <f>IFERROR(__xludf.DUMMYFUNCTION("""COMPUTED_VALUE"""),0.00789973611111111)</f>
        <v>0.007899736111</v>
      </c>
      <c r="O2701" s="5" t="str">
        <f>IFERROR(__xludf.DUMMYFUNCTION("""COMPUTED_VALUE"""),"")</f>
        <v/>
      </c>
      <c r="P2701" s="5" t="str">
        <f>IFERROR(__xludf.DUMMYFUNCTION("""COMPUTED_VALUE"""),"")</f>
        <v/>
      </c>
      <c r="Q2701" s="5">
        <f>IFERROR(__xludf.DUMMYFUNCTION("""COMPUTED_VALUE"""),0.006427472222222222)</f>
        <v>0.006427472222</v>
      </c>
      <c r="R2701" s="4">
        <f>IFERROR(__xludf.DUMMYFUNCTION("""COMPUTED_VALUE"""),45949.03213735621)</f>
        <v>45949.03214</v>
      </c>
      <c r="S2701" s="1" t="b">
        <f>IFERROR(__xludf.DUMMYFUNCTION("""COMPUTED_VALUE"""),TRUE)</f>
        <v>1</v>
      </c>
      <c r="T2701" s="1" t="b">
        <f>IFERROR(__xludf.DUMMYFUNCTION("""COMPUTED_VALUE"""),FALSE)</f>
        <v>0</v>
      </c>
      <c r="U2701" s="1" t="str">
        <f>IFERROR(__xludf.DUMMYFUNCTION("""COMPUTED_VALUE"""),"VALID")</f>
        <v>VALID</v>
      </c>
      <c r="V2701" s="1">
        <f>IFERROR(__xludf.DUMMYFUNCTION("""COMPUTED_VALUE"""),53.0)</f>
        <v>53</v>
      </c>
      <c r="W2701" s="1">
        <f>IFERROR(__xludf.DUMMYFUNCTION("""COMPUTED_VALUE"""),711.0)</f>
        <v>711</v>
      </c>
      <c r="X2701" s="1">
        <f>IFERROR(__xludf.DUMMYFUNCTION("""COMPUTED_VALUE"""),597.0)</f>
        <v>597</v>
      </c>
      <c r="Y2701" s="2"/>
      <c r="Z2701" s="2"/>
    </row>
    <row r="2702">
      <c r="A2702" s="1">
        <f>IFERROR(__xludf.DUMMYFUNCTION("""COMPUTED_VALUE"""),2701.0)</f>
        <v>2701</v>
      </c>
      <c r="B2702" s="7" t="str">
        <f>IFERROR(__xludf.DUMMYFUNCTION("""COMPUTED_VALUE"""),"9027")</f>
        <v>9027</v>
      </c>
      <c r="C2702" s="8" t="str">
        <f>IFERROR(__xludf.DUMMYFUNCTION("""COMPUTED_VALUE"""),"Arya")</f>
        <v>Arya</v>
      </c>
      <c r="D2702" s="2" t="str">
        <f>IFERROR(__xludf.DUMMYFUNCTION("""COMPUTED_VALUE"""),"5KM STUDENT M")</f>
        <v>5KM STUDENT M</v>
      </c>
      <c r="E2702" s="1">
        <f>IFERROR(__xludf.DUMMYFUNCTION("""COMPUTED_VALUE"""),2.0)</f>
        <v>2</v>
      </c>
      <c r="F2702" s="1" t="str">
        <f>IFERROR(__xludf.DUMMYFUNCTION("""COMPUTED_VALUE"""),"Male")</f>
        <v>Male</v>
      </c>
      <c r="G2702" s="4" t="b">
        <f>IFERROR(__xludf.DUMMYFUNCTION("""COMPUTED_VALUE"""),TRUE)</f>
        <v>1</v>
      </c>
      <c r="H2702" s="4" t="b">
        <f>IFERROR(__xludf.DUMMYFUNCTION("""COMPUTED_VALUE"""),FALSE)</f>
        <v>0</v>
      </c>
      <c r="I2702" s="4">
        <f>IFERROR(__xludf.DUMMYFUNCTION("""COMPUTED_VALUE"""),0.2549440625)</f>
        <v>0.2549440625</v>
      </c>
      <c r="J2702" s="4">
        <f>IFERROR(__xludf.DUMMYFUNCTION("""COMPUTED_VALUE"""),45949.266606546524)</f>
        <v>45949.26661</v>
      </c>
      <c r="K2702" s="4" t="str">
        <f>IFERROR(__xludf.DUMMYFUNCTION("""COMPUTED_VALUE"""),"")</f>
        <v/>
      </c>
      <c r="L2702" s="4">
        <f>IFERROR(__xludf.DUMMYFUNCTION("""COMPUTED_VALUE"""),45949.27802235972)</f>
        <v>45949.27802</v>
      </c>
      <c r="M2702" s="1" t="str">
        <f>IFERROR(__xludf.DUMMYFUNCTION("""COMPUTED_VALUE"""),"RFID")</f>
        <v>RFID</v>
      </c>
      <c r="N2702" s="5">
        <f>IFERROR(__xludf.DUMMYFUNCTION("""COMPUTED_VALUE"""),0.0046649953703703706)</f>
        <v>0.00466499537</v>
      </c>
      <c r="O2702" s="5" t="str">
        <f>IFERROR(__xludf.DUMMYFUNCTION("""COMPUTED_VALUE"""),"")</f>
        <v/>
      </c>
      <c r="P2702" s="5" t="str">
        <f>IFERROR(__xludf.DUMMYFUNCTION("""COMPUTED_VALUE"""),"")</f>
        <v/>
      </c>
      <c r="Q2702" s="5">
        <f>IFERROR(__xludf.DUMMYFUNCTION("""COMPUTED_VALUE"""),0.004615659722222222)</f>
        <v>0.004615659722</v>
      </c>
      <c r="R2702" s="4">
        <f>IFERROR(__xludf.DUMMYFUNCTION("""COMPUTED_VALUE"""),45949.02307829722)</f>
        <v>45949.02308</v>
      </c>
      <c r="S2702" s="1" t="b">
        <f>IFERROR(__xludf.DUMMYFUNCTION("""COMPUTED_VALUE"""),TRUE)</f>
        <v>1</v>
      </c>
      <c r="T2702" s="1" t="b">
        <f>IFERROR(__xludf.DUMMYFUNCTION("""COMPUTED_VALUE"""),FALSE)</f>
        <v>0</v>
      </c>
      <c r="U2702" s="1" t="str">
        <f>IFERROR(__xludf.DUMMYFUNCTION("""COMPUTED_VALUE"""),"VALID")</f>
        <v>VALID</v>
      </c>
      <c r="V2702" s="1">
        <f>IFERROR(__xludf.DUMMYFUNCTION("""COMPUTED_VALUE"""),27.0)</f>
        <v>27</v>
      </c>
      <c r="W2702" s="1">
        <f>IFERROR(__xludf.DUMMYFUNCTION("""COMPUTED_VALUE"""),216.0)</f>
        <v>216</v>
      </c>
      <c r="X2702" s="1">
        <f>IFERROR(__xludf.DUMMYFUNCTION("""COMPUTED_VALUE"""),188.0)</f>
        <v>188</v>
      </c>
      <c r="Y2702" s="2"/>
      <c r="Z2702" s="2"/>
    </row>
    <row r="2703">
      <c r="A2703" s="1">
        <f>IFERROR(__xludf.DUMMYFUNCTION("""COMPUTED_VALUE"""),2702.0)</f>
        <v>2702</v>
      </c>
      <c r="B2703" s="7" t="str">
        <f>IFERROR(__xludf.DUMMYFUNCTION("""COMPUTED_VALUE"""),"9028")</f>
        <v>9028</v>
      </c>
      <c r="C2703" s="8" t="str">
        <f>IFERROR(__xludf.DUMMYFUNCTION("""COMPUTED_VALUE"""),"Dimas")</f>
        <v>Dimas</v>
      </c>
      <c r="D2703" s="2" t="str">
        <f>IFERROR(__xludf.DUMMYFUNCTION("""COMPUTED_VALUE"""),"5KM STUDENT M")</f>
        <v>5KM STUDENT M</v>
      </c>
      <c r="E2703" s="1">
        <f>IFERROR(__xludf.DUMMYFUNCTION("""COMPUTED_VALUE"""),2.0)</f>
        <v>2</v>
      </c>
      <c r="F2703" s="1" t="str">
        <f>IFERROR(__xludf.DUMMYFUNCTION("""COMPUTED_VALUE"""),"Male")</f>
        <v>Male</v>
      </c>
      <c r="G2703" s="4" t="b">
        <f>IFERROR(__xludf.DUMMYFUNCTION("""COMPUTED_VALUE"""),TRUE)</f>
        <v>1</v>
      </c>
      <c r="H2703" s="4" t="b">
        <f>IFERROR(__xludf.DUMMYFUNCTION("""COMPUTED_VALUE"""),FALSE)</f>
        <v>0</v>
      </c>
      <c r="I2703" s="4">
        <f>IFERROR(__xludf.DUMMYFUNCTION("""COMPUTED_VALUE"""),0.2549440625)</f>
        <v>0.2549440625</v>
      </c>
      <c r="J2703" s="4">
        <f>IFERROR(__xludf.DUMMYFUNCTION("""COMPUTED_VALUE"""),45949.27201281218)</f>
        <v>45949.27201</v>
      </c>
      <c r="K2703" s="4" t="str">
        <f>IFERROR(__xludf.DUMMYFUNCTION("""COMPUTED_VALUE"""),"")</f>
        <v/>
      </c>
      <c r="L2703" s="4">
        <f>IFERROR(__xludf.DUMMYFUNCTION("""COMPUTED_VALUE"""),45949.2864737452)</f>
        <v>45949.28647</v>
      </c>
      <c r="M2703" s="1" t="str">
        <f>IFERROR(__xludf.DUMMYFUNCTION("""COMPUTED_VALUE"""),"RFID")</f>
        <v>RFID</v>
      </c>
      <c r="N2703" s="5">
        <f>IFERROR(__xludf.DUMMYFUNCTION("""COMPUTED_VALUE"""),0.0068275)</f>
        <v>0.0068275</v>
      </c>
      <c r="O2703" s="5" t="str">
        <f>IFERROR(__xludf.DUMMYFUNCTION("""COMPUTED_VALUE"""),"")</f>
        <v/>
      </c>
      <c r="P2703" s="5" t="str">
        <f>IFERROR(__xludf.DUMMYFUNCTION("""COMPUTED_VALUE"""),"")</f>
        <v/>
      </c>
      <c r="Q2703" s="5">
        <f>IFERROR(__xludf.DUMMYFUNCTION("""COMPUTED_VALUE"""),0.0063059375)</f>
        <v>0.0063059375</v>
      </c>
      <c r="R2703" s="4">
        <f>IFERROR(__xludf.DUMMYFUNCTION("""COMPUTED_VALUE"""),45949.031529682696)</f>
        <v>45949.03153</v>
      </c>
      <c r="S2703" s="1" t="b">
        <f>IFERROR(__xludf.DUMMYFUNCTION("""COMPUTED_VALUE"""),TRUE)</f>
        <v>1</v>
      </c>
      <c r="T2703" s="1" t="b">
        <f>IFERROR(__xludf.DUMMYFUNCTION("""COMPUTED_VALUE"""),FALSE)</f>
        <v>0</v>
      </c>
      <c r="U2703" s="1" t="str">
        <f>IFERROR(__xludf.DUMMYFUNCTION("""COMPUTED_VALUE"""),"VALID")</f>
        <v>VALID</v>
      </c>
      <c r="V2703" s="1">
        <f>IFERROR(__xludf.DUMMYFUNCTION("""COMPUTED_VALUE"""),48.0)</f>
        <v>48</v>
      </c>
      <c r="W2703" s="1">
        <f>IFERROR(__xludf.DUMMYFUNCTION("""COMPUTED_VALUE"""),666.0)</f>
        <v>666</v>
      </c>
      <c r="X2703" s="1">
        <f>IFERROR(__xludf.DUMMYFUNCTION("""COMPUTED_VALUE"""),556.0)</f>
        <v>556</v>
      </c>
      <c r="Y2703" s="2"/>
      <c r="Z2703" s="2"/>
    </row>
    <row r="2704">
      <c r="A2704" s="1">
        <f>IFERROR(__xludf.DUMMYFUNCTION("""COMPUTED_VALUE"""),2703.0)</f>
        <v>2703</v>
      </c>
      <c r="B2704" s="7" t="str">
        <f>IFERROR(__xludf.DUMMYFUNCTION("""COMPUTED_VALUE"""),"9029")</f>
        <v>9029</v>
      </c>
      <c r="C2704" s="8" t="str">
        <f>IFERROR(__xludf.DUMMYFUNCTION("""COMPUTED_VALUE"""),"ziyad")</f>
        <v>ziyad</v>
      </c>
      <c r="D2704" s="2" t="str">
        <f>IFERROR(__xludf.DUMMYFUNCTION("""COMPUTED_VALUE"""),"5KM STUDENT M")</f>
        <v>5KM STUDENT M</v>
      </c>
      <c r="E2704" s="1">
        <f>IFERROR(__xludf.DUMMYFUNCTION("""COMPUTED_VALUE"""),2.0)</f>
        <v>2</v>
      </c>
      <c r="F2704" s="1" t="str">
        <f>IFERROR(__xludf.DUMMYFUNCTION("""COMPUTED_VALUE"""),"Male")</f>
        <v>Male</v>
      </c>
      <c r="G2704" s="4" t="b">
        <f>IFERROR(__xludf.DUMMYFUNCTION("""COMPUTED_VALUE"""),TRUE)</f>
        <v>1</v>
      </c>
      <c r="H2704" s="4" t="b">
        <f>IFERROR(__xludf.DUMMYFUNCTION("""COMPUTED_VALUE"""),TRUE)</f>
        <v>1</v>
      </c>
      <c r="I2704" s="4">
        <f>IFERROR(__xludf.DUMMYFUNCTION("""COMPUTED_VALUE"""),0.2549440625)</f>
        <v>0.2549440625</v>
      </c>
      <c r="J2704" s="4">
        <f>IFERROR(__xludf.DUMMYFUNCTION("""COMPUTED_VALUE"""),45949.26841558758)</f>
        <v>45949.26842</v>
      </c>
      <c r="K2704" s="4" t="str">
        <f>IFERROR(__xludf.DUMMYFUNCTION("""COMPUTED_VALUE"""),"")</f>
        <v/>
      </c>
      <c r="L2704" s="4">
        <f>IFERROR(__xludf.DUMMYFUNCTION("""COMPUTED_VALUE"""),45949.27843906075)</f>
        <v>45949.27844</v>
      </c>
      <c r="M2704" s="1" t="str">
        <f>IFERROR(__xludf.DUMMYFUNCTION("""COMPUTED_VALUE"""),"RFID")</f>
        <v>RFID</v>
      </c>
      <c r="N2704" s="5">
        <f>IFERROR(__xludf.DUMMYFUNCTION("""COMPUTED_VALUE"""),0.005388611111111111)</f>
        <v>0.005388611111</v>
      </c>
      <c r="O2704" s="5" t="str">
        <f>IFERROR(__xludf.DUMMYFUNCTION("""COMPUTED_VALUE"""),"")</f>
        <v/>
      </c>
      <c r="P2704" s="5" t="str">
        <f>IFERROR(__xludf.DUMMYFUNCTION("""COMPUTED_VALUE"""),"")</f>
        <v/>
      </c>
      <c r="Q2704" s="5">
        <f>IFERROR(__xludf.DUMMYFUNCTION("""COMPUTED_VALUE"""),0.004699)</f>
        <v>0.004699</v>
      </c>
      <c r="R2704" s="4">
        <f>IFERROR(__xludf.DUMMYFUNCTION("""COMPUTED_VALUE"""),45949.02349499825)</f>
        <v>45949.02349</v>
      </c>
      <c r="S2704" s="1" t="b">
        <f>IFERROR(__xludf.DUMMYFUNCTION("""COMPUTED_VALUE"""),TRUE)</f>
        <v>1</v>
      </c>
      <c r="T2704" s="1" t="b">
        <f>IFERROR(__xludf.DUMMYFUNCTION("""COMPUTED_VALUE"""),FALSE)</f>
        <v>0</v>
      </c>
      <c r="U2704" s="1" t="str">
        <f>IFERROR(__xludf.DUMMYFUNCTION("""COMPUTED_VALUE"""),"VALID")</f>
        <v>VALID</v>
      </c>
      <c r="V2704" s="1">
        <f>IFERROR(__xludf.DUMMYFUNCTION("""COMPUTED_VALUE"""),29.0)</f>
        <v>29</v>
      </c>
      <c r="W2704" s="1">
        <f>IFERROR(__xludf.DUMMYFUNCTION("""COMPUTED_VALUE"""),236.0)</f>
        <v>236</v>
      </c>
      <c r="X2704" s="1">
        <f>IFERROR(__xludf.DUMMYFUNCTION("""COMPUTED_VALUE"""),206.0)</f>
        <v>206</v>
      </c>
      <c r="Y2704" s="2"/>
      <c r="Z2704" s="2"/>
    </row>
    <row r="2705">
      <c r="A2705" s="1">
        <f>IFERROR(__xludf.DUMMYFUNCTION("""COMPUTED_VALUE"""),2704.0)</f>
        <v>2704</v>
      </c>
      <c r="B2705" s="7" t="str">
        <f>IFERROR(__xludf.DUMMYFUNCTION("""COMPUTED_VALUE"""),"9030")</f>
        <v>9030</v>
      </c>
      <c r="C2705" s="8" t="str">
        <f>IFERROR(__xludf.DUMMYFUNCTION("""COMPUTED_VALUE"""),"satria")</f>
        <v>satria</v>
      </c>
      <c r="D2705" s="2" t="str">
        <f>IFERROR(__xludf.DUMMYFUNCTION("""COMPUTED_VALUE"""),"5KM STUDENT M")</f>
        <v>5KM STUDENT M</v>
      </c>
      <c r="E2705" s="1">
        <f>IFERROR(__xludf.DUMMYFUNCTION("""COMPUTED_VALUE"""),2.0)</f>
        <v>2</v>
      </c>
      <c r="F2705" s="1" t="str">
        <f>IFERROR(__xludf.DUMMYFUNCTION("""COMPUTED_VALUE"""),"Male")</f>
        <v>Male</v>
      </c>
      <c r="G2705" s="4" t="b">
        <f>IFERROR(__xludf.DUMMYFUNCTION("""COMPUTED_VALUE"""),TRUE)</f>
        <v>1</v>
      </c>
      <c r="H2705" s="4" t="b">
        <f>IFERROR(__xludf.DUMMYFUNCTION("""COMPUTED_VALUE"""),TRUE)</f>
        <v>1</v>
      </c>
      <c r="I2705" s="4">
        <f>IFERROR(__xludf.DUMMYFUNCTION("""COMPUTED_VALUE"""),0.2549440625)</f>
        <v>0.2549440625</v>
      </c>
      <c r="J2705" s="4">
        <f>IFERROR(__xludf.DUMMYFUNCTION("""COMPUTED_VALUE"""),45949.266936696535)</f>
        <v>45949.26694</v>
      </c>
      <c r="K2705" s="4" t="str">
        <f>IFERROR(__xludf.DUMMYFUNCTION("""COMPUTED_VALUE"""),"")</f>
        <v/>
      </c>
      <c r="L2705" s="4">
        <f>IFERROR(__xludf.DUMMYFUNCTION("""COMPUTED_VALUE"""),45949.2752836827)</f>
        <v>45949.27528</v>
      </c>
      <c r="M2705" s="1" t="str">
        <f>IFERROR(__xludf.DUMMYFUNCTION("""COMPUTED_VALUE"""),"RFID")</f>
        <v>RFID</v>
      </c>
      <c r="N2705" s="5">
        <f>IFERROR(__xludf.DUMMYFUNCTION("""COMPUTED_VALUE"""),0.004797055555555556)</f>
        <v>0.004797055556</v>
      </c>
      <c r="O2705" s="5" t="str">
        <f>IFERROR(__xludf.DUMMYFUNCTION("""COMPUTED_VALUE"""),"")</f>
        <v/>
      </c>
      <c r="P2705" s="5" t="str">
        <f>IFERROR(__xludf.DUMMYFUNCTION("""COMPUTED_VALUE"""),"")</f>
        <v/>
      </c>
      <c r="Q2705" s="5">
        <f>IFERROR(__xludf.DUMMYFUNCTION("""COMPUTED_VALUE"""),0.0040679236111111116)</f>
        <v>0.004067923611</v>
      </c>
      <c r="R2705" s="4">
        <f>IFERROR(__xludf.DUMMYFUNCTION("""COMPUTED_VALUE"""),45949.0203396202)</f>
        <v>45949.02034</v>
      </c>
      <c r="S2705" s="1" t="b">
        <f>IFERROR(__xludf.DUMMYFUNCTION("""COMPUTED_VALUE"""),TRUE)</f>
        <v>1</v>
      </c>
      <c r="T2705" s="1" t="b">
        <f>IFERROR(__xludf.DUMMYFUNCTION("""COMPUTED_VALUE"""),FALSE)</f>
        <v>0</v>
      </c>
      <c r="U2705" s="1" t="str">
        <f>IFERROR(__xludf.DUMMYFUNCTION("""COMPUTED_VALUE"""),"VALID")</f>
        <v>VALID</v>
      </c>
      <c r="V2705" s="1">
        <f>IFERROR(__xludf.DUMMYFUNCTION("""COMPUTED_VALUE"""),17.0)</f>
        <v>17</v>
      </c>
      <c r="W2705" s="1">
        <f>IFERROR(__xludf.DUMMYFUNCTION("""COMPUTED_VALUE"""),121.0)</f>
        <v>121</v>
      </c>
      <c r="X2705" s="1">
        <f>IFERROR(__xludf.DUMMYFUNCTION("""COMPUTED_VALUE"""),110.0)</f>
        <v>110</v>
      </c>
      <c r="Y2705" s="2"/>
      <c r="Z2705" s="2"/>
    </row>
    <row r="2706">
      <c r="A2706" s="1">
        <f>IFERROR(__xludf.DUMMYFUNCTION("""COMPUTED_VALUE"""),2705.0)</f>
        <v>2705</v>
      </c>
      <c r="B2706" s="7" t="str">
        <f>IFERROR(__xludf.DUMMYFUNCTION("""COMPUTED_VALUE"""),"9031")</f>
        <v>9031</v>
      </c>
      <c r="C2706" s="8" t="str">
        <f>IFERROR(__xludf.DUMMYFUNCTION("""COMPUTED_VALUE"""),"Abja")</f>
        <v>Abja</v>
      </c>
      <c r="D2706" s="2" t="str">
        <f>IFERROR(__xludf.DUMMYFUNCTION("""COMPUTED_VALUE"""),"5KM STUDENT M")</f>
        <v>5KM STUDENT M</v>
      </c>
      <c r="E2706" s="1">
        <f>IFERROR(__xludf.DUMMYFUNCTION("""COMPUTED_VALUE"""),2.0)</f>
        <v>2</v>
      </c>
      <c r="F2706" s="1" t="str">
        <f>IFERROR(__xludf.DUMMYFUNCTION("""COMPUTED_VALUE"""),"Male")</f>
        <v>Male</v>
      </c>
      <c r="G2706" s="4" t="b">
        <f>IFERROR(__xludf.DUMMYFUNCTION("""COMPUTED_VALUE"""),TRUE)</f>
        <v>1</v>
      </c>
      <c r="H2706" s="4" t="b">
        <f>IFERROR(__xludf.DUMMYFUNCTION("""COMPUTED_VALUE"""),TRUE)</f>
        <v>1</v>
      </c>
      <c r="I2706" s="4">
        <f>IFERROR(__xludf.DUMMYFUNCTION("""COMPUTED_VALUE"""),0.2549440625)</f>
        <v>0.2549440625</v>
      </c>
      <c r="J2706" s="4">
        <f>IFERROR(__xludf.DUMMYFUNCTION("""COMPUTED_VALUE"""),45950.26645833333)</f>
        <v>45950.26646</v>
      </c>
      <c r="K2706" s="4" t="str">
        <f>IFERROR(__xludf.DUMMYFUNCTION("""COMPUTED_VALUE"""),"")</f>
        <v/>
      </c>
      <c r="L2706" s="4">
        <f>IFERROR(__xludf.DUMMYFUNCTION("""COMPUTED_VALUE"""),45949.27412656408)</f>
        <v>45949.27413</v>
      </c>
      <c r="M2706" s="1" t="str">
        <f>IFERROR(__xludf.DUMMYFUNCTION("""COMPUTED_VALUE"""),"RFID")</f>
        <v>RFID</v>
      </c>
      <c r="N2706" s="5">
        <f>IFERROR(__xludf.DUMMYFUNCTION("""COMPUTED_VALUE"""),0.004605708333333333)</f>
        <v>0.004605708333</v>
      </c>
      <c r="O2706" s="5" t="str">
        <f>IFERROR(__xludf.DUMMYFUNCTION("""COMPUTED_VALUE"""),"")</f>
        <v/>
      </c>
      <c r="P2706" s="5" t="str">
        <f>IFERROR(__xludf.DUMMYFUNCTION("""COMPUTED_VALUE"""),"")</f>
        <v/>
      </c>
      <c r="Q2706" s="5">
        <f>IFERROR(__xludf.DUMMYFUNCTION("""COMPUTED_VALUE"""),0.0038364999999999996)</f>
        <v>0.0038365</v>
      </c>
      <c r="R2706" s="4">
        <f>IFERROR(__xludf.DUMMYFUNCTION("""COMPUTED_VALUE"""),45949.01918250158)</f>
        <v>45949.01918</v>
      </c>
      <c r="S2706" s="1" t="b">
        <f>IFERROR(__xludf.DUMMYFUNCTION("""COMPUTED_VALUE"""),TRUE)</f>
        <v>1</v>
      </c>
      <c r="T2706" s="1" t="b">
        <f>IFERROR(__xludf.DUMMYFUNCTION("""COMPUTED_VALUE"""),FALSE)</f>
        <v>0</v>
      </c>
      <c r="U2706" s="1" t="str">
        <f>IFERROR(__xludf.DUMMYFUNCTION("""COMPUTED_VALUE"""),"VALID")</f>
        <v>VALID</v>
      </c>
      <c r="V2706" s="1">
        <f>IFERROR(__xludf.DUMMYFUNCTION("""COMPUTED_VALUE"""),13.0)</f>
        <v>13</v>
      </c>
      <c r="W2706" s="1">
        <f>IFERROR(__xludf.DUMMYFUNCTION("""COMPUTED_VALUE"""),92.0)</f>
        <v>92</v>
      </c>
      <c r="X2706" s="1">
        <f>IFERROR(__xludf.DUMMYFUNCTION("""COMPUTED_VALUE"""),83.0)</f>
        <v>83</v>
      </c>
      <c r="Y2706" s="2"/>
      <c r="Z2706" s="2" t="str">
        <f>IFERROR(__xludf.DUMMYFUNCTION("""COMPUTED_VALUE"""),"C")</f>
        <v>C</v>
      </c>
    </row>
    <row r="2707">
      <c r="A2707" s="1">
        <f>IFERROR(__xludf.DUMMYFUNCTION("""COMPUTED_VALUE"""),2706.0)</f>
        <v>2706</v>
      </c>
      <c r="B2707" s="7" t="str">
        <f>IFERROR(__xludf.DUMMYFUNCTION("""COMPUTED_VALUE"""),"9032")</f>
        <v>9032</v>
      </c>
      <c r="C2707" s="8" t="str">
        <f>IFERROR(__xludf.DUMMYFUNCTION("""COMPUTED_VALUE"""),"Nurill")</f>
        <v>Nurill</v>
      </c>
      <c r="D2707" s="2" t="str">
        <f>IFERROR(__xludf.DUMMYFUNCTION("""COMPUTED_VALUE"""),"5KM STUDENT M")</f>
        <v>5KM STUDENT M</v>
      </c>
      <c r="E2707" s="1">
        <f>IFERROR(__xludf.DUMMYFUNCTION("""COMPUTED_VALUE"""),2.0)</f>
        <v>2</v>
      </c>
      <c r="F2707" s="1" t="str">
        <f>IFERROR(__xludf.DUMMYFUNCTION("""COMPUTED_VALUE"""),"Male")</f>
        <v>Male</v>
      </c>
      <c r="G2707" s="4" t="b">
        <f>IFERROR(__xludf.DUMMYFUNCTION("""COMPUTED_VALUE"""),TRUE)</f>
        <v>1</v>
      </c>
      <c r="H2707" s="4" t="b">
        <f>IFERROR(__xludf.DUMMYFUNCTION("""COMPUTED_VALUE"""),TRUE)</f>
        <v>1</v>
      </c>
      <c r="I2707" s="4">
        <f>IFERROR(__xludf.DUMMYFUNCTION("""COMPUTED_VALUE"""),0.2549440625)</f>
        <v>0.2549440625</v>
      </c>
      <c r="J2707" s="4">
        <f>IFERROR(__xludf.DUMMYFUNCTION("""COMPUTED_VALUE"""),45949.27117947288)</f>
        <v>45949.27118</v>
      </c>
      <c r="K2707" s="4" t="str">
        <f>IFERROR(__xludf.DUMMYFUNCTION("""COMPUTED_VALUE"""),"")</f>
        <v/>
      </c>
      <c r="L2707" s="4">
        <f>IFERROR(__xludf.DUMMYFUNCTION("""COMPUTED_VALUE"""),45949.284192537954)</f>
        <v>45949.28419</v>
      </c>
      <c r="M2707" s="1" t="str">
        <f>IFERROR(__xludf.DUMMYFUNCTION("""COMPUTED_VALUE"""),"RFID")</f>
        <v>RFID</v>
      </c>
      <c r="N2707" s="5">
        <f>IFERROR(__xludf.DUMMYFUNCTION("""COMPUTED_VALUE"""),0.006494162037037038)</f>
        <v>0.006494162037</v>
      </c>
      <c r="O2707" s="5" t="str">
        <f>IFERROR(__xludf.DUMMYFUNCTION("""COMPUTED_VALUE"""),"")</f>
        <v/>
      </c>
      <c r="P2707" s="5" t="str">
        <f>IFERROR(__xludf.DUMMYFUNCTION("""COMPUTED_VALUE"""),"")</f>
        <v/>
      </c>
      <c r="Q2707" s="5">
        <f>IFERROR(__xludf.DUMMYFUNCTION("""COMPUTED_VALUE"""),0.005849694444444445)</f>
        <v>0.005849694444</v>
      </c>
      <c r="R2707" s="4">
        <f>IFERROR(__xludf.DUMMYFUNCTION("""COMPUTED_VALUE"""),45949.029248475454)</f>
        <v>45949.02925</v>
      </c>
      <c r="S2707" s="1" t="b">
        <f>IFERROR(__xludf.DUMMYFUNCTION("""COMPUTED_VALUE"""),TRUE)</f>
        <v>1</v>
      </c>
      <c r="T2707" s="1" t="b">
        <f>IFERROR(__xludf.DUMMYFUNCTION("""COMPUTED_VALUE"""),FALSE)</f>
        <v>0</v>
      </c>
      <c r="U2707" s="1" t="str">
        <f>IFERROR(__xludf.DUMMYFUNCTION("""COMPUTED_VALUE"""),"VALID")</f>
        <v>VALID</v>
      </c>
      <c r="V2707" s="1">
        <f>IFERROR(__xludf.DUMMYFUNCTION("""COMPUTED_VALUE"""),43.0)</f>
        <v>43</v>
      </c>
      <c r="W2707" s="1">
        <f>IFERROR(__xludf.DUMMYFUNCTION("""COMPUTED_VALUE"""),512.0)</f>
        <v>512</v>
      </c>
      <c r="X2707" s="1">
        <f>IFERROR(__xludf.DUMMYFUNCTION("""COMPUTED_VALUE"""),444.0)</f>
        <v>444</v>
      </c>
      <c r="Y2707" s="2"/>
      <c r="Z2707" s="2"/>
    </row>
    <row r="2708">
      <c r="A2708" s="1">
        <f>IFERROR(__xludf.DUMMYFUNCTION("""COMPUTED_VALUE"""),2707.0)</f>
        <v>2707</v>
      </c>
      <c r="B2708" s="7" t="str">
        <f>IFERROR(__xludf.DUMMYFUNCTION("""COMPUTED_VALUE"""),"9033")</f>
        <v>9033</v>
      </c>
      <c r="C2708" s="8" t="str">
        <f>IFERROR(__xludf.DUMMYFUNCTION("""COMPUTED_VALUE"""),"Rifa Arya Maulana")</f>
        <v>Rifa Arya Maulana</v>
      </c>
      <c r="D2708" s="2" t="str">
        <f>IFERROR(__xludf.DUMMYFUNCTION("""COMPUTED_VALUE"""),"5KM STUDENT M")</f>
        <v>5KM STUDENT M</v>
      </c>
      <c r="E2708" s="1">
        <f>IFERROR(__xludf.DUMMYFUNCTION("""COMPUTED_VALUE"""),2.0)</f>
        <v>2</v>
      </c>
      <c r="F2708" s="1" t="str">
        <f>IFERROR(__xludf.DUMMYFUNCTION("""COMPUTED_VALUE"""),"Male")</f>
        <v>Male</v>
      </c>
      <c r="G2708" s="4" t="b">
        <f>IFERROR(__xludf.DUMMYFUNCTION("""COMPUTED_VALUE"""),TRUE)</f>
        <v>1</v>
      </c>
      <c r="H2708" s="4" t="b">
        <f>IFERROR(__xludf.DUMMYFUNCTION("""COMPUTED_VALUE"""),FALSE)</f>
        <v>0</v>
      </c>
      <c r="I2708" s="4">
        <f>IFERROR(__xludf.DUMMYFUNCTION("""COMPUTED_VALUE"""),0.2549440625)</f>
        <v>0.2549440625</v>
      </c>
      <c r="J2708" s="4">
        <f>IFERROR(__xludf.DUMMYFUNCTION("""COMPUTED_VALUE"""),45949.26533919764)</f>
        <v>45949.26534</v>
      </c>
      <c r="K2708" s="4" t="str">
        <f>IFERROR(__xludf.DUMMYFUNCTION("""COMPUTED_VALUE"""),"")</f>
        <v/>
      </c>
      <c r="L2708" s="4">
        <f>IFERROR(__xludf.DUMMYFUNCTION("""COMPUTED_VALUE"""),45949.27390086589)</f>
        <v>45949.2739</v>
      </c>
      <c r="M2708" s="1" t="str">
        <f>IFERROR(__xludf.DUMMYFUNCTION("""COMPUTED_VALUE"""),"RFID")</f>
        <v>RFID</v>
      </c>
      <c r="N2708" s="5">
        <f>IFERROR(__xludf.DUMMYFUNCTION("""COMPUTED_VALUE"""),0.0041580555555555555)</f>
        <v>0.004158055556</v>
      </c>
      <c r="O2708" s="5" t="str">
        <f>IFERROR(__xludf.DUMMYFUNCTION("""COMPUTED_VALUE"""),"")</f>
        <v/>
      </c>
      <c r="P2708" s="5" t="str">
        <f>IFERROR(__xludf.DUMMYFUNCTION("""COMPUTED_VALUE"""),"")</f>
        <v/>
      </c>
      <c r="Q2708" s="5">
        <f>IFERROR(__xludf.DUMMYFUNCTION("""COMPUTED_VALUE"""),0.003791361111111111)</f>
        <v>0.003791361111</v>
      </c>
      <c r="R2708" s="4">
        <f>IFERROR(__xludf.DUMMYFUNCTION("""COMPUTED_VALUE"""),45949.01895680339)</f>
        <v>45949.01896</v>
      </c>
      <c r="S2708" s="1" t="b">
        <f>IFERROR(__xludf.DUMMYFUNCTION("""COMPUTED_VALUE"""),TRUE)</f>
        <v>1</v>
      </c>
      <c r="T2708" s="1" t="b">
        <f>IFERROR(__xludf.DUMMYFUNCTION("""COMPUTED_VALUE"""),FALSE)</f>
        <v>0</v>
      </c>
      <c r="U2708" s="1" t="str">
        <f>IFERROR(__xludf.DUMMYFUNCTION("""COMPUTED_VALUE"""),"VALID")</f>
        <v>VALID</v>
      </c>
      <c r="V2708" s="1">
        <f>IFERROR(__xludf.DUMMYFUNCTION("""COMPUTED_VALUE"""),12.0)</f>
        <v>12</v>
      </c>
      <c r="W2708" s="1">
        <f>IFERROR(__xludf.DUMMYFUNCTION("""COMPUTED_VALUE"""),84.0)</f>
        <v>84</v>
      </c>
      <c r="X2708" s="1">
        <f>IFERROR(__xludf.DUMMYFUNCTION("""COMPUTED_VALUE"""),75.0)</f>
        <v>75</v>
      </c>
      <c r="Y2708" s="2"/>
      <c r="Z2708" s="2"/>
    </row>
    <row r="2709">
      <c r="A2709" s="1">
        <f>IFERROR(__xludf.DUMMYFUNCTION("""COMPUTED_VALUE"""),2708.0)</f>
        <v>2708</v>
      </c>
      <c r="B2709" s="7" t="str">
        <f>IFERROR(__xludf.DUMMYFUNCTION("""COMPUTED_VALUE"""),"9035")</f>
        <v>9035</v>
      </c>
      <c r="C2709" s="8" t="str">
        <f>IFERROR(__xludf.DUMMYFUNCTION("""COMPUTED_VALUE"""),"khalil")</f>
        <v>khalil</v>
      </c>
      <c r="D2709" s="2" t="str">
        <f>IFERROR(__xludf.DUMMYFUNCTION("""COMPUTED_VALUE"""),"5KM STUDENT M")</f>
        <v>5KM STUDENT M</v>
      </c>
      <c r="E2709" s="1">
        <f>IFERROR(__xludf.DUMMYFUNCTION("""COMPUTED_VALUE"""),2.0)</f>
        <v>2</v>
      </c>
      <c r="F2709" s="1" t="str">
        <f>IFERROR(__xludf.DUMMYFUNCTION("""COMPUTED_VALUE"""),"Male")</f>
        <v>Male</v>
      </c>
      <c r="G2709" s="4" t="b">
        <f>IFERROR(__xludf.DUMMYFUNCTION("""COMPUTED_VALUE"""),TRUE)</f>
        <v>1</v>
      </c>
      <c r="H2709" s="4" t="b">
        <f>IFERROR(__xludf.DUMMYFUNCTION("""COMPUTED_VALUE"""),TRUE)</f>
        <v>1</v>
      </c>
      <c r="I2709" s="4">
        <f>IFERROR(__xludf.DUMMYFUNCTION("""COMPUTED_VALUE"""),0.2549440625)</f>
        <v>0.2549440625</v>
      </c>
      <c r="J2709" s="4">
        <f>IFERROR(__xludf.DUMMYFUNCTION("""COMPUTED_VALUE"""),45949.267603089225)</f>
        <v>45949.2676</v>
      </c>
      <c r="K2709" s="4" t="str">
        <f>IFERROR(__xludf.DUMMYFUNCTION("""COMPUTED_VALUE"""),"")</f>
        <v/>
      </c>
      <c r="L2709" s="4">
        <f>IFERROR(__xludf.DUMMYFUNCTION("""COMPUTED_VALUE"""),45949.27658837284)</f>
        <v>45949.27659</v>
      </c>
      <c r="M2709" s="1" t="str">
        <f>IFERROR(__xludf.DUMMYFUNCTION("""COMPUTED_VALUE"""),"RFID")</f>
        <v>RFID</v>
      </c>
      <c r="N2709" s="5">
        <f>IFERROR(__xludf.DUMMYFUNCTION("""COMPUTED_VALUE"""),0.005063611111111111)</f>
        <v>0.005063611111</v>
      </c>
      <c r="O2709" s="5" t="str">
        <f>IFERROR(__xludf.DUMMYFUNCTION("""COMPUTED_VALUE"""),"")</f>
        <v/>
      </c>
      <c r="P2709" s="5" t="str">
        <f>IFERROR(__xludf.DUMMYFUNCTION("""COMPUTED_VALUE"""),"")</f>
        <v/>
      </c>
      <c r="Q2709" s="5">
        <f>IFERROR(__xludf.DUMMYFUNCTION("""COMPUTED_VALUE"""),0.0043288611111111115)</f>
        <v>0.004328861111</v>
      </c>
      <c r="R2709" s="4">
        <f>IFERROR(__xludf.DUMMYFUNCTION("""COMPUTED_VALUE"""),45949.02164431034)</f>
        <v>45949.02164</v>
      </c>
      <c r="S2709" s="1" t="b">
        <f>IFERROR(__xludf.DUMMYFUNCTION("""COMPUTED_VALUE"""),TRUE)</f>
        <v>1</v>
      </c>
      <c r="T2709" s="1" t="b">
        <f>IFERROR(__xludf.DUMMYFUNCTION("""COMPUTED_VALUE"""),FALSE)</f>
        <v>0</v>
      </c>
      <c r="U2709" s="1" t="str">
        <f>IFERROR(__xludf.DUMMYFUNCTION("""COMPUTED_VALUE"""),"VALID")</f>
        <v>VALID</v>
      </c>
      <c r="V2709" s="1">
        <f>IFERROR(__xludf.DUMMYFUNCTION("""COMPUTED_VALUE"""),23.0)</f>
        <v>23</v>
      </c>
      <c r="W2709" s="1">
        <f>IFERROR(__xludf.DUMMYFUNCTION("""COMPUTED_VALUE"""),166.0)</f>
        <v>166</v>
      </c>
      <c r="X2709" s="1">
        <f>IFERROR(__xludf.DUMMYFUNCTION("""COMPUTED_VALUE"""),147.0)</f>
        <v>147</v>
      </c>
      <c r="Y2709" s="2"/>
      <c r="Z2709" s="2"/>
    </row>
    <row r="2710">
      <c r="A2710" s="1">
        <f>IFERROR(__xludf.DUMMYFUNCTION("""COMPUTED_VALUE"""),2709.0)</f>
        <v>2709</v>
      </c>
      <c r="B2710" s="7" t="str">
        <f>IFERROR(__xludf.DUMMYFUNCTION("""COMPUTED_VALUE"""),"9036")</f>
        <v>9036</v>
      </c>
      <c r="C2710" s="8" t="str">
        <f>IFERROR(__xludf.DUMMYFUNCTION("""COMPUTED_VALUE"""),"FAUZAN")</f>
        <v>FAUZAN</v>
      </c>
      <c r="D2710" s="2" t="str">
        <f>IFERROR(__xludf.DUMMYFUNCTION("""COMPUTED_VALUE"""),"5KM STUDENT M")</f>
        <v>5KM STUDENT M</v>
      </c>
      <c r="E2710" s="1">
        <f>IFERROR(__xludf.DUMMYFUNCTION("""COMPUTED_VALUE"""),2.0)</f>
        <v>2</v>
      </c>
      <c r="F2710" s="1" t="str">
        <f>IFERROR(__xludf.DUMMYFUNCTION("""COMPUTED_VALUE"""),"Male")</f>
        <v>Male</v>
      </c>
      <c r="G2710" s="4" t="b">
        <f>IFERROR(__xludf.DUMMYFUNCTION("""COMPUTED_VALUE"""),TRUE)</f>
        <v>1</v>
      </c>
      <c r="H2710" s="4" t="b">
        <f>IFERROR(__xludf.DUMMYFUNCTION("""COMPUTED_VALUE"""),TRUE)</f>
        <v>1</v>
      </c>
      <c r="I2710" s="4">
        <f>IFERROR(__xludf.DUMMYFUNCTION("""COMPUTED_VALUE"""),0.2549440625)</f>
        <v>0.2549440625</v>
      </c>
      <c r="J2710" s="4">
        <f>IFERROR(__xludf.DUMMYFUNCTION("""COMPUTED_VALUE"""),45949.26924545039)</f>
        <v>45949.26925</v>
      </c>
      <c r="K2710" s="4" t="str">
        <f>IFERROR(__xludf.DUMMYFUNCTION("""COMPUTED_VALUE"""),"")</f>
        <v/>
      </c>
      <c r="L2710" s="4">
        <f>IFERROR(__xludf.DUMMYFUNCTION("""COMPUTED_VALUE"""),45949.2801474034)</f>
        <v>45949.28015</v>
      </c>
      <c r="M2710" s="1" t="str">
        <f>IFERROR(__xludf.DUMMYFUNCTION("""COMPUTED_VALUE"""),"RFID")</f>
        <v>RFID</v>
      </c>
      <c r="N2710" s="5">
        <f>IFERROR(__xludf.DUMMYFUNCTION("""COMPUTED_VALUE"""),0.005720555555555556)</f>
        <v>0.005720555556</v>
      </c>
      <c r="O2710" s="5" t="str">
        <f>IFERROR(__xludf.DUMMYFUNCTION("""COMPUTED_VALUE"""),"")</f>
        <v/>
      </c>
      <c r="P2710" s="5" t="str">
        <f>IFERROR(__xludf.DUMMYFUNCTION("""COMPUTED_VALUE"""),"")</f>
        <v/>
      </c>
      <c r="Q2710" s="5">
        <f>IFERROR(__xludf.DUMMYFUNCTION("""COMPUTED_VALUE"""),0.005040668981481481)</f>
        <v>0.005040668981</v>
      </c>
      <c r="R2710" s="4">
        <f>IFERROR(__xludf.DUMMYFUNCTION("""COMPUTED_VALUE"""),45949.0252033409)</f>
        <v>45949.0252</v>
      </c>
      <c r="S2710" s="1" t="b">
        <f>IFERROR(__xludf.DUMMYFUNCTION("""COMPUTED_VALUE"""),TRUE)</f>
        <v>1</v>
      </c>
      <c r="T2710" s="1" t="b">
        <f>IFERROR(__xludf.DUMMYFUNCTION("""COMPUTED_VALUE"""),FALSE)</f>
        <v>0</v>
      </c>
      <c r="U2710" s="1" t="str">
        <f>IFERROR(__xludf.DUMMYFUNCTION("""COMPUTED_VALUE"""),"VALID")</f>
        <v>VALID</v>
      </c>
      <c r="V2710" s="1">
        <f>IFERROR(__xludf.DUMMYFUNCTION("""COMPUTED_VALUE"""),36.0)</f>
        <v>36</v>
      </c>
      <c r="W2710" s="1">
        <f>IFERROR(__xludf.DUMMYFUNCTION("""COMPUTED_VALUE"""),299.0)</f>
        <v>299</v>
      </c>
      <c r="X2710" s="1">
        <f>IFERROR(__xludf.DUMMYFUNCTION("""COMPUTED_VALUE"""),262.0)</f>
        <v>262</v>
      </c>
      <c r="Y2710" s="2"/>
      <c r="Z2710" s="2"/>
    </row>
    <row r="2711">
      <c r="A2711" s="1">
        <f>IFERROR(__xludf.DUMMYFUNCTION("""COMPUTED_VALUE"""),2710.0)</f>
        <v>2710</v>
      </c>
      <c r="B2711" s="7" t="str">
        <f>IFERROR(__xludf.DUMMYFUNCTION("""COMPUTED_VALUE"""),"9037")</f>
        <v>9037</v>
      </c>
      <c r="C2711" s="8" t="str">
        <f>IFERROR(__xludf.DUMMYFUNCTION("""COMPUTED_VALUE"""),"M Hafi Rosidi")</f>
        <v>M Hafi Rosidi</v>
      </c>
      <c r="D2711" s="2" t="str">
        <f>IFERROR(__xludf.DUMMYFUNCTION("""COMPUTED_VALUE"""),"5KM STUDENT M")</f>
        <v>5KM STUDENT M</v>
      </c>
      <c r="E2711" s="1">
        <f>IFERROR(__xludf.DUMMYFUNCTION("""COMPUTED_VALUE"""),2.0)</f>
        <v>2</v>
      </c>
      <c r="F2711" s="1" t="str">
        <f>IFERROR(__xludf.DUMMYFUNCTION("""COMPUTED_VALUE"""),"Male")</f>
        <v>Male</v>
      </c>
      <c r="G2711" s="4" t="b">
        <f>IFERROR(__xludf.DUMMYFUNCTION("""COMPUTED_VALUE"""),TRUE)</f>
        <v>1</v>
      </c>
      <c r="H2711" s="4" t="b">
        <f>IFERROR(__xludf.DUMMYFUNCTION("""COMPUTED_VALUE"""),TRUE)</f>
        <v>1</v>
      </c>
      <c r="I2711" s="4">
        <f>IFERROR(__xludf.DUMMYFUNCTION("""COMPUTED_VALUE"""),0.2549440625)</f>
        <v>0.2549440625</v>
      </c>
      <c r="J2711" s="4">
        <f>IFERROR(__xludf.DUMMYFUNCTION("""COMPUTED_VALUE"""),45949.26354166667)</f>
        <v>45949.26354</v>
      </c>
      <c r="K2711" s="4" t="str">
        <f>IFERROR(__xludf.DUMMYFUNCTION("""COMPUTED_VALUE"""),"")</f>
        <v/>
      </c>
      <c r="L2711" s="4">
        <f>IFERROR(__xludf.DUMMYFUNCTION("""COMPUTED_VALUE"""),45949.27028975195)</f>
        <v>45949.27029</v>
      </c>
      <c r="M2711" s="1" t="str">
        <f>IFERROR(__xludf.DUMMYFUNCTION("""COMPUTED_VALUE"""),"RFID")</f>
        <v>RFID</v>
      </c>
      <c r="N2711" s="5">
        <f>IFERROR(__xludf.DUMMYFUNCTION("""COMPUTED_VALUE"""),0.0034390416666666666)</f>
        <v>0.003439041667</v>
      </c>
      <c r="O2711" s="5" t="str">
        <f>IFERROR(__xludf.DUMMYFUNCTION("""COMPUTED_VALUE"""),"")</f>
        <v/>
      </c>
      <c r="P2711" s="5" t="str">
        <f>IFERROR(__xludf.DUMMYFUNCTION("""COMPUTED_VALUE"""),"")</f>
        <v/>
      </c>
      <c r="Q2711" s="5">
        <f>IFERROR(__xludf.DUMMYFUNCTION("""COMPUTED_VALUE"""),0.0030691388888888886)</f>
        <v>0.003069138889</v>
      </c>
      <c r="R2711" s="4">
        <f>IFERROR(__xludf.DUMMYFUNCTION("""COMPUTED_VALUE"""),45949.01534568945)</f>
        <v>45949.01535</v>
      </c>
      <c r="S2711" s="1" t="b">
        <f>IFERROR(__xludf.DUMMYFUNCTION("""COMPUTED_VALUE"""),TRUE)</f>
        <v>1</v>
      </c>
      <c r="T2711" s="1" t="b">
        <f>IFERROR(__xludf.DUMMYFUNCTION("""COMPUTED_VALUE"""),FALSE)</f>
        <v>0</v>
      </c>
      <c r="U2711" s="1" t="str">
        <f>IFERROR(__xludf.DUMMYFUNCTION("""COMPUTED_VALUE"""),"VALID")</f>
        <v>VALID</v>
      </c>
      <c r="V2711" s="1">
        <f>IFERROR(__xludf.DUMMYFUNCTION("""COMPUTED_VALUE"""),4.0)</f>
        <v>4</v>
      </c>
      <c r="W2711" s="1">
        <f>IFERROR(__xludf.DUMMYFUNCTION("""COMPUTED_VALUE"""),18.0)</f>
        <v>18</v>
      </c>
      <c r="X2711" s="1">
        <f>IFERROR(__xludf.DUMMYFUNCTION("""COMPUTED_VALUE"""),18.0)</f>
        <v>18</v>
      </c>
      <c r="Y2711" s="2"/>
      <c r="Z2711" s="2"/>
    </row>
    <row r="2712">
      <c r="A2712" s="1">
        <f>IFERROR(__xludf.DUMMYFUNCTION("""COMPUTED_VALUE"""),2711.0)</f>
        <v>2711</v>
      </c>
      <c r="B2712" s="7" t="str">
        <f>IFERROR(__xludf.DUMMYFUNCTION("""COMPUTED_VALUE"""),"9038")</f>
        <v>9038</v>
      </c>
      <c r="C2712" s="8" t="str">
        <f>IFERROR(__xludf.DUMMYFUNCTION("""COMPUTED_VALUE"""),"Ghaisan")</f>
        <v>Ghaisan</v>
      </c>
      <c r="D2712" s="2" t="str">
        <f>IFERROR(__xludf.DUMMYFUNCTION("""COMPUTED_VALUE"""),"5KM STUDENT M")</f>
        <v>5KM STUDENT M</v>
      </c>
      <c r="E2712" s="1">
        <f>IFERROR(__xludf.DUMMYFUNCTION("""COMPUTED_VALUE"""),2.0)</f>
        <v>2</v>
      </c>
      <c r="F2712" s="1" t="str">
        <f>IFERROR(__xludf.DUMMYFUNCTION("""COMPUTED_VALUE"""),"Male")</f>
        <v>Male</v>
      </c>
      <c r="G2712" s="4" t="b">
        <f>IFERROR(__xludf.DUMMYFUNCTION("""COMPUTED_VALUE"""),TRUE)</f>
        <v>1</v>
      </c>
      <c r="H2712" s="4" t="b">
        <f>IFERROR(__xludf.DUMMYFUNCTION("""COMPUTED_VALUE"""),TRUE)</f>
        <v>1</v>
      </c>
      <c r="I2712" s="4">
        <f>IFERROR(__xludf.DUMMYFUNCTION("""COMPUTED_VALUE"""),0.2549440625)</f>
        <v>0.2549440625</v>
      </c>
      <c r="J2712" s="4">
        <f>IFERROR(__xludf.DUMMYFUNCTION("""COMPUTED_VALUE"""),45949.26737044926)</f>
        <v>45949.26737</v>
      </c>
      <c r="K2712" s="4" t="str">
        <f>IFERROR(__xludf.DUMMYFUNCTION("""COMPUTED_VALUE"""),"")</f>
        <v/>
      </c>
      <c r="L2712" s="4">
        <f>IFERROR(__xludf.DUMMYFUNCTION("""COMPUTED_VALUE"""),45949.274775878715)</f>
        <v>45949.27478</v>
      </c>
      <c r="M2712" s="1" t="str">
        <f>IFERROR(__xludf.DUMMYFUNCTION("""COMPUTED_VALUE"""),"RFID")</f>
        <v>RFID</v>
      </c>
      <c r="N2712" s="5">
        <f>IFERROR(__xludf.DUMMYFUNCTION("""COMPUTED_VALUE"""),0.004970555555555556)</f>
        <v>0.004970555556</v>
      </c>
      <c r="O2712" s="5" t="str">
        <f>IFERROR(__xludf.DUMMYFUNCTION("""COMPUTED_VALUE"""),"")</f>
        <v/>
      </c>
      <c r="P2712" s="5" t="str">
        <f>IFERROR(__xludf.DUMMYFUNCTION("""COMPUTED_VALUE"""),"")</f>
        <v/>
      </c>
      <c r="Q2712" s="5">
        <f>IFERROR(__xludf.DUMMYFUNCTION("""COMPUTED_VALUE"""),0.003966363425925926)</f>
        <v>0.003966363426</v>
      </c>
      <c r="R2712" s="4">
        <f>IFERROR(__xludf.DUMMYFUNCTION("""COMPUTED_VALUE"""),45949.019831816215)</f>
        <v>45949.01983</v>
      </c>
      <c r="S2712" s="1" t="b">
        <f>IFERROR(__xludf.DUMMYFUNCTION("""COMPUTED_VALUE"""),TRUE)</f>
        <v>1</v>
      </c>
      <c r="T2712" s="1" t="b">
        <f>IFERROR(__xludf.DUMMYFUNCTION("""COMPUTED_VALUE"""),FALSE)</f>
        <v>0</v>
      </c>
      <c r="U2712" s="1" t="str">
        <f>IFERROR(__xludf.DUMMYFUNCTION("""COMPUTED_VALUE"""),"VALID")</f>
        <v>VALID</v>
      </c>
      <c r="V2712" s="1">
        <f>IFERROR(__xludf.DUMMYFUNCTION("""COMPUTED_VALUE"""),16.0)</f>
        <v>16</v>
      </c>
      <c r="W2712" s="1">
        <f>IFERROR(__xludf.DUMMYFUNCTION("""COMPUTED_VALUE"""),112.0)</f>
        <v>112</v>
      </c>
      <c r="X2712" s="1">
        <f>IFERROR(__xludf.DUMMYFUNCTION("""COMPUTED_VALUE"""),101.0)</f>
        <v>101</v>
      </c>
      <c r="Y2712" s="2"/>
      <c r="Z2712" s="2"/>
    </row>
    <row r="2713">
      <c r="A2713" s="1">
        <f>IFERROR(__xludf.DUMMYFUNCTION("""COMPUTED_VALUE"""),2712.0)</f>
        <v>2712</v>
      </c>
      <c r="B2713" s="7" t="str">
        <f>IFERROR(__xludf.DUMMYFUNCTION("""COMPUTED_VALUE"""),"9039")</f>
        <v>9039</v>
      </c>
      <c r="C2713" s="8" t="str">
        <f>IFERROR(__xludf.DUMMYFUNCTION("""COMPUTED_VALUE"""),"FID")</f>
        <v>FID</v>
      </c>
      <c r="D2713" s="2" t="str">
        <f>IFERROR(__xludf.DUMMYFUNCTION("""COMPUTED_VALUE"""),"5KM STUDENT M")</f>
        <v>5KM STUDENT M</v>
      </c>
      <c r="E2713" s="1">
        <f>IFERROR(__xludf.DUMMYFUNCTION("""COMPUTED_VALUE"""),2.0)</f>
        <v>2</v>
      </c>
      <c r="F2713" s="1" t="str">
        <f>IFERROR(__xludf.DUMMYFUNCTION("""COMPUTED_VALUE"""),"Male")</f>
        <v>Male</v>
      </c>
      <c r="G2713" s="4" t="b">
        <f>IFERROR(__xludf.DUMMYFUNCTION("""COMPUTED_VALUE"""),TRUE)</f>
        <v>1</v>
      </c>
      <c r="H2713" s="4" t="b">
        <f>IFERROR(__xludf.DUMMYFUNCTION("""COMPUTED_VALUE"""),TRUE)</f>
        <v>1</v>
      </c>
      <c r="I2713" s="4">
        <f>IFERROR(__xludf.DUMMYFUNCTION("""COMPUTED_VALUE"""),0.2549440625)</f>
        <v>0.2549440625</v>
      </c>
      <c r="J2713" s="4">
        <f>IFERROR(__xludf.DUMMYFUNCTION("""COMPUTED_VALUE"""),45950.26740740741)</f>
        <v>45950.26741</v>
      </c>
      <c r="K2713" s="4" t="str">
        <f>IFERROR(__xludf.DUMMYFUNCTION("""COMPUTED_VALUE"""),"")</f>
        <v/>
      </c>
      <c r="L2713" s="4">
        <f>IFERROR(__xludf.DUMMYFUNCTION("""COMPUTED_VALUE"""),45949.27571680964)</f>
        <v>45949.27572</v>
      </c>
      <c r="M2713" s="1" t="str">
        <f>IFERROR(__xludf.DUMMYFUNCTION("""COMPUTED_VALUE"""),"RFID")</f>
        <v>RFID</v>
      </c>
      <c r="N2713" s="5">
        <f>IFERROR(__xludf.DUMMYFUNCTION("""COMPUTED_VALUE"""),0.004985337962962964)</f>
        <v>0.004985337963</v>
      </c>
      <c r="O2713" s="5" t="str">
        <f>IFERROR(__xludf.DUMMYFUNCTION("""COMPUTED_VALUE"""),"")</f>
        <v/>
      </c>
      <c r="P2713" s="5" t="str">
        <f>IFERROR(__xludf.DUMMYFUNCTION("""COMPUTED_VALUE"""),"")</f>
        <v/>
      </c>
      <c r="Q2713" s="5">
        <f>IFERROR(__xludf.DUMMYFUNCTION("""COMPUTED_VALUE"""),0.0041545486111111115)</f>
        <v>0.004154548611</v>
      </c>
      <c r="R2713" s="4">
        <f>IFERROR(__xludf.DUMMYFUNCTION("""COMPUTED_VALUE"""),45949.02077274714)</f>
        <v>45949.02077</v>
      </c>
      <c r="S2713" s="1" t="b">
        <f>IFERROR(__xludf.DUMMYFUNCTION("""COMPUTED_VALUE"""),TRUE)</f>
        <v>1</v>
      </c>
      <c r="T2713" s="1" t="b">
        <f>IFERROR(__xludf.DUMMYFUNCTION("""COMPUTED_VALUE"""),FALSE)</f>
        <v>0</v>
      </c>
      <c r="U2713" s="1" t="str">
        <f>IFERROR(__xludf.DUMMYFUNCTION("""COMPUTED_VALUE"""),"VALID")</f>
        <v>VALID</v>
      </c>
      <c r="V2713" s="1">
        <f>IFERROR(__xludf.DUMMYFUNCTION("""COMPUTED_VALUE"""),21.0)</f>
        <v>21</v>
      </c>
      <c r="W2713" s="1">
        <f>IFERROR(__xludf.DUMMYFUNCTION("""COMPUTED_VALUE"""),135.0)</f>
        <v>135</v>
      </c>
      <c r="X2713" s="1">
        <f>IFERROR(__xludf.DUMMYFUNCTION("""COMPUTED_VALUE"""),123.0)</f>
        <v>123</v>
      </c>
      <c r="Y2713" s="2"/>
      <c r="Z2713" s="2" t="str">
        <f>IFERROR(__xludf.DUMMYFUNCTION("""COMPUTED_VALUE"""),"C")</f>
        <v>C</v>
      </c>
    </row>
    <row r="2714">
      <c r="A2714" s="1">
        <f>IFERROR(__xludf.DUMMYFUNCTION("""COMPUTED_VALUE"""),2713.0)</f>
        <v>2713</v>
      </c>
      <c r="B2714" s="7" t="str">
        <f>IFERROR(__xludf.DUMMYFUNCTION("""COMPUTED_VALUE"""),"9040")</f>
        <v>9040</v>
      </c>
      <c r="C2714" s="8" t="str">
        <f>IFERROR(__xludf.DUMMYFUNCTION("""COMPUTED_VALUE"""),"SAMM")</f>
        <v>SAMM</v>
      </c>
      <c r="D2714" s="2" t="str">
        <f>IFERROR(__xludf.DUMMYFUNCTION("""COMPUTED_VALUE"""),"5KM STUDENT M")</f>
        <v>5KM STUDENT M</v>
      </c>
      <c r="E2714" s="1">
        <f>IFERROR(__xludf.DUMMYFUNCTION("""COMPUTED_VALUE"""),2.0)</f>
        <v>2</v>
      </c>
      <c r="F2714" s="1" t="str">
        <f>IFERROR(__xludf.DUMMYFUNCTION("""COMPUTED_VALUE"""),"Male")</f>
        <v>Male</v>
      </c>
      <c r="G2714" s="4" t="b">
        <f>IFERROR(__xludf.DUMMYFUNCTION("""COMPUTED_VALUE"""),TRUE)</f>
        <v>1</v>
      </c>
      <c r="H2714" s="4" t="b">
        <f>IFERROR(__xludf.DUMMYFUNCTION("""COMPUTED_VALUE"""),TRUE)</f>
        <v>1</v>
      </c>
      <c r="I2714" s="4">
        <f>IFERROR(__xludf.DUMMYFUNCTION("""COMPUTED_VALUE"""),0.2549440625)</f>
        <v>0.2549440625</v>
      </c>
      <c r="J2714" s="4">
        <f>IFERROR(__xludf.DUMMYFUNCTION("""COMPUTED_VALUE"""),45949.26803368249)</f>
        <v>45949.26803</v>
      </c>
      <c r="K2714" s="4" t="str">
        <f>IFERROR(__xludf.DUMMYFUNCTION("""COMPUTED_VALUE"""),"")</f>
        <v/>
      </c>
      <c r="L2714" s="4">
        <f>IFERROR(__xludf.DUMMYFUNCTION("""COMPUTED_VALUE"""),45949.27658194789)</f>
        <v>45949.27658</v>
      </c>
      <c r="M2714" s="1" t="str">
        <f>IFERROR(__xludf.DUMMYFUNCTION("""COMPUTED_VALUE"""),"RFID")</f>
        <v>RFID</v>
      </c>
      <c r="N2714" s="5">
        <f>IFERROR(__xludf.DUMMYFUNCTION("""COMPUTED_VALUE"""),0.0052358472222222225)</f>
        <v>0.005235847222</v>
      </c>
      <c r="O2714" s="5" t="str">
        <f>IFERROR(__xludf.DUMMYFUNCTION("""COMPUTED_VALUE"""),"")</f>
        <v/>
      </c>
      <c r="P2714" s="5" t="str">
        <f>IFERROR(__xludf.DUMMYFUNCTION("""COMPUTED_VALUE"""),"")</f>
        <v/>
      </c>
      <c r="Q2714" s="5">
        <f>IFERROR(__xludf.DUMMYFUNCTION("""COMPUTED_VALUE"""),0.004327576388888889)</f>
        <v>0.004327576389</v>
      </c>
      <c r="R2714" s="4">
        <f>IFERROR(__xludf.DUMMYFUNCTION("""COMPUTED_VALUE"""),45949.02163788539)</f>
        <v>45949.02164</v>
      </c>
      <c r="S2714" s="1" t="b">
        <f>IFERROR(__xludf.DUMMYFUNCTION("""COMPUTED_VALUE"""),TRUE)</f>
        <v>1</v>
      </c>
      <c r="T2714" s="1" t="b">
        <f>IFERROR(__xludf.DUMMYFUNCTION("""COMPUTED_VALUE"""),FALSE)</f>
        <v>0</v>
      </c>
      <c r="U2714" s="1" t="str">
        <f>IFERROR(__xludf.DUMMYFUNCTION("""COMPUTED_VALUE"""),"VALID")</f>
        <v>VALID</v>
      </c>
      <c r="V2714" s="1">
        <f>IFERROR(__xludf.DUMMYFUNCTION("""COMPUTED_VALUE"""),22.0)</f>
        <v>22</v>
      </c>
      <c r="W2714" s="1">
        <f>IFERROR(__xludf.DUMMYFUNCTION("""COMPUTED_VALUE"""),165.0)</f>
        <v>165</v>
      </c>
      <c r="X2714" s="1">
        <f>IFERROR(__xludf.DUMMYFUNCTION("""COMPUTED_VALUE"""),146.0)</f>
        <v>146</v>
      </c>
      <c r="Y2714" s="2"/>
      <c r="Z2714" s="2"/>
    </row>
    <row r="2715">
      <c r="A2715" s="1">
        <f>IFERROR(__xludf.DUMMYFUNCTION("""COMPUTED_VALUE"""),2714.0)</f>
        <v>2714</v>
      </c>
      <c r="B2715" s="7" t="str">
        <f>IFERROR(__xludf.DUMMYFUNCTION("""COMPUTED_VALUE"""),"9041")</f>
        <v>9041</v>
      </c>
      <c r="C2715" s="8" t="str">
        <f>IFERROR(__xludf.DUMMYFUNCTION("""COMPUTED_VALUE"""),"ABERR")</f>
        <v>ABERR</v>
      </c>
      <c r="D2715" s="2" t="str">
        <f>IFERROR(__xludf.DUMMYFUNCTION("""COMPUTED_VALUE"""),"5KM STUDENT M")</f>
        <v>5KM STUDENT M</v>
      </c>
      <c r="E2715" s="1">
        <f>IFERROR(__xludf.DUMMYFUNCTION("""COMPUTED_VALUE"""),2.0)</f>
        <v>2</v>
      </c>
      <c r="F2715" s="1" t="str">
        <f>IFERROR(__xludf.DUMMYFUNCTION("""COMPUTED_VALUE"""),"Male")</f>
        <v>Male</v>
      </c>
      <c r="G2715" s="4" t="b">
        <f>IFERROR(__xludf.DUMMYFUNCTION("""COMPUTED_VALUE"""),TRUE)</f>
        <v>1</v>
      </c>
      <c r="H2715" s="4" t="b">
        <f>IFERROR(__xludf.DUMMYFUNCTION("""COMPUTED_VALUE"""),TRUE)</f>
        <v>1</v>
      </c>
      <c r="I2715" s="4">
        <f>IFERROR(__xludf.DUMMYFUNCTION("""COMPUTED_VALUE"""),0.2549440625)</f>
        <v>0.2549440625</v>
      </c>
      <c r="J2715" s="4">
        <f>IFERROR(__xludf.DUMMYFUNCTION("""COMPUTED_VALUE"""),45949.26365521162)</f>
        <v>45949.26366</v>
      </c>
      <c r="K2715" s="4" t="str">
        <f>IFERROR(__xludf.DUMMYFUNCTION("""COMPUTED_VALUE"""),"")</f>
        <v/>
      </c>
      <c r="L2715" s="4">
        <f>IFERROR(__xludf.DUMMYFUNCTION("""COMPUTED_VALUE"""),45949.296922105554)</f>
        <v>45949.29692</v>
      </c>
      <c r="M2715" s="1" t="str">
        <f>IFERROR(__xludf.DUMMYFUNCTION("""COMPUTED_VALUE"""),"RFID")</f>
        <v>RFID</v>
      </c>
      <c r="N2715" s="5">
        <f>IFERROR(__xludf.DUMMYFUNCTION("""COMPUTED_VALUE"""),0.0034844583333333333)</f>
        <v>0.003484458333</v>
      </c>
      <c r="O2715" s="5" t="str">
        <f>IFERROR(__xludf.DUMMYFUNCTION("""COMPUTED_VALUE"""),"")</f>
        <v/>
      </c>
      <c r="P2715" s="5" t="str">
        <f>IFERROR(__xludf.DUMMYFUNCTION("""COMPUTED_VALUE"""),"")</f>
        <v/>
      </c>
      <c r="Q2715" s="5">
        <f>IFERROR(__xludf.DUMMYFUNCTION("""COMPUTED_VALUE"""),0.008395608796296295)</f>
        <v>0.008395608796</v>
      </c>
      <c r="R2715" s="4">
        <f>IFERROR(__xludf.DUMMYFUNCTION("""COMPUTED_VALUE"""),45949.04197804305)</f>
        <v>45949.04198</v>
      </c>
      <c r="S2715" s="1" t="b">
        <f>IFERROR(__xludf.DUMMYFUNCTION("""COMPUTED_VALUE"""),TRUE)</f>
        <v>1</v>
      </c>
      <c r="T2715" s="1" t="b">
        <f>IFERROR(__xludf.DUMMYFUNCTION("""COMPUTED_VALUE"""),FALSE)</f>
        <v>0</v>
      </c>
      <c r="U2715" s="1" t="str">
        <f>IFERROR(__xludf.DUMMYFUNCTION("""COMPUTED_VALUE"""),"VALID")</f>
        <v>VALID</v>
      </c>
      <c r="V2715" s="1">
        <f>IFERROR(__xludf.DUMMYFUNCTION("""COMPUTED_VALUE"""),65.0)</f>
        <v>65</v>
      </c>
      <c r="W2715" s="1">
        <f>IFERROR(__xludf.DUMMYFUNCTION("""COMPUTED_VALUE"""),1330.0)</f>
        <v>1330</v>
      </c>
      <c r="X2715" s="1">
        <f>IFERROR(__xludf.DUMMYFUNCTION("""COMPUTED_VALUE"""),1064.0)</f>
        <v>1064</v>
      </c>
      <c r="Y2715" s="2"/>
      <c r="Z2715" s="2"/>
    </row>
    <row r="2716">
      <c r="A2716" s="1">
        <f>IFERROR(__xludf.DUMMYFUNCTION("""COMPUTED_VALUE"""),2715.0)</f>
        <v>2715</v>
      </c>
      <c r="B2716" s="7" t="str">
        <f>IFERROR(__xludf.DUMMYFUNCTION("""COMPUTED_VALUE"""),"9043")</f>
        <v>9043</v>
      </c>
      <c r="C2716" s="8" t="str">
        <f>IFERROR(__xludf.DUMMYFUNCTION("""COMPUTED_VALUE"""),"Arjunn")</f>
        <v>Arjunn</v>
      </c>
      <c r="D2716" s="2" t="str">
        <f>IFERROR(__xludf.DUMMYFUNCTION("""COMPUTED_VALUE"""),"5KM STUDENT M")</f>
        <v>5KM STUDENT M</v>
      </c>
      <c r="E2716" s="1">
        <f>IFERROR(__xludf.DUMMYFUNCTION("""COMPUTED_VALUE"""),2.0)</f>
        <v>2</v>
      </c>
      <c r="F2716" s="1" t="str">
        <f>IFERROR(__xludf.DUMMYFUNCTION("""COMPUTED_VALUE"""),"Male")</f>
        <v>Male</v>
      </c>
      <c r="G2716" s="4" t="b">
        <f>IFERROR(__xludf.DUMMYFUNCTION("""COMPUTED_VALUE"""),TRUE)</f>
        <v>1</v>
      </c>
      <c r="H2716" s="4" t="b">
        <f>IFERROR(__xludf.DUMMYFUNCTION("""COMPUTED_VALUE"""),FALSE)</f>
        <v>0</v>
      </c>
      <c r="I2716" s="4">
        <f>IFERROR(__xludf.DUMMYFUNCTION("""COMPUTED_VALUE"""),0.2549440625)</f>
        <v>0.2549440625</v>
      </c>
      <c r="J2716" s="4">
        <f>IFERROR(__xludf.DUMMYFUNCTION("""COMPUTED_VALUE"""),45949.27315175007)</f>
        <v>45949.27315</v>
      </c>
      <c r="K2716" s="4" t="str">
        <f>IFERROR(__xludf.DUMMYFUNCTION("""COMPUTED_VALUE"""),"")</f>
        <v/>
      </c>
      <c r="L2716" s="4">
        <f>IFERROR(__xludf.DUMMYFUNCTION("""COMPUTED_VALUE"""),45949.285265457576)</f>
        <v>45949.28527</v>
      </c>
      <c r="M2716" s="1" t="str">
        <f>IFERROR(__xludf.DUMMYFUNCTION("""COMPUTED_VALUE"""),"RFID")</f>
        <v>RFID</v>
      </c>
      <c r="N2716" s="5">
        <f>IFERROR(__xludf.DUMMYFUNCTION("""COMPUTED_VALUE"""),0.007283074074074074)</f>
        <v>0.007283074074</v>
      </c>
      <c r="O2716" s="5" t="str">
        <f>IFERROR(__xludf.DUMMYFUNCTION("""COMPUTED_VALUE"""),"")</f>
        <v/>
      </c>
      <c r="P2716" s="5" t="str">
        <f>IFERROR(__xludf.DUMMYFUNCTION("""COMPUTED_VALUE"""),"")</f>
        <v/>
      </c>
      <c r="Q2716" s="5">
        <f>IFERROR(__xludf.DUMMYFUNCTION("""COMPUTED_VALUE"""),0.0060642800925925925)</f>
        <v>0.006064280093</v>
      </c>
      <c r="R2716" s="4">
        <f>IFERROR(__xludf.DUMMYFUNCTION("""COMPUTED_VALUE"""),45949.030321395076)</f>
        <v>45949.03032</v>
      </c>
      <c r="S2716" s="1" t="b">
        <f>IFERROR(__xludf.DUMMYFUNCTION("""COMPUTED_VALUE"""),TRUE)</f>
        <v>1</v>
      </c>
      <c r="T2716" s="1" t="b">
        <f>IFERROR(__xludf.DUMMYFUNCTION("""COMPUTED_VALUE"""),FALSE)</f>
        <v>0</v>
      </c>
      <c r="U2716" s="1" t="str">
        <f>IFERROR(__xludf.DUMMYFUNCTION("""COMPUTED_VALUE"""),"VALID")</f>
        <v>VALID</v>
      </c>
      <c r="V2716" s="1">
        <f>IFERROR(__xludf.DUMMYFUNCTION("""COMPUTED_VALUE"""),47.0)</f>
        <v>47</v>
      </c>
      <c r="W2716" s="1">
        <f>IFERROR(__xludf.DUMMYFUNCTION("""COMPUTED_VALUE"""),592.0)</f>
        <v>592</v>
      </c>
      <c r="X2716" s="1">
        <f>IFERROR(__xludf.DUMMYFUNCTION("""COMPUTED_VALUE"""),503.0)</f>
        <v>503</v>
      </c>
      <c r="Y2716" s="2"/>
      <c r="Z2716" s="2"/>
    </row>
    <row r="2717">
      <c r="A2717" s="1">
        <f>IFERROR(__xludf.DUMMYFUNCTION("""COMPUTED_VALUE"""),2716.0)</f>
        <v>2716</v>
      </c>
      <c r="B2717" s="7" t="str">
        <f>IFERROR(__xludf.DUMMYFUNCTION("""COMPUTED_VALUE"""),"9044")</f>
        <v>9044</v>
      </c>
      <c r="C2717" s="8" t="str">
        <f>IFERROR(__xludf.DUMMYFUNCTION("""COMPUTED_VALUE"""),"Muhammad Naufal")</f>
        <v>Muhammad Naufal</v>
      </c>
      <c r="D2717" s="2" t="str">
        <f>IFERROR(__xludf.DUMMYFUNCTION("""COMPUTED_VALUE"""),"5KM STUDENT M")</f>
        <v>5KM STUDENT M</v>
      </c>
      <c r="E2717" s="1">
        <f>IFERROR(__xludf.DUMMYFUNCTION("""COMPUTED_VALUE"""),2.0)</f>
        <v>2</v>
      </c>
      <c r="F2717" s="1" t="str">
        <f>IFERROR(__xludf.DUMMYFUNCTION("""COMPUTED_VALUE"""),"Male")</f>
        <v>Male</v>
      </c>
      <c r="G2717" s="4" t="b">
        <f>IFERROR(__xludf.DUMMYFUNCTION("""COMPUTED_VALUE"""),TRUE)</f>
        <v>1</v>
      </c>
      <c r="H2717" s="4" t="b">
        <f>IFERROR(__xludf.DUMMYFUNCTION("""COMPUTED_VALUE"""),TRUE)</f>
        <v>1</v>
      </c>
      <c r="I2717" s="4">
        <f>IFERROR(__xludf.DUMMYFUNCTION("""COMPUTED_VALUE"""),0.2549440625)</f>
        <v>0.2549440625</v>
      </c>
      <c r="J2717" s="4">
        <f>IFERROR(__xludf.DUMMYFUNCTION("""COMPUTED_VALUE"""),45950.274201388886)</f>
        <v>45950.2742</v>
      </c>
      <c r="K2717" s="4" t="str">
        <f>IFERROR(__xludf.DUMMYFUNCTION("""COMPUTED_VALUE"""),"")</f>
        <v/>
      </c>
      <c r="L2717" s="4">
        <f>IFERROR(__xludf.DUMMYFUNCTION("""COMPUTED_VALUE"""),45949.28703628156)</f>
        <v>45949.28704</v>
      </c>
      <c r="M2717" s="1" t="str">
        <f>IFERROR(__xludf.DUMMYFUNCTION("""COMPUTED_VALUE"""),"RFID")</f>
        <v>RFID</v>
      </c>
      <c r="N2717" s="5">
        <f>IFERROR(__xludf.DUMMYFUNCTION("""COMPUTED_VALUE"""),0.007702930555555557)</f>
        <v>0.007702930556</v>
      </c>
      <c r="O2717" s="5" t="str">
        <f>IFERROR(__xludf.DUMMYFUNCTION("""COMPUTED_VALUE"""),"")</f>
        <v/>
      </c>
      <c r="P2717" s="5" t="str">
        <f>IFERROR(__xludf.DUMMYFUNCTION("""COMPUTED_VALUE"""),"")</f>
        <v/>
      </c>
      <c r="Q2717" s="5">
        <f>IFERROR(__xludf.DUMMYFUNCTION("""COMPUTED_VALUE"""),0.0064184444444444445)</f>
        <v>0.006418444444</v>
      </c>
      <c r="R2717" s="4">
        <f>IFERROR(__xludf.DUMMYFUNCTION("""COMPUTED_VALUE"""),45949.03209221906)</f>
        <v>45949.03209</v>
      </c>
      <c r="S2717" s="1" t="b">
        <f>IFERROR(__xludf.DUMMYFUNCTION("""COMPUTED_VALUE"""),TRUE)</f>
        <v>1</v>
      </c>
      <c r="T2717" s="1" t="b">
        <f>IFERROR(__xludf.DUMMYFUNCTION("""COMPUTED_VALUE"""),FALSE)</f>
        <v>0</v>
      </c>
      <c r="U2717" s="1" t="str">
        <f>IFERROR(__xludf.DUMMYFUNCTION("""COMPUTED_VALUE"""),"VALID")</f>
        <v>VALID</v>
      </c>
      <c r="V2717" s="1">
        <f>IFERROR(__xludf.DUMMYFUNCTION("""COMPUTED_VALUE"""),52.0)</f>
        <v>52</v>
      </c>
      <c r="W2717" s="1">
        <f>IFERROR(__xludf.DUMMYFUNCTION("""COMPUTED_VALUE"""),706.0)</f>
        <v>706</v>
      </c>
      <c r="X2717" s="1">
        <f>IFERROR(__xludf.DUMMYFUNCTION("""COMPUTED_VALUE"""),593.0)</f>
        <v>593</v>
      </c>
      <c r="Y2717" s="2"/>
      <c r="Z2717" s="2" t="str">
        <f>IFERROR(__xludf.DUMMYFUNCTION("""COMPUTED_VALUE"""),"C")</f>
        <v>C</v>
      </c>
    </row>
    <row r="2718">
      <c r="A2718" s="1">
        <f>IFERROR(__xludf.DUMMYFUNCTION("""COMPUTED_VALUE"""),2717.0)</f>
        <v>2717</v>
      </c>
      <c r="B2718" s="7" t="str">
        <f>IFERROR(__xludf.DUMMYFUNCTION("""COMPUTED_VALUE"""),"9045")</f>
        <v>9045</v>
      </c>
      <c r="C2718" s="8" t="str">
        <f>IFERROR(__xludf.DUMMYFUNCTION("""COMPUTED_VALUE"""),"DIAST")</f>
        <v>DIAST</v>
      </c>
      <c r="D2718" s="2" t="str">
        <f>IFERROR(__xludf.DUMMYFUNCTION("""COMPUTED_VALUE"""),"5KM STUDENT M")</f>
        <v>5KM STUDENT M</v>
      </c>
      <c r="E2718" s="1">
        <f>IFERROR(__xludf.DUMMYFUNCTION("""COMPUTED_VALUE"""),2.0)</f>
        <v>2</v>
      </c>
      <c r="F2718" s="1" t="str">
        <f>IFERROR(__xludf.DUMMYFUNCTION("""COMPUTED_VALUE"""),"Male")</f>
        <v>Male</v>
      </c>
      <c r="G2718" s="4" t="b">
        <f>IFERROR(__xludf.DUMMYFUNCTION("""COMPUTED_VALUE"""),TRUE)</f>
        <v>1</v>
      </c>
      <c r="H2718" s="4" t="b">
        <f>IFERROR(__xludf.DUMMYFUNCTION("""COMPUTED_VALUE"""),TRUE)</f>
        <v>1</v>
      </c>
      <c r="I2718" s="4">
        <f>IFERROR(__xludf.DUMMYFUNCTION("""COMPUTED_VALUE"""),0.2549440625)</f>
        <v>0.2549440625</v>
      </c>
      <c r="J2718" s="4" t="str">
        <f>IFERROR(__xludf.DUMMYFUNCTION("""COMPUTED_VALUE"""),"")</f>
        <v/>
      </c>
      <c r="K2718" s="4" t="str">
        <f>IFERROR(__xludf.DUMMYFUNCTION("""COMPUTED_VALUE"""),"")</f>
        <v/>
      </c>
      <c r="L2718" s="4" t="str">
        <f>IFERROR(__xludf.DUMMYFUNCTION("""COMPUTED_VALUE"""),"")</f>
        <v/>
      </c>
      <c r="M2718" s="1" t="str">
        <f>IFERROR(__xludf.DUMMYFUNCTION("""COMPUTED_VALUE"""),"RFID")</f>
        <v>RFID</v>
      </c>
      <c r="N2718" s="5" t="str">
        <f>IFERROR(__xludf.DUMMYFUNCTION("""COMPUTED_VALUE"""),"")</f>
        <v/>
      </c>
      <c r="O2718" s="5" t="str">
        <f>IFERROR(__xludf.DUMMYFUNCTION("""COMPUTED_VALUE"""),"")</f>
        <v/>
      </c>
      <c r="P2718" s="5" t="str">
        <f>IFERROR(__xludf.DUMMYFUNCTION("""COMPUTED_VALUE"""),"")</f>
        <v/>
      </c>
      <c r="Q2718" s="5" t="str">
        <f>IFERROR(__xludf.DUMMYFUNCTION("""COMPUTED_VALUE"""),"")</f>
        <v/>
      </c>
      <c r="R2718" s="4" t="str">
        <f>IFERROR(__xludf.DUMMYFUNCTION("""COMPUTED_VALUE"""),"")</f>
        <v/>
      </c>
      <c r="S2718" s="1" t="b">
        <f>IFERROR(__xludf.DUMMYFUNCTION("""COMPUTED_VALUE"""),FALSE)</f>
        <v>0</v>
      </c>
      <c r="T2718" s="1" t="b">
        <f>IFERROR(__xludf.DUMMYFUNCTION("""COMPUTED_VALUE"""),FALSE)</f>
        <v>0</v>
      </c>
      <c r="U2718" s="1" t="str">
        <f>IFERROR(__xludf.DUMMYFUNCTION("""COMPUTED_VALUE"""),"DSQ")</f>
        <v>DSQ</v>
      </c>
      <c r="V2718" s="1" t="str">
        <f>IFERROR(__xludf.DUMMYFUNCTION("""COMPUTED_VALUE"""),"DSQ")</f>
        <v>DSQ</v>
      </c>
      <c r="W2718" s="1" t="str">
        <f>IFERROR(__xludf.DUMMYFUNCTION("""COMPUTED_VALUE"""),"DSQ")</f>
        <v>DSQ</v>
      </c>
      <c r="X2718" s="1" t="str">
        <f>IFERROR(__xludf.DUMMYFUNCTION("""COMPUTED_VALUE"""),"DSQ")</f>
        <v>DSQ</v>
      </c>
      <c r="Y2718" s="2"/>
      <c r="Z2718" s="2" t="str">
        <f>IFERROR(__xludf.DUMMYFUNCTION("""COMPUTED_VALUE"""),"")</f>
        <v/>
      </c>
    </row>
    <row r="2719">
      <c r="A2719" s="1">
        <f>IFERROR(__xludf.DUMMYFUNCTION("""COMPUTED_VALUE"""),2718.0)</f>
        <v>2718</v>
      </c>
      <c r="B2719" s="7" t="str">
        <f>IFERROR(__xludf.DUMMYFUNCTION("""COMPUTED_VALUE"""),"9046")</f>
        <v>9046</v>
      </c>
      <c r="C2719" s="8" t="str">
        <f>IFERROR(__xludf.DUMMYFUNCTION("""COMPUTED_VALUE"""),"NIZAM GUMILAR")</f>
        <v>NIZAM GUMILAR</v>
      </c>
      <c r="D2719" s="2" t="str">
        <f>IFERROR(__xludf.DUMMYFUNCTION("""COMPUTED_VALUE"""),"5KM STUDENT M")</f>
        <v>5KM STUDENT M</v>
      </c>
      <c r="E2719" s="1">
        <f>IFERROR(__xludf.DUMMYFUNCTION("""COMPUTED_VALUE"""),2.0)</f>
        <v>2</v>
      </c>
      <c r="F2719" s="1" t="str">
        <f>IFERROR(__xludf.DUMMYFUNCTION("""COMPUTED_VALUE"""),"Male")</f>
        <v>Male</v>
      </c>
      <c r="G2719" s="4" t="b">
        <f>IFERROR(__xludf.DUMMYFUNCTION("""COMPUTED_VALUE"""),TRUE)</f>
        <v>1</v>
      </c>
      <c r="H2719" s="4" t="b">
        <f>IFERROR(__xludf.DUMMYFUNCTION("""COMPUTED_VALUE"""),FALSE)</f>
        <v>0</v>
      </c>
      <c r="I2719" s="4">
        <f>IFERROR(__xludf.DUMMYFUNCTION("""COMPUTED_VALUE"""),0.2549440625)</f>
        <v>0.2549440625</v>
      </c>
      <c r="J2719" s="4">
        <f>IFERROR(__xludf.DUMMYFUNCTION("""COMPUTED_VALUE"""),45949.26357638889)</f>
        <v>45949.26358</v>
      </c>
      <c r="K2719" s="4" t="str">
        <f>IFERROR(__xludf.DUMMYFUNCTION("""COMPUTED_VALUE"""),"")</f>
        <v/>
      </c>
      <c r="L2719" s="4">
        <f>IFERROR(__xludf.DUMMYFUNCTION("""COMPUTED_VALUE"""),45949.2724945849)</f>
        <v>45949.27249</v>
      </c>
      <c r="M2719" s="1" t="str">
        <f>IFERROR(__xludf.DUMMYFUNCTION("""COMPUTED_VALUE"""),"RFID")</f>
        <v>RFID</v>
      </c>
      <c r="N2719" s="5">
        <f>IFERROR(__xludf.DUMMYFUNCTION("""COMPUTED_VALUE"""),0.0034529305555555554)</f>
        <v>0.003452930556</v>
      </c>
      <c r="O2719" s="5" t="str">
        <f>IFERROR(__xludf.DUMMYFUNCTION("""COMPUTED_VALUE"""),"")</f>
        <v/>
      </c>
      <c r="P2719" s="5" t="str">
        <f>IFERROR(__xludf.DUMMYFUNCTION("""COMPUTED_VALUE"""),"")</f>
        <v/>
      </c>
      <c r="Q2719" s="5">
        <f>IFERROR(__xludf.DUMMYFUNCTION("""COMPUTED_VALUE"""),0.0035101041666666666)</f>
        <v>0.003510104167</v>
      </c>
      <c r="R2719" s="4">
        <f>IFERROR(__xludf.DUMMYFUNCTION("""COMPUTED_VALUE"""),45949.017550522396)</f>
        <v>45949.01755</v>
      </c>
      <c r="S2719" s="1" t="b">
        <f>IFERROR(__xludf.DUMMYFUNCTION("""COMPUTED_VALUE"""),TRUE)</f>
        <v>1</v>
      </c>
      <c r="T2719" s="1" t="b">
        <f>IFERROR(__xludf.DUMMYFUNCTION("""COMPUTED_VALUE"""),FALSE)</f>
        <v>0</v>
      </c>
      <c r="U2719" s="1" t="str">
        <f>IFERROR(__xludf.DUMMYFUNCTION("""COMPUTED_VALUE"""),"VALID")</f>
        <v>VALID</v>
      </c>
      <c r="V2719" s="1">
        <f>IFERROR(__xludf.DUMMYFUNCTION("""COMPUTED_VALUE"""),10.0)</f>
        <v>10</v>
      </c>
      <c r="W2719" s="1">
        <f>IFERROR(__xludf.DUMMYFUNCTION("""COMPUTED_VALUE"""),47.0)</f>
        <v>47</v>
      </c>
      <c r="X2719" s="1">
        <f>IFERROR(__xludf.DUMMYFUNCTION("""COMPUTED_VALUE"""),45.0)</f>
        <v>45</v>
      </c>
      <c r="Y2719" s="2"/>
      <c r="Z2719" s="2"/>
    </row>
    <row r="2720">
      <c r="A2720" s="1">
        <f>IFERROR(__xludf.DUMMYFUNCTION("""COMPUTED_VALUE"""),2719.0)</f>
        <v>2719</v>
      </c>
      <c r="B2720" s="7" t="str">
        <f>IFERROR(__xludf.DUMMYFUNCTION("""COMPUTED_VALUE"""),"9047")</f>
        <v>9047</v>
      </c>
      <c r="C2720" s="8" t="str">
        <f>IFERROR(__xludf.DUMMYFUNCTION("""COMPUTED_VALUE"""),"agni")</f>
        <v>agni</v>
      </c>
      <c r="D2720" s="2" t="str">
        <f>IFERROR(__xludf.DUMMYFUNCTION("""COMPUTED_VALUE"""),"5KM STUDENT M")</f>
        <v>5KM STUDENT M</v>
      </c>
      <c r="E2720" s="1">
        <f>IFERROR(__xludf.DUMMYFUNCTION("""COMPUTED_VALUE"""),2.0)</f>
        <v>2</v>
      </c>
      <c r="F2720" s="1" t="str">
        <f>IFERROR(__xludf.DUMMYFUNCTION("""COMPUTED_VALUE"""),"Male")</f>
        <v>Male</v>
      </c>
      <c r="G2720" s="4" t="str">
        <f>IFERROR(__xludf.DUMMYFUNCTION("""COMPUTED_VALUE"""),"")</f>
        <v/>
      </c>
      <c r="H2720" s="4" t="b">
        <f>IFERROR(__xludf.DUMMYFUNCTION("""COMPUTED_VALUE"""),TRUE)</f>
        <v>1</v>
      </c>
      <c r="I2720" s="4">
        <f>IFERROR(__xludf.DUMMYFUNCTION("""COMPUTED_VALUE"""),0.2549440625)</f>
        <v>0.2549440625</v>
      </c>
      <c r="J2720" s="4" t="str">
        <f>IFERROR(__xludf.DUMMYFUNCTION("""COMPUTED_VALUE"""),"")</f>
        <v/>
      </c>
      <c r="K2720" s="4" t="str">
        <f>IFERROR(__xludf.DUMMYFUNCTION("""COMPUTED_VALUE"""),"")</f>
        <v/>
      </c>
      <c r="L2720" s="4">
        <f>IFERROR(__xludf.DUMMYFUNCTION("""COMPUTED_VALUE"""),45949.273220335876)</f>
        <v>45949.27322</v>
      </c>
      <c r="M2720" s="1" t="str">
        <f>IFERROR(__xludf.DUMMYFUNCTION("""COMPUTED_VALUE"""),"RFID")</f>
        <v>RFID</v>
      </c>
      <c r="N2720" s="5" t="str">
        <f>IFERROR(__xludf.DUMMYFUNCTION("""COMPUTED_VALUE"""),"")</f>
        <v/>
      </c>
      <c r="O2720" s="5" t="str">
        <f>IFERROR(__xludf.DUMMYFUNCTION("""COMPUTED_VALUE"""),"")</f>
        <v/>
      </c>
      <c r="P2720" s="5" t="str">
        <f>IFERROR(__xludf.DUMMYFUNCTION("""COMPUTED_VALUE"""),"")</f>
        <v/>
      </c>
      <c r="Q2720" s="5">
        <f>IFERROR(__xludf.DUMMYFUNCTION("""COMPUTED_VALUE"""),0.00365525462962963)</f>
        <v>0.00365525463</v>
      </c>
      <c r="R2720" s="4">
        <f>IFERROR(__xludf.DUMMYFUNCTION("""COMPUTED_VALUE"""),45949.018276273375)</f>
        <v>45949.01828</v>
      </c>
      <c r="S2720" s="1" t="b">
        <f>IFERROR(__xludf.DUMMYFUNCTION("""COMPUTED_VALUE"""),FALSE)</f>
        <v>0</v>
      </c>
      <c r="T2720" s="1" t="b">
        <f>IFERROR(__xludf.DUMMYFUNCTION("""COMPUTED_VALUE"""),FALSE)</f>
        <v>0</v>
      </c>
      <c r="U2720" s="1" t="str">
        <f>IFERROR(__xludf.DUMMYFUNCTION("""COMPUTED_VALUE"""),"DSQ")</f>
        <v>DSQ</v>
      </c>
      <c r="V2720" s="1" t="str">
        <f>IFERROR(__xludf.DUMMYFUNCTION("""COMPUTED_VALUE"""),"DSQ")</f>
        <v>DSQ</v>
      </c>
      <c r="W2720" s="1" t="str">
        <f>IFERROR(__xludf.DUMMYFUNCTION("""COMPUTED_VALUE"""),"DSQ")</f>
        <v>DSQ</v>
      </c>
      <c r="X2720" s="1" t="str">
        <f>IFERROR(__xludf.DUMMYFUNCTION("""COMPUTED_VALUE"""),"DSQ")</f>
        <v>DSQ</v>
      </c>
      <c r="Y2720" s="2"/>
      <c r="Z2720" s="2" t="str">
        <f>IFERROR(__xludf.DUMMYFUNCTION("""COMPUTED_VALUE"""),"")</f>
        <v/>
      </c>
    </row>
    <row r="2721">
      <c r="A2721" s="1">
        <f>IFERROR(__xludf.DUMMYFUNCTION("""COMPUTED_VALUE"""),2720.0)</f>
        <v>2720</v>
      </c>
      <c r="B2721" s="7" t="str">
        <f>IFERROR(__xludf.DUMMYFUNCTION("""COMPUTED_VALUE"""),"9049")</f>
        <v>9049</v>
      </c>
      <c r="C2721" s="8" t="str">
        <f>IFERROR(__xludf.DUMMYFUNCTION("""COMPUTED_VALUE"""),"Rizki Akbar")</f>
        <v>Rizki Akbar</v>
      </c>
      <c r="D2721" s="2" t="str">
        <f>IFERROR(__xludf.DUMMYFUNCTION("""COMPUTED_VALUE"""),"5KM STUDENT M")</f>
        <v>5KM STUDENT M</v>
      </c>
      <c r="E2721" s="1">
        <f>IFERROR(__xludf.DUMMYFUNCTION("""COMPUTED_VALUE"""),2.0)</f>
        <v>2</v>
      </c>
      <c r="F2721" s="1" t="str">
        <f>IFERROR(__xludf.DUMMYFUNCTION("""COMPUTED_VALUE"""),"Male")</f>
        <v>Male</v>
      </c>
      <c r="G2721" s="4" t="b">
        <f>IFERROR(__xludf.DUMMYFUNCTION("""COMPUTED_VALUE"""),TRUE)</f>
        <v>1</v>
      </c>
      <c r="H2721" s="4" t="b">
        <f>IFERROR(__xludf.DUMMYFUNCTION("""COMPUTED_VALUE"""),TRUE)</f>
        <v>1</v>
      </c>
      <c r="I2721" s="4">
        <f>IFERROR(__xludf.DUMMYFUNCTION("""COMPUTED_VALUE"""),0.2549440625)</f>
        <v>0.2549440625</v>
      </c>
      <c r="J2721" s="4">
        <f>IFERROR(__xludf.DUMMYFUNCTION("""COMPUTED_VALUE"""),45949.27732183927)</f>
        <v>45949.27732</v>
      </c>
      <c r="K2721" s="4" t="str">
        <f>IFERROR(__xludf.DUMMYFUNCTION("""COMPUTED_VALUE"""),"")</f>
        <v/>
      </c>
      <c r="L2721" s="4">
        <f>IFERROR(__xludf.DUMMYFUNCTION("""COMPUTED_VALUE"""),45949.29532442775)</f>
        <v>45949.29532</v>
      </c>
      <c r="M2721" s="1" t="str">
        <f>IFERROR(__xludf.DUMMYFUNCTION("""COMPUTED_VALUE"""),"RFID")</f>
        <v>RFID</v>
      </c>
      <c r="N2721" s="5">
        <f>IFERROR(__xludf.DUMMYFUNCTION("""COMPUTED_VALUE"""),0.008951111111111111)</f>
        <v>0.008951111111</v>
      </c>
      <c r="O2721" s="5" t="str">
        <f>IFERROR(__xludf.DUMMYFUNCTION("""COMPUTED_VALUE"""),"")</f>
        <v/>
      </c>
      <c r="P2721" s="5" t="str">
        <f>IFERROR(__xludf.DUMMYFUNCTION("""COMPUTED_VALUE"""),"")</f>
        <v/>
      </c>
      <c r="Q2721" s="5">
        <f>IFERROR(__xludf.DUMMYFUNCTION("""COMPUTED_VALUE"""),0.008076074074074074)</f>
        <v>0.008076074074</v>
      </c>
      <c r="R2721" s="4">
        <f>IFERROR(__xludf.DUMMYFUNCTION("""COMPUTED_VALUE"""),45949.04038036525)</f>
        <v>45949.04038</v>
      </c>
      <c r="S2721" s="1" t="b">
        <f>IFERROR(__xludf.DUMMYFUNCTION("""COMPUTED_VALUE"""),TRUE)</f>
        <v>1</v>
      </c>
      <c r="T2721" s="1" t="b">
        <f>IFERROR(__xludf.DUMMYFUNCTION("""COMPUTED_VALUE"""),FALSE)</f>
        <v>0</v>
      </c>
      <c r="U2721" s="1" t="str">
        <f>IFERROR(__xludf.DUMMYFUNCTION("""COMPUTED_VALUE"""),"VALID")</f>
        <v>VALID</v>
      </c>
      <c r="V2721" s="1">
        <f>IFERROR(__xludf.DUMMYFUNCTION("""COMPUTED_VALUE"""),64.0)</f>
        <v>64</v>
      </c>
      <c r="W2721" s="1">
        <f>IFERROR(__xludf.DUMMYFUNCTION("""COMPUTED_VALUE"""),1264.0)</f>
        <v>1264</v>
      </c>
      <c r="X2721" s="1">
        <f>IFERROR(__xludf.DUMMYFUNCTION("""COMPUTED_VALUE"""),997.0)</f>
        <v>997</v>
      </c>
      <c r="Y2721" s="2"/>
      <c r="Z2721" s="2"/>
    </row>
    <row r="2722">
      <c r="A2722" s="1">
        <f>IFERROR(__xludf.DUMMYFUNCTION("""COMPUTED_VALUE"""),2721.0)</f>
        <v>2721</v>
      </c>
      <c r="B2722" s="7" t="str">
        <f>IFERROR(__xludf.DUMMYFUNCTION("""COMPUTED_VALUE"""),"9050")</f>
        <v>9050</v>
      </c>
      <c r="C2722" s="8" t="str">
        <f>IFERROR(__xludf.DUMMYFUNCTION("""COMPUTED_VALUE"""),"Azzam")</f>
        <v>Azzam</v>
      </c>
      <c r="D2722" s="2" t="str">
        <f>IFERROR(__xludf.DUMMYFUNCTION("""COMPUTED_VALUE"""),"5KM STUDENT M")</f>
        <v>5KM STUDENT M</v>
      </c>
      <c r="E2722" s="1">
        <f>IFERROR(__xludf.DUMMYFUNCTION("""COMPUTED_VALUE"""),2.0)</f>
        <v>2</v>
      </c>
      <c r="F2722" s="1" t="str">
        <f>IFERROR(__xludf.DUMMYFUNCTION("""COMPUTED_VALUE"""),"Male")</f>
        <v>Male</v>
      </c>
      <c r="G2722" s="4" t="b">
        <f>IFERROR(__xludf.DUMMYFUNCTION("""COMPUTED_VALUE"""),TRUE)</f>
        <v>1</v>
      </c>
      <c r="H2722" s="4" t="b">
        <f>IFERROR(__xludf.DUMMYFUNCTION("""COMPUTED_VALUE"""),FALSE)</f>
        <v>0</v>
      </c>
      <c r="I2722" s="4">
        <f>IFERROR(__xludf.DUMMYFUNCTION("""COMPUTED_VALUE"""),0.2549440625)</f>
        <v>0.2549440625</v>
      </c>
      <c r="J2722" s="4">
        <f>IFERROR(__xludf.DUMMYFUNCTION("""COMPUTED_VALUE"""),45949.277745467814)</f>
        <v>45949.27775</v>
      </c>
      <c r="K2722" s="4" t="str">
        <f>IFERROR(__xludf.DUMMYFUNCTION("""COMPUTED_VALUE"""),"")</f>
        <v/>
      </c>
      <c r="L2722" s="4">
        <f>IFERROR(__xludf.DUMMYFUNCTION("""COMPUTED_VALUE"""),45949.29268901212)</f>
        <v>45949.29269</v>
      </c>
      <c r="M2722" s="1" t="str">
        <f>IFERROR(__xludf.DUMMYFUNCTION("""COMPUTED_VALUE"""),"RFID")</f>
        <v>RFID</v>
      </c>
      <c r="N2722" s="5">
        <f>IFERROR(__xludf.DUMMYFUNCTION("""COMPUTED_VALUE"""),0.009120560185185185)</f>
        <v>0.009120560185</v>
      </c>
      <c r="O2722" s="5" t="str">
        <f>IFERROR(__xludf.DUMMYFUNCTION("""COMPUTED_VALUE"""),"")</f>
        <v/>
      </c>
      <c r="P2722" s="5" t="str">
        <f>IFERROR(__xludf.DUMMYFUNCTION("""COMPUTED_VALUE"""),"")</f>
        <v/>
      </c>
      <c r="Q2722" s="5">
        <f>IFERROR(__xludf.DUMMYFUNCTION("""COMPUTED_VALUE"""),0.007548990740740741)</f>
        <v>0.007548990741</v>
      </c>
      <c r="R2722" s="4">
        <f>IFERROR(__xludf.DUMMYFUNCTION("""COMPUTED_VALUE"""),45949.03774494962)</f>
        <v>45949.03774</v>
      </c>
      <c r="S2722" s="1" t="b">
        <f>IFERROR(__xludf.DUMMYFUNCTION("""COMPUTED_VALUE"""),TRUE)</f>
        <v>1</v>
      </c>
      <c r="T2722" s="1" t="b">
        <f>IFERROR(__xludf.DUMMYFUNCTION("""COMPUTED_VALUE"""),FALSE)</f>
        <v>0</v>
      </c>
      <c r="U2722" s="1" t="str">
        <f>IFERROR(__xludf.DUMMYFUNCTION("""COMPUTED_VALUE"""),"VALID")</f>
        <v>VALID</v>
      </c>
      <c r="V2722" s="1">
        <f>IFERROR(__xludf.DUMMYFUNCTION("""COMPUTED_VALUE"""),62.0)</f>
        <v>62</v>
      </c>
      <c r="W2722" s="1">
        <f>IFERROR(__xludf.DUMMYFUNCTION("""COMPUTED_VALUE"""),1085.0)</f>
        <v>1085</v>
      </c>
      <c r="X2722" s="1">
        <f>IFERROR(__xludf.DUMMYFUNCTION("""COMPUTED_VALUE"""),861.0)</f>
        <v>861</v>
      </c>
      <c r="Y2722" s="2"/>
      <c r="Z2722" s="2"/>
    </row>
    <row r="2723">
      <c r="A2723" s="1">
        <f>IFERROR(__xludf.DUMMYFUNCTION("""COMPUTED_VALUE"""),2722.0)</f>
        <v>2722</v>
      </c>
      <c r="B2723" s="7" t="str">
        <f>IFERROR(__xludf.DUMMYFUNCTION("""COMPUTED_VALUE"""),"9051")</f>
        <v>9051</v>
      </c>
      <c r="C2723" s="8" t="str">
        <f>IFERROR(__xludf.DUMMYFUNCTION("""COMPUTED_VALUE"""),"Muhammad Zaeni Salman")</f>
        <v>Muhammad Zaeni Salman</v>
      </c>
      <c r="D2723" s="2" t="str">
        <f>IFERROR(__xludf.DUMMYFUNCTION("""COMPUTED_VALUE"""),"5KM STUDENT M")</f>
        <v>5KM STUDENT M</v>
      </c>
      <c r="E2723" s="1">
        <f>IFERROR(__xludf.DUMMYFUNCTION("""COMPUTED_VALUE"""),2.0)</f>
        <v>2</v>
      </c>
      <c r="F2723" s="1" t="str">
        <f>IFERROR(__xludf.DUMMYFUNCTION("""COMPUTED_VALUE"""),"Male")</f>
        <v>Male</v>
      </c>
      <c r="G2723" s="4" t="b">
        <f>IFERROR(__xludf.DUMMYFUNCTION("""COMPUTED_VALUE"""),TRUE)</f>
        <v>1</v>
      </c>
      <c r="H2723" s="4" t="b">
        <f>IFERROR(__xludf.DUMMYFUNCTION("""COMPUTED_VALUE"""),TRUE)</f>
        <v>1</v>
      </c>
      <c r="I2723" s="4">
        <f>IFERROR(__xludf.DUMMYFUNCTION("""COMPUTED_VALUE"""),0.2549440625)</f>
        <v>0.2549440625</v>
      </c>
      <c r="J2723" s="4">
        <f>IFERROR(__xludf.DUMMYFUNCTION("""COMPUTED_VALUE"""),45949.27350933313)</f>
        <v>45949.27351</v>
      </c>
      <c r="K2723" s="4" t="str">
        <f>IFERROR(__xludf.DUMMYFUNCTION("""COMPUTED_VALUE"""),"")</f>
        <v/>
      </c>
      <c r="L2723" s="4">
        <f>IFERROR(__xludf.DUMMYFUNCTION("""COMPUTED_VALUE"""),45949.28703280807)</f>
        <v>45949.28703</v>
      </c>
      <c r="M2723" s="1" t="str">
        <f>IFERROR(__xludf.DUMMYFUNCTION("""COMPUTED_VALUE"""),"RFID")</f>
        <v>RFID</v>
      </c>
      <c r="N2723" s="5">
        <f>IFERROR(__xludf.DUMMYFUNCTION("""COMPUTED_VALUE"""),0.0074261064814814814)</f>
        <v>0.007426106481</v>
      </c>
      <c r="O2723" s="5" t="str">
        <f>IFERROR(__xludf.DUMMYFUNCTION("""COMPUTED_VALUE"""),"")</f>
        <v/>
      </c>
      <c r="P2723" s="5" t="str">
        <f>IFERROR(__xludf.DUMMYFUNCTION("""COMPUTED_VALUE"""),"")</f>
        <v/>
      </c>
      <c r="Q2723" s="5">
        <f>IFERROR(__xludf.DUMMYFUNCTION("""COMPUTED_VALUE"""),0.00641775)</f>
        <v>0.00641775</v>
      </c>
      <c r="R2723" s="4">
        <f>IFERROR(__xludf.DUMMYFUNCTION("""COMPUTED_VALUE"""),45949.03208874557)</f>
        <v>45949.03209</v>
      </c>
      <c r="S2723" s="1" t="b">
        <f>IFERROR(__xludf.DUMMYFUNCTION("""COMPUTED_VALUE"""),TRUE)</f>
        <v>1</v>
      </c>
      <c r="T2723" s="1" t="b">
        <f>IFERROR(__xludf.DUMMYFUNCTION("""COMPUTED_VALUE"""),FALSE)</f>
        <v>0</v>
      </c>
      <c r="U2723" s="1" t="str">
        <f>IFERROR(__xludf.DUMMYFUNCTION("""COMPUTED_VALUE"""),"VALID")</f>
        <v>VALID</v>
      </c>
      <c r="V2723" s="1">
        <f>IFERROR(__xludf.DUMMYFUNCTION("""COMPUTED_VALUE"""),51.0)</f>
        <v>51</v>
      </c>
      <c r="W2723" s="1">
        <f>IFERROR(__xludf.DUMMYFUNCTION("""COMPUTED_VALUE"""),705.0)</f>
        <v>705</v>
      </c>
      <c r="X2723" s="1">
        <f>IFERROR(__xludf.DUMMYFUNCTION("""COMPUTED_VALUE"""),592.0)</f>
        <v>592</v>
      </c>
      <c r="Y2723" s="2"/>
      <c r="Z2723" s="2"/>
    </row>
    <row r="2724">
      <c r="A2724" s="1">
        <f>IFERROR(__xludf.DUMMYFUNCTION("""COMPUTED_VALUE"""),2723.0)</f>
        <v>2723</v>
      </c>
      <c r="B2724" s="7" t="str">
        <f>IFERROR(__xludf.DUMMYFUNCTION("""COMPUTED_VALUE"""),"9052")</f>
        <v>9052</v>
      </c>
      <c r="C2724" s="8" t="str">
        <f>IFERROR(__xludf.DUMMYFUNCTION("""COMPUTED_VALUE"""),"Berryl Chalvino")</f>
        <v>Berryl Chalvino</v>
      </c>
      <c r="D2724" s="2" t="str">
        <f>IFERROR(__xludf.DUMMYFUNCTION("""COMPUTED_VALUE"""),"5KM STUDENT M")</f>
        <v>5KM STUDENT M</v>
      </c>
      <c r="E2724" s="1">
        <f>IFERROR(__xludf.DUMMYFUNCTION("""COMPUTED_VALUE"""),2.0)</f>
        <v>2</v>
      </c>
      <c r="F2724" s="1" t="str">
        <f>IFERROR(__xludf.DUMMYFUNCTION("""COMPUTED_VALUE"""),"Male")</f>
        <v>Male</v>
      </c>
      <c r="G2724" s="4" t="b">
        <f>IFERROR(__xludf.DUMMYFUNCTION("""COMPUTED_VALUE"""),TRUE)</f>
        <v>1</v>
      </c>
      <c r="H2724" s="4" t="b">
        <f>IFERROR(__xludf.DUMMYFUNCTION("""COMPUTED_VALUE"""),TRUE)</f>
        <v>1</v>
      </c>
      <c r="I2724" s="4">
        <f>IFERROR(__xludf.DUMMYFUNCTION("""COMPUTED_VALUE"""),0.2549440625)</f>
        <v>0.2549440625</v>
      </c>
      <c r="J2724" s="4">
        <f>IFERROR(__xludf.DUMMYFUNCTION("""COMPUTED_VALUE"""),45949.275825375524)</f>
        <v>45949.27583</v>
      </c>
      <c r="K2724" s="4" t="str">
        <f>IFERROR(__xludf.DUMMYFUNCTION("""COMPUTED_VALUE"""),"")</f>
        <v/>
      </c>
      <c r="L2724" s="4">
        <f>IFERROR(__xludf.DUMMYFUNCTION("""COMPUTED_VALUE"""),45949.28997725495)</f>
        <v>45949.28998</v>
      </c>
      <c r="M2724" s="1" t="str">
        <f>IFERROR(__xludf.DUMMYFUNCTION("""COMPUTED_VALUE"""),"RFID")</f>
        <v>RFID</v>
      </c>
      <c r="N2724" s="5">
        <f>IFERROR(__xludf.DUMMYFUNCTION("""COMPUTED_VALUE"""),0.008352523148148149)</f>
        <v>0.008352523148</v>
      </c>
      <c r="O2724" s="5" t="str">
        <f>IFERROR(__xludf.DUMMYFUNCTION("""COMPUTED_VALUE"""),"")</f>
        <v/>
      </c>
      <c r="P2724" s="5" t="str">
        <f>IFERROR(__xludf.DUMMYFUNCTION("""COMPUTED_VALUE"""),"")</f>
        <v/>
      </c>
      <c r="Q2724" s="5">
        <f>IFERROR(__xludf.DUMMYFUNCTION("""COMPUTED_VALUE"""),0.007006638888888889)</f>
        <v>0.007006638889</v>
      </c>
      <c r="R2724" s="4">
        <f>IFERROR(__xludf.DUMMYFUNCTION("""COMPUTED_VALUE"""),45949.03503319245)</f>
        <v>45949.03503</v>
      </c>
      <c r="S2724" s="1" t="b">
        <f>IFERROR(__xludf.DUMMYFUNCTION("""COMPUTED_VALUE"""),TRUE)</f>
        <v>1</v>
      </c>
      <c r="T2724" s="1" t="b">
        <f>IFERROR(__xludf.DUMMYFUNCTION("""COMPUTED_VALUE"""),FALSE)</f>
        <v>0</v>
      </c>
      <c r="U2724" s="1" t="str">
        <f>IFERROR(__xludf.DUMMYFUNCTION("""COMPUTED_VALUE"""),"VALID")</f>
        <v>VALID</v>
      </c>
      <c r="V2724" s="1">
        <f>IFERROR(__xludf.DUMMYFUNCTION("""COMPUTED_VALUE"""),57.0)</f>
        <v>57</v>
      </c>
      <c r="W2724" s="1">
        <f>IFERROR(__xludf.DUMMYFUNCTION("""COMPUTED_VALUE"""),890.0)</f>
        <v>890</v>
      </c>
      <c r="X2724" s="1">
        <f>IFERROR(__xludf.DUMMYFUNCTION("""COMPUTED_VALUE"""),726.0)</f>
        <v>726</v>
      </c>
      <c r="Y2724" s="2"/>
      <c r="Z2724" s="2"/>
    </row>
    <row r="2725">
      <c r="A2725" s="1">
        <f>IFERROR(__xludf.DUMMYFUNCTION("""COMPUTED_VALUE"""),2724.0)</f>
        <v>2724</v>
      </c>
      <c r="B2725" s="7" t="str">
        <f>IFERROR(__xludf.DUMMYFUNCTION("""COMPUTED_VALUE"""),"9053")</f>
        <v>9053</v>
      </c>
      <c r="C2725" s="8" t="str">
        <f>IFERROR(__xludf.DUMMYFUNCTION("""COMPUTED_VALUE"""),"Lucky")</f>
        <v>Lucky</v>
      </c>
      <c r="D2725" s="2" t="str">
        <f>IFERROR(__xludf.DUMMYFUNCTION("""COMPUTED_VALUE"""),"5KM STUDENT M")</f>
        <v>5KM STUDENT M</v>
      </c>
      <c r="E2725" s="1">
        <f>IFERROR(__xludf.DUMMYFUNCTION("""COMPUTED_VALUE"""),2.0)</f>
        <v>2</v>
      </c>
      <c r="F2725" s="1" t="str">
        <f>IFERROR(__xludf.DUMMYFUNCTION("""COMPUTED_VALUE"""),"Male")</f>
        <v>Male</v>
      </c>
      <c r="G2725" s="4" t="b">
        <f>IFERROR(__xludf.DUMMYFUNCTION("""COMPUTED_VALUE"""),TRUE)</f>
        <v>1</v>
      </c>
      <c r="H2725" s="4" t="b">
        <f>IFERROR(__xludf.DUMMYFUNCTION("""COMPUTED_VALUE"""),TRUE)</f>
        <v>1</v>
      </c>
      <c r="I2725" s="4">
        <f>IFERROR(__xludf.DUMMYFUNCTION("""COMPUTED_VALUE"""),0.2549440625)</f>
        <v>0.2549440625</v>
      </c>
      <c r="J2725" s="4">
        <f>IFERROR(__xludf.DUMMYFUNCTION("""COMPUTED_VALUE"""),45949.26646077087)</f>
        <v>45949.26646</v>
      </c>
      <c r="K2725" s="4" t="str">
        <f>IFERROR(__xludf.DUMMYFUNCTION("""COMPUTED_VALUE"""),"")</f>
        <v/>
      </c>
      <c r="L2725" s="4">
        <f>IFERROR(__xludf.DUMMYFUNCTION("""COMPUTED_VALUE"""),45949.274390468534)</f>
        <v>45949.27439</v>
      </c>
      <c r="M2725" s="1" t="str">
        <f>IFERROR(__xludf.DUMMYFUNCTION("""COMPUTED_VALUE"""),"RFID")</f>
        <v>RFID</v>
      </c>
      <c r="N2725" s="5">
        <f>IFERROR(__xludf.DUMMYFUNCTION("""COMPUTED_VALUE"""),0.004606685185185185)</f>
        <v>0.004606685185</v>
      </c>
      <c r="O2725" s="5" t="str">
        <f>IFERROR(__xludf.DUMMYFUNCTION("""COMPUTED_VALUE"""),"")</f>
        <v/>
      </c>
      <c r="P2725" s="5" t="str">
        <f>IFERROR(__xludf.DUMMYFUNCTION("""COMPUTED_VALUE"""),"")</f>
        <v/>
      </c>
      <c r="Q2725" s="5">
        <f>IFERROR(__xludf.DUMMYFUNCTION("""COMPUTED_VALUE"""),0.003889280092592593)</f>
        <v>0.003889280093</v>
      </c>
      <c r="R2725" s="4">
        <f>IFERROR(__xludf.DUMMYFUNCTION("""COMPUTED_VALUE"""),45949.01944640603)</f>
        <v>45949.01945</v>
      </c>
      <c r="S2725" s="1" t="b">
        <f>IFERROR(__xludf.DUMMYFUNCTION("""COMPUTED_VALUE"""),TRUE)</f>
        <v>1</v>
      </c>
      <c r="T2725" s="1" t="b">
        <f>IFERROR(__xludf.DUMMYFUNCTION("""COMPUTED_VALUE"""),FALSE)</f>
        <v>0</v>
      </c>
      <c r="U2725" s="1" t="str">
        <f>IFERROR(__xludf.DUMMYFUNCTION("""COMPUTED_VALUE"""),"VALID")</f>
        <v>VALID</v>
      </c>
      <c r="V2725" s="1">
        <f>IFERROR(__xludf.DUMMYFUNCTION("""COMPUTED_VALUE"""),14.0)</f>
        <v>14</v>
      </c>
      <c r="W2725" s="1">
        <f>IFERROR(__xludf.DUMMYFUNCTION("""COMPUTED_VALUE"""),100.0)</f>
        <v>100</v>
      </c>
      <c r="X2725" s="1">
        <f>IFERROR(__xludf.DUMMYFUNCTION("""COMPUTED_VALUE"""),90.0)</f>
        <v>90</v>
      </c>
      <c r="Y2725" s="2"/>
      <c r="Z2725" s="2"/>
    </row>
    <row r="2726">
      <c r="A2726" s="1">
        <f>IFERROR(__xludf.DUMMYFUNCTION("""COMPUTED_VALUE"""),2725.0)</f>
        <v>2725</v>
      </c>
      <c r="B2726" s="7" t="str">
        <f>IFERROR(__xludf.DUMMYFUNCTION("""COMPUTED_VALUE"""),"9056")</f>
        <v>9056</v>
      </c>
      <c r="C2726" s="8" t="str">
        <f>IFERROR(__xludf.DUMMYFUNCTION("""COMPUTED_VALUE"""),"Fatir")</f>
        <v>Fatir</v>
      </c>
      <c r="D2726" s="2" t="str">
        <f>IFERROR(__xludf.DUMMYFUNCTION("""COMPUTED_VALUE"""),"5KM STUDENT M")</f>
        <v>5KM STUDENT M</v>
      </c>
      <c r="E2726" s="1">
        <f>IFERROR(__xludf.DUMMYFUNCTION("""COMPUTED_VALUE"""),2.0)</f>
        <v>2</v>
      </c>
      <c r="F2726" s="1" t="str">
        <f>IFERROR(__xludf.DUMMYFUNCTION("""COMPUTED_VALUE"""),"Male")</f>
        <v>Male</v>
      </c>
      <c r="G2726" s="4" t="b">
        <f>IFERROR(__xludf.DUMMYFUNCTION("""COMPUTED_VALUE"""),TRUE)</f>
        <v>1</v>
      </c>
      <c r="H2726" s="4" t="b">
        <f>IFERROR(__xludf.DUMMYFUNCTION("""COMPUTED_VALUE"""),TRUE)</f>
        <v>1</v>
      </c>
      <c r="I2726" s="4">
        <f>IFERROR(__xludf.DUMMYFUNCTION("""COMPUTED_VALUE"""),0.2549440625)</f>
        <v>0.2549440625</v>
      </c>
      <c r="J2726" s="4">
        <f>IFERROR(__xludf.DUMMYFUNCTION("""COMPUTED_VALUE"""),45949.27262391983)</f>
        <v>45949.27262</v>
      </c>
      <c r="K2726" s="4" t="str">
        <f>IFERROR(__xludf.DUMMYFUNCTION("""COMPUTED_VALUE"""),"")</f>
        <v/>
      </c>
      <c r="L2726" s="4">
        <f>IFERROR(__xludf.DUMMYFUNCTION("""COMPUTED_VALUE"""),45949.28794254164)</f>
        <v>45949.28794</v>
      </c>
      <c r="M2726" s="1" t="str">
        <f>IFERROR(__xludf.DUMMYFUNCTION("""COMPUTED_VALUE"""),"RFID")</f>
        <v>RFID</v>
      </c>
      <c r="N2726" s="5">
        <f>IFERROR(__xludf.DUMMYFUNCTION("""COMPUTED_VALUE"""),0.007071944444444445)</f>
        <v>0.007071944444</v>
      </c>
      <c r="O2726" s="5" t="str">
        <f>IFERROR(__xludf.DUMMYFUNCTION("""COMPUTED_VALUE"""),"")</f>
        <v/>
      </c>
      <c r="P2726" s="5" t="str">
        <f>IFERROR(__xludf.DUMMYFUNCTION("""COMPUTED_VALUE"""),"")</f>
        <v/>
      </c>
      <c r="Q2726" s="5">
        <f>IFERROR(__xludf.DUMMYFUNCTION("""COMPUTED_VALUE"""),0.006599696759259259)</f>
        <v>0.006599696759</v>
      </c>
      <c r="R2726" s="4">
        <f>IFERROR(__xludf.DUMMYFUNCTION("""COMPUTED_VALUE"""),45949.03299847914)</f>
        <v>45949.033</v>
      </c>
      <c r="S2726" s="1" t="b">
        <f>IFERROR(__xludf.DUMMYFUNCTION("""COMPUTED_VALUE"""),TRUE)</f>
        <v>1</v>
      </c>
      <c r="T2726" s="1" t="b">
        <f>IFERROR(__xludf.DUMMYFUNCTION("""COMPUTED_VALUE"""),FALSE)</f>
        <v>0</v>
      </c>
      <c r="U2726" s="1" t="str">
        <f>IFERROR(__xludf.DUMMYFUNCTION("""COMPUTED_VALUE"""),"VALID")</f>
        <v>VALID</v>
      </c>
      <c r="V2726" s="1">
        <f>IFERROR(__xludf.DUMMYFUNCTION("""COMPUTED_VALUE"""),54.0)</f>
        <v>54</v>
      </c>
      <c r="W2726" s="1">
        <f>IFERROR(__xludf.DUMMYFUNCTION("""COMPUTED_VALUE"""),776.0)</f>
        <v>776</v>
      </c>
      <c r="X2726" s="1">
        <f>IFERROR(__xludf.DUMMYFUNCTION("""COMPUTED_VALUE"""),641.0)</f>
        <v>641</v>
      </c>
      <c r="Y2726" s="2"/>
      <c r="Z2726" s="2"/>
    </row>
    <row r="2727">
      <c r="A2727" s="1">
        <f>IFERROR(__xludf.DUMMYFUNCTION("""COMPUTED_VALUE"""),2726.0)</f>
        <v>2726</v>
      </c>
      <c r="B2727" s="7" t="str">
        <f>IFERROR(__xludf.DUMMYFUNCTION("""COMPUTED_VALUE"""),"9057")</f>
        <v>9057</v>
      </c>
      <c r="C2727" s="8" t="str">
        <f>IFERROR(__xludf.DUMMYFUNCTION("""COMPUTED_VALUE"""),"M alfian")</f>
        <v>M alfian</v>
      </c>
      <c r="D2727" s="2" t="str">
        <f>IFERROR(__xludf.DUMMYFUNCTION("""COMPUTED_VALUE"""),"5KM STUDENT M")</f>
        <v>5KM STUDENT M</v>
      </c>
      <c r="E2727" s="1">
        <f>IFERROR(__xludf.DUMMYFUNCTION("""COMPUTED_VALUE"""),2.0)</f>
        <v>2</v>
      </c>
      <c r="F2727" s="1" t="str">
        <f>IFERROR(__xludf.DUMMYFUNCTION("""COMPUTED_VALUE"""),"Male")</f>
        <v>Male</v>
      </c>
      <c r="G2727" s="4" t="b">
        <f>IFERROR(__xludf.DUMMYFUNCTION("""COMPUTED_VALUE"""),TRUE)</f>
        <v>1</v>
      </c>
      <c r="H2727" s="4" t="b">
        <f>IFERROR(__xludf.DUMMYFUNCTION("""COMPUTED_VALUE"""),TRUE)</f>
        <v>1</v>
      </c>
      <c r="I2727" s="4">
        <f>IFERROR(__xludf.DUMMYFUNCTION("""COMPUTED_VALUE"""),0.2549440625)</f>
        <v>0.2549440625</v>
      </c>
      <c r="J2727" s="4">
        <f>IFERROR(__xludf.DUMMYFUNCTION("""COMPUTED_VALUE"""),45949.26646079395)</f>
        <v>45949.26646</v>
      </c>
      <c r="K2727" s="4" t="str">
        <f>IFERROR(__xludf.DUMMYFUNCTION("""COMPUTED_VALUE"""),"")</f>
        <v/>
      </c>
      <c r="L2727" s="4">
        <f>IFERROR(__xludf.DUMMYFUNCTION("""COMPUTED_VALUE"""),45949.27738350744)</f>
        <v>45949.27738</v>
      </c>
      <c r="M2727" s="1" t="str">
        <f>IFERROR(__xludf.DUMMYFUNCTION("""COMPUTED_VALUE"""),"RFID")</f>
        <v>RFID</v>
      </c>
      <c r="N2727" s="5">
        <f>IFERROR(__xludf.DUMMYFUNCTION("""COMPUTED_VALUE"""),0.0046066944444444445)</f>
        <v>0.004606694444</v>
      </c>
      <c r="O2727" s="5" t="str">
        <f>IFERROR(__xludf.DUMMYFUNCTION("""COMPUTED_VALUE"""),"")</f>
        <v/>
      </c>
      <c r="P2727" s="5" t="str">
        <f>IFERROR(__xludf.DUMMYFUNCTION("""COMPUTED_VALUE"""),"")</f>
        <v/>
      </c>
      <c r="Q2727" s="5">
        <f>IFERROR(__xludf.DUMMYFUNCTION("""COMPUTED_VALUE"""),0.004487888888888889)</f>
        <v>0.004487888889</v>
      </c>
      <c r="R2727" s="4">
        <f>IFERROR(__xludf.DUMMYFUNCTION("""COMPUTED_VALUE"""),45949.02243944494)</f>
        <v>45949.02244</v>
      </c>
      <c r="S2727" s="1" t="b">
        <f>IFERROR(__xludf.DUMMYFUNCTION("""COMPUTED_VALUE"""),TRUE)</f>
        <v>1</v>
      </c>
      <c r="T2727" s="1" t="b">
        <f>IFERROR(__xludf.DUMMYFUNCTION("""COMPUTED_VALUE"""),FALSE)</f>
        <v>0</v>
      </c>
      <c r="U2727" s="1" t="str">
        <f>IFERROR(__xludf.DUMMYFUNCTION("""COMPUTED_VALUE"""),"VALID")</f>
        <v>VALID</v>
      </c>
      <c r="V2727" s="1">
        <f>IFERROR(__xludf.DUMMYFUNCTION("""COMPUTED_VALUE"""),24.0)</f>
        <v>24</v>
      </c>
      <c r="W2727" s="1">
        <f>IFERROR(__xludf.DUMMYFUNCTION("""COMPUTED_VALUE"""),185.0)</f>
        <v>185</v>
      </c>
      <c r="X2727" s="1">
        <f>IFERROR(__xludf.DUMMYFUNCTION("""COMPUTED_VALUE"""),164.0)</f>
        <v>164</v>
      </c>
      <c r="Y2727" s="2"/>
      <c r="Z2727" s="2"/>
    </row>
    <row r="2728">
      <c r="A2728" s="1">
        <f>IFERROR(__xludf.DUMMYFUNCTION("""COMPUTED_VALUE"""),2727.0)</f>
        <v>2727</v>
      </c>
      <c r="B2728" s="7" t="str">
        <f>IFERROR(__xludf.DUMMYFUNCTION("""COMPUTED_VALUE"""),"9058")</f>
        <v>9058</v>
      </c>
      <c r="C2728" s="8" t="str">
        <f>IFERROR(__xludf.DUMMYFUNCTION("""COMPUTED_VALUE"""),"dikss")</f>
        <v>dikss</v>
      </c>
      <c r="D2728" s="2" t="str">
        <f>IFERROR(__xludf.DUMMYFUNCTION("""COMPUTED_VALUE"""),"5KM STUDENT M")</f>
        <v>5KM STUDENT M</v>
      </c>
      <c r="E2728" s="1">
        <f>IFERROR(__xludf.DUMMYFUNCTION("""COMPUTED_VALUE"""),2.0)</f>
        <v>2</v>
      </c>
      <c r="F2728" s="1" t="str">
        <f>IFERROR(__xludf.DUMMYFUNCTION("""COMPUTED_VALUE"""),"Male")</f>
        <v>Male</v>
      </c>
      <c r="G2728" s="4" t="b">
        <f>IFERROR(__xludf.DUMMYFUNCTION("""COMPUTED_VALUE"""),TRUE)</f>
        <v>1</v>
      </c>
      <c r="H2728" s="4" t="b">
        <f>IFERROR(__xludf.DUMMYFUNCTION("""COMPUTED_VALUE"""),TRUE)</f>
        <v>1</v>
      </c>
      <c r="I2728" s="4">
        <f>IFERROR(__xludf.DUMMYFUNCTION("""COMPUTED_VALUE"""),0.2549440625)</f>
        <v>0.2549440625</v>
      </c>
      <c r="J2728" s="4">
        <f>IFERROR(__xludf.DUMMYFUNCTION("""COMPUTED_VALUE"""),45949.272405327036)</f>
        <v>45949.27241</v>
      </c>
      <c r="K2728" s="4" t="str">
        <f>IFERROR(__xludf.DUMMYFUNCTION("""COMPUTED_VALUE"""),"")</f>
        <v/>
      </c>
      <c r="L2728" s="4">
        <f>IFERROR(__xludf.DUMMYFUNCTION("""COMPUTED_VALUE"""),45949.283782759594)</f>
        <v>45949.28378</v>
      </c>
      <c r="M2728" s="1" t="str">
        <f>IFERROR(__xludf.DUMMYFUNCTION("""COMPUTED_VALUE"""),"RFID")</f>
        <v>RFID</v>
      </c>
      <c r="N2728" s="5">
        <f>IFERROR(__xludf.DUMMYFUNCTION("""COMPUTED_VALUE"""),0.0069845046296296304)</f>
        <v>0.00698450463</v>
      </c>
      <c r="O2728" s="5" t="str">
        <f>IFERROR(__xludf.DUMMYFUNCTION("""COMPUTED_VALUE"""),"")</f>
        <v/>
      </c>
      <c r="P2728" s="5" t="str">
        <f>IFERROR(__xludf.DUMMYFUNCTION("""COMPUTED_VALUE"""),"")</f>
        <v/>
      </c>
      <c r="Q2728" s="5">
        <f>IFERROR(__xludf.DUMMYFUNCTION("""COMPUTED_VALUE"""),0.005767738425925926)</f>
        <v>0.005767738426</v>
      </c>
      <c r="R2728" s="4">
        <f>IFERROR(__xludf.DUMMYFUNCTION("""COMPUTED_VALUE"""),45949.02883869709)</f>
        <v>45949.02884</v>
      </c>
      <c r="S2728" s="1" t="b">
        <f>IFERROR(__xludf.DUMMYFUNCTION("""COMPUTED_VALUE"""),TRUE)</f>
        <v>1</v>
      </c>
      <c r="T2728" s="1" t="b">
        <f>IFERROR(__xludf.DUMMYFUNCTION("""COMPUTED_VALUE"""),FALSE)</f>
        <v>0</v>
      </c>
      <c r="U2728" s="1" t="str">
        <f>IFERROR(__xludf.DUMMYFUNCTION("""COMPUTED_VALUE"""),"VALID")</f>
        <v>VALID</v>
      </c>
      <c r="V2728" s="1">
        <f>IFERROR(__xludf.DUMMYFUNCTION("""COMPUTED_VALUE"""),42.0)</f>
        <v>42</v>
      </c>
      <c r="W2728" s="1">
        <f>IFERROR(__xludf.DUMMYFUNCTION("""COMPUTED_VALUE"""),481.0)</f>
        <v>481</v>
      </c>
      <c r="X2728" s="1">
        <f>IFERROR(__xludf.DUMMYFUNCTION("""COMPUTED_VALUE"""),417.0)</f>
        <v>417</v>
      </c>
      <c r="Y2728" s="2"/>
      <c r="Z2728" s="2"/>
    </row>
    <row r="2729">
      <c r="A2729" s="1">
        <f>IFERROR(__xludf.DUMMYFUNCTION("""COMPUTED_VALUE"""),2728.0)</f>
        <v>2728</v>
      </c>
      <c r="B2729" s="7" t="str">
        <f>IFERROR(__xludf.DUMMYFUNCTION("""COMPUTED_VALUE"""),"9059")</f>
        <v>9059</v>
      </c>
      <c r="C2729" s="8" t="str">
        <f>IFERROR(__xludf.DUMMYFUNCTION("""COMPUTED_VALUE"""),"Elfan")</f>
        <v>Elfan</v>
      </c>
      <c r="D2729" s="2" t="str">
        <f>IFERROR(__xludf.DUMMYFUNCTION("""COMPUTED_VALUE"""),"5KM STUDENT M")</f>
        <v>5KM STUDENT M</v>
      </c>
      <c r="E2729" s="1">
        <f>IFERROR(__xludf.DUMMYFUNCTION("""COMPUTED_VALUE"""),2.0)</f>
        <v>2</v>
      </c>
      <c r="F2729" s="1" t="str">
        <f>IFERROR(__xludf.DUMMYFUNCTION("""COMPUTED_VALUE"""),"Male")</f>
        <v>Male</v>
      </c>
      <c r="G2729" s="4" t="b">
        <f>IFERROR(__xludf.DUMMYFUNCTION("""COMPUTED_VALUE"""),TRUE)</f>
        <v>1</v>
      </c>
      <c r="H2729" s="4" t="b">
        <f>IFERROR(__xludf.DUMMYFUNCTION("""COMPUTED_VALUE"""),TRUE)</f>
        <v>1</v>
      </c>
      <c r="I2729" s="4">
        <f>IFERROR(__xludf.DUMMYFUNCTION("""COMPUTED_VALUE"""),0.2549440625)</f>
        <v>0.2549440625</v>
      </c>
      <c r="J2729" s="4">
        <f>IFERROR(__xludf.DUMMYFUNCTION("""COMPUTED_VALUE"""),45949.280023222986)</f>
        <v>45949.28002</v>
      </c>
      <c r="K2729" s="4" t="str">
        <f>IFERROR(__xludf.DUMMYFUNCTION("""COMPUTED_VALUE"""),"")</f>
        <v/>
      </c>
      <c r="L2729" s="4">
        <f>IFERROR(__xludf.DUMMYFUNCTION("""COMPUTED_VALUE"""),45949.299071007845)</f>
        <v>45949.29907</v>
      </c>
      <c r="M2729" s="1" t="str">
        <f>IFERROR(__xludf.DUMMYFUNCTION("""COMPUTED_VALUE"""),"RFID")</f>
        <v>RFID</v>
      </c>
      <c r="N2729" s="5">
        <f>IFERROR(__xludf.DUMMYFUNCTION("""COMPUTED_VALUE"""),0.010031662037037037)</f>
        <v>0.01003166204</v>
      </c>
      <c r="O2729" s="5" t="str">
        <f>IFERROR(__xludf.DUMMYFUNCTION("""COMPUTED_VALUE"""),"")</f>
        <v/>
      </c>
      <c r="P2729" s="5" t="str">
        <f>IFERROR(__xludf.DUMMYFUNCTION("""COMPUTED_VALUE"""),"")</f>
        <v/>
      </c>
      <c r="Q2729" s="5">
        <f>IFERROR(__xludf.DUMMYFUNCTION("""COMPUTED_VALUE"""),0.00882538888888889)</f>
        <v>0.008825388889</v>
      </c>
      <c r="R2729" s="4">
        <f>IFERROR(__xludf.DUMMYFUNCTION("""COMPUTED_VALUE"""),45949.044126945344)</f>
        <v>45949.04413</v>
      </c>
      <c r="S2729" s="1" t="b">
        <f>IFERROR(__xludf.DUMMYFUNCTION("""COMPUTED_VALUE"""),TRUE)</f>
        <v>1</v>
      </c>
      <c r="T2729" s="1" t="b">
        <f>IFERROR(__xludf.DUMMYFUNCTION("""COMPUTED_VALUE"""),FALSE)</f>
        <v>0</v>
      </c>
      <c r="U2729" s="1" t="str">
        <f>IFERROR(__xludf.DUMMYFUNCTION("""COMPUTED_VALUE"""),"VALID")</f>
        <v>VALID</v>
      </c>
      <c r="V2729" s="1">
        <f>IFERROR(__xludf.DUMMYFUNCTION("""COMPUTED_VALUE"""),68.0)</f>
        <v>68</v>
      </c>
      <c r="W2729" s="1">
        <f>IFERROR(__xludf.DUMMYFUNCTION("""COMPUTED_VALUE"""),1411.0)</f>
        <v>1411</v>
      </c>
      <c r="X2729" s="1">
        <f>IFERROR(__xludf.DUMMYFUNCTION("""COMPUTED_VALUE"""),1155.0)</f>
        <v>1155</v>
      </c>
      <c r="Y2729" s="2"/>
      <c r="Z2729" s="2"/>
    </row>
    <row r="2730">
      <c r="A2730" s="1">
        <f>IFERROR(__xludf.DUMMYFUNCTION("""COMPUTED_VALUE"""),2729.0)</f>
        <v>2729</v>
      </c>
      <c r="B2730" s="7" t="str">
        <f>IFERROR(__xludf.DUMMYFUNCTION("""COMPUTED_VALUE"""),"9060")</f>
        <v>9060</v>
      </c>
      <c r="C2730" s="8" t="str">
        <f>IFERROR(__xludf.DUMMYFUNCTION("""COMPUTED_VALUE"""),"Dimas")</f>
        <v>Dimas</v>
      </c>
      <c r="D2730" s="2" t="str">
        <f>IFERROR(__xludf.DUMMYFUNCTION("""COMPUTED_VALUE"""),"5KM STUDENT M")</f>
        <v>5KM STUDENT M</v>
      </c>
      <c r="E2730" s="1">
        <f>IFERROR(__xludf.DUMMYFUNCTION("""COMPUTED_VALUE"""),2.0)</f>
        <v>2</v>
      </c>
      <c r="F2730" s="1" t="str">
        <f>IFERROR(__xludf.DUMMYFUNCTION("""COMPUTED_VALUE"""),"Male")</f>
        <v>Male</v>
      </c>
      <c r="G2730" s="4" t="b">
        <f>IFERROR(__xludf.DUMMYFUNCTION("""COMPUTED_VALUE"""),TRUE)</f>
        <v>1</v>
      </c>
      <c r="H2730" s="4" t="b">
        <f>IFERROR(__xludf.DUMMYFUNCTION("""COMPUTED_VALUE"""),TRUE)</f>
        <v>1</v>
      </c>
      <c r="I2730" s="4">
        <f>IFERROR(__xludf.DUMMYFUNCTION("""COMPUTED_VALUE"""),0.2549440625)</f>
        <v>0.2549440625</v>
      </c>
      <c r="J2730" s="4">
        <f>IFERROR(__xludf.DUMMYFUNCTION("""COMPUTED_VALUE"""),45949.26765864387)</f>
        <v>45949.26766</v>
      </c>
      <c r="K2730" s="4" t="str">
        <f>IFERROR(__xludf.DUMMYFUNCTION("""COMPUTED_VALUE"""),"")</f>
        <v/>
      </c>
      <c r="L2730" s="4">
        <f>IFERROR(__xludf.DUMMYFUNCTION("""COMPUTED_VALUE"""),45949.275432467715)</f>
        <v>45949.27543</v>
      </c>
      <c r="M2730" s="1" t="str">
        <f>IFERROR(__xludf.DUMMYFUNCTION("""COMPUTED_VALUE"""),"RFID")</f>
        <v>RFID</v>
      </c>
      <c r="N2730" s="5">
        <f>IFERROR(__xludf.DUMMYFUNCTION("""COMPUTED_VALUE"""),0.005085833333333333)</f>
        <v>0.005085833333</v>
      </c>
      <c r="O2730" s="5" t="str">
        <f>IFERROR(__xludf.DUMMYFUNCTION("""COMPUTED_VALUE"""),"")</f>
        <v/>
      </c>
      <c r="P2730" s="5" t="str">
        <f>IFERROR(__xludf.DUMMYFUNCTION("""COMPUTED_VALUE"""),"")</f>
        <v/>
      </c>
      <c r="Q2730" s="5">
        <f>IFERROR(__xludf.DUMMYFUNCTION("""COMPUTED_VALUE"""),0.004097680555555556)</f>
        <v>0.004097680556</v>
      </c>
      <c r="R2730" s="4">
        <f>IFERROR(__xludf.DUMMYFUNCTION("""COMPUTED_VALUE"""),45949.020488405215)</f>
        <v>45949.02049</v>
      </c>
      <c r="S2730" s="1" t="b">
        <f>IFERROR(__xludf.DUMMYFUNCTION("""COMPUTED_VALUE"""),TRUE)</f>
        <v>1</v>
      </c>
      <c r="T2730" s="1" t="b">
        <f>IFERROR(__xludf.DUMMYFUNCTION("""COMPUTED_VALUE"""),FALSE)</f>
        <v>0</v>
      </c>
      <c r="U2730" s="1" t="str">
        <f>IFERROR(__xludf.DUMMYFUNCTION("""COMPUTED_VALUE"""),"VALID")</f>
        <v>VALID</v>
      </c>
      <c r="V2730" s="1">
        <f>IFERROR(__xludf.DUMMYFUNCTION("""COMPUTED_VALUE"""),19.0)</f>
        <v>19</v>
      </c>
      <c r="W2730" s="1">
        <f>IFERROR(__xludf.DUMMYFUNCTION("""COMPUTED_VALUE"""),124.0)</f>
        <v>124</v>
      </c>
      <c r="X2730" s="1">
        <f>IFERROR(__xludf.DUMMYFUNCTION("""COMPUTED_VALUE"""),113.0)</f>
        <v>113</v>
      </c>
      <c r="Y2730" s="2"/>
      <c r="Z2730" s="2"/>
    </row>
    <row r="2731">
      <c r="A2731" s="1">
        <f>IFERROR(__xludf.DUMMYFUNCTION("""COMPUTED_VALUE"""),2730.0)</f>
        <v>2730</v>
      </c>
      <c r="B2731" s="7" t="str">
        <f>IFERROR(__xludf.DUMMYFUNCTION("""COMPUTED_VALUE"""),"9062")</f>
        <v>9062</v>
      </c>
      <c r="C2731" s="8" t="str">
        <f>IFERROR(__xludf.DUMMYFUNCTION("""COMPUTED_VALUE"""),"799")</f>
        <v>799</v>
      </c>
      <c r="D2731" s="2" t="str">
        <f>IFERROR(__xludf.DUMMYFUNCTION("""COMPUTED_VALUE"""),"5KM STUDENT M")</f>
        <v>5KM STUDENT M</v>
      </c>
      <c r="E2731" s="1">
        <f>IFERROR(__xludf.DUMMYFUNCTION("""COMPUTED_VALUE"""),2.0)</f>
        <v>2</v>
      </c>
      <c r="F2731" s="1" t="str">
        <f>IFERROR(__xludf.DUMMYFUNCTION("""COMPUTED_VALUE"""),"Male")</f>
        <v>Male</v>
      </c>
      <c r="G2731" s="4" t="b">
        <f>IFERROR(__xludf.DUMMYFUNCTION("""COMPUTED_VALUE"""),TRUE)</f>
        <v>1</v>
      </c>
      <c r="H2731" s="4" t="b">
        <f>IFERROR(__xludf.DUMMYFUNCTION("""COMPUTED_VALUE"""),FALSE)</f>
        <v>0</v>
      </c>
      <c r="I2731" s="4">
        <f>IFERROR(__xludf.DUMMYFUNCTION("""COMPUTED_VALUE"""),0.2549440625)</f>
        <v>0.2549440625</v>
      </c>
      <c r="J2731" s="4">
        <f>IFERROR(__xludf.DUMMYFUNCTION("""COMPUTED_VALUE"""),45949.270078764595)</f>
        <v>45949.27008</v>
      </c>
      <c r="K2731" s="4" t="str">
        <f>IFERROR(__xludf.DUMMYFUNCTION("""COMPUTED_VALUE"""),"")</f>
        <v/>
      </c>
      <c r="L2731" s="4">
        <f>IFERROR(__xludf.DUMMYFUNCTION("""COMPUTED_VALUE"""),45949.28174114747)</f>
        <v>45949.28174</v>
      </c>
      <c r="M2731" s="1" t="str">
        <f>IFERROR(__xludf.DUMMYFUNCTION("""COMPUTED_VALUE"""),"RFID")</f>
        <v>RFID</v>
      </c>
      <c r="N2731" s="5">
        <f>IFERROR(__xludf.DUMMYFUNCTION("""COMPUTED_VALUE"""),0.0060538796296296295)</f>
        <v>0.00605387963</v>
      </c>
      <c r="O2731" s="5" t="str">
        <f>IFERROR(__xludf.DUMMYFUNCTION("""COMPUTED_VALUE"""),"")</f>
        <v/>
      </c>
      <c r="P2731" s="5" t="str">
        <f>IFERROR(__xludf.DUMMYFUNCTION("""COMPUTED_VALUE"""),"")</f>
        <v/>
      </c>
      <c r="Q2731" s="5">
        <f>IFERROR(__xludf.DUMMYFUNCTION("""COMPUTED_VALUE"""),0.005359416666666667)</f>
        <v>0.005359416667</v>
      </c>
      <c r="R2731" s="4">
        <f>IFERROR(__xludf.DUMMYFUNCTION("""COMPUTED_VALUE"""),45949.02679708497)</f>
        <v>45949.0268</v>
      </c>
      <c r="S2731" s="1" t="b">
        <f>IFERROR(__xludf.DUMMYFUNCTION("""COMPUTED_VALUE"""),TRUE)</f>
        <v>1</v>
      </c>
      <c r="T2731" s="1" t="b">
        <f>IFERROR(__xludf.DUMMYFUNCTION("""COMPUTED_VALUE"""),FALSE)</f>
        <v>0</v>
      </c>
      <c r="U2731" s="1" t="str">
        <f>IFERROR(__xludf.DUMMYFUNCTION("""COMPUTED_VALUE"""),"VALID")</f>
        <v>VALID</v>
      </c>
      <c r="V2731" s="1">
        <f>IFERROR(__xludf.DUMMYFUNCTION("""COMPUTED_VALUE"""),40.0)</f>
        <v>40</v>
      </c>
      <c r="W2731" s="1">
        <f>IFERROR(__xludf.DUMMYFUNCTION("""COMPUTED_VALUE"""),377.0)</f>
        <v>377</v>
      </c>
      <c r="X2731" s="1">
        <f>IFERROR(__xludf.DUMMYFUNCTION("""COMPUTED_VALUE"""),325.0)</f>
        <v>325</v>
      </c>
      <c r="Y2731" s="2"/>
      <c r="Z2731" s="2"/>
    </row>
    <row r="2732">
      <c r="A2732" s="1">
        <f>IFERROR(__xludf.DUMMYFUNCTION("""COMPUTED_VALUE"""),2731.0)</f>
        <v>2731</v>
      </c>
      <c r="B2732" s="7" t="str">
        <f>IFERROR(__xludf.DUMMYFUNCTION("""COMPUTED_VALUE"""),"9063")</f>
        <v>9063</v>
      </c>
      <c r="C2732" s="8" t="str">
        <f>IFERROR(__xludf.DUMMYFUNCTION("""COMPUTED_VALUE"""),"Rul")</f>
        <v>Rul</v>
      </c>
      <c r="D2732" s="2" t="str">
        <f>IFERROR(__xludf.DUMMYFUNCTION("""COMPUTED_VALUE"""),"5KM STUDENT M")</f>
        <v>5KM STUDENT M</v>
      </c>
      <c r="E2732" s="1">
        <f>IFERROR(__xludf.DUMMYFUNCTION("""COMPUTED_VALUE"""),2.0)</f>
        <v>2</v>
      </c>
      <c r="F2732" s="1" t="str">
        <f>IFERROR(__xludf.DUMMYFUNCTION("""COMPUTED_VALUE"""),"Male")</f>
        <v>Male</v>
      </c>
      <c r="G2732" s="4" t="str">
        <f>IFERROR(__xludf.DUMMYFUNCTION("""COMPUTED_VALUE"""),"")</f>
        <v/>
      </c>
      <c r="H2732" s="4" t="b">
        <f>IFERROR(__xludf.DUMMYFUNCTION("""COMPUTED_VALUE"""),FALSE)</f>
        <v>0</v>
      </c>
      <c r="I2732" s="4">
        <f>IFERROR(__xludf.DUMMYFUNCTION("""COMPUTED_VALUE"""),0.2549440625)</f>
        <v>0.2549440625</v>
      </c>
      <c r="J2732" s="4">
        <f>IFERROR(__xludf.DUMMYFUNCTION("""COMPUTED_VALUE"""),45949.28546076633)</f>
        <v>45949.28546</v>
      </c>
      <c r="K2732" s="4" t="str">
        <f>IFERROR(__xludf.DUMMYFUNCTION("""COMPUTED_VALUE"""),"")</f>
        <v/>
      </c>
      <c r="L2732" s="4">
        <f>IFERROR(__xludf.DUMMYFUNCTION("""COMPUTED_VALUE"""),45949.29991475702)</f>
        <v>45949.29991</v>
      </c>
      <c r="M2732" s="1" t="str">
        <f>IFERROR(__xludf.DUMMYFUNCTION("""COMPUTED_VALUE"""),"RFID")</f>
        <v>RFID</v>
      </c>
      <c r="N2732" s="5">
        <f>IFERROR(__xludf.DUMMYFUNCTION("""COMPUTED_VALUE"""),0.012206680555555556)</f>
        <v>0.01220668056</v>
      </c>
      <c r="O2732" s="5" t="str">
        <f>IFERROR(__xludf.DUMMYFUNCTION("""COMPUTED_VALUE"""),"")</f>
        <v/>
      </c>
      <c r="P2732" s="5" t="str">
        <f>IFERROR(__xludf.DUMMYFUNCTION("""COMPUTED_VALUE"""),"")</f>
        <v/>
      </c>
      <c r="Q2732" s="5">
        <f>IFERROR(__xludf.DUMMYFUNCTION("""COMPUTED_VALUE"""),0.008994138888888888)</f>
        <v>0.008994138889</v>
      </c>
      <c r="R2732" s="4">
        <f>IFERROR(__xludf.DUMMYFUNCTION("""COMPUTED_VALUE"""),45949.04497069452)</f>
        <v>45949.04497</v>
      </c>
      <c r="S2732" s="1" t="b">
        <f>IFERROR(__xludf.DUMMYFUNCTION("""COMPUTED_VALUE"""),FALSE)</f>
        <v>0</v>
      </c>
      <c r="T2732" s="1" t="b">
        <f>IFERROR(__xludf.DUMMYFUNCTION("""COMPUTED_VALUE"""),FALSE)</f>
        <v>0</v>
      </c>
      <c r="U2732" s="1" t="str">
        <f>IFERROR(__xludf.DUMMYFUNCTION("""COMPUTED_VALUE"""),"DSQ")</f>
        <v>DSQ</v>
      </c>
      <c r="V2732" s="1" t="str">
        <f>IFERROR(__xludf.DUMMYFUNCTION("""COMPUTED_VALUE"""),"DSQ")</f>
        <v>DSQ</v>
      </c>
      <c r="W2732" s="1" t="str">
        <f>IFERROR(__xludf.DUMMYFUNCTION("""COMPUTED_VALUE"""),"DSQ")</f>
        <v>DSQ</v>
      </c>
      <c r="X2732" s="1" t="str">
        <f>IFERROR(__xludf.DUMMYFUNCTION("""COMPUTED_VALUE"""),"DSQ")</f>
        <v>DSQ</v>
      </c>
      <c r="Y2732" s="2"/>
      <c r="Z2732" s="2"/>
    </row>
    <row r="2733">
      <c r="A2733" s="1">
        <f>IFERROR(__xludf.DUMMYFUNCTION("""COMPUTED_VALUE"""),2732.0)</f>
        <v>2732</v>
      </c>
      <c r="B2733" s="7" t="str">
        <f>IFERROR(__xludf.DUMMYFUNCTION("""COMPUTED_VALUE"""),"9064")</f>
        <v>9064</v>
      </c>
      <c r="C2733" s="8" t="str">
        <f>IFERROR(__xludf.DUMMYFUNCTION("""COMPUTED_VALUE"""),"Adib Thalib")</f>
        <v>Adib Thalib</v>
      </c>
      <c r="D2733" s="2" t="str">
        <f>IFERROR(__xludf.DUMMYFUNCTION("""COMPUTED_VALUE"""),"5KM STUDENT M")</f>
        <v>5KM STUDENT M</v>
      </c>
      <c r="E2733" s="1">
        <f>IFERROR(__xludf.DUMMYFUNCTION("""COMPUTED_VALUE"""),2.0)</f>
        <v>2</v>
      </c>
      <c r="F2733" s="1" t="str">
        <f>IFERROR(__xludf.DUMMYFUNCTION("""COMPUTED_VALUE"""),"Male")</f>
        <v>Male</v>
      </c>
      <c r="G2733" s="4" t="str">
        <f>IFERROR(__xludf.DUMMYFUNCTION("""COMPUTED_VALUE"""),"")</f>
        <v/>
      </c>
      <c r="H2733" s="4" t="b">
        <f>IFERROR(__xludf.DUMMYFUNCTION("""COMPUTED_VALUE"""),FALSE)</f>
        <v>0</v>
      </c>
      <c r="I2733" s="4">
        <f>IFERROR(__xludf.DUMMYFUNCTION("""COMPUTED_VALUE"""),0.2549440625)</f>
        <v>0.2549440625</v>
      </c>
      <c r="J2733" s="4" t="str">
        <f>IFERROR(__xludf.DUMMYFUNCTION("""COMPUTED_VALUE"""),"")</f>
        <v/>
      </c>
      <c r="K2733" s="4" t="str">
        <f>IFERROR(__xludf.DUMMYFUNCTION("""COMPUTED_VALUE"""),"")</f>
        <v/>
      </c>
      <c r="L2733" s="4" t="str">
        <f>IFERROR(__xludf.DUMMYFUNCTION("""COMPUTED_VALUE"""),"")</f>
        <v/>
      </c>
      <c r="M2733" s="1" t="str">
        <f>IFERROR(__xludf.DUMMYFUNCTION("""COMPUTED_VALUE"""),"RFID")</f>
        <v>RFID</v>
      </c>
      <c r="N2733" s="5" t="str">
        <f>IFERROR(__xludf.DUMMYFUNCTION("""COMPUTED_VALUE"""),"")</f>
        <v/>
      </c>
      <c r="O2733" s="5" t="str">
        <f>IFERROR(__xludf.DUMMYFUNCTION("""COMPUTED_VALUE"""),"")</f>
        <v/>
      </c>
      <c r="P2733" s="5" t="str">
        <f>IFERROR(__xludf.DUMMYFUNCTION("""COMPUTED_VALUE"""),"")</f>
        <v/>
      </c>
      <c r="Q2733" s="5" t="str">
        <f>IFERROR(__xludf.DUMMYFUNCTION("""COMPUTED_VALUE"""),"")</f>
        <v/>
      </c>
      <c r="R2733" s="4" t="str">
        <f>IFERROR(__xludf.DUMMYFUNCTION("""COMPUTED_VALUE"""),"")</f>
        <v/>
      </c>
      <c r="S2733" s="1" t="b">
        <f>IFERROR(__xludf.DUMMYFUNCTION("""COMPUTED_VALUE"""),FALSE)</f>
        <v>0</v>
      </c>
      <c r="T2733" s="1" t="b">
        <f>IFERROR(__xludf.DUMMYFUNCTION("""COMPUTED_VALUE"""),FALSE)</f>
        <v>0</v>
      </c>
      <c r="U2733" s="1" t="str">
        <f>IFERROR(__xludf.DUMMYFUNCTION("""COMPUTED_VALUE"""),"DSQ")</f>
        <v>DSQ</v>
      </c>
      <c r="V2733" s="1" t="str">
        <f>IFERROR(__xludf.DUMMYFUNCTION("""COMPUTED_VALUE"""),"DSQ")</f>
        <v>DSQ</v>
      </c>
      <c r="W2733" s="1" t="str">
        <f>IFERROR(__xludf.DUMMYFUNCTION("""COMPUTED_VALUE"""),"DSQ")</f>
        <v>DSQ</v>
      </c>
      <c r="X2733" s="1" t="str">
        <f>IFERROR(__xludf.DUMMYFUNCTION("""COMPUTED_VALUE"""),"DSQ")</f>
        <v>DSQ</v>
      </c>
      <c r="Y2733" s="2"/>
      <c r="Z2733" s="2" t="str">
        <f>IFERROR(__xludf.DUMMYFUNCTION("""COMPUTED_VALUE"""),"")</f>
        <v/>
      </c>
    </row>
    <row r="2734">
      <c r="A2734" s="1">
        <f>IFERROR(__xludf.DUMMYFUNCTION("""COMPUTED_VALUE"""),2733.0)</f>
        <v>2733</v>
      </c>
      <c r="B2734" s="7" t="str">
        <f>IFERROR(__xludf.DUMMYFUNCTION("""COMPUTED_VALUE"""),"9065")</f>
        <v>9065</v>
      </c>
      <c r="C2734" s="8" t="str">
        <f>IFERROR(__xludf.DUMMYFUNCTION("""COMPUTED_VALUE"""),"Bunayya")</f>
        <v>Bunayya</v>
      </c>
      <c r="D2734" s="2" t="str">
        <f>IFERROR(__xludf.DUMMYFUNCTION("""COMPUTED_VALUE"""),"5KM STUDENT M")</f>
        <v>5KM STUDENT M</v>
      </c>
      <c r="E2734" s="1">
        <f>IFERROR(__xludf.DUMMYFUNCTION("""COMPUTED_VALUE"""),2.0)</f>
        <v>2</v>
      </c>
      <c r="F2734" s="1" t="str">
        <f>IFERROR(__xludf.DUMMYFUNCTION("""COMPUTED_VALUE"""),"Male")</f>
        <v>Male</v>
      </c>
      <c r="G2734" s="4" t="b">
        <f>IFERROR(__xludf.DUMMYFUNCTION("""COMPUTED_VALUE"""),TRUE)</f>
        <v>1</v>
      </c>
      <c r="H2734" s="4" t="b">
        <f>IFERROR(__xludf.DUMMYFUNCTION("""COMPUTED_VALUE"""),TRUE)</f>
        <v>1</v>
      </c>
      <c r="I2734" s="4">
        <f>IFERROR(__xludf.DUMMYFUNCTION("""COMPUTED_VALUE"""),0.2549440625)</f>
        <v>0.2549440625</v>
      </c>
      <c r="J2734" s="4">
        <f>IFERROR(__xludf.DUMMYFUNCTION("""COMPUTED_VALUE"""),45949.26462396164)</f>
        <v>45949.26462</v>
      </c>
      <c r="K2734" s="4" t="str">
        <f>IFERROR(__xludf.DUMMYFUNCTION("""COMPUTED_VALUE"""),"")</f>
        <v/>
      </c>
      <c r="L2734" s="4">
        <f>IFERROR(__xludf.DUMMYFUNCTION("""COMPUTED_VALUE"""),45949.2725744741)</f>
        <v>45949.27257</v>
      </c>
      <c r="M2734" s="1" t="str">
        <f>IFERROR(__xludf.DUMMYFUNCTION("""COMPUTED_VALUE"""),"RFID")</f>
        <v>RFID</v>
      </c>
      <c r="N2734" s="5">
        <f>IFERROR(__xludf.DUMMYFUNCTION("""COMPUTED_VALUE"""),0.0038719583333333327)</f>
        <v>0.003871958333</v>
      </c>
      <c r="O2734" s="5" t="str">
        <f>IFERROR(__xludf.DUMMYFUNCTION("""COMPUTED_VALUE"""),"")</f>
        <v/>
      </c>
      <c r="P2734" s="5" t="str">
        <f>IFERROR(__xludf.DUMMYFUNCTION("""COMPUTED_VALUE"""),"")</f>
        <v/>
      </c>
      <c r="Q2734" s="5">
        <f>IFERROR(__xludf.DUMMYFUNCTION("""COMPUTED_VALUE"""),0.0035260833333333333)</f>
        <v>0.003526083333</v>
      </c>
      <c r="R2734" s="4">
        <f>IFERROR(__xludf.DUMMYFUNCTION("""COMPUTED_VALUE"""),45949.017630411596)</f>
        <v>45949.01763</v>
      </c>
      <c r="S2734" s="1" t="b">
        <f>IFERROR(__xludf.DUMMYFUNCTION("""COMPUTED_VALUE"""),TRUE)</f>
        <v>1</v>
      </c>
      <c r="T2734" s="1" t="b">
        <f>IFERROR(__xludf.DUMMYFUNCTION("""COMPUTED_VALUE"""),FALSE)</f>
        <v>0</v>
      </c>
      <c r="U2734" s="1" t="str">
        <f>IFERROR(__xludf.DUMMYFUNCTION("""COMPUTED_VALUE"""),"VALID")</f>
        <v>VALID</v>
      </c>
      <c r="V2734" s="1">
        <f>IFERROR(__xludf.DUMMYFUNCTION("""COMPUTED_VALUE"""),11.0)</f>
        <v>11</v>
      </c>
      <c r="W2734" s="1">
        <f>IFERROR(__xludf.DUMMYFUNCTION("""COMPUTED_VALUE"""),48.0)</f>
        <v>48</v>
      </c>
      <c r="X2734" s="1">
        <f>IFERROR(__xludf.DUMMYFUNCTION("""COMPUTED_VALUE"""),46.0)</f>
        <v>46</v>
      </c>
      <c r="Y2734" s="2"/>
      <c r="Z2734" s="2"/>
    </row>
    <row r="2735">
      <c r="A2735" s="1">
        <f>IFERROR(__xludf.DUMMYFUNCTION("""COMPUTED_VALUE"""),2734.0)</f>
        <v>2734</v>
      </c>
      <c r="B2735" s="7" t="str">
        <f>IFERROR(__xludf.DUMMYFUNCTION("""COMPUTED_VALUE"""),"9066")</f>
        <v>9066</v>
      </c>
      <c r="C2735" s="8" t="str">
        <f>IFERROR(__xludf.DUMMYFUNCTION("""COMPUTED_VALUE"""),"Djaki")</f>
        <v>Djaki</v>
      </c>
      <c r="D2735" s="2" t="str">
        <f>IFERROR(__xludf.DUMMYFUNCTION("""COMPUTED_VALUE"""),"5KM STUDENT M")</f>
        <v>5KM STUDENT M</v>
      </c>
      <c r="E2735" s="1">
        <f>IFERROR(__xludf.DUMMYFUNCTION("""COMPUTED_VALUE"""),2.0)</f>
        <v>2</v>
      </c>
      <c r="F2735" s="1" t="str">
        <f>IFERROR(__xludf.DUMMYFUNCTION("""COMPUTED_VALUE"""),"Male")</f>
        <v>Male</v>
      </c>
      <c r="G2735" s="4" t="b">
        <f>IFERROR(__xludf.DUMMYFUNCTION("""COMPUTED_VALUE"""),TRUE)</f>
        <v>1</v>
      </c>
      <c r="H2735" s="4" t="b">
        <f>IFERROR(__xludf.DUMMYFUNCTION("""COMPUTED_VALUE"""),TRUE)</f>
        <v>1</v>
      </c>
      <c r="I2735" s="4">
        <f>IFERROR(__xludf.DUMMYFUNCTION("""COMPUTED_VALUE"""),0.2549440625)</f>
        <v>0.2549440625</v>
      </c>
      <c r="J2735" s="4">
        <f>IFERROR(__xludf.DUMMYFUNCTION("""COMPUTED_VALUE"""),45949.2697072454)</f>
        <v>45949.26971</v>
      </c>
      <c r="K2735" s="4" t="str">
        <f>IFERROR(__xludf.DUMMYFUNCTION("""COMPUTED_VALUE"""),"")</f>
        <v/>
      </c>
      <c r="L2735" s="4">
        <f>IFERROR(__xludf.DUMMYFUNCTION("""COMPUTED_VALUE"""),45949.27974114426)</f>
        <v>45949.27974</v>
      </c>
      <c r="M2735" s="1" t="str">
        <f>IFERROR(__xludf.DUMMYFUNCTION("""COMPUTED_VALUE"""),"RFID")</f>
        <v>RFID</v>
      </c>
      <c r="N2735" s="5">
        <f>IFERROR(__xludf.DUMMYFUNCTION("""COMPUTED_VALUE"""),0.005905273148148148)</f>
        <v>0.005905273148</v>
      </c>
      <c r="O2735" s="5" t="str">
        <f>IFERROR(__xludf.DUMMYFUNCTION("""COMPUTED_VALUE"""),"")</f>
        <v/>
      </c>
      <c r="P2735" s="5" t="str">
        <f>IFERROR(__xludf.DUMMYFUNCTION("""COMPUTED_VALUE"""),"")</f>
        <v/>
      </c>
      <c r="Q2735" s="5">
        <f>IFERROR(__xludf.DUMMYFUNCTION("""COMPUTED_VALUE"""),0.004959416666666666)</f>
        <v>0.004959416667</v>
      </c>
      <c r="R2735" s="4">
        <f>IFERROR(__xludf.DUMMYFUNCTION("""COMPUTED_VALUE"""),45949.02479708176)</f>
        <v>45949.0248</v>
      </c>
      <c r="S2735" s="1" t="b">
        <f>IFERROR(__xludf.DUMMYFUNCTION("""COMPUTED_VALUE"""),TRUE)</f>
        <v>1</v>
      </c>
      <c r="T2735" s="1" t="b">
        <f>IFERROR(__xludf.DUMMYFUNCTION("""COMPUTED_VALUE"""),FALSE)</f>
        <v>0</v>
      </c>
      <c r="U2735" s="1" t="str">
        <f>IFERROR(__xludf.DUMMYFUNCTION("""COMPUTED_VALUE"""),"VALID")</f>
        <v>VALID</v>
      </c>
      <c r="V2735" s="1">
        <f>IFERROR(__xludf.DUMMYFUNCTION("""COMPUTED_VALUE"""),34.0)</f>
        <v>34</v>
      </c>
      <c r="W2735" s="1">
        <f>IFERROR(__xludf.DUMMYFUNCTION("""COMPUTED_VALUE"""),277.0)</f>
        <v>277</v>
      </c>
      <c r="X2735" s="1">
        <f>IFERROR(__xludf.DUMMYFUNCTION("""COMPUTED_VALUE"""),243.0)</f>
        <v>243</v>
      </c>
      <c r="Y2735" s="2"/>
      <c r="Z2735" s="2"/>
    </row>
    <row r="2736">
      <c r="A2736" s="1">
        <f>IFERROR(__xludf.DUMMYFUNCTION("""COMPUTED_VALUE"""),2735.0)</f>
        <v>2735</v>
      </c>
      <c r="B2736" s="7" t="str">
        <f>IFERROR(__xludf.DUMMYFUNCTION("""COMPUTED_VALUE"""),"9067")</f>
        <v>9067</v>
      </c>
      <c r="C2736" s="8" t="str">
        <f>IFERROR(__xludf.DUMMYFUNCTION("""COMPUTED_VALUE"""),"RAFFI")</f>
        <v>RAFFI</v>
      </c>
      <c r="D2736" s="2" t="str">
        <f>IFERROR(__xludf.DUMMYFUNCTION("""COMPUTED_VALUE"""),"5KM STUDENT M")</f>
        <v>5KM STUDENT M</v>
      </c>
      <c r="E2736" s="1">
        <f>IFERROR(__xludf.DUMMYFUNCTION("""COMPUTED_VALUE"""),2.0)</f>
        <v>2</v>
      </c>
      <c r="F2736" s="1" t="str">
        <f>IFERROR(__xludf.DUMMYFUNCTION("""COMPUTED_VALUE"""),"Male")</f>
        <v>Male</v>
      </c>
      <c r="G2736" s="4" t="b">
        <f>IFERROR(__xludf.DUMMYFUNCTION("""COMPUTED_VALUE"""),TRUE)</f>
        <v>1</v>
      </c>
      <c r="H2736" s="4" t="b">
        <f>IFERROR(__xludf.DUMMYFUNCTION("""COMPUTED_VALUE"""),FALSE)</f>
        <v>0</v>
      </c>
      <c r="I2736" s="4">
        <f>IFERROR(__xludf.DUMMYFUNCTION("""COMPUTED_VALUE"""),0.2549440625)</f>
        <v>0.2549440625</v>
      </c>
      <c r="J2736" s="4">
        <f>IFERROR(__xludf.DUMMYFUNCTION("""COMPUTED_VALUE"""),45949.26859265607)</f>
        <v>45949.26859</v>
      </c>
      <c r="K2736" s="4" t="str">
        <f>IFERROR(__xludf.DUMMYFUNCTION("""COMPUTED_VALUE"""),"")</f>
        <v/>
      </c>
      <c r="L2736" s="4">
        <f>IFERROR(__xludf.DUMMYFUNCTION("""COMPUTED_VALUE"""),45949.280307123445)</f>
        <v>45949.28031</v>
      </c>
      <c r="M2736" s="1" t="str">
        <f>IFERROR(__xludf.DUMMYFUNCTION("""COMPUTED_VALUE"""),"RFID")</f>
        <v>RFID</v>
      </c>
      <c r="N2736" s="5">
        <f>IFERROR(__xludf.DUMMYFUNCTION("""COMPUTED_VALUE"""),0.005459435185185185)</f>
        <v>0.005459435185</v>
      </c>
      <c r="O2736" s="5" t="str">
        <f>IFERROR(__xludf.DUMMYFUNCTION("""COMPUTED_VALUE"""),"")</f>
        <v/>
      </c>
      <c r="P2736" s="5" t="str">
        <f>IFERROR(__xludf.DUMMYFUNCTION("""COMPUTED_VALUE"""),"")</f>
        <v/>
      </c>
      <c r="Q2736" s="5">
        <f>IFERROR(__xludf.DUMMYFUNCTION("""COMPUTED_VALUE"""),0.005072611111111111)</f>
        <v>0.005072611111</v>
      </c>
      <c r="R2736" s="4">
        <f>IFERROR(__xludf.DUMMYFUNCTION("""COMPUTED_VALUE"""),45949.025363060944)</f>
        <v>45949.02536</v>
      </c>
      <c r="S2736" s="1" t="b">
        <f>IFERROR(__xludf.DUMMYFUNCTION("""COMPUTED_VALUE"""),TRUE)</f>
        <v>1</v>
      </c>
      <c r="T2736" s="1" t="b">
        <f>IFERROR(__xludf.DUMMYFUNCTION("""COMPUTED_VALUE"""),FALSE)</f>
        <v>0</v>
      </c>
      <c r="U2736" s="1" t="str">
        <f>IFERROR(__xludf.DUMMYFUNCTION("""COMPUTED_VALUE"""),"VALID")</f>
        <v>VALID</v>
      </c>
      <c r="V2736" s="1">
        <f>IFERROR(__xludf.DUMMYFUNCTION("""COMPUTED_VALUE"""),38.0)</f>
        <v>38</v>
      </c>
      <c r="W2736" s="1">
        <f>IFERROR(__xludf.DUMMYFUNCTION("""COMPUTED_VALUE"""),305.0)</f>
        <v>305</v>
      </c>
      <c r="X2736" s="1">
        <f>IFERROR(__xludf.DUMMYFUNCTION("""COMPUTED_VALUE"""),268.0)</f>
        <v>268</v>
      </c>
      <c r="Y2736" s="2"/>
      <c r="Z2736" s="2"/>
    </row>
    <row r="2737">
      <c r="A2737" s="1">
        <f>IFERROR(__xludf.DUMMYFUNCTION("""COMPUTED_VALUE"""),2736.0)</f>
        <v>2736</v>
      </c>
      <c r="B2737" s="7" t="str">
        <f>IFERROR(__xludf.DUMMYFUNCTION("""COMPUTED_VALUE"""),"9069")</f>
        <v>9069</v>
      </c>
      <c r="C2737" s="8" t="str">
        <f>IFERROR(__xludf.DUMMYFUNCTION("""COMPUTED_VALUE"""),"Faris")</f>
        <v>Faris</v>
      </c>
      <c r="D2737" s="2" t="str">
        <f>IFERROR(__xludf.DUMMYFUNCTION("""COMPUTED_VALUE"""),"5KM STUDENT M")</f>
        <v>5KM STUDENT M</v>
      </c>
      <c r="E2737" s="1">
        <f>IFERROR(__xludf.DUMMYFUNCTION("""COMPUTED_VALUE"""),2.0)</f>
        <v>2</v>
      </c>
      <c r="F2737" s="1" t="str">
        <f>IFERROR(__xludf.DUMMYFUNCTION("""COMPUTED_VALUE"""),"Male")</f>
        <v>Male</v>
      </c>
      <c r="G2737" s="4" t="b">
        <f>IFERROR(__xludf.DUMMYFUNCTION("""COMPUTED_VALUE"""),TRUE)</f>
        <v>1</v>
      </c>
      <c r="H2737" s="4" t="b">
        <f>IFERROR(__xludf.DUMMYFUNCTION("""COMPUTED_VALUE"""),TRUE)</f>
        <v>1</v>
      </c>
      <c r="I2737" s="4">
        <f>IFERROR(__xludf.DUMMYFUNCTION("""COMPUTED_VALUE"""),0.2549440625)</f>
        <v>0.2549440625</v>
      </c>
      <c r="J2737" s="4">
        <f>IFERROR(__xludf.DUMMYFUNCTION("""COMPUTED_VALUE"""),45949.2704373325)</f>
        <v>45949.27044</v>
      </c>
      <c r="K2737" s="4" t="str">
        <f>IFERROR(__xludf.DUMMYFUNCTION("""COMPUTED_VALUE"""),"")</f>
        <v/>
      </c>
      <c r="L2737" s="4">
        <f>IFERROR(__xludf.DUMMYFUNCTION("""COMPUTED_VALUE"""),45949.283744631386)</f>
        <v>45949.28374</v>
      </c>
      <c r="M2737" s="1" t="str">
        <f>IFERROR(__xludf.DUMMYFUNCTION("""COMPUTED_VALUE"""),"RFID")</f>
        <v>RFID</v>
      </c>
      <c r="N2737" s="5">
        <f>IFERROR(__xludf.DUMMYFUNCTION("""COMPUTED_VALUE"""),0.006197310185185185)</f>
        <v>0.006197310185</v>
      </c>
      <c r="O2737" s="5" t="str">
        <f>IFERROR(__xludf.DUMMYFUNCTION("""COMPUTED_VALUE"""),"")</f>
        <v/>
      </c>
      <c r="P2737" s="5" t="str">
        <f>IFERROR(__xludf.DUMMYFUNCTION("""COMPUTED_VALUE"""),"")</f>
        <v/>
      </c>
      <c r="Q2737" s="5">
        <f>IFERROR(__xludf.DUMMYFUNCTION("""COMPUTED_VALUE"""),0.005760113425925926)</f>
        <v>0.005760113426</v>
      </c>
      <c r="R2737" s="4">
        <f>IFERROR(__xludf.DUMMYFUNCTION("""COMPUTED_VALUE"""),45949.028800568885)</f>
        <v>45949.0288</v>
      </c>
      <c r="S2737" s="1" t="b">
        <f>IFERROR(__xludf.DUMMYFUNCTION("""COMPUTED_VALUE"""),TRUE)</f>
        <v>1</v>
      </c>
      <c r="T2737" s="1" t="b">
        <f>IFERROR(__xludf.DUMMYFUNCTION("""COMPUTED_VALUE"""),FALSE)</f>
        <v>0</v>
      </c>
      <c r="U2737" s="1" t="str">
        <f>IFERROR(__xludf.DUMMYFUNCTION("""COMPUTED_VALUE"""),"VALID")</f>
        <v>VALID</v>
      </c>
      <c r="V2737" s="1">
        <f>IFERROR(__xludf.DUMMYFUNCTION("""COMPUTED_VALUE"""),41.0)</f>
        <v>41</v>
      </c>
      <c r="W2737" s="1">
        <f>IFERROR(__xludf.DUMMYFUNCTION("""COMPUTED_VALUE"""),476.0)</f>
        <v>476</v>
      </c>
      <c r="X2737" s="1">
        <f>IFERROR(__xludf.DUMMYFUNCTION("""COMPUTED_VALUE"""),412.0)</f>
        <v>412</v>
      </c>
      <c r="Y2737" s="2"/>
      <c r="Z2737" s="2"/>
    </row>
    <row r="2738">
      <c r="A2738" s="1">
        <f>IFERROR(__xludf.DUMMYFUNCTION("""COMPUTED_VALUE"""),2737.0)</f>
        <v>2737</v>
      </c>
      <c r="B2738" s="7" t="str">
        <f>IFERROR(__xludf.DUMMYFUNCTION("""COMPUTED_VALUE"""),"9070")</f>
        <v>9070</v>
      </c>
      <c r="C2738" s="8" t="str">
        <f>IFERROR(__xludf.DUMMYFUNCTION("""COMPUTED_VALUE"""),"M.HAFIIDZ APRILIANTO")</f>
        <v>M.HAFIIDZ APRILIANTO</v>
      </c>
      <c r="D2738" s="2" t="str">
        <f>IFERROR(__xludf.DUMMYFUNCTION("""COMPUTED_VALUE"""),"5KM STUDENT M")</f>
        <v>5KM STUDENT M</v>
      </c>
      <c r="E2738" s="1">
        <f>IFERROR(__xludf.DUMMYFUNCTION("""COMPUTED_VALUE"""),2.0)</f>
        <v>2</v>
      </c>
      <c r="F2738" s="1" t="str">
        <f>IFERROR(__xludf.DUMMYFUNCTION("""COMPUTED_VALUE"""),"Male")</f>
        <v>Male</v>
      </c>
      <c r="G2738" s="4" t="b">
        <f>IFERROR(__xludf.DUMMYFUNCTION("""COMPUTED_VALUE"""),TRUE)</f>
        <v>1</v>
      </c>
      <c r="H2738" s="4" t="b">
        <f>IFERROR(__xludf.DUMMYFUNCTION("""COMPUTED_VALUE"""),TRUE)</f>
        <v>1</v>
      </c>
      <c r="I2738" s="4">
        <f>IFERROR(__xludf.DUMMYFUNCTION("""COMPUTED_VALUE"""),0.2549440625)</f>
        <v>0.2549440625</v>
      </c>
      <c r="J2738" s="4">
        <f>IFERROR(__xludf.DUMMYFUNCTION("""COMPUTED_VALUE"""),45949.27264824583)</f>
        <v>45949.27265</v>
      </c>
      <c r="K2738" s="4" t="str">
        <f>IFERROR(__xludf.DUMMYFUNCTION("""COMPUTED_VALUE"""),"")</f>
        <v/>
      </c>
      <c r="L2738" s="4">
        <f>IFERROR(__xludf.DUMMYFUNCTION("""COMPUTED_VALUE"""),45949.28497032246)</f>
        <v>45949.28497</v>
      </c>
      <c r="M2738" s="1" t="str">
        <f>IFERROR(__xludf.DUMMYFUNCTION("""COMPUTED_VALUE"""),"RFID")</f>
        <v>RFID</v>
      </c>
      <c r="N2738" s="5">
        <f>IFERROR(__xludf.DUMMYFUNCTION("""COMPUTED_VALUE"""),0.007081671296296296)</f>
        <v>0.007081671296</v>
      </c>
      <c r="O2738" s="5" t="str">
        <f>IFERROR(__xludf.DUMMYFUNCTION("""COMPUTED_VALUE"""),"")</f>
        <v/>
      </c>
      <c r="P2738" s="5" t="str">
        <f>IFERROR(__xludf.DUMMYFUNCTION("""COMPUTED_VALUE"""),"")</f>
        <v/>
      </c>
      <c r="Q2738" s="5">
        <f>IFERROR(__xludf.DUMMYFUNCTION("""COMPUTED_VALUE"""),0.006005252314814814)</f>
        <v>0.006005252315</v>
      </c>
      <c r="R2738" s="4">
        <f>IFERROR(__xludf.DUMMYFUNCTION("""COMPUTED_VALUE"""),45949.030026259956)</f>
        <v>45949.03003</v>
      </c>
      <c r="S2738" s="1" t="b">
        <f>IFERROR(__xludf.DUMMYFUNCTION("""COMPUTED_VALUE"""),TRUE)</f>
        <v>1</v>
      </c>
      <c r="T2738" s="1" t="b">
        <f>IFERROR(__xludf.DUMMYFUNCTION("""COMPUTED_VALUE"""),FALSE)</f>
        <v>0</v>
      </c>
      <c r="U2738" s="1" t="str">
        <f>IFERROR(__xludf.DUMMYFUNCTION("""COMPUTED_VALUE"""),"VALID")</f>
        <v>VALID</v>
      </c>
      <c r="V2738" s="1">
        <f>IFERROR(__xludf.DUMMYFUNCTION("""COMPUTED_VALUE"""),44.0)</f>
        <v>44</v>
      </c>
      <c r="W2738" s="1">
        <f>IFERROR(__xludf.DUMMYFUNCTION("""COMPUTED_VALUE"""),572.0)</f>
        <v>572</v>
      </c>
      <c r="X2738" s="1">
        <f>IFERROR(__xludf.DUMMYFUNCTION("""COMPUTED_VALUE"""),487.0)</f>
        <v>487</v>
      </c>
      <c r="Y2738" s="2"/>
      <c r="Z2738" s="2"/>
    </row>
    <row r="2739">
      <c r="A2739" s="1">
        <f>IFERROR(__xludf.DUMMYFUNCTION("""COMPUTED_VALUE"""),2738.0)</f>
        <v>2738</v>
      </c>
      <c r="B2739" s="7" t="str">
        <f>IFERROR(__xludf.DUMMYFUNCTION("""COMPUTED_VALUE"""),"9071")</f>
        <v>9071</v>
      </c>
      <c r="C2739" s="8" t="str">
        <f>IFERROR(__xludf.DUMMYFUNCTION("""COMPUTED_VALUE"""),"RAFFAN")</f>
        <v>RAFFAN</v>
      </c>
      <c r="D2739" s="2" t="str">
        <f>IFERROR(__xludf.DUMMYFUNCTION("""COMPUTED_VALUE"""),"5KM STUDENT M")</f>
        <v>5KM STUDENT M</v>
      </c>
      <c r="E2739" s="1">
        <f>IFERROR(__xludf.DUMMYFUNCTION("""COMPUTED_VALUE"""),2.0)</f>
        <v>2</v>
      </c>
      <c r="F2739" s="1" t="str">
        <f>IFERROR(__xludf.DUMMYFUNCTION("""COMPUTED_VALUE"""),"Male")</f>
        <v>Male</v>
      </c>
      <c r="G2739" s="4" t="b">
        <f>IFERROR(__xludf.DUMMYFUNCTION("""COMPUTED_VALUE"""),TRUE)</f>
        <v>1</v>
      </c>
      <c r="H2739" s="4" t="b">
        <f>IFERROR(__xludf.DUMMYFUNCTION("""COMPUTED_VALUE"""),TRUE)</f>
        <v>1</v>
      </c>
      <c r="I2739" s="4">
        <f>IFERROR(__xludf.DUMMYFUNCTION("""COMPUTED_VALUE"""),0.2549440625)</f>
        <v>0.2549440625</v>
      </c>
      <c r="J2739" s="4">
        <f>IFERROR(__xludf.DUMMYFUNCTION("""COMPUTED_VALUE"""),45949.275946840135)</f>
        <v>45949.27595</v>
      </c>
      <c r="K2739" s="4" t="str">
        <f>IFERROR(__xludf.DUMMYFUNCTION("""COMPUTED_VALUE"""),"")</f>
        <v/>
      </c>
      <c r="L2739" s="4">
        <f>IFERROR(__xludf.DUMMYFUNCTION("""COMPUTED_VALUE"""),45949.290293231534)</f>
        <v>45949.29029</v>
      </c>
      <c r="M2739" s="1" t="str">
        <f>IFERROR(__xludf.DUMMYFUNCTION("""COMPUTED_VALUE"""),"RFID")</f>
        <v>RFID</v>
      </c>
      <c r="N2739" s="5">
        <f>IFERROR(__xludf.DUMMYFUNCTION("""COMPUTED_VALUE"""),0.008401111111111113)</f>
        <v>0.008401111111</v>
      </c>
      <c r="O2739" s="5" t="str">
        <f>IFERROR(__xludf.DUMMYFUNCTION("""COMPUTED_VALUE"""),"")</f>
        <v/>
      </c>
      <c r="P2739" s="5" t="str">
        <f>IFERROR(__xludf.DUMMYFUNCTION("""COMPUTED_VALUE"""),"")</f>
        <v/>
      </c>
      <c r="Q2739" s="5">
        <f>IFERROR(__xludf.DUMMYFUNCTION("""COMPUTED_VALUE"""),0.007069833333333333)</f>
        <v>0.007069833333</v>
      </c>
      <c r="R2739" s="4">
        <f>IFERROR(__xludf.DUMMYFUNCTION("""COMPUTED_VALUE"""),45949.03534916903)</f>
        <v>45949.03535</v>
      </c>
      <c r="S2739" s="1" t="b">
        <f>IFERROR(__xludf.DUMMYFUNCTION("""COMPUTED_VALUE"""),TRUE)</f>
        <v>1</v>
      </c>
      <c r="T2739" s="1" t="b">
        <f>IFERROR(__xludf.DUMMYFUNCTION("""COMPUTED_VALUE"""),FALSE)</f>
        <v>0</v>
      </c>
      <c r="U2739" s="1" t="str">
        <f>IFERROR(__xludf.DUMMYFUNCTION("""COMPUTED_VALUE"""),"VALID")</f>
        <v>VALID</v>
      </c>
      <c r="V2739" s="1">
        <f>IFERROR(__xludf.DUMMYFUNCTION("""COMPUTED_VALUE"""),58.0)</f>
        <v>58</v>
      </c>
      <c r="W2739" s="1">
        <f>IFERROR(__xludf.DUMMYFUNCTION("""COMPUTED_VALUE"""),905.0)</f>
        <v>905</v>
      </c>
      <c r="X2739" s="1">
        <f>IFERROR(__xludf.DUMMYFUNCTION("""COMPUTED_VALUE"""),740.0)</f>
        <v>740</v>
      </c>
      <c r="Y2739" s="2"/>
      <c r="Z2739" s="2"/>
    </row>
    <row r="2740">
      <c r="A2740" s="1">
        <f>IFERROR(__xludf.DUMMYFUNCTION("""COMPUTED_VALUE"""),2739.0)</f>
        <v>2739</v>
      </c>
      <c r="B2740" s="7" t="str">
        <f>IFERROR(__xludf.DUMMYFUNCTION("""COMPUTED_VALUE"""),"9072")</f>
        <v>9072</v>
      </c>
      <c r="C2740" s="8" t="str">
        <f>IFERROR(__xludf.DUMMYFUNCTION("""COMPUTED_VALUE"""),"dyas irawan")</f>
        <v>dyas irawan</v>
      </c>
      <c r="D2740" s="2" t="str">
        <f>IFERROR(__xludf.DUMMYFUNCTION("""COMPUTED_VALUE"""),"5KM STUDENT M")</f>
        <v>5KM STUDENT M</v>
      </c>
      <c r="E2740" s="1">
        <f>IFERROR(__xludf.DUMMYFUNCTION("""COMPUTED_VALUE"""),2.0)</f>
        <v>2</v>
      </c>
      <c r="F2740" s="1" t="str">
        <f>IFERROR(__xludf.DUMMYFUNCTION("""COMPUTED_VALUE"""),"Male")</f>
        <v>Male</v>
      </c>
      <c r="G2740" s="4" t="b">
        <f>IFERROR(__xludf.DUMMYFUNCTION("""COMPUTED_VALUE"""),TRUE)</f>
        <v>1</v>
      </c>
      <c r="H2740" s="4" t="b">
        <f>IFERROR(__xludf.DUMMYFUNCTION("""COMPUTED_VALUE"""),TRUE)</f>
        <v>1</v>
      </c>
      <c r="I2740" s="4">
        <f>IFERROR(__xludf.DUMMYFUNCTION("""COMPUTED_VALUE"""),0.2549440625)</f>
        <v>0.2549440625</v>
      </c>
      <c r="J2740" s="4">
        <f>IFERROR(__xludf.DUMMYFUNCTION("""COMPUTED_VALUE"""),45949.275946828544)</f>
        <v>45949.27595</v>
      </c>
      <c r="K2740" s="4" t="str">
        <f>IFERROR(__xludf.DUMMYFUNCTION("""COMPUTED_VALUE"""),"")</f>
        <v/>
      </c>
      <c r="L2740" s="4">
        <f>IFERROR(__xludf.DUMMYFUNCTION("""COMPUTED_VALUE"""),45949.29033838952)</f>
        <v>45949.29034</v>
      </c>
      <c r="M2740" s="1" t="str">
        <f>IFERROR(__xludf.DUMMYFUNCTION("""COMPUTED_VALUE"""),"RFID")</f>
        <v>RFID</v>
      </c>
      <c r="N2740" s="5">
        <f>IFERROR(__xludf.DUMMYFUNCTION("""COMPUTED_VALUE"""),0.008401106481481482)</f>
        <v>0.008401106481</v>
      </c>
      <c r="O2740" s="5" t="str">
        <f>IFERROR(__xludf.DUMMYFUNCTION("""COMPUTED_VALUE"""),"")</f>
        <v/>
      </c>
      <c r="P2740" s="5" t="str">
        <f>IFERROR(__xludf.DUMMYFUNCTION("""COMPUTED_VALUE"""),"")</f>
        <v/>
      </c>
      <c r="Q2740" s="5">
        <f>IFERROR(__xludf.DUMMYFUNCTION("""COMPUTED_VALUE"""),0.007078865740740741)</f>
        <v>0.007078865741</v>
      </c>
      <c r="R2740" s="4">
        <f>IFERROR(__xludf.DUMMYFUNCTION("""COMPUTED_VALUE"""),45949.03539432702)</f>
        <v>45949.03539</v>
      </c>
      <c r="S2740" s="1" t="b">
        <f>IFERROR(__xludf.DUMMYFUNCTION("""COMPUTED_VALUE"""),TRUE)</f>
        <v>1</v>
      </c>
      <c r="T2740" s="1" t="b">
        <f>IFERROR(__xludf.DUMMYFUNCTION("""COMPUTED_VALUE"""),FALSE)</f>
        <v>0</v>
      </c>
      <c r="U2740" s="1" t="str">
        <f>IFERROR(__xludf.DUMMYFUNCTION("""COMPUTED_VALUE"""),"VALID")</f>
        <v>VALID</v>
      </c>
      <c r="V2740" s="1">
        <f>IFERROR(__xludf.DUMMYFUNCTION("""COMPUTED_VALUE"""),59.0)</f>
        <v>59</v>
      </c>
      <c r="W2740" s="1">
        <f>IFERROR(__xludf.DUMMYFUNCTION("""COMPUTED_VALUE"""),911.0)</f>
        <v>911</v>
      </c>
      <c r="X2740" s="1">
        <f>IFERROR(__xludf.DUMMYFUNCTION("""COMPUTED_VALUE"""),744.0)</f>
        <v>744</v>
      </c>
      <c r="Y2740" s="2"/>
      <c r="Z2740" s="2"/>
    </row>
    <row r="2741">
      <c r="A2741" s="1">
        <f>IFERROR(__xludf.DUMMYFUNCTION("""COMPUTED_VALUE"""),2740.0)</f>
        <v>2740</v>
      </c>
      <c r="B2741" s="7" t="str">
        <f>IFERROR(__xludf.DUMMYFUNCTION("""COMPUTED_VALUE"""),"9074")</f>
        <v>9074</v>
      </c>
      <c r="C2741" s="8" t="str">
        <f>IFERROR(__xludf.DUMMYFUNCTION("""COMPUTED_VALUE"""),"WAPI")</f>
        <v>WAPI</v>
      </c>
      <c r="D2741" s="2" t="str">
        <f>IFERROR(__xludf.DUMMYFUNCTION("""COMPUTED_VALUE"""),"5KM STUDENT M")</f>
        <v>5KM STUDENT M</v>
      </c>
      <c r="E2741" s="1">
        <f>IFERROR(__xludf.DUMMYFUNCTION("""COMPUTED_VALUE"""),2.0)</f>
        <v>2</v>
      </c>
      <c r="F2741" s="1" t="str">
        <f>IFERROR(__xludf.DUMMYFUNCTION("""COMPUTED_VALUE"""),"Male")</f>
        <v>Male</v>
      </c>
      <c r="G2741" s="4" t="str">
        <f>IFERROR(__xludf.DUMMYFUNCTION("""COMPUTED_VALUE"""),"")</f>
        <v/>
      </c>
      <c r="H2741" s="4" t="b">
        <f>IFERROR(__xludf.DUMMYFUNCTION("""COMPUTED_VALUE"""),TRUE)</f>
        <v>1</v>
      </c>
      <c r="I2741" s="4">
        <f>IFERROR(__xludf.DUMMYFUNCTION("""COMPUTED_VALUE"""),0.2549440625)</f>
        <v>0.2549440625</v>
      </c>
      <c r="J2741" s="4">
        <f>IFERROR(__xludf.DUMMYFUNCTION("""COMPUTED_VALUE"""),45950.266805555555)</f>
        <v>45950.26681</v>
      </c>
      <c r="K2741" s="4" t="str">
        <f>IFERROR(__xludf.DUMMYFUNCTION("""COMPUTED_VALUE"""),"")</f>
        <v/>
      </c>
      <c r="L2741" s="4">
        <f>IFERROR(__xludf.DUMMYFUNCTION("""COMPUTED_VALUE"""),45949.27471336774)</f>
        <v>45949.27471</v>
      </c>
      <c r="M2741" s="1" t="str">
        <f>IFERROR(__xludf.DUMMYFUNCTION("""COMPUTED_VALUE"""),"RFID")</f>
        <v>RFID</v>
      </c>
      <c r="N2741" s="5">
        <f>IFERROR(__xludf.DUMMYFUNCTION("""COMPUTED_VALUE"""),0.004744597222222222)</f>
        <v>0.004744597222</v>
      </c>
      <c r="O2741" s="5" t="str">
        <f>IFERROR(__xludf.DUMMYFUNCTION("""COMPUTED_VALUE"""),"")</f>
        <v/>
      </c>
      <c r="P2741" s="5" t="str">
        <f>IFERROR(__xludf.DUMMYFUNCTION("""COMPUTED_VALUE"""),"")</f>
        <v/>
      </c>
      <c r="Q2741" s="5">
        <f>IFERROR(__xludf.DUMMYFUNCTION("""COMPUTED_VALUE"""),0.003953861111111111)</f>
        <v>0.003953861111</v>
      </c>
      <c r="R2741" s="4">
        <f>IFERROR(__xludf.DUMMYFUNCTION("""COMPUTED_VALUE"""),45949.01976930524)</f>
        <v>45949.01977</v>
      </c>
      <c r="S2741" s="1" t="b">
        <f>IFERROR(__xludf.DUMMYFUNCTION("""COMPUTED_VALUE"""),TRUE)</f>
        <v>1</v>
      </c>
      <c r="T2741" s="1" t="b">
        <f>IFERROR(__xludf.DUMMYFUNCTION("""COMPUTED_VALUE"""),FALSE)</f>
        <v>0</v>
      </c>
      <c r="U2741" s="1" t="str">
        <f>IFERROR(__xludf.DUMMYFUNCTION("""COMPUTED_VALUE"""),"VALID")</f>
        <v>VALID</v>
      </c>
      <c r="V2741" s="1">
        <f>IFERROR(__xludf.DUMMYFUNCTION("""COMPUTED_VALUE"""),15.0)</f>
        <v>15</v>
      </c>
      <c r="W2741" s="1">
        <f>IFERROR(__xludf.DUMMYFUNCTION("""COMPUTED_VALUE"""),110.0)</f>
        <v>110</v>
      </c>
      <c r="X2741" s="1">
        <f>IFERROR(__xludf.DUMMYFUNCTION("""COMPUTED_VALUE"""),99.0)</f>
        <v>99</v>
      </c>
      <c r="Y2741" s="2"/>
      <c r="Z2741" s="2" t="str">
        <f>IFERROR(__xludf.DUMMYFUNCTION("""COMPUTED_VALUE"""),"C")</f>
        <v>C</v>
      </c>
    </row>
    <row r="2742">
      <c r="A2742" s="1">
        <f>IFERROR(__xludf.DUMMYFUNCTION("""COMPUTED_VALUE"""),2741.0)</f>
        <v>2741</v>
      </c>
      <c r="B2742" s="7" t="str">
        <f>IFERROR(__xludf.DUMMYFUNCTION("""COMPUTED_VALUE"""),"9076")</f>
        <v>9076</v>
      </c>
      <c r="C2742" s="8" t="str">
        <f>IFERROR(__xludf.DUMMYFUNCTION("""COMPUTED_VALUE"""),"Fadhlan")</f>
        <v>Fadhlan</v>
      </c>
      <c r="D2742" s="2" t="str">
        <f>IFERROR(__xludf.DUMMYFUNCTION("""COMPUTED_VALUE"""),"5KM STUDENT M")</f>
        <v>5KM STUDENT M</v>
      </c>
      <c r="E2742" s="1">
        <f>IFERROR(__xludf.DUMMYFUNCTION("""COMPUTED_VALUE"""),2.0)</f>
        <v>2</v>
      </c>
      <c r="F2742" s="1" t="str">
        <f>IFERROR(__xludf.DUMMYFUNCTION("""COMPUTED_VALUE"""),"Male")</f>
        <v>Male</v>
      </c>
      <c r="G2742" s="4" t="b">
        <f>IFERROR(__xludf.DUMMYFUNCTION("""COMPUTED_VALUE"""),TRUE)</f>
        <v>1</v>
      </c>
      <c r="H2742" s="4" t="b">
        <f>IFERROR(__xludf.DUMMYFUNCTION("""COMPUTED_VALUE"""),TRUE)</f>
        <v>1</v>
      </c>
      <c r="I2742" s="4">
        <f>IFERROR(__xludf.DUMMYFUNCTION("""COMPUTED_VALUE"""),0.2549440625)</f>
        <v>0.2549440625</v>
      </c>
      <c r="J2742" s="4">
        <f>IFERROR(__xludf.DUMMYFUNCTION("""COMPUTED_VALUE"""),45949.274096137306)</f>
        <v>45949.2741</v>
      </c>
      <c r="K2742" s="4" t="str">
        <f>IFERROR(__xludf.DUMMYFUNCTION("""COMPUTED_VALUE"""),"")</f>
        <v/>
      </c>
      <c r="L2742" s="4">
        <f>IFERROR(__xludf.DUMMYFUNCTION("""COMPUTED_VALUE"""),45949.29122379176)</f>
        <v>45949.29122</v>
      </c>
      <c r="M2742" s="1" t="str">
        <f>IFERROR(__xludf.DUMMYFUNCTION("""COMPUTED_VALUE"""),"RFID")</f>
        <v>RFID</v>
      </c>
      <c r="N2742" s="5">
        <f>IFERROR(__xludf.DUMMYFUNCTION("""COMPUTED_VALUE"""),0.0076608287037037036)</f>
        <v>0.007660828704</v>
      </c>
      <c r="O2742" s="5" t="str">
        <f>IFERROR(__xludf.DUMMYFUNCTION("""COMPUTED_VALUE"""),"")</f>
        <v/>
      </c>
      <c r="P2742" s="5" t="str">
        <f>IFERROR(__xludf.DUMMYFUNCTION("""COMPUTED_VALUE"""),"")</f>
        <v/>
      </c>
      <c r="Q2742" s="5">
        <f>IFERROR(__xludf.DUMMYFUNCTION("""COMPUTED_VALUE"""),0.007255946759259259)</f>
        <v>0.007255946759</v>
      </c>
      <c r="R2742" s="4">
        <f>IFERROR(__xludf.DUMMYFUNCTION("""COMPUTED_VALUE"""),45949.03627972926)</f>
        <v>45949.03628</v>
      </c>
      <c r="S2742" s="1" t="b">
        <f>IFERROR(__xludf.DUMMYFUNCTION("""COMPUTED_VALUE"""),TRUE)</f>
        <v>1</v>
      </c>
      <c r="T2742" s="1" t="b">
        <f>IFERROR(__xludf.DUMMYFUNCTION("""COMPUTED_VALUE"""),FALSE)</f>
        <v>0</v>
      </c>
      <c r="U2742" s="1" t="str">
        <f>IFERROR(__xludf.DUMMYFUNCTION("""COMPUTED_VALUE"""),"VALID")</f>
        <v>VALID</v>
      </c>
      <c r="V2742" s="1">
        <f>IFERROR(__xludf.DUMMYFUNCTION("""COMPUTED_VALUE"""),61.0)</f>
        <v>61</v>
      </c>
      <c r="W2742" s="1">
        <f>IFERROR(__xludf.DUMMYFUNCTION("""COMPUTED_VALUE"""),974.0)</f>
        <v>974</v>
      </c>
      <c r="X2742" s="1">
        <f>IFERROR(__xludf.DUMMYFUNCTION("""COMPUTED_VALUE"""),792.0)</f>
        <v>792</v>
      </c>
      <c r="Y2742" s="2"/>
      <c r="Z2742" s="2"/>
    </row>
    <row r="2743">
      <c r="A2743" s="1">
        <f>IFERROR(__xludf.DUMMYFUNCTION("""COMPUTED_VALUE"""),2742.0)</f>
        <v>2742</v>
      </c>
      <c r="B2743" s="7" t="str">
        <f>IFERROR(__xludf.DUMMYFUNCTION("""COMPUTED_VALUE"""),"9080")</f>
        <v>9080</v>
      </c>
      <c r="C2743" s="8" t="str">
        <f>IFERROR(__xludf.DUMMYFUNCTION("""COMPUTED_VALUE"""),"RAFFI")</f>
        <v>RAFFI</v>
      </c>
      <c r="D2743" s="2" t="str">
        <f>IFERROR(__xludf.DUMMYFUNCTION("""COMPUTED_VALUE"""),"5KM STUDENT M")</f>
        <v>5KM STUDENT M</v>
      </c>
      <c r="E2743" s="1">
        <f>IFERROR(__xludf.DUMMYFUNCTION("""COMPUTED_VALUE"""),2.0)</f>
        <v>2</v>
      </c>
      <c r="F2743" s="1" t="str">
        <f>IFERROR(__xludf.DUMMYFUNCTION("""COMPUTED_VALUE"""),"Male")</f>
        <v>Male</v>
      </c>
      <c r="G2743" s="4" t="b">
        <f>IFERROR(__xludf.DUMMYFUNCTION("""COMPUTED_VALUE"""),TRUE)</f>
        <v>1</v>
      </c>
      <c r="H2743" s="4" t="b">
        <f>IFERROR(__xludf.DUMMYFUNCTION("""COMPUTED_VALUE"""),TRUE)</f>
        <v>1</v>
      </c>
      <c r="I2743" s="4">
        <f>IFERROR(__xludf.DUMMYFUNCTION("""COMPUTED_VALUE"""),0.2549440625)</f>
        <v>0.2549440625</v>
      </c>
      <c r="J2743" s="4">
        <f>IFERROR(__xludf.DUMMYFUNCTION("""COMPUTED_VALUE"""),45949.26351851852)</f>
        <v>45949.26352</v>
      </c>
      <c r="K2743" s="4" t="str">
        <f>IFERROR(__xludf.DUMMYFUNCTION("""COMPUTED_VALUE"""),"")</f>
        <v/>
      </c>
      <c r="L2743" s="4">
        <f>IFERROR(__xludf.DUMMYFUNCTION("""COMPUTED_VALUE"""),45949.27035920052)</f>
        <v>45949.27036</v>
      </c>
      <c r="M2743" s="1" t="str">
        <f>IFERROR(__xludf.DUMMYFUNCTION("""COMPUTED_VALUE"""),"RFID")</f>
        <v>RFID</v>
      </c>
      <c r="N2743" s="5">
        <f>IFERROR(__xludf.DUMMYFUNCTION("""COMPUTED_VALUE"""),0.003429782407407407)</f>
        <v>0.003429782407</v>
      </c>
      <c r="O2743" s="5" t="str">
        <f>IFERROR(__xludf.DUMMYFUNCTION("""COMPUTED_VALUE"""),"")</f>
        <v/>
      </c>
      <c r="P2743" s="5" t="str">
        <f>IFERROR(__xludf.DUMMYFUNCTION("""COMPUTED_VALUE"""),"")</f>
        <v/>
      </c>
      <c r="Q2743" s="5">
        <f>IFERROR(__xludf.DUMMYFUNCTION("""COMPUTED_VALUE"""),0.0030830277777777774)</f>
        <v>0.003083027778</v>
      </c>
      <c r="R2743" s="4">
        <f>IFERROR(__xludf.DUMMYFUNCTION("""COMPUTED_VALUE"""),45949.01541513802)</f>
        <v>45949.01542</v>
      </c>
      <c r="S2743" s="1" t="b">
        <f>IFERROR(__xludf.DUMMYFUNCTION("""COMPUTED_VALUE"""),TRUE)</f>
        <v>1</v>
      </c>
      <c r="T2743" s="1" t="b">
        <f>IFERROR(__xludf.DUMMYFUNCTION("""COMPUTED_VALUE"""),FALSE)</f>
        <v>0</v>
      </c>
      <c r="U2743" s="1" t="str">
        <f>IFERROR(__xludf.DUMMYFUNCTION("""COMPUTED_VALUE"""),"VALID")</f>
        <v>VALID</v>
      </c>
      <c r="V2743" s="1">
        <f>IFERROR(__xludf.DUMMYFUNCTION("""COMPUTED_VALUE"""),5.0)</f>
        <v>5</v>
      </c>
      <c r="W2743" s="1">
        <f>IFERROR(__xludf.DUMMYFUNCTION("""COMPUTED_VALUE"""),19.0)</f>
        <v>19</v>
      </c>
      <c r="X2743" s="1">
        <f>IFERROR(__xludf.DUMMYFUNCTION("""COMPUTED_VALUE"""),19.0)</f>
        <v>19</v>
      </c>
      <c r="Y2743" s="2"/>
      <c r="Z2743" s="2"/>
    </row>
    <row r="2744">
      <c r="A2744" s="1">
        <f>IFERROR(__xludf.DUMMYFUNCTION("""COMPUTED_VALUE"""),2743.0)</f>
        <v>2743</v>
      </c>
      <c r="B2744" s="7" t="str">
        <f>IFERROR(__xludf.DUMMYFUNCTION("""COMPUTED_VALUE"""),"9081")</f>
        <v>9081</v>
      </c>
      <c r="C2744" s="8" t="str">
        <f>IFERROR(__xludf.DUMMYFUNCTION("""COMPUTED_VALUE"""),"FAWWAZ ATHARI")</f>
        <v>FAWWAZ ATHARI</v>
      </c>
      <c r="D2744" s="2" t="str">
        <f>IFERROR(__xludf.DUMMYFUNCTION("""COMPUTED_VALUE"""),"5KM STUDENT M")</f>
        <v>5KM STUDENT M</v>
      </c>
      <c r="E2744" s="1">
        <f>IFERROR(__xludf.DUMMYFUNCTION("""COMPUTED_VALUE"""),2.0)</f>
        <v>2</v>
      </c>
      <c r="F2744" s="1" t="str">
        <f>IFERROR(__xludf.DUMMYFUNCTION("""COMPUTED_VALUE"""),"Male")</f>
        <v>Male</v>
      </c>
      <c r="G2744" s="4" t="str">
        <f>IFERROR(__xludf.DUMMYFUNCTION("""COMPUTED_VALUE"""),"")</f>
        <v/>
      </c>
      <c r="H2744" s="4" t="b">
        <f>IFERROR(__xludf.DUMMYFUNCTION("""COMPUTED_VALUE"""),FALSE)</f>
        <v>0</v>
      </c>
      <c r="I2744" s="4">
        <f>IFERROR(__xludf.DUMMYFUNCTION("""COMPUTED_VALUE"""),0.2549440625)</f>
        <v>0.2549440625</v>
      </c>
      <c r="J2744" s="4">
        <f>IFERROR(__xludf.DUMMYFUNCTION("""COMPUTED_VALUE"""),45949.26968995664)</f>
        <v>45949.26969</v>
      </c>
      <c r="K2744" s="4" t="str">
        <f>IFERROR(__xludf.DUMMYFUNCTION("""COMPUTED_VALUE"""),"")</f>
        <v/>
      </c>
      <c r="L2744" s="4">
        <f>IFERROR(__xludf.DUMMYFUNCTION("""COMPUTED_VALUE"""),45949.28394947933)</f>
        <v>45949.28395</v>
      </c>
      <c r="M2744" s="1" t="str">
        <f>IFERROR(__xludf.DUMMYFUNCTION("""COMPUTED_VALUE"""),"RFID")</f>
        <v>RFID</v>
      </c>
      <c r="N2744" s="5">
        <f>IFERROR(__xludf.DUMMYFUNCTION("""COMPUTED_VALUE"""),0.005898356481481482)</f>
        <v>0.005898356481</v>
      </c>
      <c r="O2744" s="5" t="str">
        <f>IFERROR(__xludf.DUMMYFUNCTION("""COMPUTED_VALUE"""),"")</f>
        <v/>
      </c>
      <c r="P2744" s="5" t="str">
        <f>IFERROR(__xludf.DUMMYFUNCTION("""COMPUTED_VALUE"""),"")</f>
        <v/>
      </c>
      <c r="Q2744" s="5">
        <f>IFERROR(__xludf.DUMMYFUNCTION("""COMPUTED_VALUE"""),0.0058010833333333334)</f>
        <v>0.005801083333</v>
      </c>
      <c r="R2744" s="4">
        <f>IFERROR(__xludf.DUMMYFUNCTION("""COMPUTED_VALUE"""),45949.02900541683)</f>
        <v>45949.02901</v>
      </c>
      <c r="S2744" s="1" t="b">
        <f>IFERROR(__xludf.DUMMYFUNCTION("""COMPUTED_VALUE"""),FALSE)</f>
        <v>0</v>
      </c>
      <c r="T2744" s="1" t="b">
        <f>IFERROR(__xludf.DUMMYFUNCTION("""COMPUTED_VALUE"""),FALSE)</f>
        <v>0</v>
      </c>
      <c r="U2744" s="1" t="str">
        <f>IFERROR(__xludf.DUMMYFUNCTION("""COMPUTED_VALUE"""),"DSQ")</f>
        <v>DSQ</v>
      </c>
      <c r="V2744" s="1" t="str">
        <f>IFERROR(__xludf.DUMMYFUNCTION("""COMPUTED_VALUE"""),"DSQ")</f>
        <v>DSQ</v>
      </c>
      <c r="W2744" s="1" t="str">
        <f>IFERROR(__xludf.DUMMYFUNCTION("""COMPUTED_VALUE"""),"DSQ")</f>
        <v>DSQ</v>
      </c>
      <c r="X2744" s="1" t="str">
        <f>IFERROR(__xludf.DUMMYFUNCTION("""COMPUTED_VALUE"""),"DSQ")</f>
        <v>DSQ</v>
      </c>
      <c r="Y2744" s="2"/>
      <c r="Z2744" s="2"/>
    </row>
    <row r="2745">
      <c r="A2745" s="1">
        <f>IFERROR(__xludf.DUMMYFUNCTION("""COMPUTED_VALUE"""),2744.0)</f>
        <v>2744</v>
      </c>
      <c r="B2745" s="7" t="str">
        <f>IFERROR(__xludf.DUMMYFUNCTION("""COMPUTED_VALUE"""),"9082")</f>
        <v>9082</v>
      </c>
      <c r="C2745" s="8" t="str">
        <f>IFERROR(__xludf.DUMMYFUNCTION("""COMPUTED_VALUE"""),"Hylmi")</f>
        <v>Hylmi</v>
      </c>
      <c r="D2745" s="2" t="str">
        <f>IFERROR(__xludf.DUMMYFUNCTION("""COMPUTED_VALUE"""),"5KM STUDENT M")</f>
        <v>5KM STUDENT M</v>
      </c>
      <c r="E2745" s="1">
        <f>IFERROR(__xludf.DUMMYFUNCTION("""COMPUTED_VALUE"""),2.0)</f>
        <v>2</v>
      </c>
      <c r="F2745" s="1" t="str">
        <f>IFERROR(__xludf.DUMMYFUNCTION("""COMPUTED_VALUE"""),"Male")</f>
        <v>Male</v>
      </c>
      <c r="G2745" s="4" t="b">
        <f>IFERROR(__xludf.DUMMYFUNCTION("""COMPUTED_VALUE"""),TRUE)</f>
        <v>1</v>
      </c>
      <c r="H2745" s="4" t="b">
        <f>IFERROR(__xludf.DUMMYFUNCTION("""COMPUTED_VALUE"""),TRUE)</f>
        <v>1</v>
      </c>
      <c r="I2745" s="4">
        <f>IFERROR(__xludf.DUMMYFUNCTION("""COMPUTED_VALUE"""),0.2549440625)</f>
        <v>0.2549440625</v>
      </c>
      <c r="J2745" s="4">
        <f>IFERROR(__xludf.DUMMYFUNCTION("""COMPUTED_VALUE"""),45949.27378438167)</f>
        <v>45949.27378</v>
      </c>
      <c r="K2745" s="4" t="str">
        <f>IFERROR(__xludf.DUMMYFUNCTION("""COMPUTED_VALUE"""),"")</f>
        <v/>
      </c>
      <c r="L2745" s="4">
        <f>IFERROR(__xludf.DUMMYFUNCTION("""COMPUTED_VALUE"""),45949.28866824385)</f>
        <v>45949.28867</v>
      </c>
      <c r="M2745" s="1" t="str">
        <f>IFERROR(__xludf.DUMMYFUNCTION("""COMPUTED_VALUE"""),"RFID")</f>
        <v>RFID</v>
      </c>
      <c r="N2745" s="5">
        <f>IFERROR(__xludf.DUMMYFUNCTION("""COMPUTED_VALUE"""),0.0075361296296296305)</f>
        <v>0.00753612963</v>
      </c>
      <c r="O2745" s="5" t="str">
        <f>IFERROR(__xludf.DUMMYFUNCTION("""COMPUTED_VALUE"""),"")</f>
        <v/>
      </c>
      <c r="P2745" s="5" t="str">
        <f>IFERROR(__xludf.DUMMYFUNCTION("""COMPUTED_VALUE"""),"")</f>
        <v/>
      </c>
      <c r="Q2745" s="5">
        <f>IFERROR(__xludf.DUMMYFUNCTION("""COMPUTED_VALUE"""),0.006744835648148148)</f>
        <v>0.006744835648</v>
      </c>
      <c r="R2745" s="4">
        <f>IFERROR(__xludf.DUMMYFUNCTION("""COMPUTED_VALUE"""),45949.03372418135)</f>
        <v>45949.03372</v>
      </c>
      <c r="S2745" s="1" t="b">
        <f>IFERROR(__xludf.DUMMYFUNCTION("""COMPUTED_VALUE"""),TRUE)</f>
        <v>1</v>
      </c>
      <c r="T2745" s="1" t="b">
        <f>IFERROR(__xludf.DUMMYFUNCTION("""COMPUTED_VALUE"""),FALSE)</f>
        <v>0</v>
      </c>
      <c r="U2745" s="1" t="str">
        <f>IFERROR(__xludf.DUMMYFUNCTION("""COMPUTED_VALUE"""),"VALID")</f>
        <v>VALID</v>
      </c>
      <c r="V2745" s="1">
        <f>IFERROR(__xludf.DUMMYFUNCTION("""COMPUTED_VALUE"""),55.0)</f>
        <v>55</v>
      </c>
      <c r="W2745" s="1">
        <f>IFERROR(__xludf.DUMMYFUNCTION("""COMPUTED_VALUE"""),819.0)</f>
        <v>819</v>
      </c>
      <c r="X2745" s="1">
        <f>IFERROR(__xludf.DUMMYFUNCTION("""COMPUTED_VALUE"""),673.0)</f>
        <v>673</v>
      </c>
      <c r="Y2745" s="2"/>
      <c r="Z2745" s="2"/>
    </row>
    <row r="2746">
      <c r="A2746" s="1">
        <f>IFERROR(__xludf.DUMMYFUNCTION("""COMPUTED_VALUE"""),2745.0)</f>
        <v>2745</v>
      </c>
      <c r="B2746" s="7" t="str">
        <f>IFERROR(__xludf.DUMMYFUNCTION("""COMPUTED_VALUE"""),"9083")</f>
        <v>9083</v>
      </c>
      <c r="C2746" s="8" t="str">
        <f>IFERROR(__xludf.DUMMYFUNCTION("""COMPUTED_VALUE"""),"Yandha / AAN")</f>
        <v>Yandha / AAN</v>
      </c>
      <c r="D2746" s="2" t="str">
        <f>IFERROR(__xludf.DUMMYFUNCTION("""COMPUTED_VALUE"""),"5KM STUDENT M")</f>
        <v>5KM STUDENT M</v>
      </c>
      <c r="E2746" s="1">
        <f>IFERROR(__xludf.DUMMYFUNCTION("""COMPUTED_VALUE"""),2.0)</f>
        <v>2</v>
      </c>
      <c r="F2746" s="1" t="str">
        <f>IFERROR(__xludf.DUMMYFUNCTION("""COMPUTED_VALUE"""),"Male")</f>
        <v>Male</v>
      </c>
      <c r="G2746" s="4" t="b">
        <f>IFERROR(__xludf.DUMMYFUNCTION("""COMPUTED_VALUE"""),TRUE)</f>
        <v>1</v>
      </c>
      <c r="H2746" s="4" t="b">
        <f>IFERROR(__xludf.DUMMYFUNCTION("""COMPUTED_VALUE"""),TRUE)</f>
        <v>1</v>
      </c>
      <c r="I2746" s="4">
        <f>IFERROR(__xludf.DUMMYFUNCTION("""COMPUTED_VALUE"""),0.2549440625)</f>
        <v>0.2549440625</v>
      </c>
      <c r="J2746" s="4">
        <f>IFERROR(__xludf.DUMMYFUNCTION("""COMPUTED_VALUE"""),45949.281217735734)</f>
        <v>45949.28122</v>
      </c>
      <c r="K2746" s="4" t="str">
        <f>IFERROR(__xludf.DUMMYFUNCTION("""COMPUTED_VALUE"""),"")</f>
        <v/>
      </c>
      <c r="L2746" s="4">
        <f>IFERROR(__xludf.DUMMYFUNCTION("""COMPUTED_VALUE"""),45949.297119612864)</f>
        <v>45949.29712</v>
      </c>
      <c r="M2746" s="1" t="str">
        <f>IFERROR(__xludf.DUMMYFUNCTION("""COMPUTED_VALUE"""),"RFID")</f>
        <v>RFID</v>
      </c>
      <c r="N2746" s="5">
        <f>IFERROR(__xludf.DUMMYFUNCTION("""COMPUTED_VALUE"""),0.010509467592592593)</f>
        <v>0.01050946759</v>
      </c>
      <c r="O2746" s="5" t="str">
        <f>IFERROR(__xludf.DUMMYFUNCTION("""COMPUTED_VALUE"""),"")</f>
        <v/>
      </c>
      <c r="P2746" s="5" t="str">
        <f>IFERROR(__xludf.DUMMYFUNCTION("""COMPUTED_VALUE"""),"")</f>
        <v/>
      </c>
      <c r="Q2746" s="5">
        <f>IFERROR(__xludf.DUMMYFUNCTION("""COMPUTED_VALUE"""),0.008435111111111112)</f>
        <v>0.008435111111</v>
      </c>
      <c r="R2746" s="4">
        <f>IFERROR(__xludf.DUMMYFUNCTION("""COMPUTED_VALUE"""),45949.04217555036)</f>
        <v>45949.04218</v>
      </c>
      <c r="S2746" s="1" t="b">
        <f>IFERROR(__xludf.DUMMYFUNCTION("""COMPUTED_VALUE"""),TRUE)</f>
        <v>1</v>
      </c>
      <c r="T2746" s="1" t="b">
        <f>IFERROR(__xludf.DUMMYFUNCTION("""COMPUTED_VALUE"""),FALSE)</f>
        <v>0</v>
      </c>
      <c r="U2746" s="1" t="str">
        <f>IFERROR(__xludf.DUMMYFUNCTION("""COMPUTED_VALUE"""),"VALID")</f>
        <v>VALID</v>
      </c>
      <c r="V2746" s="1">
        <f>IFERROR(__xludf.DUMMYFUNCTION("""COMPUTED_VALUE"""),66.0)</f>
        <v>66</v>
      </c>
      <c r="W2746" s="1">
        <f>IFERROR(__xludf.DUMMYFUNCTION("""COMPUTED_VALUE"""),1335.0)</f>
        <v>1335</v>
      </c>
      <c r="X2746" s="1">
        <f>IFERROR(__xludf.DUMMYFUNCTION("""COMPUTED_VALUE"""),1073.0)</f>
        <v>1073</v>
      </c>
      <c r="Y2746" s="2"/>
      <c r="Z2746" s="2"/>
    </row>
    <row r="2747">
      <c r="A2747" s="1">
        <f>IFERROR(__xludf.DUMMYFUNCTION("""COMPUTED_VALUE"""),2746.0)</f>
        <v>2746</v>
      </c>
      <c r="B2747" s="7" t="str">
        <f>IFERROR(__xludf.DUMMYFUNCTION("""COMPUTED_VALUE"""),"9084")</f>
        <v>9084</v>
      </c>
      <c r="C2747" s="8" t="str">
        <f>IFERROR(__xludf.DUMMYFUNCTION("""COMPUTED_VALUE"""),"ANWAR")</f>
        <v>ANWAR</v>
      </c>
      <c r="D2747" s="2" t="str">
        <f>IFERROR(__xludf.DUMMYFUNCTION("""COMPUTED_VALUE"""),"5KM STUDENT M")</f>
        <v>5KM STUDENT M</v>
      </c>
      <c r="E2747" s="1">
        <f>IFERROR(__xludf.DUMMYFUNCTION("""COMPUTED_VALUE"""),2.0)</f>
        <v>2</v>
      </c>
      <c r="F2747" s="1" t="str">
        <f>IFERROR(__xludf.DUMMYFUNCTION("""COMPUTED_VALUE"""),"Male")</f>
        <v>Male</v>
      </c>
      <c r="G2747" s="4" t="b">
        <f>IFERROR(__xludf.DUMMYFUNCTION("""COMPUTED_VALUE"""),TRUE)</f>
        <v>1</v>
      </c>
      <c r="H2747" s="4" t="b">
        <f>IFERROR(__xludf.DUMMYFUNCTION("""COMPUTED_VALUE"""),TRUE)</f>
        <v>1</v>
      </c>
      <c r="I2747" s="4">
        <f>IFERROR(__xludf.DUMMYFUNCTION("""COMPUTED_VALUE"""),0.2549440625)</f>
        <v>0.2549440625</v>
      </c>
      <c r="J2747" s="4">
        <f>IFERROR(__xludf.DUMMYFUNCTION("""COMPUTED_VALUE"""),45949.2630996186)</f>
        <v>45949.2631</v>
      </c>
      <c r="K2747" s="4" t="str">
        <f>IFERROR(__xludf.DUMMYFUNCTION("""COMPUTED_VALUE"""),"")</f>
        <v/>
      </c>
      <c r="L2747" s="4">
        <f>IFERROR(__xludf.DUMMYFUNCTION("""COMPUTED_VALUE"""),45949.26971337129)</f>
        <v>45949.26971</v>
      </c>
      <c r="M2747" s="1" t="str">
        <f>IFERROR(__xludf.DUMMYFUNCTION("""COMPUTED_VALUE"""),"RFID")</f>
        <v>RFID</v>
      </c>
      <c r="N2747" s="5">
        <f>IFERROR(__xludf.DUMMYFUNCTION("""COMPUTED_VALUE"""),0.003262222222222222)</f>
        <v>0.003262222222</v>
      </c>
      <c r="O2747" s="5" t="str">
        <f>IFERROR(__xludf.DUMMYFUNCTION("""COMPUTED_VALUE"""),"")</f>
        <v/>
      </c>
      <c r="P2747" s="5" t="str">
        <f>IFERROR(__xludf.DUMMYFUNCTION("""COMPUTED_VALUE"""),"")</f>
        <v/>
      </c>
      <c r="Q2747" s="5">
        <f>IFERROR(__xludf.DUMMYFUNCTION("""COMPUTED_VALUE"""),0.002953861111111111)</f>
        <v>0.002953861111</v>
      </c>
      <c r="R2747" s="4">
        <f>IFERROR(__xludf.DUMMYFUNCTION("""COMPUTED_VALUE"""),45949.01476930879)</f>
        <v>45949.01477</v>
      </c>
      <c r="S2747" s="1" t="b">
        <f>IFERROR(__xludf.DUMMYFUNCTION("""COMPUTED_VALUE"""),TRUE)</f>
        <v>1</v>
      </c>
      <c r="T2747" s="1" t="b">
        <f>IFERROR(__xludf.DUMMYFUNCTION("""COMPUTED_VALUE"""),FALSE)</f>
        <v>0</v>
      </c>
      <c r="U2747" s="1" t="str">
        <f>IFERROR(__xludf.DUMMYFUNCTION("""COMPUTED_VALUE"""),"VALID")</f>
        <v>VALID</v>
      </c>
      <c r="V2747" s="1">
        <f>IFERROR(__xludf.DUMMYFUNCTION("""COMPUTED_VALUE"""),2.0)</f>
        <v>2</v>
      </c>
      <c r="W2747" s="1">
        <f>IFERROR(__xludf.DUMMYFUNCTION("""COMPUTED_VALUE"""),11.0)</f>
        <v>11</v>
      </c>
      <c r="X2747" s="1">
        <f>IFERROR(__xludf.DUMMYFUNCTION("""COMPUTED_VALUE"""),11.0)</f>
        <v>11</v>
      </c>
      <c r="Y2747" s="2"/>
      <c r="Z2747" s="2"/>
    </row>
    <row r="2748">
      <c r="A2748" s="1">
        <f>IFERROR(__xludf.DUMMYFUNCTION("""COMPUTED_VALUE"""),2747.0)</f>
        <v>2747</v>
      </c>
      <c r="B2748" s="7" t="str">
        <f>IFERROR(__xludf.DUMMYFUNCTION("""COMPUTED_VALUE"""),"9085")</f>
        <v>9085</v>
      </c>
      <c r="C2748" s="8" t="str">
        <f>IFERROR(__xludf.DUMMYFUNCTION("""COMPUTED_VALUE"""),"Rafif")</f>
        <v>Rafif</v>
      </c>
      <c r="D2748" s="2" t="str">
        <f>IFERROR(__xludf.DUMMYFUNCTION("""COMPUTED_VALUE"""),"5KM STUDENT M")</f>
        <v>5KM STUDENT M</v>
      </c>
      <c r="E2748" s="1">
        <f>IFERROR(__xludf.DUMMYFUNCTION("""COMPUTED_VALUE"""),2.0)</f>
        <v>2</v>
      </c>
      <c r="F2748" s="1" t="str">
        <f>IFERROR(__xludf.DUMMYFUNCTION("""COMPUTED_VALUE"""),"Male")</f>
        <v>Male</v>
      </c>
      <c r="G2748" s="4" t="b">
        <f>IFERROR(__xludf.DUMMYFUNCTION("""COMPUTED_VALUE"""),TRUE)</f>
        <v>1</v>
      </c>
      <c r="H2748" s="4" t="b">
        <f>IFERROR(__xludf.DUMMYFUNCTION("""COMPUTED_VALUE"""),TRUE)</f>
        <v>1</v>
      </c>
      <c r="I2748" s="4">
        <f>IFERROR(__xludf.DUMMYFUNCTION("""COMPUTED_VALUE"""),0.2549440625)</f>
        <v>0.2549440625</v>
      </c>
      <c r="J2748" s="4">
        <f>IFERROR(__xludf.DUMMYFUNCTION("""COMPUTED_VALUE"""),45949.27596423239)</f>
        <v>45949.27596</v>
      </c>
      <c r="K2748" s="4" t="str">
        <f>IFERROR(__xludf.DUMMYFUNCTION("""COMPUTED_VALUE"""),"")</f>
        <v/>
      </c>
      <c r="L2748" s="4">
        <f>IFERROR(__xludf.DUMMYFUNCTION("""COMPUTED_VALUE"""),45949.290359149156)</f>
        <v>45949.29036</v>
      </c>
      <c r="M2748" s="1" t="str">
        <f>IFERROR(__xludf.DUMMYFUNCTION("""COMPUTED_VALUE"""),"RFID")</f>
        <v>RFID</v>
      </c>
      <c r="N2748" s="5">
        <f>IFERROR(__xludf.DUMMYFUNCTION("""COMPUTED_VALUE"""),0.008408069444444445)</f>
        <v>0.008408069444</v>
      </c>
      <c r="O2748" s="5" t="str">
        <f>IFERROR(__xludf.DUMMYFUNCTION("""COMPUTED_VALUE"""),"")</f>
        <v/>
      </c>
      <c r="P2748" s="5" t="str">
        <f>IFERROR(__xludf.DUMMYFUNCTION("""COMPUTED_VALUE"""),"")</f>
        <v/>
      </c>
      <c r="Q2748" s="5">
        <f>IFERROR(__xludf.DUMMYFUNCTION("""COMPUTED_VALUE"""),0.0070830162037037025)</f>
        <v>0.007083016204</v>
      </c>
      <c r="R2748" s="4">
        <f>IFERROR(__xludf.DUMMYFUNCTION("""COMPUTED_VALUE"""),45949.035415086655)</f>
        <v>45949.03542</v>
      </c>
      <c r="S2748" s="1" t="b">
        <f>IFERROR(__xludf.DUMMYFUNCTION("""COMPUTED_VALUE"""),TRUE)</f>
        <v>1</v>
      </c>
      <c r="T2748" s="1" t="b">
        <f>IFERROR(__xludf.DUMMYFUNCTION("""COMPUTED_VALUE"""),FALSE)</f>
        <v>0</v>
      </c>
      <c r="U2748" s="1" t="str">
        <f>IFERROR(__xludf.DUMMYFUNCTION("""COMPUTED_VALUE"""),"VALID")</f>
        <v>VALID</v>
      </c>
      <c r="V2748" s="1">
        <f>IFERROR(__xludf.DUMMYFUNCTION("""COMPUTED_VALUE"""),60.0)</f>
        <v>60</v>
      </c>
      <c r="W2748" s="1">
        <f>IFERROR(__xludf.DUMMYFUNCTION("""COMPUTED_VALUE"""),912.0)</f>
        <v>912</v>
      </c>
      <c r="X2748" s="1">
        <f>IFERROR(__xludf.DUMMYFUNCTION("""COMPUTED_VALUE"""),745.0)</f>
        <v>745</v>
      </c>
      <c r="Y2748" s="2"/>
      <c r="Z2748" s="2"/>
    </row>
    <row r="2749">
      <c r="A2749" s="1">
        <f>IFERROR(__xludf.DUMMYFUNCTION("""COMPUTED_VALUE"""),2748.0)</f>
        <v>2748</v>
      </c>
      <c r="B2749" s="7" t="str">
        <f>IFERROR(__xludf.DUMMYFUNCTION("""COMPUTED_VALUE"""),"9086")</f>
        <v>9086</v>
      </c>
      <c r="C2749" s="8" t="str">
        <f>IFERROR(__xludf.DUMMYFUNCTION("""COMPUTED_VALUE"""),"malik")</f>
        <v>malik</v>
      </c>
      <c r="D2749" s="2" t="str">
        <f>IFERROR(__xludf.DUMMYFUNCTION("""COMPUTED_VALUE"""),"5KM STUDENT M")</f>
        <v>5KM STUDENT M</v>
      </c>
      <c r="E2749" s="1">
        <f>IFERROR(__xludf.DUMMYFUNCTION("""COMPUTED_VALUE"""),2.0)</f>
        <v>2</v>
      </c>
      <c r="F2749" s="1" t="str">
        <f>IFERROR(__xludf.DUMMYFUNCTION("""COMPUTED_VALUE"""),"Male")</f>
        <v>Male</v>
      </c>
      <c r="G2749" s="4" t="b">
        <f>IFERROR(__xludf.DUMMYFUNCTION("""COMPUTED_VALUE"""),TRUE)</f>
        <v>1</v>
      </c>
      <c r="H2749" s="4" t="b">
        <f>IFERROR(__xludf.DUMMYFUNCTION("""COMPUTED_VALUE"""),FALSE)</f>
        <v>0</v>
      </c>
      <c r="I2749" s="4">
        <f>IFERROR(__xludf.DUMMYFUNCTION("""COMPUTED_VALUE"""),0.2549440625)</f>
        <v>0.2549440625</v>
      </c>
      <c r="J2749" s="4">
        <f>IFERROR(__xludf.DUMMYFUNCTION("""COMPUTED_VALUE"""),45949.26284722222)</f>
        <v>45949.26285</v>
      </c>
      <c r="K2749" s="4" t="str">
        <f>IFERROR(__xludf.DUMMYFUNCTION("""COMPUTED_VALUE"""),"")</f>
        <v/>
      </c>
      <c r="L2749" s="4">
        <f>IFERROR(__xludf.DUMMYFUNCTION("""COMPUTED_VALUE"""),45949.2689729874)</f>
        <v>45949.26897</v>
      </c>
      <c r="M2749" s="1" t="str">
        <f>IFERROR(__xludf.DUMMYFUNCTION("""COMPUTED_VALUE"""),"RFID")</f>
        <v>RFID</v>
      </c>
      <c r="N2749" s="5">
        <f>IFERROR(__xludf.DUMMYFUNCTION("""COMPUTED_VALUE"""),0.0031612638888888884)</f>
        <v>0.003161263889</v>
      </c>
      <c r="O2749" s="5" t="str">
        <f>IFERROR(__xludf.DUMMYFUNCTION("""COMPUTED_VALUE"""),"")</f>
        <v/>
      </c>
      <c r="P2749" s="5" t="str">
        <f>IFERROR(__xludf.DUMMYFUNCTION("""COMPUTED_VALUE"""),"")</f>
        <v/>
      </c>
      <c r="Q2749" s="5">
        <f>IFERROR(__xludf.DUMMYFUNCTION("""COMPUTED_VALUE"""),0.002805784722222222)</f>
        <v>0.002805784722</v>
      </c>
      <c r="R2749" s="4">
        <f>IFERROR(__xludf.DUMMYFUNCTION("""COMPUTED_VALUE"""),45949.014028924896)</f>
        <v>45949.01403</v>
      </c>
      <c r="S2749" s="1" t="b">
        <f>IFERROR(__xludf.DUMMYFUNCTION("""COMPUTED_VALUE"""),TRUE)</f>
        <v>1</v>
      </c>
      <c r="T2749" s="1" t="b">
        <f>IFERROR(__xludf.DUMMYFUNCTION("""COMPUTED_VALUE"""),FALSE)</f>
        <v>0</v>
      </c>
      <c r="U2749" s="1" t="str">
        <f>IFERROR(__xludf.DUMMYFUNCTION("""COMPUTED_VALUE"""),"VALID")</f>
        <v>VALID</v>
      </c>
      <c r="V2749" s="1">
        <f>IFERROR(__xludf.DUMMYFUNCTION("""COMPUTED_VALUE"""),1.0)</f>
        <v>1</v>
      </c>
      <c r="W2749" s="1">
        <f>IFERROR(__xludf.DUMMYFUNCTION("""COMPUTED_VALUE"""),8.0)</f>
        <v>8</v>
      </c>
      <c r="X2749" s="1">
        <f>IFERROR(__xludf.DUMMYFUNCTION("""COMPUTED_VALUE"""),8.0)</f>
        <v>8</v>
      </c>
      <c r="Y2749" s="2"/>
      <c r="Z2749" s="2"/>
    </row>
    <row r="2750">
      <c r="A2750" s="1">
        <f>IFERROR(__xludf.DUMMYFUNCTION("""COMPUTED_VALUE"""),2749.0)</f>
        <v>2749</v>
      </c>
      <c r="B2750" s="7" t="str">
        <f>IFERROR(__xludf.DUMMYFUNCTION("""COMPUTED_VALUE"""),"9087")</f>
        <v>9087</v>
      </c>
      <c r="C2750" s="8" t="str">
        <f>IFERROR(__xludf.DUMMYFUNCTION("""COMPUTED_VALUE"""),"Toni")</f>
        <v>Toni</v>
      </c>
      <c r="D2750" s="2" t="str">
        <f>IFERROR(__xludf.DUMMYFUNCTION("""COMPUTED_VALUE"""),"5KM STUDENT M")</f>
        <v>5KM STUDENT M</v>
      </c>
      <c r="E2750" s="1">
        <f>IFERROR(__xludf.DUMMYFUNCTION("""COMPUTED_VALUE"""),2.0)</f>
        <v>2</v>
      </c>
      <c r="F2750" s="1" t="str">
        <f>IFERROR(__xludf.DUMMYFUNCTION("""COMPUTED_VALUE"""),"Male")</f>
        <v>Male</v>
      </c>
      <c r="G2750" s="4" t="b">
        <f>IFERROR(__xludf.DUMMYFUNCTION("""COMPUTED_VALUE"""),TRUE)</f>
        <v>1</v>
      </c>
      <c r="H2750" s="4" t="b">
        <f>IFERROR(__xludf.DUMMYFUNCTION("""COMPUTED_VALUE"""),TRUE)</f>
        <v>1</v>
      </c>
      <c r="I2750" s="4">
        <f>IFERROR(__xludf.DUMMYFUNCTION("""COMPUTED_VALUE"""),0.2549440625)</f>
        <v>0.2549440625</v>
      </c>
      <c r="J2750" s="4">
        <f>IFERROR(__xludf.DUMMYFUNCTION("""COMPUTED_VALUE"""),45949.26325239725)</f>
        <v>45949.26325</v>
      </c>
      <c r="K2750" s="4" t="str">
        <f>IFERROR(__xludf.DUMMYFUNCTION("""COMPUTED_VALUE"""),"")</f>
        <v/>
      </c>
      <c r="L2750" s="4">
        <f>IFERROR(__xludf.DUMMYFUNCTION("""COMPUTED_VALUE"""),45949.27070717331)</f>
        <v>45949.27071</v>
      </c>
      <c r="M2750" s="1" t="str">
        <f>IFERROR(__xludf.DUMMYFUNCTION("""COMPUTED_VALUE"""),"RFID")</f>
        <v>RFID</v>
      </c>
      <c r="N2750" s="5">
        <f>IFERROR(__xludf.DUMMYFUNCTION("""COMPUTED_VALUE"""),0.0033233333333333335)</f>
        <v>0.003323333333</v>
      </c>
      <c r="O2750" s="5" t="str">
        <f>IFERROR(__xludf.DUMMYFUNCTION("""COMPUTED_VALUE"""),"")</f>
        <v/>
      </c>
      <c r="P2750" s="5" t="str">
        <f>IFERROR(__xludf.DUMMYFUNCTION("""COMPUTED_VALUE"""),"")</f>
        <v/>
      </c>
      <c r="Q2750" s="5">
        <f>IFERROR(__xludf.DUMMYFUNCTION("""COMPUTED_VALUE"""),0.003152622685185185)</f>
        <v>0.003152622685</v>
      </c>
      <c r="R2750" s="4">
        <f>IFERROR(__xludf.DUMMYFUNCTION("""COMPUTED_VALUE"""),45949.01576311081)</f>
        <v>45949.01576</v>
      </c>
      <c r="S2750" s="1" t="b">
        <f>IFERROR(__xludf.DUMMYFUNCTION("""COMPUTED_VALUE"""),TRUE)</f>
        <v>1</v>
      </c>
      <c r="T2750" s="1" t="b">
        <f>IFERROR(__xludf.DUMMYFUNCTION("""COMPUTED_VALUE"""),FALSE)</f>
        <v>0</v>
      </c>
      <c r="U2750" s="1" t="str">
        <f>IFERROR(__xludf.DUMMYFUNCTION("""COMPUTED_VALUE"""),"VALID")</f>
        <v>VALID</v>
      </c>
      <c r="V2750" s="1">
        <f>IFERROR(__xludf.DUMMYFUNCTION("""COMPUTED_VALUE"""),6.0)</f>
        <v>6</v>
      </c>
      <c r="W2750" s="1">
        <f>IFERROR(__xludf.DUMMYFUNCTION("""COMPUTED_VALUE"""),20.0)</f>
        <v>20</v>
      </c>
      <c r="X2750" s="1">
        <f>IFERROR(__xludf.DUMMYFUNCTION("""COMPUTED_VALUE"""),20.0)</f>
        <v>20</v>
      </c>
      <c r="Y2750" s="2"/>
      <c r="Z2750" s="2"/>
    </row>
    <row r="2751">
      <c r="A2751" s="1">
        <f>IFERROR(__xludf.DUMMYFUNCTION("""COMPUTED_VALUE"""),2750.0)</f>
        <v>2750</v>
      </c>
      <c r="B2751" s="7" t="str">
        <f>IFERROR(__xludf.DUMMYFUNCTION("""COMPUTED_VALUE"""),"9088")</f>
        <v>9088</v>
      </c>
      <c r="C2751" s="8" t="str">
        <f>IFERROR(__xludf.DUMMYFUNCTION("""COMPUTED_VALUE"""),"Endra")</f>
        <v>Endra</v>
      </c>
      <c r="D2751" s="2" t="str">
        <f>IFERROR(__xludf.DUMMYFUNCTION("""COMPUTED_VALUE"""),"5KM STUDENT M")</f>
        <v>5KM STUDENT M</v>
      </c>
      <c r="E2751" s="1">
        <f>IFERROR(__xludf.DUMMYFUNCTION("""COMPUTED_VALUE"""),2.0)</f>
        <v>2</v>
      </c>
      <c r="F2751" s="1" t="str">
        <f>IFERROR(__xludf.DUMMYFUNCTION("""COMPUTED_VALUE"""),"Male")</f>
        <v>Male</v>
      </c>
      <c r="G2751" s="4" t="b">
        <f>IFERROR(__xludf.DUMMYFUNCTION("""COMPUTED_VALUE"""),TRUE)</f>
        <v>1</v>
      </c>
      <c r="H2751" s="4" t="b">
        <f>IFERROR(__xludf.DUMMYFUNCTION("""COMPUTED_VALUE"""),FALSE)</f>
        <v>0</v>
      </c>
      <c r="I2751" s="4">
        <f>IFERROR(__xludf.DUMMYFUNCTION("""COMPUTED_VALUE"""),0.2549440625)</f>
        <v>0.2549440625</v>
      </c>
      <c r="J2751" s="4">
        <f>IFERROR(__xludf.DUMMYFUNCTION("""COMPUTED_VALUE"""),45949.26855101166)</f>
        <v>45949.26855</v>
      </c>
      <c r="K2751" s="4" t="str">
        <f>IFERROR(__xludf.DUMMYFUNCTION("""COMPUTED_VALUE"""),"")</f>
        <v/>
      </c>
      <c r="L2751" s="4">
        <f>IFERROR(__xludf.DUMMYFUNCTION("""COMPUTED_VALUE"""),45949.280140464)</f>
        <v>45949.28014</v>
      </c>
      <c r="M2751" s="1" t="str">
        <f>IFERROR(__xludf.DUMMYFUNCTION("""COMPUTED_VALUE"""),"RFID")</f>
        <v>RFID</v>
      </c>
      <c r="N2751" s="5">
        <f>IFERROR(__xludf.DUMMYFUNCTION("""COMPUTED_VALUE"""),0.005442777777777778)</f>
        <v>0.005442777778</v>
      </c>
      <c r="O2751" s="5" t="str">
        <f>IFERROR(__xludf.DUMMYFUNCTION("""COMPUTED_VALUE"""),"")</f>
        <v/>
      </c>
      <c r="P2751" s="5" t="str">
        <f>IFERROR(__xludf.DUMMYFUNCTION("""COMPUTED_VALUE"""),"")</f>
        <v/>
      </c>
      <c r="Q2751" s="5">
        <f>IFERROR(__xludf.DUMMYFUNCTION("""COMPUTED_VALUE"""),0.005039280092592593)</f>
        <v>0.005039280093</v>
      </c>
      <c r="R2751" s="4">
        <f>IFERROR(__xludf.DUMMYFUNCTION("""COMPUTED_VALUE"""),45949.0251964015)</f>
        <v>45949.0252</v>
      </c>
      <c r="S2751" s="1" t="b">
        <f>IFERROR(__xludf.DUMMYFUNCTION("""COMPUTED_VALUE"""),TRUE)</f>
        <v>1</v>
      </c>
      <c r="T2751" s="1" t="b">
        <f>IFERROR(__xludf.DUMMYFUNCTION("""COMPUTED_VALUE"""),FALSE)</f>
        <v>0</v>
      </c>
      <c r="U2751" s="1" t="str">
        <f>IFERROR(__xludf.DUMMYFUNCTION("""COMPUTED_VALUE"""),"VALID")</f>
        <v>VALID</v>
      </c>
      <c r="V2751" s="1">
        <f>IFERROR(__xludf.DUMMYFUNCTION("""COMPUTED_VALUE"""),35.0)</f>
        <v>35</v>
      </c>
      <c r="W2751" s="1">
        <f>IFERROR(__xludf.DUMMYFUNCTION("""COMPUTED_VALUE"""),297.0)</f>
        <v>297</v>
      </c>
      <c r="X2751" s="1">
        <f>IFERROR(__xludf.DUMMYFUNCTION("""COMPUTED_VALUE"""),259.0)</f>
        <v>259</v>
      </c>
      <c r="Y2751" s="2"/>
      <c r="Z2751" s="2"/>
    </row>
    <row r="2752">
      <c r="A2752" s="1">
        <f>IFERROR(__xludf.DUMMYFUNCTION("""COMPUTED_VALUE"""),2751.0)</f>
        <v>2751</v>
      </c>
      <c r="B2752" s="7" t="str">
        <f>IFERROR(__xludf.DUMMYFUNCTION("""COMPUTED_VALUE"""),"9089")</f>
        <v>9089</v>
      </c>
      <c r="C2752" s="8" t="str">
        <f>IFERROR(__xludf.DUMMYFUNCTION("""COMPUTED_VALUE"""),"Ahyas")</f>
        <v>Ahyas</v>
      </c>
      <c r="D2752" s="2" t="str">
        <f>IFERROR(__xludf.DUMMYFUNCTION("""COMPUTED_VALUE"""),"5KM STUDENT M")</f>
        <v>5KM STUDENT M</v>
      </c>
      <c r="E2752" s="1">
        <f>IFERROR(__xludf.DUMMYFUNCTION("""COMPUTED_VALUE"""),2.0)</f>
        <v>2</v>
      </c>
      <c r="F2752" s="1" t="str">
        <f>IFERROR(__xludf.DUMMYFUNCTION("""COMPUTED_VALUE"""),"Male")</f>
        <v>Male</v>
      </c>
      <c r="G2752" s="4" t="str">
        <f>IFERROR(__xludf.DUMMYFUNCTION("""COMPUTED_VALUE"""),"")</f>
        <v/>
      </c>
      <c r="H2752" s="4" t="b">
        <f>IFERROR(__xludf.DUMMYFUNCTION("""COMPUTED_VALUE"""),FALSE)</f>
        <v>0</v>
      </c>
      <c r="I2752" s="4">
        <f>IFERROR(__xludf.DUMMYFUNCTION("""COMPUTED_VALUE"""),0.2549440625)</f>
        <v>0.2549440625</v>
      </c>
      <c r="J2752" s="4">
        <f>IFERROR(__xludf.DUMMYFUNCTION("""COMPUTED_VALUE"""),45950.28482638889)</f>
        <v>45950.28483</v>
      </c>
      <c r="K2752" s="4" t="str">
        <f>IFERROR(__xludf.DUMMYFUNCTION("""COMPUTED_VALUE"""),"")</f>
        <v/>
      </c>
      <c r="L2752" s="4">
        <f>IFERROR(__xludf.DUMMYFUNCTION("""COMPUTED_VALUE"""),45949.304755035686)</f>
        <v>45949.30476</v>
      </c>
      <c r="M2752" s="1" t="str">
        <f>IFERROR(__xludf.DUMMYFUNCTION("""COMPUTED_VALUE"""),"RFID")</f>
        <v>RFID</v>
      </c>
      <c r="N2752" s="5">
        <f>IFERROR(__xludf.DUMMYFUNCTION("""COMPUTED_VALUE"""),0.011952930555555557)</f>
        <v>0.01195293056</v>
      </c>
      <c r="O2752" s="5" t="str">
        <f>IFERROR(__xludf.DUMMYFUNCTION("""COMPUTED_VALUE"""),"")</f>
        <v/>
      </c>
      <c r="P2752" s="5" t="str">
        <f>IFERROR(__xludf.DUMMYFUNCTION("""COMPUTED_VALUE"""),"")</f>
        <v/>
      </c>
      <c r="Q2752" s="5">
        <f>IFERROR(__xludf.DUMMYFUNCTION("""COMPUTED_VALUE"""),0.009962194444444444)</f>
        <v>0.009962194444</v>
      </c>
      <c r="R2752" s="4">
        <f>IFERROR(__xludf.DUMMYFUNCTION("""COMPUTED_VALUE"""),45949.049810973185)</f>
        <v>45949.04981</v>
      </c>
      <c r="S2752" s="1" t="b">
        <f>IFERROR(__xludf.DUMMYFUNCTION("""COMPUTED_VALUE"""),FALSE)</f>
        <v>0</v>
      </c>
      <c r="T2752" s="1" t="b">
        <f>IFERROR(__xludf.DUMMYFUNCTION("""COMPUTED_VALUE"""),FALSE)</f>
        <v>0</v>
      </c>
      <c r="U2752" s="1" t="str">
        <f>IFERROR(__xludf.DUMMYFUNCTION("""COMPUTED_VALUE"""),"DSQ")</f>
        <v>DSQ</v>
      </c>
      <c r="V2752" s="1" t="str">
        <f>IFERROR(__xludf.DUMMYFUNCTION("""COMPUTED_VALUE"""),"DSQ")</f>
        <v>DSQ</v>
      </c>
      <c r="W2752" s="1" t="str">
        <f>IFERROR(__xludf.DUMMYFUNCTION("""COMPUTED_VALUE"""),"DSQ")</f>
        <v>DSQ</v>
      </c>
      <c r="X2752" s="1" t="str">
        <f>IFERROR(__xludf.DUMMYFUNCTION("""COMPUTED_VALUE"""),"DSQ")</f>
        <v>DSQ</v>
      </c>
      <c r="Y2752" s="2"/>
      <c r="Z2752" s="2" t="str">
        <f>IFERROR(__xludf.DUMMYFUNCTION("""COMPUTED_VALUE"""),"C")</f>
        <v>C</v>
      </c>
    </row>
    <row r="2753">
      <c r="A2753" s="1">
        <f>IFERROR(__xludf.DUMMYFUNCTION("""COMPUTED_VALUE"""),2752.0)</f>
        <v>2752</v>
      </c>
      <c r="B2753" s="7" t="str">
        <f>IFERROR(__xludf.DUMMYFUNCTION("""COMPUTED_VALUE"""),"9090")</f>
        <v>9090</v>
      </c>
      <c r="C2753" s="8" t="str">
        <f>IFERROR(__xludf.DUMMYFUNCTION("""COMPUTED_VALUE"""),"FALAH")</f>
        <v>FALAH</v>
      </c>
      <c r="D2753" s="2" t="str">
        <f>IFERROR(__xludf.DUMMYFUNCTION("""COMPUTED_VALUE"""),"5KM STUDENT M")</f>
        <v>5KM STUDENT M</v>
      </c>
      <c r="E2753" s="1">
        <f>IFERROR(__xludf.DUMMYFUNCTION("""COMPUTED_VALUE"""),2.0)</f>
        <v>2</v>
      </c>
      <c r="F2753" s="1" t="str">
        <f>IFERROR(__xludf.DUMMYFUNCTION("""COMPUTED_VALUE"""),"Male")</f>
        <v>Male</v>
      </c>
      <c r="G2753" s="4" t="str">
        <f>IFERROR(__xludf.DUMMYFUNCTION("""COMPUTED_VALUE"""),"")</f>
        <v/>
      </c>
      <c r="H2753" s="4" t="b">
        <f>IFERROR(__xludf.DUMMYFUNCTION("""COMPUTED_VALUE"""),FALSE)</f>
        <v>0</v>
      </c>
      <c r="I2753" s="4">
        <f>IFERROR(__xludf.DUMMYFUNCTION("""COMPUTED_VALUE"""),0.2549440625)</f>
        <v>0.2549440625</v>
      </c>
      <c r="J2753" s="4">
        <f>IFERROR(__xludf.DUMMYFUNCTION("""COMPUTED_VALUE"""),45950.2709837963)</f>
        <v>45950.27098</v>
      </c>
      <c r="K2753" s="4" t="str">
        <f>IFERROR(__xludf.DUMMYFUNCTION("""COMPUTED_VALUE"""),"")</f>
        <v/>
      </c>
      <c r="L2753" s="4">
        <f>IFERROR(__xludf.DUMMYFUNCTION("""COMPUTED_VALUE"""),45949.281678664986)</f>
        <v>45949.28168</v>
      </c>
      <c r="M2753" s="1" t="str">
        <f>IFERROR(__xludf.DUMMYFUNCTION("""COMPUTED_VALUE"""),"RFID")</f>
        <v>RFID</v>
      </c>
      <c r="N2753" s="5">
        <f>IFERROR(__xludf.DUMMYFUNCTION("""COMPUTED_VALUE"""),0.006415893518518519)</f>
        <v>0.006415893519</v>
      </c>
      <c r="O2753" s="5" t="str">
        <f>IFERROR(__xludf.DUMMYFUNCTION("""COMPUTED_VALUE"""),"")</f>
        <v/>
      </c>
      <c r="P2753" s="5" t="str">
        <f>IFERROR(__xludf.DUMMYFUNCTION("""COMPUTED_VALUE"""),"")</f>
        <v/>
      </c>
      <c r="Q2753" s="5">
        <f>IFERROR(__xludf.DUMMYFUNCTION("""COMPUTED_VALUE"""),0.005346921296296296)</f>
        <v>0.005346921296</v>
      </c>
      <c r="R2753" s="4">
        <f>IFERROR(__xludf.DUMMYFUNCTION("""COMPUTED_VALUE"""),45949.026734602485)</f>
        <v>45949.02673</v>
      </c>
      <c r="S2753" s="1" t="b">
        <f>IFERROR(__xludf.DUMMYFUNCTION("""COMPUTED_VALUE"""),FALSE)</f>
        <v>0</v>
      </c>
      <c r="T2753" s="1" t="b">
        <f>IFERROR(__xludf.DUMMYFUNCTION("""COMPUTED_VALUE"""),FALSE)</f>
        <v>0</v>
      </c>
      <c r="U2753" s="1" t="str">
        <f>IFERROR(__xludf.DUMMYFUNCTION("""COMPUTED_VALUE"""),"DSQ")</f>
        <v>DSQ</v>
      </c>
      <c r="V2753" s="1" t="str">
        <f>IFERROR(__xludf.DUMMYFUNCTION("""COMPUTED_VALUE"""),"DSQ")</f>
        <v>DSQ</v>
      </c>
      <c r="W2753" s="1" t="str">
        <f>IFERROR(__xludf.DUMMYFUNCTION("""COMPUTED_VALUE"""),"DSQ")</f>
        <v>DSQ</v>
      </c>
      <c r="X2753" s="1" t="str">
        <f>IFERROR(__xludf.DUMMYFUNCTION("""COMPUTED_VALUE"""),"DSQ")</f>
        <v>DSQ</v>
      </c>
      <c r="Y2753" s="2"/>
      <c r="Z2753" s="2" t="str">
        <f>IFERROR(__xludf.DUMMYFUNCTION("""COMPUTED_VALUE"""),"C")</f>
        <v>C</v>
      </c>
    </row>
    <row r="2754">
      <c r="A2754" s="1">
        <f>IFERROR(__xludf.DUMMYFUNCTION("""COMPUTED_VALUE"""),2753.0)</f>
        <v>2753</v>
      </c>
      <c r="B2754" s="7" t="str">
        <f>IFERROR(__xludf.DUMMYFUNCTION("""COMPUTED_VALUE"""),"9091")</f>
        <v>9091</v>
      </c>
      <c r="C2754" s="8" t="str">
        <f>IFERROR(__xludf.DUMMYFUNCTION("""COMPUTED_VALUE"""),"DIMITRI")</f>
        <v>DIMITRI</v>
      </c>
      <c r="D2754" s="2" t="str">
        <f>IFERROR(__xludf.DUMMYFUNCTION("""COMPUTED_VALUE"""),"5KM STUDENT M")</f>
        <v>5KM STUDENT M</v>
      </c>
      <c r="E2754" s="1">
        <f>IFERROR(__xludf.DUMMYFUNCTION("""COMPUTED_VALUE"""),2.0)</f>
        <v>2</v>
      </c>
      <c r="F2754" s="1" t="str">
        <f>IFERROR(__xludf.DUMMYFUNCTION("""COMPUTED_VALUE"""),"Male")</f>
        <v>Male</v>
      </c>
      <c r="G2754" s="4" t="b">
        <f>IFERROR(__xludf.DUMMYFUNCTION("""COMPUTED_VALUE"""),TRUE)</f>
        <v>1</v>
      </c>
      <c r="H2754" s="4" t="b">
        <f>IFERROR(__xludf.DUMMYFUNCTION("""COMPUTED_VALUE"""),TRUE)</f>
        <v>1</v>
      </c>
      <c r="I2754" s="4">
        <f>IFERROR(__xludf.DUMMYFUNCTION("""COMPUTED_VALUE"""),0.2549440625)</f>
        <v>0.2549440625</v>
      </c>
      <c r="J2754" s="4">
        <f>IFERROR(__xludf.DUMMYFUNCTION("""COMPUTED_VALUE"""),45949.273679498285)</f>
        <v>45949.27368</v>
      </c>
      <c r="K2754" s="4" t="str">
        <f>IFERROR(__xludf.DUMMYFUNCTION("""COMPUTED_VALUE"""),"")</f>
        <v/>
      </c>
      <c r="L2754" s="4">
        <f>IFERROR(__xludf.DUMMYFUNCTION("""COMPUTED_VALUE"""),45949.28693557872)</f>
        <v>45949.28694</v>
      </c>
      <c r="M2754" s="1" t="str">
        <f>IFERROR(__xludf.DUMMYFUNCTION("""COMPUTED_VALUE"""),"RFID")</f>
        <v>RFID</v>
      </c>
      <c r="N2754" s="5">
        <f>IFERROR(__xludf.DUMMYFUNCTION("""COMPUTED_VALUE"""),0.007494175925925927)</f>
        <v>0.007494175926</v>
      </c>
      <c r="O2754" s="5" t="str">
        <f>IFERROR(__xludf.DUMMYFUNCTION("""COMPUTED_VALUE"""),"")</f>
        <v/>
      </c>
      <c r="P2754" s="5" t="str">
        <f>IFERROR(__xludf.DUMMYFUNCTION("""COMPUTED_VALUE"""),"")</f>
        <v/>
      </c>
      <c r="Q2754" s="5">
        <f>IFERROR(__xludf.DUMMYFUNCTION("""COMPUTED_VALUE"""),0.006398303240740741)</f>
        <v>0.006398303241</v>
      </c>
      <c r="R2754" s="4">
        <f>IFERROR(__xludf.DUMMYFUNCTION("""COMPUTED_VALUE"""),45949.03199151622)</f>
        <v>45949.03199</v>
      </c>
      <c r="S2754" s="1" t="b">
        <f>IFERROR(__xludf.DUMMYFUNCTION("""COMPUTED_VALUE"""),TRUE)</f>
        <v>1</v>
      </c>
      <c r="T2754" s="1" t="b">
        <f>IFERROR(__xludf.DUMMYFUNCTION("""COMPUTED_VALUE"""),FALSE)</f>
        <v>0</v>
      </c>
      <c r="U2754" s="1" t="str">
        <f>IFERROR(__xludf.DUMMYFUNCTION("""COMPUTED_VALUE"""),"VALID")</f>
        <v>VALID</v>
      </c>
      <c r="V2754" s="1">
        <f>IFERROR(__xludf.DUMMYFUNCTION("""COMPUTED_VALUE"""),50.0)</f>
        <v>50</v>
      </c>
      <c r="W2754" s="1">
        <f>IFERROR(__xludf.DUMMYFUNCTION("""COMPUTED_VALUE"""),698.0)</f>
        <v>698</v>
      </c>
      <c r="X2754" s="1">
        <f>IFERROR(__xludf.DUMMYFUNCTION("""COMPUTED_VALUE"""),585.0)</f>
        <v>585</v>
      </c>
      <c r="Y2754" s="2"/>
      <c r="Z2754" s="2"/>
    </row>
    <row r="2755">
      <c r="A2755" s="1">
        <f>IFERROR(__xludf.DUMMYFUNCTION("""COMPUTED_VALUE"""),2754.0)</f>
        <v>2754</v>
      </c>
      <c r="B2755" s="7" t="str">
        <f>IFERROR(__xludf.DUMMYFUNCTION("""COMPUTED_VALUE"""),"9092")</f>
        <v>9092</v>
      </c>
      <c r="C2755" s="8" t="str">
        <f>IFERROR(__xludf.DUMMYFUNCTION("""COMPUTED_VALUE"""),"Anshofi")</f>
        <v>Anshofi</v>
      </c>
      <c r="D2755" s="2" t="str">
        <f>IFERROR(__xludf.DUMMYFUNCTION("""COMPUTED_VALUE"""),"5KM STUDENT M")</f>
        <v>5KM STUDENT M</v>
      </c>
      <c r="E2755" s="1">
        <f>IFERROR(__xludf.DUMMYFUNCTION("""COMPUTED_VALUE"""),2.0)</f>
        <v>2</v>
      </c>
      <c r="F2755" s="1" t="str">
        <f>IFERROR(__xludf.DUMMYFUNCTION("""COMPUTED_VALUE"""),"Male")</f>
        <v>Male</v>
      </c>
      <c r="G2755" s="4" t="b">
        <f>IFERROR(__xludf.DUMMYFUNCTION("""COMPUTED_VALUE"""),TRUE)</f>
        <v>1</v>
      </c>
      <c r="H2755" s="4" t="b">
        <f>IFERROR(__xludf.DUMMYFUNCTION("""COMPUTED_VALUE"""),TRUE)</f>
        <v>1</v>
      </c>
      <c r="I2755" s="4">
        <f>IFERROR(__xludf.DUMMYFUNCTION("""COMPUTED_VALUE"""),0.2549440625)</f>
        <v>0.2549440625</v>
      </c>
      <c r="J2755" s="4">
        <f>IFERROR(__xludf.DUMMYFUNCTION("""COMPUTED_VALUE"""),45949.266728707145)</f>
        <v>45949.26673</v>
      </c>
      <c r="K2755" s="4" t="str">
        <f>IFERROR(__xludf.DUMMYFUNCTION("""COMPUTED_VALUE"""),"")</f>
        <v/>
      </c>
      <c r="L2755" s="4">
        <f>IFERROR(__xludf.DUMMYFUNCTION("""COMPUTED_VALUE"""),45949.27543559241)</f>
        <v>45949.27544</v>
      </c>
      <c r="M2755" s="1" t="str">
        <f>IFERROR(__xludf.DUMMYFUNCTION("""COMPUTED_VALUE"""),"RFID")</f>
        <v>RFID</v>
      </c>
      <c r="N2755" s="5">
        <f>IFERROR(__xludf.DUMMYFUNCTION("""COMPUTED_VALUE"""),0.004713856481481481)</f>
        <v>0.004713856481</v>
      </c>
      <c r="O2755" s="5" t="str">
        <f>IFERROR(__xludf.DUMMYFUNCTION("""COMPUTED_VALUE"""),"")</f>
        <v/>
      </c>
      <c r="P2755" s="5" t="str">
        <f>IFERROR(__xludf.DUMMYFUNCTION("""COMPUTED_VALUE"""),"")</f>
        <v/>
      </c>
      <c r="Q2755" s="5">
        <f>IFERROR(__xludf.DUMMYFUNCTION("""COMPUTED_VALUE"""),0.0040983055555555556)</f>
        <v>0.004098305556</v>
      </c>
      <c r="R2755" s="4">
        <f>IFERROR(__xludf.DUMMYFUNCTION("""COMPUTED_VALUE"""),45949.02049152991)</f>
        <v>45949.02049</v>
      </c>
      <c r="S2755" s="1" t="b">
        <f>IFERROR(__xludf.DUMMYFUNCTION("""COMPUTED_VALUE"""),TRUE)</f>
        <v>1</v>
      </c>
      <c r="T2755" s="1" t="b">
        <f>IFERROR(__xludf.DUMMYFUNCTION("""COMPUTED_VALUE"""),FALSE)</f>
        <v>0</v>
      </c>
      <c r="U2755" s="1" t="str">
        <f>IFERROR(__xludf.DUMMYFUNCTION("""COMPUTED_VALUE"""),"VALID")</f>
        <v>VALID</v>
      </c>
      <c r="V2755" s="1">
        <f>IFERROR(__xludf.DUMMYFUNCTION("""COMPUTED_VALUE"""),20.0)</f>
        <v>20</v>
      </c>
      <c r="W2755" s="1">
        <f>IFERROR(__xludf.DUMMYFUNCTION("""COMPUTED_VALUE"""),125.0)</f>
        <v>125</v>
      </c>
      <c r="X2755" s="1">
        <f>IFERROR(__xludf.DUMMYFUNCTION("""COMPUTED_VALUE"""),114.0)</f>
        <v>114</v>
      </c>
      <c r="Y2755" s="2"/>
      <c r="Z2755" s="2"/>
    </row>
    <row r="2756">
      <c r="A2756" s="1">
        <f>IFERROR(__xludf.DUMMYFUNCTION("""COMPUTED_VALUE"""),2755.0)</f>
        <v>2755</v>
      </c>
      <c r="B2756" s="7" t="str">
        <f>IFERROR(__xludf.DUMMYFUNCTION("""COMPUTED_VALUE"""),"9093")</f>
        <v>9093</v>
      </c>
      <c r="C2756" s="8" t="str">
        <f>IFERROR(__xludf.DUMMYFUNCTION("""COMPUTED_VALUE"""),"M Rizky Ramadhani")</f>
        <v>M Rizky Ramadhani</v>
      </c>
      <c r="D2756" s="2" t="str">
        <f>IFERROR(__xludf.DUMMYFUNCTION("""COMPUTED_VALUE"""),"5KM STUDENT M")</f>
        <v>5KM STUDENT M</v>
      </c>
      <c r="E2756" s="1">
        <f>IFERROR(__xludf.DUMMYFUNCTION("""COMPUTED_VALUE"""),2.0)</f>
        <v>2</v>
      </c>
      <c r="F2756" s="1" t="str">
        <f>IFERROR(__xludf.DUMMYFUNCTION("""COMPUTED_VALUE"""),"Male")</f>
        <v>Male</v>
      </c>
      <c r="G2756" s="4" t="b">
        <f>IFERROR(__xludf.DUMMYFUNCTION("""COMPUTED_VALUE"""),TRUE)</f>
        <v>1</v>
      </c>
      <c r="H2756" s="4" t="b">
        <f>IFERROR(__xludf.DUMMYFUNCTION("""COMPUTED_VALUE"""),FALSE)</f>
        <v>0</v>
      </c>
      <c r="I2756" s="4">
        <f>IFERROR(__xludf.DUMMYFUNCTION("""COMPUTED_VALUE"""),0.2549440625)</f>
        <v>0.2549440625</v>
      </c>
      <c r="J2756" s="4">
        <f>IFERROR(__xludf.DUMMYFUNCTION("""COMPUTED_VALUE"""),45949.266728718714)</f>
        <v>45949.26673</v>
      </c>
      <c r="K2756" s="4" t="str">
        <f>IFERROR(__xludf.DUMMYFUNCTION("""COMPUTED_VALUE"""),"")</f>
        <v/>
      </c>
      <c r="L2756" s="4">
        <f>IFERROR(__xludf.DUMMYFUNCTION("""COMPUTED_VALUE"""),45949.27539044694)</f>
        <v>45949.27539</v>
      </c>
      <c r="M2756" s="1" t="str">
        <f>IFERROR(__xludf.DUMMYFUNCTION("""COMPUTED_VALUE"""),"RFID")</f>
        <v>RFID</v>
      </c>
      <c r="N2756" s="5">
        <f>IFERROR(__xludf.DUMMYFUNCTION("""COMPUTED_VALUE"""),0.004713861111111111)</f>
        <v>0.004713861111</v>
      </c>
      <c r="O2756" s="5" t="str">
        <f>IFERROR(__xludf.DUMMYFUNCTION("""COMPUTED_VALUE"""),"")</f>
        <v/>
      </c>
      <c r="P2756" s="5" t="str">
        <f>IFERROR(__xludf.DUMMYFUNCTION("""COMPUTED_VALUE"""),"")</f>
        <v/>
      </c>
      <c r="Q2756" s="5">
        <f>IFERROR(__xludf.DUMMYFUNCTION("""COMPUTED_VALUE"""),0.004089277777777778)</f>
        <v>0.004089277778</v>
      </c>
      <c r="R2756" s="4">
        <f>IFERROR(__xludf.DUMMYFUNCTION("""COMPUTED_VALUE"""),45949.02044638444)</f>
        <v>45949.02045</v>
      </c>
      <c r="S2756" s="1" t="b">
        <f>IFERROR(__xludf.DUMMYFUNCTION("""COMPUTED_VALUE"""),TRUE)</f>
        <v>1</v>
      </c>
      <c r="T2756" s="1" t="b">
        <f>IFERROR(__xludf.DUMMYFUNCTION("""COMPUTED_VALUE"""),FALSE)</f>
        <v>0</v>
      </c>
      <c r="U2756" s="1" t="str">
        <f>IFERROR(__xludf.DUMMYFUNCTION("""COMPUTED_VALUE"""),"VALID")</f>
        <v>VALID</v>
      </c>
      <c r="V2756" s="1">
        <f>IFERROR(__xludf.DUMMYFUNCTION("""COMPUTED_VALUE"""),18.0)</f>
        <v>18</v>
      </c>
      <c r="W2756" s="1">
        <f>IFERROR(__xludf.DUMMYFUNCTION("""COMPUTED_VALUE"""),123.0)</f>
        <v>123</v>
      </c>
      <c r="X2756" s="1">
        <f>IFERROR(__xludf.DUMMYFUNCTION("""COMPUTED_VALUE"""),112.0)</f>
        <v>112</v>
      </c>
      <c r="Y2756" s="2"/>
      <c r="Z2756" s="2"/>
    </row>
    <row r="2757">
      <c r="A2757" s="1">
        <f>IFERROR(__xludf.DUMMYFUNCTION("""COMPUTED_VALUE"""),2756.0)</f>
        <v>2756</v>
      </c>
      <c r="B2757" s="7" t="str">
        <f>IFERROR(__xludf.DUMMYFUNCTION("""COMPUTED_VALUE"""),"9094")</f>
        <v>9094</v>
      </c>
      <c r="C2757" s="8" t="str">
        <f>IFERROR(__xludf.DUMMYFUNCTION("""COMPUTED_VALUE"""),"gojell")</f>
        <v>gojell</v>
      </c>
      <c r="D2757" s="2" t="str">
        <f>IFERROR(__xludf.DUMMYFUNCTION("""COMPUTED_VALUE"""),"5KM STUDENT M")</f>
        <v>5KM STUDENT M</v>
      </c>
      <c r="E2757" s="1">
        <f>IFERROR(__xludf.DUMMYFUNCTION("""COMPUTED_VALUE"""),2.0)</f>
        <v>2</v>
      </c>
      <c r="F2757" s="1" t="str">
        <f>IFERROR(__xludf.DUMMYFUNCTION("""COMPUTED_VALUE"""),"Male")</f>
        <v>Male</v>
      </c>
      <c r="G2757" s="4" t="b">
        <f>IFERROR(__xludf.DUMMYFUNCTION("""COMPUTED_VALUE"""),TRUE)</f>
        <v>1</v>
      </c>
      <c r="H2757" s="4" t="b">
        <f>IFERROR(__xludf.DUMMYFUNCTION("""COMPUTED_VALUE"""),TRUE)</f>
        <v>1</v>
      </c>
      <c r="I2757" s="4">
        <f>IFERROR(__xludf.DUMMYFUNCTION("""COMPUTED_VALUE"""),0.2549440625)</f>
        <v>0.2549440625</v>
      </c>
      <c r="J2757" s="4">
        <f>IFERROR(__xludf.DUMMYFUNCTION("""COMPUTED_VALUE"""),45950.26881944444)</f>
        <v>45950.26882</v>
      </c>
      <c r="K2757" s="4" t="str">
        <f>IFERROR(__xludf.DUMMYFUNCTION("""COMPUTED_VALUE"""),"")</f>
        <v/>
      </c>
      <c r="L2757" s="4">
        <f>IFERROR(__xludf.DUMMYFUNCTION("""COMPUTED_VALUE"""),45949.27806060769)</f>
        <v>45949.27806</v>
      </c>
      <c r="M2757" s="1" t="str">
        <f>IFERROR(__xludf.DUMMYFUNCTION("""COMPUTED_VALUE"""),"RFID")</f>
        <v>RFID</v>
      </c>
      <c r="N2757" s="5">
        <f>IFERROR(__xludf.DUMMYFUNCTION("""COMPUTED_VALUE"""),0.005550152777777778)</f>
        <v>0.005550152778</v>
      </c>
      <c r="O2757" s="5" t="str">
        <f>IFERROR(__xludf.DUMMYFUNCTION("""COMPUTED_VALUE"""),"")</f>
        <v/>
      </c>
      <c r="P2757" s="5" t="str">
        <f>IFERROR(__xludf.DUMMYFUNCTION("""COMPUTED_VALUE"""),"")</f>
        <v/>
      </c>
      <c r="Q2757" s="5">
        <f>IFERROR(__xludf.DUMMYFUNCTION("""COMPUTED_VALUE"""),0.004623310185185185)</f>
        <v>0.004623310185</v>
      </c>
      <c r="R2757" s="4">
        <f>IFERROR(__xludf.DUMMYFUNCTION("""COMPUTED_VALUE"""),45949.02311654519)</f>
        <v>45949.02312</v>
      </c>
      <c r="S2757" s="1" t="b">
        <f>IFERROR(__xludf.DUMMYFUNCTION("""COMPUTED_VALUE"""),TRUE)</f>
        <v>1</v>
      </c>
      <c r="T2757" s="1" t="b">
        <f>IFERROR(__xludf.DUMMYFUNCTION("""COMPUTED_VALUE"""),FALSE)</f>
        <v>0</v>
      </c>
      <c r="U2757" s="1" t="str">
        <f>IFERROR(__xludf.DUMMYFUNCTION("""COMPUTED_VALUE"""),"VALID")</f>
        <v>VALID</v>
      </c>
      <c r="V2757" s="1">
        <f>IFERROR(__xludf.DUMMYFUNCTION("""COMPUTED_VALUE"""),28.0)</f>
        <v>28</v>
      </c>
      <c r="W2757" s="1">
        <f>IFERROR(__xludf.DUMMYFUNCTION("""COMPUTED_VALUE"""),220.0)</f>
        <v>220</v>
      </c>
      <c r="X2757" s="1">
        <f>IFERROR(__xludf.DUMMYFUNCTION("""COMPUTED_VALUE"""),192.0)</f>
        <v>192</v>
      </c>
      <c r="Y2757" s="2"/>
      <c r="Z2757" s="2" t="str">
        <f>IFERROR(__xludf.DUMMYFUNCTION("""COMPUTED_VALUE"""),"C")</f>
        <v>C</v>
      </c>
    </row>
    <row r="2758">
      <c r="A2758" s="1">
        <f>IFERROR(__xludf.DUMMYFUNCTION("""COMPUTED_VALUE"""),2757.0)</f>
        <v>2757</v>
      </c>
      <c r="B2758" s="7" t="str">
        <f>IFERROR(__xludf.DUMMYFUNCTION("""COMPUTED_VALUE"""),"9095")</f>
        <v>9095</v>
      </c>
      <c r="C2758" s="8" t="str">
        <f>IFERROR(__xludf.DUMMYFUNCTION("""COMPUTED_VALUE"""),"Mas FAHRI")</f>
        <v>Mas FAHRI</v>
      </c>
      <c r="D2758" s="2" t="str">
        <f>IFERROR(__xludf.DUMMYFUNCTION("""COMPUTED_VALUE"""),"5KM STUDENT M")</f>
        <v>5KM STUDENT M</v>
      </c>
      <c r="E2758" s="1">
        <f>IFERROR(__xludf.DUMMYFUNCTION("""COMPUTED_VALUE"""),2.0)</f>
        <v>2</v>
      </c>
      <c r="F2758" s="1" t="str">
        <f>IFERROR(__xludf.DUMMYFUNCTION("""COMPUTED_VALUE"""),"Male")</f>
        <v>Male</v>
      </c>
      <c r="G2758" s="4" t="str">
        <f>IFERROR(__xludf.DUMMYFUNCTION("""COMPUTED_VALUE"""),"")</f>
        <v/>
      </c>
      <c r="H2758" s="4" t="b">
        <f>IFERROR(__xludf.DUMMYFUNCTION("""COMPUTED_VALUE"""),TRUE)</f>
        <v>1</v>
      </c>
      <c r="I2758" s="4">
        <f>IFERROR(__xludf.DUMMYFUNCTION("""COMPUTED_VALUE"""),0.2549440625)</f>
        <v>0.2549440625</v>
      </c>
      <c r="J2758" s="4" t="str">
        <f>IFERROR(__xludf.DUMMYFUNCTION("""COMPUTED_VALUE"""),"")</f>
        <v/>
      </c>
      <c r="K2758" s="4" t="str">
        <f>IFERROR(__xludf.DUMMYFUNCTION("""COMPUTED_VALUE"""),"")</f>
        <v/>
      </c>
      <c r="L2758" s="4">
        <f>IFERROR(__xludf.DUMMYFUNCTION("""COMPUTED_VALUE"""),45949.27313004242)</f>
        <v>45949.27313</v>
      </c>
      <c r="M2758" s="1" t="str">
        <f>IFERROR(__xludf.DUMMYFUNCTION("""COMPUTED_VALUE"""),"RFID")</f>
        <v>RFID</v>
      </c>
      <c r="N2758" s="5" t="str">
        <f>IFERROR(__xludf.DUMMYFUNCTION("""COMPUTED_VALUE"""),"")</f>
        <v/>
      </c>
      <c r="O2758" s="5" t="str">
        <f>IFERROR(__xludf.DUMMYFUNCTION("""COMPUTED_VALUE"""),"")</f>
        <v/>
      </c>
      <c r="P2758" s="5" t="str">
        <f>IFERROR(__xludf.DUMMYFUNCTION("""COMPUTED_VALUE"""),"")</f>
        <v/>
      </c>
      <c r="Q2758" s="5">
        <f>IFERROR(__xludf.DUMMYFUNCTION("""COMPUTED_VALUE"""),0.0036371967592592593)</f>
        <v>0.003637196759</v>
      </c>
      <c r="R2758" s="4">
        <f>IFERROR(__xludf.DUMMYFUNCTION("""COMPUTED_VALUE"""),45949.01818597992)</f>
        <v>45949.01819</v>
      </c>
      <c r="S2758" s="1" t="b">
        <f>IFERROR(__xludf.DUMMYFUNCTION("""COMPUTED_VALUE"""),FALSE)</f>
        <v>0</v>
      </c>
      <c r="T2758" s="1" t="b">
        <f>IFERROR(__xludf.DUMMYFUNCTION("""COMPUTED_VALUE"""),FALSE)</f>
        <v>0</v>
      </c>
      <c r="U2758" s="1" t="str">
        <f>IFERROR(__xludf.DUMMYFUNCTION("""COMPUTED_VALUE"""),"DSQ")</f>
        <v>DSQ</v>
      </c>
      <c r="V2758" s="1" t="str">
        <f>IFERROR(__xludf.DUMMYFUNCTION("""COMPUTED_VALUE"""),"DSQ")</f>
        <v>DSQ</v>
      </c>
      <c r="W2758" s="1" t="str">
        <f>IFERROR(__xludf.DUMMYFUNCTION("""COMPUTED_VALUE"""),"DSQ")</f>
        <v>DSQ</v>
      </c>
      <c r="X2758" s="1" t="str">
        <f>IFERROR(__xludf.DUMMYFUNCTION("""COMPUTED_VALUE"""),"DSQ")</f>
        <v>DSQ</v>
      </c>
      <c r="Y2758" s="2"/>
      <c r="Z2758" s="2" t="str">
        <f>IFERROR(__xludf.DUMMYFUNCTION("""COMPUTED_VALUE"""),"")</f>
        <v/>
      </c>
    </row>
    <row r="2759">
      <c r="A2759" s="1">
        <f>IFERROR(__xludf.DUMMYFUNCTION("""COMPUTED_VALUE"""),2758.0)</f>
        <v>2758</v>
      </c>
      <c r="B2759" s="7" t="str">
        <f>IFERROR(__xludf.DUMMYFUNCTION("""COMPUTED_VALUE"""),"9096")</f>
        <v>9096</v>
      </c>
      <c r="C2759" s="8" t="str">
        <f>IFERROR(__xludf.DUMMYFUNCTION("""COMPUTED_VALUE"""),"Mas AGENG")</f>
        <v>Mas AGENG</v>
      </c>
      <c r="D2759" s="2" t="str">
        <f>IFERROR(__xludf.DUMMYFUNCTION("""COMPUTED_VALUE"""),"5KM STUDENT M")</f>
        <v>5KM STUDENT M</v>
      </c>
      <c r="E2759" s="1">
        <f>IFERROR(__xludf.DUMMYFUNCTION("""COMPUTED_VALUE"""),2.0)</f>
        <v>2</v>
      </c>
      <c r="F2759" s="1" t="str">
        <f>IFERROR(__xludf.DUMMYFUNCTION("""COMPUTED_VALUE"""),"Male")</f>
        <v>Male</v>
      </c>
      <c r="G2759" s="4" t="b">
        <f>IFERROR(__xludf.DUMMYFUNCTION("""COMPUTED_VALUE"""),TRUE)</f>
        <v>1</v>
      </c>
      <c r="H2759" s="4" t="b">
        <f>IFERROR(__xludf.DUMMYFUNCTION("""COMPUTED_VALUE"""),TRUE)</f>
        <v>1</v>
      </c>
      <c r="I2759" s="4">
        <f>IFERROR(__xludf.DUMMYFUNCTION("""COMPUTED_VALUE"""),0.2549440625)</f>
        <v>0.2549440625</v>
      </c>
      <c r="J2759" s="4">
        <f>IFERROR(__xludf.DUMMYFUNCTION("""COMPUTED_VALUE"""),45949.263464189884)</f>
        <v>45949.26346</v>
      </c>
      <c r="K2759" s="4" t="str">
        <f>IFERROR(__xludf.DUMMYFUNCTION("""COMPUTED_VALUE"""),"")</f>
        <v/>
      </c>
      <c r="L2759" s="4">
        <f>IFERROR(__xludf.DUMMYFUNCTION("""COMPUTED_VALUE"""),45949.26999463526)</f>
        <v>45949.26999</v>
      </c>
      <c r="M2759" s="1" t="str">
        <f>IFERROR(__xludf.DUMMYFUNCTION("""COMPUTED_VALUE"""),"RFID")</f>
        <v>RFID</v>
      </c>
      <c r="N2759" s="5">
        <f>IFERROR(__xludf.DUMMYFUNCTION("""COMPUTED_VALUE"""),0.0034080509259259264)</f>
        <v>0.003408050926</v>
      </c>
      <c r="O2759" s="5" t="str">
        <f>IFERROR(__xludf.DUMMYFUNCTION("""COMPUTED_VALUE"""),"")</f>
        <v/>
      </c>
      <c r="P2759" s="5" t="str">
        <f>IFERROR(__xludf.DUMMYFUNCTION("""COMPUTED_VALUE"""),"")</f>
        <v/>
      </c>
      <c r="Q2759" s="5">
        <f>IFERROR(__xludf.DUMMYFUNCTION("""COMPUTED_VALUE"""),0.0030101134259259256)</f>
        <v>0.003010113426</v>
      </c>
      <c r="R2759" s="4">
        <f>IFERROR(__xludf.DUMMYFUNCTION("""COMPUTED_VALUE"""),45949.01505057276)</f>
        <v>45949.01505</v>
      </c>
      <c r="S2759" s="1" t="b">
        <f>IFERROR(__xludf.DUMMYFUNCTION("""COMPUTED_VALUE"""),TRUE)</f>
        <v>1</v>
      </c>
      <c r="T2759" s="1" t="b">
        <f>IFERROR(__xludf.DUMMYFUNCTION("""COMPUTED_VALUE"""),FALSE)</f>
        <v>0</v>
      </c>
      <c r="U2759" s="1" t="str">
        <f>IFERROR(__xludf.DUMMYFUNCTION("""COMPUTED_VALUE"""),"VALID")</f>
        <v>VALID</v>
      </c>
      <c r="V2759" s="1">
        <f>IFERROR(__xludf.DUMMYFUNCTION("""COMPUTED_VALUE"""),3.0)</f>
        <v>3</v>
      </c>
      <c r="W2759" s="1">
        <f>IFERROR(__xludf.DUMMYFUNCTION("""COMPUTED_VALUE"""),15.0)</f>
        <v>15</v>
      </c>
      <c r="X2759" s="1">
        <f>IFERROR(__xludf.DUMMYFUNCTION("""COMPUTED_VALUE"""),15.0)</f>
        <v>15</v>
      </c>
      <c r="Y2759" s="2"/>
      <c r="Z2759" s="2"/>
    </row>
    <row r="2760">
      <c r="A2760" s="1">
        <f>IFERROR(__xludf.DUMMYFUNCTION("""COMPUTED_VALUE"""),2759.0)</f>
        <v>2759</v>
      </c>
      <c r="B2760" s="7" t="str">
        <f>IFERROR(__xludf.DUMMYFUNCTION("""COMPUTED_VALUE"""),"9098")</f>
        <v>9098</v>
      </c>
      <c r="C2760" s="8" t="str">
        <f>IFERROR(__xludf.DUMMYFUNCTION("""COMPUTED_VALUE"""),"Reza")</f>
        <v>Reza</v>
      </c>
      <c r="D2760" s="2" t="str">
        <f>IFERROR(__xludf.DUMMYFUNCTION("""COMPUTED_VALUE"""),"5KM STUDENT M")</f>
        <v>5KM STUDENT M</v>
      </c>
      <c r="E2760" s="1">
        <f>IFERROR(__xludf.DUMMYFUNCTION("""COMPUTED_VALUE"""),2.0)</f>
        <v>2</v>
      </c>
      <c r="F2760" s="1" t="str">
        <f>IFERROR(__xludf.DUMMYFUNCTION("""COMPUTED_VALUE"""),"Male")</f>
        <v>Male</v>
      </c>
      <c r="G2760" s="4" t="str">
        <f>IFERROR(__xludf.DUMMYFUNCTION("""COMPUTED_VALUE"""),"")</f>
        <v/>
      </c>
      <c r="H2760" s="4" t="b">
        <f>IFERROR(__xludf.DUMMYFUNCTION("""COMPUTED_VALUE"""),TRUE)</f>
        <v>1</v>
      </c>
      <c r="I2760" s="4">
        <f>IFERROR(__xludf.DUMMYFUNCTION("""COMPUTED_VALUE"""),0.2549440625)</f>
        <v>0.2549440625</v>
      </c>
      <c r="J2760" s="4">
        <f>IFERROR(__xludf.DUMMYFUNCTION("""COMPUTED_VALUE"""),45949.276735095424)</f>
        <v>45949.27674</v>
      </c>
      <c r="K2760" s="4" t="str">
        <f>IFERROR(__xludf.DUMMYFUNCTION("""COMPUTED_VALUE"""),"")</f>
        <v/>
      </c>
      <c r="L2760" s="4">
        <f>IFERROR(__xludf.DUMMYFUNCTION("""COMPUTED_VALUE"""),45949.33372720045)</f>
        <v>45949.33373</v>
      </c>
      <c r="M2760" s="1" t="str">
        <f>IFERROR(__xludf.DUMMYFUNCTION("""COMPUTED_VALUE"""),"RFID")</f>
        <v>RFID</v>
      </c>
      <c r="N2760" s="5">
        <f>IFERROR(__xludf.DUMMYFUNCTION("""COMPUTED_VALUE"""),0.008716412037037036)</f>
        <v>0.008716412037</v>
      </c>
      <c r="O2760" s="5" t="str">
        <f>IFERROR(__xludf.DUMMYFUNCTION("""COMPUTED_VALUE"""),"")</f>
        <v/>
      </c>
      <c r="P2760" s="5" t="str">
        <f>IFERROR(__xludf.DUMMYFUNCTION("""COMPUTED_VALUE"""),"")</f>
        <v/>
      </c>
      <c r="Q2760" s="5">
        <f>IFERROR(__xludf.DUMMYFUNCTION("""COMPUTED_VALUE"""),0.015756627314814815)</f>
        <v>0.01575662731</v>
      </c>
      <c r="R2760" s="4">
        <f>IFERROR(__xludf.DUMMYFUNCTION("""COMPUTED_VALUE"""),45949.07878313795)</f>
        <v>45949.07878</v>
      </c>
      <c r="S2760" s="1" t="b">
        <f>IFERROR(__xludf.DUMMYFUNCTION("""COMPUTED_VALUE"""),TRUE)</f>
        <v>1</v>
      </c>
      <c r="T2760" s="1" t="b">
        <f>IFERROR(__xludf.DUMMYFUNCTION("""COMPUTED_VALUE"""),FALSE)</f>
        <v>0</v>
      </c>
      <c r="U2760" s="1" t="str">
        <f>IFERROR(__xludf.DUMMYFUNCTION("""COMPUTED_VALUE"""),"VALID")</f>
        <v>VALID</v>
      </c>
      <c r="V2760" s="1">
        <f>IFERROR(__xludf.DUMMYFUNCTION("""COMPUTED_VALUE"""),69.0)</f>
        <v>69</v>
      </c>
      <c r="W2760" s="1">
        <f>IFERROR(__xludf.DUMMYFUNCTION("""COMPUTED_VALUE"""),1611.0)</f>
        <v>1611</v>
      </c>
      <c r="X2760" s="1">
        <f>IFERROR(__xludf.DUMMYFUNCTION("""COMPUTED_VALUE"""),1681.0)</f>
        <v>1681</v>
      </c>
      <c r="Y2760" s="2"/>
      <c r="Z2760" s="2"/>
    </row>
    <row r="2761">
      <c r="A2761" s="1">
        <f>IFERROR(__xludf.DUMMYFUNCTION("""COMPUTED_VALUE"""),2760.0)</f>
        <v>2760</v>
      </c>
      <c r="B2761" s="7" t="str">
        <f>IFERROR(__xludf.DUMMYFUNCTION("""COMPUTED_VALUE"""),"9099")</f>
        <v>9099</v>
      </c>
      <c r="C2761" s="8" t="str">
        <f>IFERROR(__xludf.DUMMYFUNCTION("""COMPUTED_VALUE"""),"Fatih")</f>
        <v>Fatih</v>
      </c>
      <c r="D2761" s="2" t="str">
        <f>IFERROR(__xludf.DUMMYFUNCTION("""COMPUTED_VALUE"""),"5KM STUDENT M")</f>
        <v>5KM STUDENT M</v>
      </c>
      <c r="E2761" s="1">
        <f>IFERROR(__xludf.DUMMYFUNCTION("""COMPUTED_VALUE"""),2.0)</f>
        <v>2</v>
      </c>
      <c r="F2761" s="1" t="str">
        <f>IFERROR(__xludf.DUMMYFUNCTION("""COMPUTED_VALUE"""),"Male")</f>
        <v>Male</v>
      </c>
      <c r="G2761" s="4" t="str">
        <f>IFERROR(__xludf.DUMMYFUNCTION("""COMPUTED_VALUE"""),"")</f>
        <v/>
      </c>
      <c r="H2761" s="4" t="b">
        <f>IFERROR(__xludf.DUMMYFUNCTION("""COMPUTED_VALUE"""),FALSE)</f>
        <v>0</v>
      </c>
      <c r="I2761" s="4">
        <f>IFERROR(__xludf.DUMMYFUNCTION("""COMPUTED_VALUE"""),0.2549440625)</f>
        <v>0.2549440625</v>
      </c>
      <c r="J2761" s="4" t="str">
        <f>IFERROR(__xludf.DUMMYFUNCTION("""COMPUTED_VALUE"""),"")</f>
        <v/>
      </c>
      <c r="K2761" s="4" t="str">
        <f>IFERROR(__xludf.DUMMYFUNCTION("""COMPUTED_VALUE"""),"")</f>
        <v/>
      </c>
      <c r="L2761" s="4" t="str">
        <f>IFERROR(__xludf.DUMMYFUNCTION("""COMPUTED_VALUE"""),"")</f>
        <v/>
      </c>
      <c r="M2761" s="1" t="str">
        <f>IFERROR(__xludf.DUMMYFUNCTION("""COMPUTED_VALUE"""),"RFID")</f>
        <v>RFID</v>
      </c>
      <c r="N2761" s="5" t="str">
        <f>IFERROR(__xludf.DUMMYFUNCTION("""COMPUTED_VALUE"""),"")</f>
        <v/>
      </c>
      <c r="O2761" s="5" t="str">
        <f>IFERROR(__xludf.DUMMYFUNCTION("""COMPUTED_VALUE"""),"")</f>
        <v/>
      </c>
      <c r="P2761" s="5" t="str">
        <f>IFERROR(__xludf.DUMMYFUNCTION("""COMPUTED_VALUE"""),"")</f>
        <v/>
      </c>
      <c r="Q2761" s="5" t="str">
        <f>IFERROR(__xludf.DUMMYFUNCTION("""COMPUTED_VALUE"""),"")</f>
        <v/>
      </c>
      <c r="R2761" s="4" t="str">
        <f>IFERROR(__xludf.DUMMYFUNCTION("""COMPUTED_VALUE"""),"")</f>
        <v/>
      </c>
      <c r="S2761" s="1" t="b">
        <f>IFERROR(__xludf.DUMMYFUNCTION("""COMPUTED_VALUE"""),FALSE)</f>
        <v>0</v>
      </c>
      <c r="T2761" s="1" t="b">
        <f>IFERROR(__xludf.DUMMYFUNCTION("""COMPUTED_VALUE"""),FALSE)</f>
        <v>0</v>
      </c>
      <c r="U2761" s="1" t="str">
        <f>IFERROR(__xludf.DUMMYFUNCTION("""COMPUTED_VALUE"""),"DSQ")</f>
        <v>DSQ</v>
      </c>
      <c r="V2761" s="1" t="str">
        <f>IFERROR(__xludf.DUMMYFUNCTION("""COMPUTED_VALUE"""),"DSQ")</f>
        <v>DSQ</v>
      </c>
      <c r="W2761" s="1" t="str">
        <f>IFERROR(__xludf.DUMMYFUNCTION("""COMPUTED_VALUE"""),"DSQ")</f>
        <v>DSQ</v>
      </c>
      <c r="X2761" s="1" t="str">
        <f>IFERROR(__xludf.DUMMYFUNCTION("""COMPUTED_VALUE"""),"DSQ")</f>
        <v>DSQ</v>
      </c>
      <c r="Y2761" s="2"/>
      <c r="Z2761" s="2" t="str">
        <f>IFERROR(__xludf.DUMMYFUNCTION("""COMPUTED_VALUE"""),"")</f>
        <v/>
      </c>
    </row>
    <row r="2762">
      <c r="A2762" s="1" t="str">
        <f>IFERROR(__xludf.DUMMYFUNCTION("""COMPUTED_VALUE"""),"")</f>
        <v/>
      </c>
      <c r="B2762" s="1"/>
      <c r="C2762" s="2"/>
      <c r="D2762" s="2"/>
      <c r="E2762" s="1"/>
      <c r="F2762" s="1"/>
      <c r="G2762" s="4" t="str">
        <f>IFERROR(__xludf.DUMMYFUNCTION("""COMPUTED_VALUE"""),"")</f>
        <v/>
      </c>
      <c r="H2762" s="4" t="str">
        <f>IFERROR(__xludf.DUMMYFUNCTION("""COMPUTED_VALUE"""),"")</f>
        <v/>
      </c>
      <c r="I2762" s="4" t="str">
        <f>IFERROR(__xludf.DUMMYFUNCTION("""COMPUTED_VALUE"""),"")</f>
        <v/>
      </c>
      <c r="J2762" s="4" t="str">
        <f>IFERROR(__xludf.DUMMYFUNCTION("""COMPUTED_VALUE"""),"")</f>
        <v/>
      </c>
      <c r="K2762" s="4" t="str">
        <f>IFERROR(__xludf.DUMMYFUNCTION("""COMPUTED_VALUE"""),"")</f>
        <v/>
      </c>
      <c r="L2762" s="4" t="str">
        <f>IFERROR(__xludf.DUMMYFUNCTION("""COMPUTED_VALUE"""),"")</f>
        <v/>
      </c>
      <c r="M2762" s="1" t="str">
        <f>IFERROR(__xludf.DUMMYFUNCTION("""COMPUTED_VALUE"""),"RFID")</f>
        <v>RFID</v>
      </c>
      <c r="N2762" s="5" t="str">
        <f>IFERROR(__xludf.DUMMYFUNCTION("""COMPUTED_VALUE"""),"")</f>
        <v/>
      </c>
      <c r="O2762" s="5" t="str">
        <f>IFERROR(__xludf.DUMMYFUNCTION("""COMPUTED_VALUE"""),"")</f>
        <v/>
      </c>
      <c r="P2762" s="5" t="str">
        <f>IFERROR(__xludf.DUMMYFUNCTION("""COMPUTED_VALUE"""),"")</f>
        <v/>
      </c>
      <c r="Q2762" s="5" t="str">
        <f>IFERROR(__xludf.DUMMYFUNCTION("""COMPUTED_VALUE"""),"")</f>
        <v/>
      </c>
      <c r="R2762" s="4" t="str">
        <f>IFERROR(__xludf.DUMMYFUNCTION("""COMPUTED_VALUE"""),"")</f>
        <v/>
      </c>
      <c r="S2762" s="1" t="b">
        <f>IFERROR(__xludf.DUMMYFUNCTION("""COMPUTED_VALUE"""),FALSE)</f>
        <v>0</v>
      </c>
      <c r="T2762" s="1" t="b">
        <f>IFERROR(__xludf.DUMMYFUNCTION("""COMPUTED_VALUE"""),FALSE)</f>
        <v>0</v>
      </c>
      <c r="U2762" s="1" t="str">
        <f>IFERROR(__xludf.DUMMYFUNCTION("""COMPUTED_VALUE"""),"")</f>
        <v/>
      </c>
      <c r="V2762" s="1" t="str">
        <f>IFERROR(__xludf.DUMMYFUNCTION("""COMPUTED_VALUE"""),"")</f>
        <v/>
      </c>
      <c r="W2762" s="1" t="str">
        <f>IFERROR(__xludf.DUMMYFUNCTION("""COMPUTED_VALUE"""),"")</f>
        <v/>
      </c>
      <c r="X2762" s="1" t="str">
        <f>IFERROR(__xludf.DUMMYFUNCTION("""COMPUTED_VALUE"""),"")</f>
        <v/>
      </c>
      <c r="Y2762" s="2"/>
      <c r="Z2762" s="2" t="str">
        <f>IFERROR(__xludf.DUMMYFUNCTION("""COMPUTED_VALUE"""),"")</f>
        <v/>
      </c>
    </row>
    <row r="2763">
      <c r="A2763" s="1" t="str">
        <f>IFERROR(__xludf.DUMMYFUNCTION("""COMPUTED_VALUE"""),"")</f>
        <v/>
      </c>
      <c r="B2763" s="1"/>
      <c r="C2763" s="2"/>
      <c r="D2763" s="2"/>
      <c r="E2763" s="1"/>
      <c r="F2763" s="1"/>
      <c r="G2763" s="4" t="str">
        <f>IFERROR(__xludf.DUMMYFUNCTION("""COMPUTED_VALUE"""),"")</f>
        <v/>
      </c>
      <c r="H2763" s="4" t="str">
        <f>IFERROR(__xludf.DUMMYFUNCTION("""COMPUTED_VALUE"""),"")</f>
        <v/>
      </c>
      <c r="I2763" s="4" t="str">
        <f>IFERROR(__xludf.DUMMYFUNCTION("""COMPUTED_VALUE"""),"")</f>
        <v/>
      </c>
      <c r="J2763" s="4" t="str">
        <f>IFERROR(__xludf.DUMMYFUNCTION("""COMPUTED_VALUE"""),"")</f>
        <v/>
      </c>
      <c r="K2763" s="4" t="str">
        <f>IFERROR(__xludf.DUMMYFUNCTION("""COMPUTED_VALUE"""),"")</f>
        <v/>
      </c>
      <c r="L2763" s="4" t="str">
        <f>IFERROR(__xludf.DUMMYFUNCTION("""COMPUTED_VALUE"""),"")</f>
        <v/>
      </c>
      <c r="M2763" s="1" t="str">
        <f>IFERROR(__xludf.DUMMYFUNCTION("""COMPUTED_VALUE"""),"RFID")</f>
        <v>RFID</v>
      </c>
      <c r="N2763" s="5" t="str">
        <f>IFERROR(__xludf.DUMMYFUNCTION("""COMPUTED_VALUE"""),"")</f>
        <v/>
      </c>
      <c r="O2763" s="5" t="str">
        <f>IFERROR(__xludf.DUMMYFUNCTION("""COMPUTED_VALUE"""),"")</f>
        <v/>
      </c>
      <c r="P2763" s="5" t="str">
        <f>IFERROR(__xludf.DUMMYFUNCTION("""COMPUTED_VALUE"""),"")</f>
        <v/>
      </c>
      <c r="Q2763" s="5" t="str">
        <f>IFERROR(__xludf.DUMMYFUNCTION("""COMPUTED_VALUE"""),"")</f>
        <v/>
      </c>
      <c r="R2763" s="4" t="str">
        <f>IFERROR(__xludf.DUMMYFUNCTION("""COMPUTED_VALUE"""),"")</f>
        <v/>
      </c>
      <c r="S2763" s="1" t="b">
        <f>IFERROR(__xludf.DUMMYFUNCTION("""COMPUTED_VALUE"""),FALSE)</f>
        <v>0</v>
      </c>
      <c r="T2763" s="1" t="b">
        <f>IFERROR(__xludf.DUMMYFUNCTION("""COMPUTED_VALUE"""),FALSE)</f>
        <v>0</v>
      </c>
      <c r="U2763" s="1" t="str">
        <f>IFERROR(__xludf.DUMMYFUNCTION("""COMPUTED_VALUE"""),"")</f>
        <v/>
      </c>
      <c r="V2763" s="1" t="str">
        <f>IFERROR(__xludf.DUMMYFUNCTION("""COMPUTED_VALUE"""),"")</f>
        <v/>
      </c>
      <c r="W2763" s="1" t="str">
        <f>IFERROR(__xludf.DUMMYFUNCTION("""COMPUTED_VALUE"""),"")</f>
        <v/>
      </c>
      <c r="X2763" s="1" t="str">
        <f>IFERROR(__xludf.DUMMYFUNCTION("""COMPUTED_VALUE"""),"")</f>
        <v/>
      </c>
      <c r="Y2763" s="2"/>
      <c r="Z2763" s="2" t="str">
        <f>IFERROR(__xludf.DUMMYFUNCTION("""COMPUTED_VALUE"""),"")</f>
        <v/>
      </c>
    </row>
    <row r="2764">
      <c r="A2764" s="1" t="str">
        <f>IFERROR(__xludf.DUMMYFUNCTION("""COMPUTED_VALUE"""),"")</f>
        <v/>
      </c>
      <c r="B2764" s="1"/>
      <c r="C2764" s="2"/>
      <c r="D2764" s="2"/>
      <c r="E2764" s="1"/>
      <c r="F2764" s="1"/>
      <c r="G2764" s="4" t="str">
        <f>IFERROR(__xludf.DUMMYFUNCTION("""COMPUTED_VALUE"""),"")</f>
        <v/>
      </c>
      <c r="H2764" s="4" t="str">
        <f>IFERROR(__xludf.DUMMYFUNCTION("""COMPUTED_VALUE"""),"")</f>
        <v/>
      </c>
      <c r="I2764" s="4" t="str">
        <f>IFERROR(__xludf.DUMMYFUNCTION("""COMPUTED_VALUE"""),"")</f>
        <v/>
      </c>
      <c r="J2764" s="4" t="str">
        <f>IFERROR(__xludf.DUMMYFUNCTION("""COMPUTED_VALUE"""),"")</f>
        <v/>
      </c>
      <c r="K2764" s="4" t="str">
        <f>IFERROR(__xludf.DUMMYFUNCTION("""COMPUTED_VALUE"""),"")</f>
        <v/>
      </c>
      <c r="L2764" s="4" t="str">
        <f>IFERROR(__xludf.DUMMYFUNCTION("""COMPUTED_VALUE"""),"")</f>
        <v/>
      </c>
      <c r="M2764" s="1" t="str">
        <f>IFERROR(__xludf.DUMMYFUNCTION("""COMPUTED_VALUE"""),"RFID")</f>
        <v>RFID</v>
      </c>
      <c r="N2764" s="5" t="str">
        <f>IFERROR(__xludf.DUMMYFUNCTION("""COMPUTED_VALUE"""),"")</f>
        <v/>
      </c>
      <c r="O2764" s="5" t="str">
        <f>IFERROR(__xludf.DUMMYFUNCTION("""COMPUTED_VALUE"""),"")</f>
        <v/>
      </c>
      <c r="P2764" s="5" t="str">
        <f>IFERROR(__xludf.DUMMYFUNCTION("""COMPUTED_VALUE"""),"")</f>
        <v/>
      </c>
      <c r="Q2764" s="5" t="str">
        <f>IFERROR(__xludf.DUMMYFUNCTION("""COMPUTED_VALUE"""),"")</f>
        <v/>
      </c>
      <c r="R2764" s="4" t="str">
        <f>IFERROR(__xludf.DUMMYFUNCTION("""COMPUTED_VALUE"""),"")</f>
        <v/>
      </c>
      <c r="S2764" s="1" t="b">
        <f>IFERROR(__xludf.DUMMYFUNCTION("""COMPUTED_VALUE"""),FALSE)</f>
        <v>0</v>
      </c>
      <c r="T2764" s="1" t="b">
        <f>IFERROR(__xludf.DUMMYFUNCTION("""COMPUTED_VALUE"""),FALSE)</f>
        <v>0</v>
      </c>
      <c r="U2764" s="1" t="str">
        <f>IFERROR(__xludf.DUMMYFUNCTION("""COMPUTED_VALUE"""),"")</f>
        <v/>
      </c>
      <c r="V2764" s="1" t="str">
        <f>IFERROR(__xludf.DUMMYFUNCTION("""COMPUTED_VALUE"""),"")</f>
        <v/>
      </c>
      <c r="W2764" s="1" t="str">
        <f>IFERROR(__xludf.DUMMYFUNCTION("""COMPUTED_VALUE"""),"")</f>
        <v/>
      </c>
      <c r="X2764" s="1" t="str">
        <f>IFERROR(__xludf.DUMMYFUNCTION("""COMPUTED_VALUE"""),"")</f>
        <v/>
      </c>
      <c r="Y2764" s="2"/>
      <c r="Z2764" s="2" t="str">
        <f>IFERROR(__xludf.DUMMYFUNCTION("""COMPUTED_VALUE"""),"")</f>
        <v/>
      </c>
    </row>
    <row r="2765">
      <c r="A2765" s="1" t="str">
        <f>IFERROR(__xludf.DUMMYFUNCTION("""COMPUTED_VALUE"""),"")</f>
        <v/>
      </c>
      <c r="B2765" s="1"/>
      <c r="C2765" s="2"/>
      <c r="D2765" s="2"/>
      <c r="E2765" s="1"/>
      <c r="F2765" s="1"/>
      <c r="G2765" s="4" t="str">
        <f>IFERROR(__xludf.DUMMYFUNCTION("""COMPUTED_VALUE"""),"")</f>
        <v/>
      </c>
      <c r="H2765" s="4" t="str">
        <f>IFERROR(__xludf.DUMMYFUNCTION("""COMPUTED_VALUE"""),"")</f>
        <v/>
      </c>
      <c r="I2765" s="4" t="str">
        <f>IFERROR(__xludf.DUMMYFUNCTION("""COMPUTED_VALUE"""),"")</f>
        <v/>
      </c>
      <c r="J2765" s="4" t="str">
        <f>IFERROR(__xludf.DUMMYFUNCTION("""COMPUTED_VALUE"""),"")</f>
        <v/>
      </c>
      <c r="K2765" s="4" t="str">
        <f>IFERROR(__xludf.DUMMYFUNCTION("""COMPUTED_VALUE"""),"")</f>
        <v/>
      </c>
      <c r="L2765" s="4" t="str">
        <f>IFERROR(__xludf.DUMMYFUNCTION("""COMPUTED_VALUE"""),"")</f>
        <v/>
      </c>
      <c r="M2765" s="1" t="str">
        <f>IFERROR(__xludf.DUMMYFUNCTION("""COMPUTED_VALUE"""),"RFID")</f>
        <v>RFID</v>
      </c>
      <c r="N2765" s="5" t="str">
        <f>IFERROR(__xludf.DUMMYFUNCTION("""COMPUTED_VALUE"""),"")</f>
        <v/>
      </c>
      <c r="O2765" s="5" t="str">
        <f>IFERROR(__xludf.DUMMYFUNCTION("""COMPUTED_VALUE"""),"")</f>
        <v/>
      </c>
      <c r="P2765" s="5" t="str">
        <f>IFERROR(__xludf.DUMMYFUNCTION("""COMPUTED_VALUE"""),"")</f>
        <v/>
      </c>
      <c r="Q2765" s="5" t="str">
        <f>IFERROR(__xludf.DUMMYFUNCTION("""COMPUTED_VALUE"""),"")</f>
        <v/>
      </c>
      <c r="R2765" s="4" t="str">
        <f>IFERROR(__xludf.DUMMYFUNCTION("""COMPUTED_VALUE"""),"")</f>
        <v/>
      </c>
      <c r="S2765" s="1" t="b">
        <f>IFERROR(__xludf.DUMMYFUNCTION("""COMPUTED_VALUE"""),FALSE)</f>
        <v>0</v>
      </c>
      <c r="T2765" s="1" t="b">
        <f>IFERROR(__xludf.DUMMYFUNCTION("""COMPUTED_VALUE"""),FALSE)</f>
        <v>0</v>
      </c>
      <c r="U2765" s="1" t="str">
        <f>IFERROR(__xludf.DUMMYFUNCTION("""COMPUTED_VALUE"""),"")</f>
        <v/>
      </c>
      <c r="V2765" s="1" t="str">
        <f>IFERROR(__xludf.DUMMYFUNCTION("""COMPUTED_VALUE"""),"")</f>
        <v/>
      </c>
      <c r="W2765" s="1" t="str">
        <f>IFERROR(__xludf.DUMMYFUNCTION("""COMPUTED_VALUE"""),"")</f>
        <v/>
      </c>
      <c r="X2765" s="1" t="str">
        <f>IFERROR(__xludf.DUMMYFUNCTION("""COMPUTED_VALUE"""),"")</f>
        <v/>
      </c>
      <c r="Y2765" s="2"/>
      <c r="Z2765" s="2" t="str">
        <f>IFERROR(__xludf.DUMMYFUNCTION("""COMPUTED_VALUE"""),"")</f>
        <v/>
      </c>
    </row>
    <row r="2766">
      <c r="A2766" s="1" t="str">
        <f>IFERROR(__xludf.DUMMYFUNCTION("""COMPUTED_VALUE"""),"")</f>
        <v/>
      </c>
      <c r="B2766" s="1"/>
      <c r="C2766" s="2"/>
      <c r="D2766" s="2"/>
      <c r="E2766" s="1"/>
      <c r="F2766" s="1"/>
      <c r="G2766" s="4" t="str">
        <f>IFERROR(__xludf.DUMMYFUNCTION("""COMPUTED_VALUE"""),"")</f>
        <v/>
      </c>
      <c r="H2766" s="4" t="str">
        <f>IFERROR(__xludf.DUMMYFUNCTION("""COMPUTED_VALUE"""),"")</f>
        <v/>
      </c>
      <c r="I2766" s="4" t="str">
        <f>IFERROR(__xludf.DUMMYFUNCTION("""COMPUTED_VALUE"""),"")</f>
        <v/>
      </c>
      <c r="J2766" s="4" t="str">
        <f>IFERROR(__xludf.DUMMYFUNCTION("""COMPUTED_VALUE"""),"")</f>
        <v/>
      </c>
      <c r="K2766" s="4" t="str">
        <f>IFERROR(__xludf.DUMMYFUNCTION("""COMPUTED_VALUE"""),"")</f>
        <v/>
      </c>
      <c r="L2766" s="4" t="str">
        <f>IFERROR(__xludf.DUMMYFUNCTION("""COMPUTED_VALUE"""),"")</f>
        <v/>
      </c>
      <c r="M2766" s="1" t="str">
        <f>IFERROR(__xludf.DUMMYFUNCTION("""COMPUTED_VALUE"""),"RFID")</f>
        <v>RFID</v>
      </c>
      <c r="N2766" s="5" t="str">
        <f>IFERROR(__xludf.DUMMYFUNCTION("""COMPUTED_VALUE"""),"")</f>
        <v/>
      </c>
      <c r="O2766" s="5" t="str">
        <f>IFERROR(__xludf.DUMMYFUNCTION("""COMPUTED_VALUE"""),"")</f>
        <v/>
      </c>
      <c r="P2766" s="5" t="str">
        <f>IFERROR(__xludf.DUMMYFUNCTION("""COMPUTED_VALUE"""),"")</f>
        <v/>
      </c>
      <c r="Q2766" s="5" t="str">
        <f>IFERROR(__xludf.DUMMYFUNCTION("""COMPUTED_VALUE"""),"")</f>
        <v/>
      </c>
      <c r="R2766" s="4" t="str">
        <f>IFERROR(__xludf.DUMMYFUNCTION("""COMPUTED_VALUE"""),"")</f>
        <v/>
      </c>
      <c r="S2766" s="1" t="b">
        <f>IFERROR(__xludf.DUMMYFUNCTION("""COMPUTED_VALUE"""),FALSE)</f>
        <v>0</v>
      </c>
      <c r="T2766" s="1" t="b">
        <f>IFERROR(__xludf.DUMMYFUNCTION("""COMPUTED_VALUE"""),FALSE)</f>
        <v>0</v>
      </c>
      <c r="U2766" s="1" t="str">
        <f>IFERROR(__xludf.DUMMYFUNCTION("""COMPUTED_VALUE"""),"")</f>
        <v/>
      </c>
      <c r="V2766" s="1" t="str">
        <f>IFERROR(__xludf.DUMMYFUNCTION("""COMPUTED_VALUE"""),"")</f>
        <v/>
      </c>
      <c r="W2766" s="1" t="str">
        <f>IFERROR(__xludf.DUMMYFUNCTION("""COMPUTED_VALUE"""),"")</f>
        <v/>
      </c>
      <c r="X2766" s="1" t="str">
        <f>IFERROR(__xludf.DUMMYFUNCTION("""COMPUTED_VALUE"""),"")</f>
        <v/>
      </c>
      <c r="Y2766" s="2"/>
      <c r="Z2766" s="2" t="str">
        <f>IFERROR(__xludf.DUMMYFUNCTION("""COMPUTED_VALUE"""),"")</f>
        <v/>
      </c>
    </row>
    <row r="2767">
      <c r="A2767" s="1" t="str">
        <f>IFERROR(__xludf.DUMMYFUNCTION("""COMPUTED_VALUE"""),"")</f>
        <v/>
      </c>
      <c r="B2767" s="1"/>
      <c r="C2767" s="2"/>
      <c r="D2767" s="2"/>
      <c r="E2767" s="1"/>
      <c r="F2767" s="1"/>
      <c r="G2767" s="4" t="str">
        <f>IFERROR(__xludf.DUMMYFUNCTION("""COMPUTED_VALUE"""),"")</f>
        <v/>
      </c>
      <c r="H2767" s="4" t="str">
        <f>IFERROR(__xludf.DUMMYFUNCTION("""COMPUTED_VALUE"""),"")</f>
        <v/>
      </c>
      <c r="I2767" s="4" t="str">
        <f>IFERROR(__xludf.DUMMYFUNCTION("""COMPUTED_VALUE"""),"")</f>
        <v/>
      </c>
      <c r="J2767" s="4" t="str">
        <f>IFERROR(__xludf.DUMMYFUNCTION("""COMPUTED_VALUE"""),"")</f>
        <v/>
      </c>
      <c r="K2767" s="4" t="str">
        <f>IFERROR(__xludf.DUMMYFUNCTION("""COMPUTED_VALUE"""),"")</f>
        <v/>
      </c>
      <c r="L2767" s="4" t="str">
        <f>IFERROR(__xludf.DUMMYFUNCTION("""COMPUTED_VALUE"""),"")</f>
        <v/>
      </c>
      <c r="M2767" s="1" t="str">
        <f>IFERROR(__xludf.DUMMYFUNCTION("""COMPUTED_VALUE"""),"RFID")</f>
        <v>RFID</v>
      </c>
      <c r="N2767" s="5" t="str">
        <f>IFERROR(__xludf.DUMMYFUNCTION("""COMPUTED_VALUE"""),"")</f>
        <v/>
      </c>
      <c r="O2767" s="5" t="str">
        <f>IFERROR(__xludf.DUMMYFUNCTION("""COMPUTED_VALUE"""),"")</f>
        <v/>
      </c>
      <c r="P2767" s="5" t="str">
        <f>IFERROR(__xludf.DUMMYFUNCTION("""COMPUTED_VALUE"""),"")</f>
        <v/>
      </c>
      <c r="Q2767" s="5" t="str">
        <f>IFERROR(__xludf.DUMMYFUNCTION("""COMPUTED_VALUE"""),"")</f>
        <v/>
      </c>
      <c r="R2767" s="4" t="str">
        <f>IFERROR(__xludf.DUMMYFUNCTION("""COMPUTED_VALUE"""),"")</f>
        <v/>
      </c>
      <c r="S2767" s="1" t="b">
        <f>IFERROR(__xludf.DUMMYFUNCTION("""COMPUTED_VALUE"""),FALSE)</f>
        <v>0</v>
      </c>
      <c r="T2767" s="1" t="b">
        <f>IFERROR(__xludf.DUMMYFUNCTION("""COMPUTED_VALUE"""),FALSE)</f>
        <v>0</v>
      </c>
      <c r="U2767" s="1" t="str">
        <f>IFERROR(__xludf.DUMMYFUNCTION("""COMPUTED_VALUE"""),"")</f>
        <v/>
      </c>
      <c r="V2767" s="1" t="str">
        <f>IFERROR(__xludf.DUMMYFUNCTION("""COMPUTED_VALUE"""),"")</f>
        <v/>
      </c>
      <c r="W2767" s="1" t="str">
        <f>IFERROR(__xludf.DUMMYFUNCTION("""COMPUTED_VALUE"""),"")</f>
        <v/>
      </c>
      <c r="X2767" s="1" t="str">
        <f>IFERROR(__xludf.DUMMYFUNCTION("""COMPUTED_VALUE"""),"")</f>
        <v/>
      </c>
      <c r="Y2767" s="2"/>
      <c r="Z2767" s="2" t="str">
        <f>IFERROR(__xludf.DUMMYFUNCTION("""COMPUTED_VALUE"""),"")</f>
        <v/>
      </c>
    </row>
    <row r="2768">
      <c r="A2768" s="1" t="str">
        <f>IFERROR(__xludf.DUMMYFUNCTION("""COMPUTED_VALUE"""),"")</f>
        <v/>
      </c>
      <c r="B2768" s="1"/>
      <c r="C2768" s="2"/>
      <c r="D2768" s="2"/>
      <c r="E2768" s="1"/>
      <c r="F2768" s="1"/>
      <c r="G2768" s="4" t="str">
        <f>IFERROR(__xludf.DUMMYFUNCTION("""COMPUTED_VALUE"""),"")</f>
        <v/>
      </c>
      <c r="H2768" s="4" t="str">
        <f>IFERROR(__xludf.DUMMYFUNCTION("""COMPUTED_VALUE"""),"")</f>
        <v/>
      </c>
      <c r="I2768" s="4" t="str">
        <f>IFERROR(__xludf.DUMMYFUNCTION("""COMPUTED_VALUE"""),"")</f>
        <v/>
      </c>
      <c r="J2768" s="4" t="str">
        <f>IFERROR(__xludf.DUMMYFUNCTION("""COMPUTED_VALUE"""),"")</f>
        <v/>
      </c>
      <c r="K2768" s="4" t="str">
        <f>IFERROR(__xludf.DUMMYFUNCTION("""COMPUTED_VALUE"""),"")</f>
        <v/>
      </c>
      <c r="L2768" s="4" t="str">
        <f>IFERROR(__xludf.DUMMYFUNCTION("""COMPUTED_VALUE"""),"")</f>
        <v/>
      </c>
      <c r="M2768" s="1" t="str">
        <f>IFERROR(__xludf.DUMMYFUNCTION("""COMPUTED_VALUE"""),"RFID")</f>
        <v>RFID</v>
      </c>
      <c r="N2768" s="5" t="str">
        <f>IFERROR(__xludf.DUMMYFUNCTION("""COMPUTED_VALUE"""),"")</f>
        <v/>
      </c>
      <c r="O2768" s="5" t="str">
        <f>IFERROR(__xludf.DUMMYFUNCTION("""COMPUTED_VALUE"""),"")</f>
        <v/>
      </c>
      <c r="P2768" s="5" t="str">
        <f>IFERROR(__xludf.DUMMYFUNCTION("""COMPUTED_VALUE"""),"")</f>
        <v/>
      </c>
      <c r="Q2768" s="5" t="str">
        <f>IFERROR(__xludf.DUMMYFUNCTION("""COMPUTED_VALUE"""),"")</f>
        <v/>
      </c>
      <c r="R2768" s="4" t="str">
        <f>IFERROR(__xludf.DUMMYFUNCTION("""COMPUTED_VALUE"""),"")</f>
        <v/>
      </c>
      <c r="S2768" s="1" t="b">
        <f>IFERROR(__xludf.DUMMYFUNCTION("""COMPUTED_VALUE"""),FALSE)</f>
        <v>0</v>
      </c>
      <c r="T2768" s="1" t="b">
        <f>IFERROR(__xludf.DUMMYFUNCTION("""COMPUTED_VALUE"""),FALSE)</f>
        <v>0</v>
      </c>
      <c r="U2768" s="1" t="str">
        <f>IFERROR(__xludf.DUMMYFUNCTION("""COMPUTED_VALUE"""),"")</f>
        <v/>
      </c>
      <c r="V2768" s="1" t="str">
        <f>IFERROR(__xludf.DUMMYFUNCTION("""COMPUTED_VALUE"""),"")</f>
        <v/>
      </c>
      <c r="W2768" s="1" t="str">
        <f>IFERROR(__xludf.DUMMYFUNCTION("""COMPUTED_VALUE"""),"")</f>
        <v/>
      </c>
      <c r="X2768" s="1" t="str">
        <f>IFERROR(__xludf.DUMMYFUNCTION("""COMPUTED_VALUE"""),"")</f>
        <v/>
      </c>
      <c r="Y2768" s="2"/>
      <c r="Z2768" s="2" t="str">
        <f>IFERROR(__xludf.DUMMYFUNCTION("""COMPUTED_VALUE"""),"")</f>
        <v/>
      </c>
    </row>
    <row r="2769">
      <c r="A2769" s="1" t="str">
        <f>IFERROR(__xludf.DUMMYFUNCTION("""COMPUTED_VALUE"""),"")</f>
        <v/>
      </c>
      <c r="B2769" s="1"/>
      <c r="C2769" s="2"/>
      <c r="D2769" s="2"/>
      <c r="E2769" s="1"/>
      <c r="F2769" s="1"/>
      <c r="G2769" s="4" t="str">
        <f>IFERROR(__xludf.DUMMYFUNCTION("""COMPUTED_VALUE"""),"")</f>
        <v/>
      </c>
      <c r="H2769" s="4" t="str">
        <f>IFERROR(__xludf.DUMMYFUNCTION("""COMPUTED_VALUE"""),"")</f>
        <v/>
      </c>
      <c r="I2769" s="4" t="str">
        <f>IFERROR(__xludf.DUMMYFUNCTION("""COMPUTED_VALUE"""),"")</f>
        <v/>
      </c>
      <c r="J2769" s="4" t="str">
        <f>IFERROR(__xludf.DUMMYFUNCTION("""COMPUTED_VALUE"""),"")</f>
        <v/>
      </c>
      <c r="K2769" s="4" t="str">
        <f>IFERROR(__xludf.DUMMYFUNCTION("""COMPUTED_VALUE"""),"")</f>
        <v/>
      </c>
      <c r="L2769" s="4" t="str">
        <f>IFERROR(__xludf.DUMMYFUNCTION("""COMPUTED_VALUE"""),"")</f>
        <v/>
      </c>
      <c r="M2769" s="1" t="str">
        <f>IFERROR(__xludf.DUMMYFUNCTION("""COMPUTED_VALUE"""),"RFID")</f>
        <v>RFID</v>
      </c>
      <c r="N2769" s="5" t="str">
        <f>IFERROR(__xludf.DUMMYFUNCTION("""COMPUTED_VALUE"""),"")</f>
        <v/>
      </c>
      <c r="O2769" s="5" t="str">
        <f>IFERROR(__xludf.DUMMYFUNCTION("""COMPUTED_VALUE"""),"")</f>
        <v/>
      </c>
      <c r="P2769" s="5" t="str">
        <f>IFERROR(__xludf.DUMMYFUNCTION("""COMPUTED_VALUE"""),"")</f>
        <v/>
      </c>
      <c r="Q2769" s="5" t="str">
        <f>IFERROR(__xludf.DUMMYFUNCTION("""COMPUTED_VALUE"""),"")</f>
        <v/>
      </c>
      <c r="R2769" s="4" t="str">
        <f>IFERROR(__xludf.DUMMYFUNCTION("""COMPUTED_VALUE"""),"")</f>
        <v/>
      </c>
      <c r="S2769" s="1" t="b">
        <f>IFERROR(__xludf.DUMMYFUNCTION("""COMPUTED_VALUE"""),FALSE)</f>
        <v>0</v>
      </c>
      <c r="T2769" s="1" t="b">
        <f>IFERROR(__xludf.DUMMYFUNCTION("""COMPUTED_VALUE"""),FALSE)</f>
        <v>0</v>
      </c>
      <c r="U2769" s="1" t="str">
        <f>IFERROR(__xludf.DUMMYFUNCTION("""COMPUTED_VALUE"""),"")</f>
        <v/>
      </c>
      <c r="V2769" s="1" t="str">
        <f>IFERROR(__xludf.DUMMYFUNCTION("""COMPUTED_VALUE"""),"")</f>
        <v/>
      </c>
      <c r="W2769" s="1" t="str">
        <f>IFERROR(__xludf.DUMMYFUNCTION("""COMPUTED_VALUE"""),"")</f>
        <v/>
      </c>
      <c r="X2769" s="1" t="str">
        <f>IFERROR(__xludf.DUMMYFUNCTION("""COMPUTED_VALUE"""),"")</f>
        <v/>
      </c>
      <c r="Y2769" s="2"/>
      <c r="Z2769" s="2" t="str">
        <f>IFERROR(__xludf.DUMMYFUNCTION("""COMPUTED_VALUE"""),"")</f>
        <v/>
      </c>
    </row>
    <row r="2770">
      <c r="A2770" s="1" t="str">
        <f>IFERROR(__xludf.DUMMYFUNCTION("""COMPUTED_VALUE"""),"")</f>
        <v/>
      </c>
      <c r="B2770" s="1"/>
      <c r="C2770" s="2"/>
      <c r="D2770" s="2"/>
      <c r="E2770" s="1"/>
      <c r="F2770" s="1"/>
      <c r="G2770" s="4" t="str">
        <f>IFERROR(__xludf.DUMMYFUNCTION("""COMPUTED_VALUE"""),"")</f>
        <v/>
      </c>
      <c r="H2770" s="4" t="str">
        <f>IFERROR(__xludf.DUMMYFUNCTION("""COMPUTED_VALUE"""),"")</f>
        <v/>
      </c>
      <c r="I2770" s="4" t="str">
        <f>IFERROR(__xludf.DUMMYFUNCTION("""COMPUTED_VALUE"""),"")</f>
        <v/>
      </c>
      <c r="J2770" s="4" t="str">
        <f>IFERROR(__xludf.DUMMYFUNCTION("""COMPUTED_VALUE"""),"")</f>
        <v/>
      </c>
      <c r="K2770" s="4" t="str">
        <f>IFERROR(__xludf.DUMMYFUNCTION("""COMPUTED_VALUE"""),"")</f>
        <v/>
      </c>
      <c r="L2770" s="4" t="str">
        <f>IFERROR(__xludf.DUMMYFUNCTION("""COMPUTED_VALUE"""),"")</f>
        <v/>
      </c>
      <c r="M2770" s="1" t="str">
        <f>IFERROR(__xludf.DUMMYFUNCTION("""COMPUTED_VALUE"""),"RFID")</f>
        <v>RFID</v>
      </c>
      <c r="N2770" s="5" t="str">
        <f>IFERROR(__xludf.DUMMYFUNCTION("""COMPUTED_VALUE"""),"")</f>
        <v/>
      </c>
      <c r="O2770" s="5" t="str">
        <f>IFERROR(__xludf.DUMMYFUNCTION("""COMPUTED_VALUE"""),"")</f>
        <v/>
      </c>
      <c r="P2770" s="5" t="str">
        <f>IFERROR(__xludf.DUMMYFUNCTION("""COMPUTED_VALUE"""),"")</f>
        <v/>
      </c>
      <c r="Q2770" s="5" t="str">
        <f>IFERROR(__xludf.DUMMYFUNCTION("""COMPUTED_VALUE"""),"")</f>
        <v/>
      </c>
      <c r="R2770" s="4" t="str">
        <f>IFERROR(__xludf.DUMMYFUNCTION("""COMPUTED_VALUE"""),"")</f>
        <v/>
      </c>
      <c r="S2770" s="1" t="b">
        <f>IFERROR(__xludf.DUMMYFUNCTION("""COMPUTED_VALUE"""),FALSE)</f>
        <v>0</v>
      </c>
      <c r="T2770" s="1" t="b">
        <f>IFERROR(__xludf.DUMMYFUNCTION("""COMPUTED_VALUE"""),FALSE)</f>
        <v>0</v>
      </c>
      <c r="U2770" s="1" t="str">
        <f>IFERROR(__xludf.DUMMYFUNCTION("""COMPUTED_VALUE"""),"")</f>
        <v/>
      </c>
      <c r="V2770" s="1" t="str">
        <f>IFERROR(__xludf.DUMMYFUNCTION("""COMPUTED_VALUE"""),"")</f>
        <v/>
      </c>
      <c r="W2770" s="1" t="str">
        <f>IFERROR(__xludf.DUMMYFUNCTION("""COMPUTED_VALUE"""),"")</f>
        <v/>
      </c>
      <c r="X2770" s="1" t="str">
        <f>IFERROR(__xludf.DUMMYFUNCTION("""COMPUTED_VALUE"""),"")</f>
        <v/>
      </c>
      <c r="Y2770" s="2"/>
      <c r="Z2770" s="2" t="str">
        <f>IFERROR(__xludf.DUMMYFUNCTION("""COMPUTED_VALUE"""),"")</f>
        <v/>
      </c>
    </row>
    <row r="2771">
      <c r="A2771" s="1" t="str">
        <f>IFERROR(__xludf.DUMMYFUNCTION("""COMPUTED_VALUE"""),"")</f>
        <v/>
      </c>
      <c r="B2771" s="1"/>
      <c r="C2771" s="2"/>
      <c r="D2771" s="2"/>
      <c r="E2771" s="1"/>
      <c r="F2771" s="1"/>
      <c r="G2771" s="4" t="str">
        <f>IFERROR(__xludf.DUMMYFUNCTION("""COMPUTED_VALUE"""),"")</f>
        <v/>
      </c>
      <c r="H2771" s="4" t="str">
        <f>IFERROR(__xludf.DUMMYFUNCTION("""COMPUTED_VALUE"""),"")</f>
        <v/>
      </c>
      <c r="I2771" s="4" t="str">
        <f>IFERROR(__xludf.DUMMYFUNCTION("""COMPUTED_VALUE"""),"")</f>
        <v/>
      </c>
      <c r="J2771" s="4" t="str">
        <f>IFERROR(__xludf.DUMMYFUNCTION("""COMPUTED_VALUE"""),"")</f>
        <v/>
      </c>
      <c r="K2771" s="4" t="str">
        <f>IFERROR(__xludf.DUMMYFUNCTION("""COMPUTED_VALUE"""),"")</f>
        <v/>
      </c>
      <c r="L2771" s="4" t="str">
        <f>IFERROR(__xludf.DUMMYFUNCTION("""COMPUTED_VALUE"""),"")</f>
        <v/>
      </c>
      <c r="M2771" s="1" t="str">
        <f>IFERROR(__xludf.DUMMYFUNCTION("""COMPUTED_VALUE"""),"RFID")</f>
        <v>RFID</v>
      </c>
      <c r="N2771" s="5" t="str">
        <f>IFERROR(__xludf.DUMMYFUNCTION("""COMPUTED_VALUE"""),"")</f>
        <v/>
      </c>
      <c r="O2771" s="5" t="str">
        <f>IFERROR(__xludf.DUMMYFUNCTION("""COMPUTED_VALUE"""),"")</f>
        <v/>
      </c>
      <c r="P2771" s="5" t="str">
        <f>IFERROR(__xludf.DUMMYFUNCTION("""COMPUTED_VALUE"""),"")</f>
        <v/>
      </c>
      <c r="Q2771" s="5" t="str">
        <f>IFERROR(__xludf.DUMMYFUNCTION("""COMPUTED_VALUE"""),"")</f>
        <v/>
      </c>
      <c r="R2771" s="4" t="str">
        <f>IFERROR(__xludf.DUMMYFUNCTION("""COMPUTED_VALUE"""),"")</f>
        <v/>
      </c>
      <c r="S2771" s="1" t="b">
        <f>IFERROR(__xludf.DUMMYFUNCTION("""COMPUTED_VALUE"""),FALSE)</f>
        <v>0</v>
      </c>
      <c r="T2771" s="1" t="b">
        <f>IFERROR(__xludf.DUMMYFUNCTION("""COMPUTED_VALUE"""),FALSE)</f>
        <v>0</v>
      </c>
      <c r="U2771" s="1" t="str">
        <f>IFERROR(__xludf.DUMMYFUNCTION("""COMPUTED_VALUE"""),"")</f>
        <v/>
      </c>
      <c r="V2771" s="1" t="str">
        <f>IFERROR(__xludf.DUMMYFUNCTION("""COMPUTED_VALUE"""),"")</f>
        <v/>
      </c>
      <c r="W2771" s="1" t="str">
        <f>IFERROR(__xludf.DUMMYFUNCTION("""COMPUTED_VALUE"""),"")</f>
        <v/>
      </c>
      <c r="X2771" s="1" t="str">
        <f>IFERROR(__xludf.DUMMYFUNCTION("""COMPUTED_VALUE"""),"")</f>
        <v/>
      </c>
      <c r="Y2771" s="2"/>
      <c r="Z2771" s="2" t="str">
        <f>IFERROR(__xludf.DUMMYFUNCTION("""COMPUTED_VALUE"""),"")</f>
        <v/>
      </c>
    </row>
    <row r="2772">
      <c r="A2772" s="1" t="str">
        <f>IFERROR(__xludf.DUMMYFUNCTION("""COMPUTED_VALUE"""),"")</f>
        <v/>
      </c>
      <c r="B2772" s="1"/>
      <c r="C2772" s="2"/>
      <c r="D2772" s="2"/>
      <c r="E2772" s="1"/>
      <c r="F2772" s="1"/>
      <c r="G2772" s="4" t="str">
        <f>IFERROR(__xludf.DUMMYFUNCTION("""COMPUTED_VALUE"""),"")</f>
        <v/>
      </c>
      <c r="H2772" s="4" t="str">
        <f>IFERROR(__xludf.DUMMYFUNCTION("""COMPUTED_VALUE"""),"")</f>
        <v/>
      </c>
      <c r="I2772" s="4" t="str">
        <f>IFERROR(__xludf.DUMMYFUNCTION("""COMPUTED_VALUE"""),"")</f>
        <v/>
      </c>
      <c r="J2772" s="4" t="str">
        <f>IFERROR(__xludf.DUMMYFUNCTION("""COMPUTED_VALUE"""),"")</f>
        <v/>
      </c>
      <c r="K2772" s="4" t="str">
        <f>IFERROR(__xludf.DUMMYFUNCTION("""COMPUTED_VALUE"""),"")</f>
        <v/>
      </c>
      <c r="L2772" s="4" t="str">
        <f>IFERROR(__xludf.DUMMYFUNCTION("""COMPUTED_VALUE"""),"")</f>
        <v/>
      </c>
      <c r="M2772" s="1" t="str">
        <f>IFERROR(__xludf.DUMMYFUNCTION("""COMPUTED_VALUE"""),"RFID")</f>
        <v>RFID</v>
      </c>
      <c r="N2772" s="5" t="str">
        <f>IFERROR(__xludf.DUMMYFUNCTION("""COMPUTED_VALUE"""),"")</f>
        <v/>
      </c>
      <c r="O2772" s="5" t="str">
        <f>IFERROR(__xludf.DUMMYFUNCTION("""COMPUTED_VALUE"""),"")</f>
        <v/>
      </c>
      <c r="P2772" s="5" t="str">
        <f>IFERROR(__xludf.DUMMYFUNCTION("""COMPUTED_VALUE"""),"")</f>
        <v/>
      </c>
      <c r="Q2772" s="5" t="str">
        <f>IFERROR(__xludf.DUMMYFUNCTION("""COMPUTED_VALUE"""),"")</f>
        <v/>
      </c>
      <c r="R2772" s="4" t="str">
        <f>IFERROR(__xludf.DUMMYFUNCTION("""COMPUTED_VALUE"""),"")</f>
        <v/>
      </c>
      <c r="S2772" s="1" t="b">
        <f>IFERROR(__xludf.DUMMYFUNCTION("""COMPUTED_VALUE"""),FALSE)</f>
        <v>0</v>
      </c>
      <c r="T2772" s="1" t="b">
        <f>IFERROR(__xludf.DUMMYFUNCTION("""COMPUTED_VALUE"""),FALSE)</f>
        <v>0</v>
      </c>
      <c r="U2772" s="1" t="str">
        <f>IFERROR(__xludf.DUMMYFUNCTION("""COMPUTED_VALUE"""),"")</f>
        <v/>
      </c>
      <c r="V2772" s="1" t="str">
        <f>IFERROR(__xludf.DUMMYFUNCTION("""COMPUTED_VALUE"""),"")</f>
        <v/>
      </c>
      <c r="W2772" s="1" t="str">
        <f>IFERROR(__xludf.DUMMYFUNCTION("""COMPUTED_VALUE"""),"")</f>
        <v/>
      </c>
      <c r="X2772" s="1" t="str">
        <f>IFERROR(__xludf.DUMMYFUNCTION("""COMPUTED_VALUE"""),"")</f>
        <v/>
      </c>
      <c r="Y2772" s="2"/>
      <c r="Z2772" s="2" t="str">
        <f>IFERROR(__xludf.DUMMYFUNCTION("""COMPUTED_VALUE"""),"")</f>
        <v/>
      </c>
    </row>
    <row r="2773">
      <c r="A2773" s="1" t="str">
        <f>IFERROR(__xludf.DUMMYFUNCTION("""COMPUTED_VALUE"""),"")</f>
        <v/>
      </c>
      <c r="B2773" s="1"/>
      <c r="C2773" s="2"/>
      <c r="D2773" s="2"/>
      <c r="E2773" s="1"/>
      <c r="F2773" s="1"/>
      <c r="G2773" s="4" t="str">
        <f>IFERROR(__xludf.DUMMYFUNCTION("""COMPUTED_VALUE"""),"")</f>
        <v/>
      </c>
      <c r="H2773" s="4" t="str">
        <f>IFERROR(__xludf.DUMMYFUNCTION("""COMPUTED_VALUE"""),"")</f>
        <v/>
      </c>
      <c r="I2773" s="4" t="str">
        <f>IFERROR(__xludf.DUMMYFUNCTION("""COMPUTED_VALUE"""),"")</f>
        <v/>
      </c>
      <c r="J2773" s="4" t="str">
        <f>IFERROR(__xludf.DUMMYFUNCTION("""COMPUTED_VALUE"""),"")</f>
        <v/>
      </c>
      <c r="K2773" s="4" t="str">
        <f>IFERROR(__xludf.DUMMYFUNCTION("""COMPUTED_VALUE"""),"")</f>
        <v/>
      </c>
      <c r="L2773" s="4" t="str">
        <f>IFERROR(__xludf.DUMMYFUNCTION("""COMPUTED_VALUE"""),"")</f>
        <v/>
      </c>
      <c r="M2773" s="1" t="str">
        <f>IFERROR(__xludf.DUMMYFUNCTION("""COMPUTED_VALUE"""),"RFID")</f>
        <v>RFID</v>
      </c>
      <c r="N2773" s="5" t="str">
        <f>IFERROR(__xludf.DUMMYFUNCTION("""COMPUTED_VALUE"""),"")</f>
        <v/>
      </c>
      <c r="O2773" s="5" t="str">
        <f>IFERROR(__xludf.DUMMYFUNCTION("""COMPUTED_VALUE"""),"")</f>
        <v/>
      </c>
      <c r="P2773" s="5" t="str">
        <f>IFERROR(__xludf.DUMMYFUNCTION("""COMPUTED_VALUE"""),"")</f>
        <v/>
      </c>
      <c r="Q2773" s="5" t="str">
        <f>IFERROR(__xludf.DUMMYFUNCTION("""COMPUTED_VALUE"""),"")</f>
        <v/>
      </c>
      <c r="R2773" s="4" t="str">
        <f>IFERROR(__xludf.DUMMYFUNCTION("""COMPUTED_VALUE"""),"")</f>
        <v/>
      </c>
      <c r="S2773" s="1" t="b">
        <f>IFERROR(__xludf.DUMMYFUNCTION("""COMPUTED_VALUE"""),FALSE)</f>
        <v>0</v>
      </c>
      <c r="T2773" s="1" t="b">
        <f>IFERROR(__xludf.DUMMYFUNCTION("""COMPUTED_VALUE"""),FALSE)</f>
        <v>0</v>
      </c>
      <c r="U2773" s="1" t="str">
        <f>IFERROR(__xludf.DUMMYFUNCTION("""COMPUTED_VALUE"""),"")</f>
        <v/>
      </c>
      <c r="V2773" s="1" t="str">
        <f>IFERROR(__xludf.DUMMYFUNCTION("""COMPUTED_VALUE"""),"")</f>
        <v/>
      </c>
      <c r="W2773" s="1" t="str">
        <f>IFERROR(__xludf.DUMMYFUNCTION("""COMPUTED_VALUE"""),"")</f>
        <v/>
      </c>
      <c r="X2773" s="1" t="str">
        <f>IFERROR(__xludf.DUMMYFUNCTION("""COMPUTED_VALUE"""),"")</f>
        <v/>
      </c>
      <c r="Y2773" s="2"/>
      <c r="Z2773" s="2" t="str">
        <f>IFERROR(__xludf.DUMMYFUNCTION("""COMPUTED_VALUE"""),"")</f>
        <v/>
      </c>
    </row>
    <row r="2774">
      <c r="A2774" s="1" t="str">
        <f>IFERROR(__xludf.DUMMYFUNCTION("""COMPUTED_VALUE"""),"")</f>
        <v/>
      </c>
      <c r="B2774" s="1"/>
      <c r="C2774" s="2"/>
      <c r="D2774" s="2"/>
      <c r="E2774" s="1"/>
      <c r="F2774" s="1"/>
      <c r="G2774" s="4" t="str">
        <f>IFERROR(__xludf.DUMMYFUNCTION("""COMPUTED_VALUE"""),"")</f>
        <v/>
      </c>
      <c r="H2774" s="4" t="str">
        <f>IFERROR(__xludf.DUMMYFUNCTION("""COMPUTED_VALUE"""),"")</f>
        <v/>
      </c>
      <c r="I2774" s="4" t="str">
        <f>IFERROR(__xludf.DUMMYFUNCTION("""COMPUTED_VALUE"""),"")</f>
        <v/>
      </c>
      <c r="J2774" s="4" t="str">
        <f>IFERROR(__xludf.DUMMYFUNCTION("""COMPUTED_VALUE"""),"")</f>
        <v/>
      </c>
      <c r="K2774" s="4" t="str">
        <f>IFERROR(__xludf.DUMMYFUNCTION("""COMPUTED_VALUE"""),"")</f>
        <v/>
      </c>
      <c r="L2774" s="4" t="str">
        <f>IFERROR(__xludf.DUMMYFUNCTION("""COMPUTED_VALUE"""),"")</f>
        <v/>
      </c>
      <c r="M2774" s="1" t="str">
        <f>IFERROR(__xludf.DUMMYFUNCTION("""COMPUTED_VALUE"""),"RFID")</f>
        <v>RFID</v>
      </c>
      <c r="N2774" s="5" t="str">
        <f>IFERROR(__xludf.DUMMYFUNCTION("""COMPUTED_VALUE"""),"")</f>
        <v/>
      </c>
      <c r="O2774" s="5" t="str">
        <f>IFERROR(__xludf.DUMMYFUNCTION("""COMPUTED_VALUE"""),"")</f>
        <v/>
      </c>
      <c r="P2774" s="5" t="str">
        <f>IFERROR(__xludf.DUMMYFUNCTION("""COMPUTED_VALUE"""),"")</f>
        <v/>
      </c>
      <c r="Q2774" s="5" t="str">
        <f>IFERROR(__xludf.DUMMYFUNCTION("""COMPUTED_VALUE"""),"")</f>
        <v/>
      </c>
      <c r="R2774" s="4" t="str">
        <f>IFERROR(__xludf.DUMMYFUNCTION("""COMPUTED_VALUE"""),"")</f>
        <v/>
      </c>
      <c r="S2774" s="1" t="b">
        <f>IFERROR(__xludf.DUMMYFUNCTION("""COMPUTED_VALUE"""),FALSE)</f>
        <v>0</v>
      </c>
      <c r="T2774" s="1" t="b">
        <f>IFERROR(__xludf.DUMMYFUNCTION("""COMPUTED_VALUE"""),FALSE)</f>
        <v>0</v>
      </c>
      <c r="U2774" s="1" t="str">
        <f>IFERROR(__xludf.DUMMYFUNCTION("""COMPUTED_VALUE"""),"")</f>
        <v/>
      </c>
      <c r="V2774" s="1" t="str">
        <f>IFERROR(__xludf.DUMMYFUNCTION("""COMPUTED_VALUE"""),"")</f>
        <v/>
      </c>
      <c r="W2774" s="1" t="str">
        <f>IFERROR(__xludf.DUMMYFUNCTION("""COMPUTED_VALUE"""),"")</f>
        <v/>
      </c>
      <c r="X2774" s="1" t="str">
        <f>IFERROR(__xludf.DUMMYFUNCTION("""COMPUTED_VALUE"""),"")</f>
        <v/>
      </c>
      <c r="Y2774" s="2"/>
      <c r="Z2774" s="2" t="str">
        <f>IFERROR(__xludf.DUMMYFUNCTION("""COMPUTED_VALUE"""),"")</f>
        <v/>
      </c>
    </row>
    <row r="2775">
      <c r="A2775" s="1" t="str">
        <f>IFERROR(__xludf.DUMMYFUNCTION("""COMPUTED_VALUE"""),"")</f>
        <v/>
      </c>
      <c r="B2775" s="1"/>
      <c r="C2775" s="2"/>
      <c r="D2775" s="2"/>
      <c r="E2775" s="1"/>
      <c r="F2775" s="1"/>
      <c r="G2775" s="4" t="str">
        <f>IFERROR(__xludf.DUMMYFUNCTION("""COMPUTED_VALUE"""),"")</f>
        <v/>
      </c>
      <c r="H2775" s="4" t="str">
        <f>IFERROR(__xludf.DUMMYFUNCTION("""COMPUTED_VALUE"""),"")</f>
        <v/>
      </c>
      <c r="I2775" s="4" t="str">
        <f>IFERROR(__xludf.DUMMYFUNCTION("""COMPUTED_VALUE"""),"")</f>
        <v/>
      </c>
      <c r="J2775" s="4" t="str">
        <f>IFERROR(__xludf.DUMMYFUNCTION("""COMPUTED_VALUE"""),"")</f>
        <v/>
      </c>
      <c r="K2775" s="4" t="str">
        <f>IFERROR(__xludf.DUMMYFUNCTION("""COMPUTED_VALUE"""),"")</f>
        <v/>
      </c>
      <c r="L2775" s="4" t="str">
        <f>IFERROR(__xludf.DUMMYFUNCTION("""COMPUTED_VALUE"""),"")</f>
        <v/>
      </c>
      <c r="M2775" s="1" t="str">
        <f>IFERROR(__xludf.DUMMYFUNCTION("""COMPUTED_VALUE"""),"RFID")</f>
        <v>RFID</v>
      </c>
      <c r="N2775" s="5" t="str">
        <f>IFERROR(__xludf.DUMMYFUNCTION("""COMPUTED_VALUE"""),"")</f>
        <v/>
      </c>
      <c r="O2775" s="5" t="str">
        <f>IFERROR(__xludf.DUMMYFUNCTION("""COMPUTED_VALUE"""),"")</f>
        <v/>
      </c>
      <c r="P2775" s="5" t="str">
        <f>IFERROR(__xludf.DUMMYFUNCTION("""COMPUTED_VALUE"""),"")</f>
        <v/>
      </c>
      <c r="Q2775" s="5" t="str">
        <f>IFERROR(__xludf.DUMMYFUNCTION("""COMPUTED_VALUE"""),"")</f>
        <v/>
      </c>
      <c r="R2775" s="4" t="str">
        <f>IFERROR(__xludf.DUMMYFUNCTION("""COMPUTED_VALUE"""),"")</f>
        <v/>
      </c>
      <c r="S2775" s="1" t="b">
        <f>IFERROR(__xludf.DUMMYFUNCTION("""COMPUTED_VALUE"""),FALSE)</f>
        <v>0</v>
      </c>
      <c r="T2775" s="1" t="b">
        <f>IFERROR(__xludf.DUMMYFUNCTION("""COMPUTED_VALUE"""),FALSE)</f>
        <v>0</v>
      </c>
      <c r="U2775" s="1" t="str">
        <f>IFERROR(__xludf.DUMMYFUNCTION("""COMPUTED_VALUE"""),"")</f>
        <v/>
      </c>
      <c r="V2775" s="1" t="str">
        <f>IFERROR(__xludf.DUMMYFUNCTION("""COMPUTED_VALUE"""),"")</f>
        <v/>
      </c>
      <c r="W2775" s="1" t="str">
        <f>IFERROR(__xludf.DUMMYFUNCTION("""COMPUTED_VALUE"""),"")</f>
        <v/>
      </c>
      <c r="X2775" s="1" t="str">
        <f>IFERROR(__xludf.DUMMYFUNCTION("""COMPUTED_VALUE"""),"")</f>
        <v/>
      </c>
      <c r="Y2775" s="2"/>
      <c r="Z2775" s="2" t="str">
        <f>IFERROR(__xludf.DUMMYFUNCTION("""COMPUTED_VALUE"""),"")</f>
        <v/>
      </c>
    </row>
    <row r="2776">
      <c r="A2776" s="1" t="str">
        <f>IFERROR(__xludf.DUMMYFUNCTION("""COMPUTED_VALUE"""),"")</f>
        <v/>
      </c>
      <c r="B2776" s="1"/>
      <c r="C2776" s="2"/>
      <c r="D2776" s="2"/>
      <c r="E2776" s="1"/>
      <c r="F2776" s="1"/>
      <c r="G2776" s="4" t="str">
        <f>IFERROR(__xludf.DUMMYFUNCTION("""COMPUTED_VALUE"""),"")</f>
        <v/>
      </c>
      <c r="H2776" s="4" t="str">
        <f>IFERROR(__xludf.DUMMYFUNCTION("""COMPUTED_VALUE"""),"")</f>
        <v/>
      </c>
      <c r="I2776" s="4" t="str">
        <f>IFERROR(__xludf.DUMMYFUNCTION("""COMPUTED_VALUE"""),"")</f>
        <v/>
      </c>
      <c r="J2776" s="4" t="str">
        <f>IFERROR(__xludf.DUMMYFUNCTION("""COMPUTED_VALUE"""),"")</f>
        <v/>
      </c>
      <c r="K2776" s="4" t="str">
        <f>IFERROR(__xludf.DUMMYFUNCTION("""COMPUTED_VALUE"""),"")</f>
        <v/>
      </c>
      <c r="L2776" s="4" t="str">
        <f>IFERROR(__xludf.DUMMYFUNCTION("""COMPUTED_VALUE"""),"")</f>
        <v/>
      </c>
      <c r="M2776" s="1" t="str">
        <f>IFERROR(__xludf.DUMMYFUNCTION("""COMPUTED_VALUE"""),"RFID")</f>
        <v>RFID</v>
      </c>
      <c r="N2776" s="5" t="str">
        <f>IFERROR(__xludf.DUMMYFUNCTION("""COMPUTED_VALUE"""),"")</f>
        <v/>
      </c>
      <c r="O2776" s="5" t="str">
        <f>IFERROR(__xludf.DUMMYFUNCTION("""COMPUTED_VALUE"""),"")</f>
        <v/>
      </c>
      <c r="P2776" s="5" t="str">
        <f>IFERROR(__xludf.DUMMYFUNCTION("""COMPUTED_VALUE"""),"")</f>
        <v/>
      </c>
      <c r="Q2776" s="5" t="str">
        <f>IFERROR(__xludf.DUMMYFUNCTION("""COMPUTED_VALUE"""),"")</f>
        <v/>
      </c>
      <c r="R2776" s="4" t="str">
        <f>IFERROR(__xludf.DUMMYFUNCTION("""COMPUTED_VALUE"""),"")</f>
        <v/>
      </c>
      <c r="S2776" s="1" t="b">
        <f>IFERROR(__xludf.DUMMYFUNCTION("""COMPUTED_VALUE"""),FALSE)</f>
        <v>0</v>
      </c>
      <c r="T2776" s="1" t="b">
        <f>IFERROR(__xludf.DUMMYFUNCTION("""COMPUTED_VALUE"""),FALSE)</f>
        <v>0</v>
      </c>
      <c r="U2776" s="1" t="str">
        <f>IFERROR(__xludf.DUMMYFUNCTION("""COMPUTED_VALUE"""),"")</f>
        <v/>
      </c>
      <c r="V2776" s="1" t="str">
        <f>IFERROR(__xludf.DUMMYFUNCTION("""COMPUTED_VALUE"""),"")</f>
        <v/>
      </c>
      <c r="W2776" s="1" t="str">
        <f>IFERROR(__xludf.DUMMYFUNCTION("""COMPUTED_VALUE"""),"")</f>
        <v/>
      </c>
      <c r="X2776" s="1" t="str">
        <f>IFERROR(__xludf.DUMMYFUNCTION("""COMPUTED_VALUE"""),"")</f>
        <v/>
      </c>
      <c r="Y2776" s="2"/>
      <c r="Z2776" s="2" t="str">
        <f>IFERROR(__xludf.DUMMYFUNCTION("""COMPUTED_VALUE"""),"")</f>
        <v/>
      </c>
    </row>
    <row r="2777">
      <c r="A2777" s="1" t="str">
        <f>IFERROR(__xludf.DUMMYFUNCTION("""COMPUTED_VALUE"""),"")</f>
        <v/>
      </c>
      <c r="B2777" s="1"/>
      <c r="C2777" s="2"/>
      <c r="D2777" s="2"/>
      <c r="E2777" s="1"/>
      <c r="F2777" s="1"/>
      <c r="G2777" s="4" t="str">
        <f>IFERROR(__xludf.DUMMYFUNCTION("""COMPUTED_VALUE"""),"")</f>
        <v/>
      </c>
      <c r="H2777" s="4" t="str">
        <f>IFERROR(__xludf.DUMMYFUNCTION("""COMPUTED_VALUE"""),"")</f>
        <v/>
      </c>
      <c r="I2777" s="4" t="str">
        <f>IFERROR(__xludf.DUMMYFUNCTION("""COMPUTED_VALUE"""),"")</f>
        <v/>
      </c>
      <c r="J2777" s="4" t="str">
        <f>IFERROR(__xludf.DUMMYFUNCTION("""COMPUTED_VALUE"""),"")</f>
        <v/>
      </c>
      <c r="K2777" s="4" t="str">
        <f>IFERROR(__xludf.DUMMYFUNCTION("""COMPUTED_VALUE"""),"")</f>
        <v/>
      </c>
      <c r="L2777" s="4" t="str">
        <f>IFERROR(__xludf.DUMMYFUNCTION("""COMPUTED_VALUE"""),"")</f>
        <v/>
      </c>
      <c r="M2777" s="1" t="str">
        <f>IFERROR(__xludf.DUMMYFUNCTION("""COMPUTED_VALUE"""),"RFID")</f>
        <v>RFID</v>
      </c>
      <c r="N2777" s="5" t="str">
        <f>IFERROR(__xludf.DUMMYFUNCTION("""COMPUTED_VALUE"""),"")</f>
        <v/>
      </c>
      <c r="O2777" s="5" t="str">
        <f>IFERROR(__xludf.DUMMYFUNCTION("""COMPUTED_VALUE"""),"")</f>
        <v/>
      </c>
      <c r="P2777" s="5" t="str">
        <f>IFERROR(__xludf.DUMMYFUNCTION("""COMPUTED_VALUE"""),"")</f>
        <v/>
      </c>
      <c r="Q2777" s="5" t="str">
        <f>IFERROR(__xludf.DUMMYFUNCTION("""COMPUTED_VALUE"""),"")</f>
        <v/>
      </c>
      <c r="R2777" s="4" t="str">
        <f>IFERROR(__xludf.DUMMYFUNCTION("""COMPUTED_VALUE"""),"")</f>
        <v/>
      </c>
      <c r="S2777" s="1" t="b">
        <f>IFERROR(__xludf.DUMMYFUNCTION("""COMPUTED_VALUE"""),FALSE)</f>
        <v>0</v>
      </c>
      <c r="T2777" s="1" t="b">
        <f>IFERROR(__xludf.DUMMYFUNCTION("""COMPUTED_VALUE"""),FALSE)</f>
        <v>0</v>
      </c>
      <c r="U2777" s="1" t="str">
        <f>IFERROR(__xludf.DUMMYFUNCTION("""COMPUTED_VALUE"""),"")</f>
        <v/>
      </c>
      <c r="V2777" s="1" t="str">
        <f>IFERROR(__xludf.DUMMYFUNCTION("""COMPUTED_VALUE"""),"")</f>
        <v/>
      </c>
      <c r="W2777" s="1" t="str">
        <f>IFERROR(__xludf.DUMMYFUNCTION("""COMPUTED_VALUE"""),"")</f>
        <v/>
      </c>
      <c r="X2777" s="1" t="str">
        <f>IFERROR(__xludf.DUMMYFUNCTION("""COMPUTED_VALUE"""),"")</f>
        <v/>
      </c>
      <c r="Y2777" s="2"/>
      <c r="Z2777" s="2" t="str">
        <f>IFERROR(__xludf.DUMMYFUNCTION("""COMPUTED_VALUE"""),"")</f>
        <v/>
      </c>
    </row>
    <row r="2778">
      <c r="A2778" s="1" t="str">
        <f>IFERROR(__xludf.DUMMYFUNCTION("""COMPUTED_VALUE"""),"")</f>
        <v/>
      </c>
      <c r="B2778" s="1"/>
      <c r="C2778" s="2"/>
      <c r="D2778" s="2"/>
      <c r="E2778" s="1"/>
      <c r="F2778" s="1"/>
      <c r="G2778" s="4" t="str">
        <f>IFERROR(__xludf.DUMMYFUNCTION("""COMPUTED_VALUE"""),"")</f>
        <v/>
      </c>
      <c r="H2778" s="4" t="str">
        <f>IFERROR(__xludf.DUMMYFUNCTION("""COMPUTED_VALUE"""),"")</f>
        <v/>
      </c>
      <c r="I2778" s="4" t="str">
        <f>IFERROR(__xludf.DUMMYFUNCTION("""COMPUTED_VALUE"""),"")</f>
        <v/>
      </c>
      <c r="J2778" s="4" t="str">
        <f>IFERROR(__xludf.DUMMYFUNCTION("""COMPUTED_VALUE"""),"")</f>
        <v/>
      </c>
      <c r="K2778" s="4" t="str">
        <f>IFERROR(__xludf.DUMMYFUNCTION("""COMPUTED_VALUE"""),"")</f>
        <v/>
      </c>
      <c r="L2778" s="4" t="str">
        <f>IFERROR(__xludf.DUMMYFUNCTION("""COMPUTED_VALUE"""),"")</f>
        <v/>
      </c>
      <c r="M2778" s="1" t="str">
        <f>IFERROR(__xludf.DUMMYFUNCTION("""COMPUTED_VALUE"""),"RFID")</f>
        <v>RFID</v>
      </c>
      <c r="N2778" s="5" t="str">
        <f>IFERROR(__xludf.DUMMYFUNCTION("""COMPUTED_VALUE"""),"")</f>
        <v/>
      </c>
      <c r="O2778" s="5" t="str">
        <f>IFERROR(__xludf.DUMMYFUNCTION("""COMPUTED_VALUE"""),"")</f>
        <v/>
      </c>
      <c r="P2778" s="5" t="str">
        <f>IFERROR(__xludf.DUMMYFUNCTION("""COMPUTED_VALUE"""),"")</f>
        <v/>
      </c>
      <c r="Q2778" s="5" t="str">
        <f>IFERROR(__xludf.DUMMYFUNCTION("""COMPUTED_VALUE"""),"")</f>
        <v/>
      </c>
      <c r="R2778" s="4" t="str">
        <f>IFERROR(__xludf.DUMMYFUNCTION("""COMPUTED_VALUE"""),"")</f>
        <v/>
      </c>
      <c r="S2778" s="1" t="b">
        <f>IFERROR(__xludf.DUMMYFUNCTION("""COMPUTED_VALUE"""),FALSE)</f>
        <v>0</v>
      </c>
      <c r="T2778" s="1" t="b">
        <f>IFERROR(__xludf.DUMMYFUNCTION("""COMPUTED_VALUE"""),FALSE)</f>
        <v>0</v>
      </c>
      <c r="U2778" s="1" t="str">
        <f>IFERROR(__xludf.DUMMYFUNCTION("""COMPUTED_VALUE"""),"")</f>
        <v/>
      </c>
      <c r="V2778" s="1" t="str">
        <f>IFERROR(__xludf.DUMMYFUNCTION("""COMPUTED_VALUE"""),"")</f>
        <v/>
      </c>
      <c r="W2778" s="1" t="str">
        <f>IFERROR(__xludf.DUMMYFUNCTION("""COMPUTED_VALUE"""),"")</f>
        <v/>
      </c>
      <c r="X2778" s="1" t="str">
        <f>IFERROR(__xludf.DUMMYFUNCTION("""COMPUTED_VALUE"""),"")</f>
        <v/>
      </c>
      <c r="Y2778" s="2"/>
      <c r="Z2778" s="2" t="str">
        <f>IFERROR(__xludf.DUMMYFUNCTION("""COMPUTED_VALUE"""),"")</f>
        <v/>
      </c>
    </row>
    <row r="2779">
      <c r="A2779" s="1" t="str">
        <f>IFERROR(__xludf.DUMMYFUNCTION("""COMPUTED_VALUE"""),"")</f>
        <v/>
      </c>
      <c r="B2779" s="1"/>
      <c r="C2779" s="2"/>
      <c r="D2779" s="2"/>
      <c r="E2779" s="1"/>
      <c r="F2779" s="1"/>
      <c r="G2779" s="4" t="str">
        <f>IFERROR(__xludf.DUMMYFUNCTION("""COMPUTED_VALUE"""),"")</f>
        <v/>
      </c>
      <c r="H2779" s="4" t="str">
        <f>IFERROR(__xludf.DUMMYFUNCTION("""COMPUTED_VALUE"""),"")</f>
        <v/>
      </c>
      <c r="I2779" s="4" t="str">
        <f>IFERROR(__xludf.DUMMYFUNCTION("""COMPUTED_VALUE"""),"")</f>
        <v/>
      </c>
      <c r="J2779" s="4" t="str">
        <f>IFERROR(__xludf.DUMMYFUNCTION("""COMPUTED_VALUE"""),"")</f>
        <v/>
      </c>
      <c r="K2779" s="4" t="str">
        <f>IFERROR(__xludf.DUMMYFUNCTION("""COMPUTED_VALUE"""),"")</f>
        <v/>
      </c>
      <c r="L2779" s="4" t="str">
        <f>IFERROR(__xludf.DUMMYFUNCTION("""COMPUTED_VALUE"""),"")</f>
        <v/>
      </c>
      <c r="M2779" s="1" t="str">
        <f>IFERROR(__xludf.DUMMYFUNCTION("""COMPUTED_VALUE"""),"RFID")</f>
        <v>RFID</v>
      </c>
      <c r="N2779" s="5" t="str">
        <f>IFERROR(__xludf.DUMMYFUNCTION("""COMPUTED_VALUE"""),"")</f>
        <v/>
      </c>
      <c r="O2779" s="5" t="str">
        <f>IFERROR(__xludf.DUMMYFUNCTION("""COMPUTED_VALUE"""),"")</f>
        <v/>
      </c>
      <c r="P2779" s="5" t="str">
        <f>IFERROR(__xludf.DUMMYFUNCTION("""COMPUTED_VALUE"""),"")</f>
        <v/>
      </c>
      <c r="Q2779" s="5" t="str">
        <f>IFERROR(__xludf.DUMMYFUNCTION("""COMPUTED_VALUE"""),"")</f>
        <v/>
      </c>
      <c r="R2779" s="4" t="str">
        <f>IFERROR(__xludf.DUMMYFUNCTION("""COMPUTED_VALUE"""),"")</f>
        <v/>
      </c>
      <c r="S2779" s="1" t="b">
        <f>IFERROR(__xludf.DUMMYFUNCTION("""COMPUTED_VALUE"""),FALSE)</f>
        <v>0</v>
      </c>
      <c r="T2779" s="1" t="b">
        <f>IFERROR(__xludf.DUMMYFUNCTION("""COMPUTED_VALUE"""),FALSE)</f>
        <v>0</v>
      </c>
      <c r="U2779" s="1" t="str">
        <f>IFERROR(__xludf.DUMMYFUNCTION("""COMPUTED_VALUE"""),"")</f>
        <v/>
      </c>
      <c r="V2779" s="1" t="str">
        <f>IFERROR(__xludf.DUMMYFUNCTION("""COMPUTED_VALUE"""),"")</f>
        <v/>
      </c>
      <c r="W2779" s="1" t="str">
        <f>IFERROR(__xludf.DUMMYFUNCTION("""COMPUTED_VALUE"""),"")</f>
        <v/>
      </c>
      <c r="X2779" s="1" t="str">
        <f>IFERROR(__xludf.DUMMYFUNCTION("""COMPUTED_VALUE"""),"")</f>
        <v/>
      </c>
      <c r="Y2779" s="2"/>
      <c r="Z2779" s="2" t="str">
        <f>IFERROR(__xludf.DUMMYFUNCTION("""COMPUTED_VALUE"""),"")</f>
        <v/>
      </c>
    </row>
    <row r="2780">
      <c r="A2780" s="1" t="str">
        <f>IFERROR(__xludf.DUMMYFUNCTION("""COMPUTED_VALUE"""),"")</f>
        <v/>
      </c>
      <c r="B2780" s="1"/>
      <c r="C2780" s="2"/>
      <c r="D2780" s="2"/>
      <c r="E2780" s="1"/>
      <c r="F2780" s="1"/>
      <c r="G2780" s="4" t="str">
        <f>IFERROR(__xludf.DUMMYFUNCTION("""COMPUTED_VALUE"""),"")</f>
        <v/>
      </c>
      <c r="H2780" s="4" t="str">
        <f>IFERROR(__xludf.DUMMYFUNCTION("""COMPUTED_VALUE"""),"")</f>
        <v/>
      </c>
      <c r="I2780" s="4" t="str">
        <f>IFERROR(__xludf.DUMMYFUNCTION("""COMPUTED_VALUE"""),"")</f>
        <v/>
      </c>
      <c r="J2780" s="4" t="str">
        <f>IFERROR(__xludf.DUMMYFUNCTION("""COMPUTED_VALUE"""),"")</f>
        <v/>
      </c>
      <c r="K2780" s="4" t="str">
        <f>IFERROR(__xludf.DUMMYFUNCTION("""COMPUTED_VALUE"""),"")</f>
        <v/>
      </c>
      <c r="L2780" s="4" t="str">
        <f>IFERROR(__xludf.DUMMYFUNCTION("""COMPUTED_VALUE"""),"")</f>
        <v/>
      </c>
      <c r="M2780" s="1" t="str">
        <f>IFERROR(__xludf.DUMMYFUNCTION("""COMPUTED_VALUE"""),"RFID")</f>
        <v>RFID</v>
      </c>
      <c r="N2780" s="5" t="str">
        <f>IFERROR(__xludf.DUMMYFUNCTION("""COMPUTED_VALUE"""),"")</f>
        <v/>
      </c>
      <c r="O2780" s="5" t="str">
        <f>IFERROR(__xludf.DUMMYFUNCTION("""COMPUTED_VALUE"""),"")</f>
        <v/>
      </c>
      <c r="P2780" s="5" t="str">
        <f>IFERROR(__xludf.DUMMYFUNCTION("""COMPUTED_VALUE"""),"")</f>
        <v/>
      </c>
      <c r="Q2780" s="5" t="str">
        <f>IFERROR(__xludf.DUMMYFUNCTION("""COMPUTED_VALUE"""),"")</f>
        <v/>
      </c>
      <c r="R2780" s="4" t="str">
        <f>IFERROR(__xludf.DUMMYFUNCTION("""COMPUTED_VALUE"""),"")</f>
        <v/>
      </c>
      <c r="S2780" s="1" t="b">
        <f>IFERROR(__xludf.DUMMYFUNCTION("""COMPUTED_VALUE"""),FALSE)</f>
        <v>0</v>
      </c>
      <c r="T2780" s="1" t="b">
        <f>IFERROR(__xludf.DUMMYFUNCTION("""COMPUTED_VALUE"""),FALSE)</f>
        <v>0</v>
      </c>
      <c r="U2780" s="1" t="str">
        <f>IFERROR(__xludf.DUMMYFUNCTION("""COMPUTED_VALUE"""),"")</f>
        <v/>
      </c>
      <c r="V2780" s="1" t="str">
        <f>IFERROR(__xludf.DUMMYFUNCTION("""COMPUTED_VALUE"""),"")</f>
        <v/>
      </c>
      <c r="W2780" s="1" t="str">
        <f>IFERROR(__xludf.DUMMYFUNCTION("""COMPUTED_VALUE"""),"")</f>
        <v/>
      </c>
      <c r="X2780" s="1" t="str">
        <f>IFERROR(__xludf.DUMMYFUNCTION("""COMPUTED_VALUE"""),"")</f>
        <v/>
      </c>
      <c r="Y2780" s="2"/>
      <c r="Z2780" s="2" t="str">
        <f>IFERROR(__xludf.DUMMYFUNCTION("""COMPUTED_VALUE"""),"")</f>
        <v/>
      </c>
    </row>
    <row r="2781">
      <c r="A2781" s="1" t="str">
        <f>IFERROR(__xludf.DUMMYFUNCTION("""COMPUTED_VALUE"""),"")</f>
        <v/>
      </c>
      <c r="B2781" s="1"/>
      <c r="C2781" s="2"/>
      <c r="D2781" s="2"/>
      <c r="E2781" s="1"/>
      <c r="F2781" s="1"/>
      <c r="G2781" s="4" t="str">
        <f>IFERROR(__xludf.DUMMYFUNCTION("""COMPUTED_VALUE"""),"")</f>
        <v/>
      </c>
      <c r="H2781" s="4" t="str">
        <f>IFERROR(__xludf.DUMMYFUNCTION("""COMPUTED_VALUE"""),"")</f>
        <v/>
      </c>
      <c r="I2781" s="4" t="str">
        <f>IFERROR(__xludf.DUMMYFUNCTION("""COMPUTED_VALUE"""),"")</f>
        <v/>
      </c>
      <c r="J2781" s="4" t="str">
        <f>IFERROR(__xludf.DUMMYFUNCTION("""COMPUTED_VALUE"""),"")</f>
        <v/>
      </c>
      <c r="K2781" s="4" t="str">
        <f>IFERROR(__xludf.DUMMYFUNCTION("""COMPUTED_VALUE"""),"")</f>
        <v/>
      </c>
      <c r="L2781" s="4" t="str">
        <f>IFERROR(__xludf.DUMMYFUNCTION("""COMPUTED_VALUE"""),"")</f>
        <v/>
      </c>
      <c r="M2781" s="1" t="str">
        <f>IFERROR(__xludf.DUMMYFUNCTION("""COMPUTED_VALUE"""),"RFID")</f>
        <v>RFID</v>
      </c>
      <c r="N2781" s="5" t="str">
        <f>IFERROR(__xludf.DUMMYFUNCTION("""COMPUTED_VALUE"""),"")</f>
        <v/>
      </c>
      <c r="O2781" s="5" t="str">
        <f>IFERROR(__xludf.DUMMYFUNCTION("""COMPUTED_VALUE"""),"")</f>
        <v/>
      </c>
      <c r="P2781" s="5" t="str">
        <f>IFERROR(__xludf.DUMMYFUNCTION("""COMPUTED_VALUE"""),"")</f>
        <v/>
      </c>
      <c r="Q2781" s="5" t="str">
        <f>IFERROR(__xludf.DUMMYFUNCTION("""COMPUTED_VALUE"""),"")</f>
        <v/>
      </c>
      <c r="R2781" s="4" t="str">
        <f>IFERROR(__xludf.DUMMYFUNCTION("""COMPUTED_VALUE"""),"")</f>
        <v/>
      </c>
      <c r="S2781" s="1" t="b">
        <f>IFERROR(__xludf.DUMMYFUNCTION("""COMPUTED_VALUE"""),FALSE)</f>
        <v>0</v>
      </c>
      <c r="T2781" s="1" t="b">
        <f>IFERROR(__xludf.DUMMYFUNCTION("""COMPUTED_VALUE"""),FALSE)</f>
        <v>0</v>
      </c>
      <c r="U2781" s="1" t="str">
        <f>IFERROR(__xludf.DUMMYFUNCTION("""COMPUTED_VALUE"""),"")</f>
        <v/>
      </c>
      <c r="V2781" s="1" t="str">
        <f>IFERROR(__xludf.DUMMYFUNCTION("""COMPUTED_VALUE"""),"")</f>
        <v/>
      </c>
      <c r="W2781" s="1" t="str">
        <f>IFERROR(__xludf.DUMMYFUNCTION("""COMPUTED_VALUE"""),"")</f>
        <v/>
      </c>
      <c r="X2781" s="1" t="str">
        <f>IFERROR(__xludf.DUMMYFUNCTION("""COMPUTED_VALUE"""),"")</f>
        <v/>
      </c>
      <c r="Y2781" s="2"/>
      <c r="Z2781" s="2" t="str">
        <f>IFERROR(__xludf.DUMMYFUNCTION("""COMPUTED_VALUE"""),"")</f>
        <v/>
      </c>
    </row>
    <row r="2782">
      <c r="A2782" s="1" t="str">
        <f>IFERROR(__xludf.DUMMYFUNCTION("""COMPUTED_VALUE"""),"")</f>
        <v/>
      </c>
      <c r="B2782" s="1"/>
      <c r="C2782" s="2"/>
      <c r="D2782" s="2"/>
      <c r="E2782" s="1"/>
      <c r="F2782" s="1"/>
      <c r="G2782" s="4" t="str">
        <f>IFERROR(__xludf.DUMMYFUNCTION("""COMPUTED_VALUE"""),"")</f>
        <v/>
      </c>
      <c r="H2782" s="4" t="str">
        <f>IFERROR(__xludf.DUMMYFUNCTION("""COMPUTED_VALUE"""),"")</f>
        <v/>
      </c>
      <c r="I2782" s="4" t="str">
        <f>IFERROR(__xludf.DUMMYFUNCTION("""COMPUTED_VALUE"""),"")</f>
        <v/>
      </c>
      <c r="J2782" s="4" t="str">
        <f>IFERROR(__xludf.DUMMYFUNCTION("""COMPUTED_VALUE"""),"")</f>
        <v/>
      </c>
      <c r="K2782" s="4" t="str">
        <f>IFERROR(__xludf.DUMMYFUNCTION("""COMPUTED_VALUE"""),"")</f>
        <v/>
      </c>
      <c r="L2782" s="4" t="str">
        <f>IFERROR(__xludf.DUMMYFUNCTION("""COMPUTED_VALUE"""),"")</f>
        <v/>
      </c>
      <c r="M2782" s="1" t="str">
        <f>IFERROR(__xludf.DUMMYFUNCTION("""COMPUTED_VALUE"""),"RFID")</f>
        <v>RFID</v>
      </c>
      <c r="N2782" s="5" t="str">
        <f>IFERROR(__xludf.DUMMYFUNCTION("""COMPUTED_VALUE"""),"")</f>
        <v/>
      </c>
      <c r="O2782" s="5" t="str">
        <f>IFERROR(__xludf.DUMMYFUNCTION("""COMPUTED_VALUE"""),"")</f>
        <v/>
      </c>
      <c r="P2782" s="5" t="str">
        <f>IFERROR(__xludf.DUMMYFUNCTION("""COMPUTED_VALUE"""),"")</f>
        <v/>
      </c>
      <c r="Q2782" s="5" t="str">
        <f>IFERROR(__xludf.DUMMYFUNCTION("""COMPUTED_VALUE"""),"")</f>
        <v/>
      </c>
      <c r="R2782" s="4" t="str">
        <f>IFERROR(__xludf.DUMMYFUNCTION("""COMPUTED_VALUE"""),"")</f>
        <v/>
      </c>
      <c r="S2782" s="1" t="b">
        <f>IFERROR(__xludf.DUMMYFUNCTION("""COMPUTED_VALUE"""),FALSE)</f>
        <v>0</v>
      </c>
      <c r="T2782" s="1" t="b">
        <f>IFERROR(__xludf.DUMMYFUNCTION("""COMPUTED_VALUE"""),FALSE)</f>
        <v>0</v>
      </c>
      <c r="U2782" s="1" t="str">
        <f>IFERROR(__xludf.DUMMYFUNCTION("""COMPUTED_VALUE"""),"")</f>
        <v/>
      </c>
      <c r="V2782" s="1" t="str">
        <f>IFERROR(__xludf.DUMMYFUNCTION("""COMPUTED_VALUE"""),"")</f>
        <v/>
      </c>
      <c r="W2782" s="1" t="str">
        <f>IFERROR(__xludf.DUMMYFUNCTION("""COMPUTED_VALUE"""),"")</f>
        <v/>
      </c>
      <c r="X2782" s="1" t="str">
        <f>IFERROR(__xludf.DUMMYFUNCTION("""COMPUTED_VALUE"""),"")</f>
        <v/>
      </c>
      <c r="Y2782" s="2"/>
      <c r="Z2782" s="2" t="str">
        <f>IFERROR(__xludf.DUMMYFUNCTION("""COMPUTED_VALUE"""),"")</f>
        <v/>
      </c>
    </row>
    <row r="2783">
      <c r="A2783" s="1" t="str">
        <f>IFERROR(__xludf.DUMMYFUNCTION("""COMPUTED_VALUE"""),"")</f>
        <v/>
      </c>
      <c r="B2783" s="1"/>
      <c r="C2783" s="2"/>
      <c r="D2783" s="2"/>
      <c r="E2783" s="1"/>
      <c r="F2783" s="1"/>
      <c r="G2783" s="4" t="str">
        <f>IFERROR(__xludf.DUMMYFUNCTION("""COMPUTED_VALUE"""),"")</f>
        <v/>
      </c>
      <c r="H2783" s="4" t="str">
        <f>IFERROR(__xludf.DUMMYFUNCTION("""COMPUTED_VALUE"""),"")</f>
        <v/>
      </c>
      <c r="I2783" s="4" t="str">
        <f>IFERROR(__xludf.DUMMYFUNCTION("""COMPUTED_VALUE"""),"")</f>
        <v/>
      </c>
      <c r="J2783" s="4" t="str">
        <f>IFERROR(__xludf.DUMMYFUNCTION("""COMPUTED_VALUE"""),"")</f>
        <v/>
      </c>
      <c r="K2783" s="4" t="str">
        <f>IFERROR(__xludf.DUMMYFUNCTION("""COMPUTED_VALUE"""),"")</f>
        <v/>
      </c>
      <c r="L2783" s="4" t="str">
        <f>IFERROR(__xludf.DUMMYFUNCTION("""COMPUTED_VALUE"""),"")</f>
        <v/>
      </c>
      <c r="M2783" s="1" t="str">
        <f>IFERROR(__xludf.DUMMYFUNCTION("""COMPUTED_VALUE"""),"RFID")</f>
        <v>RFID</v>
      </c>
      <c r="N2783" s="5" t="str">
        <f>IFERROR(__xludf.DUMMYFUNCTION("""COMPUTED_VALUE"""),"")</f>
        <v/>
      </c>
      <c r="O2783" s="5" t="str">
        <f>IFERROR(__xludf.DUMMYFUNCTION("""COMPUTED_VALUE"""),"")</f>
        <v/>
      </c>
      <c r="P2783" s="5" t="str">
        <f>IFERROR(__xludf.DUMMYFUNCTION("""COMPUTED_VALUE"""),"")</f>
        <v/>
      </c>
      <c r="Q2783" s="5" t="str">
        <f>IFERROR(__xludf.DUMMYFUNCTION("""COMPUTED_VALUE"""),"")</f>
        <v/>
      </c>
      <c r="R2783" s="4" t="str">
        <f>IFERROR(__xludf.DUMMYFUNCTION("""COMPUTED_VALUE"""),"")</f>
        <v/>
      </c>
      <c r="S2783" s="1" t="b">
        <f>IFERROR(__xludf.DUMMYFUNCTION("""COMPUTED_VALUE"""),FALSE)</f>
        <v>0</v>
      </c>
      <c r="T2783" s="1" t="b">
        <f>IFERROR(__xludf.DUMMYFUNCTION("""COMPUTED_VALUE"""),FALSE)</f>
        <v>0</v>
      </c>
      <c r="U2783" s="1" t="str">
        <f>IFERROR(__xludf.DUMMYFUNCTION("""COMPUTED_VALUE"""),"")</f>
        <v/>
      </c>
      <c r="V2783" s="1" t="str">
        <f>IFERROR(__xludf.DUMMYFUNCTION("""COMPUTED_VALUE"""),"")</f>
        <v/>
      </c>
      <c r="W2783" s="1" t="str">
        <f>IFERROR(__xludf.DUMMYFUNCTION("""COMPUTED_VALUE"""),"")</f>
        <v/>
      </c>
      <c r="X2783" s="1" t="str">
        <f>IFERROR(__xludf.DUMMYFUNCTION("""COMPUTED_VALUE"""),"")</f>
        <v/>
      </c>
      <c r="Y2783" s="2"/>
      <c r="Z2783" s="2" t="str">
        <f>IFERROR(__xludf.DUMMYFUNCTION("""COMPUTED_VALUE"""),"")</f>
        <v/>
      </c>
    </row>
    <row r="2784">
      <c r="A2784" s="1" t="str">
        <f>IFERROR(__xludf.DUMMYFUNCTION("""COMPUTED_VALUE"""),"")</f>
        <v/>
      </c>
      <c r="B2784" s="1"/>
      <c r="C2784" s="2"/>
      <c r="D2784" s="2"/>
      <c r="E2784" s="1"/>
      <c r="F2784" s="1"/>
      <c r="G2784" s="4" t="str">
        <f>IFERROR(__xludf.DUMMYFUNCTION("""COMPUTED_VALUE"""),"")</f>
        <v/>
      </c>
      <c r="H2784" s="4" t="str">
        <f>IFERROR(__xludf.DUMMYFUNCTION("""COMPUTED_VALUE"""),"")</f>
        <v/>
      </c>
      <c r="I2784" s="4" t="str">
        <f>IFERROR(__xludf.DUMMYFUNCTION("""COMPUTED_VALUE"""),"")</f>
        <v/>
      </c>
      <c r="J2784" s="4" t="str">
        <f>IFERROR(__xludf.DUMMYFUNCTION("""COMPUTED_VALUE"""),"")</f>
        <v/>
      </c>
      <c r="K2784" s="4" t="str">
        <f>IFERROR(__xludf.DUMMYFUNCTION("""COMPUTED_VALUE"""),"")</f>
        <v/>
      </c>
      <c r="L2784" s="4" t="str">
        <f>IFERROR(__xludf.DUMMYFUNCTION("""COMPUTED_VALUE"""),"")</f>
        <v/>
      </c>
      <c r="M2784" s="1" t="str">
        <f>IFERROR(__xludf.DUMMYFUNCTION("""COMPUTED_VALUE"""),"RFID")</f>
        <v>RFID</v>
      </c>
      <c r="N2784" s="5" t="str">
        <f>IFERROR(__xludf.DUMMYFUNCTION("""COMPUTED_VALUE"""),"")</f>
        <v/>
      </c>
      <c r="O2784" s="5" t="str">
        <f>IFERROR(__xludf.DUMMYFUNCTION("""COMPUTED_VALUE"""),"")</f>
        <v/>
      </c>
      <c r="P2784" s="5" t="str">
        <f>IFERROR(__xludf.DUMMYFUNCTION("""COMPUTED_VALUE"""),"")</f>
        <v/>
      </c>
      <c r="Q2784" s="5" t="str">
        <f>IFERROR(__xludf.DUMMYFUNCTION("""COMPUTED_VALUE"""),"")</f>
        <v/>
      </c>
      <c r="R2784" s="4" t="str">
        <f>IFERROR(__xludf.DUMMYFUNCTION("""COMPUTED_VALUE"""),"")</f>
        <v/>
      </c>
      <c r="S2784" s="1" t="b">
        <f>IFERROR(__xludf.DUMMYFUNCTION("""COMPUTED_VALUE"""),FALSE)</f>
        <v>0</v>
      </c>
      <c r="T2784" s="1" t="b">
        <f>IFERROR(__xludf.DUMMYFUNCTION("""COMPUTED_VALUE"""),FALSE)</f>
        <v>0</v>
      </c>
      <c r="U2784" s="1" t="str">
        <f>IFERROR(__xludf.DUMMYFUNCTION("""COMPUTED_VALUE"""),"")</f>
        <v/>
      </c>
      <c r="V2784" s="1" t="str">
        <f>IFERROR(__xludf.DUMMYFUNCTION("""COMPUTED_VALUE"""),"")</f>
        <v/>
      </c>
      <c r="W2784" s="1" t="str">
        <f>IFERROR(__xludf.DUMMYFUNCTION("""COMPUTED_VALUE"""),"")</f>
        <v/>
      </c>
      <c r="X2784" s="1" t="str">
        <f>IFERROR(__xludf.DUMMYFUNCTION("""COMPUTED_VALUE"""),"")</f>
        <v/>
      </c>
      <c r="Y2784" s="2"/>
      <c r="Z2784" s="2" t="str">
        <f>IFERROR(__xludf.DUMMYFUNCTION("""COMPUTED_VALUE"""),"")</f>
        <v/>
      </c>
    </row>
    <row r="2785">
      <c r="A2785" s="1" t="str">
        <f>IFERROR(__xludf.DUMMYFUNCTION("""COMPUTED_VALUE"""),"")</f>
        <v/>
      </c>
      <c r="B2785" s="1"/>
      <c r="C2785" s="2"/>
      <c r="D2785" s="2"/>
      <c r="E2785" s="1"/>
      <c r="F2785" s="1"/>
      <c r="G2785" s="4" t="str">
        <f>IFERROR(__xludf.DUMMYFUNCTION("""COMPUTED_VALUE"""),"")</f>
        <v/>
      </c>
      <c r="H2785" s="4" t="str">
        <f>IFERROR(__xludf.DUMMYFUNCTION("""COMPUTED_VALUE"""),"")</f>
        <v/>
      </c>
      <c r="I2785" s="4" t="str">
        <f>IFERROR(__xludf.DUMMYFUNCTION("""COMPUTED_VALUE"""),"")</f>
        <v/>
      </c>
      <c r="J2785" s="4" t="str">
        <f>IFERROR(__xludf.DUMMYFUNCTION("""COMPUTED_VALUE"""),"")</f>
        <v/>
      </c>
      <c r="K2785" s="4" t="str">
        <f>IFERROR(__xludf.DUMMYFUNCTION("""COMPUTED_VALUE"""),"")</f>
        <v/>
      </c>
      <c r="L2785" s="4" t="str">
        <f>IFERROR(__xludf.DUMMYFUNCTION("""COMPUTED_VALUE"""),"")</f>
        <v/>
      </c>
      <c r="M2785" s="1" t="str">
        <f>IFERROR(__xludf.DUMMYFUNCTION("""COMPUTED_VALUE"""),"RFID")</f>
        <v>RFID</v>
      </c>
      <c r="N2785" s="5" t="str">
        <f>IFERROR(__xludf.DUMMYFUNCTION("""COMPUTED_VALUE"""),"")</f>
        <v/>
      </c>
      <c r="O2785" s="5" t="str">
        <f>IFERROR(__xludf.DUMMYFUNCTION("""COMPUTED_VALUE"""),"")</f>
        <v/>
      </c>
      <c r="P2785" s="5" t="str">
        <f>IFERROR(__xludf.DUMMYFUNCTION("""COMPUTED_VALUE"""),"")</f>
        <v/>
      </c>
      <c r="Q2785" s="5" t="str">
        <f>IFERROR(__xludf.DUMMYFUNCTION("""COMPUTED_VALUE"""),"")</f>
        <v/>
      </c>
      <c r="R2785" s="4" t="str">
        <f>IFERROR(__xludf.DUMMYFUNCTION("""COMPUTED_VALUE"""),"")</f>
        <v/>
      </c>
      <c r="S2785" s="1" t="b">
        <f>IFERROR(__xludf.DUMMYFUNCTION("""COMPUTED_VALUE"""),FALSE)</f>
        <v>0</v>
      </c>
      <c r="T2785" s="1" t="b">
        <f>IFERROR(__xludf.DUMMYFUNCTION("""COMPUTED_VALUE"""),FALSE)</f>
        <v>0</v>
      </c>
      <c r="U2785" s="1" t="str">
        <f>IFERROR(__xludf.DUMMYFUNCTION("""COMPUTED_VALUE"""),"")</f>
        <v/>
      </c>
      <c r="V2785" s="1" t="str">
        <f>IFERROR(__xludf.DUMMYFUNCTION("""COMPUTED_VALUE"""),"")</f>
        <v/>
      </c>
      <c r="W2785" s="1" t="str">
        <f>IFERROR(__xludf.DUMMYFUNCTION("""COMPUTED_VALUE"""),"")</f>
        <v/>
      </c>
      <c r="X2785" s="1" t="str">
        <f>IFERROR(__xludf.DUMMYFUNCTION("""COMPUTED_VALUE"""),"")</f>
        <v/>
      </c>
      <c r="Y2785" s="2"/>
      <c r="Z2785" s="2" t="str">
        <f>IFERROR(__xludf.DUMMYFUNCTION("""COMPUTED_VALUE"""),"")</f>
        <v/>
      </c>
    </row>
    <row r="2786">
      <c r="A2786" s="1" t="str">
        <f>IFERROR(__xludf.DUMMYFUNCTION("""COMPUTED_VALUE"""),"")</f>
        <v/>
      </c>
      <c r="B2786" s="1"/>
      <c r="C2786" s="2"/>
      <c r="D2786" s="2"/>
      <c r="E2786" s="1"/>
      <c r="F2786" s="1"/>
      <c r="G2786" s="4" t="str">
        <f>IFERROR(__xludf.DUMMYFUNCTION("""COMPUTED_VALUE"""),"")</f>
        <v/>
      </c>
      <c r="H2786" s="4" t="str">
        <f>IFERROR(__xludf.DUMMYFUNCTION("""COMPUTED_VALUE"""),"")</f>
        <v/>
      </c>
      <c r="I2786" s="4" t="str">
        <f>IFERROR(__xludf.DUMMYFUNCTION("""COMPUTED_VALUE"""),"")</f>
        <v/>
      </c>
      <c r="J2786" s="4" t="str">
        <f>IFERROR(__xludf.DUMMYFUNCTION("""COMPUTED_VALUE"""),"")</f>
        <v/>
      </c>
      <c r="K2786" s="4" t="str">
        <f>IFERROR(__xludf.DUMMYFUNCTION("""COMPUTED_VALUE"""),"")</f>
        <v/>
      </c>
      <c r="L2786" s="4" t="str">
        <f>IFERROR(__xludf.DUMMYFUNCTION("""COMPUTED_VALUE"""),"")</f>
        <v/>
      </c>
      <c r="M2786" s="1" t="str">
        <f>IFERROR(__xludf.DUMMYFUNCTION("""COMPUTED_VALUE"""),"RFID")</f>
        <v>RFID</v>
      </c>
      <c r="N2786" s="5" t="str">
        <f>IFERROR(__xludf.DUMMYFUNCTION("""COMPUTED_VALUE"""),"")</f>
        <v/>
      </c>
      <c r="O2786" s="5" t="str">
        <f>IFERROR(__xludf.DUMMYFUNCTION("""COMPUTED_VALUE"""),"")</f>
        <v/>
      </c>
      <c r="P2786" s="5" t="str">
        <f>IFERROR(__xludf.DUMMYFUNCTION("""COMPUTED_VALUE"""),"")</f>
        <v/>
      </c>
      <c r="Q2786" s="5" t="str">
        <f>IFERROR(__xludf.DUMMYFUNCTION("""COMPUTED_VALUE"""),"")</f>
        <v/>
      </c>
      <c r="R2786" s="4" t="str">
        <f>IFERROR(__xludf.DUMMYFUNCTION("""COMPUTED_VALUE"""),"")</f>
        <v/>
      </c>
      <c r="S2786" s="1" t="b">
        <f>IFERROR(__xludf.DUMMYFUNCTION("""COMPUTED_VALUE"""),FALSE)</f>
        <v>0</v>
      </c>
      <c r="T2786" s="1" t="b">
        <f>IFERROR(__xludf.DUMMYFUNCTION("""COMPUTED_VALUE"""),FALSE)</f>
        <v>0</v>
      </c>
      <c r="U2786" s="1" t="str">
        <f>IFERROR(__xludf.DUMMYFUNCTION("""COMPUTED_VALUE"""),"")</f>
        <v/>
      </c>
      <c r="V2786" s="1" t="str">
        <f>IFERROR(__xludf.DUMMYFUNCTION("""COMPUTED_VALUE"""),"")</f>
        <v/>
      </c>
      <c r="W2786" s="1" t="str">
        <f>IFERROR(__xludf.DUMMYFUNCTION("""COMPUTED_VALUE"""),"")</f>
        <v/>
      </c>
      <c r="X2786" s="1" t="str">
        <f>IFERROR(__xludf.DUMMYFUNCTION("""COMPUTED_VALUE"""),"")</f>
        <v/>
      </c>
      <c r="Y2786" s="2"/>
      <c r="Z2786" s="2" t="str">
        <f>IFERROR(__xludf.DUMMYFUNCTION("""COMPUTED_VALUE"""),"")</f>
        <v/>
      </c>
    </row>
    <row r="2787">
      <c r="A2787" s="1" t="str">
        <f>IFERROR(__xludf.DUMMYFUNCTION("""COMPUTED_VALUE"""),"")</f>
        <v/>
      </c>
      <c r="B2787" s="1"/>
      <c r="C2787" s="2"/>
      <c r="D2787" s="2"/>
      <c r="E2787" s="1"/>
      <c r="F2787" s="1"/>
      <c r="G2787" s="4" t="str">
        <f>IFERROR(__xludf.DUMMYFUNCTION("""COMPUTED_VALUE"""),"")</f>
        <v/>
      </c>
      <c r="H2787" s="4" t="str">
        <f>IFERROR(__xludf.DUMMYFUNCTION("""COMPUTED_VALUE"""),"")</f>
        <v/>
      </c>
      <c r="I2787" s="4" t="str">
        <f>IFERROR(__xludf.DUMMYFUNCTION("""COMPUTED_VALUE"""),"")</f>
        <v/>
      </c>
      <c r="J2787" s="4" t="str">
        <f>IFERROR(__xludf.DUMMYFUNCTION("""COMPUTED_VALUE"""),"")</f>
        <v/>
      </c>
      <c r="K2787" s="4" t="str">
        <f>IFERROR(__xludf.DUMMYFUNCTION("""COMPUTED_VALUE"""),"")</f>
        <v/>
      </c>
      <c r="L2787" s="4" t="str">
        <f>IFERROR(__xludf.DUMMYFUNCTION("""COMPUTED_VALUE"""),"")</f>
        <v/>
      </c>
      <c r="M2787" s="1" t="str">
        <f>IFERROR(__xludf.DUMMYFUNCTION("""COMPUTED_VALUE"""),"RFID")</f>
        <v>RFID</v>
      </c>
      <c r="N2787" s="5" t="str">
        <f>IFERROR(__xludf.DUMMYFUNCTION("""COMPUTED_VALUE"""),"")</f>
        <v/>
      </c>
      <c r="O2787" s="5" t="str">
        <f>IFERROR(__xludf.DUMMYFUNCTION("""COMPUTED_VALUE"""),"")</f>
        <v/>
      </c>
      <c r="P2787" s="5" t="str">
        <f>IFERROR(__xludf.DUMMYFUNCTION("""COMPUTED_VALUE"""),"")</f>
        <v/>
      </c>
      <c r="Q2787" s="5" t="str">
        <f>IFERROR(__xludf.DUMMYFUNCTION("""COMPUTED_VALUE"""),"")</f>
        <v/>
      </c>
      <c r="R2787" s="4" t="str">
        <f>IFERROR(__xludf.DUMMYFUNCTION("""COMPUTED_VALUE"""),"")</f>
        <v/>
      </c>
      <c r="S2787" s="1" t="b">
        <f>IFERROR(__xludf.DUMMYFUNCTION("""COMPUTED_VALUE"""),FALSE)</f>
        <v>0</v>
      </c>
      <c r="T2787" s="1" t="b">
        <f>IFERROR(__xludf.DUMMYFUNCTION("""COMPUTED_VALUE"""),FALSE)</f>
        <v>0</v>
      </c>
      <c r="U2787" s="1" t="str">
        <f>IFERROR(__xludf.DUMMYFUNCTION("""COMPUTED_VALUE"""),"")</f>
        <v/>
      </c>
      <c r="V2787" s="1" t="str">
        <f>IFERROR(__xludf.DUMMYFUNCTION("""COMPUTED_VALUE"""),"")</f>
        <v/>
      </c>
      <c r="W2787" s="1" t="str">
        <f>IFERROR(__xludf.DUMMYFUNCTION("""COMPUTED_VALUE"""),"")</f>
        <v/>
      </c>
      <c r="X2787" s="1" t="str">
        <f>IFERROR(__xludf.DUMMYFUNCTION("""COMPUTED_VALUE"""),"")</f>
        <v/>
      </c>
      <c r="Y2787" s="2"/>
      <c r="Z2787" s="2" t="str">
        <f>IFERROR(__xludf.DUMMYFUNCTION("""COMPUTED_VALUE"""),"")</f>
        <v/>
      </c>
    </row>
    <row r="2788">
      <c r="A2788" s="1" t="str">
        <f>IFERROR(__xludf.DUMMYFUNCTION("""COMPUTED_VALUE"""),"")</f>
        <v/>
      </c>
      <c r="B2788" s="1"/>
      <c r="C2788" s="2"/>
      <c r="D2788" s="2"/>
      <c r="E2788" s="1"/>
      <c r="F2788" s="1"/>
      <c r="G2788" s="4" t="str">
        <f>IFERROR(__xludf.DUMMYFUNCTION("""COMPUTED_VALUE"""),"")</f>
        <v/>
      </c>
      <c r="H2788" s="4" t="str">
        <f>IFERROR(__xludf.DUMMYFUNCTION("""COMPUTED_VALUE"""),"")</f>
        <v/>
      </c>
      <c r="I2788" s="4" t="str">
        <f>IFERROR(__xludf.DUMMYFUNCTION("""COMPUTED_VALUE"""),"")</f>
        <v/>
      </c>
      <c r="J2788" s="4" t="str">
        <f>IFERROR(__xludf.DUMMYFUNCTION("""COMPUTED_VALUE"""),"")</f>
        <v/>
      </c>
      <c r="K2788" s="4" t="str">
        <f>IFERROR(__xludf.DUMMYFUNCTION("""COMPUTED_VALUE"""),"")</f>
        <v/>
      </c>
      <c r="L2788" s="4" t="str">
        <f>IFERROR(__xludf.DUMMYFUNCTION("""COMPUTED_VALUE"""),"")</f>
        <v/>
      </c>
      <c r="M2788" s="1" t="str">
        <f>IFERROR(__xludf.DUMMYFUNCTION("""COMPUTED_VALUE"""),"RFID")</f>
        <v>RFID</v>
      </c>
      <c r="N2788" s="5" t="str">
        <f>IFERROR(__xludf.DUMMYFUNCTION("""COMPUTED_VALUE"""),"")</f>
        <v/>
      </c>
      <c r="O2788" s="5" t="str">
        <f>IFERROR(__xludf.DUMMYFUNCTION("""COMPUTED_VALUE"""),"")</f>
        <v/>
      </c>
      <c r="P2788" s="5" t="str">
        <f>IFERROR(__xludf.DUMMYFUNCTION("""COMPUTED_VALUE"""),"")</f>
        <v/>
      </c>
      <c r="Q2788" s="5" t="str">
        <f>IFERROR(__xludf.DUMMYFUNCTION("""COMPUTED_VALUE"""),"")</f>
        <v/>
      </c>
      <c r="R2788" s="4" t="str">
        <f>IFERROR(__xludf.DUMMYFUNCTION("""COMPUTED_VALUE"""),"")</f>
        <v/>
      </c>
      <c r="S2788" s="1" t="b">
        <f>IFERROR(__xludf.DUMMYFUNCTION("""COMPUTED_VALUE"""),FALSE)</f>
        <v>0</v>
      </c>
      <c r="T2788" s="1" t="b">
        <f>IFERROR(__xludf.DUMMYFUNCTION("""COMPUTED_VALUE"""),FALSE)</f>
        <v>0</v>
      </c>
      <c r="U2788" s="1" t="str">
        <f>IFERROR(__xludf.DUMMYFUNCTION("""COMPUTED_VALUE"""),"")</f>
        <v/>
      </c>
      <c r="V2788" s="1" t="str">
        <f>IFERROR(__xludf.DUMMYFUNCTION("""COMPUTED_VALUE"""),"")</f>
        <v/>
      </c>
      <c r="W2788" s="1" t="str">
        <f>IFERROR(__xludf.DUMMYFUNCTION("""COMPUTED_VALUE"""),"")</f>
        <v/>
      </c>
      <c r="X2788" s="1" t="str">
        <f>IFERROR(__xludf.DUMMYFUNCTION("""COMPUTED_VALUE"""),"")</f>
        <v/>
      </c>
      <c r="Y2788" s="2"/>
      <c r="Z2788" s="2" t="str">
        <f>IFERROR(__xludf.DUMMYFUNCTION("""COMPUTED_VALUE"""),"")</f>
        <v/>
      </c>
    </row>
    <row r="2789">
      <c r="A2789" s="1" t="str">
        <f>IFERROR(__xludf.DUMMYFUNCTION("""COMPUTED_VALUE"""),"")</f>
        <v/>
      </c>
      <c r="B2789" s="1"/>
      <c r="C2789" s="2"/>
      <c r="D2789" s="2"/>
      <c r="E2789" s="1"/>
      <c r="F2789" s="1"/>
      <c r="G2789" s="4" t="str">
        <f>IFERROR(__xludf.DUMMYFUNCTION("""COMPUTED_VALUE"""),"")</f>
        <v/>
      </c>
      <c r="H2789" s="4" t="str">
        <f>IFERROR(__xludf.DUMMYFUNCTION("""COMPUTED_VALUE"""),"")</f>
        <v/>
      </c>
      <c r="I2789" s="4" t="str">
        <f>IFERROR(__xludf.DUMMYFUNCTION("""COMPUTED_VALUE"""),"")</f>
        <v/>
      </c>
      <c r="J2789" s="4" t="str">
        <f>IFERROR(__xludf.DUMMYFUNCTION("""COMPUTED_VALUE"""),"")</f>
        <v/>
      </c>
      <c r="K2789" s="4" t="str">
        <f>IFERROR(__xludf.DUMMYFUNCTION("""COMPUTED_VALUE"""),"")</f>
        <v/>
      </c>
      <c r="L2789" s="4" t="str">
        <f>IFERROR(__xludf.DUMMYFUNCTION("""COMPUTED_VALUE"""),"")</f>
        <v/>
      </c>
      <c r="M2789" s="1" t="str">
        <f>IFERROR(__xludf.DUMMYFUNCTION("""COMPUTED_VALUE"""),"RFID")</f>
        <v>RFID</v>
      </c>
      <c r="N2789" s="5" t="str">
        <f>IFERROR(__xludf.DUMMYFUNCTION("""COMPUTED_VALUE"""),"")</f>
        <v/>
      </c>
      <c r="O2789" s="5" t="str">
        <f>IFERROR(__xludf.DUMMYFUNCTION("""COMPUTED_VALUE"""),"")</f>
        <v/>
      </c>
      <c r="P2789" s="5" t="str">
        <f>IFERROR(__xludf.DUMMYFUNCTION("""COMPUTED_VALUE"""),"")</f>
        <v/>
      </c>
      <c r="Q2789" s="5" t="str">
        <f>IFERROR(__xludf.DUMMYFUNCTION("""COMPUTED_VALUE"""),"")</f>
        <v/>
      </c>
      <c r="R2789" s="4" t="str">
        <f>IFERROR(__xludf.DUMMYFUNCTION("""COMPUTED_VALUE"""),"")</f>
        <v/>
      </c>
      <c r="S2789" s="1" t="b">
        <f>IFERROR(__xludf.DUMMYFUNCTION("""COMPUTED_VALUE"""),FALSE)</f>
        <v>0</v>
      </c>
      <c r="T2789" s="1" t="b">
        <f>IFERROR(__xludf.DUMMYFUNCTION("""COMPUTED_VALUE"""),FALSE)</f>
        <v>0</v>
      </c>
      <c r="U2789" s="1" t="str">
        <f>IFERROR(__xludf.DUMMYFUNCTION("""COMPUTED_VALUE"""),"")</f>
        <v/>
      </c>
      <c r="V2789" s="1" t="str">
        <f>IFERROR(__xludf.DUMMYFUNCTION("""COMPUTED_VALUE"""),"")</f>
        <v/>
      </c>
      <c r="W2789" s="1" t="str">
        <f>IFERROR(__xludf.DUMMYFUNCTION("""COMPUTED_VALUE"""),"")</f>
        <v/>
      </c>
      <c r="X2789" s="1" t="str">
        <f>IFERROR(__xludf.DUMMYFUNCTION("""COMPUTED_VALUE"""),"")</f>
        <v/>
      </c>
      <c r="Y2789" s="2"/>
      <c r="Z2789" s="2" t="str">
        <f>IFERROR(__xludf.DUMMYFUNCTION("""COMPUTED_VALUE"""),"")</f>
        <v/>
      </c>
    </row>
    <row r="2790">
      <c r="A2790" s="1" t="str">
        <f>IFERROR(__xludf.DUMMYFUNCTION("""COMPUTED_VALUE"""),"")</f>
        <v/>
      </c>
      <c r="B2790" s="1"/>
      <c r="C2790" s="2"/>
      <c r="D2790" s="2"/>
      <c r="E2790" s="1"/>
      <c r="F2790" s="1"/>
      <c r="G2790" s="4" t="str">
        <f>IFERROR(__xludf.DUMMYFUNCTION("""COMPUTED_VALUE"""),"")</f>
        <v/>
      </c>
      <c r="H2790" s="4" t="str">
        <f>IFERROR(__xludf.DUMMYFUNCTION("""COMPUTED_VALUE"""),"")</f>
        <v/>
      </c>
      <c r="I2790" s="4" t="str">
        <f>IFERROR(__xludf.DUMMYFUNCTION("""COMPUTED_VALUE"""),"")</f>
        <v/>
      </c>
      <c r="J2790" s="4" t="str">
        <f>IFERROR(__xludf.DUMMYFUNCTION("""COMPUTED_VALUE"""),"")</f>
        <v/>
      </c>
      <c r="K2790" s="4" t="str">
        <f>IFERROR(__xludf.DUMMYFUNCTION("""COMPUTED_VALUE"""),"")</f>
        <v/>
      </c>
      <c r="L2790" s="4" t="str">
        <f>IFERROR(__xludf.DUMMYFUNCTION("""COMPUTED_VALUE"""),"")</f>
        <v/>
      </c>
      <c r="M2790" s="1" t="str">
        <f>IFERROR(__xludf.DUMMYFUNCTION("""COMPUTED_VALUE"""),"RFID")</f>
        <v>RFID</v>
      </c>
      <c r="N2790" s="5" t="str">
        <f>IFERROR(__xludf.DUMMYFUNCTION("""COMPUTED_VALUE"""),"")</f>
        <v/>
      </c>
      <c r="O2790" s="5" t="str">
        <f>IFERROR(__xludf.DUMMYFUNCTION("""COMPUTED_VALUE"""),"")</f>
        <v/>
      </c>
      <c r="P2790" s="5" t="str">
        <f>IFERROR(__xludf.DUMMYFUNCTION("""COMPUTED_VALUE"""),"")</f>
        <v/>
      </c>
      <c r="Q2790" s="5" t="str">
        <f>IFERROR(__xludf.DUMMYFUNCTION("""COMPUTED_VALUE"""),"")</f>
        <v/>
      </c>
      <c r="R2790" s="4" t="str">
        <f>IFERROR(__xludf.DUMMYFUNCTION("""COMPUTED_VALUE"""),"")</f>
        <v/>
      </c>
      <c r="S2790" s="1" t="b">
        <f>IFERROR(__xludf.DUMMYFUNCTION("""COMPUTED_VALUE"""),FALSE)</f>
        <v>0</v>
      </c>
      <c r="T2790" s="1" t="b">
        <f>IFERROR(__xludf.DUMMYFUNCTION("""COMPUTED_VALUE"""),FALSE)</f>
        <v>0</v>
      </c>
      <c r="U2790" s="1" t="str">
        <f>IFERROR(__xludf.DUMMYFUNCTION("""COMPUTED_VALUE"""),"")</f>
        <v/>
      </c>
      <c r="V2790" s="1" t="str">
        <f>IFERROR(__xludf.DUMMYFUNCTION("""COMPUTED_VALUE"""),"")</f>
        <v/>
      </c>
      <c r="W2790" s="1" t="str">
        <f>IFERROR(__xludf.DUMMYFUNCTION("""COMPUTED_VALUE"""),"")</f>
        <v/>
      </c>
      <c r="X2790" s="1" t="str">
        <f>IFERROR(__xludf.DUMMYFUNCTION("""COMPUTED_VALUE"""),"")</f>
        <v/>
      </c>
      <c r="Y2790" s="2"/>
      <c r="Z2790" s="2" t="str">
        <f>IFERROR(__xludf.DUMMYFUNCTION("""COMPUTED_VALUE"""),"")</f>
        <v/>
      </c>
    </row>
    <row r="2791">
      <c r="A2791" s="1" t="str">
        <f>IFERROR(__xludf.DUMMYFUNCTION("""COMPUTED_VALUE"""),"")</f>
        <v/>
      </c>
      <c r="B2791" s="1"/>
      <c r="C2791" s="2"/>
      <c r="D2791" s="2"/>
      <c r="E2791" s="1"/>
      <c r="F2791" s="1"/>
      <c r="G2791" s="4" t="str">
        <f>IFERROR(__xludf.DUMMYFUNCTION("""COMPUTED_VALUE"""),"")</f>
        <v/>
      </c>
      <c r="H2791" s="4" t="str">
        <f>IFERROR(__xludf.DUMMYFUNCTION("""COMPUTED_VALUE"""),"")</f>
        <v/>
      </c>
      <c r="I2791" s="4" t="str">
        <f>IFERROR(__xludf.DUMMYFUNCTION("""COMPUTED_VALUE"""),"")</f>
        <v/>
      </c>
      <c r="J2791" s="4" t="str">
        <f>IFERROR(__xludf.DUMMYFUNCTION("""COMPUTED_VALUE"""),"")</f>
        <v/>
      </c>
      <c r="K2791" s="4" t="str">
        <f>IFERROR(__xludf.DUMMYFUNCTION("""COMPUTED_VALUE"""),"")</f>
        <v/>
      </c>
      <c r="L2791" s="4" t="str">
        <f>IFERROR(__xludf.DUMMYFUNCTION("""COMPUTED_VALUE"""),"")</f>
        <v/>
      </c>
      <c r="M2791" s="1" t="str">
        <f>IFERROR(__xludf.DUMMYFUNCTION("""COMPUTED_VALUE"""),"RFID")</f>
        <v>RFID</v>
      </c>
      <c r="N2791" s="5" t="str">
        <f>IFERROR(__xludf.DUMMYFUNCTION("""COMPUTED_VALUE"""),"")</f>
        <v/>
      </c>
      <c r="O2791" s="5" t="str">
        <f>IFERROR(__xludf.DUMMYFUNCTION("""COMPUTED_VALUE"""),"")</f>
        <v/>
      </c>
      <c r="P2791" s="5" t="str">
        <f>IFERROR(__xludf.DUMMYFUNCTION("""COMPUTED_VALUE"""),"")</f>
        <v/>
      </c>
      <c r="Q2791" s="5" t="str">
        <f>IFERROR(__xludf.DUMMYFUNCTION("""COMPUTED_VALUE"""),"")</f>
        <v/>
      </c>
      <c r="R2791" s="4" t="str">
        <f>IFERROR(__xludf.DUMMYFUNCTION("""COMPUTED_VALUE"""),"")</f>
        <v/>
      </c>
      <c r="S2791" s="1" t="b">
        <f>IFERROR(__xludf.DUMMYFUNCTION("""COMPUTED_VALUE"""),FALSE)</f>
        <v>0</v>
      </c>
      <c r="T2791" s="1" t="b">
        <f>IFERROR(__xludf.DUMMYFUNCTION("""COMPUTED_VALUE"""),FALSE)</f>
        <v>0</v>
      </c>
      <c r="U2791" s="1" t="str">
        <f>IFERROR(__xludf.DUMMYFUNCTION("""COMPUTED_VALUE"""),"")</f>
        <v/>
      </c>
      <c r="V2791" s="1" t="str">
        <f>IFERROR(__xludf.DUMMYFUNCTION("""COMPUTED_VALUE"""),"")</f>
        <v/>
      </c>
      <c r="W2791" s="1" t="str">
        <f>IFERROR(__xludf.DUMMYFUNCTION("""COMPUTED_VALUE"""),"")</f>
        <v/>
      </c>
      <c r="X2791" s="1" t="str">
        <f>IFERROR(__xludf.DUMMYFUNCTION("""COMPUTED_VALUE"""),"")</f>
        <v/>
      </c>
      <c r="Y2791" s="2"/>
      <c r="Z2791" s="2" t="str">
        <f>IFERROR(__xludf.DUMMYFUNCTION("""COMPUTED_VALUE"""),"")</f>
        <v/>
      </c>
    </row>
    <row r="2792">
      <c r="A2792" s="1" t="str">
        <f>IFERROR(__xludf.DUMMYFUNCTION("""COMPUTED_VALUE"""),"")</f>
        <v/>
      </c>
      <c r="B2792" s="1"/>
      <c r="C2792" s="2"/>
      <c r="D2792" s="2"/>
      <c r="E2792" s="1"/>
      <c r="F2792" s="1"/>
      <c r="G2792" s="4" t="str">
        <f>IFERROR(__xludf.DUMMYFUNCTION("""COMPUTED_VALUE"""),"")</f>
        <v/>
      </c>
      <c r="H2792" s="4" t="str">
        <f>IFERROR(__xludf.DUMMYFUNCTION("""COMPUTED_VALUE"""),"")</f>
        <v/>
      </c>
      <c r="I2792" s="4" t="str">
        <f>IFERROR(__xludf.DUMMYFUNCTION("""COMPUTED_VALUE"""),"")</f>
        <v/>
      </c>
      <c r="J2792" s="4" t="str">
        <f>IFERROR(__xludf.DUMMYFUNCTION("""COMPUTED_VALUE"""),"")</f>
        <v/>
      </c>
      <c r="K2792" s="4" t="str">
        <f>IFERROR(__xludf.DUMMYFUNCTION("""COMPUTED_VALUE"""),"")</f>
        <v/>
      </c>
      <c r="L2792" s="4" t="str">
        <f>IFERROR(__xludf.DUMMYFUNCTION("""COMPUTED_VALUE"""),"")</f>
        <v/>
      </c>
      <c r="M2792" s="1" t="str">
        <f>IFERROR(__xludf.DUMMYFUNCTION("""COMPUTED_VALUE"""),"RFID")</f>
        <v>RFID</v>
      </c>
      <c r="N2792" s="5" t="str">
        <f>IFERROR(__xludf.DUMMYFUNCTION("""COMPUTED_VALUE"""),"")</f>
        <v/>
      </c>
      <c r="O2792" s="5" t="str">
        <f>IFERROR(__xludf.DUMMYFUNCTION("""COMPUTED_VALUE"""),"")</f>
        <v/>
      </c>
      <c r="P2792" s="5" t="str">
        <f>IFERROR(__xludf.DUMMYFUNCTION("""COMPUTED_VALUE"""),"")</f>
        <v/>
      </c>
      <c r="Q2792" s="5" t="str">
        <f>IFERROR(__xludf.DUMMYFUNCTION("""COMPUTED_VALUE"""),"")</f>
        <v/>
      </c>
      <c r="R2792" s="4" t="str">
        <f>IFERROR(__xludf.DUMMYFUNCTION("""COMPUTED_VALUE"""),"")</f>
        <v/>
      </c>
      <c r="S2792" s="1" t="b">
        <f>IFERROR(__xludf.DUMMYFUNCTION("""COMPUTED_VALUE"""),FALSE)</f>
        <v>0</v>
      </c>
      <c r="T2792" s="1" t="b">
        <f>IFERROR(__xludf.DUMMYFUNCTION("""COMPUTED_VALUE"""),FALSE)</f>
        <v>0</v>
      </c>
      <c r="U2792" s="1" t="str">
        <f>IFERROR(__xludf.DUMMYFUNCTION("""COMPUTED_VALUE"""),"")</f>
        <v/>
      </c>
      <c r="V2792" s="1" t="str">
        <f>IFERROR(__xludf.DUMMYFUNCTION("""COMPUTED_VALUE"""),"")</f>
        <v/>
      </c>
      <c r="W2792" s="1" t="str">
        <f>IFERROR(__xludf.DUMMYFUNCTION("""COMPUTED_VALUE"""),"")</f>
        <v/>
      </c>
      <c r="X2792" s="1" t="str">
        <f>IFERROR(__xludf.DUMMYFUNCTION("""COMPUTED_VALUE"""),"")</f>
        <v/>
      </c>
      <c r="Y2792" s="2"/>
      <c r="Z2792" s="2" t="str">
        <f>IFERROR(__xludf.DUMMYFUNCTION("""COMPUTED_VALUE"""),"")</f>
        <v/>
      </c>
    </row>
    <row r="2793">
      <c r="A2793" s="1" t="str">
        <f>IFERROR(__xludf.DUMMYFUNCTION("""COMPUTED_VALUE"""),"")</f>
        <v/>
      </c>
      <c r="B2793" s="1"/>
      <c r="C2793" s="2"/>
      <c r="D2793" s="2"/>
      <c r="E2793" s="1"/>
      <c r="F2793" s="1"/>
      <c r="G2793" s="4" t="str">
        <f>IFERROR(__xludf.DUMMYFUNCTION("""COMPUTED_VALUE"""),"")</f>
        <v/>
      </c>
      <c r="H2793" s="4" t="str">
        <f>IFERROR(__xludf.DUMMYFUNCTION("""COMPUTED_VALUE"""),"")</f>
        <v/>
      </c>
      <c r="I2793" s="4" t="str">
        <f>IFERROR(__xludf.DUMMYFUNCTION("""COMPUTED_VALUE"""),"")</f>
        <v/>
      </c>
      <c r="J2793" s="4" t="str">
        <f>IFERROR(__xludf.DUMMYFUNCTION("""COMPUTED_VALUE"""),"")</f>
        <v/>
      </c>
      <c r="K2793" s="4" t="str">
        <f>IFERROR(__xludf.DUMMYFUNCTION("""COMPUTED_VALUE"""),"")</f>
        <v/>
      </c>
      <c r="L2793" s="4" t="str">
        <f>IFERROR(__xludf.DUMMYFUNCTION("""COMPUTED_VALUE"""),"")</f>
        <v/>
      </c>
      <c r="M2793" s="1" t="str">
        <f>IFERROR(__xludf.DUMMYFUNCTION("""COMPUTED_VALUE"""),"RFID")</f>
        <v>RFID</v>
      </c>
      <c r="N2793" s="5" t="str">
        <f>IFERROR(__xludf.DUMMYFUNCTION("""COMPUTED_VALUE"""),"")</f>
        <v/>
      </c>
      <c r="O2793" s="5" t="str">
        <f>IFERROR(__xludf.DUMMYFUNCTION("""COMPUTED_VALUE"""),"")</f>
        <v/>
      </c>
      <c r="P2793" s="5" t="str">
        <f>IFERROR(__xludf.DUMMYFUNCTION("""COMPUTED_VALUE"""),"")</f>
        <v/>
      </c>
      <c r="Q2793" s="5" t="str">
        <f>IFERROR(__xludf.DUMMYFUNCTION("""COMPUTED_VALUE"""),"")</f>
        <v/>
      </c>
      <c r="R2793" s="4" t="str">
        <f>IFERROR(__xludf.DUMMYFUNCTION("""COMPUTED_VALUE"""),"")</f>
        <v/>
      </c>
      <c r="S2793" s="1" t="b">
        <f>IFERROR(__xludf.DUMMYFUNCTION("""COMPUTED_VALUE"""),FALSE)</f>
        <v>0</v>
      </c>
      <c r="T2793" s="1" t="b">
        <f>IFERROR(__xludf.DUMMYFUNCTION("""COMPUTED_VALUE"""),FALSE)</f>
        <v>0</v>
      </c>
      <c r="U2793" s="1" t="str">
        <f>IFERROR(__xludf.DUMMYFUNCTION("""COMPUTED_VALUE"""),"")</f>
        <v/>
      </c>
      <c r="V2793" s="1" t="str">
        <f>IFERROR(__xludf.DUMMYFUNCTION("""COMPUTED_VALUE"""),"")</f>
        <v/>
      </c>
      <c r="W2793" s="1" t="str">
        <f>IFERROR(__xludf.DUMMYFUNCTION("""COMPUTED_VALUE"""),"")</f>
        <v/>
      </c>
      <c r="X2793" s="1" t="str">
        <f>IFERROR(__xludf.DUMMYFUNCTION("""COMPUTED_VALUE"""),"")</f>
        <v/>
      </c>
      <c r="Y2793" s="2"/>
      <c r="Z2793" s="2" t="str">
        <f>IFERROR(__xludf.DUMMYFUNCTION("""COMPUTED_VALUE"""),"")</f>
        <v/>
      </c>
    </row>
    <row r="2794">
      <c r="A2794" s="1" t="str">
        <f>IFERROR(__xludf.DUMMYFUNCTION("""COMPUTED_VALUE"""),"")</f>
        <v/>
      </c>
      <c r="B2794" s="1"/>
      <c r="C2794" s="2"/>
      <c r="D2794" s="2"/>
      <c r="E2794" s="1"/>
      <c r="F2794" s="1"/>
      <c r="G2794" s="4" t="str">
        <f>IFERROR(__xludf.DUMMYFUNCTION("""COMPUTED_VALUE"""),"")</f>
        <v/>
      </c>
      <c r="H2794" s="4" t="str">
        <f>IFERROR(__xludf.DUMMYFUNCTION("""COMPUTED_VALUE"""),"")</f>
        <v/>
      </c>
      <c r="I2794" s="4" t="str">
        <f>IFERROR(__xludf.DUMMYFUNCTION("""COMPUTED_VALUE"""),"")</f>
        <v/>
      </c>
      <c r="J2794" s="4" t="str">
        <f>IFERROR(__xludf.DUMMYFUNCTION("""COMPUTED_VALUE"""),"")</f>
        <v/>
      </c>
      <c r="K2794" s="4" t="str">
        <f>IFERROR(__xludf.DUMMYFUNCTION("""COMPUTED_VALUE"""),"")</f>
        <v/>
      </c>
      <c r="L2794" s="4" t="str">
        <f>IFERROR(__xludf.DUMMYFUNCTION("""COMPUTED_VALUE"""),"")</f>
        <v/>
      </c>
      <c r="M2794" s="1" t="str">
        <f>IFERROR(__xludf.DUMMYFUNCTION("""COMPUTED_VALUE"""),"RFID")</f>
        <v>RFID</v>
      </c>
      <c r="N2794" s="5" t="str">
        <f>IFERROR(__xludf.DUMMYFUNCTION("""COMPUTED_VALUE"""),"")</f>
        <v/>
      </c>
      <c r="O2794" s="5" t="str">
        <f>IFERROR(__xludf.DUMMYFUNCTION("""COMPUTED_VALUE"""),"")</f>
        <v/>
      </c>
      <c r="P2794" s="5" t="str">
        <f>IFERROR(__xludf.DUMMYFUNCTION("""COMPUTED_VALUE"""),"")</f>
        <v/>
      </c>
      <c r="Q2794" s="5" t="str">
        <f>IFERROR(__xludf.DUMMYFUNCTION("""COMPUTED_VALUE"""),"")</f>
        <v/>
      </c>
      <c r="R2794" s="4" t="str">
        <f>IFERROR(__xludf.DUMMYFUNCTION("""COMPUTED_VALUE"""),"")</f>
        <v/>
      </c>
      <c r="S2794" s="1" t="b">
        <f>IFERROR(__xludf.DUMMYFUNCTION("""COMPUTED_VALUE"""),FALSE)</f>
        <v>0</v>
      </c>
      <c r="T2794" s="1" t="b">
        <f>IFERROR(__xludf.DUMMYFUNCTION("""COMPUTED_VALUE"""),FALSE)</f>
        <v>0</v>
      </c>
      <c r="U2794" s="1" t="str">
        <f>IFERROR(__xludf.DUMMYFUNCTION("""COMPUTED_VALUE"""),"")</f>
        <v/>
      </c>
      <c r="V2794" s="1" t="str">
        <f>IFERROR(__xludf.DUMMYFUNCTION("""COMPUTED_VALUE"""),"")</f>
        <v/>
      </c>
      <c r="W2794" s="1" t="str">
        <f>IFERROR(__xludf.DUMMYFUNCTION("""COMPUTED_VALUE"""),"")</f>
        <v/>
      </c>
      <c r="X2794" s="1" t="str">
        <f>IFERROR(__xludf.DUMMYFUNCTION("""COMPUTED_VALUE"""),"")</f>
        <v/>
      </c>
      <c r="Y2794" s="2"/>
      <c r="Z2794" s="2" t="str">
        <f>IFERROR(__xludf.DUMMYFUNCTION("""COMPUTED_VALUE"""),"")</f>
        <v/>
      </c>
    </row>
    <row r="2795">
      <c r="A2795" s="1" t="str">
        <f>IFERROR(__xludf.DUMMYFUNCTION("""COMPUTED_VALUE"""),"")</f>
        <v/>
      </c>
      <c r="B2795" s="1"/>
      <c r="C2795" s="2"/>
      <c r="D2795" s="2"/>
      <c r="E2795" s="1"/>
      <c r="F2795" s="1"/>
      <c r="G2795" s="4" t="str">
        <f>IFERROR(__xludf.DUMMYFUNCTION("""COMPUTED_VALUE"""),"")</f>
        <v/>
      </c>
      <c r="H2795" s="4" t="str">
        <f>IFERROR(__xludf.DUMMYFUNCTION("""COMPUTED_VALUE"""),"")</f>
        <v/>
      </c>
      <c r="I2795" s="4" t="str">
        <f>IFERROR(__xludf.DUMMYFUNCTION("""COMPUTED_VALUE"""),"")</f>
        <v/>
      </c>
      <c r="J2795" s="4" t="str">
        <f>IFERROR(__xludf.DUMMYFUNCTION("""COMPUTED_VALUE"""),"")</f>
        <v/>
      </c>
      <c r="K2795" s="4" t="str">
        <f>IFERROR(__xludf.DUMMYFUNCTION("""COMPUTED_VALUE"""),"")</f>
        <v/>
      </c>
      <c r="L2795" s="4" t="str">
        <f>IFERROR(__xludf.DUMMYFUNCTION("""COMPUTED_VALUE"""),"")</f>
        <v/>
      </c>
      <c r="M2795" s="1" t="str">
        <f>IFERROR(__xludf.DUMMYFUNCTION("""COMPUTED_VALUE"""),"RFID")</f>
        <v>RFID</v>
      </c>
      <c r="N2795" s="5" t="str">
        <f>IFERROR(__xludf.DUMMYFUNCTION("""COMPUTED_VALUE"""),"")</f>
        <v/>
      </c>
      <c r="O2795" s="5" t="str">
        <f>IFERROR(__xludf.DUMMYFUNCTION("""COMPUTED_VALUE"""),"")</f>
        <v/>
      </c>
      <c r="P2795" s="5" t="str">
        <f>IFERROR(__xludf.DUMMYFUNCTION("""COMPUTED_VALUE"""),"")</f>
        <v/>
      </c>
      <c r="Q2795" s="5" t="str">
        <f>IFERROR(__xludf.DUMMYFUNCTION("""COMPUTED_VALUE"""),"")</f>
        <v/>
      </c>
      <c r="R2795" s="4" t="str">
        <f>IFERROR(__xludf.DUMMYFUNCTION("""COMPUTED_VALUE"""),"")</f>
        <v/>
      </c>
      <c r="S2795" s="1" t="b">
        <f>IFERROR(__xludf.DUMMYFUNCTION("""COMPUTED_VALUE"""),FALSE)</f>
        <v>0</v>
      </c>
      <c r="T2795" s="1" t="b">
        <f>IFERROR(__xludf.DUMMYFUNCTION("""COMPUTED_VALUE"""),FALSE)</f>
        <v>0</v>
      </c>
      <c r="U2795" s="1" t="str">
        <f>IFERROR(__xludf.DUMMYFUNCTION("""COMPUTED_VALUE"""),"")</f>
        <v/>
      </c>
      <c r="V2795" s="1" t="str">
        <f>IFERROR(__xludf.DUMMYFUNCTION("""COMPUTED_VALUE"""),"")</f>
        <v/>
      </c>
      <c r="W2795" s="1" t="str">
        <f>IFERROR(__xludf.DUMMYFUNCTION("""COMPUTED_VALUE"""),"")</f>
        <v/>
      </c>
      <c r="X2795" s="1" t="str">
        <f>IFERROR(__xludf.DUMMYFUNCTION("""COMPUTED_VALUE"""),"")</f>
        <v/>
      </c>
      <c r="Y2795" s="2"/>
      <c r="Z2795" s="2" t="str">
        <f>IFERROR(__xludf.DUMMYFUNCTION("""COMPUTED_VALUE"""),"")</f>
        <v/>
      </c>
    </row>
    <row r="2796">
      <c r="A2796" s="1" t="str">
        <f>IFERROR(__xludf.DUMMYFUNCTION("""COMPUTED_VALUE"""),"")</f>
        <v/>
      </c>
      <c r="B2796" s="1"/>
      <c r="C2796" s="2"/>
      <c r="D2796" s="2"/>
      <c r="E2796" s="1"/>
      <c r="F2796" s="1"/>
      <c r="G2796" s="4" t="str">
        <f>IFERROR(__xludf.DUMMYFUNCTION("""COMPUTED_VALUE"""),"")</f>
        <v/>
      </c>
      <c r="H2796" s="4" t="str">
        <f>IFERROR(__xludf.DUMMYFUNCTION("""COMPUTED_VALUE"""),"")</f>
        <v/>
      </c>
      <c r="I2796" s="4" t="str">
        <f>IFERROR(__xludf.DUMMYFUNCTION("""COMPUTED_VALUE"""),"")</f>
        <v/>
      </c>
      <c r="J2796" s="4" t="str">
        <f>IFERROR(__xludf.DUMMYFUNCTION("""COMPUTED_VALUE"""),"")</f>
        <v/>
      </c>
      <c r="K2796" s="4" t="str">
        <f>IFERROR(__xludf.DUMMYFUNCTION("""COMPUTED_VALUE"""),"")</f>
        <v/>
      </c>
      <c r="L2796" s="4" t="str">
        <f>IFERROR(__xludf.DUMMYFUNCTION("""COMPUTED_VALUE"""),"")</f>
        <v/>
      </c>
      <c r="M2796" s="1" t="str">
        <f>IFERROR(__xludf.DUMMYFUNCTION("""COMPUTED_VALUE"""),"RFID")</f>
        <v>RFID</v>
      </c>
      <c r="N2796" s="5" t="str">
        <f>IFERROR(__xludf.DUMMYFUNCTION("""COMPUTED_VALUE"""),"")</f>
        <v/>
      </c>
      <c r="O2796" s="5" t="str">
        <f>IFERROR(__xludf.DUMMYFUNCTION("""COMPUTED_VALUE"""),"")</f>
        <v/>
      </c>
      <c r="P2796" s="5" t="str">
        <f>IFERROR(__xludf.DUMMYFUNCTION("""COMPUTED_VALUE"""),"")</f>
        <v/>
      </c>
      <c r="Q2796" s="5" t="str">
        <f>IFERROR(__xludf.DUMMYFUNCTION("""COMPUTED_VALUE"""),"")</f>
        <v/>
      </c>
      <c r="R2796" s="4" t="str">
        <f>IFERROR(__xludf.DUMMYFUNCTION("""COMPUTED_VALUE"""),"")</f>
        <v/>
      </c>
      <c r="S2796" s="1" t="b">
        <f>IFERROR(__xludf.DUMMYFUNCTION("""COMPUTED_VALUE"""),FALSE)</f>
        <v>0</v>
      </c>
      <c r="T2796" s="1" t="b">
        <f>IFERROR(__xludf.DUMMYFUNCTION("""COMPUTED_VALUE"""),FALSE)</f>
        <v>0</v>
      </c>
      <c r="U2796" s="1" t="str">
        <f>IFERROR(__xludf.DUMMYFUNCTION("""COMPUTED_VALUE"""),"")</f>
        <v/>
      </c>
      <c r="V2796" s="1" t="str">
        <f>IFERROR(__xludf.DUMMYFUNCTION("""COMPUTED_VALUE"""),"")</f>
        <v/>
      </c>
      <c r="W2796" s="1" t="str">
        <f>IFERROR(__xludf.DUMMYFUNCTION("""COMPUTED_VALUE"""),"")</f>
        <v/>
      </c>
      <c r="X2796" s="1" t="str">
        <f>IFERROR(__xludf.DUMMYFUNCTION("""COMPUTED_VALUE"""),"")</f>
        <v/>
      </c>
      <c r="Y2796" s="2"/>
      <c r="Z2796" s="2" t="str">
        <f>IFERROR(__xludf.DUMMYFUNCTION("""COMPUTED_VALUE"""),"")</f>
        <v/>
      </c>
    </row>
    <row r="2797">
      <c r="A2797" s="1" t="str">
        <f>IFERROR(__xludf.DUMMYFUNCTION("""COMPUTED_VALUE"""),"")</f>
        <v/>
      </c>
      <c r="B2797" s="1"/>
      <c r="C2797" s="2"/>
      <c r="D2797" s="2"/>
      <c r="E2797" s="1"/>
      <c r="F2797" s="1"/>
      <c r="G2797" s="4" t="str">
        <f>IFERROR(__xludf.DUMMYFUNCTION("""COMPUTED_VALUE"""),"")</f>
        <v/>
      </c>
      <c r="H2797" s="4" t="str">
        <f>IFERROR(__xludf.DUMMYFUNCTION("""COMPUTED_VALUE"""),"")</f>
        <v/>
      </c>
      <c r="I2797" s="4" t="str">
        <f>IFERROR(__xludf.DUMMYFUNCTION("""COMPUTED_VALUE"""),"")</f>
        <v/>
      </c>
      <c r="J2797" s="4" t="str">
        <f>IFERROR(__xludf.DUMMYFUNCTION("""COMPUTED_VALUE"""),"")</f>
        <v/>
      </c>
      <c r="K2797" s="4" t="str">
        <f>IFERROR(__xludf.DUMMYFUNCTION("""COMPUTED_VALUE"""),"")</f>
        <v/>
      </c>
      <c r="L2797" s="4" t="str">
        <f>IFERROR(__xludf.DUMMYFUNCTION("""COMPUTED_VALUE"""),"")</f>
        <v/>
      </c>
      <c r="M2797" s="1" t="str">
        <f>IFERROR(__xludf.DUMMYFUNCTION("""COMPUTED_VALUE"""),"RFID")</f>
        <v>RFID</v>
      </c>
      <c r="N2797" s="5" t="str">
        <f>IFERROR(__xludf.DUMMYFUNCTION("""COMPUTED_VALUE"""),"")</f>
        <v/>
      </c>
      <c r="O2797" s="5" t="str">
        <f>IFERROR(__xludf.DUMMYFUNCTION("""COMPUTED_VALUE"""),"")</f>
        <v/>
      </c>
      <c r="P2797" s="5" t="str">
        <f>IFERROR(__xludf.DUMMYFUNCTION("""COMPUTED_VALUE"""),"")</f>
        <v/>
      </c>
      <c r="Q2797" s="5" t="str">
        <f>IFERROR(__xludf.DUMMYFUNCTION("""COMPUTED_VALUE"""),"")</f>
        <v/>
      </c>
      <c r="R2797" s="4" t="str">
        <f>IFERROR(__xludf.DUMMYFUNCTION("""COMPUTED_VALUE"""),"")</f>
        <v/>
      </c>
      <c r="S2797" s="1" t="b">
        <f>IFERROR(__xludf.DUMMYFUNCTION("""COMPUTED_VALUE"""),FALSE)</f>
        <v>0</v>
      </c>
      <c r="T2797" s="1" t="b">
        <f>IFERROR(__xludf.DUMMYFUNCTION("""COMPUTED_VALUE"""),FALSE)</f>
        <v>0</v>
      </c>
      <c r="U2797" s="1" t="str">
        <f>IFERROR(__xludf.DUMMYFUNCTION("""COMPUTED_VALUE"""),"")</f>
        <v/>
      </c>
      <c r="V2797" s="1" t="str">
        <f>IFERROR(__xludf.DUMMYFUNCTION("""COMPUTED_VALUE"""),"")</f>
        <v/>
      </c>
      <c r="W2797" s="1" t="str">
        <f>IFERROR(__xludf.DUMMYFUNCTION("""COMPUTED_VALUE"""),"")</f>
        <v/>
      </c>
      <c r="X2797" s="1" t="str">
        <f>IFERROR(__xludf.DUMMYFUNCTION("""COMPUTED_VALUE"""),"")</f>
        <v/>
      </c>
      <c r="Y2797" s="2"/>
      <c r="Z2797" s="2" t="str">
        <f>IFERROR(__xludf.DUMMYFUNCTION("""COMPUTED_VALUE"""),"")</f>
        <v/>
      </c>
    </row>
    <row r="2798">
      <c r="A2798" s="1" t="str">
        <f>IFERROR(__xludf.DUMMYFUNCTION("""COMPUTED_VALUE"""),"")</f>
        <v/>
      </c>
      <c r="B2798" s="1"/>
      <c r="C2798" s="2"/>
      <c r="D2798" s="2"/>
      <c r="E2798" s="1"/>
      <c r="F2798" s="1"/>
      <c r="G2798" s="4" t="str">
        <f>IFERROR(__xludf.DUMMYFUNCTION("""COMPUTED_VALUE"""),"")</f>
        <v/>
      </c>
      <c r="H2798" s="4" t="str">
        <f>IFERROR(__xludf.DUMMYFUNCTION("""COMPUTED_VALUE"""),"")</f>
        <v/>
      </c>
      <c r="I2798" s="4" t="str">
        <f>IFERROR(__xludf.DUMMYFUNCTION("""COMPUTED_VALUE"""),"")</f>
        <v/>
      </c>
      <c r="J2798" s="4" t="str">
        <f>IFERROR(__xludf.DUMMYFUNCTION("""COMPUTED_VALUE"""),"")</f>
        <v/>
      </c>
      <c r="K2798" s="4" t="str">
        <f>IFERROR(__xludf.DUMMYFUNCTION("""COMPUTED_VALUE"""),"")</f>
        <v/>
      </c>
      <c r="L2798" s="4" t="str">
        <f>IFERROR(__xludf.DUMMYFUNCTION("""COMPUTED_VALUE"""),"")</f>
        <v/>
      </c>
      <c r="M2798" s="1" t="str">
        <f>IFERROR(__xludf.DUMMYFUNCTION("""COMPUTED_VALUE"""),"RFID")</f>
        <v>RFID</v>
      </c>
      <c r="N2798" s="5" t="str">
        <f>IFERROR(__xludf.DUMMYFUNCTION("""COMPUTED_VALUE"""),"")</f>
        <v/>
      </c>
      <c r="O2798" s="5" t="str">
        <f>IFERROR(__xludf.DUMMYFUNCTION("""COMPUTED_VALUE"""),"")</f>
        <v/>
      </c>
      <c r="P2798" s="5" t="str">
        <f>IFERROR(__xludf.DUMMYFUNCTION("""COMPUTED_VALUE"""),"")</f>
        <v/>
      </c>
      <c r="Q2798" s="5" t="str">
        <f>IFERROR(__xludf.DUMMYFUNCTION("""COMPUTED_VALUE"""),"")</f>
        <v/>
      </c>
      <c r="R2798" s="4" t="str">
        <f>IFERROR(__xludf.DUMMYFUNCTION("""COMPUTED_VALUE"""),"")</f>
        <v/>
      </c>
      <c r="S2798" s="1" t="b">
        <f>IFERROR(__xludf.DUMMYFUNCTION("""COMPUTED_VALUE"""),FALSE)</f>
        <v>0</v>
      </c>
      <c r="T2798" s="1" t="b">
        <f>IFERROR(__xludf.DUMMYFUNCTION("""COMPUTED_VALUE"""),FALSE)</f>
        <v>0</v>
      </c>
      <c r="U2798" s="1" t="str">
        <f>IFERROR(__xludf.DUMMYFUNCTION("""COMPUTED_VALUE"""),"")</f>
        <v/>
      </c>
      <c r="V2798" s="1" t="str">
        <f>IFERROR(__xludf.DUMMYFUNCTION("""COMPUTED_VALUE"""),"")</f>
        <v/>
      </c>
      <c r="W2798" s="1" t="str">
        <f>IFERROR(__xludf.DUMMYFUNCTION("""COMPUTED_VALUE"""),"")</f>
        <v/>
      </c>
      <c r="X2798" s="1" t="str">
        <f>IFERROR(__xludf.DUMMYFUNCTION("""COMPUTED_VALUE"""),"")</f>
        <v/>
      </c>
      <c r="Y2798" s="2"/>
      <c r="Z2798" s="2" t="str">
        <f>IFERROR(__xludf.DUMMYFUNCTION("""COMPUTED_VALUE"""),"")</f>
        <v/>
      </c>
    </row>
    <row r="2799">
      <c r="A2799" s="1" t="str">
        <f>IFERROR(__xludf.DUMMYFUNCTION("""COMPUTED_VALUE"""),"")</f>
        <v/>
      </c>
      <c r="B2799" s="1"/>
      <c r="C2799" s="2"/>
      <c r="D2799" s="2"/>
      <c r="E2799" s="1"/>
      <c r="F2799" s="1"/>
      <c r="G2799" s="4" t="str">
        <f>IFERROR(__xludf.DUMMYFUNCTION("""COMPUTED_VALUE"""),"")</f>
        <v/>
      </c>
      <c r="H2799" s="4" t="str">
        <f>IFERROR(__xludf.DUMMYFUNCTION("""COMPUTED_VALUE"""),"")</f>
        <v/>
      </c>
      <c r="I2799" s="4" t="str">
        <f>IFERROR(__xludf.DUMMYFUNCTION("""COMPUTED_VALUE"""),"")</f>
        <v/>
      </c>
      <c r="J2799" s="4" t="str">
        <f>IFERROR(__xludf.DUMMYFUNCTION("""COMPUTED_VALUE"""),"")</f>
        <v/>
      </c>
      <c r="K2799" s="4" t="str">
        <f>IFERROR(__xludf.DUMMYFUNCTION("""COMPUTED_VALUE"""),"")</f>
        <v/>
      </c>
      <c r="L2799" s="4" t="str">
        <f>IFERROR(__xludf.DUMMYFUNCTION("""COMPUTED_VALUE"""),"")</f>
        <v/>
      </c>
      <c r="M2799" s="1" t="str">
        <f>IFERROR(__xludf.DUMMYFUNCTION("""COMPUTED_VALUE"""),"RFID")</f>
        <v>RFID</v>
      </c>
      <c r="N2799" s="5" t="str">
        <f>IFERROR(__xludf.DUMMYFUNCTION("""COMPUTED_VALUE"""),"")</f>
        <v/>
      </c>
      <c r="O2799" s="5" t="str">
        <f>IFERROR(__xludf.DUMMYFUNCTION("""COMPUTED_VALUE"""),"")</f>
        <v/>
      </c>
      <c r="P2799" s="5" t="str">
        <f>IFERROR(__xludf.DUMMYFUNCTION("""COMPUTED_VALUE"""),"")</f>
        <v/>
      </c>
      <c r="Q2799" s="5" t="str">
        <f>IFERROR(__xludf.DUMMYFUNCTION("""COMPUTED_VALUE"""),"")</f>
        <v/>
      </c>
      <c r="R2799" s="4" t="str">
        <f>IFERROR(__xludf.DUMMYFUNCTION("""COMPUTED_VALUE"""),"")</f>
        <v/>
      </c>
      <c r="S2799" s="1" t="b">
        <f>IFERROR(__xludf.DUMMYFUNCTION("""COMPUTED_VALUE"""),FALSE)</f>
        <v>0</v>
      </c>
      <c r="T2799" s="1" t="b">
        <f>IFERROR(__xludf.DUMMYFUNCTION("""COMPUTED_VALUE"""),FALSE)</f>
        <v>0</v>
      </c>
      <c r="U2799" s="1" t="str">
        <f>IFERROR(__xludf.DUMMYFUNCTION("""COMPUTED_VALUE"""),"")</f>
        <v/>
      </c>
      <c r="V2799" s="1" t="str">
        <f>IFERROR(__xludf.DUMMYFUNCTION("""COMPUTED_VALUE"""),"")</f>
        <v/>
      </c>
      <c r="W2799" s="1" t="str">
        <f>IFERROR(__xludf.DUMMYFUNCTION("""COMPUTED_VALUE"""),"")</f>
        <v/>
      </c>
      <c r="X2799" s="1" t="str">
        <f>IFERROR(__xludf.DUMMYFUNCTION("""COMPUTED_VALUE"""),"")</f>
        <v/>
      </c>
      <c r="Y2799" s="2"/>
      <c r="Z2799" s="2" t="str">
        <f>IFERROR(__xludf.DUMMYFUNCTION("""COMPUTED_VALUE"""),"")</f>
        <v/>
      </c>
    </row>
    <row r="2800">
      <c r="A2800" s="1" t="str">
        <f>IFERROR(__xludf.DUMMYFUNCTION("""COMPUTED_VALUE"""),"")</f>
        <v/>
      </c>
      <c r="B2800" s="1"/>
      <c r="C2800" s="2"/>
      <c r="D2800" s="2"/>
      <c r="E2800" s="1"/>
      <c r="F2800" s="1"/>
      <c r="G2800" s="4" t="str">
        <f>IFERROR(__xludf.DUMMYFUNCTION("""COMPUTED_VALUE"""),"")</f>
        <v/>
      </c>
      <c r="H2800" s="4" t="str">
        <f>IFERROR(__xludf.DUMMYFUNCTION("""COMPUTED_VALUE"""),"")</f>
        <v/>
      </c>
      <c r="I2800" s="4" t="str">
        <f>IFERROR(__xludf.DUMMYFUNCTION("""COMPUTED_VALUE"""),"")</f>
        <v/>
      </c>
      <c r="J2800" s="4" t="str">
        <f>IFERROR(__xludf.DUMMYFUNCTION("""COMPUTED_VALUE"""),"")</f>
        <v/>
      </c>
      <c r="K2800" s="4" t="str">
        <f>IFERROR(__xludf.DUMMYFUNCTION("""COMPUTED_VALUE"""),"")</f>
        <v/>
      </c>
      <c r="L2800" s="4" t="str">
        <f>IFERROR(__xludf.DUMMYFUNCTION("""COMPUTED_VALUE"""),"")</f>
        <v/>
      </c>
      <c r="M2800" s="1" t="str">
        <f>IFERROR(__xludf.DUMMYFUNCTION("""COMPUTED_VALUE"""),"RFID")</f>
        <v>RFID</v>
      </c>
      <c r="N2800" s="5" t="str">
        <f>IFERROR(__xludf.DUMMYFUNCTION("""COMPUTED_VALUE"""),"")</f>
        <v/>
      </c>
      <c r="O2800" s="5" t="str">
        <f>IFERROR(__xludf.DUMMYFUNCTION("""COMPUTED_VALUE"""),"")</f>
        <v/>
      </c>
      <c r="P2800" s="5" t="str">
        <f>IFERROR(__xludf.DUMMYFUNCTION("""COMPUTED_VALUE"""),"")</f>
        <v/>
      </c>
      <c r="Q2800" s="5" t="str">
        <f>IFERROR(__xludf.DUMMYFUNCTION("""COMPUTED_VALUE"""),"")</f>
        <v/>
      </c>
      <c r="R2800" s="4" t="str">
        <f>IFERROR(__xludf.DUMMYFUNCTION("""COMPUTED_VALUE"""),"")</f>
        <v/>
      </c>
      <c r="S2800" s="1" t="b">
        <f>IFERROR(__xludf.DUMMYFUNCTION("""COMPUTED_VALUE"""),FALSE)</f>
        <v>0</v>
      </c>
      <c r="T2800" s="1" t="b">
        <f>IFERROR(__xludf.DUMMYFUNCTION("""COMPUTED_VALUE"""),FALSE)</f>
        <v>0</v>
      </c>
      <c r="U2800" s="1" t="str">
        <f>IFERROR(__xludf.DUMMYFUNCTION("""COMPUTED_VALUE"""),"")</f>
        <v/>
      </c>
      <c r="V2800" s="1" t="str">
        <f>IFERROR(__xludf.DUMMYFUNCTION("""COMPUTED_VALUE"""),"")</f>
        <v/>
      </c>
      <c r="W2800" s="1" t="str">
        <f>IFERROR(__xludf.DUMMYFUNCTION("""COMPUTED_VALUE"""),"")</f>
        <v/>
      </c>
      <c r="X2800" s="1" t="str">
        <f>IFERROR(__xludf.DUMMYFUNCTION("""COMPUTED_VALUE"""),"")</f>
        <v/>
      </c>
      <c r="Y2800" s="2"/>
      <c r="Z2800" s="2" t="str">
        <f>IFERROR(__xludf.DUMMYFUNCTION("""COMPUTED_VALUE"""),"")</f>
        <v/>
      </c>
    </row>
    <row r="2801">
      <c r="A2801" s="1" t="str">
        <f>IFERROR(__xludf.DUMMYFUNCTION("""COMPUTED_VALUE"""),"")</f>
        <v/>
      </c>
      <c r="B2801" s="1"/>
      <c r="C2801" s="2"/>
      <c r="D2801" s="2"/>
      <c r="E2801" s="1"/>
      <c r="F2801" s="1"/>
      <c r="G2801" s="4" t="str">
        <f>IFERROR(__xludf.DUMMYFUNCTION("""COMPUTED_VALUE"""),"")</f>
        <v/>
      </c>
      <c r="H2801" s="4" t="str">
        <f>IFERROR(__xludf.DUMMYFUNCTION("""COMPUTED_VALUE"""),"")</f>
        <v/>
      </c>
      <c r="I2801" s="4" t="str">
        <f>IFERROR(__xludf.DUMMYFUNCTION("""COMPUTED_VALUE"""),"")</f>
        <v/>
      </c>
      <c r="J2801" s="4" t="str">
        <f>IFERROR(__xludf.DUMMYFUNCTION("""COMPUTED_VALUE"""),"")</f>
        <v/>
      </c>
      <c r="K2801" s="4" t="str">
        <f>IFERROR(__xludf.DUMMYFUNCTION("""COMPUTED_VALUE"""),"")</f>
        <v/>
      </c>
      <c r="L2801" s="4" t="str">
        <f>IFERROR(__xludf.DUMMYFUNCTION("""COMPUTED_VALUE"""),"")</f>
        <v/>
      </c>
      <c r="M2801" s="1" t="str">
        <f>IFERROR(__xludf.DUMMYFUNCTION("""COMPUTED_VALUE"""),"RFID")</f>
        <v>RFID</v>
      </c>
      <c r="N2801" s="5" t="str">
        <f>IFERROR(__xludf.DUMMYFUNCTION("""COMPUTED_VALUE"""),"")</f>
        <v/>
      </c>
      <c r="O2801" s="5" t="str">
        <f>IFERROR(__xludf.DUMMYFUNCTION("""COMPUTED_VALUE"""),"")</f>
        <v/>
      </c>
      <c r="P2801" s="5" t="str">
        <f>IFERROR(__xludf.DUMMYFUNCTION("""COMPUTED_VALUE"""),"")</f>
        <v/>
      </c>
      <c r="Q2801" s="5" t="str">
        <f>IFERROR(__xludf.DUMMYFUNCTION("""COMPUTED_VALUE"""),"")</f>
        <v/>
      </c>
      <c r="R2801" s="4" t="str">
        <f>IFERROR(__xludf.DUMMYFUNCTION("""COMPUTED_VALUE"""),"")</f>
        <v/>
      </c>
      <c r="S2801" s="1" t="b">
        <f>IFERROR(__xludf.DUMMYFUNCTION("""COMPUTED_VALUE"""),FALSE)</f>
        <v>0</v>
      </c>
      <c r="T2801" s="1" t="b">
        <f>IFERROR(__xludf.DUMMYFUNCTION("""COMPUTED_VALUE"""),FALSE)</f>
        <v>0</v>
      </c>
      <c r="U2801" s="1" t="str">
        <f>IFERROR(__xludf.DUMMYFUNCTION("""COMPUTED_VALUE"""),"")</f>
        <v/>
      </c>
      <c r="V2801" s="1" t="str">
        <f>IFERROR(__xludf.DUMMYFUNCTION("""COMPUTED_VALUE"""),"")</f>
        <v/>
      </c>
      <c r="W2801" s="1" t="str">
        <f>IFERROR(__xludf.DUMMYFUNCTION("""COMPUTED_VALUE"""),"")</f>
        <v/>
      </c>
      <c r="X2801" s="1" t="str">
        <f>IFERROR(__xludf.DUMMYFUNCTION("""COMPUTED_VALUE"""),"")</f>
        <v/>
      </c>
      <c r="Y2801" s="2"/>
      <c r="Z2801" s="2" t="str">
        <f>IFERROR(__xludf.DUMMYFUNCTION("""COMPUTED_VALUE"""),"")</f>
        <v/>
      </c>
    </row>
    <row r="2802">
      <c r="A2802" s="1" t="str">
        <f>IFERROR(__xludf.DUMMYFUNCTION("""COMPUTED_VALUE"""),"")</f>
        <v/>
      </c>
      <c r="B2802" s="1"/>
      <c r="C2802" s="2"/>
      <c r="D2802" s="2"/>
      <c r="E2802" s="1"/>
      <c r="F2802" s="1"/>
      <c r="G2802" s="4" t="str">
        <f>IFERROR(__xludf.DUMMYFUNCTION("""COMPUTED_VALUE"""),"")</f>
        <v/>
      </c>
      <c r="H2802" s="4" t="str">
        <f>IFERROR(__xludf.DUMMYFUNCTION("""COMPUTED_VALUE"""),"")</f>
        <v/>
      </c>
      <c r="I2802" s="4" t="str">
        <f>IFERROR(__xludf.DUMMYFUNCTION("""COMPUTED_VALUE"""),"")</f>
        <v/>
      </c>
      <c r="J2802" s="4" t="str">
        <f>IFERROR(__xludf.DUMMYFUNCTION("""COMPUTED_VALUE"""),"")</f>
        <v/>
      </c>
      <c r="K2802" s="4" t="str">
        <f>IFERROR(__xludf.DUMMYFUNCTION("""COMPUTED_VALUE"""),"")</f>
        <v/>
      </c>
      <c r="L2802" s="4" t="str">
        <f>IFERROR(__xludf.DUMMYFUNCTION("""COMPUTED_VALUE"""),"")</f>
        <v/>
      </c>
      <c r="M2802" s="1" t="str">
        <f>IFERROR(__xludf.DUMMYFUNCTION("""COMPUTED_VALUE"""),"RFID")</f>
        <v>RFID</v>
      </c>
      <c r="N2802" s="5" t="str">
        <f>IFERROR(__xludf.DUMMYFUNCTION("""COMPUTED_VALUE"""),"")</f>
        <v/>
      </c>
      <c r="O2802" s="5" t="str">
        <f>IFERROR(__xludf.DUMMYFUNCTION("""COMPUTED_VALUE"""),"")</f>
        <v/>
      </c>
      <c r="P2802" s="5" t="str">
        <f>IFERROR(__xludf.DUMMYFUNCTION("""COMPUTED_VALUE"""),"")</f>
        <v/>
      </c>
      <c r="Q2802" s="5" t="str">
        <f>IFERROR(__xludf.DUMMYFUNCTION("""COMPUTED_VALUE"""),"")</f>
        <v/>
      </c>
      <c r="R2802" s="4" t="str">
        <f>IFERROR(__xludf.DUMMYFUNCTION("""COMPUTED_VALUE"""),"")</f>
        <v/>
      </c>
      <c r="S2802" s="1" t="b">
        <f>IFERROR(__xludf.DUMMYFUNCTION("""COMPUTED_VALUE"""),FALSE)</f>
        <v>0</v>
      </c>
      <c r="T2802" s="1" t="b">
        <f>IFERROR(__xludf.DUMMYFUNCTION("""COMPUTED_VALUE"""),FALSE)</f>
        <v>0</v>
      </c>
      <c r="U2802" s="1" t="str">
        <f>IFERROR(__xludf.DUMMYFUNCTION("""COMPUTED_VALUE"""),"")</f>
        <v/>
      </c>
      <c r="V2802" s="1" t="str">
        <f>IFERROR(__xludf.DUMMYFUNCTION("""COMPUTED_VALUE"""),"")</f>
        <v/>
      </c>
      <c r="W2802" s="1" t="str">
        <f>IFERROR(__xludf.DUMMYFUNCTION("""COMPUTED_VALUE"""),"")</f>
        <v/>
      </c>
      <c r="X2802" s="1" t="str">
        <f>IFERROR(__xludf.DUMMYFUNCTION("""COMPUTED_VALUE"""),"")</f>
        <v/>
      </c>
      <c r="Y2802" s="2"/>
      <c r="Z2802" s="2" t="str">
        <f>IFERROR(__xludf.DUMMYFUNCTION("""COMPUTED_VALUE"""),"")</f>
        <v/>
      </c>
    </row>
    <row r="2803">
      <c r="A2803" s="1" t="str">
        <f>IFERROR(__xludf.DUMMYFUNCTION("""COMPUTED_VALUE"""),"")</f>
        <v/>
      </c>
      <c r="B2803" s="1"/>
      <c r="C2803" s="2"/>
      <c r="D2803" s="2"/>
      <c r="E2803" s="1"/>
      <c r="F2803" s="1"/>
      <c r="G2803" s="4" t="str">
        <f>IFERROR(__xludf.DUMMYFUNCTION("""COMPUTED_VALUE"""),"")</f>
        <v/>
      </c>
      <c r="H2803" s="4" t="str">
        <f>IFERROR(__xludf.DUMMYFUNCTION("""COMPUTED_VALUE"""),"")</f>
        <v/>
      </c>
      <c r="I2803" s="4" t="str">
        <f>IFERROR(__xludf.DUMMYFUNCTION("""COMPUTED_VALUE"""),"")</f>
        <v/>
      </c>
      <c r="J2803" s="4" t="str">
        <f>IFERROR(__xludf.DUMMYFUNCTION("""COMPUTED_VALUE"""),"")</f>
        <v/>
      </c>
      <c r="K2803" s="4" t="str">
        <f>IFERROR(__xludf.DUMMYFUNCTION("""COMPUTED_VALUE"""),"")</f>
        <v/>
      </c>
      <c r="L2803" s="4" t="str">
        <f>IFERROR(__xludf.DUMMYFUNCTION("""COMPUTED_VALUE"""),"")</f>
        <v/>
      </c>
      <c r="M2803" s="1" t="str">
        <f>IFERROR(__xludf.DUMMYFUNCTION("""COMPUTED_VALUE"""),"RFID")</f>
        <v>RFID</v>
      </c>
      <c r="N2803" s="5" t="str">
        <f>IFERROR(__xludf.DUMMYFUNCTION("""COMPUTED_VALUE"""),"")</f>
        <v/>
      </c>
      <c r="O2803" s="5" t="str">
        <f>IFERROR(__xludf.DUMMYFUNCTION("""COMPUTED_VALUE"""),"")</f>
        <v/>
      </c>
      <c r="P2803" s="5" t="str">
        <f>IFERROR(__xludf.DUMMYFUNCTION("""COMPUTED_VALUE"""),"")</f>
        <v/>
      </c>
      <c r="Q2803" s="5" t="str">
        <f>IFERROR(__xludf.DUMMYFUNCTION("""COMPUTED_VALUE"""),"")</f>
        <v/>
      </c>
      <c r="R2803" s="4" t="str">
        <f>IFERROR(__xludf.DUMMYFUNCTION("""COMPUTED_VALUE"""),"")</f>
        <v/>
      </c>
      <c r="S2803" s="1" t="b">
        <f>IFERROR(__xludf.DUMMYFUNCTION("""COMPUTED_VALUE"""),FALSE)</f>
        <v>0</v>
      </c>
      <c r="T2803" s="1" t="b">
        <f>IFERROR(__xludf.DUMMYFUNCTION("""COMPUTED_VALUE"""),FALSE)</f>
        <v>0</v>
      </c>
      <c r="U2803" s="1" t="str">
        <f>IFERROR(__xludf.DUMMYFUNCTION("""COMPUTED_VALUE"""),"")</f>
        <v/>
      </c>
      <c r="V2803" s="1" t="str">
        <f>IFERROR(__xludf.DUMMYFUNCTION("""COMPUTED_VALUE"""),"")</f>
        <v/>
      </c>
      <c r="W2803" s="1" t="str">
        <f>IFERROR(__xludf.DUMMYFUNCTION("""COMPUTED_VALUE"""),"")</f>
        <v/>
      </c>
      <c r="X2803" s="1" t="str">
        <f>IFERROR(__xludf.DUMMYFUNCTION("""COMPUTED_VALUE"""),"")</f>
        <v/>
      </c>
      <c r="Y2803" s="2"/>
      <c r="Z2803" s="2" t="str">
        <f>IFERROR(__xludf.DUMMYFUNCTION("""COMPUTED_VALUE"""),"")</f>
        <v/>
      </c>
    </row>
    <row r="2804">
      <c r="A2804" s="1" t="str">
        <f>IFERROR(__xludf.DUMMYFUNCTION("""COMPUTED_VALUE"""),"")</f>
        <v/>
      </c>
      <c r="B2804" s="1"/>
      <c r="C2804" s="2"/>
      <c r="D2804" s="2"/>
      <c r="E2804" s="1"/>
      <c r="F2804" s="1"/>
      <c r="G2804" s="4" t="str">
        <f>IFERROR(__xludf.DUMMYFUNCTION("""COMPUTED_VALUE"""),"")</f>
        <v/>
      </c>
      <c r="H2804" s="4" t="str">
        <f>IFERROR(__xludf.DUMMYFUNCTION("""COMPUTED_VALUE"""),"")</f>
        <v/>
      </c>
      <c r="I2804" s="4" t="str">
        <f>IFERROR(__xludf.DUMMYFUNCTION("""COMPUTED_VALUE"""),"")</f>
        <v/>
      </c>
      <c r="J2804" s="4" t="str">
        <f>IFERROR(__xludf.DUMMYFUNCTION("""COMPUTED_VALUE"""),"")</f>
        <v/>
      </c>
      <c r="K2804" s="4" t="str">
        <f>IFERROR(__xludf.DUMMYFUNCTION("""COMPUTED_VALUE"""),"")</f>
        <v/>
      </c>
      <c r="L2804" s="4" t="str">
        <f>IFERROR(__xludf.DUMMYFUNCTION("""COMPUTED_VALUE"""),"")</f>
        <v/>
      </c>
      <c r="M2804" s="1" t="str">
        <f>IFERROR(__xludf.DUMMYFUNCTION("""COMPUTED_VALUE"""),"RFID")</f>
        <v>RFID</v>
      </c>
      <c r="N2804" s="5" t="str">
        <f>IFERROR(__xludf.DUMMYFUNCTION("""COMPUTED_VALUE"""),"")</f>
        <v/>
      </c>
      <c r="O2804" s="5" t="str">
        <f>IFERROR(__xludf.DUMMYFUNCTION("""COMPUTED_VALUE"""),"")</f>
        <v/>
      </c>
      <c r="P2804" s="5" t="str">
        <f>IFERROR(__xludf.DUMMYFUNCTION("""COMPUTED_VALUE"""),"")</f>
        <v/>
      </c>
      <c r="Q2804" s="5" t="str">
        <f>IFERROR(__xludf.DUMMYFUNCTION("""COMPUTED_VALUE"""),"")</f>
        <v/>
      </c>
      <c r="R2804" s="4" t="str">
        <f>IFERROR(__xludf.DUMMYFUNCTION("""COMPUTED_VALUE"""),"")</f>
        <v/>
      </c>
      <c r="S2804" s="1" t="b">
        <f>IFERROR(__xludf.DUMMYFUNCTION("""COMPUTED_VALUE"""),FALSE)</f>
        <v>0</v>
      </c>
      <c r="T2804" s="1" t="b">
        <f>IFERROR(__xludf.DUMMYFUNCTION("""COMPUTED_VALUE"""),FALSE)</f>
        <v>0</v>
      </c>
      <c r="U2804" s="1" t="str">
        <f>IFERROR(__xludf.DUMMYFUNCTION("""COMPUTED_VALUE"""),"")</f>
        <v/>
      </c>
      <c r="V2804" s="1" t="str">
        <f>IFERROR(__xludf.DUMMYFUNCTION("""COMPUTED_VALUE"""),"")</f>
        <v/>
      </c>
      <c r="W2804" s="1" t="str">
        <f>IFERROR(__xludf.DUMMYFUNCTION("""COMPUTED_VALUE"""),"")</f>
        <v/>
      </c>
      <c r="X2804" s="1" t="str">
        <f>IFERROR(__xludf.DUMMYFUNCTION("""COMPUTED_VALUE"""),"")</f>
        <v/>
      </c>
      <c r="Y2804" s="2"/>
      <c r="Z2804" s="2" t="str">
        <f>IFERROR(__xludf.DUMMYFUNCTION("""COMPUTED_VALUE"""),"")</f>
        <v/>
      </c>
    </row>
    <row r="2805">
      <c r="A2805" s="1" t="str">
        <f>IFERROR(__xludf.DUMMYFUNCTION("""COMPUTED_VALUE"""),"")</f>
        <v/>
      </c>
      <c r="B2805" s="1"/>
      <c r="C2805" s="2"/>
      <c r="D2805" s="2"/>
      <c r="E2805" s="1"/>
      <c r="F2805" s="1"/>
      <c r="G2805" s="4" t="str">
        <f>IFERROR(__xludf.DUMMYFUNCTION("""COMPUTED_VALUE"""),"")</f>
        <v/>
      </c>
      <c r="H2805" s="4" t="str">
        <f>IFERROR(__xludf.DUMMYFUNCTION("""COMPUTED_VALUE"""),"")</f>
        <v/>
      </c>
      <c r="I2805" s="4" t="str">
        <f>IFERROR(__xludf.DUMMYFUNCTION("""COMPUTED_VALUE"""),"")</f>
        <v/>
      </c>
      <c r="J2805" s="4" t="str">
        <f>IFERROR(__xludf.DUMMYFUNCTION("""COMPUTED_VALUE"""),"")</f>
        <v/>
      </c>
      <c r="K2805" s="4" t="str">
        <f>IFERROR(__xludf.DUMMYFUNCTION("""COMPUTED_VALUE"""),"")</f>
        <v/>
      </c>
      <c r="L2805" s="4" t="str">
        <f>IFERROR(__xludf.DUMMYFUNCTION("""COMPUTED_VALUE"""),"")</f>
        <v/>
      </c>
      <c r="M2805" s="1" t="str">
        <f>IFERROR(__xludf.DUMMYFUNCTION("""COMPUTED_VALUE"""),"RFID")</f>
        <v>RFID</v>
      </c>
      <c r="N2805" s="5" t="str">
        <f>IFERROR(__xludf.DUMMYFUNCTION("""COMPUTED_VALUE"""),"")</f>
        <v/>
      </c>
      <c r="O2805" s="5" t="str">
        <f>IFERROR(__xludf.DUMMYFUNCTION("""COMPUTED_VALUE"""),"")</f>
        <v/>
      </c>
      <c r="P2805" s="5" t="str">
        <f>IFERROR(__xludf.DUMMYFUNCTION("""COMPUTED_VALUE"""),"")</f>
        <v/>
      </c>
      <c r="Q2805" s="5" t="str">
        <f>IFERROR(__xludf.DUMMYFUNCTION("""COMPUTED_VALUE"""),"")</f>
        <v/>
      </c>
      <c r="R2805" s="4" t="str">
        <f>IFERROR(__xludf.DUMMYFUNCTION("""COMPUTED_VALUE"""),"")</f>
        <v/>
      </c>
      <c r="S2805" s="1" t="b">
        <f>IFERROR(__xludf.DUMMYFUNCTION("""COMPUTED_VALUE"""),FALSE)</f>
        <v>0</v>
      </c>
      <c r="T2805" s="1" t="b">
        <f>IFERROR(__xludf.DUMMYFUNCTION("""COMPUTED_VALUE"""),FALSE)</f>
        <v>0</v>
      </c>
      <c r="U2805" s="1" t="str">
        <f>IFERROR(__xludf.DUMMYFUNCTION("""COMPUTED_VALUE"""),"")</f>
        <v/>
      </c>
      <c r="V2805" s="1" t="str">
        <f>IFERROR(__xludf.DUMMYFUNCTION("""COMPUTED_VALUE"""),"")</f>
        <v/>
      </c>
      <c r="W2805" s="1" t="str">
        <f>IFERROR(__xludf.DUMMYFUNCTION("""COMPUTED_VALUE"""),"")</f>
        <v/>
      </c>
      <c r="X2805" s="1" t="str">
        <f>IFERROR(__xludf.DUMMYFUNCTION("""COMPUTED_VALUE"""),"")</f>
        <v/>
      </c>
      <c r="Y2805" s="2"/>
      <c r="Z2805" s="2" t="str">
        <f>IFERROR(__xludf.DUMMYFUNCTION("""COMPUTED_VALUE"""),"")</f>
        <v/>
      </c>
    </row>
    <row r="2806">
      <c r="A2806" s="1" t="str">
        <f>IFERROR(__xludf.DUMMYFUNCTION("""COMPUTED_VALUE"""),"")</f>
        <v/>
      </c>
      <c r="B2806" s="1"/>
      <c r="C2806" s="2"/>
      <c r="D2806" s="2"/>
      <c r="E2806" s="1"/>
      <c r="F2806" s="1"/>
      <c r="G2806" s="4" t="str">
        <f>IFERROR(__xludf.DUMMYFUNCTION("""COMPUTED_VALUE"""),"")</f>
        <v/>
      </c>
      <c r="H2806" s="4" t="str">
        <f>IFERROR(__xludf.DUMMYFUNCTION("""COMPUTED_VALUE"""),"")</f>
        <v/>
      </c>
      <c r="I2806" s="4" t="str">
        <f>IFERROR(__xludf.DUMMYFUNCTION("""COMPUTED_VALUE"""),"")</f>
        <v/>
      </c>
      <c r="J2806" s="4" t="str">
        <f>IFERROR(__xludf.DUMMYFUNCTION("""COMPUTED_VALUE"""),"")</f>
        <v/>
      </c>
      <c r="K2806" s="4" t="str">
        <f>IFERROR(__xludf.DUMMYFUNCTION("""COMPUTED_VALUE"""),"")</f>
        <v/>
      </c>
      <c r="L2806" s="4" t="str">
        <f>IFERROR(__xludf.DUMMYFUNCTION("""COMPUTED_VALUE"""),"")</f>
        <v/>
      </c>
      <c r="M2806" s="1" t="str">
        <f>IFERROR(__xludf.DUMMYFUNCTION("""COMPUTED_VALUE"""),"RFID")</f>
        <v>RFID</v>
      </c>
      <c r="N2806" s="5" t="str">
        <f>IFERROR(__xludf.DUMMYFUNCTION("""COMPUTED_VALUE"""),"")</f>
        <v/>
      </c>
      <c r="O2806" s="5" t="str">
        <f>IFERROR(__xludf.DUMMYFUNCTION("""COMPUTED_VALUE"""),"")</f>
        <v/>
      </c>
      <c r="P2806" s="5" t="str">
        <f>IFERROR(__xludf.DUMMYFUNCTION("""COMPUTED_VALUE"""),"")</f>
        <v/>
      </c>
      <c r="Q2806" s="5" t="str">
        <f>IFERROR(__xludf.DUMMYFUNCTION("""COMPUTED_VALUE"""),"")</f>
        <v/>
      </c>
      <c r="R2806" s="4" t="str">
        <f>IFERROR(__xludf.DUMMYFUNCTION("""COMPUTED_VALUE"""),"")</f>
        <v/>
      </c>
      <c r="S2806" s="1" t="b">
        <f>IFERROR(__xludf.DUMMYFUNCTION("""COMPUTED_VALUE"""),FALSE)</f>
        <v>0</v>
      </c>
      <c r="T2806" s="1" t="b">
        <f>IFERROR(__xludf.DUMMYFUNCTION("""COMPUTED_VALUE"""),FALSE)</f>
        <v>0</v>
      </c>
      <c r="U2806" s="1" t="str">
        <f>IFERROR(__xludf.DUMMYFUNCTION("""COMPUTED_VALUE"""),"")</f>
        <v/>
      </c>
      <c r="V2806" s="1" t="str">
        <f>IFERROR(__xludf.DUMMYFUNCTION("""COMPUTED_VALUE"""),"")</f>
        <v/>
      </c>
      <c r="W2806" s="1" t="str">
        <f>IFERROR(__xludf.DUMMYFUNCTION("""COMPUTED_VALUE"""),"")</f>
        <v/>
      </c>
      <c r="X2806" s="1" t="str">
        <f>IFERROR(__xludf.DUMMYFUNCTION("""COMPUTED_VALUE"""),"")</f>
        <v/>
      </c>
      <c r="Y2806" s="2"/>
      <c r="Z2806" s="2" t="str">
        <f>IFERROR(__xludf.DUMMYFUNCTION("""COMPUTED_VALUE"""),"")</f>
        <v/>
      </c>
    </row>
    <row r="2807">
      <c r="A2807" s="1" t="str">
        <f>IFERROR(__xludf.DUMMYFUNCTION("""COMPUTED_VALUE"""),"")</f>
        <v/>
      </c>
      <c r="B2807" s="1"/>
      <c r="C2807" s="2"/>
      <c r="D2807" s="2"/>
      <c r="E2807" s="1"/>
      <c r="F2807" s="1"/>
      <c r="G2807" s="4" t="str">
        <f>IFERROR(__xludf.DUMMYFUNCTION("""COMPUTED_VALUE"""),"")</f>
        <v/>
      </c>
      <c r="H2807" s="4" t="str">
        <f>IFERROR(__xludf.DUMMYFUNCTION("""COMPUTED_VALUE"""),"")</f>
        <v/>
      </c>
      <c r="I2807" s="4" t="str">
        <f>IFERROR(__xludf.DUMMYFUNCTION("""COMPUTED_VALUE"""),"")</f>
        <v/>
      </c>
      <c r="J2807" s="4" t="str">
        <f>IFERROR(__xludf.DUMMYFUNCTION("""COMPUTED_VALUE"""),"")</f>
        <v/>
      </c>
      <c r="K2807" s="4" t="str">
        <f>IFERROR(__xludf.DUMMYFUNCTION("""COMPUTED_VALUE"""),"")</f>
        <v/>
      </c>
      <c r="L2807" s="4" t="str">
        <f>IFERROR(__xludf.DUMMYFUNCTION("""COMPUTED_VALUE"""),"")</f>
        <v/>
      </c>
      <c r="M2807" s="1" t="str">
        <f>IFERROR(__xludf.DUMMYFUNCTION("""COMPUTED_VALUE"""),"RFID")</f>
        <v>RFID</v>
      </c>
      <c r="N2807" s="5" t="str">
        <f>IFERROR(__xludf.DUMMYFUNCTION("""COMPUTED_VALUE"""),"")</f>
        <v/>
      </c>
      <c r="O2807" s="5" t="str">
        <f>IFERROR(__xludf.DUMMYFUNCTION("""COMPUTED_VALUE"""),"")</f>
        <v/>
      </c>
      <c r="P2807" s="5" t="str">
        <f>IFERROR(__xludf.DUMMYFUNCTION("""COMPUTED_VALUE"""),"")</f>
        <v/>
      </c>
      <c r="Q2807" s="5" t="str">
        <f>IFERROR(__xludf.DUMMYFUNCTION("""COMPUTED_VALUE"""),"")</f>
        <v/>
      </c>
      <c r="R2807" s="4" t="str">
        <f>IFERROR(__xludf.DUMMYFUNCTION("""COMPUTED_VALUE"""),"")</f>
        <v/>
      </c>
      <c r="S2807" s="1" t="b">
        <f>IFERROR(__xludf.DUMMYFUNCTION("""COMPUTED_VALUE"""),FALSE)</f>
        <v>0</v>
      </c>
      <c r="T2807" s="1" t="b">
        <f>IFERROR(__xludf.DUMMYFUNCTION("""COMPUTED_VALUE"""),FALSE)</f>
        <v>0</v>
      </c>
      <c r="U2807" s="1" t="str">
        <f>IFERROR(__xludf.DUMMYFUNCTION("""COMPUTED_VALUE"""),"")</f>
        <v/>
      </c>
      <c r="V2807" s="1" t="str">
        <f>IFERROR(__xludf.DUMMYFUNCTION("""COMPUTED_VALUE"""),"")</f>
        <v/>
      </c>
      <c r="W2807" s="1" t="str">
        <f>IFERROR(__xludf.DUMMYFUNCTION("""COMPUTED_VALUE"""),"")</f>
        <v/>
      </c>
      <c r="X2807" s="1" t="str">
        <f>IFERROR(__xludf.DUMMYFUNCTION("""COMPUTED_VALUE"""),"")</f>
        <v/>
      </c>
      <c r="Y2807" s="2"/>
      <c r="Z2807" s="2" t="str">
        <f>IFERROR(__xludf.DUMMYFUNCTION("""COMPUTED_VALUE"""),"")</f>
        <v/>
      </c>
    </row>
    <row r="2808">
      <c r="A2808" s="1" t="str">
        <f>IFERROR(__xludf.DUMMYFUNCTION("""COMPUTED_VALUE"""),"")</f>
        <v/>
      </c>
      <c r="B2808" s="1"/>
      <c r="C2808" s="2"/>
      <c r="D2808" s="2"/>
      <c r="E2808" s="1"/>
      <c r="F2808" s="1"/>
      <c r="G2808" s="4" t="str">
        <f>IFERROR(__xludf.DUMMYFUNCTION("""COMPUTED_VALUE"""),"")</f>
        <v/>
      </c>
      <c r="H2808" s="4" t="str">
        <f>IFERROR(__xludf.DUMMYFUNCTION("""COMPUTED_VALUE"""),"")</f>
        <v/>
      </c>
      <c r="I2808" s="4" t="str">
        <f>IFERROR(__xludf.DUMMYFUNCTION("""COMPUTED_VALUE"""),"")</f>
        <v/>
      </c>
      <c r="J2808" s="4" t="str">
        <f>IFERROR(__xludf.DUMMYFUNCTION("""COMPUTED_VALUE"""),"")</f>
        <v/>
      </c>
      <c r="K2808" s="4" t="str">
        <f>IFERROR(__xludf.DUMMYFUNCTION("""COMPUTED_VALUE"""),"")</f>
        <v/>
      </c>
      <c r="L2808" s="4" t="str">
        <f>IFERROR(__xludf.DUMMYFUNCTION("""COMPUTED_VALUE"""),"")</f>
        <v/>
      </c>
      <c r="M2808" s="1" t="str">
        <f>IFERROR(__xludf.DUMMYFUNCTION("""COMPUTED_VALUE"""),"RFID")</f>
        <v>RFID</v>
      </c>
      <c r="N2808" s="5" t="str">
        <f>IFERROR(__xludf.DUMMYFUNCTION("""COMPUTED_VALUE"""),"")</f>
        <v/>
      </c>
      <c r="O2808" s="5" t="str">
        <f>IFERROR(__xludf.DUMMYFUNCTION("""COMPUTED_VALUE"""),"")</f>
        <v/>
      </c>
      <c r="P2808" s="5" t="str">
        <f>IFERROR(__xludf.DUMMYFUNCTION("""COMPUTED_VALUE"""),"")</f>
        <v/>
      </c>
      <c r="Q2808" s="5" t="str">
        <f>IFERROR(__xludf.DUMMYFUNCTION("""COMPUTED_VALUE"""),"")</f>
        <v/>
      </c>
      <c r="R2808" s="4" t="str">
        <f>IFERROR(__xludf.DUMMYFUNCTION("""COMPUTED_VALUE"""),"")</f>
        <v/>
      </c>
      <c r="S2808" s="1" t="b">
        <f>IFERROR(__xludf.DUMMYFUNCTION("""COMPUTED_VALUE"""),FALSE)</f>
        <v>0</v>
      </c>
      <c r="T2808" s="1" t="b">
        <f>IFERROR(__xludf.DUMMYFUNCTION("""COMPUTED_VALUE"""),FALSE)</f>
        <v>0</v>
      </c>
      <c r="U2808" s="1" t="str">
        <f>IFERROR(__xludf.DUMMYFUNCTION("""COMPUTED_VALUE"""),"")</f>
        <v/>
      </c>
      <c r="V2808" s="1" t="str">
        <f>IFERROR(__xludf.DUMMYFUNCTION("""COMPUTED_VALUE"""),"")</f>
        <v/>
      </c>
      <c r="W2808" s="1" t="str">
        <f>IFERROR(__xludf.DUMMYFUNCTION("""COMPUTED_VALUE"""),"")</f>
        <v/>
      </c>
      <c r="X2808" s="1" t="str">
        <f>IFERROR(__xludf.DUMMYFUNCTION("""COMPUTED_VALUE"""),"")</f>
        <v/>
      </c>
      <c r="Y2808" s="2"/>
      <c r="Z2808" s="2" t="str">
        <f>IFERROR(__xludf.DUMMYFUNCTION("""COMPUTED_VALUE"""),"")</f>
        <v/>
      </c>
    </row>
    <row r="2809">
      <c r="A2809" s="1" t="str">
        <f>IFERROR(__xludf.DUMMYFUNCTION("""COMPUTED_VALUE"""),"")</f>
        <v/>
      </c>
      <c r="B2809" s="1"/>
      <c r="C2809" s="2"/>
      <c r="D2809" s="2"/>
      <c r="E2809" s="1"/>
      <c r="F2809" s="1"/>
      <c r="G2809" s="4" t="str">
        <f>IFERROR(__xludf.DUMMYFUNCTION("""COMPUTED_VALUE"""),"")</f>
        <v/>
      </c>
      <c r="H2809" s="4" t="str">
        <f>IFERROR(__xludf.DUMMYFUNCTION("""COMPUTED_VALUE"""),"")</f>
        <v/>
      </c>
      <c r="I2809" s="4" t="str">
        <f>IFERROR(__xludf.DUMMYFUNCTION("""COMPUTED_VALUE"""),"")</f>
        <v/>
      </c>
      <c r="J2809" s="4" t="str">
        <f>IFERROR(__xludf.DUMMYFUNCTION("""COMPUTED_VALUE"""),"")</f>
        <v/>
      </c>
      <c r="K2809" s="4" t="str">
        <f>IFERROR(__xludf.DUMMYFUNCTION("""COMPUTED_VALUE"""),"")</f>
        <v/>
      </c>
      <c r="L2809" s="4" t="str">
        <f>IFERROR(__xludf.DUMMYFUNCTION("""COMPUTED_VALUE"""),"")</f>
        <v/>
      </c>
      <c r="M2809" s="1" t="str">
        <f>IFERROR(__xludf.DUMMYFUNCTION("""COMPUTED_VALUE"""),"RFID")</f>
        <v>RFID</v>
      </c>
      <c r="N2809" s="5" t="str">
        <f>IFERROR(__xludf.DUMMYFUNCTION("""COMPUTED_VALUE"""),"")</f>
        <v/>
      </c>
      <c r="O2809" s="5" t="str">
        <f>IFERROR(__xludf.DUMMYFUNCTION("""COMPUTED_VALUE"""),"")</f>
        <v/>
      </c>
      <c r="P2809" s="5" t="str">
        <f>IFERROR(__xludf.DUMMYFUNCTION("""COMPUTED_VALUE"""),"")</f>
        <v/>
      </c>
      <c r="Q2809" s="5" t="str">
        <f>IFERROR(__xludf.DUMMYFUNCTION("""COMPUTED_VALUE"""),"")</f>
        <v/>
      </c>
      <c r="R2809" s="4" t="str">
        <f>IFERROR(__xludf.DUMMYFUNCTION("""COMPUTED_VALUE"""),"")</f>
        <v/>
      </c>
      <c r="S2809" s="1" t="b">
        <f>IFERROR(__xludf.DUMMYFUNCTION("""COMPUTED_VALUE"""),FALSE)</f>
        <v>0</v>
      </c>
      <c r="T2809" s="1" t="b">
        <f>IFERROR(__xludf.DUMMYFUNCTION("""COMPUTED_VALUE"""),FALSE)</f>
        <v>0</v>
      </c>
      <c r="U2809" s="1" t="str">
        <f>IFERROR(__xludf.DUMMYFUNCTION("""COMPUTED_VALUE"""),"")</f>
        <v/>
      </c>
      <c r="V2809" s="1" t="str">
        <f>IFERROR(__xludf.DUMMYFUNCTION("""COMPUTED_VALUE"""),"")</f>
        <v/>
      </c>
      <c r="W2809" s="1" t="str">
        <f>IFERROR(__xludf.DUMMYFUNCTION("""COMPUTED_VALUE"""),"")</f>
        <v/>
      </c>
      <c r="X2809" s="1" t="str">
        <f>IFERROR(__xludf.DUMMYFUNCTION("""COMPUTED_VALUE"""),"")</f>
        <v/>
      </c>
      <c r="Y2809" s="2"/>
      <c r="Z2809" s="2" t="str">
        <f>IFERROR(__xludf.DUMMYFUNCTION("""COMPUTED_VALUE"""),"")</f>
        <v/>
      </c>
    </row>
    <row r="2810">
      <c r="A2810" s="1" t="str">
        <f>IFERROR(__xludf.DUMMYFUNCTION("""COMPUTED_VALUE"""),"")</f>
        <v/>
      </c>
      <c r="B2810" s="1"/>
      <c r="C2810" s="2"/>
      <c r="D2810" s="2"/>
      <c r="E2810" s="1"/>
      <c r="F2810" s="1"/>
      <c r="G2810" s="4" t="str">
        <f>IFERROR(__xludf.DUMMYFUNCTION("""COMPUTED_VALUE"""),"")</f>
        <v/>
      </c>
      <c r="H2810" s="4" t="str">
        <f>IFERROR(__xludf.DUMMYFUNCTION("""COMPUTED_VALUE"""),"")</f>
        <v/>
      </c>
      <c r="I2810" s="4" t="str">
        <f>IFERROR(__xludf.DUMMYFUNCTION("""COMPUTED_VALUE"""),"")</f>
        <v/>
      </c>
      <c r="J2810" s="4" t="str">
        <f>IFERROR(__xludf.DUMMYFUNCTION("""COMPUTED_VALUE"""),"")</f>
        <v/>
      </c>
      <c r="K2810" s="4" t="str">
        <f>IFERROR(__xludf.DUMMYFUNCTION("""COMPUTED_VALUE"""),"")</f>
        <v/>
      </c>
      <c r="L2810" s="4" t="str">
        <f>IFERROR(__xludf.DUMMYFUNCTION("""COMPUTED_VALUE"""),"")</f>
        <v/>
      </c>
      <c r="M2810" s="1" t="str">
        <f>IFERROR(__xludf.DUMMYFUNCTION("""COMPUTED_VALUE"""),"RFID")</f>
        <v>RFID</v>
      </c>
      <c r="N2810" s="5" t="str">
        <f>IFERROR(__xludf.DUMMYFUNCTION("""COMPUTED_VALUE"""),"")</f>
        <v/>
      </c>
      <c r="O2810" s="5" t="str">
        <f>IFERROR(__xludf.DUMMYFUNCTION("""COMPUTED_VALUE"""),"")</f>
        <v/>
      </c>
      <c r="P2810" s="5" t="str">
        <f>IFERROR(__xludf.DUMMYFUNCTION("""COMPUTED_VALUE"""),"")</f>
        <v/>
      </c>
      <c r="Q2810" s="5" t="str">
        <f>IFERROR(__xludf.DUMMYFUNCTION("""COMPUTED_VALUE"""),"")</f>
        <v/>
      </c>
      <c r="R2810" s="4" t="str">
        <f>IFERROR(__xludf.DUMMYFUNCTION("""COMPUTED_VALUE"""),"")</f>
        <v/>
      </c>
      <c r="S2810" s="1" t="b">
        <f>IFERROR(__xludf.DUMMYFUNCTION("""COMPUTED_VALUE"""),FALSE)</f>
        <v>0</v>
      </c>
      <c r="T2810" s="1" t="b">
        <f>IFERROR(__xludf.DUMMYFUNCTION("""COMPUTED_VALUE"""),FALSE)</f>
        <v>0</v>
      </c>
      <c r="U2810" s="1" t="str">
        <f>IFERROR(__xludf.DUMMYFUNCTION("""COMPUTED_VALUE"""),"")</f>
        <v/>
      </c>
      <c r="V2810" s="1" t="str">
        <f>IFERROR(__xludf.DUMMYFUNCTION("""COMPUTED_VALUE"""),"")</f>
        <v/>
      </c>
      <c r="W2810" s="1" t="str">
        <f>IFERROR(__xludf.DUMMYFUNCTION("""COMPUTED_VALUE"""),"")</f>
        <v/>
      </c>
      <c r="X2810" s="1" t="str">
        <f>IFERROR(__xludf.DUMMYFUNCTION("""COMPUTED_VALUE"""),"")</f>
        <v/>
      </c>
      <c r="Y2810" s="2"/>
      <c r="Z2810" s="2" t="str">
        <f>IFERROR(__xludf.DUMMYFUNCTION("""COMPUTED_VALUE"""),"")</f>
        <v/>
      </c>
    </row>
    <row r="2811">
      <c r="A2811" s="1" t="str">
        <f>IFERROR(__xludf.DUMMYFUNCTION("""COMPUTED_VALUE"""),"")</f>
        <v/>
      </c>
      <c r="B2811" s="1"/>
      <c r="C2811" s="2"/>
      <c r="D2811" s="2"/>
      <c r="E2811" s="1"/>
      <c r="F2811" s="1"/>
      <c r="G2811" s="4" t="str">
        <f>IFERROR(__xludf.DUMMYFUNCTION("""COMPUTED_VALUE"""),"")</f>
        <v/>
      </c>
      <c r="H2811" s="4" t="str">
        <f>IFERROR(__xludf.DUMMYFUNCTION("""COMPUTED_VALUE"""),"")</f>
        <v/>
      </c>
      <c r="I2811" s="4" t="str">
        <f>IFERROR(__xludf.DUMMYFUNCTION("""COMPUTED_VALUE"""),"")</f>
        <v/>
      </c>
      <c r="J2811" s="4" t="str">
        <f>IFERROR(__xludf.DUMMYFUNCTION("""COMPUTED_VALUE"""),"")</f>
        <v/>
      </c>
      <c r="K2811" s="4" t="str">
        <f>IFERROR(__xludf.DUMMYFUNCTION("""COMPUTED_VALUE"""),"")</f>
        <v/>
      </c>
      <c r="L2811" s="4" t="str">
        <f>IFERROR(__xludf.DUMMYFUNCTION("""COMPUTED_VALUE"""),"")</f>
        <v/>
      </c>
      <c r="M2811" s="1" t="str">
        <f>IFERROR(__xludf.DUMMYFUNCTION("""COMPUTED_VALUE"""),"RFID")</f>
        <v>RFID</v>
      </c>
      <c r="N2811" s="5" t="str">
        <f>IFERROR(__xludf.DUMMYFUNCTION("""COMPUTED_VALUE"""),"")</f>
        <v/>
      </c>
      <c r="O2811" s="5" t="str">
        <f>IFERROR(__xludf.DUMMYFUNCTION("""COMPUTED_VALUE"""),"")</f>
        <v/>
      </c>
      <c r="P2811" s="5" t="str">
        <f>IFERROR(__xludf.DUMMYFUNCTION("""COMPUTED_VALUE"""),"")</f>
        <v/>
      </c>
      <c r="Q2811" s="5" t="str">
        <f>IFERROR(__xludf.DUMMYFUNCTION("""COMPUTED_VALUE"""),"")</f>
        <v/>
      </c>
      <c r="R2811" s="4" t="str">
        <f>IFERROR(__xludf.DUMMYFUNCTION("""COMPUTED_VALUE"""),"")</f>
        <v/>
      </c>
      <c r="S2811" s="1" t="b">
        <f>IFERROR(__xludf.DUMMYFUNCTION("""COMPUTED_VALUE"""),FALSE)</f>
        <v>0</v>
      </c>
      <c r="T2811" s="1" t="b">
        <f>IFERROR(__xludf.DUMMYFUNCTION("""COMPUTED_VALUE"""),FALSE)</f>
        <v>0</v>
      </c>
      <c r="U2811" s="1" t="str">
        <f>IFERROR(__xludf.DUMMYFUNCTION("""COMPUTED_VALUE"""),"")</f>
        <v/>
      </c>
      <c r="V2811" s="1" t="str">
        <f>IFERROR(__xludf.DUMMYFUNCTION("""COMPUTED_VALUE"""),"")</f>
        <v/>
      </c>
      <c r="W2811" s="1" t="str">
        <f>IFERROR(__xludf.DUMMYFUNCTION("""COMPUTED_VALUE"""),"")</f>
        <v/>
      </c>
      <c r="X2811" s="1" t="str">
        <f>IFERROR(__xludf.DUMMYFUNCTION("""COMPUTED_VALUE"""),"")</f>
        <v/>
      </c>
      <c r="Y2811" s="2"/>
      <c r="Z2811" s="2" t="str">
        <f>IFERROR(__xludf.DUMMYFUNCTION("""COMPUTED_VALUE"""),"")</f>
        <v/>
      </c>
    </row>
    <row r="2812">
      <c r="A2812" s="1" t="str">
        <f>IFERROR(__xludf.DUMMYFUNCTION("""COMPUTED_VALUE"""),"")</f>
        <v/>
      </c>
      <c r="B2812" s="1"/>
      <c r="C2812" s="2"/>
      <c r="D2812" s="2"/>
      <c r="E2812" s="1"/>
      <c r="F2812" s="1"/>
      <c r="G2812" s="4" t="str">
        <f>IFERROR(__xludf.DUMMYFUNCTION("""COMPUTED_VALUE"""),"")</f>
        <v/>
      </c>
      <c r="H2812" s="4" t="str">
        <f>IFERROR(__xludf.DUMMYFUNCTION("""COMPUTED_VALUE"""),"")</f>
        <v/>
      </c>
      <c r="I2812" s="4" t="str">
        <f>IFERROR(__xludf.DUMMYFUNCTION("""COMPUTED_VALUE"""),"")</f>
        <v/>
      </c>
      <c r="J2812" s="4" t="str">
        <f>IFERROR(__xludf.DUMMYFUNCTION("""COMPUTED_VALUE"""),"")</f>
        <v/>
      </c>
      <c r="K2812" s="4" t="str">
        <f>IFERROR(__xludf.DUMMYFUNCTION("""COMPUTED_VALUE"""),"")</f>
        <v/>
      </c>
      <c r="L2812" s="4" t="str">
        <f>IFERROR(__xludf.DUMMYFUNCTION("""COMPUTED_VALUE"""),"")</f>
        <v/>
      </c>
      <c r="M2812" s="1" t="str">
        <f>IFERROR(__xludf.DUMMYFUNCTION("""COMPUTED_VALUE"""),"RFID")</f>
        <v>RFID</v>
      </c>
      <c r="N2812" s="5" t="str">
        <f>IFERROR(__xludf.DUMMYFUNCTION("""COMPUTED_VALUE"""),"")</f>
        <v/>
      </c>
      <c r="O2812" s="5" t="str">
        <f>IFERROR(__xludf.DUMMYFUNCTION("""COMPUTED_VALUE"""),"")</f>
        <v/>
      </c>
      <c r="P2812" s="5" t="str">
        <f>IFERROR(__xludf.DUMMYFUNCTION("""COMPUTED_VALUE"""),"")</f>
        <v/>
      </c>
      <c r="Q2812" s="5" t="str">
        <f>IFERROR(__xludf.DUMMYFUNCTION("""COMPUTED_VALUE"""),"")</f>
        <v/>
      </c>
      <c r="R2812" s="4" t="str">
        <f>IFERROR(__xludf.DUMMYFUNCTION("""COMPUTED_VALUE"""),"")</f>
        <v/>
      </c>
      <c r="S2812" s="1" t="b">
        <f>IFERROR(__xludf.DUMMYFUNCTION("""COMPUTED_VALUE"""),FALSE)</f>
        <v>0</v>
      </c>
      <c r="T2812" s="1" t="b">
        <f>IFERROR(__xludf.DUMMYFUNCTION("""COMPUTED_VALUE"""),FALSE)</f>
        <v>0</v>
      </c>
      <c r="U2812" s="1" t="str">
        <f>IFERROR(__xludf.DUMMYFUNCTION("""COMPUTED_VALUE"""),"")</f>
        <v/>
      </c>
      <c r="V2812" s="1" t="str">
        <f>IFERROR(__xludf.DUMMYFUNCTION("""COMPUTED_VALUE"""),"")</f>
        <v/>
      </c>
      <c r="W2812" s="1" t="str">
        <f>IFERROR(__xludf.DUMMYFUNCTION("""COMPUTED_VALUE"""),"")</f>
        <v/>
      </c>
      <c r="X2812" s="1" t="str">
        <f>IFERROR(__xludf.DUMMYFUNCTION("""COMPUTED_VALUE"""),"")</f>
        <v/>
      </c>
      <c r="Y2812" s="2"/>
      <c r="Z2812" s="2" t="str">
        <f>IFERROR(__xludf.DUMMYFUNCTION("""COMPUTED_VALUE"""),"")</f>
        <v/>
      </c>
    </row>
    <row r="2813">
      <c r="A2813" s="1" t="str">
        <f>IFERROR(__xludf.DUMMYFUNCTION("""COMPUTED_VALUE"""),"")</f>
        <v/>
      </c>
      <c r="B2813" s="1"/>
      <c r="C2813" s="2"/>
      <c r="D2813" s="2"/>
      <c r="E2813" s="1"/>
      <c r="F2813" s="1"/>
      <c r="G2813" s="4" t="str">
        <f>IFERROR(__xludf.DUMMYFUNCTION("""COMPUTED_VALUE"""),"")</f>
        <v/>
      </c>
      <c r="H2813" s="4" t="str">
        <f>IFERROR(__xludf.DUMMYFUNCTION("""COMPUTED_VALUE"""),"")</f>
        <v/>
      </c>
      <c r="I2813" s="4" t="str">
        <f>IFERROR(__xludf.DUMMYFUNCTION("""COMPUTED_VALUE"""),"")</f>
        <v/>
      </c>
      <c r="J2813" s="4" t="str">
        <f>IFERROR(__xludf.DUMMYFUNCTION("""COMPUTED_VALUE"""),"")</f>
        <v/>
      </c>
      <c r="K2813" s="4" t="str">
        <f>IFERROR(__xludf.DUMMYFUNCTION("""COMPUTED_VALUE"""),"")</f>
        <v/>
      </c>
      <c r="L2813" s="4" t="str">
        <f>IFERROR(__xludf.DUMMYFUNCTION("""COMPUTED_VALUE"""),"")</f>
        <v/>
      </c>
      <c r="M2813" s="1" t="str">
        <f>IFERROR(__xludf.DUMMYFUNCTION("""COMPUTED_VALUE"""),"RFID")</f>
        <v>RFID</v>
      </c>
      <c r="N2813" s="5" t="str">
        <f>IFERROR(__xludf.DUMMYFUNCTION("""COMPUTED_VALUE"""),"")</f>
        <v/>
      </c>
      <c r="O2813" s="5" t="str">
        <f>IFERROR(__xludf.DUMMYFUNCTION("""COMPUTED_VALUE"""),"")</f>
        <v/>
      </c>
      <c r="P2813" s="5" t="str">
        <f>IFERROR(__xludf.DUMMYFUNCTION("""COMPUTED_VALUE"""),"")</f>
        <v/>
      </c>
      <c r="Q2813" s="5" t="str">
        <f>IFERROR(__xludf.DUMMYFUNCTION("""COMPUTED_VALUE"""),"")</f>
        <v/>
      </c>
      <c r="R2813" s="4" t="str">
        <f>IFERROR(__xludf.DUMMYFUNCTION("""COMPUTED_VALUE"""),"")</f>
        <v/>
      </c>
      <c r="S2813" s="1" t="b">
        <f>IFERROR(__xludf.DUMMYFUNCTION("""COMPUTED_VALUE"""),FALSE)</f>
        <v>0</v>
      </c>
      <c r="T2813" s="1" t="b">
        <f>IFERROR(__xludf.DUMMYFUNCTION("""COMPUTED_VALUE"""),FALSE)</f>
        <v>0</v>
      </c>
      <c r="U2813" s="1" t="str">
        <f>IFERROR(__xludf.DUMMYFUNCTION("""COMPUTED_VALUE"""),"")</f>
        <v/>
      </c>
      <c r="V2813" s="1" t="str">
        <f>IFERROR(__xludf.DUMMYFUNCTION("""COMPUTED_VALUE"""),"")</f>
        <v/>
      </c>
      <c r="W2813" s="1" t="str">
        <f>IFERROR(__xludf.DUMMYFUNCTION("""COMPUTED_VALUE"""),"")</f>
        <v/>
      </c>
      <c r="X2813" s="1" t="str">
        <f>IFERROR(__xludf.DUMMYFUNCTION("""COMPUTED_VALUE"""),"")</f>
        <v/>
      </c>
      <c r="Y2813" s="2"/>
      <c r="Z2813" s="2" t="str">
        <f>IFERROR(__xludf.DUMMYFUNCTION("""COMPUTED_VALUE"""),"")</f>
        <v/>
      </c>
    </row>
    <row r="2814">
      <c r="A2814" s="1" t="str">
        <f>IFERROR(__xludf.DUMMYFUNCTION("""COMPUTED_VALUE"""),"")</f>
        <v/>
      </c>
      <c r="B2814" s="1"/>
      <c r="C2814" s="2"/>
      <c r="D2814" s="2"/>
      <c r="E2814" s="1"/>
      <c r="F2814" s="1"/>
      <c r="G2814" s="4" t="str">
        <f>IFERROR(__xludf.DUMMYFUNCTION("""COMPUTED_VALUE"""),"")</f>
        <v/>
      </c>
      <c r="H2814" s="4" t="str">
        <f>IFERROR(__xludf.DUMMYFUNCTION("""COMPUTED_VALUE"""),"")</f>
        <v/>
      </c>
      <c r="I2814" s="4" t="str">
        <f>IFERROR(__xludf.DUMMYFUNCTION("""COMPUTED_VALUE"""),"")</f>
        <v/>
      </c>
      <c r="J2814" s="4" t="str">
        <f>IFERROR(__xludf.DUMMYFUNCTION("""COMPUTED_VALUE"""),"")</f>
        <v/>
      </c>
      <c r="K2814" s="4" t="str">
        <f>IFERROR(__xludf.DUMMYFUNCTION("""COMPUTED_VALUE"""),"")</f>
        <v/>
      </c>
      <c r="L2814" s="4" t="str">
        <f>IFERROR(__xludf.DUMMYFUNCTION("""COMPUTED_VALUE"""),"")</f>
        <v/>
      </c>
      <c r="M2814" s="1" t="str">
        <f>IFERROR(__xludf.DUMMYFUNCTION("""COMPUTED_VALUE"""),"RFID")</f>
        <v>RFID</v>
      </c>
      <c r="N2814" s="5" t="str">
        <f>IFERROR(__xludf.DUMMYFUNCTION("""COMPUTED_VALUE"""),"")</f>
        <v/>
      </c>
      <c r="O2814" s="5" t="str">
        <f>IFERROR(__xludf.DUMMYFUNCTION("""COMPUTED_VALUE"""),"")</f>
        <v/>
      </c>
      <c r="P2814" s="5" t="str">
        <f>IFERROR(__xludf.DUMMYFUNCTION("""COMPUTED_VALUE"""),"")</f>
        <v/>
      </c>
      <c r="Q2814" s="5" t="str">
        <f>IFERROR(__xludf.DUMMYFUNCTION("""COMPUTED_VALUE"""),"")</f>
        <v/>
      </c>
      <c r="R2814" s="4" t="str">
        <f>IFERROR(__xludf.DUMMYFUNCTION("""COMPUTED_VALUE"""),"")</f>
        <v/>
      </c>
      <c r="S2814" s="1" t="b">
        <f>IFERROR(__xludf.DUMMYFUNCTION("""COMPUTED_VALUE"""),FALSE)</f>
        <v>0</v>
      </c>
      <c r="T2814" s="1" t="b">
        <f>IFERROR(__xludf.DUMMYFUNCTION("""COMPUTED_VALUE"""),FALSE)</f>
        <v>0</v>
      </c>
      <c r="U2814" s="1" t="str">
        <f>IFERROR(__xludf.DUMMYFUNCTION("""COMPUTED_VALUE"""),"")</f>
        <v/>
      </c>
      <c r="V2814" s="1" t="str">
        <f>IFERROR(__xludf.DUMMYFUNCTION("""COMPUTED_VALUE"""),"")</f>
        <v/>
      </c>
      <c r="W2814" s="1" t="str">
        <f>IFERROR(__xludf.DUMMYFUNCTION("""COMPUTED_VALUE"""),"")</f>
        <v/>
      </c>
      <c r="X2814" s="1" t="str">
        <f>IFERROR(__xludf.DUMMYFUNCTION("""COMPUTED_VALUE"""),"")</f>
        <v/>
      </c>
      <c r="Y2814" s="2"/>
      <c r="Z2814" s="2" t="str">
        <f>IFERROR(__xludf.DUMMYFUNCTION("""COMPUTED_VALUE"""),"")</f>
        <v/>
      </c>
    </row>
    <row r="2815">
      <c r="A2815" s="1" t="str">
        <f>IFERROR(__xludf.DUMMYFUNCTION("""COMPUTED_VALUE"""),"")</f>
        <v/>
      </c>
      <c r="B2815" s="1"/>
      <c r="C2815" s="2"/>
      <c r="D2815" s="2"/>
      <c r="E2815" s="1"/>
      <c r="F2815" s="1"/>
      <c r="G2815" s="4" t="str">
        <f>IFERROR(__xludf.DUMMYFUNCTION("""COMPUTED_VALUE"""),"")</f>
        <v/>
      </c>
      <c r="H2815" s="4" t="str">
        <f>IFERROR(__xludf.DUMMYFUNCTION("""COMPUTED_VALUE"""),"")</f>
        <v/>
      </c>
      <c r="I2815" s="4" t="str">
        <f>IFERROR(__xludf.DUMMYFUNCTION("""COMPUTED_VALUE"""),"")</f>
        <v/>
      </c>
      <c r="J2815" s="4" t="str">
        <f>IFERROR(__xludf.DUMMYFUNCTION("""COMPUTED_VALUE"""),"")</f>
        <v/>
      </c>
      <c r="K2815" s="4" t="str">
        <f>IFERROR(__xludf.DUMMYFUNCTION("""COMPUTED_VALUE"""),"")</f>
        <v/>
      </c>
      <c r="L2815" s="4" t="str">
        <f>IFERROR(__xludf.DUMMYFUNCTION("""COMPUTED_VALUE"""),"")</f>
        <v/>
      </c>
      <c r="M2815" s="1" t="str">
        <f>IFERROR(__xludf.DUMMYFUNCTION("""COMPUTED_VALUE"""),"RFID")</f>
        <v>RFID</v>
      </c>
      <c r="N2815" s="5" t="str">
        <f>IFERROR(__xludf.DUMMYFUNCTION("""COMPUTED_VALUE"""),"")</f>
        <v/>
      </c>
      <c r="O2815" s="5" t="str">
        <f>IFERROR(__xludf.DUMMYFUNCTION("""COMPUTED_VALUE"""),"")</f>
        <v/>
      </c>
      <c r="P2815" s="5" t="str">
        <f>IFERROR(__xludf.DUMMYFUNCTION("""COMPUTED_VALUE"""),"")</f>
        <v/>
      </c>
      <c r="Q2815" s="5" t="str">
        <f>IFERROR(__xludf.DUMMYFUNCTION("""COMPUTED_VALUE"""),"")</f>
        <v/>
      </c>
      <c r="R2815" s="4" t="str">
        <f>IFERROR(__xludf.DUMMYFUNCTION("""COMPUTED_VALUE"""),"")</f>
        <v/>
      </c>
      <c r="S2815" s="1" t="b">
        <f>IFERROR(__xludf.DUMMYFUNCTION("""COMPUTED_VALUE"""),FALSE)</f>
        <v>0</v>
      </c>
      <c r="T2815" s="1" t="b">
        <f>IFERROR(__xludf.DUMMYFUNCTION("""COMPUTED_VALUE"""),FALSE)</f>
        <v>0</v>
      </c>
      <c r="U2815" s="1" t="str">
        <f>IFERROR(__xludf.DUMMYFUNCTION("""COMPUTED_VALUE"""),"")</f>
        <v/>
      </c>
      <c r="V2815" s="1" t="str">
        <f>IFERROR(__xludf.DUMMYFUNCTION("""COMPUTED_VALUE"""),"")</f>
        <v/>
      </c>
      <c r="W2815" s="1" t="str">
        <f>IFERROR(__xludf.DUMMYFUNCTION("""COMPUTED_VALUE"""),"")</f>
        <v/>
      </c>
      <c r="X2815" s="1" t="str">
        <f>IFERROR(__xludf.DUMMYFUNCTION("""COMPUTED_VALUE"""),"")</f>
        <v/>
      </c>
      <c r="Y2815" s="2"/>
      <c r="Z2815" s="2" t="str">
        <f>IFERROR(__xludf.DUMMYFUNCTION("""COMPUTED_VALUE"""),"")</f>
        <v/>
      </c>
    </row>
    <row r="2816">
      <c r="A2816" s="1" t="str">
        <f>IFERROR(__xludf.DUMMYFUNCTION("""COMPUTED_VALUE"""),"")</f>
        <v/>
      </c>
      <c r="B2816" s="1"/>
      <c r="C2816" s="2"/>
      <c r="D2816" s="2"/>
      <c r="E2816" s="1"/>
      <c r="F2816" s="1"/>
      <c r="G2816" s="4" t="str">
        <f>IFERROR(__xludf.DUMMYFUNCTION("""COMPUTED_VALUE"""),"")</f>
        <v/>
      </c>
      <c r="H2816" s="4" t="str">
        <f>IFERROR(__xludf.DUMMYFUNCTION("""COMPUTED_VALUE"""),"")</f>
        <v/>
      </c>
      <c r="I2816" s="4" t="str">
        <f>IFERROR(__xludf.DUMMYFUNCTION("""COMPUTED_VALUE"""),"")</f>
        <v/>
      </c>
      <c r="J2816" s="4" t="str">
        <f>IFERROR(__xludf.DUMMYFUNCTION("""COMPUTED_VALUE"""),"")</f>
        <v/>
      </c>
      <c r="K2816" s="4" t="str">
        <f>IFERROR(__xludf.DUMMYFUNCTION("""COMPUTED_VALUE"""),"")</f>
        <v/>
      </c>
      <c r="L2816" s="4" t="str">
        <f>IFERROR(__xludf.DUMMYFUNCTION("""COMPUTED_VALUE"""),"")</f>
        <v/>
      </c>
      <c r="M2816" s="1" t="str">
        <f>IFERROR(__xludf.DUMMYFUNCTION("""COMPUTED_VALUE"""),"RFID")</f>
        <v>RFID</v>
      </c>
      <c r="N2816" s="5" t="str">
        <f>IFERROR(__xludf.DUMMYFUNCTION("""COMPUTED_VALUE"""),"")</f>
        <v/>
      </c>
      <c r="O2816" s="5" t="str">
        <f>IFERROR(__xludf.DUMMYFUNCTION("""COMPUTED_VALUE"""),"")</f>
        <v/>
      </c>
      <c r="P2816" s="5" t="str">
        <f>IFERROR(__xludf.DUMMYFUNCTION("""COMPUTED_VALUE"""),"")</f>
        <v/>
      </c>
      <c r="Q2816" s="5" t="str">
        <f>IFERROR(__xludf.DUMMYFUNCTION("""COMPUTED_VALUE"""),"")</f>
        <v/>
      </c>
      <c r="R2816" s="4" t="str">
        <f>IFERROR(__xludf.DUMMYFUNCTION("""COMPUTED_VALUE"""),"")</f>
        <v/>
      </c>
      <c r="S2816" s="1" t="b">
        <f>IFERROR(__xludf.DUMMYFUNCTION("""COMPUTED_VALUE"""),FALSE)</f>
        <v>0</v>
      </c>
      <c r="T2816" s="1" t="b">
        <f>IFERROR(__xludf.DUMMYFUNCTION("""COMPUTED_VALUE"""),FALSE)</f>
        <v>0</v>
      </c>
      <c r="U2816" s="1" t="str">
        <f>IFERROR(__xludf.DUMMYFUNCTION("""COMPUTED_VALUE"""),"")</f>
        <v/>
      </c>
      <c r="V2816" s="1" t="str">
        <f>IFERROR(__xludf.DUMMYFUNCTION("""COMPUTED_VALUE"""),"")</f>
        <v/>
      </c>
      <c r="W2816" s="1" t="str">
        <f>IFERROR(__xludf.DUMMYFUNCTION("""COMPUTED_VALUE"""),"")</f>
        <v/>
      </c>
      <c r="X2816" s="1" t="str">
        <f>IFERROR(__xludf.DUMMYFUNCTION("""COMPUTED_VALUE"""),"")</f>
        <v/>
      </c>
      <c r="Y2816" s="2"/>
      <c r="Z2816" s="2" t="str">
        <f>IFERROR(__xludf.DUMMYFUNCTION("""COMPUTED_VALUE"""),"")</f>
        <v/>
      </c>
    </row>
    <row r="2817">
      <c r="A2817" s="1" t="str">
        <f>IFERROR(__xludf.DUMMYFUNCTION("""COMPUTED_VALUE"""),"")</f>
        <v/>
      </c>
      <c r="B2817" s="1"/>
      <c r="C2817" s="2"/>
      <c r="D2817" s="2"/>
      <c r="E2817" s="1"/>
      <c r="F2817" s="1"/>
      <c r="G2817" s="4" t="str">
        <f>IFERROR(__xludf.DUMMYFUNCTION("""COMPUTED_VALUE"""),"")</f>
        <v/>
      </c>
      <c r="H2817" s="4" t="str">
        <f>IFERROR(__xludf.DUMMYFUNCTION("""COMPUTED_VALUE"""),"")</f>
        <v/>
      </c>
      <c r="I2817" s="4" t="str">
        <f>IFERROR(__xludf.DUMMYFUNCTION("""COMPUTED_VALUE"""),"")</f>
        <v/>
      </c>
      <c r="J2817" s="4" t="str">
        <f>IFERROR(__xludf.DUMMYFUNCTION("""COMPUTED_VALUE"""),"")</f>
        <v/>
      </c>
      <c r="K2817" s="4" t="str">
        <f>IFERROR(__xludf.DUMMYFUNCTION("""COMPUTED_VALUE"""),"")</f>
        <v/>
      </c>
      <c r="L2817" s="4" t="str">
        <f>IFERROR(__xludf.DUMMYFUNCTION("""COMPUTED_VALUE"""),"")</f>
        <v/>
      </c>
      <c r="M2817" s="1" t="str">
        <f>IFERROR(__xludf.DUMMYFUNCTION("""COMPUTED_VALUE"""),"RFID")</f>
        <v>RFID</v>
      </c>
      <c r="N2817" s="5" t="str">
        <f>IFERROR(__xludf.DUMMYFUNCTION("""COMPUTED_VALUE"""),"")</f>
        <v/>
      </c>
      <c r="O2817" s="5" t="str">
        <f>IFERROR(__xludf.DUMMYFUNCTION("""COMPUTED_VALUE"""),"")</f>
        <v/>
      </c>
      <c r="P2817" s="5" t="str">
        <f>IFERROR(__xludf.DUMMYFUNCTION("""COMPUTED_VALUE"""),"")</f>
        <v/>
      </c>
      <c r="Q2817" s="5" t="str">
        <f>IFERROR(__xludf.DUMMYFUNCTION("""COMPUTED_VALUE"""),"")</f>
        <v/>
      </c>
      <c r="R2817" s="4" t="str">
        <f>IFERROR(__xludf.DUMMYFUNCTION("""COMPUTED_VALUE"""),"")</f>
        <v/>
      </c>
      <c r="S2817" s="1" t="b">
        <f>IFERROR(__xludf.DUMMYFUNCTION("""COMPUTED_VALUE"""),FALSE)</f>
        <v>0</v>
      </c>
      <c r="T2817" s="1" t="b">
        <f>IFERROR(__xludf.DUMMYFUNCTION("""COMPUTED_VALUE"""),FALSE)</f>
        <v>0</v>
      </c>
      <c r="U2817" s="1" t="str">
        <f>IFERROR(__xludf.DUMMYFUNCTION("""COMPUTED_VALUE"""),"")</f>
        <v/>
      </c>
      <c r="V2817" s="1" t="str">
        <f>IFERROR(__xludf.DUMMYFUNCTION("""COMPUTED_VALUE"""),"")</f>
        <v/>
      </c>
      <c r="W2817" s="1" t="str">
        <f>IFERROR(__xludf.DUMMYFUNCTION("""COMPUTED_VALUE"""),"")</f>
        <v/>
      </c>
      <c r="X2817" s="1" t="str">
        <f>IFERROR(__xludf.DUMMYFUNCTION("""COMPUTED_VALUE"""),"")</f>
        <v/>
      </c>
      <c r="Y2817" s="2"/>
      <c r="Z2817" s="2" t="str">
        <f>IFERROR(__xludf.DUMMYFUNCTION("""COMPUTED_VALUE"""),"")</f>
        <v/>
      </c>
    </row>
    <row r="2818">
      <c r="A2818" s="1" t="str">
        <f>IFERROR(__xludf.DUMMYFUNCTION("""COMPUTED_VALUE"""),"")</f>
        <v/>
      </c>
      <c r="B2818" s="1"/>
      <c r="C2818" s="2"/>
      <c r="D2818" s="2"/>
      <c r="E2818" s="1"/>
      <c r="F2818" s="1"/>
      <c r="G2818" s="4" t="str">
        <f>IFERROR(__xludf.DUMMYFUNCTION("""COMPUTED_VALUE"""),"")</f>
        <v/>
      </c>
      <c r="H2818" s="4" t="str">
        <f>IFERROR(__xludf.DUMMYFUNCTION("""COMPUTED_VALUE"""),"")</f>
        <v/>
      </c>
      <c r="I2818" s="4" t="str">
        <f>IFERROR(__xludf.DUMMYFUNCTION("""COMPUTED_VALUE"""),"")</f>
        <v/>
      </c>
      <c r="J2818" s="4" t="str">
        <f>IFERROR(__xludf.DUMMYFUNCTION("""COMPUTED_VALUE"""),"")</f>
        <v/>
      </c>
      <c r="K2818" s="4" t="str">
        <f>IFERROR(__xludf.DUMMYFUNCTION("""COMPUTED_VALUE"""),"")</f>
        <v/>
      </c>
      <c r="L2818" s="4" t="str">
        <f>IFERROR(__xludf.DUMMYFUNCTION("""COMPUTED_VALUE"""),"")</f>
        <v/>
      </c>
      <c r="M2818" s="1" t="str">
        <f>IFERROR(__xludf.DUMMYFUNCTION("""COMPUTED_VALUE"""),"RFID")</f>
        <v>RFID</v>
      </c>
      <c r="N2818" s="5" t="str">
        <f>IFERROR(__xludf.DUMMYFUNCTION("""COMPUTED_VALUE"""),"")</f>
        <v/>
      </c>
      <c r="O2818" s="5" t="str">
        <f>IFERROR(__xludf.DUMMYFUNCTION("""COMPUTED_VALUE"""),"")</f>
        <v/>
      </c>
      <c r="P2818" s="5" t="str">
        <f>IFERROR(__xludf.DUMMYFUNCTION("""COMPUTED_VALUE"""),"")</f>
        <v/>
      </c>
      <c r="Q2818" s="5" t="str">
        <f>IFERROR(__xludf.DUMMYFUNCTION("""COMPUTED_VALUE"""),"")</f>
        <v/>
      </c>
      <c r="R2818" s="4" t="str">
        <f>IFERROR(__xludf.DUMMYFUNCTION("""COMPUTED_VALUE"""),"")</f>
        <v/>
      </c>
      <c r="S2818" s="1" t="b">
        <f>IFERROR(__xludf.DUMMYFUNCTION("""COMPUTED_VALUE"""),FALSE)</f>
        <v>0</v>
      </c>
      <c r="T2818" s="1" t="b">
        <f>IFERROR(__xludf.DUMMYFUNCTION("""COMPUTED_VALUE"""),FALSE)</f>
        <v>0</v>
      </c>
      <c r="U2818" s="1" t="str">
        <f>IFERROR(__xludf.DUMMYFUNCTION("""COMPUTED_VALUE"""),"")</f>
        <v/>
      </c>
      <c r="V2818" s="1" t="str">
        <f>IFERROR(__xludf.DUMMYFUNCTION("""COMPUTED_VALUE"""),"")</f>
        <v/>
      </c>
      <c r="W2818" s="1" t="str">
        <f>IFERROR(__xludf.DUMMYFUNCTION("""COMPUTED_VALUE"""),"")</f>
        <v/>
      </c>
      <c r="X2818" s="1" t="str">
        <f>IFERROR(__xludf.DUMMYFUNCTION("""COMPUTED_VALUE"""),"")</f>
        <v/>
      </c>
      <c r="Y2818" s="2"/>
      <c r="Z2818" s="2" t="str">
        <f>IFERROR(__xludf.DUMMYFUNCTION("""COMPUTED_VALUE"""),"")</f>
        <v/>
      </c>
    </row>
    <row r="2819">
      <c r="A2819" s="1" t="str">
        <f>IFERROR(__xludf.DUMMYFUNCTION("""COMPUTED_VALUE"""),"")</f>
        <v/>
      </c>
      <c r="B2819" s="1"/>
      <c r="C2819" s="2"/>
      <c r="D2819" s="2"/>
      <c r="E2819" s="1"/>
      <c r="F2819" s="1"/>
      <c r="G2819" s="4" t="str">
        <f>IFERROR(__xludf.DUMMYFUNCTION("""COMPUTED_VALUE"""),"")</f>
        <v/>
      </c>
      <c r="H2819" s="4" t="str">
        <f>IFERROR(__xludf.DUMMYFUNCTION("""COMPUTED_VALUE"""),"")</f>
        <v/>
      </c>
      <c r="I2819" s="4" t="str">
        <f>IFERROR(__xludf.DUMMYFUNCTION("""COMPUTED_VALUE"""),"")</f>
        <v/>
      </c>
      <c r="J2819" s="4" t="str">
        <f>IFERROR(__xludf.DUMMYFUNCTION("""COMPUTED_VALUE"""),"")</f>
        <v/>
      </c>
      <c r="K2819" s="4" t="str">
        <f>IFERROR(__xludf.DUMMYFUNCTION("""COMPUTED_VALUE"""),"")</f>
        <v/>
      </c>
      <c r="L2819" s="4" t="str">
        <f>IFERROR(__xludf.DUMMYFUNCTION("""COMPUTED_VALUE"""),"")</f>
        <v/>
      </c>
      <c r="M2819" s="1" t="str">
        <f>IFERROR(__xludf.DUMMYFUNCTION("""COMPUTED_VALUE"""),"RFID")</f>
        <v>RFID</v>
      </c>
      <c r="N2819" s="5" t="str">
        <f>IFERROR(__xludf.DUMMYFUNCTION("""COMPUTED_VALUE"""),"")</f>
        <v/>
      </c>
      <c r="O2819" s="5" t="str">
        <f>IFERROR(__xludf.DUMMYFUNCTION("""COMPUTED_VALUE"""),"")</f>
        <v/>
      </c>
      <c r="P2819" s="5" t="str">
        <f>IFERROR(__xludf.DUMMYFUNCTION("""COMPUTED_VALUE"""),"")</f>
        <v/>
      </c>
      <c r="Q2819" s="5" t="str">
        <f>IFERROR(__xludf.DUMMYFUNCTION("""COMPUTED_VALUE"""),"")</f>
        <v/>
      </c>
      <c r="R2819" s="4" t="str">
        <f>IFERROR(__xludf.DUMMYFUNCTION("""COMPUTED_VALUE"""),"")</f>
        <v/>
      </c>
      <c r="S2819" s="1" t="b">
        <f>IFERROR(__xludf.DUMMYFUNCTION("""COMPUTED_VALUE"""),FALSE)</f>
        <v>0</v>
      </c>
      <c r="T2819" s="1" t="b">
        <f>IFERROR(__xludf.DUMMYFUNCTION("""COMPUTED_VALUE"""),FALSE)</f>
        <v>0</v>
      </c>
      <c r="U2819" s="1" t="str">
        <f>IFERROR(__xludf.DUMMYFUNCTION("""COMPUTED_VALUE"""),"")</f>
        <v/>
      </c>
      <c r="V2819" s="1" t="str">
        <f>IFERROR(__xludf.DUMMYFUNCTION("""COMPUTED_VALUE"""),"")</f>
        <v/>
      </c>
      <c r="W2819" s="1" t="str">
        <f>IFERROR(__xludf.DUMMYFUNCTION("""COMPUTED_VALUE"""),"")</f>
        <v/>
      </c>
      <c r="X2819" s="1" t="str">
        <f>IFERROR(__xludf.DUMMYFUNCTION("""COMPUTED_VALUE"""),"")</f>
        <v/>
      </c>
      <c r="Y2819" s="2"/>
      <c r="Z2819" s="2" t="str">
        <f>IFERROR(__xludf.DUMMYFUNCTION("""COMPUTED_VALUE"""),"")</f>
        <v/>
      </c>
    </row>
    <row r="2820">
      <c r="A2820" s="1" t="str">
        <f>IFERROR(__xludf.DUMMYFUNCTION("""COMPUTED_VALUE"""),"")</f>
        <v/>
      </c>
      <c r="B2820" s="1"/>
      <c r="C2820" s="2"/>
      <c r="D2820" s="2"/>
      <c r="E2820" s="1"/>
      <c r="F2820" s="1"/>
      <c r="G2820" s="4" t="str">
        <f>IFERROR(__xludf.DUMMYFUNCTION("""COMPUTED_VALUE"""),"")</f>
        <v/>
      </c>
      <c r="H2820" s="4" t="str">
        <f>IFERROR(__xludf.DUMMYFUNCTION("""COMPUTED_VALUE"""),"")</f>
        <v/>
      </c>
      <c r="I2820" s="4" t="str">
        <f>IFERROR(__xludf.DUMMYFUNCTION("""COMPUTED_VALUE"""),"")</f>
        <v/>
      </c>
      <c r="J2820" s="4" t="str">
        <f>IFERROR(__xludf.DUMMYFUNCTION("""COMPUTED_VALUE"""),"")</f>
        <v/>
      </c>
      <c r="K2820" s="4" t="str">
        <f>IFERROR(__xludf.DUMMYFUNCTION("""COMPUTED_VALUE"""),"")</f>
        <v/>
      </c>
      <c r="L2820" s="4" t="str">
        <f>IFERROR(__xludf.DUMMYFUNCTION("""COMPUTED_VALUE"""),"")</f>
        <v/>
      </c>
      <c r="M2820" s="1" t="str">
        <f>IFERROR(__xludf.DUMMYFUNCTION("""COMPUTED_VALUE"""),"RFID")</f>
        <v>RFID</v>
      </c>
      <c r="N2820" s="5" t="str">
        <f>IFERROR(__xludf.DUMMYFUNCTION("""COMPUTED_VALUE"""),"")</f>
        <v/>
      </c>
      <c r="O2820" s="5" t="str">
        <f>IFERROR(__xludf.DUMMYFUNCTION("""COMPUTED_VALUE"""),"")</f>
        <v/>
      </c>
      <c r="P2820" s="5" t="str">
        <f>IFERROR(__xludf.DUMMYFUNCTION("""COMPUTED_VALUE"""),"")</f>
        <v/>
      </c>
      <c r="Q2820" s="5" t="str">
        <f>IFERROR(__xludf.DUMMYFUNCTION("""COMPUTED_VALUE"""),"")</f>
        <v/>
      </c>
      <c r="R2820" s="4" t="str">
        <f>IFERROR(__xludf.DUMMYFUNCTION("""COMPUTED_VALUE"""),"")</f>
        <v/>
      </c>
      <c r="S2820" s="1" t="b">
        <f>IFERROR(__xludf.DUMMYFUNCTION("""COMPUTED_VALUE"""),FALSE)</f>
        <v>0</v>
      </c>
      <c r="T2820" s="1" t="b">
        <f>IFERROR(__xludf.DUMMYFUNCTION("""COMPUTED_VALUE"""),FALSE)</f>
        <v>0</v>
      </c>
      <c r="U2820" s="1" t="str">
        <f>IFERROR(__xludf.DUMMYFUNCTION("""COMPUTED_VALUE"""),"")</f>
        <v/>
      </c>
      <c r="V2820" s="1" t="str">
        <f>IFERROR(__xludf.DUMMYFUNCTION("""COMPUTED_VALUE"""),"")</f>
        <v/>
      </c>
      <c r="W2820" s="1" t="str">
        <f>IFERROR(__xludf.DUMMYFUNCTION("""COMPUTED_VALUE"""),"")</f>
        <v/>
      </c>
      <c r="X2820" s="1" t="str">
        <f>IFERROR(__xludf.DUMMYFUNCTION("""COMPUTED_VALUE"""),"")</f>
        <v/>
      </c>
      <c r="Y2820" s="2"/>
      <c r="Z2820" s="2" t="str">
        <f>IFERROR(__xludf.DUMMYFUNCTION("""COMPUTED_VALUE"""),"")</f>
        <v/>
      </c>
    </row>
    <row r="2821">
      <c r="A2821" s="1" t="str">
        <f>IFERROR(__xludf.DUMMYFUNCTION("""COMPUTED_VALUE"""),"")</f>
        <v/>
      </c>
      <c r="B2821" s="1"/>
      <c r="C2821" s="2"/>
      <c r="D2821" s="2"/>
      <c r="E2821" s="1"/>
      <c r="F2821" s="1"/>
      <c r="G2821" s="4" t="str">
        <f>IFERROR(__xludf.DUMMYFUNCTION("""COMPUTED_VALUE"""),"")</f>
        <v/>
      </c>
      <c r="H2821" s="4" t="str">
        <f>IFERROR(__xludf.DUMMYFUNCTION("""COMPUTED_VALUE"""),"")</f>
        <v/>
      </c>
      <c r="I2821" s="4" t="str">
        <f>IFERROR(__xludf.DUMMYFUNCTION("""COMPUTED_VALUE"""),"")</f>
        <v/>
      </c>
      <c r="J2821" s="4" t="str">
        <f>IFERROR(__xludf.DUMMYFUNCTION("""COMPUTED_VALUE"""),"")</f>
        <v/>
      </c>
      <c r="K2821" s="4" t="str">
        <f>IFERROR(__xludf.DUMMYFUNCTION("""COMPUTED_VALUE"""),"")</f>
        <v/>
      </c>
      <c r="L2821" s="4" t="str">
        <f>IFERROR(__xludf.DUMMYFUNCTION("""COMPUTED_VALUE"""),"")</f>
        <v/>
      </c>
      <c r="M2821" s="1" t="str">
        <f>IFERROR(__xludf.DUMMYFUNCTION("""COMPUTED_VALUE"""),"RFID")</f>
        <v>RFID</v>
      </c>
      <c r="N2821" s="5" t="str">
        <f>IFERROR(__xludf.DUMMYFUNCTION("""COMPUTED_VALUE"""),"")</f>
        <v/>
      </c>
      <c r="O2821" s="5" t="str">
        <f>IFERROR(__xludf.DUMMYFUNCTION("""COMPUTED_VALUE"""),"")</f>
        <v/>
      </c>
      <c r="P2821" s="5" t="str">
        <f>IFERROR(__xludf.DUMMYFUNCTION("""COMPUTED_VALUE"""),"")</f>
        <v/>
      </c>
      <c r="Q2821" s="5" t="str">
        <f>IFERROR(__xludf.DUMMYFUNCTION("""COMPUTED_VALUE"""),"")</f>
        <v/>
      </c>
      <c r="R2821" s="4" t="str">
        <f>IFERROR(__xludf.DUMMYFUNCTION("""COMPUTED_VALUE"""),"")</f>
        <v/>
      </c>
      <c r="S2821" s="1" t="b">
        <f>IFERROR(__xludf.DUMMYFUNCTION("""COMPUTED_VALUE"""),FALSE)</f>
        <v>0</v>
      </c>
      <c r="T2821" s="1" t="b">
        <f>IFERROR(__xludf.DUMMYFUNCTION("""COMPUTED_VALUE"""),FALSE)</f>
        <v>0</v>
      </c>
      <c r="U2821" s="1" t="str">
        <f>IFERROR(__xludf.DUMMYFUNCTION("""COMPUTED_VALUE"""),"")</f>
        <v/>
      </c>
      <c r="V2821" s="1" t="str">
        <f>IFERROR(__xludf.DUMMYFUNCTION("""COMPUTED_VALUE"""),"")</f>
        <v/>
      </c>
      <c r="W2821" s="1" t="str">
        <f>IFERROR(__xludf.DUMMYFUNCTION("""COMPUTED_VALUE"""),"")</f>
        <v/>
      </c>
      <c r="X2821" s="1" t="str">
        <f>IFERROR(__xludf.DUMMYFUNCTION("""COMPUTED_VALUE"""),"")</f>
        <v/>
      </c>
      <c r="Y2821" s="2"/>
      <c r="Z2821" s="2" t="str">
        <f>IFERROR(__xludf.DUMMYFUNCTION("""COMPUTED_VALUE"""),"")</f>
        <v/>
      </c>
    </row>
    <row r="2822">
      <c r="A2822" s="1" t="str">
        <f>IFERROR(__xludf.DUMMYFUNCTION("""COMPUTED_VALUE"""),"")</f>
        <v/>
      </c>
      <c r="B2822" s="1"/>
      <c r="C2822" s="2"/>
      <c r="D2822" s="2"/>
      <c r="E2822" s="1"/>
      <c r="F2822" s="1"/>
      <c r="G2822" s="4" t="str">
        <f>IFERROR(__xludf.DUMMYFUNCTION("""COMPUTED_VALUE"""),"")</f>
        <v/>
      </c>
      <c r="H2822" s="4" t="str">
        <f>IFERROR(__xludf.DUMMYFUNCTION("""COMPUTED_VALUE"""),"")</f>
        <v/>
      </c>
      <c r="I2822" s="4" t="str">
        <f>IFERROR(__xludf.DUMMYFUNCTION("""COMPUTED_VALUE"""),"")</f>
        <v/>
      </c>
      <c r="J2822" s="4" t="str">
        <f>IFERROR(__xludf.DUMMYFUNCTION("""COMPUTED_VALUE"""),"")</f>
        <v/>
      </c>
      <c r="K2822" s="4" t="str">
        <f>IFERROR(__xludf.DUMMYFUNCTION("""COMPUTED_VALUE"""),"")</f>
        <v/>
      </c>
      <c r="L2822" s="4" t="str">
        <f>IFERROR(__xludf.DUMMYFUNCTION("""COMPUTED_VALUE"""),"")</f>
        <v/>
      </c>
      <c r="M2822" s="1" t="str">
        <f>IFERROR(__xludf.DUMMYFUNCTION("""COMPUTED_VALUE"""),"RFID")</f>
        <v>RFID</v>
      </c>
      <c r="N2822" s="5" t="str">
        <f>IFERROR(__xludf.DUMMYFUNCTION("""COMPUTED_VALUE"""),"")</f>
        <v/>
      </c>
      <c r="O2822" s="5" t="str">
        <f>IFERROR(__xludf.DUMMYFUNCTION("""COMPUTED_VALUE"""),"")</f>
        <v/>
      </c>
      <c r="P2822" s="5" t="str">
        <f>IFERROR(__xludf.DUMMYFUNCTION("""COMPUTED_VALUE"""),"")</f>
        <v/>
      </c>
      <c r="Q2822" s="5" t="str">
        <f>IFERROR(__xludf.DUMMYFUNCTION("""COMPUTED_VALUE"""),"")</f>
        <v/>
      </c>
      <c r="R2822" s="4" t="str">
        <f>IFERROR(__xludf.DUMMYFUNCTION("""COMPUTED_VALUE"""),"")</f>
        <v/>
      </c>
      <c r="S2822" s="1" t="b">
        <f>IFERROR(__xludf.DUMMYFUNCTION("""COMPUTED_VALUE"""),FALSE)</f>
        <v>0</v>
      </c>
      <c r="T2822" s="1" t="b">
        <f>IFERROR(__xludf.DUMMYFUNCTION("""COMPUTED_VALUE"""),FALSE)</f>
        <v>0</v>
      </c>
      <c r="U2822" s="1" t="str">
        <f>IFERROR(__xludf.DUMMYFUNCTION("""COMPUTED_VALUE"""),"")</f>
        <v/>
      </c>
      <c r="V2822" s="1" t="str">
        <f>IFERROR(__xludf.DUMMYFUNCTION("""COMPUTED_VALUE"""),"")</f>
        <v/>
      </c>
      <c r="W2822" s="1" t="str">
        <f>IFERROR(__xludf.DUMMYFUNCTION("""COMPUTED_VALUE"""),"")</f>
        <v/>
      </c>
      <c r="X2822" s="1" t="str">
        <f>IFERROR(__xludf.DUMMYFUNCTION("""COMPUTED_VALUE"""),"")</f>
        <v/>
      </c>
      <c r="Y2822" s="2"/>
      <c r="Z2822" s="2" t="str">
        <f>IFERROR(__xludf.DUMMYFUNCTION("""COMPUTED_VALUE"""),"")</f>
        <v/>
      </c>
    </row>
    <row r="2823">
      <c r="A2823" s="1" t="str">
        <f>IFERROR(__xludf.DUMMYFUNCTION("""COMPUTED_VALUE"""),"")</f>
        <v/>
      </c>
      <c r="B2823" s="1"/>
      <c r="C2823" s="2"/>
      <c r="D2823" s="2"/>
      <c r="E2823" s="1"/>
      <c r="F2823" s="1"/>
      <c r="G2823" s="4" t="str">
        <f>IFERROR(__xludf.DUMMYFUNCTION("""COMPUTED_VALUE"""),"")</f>
        <v/>
      </c>
      <c r="H2823" s="4" t="str">
        <f>IFERROR(__xludf.DUMMYFUNCTION("""COMPUTED_VALUE"""),"")</f>
        <v/>
      </c>
      <c r="I2823" s="4" t="str">
        <f>IFERROR(__xludf.DUMMYFUNCTION("""COMPUTED_VALUE"""),"")</f>
        <v/>
      </c>
      <c r="J2823" s="4" t="str">
        <f>IFERROR(__xludf.DUMMYFUNCTION("""COMPUTED_VALUE"""),"")</f>
        <v/>
      </c>
      <c r="K2823" s="4" t="str">
        <f>IFERROR(__xludf.DUMMYFUNCTION("""COMPUTED_VALUE"""),"")</f>
        <v/>
      </c>
      <c r="L2823" s="4" t="str">
        <f>IFERROR(__xludf.DUMMYFUNCTION("""COMPUTED_VALUE"""),"")</f>
        <v/>
      </c>
      <c r="M2823" s="1" t="str">
        <f>IFERROR(__xludf.DUMMYFUNCTION("""COMPUTED_VALUE"""),"RFID")</f>
        <v>RFID</v>
      </c>
      <c r="N2823" s="5" t="str">
        <f>IFERROR(__xludf.DUMMYFUNCTION("""COMPUTED_VALUE"""),"")</f>
        <v/>
      </c>
      <c r="O2823" s="5" t="str">
        <f>IFERROR(__xludf.DUMMYFUNCTION("""COMPUTED_VALUE"""),"")</f>
        <v/>
      </c>
      <c r="P2823" s="5" t="str">
        <f>IFERROR(__xludf.DUMMYFUNCTION("""COMPUTED_VALUE"""),"")</f>
        <v/>
      </c>
      <c r="Q2823" s="5" t="str">
        <f>IFERROR(__xludf.DUMMYFUNCTION("""COMPUTED_VALUE"""),"")</f>
        <v/>
      </c>
      <c r="R2823" s="4" t="str">
        <f>IFERROR(__xludf.DUMMYFUNCTION("""COMPUTED_VALUE"""),"")</f>
        <v/>
      </c>
      <c r="S2823" s="1" t="b">
        <f>IFERROR(__xludf.DUMMYFUNCTION("""COMPUTED_VALUE"""),FALSE)</f>
        <v>0</v>
      </c>
      <c r="T2823" s="1" t="b">
        <f>IFERROR(__xludf.DUMMYFUNCTION("""COMPUTED_VALUE"""),FALSE)</f>
        <v>0</v>
      </c>
      <c r="U2823" s="1" t="str">
        <f>IFERROR(__xludf.DUMMYFUNCTION("""COMPUTED_VALUE"""),"")</f>
        <v/>
      </c>
      <c r="V2823" s="1" t="str">
        <f>IFERROR(__xludf.DUMMYFUNCTION("""COMPUTED_VALUE"""),"")</f>
        <v/>
      </c>
      <c r="W2823" s="1" t="str">
        <f>IFERROR(__xludf.DUMMYFUNCTION("""COMPUTED_VALUE"""),"")</f>
        <v/>
      </c>
      <c r="X2823" s="1" t="str">
        <f>IFERROR(__xludf.DUMMYFUNCTION("""COMPUTED_VALUE"""),"")</f>
        <v/>
      </c>
      <c r="Y2823" s="2"/>
      <c r="Z2823" s="2" t="str">
        <f>IFERROR(__xludf.DUMMYFUNCTION("""COMPUTED_VALUE"""),"")</f>
        <v/>
      </c>
    </row>
    <row r="2824">
      <c r="A2824" s="1" t="str">
        <f>IFERROR(__xludf.DUMMYFUNCTION("""COMPUTED_VALUE"""),"")</f>
        <v/>
      </c>
      <c r="B2824" s="1"/>
      <c r="C2824" s="2"/>
      <c r="D2824" s="2"/>
      <c r="E2824" s="1"/>
      <c r="F2824" s="1"/>
      <c r="G2824" s="4" t="str">
        <f>IFERROR(__xludf.DUMMYFUNCTION("""COMPUTED_VALUE"""),"")</f>
        <v/>
      </c>
      <c r="H2824" s="4" t="str">
        <f>IFERROR(__xludf.DUMMYFUNCTION("""COMPUTED_VALUE"""),"")</f>
        <v/>
      </c>
      <c r="I2824" s="4" t="str">
        <f>IFERROR(__xludf.DUMMYFUNCTION("""COMPUTED_VALUE"""),"")</f>
        <v/>
      </c>
      <c r="J2824" s="4" t="str">
        <f>IFERROR(__xludf.DUMMYFUNCTION("""COMPUTED_VALUE"""),"")</f>
        <v/>
      </c>
      <c r="K2824" s="4" t="str">
        <f>IFERROR(__xludf.DUMMYFUNCTION("""COMPUTED_VALUE"""),"")</f>
        <v/>
      </c>
      <c r="L2824" s="4" t="str">
        <f>IFERROR(__xludf.DUMMYFUNCTION("""COMPUTED_VALUE"""),"")</f>
        <v/>
      </c>
      <c r="M2824" s="1" t="str">
        <f>IFERROR(__xludf.DUMMYFUNCTION("""COMPUTED_VALUE"""),"RFID")</f>
        <v>RFID</v>
      </c>
      <c r="N2824" s="5" t="str">
        <f>IFERROR(__xludf.DUMMYFUNCTION("""COMPUTED_VALUE"""),"")</f>
        <v/>
      </c>
      <c r="O2824" s="5" t="str">
        <f>IFERROR(__xludf.DUMMYFUNCTION("""COMPUTED_VALUE"""),"")</f>
        <v/>
      </c>
      <c r="P2824" s="5" t="str">
        <f>IFERROR(__xludf.DUMMYFUNCTION("""COMPUTED_VALUE"""),"")</f>
        <v/>
      </c>
      <c r="Q2824" s="5" t="str">
        <f>IFERROR(__xludf.DUMMYFUNCTION("""COMPUTED_VALUE"""),"")</f>
        <v/>
      </c>
      <c r="R2824" s="4" t="str">
        <f>IFERROR(__xludf.DUMMYFUNCTION("""COMPUTED_VALUE"""),"")</f>
        <v/>
      </c>
      <c r="S2824" s="1" t="b">
        <f>IFERROR(__xludf.DUMMYFUNCTION("""COMPUTED_VALUE"""),FALSE)</f>
        <v>0</v>
      </c>
      <c r="T2824" s="1" t="b">
        <f>IFERROR(__xludf.DUMMYFUNCTION("""COMPUTED_VALUE"""),FALSE)</f>
        <v>0</v>
      </c>
      <c r="U2824" s="1" t="str">
        <f>IFERROR(__xludf.DUMMYFUNCTION("""COMPUTED_VALUE"""),"")</f>
        <v/>
      </c>
      <c r="V2824" s="1" t="str">
        <f>IFERROR(__xludf.DUMMYFUNCTION("""COMPUTED_VALUE"""),"")</f>
        <v/>
      </c>
      <c r="W2824" s="1" t="str">
        <f>IFERROR(__xludf.DUMMYFUNCTION("""COMPUTED_VALUE"""),"")</f>
        <v/>
      </c>
      <c r="X2824" s="1" t="str">
        <f>IFERROR(__xludf.DUMMYFUNCTION("""COMPUTED_VALUE"""),"")</f>
        <v/>
      </c>
      <c r="Y2824" s="2"/>
      <c r="Z2824" s="2" t="str">
        <f>IFERROR(__xludf.DUMMYFUNCTION("""COMPUTED_VALUE"""),"")</f>
        <v/>
      </c>
    </row>
    <row r="2825">
      <c r="A2825" s="1" t="str">
        <f>IFERROR(__xludf.DUMMYFUNCTION("""COMPUTED_VALUE"""),"")</f>
        <v/>
      </c>
      <c r="B2825" s="1"/>
      <c r="C2825" s="2"/>
      <c r="D2825" s="2"/>
      <c r="E2825" s="1"/>
      <c r="F2825" s="1"/>
      <c r="G2825" s="4" t="str">
        <f>IFERROR(__xludf.DUMMYFUNCTION("""COMPUTED_VALUE"""),"")</f>
        <v/>
      </c>
      <c r="H2825" s="4" t="str">
        <f>IFERROR(__xludf.DUMMYFUNCTION("""COMPUTED_VALUE"""),"")</f>
        <v/>
      </c>
      <c r="I2825" s="4" t="str">
        <f>IFERROR(__xludf.DUMMYFUNCTION("""COMPUTED_VALUE"""),"")</f>
        <v/>
      </c>
      <c r="J2825" s="4" t="str">
        <f>IFERROR(__xludf.DUMMYFUNCTION("""COMPUTED_VALUE"""),"")</f>
        <v/>
      </c>
      <c r="K2825" s="4" t="str">
        <f>IFERROR(__xludf.DUMMYFUNCTION("""COMPUTED_VALUE"""),"")</f>
        <v/>
      </c>
      <c r="L2825" s="4" t="str">
        <f>IFERROR(__xludf.DUMMYFUNCTION("""COMPUTED_VALUE"""),"")</f>
        <v/>
      </c>
      <c r="M2825" s="1" t="str">
        <f>IFERROR(__xludf.DUMMYFUNCTION("""COMPUTED_VALUE"""),"RFID")</f>
        <v>RFID</v>
      </c>
      <c r="N2825" s="5" t="str">
        <f>IFERROR(__xludf.DUMMYFUNCTION("""COMPUTED_VALUE"""),"")</f>
        <v/>
      </c>
      <c r="O2825" s="5" t="str">
        <f>IFERROR(__xludf.DUMMYFUNCTION("""COMPUTED_VALUE"""),"")</f>
        <v/>
      </c>
      <c r="P2825" s="5" t="str">
        <f>IFERROR(__xludf.DUMMYFUNCTION("""COMPUTED_VALUE"""),"")</f>
        <v/>
      </c>
      <c r="Q2825" s="5" t="str">
        <f>IFERROR(__xludf.DUMMYFUNCTION("""COMPUTED_VALUE"""),"")</f>
        <v/>
      </c>
      <c r="R2825" s="4" t="str">
        <f>IFERROR(__xludf.DUMMYFUNCTION("""COMPUTED_VALUE"""),"")</f>
        <v/>
      </c>
      <c r="S2825" s="1" t="b">
        <f>IFERROR(__xludf.DUMMYFUNCTION("""COMPUTED_VALUE"""),FALSE)</f>
        <v>0</v>
      </c>
      <c r="T2825" s="1" t="b">
        <f>IFERROR(__xludf.DUMMYFUNCTION("""COMPUTED_VALUE"""),FALSE)</f>
        <v>0</v>
      </c>
      <c r="U2825" s="1" t="str">
        <f>IFERROR(__xludf.DUMMYFUNCTION("""COMPUTED_VALUE"""),"")</f>
        <v/>
      </c>
      <c r="V2825" s="1" t="str">
        <f>IFERROR(__xludf.DUMMYFUNCTION("""COMPUTED_VALUE"""),"")</f>
        <v/>
      </c>
      <c r="W2825" s="1" t="str">
        <f>IFERROR(__xludf.DUMMYFUNCTION("""COMPUTED_VALUE"""),"")</f>
        <v/>
      </c>
      <c r="X2825" s="1" t="str">
        <f>IFERROR(__xludf.DUMMYFUNCTION("""COMPUTED_VALUE"""),"")</f>
        <v/>
      </c>
      <c r="Y2825" s="2"/>
      <c r="Z2825" s="2" t="str">
        <f>IFERROR(__xludf.DUMMYFUNCTION("""COMPUTED_VALUE"""),"")</f>
        <v/>
      </c>
    </row>
    <row r="2826">
      <c r="A2826" s="1" t="str">
        <f>IFERROR(__xludf.DUMMYFUNCTION("""COMPUTED_VALUE"""),"")</f>
        <v/>
      </c>
      <c r="B2826" s="1"/>
      <c r="C2826" s="2"/>
      <c r="D2826" s="2"/>
      <c r="E2826" s="1"/>
      <c r="F2826" s="1"/>
      <c r="G2826" s="4" t="str">
        <f>IFERROR(__xludf.DUMMYFUNCTION("""COMPUTED_VALUE"""),"")</f>
        <v/>
      </c>
      <c r="H2826" s="4" t="str">
        <f>IFERROR(__xludf.DUMMYFUNCTION("""COMPUTED_VALUE"""),"")</f>
        <v/>
      </c>
      <c r="I2826" s="4" t="str">
        <f>IFERROR(__xludf.DUMMYFUNCTION("""COMPUTED_VALUE"""),"")</f>
        <v/>
      </c>
      <c r="J2826" s="4" t="str">
        <f>IFERROR(__xludf.DUMMYFUNCTION("""COMPUTED_VALUE"""),"")</f>
        <v/>
      </c>
      <c r="K2826" s="4" t="str">
        <f>IFERROR(__xludf.DUMMYFUNCTION("""COMPUTED_VALUE"""),"")</f>
        <v/>
      </c>
      <c r="L2826" s="4" t="str">
        <f>IFERROR(__xludf.DUMMYFUNCTION("""COMPUTED_VALUE"""),"")</f>
        <v/>
      </c>
      <c r="M2826" s="1" t="str">
        <f>IFERROR(__xludf.DUMMYFUNCTION("""COMPUTED_VALUE"""),"RFID")</f>
        <v>RFID</v>
      </c>
      <c r="N2826" s="5" t="str">
        <f>IFERROR(__xludf.DUMMYFUNCTION("""COMPUTED_VALUE"""),"")</f>
        <v/>
      </c>
      <c r="O2826" s="5" t="str">
        <f>IFERROR(__xludf.DUMMYFUNCTION("""COMPUTED_VALUE"""),"")</f>
        <v/>
      </c>
      <c r="P2826" s="5" t="str">
        <f>IFERROR(__xludf.DUMMYFUNCTION("""COMPUTED_VALUE"""),"")</f>
        <v/>
      </c>
      <c r="Q2826" s="5" t="str">
        <f>IFERROR(__xludf.DUMMYFUNCTION("""COMPUTED_VALUE"""),"")</f>
        <v/>
      </c>
      <c r="R2826" s="4" t="str">
        <f>IFERROR(__xludf.DUMMYFUNCTION("""COMPUTED_VALUE"""),"")</f>
        <v/>
      </c>
      <c r="S2826" s="1" t="b">
        <f>IFERROR(__xludf.DUMMYFUNCTION("""COMPUTED_VALUE"""),FALSE)</f>
        <v>0</v>
      </c>
      <c r="T2826" s="1" t="b">
        <f>IFERROR(__xludf.DUMMYFUNCTION("""COMPUTED_VALUE"""),FALSE)</f>
        <v>0</v>
      </c>
      <c r="U2826" s="1" t="str">
        <f>IFERROR(__xludf.DUMMYFUNCTION("""COMPUTED_VALUE"""),"")</f>
        <v/>
      </c>
      <c r="V2826" s="1" t="str">
        <f>IFERROR(__xludf.DUMMYFUNCTION("""COMPUTED_VALUE"""),"")</f>
        <v/>
      </c>
      <c r="W2826" s="1" t="str">
        <f>IFERROR(__xludf.DUMMYFUNCTION("""COMPUTED_VALUE"""),"")</f>
        <v/>
      </c>
      <c r="X2826" s="1" t="str">
        <f>IFERROR(__xludf.DUMMYFUNCTION("""COMPUTED_VALUE"""),"")</f>
        <v/>
      </c>
      <c r="Y2826" s="2"/>
      <c r="Z2826" s="2" t="str">
        <f>IFERROR(__xludf.DUMMYFUNCTION("""COMPUTED_VALUE"""),"")</f>
        <v/>
      </c>
    </row>
    <row r="2827">
      <c r="A2827" s="1" t="str">
        <f>IFERROR(__xludf.DUMMYFUNCTION("""COMPUTED_VALUE"""),"")</f>
        <v/>
      </c>
      <c r="B2827" s="1"/>
      <c r="C2827" s="2"/>
      <c r="D2827" s="2"/>
      <c r="E2827" s="1"/>
      <c r="F2827" s="1"/>
      <c r="G2827" s="4" t="str">
        <f>IFERROR(__xludf.DUMMYFUNCTION("""COMPUTED_VALUE"""),"")</f>
        <v/>
      </c>
      <c r="H2827" s="4" t="str">
        <f>IFERROR(__xludf.DUMMYFUNCTION("""COMPUTED_VALUE"""),"")</f>
        <v/>
      </c>
      <c r="I2827" s="4" t="str">
        <f>IFERROR(__xludf.DUMMYFUNCTION("""COMPUTED_VALUE"""),"")</f>
        <v/>
      </c>
      <c r="J2827" s="4" t="str">
        <f>IFERROR(__xludf.DUMMYFUNCTION("""COMPUTED_VALUE"""),"")</f>
        <v/>
      </c>
      <c r="K2827" s="4" t="str">
        <f>IFERROR(__xludf.DUMMYFUNCTION("""COMPUTED_VALUE"""),"")</f>
        <v/>
      </c>
      <c r="L2827" s="4" t="str">
        <f>IFERROR(__xludf.DUMMYFUNCTION("""COMPUTED_VALUE"""),"")</f>
        <v/>
      </c>
      <c r="M2827" s="1" t="str">
        <f>IFERROR(__xludf.DUMMYFUNCTION("""COMPUTED_VALUE"""),"RFID")</f>
        <v>RFID</v>
      </c>
      <c r="N2827" s="5" t="str">
        <f>IFERROR(__xludf.DUMMYFUNCTION("""COMPUTED_VALUE"""),"")</f>
        <v/>
      </c>
      <c r="O2827" s="5" t="str">
        <f>IFERROR(__xludf.DUMMYFUNCTION("""COMPUTED_VALUE"""),"")</f>
        <v/>
      </c>
      <c r="P2827" s="5" t="str">
        <f>IFERROR(__xludf.DUMMYFUNCTION("""COMPUTED_VALUE"""),"")</f>
        <v/>
      </c>
      <c r="Q2827" s="5" t="str">
        <f>IFERROR(__xludf.DUMMYFUNCTION("""COMPUTED_VALUE"""),"")</f>
        <v/>
      </c>
      <c r="R2827" s="4" t="str">
        <f>IFERROR(__xludf.DUMMYFUNCTION("""COMPUTED_VALUE"""),"")</f>
        <v/>
      </c>
      <c r="S2827" s="1" t="b">
        <f>IFERROR(__xludf.DUMMYFUNCTION("""COMPUTED_VALUE"""),FALSE)</f>
        <v>0</v>
      </c>
      <c r="T2827" s="1" t="b">
        <f>IFERROR(__xludf.DUMMYFUNCTION("""COMPUTED_VALUE"""),FALSE)</f>
        <v>0</v>
      </c>
      <c r="U2827" s="1" t="str">
        <f>IFERROR(__xludf.DUMMYFUNCTION("""COMPUTED_VALUE"""),"")</f>
        <v/>
      </c>
      <c r="V2827" s="1" t="str">
        <f>IFERROR(__xludf.DUMMYFUNCTION("""COMPUTED_VALUE"""),"")</f>
        <v/>
      </c>
      <c r="W2827" s="1" t="str">
        <f>IFERROR(__xludf.DUMMYFUNCTION("""COMPUTED_VALUE"""),"")</f>
        <v/>
      </c>
      <c r="X2827" s="1" t="str">
        <f>IFERROR(__xludf.DUMMYFUNCTION("""COMPUTED_VALUE"""),"")</f>
        <v/>
      </c>
      <c r="Y2827" s="2"/>
      <c r="Z2827" s="2" t="str">
        <f>IFERROR(__xludf.DUMMYFUNCTION("""COMPUTED_VALUE"""),"")</f>
        <v/>
      </c>
    </row>
    <row r="2828">
      <c r="A2828" s="1" t="str">
        <f>IFERROR(__xludf.DUMMYFUNCTION("""COMPUTED_VALUE"""),"")</f>
        <v/>
      </c>
      <c r="B2828" s="1"/>
      <c r="C2828" s="2"/>
      <c r="D2828" s="2"/>
      <c r="E2828" s="1"/>
      <c r="F2828" s="1"/>
      <c r="G2828" s="4" t="str">
        <f>IFERROR(__xludf.DUMMYFUNCTION("""COMPUTED_VALUE"""),"")</f>
        <v/>
      </c>
      <c r="H2828" s="4" t="str">
        <f>IFERROR(__xludf.DUMMYFUNCTION("""COMPUTED_VALUE"""),"")</f>
        <v/>
      </c>
      <c r="I2828" s="4" t="str">
        <f>IFERROR(__xludf.DUMMYFUNCTION("""COMPUTED_VALUE"""),"")</f>
        <v/>
      </c>
      <c r="J2828" s="4" t="str">
        <f>IFERROR(__xludf.DUMMYFUNCTION("""COMPUTED_VALUE"""),"")</f>
        <v/>
      </c>
      <c r="K2828" s="4" t="str">
        <f>IFERROR(__xludf.DUMMYFUNCTION("""COMPUTED_VALUE"""),"")</f>
        <v/>
      </c>
      <c r="L2828" s="4" t="str">
        <f>IFERROR(__xludf.DUMMYFUNCTION("""COMPUTED_VALUE"""),"")</f>
        <v/>
      </c>
      <c r="M2828" s="1" t="str">
        <f>IFERROR(__xludf.DUMMYFUNCTION("""COMPUTED_VALUE"""),"RFID")</f>
        <v>RFID</v>
      </c>
      <c r="N2828" s="5" t="str">
        <f>IFERROR(__xludf.DUMMYFUNCTION("""COMPUTED_VALUE"""),"")</f>
        <v/>
      </c>
      <c r="O2828" s="5" t="str">
        <f>IFERROR(__xludf.DUMMYFUNCTION("""COMPUTED_VALUE"""),"")</f>
        <v/>
      </c>
      <c r="P2828" s="5" t="str">
        <f>IFERROR(__xludf.DUMMYFUNCTION("""COMPUTED_VALUE"""),"")</f>
        <v/>
      </c>
      <c r="Q2828" s="5" t="str">
        <f>IFERROR(__xludf.DUMMYFUNCTION("""COMPUTED_VALUE"""),"")</f>
        <v/>
      </c>
      <c r="R2828" s="4" t="str">
        <f>IFERROR(__xludf.DUMMYFUNCTION("""COMPUTED_VALUE"""),"")</f>
        <v/>
      </c>
      <c r="S2828" s="1" t="b">
        <f>IFERROR(__xludf.DUMMYFUNCTION("""COMPUTED_VALUE"""),FALSE)</f>
        <v>0</v>
      </c>
      <c r="T2828" s="1" t="b">
        <f>IFERROR(__xludf.DUMMYFUNCTION("""COMPUTED_VALUE"""),FALSE)</f>
        <v>0</v>
      </c>
      <c r="U2828" s="1" t="str">
        <f>IFERROR(__xludf.DUMMYFUNCTION("""COMPUTED_VALUE"""),"")</f>
        <v/>
      </c>
      <c r="V2828" s="1" t="str">
        <f>IFERROR(__xludf.DUMMYFUNCTION("""COMPUTED_VALUE"""),"")</f>
        <v/>
      </c>
      <c r="W2828" s="1" t="str">
        <f>IFERROR(__xludf.DUMMYFUNCTION("""COMPUTED_VALUE"""),"")</f>
        <v/>
      </c>
      <c r="X2828" s="1" t="str">
        <f>IFERROR(__xludf.DUMMYFUNCTION("""COMPUTED_VALUE"""),"")</f>
        <v/>
      </c>
      <c r="Y2828" s="2"/>
      <c r="Z2828" s="2" t="str">
        <f>IFERROR(__xludf.DUMMYFUNCTION("""COMPUTED_VALUE"""),"")</f>
        <v/>
      </c>
    </row>
    <row r="2829">
      <c r="A2829" s="1" t="str">
        <f>IFERROR(__xludf.DUMMYFUNCTION("""COMPUTED_VALUE"""),"")</f>
        <v/>
      </c>
      <c r="B2829" s="1"/>
      <c r="C2829" s="2"/>
      <c r="D2829" s="2"/>
      <c r="E2829" s="1"/>
      <c r="F2829" s="1"/>
      <c r="G2829" s="4" t="str">
        <f>IFERROR(__xludf.DUMMYFUNCTION("""COMPUTED_VALUE"""),"")</f>
        <v/>
      </c>
      <c r="H2829" s="4" t="str">
        <f>IFERROR(__xludf.DUMMYFUNCTION("""COMPUTED_VALUE"""),"")</f>
        <v/>
      </c>
      <c r="I2829" s="4" t="str">
        <f>IFERROR(__xludf.DUMMYFUNCTION("""COMPUTED_VALUE"""),"")</f>
        <v/>
      </c>
      <c r="J2829" s="4" t="str">
        <f>IFERROR(__xludf.DUMMYFUNCTION("""COMPUTED_VALUE"""),"")</f>
        <v/>
      </c>
      <c r="K2829" s="4" t="str">
        <f>IFERROR(__xludf.DUMMYFUNCTION("""COMPUTED_VALUE"""),"")</f>
        <v/>
      </c>
      <c r="L2829" s="4" t="str">
        <f>IFERROR(__xludf.DUMMYFUNCTION("""COMPUTED_VALUE"""),"")</f>
        <v/>
      </c>
      <c r="M2829" s="1" t="str">
        <f>IFERROR(__xludf.DUMMYFUNCTION("""COMPUTED_VALUE"""),"RFID")</f>
        <v>RFID</v>
      </c>
      <c r="N2829" s="5" t="str">
        <f>IFERROR(__xludf.DUMMYFUNCTION("""COMPUTED_VALUE"""),"")</f>
        <v/>
      </c>
      <c r="O2829" s="5" t="str">
        <f>IFERROR(__xludf.DUMMYFUNCTION("""COMPUTED_VALUE"""),"")</f>
        <v/>
      </c>
      <c r="P2829" s="5" t="str">
        <f>IFERROR(__xludf.DUMMYFUNCTION("""COMPUTED_VALUE"""),"")</f>
        <v/>
      </c>
      <c r="Q2829" s="5" t="str">
        <f>IFERROR(__xludf.DUMMYFUNCTION("""COMPUTED_VALUE"""),"")</f>
        <v/>
      </c>
      <c r="R2829" s="4" t="str">
        <f>IFERROR(__xludf.DUMMYFUNCTION("""COMPUTED_VALUE"""),"")</f>
        <v/>
      </c>
      <c r="S2829" s="1" t="b">
        <f>IFERROR(__xludf.DUMMYFUNCTION("""COMPUTED_VALUE"""),FALSE)</f>
        <v>0</v>
      </c>
      <c r="T2829" s="1" t="b">
        <f>IFERROR(__xludf.DUMMYFUNCTION("""COMPUTED_VALUE"""),FALSE)</f>
        <v>0</v>
      </c>
      <c r="U2829" s="1" t="str">
        <f>IFERROR(__xludf.DUMMYFUNCTION("""COMPUTED_VALUE"""),"")</f>
        <v/>
      </c>
      <c r="V2829" s="1" t="str">
        <f>IFERROR(__xludf.DUMMYFUNCTION("""COMPUTED_VALUE"""),"")</f>
        <v/>
      </c>
      <c r="W2829" s="1" t="str">
        <f>IFERROR(__xludf.DUMMYFUNCTION("""COMPUTED_VALUE"""),"")</f>
        <v/>
      </c>
      <c r="X2829" s="1" t="str">
        <f>IFERROR(__xludf.DUMMYFUNCTION("""COMPUTED_VALUE"""),"")</f>
        <v/>
      </c>
      <c r="Y2829" s="2"/>
      <c r="Z2829" s="2" t="str">
        <f>IFERROR(__xludf.DUMMYFUNCTION("""COMPUTED_VALUE"""),"")</f>
        <v/>
      </c>
    </row>
    <row r="2830">
      <c r="A2830" s="1" t="str">
        <f>IFERROR(__xludf.DUMMYFUNCTION("""COMPUTED_VALUE"""),"")</f>
        <v/>
      </c>
      <c r="B2830" s="1"/>
      <c r="C2830" s="2"/>
      <c r="D2830" s="2"/>
      <c r="E2830" s="1"/>
      <c r="F2830" s="1"/>
      <c r="G2830" s="4" t="str">
        <f>IFERROR(__xludf.DUMMYFUNCTION("""COMPUTED_VALUE"""),"")</f>
        <v/>
      </c>
      <c r="H2830" s="4" t="str">
        <f>IFERROR(__xludf.DUMMYFUNCTION("""COMPUTED_VALUE"""),"")</f>
        <v/>
      </c>
      <c r="I2830" s="4" t="str">
        <f>IFERROR(__xludf.DUMMYFUNCTION("""COMPUTED_VALUE"""),"")</f>
        <v/>
      </c>
      <c r="J2830" s="4" t="str">
        <f>IFERROR(__xludf.DUMMYFUNCTION("""COMPUTED_VALUE"""),"")</f>
        <v/>
      </c>
      <c r="K2830" s="4" t="str">
        <f>IFERROR(__xludf.DUMMYFUNCTION("""COMPUTED_VALUE"""),"")</f>
        <v/>
      </c>
      <c r="L2830" s="4" t="str">
        <f>IFERROR(__xludf.DUMMYFUNCTION("""COMPUTED_VALUE"""),"")</f>
        <v/>
      </c>
      <c r="M2830" s="1" t="str">
        <f>IFERROR(__xludf.DUMMYFUNCTION("""COMPUTED_VALUE"""),"RFID")</f>
        <v>RFID</v>
      </c>
      <c r="N2830" s="5" t="str">
        <f>IFERROR(__xludf.DUMMYFUNCTION("""COMPUTED_VALUE"""),"")</f>
        <v/>
      </c>
      <c r="O2830" s="5" t="str">
        <f>IFERROR(__xludf.DUMMYFUNCTION("""COMPUTED_VALUE"""),"")</f>
        <v/>
      </c>
      <c r="P2830" s="5" t="str">
        <f>IFERROR(__xludf.DUMMYFUNCTION("""COMPUTED_VALUE"""),"")</f>
        <v/>
      </c>
      <c r="Q2830" s="5" t="str">
        <f>IFERROR(__xludf.DUMMYFUNCTION("""COMPUTED_VALUE"""),"")</f>
        <v/>
      </c>
      <c r="R2830" s="4" t="str">
        <f>IFERROR(__xludf.DUMMYFUNCTION("""COMPUTED_VALUE"""),"")</f>
        <v/>
      </c>
      <c r="S2830" s="1" t="b">
        <f>IFERROR(__xludf.DUMMYFUNCTION("""COMPUTED_VALUE"""),FALSE)</f>
        <v>0</v>
      </c>
      <c r="T2830" s="1" t="b">
        <f>IFERROR(__xludf.DUMMYFUNCTION("""COMPUTED_VALUE"""),FALSE)</f>
        <v>0</v>
      </c>
      <c r="U2830" s="1" t="str">
        <f>IFERROR(__xludf.DUMMYFUNCTION("""COMPUTED_VALUE"""),"")</f>
        <v/>
      </c>
      <c r="V2830" s="1" t="str">
        <f>IFERROR(__xludf.DUMMYFUNCTION("""COMPUTED_VALUE"""),"")</f>
        <v/>
      </c>
      <c r="W2830" s="1" t="str">
        <f>IFERROR(__xludf.DUMMYFUNCTION("""COMPUTED_VALUE"""),"")</f>
        <v/>
      </c>
      <c r="X2830" s="1" t="str">
        <f>IFERROR(__xludf.DUMMYFUNCTION("""COMPUTED_VALUE"""),"")</f>
        <v/>
      </c>
      <c r="Y2830" s="2"/>
      <c r="Z2830" s="2" t="str">
        <f>IFERROR(__xludf.DUMMYFUNCTION("""COMPUTED_VALUE"""),"")</f>
        <v/>
      </c>
    </row>
    <row r="2831">
      <c r="A2831" s="1" t="str">
        <f>IFERROR(__xludf.DUMMYFUNCTION("""COMPUTED_VALUE"""),"")</f>
        <v/>
      </c>
      <c r="B2831" s="1"/>
      <c r="C2831" s="2"/>
      <c r="D2831" s="2"/>
      <c r="E2831" s="1"/>
      <c r="F2831" s="1"/>
      <c r="G2831" s="4" t="str">
        <f>IFERROR(__xludf.DUMMYFUNCTION("""COMPUTED_VALUE"""),"")</f>
        <v/>
      </c>
      <c r="H2831" s="4" t="str">
        <f>IFERROR(__xludf.DUMMYFUNCTION("""COMPUTED_VALUE"""),"")</f>
        <v/>
      </c>
      <c r="I2831" s="4" t="str">
        <f>IFERROR(__xludf.DUMMYFUNCTION("""COMPUTED_VALUE"""),"")</f>
        <v/>
      </c>
      <c r="J2831" s="4" t="str">
        <f>IFERROR(__xludf.DUMMYFUNCTION("""COMPUTED_VALUE"""),"")</f>
        <v/>
      </c>
      <c r="K2831" s="4" t="str">
        <f>IFERROR(__xludf.DUMMYFUNCTION("""COMPUTED_VALUE"""),"")</f>
        <v/>
      </c>
      <c r="L2831" s="4" t="str">
        <f>IFERROR(__xludf.DUMMYFUNCTION("""COMPUTED_VALUE"""),"")</f>
        <v/>
      </c>
      <c r="M2831" s="1" t="str">
        <f>IFERROR(__xludf.DUMMYFUNCTION("""COMPUTED_VALUE"""),"RFID")</f>
        <v>RFID</v>
      </c>
      <c r="N2831" s="5" t="str">
        <f>IFERROR(__xludf.DUMMYFUNCTION("""COMPUTED_VALUE"""),"")</f>
        <v/>
      </c>
      <c r="O2831" s="5" t="str">
        <f>IFERROR(__xludf.DUMMYFUNCTION("""COMPUTED_VALUE"""),"")</f>
        <v/>
      </c>
      <c r="P2831" s="5" t="str">
        <f>IFERROR(__xludf.DUMMYFUNCTION("""COMPUTED_VALUE"""),"")</f>
        <v/>
      </c>
      <c r="Q2831" s="5" t="str">
        <f>IFERROR(__xludf.DUMMYFUNCTION("""COMPUTED_VALUE"""),"")</f>
        <v/>
      </c>
      <c r="R2831" s="4" t="str">
        <f>IFERROR(__xludf.DUMMYFUNCTION("""COMPUTED_VALUE"""),"")</f>
        <v/>
      </c>
      <c r="S2831" s="1" t="b">
        <f>IFERROR(__xludf.DUMMYFUNCTION("""COMPUTED_VALUE"""),FALSE)</f>
        <v>0</v>
      </c>
      <c r="T2831" s="1" t="b">
        <f>IFERROR(__xludf.DUMMYFUNCTION("""COMPUTED_VALUE"""),FALSE)</f>
        <v>0</v>
      </c>
      <c r="U2831" s="1" t="str">
        <f>IFERROR(__xludf.DUMMYFUNCTION("""COMPUTED_VALUE"""),"")</f>
        <v/>
      </c>
      <c r="V2831" s="1" t="str">
        <f>IFERROR(__xludf.DUMMYFUNCTION("""COMPUTED_VALUE"""),"")</f>
        <v/>
      </c>
      <c r="W2831" s="1" t="str">
        <f>IFERROR(__xludf.DUMMYFUNCTION("""COMPUTED_VALUE"""),"")</f>
        <v/>
      </c>
      <c r="X2831" s="1" t="str">
        <f>IFERROR(__xludf.DUMMYFUNCTION("""COMPUTED_VALUE"""),"")</f>
        <v/>
      </c>
      <c r="Y2831" s="2"/>
      <c r="Z2831" s="2" t="str">
        <f>IFERROR(__xludf.DUMMYFUNCTION("""COMPUTED_VALUE"""),"")</f>
        <v/>
      </c>
    </row>
    <row r="2832">
      <c r="A2832" s="1" t="str">
        <f>IFERROR(__xludf.DUMMYFUNCTION("""COMPUTED_VALUE"""),"")</f>
        <v/>
      </c>
      <c r="B2832" s="1"/>
      <c r="C2832" s="2"/>
      <c r="D2832" s="2"/>
      <c r="E2832" s="1"/>
      <c r="F2832" s="1"/>
      <c r="G2832" s="4" t="str">
        <f>IFERROR(__xludf.DUMMYFUNCTION("""COMPUTED_VALUE"""),"")</f>
        <v/>
      </c>
      <c r="H2832" s="4" t="str">
        <f>IFERROR(__xludf.DUMMYFUNCTION("""COMPUTED_VALUE"""),"")</f>
        <v/>
      </c>
      <c r="I2832" s="4" t="str">
        <f>IFERROR(__xludf.DUMMYFUNCTION("""COMPUTED_VALUE"""),"")</f>
        <v/>
      </c>
      <c r="J2832" s="4" t="str">
        <f>IFERROR(__xludf.DUMMYFUNCTION("""COMPUTED_VALUE"""),"")</f>
        <v/>
      </c>
      <c r="K2832" s="4" t="str">
        <f>IFERROR(__xludf.DUMMYFUNCTION("""COMPUTED_VALUE"""),"")</f>
        <v/>
      </c>
      <c r="L2832" s="4" t="str">
        <f>IFERROR(__xludf.DUMMYFUNCTION("""COMPUTED_VALUE"""),"")</f>
        <v/>
      </c>
      <c r="M2832" s="1" t="str">
        <f>IFERROR(__xludf.DUMMYFUNCTION("""COMPUTED_VALUE"""),"RFID")</f>
        <v>RFID</v>
      </c>
      <c r="N2832" s="5" t="str">
        <f>IFERROR(__xludf.DUMMYFUNCTION("""COMPUTED_VALUE"""),"")</f>
        <v/>
      </c>
      <c r="O2832" s="5" t="str">
        <f>IFERROR(__xludf.DUMMYFUNCTION("""COMPUTED_VALUE"""),"")</f>
        <v/>
      </c>
      <c r="P2832" s="5" t="str">
        <f>IFERROR(__xludf.DUMMYFUNCTION("""COMPUTED_VALUE"""),"")</f>
        <v/>
      </c>
      <c r="Q2832" s="5" t="str">
        <f>IFERROR(__xludf.DUMMYFUNCTION("""COMPUTED_VALUE"""),"")</f>
        <v/>
      </c>
      <c r="R2832" s="4" t="str">
        <f>IFERROR(__xludf.DUMMYFUNCTION("""COMPUTED_VALUE"""),"")</f>
        <v/>
      </c>
      <c r="S2832" s="1" t="b">
        <f>IFERROR(__xludf.DUMMYFUNCTION("""COMPUTED_VALUE"""),FALSE)</f>
        <v>0</v>
      </c>
      <c r="T2832" s="1" t="b">
        <f>IFERROR(__xludf.DUMMYFUNCTION("""COMPUTED_VALUE"""),FALSE)</f>
        <v>0</v>
      </c>
      <c r="U2832" s="1" t="str">
        <f>IFERROR(__xludf.DUMMYFUNCTION("""COMPUTED_VALUE"""),"")</f>
        <v/>
      </c>
      <c r="V2832" s="1" t="str">
        <f>IFERROR(__xludf.DUMMYFUNCTION("""COMPUTED_VALUE"""),"")</f>
        <v/>
      </c>
      <c r="W2832" s="1" t="str">
        <f>IFERROR(__xludf.DUMMYFUNCTION("""COMPUTED_VALUE"""),"")</f>
        <v/>
      </c>
      <c r="X2832" s="1" t="str">
        <f>IFERROR(__xludf.DUMMYFUNCTION("""COMPUTED_VALUE"""),"")</f>
        <v/>
      </c>
      <c r="Y2832" s="2"/>
      <c r="Z2832" s="2" t="str">
        <f>IFERROR(__xludf.DUMMYFUNCTION("""COMPUTED_VALUE"""),"")</f>
        <v/>
      </c>
    </row>
    <row r="2833">
      <c r="A2833" s="1" t="str">
        <f>IFERROR(__xludf.DUMMYFUNCTION("""COMPUTED_VALUE"""),"")</f>
        <v/>
      </c>
      <c r="B2833" s="1"/>
      <c r="C2833" s="2"/>
      <c r="D2833" s="2"/>
      <c r="E2833" s="1"/>
      <c r="F2833" s="1"/>
      <c r="G2833" s="4" t="str">
        <f>IFERROR(__xludf.DUMMYFUNCTION("""COMPUTED_VALUE"""),"")</f>
        <v/>
      </c>
      <c r="H2833" s="4" t="str">
        <f>IFERROR(__xludf.DUMMYFUNCTION("""COMPUTED_VALUE"""),"")</f>
        <v/>
      </c>
      <c r="I2833" s="4" t="str">
        <f>IFERROR(__xludf.DUMMYFUNCTION("""COMPUTED_VALUE"""),"")</f>
        <v/>
      </c>
      <c r="J2833" s="4" t="str">
        <f>IFERROR(__xludf.DUMMYFUNCTION("""COMPUTED_VALUE"""),"")</f>
        <v/>
      </c>
      <c r="K2833" s="4" t="str">
        <f>IFERROR(__xludf.DUMMYFUNCTION("""COMPUTED_VALUE"""),"")</f>
        <v/>
      </c>
      <c r="L2833" s="4" t="str">
        <f>IFERROR(__xludf.DUMMYFUNCTION("""COMPUTED_VALUE"""),"")</f>
        <v/>
      </c>
      <c r="M2833" s="1" t="str">
        <f>IFERROR(__xludf.DUMMYFUNCTION("""COMPUTED_VALUE"""),"RFID")</f>
        <v>RFID</v>
      </c>
      <c r="N2833" s="5" t="str">
        <f>IFERROR(__xludf.DUMMYFUNCTION("""COMPUTED_VALUE"""),"")</f>
        <v/>
      </c>
      <c r="O2833" s="5" t="str">
        <f>IFERROR(__xludf.DUMMYFUNCTION("""COMPUTED_VALUE"""),"")</f>
        <v/>
      </c>
      <c r="P2833" s="5" t="str">
        <f>IFERROR(__xludf.DUMMYFUNCTION("""COMPUTED_VALUE"""),"")</f>
        <v/>
      </c>
      <c r="Q2833" s="5" t="str">
        <f>IFERROR(__xludf.DUMMYFUNCTION("""COMPUTED_VALUE"""),"")</f>
        <v/>
      </c>
      <c r="R2833" s="4" t="str">
        <f>IFERROR(__xludf.DUMMYFUNCTION("""COMPUTED_VALUE"""),"")</f>
        <v/>
      </c>
      <c r="S2833" s="1" t="b">
        <f>IFERROR(__xludf.DUMMYFUNCTION("""COMPUTED_VALUE"""),FALSE)</f>
        <v>0</v>
      </c>
      <c r="T2833" s="1" t="b">
        <f>IFERROR(__xludf.DUMMYFUNCTION("""COMPUTED_VALUE"""),FALSE)</f>
        <v>0</v>
      </c>
      <c r="U2833" s="1" t="str">
        <f>IFERROR(__xludf.DUMMYFUNCTION("""COMPUTED_VALUE"""),"")</f>
        <v/>
      </c>
      <c r="V2833" s="1" t="str">
        <f>IFERROR(__xludf.DUMMYFUNCTION("""COMPUTED_VALUE"""),"")</f>
        <v/>
      </c>
      <c r="W2833" s="1" t="str">
        <f>IFERROR(__xludf.DUMMYFUNCTION("""COMPUTED_VALUE"""),"")</f>
        <v/>
      </c>
      <c r="X2833" s="1" t="str">
        <f>IFERROR(__xludf.DUMMYFUNCTION("""COMPUTED_VALUE"""),"")</f>
        <v/>
      </c>
      <c r="Y2833" s="2"/>
      <c r="Z2833" s="2" t="str">
        <f>IFERROR(__xludf.DUMMYFUNCTION("""COMPUTED_VALUE"""),"")</f>
        <v/>
      </c>
    </row>
    <row r="2834">
      <c r="A2834" s="1" t="str">
        <f>IFERROR(__xludf.DUMMYFUNCTION("""COMPUTED_VALUE"""),"")</f>
        <v/>
      </c>
      <c r="B2834" s="1"/>
      <c r="C2834" s="2"/>
      <c r="D2834" s="2"/>
      <c r="E2834" s="1"/>
      <c r="F2834" s="1"/>
      <c r="G2834" s="4" t="str">
        <f>IFERROR(__xludf.DUMMYFUNCTION("""COMPUTED_VALUE"""),"")</f>
        <v/>
      </c>
      <c r="H2834" s="4" t="str">
        <f>IFERROR(__xludf.DUMMYFUNCTION("""COMPUTED_VALUE"""),"")</f>
        <v/>
      </c>
      <c r="I2834" s="4" t="str">
        <f>IFERROR(__xludf.DUMMYFUNCTION("""COMPUTED_VALUE"""),"")</f>
        <v/>
      </c>
      <c r="J2834" s="4" t="str">
        <f>IFERROR(__xludf.DUMMYFUNCTION("""COMPUTED_VALUE"""),"")</f>
        <v/>
      </c>
      <c r="K2834" s="4" t="str">
        <f>IFERROR(__xludf.DUMMYFUNCTION("""COMPUTED_VALUE"""),"")</f>
        <v/>
      </c>
      <c r="L2834" s="4" t="str">
        <f>IFERROR(__xludf.DUMMYFUNCTION("""COMPUTED_VALUE"""),"")</f>
        <v/>
      </c>
      <c r="M2834" s="1" t="str">
        <f>IFERROR(__xludf.DUMMYFUNCTION("""COMPUTED_VALUE"""),"RFID")</f>
        <v>RFID</v>
      </c>
      <c r="N2834" s="5" t="str">
        <f>IFERROR(__xludf.DUMMYFUNCTION("""COMPUTED_VALUE"""),"")</f>
        <v/>
      </c>
      <c r="O2834" s="5" t="str">
        <f>IFERROR(__xludf.DUMMYFUNCTION("""COMPUTED_VALUE"""),"")</f>
        <v/>
      </c>
      <c r="P2834" s="5" t="str">
        <f>IFERROR(__xludf.DUMMYFUNCTION("""COMPUTED_VALUE"""),"")</f>
        <v/>
      </c>
      <c r="Q2834" s="5" t="str">
        <f>IFERROR(__xludf.DUMMYFUNCTION("""COMPUTED_VALUE"""),"")</f>
        <v/>
      </c>
      <c r="R2834" s="4" t="str">
        <f>IFERROR(__xludf.DUMMYFUNCTION("""COMPUTED_VALUE"""),"")</f>
        <v/>
      </c>
      <c r="S2834" s="1" t="b">
        <f>IFERROR(__xludf.DUMMYFUNCTION("""COMPUTED_VALUE"""),FALSE)</f>
        <v>0</v>
      </c>
      <c r="T2834" s="1" t="b">
        <f>IFERROR(__xludf.DUMMYFUNCTION("""COMPUTED_VALUE"""),FALSE)</f>
        <v>0</v>
      </c>
      <c r="U2834" s="1" t="str">
        <f>IFERROR(__xludf.DUMMYFUNCTION("""COMPUTED_VALUE"""),"")</f>
        <v/>
      </c>
      <c r="V2834" s="1" t="str">
        <f>IFERROR(__xludf.DUMMYFUNCTION("""COMPUTED_VALUE"""),"")</f>
        <v/>
      </c>
      <c r="W2834" s="1" t="str">
        <f>IFERROR(__xludf.DUMMYFUNCTION("""COMPUTED_VALUE"""),"")</f>
        <v/>
      </c>
      <c r="X2834" s="1" t="str">
        <f>IFERROR(__xludf.DUMMYFUNCTION("""COMPUTED_VALUE"""),"")</f>
        <v/>
      </c>
      <c r="Y2834" s="2"/>
      <c r="Z2834" s="2" t="str">
        <f>IFERROR(__xludf.DUMMYFUNCTION("""COMPUTED_VALUE"""),"")</f>
        <v/>
      </c>
    </row>
    <row r="2835">
      <c r="A2835" s="1" t="str">
        <f>IFERROR(__xludf.DUMMYFUNCTION("""COMPUTED_VALUE"""),"")</f>
        <v/>
      </c>
      <c r="B2835" s="1"/>
      <c r="C2835" s="2"/>
      <c r="D2835" s="2"/>
      <c r="E2835" s="1"/>
      <c r="F2835" s="1"/>
      <c r="G2835" s="4" t="str">
        <f>IFERROR(__xludf.DUMMYFUNCTION("""COMPUTED_VALUE"""),"")</f>
        <v/>
      </c>
      <c r="H2835" s="4" t="str">
        <f>IFERROR(__xludf.DUMMYFUNCTION("""COMPUTED_VALUE"""),"")</f>
        <v/>
      </c>
      <c r="I2835" s="4" t="str">
        <f>IFERROR(__xludf.DUMMYFUNCTION("""COMPUTED_VALUE"""),"")</f>
        <v/>
      </c>
      <c r="J2835" s="4" t="str">
        <f>IFERROR(__xludf.DUMMYFUNCTION("""COMPUTED_VALUE"""),"")</f>
        <v/>
      </c>
      <c r="K2835" s="4" t="str">
        <f>IFERROR(__xludf.DUMMYFUNCTION("""COMPUTED_VALUE"""),"")</f>
        <v/>
      </c>
      <c r="L2835" s="4" t="str">
        <f>IFERROR(__xludf.DUMMYFUNCTION("""COMPUTED_VALUE"""),"")</f>
        <v/>
      </c>
      <c r="M2835" s="1" t="str">
        <f>IFERROR(__xludf.DUMMYFUNCTION("""COMPUTED_VALUE"""),"RFID")</f>
        <v>RFID</v>
      </c>
      <c r="N2835" s="5" t="str">
        <f>IFERROR(__xludf.DUMMYFUNCTION("""COMPUTED_VALUE"""),"")</f>
        <v/>
      </c>
      <c r="O2835" s="5" t="str">
        <f>IFERROR(__xludf.DUMMYFUNCTION("""COMPUTED_VALUE"""),"")</f>
        <v/>
      </c>
      <c r="P2835" s="5" t="str">
        <f>IFERROR(__xludf.DUMMYFUNCTION("""COMPUTED_VALUE"""),"")</f>
        <v/>
      </c>
      <c r="Q2835" s="5" t="str">
        <f>IFERROR(__xludf.DUMMYFUNCTION("""COMPUTED_VALUE"""),"")</f>
        <v/>
      </c>
      <c r="R2835" s="4" t="str">
        <f>IFERROR(__xludf.DUMMYFUNCTION("""COMPUTED_VALUE"""),"")</f>
        <v/>
      </c>
      <c r="S2835" s="1" t="b">
        <f>IFERROR(__xludf.DUMMYFUNCTION("""COMPUTED_VALUE"""),FALSE)</f>
        <v>0</v>
      </c>
      <c r="T2835" s="1" t="b">
        <f>IFERROR(__xludf.DUMMYFUNCTION("""COMPUTED_VALUE"""),FALSE)</f>
        <v>0</v>
      </c>
      <c r="U2835" s="1" t="str">
        <f>IFERROR(__xludf.DUMMYFUNCTION("""COMPUTED_VALUE"""),"")</f>
        <v/>
      </c>
      <c r="V2835" s="1" t="str">
        <f>IFERROR(__xludf.DUMMYFUNCTION("""COMPUTED_VALUE"""),"")</f>
        <v/>
      </c>
      <c r="W2835" s="1" t="str">
        <f>IFERROR(__xludf.DUMMYFUNCTION("""COMPUTED_VALUE"""),"")</f>
        <v/>
      </c>
      <c r="X2835" s="1" t="str">
        <f>IFERROR(__xludf.DUMMYFUNCTION("""COMPUTED_VALUE"""),"")</f>
        <v/>
      </c>
      <c r="Y2835" s="2"/>
      <c r="Z2835" s="2" t="str">
        <f>IFERROR(__xludf.DUMMYFUNCTION("""COMPUTED_VALUE"""),"")</f>
        <v/>
      </c>
    </row>
    <row r="2836">
      <c r="A2836" s="1" t="str">
        <f>IFERROR(__xludf.DUMMYFUNCTION("""COMPUTED_VALUE"""),"")</f>
        <v/>
      </c>
      <c r="B2836" s="1"/>
      <c r="C2836" s="2"/>
      <c r="D2836" s="2"/>
      <c r="E2836" s="1"/>
      <c r="F2836" s="1"/>
      <c r="G2836" s="4" t="str">
        <f>IFERROR(__xludf.DUMMYFUNCTION("""COMPUTED_VALUE"""),"")</f>
        <v/>
      </c>
      <c r="H2836" s="4" t="str">
        <f>IFERROR(__xludf.DUMMYFUNCTION("""COMPUTED_VALUE"""),"")</f>
        <v/>
      </c>
      <c r="I2836" s="4" t="str">
        <f>IFERROR(__xludf.DUMMYFUNCTION("""COMPUTED_VALUE"""),"")</f>
        <v/>
      </c>
      <c r="J2836" s="4" t="str">
        <f>IFERROR(__xludf.DUMMYFUNCTION("""COMPUTED_VALUE"""),"")</f>
        <v/>
      </c>
      <c r="K2836" s="4" t="str">
        <f>IFERROR(__xludf.DUMMYFUNCTION("""COMPUTED_VALUE"""),"")</f>
        <v/>
      </c>
      <c r="L2836" s="4" t="str">
        <f>IFERROR(__xludf.DUMMYFUNCTION("""COMPUTED_VALUE"""),"")</f>
        <v/>
      </c>
      <c r="M2836" s="1" t="str">
        <f>IFERROR(__xludf.DUMMYFUNCTION("""COMPUTED_VALUE"""),"RFID")</f>
        <v>RFID</v>
      </c>
      <c r="N2836" s="5" t="str">
        <f>IFERROR(__xludf.DUMMYFUNCTION("""COMPUTED_VALUE"""),"")</f>
        <v/>
      </c>
      <c r="O2836" s="5" t="str">
        <f>IFERROR(__xludf.DUMMYFUNCTION("""COMPUTED_VALUE"""),"")</f>
        <v/>
      </c>
      <c r="P2836" s="5" t="str">
        <f>IFERROR(__xludf.DUMMYFUNCTION("""COMPUTED_VALUE"""),"")</f>
        <v/>
      </c>
      <c r="Q2836" s="5" t="str">
        <f>IFERROR(__xludf.DUMMYFUNCTION("""COMPUTED_VALUE"""),"")</f>
        <v/>
      </c>
      <c r="R2836" s="4" t="str">
        <f>IFERROR(__xludf.DUMMYFUNCTION("""COMPUTED_VALUE"""),"")</f>
        <v/>
      </c>
      <c r="S2836" s="1" t="b">
        <f>IFERROR(__xludf.DUMMYFUNCTION("""COMPUTED_VALUE"""),FALSE)</f>
        <v>0</v>
      </c>
      <c r="T2836" s="1" t="b">
        <f>IFERROR(__xludf.DUMMYFUNCTION("""COMPUTED_VALUE"""),FALSE)</f>
        <v>0</v>
      </c>
      <c r="U2836" s="1" t="str">
        <f>IFERROR(__xludf.DUMMYFUNCTION("""COMPUTED_VALUE"""),"")</f>
        <v/>
      </c>
      <c r="V2836" s="1" t="str">
        <f>IFERROR(__xludf.DUMMYFUNCTION("""COMPUTED_VALUE"""),"")</f>
        <v/>
      </c>
      <c r="W2836" s="1" t="str">
        <f>IFERROR(__xludf.DUMMYFUNCTION("""COMPUTED_VALUE"""),"")</f>
        <v/>
      </c>
      <c r="X2836" s="1" t="str">
        <f>IFERROR(__xludf.DUMMYFUNCTION("""COMPUTED_VALUE"""),"")</f>
        <v/>
      </c>
      <c r="Y2836" s="2"/>
      <c r="Z2836" s="2" t="str">
        <f>IFERROR(__xludf.DUMMYFUNCTION("""COMPUTED_VALUE"""),"")</f>
        <v/>
      </c>
    </row>
    <row r="2837">
      <c r="A2837" s="1" t="str">
        <f>IFERROR(__xludf.DUMMYFUNCTION("""COMPUTED_VALUE"""),"")</f>
        <v/>
      </c>
      <c r="B2837" s="1"/>
      <c r="C2837" s="2"/>
      <c r="D2837" s="2"/>
      <c r="E2837" s="1"/>
      <c r="F2837" s="1"/>
      <c r="G2837" s="4" t="str">
        <f>IFERROR(__xludf.DUMMYFUNCTION("""COMPUTED_VALUE"""),"")</f>
        <v/>
      </c>
      <c r="H2837" s="4" t="str">
        <f>IFERROR(__xludf.DUMMYFUNCTION("""COMPUTED_VALUE"""),"")</f>
        <v/>
      </c>
      <c r="I2837" s="4" t="str">
        <f>IFERROR(__xludf.DUMMYFUNCTION("""COMPUTED_VALUE"""),"")</f>
        <v/>
      </c>
      <c r="J2837" s="4" t="str">
        <f>IFERROR(__xludf.DUMMYFUNCTION("""COMPUTED_VALUE"""),"")</f>
        <v/>
      </c>
      <c r="K2837" s="4" t="str">
        <f>IFERROR(__xludf.DUMMYFUNCTION("""COMPUTED_VALUE"""),"")</f>
        <v/>
      </c>
      <c r="L2837" s="4" t="str">
        <f>IFERROR(__xludf.DUMMYFUNCTION("""COMPUTED_VALUE"""),"")</f>
        <v/>
      </c>
      <c r="M2837" s="1" t="str">
        <f>IFERROR(__xludf.DUMMYFUNCTION("""COMPUTED_VALUE"""),"RFID")</f>
        <v>RFID</v>
      </c>
      <c r="N2837" s="5" t="str">
        <f>IFERROR(__xludf.DUMMYFUNCTION("""COMPUTED_VALUE"""),"")</f>
        <v/>
      </c>
      <c r="O2837" s="5" t="str">
        <f>IFERROR(__xludf.DUMMYFUNCTION("""COMPUTED_VALUE"""),"")</f>
        <v/>
      </c>
      <c r="P2837" s="5" t="str">
        <f>IFERROR(__xludf.DUMMYFUNCTION("""COMPUTED_VALUE"""),"")</f>
        <v/>
      </c>
      <c r="Q2837" s="5" t="str">
        <f>IFERROR(__xludf.DUMMYFUNCTION("""COMPUTED_VALUE"""),"")</f>
        <v/>
      </c>
      <c r="R2837" s="4" t="str">
        <f>IFERROR(__xludf.DUMMYFUNCTION("""COMPUTED_VALUE"""),"")</f>
        <v/>
      </c>
      <c r="S2837" s="1" t="b">
        <f>IFERROR(__xludf.DUMMYFUNCTION("""COMPUTED_VALUE"""),FALSE)</f>
        <v>0</v>
      </c>
      <c r="T2837" s="1" t="b">
        <f>IFERROR(__xludf.DUMMYFUNCTION("""COMPUTED_VALUE"""),FALSE)</f>
        <v>0</v>
      </c>
      <c r="U2837" s="1" t="str">
        <f>IFERROR(__xludf.DUMMYFUNCTION("""COMPUTED_VALUE"""),"")</f>
        <v/>
      </c>
      <c r="V2837" s="1" t="str">
        <f>IFERROR(__xludf.DUMMYFUNCTION("""COMPUTED_VALUE"""),"")</f>
        <v/>
      </c>
      <c r="W2837" s="1" t="str">
        <f>IFERROR(__xludf.DUMMYFUNCTION("""COMPUTED_VALUE"""),"")</f>
        <v/>
      </c>
      <c r="X2837" s="1" t="str">
        <f>IFERROR(__xludf.DUMMYFUNCTION("""COMPUTED_VALUE"""),"")</f>
        <v/>
      </c>
      <c r="Y2837" s="2"/>
      <c r="Z2837" s="2" t="str">
        <f>IFERROR(__xludf.DUMMYFUNCTION("""COMPUTED_VALUE"""),"")</f>
        <v/>
      </c>
    </row>
    <row r="2838">
      <c r="A2838" s="1" t="str">
        <f>IFERROR(__xludf.DUMMYFUNCTION("""COMPUTED_VALUE"""),"")</f>
        <v/>
      </c>
      <c r="B2838" s="1"/>
      <c r="C2838" s="2"/>
      <c r="D2838" s="2"/>
      <c r="E2838" s="1"/>
      <c r="F2838" s="1"/>
      <c r="G2838" s="4" t="str">
        <f>IFERROR(__xludf.DUMMYFUNCTION("""COMPUTED_VALUE"""),"")</f>
        <v/>
      </c>
      <c r="H2838" s="4" t="str">
        <f>IFERROR(__xludf.DUMMYFUNCTION("""COMPUTED_VALUE"""),"")</f>
        <v/>
      </c>
      <c r="I2838" s="4" t="str">
        <f>IFERROR(__xludf.DUMMYFUNCTION("""COMPUTED_VALUE"""),"")</f>
        <v/>
      </c>
      <c r="J2838" s="4" t="str">
        <f>IFERROR(__xludf.DUMMYFUNCTION("""COMPUTED_VALUE"""),"")</f>
        <v/>
      </c>
      <c r="K2838" s="4" t="str">
        <f>IFERROR(__xludf.DUMMYFUNCTION("""COMPUTED_VALUE"""),"")</f>
        <v/>
      </c>
      <c r="L2838" s="4" t="str">
        <f>IFERROR(__xludf.DUMMYFUNCTION("""COMPUTED_VALUE"""),"")</f>
        <v/>
      </c>
      <c r="M2838" s="1" t="str">
        <f>IFERROR(__xludf.DUMMYFUNCTION("""COMPUTED_VALUE"""),"RFID")</f>
        <v>RFID</v>
      </c>
      <c r="N2838" s="5" t="str">
        <f>IFERROR(__xludf.DUMMYFUNCTION("""COMPUTED_VALUE"""),"")</f>
        <v/>
      </c>
      <c r="O2838" s="5" t="str">
        <f>IFERROR(__xludf.DUMMYFUNCTION("""COMPUTED_VALUE"""),"")</f>
        <v/>
      </c>
      <c r="P2838" s="5" t="str">
        <f>IFERROR(__xludf.DUMMYFUNCTION("""COMPUTED_VALUE"""),"")</f>
        <v/>
      </c>
      <c r="Q2838" s="5" t="str">
        <f>IFERROR(__xludf.DUMMYFUNCTION("""COMPUTED_VALUE"""),"")</f>
        <v/>
      </c>
      <c r="R2838" s="4" t="str">
        <f>IFERROR(__xludf.DUMMYFUNCTION("""COMPUTED_VALUE"""),"")</f>
        <v/>
      </c>
      <c r="S2838" s="1" t="b">
        <f>IFERROR(__xludf.DUMMYFUNCTION("""COMPUTED_VALUE"""),FALSE)</f>
        <v>0</v>
      </c>
      <c r="T2838" s="1" t="b">
        <f>IFERROR(__xludf.DUMMYFUNCTION("""COMPUTED_VALUE"""),FALSE)</f>
        <v>0</v>
      </c>
      <c r="U2838" s="1" t="str">
        <f>IFERROR(__xludf.DUMMYFUNCTION("""COMPUTED_VALUE"""),"")</f>
        <v/>
      </c>
      <c r="V2838" s="1" t="str">
        <f>IFERROR(__xludf.DUMMYFUNCTION("""COMPUTED_VALUE"""),"")</f>
        <v/>
      </c>
      <c r="W2838" s="1" t="str">
        <f>IFERROR(__xludf.DUMMYFUNCTION("""COMPUTED_VALUE"""),"")</f>
        <v/>
      </c>
      <c r="X2838" s="1" t="str">
        <f>IFERROR(__xludf.DUMMYFUNCTION("""COMPUTED_VALUE"""),"")</f>
        <v/>
      </c>
      <c r="Y2838" s="2"/>
      <c r="Z2838" s="2" t="str">
        <f>IFERROR(__xludf.DUMMYFUNCTION("""COMPUTED_VALUE"""),"")</f>
        <v/>
      </c>
    </row>
    <row r="2839">
      <c r="A2839" s="1" t="str">
        <f>IFERROR(__xludf.DUMMYFUNCTION("""COMPUTED_VALUE"""),"")</f>
        <v/>
      </c>
      <c r="B2839" s="1"/>
      <c r="C2839" s="2"/>
      <c r="D2839" s="2"/>
      <c r="E2839" s="1"/>
      <c r="F2839" s="1"/>
      <c r="G2839" s="4" t="str">
        <f>IFERROR(__xludf.DUMMYFUNCTION("""COMPUTED_VALUE"""),"")</f>
        <v/>
      </c>
      <c r="H2839" s="4" t="str">
        <f>IFERROR(__xludf.DUMMYFUNCTION("""COMPUTED_VALUE"""),"")</f>
        <v/>
      </c>
      <c r="I2839" s="4" t="str">
        <f>IFERROR(__xludf.DUMMYFUNCTION("""COMPUTED_VALUE"""),"")</f>
        <v/>
      </c>
      <c r="J2839" s="4" t="str">
        <f>IFERROR(__xludf.DUMMYFUNCTION("""COMPUTED_VALUE"""),"")</f>
        <v/>
      </c>
      <c r="K2839" s="4" t="str">
        <f>IFERROR(__xludf.DUMMYFUNCTION("""COMPUTED_VALUE"""),"")</f>
        <v/>
      </c>
      <c r="L2839" s="4" t="str">
        <f>IFERROR(__xludf.DUMMYFUNCTION("""COMPUTED_VALUE"""),"")</f>
        <v/>
      </c>
      <c r="M2839" s="1" t="str">
        <f>IFERROR(__xludf.DUMMYFUNCTION("""COMPUTED_VALUE"""),"RFID")</f>
        <v>RFID</v>
      </c>
      <c r="N2839" s="5" t="str">
        <f>IFERROR(__xludf.DUMMYFUNCTION("""COMPUTED_VALUE"""),"")</f>
        <v/>
      </c>
      <c r="O2839" s="5" t="str">
        <f>IFERROR(__xludf.DUMMYFUNCTION("""COMPUTED_VALUE"""),"")</f>
        <v/>
      </c>
      <c r="P2839" s="5" t="str">
        <f>IFERROR(__xludf.DUMMYFUNCTION("""COMPUTED_VALUE"""),"")</f>
        <v/>
      </c>
      <c r="Q2839" s="5" t="str">
        <f>IFERROR(__xludf.DUMMYFUNCTION("""COMPUTED_VALUE"""),"")</f>
        <v/>
      </c>
      <c r="R2839" s="4" t="str">
        <f>IFERROR(__xludf.DUMMYFUNCTION("""COMPUTED_VALUE"""),"")</f>
        <v/>
      </c>
      <c r="S2839" s="1" t="b">
        <f>IFERROR(__xludf.DUMMYFUNCTION("""COMPUTED_VALUE"""),FALSE)</f>
        <v>0</v>
      </c>
      <c r="T2839" s="1" t="b">
        <f>IFERROR(__xludf.DUMMYFUNCTION("""COMPUTED_VALUE"""),FALSE)</f>
        <v>0</v>
      </c>
      <c r="U2839" s="1" t="str">
        <f>IFERROR(__xludf.DUMMYFUNCTION("""COMPUTED_VALUE"""),"")</f>
        <v/>
      </c>
      <c r="V2839" s="1" t="str">
        <f>IFERROR(__xludf.DUMMYFUNCTION("""COMPUTED_VALUE"""),"")</f>
        <v/>
      </c>
      <c r="W2839" s="1" t="str">
        <f>IFERROR(__xludf.DUMMYFUNCTION("""COMPUTED_VALUE"""),"")</f>
        <v/>
      </c>
      <c r="X2839" s="1" t="str">
        <f>IFERROR(__xludf.DUMMYFUNCTION("""COMPUTED_VALUE"""),"")</f>
        <v/>
      </c>
      <c r="Y2839" s="2"/>
      <c r="Z2839" s="2" t="str">
        <f>IFERROR(__xludf.DUMMYFUNCTION("""COMPUTED_VALUE"""),"")</f>
        <v/>
      </c>
    </row>
    <row r="2840">
      <c r="A2840" s="1" t="str">
        <f>IFERROR(__xludf.DUMMYFUNCTION("""COMPUTED_VALUE"""),"")</f>
        <v/>
      </c>
      <c r="B2840" s="1"/>
      <c r="C2840" s="2"/>
      <c r="D2840" s="2"/>
      <c r="E2840" s="1"/>
      <c r="F2840" s="1"/>
      <c r="G2840" s="4" t="str">
        <f>IFERROR(__xludf.DUMMYFUNCTION("""COMPUTED_VALUE"""),"")</f>
        <v/>
      </c>
      <c r="H2840" s="4" t="str">
        <f>IFERROR(__xludf.DUMMYFUNCTION("""COMPUTED_VALUE"""),"")</f>
        <v/>
      </c>
      <c r="I2840" s="4" t="str">
        <f>IFERROR(__xludf.DUMMYFUNCTION("""COMPUTED_VALUE"""),"")</f>
        <v/>
      </c>
      <c r="J2840" s="4" t="str">
        <f>IFERROR(__xludf.DUMMYFUNCTION("""COMPUTED_VALUE"""),"")</f>
        <v/>
      </c>
      <c r="K2840" s="4" t="str">
        <f>IFERROR(__xludf.DUMMYFUNCTION("""COMPUTED_VALUE"""),"")</f>
        <v/>
      </c>
      <c r="L2840" s="4" t="str">
        <f>IFERROR(__xludf.DUMMYFUNCTION("""COMPUTED_VALUE"""),"")</f>
        <v/>
      </c>
      <c r="M2840" s="1" t="str">
        <f>IFERROR(__xludf.DUMMYFUNCTION("""COMPUTED_VALUE"""),"RFID")</f>
        <v>RFID</v>
      </c>
      <c r="N2840" s="5" t="str">
        <f>IFERROR(__xludf.DUMMYFUNCTION("""COMPUTED_VALUE"""),"")</f>
        <v/>
      </c>
      <c r="O2840" s="5" t="str">
        <f>IFERROR(__xludf.DUMMYFUNCTION("""COMPUTED_VALUE"""),"")</f>
        <v/>
      </c>
      <c r="P2840" s="5" t="str">
        <f>IFERROR(__xludf.DUMMYFUNCTION("""COMPUTED_VALUE"""),"")</f>
        <v/>
      </c>
      <c r="Q2840" s="5" t="str">
        <f>IFERROR(__xludf.DUMMYFUNCTION("""COMPUTED_VALUE"""),"")</f>
        <v/>
      </c>
      <c r="R2840" s="4" t="str">
        <f>IFERROR(__xludf.DUMMYFUNCTION("""COMPUTED_VALUE"""),"")</f>
        <v/>
      </c>
      <c r="S2840" s="1" t="b">
        <f>IFERROR(__xludf.DUMMYFUNCTION("""COMPUTED_VALUE"""),FALSE)</f>
        <v>0</v>
      </c>
      <c r="T2840" s="1" t="b">
        <f>IFERROR(__xludf.DUMMYFUNCTION("""COMPUTED_VALUE"""),FALSE)</f>
        <v>0</v>
      </c>
      <c r="U2840" s="1" t="str">
        <f>IFERROR(__xludf.DUMMYFUNCTION("""COMPUTED_VALUE"""),"")</f>
        <v/>
      </c>
      <c r="V2840" s="1" t="str">
        <f>IFERROR(__xludf.DUMMYFUNCTION("""COMPUTED_VALUE"""),"")</f>
        <v/>
      </c>
      <c r="W2840" s="1" t="str">
        <f>IFERROR(__xludf.DUMMYFUNCTION("""COMPUTED_VALUE"""),"")</f>
        <v/>
      </c>
      <c r="X2840" s="1" t="str">
        <f>IFERROR(__xludf.DUMMYFUNCTION("""COMPUTED_VALUE"""),"")</f>
        <v/>
      </c>
      <c r="Y2840" s="2"/>
      <c r="Z2840" s="2" t="str">
        <f>IFERROR(__xludf.DUMMYFUNCTION("""COMPUTED_VALUE"""),"")</f>
        <v/>
      </c>
    </row>
    <row r="2841">
      <c r="A2841" s="1" t="str">
        <f>IFERROR(__xludf.DUMMYFUNCTION("""COMPUTED_VALUE"""),"")</f>
        <v/>
      </c>
      <c r="B2841" s="1"/>
      <c r="C2841" s="2"/>
      <c r="D2841" s="2"/>
      <c r="E2841" s="1"/>
      <c r="F2841" s="1"/>
      <c r="G2841" s="4" t="str">
        <f>IFERROR(__xludf.DUMMYFUNCTION("""COMPUTED_VALUE"""),"")</f>
        <v/>
      </c>
      <c r="H2841" s="4" t="str">
        <f>IFERROR(__xludf.DUMMYFUNCTION("""COMPUTED_VALUE"""),"")</f>
        <v/>
      </c>
      <c r="I2841" s="4" t="str">
        <f>IFERROR(__xludf.DUMMYFUNCTION("""COMPUTED_VALUE"""),"")</f>
        <v/>
      </c>
      <c r="J2841" s="4" t="str">
        <f>IFERROR(__xludf.DUMMYFUNCTION("""COMPUTED_VALUE"""),"")</f>
        <v/>
      </c>
      <c r="K2841" s="4" t="str">
        <f>IFERROR(__xludf.DUMMYFUNCTION("""COMPUTED_VALUE"""),"")</f>
        <v/>
      </c>
      <c r="L2841" s="4" t="str">
        <f>IFERROR(__xludf.DUMMYFUNCTION("""COMPUTED_VALUE"""),"")</f>
        <v/>
      </c>
      <c r="M2841" s="1" t="str">
        <f>IFERROR(__xludf.DUMMYFUNCTION("""COMPUTED_VALUE"""),"RFID")</f>
        <v>RFID</v>
      </c>
      <c r="N2841" s="5" t="str">
        <f>IFERROR(__xludf.DUMMYFUNCTION("""COMPUTED_VALUE"""),"")</f>
        <v/>
      </c>
      <c r="O2841" s="5" t="str">
        <f>IFERROR(__xludf.DUMMYFUNCTION("""COMPUTED_VALUE"""),"")</f>
        <v/>
      </c>
      <c r="P2841" s="5" t="str">
        <f>IFERROR(__xludf.DUMMYFUNCTION("""COMPUTED_VALUE"""),"")</f>
        <v/>
      </c>
      <c r="Q2841" s="5" t="str">
        <f>IFERROR(__xludf.DUMMYFUNCTION("""COMPUTED_VALUE"""),"")</f>
        <v/>
      </c>
      <c r="R2841" s="4" t="str">
        <f>IFERROR(__xludf.DUMMYFUNCTION("""COMPUTED_VALUE"""),"")</f>
        <v/>
      </c>
      <c r="S2841" s="1" t="b">
        <f>IFERROR(__xludf.DUMMYFUNCTION("""COMPUTED_VALUE"""),FALSE)</f>
        <v>0</v>
      </c>
      <c r="T2841" s="1" t="b">
        <f>IFERROR(__xludf.DUMMYFUNCTION("""COMPUTED_VALUE"""),FALSE)</f>
        <v>0</v>
      </c>
      <c r="U2841" s="1" t="str">
        <f>IFERROR(__xludf.DUMMYFUNCTION("""COMPUTED_VALUE"""),"")</f>
        <v/>
      </c>
      <c r="V2841" s="1" t="str">
        <f>IFERROR(__xludf.DUMMYFUNCTION("""COMPUTED_VALUE"""),"")</f>
        <v/>
      </c>
      <c r="W2841" s="1" t="str">
        <f>IFERROR(__xludf.DUMMYFUNCTION("""COMPUTED_VALUE"""),"")</f>
        <v/>
      </c>
      <c r="X2841" s="1" t="str">
        <f>IFERROR(__xludf.DUMMYFUNCTION("""COMPUTED_VALUE"""),"")</f>
        <v/>
      </c>
      <c r="Y2841" s="2"/>
      <c r="Z2841" s="2" t="str">
        <f>IFERROR(__xludf.DUMMYFUNCTION("""COMPUTED_VALUE"""),"")</f>
        <v/>
      </c>
    </row>
    <row r="2842">
      <c r="A2842" s="1" t="str">
        <f>IFERROR(__xludf.DUMMYFUNCTION("""COMPUTED_VALUE"""),"")</f>
        <v/>
      </c>
      <c r="B2842" s="1"/>
      <c r="C2842" s="2"/>
      <c r="D2842" s="2"/>
      <c r="E2842" s="1"/>
      <c r="F2842" s="1"/>
      <c r="G2842" s="4" t="str">
        <f>IFERROR(__xludf.DUMMYFUNCTION("""COMPUTED_VALUE"""),"")</f>
        <v/>
      </c>
      <c r="H2842" s="4" t="str">
        <f>IFERROR(__xludf.DUMMYFUNCTION("""COMPUTED_VALUE"""),"")</f>
        <v/>
      </c>
      <c r="I2842" s="4" t="str">
        <f>IFERROR(__xludf.DUMMYFUNCTION("""COMPUTED_VALUE"""),"")</f>
        <v/>
      </c>
      <c r="J2842" s="4" t="str">
        <f>IFERROR(__xludf.DUMMYFUNCTION("""COMPUTED_VALUE"""),"")</f>
        <v/>
      </c>
      <c r="K2842" s="4" t="str">
        <f>IFERROR(__xludf.DUMMYFUNCTION("""COMPUTED_VALUE"""),"")</f>
        <v/>
      </c>
      <c r="L2842" s="4" t="str">
        <f>IFERROR(__xludf.DUMMYFUNCTION("""COMPUTED_VALUE"""),"")</f>
        <v/>
      </c>
      <c r="M2842" s="1" t="str">
        <f>IFERROR(__xludf.DUMMYFUNCTION("""COMPUTED_VALUE"""),"RFID")</f>
        <v>RFID</v>
      </c>
      <c r="N2842" s="5" t="str">
        <f>IFERROR(__xludf.DUMMYFUNCTION("""COMPUTED_VALUE"""),"")</f>
        <v/>
      </c>
      <c r="O2842" s="5" t="str">
        <f>IFERROR(__xludf.DUMMYFUNCTION("""COMPUTED_VALUE"""),"")</f>
        <v/>
      </c>
      <c r="P2842" s="5" t="str">
        <f>IFERROR(__xludf.DUMMYFUNCTION("""COMPUTED_VALUE"""),"")</f>
        <v/>
      </c>
      <c r="Q2842" s="5" t="str">
        <f>IFERROR(__xludf.DUMMYFUNCTION("""COMPUTED_VALUE"""),"")</f>
        <v/>
      </c>
      <c r="R2842" s="4" t="str">
        <f>IFERROR(__xludf.DUMMYFUNCTION("""COMPUTED_VALUE"""),"")</f>
        <v/>
      </c>
      <c r="S2842" s="1" t="b">
        <f>IFERROR(__xludf.DUMMYFUNCTION("""COMPUTED_VALUE"""),FALSE)</f>
        <v>0</v>
      </c>
      <c r="T2842" s="1" t="b">
        <f>IFERROR(__xludf.DUMMYFUNCTION("""COMPUTED_VALUE"""),FALSE)</f>
        <v>0</v>
      </c>
      <c r="U2842" s="1" t="str">
        <f>IFERROR(__xludf.DUMMYFUNCTION("""COMPUTED_VALUE"""),"")</f>
        <v/>
      </c>
      <c r="V2842" s="1" t="str">
        <f>IFERROR(__xludf.DUMMYFUNCTION("""COMPUTED_VALUE"""),"")</f>
        <v/>
      </c>
      <c r="W2842" s="1" t="str">
        <f>IFERROR(__xludf.DUMMYFUNCTION("""COMPUTED_VALUE"""),"")</f>
        <v/>
      </c>
      <c r="X2842" s="1" t="str">
        <f>IFERROR(__xludf.DUMMYFUNCTION("""COMPUTED_VALUE"""),"")</f>
        <v/>
      </c>
      <c r="Y2842" s="2"/>
      <c r="Z2842" s="2" t="str">
        <f>IFERROR(__xludf.DUMMYFUNCTION("""COMPUTED_VALUE"""),"")</f>
        <v/>
      </c>
    </row>
    <row r="2843">
      <c r="A2843" s="1" t="str">
        <f>IFERROR(__xludf.DUMMYFUNCTION("""COMPUTED_VALUE"""),"")</f>
        <v/>
      </c>
      <c r="B2843" s="1"/>
      <c r="C2843" s="2"/>
      <c r="D2843" s="2"/>
      <c r="E2843" s="1"/>
      <c r="F2843" s="1"/>
      <c r="G2843" s="4" t="str">
        <f>IFERROR(__xludf.DUMMYFUNCTION("""COMPUTED_VALUE"""),"")</f>
        <v/>
      </c>
      <c r="H2843" s="4" t="str">
        <f>IFERROR(__xludf.DUMMYFUNCTION("""COMPUTED_VALUE"""),"")</f>
        <v/>
      </c>
      <c r="I2843" s="4" t="str">
        <f>IFERROR(__xludf.DUMMYFUNCTION("""COMPUTED_VALUE"""),"")</f>
        <v/>
      </c>
      <c r="J2843" s="4" t="str">
        <f>IFERROR(__xludf.DUMMYFUNCTION("""COMPUTED_VALUE"""),"")</f>
        <v/>
      </c>
      <c r="K2843" s="4" t="str">
        <f>IFERROR(__xludf.DUMMYFUNCTION("""COMPUTED_VALUE"""),"")</f>
        <v/>
      </c>
      <c r="L2843" s="4" t="str">
        <f>IFERROR(__xludf.DUMMYFUNCTION("""COMPUTED_VALUE"""),"")</f>
        <v/>
      </c>
      <c r="M2843" s="1" t="str">
        <f>IFERROR(__xludf.DUMMYFUNCTION("""COMPUTED_VALUE"""),"RFID")</f>
        <v>RFID</v>
      </c>
      <c r="N2843" s="5" t="str">
        <f>IFERROR(__xludf.DUMMYFUNCTION("""COMPUTED_VALUE"""),"")</f>
        <v/>
      </c>
      <c r="O2843" s="5" t="str">
        <f>IFERROR(__xludf.DUMMYFUNCTION("""COMPUTED_VALUE"""),"")</f>
        <v/>
      </c>
      <c r="P2843" s="5" t="str">
        <f>IFERROR(__xludf.DUMMYFUNCTION("""COMPUTED_VALUE"""),"")</f>
        <v/>
      </c>
      <c r="Q2843" s="5" t="str">
        <f>IFERROR(__xludf.DUMMYFUNCTION("""COMPUTED_VALUE"""),"")</f>
        <v/>
      </c>
      <c r="R2843" s="4" t="str">
        <f>IFERROR(__xludf.DUMMYFUNCTION("""COMPUTED_VALUE"""),"")</f>
        <v/>
      </c>
      <c r="S2843" s="1" t="b">
        <f>IFERROR(__xludf.DUMMYFUNCTION("""COMPUTED_VALUE"""),FALSE)</f>
        <v>0</v>
      </c>
      <c r="T2843" s="1" t="b">
        <f>IFERROR(__xludf.DUMMYFUNCTION("""COMPUTED_VALUE"""),FALSE)</f>
        <v>0</v>
      </c>
      <c r="U2843" s="1" t="str">
        <f>IFERROR(__xludf.DUMMYFUNCTION("""COMPUTED_VALUE"""),"")</f>
        <v/>
      </c>
      <c r="V2843" s="1" t="str">
        <f>IFERROR(__xludf.DUMMYFUNCTION("""COMPUTED_VALUE"""),"")</f>
        <v/>
      </c>
      <c r="W2843" s="1" t="str">
        <f>IFERROR(__xludf.DUMMYFUNCTION("""COMPUTED_VALUE"""),"")</f>
        <v/>
      </c>
      <c r="X2843" s="1" t="str">
        <f>IFERROR(__xludf.DUMMYFUNCTION("""COMPUTED_VALUE"""),"")</f>
        <v/>
      </c>
      <c r="Y2843" s="2"/>
      <c r="Z2843" s="2" t="str">
        <f>IFERROR(__xludf.DUMMYFUNCTION("""COMPUTED_VALUE"""),"")</f>
        <v/>
      </c>
    </row>
    <row r="2844">
      <c r="A2844" s="1" t="str">
        <f>IFERROR(__xludf.DUMMYFUNCTION("""COMPUTED_VALUE"""),"")</f>
        <v/>
      </c>
      <c r="B2844" s="1"/>
      <c r="C2844" s="2"/>
      <c r="D2844" s="2"/>
      <c r="E2844" s="1"/>
      <c r="F2844" s="1"/>
      <c r="G2844" s="4" t="str">
        <f>IFERROR(__xludf.DUMMYFUNCTION("""COMPUTED_VALUE"""),"")</f>
        <v/>
      </c>
      <c r="H2844" s="4" t="str">
        <f>IFERROR(__xludf.DUMMYFUNCTION("""COMPUTED_VALUE"""),"")</f>
        <v/>
      </c>
      <c r="I2844" s="4" t="str">
        <f>IFERROR(__xludf.DUMMYFUNCTION("""COMPUTED_VALUE"""),"")</f>
        <v/>
      </c>
      <c r="J2844" s="4" t="str">
        <f>IFERROR(__xludf.DUMMYFUNCTION("""COMPUTED_VALUE"""),"")</f>
        <v/>
      </c>
      <c r="K2844" s="4" t="str">
        <f>IFERROR(__xludf.DUMMYFUNCTION("""COMPUTED_VALUE"""),"")</f>
        <v/>
      </c>
      <c r="L2844" s="4" t="str">
        <f>IFERROR(__xludf.DUMMYFUNCTION("""COMPUTED_VALUE"""),"")</f>
        <v/>
      </c>
      <c r="M2844" s="1" t="str">
        <f>IFERROR(__xludf.DUMMYFUNCTION("""COMPUTED_VALUE"""),"RFID")</f>
        <v>RFID</v>
      </c>
      <c r="N2844" s="5" t="str">
        <f>IFERROR(__xludf.DUMMYFUNCTION("""COMPUTED_VALUE"""),"")</f>
        <v/>
      </c>
      <c r="O2844" s="5" t="str">
        <f>IFERROR(__xludf.DUMMYFUNCTION("""COMPUTED_VALUE"""),"")</f>
        <v/>
      </c>
      <c r="P2844" s="5" t="str">
        <f>IFERROR(__xludf.DUMMYFUNCTION("""COMPUTED_VALUE"""),"")</f>
        <v/>
      </c>
      <c r="Q2844" s="5" t="str">
        <f>IFERROR(__xludf.DUMMYFUNCTION("""COMPUTED_VALUE"""),"")</f>
        <v/>
      </c>
      <c r="R2844" s="4" t="str">
        <f>IFERROR(__xludf.DUMMYFUNCTION("""COMPUTED_VALUE"""),"")</f>
        <v/>
      </c>
      <c r="S2844" s="1" t="b">
        <f>IFERROR(__xludf.DUMMYFUNCTION("""COMPUTED_VALUE"""),FALSE)</f>
        <v>0</v>
      </c>
      <c r="T2844" s="1" t="b">
        <f>IFERROR(__xludf.DUMMYFUNCTION("""COMPUTED_VALUE"""),FALSE)</f>
        <v>0</v>
      </c>
      <c r="U2844" s="1" t="str">
        <f>IFERROR(__xludf.DUMMYFUNCTION("""COMPUTED_VALUE"""),"")</f>
        <v/>
      </c>
      <c r="V2844" s="1" t="str">
        <f>IFERROR(__xludf.DUMMYFUNCTION("""COMPUTED_VALUE"""),"")</f>
        <v/>
      </c>
      <c r="W2844" s="1" t="str">
        <f>IFERROR(__xludf.DUMMYFUNCTION("""COMPUTED_VALUE"""),"")</f>
        <v/>
      </c>
      <c r="X2844" s="1" t="str">
        <f>IFERROR(__xludf.DUMMYFUNCTION("""COMPUTED_VALUE"""),"")</f>
        <v/>
      </c>
      <c r="Y2844" s="2"/>
      <c r="Z2844" s="2" t="str">
        <f>IFERROR(__xludf.DUMMYFUNCTION("""COMPUTED_VALUE"""),"")</f>
        <v/>
      </c>
    </row>
    <row r="2845">
      <c r="A2845" s="1" t="str">
        <f>IFERROR(__xludf.DUMMYFUNCTION("""COMPUTED_VALUE"""),"")</f>
        <v/>
      </c>
      <c r="B2845" s="1"/>
      <c r="C2845" s="2"/>
      <c r="D2845" s="2"/>
      <c r="E2845" s="1"/>
      <c r="F2845" s="1"/>
      <c r="G2845" s="4" t="str">
        <f>IFERROR(__xludf.DUMMYFUNCTION("""COMPUTED_VALUE"""),"")</f>
        <v/>
      </c>
      <c r="H2845" s="4" t="str">
        <f>IFERROR(__xludf.DUMMYFUNCTION("""COMPUTED_VALUE"""),"")</f>
        <v/>
      </c>
      <c r="I2845" s="4" t="str">
        <f>IFERROR(__xludf.DUMMYFUNCTION("""COMPUTED_VALUE"""),"")</f>
        <v/>
      </c>
      <c r="J2845" s="4" t="str">
        <f>IFERROR(__xludf.DUMMYFUNCTION("""COMPUTED_VALUE"""),"")</f>
        <v/>
      </c>
      <c r="K2845" s="4" t="str">
        <f>IFERROR(__xludf.DUMMYFUNCTION("""COMPUTED_VALUE"""),"")</f>
        <v/>
      </c>
      <c r="L2845" s="4" t="str">
        <f>IFERROR(__xludf.DUMMYFUNCTION("""COMPUTED_VALUE"""),"")</f>
        <v/>
      </c>
      <c r="M2845" s="1" t="str">
        <f>IFERROR(__xludf.DUMMYFUNCTION("""COMPUTED_VALUE"""),"RFID")</f>
        <v>RFID</v>
      </c>
      <c r="N2845" s="5" t="str">
        <f>IFERROR(__xludf.DUMMYFUNCTION("""COMPUTED_VALUE"""),"")</f>
        <v/>
      </c>
      <c r="O2845" s="5" t="str">
        <f>IFERROR(__xludf.DUMMYFUNCTION("""COMPUTED_VALUE"""),"")</f>
        <v/>
      </c>
      <c r="P2845" s="5" t="str">
        <f>IFERROR(__xludf.DUMMYFUNCTION("""COMPUTED_VALUE"""),"")</f>
        <v/>
      </c>
      <c r="Q2845" s="5" t="str">
        <f>IFERROR(__xludf.DUMMYFUNCTION("""COMPUTED_VALUE"""),"")</f>
        <v/>
      </c>
      <c r="R2845" s="4" t="str">
        <f>IFERROR(__xludf.DUMMYFUNCTION("""COMPUTED_VALUE"""),"")</f>
        <v/>
      </c>
      <c r="S2845" s="1" t="b">
        <f>IFERROR(__xludf.DUMMYFUNCTION("""COMPUTED_VALUE"""),FALSE)</f>
        <v>0</v>
      </c>
      <c r="T2845" s="1" t="b">
        <f>IFERROR(__xludf.DUMMYFUNCTION("""COMPUTED_VALUE"""),FALSE)</f>
        <v>0</v>
      </c>
      <c r="U2845" s="1" t="str">
        <f>IFERROR(__xludf.DUMMYFUNCTION("""COMPUTED_VALUE"""),"")</f>
        <v/>
      </c>
      <c r="V2845" s="1" t="str">
        <f>IFERROR(__xludf.DUMMYFUNCTION("""COMPUTED_VALUE"""),"")</f>
        <v/>
      </c>
      <c r="W2845" s="1" t="str">
        <f>IFERROR(__xludf.DUMMYFUNCTION("""COMPUTED_VALUE"""),"")</f>
        <v/>
      </c>
      <c r="X2845" s="1" t="str">
        <f>IFERROR(__xludf.DUMMYFUNCTION("""COMPUTED_VALUE"""),"")</f>
        <v/>
      </c>
      <c r="Y2845" s="2"/>
      <c r="Z2845" s="2" t="str">
        <f>IFERROR(__xludf.DUMMYFUNCTION("""COMPUTED_VALUE"""),"")</f>
        <v/>
      </c>
    </row>
    <row r="2846">
      <c r="A2846" s="1" t="str">
        <f>IFERROR(__xludf.DUMMYFUNCTION("""COMPUTED_VALUE"""),"")</f>
        <v/>
      </c>
      <c r="B2846" s="1"/>
      <c r="C2846" s="2"/>
      <c r="D2846" s="2"/>
      <c r="E2846" s="1"/>
      <c r="F2846" s="1"/>
      <c r="G2846" s="4" t="str">
        <f>IFERROR(__xludf.DUMMYFUNCTION("""COMPUTED_VALUE"""),"")</f>
        <v/>
      </c>
      <c r="H2846" s="4" t="str">
        <f>IFERROR(__xludf.DUMMYFUNCTION("""COMPUTED_VALUE"""),"")</f>
        <v/>
      </c>
      <c r="I2846" s="4" t="str">
        <f>IFERROR(__xludf.DUMMYFUNCTION("""COMPUTED_VALUE"""),"")</f>
        <v/>
      </c>
      <c r="J2846" s="4" t="str">
        <f>IFERROR(__xludf.DUMMYFUNCTION("""COMPUTED_VALUE"""),"")</f>
        <v/>
      </c>
      <c r="K2846" s="4" t="str">
        <f>IFERROR(__xludf.DUMMYFUNCTION("""COMPUTED_VALUE"""),"")</f>
        <v/>
      </c>
      <c r="L2846" s="4" t="str">
        <f>IFERROR(__xludf.DUMMYFUNCTION("""COMPUTED_VALUE"""),"")</f>
        <v/>
      </c>
      <c r="M2846" s="1" t="str">
        <f>IFERROR(__xludf.DUMMYFUNCTION("""COMPUTED_VALUE"""),"RFID")</f>
        <v>RFID</v>
      </c>
      <c r="N2846" s="5" t="str">
        <f>IFERROR(__xludf.DUMMYFUNCTION("""COMPUTED_VALUE"""),"")</f>
        <v/>
      </c>
      <c r="O2846" s="5" t="str">
        <f>IFERROR(__xludf.DUMMYFUNCTION("""COMPUTED_VALUE"""),"")</f>
        <v/>
      </c>
      <c r="P2846" s="5" t="str">
        <f>IFERROR(__xludf.DUMMYFUNCTION("""COMPUTED_VALUE"""),"")</f>
        <v/>
      </c>
      <c r="Q2846" s="5" t="str">
        <f>IFERROR(__xludf.DUMMYFUNCTION("""COMPUTED_VALUE"""),"")</f>
        <v/>
      </c>
      <c r="R2846" s="4" t="str">
        <f>IFERROR(__xludf.DUMMYFUNCTION("""COMPUTED_VALUE"""),"")</f>
        <v/>
      </c>
      <c r="S2846" s="1" t="b">
        <f>IFERROR(__xludf.DUMMYFUNCTION("""COMPUTED_VALUE"""),FALSE)</f>
        <v>0</v>
      </c>
      <c r="T2846" s="1" t="b">
        <f>IFERROR(__xludf.DUMMYFUNCTION("""COMPUTED_VALUE"""),FALSE)</f>
        <v>0</v>
      </c>
      <c r="U2846" s="1" t="str">
        <f>IFERROR(__xludf.DUMMYFUNCTION("""COMPUTED_VALUE"""),"")</f>
        <v/>
      </c>
      <c r="V2846" s="1" t="str">
        <f>IFERROR(__xludf.DUMMYFUNCTION("""COMPUTED_VALUE"""),"")</f>
        <v/>
      </c>
      <c r="W2846" s="1" t="str">
        <f>IFERROR(__xludf.DUMMYFUNCTION("""COMPUTED_VALUE"""),"")</f>
        <v/>
      </c>
      <c r="X2846" s="1" t="str">
        <f>IFERROR(__xludf.DUMMYFUNCTION("""COMPUTED_VALUE"""),"")</f>
        <v/>
      </c>
      <c r="Y2846" s="2"/>
      <c r="Z2846" s="2" t="str">
        <f>IFERROR(__xludf.DUMMYFUNCTION("""COMPUTED_VALUE"""),"")</f>
        <v/>
      </c>
    </row>
    <row r="2847">
      <c r="A2847" s="1" t="str">
        <f>IFERROR(__xludf.DUMMYFUNCTION("""COMPUTED_VALUE"""),"")</f>
        <v/>
      </c>
      <c r="B2847" s="1"/>
      <c r="C2847" s="2"/>
      <c r="D2847" s="2"/>
      <c r="E2847" s="1"/>
      <c r="F2847" s="1"/>
      <c r="G2847" s="4" t="str">
        <f>IFERROR(__xludf.DUMMYFUNCTION("""COMPUTED_VALUE"""),"")</f>
        <v/>
      </c>
      <c r="H2847" s="4" t="str">
        <f>IFERROR(__xludf.DUMMYFUNCTION("""COMPUTED_VALUE"""),"")</f>
        <v/>
      </c>
      <c r="I2847" s="4" t="str">
        <f>IFERROR(__xludf.DUMMYFUNCTION("""COMPUTED_VALUE"""),"")</f>
        <v/>
      </c>
      <c r="J2847" s="4" t="str">
        <f>IFERROR(__xludf.DUMMYFUNCTION("""COMPUTED_VALUE"""),"")</f>
        <v/>
      </c>
      <c r="K2847" s="4" t="str">
        <f>IFERROR(__xludf.DUMMYFUNCTION("""COMPUTED_VALUE"""),"")</f>
        <v/>
      </c>
      <c r="L2847" s="4" t="str">
        <f>IFERROR(__xludf.DUMMYFUNCTION("""COMPUTED_VALUE"""),"")</f>
        <v/>
      </c>
      <c r="M2847" s="1" t="str">
        <f>IFERROR(__xludf.DUMMYFUNCTION("""COMPUTED_VALUE"""),"RFID")</f>
        <v>RFID</v>
      </c>
      <c r="N2847" s="5" t="str">
        <f>IFERROR(__xludf.DUMMYFUNCTION("""COMPUTED_VALUE"""),"")</f>
        <v/>
      </c>
      <c r="O2847" s="5" t="str">
        <f>IFERROR(__xludf.DUMMYFUNCTION("""COMPUTED_VALUE"""),"")</f>
        <v/>
      </c>
      <c r="P2847" s="5" t="str">
        <f>IFERROR(__xludf.DUMMYFUNCTION("""COMPUTED_VALUE"""),"")</f>
        <v/>
      </c>
      <c r="Q2847" s="5" t="str">
        <f>IFERROR(__xludf.DUMMYFUNCTION("""COMPUTED_VALUE"""),"")</f>
        <v/>
      </c>
      <c r="R2847" s="4" t="str">
        <f>IFERROR(__xludf.DUMMYFUNCTION("""COMPUTED_VALUE"""),"")</f>
        <v/>
      </c>
      <c r="S2847" s="1" t="b">
        <f>IFERROR(__xludf.DUMMYFUNCTION("""COMPUTED_VALUE"""),FALSE)</f>
        <v>0</v>
      </c>
      <c r="T2847" s="1" t="b">
        <f>IFERROR(__xludf.DUMMYFUNCTION("""COMPUTED_VALUE"""),FALSE)</f>
        <v>0</v>
      </c>
      <c r="U2847" s="1" t="str">
        <f>IFERROR(__xludf.DUMMYFUNCTION("""COMPUTED_VALUE"""),"")</f>
        <v/>
      </c>
      <c r="V2847" s="1" t="str">
        <f>IFERROR(__xludf.DUMMYFUNCTION("""COMPUTED_VALUE"""),"")</f>
        <v/>
      </c>
      <c r="W2847" s="1" t="str">
        <f>IFERROR(__xludf.DUMMYFUNCTION("""COMPUTED_VALUE"""),"")</f>
        <v/>
      </c>
      <c r="X2847" s="1" t="str">
        <f>IFERROR(__xludf.DUMMYFUNCTION("""COMPUTED_VALUE"""),"")</f>
        <v/>
      </c>
      <c r="Y2847" s="2"/>
      <c r="Z2847" s="2" t="str">
        <f>IFERROR(__xludf.DUMMYFUNCTION("""COMPUTED_VALUE"""),"")</f>
        <v/>
      </c>
    </row>
    <row r="2848">
      <c r="A2848" s="1" t="str">
        <f>IFERROR(__xludf.DUMMYFUNCTION("""COMPUTED_VALUE"""),"")</f>
        <v/>
      </c>
      <c r="B2848" s="1"/>
      <c r="C2848" s="2"/>
      <c r="D2848" s="2"/>
      <c r="E2848" s="1"/>
      <c r="F2848" s="1"/>
      <c r="G2848" s="4" t="str">
        <f>IFERROR(__xludf.DUMMYFUNCTION("""COMPUTED_VALUE"""),"")</f>
        <v/>
      </c>
      <c r="H2848" s="4" t="str">
        <f>IFERROR(__xludf.DUMMYFUNCTION("""COMPUTED_VALUE"""),"")</f>
        <v/>
      </c>
      <c r="I2848" s="4" t="str">
        <f>IFERROR(__xludf.DUMMYFUNCTION("""COMPUTED_VALUE"""),"")</f>
        <v/>
      </c>
      <c r="J2848" s="4" t="str">
        <f>IFERROR(__xludf.DUMMYFUNCTION("""COMPUTED_VALUE"""),"")</f>
        <v/>
      </c>
      <c r="K2848" s="4" t="str">
        <f>IFERROR(__xludf.DUMMYFUNCTION("""COMPUTED_VALUE"""),"")</f>
        <v/>
      </c>
      <c r="L2848" s="4" t="str">
        <f>IFERROR(__xludf.DUMMYFUNCTION("""COMPUTED_VALUE"""),"")</f>
        <v/>
      </c>
      <c r="M2848" s="1" t="str">
        <f>IFERROR(__xludf.DUMMYFUNCTION("""COMPUTED_VALUE"""),"RFID")</f>
        <v>RFID</v>
      </c>
      <c r="N2848" s="5" t="str">
        <f>IFERROR(__xludf.DUMMYFUNCTION("""COMPUTED_VALUE"""),"")</f>
        <v/>
      </c>
      <c r="O2848" s="5" t="str">
        <f>IFERROR(__xludf.DUMMYFUNCTION("""COMPUTED_VALUE"""),"")</f>
        <v/>
      </c>
      <c r="P2848" s="5" t="str">
        <f>IFERROR(__xludf.DUMMYFUNCTION("""COMPUTED_VALUE"""),"")</f>
        <v/>
      </c>
      <c r="Q2848" s="5" t="str">
        <f>IFERROR(__xludf.DUMMYFUNCTION("""COMPUTED_VALUE"""),"")</f>
        <v/>
      </c>
      <c r="R2848" s="4" t="str">
        <f>IFERROR(__xludf.DUMMYFUNCTION("""COMPUTED_VALUE"""),"")</f>
        <v/>
      </c>
      <c r="S2848" s="1" t="b">
        <f>IFERROR(__xludf.DUMMYFUNCTION("""COMPUTED_VALUE"""),FALSE)</f>
        <v>0</v>
      </c>
      <c r="T2848" s="1" t="b">
        <f>IFERROR(__xludf.DUMMYFUNCTION("""COMPUTED_VALUE"""),FALSE)</f>
        <v>0</v>
      </c>
      <c r="U2848" s="1" t="str">
        <f>IFERROR(__xludf.DUMMYFUNCTION("""COMPUTED_VALUE"""),"")</f>
        <v/>
      </c>
      <c r="V2848" s="1" t="str">
        <f>IFERROR(__xludf.DUMMYFUNCTION("""COMPUTED_VALUE"""),"")</f>
        <v/>
      </c>
      <c r="W2848" s="1" t="str">
        <f>IFERROR(__xludf.DUMMYFUNCTION("""COMPUTED_VALUE"""),"")</f>
        <v/>
      </c>
      <c r="X2848" s="1" t="str">
        <f>IFERROR(__xludf.DUMMYFUNCTION("""COMPUTED_VALUE"""),"")</f>
        <v/>
      </c>
      <c r="Y2848" s="2"/>
      <c r="Z2848" s="2" t="str">
        <f>IFERROR(__xludf.DUMMYFUNCTION("""COMPUTED_VALUE"""),"")</f>
        <v/>
      </c>
    </row>
    <row r="2849">
      <c r="A2849" s="1" t="str">
        <f>IFERROR(__xludf.DUMMYFUNCTION("""COMPUTED_VALUE"""),"")</f>
        <v/>
      </c>
      <c r="B2849" s="1"/>
      <c r="C2849" s="2"/>
      <c r="D2849" s="2"/>
      <c r="E2849" s="1"/>
      <c r="F2849" s="1"/>
      <c r="G2849" s="4" t="str">
        <f>IFERROR(__xludf.DUMMYFUNCTION("""COMPUTED_VALUE"""),"")</f>
        <v/>
      </c>
      <c r="H2849" s="4" t="str">
        <f>IFERROR(__xludf.DUMMYFUNCTION("""COMPUTED_VALUE"""),"")</f>
        <v/>
      </c>
      <c r="I2849" s="4" t="str">
        <f>IFERROR(__xludf.DUMMYFUNCTION("""COMPUTED_VALUE"""),"")</f>
        <v/>
      </c>
      <c r="J2849" s="4" t="str">
        <f>IFERROR(__xludf.DUMMYFUNCTION("""COMPUTED_VALUE"""),"")</f>
        <v/>
      </c>
      <c r="K2849" s="4" t="str">
        <f>IFERROR(__xludf.DUMMYFUNCTION("""COMPUTED_VALUE"""),"")</f>
        <v/>
      </c>
      <c r="L2849" s="4" t="str">
        <f>IFERROR(__xludf.DUMMYFUNCTION("""COMPUTED_VALUE"""),"")</f>
        <v/>
      </c>
      <c r="M2849" s="1" t="str">
        <f>IFERROR(__xludf.DUMMYFUNCTION("""COMPUTED_VALUE"""),"RFID")</f>
        <v>RFID</v>
      </c>
      <c r="N2849" s="5" t="str">
        <f>IFERROR(__xludf.DUMMYFUNCTION("""COMPUTED_VALUE"""),"")</f>
        <v/>
      </c>
      <c r="O2849" s="5" t="str">
        <f>IFERROR(__xludf.DUMMYFUNCTION("""COMPUTED_VALUE"""),"")</f>
        <v/>
      </c>
      <c r="P2849" s="5" t="str">
        <f>IFERROR(__xludf.DUMMYFUNCTION("""COMPUTED_VALUE"""),"")</f>
        <v/>
      </c>
      <c r="Q2849" s="5" t="str">
        <f>IFERROR(__xludf.DUMMYFUNCTION("""COMPUTED_VALUE"""),"")</f>
        <v/>
      </c>
      <c r="R2849" s="4" t="str">
        <f>IFERROR(__xludf.DUMMYFUNCTION("""COMPUTED_VALUE"""),"")</f>
        <v/>
      </c>
      <c r="S2849" s="1" t="b">
        <f>IFERROR(__xludf.DUMMYFUNCTION("""COMPUTED_VALUE"""),FALSE)</f>
        <v>0</v>
      </c>
      <c r="T2849" s="1" t="b">
        <f>IFERROR(__xludf.DUMMYFUNCTION("""COMPUTED_VALUE"""),FALSE)</f>
        <v>0</v>
      </c>
      <c r="U2849" s="1" t="str">
        <f>IFERROR(__xludf.DUMMYFUNCTION("""COMPUTED_VALUE"""),"")</f>
        <v/>
      </c>
      <c r="V2849" s="1" t="str">
        <f>IFERROR(__xludf.DUMMYFUNCTION("""COMPUTED_VALUE"""),"")</f>
        <v/>
      </c>
      <c r="W2849" s="1" t="str">
        <f>IFERROR(__xludf.DUMMYFUNCTION("""COMPUTED_VALUE"""),"")</f>
        <v/>
      </c>
      <c r="X2849" s="1" t="str">
        <f>IFERROR(__xludf.DUMMYFUNCTION("""COMPUTED_VALUE"""),"")</f>
        <v/>
      </c>
      <c r="Y2849" s="2"/>
      <c r="Z2849" s="2" t="str">
        <f>IFERROR(__xludf.DUMMYFUNCTION("""COMPUTED_VALUE"""),"")</f>
        <v/>
      </c>
    </row>
    <row r="2850">
      <c r="A2850" s="1" t="str">
        <f>IFERROR(__xludf.DUMMYFUNCTION("""COMPUTED_VALUE"""),"")</f>
        <v/>
      </c>
      <c r="B2850" s="1"/>
      <c r="C2850" s="2"/>
      <c r="D2850" s="2"/>
      <c r="E2850" s="1"/>
      <c r="F2850" s="1"/>
      <c r="G2850" s="4" t="str">
        <f>IFERROR(__xludf.DUMMYFUNCTION("""COMPUTED_VALUE"""),"")</f>
        <v/>
      </c>
      <c r="H2850" s="4" t="str">
        <f>IFERROR(__xludf.DUMMYFUNCTION("""COMPUTED_VALUE"""),"")</f>
        <v/>
      </c>
      <c r="I2850" s="4" t="str">
        <f>IFERROR(__xludf.DUMMYFUNCTION("""COMPUTED_VALUE"""),"")</f>
        <v/>
      </c>
      <c r="J2850" s="4" t="str">
        <f>IFERROR(__xludf.DUMMYFUNCTION("""COMPUTED_VALUE"""),"")</f>
        <v/>
      </c>
      <c r="K2850" s="4" t="str">
        <f>IFERROR(__xludf.DUMMYFUNCTION("""COMPUTED_VALUE"""),"")</f>
        <v/>
      </c>
      <c r="L2850" s="4" t="str">
        <f>IFERROR(__xludf.DUMMYFUNCTION("""COMPUTED_VALUE"""),"")</f>
        <v/>
      </c>
      <c r="M2850" s="1" t="str">
        <f>IFERROR(__xludf.DUMMYFUNCTION("""COMPUTED_VALUE"""),"RFID")</f>
        <v>RFID</v>
      </c>
      <c r="N2850" s="5" t="str">
        <f>IFERROR(__xludf.DUMMYFUNCTION("""COMPUTED_VALUE"""),"")</f>
        <v/>
      </c>
      <c r="O2850" s="5" t="str">
        <f>IFERROR(__xludf.DUMMYFUNCTION("""COMPUTED_VALUE"""),"")</f>
        <v/>
      </c>
      <c r="P2850" s="5" t="str">
        <f>IFERROR(__xludf.DUMMYFUNCTION("""COMPUTED_VALUE"""),"")</f>
        <v/>
      </c>
      <c r="Q2850" s="5" t="str">
        <f>IFERROR(__xludf.DUMMYFUNCTION("""COMPUTED_VALUE"""),"")</f>
        <v/>
      </c>
      <c r="R2850" s="4" t="str">
        <f>IFERROR(__xludf.DUMMYFUNCTION("""COMPUTED_VALUE"""),"")</f>
        <v/>
      </c>
      <c r="S2850" s="1" t="b">
        <f>IFERROR(__xludf.DUMMYFUNCTION("""COMPUTED_VALUE"""),FALSE)</f>
        <v>0</v>
      </c>
      <c r="T2850" s="1" t="b">
        <f>IFERROR(__xludf.DUMMYFUNCTION("""COMPUTED_VALUE"""),FALSE)</f>
        <v>0</v>
      </c>
      <c r="U2850" s="1" t="str">
        <f>IFERROR(__xludf.DUMMYFUNCTION("""COMPUTED_VALUE"""),"")</f>
        <v/>
      </c>
      <c r="V2850" s="1" t="str">
        <f>IFERROR(__xludf.DUMMYFUNCTION("""COMPUTED_VALUE"""),"")</f>
        <v/>
      </c>
      <c r="W2850" s="1" t="str">
        <f>IFERROR(__xludf.DUMMYFUNCTION("""COMPUTED_VALUE"""),"")</f>
        <v/>
      </c>
      <c r="X2850" s="1" t="str">
        <f>IFERROR(__xludf.DUMMYFUNCTION("""COMPUTED_VALUE"""),"")</f>
        <v/>
      </c>
      <c r="Y2850" s="2"/>
      <c r="Z2850" s="2" t="str">
        <f>IFERROR(__xludf.DUMMYFUNCTION("""COMPUTED_VALUE"""),"")</f>
        <v/>
      </c>
    </row>
    <row r="2851">
      <c r="A2851" s="1" t="str">
        <f>IFERROR(__xludf.DUMMYFUNCTION("""COMPUTED_VALUE"""),"")</f>
        <v/>
      </c>
      <c r="B2851" s="1"/>
      <c r="C2851" s="2"/>
      <c r="D2851" s="2"/>
      <c r="E2851" s="1"/>
      <c r="F2851" s="1"/>
      <c r="G2851" s="4" t="str">
        <f>IFERROR(__xludf.DUMMYFUNCTION("""COMPUTED_VALUE"""),"")</f>
        <v/>
      </c>
      <c r="H2851" s="4" t="str">
        <f>IFERROR(__xludf.DUMMYFUNCTION("""COMPUTED_VALUE"""),"")</f>
        <v/>
      </c>
      <c r="I2851" s="4" t="str">
        <f>IFERROR(__xludf.DUMMYFUNCTION("""COMPUTED_VALUE"""),"")</f>
        <v/>
      </c>
      <c r="J2851" s="4" t="str">
        <f>IFERROR(__xludf.DUMMYFUNCTION("""COMPUTED_VALUE"""),"")</f>
        <v/>
      </c>
      <c r="K2851" s="4" t="str">
        <f>IFERROR(__xludf.DUMMYFUNCTION("""COMPUTED_VALUE"""),"")</f>
        <v/>
      </c>
      <c r="L2851" s="4" t="str">
        <f>IFERROR(__xludf.DUMMYFUNCTION("""COMPUTED_VALUE"""),"")</f>
        <v/>
      </c>
      <c r="M2851" s="1" t="str">
        <f>IFERROR(__xludf.DUMMYFUNCTION("""COMPUTED_VALUE"""),"RFID")</f>
        <v>RFID</v>
      </c>
      <c r="N2851" s="5" t="str">
        <f>IFERROR(__xludf.DUMMYFUNCTION("""COMPUTED_VALUE"""),"")</f>
        <v/>
      </c>
      <c r="O2851" s="5" t="str">
        <f>IFERROR(__xludf.DUMMYFUNCTION("""COMPUTED_VALUE"""),"")</f>
        <v/>
      </c>
      <c r="P2851" s="5" t="str">
        <f>IFERROR(__xludf.DUMMYFUNCTION("""COMPUTED_VALUE"""),"")</f>
        <v/>
      </c>
      <c r="Q2851" s="5" t="str">
        <f>IFERROR(__xludf.DUMMYFUNCTION("""COMPUTED_VALUE"""),"")</f>
        <v/>
      </c>
      <c r="R2851" s="4" t="str">
        <f>IFERROR(__xludf.DUMMYFUNCTION("""COMPUTED_VALUE"""),"")</f>
        <v/>
      </c>
      <c r="S2851" s="1" t="b">
        <f>IFERROR(__xludf.DUMMYFUNCTION("""COMPUTED_VALUE"""),FALSE)</f>
        <v>0</v>
      </c>
      <c r="T2851" s="1" t="b">
        <f>IFERROR(__xludf.DUMMYFUNCTION("""COMPUTED_VALUE"""),FALSE)</f>
        <v>0</v>
      </c>
      <c r="U2851" s="1" t="str">
        <f>IFERROR(__xludf.DUMMYFUNCTION("""COMPUTED_VALUE"""),"")</f>
        <v/>
      </c>
      <c r="V2851" s="1" t="str">
        <f>IFERROR(__xludf.DUMMYFUNCTION("""COMPUTED_VALUE"""),"")</f>
        <v/>
      </c>
      <c r="W2851" s="1" t="str">
        <f>IFERROR(__xludf.DUMMYFUNCTION("""COMPUTED_VALUE"""),"")</f>
        <v/>
      </c>
      <c r="X2851" s="1" t="str">
        <f>IFERROR(__xludf.DUMMYFUNCTION("""COMPUTED_VALUE"""),"")</f>
        <v/>
      </c>
      <c r="Y2851" s="2"/>
      <c r="Z2851" s="2" t="str">
        <f>IFERROR(__xludf.DUMMYFUNCTION("""COMPUTED_VALUE"""),"")</f>
        <v/>
      </c>
    </row>
    <row r="2852">
      <c r="A2852" s="1" t="str">
        <f>IFERROR(__xludf.DUMMYFUNCTION("""COMPUTED_VALUE"""),"")</f>
        <v/>
      </c>
      <c r="B2852" s="1"/>
      <c r="C2852" s="2"/>
      <c r="D2852" s="2"/>
      <c r="E2852" s="1"/>
      <c r="F2852" s="1"/>
      <c r="G2852" s="4" t="str">
        <f>IFERROR(__xludf.DUMMYFUNCTION("""COMPUTED_VALUE"""),"")</f>
        <v/>
      </c>
      <c r="H2852" s="4" t="str">
        <f>IFERROR(__xludf.DUMMYFUNCTION("""COMPUTED_VALUE"""),"")</f>
        <v/>
      </c>
      <c r="I2852" s="4" t="str">
        <f>IFERROR(__xludf.DUMMYFUNCTION("""COMPUTED_VALUE"""),"")</f>
        <v/>
      </c>
      <c r="J2852" s="4" t="str">
        <f>IFERROR(__xludf.DUMMYFUNCTION("""COMPUTED_VALUE"""),"")</f>
        <v/>
      </c>
      <c r="K2852" s="4" t="str">
        <f>IFERROR(__xludf.DUMMYFUNCTION("""COMPUTED_VALUE"""),"")</f>
        <v/>
      </c>
      <c r="L2852" s="4" t="str">
        <f>IFERROR(__xludf.DUMMYFUNCTION("""COMPUTED_VALUE"""),"")</f>
        <v/>
      </c>
      <c r="M2852" s="1" t="str">
        <f>IFERROR(__xludf.DUMMYFUNCTION("""COMPUTED_VALUE"""),"RFID")</f>
        <v>RFID</v>
      </c>
      <c r="N2852" s="5" t="str">
        <f>IFERROR(__xludf.DUMMYFUNCTION("""COMPUTED_VALUE"""),"")</f>
        <v/>
      </c>
      <c r="O2852" s="5" t="str">
        <f>IFERROR(__xludf.DUMMYFUNCTION("""COMPUTED_VALUE"""),"")</f>
        <v/>
      </c>
      <c r="P2852" s="5" t="str">
        <f>IFERROR(__xludf.DUMMYFUNCTION("""COMPUTED_VALUE"""),"")</f>
        <v/>
      </c>
      <c r="Q2852" s="5" t="str">
        <f>IFERROR(__xludf.DUMMYFUNCTION("""COMPUTED_VALUE"""),"")</f>
        <v/>
      </c>
      <c r="R2852" s="4" t="str">
        <f>IFERROR(__xludf.DUMMYFUNCTION("""COMPUTED_VALUE"""),"")</f>
        <v/>
      </c>
      <c r="S2852" s="1" t="b">
        <f>IFERROR(__xludf.DUMMYFUNCTION("""COMPUTED_VALUE"""),FALSE)</f>
        <v>0</v>
      </c>
      <c r="T2852" s="1" t="b">
        <f>IFERROR(__xludf.DUMMYFUNCTION("""COMPUTED_VALUE"""),FALSE)</f>
        <v>0</v>
      </c>
      <c r="U2852" s="1" t="str">
        <f>IFERROR(__xludf.DUMMYFUNCTION("""COMPUTED_VALUE"""),"")</f>
        <v/>
      </c>
      <c r="V2852" s="1" t="str">
        <f>IFERROR(__xludf.DUMMYFUNCTION("""COMPUTED_VALUE"""),"")</f>
        <v/>
      </c>
      <c r="W2852" s="1" t="str">
        <f>IFERROR(__xludf.DUMMYFUNCTION("""COMPUTED_VALUE"""),"")</f>
        <v/>
      </c>
      <c r="X2852" s="1" t="str">
        <f>IFERROR(__xludf.DUMMYFUNCTION("""COMPUTED_VALUE"""),"")</f>
        <v/>
      </c>
      <c r="Y2852" s="2"/>
      <c r="Z2852" s="2" t="str">
        <f>IFERROR(__xludf.DUMMYFUNCTION("""COMPUTED_VALUE"""),"")</f>
        <v/>
      </c>
    </row>
    <row r="2853">
      <c r="A2853" s="1" t="str">
        <f>IFERROR(__xludf.DUMMYFUNCTION("""COMPUTED_VALUE"""),"")</f>
        <v/>
      </c>
      <c r="B2853" s="1"/>
      <c r="C2853" s="2"/>
      <c r="D2853" s="2"/>
      <c r="E2853" s="1"/>
      <c r="F2853" s="1"/>
      <c r="G2853" s="4" t="str">
        <f>IFERROR(__xludf.DUMMYFUNCTION("""COMPUTED_VALUE"""),"")</f>
        <v/>
      </c>
      <c r="H2853" s="4" t="str">
        <f>IFERROR(__xludf.DUMMYFUNCTION("""COMPUTED_VALUE"""),"")</f>
        <v/>
      </c>
      <c r="I2853" s="4" t="str">
        <f>IFERROR(__xludf.DUMMYFUNCTION("""COMPUTED_VALUE"""),"")</f>
        <v/>
      </c>
      <c r="J2853" s="4" t="str">
        <f>IFERROR(__xludf.DUMMYFUNCTION("""COMPUTED_VALUE"""),"")</f>
        <v/>
      </c>
      <c r="K2853" s="4" t="str">
        <f>IFERROR(__xludf.DUMMYFUNCTION("""COMPUTED_VALUE"""),"")</f>
        <v/>
      </c>
      <c r="L2853" s="4" t="str">
        <f>IFERROR(__xludf.DUMMYFUNCTION("""COMPUTED_VALUE"""),"")</f>
        <v/>
      </c>
      <c r="M2853" s="1" t="str">
        <f>IFERROR(__xludf.DUMMYFUNCTION("""COMPUTED_VALUE"""),"RFID")</f>
        <v>RFID</v>
      </c>
      <c r="N2853" s="5" t="str">
        <f>IFERROR(__xludf.DUMMYFUNCTION("""COMPUTED_VALUE"""),"")</f>
        <v/>
      </c>
      <c r="O2853" s="5" t="str">
        <f>IFERROR(__xludf.DUMMYFUNCTION("""COMPUTED_VALUE"""),"")</f>
        <v/>
      </c>
      <c r="P2853" s="5" t="str">
        <f>IFERROR(__xludf.DUMMYFUNCTION("""COMPUTED_VALUE"""),"")</f>
        <v/>
      </c>
      <c r="Q2853" s="5" t="str">
        <f>IFERROR(__xludf.DUMMYFUNCTION("""COMPUTED_VALUE"""),"")</f>
        <v/>
      </c>
      <c r="R2853" s="4" t="str">
        <f>IFERROR(__xludf.DUMMYFUNCTION("""COMPUTED_VALUE"""),"")</f>
        <v/>
      </c>
      <c r="S2853" s="1" t="b">
        <f>IFERROR(__xludf.DUMMYFUNCTION("""COMPUTED_VALUE"""),FALSE)</f>
        <v>0</v>
      </c>
      <c r="T2853" s="1" t="b">
        <f>IFERROR(__xludf.DUMMYFUNCTION("""COMPUTED_VALUE"""),FALSE)</f>
        <v>0</v>
      </c>
      <c r="U2853" s="1" t="str">
        <f>IFERROR(__xludf.DUMMYFUNCTION("""COMPUTED_VALUE"""),"")</f>
        <v/>
      </c>
      <c r="V2853" s="1" t="str">
        <f>IFERROR(__xludf.DUMMYFUNCTION("""COMPUTED_VALUE"""),"")</f>
        <v/>
      </c>
      <c r="W2853" s="1" t="str">
        <f>IFERROR(__xludf.DUMMYFUNCTION("""COMPUTED_VALUE"""),"")</f>
        <v/>
      </c>
      <c r="X2853" s="1" t="str">
        <f>IFERROR(__xludf.DUMMYFUNCTION("""COMPUTED_VALUE"""),"")</f>
        <v/>
      </c>
      <c r="Y2853" s="2"/>
      <c r="Z2853" s="2" t="str">
        <f>IFERROR(__xludf.DUMMYFUNCTION("""COMPUTED_VALUE"""),"")</f>
        <v/>
      </c>
    </row>
    <row r="2854">
      <c r="A2854" s="1" t="str">
        <f>IFERROR(__xludf.DUMMYFUNCTION("""COMPUTED_VALUE"""),"")</f>
        <v/>
      </c>
      <c r="B2854" s="1"/>
      <c r="C2854" s="2"/>
      <c r="D2854" s="2"/>
      <c r="E2854" s="1"/>
      <c r="F2854" s="1"/>
      <c r="G2854" s="4" t="str">
        <f>IFERROR(__xludf.DUMMYFUNCTION("""COMPUTED_VALUE"""),"")</f>
        <v/>
      </c>
      <c r="H2854" s="4" t="str">
        <f>IFERROR(__xludf.DUMMYFUNCTION("""COMPUTED_VALUE"""),"")</f>
        <v/>
      </c>
      <c r="I2854" s="4" t="str">
        <f>IFERROR(__xludf.DUMMYFUNCTION("""COMPUTED_VALUE"""),"")</f>
        <v/>
      </c>
      <c r="J2854" s="4" t="str">
        <f>IFERROR(__xludf.DUMMYFUNCTION("""COMPUTED_VALUE"""),"")</f>
        <v/>
      </c>
      <c r="K2854" s="4" t="str">
        <f>IFERROR(__xludf.DUMMYFUNCTION("""COMPUTED_VALUE"""),"")</f>
        <v/>
      </c>
      <c r="L2854" s="4" t="str">
        <f>IFERROR(__xludf.DUMMYFUNCTION("""COMPUTED_VALUE"""),"")</f>
        <v/>
      </c>
      <c r="M2854" s="1" t="str">
        <f>IFERROR(__xludf.DUMMYFUNCTION("""COMPUTED_VALUE"""),"RFID")</f>
        <v>RFID</v>
      </c>
      <c r="N2854" s="5" t="str">
        <f>IFERROR(__xludf.DUMMYFUNCTION("""COMPUTED_VALUE"""),"")</f>
        <v/>
      </c>
      <c r="O2854" s="5" t="str">
        <f>IFERROR(__xludf.DUMMYFUNCTION("""COMPUTED_VALUE"""),"")</f>
        <v/>
      </c>
      <c r="P2854" s="5" t="str">
        <f>IFERROR(__xludf.DUMMYFUNCTION("""COMPUTED_VALUE"""),"")</f>
        <v/>
      </c>
      <c r="Q2854" s="5" t="str">
        <f>IFERROR(__xludf.DUMMYFUNCTION("""COMPUTED_VALUE"""),"")</f>
        <v/>
      </c>
      <c r="R2854" s="4" t="str">
        <f>IFERROR(__xludf.DUMMYFUNCTION("""COMPUTED_VALUE"""),"")</f>
        <v/>
      </c>
      <c r="S2854" s="1" t="b">
        <f>IFERROR(__xludf.DUMMYFUNCTION("""COMPUTED_VALUE"""),FALSE)</f>
        <v>0</v>
      </c>
      <c r="T2854" s="1" t="b">
        <f>IFERROR(__xludf.DUMMYFUNCTION("""COMPUTED_VALUE"""),FALSE)</f>
        <v>0</v>
      </c>
      <c r="U2854" s="1" t="str">
        <f>IFERROR(__xludf.DUMMYFUNCTION("""COMPUTED_VALUE"""),"")</f>
        <v/>
      </c>
      <c r="V2854" s="1" t="str">
        <f>IFERROR(__xludf.DUMMYFUNCTION("""COMPUTED_VALUE"""),"")</f>
        <v/>
      </c>
      <c r="W2854" s="1" t="str">
        <f>IFERROR(__xludf.DUMMYFUNCTION("""COMPUTED_VALUE"""),"")</f>
        <v/>
      </c>
      <c r="X2854" s="1" t="str">
        <f>IFERROR(__xludf.DUMMYFUNCTION("""COMPUTED_VALUE"""),"")</f>
        <v/>
      </c>
      <c r="Y2854" s="2"/>
      <c r="Z2854" s="2" t="str">
        <f>IFERROR(__xludf.DUMMYFUNCTION("""COMPUTED_VALUE"""),"")</f>
        <v/>
      </c>
    </row>
    <row r="2855">
      <c r="A2855" s="1" t="str">
        <f>IFERROR(__xludf.DUMMYFUNCTION("""COMPUTED_VALUE"""),"")</f>
        <v/>
      </c>
      <c r="B2855" s="1"/>
      <c r="C2855" s="2"/>
      <c r="D2855" s="2"/>
      <c r="E2855" s="1"/>
      <c r="F2855" s="1"/>
      <c r="G2855" s="4" t="str">
        <f>IFERROR(__xludf.DUMMYFUNCTION("""COMPUTED_VALUE"""),"")</f>
        <v/>
      </c>
      <c r="H2855" s="4" t="str">
        <f>IFERROR(__xludf.DUMMYFUNCTION("""COMPUTED_VALUE"""),"")</f>
        <v/>
      </c>
      <c r="I2855" s="4" t="str">
        <f>IFERROR(__xludf.DUMMYFUNCTION("""COMPUTED_VALUE"""),"")</f>
        <v/>
      </c>
      <c r="J2855" s="4" t="str">
        <f>IFERROR(__xludf.DUMMYFUNCTION("""COMPUTED_VALUE"""),"")</f>
        <v/>
      </c>
      <c r="K2855" s="4" t="str">
        <f>IFERROR(__xludf.DUMMYFUNCTION("""COMPUTED_VALUE"""),"")</f>
        <v/>
      </c>
      <c r="L2855" s="4" t="str">
        <f>IFERROR(__xludf.DUMMYFUNCTION("""COMPUTED_VALUE"""),"")</f>
        <v/>
      </c>
      <c r="M2855" s="1" t="str">
        <f>IFERROR(__xludf.DUMMYFUNCTION("""COMPUTED_VALUE"""),"RFID")</f>
        <v>RFID</v>
      </c>
      <c r="N2855" s="5" t="str">
        <f>IFERROR(__xludf.DUMMYFUNCTION("""COMPUTED_VALUE"""),"")</f>
        <v/>
      </c>
      <c r="O2855" s="5" t="str">
        <f>IFERROR(__xludf.DUMMYFUNCTION("""COMPUTED_VALUE"""),"")</f>
        <v/>
      </c>
      <c r="P2855" s="5" t="str">
        <f>IFERROR(__xludf.DUMMYFUNCTION("""COMPUTED_VALUE"""),"")</f>
        <v/>
      </c>
      <c r="Q2855" s="5" t="str">
        <f>IFERROR(__xludf.DUMMYFUNCTION("""COMPUTED_VALUE"""),"")</f>
        <v/>
      </c>
      <c r="R2855" s="4" t="str">
        <f>IFERROR(__xludf.DUMMYFUNCTION("""COMPUTED_VALUE"""),"")</f>
        <v/>
      </c>
      <c r="S2855" s="1" t="b">
        <f>IFERROR(__xludf.DUMMYFUNCTION("""COMPUTED_VALUE"""),FALSE)</f>
        <v>0</v>
      </c>
      <c r="T2855" s="1" t="b">
        <f>IFERROR(__xludf.DUMMYFUNCTION("""COMPUTED_VALUE"""),FALSE)</f>
        <v>0</v>
      </c>
      <c r="U2855" s="1" t="str">
        <f>IFERROR(__xludf.DUMMYFUNCTION("""COMPUTED_VALUE"""),"")</f>
        <v/>
      </c>
      <c r="V2855" s="1" t="str">
        <f>IFERROR(__xludf.DUMMYFUNCTION("""COMPUTED_VALUE"""),"")</f>
        <v/>
      </c>
      <c r="W2855" s="1" t="str">
        <f>IFERROR(__xludf.DUMMYFUNCTION("""COMPUTED_VALUE"""),"")</f>
        <v/>
      </c>
      <c r="X2855" s="1" t="str">
        <f>IFERROR(__xludf.DUMMYFUNCTION("""COMPUTED_VALUE"""),"")</f>
        <v/>
      </c>
      <c r="Y2855" s="2"/>
      <c r="Z2855" s="2" t="str">
        <f>IFERROR(__xludf.DUMMYFUNCTION("""COMPUTED_VALUE"""),"")</f>
        <v/>
      </c>
    </row>
    <row r="2856">
      <c r="A2856" s="1" t="str">
        <f>IFERROR(__xludf.DUMMYFUNCTION("""COMPUTED_VALUE"""),"")</f>
        <v/>
      </c>
      <c r="B2856" s="1"/>
      <c r="C2856" s="2"/>
      <c r="D2856" s="2"/>
      <c r="E2856" s="1"/>
      <c r="F2856" s="1"/>
      <c r="G2856" s="4" t="str">
        <f>IFERROR(__xludf.DUMMYFUNCTION("""COMPUTED_VALUE"""),"")</f>
        <v/>
      </c>
      <c r="H2856" s="4" t="str">
        <f>IFERROR(__xludf.DUMMYFUNCTION("""COMPUTED_VALUE"""),"")</f>
        <v/>
      </c>
      <c r="I2856" s="4" t="str">
        <f>IFERROR(__xludf.DUMMYFUNCTION("""COMPUTED_VALUE"""),"")</f>
        <v/>
      </c>
      <c r="J2856" s="4" t="str">
        <f>IFERROR(__xludf.DUMMYFUNCTION("""COMPUTED_VALUE"""),"")</f>
        <v/>
      </c>
      <c r="K2856" s="4" t="str">
        <f>IFERROR(__xludf.DUMMYFUNCTION("""COMPUTED_VALUE"""),"")</f>
        <v/>
      </c>
      <c r="L2856" s="4" t="str">
        <f>IFERROR(__xludf.DUMMYFUNCTION("""COMPUTED_VALUE"""),"")</f>
        <v/>
      </c>
      <c r="M2856" s="1" t="str">
        <f>IFERROR(__xludf.DUMMYFUNCTION("""COMPUTED_VALUE"""),"RFID")</f>
        <v>RFID</v>
      </c>
      <c r="N2856" s="5" t="str">
        <f>IFERROR(__xludf.DUMMYFUNCTION("""COMPUTED_VALUE"""),"")</f>
        <v/>
      </c>
      <c r="O2856" s="5" t="str">
        <f>IFERROR(__xludf.DUMMYFUNCTION("""COMPUTED_VALUE"""),"")</f>
        <v/>
      </c>
      <c r="P2856" s="5" t="str">
        <f>IFERROR(__xludf.DUMMYFUNCTION("""COMPUTED_VALUE"""),"")</f>
        <v/>
      </c>
      <c r="Q2856" s="5" t="str">
        <f>IFERROR(__xludf.DUMMYFUNCTION("""COMPUTED_VALUE"""),"")</f>
        <v/>
      </c>
      <c r="R2856" s="4" t="str">
        <f>IFERROR(__xludf.DUMMYFUNCTION("""COMPUTED_VALUE"""),"")</f>
        <v/>
      </c>
      <c r="S2856" s="1" t="b">
        <f>IFERROR(__xludf.DUMMYFUNCTION("""COMPUTED_VALUE"""),FALSE)</f>
        <v>0</v>
      </c>
      <c r="T2856" s="1" t="b">
        <f>IFERROR(__xludf.DUMMYFUNCTION("""COMPUTED_VALUE"""),FALSE)</f>
        <v>0</v>
      </c>
      <c r="U2856" s="1" t="str">
        <f>IFERROR(__xludf.DUMMYFUNCTION("""COMPUTED_VALUE"""),"")</f>
        <v/>
      </c>
      <c r="V2856" s="1" t="str">
        <f>IFERROR(__xludf.DUMMYFUNCTION("""COMPUTED_VALUE"""),"")</f>
        <v/>
      </c>
      <c r="W2856" s="1" t="str">
        <f>IFERROR(__xludf.DUMMYFUNCTION("""COMPUTED_VALUE"""),"")</f>
        <v/>
      </c>
      <c r="X2856" s="1" t="str">
        <f>IFERROR(__xludf.DUMMYFUNCTION("""COMPUTED_VALUE"""),"")</f>
        <v/>
      </c>
      <c r="Y2856" s="2"/>
      <c r="Z2856" s="2" t="str">
        <f>IFERROR(__xludf.DUMMYFUNCTION("""COMPUTED_VALUE"""),"")</f>
        <v/>
      </c>
    </row>
    <row r="2857">
      <c r="A2857" s="1" t="str">
        <f>IFERROR(__xludf.DUMMYFUNCTION("""COMPUTED_VALUE"""),"")</f>
        <v/>
      </c>
      <c r="B2857" s="1"/>
      <c r="C2857" s="2"/>
      <c r="D2857" s="2"/>
      <c r="E2857" s="1"/>
      <c r="F2857" s="1"/>
      <c r="G2857" s="4" t="str">
        <f>IFERROR(__xludf.DUMMYFUNCTION("""COMPUTED_VALUE"""),"")</f>
        <v/>
      </c>
      <c r="H2857" s="4" t="str">
        <f>IFERROR(__xludf.DUMMYFUNCTION("""COMPUTED_VALUE"""),"")</f>
        <v/>
      </c>
      <c r="I2857" s="4" t="str">
        <f>IFERROR(__xludf.DUMMYFUNCTION("""COMPUTED_VALUE"""),"")</f>
        <v/>
      </c>
      <c r="J2857" s="4" t="str">
        <f>IFERROR(__xludf.DUMMYFUNCTION("""COMPUTED_VALUE"""),"")</f>
        <v/>
      </c>
      <c r="K2857" s="4" t="str">
        <f>IFERROR(__xludf.DUMMYFUNCTION("""COMPUTED_VALUE"""),"")</f>
        <v/>
      </c>
      <c r="L2857" s="4" t="str">
        <f>IFERROR(__xludf.DUMMYFUNCTION("""COMPUTED_VALUE"""),"")</f>
        <v/>
      </c>
      <c r="M2857" s="1" t="str">
        <f>IFERROR(__xludf.DUMMYFUNCTION("""COMPUTED_VALUE"""),"RFID")</f>
        <v>RFID</v>
      </c>
      <c r="N2857" s="5" t="str">
        <f>IFERROR(__xludf.DUMMYFUNCTION("""COMPUTED_VALUE"""),"")</f>
        <v/>
      </c>
      <c r="O2857" s="5" t="str">
        <f>IFERROR(__xludf.DUMMYFUNCTION("""COMPUTED_VALUE"""),"")</f>
        <v/>
      </c>
      <c r="P2857" s="5" t="str">
        <f>IFERROR(__xludf.DUMMYFUNCTION("""COMPUTED_VALUE"""),"")</f>
        <v/>
      </c>
      <c r="Q2857" s="5" t="str">
        <f>IFERROR(__xludf.DUMMYFUNCTION("""COMPUTED_VALUE"""),"")</f>
        <v/>
      </c>
      <c r="R2857" s="4" t="str">
        <f>IFERROR(__xludf.DUMMYFUNCTION("""COMPUTED_VALUE"""),"")</f>
        <v/>
      </c>
      <c r="S2857" s="1" t="b">
        <f>IFERROR(__xludf.DUMMYFUNCTION("""COMPUTED_VALUE"""),FALSE)</f>
        <v>0</v>
      </c>
      <c r="T2857" s="1" t="b">
        <f>IFERROR(__xludf.DUMMYFUNCTION("""COMPUTED_VALUE"""),FALSE)</f>
        <v>0</v>
      </c>
      <c r="U2857" s="1" t="str">
        <f>IFERROR(__xludf.DUMMYFUNCTION("""COMPUTED_VALUE"""),"")</f>
        <v/>
      </c>
      <c r="V2857" s="1" t="str">
        <f>IFERROR(__xludf.DUMMYFUNCTION("""COMPUTED_VALUE"""),"")</f>
        <v/>
      </c>
      <c r="W2857" s="1" t="str">
        <f>IFERROR(__xludf.DUMMYFUNCTION("""COMPUTED_VALUE"""),"")</f>
        <v/>
      </c>
      <c r="X2857" s="1" t="str">
        <f>IFERROR(__xludf.DUMMYFUNCTION("""COMPUTED_VALUE"""),"")</f>
        <v/>
      </c>
      <c r="Y2857" s="2"/>
      <c r="Z2857" s="2" t="str">
        <f>IFERROR(__xludf.DUMMYFUNCTION("""COMPUTED_VALUE"""),"")</f>
        <v/>
      </c>
    </row>
    <row r="2858">
      <c r="A2858" s="1" t="str">
        <f>IFERROR(__xludf.DUMMYFUNCTION("""COMPUTED_VALUE"""),"")</f>
        <v/>
      </c>
      <c r="B2858" s="1"/>
      <c r="C2858" s="2"/>
      <c r="D2858" s="2"/>
      <c r="E2858" s="1"/>
      <c r="F2858" s="1"/>
      <c r="G2858" s="4" t="str">
        <f>IFERROR(__xludf.DUMMYFUNCTION("""COMPUTED_VALUE"""),"")</f>
        <v/>
      </c>
      <c r="H2858" s="4" t="str">
        <f>IFERROR(__xludf.DUMMYFUNCTION("""COMPUTED_VALUE"""),"")</f>
        <v/>
      </c>
      <c r="I2858" s="4" t="str">
        <f>IFERROR(__xludf.DUMMYFUNCTION("""COMPUTED_VALUE"""),"")</f>
        <v/>
      </c>
      <c r="J2858" s="4" t="str">
        <f>IFERROR(__xludf.DUMMYFUNCTION("""COMPUTED_VALUE"""),"")</f>
        <v/>
      </c>
      <c r="K2858" s="4" t="str">
        <f>IFERROR(__xludf.DUMMYFUNCTION("""COMPUTED_VALUE"""),"")</f>
        <v/>
      </c>
      <c r="L2858" s="4" t="str">
        <f>IFERROR(__xludf.DUMMYFUNCTION("""COMPUTED_VALUE"""),"")</f>
        <v/>
      </c>
      <c r="M2858" s="1" t="str">
        <f>IFERROR(__xludf.DUMMYFUNCTION("""COMPUTED_VALUE"""),"RFID")</f>
        <v>RFID</v>
      </c>
      <c r="N2858" s="5" t="str">
        <f>IFERROR(__xludf.DUMMYFUNCTION("""COMPUTED_VALUE"""),"")</f>
        <v/>
      </c>
      <c r="O2858" s="5" t="str">
        <f>IFERROR(__xludf.DUMMYFUNCTION("""COMPUTED_VALUE"""),"")</f>
        <v/>
      </c>
      <c r="P2858" s="5" t="str">
        <f>IFERROR(__xludf.DUMMYFUNCTION("""COMPUTED_VALUE"""),"")</f>
        <v/>
      </c>
      <c r="Q2858" s="5" t="str">
        <f>IFERROR(__xludf.DUMMYFUNCTION("""COMPUTED_VALUE"""),"")</f>
        <v/>
      </c>
      <c r="R2858" s="4" t="str">
        <f>IFERROR(__xludf.DUMMYFUNCTION("""COMPUTED_VALUE"""),"")</f>
        <v/>
      </c>
      <c r="S2858" s="1" t="b">
        <f>IFERROR(__xludf.DUMMYFUNCTION("""COMPUTED_VALUE"""),FALSE)</f>
        <v>0</v>
      </c>
      <c r="T2858" s="1" t="b">
        <f>IFERROR(__xludf.DUMMYFUNCTION("""COMPUTED_VALUE"""),FALSE)</f>
        <v>0</v>
      </c>
      <c r="U2858" s="1" t="str">
        <f>IFERROR(__xludf.DUMMYFUNCTION("""COMPUTED_VALUE"""),"")</f>
        <v/>
      </c>
      <c r="V2858" s="1" t="str">
        <f>IFERROR(__xludf.DUMMYFUNCTION("""COMPUTED_VALUE"""),"")</f>
        <v/>
      </c>
      <c r="W2858" s="1" t="str">
        <f>IFERROR(__xludf.DUMMYFUNCTION("""COMPUTED_VALUE"""),"")</f>
        <v/>
      </c>
      <c r="X2858" s="1" t="str">
        <f>IFERROR(__xludf.DUMMYFUNCTION("""COMPUTED_VALUE"""),"")</f>
        <v/>
      </c>
      <c r="Y2858" s="2"/>
      <c r="Z2858" s="2" t="str">
        <f>IFERROR(__xludf.DUMMYFUNCTION("""COMPUTED_VALUE"""),"")</f>
        <v/>
      </c>
    </row>
    <row r="2859">
      <c r="A2859" s="1" t="str">
        <f>IFERROR(__xludf.DUMMYFUNCTION("""COMPUTED_VALUE"""),"")</f>
        <v/>
      </c>
      <c r="B2859" s="1"/>
      <c r="C2859" s="2"/>
      <c r="D2859" s="2"/>
      <c r="E2859" s="1"/>
      <c r="F2859" s="1"/>
      <c r="G2859" s="4" t="str">
        <f>IFERROR(__xludf.DUMMYFUNCTION("""COMPUTED_VALUE"""),"")</f>
        <v/>
      </c>
      <c r="H2859" s="4" t="str">
        <f>IFERROR(__xludf.DUMMYFUNCTION("""COMPUTED_VALUE"""),"")</f>
        <v/>
      </c>
      <c r="I2859" s="4" t="str">
        <f>IFERROR(__xludf.DUMMYFUNCTION("""COMPUTED_VALUE"""),"")</f>
        <v/>
      </c>
      <c r="J2859" s="4" t="str">
        <f>IFERROR(__xludf.DUMMYFUNCTION("""COMPUTED_VALUE"""),"")</f>
        <v/>
      </c>
      <c r="K2859" s="4" t="str">
        <f>IFERROR(__xludf.DUMMYFUNCTION("""COMPUTED_VALUE"""),"")</f>
        <v/>
      </c>
      <c r="L2859" s="4" t="str">
        <f>IFERROR(__xludf.DUMMYFUNCTION("""COMPUTED_VALUE"""),"")</f>
        <v/>
      </c>
      <c r="M2859" s="1" t="str">
        <f>IFERROR(__xludf.DUMMYFUNCTION("""COMPUTED_VALUE"""),"RFID")</f>
        <v>RFID</v>
      </c>
      <c r="N2859" s="5" t="str">
        <f>IFERROR(__xludf.DUMMYFUNCTION("""COMPUTED_VALUE"""),"")</f>
        <v/>
      </c>
      <c r="O2859" s="5" t="str">
        <f>IFERROR(__xludf.DUMMYFUNCTION("""COMPUTED_VALUE"""),"")</f>
        <v/>
      </c>
      <c r="P2859" s="5" t="str">
        <f>IFERROR(__xludf.DUMMYFUNCTION("""COMPUTED_VALUE"""),"")</f>
        <v/>
      </c>
      <c r="Q2859" s="5" t="str">
        <f>IFERROR(__xludf.DUMMYFUNCTION("""COMPUTED_VALUE"""),"")</f>
        <v/>
      </c>
      <c r="R2859" s="4" t="str">
        <f>IFERROR(__xludf.DUMMYFUNCTION("""COMPUTED_VALUE"""),"")</f>
        <v/>
      </c>
      <c r="S2859" s="1" t="b">
        <f>IFERROR(__xludf.DUMMYFUNCTION("""COMPUTED_VALUE"""),FALSE)</f>
        <v>0</v>
      </c>
      <c r="T2859" s="1" t="b">
        <f>IFERROR(__xludf.DUMMYFUNCTION("""COMPUTED_VALUE"""),FALSE)</f>
        <v>0</v>
      </c>
      <c r="U2859" s="1" t="str">
        <f>IFERROR(__xludf.DUMMYFUNCTION("""COMPUTED_VALUE"""),"")</f>
        <v/>
      </c>
      <c r="V2859" s="1" t="str">
        <f>IFERROR(__xludf.DUMMYFUNCTION("""COMPUTED_VALUE"""),"")</f>
        <v/>
      </c>
      <c r="W2859" s="1" t="str">
        <f>IFERROR(__xludf.DUMMYFUNCTION("""COMPUTED_VALUE"""),"")</f>
        <v/>
      </c>
      <c r="X2859" s="1" t="str">
        <f>IFERROR(__xludf.DUMMYFUNCTION("""COMPUTED_VALUE"""),"")</f>
        <v/>
      </c>
      <c r="Y2859" s="2"/>
      <c r="Z2859" s="2" t="str">
        <f>IFERROR(__xludf.DUMMYFUNCTION("""COMPUTED_VALUE"""),"")</f>
        <v/>
      </c>
    </row>
    <row r="2860">
      <c r="A2860" s="1" t="str">
        <f>IFERROR(__xludf.DUMMYFUNCTION("""COMPUTED_VALUE"""),"")</f>
        <v/>
      </c>
      <c r="B2860" s="1"/>
      <c r="C2860" s="2"/>
      <c r="D2860" s="2"/>
      <c r="E2860" s="1"/>
      <c r="F2860" s="1"/>
      <c r="G2860" s="4" t="str">
        <f>IFERROR(__xludf.DUMMYFUNCTION("""COMPUTED_VALUE"""),"")</f>
        <v/>
      </c>
      <c r="H2860" s="4" t="str">
        <f>IFERROR(__xludf.DUMMYFUNCTION("""COMPUTED_VALUE"""),"")</f>
        <v/>
      </c>
      <c r="I2860" s="4" t="str">
        <f>IFERROR(__xludf.DUMMYFUNCTION("""COMPUTED_VALUE"""),"")</f>
        <v/>
      </c>
      <c r="J2860" s="4" t="str">
        <f>IFERROR(__xludf.DUMMYFUNCTION("""COMPUTED_VALUE"""),"")</f>
        <v/>
      </c>
      <c r="K2860" s="4" t="str">
        <f>IFERROR(__xludf.DUMMYFUNCTION("""COMPUTED_VALUE"""),"")</f>
        <v/>
      </c>
      <c r="L2860" s="4" t="str">
        <f>IFERROR(__xludf.DUMMYFUNCTION("""COMPUTED_VALUE"""),"")</f>
        <v/>
      </c>
      <c r="M2860" s="1" t="str">
        <f>IFERROR(__xludf.DUMMYFUNCTION("""COMPUTED_VALUE"""),"RFID")</f>
        <v>RFID</v>
      </c>
      <c r="N2860" s="5" t="str">
        <f>IFERROR(__xludf.DUMMYFUNCTION("""COMPUTED_VALUE"""),"")</f>
        <v/>
      </c>
      <c r="O2860" s="5" t="str">
        <f>IFERROR(__xludf.DUMMYFUNCTION("""COMPUTED_VALUE"""),"")</f>
        <v/>
      </c>
      <c r="P2860" s="5" t="str">
        <f>IFERROR(__xludf.DUMMYFUNCTION("""COMPUTED_VALUE"""),"")</f>
        <v/>
      </c>
      <c r="Q2860" s="5" t="str">
        <f>IFERROR(__xludf.DUMMYFUNCTION("""COMPUTED_VALUE"""),"")</f>
        <v/>
      </c>
      <c r="R2860" s="4" t="str">
        <f>IFERROR(__xludf.DUMMYFUNCTION("""COMPUTED_VALUE"""),"")</f>
        <v/>
      </c>
      <c r="S2860" s="1" t="b">
        <f>IFERROR(__xludf.DUMMYFUNCTION("""COMPUTED_VALUE"""),FALSE)</f>
        <v>0</v>
      </c>
      <c r="T2860" s="1" t="b">
        <f>IFERROR(__xludf.DUMMYFUNCTION("""COMPUTED_VALUE"""),FALSE)</f>
        <v>0</v>
      </c>
      <c r="U2860" s="1" t="str">
        <f>IFERROR(__xludf.DUMMYFUNCTION("""COMPUTED_VALUE"""),"")</f>
        <v/>
      </c>
      <c r="V2860" s="1" t="str">
        <f>IFERROR(__xludf.DUMMYFUNCTION("""COMPUTED_VALUE"""),"")</f>
        <v/>
      </c>
      <c r="W2860" s="1" t="str">
        <f>IFERROR(__xludf.DUMMYFUNCTION("""COMPUTED_VALUE"""),"")</f>
        <v/>
      </c>
      <c r="X2860" s="1" t="str">
        <f>IFERROR(__xludf.DUMMYFUNCTION("""COMPUTED_VALUE"""),"")</f>
        <v/>
      </c>
      <c r="Y2860" s="2"/>
      <c r="Z2860" s="2" t="str">
        <f>IFERROR(__xludf.DUMMYFUNCTION("""COMPUTED_VALUE"""),"")</f>
        <v/>
      </c>
    </row>
    <row r="2861">
      <c r="A2861" s="1" t="str">
        <f>IFERROR(__xludf.DUMMYFUNCTION("""COMPUTED_VALUE"""),"")</f>
        <v/>
      </c>
      <c r="B2861" s="1"/>
      <c r="C2861" s="2"/>
      <c r="D2861" s="2"/>
      <c r="E2861" s="1"/>
      <c r="F2861" s="1"/>
      <c r="G2861" s="4" t="str">
        <f>IFERROR(__xludf.DUMMYFUNCTION("""COMPUTED_VALUE"""),"")</f>
        <v/>
      </c>
      <c r="H2861" s="4" t="str">
        <f>IFERROR(__xludf.DUMMYFUNCTION("""COMPUTED_VALUE"""),"")</f>
        <v/>
      </c>
      <c r="I2861" s="4" t="str">
        <f>IFERROR(__xludf.DUMMYFUNCTION("""COMPUTED_VALUE"""),"")</f>
        <v/>
      </c>
      <c r="J2861" s="4" t="str">
        <f>IFERROR(__xludf.DUMMYFUNCTION("""COMPUTED_VALUE"""),"")</f>
        <v/>
      </c>
      <c r="K2861" s="4" t="str">
        <f>IFERROR(__xludf.DUMMYFUNCTION("""COMPUTED_VALUE"""),"")</f>
        <v/>
      </c>
      <c r="L2861" s="4" t="str">
        <f>IFERROR(__xludf.DUMMYFUNCTION("""COMPUTED_VALUE"""),"")</f>
        <v/>
      </c>
      <c r="M2861" s="1" t="str">
        <f>IFERROR(__xludf.DUMMYFUNCTION("""COMPUTED_VALUE"""),"RFID")</f>
        <v>RFID</v>
      </c>
      <c r="N2861" s="5" t="str">
        <f>IFERROR(__xludf.DUMMYFUNCTION("""COMPUTED_VALUE"""),"")</f>
        <v/>
      </c>
      <c r="O2861" s="5" t="str">
        <f>IFERROR(__xludf.DUMMYFUNCTION("""COMPUTED_VALUE"""),"")</f>
        <v/>
      </c>
      <c r="P2861" s="5" t="str">
        <f>IFERROR(__xludf.DUMMYFUNCTION("""COMPUTED_VALUE"""),"")</f>
        <v/>
      </c>
      <c r="Q2861" s="5" t="str">
        <f>IFERROR(__xludf.DUMMYFUNCTION("""COMPUTED_VALUE"""),"")</f>
        <v/>
      </c>
      <c r="R2861" s="4" t="str">
        <f>IFERROR(__xludf.DUMMYFUNCTION("""COMPUTED_VALUE"""),"")</f>
        <v/>
      </c>
      <c r="S2861" s="1" t="b">
        <f>IFERROR(__xludf.DUMMYFUNCTION("""COMPUTED_VALUE"""),FALSE)</f>
        <v>0</v>
      </c>
      <c r="T2861" s="1" t="b">
        <f>IFERROR(__xludf.DUMMYFUNCTION("""COMPUTED_VALUE"""),FALSE)</f>
        <v>0</v>
      </c>
      <c r="U2861" s="1" t="str">
        <f>IFERROR(__xludf.DUMMYFUNCTION("""COMPUTED_VALUE"""),"")</f>
        <v/>
      </c>
      <c r="V2861" s="1" t="str">
        <f>IFERROR(__xludf.DUMMYFUNCTION("""COMPUTED_VALUE"""),"")</f>
        <v/>
      </c>
      <c r="W2861" s="1" t="str">
        <f>IFERROR(__xludf.DUMMYFUNCTION("""COMPUTED_VALUE"""),"")</f>
        <v/>
      </c>
      <c r="X2861" s="1" t="str">
        <f>IFERROR(__xludf.DUMMYFUNCTION("""COMPUTED_VALUE"""),"")</f>
        <v/>
      </c>
      <c r="Y2861" s="2"/>
      <c r="Z2861" s="2" t="str">
        <f>IFERROR(__xludf.DUMMYFUNCTION("""COMPUTED_VALUE"""),"")</f>
        <v/>
      </c>
    </row>
    <row r="2862">
      <c r="A2862" s="1" t="str">
        <f>IFERROR(__xludf.DUMMYFUNCTION("""COMPUTED_VALUE"""),"")</f>
        <v/>
      </c>
      <c r="B2862" s="1"/>
      <c r="C2862" s="2"/>
      <c r="D2862" s="2"/>
      <c r="E2862" s="1"/>
      <c r="F2862" s="1"/>
      <c r="G2862" s="4" t="str">
        <f>IFERROR(__xludf.DUMMYFUNCTION("""COMPUTED_VALUE"""),"")</f>
        <v/>
      </c>
      <c r="H2862" s="4" t="str">
        <f>IFERROR(__xludf.DUMMYFUNCTION("""COMPUTED_VALUE"""),"")</f>
        <v/>
      </c>
      <c r="I2862" s="4" t="str">
        <f>IFERROR(__xludf.DUMMYFUNCTION("""COMPUTED_VALUE"""),"")</f>
        <v/>
      </c>
      <c r="J2862" s="4" t="str">
        <f>IFERROR(__xludf.DUMMYFUNCTION("""COMPUTED_VALUE"""),"")</f>
        <v/>
      </c>
      <c r="K2862" s="4" t="str">
        <f>IFERROR(__xludf.DUMMYFUNCTION("""COMPUTED_VALUE"""),"")</f>
        <v/>
      </c>
      <c r="L2862" s="4" t="str">
        <f>IFERROR(__xludf.DUMMYFUNCTION("""COMPUTED_VALUE"""),"")</f>
        <v/>
      </c>
      <c r="M2862" s="1" t="str">
        <f>IFERROR(__xludf.DUMMYFUNCTION("""COMPUTED_VALUE"""),"RFID")</f>
        <v>RFID</v>
      </c>
      <c r="N2862" s="5" t="str">
        <f>IFERROR(__xludf.DUMMYFUNCTION("""COMPUTED_VALUE"""),"")</f>
        <v/>
      </c>
      <c r="O2862" s="5" t="str">
        <f>IFERROR(__xludf.DUMMYFUNCTION("""COMPUTED_VALUE"""),"")</f>
        <v/>
      </c>
      <c r="P2862" s="5" t="str">
        <f>IFERROR(__xludf.DUMMYFUNCTION("""COMPUTED_VALUE"""),"")</f>
        <v/>
      </c>
      <c r="Q2862" s="5" t="str">
        <f>IFERROR(__xludf.DUMMYFUNCTION("""COMPUTED_VALUE"""),"")</f>
        <v/>
      </c>
      <c r="R2862" s="4" t="str">
        <f>IFERROR(__xludf.DUMMYFUNCTION("""COMPUTED_VALUE"""),"")</f>
        <v/>
      </c>
      <c r="S2862" s="1" t="b">
        <f>IFERROR(__xludf.DUMMYFUNCTION("""COMPUTED_VALUE"""),FALSE)</f>
        <v>0</v>
      </c>
      <c r="T2862" s="1" t="b">
        <f>IFERROR(__xludf.DUMMYFUNCTION("""COMPUTED_VALUE"""),FALSE)</f>
        <v>0</v>
      </c>
      <c r="U2862" s="1" t="str">
        <f>IFERROR(__xludf.DUMMYFUNCTION("""COMPUTED_VALUE"""),"")</f>
        <v/>
      </c>
      <c r="V2862" s="1" t="str">
        <f>IFERROR(__xludf.DUMMYFUNCTION("""COMPUTED_VALUE"""),"")</f>
        <v/>
      </c>
      <c r="W2862" s="1" t="str">
        <f>IFERROR(__xludf.DUMMYFUNCTION("""COMPUTED_VALUE"""),"")</f>
        <v/>
      </c>
      <c r="X2862" s="1" t="str">
        <f>IFERROR(__xludf.DUMMYFUNCTION("""COMPUTED_VALUE"""),"")</f>
        <v/>
      </c>
      <c r="Y2862" s="2"/>
      <c r="Z2862" s="2" t="str">
        <f>IFERROR(__xludf.DUMMYFUNCTION("""COMPUTED_VALUE"""),"")</f>
        <v/>
      </c>
    </row>
    <row r="2863">
      <c r="A2863" s="1" t="str">
        <f>IFERROR(__xludf.DUMMYFUNCTION("""COMPUTED_VALUE"""),"")</f>
        <v/>
      </c>
      <c r="B2863" s="1"/>
      <c r="C2863" s="2"/>
      <c r="D2863" s="2"/>
      <c r="E2863" s="1"/>
      <c r="F2863" s="1"/>
      <c r="G2863" s="4" t="str">
        <f>IFERROR(__xludf.DUMMYFUNCTION("""COMPUTED_VALUE"""),"")</f>
        <v/>
      </c>
      <c r="H2863" s="4" t="str">
        <f>IFERROR(__xludf.DUMMYFUNCTION("""COMPUTED_VALUE"""),"")</f>
        <v/>
      </c>
      <c r="I2863" s="4" t="str">
        <f>IFERROR(__xludf.DUMMYFUNCTION("""COMPUTED_VALUE"""),"")</f>
        <v/>
      </c>
      <c r="J2863" s="4" t="str">
        <f>IFERROR(__xludf.DUMMYFUNCTION("""COMPUTED_VALUE"""),"")</f>
        <v/>
      </c>
      <c r="K2863" s="4" t="str">
        <f>IFERROR(__xludf.DUMMYFUNCTION("""COMPUTED_VALUE"""),"")</f>
        <v/>
      </c>
      <c r="L2863" s="4" t="str">
        <f>IFERROR(__xludf.DUMMYFUNCTION("""COMPUTED_VALUE"""),"")</f>
        <v/>
      </c>
      <c r="M2863" s="1" t="str">
        <f>IFERROR(__xludf.DUMMYFUNCTION("""COMPUTED_VALUE"""),"RFID")</f>
        <v>RFID</v>
      </c>
      <c r="N2863" s="5" t="str">
        <f>IFERROR(__xludf.DUMMYFUNCTION("""COMPUTED_VALUE"""),"")</f>
        <v/>
      </c>
      <c r="O2863" s="5" t="str">
        <f>IFERROR(__xludf.DUMMYFUNCTION("""COMPUTED_VALUE"""),"")</f>
        <v/>
      </c>
      <c r="P2863" s="5" t="str">
        <f>IFERROR(__xludf.DUMMYFUNCTION("""COMPUTED_VALUE"""),"")</f>
        <v/>
      </c>
      <c r="Q2863" s="5" t="str">
        <f>IFERROR(__xludf.DUMMYFUNCTION("""COMPUTED_VALUE"""),"")</f>
        <v/>
      </c>
      <c r="R2863" s="4" t="str">
        <f>IFERROR(__xludf.DUMMYFUNCTION("""COMPUTED_VALUE"""),"")</f>
        <v/>
      </c>
      <c r="S2863" s="1" t="b">
        <f>IFERROR(__xludf.DUMMYFUNCTION("""COMPUTED_VALUE"""),FALSE)</f>
        <v>0</v>
      </c>
      <c r="T2863" s="1" t="b">
        <f>IFERROR(__xludf.DUMMYFUNCTION("""COMPUTED_VALUE"""),FALSE)</f>
        <v>0</v>
      </c>
      <c r="U2863" s="1" t="str">
        <f>IFERROR(__xludf.DUMMYFUNCTION("""COMPUTED_VALUE"""),"")</f>
        <v/>
      </c>
      <c r="V2863" s="1" t="str">
        <f>IFERROR(__xludf.DUMMYFUNCTION("""COMPUTED_VALUE"""),"")</f>
        <v/>
      </c>
      <c r="W2863" s="1" t="str">
        <f>IFERROR(__xludf.DUMMYFUNCTION("""COMPUTED_VALUE"""),"")</f>
        <v/>
      </c>
      <c r="X2863" s="1" t="str">
        <f>IFERROR(__xludf.DUMMYFUNCTION("""COMPUTED_VALUE"""),"")</f>
        <v/>
      </c>
      <c r="Y2863" s="2"/>
      <c r="Z2863" s="2" t="str">
        <f>IFERROR(__xludf.DUMMYFUNCTION("""COMPUTED_VALUE"""),"")</f>
        <v/>
      </c>
    </row>
    <row r="2864">
      <c r="A2864" s="1" t="str">
        <f>IFERROR(__xludf.DUMMYFUNCTION("""COMPUTED_VALUE"""),"")</f>
        <v/>
      </c>
      <c r="B2864" s="1"/>
      <c r="C2864" s="2"/>
      <c r="D2864" s="2"/>
      <c r="E2864" s="1"/>
      <c r="F2864" s="1"/>
      <c r="G2864" s="4" t="str">
        <f>IFERROR(__xludf.DUMMYFUNCTION("""COMPUTED_VALUE"""),"")</f>
        <v/>
      </c>
      <c r="H2864" s="4" t="str">
        <f>IFERROR(__xludf.DUMMYFUNCTION("""COMPUTED_VALUE"""),"")</f>
        <v/>
      </c>
      <c r="I2864" s="4" t="str">
        <f>IFERROR(__xludf.DUMMYFUNCTION("""COMPUTED_VALUE"""),"")</f>
        <v/>
      </c>
      <c r="J2864" s="4" t="str">
        <f>IFERROR(__xludf.DUMMYFUNCTION("""COMPUTED_VALUE"""),"")</f>
        <v/>
      </c>
      <c r="K2864" s="4" t="str">
        <f>IFERROR(__xludf.DUMMYFUNCTION("""COMPUTED_VALUE"""),"")</f>
        <v/>
      </c>
      <c r="L2864" s="4" t="str">
        <f>IFERROR(__xludf.DUMMYFUNCTION("""COMPUTED_VALUE"""),"")</f>
        <v/>
      </c>
      <c r="M2864" s="1" t="str">
        <f>IFERROR(__xludf.DUMMYFUNCTION("""COMPUTED_VALUE"""),"RFID")</f>
        <v>RFID</v>
      </c>
      <c r="N2864" s="5" t="str">
        <f>IFERROR(__xludf.DUMMYFUNCTION("""COMPUTED_VALUE"""),"")</f>
        <v/>
      </c>
      <c r="O2864" s="5" t="str">
        <f>IFERROR(__xludf.DUMMYFUNCTION("""COMPUTED_VALUE"""),"")</f>
        <v/>
      </c>
      <c r="P2864" s="5" t="str">
        <f>IFERROR(__xludf.DUMMYFUNCTION("""COMPUTED_VALUE"""),"")</f>
        <v/>
      </c>
      <c r="Q2864" s="5" t="str">
        <f>IFERROR(__xludf.DUMMYFUNCTION("""COMPUTED_VALUE"""),"")</f>
        <v/>
      </c>
      <c r="R2864" s="4" t="str">
        <f>IFERROR(__xludf.DUMMYFUNCTION("""COMPUTED_VALUE"""),"")</f>
        <v/>
      </c>
      <c r="S2864" s="1" t="b">
        <f>IFERROR(__xludf.DUMMYFUNCTION("""COMPUTED_VALUE"""),FALSE)</f>
        <v>0</v>
      </c>
      <c r="T2864" s="1" t="b">
        <f>IFERROR(__xludf.DUMMYFUNCTION("""COMPUTED_VALUE"""),FALSE)</f>
        <v>0</v>
      </c>
      <c r="U2864" s="1" t="str">
        <f>IFERROR(__xludf.DUMMYFUNCTION("""COMPUTED_VALUE"""),"")</f>
        <v/>
      </c>
      <c r="V2864" s="1" t="str">
        <f>IFERROR(__xludf.DUMMYFUNCTION("""COMPUTED_VALUE"""),"")</f>
        <v/>
      </c>
      <c r="W2864" s="1" t="str">
        <f>IFERROR(__xludf.DUMMYFUNCTION("""COMPUTED_VALUE"""),"")</f>
        <v/>
      </c>
      <c r="X2864" s="1" t="str">
        <f>IFERROR(__xludf.DUMMYFUNCTION("""COMPUTED_VALUE"""),"")</f>
        <v/>
      </c>
      <c r="Y2864" s="2"/>
      <c r="Z2864" s="2" t="str">
        <f>IFERROR(__xludf.DUMMYFUNCTION("""COMPUTED_VALUE"""),"")</f>
        <v/>
      </c>
    </row>
    <row r="2865">
      <c r="A2865" s="1" t="str">
        <f>IFERROR(__xludf.DUMMYFUNCTION("""COMPUTED_VALUE"""),"")</f>
        <v/>
      </c>
      <c r="B2865" s="1"/>
      <c r="C2865" s="2"/>
      <c r="D2865" s="2"/>
      <c r="E2865" s="1"/>
      <c r="F2865" s="1"/>
      <c r="G2865" s="4" t="str">
        <f>IFERROR(__xludf.DUMMYFUNCTION("""COMPUTED_VALUE"""),"")</f>
        <v/>
      </c>
      <c r="H2865" s="4" t="str">
        <f>IFERROR(__xludf.DUMMYFUNCTION("""COMPUTED_VALUE"""),"")</f>
        <v/>
      </c>
      <c r="I2865" s="4" t="str">
        <f>IFERROR(__xludf.DUMMYFUNCTION("""COMPUTED_VALUE"""),"")</f>
        <v/>
      </c>
      <c r="J2865" s="4" t="str">
        <f>IFERROR(__xludf.DUMMYFUNCTION("""COMPUTED_VALUE"""),"")</f>
        <v/>
      </c>
      <c r="K2865" s="4" t="str">
        <f>IFERROR(__xludf.DUMMYFUNCTION("""COMPUTED_VALUE"""),"")</f>
        <v/>
      </c>
      <c r="L2865" s="4" t="str">
        <f>IFERROR(__xludf.DUMMYFUNCTION("""COMPUTED_VALUE"""),"")</f>
        <v/>
      </c>
      <c r="M2865" s="1" t="str">
        <f>IFERROR(__xludf.DUMMYFUNCTION("""COMPUTED_VALUE"""),"RFID")</f>
        <v>RFID</v>
      </c>
      <c r="N2865" s="5" t="str">
        <f>IFERROR(__xludf.DUMMYFUNCTION("""COMPUTED_VALUE"""),"")</f>
        <v/>
      </c>
      <c r="O2865" s="5" t="str">
        <f>IFERROR(__xludf.DUMMYFUNCTION("""COMPUTED_VALUE"""),"")</f>
        <v/>
      </c>
      <c r="P2865" s="5" t="str">
        <f>IFERROR(__xludf.DUMMYFUNCTION("""COMPUTED_VALUE"""),"")</f>
        <v/>
      </c>
      <c r="Q2865" s="5" t="str">
        <f>IFERROR(__xludf.DUMMYFUNCTION("""COMPUTED_VALUE"""),"")</f>
        <v/>
      </c>
      <c r="R2865" s="4" t="str">
        <f>IFERROR(__xludf.DUMMYFUNCTION("""COMPUTED_VALUE"""),"")</f>
        <v/>
      </c>
      <c r="S2865" s="1" t="b">
        <f>IFERROR(__xludf.DUMMYFUNCTION("""COMPUTED_VALUE"""),FALSE)</f>
        <v>0</v>
      </c>
      <c r="T2865" s="1" t="b">
        <f>IFERROR(__xludf.DUMMYFUNCTION("""COMPUTED_VALUE"""),FALSE)</f>
        <v>0</v>
      </c>
      <c r="U2865" s="1" t="str">
        <f>IFERROR(__xludf.DUMMYFUNCTION("""COMPUTED_VALUE"""),"")</f>
        <v/>
      </c>
      <c r="V2865" s="1" t="str">
        <f>IFERROR(__xludf.DUMMYFUNCTION("""COMPUTED_VALUE"""),"")</f>
        <v/>
      </c>
      <c r="W2865" s="1" t="str">
        <f>IFERROR(__xludf.DUMMYFUNCTION("""COMPUTED_VALUE"""),"")</f>
        <v/>
      </c>
      <c r="X2865" s="1" t="str">
        <f>IFERROR(__xludf.DUMMYFUNCTION("""COMPUTED_VALUE"""),"")</f>
        <v/>
      </c>
      <c r="Y2865" s="2"/>
      <c r="Z2865" s="2" t="str">
        <f>IFERROR(__xludf.DUMMYFUNCTION("""COMPUTED_VALUE"""),"")</f>
        <v/>
      </c>
    </row>
    <row r="2866">
      <c r="A2866" s="1" t="str">
        <f>IFERROR(__xludf.DUMMYFUNCTION("""COMPUTED_VALUE"""),"")</f>
        <v/>
      </c>
      <c r="B2866" s="1"/>
      <c r="C2866" s="2"/>
      <c r="D2866" s="2"/>
      <c r="E2866" s="1"/>
      <c r="F2866" s="1"/>
      <c r="G2866" s="4" t="str">
        <f>IFERROR(__xludf.DUMMYFUNCTION("""COMPUTED_VALUE"""),"")</f>
        <v/>
      </c>
      <c r="H2866" s="4" t="str">
        <f>IFERROR(__xludf.DUMMYFUNCTION("""COMPUTED_VALUE"""),"")</f>
        <v/>
      </c>
      <c r="I2866" s="4" t="str">
        <f>IFERROR(__xludf.DUMMYFUNCTION("""COMPUTED_VALUE"""),"")</f>
        <v/>
      </c>
      <c r="J2866" s="4" t="str">
        <f>IFERROR(__xludf.DUMMYFUNCTION("""COMPUTED_VALUE"""),"")</f>
        <v/>
      </c>
      <c r="K2866" s="4" t="str">
        <f>IFERROR(__xludf.DUMMYFUNCTION("""COMPUTED_VALUE"""),"")</f>
        <v/>
      </c>
      <c r="L2866" s="4" t="str">
        <f>IFERROR(__xludf.DUMMYFUNCTION("""COMPUTED_VALUE"""),"")</f>
        <v/>
      </c>
      <c r="M2866" s="1" t="str">
        <f>IFERROR(__xludf.DUMMYFUNCTION("""COMPUTED_VALUE"""),"RFID")</f>
        <v>RFID</v>
      </c>
      <c r="N2866" s="5" t="str">
        <f>IFERROR(__xludf.DUMMYFUNCTION("""COMPUTED_VALUE"""),"")</f>
        <v/>
      </c>
      <c r="O2866" s="5" t="str">
        <f>IFERROR(__xludf.DUMMYFUNCTION("""COMPUTED_VALUE"""),"")</f>
        <v/>
      </c>
      <c r="P2866" s="5" t="str">
        <f>IFERROR(__xludf.DUMMYFUNCTION("""COMPUTED_VALUE"""),"")</f>
        <v/>
      </c>
      <c r="Q2866" s="5" t="str">
        <f>IFERROR(__xludf.DUMMYFUNCTION("""COMPUTED_VALUE"""),"")</f>
        <v/>
      </c>
      <c r="R2866" s="4" t="str">
        <f>IFERROR(__xludf.DUMMYFUNCTION("""COMPUTED_VALUE"""),"")</f>
        <v/>
      </c>
      <c r="S2866" s="1" t="b">
        <f>IFERROR(__xludf.DUMMYFUNCTION("""COMPUTED_VALUE"""),FALSE)</f>
        <v>0</v>
      </c>
      <c r="T2866" s="1" t="b">
        <f>IFERROR(__xludf.DUMMYFUNCTION("""COMPUTED_VALUE"""),FALSE)</f>
        <v>0</v>
      </c>
      <c r="U2866" s="1" t="str">
        <f>IFERROR(__xludf.DUMMYFUNCTION("""COMPUTED_VALUE"""),"")</f>
        <v/>
      </c>
      <c r="V2866" s="1" t="str">
        <f>IFERROR(__xludf.DUMMYFUNCTION("""COMPUTED_VALUE"""),"")</f>
        <v/>
      </c>
      <c r="W2866" s="1" t="str">
        <f>IFERROR(__xludf.DUMMYFUNCTION("""COMPUTED_VALUE"""),"")</f>
        <v/>
      </c>
      <c r="X2866" s="1" t="str">
        <f>IFERROR(__xludf.DUMMYFUNCTION("""COMPUTED_VALUE"""),"")</f>
        <v/>
      </c>
      <c r="Y2866" s="2"/>
      <c r="Z2866" s="2" t="str">
        <f>IFERROR(__xludf.DUMMYFUNCTION("""COMPUTED_VALUE"""),"")</f>
        <v/>
      </c>
    </row>
    <row r="2867">
      <c r="A2867" s="1" t="str">
        <f>IFERROR(__xludf.DUMMYFUNCTION("""COMPUTED_VALUE"""),"")</f>
        <v/>
      </c>
      <c r="B2867" s="1"/>
      <c r="C2867" s="2"/>
      <c r="D2867" s="2"/>
      <c r="E2867" s="1"/>
      <c r="F2867" s="1"/>
      <c r="G2867" s="4" t="str">
        <f>IFERROR(__xludf.DUMMYFUNCTION("""COMPUTED_VALUE"""),"")</f>
        <v/>
      </c>
      <c r="H2867" s="4" t="str">
        <f>IFERROR(__xludf.DUMMYFUNCTION("""COMPUTED_VALUE"""),"")</f>
        <v/>
      </c>
      <c r="I2867" s="4" t="str">
        <f>IFERROR(__xludf.DUMMYFUNCTION("""COMPUTED_VALUE"""),"")</f>
        <v/>
      </c>
      <c r="J2867" s="4" t="str">
        <f>IFERROR(__xludf.DUMMYFUNCTION("""COMPUTED_VALUE"""),"")</f>
        <v/>
      </c>
      <c r="K2867" s="4" t="str">
        <f>IFERROR(__xludf.DUMMYFUNCTION("""COMPUTED_VALUE"""),"")</f>
        <v/>
      </c>
      <c r="L2867" s="4" t="str">
        <f>IFERROR(__xludf.DUMMYFUNCTION("""COMPUTED_VALUE"""),"")</f>
        <v/>
      </c>
      <c r="M2867" s="1" t="str">
        <f>IFERROR(__xludf.DUMMYFUNCTION("""COMPUTED_VALUE"""),"RFID")</f>
        <v>RFID</v>
      </c>
      <c r="N2867" s="5" t="str">
        <f>IFERROR(__xludf.DUMMYFUNCTION("""COMPUTED_VALUE"""),"")</f>
        <v/>
      </c>
      <c r="O2867" s="5" t="str">
        <f>IFERROR(__xludf.DUMMYFUNCTION("""COMPUTED_VALUE"""),"")</f>
        <v/>
      </c>
      <c r="P2867" s="5" t="str">
        <f>IFERROR(__xludf.DUMMYFUNCTION("""COMPUTED_VALUE"""),"")</f>
        <v/>
      </c>
      <c r="Q2867" s="5" t="str">
        <f>IFERROR(__xludf.DUMMYFUNCTION("""COMPUTED_VALUE"""),"")</f>
        <v/>
      </c>
      <c r="R2867" s="4" t="str">
        <f>IFERROR(__xludf.DUMMYFUNCTION("""COMPUTED_VALUE"""),"")</f>
        <v/>
      </c>
      <c r="S2867" s="1" t="b">
        <f>IFERROR(__xludf.DUMMYFUNCTION("""COMPUTED_VALUE"""),FALSE)</f>
        <v>0</v>
      </c>
      <c r="T2867" s="1" t="b">
        <f>IFERROR(__xludf.DUMMYFUNCTION("""COMPUTED_VALUE"""),FALSE)</f>
        <v>0</v>
      </c>
      <c r="U2867" s="1" t="str">
        <f>IFERROR(__xludf.DUMMYFUNCTION("""COMPUTED_VALUE"""),"")</f>
        <v/>
      </c>
      <c r="V2867" s="1" t="str">
        <f>IFERROR(__xludf.DUMMYFUNCTION("""COMPUTED_VALUE"""),"")</f>
        <v/>
      </c>
      <c r="W2867" s="1" t="str">
        <f>IFERROR(__xludf.DUMMYFUNCTION("""COMPUTED_VALUE"""),"")</f>
        <v/>
      </c>
      <c r="X2867" s="1" t="str">
        <f>IFERROR(__xludf.DUMMYFUNCTION("""COMPUTED_VALUE"""),"")</f>
        <v/>
      </c>
      <c r="Y2867" s="2"/>
      <c r="Z2867" s="2" t="str">
        <f>IFERROR(__xludf.DUMMYFUNCTION("""COMPUTED_VALUE"""),"")</f>
        <v/>
      </c>
    </row>
    <row r="2868">
      <c r="A2868" s="1" t="str">
        <f>IFERROR(__xludf.DUMMYFUNCTION("""COMPUTED_VALUE"""),"")</f>
        <v/>
      </c>
      <c r="B2868" s="1"/>
      <c r="C2868" s="2"/>
      <c r="D2868" s="2"/>
      <c r="E2868" s="1"/>
      <c r="F2868" s="1"/>
      <c r="G2868" s="4" t="str">
        <f>IFERROR(__xludf.DUMMYFUNCTION("""COMPUTED_VALUE"""),"")</f>
        <v/>
      </c>
      <c r="H2868" s="4" t="str">
        <f>IFERROR(__xludf.DUMMYFUNCTION("""COMPUTED_VALUE"""),"")</f>
        <v/>
      </c>
      <c r="I2868" s="4" t="str">
        <f>IFERROR(__xludf.DUMMYFUNCTION("""COMPUTED_VALUE"""),"")</f>
        <v/>
      </c>
      <c r="J2868" s="4" t="str">
        <f>IFERROR(__xludf.DUMMYFUNCTION("""COMPUTED_VALUE"""),"")</f>
        <v/>
      </c>
      <c r="K2868" s="4" t="str">
        <f>IFERROR(__xludf.DUMMYFUNCTION("""COMPUTED_VALUE"""),"")</f>
        <v/>
      </c>
      <c r="L2868" s="4" t="str">
        <f>IFERROR(__xludf.DUMMYFUNCTION("""COMPUTED_VALUE"""),"")</f>
        <v/>
      </c>
      <c r="M2868" s="1" t="str">
        <f>IFERROR(__xludf.DUMMYFUNCTION("""COMPUTED_VALUE"""),"RFID")</f>
        <v>RFID</v>
      </c>
      <c r="N2868" s="5" t="str">
        <f>IFERROR(__xludf.DUMMYFUNCTION("""COMPUTED_VALUE"""),"")</f>
        <v/>
      </c>
      <c r="O2868" s="5" t="str">
        <f>IFERROR(__xludf.DUMMYFUNCTION("""COMPUTED_VALUE"""),"")</f>
        <v/>
      </c>
      <c r="P2868" s="5" t="str">
        <f>IFERROR(__xludf.DUMMYFUNCTION("""COMPUTED_VALUE"""),"")</f>
        <v/>
      </c>
      <c r="Q2868" s="5" t="str">
        <f>IFERROR(__xludf.DUMMYFUNCTION("""COMPUTED_VALUE"""),"")</f>
        <v/>
      </c>
      <c r="R2868" s="4" t="str">
        <f>IFERROR(__xludf.DUMMYFUNCTION("""COMPUTED_VALUE"""),"")</f>
        <v/>
      </c>
      <c r="S2868" s="1" t="b">
        <f>IFERROR(__xludf.DUMMYFUNCTION("""COMPUTED_VALUE"""),FALSE)</f>
        <v>0</v>
      </c>
      <c r="T2868" s="1" t="b">
        <f>IFERROR(__xludf.DUMMYFUNCTION("""COMPUTED_VALUE"""),FALSE)</f>
        <v>0</v>
      </c>
      <c r="U2868" s="1" t="str">
        <f>IFERROR(__xludf.DUMMYFUNCTION("""COMPUTED_VALUE"""),"")</f>
        <v/>
      </c>
      <c r="V2868" s="1" t="str">
        <f>IFERROR(__xludf.DUMMYFUNCTION("""COMPUTED_VALUE"""),"")</f>
        <v/>
      </c>
      <c r="W2868" s="1" t="str">
        <f>IFERROR(__xludf.DUMMYFUNCTION("""COMPUTED_VALUE"""),"")</f>
        <v/>
      </c>
      <c r="X2868" s="1" t="str">
        <f>IFERROR(__xludf.DUMMYFUNCTION("""COMPUTED_VALUE"""),"")</f>
        <v/>
      </c>
      <c r="Y2868" s="2"/>
      <c r="Z2868" s="2" t="str">
        <f>IFERROR(__xludf.DUMMYFUNCTION("""COMPUTED_VALUE"""),"")</f>
        <v/>
      </c>
    </row>
    <row r="2869">
      <c r="A2869" s="1" t="str">
        <f>IFERROR(__xludf.DUMMYFUNCTION("""COMPUTED_VALUE"""),"")</f>
        <v/>
      </c>
      <c r="B2869" s="1"/>
      <c r="C2869" s="2"/>
      <c r="D2869" s="2"/>
      <c r="E2869" s="1"/>
      <c r="F2869" s="1"/>
      <c r="G2869" s="4" t="str">
        <f>IFERROR(__xludf.DUMMYFUNCTION("""COMPUTED_VALUE"""),"")</f>
        <v/>
      </c>
      <c r="H2869" s="4" t="str">
        <f>IFERROR(__xludf.DUMMYFUNCTION("""COMPUTED_VALUE"""),"")</f>
        <v/>
      </c>
      <c r="I2869" s="4" t="str">
        <f>IFERROR(__xludf.DUMMYFUNCTION("""COMPUTED_VALUE"""),"")</f>
        <v/>
      </c>
      <c r="J2869" s="4" t="str">
        <f>IFERROR(__xludf.DUMMYFUNCTION("""COMPUTED_VALUE"""),"")</f>
        <v/>
      </c>
      <c r="K2869" s="4" t="str">
        <f>IFERROR(__xludf.DUMMYFUNCTION("""COMPUTED_VALUE"""),"")</f>
        <v/>
      </c>
      <c r="L2869" s="4" t="str">
        <f>IFERROR(__xludf.DUMMYFUNCTION("""COMPUTED_VALUE"""),"")</f>
        <v/>
      </c>
      <c r="M2869" s="1" t="str">
        <f>IFERROR(__xludf.DUMMYFUNCTION("""COMPUTED_VALUE"""),"RFID")</f>
        <v>RFID</v>
      </c>
      <c r="N2869" s="5" t="str">
        <f>IFERROR(__xludf.DUMMYFUNCTION("""COMPUTED_VALUE"""),"")</f>
        <v/>
      </c>
      <c r="O2869" s="5" t="str">
        <f>IFERROR(__xludf.DUMMYFUNCTION("""COMPUTED_VALUE"""),"")</f>
        <v/>
      </c>
      <c r="P2869" s="5" t="str">
        <f>IFERROR(__xludf.DUMMYFUNCTION("""COMPUTED_VALUE"""),"")</f>
        <v/>
      </c>
      <c r="Q2869" s="5" t="str">
        <f>IFERROR(__xludf.DUMMYFUNCTION("""COMPUTED_VALUE"""),"")</f>
        <v/>
      </c>
      <c r="R2869" s="4" t="str">
        <f>IFERROR(__xludf.DUMMYFUNCTION("""COMPUTED_VALUE"""),"")</f>
        <v/>
      </c>
      <c r="S2869" s="1" t="b">
        <f>IFERROR(__xludf.DUMMYFUNCTION("""COMPUTED_VALUE"""),FALSE)</f>
        <v>0</v>
      </c>
      <c r="T2869" s="1" t="b">
        <f>IFERROR(__xludf.DUMMYFUNCTION("""COMPUTED_VALUE"""),FALSE)</f>
        <v>0</v>
      </c>
      <c r="U2869" s="1" t="str">
        <f>IFERROR(__xludf.DUMMYFUNCTION("""COMPUTED_VALUE"""),"")</f>
        <v/>
      </c>
      <c r="V2869" s="1" t="str">
        <f>IFERROR(__xludf.DUMMYFUNCTION("""COMPUTED_VALUE"""),"")</f>
        <v/>
      </c>
      <c r="W2869" s="1" t="str">
        <f>IFERROR(__xludf.DUMMYFUNCTION("""COMPUTED_VALUE"""),"")</f>
        <v/>
      </c>
      <c r="X2869" s="1" t="str">
        <f>IFERROR(__xludf.DUMMYFUNCTION("""COMPUTED_VALUE"""),"")</f>
        <v/>
      </c>
      <c r="Y2869" s="2"/>
      <c r="Z2869" s="2" t="str">
        <f>IFERROR(__xludf.DUMMYFUNCTION("""COMPUTED_VALUE"""),"")</f>
        <v/>
      </c>
    </row>
    <row r="2870">
      <c r="A2870" s="1" t="str">
        <f>IFERROR(__xludf.DUMMYFUNCTION("""COMPUTED_VALUE"""),"")</f>
        <v/>
      </c>
      <c r="B2870" s="1"/>
      <c r="C2870" s="2"/>
      <c r="D2870" s="2"/>
      <c r="E2870" s="1"/>
      <c r="F2870" s="1"/>
      <c r="G2870" s="4" t="str">
        <f>IFERROR(__xludf.DUMMYFUNCTION("""COMPUTED_VALUE"""),"")</f>
        <v/>
      </c>
      <c r="H2870" s="4" t="str">
        <f>IFERROR(__xludf.DUMMYFUNCTION("""COMPUTED_VALUE"""),"")</f>
        <v/>
      </c>
      <c r="I2870" s="4" t="str">
        <f>IFERROR(__xludf.DUMMYFUNCTION("""COMPUTED_VALUE"""),"")</f>
        <v/>
      </c>
      <c r="J2870" s="4" t="str">
        <f>IFERROR(__xludf.DUMMYFUNCTION("""COMPUTED_VALUE"""),"")</f>
        <v/>
      </c>
      <c r="K2870" s="4" t="str">
        <f>IFERROR(__xludf.DUMMYFUNCTION("""COMPUTED_VALUE"""),"")</f>
        <v/>
      </c>
      <c r="L2870" s="4" t="str">
        <f>IFERROR(__xludf.DUMMYFUNCTION("""COMPUTED_VALUE"""),"")</f>
        <v/>
      </c>
      <c r="M2870" s="1" t="str">
        <f>IFERROR(__xludf.DUMMYFUNCTION("""COMPUTED_VALUE"""),"RFID")</f>
        <v>RFID</v>
      </c>
      <c r="N2870" s="5" t="str">
        <f>IFERROR(__xludf.DUMMYFUNCTION("""COMPUTED_VALUE"""),"")</f>
        <v/>
      </c>
      <c r="O2870" s="5" t="str">
        <f>IFERROR(__xludf.DUMMYFUNCTION("""COMPUTED_VALUE"""),"")</f>
        <v/>
      </c>
      <c r="P2870" s="5" t="str">
        <f>IFERROR(__xludf.DUMMYFUNCTION("""COMPUTED_VALUE"""),"")</f>
        <v/>
      </c>
      <c r="Q2870" s="5" t="str">
        <f>IFERROR(__xludf.DUMMYFUNCTION("""COMPUTED_VALUE"""),"")</f>
        <v/>
      </c>
      <c r="R2870" s="4" t="str">
        <f>IFERROR(__xludf.DUMMYFUNCTION("""COMPUTED_VALUE"""),"")</f>
        <v/>
      </c>
      <c r="S2870" s="1" t="b">
        <f>IFERROR(__xludf.DUMMYFUNCTION("""COMPUTED_VALUE"""),FALSE)</f>
        <v>0</v>
      </c>
      <c r="T2870" s="1" t="b">
        <f>IFERROR(__xludf.DUMMYFUNCTION("""COMPUTED_VALUE"""),FALSE)</f>
        <v>0</v>
      </c>
      <c r="U2870" s="1" t="str">
        <f>IFERROR(__xludf.DUMMYFUNCTION("""COMPUTED_VALUE"""),"")</f>
        <v/>
      </c>
      <c r="V2870" s="1" t="str">
        <f>IFERROR(__xludf.DUMMYFUNCTION("""COMPUTED_VALUE"""),"")</f>
        <v/>
      </c>
      <c r="W2870" s="1" t="str">
        <f>IFERROR(__xludf.DUMMYFUNCTION("""COMPUTED_VALUE"""),"")</f>
        <v/>
      </c>
      <c r="X2870" s="1" t="str">
        <f>IFERROR(__xludf.DUMMYFUNCTION("""COMPUTED_VALUE"""),"")</f>
        <v/>
      </c>
      <c r="Y2870" s="2"/>
      <c r="Z2870" s="2" t="str">
        <f>IFERROR(__xludf.DUMMYFUNCTION("""COMPUTED_VALUE"""),"")</f>
        <v/>
      </c>
    </row>
    <row r="2871">
      <c r="A2871" s="1" t="str">
        <f>IFERROR(__xludf.DUMMYFUNCTION("""COMPUTED_VALUE"""),"")</f>
        <v/>
      </c>
      <c r="B2871" s="1"/>
      <c r="C2871" s="2"/>
      <c r="D2871" s="2"/>
      <c r="E2871" s="1"/>
      <c r="F2871" s="1"/>
      <c r="G2871" s="4" t="str">
        <f>IFERROR(__xludf.DUMMYFUNCTION("""COMPUTED_VALUE"""),"")</f>
        <v/>
      </c>
      <c r="H2871" s="4" t="str">
        <f>IFERROR(__xludf.DUMMYFUNCTION("""COMPUTED_VALUE"""),"")</f>
        <v/>
      </c>
      <c r="I2871" s="4" t="str">
        <f>IFERROR(__xludf.DUMMYFUNCTION("""COMPUTED_VALUE"""),"")</f>
        <v/>
      </c>
      <c r="J2871" s="4" t="str">
        <f>IFERROR(__xludf.DUMMYFUNCTION("""COMPUTED_VALUE"""),"")</f>
        <v/>
      </c>
      <c r="K2871" s="4" t="str">
        <f>IFERROR(__xludf.DUMMYFUNCTION("""COMPUTED_VALUE"""),"")</f>
        <v/>
      </c>
      <c r="L2871" s="4" t="str">
        <f>IFERROR(__xludf.DUMMYFUNCTION("""COMPUTED_VALUE"""),"")</f>
        <v/>
      </c>
      <c r="M2871" s="1" t="str">
        <f>IFERROR(__xludf.DUMMYFUNCTION("""COMPUTED_VALUE"""),"RFID")</f>
        <v>RFID</v>
      </c>
      <c r="N2871" s="5" t="str">
        <f>IFERROR(__xludf.DUMMYFUNCTION("""COMPUTED_VALUE"""),"")</f>
        <v/>
      </c>
      <c r="O2871" s="5" t="str">
        <f>IFERROR(__xludf.DUMMYFUNCTION("""COMPUTED_VALUE"""),"")</f>
        <v/>
      </c>
      <c r="P2871" s="5" t="str">
        <f>IFERROR(__xludf.DUMMYFUNCTION("""COMPUTED_VALUE"""),"")</f>
        <v/>
      </c>
      <c r="Q2871" s="5" t="str">
        <f>IFERROR(__xludf.DUMMYFUNCTION("""COMPUTED_VALUE"""),"")</f>
        <v/>
      </c>
      <c r="R2871" s="4" t="str">
        <f>IFERROR(__xludf.DUMMYFUNCTION("""COMPUTED_VALUE"""),"")</f>
        <v/>
      </c>
      <c r="S2871" s="1" t="b">
        <f>IFERROR(__xludf.DUMMYFUNCTION("""COMPUTED_VALUE"""),FALSE)</f>
        <v>0</v>
      </c>
      <c r="T2871" s="1" t="b">
        <f>IFERROR(__xludf.DUMMYFUNCTION("""COMPUTED_VALUE"""),FALSE)</f>
        <v>0</v>
      </c>
      <c r="U2871" s="1" t="str">
        <f>IFERROR(__xludf.DUMMYFUNCTION("""COMPUTED_VALUE"""),"")</f>
        <v/>
      </c>
      <c r="V2871" s="1" t="str">
        <f>IFERROR(__xludf.DUMMYFUNCTION("""COMPUTED_VALUE"""),"")</f>
        <v/>
      </c>
      <c r="W2871" s="1" t="str">
        <f>IFERROR(__xludf.DUMMYFUNCTION("""COMPUTED_VALUE"""),"")</f>
        <v/>
      </c>
      <c r="X2871" s="1" t="str">
        <f>IFERROR(__xludf.DUMMYFUNCTION("""COMPUTED_VALUE"""),"")</f>
        <v/>
      </c>
      <c r="Y2871" s="2"/>
      <c r="Z2871" s="2" t="str">
        <f>IFERROR(__xludf.DUMMYFUNCTION("""COMPUTED_VALUE"""),"")</f>
        <v/>
      </c>
    </row>
    <row r="2872">
      <c r="A2872" s="1" t="str">
        <f>IFERROR(__xludf.DUMMYFUNCTION("""COMPUTED_VALUE"""),"")</f>
        <v/>
      </c>
      <c r="B2872" s="1"/>
      <c r="C2872" s="2"/>
      <c r="D2872" s="2"/>
      <c r="E2872" s="1"/>
      <c r="F2872" s="1"/>
      <c r="G2872" s="4" t="str">
        <f>IFERROR(__xludf.DUMMYFUNCTION("""COMPUTED_VALUE"""),"")</f>
        <v/>
      </c>
      <c r="H2872" s="4" t="str">
        <f>IFERROR(__xludf.DUMMYFUNCTION("""COMPUTED_VALUE"""),"")</f>
        <v/>
      </c>
      <c r="I2872" s="4" t="str">
        <f>IFERROR(__xludf.DUMMYFUNCTION("""COMPUTED_VALUE"""),"")</f>
        <v/>
      </c>
      <c r="J2872" s="4" t="str">
        <f>IFERROR(__xludf.DUMMYFUNCTION("""COMPUTED_VALUE"""),"")</f>
        <v/>
      </c>
      <c r="K2872" s="4" t="str">
        <f>IFERROR(__xludf.DUMMYFUNCTION("""COMPUTED_VALUE"""),"")</f>
        <v/>
      </c>
      <c r="L2872" s="4" t="str">
        <f>IFERROR(__xludf.DUMMYFUNCTION("""COMPUTED_VALUE"""),"")</f>
        <v/>
      </c>
      <c r="M2872" s="1" t="str">
        <f>IFERROR(__xludf.DUMMYFUNCTION("""COMPUTED_VALUE"""),"RFID")</f>
        <v>RFID</v>
      </c>
      <c r="N2872" s="5" t="str">
        <f>IFERROR(__xludf.DUMMYFUNCTION("""COMPUTED_VALUE"""),"")</f>
        <v/>
      </c>
      <c r="O2872" s="5" t="str">
        <f>IFERROR(__xludf.DUMMYFUNCTION("""COMPUTED_VALUE"""),"")</f>
        <v/>
      </c>
      <c r="P2872" s="5" t="str">
        <f>IFERROR(__xludf.DUMMYFUNCTION("""COMPUTED_VALUE"""),"")</f>
        <v/>
      </c>
      <c r="Q2872" s="5" t="str">
        <f>IFERROR(__xludf.DUMMYFUNCTION("""COMPUTED_VALUE"""),"")</f>
        <v/>
      </c>
      <c r="R2872" s="4" t="str">
        <f>IFERROR(__xludf.DUMMYFUNCTION("""COMPUTED_VALUE"""),"")</f>
        <v/>
      </c>
      <c r="S2872" s="1" t="b">
        <f>IFERROR(__xludf.DUMMYFUNCTION("""COMPUTED_VALUE"""),FALSE)</f>
        <v>0</v>
      </c>
      <c r="T2872" s="1" t="b">
        <f>IFERROR(__xludf.DUMMYFUNCTION("""COMPUTED_VALUE"""),FALSE)</f>
        <v>0</v>
      </c>
      <c r="U2872" s="1" t="str">
        <f>IFERROR(__xludf.DUMMYFUNCTION("""COMPUTED_VALUE"""),"")</f>
        <v/>
      </c>
      <c r="V2872" s="1" t="str">
        <f>IFERROR(__xludf.DUMMYFUNCTION("""COMPUTED_VALUE"""),"")</f>
        <v/>
      </c>
      <c r="W2872" s="1" t="str">
        <f>IFERROR(__xludf.DUMMYFUNCTION("""COMPUTED_VALUE"""),"")</f>
        <v/>
      </c>
      <c r="X2872" s="1" t="str">
        <f>IFERROR(__xludf.DUMMYFUNCTION("""COMPUTED_VALUE"""),"")</f>
        <v/>
      </c>
      <c r="Y2872" s="2"/>
      <c r="Z2872" s="2" t="str">
        <f>IFERROR(__xludf.DUMMYFUNCTION("""COMPUTED_VALUE"""),"")</f>
        <v/>
      </c>
    </row>
    <row r="2873">
      <c r="A2873" s="1" t="str">
        <f>IFERROR(__xludf.DUMMYFUNCTION("""COMPUTED_VALUE"""),"")</f>
        <v/>
      </c>
      <c r="B2873" s="1"/>
      <c r="C2873" s="2"/>
      <c r="D2873" s="2"/>
      <c r="E2873" s="1"/>
      <c r="F2873" s="1"/>
      <c r="G2873" s="4" t="str">
        <f>IFERROR(__xludf.DUMMYFUNCTION("""COMPUTED_VALUE"""),"")</f>
        <v/>
      </c>
      <c r="H2873" s="4" t="str">
        <f>IFERROR(__xludf.DUMMYFUNCTION("""COMPUTED_VALUE"""),"")</f>
        <v/>
      </c>
      <c r="I2873" s="4" t="str">
        <f>IFERROR(__xludf.DUMMYFUNCTION("""COMPUTED_VALUE"""),"")</f>
        <v/>
      </c>
      <c r="J2873" s="4" t="str">
        <f>IFERROR(__xludf.DUMMYFUNCTION("""COMPUTED_VALUE"""),"")</f>
        <v/>
      </c>
      <c r="K2873" s="4" t="str">
        <f>IFERROR(__xludf.DUMMYFUNCTION("""COMPUTED_VALUE"""),"")</f>
        <v/>
      </c>
      <c r="L2873" s="4" t="str">
        <f>IFERROR(__xludf.DUMMYFUNCTION("""COMPUTED_VALUE"""),"")</f>
        <v/>
      </c>
      <c r="M2873" s="1" t="str">
        <f>IFERROR(__xludf.DUMMYFUNCTION("""COMPUTED_VALUE"""),"RFID")</f>
        <v>RFID</v>
      </c>
      <c r="N2873" s="5" t="str">
        <f>IFERROR(__xludf.DUMMYFUNCTION("""COMPUTED_VALUE"""),"")</f>
        <v/>
      </c>
      <c r="O2873" s="5" t="str">
        <f>IFERROR(__xludf.DUMMYFUNCTION("""COMPUTED_VALUE"""),"")</f>
        <v/>
      </c>
      <c r="P2873" s="5" t="str">
        <f>IFERROR(__xludf.DUMMYFUNCTION("""COMPUTED_VALUE"""),"")</f>
        <v/>
      </c>
      <c r="Q2873" s="5" t="str">
        <f>IFERROR(__xludf.DUMMYFUNCTION("""COMPUTED_VALUE"""),"")</f>
        <v/>
      </c>
      <c r="R2873" s="4" t="str">
        <f>IFERROR(__xludf.DUMMYFUNCTION("""COMPUTED_VALUE"""),"")</f>
        <v/>
      </c>
      <c r="S2873" s="1" t="b">
        <f>IFERROR(__xludf.DUMMYFUNCTION("""COMPUTED_VALUE"""),FALSE)</f>
        <v>0</v>
      </c>
      <c r="T2873" s="1" t="b">
        <f>IFERROR(__xludf.DUMMYFUNCTION("""COMPUTED_VALUE"""),FALSE)</f>
        <v>0</v>
      </c>
      <c r="U2873" s="1" t="str">
        <f>IFERROR(__xludf.DUMMYFUNCTION("""COMPUTED_VALUE"""),"")</f>
        <v/>
      </c>
      <c r="V2873" s="1" t="str">
        <f>IFERROR(__xludf.DUMMYFUNCTION("""COMPUTED_VALUE"""),"")</f>
        <v/>
      </c>
      <c r="W2873" s="1" t="str">
        <f>IFERROR(__xludf.DUMMYFUNCTION("""COMPUTED_VALUE"""),"")</f>
        <v/>
      </c>
      <c r="X2873" s="1" t="str">
        <f>IFERROR(__xludf.DUMMYFUNCTION("""COMPUTED_VALUE"""),"")</f>
        <v/>
      </c>
      <c r="Y2873" s="2"/>
      <c r="Z2873" s="2" t="str">
        <f>IFERROR(__xludf.DUMMYFUNCTION("""COMPUTED_VALUE"""),"")</f>
        <v/>
      </c>
    </row>
    <row r="2874">
      <c r="A2874" s="1" t="str">
        <f>IFERROR(__xludf.DUMMYFUNCTION("""COMPUTED_VALUE"""),"")</f>
        <v/>
      </c>
      <c r="B2874" s="1"/>
      <c r="C2874" s="2"/>
      <c r="D2874" s="2"/>
      <c r="E2874" s="1"/>
      <c r="F2874" s="1"/>
      <c r="G2874" s="4" t="str">
        <f>IFERROR(__xludf.DUMMYFUNCTION("""COMPUTED_VALUE"""),"")</f>
        <v/>
      </c>
      <c r="H2874" s="4" t="str">
        <f>IFERROR(__xludf.DUMMYFUNCTION("""COMPUTED_VALUE"""),"")</f>
        <v/>
      </c>
      <c r="I2874" s="4" t="str">
        <f>IFERROR(__xludf.DUMMYFUNCTION("""COMPUTED_VALUE"""),"")</f>
        <v/>
      </c>
      <c r="J2874" s="4" t="str">
        <f>IFERROR(__xludf.DUMMYFUNCTION("""COMPUTED_VALUE"""),"")</f>
        <v/>
      </c>
      <c r="K2874" s="4" t="str">
        <f>IFERROR(__xludf.DUMMYFUNCTION("""COMPUTED_VALUE"""),"")</f>
        <v/>
      </c>
      <c r="L2874" s="4" t="str">
        <f>IFERROR(__xludf.DUMMYFUNCTION("""COMPUTED_VALUE"""),"")</f>
        <v/>
      </c>
      <c r="M2874" s="1" t="str">
        <f>IFERROR(__xludf.DUMMYFUNCTION("""COMPUTED_VALUE"""),"RFID")</f>
        <v>RFID</v>
      </c>
      <c r="N2874" s="5" t="str">
        <f>IFERROR(__xludf.DUMMYFUNCTION("""COMPUTED_VALUE"""),"")</f>
        <v/>
      </c>
      <c r="O2874" s="5" t="str">
        <f>IFERROR(__xludf.DUMMYFUNCTION("""COMPUTED_VALUE"""),"")</f>
        <v/>
      </c>
      <c r="P2874" s="5" t="str">
        <f>IFERROR(__xludf.DUMMYFUNCTION("""COMPUTED_VALUE"""),"")</f>
        <v/>
      </c>
      <c r="Q2874" s="5" t="str">
        <f>IFERROR(__xludf.DUMMYFUNCTION("""COMPUTED_VALUE"""),"")</f>
        <v/>
      </c>
      <c r="R2874" s="4" t="str">
        <f>IFERROR(__xludf.DUMMYFUNCTION("""COMPUTED_VALUE"""),"")</f>
        <v/>
      </c>
      <c r="S2874" s="1" t="b">
        <f>IFERROR(__xludf.DUMMYFUNCTION("""COMPUTED_VALUE"""),FALSE)</f>
        <v>0</v>
      </c>
      <c r="T2874" s="1" t="b">
        <f>IFERROR(__xludf.DUMMYFUNCTION("""COMPUTED_VALUE"""),FALSE)</f>
        <v>0</v>
      </c>
      <c r="U2874" s="1" t="str">
        <f>IFERROR(__xludf.DUMMYFUNCTION("""COMPUTED_VALUE"""),"")</f>
        <v/>
      </c>
      <c r="V2874" s="1" t="str">
        <f>IFERROR(__xludf.DUMMYFUNCTION("""COMPUTED_VALUE"""),"")</f>
        <v/>
      </c>
      <c r="W2874" s="1" t="str">
        <f>IFERROR(__xludf.DUMMYFUNCTION("""COMPUTED_VALUE"""),"")</f>
        <v/>
      </c>
      <c r="X2874" s="1" t="str">
        <f>IFERROR(__xludf.DUMMYFUNCTION("""COMPUTED_VALUE"""),"")</f>
        <v/>
      </c>
      <c r="Y2874" s="2"/>
      <c r="Z2874" s="2" t="str">
        <f>IFERROR(__xludf.DUMMYFUNCTION("""COMPUTED_VALUE"""),"")</f>
        <v/>
      </c>
    </row>
    <row r="2875">
      <c r="A2875" s="1" t="str">
        <f>IFERROR(__xludf.DUMMYFUNCTION("""COMPUTED_VALUE"""),"")</f>
        <v/>
      </c>
      <c r="B2875" s="1"/>
      <c r="C2875" s="2"/>
      <c r="D2875" s="2"/>
      <c r="E2875" s="1"/>
      <c r="F2875" s="1"/>
      <c r="G2875" s="4" t="str">
        <f>IFERROR(__xludf.DUMMYFUNCTION("""COMPUTED_VALUE"""),"")</f>
        <v/>
      </c>
      <c r="H2875" s="4" t="str">
        <f>IFERROR(__xludf.DUMMYFUNCTION("""COMPUTED_VALUE"""),"")</f>
        <v/>
      </c>
      <c r="I2875" s="4" t="str">
        <f>IFERROR(__xludf.DUMMYFUNCTION("""COMPUTED_VALUE"""),"")</f>
        <v/>
      </c>
      <c r="J2875" s="4" t="str">
        <f>IFERROR(__xludf.DUMMYFUNCTION("""COMPUTED_VALUE"""),"")</f>
        <v/>
      </c>
      <c r="K2875" s="4" t="str">
        <f>IFERROR(__xludf.DUMMYFUNCTION("""COMPUTED_VALUE"""),"")</f>
        <v/>
      </c>
      <c r="L2875" s="4" t="str">
        <f>IFERROR(__xludf.DUMMYFUNCTION("""COMPUTED_VALUE"""),"")</f>
        <v/>
      </c>
      <c r="M2875" s="1" t="str">
        <f>IFERROR(__xludf.DUMMYFUNCTION("""COMPUTED_VALUE"""),"RFID")</f>
        <v>RFID</v>
      </c>
      <c r="N2875" s="5" t="str">
        <f>IFERROR(__xludf.DUMMYFUNCTION("""COMPUTED_VALUE"""),"")</f>
        <v/>
      </c>
      <c r="O2875" s="5" t="str">
        <f>IFERROR(__xludf.DUMMYFUNCTION("""COMPUTED_VALUE"""),"")</f>
        <v/>
      </c>
      <c r="P2875" s="5" t="str">
        <f>IFERROR(__xludf.DUMMYFUNCTION("""COMPUTED_VALUE"""),"")</f>
        <v/>
      </c>
      <c r="Q2875" s="5" t="str">
        <f>IFERROR(__xludf.DUMMYFUNCTION("""COMPUTED_VALUE"""),"")</f>
        <v/>
      </c>
      <c r="R2875" s="4" t="str">
        <f>IFERROR(__xludf.DUMMYFUNCTION("""COMPUTED_VALUE"""),"")</f>
        <v/>
      </c>
      <c r="S2875" s="1" t="b">
        <f>IFERROR(__xludf.DUMMYFUNCTION("""COMPUTED_VALUE"""),FALSE)</f>
        <v>0</v>
      </c>
      <c r="T2875" s="1" t="b">
        <f>IFERROR(__xludf.DUMMYFUNCTION("""COMPUTED_VALUE"""),FALSE)</f>
        <v>0</v>
      </c>
      <c r="U2875" s="1" t="str">
        <f>IFERROR(__xludf.DUMMYFUNCTION("""COMPUTED_VALUE"""),"")</f>
        <v/>
      </c>
      <c r="V2875" s="1" t="str">
        <f>IFERROR(__xludf.DUMMYFUNCTION("""COMPUTED_VALUE"""),"")</f>
        <v/>
      </c>
      <c r="W2875" s="1" t="str">
        <f>IFERROR(__xludf.DUMMYFUNCTION("""COMPUTED_VALUE"""),"")</f>
        <v/>
      </c>
      <c r="X2875" s="1" t="str">
        <f>IFERROR(__xludf.DUMMYFUNCTION("""COMPUTED_VALUE"""),"")</f>
        <v/>
      </c>
      <c r="Y2875" s="2"/>
      <c r="Z2875" s="2" t="str">
        <f>IFERROR(__xludf.DUMMYFUNCTION("""COMPUTED_VALUE"""),"")</f>
        <v/>
      </c>
    </row>
    <row r="2876">
      <c r="A2876" s="1" t="str">
        <f>IFERROR(__xludf.DUMMYFUNCTION("""COMPUTED_VALUE"""),"")</f>
        <v/>
      </c>
      <c r="B2876" s="1"/>
      <c r="C2876" s="2"/>
      <c r="D2876" s="2"/>
      <c r="E2876" s="1"/>
      <c r="F2876" s="1"/>
      <c r="G2876" s="4" t="str">
        <f>IFERROR(__xludf.DUMMYFUNCTION("""COMPUTED_VALUE"""),"")</f>
        <v/>
      </c>
      <c r="H2876" s="4" t="str">
        <f>IFERROR(__xludf.DUMMYFUNCTION("""COMPUTED_VALUE"""),"")</f>
        <v/>
      </c>
      <c r="I2876" s="4" t="str">
        <f>IFERROR(__xludf.DUMMYFUNCTION("""COMPUTED_VALUE"""),"")</f>
        <v/>
      </c>
      <c r="J2876" s="4" t="str">
        <f>IFERROR(__xludf.DUMMYFUNCTION("""COMPUTED_VALUE"""),"")</f>
        <v/>
      </c>
      <c r="K2876" s="4" t="str">
        <f>IFERROR(__xludf.DUMMYFUNCTION("""COMPUTED_VALUE"""),"")</f>
        <v/>
      </c>
      <c r="L2876" s="4" t="str">
        <f>IFERROR(__xludf.DUMMYFUNCTION("""COMPUTED_VALUE"""),"")</f>
        <v/>
      </c>
      <c r="M2876" s="1" t="str">
        <f>IFERROR(__xludf.DUMMYFUNCTION("""COMPUTED_VALUE"""),"RFID")</f>
        <v>RFID</v>
      </c>
      <c r="N2876" s="5" t="str">
        <f>IFERROR(__xludf.DUMMYFUNCTION("""COMPUTED_VALUE"""),"")</f>
        <v/>
      </c>
      <c r="O2876" s="5" t="str">
        <f>IFERROR(__xludf.DUMMYFUNCTION("""COMPUTED_VALUE"""),"")</f>
        <v/>
      </c>
      <c r="P2876" s="5" t="str">
        <f>IFERROR(__xludf.DUMMYFUNCTION("""COMPUTED_VALUE"""),"")</f>
        <v/>
      </c>
      <c r="Q2876" s="5" t="str">
        <f>IFERROR(__xludf.DUMMYFUNCTION("""COMPUTED_VALUE"""),"")</f>
        <v/>
      </c>
      <c r="R2876" s="4" t="str">
        <f>IFERROR(__xludf.DUMMYFUNCTION("""COMPUTED_VALUE"""),"")</f>
        <v/>
      </c>
      <c r="S2876" s="1" t="b">
        <f>IFERROR(__xludf.DUMMYFUNCTION("""COMPUTED_VALUE"""),FALSE)</f>
        <v>0</v>
      </c>
      <c r="T2876" s="1" t="b">
        <f>IFERROR(__xludf.DUMMYFUNCTION("""COMPUTED_VALUE"""),FALSE)</f>
        <v>0</v>
      </c>
      <c r="U2876" s="1" t="str">
        <f>IFERROR(__xludf.DUMMYFUNCTION("""COMPUTED_VALUE"""),"")</f>
        <v/>
      </c>
      <c r="V2876" s="1" t="str">
        <f>IFERROR(__xludf.DUMMYFUNCTION("""COMPUTED_VALUE"""),"")</f>
        <v/>
      </c>
      <c r="W2876" s="1" t="str">
        <f>IFERROR(__xludf.DUMMYFUNCTION("""COMPUTED_VALUE"""),"")</f>
        <v/>
      </c>
      <c r="X2876" s="1" t="str">
        <f>IFERROR(__xludf.DUMMYFUNCTION("""COMPUTED_VALUE"""),"")</f>
        <v/>
      </c>
      <c r="Y2876" s="2"/>
      <c r="Z2876" s="2" t="str">
        <f>IFERROR(__xludf.DUMMYFUNCTION("""COMPUTED_VALUE"""),"")</f>
        <v/>
      </c>
    </row>
    <row r="2877">
      <c r="A2877" s="1" t="str">
        <f>IFERROR(__xludf.DUMMYFUNCTION("""COMPUTED_VALUE"""),"")</f>
        <v/>
      </c>
      <c r="B2877" s="1"/>
      <c r="C2877" s="2"/>
      <c r="D2877" s="2"/>
      <c r="E2877" s="1"/>
      <c r="F2877" s="1"/>
      <c r="G2877" s="4" t="str">
        <f>IFERROR(__xludf.DUMMYFUNCTION("""COMPUTED_VALUE"""),"")</f>
        <v/>
      </c>
      <c r="H2877" s="4" t="str">
        <f>IFERROR(__xludf.DUMMYFUNCTION("""COMPUTED_VALUE"""),"")</f>
        <v/>
      </c>
      <c r="I2877" s="4" t="str">
        <f>IFERROR(__xludf.DUMMYFUNCTION("""COMPUTED_VALUE"""),"")</f>
        <v/>
      </c>
      <c r="J2877" s="4" t="str">
        <f>IFERROR(__xludf.DUMMYFUNCTION("""COMPUTED_VALUE"""),"")</f>
        <v/>
      </c>
      <c r="K2877" s="4" t="str">
        <f>IFERROR(__xludf.DUMMYFUNCTION("""COMPUTED_VALUE"""),"")</f>
        <v/>
      </c>
      <c r="L2877" s="4" t="str">
        <f>IFERROR(__xludf.DUMMYFUNCTION("""COMPUTED_VALUE"""),"")</f>
        <v/>
      </c>
      <c r="M2877" s="1" t="str">
        <f>IFERROR(__xludf.DUMMYFUNCTION("""COMPUTED_VALUE"""),"RFID")</f>
        <v>RFID</v>
      </c>
      <c r="N2877" s="5" t="str">
        <f>IFERROR(__xludf.DUMMYFUNCTION("""COMPUTED_VALUE"""),"")</f>
        <v/>
      </c>
      <c r="O2877" s="5" t="str">
        <f>IFERROR(__xludf.DUMMYFUNCTION("""COMPUTED_VALUE"""),"")</f>
        <v/>
      </c>
      <c r="P2877" s="5" t="str">
        <f>IFERROR(__xludf.DUMMYFUNCTION("""COMPUTED_VALUE"""),"")</f>
        <v/>
      </c>
      <c r="Q2877" s="5" t="str">
        <f>IFERROR(__xludf.DUMMYFUNCTION("""COMPUTED_VALUE"""),"")</f>
        <v/>
      </c>
      <c r="R2877" s="4" t="str">
        <f>IFERROR(__xludf.DUMMYFUNCTION("""COMPUTED_VALUE"""),"")</f>
        <v/>
      </c>
      <c r="S2877" s="1" t="b">
        <f>IFERROR(__xludf.DUMMYFUNCTION("""COMPUTED_VALUE"""),FALSE)</f>
        <v>0</v>
      </c>
      <c r="T2877" s="1" t="b">
        <f>IFERROR(__xludf.DUMMYFUNCTION("""COMPUTED_VALUE"""),FALSE)</f>
        <v>0</v>
      </c>
      <c r="U2877" s="1" t="str">
        <f>IFERROR(__xludf.DUMMYFUNCTION("""COMPUTED_VALUE"""),"")</f>
        <v/>
      </c>
      <c r="V2877" s="1" t="str">
        <f>IFERROR(__xludf.DUMMYFUNCTION("""COMPUTED_VALUE"""),"")</f>
        <v/>
      </c>
      <c r="W2877" s="1" t="str">
        <f>IFERROR(__xludf.DUMMYFUNCTION("""COMPUTED_VALUE"""),"")</f>
        <v/>
      </c>
      <c r="X2877" s="1" t="str">
        <f>IFERROR(__xludf.DUMMYFUNCTION("""COMPUTED_VALUE"""),"")</f>
        <v/>
      </c>
      <c r="Y2877" s="2"/>
      <c r="Z2877" s="2" t="str">
        <f>IFERROR(__xludf.DUMMYFUNCTION("""COMPUTED_VALUE"""),"")</f>
        <v/>
      </c>
    </row>
    <row r="2878">
      <c r="A2878" s="1" t="str">
        <f>IFERROR(__xludf.DUMMYFUNCTION("""COMPUTED_VALUE"""),"")</f>
        <v/>
      </c>
      <c r="B2878" s="1"/>
      <c r="C2878" s="2"/>
      <c r="D2878" s="2"/>
      <c r="E2878" s="1"/>
      <c r="F2878" s="1"/>
      <c r="G2878" s="4" t="str">
        <f>IFERROR(__xludf.DUMMYFUNCTION("""COMPUTED_VALUE"""),"")</f>
        <v/>
      </c>
      <c r="H2878" s="4" t="str">
        <f>IFERROR(__xludf.DUMMYFUNCTION("""COMPUTED_VALUE"""),"")</f>
        <v/>
      </c>
      <c r="I2878" s="4" t="str">
        <f>IFERROR(__xludf.DUMMYFUNCTION("""COMPUTED_VALUE"""),"")</f>
        <v/>
      </c>
      <c r="J2878" s="4" t="str">
        <f>IFERROR(__xludf.DUMMYFUNCTION("""COMPUTED_VALUE"""),"")</f>
        <v/>
      </c>
      <c r="K2878" s="4" t="str">
        <f>IFERROR(__xludf.DUMMYFUNCTION("""COMPUTED_VALUE"""),"")</f>
        <v/>
      </c>
      <c r="L2878" s="4" t="str">
        <f>IFERROR(__xludf.DUMMYFUNCTION("""COMPUTED_VALUE"""),"")</f>
        <v/>
      </c>
      <c r="M2878" s="1" t="str">
        <f>IFERROR(__xludf.DUMMYFUNCTION("""COMPUTED_VALUE"""),"RFID")</f>
        <v>RFID</v>
      </c>
      <c r="N2878" s="5" t="str">
        <f>IFERROR(__xludf.DUMMYFUNCTION("""COMPUTED_VALUE"""),"")</f>
        <v/>
      </c>
      <c r="O2878" s="5" t="str">
        <f>IFERROR(__xludf.DUMMYFUNCTION("""COMPUTED_VALUE"""),"")</f>
        <v/>
      </c>
      <c r="P2878" s="5" t="str">
        <f>IFERROR(__xludf.DUMMYFUNCTION("""COMPUTED_VALUE"""),"")</f>
        <v/>
      </c>
      <c r="Q2878" s="5" t="str">
        <f>IFERROR(__xludf.DUMMYFUNCTION("""COMPUTED_VALUE"""),"")</f>
        <v/>
      </c>
      <c r="R2878" s="4" t="str">
        <f>IFERROR(__xludf.DUMMYFUNCTION("""COMPUTED_VALUE"""),"")</f>
        <v/>
      </c>
      <c r="S2878" s="1" t="b">
        <f>IFERROR(__xludf.DUMMYFUNCTION("""COMPUTED_VALUE"""),FALSE)</f>
        <v>0</v>
      </c>
      <c r="T2878" s="1" t="b">
        <f>IFERROR(__xludf.DUMMYFUNCTION("""COMPUTED_VALUE"""),FALSE)</f>
        <v>0</v>
      </c>
      <c r="U2878" s="1" t="str">
        <f>IFERROR(__xludf.DUMMYFUNCTION("""COMPUTED_VALUE"""),"")</f>
        <v/>
      </c>
      <c r="V2878" s="1" t="str">
        <f>IFERROR(__xludf.DUMMYFUNCTION("""COMPUTED_VALUE"""),"")</f>
        <v/>
      </c>
      <c r="W2878" s="1" t="str">
        <f>IFERROR(__xludf.DUMMYFUNCTION("""COMPUTED_VALUE"""),"")</f>
        <v/>
      </c>
      <c r="X2878" s="1" t="str">
        <f>IFERROR(__xludf.DUMMYFUNCTION("""COMPUTED_VALUE"""),"")</f>
        <v/>
      </c>
      <c r="Y2878" s="2"/>
      <c r="Z2878" s="2" t="str">
        <f>IFERROR(__xludf.DUMMYFUNCTION("""COMPUTED_VALUE"""),"")</f>
        <v/>
      </c>
    </row>
    <row r="2879">
      <c r="A2879" s="1" t="str">
        <f>IFERROR(__xludf.DUMMYFUNCTION("""COMPUTED_VALUE"""),"")</f>
        <v/>
      </c>
      <c r="B2879" s="1"/>
      <c r="C2879" s="2"/>
      <c r="D2879" s="2"/>
      <c r="E2879" s="1"/>
      <c r="F2879" s="1"/>
      <c r="G2879" s="4" t="str">
        <f>IFERROR(__xludf.DUMMYFUNCTION("""COMPUTED_VALUE"""),"")</f>
        <v/>
      </c>
      <c r="H2879" s="4" t="str">
        <f>IFERROR(__xludf.DUMMYFUNCTION("""COMPUTED_VALUE"""),"")</f>
        <v/>
      </c>
      <c r="I2879" s="4" t="str">
        <f>IFERROR(__xludf.DUMMYFUNCTION("""COMPUTED_VALUE"""),"")</f>
        <v/>
      </c>
      <c r="J2879" s="4" t="str">
        <f>IFERROR(__xludf.DUMMYFUNCTION("""COMPUTED_VALUE"""),"")</f>
        <v/>
      </c>
      <c r="K2879" s="4" t="str">
        <f>IFERROR(__xludf.DUMMYFUNCTION("""COMPUTED_VALUE"""),"")</f>
        <v/>
      </c>
      <c r="L2879" s="4" t="str">
        <f>IFERROR(__xludf.DUMMYFUNCTION("""COMPUTED_VALUE"""),"")</f>
        <v/>
      </c>
      <c r="M2879" s="1" t="str">
        <f>IFERROR(__xludf.DUMMYFUNCTION("""COMPUTED_VALUE"""),"RFID")</f>
        <v>RFID</v>
      </c>
      <c r="N2879" s="5" t="str">
        <f>IFERROR(__xludf.DUMMYFUNCTION("""COMPUTED_VALUE"""),"")</f>
        <v/>
      </c>
      <c r="O2879" s="5" t="str">
        <f>IFERROR(__xludf.DUMMYFUNCTION("""COMPUTED_VALUE"""),"")</f>
        <v/>
      </c>
      <c r="P2879" s="5" t="str">
        <f>IFERROR(__xludf.DUMMYFUNCTION("""COMPUTED_VALUE"""),"")</f>
        <v/>
      </c>
      <c r="Q2879" s="5" t="str">
        <f>IFERROR(__xludf.DUMMYFUNCTION("""COMPUTED_VALUE"""),"")</f>
        <v/>
      </c>
      <c r="R2879" s="4" t="str">
        <f>IFERROR(__xludf.DUMMYFUNCTION("""COMPUTED_VALUE"""),"")</f>
        <v/>
      </c>
      <c r="S2879" s="1" t="b">
        <f>IFERROR(__xludf.DUMMYFUNCTION("""COMPUTED_VALUE"""),FALSE)</f>
        <v>0</v>
      </c>
      <c r="T2879" s="1" t="b">
        <f>IFERROR(__xludf.DUMMYFUNCTION("""COMPUTED_VALUE"""),FALSE)</f>
        <v>0</v>
      </c>
      <c r="U2879" s="1" t="str">
        <f>IFERROR(__xludf.DUMMYFUNCTION("""COMPUTED_VALUE"""),"")</f>
        <v/>
      </c>
      <c r="V2879" s="1" t="str">
        <f>IFERROR(__xludf.DUMMYFUNCTION("""COMPUTED_VALUE"""),"")</f>
        <v/>
      </c>
      <c r="W2879" s="1" t="str">
        <f>IFERROR(__xludf.DUMMYFUNCTION("""COMPUTED_VALUE"""),"")</f>
        <v/>
      </c>
      <c r="X2879" s="1" t="str">
        <f>IFERROR(__xludf.DUMMYFUNCTION("""COMPUTED_VALUE"""),"")</f>
        <v/>
      </c>
      <c r="Y2879" s="2"/>
      <c r="Z2879" s="2" t="str">
        <f>IFERROR(__xludf.DUMMYFUNCTION("""COMPUTED_VALUE"""),"")</f>
        <v/>
      </c>
    </row>
    <row r="2880">
      <c r="A2880" s="1" t="str">
        <f>IFERROR(__xludf.DUMMYFUNCTION("""COMPUTED_VALUE"""),"")</f>
        <v/>
      </c>
      <c r="B2880" s="1"/>
      <c r="C2880" s="2"/>
      <c r="D2880" s="2"/>
      <c r="E2880" s="1"/>
      <c r="F2880" s="1"/>
      <c r="G2880" s="4" t="str">
        <f>IFERROR(__xludf.DUMMYFUNCTION("""COMPUTED_VALUE"""),"")</f>
        <v/>
      </c>
      <c r="H2880" s="4" t="str">
        <f>IFERROR(__xludf.DUMMYFUNCTION("""COMPUTED_VALUE"""),"")</f>
        <v/>
      </c>
      <c r="I2880" s="4" t="str">
        <f>IFERROR(__xludf.DUMMYFUNCTION("""COMPUTED_VALUE"""),"")</f>
        <v/>
      </c>
      <c r="J2880" s="4" t="str">
        <f>IFERROR(__xludf.DUMMYFUNCTION("""COMPUTED_VALUE"""),"")</f>
        <v/>
      </c>
      <c r="K2880" s="4" t="str">
        <f>IFERROR(__xludf.DUMMYFUNCTION("""COMPUTED_VALUE"""),"")</f>
        <v/>
      </c>
      <c r="L2880" s="4" t="str">
        <f>IFERROR(__xludf.DUMMYFUNCTION("""COMPUTED_VALUE"""),"")</f>
        <v/>
      </c>
      <c r="M2880" s="1" t="str">
        <f>IFERROR(__xludf.DUMMYFUNCTION("""COMPUTED_VALUE"""),"RFID")</f>
        <v>RFID</v>
      </c>
      <c r="N2880" s="5" t="str">
        <f>IFERROR(__xludf.DUMMYFUNCTION("""COMPUTED_VALUE"""),"")</f>
        <v/>
      </c>
      <c r="O2880" s="5" t="str">
        <f>IFERROR(__xludf.DUMMYFUNCTION("""COMPUTED_VALUE"""),"")</f>
        <v/>
      </c>
      <c r="P2880" s="5" t="str">
        <f>IFERROR(__xludf.DUMMYFUNCTION("""COMPUTED_VALUE"""),"")</f>
        <v/>
      </c>
      <c r="Q2880" s="5" t="str">
        <f>IFERROR(__xludf.DUMMYFUNCTION("""COMPUTED_VALUE"""),"")</f>
        <v/>
      </c>
      <c r="R2880" s="4" t="str">
        <f>IFERROR(__xludf.DUMMYFUNCTION("""COMPUTED_VALUE"""),"")</f>
        <v/>
      </c>
      <c r="S2880" s="1" t="b">
        <f>IFERROR(__xludf.DUMMYFUNCTION("""COMPUTED_VALUE"""),FALSE)</f>
        <v>0</v>
      </c>
      <c r="T2880" s="1" t="b">
        <f>IFERROR(__xludf.DUMMYFUNCTION("""COMPUTED_VALUE"""),FALSE)</f>
        <v>0</v>
      </c>
      <c r="U2880" s="1" t="str">
        <f>IFERROR(__xludf.DUMMYFUNCTION("""COMPUTED_VALUE"""),"")</f>
        <v/>
      </c>
      <c r="V2880" s="1" t="str">
        <f>IFERROR(__xludf.DUMMYFUNCTION("""COMPUTED_VALUE"""),"")</f>
        <v/>
      </c>
      <c r="W2880" s="1" t="str">
        <f>IFERROR(__xludf.DUMMYFUNCTION("""COMPUTED_VALUE"""),"")</f>
        <v/>
      </c>
      <c r="X2880" s="1" t="str">
        <f>IFERROR(__xludf.DUMMYFUNCTION("""COMPUTED_VALUE"""),"")</f>
        <v/>
      </c>
      <c r="Y2880" s="2"/>
      <c r="Z2880" s="2" t="str">
        <f>IFERROR(__xludf.DUMMYFUNCTION("""COMPUTED_VALUE"""),"")</f>
        <v/>
      </c>
    </row>
    <row r="2881">
      <c r="A2881" s="1" t="str">
        <f>IFERROR(__xludf.DUMMYFUNCTION("""COMPUTED_VALUE"""),"")</f>
        <v/>
      </c>
      <c r="B2881" s="1"/>
      <c r="C2881" s="2"/>
      <c r="D2881" s="2"/>
      <c r="E2881" s="1"/>
      <c r="F2881" s="1"/>
      <c r="G2881" s="4" t="str">
        <f>IFERROR(__xludf.DUMMYFUNCTION("""COMPUTED_VALUE"""),"")</f>
        <v/>
      </c>
      <c r="H2881" s="4" t="str">
        <f>IFERROR(__xludf.DUMMYFUNCTION("""COMPUTED_VALUE"""),"")</f>
        <v/>
      </c>
      <c r="I2881" s="4" t="str">
        <f>IFERROR(__xludf.DUMMYFUNCTION("""COMPUTED_VALUE"""),"")</f>
        <v/>
      </c>
      <c r="J2881" s="4" t="str">
        <f>IFERROR(__xludf.DUMMYFUNCTION("""COMPUTED_VALUE"""),"")</f>
        <v/>
      </c>
      <c r="K2881" s="4" t="str">
        <f>IFERROR(__xludf.DUMMYFUNCTION("""COMPUTED_VALUE"""),"")</f>
        <v/>
      </c>
      <c r="L2881" s="4" t="str">
        <f>IFERROR(__xludf.DUMMYFUNCTION("""COMPUTED_VALUE"""),"")</f>
        <v/>
      </c>
      <c r="M2881" s="1" t="str">
        <f>IFERROR(__xludf.DUMMYFUNCTION("""COMPUTED_VALUE"""),"RFID")</f>
        <v>RFID</v>
      </c>
      <c r="N2881" s="5" t="str">
        <f>IFERROR(__xludf.DUMMYFUNCTION("""COMPUTED_VALUE"""),"")</f>
        <v/>
      </c>
      <c r="O2881" s="5" t="str">
        <f>IFERROR(__xludf.DUMMYFUNCTION("""COMPUTED_VALUE"""),"")</f>
        <v/>
      </c>
      <c r="P2881" s="5" t="str">
        <f>IFERROR(__xludf.DUMMYFUNCTION("""COMPUTED_VALUE"""),"")</f>
        <v/>
      </c>
      <c r="Q2881" s="5" t="str">
        <f>IFERROR(__xludf.DUMMYFUNCTION("""COMPUTED_VALUE"""),"")</f>
        <v/>
      </c>
      <c r="R2881" s="4" t="str">
        <f>IFERROR(__xludf.DUMMYFUNCTION("""COMPUTED_VALUE"""),"")</f>
        <v/>
      </c>
      <c r="S2881" s="1" t="b">
        <f>IFERROR(__xludf.DUMMYFUNCTION("""COMPUTED_VALUE"""),FALSE)</f>
        <v>0</v>
      </c>
      <c r="T2881" s="1" t="b">
        <f>IFERROR(__xludf.DUMMYFUNCTION("""COMPUTED_VALUE"""),FALSE)</f>
        <v>0</v>
      </c>
      <c r="U2881" s="1" t="str">
        <f>IFERROR(__xludf.DUMMYFUNCTION("""COMPUTED_VALUE"""),"")</f>
        <v/>
      </c>
      <c r="V2881" s="1" t="str">
        <f>IFERROR(__xludf.DUMMYFUNCTION("""COMPUTED_VALUE"""),"")</f>
        <v/>
      </c>
      <c r="W2881" s="1" t="str">
        <f>IFERROR(__xludf.DUMMYFUNCTION("""COMPUTED_VALUE"""),"")</f>
        <v/>
      </c>
      <c r="X2881" s="1" t="str">
        <f>IFERROR(__xludf.DUMMYFUNCTION("""COMPUTED_VALUE"""),"")</f>
        <v/>
      </c>
      <c r="Y2881" s="2"/>
      <c r="Z2881" s="2" t="str">
        <f>IFERROR(__xludf.DUMMYFUNCTION("""COMPUTED_VALUE"""),"")</f>
        <v/>
      </c>
    </row>
    <row r="2882">
      <c r="A2882" s="1" t="str">
        <f>IFERROR(__xludf.DUMMYFUNCTION("""COMPUTED_VALUE"""),"")</f>
        <v/>
      </c>
      <c r="B2882" s="1"/>
      <c r="C2882" s="2"/>
      <c r="D2882" s="2"/>
      <c r="E2882" s="1"/>
      <c r="F2882" s="1"/>
      <c r="G2882" s="4" t="str">
        <f>IFERROR(__xludf.DUMMYFUNCTION("""COMPUTED_VALUE"""),"")</f>
        <v/>
      </c>
      <c r="H2882" s="4" t="str">
        <f>IFERROR(__xludf.DUMMYFUNCTION("""COMPUTED_VALUE"""),"")</f>
        <v/>
      </c>
      <c r="I2882" s="4" t="str">
        <f>IFERROR(__xludf.DUMMYFUNCTION("""COMPUTED_VALUE"""),"")</f>
        <v/>
      </c>
      <c r="J2882" s="4" t="str">
        <f>IFERROR(__xludf.DUMMYFUNCTION("""COMPUTED_VALUE"""),"")</f>
        <v/>
      </c>
      <c r="K2882" s="4" t="str">
        <f>IFERROR(__xludf.DUMMYFUNCTION("""COMPUTED_VALUE"""),"")</f>
        <v/>
      </c>
      <c r="L2882" s="4" t="str">
        <f>IFERROR(__xludf.DUMMYFUNCTION("""COMPUTED_VALUE"""),"")</f>
        <v/>
      </c>
      <c r="M2882" s="1" t="str">
        <f>IFERROR(__xludf.DUMMYFUNCTION("""COMPUTED_VALUE"""),"RFID")</f>
        <v>RFID</v>
      </c>
      <c r="N2882" s="5" t="str">
        <f>IFERROR(__xludf.DUMMYFUNCTION("""COMPUTED_VALUE"""),"")</f>
        <v/>
      </c>
      <c r="O2882" s="5" t="str">
        <f>IFERROR(__xludf.DUMMYFUNCTION("""COMPUTED_VALUE"""),"")</f>
        <v/>
      </c>
      <c r="P2882" s="5" t="str">
        <f>IFERROR(__xludf.DUMMYFUNCTION("""COMPUTED_VALUE"""),"")</f>
        <v/>
      </c>
      <c r="Q2882" s="5" t="str">
        <f>IFERROR(__xludf.DUMMYFUNCTION("""COMPUTED_VALUE"""),"")</f>
        <v/>
      </c>
      <c r="R2882" s="4" t="str">
        <f>IFERROR(__xludf.DUMMYFUNCTION("""COMPUTED_VALUE"""),"")</f>
        <v/>
      </c>
      <c r="S2882" s="1" t="b">
        <f>IFERROR(__xludf.DUMMYFUNCTION("""COMPUTED_VALUE"""),FALSE)</f>
        <v>0</v>
      </c>
      <c r="T2882" s="1" t="b">
        <f>IFERROR(__xludf.DUMMYFUNCTION("""COMPUTED_VALUE"""),FALSE)</f>
        <v>0</v>
      </c>
      <c r="U2882" s="1" t="str">
        <f>IFERROR(__xludf.DUMMYFUNCTION("""COMPUTED_VALUE"""),"")</f>
        <v/>
      </c>
      <c r="V2882" s="1" t="str">
        <f>IFERROR(__xludf.DUMMYFUNCTION("""COMPUTED_VALUE"""),"")</f>
        <v/>
      </c>
      <c r="W2882" s="1" t="str">
        <f>IFERROR(__xludf.DUMMYFUNCTION("""COMPUTED_VALUE"""),"")</f>
        <v/>
      </c>
      <c r="X2882" s="1" t="str">
        <f>IFERROR(__xludf.DUMMYFUNCTION("""COMPUTED_VALUE"""),"")</f>
        <v/>
      </c>
      <c r="Y2882" s="2"/>
      <c r="Z2882" s="2" t="str">
        <f>IFERROR(__xludf.DUMMYFUNCTION("""COMPUTED_VALUE"""),"")</f>
        <v/>
      </c>
    </row>
    <row r="2883">
      <c r="A2883" s="1" t="str">
        <f>IFERROR(__xludf.DUMMYFUNCTION("""COMPUTED_VALUE"""),"")</f>
        <v/>
      </c>
      <c r="B2883" s="1"/>
      <c r="C2883" s="2"/>
      <c r="D2883" s="2"/>
      <c r="E2883" s="1"/>
      <c r="F2883" s="1"/>
      <c r="G2883" s="4" t="str">
        <f>IFERROR(__xludf.DUMMYFUNCTION("""COMPUTED_VALUE"""),"")</f>
        <v/>
      </c>
      <c r="H2883" s="4" t="str">
        <f>IFERROR(__xludf.DUMMYFUNCTION("""COMPUTED_VALUE"""),"")</f>
        <v/>
      </c>
      <c r="I2883" s="4" t="str">
        <f>IFERROR(__xludf.DUMMYFUNCTION("""COMPUTED_VALUE"""),"")</f>
        <v/>
      </c>
      <c r="J2883" s="4" t="str">
        <f>IFERROR(__xludf.DUMMYFUNCTION("""COMPUTED_VALUE"""),"")</f>
        <v/>
      </c>
      <c r="K2883" s="4" t="str">
        <f>IFERROR(__xludf.DUMMYFUNCTION("""COMPUTED_VALUE"""),"")</f>
        <v/>
      </c>
      <c r="L2883" s="4" t="str">
        <f>IFERROR(__xludf.DUMMYFUNCTION("""COMPUTED_VALUE"""),"")</f>
        <v/>
      </c>
      <c r="M2883" s="1" t="str">
        <f>IFERROR(__xludf.DUMMYFUNCTION("""COMPUTED_VALUE"""),"RFID")</f>
        <v>RFID</v>
      </c>
      <c r="N2883" s="5" t="str">
        <f>IFERROR(__xludf.DUMMYFUNCTION("""COMPUTED_VALUE"""),"")</f>
        <v/>
      </c>
      <c r="O2883" s="5" t="str">
        <f>IFERROR(__xludf.DUMMYFUNCTION("""COMPUTED_VALUE"""),"")</f>
        <v/>
      </c>
      <c r="P2883" s="5" t="str">
        <f>IFERROR(__xludf.DUMMYFUNCTION("""COMPUTED_VALUE"""),"")</f>
        <v/>
      </c>
      <c r="Q2883" s="5" t="str">
        <f>IFERROR(__xludf.DUMMYFUNCTION("""COMPUTED_VALUE"""),"")</f>
        <v/>
      </c>
      <c r="R2883" s="4" t="str">
        <f>IFERROR(__xludf.DUMMYFUNCTION("""COMPUTED_VALUE"""),"")</f>
        <v/>
      </c>
      <c r="S2883" s="1" t="b">
        <f>IFERROR(__xludf.DUMMYFUNCTION("""COMPUTED_VALUE"""),FALSE)</f>
        <v>0</v>
      </c>
      <c r="T2883" s="1" t="b">
        <f>IFERROR(__xludf.DUMMYFUNCTION("""COMPUTED_VALUE"""),FALSE)</f>
        <v>0</v>
      </c>
      <c r="U2883" s="1" t="str">
        <f>IFERROR(__xludf.DUMMYFUNCTION("""COMPUTED_VALUE"""),"")</f>
        <v/>
      </c>
      <c r="V2883" s="1" t="str">
        <f>IFERROR(__xludf.DUMMYFUNCTION("""COMPUTED_VALUE"""),"")</f>
        <v/>
      </c>
      <c r="W2883" s="1" t="str">
        <f>IFERROR(__xludf.DUMMYFUNCTION("""COMPUTED_VALUE"""),"")</f>
        <v/>
      </c>
      <c r="X2883" s="1" t="str">
        <f>IFERROR(__xludf.DUMMYFUNCTION("""COMPUTED_VALUE"""),"")</f>
        <v/>
      </c>
      <c r="Y2883" s="2"/>
      <c r="Z2883" s="2" t="str">
        <f>IFERROR(__xludf.DUMMYFUNCTION("""COMPUTED_VALUE"""),"")</f>
        <v/>
      </c>
    </row>
    <row r="2884">
      <c r="A2884" s="1" t="str">
        <f>IFERROR(__xludf.DUMMYFUNCTION("""COMPUTED_VALUE"""),"")</f>
        <v/>
      </c>
      <c r="B2884" s="1"/>
      <c r="C2884" s="2"/>
      <c r="D2884" s="2"/>
      <c r="E2884" s="1"/>
      <c r="F2884" s="1"/>
      <c r="G2884" s="4" t="str">
        <f>IFERROR(__xludf.DUMMYFUNCTION("""COMPUTED_VALUE"""),"")</f>
        <v/>
      </c>
      <c r="H2884" s="4" t="str">
        <f>IFERROR(__xludf.DUMMYFUNCTION("""COMPUTED_VALUE"""),"")</f>
        <v/>
      </c>
      <c r="I2884" s="4" t="str">
        <f>IFERROR(__xludf.DUMMYFUNCTION("""COMPUTED_VALUE"""),"")</f>
        <v/>
      </c>
      <c r="J2884" s="4" t="str">
        <f>IFERROR(__xludf.DUMMYFUNCTION("""COMPUTED_VALUE"""),"")</f>
        <v/>
      </c>
      <c r="K2884" s="4" t="str">
        <f>IFERROR(__xludf.DUMMYFUNCTION("""COMPUTED_VALUE"""),"")</f>
        <v/>
      </c>
      <c r="L2884" s="4" t="str">
        <f>IFERROR(__xludf.DUMMYFUNCTION("""COMPUTED_VALUE"""),"")</f>
        <v/>
      </c>
      <c r="M2884" s="1" t="str">
        <f>IFERROR(__xludf.DUMMYFUNCTION("""COMPUTED_VALUE"""),"RFID")</f>
        <v>RFID</v>
      </c>
      <c r="N2884" s="5" t="str">
        <f>IFERROR(__xludf.DUMMYFUNCTION("""COMPUTED_VALUE"""),"")</f>
        <v/>
      </c>
      <c r="O2884" s="5" t="str">
        <f>IFERROR(__xludf.DUMMYFUNCTION("""COMPUTED_VALUE"""),"")</f>
        <v/>
      </c>
      <c r="P2884" s="5" t="str">
        <f>IFERROR(__xludf.DUMMYFUNCTION("""COMPUTED_VALUE"""),"")</f>
        <v/>
      </c>
      <c r="Q2884" s="5" t="str">
        <f>IFERROR(__xludf.DUMMYFUNCTION("""COMPUTED_VALUE"""),"")</f>
        <v/>
      </c>
      <c r="R2884" s="4" t="str">
        <f>IFERROR(__xludf.DUMMYFUNCTION("""COMPUTED_VALUE"""),"")</f>
        <v/>
      </c>
      <c r="S2884" s="1" t="b">
        <f>IFERROR(__xludf.DUMMYFUNCTION("""COMPUTED_VALUE"""),FALSE)</f>
        <v>0</v>
      </c>
      <c r="T2884" s="1" t="b">
        <f>IFERROR(__xludf.DUMMYFUNCTION("""COMPUTED_VALUE"""),FALSE)</f>
        <v>0</v>
      </c>
      <c r="U2884" s="1" t="str">
        <f>IFERROR(__xludf.DUMMYFUNCTION("""COMPUTED_VALUE"""),"")</f>
        <v/>
      </c>
      <c r="V2884" s="1" t="str">
        <f>IFERROR(__xludf.DUMMYFUNCTION("""COMPUTED_VALUE"""),"")</f>
        <v/>
      </c>
      <c r="W2884" s="1" t="str">
        <f>IFERROR(__xludf.DUMMYFUNCTION("""COMPUTED_VALUE"""),"")</f>
        <v/>
      </c>
      <c r="X2884" s="1" t="str">
        <f>IFERROR(__xludf.DUMMYFUNCTION("""COMPUTED_VALUE"""),"")</f>
        <v/>
      </c>
      <c r="Y2884" s="2"/>
      <c r="Z2884" s="2" t="str">
        <f>IFERROR(__xludf.DUMMYFUNCTION("""COMPUTED_VALUE"""),"")</f>
        <v/>
      </c>
    </row>
    <row r="2885">
      <c r="A2885" s="1" t="str">
        <f>IFERROR(__xludf.DUMMYFUNCTION("""COMPUTED_VALUE"""),"")</f>
        <v/>
      </c>
      <c r="B2885" s="1"/>
      <c r="C2885" s="2"/>
      <c r="D2885" s="2"/>
      <c r="E2885" s="1"/>
      <c r="F2885" s="1"/>
      <c r="G2885" s="4" t="str">
        <f>IFERROR(__xludf.DUMMYFUNCTION("""COMPUTED_VALUE"""),"")</f>
        <v/>
      </c>
      <c r="H2885" s="4" t="str">
        <f>IFERROR(__xludf.DUMMYFUNCTION("""COMPUTED_VALUE"""),"")</f>
        <v/>
      </c>
      <c r="I2885" s="4" t="str">
        <f>IFERROR(__xludf.DUMMYFUNCTION("""COMPUTED_VALUE"""),"")</f>
        <v/>
      </c>
      <c r="J2885" s="4" t="str">
        <f>IFERROR(__xludf.DUMMYFUNCTION("""COMPUTED_VALUE"""),"")</f>
        <v/>
      </c>
      <c r="K2885" s="4" t="str">
        <f>IFERROR(__xludf.DUMMYFUNCTION("""COMPUTED_VALUE"""),"")</f>
        <v/>
      </c>
      <c r="L2885" s="4" t="str">
        <f>IFERROR(__xludf.DUMMYFUNCTION("""COMPUTED_VALUE"""),"")</f>
        <v/>
      </c>
      <c r="M2885" s="1" t="str">
        <f>IFERROR(__xludf.DUMMYFUNCTION("""COMPUTED_VALUE"""),"RFID")</f>
        <v>RFID</v>
      </c>
      <c r="N2885" s="5" t="str">
        <f>IFERROR(__xludf.DUMMYFUNCTION("""COMPUTED_VALUE"""),"")</f>
        <v/>
      </c>
      <c r="O2885" s="5" t="str">
        <f>IFERROR(__xludf.DUMMYFUNCTION("""COMPUTED_VALUE"""),"")</f>
        <v/>
      </c>
      <c r="P2885" s="5" t="str">
        <f>IFERROR(__xludf.DUMMYFUNCTION("""COMPUTED_VALUE"""),"")</f>
        <v/>
      </c>
      <c r="Q2885" s="5" t="str">
        <f>IFERROR(__xludf.DUMMYFUNCTION("""COMPUTED_VALUE"""),"")</f>
        <v/>
      </c>
      <c r="R2885" s="4" t="str">
        <f>IFERROR(__xludf.DUMMYFUNCTION("""COMPUTED_VALUE"""),"")</f>
        <v/>
      </c>
      <c r="S2885" s="1" t="b">
        <f>IFERROR(__xludf.DUMMYFUNCTION("""COMPUTED_VALUE"""),FALSE)</f>
        <v>0</v>
      </c>
      <c r="T2885" s="1" t="b">
        <f>IFERROR(__xludf.DUMMYFUNCTION("""COMPUTED_VALUE"""),FALSE)</f>
        <v>0</v>
      </c>
      <c r="U2885" s="1" t="str">
        <f>IFERROR(__xludf.DUMMYFUNCTION("""COMPUTED_VALUE"""),"")</f>
        <v/>
      </c>
      <c r="V2885" s="1" t="str">
        <f>IFERROR(__xludf.DUMMYFUNCTION("""COMPUTED_VALUE"""),"")</f>
        <v/>
      </c>
      <c r="W2885" s="1" t="str">
        <f>IFERROR(__xludf.DUMMYFUNCTION("""COMPUTED_VALUE"""),"")</f>
        <v/>
      </c>
      <c r="X2885" s="1" t="str">
        <f>IFERROR(__xludf.DUMMYFUNCTION("""COMPUTED_VALUE"""),"")</f>
        <v/>
      </c>
      <c r="Y2885" s="2"/>
      <c r="Z2885" s="2" t="str">
        <f>IFERROR(__xludf.DUMMYFUNCTION("""COMPUTED_VALUE"""),"")</f>
        <v/>
      </c>
    </row>
    <row r="2886">
      <c r="A2886" s="1" t="str">
        <f>IFERROR(__xludf.DUMMYFUNCTION("""COMPUTED_VALUE"""),"")</f>
        <v/>
      </c>
      <c r="B2886" s="1"/>
      <c r="C2886" s="2"/>
      <c r="D2886" s="2"/>
      <c r="E2886" s="1"/>
      <c r="F2886" s="1"/>
      <c r="G2886" s="4" t="str">
        <f>IFERROR(__xludf.DUMMYFUNCTION("""COMPUTED_VALUE"""),"")</f>
        <v/>
      </c>
      <c r="H2886" s="4" t="str">
        <f>IFERROR(__xludf.DUMMYFUNCTION("""COMPUTED_VALUE"""),"")</f>
        <v/>
      </c>
      <c r="I2886" s="4" t="str">
        <f>IFERROR(__xludf.DUMMYFUNCTION("""COMPUTED_VALUE"""),"")</f>
        <v/>
      </c>
      <c r="J2886" s="4" t="str">
        <f>IFERROR(__xludf.DUMMYFUNCTION("""COMPUTED_VALUE"""),"")</f>
        <v/>
      </c>
      <c r="K2886" s="4" t="str">
        <f>IFERROR(__xludf.DUMMYFUNCTION("""COMPUTED_VALUE"""),"")</f>
        <v/>
      </c>
      <c r="L2886" s="4" t="str">
        <f>IFERROR(__xludf.DUMMYFUNCTION("""COMPUTED_VALUE"""),"")</f>
        <v/>
      </c>
      <c r="M2886" s="1" t="str">
        <f>IFERROR(__xludf.DUMMYFUNCTION("""COMPUTED_VALUE"""),"RFID")</f>
        <v>RFID</v>
      </c>
      <c r="N2886" s="5" t="str">
        <f>IFERROR(__xludf.DUMMYFUNCTION("""COMPUTED_VALUE"""),"")</f>
        <v/>
      </c>
      <c r="O2886" s="5" t="str">
        <f>IFERROR(__xludf.DUMMYFUNCTION("""COMPUTED_VALUE"""),"")</f>
        <v/>
      </c>
      <c r="P2886" s="5" t="str">
        <f>IFERROR(__xludf.DUMMYFUNCTION("""COMPUTED_VALUE"""),"")</f>
        <v/>
      </c>
      <c r="Q2886" s="5" t="str">
        <f>IFERROR(__xludf.DUMMYFUNCTION("""COMPUTED_VALUE"""),"")</f>
        <v/>
      </c>
      <c r="R2886" s="4" t="str">
        <f>IFERROR(__xludf.DUMMYFUNCTION("""COMPUTED_VALUE"""),"")</f>
        <v/>
      </c>
      <c r="S2886" s="1" t="b">
        <f>IFERROR(__xludf.DUMMYFUNCTION("""COMPUTED_VALUE"""),FALSE)</f>
        <v>0</v>
      </c>
      <c r="T2886" s="1" t="b">
        <f>IFERROR(__xludf.DUMMYFUNCTION("""COMPUTED_VALUE"""),FALSE)</f>
        <v>0</v>
      </c>
      <c r="U2886" s="1" t="str">
        <f>IFERROR(__xludf.DUMMYFUNCTION("""COMPUTED_VALUE"""),"")</f>
        <v/>
      </c>
      <c r="V2886" s="1" t="str">
        <f>IFERROR(__xludf.DUMMYFUNCTION("""COMPUTED_VALUE"""),"")</f>
        <v/>
      </c>
      <c r="W2886" s="1" t="str">
        <f>IFERROR(__xludf.DUMMYFUNCTION("""COMPUTED_VALUE"""),"")</f>
        <v/>
      </c>
      <c r="X2886" s="1" t="str">
        <f>IFERROR(__xludf.DUMMYFUNCTION("""COMPUTED_VALUE"""),"")</f>
        <v/>
      </c>
      <c r="Y2886" s="2"/>
      <c r="Z2886" s="2" t="str">
        <f>IFERROR(__xludf.DUMMYFUNCTION("""COMPUTED_VALUE"""),"")</f>
        <v/>
      </c>
    </row>
    <row r="2887">
      <c r="A2887" s="1" t="str">
        <f>IFERROR(__xludf.DUMMYFUNCTION("""COMPUTED_VALUE"""),"")</f>
        <v/>
      </c>
      <c r="B2887" s="1"/>
      <c r="C2887" s="2"/>
      <c r="D2887" s="2"/>
      <c r="E2887" s="1"/>
      <c r="F2887" s="1"/>
      <c r="G2887" s="4" t="str">
        <f>IFERROR(__xludf.DUMMYFUNCTION("""COMPUTED_VALUE"""),"")</f>
        <v/>
      </c>
      <c r="H2887" s="4" t="str">
        <f>IFERROR(__xludf.DUMMYFUNCTION("""COMPUTED_VALUE"""),"")</f>
        <v/>
      </c>
      <c r="I2887" s="4" t="str">
        <f>IFERROR(__xludf.DUMMYFUNCTION("""COMPUTED_VALUE"""),"")</f>
        <v/>
      </c>
      <c r="J2887" s="4" t="str">
        <f>IFERROR(__xludf.DUMMYFUNCTION("""COMPUTED_VALUE"""),"")</f>
        <v/>
      </c>
      <c r="K2887" s="4" t="str">
        <f>IFERROR(__xludf.DUMMYFUNCTION("""COMPUTED_VALUE"""),"")</f>
        <v/>
      </c>
      <c r="L2887" s="4" t="str">
        <f>IFERROR(__xludf.DUMMYFUNCTION("""COMPUTED_VALUE"""),"")</f>
        <v/>
      </c>
      <c r="M2887" s="1" t="str">
        <f>IFERROR(__xludf.DUMMYFUNCTION("""COMPUTED_VALUE"""),"RFID")</f>
        <v>RFID</v>
      </c>
      <c r="N2887" s="5" t="str">
        <f>IFERROR(__xludf.DUMMYFUNCTION("""COMPUTED_VALUE"""),"")</f>
        <v/>
      </c>
      <c r="O2887" s="5" t="str">
        <f>IFERROR(__xludf.DUMMYFUNCTION("""COMPUTED_VALUE"""),"")</f>
        <v/>
      </c>
      <c r="P2887" s="5" t="str">
        <f>IFERROR(__xludf.DUMMYFUNCTION("""COMPUTED_VALUE"""),"")</f>
        <v/>
      </c>
      <c r="Q2887" s="5" t="str">
        <f>IFERROR(__xludf.DUMMYFUNCTION("""COMPUTED_VALUE"""),"")</f>
        <v/>
      </c>
      <c r="R2887" s="4" t="str">
        <f>IFERROR(__xludf.DUMMYFUNCTION("""COMPUTED_VALUE"""),"")</f>
        <v/>
      </c>
      <c r="S2887" s="1" t="b">
        <f>IFERROR(__xludf.DUMMYFUNCTION("""COMPUTED_VALUE"""),FALSE)</f>
        <v>0</v>
      </c>
      <c r="T2887" s="1" t="b">
        <f>IFERROR(__xludf.DUMMYFUNCTION("""COMPUTED_VALUE"""),FALSE)</f>
        <v>0</v>
      </c>
      <c r="U2887" s="1" t="str">
        <f>IFERROR(__xludf.DUMMYFUNCTION("""COMPUTED_VALUE"""),"")</f>
        <v/>
      </c>
      <c r="V2887" s="1" t="str">
        <f>IFERROR(__xludf.DUMMYFUNCTION("""COMPUTED_VALUE"""),"")</f>
        <v/>
      </c>
      <c r="W2887" s="1" t="str">
        <f>IFERROR(__xludf.DUMMYFUNCTION("""COMPUTED_VALUE"""),"")</f>
        <v/>
      </c>
      <c r="X2887" s="1" t="str">
        <f>IFERROR(__xludf.DUMMYFUNCTION("""COMPUTED_VALUE"""),"")</f>
        <v/>
      </c>
      <c r="Y2887" s="2"/>
      <c r="Z2887" s="2" t="str">
        <f>IFERROR(__xludf.DUMMYFUNCTION("""COMPUTED_VALUE"""),"")</f>
        <v/>
      </c>
    </row>
    <row r="2888">
      <c r="A2888" s="1" t="str">
        <f>IFERROR(__xludf.DUMMYFUNCTION("""COMPUTED_VALUE"""),"")</f>
        <v/>
      </c>
      <c r="B2888" s="1"/>
      <c r="C2888" s="2"/>
      <c r="D2888" s="2"/>
      <c r="E2888" s="1"/>
      <c r="F2888" s="1"/>
      <c r="G2888" s="4" t="str">
        <f>IFERROR(__xludf.DUMMYFUNCTION("""COMPUTED_VALUE"""),"")</f>
        <v/>
      </c>
      <c r="H2888" s="4" t="str">
        <f>IFERROR(__xludf.DUMMYFUNCTION("""COMPUTED_VALUE"""),"")</f>
        <v/>
      </c>
      <c r="I2888" s="4" t="str">
        <f>IFERROR(__xludf.DUMMYFUNCTION("""COMPUTED_VALUE"""),"")</f>
        <v/>
      </c>
      <c r="J2888" s="4" t="str">
        <f>IFERROR(__xludf.DUMMYFUNCTION("""COMPUTED_VALUE"""),"")</f>
        <v/>
      </c>
      <c r="K2888" s="4" t="str">
        <f>IFERROR(__xludf.DUMMYFUNCTION("""COMPUTED_VALUE"""),"")</f>
        <v/>
      </c>
      <c r="L2888" s="4" t="str">
        <f>IFERROR(__xludf.DUMMYFUNCTION("""COMPUTED_VALUE"""),"")</f>
        <v/>
      </c>
      <c r="M2888" s="1" t="str">
        <f>IFERROR(__xludf.DUMMYFUNCTION("""COMPUTED_VALUE"""),"RFID")</f>
        <v>RFID</v>
      </c>
      <c r="N2888" s="5" t="str">
        <f>IFERROR(__xludf.DUMMYFUNCTION("""COMPUTED_VALUE"""),"")</f>
        <v/>
      </c>
      <c r="O2888" s="5" t="str">
        <f>IFERROR(__xludf.DUMMYFUNCTION("""COMPUTED_VALUE"""),"")</f>
        <v/>
      </c>
      <c r="P2888" s="5" t="str">
        <f>IFERROR(__xludf.DUMMYFUNCTION("""COMPUTED_VALUE"""),"")</f>
        <v/>
      </c>
      <c r="Q2888" s="5" t="str">
        <f>IFERROR(__xludf.DUMMYFUNCTION("""COMPUTED_VALUE"""),"")</f>
        <v/>
      </c>
      <c r="R2888" s="4" t="str">
        <f>IFERROR(__xludf.DUMMYFUNCTION("""COMPUTED_VALUE"""),"")</f>
        <v/>
      </c>
      <c r="S2888" s="1" t="b">
        <f>IFERROR(__xludf.DUMMYFUNCTION("""COMPUTED_VALUE"""),FALSE)</f>
        <v>0</v>
      </c>
      <c r="T2888" s="1" t="b">
        <f>IFERROR(__xludf.DUMMYFUNCTION("""COMPUTED_VALUE"""),FALSE)</f>
        <v>0</v>
      </c>
      <c r="U2888" s="1" t="str">
        <f>IFERROR(__xludf.DUMMYFUNCTION("""COMPUTED_VALUE"""),"")</f>
        <v/>
      </c>
      <c r="V2888" s="1" t="str">
        <f>IFERROR(__xludf.DUMMYFUNCTION("""COMPUTED_VALUE"""),"")</f>
        <v/>
      </c>
      <c r="W2888" s="1" t="str">
        <f>IFERROR(__xludf.DUMMYFUNCTION("""COMPUTED_VALUE"""),"")</f>
        <v/>
      </c>
      <c r="X2888" s="1" t="str">
        <f>IFERROR(__xludf.DUMMYFUNCTION("""COMPUTED_VALUE"""),"")</f>
        <v/>
      </c>
      <c r="Y2888" s="2"/>
      <c r="Z2888" s="2" t="str">
        <f>IFERROR(__xludf.DUMMYFUNCTION("""COMPUTED_VALUE"""),"")</f>
        <v/>
      </c>
    </row>
    <row r="2889">
      <c r="A2889" s="1" t="str">
        <f>IFERROR(__xludf.DUMMYFUNCTION("""COMPUTED_VALUE"""),"")</f>
        <v/>
      </c>
      <c r="B2889" s="1"/>
      <c r="C2889" s="2"/>
      <c r="D2889" s="2"/>
      <c r="E2889" s="1"/>
      <c r="F2889" s="1"/>
      <c r="G2889" s="4" t="str">
        <f>IFERROR(__xludf.DUMMYFUNCTION("""COMPUTED_VALUE"""),"")</f>
        <v/>
      </c>
      <c r="H2889" s="4" t="str">
        <f>IFERROR(__xludf.DUMMYFUNCTION("""COMPUTED_VALUE"""),"")</f>
        <v/>
      </c>
      <c r="I2889" s="4" t="str">
        <f>IFERROR(__xludf.DUMMYFUNCTION("""COMPUTED_VALUE"""),"")</f>
        <v/>
      </c>
      <c r="J2889" s="4" t="str">
        <f>IFERROR(__xludf.DUMMYFUNCTION("""COMPUTED_VALUE"""),"")</f>
        <v/>
      </c>
      <c r="K2889" s="4" t="str">
        <f>IFERROR(__xludf.DUMMYFUNCTION("""COMPUTED_VALUE"""),"")</f>
        <v/>
      </c>
      <c r="L2889" s="4" t="str">
        <f>IFERROR(__xludf.DUMMYFUNCTION("""COMPUTED_VALUE"""),"")</f>
        <v/>
      </c>
      <c r="M2889" s="1" t="str">
        <f>IFERROR(__xludf.DUMMYFUNCTION("""COMPUTED_VALUE"""),"RFID")</f>
        <v>RFID</v>
      </c>
      <c r="N2889" s="5" t="str">
        <f>IFERROR(__xludf.DUMMYFUNCTION("""COMPUTED_VALUE"""),"")</f>
        <v/>
      </c>
      <c r="O2889" s="5" t="str">
        <f>IFERROR(__xludf.DUMMYFUNCTION("""COMPUTED_VALUE"""),"")</f>
        <v/>
      </c>
      <c r="P2889" s="5" t="str">
        <f>IFERROR(__xludf.DUMMYFUNCTION("""COMPUTED_VALUE"""),"")</f>
        <v/>
      </c>
      <c r="Q2889" s="5" t="str">
        <f>IFERROR(__xludf.DUMMYFUNCTION("""COMPUTED_VALUE"""),"")</f>
        <v/>
      </c>
      <c r="R2889" s="4" t="str">
        <f>IFERROR(__xludf.DUMMYFUNCTION("""COMPUTED_VALUE"""),"")</f>
        <v/>
      </c>
      <c r="S2889" s="1" t="b">
        <f>IFERROR(__xludf.DUMMYFUNCTION("""COMPUTED_VALUE"""),FALSE)</f>
        <v>0</v>
      </c>
      <c r="T2889" s="1" t="b">
        <f>IFERROR(__xludf.DUMMYFUNCTION("""COMPUTED_VALUE"""),FALSE)</f>
        <v>0</v>
      </c>
      <c r="U2889" s="1" t="str">
        <f>IFERROR(__xludf.DUMMYFUNCTION("""COMPUTED_VALUE"""),"")</f>
        <v/>
      </c>
      <c r="V2889" s="1" t="str">
        <f>IFERROR(__xludf.DUMMYFUNCTION("""COMPUTED_VALUE"""),"")</f>
        <v/>
      </c>
      <c r="W2889" s="1" t="str">
        <f>IFERROR(__xludf.DUMMYFUNCTION("""COMPUTED_VALUE"""),"")</f>
        <v/>
      </c>
      <c r="X2889" s="1" t="str">
        <f>IFERROR(__xludf.DUMMYFUNCTION("""COMPUTED_VALUE"""),"")</f>
        <v/>
      </c>
      <c r="Y2889" s="2"/>
      <c r="Z2889" s="2" t="str">
        <f>IFERROR(__xludf.DUMMYFUNCTION("""COMPUTED_VALUE"""),"")</f>
        <v/>
      </c>
    </row>
    <row r="2890">
      <c r="A2890" s="1" t="str">
        <f>IFERROR(__xludf.DUMMYFUNCTION("""COMPUTED_VALUE"""),"")</f>
        <v/>
      </c>
      <c r="B2890" s="1"/>
      <c r="C2890" s="2"/>
      <c r="D2890" s="2"/>
      <c r="E2890" s="1"/>
      <c r="F2890" s="1"/>
      <c r="G2890" s="4" t="str">
        <f>IFERROR(__xludf.DUMMYFUNCTION("""COMPUTED_VALUE"""),"")</f>
        <v/>
      </c>
      <c r="H2890" s="4" t="str">
        <f>IFERROR(__xludf.DUMMYFUNCTION("""COMPUTED_VALUE"""),"")</f>
        <v/>
      </c>
      <c r="I2890" s="4" t="str">
        <f>IFERROR(__xludf.DUMMYFUNCTION("""COMPUTED_VALUE"""),"")</f>
        <v/>
      </c>
      <c r="J2890" s="4" t="str">
        <f>IFERROR(__xludf.DUMMYFUNCTION("""COMPUTED_VALUE"""),"")</f>
        <v/>
      </c>
      <c r="K2890" s="4" t="str">
        <f>IFERROR(__xludf.DUMMYFUNCTION("""COMPUTED_VALUE"""),"")</f>
        <v/>
      </c>
      <c r="L2890" s="4" t="str">
        <f>IFERROR(__xludf.DUMMYFUNCTION("""COMPUTED_VALUE"""),"")</f>
        <v/>
      </c>
      <c r="M2890" s="1" t="str">
        <f>IFERROR(__xludf.DUMMYFUNCTION("""COMPUTED_VALUE"""),"RFID")</f>
        <v>RFID</v>
      </c>
      <c r="N2890" s="5" t="str">
        <f>IFERROR(__xludf.DUMMYFUNCTION("""COMPUTED_VALUE"""),"")</f>
        <v/>
      </c>
      <c r="O2890" s="5" t="str">
        <f>IFERROR(__xludf.DUMMYFUNCTION("""COMPUTED_VALUE"""),"")</f>
        <v/>
      </c>
      <c r="P2890" s="5" t="str">
        <f>IFERROR(__xludf.DUMMYFUNCTION("""COMPUTED_VALUE"""),"")</f>
        <v/>
      </c>
      <c r="Q2890" s="5" t="str">
        <f>IFERROR(__xludf.DUMMYFUNCTION("""COMPUTED_VALUE"""),"")</f>
        <v/>
      </c>
      <c r="R2890" s="4" t="str">
        <f>IFERROR(__xludf.DUMMYFUNCTION("""COMPUTED_VALUE"""),"")</f>
        <v/>
      </c>
      <c r="S2890" s="1" t="b">
        <f>IFERROR(__xludf.DUMMYFUNCTION("""COMPUTED_VALUE"""),FALSE)</f>
        <v>0</v>
      </c>
      <c r="T2890" s="1" t="b">
        <f>IFERROR(__xludf.DUMMYFUNCTION("""COMPUTED_VALUE"""),FALSE)</f>
        <v>0</v>
      </c>
      <c r="U2890" s="1" t="str">
        <f>IFERROR(__xludf.DUMMYFUNCTION("""COMPUTED_VALUE"""),"")</f>
        <v/>
      </c>
      <c r="V2890" s="1" t="str">
        <f>IFERROR(__xludf.DUMMYFUNCTION("""COMPUTED_VALUE"""),"")</f>
        <v/>
      </c>
      <c r="W2890" s="1" t="str">
        <f>IFERROR(__xludf.DUMMYFUNCTION("""COMPUTED_VALUE"""),"")</f>
        <v/>
      </c>
      <c r="X2890" s="1" t="str">
        <f>IFERROR(__xludf.DUMMYFUNCTION("""COMPUTED_VALUE"""),"")</f>
        <v/>
      </c>
      <c r="Y2890" s="2"/>
      <c r="Z2890" s="2" t="str">
        <f>IFERROR(__xludf.DUMMYFUNCTION("""COMPUTED_VALUE"""),"")</f>
        <v/>
      </c>
    </row>
    <row r="2891">
      <c r="A2891" s="1" t="str">
        <f>IFERROR(__xludf.DUMMYFUNCTION("""COMPUTED_VALUE"""),"")</f>
        <v/>
      </c>
      <c r="B2891" s="1"/>
      <c r="C2891" s="2"/>
      <c r="D2891" s="2"/>
      <c r="E2891" s="1"/>
      <c r="F2891" s="1"/>
      <c r="G2891" s="4" t="str">
        <f>IFERROR(__xludf.DUMMYFUNCTION("""COMPUTED_VALUE"""),"")</f>
        <v/>
      </c>
      <c r="H2891" s="4" t="str">
        <f>IFERROR(__xludf.DUMMYFUNCTION("""COMPUTED_VALUE"""),"")</f>
        <v/>
      </c>
      <c r="I2891" s="4" t="str">
        <f>IFERROR(__xludf.DUMMYFUNCTION("""COMPUTED_VALUE"""),"")</f>
        <v/>
      </c>
      <c r="J2891" s="4" t="str">
        <f>IFERROR(__xludf.DUMMYFUNCTION("""COMPUTED_VALUE"""),"")</f>
        <v/>
      </c>
      <c r="K2891" s="4" t="str">
        <f>IFERROR(__xludf.DUMMYFUNCTION("""COMPUTED_VALUE"""),"")</f>
        <v/>
      </c>
      <c r="L2891" s="4" t="str">
        <f>IFERROR(__xludf.DUMMYFUNCTION("""COMPUTED_VALUE"""),"")</f>
        <v/>
      </c>
      <c r="M2891" s="1" t="str">
        <f>IFERROR(__xludf.DUMMYFUNCTION("""COMPUTED_VALUE"""),"RFID")</f>
        <v>RFID</v>
      </c>
      <c r="N2891" s="5" t="str">
        <f>IFERROR(__xludf.DUMMYFUNCTION("""COMPUTED_VALUE"""),"")</f>
        <v/>
      </c>
      <c r="O2891" s="5" t="str">
        <f>IFERROR(__xludf.DUMMYFUNCTION("""COMPUTED_VALUE"""),"")</f>
        <v/>
      </c>
      <c r="P2891" s="5" t="str">
        <f>IFERROR(__xludf.DUMMYFUNCTION("""COMPUTED_VALUE"""),"")</f>
        <v/>
      </c>
      <c r="Q2891" s="5" t="str">
        <f>IFERROR(__xludf.DUMMYFUNCTION("""COMPUTED_VALUE"""),"")</f>
        <v/>
      </c>
      <c r="R2891" s="4" t="str">
        <f>IFERROR(__xludf.DUMMYFUNCTION("""COMPUTED_VALUE"""),"")</f>
        <v/>
      </c>
      <c r="S2891" s="1" t="b">
        <f>IFERROR(__xludf.DUMMYFUNCTION("""COMPUTED_VALUE"""),FALSE)</f>
        <v>0</v>
      </c>
      <c r="T2891" s="1" t="b">
        <f>IFERROR(__xludf.DUMMYFUNCTION("""COMPUTED_VALUE"""),FALSE)</f>
        <v>0</v>
      </c>
      <c r="U2891" s="1" t="str">
        <f>IFERROR(__xludf.DUMMYFUNCTION("""COMPUTED_VALUE"""),"")</f>
        <v/>
      </c>
      <c r="V2891" s="1" t="str">
        <f>IFERROR(__xludf.DUMMYFUNCTION("""COMPUTED_VALUE"""),"")</f>
        <v/>
      </c>
      <c r="W2891" s="1" t="str">
        <f>IFERROR(__xludf.DUMMYFUNCTION("""COMPUTED_VALUE"""),"")</f>
        <v/>
      </c>
      <c r="X2891" s="1" t="str">
        <f>IFERROR(__xludf.DUMMYFUNCTION("""COMPUTED_VALUE"""),"")</f>
        <v/>
      </c>
      <c r="Y2891" s="2"/>
      <c r="Z2891" s="2" t="str">
        <f>IFERROR(__xludf.DUMMYFUNCTION("""COMPUTED_VALUE"""),"")</f>
        <v/>
      </c>
    </row>
    <row r="2892">
      <c r="A2892" s="1" t="str">
        <f>IFERROR(__xludf.DUMMYFUNCTION("""COMPUTED_VALUE"""),"")</f>
        <v/>
      </c>
      <c r="B2892" s="1"/>
      <c r="C2892" s="2"/>
      <c r="D2892" s="2"/>
      <c r="E2892" s="1"/>
      <c r="F2892" s="1"/>
      <c r="G2892" s="4" t="str">
        <f>IFERROR(__xludf.DUMMYFUNCTION("""COMPUTED_VALUE"""),"")</f>
        <v/>
      </c>
      <c r="H2892" s="4" t="str">
        <f>IFERROR(__xludf.DUMMYFUNCTION("""COMPUTED_VALUE"""),"")</f>
        <v/>
      </c>
      <c r="I2892" s="4" t="str">
        <f>IFERROR(__xludf.DUMMYFUNCTION("""COMPUTED_VALUE"""),"")</f>
        <v/>
      </c>
      <c r="J2892" s="4" t="str">
        <f>IFERROR(__xludf.DUMMYFUNCTION("""COMPUTED_VALUE"""),"")</f>
        <v/>
      </c>
      <c r="K2892" s="4" t="str">
        <f>IFERROR(__xludf.DUMMYFUNCTION("""COMPUTED_VALUE"""),"")</f>
        <v/>
      </c>
      <c r="L2892" s="4" t="str">
        <f>IFERROR(__xludf.DUMMYFUNCTION("""COMPUTED_VALUE"""),"")</f>
        <v/>
      </c>
      <c r="M2892" s="1" t="str">
        <f>IFERROR(__xludf.DUMMYFUNCTION("""COMPUTED_VALUE"""),"RFID")</f>
        <v>RFID</v>
      </c>
      <c r="N2892" s="5" t="str">
        <f>IFERROR(__xludf.DUMMYFUNCTION("""COMPUTED_VALUE"""),"")</f>
        <v/>
      </c>
      <c r="O2892" s="5" t="str">
        <f>IFERROR(__xludf.DUMMYFUNCTION("""COMPUTED_VALUE"""),"")</f>
        <v/>
      </c>
      <c r="P2892" s="5" t="str">
        <f>IFERROR(__xludf.DUMMYFUNCTION("""COMPUTED_VALUE"""),"")</f>
        <v/>
      </c>
      <c r="Q2892" s="5" t="str">
        <f>IFERROR(__xludf.DUMMYFUNCTION("""COMPUTED_VALUE"""),"")</f>
        <v/>
      </c>
      <c r="R2892" s="4" t="str">
        <f>IFERROR(__xludf.DUMMYFUNCTION("""COMPUTED_VALUE"""),"")</f>
        <v/>
      </c>
      <c r="S2892" s="1" t="b">
        <f>IFERROR(__xludf.DUMMYFUNCTION("""COMPUTED_VALUE"""),FALSE)</f>
        <v>0</v>
      </c>
      <c r="T2892" s="1" t="b">
        <f>IFERROR(__xludf.DUMMYFUNCTION("""COMPUTED_VALUE"""),FALSE)</f>
        <v>0</v>
      </c>
      <c r="U2892" s="1" t="str">
        <f>IFERROR(__xludf.DUMMYFUNCTION("""COMPUTED_VALUE"""),"")</f>
        <v/>
      </c>
      <c r="V2892" s="1" t="str">
        <f>IFERROR(__xludf.DUMMYFUNCTION("""COMPUTED_VALUE"""),"")</f>
        <v/>
      </c>
      <c r="W2892" s="1" t="str">
        <f>IFERROR(__xludf.DUMMYFUNCTION("""COMPUTED_VALUE"""),"")</f>
        <v/>
      </c>
      <c r="X2892" s="1" t="str">
        <f>IFERROR(__xludf.DUMMYFUNCTION("""COMPUTED_VALUE"""),"")</f>
        <v/>
      </c>
      <c r="Y2892" s="2"/>
      <c r="Z2892" s="2" t="str">
        <f>IFERROR(__xludf.DUMMYFUNCTION("""COMPUTED_VALUE"""),"")</f>
        <v/>
      </c>
    </row>
    <row r="2893">
      <c r="A2893" s="1" t="str">
        <f>IFERROR(__xludf.DUMMYFUNCTION("""COMPUTED_VALUE"""),"")</f>
        <v/>
      </c>
      <c r="B2893" s="1"/>
      <c r="C2893" s="2"/>
      <c r="D2893" s="2"/>
      <c r="E2893" s="1"/>
      <c r="F2893" s="1"/>
      <c r="G2893" s="4" t="str">
        <f>IFERROR(__xludf.DUMMYFUNCTION("""COMPUTED_VALUE"""),"")</f>
        <v/>
      </c>
      <c r="H2893" s="4" t="str">
        <f>IFERROR(__xludf.DUMMYFUNCTION("""COMPUTED_VALUE"""),"")</f>
        <v/>
      </c>
      <c r="I2893" s="4" t="str">
        <f>IFERROR(__xludf.DUMMYFUNCTION("""COMPUTED_VALUE"""),"")</f>
        <v/>
      </c>
      <c r="J2893" s="4" t="str">
        <f>IFERROR(__xludf.DUMMYFUNCTION("""COMPUTED_VALUE"""),"")</f>
        <v/>
      </c>
      <c r="K2893" s="4" t="str">
        <f>IFERROR(__xludf.DUMMYFUNCTION("""COMPUTED_VALUE"""),"")</f>
        <v/>
      </c>
      <c r="L2893" s="4" t="str">
        <f>IFERROR(__xludf.DUMMYFUNCTION("""COMPUTED_VALUE"""),"")</f>
        <v/>
      </c>
      <c r="M2893" s="1" t="str">
        <f>IFERROR(__xludf.DUMMYFUNCTION("""COMPUTED_VALUE"""),"RFID")</f>
        <v>RFID</v>
      </c>
      <c r="N2893" s="5" t="str">
        <f>IFERROR(__xludf.DUMMYFUNCTION("""COMPUTED_VALUE"""),"")</f>
        <v/>
      </c>
      <c r="O2893" s="5" t="str">
        <f>IFERROR(__xludf.DUMMYFUNCTION("""COMPUTED_VALUE"""),"")</f>
        <v/>
      </c>
      <c r="P2893" s="5" t="str">
        <f>IFERROR(__xludf.DUMMYFUNCTION("""COMPUTED_VALUE"""),"")</f>
        <v/>
      </c>
      <c r="Q2893" s="5" t="str">
        <f>IFERROR(__xludf.DUMMYFUNCTION("""COMPUTED_VALUE"""),"")</f>
        <v/>
      </c>
      <c r="R2893" s="4" t="str">
        <f>IFERROR(__xludf.DUMMYFUNCTION("""COMPUTED_VALUE"""),"")</f>
        <v/>
      </c>
      <c r="S2893" s="1" t="b">
        <f>IFERROR(__xludf.DUMMYFUNCTION("""COMPUTED_VALUE"""),FALSE)</f>
        <v>0</v>
      </c>
      <c r="T2893" s="1" t="b">
        <f>IFERROR(__xludf.DUMMYFUNCTION("""COMPUTED_VALUE"""),FALSE)</f>
        <v>0</v>
      </c>
      <c r="U2893" s="1" t="str">
        <f>IFERROR(__xludf.DUMMYFUNCTION("""COMPUTED_VALUE"""),"")</f>
        <v/>
      </c>
      <c r="V2893" s="1" t="str">
        <f>IFERROR(__xludf.DUMMYFUNCTION("""COMPUTED_VALUE"""),"")</f>
        <v/>
      </c>
      <c r="W2893" s="1" t="str">
        <f>IFERROR(__xludf.DUMMYFUNCTION("""COMPUTED_VALUE"""),"")</f>
        <v/>
      </c>
      <c r="X2893" s="1" t="str">
        <f>IFERROR(__xludf.DUMMYFUNCTION("""COMPUTED_VALUE"""),"")</f>
        <v/>
      </c>
      <c r="Y2893" s="2"/>
      <c r="Z2893" s="2" t="str">
        <f>IFERROR(__xludf.DUMMYFUNCTION("""COMPUTED_VALUE"""),"")</f>
        <v/>
      </c>
    </row>
    <row r="2894">
      <c r="A2894" s="1" t="str">
        <f>IFERROR(__xludf.DUMMYFUNCTION("""COMPUTED_VALUE"""),"")</f>
        <v/>
      </c>
      <c r="B2894" s="1"/>
      <c r="C2894" s="2"/>
      <c r="D2894" s="2"/>
      <c r="E2894" s="1"/>
      <c r="F2894" s="1"/>
      <c r="G2894" s="4" t="str">
        <f>IFERROR(__xludf.DUMMYFUNCTION("""COMPUTED_VALUE"""),"")</f>
        <v/>
      </c>
      <c r="H2894" s="4" t="str">
        <f>IFERROR(__xludf.DUMMYFUNCTION("""COMPUTED_VALUE"""),"")</f>
        <v/>
      </c>
      <c r="I2894" s="4" t="str">
        <f>IFERROR(__xludf.DUMMYFUNCTION("""COMPUTED_VALUE"""),"")</f>
        <v/>
      </c>
      <c r="J2894" s="4" t="str">
        <f>IFERROR(__xludf.DUMMYFUNCTION("""COMPUTED_VALUE"""),"")</f>
        <v/>
      </c>
      <c r="K2894" s="4" t="str">
        <f>IFERROR(__xludf.DUMMYFUNCTION("""COMPUTED_VALUE"""),"")</f>
        <v/>
      </c>
      <c r="L2894" s="4" t="str">
        <f>IFERROR(__xludf.DUMMYFUNCTION("""COMPUTED_VALUE"""),"")</f>
        <v/>
      </c>
      <c r="M2894" s="1" t="str">
        <f>IFERROR(__xludf.DUMMYFUNCTION("""COMPUTED_VALUE"""),"RFID")</f>
        <v>RFID</v>
      </c>
      <c r="N2894" s="5" t="str">
        <f>IFERROR(__xludf.DUMMYFUNCTION("""COMPUTED_VALUE"""),"")</f>
        <v/>
      </c>
      <c r="O2894" s="5" t="str">
        <f>IFERROR(__xludf.DUMMYFUNCTION("""COMPUTED_VALUE"""),"")</f>
        <v/>
      </c>
      <c r="P2894" s="5" t="str">
        <f>IFERROR(__xludf.DUMMYFUNCTION("""COMPUTED_VALUE"""),"")</f>
        <v/>
      </c>
      <c r="Q2894" s="5" t="str">
        <f>IFERROR(__xludf.DUMMYFUNCTION("""COMPUTED_VALUE"""),"")</f>
        <v/>
      </c>
      <c r="R2894" s="4" t="str">
        <f>IFERROR(__xludf.DUMMYFUNCTION("""COMPUTED_VALUE"""),"")</f>
        <v/>
      </c>
      <c r="S2894" s="1" t="b">
        <f>IFERROR(__xludf.DUMMYFUNCTION("""COMPUTED_VALUE"""),FALSE)</f>
        <v>0</v>
      </c>
      <c r="T2894" s="1" t="b">
        <f>IFERROR(__xludf.DUMMYFUNCTION("""COMPUTED_VALUE"""),FALSE)</f>
        <v>0</v>
      </c>
      <c r="U2894" s="1" t="str">
        <f>IFERROR(__xludf.DUMMYFUNCTION("""COMPUTED_VALUE"""),"")</f>
        <v/>
      </c>
      <c r="V2894" s="1" t="str">
        <f>IFERROR(__xludf.DUMMYFUNCTION("""COMPUTED_VALUE"""),"")</f>
        <v/>
      </c>
      <c r="W2894" s="1" t="str">
        <f>IFERROR(__xludf.DUMMYFUNCTION("""COMPUTED_VALUE"""),"")</f>
        <v/>
      </c>
      <c r="X2894" s="1" t="str">
        <f>IFERROR(__xludf.DUMMYFUNCTION("""COMPUTED_VALUE"""),"")</f>
        <v/>
      </c>
      <c r="Y2894" s="2"/>
      <c r="Z2894" s="2" t="str">
        <f>IFERROR(__xludf.DUMMYFUNCTION("""COMPUTED_VALUE"""),"")</f>
        <v/>
      </c>
    </row>
    <row r="2895">
      <c r="A2895" s="1" t="str">
        <f>IFERROR(__xludf.DUMMYFUNCTION("""COMPUTED_VALUE"""),"")</f>
        <v/>
      </c>
      <c r="B2895" s="1"/>
      <c r="C2895" s="2"/>
      <c r="D2895" s="2"/>
      <c r="E2895" s="1"/>
      <c r="F2895" s="1"/>
      <c r="G2895" s="4" t="str">
        <f>IFERROR(__xludf.DUMMYFUNCTION("""COMPUTED_VALUE"""),"")</f>
        <v/>
      </c>
      <c r="H2895" s="4" t="str">
        <f>IFERROR(__xludf.DUMMYFUNCTION("""COMPUTED_VALUE"""),"")</f>
        <v/>
      </c>
      <c r="I2895" s="4" t="str">
        <f>IFERROR(__xludf.DUMMYFUNCTION("""COMPUTED_VALUE"""),"")</f>
        <v/>
      </c>
      <c r="J2895" s="4" t="str">
        <f>IFERROR(__xludf.DUMMYFUNCTION("""COMPUTED_VALUE"""),"")</f>
        <v/>
      </c>
      <c r="K2895" s="4" t="str">
        <f>IFERROR(__xludf.DUMMYFUNCTION("""COMPUTED_VALUE"""),"")</f>
        <v/>
      </c>
      <c r="L2895" s="4" t="str">
        <f>IFERROR(__xludf.DUMMYFUNCTION("""COMPUTED_VALUE"""),"")</f>
        <v/>
      </c>
      <c r="M2895" s="1" t="str">
        <f>IFERROR(__xludf.DUMMYFUNCTION("""COMPUTED_VALUE"""),"RFID")</f>
        <v>RFID</v>
      </c>
      <c r="N2895" s="5" t="str">
        <f>IFERROR(__xludf.DUMMYFUNCTION("""COMPUTED_VALUE"""),"")</f>
        <v/>
      </c>
      <c r="O2895" s="5" t="str">
        <f>IFERROR(__xludf.DUMMYFUNCTION("""COMPUTED_VALUE"""),"")</f>
        <v/>
      </c>
      <c r="P2895" s="5" t="str">
        <f>IFERROR(__xludf.DUMMYFUNCTION("""COMPUTED_VALUE"""),"")</f>
        <v/>
      </c>
      <c r="Q2895" s="5" t="str">
        <f>IFERROR(__xludf.DUMMYFUNCTION("""COMPUTED_VALUE"""),"")</f>
        <v/>
      </c>
      <c r="R2895" s="4" t="str">
        <f>IFERROR(__xludf.DUMMYFUNCTION("""COMPUTED_VALUE"""),"")</f>
        <v/>
      </c>
      <c r="S2895" s="1" t="b">
        <f>IFERROR(__xludf.DUMMYFUNCTION("""COMPUTED_VALUE"""),FALSE)</f>
        <v>0</v>
      </c>
      <c r="T2895" s="1" t="b">
        <f>IFERROR(__xludf.DUMMYFUNCTION("""COMPUTED_VALUE"""),FALSE)</f>
        <v>0</v>
      </c>
      <c r="U2895" s="1" t="str">
        <f>IFERROR(__xludf.DUMMYFUNCTION("""COMPUTED_VALUE"""),"")</f>
        <v/>
      </c>
      <c r="V2895" s="1" t="str">
        <f>IFERROR(__xludf.DUMMYFUNCTION("""COMPUTED_VALUE"""),"")</f>
        <v/>
      </c>
      <c r="W2895" s="1" t="str">
        <f>IFERROR(__xludf.DUMMYFUNCTION("""COMPUTED_VALUE"""),"")</f>
        <v/>
      </c>
      <c r="X2895" s="1" t="str">
        <f>IFERROR(__xludf.DUMMYFUNCTION("""COMPUTED_VALUE"""),"")</f>
        <v/>
      </c>
      <c r="Y2895" s="2"/>
      <c r="Z2895" s="2" t="str">
        <f>IFERROR(__xludf.DUMMYFUNCTION("""COMPUTED_VALUE"""),"")</f>
        <v/>
      </c>
    </row>
    <row r="2896">
      <c r="A2896" s="1" t="str">
        <f>IFERROR(__xludf.DUMMYFUNCTION("""COMPUTED_VALUE"""),"")</f>
        <v/>
      </c>
      <c r="B2896" s="1"/>
      <c r="C2896" s="2"/>
      <c r="D2896" s="2"/>
      <c r="E2896" s="1"/>
      <c r="F2896" s="1"/>
      <c r="G2896" s="4" t="str">
        <f>IFERROR(__xludf.DUMMYFUNCTION("""COMPUTED_VALUE"""),"")</f>
        <v/>
      </c>
      <c r="H2896" s="4" t="str">
        <f>IFERROR(__xludf.DUMMYFUNCTION("""COMPUTED_VALUE"""),"")</f>
        <v/>
      </c>
      <c r="I2896" s="4" t="str">
        <f>IFERROR(__xludf.DUMMYFUNCTION("""COMPUTED_VALUE"""),"")</f>
        <v/>
      </c>
      <c r="J2896" s="4" t="str">
        <f>IFERROR(__xludf.DUMMYFUNCTION("""COMPUTED_VALUE"""),"")</f>
        <v/>
      </c>
      <c r="K2896" s="4" t="str">
        <f>IFERROR(__xludf.DUMMYFUNCTION("""COMPUTED_VALUE"""),"")</f>
        <v/>
      </c>
      <c r="L2896" s="4" t="str">
        <f>IFERROR(__xludf.DUMMYFUNCTION("""COMPUTED_VALUE"""),"")</f>
        <v/>
      </c>
      <c r="M2896" s="1" t="str">
        <f>IFERROR(__xludf.DUMMYFUNCTION("""COMPUTED_VALUE"""),"RFID")</f>
        <v>RFID</v>
      </c>
      <c r="N2896" s="5" t="str">
        <f>IFERROR(__xludf.DUMMYFUNCTION("""COMPUTED_VALUE"""),"")</f>
        <v/>
      </c>
      <c r="O2896" s="5" t="str">
        <f>IFERROR(__xludf.DUMMYFUNCTION("""COMPUTED_VALUE"""),"")</f>
        <v/>
      </c>
      <c r="P2896" s="5" t="str">
        <f>IFERROR(__xludf.DUMMYFUNCTION("""COMPUTED_VALUE"""),"")</f>
        <v/>
      </c>
      <c r="Q2896" s="5" t="str">
        <f>IFERROR(__xludf.DUMMYFUNCTION("""COMPUTED_VALUE"""),"")</f>
        <v/>
      </c>
      <c r="R2896" s="4" t="str">
        <f>IFERROR(__xludf.DUMMYFUNCTION("""COMPUTED_VALUE"""),"")</f>
        <v/>
      </c>
      <c r="S2896" s="1" t="b">
        <f>IFERROR(__xludf.DUMMYFUNCTION("""COMPUTED_VALUE"""),FALSE)</f>
        <v>0</v>
      </c>
      <c r="T2896" s="1" t="b">
        <f>IFERROR(__xludf.DUMMYFUNCTION("""COMPUTED_VALUE"""),FALSE)</f>
        <v>0</v>
      </c>
      <c r="U2896" s="1" t="str">
        <f>IFERROR(__xludf.DUMMYFUNCTION("""COMPUTED_VALUE"""),"")</f>
        <v/>
      </c>
      <c r="V2896" s="1" t="str">
        <f>IFERROR(__xludf.DUMMYFUNCTION("""COMPUTED_VALUE"""),"")</f>
        <v/>
      </c>
      <c r="W2896" s="1" t="str">
        <f>IFERROR(__xludf.DUMMYFUNCTION("""COMPUTED_VALUE"""),"")</f>
        <v/>
      </c>
      <c r="X2896" s="1" t="str">
        <f>IFERROR(__xludf.DUMMYFUNCTION("""COMPUTED_VALUE"""),"")</f>
        <v/>
      </c>
      <c r="Y2896" s="2"/>
      <c r="Z2896" s="2" t="str">
        <f>IFERROR(__xludf.DUMMYFUNCTION("""COMPUTED_VALUE"""),"")</f>
        <v/>
      </c>
    </row>
    <row r="2897">
      <c r="A2897" s="1" t="str">
        <f>IFERROR(__xludf.DUMMYFUNCTION("""COMPUTED_VALUE"""),"")</f>
        <v/>
      </c>
      <c r="B2897" s="1"/>
      <c r="C2897" s="2"/>
      <c r="D2897" s="2"/>
      <c r="E2897" s="1"/>
      <c r="F2897" s="1"/>
      <c r="G2897" s="4" t="str">
        <f>IFERROR(__xludf.DUMMYFUNCTION("""COMPUTED_VALUE"""),"")</f>
        <v/>
      </c>
      <c r="H2897" s="4" t="str">
        <f>IFERROR(__xludf.DUMMYFUNCTION("""COMPUTED_VALUE"""),"")</f>
        <v/>
      </c>
      <c r="I2897" s="4" t="str">
        <f>IFERROR(__xludf.DUMMYFUNCTION("""COMPUTED_VALUE"""),"")</f>
        <v/>
      </c>
      <c r="J2897" s="4" t="str">
        <f>IFERROR(__xludf.DUMMYFUNCTION("""COMPUTED_VALUE"""),"")</f>
        <v/>
      </c>
      <c r="K2897" s="4" t="str">
        <f>IFERROR(__xludf.DUMMYFUNCTION("""COMPUTED_VALUE"""),"")</f>
        <v/>
      </c>
      <c r="L2897" s="4" t="str">
        <f>IFERROR(__xludf.DUMMYFUNCTION("""COMPUTED_VALUE"""),"")</f>
        <v/>
      </c>
      <c r="M2897" s="1" t="str">
        <f>IFERROR(__xludf.DUMMYFUNCTION("""COMPUTED_VALUE"""),"RFID")</f>
        <v>RFID</v>
      </c>
      <c r="N2897" s="5" t="str">
        <f>IFERROR(__xludf.DUMMYFUNCTION("""COMPUTED_VALUE"""),"")</f>
        <v/>
      </c>
      <c r="O2897" s="5" t="str">
        <f>IFERROR(__xludf.DUMMYFUNCTION("""COMPUTED_VALUE"""),"")</f>
        <v/>
      </c>
      <c r="P2897" s="5" t="str">
        <f>IFERROR(__xludf.DUMMYFUNCTION("""COMPUTED_VALUE"""),"")</f>
        <v/>
      </c>
      <c r="Q2897" s="5" t="str">
        <f>IFERROR(__xludf.DUMMYFUNCTION("""COMPUTED_VALUE"""),"")</f>
        <v/>
      </c>
      <c r="R2897" s="4" t="str">
        <f>IFERROR(__xludf.DUMMYFUNCTION("""COMPUTED_VALUE"""),"")</f>
        <v/>
      </c>
      <c r="S2897" s="1" t="b">
        <f>IFERROR(__xludf.DUMMYFUNCTION("""COMPUTED_VALUE"""),FALSE)</f>
        <v>0</v>
      </c>
      <c r="T2897" s="1" t="b">
        <f>IFERROR(__xludf.DUMMYFUNCTION("""COMPUTED_VALUE"""),FALSE)</f>
        <v>0</v>
      </c>
      <c r="U2897" s="1" t="str">
        <f>IFERROR(__xludf.DUMMYFUNCTION("""COMPUTED_VALUE"""),"")</f>
        <v/>
      </c>
      <c r="V2897" s="1" t="str">
        <f>IFERROR(__xludf.DUMMYFUNCTION("""COMPUTED_VALUE"""),"")</f>
        <v/>
      </c>
      <c r="W2897" s="1" t="str">
        <f>IFERROR(__xludf.DUMMYFUNCTION("""COMPUTED_VALUE"""),"")</f>
        <v/>
      </c>
      <c r="X2897" s="1" t="str">
        <f>IFERROR(__xludf.DUMMYFUNCTION("""COMPUTED_VALUE"""),"")</f>
        <v/>
      </c>
      <c r="Y2897" s="2"/>
      <c r="Z2897" s="2" t="str">
        <f>IFERROR(__xludf.DUMMYFUNCTION("""COMPUTED_VALUE"""),"")</f>
        <v/>
      </c>
    </row>
    <row r="2898">
      <c r="A2898" s="1" t="str">
        <f>IFERROR(__xludf.DUMMYFUNCTION("""COMPUTED_VALUE"""),"")</f>
        <v/>
      </c>
      <c r="B2898" s="1"/>
      <c r="C2898" s="2"/>
      <c r="D2898" s="2"/>
      <c r="E2898" s="1"/>
      <c r="F2898" s="1"/>
      <c r="G2898" s="4" t="str">
        <f>IFERROR(__xludf.DUMMYFUNCTION("""COMPUTED_VALUE"""),"")</f>
        <v/>
      </c>
      <c r="H2898" s="4" t="str">
        <f>IFERROR(__xludf.DUMMYFUNCTION("""COMPUTED_VALUE"""),"")</f>
        <v/>
      </c>
      <c r="I2898" s="4" t="str">
        <f>IFERROR(__xludf.DUMMYFUNCTION("""COMPUTED_VALUE"""),"")</f>
        <v/>
      </c>
      <c r="J2898" s="4" t="str">
        <f>IFERROR(__xludf.DUMMYFUNCTION("""COMPUTED_VALUE"""),"")</f>
        <v/>
      </c>
      <c r="K2898" s="4" t="str">
        <f>IFERROR(__xludf.DUMMYFUNCTION("""COMPUTED_VALUE"""),"")</f>
        <v/>
      </c>
      <c r="L2898" s="4" t="str">
        <f>IFERROR(__xludf.DUMMYFUNCTION("""COMPUTED_VALUE"""),"")</f>
        <v/>
      </c>
      <c r="M2898" s="1" t="str">
        <f>IFERROR(__xludf.DUMMYFUNCTION("""COMPUTED_VALUE"""),"RFID")</f>
        <v>RFID</v>
      </c>
      <c r="N2898" s="5" t="str">
        <f>IFERROR(__xludf.DUMMYFUNCTION("""COMPUTED_VALUE"""),"")</f>
        <v/>
      </c>
      <c r="O2898" s="5" t="str">
        <f>IFERROR(__xludf.DUMMYFUNCTION("""COMPUTED_VALUE"""),"")</f>
        <v/>
      </c>
      <c r="P2898" s="5" t="str">
        <f>IFERROR(__xludf.DUMMYFUNCTION("""COMPUTED_VALUE"""),"")</f>
        <v/>
      </c>
      <c r="Q2898" s="5" t="str">
        <f>IFERROR(__xludf.DUMMYFUNCTION("""COMPUTED_VALUE"""),"")</f>
        <v/>
      </c>
      <c r="R2898" s="4" t="str">
        <f>IFERROR(__xludf.DUMMYFUNCTION("""COMPUTED_VALUE"""),"")</f>
        <v/>
      </c>
      <c r="S2898" s="1" t="b">
        <f>IFERROR(__xludf.DUMMYFUNCTION("""COMPUTED_VALUE"""),FALSE)</f>
        <v>0</v>
      </c>
      <c r="T2898" s="1" t="b">
        <f>IFERROR(__xludf.DUMMYFUNCTION("""COMPUTED_VALUE"""),FALSE)</f>
        <v>0</v>
      </c>
      <c r="U2898" s="1" t="str">
        <f>IFERROR(__xludf.DUMMYFUNCTION("""COMPUTED_VALUE"""),"")</f>
        <v/>
      </c>
      <c r="V2898" s="1" t="str">
        <f>IFERROR(__xludf.DUMMYFUNCTION("""COMPUTED_VALUE"""),"")</f>
        <v/>
      </c>
      <c r="W2898" s="1" t="str">
        <f>IFERROR(__xludf.DUMMYFUNCTION("""COMPUTED_VALUE"""),"")</f>
        <v/>
      </c>
      <c r="X2898" s="1" t="str">
        <f>IFERROR(__xludf.DUMMYFUNCTION("""COMPUTED_VALUE"""),"")</f>
        <v/>
      </c>
      <c r="Y2898" s="2"/>
      <c r="Z2898" s="2" t="str">
        <f>IFERROR(__xludf.DUMMYFUNCTION("""COMPUTED_VALUE"""),"")</f>
        <v/>
      </c>
    </row>
    <row r="2899">
      <c r="A2899" s="1" t="str">
        <f>IFERROR(__xludf.DUMMYFUNCTION("""COMPUTED_VALUE"""),"")</f>
        <v/>
      </c>
      <c r="B2899" s="1"/>
      <c r="C2899" s="2"/>
      <c r="D2899" s="2"/>
      <c r="E2899" s="1"/>
      <c r="F2899" s="1"/>
      <c r="G2899" s="4" t="str">
        <f>IFERROR(__xludf.DUMMYFUNCTION("""COMPUTED_VALUE"""),"")</f>
        <v/>
      </c>
      <c r="H2899" s="4" t="str">
        <f>IFERROR(__xludf.DUMMYFUNCTION("""COMPUTED_VALUE"""),"")</f>
        <v/>
      </c>
      <c r="I2899" s="4" t="str">
        <f>IFERROR(__xludf.DUMMYFUNCTION("""COMPUTED_VALUE"""),"")</f>
        <v/>
      </c>
      <c r="J2899" s="4" t="str">
        <f>IFERROR(__xludf.DUMMYFUNCTION("""COMPUTED_VALUE"""),"")</f>
        <v/>
      </c>
      <c r="K2899" s="4" t="str">
        <f>IFERROR(__xludf.DUMMYFUNCTION("""COMPUTED_VALUE"""),"")</f>
        <v/>
      </c>
      <c r="L2899" s="4" t="str">
        <f>IFERROR(__xludf.DUMMYFUNCTION("""COMPUTED_VALUE"""),"")</f>
        <v/>
      </c>
      <c r="M2899" s="1" t="str">
        <f>IFERROR(__xludf.DUMMYFUNCTION("""COMPUTED_VALUE"""),"RFID")</f>
        <v>RFID</v>
      </c>
      <c r="N2899" s="5" t="str">
        <f>IFERROR(__xludf.DUMMYFUNCTION("""COMPUTED_VALUE"""),"")</f>
        <v/>
      </c>
      <c r="O2899" s="5" t="str">
        <f>IFERROR(__xludf.DUMMYFUNCTION("""COMPUTED_VALUE"""),"")</f>
        <v/>
      </c>
      <c r="P2899" s="5" t="str">
        <f>IFERROR(__xludf.DUMMYFUNCTION("""COMPUTED_VALUE"""),"")</f>
        <v/>
      </c>
      <c r="Q2899" s="5" t="str">
        <f>IFERROR(__xludf.DUMMYFUNCTION("""COMPUTED_VALUE"""),"")</f>
        <v/>
      </c>
      <c r="R2899" s="4" t="str">
        <f>IFERROR(__xludf.DUMMYFUNCTION("""COMPUTED_VALUE"""),"")</f>
        <v/>
      </c>
      <c r="S2899" s="1" t="b">
        <f>IFERROR(__xludf.DUMMYFUNCTION("""COMPUTED_VALUE"""),FALSE)</f>
        <v>0</v>
      </c>
      <c r="T2899" s="1" t="b">
        <f>IFERROR(__xludf.DUMMYFUNCTION("""COMPUTED_VALUE"""),FALSE)</f>
        <v>0</v>
      </c>
      <c r="U2899" s="1" t="str">
        <f>IFERROR(__xludf.DUMMYFUNCTION("""COMPUTED_VALUE"""),"")</f>
        <v/>
      </c>
      <c r="V2899" s="1" t="str">
        <f>IFERROR(__xludf.DUMMYFUNCTION("""COMPUTED_VALUE"""),"")</f>
        <v/>
      </c>
      <c r="W2899" s="1" t="str">
        <f>IFERROR(__xludf.DUMMYFUNCTION("""COMPUTED_VALUE"""),"")</f>
        <v/>
      </c>
      <c r="X2899" s="1" t="str">
        <f>IFERROR(__xludf.DUMMYFUNCTION("""COMPUTED_VALUE"""),"")</f>
        <v/>
      </c>
      <c r="Y2899" s="2"/>
      <c r="Z2899" s="2" t="str">
        <f>IFERROR(__xludf.DUMMYFUNCTION("""COMPUTED_VALUE"""),"")</f>
        <v/>
      </c>
    </row>
    <row r="2900">
      <c r="A2900" s="1" t="str">
        <f>IFERROR(__xludf.DUMMYFUNCTION("""COMPUTED_VALUE"""),"")</f>
        <v/>
      </c>
      <c r="B2900" s="1"/>
      <c r="C2900" s="2"/>
      <c r="D2900" s="2"/>
      <c r="E2900" s="1"/>
      <c r="F2900" s="1"/>
      <c r="G2900" s="4" t="str">
        <f>IFERROR(__xludf.DUMMYFUNCTION("""COMPUTED_VALUE"""),"")</f>
        <v/>
      </c>
      <c r="H2900" s="4" t="str">
        <f>IFERROR(__xludf.DUMMYFUNCTION("""COMPUTED_VALUE"""),"")</f>
        <v/>
      </c>
      <c r="I2900" s="4" t="str">
        <f>IFERROR(__xludf.DUMMYFUNCTION("""COMPUTED_VALUE"""),"")</f>
        <v/>
      </c>
      <c r="J2900" s="4" t="str">
        <f>IFERROR(__xludf.DUMMYFUNCTION("""COMPUTED_VALUE"""),"")</f>
        <v/>
      </c>
      <c r="K2900" s="4" t="str">
        <f>IFERROR(__xludf.DUMMYFUNCTION("""COMPUTED_VALUE"""),"")</f>
        <v/>
      </c>
      <c r="L2900" s="4" t="str">
        <f>IFERROR(__xludf.DUMMYFUNCTION("""COMPUTED_VALUE"""),"")</f>
        <v/>
      </c>
      <c r="M2900" s="1" t="str">
        <f>IFERROR(__xludf.DUMMYFUNCTION("""COMPUTED_VALUE"""),"RFID")</f>
        <v>RFID</v>
      </c>
      <c r="N2900" s="5" t="str">
        <f>IFERROR(__xludf.DUMMYFUNCTION("""COMPUTED_VALUE"""),"")</f>
        <v/>
      </c>
      <c r="O2900" s="5" t="str">
        <f>IFERROR(__xludf.DUMMYFUNCTION("""COMPUTED_VALUE"""),"")</f>
        <v/>
      </c>
      <c r="P2900" s="5" t="str">
        <f>IFERROR(__xludf.DUMMYFUNCTION("""COMPUTED_VALUE"""),"")</f>
        <v/>
      </c>
      <c r="Q2900" s="5" t="str">
        <f>IFERROR(__xludf.DUMMYFUNCTION("""COMPUTED_VALUE"""),"")</f>
        <v/>
      </c>
      <c r="R2900" s="4" t="str">
        <f>IFERROR(__xludf.DUMMYFUNCTION("""COMPUTED_VALUE"""),"")</f>
        <v/>
      </c>
      <c r="S2900" s="1" t="b">
        <f>IFERROR(__xludf.DUMMYFUNCTION("""COMPUTED_VALUE"""),FALSE)</f>
        <v>0</v>
      </c>
      <c r="T2900" s="1" t="b">
        <f>IFERROR(__xludf.DUMMYFUNCTION("""COMPUTED_VALUE"""),FALSE)</f>
        <v>0</v>
      </c>
      <c r="U2900" s="1" t="str">
        <f>IFERROR(__xludf.DUMMYFUNCTION("""COMPUTED_VALUE"""),"")</f>
        <v/>
      </c>
      <c r="V2900" s="1" t="str">
        <f>IFERROR(__xludf.DUMMYFUNCTION("""COMPUTED_VALUE"""),"")</f>
        <v/>
      </c>
      <c r="W2900" s="1" t="str">
        <f>IFERROR(__xludf.DUMMYFUNCTION("""COMPUTED_VALUE"""),"")</f>
        <v/>
      </c>
      <c r="X2900" s="1" t="str">
        <f>IFERROR(__xludf.DUMMYFUNCTION("""COMPUTED_VALUE"""),"")</f>
        <v/>
      </c>
      <c r="Y2900" s="2"/>
      <c r="Z2900" s="2" t="str">
        <f>IFERROR(__xludf.DUMMYFUNCTION("""COMPUTED_VALUE"""),"")</f>
        <v/>
      </c>
    </row>
    <row r="2901">
      <c r="A2901" s="1" t="str">
        <f>IFERROR(__xludf.DUMMYFUNCTION("""COMPUTED_VALUE"""),"")</f>
        <v/>
      </c>
      <c r="B2901" s="1"/>
      <c r="C2901" s="2"/>
      <c r="D2901" s="2"/>
      <c r="E2901" s="1"/>
      <c r="F2901" s="1"/>
      <c r="G2901" s="4" t="str">
        <f>IFERROR(__xludf.DUMMYFUNCTION("""COMPUTED_VALUE"""),"")</f>
        <v/>
      </c>
      <c r="H2901" s="4" t="str">
        <f>IFERROR(__xludf.DUMMYFUNCTION("""COMPUTED_VALUE"""),"")</f>
        <v/>
      </c>
      <c r="I2901" s="4" t="str">
        <f>IFERROR(__xludf.DUMMYFUNCTION("""COMPUTED_VALUE"""),"")</f>
        <v/>
      </c>
      <c r="J2901" s="4" t="str">
        <f>IFERROR(__xludf.DUMMYFUNCTION("""COMPUTED_VALUE"""),"")</f>
        <v/>
      </c>
      <c r="K2901" s="4" t="str">
        <f>IFERROR(__xludf.DUMMYFUNCTION("""COMPUTED_VALUE"""),"")</f>
        <v/>
      </c>
      <c r="L2901" s="4" t="str">
        <f>IFERROR(__xludf.DUMMYFUNCTION("""COMPUTED_VALUE"""),"")</f>
        <v/>
      </c>
      <c r="M2901" s="1" t="str">
        <f>IFERROR(__xludf.DUMMYFUNCTION("""COMPUTED_VALUE"""),"RFID")</f>
        <v>RFID</v>
      </c>
      <c r="N2901" s="5" t="str">
        <f>IFERROR(__xludf.DUMMYFUNCTION("""COMPUTED_VALUE"""),"")</f>
        <v/>
      </c>
      <c r="O2901" s="5" t="str">
        <f>IFERROR(__xludf.DUMMYFUNCTION("""COMPUTED_VALUE"""),"")</f>
        <v/>
      </c>
      <c r="P2901" s="5" t="str">
        <f>IFERROR(__xludf.DUMMYFUNCTION("""COMPUTED_VALUE"""),"")</f>
        <v/>
      </c>
      <c r="Q2901" s="5" t="str">
        <f>IFERROR(__xludf.DUMMYFUNCTION("""COMPUTED_VALUE"""),"")</f>
        <v/>
      </c>
      <c r="R2901" s="4" t="str">
        <f>IFERROR(__xludf.DUMMYFUNCTION("""COMPUTED_VALUE"""),"")</f>
        <v/>
      </c>
      <c r="S2901" s="1" t="b">
        <f>IFERROR(__xludf.DUMMYFUNCTION("""COMPUTED_VALUE"""),FALSE)</f>
        <v>0</v>
      </c>
      <c r="T2901" s="1" t="b">
        <f>IFERROR(__xludf.DUMMYFUNCTION("""COMPUTED_VALUE"""),FALSE)</f>
        <v>0</v>
      </c>
      <c r="U2901" s="1" t="str">
        <f>IFERROR(__xludf.DUMMYFUNCTION("""COMPUTED_VALUE"""),"")</f>
        <v/>
      </c>
      <c r="V2901" s="1" t="str">
        <f>IFERROR(__xludf.DUMMYFUNCTION("""COMPUTED_VALUE"""),"")</f>
        <v/>
      </c>
      <c r="W2901" s="1" t="str">
        <f>IFERROR(__xludf.DUMMYFUNCTION("""COMPUTED_VALUE"""),"")</f>
        <v/>
      </c>
      <c r="X2901" s="1" t="str">
        <f>IFERROR(__xludf.DUMMYFUNCTION("""COMPUTED_VALUE"""),"")</f>
        <v/>
      </c>
      <c r="Y2901" s="2"/>
      <c r="Z2901" s="2" t="str">
        <f>IFERROR(__xludf.DUMMYFUNCTION("""COMPUTED_VALUE"""),"")</f>
        <v/>
      </c>
    </row>
    <row r="2902">
      <c r="A2902" s="1" t="str">
        <f>IFERROR(__xludf.DUMMYFUNCTION("""COMPUTED_VALUE"""),"")</f>
        <v/>
      </c>
      <c r="B2902" s="1"/>
      <c r="C2902" s="2"/>
      <c r="D2902" s="2"/>
      <c r="E2902" s="1"/>
      <c r="F2902" s="1"/>
      <c r="G2902" s="4" t="str">
        <f>IFERROR(__xludf.DUMMYFUNCTION("""COMPUTED_VALUE"""),"")</f>
        <v/>
      </c>
      <c r="H2902" s="4" t="str">
        <f>IFERROR(__xludf.DUMMYFUNCTION("""COMPUTED_VALUE"""),"")</f>
        <v/>
      </c>
      <c r="I2902" s="4" t="str">
        <f>IFERROR(__xludf.DUMMYFUNCTION("""COMPUTED_VALUE"""),"")</f>
        <v/>
      </c>
      <c r="J2902" s="4" t="str">
        <f>IFERROR(__xludf.DUMMYFUNCTION("""COMPUTED_VALUE"""),"")</f>
        <v/>
      </c>
      <c r="K2902" s="4" t="str">
        <f>IFERROR(__xludf.DUMMYFUNCTION("""COMPUTED_VALUE"""),"")</f>
        <v/>
      </c>
      <c r="L2902" s="4" t="str">
        <f>IFERROR(__xludf.DUMMYFUNCTION("""COMPUTED_VALUE"""),"")</f>
        <v/>
      </c>
      <c r="M2902" s="1" t="str">
        <f>IFERROR(__xludf.DUMMYFUNCTION("""COMPUTED_VALUE"""),"RFID")</f>
        <v>RFID</v>
      </c>
      <c r="N2902" s="5" t="str">
        <f>IFERROR(__xludf.DUMMYFUNCTION("""COMPUTED_VALUE"""),"")</f>
        <v/>
      </c>
      <c r="O2902" s="5" t="str">
        <f>IFERROR(__xludf.DUMMYFUNCTION("""COMPUTED_VALUE"""),"")</f>
        <v/>
      </c>
      <c r="P2902" s="5" t="str">
        <f>IFERROR(__xludf.DUMMYFUNCTION("""COMPUTED_VALUE"""),"")</f>
        <v/>
      </c>
      <c r="Q2902" s="5" t="str">
        <f>IFERROR(__xludf.DUMMYFUNCTION("""COMPUTED_VALUE"""),"")</f>
        <v/>
      </c>
      <c r="R2902" s="4" t="str">
        <f>IFERROR(__xludf.DUMMYFUNCTION("""COMPUTED_VALUE"""),"")</f>
        <v/>
      </c>
      <c r="S2902" s="1" t="b">
        <f>IFERROR(__xludf.DUMMYFUNCTION("""COMPUTED_VALUE"""),FALSE)</f>
        <v>0</v>
      </c>
      <c r="T2902" s="1" t="b">
        <f>IFERROR(__xludf.DUMMYFUNCTION("""COMPUTED_VALUE"""),FALSE)</f>
        <v>0</v>
      </c>
      <c r="U2902" s="1" t="str">
        <f>IFERROR(__xludf.DUMMYFUNCTION("""COMPUTED_VALUE"""),"")</f>
        <v/>
      </c>
      <c r="V2902" s="1" t="str">
        <f>IFERROR(__xludf.DUMMYFUNCTION("""COMPUTED_VALUE"""),"")</f>
        <v/>
      </c>
      <c r="W2902" s="1" t="str">
        <f>IFERROR(__xludf.DUMMYFUNCTION("""COMPUTED_VALUE"""),"")</f>
        <v/>
      </c>
      <c r="X2902" s="1" t="str">
        <f>IFERROR(__xludf.DUMMYFUNCTION("""COMPUTED_VALUE"""),"")</f>
        <v/>
      </c>
      <c r="Y2902" s="2"/>
      <c r="Z2902" s="2" t="str">
        <f>IFERROR(__xludf.DUMMYFUNCTION("""COMPUTED_VALUE"""),"")</f>
        <v/>
      </c>
    </row>
    <row r="2903">
      <c r="A2903" s="1" t="str">
        <f>IFERROR(__xludf.DUMMYFUNCTION("""COMPUTED_VALUE"""),"")</f>
        <v/>
      </c>
      <c r="B2903" s="1"/>
      <c r="C2903" s="2"/>
      <c r="D2903" s="2"/>
      <c r="E2903" s="1"/>
      <c r="F2903" s="1"/>
      <c r="G2903" s="4" t="str">
        <f>IFERROR(__xludf.DUMMYFUNCTION("""COMPUTED_VALUE"""),"")</f>
        <v/>
      </c>
      <c r="H2903" s="4" t="str">
        <f>IFERROR(__xludf.DUMMYFUNCTION("""COMPUTED_VALUE"""),"")</f>
        <v/>
      </c>
      <c r="I2903" s="4" t="str">
        <f>IFERROR(__xludf.DUMMYFUNCTION("""COMPUTED_VALUE"""),"")</f>
        <v/>
      </c>
      <c r="J2903" s="4" t="str">
        <f>IFERROR(__xludf.DUMMYFUNCTION("""COMPUTED_VALUE"""),"")</f>
        <v/>
      </c>
      <c r="K2903" s="4" t="str">
        <f>IFERROR(__xludf.DUMMYFUNCTION("""COMPUTED_VALUE"""),"")</f>
        <v/>
      </c>
      <c r="L2903" s="4" t="str">
        <f>IFERROR(__xludf.DUMMYFUNCTION("""COMPUTED_VALUE"""),"")</f>
        <v/>
      </c>
      <c r="M2903" s="1" t="str">
        <f>IFERROR(__xludf.DUMMYFUNCTION("""COMPUTED_VALUE"""),"RFID")</f>
        <v>RFID</v>
      </c>
      <c r="N2903" s="5" t="str">
        <f>IFERROR(__xludf.DUMMYFUNCTION("""COMPUTED_VALUE"""),"")</f>
        <v/>
      </c>
      <c r="O2903" s="5" t="str">
        <f>IFERROR(__xludf.DUMMYFUNCTION("""COMPUTED_VALUE"""),"")</f>
        <v/>
      </c>
      <c r="P2903" s="5" t="str">
        <f>IFERROR(__xludf.DUMMYFUNCTION("""COMPUTED_VALUE"""),"")</f>
        <v/>
      </c>
      <c r="Q2903" s="5" t="str">
        <f>IFERROR(__xludf.DUMMYFUNCTION("""COMPUTED_VALUE"""),"")</f>
        <v/>
      </c>
      <c r="R2903" s="4" t="str">
        <f>IFERROR(__xludf.DUMMYFUNCTION("""COMPUTED_VALUE"""),"")</f>
        <v/>
      </c>
      <c r="S2903" s="1" t="b">
        <f>IFERROR(__xludf.DUMMYFUNCTION("""COMPUTED_VALUE"""),FALSE)</f>
        <v>0</v>
      </c>
      <c r="T2903" s="1" t="b">
        <f>IFERROR(__xludf.DUMMYFUNCTION("""COMPUTED_VALUE"""),FALSE)</f>
        <v>0</v>
      </c>
      <c r="U2903" s="1" t="str">
        <f>IFERROR(__xludf.DUMMYFUNCTION("""COMPUTED_VALUE"""),"")</f>
        <v/>
      </c>
      <c r="V2903" s="1" t="str">
        <f>IFERROR(__xludf.DUMMYFUNCTION("""COMPUTED_VALUE"""),"")</f>
        <v/>
      </c>
      <c r="W2903" s="1" t="str">
        <f>IFERROR(__xludf.DUMMYFUNCTION("""COMPUTED_VALUE"""),"")</f>
        <v/>
      </c>
      <c r="X2903" s="1" t="str">
        <f>IFERROR(__xludf.DUMMYFUNCTION("""COMPUTED_VALUE"""),"")</f>
        <v/>
      </c>
      <c r="Y2903" s="2"/>
      <c r="Z2903" s="2" t="str">
        <f>IFERROR(__xludf.DUMMYFUNCTION("""COMPUTED_VALUE"""),"")</f>
        <v/>
      </c>
    </row>
    <row r="2904">
      <c r="A2904" s="1" t="str">
        <f>IFERROR(__xludf.DUMMYFUNCTION("""COMPUTED_VALUE"""),"")</f>
        <v/>
      </c>
      <c r="B2904" s="1"/>
      <c r="C2904" s="2"/>
      <c r="D2904" s="2"/>
      <c r="E2904" s="1"/>
      <c r="F2904" s="1"/>
      <c r="G2904" s="4" t="str">
        <f>IFERROR(__xludf.DUMMYFUNCTION("""COMPUTED_VALUE"""),"")</f>
        <v/>
      </c>
      <c r="H2904" s="4" t="str">
        <f>IFERROR(__xludf.DUMMYFUNCTION("""COMPUTED_VALUE"""),"")</f>
        <v/>
      </c>
      <c r="I2904" s="4" t="str">
        <f>IFERROR(__xludf.DUMMYFUNCTION("""COMPUTED_VALUE"""),"")</f>
        <v/>
      </c>
      <c r="J2904" s="4" t="str">
        <f>IFERROR(__xludf.DUMMYFUNCTION("""COMPUTED_VALUE"""),"")</f>
        <v/>
      </c>
      <c r="K2904" s="4" t="str">
        <f>IFERROR(__xludf.DUMMYFUNCTION("""COMPUTED_VALUE"""),"")</f>
        <v/>
      </c>
      <c r="L2904" s="4" t="str">
        <f>IFERROR(__xludf.DUMMYFUNCTION("""COMPUTED_VALUE"""),"")</f>
        <v/>
      </c>
      <c r="M2904" s="1" t="str">
        <f>IFERROR(__xludf.DUMMYFUNCTION("""COMPUTED_VALUE"""),"RFID")</f>
        <v>RFID</v>
      </c>
      <c r="N2904" s="5" t="str">
        <f>IFERROR(__xludf.DUMMYFUNCTION("""COMPUTED_VALUE"""),"")</f>
        <v/>
      </c>
      <c r="O2904" s="5" t="str">
        <f>IFERROR(__xludf.DUMMYFUNCTION("""COMPUTED_VALUE"""),"")</f>
        <v/>
      </c>
      <c r="P2904" s="5" t="str">
        <f>IFERROR(__xludf.DUMMYFUNCTION("""COMPUTED_VALUE"""),"")</f>
        <v/>
      </c>
      <c r="Q2904" s="5" t="str">
        <f>IFERROR(__xludf.DUMMYFUNCTION("""COMPUTED_VALUE"""),"")</f>
        <v/>
      </c>
      <c r="R2904" s="4" t="str">
        <f>IFERROR(__xludf.DUMMYFUNCTION("""COMPUTED_VALUE"""),"")</f>
        <v/>
      </c>
      <c r="S2904" s="1" t="b">
        <f>IFERROR(__xludf.DUMMYFUNCTION("""COMPUTED_VALUE"""),FALSE)</f>
        <v>0</v>
      </c>
      <c r="T2904" s="1" t="b">
        <f>IFERROR(__xludf.DUMMYFUNCTION("""COMPUTED_VALUE"""),FALSE)</f>
        <v>0</v>
      </c>
      <c r="U2904" s="1" t="str">
        <f>IFERROR(__xludf.DUMMYFUNCTION("""COMPUTED_VALUE"""),"")</f>
        <v/>
      </c>
      <c r="V2904" s="1" t="str">
        <f>IFERROR(__xludf.DUMMYFUNCTION("""COMPUTED_VALUE"""),"")</f>
        <v/>
      </c>
      <c r="W2904" s="1" t="str">
        <f>IFERROR(__xludf.DUMMYFUNCTION("""COMPUTED_VALUE"""),"")</f>
        <v/>
      </c>
      <c r="X2904" s="1" t="str">
        <f>IFERROR(__xludf.DUMMYFUNCTION("""COMPUTED_VALUE"""),"")</f>
        <v/>
      </c>
      <c r="Y2904" s="2"/>
      <c r="Z2904" s="2" t="str">
        <f>IFERROR(__xludf.DUMMYFUNCTION("""COMPUTED_VALUE"""),"")</f>
        <v/>
      </c>
    </row>
    <row r="2905">
      <c r="A2905" s="1" t="str">
        <f>IFERROR(__xludf.DUMMYFUNCTION("""COMPUTED_VALUE"""),"")</f>
        <v/>
      </c>
      <c r="B2905" s="1"/>
      <c r="C2905" s="2"/>
      <c r="D2905" s="2"/>
      <c r="E2905" s="1"/>
      <c r="F2905" s="1"/>
      <c r="G2905" s="4" t="str">
        <f>IFERROR(__xludf.DUMMYFUNCTION("""COMPUTED_VALUE"""),"")</f>
        <v/>
      </c>
      <c r="H2905" s="4" t="str">
        <f>IFERROR(__xludf.DUMMYFUNCTION("""COMPUTED_VALUE"""),"")</f>
        <v/>
      </c>
      <c r="I2905" s="4" t="str">
        <f>IFERROR(__xludf.DUMMYFUNCTION("""COMPUTED_VALUE"""),"")</f>
        <v/>
      </c>
      <c r="J2905" s="4" t="str">
        <f>IFERROR(__xludf.DUMMYFUNCTION("""COMPUTED_VALUE"""),"")</f>
        <v/>
      </c>
      <c r="K2905" s="4" t="str">
        <f>IFERROR(__xludf.DUMMYFUNCTION("""COMPUTED_VALUE"""),"")</f>
        <v/>
      </c>
      <c r="L2905" s="4" t="str">
        <f>IFERROR(__xludf.DUMMYFUNCTION("""COMPUTED_VALUE"""),"")</f>
        <v/>
      </c>
      <c r="M2905" s="1" t="str">
        <f>IFERROR(__xludf.DUMMYFUNCTION("""COMPUTED_VALUE"""),"RFID")</f>
        <v>RFID</v>
      </c>
      <c r="N2905" s="5" t="str">
        <f>IFERROR(__xludf.DUMMYFUNCTION("""COMPUTED_VALUE"""),"")</f>
        <v/>
      </c>
      <c r="O2905" s="5" t="str">
        <f>IFERROR(__xludf.DUMMYFUNCTION("""COMPUTED_VALUE"""),"")</f>
        <v/>
      </c>
      <c r="P2905" s="5" t="str">
        <f>IFERROR(__xludf.DUMMYFUNCTION("""COMPUTED_VALUE"""),"")</f>
        <v/>
      </c>
      <c r="Q2905" s="5" t="str">
        <f>IFERROR(__xludf.DUMMYFUNCTION("""COMPUTED_VALUE"""),"")</f>
        <v/>
      </c>
      <c r="R2905" s="4" t="str">
        <f>IFERROR(__xludf.DUMMYFUNCTION("""COMPUTED_VALUE"""),"")</f>
        <v/>
      </c>
      <c r="S2905" s="1" t="b">
        <f>IFERROR(__xludf.DUMMYFUNCTION("""COMPUTED_VALUE"""),FALSE)</f>
        <v>0</v>
      </c>
      <c r="T2905" s="1" t="b">
        <f>IFERROR(__xludf.DUMMYFUNCTION("""COMPUTED_VALUE"""),FALSE)</f>
        <v>0</v>
      </c>
      <c r="U2905" s="1" t="str">
        <f>IFERROR(__xludf.DUMMYFUNCTION("""COMPUTED_VALUE"""),"")</f>
        <v/>
      </c>
      <c r="V2905" s="1" t="str">
        <f>IFERROR(__xludf.DUMMYFUNCTION("""COMPUTED_VALUE"""),"")</f>
        <v/>
      </c>
      <c r="W2905" s="1" t="str">
        <f>IFERROR(__xludf.DUMMYFUNCTION("""COMPUTED_VALUE"""),"")</f>
        <v/>
      </c>
      <c r="X2905" s="1" t="str">
        <f>IFERROR(__xludf.DUMMYFUNCTION("""COMPUTED_VALUE"""),"")</f>
        <v/>
      </c>
      <c r="Y2905" s="2"/>
      <c r="Z2905" s="2" t="str">
        <f>IFERROR(__xludf.DUMMYFUNCTION("""COMPUTED_VALUE"""),"")</f>
        <v/>
      </c>
    </row>
    <row r="2906">
      <c r="A2906" s="1" t="str">
        <f>IFERROR(__xludf.DUMMYFUNCTION("""COMPUTED_VALUE"""),"")</f>
        <v/>
      </c>
      <c r="B2906" s="1"/>
      <c r="C2906" s="2"/>
      <c r="D2906" s="2"/>
      <c r="E2906" s="1"/>
      <c r="F2906" s="1"/>
      <c r="G2906" s="4" t="str">
        <f>IFERROR(__xludf.DUMMYFUNCTION("""COMPUTED_VALUE"""),"")</f>
        <v/>
      </c>
      <c r="H2906" s="4" t="str">
        <f>IFERROR(__xludf.DUMMYFUNCTION("""COMPUTED_VALUE"""),"")</f>
        <v/>
      </c>
      <c r="I2906" s="4" t="str">
        <f>IFERROR(__xludf.DUMMYFUNCTION("""COMPUTED_VALUE"""),"")</f>
        <v/>
      </c>
      <c r="J2906" s="4" t="str">
        <f>IFERROR(__xludf.DUMMYFUNCTION("""COMPUTED_VALUE"""),"")</f>
        <v/>
      </c>
      <c r="K2906" s="4" t="str">
        <f>IFERROR(__xludf.DUMMYFUNCTION("""COMPUTED_VALUE"""),"")</f>
        <v/>
      </c>
      <c r="L2906" s="4" t="str">
        <f>IFERROR(__xludf.DUMMYFUNCTION("""COMPUTED_VALUE"""),"")</f>
        <v/>
      </c>
      <c r="M2906" s="1" t="str">
        <f>IFERROR(__xludf.DUMMYFUNCTION("""COMPUTED_VALUE"""),"RFID")</f>
        <v>RFID</v>
      </c>
      <c r="N2906" s="5" t="str">
        <f>IFERROR(__xludf.DUMMYFUNCTION("""COMPUTED_VALUE"""),"")</f>
        <v/>
      </c>
      <c r="O2906" s="5" t="str">
        <f>IFERROR(__xludf.DUMMYFUNCTION("""COMPUTED_VALUE"""),"")</f>
        <v/>
      </c>
      <c r="P2906" s="5" t="str">
        <f>IFERROR(__xludf.DUMMYFUNCTION("""COMPUTED_VALUE"""),"")</f>
        <v/>
      </c>
      <c r="Q2906" s="5" t="str">
        <f>IFERROR(__xludf.DUMMYFUNCTION("""COMPUTED_VALUE"""),"")</f>
        <v/>
      </c>
      <c r="R2906" s="4" t="str">
        <f>IFERROR(__xludf.DUMMYFUNCTION("""COMPUTED_VALUE"""),"")</f>
        <v/>
      </c>
      <c r="S2906" s="1" t="b">
        <f>IFERROR(__xludf.DUMMYFUNCTION("""COMPUTED_VALUE"""),FALSE)</f>
        <v>0</v>
      </c>
      <c r="T2906" s="1" t="b">
        <f>IFERROR(__xludf.DUMMYFUNCTION("""COMPUTED_VALUE"""),FALSE)</f>
        <v>0</v>
      </c>
      <c r="U2906" s="1" t="str">
        <f>IFERROR(__xludf.DUMMYFUNCTION("""COMPUTED_VALUE"""),"")</f>
        <v/>
      </c>
      <c r="V2906" s="1" t="str">
        <f>IFERROR(__xludf.DUMMYFUNCTION("""COMPUTED_VALUE"""),"")</f>
        <v/>
      </c>
      <c r="W2906" s="1" t="str">
        <f>IFERROR(__xludf.DUMMYFUNCTION("""COMPUTED_VALUE"""),"")</f>
        <v/>
      </c>
      <c r="X2906" s="1" t="str">
        <f>IFERROR(__xludf.DUMMYFUNCTION("""COMPUTED_VALUE"""),"")</f>
        <v/>
      </c>
      <c r="Y2906" s="2"/>
      <c r="Z2906" s="2" t="str">
        <f>IFERROR(__xludf.DUMMYFUNCTION("""COMPUTED_VALUE"""),"")</f>
        <v/>
      </c>
    </row>
    <row r="2907">
      <c r="A2907" s="1" t="str">
        <f>IFERROR(__xludf.DUMMYFUNCTION("""COMPUTED_VALUE"""),"")</f>
        <v/>
      </c>
      <c r="B2907" s="1"/>
      <c r="C2907" s="2"/>
      <c r="D2907" s="2"/>
      <c r="E2907" s="1"/>
      <c r="F2907" s="1"/>
      <c r="G2907" s="4" t="str">
        <f>IFERROR(__xludf.DUMMYFUNCTION("""COMPUTED_VALUE"""),"")</f>
        <v/>
      </c>
      <c r="H2907" s="4" t="str">
        <f>IFERROR(__xludf.DUMMYFUNCTION("""COMPUTED_VALUE"""),"")</f>
        <v/>
      </c>
      <c r="I2907" s="4" t="str">
        <f>IFERROR(__xludf.DUMMYFUNCTION("""COMPUTED_VALUE"""),"")</f>
        <v/>
      </c>
      <c r="J2907" s="4" t="str">
        <f>IFERROR(__xludf.DUMMYFUNCTION("""COMPUTED_VALUE"""),"")</f>
        <v/>
      </c>
      <c r="K2907" s="4" t="str">
        <f>IFERROR(__xludf.DUMMYFUNCTION("""COMPUTED_VALUE"""),"")</f>
        <v/>
      </c>
      <c r="L2907" s="4" t="str">
        <f>IFERROR(__xludf.DUMMYFUNCTION("""COMPUTED_VALUE"""),"")</f>
        <v/>
      </c>
      <c r="M2907" s="1" t="str">
        <f>IFERROR(__xludf.DUMMYFUNCTION("""COMPUTED_VALUE"""),"RFID")</f>
        <v>RFID</v>
      </c>
      <c r="N2907" s="5" t="str">
        <f>IFERROR(__xludf.DUMMYFUNCTION("""COMPUTED_VALUE"""),"")</f>
        <v/>
      </c>
      <c r="O2907" s="5" t="str">
        <f>IFERROR(__xludf.DUMMYFUNCTION("""COMPUTED_VALUE"""),"")</f>
        <v/>
      </c>
      <c r="P2907" s="5" t="str">
        <f>IFERROR(__xludf.DUMMYFUNCTION("""COMPUTED_VALUE"""),"")</f>
        <v/>
      </c>
      <c r="Q2907" s="5" t="str">
        <f>IFERROR(__xludf.DUMMYFUNCTION("""COMPUTED_VALUE"""),"")</f>
        <v/>
      </c>
      <c r="R2907" s="4" t="str">
        <f>IFERROR(__xludf.DUMMYFUNCTION("""COMPUTED_VALUE"""),"")</f>
        <v/>
      </c>
      <c r="S2907" s="1" t="b">
        <f>IFERROR(__xludf.DUMMYFUNCTION("""COMPUTED_VALUE"""),FALSE)</f>
        <v>0</v>
      </c>
      <c r="T2907" s="1" t="b">
        <f>IFERROR(__xludf.DUMMYFUNCTION("""COMPUTED_VALUE"""),FALSE)</f>
        <v>0</v>
      </c>
      <c r="U2907" s="1" t="str">
        <f>IFERROR(__xludf.DUMMYFUNCTION("""COMPUTED_VALUE"""),"")</f>
        <v/>
      </c>
      <c r="V2907" s="1" t="str">
        <f>IFERROR(__xludf.DUMMYFUNCTION("""COMPUTED_VALUE"""),"")</f>
        <v/>
      </c>
      <c r="W2907" s="1" t="str">
        <f>IFERROR(__xludf.DUMMYFUNCTION("""COMPUTED_VALUE"""),"")</f>
        <v/>
      </c>
      <c r="X2907" s="1" t="str">
        <f>IFERROR(__xludf.DUMMYFUNCTION("""COMPUTED_VALUE"""),"")</f>
        <v/>
      </c>
      <c r="Y2907" s="2"/>
      <c r="Z2907" s="2" t="str">
        <f>IFERROR(__xludf.DUMMYFUNCTION("""COMPUTED_VALUE"""),"")</f>
        <v/>
      </c>
    </row>
    <row r="2908">
      <c r="A2908" s="1" t="str">
        <f>IFERROR(__xludf.DUMMYFUNCTION("""COMPUTED_VALUE"""),"")</f>
        <v/>
      </c>
      <c r="B2908" s="1"/>
      <c r="C2908" s="2"/>
      <c r="D2908" s="2"/>
      <c r="E2908" s="1"/>
      <c r="F2908" s="1"/>
      <c r="G2908" s="4" t="str">
        <f>IFERROR(__xludf.DUMMYFUNCTION("""COMPUTED_VALUE"""),"")</f>
        <v/>
      </c>
      <c r="H2908" s="4" t="str">
        <f>IFERROR(__xludf.DUMMYFUNCTION("""COMPUTED_VALUE"""),"")</f>
        <v/>
      </c>
      <c r="I2908" s="4" t="str">
        <f>IFERROR(__xludf.DUMMYFUNCTION("""COMPUTED_VALUE"""),"")</f>
        <v/>
      </c>
      <c r="J2908" s="4" t="str">
        <f>IFERROR(__xludf.DUMMYFUNCTION("""COMPUTED_VALUE"""),"")</f>
        <v/>
      </c>
      <c r="K2908" s="4" t="str">
        <f>IFERROR(__xludf.DUMMYFUNCTION("""COMPUTED_VALUE"""),"")</f>
        <v/>
      </c>
      <c r="L2908" s="4" t="str">
        <f>IFERROR(__xludf.DUMMYFUNCTION("""COMPUTED_VALUE"""),"")</f>
        <v/>
      </c>
      <c r="M2908" s="1" t="str">
        <f>IFERROR(__xludf.DUMMYFUNCTION("""COMPUTED_VALUE"""),"RFID")</f>
        <v>RFID</v>
      </c>
      <c r="N2908" s="5" t="str">
        <f>IFERROR(__xludf.DUMMYFUNCTION("""COMPUTED_VALUE"""),"")</f>
        <v/>
      </c>
      <c r="O2908" s="5" t="str">
        <f>IFERROR(__xludf.DUMMYFUNCTION("""COMPUTED_VALUE"""),"")</f>
        <v/>
      </c>
      <c r="P2908" s="5" t="str">
        <f>IFERROR(__xludf.DUMMYFUNCTION("""COMPUTED_VALUE"""),"")</f>
        <v/>
      </c>
      <c r="Q2908" s="5" t="str">
        <f>IFERROR(__xludf.DUMMYFUNCTION("""COMPUTED_VALUE"""),"")</f>
        <v/>
      </c>
      <c r="R2908" s="4" t="str">
        <f>IFERROR(__xludf.DUMMYFUNCTION("""COMPUTED_VALUE"""),"")</f>
        <v/>
      </c>
      <c r="S2908" s="1" t="b">
        <f>IFERROR(__xludf.DUMMYFUNCTION("""COMPUTED_VALUE"""),FALSE)</f>
        <v>0</v>
      </c>
      <c r="T2908" s="1" t="b">
        <f>IFERROR(__xludf.DUMMYFUNCTION("""COMPUTED_VALUE"""),FALSE)</f>
        <v>0</v>
      </c>
      <c r="U2908" s="1" t="str">
        <f>IFERROR(__xludf.DUMMYFUNCTION("""COMPUTED_VALUE"""),"")</f>
        <v/>
      </c>
      <c r="V2908" s="1" t="str">
        <f>IFERROR(__xludf.DUMMYFUNCTION("""COMPUTED_VALUE"""),"")</f>
        <v/>
      </c>
      <c r="W2908" s="1" t="str">
        <f>IFERROR(__xludf.DUMMYFUNCTION("""COMPUTED_VALUE"""),"")</f>
        <v/>
      </c>
      <c r="X2908" s="1" t="str">
        <f>IFERROR(__xludf.DUMMYFUNCTION("""COMPUTED_VALUE"""),"")</f>
        <v/>
      </c>
      <c r="Y2908" s="2"/>
      <c r="Z2908" s="2" t="str">
        <f>IFERROR(__xludf.DUMMYFUNCTION("""COMPUTED_VALUE"""),"")</f>
        <v/>
      </c>
    </row>
    <row r="2909">
      <c r="A2909" s="1" t="str">
        <f>IFERROR(__xludf.DUMMYFUNCTION("""COMPUTED_VALUE"""),"")</f>
        <v/>
      </c>
      <c r="B2909" s="1"/>
      <c r="C2909" s="2"/>
      <c r="D2909" s="2"/>
      <c r="E2909" s="1"/>
      <c r="F2909" s="1"/>
      <c r="G2909" s="4" t="str">
        <f>IFERROR(__xludf.DUMMYFUNCTION("""COMPUTED_VALUE"""),"")</f>
        <v/>
      </c>
      <c r="H2909" s="4" t="str">
        <f>IFERROR(__xludf.DUMMYFUNCTION("""COMPUTED_VALUE"""),"")</f>
        <v/>
      </c>
      <c r="I2909" s="4" t="str">
        <f>IFERROR(__xludf.DUMMYFUNCTION("""COMPUTED_VALUE"""),"")</f>
        <v/>
      </c>
      <c r="J2909" s="4" t="str">
        <f>IFERROR(__xludf.DUMMYFUNCTION("""COMPUTED_VALUE"""),"")</f>
        <v/>
      </c>
      <c r="K2909" s="4" t="str">
        <f>IFERROR(__xludf.DUMMYFUNCTION("""COMPUTED_VALUE"""),"")</f>
        <v/>
      </c>
      <c r="L2909" s="4" t="str">
        <f>IFERROR(__xludf.DUMMYFUNCTION("""COMPUTED_VALUE"""),"")</f>
        <v/>
      </c>
      <c r="M2909" s="1" t="str">
        <f>IFERROR(__xludf.DUMMYFUNCTION("""COMPUTED_VALUE"""),"RFID")</f>
        <v>RFID</v>
      </c>
      <c r="N2909" s="5" t="str">
        <f>IFERROR(__xludf.DUMMYFUNCTION("""COMPUTED_VALUE"""),"")</f>
        <v/>
      </c>
      <c r="O2909" s="5" t="str">
        <f>IFERROR(__xludf.DUMMYFUNCTION("""COMPUTED_VALUE"""),"")</f>
        <v/>
      </c>
      <c r="P2909" s="5" t="str">
        <f>IFERROR(__xludf.DUMMYFUNCTION("""COMPUTED_VALUE"""),"")</f>
        <v/>
      </c>
      <c r="Q2909" s="5" t="str">
        <f>IFERROR(__xludf.DUMMYFUNCTION("""COMPUTED_VALUE"""),"")</f>
        <v/>
      </c>
      <c r="R2909" s="4" t="str">
        <f>IFERROR(__xludf.DUMMYFUNCTION("""COMPUTED_VALUE"""),"")</f>
        <v/>
      </c>
      <c r="S2909" s="1" t="b">
        <f>IFERROR(__xludf.DUMMYFUNCTION("""COMPUTED_VALUE"""),FALSE)</f>
        <v>0</v>
      </c>
      <c r="T2909" s="1" t="b">
        <f>IFERROR(__xludf.DUMMYFUNCTION("""COMPUTED_VALUE"""),FALSE)</f>
        <v>0</v>
      </c>
      <c r="U2909" s="1" t="str">
        <f>IFERROR(__xludf.DUMMYFUNCTION("""COMPUTED_VALUE"""),"")</f>
        <v/>
      </c>
      <c r="V2909" s="1" t="str">
        <f>IFERROR(__xludf.DUMMYFUNCTION("""COMPUTED_VALUE"""),"")</f>
        <v/>
      </c>
      <c r="W2909" s="1" t="str">
        <f>IFERROR(__xludf.DUMMYFUNCTION("""COMPUTED_VALUE"""),"")</f>
        <v/>
      </c>
      <c r="X2909" s="1" t="str">
        <f>IFERROR(__xludf.DUMMYFUNCTION("""COMPUTED_VALUE"""),"")</f>
        <v/>
      </c>
      <c r="Y2909" s="2"/>
      <c r="Z2909" s="2" t="str">
        <f>IFERROR(__xludf.DUMMYFUNCTION("""COMPUTED_VALUE"""),"")</f>
        <v/>
      </c>
    </row>
    <row r="2910">
      <c r="A2910" s="1" t="str">
        <f>IFERROR(__xludf.DUMMYFUNCTION("""COMPUTED_VALUE"""),"")</f>
        <v/>
      </c>
      <c r="B2910" s="1"/>
      <c r="C2910" s="2"/>
      <c r="D2910" s="2"/>
      <c r="E2910" s="1"/>
      <c r="F2910" s="1"/>
      <c r="G2910" s="4" t="str">
        <f>IFERROR(__xludf.DUMMYFUNCTION("""COMPUTED_VALUE"""),"")</f>
        <v/>
      </c>
      <c r="H2910" s="4" t="str">
        <f>IFERROR(__xludf.DUMMYFUNCTION("""COMPUTED_VALUE"""),"")</f>
        <v/>
      </c>
      <c r="I2910" s="4" t="str">
        <f>IFERROR(__xludf.DUMMYFUNCTION("""COMPUTED_VALUE"""),"")</f>
        <v/>
      </c>
      <c r="J2910" s="4" t="str">
        <f>IFERROR(__xludf.DUMMYFUNCTION("""COMPUTED_VALUE"""),"")</f>
        <v/>
      </c>
      <c r="K2910" s="4" t="str">
        <f>IFERROR(__xludf.DUMMYFUNCTION("""COMPUTED_VALUE"""),"")</f>
        <v/>
      </c>
      <c r="L2910" s="4" t="str">
        <f>IFERROR(__xludf.DUMMYFUNCTION("""COMPUTED_VALUE"""),"")</f>
        <v/>
      </c>
      <c r="M2910" s="1" t="str">
        <f>IFERROR(__xludf.DUMMYFUNCTION("""COMPUTED_VALUE"""),"RFID")</f>
        <v>RFID</v>
      </c>
      <c r="N2910" s="5" t="str">
        <f>IFERROR(__xludf.DUMMYFUNCTION("""COMPUTED_VALUE"""),"")</f>
        <v/>
      </c>
      <c r="O2910" s="5" t="str">
        <f>IFERROR(__xludf.DUMMYFUNCTION("""COMPUTED_VALUE"""),"")</f>
        <v/>
      </c>
      <c r="P2910" s="5" t="str">
        <f>IFERROR(__xludf.DUMMYFUNCTION("""COMPUTED_VALUE"""),"")</f>
        <v/>
      </c>
      <c r="Q2910" s="5" t="str">
        <f>IFERROR(__xludf.DUMMYFUNCTION("""COMPUTED_VALUE"""),"")</f>
        <v/>
      </c>
      <c r="R2910" s="4" t="str">
        <f>IFERROR(__xludf.DUMMYFUNCTION("""COMPUTED_VALUE"""),"")</f>
        <v/>
      </c>
      <c r="S2910" s="1" t="b">
        <f>IFERROR(__xludf.DUMMYFUNCTION("""COMPUTED_VALUE"""),FALSE)</f>
        <v>0</v>
      </c>
      <c r="T2910" s="1" t="b">
        <f>IFERROR(__xludf.DUMMYFUNCTION("""COMPUTED_VALUE"""),FALSE)</f>
        <v>0</v>
      </c>
      <c r="U2910" s="1" t="str">
        <f>IFERROR(__xludf.DUMMYFUNCTION("""COMPUTED_VALUE"""),"")</f>
        <v/>
      </c>
      <c r="V2910" s="1" t="str">
        <f>IFERROR(__xludf.DUMMYFUNCTION("""COMPUTED_VALUE"""),"")</f>
        <v/>
      </c>
      <c r="W2910" s="1" t="str">
        <f>IFERROR(__xludf.DUMMYFUNCTION("""COMPUTED_VALUE"""),"")</f>
        <v/>
      </c>
      <c r="X2910" s="1" t="str">
        <f>IFERROR(__xludf.DUMMYFUNCTION("""COMPUTED_VALUE"""),"")</f>
        <v/>
      </c>
      <c r="Y2910" s="2"/>
      <c r="Z2910" s="2" t="str">
        <f>IFERROR(__xludf.DUMMYFUNCTION("""COMPUTED_VALUE"""),"")</f>
        <v/>
      </c>
    </row>
    <row r="2911">
      <c r="A2911" s="1" t="str">
        <f>IFERROR(__xludf.DUMMYFUNCTION("""COMPUTED_VALUE"""),"")</f>
        <v/>
      </c>
      <c r="B2911" s="1"/>
      <c r="C2911" s="2"/>
      <c r="D2911" s="2"/>
      <c r="E2911" s="1"/>
      <c r="F2911" s="1"/>
      <c r="G2911" s="4" t="str">
        <f>IFERROR(__xludf.DUMMYFUNCTION("""COMPUTED_VALUE"""),"")</f>
        <v/>
      </c>
      <c r="H2911" s="4" t="str">
        <f>IFERROR(__xludf.DUMMYFUNCTION("""COMPUTED_VALUE"""),"")</f>
        <v/>
      </c>
      <c r="I2911" s="4" t="str">
        <f>IFERROR(__xludf.DUMMYFUNCTION("""COMPUTED_VALUE"""),"")</f>
        <v/>
      </c>
      <c r="J2911" s="4" t="str">
        <f>IFERROR(__xludf.DUMMYFUNCTION("""COMPUTED_VALUE"""),"")</f>
        <v/>
      </c>
      <c r="K2911" s="4" t="str">
        <f>IFERROR(__xludf.DUMMYFUNCTION("""COMPUTED_VALUE"""),"")</f>
        <v/>
      </c>
      <c r="L2911" s="4" t="str">
        <f>IFERROR(__xludf.DUMMYFUNCTION("""COMPUTED_VALUE"""),"")</f>
        <v/>
      </c>
      <c r="M2911" s="1" t="str">
        <f>IFERROR(__xludf.DUMMYFUNCTION("""COMPUTED_VALUE"""),"RFID")</f>
        <v>RFID</v>
      </c>
      <c r="N2911" s="5" t="str">
        <f>IFERROR(__xludf.DUMMYFUNCTION("""COMPUTED_VALUE"""),"")</f>
        <v/>
      </c>
      <c r="O2911" s="5" t="str">
        <f>IFERROR(__xludf.DUMMYFUNCTION("""COMPUTED_VALUE"""),"")</f>
        <v/>
      </c>
      <c r="P2911" s="5" t="str">
        <f>IFERROR(__xludf.DUMMYFUNCTION("""COMPUTED_VALUE"""),"")</f>
        <v/>
      </c>
      <c r="Q2911" s="5" t="str">
        <f>IFERROR(__xludf.DUMMYFUNCTION("""COMPUTED_VALUE"""),"")</f>
        <v/>
      </c>
      <c r="R2911" s="4" t="str">
        <f>IFERROR(__xludf.DUMMYFUNCTION("""COMPUTED_VALUE"""),"")</f>
        <v/>
      </c>
      <c r="S2911" s="1" t="b">
        <f>IFERROR(__xludf.DUMMYFUNCTION("""COMPUTED_VALUE"""),FALSE)</f>
        <v>0</v>
      </c>
      <c r="T2911" s="1" t="b">
        <f>IFERROR(__xludf.DUMMYFUNCTION("""COMPUTED_VALUE"""),FALSE)</f>
        <v>0</v>
      </c>
      <c r="U2911" s="1" t="str">
        <f>IFERROR(__xludf.DUMMYFUNCTION("""COMPUTED_VALUE"""),"")</f>
        <v/>
      </c>
      <c r="V2911" s="1" t="str">
        <f>IFERROR(__xludf.DUMMYFUNCTION("""COMPUTED_VALUE"""),"")</f>
        <v/>
      </c>
      <c r="W2911" s="1" t="str">
        <f>IFERROR(__xludf.DUMMYFUNCTION("""COMPUTED_VALUE"""),"")</f>
        <v/>
      </c>
      <c r="X2911" s="1" t="str">
        <f>IFERROR(__xludf.DUMMYFUNCTION("""COMPUTED_VALUE"""),"")</f>
        <v/>
      </c>
      <c r="Y2911" s="2"/>
      <c r="Z2911" s="2" t="str">
        <f>IFERROR(__xludf.DUMMYFUNCTION("""COMPUTED_VALUE"""),"")</f>
        <v/>
      </c>
    </row>
    <row r="2912">
      <c r="A2912" s="1" t="str">
        <f>IFERROR(__xludf.DUMMYFUNCTION("""COMPUTED_VALUE"""),"")</f>
        <v/>
      </c>
      <c r="B2912" s="1"/>
      <c r="C2912" s="2"/>
      <c r="D2912" s="2"/>
      <c r="E2912" s="1"/>
      <c r="F2912" s="1"/>
      <c r="G2912" s="4" t="str">
        <f>IFERROR(__xludf.DUMMYFUNCTION("""COMPUTED_VALUE"""),"")</f>
        <v/>
      </c>
      <c r="H2912" s="4" t="str">
        <f>IFERROR(__xludf.DUMMYFUNCTION("""COMPUTED_VALUE"""),"")</f>
        <v/>
      </c>
      <c r="I2912" s="4" t="str">
        <f>IFERROR(__xludf.DUMMYFUNCTION("""COMPUTED_VALUE"""),"")</f>
        <v/>
      </c>
      <c r="J2912" s="4" t="str">
        <f>IFERROR(__xludf.DUMMYFUNCTION("""COMPUTED_VALUE"""),"")</f>
        <v/>
      </c>
      <c r="K2912" s="4" t="str">
        <f>IFERROR(__xludf.DUMMYFUNCTION("""COMPUTED_VALUE"""),"")</f>
        <v/>
      </c>
      <c r="L2912" s="4" t="str">
        <f>IFERROR(__xludf.DUMMYFUNCTION("""COMPUTED_VALUE"""),"")</f>
        <v/>
      </c>
      <c r="M2912" s="1" t="str">
        <f>IFERROR(__xludf.DUMMYFUNCTION("""COMPUTED_VALUE"""),"RFID")</f>
        <v>RFID</v>
      </c>
      <c r="N2912" s="5" t="str">
        <f>IFERROR(__xludf.DUMMYFUNCTION("""COMPUTED_VALUE"""),"")</f>
        <v/>
      </c>
      <c r="O2912" s="5" t="str">
        <f>IFERROR(__xludf.DUMMYFUNCTION("""COMPUTED_VALUE"""),"")</f>
        <v/>
      </c>
      <c r="P2912" s="5" t="str">
        <f>IFERROR(__xludf.DUMMYFUNCTION("""COMPUTED_VALUE"""),"")</f>
        <v/>
      </c>
      <c r="Q2912" s="5" t="str">
        <f>IFERROR(__xludf.DUMMYFUNCTION("""COMPUTED_VALUE"""),"")</f>
        <v/>
      </c>
      <c r="R2912" s="4" t="str">
        <f>IFERROR(__xludf.DUMMYFUNCTION("""COMPUTED_VALUE"""),"")</f>
        <v/>
      </c>
      <c r="S2912" s="1" t="b">
        <f>IFERROR(__xludf.DUMMYFUNCTION("""COMPUTED_VALUE"""),FALSE)</f>
        <v>0</v>
      </c>
      <c r="T2912" s="1" t="b">
        <f>IFERROR(__xludf.DUMMYFUNCTION("""COMPUTED_VALUE"""),FALSE)</f>
        <v>0</v>
      </c>
      <c r="U2912" s="1" t="str">
        <f>IFERROR(__xludf.DUMMYFUNCTION("""COMPUTED_VALUE"""),"")</f>
        <v/>
      </c>
      <c r="V2912" s="1" t="str">
        <f>IFERROR(__xludf.DUMMYFUNCTION("""COMPUTED_VALUE"""),"")</f>
        <v/>
      </c>
      <c r="W2912" s="1" t="str">
        <f>IFERROR(__xludf.DUMMYFUNCTION("""COMPUTED_VALUE"""),"")</f>
        <v/>
      </c>
      <c r="X2912" s="1" t="str">
        <f>IFERROR(__xludf.DUMMYFUNCTION("""COMPUTED_VALUE"""),"")</f>
        <v/>
      </c>
      <c r="Y2912" s="2"/>
      <c r="Z2912" s="2" t="str">
        <f>IFERROR(__xludf.DUMMYFUNCTION("""COMPUTED_VALUE"""),"")</f>
        <v/>
      </c>
    </row>
    <row r="2913">
      <c r="A2913" s="1" t="str">
        <f>IFERROR(__xludf.DUMMYFUNCTION("""COMPUTED_VALUE"""),"")</f>
        <v/>
      </c>
      <c r="B2913" s="1"/>
      <c r="C2913" s="2"/>
      <c r="D2913" s="2"/>
      <c r="E2913" s="1"/>
      <c r="F2913" s="1"/>
      <c r="G2913" s="4" t="str">
        <f>IFERROR(__xludf.DUMMYFUNCTION("""COMPUTED_VALUE"""),"")</f>
        <v/>
      </c>
      <c r="H2913" s="4" t="str">
        <f>IFERROR(__xludf.DUMMYFUNCTION("""COMPUTED_VALUE"""),"")</f>
        <v/>
      </c>
      <c r="I2913" s="4" t="str">
        <f>IFERROR(__xludf.DUMMYFUNCTION("""COMPUTED_VALUE"""),"")</f>
        <v/>
      </c>
      <c r="J2913" s="4" t="str">
        <f>IFERROR(__xludf.DUMMYFUNCTION("""COMPUTED_VALUE"""),"")</f>
        <v/>
      </c>
      <c r="K2913" s="4" t="str">
        <f>IFERROR(__xludf.DUMMYFUNCTION("""COMPUTED_VALUE"""),"")</f>
        <v/>
      </c>
      <c r="L2913" s="4" t="str">
        <f>IFERROR(__xludf.DUMMYFUNCTION("""COMPUTED_VALUE"""),"")</f>
        <v/>
      </c>
      <c r="M2913" s="1" t="str">
        <f>IFERROR(__xludf.DUMMYFUNCTION("""COMPUTED_VALUE"""),"RFID")</f>
        <v>RFID</v>
      </c>
      <c r="N2913" s="5" t="str">
        <f>IFERROR(__xludf.DUMMYFUNCTION("""COMPUTED_VALUE"""),"")</f>
        <v/>
      </c>
      <c r="O2913" s="5" t="str">
        <f>IFERROR(__xludf.DUMMYFUNCTION("""COMPUTED_VALUE"""),"")</f>
        <v/>
      </c>
      <c r="P2913" s="5" t="str">
        <f>IFERROR(__xludf.DUMMYFUNCTION("""COMPUTED_VALUE"""),"")</f>
        <v/>
      </c>
      <c r="Q2913" s="5" t="str">
        <f>IFERROR(__xludf.DUMMYFUNCTION("""COMPUTED_VALUE"""),"")</f>
        <v/>
      </c>
      <c r="R2913" s="4" t="str">
        <f>IFERROR(__xludf.DUMMYFUNCTION("""COMPUTED_VALUE"""),"")</f>
        <v/>
      </c>
      <c r="S2913" s="1" t="b">
        <f>IFERROR(__xludf.DUMMYFUNCTION("""COMPUTED_VALUE"""),FALSE)</f>
        <v>0</v>
      </c>
      <c r="T2913" s="1" t="b">
        <f>IFERROR(__xludf.DUMMYFUNCTION("""COMPUTED_VALUE"""),FALSE)</f>
        <v>0</v>
      </c>
      <c r="U2913" s="1" t="str">
        <f>IFERROR(__xludf.DUMMYFUNCTION("""COMPUTED_VALUE"""),"")</f>
        <v/>
      </c>
      <c r="V2913" s="1" t="str">
        <f>IFERROR(__xludf.DUMMYFUNCTION("""COMPUTED_VALUE"""),"")</f>
        <v/>
      </c>
      <c r="W2913" s="1" t="str">
        <f>IFERROR(__xludf.DUMMYFUNCTION("""COMPUTED_VALUE"""),"")</f>
        <v/>
      </c>
      <c r="X2913" s="1" t="str">
        <f>IFERROR(__xludf.DUMMYFUNCTION("""COMPUTED_VALUE"""),"")</f>
        <v/>
      </c>
      <c r="Y2913" s="2"/>
      <c r="Z2913" s="2" t="str">
        <f>IFERROR(__xludf.DUMMYFUNCTION("""COMPUTED_VALUE"""),"")</f>
        <v/>
      </c>
    </row>
    <row r="2914">
      <c r="A2914" s="1" t="str">
        <f>IFERROR(__xludf.DUMMYFUNCTION("""COMPUTED_VALUE"""),"")</f>
        <v/>
      </c>
      <c r="B2914" s="1"/>
      <c r="C2914" s="2"/>
      <c r="D2914" s="2"/>
      <c r="E2914" s="1"/>
      <c r="F2914" s="1"/>
      <c r="G2914" s="4" t="str">
        <f>IFERROR(__xludf.DUMMYFUNCTION("""COMPUTED_VALUE"""),"")</f>
        <v/>
      </c>
      <c r="H2914" s="4" t="str">
        <f>IFERROR(__xludf.DUMMYFUNCTION("""COMPUTED_VALUE"""),"")</f>
        <v/>
      </c>
      <c r="I2914" s="4" t="str">
        <f>IFERROR(__xludf.DUMMYFUNCTION("""COMPUTED_VALUE"""),"")</f>
        <v/>
      </c>
      <c r="J2914" s="4" t="str">
        <f>IFERROR(__xludf.DUMMYFUNCTION("""COMPUTED_VALUE"""),"")</f>
        <v/>
      </c>
      <c r="K2914" s="4" t="str">
        <f>IFERROR(__xludf.DUMMYFUNCTION("""COMPUTED_VALUE"""),"")</f>
        <v/>
      </c>
      <c r="L2914" s="4" t="str">
        <f>IFERROR(__xludf.DUMMYFUNCTION("""COMPUTED_VALUE"""),"")</f>
        <v/>
      </c>
      <c r="M2914" s="1" t="str">
        <f>IFERROR(__xludf.DUMMYFUNCTION("""COMPUTED_VALUE"""),"RFID")</f>
        <v>RFID</v>
      </c>
      <c r="N2914" s="5" t="str">
        <f>IFERROR(__xludf.DUMMYFUNCTION("""COMPUTED_VALUE"""),"")</f>
        <v/>
      </c>
      <c r="O2914" s="5" t="str">
        <f>IFERROR(__xludf.DUMMYFUNCTION("""COMPUTED_VALUE"""),"")</f>
        <v/>
      </c>
      <c r="P2914" s="5" t="str">
        <f>IFERROR(__xludf.DUMMYFUNCTION("""COMPUTED_VALUE"""),"")</f>
        <v/>
      </c>
      <c r="Q2914" s="5" t="str">
        <f>IFERROR(__xludf.DUMMYFUNCTION("""COMPUTED_VALUE"""),"")</f>
        <v/>
      </c>
      <c r="R2914" s="4" t="str">
        <f>IFERROR(__xludf.DUMMYFUNCTION("""COMPUTED_VALUE"""),"")</f>
        <v/>
      </c>
      <c r="S2914" s="1" t="b">
        <f>IFERROR(__xludf.DUMMYFUNCTION("""COMPUTED_VALUE"""),FALSE)</f>
        <v>0</v>
      </c>
      <c r="T2914" s="1" t="b">
        <f>IFERROR(__xludf.DUMMYFUNCTION("""COMPUTED_VALUE"""),FALSE)</f>
        <v>0</v>
      </c>
      <c r="U2914" s="1" t="str">
        <f>IFERROR(__xludf.DUMMYFUNCTION("""COMPUTED_VALUE"""),"")</f>
        <v/>
      </c>
      <c r="V2914" s="1" t="str">
        <f>IFERROR(__xludf.DUMMYFUNCTION("""COMPUTED_VALUE"""),"")</f>
        <v/>
      </c>
      <c r="W2914" s="1" t="str">
        <f>IFERROR(__xludf.DUMMYFUNCTION("""COMPUTED_VALUE"""),"")</f>
        <v/>
      </c>
      <c r="X2914" s="1" t="str">
        <f>IFERROR(__xludf.DUMMYFUNCTION("""COMPUTED_VALUE"""),"")</f>
        <v/>
      </c>
      <c r="Y2914" s="2"/>
      <c r="Z2914" s="2" t="str">
        <f>IFERROR(__xludf.DUMMYFUNCTION("""COMPUTED_VALUE"""),"")</f>
        <v/>
      </c>
    </row>
    <row r="2915">
      <c r="A2915" s="1" t="str">
        <f>IFERROR(__xludf.DUMMYFUNCTION("""COMPUTED_VALUE"""),"")</f>
        <v/>
      </c>
      <c r="B2915" s="1"/>
      <c r="C2915" s="2"/>
      <c r="D2915" s="2"/>
      <c r="E2915" s="1"/>
      <c r="F2915" s="1"/>
      <c r="G2915" s="4" t="str">
        <f>IFERROR(__xludf.DUMMYFUNCTION("""COMPUTED_VALUE"""),"")</f>
        <v/>
      </c>
      <c r="H2915" s="4" t="str">
        <f>IFERROR(__xludf.DUMMYFUNCTION("""COMPUTED_VALUE"""),"")</f>
        <v/>
      </c>
      <c r="I2915" s="4" t="str">
        <f>IFERROR(__xludf.DUMMYFUNCTION("""COMPUTED_VALUE"""),"")</f>
        <v/>
      </c>
      <c r="J2915" s="4" t="str">
        <f>IFERROR(__xludf.DUMMYFUNCTION("""COMPUTED_VALUE"""),"")</f>
        <v/>
      </c>
      <c r="K2915" s="4" t="str">
        <f>IFERROR(__xludf.DUMMYFUNCTION("""COMPUTED_VALUE"""),"")</f>
        <v/>
      </c>
      <c r="L2915" s="4" t="str">
        <f>IFERROR(__xludf.DUMMYFUNCTION("""COMPUTED_VALUE"""),"")</f>
        <v/>
      </c>
      <c r="M2915" s="1" t="str">
        <f>IFERROR(__xludf.DUMMYFUNCTION("""COMPUTED_VALUE"""),"RFID")</f>
        <v>RFID</v>
      </c>
      <c r="N2915" s="5" t="str">
        <f>IFERROR(__xludf.DUMMYFUNCTION("""COMPUTED_VALUE"""),"")</f>
        <v/>
      </c>
      <c r="O2915" s="5" t="str">
        <f>IFERROR(__xludf.DUMMYFUNCTION("""COMPUTED_VALUE"""),"")</f>
        <v/>
      </c>
      <c r="P2915" s="5" t="str">
        <f>IFERROR(__xludf.DUMMYFUNCTION("""COMPUTED_VALUE"""),"")</f>
        <v/>
      </c>
      <c r="Q2915" s="5" t="str">
        <f>IFERROR(__xludf.DUMMYFUNCTION("""COMPUTED_VALUE"""),"")</f>
        <v/>
      </c>
      <c r="R2915" s="4" t="str">
        <f>IFERROR(__xludf.DUMMYFUNCTION("""COMPUTED_VALUE"""),"")</f>
        <v/>
      </c>
      <c r="S2915" s="1" t="b">
        <f>IFERROR(__xludf.DUMMYFUNCTION("""COMPUTED_VALUE"""),FALSE)</f>
        <v>0</v>
      </c>
      <c r="T2915" s="1" t="b">
        <f>IFERROR(__xludf.DUMMYFUNCTION("""COMPUTED_VALUE"""),FALSE)</f>
        <v>0</v>
      </c>
      <c r="U2915" s="1" t="str">
        <f>IFERROR(__xludf.DUMMYFUNCTION("""COMPUTED_VALUE"""),"")</f>
        <v/>
      </c>
      <c r="V2915" s="1" t="str">
        <f>IFERROR(__xludf.DUMMYFUNCTION("""COMPUTED_VALUE"""),"")</f>
        <v/>
      </c>
      <c r="W2915" s="1" t="str">
        <f>IFERROR(__xludf.DUMMYFUNCTION("""COMPUTED_VALUE"""),"")</f>
        <v/>
      </c>
      <c r="X2915" s="1" t="str">
        <f>IFERROR(__xludf.DUMMYFUNCTION("""COMPUTED_VALUE"""),"")</f>
        <v/>
      </c>
      <c r="Y2915" s="2"/>
      <c r="Z2915" s="2" t="str">
        <f>IFERROR(__xludf.DUMMYFUNCTION("""COMPUTED_VALUE"""),"")</f>
        <v/>
      </c>
    </row>
    <row r="2916">
      <c r="A2916" s="1" t="str">
        <f>IFERROR(__xludf.DUMMYFUNCTION("""COMPUTED_VALUE"""),"")</f>
        <v/>
      </c>
      <c r="B2916" s="1"/>
      <c r="C2916" s="2"/>
      <c r="D2916" s="2"/>
      <c r="E2916" s="1"/>
      <c r="F2916" s="1"/>
      <c r="G2916" s="4" t="str">
        <f>IFERROR(__xludf.DUMMYFUNCTION("""COMPUTED_VALUE"""),"")</f>
        <v/>
      </c>
      <c r="H2916" s="4" t="str">
        <f>IFERROR(__xludf.DUMMYFUNCTION("""COMPUTED_VALUE"""),"")</f>
        <v/>
      </c>
      <c r="I2916" s="4" t="str">
        <f>IFERROR(__xludf.DUMMYFUNCTION("""COMPUTED_VALUE"""),"")</f>
        <v/>
      </c>
      <c r="J2916" s="4" t="str">
        <f>IFERROR(__xludf.DUMMYFUNCTION("""COMPUTED_VALUE"""),"")</f>
        <v/>
      </c>
      <c r="K2916" s="4" t="str">
        <f>IFERROR(__xludf.DUMMYFUNCTION("""COMPUTED_VALUE"""),"")</f>
        <v/>
      </c>
      <c r="L2916" s="4" t="str">
        <f>IFERROR(__xludf.DUMMYFUNCTION("""COMPUTED_VALUE"""),"")</f>
        <v/>
      </c>
      <c r="M2916" s="1" t="str">
        <f>IFERROR(__xludf.DUMMYFUNCTION("""COMPUTED_VALUE"""),"RFID")</f>
        <v>RFID</v>
      </c>
      <c r="N2916" s="5" t="str">
        <f>IFERROR(__xludf.DUMMYFUNCTION("""COMPUTED_VALUE"""),"")</f>
        <v/>
      </c>
      <c r="O2916" s="5" t="str">
        <f>IFERROR(__xludf.DUMMYFUNCTION("""COMPUTED_VALUE"""),"")</f>
        <v/>
      </c>
      <c r="P2916" s="5" t="str">
        <f>IFERROR(__xludf.DUMMYFUNCTION("""COMPUTED_VALUE"""),"")</f>
        <v/>
      </c>
      <c r="Q2916" s="5" t="str">
        <f>IFERROR(__xludf.DUMMYFUNCTION("""COMPUTED_VALUE"""),"")</f>
        <v/>
      </c>
      <c r="R2916" s="4" t="str">
        <f>IFERROR(__xludf.DUMMYFUNCTION("""COMPUTED_VALUE"""),"")</f>
        <v/>
      </c>
      <c r="S2916" s="1" t="b">
        <f>IFERROR(__xludf.DUMMYFUNCTION("""COMPUTED_VALUE"""),FALSE)</f>
        <v>0</v>
      </c>
      <c r="T2916" s="1" t="b">
        <f>IFERROR(__xludf.DUMMYFUNCTION("""COMPUTED_VALUE"""),FALSE)</f>
        <v>0</v>
      </c>
      <c r="U2916" s="1" t="str">
        <f>IFERROR(__xludf.DUMMYFUNCTION("""COMPUTED_VALUE"""),"")</f>
        <v/>
      </c>
      <c r="V2916" s="1" t="str">
        <f>IFERROR(__xludf.DUMMYFUNCTION("""COMPUTED_VALUE"""),"")</f>
        <v/>
      </c>
      <c r="W2916" s="1" t="str">
        <f>IFERROR(__xludf.DUMMYFUNCTION("""COMPUTED_VALUE"""),"")</f>
        <v/>
      </c>
      <c r="X2916" s="1" t="str">
        <f>IFERROR(__xludf.DUMMYFUNCTION("""COMPUTED_VALUE"""),"")</f>
        <v/>
      </c>
      <c r="Y2916" s="2"/>
      <c r="Z2916" s="2" t="str">
        <f>IFERROR(__xludf.DUMMYFUNCTION("""COMPUTED_VALUE"""),"")</f>
        <v/>
      </c>
    </row>
    <row r="2917">
      <c r="A2917" s="1" t="str">
        <f>IFERROR(__xludf.DUMMYFUNCTION("""COMPUTED_VALUE"""),"")</f>
        <v/>
      </c>
      <c r="B2917" s="1"/>
      <c r="C2917" s="2"/>
      <c r="D2917" s="2"/>
      <c r="E2917" s="1"/>
      <c r="F2917" s="1"/>
      <c r="G2917" s="4" t="str">
        <f>IFERROR(__xludf.DUMMYFUNCTION("""COMPUTED_VALUE"""),"")</f>
        <v/>
      </c>
      <c r="H2917" s="4" t="str">
        <f>IFERROR(__xludf.DUMMYFUNCTION("""COMPUTED_VALUE"""),"")</f>
        <v/>
      </c>
      <c r="I2917" s="4" t="str">
        <f>IFERROR(__xludf.DUMMYFUNCTION("""COMPUTED_VALUE"""),"")</f>
        <v/>
      </c>
      <c r="J2917" s="4" t="str">
        <f>IFERROR(__xludf.DUMMYFUNCTION("""COMPUTED_VALUE"""),"")</f>
        <v/>
      </c>
      <c r="K2917" s="4" t="str">
        <f>IFERROR(__xludf.DUMMYFUNCTION("""COMPUTED_VALUE"""),"")</f>
        <v/>
      </c>
      <c r="L2917" s="4" t="str">
        <f>IFERROR(__xludf.DUMMYFUNCTION("""COMPUTED_VALUE"""),"")</f>
        <v/>
      </c>
      <c r="M2917" s="1" t="str">
        <f>IFERROR(__xludf.DUMMYFUNCTION("""COMPUTED_VALUE"""),"RFID")</f>
        <v>RFID</v>
      </c>
      <c r="N2917" s="5" t="str">
        <f>IFERROR(__xludf.DUMMYFUNCTION("""COMPUTED_VALUE"""),"")</f>
        <v/>
      </c>
      <c r="O2917" s="5" t="str">
        <f>IFERROR(__xludf.DUMMYFUNCTION("""COMPUTED_VALUE"""),"")</f>
        <v/>
      </c>
      <c r="P2917" s="5" t="str">
        <f>IFERROR(__xludf.DUMMYFUNCTION("""COMPUTED_VALUE"""),"")</f>
        <v/>
      </c>
      <c r="Q2917" s="5" t="str">
        <f>IFERROR(__xludf.DUMMYFUNCTION("""COMPUTED_VALUE"""),"")</f>
        <v/>
      </c>
      <c r="R2917" s="4" t="str">
        <f>IFERROR(__xludf.DUMMYFUNCTION("""COMPUTED_VALUE"""),"")</f>
        <v/>
      </c>
      <c r="S2917" s="1" t="b">
        <f>IFERROR(__xludf.DUMMYFUNCTION("""COMPUTED_VALUE"""),FALSE)</f>
        <v>0</v>
      </c>
      <c r="T2917" s="1" t="b">
        <f>IFERROR(__xludf.DUMMYFUNCTION("""COMPUTED_VALUE"""),FALSE)</f>
        <v>0</v>
      </c>
      <c r="U2917" s="1" t="str">
        <f>IFERROR(__xludf.DUMMYFUNCTION("""COMPUTED_VALUE"""),"")</f>
        <v/>
      </c>
      <c r="V2917" s="1" t="str">
        <f>IFERROR(__xludf.DUMMYFUNCTION("""COMPUTED_VALUE"""),"")</f>
        <v/>
      </c>
      <c r="W2917" s="1" t="str">
        <f>IFERROR(__xludf.DUMMYFUNCTION("""COMPUTED_VALUE"""),"")</f>
        <v/>
      </c>
      <c r="X2917" s="1" t="str">
        <f>IFERROR(__xludf.DUMMYFUNCTION("""COMPUTED_VALUE"""),"")</f>
        <v/>
      </c>
      <c r="Y2917" s="2"/>
      <c r="Z2917" s="2" t="str">
        <f>IFERROR(__xludf.DUMMYFUNCTION("""COMPUTED_VALUE"""),"")</f>
        <v/>
      </c>
    </row>
    <row r="2918">
      <c r="A2918" s="1" t="str">
        <f>IFERROR(__xludf.DUMMYFUNCTION("""COMPUTED_VALUE"""),"")</f>
        <v/>
      </c>
      <c r="B2918" s="1"/>
      <c r="C2918" s="2"/>
      <c r="D2918" s="2"/>
      <c r="E2918" s="1"/>
      <c r="F2918" s="1"/>
      <c r="G2918" s="4" t="str">
        <f>IFERROR(__xludf.DUMMYFUNCTION("""COMPUTED_VALUE"""),"")</f>
        <v/>
      </c>
      <c r="H2918" s="4" t="str">
        <f>IFERROR(__xludf.DUMMYFUNCTION("""COMPUTED_VALUE"""),"")</f>
        <v/>
      </c>
      <c r="I2918" s="4" t="str">
        <f>IFERROR(__xludf.DUMMYFUNCTION("""COMPUTED_VALUE"""),"")</f>
        <v/>
      </c>
      <c r="J2918" s="4" t="str">
        <f>IFERROR(__xludf.DUMMYFUNCTION("""COMPUTED_VALUE"""),"")</f>
        <v/>
      </c>
      <c r="K2918" s="4" t="str">
        <f>IFERROR(__xludf.DUMMYFUNCTION("""COMPUTED_VALUE"""),"")</f>
        <v/>
      </c>
      <c r="L2918" s="4" t="str">
        <f>IFERROR(__xludf.DUMMYFUNCTION("""COMPUTED_VALUE"""),"")</f>
        <v/>
      </c>
      <c r="M2918" s="1" t="str">
        <f>IFERROR(__xludf.DUMMYFUNCTION("""COMPUTED_VALUE"""),"RFID")</f>
        <v>RFID</v>
      </c>
      <c r="N2918" s="5" t="str">
        <f>IFERROR(__xludf.DUMMYFUNCTION("""COMPUTED_VALUE"""),"")</f>
        <v/>
      </c>
      <c r="O2918" s="5" t="str">
        <f>IFERROR(__xludf.DUMMYFUNCTION("""COMPUTED_VALUE"""),"")</f>
        <v/>
      </c>
      <c r="P2918" s="5" t="str">
        <f>IFERROR(__xludf.DUMMYFUNCTION("""COMPUTED_VALUE"""),"")</f>
        <v/>
      </c>
      <c r="Q2918" s="5" t="str">
        <f>IFERROR(__xludf.DUMMYFUNCTION("""COMPUTED_VALUE"""),"")</f>
        <v/>
      </c>
      <c r="R2918" s="4" t="str">
        <f>IFERROR(__xludf.DUMMYFUNCTION("""COMPUTED_VALUE"""),"")</f>
        <v/>
      </c>
      <c r="S2918" s="1" t="b">
        <f>IFERROR(__xludf.DUMMYFUNCTION("""COMPUTED_VALUE"""),FALSE)</f>
        <v>0</v>
      </c>
      <c r="T2918" s="1" t="b">
        <f>IFERROR(__xludf.DUMMYFUNCTION("""COMPUTED_VALUE"""),FALSE)</f>
        <v>0</v>
      </c>
      <c r="U2918" s="1" t="str">
        <f>IFERROR(__xludf.DUMMYFUNCTION("""COMPUTED_VALUE"""),"")</f>
        <v/>
      </c>
      <c r="V2918" s="1" t="str">
        <f>IFERROR(__xludf.DUMMYFUNCTION("""COMPUTED_VALUE"""),"")</f>
        <v/>
      </c>
      <c r="W2918" s="1" t="str">
        <f>IFERROR(__xludf.DUMMYFUNCTION("""COMPUTED_VALUE"""),"")</f>
        <v/>
      </c>
      <c r="X2918" s="1" t="str">
        <f>IFERROR(__xludf.DUMMYFUNCTION("""COMPUTED_VALUE"""),"")</f>
        <v/>
      </c>
      <c r="Y2918" s="2"/>
      <c r="Z2918" s="2" t="str">
        <f>IFERROR(__xludf.DUMMYFUNCTION("""COMPUTED_VALUE"""),"")</f>
        <v/>
      </c>
    </row>
    <row r="2919">
      <c r="A2919" s="1" t="str">
        <f>IFERROR(__xludf.DUMMYFUNCTION("""COMPUTED_VALUE"""),"")</f>
        <v/>
      </c>
      <c r="B2919" s="1"/>
      <c r="C2919" s="2"/>
      <c r="D2919" s="2"/>
      <c r="E2919" s="1"/>
      <c r="F2919" s="1"/>
      <c r="G2919" s="4" t="str">
        <f>IFERROR(__xludf.DUMMYFUNCTION("""COMPUTED_VALUE"""),"")</f>
        <v/>
      </c>
      <c r="H2919" s="4" t="str">
        <f>IFERROR(__xludf.DUMMYFUNCTION("""COMPUTED_VALUE"""),"")</f>
        <v/>
      </c>
      <c r="I2919" s="4" t="str">
        <f>IFERROR(__xludf.DUMMYFUNCTION("""COMPUTED_VALUE"""),"")</f>
        <v/>
      </c>
      <c r="J2919" s="4" t="str">
        <f>IFERROR(__xludf.DUMMYFUNCTION("""COMPUTED_VALUE"""),"")</f>
        <v/>
      </c>
      <c r="K2919" s="4" t="str">
        <f>IFERROR(__xludf.DUMMYFUNCTION("""COMPUTED_VALUE"""),"")</f>
        <v/>
      </c>
      <c r="L2919" s="4" t="str">
        <f>IFERROR(__xludf.DUMMYFUNCTION("""COMPUTED_VALUE"""),"")</f>
        <v/>
      </c>
      <c r="M2919" s="1" t="str">
        <f>IFERROR(__xludf.DUMMYFUNCTION("""COMPUTED_VALUE"""),"RFID")</f>
        <v>RFID</v>
      </c>
      <c r="N2919" s="5" t="str">
        <f>IFERROR(__xludf.DUMMYFUNCTION("""COMPUTED_VALUE"""),"")</f>
        <v/>
      </c>
      <c r="O2919" s="5" t="str">
        <f>IFERROR(__xludf.DUMMYFUNCTION("""COMPUTED_VALUE"""),"")</f>
        <v/>
      </c>
      <c r="P2919" s="5" t="str">
        <f>IFERROR(__xludf.DUMMYFUNCTION("""COMPUTED_VALUE"""),"")</f>
        <v/>
      </c>
      <c r="Q2919" s="5" t="str">
        <f>IFERROR(__xludf.DUMMYFUNCTION("""COMPUTED_VALUE"""),"")</f>
        <v/>
      </c>
      <c r="R2919" s="4" t="str">
        <f>IFERROR(__xludf.DUMMYFUNCTION("""COMPUTED_VALUE"""),"")</f>
        <v/>
      </c>
      <c r="S2919" s="1" t="b">
        <f>IFERROR(__xludf.DUMMYFUNCTION("""COMPUTED_VALUE"""),FALSE)</f>
        <v>0</v>
      </c>
      <c r="T2919" s="1" t="b">
        <f>IFERROR(__xludf.DUMMYFUNCTION("""COMPUTED_VALUE"""),FALSE)</f>
        <v>0</v>
      </c>
      <c r="U2919" s="1" t="str">
        <f>IFERROR(__xludf.DUMMYFUNCTION("""COMPUTED_VALUE"""),"")</f>
        <v/>
      </c>
      <c r="V2919" s="1" t="str">
        <f>IFERROR(__xludf.DUMMYFUNCTION("""COMPUTED_VALUE"""),"")</f>
        <v/>
      </c>
      <c r="W2919" s="1" t="str">
        <f>IFERROR(__xludf.DUMMYFUNCTION("""COMPUTED_VALUE"""),"")</f>
        <v/>
      </c>
      <c r="X2919" s="1" t="str">
        <f>IFERROR(__xludf.DUMMYFUNCTION("""COMPUTED_VALUE"""),"")</f>
        <v/>
      </c>
      <c r="Y2919" s="2"/>
      <c r="Z2919" s="2" t="str">
        <f>IFERROR(__xludf.DUMMYFUNCTION("""COMPUTED_VALUE"""),"")</f>
        <v/>
      </c>
    </row>
    <row r="2920">
      <c r="A2920" s="1" t="str">
        <f>IFERROR(__xludf.DUMMYFUNCTION("""COMPUTED_VALUE"""),"")</f>
        <v/>
      </c>
      <c r="B2920" s="1"/>
      <c r="C2920" s="2"/>
      <c r="D2920" s="2"/>
      <c r="E2920" s="1"/>
      <c r="F2920" s="1"/>
      <c r="G2920" s="4" t="str">
        <f>IFERROR(__xludf.DUMMYFUNCTION("""COMPUTED_VALUE"""),"")</f>
        <v/>
      </c>
      <c r="H2920" s="4" t="str">
        <f>IFERROR(__xludf.DUMMYFUNCTION("""COMPUTED_VALUE"""),"")</f>
        <v/>
      </c>
      <c r="I2920" s="4" t="str">
        <f>IFERROR(__xludf.DUMMYFUNCTION("""COMPUTED_VALUE"""),"")</f>
        <v/>
      </c>
      <c r="J2920" s="4" t="str">
        <f>IFERROR(__xludf.DUMMYFUNCTION("""COMPUTED_VALUE"""),"")</f>
        <v/>
      </c>
      <c r="K2920" s="4" t="str">
        <f>IFERROR(__xludf.DUMMYFUNCTION("""COMPUTED_VALUE"""),"")</f>
        <v/>
      </c>
      <c r="L2920" s="4" t="str">
        <f>IFERROR(__xludf.DUMMYFUNCTION("""COMPUTED_VALUE"""),"")</f>
        <v/>
      </c>
      <c r="M2920" s="1" t="str">
        <f>IFERROR(__xludf.DUMMYFUNCTION("""COMPUTED_VALUE"""),"RFID")</f>
        <v>RFID</v>
      </c>
      <c r="N2920" s="5" t="str">
        <f>IFERROR(__xludf.DUMMYFUNCTION("""COMPUTED_VALUE"""),"")</f>
        <v/>
      </c>
      <c r="O2920" s="5" t="str">
        <f>IFERROR(__xludf.DUMMYFUNCTION("""COMPUTED_VALUE"""),"")</f>
        <v/>
      </c>
      <c r="P2920" s="5" t="str">
        <f>IFERROR(__xludf.DUMMYFUNCTION("""COMPUTED_VALUE"""),"")</f>
        <v/>
      </c>
      <c r="Q2920" s="5" t="str">
        <f>IFERROR(__xludf.DUMMYFUNCTION("""COMPUTED_VALUE"""),"")</f>
        <v/>
      </c>
      <c r="R2920" s="4" t="str">
        <f>IFERROR(__xludf.DUMMYFUNCTION("""COMPUTED_VALUE"""),"")</f>
        <v/>
      </c>
      <c r="S2920" s="1" t="b">
        <f>IFERROR(__xludf.DUMMYFUNCTION("""COMPUTED_VALUE"""),FALSE)</f>
        <v>0</v>
      </c>
      <c r="T2920" s="1" t="b">
        <f>IFERROR(__xludf.DUMMYFUNCTION("""COMPUTED_VALUE"""),FALSE)</f>
        <v>0</v>
      </c>
      <c r="U2920" s="1" t="str">
        <f>IFERROR(__xludf.DUMMYFUNCTION("""COMPUTED_VALUE"""),"")</f>
        <v/>
      </c>
      <c r="V2920" s="1" t="str">
        <f>IFERROR(__xludf.DUMMYFUNCTION("""COMPUTED_VALUE"""),"")</f>
        <v/>
      </c>
      <c r="W2920" s="1" t="str">
        <f>IFERROR(__xludf.DUMMYFUNCTION("""COMPUTED_VALUE"""),"")</f>
        <v/>
      </c>
      <c r="X2920" s="1" t="str">
        <f>IFERROR(__xludf.DUMMYFUNCTION("""COMPUTED_VALUE"""),"")</f>
        <v/>
      </c>
      <c r="Y2920" s="2"/>
      <c r="Z2920" s="2" t="str">
        <f>IFERROR(__xludf.DUMMYFUNCTION("""COMPUTED_VALUE"""),"")</f>
        <v/>
      </c>
    </row>
    <row r="2921">
      <c r="A2921" s="1" t="str">
        <f>IFERROR(__xludf.DUMMYFUNCTION("""COMPUTED_VALUE"""),"")</f>
        <v/>
      </c>
      <c r="B2921" s="1"/>
      <c r="C2921" s="2"/>
      <c r="D2921" s="2"/>
      <c r="E2921" s="1"/>
      <c r="F2921" s="1"/>
      <c r="G2921" s="4" t="str">
        <f>IFERROR(__xludf.DUMMYFUNCTION("""COMPUTED_VALUE"""),"")</f>
        <v/>
      </c>
      <c r="H2921" s="4" t="str">
        <f>IFERROR(__xludf.DUMMYFUNCTION("""COMPUTED_VALUE"""),"")</f>
        <v/>
      </c>
      <c r="I2921" s="4" t="str">
        <f>IFERROR(__xludf.DUMMYFUNCTION("""COMPUTED_VALUE"""),"")</f>
        <v/>
      </c>
      <c r="J2921" s="4" t="str">
        <f>IFERROR(__xludf.DUMMYFUNCTION("""COMPUTED_VALUE"""),"")</f>
        <v/>
      </c>
      <c r="K2921" s="4" t="str">
        <f>IFERROR(__xludf.DUMMYFUNCTION("""COMPUTED_VALUE"""),"")</f>
        <v/>
      </c>
      <c r="L2921" s="4" t="str">
        <f>IFERROR(__xludf.DUMMYFUNCTION("""COMPUTED_VALUE"""),"")</f>
        <v/>
      </c>
      <c r="M2921" s="1" t="str">
        <f>IFERROR(__xludf.DUMMYFUNCTION("""COMPUTED_VALUE"""),"RFID")</f>
        <v>RFID</v>
      </c>
      <c r="N2921" s="5" t="str">
        <f>IFERROR(__xludf.DUMMYFUNCTION("""COMPUTED_VALUE"""),"")</f>
        <v/>
      </c>
      <c r="O2921" s="5" t="str">
        <f>IFERROR(__xludf.DUMMYFUNCTION("""COMPUTED_VALUE"""),"")</f>
        <v/>
      </c>
      <c r="P2921" s="5" t="str">
        <f>IFERROR(__xludf.DUMMYFUNCTION("""COMPUTED_VALUE"""),"")</f>
        <v/>
      </c>
      <c r="Q2921" s="5" t="str">
        <f>IFERROR(__xludf.DUMMYFUNCTION("""COMPUTED_VALUE"""),"")</f>
        <v/>
      </c>
      <c r="R2921" s="4" t="str">
        <f>IFERROR(__xludf.DUMMYFUNCTION("""COMPUTED_VALUE"""),"")</f>
        <v/>
      </c>
      <c r="S2921" s="1" t="b">
        <f>IFERROR(__xludf.DUMMYFUNCTION("""COMPUTED_VALUE"""),FALSE)</f>
        <v>0</v>
      </c>
      <c r="T2921" s="1" t="b">
        <f>IFERROR(__xludf.DUMMYFUNCTION("""COMPUTED_VALUE"""),FALSE)</f>
        <v>0</v>
      </c>
      <c r="U2921" s="1" t="str">
        <f>IFERROR(__xludf.DUMMYFUNCTION("""COMPUTED_VALUE"""),"")</f>
        <v/>
      </c>
      <c r="V2921" s="1" t="str">
        <f>IFERROR(__xludf.DUMMYFUNCTION("""COMPUTED_VALUE"""),"")</f>
        <v/>
      </c>
      <c r="W2921" s="1" t="str">
        <f>IFERROR(__xludf.DUMMYFUNCTION("""COMPUTED_VALUE"""),"")</f>
        <v/>
      </c>
      <c r="X2921" s="1" t="str">
        <f>IFERROR(__xludf.DUMMYFUNCTION("""COMPUTED_VALUE"""),"")</f>
        <v/>
      </c>
      <c r="Y2921" s="2"/>
      <c r="Z2921" s="2" t="str">
        <f>IFERROR(__xludf.DUMMYFUNCTION("""COMPUTED_VALUE"""),"")</f>
        <v/>
      </c>
    </row>
    <row r="2922">
      <c r="A2922" s="1" t="str">
        <f>IFERROR(__xludf.DUMMYFUNCTION("""COMPUTED_VALUE"""),"")</f>
        <v/>
      </c>
      <c r="B2922" s="1"/>
      <c r="C2922" s="2"/>
      <c r="D2922" s="2"/>
      <c r="E2922" s="1"/>
      <c r="F2922" s="1"/>
      <c r="G2922" s="4" t="str">
        <f>IFERROR(__xludf.DUMMYFUNCTION("""COMPUTED_VALUE"""),"")</f>
        <v/>
      </c>
      <c r="H2922" s="4" t="str">
        <f>IFERROR(__xludf.DUMMYFUNCTION("""COMPUTED_VALUE"""),"")</f>
        <v/>
      </c>
      <c r="I2922" s="4" t="str">
        <f>IFERROR(__xludf.DUMMYFUNCTION("""COMPUTED_VALUE"""),"")</f>
        <v/>
      </c>
      <c r="J2922" s="4" t="str">
        <f>IFERROR(__xludf.DUMMYFUNCTION("""COMPUTED_VALUE"""),"")</f>
        <v/>
      </c>
      <c r="K2922" s="4" t="str">
        <f>IFERROR(__xludf.DUMMYFUNCTION("""COMPUTED_VALUE"""),"")</f>
        <v/>
      </c>
      <c r="L2922" s="4" t="str">
        <f>IFERROR(__xludf.DUMMYFUNCTION("""COMPUTED_VALUE"""),"")</f>
        <v/>
      </c>
      <c r="M2922" s="1" t="str">
        <f>IFERROR(__xludf.DUMMYFUNCTION("""COMPUTED_VALUE"""),"RFID")</f>
        <v>RFID</v>
      </c>
      <c r="N2922" s="5" t="str">
        <f>IFERROR(__xludf.DUMMYFUNCTION("""COMPUTED_VALUE"""),"")</f>
        <v/>
      </c>
      <c r="O2922" s="5" t="str">
        <f>IFERROR(__xludf.DUMMYFUNCTION("""COMPUTED_VALUE"""),"")</f>
        <v/>
      </c>
      <c r="P2922" s="5" t="str">
        <f>IFERROR(__xludf.DUMMYFUNCTION("""COMPUTED_VALUE"""),"")</f>
        <v/>
      </c>
      <c r="Q2922" s="5" t="str">
        <f>IFERROR(__xludf.DUMMYFUNCTION("""COMPUTED_VALUE"""),"")</f>
        <v/>
      </c>
      <c r="R2922" s="4" t="str">
        <f>IFERROR(__xludf.DUMMYFUNCTION("""COMPUTED_VALUE"""),"")</f>
        <v/>
      </c>
      <c r="S2922" s="1" t="b">
        <f>IFERROR(__xludf.DUMMYFUNCTION("""COMPUTED_VALUE"""),FALSE)</f>
        <v>0</v>
      </c>
      <c r="T2922" s="1" t="b">
        <f>IFERROR(__xludf.DUMMYFUNCTION("""COMPUTED_VALUE"""),FALSE)</f>
        <v>0</v>
      </c>
      <c r="U2922" s="1" t="str">
        <f>IFERROR(__xludf.DUMMYFUNCTION("""COMPUTED_VALUE"""),"")</f>
        <v/>
      </c>
      <c r="V2922" s="1" t="str">
        <f>IFERROR(__xludf.DUMMYFUNCTION("""COMPUTED_VALUE"""),"")</f>
        <v/>
      </c>
      <c r="W2922" s="1" t="str">
        <f>IFERROR(__xludf.DUMMYFUNCTION("""COMPUTED_VALUE"""),"")</f>
        <v/>
      </c>
      <c r="X2922" s="1" t="str">
        <f>IFERROR(__xludf.DUMMYFUNCTION("""COMPUTED_VALUE"""),"")</f>
        <v/>
      </c>
      <c r="Y2922" s="2"/>
      <c r="Z2922" s="2" t="str">
        <f>IFERROR(__xludf.DUMMYFUNCTION("""COMPUTED_VALUE"""),"")</f>
        <v/>
      </c>
    </row>
    <row r="2923">
      <c r="A2923" s="1" t="str">
        <f>IFERROR(__xludf.DUMMYFUNCTION("""COMPUTED_VALUE"""),"")</f>
        <v/>
      </c>
      <c r="B2923" s="1"/>
      <c r="C2923" s="2"/>
      <c r="D2923" s="2"/>
      <c r="E2923" s="1"/>
      <c r="F2923" s="1"/>
      <c r="G2923" s="4" t="str">
        <f>IFERROR(__xludf.DUMMYFUNCTION("""COMPUTED_VALUE"""),"")</f>
        <v/>
      </c>
      <c r="H2923" s="4" t="str">
        <f>IFERROR(__xludf.DUMMYFUNCTION("""COMPUTED_VALUE"""),"")</f>
        <v/>
      </c>
      <c r="I2923" s="4" t="str">
        <f>IFERROR(__xludf.DUMMYFUNCTION("""COMPUTED_VALUE"""),"")</f>
        <v/>
      </c>
      <c r="J2923" s="4" t="str">
        <f>IFERROR(__xludf.DUMMYFUNCTION("""COMPUTED_VALUE"""),"")</f>
        <v/>
      </c>
      <c r="K2923" s="4" t="str">
        <f>IFERROR(__xludf.DUMMYFUNCTION("""COMPUTED_VALUE"""),"")</f>
        <v/>
      </c>
      <c r="L2923" s="4" t="str">
        <f>IFERROR(__xludf.DUMMYFUNCTION("""COMPUTED_VALUE"""),"")</f>
        <v/>
      </c>
      <c r="M2923" s="1" t="str">
        <f>IFERROR(__xludf.DUMMYFUNCTION("""COMPUTED_VALUE"""),"RFID")</f>
        <v>RFID</v>
      </c>
      <c r="N2923" s="5" t="str">
        <f>IFERROR(__xludf.DUMMYFUNCTION("""COMPUTED_VALUE"""),"")</f>
        <v/>
      </c>
      <c r="O2923" s="5" t="str">
        <f>IFERROR(__xludf.DUMMYFUNCTION("""COMPUTED_VALUE"""),"")</f>
        <v/>
      </c>
      <c r="P2923" s="5" t="str">
        <f>IFERROR(__xludf.DUMMYFUNCTION("""COMPUTED_VALUE"""),"")</f>
        <v/>
      </c>
      <c r="Q2923" s="5" t="str">
        <f>IFERROR(__xludf.DUMMYFUNCTION("""COMPUTED_VALUE"""),"")</f>
        <v/>
      </c>
      <c r="R2923" s="4" t="str">
        <f>IFERROR(__xludf.DUMMYFUNCTION("""COMPUTED_VALUE"""),"")</f>
        <v/>
      </c>
      <c r="S2923" s="1" t="b">
        <f>IFERROR(__xludf.DUMMYFUNCTION("""COMPUTED_VALUE"""),FALSE)</f>
        <v>0</v>
      </c>
      <c r="T2923" s="1" t="b">
        <f>IFERROR(__xludf.DUMMYFUNCTION("""COMPUTED_VALUE"""),FALSE)</f>
        <v>0</v>
      </c>
      <c r="U2923" s="1" t="str">
        <f>IFERROR(__xludf.DUMMYFUNCTION("""COMPUTED_VALUE"""),"")</f>
        <v/>
      </c>
      <c r="V2923" s="1" t="str">
        <f>IFERROR(__xludf.DUMMYFUNCTION("""COMPUTED_VALUE"""),"")</f>
        <v/>
      </c>
      <c r="W2923" s="1" t="str">
        <f>IFERROR(__xludf.DUMMYFUNCTION("""COMPUTED_VALUE"""),"")</f>
        <v/>
      </c>
      <c r="X2923" s="1" t="str">
        <f>IFERROR(__xludf.DUMMYFUNCTION("""COMPUTED_VALUE"""),"")</f>
        <v/>
      </c>
      <c r="Y2923" s="2"/>
      <c r="Z2923" s="2" t="str">
        <f>IFERROR(__xludf.DUMMYFUNCTION("""COMPUTED_VALUE"""),"")</f>
        <v/>
      </c>
    </row>
    <row r="2924">
      <c r="A2924" s="1" t="str">
        <f>IFERROR(__xludf.DUMMYFUNCTION("""COMPUTED_VALUE"""),"")</f>
        <v/>
      </c>
      <c r="B2924" s="1"/>
      <c r="C2924" s="2"/>
      <c r="D2924" s="2"/>
      <c r="E2924" s="1"/>
      <c r="F2924" s="1"/>
      <c r="G2924" s="4" t="str">
        <f>IFERROR(__xludf.DUMMYFUNCTION("""COMPUTED_VALUE"""),"")</f>
        <v/>
      </c>
      <c r="H2924" s="4" t="str">
        <f>IFERROR(__xludf.DUMMYFUNCTION("""COMPUTED_VALUE"""),"")</f>
        <v/>
      </c>
      <c r="I2924" s="4" t="str">
        <f>IFERROR(__xludf.DUMMYFUNCTION("""COMPUTED_VALUE"""),"")</f>
        <v/>
      </c>
      <c r="J2924" s="4" t="str">
        <f>IFERROR(__xludf.DUMMYFUNCTION("""COMPUTED_VALUE"""),"")</f>
        <v/>
      </c>
      <c r="K2924" s="4" t="str">
        <f>IFERROR(__xludf.DUMMYFUNCTION("""COMPUTED_VALUE"""),"")</f>
        <v/>
      </c>
      <c r="L2924" s="4" t="str">
        <f>IFERROR(__xludf.DUMMYFUNCTION("""COMPUTED_VALUE"""),"")</f>
        <v/>
      </c>
      <c r="M2924" s="1" t="str">
        <f>IFERROR(__xludf.DUMMYFUNCTION("""COMPUTED_VALUE"""),"RFID")</f>
        <v>RFID</v>
      </c>
      <c r="N2924" s="5" t="str">
        <f>IFERROR(__xludf.DUMMYFUNCTION("""COMPUTED_VALUE"""),"")</f>
        <v/>
      </c>
      <c r="O2924" s="5" t="str">
        <f>IFERROR(__xludf.DUMMYFUNCTION("""COMPUTED_VALUE"""),"")</f>
        <v/>
      </c>
      <c r="P2924" s="5" t="str">
        <f>IFERROR(__xludf.DUMMYFUNCTION("""COMPUTED_VALUE"""),"")</f>
        <v/>
      </c>
      <c r="Q2924" s="5" t="str">
        <f>IFERROR(__xludf.DUMMYFUNCTION("""COMPUTED_VALUE"""),"")</f>
        <v/>
      </c>
      <c r="R2924" s="4" t="str">
        <f>IFERROR(__xludf.DUMMYFUNCTION("""COMPUTED_VALUE"""),"")</f>
        <v/>
      </c>
      <c r="S2924" s="1" t="b">
        <f>IFERROR(__xludf.DUMMYFUNCTION("""COMPUTED_VALUE"""),FALSE)</f>
        <v>0</v>
      </c>
      <c r="T2924" s="1" t="b">
        <f>IFERROR(__xludf.DUMMYFUNCTION("""COMPUTED_VALUE"""),FALSE)</f>
        <v>0</v>
      </c>
      <c r="U2924" s="1" t="str">
        <f>IFERROR(__xludf.DUMMYFUNCTION("""COMPUTED_VALUE"""),"")</f>
        <v/>
      </c>
      <c r="V2924" s="1" t="str">
        <f>IFERROR(__xludf.DUMMYFUNCTION("""COMPUTED_VALUE"""),"")</f>
        <v/>
      </c>
      <c r="W2924" s="1" t="str">
        <f>IFERROR(__xludf.DUMMYFUNCTION("""COMPUTED_VALUE"""),"")</f>
        <v/>
      </c>
      <c r="X2924" s="1" t="str">
        <f>IFERROR(__xludf.DUMMYFUNCTION("""COMPUTED_VALUE"""),"")</f>
        <v/>
      </c>
      <c r="Y2924" s="2"/>
      <c r="Z2924" s="2" t="str">
        <f>IFERROR(__xludf.DUMMYFUNCTION("""COMPUTED_VALUE"""),"")</f>
        <v/>
      </c>
    </row>
    <row r="2925">
      <c r="A2925" s="1" t="str">
        <f>IFERROR(__xludf.DUMMYFUNCTION("""COMPUTED_VALUE"""),"")</f>
        <v/>
      </c>
      <c r="B2925" s="1"/>
      <c r="C2925" s="2"/>
      <c r="D2925" s="2"/>
      <c r="E2925" s="1"/>
      <c r="F2925" s="1"/>
      <c r="G2925" s="4" t="str">
        <f>IFERROR(__xludf.DUMMYFUNCTION("""COMPUTED_VALUE"""),"")</f>
        <v/>
      </c>
      <c r="H2925" s="4" t="str">
        <f>IFERROR(__xludf.DUMMYFUNCTION("""COMPUTED_VALUE"""),"")</f>
        <v/>
      </c>
      <c r="I2925" s="4" t="str">
        <f>IFERROR(__xludf.DUMMYFUNCTION("""COMPUTED_VALUE"""),"")</f>
        <v/>
      </c>
      <c r="J2925" s="4" t="str">
        <f>IFERROR(__xludf.DUMMYFUNCTION("""COMPUTED_VALUE"""),"")</f>
        <v/>
      </c>
      <c r="K2925" s="4" t="str">
        <f>IFERROR(__xludf.DUMMYFUNCTION("""COMPUTED_VALUE"""),"")</f>
        <v/>
      </c>
      <c r="L2925" s="4" t="str">
        <f>IFERROR(__xludf.DUMMYFUNCTION("""COMPUTED_VALUE"""),"")</f>
        <v/>
      </c>
      <c r="M2925" s="1" t="str">
        <f>IFERROR(__xludf.DUMMYFUNCTION("""COMPUTED_VALUE"""),"RFID")</f>
        <v>RFID</v>
      </c>
      <c r="N2925" s="5" t="str">
        <f>IFERROR(__xludf.DUMMYFUNCTION("""COMPUTED_VALUE"""),"")</f>
        <v/>
      </c>
      <c r="O2925" s="5" t="str">
        <f>IFERROR(__xludf.DUMMYFUNCTION("""COMPUTED_VALUE"""),"")</f>
        <v/>
      </c>
      <c r="P2925" s="5" t="str">
        <f>IFERROR(__xludf.DUMMYFUNCTION("""COMPUTED_VALUE"""),"")</f>
        <v/>
      </c>
      <c r="Q2925" s="5" t="str">
        <f>IFERROR(__xludf.DUMMYFUNCTION("""COMPUTED_VALUE"""),"")</f>
        <v/>
      </c>
      <c r="R2925" s="4" t="str">
        <f>IFERROR(__xludf.DUMMYFUNCTION("""COMPUTED_VALUE"""),"")</f>
        <v/>
      </c>
      <c r="S2925" s="1" t="b">
        <f>IFERROR(__xludf.DUMMYFUNCTION("""COMPUTED_VALUE"""),FALSE)</f>
        <v>0</v>
      </c>
      <c r="T2925" s="1" t="b">
        <f>IFERROR(__xludf.DUMMYFUNCTION("""COMPUTED_VALUE"""),FALSE)</f>
        <v>0</v>
      </c>
      <c r="U2925" s="1" t="str">
        <f>IFERROR(__xludf.DUMMYFUNCTION("""COMPUTED_VALUE"""),"")</f>
        <v/>
      </c>
      <c r="V2925" s="1" t="str">
        <f>IFERROR(__xludf.DUMMYFUNCTION("""COMPUTED_VALUE"""),"")</f>
        <v/>
      </c>
      <c r="W2925" s="1" t="str">
        <f>IFERROR(__xludf.DUMMYFUNCTION("""COMPUTED_VALUE"""),"")</f>
        <v/>
      </c>
      <c r="X2925" s="1" t="str">
        <f>IFERROR(__xludf.DUMMYFUNCTION("""COMPUTED_VALUE"""),"")</f>
        <v/>
      </c>
      <c r="Y2925" s="2"/>
      <c r="Z2925" s="2" t="str">
        <f>IFERROR(__xludf.DUMMYFUNCTION("""COMPUTED_VALUE"""),"")</f>
        <v/>
      </c>
    </row>
    <row r="2926">
      <c r="A2926" s="1" t="str">
        <f>IFERROR(__xludf.DUMMYFUNCTION("""COMPUTED_VALUE"""),"")</f>
        <v/>
      </c>
      <c r="B2926" s="1"/>
      <c r="C2926" s="2"/>
      <c r="D2926" s="2"/>
      <c r="E2926" s="1"/>
      <c r="F2926" s="1"/>
      <c r="G2926" s="4" t="str">
        <f>IFERROR(__xludf.DUMMYFUNCTION("""COMPUTED_VALUE"""),"")</f>
        <v/>
      </c>
      <c r="H2926" s="4" t="str">
        <f>IFERROR(__xludf.DUMMYFUNCTION("""COMPUTED_VALUE"""),"")</f>
        <v/>
      </c>
      <c r="I2926" s="4" t="str">
        <f>IFERROR(__xludf.DUMMYFUNCTION("""COMPUTED_VALUE"""),"")</f>
        <v/>
      </c>
      <c r="J2926" s="4" t="str">
        <f>IFERROR(__xludf.DUMMYFUNCTION("""COMPUTED_VALUE"""),"")</f>
        <v/>
      </c>
      <c r="K2926" s="4" t="str">
        <f>IFERROR(__xludf.DUMMYFUNCTION("""COMPUTED_VALUE"""),"")</f>
        <v/>
      </c>
      <c r="L2926" s="4" t="str">
        <f>IFERROR(__xludf.DUMMYFUNCTION("""COMPUTED_VALUE"""),"")</f>
        <v/>
      </c>
      <c r="M2926" s="1" t="str">
        <f>IFERROR(__xludf.DUMMYFUNCTION("""COMPUTED_VALUE"""),"RFID")</f>
        <v>RFID</v>
      </c>
      <c r="N2926" s="5" t="str">
        <f>IFERROR(__xludf.DUMMYFUNCTION("""COMPUTED_VALUE"""),"")</f>
        <v/>
      </c>
      <c r="O2926" s="5" t="str">
        <f>IFERROR(__xludf.DUMMYFUNCTION("""COMPUTED_VALUE"""),"")</f>
        <v/>
      </c>
      <c r="P2926" s="5" t="str">
        <f>IFERROR(__xludf.DUMMYFUNCTION("""COMPUTED_VALUE"""),"")</f>
        <v/>
      </c>
      <c r="Q2926" s="5" t="str">
        <f>IFERROR(__xludf.DUMMYFUNCTION("""COMPUTED_VALUE"""),"")</f>
        <v/>
      </c>
      <c r="R2926" s="4" t="str">
        <f>IFERROR(__xludf.DUMMYFUNCTION("""COMPUTED_VALUE"""),"")</f>
        <v/>
      </c>
      <c r="S2926" s="1" t="b">
        <f>IFERROR(__xludf.DUMMYFUNCTION("""COMPUTED_VALUE"""),FALSE)</f>
        <v>0</v>
      </c>
      <c r="T2926" s="1" t="b">
        <f>IFERROR(__xludf.DUMMYFUNCTION("""COMPUTED_VALUE"""),FALSE)</f>
        <v>0</v>
      </c>
      <c r="U2926" s="1" t="str">
        <f>IFERROR(__xludf.DUMMYFUNCTION("""COMPUTED_VALUE"""),"")</f>
        <v/>
      </c>
      <c r="V2926" s="1" t="str">
        <f>IFERROR(__xludf.DUMMYFUNCTION("""COMPUTED_VALUE"""),"")</f>
        <v/>
      </c>
      <c r="W2926" s="1" t="str">
        <f>IFERROR(__xludf.DUMMYFUNCTION("""COMPUTED_VALUE"""),"")</f>
        <v/>
      </c>
      <c r="X2926" s="1" t="str">
        <f>IFERROR(__xludf.DUMMYFUNCTION("""COMPUTED_VALUE"""),"")</f>
        <v/>
      </c>
      <c r="Y2926" s="2"/>
      <c r="Z2926" s="2" t="str">
        <f>IFERROR(__xludf.DUMMYFUNCTION("""COMPUTED_VALUE"""),"")</f>
        <v/>
      </c>
    </row>
    <row r="2927">
      <c r="A2927" s="1" t="str">
        <f>IFERROR(__xludf.DUMMYFUNCTION("""COMPUTED_VALUE"""),"")</f>
        <v/>
      </c>
      <c r="B2927" s="1"/>
      <c r="C2927" s="2"/>
      <c r="D2927" s="2"/>
      <c r="E2927" s="1"/>
      <c r="F2927" s="1"/>
      <c r="G2927" s="4" t="str">
        <f>IFERROR(__xludf.DUMMYFUNCTION("""COMPUTED_VALUE"""),"")</f>
        <v/>
      </c>
      <c r="H2927" s="4" t="str">
        <f>IFERROR(__xludf.DUMMYFUNCTION("""COMPUTED_VALUE"""),"")</f>
        <v/>
      </c>
      <c r="I2927" s="4" t="str">
        <f>IFERROR(__xludf.DUMMYFUNCTION("""COMPUTED_VALUE"""),"")</f>
        <v/>
      </c>
      <c r="J2927" s="4" t="str">
        <f>IFERROR(__xludf.DUMMYFUNCTION("""COMPUTED_VALUE"""),"")</f>
        <v/>
      </c>
      <c r="K2927" s="4" t="str">
        <f>IFERROR(__xludf.DUMMYFUNCTION("""COMPUTED_VALUE"""),"")</f>
        <v/>
      </c>
      <c r="L2927" s="4" t="str">
        <f>IFERROR(__xludf.DUMMYFUNCTION("""COMPUTED_VALUE"""),"")</f>
        <v/>
      </c>
      <c r="M2927" s="1" t="str">
        <f>IFERROR(__xludf.DUMMYFUNCTION("""COMPUTED_VALUE"""),"RFID")</f>
        <v>RFID</v>
      </c>
      <c r="N2927" s="5" t="str">
        <f>IFERROR(__xludf.DUMMYFUNCTION("""COMPUTED_VALUE"""),"")</f>
        <v/>
      </c>
      <c r="O2927" s="5" t="str">
        <f>IFERROR(__xludf.DUMMYFUNCTION("""COMPUTED_VALUE"""),"")</f>
        <v/>
      </c>
      <c r="P2927" s="5" t="str">
        <f>IFERROR(__xludf.DUMMYFUNCTION("""COMPUTED_VALUE"""),"")</f>
        <v/>
      </c>
      <c r="Q2927" s="5" t="str">
        <f>IFERROR(__xludf.DUMMYFUNCTION("""COMPUTED_VALUE"""),"")</f>
        <v/>
      </c>
      <c r="R2927" s="4" t="str">
        <f>IFERROR(__xludf.DUMMYFUNCTION("""COMPUTED_VALUE"""),"")</f>
        <v/>
      </c>
      <c r="S2927" s="1" t="b">
        <f>IFERROR(__xludf.DUMMYFUNCTION("""COMPUTED_VALUE"""),FALSE)</f>
        <v>0</v>
      </c>
      <c r="T2927" s="1" t="b">
        <f>IFERROR(__xludf.DUMMYFUNCTION("""COMPUTED_VALUE"""),FALSE)</f>
        <v>0</v>
      </c>
      <c r="U2927" s="1" t="str">
        <f>IFERROR(__xludf.DUMMYFUNCTION("""COMPUTED_VALUE"""),"")</f>
        <v/>
      </c>
      <c r="V2927" s="1" t="str">
        <f>IFERROR(__xludf.DUMMYFUNCTION("""COMPUTED_VALUE"""),"")</f>
        <v/>
      </c>
      <c r="W2927" s="1" t="str">
        <f>IFERROR(__xludf.DUMMYFUNCTION("""COMPUTED_VALUE"""),"")</f>
        <v/>
      </c>
      <c r="X2927" s="1" t="str">
        <f>IFERROR(__xludf.DUMMYFUNCTION("""COMPUTED_VALUE"""),"")</f>
        <v/>
      </c>
      <c r="Y2927" s="2"/>
      <c r="Z2927" s="2" t="str">
        <f>IFERROR(__xludf.DUMMYFUNCTION("""COMPUTED_VALUE"""),"")</f>
        <v/>
      </c>
    </row>
    <row r="2928">
      <c r="A2928" s="1" t="str">
        <f>IFERROR(__xludf.DUMMYFUNCTION("""COMPUTED_VALUE"""),"")</f>
        <v/>
      </c>
      <c r="B2928" s="1"/>
      <c r="C2928" s="2"/>
      <c r="D2928" s="2"/>
      <c r="E2928" s="1"/>
      <c r="F2928" s="1"/>
      <c r="G2928" s="4" t="str">
        <f>IFERROR(__xludf.DUMMYFUNCTION("""COMPUTED_VALUE"""),"")</f>
        <v/>
      </c>
      <c r="H2928" s="4" t="str">
        <f>IFERROR(__xludf.DUMMYFUNCTION("""COMPUTED_VALUE"""),"")</f>
        <v/>
      </c>
      <c r="I2928" s="4" t="str">
        <f>IFERROR(__xludf.DUMMYFUNCTION("""COMPUTED_VALUE"""),"")</f>
        <v/>
      </c>
      <c r="J2928" s="4" t="str">
        <f>IFERROR(__xludf.DUMMYFUNCTION("""COMPUTED_VALUE"""),"")</f>
        <v/>
      </c>
      <c r="K2928" s="4" t="str">
        <f>IFERROR(__xludf.DUMMYFUNCTION("""COMPUTED_VALUE"""),"")</f>
        <v/>
      </c>
      <c r="L2928" s="4" t="str">
        <f>IFERROR(__xludf.DUMMYFUNCTION("""COMPUTED_VALUE"""),"")</f>
        <v/>
      </c>
      <c r="M2928" s="1" t="str">
        <f>IFERROR(__xludf.DUMMYFUNCTION("""COMPUTED_VALUE"""),"RFID")</f>
        <v>RFID</v>
      </c>
      <c r="N2928" s="5" t="str">
        <f>IFERROR(__xludf.DUMMYFUNCTION("""COMPUTED_VALUE"""),"")</f>
        <v/>
      </c>
      <c r="O2928" s="5" t="str">
        <f>IFERROR(__xludf.DUMMYFUNCTION("""COMPUTED_VALUE"""),"")</f>
        <v/>
      </c>
      <c r="P2928" s="5" t="str">
        <f>IFERROR(__xludf.DUMMYFUNCTION("""COMPUTED_VALUE"""),"")</f>
        <v/>
      </c>
      <c r="Q2928" s="5" t="str">
        <f>IFERROR(__xludf.DUMMYFUNCTION("""COMPUTED_VALUE"""),"")</f>
        <v/>
      </c>
      <c r="R2928" s="4" t="str">
        <f>IFERROR(__xludf.DUMMYFUNCTION("""COMPUTED_VALUE"""),"")</f>
        <v/>
      </c>
      <c r="S2928" s="1" t="b">
        <f>IFERROR(__xludf.DUMMYFUNCTION("""COMPUTED_VALUE"""),FALSE)</f>
        <v>0</v>
      </c>
      <c r="T2928" s="1" t="b">
        <f>IFERROR(__xludf.DUMMYFUNCTION("""COMPUTED_VALUE"""),FALSE)</f>
        <v>0</v>
      </c>
      <c r="U2928" s="1" t="str">
        <f>IFERROR(__xludf.DUMMYFUNCTION("""COMPUTED_VALUE"""),"")</f>
        <v/>
      </c>
      <c r="V2928" s="1" t="str">
        <f>IFERROR(__xludf.DUMMYFUNCTION("""COMPUTED_VALUE"""),"")</f>
        <v/>
      </c>
      <c r="W2928" s="1" t="str">
        <f>IFERROR(__xludf.DUMMYFUNCTION("""COMPUTED_VALUE"""),"")</f>
        <v/>
      </c>
      <c r="X2928" s="1" t="str">
        <f>IFERROR(__xludf.DUMMYFUNCTION("""COMPUTED_VALUE"""),"")</f>
        <v/>
      </c>
      <c r="Y2928" s="2"/>
      <c r="Z2928" s="2" t="str">
        <f>IFERROR(__xludf.DUMMYFUNCTION("""COMPUTED_VALUE"""),"")</f>
        <v/>
      </c>
    </row>
    <row r="2929">
      <c r="A2929" s="1" t="str">
        <f>IFERROR(__xludf.DUMMYFUNCTION("""COMPUTED_VALUE"""),"")</f>
        <v/>
      </c>
      <c r="B2929" s="1"/>
      <c r="C2929" s="2"/>
      <c r="D2929" s="2"/>
      <c r="E2929" s="1"/>
      <c r="F2929" s="1"/>
      <c r="G2929" s="4" t="str">
        <f>IFERROR(__xludf.DUMMYFUNCTION("""COMPUTED_VALUE"""),"")</f>
        <v/>
      </c>
      <c r="H2929" s="4" t="str">
        <f>IFERROR(__xludf.DUMMYFUNCTION("""COMPUTED_VALUE"""),"")</f>
        <v/>
      </c>
      <c r="I2929" s="4" t="str">
        <f>IFERROR(__xludf.DUMMYFUNCTION("""COMPUTED_VALUE"""),"")</f>
        <v/>
      </c>
      <c r="J2929" s="4" t="str">
        <f>IFERROR(__xludf.DUMMYFUNCTION("""COMPUTED_VALUE"""),"")</f>
        <v/>
      </c>
      <c r="K2929" s="4" t="str">
        <f>IFERROR(__xludf.DUMMYFUNCTION("""COMPUTED_VALUE"""),"")</f>
        <v/>
      </c>
      <c r="L2929" s="4" t="str">
        <f>IFERROR(__xludf.DUMMYFUNCTION("""COMPUTED_VALUE"""),"")</f>
        <v/>
      </c>
      <c r="M2929" s="1" t="str">
        <f>IFERROR(__xludf.DUMMYFUNCTION("""COMPUTED_VALUE"""),"RFID")</f>
        <v>RFID</v>
      </c>
      <c r="N2929" s="5" t="str">
        <f>IFERROR(__xludf.DUMMYFUNCTION("""COMPUTED_VALUE"""),"")</f>
        <v/>
      </c>
      <c r="O2929" s="5" t="str">
        <f>IFERROR(__xludf.DUMMYFUNCTION("""COMPUTED_VALUE"""),"")</f>
        <v/>
      </c>
      <c r="P2929" s="5" t="str">
        <f>IFERROR(__xludf.DUMMYFUNCTION("""COMPUTED_VALUE"""),"")</f>
        <v/>
      </c>
      <c r="Q2929" s="5" t="str">
        <f>IFERROR(__xludf.DUMMYFUNCTION("""COMPUTED_VALUE"""),"")</f>
        <v/>
      </c>
      <c r="R2929" s="4" t="str">
        <f>IFERROR(__xludf.DUMMYFUNCTION("""COMPUTED_VALUE"""),"")</f>
        <v/>
      </c>
      <c r="S2929" s="1" t="b">
        <f>IFERROR(__xludf.DUMMYFUNCTION("""COMPUTED_VALUE"""),FALSE)</f>
        <v>0</v>
      </c>
      <c r="T2929" s="1" t="b">
        <f>IFERROR(__xludf.DUMMYFUNCTION("""COMPUTED_VALUE"""),FALSE)</f>
        <v>0</v>
      </c>
      <c r="U2929" s="1" t="str">
        <f>IFERROR(__xludf.DUMMYFUNCTION("""COMPUTED_VALUE"""),"")</f>
        <v/>
      </c>
      <c r="V2929" s="1" t="str">
        <f>IFERROR(__xludf.DUMMYFUNCTION("""COMPUTED_VALUE"""),"")</f>
        <v/>
      </c>
      <c r="W2929" s="1" t="str">
        <f>IFERROR(__xludf.DUMMYFUNCTION("""COMPUTED_VALUE"""),"")</f>
        <v/>
      </c>
      <c r="X2929" s="1" t="str">
        <f>IFERROR(__xludf.DUMMYFUNCTION("""COMPUTED_VALUE"""),"")</f>
        <v/>
      </c>
      <c r="Y2929" s="2"/>
      <c r="Z2929" s="2" t="str">
        <f>IFERROR(__xludf.DUMMYFUNCTION("""COMPUTED_VALUE"""),"")</f>
        <v/>
      </c>
    </row>
    <row r="2930">
      <c r="A2930" s="1" t="str">
        <f>IFERROR(__xludf.DUMMYFUNCTION("""COMPUTED_VALUE"""),"")</f>
        <v/>
      </c>
      <c r="B2930" s="1"/>
      <c r="C2930" s="2"/>
      <c r="D2930" s="2"/>
      <c r="E2930" s="1"/>
      <c r="F2930" s="1"/>
      <c r="G2930" s="4" t="str">
        <f>IFERROR(__xludf.DUMMYFUNCTION("""COMPUTED_VALUE"""),"")</f>
        <v/>
      </c>
      <c r="H2930" s="4" t="str">
        <f>IFERROR(__xludf.DUMMYFUNCTION("""COMPUTED_VALUE"""),"")</f>
        <v/>
      </c>
      <c r="I2930" s="4" t="str">
        <f>IFERROR(__xludf.DUMMYFUNCTION("""COMPUTED_VALUE"""),"")</f>
        <v/>
      </c>
      <c r="J2930" s="4" t="str">
        <f>IFERROR(__xludf.DUMMYFUNCTION("""COMPUTED_VALUE"""),"")</f>
        <v/>
      </c>
      <c r="K2930" s="4" t="str">
        <f>IFERROR(__xludf.DUMMYFUNCTION("""COMPUTED_VALUE"""),"")</f>
        <v/>
      </c>
      <c r="L2930" s="4" t="str">
        <f>IFERROR(__xludf.DUMMYFUNCTION("""COMPUTED_VALUE"""),"")</f>
        <v/>
      </c>
      <c r="M2930" s="1" t="str">
        <f>IFERROR(__xludf.DUMMYFUNCTION("""COMPUTED_VALUE"""),"RFID")</f>
        <v>RFID</v>
      </c>
      <c r="N2930" s="5" t="str">
        <f>IFERROR(__xludf.DUMMYFUNCTION("""COMPUTED_VALUE"""),"")</f>
        <v/>
      </c>
      <c r="O2930" s="5" t="str">
        <f>IFERROR(__xludf.DUMMYFUNCTION("""COMPUTED_VALUE"""),"")</f>
        <v/>
      </c>
      <c r="P2930" s="5" t="str">
        <f>IFERROR(__xludf.DUMMYFUNCTION("""COMPUTED_VALUE"""),"")</f>
        <v/>
      </c>
      <c r="Q2930" s="5" t="str">
        <f>IFERROR(__xludf.DUMMYFUNCTION("""COMPUTED_VALUE"""),"")</f>
        <v/>
      </c>
      <c r="R2930" s="4" t="str">
        <f>IFERROR(__xludf.DUMMYFUNCTION("""COMPUTED_VALUE"""),"")</f>
        <v/>
      </c>
      <c r="S2930" s="1" t="b">
        <f>IFERROR(__xludf.DUMMYFUNCTION("""COMPUTED_VALUE"""),FALSE)</f>
        <v>0</v>
      </c>
      <c r="T2930" s="1" t="b">
        <f>IFERROR(__xludf.DUMMYFUNCTION("""COMPUTED_VALUE"""),FALSE)</f>
        <v>0</v>
      </c>
      <c r="U2930" s="1" t="str">
        <f>IFERROR(__xludf.DUMMYFUNCTION("""COMPUTED_VALUE"""),"")</f>
        <v/>
      </c>
      <c r="V2930" s="1" t="str">
        <f>IFERROR(__xludf.DUMMYFUNCTION("""COMPUTED_VALUE"""),"")</f>
        <v/>
      </c>
      <c r="W2930" s="1" t="str">
        <f>IFERROR(__xludf.DUMMYFUNCTION("""COMPUTED_VALUE"""),"")</f>
        <v/>
      </c>
      <c r="X2930" s="1" t="str">
        <f>IFERROR(__xludf.DUMMYFUNCTION("""COMPUTED_VALUE"""),"")</f>
        <v/>
      </c>
      <c r="Y2930" s="2"/>
      <c r="Z2930" s="2" t="str">
        <f>IFERROR(__xludf.DUMMYFUNCTION("""COMPUTED_VALUE"""),"")</f>
        <v/>
      </c>
    </row>
    <row r="2931">
      <c r="A2931" s="1" t="str">
        <f>IFERROR(__xludf.DUMMYFUNCTION("""COMPUTED_VALUE"""),"")</f>
        <v/>
      </c>
      <c r="B2931" s="1"/>
      <c r="C2931" s="2"/>
      <c r="D2931" s="2"/>
      <c r="E2931" s="1"/>
      <c r="F2931" s="1"/>
      <c r="G2931" s="4" t="str">
        <f>IFERROR(__xludf.DUMMYFUNCTION("""COMPUTED_VALUE"""),"")</f>
        <v/>
      </c>
      <c r="H2931" s="4" t="str">
        <f>IFERROR(__xludf.DUMMYFUNCTION("""COMPUTED_VALUE"""),"")</f>
        <v/>
      </c>
      <c r="I2931" s="4" t="str">
        <f>IFERROR(__xludf.DUMMYFUNCTION("""COMPUTED_VALUE"""),"")</f>
        <v/>
      </c>
      <c r="J2931" s="4" t="str">
        <f>IFERROR(__xludf.DUMMYFUNCTION("""COMPUTED_VALUE"""),"")</f>
        <v/>
      </c>
      <c r="K2931" s="4" t="str">
        <f>IFERROR(__xludf.DUMMYFUNCTION("""COMPUTED_VALUE"""),"")</f>
        <v/>
      </c>
      <c r="L2931" s="4" t="str">
        <f>IFERROR(__xludf.DUMMYFUNCTION("""COMPUTED_VALUE"""),"")</f>
        <v/>
      </c>
      <c r="M2931" s="1" t="str">
        <f>IFERROR(__xludf.DUMMYFUNCTION("""COMPUTED_VALUE"""),"RFID")</f>
        <v>RFID</v>
      </c>
      <c r="N2931" s="5" t="str">
        <f>IFERROR(__xludf.DUMMYFUNCTION("""COMPUTED_VALUE"""),"")</f>
        <v/>
      </c>
      <c r="O2931" s="5" t="str">
        <f>IFERROR(__xludf.DUMMYFUNCTION("""COMPUTED_VALUE"""),"")</f>
        <v/>
      </c>
      <c r="P2931" s="5" t="str">
        <f>IFERROR(__xludf.DUMMYFUNCTION("""COMPUTED_VALUE"""),"")</f>
        <v/>
      </c>
      <c r="Q2931" s="5" t="str">
        <f>IFERROR(__xludf.DUMMYFUNCTION("""COMPUTED_VALUE"""),"")</f>
        <v/>
      </c>
      <c r="R2931" s="4" t="str">
        <f>IFERROR(__xludf.DUMMYFUNCTION("""COMPUTED_VALUE"""),"")</f>
        <v/>
      </c>
      <c r="S2931" s="1" t="b">
        <f>IFERROR(__xludf.DUMMYFUNCTION("""COMPUTED_VALUE"""),FALSE)</f>
        <v>0</v>
      </c>
      <c r="T2931" s="1" t="b">
        <f>IFERROR(__xludf.DUMMYFUNCTION("""COMPUTED_VALUE"""),FALSE)</f>
        <v>0</v>
      </c>
      <c r="U2931" s="1" t="str">
        <f>IFERROR(__xludf.DUMMYFUNCTION("""COMPUTED_VALUE"""),"")</f>
        <v/>
      </c>
      <c r="V2931" s="1" t="str">
        <f>IFERROR(__xludf.DUMMYFUNCTION("""COMPUTED_VALUE"""),"")</f>
        <v/>
      </c>
      <c r="W2931" s="1" t="str">
        <f>IFERROR(__xludf.DUMMYFUNCTION("""COMPUTED_VALUE"""),"")</f>
        <v/>
      </c>
      <c r="X2931" s="1" t="str">
        <f>IFERROR(__xludf.DUMMYFUNCTION("""COMPUTED_VALUE"""),"")</f>
        <v/>
      </c>
      <c r="Y2931" s="2"/>
      <c r="Z2931" s="2" t="str">
        <f>IFERROR(__xludf.DUMMYFUNCTION("""COMPUTED_VALUE"""),"")</f>
        <v/>
      </c>
    </row>
    <row r="2932">
      <c r="A2932" s="1" t="str">
        <f>IFERROR(__xludf.DUMMYFUNCTION("""COMPUTED_VALUE"""),"")</f>
        <v/>
      </c>
      <c r="B2932" s="1"/>
      <c r="C2932" s="2"/>
      <c r="D2932" s="2"/>
      <c r="E2932" s="1"/>
      <c r="F2932" s="1"/>
      <c r="G2932" s="4" t="str">
        <f>IFERROR(__xludf.DUMMYFUNCTION("""COMPUTED_VALUE"""),"")</f>
        <v/>
      </c>
      <c r="H2932" s="4" t="str">
        <f>IFERROR(__xludf.DUMMYFUNCTION("""COMPUTED_VALUE"""),"")</f>
        <v/>
      </c>
      <c r="I2932" s="4" t="str">
        <f>IFERROR(__xludf.DUMMYFUNCTION("""COMPUTED_VALUE"""),"")</f>
        <v/>
      </c>
      <c r="J2932" s="4" t="str">
        <f>IFERROR(__xludf.DUMMYFUNCTION("""COMPUTED_VALUE"""),"")</f>
        <v/>
      </c>
      <c r="K2932" s="4" t="str">
        <f>IFERROR(__xludf.DUMMYFUNCTION("""COMPUTED_VALUE"""),"")</f>
        <v/>
      </c>
      <c r="L2932" s="4" t="str">
        <f>IFERROR(__xludf.DUMMYFUNCTION("""COMPUTED_VALUE"""),"")</f>
        <v/>
      </c>
      <c r="M2932" s="1" t="str">
        <f>IFERROR(__xludf.DUMMYFUNCTION("""COMPUTED_VALUE"""),"RFID")</f>
        <v>RFID</v>
      </c>
      <c r="N2932" s="5" t="str">
        <f>IFERROR(__xludf.DUMMYFUNCTION("""COMPUTED_VALUE"""),"")</f>
        <v/>
      </c>
      <c r="O2932" s="5" t="str">
        <f>IFERROR(__xludf.DUMMYFUNCTION("""COMPUTED_VALUE"""),"")</f>
        <v/>
      </c>
      <c r="P2932" s="5" t="str">
        <f>IFERROR(__xludf.DUMMYFUNCTION("""COMPUTED_VALUE"""),"")</f>
        <v/>
      </c>
      <c r="Q2932" s="5" t="str">
        <f>IFERROR(__xludf.DUMMYFUNCTION("""COMPUTED_VALUE"""),"")</f>
        <v/>
      </c>
      <c r="R2932" s="4" t="str">
        <f>IFERROR(__xludf.DUMMYFUNCTION("""COMPUTED_VALUE"""),"")</f>
        <v/>
      </c>
      <c r="S2932" s="1" t="b">
        <f>IFERROR(__xludf.DUMMYFUNCTION("""COMPUTED_VALUE"""),FALSE)</f>
        <v>0</v>
      </c>
      <c r="T2932" s="1" t="b">
        <f>IFERROR(__xludf.DUMMYFUNCTION("""COMPUTED_VALUE"""),FALSE)</f>
        <v>0</v>
      </c>
      <c r="U2932" s="1" t="str">
        <f>IFERROR(__xludf.DUMMYFUNCTION("""COMPUTED_VALUE"""),"")</f>
        <v/>
      </c>
      <c r="V2932" s="1" t="str">
        <f>IFERROR(__xludf.DUMMYFUNCTION("""COMPUTED_VALUE"""),"")</f>
        <v/>
      </c>
      <c r="W2932" s="1" t="str">
        <f>IFERROR(__xludf.DUMMYFUNCTION("""COMPUTED_VALUE"""),"")</f>
        <v/>
      </c>
      <c r="X2932" s="1" t="str">
        <f>IFERROR(__xludf.DUMMYFUNCTION("""COMPUTED_VALUE"""),"")</f>
        <v/>
      </c>
      <c r="Y2932" s="2"/>
      <c r="Z2932" s="2" t="str">
        <f>IFERROR(__xludf.DUMMYFUNCTION("""COMPUTED_VALUE"""),"")</f>
        <v/>
      </c>
    </row>
    <row r="2933">
      <c r="A2933" s="1" t="str">
        <f>IFERROR(__xludf.DUMMYFUNCTION("""COMPUTED_VALUE"""),"")</f>
        <v/>
      </c>
      <c r="B2933" s="1"/>
      <c r="C2933" s="2"/>
      <c r="D2933" s="2"/>
      <c r="E2933" s="1"/>
      <c r="F2933" s="1"/>
      <c r="G2933" s="4" t="str">
        <f>IFERROR(__xludf.DUMMYFUNCTION("""COMPUTED_VALUE"""),"")</f>
        <v/>
      </c>
      <c r="H2933" s="4" t="str">
        <f>IFERROR(__xludf.DUMMYFUNCTION("""COMPUTED_VALUE"""),"")</f>
        <v/>
      </c>
      <c r="I2933" s="4" t="str">
        <f>IFERROR(__xludf.DUMMYFUNCTION("""COMPUTED_VALUE"""),"")</f>
        <v/>
      </c>
      <c r="J2933" s="4" t="str">
        <f>IFERROR(__xludf.DUMMYFUNCTION("""COMPUTED_VALUE"""),"")</f>
        <v/>
      </c>
      <c r="K2933" s="4" t="str">
        <f>IFERROR(__xludf.DUMMYFUNCTION("""COMPUTED_VALUE"""),"")</f>
        <v/>
      </c>
      <c r="L2933" s="4" t="str">
        <f>IFERROR(__xludf.DUMMYFUNCTION("""COMPUTED_VALUE"""),"")</f>
        <v/>
      </c>
      <c r="M2933" s="1" t="str">
        <f>IFERROR(__xludf.DUMMYFUNCTION("""COMPUTED_VALUE"""),"RFID")</f>
        <v>RFID</v>
      </c>
      <c r="N2933" s="5" t="str">
        <f>IFERROR(__xludf.DUMMYFUNCTION("""COMPUTED_VALUE"""),"")</f>
        <v/>
      </c>
      <c r="O2933" s="5" t="str">
        <f>IFERROR(__xludf.DUMMYFUNCTION("""COMPUTED_VALUE"""),"")</f>
        <v/>
      </c>
      <c r="P2933" s="5" t="str">
        <f>IFERROR(__xludf.DUMMYFUNCTION("""COMPUTED_VALUE"""),"")</f>
        <v/>
      </c>
      <c r="Q2933" s="5" t="str">
        <f>IFERROR(__xludf.DUMMYFUNCTION("""COMPUTED_VALUE"""),"")</f>
        <v/>
      </c>
      <c r="R2933" s="4" t="str">
        <f>IFERROR(__xludf.DUMMYFUNCTION("""COMPUTED_VALUE"""),"")</f>
        <v/>
      </c>
      <c r="S2933" s="1" t="b">
        <f>IFERROR(__xludf.DUMMYFUNCTION("""COMPUTED_VALUE"""),FALSE)</f>
        <v>0</v>
      </c>
      <c r="T2933" s="1" t="b">
        <f>IFERROR(__xludf.DUMMYFUNCTION("""COMPUTED_VALUE"""),FALSE)</f>
        <v>0</v>
      </c>
      <c r="U2933" s="1" t="str">
        <f>IFERROR(__xludf.DUMMYFUNCTION("""COMPUTED_VALUE"""),"")</f>
        <v/>
      </c>
      <c r="V2933" s="1" t="str">
        <f>IFERROR(__xludf.DUMMYFUNCTION("""COMPUTED_VALUE"""),"")</f>
        <v/>
      </c>
      <c r="W2933" s="1" t="str">
        <f>IFERROR(__xludf.DUMMYFUNCTION("""COMPUTED_VALUE"""),"")</f>
        <v/>
      </c>
      <c r="X2933" s="1" t="str">
        <f>IFERROR(__xludf.DUMMYFUNCTION("""COMPUTED_VALUE"""),"")</f>
        <v/>
      </c>
      <c r="Y2933" s="2"/>
      <c r="Z2933" s="2" t="str">
        <f>IFERROR(__xludf.DUMMYFUNCTION("""COMPUTED_VALUE"""),"")</f>
        <v/>
      </c>
    </row>
    <row r="2934">
      <c r="A2934" s="1" t="str">
        <f>IFERROR(__xludf.DUMMYFUNCTION("""COMPUTED_VALUE"""),"")</f>
        <v/>
      </c>
      <c r="B2934" s="1"/>
      <c r="C2934" s="2"/>
      <c r="D2934" s="2"/>
      <c r="E2934" s="1"/>
      <c r="F2934" s="1"/>
      <c r="G2934" s="4" t="str">
        <f>IFERROR(__xludf.DUMMYFUNCTION("""COMPUTED_VALUE"""),"")</f>
        <v/>
      </c>
      <c r="H2934" s="4" t="str">
        <f>IFERROR(__xludf.DUMMYFUNCTION("""COMPUTED_VALUE"""),"")</f>
        <v/>
      </c>
      <c r="I2934" s="4" t="str">
        <f>IFERROR(__xludf.DUMMYFUNCTION("""COMPUTED_VALUE"""),"")</f>
        <v/>
      </c>
      <c r="J2934" s="4" t="str">
        <f>IFERROR(__xludf.DUMMYFUNCTION("""COMPUTED_VALUE"""),"")</f>
        <v/>
      </c>
      <c r="K2934" s="4" t="str">
        <f>IFERROR(__xludf.DUMMYFUNCTION("""COMPUTED_VALUE"""),"")</f>
        <v/>
      </c>
      <c r="L2934" s="4" t="str">
        <f>IFERROR(__xludf.DUMMYFUNCTION("""COMPUTED_VALUE"""),"")</f>
        <v/>
      </c>
      <c r="M2934" s="1" t="str">
        <f>IFERROR(__xludf.DUMMYFUNCTION("""COMPUTED_VALUE"""),"RFID")</f>
        <v>RFID</v>
      </c>
      <c r="N2934" s="5" t="str">
        <f>IFERROR(__xludf.DUMMYFUNCTION("""COMPUTED_VALUE"""),"")</f>
        <v/>
      </c>
      <c r="O2934" s="5" t="str">
        <f>IFERROR(__xludf.DUMMYFUNCTION("""COMPUTED_VALUE"""),"")</f>
        <v/>
      </c>
      <c r="P2934" s="5" t="str">
        <f>IFERROR(__xludf.DUMMYFUNCTION("""COMPUTED_VALUE"""),"")</f>
        <v/>
      </c>
      <c r="Q2934" s="5" t="str">
        <f>IFERROR(__xludf.DUMMYFUNCTION("""COMPUTED_VALUE"""),"")</f>
        <v/>
      </c>
      <c r="R2934" s="4" t="str">
        <f>IFERROR(__xludf.DUMMYFUNCTION("""COMPUTED_VALUE"""),"")</f>
        <v/>
      </c>
      <c r="S2934" s="1" t="b">
        <f>IFERROR(__xludf.DUMMYFUNCTION("""COMPUTED_VALUE"""),FALSE)</f>
        <v>0</v>
      </c>
      <c r="T2934" s="1" t="b">
        <f>IFERROR(__xludf.DUMMYFUNCTION("""COMPUTED_VALUE"""),FALSE)</f>
        <v>0</v>
      </c>
      <c r="U2934" s="1" t="str">
        <f>IFERROR(__xludf.DUMMYFUNCTION("""COMPUTED_VALUE"""),"")</f>
        <v/>
      </c>
      <c r="V2934" s="1" t="str">
        <f>IFERROR(__xludf.DUMMYFUNCTION("""COMPUTED_VALUE"""),"")</f>
        <v/>
      </c>
      <c r="W2934" s="1" t="str">
        <f>IFERROR(__xludf.DUMMYFUNCTION("""COMPUTED_VALUE"""),"")</f>
        <v/>
      </c>
      <c r="X2934" s="1" t="str">
        <f>IFERROR(__xludf.DUMMYFUNCTION("""COMPUTED_VALUE"""),"")</f>
        <v/>
      </c>
      <c r="Y2934" s="2"/>
      <c r="Z2934" s="2" t="str">
        <f>IFERROR(__xludf.DUMMYFUNCTION("""COMPUTED_VALUE"""),"")</f>
        <v/>
      </c>
    </row>
    <row r="2935">
      <c r="A2935" s="1" t="str">
        <f>IFERROR(__xludf.DUMMYFUNCTION("""COMPUTED_VALUE"""),"")</f>
        <v/>
      </c>
      <c r="B2935" s="1"/>
      <c r="C2935" s="2"/>
      <c r="D2935" s="2"/>
      <c r="E2935" s="1"/>
      <c r="F2935" s="1"/>
      <c r="G2935" s="4" t="str">
        <f>IFERROR(__xludf.DUMMYFUNCTION("""COMPUTED_VALUE"""),"")</f>
        <v/>
      </c>
      <c r="H2935" s="4" t="str">
        <f>IFERROR(__xludf.DUMMYFUNCTION("""COMPUTED_VALUE"""),"")</f>
        <v/>
      </c>
      <c r="I2935" s="4" t="str">
        <f>IFERROR(__xludf.DUMMYFUNCTION("""COMPUTED_VALUE"""),"")</f>
        <v/>
      </c>
      <c r="J2935" s="4" t="str">
        <f>IFERROR(__xludf.DUMMYFUNCTION("""COMPUTED_VALUE"""),"")</f>
        <v/>
      </c>
      <c r="K2935" s="4" t="str">
        <f>IFERROR(__xludf.DUMMYFUNCTION("""COMPUTED_VALUE"""),"")</f>
        <v/>
      </c>
      <c r="L2935" s="4" t="str">
        <f>IFERROR(__xludf.DUMMYFUNCTION("""COMPUTED_VALUE"""),"")</f>
        <v/>
      </c>
      <c r="M2935" s="1" t="str">
        <f>IFERROR(__xludf.DUMMYFUNCTION("""COMPUTED_VALUE"""),"RFID")</f>
        <v>RFID</v>
      </c>
      <c r="N2935" s="5" t="str">
        <f>IFERROR(__xludf.DUMMYFUNCTION("""COMPUTED_VALUE"""),"")</f>
        <v/>
      </c>
      <c r="O2935" s="5" t="str">
        <f>IFERROR(__xludf.DUMMYFUNCTION("""COMPUTED_VALUE"""),"")</f>
        <v/>
      </c>
      <c r="P2935" s="5" t="str">
        <f>IFERROR(__xludf.DUMMYFUNCTION("""COMPUTED_VALUE"""),"")</f>
        <v/>
      </c>
      <c r="Q2935" s="5" t="str">
        <f>IFERROR(__xludf.DUMMYFUNCTION("""COMPUTED_VALUE"""),"")</f>
        <v/>
      </c>
      <c r="R2935" s="4" t="str">
        <f>IFERROR(__xludf.DUMMYFUNCTION("""COMPUTED_VALUE"""),"")</f>
        <v/>
      </c>
      <c r="S2935" s="1" t="b">
        <f>IFERROR(__xludf.DUMMYFUNCTION("""COMPUTED_VALUE"""),FALSE)</f>
        <v>0</v>
      </c>
      <c r="T2935" s="1" t="b">
        <f>IFERROR(__xludf.DUMMYFUNCTION("""COMPUTED_VALUE"""),FALSE)</f>
        <v>0</v>
      </c>
      <c r="U2935" s="1" t="str">
        <f>IFERROR(__xludf.DUMMYFUNCTION("""COMPUTED_VALUE"""),"")</f>
        <v/>
      </c>
      <c r="V2935" s="1" t="str">
        <f>IFERROR(__xludf.DUMMYFUNCTION("""COMPUTED_VALUE"""),"")</f>
        <v/>
      </c>
      <c r="W2935" s="1" t="str">
        <f>IFERROR(__xludf.DUMMYFUNCTION("""COMPUTED_VALUE"""),"")</f>
        <v/>
      </c>
      <c r="X2935" s="1" t="str">
        <f>IFERROR(__xludf.DUMMYFUNCTION("""COMPUTED_VALUE"""),"")</f>
        <v/>
      </c>
      <c r="Y2935" s="2"/>
      <c r="Z2935" s="2" t="str">
        <f>IFERROR(__xludf.DUMMYFUNCTION("""COMPUTED_VALUE"""),"")</f>
        <v/>
      </c>
    </row>
    <row r="2936">
      <c r="A2936" s="1" t="str">
        <f>IFERROR(__xludf.DUMMYFUNCTION("""COMPUTED_VALUE"""),"")</f>
        <v/>
      </c>
      <c r="B2936" s="1"/>
      <c r="C2936" s="2"/>
      <c r="D2936" s="2"/>
      <c r="E2936" s="1"/>
      <c r="F2936" s="1"/>
      <c r="G2936" s="4" t="str">
        <f>IFERROR(__xludf.DUMMYFUNCTION("""COMPUTED_VALUE"""),"")</f>
        <v/>
      </c>
      <c r="H2936" s="4" t="str">
        <f>IFERROR(__xludf.DUMMYFUNCTION("""COMPUTED_VALUE"""),"")</f>
        <v/>
      </c>
      <c r="I2936" s="4" t="str">
        <f>IFERROR(__xludf.DUMMYFUNCTION("""COMPUTED_VALUE"""),"")</f>
        <v/>
      </c>
      <c r="J2936" s="4" t="str">
        <f>IFERROR(__xludf.DUMMYFUNCTION("""COMPUTED_VALUE"""),"")</f>
        <v/>
      </c>
      <c r="K2936" s="4" t="str">
        <f>IFERROR(__xludf.DUMMYFUNCTION("""COMPUTED_VALUE"""),"")</f>
        <v/>
      </c>
      <c r="L2936" s="4" t="str">
        <f>IFERROR(__xludf.DUMMYFUNCTION("""COMPUTED_VALUE"""),"")</f>
        <v/>
      </c>
      <c r="M2936" s="1" t="str">
        <f>IFERROR(__xludf.DUMMYFUNCTION("""COMPUTED_VALUE"""),"RFID")</f>
        <v>RFID</v>
      </c>
      <c r="N2936" s="5" t="str">
        <f>IFERROR(__xludf.DUMMYFUNCTION("""COMPUTED_VALUE"""),"")</f>
        <v/>
      </c>
      <c r="O2936" s="5" t="str">
        <f>IFERROR(__xludf.DUMMYFUNCTION("""COMPUTED_VALUE"""),"")</f>
        <v/>
      </c>
      <c r="P2936" s="5" t="str">
        <f>IFERROR(__xludf.DUMMYFUNCTION("""COMPUTED_VALUE"""),"")</f>
        <v/>
      </c>
      <c r="Q2936" s="5" t="str">
        <f>IFERROR(__xludf.DUMMYFUNCTION("""COMPUTED_VALUE"""),"")</f>
        <v/>
      </c>
      <c r="R2936" s="4" t="str">
        <f>IFERROR(__xludf.DUMMYFUNCTION("""COMPUTED_VALUE"""),"")</f>
        <v/>
      </c>
      <c r="S2936" s="1" t="b">
        <f>IFERROR(__xludf.DUMMYFUNCTION("""COMPUTED_VALUE"""),FALSE)</f>
        <v>0</v>
      </c>
      <c r="T2936" s="1" t="b">
        <f>IFERROR(__xludf.DUMMYFUNCTION("""COMPUTED_VALUE"""),FALSE)</f>
        <v>0</v>
      </c>
      <c r="U2936" s="1" t="str">
        <f>IFERROR(__xludf.DUMMYFUNCTION("""COMPUTED_VALUE"""),"")</f>
        <v/>
      </c>
      <c r="V2936" s="1" t="str">
        <f>IFERROR(__xludf.DUMMYFUNCTION("""COMPUTED_VALUE"""),"")</f>
        <v/>
      </c>
      <c r="W2936" s="1" t="str">
        <f>IFERROR(__xludf.DUMMYFUNCTION("""COMPUTED_VALUE"""),"")</f>
        <v/>
      </c>
      <c r="X2936" s="1" t="str">
        <f>IFERROR(__xludf.DUMMYFUNCTION("""COMPUTED_VALUE"""),"")</f>
        <v/>
      </c>
      <c r="Y2936" s="2"/>
      <c r="Z2936" s="2" t="str">
        <f>IFERROR(__xludf.DUMMYFUNCTION("""COMPUTED_VALUE"""),"")</f>
        <v/>
      </c>
    </row>
    <row r="2937">
      <c r="A2937" s="1" t="str">
        <f>IFERROR(__xludf.DUMMYFUNCTION("""COMPUTED_VALUE"""),"")</f>
        <v/>
      </c>
      <c r="B2937" s="1"/>
      <c r="C2937" s="2"/>
      <c r="D2937" s="2"/>
      <c r="E2937" s="1"/>
      <c r="F2937" s="1"/>
      <c r="G2937" s="4" t="str">
        <f>IFERROR(__xludf.DUMMYFUNCTION("""COMPUTED_VALUE"""),"")</f>
        <v/>
      </c>
      <c r="H2937" s="4" t="str">
        <f>IFERROR(__xludf.DUMMYFUNCTION("""COMPUTED_VALUE"""),"")</f>
        <v/>
      </c>
      <c r="I2937" s="4" t="str">
        <f>IFERROR(__xludf.DUMMYFUNCTION("""COMPUTED_VALUE"""),"")</f>
        <v/>
      </c>
      <c r="J2937" s="4" t="str">
        <f>IFERROR(__xludf.DUMMYFUNCTION("""COMPUTED_VALUE"""),"")</f>
        <v/>
      </c>
      <c r="K2937" s="4" t="str">
        <f>IFERROR(__xludf.DUMMYFUNCTION("""COMPUTED_VALUE"""),"")</f>
        <v/>
      </c>
      <c r="L2937" s="4" t="str">
        <f>IFERROR(__xludf.DUMMYFUNCTION("""COMPUTED_VALUE"""),"")</f>
        <v/>
      </c>
      <c r="M2937" s="1" t="str">
        <f>IFERROR(__xludf.DUMMYFUNCTION("""COMPUTED_VALUE"""),"RFID")</f>
        <v>RFID</v>
      </c>
      <c r="N2937" s="5" t="str">
        <f>IFERROR(__xludf.DUMMYFUNCTION("""COMPUTED_VALUE"""),"")</f>
        <v/>
      </c>
      <c r="O2937" s="5" t="str">
        <f>IFERROR(__xludf.DUMMYFUNCTION("""COMPUTED_VALUE"""),"")</f>
        <v/>
      </c>
      <c r="P2937" s="5" t="str">
        <f>IFERROR(__xludf.DUMMYFUNCTION("""COMPUTED_VALUE"""),"")</f>
        <v/>
      </c>
      <c r="Q2937" s="5" t="str">
        <f>IFERROR(__xludf.DUMMYFUNCTION("""COMPUTED_VALUE"""),"")</f>
        <v/>
      </c>
      <c r="R2937" s="4" t="str">
        <f>IFERROR(__xludf.DUMMYFUNCTION("""COMPUTED_VALUE"""),"")</f>
        <v/>
      </c>
      <c r="S2937" s="1" t="b">
        <f>IFERROR(__xludf.DUMMYFUNCTION("""COMPUTED_VALUE"""),FALSE)</f>
        <v>0</v>
      </c>
      <c r="T2937" s="1" t="b">
        <f>IFERROR(__xludf.DUMMYFUNCTION("""COMPUTED_VALUE"""),FALSE)</f>
        <v>0</v>
      </c>
      <c r="U2937" s="1" t="str">
        <f>IFERROR(__xludf.DUMMYFUNCTION("""COMPUTED_VALUE"""),"")</f>
        <v/>
      </c>
      <c r="V2937" s="1" t="str">
        <f>IFERROR(__xludf.DUMMYFUNCTION("""COMPUTED_VALUE"""),"")</f>
        <v/>
      </c>
      <c r="W2937" s="1" t="str">
        <f>IFERROR(__xludf.DUMMYFUNCTION("""COMPUTED_VALUE"""),"")</f>
        <v/>
      </c>
      <c r="X2937" s="1" t="str">
        <f>IFERROR(__xludf.DUMMYFUNCTION("""COMPUTED_VALUE"""),"")</f>
        <v/>
      </c>
      <c r="Y2937" s="2"/>
      <c r="Z2937" s="2" t="str">
        <f>IFERROR(__xludf.DUMMYFUNCTION("""COMPUTED_VALUE"""),"")</f>
        <v/>
      </c>
    </row>
    <row r="2938">
      <c r="A2938" s="1" t="str">
        <f>IFERROR(__xludf.DUMMYFUNCTION("""COMPUTED_VALUE"""),"")</f>
        <v/>
      </c>
      <c r="B2938" s="1"/>
      <c r="C2938" s="2"/>
      <c r="D2938" s="2"/>
      <c r="E2938" s="1"/>
      <c r="F2938" s="1"/>
      <c r="G2938" s="4" t="str">
        <f>IFERROR(__xludf.DUMMYFUNCTION("""COMPUTED_VALUE"""),"")</f>
        <v/>
      </c>
      <c r="H2938" s="4" t="str">
        <f>IFERROR(__xludf.DUMMYFUNCTION("""COMPUTED_VALUE"""),"")</f>
        <v/>
      </c>
      <c r="I2938" s="4" t="str">
        <f>IFERROR(__xludf.DUMMYFUNCTION("""COMPUTED_VALUE"""),"")</f>
        <v/>
      </c>
      <c r="J2938" s="4" t="str">
        <f>IFERROR(__xludf.DUMMYFUNCTION("""COMPUTED_VALUE"""),"")</f>
        <v/>
      </c>
      <c r="K2938" s="4" t="str">
        <f>IFERROR(__xludf.DUMMYFUNCTION("""COMPUTED_VALUE"""),"")</f>
        <v/>
      </c>
      <c r="L2938" s="4" t="str">
        <f>IFERROR(__xludf.DUMMYFUNCTION("""COMPUTED_VALUE"""),"")</f>
        <v/>
      </c>
      <c r="M2938" s="1" t="str">
        <f>IFERROR(__xludf.DUMMYFUNCTION("""COMPUTED_VALUE"""),"RFID")</f>
        <v>RFID</v>
      </c>
      <c r="N2938" s="5" t="str">
        <f>IFERROR(__xludf.DUMMYFUNCTION("""COMPUTED_VALUE"""),"")</f>
        <v/>
      </c>
      <c r="O2938" s="5" t="str">
        <f>IFERROR(__xludf.DUMMYFUNCTION("""COMPUTED_VALUE"""),"")</f>
        <v/>
      </c>
      <c r="P2938" s="5" t="str">
        <f>IFERROR(__xludf.DUMMYFUNCTION("""COMPUTED_VALUE"""),"")</f>
        <v/>
      </c>
      <c r="Q2938" s="5" t="str">
        <f>IFERROR(__xludf.DUMMYFUNCTION("""COMPUTED_VALUE"""),"")</f>
        <v/>
      </c>
      <c r="R2938" s="4" t="str">
        <f>IFERROR(__xludf.DUMMYFUNCTION("""COMPUTED_VALUE"""),"")</f>
        <v/>
      </c>
      <c r="S2938" s="1" t="b">
        <f>IFERROR(__xludf.DUMMYFUNCTION("""COMPUTED_VALUE"""),FALSE)</f>
        <v>0</v>
      </c>
      <c r="T2938" s="1" t="b">
        <f>IFERROR(__xludf.DUMMYFUNCTION("""COMPUTED_VALUE"""),FALSE)</f>
        <v>0</v>
      </c>
      <c r="U2938" s="1" t="str">
        <f>IFERROR(__xludf.DUMMYFUNCTION("""COMPUTED_VALUE"""),"")</f>
        <v/>
      </c>
      <c r="V2938" s="1" t="str">
        <f>IFERROR(__xludf.DUMMYFUNCTION("""COMPUTED_VALUE"""),"")</f>
        <v/>
      </c>
      <c r="W2938" s="1" t="str">
        <f>IFERROR(__xludf.DUMMYFUNCTION("""COMPUTED_VALUE"""),"")</f>
        <v/>
      </c>
      <c r="X2938" s="1" t="str">
        <f>IFERROR(__xludf.DUMMYFUNCTION("""COMPUTED_VALUE"""),"")</f>
        <v/>
      </c>
      <c r="Y2938" s="2"/>
      <c r="Z2938" s="2" t="str">
        <f>IFERROR(__xludf.DUMMYFUNCTION("""COMPUTED_VALUE"""),"")</f>
        <v/>
      </c>
    </row>
    <row r="2939">
      <c r="A2939" s="1" t="str">
        <f>IFERROR(__xludf.DUMMYFUNCTION("""COMPUTED_VALUE"""),"")</f>
        <v/>
      </c>
      <c r="B2939" s="1"/>
      <c r="C2939" s="2"/>
      <c r="D2939" s="2"/>
      <c r="E2939" s="1"/>
      <c r="F2939" s="1"/>
      <c r="G2939" s="4" t="str">
        <f>IFERROR(__xludf.DUMMYFUNCTION("""COMPUTED_VALUE"""),"")</f>
        <v/>
      </c>
      <c r="H2939" s="4" t="str">
        <f>IFERROR(__xludf.DUMMYFUNCTION("""COMPUTED_VALUE"""),"")</f>
        <v/>
      </c>
      <c r="I2939" s="4" t="str">
        <f>IFERROR(__xludf.DUMMYFUNCTION("""COMPUTED_VALUE"""),"")</f>
        <v/>
      </c>
      <c r="J2939" s="4" t="str">
        <f>IFERROR(__xludf.DUMMYFUNCTION("""COMPUTED_VALUE"""),"")</f>
        <v/>
      </c>
      <c r="K2939" s="4" t="str">
        <f>IFERROR(__xludf.DUMMYFUNCTION("""COMPUTED_VALUE"""),"")</f>
        <v/>
      </c>
      <c r="L2939" s="4" t="str">
        <f>IFERROR(__xludf.DUMMYFUNCTION("""COMPUTED_VALUE"""),"")</f>
        <v/>
      </c>
      <c r="M2939" s="1" t="str">
        <f>IFERROR(__xludf.DUMMYFUNCTION("""COMPUTED_VALUE"""),"RFID")</f>
        <v>RFID</v>
      </c>
      <c r="N2939" s="5" t="str">
        <f>IFERROR(__xludf.DUMMYFUNCTION("""COMPUTED_VALUE"""),"")</f>
        <v/>
      </c>
      <c r="O2939" s="5" t="str">
        <f>IFERROR(__xludf.DUMMYFUNCTION("""COMPUTED_VALUE"""),"")</f>
        <v/>
      </c>
      <c r="P2939" s="5" t="str">
        <f>IFERROR(__xludf.DUMMYFUNCTION("""COMPUTED_VALUE"""),"")</f>
        <v/>
      </c>
      <c r="Q2939" s="5" t="str">
        <f>IFERROR(__xludf.DUMMYFUNCTION("""COMPUTED_VALUE"""),"")</f>
        <v/>
      </c>
      <c r="R2939" s="4" t="str">
        <f>IFERROR(__xludf.DUMMYFUNCTION("""COMPUTED_VALUE"""),"")</f>
        <v/>
      </c>
      <c r="S2939" s="1" t="b">
        <f>IFERROR(__xludf.DUMMYFUNCTION("""COMPUTED_VALUE"""),FALSE)</f>
        <v>0</v>
      </c>
      <c r="T2939" s="1" t="b">
        <f>IFERROR(__xludf.DUMMYFUNCTION("""COMPUTED_VALUE"""),FALSE)</f>
        <v>0</v>
      </c>
      <c r="U2939" s="1" t="str">
        <f>IFERROR(__xludf.DUMMYFUNCTION("""COMPUTED_VALUE"""),"")</f>
        <v/>
      </c>
      <c r="V2939" s="1" t="str">
        <f>IFERROR(__xludf.DUMMYFUNCTION("""COMPUTED_VALUE"""),"")</f>
        <v/>
      </c>
      <c r="W2939" s="1" t="str">
        <f>IFERROR(__xludf.DUMMYFUNCTION("""COMPUTED_VALUE"""),"")</f>
        <v/>
      </c>
      <c r="X2939" s="1" t="str">
        <f>IFERROR(__xludf.DUMMYFUNCTION("""COMPUTED_VALUE"""),"")</f>
        <v/>
      </c>
      <c r="Y2939" s="2"/>
      <c r="Z2939" s="2" t="str">
        <f>IFERROR(__xludf.DUMMYFUNCTION("""COMPUTED_VALUE"""),"")</f>
        <v/>
      </c>
    </row>
    <row r="2940">
      <c r="A2940" s="1" t="str">
        <f>IFERROR(__xludf.DUMMYFUNCTION("""COMPUTED_VALUE"""),"")</f>
        <v/>
      </c>
      <c r="B2940" s="1"/>
      <c r="C2940" s="2"/>
      <c r="D2940" s="2"/>
      <c r="E2940" s="1"/>
      <c r="F2940" s="1"/>
      <c r="G2940" s="4" t="str">
        <f>IFERROR(__xludf.DUMMYFUNCTION("""COMPUTED_VALUE"""),"")</f>
        <v/>
      </c>
      <c r="H2940" s="4" t="str">
        <f>IFERROR(__xludf.DUMMYFUNCTION("""COMPUTED_VALUE"""),"")</f>
        <v/>
      </c>
      <c r="I2940" s="4" t="str">
        <f>IFERROR(__xludf.DUMMYFUNCTION("""COMPUTED_VALUE"""),"")</f>
        <v/>
      </c>
      <c r="J2940" s="4" t="str">
        <f>IFERROR(__xludf.DUMMYFUNCTION("""COMPUTED_VALUE"""),"")</f>
        <v/>
      </c>
      <c r="K2940" s="4" t="str">
        <f>IFERROR(__xludf.DUMMYFUNCTION("""COMPUTED_VALUE"""),"")</f>
        <v/>
      </c>
      <c r="L2940" s="4" t="str">
        <f>IFERROR(__xludf.DUMMYFUNCTION("""COMPUTED_VALUE"""),"")</f>
        <v/>
      </c>
      <c r="M2940" s="1" t="str">
        <f>IFERROR(__xludf.DUMMYFUNCTION("""COMPUTED_VALUE"""),"RFID")</f>
        <v>RFID</v>
      </c>
      <c r="N2940" s="5" t="str">
        <f>IFERROR(__xludf.DUMMYFUNCTION("""COMPUTED_VALUE"""),"")</f>
        <v/>
      </c>
      <c r="O2940" s="5" t="str">
        <f>IFERROR(__xludf.DUMMYFUNCTION("""COMPUTED_VALUE"""),"")</f>
        <v/>
      </c>
      <c r="P2940" s="5" t="str">
        <f>IFERROR(__xludf.DUMMYFUNCTION("""COMPUTED_VALUE"""),"")</f>
        <v/>
      </c>
      <c r="Q2940" s="5" t="str">
        <f>IFERROR(__xludf.DUMMYFUNCTION("""COMPUTED_VALUE"""),"")</f>
        <v/>
      </c>
      <c r="R2940" s="4" t="str">
        <f>IFERROR(__xludf.DUMMYFUNCTION("""COMPUTED_VALUE"""),"")</f>
        <v/>
      </c>
      <c r="S2940" s="1" t="b">
        <f>IFERROR(__xludf.DUMMYFUNCTION("""COMPUTED_VALUE"""),FALSE)</f>
        <v>0</v>
      </c>
      <c r="T2940" s="1" t="b">
        <f>IFERROR(__xludf.DUMMYFUNCTION("""COMPUTED_VALUE"""),FALSE)</f>
        <v>0</v>
      </c>
      <c r="U2940" s="1" t="str">
        <f>IFERROR(__xludf.DUMMYFUNCTION("""COMPUTED_VALUE"""),"")</f>
        <v/>
      </c>
      <c r="V2940" s="1" t="str">
        <f>IFERROR(__xludf.DUMMYFUNCTION("""COMPUTED_VALUE"""),"")</f>
        <v/>
      </c>
      <c r="W2940" s="1" t="str">
        <f>IFERROR(__xludf.DUMMYFUNCTION("""COMPUTED_VALUE"""),"")</f>
        <v/>
      </c>
      <c r="X2940" s="1" t="str">
        <f>IFERROR(__xludf.DUMMYFUNCTION("""COMPUTED_VALUE"""),"")</f>
        <v/>
      </c>
      <c r="Y2940" s="2"/>
      <c r="Z2940" s="2" t="str">
        <f>IFERROR(__xludf.DUMMYFUNCTION("""COMPUTED_VALUE"""),"")</f>
        <v/>
      </c>
    </row>
    <row r="2941">
      <c r="A2941" s="1" t="str">
        <f>IFERROR(__xludf.DUMMYFUNCTION("""COMPUTED_VALUE"""),"")</f>
        <v/>
      </c>
      <c r="B2941" s="1"/>
      <c r="C2941" s="2"/>
      <c r="D2941" s="2"/>
      <c r="E2941" s="1"/>
      <c r="F2941" s="1"/>
      <c r="G2941" s="4" t="str">
        <f>IFERROR(__xludf.DUMMYFUNCTION("""COMPUTED_VALUE"""),"")</f>
        <v/>
      </c>
      <c r="H2941" s="4" t="str">
        <f>IFERROR(__xludf.DUMMYFUNCTION("""COMPUTED_VALUE"""),"")</f>
        <v/>
      </c>
      <c r="I2941" s="4" t="str">
        <f>IFERROR(__xludf.DUMMYFUNCTION("""COMPUTED_VALUE"""),"")</f>
        <v/>
      </c>
      <c r="J2941" s="4" t="str">
        <f>IFERROR(__xludf.DUMMYFUNCTION("""COMPUTED_VALUE"""),"")</f>
        <v/>
      </c>
      <c r="K2941" s="4" t="str">
        <f>IFERROR(__xludf.DUMMYFUNCTION("""COMPUTED_VALUE"""),"")</f>
        <v/>
      </c>
      <c r="L2941" s="4" t="str">
        <f>IFERROR(__xludf.DUMMYFUNCTION("""COMPUTED_VALUE"""),"")</f>
        <v/>
      </c>
      <c r="M2941" s="1" t="str">
        <f>IFERROR(__xludf.DUMMYFUNCTION("""COMPUTED_VALUE"""),"RFID")</f>
        <v>RFID</v>
      </c>
      <c r="N2941" s="5" t="str">
        <f>IFERROR(__xludf.DUMMYFUNCTION("""COMPUTED_VALUE"""),"")</f>
        <v/>
      </c>
      <c r="O2941" s="5" t="str">
        <f>IFERROR(__xludf.DUMMYFUNCTION("""COMPUTED_VALUE"""),"")</f>
        <v/>
      </c>
      <c r="P2941" s="5" t="str">
        <f>IFERROR(__xludf.DUMMYFUNCTION("""COMPUTED_VALUE"""),"")</f>
        <v/>
      </c>
      <c r="Q2941" s="5" t="str">
        <f>IFERROR(__xludf.DUMMYFUNCTION("""COMPUTED_VALUE"""),"")</f>
        <v/>
      </c>
      <c r="R2941" s="4" t="str">
        <f>IFERROR(__xludf.DUMMYFUNCTION("""COMPUTED_VALUE"""),"")</f>
        <v/>
      </c>
      <c r="S2941" s="1" t="b">
        <f>IFERROR(__xludf.DUMMYFUNCTION("""COMPUTED_VALUE"""),FALSE)</f>
        <v>0</v>
      </c>
      <c r="T2941" s="1" t="b">
        <f>IFERROR(__xludf.DUMMYFUNCTION("""COMPUTED_VALUE"""),FALSE)</f>
        <v>0</v>
      </c>
      <c r="U2941" s="1" t="str">
        <f>IFERROR(__xludf.DUMMYFUNCTION("""COMPUTED_VALUE"""),"")</f>
        <v/>
      </c>
      <c r="V2941" s="1" t="str">
        <f>IFERROR(__xludf.DUMMYFUNCTION("""COMPUTED_VALUE"""),"")</f>
        <v/>
      </c>
      <c r="W2941" s="1" t="str">
        <f>IFERROR(__xludf.DUMMYFUNCTION("""COMPUTED_VALUE"""),"")</f>
        <v/>
      </c>
      <c r="X2941" s="1" t="str">
        <f>IFERROR(__xludf.DUMMYFUNCTION("""COMPUTED_VALUE"""),"")</f>
        <v/>
      </c>
      <c r="Y2941" s="2"/>
      <c r="Z2941" s="2" t="str">
        <f>IFERROR(__xludf.DUMMYFUNCTION("""COMPUTED_VALUE"""),"")</f>
        <v/>
      </c>
    </row>
    <row r="2942">
      <c r="A2942" s="1" t="str">
        <f>IFERROR(__xludf.DUMMYFUNCTION("""COMPUTED_VALUE"""),"")</f>
        <v/>
      </c>
      <c r="B2942" s="1"/>
      <c r="C2942" s="2"/>
      <c r="D2942" s="2"/>
      <c r="E2942" s="1"/>
      <c r="F2942" s="1"/>
      <c r="G2942" s="4" t="str">
        <f>IFERROR(__xludf.DUMMYFUNCTION("""COMPUTED_VALUE"""),"")</f>
        <v/>
      </c>
      <c r="H2942" s="4" t="str">
        <f>IFERROR(__xludf.DUMMYFUNCTION("""COMPUTED_VALUE"""),"")</f>
        <v/>
      </c>
      <c r="I2942" s="4" t="str">
        <f>IFERROR(__xludf.DUMMYFUNCTION("""COMPUTED_VALUE"""),"")</f>
        <v/>
      </c>
      <c r="J2942" s="4" t="str">
        <f>IFERROR(__xludf.DUMMYFUNCTION("""COMPUTED_VALUE"""),"")</f>
        <v/>
      </c>
      <c r="K2942" s="4" t="str">
        <f>IFERROR(__xludf.DUMMYFUNCTION("""COMPUTED_VALUE"""),"")</f>
        <v/>
      </c>
      <c r="L2942" s="4" t="str">
        <f>IFERROR(__xludf.DUMMYFUNCTION("""COMPUTED_VALUE"""),"")</f>
        <v/>
      </c>
      <c r="M2942" s="1" t="str">
        <f>IFERROR(__xludf.DUMMYFUNCTION("""COMPUTED_VALUE"""),"RFID")</f>
        <v>RFID</v>
      </c>
      <c r="N2942" s="5" t="str">
        <f>IFERROR(__xludf.DUMMYFUNCTION("""COMPUTED_VALUE"""),"")</f>
        <v/>
      </c>
      <c r="O2942" s="5" t="str">
        <f>IFERROR(__xludf.DUMMYFUNCTION("""COMPUTED_VALUE"""),"")</f>
        <v/>
      </c>
      <c r="P2942" s="5" t="str">
        <f>IFERROR(__xludf.DUMMYFUNCTION("""COMPUTED_VALUE"""),"")</f>
        <v/>
      </c>
      <c r="Q2942" s="5" t="str">
        <f>IFERROR(__xludf.DUMMYFUNCTION("""COMPUTED_VALUE"""),"")</f>
        <v/>
      </c>
      <c r="R2942" s="4" t="str">
        <f>IFERROR(__xludf.DUMMYFUNCTION("""COMPUTED_VALUE"""),"")</f>
        <v/>
      </c>
      <c r="S2942" s="1" t="b">
        <f>IFERROR(__xludf.DUMMYFUNCTION("""COMPUTED_VALUE"""),FALSE)</f>
        <v>0</v>
      </c>
      <c r="T2942" s="1" t="b">
        <f>IFERROR(__xludf.DUMMYFUNCTION("""COMPUTED_VALUE"""),FALSE)</f>
        <v>0</v>
      </c>
      <c r="U2942" s="1" t="str">
        <f>IFERROR(__xludf.DUMMYFUNCTION("""COMPUTED_VALUE"""),"")</f>
        <v/>
      </c>
      <c r="V2942" s="1" t="str">
        <f>IFERROR(__xludf.DUMMYFUNCTION("""COMPUTED_VALUE"""),"")</f>
        <v/>
      </c>
      <c r="W2942" s="1" t="str">
        <f>IFERROR(__xludf.DUMMYFUNCTION("""COMPUTED_VALUE"""),"")</f>
        <v/>
      </c>
      <c r="X2942" s="1" t="str">
        <f>IFERROR(__xludf.DUMMYFUNCTION("""COMPUTED_VALUE"""),"")</f>
        <v/>
      </c>
      <c r="Y2942" s="2"/>
      <c r="Z2942" s="2" t="str">
        <f>IFERROR(__xludf.DUMMYFUNCTION("""COMPUTED_VALUE"""),"")</f>
        <v/>
      </c>
    </row>
    <row r="2943">
      <c r="A2943" s="1" t="str">
        <f>IFERROR(__xludf.DUMMYFUNCTION("""COMPUTED_VALUE"""),"")</f>
        <v/>
      </c>
      <c r="B2943" s="1"/>
      <c r="C2943" s="2"/>
      <c r="D2943" s="2"/>
      <c r="E2943" s="1"/>
      <c r="F2943" s="1"/>
      <c r="G2943" s="4" t="str">
        <f>IFERROR(__xludf.DUMMYFUNCTION("""COMPUTED_VALUE"""),"")</f>
        <v/>
      </c>
      <c r="H2943" s="4" t="str">
        <f>IFERROR(__xludf.DUMMYFUNCTION("""COMPUTED_VALUE"""),"")</f>
        <v/>
      </c>
      <c r="I2943" s="4" t="str">
        <f>IFERROR(__xludf.DUMMYFUNCTION("""COMPUTED_VALUE"""),"")</f>
        <v/>
      </c>
      <c r="J2943" s="4" t="str">
        <f>IFERROR(__xludf.DUMMYFUNCTION("""COMPUTED_VALUE"""),"")</f>
        <v/>
      </c>
      <c r="K2943" s="4" t="str">
        <f>IFERROR(__xludf.DUMMYFUNCTION("""COMPUTED_VALUE"""),"")</f>
        <v/>
      </c>
      <c r="L2943" s="4" t="str">
        <f>IFERROR(__xludf.DUMMYFUNCTION("""COMPUTED_VALUE"""),"")</f>
        <v/>
      </c>
      <c r="M2943" s="1" t="str">
        <f>IFERROR(__xludf.DUMMYFUNCTION("""COMPUTED_VALUE"""),"RFID")</f>
        <v>RFID</v>
      </c>
      <c r="N2943" s="5" t="str">
        <f>IFERROR(__xludf.DUMMYFUNCTION("""COMPUTED_VALUE"""),"")</f>
        <v/>
      </c>
      <c r="O2943" s="5" t="str">
        <f>IFERROR(__xludf.DUMMYFUNCTION("""COMPUTED_VALUE"""),"")</f>
        <v/>
      </c>
      <c r="P2943" s="5" t="str">
        <f>IFERROR(__xludf.DUMMYFUNCTION("""COMPUTED_VALUE"""),"")</f>
        <v/>
      </c>
      <c r="Q2943" s="5" t="str">
        <f>IFERROR(__xludf.DUMMYFUNCTION("""COMPUTED_VALUE"""),"")</f>
        <v/>
      </c>
      <c r="R2943" s="4" t="str">
        <f>IFERROR(__xludf.DUMMYFUNCTION("""COMPUTED_VALUE"""),"")</f>
        <v/>
      </c>
      <c r="S2943" s="1" t="b">
        <f>IFERROR(__xludf.DUMMYFUNCTION("""COMPUTED_VALUE"""),FALSE)</f>
        <v>0</v>
      </c>
      <c r="T2943" s="1" t="b">
        <f>IFERROR(__xludf.DUMMYFUNCTION("""COMPUTED_VALUE"""),FALSE)</f>
        <v>0</v>
      </c>
      <c r="U2943" s="1" t="str">
        <f>IFERROR(__xludf.DUMMYFUNCTION("""COMPUTED_VALUE"""),"")</f>
        <v/>
      </c>
      <c r="V2943" s="1" t="str">
        <f>IFERROR(__xludf.DUMMYFUNCTION("""COMPUTED_VALUE"""),"")</f>
        <v/>
      </c>
      <c r="W2943" s="1" t="str">
        <f>IFERROR(__xludf.DUMMYFUNCTION("""COMPUTED_VALUE"""),"")</f>
        <v/>
      </c>
      <c r="X2943" s="1" t="str">
        <f>IFERROR(__xludf.DUMMYFUNCTION("""COMPUTED_VALUE"""),"")</f>
        <v/>
      </c>
      <c r="Y2943" s="2"/>
      <c r="Z2943" s="2" t="str">
        <f>IFERROR(__xludf.DUMMYFUNCTION("""COMPUTED_VALUE"""),"")</f>
        <v/>
      </c>
    </row>
    <row r="2944">
      <c r="A2944" s="1" t="str">
        <f>IFERROR(__xludf.DUMMYFUNCTION("""COMPUTED_VALUE"""),"")</f>
        <v/>
      </c>
      <c r="B2944" s="1"/>
      <c r="C2944" s="2"/>
      <c r="D2944" s="2"/>
      <c r="E2944" s="1"/>
      <c r="F2944" s="1"/>
      <c r="G2944" s="4" t="str">
        <f>IFERROR(__xludf.DUMMYFUNCTION("""COMPUTED_VALUE"""),"")</f>
        <v/>
      </c>
      <c r="H2944" s="4" t="str">
        <f>IFERROR(__xludf.DUMMYFUNCTION("""COMPUTED_VALUE"""),"")</f>
        <v/>
      </c>
      <c r="I2944" s="4" t="str">
        <f>IFERROR(__xludf.DUMMYFUNCTION("""COMPUTED_VALUE"""),"")</f>
        <v/>
      </c>
      <c r="J2944" s="4" t="str">
        <f>IFERROR(__xludf.DUMMYFUNCTION("""COMPUTED_VALUE"""),"")</f>
        <v/>
      </c>
      <c r="K2944" s="4" t="str">
        <f>IFERROR(__xludf.DUMMYFUNCTION("""COMPUTED_VALUE"""),"")</f>
        <v/>
      </c>
      <c r="L2944" s="4" t="str">
        <f>IFERROR(__xludf.DUMMYFUNCTION("""COMPUTED_VALUE"""),"")</f>
        <v/>
      </c>
      <c r="M2944" s="1" t="str">
        <f>IFERROR(__xludf.DUMMYFUNCTION("""COMPUTED_VALUE"""),"RFID")</f>
        <v>RFID</v>
      </c>
      <c r="N2944" s="5" t="str">
        <f>IFERROR(__xludf.DUMMYFUNCTION("""COMPUTED_VALUE"""),"")</f>
        <v/>
      </c>
      <c r="O2944" s="5" t="str">
        <f>IFERROR(__xludf.DUMMYFUNCTION("""COMPUTED_VALUE"""),"")</f>
        <v/>
      </c>
      <c r="P2944" s="5" t="str">
        <f>IFERROR(__xludf.DUMMYFUNCTION("""COMPUTED_VALUE"""),"")</f>
        <v/>
      </c>
      <c r="Q2944" s="5" t="str">
        <f>IFERROR(__xludf.DUMMYFUNCTION("""COMPUTED_VALUE"""),"")</f>
        <v/>
      </c>
      <c r="R2944" s="4" t="str">
        <f>IFERROR(__xludf.DUMMYFUNCTION("""COMPUTED_VALUE"""),"")</f>
        <v/>
      </c>
      <c r="S2944" s="1" t="b">
        <f>IFERROR(__xludf.DUMMYFUNCTION("""COMPUTED_VALUE"""),FALSE)</f>
        <v>0</v>
      </c>
      <c r="T2944" s="1" t="b">
        <f>IFERROR(__xludf.DUMMYFUNCTION("""COMPUTED_VALUE"""),FALSE)</f>
        <v>0</v>
      </c>
      <c r="U2944" s="1" t="str">
        <f>IFERROR(__xludf.DUMMYFUNCTION("""COMPUTED_VALUE"""),"")</f>
        <v/>
      </c>
      <c r="V2944" s="1" t="str">
        <f>IFERROR(__xludf.DUMMYFUNCTION("""COMPUTED_VALUE"""),"")</f>
        <v/>
      </c>
      <c r="W2944" s="1" t="str">
        <f>IFERROR(__xludf.DUMMYFUNCTION("""COMPUTED_VALUE"""),"")</f>
        <v/>
      </c>
      <c r="X2944" s="1" t="str">
        <f>IFERROR(__xludf.DUMMYFUNCTION("""COMPUTED_VALUE"""),"")</f>
        <v/>
      </c>
      <c r="Y2944" s="2"/>
      <c r="Z2944" s="2" t="str">
        <f>IFERROR(__xludf.DUMMYFUNCTION("""COMPUTED_VALUE"""),"")</f>
        <v/>
      </c>
    </row>
    <row r="2945">
      <c r="A2945" s="1" t="str">
        <f>IFERROR(__xludf.DUMMYFUNCTION("""COMPUTED_VALUE"""),"")</f>
        <v/>
      </c>
      <c r="B2945" s="1"/>
      <c r="C2945" s="2"/>
      <c r="D2945" s="2"/>
      <c r="E2945" s="1"/>
      <c r="F2945" s="1"/>
      <c r="G2945" s="4" t="str">
        <f>IFERROR(__xludf.DUMMYFUNCTION("""COMPUTED_VALUE"""),"")</f>
        <v/>
      </c>
      <c r="H2945" s="4" t="str">
        <f>IFERROR(__xludf.DUMMYFUNCTION("""COMPUTED_VALUE"""),"")</f>
        <v/>
      </c>
      <c r="I2945" s="4" t="str">
        <f>IFERROR(__xludf.DUMMYFUNCTION("""COMPUTED_VALUE"""),"")</f>
        <v/>
      </c>
      <c r="J2945" s="4" t="str">
        <f>IFERROR(__xludf.DUMMYFUNCTION("""COMPUTED_VALUE"""),"")</f>
        <v/>
      </c>
      <c r="K2945" s="4" t="str">
        <f>IFERROR(__xludf.DUMMYFUNCTION("""COMPUTED_VALUE"""),"")</f>
        <v/>
      </c>
      <c r="L2945" s="4" t="str">
        <f>IFERROR(__xludf.DUMMYFUNCTION("""COMPUTED_VALUE"""),"")</f>
        <v/>
      </c>
      <c r="M2945" s="1" t="str">
        <f>IFERROR(__xludf.DUMMYFUNCTION("""COMPUTED_VALUE"""),"RFID")</f>
        <v>RFID</v>
      </c>
      <c r="N2945" s="5" t="str">
        <f>IFERROR(__xludf.DUMMYFUNCTION("""COMPUTED_VALUE"""),"")</f>
        <v/>
      </c>
      <c r="O2945" s="5" t="str">
        <f>IFERROR(__xludf.DUMMYFUNCTION("""COMPUTED_VALUE"""),"")</f>
        <v/>
      </c>
      <c r="P2945" s="5" t="str">
        <f>IFERROR(__xludf.DUMMYFUNCTION("""COMPUTED_VALUE"""),"")</f>
        <v/>
      </c>
      <c r="Q2945" s="5" t="str">
        <f>IFERROR(__xludf.DUMMYFUNCTION("""COMPUTED_VALUE"""),"")</f>
        <v/>
      </c>
      <c r="R2945" s="4" t="str">
        <f>IFERROR(__xludf.DUMMYFUNCTION("""COMPUTED_VALUE"""),"")</f>
        <v/>
      </c>
      <c r="S2945" s="1" t="b">
        <f>IFERROR(__xludf.DUMMYFUNCTION("""COMPUTED_VALUE"""),FALSE)</f>
        <v>0</v>
      </c>
      <c r="T2945" s="1" t="b">
        <f>IFERROR(__xludf.DUMMYFUNCTION("""COMPUTED_VALUE"""),FALSE)</f>
        <v>0</v>
      </c>
      <c r="U2945" s="1" t="str">
        <f>IFERROR(__xludf.DUMMYFUNCTION("""COMPUTED_VALUE"""),"")</f>
        <v/>
      </c>
      <c r="V2945" s="1" t="str">
        <f>IFERROR(__xludf.DUMMYFUNCTION("""COMPUTED_VALUE"""),"")</f>
        <v/>
      </c>
      <c r="W2945" s="1" t="str">
        <f>IFERROR(__xludf.DUMMYFUNCTION("""COMPUTED_VALUE"""),"")</f>
        <v/>
      </c>
      <c r="X2945" s="1" t="str">
        <f>IFERROR(__xludf.DUMMYFUNCTION("""COMPUTED_VALUE"""),"")</f>
        <v/>
      </c>
      <c r="Y2945" s="2"/>
      <c r="Z2945" s="2" t="str">
        <f>IFERROR(__xludf.DUMMYFUNCTION("""COMPUTED_VALUE"""),"")</f>
        <v/>
      </c>
    </row>
    <row r="2946">
      <c r="A2946" s="1" t="str">
        <f>IFERROR(__xludf.DUMMYFUNCTION("""COMPUTED_VALUE"""),"")</f>
        <v/>
      </c>
      <c r="B2946" s="1"/>
      <c r="C2946" s="2"/>
      <c r="D2946" s="2"/>
      <c r="E2946" s="1"/>
      <c r="F2946" s="1"/>
      <c r="G2946" s="4" t="str">
        <f>IFERROR(__xludf.DUMMYFUNCTION("""COMPUTED_VALUE"""),"")</f>
        <v/>
      </c>
      <c r="H2946" s="4" t="str">
        <f>IFERROR(__xludf.DUMMYFUNCTION("""COMPUTED_VALUE"""),"")</f>
        <v/>
      </c>
      <c r="I2946" s="4" t="str">
        <f>IFERROR(__xludf.DUMMYFUNCTION("""COMPUTED_VALUE"""),"")</f>
        <v/>
      </c>
      <c r="J2946" s="4" t="str">
        <f>IFERROR(__xludf.DUMMYFUNCTION("""COMPUTED_VALUE"""),"")</f>
        <v/>
      </c>
      <c r="K2946" s="4" t="str">
        <f>IFERROR(__xludf.DUMMYFUNCTION("""COMPUTED_VALUE"""),"")</f>
        <v/>
      </c>
      <c r="L2946" s="4" t="str">
        <f>IFERROR(__xludf.DUMMYFUNCTION("""COMPUTED_VALUE"""),"")</f>
        <v/>
      </c>
      <c r="M2946" s="1" t="str">
        <f>IFERROR(__xludf.DUMMYFUNCTION("""COMPUTED_VALUE"""),"RFID")</f>
        <v>RFID</v>
      </c>
      <c r="N2946" s="5" t="str">
        <f>IFERROR(__xludf.DUMMYFUNCTION("""COMPUTED_VALUE"""),"")</f>
        <v/>
      </c>
      <c r="O2946" s="5" t="str">
        <f>IFERROR(__xludf.DUMMYFUNCTION("""COMPUTED_VALUE"""),"")</f>
        <v/>
      </c>
      <c r="P2946" s="5" t="str">
        <f>IFERROR(__xludf.DUMMYFUNCTION("""COMPUTED_VALUE"""),"")</f>
        <v/>
      </c>
      <c r="Q2946" s="5" t="str">
        <f>IFERROR(__xludf.DUMMYFUNCTION("""COMPUTED_VALUE"""),"")</f>
        <v/>
      </c>
      <c r="R2946" s="4" t="str">
        <f>IFERROR(__xludf.DUMMYFUNCTION("""COMPUTED_VALUE"""),"")</f>
        <v/>
      </c>
      <c r="S2946" s="1" t="b">
        <f>IFERROR(__xludf.DUMMYFUNCTION("""COMPUTED_VALUE"""),FALSE)</f>
        <v>0</v>
      </c>
      <c r="T2946" s="1" t="b">
        <f>IFERROR(__xludf.DUMMYFUNCTION("""COMPUTED_VALUE"""),FALSE)</f>
        <v>0</v>
      </c>
      <c r="U2946" s="1" t="str">
        <f>IFERROR(__xludf.DUMMYFUNCTION("""COMPUTED_VALUE"""),"")</f>
        <v/>
      </c>
      <c r="V2946" s="1" t="str">
        <f>IFERROR(__xludf.DUMMYFUNCTION("""COMPUTED_VALUE"""),"")</f>
        <v/>
      </c>
      <c r="W2946" s="1" t="str">
        <f>IFERROR(__xludf.DUMMYFUNCTION("""COMPUTED_VALUE"""),"")</f>
        <v/>
      </c>
      <c r="X2946" s="1" t="str">
        <f>IFERROR(__xludf.DUMMYFUNCTION("""COMPUTED_VALUE"""),"")</f>
        <v/>
      </c>
      <c r="Y2946" s="2"/>
      <c r="Z2946" s="2" t="str">
        <f>IFERROR(__xludf.DUMMYFUNCTION("""COMPUTED_VALUE"""),"")</f>
        <v/>
      </c>
    </row>
    <row r="2947">
      <c r="A2947" s="1" t="str">
        <f>IFERROR(__xludf.DUMMYFUNCTION("""COMPUTED_VALUE"""),"")</f>
        <v/>
      </c>
      <c r="B2947" s="1"/>
      <c r="C2947" s="2"/>
      <c r="D2947" s="2"/>
      <c r="E2947" s="1"/>
      <c r="F2947" s="1"/>
      <c r="G2947" s="4" t="str">
        <f>IFERROR(__xludf.DUMMYFUNCTION("""COMPUTED_VALUE"""),"")</f>
        <v/>
      </c>
      <c r="H2947" s="4" t="str">
        <f>IFERROR(__xludf.DUMMYFUNCTION("""COMPUTED_VALUE"""),"")</f>
        <v/>
      </c>
      <c r="I2947" s="4" t="str">
        <f>IFERROR(__xludf.DUMMYFUNCTION("""COMPUTED_VALUE"""),"")</f>
        <v/>
      </c>
      <c r="J2947" s="4" t="str">
        <f>IFERROR(__xludf.DUMMYFUNCTION("""COMPUTED_VALUE"""),"")</f>
        <v/>
      </c>
      <c r="K2947" s="4" t="str">
        <f>IFERROR(__xludf.DUMMYFUNCTION("""COMPUTED_VALUE"""),"")</f>
        <v/>
      </c>
      <c r="L2947" s="4" t="str">
        <f>IFERROR(__xludf.DUMMYFUNCTION("""COMPUTED_VALUE"""),"")</f>
        <v/>
      </c>
      <c r="M2947" s="1" t="str">
        <f>IFERROR(__xludf.DUMMYFUNCTION("""COMPUTED_VALUE"""),"RFID")</f>
        <v>RFID</v>
      </c>
      <c r="N2947" s="5" t="str">
        <f>IFERROR(__xludf.DUMMYFUNCTION("""COMPUTED_VALUE"""),"")</f>
        <v/>
      </c>
      <c r="O2947" s="5" t="str">
        <f>IFERROR(__xludf.DUMMYFUNCTION("""COMPUTED_VALUE"""),"")</f>
        <v/>
      </c>
      <c r="P2947" s="5" t="str">
        <f>IFERROR(__xludf.DUMMYFUNCTION("""COMPUTED_VALUE"""),"")</f>
        <v/>
      </c>
      <c r="Q2947" s="5" t="str">
        <f>IFERROR(__xludf.DUMMYFUNCTION("""COMPUTED_VALUE"""),"")</f>
        <v/>
      </c>
      <c r="R2947" s="4" t="str">
        <f>IFERROR(__xludf.DUMMYFUNCTION("""COMPUTED_VALUE"""),"")</f>
        <v/>
      </c>
      <c r="S2947" s="1" t="b">
        <f>IFERROR(__xludf.DUMMYFUNCTION("""COMPUTED_VALUE"""),FALSE)</f>
        <v>0</v>
      </c>
      <c r="T2947" s="1" t="b">
        <f>IFERROR(__xludf.DUMMYFUNCTION("""COMPUTED_VALUE"""),FALSE)</f>
        <v>0</v>
      </c>
      <c r="U2947" s="1" t="str">
        <f>IFERROR(__xludf.DUMMYFUNCTION("""COMPUTED_VALUE"""),"")</f>
        <v/>
      </c>
      <c r="V2947" s="1" t="str">
        <f>IFERROR(__xludf.DUMMYFUNCTION("""COMPUTED_VALUE"""),"")</f>
        <v/>
      </c>
      <c r="W2947" s="1" t="str">
        <f>IFERROR(__xludf.DUMMYFUNCTION("""COMPUTED_VALUE"""),"")</f>
        <v/>
      </c>
      <c r="X2947" s="1" t="str">
        <f>IFERROR(__xludf.DUMMYFUNCTION("""COMPUTED_VALUE"""),"")</f>
        <v/>
      </c>
      <c r="Y2947" s="2"/>
      <c r="Z2947" s="2" t="str">
        <f>IFERROR(__xludf.DUMMYFUNCTION("""COMPUTED_VALUE"""),"")</f>
        <v/>
      </c>
    </row>
    <row r="2948">
      <c r="A2948" s="1" t="str">
        <f>IFERROR(__xludf.DUMMYFUNCTION("""COMPUTED_VALUE"""),"")</f>
        <v/>
      </c>
      <c r="B2948" s="1"/>
      <c r="C2948" s="2"/>
      <c r="D2948" s="2"/>
      <c r="E2948" s="1"/>
      <c r="F2948" s="1"/>
      <c r="G2948" s="4" t="str">
        <f>IFERROR(__xludf.DUMMYFUNCTION("""COMPUTED_VALUE"""),"")</f>
        <v/>
      </c>
      <c r="H2948" s="4" t="str">
        <f>IFERROR(__xludf.DUMMYFUNCTION("""COMPUTED_VALUE"""),"")</f>
        <v/>
      </c>
      <c r="I2948" s="4" t="str">
        <f>IFERROR(__xludf.DUMMYFUNCTION("""COMPUTED_VALUE"""),"")</f>
        <v/>
      </c>
      <c r="J2948" s="4" t="str">
        <f>IFERROR(__xludf.DUMMYFUNCTION("""COMPUTED_VALUE"""),"")</f>
        <v/>
      </c>
      <c r="K2948" s="4" t="str">
        <f>IFERROR(__xludf.DUMMYFUNCTION("""COMPUTED_VALUE"""),"")</f>
        <v/>
      </c>
      <c r="L2948" s="4" t="str">
        <f>IFERROR(__xludf.DUMMYFUNCTION("""COMPUTED_VALUE"""),"")</f>
        <v/>
      </c>
      <c r="M2948" s="1" t="str">
        <f>IFERROR(__xludf.DUMMYFUNCTION("""COMPUTED_VALUE"""),"RFID")</f>
        <v>RFID</v>
      </c>
      <c r="N2948" s="5" t="str">
        <f>IFERROR(__xludf.DUMMYFUNCTION("""COMPUTED_VALUE"""),"")</f>
        <v/>
      </c>
      <c r="O2948" s="5" t="str">
        <f>IFERROR(__xludf.DUMMYFUNCTION("""COMPUTED_VALUE"""),"")</f>
        <v/>
      </c>
      <c r="P2948" s="5" t="str">
        <f>IFERROR(__xludf.DUMMYFUNCTION("""COMPUTED_VALUE"""),"")</f>
        <v/>
      </c>
      <c r="Q2948" s="5" t="str">
        <f>IFERROR(__xludf.DUMMYFUNCTION("""COMPUTED_VALUE"""),"")</f>
        <v/>
      </c>
      <c r="R2948" s="4" t="str">
        <f>IFERROR(__xludf.DUMMYFUNCTION("""COMPUTED_VALUE"""),"")</f>
        <v/>
      </c>
      <c r="S2948" s="1" t="b">
        <f>IFERROR(__xludf.DUMMYFUNCTION("""COMPUTED_VALUE"""),FALSE)</f>
        <v>0</v>
      </c>
      <c r="T2948" s="1" t="b">
        <f>IFERROR(__xludf.DUMMYFUNCTION("""COMPUTED_VALUE"""),FALSE)</f>
        <v>0</v>
      </c>
      <c r="U2948" s="1" t="str">
        <f>IFERROR(__xludf.DUMMYFUNCTION("""COMPUTED_VALUE"""),"")</f>
        <v/>
      </c>
      <c r="V2948" s="1" t="str">
        <f>IFERROR(__xludf.DUMMYFUNCTION("""COMPUTED_VALUE"""),"")</f>
        <v/>
      </c>
      <c r="W2948" s="1" t="str">
        <f>IFERROR(__xludf.DUMMYFUNCTION("""COMPUTED_VALUE"""),"")</f>
        <v/>
      </c>
      <c r="X2948" s="1" t="str">
        <f>IFERROR(__xludf.DUMMYFUNCTION("""COMPUTED_VALUE"""),"")</f>
        <v/>
      </c>
      <c r="Y2948" s="2"/>
      <c r="Z2948" s="2" t="str">
        <f>IFERROR(__xludf.DUMMYFUNCTION("""COMPUTED_VALUE"""),"")</f>
        <v/>
      </c>
    </row>
    <row r="2949">
      <c r="A2949" s="1" t="str">
        <f>IFERROR(__xludf.DUMMYFUNCTION("""COMPUTED_VALUE"""),"")</f>
        <v/>
      </c>
      <c r="B2949" s="1"/>
      <c r="C2949" s="2"/>
      <c r="D2949" s="2"/>
      <c r="E2949" s="1"/>
      <c r="F2949" s="1"/>
      <c r="G2949" s="4" t="str">
        <f>IFERROR(__xludf.DUMMYFUNCTION("""COMPUTED_VALUE"""),"")</f>
        <v/>
      </c>
      <c r="H2949" s="4" t="str">
        <f>IFERROR(__xludf.DUMMYFUNCTION("""COMPUTED_VALUE"""),"")</f>
        <v/>
      </c>
      <c r="I2949" s="4" t="str">
        <f>IFERROR(__xludf.DUMMYFUNCTION("""COMPUTED_VALUE"""),"")</f>
        <v/>
      </c>
      <c r="J2949" s="4" t="str">
        <f>IFERROR(__xludf.DUMMYFUNCTION("""COMPUTED_VALUE"""),"")</f>
        <v/>
      </c>
      <c r="K2949" s="4" t="str">
        <f>IFERROR(__xludf.DUMMYFUNCTION("""COMPUTED_VALUE"""),"")</f>
        <v/>
      </c>
      <c r="L2949" s="4" t="str">
        <f>IFERROR(__xludf.DUMMYFUNCTION("""COMPUTED_VALUE"""),"")</f>
        <v/>
      </c>
      <c r="M2949" s="1" t="str">
        <f>IFERROR(__xludf.DUMMYFUNCTION("""COMPUTED_VALUE"""),"RFID")</f>
        <v>RFID</v>
      </c>
      <c r="N2949" s="5" t="str">
        <f>IFERROR(__xludf.DUMMYFUNCTION("""COMPUTED_VALUE"""),"")</f>
        <v/>
      </c>
      <c r="O2949" s="5" t="str">
        <f>IFERROR(__xludf.DUMMYFUNCTION("""COMPUTED_VALUE"""),"")</f>
        <v/>
      </c>
      <c r="P2949" s="5" t="str">
        <f>IFERROR(__xludf.DUMMYFUNCTION("""COMPUTED_VALUE"""),"")</f>
        <v/>
      </c>
      <c r="Q2949" s="5" t="str">
        <f>IFERROR(__xludf.DUMMYFUNCTION("""COMPUTED_VALUE"""),"")</f>
        <v/>
      </c>
      <c r="R2949" s="4" t="str">
        <f>IFERROR(__xludf.DUMMYFUNCTION("""COMPUTED_VALUE"""),"")</f>
        <v/>
      </c>
      <c r="S2949" s="1" t="b">
        <f>IFERROR(__xludf.DUMMYFUNCTION("""COMPUTED_VALUE"""),FALSE)</f>
        <v>0</v>
      </c>
      <c r="T2949" s="1" t="b">
        <f>IFERROR(__xludf.DUMMYFUNCTION("""COMPUTED_VALUE"""),FALSE)</f>
        <v>0</v>
      </c>
      <c r="U2949" s="1" t="str">
        <f>IFERROR(__xludf.DUMMYFUNCTION("""COMPUTED_VALUE"""),"")</f>
        <v/>
      </c>
      <c r="V2949" s="1" t="str">
        <f>IFERROR(__xludf.DUMMYFUNCTION("""COMPUTED_VALUE"""),"")</f>
        <v/>
      </c>
      <c r="W2949" s="1" t="str">
        <f>IFERROR(__xludf.DUMMYFUNCTION("""COMPUTED_VALUE"""),"")</f>
        <v/>
      </c>
      <c r="X2949" s="1" t="str">
        <f>IFERROR(__xludf.DUMMYFUNCTION("""COMPUTED_VALUE"""),"")</f>
        <v/>
      </c>
      <c r="Y2949" s="2"/>
      <c r="Z2949" s="2" t="str">
        <f>IFERROR(__xludf.DUMMYFUNCTION("""COMPUTED_VALUE"""),"")</f>
        <v/>
      </c>
    </row>
    <row r="2950">
      <c r="A2950" s="1" t="str">
        <f>IFERROR(__xludf.DUMMYFUNCTION("""COMPUTED_VALUE"""),"")</f>
        <v/>
      </c>
      <c r="B2950" s="1"/>
      <c r="C2950" s="2"/>
      <c r="D2950" s="2"/>
      <c r="E2950" s="1"/>
      <c r="F2950" s="1"/>
      <c r="G2950" s="4" t="str">
        <f>IFERROR(__xludf.DUMMYFUNCTION("""COMPUTED_VALUE"""),"")</f>
        <v/>
      </c>
      <c r="H2950" s="4" t="str">
        <f>IFERROR(__xludf.DUMMYFUNCTION("""COMPUTED_VALUE"""),"")</f>
        <v/>
      </c>
      <c r="I2950" s="4" t="str">
        <f>IFERROR(__xludf.DUMMYFUNCTION("""COMPUTED_VALUE"""),"")</f>
        <v/>
      </c>
      <c r="J2950" s="4" t="str">
        <f>IFERROR(__xludf.DUMMYFUNCTION("""COMPUTED_VALUE"""),"")</f>
        <v/>
      </c>
      <c r="K2950" s="4" t="str">
        <f>IFERROR(__xludf.DUMMYFUNCTION("""COMPUTED_VALUE"""),"")</f>
        <v/>
      </c>
      <c r="L2950" s="4" t="str">
        <f>IFERROR(__xludf.DUMMYFUNCTION("""COMPUTED_VALUE"""),"")</f>
        <v/>
      </c>
      <c r="M2950" s="1" t="str">
        <f>IFERROR(__xludf.DUMMYFUNCTION("""COMPUTED_VALUE"""),"RFID")</f>
        <v>RFID</v>
      </c>
      <c r="N2950" s="5" t="str">
        <f>IFERROR(__xludf.DUMMYFUNCTION("""COMPUTED_VALUE"""),"")</f>
        <v/>
      </c>
      <c r="O2950" s="5" t="str">
        <f>IFERROR(__xludf.DUMMYFUNCTION("""COMPUTED_VALUE"""),"")</f>
        <v/>
      </c>
      <c r="P2950" s="5" t="str">
        <f>IFERROR(__xludf.DUMMYFUNCTION("""COMPUTED_VALUE"""),"")</f>
        <v/>
      </c>
      <c r="Q2950" s="5" t="str">
        <f>IFERROR(__xludf.DUMMYFUNCTION("""COMPUTED_VALUE"""),"")</f>
        <v/>
      </c>
      <c r="R2950" s="4" t="str">
        <f>IFERROR(__xludf.DUMMYFUNCTION("""COMPUTED_VALUE"""),"")</f>
        <v/>
      </c>
      <c r="S2950" s="1" t="b">
        <f>IFERROR(__xludf.DUMMYFUNCTION("""COMPUTED_VALUE"""),FALSE)</f>
        <v>0</v>
      </c>
      <c r="T2950" s="1" t="b">
        <f>IFERROR(__xludf.DUMMYFUNCTION("""COMPUTED_VALUE"""),FALSE)</f>
        <v>0</v>
      </c>
      <c r="U2950" s="1" t="str">
        <f>IFERROR(__xludf.DUMMYFUNCTION("""COMPUTED_VALUE"""),"")</f>
        <v/>
      </c>
      <c r="V2950" s="1" t="str">
        <f>IFERROR(__xludf.DUMMYFUNCTION("""COMPUTED_VALUE"""),"")</f>
        <v/>
      </c>
      <c r="W2950" s="1" t="str">
        <f>IFERROR(__xludf.DUMMYFUNCTION("""COMPUTED_VALUE"""),"")</f>
        <v/>
      </c>
      <c r="X2950" s="1" t="str">
        <f>IFERROR(__xludf.DUMMYFUNCTION("""COMPUTED_VALUE"""),"")</f>
        <v/>
      </c>
      <c r="Y2950" s="2"/>
      <c r="Z2950" s="2" t="str">
        <f>IFERROR(__xludf.DUMMYFUNCTION("""COMPUTED_VALUE"""),"")</f>
        <v/>
      </c>
    </row>
    <row r="2951">
      <c r="A2951" s="1" t="str">
        <f>IFERROR(__xludf.DUMMYFUNCTION("""COMPUTED_VALUE"""),"")</f>
        <v/>
      </c>
      <c r="B2951" s="1"/>
      <c r="C2951" s="2"/>
      <c r="D2951" s="2"/>
      <c r="E2951" s="1"/>
      <c r="F2951" s="1"/>
      <c r="G2951" s="4" t="str">
        <f>IFERROR(__xludf.DUMMYFUNCTION("""COMPUTED_VALUE"""),"")</f>
        <v/>
      </c>
      <c r="H2951" s="4" t="str">
        <f>IFERROR(__xludf.DUMMYFUNCTION("""COMPUTED_VALUE"""),"")</f>
        <v/>
      </c>
      <c r="I2951" s="4" t="str">
        <f>IFERROR(__xludf.DUMMYFUNCTION("""COMPUTED_VALUE"""),"")</f>
        <v/>
      </c>
      <c r="J2951" s="4" t="str">
        <f>IFERROR(__xludf.DUMMYFUNCTION("""COMPUTED_VALUE"""),"")</f>
        <v/>
      </c>
      <c r="K2951" s="4" t="str">
        <f>IFERROR(__xludf.DUMMYFUNCTION("""COMPUTED_VALUE"""),"")</f>
        <v/>
      </c>
      <c r="L2951" s="4" t="str">
        <f>IFERROR(__xludf.DUMMYFUNCTION("""COMPUTED_VALUE"""),"")</f>
        <v/>
      </c>
      <c r="M2951" s="1" t="str">
        <f>IFERROR(__xludf.DUMMYFUNCTION("""COMPUTED_VALUE"""),"RFID")</f>
        <v>RFID</v>
      </c>
      <c r="N2951" s="5" t="str">
        <f>IFERROR(__xludf.DUMMYFUNCTION("""COMPUTED_VALUE"""),"")</f>
        <v/>
      </c>
      <c r="O2951" s="5" t="str">
        <f>IFERROR(__xludf.DUMMYFUNCTION("""COMPUTED_VALUE"""),"")</f>
        <v/>
      </c>
      <c r="P2951" s="5" t="str">
        <f>IFERROR(__xludf.DUMMYFUNCTION("""COMPUTED_VALUE"""),"")</f>
        <v/>
      </c>
      <c r="Q2951" s="5" t="str">
        <f>IFERROR(__xludf.DUMMYFUNCTION("""COMPUTED_VALUE"""),"")</f>
        <v/>
      </c>
      <c r="R2951" s="4" t="str">
        <f>IFERROR(__xludf.DUMMYFUNCTION("""COMPUTED_VALUE"""),"")</f>
        <v/>
      </c>
      <c r="S2951" s="1" t="b">
        <f>IFERROR(__xludf.DUMMYFUNCTION("""COMPUTED_VALUE"""),FALSE)</f>
        <v>0</v>
      </c>
      <c r="T2951" s="1" t="b">
        <f>IFERROR(__xludf.DUMMYFUNCTION("""COMPUTED_VALUE"""),FALSE)</f>
        <v>0</v>
      </c>
      <c r="U2951" s="1" t="str">
        <f>IFERROR(__xludf.DUMMYFUNCTION("""COMPUTED_VALUE"""),"")</f>
        <v/>
      </c>
      <c r="V2951" s="1" t="str">
        <f>IFERROR(__xludf.DUMMYFUNCTION("""COMPUTED_VALUE"""),"")</f>
        <v/>
      </c>
      <c r="W2951" s="1" t="str">
        <f>IFERROR(__xludf.DUMMYFUNCTION("""COMPUTED_VALUE"""),"")</f>
        <v/>
      </c>
      <c r="X2951" s="1" t="str">
        <f>IFERROR(__xludf.DUMMYFUNCTION("""COMPUTED_VALUE"""),"")</f>
        <v/>
      </c>
      <c r="Y2951" s="2"/>
      <c r="Z2951" s="2" t="str">
        <f>IFERROR(__xludf.DUMMYFUNCTION("""COMPUTED_VALUE"""),"")</f>
        <v/>
      </c>
    </row>
    <row r="2952">
      <c r="A2952" s="1" t="str">
        <f>IFERROR(__xludf.DUMMYFUNCTION("""COMPUTED_VALUE"""),"")</f>
        <v/>
      </c>
      <c r="B2952" s="1"/>
      <c r="C2952" s="2"/>
      <c r="D2952" s="2"/>
      <c r="E2952" s="1"/>
      <c r="F2952" s="1"/>
      <c r="G2952" s="4" t="str">
        <f>IFERROR(__xludf.DUMMYFUNCTION("""COMPUTED_VALUE"""),"")</f>
        <v/>
      </c>
      <c r="H2952" s="4" t="str">
        <f>IFERROR(__xludf.DUMMYFUNCTION("""COMPUTED_VALUE"""),"")</f>
        <v/>
      </c>
      <c r="I2952" s="4" t="str">
        <f>IFERROR(__xludf.DUMMYFUNCTION("""COMPUTED_VALUE"""),"")</f>
        <v/>
      </c>
      <c r="J2952" s="4" t="str">
        <f>IFERROR(__xludf.DUMMYFUNCTION("""COMPUTED_VALUE"""),"")</f>
        <v/>
      </c>
      <c r="K2952" s="4" t="str">
        <f>IFERROR(__xludf.DUMMYFUNCTION("""COMPUTED_VALUE"""),"")</f>
        <v/>
      </c>
      <c r="L2952" s="4" t="str">
        <f>IFERROR(__xludf.DUMMYFUNCTION("""COMPUTED_VALUE"""),"")</f>
        <v/>
      </c>
      <c r="M2952" s="1" t="str">
        <f>IFERROR(__xludf.DUMMYFUNCTION("""COMPUTED_VALUE"""),"RFID")</f>
        <v>RFID</v>
      </c>
      <c r="N2952" s="5" t="str">
        <f>IFERROR(__xludf.DUMMYFUNCTION("""COMPUTED_VALUE"""),"")</f>
        <v/>
      </c>
      <c r="O2952" s="5" t="str">
        <f>IFERROR(__xludf.DUMMYFUNCTION("""COMPUTED_VALUE"""),"")</f>
        <v/>
      </c>
      <c r="P2952" s="5" t="str">
        <f>IFERROR(__xludf.DUMMYFUNCTION("""COMPUTED_VALUE"""),"")</f>
        <v/>
      </c>
      <c r="Q2952" s="5" t="str">
        <f>IFERROR(__xludf.DUMMYFUNCTION("""COMPUTED_VALUE"""),"")</f>
        <v/>
      </c>
      <c r="R2952" s="4" t="str">
        <f>IFERROR(__xludf.DUMMYFUNCTION("""COMPUTED_VALUE"""),"")</f>
        <v/>
      </c>
      <c r="S2952" s="1" t="b">
        <f>IFERROR(__xludf.DUMMYFUNCTION("""COMPUTED_VALUE"""),FALSE)</f>
        <v>0</v>
      </c>
      <c r="T2952" s="1" t="b">
        <f>IFERROR(__xludf.DUMMYFUNCTION("""COMPUTED_VALUE"""),FALSE)</f>
        <v>0</v>
      </c>
      <c r="U2952" s="1" t="str">
        <f>IFERROR(__xludf.DUMMYFUNCTION("""COMPUTED_VALUE"""),"")</f>
        <v/>
      </c>
      <c r="V2952" s="1" t="str">
        <f>IFERROR(__xludf.DUMMYFUNCTION("""COMPUTED_VALUE"""),"")</f>
        <v/>
      </c>
      <c r="W2952" s="1" t="str">
        <f>IFERROR(__xludf.DUMMYFUNCTION("""COMPUTED_VALUE"""),"")</f>
        <v/>
      </c>
      <c r="X2952" s="1" t="str">
        <f>IFERROR(__xludf.DUMMYFUNCTION("""COMPUTED_VALUE"""),"")</f>
        <v/>
      </c>
      <c r="Y2952" s="2"/>
      <c r="Z2952" s="2" t="str">
        <f>IFERROR(__xludf.DUMMYFUNCTION("""COMPUTED_VALUE"""),"")</f>
        <v/>
      </c>
    </row>
    <row r="2953">
      <c r="A2953" s="1" t="str">
        <f>IFERROR(__xludf.DUMMYFUNCTION("""COMPUTED_VALUE"""),"")</f>
        <v/>
      </c>
      <c r="B2953" s="1"/>
      <c r="C2953" s="2"/>
      <c r="D2953" s="2"/>
      <c r="E2953" s="1"/>
      <c r="F2953" s="1"/>
      <c r="G2953" s="4" t="str">
        <f>IFERROR(__xludf.DUMMYFUNCTION("""COMPUTED_VALUE"""),"")</f>
        <v/>
      </c>
      <c r="H2953" s="4" t="str">
        <f>IFERROR(__xludf.DUMMYFUNCTION("""COMPUTED_VALUE"""),"")</f>
        <v/>
      </c>
      <c r="I2953" s="4" t="str">
        <f>IFERROR(__xludf.DUMMYFUNCTION("""COMPUTED_VALUE"""),"")</f>
        <v/>
      </c>
      <c r="J2953" s="4" t="str">
        <f>IFERROR(__xludf.DUMMYFUNCTION("""COMPUTED_VALUE"""),"")</f>
        <v/>
      </c>
      <c r="K2953" s="4" t="str">
        <f>IFERROR(__xludf.DUMMYFUNCTION("""COMPUTED_VALUE"""),"")</f>
        <v/>
      </c>
      <c r="L2953" s="4" t="str">
        <f>IFERROR(__xludf.DUMMYFUNCTION("""COMPUTED_VALUE"""),"")</f>
        <v/>
      </c>
      <c r="M2953" s="1" t="str">
        <f>IFERROR(__xludf.DUMMYFUNCTION("""COMPUTED_VALUE"""),"RFID")</f>
        <v>RFID</v>
      </c>
      <c r="N2953" s="5" t="str">
        <f>IFERROR(__xludf.DUMMYFUNCTION("""COMPUTED_VALUE"""),"")</f>
        <v/>
      </c>
      <c r="O2953" s="5" t="str">
        <f>IFERROR(__xludf.DUMMYFUNCTION("""COMPUTED_VALUE"""),"")</f>
        <v/>
      </c>
      <c r="P2953" s="5" t="str">
        <f>IFERROR(__xludf.DUMMYFUNCTION("""COMPUTED_VALUE"""),"")</f>
        <v/>
      </c>
      <c r="Q2953" s="5" t="str">
        <f>IFERROR(__xludf.DUMMYFUNCTION("""COMPUTED_VALUE"""),"")</f>
        <v/>
      </c>
      <c r="R2953" s="4" t="str">
        <f>IFERROR(__xludf.DUMMYFUNCTION("""COMPUTED_VALUE"""),"")</f>
        <v/>
      </c>
      <c r="S2953" s="1" t="b">
        <f>IFERROR(__xludf.DUMMYFUNCTION("""COMPUTED_VALUE"""),FALSE)</f>
        <v>0</v>
      </c>
      <c r="T2953" s="1" t="b">
        <f>IFERROR(__xludf.DUMMYFUNCTION("""COMPUTED_VALUE"""),FALSE)</f>
        <v>0</v>
      </c>
      <c r="U2953" s="1" t="str">
        <f>IFERROR(__xludf.DUMMYFUNCTION("""COMPUTED_VALUE"""),"")</f>
        <v/>
      </c>
      <c r="V2953" s="1" t="str">
        <f>IFERROR(__xludf.DUMMYFUNCTION("""COMPUTED_VALUE"""),"")</f>
        <v/>
      </c>
      <c r="W2953" s="1" t="str">
        <f>IFERROR(__xludf.DUMMYFUNCTION("""COMPUTED_VALUE"""),"")</f>
        <v/>
      </c>
      <c r="X2953" s="1" t="str">
        <f>IFERROR(__xludf.DUMMYFUNCTION("""COMPUTED_VALUE"""),"")</f>
        <v/>
      </c>
      <c r="Y2953" s="2"/>
      <c r="Z2953" s="2" t="str">
        <f>IFERROR(__xludf.DUMMYFUNCTION("""COMPUTED_VALUE"""),"")</f>
        <v/>
      </c>
    </row>
    <row r="2954">
      <c r="A2954" s="1" t="str">
        <f>IFERROR(__xludf.DUMMYFUNCTION("""COMPUTED_VALUE"""),"")</f>
        <v/>
      </c>
      <c r="B2954" s="1"/>
      <c r="C2954" s="2"/>
      <c r="D2954" s="2"/>
      <c r="E2954" s="1"/>
      <c r="F2954" s="1"/>
      <c r="G2954" s="4" t="str">
        <f>IFERROR(__xludf.DUMMYFUNCTION("""COMPUTED_VALUE"""),"")</f>
        <v/>
      </c>
      <c r="H2954" s="4" t="str">
        <f>IFERROR(__xludf.DUMMYFUNCTION("""COMPUTED_VALUE"""),"")</f>
        <v/>
      </c>
      <c r="I2954" s="4" t="str">
        <f>IFERROR(__xludf.DUMMYFUNCTION("""COMPUTED_VALUE"""),"")</f>
        <v/>
      </c>
      <c r="J2954" s="4" t="str">
        <f>IFERROR(__xludf.DUMMYFUNCTION("""COMPUTED_VALUE"""),"")</f>
        <v/>
      </c>
      <c r="K2954" s="4" t="str">
        <f>IFERROR(__xludf.DUMMYFUNCTION("""COMPUTED_VALUE"""),"")</f>
        <v/>
      </c>
      <c r="L2954" s="4" t="str">
        <f>IFERROR(__xludf.DUMMYFUNCTION("""COMPUTED_VALUE"""),"")</f>
        <v/>
      </c>
      <c r="M2954" s="1" t="str">
        <f>IFERROR(__xludf.DUMMYFUNCTION("""COMPUTED_VALUE"""),"RFID")</f>
        <v>RFID</v>
      </c>
      <c r="N2954" s="5" t="str">
        <f>IFERROR(__xludf.DUMMYFUNCTION("""COMPUTED_VALUE"""),"")</f>
        <v/>
      </c>
      <c r="O2954" s="5" t="str">
        <f>IFERROR(__xludf.DUMMYFUNCTION("""COMPUTED_VALUE"""),"")</f>
        <v/>
      </c>
      <c r="P2954" s="5" t="str">
        <f>IFERROR(__xludf.DUMMYFUNCTION("""COMPUTED_VALUE"""),"")</f>
        <v/>
      </c>
      <c r="Q2954" s="5" t="str">
        <f>IFERROR(__xludf.DUMMYFUNCTION("""COMPUTED_VALUE"""),"")</f>
        <v/>
      </c>
      <c r="R2954" s="4" t="str">
        <f>IFERROR(__xludf.DUMMYFUNCTION("""COMPUTED_VALUE"""),"")</f>
        <v/>
      </c>
      <c r="S2954" s="1" t="b">
        <f>IFERROR(__xludf.DUMMYFUNCTION("""COMPUTED_VALUE"""),FALSE)</f>
        <v>0</v>
      </c>
      <c r="T2954" s="1" t="b">
        <f>IFERROR(__xludf.DUMMYFUNCTION("""COMPUTED_VALUE"""),FALSE)</f>
        <v>0</v>
      </c>
      <c r="U2954" s="1" t="str">
        <f>IFERROR(__xludf.DUMMYFUNCTION("""COMPUTED_VALUE"""),"")</f>
        <v/>
      </c>
      <c r="V2954" s="1" t="str">
        <f>IFERROR(__xludf.DUMMYFUNCTION("""COMPUTED_VALUE"""),"")</f>
        <v/>
      </c>
      <c r="W2954" s="1" t="str">
        <f>IFERROR(__xludf.DUMMYFUNCTION("""COMPUTED_VALUE"""),"")</f>
        <v/>
      </c>
      <c r="X2954" s="1" t="str">
        <f>IFERROR(__xludf.DUMMYFUNCTION("""COMPUTED_VALUE"""),"")</f>
        <v/>
      </c>
      <c r="Y2954" s="2"/>
      <c r="Z2954" s="2" t="str">
        <f>IFERROR(__xludf.DUMMYFUNCTION("""COMPUTED_VALUE"""),"")</f>
        <v/>
      </c>
    </row>
    <row r="2955">
      <c r="A2955" s="1" t="str">
        <f>IFERROR(__xludf.DUMMYFUNCTION("""COMPUTED_VALUE"""),"")</f>
        <v/>
      </c>
      <c r="B2955" s="1"/>
      <c r="C2955" s="2"/>
      <c r="D2955" s="2"/>
      <c r="E2955" s="1"/>
      <c r="F2955" s="1"/>
      <c r="G2955" s="4" t="str">
        <f>IFERROR(__xludf.DUMMYFUNCTION("""COMPUTED_VALUE"""),"")</f>
        <v/>
      </c>
      <c r="H2955" s="4" t="str">
        <f>IFERROR(__xludf.DUMMYFUNCTION("""COMPUTED_VALUE"""),"")</f>
        <v/>
      </c>
      <c r="I2955" s="4" t="str">
        <f>IFERROR(__xludf.DUMMYFUNCTION("""COMPUTED_VALUE"""),"")</f>
        <v/>
      </c>
      <c r="J2955" s="4" t="str">
        <f>IFERROR(__xludf.DUMMYFUNCTION("""COMPUTED_VALUE"""),"")</f>
        <v/>
      </c>
      <c r="K2955" s="4" t="str">
        <f>IFERROR(__xludf.DUMMYFUNCTION("""COMPUTED_VALUE"""),"")</f>
        <v/>
      </c>
      <c r="L2955" s="4" t="str">
        <f>IFERROR(__xludf.DUMMYFUNCTION("""COMPUTED_VALUE"""),"")</f>
        <v/>
      </c>
      <c r="M2955" s="1" t="str">
        <f>IFERROR(__xludf.DUMMYFUNCTION("""COMPUTED_VALUE"""),"RFID")</f>
        <v>RFID</v>
      </c>
      <c r="N2955" s="5" t="str">
        <f>IFERROR(__xludf.DUMMYFUNCTION("""COMPUTED_VALUE"""),"")</f>
        <v/>
      </c>
      <c r="O2955" s="5" t="str">
        <f>IFERROR(__xludf.DUMMYFUNCTION("""COMPUTED_VALUE"""),"")</f>
        <v/>
      </c>
      <c r="P2955" s="5" t="str">
        <f>IFERROR(__xludf.DUMMYFUNCTION("""COMPUTED_VALUE"""),"")</f>
        <v/>
      </c>
      <c r="Q2955" s="5" t="str">
        <f>IFERROR(__xludf.DUMMYFUNCTION("""COMPUTED_VALUE"""),"")</f>
        <v/>
      </c>
      <c r="R2955" s="4" t="str">
        <f>IFERROR(__xludf.DUMMYFUNCTION("""COMPUTED_VALUE"""),"")</f>
        <v/>
      </c>
      <c r="S2955" s="1" t="b">
        <f>IFERROR(__xludf.DUMMYFUNCTION("""COMPUTED_VALUE"""),FALSE)</f>
        <v>0</v>
      </c>
      <c r="T2955" s="1" t="b">
        <f>IFERROR(__xludf.DUMMYFUNCTION("""COMPUTED_VALUE"""),FALSE)</f>
        <v>0</v>
      </c>
      <c r="U2955" s="1" t="str">
        <f>IFERROR(__xludf.DUMMYFUNCTION("""COMPUTED_VALUE"""),"")</f>
        <v/>
      </c>
      <c r="V2955" s="1" t="str">
        <f>IFERROR(__xludf.DUMMYFUNCTION("""COMPUTED_VALUE"""),"")</f>
        <v/>
      </c>
      <c r="W2955" s="1" t="str">
        <f>IFERROR(__xludf.DUMMYFUNCTION("""COMPUTED_VALUE"""),"")</f>
        <v/>
      </c>
      <c r="X2955" s="1" t="str">
        <f>IFERROR(__xludf.DUMMYFUNCTION("""COMPUTED_VALUE"""),"")</f>
        <v/>
      </c>
      <c r="Y2955" s="2"/>
      <c r="Z2955" s="2" t="str">
        <f>IFERROR(__xludf.DUMMYFUNCTION("""COMPUTED_VALUE"""),"")</f>
        <v/>
      </c>
    </row>
    <row r="2956">
      <c r="A2956" s="1" t="str">
        <f>IFERROR(__xludf.DUMMYFUNCTION("""COMPUTED_VALUE"""),"")</f>
        <v/>
      </c>
      <c r="B2956" s="1"/>
      <c r="C2956" s="2"/>
      <c r="D2956" s="2"/>
      <c r="E2956" s="1"/>
      <c r="F2956" s="1"/>
      <c r="G2956" s="4" t="str">
        <f>IFERROR(__xludf.DUMMYFUNCTION("""COMPUTED_VALUE"""),"")</f>
        <v/>
      </c>
      <c r="H2956" s="4" t="str">
        <f>IFERROR(__xludf.DUMMYFUNCTION("""COMPUTED_VALUE"""),"")</f>
        <v/>
      </c>
      <c r="I2956" s="4" t="str">
        <f>IFERROR(__xludf.DUMMYFUNCTION("""COMPUTED_VALUE"""),"")</f>
        <v/>
      </c>
      <c r="J2956" s="4" t="str">
        <f>IFERROR(__xludf.DUMMYFUNCTION("""COMPUTED_VALUE"""),"")</f>
        <v/>
      </c>
      <c r="K2956" s="4" t="str">
        <f>IFERROR(__xludf.DUMMYFUNCTION("""COMPUTED_VALUE"""),"")</f>
        <v/>
      </c>
      <c r="L2956" s="4" t="str">
        <f>IFERROR(__xludf.DUMMYFUNCTION("""COMPUTED_VALUE"""),"")</f>
        <v/>
      </c>
      <c r="M2956" s="1" t="str">
        <f>IFERROR(__xludf.DUMMYFUNCTION("""COMPUTED_VALUE"""),"RFID")</f>
        <v>RFID</v>
      </c>
      <c r="N2956" s="5" t="str">
        <f>IFERROR(__xludf.DUMMYFUNCTION("""COMPUTED_VALUE"""),"")</f>
        <v/>
      </c>
      <c r="O2956" s="5" t="str">
        <f>IFERROR(__xludf.DUMMYFUNCTION("""COMPUTED_VALUE"""),"")</f>
        <v/>
      </c>
      <c r="P2956" s="5" t="str">
        <f>IFERROR(__xludf.DUMMYFUNCTION("""COMPUTED_VALUE"""),"")</f>
        <v/>
      </c>
      <c r="Q2956" s="5" t="str">
        <f>IFERROR(__xludf.DUMMYFUNCTION("""COMPUTED_VALUE"""),"")</f>
        <v/>
      </c>
      <c r="R2956" s="4" t="str">
        <f>IFERROR(__xludf.DUMMYFUNCTION("""COMPUTED_VALUE"""),"")</f>
        <v/>
      </c>
      <c r="S2956" s="1" t="b">
        <f>IFERROR(__xludf.DUMMYFUNCTION("""COMPUTED_VALUE"""),FALSE)</f>
        <v>0</v>
      </c>
      <c r="T2956" s="1" t="b">
        <f>IFERROR(__xludf.DUMMYFUNCTION("""COMPUTED_VALUE"""),FALSE)</f>
        <v>0</v>
      </c>
      <c r="U2956" s="1" t="str">
        <f>IFERROR(__xludf.DUMMYFUNCTION("""COMPUTED_VALUE"""),"")</f>
        <v/>
      </c>
      <c r="V2956" s="1" t="str">
        <f>IFERROR(__xludf.DUMMYFUNCTION("""COMPUTED_VALUE"""),"")</f>
        <v/>
      </c>
      <c r="W2956" s="1" t="str">
        <f>IFERROR(__xludf.DUMMYFUNCTION("""COMPUTED_VALUE"""),"")</f>
        <v/>
      </c>
      <c r="X2956" s="1" t="str">
        <f>IFERROR(__xludf.DUMMYFUNCTION("""COMPUTED_VALUE"""),"")</f>
        <v/>
      </c>
      <c r="Y2956" s="2"/>
      <c r="Z2956" s="2" t="str">
        <f>IFERROR(__xludf.DUMMYFUNCTION("""COMPUTED_VALUE"""),"")</f>
        <v/>
      </c>
    </row>
    <row r="2957">
      <c r="A2957" s="1" t="str">
        <f>IFERROR(__xludf.DUMMYFUNCTION("""COMPUTED_VALUE"""),"")</f>
        <v/>
      </c>
      <c r="B2957" s="1"/>
      <c r="C2957" s="2"/>
      <c r="D2957" s="2"/>
      <c r="E2957" s="1"/>
      <c r="F2957" s="1"/>
      <c r="G2957" s="4" t="str">
        <f>IFERROR(__xludf.DUMMYFUNCTION("""COMPUTED_VALUE"""),"")</f>
        <v/>
      </c>
      <c r="H2957" s="4" t="str">
        <f>IFERROR(__xludf.DUMMYFUNCTION("""COMPUTED_VALUE"""),"")</f>
        <v/>
      </c>
      <c r="I2957" s="4" t="str">
        <f>IFERROR(__xludf.DUMMYFUNCTION("""COMPUTED_VALUE"""),"")</f>
        <v/>
      </c>
      <c r="J2957" s="4" t="str">
        <f>IFERROR(__xludf.DUMMYFUNCTION("""COMPUTED_VALUE"""),"")</f>
        <v/>
      </c>
      <c r="K2957" s="4" t="str">
        <f>IFERROR(__xludf.DUMMYFUNCTION("""COMPUTED_VALUE"""),"")</f>
        <v/>
      </c>
      <c r="L2957" s="4" t="str">
        <f>IFERROR(__xludf.DUMMYFUNCTION("""COMPUTED_VALUE"""),"")</f>
        <v/>
      </c>
      <c r="M2957" s="1" t="str">
        <f>IFERROR(__xludf.DUMMYFUNCTION("""COMPUTED_VALUE"""),"RFID")</f>
        <v>RFID</v>
      </c>
      <c r="N2957" s="5" t="str">
        <f>IFERROR(__xludf.DUMMYFUNCTION("""COMPUTED_VALUE"""),"")</f>
        <v/>
      </c>
      <c r="O2957" s="5" t="str">
        <f>IFERROR(__xludf.DUMMYFUNCTION("""COMPUTED_VALUE"""),"")</f>
        <v/>
      </c>
      <c r="P2957" s="5" t="str">
        <f>IFERROR(__xludf.DUMMYFUNCTION("""COMPUTED_VALUE"""),"")</f>
        <v/>
      </c>
      <c r="Q2957" s="5" t="str">
        <f>IFERROR(__xludf.DUMMYFUNCTION("""COMPUTED_VALUE"""),"")</f>
        <v/>
      </c>
      <c r="R2957" s="4" t="str">
        <f>IFERROR(__xludf.DUMMYFUNCTION("""COMPUTED_VALUE"""),"")</f>
        <v/>
      </c>
      <c r="S2957" s="1" t="b">
        <f>IFERROR(__xludf.DUMMYFUNCTION("""COMPUTED_VALUE"""),FALSE)</f>
        <v>0</v>
      </c>
      <c r="T2957" s="1" t="b">
        <f>IFERROR(__xludf.DUMMYFUNCTION("""COMPUTED_VALUE"""),FALSE)</f>
        <v>0</v>
      </c>
      <c r="U2957" s="1" t="str">
        <f>IFERROR(__xludf.DUMMYFUNCTION("""COMPUTED_VALUE"""),"")</f>
        <v/>
      </c>
      <c r="V2957" s="1" t="str">
        <f>IFERROR(__xludf.DUMMYFUNCTION("""COMPUTED_VALUE"""),"")</f>
        <v/>
      </c>
      <c r="W2957" s="1" t="str">
        <f>IFERROR(__xludf.DUMMYFUNCTION("""COMPUTED_VALUE"""),"")</f>
        <v/>
      </c>
      <c r="X2957" s="1" t="str">
        <f>IFERROR(__xludf.DUMMYFUNCTION("""COMPUTED_VALUE"""),"")</f>
        <v/>
      </c>
      <c r="Y2957" s="2"/>
      <c r="Z2957" s="2" t="str">
        <f>IFERROR(__xludf.DUMMYFUNCTION("""COMPUTED_VALUE"""),"")</f>
        <v/>
      </c>
    </row>
    <row r="2958">
      <c r="A2958" s="1" t="str">
        <f>IFERROR(__xludf.DUMMYFUNCTION("""COMPUTED_VALUE"""),"")</f>
        <v/>
      </c>
      <c r="B2958" s="1"/>
      <c r="C2958" s="2"/>
      <c r="D2958" s="2"/>
      <c r="E2958" s="1"/>
      <c r="F2958" s="1"/>
      <c r="G2958" s="4" t="str">
        <f>IFERROR(__xludf.DUMMYFUNCTION("""COMPUTED_VALUE"""),"")</f>
        <v/>
      </c>
      <c r="H2958" s="4" t="str">
        <f>IFERROR(__xludf.DUMMYFUNCTION("""COMPUTED_VALUE"""),"")</f>
        <v/>
      </c>
      <c r="I2958" s="4" t="str">
        <f>IFERROR(__xludf.DUMMYFUNCTION("""COMPUTED_VALUE"""),"")</f>
        <v/>
      </c>
      <c r="J2958" s="4" t="str">
        <f>IFERROR(__xludf.DUMMYFUNCTION("""COMPUTED_VALUE"""),"")</f>
        <v/>
      </c>
      <c r="K2958" s="4" t="str">
        <f>IFERROR(__xludf.DUMMYFUNCTION("""COMPUTED_VALUE"""),"")</f>
        <v/>
      </c>
      <c r="L2958" s="4" t="str">
        <f>IFERROR(__xludf.DUMMYFUNCTION("""COMPUTED_VALUE"""),"")</f>
        <v/>
      </c>
      <c r="M2958" s="1" t="str">
        <f>IFERROR(__xludf.DUMMYFUNCTION("""COMPUTED_VALUE"""),"RFID")</f>
        <v>RFID</v>
      </c>
      <c r="N2958" s="5" t="str">
        <f>IFERROR(__xludf.DUMMYFUNCTION("""COMPUTED_VALUE"""),"")</f>
        <v/>
      </c>
      <c r="O2958" s="5" t="str">
        <f>IFERROR(__xludf.DUMMYFUNCTION("""COMPUTED_VALUE"""),"")</f>
        <v/>
      </c>
      <c r="P2958" s="5" t="str">
        <f>IFERROR(__xludf.DUMMYFUNCTION("""COMPUTED_VALUE"""),"")</f>
        <v/>
      </c>
      <c r="Q2958" s="5" t="str">
        <f>IFERROR(__xludf.DUMMYFUNCTION("""COMPUTED_VALUE"""),"")</f>
        <v/>
      </c>
      <c r="R2958" s="4" t="str">
        <f>IFERROR(__xludf.DUMMYFUNCTION("""COMPUTED_VALUE"""),"")</f>
        <v/>
      </c>
      <c r="S2958" s="1" t="b">
        <f>IFERROR(__xludf.DUMMYFUNCTION("""COMPUTED_VALUE"""),FALSE)</f>
        <v>0</v>
      </c>
      <c r="T2958" s="1" t="b">
        <f>IFERROR(__xludf.DUMMYFUNCTION("""COMPUTED_VALUE"""),FALSE)</f>
        <v>0</v>
      </c>
      <c r="U2958" s="1" t="str">
        <f>IFERROR(__xludf.DUMMYFUNCTION("""COMPUTED_VALUE"""),"")</f>
        <v/>
      </c>
      <c r="V2958" s="1" t="str">
        <f>IFERROR(__xludf.DUMMYFUNCTION("""COMPUTED_VALUE"""),"")</f>
        <v/>
      </c>
      <c r="W2958" s="1" t="str">
        <f>IFERROR(__xludf.DUMMYFUNCTION("""COMPUTED_VALUE"""),"")</f>
        <v/>
      </c>
      <c r="X2958" s="1" t="str">
        <f>IFERROR(__xludf.DUMMYFUNCTION("""COMPUTED_VALUE"""),"")</f>
        <v/>
      </c>
      <c r="Y2958" s="2"/>
      <c r="Z2958" s="2" t="str">
        <f>IFERROR(__xludf.DUMMYFUNCTION("""COMPUTED_VALUE"""),"")</f>
        <v/>
      </c>
    </row>
    <row r="2959">
      <c r="A2959" s="1" t="str">
        <f>IFERROR(__xludf.DUMMYFUNCTION("""COMPUTED_VALUE"""),"")</f>
        <v/>
      </c>
      <c r="B2959" s="1"/>
      <c r="C2959" s="2"/>
      <c r="D2959" s="2"/>
      <c r="E2959" s="1"/>
      <c r="F2959" s="1"/>
      <c r="G2959" s="4" t="str">
        <f>IFERROR(__xludf.DUMMYFUNCTION("""COMPUTED_VALUE"""),"")</f>
        <v/>
      </c>
      <c r="H2959" s="4" t="str">
        <f>IFERROR(__xludf.DUMMYFUNCTION("""COMPUTED_VALUE"""),"")</f>
        <v/>
      </c>
      <c r="I2959" s="4" t="str">
        <f>IFERROR(__xludf.DUMMYFUNCTION("""COMPUTED_VALUE"""),"")</f>
        <v/>
      </c>
      <c r="J2959" s="4" t="str">
        <f>IFERROR(__xludf.DUMMYFUNCTION("""COMPUTED_VALUE"""),"")</f>
        <v/>
      </c>
      <c r="K2959" s="4" t="str">
        <f>IFERROR(__xludf.DUMMYFUNCTION("""COMPUTED_VALUE"""),"")</f>
        <v/>
      </c>
      <c r="L2959" s="4" t="str">
        <f>IFERROR(__xludf.DUMMYFUNCTION("""COMPUTED_VALUE"""),"")</f>
        <v/>
      </c>
      <c r="M2959" s="1" t="str">
        <f>IFERROR(__xludf.DUMMYFUNCTION("""COMPUTED_VALUE"""),"RFID")</f>
        <v>RFID</v>
      </c>
      <c r="N2959" s="5" t="str">
        <f>IFERROR(__xludf.DUMMYFUNCTION("""COMPUTED_VALUE"""),"")</f>
        <v/>
      </c>
      <c r="O2959" s="5" t="str">
        <f>IFERROR(__xludf.DUMMYFUNCTION("""COMPUTED_VALUE"""),"")</f>
        <v/>
      </c>
      <c r="P2959" s="5" t="str">
        <f>IFERROR(__xludf.DUMMYFUNCTION("""COMPUTED_VALUE"""),"")</f>
        <v/>
      </c>
      <c r="Q2959" s="5" t="str">
        <f>IFERROR(__xludf.DUMMYFUNCTION("""COMPUTED_VALUE"""),"")</f>
        <v/>
      </c>
      <c r="R2959" s="4" t="str">
        <f>IFERROR(__xludf.DUMMYFUNCTION("""COMPUTED_VALUE"""),"")</f>
        <v/>
      </c>
      <c r="S2959" s="1" t="b">
        <f>IFERROR(__xludf.DUMMYFUNCTION("""COMPUTED_VALUE"""),FALSE)</f>
        <v>0</v>
      </c>
      <c r="T2959" s="1" t="b">
        <f>IFERROR(__xludf.DUMMYFUNCTION("""COMPUTED_VALUE"""),FALSE)</f>
        <v>0</v>
      </c>
      <c r="U2959" s="1" t="str">
        <f>IFERROR(__xludf.DUMMYFUNCTION("""COMPUTED_VALUE"""),"")</f>
        <v/>
      </c>
      <c r="V2959" s="1" t="str">
        <f>IFERROR(__xludf.DUMMYFUNCTION("""COMPUTED_VALUE"""),"")</f>
        <v/>
      </c>
      <c r="W2959" s="1" t="str">
        <f>IFERROR(__xludf.DUMMYFUNCTION("""COMPUTED_VALUE"""),"")</f>
        <v/>
      </c>
      <c r="X2959" s="1" t="str">
        <f>IFERROR(__xludf.DUMMYFUNCTION("""COMPUTED_VALUE"""),"")</f>
        <v/>
      </c>
      <c r="Y2959" s="2"/>
      <c r="Z2959" s="2" t="str">
        <f>IFERROR(__xludf.DUMMYFUNCTION("""COMPUTED_VALUE"""),"")</f>
        <v/>
      </c>
    </row>
    <row r="2960">
      <c r="A2960" s="1" t="str">
        <f>IFERROR(__xludf.DUMMYFUNCTION("""COMPUTED_VALUE"""),"")</f>
        <v/>
      </c>
      <c r="B2960" s="1"/>
      <c r="C2960" s="2"/>
      <c r="D2960" s="2"/>
      <c r="E2960" s="1"/>
      <c r="F2960" s="1"/>
      <c r="G2960" s="4" t="str">
        <f>IFERROR(__xludf.DUMMYFUNCTION("""COMPUTED_VALUE"""),"")</f>
        <v/>
      </c>
      <c r="H2960" s="4" t="str">
        <f>IFERROR(__xludf.DUMMYFUNCTION("""COMPUTED_VALUE"""),"")</f>
        <v/>
      </c>
      <c r="I2960" s="4" t="str">
        <f>IFERROR(__xludf.DUMMYFUNCTION("""COMPUTED_VALUE"""),"")</f>
        <v/>
      </c>
      <c r="J2960" s="4" t="str">
        <f>IFERROR(__xludf.DUMMYFUNCTION("""COMPUTED_VALUE"""),"")</f>
        <v/>
      </c>
      <c r="K2960" s="4" t="str">
        <f>IFERROR(__xludf.DUMMYFUNCTION("""COMPUTED_VALUE"""),"")</f>
        <v/>
      </c>
      <c r="L2960" s="4" t="str">
        <f>IFERROR(__xludf.DUMMYFUNCTION("""COMPUTED_VALUE"""),"")</f>
        <v/>
      </c>
      <c r="M2960" s="1" t="str">
        <f>IFERROR(__xludf.DUMMYFUNCTION("""COMPUTED_VALUE"""),"RFID")</f>
        <v>RFID</v>
      </c>
      <c r="N2960" s="5" t="str">
        <f>IFERROR(__xludf.DUMMYFUNCTION("""COMPUTED_VALUE"""),"")</f>
        <v/>
      </c>
      <c r="O2960" s="5" t="str">
        <f>IFERROR(__xludf.DUMMYFUNCTION("""COMPUTED_VALUE"""),"")</f>
        <v/>
      </c>
      <c r="P2960" s="5" t="str">
        <f>IFERROR(__xludf.DUMMYFUNCTION("""COMPUTED_VALUE"""),"")</f>
        <v/>
      </c>
      <c r="Q2960" s="5" t="str">
        <f>IFERROR(__xludf.DUMMYFUNCTION("""COMPUTED_VALUE"""),"")</f>
        <v/>
      </c>
      <c r="R2960" s="4" t="str">
        <f>IFERROR(__xludf.DUMMYFUNCTION("""COMPUTED_VALUE"""),"")</f>
        <v/>
      </c>
      <c r="S2960" s="1" t="b">
        <f>IFERROR(__xludf.DUMMYFUNCTION("""COMPUTED_VALUE"""),FALSE)</f>
        <v>0</v>
      </c>
      <c r="T2960" s="1" t="b">
        <f>IFERROR(__xludf.DUMMYFUNCTION("""COMPUTED_VALUE"""),FALSE)</f>
        <v>0</v>
      </c>
      <c r="U2960" s="1" t="str">
        <f>IFERROR(__xludf.DUMMYFUNCTION("""COMPUTED_VALUE"""),"")</f>
        <v/>
      </c>
      <c r="V2960" s="1" t="str">
        <f>IFERROR(__xludf.DUMMYFUNCTION("""COMPUTED_VALUE"""),"")</f>
        <v/>
      </c>
      <c r="W2960" s="1" t="str">
        <f>IFERROR(__xludf.DUMMYFUNCTION("""COMPUTED_VALUE"""),"")</f>
        <v/>
      </c>
      <c r="X2960" s="1" t="str">
        <f>IFERROR(__xludf.DUMMYFUNCTION("""COMPUTED_VALUE"""),"")</f>
        <v/>
      </c>
      <c r="Y2960" s="2"/>
      <c r="Z2960" s="2" t="str">
        <f>IFERROR(__xludf.DUMMYFUNCTION("""COMPUTED_VALUE"""),"")</f>
        <v/>
      </c>
    </row>
    <row r="2961">
      <c r="A2961" s="1" t="str">
        <f>IFERROR(__xludf.DUMMYFUNCTION("""COMPUTED_VALUE"""),"")</f>
        <v/>
      </c>
      <c r="B2961" s="1"/>
      <c r="C2961" s="2"/>
      <c r="D2961" s="2"/>
      <c r="E2961" s="1"/>
      <c r="F2961" s="1"/>
      <c r="G2961" s="4" t="str">
        <f>IFERROR(__xludf.DUMMYFUNCTION("""COMPUTED_VALUE"""),"")</f>
        <v/>
      </c>
      <c r="H2961" s="4" t="str">
        <f>IFERROR(__xludf.DUMMYFUNCTION("""COMPUTED_VALUE"""),"")</f>
        <v/>
      </c>
      <c r="I2961" s="4" t="str">
        <f>IFERROR(__xludf.DUMMYFUNCTION("""COMPUTED_VALUE"""),"")</f>
        <v/>
      </c>
      <c r="J2961" s="4" t="str">
        <f>IFERROR(__xludf.DUMMYFUNCTION("""COMPUTED_VALUE"""),"")</f>
        <v/>
      </c>
      <c r="K2961" s="4" t="str">
        <f>IFERROR(__xludf.DUMMYFUNCTION("""COMPUTED_VALUE"""),"")</f>
        <v/>
      </c>
      <c r="L2961" s="4" t="str">
        <f>IFERROR(__xludf.DUMMYFUNCTION("""COMPUTED_VALUE"""),"")</f>
        <v/>
      </c>
      <c r="M2961" s="1" t="str">
        <f>IFERROR(__xludf.DUMMYFUNCTION("""COMPUTED_VALUE"""),"RFID")</f>
        <v>RFID</v>
      </c>
      <c r="N2961" s="5" t="str">
        <f>IFERROR(__xludf.DUMMYFUNCTION("""COMPUTED_VALUE"""),"")</f>
        <v/>
      </c>
      <c r="O2961" s="5" t="str">
        <f>IFERROR(__xludf.DUMMYFUNCTION("""COMPUTED_VALUE"""),"")</f>
        <v/>
      </c>
      <c r="P2961" s="5" t="str">
        <f>IFERROR(__xludf.DUMMYFUNCTION("""COMPUTED_VALUE"""),"")</f>
        <v/>
      </c>
      <c r="Q2961" s="5" t="str">
        <f>IFERROR(__xludf.DUMMYFUNCTION("""COMPUTED_VALUE"""),"")</f>
        <v/>
      </c>
      <c r="R2961" s="4" t="str">
        <f>IFERROR(__xludf.DUMMYFUNCTION("""COMPUTED_VALUE"""),"")</f>
        <v/>
      </c>
      <c r="S2961" s="1" t="b">
        <f>IFERROR(__xludf.DUMMYFUNCTION("""COMPUTED_VALUE"""),FALSE)</f>
        <v>0</v>
      </c>
      <c r="T2961" s="1" t="b">
        <f>IFERROR(__xludf.DUMMYFUNCTION("""COMPUTED_VALUE"""),FALSE)</f>
        <v>0</v>
      </c>
      <c r="U2961" s="1" t="str">
        <f>IFERROR(__xludf.DUMMYFUNCTION("""COMPUTED_VALUE"""),"")</f>
        <v/>
      </c>
      <c r="V2961" s="1" t="str">
        <f>IFERROR(__xludf.DUMMYFUNCTION("""COMPUTED_VALUE"""),"")</f>
        <v/>
      </c>
      <c r="W2961" s="1" t="str">
        <f>IFERROR(__xludf.DUMMYFUNCTION("""COMPUTED_VALUE"""),"")</f>
        <v/>
      </c>
      <c r="X2961" s="1" t="str">
        <f>IFERROR(__xludf.DUMMYFUNCTION("""COMPUTED_VALUE"""),"")</f>
        <v/>
      </c>
      <c r="Y2961" s="2"/>
      <c r="Z2961" s="2" t="str">
        <f>IFERROR(__xludf.DUMMYFUNCTION("""COMPUTED_VALUE"""),"")</f>
        <v/>
      </c>
    </row>
    <row r="2962">
      <c r="A2962" s="1" t="str">
        <f>IFERROR(__xludf.DUMMYFUNCTION("""COMPUTED_VALUE"""),"")</f>
        <v/>
      </c>
      <c r="B2962" s="1"/>
      <c r="C2962" s="2"/>
      <c r="D2962" s="2"/>
      <c r="E2962" s="1"/>
      <c r="F2962" s="1"/>
      <c r="G2962" s="4" t="str">
        <f>IFERROR(__xludf.DUMMYFUNCTION("""COMPUTED_VALUE"""),"")</f>
        <v/>
      </c>
      <c r="H2962" s="4" t="str">
        <f>IFERROR(__xludf.DUMMYFUNCTION("""COMPUTED_VALUE"""),"")</f>
        <v/>
      </c>
      <c r="I2962" s="4" t="str">
        <f>IFERROR(__xludf.DUMMYFUNCTION("""COMPUTED_VALUE"""),"")</f>
        <v/>
      </c>
      <c r="J2962" s="4" t="str">
        <f>IFERROR(__xludf.DUMMYFUNCTION("""COMPUTED_VALUE"""),"")</f>
        <v/>
      </c>
      <c r="K2962" s="4" t="str">
        <f>IFERROR(__xludf.DUMMYFUNCTION("""COMPUTED_VALUE"""),"")</f>
        <v/>
      </c>
      <c r="L2962" s="4" t="str">
        <f>IFERROR(__xludf.DUMMYFUNCTION("""COMPUTED_VALUE"""),"")</f>
        <v/>
      </c>
      <c r="M2962" s="1" t="str">
        <f>IFERROR(__xludf.DUMMYFUNCTION("""COMPUTED_VALUE"""),"RFID")</f>
        <v>RFID</v>
      </c>
      <c r="N2962" s="5" t="str">
        <f>IFERROR(__xludf.DUMMYFUNCTION("""COMPUTED_VALUE"""),"")</f>
        <v/>
      </c>
      <c r="O2962" s="5" t="str">
        <f>IFERROR(__xludf.DUMMYFUNCTION("""COMPUTED_VALUE"""),"")</f>
        <v/>
      </c>
      <c r="P2962" s="5" t="str">
        <f>IFERROR(__xludf.DUMMYFUNCTION("""COMPUTED_VALUE"""),"")</f>
        <v/>
      </c>
      <c r="Q2962" s="5" t="str">
        <f>IFERROR(__xludf.DUMMYFUNCTION("""COMPUTED_VALUE"""),"")</f>
        <v/>
      </c>
      <c r="R2962" s="4" t="str">
        <f>IFERROR(__xludf.DUMMYFUNCTION("""COMPUTED_VALUE"""),"")</f>
        <v/>
      </c>
      <c r="S2962" s="1" t="b">
        <f>IFERROR(__xludf.DUMMYFUNCTION("""COMPUTED_VALUE"""),FALSE)</f>
        <v>0</v>
      </c>
      <c r="T2962" s="1" t="b">
        <f>IFERROR(__xludf.DUMMYFUNCTION("""COMPUTED_VALUE"""),FALSE)</f>
        <v>0</v>
      </c>
      <c r="U2962" s="1" t="str">
        <f>IFERROR(__xludf.DUMMYFUNCTION("""COMPUTED_VALUE"""),"")</f>
        <v/>
      </c>
      <c r="V2962" s="1" t="str">
        <f>IFERROR(__xludf.DUMMYFUNCTION("""COMPUTED_VALUE"""),"")</f>
        <v/>
      </c>
      <c r="W2962" s="1" t="str">
        <f>IFERROR(__xludf.DUMMYFUNCTION("""COMPUTED_VALUE"""),"")</f>
        <v/>
      </c>
      <c r="X2962" s="1" t="str">
        <f>IFERROR(__xludf.DUMMYFUNCTION("""COMPUTED_VALUE"""),"")</f>
        <v/>
      </c>
      <c r="Y2962" s="2"/>
      <c r="Z2962" s="2" t="str">
        <f>IFERROR(__xludf.DUMMYFUNCTION("""COMPUTED_VALUE"""),"")</f>
        <v/>
      </c>
    </row>
    <row r="2963">
      <c r="A2963" s="1" t="str">
        <f>IFERROR(__xludf.DUMMYFUNCTION("""COMPUTED_VALUE"""),"")</f>
        <v/>
      </c>
      <c r="B2963" s="1"/>
      <c r="C2963" s="2"/>
      <c r="D2963" s="2"/>
      <c r="E2963" s="1"/>
      <c r="F2963" s="1"/>
      <c r="G2963" s="4" t="str">
        <f>IFERROR(__xludf.DUMMYFUNCTION("""COMPUTED_VALUE"""),"")</f>
        <v/>
      </c>
      <c r="H2963" s="4" t="str">
        <f>IFERROR(__xludf.DUMMYFUNCTION("""COMPUTED_VALUE"""),"")</f>
        <v/>
      </c>
      <c r="I2963" s="4" t="str">
        <f>IFERROR(__xludf.DUMMYFUNCTION("""COMPUTED_VALUE"""),"")</f>
        <v/>
      </c>
      <c r="J2963" s="4" t="str">
        <f>IFERROR(__xludf.DUMMYFUNCTION("""COMPUTED_VALUE"""),"")</f>
        <v/>
      </c>
      <c r="K2963" s="4" t="str">
        <f>IFERROR(__xludf.DUMMYFUNCTION("""COMPUTED_VALUE"""),"")</f>
        <v/>
      </c>
      <c r="L2963" s="4" t="str">
        <f>IFERROR(__xludf.DUMMYFUNCTION("""COMPUTED_VALUE"""),"")</f>
        <v/>
      </c>
      <c r="M2963" s="1" t="str">
        <f>IFERROR(__xludf.DUMMYFUNCTION("""COMPUTED_VALUE"""),"RFID")</f>
        <v>RFID</v>
      </c>
      <c r="N2963" s="5" t="str">
        <f>IFERROR(__xludf.DUMMYFUNCTION("""COMPUTED_VALUE"""),"")</f>
        <v/>
      </c>
      <c r="O2963" s="5" t="str">
        <f>IFERROR(__xludf.DUMMYFUNCTION("""COMPUTED_VALUE"""),"")</f>
        <v/>
      </c>
      <c r="P2963" s="5" t="str">
        <f>IFERROR(__xludf.DUMMYFUNCTION("""COMPUTED_VALUE"""),"")</f>
        <v/>
      </c>
      <c r="Q2963" s="5" t="str">
        <f>IFERROR(__xludf.DUMMYFUNCTION("""COMPUTED_VALUE"""),"")</f>
        <v/>
      </c>
      <c r="R2963" s="4" t="str">
        <f>IFERROR(__xludf.DUMMYFUNCTION("""COMPUTED_VALUE"""),"")</f>
        <v/>
      </c>
      <c r="S2963" s="1" t="b">
        <f>IFERROR(__xludf.DUMMYFUNCTION("""COMPUTED_VALUE"""),FALSE)</f>
        <v>0</v>
      </c>
      <c r="T2963" s="1" t="b">
        <f>IFERROR(__xludf.DUMMYFUNCTION("""COMPUTED_VALUE"""),FALSE)</f>
        <v>0</v>
      </c>
      <c r="U2963" s="1" t="str">
        <f>IFERROR(__xludf.DUMMYFUNCTION("""COMPUTED_VALUE"""),"")</f>
        <v/>
      </c>
      <c r="V2963" s="1" t="str">
        <f>IFERROR(__xludf.DUMMYFUNCTION("""COMPUTED_VALUE"""),"")</f>
        <v/>
      </c>
      <c r="W2963" s="1" t="str">
        <f>IFERROR(__xludf.DUMMYFUNCTION("""COMPUTED_VALUE"""),"")</f>
        <v/>
      </c>
      <c r="X2963" s="1" t="str">
        <f>IFERROR(__xludf.DUMMYFUNCTION("""COMPUTED_VALUE"""),"")</f>
        <v/>
      </c>
      <c r="Y2963" s="2"/>
      <c r="Z2963" s="2" t="str">
        <f>IFERROR(__xludf.DUMMYFUNCTION("""COMPUTED_VALUE"""),"")</f>
        <v/>
      </c>
    </row>
    <row r="2964">
      <c r="A2964" s="1" t="str">
        <f>IFERROR(__xludf.DUMMYFUNCTION("""COMPUTED_VALUE"""),"")</f>
        <v/>
      </c>
      <c r="B2964" s="1"/>
      <c r="C2964" s="2"/>
      <c r="D2964" s="2"/>
      <c r="E2964" s="1"/>
      <c r="F2964" s="1"/>
      <c r="G2964" s="4" t="str">
        <f>IFERROR(__xludf.DUMMYFUNCTION("""COMPUTED_VALUE"""),"")</f>
        <v/>
      </c>
      <c r="H2964" s="4" t="str">
        <f>IFERROR(__xludf.DUMMYFUNCTION("""COMPUTED_VALUE"""),"")</f>
        <v/>
      </c>
      <c r="I2964" s="4" t="str">
        <f>IFERROR(__xludf.DUMMYFUNCTION("""COMPUTED_VALUE"""),"")</f>
        <v/>
      </c>
      <c r="J2964" s="4" t="str">
        <f>IFERROR(__xludf.DUMMYFUNCTION("""COMPUTED_VALUE"""),"")</f>
        <v/>
      </c>
      <c r="K2964" s="4" t="str">
        <f>IFERROR(__xludf.DUMMYFUNCTION("""COMPUTED_VALUE"""),"")</f>
        <v/>
      </c>
      <c r="L2964" s="4" t="str">
        <f>IFERROR(__xludf.DUMMYFUNCTION("""COMPUTED_VALUE"""),"")</f>
        <v/>
      </c>
      <c r="M2964" s="1" t="str">
        <f>IFERROR(__xludf.DUMMYFUNCTION("""COMPUTED_VALUE"""),"RFID")</f>
        <v>RFID</v>
      </c>
      <c r="N2964" s="5" t="str">
        <f>IFERROR(__xludf.DUMMYFUNCTION("""COMPUTED_VALUE"""),"")</f>
        <v/>
      </c>
      <c r="O2964" s="5" t="str">
        <f>IFERROR(__xludf.DUMMYFUNCTION("""COMPUTED_VALUE"""),"")</f>
        <v/>
      </c>
      <c r="P2964" s="5" t="str">
        <f>IFERROR(__xludf.DUMMYFUNCTION("""COMPUTED_VALUE"""),"")</f>
        <v/>
      </c>
      <c r="Q2964" s="5" t="str">
        <f>IFERROR(__xludf.DUMMYFUNCTION("""COMPUTED_VALUE"""),"")</f>
        <v/>
      </c>
      <c r="R2964" s="4" t="str">
        <f>IFERROR(__xludf.DUMMYFUNCTION("""COMPUTED_VALUE"""),"")</f>
        <v/>
      </c>
      <c r="S2964" s="1" t="b">
        <f>IFERROR(__xludf.DUMMYFUNCTION("""COMPUTED_VALUE"""),FALSE)</f>
        <v>0</v>
      </c>
      <c r="T2964" s="1" t="b">
        <f>IFERROR(__xludf.DUMMYFUNCTION("""COMPUTED_VALUE"""),FALSE)</f>
        <v>0</v>
      </c>
      <c r="U2964" s="1" t="str">
        <f>IFERROR(__xludf.DUMMYFUNCTION("""COMPUTED_VALUE"""),"")</f>
        <v/>
      </c>
      <c r="V2964" s="1" t="str">
        <f>IFERROR(__xludf.DUMMYFUNCTION("""COMPUTED_VALUE"""),"")</f>
        <v/>
      </c>
      <c r="W2964" s="1" t="str">
        <f>IFERROR(__xludf.DUMMYFUNCTION("""COMPUTED_VALUE"""),"")</f>
        <v/>
      </c>
      <c r="X2964" s="1" t="str">
        <f>IFERROR(__xludf.DUMMYFUNCTION("""COMPUTED_VALUE"""),"")</f>
        <v/>
      </c>
      <c r="Y2964" s="2"/>
      <c r="Z2964" s="2" t="str">
        <f>IFERROR(__xludf.DUMMYFUNCTION("""COMPUTED_VALUE"""),"")</f>
        <v/>
      </c>
    </row>
    <row r="2965">
      <c r="A2965" s="1" t="str">
        <f>IFERROR(__xludf.DUMMYFUNCTION("""COMPUTED_VALUE"""),"")</f>
        <v/>
      </c>
      <c r="B2965" s="1"/>
      <c r="C2965" s="2"/>
      <c r="D2965" s="2"/>
      <c r="E2965" s="1"/>
      <c r="F2965" s="1"/>
      <c r="G2965" s="4" t="str">
        <f>IFERROR(__xludf.DUMMYFUNCTION("""COMPUTED_VALUE"""),"")</f>
        <v/>
      </c>
      <c r="H2965" s="4" t="str">
        <f>IFERROR(__xludf.DUMMYFUNCTION("""COMPUTED_VALUE"""),"")</f>
        <v/>
      </c>
      <c r="I2965" s="4" t="str">
        <f>IFERROR(__xludf.DUMMYFUNCTION("""COMPUTED_VALUE"""),"")</f>
        <v/>
      </c>
      <c r="J2965" s="4" t="str">
        <f>IFERROR(__xludf.DUMMYFUNCTION("""COMPUTED_VALUE"""),"")</f>
        <v/>
      </c>
      <c r="K2965" s="4" t="str">
        <f>IFERROR(__xludf.DUMMYFUNCTION("""COMPUTED_VALUE"""),"")</f>
        <v/>
      </c>
      <c r="L2965" s="4" t="str">
        <f>IFERROR(__xludf.DUMMYFUNCTION("""COMPUTED_VALUE"""),"")</f>
        <v/>
      </c>
      <c r="M2965" s="1" t="str">
        <f>IFERROR(__xludf.DUMMYFUNCTION("""COMPUTED_VALUE"""),"RFID")</f>
        <v>RFID</v>
      </c>
      <c r="N2965" s="5" t="str">
        <f>IFERROR(__xludf.DUMMYFUNCTION("""COMPUTED_VALUE"""),"")</f>
        <v/>
      </c>
      <c r="O2965" s="5" t="str">
        <f>IFERROR(__xludf.DUMMYFUNCTION("""COMPUTED_VALUE"""),"")</f>
        <v/>
      </c>
      <c r="P2965" s="5" t="str">
        <f>IFERROR(__xludf.DUMMYFUNCTION("""COMPUTED_VALUE"""),"")</f>
        <v/>
      </c>
      <c r="Q2965" s="5" t="str">
        <f>IFERROR(__xludf.DUMMYFUNCTION("""COMPUTED_VALUE"""),"")</f>
        <v/>
      </c>
      <c r="R2965" s="4" t="str">
        <f>IFERROR(__xludf.DUMMYFUNCTION("""COMPUTED_VALUE"""),"")</f>
        <v/>
      </c>
      <c r="S2965" s="1" t="b">
        <f>IFERROR(__xludf.DUMMYFUNCTION("""COMPUTED_VALUE"""),FALSE)</f>
        <v>0</v>
      </c>
      <c r="T2965" s="1" t="b">
        <f>IFERROR(__xludf.DUMMYFUNCTION("""COMPUTED_VALUE"""),FALSE)</f>
        <v>0</v>
      </c>
      <c r="U2965" s="1" t="str">
        <f>IFERROR(__xludf.DUMMYFUNCTION("""COMPUTED_VALUE"""),"")</f>
        <v/>
      </c>
      <c r="V2965" s="1" t="str">
        <f>IFERROR(__xludf.DUMMYFUNCTION("""COMPUTED_VALUE"""),"")</f>
        <v/>
      </c>
      <c r="W2965" s="1" t="str">
        <f>IFERROR(__xludf.DUMMYFUNCTION("""COMPUTED_VALUE"""),"")</f>
        <v/>
      </c>
      <c r="X2965" s="1" t="str">
        <f>IFERROR(__xludf.DUMMYFUNCTION("""COMPUTED_VALUE"""),"")</f>
        <v/>
      </c>
      <c r="Y2965" s="2"/>
      <c r="Z2965" s="2" t="str">
        <f>IFERROR(__xludf.DUMMYFUNCTION("""COMPUTED_VALUE"""),"")</f>
        <v/>
      </c>
    </row>
    <row r="2966">
      <c r="A2966" s="1" t="str">
        <f>IFERROR(__xludf.DUMMYFUNCTION("""COMPUTED_VALUE"""),"")</f>
        <v/>
      </c>
      <c r="B2966" s="1"/>
      <c r="C2966" s="2"/>
      <c r="D2966" s="2"/>
      <c r="E2966" s="1"/>
      <c r="F2966" s="1"/>
      <c r="G2966" s="4" t="str">
        <f>IFERROR(__xludf.DUMMYFUNCTION("""COMPUTED_VALUE"""),"")</f>
        <v/>
      </c>
      <c r="H2966" s="4" t="str">
        <f>IFERROR(__xludf.DUMMYFUNCTION("""COMPUTED_VALUE"""),"")</f>
        <v/>
      </c>
      <c r="I2966" s="4" t="str">
        <f>IFERROR(__xludf.DUMMYFUNCTION("""COMPUTED_VALUE"""),"")</f>
        <v/>
      </c>
      <c r="J2966" s="4" t="str">
        <f>IFERROR(__xludf.DUMMYFUNCTION("""COMPUTED_VALUE"""),"")</f>
        <v/>
      </c>
      <c r="K2966" s="4" t="str">
        <f>IFERROR(__xludf.DUMMYFUNCTION("""COMPUTED_VALUE"""),"")</f>
        <v/>
      </c>
      <c r="L2966" s="4" t="str">
        <f>IFERROR(__xludf.DUMMYFUNCTION("""COMPUTED_VALUE"""),"")</f>
        <v/>
      </c>
      <c r="M2966" s="1" t="str">
        <f>IFERROR(__xludf.DUMMYFUNCTION("""COMPUTED_VALUE"""),"RFID")</f>
        <v>RFID</v>
      </c>
      <c r="N2966" s="5" t="str">
        <f>IFERROR(__xludf.DUMMYFUNCTION("""COMPUTED_VALUE"""),"")</f>
        <v/>
      </c>
      <c r="O2966" s="5" t="str">
        <f>IFERROR(__xludf.DUMMYFUNCTION("""COMPUTED_VALUE"""),"")</f>
        <v/>
      </c>
      <c r="P2966" s="5" t="str">
        <f>IFERROR(__xludf.DUMMYFUNCTION("""COMPUTED_VALUE"""),"")</f>
        <v/>
      </c>
      <c r="Q2966" s="5" t="str">
        <f>IFERROR(__xludf.DUMMYFUNCTION("""COMPUTED_VALUE"""),"")</f>
        <v/>
      </c>
      <c r="R2966" s="4" t="str">
        <f>IFERROR(__xludf.DUMMYFUNCTION("""COMPUTED_VALUE"""),"")</f>
        <v/>
      </c>
      <c r="S2966" s="1" t="b">
        <f>IFERROR(__xludf.DUMMYFUNCTION("""COMPUTED_VALUE"""),FALSE)</f>
        <v>0</v>
      </c>
      <c r="T2966" s="1" t="b">
        <f>IFERROR(__xludf.DUMMYFUNCTION("""COMPUTED_VALUE"""),FALSE)</f>
        <v>0</v>
      </c>
      <c r="U2966" s="1" t="str">
        <f>IFERROR(__xludf.DUMMYFUNCTION("""COMPUTED_VALUE"""),"")</f>
        <v/>
      </c>
      <c r="V2966" s="1" t="str">
        <f>IFERROR(__xludf.DUMMYFUNCTION("""COMPUTED_VALUE"""),"")</f>
        <v/>
      </c>
      <c r="W2966" s="1" t="str">
        <f>IFERROR(__xludf.DUMMYFUNCTION("""COMPUTED_VALUE"""),"")</f>
        <v/>
      </c>
      <c r="X2966" s="1" t="str">
        <f>IFERROR(__xludf.DUMMYFUNCTION("""COMPUTED_VALUE"""),"")</f>
        <v/>
      </c>
      <c r="Y2966" s="2"/>
      <c r="Z2966" s="2" t="str">
        <f>IFERROR(__xludf.DUMMYFUNCTION("""COMPUTED_VALUE"""),"")</f>
        <v/>
      </c>
    </row>
    <row r="2967">
      <c r="A2967" s="1" t="str">
        <f>IFERROR(__xludf.DUMMYFUNCTION("""COMPUTED_VALUE"""),"")</f>
        <v/>
      </c>
      <c r="B2967" s="1"/>
      <c r="C2967" s="2"/>
      <c r="D2967" s="2"/>
      <c r="E2967" s="1"/>
      <c r="F2967" s="1"/>
      <c r="G2967" s="4" t="str">
        <f>IFERROR(__xludf.DUMMYFUNCTION("""COMPUTED_VALUE"""),"")</f>
        <v/>
      </c>
      <c r="H2967" s="4" t="str">
        <f>IFERROR(__xludf.DUMMYFUNCTION("""COMPUTED_VALUE"""),"")</f>
        <v/>
      </c>
      <c r="I2967" s="4" t="str">
        <f>IFERROR(__xludf.DUMMYFUNCTION("""COMPUTED_VALUE"""),"")</f>
        <v/>
      </c>
      <c r="J2967" s="4" t="str">
        <f>IFERROR(__xludf.DUMMYFUNCTION("""COMPUTED_VALUE"""),"")</f>
        <v/>
      </c>
      <c r="K2967" s="4" t="str">
        <f>IFERROR(__xludf.DUMMYFUNCTION("""COMPUTED_VALUE"""),"")</f>
        <v/>
      </c>
      <c r="L2967" s="4" t="str">
        <f>IFERROR(__xludf.DUMMYFUNCTION("""COMPUTED_VALUE"""),"")</f>
        <v/>
      </c>
      <c r="M2967" s="1" t="str">
        <f>IFERROR(__xludf.DUMMYFUNCTION("""COMPUTED_VALUE"""),"RFID")</f>
        <v>RFID</v>
      </c>
      <c r="N2967" s="5" t="str">
        <f>IFERROR(__xludf.DUMMYFUNCTION("""COMPUTED_VALUE"""),"")</f>
        <v/>
      </c>
      <c r="O2967" s="5" t="str">
        <f>IFERROR(__xludf.DUMMYFUNCTION("""COMPUTED_VALUE"""),"")</f>
        <v/>
      </c>
      <c r="P2967" s="5" t="str">
        <f>IFERROR(__xludf.DUMMYFUNCTION("""COMPUTED_VALUE"""),"")</f>
        <v/>
      </c>
      <c r="Q2967" s="5" t="str">
        <f>IFERROR(__xludf.DUMMYFUNCTION("""COMPUTED_VALUE"""),"")</f>
        <v/>
      </c>
      <c r="R2967" s="4" t="str">
        <f>IFERROR(__xludf.DUMMYFUNCTION("""COMPUTED_VALUE"""),"")</f>
        <v/>
      </c>
      <c r="S2967" s="1" t="b">
        <f>IFERROR(__xludf.DUMMYFUNCTION("""COMPUTED_VALUE"""),FALSE)</f>
        <v>0</v>
      </c>
      <c r="T2967" s="1" t="b">
        <f>IFERROR(__xludf.DUMMYFUNCTION("""COMPUTED_VALUE"""),FALSE)</f>
        <v>0</v>
      </c>
      <c r="U2967" s="1" t="str">
        <f>IFERROR(__xludf.DUMMYFUNCTION("""COMPUTED_VALUE"""),"")</f>
        <v/>
      </c>
      <c r="V2967" s="1" t="str">
        <f>IFERROR(__xludf.DUMMYFUNCTION("""COMPUTED_VALUE"""),"")</f>
        <v/>
      </c>
      <c r="W2967" s="1" t="str">
        <f>IFERROR(__xludf.DUMMYFUNCTION("""COMPUTED_VALUE"""),"")</f>
        <v/>
      </c>
      <c r="X2967" s="1" t="str">
        <f>IFERROR(__xludf.DUMMYFUNCTION("""COMPUTED_VALUE"""),"")</f>
        <v/>
      </c>
      <c r="Y2967" s="2"/>
      <c r="Z2967" s="2" t="str">
        <f>IFERROR(__xludf.DUMMYFUNCTION("""COMPUTED_VALUE"""),"")</f>
        <v/>
      </c>
    </row>
    <row r="2968">
      <c r="A2968" s="1" t="str">
        <f>IFERROR(__xludf.DUMMYFUNCTION("""COMPUTED_VALUE"""),"")</f>
        <v/>
      </c>
      <c r="B2968" s="1"/>
      <c r="C2968" s="2"/>
      <c r="D2968" s="2"/>
      <c r="E2968" s="1"/>
      <c r="F2968" s="1"/>
      <c r="G2968" s="4" t="str">
        <f>IFERROR(__xludf.DUMMYFUNCTION("""COMPUTED_VALUE"""),"")</f>
        <v/>
      </c>
      <c r="H2968" s="4" t="str">
        <f>IFERROR(__xludf.DUMMYFUNCTION("""COMPUTED_VALUE"""),"")</f>
        <v/>
      </c>
      <c r="I2968" s="4" t="str">
        <f>IFERROR(__xludf.DUMMYFUNCTION("""COMPUTED_VALUE"""),"")</f>
        <v/>
      </c>
      <c r="J2968" s="4" t="str">
        <f>IFERROR(__xludf.DUMMYFUNCTION("""COMPUTED_VALUE"""),"")</f>
        <v/>
      </c>
      <c r="K2968" s="4" t="str">
        <f>IFERROR(__xludf.DUMMYFUNCTION("""COMPUTED_VALUE"""),"")</f>
        <v/>
      </c>
      <c r="L2968" s="4" t="str">
        <f>IFERROR(__xludf.DUMMYFUNCTION("""COMPUTED_VALUE"""),"")</f>
        <v/>
      </c>
      <c r="M2968" s="1" t="str">
        <f>IFERROR(__xludf.DUMMYFUNCTION("""COMPUTED_VALUE"""),"RFID")</f>
        <v>RFID</v>
      </c>
      <c r="N2968" s="5" t="str">
        <f>IFERROR(__xludf.DUMMYFUNCTION("""COMPUTED_VALUE"""),"")</f>
        <v/>
      </c>
      <c r="O2968" s="5" t="str">
        <f>IFERROR(__xludf.DUMMYFUNCTION("""COMPUTED_VALUE"""),"")</f>
        <v/>
      </c>
      <c r="P2968" s="5" t="str">
        <f>IFERROR(__xludf.DUMMYFUNCTION("""COMPUTED_VALUE"""),"")</f>
        <v/>
      </c>
      <c r="Q2968" s="5" t="str">
        <f>IFERROR(__xludf.DUMMYFUNCTION("""COMPUTED_VALUE"""),"")</f>
        <v/>
      </c>
      <c r="R2968" s="4" t="str">
        <f>IFERROR(__xludf.DUMMYFUNCTION("""COMPUTED_VALUE"""),"")</f>
        <v/>
      </c>
      <c r="S2968" s="1" t="b">
        <f>IFERROR(__xludf.DUMMYFUNCTION("""COMPUTED_VALUE"""),FALSE)</f>
        <v>0</v>
      </c>
      <c r="T2968" s="1" t="b">
        <f>IFERROR(__xludf.DUMMYFUNCTION("""COMPUTED_VALUE"""),FALSE)</f>
        <v>0</v>
      </c>
      <c r="U2968" s="1" t="str">
        <f>IFERROR(__xludf.DUMMYFUNCTION("""COMPUTED_VALUE"""),"")</f>
        <v/>
      </c>
      <c r="V2968" s="1" t="str">
        <f>IFERROR(__xludf.DUMMYFUNCTION("""COMPUTED_VALUE"""),"")</f>
        <v/>
      </c>
      <c r="W2968" s="1" t="str">
        <f>IFERROR(__xludf.DUMMYFUNCTION("""COMPUTED_VALUE"""),"")</f>
        <v/>
      </c>
      <c r="X2968" s="1" t="str">
        <f>IFERROR(__xludf.DUMMYFUNCTION("""COMPUTED_VALUE"""),"")</f>
        <v/>
      </c>
      <c r="Y2968" s="2"/>
      <c r="Z2968" s="2" t="str">
        <f>IFERROR(__xludf.DUMMYFUNCTION("""COMPUTED_VALUE"""),"")</f>
        <v/>
      </c>
    </row>
    <row r="2969">
      <c r="A2969" s="1" t="str">
        <f>IFERROR(__xludf.DUMMYFUNCTION("""COMPUTED_VALUE"""),"")</f>
        <v/>
      </c>
      <c r="B2969" s="1"/>
      <c r="C2969" s="2"/>
      <c r="D2969" s="2"/>
      <c r="E2969" s="1"/>
      <c r="F2969" s="1"/>
      <c r="G2969" s="4" t="str">
        <f>IFERROR(__xludf.DUMMYFUNCTION("""COMPUTED_VALUE"""),"")</f>
        <v/>
      </c>
      <c r="H2969" s="4" t="str">
        <f>IFERROR(__xludf.DUMMYFUNCTION("""COMPUTED_VALUE"""),"")</f>
        <v/>
      </c>
      <c r="I2969" s="4" t="str">
        <f>IFERROR(__xludf.DUMMYFUNCTION("""COMPUTED_VALUE"""),"")</f>
        <v/>
      </c>
      <c r="J2969" s="4" t="str">
        <f>IFERROR(__xludf.DUMMYFUNCTION("""COMPUTED_VALUE"""),"")</f>
        <v/>
      </c>
      <c r="K2969" s="4" t="str">
        <f>IFERROR(__xludf.DUMMYFUNCTION("""COMPUTED_VALUE"""),"")</f>
        <v/>
      </c>
      <c r="L2969" s="4" t="str">
        <f>IFERROR(__xludf.DUMMYFUNCTION("""COMPUTED_VALUE"""),"")</f>
        <v/>
      </c>
      <c r="M2969" s="1" t="str">
        <f>IFERROR(__xludf.DUMMYFUNCTION("""COMPUTED_VALUE"""),"RFID")</f>
        <v>RFID</v>
      </c>
      <c r="N2969" s="5" t="str">
        <f>IFERROR(__xludf.DUMMYFUNCTION("""COMPUTED_VALUE"""),"")</f>
        <v/>
      </c>
      <c r="O2969" s="5" t="str">
        <f>IFERROR(__xludf.DUMMYFUNCTION("""COMPUTED_VALUE"""),"")</f>
        <v/>
      </c>
      <c r="P2969" s="5" t="str">
        <f>IFERROR(__xludf.DUMMYFUNCTION("""COMPUTED_VALUE"""),"")</f>
        <v/>
      </c>
      <c r="Q2969" s="5" t="str">
        <f>IFERROR(__xludf.DUMMYFUNCTION("""COMPUTED_VALUE"""),"")</f>
        <v/>
      </c>
      <c r="R2969" s="4" t="str">
        <f>IFERROR(__xludf.DUMMYFUNCTION("""COMPUTED_VALUE"""),"")</f>
        <v/>
      </c>
      <c r="S2969" s="1" t="b">
        <f>IFERROR(__xludf.DUMMYFUNCTION("""COMPUTED_VALUE"""),FALSE)</f>
        <v>0</v>
      </c>
      <c r="T2969" s="1" t="b">
        <f>IFERROR(__xludf.DUMMYFUNCTION("""COMPUTED_VALUE"""),FALSE)</f>
        <v>0</v>
      </c>
      <c r="U2969" s="1" t="str">
        <f>IFERROR(__xludf.DUMMYFUNCTION("""COMPUTED_VALUE"""),"")</f>
        <v/>
      </c>
      <c r="V2969" s="1" t="str">
        <f>IFERROR(__xludf.DUMMYFUNCTION("""COMPUTED_VALUE"""),"")</f>
        <v/>
      </c>
      <c r="W2969" s="1" t="str">
        <f>IFERROR(__xludf.DUMMYFUNCTION("""COMPUTED_VALUE"""),"")</f>
        <v/>
      </c>
      <c r="X2969" s="1" t="str">
        <f>IFERROR(__xludf.DUMMYFUNCTION("""COMPUTED_VALUE"""),"")</f>
        <v/>
      </c>
      <c r="Y2969" s="2"/>
      <c r="Z2969" s="2" t="str">
        <f>IFERROR(__xludf.DUMMYFUNCTION("""COMPUTED_VALUE"""),"")</f>
        <v/>
      </c>
    </row>
    <row r="2970">
      <c r="A2970" s="1" t="str">
        <f>IFERROR(__xludf.DUMMYFUNCTION("""COMPUTED_VALUE"""),"")</f>
        <v/>
      </c>
      <c r="B2970" s="1"/>
      <c r="C2970" s="2"/>
      <c r="D2970" s="2"/>
      <c r="E2970" s="1"/>
      <c r="F2970" s="1"/>
      <c r="G2970" s="4" t="str">
        <f>IFERROR(__xludf.DUMMYFUNCTION("""COMPUTED_VALUE"""),"")</f>
        <v/>
      </c>
      <c r="H2970" s="4" t="str">
        <f>IFERROR(__xludf.DUMMYFUNCTION("""COMPUTED_VALUE"""),"")</f>
        <v/>
      </c>
      <c r="I2970" s="4" t="str">
        <f>IFERROR(__xludf.DUMMYFUNCTION("""COMPUTED_VALUE"""),"")</f>
        <v/>
      </c>
      <c r="J2970" s="4" t="str">
        <f>IFERROR(__xludf.DUMMYFUNCTION("""COMPUTED_VALUE"""),"")</f>
        <v/>
      </c>
      <c r="K2970" s="4" t="str">
        <f>IFERROR(__xludf.DUMMYFUNCTION("""COMPUTED_VALUE"""),"")</f>
        <v/>
      </c>
      <c r="L2970" s="4" t="str">
        <f>IFERROR(__xludf.DUMMYFUNCTION("""COMPUTED_VALUE"""),"")</f>
        <v/>
      </c>
      <c r="M2970" s="1" t="str">
        <f>IFERROR(__xludf.DUMMYFUNCTION("""COMPUTED_VALUE"""),"RFID")</f>
        <v>RFID</v>
      </c>
      <c r="N2970" s="5" t="str">
        <f>IFERROR(__xludf.DUMMYFUNCTION("""COMPUTED_VALUE"""),"")</f>
        <v/>
      </c>
      <c r="O2970" s="5" t="str">
        <f>IFERROR(__xludf.DUMMYFUNCTION("""COMPUTED_VALUE"""),"")</f>
        <v/>
      </c>
      <c r="P2970" s="5" t="str">
        <f>IFERROR(__xludf.DUMMYFUNCTION("""COMPUTED_VALUE"""),"")</f>
        <v/>
      </c>
      <c r="Q2970" s="5" t="str">
        <f>IFERROR(__xludf.DUMMYFUNCTION("""COMPUTED_VALUE"""),"")</f>
        <v/>
      </c>
      <c r="R2970" s="4" t="str">
        <f>IFERROR(__xludf.DUMMYFUNCTION("""COMPUTED_VALUE"""),"")</f>
        <v/>
      </c>
      <c r="S2970" s="1" t="b">
        <f>IFERROR(__xludf.DUMMYFUNCTION("""COMPUTED_VALUE"""),FALSE)</f>
        <v>0</v>
      </c>
      <c r="T2970" s="1" t="b">
        <f>IFERROR(__xludf.DUMMYFUNCTION("""COMPUTED_VALUE"""),FALSE)</f>
        <v>0</v>
      </c>
      <c r="U2970" s="1" t="str">
        <f>IFERROR(__xludf.DUMMYFUNCTION("""COMPUTED_VALUE"""),"")</f>
        <v/>
      </c>
      <c r="V2970" s="1" t="str">
        <f>IFERROR(__xludf.DUMMYFUNCTION("""COMPUTED_VALUE"""),"")</f>
        <v/>
      </c>
      <c r="W2970" s="1" t="str">
        <f>IFERROR(__xludf.DUMMYFUNCTION("""COMPUTED_VALUE"""),"")</f>
        <v/>
      </c>
      <c r="X2970" s="1" t="str">
        <f>IFERROR(__xludf.DUMMYFUNCTION("""COMPUTED_VALUE"""),"")</f>
        <v/>
      </c>
      <c r="Y2970" s="2"/>
      <c r="Z2970" s="2" t="str">
        <f>IFERROR(__xludf.DUMMYFUNCTION("""COMPUTED_VALUE"""),"")</f>
        <v/>
      </c>
    </row>
    <row r="2971">
      <c r="A2971" s="1" t="str">
        <f>IFERROR(__xludf.DUMMYFUNCTION("""COMPUTED_VALUE"""),"")</f>
        <v/>
      </c>
      <c r="B2971" s="1"/>
      <c r="C2971" s="2"/>
      <c r="D2971" s="2"/>
      <c r="E2971" s="1"/>
      <c r="F2971" s="1"/>
      <c r="G2971" s="4" t="str">
        <f>IFERROR(__xludf.DUMMYFUNCTION("""COMPUTED_VALUE"""),"")</f>
        <v/>
      </c>
      <c r="H2971" s="4" t="str">
        <f>IFERROR(__xludf.DUMMYFUNCTION("""COMPUTED_VALUE"""),"")</f>
        <v/>
      </c>
      <c r="I2971" s="4" t="str">
        <f>IFERROR(__xludf.DUMMYFUNCTION("""COMPUTED_VALUE"""),"")</f>
        <v/>
      </c>
      <c r="J2971" s="4" t="str">
        <f>IFERROR(__xludf.DUMMYFUNCTION("""COMPUTED_VALUE"""),"")</f>
        <v/>
      </c>
      <c r="K2971" s="4" t="str">
        <f>IFERROR(__xludf.DUMMYFUNCTION("""COMPUTED_VALUE"""),"")</f>
        <v/>
      </c>
      <c r="L2971" s="4" t="str">
        <f>IFERROR(__xludf.DUMMYFUNCTION("""COMPUTED_VALUE"""),"")</f>
        <v/>
      </c>
      <c r="M2971" s="1" t="str">
        <f>IFERROR(__xludf.DUMMYFUNCTION("""COMPUTED_VALUE"""),"RFID")</f>
        <v>RFID</v>
      </c>
      <c r="N2971" s="5" t="str">
        <f>IFERROR(__xludf.DUMMYFUNCTION("""COMPUTED_VALUE"""),"")</f>
        <v/>
      </c>
      <c r="O2971" s="5" t="str">
        <f>IFERROR(__xludf.DUMMYFUNCTION("""COMPUTED_VALUE"""),"")</f>
        <v/>
      </c>
      <c r="P2971" s="5" t="str">
        <f>IFERROR(__xludf.DUMMYFUNCTION("""COMPUTED_VALUE"""),"")</f>
        <v/>
      </c>
      <c r="Q2971" s="5" t="str">
        <f>IFERROR(__xludf.DUMMYFUNCTION("""COMPUTED_VALUE"""),"")</f>
        <v/>
      </c>
      <c r="R2971" s="4" t="str">
        <f>IFERROR(__xludf.DUMMYFUNCTION("""COMPUTED_VALUE"""),"")</f>
        <v/>
      </c>
      <c r="S2971" s="1" t="b">
        <f>IFERROR(__xludf.DUMMYFUNCTION("""COMPUTED_VALUE"""),FALSE)</f>
        <v>0</v>
      </c>
      <c r="T2971" s="1" t="b">
        <f>IFERROR(__xludf.DUMMYFUNCTION("""COMPUTED_VALUE"""),FALSE)</f>
        <v>0</v>
      </c>
      <c r="U2971" s="1" t="str">
        <f>IFERROR(__xludf.DUMMYFUNCTION("""COMPUTED_VALUE"""),"")</f>
        <v/>
      </c>
      <c r="V2971" s="1" t="str">
        <f>IFERROR(__xludf.DUMMYFUNCTION("""COMPUTED_VALUE"""),"")</f>
        <v/>
      </c>
      <c r="W2971" s="1" t="str">
        <f>IFERROR(__xludf.DUMMYFUNCTION("""COMPUTED_VALUE"""),"")</f>
        <v/>
      </c>
      <c r="X2971" s="1" t="str">
        <f>IFERROR(__xludf.DUMMYFUNCTION("""COMPUTED_VALUE"""),"")</f>
        <v/>
      </c>
      <c r="Y2971" s="2"/>
      <c r="Z2971" s="2" t="str">
        <f>IFERROR(__xludf.DUMMYFUNCTION("""COMPUTED_VALUE"""),"")</f>
        <v/>
      </c>
    </row>
    <row r="2972">
      <c r="A2972" s="1" t="str">
        <f>IFERROR(__xludf.DUMMYFUNCTION("""COMPUTED_VALUE"""),"")</f>
        <v/>
      </c>
      <c r="B2972" s="1"/>
      <c r="C2972" s="2"/>
      <c r="D2972" s="2"/>
      <c r="E2972" s="1"/>
      <c r="F2972" s="1"/>
      <c r="G2972" s="4" t="str">
        <f>IFERROR(__xludf.DUMMYFUNCTION("""COMPUTED_VALUE"""),"")</f>
        <v/>
      </c>
      <c r="H2972" s="4" t="str">
        <f>IFERROR(__xludf.DUMMYFUNCTION("""COMPUTED_VALUE"""),"")</f>
        <v/>
      </c>
      <c r="I2972" s="4" t="str">
        <f>IFERROR(__xludf.DUMMYFUNCTION("""COMPUTED_VALUE"""),"")</f>
        <v/>
      </c>
      <c r="J2972" s="4" t="str">
        <f>IFERROR(__xludf.DUMMYFUNCTION("""COMPUTED_VALUE"""),"")</f>
        <v/>
      </c>
      <c r="K2972" s="4" t="str">
        <f>IFERROR(__xludf.DUMMYFUNCTION("""COMPUTED_VALUE"""),"")</f>
        <v/>
      </c>
      <c r="L2972" s="4" t="str">
        <f>IFERROR(__xludf.DUMMYFUNCTION("""COMPUTED_VALUE"""),"")</f>
        <v/>
      </c>
      <c r="M2972" s="1" t="str">
        <f>IFERROR(__xludf.DUMMYFUNCTION("""COMPUTED_VALUE"""),"RFID")</f>
        <v>RFID</v>
      </c>
      <c r="N2972" s="5" t="str">
        <f>IFERROR(__xludf.DUMMYFUNCTION("""COMPUTED_VALUE"""),"")</f>
        <v/>
      </c>
      <c r="O2972" s="5" t="str">
        <f>IFERROR(__xludf.DUMMYFUNCTION("""COMPUTED_VALUE"""),"")</f>
        <v/>
      </c>
      <c r="P2972" s="5" t="str">
        <f>IFERROR(__xludf.DUMMYFUNCTION("""COMPUTED_VALUE"""),"")</f>
        <v/>
      </c>
      <c r="Q2972" s="5" t="str">
        <f>IFERROR(__xludf.DUMMYFUNCTION("""COMPUTED_VALUE"""),"")</f>
        <v/>
      </c>
      <c r="R2972" s="4" t="str">
        <f>IFERROR(__xludf.DUMMYFUNCTION("""COMPUTED_VALUE"""),"")</f>
        <v/>
      </c>
      <c r="S2972" s="1" t="b">
        <f>IFERROR(__xludf.DUMMYFUNCTION("""COMPUTED_VALUE"""),FALSE)</f>
        <v>0</v>
      </c>
      <c r="T2972" s="1" t="b">
        <f>IFERROR(__xludf.DUMMYFUNCTION("""COMPUTED_VALUE"""),FALSE)</f>
        <v>0</v>
      </c>
      <c r="U2972" s="1" t="str">
        <f>IFERROR(__xludf.DUMMYFUNCTION("""COMPUTED_VALUE"""),"")</f>
        <v/>
      </c>
      <c r="V2972" s="1" t="str">
        <f>IFERROR(__xludf.DUMMYFUNCTION("""COMPUTED_VALUE"""),"")</f>
        <v/>
      </c>
      <c r="W2972" s="1" t="str">
        <f>IFERROR(__xludf.DUMMYFUNCTION("""COMPUTED_VALUE"""),"")</f>
        <v/>
      </c>
      <c r="X2972" s="1" t="str">
        <f>IFERROR(__xludf.DUMMYFUNCTION("""COMPUTED_VALUE"""),"")</f>
        <v/>
      </c>
      <c r="Y2972" s="2"/>
      <c r="Z2972" s="2" t="str">
        <f>IFERROR(__xludf.DUMMYFUNCTION("""COMPUTED_VALUE"""),"")</f>
        <v/>
      </c>
    </row>
    <row r="2973">
      <c r="A2973" s="1" t="str">
        <f>IFERROR(__xludf.DUMMYFUNCTION("""COMPUTED_VALUE"""),"")</f>
        <v/>
      </c>
      <c r="B2973" s="1"/>
      <c r="C2973" s="2"/>
      <c r="D2973" s="2"/>
      <c r="E2973" s="1"/>
      <c r="F2973" s="1"/>
      <c r="G2973" s="4" t="str">
        <f>IFERROR(__xludf.DUMMYFUNCTION("""COMPUTED_VALUE"""),"")</f>
        <v/>
      </c>
      <c r="H2973" s="4" t="str">
        <f>IFERROR(__xludf.DUMMYFUNCTION("""COMPUTED_VALUE"""),"")</f>
        <v/>
      </c>
      <c r="I2973" s="4" t="str">
        <f>IFERROR(__xludf.DUMMYFUNCTION("""COMPUTED_VALUE"""),"")</f>
        <v/>
      </c>
      <c r="J2973" s="4" t="str">
        <f>IFERROR(__xludf.DUMMYFUNCTION("""COMPUTED_VALUE"""),"")</f>
        <v/>
      </c>
      <c r="K2973" s="4" t="str">
        <f>IFERROR(__xludf.DUMMYFUNCTION("""COMPUTED_VALUE"""),"")</f>
        <v/>
      </c>
      <c r="L2973" s="4" t="str">
        <f>IFERROR(__xludf.DUMMYFUNCTION("""COMPUTED_VALUE"""),"")</f>
        <v/>
      </c>
      <c r="M2973" s="1" t="str">
        <f>IFERROR(__xludf.DUMMYFUNCTION("""COMPUTED_VALUE"""),"RFID")</f>
        <v>RFID</v>
      </c>
      <c r="N2973" s="5" t="str">
        <f>IFERROR(__xludf.DUMMYFUNCTION("""COMPUTED_VALUE"""),"")</f>
        <v/>
      </c>
      <c r="O2973" s="5" t="str">
        <f>IFERROR(__xludf.DUMMYFUNCTION("""COMPUTED_VALUE"""),"")</f>
        <v/>
      </c>
      <c r="P2973" s="5" t="str">
        <f>IFERROR(__xludf.DUMMYFUNCTION("""COMPUTED_VALUE"""),"")</f>
        <v/>
      </c>
      <c r="Q2973" s="5" t="str">
        <f>IFERROR(__xludf.DUMMYFUNCTION("""COMPUTED_VALUE"""),"")</f>
        <v/>
      </c>
      <c r="R2973" s="4" t="str">
        <f>IFERROR(__xludf.DUMMYFUNCTION("""COMPUTED_VALUE"""),"")</f>
        <v/>
      </c>
      <c r="S2973" s="1" t="b">
        <f>IFERROR(__xludf.DUMMYFUNCTION("""COMPUTED_VALUE"""),FALSE)</f>
        <v>0</v>
      </c>
      <c r="T2973" s="1" t="b">
        <f>IFERROR(__xludf.DUMMYFUNCTION("""COMPUTED_VALUE"""),FALSE)</f>
        <v>0</v>
      </c>
      <c r="U2973" s="1" t="str">
        <f>IFERROR(__xludf.DUMMYFUNCTION("""COMPUTED_VALUE"""),"")</f>
        <v/>
      </c>
      <c r="V2973" s="1" t="str">
        <f>IFERROR(__xludf.DUMMYFUNCTION("""COMPUTED_VALUE"""),"")</f>
        <v/>
      </c>
      <c r="W2973" s="1" t="str">
        <f>IFERROR(__xludf.DUMMYFUNCTION("""COMPUTED_VALUE"""),"")</f>
        <v/>
      </c>
      <c r="X2973" s="1" t="str">
        <f>IFERROR(__xludf.DUMMYFUNCTION("""COMPUTED_VALUE"""),"")</f>
        <v/>
      </c>
      <c r="Y2973" s="2"/>
      <c r="Z2973" s="2" t="str">
        <f>IFERROR(__xludf.DUMMYFUNCTION("""COMPUTED_VALUE"""),"")</f>
        <v/>
      </c>
    </row>
    <row r="2974">
      <c r="A2974" s="1" t="str">
        <f>IFERROR(__xludf.DUMMYFUNCTION("""COMPUTED_VALUE"""),"")</f>
        <v/>
      </c>
      <c r="B2974" s="1"/>
      <c r="C2974" s="2"/>
      <c r="D2974" s="2"/>
      <c r="E2974" s="1"/>
      <c r="F2974" s="1"/>
      <c r="G2974" s="4" t="str">
        <f>IFERROR(__xludf.DUMMYFUNCTION("""COMPUTED_VALUE"""),"")</f>
        <v/>
      </c>
      <c r="H2974" s="4" t="str">
        <f>IFERROR(__xludf.DUMMYFUNCTION("""COMPUTED_VALUE"""),"")</f>
        <v/>
      </c>
      <c r="I2974" s="4" t="str">
        <f>IFERROR(__xludf.DUMMYFUNCTION("""COMPUTED_VALUE"""),"")</f>
        <v/>
      </c>
      <c r="J2974" s="4" t="str">
        <f>IFERROR(__xludf.DUMMYFUNCTION("""COMPUTED_VALUE"""),"")</f>
        <v/>
      </c>
      <c r="K2974" s="4" t="str">
        <f>IFERROR(__xludf.DUMMYFUNCTION("""COMPUTED_VALUE"""),"")</f>
        <v/>
      </c>
      <c r="L2974" s="4" t="str">
        <f>IFERROR(__xludf.DUMMYFUNCTION("""COMPUTED_VALUE"""),"")</f>
        <v/>
      </c>
      <c r="M2974" s="1" t="str">
        <f>IFERROR(__xludf.DUMMYFUNCTION("""COMPUTED_VALUE"""),"RFID")</f>
        <v>RFID</v>
      </c>
      <c r="N2974" s="5" t="str">
        <f>IFERROR(__xludf.DUMMYFUNCTION("""COMPUTED_VALUE"""),"")</f>
        <v/>
      </c>
      <c r="O2974" s="5" t="str">
        <f>IFERROR(__xludf.DUMMYFUNCTION("""COMPUTED_VALUE"""),"")</f>
        <v/>
      </c>
      <c r="P2974" s="5" t="str">
        <f>IFERROR(__xludf.DUMMYFUNCTION("""COMPUTED_VALUE"""),"")</f>
        <v/>
      </c>
      <c r="Q2974" s="5" t="str">
        <f>IFERROR(__xludf.DUMMYFUNCTION("""COMPUTED_VALUE"""),"")</f>
        <v/>
      </c>
      <c r="R2974" s="4" t="str">
        <f>IFERROR(__xludf.DUMMYFUNCTION("""COMPUTED_VALUE"""),"")</f>
        <v/>
      </c>
      <c r="S2974" s="1" t="b">
        <f>IFERROR(__xludf.DUMMYFUNCTION("""COMPUTED_VALUE"""),FALSE)</f>
        <v>0</v>
      </c>
      <c r="T2974" s="1" t="b">
        <f>IFERROR(__xludf.DUMMYFUNCTION("""COMPUTED_VALUE"""),FALSE)</f>
        <v>0</v>
      </c>
      <c r="U2974" s="1" t="str">
        <f>IFERROR(__xludf.DUMMYFUNCTION("""COMPUTED_VALUE"""),"")</f>
        <v/>
      </c>
      <c r="V2974" s="1" t="str">
        <f>IFERROR(__xludf.DUMMYFUNCTION("""COMPUTED_VALUE"""),"")</f>
        <v/>
      </c>
      <c r="W2974" s="1" t="str">
        <f>IFERROR(__xludf.DUMMYFUNCTION("""COMPUTED_VALUE"""),"")</f>
        <v/>
      </c>
      <c r="X2974" s="1" t="str">
        <f>IFERROR(__xludf.DUMMYFUNCTION("""COMPUTED_VALUE"""),"")</f>
        <v/>
      </c>
      <c r="Y2974" s="2"/>
      <c r="Z2974" s="2" t="str">
        <f>IFERROR(__xludf.DUMMYFUNCTION("""COMPUTED_VALUE"""),"")</f>
        <v/>
      </c>
    </row>
    <row r="2975">
      <c r="A2975" s="1" t="str">
        <f>IFERROR(__xludf.DUMMYFUNCTION("""COMPUTED_VALUE"""),"")</f>
        <v/>
      </c>
      <c r="B2975" s="1"/>
      <c r="C2975" s="2"/>
      <c r="D2975" s="2"/>
      <c r="E2975" s="1"/>
      <c r="F2975" s="1"/>
      <c r="G2975" s="4" t="str">
        <f>IFERROR(__xludf.DUMMYFUNCTION("""COMPUTED_VALUE"""),"")</f>
        <v/>
      </c>
      <c r="H2975" s="4" t="str">
        <f>IFERROR(__xludf.DUMMYFUNCTION("""COMPUTED_VALUE"""),"")</f>
        <v/>
      </c>
      <c r="I2975" s="4" t="str">
        <f>IFERROR(__xludf.DUMMYFUNCTION("""COMPUTED_VALUE"""),"")</f>
        <v/>
      </c>
      <c r="J2975" s="4" t="str">
        <f>IFERROR(__xludf.DUMMYFUNCTION("""COMPUTED_VALUE"""),"")</f>
        <v/>
      </c>
      <c r="K2975" s="4" t="str">
        <f>IFERROR(__xludf.DUMMYFUNCTION("""COMPUTED_VALUE"""),"")</f>
        <v/>
      </c>
      <c r="L2975" s="4" t="str">
        <f>IFERROR(__xludf.DUMMYFUNCTION("""COMPUTED_VALUE"""),"")</f>
        <v/>
      </c>
      <c r="M2975" s="1" t="str">
        <f>IFERROR(__xludf.DUMMYFUNCTION("""COMPUTED_VALUE"""),"RFID")</f>
        <v>RFID</v>
      </c>
      <c r="N2975" s="5" t="str">
        <f>IFERROR(__xludf.DUMMYFUNCTION("""COMPUTED_VALUE"""),"")</f>
        <v/>
      </c>
      <c r="O2975" s="5" t="str">
        <f>IFERROR(__xludf.DUMMYFUNCTION("""COMPUTED_VALUE"""),"")</f>
        <v/>
      </c>
      <c r="P2975" s="5" t="str">
        <f>IFERROR(__xludf.DUMMYFUNCTION("""COMPUTED_VALUE"""),"")</f>
        <v/>
      </c>
      <c r="Q2975" s="5" t="str">
        <f>IFERROR(__xludf.DUMMYFUNCTION("""COMPUTED_VALUE"""),"")</f>
        <v/>
      </c>
      <c r="R2975" s="4" t="str">
        <f>IFERROR(__xludf.DUMMYFUNCTION("""COMPUTED_VALUE"""),"")</f>
        <v/>
      </c>
      <c r="S2975" s="1" t="b">
        <f>IFERROR(__xludf.DUMMYFUNCTION("""COMPUTED_VALUE"""),FALSE)</f>
        <v>0</v>
      </c>
      <c r="T2975" s="1" t="b">
        <f>IFERROR(__xludf.DUMMYFUNCTION("""COMPUTED_VALUE"""),FALSE)</f>
        <v>0</v>
      </c>
      <c r="U2975" s="1" t="str">
        <f>IFERROR(__xludf.DUMMYFUNCTION("""COMPUTED_VALUE"""),"")</f>
        <v/>
      </c>
      <c r="V2975" s="1" t="str">
        <f>IFERROR(__xludf.DUMMYFUNCTION("""COMPUTED_VALUE"""),"")</f>
        <v/>
      </c>
      <c r="W2975" s="1" t="str">
        <f>IFERROR(__xludf.DUMMYFUNCTION("""COMPUTED_VALUE"""),"")</f>
        <v/>
      </c>
      <c r="X2975" s="1" t="str">
        <f>IFERROR(__xludf.DUMMYFUNCTION("""COMPUTED_VALUE"""),"")</f>
        <v/>
      </c>
      <c r="Y2975" s="2"/>
      <c r="Z2975" s="2" t="str">
        <f>IFERROR(__xludf.DUMMYFUNCTION("""COMPUTED_VALUE"""),"")</f>
        <v/>
      </c>
    </row>
    <row r="2976">
      <c r="A2976" s="1" t="str">
        <f>IFERROR(__xludf.DUMMYFUNCTION("""COMPUTED_VALUE"""),"")</f>
        <v/>
      </c>
      <c r="B2976" s="1"/>
      <c r="C2976" s="2"/>
      <c r="D2976" s="2"/>
      <c r="E2976" s="1"/>
      <c r="F2976" s="1"/>
      <c r="G2976" s="4" t="str">
        <f>IFERROR(__xludf.DUMMYFUNCTION("""COMPUTED_VALUE"""),"")</f>
        <v/>
      </c>
      <c r="H2976" s="4" t="str">
        <f>IFERROR(__xludf.DUMMYFUNCTION("""COMPUTED_VALUE"""),"")</f>
        <v/>
      </c>
      <c r="I2976" s="4" t="str">
        <f>IFERROR(__xludf.DUMMYFUNCTION("""COMPUTED_VALUE"""),"")</f>
        <v/>
      </c>
      <c r="J2976" s="4" t="str">
        <f>IFERROR(__xludf.DUMMYFUNCTION("""COMPUTED_VALUE"""),"")</f>
        <v/>
      </c>
      <c r="K2976" s="4" t="str">
        <f>IFERROR(__xludf.DUMMYFUNCTION("""COMPUTED_VALUE"""),"")</f>
        <v/>
      </c>
      <c r="L2976" s="4" t="str">
        <f>IFERROR(__xludf.DUMMYFUNCTION("""COMPUTED_VALUE"""),"")</f>
        <v/>
      </c>
      <c r="M2976" s="1" t="str">
        <f>IFERROR(__xludf.DUMMYFUNCTION("""COMPUTED_VALUE"""),"RFID")</f>
        <v>RFID</v>
      </c>
      <c r="N2976" s="5" t="str">
        <f>IFERROR(__xludf.DUMMYFUNCTION("""COMPUTED_VALUE"""),"")</f>
        <v/>
      </c>
      <c r="O2976" s="5" t="str">
        <f>IFERROR(__xludf.DUMMYFUNCTION("""COMPUTED_VALUE"""),"")</f>
        <v/>
      </c>
      <c r="P2976" s="5" t="str">
        <f>IFERROR(__xludf.DUMMYFUNCTION("""COMPUTED_VALUE"""),"")</f>
        <v/>
      </c>
      <c r="Q2976" s="5" t="str">
        <f>IFERROR(__xludf.DUMMYFUNCTION("""COMPUTED_VALUE"""),"")</f>
        <v/>
      </c>
      <c r="R2976" s="4" t="str">
        <f>IFERROR(__xludf.DUMMYFUNCTION("""COMPUTED_VALUE"""),"")</f>
        <v/>
      </c>
      <c r="S2976" s="1" t="b">
        <f>IFERROR(__xludf.DUMMYFUNCTION("""COMPUTED_VALUE"""),FALSE)</f>
        <v>0</v>
      </c>
      <c r="T2976" s="1" t="b">
        <f>IFERROR(__xludf.DUMMYFUNCTION("""COMPUTED_VALUE"""),FALSE)</f>
        <v>0</v>
      </c>
      <c r="U2976" s="1" t="str">
        <f>IFERROR(__xludf.DUMMYFUNCTION("""COMPUTED_VALUE"""),"")</f>
        <v/>
      </c>
      <c r="V2976" s="1" t="str">
        <f>IFERROR(__xludf.DUMMYFUNCTION("""COMPUTED_VALUE"""),"")</f>
        <v/>
      </c>
      <c r="W2976" s="1" t="str">
        <f>IFERROR(__xludf.DUMMYFUNCTION("""COMPUTED_VALUE"""),"")</f>
        <v/>
      </c>
      <c r="X2976" s="1" t="str">
        <f>IFERROR(__xludf.DUMMYFUNCTION("""COMPUTED_VALUE"""),"")</f>
        <v/>
      </c>
      <c r="Y2976" s="2"/>
      <c r="Z2976" s="2" t="str">
        <f>IFERROR(__xludf.DUMMYFUNCTION("""COMPUTED_VALUE"""),"")</f>
        <v/>
      </c>
    </row>
    <row r="2977">
      <c r="A2977" s="1" t="str">
        <f>IFERROR(__xludf.DUMMYFUNCTION("""COMPUTED_VALUE"""),"")</f>
        <v/>
      </c>
      <c r="B2977" s="1"/>
      <c r="C2977" s="2"/>
      <c r="D2977" s="2"/>
      <c r="E2977" s="1"/>
      <c r="F2977" s="1"/>
      <c r="G2977" s="4" t="str">
        <f>IFERROR(__xludf.DUMMYFUNCTION("""COMPUTED_VALUE"""),"")</f>
        <v/>
      </c>
      <c r="H2977" s="4" t="str">
        <f>IFERROR(__xludf.DUMMYFUNCTION("""COMPUTED_VALUE"""),"")</f>
        <v/>
      </c>
      <c r="I2977" s="4" t="str">
        <f>IFERROR(__xludf.DUMMYFUNCTION("""COMPUTED_VALUE"""),"")</f>
        <v/>
      </c>
      <c r="J2977" s="4" t="str">
        <f>IFERROR(__xludf.DUMMYFUNCTION("""COMPUTED_VALUE"""),"")</f>
        <v/>
      </c>
      <c r="K2977" s="4" t="str">
        <f>IFERROR(__xludf.DUMMYFUNCTION("""COMPUTED_VALUE"""),"")</f>
        <v/>
      </c>
      <c r="L2977" s="4" t="str">
        <f>IFERROR(__xludf.DUMMYFUNCTION("""COMPUTED_VALUE"""),"")</f>
        <v/>
      </c>
      <c r="M2977" s="1" t="str">
        <f>IFERROR(__xludf.DUMMYFUNCTION("""COMPUTED_VALUE"""),"RFID")</f>
        <v>RFID</v>
      </c>
      <c r="N2977" s="5" t="str">
        <f>IFERROR(__xludf.DUMMYFUNCTION("""COMPUTED_VALUE"""),"")</f>
        <v/>
      </c>
      <c r="O2977" s="5" t="str">
        <f>IFERROR(__xludf.DUMMYFUNCTION("""COMPUTED_VALUE"""),"")</f>
        <v/>
      </c>
      <c r="P2977" s="5" t="str">
        <f>IFERROR(__xludf.DUMMYFUNCTION("""COMPUTED_VALUE"""),"")</f>
        <v/>
      </c>
      <c r="Q2977" s="5" t="str">
        <f>IFERROR(__xludf.DUMMYFUNCTION("""COMPUTED_VALUE"""),"")</f>
        <v/>
      </c>
      <c r="R2977" s="4" t="str">
        <f>IFERROR(__xludf.DUMMYFUNCTION("""COMPUTED_VALUE"""),"")</f>
        <v/>
      </c>
      <c r="S2977" s="1" t="b">
        <f>IFERROR(__xludf.DUMMYFUNCTION("""COMPUTED_VALUE"""),FALSE)</f>
        <v>0</v>
      </c>
      <c r="T2977" s="1" t="b">
        <f>IFERROR(__xludf.DUMMYFUNCTION("""COMPUTED_VALUE"""),FALSE)</f>
        <v>0</v>
      </c>
      <c r="U2977" s="1" t="str">
        <f>IFERROR(__xludf.DUMMYFUNCTION("""COMPUTED_VALUE"""),"")</f>
        <v/>
      </c>
      <c r="V2977" s="1" t="str">
        <f>IFERROR(__xludf.DUMMYFUNCTION("""COMPUTED_VALUE"""),"")</f>
        <v/>
      </c>
      <c r="W2977" s="1" t="str">
        <f>IFERROR(__xludf.DUMMYFUNCTION("""COMPUTED_VALUE"""),"")</f>
        <v/>
      </c>
      <c r="X2977" s="1" t="str">
        <f>IFERROR(__xludf.DUMMYFUNCTION("""COMPUTED_VALUE"""),"")</f>
        <v/>
      </c>
      <c r="Y2977" s="2"/>
      <c r="Z2977" s="2" t="str">
        <f>IFERROR(__xludf.DUMMYFUNCTION("""COMPUTED_VALUE"""),"")</f>
        <v/>
      </c>
    </row>
    <row r="2978">
      <c r="A2978" s="1" t="str">
        <f>IFERROR(__xludf.DUMMYFUNCTION("""COMPUTED_VALUE"""),"")</f>
        <v/>
      </c>
      <c r="B2978" s="1"/>
      <c r="C2978" s="2"/>
      <c r="D2978" s="2"/>
      <c r="E2978" s="1"/>
      <c r="F2978" s="1"/>
      <c r="G2978" s="4" t="str">
        <f>IFERROR(__xludf.DUMMYFUNCTION("""COMPUTED_VALUE"""),"")</f>
        <v/>
      </c>
      <c r="H2978" s="4" t="str">
        <f>IFERROR(__xludf.DUMMYFUNCTION("""COMPUTED_VALUE"""),"")</f>
        <v/>
      </c>
      <c r="I2978" s="4" t="str">
        <f>IFERROR(__xludf.DUMMYFUNCTION("""COMPUTED_VALUE"""),"")</f>
        <v/>
      </c>
      <c r="J2978" s="4" t="str">
        <f>IFERROR(__xludf.DUMMYFUNCTION("""COMPUTED_VALUE"""),"")</f>
        <v/>
      </c>
      <c r="K2978" s="4" t="str">
        <f>IFERROR(__xludf.DUMMYFUNCTION("""COMPUTED_VALUE"""),"")</f>
        <v/>
      </c>
      <c r="L2978" s="4" t="str">
        <f>IFERROR(__xludf.DUMMYFUNCTION("""COMPUTED_VALUE"""),"")</f>
        <v/>
      </c>
      <c r="M2978" s="1" t="str">
        <f>IFERROR(__xludf.DUMMYFUNCTION("""COMPUTED_VALUE"""),"RFID")</f>
        <v>RFID</v>
      </c>
      <c r="N2978" s="5" t="str">
        <f>IFERROR(__xludf.DUMMYFUNCTION("""COMPUTED_VALUE"""),"")</f>
        <v/>
      </c>
      <c r="O2978" s="5" t="str">
        <f>IFERROR(__xludf.DUMMYFUNCTION("""COMPUTED_VALUE"""),"")</f>
        <v/>
      </c>
      <c r="P2978" s="5" t="str">
        <f>IFERROR(__xludf.DUMMYFUNCTION("""COMPUTED_VALUE"""),"")</f>
        <v/>
      </c>
      <c r="Q2978" s="5" t="str">
        <f>IFERROR(__xludf.DUMMYFUNCTION("""COMPUTED_VALUE"""),"")</f>
        <v/>
      </c>
      <c r="R2978" s="4" t="str">
        <f>IFERROR(__xludf.DUMMYFUNCTION("""COMPUTED_VALUE"""),"")</f>
        <v/>
      </c>
      <c r="S2978" s="1" t="b">
        <f>IFERROR(__xludf.DUMMYFUNCTION("""COMPUTED_VALUE"""),FALSE)</f>
        <v>0</v>
      </c>
      <c r="T2978" s="1" t="b">
        <f>IFERROR(__xludf.DUMMYFUNCTION("""COMPUTED_VALUE"""),FALSE)</f>
        <v>0</v>
      </c>
      <c r="U2978" s="1" t="str">
        <f>IFERROR(__xludf.DUMMYFUNCTION("""COMPUTED_VALUE"""),"")</f>
        <v/>
      </c>
      <c r="V2978" s="1" t="str">
        <f>IFERROR(__xludf.DUMMYFUNCTION("""COMPUTED_VALUE"""),"")</f>
        <v/>
      </c>
      <c r="W2978" s="1" t="str">
        <f>IFERROR(__xludf.DUMMYFUNCTION("""COMPUTED_VALUE"""),"")</f>
        <v/>
      </c>
      <c r="X2978" s="1" t="str">
        <f>IFERROR(__xludf.DUMMYFUNCTION("""COMPUTED_VALUE"""),"")</f>
        <v/>
      </c>
      <c r="Y2978" s="2"/>
      <c r="Z2978" s="2" t="str">
        <f>IFERROR(__xludf.DUMMYFUNCTION("""COMPUTED_VALUE"""),"")</f>
        <v/>
      </c>
    </row>
    <row r="2979">
      <c r="A2979" s="1" t="str">
        <f>IFERROR(__xludf.DUMMYFUNCTION("""COMPUTED_VALUE"""),"")</f>
        <v/>
      </c>
      <c r="B2979" s="1"/>
      <c r="C2979" s="2"/>
      <c r="D2979" s="2"/>
      <c r="E2979" s="1"/>
      <c r="F2979" s="1"/>
      <c r="G2979" s="4" t="str">
        <f>IFERROR(__xludf.DUMMYFUNCTION("""COMPUTED_VALUE"""),"")</f>
        <v/>
      </c>
      <c r="H2979" s="4" t="str">
        <f>IFERROR(__xludf.DUMMYFUNCTION("""COMPUTED_VALUE"""),"")</f>
        <v/>
      </c>
      <c r="I2979" s="4" t="str">
        <f>IFERROR(__xludf.DUMMYFUNCTION("""COMPUTED_VALUE"""),"")</f>
        <v/>
      </c>
      <c r="J2979" s="4" t="str">
        <f>IFERROR(__xludf.DUMMYFUNCTION("""COMPUTED_VALUE"""),"")</f>
        <v/>
      </c>
      <c r="K2979" s="4" t="str">
        <f>IFERROR(__xludf.DUMMYFUNCTION("""COMPUTED_VALUE"""),"")</f>
        <v/>
      </c>
      <c r="L2979" s="4" t="str">
        <f>IFERROR(__xludf.DUMMYFUNCTION("""COMPUTED_VALUE"""),"")</f>
        <v/>
      </c>
      <c r="M2979" s="1" t="str">
        <f>IFERROR(__xludf.DUMMYFUNCTION("""COMPUTED_VALUE"""),"RFID")</f>
        <v>RFID</v>
      </c>
      <c r="N2979" s="5" t="str">
        <f>IFERROR(__xludf.DUMMYFUNCTION("""COMPUTED_VALUE"""),"")</f>
        <v/>
      </c>
      <c r="O2979" s="5" t="str">
        <f>IFERROR(__xludf.DUMMYFUNCTION("""COMPUTED_VALUE"""),"")</f>
        <v/>
      </c>
      <c r="P2979" s="5" t="str">
        <f>IFERROR(__xludf.DUMMYFUNCTION("""COMPUTED_VALUE"""),"")</f>
        <v/>
      </c>
      <c r="Q2979" s="5" t="str">
        <f>IFERROR(__xludf.DUMMYFUNCTION("""COMPUTED_VALUE"""),"")</f>
        <v/>
      </c>
      <c r="R2979" s="4" t="str">
        <f>IFERROR(__xludf.DUMMYFUNCTION("""COMPUTED_VALUE"""),"")</f>
        <v/>
      </c>
      <c r="S2979" s="1" t="b">
        <f>IFERROR(__xludf.DUMMYFUNCTION("""COMPUTED_VALUE"""),FALSE)</f>
        <v>0</v>
      </c>
      <c r="T2979" s="1" t="b">
        <f>IFERROR(__xludf.DUMMYFUNCTION("""COMPUTED_VALUE"""),FALSE)</f>
        <v>0</v>
      </c>
      <c r="U2979" s="1" t="str">
        <f>IFERROR(__xludf.DUMMYFUNCTION("""COMPUTED_VALUE"""),"")</f>
        <v/>
      </c>
      <c r="V2979" s="1" t="str">
        <f>IFERROR(__xludf.DUMMYFUNCTION("""COMPUTED_VALUE"""),"")</f>
        <v/>
      </c>
      <c r="W2979" s="1" t="str">
        <f>IFERROR(__xludf.DUMMYFUNCTION("""COMPUTED_VALUE"""),"")</f>
        <v/>
      </c>
      <c r="X2979" s="1" t="str">
        <f>IFERROR(__xludf.DUMMYFUNCTION("""COMPUTED_VALUE"""),"")</f>
        <v/>
      </c>
      <c r="Y2979" s="2"/>
      <c r="Z2979" s="2" t="str">
        <f>IFERROR(__xludf.DUMMYFUNCTION("""COMPUTED_VALUE"""),"")</f>
        <v/>
      </c>
    </row>
    <row r="2980">
      <c r="A2980" s="1" t="str">
        <f>IFERROR(__xludf.DUMMYFUNCTION("""COMPUTED_VALUE"""),"")</f>
        <v/>
      </c>
      <c r="B2980" s="1"/>
      <c r="C2980" s="2"/>
      <c r="D2980" s="2"/>
      <c r="E2980" s="1"/>
      <c r="F2980" s="1"/>
      <c r="G2980" s="4" t="str">
        <f>IFERROR(__xludf.DUMMYFUNCTION("""COMPUTED_VALUE"""),"")</f>
        <v/>
      </c>
      <c r="H2980" s="4" t="str">
        <f>IFERROR(__xludf.DUMMYFUNCTION("""COMPUTED_VALUE"""),"")</f>
        <v/>
      </c>
      <c r="I2980" s="4" t="str">
        <f>IFERROR(__xludf.DUMMYFUNCTION("""COMPUTED_VALUE"""),"")</f>
        <v/>
      </c>
      <c r="J2980" s="4" t="str">
        <f>IFERROR(__xludf.DUMMYFUNCTION("""COMPUTED_VALUE"""),"")</f>
        <v/>
      </c>
      <c r="K2980" s="4" t="str">
        <f>IFERROR(__xludf.DUMMYFUNCTION("""COMPUTED_VALUE"""),"")</f>
        <v/>
      </c>
      <c r="L2980" s="4" t="str">
        <f>IFERROR(__xludf.DUMMYFUNCTION("""COMPUTED_VALUE"""),"")</f>
        <v/>
      </c>
      <c r="M2980" s="1" t="str">
        <f>IFERROR(__xludf.DUMMYFUNCTION("""COMPUTED_VALUE"""),"RFID")</f>
        <v>RFID</v>
      </c>
      <c r="N2980" s="5" t="str">
        <f>IFERROR(__xludf.DUMMYFUNCTION("""COMPUTED_VALUE"""),"")</f>
        <v/>
      </c>
      <c r="O2980" s="5" t="str">
        <f>IFERROR(__xludf.DUMMYFUNCTION("""COMPUTED_VALUE"""),"")</f>
        <v/>
      </c>
      <c r="P2980" s="5" t="str">
        <f>IFERROR(__xludf.DUMMYFUNCTION("""COMPUTED_VALUE"""),"")</f>
        <v/>
      </c>
      <c r="Q2980" s="5" t="str">
        <f>IFERROR(__xludf.DUMMYFUNCTION("""COMPUTED_VALUE"""),"")</f>
        <v/>
      </c>
      <c r="R2980" s="4" t="str">
        <f>IFERROR(__xludf.DUMMYFUNCTION("""COMPUTED_VALUE"""),"")</f>
        <v/>
      </c>
      <c r="S2980" s="1" t="b">
        <f>IFERROR(__xludf.DUMMYFUNCTION("""COMPUTED_VALUE"""),FALSE)</f>
        <v>0</v>
      </c>
      <c r="T2980" s="1" t="b">
        <f>IFERROR(__xludf.DUMMYFUNCTION("""COMPUTED_VALUE"""),FALSE)</f>
        <v>0</v>
      </c>
      <c r="U2980" s="1" t="str">
        <f>IFERROR(__xludf.DUMMYFUNCTION("""COMPUTED_VALUE"""),"")</f>
        <v/>
      </c>
      <c r="V2980" s="1" t="str">
        <f>IFERROR(__xludf.DUMMYFUNCTION("""COMPUTED_VALUE"""),"")</f>
        <v/>
      </c>
      <c r="W2980" s="1" t="str">
        <f>IFERROR(__xludf.DUMMYFUNCTION("""COMPUTED_VALUE"""),"")</f>
        <v/>
      </c>
      <c r="X2980" s="1" t="str">
        <f>IFERROR(__xludf.DUMMYFUNCTION("""COMPUTED_VALUE"""),"")</f>
        <v/>
      </c>
      <c r="Y2980" s="2"/>
      <c r="Z2980" s="2" t="str">
        <f>IFERROR(__xludf.DUMMYFUNCTION("""COMPUTED_VALUE"""),"")</f>
        <v/>
      </c>
    </row>
    <row r="2981">
      <c r="A2981" s="1" t="str">
        <f>IFERROR(__xludf.DUMMYFUNCTION("""COMPUTED_VALUE"""),"")</f>
        <v/>
      </c>
      <c r="B2981" s="1"/>
      <c r="C2981" s="2"/>
      <c r="D2981" s="2"/>
      <c r="E2981" s="1"/>
      <c r="F2981" s="1"/>
      <c r="G2981" s="4" t="str">
        <f>IFERROR(__xludf.DUMMYFUNCTION("""COMPUTED_VALUE"""),"")</f>
        <v/>
      </c>
      <c r="H2981" s="4" t="str">
        <f>IFERROR(__xludf.DUMMYFUNCTION("""COMPUTED_VALUE"""),"")</f>
        <v/>
      </c>
      <c r="I2981" s="4" t="str">
        <f>IFERROR(__xludf.DUMMYFUNCTION("""COMPUTED_VALUE"""),"")</f>
        <v/>
      </c>
      <c r="J2981" s="4" t="str">
        <f>IFERROR(__xludf.DUMMYFUNCTION("""COMPUTED_VALUE"""),"")</f>
        <v/>
      </c>
      <c r="K2981" s="4" t="str">
        <f>IFERROR(__xludf.DUMMYFUNCTION("""COMPUTED_VALUE"""),"")</f>
        <v/>
      </c>
      <c r="L2981" s="4" t="str">
        <f>IFERROR(__xludf.DUMMYFUNCTION("""COMPUTED_VALUE"""),"")</f>
        <v/>
      </c>
      <c r="M2981" s="1" t="str">
        <f>IFERROR(__xludf.DUMMYFUNCTION("""COMPUTED_VALUE"""),"RFID")</f>
        <v>RFID</v>
      </c>
      <c r="N2981" s="5" t="str">
        <f>IFERROR(__xludf.DUMMYFUNCTION("""COMPUTED_VALUE"""),"")</f>
        <v/>
      </c>
      <c r="O2981" s="5" t="str">
        <f>IFERROR(__xludf.DUMMYFUNCTION("""COMPUTED_VALUE"""),"")</f>
        <v/>
      </c>
      <c r="P2981" s="5" t="str">
        <f>IFERROR(__xludf.DUMMYFUNCTION("""COMPUTED_VALUE"""),"")</f>
        <v/>
      </c>
      <c r="Q2981" s="5" t="str">
        <f>IFERROR(__xludf.DUMMYFUNCTION("""COMPUTED_VALUE"""),"")</f>
        <v/>
      </c>
      <c r="R2981" s="4" t="str">
        <f>IFERROR(__xludf.DUMMYFUNCTION("""COMPUTED_VALUE"""),"")</f>
        <v/>
      </c>
      <c r="S2981" s="1" t="b">
        <f>IFERROR(__xludf.DUMMYFUNCTION("""COMPUTED_VALUE"""),FALSE)</f>
        <v>0</v>
      </c>
      <c r="T2981" s="1" t="b">
        <f>IFERROR(__xludf.DUMMYFUNCTION("""COMPUTED_VALUE"""),FALSE)</f>
        <v>0</v>
      </c>
      <c r="U2981" s="1" t="str">
        <f>IFERROR(__xludf.DUMMYFUNCTION("""COMPUTED_VALUE"""),"")</f>
        <v/>
      </c>
      <c r="V2981" s="1" t="str">
        <f>IFERROR(__xludf.DUMMYFUNCTION("""COMPUTED_VALUE"""),"")</f>
        <v/>
      </c>
      <c r="W2981" s="1" t="str">
        <f>IFERROR(__xludf.DUMMYFUNCTION("""COMPUTED_VALUE"""),"")</f>
        <v/>
      </c>
      <c r="X2981" s="1" t="str">
        <f>IFERROR(__xludf.DUMMYFUNCTION("""COMPUTED_VALUE"""),"")</f>
        <v/>
      </c>
      <c r="Y2981" s="2"/>
      <c r="Z2981" s="2" t="str">
        <f>IFERROR(__xludf.DUMMYFUNCTION("""COMPUTED_VALUE"""),"")</f>
        <v/>
      </c>
    </row>
    <row r="2982">
      <c r="A2982" s="1" t="str">
        <f>IFERROR(__xludf.DUMMYFUNCTION("""COMPUTED_VALUE"""),"")</f>
        <v/>
      </c>
      <c r="B2982" s="1"/>
      <c r="C2982" s="2"/>
      <c r="D2982" s="2"/>
      <c r="E2982" s="1"/>
      <c r="F2982" s="1"/>
      <c r="G2982" s="4" t="str">
        <f>IFERROR(__xludf.DUMMYFUNCTION("""COMPUTED_VALUE"""),"")</f>
        <v/>
      </c>
      <c r="H2982" s="4" t="str">
        <f>IFERROR(__xludf.DUMMYFUNCTION("""COMPUTED_VALUE"""),"")</f>
        <v/>
      </c>
      <c r="I2982" s="4" t="str">
        <f>IFERROR(__xludf.DUMMYFUNCTION("""COMPUTED_VALUE"""),"")</f>
        <v/>
      </c>
      <c r="J2982" s="4" t="str">
        <f>IFERROR(__xludf.DUMMYFUNCTION("""COMPUTED_VALUE"""),"")</f>
        <v/>
      </c>
      <c r="K2982" s="4" t="str">
        <f>IFERROR(__xludf.DUMMYFUNCTION("""COMPUTED_VALUE"""),"")</f>
        <v/>
      </c>
      <c r="L2982" s="4" t="str">
        <f>IFERROR(__xludf.DUMMYFUNCTION("""COMPUTED_VALUE"""),"")</f>
        <v/>
      </c>
      <c r="M2982" s="1" t="str">
        <f>IFERROR(__xludf.DUMMYFUNCTION("""COMPUTED_VALUE"""),"RFID")</f>
        <v>RFID</v>
      </c>
      <c r="N2982" s="5" t="str">
        <f>IFERROR(__xludf.DUMMYFUNCTION("""COMPUTED_VALUE"""),"")</f>
        <v/>
      </c>
      <c r="O2982" s="5" t="str">
        <f>IFERROR(__xludf.DUMMYFUNCTION("""COMPUTED_VALUE"""),"")</f>
        <v/>
      </c>
      <c r="P2982" s="5" t="str">
        <f>IFERROR(__xludf.DUMMYFUNCTION("""COMPUTED_VALUE"""),"")</f>
        <v/>
      </c>
      <c r="Q2982" s="5" t="str">
        <f>IFERROR(__xludf.DUMMYFUNCTION("""COMPUTED_VALUE"""),"")</f>
        <v/>
      </c>
      <c r="R2982" s="4" t="str">
        <f>IFERROR(__xludf.DUMMYFUNCTION("""COMPUTED_VALUE"""),"")</f>
        <v/>
      </c>
      <c r="S2982" s="1" t="b">
        <f>IFERROR(__xludf.DUMMYFUNCTION("""COMPUTED_VALUE"""),FALSE)</f>
        <v>0</v>
      </c>
      <c r="T2982" s="1" t="b">
        <f>IFERROR(__xludf.DUMMYFUNCTION("""COMPUTED_VALUE"""),FALSE)</f>
        <v>0</v>
      </c>
      <c r="U2982" s="1" t="str">
        <f>IFERROR(__xludf.DUMMYFUNCTION("""COMPUTED_VALUE"""),"")</f>
        <v/>
      </c>
      <c r="V2982" s="1" t="str">
        <f>IFERROR(__xludf.DUMMYFUNCTION("""COMPUTED_VALUE"""),"")</f>
        <v/>
      </c>
      <c r="W2982" s="1" t="str">
        <f>IFERROR(__xludf.DUMMYFUNCTION("""COMPUTED_VALUE"""),"")</f>
        <v/>
      </c>
      <c r="X2982" s="1" t="str">
        <f>IFERROR(__xludf.DUMMYFUNCTION("""COMPUTED_VALUE"""),"")</f>
        <v/>
      </c>
      <c r="Y2982" s="2"/>
      <c r="Z2982" s="2" t="str">
        <f>IFERROR(__xludf.DUMMYFUNCTION("""COMPUTED_VALUE"""),"")</f>
        <v/>
      </c>
    </row>
    <row r="2983">
      <c r="A2983" s="1" t="str">
        <f>IFERROR(__xludf.DUMMYFUNCTION("""COMPUTED_VALUE"""),"")</f>
        <v/>
      </c>
      <c r="B2983" s="1"/>
      <c r="C2983" s="2"/>
      <c r="D2983" s="2"/>
      <c r="E2983" s="1"/>
      <c r="F2983" s="1"/>
      <c r="G2983" s="4" t="str">
        <f>IFERROR(__xludf.DUMMYFUNCTION("""COMPUTED_VALUE"""),"")</f>
        <v/>
      </c>
      <c r="H2983" s="4" t="str">
        <f>IFERROR(__xludf.DUMMYFUNCTION("""COMPUTED_VALUE"""),"")</f>
        <v/>
      </c>
      <c r="I2983" s="4" t="str">
        <f>IFERROR(__xludf.DUMMYFUNCTION("""COMPUTED_VALUE"""),"")</f>
        <v/>
      </c>
      <c r="J2983" s="4" t="str">
        <f>IFERROR(__xludf.DUMMYFUNCTION("""COMPUTED_VALUE"""),"")</f>
        <v/>
      </c>
      <c r="K2983" s="4" t="str">
        <f>IFERROR(__xludf.DUMMYFUNCTION("""COMPUTED_VALUE"""),"")</f>
        <v/>
      </c>
      <c r="L2983" s="4" t="str">
        <f>IFERROR(__xludf.DUMMYFUNCTION("""COMPUTED_VALUE"""),"")</f>
        <v/>
      </c>
      <c r="M2983" s="1" t="str">
        <f>IFERROR(__xludf.DUMMYFUNCTION("""COMPUTED_VALUE"""),"RFID")</f>
        <v>RFID</v>
      </c>
      <c r="N2983" s="5" t="str">
        <f>IFERROR(__xludf.DUMMYFUNCTION("""COMPUTED_VALUE"""),"")</f>
        <v/>
      </c>
      <c r="O2983" s="5" t="str">
        <f>IFERROR(__xludf.DUMMYFUNCTION("""COMPUTED_VALUE"""),"")</f>
        <v/>
      </c>
      <c r="P2983" s="5" t="str">
        <f>IFERROR(__xludf.DUMMYFUNCTION("""COMPUTED_VALUE"""),"")</f>
        <v/>
      </c>
      <c r="Q2983" s="5" t="str">
        <f>IFERROR(__xludf.DUMMYFUNCTION("""COMPUTED_VALUE"""),"")</f>
        <v/>
      </c>
      <c r="R2983" s="4" t="str">
        <f>IFERROR(__xludf.DUMMYFUNCTION("""COMPUTED_VALUE"""),"")</f>
        <v/>
      </c>
      <c r="S2983" s="1" t="b">
        <f>IFERROR(__xludf.DUMMYFUNCTION("""COMPUTED_VALUE"""),FALSE)</f>
        <v>0</v>
      </c>
      <c r="T2983" s="1" t="b">
        <f>IFERROR(__xludf.DUMMYFUNCTION("""COMPUTED_VALUE"""),FALSE)</f>
        <v>0</v>
      </c>
      <c r="U2983" s="1" t="str">
        <f>IFERROR(__xludf.DUMMYFUNCTION("""COMPUTED_VALUE"""),"")</f>
        <v/>
      </c>
      <c r="V2983" s="1" t="str">
        <f>IFERROR(__xludf.DUMMYFUNCTION("""COMPUTED_VALUE"""),"")</f>
        <v/>
      </c>
      <c r="W2983" s="1" t="str">
        <f>IFERROR(__xludf.DUMMYFUNCTION("""COMPUTED_VALUE"""),"")</f>
        <v/>
      </c>
      <c r="X2983" s="1" t="str">
        <f>IFERROR(__xludf.DUMMYFUNCTION("""COMPUTED_VALUE"""),"")</f>
        <v/>
      </c>
      <c r="Y2983" s="2"/>
      <c r="Z2983" s="2" t="str">
        <f>IFERROR(__xludf.DUMMYFUNCTION("""COMPUTED_VALUE"""),"")</f>
        <v/>
      </c>
    </row>
    <row r="2984">
      <c r="A2984" s="1" t="str">
        <f>IFERROR(__xludf.DUMMYFUNCTION("""COMPUTED_VALUE"""),"")</f>
        <v/>
      </c>
      <c r="B2984" s="1"/>
      <c r="C2984" s="2"/>
      <c r="D2984" s="2"/>
      <c r="E2984" s="1"/>
      <c r="F2984" s="1"/>
      <c r="G2984" s="4" t="str">
        <f>IFERROR(__xludf.DUMMYFUNCTION("""COMPUTED_VALUE"""),"")</f>
        <v/>
      </c>
      <c r="H2984" s="4" t="str">
        <f>IFERROR(__xludf.DUMMYFUNCTION("""COMPUTED_VALUE"""),"")</f>
        <v/>
      </c>
      <c r="I2984" s="4" t="str">
        <f>IFERROR(__xludf.DUMMYFUNCTION("""COMPUTED_VALUE"""),"")</f>
        <v/>
      </c>
      <c r="J2984" s="4" t="str">
        <f>IFERROR(__xludf.DUMMYFUNCTION("""COMPUTED_VALUE"""),"")</f>
        <v/>
      </c>
      <c r="K2984" s="4" t="str">
        <f>IFERROR(__xludf.DUMMYFUNCTION("""COMPUTED_VALUE"""),"")</f>
        <v/>
      </c>
      <c r="L2984" s="4" t="str">
        <f>IFERROR(__xludf.DUMMYFUNCTION("""COMPUTED_VALUE"""),"")</f>
        <v/>
      </c>
      <c r="M2984" s="1" t="str">
        <f>IFERROR(__xludf.DUMMYFUNCTION("""COMPUTED_VALUE"""),"RFID")</f>
        <v>RFID</v>
      </c>
      <c r="N2984" s="5" t="str">
        <f>IFERROR(__xludf.DUMMYFUNCTION("""COMPUTED_VALUE"""),"")</f>
        <v/>
      </c>
      <c r="O2984" s="5" t="str">
        <f>IFERROR(__xludf.DUMMYFUNCTION("""COMPUTED_VALUE"""),"")</f>
        <v/>
      </c>
      <c r="P2984" s="5" t="str">
        <f>IFERROR(__xludf.DUMMYFUNCTION("""COMPUTED_VALUE"""),"")</f>
        <v/>
      </c>
      <c r="Q2984" s="5" t="str">
        <f>IFERROR(__xludf.DUMMYFUNCTION("""COMPUTED_VALUE"""),"")</f>
        <v/>
      </c>
      <c r="R2984" s="4" t="str">
        <f>IFERROR(__xludf.DUMMYFUNCTION("""COMPUTED_VALUE"""),"")</f>
        <v/>
      </c>
      <c r="S2984" s="1" t="b">
        <f>IFERROR(__xludf.DUMMYFUNCTION("""COMPUTED_VALUE"""),FALSE)</f>
        <v>0</v>
      </c>
      <c r="T2984" s="1" t="b">
        <f>IFERROR(__xludf.DUMMYFUNCTION("""COMPUTED_VALUE"""),FALSE)</f>
        <v>0</v>
      </c>
      <c r="U2984" s="1" t="str">
        <f>IFERROR(__xludf.DUMMYFUNCTION("""COMPUTED_VALUE"""),"")</f>
        <v/>
      </c>
      <c r="V2984" s="1" t="str">
        <f>IFERROR(__xludf.DUMMYFUNCTION("""COMPUTED_VALUE"""),"")</f>
        <v/>
      </c>
      <c r="W2984" s="1" t="str">
        <f>IFERROR(__xludf.DUMMYFUNCTION("""COMPUTED_VALUE"""),"")</f>
        <v/>
      </c>
      <c r="X2984" s="1" t="str">
        <f>IFERROR(__xludf.DUMMYFUNCTION("""COMPUTED_VALUE"""),"")</f>
        <v/>
      </c>
      <c r="Y2984" s="2"/>
      <c r="Z2984" s="2" t="str">
        <f>IFERROR(__xludf.DUMMYFUNCTION("""COMPUTED_VALUE"""),"")</f>
        <v/>
      </c>
    </row>
    <row r="2985">
      <c r="A2985" s="1" t="str">
        <f>IFERROR(__xludf.DUMMYFUNCTION("""COMPUTED_VALUE"""),"")</f>
        <v/>
      </c>
      <c r="B2985" s="1"/>
      <c r="C2985" s="2"/>
      <c r="D2985" s="2"/>
      <c r="E2985" s="1"/>
      <c r="F2985" s="1"/>
      <c r="G2985" s="4" t="str">
        <f>IFERROR(__xludf.DUMMYFUNCTION("""COMPUTED_VALUE"""),"")</f>
        <v/>
      </c>
      <c r="H2985" s="4" t="str">
        <f>IFERROR(__xludf.DUMMYFUNCTION("""COMPUTED_VALUE"""),"")</f>
        <v/>
      </c>
      <c r="I2985" s="4" t="str">
        <f>IFERROR(__xludf.DUMMYFUNCTION("""COMPUTED_VALUE"""),"")</f>
        <v/>
      </c>
      <c r="J2985" s="4" t="str">
        <f>IFERROR(__xludf.DUMMYFUNCTION("""COMPUTED_VALUE"""),"")</f>
        <v/>
      </c>
      <c r="K2985" s="4" t="str">
        <f>IFERROR(__xludf.DUMMYFUNCTION("""COMPUTED_VALUE"""),"")</f>
        <v/>
      </c>
      <c r="L2985" s="4" t="str">
        <f>IFERROR(__xludf.DUMMYFUNCTION("""COMPUTED_VALUE"""),"")</f>
        <v/>
      </c>
      <c r="M2985" s="1" t="str">
        <f>IFERROR(__xludf.DUMMYFUNCTION("""COMPUTED_VALUE"""),"RFID")</f>
        <v>RFID</v>
      </c>
      <c r="N2985" s="5" t="str">
        <f>IFERROR(__xludf.DUMMYFUNCTION("""COMPUTED_VALUE"""),"")</f>
        <v/>
      </c>
      <c r="O2985" s="5" t="str">
        <f>IFERROR(__xludf.DUMMYFUNCTION("""COMPUTED_VALUE"""),"")</f>
        <v/>
      </c>
      <c r="P2985" s="5" t="str">
        <f>IFERROR(__xludf.DUMMYFUNCTION("""COMPUTED_VALUE"""),"")</f>
        <v/>
      </c>
      <c r="Q2985" s="5" t="str">
        <f>IFERROR(__xludf.DUMMYFUNCTION("""COMPUTED_VALUE"""),"")</f>
        <v/>
      </c>
      <c r="R2985" s="4" t="str">
        <f>IFERROR(__xludf.DUMMYFUNCTION("""COMPUTED_VALUE"""),"")</f>
        <v/>
      </c>
      <c r="S2985" s="1" t="b">
        <f>IFERROR(__xludf.DUMMYFUNCTION("""COMPUTED_VALUE"""),FALSE)</f>
        <v>0</v>
      </c>
      <c r="T2985" s="1" t="b">
        <f>IFERROR(__xludf.DUMMYFUNCTION("""COMPUTED_VALUE"""),FALSE)</f>
        <v>0</v>
      </c>
      <c r="U2985" s="1" t="str">
        <f>IFERROR(__xludf.DUMMYFUNCTION("""COMPUTED_VALUE"""),"")</f>
        <v/>
      </c>
      <c r="V2985" s="1" t="str">
        <f>IFERROR(__xludf.DUMMYFUNCTION("""COMPUTED_VALUE"""),"")</f>
        <v/>
      </c>
      <c r="W2985" s="1" t="str">
        <f>IFERROR(__xludf.DUMMYFUNCTION("""COMPUTED_VALUE"""),"")</f>
        <v/>
      </c>
      <c r="X2985" s="1" t="str">
        <f>IFERROR(__xludf.DUMMYFUNCTION("""COMPUTED_VALUE"""),"")</f>
        <v/>
      </c>
      <c r="Y2985" s="2"/>
      <c r="Z2985" s="2" t="str">
        <f>IFERROR(__xludf.DUMMYFUNCTION("""COMPUTED_VALUE"""),"")</f>
        <v/>
      </c>
    </row>
    <row r="2986">
      <c r="A2986" s="1" t="str">
        <f>IFERROR(__xludf.DUMMYFUNCTION("""COMPUTED_VALUE"""),"")</f>
        <v/>
      </c>
      <c r="B2986" s="1"/>
      <c r="C2986" s="2"/>
      <c r="D2986" s="2"/>
      <c r="E2986" s="1"/>
      <c r="F2986" s="1"/>
      <c r="G2986" s="4" t="str">
        <f>IFERROR(__xludf.DUMMYFUNCTION("""COMPUTED_VALUE"""),"")</f>
        <v/>
      </c>
      <c r="H2986" s="4" t="str">
        <f>IFERROR(__xludf.DUMMYFUNCTION("""COMPUTED_VALUE"""),"")</f>
        <v/>
      </c>
      <c r="I2986" s="4" t="str">
        <f>IFERROR(__xludf.DUMMYFUNCTION("""COMPUTED_VALUE"""),"")</f>
        <v/>
      </c>
      <c r="J2986" s="4" t="str">
        <f>IFERROR(__xludf.DUMMYFUNCTION("""COMPUTED_VALUE"""),"")</f>
        <v/>
      </c>
      <c r="K2986" s="4" t="str">
        <f>IFERROR(__xludf.DUMMYFUNCTION("""COMPUTED_VALUE"""),"")</f>
        <v/>
      </c>
      <c r="L2986" s="4" t="str">
        <f>IFERROR(__xludf.DUMMYFUNCTION("""COMPUTED_VALUE"""),"")</f>
        <v/>
      </c>
      <c r="M2986" s="1" t="str">
        <f>IFERROR(__xludf.DUMMYFUNCTION("""COMPUTED_VALUE"""),"RFID")</f>
        <v>RFID</v>
      </c>
      <c r="N2986" s="5" t="str">
        <f>IFERROR(__xludf.DUMMYFUNCTION("""COMPUTED_VALUE"""),"")</f>
        <v/>
      </c>
      <c r="O2986" s="5" t="str">
        <f>IFERROR(__xludf.DUMMYFUNCTION("""COMPUTED_VALUE"""),"")</f>
        <v/>
      </c>
      <c r="P2986" s="5" t="str">
        <f>IFERROR(__xludf.DUMMYFUNCTION("""COMPUTED_VALUE"""),"")</f>
        <v/>
      </c>
      <c r="Q2986" s="5" t="str">
        <f>IFERROR(__xludf.DUMMYFUNCTION("""COMPUTED_VALUE"""),"")</f>
        <v/>
      </c>
      <c r="R2986" s="4" t="str">
        <f>IFERROR(__xludf.DUMMYFUNCTION("""COMPUTED_VALUE"""),"")</f>
        <v/>
      </c>
      <c r="S2986" s="1" t="b">
        <f>IFERROR(__xludf.DUMMYFUNCTION("""COMPUTED_VALUE"""),FALSE)</f>
        <v>0</v>
      </c>
      <c r="T2986" s="1" t="b">
        <f>IFERROR(__xludf.DUMMYFUNCTION("""COMPUTED_VALUE"""),FALSE)</f>
        <v>0</v>
      </c>
      <c r="U2986" s="1" t="str">
        <f>IFERROR(__xludf.DUMMYFUNCTION("""COMPUTED_VALUE"""),"")</f>
        <v/>
      </c>
      <c r="V2986" s="1" t="str">
        <f>IFERROR(__xludf.DUMMYFUNCTION("""COMPUTED_VALUE"""),"")</f>
        <v/>
      </c>
      <c r="W2986" s="1" t="str">
        <f>IFERROR(__xludf.DUMMYFUNCTION("""COMPUTED_VALUE"""),"")</f>
        <v/>
      </c>
      <c r="X2986" s="1" t="str">
        <f>IFERROR(__xludf.DUMMYFUNCTION("""COMPUTED_VALUE"""),"")</f>
        <v/>
      </c>
      <c r="Y2986" s="2"/>
      <c r="Z2986" s="2" t="str">
        <f>IFERROR(__xludf.DUMMYFUNCTION("""COMPUTED_VALUE"""),"")</f>
        <v/>
      </c>
    </row>
    <row r="2987">
      <c r="A2987" s="1" t="str">
        <f>IFERROR(__xludf.DUMMYFUNCTION("""COMPUTED_VALUE"""),"")</f>
        <v/>
      </c>
      <c r="B2987" s="1"/>
      <c r="C2987" s="2"/>
      <c r="D2987" s="2"/>
      <c r="E2987" s="1"/>
      <c r="F2987" s="1"/>
      <c r="G2987" s="4" t="str">
        <f>IFERROR(__xludf.DUMMYFUNCTION("""COMPUTED_VALUE"""),"")</f>
        <v/>
      </c>
      <c r="H2987" s="4" t="str">
        <f>IFERROR(__xludf.DUMMYFUNCTION("""COMPUTED_VALUE"""),"")</f>
        <v/>
      </c>
      <c r="I2987" s="4" t="str">
        <f>IFERROR(__xludf.DUMMYFUNCTION("""COMPUTED_VALUE"""),"")</f>
        <v/>
      </c>
      <c r="J2987" s="4" t="str">
        <f>IFERROR(__xludf.DUMMYFUNCTION("""COMPUTED_VALUE"""),"")</f>
        <v/>
      </c>
      <c r="K2987" s="4" t="str">
        <f>IFERROR(__xludf.DUMMYFUNCTION("""COMPUTED_VALUE"""),"")</f>
        <v/>
      </c>
      <c r="L2987" s="4" t="str">
        <f>IFERROR(__xludf.DUMMYFUNCTION("""COMPUTED_VALUE"""),"")</f>
        <v/>
      </c>
      <c r="M2987" s="1" t="str">
        <f>IFERROR(__xludf.DUMMYFUNCTION("""COMPUTED_VALUE"""),"RFID")</f>
        <v>RFID</v>
      </c>
      <c r="N2987" s="5" t="str">
        <f>IFERROR(__xludf.DUMMYFUNCTION("""COMPUTED_VALUE"""),"")</f>
        <v/>
      </c>
      <c r="O2987" s="5" t="str">
        <f>IFERROR(__xludf.DUMMYFUNCTION("""COMPUTED_VALUE"""),"")</f>
        <v/>
      </c>
      <c r="P2987" s="5" t="str">
        <f>IFERROR(__xludf.DUMMYFUNCTION("""COMPUTED_VALUE"""),"")</f>
        <v/>
      </c>
      <c r="Q2987" s="5" t="str">
        <f>IFERROR(__xludf.DUMMYFUNCTION("""COMPUTED_VALUE"""),"")</f>
        <v/>
      </c>
      <c r="R2987" s="4" t="str">
        <f>IFERROR(__xludf.DUMMYFUNCTION("""COMPUTED_VALUE"""),"")</f>
        <v/>
      </c>
      <c r="S2987" s="1" t="b">
        <f>IFERROR(__xludf.DUMMYFUNCTION("""COMPUTED_VALUE"""),FALSE)</f>
        <v>0</v>
      </c>
      <c r="T2987" s="1" t="b">
        <f>IFERROR(__xludf.DUMMYFUNCTION("""COMPUTED_VALUE"""),FALSE)</f>
        <v>0</v>
      </c>
      <c r="U2987" s="1" t="str">
        <f>IFERROR(__xludf.DUMMYFUNCTION("""COMPUTED_VALUE"""),"")</f>
        <v/>
      </c>
      <c r="V2987" s="1" t="str">
        <f>IFERROR(__xludf.DUMMYFUNCTION("""COMPUTED_VALUE"""),"")</f>
        <v/>
      </c>
      <c r="W2987" s="1" t="str">
        <f>IFERROR(__xludf.DUMMYFUNCTION("""COMPUTED_VALUE"""),"")</f>
        <v/>
      </c>
      <c r="X2987" s="1" t="str">
        <f>IFERROR(__xludf.DUMMYFUNCTION("""COMPUTED_VALUE"""),"")</f>
        <v/>
      </c>
      <c r="Y2987" s="2"/>
      <c r="Z2987" s="2" t="str">
        <f>IFERROR(__xludf.DUMMYFUNCTION("""COMPUTED_VALUE"""),"")</f>
        <v/>
      </c>
    </row>
    <row r="2988">
      <c r="A2988" s="1" t="str">
        <f>IFERROR(__xludf.DUMMYFUNCTION("""COMPUTED_VALUE"""),"")</f>
        <v/>
      </c>
      <c r="B2988" s="1"/>
      <c r="C2988" s="2"/>
      <c r="D2988" s="2"/>
      <c r="E2988" s="1"/>
      <c r="F2988" s="1"/>
      <c r="G2988" s="4" t="str">
        <f>IFERROR(__xludf.DUMMYFUNCTION("""COMPUTED_VALUE"""),"")</f>
        <v/>
      </c>
      <c r="H2988" s="4" t="str">
        <f>IFERROR(__xludf.DUMMYFUNCTION("""COMPUTED_VALUE"""),"")</f>
        <v/>
      </c>
      <c r="I2988" s="4" t="str">
        <f>IFERROR(__xludf.DUMMYFUNCTION("""COMPUTED_VALUE"""),"")</f>
        <v/>
      </c>
      <c r="J2988" s="4" t="str">
        <f>IFERROR(__xludf.DUMMYFUNCTION("""COMPUTED_VALUE"""),"")</f>
        <v/>
      </c>
      <c r="K2988" s="4" t="str">
        <f>IFERROR(__xludf.DUMMYFUNCTION("""COMPUTED_VALUE"""),"")</f>
        <v/>
      </c>
      <c r="L2988" s="4" t="str">
        <f>IFERROR(__xludf.DUMMYFUNCTION("""COMPUTED_VALUE"""),"")</f>
        <v/>
      </c>
      <c r="M2988" s="1" t="str">
        <f>IFERROR(__xludf.DUMMYFUNCTION("""COMPUTED_VALUE"""),"RFID")</f>
        <v>RFID</v>
      </c>
      <c r="N2988" s="5" t="str">
        <f>IFERROR(__xludf.DUMMYFUNCTION("""COMPUTED_VALUE"""),"")</f>
        <v/>
      </c>
      <c r="O2988" s="5" t="str">
        <f>IFERROR(__xludf.DUMMYFUNCTION("""COMPUTED_VALUE"""),"")</f>
        <v/>
      </c>
      <c r="P2988" s="5" t="str">
        <f>IFERROR(__xludf.DUMMYFUNCTION("""COMPUTED_VALUE"""),"")</f>
        <v/>
      </c>
      <c r="Q2988" s="5" t="str">
        <f>IFERROR(__xludf.DUMMYFUNCTION("""COMPUTED_VALUE"""),"")</f>
        <v/>
      </c>
      <c r="R2988" s="4" t="str">
        <f>IFERROR(__xludf.DUMMYFUNCTION("""COMPUTED_VALUE"""),"")</f>
        <v/>
      </c>
      <c r="S2988" s="1" t="b">
        <f>IFERROR(__xludf.DUMMYFUNCTION("""COMPUTED_VALUE"""),FALSE)</f>
        <v>0</v>
      </c>
      <c r="T2988" s="1" t="b">
        <f>IFERROR(__xludf.DUMMYFUNCTION("""COMPUTED_VALUE"""),FALSE)</f>
        <v>0</v>
      </c>
      <c r="U2988" s="1" t="str">
        <f>IFERROR(__xludf.DUMMYFUNCTION("""COMPUTED_VALUE"""),"")</f>
        <v/>
      </c>
      <c r="V2988" s="1" t="str">
        <f>IFERROR(__xludf.DUMMYFUNCTION("""COMPUTED_VALUE"""),"")</f>
        <v/>
      </c>
      <c r="W2988" s="1" t="str">
        <f>IFERROR(__xludf.DUMMYFUNCTION("""COMPUTED_VALUE"""),"")</f>
        <v/>
      </c>
      <c r="X2988" s="1" t="str">
        <f>IFERROR(__xludf.DUMMYFUNCTION("""COMPUTED_VALUE"""),"")</f>
        <v/>
      </c>
      <c r="Y2988" s="2"/>
      <c r="Z2988" s="2" t="str">
        <f>IFERROR(__xludf.DUMMYFUNCTION("""COMPUTED_VALUE"""),"")</f>
        <v/>
      </c>
    </row>
    <row r="2989">
      <c r="A2989" s="1" t="str">
        <f>IFERROR(__xludf.DUMMYFUNCTION("""COMPUTED_VALUE"""),"")</f>
        <v/>
      </c>
      <c r="B2989" s="1"/>
      <c r="C2989" s="2"/>
      <c r="D2989" s="2"/>
      <c r="E2989" s="1"/>
      <c r="F2989" s="1"/>
      <c r="G2989" s="4" t="str">
        <f>IFERROR(__xludf.DUMMYFUNCTION("""COMPUTED_VALUE"""),"")</f>
        <v/>
      </c>
      <c r="H2989" s="4" t="str">
        <f>IFERROR(__xludf.DUMMYFUNCTION("""COMPUTED_VALUE"""),"")</f>
        <v/>
      </c>
      <c r="I2989" s="4" t="str">
        <f>IFERROR(__xludf.DUMMYFUNCTION("""COMPUTED_VALUE"""),"")</f>
        <v/>
      </c>
      <c r="J2989" s="4" t="str">
        <f>IFERROR(__xludf.DUMMYFUNCTION("""COMPUTED_VALUE"""),"")</f>
        <v/>
      </c>
      <c r="K2989" s="4" t="str">
        <f>IFERROR(__xludf.DUMMYFUNCTION("""COMPUTED_VALUE"""),"")</f>
        <v/>
      </c>
      <c r="L2989" s="4" t="str">
        <f>IFERROR(__xludf.DUMMYFUNCTION("""COMPUTED_VALUE"""),"")</f>
        <v/>
      </c>
      <c r="M2989" s="1" t="str">
        <f>IFERROR(__xludf.DUMMYFUNCTION("""COMPUTED_VALUE"""),"RFID")</f>
        <v>RFID</v>
      </c>
      <c r="N2989" s="5" t="str">
        <f>IFERROR(__xludf.DUMMYFUNCTION("""COMPUTED_VALUE"""),"")</f>
        <v/>
      </c>
      <c r="O2989" s="5" t="str">
        <f>IFERROR(__xludf.DUMMYFUNCTION("""COMPUTED_VALUE"""),"")</f>
        <v/>
      </c>
      <c r="P2989" s="5" t="str">
        <f>IFERROR(__xludf.DUMMYFUNCTION("""COMPUTED_VALUE"""),"")</f>
        <v/>
      </c>
      <c r="Q2989" s="5" t="str">
        <f>IFERROR(__xludf.DUMMYFUNCTION("""COMPUTED_VALUE"""),"")</f>
        <v/>
      </c>
      <c r="R2989" s="4" t="str">
        <f>IFERROR(__xludf.DUMMYFUNCTION("""COMPUTED_VALUE"""),"")</f>
        <v/>
      </c>
      <c r="S2989" s="1" t="b">
        <f>IFERROR(__xludf.DUMMYFUNCTION("""COMPUTED_VALUE"""),FALSE)</f>
        <v>0</v>
      </c>
      <c r="T2989" s="1" t="b">
        <f>IFERROR(__xludf.DUMMYFUNCTION("""COMPUTED_VALUE"""),FALSE)</f>
        <v>0</v>
      </c>
      <c r="U2989" s="1" t="str">
        <f>IFERROR(__xludf.DUMMYFUNCTION("""COMPUTED_VALUE"""),"")</f>
        <v/>
      </c>
      <c r="V2989" s="1" t="str">
        <f>IFERROR(__xludf.DUMMYFUNCTION("""COMPUTED_VALUE"""),"")</f>
        <v/>
      </c>
      <c r="W2989" s="1" t="str">
        <f>IFERROR(__xludf.DUMMYFUNCTION("""COMPUTED_VALUE"""),"")</f>
        <v/>
      </c>
      <c r="X2989" s="1" t="str">
        <f>IFERROR(__xludf.DUMMYFUNCTION("""COMPUTED_VALUE"""),"")</f>
        <v/>
      </c>
      <c r="Y2989" s="2"/>
      <c r="Z2989" s="2" t="str">
        <f>IFERROR(__xludf.DUMMYFUNCTION("""COMPUTED_VALUE"""),"")</f>
        <v/>
      </c>
    </row>
    <row r="2990">
      <c r="A2990" s="1" t="str">
        <f>IFERROR(__xludf.DUMMYFUNCTION("""COMPUTED_VALUE"""),"")</f>
        <v/>
      </c>
      <c r="B2990" s="1"/>
      <c r="C2990" s="2"/>
      <c r="D2990" s="2"/>
      <c r="E2990" s="1"/>
      <c r="F2990" s="1"/>
      <c r="G2990" s="4" t="str">
        <f>IFERROR(__xludf.DUMMYFUNCTION("""COMPUTED_VALUE"""),"")</f>
        <v/>
      </c>
      <c r="H2990" s="4" t="str">
        <f>IFERROR(__xludf.DUMMYFUNCTION("""COMPUTED_VALUE"""),"")</f>
        <v/>
      </c>
      <c r="I2990" s="4" t="str">
        <f>IFERROR(__xludf.DUMMYFUNCTION("""COMPUTED_VALUE"""),"")</f>
        <v/>
      </c>
      <c r="J2990" s="4" t="str">
        <f>IFERROR(__xludf.DUMMYFUNCTION("""COMPUTED_VALUE"""),"")</f>
        <v/>
      </c>
      <c r="K2990" s="4" t="str">
        <f>IFERROR(__xludf.DUMMYFUNCTION("""COMPUTED_VALUE"""),"")</f>
        <v/>
      </c>
      <c r="L2990" s="4" t="str">
        <f>IFERROR(__xludf.DUMMYFUNCTION("""COMPUTED_VALUE"""),"")</f>
        <v/>
      </c>
      <c r="M2990" s="1" t="str">
        <f>IFERROR(__xludf.DUMMYFUNCTION("""COMPUTED_VALUE"""),"RFID")</f>
        <v>RFID</v>
      </c>
      <c r="N2990" s="5" t="str">
        <f>IFERROR(__xludf.DUMMYFUNCTION("""COMPUTED_VALUE"""),"")</f>
        <v/>
      </c>
      <c r="O2990" s="5" t="str">
        <f>IFERROR(__xludf.DUMMYFUNCTION("""COMPUTED_VALUE"""),"")</f>
        <v/>
      </c>
      <c r="P2990" s="5" t="str">
        <f>IFERROR(__xludf.DUMMYFUNCTION("""COMPUTED_VALUE"""),"")</f>
        <v/>
      </c>
      <c r="Q2990" s="5" t="str">
        <f>IFERROR(__xludf.DUMMYFUNCTION("""COMPUTED_VALUE"""),"")</f>
        <v/>
      </c>
      <c r="R2990" s="4" t="str">
        <f>IFERROR(__xludf.DUMMYFUNCTION("""COMPUTED_VALUE"""),"")</f>
        <v/>
      </c>
      <c r="S2990" s="1" t="b">
        <f>IFERROR(__xludf.DUMMYFUNCTION("""COMPUTED_VALUE"""),FALSE)</f>
        <v>0</v>
      </c>
      <c r="T2990" s="1" t="b">
        <f>IFERROR(__xludf.DUMMYFUNCTION("""COMPUTED_VALUE"""),FALSE)</f>
        <v>0</v>
      </c>
      <c r="U2990" s="1" t="str">
        <f>IFERROR(__xludf.DUMMYFUNCTION("""COMPUTED_VALUE"""),"")</f>
        <v/>
      </c>
      <c r="V2990" s="1" t="str">
        <f>IFERROR(__xludf.DUMMYFUNCTION("""COMPUTED_VALUE"""),"")</f>
        <v/>
      </c>
      <c r="W2990" s="1" t="str">
        <f>IFERROR(__xludf.DUMMYFUNCTION("""COMPUTED_VALUE"""),"")</f>
        <v/>
      </c>
      <c r="X2990" s="1" t="str">
        <f>IFERROR(__xludf.DUMMYFUNCTION("""COMPUTED_VALUE"""),"")</f>
        <v/>
      </c>
      <c r="Y2990" s="2"/>
      <c r="Z2990" s="2" t="str">
        <f>IFERROR(__xludf.DUMMYFUNCTION("""COMPUTED_VALUE"""),"")</f>
        <v/>
      </c>
    </row>
    <row r="2991">
      <c r="A2991" s="1" t="str">
        <f>IFERROR(__xludf.DUMMYFUNCTION("""COMPUTED_VALUE"""),"")</f>
        <v/>
      </c>
      <c r="B2991" s="1"/>
      <c r="C2991" s="2"/>
      <c r="D2991" s="2"/>
      <c r="E2991" s="1"/>
      <c r="F2991" s="1"/>
      <c r="G2991" s="4" t="str">
        <f>IFERROR(__xludf.DUMMYFUNCTION("""COMPUTED_VALUE"""),"")</f>
        <v/>
      </c>
      <c r="H2991" s="4" t="str">
        <f>IFERROR(__xludf.DUMMYFUNCTION("""COMPUTED_VALUE"""),"")</f>
        <v/>
      </c>
      <c r="I2991" s="4" t="str">
        <f>IFERROR(__xludf.DUMMYFUNCTION("""COMPUTED_VALUE"""),"")</f>
        <v/>
      </c>
      <c r="J2991" s="4" t="str">
        <f>IFERROR(__xludf.DUMMYFUNCTION("""COMPUTED_VALUE"""),"")</f>
        <v/>
      </c>
      <c r="K2991" s="4" t="str">
        <f>IFERROR(__xludf.DUMMYFUNCTION("""COMPUTED_VALUE"""),"")</f>
        <v/>
      </c>
      <c r="L2991" s="4" t="str">
        <f>IFERROR(__xludf.DUMMYFUNCTION("""COMPUTED_VALUE"""),"")</f>
        <v/>
      </c>
      <c r="M2991" s="1" t="str">
        <f>IFERROR(__xludf.DUMMYFUNCTION("""COMPUTED_VALUE"""),"RFID")</f>
        <v>RFID</v>
      </c>
      <c r="N2991" s="5" t="str">
        <f>IFERROR(__xludf.DUMMYFUNCTION("""COMPUTED_VALUE"""),"")</f>
        <v/>
      </c>
      <c r="O2991" s="5" t="str">
        <f>IFERROR(__xludf.DUMMYFUNCTION("""COMPUTED_VALUE"""),"")</f>
        <v/>
      </c>
      <c r="P2991" s="5" t="str">
        <f>IFERROR(__xludf.DUMMYFUNCTION("""COMPUTED_VALUE"""),"")</f>
        <v/>
      </c>
      <c r="Q2991" s="5" t="str">
        <f>IFERROR(__xludf.DUMMYFUNCTION("""COMPUTED_VALUE"""),"")</f>
        <v/>
      </c>
      <c r="R2991" s="4" t="str">
        <f>IFERROR(__xludf.DUMMYFUNCTION("""COMPUTED_VALUE"""),"")</f>
        <v/>
      </c>
      <c r="S2991" s="1" t="b">
        <f>IFERROR(__xludf.DUMMYFUNCTION("""COMPUTED_VALUE"""),FALSE)</f>
        <v>0</v>
      </c>
      <c r="T2991" s="1" t="b">
        <f>IFERROR(__xludf.DUMMYFUNCTION("""COMPUTED_VALUE"""),FALSE)</f>
        <v>0</v>
      </c>
      <c r="U2991" s="1" t="str">
        <f>IFERROR(__xludf.DUMMYFUNCTION("""COMPUTED_VALUE"""),"")</f>
        <v/>
      </c>
      <c r="V2991" s="1" t="str">
        <f>IFERROR(__xludf.DUMMYFUNCTION("""COMPUTED_VALUE"""),"")</f>
        <v/>
      </c>
      <c r="W2991" s="1" t="str">
        <f>IFERROR(__xludf.DUMMYFUNCTION("""COMPUTED_VALUE"""),"")</f>
        <v/>
      </c>
      <c r="X2991" s="1" t="str">
        <f>IFERROR(__xludf.DUMMYFUNCTION("""COMPUTED_VALUE"""),"")</f>
        <v/>
      </c>
      <c r="Y2991" s="2"/>
      <c r="Z2991" s="2" t="str">
        <f>IFERROR(__xludf.DUMMYFUNCTION("""COMPUTED_VALUE"""),"")</f>
        <v/>
      </c>
    </row>
    <row r="2992">
      <c r="A2992" s="1" t="str">
        <f>IFERROR(__xludf.DUMMYFUNCTION("""COMPUTED_VALUE"""),"")</f>
        <v/>
      </c>
      <c r="B2992" s="1"/>
      <c r="C2992" s="2"/>
      <c r="D2992" s="2"/>
      <c r="E2992" s="1"/>
      <c r="F2992" s="1"/>
      <c r="G2992" s="4" t="str">
        <f>IFERROR(__xludf.DUMMYFUNCTION("""COMPUTED_VALUE"""),"")</f>
        <v/>
      </c>
      <c r="H2992" s="4" t="str">
        <f>IFERROR(__xludf.DUMMYFUNCTION("""COMPUTED_VALUE"""),"")</f>
        <v/>
      </c>
      <c r="I2992" s="4" t="str">
        <f>IFERROR(__xludf.DUMMYFUNCTION("""COMPUTED_VALUE"""),"")</f>
        <v/>
      </c>
      <c r="J2992" s="4" t="str">
        <f>IFERROR(__xludf.DUMMYFUNCTION("""COMPUTED_VALUE"""),"")</f>
        <v/>
      </c>
      <c r="K2992" s="4" t="str">
        <f>IFERROR(__xludf.DUMMYFUNCTION("""COMPUTED_VALUE"""),"")</f>
        <v/>
      </c>
      <c r="L2992" s="4" t="str">
        <f>IFERROR(__xludf.DUMMYFUNCTION("""COMPUTED_VALUE"""),"")</f>
        <v/>
      </c>
      <c r="M2992" s="1" t="str">
        <f>IFERROR(__xludf.DUMMYFUNCTION("""COMPUTED_VALUE"""),"RFID")</f>
        <v>RFID</v>
      </c>
      <c r="N2992" s="5" t="str">
        <f>IFERROR(__xludf.DUMMYFUNCTION("""COMPUTED_VALUE"""),"")</f>
        <v/>
      </c>
      <c r="O2992" s="5" t="str">
        <f>IFERROR(__xludf.DUMMYFUNCTION("""COMPUTED_VALUE"""),"")</f>
        <v/>
      </c>
      <c r="P2992" s="5" t="str">
        <f>IFERROR(__xludf.DUMMYFUNCTION("""COMPUTED_VALUE"""),"")</f>
        <v/>
      </c>
      <c r="Q2992" s="5" t="str">
        <f>IFERROR(__xludf.DUMMYFUNCTION("""COMPUTED_VALUE"""),"")</f>
        <v/>
      </c>
      <c r="R2992" s="4" t="str">
        <f>IFERROR(__xludf.DUMMYFUNCTION("""COMPUTED_VALUE"""),"")</f>
        <v/>
      </c>
      <c r="S2992" s="1" t="b">
        <f>IFERROR(__xludf.DUMMYFUNCTION("""COMPUTED_VALUE"""),FALSE)</f>
        <v>0</v>
      </c>
      <c r="T2992" s="1" t="b">
        <f>IFERROR(__xludf.DUMMYFUNCTION("""COMPUTED_VALUE"""),FALSE)</f>
        <v>0</v>
      </c>
      <c r="U2992" s="1" t="str">
        <f>IFERROR(__xludf.DUMMYFUNCTION("""COMPUTED_VALUE"""),"")</f>
        <v/>
      </c>
      <c r="V2992" s="1" t="str">
        <f>IFERROR(__xludf.DUMMYFUNCTION("""COMPUTED_VALUE"""),"")</f>
        <v/>
      </c>
      <c r="W2992" s="1" t="str">
        <f>IFERROR(__xludf.DUMMYFUNCTION("""COMPUTED_VALUE"""),"")</f>
        <v/>
      </c>
      <c r="X2992" s="1" t="str">
        <f>IFERROR(__xludf.DUMMYFUNCTION("""COMPUTED_VALUE"""),"")</f>
        <v/>
      </c>
      <c r="Y2992" s="2"/>
      <c r="Z2992" s="2" t="str">
        <f>IFERROR(__xludf.DUMMYFUNCTION("""COMPUTED_VALUE"""),"")</f>
        <v/>
      </c>
    </row>
    <row r="2993">
      <c r="A2993" s="1" t="str">
        <f>IFERROR(__xludf.DUMMYFUNCTION("""COMPUTED_VALUE"""),"")</f>
        <v/>
      </c>
      <c r="B2993" s="1"/>
      <c r="C2993" s="2"/>
      <c r="D2993" s="2"/>
      <c r="E2993" s="1"/>
      <c r="F2993" s="1"/>
      <c r="G2993" s="4" t="str">
        <f>IFERROR(__xludf.DUMMYFUNCTION("""COMPUTED_VALUE"""),"")</f>
        <v/>
      </c>
      <c r="H2993" s="4" t="str">
        <f>IFERROR(__xludf.DUMMYFUNCTION("""COMPUTED_VALUE"""),"")</f>
        <v/>
      </c>
      <c r="I2993" s="4" t="str">
        <f>IFERROR(__xludf.DUMMYFUNCTION("""COMPUTED_VALUE"""),"")</f>
        <v/>
      </c>
      <c r="J2993" s="4" t="str">
        <f>IFERROR(__xludf.DUMMYFUNCTION("""COMPUTED_VALUE"""),"")</f>
        <v/>
      </c>
      <c r="K2993" s="4" t="str">
        <f>IFERROR(__xludf.DUMMYFUNCTION("""COMPUTED_VALUE"""),"")</f>
        <v/>
      </c>
      <c r="L2993" s="4" t="str">
        <f>IFERROR(__xludf.DUMMYFUNCTION("""COMPUTED_VALUE"""),"")</f>
        <v/>
      </c>
      <c r="M2993" s="1" t="str">
        <f>IFERROR(__xludf.DUMMYFUNCTION("""COMPUTED_VALUE"""),"RFID")</f>
        <v>RFID</v>
      </c>
      <c r="N2993" s="5" t="str">
        <f>IFERROR(__xludf.DUMMYFUNCTION("""COMPUTED_VALUE"""),"")</f>
        <v/>
      </c>
      <c r="O2993" s="5" t="str">
        <f>IFERROR(__xludf.DUMMYFUNCTION("""COMPUTED_VALUE"""),"")</f>
        <v/>
      </c>
      <c r="P2993" s="5" t="str">
        <f>IFERROR(__xludf.DUMMYFUNCTION("""COMPUTED_VALUE"""),"")</f>
        <v/>
      </c>
      <c r="Q2993" s="5" t="str">
        <f>IFERROR(__xludf.DUMMYFUNCTION("""COMPUTED_VALUE"""),"")</f>
        <v/>
      </c>
      <c r="R2993" s="4" t="str">
        <f>IFERROR(__xludf.DUMMYFUNCTION("""COMPUTED_VALUE"""),"")</f>
        <v/>
      </c>
      <c r="S2993" s="1" t="b">
        <f>IFERROR(__xludf.DUMMYFUNCTION("""COMPUTED_VALUE"""),FALSE)</f>
        <v>0</v>
      </c>
      <c r="T2993" s="1" t="b">
        <f>IFERROR(__xludf.DUMMYFUNCTION("""COMPUTED_VALUE"""),FALSE)</f>
        <v>0</v>
      </c>
      <c r="U2993" s="1" t="str">
        <f>IFERROR(__xludf.DUMMYFUNCTION("""COMPUTED_VALUE"""),"")</f>
        <v/>
      </c>
      <c r="V2993" s="1" t="str">
        <f>IFERROR(__xludf.DUMMYFUNCTION("""COMPUTED_VALUE"""),"")</f>
        <v/>
      </c>
      <c r="W2993" s="1" t="str">
        <f>IFERROR(__xludf.DUMMYFUNCTION("""COMPUTED_VALUE"""),"")</f>
        <v/>
      </c>
      <c r="X2993" s="1" t="str">
        <f>IFERROR(__xludf.DUMMYFUNCTION("""COMPUTED_VALUE"""),"")</f>
        <v/>
      </c>
      <c r="Y2993" s="2"/>
      <c r="Z2993" s="2" t="str">
        <f>IFERROR(__xludf.DUMMYFUNCTION("""COMPUTED_VALUE"""),"")</f>
        <v/>
      </c>
    </row>
    <row r="2994">
      <c r="A2994" s="1" t="str">
        <f>IFERROR(__xludf.DUMMYFUNCTION("""COMPUTED_VALUE"""),"")</f>
        <v/>
      </c>
      <c r="B2994" s="1"/>
      <c r="C2994" s="2"/>
      <c r="D2994" s="2"/>
      <c r="E2994" s="1"/>
      <c r="F2994" s="1"/>
      <c r="G2994" s="4" t="str">
        <f>IFERROR(__xludf.DUMMYFUNCTION("""COMPUTED_VALUE"""),"")</f>
        <v/>
      </c>
      <c r="H2994" s="4" t="str">
        <f>IFERROR(__xludf.DUMMYFUNCTION("""COMPUTED_VALUE"""),"")</f>
        <v/>
      </c>
      <c r="I2994" s="4" t="str">
        <f>IFERROR(__xludf.DUMMYFUNCTION("""COMPUTED_VALUE"""),"")</f>
        <v/>
      </c>
      <c r="J2994" s="4" t="str">
        <f>IFERROR(__xludf.DUMMYFUNCTION("""COMPUTED_VALUE"""),"")</f>
        <v/>
      </c>
      <c r="K2994" s="4" t="str">
        <f>IFERROR(__xludf.DUMMYFUNCTION("""COMPUTED_VALUE"""),"")</f>
        <v/>
      </c>
      <c r="L2994" s="4" t="str">
        <f>IFERROR(__xludf.DUMMYFUNCTION("""COMPUTED_VALUE"""),"")</f>
        <v/>
      </c>
      <c r="M2994" s="1" t="str">
        <f>IFERROR(__xludf.DUMMYFUNCTION("""COMPUTED_VALUE"""),"RFID")</f>
        <v>RFID</v>
      </c>
      <c r="N2994" s="5" t="str">
        <f>IFERROR(__xludf.DUMMYFUNCTION("""COMPUTED_VALUE"""),"")</f>
        <v/>
      </c>
      <c r="O2994" s="5" t="str">
        <f>IFERROR(__xludf.DUMMYFUNCTION("""COMPUTED_VALUE"""),"")</f>
        <v/>
      </c>
      <c r="P2994" s="5" t="str">
        <f>IFERROR(__xludf.DUMMYFUNCTION("""COMPUTED_VALUE"""),"")</f>
        <v/>
      </c>
      <c r="Q2994" s="5" t="str">
        <f>IFERROR(__xludf.DUMMYFUNCTION("""COMPUTED_VALUE"""),"")</f>
        <v/>
      </c>
      <c r="R2994" s="4" t="str">
        <f>IFERROR(__xludf.DUMMYFUNCTION("""COMPUTED_VALUE"""),"")</f>
        <v/>
      </c>
      <c r="S2994" s="1" t="b">
        <f>IFERROR(__xludf.DUMMYFUNCTION("""COMPUTED_VALUE"""),FALSE)</f>
        <v>0</v>
      </c>
      <c r="T2994" s="1" t="b">
        <f>IFERROR(__xludf.DUMMYFUNCTION("""COMPUTED_VALUE"""),FALSE)</f>
        <v>0</v>
      </c>
      <c r="U2994" s="1" t="str">
        <f>IFERROR(__xludf.DUMMYFUNCTION("""COMPUTED_VALUE"""),"")</f>
        <v/>
      </c>
      <c r="V2994" s="1" t="str">
        <f>IFERROR(__xludf.DUMMYFUNCTION("""COMPUTED_VALUE"""),"")</f>
        <v/>
      </c>
      <c r="W2994" s="1" t="str">
        <f>IFERROR(__xludf.DUMMYFUNCTION("""COMPUTED_VALUE"""),"")</f>
        <v/>
      </c>
      <c r="X2994" s="1" t="str">
        <f>IFERROR(__xludf.DUMMYFUNCTION("""COMPUTED_VALUE"""),"")</f>
        <v/>
      </c>
      <c r="Y2994" s="2"/>
      <c r="Z2994" s="2" t="str">
        <f>IFERROR(__xludf.DUMMYFUNCTION("""COMPUTED_VALUE"""),"")</f>
        <v/>
      </c>
    </row>
    <row r="2995">
      <c r="A2995" s="1" t="str">
        <f>IFERROR(__xludf.DUMMYFUNCTION("""COMPUTED_VALUE"""),"")</f>
        <v/>
      </c>
      <c r="B2995" s="1"/>
      <c r="C2995" s="2"/>
      <c r="D2995" s="2"/>
      <c r="E2995" s="1"/>
      <c r="F2995" s="1"/>
      <c r="G2995" s="4" t="str">
        <f>IFERROR(__xludf.DUMMYFUNCTION("""COMPUTED_VALUE"""),"")</f>
        <v/>
      </c>
      <c r="H2995" s="4" t="str">
        <f>IFERROR(__xludf.DUMMYFUNCTION("""COMPUTED_VALUE"""),"")</f>
        <v/>
      </c>
      <c r="I2995" s="4" t="str">
        <f>IFERROR(__xludf.DUMMYFUNCTION("""COMPUTED_VALUE"""),"")</f>
        <v/>
      </c>
      <c r="J2995" s="4" t="str">
        <f>IFERROR(__xludf.DUMMYFUNCTION("""COMPUTED_VALUE"""),"")</f>
        <v/>
      </c>
      <c r="K2995" s="4" t="str">
        <f>IFERROR(__xludf.DUMMYFUNCTION("""COMPUTED_VALUE"""),"")</f>
        <v/>
      </c>
      <c r="L2995" s="4" t="str">
        <f>IFERROR(__xludf.DUMMYFUNCTION("""COMPUTED_VALUE"""),"")</f>
        <v/>
      </c>
      <c r="M2995" s="1" t="str">
        <f>IFERROR(__xludf.DUMMYFUNCTION("""COMPUTED_VALUE"""),"RFID")</f>
        <v>RFID</v>
      </c>
      <c r="N2995" s="5" t="str">
        <f>IFERROR(__xludf.DUMMYFUNCTION("""COMPUTED_VALUE"""),"")</f>
        <v/>
      </c>
      <c r="O2995" s="5" t="str">
        <f>IFERROR(__xludf.DUMMYFUNCTION("""COMPUTED_VALUE"""),"")</f>
        <v/>
      </c>
      <c r="P2995" s="5" t="str">
        <f>IFERROR(__xludf.DUMMYFUNCTION("""COMPUTED_VALUE"""),"")</f>
        <v/>
      </c>
      <c r="Q2995" s="5" t="str">
        <f>IFERROR(__xludf.DUMMYFUNCTION("""COMPUTED_VALUE"""),"")</f>
        <v/>
      </c>
      <c r="R2995" s="4" t="str">
        <f>IFERROR(__xludf.DUMMYFUNCTION("""COMPUTED_VALUE"""),"")</f>
        <v/>
      </c>
      <c r="S2995" s="1" t="b">
        <f>IFERROR(__xludf.DUMMYFUNCTION("""COMPUTED_VALUE"""),FALSE)</f>
        <v>0</v>
      </c>
      <c r="T2995" s="1" t="b">
        <f>IFERROR(__xludf.DUMMYFUNCTION("""COMPUTED_VALUE"""),FALSE)</f>
        <v>0</v>
      </c>
      <c r="U2995" s="1" t="str">
        <f>IFERROR(__xludf.DUMMYFUNCTION("""COMPUTED_VALUE"""),"")</f>
        <v/>
      </c>
      <c r="V2995" s="1" t="str">
        <f>IFERROR(__xludf.DUMMYFUNCTION("""COMPUTED_VALUE"""),"")</f>
        <v/>
      </c>
      <c r="W2995" s="1" t="str">
        <f>IFERROR(__xludf.DUMMYFUNCTION("""COMPUTED_VALUE"""),"")</f>
        <v/>
      </c>
      <c r="X2995" s="1" t="str">
        <f>IFERROR(__xludf.DUMMYFUNCTION("""COMPUTED_VALUE"""),"")</f>
        <v/>
      </c>
      <c r="Y2995" s="2"/>
      <c r="Z2995" s="2" t="str">
        <f>IFERROR(__xludf.DUMMYFUNCTION("""COMPUTED_VALUE"""),"")</f>
        <v/>
      </c>
    </row>
    <row r="2996">
      <c r="A2996" s="1" t="str">
        <f>IFERROR(__xludf.DUMMYFUNCTION("""COMPUTED_VALUE"""),"")</f>
        <v/>
      </c>
      <c r="B2996" s="1"/>
      <c r="C2996" s="2"/>
      <c r="D2996" s="2"/>
      <c r="E2996" s="1"/>
      <c r="F2996" s="1"/>
      <c r="G2996" s="4" t="str">
        <f>IFERROR(__xludf.DUMMYFUNCTION("""COMPUTED_VALUE"""),"")</f>
        <v/>
      </c>
      <c r="H2996" s="4" t="str">
        <f>IFERROR(__xludf.DUMMYFUNCTION("""COMPUTED_VALUE"""),"")</f>
        <v/>
      </c>
      <c r="I2996" s="4" t="str">
        <f>IFERROR(__xludf.DUMMYFUNCTION("""COMPUTED_VALUE"""),"")</f>
        <v/>
      </c>
      <c r="J2996" s="4" t="str">
        <f>IFERROR(__xludf.DUMMYFUNCTION("""COMPUTED_VALUE"""),"")</f>
        <v/>
      </c>
      <c r="K2996" s="4" t="str">
        <f>IFERROR(__xludf.DUMMYFUNCTION("""COMPUTED_VALUE"""),"")</f>
        <v/>
      </c>
      <c r="L2996" s="4" t="str">
        <f>IFERROR(__xludf.DUMMYFUNCTION("""COMPUTED_VALUE"""),"")</f>
        <v/>
      </c>
      <c r="M2996" s="1" t="str">
        <f>IFERROR(__xludf.DUMMYFUNCTION("""COMPUTED_VALUE"""),"RFID")</f>
        <v>RFID</v>
      </c>
      <c r="N2996" s="5" t="str">
        <f>IFERROR(__xludf.DUMMYFUNCTION("""COMPUTED_VALUE"""),"")</f>
        <v/>
      </c>
      <c r="O2996" s="5" t="str">
        <f>IFERROR(__xludf.DUMMYFUNCTION("""COMPUTED_VALUE"""),"")</f>
        <v/>
      </c>
      <c r="P2996" s="5" t="str">
        <f>IFERROR(__xludf.DUMMYFUNCTION("""COMPUTED_VALUE"""),"")</f>
        <v/>
      </c>
      <c r="Q2996" s="5" t="str">
        <f>IFERROR(__xludf.DUMMYFUNCTION("""COMPUTED_VALUE"""),"")</f>
        <v/>
      </c>
      <c r="R2996" s="4" t="str">
        <f>IFERROR(__xludf.DUMMYFUNCTION("""COMPUTED_VALUE"""),"")</f>
        <v/>
      </c>
      <c r="S2996" s="1" t="b">
        <f>IFERROR(__xludf.DUMMYFUNCTION("""COMPUTED_VALUE"""),FALSE)</f>
        <v>0</v>
      </c>
      <c r="T2996" s="1" t="b">
        <f>IFERROR(__xludf.DUMMYFUNCTION("""COMPUTED_VALUE"""),FALSE)</f>
        <v>0</v>
      </c>
      <c r="U2996" s="1" t="str">
        <f>IFERROR(__xludf.DUMMYFUNCTION("""COMPUTED_VALUE"""),"")</f>
        <v/>
      </c>
      <c r="V2996" s="1" t="str">
        <f>IFERROR(__xludf.DUMMYFUNCTION("""COMPUTED_VALUE"""),"")</f>
        <v/>
      </c>
      <c r="W2996" s="1" t="str">
        <f>IFERROR(__xludf.DUMMYFUNCTION("""COMPUTED_VALUE"""),"")</f>
        <v/>
      </c>
      <c r="X2996" s="1" t="str">
        <f>IFERROR(__xludf.DUMMYFUNCTION("""COMPUTED_VALUE"""),"")</f>
        <v/>
      </c>
      <c r="Y2996" s="2"/>
      <c r="Z2996" s="2" t="str">
        <f>IFERROR(__xludf.DUMMYFUNCTION("""COMPUTED_VALUE"""),"")</f>
        <v/>
      </c>
    </row>
    <row r="2997">
      <c r="A2997" s="1" t="str">
        <f>IFERROR(__xludf.DUMMYFUNCTION("""COMPUTED_VALUE"""),"")</f>
        <v/>
      </c>
      <c r="B2997" s="1"/>
      <c r="C2997" s="2"/>
      <c r="D2997" s="2"/>
      <c r="E2997" s="1"/>
      <c r="F2997" s="1"/>
      <c r="G2997" s="4" t="str">
        <f>IFERROR(__xludf.DUMMYFUNCTION("""COMPUTED_VALUE"""),"")</f>
        <v/>
      </c>
      <c r="H2997" s="4" t="str">
        <f>IFERROR(__xludf.DUMMYFUNCTION("""COMPUTED_VALUE"""),"")</f>
        <v/>
      </c>
      <c r="I2997" s="4" t="str">
        <f>IFERROR(__xludf.DUMMYFUNCTION("""COMPUTED_VALUE"""),"")</f>
        <v/>
      </c>
      <c r="J2997" s="4" t="str">
        <f>IFERROR(__xludf.DUMMYFUNCTION("""COMPUTED_VALUE"""),"")</f>
        <v/>
      </c>
      <c r="K2997" s="4" t="str">
        <f>IFERROR(__xludf.DUMMYFUNCTION("""COMPUTED_VALUE"""),"")</f>
        <v/>
      </c>
      <c r="L2997" s="4" t="str">
        <f>IFERROR(__xludf.DUMMYFUNCTION("""COMPUTED_VALUE"""),"")</f>
        <v/>
      </c>
      <c r="M2997" s="1" t="str">
        <f>IFERROR(__xludf.DUMMYFUNCTION("""COMPUTED_VALUE"""),"RFID")</f>
        <v>RFID</v>
      </c>
      <c r="N2997" s="5" t="str">
        <f>IFERROR(__xludf.DUMMYFUNCTION("""COMPUTED_VALUE"""),"")</f>
        <v/>
      </c>
      <c r="O2997" s="5" t="str">
        <f>IFERROR(__xludf.DUMMYFUNCTION("""COMPUTED_VALUE"""),"")</f>
        <v/>
      </c>
      <c r="P2997" s="5" t="str">
        <f>IFERROR(__xludf.DUMMYFUNCTION("""COMPUTED_VALUE"""),"")</f>
        <v/>
      </c>
      <c r="Q2997" s="5" t="str">
        <f>IFERROR(__xludf.DUMMYFUNCTION("""COMPUTED_VALUE"""),"")</f>
        <v/>
      </c>
      <c r="R2997" s="4" t="str">
        <f>IFERROR(__xludf.DUMMYFUNCTION("""COMPUTED_VALUE"""),"")</f>
        <v/>
      </c>
      <c r="S2997" s="1" t="b">
        <f>IFERROR(__xludf.DUMMYFUNCTION("""COMPUTED_VALUE"""),FALSE)</f>
        <v>0</v>
      </c>
      <c r="T2997" s="1" t="b">
        <f>IFERROR(__xludf.DUMMYFUNCTION("""COMPUTED_VALUE"""),FALSE)</f>
        <v>0</v>
      </c>
      <c r="U2997" s="1" t="str">
        <f>IFERROR(__xludf.DUMMYFUNCTION("""COMPUTED_VALUE"""),"")</f>
        <v/>
      </c>
      <c r="V2997" s="1" t="str">
        <f>IFERROR(__xludf.DUMMYFUNCTION("""COMPUTED_VALUE"""),"")</f>
        <v/>
      </c>
      <c r="W2997" s="1" t="str">
        <f>IFERROR(__xludf.DUMMYFUNCTION("""COMPUTED_VALUE"""),"")</f>
        <v/>
      </c>
      <c r="X2997" s="1" t="str">
        <f>IFERROR(__xludf.DUMMYFUNCTION("""COMPUTED_VALUE"""),"")</f>
        <v/>
      </c>
      <c r="Y2997" s="2"/>
      <c r="Z2997" s="2" t="str">
        <f>IFERROR(__xludf.DUMMYFUNCTION("""COMPUTED_VALUE"""),"")</f>
        <v/>
      </c>
    </row>
    <row r="2998">
      <c r="A2998" s="1" t="str">
        <f>IFERROR(__xludf.DUMMYFUNCTION("""COMPUTED_VALUE"""),"")</f>
        <v/>
      </c>
      <c r="B2998" s="1"/>
      <c r="C2998" s="2"/>
      <c r="D2998" s="2"/>
      <c r="E2998" s="1"/>
      <c r="F2998" s="1"/>
      <c r="G2998" s="4" t="str">
        <f>IFERROR(__xludf.DUMMYFUNCTION("""COMPUTED_VALUE"""),"")</f>
        <v/>
      </c>
      <c r="H2998" s="4" t="str">
        <f>IFERROR(__xludf.DUMMYFUNCTION("""COMPUTED_VALUE"""),"")</f>
        <v/>
      </c>
      <c r="I2998" s="4" t="str">
        <f>IFERROR(__xludf.DUMMYFUNCTION("""COMPUTED_VALUE"""),"")</f>
        <v/>
      </c>
      <c r="J2998" s="4" t="str">
        <f>IFERROR(__xludf.DUMMYFUNCTION("""COMPUTED_VALUE"""),"")</f>
        <v/>
      </c>
      <c r="K2998" s="4" t="str">
        <f>IFERROR(__xludf.DUMMYFUNCTION("""COMPUTED_VALUE"""),"")</f>
        <v/>
      </c>
      <c r="L2998" s="4" t="str">
        <f>IFERROR(__xludf.DUMMYFUNCTION("""COMPUTED_VALUE"""),"")</f>
        <v/>
      </c>
      <c r="M2998" s="1" t="str">
        <f>IFERROR(__xludf.DUMMYFUNCTION("""COMPUTED_VALUE"""),"RFID")</f>
        <v>RFID</v>
      </c>
      <c r="N2998" s="5" t="str">
        <f>IFERROR(__xludf.DUMMYFUNCTION("""COMPUTED_VALUE"""),"")</f>
        <v/>
      </c>
      <c r="O2998" s="5" t="str">
        <f>IFERROR(__xludf.DUMMYFUNCTION("""COMPUTED_VALUE"""),"")</f>
        <v/>
      </c>
      <c r="P2998" s="5" t="str">
        <f>IFERROR(__xludf.DUMMYFUNCTION("""COMPUTED_VALUE"""),"")</f>
        <v/>
      </c>
      <c r="Q2998" s="5" t="str">
        <f>IFERROR(__xludf.DUMMYFUNCTION("""COMPUTED_VALUE"""),"")</f>
        <v/>
      </c>
      <c r="R2998" s="4" t="str">
        <f>IFERROR(__xludf.DUMMYFUNCTION("""COMPUTED_VALUE"""),"")</f>
        <v/>
      </c>
      <c r="S2998" s="1" t="b">
        <f>IFERROR(__xludf.DUMMYFUNCTION("""COMPUTED_VALUE"""),FALSE)</f>
        <v>0</v>
      </c>
      <c r="T2998" s="1" t="b">
        <f>IFERROR(__xludf.DUMMYFUNCTION("""COMPUTED_VALUE"""),FALSE)</f>
        <v>0</v>
      </c>
      <c r="U2998" s="1" t="str">
        <f>IFERROR(__xludf.DUMMYFUNCTION("""COMPUTED_VALUE"""),"")</f>
        <v/>
      </c>
      <c r="V2998" s="1" t="str">
        <f>IFERROR(__xludf.DUMMYFUNCTION("""COMPUTED_VALUE"""),"")</f>
        <v/>
      </c>
      <c r="W2998" s="1" t="str">
        <f>IFERROR(__xludf.DUMMYFUNCTION("""COMPUTED_VALUE"""),"")</f>
        <v/>
      </c>
      <c r="X2998" s="1" t="str">
        <f>IFERROR(__xludf.DUMMYFUNCTION("""COMPUTED_VALUE"""),"")</f>
        <v/>
      </c>
      <c r="Y2998" s="2"/>
      <c r="Z2998" s="2" t="str">
        <f>IFERROR(__xludf.DUMMYFUNCTION("""COMPUTED_VALUE"""),"")</f>
        <v/>
      </c>
    </row>
    <row r="2999">
      <c r="A2999" s="1" t="str">
        <f>IFERROR(__xludf.DUMMYFUNCTION("""COMPUTED_VALUE"""),"")</f>
        <v/>
      </c>
      <c r="B2999" s="1"/>
      <c r="C2999" s="2"/>
      <c r="D2999" s="2"/>
      <c r="E2999" s="1"/>
      <c r="F2999" s="1"/>
      <c r="G2999" s="4" t="str">
        <f>IFERROR(__xludf.DUMMYFUNCTION("""COMPUTED_VALUE"""),"")</f>
        <v/>
      </c>
      <c r="H2999" s="4" t="str">
        <f>IFERROR(__xludf.DUMMYFUNCTION("""COMPUTED_VALUE"""),"")</f>
        <v/>
      </c>
      <c r="I2999" s="4" t="str">
        <f>IFERROR(__xludf.DUMMYFUNCTION("""COMPUTED_VALUE"""),"")</f>
        <v/>
      </c>
      <c r="J2999" s="4" t="str">
        <f>IFERROR(__xludf.DUMMYFUNCTION("""COMPUTED_VALUE"""),"")</f>
        <v/>
      </c>
      <c r="K2999" s="4" t="str">
        <f>IFERROR(__xludf.DUMMYFUNCTION("""COMPUTED_VALUE"""),"")</f>
        <v/>
      </c>
      <c r="L2999" s="4" t="str">
        <f>IFERROR(__xludf.DUMMYFUNCTION("""COMPUTED_VALUE"""),"")</f>
        <v/>
      </c>
      <c r="M2999" s="1" t="str">
        <f>IFERROR(__xludf.DUMMYFUNCTION("""COMPUTED_VALUE"""),"RFID")</f>
        <v>RFID</v>
      </c>
      <c r="N2999" s="5" t="str">
        <f>IFERROR(__xludf.DUMMYFUNCTION("""COMPUTED_VALUE"""),"")</f>
        <v/>
      </c>
      <c r="O2999" s="5" t="str">
        <f>IFERROR(__xludf.DUMMYFUNCTION("""COMPUTED_VALUE"""),"")</f>
        <v/>
      </c>
      <c r="P2999" s="5" t="str">
        <f>IFERROR(__xludf.DUMMYFUNCTION("""COMPUTED_VALUE"""),"")</f>
        <v/>
      </c>
      <c r="Q2999" s="5" t="str">
        <f>IFERROR(__xludf.DUMMYFUNCTION("""COMPUTED_VALUE"""),"")</f>
        <v/>
      </c>
      <c r="R2999" s="4" t="str">
        <f>IFERROR(__xludf.DUMMYFUNCTION("""COMPUTED_VALUE"""),"")</f>
        <v/>
      </c>
      <c r="S2999" s="1" t="b">
        <f>IFERROR(__xludf.DUMMYFUNCTION("""COMPUTED_VALUE"""),FALSE)</f>
        <v>0</v>
      </c>
      <c r="T2999" s="1" t="b">
        <f>IFERROR(__xludf.DUMMYFUNCTION("""COMPUTED_VALUE"""),FALSE)</f>
        <v>0</v>
      </c>
      <c r="U2999" s="1" t="str">
        <f>IFERROR(__xludf.DUMMYFUNCTION("""COMPUTED_VALUE"""),"")</f>
        <v/>
      </c>
      <c r="V2999" s="1" t="str">
        <f>IFERROR(__xludf.DUMMYFUNCTION("""COMPUTED_VALUE"""),"")</f>
        <v/>
      </c>
      <c r="W2999" s="1" t="str">
        <f>IFERROR(__xludf.DUMMYFUNCTION("""COMPUTED_VALUE"""),"")</f>
        <v/>
      </c>
      <c r="X2999" s="1" t="str">
        <f>IFERROR(__xludf.DUMMYFUNCTION("""COMPUTED_VALUE"""),"")</f>
        <v/>
      </c>
      <c r="Y2999" s="2"/>
      <c r="Z2999" s="2" t="str">
        <f>IFERROR(__xludf.DUMMYFUNCTION("""COMPUTED_VALUE"""),"")</f>
        <v/>
      </c>
    </row>
    <row r="3000">
      <c r="A3000" s="1" t="str">
        <f>IFERROR(__xludf.DUMMYFUNCTION("""COMPUTED_VALUE"""),"")</f>
        <v/>
      </c>
      <c r="B3000" s="1"/>
      <c r="C3000" s="2"/>
      <c r="D3000" s="2"/>
      <c r="E3000" s="1"/>
      <c r="F3000" s="1"/>
      <c r="G3000" s="4" t="str">
        <f>IFERROR(__xludf.DUMMYFUNCTION("""COMPUTED_VALUE"""),"")</f>
        <v/>
      </c>
      <c r="H3000" s="4" t="str">
        <f>IFERROR(__xludf.DUMMYFUNCTION("""COMPUTED_VALUE"""),"")</f>
        <v/>
      </c>
      <c r="I3000" s="4" t="str">
        <f>IFERROR(__xludf.DUMMYFUNCTION("""COMPUTED_VALUE"""),"")</f>
        <v/>
      </c>
      <c r="J3000" s="4" t="str">
        <f>IFERROR(__xludf.DUMMYFUNCTION("""COMPUTED_VALUE"""),"")</f>
        <v/>
      </c>
      <c r="K3000" s="4" t="str">
        <f>IFERROR(__xludf.DUMMYFUNCTION("""COMPUTED_VALUE"""),"")</f>
        <v/>
      </c>
      <c r="L3000" s="4" t="str">
        <f>IFERROR(__xludf.DUMMYFUNCTION("""COMPUTED_VALUE"""),"")</f>
        <v/>
      </c>
      <c r="M3000" s="1" t="str">
        <f>IFERROR(__xludf.DUMMYFUNCTION("""COMPUTED_VALUE"""),"RFID")</f>
        <v>RFID</v>
      </c>
      <c r="N3000" s="5" t="str">
        <f>IFERROR(__xludf.DUMMYFUNCTION("""COMPUTED_VALUE"""),"")</f>
        <v/>
      </c>
      <c r="O3000" s="5" t="str">
        <f>IFERROR(__xludf.DUMMYFUNCTION("""COMPUTED_VALUE"""),"")</f>
        <v/>
      </c>
      <c r="P3000" s="5" t="str">
        <f>IFERROR(__xludf.DUMMYFUNCTION("""COMPUTED_VALUE"""),"")</f>
        <v/>
      </c>
      <c r="Q3000" s="5" t="str">
        <f>IFERROR(__xludf.DUMMYFUNCTION("""COMPUTED_VALUE"""),"")</f>
        <v/>
      </c>
      <c r="R3000" s="4" t="str">
        <f>IFERROR(__xludf.DUMMYFUNCTION("""COMPUTED_VALUE"""),"")</f>
        <v/>
      </c>
      <c r="S3000" s="1" t="b">
        <f>IFERROR(__xludf.DUMMYFUNCTION("""COMPUTED_VALUE"""),FALSE)</f>
        <v>0</v>
      </c>
      <c r="T3000" s="1" t="b">
        <f>IFERROR(__xludf.DUMMYFUNCTION("""COMPUTED_VALUE"""),FALSE)</f>
        <v>0</v>
      </c>
      <c r="U3000" s="1" t="str">
        <f>IFERROR(__xludf.DUMMYFUNCTION("""COMPUTED_VALUE"""),"")</f>
        <v/>
      </c>
      <c r="V3000" s="1" t="str">
        <f>IFERROR(__xludf.DUMMYFUNCTION("""COMPUTED_VALUE"""),"")</f>
        <v/>
      </c>
      <c r="W3000" s="1" t="str">
        <f>IFERROR(__xludf.DUMMYFUNCTION("""COMPUTED_VALUE"""),"")</f>
        <v/>
      </c>
      <c r="X3000" s="1" t="str">
        <f>IFERROR(__xludf.DUMMYFUNCTION("""COMPUTED_VALUE"""),"")</f>
        <v/>
      </c>
      <c r="Y3000" s="2"/>
      <c r="Z3000" s="2" t="str">
        <f>IFERROR(__xludf.DUMMYFUNCTION("""COMPUTED_VALUE"""),"")</f>
        <v/>
      </c>
    </row>
    <row r="3001">
      <c r="A3001" s="1" t="str">
        <f>IFERROR(__xludf.DUMMYFUNCTION("""COMPUTED_VALUE"""),"")</f>
        <v/>
      </c>
      <c r="B3001" s="1"/>
      <c r="C3001" s="2"/>
      <c r="D3001" s="2"/>
      <c r="E3001" s="1"/>
      <c r="F3001" s="1"/>
      <c r="G3001" s="4" t="str">
        <f>IFERROR(__xludf.DUMMYFUNCTION("""COMPUTED_VALUE"""),"")</f>
        <v/>
      </c>
      <c r="H3001" s="4" t="str">
        <f>IFERROR(__xludf.DUMMYFUNCTION("""COMPUTED_VALUE"""),"")</f>
        <v/>
      </c>
      <c r="I3001" s="4" t="str">
        <f>IFERROR(__xludf.DUMMYFUNCTION("""COMPUTED_VALUE"""),"")</f>
        <v/>
      </c>
      <c r="J3001" s="4" t="str">
        <f>IFERROR(__xludf.DUMMYFUNCTION("""COMPUTED_VALUE"""),"")</f>
        <v/>
      </c>
      <c r="K3001" s="4" t="str">
        <f>IFERROR(__xludf.DUMMYFUNCTION("""COMPUTED_VALUE"""),"")</f>
        <v/>
      </c>
      <c r="L3001" s="4" t="str">
        <f>IFERROR(__xludf.DUMMYFUNCTION("""COMPUTED_VALUE"""),"")</f>
        <v/>
      </c>
      <c r="M3001" s="1" t="str">
        <f>IFERROR(__xludf.DUMMYFUNCTION("""COMPUTED_VALUE"""),"RFID")</f>
        <v>RFID</v>
      </c>
      <c r="N3001" s="5" t="str">
        <f>IFERROR(__xludf.DUMMYFUNCTION("""COMPUTED_VALUE"""),"")</f>
        <v/>
      </c>
      <c r="O3001" s="5" t="str">
        <f>IFERROR(__xludf.DUMMYFUNCTION("""COMPUTED_VALUE"""),"")</f>
        <v/>
      </c>
      <c r="P3001" s="5" t="str">
        <f>IFERROR(__xludf.DUMMYFUNCTION("""COMPUTED_VALUE"""),"")</f>
        <v/>
      </c>
      <c r="Q3001" s="5" t="str">
        <f>IFERROR(__xludf.DUMMYFUNCTION("""COMPUTED_VALUE"""),"")</f>
        <v/>
      </c>
      <c r="R3001" s="4" t="str">
        <f>IFERROR(__xludf.DUMMYFUNCTION("""COMPUTED_VALUE"""),"")</f>
        <v/>
      </c>
      <c r="S3001" s="1" t="b">
        <f>IFERROR(__xludf.DUMMYFUNCTION("""COMPUTED_VALUE"""),FALSE)</f>
        <v>0</v>
      </c>
      <c r="T3001" s="1" t="b">
        <f>IFERROR(__xludf.DUMMYFUNCTION("""COMPUTED_VALUE"""),FALSE)</f>
        <v>0</v>
      </c>
      <c r="U3001" s="1" t="str">
        <f>IFERROR(__xludf.DUMMYFUNCTION("""COMPUTED_VALUE"""),"")</f>
        <v/>
      </c>
      <c r="V3001" s="1" t="str">
        <f>IFERROR(__xludf.DUMMYFUNCTION("""COMPUTED_VALUE"""),"")</f>
        <v/>
      </c>
      <c r="W3001" s="1" t="str">
        <f>IFERROR(__xludf.DUMMYFUNCTION("""COMPUTED_VALUE"""),"")</f>
        <v/>
      </c>
      <c r="X3001" s="1" t="str">
        <f>IFERROR(__xludf.DUMMYFUNCTION("""COMPUTED_VALUE"""),"")</f>
        <v/>
      </c>
      <c r="Y3001" s="2"/>
      <c r="Z3001" s="2" t="str">
        <f>IFERROR(__xludf.DUMMYFUNCTION("""COMPUTED_VALUE"""),"")</f>
        <v/>
      </c>
    </row>
    <row r="3002">
      <c r="A3002" s="1" t="str">
        <f>IFERROR(__xludf.DUMMYFUNCTION("""COMPUTED_VALUE"""),"")</f>
        <v/>
      </c>
      <c r="B3002" s="1"/>
      <c r="C3002" s="2"/>
      <c r="D3002" s="2"/>
      <c r="E3002" s="1"/>
      <c r="F3002" s="1"/>
      <c r="G3002" s="4" t="str">
        <f>IFERROR(__xludf.DUMMYFUNCTION("""COMPUTED_VALUE"""),"")</f>
        <v/>
      </c>
      <c r="H3002" s="4" t="str">
        <f>IFERROR(__xludf.DUMMYFUNCTION("""COMPUTED_VALUE"""),"")</f>
        <v/>
      </c>
      <c r="I3002" s="4" t="str">
        <f>IFERROR(__xludf.DUMMYFUNCTION("""COMPUTED_VALUE"""),"")</f>
        <v/>
      </c>
      <c r="J3002" s="4" t="str">
        <f>IFERROR(__xludf.DUMMYFUNCTION("""COMPUTED_VALUE"""),"")</f>
        <v/>
      </c>
      <c r="K3002" s="4" t="str">
        <f>IFERROR(__xludf.DUMMYFUNCTION("""COMPUTED_VALUE"""),"")</f>
        <v/>
      </c>
      <c r="L3002" s="4" t="str">
        <f>IFERROR(__xludf.DUMMYFUNCTION("""COMPUTED_VALUE"""),"")</f>
        <v/>
      </c>
      <c r="M3002" s="1" t="str">
        <f>IFERROR(__xludf.DUMMYFUNCTION("""COMPUTED_VALUE"""),"RFID")</f>
        <v>RFID</v>
      </c>
      <c r="N3002" s="5" t="str">
        <f>IFERROR(__xludf.DUMMYFUNCTION("""COMPUTED_VALUE"""),"")</f>
        <v/>
      </c>
      <c r="O3002" s="5" t="str">
        <f>IFERROR(__xludf.DUMMYFUNCTION("""COMPUTED_VALUE"""),"")</f>
        <v/>
      </c>
      <c r="P3002" s="5" t="str">
        <f>IFERROR(__xludf.DUMMYFUNCTION("""COMPUTED_VALUE"""),"")</f>
        <v/>
      </c>
      <c r="Q3002" s="5" t="str">
        <f>IFERROR(__xludf.DUMMYFUNCTION("""COMPUTED_VALUE"""),"")</f>
        <v/>
      </c>
      <c r="R3002" s="4" t="str">
        <f>IFERROR(__xludf.DUMMYFUNCTION("""COMPUTED_VALUE"""),"")</f>
        <v/>
      </c>
      <c r="S3002" s="1" t="b">
        <f>IFERROR(__xludf.DUMMYFUNCTION("""COMPUTED_VALUE"""),FALSE)</f>
        <v>0</v>
      </c>
      <c r="T3002" s="1" t="b">
        <f>IFERROR(__xludf.DUMMYFUNCTION("""COMPUTED_VALUE"""),FALSE)</f>
        <v>0</v>
      </c>
      <c r="U3002" s="1" t="str">
        <f>IFERROR(__xludf.DUMMYFUNCTION("""COMPUTED_VALUE"""),"")</f>
        <v/>
      </c>
      <c r="V3002" s="1" t="str">
        <f>IFERROR(__xludf.DUMMYFUNCTION("""COMPUTED_VALUE"""),"")</f>
        <v/>
      </c>
      <c r="W3002" s="1" t="str">
        <f>IFERROR(__xludf.DUMMYFUNCTION("""COMPUTED_VALUE"""),"")</f>
        <v/>
      </c>
      <c r="X3002" s="1" t="str">
        <f>IFERROR(__xludf.DUMMYFUNCTION("""COMPUTED_VALUE"""),"")</f>
        <v/>
      </c>
      <c r="Y3002" s="2"/>
      <c r="Z3002" s="2" t="str">
        <f>IFERROR(__xludf.DUMMYFUNCTION("""COMPUTED_VALUE"""),"")</f>
        <v/>
      </c>
    </row>
    <row r="3003">
      <c r="A3003" s="1" t="str">
        <f>IFERROR(__xludf.DUMMYFUNCTION("""COMPUTED_VALUE"""),"")</f>
        <v/>
      </c>
      <c r="B3003" s="1"/>
      <c r="C3003" s="2"/>
      <c r="D3003" s="2"/>
      <c r="E3003" s="1"/>
      <c r="F3003" s="1"/>
      <c r="G3003" s="4" t="str">
        <f>IFERROR(__xludf.DUMMYFUNCTION("""COMPUTED_VALUE"""),"")</f>
        <v/>
      </c>
      <c r="H3003" s="4" t="str">
        <f>IFERROR(__xludf.DUMMYFUNCTION("""COMPUTED_VALUE"""),"")</f>
        <v/>
      </c>
      <c r="I3003" s="4" t="str">
        <f>IFERROR(__xludf.DUMMYFUNCTION("""COMPUTED_VALUE"""),"")</f>
        <v/>
      </c>
      <c r="J3003" s="4" t="str">
        <f>IFERROR(__xludf.DUMMYFUNCTION("""COMPUTED_VALUE"""),"")</f>
        <v/>
      </c>
      <c r="K3003" s="4" t="str">
        <f>IFERROR(__xludf.DUMMYFUNCTION("""COMPUTED_VALUE"""),"")</f>
        <v/>
      </c>
      <c r="L3003" s="4" t="str">
        <f>IFERROR(__xludf.DUMMYFUNCTION("""COMPUTED_VALUE"""),"")</f>
        <v/>
      </c>
      <c r="M3003" s="1" t="str">
        <f>IFERROR(__xludf.DUMMYFUNCTION("""COMPUTED_VALUE"""),"RFID")</f>
        <v>RFID</v>
      </c>
      <c r="N3003" s="5" t="str">
        <f>IFERROR(__xludf.DUMMYFUNCTION("""COMPUTED_VALUE"""),"")</f>
        <v/>
      </c>
      <c r="O3003" s="5" t="str">
        <f>IFERROR(__xludf.DUMMYFUNCTION("""COMPUTED_VALUE"""),"")</f>
        <v/>
      </c>
      <c r="P3003" s="5" t="str">
        <f>IFERROR(__xludf.DUMMYFUNCTION("""COMPUTED_VALUE"""),"")</f>
        <v/>
      </c>
      <c r="Q3003" s="5" t="str">
        <f>IFERROR(__xludf.DUMMYFUNCTION("""COMPUTED_VALUE"""),"")</f>
        <v/>
      </c>
      <c r="R3003" s="4" t="str">
        <f>IFERROR(__xludf.DUMMYFUNCTION("""COMPUTED_VALUE"""),"")</f>
        <v/>
      </c>
      <c r="S3003" s="1" t="b">
        <f>IFERROR(__xludf.DUMMYFUNCTION("""COMPUTED_VALUE"""),FALSE)</f>
        <v>0</v>
      </c>
      <c r="T3003" s="1" t="b">
        <f>IFERROR(__xludf.DUMMYFUNCTION("""COMPUTED_VALUE"""),FALSE)</f>
        <v>0</v>
      </c>
      <c r="U3003" s="1" t="str">
        <f>IFERROR(__xludf.DUMMYFUNCTION("""COMPUTED_VALUE"""),"")</f>
        <v/>
      </c>
      <c r="V3003" s="1" t="str">
        <f>IFERROR(__xludf.DUMMYFUNCTION("""COMPUTED_VALUE"""),"")</f>
        <v/>
      </c>
      <c r="W3003" s="1" t="str">
        <f>IFERROR(__xludf.DUMMYFUNCTION("""COMPUTED_VALUE"""),"")</f>
        <v/>
      </c>
      <c r="X3003" s="1" t="str">
        <f>IFERROR(__xludf.DUMMYFUNCTION("""COMPUTED_VALUE"""),"")</f>
        <v/>
      </c>
      <c r="Y3003" s="2"/>
      <c r="Z3003" s="2" t="str">
        <f>IFERROR(__xludf.DUMMYFUNCTION("""COMPUTED_VALUE"""),"")</f>
        <v/>
      </c>
    </row>
    <row r="3004">
      <c r="A3004" s="1" t="str">
        <f>IFERROR(__xludf.DUMMYFUNCTION("""COMPUTED_VALUE"""),"")</f>
        <v/>
      </c>
      <c r="B3004" s="1"/>
      <c r="C3004" s="2"/>
      <c r="D3004" s="2"/>
      <c r="E3004" s="1"/>
      <c r="F3004" s="1"/>
      <c r="G3004" s="4" t="str">
        <f>IFERROR(__xludf.DUMMYFUNCTION("""COMPUTED_VALUE"""),"")</f>
        <v/>
      </c>
      <c r="H3004" s="4" t="str">
        <f>IFERROR(__xludf.DUMMYFUNCTION("""COMPUTED_VALUE"""),"")</f>
        <v/>
      </c>
      <c r="I3004" s="4" t="str">
        <f>IFERROR(__xludf.DUMMYFUNCTION("""COMPUTED_VALUE"""),"")</f>
        <v/>
      </c>
      <c r="J3004" s="4" t="str">
        <f>IFERROR(__xludf.DUMMYFUNCTION("""COMPUTED_VALUE"""),"")</f>
        <v/>
      </c>
      <c r="K3004" s="4" t="str">
        <f>IFERROR(__xludf.DUMMYFUNCTION("""COMPUTED_VALUE"""),"")</f>
        <v/>
      </c>
      <c r="L3004" s="4" t="str">
        <f>IFERROR(__xludf.DUMMYFUNCTION("""COMPUTED_VALUE"""),"")</f>
        <v/>
      </c>
      <c r="M3004" s="1" t="str">
        <f>IFERROR(__xludf.DUMMYFUNCTION("""COMPUTED_VALUE"""),"RFID")</f>
        <v>RFID</v>
      </c>
      <c r="N3004" s="5" t="str">
        <f>IFERROR(__xludf.DUMMYFUNCTION("""COMPUTED_VALUE"""),"")</f>
        <v/>
      </c>
      <c r="O3004" s="5" t="str">
        <f>IFERROR(__xludf.DUMMYFUNCTION("""COMPUTED_VALUE"""),"")</f>
        <v/>
      </c>
      <c r="P3004" s="5" t="str">
        <f>IFERROR(__xludf.DUMMYFUNCTION("""COMPUTED_VALUE"""),"")</f>
        <v/>
      </c>
      <c r="Q3004" s="5" t="str">
        <f>IFERROR(__xludf.DUMMYFUNCTION("""COMPUTED_VALUE"""),"")</f>
        <v/>
      </c>
      <c r="R3004" s="4" t="str">
        <f>IFERROR(__xludf.DUMMYFUNCTION("""COMPUTED_VALUE"""),"")</f>
        <v/>
      </c>
      <c r="S3004" s="1" t="b">
        <f>IFERROR(__xludf.DUMMYFUNCTION("""COMPUTED_VALUE"""),FALSE)</f>
        <v>0</v>
      </c>
      <c r="T3004" s="1" t="b">
        <f>IFERROR(__xludf.DUMMYFUNCTION("""COMPUTED_VALUE"""),FALSE)</f>
        <v>0</v>
      </c>
      <c r="U3004" s="1" t="str">
        <f>IFERROR(__xludf.DUMMYFUNCTION("""COMPUTED_VALUE"""),"")</f>
        <v/>
      </c>
      <c r="V3004" s="1" t="str">
        <f>IFERROR(__xludf.DUMMYFUNCTION("""COMPUTED_VALUE"""),"")</f>
        <v/>
      </c>
      <c r="W3004" s="1" t="str">
        <f>IFERROR(__xludf.DUMMYFUNCTION("""COMPUTED_VALUE"""),"")</f>
        <v/>
      </c>
      <c r="X3004" s="1" t="str">
        <f>IFERROR(__xludf.DUMMYFUNCTION("""COMPUTED_VALUE"""),"")</f>
        <v/>
      </c>
      <c r="Y3004" s="2"/>
      <c r="Z3004" s="2" t="str">
        <f>IFERROR(__xludf.DUMMYFUNCTION("""COMPUTED_VALUE"""),"")</f>
        <v/>
      </c>
    </row>
    <row r="3005">
      <c r="A3005" s="1" t="str">
        <f>IFERROR(__xludf.DUMMYFUNCTION("""COMPUTED_VALUE"""),"")</f>
        <v/>
      </c>
      <c r="B3005" s="1"/>
      <c r="C3005" s="2"/>
      <c r="D3005" s="2"/>
      <c r="E3005" s="1"/>
      <c r="F3005" s="1"/>
      <c r="G3005" s="4" t="str">
        <f>IFERROR(__xludf.DUMMYFUNCTION("""COMPUTED_VALUE"""),"")</f>
        <v/>
      </c>
      <c r="H3005" s="4" t="str">
        <f>IFERROR(__xludf.DUMMYFUNCTION("""COMPUTED_VALUE"""),"")</f>
        <v/>
      </c>
      <c r="I3005" s="4" t="str">
        <f>IFERROR(__xludf.DUMMYFUNCTION("""COMPUTED_VALUE"""),"")</f>
        <v/>
      </c>
      <c r="J3005" s="4" t="str">
        <f>IFERROR(__xludf.DUMMYFUNCTION("""COMPUTED_VALUE"""),"")</f>
        <v/>
      </c>
      <c r="K3005" s="4" t="str">
        <f>IFERROR(__xludf.DUMMYFUNCTION("""COMPUTED_VALUE"""),"")</f>
        <v/>
      </c>
      <c r="L3005" s="4" t="str">
        <f>IFERROR(__xludf.DUMMYFUNCTION("""COMPUTED_VALUE"""),"")</f>
        <v/>
      </c>
      <c r="M3005" s="1" t="str">
        <f>IFERROR(__xludf.DUMMYFUNCTION("""COMPUTED_VALUE"""),"RFID")</f>
        <v>RFID</v>
      </c>
      <c r="N3005" s="5" t="str">
        <f>IFERROR(__xludf.DUMMYFUNCTION("""COMPUTED_VALUE"""),"")</f>
        <v/>
      </c>
      <c r="O3005" s="5" t="str">
        <f>IFERROR(__xludf.DUMMYFUNCTION("""COMPUTED_VALUE"""),"")</f>
        <v/>
      </c>
      <c r="P3005" s="5" t="str">
        <f>IFERROR(__xludf.DUMMYFUNCTION("""COMPUTED_VALUE"""),"")</f>
        <v/>
      </c>
      <c r="Q3005" s="5" t="str">
        <f>IFERROR(__xludf.DUMMYFUNCTION("""COMPUTED_VALUE"""),"")</f>
        <v/>
      </c>
      <c r="R3005" s="4" t="str">
        <f>IFERROR(__xludf.DUMMYFUNCTION("""COMPUTED_VALUE"""),"")</f>
        <v/>
      </c>
      <c r="S3005" s="1" t="b">
        <f>IFERROR(__xludf.DUMMYFUNCTION("""COMPUTED_VALUE"""),FALSE)</f>
        <v>0</v>
      </c>
      <c r="T3005" s="1" t="b">
        <f>IFERROR(__xludf.DUMMYFUNCTION("""COMPUTED_VALUE"""),FALSE)</f>
        <v>0</v>
      </c>
      <c r="U3005" s="1" t="str">
        <f>IFERROR(__xludf.DUMMYFUNCTION("""COMPUTED_VALUE"""),"")</f>
        <v/>
      </c>
      <c r="V3005" s="1" t="str">
        <f>IFERROR(__xludf.DUMMYFUNCTION("""COMPUTED_VALUE"""),"")</f>
        <v/>
      </c>
      <c r="W3005" s="1" t="str">
        <f>IFERROR(__xludf.DUMMYFUNCTION("""COMPUTED_VALUE"""),"")</f>
        <v/>
      </c>
      <c r="X3005" s="1" t="str">
        <f>IFERROR(__xludf.DUMMYFUNCTION("""COMPUTED_VALUE"""),"")</f>
        <v/>
      </c>
      <c r="Y3005" s="2"/>
      <c r="Z3005" s="2" t="str">
        <f>IFERROR(__xludf.DUMMYFUNCTION("""COMPUTED_VALUE"""),"")</f>
        <v/>
      </c>
    </row>
    <row r="3006">
      <c r="A3006" s="1" t="str">
        <f>IFERROR(__xludf.DUMMYFUNCTION("""COMPUTED_VALUE"""),"")</f>
        <v/>
      </c>
      <c r="B3006" s="1"/>
      <c r="C3006" s="2"/>
      <c r="D3006" s="2"/>
      <c r="E3006" s="1"/>
      <c r="F3006" s="1"/>
      <c r="G3006" s="4" t="str">
        <f>IFERROR(__xludf.DUMMYFUNCTION("""COMPUTED_VALUE"""),"")</f>
        <v/>
      </c>
      <c r="H3006" s="4" t="str">
        <f>IFERROR(__xludf.DUMMYFUNCTION("""COMPUTED_VALUE"""),"")</f>
        <v/>
      </c>
      <c r="I3006" s="4" t="str">
        <f>IFERROR(__xludf.DUMMYFUNCTION("""COMPUTED_VALUE"""),"")</f>
        <v/>
      </c>
      <c r="J3006" s="4" t="str">
        <f>IFERROR(__xludf.DUMMYFUNCTION("""COMPUTED_VALUE"""),"")</f>
        <v/>
      </c>
      <c r="K3006" s="4" t="str">
        <f>IFERROR(__xludf.DUMMYFUNCTION("""COMPUTED_VALUE"""),"")</f>
        <v/>
      </c>
      <c r="L3006" s="4" t="str">
        <f>IFERROR(__xludf.DUMMYFUNCTION("""COMPUTED_VALUE"""),"")</f>
        <v/>
      </c>
      <c r="M3006" s="1" t="str">
        <f>IFERROR(__xludf.DUMMYFUNCTION("""COMPUTED_VALUE"""),"RFID")</f>
        <v>RFID</v>
      </c>
      <c r="N3006" s="5" t="str">
        <f>IFERROR(__xludf.DUMMYFUNCTION("""COMPUTED_VALUE"""),"")</f>
        <v/>
      </c>
      <c r="O3006" s="5" t="str">
        <f>IFERROR(__xludf.DUMMYFUNCTION("""COMPUTED_VALUE"""),"")</f>
        <v/>
      </c>
      <c r="P3006" s="5" t="str">
        <f>IFERROR(__xludf.DUMMYFUNCTION("""COMPUTED_VALUE"""),"")</f>
        <v/>
      </c>
      <c r="Q3006" s="5" t="str">
        <f>IFERROR(__xludf.DUMMYFUNCTION("""COMPUTED_VALUE"""),"")</f>
        <v/>
      </c>
      <c r="R3006" s="4" t="str">
        <f>IFERROR(__xludf.DUMMYFUNCTION("""COMPUTED_VALUE"""),"")</f>
        <v/>
      </c>
      <c r="S3006" s="1" t="b">
        <f>IFERROR(__xludf.DUMMYFUNCTION("""COMPUTED_VALUE"""),FALSE)</f>
        <v>0</v>
      </c>
      <c r="T3006" s="1" t="b">
        <f>IFERROR(__xludf.DUMMYFUNCTION("""COMPUTED_VALUE"""),FALSE)</f>
        <v>0</v>
      </c>
      <c r="U3006" s="1" t="str">
        <f>IFERROR(__xludf.DUMMYFUNCTION("""COMPUTED_VALUE"""),"")</f>
        <v/>
      </c>
      <c r="V3006" s="1" t="str">
        <f>IFERROR(__xludf.DUMMYFUNCTION("""COMPUTED_VALUE"""),"")</f>
        <v/>
      </c>
      <c r="W3006" s="1" t="str">
        <f>IFERROR(__xludf.DUMMYFUNCTION("""COMPUTED_VALUE"""),"")</f>
        <v/>
      </c>
      <c r="X3006" s="1" t="str">
        <f>IFERROR(__xludf.DUMMYFUNCTION("""COMPUTED_VALUE"""),"")</f>
        <v/>
      </c>
      <c r="Y3006" s="2"/>
      <c r="Z3006" s="2" t="str">
        <f>IFERROR(__xludf.DUMMYFUNCTION("""COMPUTED_VALUE"""),"")</f>
        <v/>
      </c>
    </row>
    <row r="3007">
      <c r="A3007" s="1" t="str">
        <f>IFERROR(__xludf.DUMMYFUNCTION("""COMPUTED_VALUE"""),"")</f>
        <v/>
      </c>
      <c r="B3007" s="1"/>
      <c r="C3007" s="2"/>
      <c r="D3007" s="2"/>
      <c r="E3007" s="1"/>
      <c r="F3007" s="1"/>
      <c r="G3007" s="4" t="str">
        <f>IFERROR(__xludf.DUMMYFUNCTION("""COMPUTED_VALUE"""),"")</f>
        <v/>
      </c>
      <c r="H3007" s="4" t="str">
        <f>IFERROR(__xludf.DUMMYFUNCTION("""COMPUTED_VALUE"""),"")</f>
        <v/>
      </c>
      <c r="I3007" s="4" t="str">
        <f>IFERROR(__xludf.DUMMYFUNCTION("""COMPUTED_VALUE"""),"")</f>
        <v/>
      </c>
      <c r="J3007" s="4" t="str">
        <f>IFERROR(__xludf.DUMMYFUNCTION("""COMPUTED_VALUE"""),"")</f>
        <v/>
      </c>
      <c r="K3007" s="4" t="str">
        <f>IFERROR(__xludf.DUMMYFUNCTION("""COMPUTED_VALUE"""),"")</f>
        <v/>
      </c>
      <c r="L3007" s="4" t="str">
        <f>IFERROR(__xludf.DUMMYFUNCTION("""COMPUTED_VALUE"""),"")</f>
        <v/>
      </c>
      <c r="M3007" s="1" t="str">
        <f>IFERROR(__xludf.DUMMYFUNCTION("""COMPUTED_VALUE"""),"RFID")</f>
        <v>RFID</v>
      </c>
      <c r="N3007" s="5" t="str">
        <f>IFERROR(__xludf.DUMMYFUNCTION("""COMPUTED_VALUE"""),"")</f>
        <v/>
      </c>
      <c r="O3007" s="5" t="str">
        <f>IFERROR(__xludf.DUMMYFUNCTION("""COMPUTED_VALUE"""),"")</f>
        <v/>
      </c>
      <c r="P3007" s="5" t="str">
        <f>IFERROR(__xludf.DUMMYFUNCTION("""COMPUTED_VALUE"""),"")</f>
        <v/>
      </c>
      <c r="Q3007" s="5" t="str">
        <f>IFERROR(__xludf.DUMMYFUNCTION("""COMPUTED_VALUE"""),"")</f>
        <v/>
      </c>
      <c r="R3007" s="4" t="str">
        <f>IFERROR(__xludf.DUMMYFUNCTION("""COMPUTED_VALUE"""),"")</f>
        <v/>
      </c>
      <c r="S3007" s="1" t="b">
        <f>IFERROR(__xludf.DUMMYFUNCTION("""COMPUTED_VALUE"""),FALSE)</f>
        <v>0</v>
      </c>
      <c r="T3007" s="1" t="b">
        <f>IFERROR(__xludf.DUMMYFUNCTION("""COMPUTED_VALUE"""),FALSE)</f>
        <v>0</v>
      </c>
      <c r="U3007" s="1" t="str">
        <f>IFERROR(__xludf.DUMMYFUNCTION("""COMPUTED_VALUE"""),"")</f>
        <v/>
      </c>
      <c r="V3007" s="1" t="str">
        <f>IFERROR(__xludf.DUMMYFUNCTION("""COMPUTED_VALUE"""),"")</f>
        <v/>
      </c>
      <c r="W3007" s="1" t="str">
        <f>IFERROR(__xludf.DUMMYFUNCTION("""COMPUTED_VALUE"""),"")</f>
        <v/>
      </c>
      <c r="X3007" s="1" t="str">
        <f>IFERROR(__xludf.DUMMYFUNCTION("""COMPUTED_VALUE"""),"")</f>
        <v/>
      </c>
      <c r="Y3007" s="2"/>
      <c r="Z3007" s="2" t="str">
        <f>IFERROR(__xludf.DUMMYFUNCTION("""COMPUTED_VALUE"""),"")</f>
        <v/>
      </c>
    </row>
    <row r="3008">
      <c r="A3008" s="1" t="str">
        <f>IFERROR(__xludf.DUMMYFUNCTION("""COMPUTED_VALUE"""),"")</f>
        <v/>
      </c>
      <c r="B3008" s="1"/>
      <c r="C3008" s="2"/>
      <c r="D3008" s="2"/>
      <c r="E3008" s="1"/>
      <c r="F3008" s="1"/>
      <c r="G3008" s="4" t="str">
        <f>IFERROR(__xludf.DUMMYFUNCTION("""COMPUTED_VALUE"""),"")</f>
        <v/>
      </c>
      <c r="H3008" s="4" t="str">
        <f>IFERROR(__xludf.DUMMYFUNCTION("""COMPUTED_VALUE"""),"")</f>
        <v/>
      </c>
      <c r="I3008" s="4" t="str">
        <f>IFERROR(__xludf.DUMMYFUNCTION("""COMPUTED_VALUE"""),"")</f>
        <v/>
      </c>
      <c r="J3008" s="4" t="str">
        <f>IFERROR(__xludf.DUMMYFUNCTION("""COMPUTED_VALUE"""),"")</f>
        <v/>
      </c>
      <c r="K3008" s="4" t="str">
        <f>IFERROR(__xludf.DUMMYFUNCTION("""COMPUTED_VALUE"""),"")</f>
        <v/>
      </c>
      <c r="L3008" s="4" t="str">
        <f>IFERROR(__xludf.DUMMYFUNCTION("""COMPUTED_VALUE"""),"")</f>
        <v/>
      </c>
      <c r="M3008" s="1" t="str">
        <f>IFERROR(__xludf.DUMMYFUNCTION("""COMPUTED_VALUE"""),"RFID")</f>
        <v>RFID</v>
      </c>
      <c r="N3008" s="5" t="str">
        <f>IFERROR(__xludf.DUMMYFUNCTION("""COMPUTED_VALUE"""),"")</f>
        <v/>
      </c>
      <c r="O3008" s="5" t="str">
        <f>IFERROR(__xludf.DUMMYFUNCTION("""COMPUTED_VALUE"""),"")</f>
        <v/>
      </c>
      <c r="P3008" s="5" t="str">
        <f>IFERROR(__xludf.DUMMYFUNCTION("""COMPUTED_VALUE"""),"")</f>
        <v/>
      </c>
      <c r="Q3008" s="5" t="str">
        <f>IFERROR(__xludf.DUMMYFUNCTION("""COMPUTED_VALUE"""),"")</f>
        <v/>
      </c>
      <c r="R3008" s="4" t="str">
        <f>IFERROR(__xludf.DUMMYFUNCTION("""COMPUTED_VALUE"""),"")</f>
        <v/>
      </c>
      <c r="S3008" s="1" t="b">
        <f>IFERROR(__xludf.DUMMYFUNCTION("""COMPUTED_VALUE"""),FALSE)</f>
        <v>0</v>
      </c>
      <c r="T3008" s="1" t="b">
        <f>IFERROR(__xludf.DUMMYFUNCTION("""COMPUTED_VALUE"""),FALSE)</f>
        <v>0</v>
      </c>
      <c r="U3008" s="1" t="str">
        <f>IFERROR(__xludf.DUMMYFUNCTION("""COMPUTED_VALUE"""),"")</f>
        <v/>
      </c>
      <c r="V3008" s="1" t="str">
        <f>IFERROR(__xludf.DUMMYFUNCTION("""COMPUTED_VALUE"""),"")</f>
        <v/>
      </c>
      <c r="W3008" s="1" t="str">
        <f>IFERROR(__xludf.DUMMYFUNCTION("""COMPUTED_VALUE"""),"")</f>
        <v/>
      </c>
      <c r="X3008" s="1" t="str">
        <f>IFERROR(__xludf.DUMMYFUNCTION("""COMPUTED_VALUE"""),"")</f>
        <v/>
      </c>
      <c r="Y3008" s="2"/>
      <c r="Z3008" s="2" t="str">
        <f>IFERROR(__xludf.DUMMYFUNCTION("""COMPUTED_VALUE"""),"")</f>
        <v/>
      </c>
    </row>
    <row r="3009">
      <c r="A3009" s="1" t="str">
        <f>IFERROR(__xludf.DUMMYFUNCTION("""COMPUTED_VALUE"""),"")</f>
        <v/>
      </c>
      <c r="B3009" s="1"/>
      <c r="C3009" s="2"/>
      <c r="D3009" s="2"/>
      <c r="E3009" s="1"/>
      <c r="F3009" s="1"/>
      <c r="G3009" s="4" t="str">
        <f>IFERROR(__xludf.DUMMYFUNCTION("""COMPUTED_VALUE"""),"")</f>
        <v/>
      </c>
      <c r="H3009" s="4" t="str">
        <f>IFERROR(__xludf.DUMMYFUNCTION("""COMPUTED_VALUE"""),"")</f>
        <v/>
      </c>
      <c r="I3009" s="4" t="str">
        <f>IFERROR(__xludf.DUMMYFUNCTION("""COMPUTED_VALUE"""),"")</f>
        <v/>
      </c>
      <c r="J3009" s="4" t="str">
        <f>IFERROR(__xludf.DUMMYFUNCTION("""COMPUTED_VALUE"""),"")</f>
        <v/>
      </c>
      <c r="K3009" s="4" t="str">
        <f>IFERROR(__xludf.DUMMYFUNCTION("""COMPUTED_VALUE"""),"")</f>
        <v/>
      </c>
      <c r="L3009" s="4" t="str">
        <f>IFERROR(__xludf.DUMMYFUNCTION("""COMPUTED_VALUE"""),"")</f>
        <v/>
      </c>
      <c r="M3009" s="1" t="str">
        <f>IFERROR(__xludf.DUMMYFUNCTION("""COMPUTED_VALUE"""),"RFID")</f>
        <v>RFID</v>
      </c>
      <c r="N3009" s="5" t="str">
        <f>IFERROR(__xludf.DUMMYFUNCTION("""COMPUTED_VALUE"""),"")</f>
        <v/>
      </c>
      <c r="O3009" s="5" t="str">
        <f>IFERROR(__xludf.DUMMYFUNCTION("""COMPUTED_VALUE"""),"")</f>
        <v/>
      </c>
      <c r="P3009" s="5" t="str">
        <f>IFERROR(__xludf.DUMMYFUNCTION("""COMPUTED_VALUE"""),"")</f>
        <v/>
      </c>
      <c r="Q3009" s="5" t="str">
        <f>IFERROR(__xludf.DUMMYFUNCTION("""COMPUTED_VALUE"""),"")</f>
        <v/>
      </c>
      <c r="R3009" s="4" t="str">
        <f>IFERROR(__xludf.DUMMYFUNCTION("""COMPUTED_VALUE"""),"")</f>
        <v/>
      </c>
      <c r="S3009" s="1" t="b">
        <f>IFERROR(__xludf.DUMMYFUNCTION("""COMPUTED_VALUE"""),FALSE)</f>
        <v>0</v>
      </c>
      <c r="T3009" s="1" t="b">
        <f>IFERROR(__xludf.DUMMYFUNCTION("""COMPUTED_VALUE"""),FALSE)</f>
        <v>0</v>
      </c>
      <c r="U3009" s="1" t="str">
        <f>IFERROR(__xludf.DUMMYFUNCTION("""COMPUTED_VALUE"""),"")</f>
        <v/>
      </c>
      <c r="V3009" s="1" t="str">
        <f>IFERROR(__xludf.DUMMYFUNCTION("""COMPUTED_VALUE"""),"")</f>
        <v/>
      </c>
      <c r="W3009" s="1" t="str">
        <f>IFERROR(__xludf.DUMMYFUNCTION("""COMPUTED_VALUE"""),"")</f>
        <v/>
      </c>
      <c r="X3009" s="1" t="str">
        <f>IFERROR(__xludf.DUMMYFUNCTION("""COMPUTED_VALUE"""),"")</f>
        <v/>
      </c>
      <c r="Y3009" s="2"/>
      <c r="Z3009" s="2" t="str">
        <f>IFERROR(__xludf.DUMMYFUNCTION("""COMPUTED_VALUE"""),"")</f>
        <v/>
      </c>
    </row>
    <row r="3010">
      <c r="A3010" s="1" t="str">
        <f>IFERROR(__xludf.DUMMYFUNCTION("""COMPUTED_VALUE"""),"")</f>
        <v/>
      </c>
      <c r="B3010" s="1"/>
      <c r="C3010" s="2"/>
      <c r="D3010" s="2"/>
      <c r="E3010" s="1"/>
      <c r="F3010" s="1"/>
      <c r="G3010" s="4" t="str">
        <f>IFERROR(__xludf.DUMMYFUNCTION("""COMPUTED_VALUE"""),"")</f>
        <v/>
      </c>
      <c r="H3010" s="4" t="str">
        <f>IFERROR(__xludf.DUMMYFUNCTION("""COMPUTED_VALUE"""),"")</f>
        <v/>
      </c>
      <c r="I3010" s="4" t="str">
        <f>IFERROR(__xludf.DUMMYFUNCTION("""COMPUTED_VALUE"""),"")</f>
        <v/>
      </c>
      <c r="J3010" s="4" t="str">
        <f>IFERROR(__xludf.DUMMYFUNCTION("""COMPUTED_VALUE"""),"")</f>
        <v/>
      </c>
      <c r="K3010" s="4" t="str">
        <f>IFERROR(__xludf.DUMMYFUNCTION("""COMPUTED_VALUE"""),"")</f>
        <v/>
      </c>
      <c r="L3010" s="4" t="str">
        <f>IFERROR(__xludf.DUMMYFUNCTION("""COMPUTED_VALUE"""),"")</f>
        <v/>
      </c>
      <c r="M3010" s="1" t="str">
        <f>IFERROR(__xludf.DUMMYFUNCTION("""COMPUTED_VALUE"""),"RFID")</f>
        <v>RFID</v>
      </c>
      <c r="N3010" s="5" t="str">
        <f>IFERROR(__xludf.DUMMYFUNCTION("""COMPUTED_VALUE"""),"")</f>
        <v/>
      </c>
      <c r="O3010" s="5" t="str">
        <f>IFERROR(__xludf.DUMMYFUNCTION("""COMPUTED_VALUE"""),"")</f>
        <v/>
      </c>
      <c r="P3010" s="5" t="str">
        <f>IFERROR(__xludf.DUMMYFUNCTION("""COMPUTED_VALUE"""),"")</f>
        <v/>
      </c>
      <c r="Q3010" s="5" t="str">
        <f>IFERROR(__xludf.DUMMYFUNCTION("""COMPUTED_VALUE"""),"")</f>
        <v/>
      </c>
      <c r="R3010" s="4" t="str">
        <f>IFERROR(__xludf.DUMMYFUNCTION("""COMPUTED_VALUE"""),"")</f>
        <v/>
      </c>
      <c r="S3010" s="1" t="b">
        <f>IFERROR(__xludf.DUMMYFUNCTION("""COMPUTED_VALUE"""),FALSE)</f>
        <v>0</v>
      </c>
      <c r="T3010" s="1" t="b">
        <f>IFERROR(__xludf.DUMMYFUNCTION("""COMPUTED_VALUE"""),FALSE)</f>
        <v>0</v>
      </c>
      <c r="U3010" s="1" t="str">
        <f>IFERROR(__xludf.DUMMYFUNCTION("""COMPUTED_VALUE"""),"")</f>
        <v/>
      </c>
      <c r="V3010" s="1" t="str">
        <f>IFERROR(__xludf.DUMMYFUNCTION("""COMPUTED_VALUE"""),"")</f>
        <v/>
      </c>
      <c r="W3010" s="1" t="str">
        <f>IFERROR(__xludf.DUMMYFUNCTION("""COMPUTED_VALUE"""),"")</f>
        <v/>
      </c>
      <c r="X3010" s="1" t="str">
        <f>IFERROR(__xludf.DUMMYFUNCTION("""COMPUTED_VALUE"""),"")</f>
        <v/>
      </c>
      <c r="Y3010" s="2"/>
      <c r="Z3010" s="2" t="str">
        <f>IFERROR(__xludf.DUMMYFUNCTION("""COMPUTED_VALUE"""),"")</f>
        <v/>
      </c>
    </row>
    <row r="3011">
      <c r="A3011" s="1" t="str">
        <f>IFERROR(__xludf.DUMMYFUNCTION("""COMPUTED_VALUE"""),"")</f>
        <v/>
      </c>
      <c r="B3011" s="1"/>
      <c r="C3011" s="2"/>
      <c r="D3011" s="2"/>
      <c r="E3011" s="1"/>
      <c r="F3011" s="1"/>
      <c r="G3011" s="4" t="str">
        <f>IFERROR(__xludf.DUMMYFUNCTION("""COMPUTED_VALUE"""),"")</f>
        <v/>
      </c>
      <c r="H3011" s="4" t="str">
        <f>IFERROR(__xludf.DUMMYFUNCTION("""COMPUTED_VALUE"""),"")</f>
        <v/>
      </c>
      <c r="I3011" s="4" t="str">
        <f>IFERROR(__xludf.DUMMYFUNCTION("""COMPUTED_VALUE"""),"")</f>
        <v/>
      </c>
      <c r="J3011" s="4" t="str">
        <f>IFERROR(__xludf.DUMMYFUNCTION("""COMPUTED_VALUE"""),"")</f>
        <v/>
      </c>
      <c r="K3011" s="4" t="str">
        <f>IFERROR(__xludf.DUMMYFUNCTION("""COMPUTED_VALUE"""),"")</f>
        <v/>
      </c>
      <c r="L3011" s="4" t="str">
        <f>IFERROR(__xludf.DUMMYFUNCTION("""COMPUTED_VALUE"""),"")</f>
        <v/>
      </c>
      <c r="M3011" s="1" t="str">
        <f>IFERROR(__xludf.DUMMYFUNCTION("""COMPUTED_VALUE"""),"RFID")</f>
        <v>RFID</v>
      </c>
      <c r="N3011" s="5" t="str">
        <f>IFERROR(__xludf.DUMMYFUNCTION("""COMPUTED_VALUE"""),"")</f>
        <v/>
      </c>
      <c r="O3011" s="5" t="str">
        <f>IFERROR(__xludf.DUMMYFUNCTION("""COMPUTED_VALUE"""),"")</f>
        <v/>
      </c>
      <c r="P3011" s="5" t="str">
        <f>IFERROR(__xludf.DUMMYFUNCTION("""COMPUTED_VALUE"""),"")</f>
        <v/>
      </c>
      <c r="Q3011" s="5" t="str">
        <f>IFERROR(__xludf.DUMMYFUNCTION("""COMPUTED_VALUE"""),"")</f>
        <v/>
      </c>
      <c r="R3011" s="4" t="str">
        <f>IFERROR(__xludf.DUMMYFUNCTION("""COMPUTED_VALUE"""),"")</f>
        <v/>
      </c>
      <c r="S3011" s="1" t="b">
        <f>IFERROR(__xludf.DUMMYFUNCTION("""COMPUTED_VALUE"""),FALSE)</f>
        <v>0</v>
      </c>
      <c r="T3011" s="1" t="b">
        <f>IFERROR(__xludf.DUMMYFUNCTION("""COMPUTED_VALUE"""),FALSE)</f>
        <v>0</v>
      </c>
      <c r="U3011" s="1" t="str">
        <f>IFERROR(__xludf.DUMMYFUNCTION("""COMPUTED_VALUE"""),"")</f>
        <v/>
      </c>
      <c r="V3011" s="1" t="str">
        <f>IFERROR(__xludf.DUMMYFUNCTION("""COMPUTED_VALUE"""),"")</f>
        <v/>
      </c>
      <c r="W3011" s="1" t="str">
        <f>IFERROR(__xludf.DUMMYFUNCTION("""COMPUTED_VALUE"""),"")</f>
        <v/>
      </c>
      <c r="X3011" s="1" t="str">
        <f>IFERROR(__xludf.DUMMYFUNCTION("""COMPUTED_VALUE"""),"")</f>
        <v/>
      </c>
      <c r="Y3011" s="2"/>
      <c r="Z3011" s="2" t="str">
        <f>IFERROR(__xludf.DUMMYFUNCTION("""COMPUTED_VALUE"""),"")</f>
        <v/>
      </c>
    </row>
    <row r="3012">
      <c r="A3012" s="1" t="str">
        <f>IFERROR(__xludf.DUMMYFUNCTION("""COMPUTED_VALUE"""),"")</f>
        <v/>
      </c>
      <c r="B3012" s="1"/>
      <c r="C3012" s="2"/>
      <c r="D3012" s="2"/>
      <c r="E3012" s="1"/>
      <c r="F3012" s="1"/>
      <c r="G3012" s="4" t="str">
        <f>IFERROR(__xludf.DUMMYFUNCTION("""COMPUTED_VALUE"""),"")</f>
        <v/>
      </c>
      <c r="H3012" s="4" t="str">
        <f>IFERROR(__xludf.DUMMYFUNCTION("""COMPUTED_VALUE"""),"")</f>
        <v/>
      </c>
      <c r="I3012" s="4" t="str">
        <f>IFERROR(__xludf.DUMMYFUNCTION("""COMPUTED_VALUE"""),"")</f>
        <v/>
      </c>
      <c r="J3012" s="4" t="str">
        <f>IFERROR(__xludf.DUMMYFUNCTION("""COMPUTED_VALUE"""),"")</f>
        <v/>
      </c>
      <c r="K3012" s="4" t="str">
        <f>IFERROR(__xludf.DUMMYFUNCTION("""COMPUTED_VALUE"""),"")</f>
        <v/>
      </c>
      <c r="L3012" s="4" t="str">
        <f>IFERROR(__xludf.DUMMYFUNCTION("""COMPUTED_VALUE"""),"")</f>
        <v/>
      </c>
      <c r="M3012" s="1" t="str">
        <f>IFERROR(__xludf.DUMMYFUNCTION("""COMPUTED_VALUE"""),"RFID")</f>
        <v>RFID</v>
      </c>
      <c r="N3012" s="5" t="str">
        <f>IFERROR(__xludf.DUMMYFUNCTION("""COMPUTED_VALUE"""),"")</f>
        <v/>
      </c>
      <c r="O3012" s="5" t="str">
        <f>IFERROR(__xludf.DUMMYFUNCTION("""COMPUTED_VALUE"""),"")</f>
        <v/>
      </c>
      <c r="P3012" s="5" t="str">
        <f>IFERROR(__xludf.DUMMYFUNCTION("""COMPUTED_VALUE"""),"")</f>
        <v/>
      </c>
      <c r="Q3012" s="5" t="str">
        <f>IFERROR(__xludf.DUMMYFUNCTION("""COMPUTED_VALUE"""),"")</f>
        <v/>
      </c>
      <c r="R3012" s="4" t="str">
        <f>IFERROR(__xludf.DUMMYFUNCTION("""COMPUTED_VALUE"""),"")</f>
        <v/>
      </c>
      <c r="S3012" s="1" t="b">
        <f>IFERROR(__xludf.DUMMYFUNCTION("""COMPUTED_VALUE"""),FALSE)</f>
        <v>0</v>
      </c>
      <c r="T3012" s="1" t="b">
        <f>IFERROR(__xludf.DUMMYFUNCTION("""COMPUTED_VALUE"""),FALSE)</f>
        <v>0</v>
      </c>
      <c r="U3012" s="1" t="str">
        <f>IFERROR(__xludf.DUMMYFUNCTION("""COMPUTED_VALUE"""),"")</f>
        <v/>
      </c>
      <c r="V3012" s="1" t="str">
        <f>IFERROR(__xludf.DUMMYFUNCTION("""COMPUTED_VALUE"""),"")</f>
        <v/>
      </c>
      <c r="W3012" s="1" t="str">
        <f>IFERROR(__xludf.DUMMYFUNCTION("""COMPUTED_VALUE"""),"")</f>
        <v/>
      </c>
      <c r="X3012" s="1" t="str">
        <f>IFERROR(__xludf.DUMMYFUNCTION("""COMPUTED_VALUE"""),"")</f>
        <v/>
      </c>
      <c r="Y3012" s="2"/>
      <c r="Z3012" s="2" t="str">
        <f>IFERROR(__xludf.DUMMYFUNCTION("""COMPUTED_VALUE"""),"")</f>
        <v/>
      </c>
    </row>
    <row r="3013">
      <c r="A3013" s="1" t="str">
        <f>IFERROR(__xludf.DUMMYFUNCTION("""COMPUTED_VALUE"""),"")</f>
        <v/>
      </c>
      <c r="B3013" s="1"/>
      <c r="C3013" s="2"/>
      <c r="D3013" s="2"/>
      <c r="E3013" s="1"/>
      <c r="F3013" s="1"/>
      <c r="G3013" s="4" t="str">
        <f>IFERROR(__xludf.DUMMYFUNCTION("""COMPUTED_VALUE"""),"")</f>
        <v/>
      </c>
      <c r="H3013" s="4" t="str">
        <f>IFERROR(__xludf.DUMMYFUNCTION("""COMPUTED_VALUE"""),"")</f>
        <v/>
      </c>
      <c r="I3013" s="4" t="str">
        <f>IFERROR(__xludf.DUMMYFUNCTION("""COMPUTED_VALUE"""),"")</f>
        <v/>
      </c>
      <c r="J3013" s="4" t="str">
        <f>IFERROR(__xludf.DUMMYFUNCTION("""COMPUTED_VALUE"""),"")</f>
        <v/>
      </c>
      <c r="K3013" s="4" t="str">
        <f>IFERROR(__xludf.DUMMYFUNCTION("""COMPUTED_VALUE"""),"")</f>
        <v/>
      </c>
      <c r="L3013" s="4" t="str">
        <f>IFERROR(__xludf.DUMMYFUNCTION("""COMPUTED_VALUE"""),"")</f>
        <v/>
      </c>
      <c r="M3013" s="1" t="str">
        <f>IFERROR(__xludf.DUMMYFUNCTION("""COMPUTED_VALUE"""),"RFID")</f>
        <v>RFID</v>
      </c>
      <c r="N3013" s="5" t="str">
        <f>IFERROR(__xludf.DUMMYFUNCTION("""COMPUTED_VALUE"""),"")</f>
        <v/>
      </c>
      <c r="O3013" s="5" t="str">
        <f>IFERROR(__xludf.DUMMYFUNCTION("""COMPUTED_VALUE"""),"")</f>
        <v/>
      </c>
      <c r="P3013" s="5" t="str">
        <f>IFERROR(__xludf.DUMMYFUNCTION("""COMPUTED_VALUE"""),"")</f>
        <v/>
      </c>
      <c r="Q3013" s="5" t="str">
        <f>IFERROR(__xludf.DUMMYFUNCTION("""COMPUTED_VALUE"""),"")</f>
        <v/>
      </c>
      <c r="R3013" s="4" t="str">
        <f>IFERROR(__xludf.DUMMYFUNCTION("""COMPUTED_VALUE"""),"")</f>
        <v/>
      </c>
      <c r="S3013" s="1" t="b">
        <f>IFERROR(__xludf.DUMMYFUNCTION("""COMPUTED_VALUE"""),FALSE)</f>
        <v>0</v>
      </c>
      <c r="T3013" s="1" t="b">
        <f>IFERROR(__xludf.DUMMYFUNCTION("""COMPUTED_VALUE"""),FALSE)</f>
        <v>0</v>
      </c>
      <c r="U3013" s="1" t="str">
        <f>IFERROR(__xludf.DUMMYFUNCTION("""COMPUTED_VALUE"""),"")</f>
        <v/>
      </c>
      <c r="V3013" s="1" t="str">
        <f>IFERROR(__xludf.DUMMYFUNCTION("""COMPUTED_VALUE"""),"")</f>
        <v/>
      </c>
      <c r="W3013" s="1" t="str">
        <f>IFERROR(__xludf.DUMMYFUNCTION("""COMPUTED_VALUE"""),"")</f>
        <v/>
      </c>
      <c r="X3013" s="1" t="str">
        <f>IFERROR(__xludf.DUMMYFUNCTION("""COMPUTED_VALUE"""),"")</f>
        <v/>
      </c>
      <c r="Y3013" s="2"/>
      <c r="Z3013" s="2" t="str">
        <f>IFERROR(__xludf.DUMMYFUNCTION("""COMPUTED_VALUE"""),"")</f>
        <v/>
      </c>
    </row>
    <row r="3014">
      <c r="A3014" s="1" t="str">
        <f>IFERROR(__xludf.DUMMYFUNCTION("""COMPUTED_VALUE"""),"")</f>
        <v/>
      </c>
      <c r="B3014" s="1"/>
      <c r="C3014" s="2"/>
      <c r="D3014" s="2"/>
      <c r="E3014" s="1"/>
      <c r="F3014" s="1"/>
      <c r="G3014" s="4" t="str">
        <f>IFERROR(__xludf.DUMMYFUNCTION("""COMPUTED_VALUE"""),"")</f>
        <v/>
      </c>
      <c r="H3014" s="4" t="str">
        <f>IFERROR(__xludf.DUMMYFUNCTION("""COMPUTED_VALUE"""),"")</f>
        <v/>
      </c>
      <c r="I3014" s="4" t="str">
        <f>IFERROR(__xludf.DUMMYFUNCTION("""COMPUTED_VALUE"""),"")</f>
        <v/>
      </c>
      <c r="J3014" s="4" t="str">
        <f>IFERROR(__xludf.DUMMYFUNCTION("""COMPUTED_VALUE"""),"")</f>
        <v/>
      </c>
      <c r="K3014" s="4" t="str">
        <f>IFERROR(__xludf.DUMMYFUNCTION("""COMPUTED_VALUE"""),"")</f>
        <v/>
      </c>
      <c r="L3014" s="4" t="str">
        <f>IFERROR(__xludf.DUMMYFUNCTION("""COMPUTED_VALUE"""),"")</f>
        <v/>
      </c>
      <c r="M3014" s="1" t="str">
        <f>IFERROR(__xludf.DUMMYFUNCTION("""COMPUTED_VALUE"""),"RFID")</f>
        <v>RFID</v>
      </c>
      <c r="N3014" s="5" t="str">
        <f>IFERROR(__xludf.DUMMYFUNCTION("""COMPUTED_VALUE"""),"")</f>
        <v/>
      </c>
      <c r="O3014" s="5" t="str">
        <f>IFERROR(__xludf.DUMMYFUNCTION("""COMPUTED_VALUE"""),"")</f>
        <v/>
      </c>
      <c r="P3014" s="5" t="str">
        <f>IFERROR(__xludf.DUMMYFUNCTION("""COMPUTED_VALUE"""),"")</f>
        <v/>
      </c>
      <c r="Q3014" s="5" t="str">
        <f>IFERROR(__xludf.DUMMYFUNCTION("""COMPUTED_VALUE"""),"")</f>
        <v/>
      </c>
      <c r="R3014" s="4" t="str">
        <f>IFERROR(__xludf.DUMMYFUNCTION("""COMPUTED_VALUE"""),"")</f>
        <v/>
      </c>
      <c r="S3014" s="1" t="b">
        <f>IFERROR(__xludf.DUMMYFUNCTION("""COMPUTED_VALUE"""),FALSE)</f>
        <v>0</v>
      </c>
      <c r="T3014" s="1" t="b">
        <f>IFERROR(__xludf.DUMMYFUNCTION("""COMPUTED_VALUE"""),FALSE)</f>
        <v>0</v>
      </c>
      <c r="U3014" s="1" t="str">
        <f>IFERROR(__xludf.DUMMYFUNCTION("""COMPUTED_VALUE"""),"")</f>
        <v/>
      </c>
      <c r="V3014" s="1" t="str">
        <f>IFERROR(__xludf.DUMMYFUNCTION("""COMPUTED_VALUE"""),"")</f>
        <v/>
      </c>
      <c r="W3014" s="1" t="str">
        <f>IFERROR(__xludf.DUMMYFUNCTION("""COMPUTED_VALUE"""),"")</f>
        <v/>
      </c>
      <c r="X3014" s="1" t="str">
        <f>IFERROR(__xludf.DUMMYFUNCTION("""COMPUTED_VALUE"""),"")</f>
        <v/>
      </c>
      <c r="Y3014" s="2"/>
      <c r="Z3014" s="2" t="str">
        <f>IFERROR(__xludf.DUMMYFUNCTION("""COMPUTED_VALUE"""),"")</f>
        <v/>
      </c>
    </row>
    <row r="3015">
      <c r="A3015" s="1" t="str">
        <f>IFERROR(__xludf.DUMMYFUNCTION("""COMPUTED_VALUE"""),"")</f>
        <v/>
      </c>
      <c r="B3015" s="1"/>
      <c r="C3015" s="2"/>
      <c r="D3015" s="2"/>
      <c r="E3015" s="1"/>
      <c r="F3015" s="1"/>
      <c r="G3015" s="4" t="str">
        <f>IFERROR(__xludf.DUMMYFUNCTION("""COMPUTED_VALUE"""),"")</f>
        <v/>
      </c>
      <c r="H3015" s="4" t="str">
        <f>IFERROR(__xludf.DUMMYFUNCTION("""COMPUTED_VALUE"""),"")</f>
        <v/>
      </c>
      <c r="I3015" s="4" t="str">
        <f>IFERROR(__xludf.DUMMYFUNCTION("""COMPUTED_VALUE"""),"")</f>
        <v/>
      </c>
      <c r="J3015" s="4" t="str">
        <f>IFERROR(__xludf.DUMMYFUNCTION("""COMPUTED_VALUE"""),"")</f>
        <v/>
      </c>
      <c r="K3015" s="4" t="str">
        <f>IFERROR(__xludf.DUMMYFUNCTION("""COMPUTED_VALUE"""),"")</f>
        <v/>
      </c>
      <c r="L3015" s="4" t="str">
        <f>IFERROR(__xludf.DUMMYFUNCTION("""COMPUTED_VALUE"""),"")</f>
        <v/>
      </c>
      <c r="M3015" s="1" t="str">
        <f>IFERROR(__xludf.DUMMYFUNCTION("""COMPUTED_VALUE"""),"RFID")</f>
        <v>RFID</v>
      </c>
      <c r="N3015" s="5" t="str">
        <f>IFERROR(__xludf.DUMMYFUNCTION("""COMPUTED_VALUE"""),"")</f>
        <v/>
      </c>
      <c r="O3015" s="5" t="str">
        <f>IFERROR(__xludf.DUMMYFUNCTION("""COMPUTED_VALUE"""),"")</f>
        <v/>
      </c>
      <c r="P3015" s="5" t="str">
        <f>IFERROR(__xludf.DUMMYFUNCTION("""COMPUTED_VALUE"""),"")</f>
        <v/>
      </c>
      <c r="Q3015" s="5" t="str">
        <f>IFERROR(__xludf.DUMMYFUNCTION("""COMPUTED_VALUE"""),"")</f>
        <v/>
      </c>
      <c r="R3015" s="4" t="str">
        <f>IFERROR(__xludf.DUMMYFUNCTION("""COMPUTED_VALUE"""),"")</f>
        <v/>
      </c>
      <c r="S3015" s="1" t="b">
        <f>IFERROR(__xludf.DUMMYFUNCTION("""COMPUTED_VALUE"""),FALSE)</f>
        <v>0</v>
      </c>
      <c r="T3015" s="1" t="b">
        <f>IFERROR(__xludf.DUMMYFUNCTION("""COMPUTED_VALUE"""),FALSE)</f>
        <v>0</v>
      </c>
      <c r="U3015" s="1" t="str">
        <f>IFERROR(__xludf.DUMMYFUNCTION("""COMPUTED_VALUE"""),"")</f>
        <v/>
      </c>
      <c r="V3015" s="1" t="str">
        <f>IFERROR(__xludf.DUMMYFUNCTION("""COMPUTED_VALUE"""),"")</f>
        <v/>
      </c>
      <c r="W3015" s="1" t="str">
        <f>IFERROR(__xludf.DUMMYFUNCTION("""COMPUTED_VALUE"""),"")</f>
        <v/>
      </c>
      <c r="X3015" s="1" t="str">
        <f>IFERROR(__xludf.DUMMYFUNCTION("""COMPUTED_VALUE"""),"")</f>
        <v/>
      </c>
      <c r="Y3015" s="2"/>
      <c r="Z3015" s="2" t="str">
        <f>IFERROR(__xludf.DUMMYFUNCTION("""COMPUTED_VALUE"""),"")</f>
        <v/>
      </c>
    </row>
    <row r="3016">
      <c r="A3016" s="1" t="str">
        <f>IFERROR(__xludf.DUMMYFUNCTION("""COMPUTED_VALUE"""),"")</f>
        <v/>
      </c>
      <c r="B3016" s="1"/>
      <c r="C3016" s="2"/>
      <c r="D3016" s="2"/>
      <c r="E3016" s="1"/>
      <c r="F3016" s="1"/>
      <c r="G3016" s="4" t="str">
        <f>IFERROR(__xludf.DUMMYFUNCTION("""COMPUTED_VALUE"""),"")</f>
        <v/>
      </c>
      <c r="H3016" s="4" t="str">
        <f>IFERROR(__xludf.DUMMYFUNCTION("""COMPUTED_VALUE"""),"")</f>
        <v/>
      </c>
      <c r="I3016" s="4" t="str">
        <f>IFERROR(__xludf.DUMMYFUNCTION("""COMPUTED_VALUE"""),"")</f>
        <v/>
      </c>
      <c r="J3016" s="4" t="str">
        <f>IFERROR(__xludf.DUMMYFUNCTION("""COMPUTED_VALUE"""),"")</f>
        <v/>
      </c>
      <c r="K3016" s="4" t="str">
        <f>IFERROR(__xludf.DUMMYFUNCTION("""COMPUTED_VALUE"""),"")</f>
        <v/>
      </c>
      <c r="L3016" s="4" t="str">
        <f>IFERROR(__xludf.DUMMYFUNCTION("""COMPUTED_VALUE"""),"")</f>
        <v/>
      </c>
      <c r="M3016" s="1" t="str">
        <f>IFERROR(__xludf.DUMMYFUNCTION("""COMPUTED_VALUE"""),"RFID")</f>
        <v>RFID</v>
      </c>
      <c r="N3016" s="5" t="str">
        <f>IFERROR(__xludf.DUMMYFUNCTION("""COMPUTED_VALUE"""),"")</f>
        <v/>
      </c>
      <c r="O3016" s="5" t="str">
        <f>IFERROR(__xludf.DUMMYFUNCTION("""COMPUTED_VALUE"""),"")</f>
        <v/>
      </c>
      <c r="P3016" s="5" t="str">
        <f>IFERROR(__xludf.DUMMYFUNCTION("""COMPUTED_VALUE"""),"")</f>
        <v/>
      </c>
      <c r="Q3016" s="5" t="str">
        <f>IFERROR(__xludf.DUMMYFUNCTION("""COMPUTED_VALUE"""),"")</f>
        <v/>
      </c>
      <c r="R3016" s="4" t="str">
        <f>IFERROR(__xludf.DUMMYFUNCTION("""COMPUTED_VALUE"""),"")</f>
        <v/>
      </c>
      <c r="S3016" s="1" t="b">
        <f>IFERROR(__xludf.DUMMYFUNCTION("""COMPUTED_VALUE"""),FALSE)</f>
        <v>0</v>
      </c>
      <c r="T3016" s="1" t="b">
        <f>IFERROR(__xludf.DUMMYFUNCTION("""COMPUTED_VALUE"""),FALSE)</f>
        <v>0</v>
      </c>
      <c r="U3016" s="1" t="str">
        <f>IFERROR(__xludf.DUMMYFUNCTION("""COMPUTED_VALUE"""),"")</f>
        <v/>
      </c>
      <c r="V3016" s="1" t="str">
        <f>IFERROR(__xludf.DUMMYFUNCTION("""COMPUTED_VALUE"""),"")</f>
        <v/>
      </c>
      <c r="W3016" s="1" t="str">
        <f>IFERROR(__xludf.DUMMYFUNCTION("""COMPUTED_VALUE"""),"")</f>
        <v/>
      </c>
      <c r="X3016" s="1" t="str">
        <f>IFERROR(__xludf.DUMMYFUNCTION("""COMPUTED_VALUE"""),"")</f>
        <v/>
      </c>
      <c r="Y3016" s="2"/>
      <c r="Z3016" s="2" t="str">
        <f>IFERROR(__xludf.DUMMYFUNCTION("""COMPUTED_VALUE"""),"")</f>
        <v/>
      </c>
    </row>
    <row r="3017">
      <c r="A3017" s="1" t="str">
        <f>IFERROR(__xludf.DUMMYFUNCTION("""COMPUTED_VALUE"""),"")</f>
        <v/>
      </c>
      <c r="B3017" s="1"/>
      <c r="C3017" s="2"/>
      <c r="D3017" s="2"/>
      <c r="E3017" s="1"/>
      <c r="F3017" s="1"/>
      <c r="G3017" s="4" t="str">
        <f>IFERROR(__xludf.DUMMYFUNCTION("""COMPUTED_VALUE"""),"")</f>
        <v/>
      </c>
      <c r="H3017" s="4" t="str">
        <f>IFERROR(__xludf.DUMMYFUNCTION("""COMPUTED_VALUE"""),"")</f>
        <v/>
      </c>
      <c r="I3017" s="4" t="str">
        <f>IFERROR(__xludf.DUMMYFUNCTION("""COMPUTED_VALUE"""),"")</f>
        <v/>
      </c>
      <c r="J3017" s="4" t="str">
        <f>IFERROR(__xludf.DUMMYFUNCTION("""COMPUTED_VALUE"""),"")</f>
        <v/>
      </c>
      <c r="K3017" s="4" t="str">
        <f>IFERROR(__xludf.DUMMYFUNCTION("""COMPUTED_VALUE"""),"")</f>
        <v/>
      </c>
      <c r="L3017" s="4" t="str">
        <f>IFERROR(__xludf.DUMMYFUNCTION("""COMPUTED_VALUE"""),"")</f>
        <v/>
      </c>
      <c r="M3017" s="1" t="str">
        <f>IFERROR(__xludf.DUMMYFUNCTION("""COMPUTED_VALUE"""),"RFID")</f>
        <v>RFID</v>
      </c>
      <c r="N3017" s="5" t="str">
        <f>IFERROR(__xludf.DUMMYFUNCTION("""COMPUTED_VALUE"""),"")</f>
        <v/>
      </c>
      <c r="O3017" s="5" t="str">
        <f>IFERROR(__xludf.DUMMYFUNCTION("""COMPUTED_VALUE"""),"")</f>
        <v/>
      </c>
      <c r="P3017" s="5" t="str">
        <f>IFERROR(__xludf.DUMMYFUNCTION("""COMPUTED_VALUE"""),"")</f>
        <v/>
      </c>
      <c r="Q3017" s="5" t="str">
        <f>IFERROR(__xludf.DUMMYFUNCTION("""COMPUTED_VALUE"""),"")</f>
        <v/>
      </c>
      <c r="R3017" s="4" t="str">
        <f>IFERROR(__xludf.DUMMYFUNCTION("""COMPUTED_VALUE"""),"")</f>
        <v/>
      </c>
      <c r="S3017" s="1" t="b">
        <f>IFERROR(__xludf.DUMMYFUNCTION("""COMPUTED_VALUE"""),FALSE)</f>
        <v>0</v>
      </c>
      <c r="T3017" s="1" t="b">
        <f>IFERROR(__xludf.DUMMYFUNCTION("""COMPUTED_VALUE"""),FALSE)</f>
        <v>0</v>
      </c>
      <c r="U3017" s="1" t="str">
        <f>IFERROR(__xludf.DUMMYFUNCTION("""COMPUTED_VALUE"""),"")</f>
        <v/>
      </c>
      <c r="V3017" s="1" t="str">
        <f>IFERROR(__xludf.DUMMYFUNCTION("""COMPUTED_VALUE"""),"")</f>
        <v/>
      </c>
      <c r="W3017" s="1" t="str">
        <f>IFERROR(__xludf.DUMMYFUNCTION("""COMPUTED_VALUE"""),"")</f>
        <v/>
      </c>
      <c r="X3017" s="1" t="str">
        <f>IFERROR(__xludf.DUMMYFUNCTION("""COMPUTED_VALUE"""),"")</f>
        <v/>
      </c>
      <c r="Y3017" s="2"/>
      <c r="Z3017" s="2" t="str">
        <f>IFERROR(__xludf.DUMMYFUNCTION("""COMPUTED_VALUE"""),"")</f>
        <v/>
      </c>
    </row>
    <row r="3018">
      <c r="A3018" s="1" t="str">
        <f>IFERROR(__xludf.DUMMYFUNCTION("""COMPUTED_VALUE"""),"")</f>
        <v/>
      </c>
      <c r="B3018" s="1"/>
      <c r="C3018" s="2"/>
      <c r="D3018" s="2"/>
      <c r="E3018" s="1"/>
      <c r="F3018" s="1"/>
      <c r="G3018" s="4" t="str">
        <f>IFERROR(__xludf.DUMMYFUNCTION("""COMPUTED_VALUE"""),"")</f>
        <v/>
      </c>
      <c r="H3018" s="4" t="str">
        <f>IFERROR(__xludf.DUMMYFUNCTION("""COMPUTED_VALUE"""),"")</f>
        <v/>
      </c>
      <c r="I3018" s="4" t="str">
        <f>IFERROR(__xludf.DUMMYFUNCTION("""COMPUTED_VALUE"""),"")</f>
        <v/>
      </c>
      <c r="J3018" s="4" t="str">
        <f>IFERROR(__xludf.DUMMYFUNCTION("""COMPUTED_VALUE"""),"")</f>
        <v/>
      </c>
      <c r="K3018" s="4" t="str">
        <f>IFERROR(__xludf.DUMMYFUNCTION("""COMPUTED_VALUE"""),"")</f>
        <v/>
      </c>
      <c r="L3018" s="4" t="str">
        <f>IFERROR(__xludf.DUMMYFUNCTION("""COMPUTED_VALUE"""),"")</f>
        <v/>
      </c>
      <c r="M3018" s="1" t="str">
        <f>IFERROR(__xludf.DUMMYFUNCTION("""COMPUTED_VALUE"""),"RFID")</f>
        <v>RFID</v>
      </c>
      <c r="N3018" s="5" t="str">
        <f>IFERROR(__xludf.DUMMYFUNCTION("""COMPUTED_VALUE"""),"")</f>
        <v/>
      </c>
      <c r="O3018" s="5" t="str">
        <f>IFERROR(__xludf.DUMMYFUNCTION("""COMPUTED_VALUE"""),"")</f>
        <v/>
      </c>
      <c r="P3018" s="5" t="str">
        <f>IFERROR(__xludf.DUMMYFUNCTION("""COMPUTED_VALUE"""),"")</f>
        <v/>
      </c>
      <c r="Q3018" s="5" t="str">
        <f>IFERROR(__xludf.DUMMYFUNCTION("""COMPUTED_VALUE"""),"")</f>
        <v/>
      </c>
      <c r="R3018" s="4" t="str">
        <f>IFERROR(__xludf.DUMMYFUNCTION("""COMPUTED_VALUE"""),"")</f>
        <v/>
      </c>
      <c r="S3018" s="1" t="b">
        <f>IFERROR(__xludf.DUMMYFUNCTION("""COMPUTED_VALUE"""),FALSE)</f>
        <v>0</v>
      </c>
      <c r="T3018" s="1" t="b">
        <f>IFERROR(__xludf.DUMMYFUNCTION("""COMPUTED_VALUE"""),FALSE)</f>
        <v>0</v>
      </c>
      <c r="U3018" s="1" t="str">
        <f>IFERROR(__xludf.DUMMYFUNCTION("""COMPUTED_VALUE"""),"")</f>
        <v/>
      </c>
      <c r="V3018" s="1" t="str">
        <f>IFERROR(__xludf.DUMMYFUNCTION("""COMPUTED_VALUE"""),"")</f>
        <v/>
      </c>
      <c r="W3018" s="1" t="str">
        <f>IFERROR(__xludf.DUMMYFUNCTION("""COMPUTED_VALUE"""),"")</f>
        <v/>
      </c>
      <c r="X3018" s="1" t="str">
        <f>IFERROR(__xludf.DUMMYFUNCTION("""COMPUTED_VALUE"""),"")</f>
        <v/>
      </c>
      <c r="Y3018" s="2"/>
      <c r="Z3018" s="2" t="str">
        <f>IFERROR(__xludf.DUMMYFUNCTION("""COMPUTED_VALUE"""),"")</f>
        <v/>
      </c>
    </row>
    <row r="3019">
      <c r="A3019" s="1" t="str">
        <f>IFERROR(__xludf.DUMMYFUNCTION("""COMPUTED_VALUE"""),"")</f>
        <v/>
      </c>
      <c r="B3019" s="1"/>
      <c r="C3019" s="2"/>
      <c r="D3019" s="2"/>
      <c r="E3019" s="1"/>
      <c r="F3019" s="1"/>
      <c r="G3019" s="4" t="str">
        <f>IFERROR(__xludf.DUMMYFUNCTION("""COMPUTED_VALUE"""),"")</f>
        <v/>
      </c>
      <c r="H3019" s="4" t="str">
        <f>IFERROR(__xludf.DUMMYFUNCTION("""COMPUTED_VALUE"""),"")</f>
        <v/>
      </c>
      <c r="I3019" s="4" t="str">
        <f>IFERROR(__xludf.DUMMYFUNCTION("""COMPUTED_VALUE"""),"")</f>
        <v/>
      </c>
      <c r="J3019" s="4" t="str">
        <f>IFERROR(__xludf.DUMMYFUNCTION("""COMPUTED_VALUE"""),"")</f>
        <v/>
      </c>
      <c r="K3019" s="4" t="str">
        <f>IFERROR(__xludf.DUMMYFUNCTION("""COMPUTED_VALUE"""),"")</f>
        <v/>
      </c>
      <c r="L3019" s="4" t="str">
        <f>IFERROR(__xludf.DUMMYFUNCTION("""COMPUTED_VALUE"""),"")</f>
        <v/>
      </c>
      <c r="M3019" s="1" t="str">
        <f>IFERROR(__xludf.DUMMYFUNCTION("""COMPUTED_VALUE"""),"RFID")</f>
        <v>RFID</v>
      </c>
      <c r="N3019" s="5" t="str">
        <f>IFERROR(__xludf.DUMMYFUNCTION("""COMPUTED_VALUE"""),"")</f>
        <v/>
      </c>
      <c r="O3019" s="5" t="str">
        <f>IFERROR(__xludf.DUMMYFUNCTION("""COMPUTED_VALUE"""),"")</f>
        <v/>
      </c>
      <c r="P3019" s="5" t="str">
        <f>IFERROR(__xludf.DUMMYFUNCTION("""COMPUTED_VALUE"""),"")</f>
        <v/>
      </c>
      <c r="Q3019" s="5" t="str">
        <f>IFERROR(__xludf.DUMMYFUNCTION("""COMPUTED_VALUE"""),"")</f>
        <v/>
      </c>
      <c r="R3019" s="4" t="str">
        <f>IFERROR(__xludf.DUMMYFUNCTION("""COMPUTED_VALUE"""),"")</f>
        <v/>
      </c>
      <c r="S3019" s="1" t="b">
        <f>IFERROR(__xludf.DUMMYFUNCTION("""COMPUTED_VALUE"""),FALSE)</f>
        <v>0</v>
      </c>
      <c r="T3019" s="1" t="b">
        <f>IFERROR(__xludf.DUMMYFUNCTION("""COMPUTED_VALUE"""),FALSE)</f>
        <v>0</v>
      </c>
      <c r="U3019" s="1" t="str">
        <f>IFERROR(__xludf.DUMMYFUNCTION("""COMPUTED_VALUE"""),"")</f>
        <v/>
      </c>
      <c r="V3019" s="1" t="str">
        <f>IFERROR(__xludf.DUMMYFUNCTION("""COMPUTED_VALUE"""),"")</f>
        <v/>
      </c>
      <c r="W3019" s="1" t="str">
        <f>IFERROR(__xludf.DUMMYFUNCTION("""COMPUTED_VALUE"""),"")</f>
        <v/>
      </c>
      <c r="X3019" s="1" t="str">
        <f>IFERROR(__xludf.DUMMYFUNCTION("""COMPUTED_VALUE"""),"")</f>
        <v/>
      </c>
      <c r="Y3019" s="2"/>
      <c r="Z3019" s="2" t="str">
        <f>IFERROR(__xludf.DUMMYFUNCTION("""COMPUTED_VALUE"""),"")</f>
        <v/>
      </c>
    </row>
    <row r="3020">
      <c r="A3020" s="1" t="str">
        <f>IFERROR(__xludf.DUMMYFUNCTION("""COMPUTED_VALUE"""),"")</f>
        <v/>
      </c>
      <c r="B3020" s="1"/>
      <c r="C3020" s="2"/>
      <c r="D3020" s="2"/>
      <c r="E3020" s="1"/>
      <c r="F3020" s="1"/>
      <c r="G3020" s="4" t="str">
        <f>IFERROR(__xludf.DUMMYFUNCTION("""COMPUTED_VALUE"""),"")</f>
        <v/>
      </c>
      <c r="H3020" s="4" t="str">
        <f>IFERROR(__xludf.DUMMYFUNCTION("""COMPUTED_VALUE"""),"")</f>
        <v/>
      </c>
      <c r="I3020" s="4" t="str">
        <f>IFERROR(__xludf.DUMMYFUNCTION("""COMPUTED_VALUE"""),"")</f>
        <v/>
      </c>
      <c r="J3020" s="4" t="str">
        <f>IFERROR(__xludf.DUMMYFUNCTION("""COMPUTED_VALUE"""),"")</f>
        <v/>
      </c>
      <c r="K3020" s="4" t="str">
        <f>IFERROR(__xludf.DUMMYFUNCTION("""COMPUTED_VALUE"""),"")</f>
        <v/>
      </c>
      <c r="L3020" s="4" t="str">
        <f>IFERROR(__xludf.DUMMYFUNCTION("""COMPUTED_VALUE"""),"")</f>
        <v/>
      </c>
      <c r="M3020" s="1" t="str">
        <f>IFERROR(__xludf.DUMMYFUNCTION("""COMPUTED_VALUE"""),"RFID")</f>
        <v>RFID</v>
      </c>
      <c r="N3020" s="5" t="str">
        <f>IFERROR(__xludf.DUMMYFUNCTION("""COMPUTED_VALUE"""),"")</f>
        <v/>
      </c>
      <c r="O3020" s="5" t="str">
        <f>IFERROR(__xludf.DUMMYFUNCTION("""COMPUTED_VALUE"""),"")</f>
        <v/>
      </c>
      <c r="P3020" s="5" t="str">
        <f>IFERROR(__xludf.DUMMYFUNCTION("""COMPUTED_VALUE"""),"")</f>
        <v/>
      </c>
      <c r="Q3020" s="5" t="str">
        <f>IFERROR(__xludf.DUMMYFUNCTION("""COMPUTED_VALUE"""),"")</f>
        <v/>
      </c>
      <c r="R3020" s="4" t="str">
        <f>IFERROR(__xludf.DUMMYFUNCTION("""COMPUTED_VALUE"""),"")</f>
        <v/>
      </c>
      <c r="S3020" s="1" t="b">
        <f>IFERROR(__xludf.DUMMYFUNCTION("""COMPUTED_VALUE"""),FALSE)</f>
        <v>0</v>
      </c>
      <c r="T3020" s="1" t="b">
        <f>IFERROR(__xludf.DUMMYFUNCTION("""COMPUTED_VALUE"""),FALSE)</f>
        <v>0</v>
      </c>
      <c r="U3020" s="1" t="str">
        <f>IFERROR(__xludf.DUMMYFUNCTION("""COMPUTED_VALUE"""),"")</f>
        <v/>
      </c>
      <c r="V3020" s="1" t="str">
        <f>IFERROR(__xludf.DUMMYFUNCTION("""COMPUTED_VALUE"""),"")</f>
        <v/>
      </c>
      <c r="W3020" s="1" t="str">
        <f>IFERROR(__xludf.DUMMYFUNCTION("""COMPUTED_VALUE"""),"")</f>
        <v/>
      </c>
      <c r="X3020" s="1" t="str">
        <f>IFERROR(__xludf.DUMMYFUNCTION("""COMPUTED_VALUE"""),"")</f>
        <v/>
      </c>
      <c r="Y3020" s="2"/>
      <c r="Z3020" s="2" t="str">
        <f>IFERROR(__xludf.DUMMYFUNCTION("""COMPUTED_VALUE"""),"")</f>
        <v/>
      </c>
    </row>
    <row r="3021">
      <c r="A3021" s="1" t="str">
        <f>IFERROR(__xludf.DUMMYFUNCTION("""COMPUTED_VALUE"""),"")</f>
        <v/>
      </c>
      <c r="B3021" s="1"/>
      <c r="C3021" s="2"/>
      <c r="D3021" s="2"/>
      <c r="E3021" s="1"/>
      <c r="F3021" s="1"/>
      <c r="G3021" s="4" t="str">
        <f>IFERROR(__xludf.DUMMYFUNCTION("""COMPUTED_VALUE"""),"")</f>
        <v/>
      </c>
      <c r="H3021" s="4" t="str">
        <f>IFERROR(__xludf.DUMMYFUNCTION("""COMPUTED_VALUE"""),"")</f>
        <v/>
      </c>
      <c r="I3021" s="4" t="str">
        <f>IFERROR(__xludf.DUMMYFUNCTION("""COMPUTED_VALUE"""),"")</f>
        <v/>
      </c>
      <c r="J3021" s="4" t="str">
        <f>IFERROR(__xludf.DUMMYFUNCTION("""COMPUTED_VALUE"""),"")</f>
        <v/>
      </c>
      <c r="K3021" s="4" t="str">
        <f>IFERROR(__xludf.DUMMYFUNCTION("""COMPUTED_VALUE"""),"")</f>
        <v/>
      </c>
      <c r="L3021" s="4" t="str">
        <f>IFERROR(__xludf.DUMMYFUNCTION("""COMPUTED_VALUE"""),"")</f>
        <v/>
      </c>
      <c r="M3021" s="1" t="str">
        <f>IFERROR(__xludf.DUMMYFUNCTION("""COMPUTED_VALUE"""),"RFID")</f>
        <v>RFID</v>
      </c>
      <c r="N3021" s="5" t="str">
        <f>IFERROR(__xludf.DUMMYFUNCTION("""COMPUTED_VALUE"""),"")</f>
        <v/>
      </c>
      <c r="O3021" s="5" t="str">
        <f>IFERROR(__xludf.DUMMYFUNCTION("""COMPUTED_VALUE"""),"")</f>
        <v/>
      </c>
      <c r="P3021" s="5" t="str">
        <f>IFERROR(__xludf.DUMMYFUNCTION("""COMPUTED_VALUE"""),"")</f>
        <v/>
      </c>
      <c r="Q3021" s="5" t="str">
        <f>IFERROR(__xludf.DUMMYFUNCTION("""COMPUTED_VALUE"""),"")</f>
        <v/>
      </c>
      <c r="R3021" s="4" t="str">
        <f>IFERROR(__xludf.DUMMYFUNCTION("""COMPUTED_VALUE"""),"")</f>
        <v/>
      </c>
      <c r="S3021" s="1" t="b">
        <f>IFERROR(__xludf.DUMMYFUNCTION("""COMPUTED_VALUE"""),FALSE)</f>
        <v>0</v>
      </c>
      <c r="T3021" s="1" t="b">
        <f>IFERROR(__xludf.DUMMYFUNCTION("""COMPUTED_VALUE"""),FALSE)</f>
        <v>0</v>
      </c>
      <c r="U3021" s="1" t="str">
        <f>IFERROR(__xludf.DUMMYFUNCTION("""COMPUTED_VALUE"""),"")</f>
        <v/>
      </c>
      <c r="V3021" s="1" t="str">
        <f>IFERROR(__xludf.DUMMYFUNCTION("""COMPUTED_VALUE"""),"")</f>
        <v/>
      </c>
      <c r="W3021" s="1" t="str">
        <f>IFERROR(__xludf.DUMMYFUNCTION("""COMPUTED_VALUE"""),"")</f>
        <v/>
      </c>
      <c r="X3021" s="1" t="str">
        <f>IFERROR(__xludf.DUMMYFUNCTION("""COMPUTED_VALUE"""),"")</f>
        <v/>
      </c>
      <c r="Y3021" s="2"/>
      <c r="Z3021" s="2" t="str">
        <f>IFERROR(__xludf.DUMMYFUNCTION("""COMPUTED_VALUE"""),"")</f>
        <v/>
      </c>
    </row>
    <row r="3022">
      <c r="A3022" s="1" t="str">
        <f>IFERROR(__xludf.DUMMYFUNCTION("""COMPUTED_VALUE"""),"")</f>
        <v/>
      </c>
      <c r="B3022" s="1"/>
      <c r="C3022" s="2"/>
      <c r="D3022" s="2"/>
      <c r="E3022" s="1"/>
      <c r="F3022" s="1"/>
      <c r="G3022" s="4" t="str">
        <f>IFERROR(__xludf.DUMMYFUNCTION("""COMPUTED_VALUE"""),"")</f>
        <v/>
      </c>
      <c r="H3022" s="4" t="str">
        <f>IFERROR(__xludf.DUMMYFUNCTION("""COMPUTED_VALUE"""),"")</f>
        <v/>
      </c>
      <c r="I3022" s="4" t="str">
        <f>IFERROR(__xludf.DUMMYFUNCTION("""COMPUTED_VALUE"""),"")</f>
        <v/>
      </c>
      <c r="J3022" s="4" t="str">
        <f>IFERROR(__xludf.DUMMYFUNCTION("""COMPUTED_VALUE"""),"")</f>
        <v/>
      </c>
      <c r="K3022" s="4" t="str">
        <f>IFERROR(__xludf.DUMMYFUNCTION("""COMPUTED_VALUE"""),"")</f>
        <v/>
      </c>
      <c r="L3022" s="4" t="str">
        <f>IFERROR(__xludf.DUMMYFUNCTION("""COMPUTED_VALUE"""),"")</f>
        <v/>
      </c>
      <c r="M3022" s="1" t="str">
        <f>IFERROR(__xludf.DUMMYFUNCTION("""COMPUTED_VALUE"""),"RFID")</f>
        <v>RFID</v>
      </c>
      <c r="N3022" s="5" t="str">
        <f>IFERROR(__xludf.DUMMYFUNCTION("""COMPUTED_VALUE"""),"")</f>
        <v/>
      </c>
      <c r="O3022" s="5" t="str">
        <f>IFERROR(__xludf.DUMMYFUNCTION("""COMPUTED_VALUE"""),"")</f>
        <v/>
      </c>
      <c r="P3022" s="5" t="str">
        <f>IFERROR(__xludf.DUMMYFUNCTION("""COMPUTED_VALUE"""),"")</f>
        <v/>
      </c>
      <c r="Q3022" s="5" t="str">
        <f>IFERROR(__xludf.DUMMYFUNCTION("""COMPUTED_VALUE"""),"")</f>
        <v/>
      </c>
      <c r="R3022" s="4" t="str">
        <f>IFERROR(__xludf.DUMMYFUNCTION("""COMPUTED_VALUE"""),"")</f>
        <v/>
      </c>
      <c r="S3022" s="1" t="b">
        <f>IFERROR(__xludf.DUMMYFUNCTION("""COMPUTED_VALUE"""),FALSE)</f>
        <v>0</v>
      </c>
      <c r="T3022" s="1" t="b">
        <f>IFERROR(__xludf.DUMMYFUNCTION("""COMPUTED_VALUE"""),FALSE)</f>
        <v>0</v>
      </c>
      <c r="U3022" s="1" t="str">
        <f>IFERROR(__xludf.DUMMYFUNCTION("""COMPUTED_VALUE"""),"")</f>
        <v/>
      </c>
      <c r="V3022" s="1" t="str">
        <f>IFERROR(__xludf.DUMMYFUNCTION("""COMPUTED_VALUE"""),"")</f>
        <v/>
      </c>
      <c r="W3022" s="1" t="str">
        <f>IFERROR(__xludf.DUMMYFUNCTION("""COMPUTED_VALUE"""),"")</f>
        <v/>
      </c>
      <c r="X3022" s="1" t="str">
        <f>IFERROR(__xludf.DUMMYFUNCTION("""COMPUTED_VALUE"""),"")</f>
        <v/>
      </c>
      <c r="Y3022" s="2"/>
      <c r="Z3022" s="2" t="str">
        <f>IFERROR(__xludf.DUMMYFUNCTION("""COMPUTED_VALUE"""),"")</f>
        <v/>
      </c>
    </row>
    <row r="3023">
      <c r="A3023" s="1" t="str">
        <f>IFERROR(__xludf.DUMMYFUNCTION("""COMPUTED_VALUE"""),"")</f>
        <v/>
      </c>
      <c r="B3023" s="1"/>
      <c r="C3023" s="2"/>
      <c r="D3023" s="2"/>
      <c r="E3023" s="1"/>
      <c r="F3023" s="1"/>
      <c r="G3023" s="4" t="str">
        <f>IFERROR(__xludf.DUMMYFUNCTION("""COMPUTED_VALUE"""),"")</f>
        <v/>
      </c>
      <c r="H3023" s="4" t="str">
        <f>IFERROR(__xludf.DUMMYFUNCTION("""COMPUTED_VALUE"""),"")</f>
        <v/>
      </c>
      <c r="I3023" s="4" t="str">
        <f>IFERROR(__xludf.DUMMYFUNCTION("""COMPUTED_VALUE"""),"")</f>
        <v/>
      </c>
      <c r="J3023" s="4" t="str">
        <f>IFERROR(__xludf.DUMMYFUNCTION("""COMPUTED_VALUE"""),"")</f>
        <v/>
      </c>
      <c r="K3023" s="4" t="str">
        <f>IFERROR(__xludf.DUMMYFUNCTION("""COMPUTED_VALUE"""),"")</f>
        <v/>
      </c>
      <c r="L3023" s="4" t="str">
        <f>IFERROR(__xludf.DUMMYFUNCTION("""COMPUTED_VALUE"""),"")</f>
        <v/>
      </c>
      <c r="M3023" s="1" t="str">
        <f>IFERROR(__xludf.DUMMYFUNCTION("""COMPUTED_VALUE"""),"RFID")</f>
        <v>RFID</v>
      </c>
      <c r="N3023" s="5" t="str">
        <f>IFERROR(__xludf.DUMMYFUNCTION("""COMPUTED_VALUE"""),"")</f>
        <v/>
      </c>
      <c r="O3023" s="5" t="str">
        <f>IFERROR(__xludf.DUMMYFUNCTION("""COMPUTED_VALUE"""),"")</f>
        <v/>
      </c>
      <c r="P3023" s="5" t="str">
        <f>IFERROR(__xludf.DUMMYFUNCTION("""COMPUTED_VALUE"""),"")</f>
        <v/>
      </c>
      <c r="Q3023" s="5" t="str">
        <f>IFERROR(__xludf.DUMMYFUNCTION("""COMPUTED_VALUE"""),"")</f>
        <v/>
      </c>
      <c r="R3023" s="4" t="str">
        <f>IFERROR(__xludf.DUMMYFUNCTION("""COMPUTED_VALUE"""),"")</f>
        <v/>
      </c>
      <c r="S3023" s="1" t="b">
        <f>IFERROR(__xludf.DUMMYFUNCTION("""COMPUTED_VALUE"""),FALSE)</f>
        <v>0</v>
      </c>
      <c r="T3023" s="1" t="b">
        <f>IFERROR(__xludf.DUMMYFUNCTION("""COMPUTED_VALUE"""),FALSE)</f>
        <v>0</v>
      </c>
      <c r="U3023" s="1" t="str">
        <f>IFERROR(__xludf.DUMMYFUNCTION("""COMPUTED_VALUE"""),"")</f>
        <v/>
      </c>
      <c r="V3023" s="1" t="str">
        <f>IFERROR(__xludf.DUMMYFUNCTION("""COMPUTED_VALUE"""),"")</f>
        <v/>
      </c>
      <c r="W3023" s="1" t="str">
        <f>IFERROR(__xludf.DUMMYFUNCTION("""COMPUTED_VALUE"""),"")</f>
        <v/>
      </c>
      <c r="X3023" s="1" t="str">
        <f>IFERROR(__xludf.DUMMYFUNCTION("""COMPUTED_VALUE"""),"")</f>
        <v/>
      </c>
      <c r="Y3023" s="2"/>
      <c r="Z3023" s="2" t="str">
        <f>IFERROR(__xludf.DUMMYFUNCTION("""COMPUTED_VALUE"""),"")</f>
        <v/>
      </c>
    </row>
    <row r="3024">
      <c r="A3024" s="1" t="str">
        <f>IFERROR(__xludf.DUMMYFUNCTION("""COMPUTED_VALUE"""),"")</f>
        <v/>
      </c>
      <c r="B3024" s="1"/>
      <c r="C3024" s="2"/>
      <c r="D3024" s="2"/>
      <c r="E3024" s="1"/>
      <c r="F3024" s="1"/>
      <c r="G3024" s="4" t="str">
        <f>IFERROR(__xludf.DUMMYFUNCTION("""COMPUTED_VALUE"""),"")</f>
        <v/>
      </c>
      <c r="H3024" s="4" t="str">
        <f>IFERROR(__xludf.DUMMYFUNCTION("""COMPUTED_VALUE"""),"")</f>
        <v/>
      </c>
      <c r="I3024" s="4" t="str">
        <f>IFERROR(__xludf.DUMMYFUNCTION("""COMPUTED_VALUE"""),"")</f>
        <v/>
      </c>
      <c r="J3024" s="4" t="str">
        <f>IFERROR(__xludf.DUMMYFUNCTION("""COMPUTED_VALUE"""),"")</f>
        <v/>
      </c>
      <c r="K3024" s="4" t="str">
        <f>IFERROR(__xludf.DUMMYFUNCTION("""COMPUTED_VALUE"""),"")</f>
        <v/>
      </c>
      <c r="L3024" s="4" t="str">
        <f>IFERROR(__xludf.DUMMYFUNCTION("""COMPUTED_VALUE"""),"")</f>
        <v/>
      </c>
      <c r="M3024" s="1" t="str">
        <f>IFERROR(__xludf.DUMMYFUNCTION("""COMPUTED_VALUE"""),"RFID")</f>
        <v>RFID</v>
      </c>
      <c r="N3024" s="5" t="str">
        <f>IFERROR(__xludf.DUMMYFUNCTION("""COMPUTED_VALUE"""),"")</f>
        <v/>
      </c>
      <c r="O3024" s="5" t="str">
        <f>IFERROR(__xludf.DUMMYFUNCTION("""COMPUTED_VALUE"""),"")</f>
        <v/>
      </c>
      <c r="P3024" s="5" t="str">
        <f>IFERROR(__xludf.DUMMYFUNCTION("""COMPUTED_VALUE"""),"")</f>
        <v/>
      </c>
      <c r="Q3024" s="5" t="str">
        <f>IFERROR(__xludf.DUMMYFUNCTION("""COMPUTED_VALUE"""),"")</f>
        <v/>
      </c>
      <c r="R3024" s="4" t="str">
        <f>IFERROR(__xludf.DUMMYFUNCTION("""COMPUTED_VALUE"""),"")</f>
        <v/>
      </c>
      <c r="S3024" s="1" t="b">
        <f>IFERROR(__xludf.DUMMYFUNCTION("""COMPUTED_VALUE"""),FALSE)</f>
        <v>0</v>
      </c>
      <c r="T3024" s="1" t="b">
        <f>IFERROR(__xludf.DUMMYFUNCTION("""COMPUTED_VALUE"""),FALSE)</f>
        <v>0</v>
      </c>
      <c r="U3024" s="1" t="str">
        <f>IFERROR(__xludf.DUMMYFUNCTION("""COMPUTED_VALUE"""),"")</f>
        <v/>
      </c>
      <c r="V3024" s="1" t="str">
        <f>IFERROR(__xludf.DUMMYFUNCTION("""COMPUTED_VALUE"""),"")</f>
        <v/>
      </c>
      <c r="W3024" s="1" t="str">
        <f>IFERROR(__xludf.DUMMYFUNCTION("""COMPUTED_VALUE"""),"")</f>
        <v/>
      </c>
      <c r="X3024" s="1" t="str">
        <f>IFERROR(__xludf.DUMMYFUNCTION("""COMPUTED_VALUE"""),"")</f>
        <v/>
      </c>
      <c r="Y3024" s="2"/>
      <c r="Z3024" s="2" t="str">
        <f>IFERROR(__xludf.DUMMYFUNCTION("""COMPUTED_VALUE"""),"")</f>
        <v/>
      </c>
    </row>
    <row r="3025">
      <c r="A3025" s="1" t="str">
        <f>IFERROR(__xludf.DUMMYFUNCTION("""COMPUTED_VALUE"""),"")</f>
        <v/>
      </c>
      <c r="B3025" s="1"/>
      <c r="C3025" s="2"/>
      <c r="D3025" s="2"/>
      <c r="E3025" s="1"/>
      <c r="F3025" s="1"/>
      <c r="G3025" s="4" t="str">
        <f>IFERROR(__xludf.DUMMYFUNCTION("""COMPUTED_VALUE"""),"")</f>
        <v/>
      </c>
      <c r="H3025" s="4" t="str">
        <f>IFERROR(__xludf.DUMMYFUNCTION("""COMPUTED_VALUE"""),"")</f>
        <v/>
      </c>
      <c r="I3025" s="4" t="str">
        <f>IFERROR(__xludf.DUMMYFUNCTION("""COMPUTED_VALUE"""),"")</f>
        <v/>
      </c>
      <c r="J3025" s="4" t="str">
        <f>IFERROR(__xludf.DUMMYFUNCTION("""COMPUTED_VALUE"""),"")</f>
        <v/>
      </c>
      <c r="K3025" s="4" t="str">
        <f>IFERROR(__xludf.DUMMYFUNCTION("""COMPUTED_VALUE"""),"")</f>
        <v/>
      </c>
      <c r="L3025" s="4" t="str">
        <f>IFERROR(__xludf.DUMMYFUNCTION("""COMPUTED_VALUE"""),"")</f>
        <v/>
      </c>
      <c r="M3025" s="1" t="str">
        <f>IFERROR(__xludf.DUMMYFUNCTION("""COMPUTED_VALUE"""),"RFID")</f>
        <v>RFID</v>
      </c>
      <c r="N3025" s="5" t="str">
        <f>IFERROR(__xludf.DUMMYFUNCTION("""COMPUTED_VALUE"""),"")</f>
        <v/>
      </c>
      <c r="O3025" s="5" t="str">
        <f>IFERROR(__xludf.DUMMYFUNCTION("""COMPUTED_VALUE"""),"")</f>
        <v/>
      </c>
      <c r="P3025" s="5" t="str">
        <f>IFERROR(__xludf.DUMMYFUNCTION("""COMPUTED_VALUE"""),"")</f>
        <v/>
      </c>
      <c r="Q3025" s="5" t="str">
        <f>IFERROR(__xludf.DUMMYFUNCTION("""COMPUTED_VALUE"""),"")</f>
        <v/>
      </c>
      <c r="R3025" s="4" t="str">
        <f>IFERROR(__xludf.DUMMYFUNCTION("""COMPUTED_VALUE"""),"")</f>
        <v/>
      </c>
      <c r="S3025" s="1" t="b">
        <f>IFERROR(__xludf.DUMMYFUNCTION("""COMPUTED_VALUE"""),FALSE)</f>
        <v>0</v>
      </c>
      <c r="T3025" s="1" t="b">
        <f>IFERROR(__xludf.DUMMYFUNCTION("""COMPUTED_VALUE"""),FALSE)</f>
        <v>0</v>
      </c>
      <c r="U3025" s="1" t="str">
        <f>IFERROR(__xludf.DUMMYFUNCTION("""COMPUTED_VALUE"""),"")</f>
        <v/>
      </c>
      <c r="V3025" s="1" t="str">
        <f>IFERROR(__xludf.DUMMYFUNCTION("""COMPUTED_VALUE"""),"")</f>
        <v/>
      </c>
      <c r="W3025" s="1" t="str">
        <f>IFERROR(__xludf.DUMMYFUNCTION("""COMPUTED_VALUE"""),"")</f>
        <v/>
      </c>
      <c r="X3025" s="1" t="str">
        <f>IFERROR(__xludf.DUMMYFUNCTION("""COMPUTED_VALUE"""),"")</f>
        <v/>
      </c>
      <c r="Y3025" s="2"/>
      <c r="Z3025" s="2" t="str">
        <f>IFERROR(__xludf.DUMMYFUNCTION("""COMPUTED_VALUE"""),"")</f>
        <v/>
      </c>
    </row>
    <row r="3026">
      <c r="A3026" s="1" t="str">
        <f>IFERROR(__xludf.DUMMYFUNCTION("""COMPUTED_VALUE"""),"")</f>
        <v/>
      </c>
      <c r="B3026" s="1"/>
      <c r="C3026" s="2"/>
      <c r="D3026" s="2"/>
      <c r="E3026" s="1"/>
      <c r="F3026" s="1"/>
      <c r="G3026" s="4" t="str">
        <f>IFERROR(__xludf.DUMMYFUNCTION("""COMPUTED_VALUE"""),"")</f>
        <v/>
      </c>
      <c r="H3026" s="4" t="str">
        <f>IFERROR(__xludf.DUMMYFUNCTION("""COMPUTED_VALUE"""),"")</f>
        <v/>
      </c>
      <c r="I3026" s="4" t="str">
        <f>IFERROR(__xludf.DUMMYFUNCTION("""COMPUTED_VALUE"""),"")</f>
        <v/>
      </c>
      <c r="J3026" s="4" t="str">
        <f>IFERROR(__xludf.DUMMYFUNCTION("""COMPUTED_VALUE"""),"")</f>
        <v/>
      </c>
      <c r="K3026" s="4" t="str">
        <f>IFERROR(__xludf.DUMMYFUNCTION("""COMPUTED_VALUE"""),"")</f>
        <v/>
      </c>
      <c r="L3026" s="4" t="str">
        <f>IFERROR(__xludf.DUMMYFUNCTION("""COMPUTED_VALUE"""),"")</f>
        <v/>
      </c>
      <c r="M3026" s="1" t="str">
        <f>IFERROR(__xludf.DUMMYFUNCTION("""COMPUTED_VALUE"""),"RFID")</f>
        <v>RFID</v>
      </c>
      <c r="N3026" s="5" t="str">
        <f>IFERROR(__xludf.DUMMYFUNCTION("""COMPUTED_VALUE"""),"")</f>
        <v/>
      </c>
      <c r="O3026" s="5" t="str">
        <f>IFERROR(__xludf.DUMMYFUNCTION("""COMPUTED_VALUE"""),"")</f>
        <v/>
      </c>
      <c r="P3026" s="5" t="str">
        <f>IFERROR(__xludf.DUMMYFUNCTION("""COMPUTED_VALUE"""),"")</f>
        <v/>
      </c>
      <c r="Q3026" s="5" t="str">
        <f>IFERROR(__xludf.DUMMYFUNCTION("""COMPUTED_VALUE"""),"")</f>
        <v/>
      </c>
      <c r="R3026" s="4" t="str">
        <f>IFERROR(__xludf.DUMMYFUNCTION("""COMPUTED_VALUE"""),"")</f>
        <v/>
      </c>
      <c r="S3026" s="1" t="b">
        <f>IFERROR(__xludf.DUMMYFUNCTION("""COMPUTED_VALUE"""),FALSE)</f>
        <v>0</v>
      </c>
      <c r="T3026" s="1" t="b">
        <f>IFERROR(__xludf.DUMMYFUNCTION("""COMPUTED_VALUE"""),FALSE)</f>
        <v>0</v>
      </c>
      <c r="U3026" s="1" t="str">
        <f>IFERROR(__xludf.DUMMYFUNCTION("""COMPUTED_VALUE"""),"")</f>
        <v/>
      </c>
      <c r="V3026" s="1" t="str">
        <f>IFERROR(__xludf.DUMMYFUNCTION("""COMPUTED_VALUE"""),"")</f>
        <v/>
      </c>
      <c r="W3026" s="1" t="str">
        <f>IFERROR(__xludf.DUMMYFUNCTION("""COMPUTED_VALUE"""),"")</f>
        <v/>
      </c>
      <c r="X3026" s="1" t="str">
        <f>IFERROR(__xludf.DUMMYFUNCTION("""COMPUTED_VALUE"""),"")</f>
        <v/>
      </c>
      <c r="Y3026" s="2"/>
      <c r="Z3026" s="2" t="str">
        <f>IFERROR(__xludf.DUMMYFUNCTION("""COMPUTED_VALUE"""),"")</f>
        <v/>
      </c>
    </row>
    <row r="3027">
      <c r="A3027" s="1" t="str">
        <f>IFERROR(__xludf.DUMMYFUNCTION("""COMPUTED_VALUE"""),"")</f>
        <v/>
      </c>
      <c r="B3027" s="1"/>
      <c r="C3027" s="2"/>
      <c r="D3027" s="2"/>
      <c r="E3027" s="1"/>
      <c r="F3027" s="1"/>
      <c r="G3027" s="4" t="str">
        <f>IFERROR(__xludf.DUMMYFUNCTION("""COMPUTED_VALUE"""),"")</f>
        <v/>
      </c>
      <c r="H3027" s="4" t="str">
        <f>IFERROR(__xludf.DUMMYFUNCTION("""COMPUTED_VALUE"""),"")</f>
        <v/>
      </c>
      <c r="I3027" s="4" t="str">
        <f>IFERROR(__xludf.DUMMYFUNCTION("""COMPUTED_VALUE"""),"")</f>
        <v/>
      </c>
      <c r="J3027" s="4" t="str">
        <f>IFERROR(__xludf.DUMMYFUNCTION("""COMPUTED_VALUE"""),"")</f>
        <v/>
      </c>
      <c r="K3027" s="4" t="str">
        <f>IFERROR(__xludf.DUMMYFUNCTION("""COMPUTED_VALUE"""),"")</f>
        <v/>
      </c>
      <c r="L3027" s="4" t="str">
        <f>IFERROR(__xludf.DUMMYFUNCTION("""COMPUTED_VALUE"""),"")</f>
        <v/>
      </c>
      <c r="M3027" s="1" t="str">
        <f>IFERROR(__xludf.DUMMYFUNCTION("""COMPUTED_VALUE"""),"RFID")</f>
        <v>RFID</v>
      </c>
      <c r="N3027" s="5" t="str">
        <f>IFERROR(__xludf.DUMMYFUNCTION("""COMPUTED_VALUE"""),"")</f>
        <v/>
      </c>
      <c r="O3027" s="5" t="str">
        <f>IFERROR(__xludf.DUMMYFUNCTION("""COMPUTED_VALUE"""),"")</f>
        <v/>
      </c>
      <c r="P3027" s="5" t="str">
        <f>IFERROR(__xludf.DUMMYFUNCTION("""COMPUTED_VALUE"""),"")</f>
        <v/>
      </c>
      <c r="Q3027" s="5" t="str">
        <f>IFERROR(__xludf.DUMMYFUNCTION("""COMPUTED_VALUE"""),"")</f>
        <v/>
      </c>
      <c r="R3027" s="4" t="str">
        <f>IFERROR(__xludf.DUMMYFUNCTION("""COMPUTED_VALUE"""),"")</f>
        <v/>
      </c>
      <c r="S3027" s="1" t="b">
        <f>IFERROR(__xludf.DUMMYFUNCTION("""COMPUTED_VALUE"""),FALSE)</f>
        <v>0</v>
      </c>
      <c r="T3027" s="1" t="b">
        <f>IFERROR(__xludf.DUMMYFUNCTION("""COMPUTED_VALUE"""),FALSE)</f>
        <v>0</v>
      </c>
      <c r="U3027" s="1" t="str">
        <f>IFERROR(__xludf.DUMMYFUNCTION("""COMPUTED_VALUE"""),"")</f>
        <v/>
      </c>
      <c r="V3027" s="1" t="str">
        <f>IFERROR(__xludf.DUMMYFUNCTION("""COMPUTED_VALUE"""),"")</f>
        <v/>
      </c>
      <c r="W3027" s="1" t="str">
        <f>IFERROR(__xludf.DUMMYFUNCTION("""COMPUTED_VALUE"""),"")</f>
        <v/>
      </c>
      <c r="X3027" s="1" t="str">
        <f>IFERROR(__xludf.DUMMYFUNCTION("""COMPUTED_VALUE"""),"")</f>
        <v/>
      </c>
      <c r="Y3027" s="2"/>
      <c r="Z3027" s="2" t="str">
        <f>IFERROR(__xludf.DUMMYFUNCTION("""COMPUTED_VALUE"""),"")</f>
        <v/>
      </c>
    </row>
    <row r="3028">
      <c r="A3028" s="1" t="str">
        <f>IFERROR(__xludf.DUMMYFUNCTION("""COMPUTED_VALUE"""),"")</f>
        <v/>
      </c>
      <c r="B3028" s="1"/>
      <c r="C3028" s="2"/>
      <c r="D3028" s="2"/>
      <c r="E3028" s="1"/>
      <c r="F3028" s="1"/>
      <c r="G3028" s="4" t="str">
        <f>IFERROR(__xludf.DUMMYFUNCTION("""COMPUTED_VALUE"""),"")</f>
        <v/>
      </c>
      <c r="H3028" s="4" t="str">
        <f>IFERROR(__xludf.DUMMYFUNCTION("""COMPUTED_VALUE"""),"")</f>
        <v/>
      </c>
      <c r="I3028" s="4" t="str">
        <f>IFERROR(__xludf.DUMMYFUNCTION("""COMPUTED_VALUE"""),"")</f>
        <v/>
      </c>
      <c r="J3028" s="4" t="str">
        <f>IFERROR(__xludf.DUMMYFUNCTION("""COMPUTED_VALUE"""),"")</f>
        <v/>
      </c>
      <c r="K3028" s="4" t="str">
        <f>IFERROR(__xludf.DUMMYFUNCTION("""COMPUTED_VALUE"""),"")</f>
        <v/>
      </c>
      <c r="L3028" s="4" t="str">
        <f>IFERROR(__xludf.DUMMYFUNCTION("""COMPUTED_VALUE"""),"")</f>
        <v/>
      </c>
      <c r="M3028" s="1" t="str">
        <f>IFERROR(__xludf.DUMMYFUNCTION("""COMPUTED_VALUE"""),"RFID")</f>
        <v>RFID</v>
      </c>
      <c r="N3028" s="5" t="str">
        <f>IFERROR(__xludf.DUMMYFUNCTION("""COMPUTED_VALUE"""),"")</f>
        <v/>
      </c>
      <c r="O3028" s="5" t="str">
        <f>IFERROR(__xludf.DUMMYFUNCTION("""COMPUTED_VALUE"""),"")</f>
        <v/>
      </c>
      <c r="P3028" s="5" t="str">
        <f>IFERROR(__xludf.DUMMYFUNCTION("""COMPUTED_VALUE"""),"")</f>
        <v/>
      </c>
      <c r="Q3028" s="5" t="str">
        <f>IFERROR(__xludf.DUMMYFUNCTION("""COMPUTED_VALUE"""),"")</f>
        <v/>
      </c>
      <c r="R3028" s="4" t="str">
        <f>IFERROR(__xludf.DUMMYFUNCTION("""COMPUTED_VALUE"""),"")</f>
        <v/>
      </c>
      <c r="S3028" s="1" t="b">
        <f>IFERROR(__xludf.DUMMYFUNCTION("""COMPUTED_VALUE"""),FALSE)</f>
        <v>0</v>
      </c>
      <c r="T3028" s="1" t="b">
        <f>IFERROR(__xludf.DUMMYFUNCTION("""COMPUTED_VALUE"""),FALSE)</f>
        <v>0</v>
      </c>
      <c r="U3028" s="1" t="str">
        <f>IFERROR(__xludf.DUMMYFUNCTION("""COMPUTED_VALUE"""),"")</f>
        <v/>
      </c>
      <c r="V3028" s="1" t="str">
        <f>IFERROR(__xludf.DUMMYFUNCTION("""COMPUTED_VALUE"""),"")</f>
        <v/>
      </c>
      <c r="W3028" s="1" t="str">
        <f>IFERROR(__xludf.DUMMYFUNCTION("""COMPUTED_VALUE"""),"")</f>
        <v/>
      </c>
      <c r="X3028" s="1" t="str">
        <f>IFERROR(__xludf.DUMMYFUNCTION("""COMPUTED_VALUE"""),"")</f>
        <v/>
      </c>
      <c r="Y3028" s="2"/>
      <c r="Z3028" s="2" t="str">
        <f>IFERROR(__xludf.DUMMYFUNCTION("""COMPUTED_VALUE"""),"")</f>
        <v/>
      </c>
    </row>
    <row r="3029">
      <c r="A3029" s="1" t="str">
        <f>IFERROR(__xludf.DUMMYFUNCTION("""COMPUTED_VALUE"""),"")</f>
        <v/>
      </c>
      <c r="B3029" s="1"/>
      <c r="C3029" s="2"/>
      <c r="D3029" s="2"/>
      <c r="E3029" s="1"/>
      <c r="F3029" s="1"/>
      <c r="G3029" s="4" t="str">
        <f>IFERROR(__xludf.DUMMYFUNCTION("""COMPUTED_VALUE"""),"")</f>
        <v/>
      </c>
      <c r="H3029" s="4" t="str">
        <f>IFERROR(__xludf.DUMMYFUNCTION("""COMPUTED_VALUE"""),"")</f>
        <v/>
      </c>
      <c r="I3029" s="4" t="str">
        <f>IFERROR(__xludf.DUMMYFUNCTION("""COMPUTED_VALUE"""),"")</f>
        <v/>
      </c>
      <c r="J3029" s="4" t="str">
        <f>IFERROR(__xludf.DUMMYFUNCTION("""COMPUTED_VALUE"""),"")</f>
        <v/>
      </c>
      <c r="K3029" s="4" t="str">
        <f>IFERROR(__xludf.DUMMYFUNCTION("""COMPUTED_VALUE"""),"")</f>
        <v/>
      </c>
      <c r="L3029" s="4" t="str">
        <f>IFERROR(__xludf.DUMMYFUNCTION("""COMPUTED_VALUE"""),"")</f>
        <v/>
      </c>
      <c r="M3029" s="1" t="str">
        <f>IFERROR(__xludf.DUMMYFUNCTION("""COMPUTED_VALUE"""),"RFID")</f>
        <v>RFID</v>
      </c>
      <c r="N3029" s="5" t="str">
        <f>IFERROR(__xludf.DUMMYFUNCTION("""COMPUTED_VALUE"""),"")</f>
        <v/>
      </c>
      <c r="O3029" s="5" t="str">
        <f>IFERROR(__xludf.DUMMYFUNCTION("""COMPUTED_VALUE"""),"")</f>
        <v/>
      </c>
      <c r="P3029" s="5" t="str">
        <f>IFERROR(__xludf.DUMMYFUNCTION("""COMPUTED_VALUE"""),"")</f>
        <v/>
      </c>
      <c r="Q3029" s="5" t="str">
        <f>IFERROR(__xludf.DUMMYFUNCTION("""COMPUTED_VALUE"""),"")</f>
        <v/>
      </c>
      <c r="R3029" s="4" t="str">
        <f>IFERROR(__xludf.DUMMYFUNCTION("""COMPUTED_VALUE"""),"")</f>
        <v/>
      </c>
      <c r="S3029" s="1" t="b">
        <f>IFERROR(__xludf.DUMMYFUNCTION("""COMPUTED_VALUE"""),FALSE)</f>
        <v>0</v>
      </c>
      <c r="T3029" s="1" t="b">
        <f>IFERROR(__xludf.DUMMYFUNCTION("""COMPUTED_VALUE"""),FALSE)</f>
        <v>0</v>
      </c>
      <c r="U3029" s="1" t="str">
        <f>IFERROR(__xludf.DUMMYFUNCTION("""COMPUTED_VALUE"""),"")</f>
        <v/>
      </c>
      <c r="V3029" s="1" t="str">
        <f>IFERROR(__xludf.DUMMYFUNCTION("""COMPUTED_VALUE"""),"")</f>
        <v/>
      </c>
      <c r="W3029" s="1" t="str">
        <f>IFERROR(__xludf.DUMMYFUNCTION("""COMPUTED_VALUE"""),"")</f>
        <v/>
      </c>
      <c r="X3029" s="1" t="str">
        <f>IFERROR(__xludf.DUMMYFUNCTION("""COMPUTED_VALUE"""),"")</f>
        <v/>
      </c>
      <c r="Y3029" s="2"/>
      <c r="Z3029" s="2" t="str">
        <f>IFERROR(__xludf.DUMMYFUNCTION("""COMPUTED_VALUE"""),"")</f>
        <v/>
      </c>
    </row>
    <row r="3030">
      <c r="A3030" s="1" t="str">
        <f>IFERROR(__xludf.DUMMYFUNCTION("""COMPUTED_VALUE"""),"")</f>
        <v/>
      </c>
      <c r="B3030" s="1"/>
      <c r="C3030" s="2"/>
      <c r="D3030" s="2"/>
      <c r="E3030" s="1"/>
      <c r="F3030" s="1"/>
      <c r="G3030" s="4" t="str">
        <f>IFERROR(__xludf.DUMMYFUNCTION("""COMPUTED_VALUE"""),"")</f>
        <v/>
      </c>
      <c r="H3030" s="4" t="str">
        <f>IFERROR(__xludf.DUMMYFUNCTION("""COMPUTED_VALUE"""),"")</f>
        <v/>
      </c>
      <c r="I3030" s="4" t="str">
        <f>IFERROR(__xludf.DUMMYFUNCTION("""COMPUTED_VALUE"""),"")</f>
        <v/>
      </c>
      <c r="J3030" s="4" t="str">
        <f>IFERROR(__xludf.DUMMYFUNCTION("""COMPUTED_VALUE"""),"")</f>
        <v/>
      </c>
      <c r="K3030" s="4" t="str">
        <f>IFERROR(__xludf.DUMMYFUNCTION("""COMPUTED_VALUE"""),"")</f>
        <v/>
      </c>
      <c r="L3030" s="4" t="str">
        <f>IFERROR(__xludf.DUMMYFUNCTION("""COMPUTED_VALUE"""),"")</f>
        <v/>
      </c>
      <c r="M3030" s="1" t="str">
        <f>IFERROR(__xludf.DUMMYFUNCTION("""COMPUTED_VALUE"""),"RFID")</f>
        <v>RFID</v>
      </c>
      <c r="N3030" s="5" t="str">
        <f>IFERROR(__xludf.DUMMYFUNCTION("""COMPUTED_VALUE"""),"")</f>
        <v/>
      </c>
      <c r="O3030" s="5" t="str">
        <f>IFERROR(__xludf.DUMMYFUNCTION("""COMPUTED_VALUE"""),"")</f>
        <v/>
      </c>
      <c r="P3030" s="5" t="str">
        <f>IFERROR(__xludf.DUMMYFUNCTION("""COMPUTED_VALUE"""),"")</f>
        <v/>
      </c>
      <c r="Q3030" s="5" t="str">
        <f>IFERROR(__xludf.DUMMYFUNCTION("""COMPUTED_VALUE"""),"")</f>
        <v/>
      </c>
      <c r="R3030" s="4" t="str">
        <f>IFERROR(__xludf.DUMMYFUNCTION("""COMPUTED_VALUE"""),"")</f>
        <v/>
      </c>
      <c r="S3030" s="1" t="b">
        <f>IFERROR(__xludf.DUMMYFUNCTION("""COMPUTED_VALUE"""),FALSE)</f>
        <v>0</v>
      </c>
      <c r="T3030" s="1" t="b">
        <f>IFERROR(__xludf.DUMMYFUNCTION("""COMPUTED_VALUE"""),FALSE)</f>
        <v>0</v>
      </c>
      <c r="U3030" s="1" t="str">
        <f>IFERROR(__xludf.DUMMYFUNCTION("""COMPUTED_VALUE"""),"")</f>
        <v/>
      </c>
      <c r="V3030" s="1" t="str">
        <f>IFERROR(__xludf.DUMMYFUNCTION("""COMPUTED_VALUE"""),"")</f>
        <v/>
      </c>
      <c r="W3030" s="1" t="str">
        <f>IFERROR(__xludf.DUMMYFUNCTION("""COMPUTED_VALUE"""),"")</f>
        <v/>
      </c>
      <c r="X3030" s="1" t="str">
        <f>IFERROR(__xludf.DUMMYFUNCTION("""COMPUTED_VALUE"""),"")</f>
        <v/>
      </c>
      <c r="Y3030" s="2"/>
      <c r="Z3030" s="2" t="str">
        <f>IFERROR(__xludf.DUMMYFUNCTION("""COMPUTED_VALUE"""),"")</f>
        <v/>
      </c>
    </row>
    <row r="3031">
      <c r="A3031" s="1" t="str">
        <f>IFERROR(__xludf.DUMMYFUNCTION("""COMPUTED_VALUE"""),"")</f>
        <v/>
      </c>
      <c r="B3031" s="1"/>
      <c r="C3031" s="2"/>
      <c r="D3031" s="2"/>
      <c r="E3031" s="1"/>
      <c r="F3031" s="1"/>
      <c r="G3031" s="4" t="str">
        <f>IFERROR(__xludf.DUMMYFUNCTION("""COMPUTED_VALUE"""),"")</f>
        <v/>
      </c>
      <c r="H3031" s="4" t="str">
        <f>IFERROR(__xludf.DUMMYFUNCTION("""COMPUTED_VALUE"""),"")</f>
        <v/>
      </c>
      <c r="I3031" s="4" t="str">
        <f>IFERROR(__xludf.DUMMYFUNCTION("""COMPUTED_VALUE"""),"")</f>
        <v/>
      </c>
      <c r="J3031" s="4" t="str">
        <f>IFERROR(__xludf.DUMMYFUNCTION("""COMPUTED_VALUE"""),"")</f>
        <v/>
      </c>
      <c r="K3031" s="4" t="str">
        <f>IFERROR(__xludf.DUMMYFUNCTION("""COMPUTED_VALUE"""),"")</f>
        <v/>
      </c>
      <c r="L3031" s="4" t="str">
        <f>IFERROR(__xludf.DUMMYFUNCTION("""COMPUTED_VALUE"""),"")</f>
        <v/>
      </c>
      <c r="M3031" s="1" t="str">
        <f>IFERROR(__xludf.DUMMYFUNCTION("""COMPUTED_VALUE"""),"RFID")</f>
        <v>RFID</v>
      </c>
      <c r="N3031" s="5" t="str">
        <f>IFERROR(__xludf.DUMMYFUNCTION("""COMPUTED_VALUE"""),"")</f>
        <v/>
      </c>
      <c r="O3031" s="5" t="str">
        <f>IFERROR(__xludf.DUMMYFUNCTION("""COMPUTED_VALUE"""),"")</f>
        <v/>
      </c>
      <c r="P3031" s="5" t="str">
        <f>IFERROR(__xludf.DUMMYFUNCTION("""COMPUTED_VALUE"""),"")</f>
        <v/>
      </c>
      <c r="Q3031" s="5" t="str">
        <f>IFERROR(__xludf.DUMMYFUNCTION("""COMPUTED_VALUE"""),"")</f>
        <v/>
      </c>
      <c r="R3031" s="4" t="str">
        <f>IFERROR(__xludf.DUMMYFUNCTION("""COMPUTED_VALUE"""),"")</f>
        <v/>
      </c>
      <c r="S3031" s="1" t="b">
        <f>IFERROR(__xludf.DUMMYFUNCTION("""COMPUTED_VALUE"""),FALSE)</f>
        <v>0</v>
      </c>
      <c r="T3031" s="1" t="b">
        <f>IFERROR(__xludf.DUMMYFUNCTION("""COMPUTED_VALUE"""),FALSE)</f>
        <v>0</v>
      </c>
      <c r="U3031" s="1" t="str">
        <f>IFERROR(__xludf.DUMMYFUNCTION("""COMPUTED_VALUE"""),"")</f>
        <v/>
      </c>
      <c r="V3031" s="1" t="str">
        <f>IFERROR(__xludf.DUMMYFUNCTION("""COMPUTED_VALUE"""),"")</f>
        <v/>
      </c>
      <c r="W3031" s="1" t="str">
        <f>IFERROR(__xludf.DUMMYFUNCTION("""COMPUTED_VALUE"""),"")</f>
        <v/>
      </c>
      <c r="X3031" s="1" t="str">
        <f>IFERROR(__xludf.DUMMYFUNCTION("""COMPUTED_VALUE"""),"")</f>
        <v/>
      </c>
      <c r="Y3031" s="2"/>
      <c r="Z3031" s="2" t="str">
        <f>IFERROR(__xludf.DUMMYFUNCTION("""COMPUTED_VALUE"""),"")</f>
        <v/>
      </c>
    </row>
    <row r="3032">
      <c r="A3032" s="1" t="str">
        <f>IFERROR(__xludf.DUMMYFUNCTION("""COMPUTED_VALUE"""),"")</f>
        <v/>
      </c>
      <c r="B3032" s="1"/>
      <c r="C3032" s="2"/>
      <c r="D3032" s="2"/>
      <c r="E3032" s="1"/>
      <c r="F3032" s="1"/>
      <c r="G3032" s="4" t="str">
        <f>IFERROR(__xludf.DUMMYFUNCTION("""COMPUTED_VALUE"""),"")</f>
        <v/>
      </c>
      <c r="H3032" s="4" t="str">
        <f>IFERROR(__xludf.DUMMYFUNCTION("""COMPUTED_VALUE"""),"")</f>
        <v/>
      </c>
      <c r="I3032" s="4" t="str">
        <f>IFERROR(__xludf.DUMMYFUNCTION("""COMPUTED_VALUE"""),"")</f>
        <v/>
      </c>
      <c r="J3032" s="4" t="str">
        <f>IFERROR(__xludf.DUMMYFUNCTION("""COMPUTED_VALUE"""),"")</f>
        <v/>
      </c>
      <c r="K3032" s="4" t="str">
        <f>IFERROR(__xludf.DUMMYFUNCTION("""COMPUTED_VALUE"""),"")</f>
        <v/>
      </c>
      <c r="L3032" s="4" t="str">
        <f>IFERROR(__xludf.DUMMYFUNCTION("""COMPUTED_VALUE"""),"")</f>
        <v/>
      </c>
      <c r="M3032" s="1" t="str">
        <f>IFERROR(__xludf.DUMMYFUNCTION("""COMPUTED_VALUE"""),"RFID")</f>
        <v>RFID</v>
      </c>
      <c r="N3032" s="5" t="str">
        <f>IFERROR(__xludf.DUMMYFUNCTION("""COMPUTED_VALUE"""),"")</f>
        <v/>
      </c>
      <c r="O3032" s="5" t="str">
        <f>IFERROR(__xludf.DUMMYFUNCTION("""COMPUTED_VALUE"""),"")</f>
        <v/>
      </c>
      <c r="P3032" s="5" t="str">
        <f>IFERROR(__xludf.DUMMYFUNCTION("""COMPUTED_VALUE"""),"")</f>
        <v/>
      </c>
      <c r="Q3032" s="5" t="str">
        <f>IFERROR(__xludf.DUMMYFUNCTION("""COMPUTED_VALUE"""),"")</f>
        <v/>
      </c>
      <c r="R3032" s="4" t="str">
        <f>IFERROR(__xludf.DUMMYFUNCTION("""COMPUTED_VALUE"""),"")</f>
        <v/>
      </c>
      <c r="S3032" s="1" t="b">
        <f>IFERROR(__xludf.DUMMYFUNCTION("""COMPUTED_VALUE"""),FALSE)</f>
        <v>0</v>
      </c>
      <c r="T3032" s="1" t="b">
        <f>IFERROR(__xludf.DUMMYFUNCTION("""COMPUTED_VALUE"""),FALSE)</f>
        <v>0</v>
      </c>
      <c r="U3032" s="1" t="str">
        <f>IFERROR(__xludf.DUMMYFUNCTION("""COMPUTED_VALUE"""),"")</f>
        <v/>
      </c>
      <c r="V3032" s="1" t="str">
        <f>IFERROR(__xludf.DUMMYFUNCTION("""COMPUTED_VALUE"""),"")</f>
        <v/>
      </c>
      <c r="W3032" s="1" t="str">
        <f>IFERROR(__xludf.DUMMYFUNCTION("""COMPUTED_VALUE"""),"")</f>
        <v/>
      </c>
      <c r="X3032" s="1" t="str">
        <f>IFERROR(__xludf.DUMMYFUNCTION("""COMPUTED_VALUE"""),"")</f>
        <v/>
      </c>
      <c r="Y3032" s="2"/>
      <c r="Z3032" s="2" t="str">
        <f>IFERROR(__xludf.DUMMYFUNCTION("""COMPUTED_VALUE"""),"")</f>
        <v/>
      </c>
    </row>
    <row r="3033">
      <c r="A3033" s="1" t="str">
        <f>IFERROR(__xludf.DUMMYFUNCTION("""COMPUTED_VALUE"""),"")</f>
        <v/>
      </c>
      <c r="B3033" s="1"/>
      <c r="C3033" s="2"/>
      <c r="D3033" s="2"/>
      <c r="E3033" s="1"/>
      <c r="F3033" s="1"/>
      <c r="G3033" s="4" t="str">
        <f>IFERROR(__xludf.DUMMYFUNCTION("""COMPUTED_VALUE"""),"")</f>
        <v/>
      </c>
      <c r="H3033" s="4" t="str">
        <f>IFERROR(__xludf.DUMMYFUNCTION("""COMPUTED_VALUE"""),"")</f>
        <v/>
      </c>
      <c r="I3033" s="4" t="str">
        <f>IFERROR(__xludf.DUMMYFUNCTION("""COMPUTED_VALUE"""),"")</f>
        <v/>
      </c>
      <c r="J3033" s="4" t="str">
        <f>IFERROR(__xludf.DUMMYFUNCTION("""COMPUTED_VALUE"""),"")</f>
        <v/>
      </c>
      <c r="K3033" s="4" t="str">
        <f>IFERROR(__xludf.DUMMYFUNCTION("""COMPUTED_VALUE"""),"")</f>
        <v/>
      </c>
      <c r="L3033" s="4" t="str">
        <f>IFERROR(__xludf.DUMMYFUNCTION("""COMPUTED_VALUE"""),"")</f>
        <v/>
      </c>
      <c r="M3033" s="1" t="str">
        <f>IFERROR(__xludf.DUMMYFUNCTION("""COMPUTED_VALUE"""),"RFID")</f>
        <v>RFID</v>
      </c>
      <c r="N3033" s="5" t="str">
        <f>IFERROR(__xludf.DUMMYFUNCTION("""COMPUTED_VALUE"""),"")</f>
        <v/>
      </c>
      <c r="O3033" s="5" t="str">
        <f>IFERROR(__xludf.DUMMYFUNCTION("""COMPUTED_VALUE"""),"")</f>
        <v/>
      </c>
      <c r="P3033" s="5" t="str">
        <f>IFERROR(__xludf.DUMMYFUNCTION("""COMPUTED_VALUE"""),"")</f>
        <v/>
      </c>
      <c r="Q3033" s="5" t="str">
        <f>IFERROR(__xludf.DUMMYFUNCTION("""COMPUTED_VALUE"""),"")</f>
        <v/>
      </c>
      <c r="R3033" s="4" t="str">
        <f>IFERROR(__xludf.DUMMYFUNCTION("""COMPUTED_VALUE"""),"")</f>
        <v/>
      </c>
      <c r="S3033" s="1" t="b">
        <f>IFERROR(__xludf.DUMMYFUNCTION("""COMPUTED_VALUE"""),FALSE)</f>
        <v>0</v>
      </c>
      <c r="T3033" s="1" t="b">
        <f>IFERROR(__xludf.DUMMYFUNCTION("""COMPUTED_VALUE"""),FALSE)</f>
        <v>0</v>
      </c>
      <c r="U3033" s="1" t="str">
        <f>IFERROR(__xludf.DUMMYFUNCTION("""COMPUTED_VALUE"""),"")</f>
        <v/>
      </c>
      <c r="V3033" s="1" t="str">
        <f>IFERROR(__xludf.DUMMYFUNCTION("""COMPUTED_VALUE"""),"")</f>
        <v/>
      </c>
      <c r="W3033" s="1" t="str">
        <f>IFERROR(__xludf.DUMMYFUNCTION("""COMPUTED_VALUE"""),"")</f>
        <v/>
      </c>
      <c r="X3033" s="1" t="str">
        <f>IFERROR(__xludf.DUMMYFUNCTION("""COMPUTED_VALUE"""),"")</f>
        <v/>
      </c>
      <c r="Y3033" s="2"/>
      <c r="Z3033" s="2" t="str">
        <f>IFERROR(__xludf.DUMMYFUNCTION("""COMPUTED_VALUE"""),"")</f>
        <v/>
      </c>
    </row>
    <row r="3034">
      <c r="A3034" s="1" t="str">
        <f>IFERROR(__xludf.DUMMYFUNCTION("""COMPUTED_VALUE"""),"")</f>
        <v/>
      </c>
      <c r="B3034" s="1"/>
      <c r="C3034" s="2"/>
      <c r="D3034" s="2"/>
      <c r="E3034" s="1"/>
      <c r="F3034" s="1"/>
      <c r="G3034" s="4" t="str">
        <f>IFERROR(__xludf.DUMMYFUNCTION("""COMPUTED_VALUE"""),"")</f>
        <v/>
      </c>
      <c r="H3034" s="4" t="str">
        <f>IFERROR(__xludf.DUMMYFUNCTION("""COMPUTED_VALUE"""),"")</f>
        <v/>
      </c>
      <c r="I3034" s="4" t="str">
        <f>IFERROR(__xludf.DUMMYFUNCTION("""COMPUTED_VALUE"""),"")</f>
        <v/>
      </c>
      <c r="J3034" s="4" t="str">
        <f>IFERROR(__xludf.DUMMYFUNCTION("""COMPUTED_VALUE"""),"")</f>
        <v/>
      </c>
      <c r="K3034" s="4" t="str">
        <f>IFERROR(__xludf.DUMMYFUNCTION("""COMPUTED_VALUE"""),"")</f>
        <v/>
      </c>
      <c r="L3034" s="4" t="str">
        <f>IFERROR(__xludf.DUMMYFUNCTION("""COMPUTED_VALUE"""),"")</f>
        <v/>
      </c>
      <c r="M3034" s="1" t="str">
        <f>IFERROR(__xludf.DUMMYFUNCTION("""COMPUTED_VALUE"""),"RFID")</f>
        <v>RFID</v>
      </c>
      <c r="N3034" s="5" t="str">
        <f>IFERROR(__xludf.DUMMYFUNCTION("""COMPUTED_VALUE"""),"")</f>
        <v/>
      </c>
      <c r="O3034" s="5" t="str">
        <f>IFERROR(__xludf.DUMMYFUNCTION("""COMPUTED_VALUE"""),"")</f>
        <v/>
      </c>
      <c r="P3034" s="5" t="str">
        <f>IFERROR(__xludf.DUMMYFUNCTION("""COMPUTED_VALUE"""),"")</f>
        <v/>
      </c>
      <c r="Q3034" s="5" t="str">
        <f>IFERROR(__xludf.DUMMYFUNCTION("""COMPUTED_VALUE"""),"")</f>
        <v/>
      </c>
      <c r="R3034" s="4" t="str">
        <f>IFERROR(__xludf.DUMMYFUNCTION("""COMPUTED_VALUE"""),"")</f>
        <v/>
      </c>
      <c r="S3034" s="1" t="b">
        <f>IFERROR(__xludf.DUMMYFUNCTION("""COMPUTED_VALUE"""),FALSE)</f>
        <v>0</v>
      </c>
      <c r="T3034" s="1" t="b">
        <f>IFERROR(__xludf.DUMMYFUNCTION("""COMPUTED_VALUE"""),FALSE)</f>
        <v>0</v>
      </c>
      <c r="U3034" s="1" t="str">
        <f>IFERROR(__xludf.DUMMYFUNCTION("""COMPUTED_VALUE"""),"")</f>
        <v/>
      </c>
      <c r="V3034" s="1" t="str">
        <f>IFERROR(__xludf.DUMMYFUNCTION("""COMPUTED_VALUE"""),"")</f>
        <v/>
      </c>
      <c r="W3034" s="1" t="str">
        <f>IFERROR(__xludf.DUMMYFUNCTION("""COMPUTED_VALUE"""),"")</f>
        <v/>
      </c>
      <c r="X3034" s="1" t="str">
        <f>IFERROR(__xludf.DUMMYFUNCTION("""COMPUTED_VALUE"""),"")</f>
        <v/>
      </c>
      <c r="Y3034" s="2"/>
      <c r="Z3034" s="2" t="str">
        <f>IFERROR(__xludf.DUMMYFUNCTION("""COMPUTED_VALUE"""),"")</f>
        <v/>
      </c>
    </row>
    <row r="3035">
      <c r="A3035" s="1" t="str">
        <f>IFERROR(__xludf.DUMMYFUNCTION("""COMPUTED_VALUE"""),"")</f>
        <v/>
      </c>
      <c r="B3035" s="1"/>
      <c r="C3035" s="2"/>
      <c r="D3035" s="2"/>
      <c r="E3035" s="1"/>
      <c r="F3035" s="1"/>
      <c r="G3035" s="4" t="str">
        <f>IFERROR(__xludf.DUMMYFUNCTION("""COMPUTED_VALUE"""),"")</f>
        <v/>
      </c>
      <c r="H3035" s="4" t="str">
        <f>IFERROR(__xludf.DUMMYFUNCTION("""COMPUTED_VALUE"""),"")</f>
        <v/>
      </c>
      <c r="I3035" s="4" t="str">
        <f>IFERROR(__xludf.DUMMYFUNCTION("""COMPUTED_VALUE"""),"")</f>
        <v/>
      </c>
      <c r="J3035" s="4" t="str">
        <f>IFERROR(__xludf.DUMMYFUNCTION("""COMPUTED_VALUE"""),"")</f>
        <v/>
      </c>
      <c r="K3035" s="4" t="str">
        <f>IFERROR(__xludf.DUMMYFUNCTION("""COMPUTED_VALUE"""),"")</f>
        <v/>
      </c>
      <c r="L3035" s="4" t="str">
        <f>IFERROR(__xludf.DUMMYFUNCTION("""COMPUTED_VALUE"""),"")</f>
        <v/>
      </c>
      <c r="M3035" s="1" t="str">
        <f>IFERROR(__xludf.DUMMYFUNCTION("""COMPUTED_VALUE"""),"RFID")</f>
        <v>RFID</v>
      </c>
      <c r="N3035" s="5" t="str">
        <f>IFERROR(__xludf.DUMMYFUNCTION("""COMPUTED_VALUE"""),"")</f>
        <v/>
      </c>
      <c r="O3035" s="5" t="str">
        <f>IFERROR(__xludf.DUMMYFUNCTION("""COMPUTED_VALUE"""),"")</f>
        <v/>
      </c>
      <c r="P3035" s="5" t="str">
        <f>IFERROR(__xludf.DUMMYFUNCTION("""COMPUTED_VALUE"""),"")</f>
        <v/>
      </c>
      <c r="Q3035" s="5" t="str">
        <f>IFERROR(__xludf.DUMMYFUNCTION("""COMPUTED_VALUE"""),"")</f>
        <v/>
      </c>
      <c r="R3035" s="4" t="str">
        <f>IFERROR(__xludf.DUMMYFUNCTION("""COMPUTED_VALUE"""),"")</f>
        <v/>
      </c>
      <c r="S3035" s="1" t="b">
        <f>IFERROR(__xludf.DUMMYFUNCTION("""COMPUTED_VALUE"""),FALSE)</f>
        <v>0</v>
      </c>
      <c r="T3035" s="1" t="b">
        <f>IFERROR(__xludf.DUMMYFUNCTION("""COMPUTED_VALUE"""),FALSE)</f>
        <v>0</v>
      </c>
      <c r="U3035" s="1" t="str">
        <f>IFERROR(__xludf.DUMMYFUNCTION("""COMPUTED_VALUE"""),"")</f>
        <v/>
      </c>
      <c r="V3035" s="1" t="str">
        <f>IFERROR(__xludf.DUMMYFUNCTION("""COMPUTED_VALUE"""),"")</f>
        <v/>
      </c>
      <c r="W3035" s="1" t="str">
        <f>IFERROR(__xludf.DUMMYFUNCTION("""COMPUTED_VALUE"""),"")</f>
        <v/>
      </c>
      <c r="X3035" s="1" t="str">
        <f>IFERROR(__xludf.DUMMYFUNCTION("""COMPUTED_VALUE"""),"")</f>
        <v/>
      </c>
      <c r="Y3035" s="2"/>
      <c r="Z3035" s="2" t="str">
        <f>IFERROR(__xludf.DUMMYFUNCTION("""COMPUTED_VALUE"""),"")</f>
        <v/>
      </c>
    </row>
    <row r="3036">
      <c r="A3036" s="1" t="str">
        <f>IFERROR(__xludf.DUMMYFUNCTION("""COMPUTED_VALUE"""),"")</f>
        <v/>
      </c>
      <c r="B3036" s="1"/>
      <c r="C3036" s="2"/>
      <c r="D3036" s="2"/>
      <c r="E3036" s="1"/>
      <c r="F3036" s="1"/>
      <c r="G3036" s="4" t="str">
        <f>IFERROR(__xludf.DUMMYFUNCTION("""COMPUTED_VALUE"""),"")</f>
        <v/>
      </c>
      <c r="H3036" s="4" t="str">
        <f>IFERROR(__xludf.DUMMYFUNCTION("""COMPUTED_VALUE"""),"")</f>
        <v/>
      </c>
      <c r="I3036" s="4" t="str">
        <f>IFERROR(__xludf.DUMMYFUNCTION("""COMPUTED_VALUE"""),"")</f>
        <v/>
      </c>
      <c r="J3036" s="4" t="str">
        <f>IFERROR(__xludf.DUMMYFUNCTION("""COMPUTED_VALUE"""),"")</f>
        <v/>
      </c>
      <c r="K3036" s="4" t="str">
        <f>IFERROR(__xludf.DUMMYFUNCTION("""COMPUTED_VALUE"""),"")</f>
        <v/>
      </c>
      <c r="L3036" s="4" t="str">
        <f>IFERROR(__xludf.DUMMYFUNCTION("""COMPUTED_VALUE"""),"")</f>
        <v/>
      </c>
      <c r="M3036" s="1" t="str">
        <f>IFERROR(__xludf.DUMMYFUNCTION("""COMPUTED_VALUE"""),"RFID")</f>
        <v>RFID</v>
      </c>
      <c r="N3036" s="5" t="str">
        <f>IFERROR(__xludf.DUMMYFUNCTION("""COMPUTED_VALUE"""),"")</f>
        <v/>
      </c>
      <c r="O3036" s="5" t="str">
        <f>IFERROR(__xludf.DUMMYFUNCTION("""COMPUTED_VALUE"""),"")</f>
        <v/>
      </c>
      <c r="P3036" s="5" t="str">
        <f>IFERROR(__xludf.DUMMYFUNCTION("""COMPUTED_VALUE"""),"")</f>
        <v/>
      </c>
      <c r="Q3036" s="5" t="str">
        <f>IFERROR(__xludf.DUMMYFUNCTION("""COMPUTED_VALUE"""),"")</f>
        <v/>
      </c>
      <c r="R3036" s="4" t="str">
        <f>IFERROR(__xludf.DUMMYFUNCTION("""COMPUTED_VALUE"""),"")</f>
        <v/>
      </c>
      <c r="S3036" s="1" t="b">
        <f>IFERROR(__xludf.DUMMYFUNCTION("""COMPUTED_VALUE"""),FALSE)</f>
        <v>0</v>
      </c>
      <c r="T3036" s="1" t="b">
        <f>IFERROR(__xludf.DUMMYFUNCTION("""COMPUTED_VALUE"""),FALSE)</f>
        <v>0</v>
      </c>
      <c r="U3036" s="1" t="str">
        <f>IFERROR(__xludf.DUMMYFUNCTION("""COMPUTED_VALUE"""),"")</f>
        <v/>
      </c>
      <c r="V3036" s="1" t="str">
        <f>IFERROR(__xludf.DUMMYFUNCTION("""COMPUTED_VALUE"""),"")</f>
        <v/>
      </c>
      <c r="W3036" s="1" t="str">
        <f>IFERROR(__xludf.DUMMYFUNCTION("""COMPUTED_VALUE"""),"")</f>
        <v/>
      </c>
      <c r="X3036" s="1" t="str">
        <f>IFERROR(__xludf.DUMMYFUNCTION("""COMPUTED_VALUE"""),"")</f>
        <v/>
      </c>
      <c r="Y3036" s="2"/>
      <c r="Z3036" s="2" t="str">
        <f>IFERROR(__xludf.DUMMYFUNCTION("""COMPUTED_VALUE"""),"")</f>
        <v/>
      </c>
    </row>
    <row r="3037">
      <c r="A3037" s="1" t="str">
        <f>IFERROR(__xludf.DUMMYFUNCTION("""COMPUTED_VALUE"""),"")</f>
        <v/>
      </c>
      <c r="B3037" s="1"/>
      <c r="C3037" s="2"/>
      <c r="D3037" s="2"/>
      <c r="E3037" s="1"/>
      <c r="F3037" s="1"/>
      <c r="G3037" s="4" t="str">
        <f>IFERROR(__xludf.DUMMYFUNCTION("""COMPUTED_VALUE"""),"")</f>
        <v/>
      </c>
      <c r="H3037" s="4" t="str">
        <f>IFERROR(__xludf.DUMMYFUNCTION("""COMPUTED_VALUE"""),"")</f>
        <v/>
      </c>
      <c r="I3037" s="4" t="str">
        <f>IFERROR(__xludf.DUMMYFUNCTION("""COMPUTED_VALUE"""),"")</f>
        <v/>
      </c>
      <c r="J3037" s="4" t="str">
        <f>IFERROR(__xludf.DUMMYFUNCTION("""COMPUTED_VALUE"""),"")</f>
        <v/>
      </c>
      <c r="K3037" s="4" t="str">
        <f>IFERROR(__xludf.DUMMYFUNCTION("""COMPUTED_VALUE"""),"")</f>
        <v/>
      </c>
      <c r="L3037" s="4" t="str">
        <f>IFERROR(__xludf.DUMMYFUNCTION("""COMPUTED_VALUE"""),"")</f>
        <v/>
      </c>
      <c r="M3037" s="1" t="str">
        <f>IFERROR(__xludf.DUMMYFUNCTION("""COMPUTED_VALUE"""),"RFID")</f>
        <v>RFID</v>
      </c>
      <c r="N3037" s="5" t="str">
        <f>IFERROR(__xludf.DUMMYFUNCTION("""COMPUTED_VALUE"""),"")</f>
        <v/>
      </c>
      <c r="O3037" s="5" t="str">
        <f>IFERROR(__xludf.DUMMYFUNCTION("""COMPUTED_VALUE"""),"")</f>
        <v/>
      </c>
      <c r="P3037" s="5" t="str">
        <f>IFERROR(__xludf.DUMMYFUNCTION("""COMPUTED_VALUE"""),"")</f>
        <v/>
      </c>
      <c r="Q3037" s="5" t="str">
        <f>IFERROR(__xludf.DUMMYFUNCTION("""COMPUTED_VALUE"""),"")</f>
        <v/>
      </c>
      <c r="R3037" s="4" t="str">
        <f>IFERROR(__xludf.DUMMYFUNCTION("""COMPUTED_VALUE"""),"")</f>
        <v/>
      </c>
      <c r="S3037" s="1" t="b">
        <f>IFERROR(__xludf.DUMMYFUNCTION("""COMPUTED_VALUE"""),FALSE)</f>
        <v>0</v>
      </c>
      <c r="T3037" s="1" t="b">
        <f>IFERROR(__xludf.DUMMYFUNCTION("""COMPUTED_VALUE"""),FALSE)</f>
        <v>0</v>
      </c>
      <c r="U3037" s="1" t="str">
        <f>IFERROR(__xludf.DUMMYFUNCTION("""COMPUTED_VALUE"""),"")</f>
        <v/>
      </c>
      <c r="V3037" s="1" t="str">
        <f>IFERROR(__xludf.DUMMYFUNCTION("""COMPUTED_VALUE"""),"")</f>
        <v/>
      </c>
      <c r="W3037" s="1" t="str">
        <f>IFERROR(__xludf.DUMMYFUNCTION("""COMPUTED_VALUE"""),"")</f>
        <v/>
      </c>
      <c r="X3037" s="1" t="str">
        <f>IFERROR(__xludf.DUMMYFUNCTION("""COMPUTED_VALUE"""),"")</f>
        <v/>
      </c>
      <c r="Y3037" s="2"/>
      <c r="Z3037" s="2" t="str">
        <f>IFERROR(__xludf.DUMMYFUNCTION("""COMPUTED_VALUE"""),"")</f>
        <v/>
      </c>
    </row>
    <row r="3038">
      <c r="A3038" s="1" t="str">
        <f>IFERROR(__xludf.DUMMYFUNCTION("""COMPUTED_VALUE"""),"")</f>
        <v/>
      </c>
      <c r="B3038" s="1"/>
      <c r="C3038" s="2"/>
      <c r="D3038" s="2"/>
      <c r="E3038" s="1"/>
      <c r="F3038" s="1"/>
      <c r="G3038" s="4" t="str">
        <f>IFERROR(__xludf.DUMMYFUNCTION("""COMPUTED_VALUE"""),"")</f>
        <v/>
      </c>
      <c r="H3038" s="4" t="str">
        <f>IFERROR(__xludf.DUMMYFUNCTION("""COMPUTED_VALUE"""),"")</f>
        <v/>
      </c>
      <c r="I3038" s="4" t="str">
        <f>IFERROR(__xludf.DUMMYFUNCTION("""COMPUTED_VALUE"""),"")</f>
        <v/>
      </c>
      <c r="J3038" s="4" t="str">
        <f>IFERROR(__xludf.DUMMYFUNCTION("""COMPUTED_VALUE"""),"")</f>
        <v/>
      </c>
      <c r="K3038" s="4" t="str">
        <f>IFERROR(__xludf.DUMMYFUNCTION("""COMPUTED_VALUE"""),"")</f>
        <v/>
      </c>
      <c r="L3038" s="4" t="str">
        <f>IFERROR(__xludf.DUMMYFUNCTION("""COMPUTED_VALUE"""),"")</f>
        <v/>
      </c>
      <c r="M3038" s="1" t="str">
        <f>IFERROR(__xludf.DUMMYFUNCTION("""COMPUTED_VALUE"""),"RFID")</f>
        <v>RFID</v>
      </c>
      <c r="N3038" s="5" t="str">
        <f>IFERROR(__xludf.DUMMYFUNCTION("""COMPUTED_VALUE"""),"")</f>
        <v/>
      </c>
      <c r="O3038" s="5" t="str">
        <f>IFERROR(__xludf.DUMMYFUNCTION("""COMPUTED_VALUE"""),"")</f>
        <v/>
      </c>
      <c r="P3038" s="5" t="str">
        <f>IFERROR(__xludf.DUMMYFUNCTION("""COMPUTED_VALUE"""),"")</f>
        <v/>
      </c>
      <c r="Q3038" s="5" t="str">
        <f>IFERROR(__xludf.DUMMYFUNCTION("""COMPUTED_VALUE"""),"")</f>
        <v/>
      </c>
      <c r="R3038" s="4" t="str">
        <f>IFERROR(__xludf.DUMMYFUNCTION("""COMPUTED_VALUE"""),"")</f>
        <v/>
      </c>
      <c r="S3038" s="1" t="b">
        <f>IFERROR(__xludf.DUMMYFUNCTION("""COMPUTED_VALUE"""),FALSE)</f>
        <v>0</v>
      </c>
      <c r="T3038" s="1" t="b">
        <f>IFERROR(__xludf.DUMMYFUNCTION("""COMPUTED_VALUE"""),FALSE)</f>
        <v>0</v>
      </c>
      <c r="U3038" s="1" t="str">
        <f>IFERROR(__xludf.DUMMYFUNCTION("""COMPUTED_VALUE"""),"")</f>
        <v/>
      </c>
      <c r="V3038" s="1" t="str">
        <f>IFERROR(__xludf.DUMMYFUNCTION("""COMPUTED_VALUE"""),"")</f>
        <v/>
      </c>
      <c r="W3038" s="1" t="str">
        <f>IFERROR(__xludf.DUMMYFUNCTION("""COMPUTED_VALUE"""),"")</f>
        <v/>
      </c>
      <c r="X3038" s="1" t="str">
        <f>IFERROR(__xludf.DUMMYFUNCTION("""COMPUTED_VALUE"""),"")</f>
        <v/>
      </c>
      <c r="Y3038" s="2"/>
      <c r="Z3038" s="2" t="str">
        <f>IFERROR(__xludf.DUMMYFUNCTION("""COMPUTED_VALUE"""),"")</f>
        <v/>
      </c>
    </row>
    <row r="3039">
      <c r="A3039" s="1" t="str">
        <f>IFERROR(__xludf.DUMMYFUNCTION("""COMPUTED_VALUE"""),"")</f>
        <v/>
      </c>
      <c r="B3039" s="1"/>
      <c r="C3039" s="2"/>
      <c r="D3039" s="2"/>
      <c r="E3039" s="1"/>
      <c r="F3039" s="1"/>
      <c r="G3039" s="4" t="str">
        <f>IFERROR(__xludf.DUMMYFUNCTION("""COMPUTED_VALUE"""),"")</f>
        <v/>
      </c>
      <c r="H3039" s="4" t="str">
        <f>IFERROR(__xludf.DUMMYFUNCTION("""COMPUTED_VALUE"""),"")</f>
        <v/>
      </c>
      <c r="I3039" s="4" t="str">
        <f>IFERROR(__xludf.DUMMYFUNCTION("""COMPUTED_VALUE"""),"")</f>
        <v/>
      </c>
      <c r="J3039" s="4" t="str">
        <f>IFERROR(__xludf.DUMMYFUNCTION("""COMPUTED_VALUE"""),"")</f>
        <v/>
      </c>
      <c r="K3039" s="4" t="str">
        <f>IFERROR(__xludf.DUMMYFUNCTION("""COMPUTED_VALUE"""),"")</f>
        <v/>
      </c>
      <c r="L3039" s="4" t="str">
        <f>IFERROR(__xludf.DUMMYFUNCTION("""COMPUTED_VALUE"""),"")</f>
        <v/>
      </c>
      <c r="M3039" s="1" t="str">
        <f>IFERROR(__xludf.DUMMYFUNCTION("""COMPUTED_VALUE"""),"RFID")</f>
        <v>RFID</v>
      </c>
      <c r="N3039" s="5" t="str">
        <f>IFERROR(__xludf.DUMMYFUNCTION("""COMPUTED_VALUE"""),"")</f>
        <v/>
      </c>
      <c r="O3039" s="5" t="str">
        <f>IFERROR(__xludf.DUMMYFUNCTION("""COMPUTED_VALUE"""),"")</f>
        <v/>
      </c>
      <c r="P3039" s="5" t="str">
        <f>IFERROR(__xludf.DUMMYFUNCTION("""COMPUTED_VALUE"""),"")</f>
        <v/>
      </c>
      <c r="Q3039" s="5" t="str">
        <f>IFERROR(__xludf.DUMMYFUNCTION("""COMPUTED_VALUE"""),"")</f>
        <v/>
      </c>
      <c r="R3039" s="4" t="str">
        <f>IFERROR(__xludf.DUMMYFUNCTION("""COMPUTED_VALUE"""),"")</f>
        <v/>
      </c>
      <c r="S3039" s="1" t="b">
        <f>IFERROR(__xludf.DUMMYFUNCTION("""COMPUTED_VALUE"""),FALSE)</f>
        <v>0</v>
      </c>
      <c r="T3039" s="1" t="b">
        <f>IFERROR(__xludf.DUMMYFUNCTION("""COMPUTED_VALUE"""),FALSE)</f>
        <v>0</v>
      </c>
      <c r="U3039" s="1" t="str">
        <f>IFERROR(__xludf.DUMMYFUNCTION("""COMPUTED_VALUE"""),"")</f>
        <v/>
      </c>
      <c r="V3039" s="1" t="str">
        <f>IFERROR(__xludf.DUMMYFUNCTION("""COMPUTED_VALUE"""),"")</f>
        <v/>
      </c>
      <c r="W3039" s="1" t="str">
        <f>IFERROR(__xludf.DUMMYFUNCTION("""COMPUTED_VALUE"""),"")</f>
        <v/>
      </c>
      <c r="X3039" s="1" t="str">
        <f>IFERROR(__xludf.DUMMYFUNCTION("""COMPUTED_VALUE"""),"")</f>
        <v/>
      </c>
      <c r="Y3039" s="2"/>
      <c r="Z3039" s="2" t="str">
        <f>IFERROR(__xludf.DUMMYFUNCTION("""COMPUTED_VALUE"""),"")</f>
        <v/>
      </c>
    </row>
    <row r="3040">
      <c r="A3040" s="1" t="str">
        <f>IFERROR(__xludf.DUMMYFUNCTION("""COMPUTED_VALUE"""),"")</f>
        <v/>
      </c>
      <c r="B3040" s="1"/>
      <c r="C3040" s="2"/>
      <c r="D3040" s="2"/>
      <c r="E3040" s="1"/>
      <c r="F3040" s="1"/>
      <c r="G3040" s="4" t="str">
        <f>IFERROR(__xludf.DUMMYFUNCTION("""COMPUTED_VALUE"""),"")</f>
        <v/>
      </c>
      <c r="H3040" s="4" t="str">
        <f>IFERROR(__xludf.DUMMYFUNCTION("""COMPUTED_VALUE"""),"")</f>
        <v/>
      </c>
      <c r="I3040" s="4" t="str">
        <f>IFERROR(__xludf.DUMMYFUNCTION("""COMPUTED_VALUE"""),"")</f>
        <v/>
      </c>
      <c r="J3040" s="4" t="str">
        <f>IFERROR(__xludf.DUMMYFUNCTION("""COMPUTED_VALUE"""),"")</f>
        <v/>
      </c>
      <c r="K3040" s="4" t="str">
        <f>IFERROR(__xludf.DUMMYFUNCTION("""COMPUTED_VALUE"""),"")</f>
        <v/>
      </c>
      <c r="L3040" s="4" t="str">
        <f>IFERROR(__xludf.DUMMYFUNCTION("""COMPUTED_VALUE"""),"")</f>
        <v/>
      </c>
      <c r="M3040" s="1" t="str">
        <f>IFERROR(__xludf.DUMMYFUNCTION("""COMPUTED_VALUE"""),"RFID")</f>
        <v>RFID</v>
      </c>
      <c r="N3040" s="5" t="str">
        <f>IFERROR(__xludf.DUMMYFUNCTION("""COMPUTED_VALUE"""),"")</f>
        <v/>
      </c>
      <c r="O3040" s="5" t="str">
        <f>IFERROR(__xludf.DUMMYFUNCTION("""COMPUTED_VALUE"""),"")</f>
        <v/>
      </c>
      <c r="P3040" s="5" t="str">
        <f>IFERROR(__xludf.DUMMYFUNCTION("""COMPUTED_VALUE"""),"")</f>
        <v/>
      </c>
      <c r="Q3040" s="5" t="str">
        <f>IFERROR(__xludf.DUMMYFUNCTION("""COMPUTED_VALUE"""),"")</f>
        <v/>
      </c>
      <c r="R3040" s="4" t="str">
        <f>IFERROR(__xludf.DUMMYFUNCTION("""COMPUTED_VALUE"""),"")</f>
        <v/>
      </c>
      <c r="S3040" s="1" t="b">
        <f>IFERROR(__xludf.DUMMYFUNCTION("""COMPUTED_VALUE"""),FALSE)</f>
        <v>0</v>
      </c>
      <c r="T3040" s="1" t="b">
        <f>IFERROR(__xludf.DUMMYFUNCTION("""COMPUTED_VALUE"""),FALSE)</f>
        <v>0</v>
      </c>
      <c r="U3040" s="1" t="str">
        <f>IFERROR(__xludf.DUMMYFUNCTION("""COMPUTED_VALUE"""),"")</f>
        <v/>
      </c>
      <c r="V3040" s="1" t="str">
        <f>IFERROR(__xludf.DUMMYFUNCTION("""COMPUTED_VALUE"""),"")</f>
        <v/>
      </c>
      <c r="W3040" s="1" t="str">
        <f>IFERROR(__xludf.DUMMYFUNCTION("""COMPUTED_VALUE"""),"")</f>
        <v/>
      </c>
      <c r="X3040" s="1" t="str">
        <f>IFERROR(__xludf.DUMMYFUNCTION("""COMPUTED_VALUE"""),"")</f>
        <v/>
      </c>
      <c r="Y3040" s="2"/>
      <c r="Z3040" s="2" t="str">
        <f>IFERROR(__xludf.DUMMYFUNCTION("""COMPUTED_VALUE"""),"")</f>
        <v/>
      </c>
    </row>
    <row r="3041">
      <c r="A3041" s="1" t="str">
        <f>IFERROR(__xludf.DUMMYFUNCTION("""COMPUTED_VALUE"""),"")</f>
        <v/>
      </c>
      <c r="B3041" s="1"/>
      <c r="C3041" s="2"/>
      <c r="D3041" s="2"/>
      <c r="E3041" s="1"/>
      <c r="F3041" s="1"/>
      <c r="G3041" s="4" t="str">
        <f>IFERROR(__xludf.DUMMYFUNCTION("""COMPUTED_VALUE"""),"")</f>
        <v/>
      </c>
      <c r="H3041" s="4" t="str">
        <f>IFERROR(__xludf.DUMMYFUNCTION("""COMPUTED_VALUE"""),"")</f>
        <v/>
      </c>
      <c r="I3041" s="4" t="str">
        <f>IFERROR(__xludf.DUMMYFUNCTION("""COMPUTED_VALUE"""),"")</f>
        <v/>
      </c>
      <c r="J3041" s="4" t="str">
        <f>IFERROR(__xludf.DUMMYFUNCTION("""COMPUTED_VALUE"""),"")</f>
        <v/>
      </c>
      <c r="K3041" s="4" t="str">
        <f>IFERROR(__xludf.DUMMYFUNCTION("""COMPUTED_VALUE"""),"")</f>
        <v/>
      </c>
      <c r="L3041" s="4" t="str">
        <f>IFERROR(__xludf.DUMMYFUNCTION("""COMPUTED_VALUE"""),"")</f>
        <v/>
      </c>
      <c r="M3041" s="1" t="str">
        <f>IFERROR(__xludf.DUMMYFUNCTION("""COMPUTED_VALUE"""),"RFID")</f>
        <v>RFID</v>
      </c>
      <c r="N3041" s="5" t="str">
        <f>IFERROR(__xludf.DUMMYFUNCTION("""COMPUTED_VALUE"""),"")</f>
        <v/>
      </c>
      <c r="O3041" s="5" t="str">
        <f>IFERROR(__xludf.DUMMYFUNCTION("""COMPUTED_VALUE"""),"")</f>
        <v/>
      </c>
      <c r="P3041" s="5" t="str">
        <f>IFERROR(__xludf.DUMMYFUNCTION("""COMPUTED_VALUE"""),"")</f>
        <v/>
      </c>
      <c r="Q3041" s="5" t="str">
        <f>IFERROR(__xludf.DUMMYFUNCTION("""COMPUTED_VALUE"""),"")</f>
        <v/>
      </c>
      <c r="R3041" s="4" t="str">
        <f>IFERROR(__xludf.DUMMYFUNCTION("""COMPUTED_VALUE"""),"")</f>
        <v/>
      </c>
      <c r="S3041" s="1" t="b">
        <f>IFERROR(__xludf.DUMMYFUNCTION("""COMPUTED_VALUE"""),FALSE)</f>
        <v>0</v>
      </c>
      <c r="T3041" s="1" t="b">
        <f>IFERROR(__xludf.DUMMYFUNCTION("""COMPUTED_VALUE"""),FALSE)</f>
        <v>0</v>
      </c>
      <c r="U3041" s="1" t="str">
        <f>IFERROR(__xludf.DUMMYFUNCTION("""COMPUTED_VALUE"""),"")</f>
        <v/>
      </c>
      <c r="V3041" s="1" t="str">
        <f>IFERROR(__xludf.DUMMYFUNCTION("""COMPUTED_VALUE"""),"")</f>
        <v/>
      </c>
      <c r="W3041" s="1" t="str">
        <f>IFERROR(__xludf.DUMMYFUNCTION("""COMPUTED_VALUE"""),"")</f>
        <v/>
      </c>
      <c r="X3041" s="1" t="str">
        <f>IFERROR(__xludf.DUMMYFUNCTION("""COMPUTED_VALUE"""),"")</f>
        <v/>
      </c>
      <c r="Y3041" s="2"/>
      <c r="Z3041" s="2" t="str">
        <f>IFERROR(__xludf.DUMMYFUNCTION("""COMPUTED_VALUE"""),"")</f>
        <v/>
      </c>
    </row>
    <row r="3042">
      <c r="A3042" s="1" t="str">
        <f>IFERROR(__xludf.DUMMYFUNCTION("""COMPUTED_VALUE"""),"")</f>
        <v/>
      </c>
      <c r="B3042" s="1"/>
      <c r="C3042" s="2"/>
      <c r="D3042" s="2"/>
      <c r="E3042" s="1"/>
      <c r="F3042" s="1"/>
      <c r="G3042" s="4" t="str">
        <f>IFERROR(__xludf.DUMMYFUNCTION("""COMPUTED_VALUE"""),"")</f>
        <v/>
      </c>
      <c r="H3042" s="4" t="str">
        <f>IFERROR(__xludf.DUMMYFUNCTION("""COMPUTED_VALUE"""),"")</f>
        <v/>
      </c>
      <c r="I3042" s="4" t="str">
        <f>IFERROR(__xludf.DUMMYFUNCTION("""COMPUTED_VALUE"""),"")</f>
        <v/>
      </c>
      <c r="J3042" s="4" t="str">
        <f>IFERROR(__xludf.DUMMYFUNCTION("""COMPUTED_VALUE"""),"")</f>
        <v/>
      </c>
      <c r="K3042" s="4" t="str">
        <f>IFERROR(__xludf.DUMMYFUNCTION("""COMPUTED_VALUE"""),"")</f>
        <v/>
      </c>
      <c r="L3042" s="4" t="str">
        <f>IFERROR(__xludf.DUMMYFUNCTION("""COMPUTED_VALUE"""),"")</f>
        <v/>
      </c>
      <c r="M3042" s="1" t="str">
        <f>IFERROR(__xludf.DUMMYFUNCTION("""COMPUTED_VALUE"""),"RFID")</f>
        <v>RFID</v>
      </c>
      <c r="N3042" s="5" t="str">
        <f>IFERROR(__xludf.DUMMYFUNCTION("""COMPUTED_VALUE"""),"")</f>
        <v/>
      </c>
      <c r="O3042" s="5" t="str">
        <f>IFERROR(__xludf.DUMMYFUNCTION("""COMPUTED_VALUE"""),"")</f>
        <v/>
      </c>
      <c r="P3042" s="5" t="str">
        <f>IFERROR(__xludf.DUMMYFUNCTION("""COMPUTED_VALUE"""),"")</f>
        <v/>
      </c>
      <c r="Q3042" s="5" t="str">
        <f>IFERROR(__xludf.DUMMYFUNCTION("""COMPUTED_VALUE"""),"")</f>
        <v/>
      </c>
      <c r="R3042" s="4" t="str">
        <f>IFERROR(__xludf.DUMMYFUNCTION("""COMPUTED_VALUE"""),"")</f>
        <v/>
      </c>
      <c r="S3042" s="1" t="b">
        <f>IFERROR(__xludf.DUMMYFUNCTION("""COMPUTED_VALUE"""),FALSE)</f>
        <v>0</v>
      </c>
      <c r="T3042" s="1" t="b">
        <f>IFERROR(__xludf.DUMMYFUNCTION("""COMPUTED_VALUE"""),FALSE)</f>
        <v>0</v>
      </c>
      <c r="U3042" s="1" t="str">
        <f>IFERROR(__xludf.DUMMYFUNCTION("""COMPUTED_VALUE"""),"")</f>
        <v/>
      </c>
      <c r="V3042" s="1" t="str">
        <f>IFERROR(__xludf.DUMMYFUNCTION("""COMPUTED_VALUE"""),"")</f>
        <v/>
      </c>
      <c r="W3042" s="1" t="str">
        <f>IFERROR(__xludf.DUMMYFUNCTION("""COMPUTED_VALUE"""),"")</f>
        <v/>
      </c>
      <c r="X3042" s="1" t="str">
        <f>IFERROR(__xludf.DUMMYFUNCTION("""COMPUTED_VALUE"""),"")</f>
        <v/>
      </c>
      <c r="Y3042" s="2"/>
      <c r="Z3042" s="2" t="str">
        <f>IFERROR(__xludf.DUMMYFUNCTION("""COMPUTED_VALUE"""),"")</f>
        <v/>
      </c>
    </row>
    <row r="3043">
      <c r="A3043" s="1" t="str">
        <f>IFERROR(__xludf.DUMMYFUNCTION("""COMPUTED_VALUE"""),"")</f>
        <v/>
      </c>
      <c r="B3043" s="1"/>
      <c r="C3043" s="2"/>
      <c r="D3043" s="2"/>
      <c r="E3043" s="1"/>
      <c r="F3043" s="1"/>
      <c r="G3043" s="4" t="str">
        <f>IFERROR(__xludf.DUMMYFUNCTION("""COMPUTED_VALUE"""),"")</f>
        <v/>
      </c>
      <c r="H3043" s="4" t="str">
        <f>IFERROR(__xludf.DUMMYFUNCTION("""COMPUTED_VALUE"""),"")</f>
        <v/>
      </c>
      <c r="I3043" s="4" t="str">
        <f>IFERROR(__xludf.DUMMYFUNCTION("""COMPUTED_VALUE"""),"")</f>
        <v/>
      </c>
      <c r="J3043" s="4" t="str">
        <f>IFERROR(__xludf.DUMMYFUNCTION("""COMPUTED_VALUE"""),"")</f>
        <v/>
      </c>
      <c r="K3043" s="4" t="str">
        <f>IFERROR(__xludf.DUMMYFUNCTION("""COMPUTED_VALUE"""),"")</f>
        <v/>
      </c>
      <c r="L3043" s="4" t="str">
        <f>IFERROR(__xludf.DUMMYFUNCTION("""COMPUTED_VALUE"""),"")</f>
        <v/>
      </c>
      <c r="M3043" s="1" t="str">
        <f>IFERROR(__xludf.DUMMYFUNCTION("""COMPUTED_VALUE"""),"RFID")</f>
        <v>RFID</v>
      </c>
      <c r="N3043" s="5" t="str">
        <f>IFERROR(__xludf.DUMMYFUNCTION("""COMPUTED_VALUE"""),"")</f>
        <v/>
      </c>
      <c r="O3043" s="5" t="str">
        <f>IFERROR(__xludf.DUMMYFUNCTION("""COMPUTED_VALUE"""),"")</f>
        <v/>
      </c>
      <c r="P3043" s="5" t="str">
        <f>IFERROR(__xludf.DUMMYFUNCTION("""COMPUTED_VALUE"""),"")</f>
        <v/>
      </c>
      <c r="Q3043" s="5" t="str">
        <f>IFERROR(__xludf.DUMMYFUNCTION("""COMPUTED_VALUE"""),"")</f>
        <v/>
      </c>
      <c r="R3043" s="4" t="str">
        <f>IFERROR(__xludf.DUMMYFUNCTION("""COMPUTED_VALUE"""),"")</f>
        <v/>
      </c>
      <c r="S3043" s="1" t="b">
        <f>IFERROR(__xludf.DUMMYFUNCTION("""COMPUTED_VALUE"""),FALSE)</f>
        <v>0</v>
      </c>
      <c r="T3043" s="1" t="b">
        <f>IFERROR(__xludf.DUMMYFUNCTION("""COMPUTED_VALUE"""),FALSE)</f>
        <v>0</v>
      </c>
      <c r="U3043" s="1" t="str">
        <f>IFERROR(__xludf.DUMMYFUNCTION("""COMPUTED_VALUE"""),"")</f>
        <v/>
      </c>
      <c r="V3043" s="1" t="str">
        <f>IFERROR(__xludf.DUMMYFUNCTION("""COMPUTED_VALUE"""),"")</f>
        <v/>
      </c>
      <c r="W3043" s="1" t="str">
        <f>IFERROR(__xludf.DUMMYFUNCTION("""COMPUTED_VALUE"""),"")</f>
        <v/>
      </c>
      <c r="X3043" s="1" t="str">
        <f>IFERROR(__xludf.DUMMYFUNCTION("""COMPUTED_VALUE"""),"")</f>
        <v/>
      </c>
      <c r="Y3043" s="2"/>
      <c r="Z3043" s="2" t="str">
        <f>IFERROR(__xludf.DUMMYFUNCTION("""COMPUTED_VALUE"""),"")</f>
        <v/>
      </c>
    </row>
    <row r="3044">
      <c r="A3044" s="1" t="str">
        <f>IFERROR(__xludf.DUMMYFUNCTION("""COMPUTED_VALUE"""),"")</f>
        <v/>
      </c>
      <c r="B3044" s="1"/>
      <c r="C3044" s="2"/>
      <c r="D3044" s="2"/>
      <c r="E3044" s="1"/>
      <c r="F3044" s="1"/>
      <c r="G3044" s="4" t="str">
        <f>IFERROR(__xludf.DUMMYFUNCTION("""COMPUTED_VALUE"""),"")</f>
        <v/>
      </c>
      <c r="H3044" s="4" t="str">
        <f>IFERROR(__xludf.DUMMYFUNCTION("""COMPUTED_VALUE"""),"")</f>
        <v/>
      </c>
      <c r="I3044" s="4" t="str">
        <f>IFERROR(__xludf.DUMMYFUNCTION("""COMPUTED_VALUE"""),"")</f>
        <v/>
      </c>
      <c r="J3044" s="4" t="str">
        <f>IFERROR(__xludf.DUMMYFUNCTION("""COMPUTED_VALUE"""),"")</f>
        <v/>
      </c>
      <c r="K3044" s="4" t="str">
        <f>IFERROR(__xludf.DUMMYFUNCTION("""COMPUTED_VALUE"""),"")</f>
        <v/>
      </c>
      <c r="L3044" s="4" t="str">
        <f>IFERROR(__xludf.DUMMYFUNCTION("""COMPUTED_VALUE"""),"")</f>
        <v/>
      </c>
      <c r="M3044" s="1" t="str">
        <f>IFERROR(__xludf.DUMMYFUNCTION("""COMPUTED_VALUE"""),"RFID")</f>
        <v>RFID</v>
      </c>
      <c r="N3044" s="5" t="str">
        <f>IFERROR(__xludf.DUMMYFUNCTION("""COMPUTED_VALUE"""),"")</f>
        <v/>
      </c>
      <c r="O3044" s="5" t="str">
        <f>IFERROR(__xludf.DUMMYFUNCTION("""COMPUTED_VALUE"""),"")</f>
        <v/>
      </c>
      <c r="P3044" s="5" t="str">
        <f>IFERROR(__xludf.DUMMYFUNCTION("""COMPUTED_VALUE"""),"")</f>
        <v/>
      </c>
      <c r="Q3044" s="5" t="str">
        <f>IFERROR(__xludf.DUMMYFUNCTION("""COMPUTED_VALUE"""),"")</f>
        <v/>
      </c>
      <c r="R3044" s="4" t="str">
        <f>IFERROR(__xludf.DUMMYFUNCTION("""COMPUTED_VALUE"""),"")</f>
        <v/>
      </c>
      <c r="S3044" s="1" t="b">
        <f>IFERROR(__xludf.DUMMYFUNCTION("""COMPUTED_VALUE"""),FALSE)</f>
        <v>0</v>
      </c>
      <c r="T3044" s="1" t="b">
        <f>IFERROR(__xludf.DUMMYFUNCTION("""COMPUTED_VALUE"""),FALSE)</f>
        <v>0</v>
      </c>
      <c r="U3044" s="1" t="str">
        <f>IFERROR(__xludf.DUMMYFUNCTION("""COMPUTED_VALUE"""),"")</f>
        <v/>
      </c>
      <c r="V3044" s="1" t="str">
        <f>IFERROR(__xludf.DUMMYFUNCTION("""COMPUTED_VALUE"""),"")</f>
        <v/>
      </c>
      <c r="W3044" s="1" t="str">
        <f>IFERROR(__xludf.DUMMYFUNCTION("""COMPUTED_VALUE"""),"")</f>
        <v/>
      </c>
      <c r="X3044" s="1" t="str">
        <f>IFERROR(__xludf.DUMMYFUNCTION("""COMPUTED_VALUE"""),"")</f>
        <v/>
      </c>
      <c r="Y3044" s="2"/>
      <c r="Z3044" s="2" t="str">
        <f>IFERROR(__xludf.DUMMYFUNCTION("""COMPUTED_VALUE"""),"")</f>
        <v/>
      </c>
    </row>
    <row r="3045">
      <c r="A3045" s="1" t="str">
        <f>IFERROR(__xludf.DUMMYFUNCTION("""COMPUTED_VALUE"""),"")</f>
        <v/>
      </c>
      <c r="B3045" s="1"/>
      <c r="C3045" s="2"/>
      <c r="D3045" s="2"/>
      <c r="E3045" s="1"/>
      <c r="F3045" s="1"/>
      <c r="G3045" s="4" t="str">
        <f>IFERROR(__xludf.DUMMYFUNCTION("""COMPUTED_VALUE"""),"")</f>
        <v/>
      </c>
      <c r="H3045" s="4" t="str">
        <f>IFERROR(__xludf.DUMMYFUNCTION("""COMPUTED_VALUE"""),"")</f>
        <v/>
      </c>
      <c r="I3045" s="4" t="str">
        <f>IFERROR(__xludf.DUMMYFUNCTION("""COMPUTED_VALUE"""),"")</f>
        <v/>
      </c>
      <c r="J3045" s="4" t="str">
        <f>IFERROR(__xludf.DUMMYFUNCTION("""COMPUTED_VALUE"""),"")</f>
        <v/>
      </c>
      <c r="K3045" s="4" t="str">
        <f>IFERROR(__xludf.DUMMYFUNCTION("""COMPUTED_VALUE"""),"")</f>
        <v/>
      </c>
      <c r="L3045" s="4" t="str">
        <f>IFERROR(__xludf.DUMMYFUNCTION("""COMPUTED_VALUE"""),"")</f>
        <v/>
      </c>
      <c r="M3045" s="1" t="str">
        <f>IFERROR(__xludf.DUMMYFUNCTION("""COMPUTED_VALUE"""),"RFID")</f>
        <v>RFID</v>
      </c>
      <c r="N3045" s="5" t="str">
        <f>IFERROR(__xludf.DUMMYFUNCTION("""COMPUTED_VALUE"""),"")</f>
        <v/>
      </c>
      <c r="O3045" s="5" t="str">
        <f>IFERROR(__xludf.DUMMYFUNCTION("""COMPUTED_VALUE"""),"")</f>
        <v/>
      </c>
      <c r="P3045" s="5" t="str">
        <f>IFERROR(__xludf.DUMMYFUNCTION("""COMPUTED_VALUE"""),"")</f>
        <v/>
      </c>
      <c r="Q3045" s="5" t="str">
        <f>IFERROR(__xludf.DUMMYFUNCTION("""COMPUTED_VALUE"""),"")</f>
        <v/>
      </c>
      <c r="R3045" s="4" t="str">
        <f>IFERROR(__xludf.DUMMYFUNCTION("""COMPUTED_VALUE"""),"")</f>
        <v/>
      </c>
      <c r="S3045" s="1" t="b">
        <f>IFERROR(__xludf.DUMMYFUNCTION("""COMPUTED_VALUE"""),FALSE)</f>
        <v>0</v>
      </c>
      <c r="T3045" s="1" t="b">
        <f>IFERROR(__xludf.DUMMYFUNCTION("""COMPUTED_VALUE"""),FALSE)</f>
        <v>0</v>
      </c>
      <c r="U3045" s="1" t="str">
        <f>IFERROR(__xludf.DUMMYFUNCTION("""COMPUTED_VALUE"""),"")</f>
        <v/>
      </c>
      <c r="V3045" s="1" t="str">
        <f>IFERROR(__xludf.DUMMYFUNCTION("""COMPUTED_VALUE"""),"")</f>
        <v/>
      </c>
      <c r="W3045" s="1" t="str">
        <f>IFERROR(__xludf.DUMMYFUNCTION("""COMPUTED_VALUE"""),"")</f>
        <v/>
      </c>
      <c r="X3045" s="1" t="str">
        <f>IFERROR(__xludf.DUMMYFUNCTION("""COMPUTED_VALUE"""),"")</f>
        <v/>
      </c>
      <c r="Y3045" s="2"/>
      <c r="Z3045" s="2" t="str">
        <f>IFERROR(__xludf.DUMMYFUNCTION("""COMPUTED_VALUE"""),"")</f>
        <v/>
      </c>
    </row>
    <row r="3046">
      <c r="A3046" s="1" t="str">
        <f>IFERROR(__xludf.DUMMYFUNCTION("""COMPUTED_VALUE"""),"")</f>
        <v/>
      </c>
      <c r="B3046" s="1"/>
      <c r="C3046" s="2"/>
      <c r="D3046" s="2"/>
      <c r="E3046" s="1"/>
      <c r="F3046" s="1"/>
      <c r="G3046" s="4" t="str">
        <f>IFERROR(__xludf.DUMMYFUNCTION("""COMPUTED_VALUE"""),"")</f>
        <v/>
      </c>
      <c r="H3046" s="4" t="str">
        <f>IFERROR(__xludf.DUMMYFUNCTION("""COMPUTED_VALUE"""),"")</f>
        <v/>
      </c>
      <c r="I3046" s="4" t="str">
        <f>IFERROR(__xludf.DUMMYFUNCTION("""COMPUTED_VALUE"""),"")</f>
        <v/>
      </c>
      <c r="J3046" s="4" t="str">
        <f>IFERROR(__xludf.DUMMYFUNCTION("""COMPUTED_VALUE"""),"")</f>
        <v/>
      </c>
      <c r="K3046" s="4" t="str">
        <f>IFERROR(__xludf.DUMMYFUNCTION("""COMPUTED_VALUE"""),"")</f>
        <v/>
      </c>
      <c r="L3046" s="4" t="str">
        <f>IFERROR(__xludf.DUMMYFUNCTION("""COMPUTED_VALUE"""),"")</f>
        <v/>
      </c>
      <c r="M3046" s="1" t="str">
        <f>IFERROR(__xludf.DUMMYFUNCTION("""COMPUTED_VALUE"""),"RFID")</f>
        <v>RFID</v>
      </c>
      <c r="N3046" s="5" t="str">
        <f>IFERROR(__xludf.DUMMYFUNCTION("""COMPUTED_VALUE"""),"")</f>
        <v/>
      </c>
      <c r="O3046" s="5" t="str">
        <f>IFERROR(__xludf.DUMMYFUNCTION("""COMPUTED_VALUE"""),"")</f>
        <v/>
      </c>
      <c r="P3046" s="5" t="str">
        <f>IFERROR(__xludf.DUMMYFUNCTION("""COMPUTED_VALUE"""),"")</f>
        <v/>
      </c>
      <c r="Q3046" s="5" t="str">
        <f>IFERROR(__xludf.DUMMYFUNCTION("""COMPUTED_VALUE"""),"")</f>
        <v/>
      </c>
      <c r="R3046" s="4" t="str">
        <f>IFERROR(__xludf.DUMMYFUNCTION("""COMPUTED_VALUE"""),"")</f>
        <v/>
      </c>
      <c r="S3046" s="1" t="b">
        <f>IFERROR(__xludf.DUMMYFUNCTION("""COMPUTED_VALUE"""),FALSE)</f>
        <v>0</v>
      </c>
      <c r="T3046" s="1" t="b">
        <f>IFERROR(__xludf.DUMMYFUNCTION("""COMPUTED_VALUE"""),FALSE)</f>
        <v>0</v>
      </c>
      <c r="U3046" s="1" t="str">
        <f>IFERROR(__xludf.DUMMYFUNCTION("""COMPUTED_VALUE"""),"")</f>
        <v/>
      </c>
      <c r="V3046" s="1" t="str">
        <f>IFERROR(__xludf.DUMMYFUNCTION("""COMPUTED_VALUE"""),"")</f>
        <v/>
      </c>
      <c r="W3046" s="1" t="str">
        <f>IFERROR(__xludf.DUMMYFUNCTION("""COMPUTED_VALUE"""),"")</f>
        <v/>
      </c>
      <c r="X3046" s="1" t="str">
        <f>IFERROR(__xludf.DUMMYFUNCTION("""COMPUTED_VALUE"""),"")</f>
        <v/>
      </c>
      <c r="Y3046" s="2"/>
      <c r="Z3046" s="2" t="str">
        <f>IFERROR(__xludf.DUMMYFUNCTION("""COMPUTED_VALUE"""),"")</f>
        <v/>
      </c>
    </row>
    <row r="3047">
      <c r="A3047" s="1" t="str">
        <f>IFERROR(__xludf.DUMMYFUNCTION("""COMPUTED_VALUE"""),"")</f>
        <v/>
      </c>
      <c r="B3047" s="1"/>
      <c r="C3047" s="2"/>
      <c r="D3047" s="2"/>
      <c r="E3047" s="1"/>
      <c r="F3047" s="1"/>
      <c r="G3047" s="4" t="str">
        <f>IFERROR(__xludf.DUMMYFUNCTION("""COMPUTED_VALUE"""),"")</f>
        <v/>
      </c>
      <c r="H3047" s="4" t="str">
        <f>IFERROR(__xludf.DUMMYFUNCTION("""COMPUTED_VALUE"""),"")</f>
        <v/>
      </c>
      <c r="I3047" s="4" t="str">
        <f>IFERROR(__xludf.DUMMYFUNCTION("""COMPUTED_VALUE"""),"")</f>
        <v/>
      </c>
      <c r="J3047" s="4" t="str">
        <f>IFERROR(__xludf.DUMMYFUNCTION("""COMPUTED_VALUE"""),"")</f>
        <v/>
      </c>
      <c r="K3047" s="4" t="str">
        <f>IFERROR(__xludf.DUMMYFUNCTION("""COMPUTED_VALUE"""),"")</f>
        <v/>
      </c>
      <c r="L3047" s="4" t="str">
        <f>IFERROR(__xludf.DUMMYFUNCTION("""COMPUTED_VALUE"""),"")</f>
        <v/>
      </c>
      <c r="M3047" s="1" t="str">
        <f>IFERROR(__xludf.DUMMYFUNCTION("""COMPUTED_VALUE"""),"RFID")</f>
        <v>RFID</v>
      </c>
      <c r="N3047" s="5" t="str">
        <f>IFERROR(__xludf.DUMMYFUNCTION("""COMPUTED_VALUE"""),"")</f>
        <v/>
      </c>
      <c r="O3047" s="5" t="str">
        <f>IFERROR(__xludf.DUMMYFUNCTION("""COMPUTED_VALUE"""),"")</f>
        <v/>
      </c>
      <c r="P3047" s="5" t="str">
        <f>IFERROR(__xludf.DUMMYFUNCTION("""COMPUTED_VALUE"""),"")</f>
        <v/>
      </c>
      <c r="Q3047" s="5" t="str">
        <f>IFERROR(__xludf.DUMMYFUNCTION("""COMPUTED_VALUE"""),"")</f>
        <v/>
      </c>
      <c r="R3047" s="4" t="str">
        <f>IFERROR(__xludf.DUMMYFUNCTION("""COMPUTED_VALUE"""),"")</f>
        <v/>
      </c>
      <c r="S3047" s="1" t="b">
        <f>IFERROR(__xludf.DUMMYFUNCTION("""COMPUTED_VALUE"""),FALSE)</f>
        <v>0</v>
      </c>
      <c r="T3047" s="1" t="b">
        <f>IFERROR(__xludf.DUMMYFUNCTION("""COMPUTED_VALUE"""),FALSE)</f>
        <v>0</v>
      </c>
      <c r="U3047" s="1" t="str">
        <f>IFERROR(__xludf.DUMMYFUNCTION("""COMPUTED_VALUE"""),"")</f>
        <v/>
      </c>
      <c r="V3047" s="1" t="str">
        <f>IFERROR(__xludf.DUMMYFUNCTION("""COMPUTED_VALUE"""),"")</f>
        <v/>
      </c>
      <c r="W3047" s="1" t="str">
        <f>IFERROR(__xludf.DUMMYFUNCTION("""COMPUTED_VALUE"""),"")</f>
        <v/>
      </c>
      <c r="X3047" s="1" t="str">
        <f>IFERROR(__xludf.DUMMYFUNCTION("""COMPUTED_VALUE"""),"")</f>
        <v/>
      </c>
      <c r="Y3047" s="2"/>
      <c r="Z3047" s="2" t="str">
        <f>IFERROR(__xludf.DUMMYFUNCTION("""COMPUTED_VALUE"""),"")</f>
        <v/>
      </c>
    </row>
    <row r="3048">
      <c r="A3048" s="1" t="str">
        <f>IFERROR(__xludf.DUMMYFUNCTION("""COMPUTED_VALUE"""),"")</f>
        <v/>
      </c>
      <c r="B3048" s="1"/>
      <c r="C3048" s="2"/>
      <c r="D3048" s="2"/>
      <c r="E3048" s="1"/>
      <c r="F3048" s="1"/>
      <c r="G3048" s="4" t="str">
        <f>IFERROR(__xludf.DUMMYFUNCTION("""COMPUTED_VALUE"""),"")</f>
        <v/>
      </c>
      <c r="H3048" s="4" t="str">
        <f>IFERROR(__xludf.DUMMYFUNCTION("""COMPUTED_VALUE"""),"")</f>
        <v/>
      </c>
      <c r="I3048" s="4" t="str">
        <f>IFERROR(__xludf.DUMMYFUNCTION("""COMPUTED_VALUE"""),"")</f>
        <v/>
      </c>
      <c r="J3048" s="4" t="str">
        <f>IFERROR(__xludf.DUMMYFUNCTION("""COMPUTED_VALUE"""),"")</f>
        <v/>
      </c>
      <c r="K3048" s="4" t="str">
        <f>IFERROR(__xludf.DUMMYFUNCTION("""COMPUTED_VALUE"""),"")</f>
        <v/>
      </c>
      <c r="L3048" s="4" t="str">
        <f>IFERROR(__xludf.DUMMYFUNCTION("""COMPUTED_VALUE"""),"")</f>
        <v/>
      </c>
      <c r="M3048" s="1" t="str">
        <f>IFERROR(__xludf.DUMMYFUNCTION("""COMPUTED_VALUE"""),"RFID")</f>
        <v>RFID</v>
      </c>
      <c r="N3048" s="5" t="str">
        <f>IFERROR(__xludf.DUMMYFUNCTION("""COMPUTED_VALUE"""),"")</f>
        <v/>
      </c>
      <c r="O3048" s="5" t="str">
        <f>IFERROR(__xludf.DUMMYFUNCTION("""COMPUTED_VALUE"""),"")</f>
        <v/>
      </c>
      <c r="P3048" s="5" t="str">
        <f>IFERROR(__xludf.DUMMYFUNCTION("""COMPUTED_VALUE"""),"")</f>
        <v/>
      </c>
      <c r="Q3048" s="5" t="str">
        <f>IFERROR(__xludf.DUMMYFUNCTION("""COMPUTED_VALUE"""),"")</f>
        <v/>
      </c>
      <c r="R3048" s="4" t="str">
        <f>IFERROR(__xludf.DUMMYFUNCTION("""COMPUTED_VALUE"""),"")</f>
        <v/>
      </c>
      <c r="S3048" s="1" t="b">
        <f>IFERROR(__xludf.DUMMYFUNCTION("""COMPUTED_VALUE"""),FALSE)</f>
        <v>0</v>
      </c>
      <c r="T3048" s="1" t="b">
        <f>IFERROR(__xludf.DUMMYFUNCTION("""COMPUTED_VALUE"""),FALSE)</f>
        <v>0</v>
      </c>
      <c r="U3048" s="1" t="str">
        <f>IFERROR(__xludf.DUMMYFUNCTION("""COMPUTED_VALUE"""),"")</f>
        <v/>
      </c>
      <c r="V3048" s="1" t="str">
        <f>IFERROR(__xludf.DUMMYFUNCTION("""COMPUTED_VALUE"""),"")</f>
        <v/>
      </c>
      <c r="W3048" s="1" t="str">
        <f>IFERROR(__xludf.DUMMYFUNCTION("""COMPUTED_VALUE"""),"")</f>
        <v/>
      </c>
      <c r="X3048" s="1" t="str">
        <f>IFERROR(__xludf.DUMMYFUNCTION("""COMPUTED_VALUE"""),"")</f>
        <v/>
      </c>
      <c r="Y3048" s="2"/>
      <c r="Z3048" s="2" t="str">
        <f>IFERROR(__xludf.DUMMYFUNCTION("""COMPUTED_VALUE"""),"")</f>
        <v/>
      </c>
    </row>
    <row r="3049">
      <c r="A3049" s="1" t="str">
        <f>IFERROR(__xludf.DUMMYFUNCTION("""COMPUTED_VALUE"""),"")</f>
        <v/>
      </c>
      <c r="B3049" s="1"/>
      <c r="C3049" s="2"/>
      <c r="D3049" s="2"/>
      <c r="E3049" s="1"/>
      <c r="F3049" s="1"/>
      <c r="G3049" s="4" t="str">
        <f>IFERROR(__xludf.DUMMYFUNCTION("""COMPUTED_VALUE"""),"")</f>
        <v/>
      </c>
      <c r="H3049" s="4" t="str">
        <f>IFERROR(__xludf.DUMMYFUNCTION("""COMPUTED_VALUE"""),"")</f>
        <v/>
      </c>
      <c r="I3049" s="4" t="str">
        <f>IFERROR(__xludf.DUMMYFUNCTION("""COMPUTED_VALUE"""),"")</f>
        <v/>
      </c>
      <c r="J3049" s="4" t="str">
        <f>IFERROR(__xludf.DUMMYFUNCTION("""COMPUTED_VALUE"""),"")</f>
        <v/>
      </c>
      <c r="K3049" s="4" t="str">
        <f>IFERROR(__xludf.DUMMYFUNCTION("""COMPUTED_VALUE"""),"")</f>
        <v/>
      </c>
      <c r="L3049" s="4" t="str">
        <f>IFERROR(__xludf.DUMMYFUNCTION("""COMPUTED_VALUE"""),"")</f>
        <v/>
      </c>
      <c r="M3049" s="1" t="str">
        <f>IFERROR(__xludf.DUMMYFUNCTION("""COMPUTED_VALUE"""),"RFID")</f>
        <v>RFID</v>
      </c>
      <c r="N3049" s="5" t="str">
        <f>IFERROR(__xludf.DUMMYFUNCTION("""COMPUTED_VALUE"""),"")</f>
        <v/>
      </c>
      <c r="O3049" s="5" t="str">
        <f>IFERROR(__xludf.DUMMYFUNCTION("""COMPUTED_VALUE"""),"")</f>
        <v/>
      </c>
      <c r="P3049" s="5" t="str">
        <f>IFERROR(__xludf.DUMMYFUNCTION("""COMPUTED_VALUE"""),"")</f>
        <v/>
      </c>
      <c r="Q3049" s="5" t="str">
        <f>IFERROR(__xludf.DUMMYFUNCTION("""COMPUTED_VALUE"""),"")</f>
        <v/>
      </c>
      <c r="R3049" s="4" t="str">
        <f>IFERROR(__xludf.DUMMYFUNCTION("""COMPUTED_VALUE"""),"")</f>
        <v/>
      </c>
      <c r="S3049" s="1" t="b">
        <f>IFERROR(__xludf.DUMMYFUNCTION("""COMPUTED_VALUE"""),FALSE)</f>
        <v>0</v>
      </c>
      <c r="T3049" s="1" t="b">
        <f>IFERROR(__xludf.DUMMYFUNCTION("""COMPUTED_VALUE"""),FALSE)</f>
        <v>0</v>
      </c>
      <c r="U3049" s="1" t="str">
        <f>IFERROR(__xludf.DUMMYFUNCTION("""COMPUTED_VALUE"""),"")</f>
        <v/>
      </c>
      <c r="V3049" s="1" t="str">
        <f>IFERROR(__xludf.DUMMYFUNCTION("""COMPUTED_VALUE"""),"")</f>
        <v/>
      </c>
      <c r="W3049" s="1" t="str">
        <f>IFERROR(__xludf.DUMMYFUNCTION("""COMPUTED_VALUE"""),"")</f>
        <v/>
      </c>
      <c r="X3049" s="1" t="str">
        <f>IFERROR(__xludf.DUMMYFUNCTION("""COMPUTED_VALUE"""),"")</f>
        <v/>
      </c>
      <c r="Y3049" s="2"/>
      <c r="Z3049" s="2" t="str">
        <f>IFERROR(__xludf.DUMMYFUNCTION("""COMPUTED_VALUE"""),"")</f>
        <v/>
      </c>
    </row>
    <row r="3050">
      <c r="A3050" s="1" t="str">
        <f>IFERROR(__xludf.DUMMYFUNCTION("""COMPUTED_VALUE"""),"")</f>
        <v/>
      </c>
      <c r="B3050" s="1"/>
      <c r="C3050" s="2"/>
      <c r="D3050" s="2"/>
      <c r="E3050" s="1"/>
      <c r="F3050" s="1"/>
      <c r="G3050" s="4" t="str">
        <f>IFERROR(__xludf.DUMMYFUNCTION("""COMPUTED_VALUE"""),"")</f>
        <v/>
      </c>
      <c r="H3050" s="4" t="str">
        <f>IFERROR(__xludf.DUMMYFUNCTION("""COMPUTED_VALUE"""),"")</f>
        <v/>
      </c>
      <c r="I3050" s="4" t="str">
        <f>IFERROR(__xludf.DUMMYFUNCTION("""COMPUTED_VALUE"""),"")</f>
        <v/>
      </c>
      <c r="J3050" s="4" t="str">
        <f>IFERROR(__xludf.DUMMYFUNCTION("""COMPUTED_VALUE"""),"")</f>
        <v/>
      </c>
      <c r="K3050" s="4" t="str">
        <f>IFERROR(__xludf.DUMMYFUNCTION("""COMPUTED_VALUE"""),"")</f>
        <v/>
      </c>
      <c r="L3050" s="4" t="str">
        <f>IFERROR(__xludf.DUMMYFUNCTION("""COMPUTED_VALUE"""),"")</f>
        <v/>
      </c>
      <c r="M3050" s="1" t="str">
        <f>IFERROR(__xludf.DUMMYFUNCTION("""COMPUTED_VALUE"""),"RFID")</f>
        <v>RFID</v>
      </c>
      <c r="N3050" s="5" t="str">
        <f>IFERROR(__xludf.DUMMYFUNCTION("""COMPUTED_VALUE"""),"")</f>
        <v/>
      </c>
      <c r="O3050" s="5" t="str">
        <f>IFERROR(__xludf.DUMMYFUNCTION("""COMPUTED_VALUE"""),"")</f>
        <v/>
      </c>
      <c r="P3050" s="5" t="str">
        <f>IFERROR(__xludf.DUMMYFUNCTION("""COMPUTED_VALUE"""),"")</f>
        <v/>
      </c>
      <c r="Q3050" s="5" t="str">
        <f>IFERROR(__xludf.DUMMYFUNCTION("""COMPUTED_VALUE"""),"")</f>
        <v/>
      </c>
      <c r="R3050" s="4" t="str">
        <f>IFERROR(__xludf.DUMMYFUNCTION("""COMPUTED_VALUE"""),"")</f>
        <v/>
      </c>
      <c r="S3050" s="1" t="b">
        <f>IFERROR(__xludf.DUMMYFUNCTION("""COMPUTED_VALUE"""),FALSE)</f>
        <v>0</v>
      </c>
      <c r="T3050" s="1" t="b">
        <f>IFERROR(__xludf.DUMMYFUNCTION("""COMPUTED_VALUE"""),FALSE)</f>
        <v>0</v>
      </c>
      <c r="U3050" s="1" t="str">
        <f>IFERROR(__xludf.DUMMYFUNCTION("""COMPUTED_VALUE"""),"")</f>
        <v/>
      </c>
      <c r="V3050" s="1" t="str">
        <f>IFERROR(__xludf.DUMMYFUNCTION("""COMPUTED_VALUE"""),"")</f>
        <v/>
      </c>
      <c r="W3050" s="1" t="str">
        <f>IFERROR(__xludf.DUMMYFUNCTION("""COMPUTED_VALUE"""),"")</f>
        <v/>
      </c>
      <c r="X3050" s="1" t="str">
        <f>IFERROR(__xludf.DUMMYFUNCTION("""COMPUTED_VALUE"""),"")</f>
        <v/>
      </c>
      <c r="Y3050" s="2"/>
      <c r="Z3050" s="2" t="str">
        <f>IFERROR(__xludf.DUMMYFUNCTION("""COMPUTED_VALUE"""),"")</f>
        <v/>
      </c>
    </row>
    <row r="3051">
      <c r="A3051" s="1" t="str">
        <f>IFERROR(__xludf.DUMMYFUNCTION("""COMPUTED_VALUE"""),"")</f>
        <v/>
      </c>
      <c r="B3051" s="1"/>
      <c r="C3051" s="2"/>
      <c r="D3051" s="2"/>
      <c r="E3051" s="1"/>
      <c r="F3051" s="1"/>
      <c r="G3051" s="4" t="str">
        <f>IFERROR(__xludf.DUMMYFUNCTION("""COMPUTED_VALUE"""),"")</f>
        <v/>
      </c>
      <c r="H3051" s="4" t="str">
        <f>IFERROR(__xludf.DUMMYFUNCTION("""COMPUTED_VALUE"""),"")</f>
        <v/>
      </c>
      <c r="I3051" s="4" t="str">
        <f>IFERROR(__xludf.DUMMYFUNCTION("""COMPUTED_VALUE"""),"")</f>
        <v/>
      </c>
      <c r="J3051" s="4" t="str">
        <f>IFERROR(__xludf.DUMMYFUNCTION("""COMPUTED_VALUE"""),"")</f>
        <v/>
      </c>
      <c r="K3051" s="4" t="str">
        <f>IFERROR(__xludf.DUMMYFUNCTION("""COMPUTED_VALUE"""),"")</f>
        <v/>
      </c>
      <c r="L3051" s="4" t="str">
        <f>IFERROR(__xludf.DUMMYFUNCTION("""COMPUTED_VALUE"""),"")</f>
        <v/>
      </c>
      <c r="M3051" s="1" t="str">
        <f>IFERROR(__xludf.DUMMYFUNCTION("""COMPUTED_VALUE"""),"RFID")</f>
        <v>RFID</v>
      </c>
      <c r="N3051" s="5" t="str">
        <f>IFERROR(__xludf.DUMMYFUNCTION("""COMPUTED_VALUE"""),"")</f>
        <v/>
      </c>
      <c r="O3051" s="5" t="str">
        <f>IFERROR(__xludf.DUMMYFUNCTION("""COMPUTED_VALUE"""),"")</f>
        <v/>
      </c>
      <c r="P3051" s="5" t="str">
        <f>IFERROR(__xludf.DUMMYFUNCTION("""COMPUTED_VALUE"""),"")</f>
        <v/>
      </c>
      <c r="Q3051" s="5" t="str">
        <f>IFERROR(__xludf.DUMMYFUNCTION("""COMPUTED_VALUE"""),"")</f>
        <v/>
      </c>
      <c r="R3051" s="4" t="str">
        <f>IFERROR(__xludf.DUMMYFUNCTION("""COMPUTED_VALUE"""),"")</f>
        <v/>
      </c>
      <c r="S3051" s="1" t="b">
        <f>IFERROR(__xludf.DUMMYFUNCTION("""COMPUTED_VALUE"""),FALSE)</f>
        <v>0</v>
      </c>
      <c r="T3051" s="1" t="b">
        <f>IFERROR(__xludf.DUMMYFUNCTION("""COMPUTED_VALUE"""),FALSE)</f>
        <v>0</v>
      </c>
      <c r="U3051" s="1" t="str">
        <f>IFERROR(__xludf.DUMMYFUNCTION("""COMPUTED_VALUE"""),"")</f>
        <v/>
      </c>
      <c r="V3051" s="1" t="str">
        <f>IFERROR(__xludf.DUMMYFUNCTION("""COMPUTED_VALUE"""),"")</f>
        <v/>
      </c>
      <c r="W3051" s="1" t="str">
        <f>IFERROR(__xludf.DUMMYFUNCTION("""COMPUTED_VALUE"""),"")</f>
        <v/>
      </c>
      <c r="X3051" s="1" t="str">
        <f>IFERROR(__xludf.DUMMYFUNCTION("""COMPUTED_VALUE"""),"")</f>
        <v/>
      </c>
      <c r="Y3051" s="2"/>
      <c r="Z3051" s="2" t="str">
        <f>IFERROR(__xludf.DUMMYFUNCTION("""COMPUTED_VALUE"""),"")</f>
        <v/>
      </c>
    </row>
    <row r="3052">
      <c r="A3052" s="1" t="str">
        <f>IFERROR(__xludf.DUMMYFUNCTION("""COMPUTED_VALUE"""),"")</f>
        <v/>
      </c>
      <c r="B3052" s="1"/>
      <c r="C3052" s="2"/>
      <c r="D3052" s="2"/>
      <c r="E3052" s="1"/>
      <c r="F3052" s="1"/>
      <c r="G3052" s="4" t="str">
        <f>IFERROR(__xludf.DUMMYFUNCTION("""COMPUTED_VALUE"""),"")</f>
        <v/>
      </c>
      <c r="H3052" s="4" t="str">
        <f>IFERROR(__xludf.DUMMYFUNCTION("""COMPUTED_VALUE"""),"")</f>
        <v/>
      </c>
      <c r="I3052" s="4" t="str">
        <f>IFERROR(__xludf.DUMMYFUNCTION("""COMPUTED_VALUE"""),"")</f>
        <v/>
      </c>
      <c r="J3052" s="4" t="str">
        <f>IFERROR(__xludf.DUMMYFUNCTION("""COMPUTED_VALUE"""),"")</f>
        <v/>
      </c>
      <c r="K3052" s="4" t="str">
        <f>IFERROR(__xludf.DUMMYFUNCTION("""COMPUTED_VALUE"""),"")</f>
        <v/>
      </c>
      <c r="L3052" s="4" t="str">
        <f>IFERROR(__xludf.DUMMYFUNCTION("""COMPUTED_VALUE"""),"")</f>
        <v/>
      </c>
      <c r="M3052" s="1" t="str">
        <f>IFERROR(__xludf.DUMMYFUNCTION("""COMPUTED_VALUE"""),"RFID")</f>
        <v>RFID</v>
      </c>
      <c r="N3052" s="5" t="str">
        <f>IFERROR(__xludf.DUMMYFUNCTION("""COMPUTED_VALUE"""),"")</f>
        <v/>
      </c>
      <c r="O3052" s="5" t="str">
        <f>IFERROR(__xludf.DUMMYFUNCTION("""COMPUTED_VALUE"""),"")</f>
        <v/>
      </c>
      <c r="P3052" s="5" t="str">
        <f>IFERROR(__xludf.DUMMYFUNCTION("""COMPUTED_VALUE"""),"")</f>
        <v/>
      </c>
      <c r="Q3052" s="5" t="str">
        <f>IFERROR(__xludf.DUMMYFUNCTION("""COMPUTED_VALUE"""),"")</f>
        <v/>
      </c>
      <c r="R3052" s="4" t="str">
        <f>IFERROR(__xludf.DUMMYFUNCTION("""COMPUTED_VALUE"""),"")</f>
        <v/>
      </c>
      <c r="S3052" s="1" t="b">
        <f>IFERROR(__xludf.DUMMYFUNCTION("""COMPUTED_VALUE"""),FALSE)</f>
        <v>0</v>
      </c>
      <c r="T3052" s="1" t="b">
        <f>IFERROR(__xludf.DUMMYFUNCTION("""COMPUTED_VALUE"""),FALSE)</f>
        <v>0</v>
      </c>
      <c r="U3052" s="1" t="str">
        <f>IFERROR(__xludf.DUMMYFUNCTION("""COMPUTED_VALUE"""),"")</f>
        <v/>
      </c>
      <c r="V3052" s="1" t="str">
        <f>IFERROR(__xludf.DUMMYFUNCTION("""COMPUTED_VALUE"""),"")</f>
        <v/>
      </c>
      <c r="W3052" s="1" t="str">
        <f>IFERROR(__xludf.DUMMYFUNCTION("""COMPUTED_VALUE"""),"")</f>
        <v/>
      </c>
      <c r="X3052" s="1" t="str">
        <f>IFERROR(__xludf.DUMMYFUNCTION("""COMPUTED_VALUE"""),"")</f>
        <v/>
      </c>
      <c r="Y3052" s="2"/>
      <c r="Z3052" s="2" t="str">
        <f>IFERROR(__xludf.DUMMYFUNCTION("""COMPUTED_VALUE"""),"")</f>
        <v/>
      </c>
    </row>
    <row r="3053">
      <c r="A3053" s="1" t="str">
        <f>IFERROR(__xludf.DUMMYFUNCTION("""COMPUTED_VALUE"""),"")</f>
        <v/>
      </c>
      <c r="B3053" s="1"/>
      <c r="C3053" s="2"/>
      <c r="D3053" s="2"/>
      <c r="E3053" s="1"/>
      <c r="F3053" s="1"/>
      <c r="G3053" s="4" t="str">
        <f>IFERROR(__xludf.DUMMYFUNCTION("""COMPUTED_VALUE"""),"")</f>
        <v/>
      </c>
      <c r="H3053" s="4" t="str">
        <f>IFERROR(__xludf.DUMMYFUNCTION("""COMPUTED_VALUE"""),"")</f>
        <v/>
      </c>
      <c r="I3053" s="4" t="str">
        <f>IFERROR(__xludf.DUMMYFUNCTION("""COMPUTED_VALUE"""),"")</f>
        <v/>
      </c>
      <c r="J3053" s="4" t="str">
        <f>IFERROR(__xludf.DUMMYFUNCTION("""COMPUTED_VALUE"""),"")</f>
        <v/>
      </c>
      <c r="K3053" s="4" t="str">
        <f>IFERROR(__xludf.DUMMYFUNCTION("""COMPUTED_VALUE"""),"")</f>
        <v/>
      </c>
      <c r="L3053" s="4" t="str">
        <f>IFERROR(__xludf.DUMMYFUNCTION("""COMPUTED_VALUE"""),"")</f>
        <v/>
      </c>
      <c r="M3053" s="1" t="str">
        <f>IFERROR(__xludf.DUMMYFUNCTION("""COMPUTED_VALUE"""),"RFID")</f>
        <v>RFID</v>
      </c>
      <c r="N3053" s="5" t="str">
        <f>IFERROR(__xludf.DUMMYFUNCTION("""COMPUTED_VALUE"""),"")</f>
        <v/>
      </c>
      <c r="O3053" s="5" t="str">
        <f>IFERROR(__xludf.DUMMYFUNCTION("""COMPUTED_VALUE"""),"")</f>
        <v/>
      </c>
      <c r="P3053" s="5" t="str">
        <f>IFERROR(__xludf.DUMMYFUNCTION("""COMPUTED_VALUE"""),"")</f>
        <v/>
      </c>
      <c r="Q3053" s="5" t="str">
        <f>IFERROR(__xludf.DUMMYFUNCTION("""COMPUTED_VALUE"""),"")</f>
        <v/>
      </c>
      <c r="R3053" s="4" t="str">
        <f>IFERROR(__xludf.DUMMYFUNCTION("""COMPUTED_VALUE"""),"")</f>
        <v/>
      </c>
      <c r="S3053" s="1" t="b">
        <f>IFERROR(__xludf.DUMMYFUNCTION("""COMPUTED_VALUE"""),FALSE)</f>
        <v>0</v>
      </c>
      <c r="T3053" s="1" t="b">
        <f>IFERROR(__xludf.DUMMYFUNCTION("""COMPUTED_VALUE"""),FALSE)</f>
        <v>0</v>
      </c>
      <c r="U3053" s="1" t="str">
        <f>IFERROR(__xludf.DUMMYFUNCTION("""COMPUTED_VALUE"""),"")</f>
        <v/>
      </c>
      <c r="V3053" s="1" t="str">
        <f>IFERROR(__xludf.DUMMYFUNCTION("""COMPUTED_VALUE"""),"")</f>
        <v/>
      </c>
      <c r="W3053" s="1" t="str">
        <f>IFERROR(__xludf.DUMMYFUNCTION("""COMPUTED_VALUE"""),"")</f>
        <v/>
      </c>
      <c r="X3053" s="1" t="str">
        <f>IFERROR(__xludf.DUMMYFUNCTION("""COMPUTED_VALUE"""),"")</f>
        <v/>
      </c>
      <c r="Y3053" s="2"/>
      <c r="Z3053" s="2" t="str">
        <f>IFERROR(__xludf.DUMMYFUNCTION("""COMPUTED_VALUE"""),"")</f>
        <v/>
      </c>
    </row>
    <row r="3054">
      <c r="A3054" s="1" t="str">
        <f>IFERROR(__xludf.DUMMYFUNCTION("""COMPUTED_VALUE"""),"")</f>
        <v/>
      </c>
      <c r="B3054" s="1"/>
      <c r="C3054" s="2"/>
      <c r="D3054" s="2"/>
      <c r="E3054" s="1"/>
      <c r="F3054" s="1"/>
      <c r="G3054" s="4" t="str">
        <f>IFERROR(__xludf.DUMMYFUNCTION("""COMPUTED_VALUE"""),"")</f>
        <v/>
      </c>
      <c r="H3054" s="4" t="str">
        <f>IFERROR(__xludf.DUMMYFUNCTION("""COMPUTED_VALUE"""),"")</f>
        <v/>
      </c>
      <c r="I3054" s="4" t="str">
        <f>IFERROR(__xludf.DUMMYFUNCTION("""COMPUTED_VALUE"""),"")</f>
        <v/>
      </c>
      <c r="J3054" s="4" t="str">
        <f>IFERROR(__xludf.DUMMYFUNCTION("""COMPUTED_VALUE"""),"")</f>
        <v/>
      </c>
      <c r="K3054" s="4" t="str">
        <f>IFERROR(__xludf.DUMMYFUNCTION("""COMPUTED_VALUE"""),"")</f>
        <v/>
      </c>
      <c r="L3054" s="4" t="str">
        <f>IFERROR(__xludf.DUMMYFUNCTION("""COMPUTED_VALUE"""),"")</f>
        <v/>
      </c>
      <c r="M3054" s="1" t="str">
        <f>IFERROR(__xludf.DUMMYFUNCTION("""COMPUTED_VALUE"""),"RFID")</f>
        <v>RFID</v>
      </c>
      <c r="N3054" s="5" t="str">
        <f>IFERROR(__xludf.DUMMYFUNCTION("""COMPUTED_VALUE"""),"")</f>
        <v/>
      </c>
      <c r="O3054" s="5" t="str">
        <f>IFERROR(__xludf.DUMMYFUNCTION("""COMPUTED_VALUE"""),"")</f>
        <v/>
      </c>
      <c r="P3054" s="5" t="str">
        <f>IFERROR(__xludf.DUMMYFUNCTION("""COMPUTED_VALUE"""),"")</f>
        <v/>
      </c>
      <c r="Q3054" s="5" t="str">
        <f>IFERROR(__xludf.DUMMYFUNCTION("""COMPUTED_VALUE"""),"")</f>
        <v/>
      </c>
      <c r="R3054" s="4" t="str">
        <f>IFERROR(__xludf.DUMMYFUNCTION("""COMPUTED_VALUE"""),"")</f>
        <v/>
      </c>
      <c r="S3054" s="1" t="b">
        <f>IFERROR(__xludf.DUMMYFUNCTION("""COMPUTED_VALUE"""),FALSE)</f>
        <v>0</v>
      </c>
      <c r="T3054" s="1" t="b">
        <f>IFERROR(__xludf.DUMMYFUNCTION("""COMPUTED_VALUE"""),FALSE)</f>
        <v>0</v>
      </c>
      <c r="U3054" s="1" t="str">
        <f>IFERROR(__xludf.DUMMYFUNCTION("""COMPUTED_VALUE"""),"")</f>
        <v/>
      </c>
      <c r="V3054" s="1" t="str">
        <f>IFERROR(__xludf.DUMMYFUNCTION("""COMPUTED_VALUE"""),"")</f>
        <v/>
      </c>
      <c r="W3054" s="1" t="str">
        <f>IFERROR(__xludf.DUMMYFUNCTION("""COMPUTED_VALUE"""),"")</f>
        <v/>
      </c>
      <c r="X3054" s="1" t="str">
        <f>IFERROR(__xludf.DUMMYFUNCTION("""COMPUTED_VALUE"""),"")</f>
        <v/>
      </c>
      <c r="Y3054" s="2"/>
      <c r="Z3054" s="2" t="str">
        <f>IFERROR(__xludf.DUMMYFUNCTION("""COMPUTED_VALUE"""),"")</f>
        <v/>
      </c>
    </row>
    <row r="3055">
      <c r="A3055" s="1" t="str">
        <f>IFERROR(__xludf.DUMMYFUNCTION("""COMPUTED_VALUE"""),"")</f>
        <v/>
      </c>
      <c r="B3055" s="1"/>
      <c r="C3055" s="2"/>
      <c r="D3055" s="2"/>
      <c r="E3055" s="1"/>
      <c r="F3055" s="1"/>
      <c r="G3055" s="4" t="str">
        <f>IFERROR(__xludf.DUMMYFUNCTION("""COMPUTED_VALUE"""),"")</f>
        <v/>
      </c>
      <c r="H3055" s="4" t="str">
        <f>IFERROR(__xludf.DUMMYFUNCTION("""COMPUTED_VALUE"""),"")</f>
        <v/>
      </c>
      <c r="I3055" s="4" t="str">
        <f>IFERROR(__xludf.DUMMYFUNCTION("""COMPUTED_VALUE"""),"")</f>
        <v/>
      </c>
      <c r="J3055" s="4" t="str">
        <f>IFERROR(__xludf.DUMMYFUNCTION("""COMPUTED_VALUE"""),"")</f>
        <v/>
      </c>
      <c r="K3055" s="4" t="str">
        <f>IFERROR(__xludf.DUMMYFUNCTION("""COMPUTED_VALUE"""),"")</f>
        <v/>
      </c>
      <c r="L3055" s="4" t="str">
        <f>IFERROR(__xludf.DUMMYFUNCTION("""COMPUTED_VALUE"""),"")</f>
        <v/>
      </c>
      <c r="M3055" s="1" t="str">
        <f>IFERROR(__xludf.DUMMYFUNCTION("""COMPUTED_VALUE"""),"RFID")</f>
        <v>RFID</v>
      </c>
      <c r="N3055" s="5" t="str">
        <f>IFERROR(__xludf.DUMMYFUNCTION("""COMPUTED_VALUE"""),"")</f>
        <v/>
      </c>
      <c r="O3055" s="5" t="str">
        <f>IFERROR(__xludf.DUMMYFUNCTION("""COMPUTED_VALUE"""),"")</f>
        <v/>
      </c>
      <c r="P3055" s="5" t="str">
        <f>IFERROR(__xludf.DUMMYFUNCTION("""COMPUTED_VALUE"""),"")</f>
        <v/>
      </c>
      <c r="Q3055" s="5" t="str">
        <f>IFERROR(__xludf.DUMMYFUNCTION("""COMPUTED_VALUE"""),"")</f>
        <v/>
      </c>
      <c r="R3055" s="4" t="str">
        <f>IFERROR(__xludf.DUMMYFUNCTION("""COMPUTED_VALUE"""),"")</f>
        <v/>
      </c>
      <c r="S3055" s="1" t="b">
        <f>IFERROR(__xludf.DUMMYFUNCTION("""COMPUTED_VALUE"""),FALSE)</f>
        <v>0</v>
      </c>
      <c r="T3055" s="1" t="b">
        <f>IFERROR(__xludf.DUMMYFUNCTION("""COMPUTED_VALUE"""),FALSE)</f>
        <v>0</v>
      </c>
      <c r="U3055" s="1" t="str">
        <f>IFERROR(__xludf.DUMMYFUNCTION("""COMPUTED_VALUE"""),"")</f>
        <v/>
      </c>
      <c r="V3055" s="1" t="str">
        <f>IFERROR(__xludf.DUMMYFUNCTION("""COMPUTED_VALUE"""),"")</f>
        <v/>
      </c>
      <c r="W3055" s="1" t="str">
        <f>IFERROR(__xludf.DUMMYFUNCTION("""COMPUTED_VALUE"""),"")</f>
        <v/>
      </c>
      <c r="X3055" s="1" t="str">
        <f>IFERROR(__xludf.DUMMYFUNCTION("""COMPUTED_VALUE"""),"")</f>
        <v/>
      </c>
      <c r="Y3055" s="2"/>
      <c r="Z3055" s="2" t="str">
        <f>IFERROR(__xludf.DUMMYFUNCTION("""COMPUTED_VALUE"""),"")</f>
        <v/>
      </c>
    </row>
    <row r="3056">
      <c r="A3056" s="1" t="str">
        <f>IFERROR(__xludf.DUMMYFUNCTION("""COMPUTED_VALUE"""),"")</f>
        <v/>
      </c>
      <c r="B3056" s="1"/>
      <c r="C3056" s="2"/>
      <c r="D3056" s="2"/>
      <c r="E3056" s="1"/>
      <c r="F3056" s="1"/>
      <c r="G3056" s="4" t="str">
        <f>IFERROR(__xludf.DUMMYFUNCTION("""COMPUTED_VALUE"""),"")</f>
        <v/>
      </c>
      <c r="H3056" s="4" t="str">
        <f>IFERROR(__xludf.DUMMYFUNCTION("""COMPUTED_VALUE"""),"")</f>
        <v/>
      </c>
      <c r="I3056" s="4" t="str">
        <f>IFERROR(__xludf.DUMMYFUNCTION("""COMPUTED_VALUE"""),"")</f>
        <v/>
      </c>
      <c r="J3056" s="4" t="str">
        <f>IFERROR(__xludf.DUMMYFUNCTION("""COMPUTED_VALUE"""),"")</f>
        <v/>
      </c>
      <c r="K3056" s="4" t="str">
        <f>IFERROR(__xludf.DUMMYFUNCTION("""COMPUTED_VALUE"""),"")</f>
        <v/>
      </c>
      <c r="L3056" s="4" t="str">
        <f>IFERROR(__xludf.DUMMYFUNCTION("""COMPUTED_VALUE"""),"")</f>
        <v/>
      </c>
      <c r="M3056" s="1" t="str">
        <f>IFERROR(__xludf.DUMMYFUNCTION("""COMPUTED_VALUE"""),"RFID")</f>
        <v>RFID</v>
      </c>
      <c r="N3056" s="5" t="str">
        <f>IFERROR(__xludf.DUMMYFUNCTION("""COMPUTED_VALUE"""),"")</f>
        <v/>
      </c>
      <c r="O3056" s="5" t="str">
        <f>IFERROR(__xludf.DUMMYFUNCTION("""COMPUTED_VALUE"""),"")</f>
        <v/>
      </c>
      <c r="P3056" s="5" t="str">
        <f>IFERROR(__xludf.DUMMYFUNCTION("""COMPUTED_VALUE"""),"")</f>
        <v/>
      </c>
      <c r="Q3056" s="5" t="str">
        <f>IFERROR(__xludf.DUMMYFUNCTION("""COMPUTED_VALUE"""),"")</f>
        <v/>
      </c>
      <c r="R3056" s="4" t="str">
        <f>IFERROR(__xludf.DUMMYFUNCTION("""COMPUTED_VALUE"""),"")</f>
        <v/>
      </c>
      <c r="S3056" s="1" t="b">
        <f>IFERROR(__xludf.DUMMYFUNCTION("""COMPUTED_VALUE"""),FALSE)</f>
        <v>0</v>
      </c>
      <c r="T3056" s="1" t="b">
        <f>IFERROR(__xludf.DUMMYFUNCTION("""COMPUTED_VALUE"""),FALSE)</f>
        <v>0</v>
      </c>
      <c r="U3056" s="1" t="str">
        <f>IFERROR(__xludf.DUMMYFUNCTION("""COMPUTED_VALUE"""),"")</f>
        <v/>
      </c>
      <c r="V3056" s="1" t="str">
        <f>IFERROR(__xludf.DUMMYFUNCTION("""COMPUTED_VALUE"""),"")</f>
        <v/>
      </c>
      <c r="W3056" s="1" t="str">
        <f>IFERROR(__xludf.DUMMYFUNCTION("""COMPUTED_VALUE"""),"")</f>
        <v/>
      </c>
      <c r="X3056" s="1" t="str">
        <f>IFERROR(__xludf.DUMMYFUNCTION("""COMPUTED_VALUE"""),"")</f>
        <v/>
      </c>
      <c r="Y3056" s="2"/>
      <c r="Z3056" s="2" t="str">
        <f>IFERROR(__xludf.DUMMYFUNCTION("""COMPUTED_VALUE"""),"")</f>
        <v/>
      </c>
    </row>
    <row r="3057">
      <c r="A3057" s="1" t="str">
        <f>IFERROR(__xludf.DUMMYFUNCTION("""COMPUTED_VALUE"""),"")</f>
        <v/>
      </c>
      <c r="B3057" s="1"/>
      <c r="C3057" s="2"/>
      <c r="D3057" s="2"/>
      <c r="E3057" s="1"/>
      <c r="F3057" s="1"/>
      <c r="G3057" s="4" t="str">
        <f>IFERROR(__xludf.DUMMYFUNCTION("""COMPUTED_VALUE"""),"")</f>
        <v/>
      </c>
      <c r="H3057" s="4" t="str">
        <f>IFERROR(__xludf.DUMMYFUNCTION("""COMPUTED_VALUE"""),"")</f>
        <v/>
      </c>
      <c r="I3057" s="4" t="str">
        <f>IFERROR(__xludf.DUMMYFUNCTION("""COMPUTED_VALUE"""),"")</f>
        <v/>
      </c>
      <c r="J3057" s="4" t="str">
        <f>IFERROR(__xludf.DUMMYFUNCTION("""COMPUTED_VALUE"""),"")</f>
        <v/>
      </c>
      <c r="K3057" s="4" t="str">
        <f>IFERROR(__xludf.DUMMYFUNCTION("""COMPUTED_VALUE"""),"")</f>
        <v/>
      </c>
      <c r="L3057" s="4" t="str">
        <f>IFERROR(__xludf.DUMMYFUNCTION("""COMPUTED_VALUE"""),"")</f>
        <v/>
      </c>
      <c r="M3057" s="1" t="str">
        <f>IFERROR(__xludf.DUMMYFUNCTION("""COMPUTED_VALUE"""),"RFID")</f>
        <v>RFID</v>
      </c>
      <c r="N3057" s="5" t="str">
        <f>IFERROR(__xludf.DUMMYFUNCTION("""COMPUTED_VALUE"""),"")</f>
        <v/>
      </c>
      <c r="O3057" s="5" t="str">
        <f>IFERROR(__xludf.DUMMYFUNCTION("""COMPUTED_VALUE"""),"")</f>
        <v/>
      </c>
      <c r="P3057" s="5" t="str">
        <f>IFERROR(__xludf.DUMMYFUNCTION("""COMPUTED_VALUE"""),"")</f>
        <v/>
      </c>
      <c r="Q3057" s="5" t="str">
        <f>IFERROR(__xludf.DUMMYFUNCTION("""COMPUTED_VALUE"""),"")</f>
        <v/>
      </c>
      <c r="R3057" s="4" t="str">
        <f>IFERROR(__xludf.DUMMYFUNCTION("""COMPUTED_VALUE"""),"")</f>
        <v/>
      </c>
      <c r="S3057" s="1" t="b">
        <f>IFERROR(__xludf.DUMMYFUNCTION("""COMPUTED_VALUE"""),FALSE)</f>
        <v>0</v>
      </c>
      <c r="T3057" s="1" t="b">
        <f>IFERROR(__xludf.DUMMYFUNCTION("""COMPUTED_VALUE"""),FALSE)</f>
        <v>0</v>
      </c>
      <c r="U3057" s="1" t="str">
        <f>IFERROR(__xludf.DUMMYFUNCTION("""COMPUTED_VALUE"""),"")</f>
        <v/>
      </c>
      <c r="V3057" s="1" t="str">
        <f>IFERROR(__xludf.DUMMYFUNCTION("""COMPUTED_VALUE"""),"")</f>
        <v/>
      </c>
      <c r="W3057" s="1" t="str">
        <f>IFERROR(__xludf.DUMMYFUNCTION("""COMPUTED_VALUE"""),"")</f>
        <v/>
      </c>
      <c r="X3057" s="1" t="str">
        <f>IFERROR(__xludf.DUMMYFUNCTION("""COMPUTED_VALUE"""),"")</f>
        <v/>
      </c>
      <c r="Y3057" s="2"/>
      <c r="Z3057" s="2" t="str">
        <f>IFERROR(__xludf.DUMMYFUNCTION("""COMPUTED_VALUE"""),"")</f>
        <v/>
      </c>
    </row>
    <row r="3058">
      <c r="A3058" s="1" t="str">
        <f>IFERROR(__xludf.DUMMYFUNCTION("""COMPUTED_VALUE"""),"")</f>
        <v/>
      </c>
      <c r="B3058" s="1"/>
      <c r="C3058" s="2"/>
      <c r="D3058" s="2"/>
      <c r="E3058" s="1"/>
      <c r="F3058" s="1"/>
      <c r="G3058" s="4" t="str">
        <f>IFERROR(__xludf.DUMMYFUNCTION("""COMPUTED_VALUE"""),"")</f>
        <v/>
      </c>
      <c r="H3058" s="4" t="str">
        <f>IFERROR(__xludf.DUMMYFUNCTION("""COMPUTED_VALUE"""),"")</f>
        <v/>
      </c>
      <c r="I3058" s="4" t="str">
        <f>IFERROR(__xludf.DUMMYFUNCTION("""COMPUTED_VALUE"""),"")</f>
        <v/>
      </c>
      <c r="J3058" s="4" t="str">
        <f>IFERROR(__xludf.DUMMYFUNCTION("""COMPUTED_VALUE"""),"")</f>
        <v/>
      </c>
      <c r="K3058" s="4" t="str">
        <f>IFERROR(__xludf.DUMMYFUNCTION("""COMPUTED_VALUE"""),"")</f>
        <v/>
      </c>
      <c r="L3058" s="4" t="str">
        <f>IFERROR(__xludf.DUMMYFUNCTION("""COMPUTED_VALUE"""),"")</f>
        <v/>
      </c>
      <c r="M3058" s="1" t="str">
        <f>IFERROR(__xludf.DUMMYFUNCTION("""COMPUTED_VALUE"""),"RFID")</f>
        <v>RFID</v>
      </c>
      <c r="N3058" s="5" t="str">
        <f>IFERROR(__xludf.DUMMYFUNCTION("""COMPUTED_VALUE"""),"")</f>
        <v/>
      </c>
      <c r="O3058" s="5" t="str">
        <f>IFERROR(__xludf.DUMMYFUNCTION("""COMPUTED_VALUE"""),"")</f>
        <v/>
      </c>
      <c r="P3058" s="5" t="str">
        <f>IFERROR(__xludf.DUMMYFUNCTION("""COMPUTED_VALUE"""),"")</f>
        <v/>
      </c>
      <c r="Q3058" s="5" t="str">
        <f>IFERROR(__xludf.DUMMYFUNCTION("""COMPUTED_VALUE"""),"")</f>
        <v/>
      </c>
      <c r="R3058" s="4" t="str">
        <f>IFERROR(__xludf.DUMMYFUNCTION("""COMPUTED_VALUE"""),"")</f>
        <v/>
      </c>
      <c r="S3058" s="1" t="b">
        <f>IFERROR(__xludf.DUMMYFUNCTION("""COMPUTED_VALUE"""),FALSE)</f>
        <v>0</v>
      </c>
      <c r="T3058" s="1" t="b">
        <f>IFERROR(__xludf.DUMMYFUNCTION("""COMPUTED_VALUE"""),FALSE)</f>
        <v>0</v>
      </c>
      <c r="U3058" s="1" t="str">
        <f>IFERROR(__xludf.DUMMYFUNCTION("""COMPUTED_VALUE"""),"")</f>
        <v/>
      </c>
      <c r="V3058" s="1" t="str">
        <f>IFERROR(__xludf.DUMMYFUNCTION("""COMPUTED_VALUE"""),"")</f>
        <v/>
      </c>
      <c r="W3058" s="1" t="str">
        <f>IFERROR(__xludf.DUMMYFUNCTION("""COMPUTED_VALUE"""),"")</f>
        <v/>
      </c>
      <c r="X3058" s="1" t="str">
        <f>IFERROR(__xludf.DUMMYFUNCTION("""COMPUTED_VALUE"""),"")</f>
        <v/>
      </c>
      <c r="Y3058" s="2"/>
      <c r="Z3058" s="2" t="str">
        <f>IFERROR(__xludf.DUMMYFUNCTION("""COMPUTED_VALUE"""),"")</f>
        <v/>
      </c>
    </row>
    <row r="3059">
      <c r="A3059" s="1" t="str">
        <f>IFERROR(__xludf.DUMMYFUNCTION("""COMPUTED_VALUE"""),"")</f>
        <v/>
      </c>
      <c r="B3059" s="1"/>
      <c r="C3059" s="2"/>
      <c r="D3059" s="2"/>
      <c r="E3059" s="1"/>
      <c r="F3059" s="1"/>
      <c r="G3059" s="4" t="str">
        <f>IFERROR(__xludf.DUMMYFUNCTION("""COMPUTED_VALUE"""),"")</f>
        <v/>
      </c>
      <c r="H3059" s="4" t="str">
        <f>IFERROR(__xludf.DUMMYFUNCTION("""COMPUTED_VALUE"""),"")</f>
        <v/>
      </c>
      <c r="I3059" s="4" t="str">
        <f>IFERROR(__xludf.DUMMYFUNCTION("""COMPUTED_VALUE"""),"")</f>
        <v/>
      </c>
      <c r="J3059" s="4" t="str">
        <f>IFERROR(__xludf.DUMMYFUNCTION("""COMPUTED_VALUE"""),"")</f>
        <v/>
      </c>
      <c r="K3059" s="4" t="str">
        <f>IFERROR(__xludf.DUMMYFUNCTION("""COMPUTED_VALUE"""),"")</f>
        <v/>
      </c>
      <c r="L3059" s="4" t="str">
        <f>IFERROR(__xludf.DUMMYFUNCTION("""COMPUTED_VALUE"""),"")</f>
        <v/>
      </c>
      <c r="M3059" s="1" t="str">
        <f>IFERROR(__xludf.DUMMYFUNCTION("""COMPUTED_VALUE"""),"RFID")</f>
        <v>RFID</v>
      </c>
      <c r="N3059" s="5" t="str">
        <f>IFERROR(__xludf.DUMMYFUNCTION("""COMPUTED_VALUE"""),"")</f>
        <v/>
      </c>
      <c r="O3059" s="5" t="str">
        <f>IFERROR(__xludf.DUMMYFUNCTION("""COMPUTED_VALUE"""),"")</f>
        <v/>
      </c>
      <c r="P3059" s="5" t="str">
        <f>IFERROR(__xludf.DUMMYFUNCTION("""COMPUTED_VALUE"""),"")</f>
        <v/>
      </c>
      <c r="Q3059" s="5" t="str">
        <f>IFERROR(__xludf.DUMMYFUNCTION("""COMPUTED_VALUE"""),"")</f>
        <v/>
      </c>
      <c r="R3059" s="4" t="str">
        <f>IFERROR(__xludf.DUMMYFUNCTION("""COMPUTED_VALUE"""),"")</f>
        <v/>
      </c>
      <c r="S3059" s="1" t="b">
        <f>IFERROR(__xludf.DUMMYFUNCTION("""COMPUTED_VALUE"""),FALSE)</f>
        <v>0</v>
      </c>
      <c r="T3059" s="1" t="b">
        <f>IFERROR(__xludf.DUMMYFUNCTION("""COMPUTED_VALUE"""),FALSE)</f>
        <v>0</v>
      </c>
      <c r="U3059" s="1" t="str">
        <f>IFERROR(__xludf.DUMMYFUNCTION("""COMPUTED_VALUE"""),"")</f>
        <v/>
      </c>
      <c r="V3059" s="1" t="str">
        <f>IFERROR(__xludf.DUMMYFUNCTION("""COMPUTED_VALUE"""),"")</f>
        <v/>
      </c>
      <c r="W3059" s="1" t="str">
        <f>IFERROR(__xludf.DUMMYFUNCTION("""COMPUTED_VALUE"""),"")</f>
        <v/>
      </c>
      <c r="X3059" s="1" t="str">
        <f>IFERROR(__xludf.DUMMYFUNCTION("""COMPUTED_VALUE"""),"")</f>
        <v/>
      </c>
      <c r="Y3059" s="2"/>
      <c r="Z3059" s="2" t="str">
        <f>IFERROR(__xludf.DUMMYFUNCTION("""COMPUTED_VALUE"""),"")</f>
        <v/>
      </c>
    </row>
    <row r="3060">
      <c r="A3060" s="1" t="str">
        <f>IFERROR(__xludf.DUMMYFUNCTION("""COMPUTED_VALUE"""),"")</f>
        <v/>
      </c>
      <c r="B3060" s="1"/>
      <c r="C3060" s="2"/>
      <c r="D3060" s="2"/>
      <c r="E3060" s="1"/>
      <c r="F3060" s="1"/>
      <c r="G3060" s="4" t="str">
        <f>IFERROR(__xludf.DUMMYFUNCTION("""COMPUTED_VALUE"""),"")</f>
        <v/>
      </c>
      <c r="H3060" s="4" t="str">
        <f>IFERROR(__xludf.DUMMYFUNCTION("""COMPUTED_VALUE"""),"")</f>
        <v/>
      </c>
      <c r="I3060" s="4" t="str">
        <f>IFERROR(__xludf.DUMMYFUNCTION("""COMPUTED_VALUE"""),"")</f>
        <v/>
      </c>
      <c r="J3060" s="4" t="str">
        <f>IFERROR(__xludf.DUMMYFUNCTION("""COMPUTED_VALUE"""),"")</f>
        <v/>
      </c>
      <c r="K3060" s="4" t="str">
        <f>IFERROR(__xludf.DUMMYFUNCTION("""COMPUTED_VALUE"""),"")</f>
        <v/>
      </c>
      <c r="L3060" s="4" t="str">
        <f>IFERROR(__xludf.DUMMYFUNCTION("""COMPUTED_VALUE"""),"")</f>
        <v/>
      </c>
      <c r="M3060" s="1" t="str">
        <f>IFERROR(__xludf.DUMMYFUNCTION("""COMPUTED_VALUE"""),"RFID")</f>
        <v>RFID</v>
      </c>
      <c r="N3060" s="5" t="str">
        <f>IFERROR(__xludf.DUMMYFUNCTION("""COMPUTED_VALUE"""),"")</f>
        <v/>
      </c>
      <c r="O3060" s="5" t="str">
        <f>IFERROR(__xludf.DUMMYFUNCTION("""COMPUTED_VALUE"""),"")</f>
        <v/>
      </c>
      <c r="P3060" s="5" t="str">
        <f>IFERROR(__xludf.DUMMYFUNCTION("""COMPUTED_VALUE"""),"")</f>
        <v/>
      </c>
      <c r="Q3060" s="5" t="str">
        <f>IFERROR(__xludf.DUMMYFUNCTION("""COMPUTED_VALUE"""),"")</f>
        <v/>
      </c>
      <c r="R3060" s="4" t="str">
        <f>IFERROR(__xludf.DUMMYFUNCTION("""COMPUTED_VALUE"""),"")</f>
        <v/>
      </c>
      <c r="S3060" s="1" t="b">
        <f>IFERROR(__xludf.DUMMYFUNCTION("""COMPUTED_VALUE"""),FALSE)</f>
        <v>0</v>
      </c>
      <c r="T3060" s="1" t="b">
        <f>IFERROR(__xludf.DUMMYFUNCTION("""COMPUTED_VALUE"""),FALSE)</f>
        <v>0</v>
      </c>
      <c r="U3060" s="1" t="str">
        <f>IFERROR(__xludf.DUMMYFUNCTION("""COMPUTED_VALUE"""),"")</f>
        <v/>
      </c>
      <c r="V3060" s="1" t="str">
        <f>IFERROR(__xludf.DUMMYFUNCTION("""COMPUTED_VALUE"""),"")</f>
        <v/>
      </c>
      <c r="W3060" s="1" t="str">
        <f>IFERROR(__xludf.DUMMYFUNCTION("""COMPUTED_VALUE"""),"")</f>
        <v/>
      </c>
      <c r="X3060" s="1" t="str">
        <f>IFERROR(__xludf.DUMMYFUNCTION("""COMPUTED_VALUE"""),"")</f>
        <v/>
      </c>
      <c r="Y3060" s="2"/>
      <c r="Z3060" s="2" t="str">
        <f>IFERROR(__xludf.DUMMYFUNCTION("""COMPUTED_VALUE"""),"")</f>
        <v/>
      </c>
    </row>
    <row r="3061">
      <c r="A3061" s="1" t="str">
        <f>IFERROR(__xludf.DUMMYFUNCTION("""COMPUTED_VALUE"""),"")</f>
        <v/>
      </c>
      <c r="B3061" s="1"/>
      <c r="C3061" s="2"/>
      <c r="D3061" s="2"/>
      <c r="E3061" s="1"/>
      <c r="F3061" s="1"/>
      <c r="G3061" s="4" t="str">
        <f>IFERROR(__xludf.DUMMYFUNCTION("""COMPUTED_VALUE"""),"")</f>
        <v/>
      </c>
      <c r="H3061" s="4" t="str">
        <f>IFERROR(__xludf.DUMMYFUNCTION("""COMPUTED_VALUE"""),"")</f>
        <v/>
      </c>
      <c r="I3061" s="4" t="str">
        <f>IFERROR(__xludf.DUMMYFUNCTION("""COMPUTED_VALUE"""),"")</f>
        <v/>
      </c>
      <c r="J3061" s="4" t="str">
        <f>IFERROR(__xludf.DUMMYFUNCTION("""COMPUTED_VALUE"""),"")</f>
        <v/>
      </c>
      <c r="K3061" s="4" t="str">
        <f>IFERROR(__xludf.DUMMYFUNCTION("""COMPUTED_VALUE"""),"")</f>
        <v/>
      </c>
      <c r="L3061" s="4" t="str">
        <f>IFERROR(__xludf.DUMMYFUNCTION("""COMPUTED_VALUE"""),"")</f>
        <v/>
      </c>
      <c r="M3061" s="1" t="str">
        <f>IFERROR(__xludf.DUMMYFUNCTION("""COMPUTED_VALUE"""),"RFID")</f>
        <v>RFID</v>
      </c>
      <c r="N3061" s="5" t="str">
        <f>IFERROR(__xludf.DUMMYFUNCTION("""COMPUTED_VALUE"""),"")</f>
        <v/>
      </c>
      <c r="O3061" s="5" t="str">
        <f>IFERROR(__xludf.DUMMYFUNCTION("""COMPUTED_VALUE"""),"")</f>
        <v/>
      </c>
      <c r="P3061" s="5" t="str">
        <f>IFERROR(__xludf.DUMMYFUNCTION("""COMPUTED_VALUE"""),"")</f>
        <v/>
      </c>
      <c r="Q3061" s="5" t="str">
        <f>IFERROR(__xludf.DUMMYFUNCTION("""COMPUTED_VALUE"""),"")</f>
        <v/>
      </c>
      <c r="R3061" s="4" t="str">
        <f>IFERROR(__xludf.DUMMYFUNCTION("""COMPUTED_VALUE"""),"")</f>
        <v/>
      </c>
      <c r="S3061" s="1" t="b">
        <f>IFERROR(__xludf.DUMMYFUNCTION("""COMPUTED_VALUE"""),FALSE)</f>
        <v>0</v>
      </c>
      <c r="T3061" s="1" t="b">
        <f>IFERROR(__xludf.DUMMYFUNCTION("""COMPUTED_VALUE"""),FALSE)</f>
        <v>0</v>
      </c>
      <c r="U3061" s="1" t="str">
        <f>IFERROR(__xludf.DUMMYFUNCTION("""COMPUTED_VALUE"""),"")</f>
        <v/>
      </c>
      <c r="V3061" s="1" t="str">
        <f>IFERROR(__xludf.DUMMYFUNCTION("""COMPUTED_VALUE"""),"")</f>
        <v/>
      </c>
      <c r="W3061" s="1" t="str">
        <f>IFERROR(__xludf.DUMMYFUNCTION("""COMPUTED_VALUE"""),"")</f>
        <v/>
      </c>
      <c r="X3061" s="1" t="str">
        <f>IFERROR(__xludf.DUMMYFUNCTION("""COMPUTED_VALUE"""),"")</f>
        <v/>
      </c>
      <c r="Y3061" s="2"/>
      <c r="Z3061" s="2" t="str">
        <f>IFERROR(__xludf.DUMMYFUNCTION("""COMPUTED_VALUE"""),"")</f>
        <v/>
      </c>
    </row>
    <row r="3062">
      <c r="A3062" s="1" t="str">
        <f>IFERROR(__xludf.DUMMYFUNCTION("""COMPUTED_VALUE"""),"")</f>
        <v/>
      </c>
      <c r="B3062" s="1"/>
      <c r="C3062" s="2"/>
      <c r="D3062" s="2"/>
      <c r="E3062" s="1"/>
      <c r="F3062" s="1"/>
      <c r="G3062" s="4" t="str">
        <f>IFERROR(__xludf.DUMMYFUNCTION("""COMPUTED_VALUE"""),"")</f>
        <v/>
      </c>
      <c r="H3062" s="4" t="str">
        <f>IFERROR(__xludf.DUMMYFUNCTION("""COMPUTED_VALUE"""),"")</f>
        <v/>
      </c>
      <c r="I3062" s="4" t="str">
        <f>IFERROR(__xludf.DUMMYFUNCTION("""COMPUTED_VALUE"""),"")</f>
        <v/>
      </c>
      <c r="J3062" s="4" t="str">
        <f>IFERROR(__xludf.DUMMYFUNCTION("""COMPUTED_VALUE"""),"")</f>
        <v/>
      </c>
      <c r="K3062" s="4" t="str">
        <f>IFERROR(__xludf.DUMMYFUNCTION("""COMPUTED_VALUE"""),"")</f>
        <v/>
      </c>
      <c r="L3062" s="4" t="str">
        <f>IFERROR(__xludf.DUMMYFUNCTION("""COMPUTED_VALUE"""),"")</f>
        <v/>
      </c>
      <c r="M3062" s="1" t="str">
        <f>IFERROR(__xludf.DUMMYFUNCTION("""COMPUTED_VALUE"""),"RFID")</f>
        <v>RFID</v>
      </c>
      <c r="N3062" s="5" t="str">
        <f>IFERROR(__xludf.DUMMYFUNCTION("""COMPUTED_VALUE"""),"")</f>
        <v/>
      </c>
      <c r="O3062" s="5" t="str">
        <f>IFERROR(__xludf.DUMMYFUNCTION("""COMPUTED_VALUE"""),"")</f>
        <v/>
      </c>
      <c r="P3062" s="5" t="str">
        <f>IFERROR(__xludf.DUMMYFUNCTION("""COMPUTED_VALUE"""),"")</f>
        <v/>
      </c>
      <c r="Q3062" s="5" t="str">
        <f>IFERROR(__xludf.DUMMYFUNCTION("""COMPUTED_VALUE"""),"")</f>
        <v/>
      </c>
      <c r="R3062" s="4" t="str">
        <f>IFERROR(__xludf.DUMMYFUNCTION("""COMPUTED_VALUE"""),"")</f>
        <v/>
      </c>
      <c r="S3062" s="1" t="b">
        <f>IFERROR(__xludf.DUMMYFUNCTION("""COMPUTED_VALUE"""),FALSE)</f>
        <v>0</v>
      </c>
      <c r="T3062" s="1" t="b">
        <f>IFERROR(__xludf.DUMMYFUNCTION("""COMPUTED_VALUE"""),FALSE)</f>
        <v>0</v>
      </c>
      <c r="U3062" s="1" t="str">
        <f>IFERROR(__xludf.DUMMYFUNCTION("""COMPUTED_VALUE"""),"")</f>
        <v/>
      </c>
      <c r="V3062" s="1" t="str">
        <f>IFERROR(__xludf.DUMMYFUNCTION("""COMPUTED_VALUE"""),"")</f>
        <v/>
      </c>
      <c r="W3062" s="1" t="str">
        <f>IFERROR(__xludf.DUMMYFUNCTION("""COMPUTED_VALUE"""),"")</f>
        <v/>
      </c>
      <c r="X3062" s="1" t="str">
        <f>IFERROR(__xludf.DUMMYFUNCTION("""COMPUTED_VALUE"""),"")</f>
        <v/>
      </c>
      <c r="Y3062" s="2"/>
      <c r="Z3062" s="2" t="str">
        <f>IFERROR(__xludf.DUMMYFUNCTION("""COMPUTED_VALUE"""),"")</f>
        <v/>
      </c>
    </row>
    <row r="3063">
      <c r="A3063" s="1" t="str">
        <f>IFERROR(__xludf.DUMMYFUNCTION("""COMPUTED_VALUE"""),"")</f>
        <v/>
      </c>
      <c r="B3063" s="1"/>
      <c r="C3063" s="2"/>
      <c r="D3063" s="2"/>
      <c r="E3063" s="1"/>
      <c r="F3063" s="1"/>
      <c r="G3063" s="4" t="str">
        <f>IFERROR(__xludf.DUMMYFUNCTION("""COMPUTED_VALUE"""),"")</f>
        <v/>
      </c>
      <c r="H3063" s="4" t="str">
        <f>IFERROR(__xludf.DUMMYFUNCTION("""COMPUTED_VALUE"""),"")</f>
        <v/>
      </c>
      <c r="I3063" s="4" t="str">
        <f>IFERROR(__xludf.DUMMYFUNCTION("""COMPUTED_VALUE"""),"")</f>
        <v/>
      </c>
      <c r="J3063" s="4" t="str">
        <f>IFERROR(__xludf.DUMMYFUNCTION("""COMPUTED_VALUE"""),"")</f>
        <v/>
      </c>
      <c r="K3063" s="4" t="str">
        <f>IFERROR(__xludf.DUMMYFUNCTION("""COMPUTED_VALUE"""),"")</f>
        <v/>
      </c>
      <c r="L3063" s="4" t="str">
        <f>IFERROR(__xludf.DUMMYFUNCTION("""COMPUTED_VALUE"""),"")</f>
        <v/>
      </c>
      <c r="M3063" s="1" t="str">
        <f>IFERROR(__xludf.DUMMYFUNCTION("""COMPUTED_VALUE"""),"RFID")</f>
        <v>RFID</v>
      </c>
      <c r="N3063" s="5" t="str">
        <f>IFERROR(__xludf.DUMMYFUNCTION("""COMPUTED_VALUE"""),"")</f>
        <v/>
      </c>
      <c r="O3063" s="5" t="str">
        <f>IFERROR(__xludf.DUMMYFUNCTION("""COMPUTED_VALUE"""),"")</f>
        <v/>
      </c>
      <c r="P3063" s="5" t="str">
        <f>IFERROR(__xludf.DUMMYFUNCTION("""COMPUTED_VALUE"""),"")</f>
        <v/>
      </c>
      <c r="Q3063" s="5" t="str">
        <f>IFERROR(__xludf.DUMMYFUNCTION("""COMPUTED_VALUE"""),"")</f>
        <v/>
      </c>
      <c r="R3063" s="4" t="str">
        <f>IFERROR(__xludf.DUMMYFUNCTION("""COMPUTED_VALUE"""),"")</f>
        <v/>
      </c>
      <c r="S3063" s="1" t="b">
        <f>IFERROR(__xludf.DUMMYFUNCTION("""COMPUTED_VALUE"""),FALSE)</f>
        <v>0</v>
      </c>
      <c r="T3063" s="1" t="b">
        <f>IFERROR(__xludf.DUMMYFUNCTION("""COMPUTED_VALUE"""),FALSE)</f>
        <v>0</v>
      </c>
      <c r="U3063" s="1" t="str">
        <f>IFERROR(__xludf.DUMMYFUNCTION("""COMPUTED_VALUE"""),"")</f>
        <v/>
      </c>
      <c r="V3063" s="1" t="str">
        <f>IFERROR(__xludf.DUMMYFUNCTION("""COMPUTED_VALUE"""),"")</f>
        <v/>
      </c>
      <c r="W3063" s="1" t="str">
        <f>IFERROR(__xludf.DUMMYFUNCTION("""COMPUTED_VALUE"""),"")</f>
        <v/>
      </c>
      <c r="X3063" s="1" t="str">
        <f>IFERROR(__xludf.DUMMYFUNCTION("""COMPUTED_VALUE"""),"")</f>
        <v/>
      </c>
      <c r="Y3063" s="2"/>
      <c r="Z3063" s="2" t="str">
        <f>IFERROR(__xludf.DUMMYFUNCTION("""COMPUTED_VALUE"""),"")</f>
        <v/>
      </c>
    </row>
    <row r="3064">
      <c r="A3064" s="1" t="str">
        <f>IFERROR(__xludf.DUMMYFUNCTION("""COMPUTED_VALUE"""),"")</f>
        <v/>
      </c>
      <c r="B3064" s="1"/>
      <c r="C3064" s="2"/>
      <c r="D3064" s="2"/>
      <c r="E3064" s="1"/>
      <c r="F3064" s="1"/>
      <c r="G3064" s="4" t="str">
        <f>IFERROR(__xludf.DUMMYFUNCTION("""COMPUTED_VALUE"""),"")</f>
        <v/>
      </c>
      <c r="H3064" s="4" t="str">
        <f>IFERROR(__xludf.DUMMYFUNCTION("""COMPUTED_VALUE"""),"")</f>
        <v/>
      </c>
      <c r="I3064" s="4" t="str">
        <f>IFERROR(__xludf.DUMMYFUNCTION("""COMPUTED_VALUE"""),"")</f>
        <v/>
      </c>
      <c r="J3064" s="4" t="str">
        <f>IFERROR(__xludf.DUMMYFUNCTION("""COMPUTED_VALUE"""),"")</f>
        <v/>
      </c>
      <c r="K3064" s="4" t="str">
        <f>IFERROR(__xludf.DUMMYFUNCTION("""COMPUTED_VALUE"""),"")</f>
        <v/>
      </c>
      <c r="L3064" s="4" t="str">
        <f>IFERROR(__xludf.DUMMYFUNCTION("""COMPUTED_VALUE"""),"")</f>
        <v/>
      </c>
      <c r="M3064" s="1" t="str">
        <f>IFERROR(__xludf.DUMMYFUNCTION("""COMPUTED_VALUE"""),"RFID")</f>
        <v>RFID</v>
      </c>
      <c r="N3064" s="5" t="str">
        <f>IFERROR(__xludf.DUMMYFUNCTION("""COMPUTED_VALUE"""),"")</f>
        <v/>
      </c>
      <c r="O3064" s="5" t="str">
        <f>IFERROR(__xludf.DUMMYFUNCTION("""COMPUTED_VALUE"""),"")</f>
        <v/>
      </c>
      <c r="P3064" s="5" t="str">
        <f>IFERROR(__xludf.DUMMYFUNCTION("""COMPUTED_VALUE"""),"")</f>
        <v/>
      </c>
      <c r="Q3064" s="5" t="str">
        <f>IFERROR(__xludf.DUMMYFUNCTION("""COMPUTED_VALUE"""),"")</f>
        <v/>
      </c>
      <c r="R3064" s="4" t="str">
        <f>IFERROR(__xludf.DUMMYFUNCTION("""COMPUTED_VALUE"""),"")</f>
        <v/>
      </c>
      <c r="S3064" s="1" t="b">
        <f>IFERROR(__xludf.DUMMYFUNCTION("""COMPUTED_VALUE"""),FALSE)</f>
        <v>0</v>
      </c>
      <c r="T3064" s="1" t="b">
        <f>IFERROR(__xludf.DUMMYFUNCTION("""COMPUTED_VALUE"""),FALSE)</f>
        <v>0</v>
      </c>
      <c r="U3064" s="1" t="str">
        <f>IFERROR(__xludf.DUMMYFUNCTION("""COMPUTED_VALUE"""),"")</f>
        <v/>
      </c>
      <c r="V3064" s="1" t="str">
        <f>IFERROR(__xludf.DUMMYFUNCTION("""COMPUTED_VALUE"""),"")</f>
        <v/>
      </c>
      <c r="W3064" s="1" t="str">
        <f>IFERROR(__xludf.DUMMYFUNCTION("""COMPUTED_VALUE"""),"")</f>
        <v/>
      </c>
      <c r="X3064" s="1" t="str">
        <f>IFERROR(__xludf.DUMMYFUNCTION("""COMPUTED_VALUE"""),"")</f>
        <v/>
      </c>
      <c r="Y3064" s="2"/>
      <c r="Z3064" s="2" t="str">
        <f>IFERROR(__xludf.DUMMYFUNCTION("""COMPUTED_VALUE"""),"")</f>
        <v/>
      </c>
    </row>
    <row r="3065">
      <c r="A3065" s="1" t="str">
        <f>IFERROR(__xludf.DUMMYFUNCTION("""COMPUTED_VALUE"""),"")</f>
        <v/>
      </c>
      <c r="B3065" s="1"/>
      <c r="C3065" s="2"/>
      <c r="D3065" s="2"/>
      <c r="E3065" s="1"/>
      <c r="F3065" s="1"/>
      <c r="G3065" s="4" t="str">
        <f>IFERROR(__xludf.DUMMYFUNCTION("""COMPUTED_VALUE"""),"")</f>
        <v/>
      </c>
      <c r="H3065" s="4" t="str">
        <f>IFERROR(__xludf.DUMMYFUNCTION("""COMPUTED_VALUE"""),"")</f>
        <v/>
      </c>
      <c r="I3065" s="4" t="str">
        <f>IFERROR(__xludf.DUMMYFUNCTION("""COMPUTED_VALUE"""),"")</f>
        <v/>
      </c>
      <c r="J3065" s="4" t="str">
        <f>IFERROR(__xludf.DUMMYFUNCTION("""COMPUTED_VALUE"""),"")</f>
        <v/>
      </c>
      <c r="K3065" s="4" t="str">
        <f>IFERROR(__xludf.DUMMYFUNCTION("""COMPUTED_VALUE"""),"")</f>
        <v/>
      </c>
      <c r="L3065" s="4" t="str">
        <f>IFERROR(__xludf.DUMMYFUNCTION("""COMPUTED_VALUE"""),"")</f>
        <v/>
      </c>
      <c r="M3065" s="1" t="str">
        <f>IFERROR(__xludf.DUMMYFUNCTION("""COMPUTED_VALUE"""),"RFID")</f>
        <v>RFID</v>
      </c>
      <c r="N3065" s="5" t="str">
        <f>IFERROR(__xludf.DUMMYFUNCTION("""COMPUTED_VALUE"""),"")</f>
        <v/>
      </c>
      <c r="O3065" s="5" t="str">
        <f>IFERROR(__xludf.DUMMYFUNCTION("""COMPUTED_VALUE"""),"")</f>
        <v/>
      </c>
      <c r="P3065" s="5" t="str">
        <f>IFERROR(__xludf.DUMMYFUNCTION("""COMPUTED_VALUE"""),"")</f>
        <v/>
      </c>
      <c r="Q3065" s="5" t="str">
        <f>IFERROR(__xludf.DUMMYFUNCTION("""COMPUTED_VALUE"""),"")</f>
        <v/>
      </c>
      <c r="R3065" s="4" t="str">
        <f>IFERROR(__xludf.DUMMYFUNCTION("""COMPUTED_VALUE"""),"")</f>
        <v/>
      </c>
      <c r="S3065" s="1" t="b">
        <f>IFERROR(__xludf.DUMMYFUNCTION("""COMPUTED_VALUE"""),FALSE)</f>
        <v>0</v>
      </c>
      <c r="T3065" s="1" t="b">
        <f>IFERROR(__xludf.DUMMYFUNCTION("""COMPUTED_VALUE"""),FALSE)</f>
        <v>0</v>
      </c>
      <c r="U3065" s="1" t="str">
        <f>IFERROR(__xludf.DUMMYFUNCTION("""COMPUTED_VALUE"""),"")</f>
        <v/>
      </c>
      <c r="V3065" s="1" t="str">
        <f>IFERROR(__xludf.DUMMYFUNCTION("""COMPUTED_VALUE"""),"")</f>
        <v/>
      </c>
      <c r="W3065" s="1" t="str">
        <f>IFERROR(__xludf.DUMMYFUNCTION("""COMPUTED_VALUE"""),"")</f>
        <v/>
      </c>
      <c r="X3065" s="1" t="str">
        <f>IFERROR(__xludf.DUMMYFUNCTION("""COMPUTED_VALUE"""),"")</f>
        <v/>
      </c>
      <c r="Y3065" s="2"/>
      <c r="Z3065" s="2" t="str">
        <f>IFERROR(__xludf.DUMMYFUNCTION("""COMPUTED_VALUE"""),"")</f>
        <v/>
      </c>
    </row>
    <row r="3066">
      <c r="A3066" s="1" t="str">
        <f>IFERROR(__xludf.DUMMYFUNCTION("""COMPUTED_VALUE"""),"")</f>
        <v/>
      </c>
      <c r="B3066" s="1"/>
      <c r="C3066" s="2"/>
      <c r="D3066" s="2"/>
      <c r="E3066" s="1"/>
      <c r="F3066" s="1"/>
      <c r="G3066" s="4" t="str">
        <f>IFERROR(__xludf.DUMMYFUNCTION("""COMPUTED_VALUE"""),"")</f>
        <v/>
      </c>
      <c r="H3066" s="4" t="str">
        <f>IFERROR(__xludf.DUMMYFUNCTION("""COMPUTED_VALUE"""),"")</f>
        <v/>
      </c>
      <c r="I3066" s="4" t="str">
        <f>IFERROR(__xludf.DUMMYFUNCTION("""COMPUTED_VALUE"""),"")</f>
        <v/>
      </c>
      <c r="J3066" s="4" t="str">
        <f>IFERROR(__xludf.DUMMYFUNCTION("""COMPUTED_VALUE"""),"")</f>
        <v/>
      </c>
      <c r="K3066" s="4" t="str">
        <f>IFERROR(__xludf.DUMMYFUNCTION("""COMPUTED_VALUE"""),"")</f>
        <v/>
      </c>
      <c r="L3066" s="4" t="str">
        <f>IFERROR(__xludf.DUMMYFUNCTION("""COMPUTED_VALUE"""),"")</f>
        <v/>
      </c>
      <c r="M3066" s="1" t="str">
        <f>IFERROR(__xludf.DUMMYFUNCTION("""COMPUTED_VALUE"""),"RFID")</f>
        <v>RFID</v>
      </c>
      <c r="N3066" s="5" t="str">
        <f>IFERROR(__xludf.DUMMYFUNCTION("""COMPUTED_VALUE"""),"")</f>
        <v/>
      </c>
      <c r="O3066" s="5" t="str">
        <f>IFERROR(__xludf.DUMMYFUNCTION("""COMPUTED_VALUE"""),"")</f>
        <v/>
      </c>
      <c r="P3066" s="5" t="str">
        <f>IFERROR(__xludf.DUMMYFUNCTION("""COMPUTED_VALUE"""),"")</f>
        <v/>
      </c>
      <c r="Q3066" s="5" t="str">
        <f>IFERROR(__xludf.DUMMYFUNCTION("""COMPUTED_VALUE"""),"")</f>
        <v/>
      </c>
      <c r="R3066" s="4" t="str">
        <f>IFERROR(__xludf.DUMMYFUNCTION("""COMPUTED_VALUE"""),"")</f>
        <v/>
      </c>
      <c r="S3066" s="1" t="b">
        <f>IFERROR(__xludf.DUMMYFUNCTION("""COMPUTED_VALUE"""),FALSE)</f>
        <v>0</v>
      </c>
      <c r="T3066" s="1" t="b">
        <f>IFERROR(__xludf.DUMMYFUNCTION("""COMPUTED_VALUE"""),FALSE)</f>
        <v>0</v>
      </c>
      <c r="U3066" s="1" t="str">
        <f>IFERROR(__xludf.DUMMYFUNCTION("""COMPUTED_VALUE"""),"")</f>
        <v/>
      </c>
      <c r="V3066" s="1" t="str">
        <f>IFERROR(__xludf.DUMMYFUNCTION("""COMPUTED_VALUE"""),"")</f>
        <v/>
      </c>
      <c r="W3066" s="1" t="str">
        <f>IFERROR(__xludf.DUMMYFUNCTION("""COMPUTED_VALUE"""),"")</f>
        <v/>
      </c>
      <c r="X3066" s="1" t="str">
        <f>IFERROR(__xludf.DUMMYFUNCTION("""COMPUTED_VALUE"""),"")</f>
        <v/>
      </c>
      <c r="Y3066" s="2"/>
      <c r="Z3066" s="2" t="str">
        <f>IFERROR(__xludf.DUMMYFUNCTION("""COMPUTED_VALUE"""),"")</f>
        <v/>
      </c>
    </row>
    <row r="3067">
      <c r="A3067" s="1" t="str">
        <f>IFERROR(__xludf.DUMMYFUNCTION("""COMPUTED_VALUE"""),"")</f>
        <v/>
      </c>
      <c r="B3067" s="1"/>
      <c r="C3067" s="2"/>
      <c r="D3067" s="2"/>
      <c r="E3067" s="1"/>
      <c r="F3067" s="1"/>
      <c r="G3067" s="4" t="str">
        <f>IFERROR(__xludf.DUMMYFUNCTION("""COMPUTED_VALUE"""),"")</f>
        <v/>
      </c>
      <c r="H3067" s="4" t="str">
        <f>IFERROR(__xludf.DUMMYFUNCTION("""COMPUTED_VALUE"""),"")</f>
        <v/>
      </c>
      <c r="I3067" s="4" t="str">
        <f>IFERROR(__xludf.DUMMYFUNCTION("""COMPUTED_VALUE"""),"")</f>
        <v/>
      </c>
      <c r="J3067" s="4" t="str">
        <f>IFERROR(__xludf.DUMMYFUNCTION("""COMPUTED_VALUE"""),"")</f>
        <v/>
      </c>
      <c r="K3067" s="4" t="str">
        <f>IFERROR(__xludf.DUMMYFUNCTION("""COMPUTED_VALUE"""),"")</f>
        <v/>
      </c>
      <c r="L3067" s="4" t="str">
        <f>IFERROR(__xludf.DUMMYFUNCTION("""COMPUTED_VALUE"""),"")</f>
        <v/>
      </c>
      <c r="M3067" s="1" t="str">
        <f>IFERROR(__xludf.DUMMYFUNCTION("""COMPUTED_VALUE"""),"RFID")</f>
        <v>RFID</v>
      </c>
      <c r="N3067" s="5" t="str">
        <f>IFERROR(__xludf.DUMMYFUNCTION("""COMPUTED_VALUE"""),"")</f>
        <v/>
      </c>
      <c r="O3067" s="5" t="str">
        <f>IFERROR(__xludf.DUMMYFUNCTION("""COMPUTED_VALUE"""),"")</f>
        <v/>
      </c>
      <c r="P3067" s="5" t="str">
        <f>IFERROR(__xludf.DUMMYFUNCTION("""COMPUTED_VALUE"""),"")</f>
        <v/>
      </c>
      <c r="Q3067" s="5" t="str">
        <f>IFERROR(__xludf.DUMMYFUNCTION("""COMPUTED_VALUE"""),"")</f>
        <v/>
      </c>
      <c r="R3067" s="4" t="str">
        <f>IFERROR(__xludf.DUMMYFUNCTION("""COMPUTED_VALUE"""),"")</f>
        <v/>
      </c>
      <c r="S3067" s="1" t="b">
        <f>IFERROR(__xludf.DUMMYFUNCTION("""COMPUTED_VALUE"""),FALSE)</f>
        <v>0</v>
      </c>
      <c r="T3067" s="1" t="b">
        <f>IFERROR(__xludf.DUMMYFUNCTION("""COMPUTED_VALUE"""),FALSE)</f>
        <v>0</v>
      </c>
      <c r="U3067" s="1" t="str">
        <f>IFERROR(__xludf.DUMMYFUNCTION("""COMPUTED_VALUE"""),"")</f>
        <v/>
      </c>
      <c r="V3067" s="1" t="str">
        <f>IFERROR(__xludf.DUMMYFUNCTION("""COMPUTED_VALUE"""),"")</f>
        <v/>
      </c>
      <c r="W3067" s="1" t="str">
        <f>IFERROR(__xludf.DUMMYFUNCTION("""COMPUTED_VALUE"""),"")</f>
        <v/>
      </c>
      <c r="X3067" s="1" t="str">
        <f>IFERROR(__xludf.DUMMYFUNCTION("""COMPUTED_VALUE"""),"")</f>
        <v/>
      </c>
      <c r="Y3067" s="2"/>
      <c r="Z3067" s="2" t="str">
        <f>IFERROR(__xludf.DUMMYFUNCTION("""COMPUTED_VALUE"""),"")</f>
        <v/>
      </c>
    </row>
    <row r="3068">
      <c r="A3068" s="1" t="str">
        <f>IFERROR(__xludf.DUMMYFUNCTION("""COMPUTED_VALUE"""),"")</f>
        <v/>
      </c>
      <c r="B3068" s="1"/>
      <c r="C3068" s="2"/>
      <c r="D3068" s="2"/>
      <c r="E3068" s="1"/>
      <c r="F3068" s="1"/>
      <c r="G3068" s="4" t="str">
        <f>IFERROR(__xludf.DUMMYFUNCTION("""COMPUTED_VALUE"""),"")</f>
        <v/>
      </c>
      <c r="H3068" s="4" t="str">
        <f>IFERROR(__xludf.DUMMYFUNCTION("""COMPUTED_VALUE"""),"")</f>
        <v/>
      </c>
      <c r="I3068" s="4" t="str">
        <f>IFERROR(__xludf.DUMMYFUNCTION("""COMPUTED_VALUE"""),"")</f>
        <v/>
      </c>
      <c r="J3068" s="4" t="str">
        <f>IFERROR(__xludf.DUMMYFUNCTION("""COMPUTED_VALUE"""),"")</f>
        <v/>
      </c>
      <c r="K3068" s="4" t="str">
        <f>IFERROR(__xludf.DUMMYFUNCTION("""COMPUTED_VALUE"""),"")</f>
        <v/>
      </c>
      <c r="L3068" s="4" t="str">
        <f>IFERROR(__xludf.DUMMYFUNCTION("""COMPUTED_VALUE"""),"")</f>
        <v/>
      </c>
      <c r="M3068" s="1" t="str">
        <f>IFERROR(__xludf.DUMMYFUNCTION("""COMPUTED_VALUE"""),"RFID")</f>
        <v>RFID</v>
      </c>
      <c r="N3068" s="5" t="str">
        <f>IFERROR(__xludf.DUMMYFUNCTION("""COMPUTED_VALUE"""),"")</f>
        <v/>
      </c>
      <c r="O3068" s="5" t="str">
        <f>IFERROR(__xludf.DUMMYFUNCTION("""COMPUTED_VALUE"""),"")</f>
        <v/>
      </c>
      <c r="P3068" s="5" t="str">
        <f>IFERROR(__xludf.DUMMYFUNCTION("""COMPUTED_VALUE"""),"")</f>
        <v/>
      </c>
      <c r="Q3068" s="5" t="str">
        <f>IFERROR(__xludf.DUMMYFUNCTION("""COMPUTED_VALUE"""),"")</f>
        <v/>
      </c>
      <c r="R3068" s="4" t="str">
        <f>IFERROR(__xludf.DUMMYFUNCTION("""COMPUTED_VALUE"""),"")</f>
        <v/>
      </c>
      <c r="S3068" s="1" t="b">
        <f>IFERROR(__xludf.DUMMYFUNCTION("""COMPUTED_VALUE"""),FALSE)</f>
        <v>0</v>
      </c>
      <c r="T3068" s="1" t="b">
        <f>IFERROR(__xludf.DUMMYFUNCTION("""COMPUTED_VALUE"""),FALSE)</f>
        <v>0</v>
      </c>
      <c r="U3068" s="1" t="str">
        <f>IFERROR(__xludf.DUMMYFUNCTION("""COMPUTED_VALUE"""),"")</f>
        <v/>
      </c>
      <c r="V3068" s="1" t="str">
        <f>IFERROR(__xludf.DUMMYFUNCTION("""COMPUTED_VALUE"""),"")</f>
        <v/>
      </c>
      <c r="W3068" s="1" t="str">
        <f>IFERROR(__xludf.DUMMYFUNCTION("""COMPUTED_VALUE"""),"")</f>
        <v/>
      </c>
      <c r="X3068" s="1" t="str">
        <f>IFERROR(__xludf.DUMMYFUNCTION("""COMPUTED_VALUE"""),"")</f>
        <v/>
      </c>
      <c r="Y3068" s="2"/>
      <c r="Z3068" s="2" t="str">
        <f>IFERROR(__xludf.DUMMYFUNCTION("""COMPUTED_VALUE"""),"")</f>
        <v/>
      </c>
    </row>
    <row r="3069">
      <c r="A3069" s="1" t="str">
        <f>IFERROR(__xludf.DUMMYFUNCTION("""COMPUTED_VALUE"""),"")</f>
        <v/>
      </c>
      <c r="B3069" s="1"/>
      <c r="C3069" s="2"/>
      <c r="D3069" s="2"/>
      <c r="E3069" s="1"/>
      <c r="F3069" s="1"/>
      <c r="G3069" s="4" t="str">
        <f>IFERROR(__xludf.DUMMYFUNCTION("""COMPUTED_VALUE"""),"")</f>
        <v/>
      </c>
      <c r="H3069" s="4" t="str">
        <f>IFERROR(__xludf.DUMMYFUNCTION("""COMPUTED_VALUE"""),"")</f>
        <v/>
      </c>
      <c r="I3069" s="4" t="str">
        <f>IFERROR(__xludf.DUMMYFUNCTION("""COMPUTED_VALUE"""),"")</f>
        <v/>
      </c>
      <c r="J3069" s="4" t="str">
        <f>IFERROR(__xludf.DUMMYFUNCTION("""COMPUTED_VALUE"""),"")</f>
        <v/>
      </c>
      <c r="K3069" s="4" t="str">
        <f>IFERROR(__xludf.DUMMYFUNCTION("""COMPUTED_VALUE"""),"")</f>
        <v/>
      </c>
      <c r="L3069" s="4" t="str">
        <f>IFERROR(__xludf.DUMMYFUNCTION("""COMPUTED_VALUE"""),"")</f>
        <v/>
      </c>
      <c r="M3069" s="1" t="str">
        <f>IFERROR(__xludf.DUMMYFUNCTION("""COMPUTED_VALUE"""),"RFID")</f>
        <v>RFID</v>
      </c>
      <c r="N3069" s="5" t="str">
        <f>IFERROR(__xludf.DUMMYFUNCTION("""COMPUTED_VALUE"""),"")</f>
        <v/>
      </c>
      <c r="O3069" s="5" t="str">
        <f>IFERROR(__xludf.DUMMYFUNCTION("""COMPUTED_VALUE"""),"")</f>
        <v/>
      </c>
      <c r="P3069" s="5" t="str">
        <f>IFERROR(__xludf.DUMMYFUNCTION("""COMPUTED_VALUE"""),"")</f>
        <v/>
      </c>
      <c r="Q3069" s="5" t="str">
        <f>IFERROR(__xludf.DUMMYFUNCTION("""COMPUTED_VALUE"""),"")</f>
        <v/>
      </c>
      <c r="R3069" s="4" t="str">
        <f>IFERROR(__xludf.DUMMYFUNCTION("""COMPUTED_VALUE"""),"")</f>
        <v/>
      </c>
      <c r="S3069" s="1" t="b">
        <f>IFERROR(__xludf.DUMMYFUNCTION("""COMPUTED_VALUE"""),FALSE)</f>
        <v>0</v>
      </c>
      <c r="T3069" s="1" t="b">
        <f>IFERROR(__xludf.DUMMYFUNCTION("""COMPUTED_VALUE"""),FALSE)</f>
        <v>0</v>
      </c>
      <c r="U3069" s="1" t="str">
        <f>IFERROR(__xludf.DUMMYFUNCTION("""COMPUTED_VALUE"""),"")</f>
        <v/>
      </c>
      <c r="V3069" s="1" t="str">
        <f>IFERROR(__xludf.DUMMYFUNCTION("""COMPUTED_VALUE"""),"")</f>
        <v/>
      </c>
      <c r="W3069" s="1" t="str">
        <f>IFERROR(__xludf.DUMMYFUNCTION("""COMPUTED_VALUE"""),"")</f>
        <v/>
      </c>
      <c r="X3069" s="1" t="str">
        <f>IFERROR(__xludf.DUMMYFUNCTION("""COMPUTED_VALUE"""),"")</f>
        <v/>
      </c>
      <c r="Y3069" s="2"/>
      <c r="Z3069" s="2" t="str">
        <f>IFERROR(__xludf.DUMMYFUNCTION("""COMPUTED_VALUE"""),"")</f>
        <v/>
      </c>
    </row>
    <row r="3070">
      <c r="A3070" s="1" t="str">
        <f>IFERROR(__xludf.DUMMYFUNCTION("""COMPUTED_VALUE"""),"")</f>
        <v/>
      </c>
      <c r="B3070" s="1"/>
      <c r="C3070" s="2"/>
      <c r="D3070" s="2"/>
      <c r="E3070" s="1"/>
      <c r="F3070" s="1"/>
      <c r="G3070" s="4" t="str">
        <f>IFERROR(__xludf.DUMMYFUNCTION("""COMPUTED_VALUE"""),"")</f>
        <v/>
      </c>
      <c r="H3070" s="4" t="str">
        <f>IFERROR(__xludf.DUMMYFUNCTION("""COMPUTED_VALUE"""),"")</f>
        <v/>
      </c>
      <c r="I3070" s="4" t="str">
        <f>IFERROR(__xludf.DUMMYFUNCTION("""COMPUTED_VALUE"""),"")</f>
        <v/>
      </c>
      <c r="J3070" s="4" t="str">
        <f>IFERROR(__xludf.DUMMYFUNCTION("""COMPUTED_VALUE"""),"")</f>
        <v/>
      </c>
      <c r="K3070" s="4" t="str">
        <f>IFERROR(__xludf.DUMMYFUNCTION("""COMPUTED_VALUE"""),"")</f>
        <v/>
      </c>
      <c r="L3070" s="4" t="str">
        <f>IFERROR(__xludf.DUMMYFUNCTION("""COMPUTED_VALUE"""),"")</f>
        <v/>
      </c>
      <c r="M3070" s="1" t="str">
        <f>IFERROR(__xludf.DUMMYFUNCTION("""COMPUTED_VALUE"""),"RFID")</f>
        <v>RFID</v>
      </c>
      <c r="N3070" s="5" t="str">
        <f>IFERROR(__xludf.DUMMYFUNCTION("""COMPUTED_VALUE"""),"")</f>
        <v/>
      </c>
      <c r="O3070" s="5" t="str">
        <f>IFERROR(__xludf.DUMMYFUNCTION("""COMPUTED_VALUE"""),"")</f>
        <v/>
      </c>
      <c r="P3070" s="5" t="str">
        <f>IFERROR(__xludf.DUMMYFUNCTION("""COMPUTED_VALUE"""),"")</f>
        <v/>
      </c>
      <c r="Q3070" s="5" t="str">
        <f>IFERROR(__xludf.DUMMYFUNCTION("""COMPUTED_VALUE"""),"")</f>
        <v/>
      </c>
      <c r="R3070" s="4" t="str">
        <f>IFERROR(__xludf.DUMMYFUNCTION("""COMPUTED_VALUE"""),"")</f>
        <v/>
      </c>
      <c r="S3070" s="1" t="b">
        <f>IFERROR(__xludf.DUMMYFUNCTION("""COMPUTED_VALUE"""),FALSE)</f>
        <v>0</v>
      </c>
      <c r="T3070" s="1" t="b">
        <f>IFERROR(__xludf.DUMMYFUNCTION("""COMPUTED_VALUE"""),FALSE)</f>
        <v>0</v>
      </c>
      <c r="U3070" s="1" t="str">
        <f>IFERROR(__xludf.DUMMYFUNCTION("""COMPUTED_VALUE"""),"")</f>
        <v/>
      </c>
      <c r="V3070" s="1" t="str">
        <f>IFERROR(__xludf.DUMMYFUNCTION("""COMPUTED_VALUE"""),"")</f>
        <v/>
      </c>
      <c r="W3070" s="1" t="str">
        <f>IFERROR(__xludf.DUMMYFUNCTION("""COMPUTED_VALUE"""),"")</f>
        <v/>
      </c>
      <c r="X3070" s="1" t="str">
        <f>IFERROR(__xludf.DUMMYFUNCTION("""COMPUTED_VALUE"""),"")</f>
        <v/>
      </c>
      <c r="Y3070" s="2"/>
      <c r="Z3070" s="2" t="str">
        <f>IFERROR(__xludf.DUMMYFUNCTION("""COMPUTED_VALUE"""),"")</f>
        <v/>
      </c>
    </row>
    <row r="3071">
      <c r="A3071" s="1" t="str">
        <f>IFERROR(__xludf.DUMMYFUNCTION("""COMPUTED_VALUE"""),"")</f>
        <v/>
      </c>
      <c r="B3071" s="1"/>
      <c r="C3071" s="2"/>
      <c r="D3071" s="2"/>
      <c r="E3071" s="1"/>
      <c r="F3071" s="1"/>
      <c r="G3071" s="4" t="str">
        <f>IFERROR(__xludf.DUMMYFUNCTION("""COMPUTED_VALUE"""),"")</f>
        <v/>
      </c>
      <c r="H3071" s="4" t="str">
        <f>IFERROR(__xludf.DUMMYFUNCTION("""COMPUTED_VALUE"""),"")</f>
        <v/>
      </c>
      <c r="I3071" s="4" t="str">
        <f>IFERROR(__xludf.DUMMYFUNCTION("""COMPUTED_VALUE"""),"")</f>
        <v/>
      </c>
      <c r="J3071" s="4" t="str">
        <f>IFERROR(__xludf.DUMMYFUNCTION("""COMPUTED_VALUE"""),"")</f>
        <v/>
      </c>
      <c r="K3071" s="4" t="str">
        <f>IFERROR(__xludf.DUMMYFUNCTION("""COMPUTED_VALUE"""),"")</f>
        <v/>
      </c>
      <c r="L3071" s="4" t="str">
        <f>IFERROR(__xludf.DUMMYFUNCTION("""COMPUTED_VALUE"""),"")</f>
        <v/>
      </c>
      <c r="M3071" s="1" t="str">
        <f>IFERROR(__xludf.DUMMYFUNCTION("""COMPUTED_VALUE"""),"RFID")</f>
        <v>RFID</v>
      </c>
      <c r="N3071" s="5" t="str">
        <f>IFERROR(__xludf.DUMMYFUNCTION("""COMPUTED_VALUE"""),"")</f>
        <v/>
      </c>
      <c r="O3071" s="5" t="str">
        <f>IFERROR(__xludf.DUMMYFUNCTION("""COMPUTED_VALUE"""),"")</f>
        <v/>
      </c>
      <c r="P3071" s="5" t="str">
        <f>IFERROR(__xludf.DUMMYFUNCTION("""COMPUTED_VALUE"""),"")</f>
        <v/>
      </c>
      <c r="Q3071" s="5" t="str">
        <f>IFERROR(__xludf.DUMMYFUNCTION("""COMPUTED_VALUE"""),"")</f>
        <v/>
      </c>
      <c r="R3071" s="4" t="str">
        <f>IFERROR(__xludf.DUMMYFUNCTION("""COMPUTED_VALUE"""),"")</f>
        <v/>
      </c>
      <c r="S3071" s="1" t="b">
        <f>IFERROR(__xludf.DUMMYFUNCTION("""COMPUTED_VALUE"""),FALSE)</f>
        <v>0</v>
      </c>
      <c r="T3071" s="1" t="b">
        <f>IFERROR(__xludf.DUMMYFUNCTION("""COMPUTED_VALUE"""),FALSE)</f>
        <v>0</v>
      </c>
      <c r="U3071" s="1" t="str">
        <f>IFERROR(__xludf.DUMMYFUNCTION("""COMPUTED_VALUE"""),"")</f>
        <v/>
      </c>
      <c r="V3071" s="1" t="str">
        <f>IFERROR(__xludf.DUMMYFUNCTION("""COMPUTED_VALUE"""),"")</f>
        <v/>
      </c>
      <c r="W3071" s="1" t="str">
        <f>IFERROR(__xludf.DUMMYFUNCTION("""COMPUTED_VALUE"""),"")</f>
        <v/>
      </c>
      <c r="X3071" s="1" t="str">
        <f>IFERROR(__xludf.DUMMYFUNCTION("""COMPUTED_VALUE"""),"")</f>
        <v/>
      </c>
      <c r="Y3071" s="2"/>
      <c r="Z3071" s="2" t="str">
        <f>IFERROR(__xludf.DUMMYFUNCTION("""COMPUTED_VALUE"""),"")</f>
        <v/>
      </c>
    </row>
    <row r="3072">
      <c r="A3072" s="1" t="str">
        <f>IFERROR(__xludf.DUMMYFUNCTION("""COMPUTED_VALUE"""),"")</f>
        <v/>
      </c>
      <c r="B3072" s="1"/>
      <c r="C3072" s="2"/>
      <c r="D3072" s="2"/>
      <c r="E3072" s="1"/>
      <c r="F3072" s="1"/>
      <c r="G3072" s="4" t="str">
        <f>IFERROR(__xludf.DUMMYFUNCTION("""COMPUTED_VALUE"""),"")</f>
        <v/>
      </c>
      <c r="H3072" s="4" t="str">
        <f>IFERROR(__xludf.DUMMYFUNCTION("""COMPUTED_VALUE"""),"")</f>
        <v/>
      </c>
      <c r="I3072" s="4" t="str">
        <f>IFERROR(__xludf.DUMMYFUNCTION("""COMPUTED_VALUE"""),"")</f>
        <v/>
      </c>
      <c r="J3072" s="4" t="str">
        <f>IFERROR(__xludf.DUMMYFUNCTION("""COMPUTED_VALUE"""),"")</f>
        <v/>
      </c>
      <c r="K3072" s="4" t="str">
        <f>IFERROR(__xludf.DUMMYFUNCTION("""COMPUTED_VALUE"""),"")</f>
        <v/>
      </c>
      <c r="L3072" s="4" t="str">
        <f>IFERROR(__xludf.DUMMYFUNCTION("""COMPUTED_VALUE"""),"")</f>
        <v/>
      </c>
      <c r="M3072" s="1" t="str">
        <f>IFERROR(__xludf.DUMMYFUNCTION("""COMPUTED_VALUE"""),"RFID")</f>
        <v>RFID</v>
      </c>
      <c r="N3072" s="5" t="str">
        <f>IFERROR(__xludf.DUMMYFUNCTION("""COMPUTED_VALUE"""),"")</f>
        <v/>
      </c>
      <c r="O3072" s="5" t="str">
        <f>IFERROR(__xludf.DUMMYFUNCTION("""COMPUTED_VALUE"""),"")</f>
        <v/>
      </c>
      <c r="P3072" s="5" t="str">
        <f>IFERROR(__xludf.DUMMYFUNCTION("""COMPUTED_VALUE"""),"")</f>
        <v/>
      </c>
      <c r="Q3072" s="5" t="str">
        <f>IFERROR(__xludf.DUMMYFUNCTION("""COMPUTED_VALUE"""),"")</f>
        <v/>
      </c>
      <c r="R3072" s="4" t="str">
        <f>IFERROR(__xludf.DUMMYFUNCTION("""COMPUTED_VALUE"""),"")</f>
        <v/>
      </c>
      <c r="S3072" s="1" t="b">
        <f>IFERROR(__xludf.DUMMYFUNCTION("""COMPUTED_VALUE"""),FALSE)</f>
        <v>0</v>
      </c>
      <c r="T3072" s="1" t="b">
        <f>IFERROR(__xludf.DUMMYFUNCTION("""COMPUTED_VALUE"""),FALSE)</f>
        <v>0</v>
      </c>
      <c r="U3072" s="1" t="str">
        <f>IFERROR(__xludf.DUMMYFUNCTION("""COMPUTED_VALUE"""),"")</f>
        <v/>
      </c>
      <c r="V3072" s="1" t="str">
        <f>IFERROR(__xludf.DUMMYFUNCTION("""COMPUTED_VALUE"""),"")</f>
        <v/>
      </c>
      <c r="W3072" s="1" t="str">
        <f>IFERROR(__xludf.DUMMYFUNCTION("""COMPUTED_VALUE"""),"")</f>
        <v/>
      </c>
      <c r="X3072" s="1" t="str">
        <f>IFERROR(__xludf.DUMMYFUNCTION("""COMPUTED_VALUE"""),"")</f>
        <v/>
      </c>
      <c r="Y3072" s="2"/>
      <c r="Z3072" s="2" t="str">
        <f>IFERROR(__xludf.DUMMYFUNCTION("""COMPUTED_VALUE"""),"")</f>
        <v/>
      </c>
    </row>
    <row r="3073">
      <c r="A3073" s="1" t="str">
        <f>IFERROR(__xludf.DUMMYFUNCTION("""COMPUTED_VALUE"""),"")</f>
        <v/>
      </c>
      <c r="B3073" s="1"/>
      <c r="C3073" s="2"/>
      <c r="D3073" s="2"/>
      <c r="E3073" s="1"/>
      <c r="F3073" s="1"/>
      <c r="G3073" s="4" t="str">
        <f>IFERROR(__xludf.DUMMYFUNCTION("""COMPUTED_VALUE"""),"")</f>
        <v/>
      </c>
      <c r="H3073" s="4" t="str">
        <f>IFERROR(__xludf.DUMMYFUNCTION("""COMPUTED_VALUE"""),"")</f>
        <v/>
      </c>
      <c r="I3073" s="4" t="str">
        <f>IFERROR(__xludf.DUMMYFUNCTION("""COMPUTED_VALUE"""),"")</f>
        <v/>
      </c>
      <c r="J3073" s="4" t="str">
        <f>IFERROR(__xludf.DUMMYFUNCTION("""COMPUTED_VALUE"""),"")</f>
        <v/>
      </c>
      <c r="K3073" s="4" t="str">
        <f>IFERROR(__xludf.DUMMYFUNCTION("""COMPUTED_VALUE"""),"")</f>
        <v/>
      </c>
      <c r="L3073" s="4" t="str">
        <f>IFERROR(__xludf.DUMMYFUNCTION("""COMPUTED_VALUE"""),"")</f>
        <v/>
      </c>
      <c r="M3073" s="1" t="str">
        <f>IFERROR(__xludf.DUMMYFUNCTION("""COMPUTED_VALUE"""),"RFID")</f>
        <v>RFID</v>
      </c>
      <c r="N3073" s="5" t="str">
        <f>IFERROR(__xludf.DUMMYFUNCTION("""COMPUTED_VALUE"""),"")</f>
        <v/>
      </c>
      <c r="O3073" s="5" t="str">
        <f>IFERROR(__xludf.DUMMYFUNCTION("""COMPUTED_VALUE"""),"")</f>
        <v/>
      </c>
      <c r="P3073" s="5" t="str">
        <f>IFERROR(__xludf.DUMMYFUNCTION("""COMPUTED_VALUE"""),"")</f>
        <v/>
      </c>
      <c r="Q3073" s="5" t="str">
        <f>IFERROR(__xludf.DUMMYFUNCTION("""COMPUTED_VALUE"""),"")</f>
        <v/>
      </c>
      <c r="R3073" s="4" t="str">
        <f>IFERROR(__xludf.DUMMYFUNCTION("""COMPUTED_VALUE"""),"")</f>
        <v/>
      </c>
      <c r="S3073" s="1" t="b">
        <f>IFERROR(__xludf.DUMMYFUNCTION("""COMPUTED_VALUE"""),FALSE)</f>
        <v>0</v>
      </c>
      <c r="T3073" s="1" t="b">
        <f>IFERROR(__xludf.DUMMYFUNCTION("""COMPUTED_VALUE"""),FALSE)</f>
        <v>0</v>
      </c>
      <c r="U3073" s="1" t="str">
        <f>IFERROR(__xludf.DUMMYFUNCTION("""COMPUTED_VALUE"""),"")</f>
        <v/>
      </c>
      <c r="V3073" s="1" t="str">
        <f>IFERROR(__xludf.DUMMYFUNCTION("""COMPUTED_VALUE"""),"")</f>
        <v/>
      </c>
      <c r="W3073" s="1" t="str">
        <f>IFERROR(__xludf.DUMMYFUNCTION("""COMPUTED_VALUE"""),"")</f>
        <v/>
      </c>
      <c r="X3073" s="1" t="str">
        <f>IFERROR(__xludf.DUMMYFUNCTION("""COMPUTED_VALUE"""),"")</f>
        <v/>
      </c>
      <c r="Y3073" s="2"/>
      <c r="Z3073" s="2" t="str">
        <f>IFERROR(__xludf.DUMMYFUNCTION("""COMPUTED_VALUE"""),"")</f>
        <v/>
      </c>
    </row>
    <row r="3074">
      <c r="A3074" s="1" t="str">
        <f>IFERROR(__xludf.DUMMYFUNCTION("""COMPUTED_VALUE"""),"")</f>
        <v/>
      </c>
      <c r="B3074" s="1"/>
      <c r="C3074" s="2"/>
      <c r="D3074" s="2"/>
      <c r="E3074" s="1"/>
      <c r="F3074" s="1"/>
      <c r="G3074" s="4" t="str">
        <f>IFERROR(__xludf.DUMMYFUNCTION("""COMPUTED_VALUE"""),"")</f>
        <v/>
      </c>
      <c r="H3074" s="4" t="str">
        <f>IFERROR(__xludf.DUMMYFUNCTION("""COMPUTED_VALUE"""),"")</f>
        <v/>
      </c>
      <c r="I3074" s="4" t="str">
        <f>IFERROR(__xludf.DUMMYFUNCTION("""COMPUTED_VALUE"""),"")</f>
        <v/>
      </c>
      <c r="J3074" s="4" t="str">
        <f>IFERROR(__xludf.DUMMYFUNCTION("""COMPUTED_VALUE"""),"")</f>
        <v/>
      </c>
      <c r="K3074" s="4" t="str">
        <f>IFERROR(__xludf.DUMMYFUNCTION("""COMPUTED_VALUE"""),"")</f>
        <v/>
      </c>
      <c r="L3074" s="4" t="str">
        <f>IFERROR(__xludf.DUMMYFUNCTION("""COMPUTED_VALUE"""),"")</f>
        <v/>
      </c>
      <c r="M3074" s="1" t="str">
        <f>IFERROR(__xludf.DUMMYFUNCTION("""COMPUTED_VALUE"""),"RFID")</f>
        <v>RFID</v>
      </c>
      <c r="N3074" s="5" t="str">
        <f>IFERROR(__xludf.DUMMYFUNCTION("""COMPUTED_VALUE"""),"")</f>
        <v/>
      </c>
      <c r="O3074" s="5" t="str">
        <f>IFERROR(__xludf.DUMMYFUNCTION("""COMPUTED_VALUE"""),"")</f>
        <v/>
      </c>
      <c r="P3074" s="5" t="str">
        <f>IFERROR(__xludf.DUMMYFUNCTION("""COMPUTED_VALUE"""),"")</f>
        <v/>
      </c>
      <c r="Q3074" s="5" t="str">
        <f>IFERROR(__xludf.DUMMYFUNCTION("""COMPUTED_VALUE"""),"")</f>
        <v/>
      </c>
      <c r="R3074" s="4" t="str">
        <f>IFERROR(__xludf.DUMMYFUNCTION("""COMPUTED_VALUE"""),"")</f>
        <v/>
      </c>
      <c r="S3074" s="1" t="b">
        <f>IFERROR(__xludf.DUMMYFUNCTION("""COMPUTED_VALUE"""),FALSE)</f>
        <v>0</v>
      </c>
      <c r="T3074" s="1" t="b">
        <f>IFERROR(__xludf.DUMMYFUNCTION("""COMPUTED_VALUE"""),FALSE)</f>
        <v>0</v>
      </c>
      <c r="U3074" s="1" t="str">
        <f>IFERROR(__xludf.DUMMYFUNCTION("""COMPUTED_VALUE"""),"")</f>
        <v/>
      </c>
      <c r="V3074" s="1" t="str">
        <f>IFERROR(__xludf.DUMMYFUNCTION("""COMPUTED_VALUE"""),"")</f>
        <v/>
      </c>
      <c r="W3074" s="1" t="str">
        <f>IFERROR(__xludf.DUMMYFUNCTION("""COMPUTED_VALUE"""),"")</f>
        <v/>
      </c>
      <c r="X3074" s="1" t="str">
        <f>IFERROR(__xludf.DUMMYFUNCTION("""COMPUTED_VALUE"""),"")</f>
        <v/>
      </c>
      <c r="Y3074" s="2"/>
      <c r="Z3074" s="2" t="str">
        <f>IFERROR(__xludf.DUMMYFUNCTION("""COMPUTED_VALUE"""),"")</f>
        <v/>
      </c>
    </row>
    <row r="3075">
      <c r="A3075" s="1" t="str">
        <f>IFERROR(__xludf.DUMMYFUNCTION("""COMPUTED_VALUE"""),"")</f>
        <v/>
      </c>
      <c r="B3075" s="1"/>
      <c r="C3075" s="2"/>
      <c r="D3075" s="2"/>
      <c r="E3075" s="1"/>
      <c r="F3075" s="1"/>
      <c r="G3075" s="4" t="str">
        <f>IFERROR(__xludf.DUMMYFUNCTION("""COMPUTED_VALUE"""),"")</f>
        <v/>
      </c>
      <c r="H3075" s="4" t="str">
        <f>IFERROR(__xludf.DUMMYFUNCTION("""COMPUTED_VALUE"""),"")</f>
        <v/>
      </c>
      <c r="I3075" s="4" t="str">
        <f>IFERROR(__xludf.DUMMYFUNCTION("""COMPUTED_VALUE"""),"")</f>
        <v/>
      </c>
      <c r="J3075" s="4" t="str">
        <f>IFERROR(__xludf.DUMMYFUNCTION("""COMPUTED_VALUE"""),"")</f>
        <v/>
      </c>
      <c r="K3075" s="4" t="str">
        <f>IFERROR(__xludf.DUMMYFUNCTION("""COMPUTED_VALUE"""),"")</f>
        <v/>
      </c>
      <c r="L3075" s="4" t="str">
        <f>IFERROR(__xludf.DUMMYFUNCTION("""COMPUTED_VALUE"""),"")</f>
        <v/>
      </c>
      <c r="M3075" s="1" t="str">
        <f>IFERROR(__xludf.DUMMYFUNCTION("""COMPUTED_VALUE"""),"RFID")</f>
        <v>RFID</v>
      </c>
      <c r="N3075" s="5" t="str">
        <f>IFERROR(__xludf.DUMMYFUNCTION("""COMPUTED_VALUE"""),"")</f>
        <v/>
      </c>
      <c r="O3075" s="5" t="str">
        <f>IFERROR(__xludf.DUMMYFUNCTION("""COMPUTED_VALUE"""),"")</f>
        <v/>
      </c>
      <c r="P3075" s="5" t="str">
        <f>IFERROR(__xludf.DUMMYFUNCTION("""COMPUTED_VALUE"""),"")</f>
        <v/>
      </c>
      <c r="Q3075" s="5" t="str">
        <f>IFERROR(__xludf.DUMMYFUNCTION("""COMPUTED_VALUE"""),"")</f>
        <v/>
      </c>
      <c r="R3075" s="4" t="str">
        <f>IFERROR(__xludf.DUMMYFUNCTION("""COMPUTED_VALUE"""),"")</f>
        <v/>
      </c>
      <c r="S3075" s="1" t="b">
        <f>IFERROR(__xludf.DUMMYFUNCTION("""COMPUTED_VALUE"""),FALSE)</f>
        <v>0</v>
      </c>
      <c r="T3075" s="1" t="b">
        <f>IFERROR(__xludf.DUMMYFUNCTION("""COMPUTED_VALUE"""),FALSE)</f>
        <v>0</v>
      </c>
      <c r="U3075" s="1" t="str">
        <f>IFERROR(__xludf.DUMMYFUNCTION("""COMPUTED_VALUE"""),"")</f>
        <v/>
      </c>
      <c r="V3075" s="1" t="str">
        <f>IFERROR(__xludf.DUMMYFUNCTION("""COMPUTED_VALUE"""),"")</f>
        <v/>
      </c>
      <c r="W3075" s="1" t="str">
        <f>IFERROR(__xludf.DUMMYFUNCTION("""COMPUTED_VALUE"""),"")</f>
        <v/>
      </c>
      <c r="X3075" s="1" t="str">
        <f>IFERROR(__xludf.DUMMYFUNCTION("""COMPUTED_VALUE"""),"")</f>
        <v/>
      </c>
      <c r="Y3075" s="2"/>
      <c r="Z3075" s="2" t="str">
        <f>IFERROR(__xludf.DUMMYFUNCTION("""COMPUTED_VALUE"""),"")</f>
        <v/>
      </c>
    </row>
    <row r="3076">
      <c r="A3076" s="1" t="str">
        <f>IFERROR(__xludf.DUMMYFUNCTION("""COMPUTED_VALUE"""),"")</f>
        <v/>
      </c>
      <c r="B3076" s="1"/>
      <c r="C3076" s="2"/>
      <c r="D3076" s="2"/>
      <c r="E3076" s="1"/>
      <c r="F3076" s="1"/>
      <c r="G3076" s="4" t="str">
        <f>IFERROR(__xludf.DUMMYFUNCTION("""COMPUTED_VALUE"""),"")</f>
        <v/>
      </c>
      <c r="H3076" s="4" t="str">
        <f>IFERROR(__xludf.DUMMYFUNCTION("""COMPUTED_VALUE"""),"")</f>
        <v/>
      </c>
      <c r="I3076" s="4" t="str">
        <f>IFERROR(__xludf.DUMMYFUNCTION("""COMPUTED_VALUE"""),"")</f>
        <v/>
      </c>
      <c r="J3076" s="4" t="str">
        <f>IFERROR(__xludf.DUMMYFUNCTION("""COMPUTED_VALUE"""),"")</f>
        <v/>
      </c>
      <c r="K3076" s="4" t="str">
        <f>IFERROR(__xludf.DUMMYFUNCTION("""COMPUTED_VALUE"""),"")</f>
        <v/>
      </c>
      <c r="L3076" s="4" t="str">
        <f>IFERROR(__xludf.DUMMYFUNCTION("""COMPUTED_VALUE"""),"")</f>
        <v/>
      </c>
      <c r="M3076" s="1" t="str">
        <f>IFERROR(__xludf.DUMMYFUNCTION("""COMPUTED_VALUE"""),"RFID")</f>
        <v>RFID</v>
      </c>
      <c r="N3076" s="5" t="str">
        <f>IFERROR(__xludf.DUMMYFUNCTION("""COMPUTED_VALUE"""),"")</f>
        <v/>
      </c>
      <c r="O3076" s="5" t="str">
        <f>IFERROR(__xludf.DUMMYFUNCTION("""COMPUTED_VALUE"""),"")</f>
        <v/>
      </c>
      <c r="P3076" s="5" t="str">
        <f>IFERROR(__xludf.DUMMYFUNCTION("""COMPUTED_VALUE"""),"")</f>
        <v/>
      </c>
      <c r="Q3076" s="5" t="str">
        <f>IFERROR(__xludf.DUMMYFUNCTION("""COMPUTED_VALUE"""),"")</f>
        <v/>
      </c>
      <c r="R3076" s="4" t="str">
        <f>IFERROR(__xludf.DUMMYFUNCTION("""COMPUTED_VALUE"""),"")</f>
        <v/>
      </c>
      <c r="S3076" s="1" t="b">
        <f>IFERROR(__xludf.DUMMYFUNCTION("""COMPUTED_VALUE"""),FALSE)</f>
        <v>0</v>
      </c>
      <c r="T3076" s="1" t="b">
        <f>IFERROR(__xludf.DUMMYFUNCTION("""COMPUTED_VALUE"""),FALSE)</f>
        <v>0</v>
      </c>
      <c r="U3076" s="1" t="str">
        <f>IFERROR(__xludf.DUMMYFUNCTION("""COMPUTED_VALUE"""),"")</f>
        <v/>
      </c>
      <c r="V3076" s="1" t="str">
        <f>IFERROR(__xludf.DUMMYFUNCTION("""COMPUTED_VALUE"""),"")</f>
        <v/>
      </c>
      <c r="W3076" s="1" t="str">
        <f>IFERROR(__xludf.DUMMYFUNCTION("""COMPUTED_VALUE"""),"")</f>
        <v/>
      </c>
      <c r="X3076" s="1" t="str">
        <f>IFERROR(__xludf.DUMMYFUNCTION("""COMPUTED_VALUE"""),"")</f>
        <v/>
      </c>
      <c r="Y3076" s="2"/>
      <c r="Z3076" s="2" t="str">
        <f>IFERROR(__xludf.DUMMYFUNCTION("""COMPUTED_VALUE"""),"")</f>
        <v/>
      </c>
    </row>
    <row r="3077">
      <c r="A3077" s="1" t="str">
        <f>IFERROR(__xludf.DUMMYFUNCTION("""COMPUTED_VALUE"""),"")</f>
        <v/>
      </c>
      <c r="B3077" s="1"/>
      <c r="C3077" s="2"/>
      <c r="D3077" s="2"/>
      <c r="E3077" s="1"/>
      <c r="F3077" s="1"/>
      <c r="G3077" s="4" t="str">
        <f>IFERROR(__xludf.DUMMYFUNCTION("""COMPUTED_VALUE"""),"")</f>
        <v/>
      </c>
      <c r="H3077" s="4" t="str">
        <f>IFERROR(__xludf.DUMMYFUNCTION("""COMPUTED_VALUE"""),"")</f>
        <v/>
      </c>
      <c r="I3077" s="4" t="str">
        <f>IFERROR(__xludf.DUMMYFUNCTION("""COMPUTED_VALUE"""),"")</f>
        <v/>
      </c>
      <c r="J3077" s="4" t="str">
        <f>IFERROR(__xludf.DUMMYFUNCTION("""COMPUTED_VALUE"""),"")</f>
        <v/>
      </c>
      <c r="K3077" s="4" t="str">
        <f>IFERROR(__xludf.DUMMYFUNCTION("""COMPUTED_VALUE"""),"")</f>
        <v/>
      </c>
      <c r="L3077" s="4" t="str">
        <f>IFERROR(__xludf.DUMMYFUNCTION("""COMPUTED_VALUE"""),"")</f>
        <v/>
      </c>
      <c r="M3077" s="1" t="str">
        <f>IFERROR(__xludf.DUMMYFUNCTION("""COMPUTED_VALUE"""),"RFID")</f>
        <v>RFID</v>
      </c>
      <c r="N3077" s="5" t="str">
        <f>IFERROR(__xludf.DUMMYFUNCTION("""COMPUTED_VALUE"""),"")</f>
        <v/>
      </c>
      <c r="O3077" s="5" t="str">
        <f>IFERROR(__xludf.DUMMYFUNCTION("""COMPUTED_VALUE"""),"")</f>
        <v/>
      </c>
      <c r="P3077" s="5" t="str">
        <f>IFERROR(__xludf.DUMMYFUNCTION("""COMPUTED_VALUE"""),"")</f>
        <v/>
      </c>
      <c r="Q3077" s="5" t="str">
        <f>IFERROR(__xludf.DUMMYFUNCTION("""COMPUTED_VALUE"""),"")</f>
        <v/>
      </c>
      <c r="R3077" s="4" t="str">
        <f>IFERROR(__xludf.DUMMYFUNCTION("""COMPUTED_VALUE"""),"")</f>
        <v/>
      </c>
      <c r="S3077" s="1" t="b">
        <f>IFERROR(__xludf.DUMMYFUNCTION("""COMPUTED_VALUE"""),FALSE)</f>
        <v>0</v>
      </c>
      <c r="T3077" s="1" t="b">
        <f>IFERROR(__xludf.DUMMYFUNCTION("""COMPUTED_VALUE"""),FALSE)</f>
        <v>0</v>
      </c>
      <c r="U3077" s="1" t="str">
        <f>IFERROR(__xludf.DUMMYFUNCTION("""COMPUTED_VALUE"""),"")</f>
        <v/>
      </c>
      <c r="V3077" s="1" t="str">
        <f>IFERROR(__xludf.DUMMYFUNCTION("""COMPUTED_VALUE"""),"")</f>
        <v/>
      </c>
      <c r="W3077" s="1" t="str">
        <f>IFERROR(__xludf.DUMMYFUNCTION("""COMPUTED_VALUE"""),"")</f>
        <v/>
      </c>
      <c r="X3077" s="1" t="str">
        <f>IFERROR(__xludf.DUMMYFUNCTION("""COMPUTED_VALUE"""),"")</f>
        <v/>
      </c>
      <c r="Y3077" s="2"/>
      <c r="Z3077" s="2" t="str">
        <f>IFERROR(__xludf.DUMMYFUNCTION("""COMPUTED_VALUE"""),"")</f>
        <v/>
      </c>
    </row>
    <row r="3078">
      <c r="A3078" s="1" t="str">
        <f>IFERROR(__xludf.DUMMYFUNCTION("""COMPUTED_VALUE"""),"")</f>
        <v/>
      </c>
      <c r="B3078" s="1"/>
      <c r="C3078" s="2"/>
      <c r="D3078" s="2"/>
      <c r="E3078" s="1"/>
      <c r="F3078" s="1"/>
      <c r="G3078" s="4" t="str">
        <f>IFERROR(__xludf.DUMMYFUNCTION("""COMPUTED_VALUE"""),"")</f>
        <v/>
      </c>
      <c r="H3078" s="4" t="str">
        <f>IFERROR(__xludf.DUMMYFUNCTION("""COMPUTED_VALUE"""),"")</f>
        <v/>
      </c>
      <c r="I3078" s="4" t="str">
        <f>IFERROR(__xludf.DUMMYFUNCTION("""COMPUTED_VALUE"""),"")</f>
        <v/>
      </c>
      <c r="J3078" s="4" t="str">
        <f>IFERROR(__xludf.DUMMYFUNCTION("""COMPUTED_VALUE"""),"")</f>
        <v/>
      </c>
      <c r="K3078" s="4" t="str">
        <f>IFERROR(__xludf.DUMMYFUNCTION("""COMPUTED_VALUE"""),"")</f>
        <v/>
      </c>
      <c r="L3078" s="4" t="str">
        <f>IFERROR(__xludf.DUMMYFUNCTION("""COMPUTED_VALUE"""),"")</f>
        <v/>
      </c>
      <c r="M3078" s="1" t="str">
        <f>IFERROR(__xludf.DUMMYFUNCTION("""COMPUTED_VALUE"""),"RFID")</f>
        <v>RFID</v>
      </c>
      <c r="N3078" s="5" t="str">
        <f>IFERROR(__xludf.DUMMYFUNCTION("""COMPUTED_VALUE"""),"")</f>
        <v/>
      </c>
      <c r="O3078" s="5" t="str">
        <f>IFERROR(__xludf.DUMMYFUNCTION("""COMPUTED_VALUE"""),"")</f>
        <v/>
      </c>
      <c r="P3078" s="5" t="str">
        <f>IFERROR(__xludf.DUMMYFUNCTION("""COMPUTED_VALUE"""),"")</f>
        <v/>
      </c>
      <c r="Q3078" s="5" t="str">
        <f>IFERROR(__xludf.DUMMYFUNCTION("""COMPUTED_VALUE"""),"")</f>
        <v/>
      </c>
      <c r="R3078" s="4" t="str">
        <f>IFERROR(__xludf.DUMMYFUNCTION("""COMPUTED_VALUE"""),"")</f>
        <v/>
      </c>
      <c r="S3078" s="1" t="b">
        <f>IFERROR(__xludf.DUMMYFUNCTION("""COMPUTED_VALUE"""),FALSE)</f>
        <v>0</v>
      </c>
      <c r="T3078" s="1" t="b">
        <f>IFERROR(__xludf.DUMMYFUNCTION("""COMPUTED_VALUE"""),FALSE)</f>
        <v>0</v>
      </c>
      <c r="U3078" s="1" t="str">
        <f>IFERROR(__xludf.DUMMYFUNCTION("""COMPUTED_VALUE"""),"")</f>
        <v/>
      </c>
      <c r="V3078" s="1" t="str">
        <f>IFERROR(__xludf.DUMMYFUNCTION("""COMPUTED_VALUE"""),"")</f>
        <v/>
      </c>
      <c r="W3078" s="1" t="str">
        <f>IFERROR(__xludf.DUMMYFUNCTION("""COMPUTED_VALUE"""),"")</f>
        <v/>
      </c>
      <c r="X3078" s="1" t="str">
        <f>IFERROR(__xludf.DUMMYFUNCTION("""COMPUTED_VALUE"""),"")</f>
        <v/>
      </c>
      <c r="Y3078" s="2"/>
      <c r="Z3078" s="2" t="str">
        <f>IFERROR(__xludf.DUMMYFUNCTION("""COMPUTED_VALUE"""),"")</f>
        <v/>
      </c>
    </row>
    <row r="3079">
      <c r="A3079" s="1" t="str">
        <f>IFERROR(__xludf.DUMMYFUNCTION("""COMPUTED_VALUE"""),"")</f>
        <v/>
      </c>
      <c r="B3079" s="1"/>
      <c r="C3079" s="2"/>
      <c r="D3079" s="2"/>
      <c r="E3079" s="1"/>
      <c r="F3079" s="1"/>
      <c r="G3079" s="4" t="str">
        <f>IFERROR(__xludf.DUMMYFUNCTION("""COMPUTED_VALUE"""),"")</f>
        <v/>
      </c>
      <c r="H3079" s="4" t="str">
        <f>IFERROR(__xludf.DUMMYFUNCTION("""COMPUTED_VALUE"""),"")</f>
        <v/>
      </c>
      <c r="I3079" s="4" t="str">
        <f>IFERROR(__xludf.DUMMYFUNCTION("""COMPUTED_VALUE"""),"")</f>
        <v/>
      </c>
      <c r="J3079" s="4" t="str">
        <f>IFERROR(__xludf.DUMMYFUNCTION("""COMPUTED_VALUE"""),"")</f>
        <v/>
      </c>
      <c r="K3079" s="4" t="str">
        <f>IFERROR(__xludf.DUMMYFUNCTION("""COMPUTED_VALUE"""),"")</f>
        <v/>
      </c>
      <c r="L3079" s="4" t="str">
        <f>IFERROR(__xludf.DUMMYFUNCTION("""COMPUTED_VALUE"""),"")</f>
        <v/>
      </c>
      <c r="M3079" s="1" t="str">
        <f>IFERROR(__xludf.DUMMYFUNCTION("""COMPUTED_VALUE"""),"RFID")</f>
        <v>RFID</v>
      </c>
      <c r="N3079" s="5" t="str">
        <f>IFERROR(__xludf.DUMMYFUNCTION("""COMPUTED_VALUE"""),"")</f>
        <v/>
      </c>
      <c r="O3079" s="5" t="str">
        <f>IFERROR(__xludf.DUMMYFUNCTION("""COMPUTED_VALUE"""),"")</f>
        <v/>
      </c>
      <c r="P3079" s="5" t="str">
        <f>IFERROR(__xludf.DUMMYFUNCTION("""COMPUTED_VALUE"""),"")</f>
        <v/>
      </c>
      <c r="Q3079" s="5" t="str">
        <f>IFERROR(__xludf.DUMMYFUNCTION("""COMPUTED_VALUE"""),"")</f>
        <v/>
      </c>
      <c r="R3079" s="4" t="str">
        <f>IFERROR(__xludf.DUMMYFUNCTION("""COMPUTED_VALUE"""),"")</f>
        <v/>
      </c>
      <c r="S3079" s="1" t="b">
        <f>IFERROR(__xludf.DUMMYFUNCTION("""COMPUTED_VALUE"""),FALSE)</f>
        <v>0</v>
      </c>
      <c r="T3079" s="1" t="b">
        <f>IFERROR(__xludf.DUMMYFUNCTION("""COMPUTED_VALUE"""),FALSE)</f>
        <v>0</v>
      </c>
      <c r="U3079" s="1" t="str">
        <f>IFERROR(__xludf.DUMMYFUNCTION("""COMPUTED_VALUE"""),"")</f>
        <v/>
      </c>
      <c r="V3079" s="1" t="str">
        <f>IFERROR(__xludf.DUMMYFUNCTION("""COMPUTED_VALUE"""),"")</f>
        <v/>
      </c>
      <c r="W3079" s="1" t="str">
        <f>IFERROR(__xludf.DUMMYFUNCTION("""COMPUTED_VALUE"""),"")</f>
        <v/>
      </c>
      <c r="X3079" s="1" t="str">
        <f>IFERROR(__xludf.DUMMYFUNCTION("""COMPUTED_VALUE"""),"")</f>
        <v/>
      </c>
      <c r="Y3079" s="2"/>
      <c r="Z3079" s="2" t="str">
        <f>IFERROR(__xludf.DUMMYFUNCTION("""COMPUTED_VALUE"""),"")</f>
        <v/>
      </c>
    </row>
    <row r="3080">
      <c r="A3080" s="1" t="str">
        <f>IFERROR(__xludf.DUMMYFUNCTION("""COMPUTED_VALUE"""),"")</f>
        <v/>
      </c>
      <c r="B3080" s="1"/>
      <c r="C3080" s="2"/>
      <c r="D3080" s="2"/>
      <c r="E3080" s="1"/>
      <c r="F3080" s="1"/>
      <c r="G3080" s="4" t="str">
        <f>IFERROR(__xludf.DUMMYFUNCTION("""COMPUTED_VALUE"""),"")</f>
        <v/>
      </c>
      <c r="H3080" s="4" t="str">
        <f>IFERROR(__xludf.DUMMYFUNCTION("""COMPUTED_VALUE"""),"")</f>
        <v/>
      </c>
      <c r="I3080" s="4" t="str">
        <f>IFERROR(__xludf.DUMMYFUNCTION("""COMPUTED_VALUE"""),"")</f>
        <v/>
      </c>
      <c r="J3080" s="4" t="str">
        <f>IFERROR(__xludf.DUMMYFUNCTION("""COMPUTED_VALUE"""),"")</f>
        <v/>
      </c>
      <c r="K3080" s="4" t="str">
        <f>IFERROR(__xludf.DUMMYFUNCTION("""COMPUTED_VALUE"""),"")</f>
        <v/>
      </c>
      <c r="L3080" s="4" t="str">
        <f>IFERROR(__xludf.DUMMYFUNCTION("""COMPUTED_VALUE"""),"")</f>
        <v/>
      </c>
      <c r="M3080" s="1" t="str">
        <f>IFERROR(__xludf.DUMMYFUNCTION("""COMPUTED_VALUE"""),"RFID")</f>
        <v>RFID</v>
      </c>
      <c r="N3080" s="5" t="str">
        <f>IFERROR(__xludf.DUMMYFUNCTION("""COMPUTED_VALUE"""),"")</f>
        <v/>
      </c>
      <c r="O3080" s="5" t="str">
        <f>IFERROR(__xludf.DUMMYFUNCTION("""COMPUTED_VALUE"""),"")</f>
        <v/>
      </c>
      <c r="P3080" s="5" t="str">
        <f>IFERROR(__xludf.DUMMYFUNCTION("""COMPUTED_VALUE"""),"")</f>
        <v/>
      </c>
      <c r="Q3080" s="5" t="str">
        <f>IFERROR(__xludf.DUMMYFUNCTION("""COMPUTED_VALUE"""),"")</f>
        <v/>
      </c>
      <c r="R3080" s="4" t="str">
        <f>IFERROR(__xludf.DUMMYFUNCTION("""COMPUTED_VALUE"""),"")</f>
        <v/>
      </c>
      <c r="S3080" s="1" t="b">
        <f>IFERROR(__xludf.DUMMYFUNCTION("""COMPUTED_VALUE"""),FALSE)</f>
        <v>0</v>
      </c>
      <c r="T3080" s="1" t="b">
        <f>IFERROR(__xludf.DUMMYFUNCTION("""COMPUTED_VALUE"""),FALSE)</f>
        <v>0</v>
      </c>
      <c r="U3080" s="1" t="str">
        <f>IFERROR(__xludf.DUMMYFUNCTION("""COMPUTED_VALUE"""),"")</f>
        <v/>
      </c>
      <c r="V3080" s="1" t="str">
        <f>IFERROR(__xludf.DUMMYFUNCTION("""COMPUTED_VALUE"""),"")</f>
        <v/>
      </c>
      <c r="W3080" s="1" t="str">
        <f>IFERROR(__xludf.DUMMYFUNCTION("""COMPUTED_VALUE"""),"")</f>
        <v/>
      </c>
      <c r="X3080" s="1" t="str">
        <f>IFERROR(__xludf.DUMMYFUNCTION("""COMPUTED_VALUE"""),"")</f>
        <v/>
      </c>
      <c r="Y3080" s="2"/>
      <c r="Z3080" s="2" t="str">
        <f>IFERROR(__xludf.DUMMYFUNCTION("""COMPUTED_VALUE"""),"")</f>
        <v/>
      </c>
    </row>
    <row r="3081">
      <c r="A3081" s="1" t="str">
        <f>IFERROR(__xludf.DUMMYFUNCTION("""COMPUTED_VALUE"""),"")</f>
        <v/>
      </c>
      <c r="B3081" s="1"/>
      <c r="C3081" s="2"/>
      <c r="D3081" s="2"/>
      <c r="E3081" s="1"/>
      <c r="F3081" s="1"/>
      <c r="G3081" s="4" t="str">
        <f>IFERROR(__xludf.DUMMYFUNCTION("""COMPUTED_VALUE"""),"")</f>
        <v/>
      </c>
      <c r="H3081" s="4" t="str">
        <f>IFERROR(__xludf.DUMMYFUNCTION("""COMPUTED_VALUE"""),"")</f>
        <v/>
      </c>
      <c r="I3081" s="4" t="str">
        <f>IFERROR(__xludf.DUMMYFUNCTION("""COMPUTED_VALUE"""),"")</f>
        <v/>
      </c>
      <c r="J3081" s="4" t="str">
        <f>IFERROR(__xludf.DUMMYFUNCTION("""COMPUTED_VALUE"""),"")</f>
        <v/>
      </c>
      <c r="K3081" s="4" t="str">
        <f>IFERROR(__xludf.DUMMYFUNCTION("""COMPUTED_VALUE"""),"")</f>
        <v/>
      </c>
      <c r="L3081" s="4" t="str">
        <f>IFERROR(__xludf.DUMMYFUNCTION("""COMPUTED_VALUE"""),"")</f>
        <v/>
      </c>
      <c r="M3081" s="1" t="str">
        <f>IFERROR(__xludf.DUMMYFUNCTION("""COMPUTED_VALUE"""),"RFID")</f>
        <v>RFID</v>
      </c>
      <c r="N3081" s="5" t="str">
        <f>IFERROR(__xludf.DUMMYFUNCTION("""COMPUTED_VALUE"""),"")</f>
        <v/>
      </c>
      <c r="O3081" s="5" t="str">
        <f>IFERROR(__xludf.DUMMYFUNCTION("""COMPUTED_VALUE"""),"")</f>
        <v/>
      </c>
      <c r="P3081" s="5" t="str">
        <f>IFERROR(__xludf.DUMMYFUNCTION("""COMPUTED_VALUE"""),"")</f>
        <v/>
      </c>
      <c r="Q3081" s="5" t="str">
        <f>IFERROR(__xludf.DUMMYFUNCTION("""COMPUTED_VALUE"""),"")</f>
        <v/>
      </c>
      <c r="R3081" s="4" t="str">
        <f>IFERROR(__xludf.DUMMYFUNCTION("""COMPUTED_VALUE"""),"")</f>
        <v/>
      </c>
      <c r="S3081" s="1" t="b">
        <f>IFERROR(__xludf.DUMMYFUNCTION("""COMPUTED_VALUE"""),FALSE)</f>
        <v>0</v>
      </c>
      <c r="T3081" s="1" t="b">
        <f>IFERROR(__xludf.DUMMYFUNCTION("""COMPUTED_VALUE"""),FALSE)</f>
        <v>0</v>
      </c>
      <c r="U3081" s="1" t="str">
        <f>IFERROR(__xludf.DUMMYFUNCTION("""COMPUTED_VALUE"""),"")</f>
        <v/>
      </c>
      <c r="V3081" s="1" t="str">
        <f>IFERROR(__xludf.DUMMYFUNCTION("""COMPUTED_VALUE"""),"")</f>
        <v/>
      </c>
      <c r="W3081" s="1" t="str">
        <f>IFERROR(__xludf.DUMMYFUNCTION("""COMPUTED_VALUE"""),"")</f>
        <v/>
      </c>
      <c r="X3081" s="1" t="str">
        <f>IFERROR(__xludf.DUMMYFUNCTION("""COMPUTED_VALUE"""),"")</f>
        <v/>
      </c>
      <c r="Y3081" s="2"/>
      <c r="Z3081" s="2" t="str">
        <f>IFERROR(__xludf.DUMMYFUNCTION("""COMPUTED_VALUE"""),"")</f>
        <v/>
      </c>
    </row>
    <row r="3082">
      <c r="A3082" s="1" t="str">
        <f>IFERROR(__xludf.DUMMYFUNCTION("""COMPUTED_VALUE"""),"")</f>
        <v/>
      </c>
      <c r="B3082" s="1"/>
      <c r="C3082" s="2"/>
      <c r="D3082" s="2"/>
      <c r="E3082" s="1"/>
      <c r="F3082" s="1"/>
      <c r="G3082" s="4" t="str">
        <f>IFERROR(__xludf.DUMMYFUNCTION("""COMPUTED_VALUE"""),"")</f>
        <v/>
      </c>
      <c r="H3082" s="4" t="str">
        <f>IFERROR(__xludf.DUMMYFUNCTION("""COMPUTED_VALUE"""),"")</f>
        <v/>
      </c>
      <c r="I3082" s="4" t="str">
        <f>IFERROR(__xludf.DUMMYFUNCTION("""COMPUTED_VALUE"""),"")</f>
        <v/>
      </c>
      <c r="J3082" s="4" t="str">
        <f>IFERROR(__xludf.DUMMYFUNCTION("""COMPUTED_VALUE"""),"")</f>
        <v/>
      </c>
      <c r="K3082" s="4" t="str">
        <f>IFERROR(__xludf.DUMMYFUNCTION("""COMPUTED_VALUE"""),"")</f>
        <v/>
      </c>
      <c r="L3082" s="4" t="str">
        <f>IFERROR(__xludf.DUMMYFUNCTION("""COMPUTED_VALUE"""),"")</f>
        <v/>
      </c>
      <c r="M3082" s="1" t="str">
        <f>IFERROR(__xludf.DUMMYFUNCTION("""COMPUTED_VALUE"""),"RFID")</f>
        <v>RFID</v>
      </c>
      <c r="N3082" s="5" t="str">
        <f>IFERROR(__xludf.DUMMYFUNCTION("""COMPUTED_VALUE"""),"")</f>
        <v/>
      </c>
      <c r="O3082" s="5" t="str">
        <f>IFERROR(__xludf.DUMMYFUNCTION("""COMPUTED_VALUE"""),"")</f>
        <v/>
      </c>
      <c r="P3082" s="5" t="str">
        <f>IFERROR(__xludf.DUMMYFUNCTION("""COMPUTED_VALUE"""),"")</f>
        <v/>
      </c>
      <c r="Q3082" s="5" t="str">
        <f>IFERROR(__xludf.DUMMYFUNCTION("""COMPUTED_VALUE"""),"")</f>
        <v/>
      </c>
      <c r="R3082" s="4" t="str">
        <f>IFERROR(__xludf.DUMMYFUNCTION("""COMPUTED_VALUE"""),"")</f>
        <v/>
      </c>
      <c r="S3082" s="1" t="b">
        <f>IFERROR(__xludf.DUMMYFUNCTION("""COMPUTED_VALUE"""),FALSE)</f>
        <v>0</v>
      </c>
      <c r="T3082" s="1" t="b">
        <f>IFERROR(__xludf.DUMMYFUNCTION("""COMPUTED_VALUE"""),FALSE)</f>
        <v>0</v>
      </c>
      <c r="U3082" s="1" t="str">
        <f>IFERROR(__xludf.DUMMYFUNCTION("""COMPUTED_VALUE"""),"")</f>
        <v/>
      </c>
      <c r="V3082" s="1" t="str">
        <f>IFERROR(__xludf.DUMMYFUNCTION("""COMPUTED_VALUE"""),"")</f>
        <v/>
      </c>
      <c r="W3082" s="1" t="str">
        <f>IFERROR(__xludf.DUMMYFUNCTION("""COMPUTED_VALUE"""),"")</f>
        <v/>
      </c>
      <c r="X3082" s="1" t="str">
        <f>IFERROR(__xludf.DUMMYFUNCTION("""COMPUTED_VALUE"""),"")</f>
        <v/>
      </c>
      <c r="Y3082" s="2"/>
      <c r="Z3082" s="2" t="str">
        <f>IFERROR(__xludf.DUMMYFUNCTION("""COMPUTED_VALUE"""),"")</f>
        <v/>
      </c>
    </row>
    <row r="3083">
      <c r="A3083" s="1" t="str">
        <f>IFERROR(__xludf.DUMMYFUNCTION("""COMPUTED_VALUE"""),"")</f>
        <v/>
      </c>
      <c r="B3083" s="1"/>
      <c r="C3083" s="2"/>
      <c r="D3083" s="2"/>
      <c r="E3083" s="1"/>
      <c r="F3083" s="1"/>
      <c r="G3083" s="4" t="str">
        <f>IFERROR(__xludf.DUMMYFUNCTION("""COMPUTED_VALUE"""),"")</f>
        <v/>
      </c>
      <c r="H3083" s="4" t="str">
        <f>IFERROR(__xludf.DUMMYFUNCTION("""COMPUTED_VALUE"""),"")</f>
        <v/>
      </c>
      <c r="I3083" s="4" t="str">
        <f>IFERROR(__xludf.DUMMYFUNCTION("""COMPUTED_VALUE"""),"")</f>
        <v/>
      </c>
      <c r="J3083" s="4" t="str">
        <f>IFERROR(__xludf.DUMMYFUNCTION("""COMPUTED_VALUE"""),"")</f>
        <v/>
      </c>
      <c r="K3083" s="4" t="str">
        <f>IFERROR(__xludf.DUMMYFUNCTION("""COMPUTED_VALUE"""),"")</f>
        <v/>
      </c>
      <c r="L3083" s="4" t="str">
        <f>IFERROR(__xludf.DUMMYFUNCTION("""COMPUTED_VALUE"""),"")</f>
        <v/>
      </c>
      <c r="M3083" s="1" t="str">
        <f>IFERROR(__xludf.DUMMYFUNCTION("""COMPUTED_VALUE"""),"RFID")</f>
        <v>RFID</v>
      </c>
      <c r="N3083" s="5" t="str">
        <f>IFERROR(__xludf.DUMMYFUNCTION("""COMPUTED_VALUE"""),"")</f>
        <v/>
      </c>
      <c r="O3083" s="5" t="str">
        <f>IFERROR(__xludf.DUMMYFUNCTION("""COMPUTED_VALUE"""),"")</f>
        <v/>
      </c>
      <c r="P3083" s="5" t="str">
        <f>IFERROR(__xludf.DUMMYFUNCTION("""COMPUTED_VALUE"""),"")</f>
        <v/>
      </c>
      <c r="Q3083" s="5" t="str">
        <f>IFERROR(__xludf.DUMMYFUNCTION("""COMPUTED_VALUE"""),"")</f>
        <v/>
      </c>
      <c r="R3083" s="4" t="str">
        <f>IFERROR(__xludf.DUMMYFUNCTION("""COMPUTED_VALUE"""),"")</f>
        <v/>
      </c>
      <c r="S3083" s="1" t="b">
        <f>IFERROR(__xludf.DUMMYFUNCTION("""COMPUTED_VALUE"""),FALSE)</f>
        <v>0</v>
      </c>
      <c r="T3083" s="1" t="b">
        <f>IFERROR(__xludf.DUMMYFUNCTION("""COMPUTED_VALUE"""),FALSE)</f>
        <v>0</v>
      </c>
      <c r="U3083" s="1" t="str">
        <f>IFERROR(__xludf.DUMMYFUNCTION("""COMPUTED_VALUE"""),"")</f>
        <v/>
      </c>
      <c r="V3083" s="1" t="str">
        <f>IFERROR(__xludf.DUMMYFUNCTION("""COMPUTED_VALUE"""),"")</f>
        <v/>
      </c>
      <c r="W3083" s="1" t="str">
        <f>IFERROR(__xludf.DUMMYFUNCTION("""COMPUTED_VALUE"""),"")</f>
        <v/>
      </c>
      <c r="X3083" s="1" t="str">
        <f>IFERROR(__xludf.DUMMYFUNCTION("""COMPUTED_VALUE"""),"")</f>
        <v/>
      </c>
      <c r="Y3083" s="2"/>
      <c r="Z3083" s="2" t="str">
        <f>IFERROR(__xludf.DUMMYFUNCTION("""COMPUTED_VALUE"""),"")</f>
        <v/>
      </c>
    </row>
    <row r="3084">
      <c r="A3084" s="1" t="str">
        <f>IFERROR(__xludf.DUMMYFUNCTION("""COMPUTED_VALUE"""),"")</f>
        <v/>
      </c>
      <c r="B3084" s="1"/>
      <c r="C3084" s="2"/>
      <c r="D3084" s="2"/>
      <c r="E3084" s="1"/>
      <c r="F3084" s="1"/>
      <c r="G3084" s="4" t="str">
        <f>IFERROR(__xludf.DUMMYFUNCTION("""COMPUTED_VALUE"""),"")</f>
        <v/>
      </c>
      <c r="H3084" s="4" t="str">
        <f>IFERROR(__xludf.DUMMYFUNCTION("""COMPUTED_VALUE"""),"")</f>
        <v/>
      </c>
      <c r="I3084" s="4" t="str">
        <f>IFERROR(__xludf.DUMMYFUNCTION("""COMPUTED_VALUE"""),"")</f>
        <v/>
      </c>
      <c r="J3084" s="4" t="str">
        <f>IFERROR(__xludf.DUMMYFUNCTION("""COMPUTED_VALUE"""),"")</f>
        <v/>
      </c>
      <c r="K3084" s="4" t="str">
        <f>IFERROR(__xludf.DUMMYFUNCTION("""COMPUTED_VALUE"""),"")</f>
        <v/>
      </c>
      <c r="L3084" s="4" t="str">
        <f>IFERROR(__xludf.DUMMYFUNCTION("""COMPUTED_VALUE"""),"")</f>
        <v/>
      </c>
      <c r="M3084" s="1" t="str">
        <f>IFERROR(__xludf.DUMMYFUNCTION("""COMPUTED_VALUE"""),"RFID")</f>
        <v>RFID</v>
      </c>
      <c r="N3084" s="5" t="str">
        <f>IFERROR(__xludf.DUMMYFUNCTION("""COMPUTED_VALUE"""),"")</f>
        <v/>
      </c>
      <c r="O3084" s="5" t="str">
        <f>IFERROR(__xludf.DUMMYFUNCTION("""COMPUTED_VALUE"""),"")</f>
        <v/>
      </c>
      <c r="P3084" s="5" t="str">
        <f>IFERROR(__xludf.DUMMYFUNCTION("""COMPUTED_VALUE"""),"")</f>
        <v/>
      </c>
      <c r="Q3084" s="5" t="str">
        <f>IFERROR(__xludf.DUMMYFUNCTION("""COMPUTED_VALUE"""),"")</f>
        <v/>
      </c>
      <c r="R3084" s="4" t="str">
        <f>IFERROR(__xludf.DUMMYFUNCTION("""COMPUTED_VALUE"""),"")</f>
        <v/>
      </c>
      <c r="S3084" s="1" t="b">
        <f>IFERROR(__xludf.DUMMYFUNCTION("""COMPUTED_VALUE"""),FALSE)</f>
        <v>0</v>
      </c>
      <c r="T3084" s="1" t="b">
        <f>IFERROR(__xludf.DUMMYFUNCTION("""COMPUTED_VALUE"""),FALSE)</f>
        <v>0</v>
      </c>
      <c r="U3084" s="1" t="str">
        <f>IFERROR(__xludf.DUMMYFUNCTION("""COMPUTED_VALUE"""),"")</f>
        <v/>
      </c>
      <c r="V3084" s="1" t="str">
        <f>IFERROR(__xludf.DUMMYFUNCTION("""COMPUTED_VALUE"""),"")</f>
        <v/>
      </c>
      <c r="W3084" s="1" t="str">
        <f>IFERROR(__xludf.DUMMYFUNCTION("""COMPUTED_VALUE"""),"")</f>
        <v/>
      </c>
      <c r="X3084" s="1" t="str">
        <f>IFERROR(__xludf.DUMMYFUNCTION("""COMPUTED_VALUE"""),"")</f>
        <v/>
      </c>
      <c r="Y3084" s="2"/>
      <c r="Z3084" s="2" t="str">
        <f>IFERROR(__xludf.DUMMYFUNCTION("""COMPUTED_VALUE"""),"")</f>
        <v/>
      </c>
    </row>
    <row r="3085">
      <c r="A3085" s="1" t="str">
        <f>IFERROR(__xludf.DUMMYFUNCTION("""COMPUTED_VALUE"""),"")</f>
        <v/>
      </c>
      <c r="B3085" s="1"/>
      <c r="C3085" s="2"/>
      <c r="D3085" s="2"/>
      <c r="E3085" s="1"/>
      <c r="F3085" s="1"/>
      <c r="G3085" s="4" t="str">
        <f>IFERROR(__xludf.DUMMYFUNCTION("""COMPUTED_VALUE"""),"")</f>
        <v/>
      </c>
      <c r="H3085" s="4" t="str">
        <f>IFERROR(__xludf.DUMMYFUNCTION("""COMPUTED_VALUE"""),"")</f>
        <v/>
      </c>
      <c r="I3085" s="4" t="str">
        <f>IFERROR(__xludf.DUMMYFUNCTION("""COMPUTED_VALUE"""),"")</f>
        <v/>
      </c>
      <c r="J3085" s="4" t="str">
        <f>IFERROR(__xludf.DUMMYFUNCTION("""COMPUTED_VALUE"""),"")</f>
        <v/>
      </c>
      <c r="K3085" s="4" t="str">
        <f>IFERROR(__xludf.DUMMYFUNCTION("""COMPUTED_VALUE"""),"")</f>
        <v/>
      </c>
      <c r="L3085" s="4" t="str">
        <f>IFERROR(__xludf.DUMMYFUNCTION("""COMPUTED_VALUE"""),"")</f>
        <v/>
      </c>
      <c r="M3085" s="1" t="str">
        <f>IFERROR(__xludf.DUMMYFUNCTION("""COMPUTED_VALUE"""),"RFID")</f>
        <v>RFID</v>
      </c>
      <c r="N3085" s="5" t="str">
        <f>IFERROR(__xludf.DUMMYFUNCTION("""COMPUTED_VALUE"""),"")</f>
        <v/>
      </c>
      <c r="O3085" s="5" t="str">
        <f>IFERROR(__xludf.DUMMYFUNCTION("""COMPUTED_VALUE"""),"")</f>
        <v/>
      </c>
      <c r="P3085" s="5" t="str">
        <f>IFERROR(__xludf.DUMMYFUNCTION("""COMPUTED_VALUE"""),"")</f>
        <v/>
      </c>
      <c r="Q3085" s="5" t="str">
        <f>IFERROR(__xludf.DUMMYFUNCTION("""COMPUTED_VALUE"""),"")</f>
        <v/>
      </c>
      <c r="R3085" s="4" t="str">
        <f>IFERROR(__xludf.DUMMYFUNCTION("""COMPUTED_VALUE"""),"")</f>
        <v/>
      </c>
      <c r="S3085" s="1" t="b">
        <f>IFERROR(__xludf.DUMMYFUNCTION("""COMPUTED_VALUE"""),FALSE)</f>
        <v>0</v>
      </c>
      <c r="T3085" s="1" t="b">
        <f>IFERROR(__xludf.DUMMYFUNCTION("""COMPUTED_VALUE"""),FALSE)</f>
        <v>0</v>
      </c>
      <c r="U3085" s="1" t="str">
        <f>IFERROR(__xludf.DUMMYFUNCTION("""COMPUTED_VALUE"""),"")</f>
        <v/>
      </c>
      <c r="V3085" s="1" t="str">
        <f>IFERROR(__xludf.DUMMYFUNCTION("""COMPUTED_VALUE"""),"")</f>
        <v/>
      </c>
      <c r="W3085" s="1" t="str">
        <f>IFERROR(__xludf.DUMMYFUNCTION("""COMPUTED_VALUE"""),"")</f>
        <v/>
      </c>
      <c r="X3085" s="1" t="str">
        <f>IFERROR(__xludf.DUMMYFUNCTION("""COMPUTED_VALUE"""),"")</f>
        <v/>
      </c>
      <c r="Y3085" s="2"/>
      <c r="Z3085" s="2" t="str">
        <f>IFERROR(__xludf.DUMMYFUNCTION("""COMPUTED_VALUE"""),"")</f>
        <v/>
      </c>
    </row>
    <row r="3086">
      <c r="A3086" s="1" t="str">
        <f>IFERROR(__xludf.DUMMYFUNCTION("""COMPUTED_VALUE"""),"")</f>
        <v/>
      </c>
      <c r="B3086" s="1"/>
      <c r="C3086" s="2"/>
      <c r="D3086" s="2"/>
      <c r="E3086" s="1"/>
      <c r="F3086" s="1"/>
      <c r="G3086" s="4" t="str">
        <f>IFERROR(__xludf.DUMMYFUNCTION("""COMPUTED_VALUE"""),"")</f>
        <v/>
      </c>
      <c r="H3086" s="4" t="str">
        <f>IFERROR(__xludf.DUMMYFUNCTION("""COMPUTED_VALUE"""),"")</f>
        <v/>
      </c>
      <c r="I3086" s="4" t="str">
        <f>IFERROR(__xludf.DUMMYFUNCTION("""COMPUTED_VALUE"""),"")</f>
        <v/>
      </c>
      <c r="J3086" s="4" t="str">
        <f>IFERROR(__xludf.DUMMYFUNCTION("""COMPUTED_VALUE"""),"")</f>
        <v/>
      </c>
      <c r="K3086" s="4" t="str">
        <f>IFERROR(__xludf.DUMMYFUNCTION("""COMPUTED_VALUE"""),"")</f>
        <v/>
      </c>
      <c r="L3086" s="4" t="str">
        <f>IFERROR(__xludf.DUMMYFUNCTION("""COMPUTED_VALUE"""),"")</f>
        <v/>
      </c>
      <c r="M3086" s="1" t="str">
        <f>IFERROR(__xludf.DUMMYFUNCTION("""COMPUTED_VALUE"""),"RFID")</f>
        <v>RFID</v>
      </c>
      <c r="N3086" s="5" t="str">
        <f>IFERROR(__xludf.DUMMYFUNCTION("""COMPUTED_VALUE"""),"")</f>
        <v/>
      </c>
      <c r="O3086" s="5" t="str">
        <f>IFERROR(__xludf.DUMMYFUNCTION("""COMPUTED_VALUE"""),"")</f>
        <v/>
      </c>
      <c r="P3086" s="5" t="str">
        <f>IFERROR(__xludf.DUMMYFUNCTION("""COMPUTED_VALUE"""),"")</f>
        <v/>
      </c>
      <c r="Q3086" s="5" t="str">
        <f>IFERROR(__xludf.DUMMYFUNCTION("""COMPUTED_VALUE"""),"")</f>
        <v/>
      </c>
      <c r="R3086" s="4" t="str">
        <f>IFERROR(__xludf.DUMMYFUNCTION("""COMPUTED_VALUE"""),"")</f>
        <v/>
      </c>
      <c r="S3086" s="1" t="b">
        <f>IFERROR(__xludf.DUMMYFUNCTION("""COMPUTED_VALUE"""),FALSE)</f>
        <v>0</v>
      </c>
      <c r="T3086" s="1" t="b">
        <f>IFERROR(__xludf.DUMMYFUNCTION("""COMPUTED_VALUE"""),FALSE)</f>
        <v>0</v>
      </c>
      <c r="U3086" s="1" t="str">
        <f>IFERROR(__xludf.DUMMYFUNCTION("""COMPUTED_VALUE"""),"")</f>
        <v/>
      </c>
      <c r="V3086" s="1" t="str">
        <f>IFERROR(__xludf.DUMMYFUNCTION("""COMPUTED_VALUE"""),"")</f>
        <v/>
      </c>
      <c r="W3086" s="1" t="str">
        <f>IFERROR(__xludf.DUMMYFUNCTION("""COMPUTED_VALUE"""),"")</f>
        <v/>
      </c>
      <c r="X3086" s="1" t="str">
        <f>IFERROR(__xludf.DUMMYFUNCTION("""COMPUTED_VALUE"""),"")</f>
        <v/>
      </c>
      <c r="Y3086" s="2"/>
      <c r="Z3086" s="2" t="str">
        <f>IFERROR(__xludf.DUMMYFUNCTION("""COMPUTED_VALUE"""),"")</f>
        <v/>
      </c>
    </row>
    <row r="3087">
      <c r="A3087" s="1" t="str">
        <f>IFERROR(__xludf.DUMMYFUNCTION("""COMPUTED_VALUE"""),"")</f>
        <v/>
      </c>
      <c r="B3087" s="1"/>
      <c r="C3087" s="2"/>
      <c r="D3087" s="2"/>
      <c r="E3087" s="1"/>
      <c r="F3087" s="1"/>
      <c r="G3087" s="4" t="str">
        <f>IFERROR(__xludf.DUMMYFUNCTION("""COMPUTED_VALUE"""),"")</f>
        <v/>
      </c>
      <c r="H3087" s="4" t="str">
        <f>IFERROR(__xludf.DUMMYFUNCTION("""COMPUTED_VALUE"""),"")</f>
        <v/>
      </c>
      <c r="I3087" s="4" t="str">
        <f>IFERROR(__xludf.DUMMYFUNCTION("""COMPUTED_VALUE"""),"")</f>
        <v/>
      </c>
      <c r="J3087" s="4" t="str">
        <f>IFERROR(__xludf.DUMMYFUNCTION("""COMPUTED_VALUE"""),"")</f>
        <v/>
      </c>
      <c r="K3087" s="4" t="str">
        <f>IFERROR(__xludf.DUMMYFUNCTION("""COMPUTED_VALUE"""),"")</f>
        <v/>
      </c>
      <c r="L3087" s="4" t="str">
        <f>IFERROR(__xludf.DUMMYFUNCTION("""COMPUTED_VALUE"""),"")</f>
        <v/>
      </c>
      <c r="M3087" s="1" t="str">
        <f>IFERROR(__xludf.DUMMYFUNCTION("""COMPUTED_VALUE"""),"RFID")</f>
        <v>RFID</v>
      </c>
      <c r="N3087" s="5" t="str">
        <f>IFERROR(__xludf.DUMMYFUNCTION("""COMPUTED_VALUE"""),"")</f>
        <v/>
      </c>
      <c r="O3087" s="5" t="str">
        <f>IFERROR(__xludf.DUMMYFUNCTION("""COMPUTED_VALUE"""),"")</f>
        <v/>
      </c>
      <c r="P3087" s="5" t="str">
        <f>IFERROR(__xludf.DUMMYFUNCTION("""COMPUTED_VALUE"""),"")</f>
        <v/>
      </c>
      <c r="Q3087" s="5" t="str">
        <f>IFERROR(__xludf.DUMMYFUNCTION("""COMPUTED_VALUE"""),"")</f>
        <v/>
      </c>
      <c r="R3087" s="4" t="str">
        <f>IFERROR(__xludf.DUMMYFUNCTION("""COMPUTED_VALUE"""),"")</f>
        <v/>
      </c>
      <c r="S3087" s="1" t="b">
        <f>IFERROR(__xludf.DUMMYFUNCTION("""COMPUTED_VALUE"""),FALSE)</f>
        <v>0</v>
      </c>
      <c r="T3087" s="1" t="b">
        <f>IFERROR(__xludf.DUMMYFUNCTION("""COMPUTED_VALUE"""),FALSE)</f>
        <v>0</v>
      </c>
      <c r="U3087" s="1" t="str">
        <f>IFERROR(__xludf.DUMMYFUNCTION("""COMPUTED_VALUE"""),"")</f>
        <v/>
      </c>
      <c r="V3087" s="1" t="str">
        <f>IFERROR(__xludf.DUMMYFUNCTION("""COMPUTED_VALUE"""),"")</f>
        <v/>
      </c>
      <c r="W3087" s="1" t="str">
        <f>IFERROR(__xludf.DUMMYFUNCTION("""COMPUTED_VALUE"""),"")</f>
        <v/>
      </c>
      <c r="X3087" s="1" t="str">
        <f>IFERROR(__xludf.DUMMYFUNCTION("""COMPUTED_VALUE"""),"")</f>
        <v/>
      </c>
      <c r="Y3087" s="2"/>
      <c r="Z3087" s="2" t="str">
        <f>IFERROR(__xludf.DUMMYFUNCTION("""COMPUTED_VALUE"""),"")</f>
        <v/>
      </c>
    </row>
    <row r="3088">
      <c r="A3088" s="1" t="str">
        <f>IFERROR(__xludf.DUMMYFUNCTION("""COMPUTED_VALUE"""),"")</f>
        <v/>
      </c>
      <c r="B3088" s="1"/>
      <c r="C3088" s="2"/>
      <c r="D3088" s="2"/>
      <c r="E3088" s="1"/>
      <c r="F3088" s="1"/>
      <c r="G3088" s="4" t="str">
        <f>IFERROR(__xludf.DUMMYFUNCTION("""COMPUTED_VALUE"""),"")</f>
        <v/>
      </c>
      <c r="H3088" s="4" t="str">
        <f>IFERROR(__xludf.DUMMYFUNCTION("""COMPUTED_VALUE"""),"")</f>
        <v/>
      </c>
      <c r="I3088" s="4" t="str">
        <f>IFERROR(__xludf.DUMMYFUNCTION("""COMPUTED_VALUE"""),"")</f>
        <v/>
      </c>
      <c r="J3088" s="4" t="str">
        <f>IFERROR(__xludf.DUMMYFUNCTION("""COMPUTED_VALUE"""),"")</f>
        <v/>
      </c>
      <c r="K3088" s="4" t="str">
        <f>IFERROR(__xludf.DUMMYFUNCTION("""COMPUTED_VALUE"""),"")</f>
        <v/>
      </c>
      <c r="L3088" s="4" t="str">
        <f>IFERROR(__xludf.DUMMYFUNCTION("""COMPUTED_VALUE"""),"")</f>
        <v/>
      </c>
      <c r="M3088" s="1" t="str">
        <f>IFERROR(__xludf.DUMMYFUNCTION("""COMPUTED_VALUE"""),"RFID")</f>
        <v>RFID</v>
      </c>
      <c r="N3088" s="5" t="str">
        <f>IFERROR(__xludf.DUMMYFUNCTION("""COMPUTED_VALUE"""),"")</f>
        <v/>
      </c>
      <c r="O3088" s="5" t="str">
        <f>IFERROR(__xludf.DUMMYFUNCTION("""COMPUTED_VALUE"""),"")</f>
        <v/>
      </c>
      <c r="P3088" s="5" t="str">
        <f>IFERROR(__xludf.DUMMYFUNCTION("""COMPUTED_VALUE"""),"")</f>
        <v/>
      </c>
      <c r="Q3088" s="5" t="str">
        <f>IFERROR(__xludf.DUMMYFUNCTION("""COMPUTED_VALUE"""),"")</f>
        <v/>
      </c>
      <c r="R3088" s="4" t="str">
        <f>IFERROR(__xludf.DUMMYFUNCTION("""COMPUTED_VALUE"""),"")</f>
        <v/>
      </c>
      <c r="S3088" s="1" t="b">
        <f>IFERROR(__xludf.DUMMYFUNCTION("""COMPUTED_VALUE"""),FALSE)</f>
        <v>0</v>
      </c>
      <c r="T3088" s="1" t="b">
        <f>IFERROR(__xludf.DUMMYFUNCTION("""COMPUTED_VALUE"""),FALSE)</f>
        <v>0</v>
      </c>
      <c r="U3088" s="1" t="str">
        <f>IFERROR(__xludf.DUMMYFUNCTION("""COMPUTED_VALUE"""),"")</f>
        <v/>
      </c>
      <c r="V3088" s="1" t="str">
        <f>IFERROR(__xludf.DUMMYFUNCTION("""COMPUTED_VALUE"""),"")</f>
        <v/>
      </c>
      <c r="W3088" s="1" t="str">
        <f>IFERROR(__xludf.DUMMYFUNCTION("""COMPUTED_VALUE"""),"")</f>
        <v/>
      </c>
      <c r="X3088" s="1" t="str">
        <f>IFERROR(__xludf.DUMMYFUNCTION("""COMPUTED_VALUE"""),"")</f>
        <v/>
      </c>
      <c r="Y3088" s="2"/>
      <c r="Z3088" s="2" t="str">
        <f>IFERROR(__xludf.DUMMYFUNCTION("""COMPUTED_VALUE"""),"")</f>
        <v/>
      </c>
    </row>
    <row r="3089">
      <c r="A3089" s="1" t="str">
        <f>IFERROR(__xludf.DUMMYFUNCTION("""COMPUTED_VALUE"""),"")</f>
        <v/>
      </c>
      <c r="B3089" s="1"/>
      <c r="C3089" s="2"/>
      <c r="D3089" s="2"/>
      <c r="E3089" s="1"/>
      <c r="F3089" s="1"/>
      <c r="G3089" s="4" t="str">
        <f>IFERROR(__xludf.DUMMYFUNCTION("""COMPUTED_VALUE"""),"")</f>
        <v/>
      </c>
      <c r="H3089" s="4" t="str">
        <f>IFERROR(__xludf.DUMMYFUNCTION("""COMPUTED_VALUE"""),"")</f>
        <v/>
      </c>
      <c r="I3089" s="4" t="str">
        <f>IFERROR(__xludf.DUMMYFUNCTION("""COMPUTED_VALUE"""),"")</f>
        <v/>
      </c>
      <c r="J3089" s="4" t="str">
        <f>IFERROR(__xludf.DUMMYFUNCTION("""COMPUTED_VALUE"""),"")</f>
        <v/>
      </c>
      <c r="K3089" s="4" t="str">
        <f>IFERROR(__xludf.DUMMYFUNCTION("""COMPUTED_VALUE"""),"")</f>
        <v/>
      </c>
      <c r="L3089" s="4" t="str">
        <f>IFERROR(__xludf.DUMMYFUNCTION("""COMPUTED_VALUE"""),"")</f>
        <v/>
      </c>
      <c r="M3089" s="1" t="str">
        <f>IFERROR(__xludf.DUMMYFUNCTION("""COMPUTED_VALUE"""),"RFID")</f>
        <v>RFID</v>
      </c>
      <c r="N3089" s="5" t="str">
        <f>IFERROR(__xludf.DUMMYFUNCTION("""COMPUTED_VALUE"""),"")</f>
        <v/>
      </c>
      <c r="O3089" s="5" t="str">
        <f>IFERROR(__xludf.DUMMYFUNCTION("""COMPUTED_VALUE"""),"")</f>
        <v/>
      </c>
      <c r="P3089" s="5" t="str">
        <f>IFERROR(__xludf.DUMMYFUNCTION("""COMPUTED_VALUE"""),"")</f>
        <v/>
      </c>
      <c r="Q3089" s="5" t="str">
        <f>IFERROR(__xludf.DUMMYFUNCTION("""COMPUTED_VALUE"""),"")</f>
        <v/>
      </c>
      <c r="R3089" s="4" t="str">
        <f>IFERROR(__xludf.DUMMYFUNCTION("""COMPUTED_VALUE"""),"")</f>
        <v/>
      </c>
      <c r="S3089" s="1" t="b">
        <f>IFERROR(__xludf.DUMMYFUNCTION("""COMPUTED_VALUE"""),FALSE)</f>
        <v>0</v>
      </c>
      <c r="T3089" s="1" t="b">
        <f>IFERROR(__xludf.DUMMYFUNCTION("""COMPUTED_VALUE"""),FALSE)</f>
        <v>0</v>
      </c>
      <c r="U3089" s="1" t="str">
        <f>IFERROR(__xludf.DUMMYFUNCTION("""COMPUTED_VALUE"""),"")</f>
        <v/>
      </c>
      <c r="V3089" s="1" t="str">
        <f>IFERROR(__xludf.DUMMYFUNCTION("""COMPUTED_VALUE"""),"")</f>
        <v/>
      </c>
      <c r="W3089" s="1" t="str">
        <f>IFERROR(__xludf.DUMMYFUNCTION("""COMPUTED_VALUE"""),"")</f>
        <v/>
      </c>
      <c r="X3089" s="1" t="str">
        <f>IFERROR(__xludf.DUMMYFUNCTION("""COMPUTED_VALUE"""),"")</f>
        <v/>
      </c>
      <c r="Y3089" s="2"/>
      <c r="Z3089" s="2" t="str">
        <f>IFERROR(__xludf.DUMMYFUNCTION("""COMPUTED_VALUE"""),"")</f>
        <v/>
      </c>
    </row>
    <row r="3090">
      <c r="A3090" s="1" t="str">
        <f>IFERROR(__xludf.DUMMYFUNCTION("""COMPUTED_VALUE"""),"")</f>
        <v/>
      </c>
      <c r="B3090" s="1"/>
      <c r="C3090" s="2"/>
      <c r="D3090" s="2"/>
      <c r="E3090" s="1"/>
      <c r="F3090" s="1"/>
      <c r="G3090" s="4" t="str">
        <f>IFERROR(__xludf.DUMMYFUNCTION("""COMPUTED_VALUE"""),"")</f>
        <v/>
      </c>
      <c r="H3090" s="4" t="str">
        <f>IFERROR(__xludf.DUMMYFUNCTION("""COMPUTED_VALUE"""),"")</f>
        <v/>
      </c>
      <c r="I3090" s="4" t="str">
        <f>IFERROR(__xludf.DUMMYFUNCTION("""COMPUTED_VALUE"""),"")</f>
        <v/>
      </c>
      <c r="J3090" s="4" t="str">
        <f>IFERROR(__xludf.DUMMYFUNCTION("""COMPUTED_VALUE"""),"")</f>
        <v/>
      </c>
      <c r="K3090" s="4" t="str">
        <f>IFERROR(__xludf.DUMMYFUNCTION("""COMPUTED_VALUE"""),"")</f>
        <v/>
      </c>
      <c r="L3090" s="4" t="str">
        <f>IFERROR(__xludf.DUMMYFUNCTION("""COMPUTED_VALUE"""),"")</f>
        <v/>
      </c>
      <c r="M3090" s="1" t="str">
        <f>IFERROR(__xludf.DUMMYFUNCTION("""COMPUTED_VALUE"""),"RFID")</f>
        <v>RFID</v>
      </c>
      <c r="N3090" s="5" t="str">
        <f>IFERROR(__xludf.DUMMYFUNCTION("""COMPUTED_VALUE"""),"")</f>
        <v/>
      </c>
      <c r="O3090" s="5" t="str">
        <f>IFERROR(__xludf.DUMMYFUNCTION("""COMPUTED_VALUE"""),"")</f>
        <v/>
      </c>
      <c r="P3090" s="5" t="str">
        <f>IFERROR(__xludf.DUMMYFUNCTION("""COMPUTED_VALUE"""),"")</f>
        <v/>
      </c>
      <c r="Q3090" s="5" t="str">
        <f>IFERROR(__xludf.DUMMYFUNCTION("""COMPUTED_VALUE"""),"")</f>
        <v/>
      </c>
      <c r="R3090" s="4" t="str">
        <f>IFERROR(__xludf.DUMMYFUNCTION("""COMPUTED_VALUE"""),"")</f>
        <v/>
      </c>
      <c r="S3090" s="1" t="b">
        <f>IFERROR(__xludf.DUMMYFUNCTION("""COMPUTED_VALUE"""),FALSE)</f>
        <v>0</v>
      </c>
      <c r="T3090" s="1" t="b">
        <f>IFERROR(__xludf.DUMMYFUNCTION("""COMPUTED_VALUE"""),FALSE)</f>
        <v>0</v>
      </c>
      <c r="U3090" s="1" t="str">
        <f>IFERROR(__xludf.DUMMYFUNCTION("""COMPUTED_VALUE"""),"")</f>
        <v/>
      </c>
      <c r="V3090" s="1" t="str">
        <f>IFERROR(__xludf.DUMMYFUNCTION("""COMPUTED_VALUE"""),"")</f>
        <v/>
      </c>
      <c r="W3090" s="1" t="str">
        <f>IFERROR(__xludf.DUMMYFUNCTION("""COMPUTED_VALUE"""),"")</f>
        <v/>
      </c>
      <c r="X3090" s="1" t="str">
        <f>IFERROR(__xludf.DUMMYFUNCTION("""COMPUTED_VALUE"""),"")</f>
        <v/>
      </c>
      <c r="Y3090" s="2"/>
      <c r="Z3090" s="2" t="str">
        <f>IFERROR(__xludf.DUMMYFUNCTION("""COMPUTED_VALUE"""),"")</f>
        <v/>
      </c>
    </row>
    <row r="3091">
      <c r="A3091" s="1" t="str">
        <f>IFERROR(__xludf.DUMMYFUNCTION("""COMPUTED_VALUE"""),"")</f>
        <v/>
      </c>
      <c r="B3091" s="1"/>
      <c r="C3091" s="2"/>
      <c r="D3091" s="2"/>
      <c r="E3091" s="1"/>
      <c r="F3091" s="1"/>
      <c r="G3091" s="4" t="str">
        <f>IFERROR(__xludf.DUMMYFUNCTION("""COMPUTED_VALUE"""),"")</f>
        <v/>
      </c>
      <c r="H3091" s="4" t="str">
        <f>IFERROR(__xludf.DUMMYFUNCTION("""COMPUTED_VALUE"""),"")</f>
        <v/>
      </c>
      <c r="I3091" s="4" t="str">
        <f>IFERROR(__xludf.DUMMYFUNCTION("""COMPUTED_VALUE"""),"")</f>
        <v/>
      </c>
      <c r="J3091" s="4" t="str">
        <f>IFERROR(__xludf.DUMMYFUNCTION("""COMPUTED_VALUE"""),"")</f>
        <v/>
      </c>
      <c r="K3091" s="4" t="str">
        <f>IFERROR(__xludf.DUMMYFUNCTION("""COMPUTED_VALUE"""),"")</f>
        <v/>
      </c>
      <c r="L3091" s="4" t="str">
        <f>IFERROR(__xludf.DUMMYFUNCTION("""COMPUTED_VALUE"""),"")</f>
        <v/>
      </c>
      <c r="M3091" s="1" t="str">
        <f>IFERROR(__xludf.DUMMYFUNCTION("""COMPUTED_VALUE"""),"RFID")</f>
        <v>RFID</v>
      </c>
      <c r="N3091" s="5" t="str">
        <f>IFERROR(__xludf.DUMMYFUNCTION("""COMPUTED_VALUE"""),"")</f>
        <v/>
      </c>
      <c r="O3091" s="5" t="str">
        <f>IFERROR(__xludf.DUMMYFUNCTION("""COMPUTED_VALUE"""),"")</f>
        <v/>
      </c>
      <c r="P3091" s="5" t="str">
        <f>IFERROR(__xludf.DUMMYFUNCTION("""COMPUTED_VALUE"""),"")</f>
        <v/>
      </c>
      <c r="Q3091" s="5" t="str">
        <f>IFERROR(__xludf.DUMMYFUNCTION("""COMPUTED_VALUE"""),"")</f>
        <v/>
      </c>
      <c r="R3091" s="4" t="str">
        <f>IFERROR(__xludf.DUMMYFUNCTION("""COMPUTED_VALUE"""),"")</f>
        <v/>
      </c>
      <c r="S3091" s="1" t="b">
        <f>IFERROR(__xludf.DUMMYFUNCTION("""COMPUTED_VALUE"""),FALSE)</f>
        <v>0</v>
      </c>
      <c r="T3091" s="1" t="b">
        <f>IFERROR(__xludf.DUMMYFUNCTION("""COMPUTED_VALUE"""),FALSE)</f>
        <v>0</v>
      </c>
      <c r="U3091" s="1" t="str">
        <f>IFERROR(__xludf.DUMMYFUNCTION("""COMPUTED_VALUE"""),"")</f>
        <v/>
      </c>
      <c r="V3091" s="1" t="str">
        <f>IFERROR(__xludf.DUMMYFUNCTION("""COMPUTED_VALUE"""),"")</f>
        <v/>
      </c>
      <c r="W3091" s="1" t="str">
        <f>IFERROR(__xludf.DUMMYFUNCTION("""COMPUTED_VALUE"""),"")</f>
        <v/>
      </c>
      <c r="X3091" s="1" t="str">
        <f>IFERROR(__xludf.DUMMYFUNCTION("""COMPUTED_VALUE"""),"")</f>
        <v/>
      </c>
      <c r="Y3091" s="2"/>
      <c r="Z3091" s="2" t="str">
        <f>IFERROR(__xludf.DUMMYFUNCTION("""COMPUTED_VALUE"""),"")</f>
        <v/>
      </c>
    </row>
    <row r="3092">
      <c r="A3092" s="1" t="str">
        <f>IFERROR(__xludf.DUMMYFUNCTION("""COMPUTED_VALUE"""),"")</f>
        <v/>
      </c>
      <c r="B3092" s="1"/>
      <c r="C3092" s="2"/>
      <c r="D3092" s="2"/>
      <c r="E3092" s="1"/>
      <c r="F3092" s="1"/>
      <c r="G3092" s="4" t="str">
        <f>IFERROR(__xludf.DUMMYFUNCTION("""COMPUTED_VALUE"""),"")</f>
        <v/>
      </c>
      <c r="H3092" s="4" t="str">
        <f>IFERROR(__xludf.DUMMYFUNCTION("""COMPUTED_VALUE"""),"")</f>
        <v/>
      </c>
      <c r="I3092" s="4" t="str">
        <f>IFERROR(__xludf.DUMMYFUNCTION("""COMPUTED_VALUE"""),"")</f>
        <v/>
      </c>
      <c r="J3092" s="4" t="str">
        <f>IFERROR(__xludf.DUMMYFUNCTION("""COMPUTED_VALUE"""),"")</f>
        <v/>
      </c>
      <c r="K3092" s="4" t="str">
        <f>IFERROR(__xludf.DUMMYFUNCTION("""COMPUTED_VALUE"""),"")</f>
        <v/>
      </c>
      <c r="L3092" s="4" t="str">
        <f>IFERROR(__xludf.DUMMYFUNCTION("""COMPUTED_VALUE"""),"")</f>
        <v/>
      </c>
      <c r="M3092" s="1" t="str">
        <f>IFERROR(__xludf.DUMMYFUNCTION("""COMPUTED_VALUE"""),"RFID")</f>
        <v>RFID</v>
      </c>
      <c r="N3092" s="5" t="str">
        <f>IFERROR(__xludf.DUMMYFUNCTION("""COMPUTED_VALUE"""),"")</f>
        <v/>
      </c>
      <c r="O3092" s="5" t="str">
        <f>IFERROR(__xludf.DUMMYFUNCTION("""COMPUTED_VALUE"""),"")</f>
        <v/>
      </c>
      <c r="P3092" s="5" t="str">
        <f>IFERROR(__xludf.DUMMYFUNCTION("""COMPUTED_VALUE"""),"")</f>
        <v/>
      </c>
      <c r="Q3092" s="5" t="str">
        <f>IFERROR(__xludf.DUMMYFUNCTION("""COMPUTED_VALUE"""),"")</f>
        <v/>
      </c>
      <c r="R3092" s="4" t="str">
        <f>IFERROR(__xludf.DUMMYFUNCTION("""COMPUTED_VALUE"""),"")</f>
        <v/>
      </c>
      <c r="S3092" s="1" t="b">
        <f>IFERROR(__xludf.DUMMYFUNCTION("""COMPUTED_VALUE"""),FALSE)</f>
        <v>0</v>
      </c>
      <c r="T3092" s="1" t="b">
        <f>IFERROR(__xludf.DUMMYFUNCTION("""COMPUTED_VALUE"""),FALSE)</f>
        <v>0</v>
      </c>
      <c r="U3092" s="1" t="str">
        <f>IFERROR(__xludf.DUMMYFUNCTION("""COMPUTED_VALUE"""),"")</f>
        <v/>
      </c>
      <c r="V3092" s="1" t="str">
        <f>IFERROR(__xludf.DUMMYFUNCTION("""COMPUTED_VALUE"""),"")</f>
        <v/>
      </c>
      <c r="W3092" s="1" t="str">
        <f>IFERROR(__xludf.DUMMYFUNCTION("""COMPUTED_VALUE"""),"")</f>
        <v/>
      </c>
      <c r="X3092" s="1" t="str">
        <f>IFERROR(__xludf.DUMMYFUNCTION("""COMPUTED_VALUE"""),"")</f>
        <v/>
      </c>
      <c r="Y3092" s="2"/>
      <c r="Z3092" s="2" t="str">
        <f>IFERROR(__xludf.DUMMYFUNCTION("""COMPUTED_VALUE"""),"")</f>
        <v/>
      </c>
    </row>
    <row r="3093">
      <c r="A3093" s="1" t="str">
        <f>IFERROR(__xludf.DUMMYFUNCTION("""COMPUTED_VALUE"""),"")</f>
        <v/>
      </c>
      <c r="B3093" s="1"/>
      <c r="C3093" s="2"/>
      <c r="D3093" s="2"/>
      <c r="E3093" s="1"/>
      <c r="F3093" s="1"/>
      <c r="G3093" s="4" t="str">
        <f>IFERROR(__xludf.DUMMYFUNCTION("""COMPUTED_VALUE"""),"")</f>
        <v/>
      </c>
      <c r="H3093" s="4" t="str">
        <f>IFERROR(__xludf.DUMMYFUNCTION("""COMPUTED_VALUE"""),"")</f>
        <v/>
      </c>
      <c r="I3093" s="4" t="str">
        <f>IFERROR(__xludf.DUMMYFUNCTION("""COMPUTED_VALUE"""),"")</f>
        <v/>
      </c>
      <c r="J3093" s="4" t="str">
        <f>IFERROR(__xludf.DUMMYFUNCTION("""COMPUTED_VALUE"""),"")</f>
        <v/>
      </c>
      <c r="K3093" s="4" t="str">
        <f>IFERROR(__xludf.DUMMYFUNCTION("""COMPUTED_VALUE"""),"")</f>
        <v/>
      </c>
      <c r="L3093" s="4" t="str">
        <f>IFERROR(__xludf.DUMMYFUNCTION("""COMPUTED_VALUE"""),"")</f>
        <v/>
      </c>
      <c r="M3093" s="1" t="str">
        <f>IFERROR(__xludf.DUMMYFUNCTION("""COMPUTED_VALUE"""),"RFID")</f>
        <v>RFID</v>
      </c>
      <c r="N3093" s="5" t="str">
        <f>IFERROR(__xludf.DUMMYFUNCTION("""COMPUTED_VALUE"""),"")</f>
        <v/>
      </c>
      <c r="O3093" s="5" t="str">
        <f>IFERROR(__xludf.DUMMYFUNCTION("""COMPUTED_VALUE"""),"")</f>
        <v/>
      </c>
      <c r="P3093" s="5" t="str">
        <f>IFERROR(__xludf.DUMMYFUNCTION("""COMPUTED_VALUE"""),"")</f>
        <v/>
      </c>
      <c r="Q3093" s="5" t="str">
        <f>IFERROR(__xludf.DUMMYFUNCTION("""COMPUTED_VALUE"""),"")</f>
        <v/>
      </c>
      <c r="R3093" s="4" t="str">
        <f>IFERROR(__xludf.DUMMYFUNCTION("""COMPUTED_VALUE"""),"")</f>
        <v/>
      </c>
      <c r="S3093" s="1" t="b">
        <f>IFERROR(__xludf.DUMMYFUNCTION("""COMPUTED_VALUE"""),FALSE)</f>
        <v>0</v>
      </c>
      <c r="T3093" s="1" t="b">
        <f>IFERROR(__xludf.DUMMYFUNCTION("""COMPUTED_VALUE"""),FALSE)</f>
        <v>0</v>
      </c>
      <c r="U3093" s="1" t="str">
        <f>IFERROR(__xludf.DUMMYFUNCTION("""COMPUTED_VALUE"""),"")</f>
        <v/>
      </c>
      <c r="V3093" s="1" t="str">
        <f>IFERROR(__xludf.DUMMYFUNCTION("""COMPUTED_VALUE"""),"")</f>
        <v/>
      </c>
      <c r="W3093" s="1" t="str">
        <f>IFERROR(__xludf.DUMMYFUNCTION("""COMPUTED_VALUE"""),"")</f>
        <v/>
      </c>
      <c r="X3093" s="1" t="str">
        <f>IFERROR(__xludf.DUMMYFUNCTION("""COMPUTED_VALUE"""),"")</f>
        <v/>
      </c>
      <c r="Y3093" s="2"/>
      <c r="Z3093" s="2" t="str">
        <f>IFERROR(__xludf.DUMMYFUNCTION("""COMPUTED_VALUE"""),"")</f>
        <v/>
      </c>
    </row>
    <row r="3094">
      <c r="A3094" s="1" t="str">
        <f>IFERROR(__xludf.DUMMYFUNCTION("""COMPUTED_VALUE"""),"")</f>
        <v/>
      </c>
      <c r="B3094" s="1"/>
      <c r="C3094" s="2"/>
      <c r="D3094" s="2"/>
      <c r="E3094" s="1"/>
      <c r="F3094" s="1"/>
      <c r="G3094" s="4" t="str">
        <f>IFERROR(__xludf.DUMMYFUNCTION("""COMPUTED_VALUE"""),"")</f>
        <v/>
      </c>
      <c r="H3094" s="4" t="str">
        <f>IFERROR(__xludf.DUMMYFUNCTION("""COMPUTED_VALUE"""),"")</f>
        <v/>
      </c>
      <c r="I3094" s="4" t="str">
        <f>IFERROR(__xludf.DUMMYFUNCTION("""COMPUTED_VALUE"""),"")</f>
        <v/>
      </c>
      <c r="J3094" s="4" t="str">
        <f>IFERROR(__xludf.DUMMYFUNCTION("""COMPUTED_VALUE"""),"")</f>
        <v/>
      </c>
      <c r="K3094" s="4" t="str">
        <f>IFERROR(__xludf.DUMMYFUNCTION("""COMPUTED_VALUE"""),"")</f>
        <v/>
      </c>
      <c r="L3094" s="4" t="str">
        <f>IFERROR(__xludf.DUMMYFUNCTION("""COMPUTED_VALUE"""),"")</f>
        <v/>
      </c>
      <c r="M3094" s="1" t="str">
        <f>IFERROR(__xludf.DUMMYFUNCTION("""COMPUTED_VALUE"""),"RFID")</f>
        <v>RFID</v>
      </c>
      <c r="N3094" s="5" t="str">
        <f>IFERROR(__xludf.DUMMYFUNCTION("""COMPUTED_VALUE"""),"")</f>
        <v/>
      </c>
      <c r="O3094" s="5" t="str">
        <f>IFERROR(__xludf.DUMMYFUNCTION("""COMPUTED_VALUE"""),"")</f>
        <v/>
      </c>
      <c r="P3094" s="5" t="str">
        <f>IFERROR(__xludf.DUMMYFUNCTION("""COMPUTED_VALUE"""),"")</f>
        <v/>
      </c>
      <c r="Q3094" s="5" t="str">
        <f>IFERROR(__xludf.DUMMYFUNCTION("""COMPUTED_VALUE"""),"")</f>
        <v/>
      </c>
      <c r="R3094" s="4" t="str">
        <f>IFERROR(__xludf.DUMMYFUNCTION("""COMPUTED_VALUE"""),"")</f>
        <v/>
      </c>
      <c r="S3094" s="1" t="b">
        <f>IFERROR(__xludf.DUMMYFUNCTION("""COMPUTED_VALUE"""),FALSE)</f>
        <v>0</v>
      </c>
      <c r="T3094" s="1" t="b">
        <f>IFERROR(__xludf.DUMMYFUNCTION("""COMPUTED_VALUE"""),FALSE)</f>
        <v>0</v>
      </c>
      <c r="U3094" s="1" t="str">
        <f>IFERROR(__xludf.DUMMYFUNCTION("""COMPUTED_VALUE"""),"")</f>
        <v/>
      </c>
      <c r="V3094" s="1" t="str">
        <f>IFERROR(__xludf.DUMMYFUNCTION("""COMPUTED_VALUE"""),"")</f>
        <v/>
      </c>
      <c r="W3094" s="1" t="str">
        <f>IFERROR(__xludf.DUMMYFUNCTION("""COMPUTED_VALUE"""),"")</f>
        <v/>
      </c>
      <c r="X3094" s="1" t="str">
        <f>IFERROR(__xludf.DUMMYFUNCTION("""COMPUTED_VALUE"""),"")</f>
        <v/>
      </c>
      <c r="Y3094" s="2"/>
      <c r="Z3094" s="2" t="str">
        <f>IFERROR(__xludf.DUMMYFUNCTION("""COMPUTED_VALUE"""),"")</f>
        <v/>
      </c>
    </row>
    <row r="3095">
      <c r="A3095" s="1" t="str">
        <f>IFERROR(__xludf.DUMMYFUNCTION("""COMPUTED_VALUE"""),"")</f>
        <v/>
      </c>
      <c r="B3095" s="1"/>
      <c r="C3095" s="2"/>
      <c r="D3095" s="2"/>
      <c r="E3095" s="1"/>
      <c r="F3095" s="1"/>
      <c r="G3095" s="4" t="str">
        <f>IFERROR(__xludf.DUMMYFUNCTION("""COMPUTED_VALUE"""),"")</f>
        <v/>
      </c>
      <c r="H3095" s="4" t="str">
        <f>IFERROR(__xludf.DUMMYFUNCTION("""COMPUTED_VALUE"""),"")</f>
        <v/>
      </c>
      <c r="I3095" s="4" t="str">
        <f>IFERROR(__xludf.DUMMYFUNCTION("""COMPUTED_VALUE"""),"")</f>
        <v/>
      </c>
      <c r="J3095" s="4" t="str">
        <f>IFERROR(__xludf.DUMMYFUNCTION("""COMPUTED_VALUE"""),"")</f>
        <v/>
      </c>
      <c r="K3095" s="4" t="str">
        <f>IFERROR(__xludf.DUMMYFUNCTION("""COMPUTED_VALUE"""),"")</f>
        <v/>
      </c>
      <c r="L3095" s="4" t="str">
        <f>IFERROR(__xludf.DUMMYFUNCTION("""COMPUTED_VALUE"""),"")</f>
        <v/>
      </c>
      <c r="M3095" s="1" t="str">
        <f>IFERROR(__xludf.DUMMYFUNCTION("""COMPUTED_VALUE"""),"RFID")</f>
        <v>RFID</v>
      </c>
      <c r="N3095" s="5" t="str">
        <f>IFERROR(__xludf.DUMMYFUNCTION("""COMPUTED_VALUE"""),"")</f>
        <v/>
      </c>
      <c r="O3095" s="5" t="str">
        <f>IFERROR(__xludf.DUMMYFUNCTION("""COMPUTED_VALUE"""),"")</f>
        <v/>
      </c>
      <c r="P3095" s="5" t="str">
        <f>IFERROR(__xludf.DUMMYFUNCTION("""COMPUTED_VALUE"""),"")</f>
        <v/>
      </c>
      <c r="Q3095" s="5" t="str">
        <f>IFERROR(__xludf.DUMMYFUNCTION("""COMPUTED_VALUE"""),"")</f>
        <v/>
      </c>
      <c r="R3095" s="4" t="str">
        <f>IFERROR(__xludf.DUMMYFUNCTION("""COMPUTED_VALUE"""),"")</f>
        <v/>
      </c>
      <c r="S3095" s="1" t="b">
        <f>IFERROR(__xludf.DUMMYFUNCTION("""COMPUTED_VALUE"""),FALSE)</f>
        <v>0</v>
      </c>
      <c r="T3095" s="1" t="b">
        <f>IFERROR(__xludf.DUMMYFUNCTION("""COMPUTED_VALUE"""),FALSE)</f>
        <v>0</v>
      </c>
      <c r="U3095" s="1" t="str">
        <f>IFERROR(__xludf.DUMMYFUNCTION("""COMPUTED_VALUE"""),"")</f>
        <v/>
      </c>
      <c r="V3095" s="1" t="str">
        <f>IFERROR(__xludf.DUMMYFUNCTION("""COMPUTED_VALUE"""),"")</f>
        <v/>
      </c>
      <c r="W3095" s="1" t="str">
        <f>IFERROR(__xludf.DUMMYFUNCTION("""COMPUTED_VALUE"""),"")</f>
        <v/>
      </c>
      <c r="X3095" s="1" t="str">
        <f>IFERROR(__xludf.DUMMYFUNCTION("""COMPUTED_VALUE"""),"")</f>
        <v/>
      </c>
      <c r="Y3095" s="2"/>
      <c r="Z3095" s="2" t="str">
        <f>IFERROR(__xludf.DUMMYFUNCTION("""COMPUTED_VALUE"""),"")</f>
        <v/>
      </c>
    </row>
    <row r="3096">
      <c r="A3096" s="1" t="str">
        <f>IFERROR(__xludf.DUMMYFUNCTION("""COMPUTED_VALUE"""),"")</f>
        <v/>
      </c>
      <c r="B3096" s="1"/>
      <c r="C3096" s="2"/>
      <c r="D3096" s="2"/>
      <c r="E3096" s="1"/>
      <c r="F3096" s="1"/>
      <c r="G3096" s="4" t="str">
        <f>IFERROR(__xludf.DUMMYFUNCTION("""COMPUTED_VALUE"""),"")</f>
        <v/>
      </c>
      <c r="H3096" s="4" t="str">
        <f>IFERROR(__xludf.DUMMYFUNCTION("""COMPUTED_VALUE"""),"")</f>
        <v/>
      </c>
      <c r="I3096" s="4" t="str">
        <f>IFERROR(__xludf.DUMMYFUNCTION("""COMPUTED_VALUE"""),"")</f>
        <v/>
      </c>
      <c r="J3096" s="4" t="str">
        <f>IFERROR(__xludf.DUMMYFUNCTION("""COMPUTED_VALUE"""),"")</f>
        <v/>
      </c>
      <c r="K3096" s="4" t="str">
        <f>IFERROR(__xludf.DUMMYFUNCTION("""COMPUTED_VALUE"""),"")</f>
        <v/>
      </c>
      <c r="L3096" s="4" t="str">
        <f>IFERROR(__xludf.DUMMYFUNCTION("""COMPUTED_VALUE"""),"")</f>
        <v/>
      </c>
      <c r="M3096" s="1" t="str">
        <f>IFERROR(__xludf.DUMMYFUNCTION("""COMPUTED_VALUE"""),"RFID")</f>
        <v>RFID</v>
      </c>
      <c r="N3096" s="5" t="str">
        <f>IFERROR(__xludf.DUMMYFUNCTION("""COMPUTED_VALUE"""),"")</f>
        <v/>
      </c>
      <c r="O3096" s="5" t="str">
        <f>IFERROR(__xludf.DUMMYFUNCTION("""COMPUTED_VALUE"""),"")</f>
        <v/>
      </c>
      <c r="P3096" s="5" t="str">
        <f>IFERROR(__xludf.DUMMYFUNCTION("""COMPUTED_VALUE"""),"")</f>
        <v/>
      </c>
      <c r="Q3096" s="5" t="str">
        <f>IFERROR(__xludf.DUMMYFUNCTION("""COMPUTED_VALUE"""),"")</f>
        <v/>
      </c>
      <c r="R3096" s="4" t="str">
        <f>IFERROR(__xludf.DUMMYFUNCTION("""COMPUTED_VALUE"""),"")</f>
        <v/>
      </c>
      <c r="S3096" s="1" t="b">
        <f>IFERROR(__xludf.DUMMYFUNCTION("""COMPUTED_VALUE"""),FALSE)</f>
        <v>0</v>
      </c>
      <c r="T3096" s="1" t="b">
        <f>IFERROR(__xludf.DUMMYFUNCTION("""COMPUTED_VALUE"""),FALSE)</f>
        <v>0</v>
      </c>
      <c r="U3096" s="1" t="str">
        <f>IFERROR(__xludf.DUMMYFUNCTION("""COMPUTED_VALUE"""),"")</f>
        <v/>
      </c>
      <c r="V3096" s="1" t="str">
        <f>IFERROR(__xludf.DUMMYFUNCTION("""COMPUTED_VALUE"""),"")</f>
        <v/>
      </c>
      <c r="W3096" s="1" t="str">
        <f>IFERROR(__xludf.DUMMYFUNCTION("""COMPUTED_VALUE"""),"")</f>
        <v/>
      </c>
      <c r="X3096" s="1" t="str">
        <f>IFERROR(__xludf.DUMMYFUNCTION("""COMPUTED_VALUE"""),"")</f>
        <v/>
      </c>
      <c r="Y3096" s="2"/>
      <c r="Z3096" s="2" t="str">
        <f>IFERROR(__xludf.DUMMYFUNCTION("""COMPUTED_VALUE"""),"")</f>
        <v/>
      </c>
    </row>
    <row r="3097">
      <c r="A3097" s="1" t="str">
        <f>IFERROR(__xludf.DUMMYFUNCTION("""COMPUTED_VALUE"""),"")</f>
        <v/>
      </c>
      <c r="B3097" s="1"/>
      <c r="C3097" s="2"/>
      <c r="D3097" s="2"/>
      <c r="E3097" s="1"/>
      <c r="F3097" s="1"/>
      <c r="G3097" s="4" t="str">
        <f>IFERROR(__xludf.DUMMYFUNCTION("""COMPUTED_VALUE"""),"")</f>
        <v/>
      </c>
      <c r="H3097" s="4" t="str">
        <f>IFERROR(__xludf.DUMMYFUNCTION("""COMPUTED_VALUE"""),"")</f>
        <v/>
      </c>
      <c r="I3097" s="4" t="str">
        <f>IFERROR(__xludf.DUMMYFUNCTION("""COMPUTED_VALUE"""),"")</f>
        <v/>
      </c>
      <c r="J3097" s="4" t="str">
        <f>IFERROR(__xludf.DUMMYFUNCTION("""COMPUTED_VALUE"""),"")</f>
        <v/>
      </c>
      <c r="K3097" s="4" t="str">
        <f>IFERROR(__xludf.DUMMYFUNCTION("""COMPUTED_VALUE"""),"")</f>
        <v/>
      </c>
      <c r="L3097" s="4" t="str">
        <f>IFERROR(__xludf.DUMMYFUNCTION("""COMPUTED_VALUE"""),"")</f>
        <v/>
      </c>
      <c r="M3097" s="1" t="str">
        <f>IFERROR(__xludf.DUMMYFUNCTION("""COMPUTED_VALUE"""),"RFID")</f>
        <v>RFID</v>
      </c>
      <c r="N3097" s="5" t="str">
        <f>IFERROR(__xludf.DUMMYFUNCTION("""COMPUTED_VALUE"""),"")</f>
        <v/>
      </c>
      <c r="O3097" s="5" t="str">
        <f>IFERROR(__xludf.DUMMYFUNCTION("""COMPUTED_VALUE"""),"")</f>
        <v/>
      </c>
      <c r="P3097" s="5" t="str">
        <f>IFERROR(__xludf.DUMMYFUNCTION("""COMPUTED_VALUE"""),"")</f>
        <v/>
      </c>
      <c r="Q3097" s="5" t="str">
        <f>IFERROR(__xludf.DUMMYFUNCTION("""COMPUTED_VALUE"""),"")</f>
        <v/>
      </c>
      <c r="R3097" s="4" t="str">
        <f>IFERROR(__xludf.DUMMYFUNCTION("""COMPUTED_VALUE"""),"")</f>
        <v/>
      </c>
      <c r="S3097" s="1" t="b">
        <f>IFERROR(__xludf.DUMMYFUNCTION("""COMPUTED_VALUE"""),FALSE)</f>
        <v>0</v>
      </c>
      <c r="T3097" s="1" t="b">
        <f>IFERROR(__xludf.DUMMYFUNCTION("""COMPUTED_VALUE"""),FALSE)</f>
        <v>0</v>
      </c>
      <c r="U3097" s="1" t="str">
        <f>IFERROR(__xludf.DUMMYFUNCTION("""COMPUTED_VALUE"""),"")</f>
        <v/>
      </c>
      <c r="V3097" s="1" t="str">
        <f>IFERROR(__xludf.DUMMYFUNCTION("""COMPUTED_VALUE"""),"")</f>
        <v/>
      </c>
      <c r="W3097" s="1" t="str">
        <f>IFERROR(__xludf.DUMMYFUNCTION("""COMPUTED_VALUE"""),"")</f>
        <v/>
      </c>
      <c r="X3097" s="1" t="str">
        <f>IFERROR(__xludf.DUMMYFUNCTION("""COMPUTED_VALUE"""),"")</f>
        <v/>
      </c>
      <c r="Y3097" s="2"/>
      <c r="Z3097" s="2" t="str">
        <f>IFERROR(__xludf.DUMMYFUNCTION("""COMPUTED_VALUE"""),"")</f>
        <v/>
      </c>
    </row>
    <row r="3098">
      <c r="A3098" s="1" t="str">
        <f>IFERROR(__xludf.DUMMYFUNCTION("""COMPUTED_VALUE"""),"")</f>
        <v/>
      </c>
      <c r="B3098" s="1"/>
      <c r="C3098" s="2"/>
      <c r="D3098" s="2"/>
      <c r="E3098" s="1"/>
      <c r="F3098" s="1"/>
      <c r="G3098" s="4" t="str">
        <f>IFERROR(__xludf.DUMMYFUNCTION("""COMPUTED_VALUE"""),"")</f>
        <v/>
      </c>
      <c r="H3098" s="4" t="str">
        <f>IFERROR(__xludf.DUMMYFUNCTION("""COMPUTED_VALUE"""),"")</f>
        <v/>
      </c>
      <c r="I3098" s="4" t="str">
        <f>IFERROR(__xludf.DUMMYFUNCTION("""COMPUTED_VALUE"""),"")</f>
        <v/>
      </c>
      <c r="J3098" s="4" t="str">
        <f>IFERROR(__xludf.DUMMYFUNCTION("""COMPUTED_VALUE"""),"")</f>
        <v/>
      </c>
      <c r="K3098" s="4" t="str">
        <f>IFERROR(__xludf.DUMMYFUNCTION("""COMPUTED_VALUE"""),"")</f>
        <v/>
      </c>
      <c r="L3098" s="4" t="str">
        <f>IFERROR(__xludf.DUMMYFUNCTION("""COMPUTED_VALUE"""),"")</f>
        <v/>
      </c>
      <c r="M3098" s="1" t="str">
        <f>IFERROR(__xludf.DUMMYFUNCTION("""COMPUTED_VALUE"""),"RFID")</f>
        <v>RFID</v>
      </c>
      <c r="N3098" s="5" t="str">
        <f>IFERROR(__xludf.DUMMYFUNCTION("""COMPUTED_VALUE"""),"")</f>
        <v/>
      </c>
      <c r="O3098" s="5" t="str">
        <f>IFERROR(__xludf.DUMMYFUNCTION("""COMPUTED_VALUE"""),"")</f>
        <v/>
      </c>
      <c r="P3098" s="5" t="str">
        <f>IFERROR(__xludf.DUMMYFUNCTION("""COMPUTED_VALUE"""),"")</f>
        <v/>
      </c>
      <c r="Q3098" s="5" t="str">
        <f>IFERROR(__xludf.DUMMYFUNCTION("""COMPUTED_VALUE"""),"")</f>
        <v/>
      </c>
      <c r="R3098" s="4" t="str">
        <f>IFERROR(__xludf.DUMMYFUNCTION("""COMPUTED_VALUE"""),"")</f>
        <v/>
      </c>
      <c r="S3098" s="1" t="b">
        <f>IFERROR(__xludf.DUMMYFUNCTION("""COMPUTED_VALUE"""),FALSE)</f>
        <v>0</v>
      </c>
      <c r="T3098" s="1" t="b">
        <f>IFERROR(__xludf.DUMMYFUNCTION("""COMPUTED_VALUE"""),FALSE)</f>
        <v>0</v>
      </c>
      <c r="U3098" s="1" t="str">
        <f>IFERROR(__xludf.DUMMYFUNCTION("""COMPUTED_VALUE"""),"")</f>
        <v/>
      </c>
      <c r="V3098" s="1" t="str">
        <f>IFERROR(__xludf.DUMMYFUNCTION("""COMPUTED_VALUE"""),"")</f>
        <v/>
      </c>
      <c r="W3098" s="1" t="str">
        <f>IFERROR(__xludf.DUMMYFUNCTION("""COMPUTED_VALUE"""),"")</f>
        <v/>
      </c>
      <c r="X3098" s="1" t="str">
        <f>IFERROR(__xludf.DUMMYFUNCTION("""COMPUTED_VALUE"""),"")</f>
        <v/>
      </c>
      <c r="Y3098" s="2"/>
      <c r="Z3098" s="2" t="str">
        <f>IFERROR(__xludf.DUMMYFUNCTION("""COMPUTED_VALUE"""),"")</f>
        <v/>
      </c>
    </row>
    <row r="3099">
      <c r="A3099" s="1" t="str">
        <f>IFERROR(__xludf.DUMMYFUNCTION("""COMPUTED_VALUE"""),"")</f>
        <v/>
      </c>
      <c r="B3099" s="1"/>
      <c r="C3099" s="2"/>
      <c r="D3099" s="2"/>
      <c r="E3099" s="1"/>
      <c r="F3099" s="1"/>
      <c r="G3099" s="4" t="str">
        <f>IFERROR(__xludf.DUMMYFUNCTION("""COMPUTED_VALUE"""),"")</f>
        <v/>
      </c>
      <c r="H3099" s="4" t="str">
        <f>IFERROR(__xludf.DUMMYFUNCTION("""COMPUTED_VALUE"""),"")</f>
        <v/>
      </c>
      <c r="I3099" s="4" t="str">
        <f>IFERROR(__xludf.DUMMYFUNCTION("""COMPUTED_VALUE"""),"")</f>
        <v/>
      </c>
      <c r="J3099" s="4" t="str">
        <f>IFERROR(__xludf.DUMMYFUNCTION("""COMPUTED_VALUE"""),"")</f>
        <v/>
      </c>
      <c r="K3099" s="4" t="str">
        <f>IFERROR(__xludf.DUMMYFUNCTION("""COMPUTED_VALUE"""),"")</f>
        <v/>
      </c>
      <c r="L3099" s="4" t="str">
        <f>IFERROR(__xludf.DUMMYFUNCTION("""COMPUTED_VALUE"""),"")</f>
        <v/>
      </c>
      <c r="M3099" s="1" t="str">
        <f>IFERROR(__xludf.DUMMYFUNCTION("""COMPUTED_VALUE"""),"RFID")</f>
        <v>RFID</v>
      </c>
      <c r="N3099" s="5" t="str">
        <f>IFERROR(__xludf.DUMMYFUNCTION("""COMPUTED_VALUE"""),"")</f>
        <v/>
      </c>
      <c r="O3099" s="5" t="str">
        <f>IFERROR(__xludf.DUMMYFUNCTION("""COMPUTED_VALUE"""),"")</f>
        <v/>
      </c>
      <c r="P3099" s="5" t="str">
        <f>IFERROR(__xludf.DUMMYFUNCTION("""COMPUTED_VALUE"""),"")</f>
        <v/>
      </c>
      <c r="Q3099" s="5" t="str">
        <f>IFERROR(__xludf.DUMMYFUNCTION("""COMPUTED_VALUE"""),"")</f>
        <v/>
      </c>
      <c r="R3099" s="4" t="str">
        <f>IFERROR(__xludf.DUMMYFUNCTION("""COMPUTED_VALUE"""),"")</f>
        <v/>
      </c>
      <c r="S3099" s="1" t="b">
        <f>IFERROR(__xludf.DUMMYFUNCTION("""COMPUTED_VALUE"""),FALSE)</f>
        <v>0</v>
      </c>
      <c r="T3099" s="1" t="b">
        <f>IFERROR(__xludf.DUMMYFUNCTION("""COMPUTED_VALUE"""),FALSE)</f>
        <v>0</v>
      </c>
      <c r="U3099" s="1" t="str">
        <f>IFERROR(__xludf.DUMMYFUNCTION("""COMPUTED_VALUE"""),"")</f>
        <v/>
      </c>
      <c r="V3099" s="1" t="str">
        <f>IFERROR(__xludf.DUMMYFUNCTION("""COMPUTED_VALUE"""),"")</f>
        <v/>
      </c>
      <c r="W3099" s="1" t="str">
        <f>IFERROR(__xludf.DUMMYFUNCTION("""COMPUTED_VALUE"""),"")</f>
        <v/>
      </c>
      <c r="X3099" s="1" t="str">
        <f>IFERROR(__xludf.DUMMYFUNCTION("""COMPUTED_VALUE"""),"")</f>
        <v/>
      </c>
      <c r="Y3099" s="2"/>
      <c r="Z3099" s="2" t="str">
        <f>IFERROR(__xludf.DUMMYFUNCTION("""COMPUTED_VALUE"""),"")</f>
        <v/>
      </c>
    </row>
    <row r="3100">
      <c r="A3100" s="1" t="str">
        <f>IFERROR(__xludf.DUMMYFUNCTION("""COMPUTED_VALUE"""),"")</f>
        <v/>
      </c>
      <c r="B3100" s="1"/>
      <c r="C3100" s="2"/>
      <c r="D3100" s="2"/>
      <c r="E3100" s="1"/>
      <c r="F3100" s="1"/>
      <c r="G3100" s="4" t="str">
        <f>IFERROR(__xludf.DUMMYFUNCTION("""COMPUTED_VALUE"""),"")</f>
        <v/>
      </c>
      <c r="H3100" s="4" t="str">
        <f>IFERROR(__xludf.DUMMYFUNCTION("""COMPUTED_VALUE"""),"")</f>
        <v/>
      </c>
      <c r="I3100" s="4" t="str">
        <f>IFERROR(__xludf.DUMMYFUNCTION("""COMPUTED_VALUE"""),"")</f>
        <v/>
      </c>
      <c r="J3100" s="4" t="str">
        <f>IFERROR(__xludf.DUMMYFUNCTION("""COMPUTED_VALUE"""),"")</f>
        <v/>
      </c>
      <c r="K3100" s="4" t="str">
        <f>IFERROR(__xludf.DUMMYFUNCTION("""COMPUTED_VALUE"""),"")</f>
        <v/>
      </c>
      <c r="L3100" s="4" t="str">
        <f>IFERROR(__xludf.DUMMYFUNCTION("""COMPUTED_VALUE"""),"")</f>
        <v/>
      </c>
      <c r="M3100" s="1" t="str">
        <f>IFERROR(__xludf.DUMMYFUNCTION("""COMPUTED_VALUE"""),"RFID")</f>
        <v>RFID</v>
      </c>
      <c r="N3100" s="5" t="str">
        <f>IFERROR(__xludf.DUMMYFUNCTION("""COMPUTED_VALUE"""),"")</f>
        <v/>
      </c>
      <c r="O3100" s="5" t="str">
        <f>IFERROR(__xludf.DUMMYFUNCTION("""COMPUTED_VALUE"""),"")</f>
        <v/>
      </c>
      <c r="P3100" s="5" t="str">
        <f>IFERROR(__xludf.DUMMYFUNCTION("""COMPUTED_VALUE"""),"")</f>
        <v/>
      </c>
      <c r="Q3100" s="5" t="str">
        <f>IFERROR(__xludf.DUMMYFUNCTION("""COMPUTED_VALUE"""),"")</f>
        <v/>
      </c>
      <c r="R3100" s="4" t="str">
        <f>IFERROR(__xludf.DUMMYFUNCTION("""COMPUTED_VALUE"""),"")</f>
        <v/>
      </c>
      <c r="S3100" s="1" t="b">
        <f>IFERROR(__xludf.DUMMYFUNCTION("""COMPUTED_VALUE"""),FALSE)</f>
        <v>0</v>
      </c>
      <c r="T3100" s="1" t="b">
        <f>IFERROR(__xludf.DUMMYFUNCTION("""COMPUTED_VALUE"""),FALSE)</f>
        <v>0</v>
      </c>
      <c r="U3100" s="1" t="str">
        <f>IFERROR(__xludf.DUMMYFUNCTION("""COMPUTED_VALUE"""),"")</f>
        <v/>
      </c>
      <c r="V3100" s="1" t="str">
        <f>IFERROR(__xludf.DUMMYFUNCTION("""COMPUTED_VALUE"""),"")</f>
        <v/>
      </c>
      <c r="W3100" s="1" t="str">
        <f>IFERROR(__xludf.DUMMYFUNCTION("""COMPUTED_VALUE"""),"")</f>
        <v/>
      </c>
      <c r="X3100" s="1" t="str">
        <f>IFERROR(__xludf.DUMMYFUNCTION("""COMPUTED_VALUE"""),"")</f>
        <v/>
      </c>
      <c r="Y3100" s="2"/>
      <c r="Z3100" s="2" t="str">
        <f>IFERROR(__xludf.DUMMYFUNCTION("""COMPUTED_VALUE"""),"")</f>
        <v/>
      </c>
    </row>
    <row r="3101">
      <c r="A3101" s="1" t="str">
        <f>IFERROR(__xludf.DUMMYFUNCTION("""COMPUTED_VALUE"""),"")</f>
        <v/>
      </c>
      <c r="B3101" s="1"/>
      <c r="C3101" s="2"/>
      <c r="D3101" s="2"/>
      <c r="E3101" s="1"/>
      <c r="F3101" s="1"/>
      <c r="G3101" s="4" t="str">
        <f>IFERROR(__xludf.DUMMYFUNCTION("""COMPUTED_VALUE"""),"")</f>
        <v/>
      </c>
      <c r="H3101" s="4" t="str">
        <f>IFERROR(__xludf.DUMMYFUNCTION("""COMPUTED_VALUE"""),"")</f>
        <v/>
      </c>
      <c r="I3101" s="4" t="str">
        <f>IFERROR(__xludf.DUMMYFUNCTION("""COMPUTED_VALUE"""),"")</f>
        <v/>
      </c>
      <c r="J3101" s="4" t="str">
        <f>IFERROR(__xludf.DUMMYFUNCTION("""COMPUTED_VALUE"""),"")</f>
        <v/>
      </c>
      <c r="K3101" s="4" t="str">
        <f>IFERROR(__xludf.DUMMYFUNCTION("""COMPUTED_VALUE"""),"")</f>
        <v/>
      </c>
      <c r="L3101" s="4" t="str">
        <f>IFERROR(__xludf.DUMMYFUNCTION("""COMPUTED_VALUE"""),"")</f>
        <v/>
      </c>
      <c r="M3101" s="1" t="str">
        <f>IFERROR(__xludf.DUMMYFUNCTION("""COMPUTED_VALUE"""),"RFID")</f>
        <v>RFID</v>
      </c>
      <c r="N3101" s="5" t="str">
        <f>IFERROR(__xludf.DUMMYFUNCTION("""COMPUTED_VALUE"""),"")</f>
        <v/>
      </c>
      <c r="O3101" s="5" t="str">
        <f>IFERROR(__xludf.DUMMYFUNCTION("""COMPUTED_VALUE"""),"")</f>
        <v/>
      </c>
      <c r="P3101" s="5" t="str">
        <f>IFERROR(__xludf.DUMMYFUNCTION("""COMPUTED_VALUE"""),"")</f>
        <v/>
      </c>
      <c r="Q3101" s="5" t="str">
        <f>IFERROR(__xludf.DUMMYFUNCTION("""COMPUTED_VALUE"""),"")</f>
        <v/>
      </c>
      <c r="R3101" s="4" t="str">
        <f>IFERROR(__xludf.DUMMYFUNCTION("""COMPUTED_VALUE"""),"")</f>
        <v/>
      </c>
      <c r="S3101" s="1" t="b">
        <f>IFERROR(__xludf.DUMMYFUNCTION("""COMPUTED_VALUE"""),FALSE)</f>
        <v>0</v>
      </c>
      <c r="T3101" s="1" t="b">
        <f>IFERROR(__xludf.DUMMYFUNCTION("""COMPUTED_VALUE"""),FALSE)</f>
        <v>0</v>
      </c>
      <c r="U3101" s="1" t="str">
        <f>IFERROR(__xludf.DUMMYFUNCTION("""COMPUTED_VALUE"""),"")</f>
        <v/>
      </c>
      <c r="V3101" s="1" t="str">
        <f>IFERROR(__xludf.DUMMYFUNCTION("""COMPUTED_VALUE"""),"")</f>
        <v/>
      </c>
      <c r="W3101" s="1" t="str">
        <f>IFERROR(__xludf.DUMMYFUNCTION("""COMPUTED_VALUE"""),"")</f>
        <v/>
      </c>
      <c r="X3101" s="1" t="str">
        <f>IFERROR(__xludf.DUMMYFUNCTION("""COMPUTED_VALUE"""),"")</f>
        <v/>
      </c>
      <c r="Y3101" s="2"/>
      <c r="Z3101" s="2" t="str">
        <f>IFERROR(__xludf.DUMMYFUNCTION("""COMPUTED_VALUE"""),"")</f>
        <v/>
      </c>
    </row>
    <row r="3102">
      <c r="A3102" s="1" t="str">
        <f>IFERROR(__xludf.DUMMYFUNCTION("""COMPUTED_VALUE"""),"")</f>
        <v/>
      </c>
      <c r="B3102" s="1"/>
      <c r="C3102" s="2"/>
      <c r="D3102" s="2"/>
      <c r="E3102" s="1"/>
      <c r="F3102" s="1"/>
      <c r="G3102" s="4" t="str">
        <f>IFERROR(__xludf.DUMMYFUNCTION("""COMPUTED_VALUE"""),"")</f>
        <v/>
      </c>
      <c r="H3102" s="4" t="str">
        <f>IFERROR(__xludf.DUMMYFUNCTION("""COMPUTED_VALUE"""),"")</f>
        <v/>
      </c>
      <c r="I3102" s="4" t="str">
        <f>IFERROR(__xludf.DUMMYFUNCTION("""COMPUTED_VALUE"""),"")</f>
        <v/>
      </c>
      <c r="J3102" s="4" t="str">
        <f>IFERROR(__xludf.DUMMYFUNCTION("""COMPUTED_VALUE"""),"")</f>
        <v/>
      </c>
      <c r="K3102" s="4" t="str">
        <f>IFERROR(__xludf.DUMMYFUNCTION("""COMPUTED_VALUE"""),"")</f>
        <v/>
      </c>
      <c r="L3102" s="4" t="str">
        <f>IFERROR(__xludf.DUMMYFUNCTION("""COMPUTED_VALUE"""),"")</f>
        <v/>
      </c>
      <c r="M3102" s="1" t="str">
        <f>IFERROR(__xludf.DUMMYFUNCTION("""COMPUTED_VALUE"""),"RFID")</f>
        <v>RFID</v>
      </c>
      <c r="N3102" s="5" t="str">
        <f>IFERROR(__xludf.DUMMYFUNCTION("""COMPUTED_VALUE"""),"")</f>
        <v/>
      </c>
      <c r="O3102" s="5" t="str">
        <f>IFERROR(__xludf.DUMMYFUNCTION("""COMPUTED_VALUE"""),"")</f>
        <v/>
      </c>
      <c r="P3102" s="5" t="str">
        <f>IFERROR(__xludf.DUMMYFUNCTION("""COMPUTED_VALUE"""),"")</f>
        <v/>
      </c>
      <c r="Q3102" s="5" t="str">
        <f>IFERROR(__xludf.DUMMYFUNCTION("""COMPUTED_VALUE"""),"")</f>
        <v/>
      </c>
      <c r="R3102" s="4" t="str">
        <f>IFERROR(__xludf.DUMMYFUNCTION("""COMPUTED_VALUE"""),"")</f>
        <v/>
      </c>
      <c r="S3102" s="1" t="b">
        <f>IFERROR(__xludf.DUMMYFUNCTION("""COMPUTED_VALUE"""),FALSE)</f>
        <v>0</v>
      </c>
      <c r="T3102" s="1" t="b">
        <f>IFERROR(__xludf.DUMMYFUNCTION("""COMPUTED_VALUE"""),FALSE)</f>
        <v>0</v>
      </c>
      <c r="U3102" s="1" t="str">
        <f>IFERROR(__xludf.DUMMYFUNCTION("""COMPUTED_VALUE"""),"")</f>
        <v/>
      </c>
      <c r="V3102" s="1" t="str">
        <f>IFERROR(__xludf.DUMMYFUNCTION("""COMPUTED_VALUE"""),"")</f>
        <v/>
      </c>
      <c r="W3102" s="1" t="str">
        <f>IFERROR(__xludf.DUMMYFUNCTION("""COMPUTED_VALUE"""),"")</f>
        <v/>
      </c>
      <c r="X3102" s="1" t="str">
        <f>IFERROR(__xludf.DUMMYFUNCTION("""COMPUTED_VALUE"""),"")</f>
        <v/>
      </c>
      <c r="Y3102" s="2"/>
      <c r="Z3102" s="2" t="str">
        <f>IFERROR(__xludf.DUMMYFUNCTION("""COMPUTED_VALUE"""),"")</f>
        <v/>
      </c>
    </row>
    <row r="3103">
      <c r="A3103" s="1" t="str">
        <f>IFERROR(__xludf.DUMMYFUNCTION("""COMPUTED_VALUE"""),"")</f>
        <v/>
      </c>
      <c r="B3103" s="1"/>
      <c r="C3103" s="2"/>
      <c r="D3103" s="2"/>
      <c r="E3103" s="1"/>
      <c r="F3103" s="1"/>
      <c r="G3103" s="4" t="str">
        <f>IFERROR(__xludf.DUMMYFUNCTION("""COMPUTED_VALUE"""),"")</f>
        <v/>
      </c>
      <c r="H3103" s="4" t="str">
        <f>IFERROR(__xludf.DUMMYFUNCTION("""COMPUTED_VALUE"""),"")</f>
        <v/>
      </c>
      <c r="I3103" s="4" t="str">
        <f>IFERROR(__xludf.DUMMYFUNCTION("""COMPUTED_VALUE"""),"")</f>
        <v/>
      </c>
      <c r="J3103" s="4" t="str">
        <f>IFERROR(__xludf.DUMMYFUNCTION("""COMPUTED_VALUE"""),"")</f>
        <v/>
      </c>
      <c r="K3103" s="4" t="str">
        <f>IFERROR(__xludf.DUMMYFUNCTION("""COMPUTED_VALUE"""),"")</f>
        <v/>
      </c>
      <c r="L3103" s="4" t="str">
        <f>IFERROR(__xludf.DUMMYFUNCTION("""COMPUTED_VALUE"""),"")</f>
        <v/>
      </c>
      <c r="M3103" s="1" t="str">
        <f>IFERROR(__xludf.DUMMYFUNCTION("""COMPUTED_VALUE"""),"RFID")</f>
        <v>RFID</v>
      </c>
      <c r="N3103" s="5" t="str">
        <f>IFERROR(__xludf.DUMMYFUNCTION("""COMPUTED_VALUE"""),"")</f>
        <v/>
      </c>
      <c r="O3103" s="5" t="str">
        <f>IFERROR(__xludf.DUMMYFUNCTION("""COMPUTED_VALUE"""),"")</f>
        <v/>
      </c>
      <c r="P3103" s="5" t="str">
        <f>IFERROR(__xludf.DUMMYFUNCTION("""COMPUTED_VALUE"""),"")</f>
        <v/>
      </c>
      <c r="Q3103" s="5" t="str">
        <f>IFERROR(__xludf.DUMMYFUNCTION("""COMPUTED_VALUE"""),"")</f>
        <v/>
      </c>
      <c r="R3103" s="4" t="str">
        <f>IFERROR(__xludf.DUMMYFUNCTION("""COMPUTED_VALUE"""),"")</f>
        <v/>
      </c>
      <c r="S3103" s="1" t="b">
        <f>IFERROR(__xludf.DUMMYFUNCTION("""COMPUTED_VALUE"""),FALSE)</f>
        <v>0</v>
      </c>
      <c r="T3103" s="1" t="b">
        <f>IFERROR(__xludf.DUMMYFUNCTION("""COMPUTED_VALUE"""),FALSE)</f>
        <v>0</v>
      </c>
      <c r="U3103" s="1" t="str">
        <f>IFERROR(__xludf.DUMMYFUNCTION("""COMPUTED_VALUE"""),"")</f>
        <v/>
      </c>
      <c r="V3103" s="1" t="str">
        <f>IFERROR(__xludf.DUMMYFUNCTION("""COMPUTED_VALUE"""),"")</f>
        <v/>
      </c>
      <c r="W3103" s="1" t="str">
        <f>IFERROR(__xludf.DUMMYFUNCTION("""COMPUTED_VALUE"""),"")</f>
        <v/>
      </c>
      <c r="X3103" s="1" t="str">
        <f>IFERROR(__xludf.DUMMYFUNCTION("""COMPUTED_VALUE"""),"")</f>
        <v/>
      </c>
      <c r="Y3103" s="2"/>
      <c r="Z3103" s="2" t="str">
        <f>IFERROR(__xludf.DUMMYFUNCTION("""COMPUTED_VALUE"""),"")</f>
        <v/>
      </c>
    </row>
    <row r="3104">
      <c r="A3104" s="1" t="str">
        <f>IFERROR(__xludf.DUMMYFUNCTION("""COMPUTED_VALUE"""),"")</f>
        <v/>
      </c>
      <c r="B3104" s="1"/>
      <c r="C3104" s="2"/>
      <c r="D3104" s="2"/>
      <c r="E3104" s="1"/>
      <c r="F3104" s="1"/>
      <c r="G3104" s="4" t="str">
        <f>IFERROR(__xludf.DUMMYFUNCTION("""COMPUTED_VALUE"""),"")</f>
        <v/>
      </c>
      <c r="H3104" s="4" t="str">
        <f>IFERROR(__xludf.DUMMYFUNCTION("""COMPUTED_VALUE"""),"")</f>
        <v/>
      </c>
      <c r="I3104" s="4" t="str">
        <f>IFERROR(__xludf.DUMMYFUNCTION("""COMPUTED_VALUE"""),"")</f>
        <v/>
      </c>
      <c r="J3104" s="4" t="str">
        <f>IFERROR(__xludf.DUMMYFUNCTION("""COMPUTED_VALUE"""),"")</f>
        <v/>
      </c>
      <c r="K3104" s="4" t="str">
        <f>IFERROR(__xludf.DUMMYFUNCTION("""COMPUTED_VALUE"""),"")</f>
        <v/>
      </c>
      <c r="L3104" s="4" t="str">
        <f>IFERROR(__xludf.DUMMYFUNCTION("""COMPUTED_VALUE"""),"")</f>
        <v/>
      </c>
      <c r="M3104" s="1" t="str">
        <f>IFERROR(__xludf.DUMMYFUNCTION("""COMPUTED_VALUE"""),"RFID")</f>
        <v>RFID</v>
      </c>
      <c r="N3104" s="5" t="str">
        <f>IFERROR(__xludf.DUMMYFUNCTION("""COMPUTED_VALUE"""),"")</f>
        <v/>
      </c>
      <c r="O3104" s="5" t="str">
        <f>IFERROR(__xludf.DUMMYFUNCTION("""COMPUTED_VALUE"""),"")</f>
        <v/>
      </c>
      <c r="P3104" s="5" t="str">
        <f>IFERROR(__xludf.DUMMYFUNCTION("""COMPUTED_VALUE"""),"")</f>
        <v/>
      </c>
      <c r="Q3104" s="5" t="str">
        <f>IFERROR(__xludf.DUMMYFUNCTION("""COMPUTED_VALUE"""),"")</f>
        <v/>
      </c>
      <c r="R3104" s="4" t="str">
        <f>IFERROR(__xludf.DUMMYFUNCTION("""COMPUTED_VALUE"""),"")</f>
        <v/>
      </c>
      <c r="S3104" s="1" t="b">
        <f>IFERROR(__xludf.DUMMYFUNCTION("""COMPUTED_VALUE"""),FALSE)</f>
        <v>0</v>
      </c>
      <c r="T3104" s="1" t="b">
        <f>IFERROR(__xludf.DUMMYFUNCTION("""COMPUTED_VALUE"""),FALSE)</f>
        <v>0</v>
      </c>
      <c r="U3104" s="1" t="str">
        <f>IFERROR(__xludf.DUMMYFUNCTION("""COMPUTED_VALUE"""),"")</f>
        <v/>
      </c>
      <c r="V3104" s="1" t="str">
        <f>IFERROR(__xludf.DUMMYFUNCTION("""COMPUTED_VALUE"""),"")</f>
        <v/>
      </c>
      <c r="W3104" s="1" t="str">
        <f>IFERROR(__xludf.DUMMYFUNCTION("""COMPUTED_VALUE"""),"")</f>
        <v/>
      </c>
      <c r="X3104" s="1" t="str">
        <f>IFERROR(__xludf.DUMMYFUNCTION("""COMPUTED_VALUE"""),"")</f>
        <v/>
      </c>
      <c r="Y3104" s="2"/>
      <c r="Z3104" s="2" t="str">
        <f>IFERROR(__xludf.DUMMYFUNCTION("""COMPUTED_VALUE"""),"")</f>
        <v/>
      </c>
    </row>
    <row r="3105">
      <c r="A3105" s="1" t="str">
        <f>IFERROR(__xludf.DUMMYFUNCTION("""COMPUTED_VALUE"""),"")</f>
        <v/>
      </c>
      <c r="B3105" s="1"/>
      <c r="C3105" s="2"/>
      <c r="D3105" s="2"/>
      <c r="E3105" s="1"/>
      <c r="F3105" s="1"/>
      <c r="G3105" s="4" t="str">
        <f>IFERROR(__xludf.DUMMYFUNCTION("""COMPUTED_VALUE"""),"")</f>
        <v/>
      </c>
      <c r="H3105" s="4" t="str">
        <f>IFERROR(__xludf.DUMMYFUNCTION("""COMPUTED_VALUE"""),"")</f>
        <v/>
      </c>
      <c r="I3105" s="4" t="str">
        <f>IFERROR(__xludf.DUMMYFUNCTION("""COMPUTED_VALUE"""),"")</f>
        <v/>
      </c>
      <c r="J3105" s="4" t="str">
        <f>IFERROR(__xludf.DUMMYFUNCTION("""COMPUTED_VALUE"""),"")</f>
        <v/>
      </c>
      <c r="K3105" s="4" t="str">
        <f>IFERROR(__xludf.DUMMYFUNCTION("""COMPUTED_VALUE"""),"")</f>
        <v/>
      </c>
      <c r="L3105" s="4" t="str">
        <f>IFERROR(__xludf.DUMMYFUNCTION("""COMPUTED_VALUE"""),"")</f>
        <v/>
      </c>
      <c r="M3105" s="1" t="str">
        <f>IFERROR(__xludf.DUMMYFUNCTION("""COMPUTED_VALUE"""),"RFID")</f>
        <v>RFID</v>
      </c>
      <c r="N3105" s="5" t="str">
        <f>IFERROR(__xludf.DUMMYFUNCTION("""COMPUTED_VALUE"""),"")</f>
        <v/>
      </c>
      <c r="O3105" s="5" t="str">
        <f>IFERROR(__xludf.DUMMYFUNCTION("""COMPUTED_VALUE"""),"")</f>
        <v/>
      </c>
      <c r="P3105" s="5" t="str">
        <f>IFERROR(__xludf.DUMMYFUNCTION("""COMPUTED_VALUE"""),"")</f>
        <v/>
      </c>
      <c r="Q3105" s="5" t="str">
        <f>IFERROR(__xludf.DUMMYFUNCTION("""COMPUTED_VALUE"""),"")</f>
        <v/>
      </c>
      <c r="R3105" s="4" t="str">
        <f>IFERROR(__xludf.DUMMYFUNCTION("""COMPUTED_VALUE"""),"")</f>
        <v/>
      </c>
      <c r="S3105" s="1" t="b">
        <f>IFERROR(__xludf.DUMMYFUNCTION("""COMPUTED_VALUE"""),FALSE)</f>
        <v>0</v>
      </c>
      <c r="T3105" s="1" t="b">
        <f>IFERROR(__xludf.DUMMYFUNCTION("""COMPUTED_VALUE"""),FALSE)</f>
        <v>0</v>
      </c>
      <c r="U3105" s="1" t="str">
        <f>IFERROR(__xludf.DUMMYFUNCTION("""COMPUTED_VALUE"""),"")</f>
        <v/>
      </c>
      <c r="V3105" s="1" t="str">
        <f>IFERROR(__xludf.DUMMYFUNCTION("""COMPUTED_VALUE"""),"")</f>
        <v/>
      </c>
      <c r="W3105" s="1" t="str">
        <f>IFERROR(__xludf.DUMMYFUNCTION("""COMPUTED_VALUE"""),"")</f>
        <v/>
      </c>
      <c r="X3105" s="1" t="str">
        <f>IFERROR(__xludf.DUMMYFUNCTION("""COMPUTED_VALUE"""),"")</f>
        <v/>
      </c>
      <c r="Y3105" s="2"/>
      <c r="Z3105" s="2" t="str">
        <f>IFERROR(__xludf.DUMMYFUNCTION("""COMPUTED_VALUE"""),"")</f>
        <v/>
      </c>
    </row>
    <row r="3106">
      <c r="A3106" s="1" t="str">
        <f>IFERROR(__xludf.DUMMYFUNCTION("""COMPUTED_VALUE"""),"")</f>
        <v/>
      </c>
      <c r="B3106" s="1"/>
      <c r="C3106" s="2"/>
      <c r="D3106" s="2"/>
      <c r="E3106" s="1"/>
      <c r="F3106" s="1"/>
      <c r="G3106" s="4" t="str">
        <f>IFERROR(__xludf.DUMMYFUNCTION("""COMPUTED_VALUE"""),"")</f>
        <v/>
      </c>
      <c r="H3106" s="4" t="str">
        <f>IFERROR(__xludf.DUMMYFUNCTION("""COMPUTED_VALUE"""),"")</f>
        <v/>
      </c>
      <c r="I3106" s="4" t="str">
        <f>IFERROR(__xludf.DUMMYFUNCTION("""COMPUTED_VALUE"""),"")</f>
        <v/>
      </c>
      <c r="J3106" s="4" t="str">
        <f>IFERROR(__xludf.DUMMYFUNCTION("""COMPUTED_VALUE"""),"")</f>
        <v/>
      </c>
      <c r="K3106" s="4" t="str">
        <f>IFERROR(__xludf.DUMMYFUNCTION("""COMPUTED_VALUE"""),"")</f>
        <v/>
      </c>
      <c r="L3106" s="4" t="str">
        <f>IFERROR(__xludf.DUMMYFUNCTION("""COMPUTED_VALUE"""),"")</f>
        <v/>
      </c>
      <c r="M3106" s="1" t="str">
        <f>IFERROR(__xludf.DUMMYFUNCTION("""COMPUTED_VALUE"""),"RFID")</f>
        <v>RFID</v>
      </c>
      <c r="N3106" s="5" t="str">
        <f>IFERROR(__xludf.DUMMYFUNCTION("""COMPUTED_VALUE"""),"")</f>
        <v/>
      </c>
      <c r="O3106" s="5" t="str">
        <f>IFERROR(__xludf.DUMMYFUNCTION("""COMPUTED_VALUE"""),"")</f>
        <v/>
      </c>
      <c r="P3106" s="5" t="str">
        <f>IFERROR(__xludf.DUMMYFUNCTION("""COMPUTED_VALUE"""),"")</f>
        <v/>
      </c>
      <c r="Q3106" s="5" t="str">
        <f>IFERROR(__xludf.DUMMYFUNCTION("""COMPUTED_VALUE"""),"")</f>
        <v/>
      </c>
      <c r="R3106" s="4" t="str">
        <f>IFERROR(__xludf.DUMMYFUNCTION("""COMPUTED_VALUE"""),"")</f>
        <v/>
      </c>
      <c r="S3106" s="1" t="b">
        <f>IFERROR(__xludf.DUMMYFUNCTION("""COMPUTED_VALUE"""),FALSE)</f>
        <v>0</v>
      </c>
      <c r="T3106" s="1" t="b">
        <f>IFERROR(__xludf.DUMMYFUNCTION("""COMPUTED_VALUE"""),FALSE)</f>
        <v>0</v>
      </c>
      <c r="U3106" s="1" t="str">
        <f>IFERROR(__xludf.DUMMYFUNCTION("""COMPUTED_VALUE"""),"")</f>
        <v/>
      </c>
      <c r="V3106" s="1" t="str">
        <f>IFERROR(__xludf.DUMMYFUNCTION("""COMPUTED_VALUE"""),"")</f>
        <v/>
      </c>
      <c r="W3106" s="1" t="str">
        <f>IFERROR(__xludf.DUMMYFUNCTION("""COMPUTED_VALUE"""),"")</f>
        <v/>
      </c>
      <c r="X3106" s="1" t="str">
        <f>IFERROR(__xludf.DUMMYFUNCTION("""COMPUTED_VALUE"""),"")</f>
        <v/>
      </c>
      <c r="Y3106" s="2"/>
      <c r="Z3106" s="2" t="str">
        <f>IFERROR(__xludf.DUMMYFUNCTION("""COMPUTED_VALUE"""),"")</f>
        <v/>
      </c>
    </row>
    <row r="3107">
      <c r="A3107" s="1" t="str">
        <f>IFERROR(__xludf.DUMMYFUNCTION("""COMPUTED_VALUE"""),"")</f>
        <v/>
      </c>
      <c r="B3107" s="1"/>
      <c r="C3107" s="2"/>
      <c r="D3107" s="2"/>
      <c r="E3107" s="1"/>
      <c r="F3107" s="1"/>
      <c r="G3107" s="4" t="str">
        <f>IFERROR(__xludf.DUMMYFUNCTION("""COMPUTED_VALUE"""),"")</f>
        <v/>
      </c>
      <c r="H3107" s="4" t="str">
        <f>IFERROR(__xludf.DUMMYFUNCTION("""COMPUTED_VALUE"""),"")</f>
        <v/>
      </c>
      <c r="I3107" s="4" t="str">
        <f>IFERROR(__xludf.DUMMYFUNCTION("""COMPUTED_VALUE"""),"")</f>
        <v/>
      </c>
      <c r="J3107" s="4" t="str">
        <f>IFERROR(__xludf.DUMMYFUNCTION("""COMPUTED_VALUE"""),"")</f>
        <v/>
      </c>
      <c r="K3107" s="4" t="str">
        <f>IFERROR(__xludf.DUMMYFUNCTION("""COMPUTED_VALUE"""),"")</f>
        <v/>
      </c>
      <c r="L3107" s="4" t="str">
        <f>IFERROR(__xludf.DUMMYFUNCTION("""COMPUTED_VALUE"""),"")</f>
        <v/>
      </c>
      <c r="M3107" s="1" t="str">
        <f>IFERROR(__xludf.DUMMYFUNCTION("""COMPUTED_VALUE"""),"RFID")</f>
        <v>RFID</v>
      </c>
      <c r="N3107" s="5" t="str">
        <f>IFERROR(__xludf.DUMMYFUNCTION("""COMPUTED_VALUE"""),"")</f>
        <v/>
      </c>
      <c r="O3107" s="5" t="str">
        <f>IFERROR(__xludf.DUMMYFUNCTION("""COMPUTED_VALUE"""),"")</f>
        <v/>
      </c>
      <c r="P3107" s="5" t="str">
        <f>IFERROR(__xludf.DUMMYFUNCTION("""COMPUTED_VALUE"""),"")</f>
        <v/>
      </c>
      <c r="Q3107" s="5" t="str">
        <f>IFERROR(__xludf.DUMMYFUNCTION("""COMPUTED_VALUE"""),"")</f>
        <v/>
      </c>
      <c r="R3107" s="4" t="str">
        <f>IFERROR(__xludf.DUMMYFUNCTION("""COMPUTED_VALUE"""),"")</f>
        <v/>
      </c>
      <c r="S3107" s="1" t="b">
        <f>IFERROR(__xludf.DUMMYFUNCTION("""COMPUTED_VALUE"""),FALSE)</f>
        <v>0</v>
      </c>
      <c r="T3107" s="1" t="b">
        <f>IFERROR(__xludf.DUMMYFUNCTION("""COMPUTED_VALUE"""),FALSE)</f>
        <v>0</v>
      </c>
      <c r="U3107" s="1" t="str">
        <f>IFERROR(__xludf.DUMMYFUNCTION("""COMPUTED_VALUE"""),"")</f>
        <v/>
      </c>
      <c r="V3107" s="1" t="str">
        <f>IFERROR(__xludf.DUMMYFUNCTION("""COMPUTED_VALUE"""),"")</f>
        <v/>
      </c>
      <c r="W3107" s="1" t="str">
        <f>IFERROR(__xludf.DUMMYFUNCTION("""COMPUTED_VALUE"""),"")</f>
        <v/>
      </c>
      <c r="X3107" s="1" t="str">
        <f>IFERROR(__xludf.DUMMYFUNCTION("""COMPUTED_VALUE"""),"")</f>
        <v/>
      </c>
      <c r="Y3107" s="2"/>
      <c r="Z3107" s="2" t="str">
        <f>IFERROR(__xludf.DUMMYFUNCTION("""COMPUTED_VALUE"""),"")</f>
        <v/>
      </c>
    </row>
    <row r="3108">
      <c r="A3108" s="1" t="str">
        <f>IFERROR(__xludf.DUMMYFUNCTION("""COMPUTED_VALUE"""),"")</f>
        <v/>
      </c>
      <c r="B3108" s="1"/>
      <c r="C3108" s="2"/>
      <c r="D3108" s="2"/>
      <c r="E3108" s="1"/>
      <c r="F3108" s="1"/>
      <c r="G3108" s="4" t="str">
        <f>IFERROR(__xludf.DUMMYFUNCTION("""COMPUTED_VALUE"""),"")</f>
        <v/>
      </c>
      <c r="H3108" s="4" t="str">
        <f>IFERROR(__xludf.DUMMYFUNCTION("""COMPUTED_VALUE"""),"")</f>
        <v/>
      </c>
      <c r="I3108" s="4" t="str">
        <f>IFERROR(__xludf.DUMMYFUNCTION("""COMPUTED_VALUE"""),"")</f>
        <v/>
      </c>
      <c r="J3108" s="4" t="str">
        <f>IFERROR(__xludf.DUMMYFUNCTION("""COMPUTED_VALUE"""),"")</f>
        <v/>
      </c>
      <c r="K3108" s="4" t="str">
        <f>IFERROR(__xludf.DUMMYFUNCTION("""COMPUTED_VALUE"""),"")</f>
        <v/>
      </c>
      <c r="L3108" s="4" t="str">
        <f>IFERROR(__xludf.DUMMYFUNCTION("""COMPUTED_VALUE"""),"")</f>
        <v/>
      </c>
      <c r="M3108" s="1" t="str">
        <f>IFERROR(__xludf.DUMMYFUNCTION("""COMPUTED_VALUE"""),"RFID")</f>
        <v>RFID</v>
      </c>
      <c r="N3108" s="5" t="str">
        <f>IFERROR(__xludf.DUMMYFUNCTION("""COMPUTED_VALUE"""),"")</f>
        <v/>
      </c>
      <c r="O3108" s="5" t="str">
        <f>IFERROR(__xludf.DUMMYFUNCTION("""COMPUTED_VALUE"""),"")</f>
        <v/>
      </c>
      <c r="P3108" s="5" t="str">
        <f>IFERROR(__xludf.DUMMYFUNCTION("""COMPUTED_VALUE"""),"")</f>
        <v/>
      </c>
      <c r="Q3108" s="5" t="str">
        <f>IFERROR(__xludf.DUMMYFUNCTION("""COMPUTED_VALUE"""),"")</f>
        <v/>
      </c>
      <c r="R3108" s="4" t="str">
        <f>IFERROR(__xludf.DUMMYFUNCTION("""COMPUTED_VALUE"""),"")</f>
        <v/>
      </c>
      <c r="S3108" s="1" t="b">
        <f>IFERROR(__xludf.DUMMYFUNCTION("""COMPUTED_VALUE"""),FALSE)</f>
        <v>0</v>
      </c>
      <c r="T3108" s="1" t="b">
        <f>IFERROR(__xludf.DUMMYFUNCTION("""COMPUTED_VALUE"""),FALSE)</f>
        <v>0</v>
      </c>
      <c r="U3108" s="1" t="str">
        <f>IFERROR(__xludf.DUMMYFUNCTION("""COMPUTED_VALUE"""),"")</f>
        <v/>
      </c>
      <c r="V3108" s="1" t="str">
        <f>IFERROR(__xludf.DUMMYFUNCTION("""COMPUTED_VALUE"""),"")</f>
        <v/>
      </c>
      <c r="W3108" s="1" t="str">
        <f>IFERROR(__xludf.DUMMYFUNCTION("""COMPUTED_VALUE"""),"")</f>
        <v/>
      </c>
      <c r="X3108" s="1" t="str">
        <f>IFERROR(__xludf.DUMMYFUNCTION("""COMPUTED_VALUE"""),"")</f>
        <v/>
      </c>
      <c r="Y3108" s="2"/>
      <c r="Z3108" s="2" t="str">
        <f>IFERROR(__xludf.DUMMYFUNCTION("""COMPUTED_VALUE"""),"")</f>
        <v/>
      </c>
    </row>
    <row r="3109">
      <c r="A3109" s="1" t="str">
        <f>IFERROR(__xludf.DUMMYFUNCTION("""COMPUTED_VALUE"""),"")</f>
        <v/>
      </c>
      <c r="B3109" s="1"/>
      <c r="C3109" s="2"/>
      <c r="D3109" s="2"/>
      <c r="E3109" s="1"/>
      <c r="F3109" s="1"/>
      <c r="G3109" s="4" t="str">
        <f>IFERROR(__xludf.DUMMYFUNCTION("""COMPUTED_VALUE"""),"")</f>
        <v/>
      </c>
      <c r="H3109" s="4" t="str">
        <f>IFERROR(__xludf.DUMMYFUNCTION("""COMPUTED_VALUE"""),"")</f>
        <v/>
      </c>
      <c r="I3109" s="4" t="str">
        <f>IFERROR(__xludf.DUMMYFUNCTION("""COMPUTED_VALUE"""),"")</f>
        <v/>
      </c>
      <c r="J3109" s="4" t="str">
        <f>IFERROR(__xludf.DUMMYFUNCTION("""COMPUTED_VALUE"""),"")</f>
        <v/>
      </c>
      <c r="K3109" s="4" t="str">
        <f>IFERROR(__xludf.DUMMYFUNCTION("""COMPUTED_VALUE"""),"")</f>
        <v/>
      </c>
      <c r="L3109" s="4" t="str">
        <f>IFERROR(__xludf.DUMMYFUNCTION("""COMPUTED_VALUE"""),"")</f>
        <v/>
      </c>
      <c r="M3109" s="1" t="str">
        <f>IFERROR(__xludf.DUMMYFUNCTION("""COMPUTED_VALUE"""),"RFID")</f>
        <v>RFID</v>
      </c>
      <c r="N3109" s="5" t="str">
        <f>IFERROR(__xludf.DUMMYFUNCTION("""COMPUTED_VALUE"""),"")</f>
        <v/>
      </c>
      <c r="O3109" s="5" t="str">
        <f>IFERROR(__xludf.DUMMYFUNCTION("""COMPUTED_VALUE"""),"")</f>
        <v/>
      </c>
      <c r="P3109" s="5" t="str">
        <f>IFERROR(__xludf.DUMMYFUNCTION("""COMPUTED_VALUE"""),"")</f>
        <v/>
      </c>
      <c r="Q3109" s="5" t="str">
        <f>IFERROR(__xludf.DUMMYFUNCTION("""COMPUTED_VALUE"""),"")</f>
        <v/>
      </c>
      <c r="R3109" s="4" t="str">
        <f>IFERROR(__xludf.DUMMYFUNCTION("""COMPUTED_VALUE"""),"")</f>
        <v/>
      </c>
      <c r="S3109" s="1" t="b">
        <f>IFERROR(__xludf.DUMMYFUNCTION("""COMPUTED_VALUE"""),FALSE)</f>
        <v>0</v>
      </c>
      <c r="T3109" s="1" t="b">
        <f>IFERROR(__xludf.DUMMYFUNCTION("""COMPUTED_VALUE"""),FALSE)</f>
        <v>0</v>
      </c>
      <c r="U3109" s="1" t="str">
        <f>IFERROR(__xludf.DUMMYFUNCTION("""COMPUTED_VALUE"""),"")</f>
        <v/>
      </c>
      <c r="V3109" s="1" t="str">
        <f>IFERROR(__xludf.DUMMYFUNCTION("""COMPUTED_VALUE"""),"")</f>
        <v/>
      </c>
      <c r="W3109" s="1" t="str">
        <f>IFERROR(__xludf.DUMMYFUNCTION("""COMPUTED_VALUE"""),"")</f>
        <v/>
      </c>
      <c r="X3109" s="1" t="str">
        <f>IFERROR(__xludf.DUMMYFUNCTION("""COMPUTED_VALUE"""),"")</f>
        <v/>
      </c>
      <c r="Y3109" s="2"/>
      <c r="Z3109" s="2" t="str">
        <f>IFERROR(__xludf.DUMMYFUNCTION("""COMPUTED_VALUE"""),"")</f>
        <v/>
      </c>
    </row>
    <row r="3110">
      <c r="A3110" s="1" t="str">
        <f>IFERROR(__xludf.DUMMYFUNCTION("""COMPUTED_VALUE"""),"")</f>
        <v/>
      </c>
      <c r="B3110" s="1"/>
      <c r="C3110" s="2"/>
      <c r="D3110" s="2"/>
      <c r="E3110" s="1"/>
      <c r="F3110" s="1"/>
      <c r="G3110" s="4" t="str">
        <f>IFERROR(__xludf.DUMMYFUNCTION("""COMPUTED_VALUE"""),"")</f>
        <v/>
      </c>
      <c r="H3110" s="4" t="str">
        <f>IFERROR(__xludf.DUMMYFUNCTION("""COMPUTED_VALUE"""),"")</f>
        <v/>
      </c>
      <c r="I3110" s="4" t="str">
        <f>IFERROR(__xludf.DUMMYFUNCTION("""COMPUTED_VALUE"""),"")</f>
        <v/>
      </c>
      <c r="J3110" s="4" t="str">
        <f>IFERROR(__xludf.DUMMYFUNCTION("""COMPUTED_VALUE"""),"")</f>
        <v/>
      </c>
      <c r="K3110" s="4" t="str">
        <f>IFERROR(__xludf.DUMMYFUNCTION("""COMPUTED_VALUE"""),"")</f>
        <v/>
      </c>
      <c r="L3110" s="4" t="str">
        <f>IFERROR(__xludf.DUMMYFUNCTION("""COMPUTED_VALUE"""),"")</f>
        <v/>
      </c>
      <c r="M3110" s="1" t="str">
        <f>IFERROR(__xludf.DUMMYFUNCTION("""COMPUTED_VALUE"""),"RFID")</f>
        <v>RFID</v>
      </c>
      <c r="N3110" s="5" t="str">
        <f>IFERROR(__xludf.DUMMYFUNCTION("""COMPUTED_VALUE"""),"")</f>
        <v/>
      </c>
      <c r="O3110" s="5" t="str">
        <f>IFERROR(__xludf.DUMMYFUNCTION("""COMPUTED_VALUE"""),"")</f>
        <v/>
      </c>
      <c r="P3110" s="5" t="str">
        <f>IFERROR(__xludf.DUMMYFUNCTION("""COMPUTED_VALUE"""),"")</f>
        <v/>
      </c>
      <c r="Q3110" s="5" t="str">
        <f>IFERROR(__xludf.DUMMYFUNCTION("""COMPUTED_VALUE"""),"")</f>
        <v/>
      </c>
      <c r="R3110" s="4" t="str">
        <f>IFERROR(__xludf.DUMMYFUNCTION("""COMPUTED_VALUE"""),"")</f>
        <v/>
      </c>
      <c r="S3110" s="1" t="b">
        <f>IFERROR(__xludf.DUMMYFUNCTION("""COMPUTED_VALUE"""),FALSE)</f>
        <v>0</v>
      </c>
      <c r="T3110" s="1" t="b">
        <f>IFERROR(__xludf.DUMMYFUNCTION("""COMPUTED_VALUE"""),FALSE)</f>
        <v>0</v>
      </c>
      <c r="U3110" s="1" t="str">
        <f>IFERROR(__xludf.DUMMYFUNCTION("""COMPUTED_VALUE"""),"")</f>
        <v/>
      </c>
      <c r="V3110" s="1" t="str">
        <f>IFERROR(__xludf.DUMMYFUNCTION("""COMPUTED_VALUE"""),"")</f>
        <v/>
      </c>
      <c r="W3110" s="1" t="str">
        <f>IFERROR(__xludf.DUMMYFUNCTION("""COMPUTED_VALUE"""),"")</f>
        <v/>
      </c>
      <c r="X3110" s="1" t="str">
        <f>IFERROR(__xludf.DUMMYFUNCTION("""COMPUTED_VALUE"""),"")</f>
        <v/>
      </c>
      <c r="Y3110" s="2"/>
      <c r="Z3110" s="2" t="str">
        <f>IFERROR(__xludf.DUMMYFUNCTION("""COMPUTED_VALUE"""),"")</f>
        <v/>
      </c>
    </row>
    <row r="3111">
      <c r="A3111" s="1" t="str">
        <f>IFERROR(__xludf.DUMMYFUNCTION("""COMPUTED_VALUE"""),"")</f>
        <v/>
      </c>
      <c r="B3111" s="1"/>
      <c r="C3111" s="2"/>
      <c r="D3111" s="2"/>
      <c r="E3111" s="1"/>
      <c r="F3111" s="1"/>
      <c r="G3111" s="4" t="str">
        <f>IFERROR(__xludf.DUMMYFUNCTION("""COMPUTED_VALUE"""),"")</f>
        <v/>
      </c>
      <c r="H3111" s="4" t="str">
        <f>IFERROR(__xludf.DUMMYFUNCTION("""COMPUTED_VALUE"""),"")</f>
        <v/>
      </c>
      <c r="I3111" s="4" t="str">
        <f>IFERROR(__xludf.DUMMYFUNCTION("""COMPUTED_VALUE"""),"")</f>
        <v/>
      </c>
      <c r="J3111" s="4" t="str">
        <f>IFERROR(__xludf.DUMMYFUNCTION("""COMPUTED_VALUE"""),"")</f>
        <v/>
      </c>
      <c r="K3111" s="4" t="str">
        <f>IFERROR(__xludf.DUMMYFUNCTION("""COMPUTED_VALUE"""),"")</f>
        <v/>
      </c>
      <c r="L3111" s="4" t="str">
        <f>IFERROR(__xludf.DUMMYFUNCTION("""COMPUTED_VALUE"""),"")</f>
        <v/>
      </c>
      <c r="M3111" s="1" t="str">
        <f>IFERROR(__xludf.DUMMYFUNCTION("""COMPUTED_VALUE"""),"RFID")</f>
        <v>RFID</v>
      </c>
      <c r="N3111" s="5" t="str">
        <f>IFERROR(__xludf.DUMMYFUNCTION("""COMPUTED_VALUE"""),"")</f>
        <v/>
      </c>
      <c r="O3111" s="5" t="str">
        <f>IFERROR(__xludf.DUMMYFUNCTION("""COMPUTED_VALUE"""),"")</f>
        <v/>
      </c>
      <c r="P3111" s="5" t="str">
        <f>IFERROR(__xludf.DUMMYFUNCTION("""COMPUTED_VALUE"""),"")</f>
        <v/>
      </c>
      <c r="Q3111" s="5" t="str">
        <f>IFERROR(__xludf.DUMMYFUNCTION("""COMPUTED_VALUE"""),"")</f>
        <v/>
      </c>
      <c r="R3111" s="4" t="str">
        <f>IFERROR(__xludf.DUMMYFUNCTION("""COMPUTED_VALUE"""),"")</f>
        <v/>
      </c>
      <c r="S3111" s="1" t="b">
        <f>IFERROR(__xludf.DUMMYFUNCTION("""COMPUTED_VALUE"""),FALSE)</f>
        <v>0</v>
      </c>
      <c r="T3111" s="1" t="b">
        <f>IFERROR(__xludf.DUMMYFUNCTION("""COMPUTED_VALUE"""),FALSE)</f>
        <v>0</v>
      </c>
      <c r="U3111" s="1" t="str">
        <f>IFERROR(__xludf.DUMMYFUNCTION("""COMPUTED_VALUE"""),"")</f>
        <v/>
      </c>
      <c r="V3111" s="1" t="str">
        <f>IFERROR(__xludf.DUMMYFUNCTION("""COMPUTED_VALUE"""),"")</f>
        <v/>
      </c>
      <c r="W3111" s="1" t="str">
        <f>IFERROR(__xludf.DUMMYFUNCTION("""COMPUTED_VALUE"""),"")</f>
        <v/>
      </c>
      <c r="X3111" s="1" t="str">
        <f>IFERROR(__xludf.DUMMYFUNCTION("""COMPUTED_VALUE"""),"")</f>
        <v/>
      </c>
      <c r="Y3111" s="2"/>
      <c r="Z3111" s="2" t="str">
        <f>IFERROR(__xludf.DUMMYFUNCTION("""COMPUTED_VALUE"""),"")</f>
        <v/>
      </c>
    </row>
    <row r="3112">
      <c r="A3112" s="1" t="str">
        <f>IFERROR(__xludf.DUMMYFUNCTION("""COMPUTED_VALUE"""),"")</f>
        <v/>
      </c>
      <c r="B3112" s="1"/>
      <c r="C3112" s="2"/>
      <c r="D3112" s="2"/>
      <c r="E3112" s="1"/>
      <c r="F3112" s="1"/>
      <c r="G3112" s="4" t="str">
        <f>IFERROR(__xludf.DUMMYFUNCTION("""COMPUTED_VALUE"""),"")</f>
        <v/>
      </c>
      <c r="H3112" s="4" t="str">
        <f>IFERROR(__xludf.DUMMYFUNCTION("""COMPUTED_VALUE"""),"")</f>
        <v/>
      </c>
      <c r="I3112" s="4" t="str">
        <f>IFERROR(__xludf.DUMMYFUNCTION("""COMPUTED_VALUE"""),"")</f>
        <v/>
      </c>
      <c r="J3112" s="4" t="str">
        <f>IFERROR(__xludf.DUMMYFUNCTION("""COMPUTED_VALUE"""),"")</f>
        <v/>
      </c>
      <c r="K3112" s="4" t="str">
        <f>IFERROR(__xludf.DUMMYFUNCTION("""COMPUTED_VALUE"""),"")</f>
        <v/>
      </c>
      <c r="L3112" s="4" t="str">
        <f>IFERROR(__xludf.DUMMYFUNCTION("""COMPUTED_VALUE"""),"")</f>
        <v/>
      </c>
      <c r="M3112" s="1" t="str">
        <f>IFERROR(__xludf.DUMMYFUNCTION("""COMPUTED_VALUE"""),"RFID")</f>
        <v>RFID</v>
      </c>
      <c r="N3112" s="5" t="str">
        <f>IFERROR(__xludf.DUMMYFUNCTION("""COMPUTED_VALUE"""),"")</f>
        <v/>
      </c>
      <c r="O3112" s="5" t="str">
        <f>IFERROR(__xludf.DUMMYFUNCTION("""COMPUTED_VALUE"""),"")</f>
        <v/>
      </c>
      <c r="P3112" s="5" t="str">
        <f>IFERROR(__xludf.DUMMYFUNCTION("""COMPUTED_VALUE"""),"")</f>
        <v/>
      </c>
      <c r="Q3112" s="5" t="str">
        <f>IFERROR(__xludf.DUMMYFUNCTION("""COMPUTED_VALUE"""),"")</f>
        <v/>
      </c>
      <c r="R3112" s="4" t="str">
        <f>IFERROR(__xludf.DUMMYFUNCTION("""COMPUTED_VALUE"""),"")</f>
        <v/>
      </c>
      <c r="S3112" s="1" t="b">
        <f>IFERROR(__xludf.DUMMYFUNCTION("""COMPUTED_VALUE"""),FALSE)</f>
        <v>0</v>
      </c>
      <c r="T3112" s="1" t="b">
        <f>IFERROR(__xludf.DUMMYFUNCTION("""COMPUTED_VALUE"""),FALSE)</f>
        <v>0</v>
      </c>
      <c r="U3112" s="1" t="str">
        <f>IFERROR(__xludf.DUMMYFUNCTION("""COMPUTED_VALUE"""),"")</f>
        <v/>
      </c>
      <c r="V3112" s="1" t="str">
        <f>IFERROR(__xludf.DUMMYFUNCTION("""COMPUTED_VALUE"""),"")</f>
        <v/>
      </c>
      <c r="W3112" s="1" t="str">
        <f>IFERROR(__xludf.DUMMYFUNCTION("""COMPUTED_VALUE"""),"")</f>
        <v/>
      </c>
      <c r="X3112" s="1" t="str">
        <f>IFERROR(__xludf.DUMMYFUNCTION("""COMPUTED_VALUE"""),"")</f>
        <v/>
      </c>
      <c r="Y3112" s="2"/>
      <c r="Z3112" s="2" t="str">
        <f>IFERROR(__xludf.DUMMYFUNCTION("""COMPUTED_VALUE"""),"")</f>
        <v/>
      </c>
    </row>
    <row r="3113">
      <c r="A3113" s="1" t="str">
        <f>IFERROR(__xludf.DUMMYFUNCTION("""COMPUTED_VALUE"""),"")</f>
        <v/>
      </c>
      <c r="B3113" s="1"/>
      <c r="C3113" s="2"/>
      <c r="D3113" s="2"/>
      <c r="E3113" s="1"/>
      <c r="F3113" s="1"/>
      <c r="G3113" s="4" t="str">
        <f>IFERROR(__xludf.DUMMYFUNCTION("""COMPUTED_VALUE"""),"")</f>
        <v/>
      </c>
      <c r="H3113" s="4" t="str">
        <f>IFERROR(__xludf.DUMMYFUNCTION("""COMPUTED_VALUE"""),"")</f>
        <v/>
      </c>
      <c r="I3113" s="4" t="str">
        <f>IFERROR(__xludf.DUMMYFUNCTION("""COMPUTED_VALUE"""),"")</f>
        <v/>
      </c>
      <c r="J3113" s="4" t="str">
        <f>IFERROR(__xludf.DUMMYFUNCTION("""COMPUTED_VALUE"""),"")</f>
        <v/>
      </c>
      <c r="K3113" s="4" t="str">
        <f>IFERROR(__xludf.DUMMYFUNCTION("""COMPUTED_VALUE"""),"")</f>
        <v/>
      </c>
      <c r="L3113" s="4" t="str">
        <f>IFERROR(__xludf.DUMMYFUNCTION("""COMPUTED_VALUE"""),"")</f>
        <v/>
      </c>
      <c r="M3113" s="1" t="str">
        <f>IFERROR(__xludf.DUMMYFUNCTION("""COMPUTED_VALUE"""),"RFID")</f>
        <v>RFID</v>
      </c>
      <c r="N3113" s="5" t="str">
        <f>IFERROR(__xludf.DUMMYFUNCTION("""COMPUTED_VALUE"""),"")</f>
        <v/>
      </c>
      <c r="O3113" s="5" t="str">
        <f>IFERROR(__xludf.DUMMYFUNCTION("""COMPUTED_VALUE"""),"")</f>
        <v/>
      </c>
      <c r="P3113" s="5" t="str">
        <f>IFERROR(__xludf.DUMMYFUNCTION("""COMPUTED_VALUE"""),"")</f>
        <v/>
      </c>
      <c r="Q3113" s="5" t="str">
        <f>IFERROR(__xludf.DUMMYFUNCTION("""COMPUTED_VALUE"""),"")</f>
        <v/>
      </c>
      <c r="R3113" s="4" t="str">
        <f>IFERROR(__xludf.DUMMYFUNCTION("""COMPUTED_VALUE"""),"")</f>
        <v/>
      </c>
      <c r="S3113" s="1" t="b">
        <f>IFERROR(__xludf.DUMMYFUNCTION("""COMPUTED_VALUE"""),FALSE)</f>
        <v>0</v>
      </c>
      <c r="T3113" s="1" t="b">
        <f>IFERROR(__xludf.DUMMYFUNCTION("""COMPUTED_VALUE"""),FALSE)</f>
        <v>0</v>
      </c>
      <c r="U3113" s="1" t="str">
        <f>IFERROR(__xludf.DUMMYFUNCTION("""COMPUTED_VALUE"""),"")</f>
        <v/>
      </c>
      <c r="V3113" s="1" t="str">
        <f>IFERROR(__xludf.DUMMYFUNCTION("""COMPUTED_VALUE"""),"")</f>
        <v/>
      </c>
      <c r="W3113" s="1" t="str">
        <f>IFERROR(__xludf.DUMMYFUNCTION("""COMPUTED_VALUE"""),"")</f>
        <v/>
      </c>
      <c r="X3113" s="1" t="str">
        <f>IFERROR(__xludf.DUMMYFUNCTION("""COMPUTED_VALUE"""),"")</f>
        <v/>
      </c>
      <c r="Y3113" s="2"/>
      <c r="Z3113" s="2" t="str">
        <f>IFERROR(__xludf.DUMMYFUNCTION("""COMPUTED_VALUE"""),"")</f>
        <v/>
      </c>
    </row>
    <row r="3114">
      <c r="A3114" s="1" t="str">
        <f>IFERROR(__xludf.DUMMYFUNCTION("""COMPUTED_VALUE"""),"")</f>
        <v/>
      </c>
      <c r="B3114" s="1"/>
      <c r="C3114" s="2"/>
      <c r="D3114" s="2"/>
      <c r="E3114" s="1"/>
      <c r="F3114" s="1"/>
      <c r="G3114" s="4" t="str">
        <f>IFERROR(__xludf.DUMMYFUNCTION("""COMPUTED_VALUE"""),"")</f>
        <v/>
      </c>
      <c r="H3114" s="4" t="str">
        <f>IFERROR(__xludf.DUMMYFUNCTION("""COMPUTED_VALUE"""),"")</f>
        <v/>
      </c>
      <c r="I3114" s="4" t="str">
        <f>IFERROR(__xludf.DUMMYFUNCTION("""COMPUTED_VALUE"""),"")</f>
        <v/>
      </c>
      <c r="J3114" s="4" t="str">
        <f>IFERROR(__xludf.DUMMYFUNCTION("""COMPUTED_VALUE"""),"")</f>
        <v/>
      </c>
      <c r="K3114" s="4" t="str">
        <f>IFERROR(__xludf.DUMMYFUNCTION("""COMPUTED_VALUE"""),"")</f>
        <v/>
      </c>
      <c r="L3114" s="4" t="str">
        <f>IFERROR(__xludf.DUMMYFUNCTION("""COMPUTED_VALUE"""),"")</f>
        <v/>
      </c>
      <c r="M3114" s="1" t="str">
        <f>IFERROR(__xludf.DUMMYFUNCTION("""COMPUTED_VALUE"""),"RFID")</f>
        <v>RFID</v>
      </c>
      <c r="N3114" s="5" t="str">
        <f>IFERROR(__xludf.DUMMYFUNCTION("""COMPUTED_VALUE"""),"")</f>
        <v/>
      </c>
      <c r="O3114" s="5" t="str">
        <f>IFERROR(__xludf.DUMMYFUNCTION("""COMPUTED_VALUE"""),"")</f>
        <v/>
      </c>
      <c r="P3114" s="5" t="str">
        <f>IFERROR(__xludf.DUMMYFUNCTION("""COMPUTED_VALUE"""),"")</f>
        <v/>
      </c>
      <c r="Q3114" s="5" t="str">
        <f>IFERROR(__xludf.DUMMYFUNCTION("""COMPUTED_VALUE"""),"")</f>
        <v/>
      </c>
      <c r="R3114" s="4" t="str">
        <f>IFERROR(__xludf.DUMMYFUNCTION("""COMPUTED_VALUE"""),"")</f>
        <v/>
      </c>
      <c r="S3114" s="1" t="b">
        <f>IFERROR(__xludf.DUMMYFUNCTION("""COMPUTED_VALUE"""),FALSE)</f>
        <v>0</v>
      </c>
      <c r="T3114" s="1" t="b">
        <f>IFERROR(__xludf.DUMMYFUNCTION("""COMPUTED_VALUE"""),FALSE)</f>
        <v>0</v>
      </c>
      <c r="U3114" s="1" t="str">
        <f>IFERROR(__xludf.DUMMYFUNCTION("""COMPUTED_VALUE"""),"")</f>
        <v/>
      </c>
      <c r="V3114" s="1" t="str">
        <f>IFERROR(__xludf.DUMMYFUNCTION("""COMPUTED_VALUE"""),"")</f>
        <v/>
      </c>
      <c r="W3114" s="1" t="str">
        <f>IFERROR(__xludf.DUMMYFUNCTION("""COMPUTED_VALUE"""),"")</f>
        <v/>
      </c>
      <c r="X3114" s="1" t="str">
        <f>IFERROR(__xludf.DUMMYFUNCTION("""COMPUTED_VALUE"""),"")</f>
        <v/>
      </c>
      <c r="Y3114" s="2"/>
      <c r="Z3114" s="2" t="str">
        <f>IFERROR(__xludf.DUMMYFUNCTION("""COMPUTED_VALUE"""),"")</f>
        <v/>
      </c>
    </row>
    <row r="3115">
      <c r="A3115" s="1" t="str">
        <f>IFERROR(__xludf.DUMMYFUNCTION("""COMPUTED_VALUE"""),"")</f>
        <v/>
      </c>
      <c r="B3115" s="1"/>
      <c r="C3115" s="2"/>
      <c r="D3115" s="2"/>
      <c r="E3115" s="1"/>
      <c r="F3115" s="1"/>
      <c r="G3115" s="4" t="str">
        <f>IFERROR(__xludf.DUMMYFUNCTION("""COMPUTED_VALUE"""),"")</f>
        <v/>
      </c>
      <c r="H3115" s="4" t="str">
        <f>IFERROR(__xludf.DUMMYFUNCTION("""COMPUTED_VALUE"""),"")</f>
        <v/>
      </c>
      <c r="I3115" s="4" t="str">
        <f>IFERROR(__xludf.DUMMYFUNCTION("""COMPUTED_VALUE"""),"")</f>
        <v/>
      </c>
      <c r="J3115" s="4" t="str">
        <f>IFERROR(__xludf.DUMMYFUNCTION("""COMPUTED_VALUE"""),"")</f>
        <v/>
      </c>
      <c r="K3115" s="4" t="str">
        <f>IFERROR(__xludf.DUMMYFUNCTION("""COMPUTED_VALUE"""),"")</f>
        <v/>
      </c>
      <c r="L3115" s="4" t="str">
        <f>IFERROR(__xludf.DUMMYFUNCTION("""COMPUTED_VALUE"""),"")</f>
        <v/>
      </c>
      <c r="M3115" s="1" t="str">
        <f>IFERROR(__xludf.DUMMYFUNCTION("""COMPUTED_VALUE"""),"RFID")</f>
        <v>RFID</v>
      </c>
      <c r="N3115" s="5" t="str">
        <f>IFERROR(__xludf.DUMMYFUNCTION("""COMPUTED_VALUE"""),"")</f>
        <v/>
      </c>
      <c r="O3115" s="5" t="str">
        <f>IFERROR(__xludf.DUMMYFUNCTION("""COMPUTED_VALUE"""),"")</f>
        <v/>
      </c>
      <c r="P3115" s="5" t="str">
        <f>IFERROR(__xludf.DUMMYFUNCTION("""COMPUTED_VALUE"""),"")</f>
        <v/>
      </c>
      <c r="Q3115" s="5" t="str">
        <f>IFERROR(__xludf.DUMMYFUNCTION("""COMPUTED_VALUE"""),"")</f>
        <v/>
      </c>
      <c r="R3115" s="4" t="str">
        <f>IFERROR(__xludf.DUMMYFUNCTION("""COMPUTED_VALUE"""),"")</f>
        <v/>
      </c>
      <c r="S3115" s="1" t="b">
        <f>IFERROR(__xludf.DUMMYFUNCTION("""COMPUTED_VALUE"""),FALSE)</f>
        <v>0</v>
      </c>
      <c r="T3115" s="1" t="b">
        <f>IFERROR(__xludf.DUMMYFUNCTION("""COMPUTED_VALUE"""),FALSE)</f>
        <v>0</v>
      </c>
      <c r="U3115" s="1" t="str">
        <f>IFERROR(__xludf.DUMMYFUNCTION("""COMPUTED_VALUE"""),"")</f>
        <v/>
      </c>
      <c r="V3115" s="1" t="str">
        <f>IFERROR(__xludf.DUMMYFUNCTION("""COMPUTED_VALUE"""),"")</f>
        <v/>
      </c>
      <c r="W3115" s="1" t="str">
        <f>IFERROR(__xludf.DUMMYFUNCTION("""COMPUTED_VALUE"""),"")</f>
        <v/>
      </c>
      <c r="X3115" s="1" t="str">
        <f>IFERROR(__xludf.DUMMYFUNCTION("""COMPUTED_VALUE"""),"")</f>
        <v/>
      </c>
      <c r="Y3115" s="2"/>
      <c r="Z3115" s="2" t="str">
        <f>IFERROR(__xludf.DUMMYFUNCTION("""COMPUTED_VALUE"""),"")</f>
        <v/>
      </c>
    </row>
    <row r="3116">
      <c r="A3116" s="1" t="str">
        <f>IFERROR(__xludf.DUMMYFUNCTION("""COMPUTED_VALUE"""),"")</f>
        <v/>
      </c>
      <c r="B3116" s="1"/>
      <c r="C3116" s="2"/>
      <c r="D3116" s="2"/>
      <c r="E3116" s="1"/>
      <c r="F3116" s="1"/>
      <c r="G3116" s="4" t="str">
        <f>IFERROR(__xludf.DUMMYFUNCTION("""COMPUTED_VALUE"""),"")</f>
        <v/>
      </c>
      <c r="H3116" s="4" t="str">
        <f>IFERROR(__xludf.DUMMYFUNCTION("""COMPUTED_VALUE"""),"")</f>
        <v/>
      </c>
      <c r="I3116" s="4" t="str">
        <f>IFERROR(__xludf.DUMMYFUNCTION("""COMPUTED_VALUE"""),"")</f>
        <v/>
      </c>
      <c r="J3116" s="4" t="str">
        <f>IFERROR(__xludf.DUMMYFUNCTION("""COMPUTED_VALUE"""),"")</f>
        <v/>
      </c>
      <c r="K3116" s="4" t="str">
        <f>IFERROR(__xludf.DUMMYFUNCTION("""COMPUTED_VALUE"""),"")</f>
        <v/>
      </c>
      <c r="L3116" s="4" t="str">
        <f>IFERROR(__xludf.DUMMYFUNCTION("""COMPUTED_VALUE"""),"")</f>
        <v/>
      </c>
      <c r="M3116" s="1" t="str">
        <f>IFERROR(__xludf.DUMMYFUNCTION("""COMPUTED_VALUE"""),"RFID")</f>
        <v>RFID</v>
      </c>
      <c r="N3116" s="5" t="str">
        <f>IFERROR(__xludf.DUMMYFUNCTION("""COMPUTED_VALUE"""),"")</f>
        <v/>
      </c>
      <c r="O3116" s="5" t="str">
        <f>IFERROR(__xludf.DUMMYFUNCTION("""COMPUTED_VALUE"""),"")</f>
        <v/>
      </c>
      <c r="P3116" s="5" t="str">
        <f>IFERROR(__xludf.DUMMYFUNCTION("""COMPUTED_VALUE"""),"")</f>
        <v/>
      </c>
      <c r="Q3116" s="5" t="str">
        <f>IFERROR(__xludf.DUMMYFUNCTION("""COMPUTED_VALUE"""),"")</f>
        <v/>
      </c>
      <c r="R3116" s="4" t="str">
        <f>IFERROR(__xludf.DUMMYFUNCTION("""COMPUTED_VALUE"""),"")</f>
        <v/>
      </c>
      <c r="S3116" s="1" t="b">
        <f>IFERROR(__xludf.DUMMYFUNCTION("""COMPUTED_VALUE"""),FALSE)</f>
        <v>0</v>
      </c>
      <c r="T3116" s="1" t="b">
        <f>IFERROR(__xludf.DUMMYFUNCTION("""COMPUTED_VALUE"""),FALSE)</f>
        <v>0</v>
      </c>
      <c r="U3116" s="1" t="str">
        <f>IFERROR(__xludf.DUMMYFUNCTION("""COMPUTED_VALUE"""),"")</f>
        <v/>
      </c>
      <c r="V3116" s="1" t="str">
        <f>IFERROR(__xludf.DUMMYFUNCTION("""COMPUTED_VALUE"""),"")</f>
        <v/>
      </c>
      <c r="W3116" s="1" t="str">
        <f>IFERROR(__xludf.DUMMYFUNCTION("""COMPUTED_VALUE"""),"")</f>
        <v/>
      </c>
      <c r="X3116" s="1" t="str">
        <f>IFERROR(__xludf.DUMMYFUNCTION("""COMPUTED_VALUE"""),"")</f>
        <v/>
      </c>
      <c r="Y3116" s="2"/>
      <c r="Z3116" s="2" t="str">
        <f>IFERROR(__xludf.DUMMYFUNCTION("""COMPUTED_VALUE"""),"")</f>
        <v/>
      </c>
    </row>
    <row r="3117">
      <c r="A3117" s="1" t="str">
        <f>IFERROR(__xludf.DUMMYFUNCTION("""COMPUTED_VALUE"""),"")</f>
        <v/>
      </c>
      <c r="B3117" s="1"/>
      <c r="C3117" s="2"/>
      <c r="D3117" s="2"/>
      <c r="E3117" s="1"/>
      <c r="F3117" s="1"/>
      <c r="G3117" s="4" t="str">
        <f>IFERROR(__xludf.DUMMYFUNCTION("""COMPUTED_VALUE"""),"")</f>
        <v/>
      </c>
      <c r="H3117" s="4" t="str">
        <f>IFERROR(__xludf.DUMMYFUNCTION("""COMPUTED_VALUE"""),"")</f>
        <v/>
      </c>
      <c r="I3117" s="4" t="str">
        <f>IFERROR(__xludf.DUMMYFUNCTION("""COMPUTED_VALUE"""),"")</f>
        <v/>
      </c>
      <c r="J3117" s="4" t="str">
        <f>IFERROR(__xludf.DUMMYFUNCTION("""COMPUTED_VALUE"""),"")</f>
        <v/>
      </c>
      <c r="K3117" s="4" t="str">
        <f>IFERROR(__xludf.DUMMYFUNCTION("""COMPUTED_VALUE"""),"")</f>
        <v/>
      </c>
      <c r="L3117" s="4" t="str">
        <f>IFERROR(__xludf.DUMMYFUNCTION("""COMPUTED_VALUE"""),"")</f>
        <v/>
      </c>
      <c r="M3117" s="1" t="str">
        <f>IFERROR(__xludf.DUMMYFUNCTION("""COMPUTED_VALUE"""),"RFID")</f>
        <v>RFID</v>
      </c>
      <c r="N3117" s="5" t="str">
        <f>IFERROR(__xludf.DUMMYFUNCTION("""COMPUTED_VALUE"""),"")</f>
        <v/>
      </c>
      <c r="O3117" s="5" t="str">
        <f>IFERROR(__xludf.DUMMYFUNCTION("""COMPUTED_VALUE"""),"")</f>
        <v/>
      </c>
      <c r="P3117" s="5" t="str">
        <f>IFERROR(__xludf.DUMMYFUNCTION("""COMPUTED_VALUE"""),"")</f>
        <v/>
      </c>
      <c r="Q3117" s="5" t="str">
        <f>IFERROR(__xludf.DUMMYFUNCTION("""COMPUTED_VALUE"""),"")</f>
        <v/>
      </c>
      <c r="R3117" s="4" t="str">
        <f>IFERROR(__xludf.DUMMYFUNCTION("""COMPUTED_VALUE"""),"")</f>
        <v/>
      </c>
      <c r="S3117" s="1" t="b">
        <f>IFERROR(__xludf.DUMMYFUNCTION("""COMPUTED_VALUE"""),FALSE)</f>
        <v>0</v>
      </c>
      <c r="T3117" s="1" t="b">
        <f>IFERROR(__xludf.DUMMYFUNCTION("""COMPUTED_VALUE"""),FALSE)</f>
        <v>0</v>
      </c>
      <c r="U3117" s="1" t="str">
        <f>IFERROR(__xludf.DUMMYFUNCTION("""COMPUTED_VALUE"""),"")</f>
        <v/>
      </c>
      <c r="V3117" s="1" t="str">
        <f>IFERROR(__xludf.DUMMYFUNCTION("""COMPUTED_VALUE"""),"")</f>
        <v/>
      </c>
      <c r="W3117" s="1" t="str">
        <f>IFERROR(__xludf.DUMMYFUNCTION("""COMPUTED_VALUE"""),"")</f>
        <v/>
      </c>
      <c r="X3117" s="1" t="str">
        <f>IFERROR(__xludf.DUMMYFUNCTION("""COMPUTED_VALUE"""),"")</f>
        <v/>
      </c>
      <c r="Y3117" s="2"/>
      <c r="Z3117" s="2" t="str">
        <f>IFERROR(__xludf.DUMMYFUNCTION("""COMPUTED_VALUE"""),"")</f>
        <v/>
      </c>
    </row>
    <row r="3118">
      <c r="A3118" s="1" t="str">
        <f>IFERROR(__xludf.DUMMYFUNCTION("""COMPUTED_VALUE"""),"")</f>
        <v/>
      </c>
      <c r="B3118" s="1"/>
      <c r="C3118" s="2"/>
      <c r="D3118" s="2"/>
      <c r="E3118" s="1"/>
      <c r="F3118" s="1"/>
      <c r="G3118" s="4" t="str">
        <f>IFERROR(__xludf.DUMMYFUNCTION("""COMPUTED_VALUE"""),"")</f>
        <v/>
      </c>
      <c r="H3118" s="4" t="str">
        <f>IFERROR(__xludf.DUMMYFUNCTION("""COMPUTED_VALUE"""),"")</f>
        <v/>
      </c>
      <c r="I3118" s="4" t="str">
        <f>IFERROR(__xludf.DUMMYFUNCTION("""COMPUTED_VALUE"""),"")</f>
        <v/>
      </c>
      <c r="J3118" s="4" t="str">
        <f>IFERROR(__xludf.DUMMYFUNCTION("""COMPUTED_VALUE"""),"")</f>
        <v/>
      </c>
      <c r="K3118" s="4" t="str">
        <f>IFERROR(__xludf.DUMMYFUNCTION("""COMPUTED_VALUE"""),"")</f>
        <v/>
      </c>
      <c r="L3118" s="4" t="str">
        <f>IFERROR(__xludf.DUMMYFUNCTION("""COMPUTED_VALUE"""),"")</f>
        <v/>
      </c>
      <c r="M3118" s="1" t="str">
        <f>IFERROR(__xludf.DUMMYFUNCTION("""COMPUTED_VALUE"""),"RFID")</f>
        <v>RFID</v>
      </c>
      <c r="N3118" s="5" t="str">
        <f>IFERROR(__xludf.DUMMYFUNCTION("""COMPUTED_VALUE"""),"")</f>
        <v/>
      </c>
      <c r="O3118" s="5" t="str">
        <f>IFERROR(__xludf.DUMMYFUNCTION("""COMPUTED_VALUE"""),"")</f>
        <v/>
      </c>
      <c r="P3118" s="5" t="str">
        <f>IFERROR(__xludf.DUMMYFUNCTION("""COMPUTED_VALUE"""),"")</f>
        <v/>
      </c>
      <c r="Q3118" s="5" t="str">
        <f>IFERROR(__xludf.DUMMYFUNCTION("""COMPUTED_VALUE"""),"")</f>
        <v/>
      </c>
      <c r="R3118" s="4" t="str">
        <f>IFERROR(__xludf.DUMMYFUNCTION("""COMPUTED_VALUE"""),"")</f>
        <v/>
      </c>
      <c r="S3118" s="1" t="b">
        <f>IFERROR(__xludf.DUMMYFUNCTION("""COMPUTED_VALUE"""),FALSE)</f>
        <v>0</v>
      </c>
      <c r="T3118" s="1" t="b">
        <f>IFERROR(__xludf.DUMMYFUNCTION("""COMPUTED_VALUE"""),FALSE)</f>
        <v>0</v>
      </c>
      <c r="U3118" s="1" t="str">
        <f>IFERROR(__xludf.DUMMYFUNCTION("""COMPUTED_VALUE"""),"")</f>
        <v/>
      </c>
      <c r="V3118" s="1" t="str">
        <f>IFERROR(__xludf.DUMMYFUNCTION("""COMPUTED_VALUE"""),"")</f>
        <v/>
      </c>
      <c r="W3118" s="1" t="str">
        <f>IFERROR(__xludf.DUMMYFUNCTION("""COMPUTED_VALUE"""),"")</f>
        <v/>
      </c>
      <c r="X3118" s="1" t="str">
        <f>IFERROR(__xludf.DUMMYFUNCTION("""COMPUTED_VALUE"""),"")</f>
        <v/>
      </c>
      <c r="Y3118" s="2"/>
      <c r="Z3118" s="2" t="str">
        <f>IFERROR(__xludf.DUMMYFUNCTION("""COMPUTED_VALUE"""),"")</f>
        <v/>
      </c>
    </row>
    <row r="3119">
      <c r="A3119" s="1" t="str">
        <f>IFERROR(__xludf.DUMMYFUNCTION("""COMPUTED_VALUE"""),"")</f>
        <v/>
      </c>
      <c r="B3119" s="1"/>
      <c r="C3119" s="2"/>
      <c r="D3119" s="2"/>
      <c r="E3119" s="1"/>
      <c r="F3119" s="1"/>
      <c r="G3119" s="4" t="str">
        <f>IFERROR(__xludf.DUMMYFUNCTION("""COMPUTED_VALUE"""),"")</f>
        <v/>
      </c>
      <c r="H3119" s="4" t="str">
        <f>IFERROR(__xludf.DUMMYFUNCTION("""COMPUTED_VALUE"""),"")</f>
        <v/>
      </c>
      <c r="I3119" s="4" t="str">
        <f>IFERROR(__xludf.DUMMYFUNCTION("""COMPUTED_VALUE"""),"")</f>
        <v/>
      </c>
      <c r="J3119" s="4" t="str">
        <f>IFERROR(__xludf.DUMMYFUNCTION("""COMPUTED_VALUE"""),"")</f>
        <v/>
      </c>
      <c r="K3119" s="4" t="str">
        <f>IFERROR(__xludf.DUMMYFUNCTION("""COMPUTED_VALUE"""),"")</f>
        <v/>
      </c>
      <c r="L3119" s="4" t="str">
        <f>IFERROR(__xludf.DUMMYFUNCTION("""COMPUTED_VALUE"""),"")</f>
        <v/>
      </c>
      <c r="M3119" s="1" t="str">
        <f>IFERROR(__xludf.DUMMYFUNCTION("""COMPUTED_VALUE"""),"RFID")</f>
        <v>RFID</v>
      </c>
      <c r="N3119" s="5" t="str">
        <f>IFERROR(__xludf.DUMMYFUNCTION("""COMPUTED_VALUE"""),"")</f>
        <v/>
      </c>
      <c r="O3119" s="5" t="str">
        <f>IFERROR(__xludf.DUMMYFUNCTION("""COMPUTED_VALUE"""),"")</f>
        <v/>
      </c>
      <c r="P3119" s="5" t="str">
        <f>IFERROR(__xludf.DUMMYFUNCTION("""COMPUTED_VALUE"""),"")</f>
        <v/>
      </c>
      <c r="Q3119" s="5" t="str">
        <f>IFERROR(__xludf.DUMMYFUNCTION("""COMPUTED_VALUE"""),"")</f>
        <v/>
      </c>
      <c r="R3119" s="4" t="str">
        <f>IFERROR(__xludf.DUMMYFUNCTION("""COMPUTED_VALUE"""),"")</f>
        <v/>
      </c>
      <c r="S3119" s="1" t="b">
        <f>IFERROR(__xludf.DUMMYFUNCTION("""COMPUTED_VALUE"""),FALSE)</f>
        <v>0</v>
      </c>
      <c r="T3119" s="1" t="b">
        <f>IFERROR(__xludf.DUMMYFUNCTION("""COMPUTED_VALUE"""),FALSE)</f>
        <v>0</v>
      </c>
      <c r="U3119" s="1" t="str">
        <f>IFERROR(__xludf.DUMMYFUNCTION("""COMPUTED_VALUE"""),"")</f>
        <v/>
      </c>
      <c r="V3119" s="1" t="str">
        <f>IFERROR(__xludf.DUMMYFUNCTION("""COMPUTED_VALUE"""),"")</f>
        <v/>
      </c>
      <c r="W3119" s="1" t="str">
        <f>IFERROR(__xludf.DUMMYFUNCTION("""COMPUTED_VALUE"""),"")</f>
        <v/>
      </c>
      <c r="X3119" s="1" t="str">
        <f>IFERROR(__xludf.DUMMYFUNCTION("""COMPUTED_VALUE"""),"")</f>
        <v/>
      </c>
      <c r="Y3119" s="2"/>
      <c r="Z3119" s="2" t="str">
        <f>IFERROR(__xludf.DUMMYFUNCTION("""COMPUTED_VALUE"""),"")</f>
        <v/>
      </c>
    </row>
    <row r="3120">
      <c r="A3120" s="1" t="str">
        <f>IFERROR(__xludf.DUMMYFUNCTION("""COMPUTED_VALUE"""),"")</f>
        <v/>
      </c>
      <c r="B3120" s="1"/>
      <c r="C3120" s="2"/>
      <c r="D3120" s="2"/>
      <c r="E3120" s="1"/>
      <c r="F3120" s="1"/>
      <c r="G3120" s="4" t="str">
        <f>IFERROR(__xludf.DUMMYFUNCTION("""COMPUTED_VALUE"""),"")</f>
        <v/>
      </c>
      <c r="H3120" s="4" t="str">
        <f>IFERROR(__xludf.DUMMYFUNCTION("""COMPUTED_VALUE"""),"")</f>
        <v/>
      </c>
      <c r="I3120" s="4" t="str">
        <f>IFERROR(__xludf.DUMMYFUNCTION("""COMPUTED_VALUE"""),"")</f>
        <v/>
      </c>
      <c r="J3120" s="4" t="str">
        <f>IFERROR(__xludf.DUMMYFUNCTION("""COMPUTED_VALUE"""),"")</f>
        <v/>
      </c>
      <c r="K3120" s="4" t="str">
        <f>IFERROR(__xludf.DUMMYFUNCTION("""COMPUTED_VALUE"""),"")</f>
        <v/>
      </c>
      <c r="L3120" s="4" t="str">
        <f>IFERROR(__xludf.DUMMYFUNCTION("""COMPUTED_VALUE"""),"")</f>
        <v/>
      </c>
      <c r="M3120" s="1" t="str">
        <f>IFERROR(__xludf.DUMMYFUNCTION("""COMPUTED_VALUE"""),"RFID")</f>
        <v>RFID</v>
      </c>
      <c r="N3120" s="5" t="str">
        <f>IFERROR(__xludf.DUMMYFUNCTION("""COMPUTED_VALUE"""),"")</f>
        <v/>
      </c>
      <c r="O3120" s="5" t="str">
        <f>IFERROR(__xludf.DUMMYFUNCTION("""COMPUTED_VALUE"""),"")</f>
        <v/>
      </c>
      <c r="P3120" s="5" t="str">
        <f>IFERROR(__xludf.DUMMYFUNCTION("""COMPUTED_VALUE"""),"")</f>
        <v/>
      </c>
      <c r="Q3120" s="5" t="str">
        <f>IFERROR(__xludf.DUMMYFUNCTION("""COMPUTED_VALUE"""),"")</f>
        <v/>
      </c>
      <c r="R3120" s="4" t="str">
        <f>IFERROR(__xludf.DUMMYFUNCTION("""COMPUTED_VALUE"""),"")</f>
        <v/>
      </c>
      <c r="S3120" s="1" t="b">
        <f>IFERROR(__xludf.DUMMYFUNCTION("""COMPUTED_VALUE"""),FALSE)</f>
        <v>0</v>
      </c>
      <c r="T3120" s="1" t="b">
        <f>IFERROR(__xludf.DUMMYFUNCTION("""COMPUTED_VALUE"""),FALSE)</f>
        <v>0</v>
      </c>
      <c r="U3120" s="1" t="str">
        <f>IFERROR(__xludf.DUMMYFUNCTION("""COMPUTED_VALUE"""),"")</f>
        <v/>
      </c>
      <c r="V3120" s="1" t="str">
        <f>IFERROR(__xludf.DUMMYFUNCTION("""COMPUTED_VALUE"""),"")</f>
        <v/>
      </c>
      <c r="W3120" s="1" t="str">
        <f>IFERROR(__xludf.DUMMYFUNCTION("""COMPUTED_VALUE"""),"")</f>
        <v/>
      </c>
      <c r="X3120" s="1" t="str">
        <f>IFERROR(__xludf.DUMMYFUNCTION("""COMPUTED_VALUE"""),"")</f>
        <v/>
      </c>
      <c r="Y3120" s="2"/>
      <c r="Z3120" s="2" t="str">
        <f>IFERROR(__xludf.DUMMYFUNCTION("""COMPUTED_VALUE"""),"")</f>
        <v/>
      </c>
    </row>
    <row r="3121">
      <c r="A3121" s="1" t="str">
        <f>IFERROR(__xludf.DUMMYFUNCTION("""COMPUTED_VALUE"""),"")</f>
        <v/>
      </c>
      <c r="B3121" s="1"/>
      <c r="C3121" s="2"/>
      <c r="D3121" s="2"/>
      <c r="E3121" s="1"/>
      <c r="F3121" s="1"/>
      <c r="G3121" s="4" t="str">
        <f>IFERROR(__xludf.DUMMYFUNCTION("""COMPUTED_VALUE"""),"")</f>
        <v/>
      </c>
      <c r="H3121" s="4" t="str">
        <f>IFERROR(__xludf.DUMMYFUNCTION("""COMPUTED_VALUE"""),"")</f>
        <v/>
      </c>
      <c r="I3121" s="4" t="str">
        <f>IFERROR(__xludf.DUMMYFUNCTION("""COMPUTED_VALUE"""),"")</f>
        <v/>
      </c>
      <c r="J3121" s="4" t="str">
        <f>IFERROR(__xludf.DUMMYFUNCTION("""COMPUTED_VALUE"""),"")</f>
        <v/>
      </c>
      <c r="K3121" s="4" t="str">
        <f>IFERROR(__xludf.DUMMYFUNCTION("""COMPUTED_VALUE"""),"")</f>
        <v/>
      </c>
      <c r="L3121" s="4" t="str">
        <f>IFERROR(__xludf.DUMMYFUNCTION("""COMPUTED_VALUE"""),"")</f>
        <v/>
      </c>
      <c r="M3121" s="1" t="str">
        <f>IFERROR(__xludf.DUMMYFUNCTION("""COMPUTED_VALUE"""),"RFID")</f>
        <v>RFID</v>
      </c>
      <c r="N3121" s="5" t="str">
        <f>IFERROR(__xludf.DUMMYFUNCTION("""COMPUTED_VALUE"""),"")</f>
        <v/>
      </c>
      <c r="O3121" s="5" t="str">
        <f>IFERROR(__xludf.DUMMYFUNCTION("""COMPUTED_VALUE"""),"")</f>
        <v/>
      </c>
      <c r="P3121" s="5" t="str">
        <f>IFERROR(__xludf.DUMMYFUNCTION("""COMPUTED_VALUE"""),"")</f>
        <v/>
      </c>
      <c r="Q3121" s="5" t="str">
        <f>IFERROR(__xludf.DUMMYFUNCTION("""COMPUTED_VALUE"""),"")</f>
        <v/>
      </c>
      <c r="R3121" s="4" t="str">
        <f>IFERROR(__xludf.DUMMYFUNCTION("""COMPUTED_VALUE"""),"")</f>
        <v/>
      </c>
      <c r="S3121" s="1" t="b">
        <f>IFERROR(__xludf.DUMMYFUNCTION("""COMPUTED_VALUE"""),FALSE)</f>
        <v>0</v>
      </c>
      <c r="T3121" s="1" t="b">
        <f>IFERROR(__xludf.DUMMYFUNCTION("""COMPUTED_VALUE"""),FALSE)</f>
        <v>0</v>
      </c>
      <c r="U3121" s="1" t="str">
        <f>IFERROR(__xludf.DUMMYFUNCTION("""COMPUTED_VALUE"""),"")</f>
        <v/>
      </c>
      <c r="V3121" s="1" t="str">
        <f>IFERROR(__xludf.DUMMYFUNCTION("""COMPUTED_VALUE"""),"")</f>
        <v/>
      </c>
      <c r="W3121" s="1" t="str">
        <f>IFERROR(__xludf.DUMMYFUNCTION("""COMPUTED_VALUE"""),"")</f>
        <v/>
      </c>
      <c r="X3121" s="1" t="str">
        <f>IFERROR(__xludf.DUMMYFUNCTION("""COMPUTED_VALUE"""),"")</f>
        <v/>
      </c>
      <c r="Y3121" s="2"/>
      <c r="Z3121" s="2" t="str">
        <f>IFERROR(__xludf.DUMMYFUNCTION("""COMPUTED_VALUE"""),"")</f>
        <v/>
      </c>
    </row>
    <row r="3122">
      <c r="A3122" s="1" t="str">
        <f>IFERROR(__xludf.DUMMYFUNCTION("""COMPUTED_VALUE"""),"")</f>
        <v/>
      </c>
      <c r="B3122" s="1"/>
      <c r="C3122" s="2"/>
      <c r="D3122" s="2"/>
      <c r="E3122" s="1"/>
      <c r="F3122" s="1"/>
      <c r="G3122" s="4" t="str">
        <f>IFERROR(__xludf.DUMMYFUNCTION("""COMPUTED_VALUE"""),"")</f>
        <v/>
      </c>
      <c r="H3122" s="4" t="str">
        <f>IFERROR(__xludf.DUMMYFUNCTION("""COMPUTED_VALUE"""),"")</f>
        <v/>
      </c>
      <c r="I3122" s="4" t="str">
        <f>IFERROR(__xludf.DUMMYFUNCTION("""COMPUTED_VALUE"""),"")</f>
        <v/>
      </c>
      <c r="J3122" s="4" t="str">
        <f>IFERROR(__xludf.DUMMYFUNCTION("""COMPUTED_VALUE"""),"")</f>
        <v/>
      </c>
      <c r="K3122" s="4" t="str">
        <f>IFERROR(__xludf.DUMMYFUNCTION("""COMPUTED_VALUE"""),"")</f>
        <v/>
      </c>
      <c r="L3122" s="4" t="str">
        <f>IFERROR(__xludf.DUMMYFUNCTION("""COMPUTED_VALUE"""),"")</f>
        <v/>
      </c>
      <c r="M3122" s="1" t="str">
        <f>IFERROR(__xludf.DUMMYFUNCTION("""COMPUTED_VALUE"""),"RFID")</f>
        <v>RFID</v>
      </c>
      <c r="N3122" s="5" t="str">
        <f>IFERROR(__xludf.DUMMYFUNCTION("""COMPUTED_VALUE"""),"")</f>
        <v/>
      </c>
      <c r="O3122" s="5" t="str">
        <f>IFERROR(__xludf.DUMMYFUNCTION("""COMPUTED_VALUE"""),"")</f>
        <v/>
      </c>
      <c r="P3122" s="5" t="str">
        <f>IFERROR(__xludf.DUMMYFUNCTION("""COMPUTED_VALUE"""),"")</f>
        <v/>
      </c>
      <c r="Q3122" s="5" t="str">
        <f>IFERROR(__xludf.DUMMYFUNCTION("""COMPUTED_VALUE"""),"")</f>
        <v/>
      </c>
      <c r="R3122" s="4" t="str">
        <f>IFERROR(__xludf.DUMMYFUNCTION("""COMPUTED_VALUE"""),"")</f>
        <v/>
      </c>
      <c r="S3122" s="1" t="b">
        <f>IFERROR(__xludf.DUMMYFUNCTION("""COMPUTED_VALUE"""),FALSE)</f>
        <v>0</v>
      </c>
      <c r="T3122" s="1" t="b">
        <f>IFERROR(__xludf.DUMMYFUNCTION("""COMPUTED_VALUE"""),FALSE)</f>
        <v>0</v>
      </c>
      <c r="U3122" s="1" t="str">
        <f>IFERROR(__xludf.DUMMYFUNCTION("""COMPUTED_VALUE"""),"")</f>
        <v/>
      </c>
      <c r="V3122" s="1" t="str">
        <f>IFERROR(__xludf.DUMMYFUNCTION("""COMPUTED_VALUE"""),"")</f>
        <v/>
      </c>
      <c r="W3122" s="1" t="str">
        <f>IFERROR(__xludf.DUMMYFUNCTION("""COMPUTED_VALUE"""),"")</f>
        <v/>
      </c>
      <c r="X3122" s="1" t="str">
        <f>IFERROR(__xludf.DUMMYFUNCTION("""COMPUTED_VALUE"""),"")</f>
        <v/>
      </c>
      <c r="Y3122" s="2"/>
      <c r="Z3122" s="2" t="str">
        <f>IFERROR(__xludf.DUMMYFUNCTION("""COMPUTED_VALUE"""),"")</f>
        <v/>
      </c>
    </row>
    <row r="3123">
      <c r="A3123" s="1" t="str">
        <f>IFERROR(__xludf.DUMMYFUNCTION("""COMPUTED_VALUE"""),"")</f>
        <v/>
      </c>
      <c r="B3123" s="1"/>
      <c r="C3123" s="2"/>
      <c r="D3123" s="2"/>
      <c r="E3123" s="1"/>
      <c r="F3123" s="1"/>
      <c r="G3123" s="4" t="str">
        <f>IFERROR(__xludf.DUMMYFUNCTION("""COMPUTED_VALUE"""),"")</f>
        <v/>
      </c>
      <c r="H3123" s="4" t="str">
        <f>IFERROR(__xludf.DUMMYFUNCTION("""COMPUTED_VALUE"""),"")</f>
        <v/>
      </c>
      <c r="I3123" s="4" t="str">
        <f>IFERROR(__xludf.DUMMYFUNCTION("""COMPUTED_VALUE"""),"")</f>
        <v/>
      </c>
      <c r="J3123" s="4" t="str">
        <f>IFERROR(__xludf.DUMMYFUNCTION("""COMPUTED_VALUE"""),"")</f>
        <v/>
      </c>
      <c r="K3123" s="4" t="str">
        <f>IFERROR(__xludf.DUMMYFUNCTION("""COMPUTED_VALUE"""),"")</f>
        <v/>
      </c>
      <c r="L3123" s="4" t="str">
        <f>IFERROR(__xludf.DUMMYFUNCTION("""COMPUTED_VALUE"""),"")</f>
        <v/>
      </c>
      <c r="M3123" s="1" t="str">
        <f>IFERROR(__xludf.DUMMYFUNCTION("""COMPUTED_VALUE"""),"RFID")</f>
        <v>RFID</v>
      </c>
      <c r="N3123" s="5" t="str">
        <f>IFERROR(__xludf.DUMMYFUNCTION("""COMPUTED_VALUE"""),"")</f>
        <v/>
      </c>
      <c r="O3123" s="5" t="str">
        <f>IFERROR(__xludf.DUMMYFUNCTION("""COMPUTED_VALUE"""),"")</f>
        <v/>
      </c>
      <c r="P3123" s="5" t="str">
        <f>IFERROR(__xludf.DUMMYFUNCTION("""COMPUTED_VALUE"""),"")</f>
        <v/>
      </c>
      <c r="Q3123" s="5" t="str">
        <f>IFERROR(__xludf.DUMMYFUNCTION("""COMPUTED_VALUE"""),"")</f>
        <v/>
      </c>
      <c r="R3123" s="4" t="str">
        <f>IFERROR(__xludf.DUMMYFUNCTION("""COMPUTED_VALUE"""),"")</f>
        <v/>
      </c>
      <c r="S3123" s="1" t="b">
        <f>IFERROR(__xludf.DUMMYFUNCTION("""COMPUTED_VALUE"""),FALSE)</f>
        <v>0</v>
      </c>
      <c r="T3123" s="1" t="b">
        <f>IFERROR(__xludf.DUMMYFUNCTION("""COMPUTED_VALUE"""),FALSE)</f>
        <v>0</v>
      </c>
      <c r="U3123" s="1" t="str">
        <f>IFERROR(__xludf.DUMMYFUNCTION("""COMPUTED_VALUE"""),"")</f>
        <v/>
      </c>
      <c r="V3123" s="1" t="str">
        <f>IFERROR(__xludf.DUMMYFUNCTION("""COMPUTED_VALUE"""),"")</f>
        <v/>
      </c>
      <c r="W3123" s="1" t="str">
        <f>IFERROR(__xludf.DUMMYFUNCTION("""COMPUTED_VALUE"""),"")</f>
        <v/>
      </c>
      <c r="X3123" s="1" t="str">
        <f>IFERROR(__xludf.DUMMYFUNCTION("""COMPUTED_VALUE"""),"")</f>
        <v/>
      </c>
      <c r="Y3123" s="2"/>
      <c r="Z3123" s="2" t="str">
        <f>IFERROR(__xludf.DUMMYFUNCTION("""COMPUTED_VALUE"""),"")</f>
        <v/>
      </c>
    </row>
    <row r="3124">
      <c r="A3124" s="1" t="str">
        <f>IFERROR(__xludf.DUMMYFUNCTION("""COMPUTED_VALUE"""),"")</f>
        <v/>
      </c>
      <c r="B3124" s="1"/>
      <c r="C3124" s="2"/>
      <c r="D3124" s="2"/>
      <c r="E3124" s="1"/>
      <c r="F3124" s="1"/>
      <c r="G3124" s="4" t="str">
        <f>IFERROR(__xludf.DUMMYFUNCTION("""COMPUTED_VALUE"""),"")</f>
        <v/>
      </c>
      <c r="H3124" s="4" t="str">
        <f>IFERROR(__xludf.DUMMYFUNCTION("""COMPUTED_VALUE"""),"")</f>
        <v/>
      </c>
      <c r="I3124" s="4" t="str">
        <f>IFERROR(__xludf.DUMMYFUNCTION("""COMPUTED_VALUE"""),"")</f>
        <v/>
      </c>
      <c r="J3124" s="4" t="str">
        <f>IFERROR(__xludf.DUMMYFUNCTION("""COMPUTED_VALUE"""),"")</f>
        <v/>
      </c>
      <c r="K3124" s="4" t="str">
        <f>IFERROR(__xludf.DUMMYFUNCTION("""COMPUTED_VALUE"""),"")</f>
        <v/>
      </c>
      <c r="L3124" s="4" t="str">
        <f>IFERROR(__xludf.DUMMYFUNCTION("""COMPUTED_VALUE"""),"")</f>
        <v/>
      </c>
      <c r="M3124" s="1" t="str">
        <f>IFERROR(__xludf.DUMMYFUNCTION("""COMPUTED_VALUE"""),"RFID")</f>
        <v>RFID</v>
      </c>
      <c r="N3124" s="5" t="str">
        <f>IFERROR(__xludf.DUMMYFUNCTION("""COMPUTED_VALUE"""),"")</f>
        <v/>
      </c>
      <c r="O3124" s="5" t="str">
        <f>IFERROR(__xludf.DUMMYFUNCTION("""COMPUTED_VALUE"""),"")</f>
        <v/>
      </c>
      <c r="P3124" s="5" t="str">
        <f>IFERROR(__xludf.DUMMYFUNCTION("""COMPUTED_VALUE"""),"")</f>
        <v/>
      </c>
      <c r="Q3124" s="5" t="str">
        <f>IFERROR(__xludf.DUMMYFUNCTION("""COMPUTED_VALUE"""),"")</f>
        <v/>
      </c>
      <c r="R3124" s="4" t="str">
        <f>IFERROR(__xludf.DUMMYFUNCTION("""COMPUTED_VALUE"""),"")</f>
        <v/>
      </c>
      <c r="S3124" s="1" t="b">
        <f>IFERROR(__xludf.DUMMYFUNCTION("""COMPUTED_VALUE"""),FALSE)</f>
        <v>0</v>
      </c>
      <c r="T3124" s="1" t="b">
        <f>IFERROR(__xludf.DUMMYFUNCTION("""COMPUTED_VALUE"""),FALSE)</f>
        <v>0</v>
      </c>
      <c r="U3124" s="1" t="str">
        <f>IFERROR(__xludf.DUMMYFUNCTION("""COMPUTED_VALUE"""),"")</f>
        <v/>
      </c>
      <c r="V3124" s="1" t="str">
        <f>IFERROR(__xludf.DUMMYFUNCTION("""COMPUTED_VALUE"""),"")</f>
        <v/>
      </c>
      <c r="W3124" s="1" t="str">
        <f>IFERROR(__xludf.DUMMYFUNCTION("""COMPUTED_VALUE"""),"")</f>
        <v/>
      </c>
      <c r="X3124" s="1" t="str">
        <f>IFERROR(__xludf.DUMMYFUNCTION("""COMPUTED_VALUE"""),"")</f>
        <v/>
      </c>
      <c r="Y3124" s="2"/>
      <c r="Z3124" s="2" t="str">
        <f>IFERROR(__xludf.DUMMYFUNCTION("""COMPUTED_VALUE"""),"")</f>
        <v/>
      </c>
    </row>
    <row r="3125">
      <c r="A3125" s="1" t="str">
        <f>IFERROR(__xludf.DUMMYFUNCTION("""COMPUTED_VALUE"""),"")</f>
        <v/>
      </c>
      <c r="B3125" s="1"/>
      <c r="C3125" s="2"/>
      <c r="D3125" s="2"/>
      <c r="E3125" s="1"/>
      <c r="F3125" s="1"/>
      <c r="G3125" s="4" t="str">
        <f>IFERROR(__xludf.DUMMYFUNCTION("""COMPUTED_VALUE"""),"")</f>
        <v/>
      </c>
      <c r="H3125" s="4" t="str">
        <f>IFERROR(__xludf.DUMMYFUNCTION("""COMPUTED_VALUE"""),"")</f>
        <v/>
      </c>
      <c r="I3125" s="4" t="str">
        <f>IFERROR(__xludf.DUMMYFUNCTION("""COMPUTED_VALUE"""),"")</f>
        <v/>
      </c>
      <c r="J3125" s="4" t="str">
        <f>IFERROR(__xludf.DUMMYFUNCTION("""COMPUTED_VALUE"""),"")</f>
        <v/>
      </c>
      <c r="K3125" s="4" t="str">
        <f>IFERROR(__xludf.DUMMYFUNCTION("""COMPUTED_VALUE"""),"")</f>
        <v/>
      </c>
      <c r="L3125" s="4" t="str">
        <f>IFERROR(__xludf.DUMMYFUNCTION("""COMPUTED_VALUE"""),"")</f>
        <v/>
      </c>
      <c r="M3125" s="1" t="str">
        <f>IFERROR(__xludf.DUMMYFUNCTION("""COMPUTED_VALUE"""),"RFID")</f>
        <v>RFID</v>
      </c>
      <c r="N3125" s="5" t="str">
        <f>IFERROR(__xludf.DUMMYFUNCTION("""COMPUTED_VALUE"""),"")</f>
        <v/>
      </c>
      <c r="O3125" s="5" t="str">
        <f>IFERROR(__xludf.DUMMYFUNCTION("""COMPUTED_VALUE"""),"")</f>
        <v/>
      </c>
      <c r="P3125" s="5" t="str">
        <f>IFERROR(__xludf.DUMMYFUNCTION("""COMPUTED_VALUE"""),"")</f>
        <v/>
      </c>
      <c r="Q3125" s="5" t="str">
        <f>IFERROR(__xludf.DUMMYFUNCTION("""COMPUTED_VALUE"""),"")</f>
        <v/>
      </c>
      <c r="R3125" s="4" t="str">
        <f>IFERROR(__xludf.DUMMYFUNCTION("""COMPUTED_VALUE"""),"")</f>
        <v/>
      </c>
      <c r="S3125" s="1" t="b">
        <f>IFERROR(__xludf.DUMMYFUNCTION("""COMPUTED_VALUE"""),FALSE)</f>
        <v>0</v>
      </c>
      <c r="T3125" s="1" t="b">
        <f>IFERROR(__xludf.DUMMYFUNCTION("""COMPUTED_VALUE"""),FALSE)</f>
        <v>0</v>
      </c>
      <c r="U3125" s="1" t="str">
        <f>IFERROR(__xludf.DUMMYFUNCTION("""COMPUTED_VALUE"""),"")</f>
        <v/>
      </c>
      <c r="V3125" s="1" t="str">
        <f>IFERROR(__xludf.DUMMYFUNCTION("""COMPUTED_VALUE"""),"")</f>
        <v/>
      </c>
      <c r="W3125" s="1" t="str">
        <f>IFERROR(__xludf.DUMMYFUNCTION("""COMPUTED_VALUE"""),"")</f>
        <v/>
      </c>
      <c r="X3125" s="1" t="str">
        <f>IFERROR(__xludf.DUMMYFUNCTION("""COMPUTED_VALUE"""),"")</f>
        <v/>
      </c>
      <c r="Y3125" s="2"/>
      <c r="Z3125" s="2" t="str">
        <f>IFERROR(__xludf.DUMMYFUNCTION("""COMPUTED_VALUE"""),"")</f>
        <v/>
      </c>
    </row>
    <row r="3126">
      <c r="A3126" s="1" t="str">
        <f>IFERROR(__xludf.DUMMYFUNCTION("""COMPUTED_VALUE"""),"")</f>
        <v/>
      </c>
      <c r="B3126" s="1"/>
      <c r="C3126" s="2"/>
      <c r="D3126" s="2"/>
      <c r="E3126" s="1"/>
      <c r="F3126" s="1"/>
      <c r="G3126" s="4" t="str">
        <f>IFERROR(__xludf.DUMMYFUNCTION("""COMPUTED_VALUE"""),"")</f>
        <v/>
      </c>
      <c r="H3126" s="4" t="str">
        <f>IFERROR(__xludf.DUMMYFUNCTION("""COMPUTED_VALUE"""),"")</f>
        <v/>
      </c>
      <c r="I3126" s="4" t="str">
        <f>IFERROR(__xludf.DUMMYFUNCTION("""COMPUTED_VALUE"""),"")</f>
        <v/>
      </c>
      <c r="J3126" s="4" t="str">
        <f>IFERROR(__xludf.DUMMYFUNCTION("""COMPUTED_VALUE"""),"")</f>
        <v/>
      </c>
      <c r="K3126" s="4" t="str">
        <f>IFERROR(__xludf.DUMMYFUNCTION("""COMPUTED_VALUE"""),"")</f>
        <v/>
      </c>
      <c r="L3126" s="4" t="str">
        <f>IFERROR(__xludf.DUMMYFUNCTION("""COMPUTED_VALUE"""),"")</f>
        <v/>
      </c>
      <c r="M3126" s="1" t="str">
        <f>IFERROR(__xludf.DUMMYFUNCTION("""COMPUTED_VALUE"""),"RFID")</f>
        <v>RFID</v>
      </c>
      <c r="N3126" s="5" t="str">
        <f>IFERROR(__xludf.DUMMYFUNCTION("""COMPUTED_VALUE"""),"")</f>
        <v/>
      </c>
      <c r="O3126" s="5" t="str">
        <f>IFERROR(__xludf.DUMMYFUNCTION("""COMPUTED_VALUE"""),"")</f>
        <v/>
      </c>
      <c r="P3126" s="5" t="str">
        <f>IFERROR(__xludf.DUMMYFUNCTION("""COMPUTED_VALUE"""),"")</f>
        <v/>
      </c>
      <c r="Q3126" s="5" t="str">
        <f>IFERROR(__xludf.DUMMYFUNCTION("""COMPUTED_VALUE"""),"")</f>
        <v/>
      </c>
      <c r="R3126" s="4" t="str">
        <f>IFERROR(__xludf.DUMMYFUNCTION("""COMPUTED_VALUE"""),"")</f>
        <v/>
      </c>
      <c r="S3126" s="1" t="b">
        <f>IFERROR(__xludf.DUMMYFUNCTION("""COMPUTED_VALUE"""),FALSE)</f>
        <v>0</v>
      </c>
      <c r="T3126" s="1" t="b">
        <f>IFERROR(__xludf.DUMMYFUNCTION("""COMPUTED_VALUE"""),FALSE)</f>
        <v>0</v>
      </c>
      <c r="U3126" s="1" t="str">
        <f>IFERROR(__xludf.DUMMYFUNCTION("""COMPUTED_VALUE"""),"")</f>
        <v/>
      </c>
      <c r="V3126" s="1" t="str">
        <f>IFERROR(__xludf.DUMMYFUNCTION("""COMPUTED_VALUE"""),"")</f>
        <v/>
      </c>
      <c r="W3126" s="1" t="str">
        <f>IFERROR(__xludf.DUMMYFUNCTION("""COMPUTED_VALUE"""),"")</f>
        <v/>
      </c>
      <c r="X3126" s="1" t="str">
        <f>IFERROR(__xludf.DUMMYFUNCTION("""COMPUTED_VALUE"""),"")</f>
        <v/>
      </c>
      <c r="Y3126" s="2"/>
      <c r="Z3126" s="2" t="str">
        <f>IFERROR(__xludf.DUMMYFUNCTION("""COMPUTED_VALUE"""),"")</f>
        <v/>
      </c>
    </row>
    <row r="3127">
      <c r="A3127" s="1" t="str">
        <f>IFERROR(__xludf.DUMMYFUNCTION("""COMPUTED_VALUE"""),"")</f>
        <v/>
      </c>
      <c r="B3127" s="1"/>
      <c r="C3127" s="2"/>
      <c r="D3127" s="2"/>
      <c r="E3127" s="1"/>
      <c r="F3127" s="1"/>
      <c r="G3127" s="4" t="str">
        <f>IFERROR(__xludf.DUMMYFUNCTION("""COMPUTED_VALUE"""),"")</f>
        <v/>
      </c>
      <c r="H3127" s="4" t="str">
        <f>IFERROR(__xludf.DUMMYFUNCTION("""COMPUTED_VALUE"""),"")</f>
        <v/>
      </c>
      <c r="I3127" s="4" t="str">
        <f>IFERROR(__xludf.DUMMYFUNCTION("""COMPUTED_VALUE"""),"")</f>
        <v/>
      </c>
      <c r="J3127" s="4" t="str">
        <f>IFERROR(__xludf.DUMMYFUNCTION("""COMPUTED_VALUE"""),"")</f>
        <v/>
      </c>
      <c r="K3127" s="4" t="str">
        <f>IFERROR(__xludf.DUMMYFUNCTION("""COMPUTED_VALUE"""),"")</f>
        <v/>
      </c>
      <c r="L3127" s="4" t="str">
        <f>IFERROR(__xludf.DUMMYFUNCTION("""COMPUTED_VALUE"""),"")</f>
        <v/>
      </c>
      <c r="M3127" s="1" t="str">
        <f>IFERROR(__xludf.DUMMYFUNCTION("""COMPUTED_VALUE"""),"RFID")</f>
        <v>RFID</v>
      </c>
      <c r="N3127" s="5" t="str">
        <f>IFERROR(__xludf.DUMMYFUNCTION("""COMPUTED_VALUE"""),"")</f>
        <v/>
      </c>
      <c r="O3127" s="5" t="str">
        <f>IFERROR(__xludf.DUMMYFUNCTION("""COMPUTED_VALUE"""),"")</f>
        <v/>
      </c>
      <c r="P3127" s="5" t="str">
        <f>IFERROR(__xludf.DUMMYFUNCTION("""COMPUTED_VALUE"""),"")</f>
        <v/>
      </c>
      <c r="Q3127" s="5" t="str">
        <f>IFERROR(__xludf.DUMMYFUNCTION("""COMPUTED_VALUE"""),"")</f>
        <v/>
      </c>
      <c r="R3127" s="4" t="str">
        <f>IFERROR(__xludf.DUMMYFUNCTION("""COMPUTED_VALUE"""),"")</f>
        <v/>
      </c>
      <c r="S3127" s="1" t="b">
        <f>IFERROR(__xludf.DUMMYFUNCTION("""COMPUTED_VALUE"""),FALSE)</f>
        <v>0</v>
      </c>
      <c r="T3127" s="1" t="b">
        <f>IFERROR(__xludf.DUMMYFUNCTION("""COMPUTED_VALUE"""),FALSE)</f>
        <v>0</v>
      </c>
      <c r="U3127" s="1" t="str">
        <f>IFERROR(__xludf.DUMMYFUNCTION("""COMPUTED_VALUE"""),"")</f>
        <v/>
      </c>
      <c r="V3127" s="1" t="str">
        <f>IFERROR(__xludf.DUMMYFUNCTION("""COMPUTED_VALUE"""),"")</f>
        <v/>
      </c>
      <c r="W3127" s="1" t="str">
        <f>IFERROR(__xludf.DUMMYFUNCTION("""COMPUTED_VALUE"""),"")</f>
        <v/>
      </c>
      <c r="X3127" s="1" t="str">
        <f>IFERROR(__xludf.DUMMYFUNCTION("""COMPUTED_VALUE"""),"")</f>
        <v/>
      </c>
      <c r="Y3127" s="2"/>
      <c r="Z3127" s="2" t="str">
        <f>IFERROR(__xludf.DUMMYFUNCTION("""COMPUTED_VALUE"""),"")</f>
        <v/>
      </c>
    </row>
    <row r="3128">
      <c r="A3128" s="1" t="str">
        <f>IFERROR(__xludf.DUMMYFUNCTION("""COMPUTED_VALUE"""),"")</f>
        <v/>
      </c>
      <c r="B3128" s="1"/>
      <c r="C3128" s="2"/>
      <c r="D3128" s="2"/>
      <c r="E3128" s="1"/>
      <c r="F3128" s="1"/>
      <c r="G3128" s="4" t="str">
        <f>IFERROR(__xludf.DUMMYFUNCTION("""COMPUTED_VALUE"""),"")</f>
        <v/>
      </c>
      <c r="H3128" s="4" t="str">
        <f>IFERROR(__xludf.DUMMYFUNCTION("""COMPUTED_VALUE"""),"")</f>
        <v/>
      </c>
      <c r="I3128" s="4" t="str">
        <f>IFERROR(__xludf.DUMMYFUNCTION("""COMPUTED_VALUE"""),"")</f>
        <v/>
      </c>
      <c r="J3128" s="4" t="str">
        <f>IFERROR(__xludf.DUMMYFUNCTION("""COMPUTED_VALUE"""),"")</f>
        <v/>
      </c>
      <c r="K3128" s="4" t="str">
        <f>IFERROR(__xludf.DUMMYFUNCTION("""COMPUTED_VALUE"""),"")</f>
        <v/>
      </c>
      <c r="L3128" s="4" t="str">
        <f>IFERROR(__xludf.DUMMYFUNCTION("""COMPUTED_VALUE"""),"")</f>
        <v/>
      </c>
      <c r="M3128" s="1" t="str">
        <f>IFERROR(__xludf.DUMMYFUNCTION("""COMPUTED_VALUE"""),"RFID")</f>
        <v>RFID</v>
      </c>
      <c r="N3128" s="5" t="str">
        <f>IFERROR(__xludf.DUMMYFUNCTION("""COMPUTED_VALUE"""),"")</f>
        <v/>
      </c>
      <c r="O3128" s="5" t="str">
        <f>IFERROR(__xludf.DUMMYFUNCTION("""COMPUTED_VALUE"""),"")</f>
        <v/>
      </c>
      <c r="P3128" s="5" t="str">
        <f>IFERROR(__xludf.DUMMYFUNCTION("""COMPUTED_VALUE"""),"")</f>
        <v/>
      </c>
      <c r="Q3128" s="5" t="str">
        <f>IFERROR(__xludf.DUMMYFUNCTION("""COMPUTED_VALUE"""),"")</f>
        <v/>
      </c>
      <c r="R3128" s="4" t="str">
        <f>IFERROR(__xludf.DUMMYFUNCTION("""COMPUTED_VALUE"""),"")</f>
        <v/>
      </c>
      <c r="S3128" s="1" t="b">
        <f>IFERROR(__xludf.DUMMYFUNCTION("""COMPUTED_VALUE"""),FALSE)</f>
        <v>0</v>
      </c>
      <c r="T3128" s="1" t="b">
        <f>IFERROR(__xludf.DUMMYFUNCTION("""COMPUTED_VALUE"""),FALSE)</f>
        <v>0</v>
      </c>
      <c r="U3128" s="1" t="str">
        <f>IFERROR(__xludf.DUMMYFUNCTION("""COMPUTED_VALUE"""),"")</f>
        <v/>
      </c>
      <c r="V3128" s="1" t="str">
        <f>IFERROR(__xludf.DUMMYFUNCTION("""COMPUTED_VALUE"""),"")</f>
        <v/>
      </c>
      <c r="W3128" s="1" t="str">
        <f>IFERROR(__xludf.DUMMYFUNCTION("""COMPUTED_VALUE"""),"")</f>
        <v/>
      </c>
      <c r="X3128" s="1" t="str">
        <f>IFERROR(__xludf.DUMMYFUNCTION("""COMPUTED_VALUE"""),"")</f>
        <v/>
      </c>
      <c r="Y3128" s="2"/>
      <c r="Z3128" s="2" t="str">
        <f>IFERROR(__xludf.DUMMYFUNCTION("""COMPUTED_VALUE"""),"")</f>
        <v/>
      </c>
    </row>
    <row r="3129">
      <c r="A3129" s="1" t="str">
        <f>IFERROR(__xludf.DUMMYFUNCTION("""COMPUTED_VALUE"""),"")</f>
        <v/>
      </c>
      <c r="B3129" s="1"/>
      <c r="C3129" s="2"/>
      <c r="D3129" s="2"/>
      <c r="E3129" s="1"/>
      <c r="F3129" s="1"/>
      <c r="G3129" s="4" t="str">
        <f>IFERROR(__xludf.DUMMYFUNCTION("""COMPUTED_VALUE"""),"")</f>
        <v/>
      </c>
      <c r="H3129" s="4" t="str">
        <f>IFERROR(__xludf.DUMMYFUNCTION("""COMPUTED_VALUE"""),"")</f>
        <v/>
      </c>
      <c r="I3129" s="4" t="str">
        <f>IFERROR(__xludf.DUMMYFUNCTION("""COMPUTED_VALUE"""),"")</f>
        <v/>
      </c>
      <c r="J3129" s="4" t="str">
        <f>IFERROR(__xludf.DUMMYFUNCTION("""COMPUTED_VALUE"""),"")</f>
        <v/>
      </c>
      <c r="K3129" s="4" t="str">
        <f>IFERROR(__xludf.DUMMYFUNCTION("""COMPUTED_VALUE"""),"")</f>
        <v/>
      </c>
      <c r="L3129" s="4" t="str">
        <f>IFERROR(__xludf.DUMMYFUNCTION("""COMPUTED_VALUE"""),"")</f>
        <v/>
      </c>
      <c r="M3129" s="1" t="str">
        <f>IFERROR(__xludf.DUMMYFUNCTION("""COMPUTED_VALUE"""),"RFID")</f>
        <v>RFID</v>
      </c>
      <c r="N3129" s="5" t="str">
        <f>IFERROR(__xludf.DUMMYFUNCTION("""COMPUTED_VALUE"""),"")</f>
        <v/>
      </c>
      <c r="O3129" s="5" t="str">
        <f>IFERROR(__xludf.DUMMYFUNCTION("""COMPUTED_VALUE"""),"")</f>
        <v/>
      </c>
      <c r="P3129" s="5" t="str">
        <f>IFERROR(__xludf.DUMMYFUNCTION("""COMPUTED_VALUE"""),"")</f>
        <v/>
      </c>
      <c r="Q3129" s="5" t="str">
        <f>IFERROR(__xludf.DUMMYFUNCTION("""COMPUTED_VALUE"""),"")</f>
        <v/>
      </c>
      <c r="R3129" s="4" t="str">
        <f>IFERROR(__xludf.DUMMYFUNCTION("""COMPUTED_VALUE"""),"")</f>
        <v/>
      </c>
      <c r="S3129" s="1" t="b">
        <f>IFERROR(__xludf.DUMMYFUNCTION("""COMPUTED_VALUE"""),FALSE)</f>
        <v>0</v>
      </c>
      <c r="T3129" s="1" t="b">
        <f>IFERROR(__xludf.DUMMYFUNCTION("""COMPUTED_VALUE"""),FALSE)</f>
        <v>0</v>
      </c>
      <c r="U3129" s="1" t="str">
        <f>IFERROR(__xludf.DUMMYFUNCTION("""COMPUTED_VALUE"""),"")</f>
        <v/>
      </c>
      <c r="V3129" s="1" t="str">
        <f>IFERROR(__xludf.DUMMYFUNCTION("""COMPUTED_VALUE"""),"")</f>
        <v/>
      </c>
      <c r="W3129" s="1" t="str">
        <f>IFERROR(__xludf.DUMMYFUNCTION("""COMPUTED_VALUE"""),"")</f>
        <v/>
      </c>
      <c r="X3129" s="1" t="str">
        <f>IFERROR(__xludf.DUMMYFUNCTION("""COMPUTED_VALUE"""),"")</f>
        <v/>
      </c>
      <c r="Y3129" s="2"/>
      <c r="Z3129" s="2" t="str">
        <f>IFERROR(__xludf.DUMMYFUNCTION("""COMPUTED_VALUE"""),"")</f>
        <v/>
      </c>
    </row>
    <row r="3130">
      <c r="A3130" s="1" t="str">
        <f>IFERROR(__xludf.DUMMYFUNCTION("""COMPUTED_VALUE"""),"")</f>
        <v/>
      </c>
      <c r="B3130" s="1"/>
      <c r="C3130" s="2"/>
      <c r="D3130" s="2"/>
      <c r="E3130" s="1"/>
      <c r="F3130" s="1"/>
      <c r="G3130" s="4" t="str">
        <f>IFERROR(__xludf.DUMMYFUNCTION("""COMPUTED_VALUE"""),"")</f>
        <v/>
      </c>
      <c r="H3130" s="4" t="str">
        <f>IFERROR(__xludf.DUMMYFUNCTION("""COMPUTED_VALUE"""),"")</f>
        <v/>
      </c>
      <c r="I3130" s="4" t="str">
        <f>IFERROR(__xludf.DUMMYFUNCTION("""COMPUTED_VALUE"""),"")</f>
        <v/>
      </c>
      <c r="J3130" s="4" t="str">
        <f>IFERROR(__xludf.DUMMYFUNCTION("""COMPUTED_VALUE"""),"")</f>
        <v/>
      </c>
      <c r="K3130" s="4" t="str">
        <f>IFERROR(__xludf.DUMMYFUNCTION("""COMPUTED_VALUE"""),"")</f>
        <v/>
      </c>
      <c r="L3130" s="4" t="str">
        <f>IFERROR(__xludf.DUMMYFUNCTION("""COMPUTED_VALUE"""),"")</f>
        <v/>
      </c>
      <c r="M3130" s="1" t="str">
        <f>IFERROR(__xludf.DUMMYFUNCTION("""COMPUTED_VALUE"""),"RFID")</f>
        <v>RFID</v>
      </c>
      <c r="N3130" s="5" t="str">
        <f>IFERROR(__xludf.DUMMYFUNCTION("""COMPUTED_VALUE"""),"")</f>
        <v/>
      </c>
      <c r="O3130" s="5" t="str">
        <f>IFERROR(__xludf.DUMMYFUNCTION("""COMPUTED_VALUE"""),"")</f>
        <v/>
      </c>
      <c r="P3130" s="5" t="str">
        <f>IFERROR(__xludf.DUMMYFUNCTION("""COMPUTED_VALUE"""),"")</f>
        <v/>
      </c>
      <c r="Q3130" s="5" t="str">
        <f>IFERROR(__xludf.DUMMYFUNCTION("""COMPUTED_VALUE"""),"")</f>
        <v/>
      </c>
      <c r="R3130" s="4" t="str">
        <f>IFERROR(__xludf.DUMMYFUNCTION("""COMPUTED_VALUE"""),"")</f>
        <v/>
      </c>
      <c r="S3130" s="1" t="b">
        <f>IFERROR(__xludf.DUMMYFUNCTION("""COMPUTED_VALUE"""),FALSE)</f>
        <v>0</v>
      </c>
      <c r="T3130" s="1" t="b">
        <f>IFERROR(__xludf.DUMMYFUNCTION("""COMPUTED_VALUE"""),FALSE)</f>
        <v>0</v>
      </c>
      <c r="U3130" s="1" t="str">
        <f>IFERROR(__xludf.DUMMYFUNCTION("""COMPUTED_VALUE"""),"")</f>
        <v/>
      </c>
      <c r="V3130" s="1" t="str">
        <f>IFERROR(__xludf.DUMMYFUNCTION("""COMPUTED_VALUE"""),"")</f>
        <v/>
      </c>
      <c r="W3130" s="1" t="str">
        <f>IFERROR(__xludf.DUMMYFUNCTION("""COMPUTED_VALUE"""),"")</f>
        <v/>
      </c>
      <c r="X3130" s="1" t="str">
        <f>IFERROR(__xludf.DUMMYFUNCTION("""COMPUTED_VALUE"""),"")</f>
        <v/>
      </c>
      <c r="Y3130" s="2"/>
      <c r="Z3130" s="2" t="str">
        <f>IFERROR(__xludf.DUMMYFUNCTION("""COMPUTED_VALUE"""),"")</f>
        <v/>
      </c>
    </row>
    <row r="3131">
      <c r="A3131" s="1" t="str">
        <f>IFERROR(__xludf.DUMMYFUNCTION("""COMPUTED_VALUE"""),"")</f>
        <v/>
      </c>
      <c r="B3131" s="1"/>
      <c r="C3131" s="2"/>
      <c r="D3131" s="2"/>
      <c r="E3131" s="1"/>
      <c r="F3131" s="1"/>
      <c r="G3131" s="4" t="str">
        <f>IFERROR(__xludf.DUMMYFUNCTION("""COMPUTED_VALUE"""),"")</f>
        <v/>
      </c>
      <c r="H3131" s="4" t="str">
        <f>IFERROR(__xludf.DUMMYFUNCTION("""COMPUTED_VALUE"""),"")</f>
        <v/>
      </c>
      <c r="I3131" s="4" t="str">
        <f>IFERROR(__xludf.DUMMYFUNCTION("""COMPUTED_VALUE"""),"")</f>
        <v/>
      </c>
      <c r="J3131" s="4" t="str">
        <f>IFERROR(__xludf.DUMMYFUNCTION("""COMPUTED_VALUE"""),"")</f>
        <v/>
      </c>
      <c r="K3131" s="4" t="str">
        <f>IFERROR(__xludf.DUMMYFUNCTION("""COMPUTED_VALUE"""),"")</f>
        <v/>
      </c>
      <c r="L3131" s="4" t="str">
        <f>IFERROR(__xludf.DUMMYFUNCTION("""COMPUTED_VALUE"""),"")</f>
        <v/>
      </c>
      <c r="M3131" s="1" t="str">
        <f>IFERROR(__xludf.DUMMYFUNCTION("""COMPUTED_VALUE"""),"RFID")</f>
        <v>RFID</v>
      </c>
      <c r="N3131" s="5" t="str">
        <f>IFERROR(__xludf.DUMMYFUNCTION("""COMPUTED_VALUE"""),"")</f>
        <v/>
      </c>
      <c r="O3131" s="5" t="str">
        <f>IFERROR(__xludf.DUMMYFUNCTION("""COMPUTED_VALUE"""),"")</f>
        <v/>
      </c>
      <c r="P3131" s="5" t="str">
        <f>IFERROR(__xludf.DUMMYFUNCTION("""COMPUTED_VALUE"""),"")</f>
        <v/>
      </c>
      <c r="Q3131" s="5" t="str">
        <f>IFERROR(__xludf.DUMMYFUNCTION("""COMPUTED_VALUE"""),"")</f>
        <v/>
      </c>
      <c r="R3131" s="4" t="str">
        <f>IFERROR(__xludf.DUMMYFUNCTION("""COMPUTED_VALUE"""),"")</f>
        <v/>
      </c>
      <c r="S3131" s="1" t="b">
        <f>IFERROR(__xludf.DUMMYFUNCTION("""COMPUTED_VALUE"""),FALSE)</f>
        <v>0</v>
      </c>
      <c r="T3131" s="1" t="b">
        <f>IFERROR(__xludf.DUMMYFUNCTION("""COMPUTED_VALUE"""),FALSE)</f>
        <v>0</v>
      </c>
      <c r="U3131" s="1" t="str">
        <f>IFERROR(__xludf.DUMMYFUNCTION("""COMPUTED_VALUE"""),"")</f>
        <v/>
      </c>
      <c r="V3131" s="1" t="str">
        <f>IFERROR(__xludf.DUMMYFUNCTION("""COMPUTED_VALUE"""),"")</f>
        <v/>
      </c>
      <c r="W3131" s="1" t="str">
        <f>IFERROR(__xludf.DUMMYFUNCTION("""COMPUTED_VALUE"""),"")</f>
        <v/>
      </c>
      <c r="X3131" s="1" t="str">
        <f>IFERROR(__xludf.DUMMYFUNCTION("""COMPUTED_VALUE"""),"")</f>
        <v/>
      </c>
      <c r="Y3131" s="2"/>
      <c r="Z3131" s="2" t="str">
        <f>IFERROR(__xludf.DUMMYFUNCTION("""COMPUTED_VALUE"""),"")</f>
        <v/>
      </c>
    </row>
    <row r="3132">
      <c r="A3132" s="1" t="str">
        <f>IFERROR(__xludf.DUMMYFUNCTION("""COMPUTED_VALUE"""),"")</f>
        <v/>
      </c>
      <c r="B3132" s="1"/>
      <c r="C3132" s="2"/>
      <c r="D3132" s="2"/>
      <c r="E3132" s="1"/>
      <c r="F3132" s="1"/>
      <c r="G3132" s="4" t="str">
        <f>IFERROR(__xludf.DUMMYFUNCTION("""COMPUTED_VALUE"""),"")</f>
        <v/>
      </c>
      <c r="H3132" s="4" t="str">
        <f>IFERROR(__xludf.DUMMYFUNCTION("""COMPUTED_VALUE"""),"")</f>
        <v/>
      </c>
      <c r="I3132" s="4" t="str">
        <f>IFERROR(__xludf.DUMMYFUNCTION("""COMPUTED_VALUE"""),"")</f>
        <v/>
      </c>
      <c r="J3132" s="4" t="str">
        <f>IFERROR(__xludf.DUMMYFUNCTION("""COMPUTED_VALUE"""),"")</f>
        <v/>
      </c>
      <c r="K3132" s="4" t="str">
        <f>IFERROR(__xludf.DUMMYFUNCTION("""COMPUTED_VALUE"""),"")</f>
        <v/>
      </c>
      <c r="L3132" s="4" t="str">
        <f>IFERROR(__xludf.DUMMYFUNCTION("""COMPUTED_VALUE"""),"")</f>
        <v/>
      </c>
      <c r="M3132" s="1" t="str">
        <f>IFERROR(__xludf.DUMMYFUNCTION("""COMPUTED_VALUE"""),"RFID")</f>
        <v>RFID</v>
      </c>
      <c r="N3132" s="5" t="str">
        <f>IFERROR(__xludf.DUMMYFUNCTION("""COMPUTED_VALUE"""),"")</f>
        <v/>
      </c>
      <c r="O3132" s="5" t="str">
        <f>IFERROR(__xludf.DUMMYFUNCTION("""COMPUTED_VALUE"""),"")</f>
        <v/>
      </c>
      <c r="P3132" s="5" t="str">
        <f>IFERROR(__xludf.DUMMYFUNCTION("""COMPUTED_VALUE"""),"")</f>
        <v/>
      </c>
      <c r="Q3132" s="5" t="str">
        <f>IFERROR(__xludf.DUMMYFUNCTION("""COMPUTED_VALUE"""),"")</f>
        <v/>
      </c>
      <c r="R3132" s="4" t="str">
        <f>IFERROR(__xludf.DUMMYFUNCTION("""COMPUTED_VALUE"""),"")</f>
        <v/>
      </c>
      <c r="S3132" s="1" t="b">
        <f>IFERROR(__xludf.DUMMYFUNCTION("""COMPUTED_VALUE"""),FALSE)</f>
        <v>0</v>
      </c>
      <c r="T3132" s="1" t="b">
        <f>IFERROR(__xludf.DUMMYFUNCTION("""COMPUTED_VALUE"""),FALSE)</f>
        <v>0</v>
      </c>
      <c r="U3132" s="1" t="str">
        <f>IFERROR(__xludf.DUMMYFUNCTION("""COMPUTED_VALUE"""),"")</f>
        <v/>
      </c>
      <c r="V3132" s="1" t="str">
        <f>IFERROR(__xludf.DUMMYFUNCTION("""COMPUTED_VALUE"""),"")</f>
        <v/>
      </c>
      <c r="W3132" s="1" t="str">
        <f>IFERROR(__xludf.DUMMYFUNCTION("""COMPUTED_VALUE"""),"")</f>
        <v/>
      </c>
      <c r="X3132" s="1" t="str">
        <f>IFERROR(__xludf.DUMMYFUNCTION("""COMPUTED_VALUE"""),"")</f>
        <v/>
      </c>
      <c r="Y3132" s="2"/>
      <c r="Z3132" s="2" t="str">
        <f>IFERROR(__xludf.DUMMYFUNCTION("""COMPUTED_VALUE"""),"")</f>
        <v/>
      </c>
    </row>
    <row r="3133">
      <c r="A3133" s="1" t="str">
        <f>IFERROR(__xludf.DUMMYFUNCTION("""COMPUTED_VALUE"""),"")</f>
        <v/>
      </c>
      <c r="B3133" s="1"/>
      <c r="C3133" s="2"/>
      <c r="D3133" s="2"/>
      <c r="E3133" s="1"/>
      <c r="F3133" s="1"/>
      <c r="G3133" s="4" t="str">
        <f>IFERROR(__xludf.DUMMYFUNCTION("""COMPUTED_VALUE"""),"")</f>
        <v/>
      </c>
      <c r="H3133" s="4" t="str">
        <f>IFERROR(__xludf.DUMMYFUNCTION("""COMPUTED_VALUE"""),"")</f>
        <v/>
      </c>
      <c r="I3133" s="4" t="str">
        <f>IFERROR(__xludf.DUMMYFUNCTION("""COMPUTED_VALUE"""),"")</f>
        <v/>
      </c>
      <c r="J3133" s="4" t="str">
        <f>IFERROR(__xludf.DUMMYFUNCTION("""COMPUTED_VALUE"""),"")</f>
        <v/>
      </c>
      <c r="K3133" s="4" t="str">
        <f>IFERROR(__xludf.DUMMYFUNCTION("""COMPUTED_VALUE"""),"")</f>
        <v/>
      </c>
      <c r="L3133" s="4" t="str">
        <f>IFERROR(__xludf.DUMMYFUNCTION("""COMPUTED_VALUE"""),"")</f>
        <v/>
      </c>
      <c r="M3133" s="1" t="str">
        <f>IFERROR(__xludf.DUMMYFUNCTION("""COMPUTED_VALUE"""),"RFID")</f>
        <v>RFID</v>
      </c>
      <c r="N3133" s="5" t="str">
        <f>IFERROR(__xludf.DUMMYFUNCTION("""COMPUTED_VALUE"""),"")</f>
        <v/>
      </c>
      <c r="O3133" s="5" t="str">
        <f>IFERROR(__xludf.DUMMYFUNCTION("""COMPUTED_VALUE"""),"")</f>
        <v/>
      </c>
      <c r="P3133" s="5" t="str">
        <f>IFERROR(__xludf.DUMMYFUNCTION("""COMPUTED_VALUE"""),"")</f>
        <v/>
      </c>
      <c r="Q3133" s="5" t="str">
        <f>IFERROR(__xludf.DUMMYFUNCTION("""COMPUTED_VALUE"""),"")</f>
        <v/>
      </c>
      <c r="R3133" s="4" t="str">
        <f>IFERROR(__xludf.DUMMYFUNCTION("""COMPUTED_VALUE"""),"")</f>
        <v/>
      </c>
      <c r="S3133" s="1" t="b">
        <f>IFERROR(__xludf.DUMMYFUNCTION("""COMPUTED_VALUE"""),FALSE)</f>
        <v>0</v>
      </c>
      <c r="T3133" s="1" t="b">
        <f>IFERROR(__xludf.DUMMYFUNCTION("""COMPUTED_VALUE"""),FALSE)</f>
        <v>0</v>
      </c>
      <c r="U3133" s="1" t="str">
        <f>IFERROR(__xludf.DUMMYFUNCTION("""COMPUTED_VALUE"""),"")</f>
        <v/>
      </c>
      <c r="V3133" s="1" t="str">
        <f>IFERROR(__xludf.DUMMYFUNCTION("""COMPUTED_VALUE"""),"")</f>
        <v/>
      </c>
      <c r="W3133" s="1" t="str">
        <f>IFERROR(__xludf.DUMMYFUNCTION("""COMPUTED_VALUE"""),"")</f>
        <v/>
      </c>
      <c r="X3133" s="1" t="str">
        <f>IFERROR(__xludf.DUMMYFUNCTION("""COMPUTED_VALUE"""),"")</f>
        <v/>
      </c>
      <c r="Y3133" s="2"/>
      <c r="Z3133" s="2" t="str">
        <f>IFERROR(__xludf.DUMMYFUNCTION("""COMPUTED_VALUE"""),"")</f>
        <v/>
      </c>
    </row>
    <row r="3134">
      <c r="A3134" s="1" t="str">
        <f>IFERROR(__xludf.DUMMYFUNCTION("""COMPUTED_VALUE"""),"")</f>
        <v/>
      </c>
      <c r="B3134" s="1"/>
      <c r="C3134" s="2"/>
      <c r="D3134" s="2"/>
      <c r="E3134" s="1"/>
      <c r="F3134" s="1"/>
      <c r="G3134" s="4" t="str">
        <f>IFERROR(__xludf.DUMMYFUNCTION("""COMPUTED_VALUE"""),"")</f>
        <v/>
      </c>
      <c r="H3134" s="4" t="str">
        <f>IFERROR(__xludf.DUMMYFUNCTION("""COMPUTED_VALUE"""),"")</f>
        <v/>
      </c>
      <c r="I3134" s="4" t="str">
        <f>IFERROR(__xludf.DUMMYFUNCTION("""COMPUTED_VALUE"""),"")</f>
        <v/>
      </c>
      <c r="J3134" s="4" t="str">
        <f>IFERROR(__xludf.DUMMYFUNCTION("""COMPUTED_VALUE"""),"")</f>
        <v/>
      </c>
      <c r="K3134" s="4" t="str">
        <f>IFERROR(__xludf.DUMMYFUNCTION("""COMPUTED_VALUE"""),"")</f>
        <v/>
      </c>
      <c r="L3134" s="4" t="str">
        <f>IFERROR(__xludf.DUMMYFUNCTION("""COMPUTED_VALUE"""),"")</f>
        <v/>
      </c>
      <c r="M3134" s="1" t="str">
        <f>IFERROR(__xludf.DUMMYFUNCTION("""COMPUTED_VALUE"""),"RFID")</f>
        <v>RFID</v>
      </c>
      <c r="N3134" s="5" t="str">
        <f>IFERROR(__xludf.DUMMYFUNCTION("""COMPUTED_VALUE"""),"")</f>
        <v/>
      </c>
      <c r="O3134" s="5" t="str">
        <f>IFERROR(__xludf.DUMMYFUNCTION("""COMPUTED_VALUE"""),"")</f>
        <v/>
      </c>
      <c r="P3134" s="5" t="str">
        <f>IFERROR(__xludf.DUMMYFUNCTION("""COMPUTED_VALUE"""),"")</f>
        <v/>
      </c>
      <c r="Q3134" s="5" t="str">
        <f>IFERROR(__xludf.DUMMYFUNCTION("""COMPUTED_VALUE"""),"")</f>
        <v/>
      </c>
      <c r="R3134" s="4" t="str">
        <f>IFERROR(__xludf.DUMMYFUNCTION("""COMPUTED_VALUE"""),"")</f>
        <v/>
      </c>
      <c r="S3134" s="1" t="b">
        <f>IFERROR(__xludf.DUMMYFUNCTION("""COMPUTED_VALUE"""),FALSE)</f>
        <v>0</v>
      </c>
      <c r="T3134" s="1" t="b">
        <f>IFERROR(__xludf.DUMMYFUNCTION("""COMPUTED_VALUE"""),FALSE)</f>
        <v>0</v>
      </c>
      <c r="U3134" s="1" t="str">
        <f>IFERROR(__xludf.DUMMYFUNCTION("""COMPUTED_VALUE"""),"")</f>
        <v/>
      </c>
      <c r="V3134" s="1" t="str">
        <f>IFERROR(__xludf.DUMMYFUNCTION("""COMPUTED_VALUE"""),"")</f>
        <v/>
      </c>
      <c r="W3134" s="1" t="str">
        <f>IFERROR(__xludf.DUMMYFUNCTION("""COMPUTED_VALUE"""),"")</f>
        <v/>
      </c>
      <c r="X3134" s="1" t="str">
        <f>IFERROR(__xludf.DUMMYFUNCTION("""COMPUTED_VALUE"""),"")</f>
        <v/>
      </c>
      <c r="Y3134" s="2"/>
      <c r="Z3134" s="2" t="str">
        <f>IFERROR(__xludf.DUMMYFUNCTION("""COMPUTED_VALUE"""),"")</f>
        <v/>
      </c>
    </row>
    <row r="3135">
      <c r="A3135" s="1" t="str">
        <f>IFERROR(__xludf.DUMMYFUNCTION("""COMPUTED_VALUE"""),"")</f>
        <v/>
      </c>
      <c r="B3135" s="1"/>
      <c r="C3135" s="2"/>
      <c r="D3135" s="2"/>
      <c r="E3135" s="1"/>
      <c r="F3135" s="1"/>
      <c r="G3135" s="4" t="str">
        <f>IFERROR(__xludf.DUMMYFUNCTION("""COMPUTED_VALUE"""),"")</f>
        <v/>
      </c>
      <c r="H3135" s="4" t="str">
        <f>IFERROR(__xludf.DUMMYFUNCTION("""COMPUTED_VALUE"""),"")</f>
        <v/>
      </c>
      <c r="I3135" s="4" t="str">
        <f>IFERROR(__xludf.DUMMYFUNCTION("""COMPUTED_VALUE"""),"")</f>
        <v/>
      </c>
      <c r="J3135" s="4" t="str">
        <f>IFERROR(__xludf.DUMMYFUNCTION("""COMPUTED_VALUE"""),"")</f>
        <v/>
      </c>
      <c r="K3135" s="4" t="str">
        <f>IFERROR(__xludf.DUMMYFUNCTION("""COMPUTED_VALUE"""),"")</f>
        <v/>
      </c>
      <c r="L3135" s="4" t="str">
        <f>IFERROR(__xludf.DUMMYFUNCTION("""COMPUTED_VALUE"""),"")</f>
        <v/>
      </c>
      <c r="M3135" s="1" t="str">
        <f>IFERROR(__xludf.DUMMYFUNCTION("""COMPUTED_VALUE"""),"RFID")</f>
        <v>RFID</v>
      </c>
      <c r="N3135" s="5" t="str">
        <f>IFERROR(__xludf.DUMMYFUNCTION("""COMPUTED_VALUE"""),"")</f>
        <v/>
      </c>
      <c r="O3135" s="5" t="str">
        <f>IFERROR(__xludf.DUMMYFUNCTION("""COMPUTED_VALUE"""),"")</f>
        <v/>
      </c>
      <c r="P3135" s="5" t="str">
        <f>IFERROR(__xludf.DUMMYFUNCTION("""COMPUTED_VALUE"""),"")</f>
        <v/>
      </c>
      <c r="Q3135" s="5" t="str">
        <f>IFERROR(__xludf.DUMMYFUNCTION("""COMPUTED_VALUE"""),"")</f>
        <v/>
      </c>
      <c r="R3135" s="4" t="str">
        <f>IFERROR(__xludf.DUMMYFUNCTION("""COMPUTED_VALUE"""),"")</f>
        <v/>
      </c>
      <c r="S3135" s="1" t="b">
        <f>IFERROR(__xludf.DUMMYFUNCTION("""COMPUTED_VALUE"""),FALSE)</f>
        <v>0</v>
      </c>
      <c r="T3135" s="1" t="b">
        <f>IFERROR(__xludf.DUMMYFUNCTION("""COMPUTED_VALUE"""),FALSE)</f>
        <v>0</v>
      </c>
      <c r="U3135" s="1" t="str">
        <f>IFERROR(__xludf.DUMMYFUNCTION("""COMPUTED_VALUE"""),"")</f>
        <v/>
      </c>
      <c r="V3135" s="1" t="str">
        <f>IFERROR(__xludf.DUMMYFUNCTION("""COMPUTED_VALUE"""),"")</f>
        <v/>
      </c>
      <c r="W3135" s="1" t="str">
        <f>IFERROR(__xludf.DUMMYFUNCTION("""COMPUTED_VALUE"""),"")</f>
        <v/>
      </c>
      <c r="X3135" s="1" t="str">
        <f>IFERROR(__xludf.DUMMYFUNCTION("""COMPUTED_VALUE"""),"")</f>
        <v/>
      </c>
      <c r="Y3135" s="2"/>
      <c r="Z3135" s="2" t="str">
        <f>IFERROR(__xludf.DUMMYFUNCTION("""COMPUTED_VALUE"""),"")</f>
        <v/>
      </c>
    </row>
    <row r="3136">
      <c r="A3136" s="1" t="str">
        <f>IFERROR(__xludf.DUMMYFUNCTION("""COMPUTED_VALUE"""),"")</f>
        <v/>
      </c>
      <c r="B3136" s="1"/>
      <c r="C3136" s="2"/>
      <c r="D3136" s="2"/>
      <c r="E3136" s="1"/>
      <c r="F3136" s="1"/>
      <c r="G3136" s="4" t="str">
        <f>IFERROR(__xludf.DUMMYFUNCTION("""COMPUTED_VALUE"""),"")</f>
        <v/>
      </c>
      <c r="H3136" s="4" t="str">
        <f>IFERROR(__xludf.DUMMYFUNCTION("""COMPUTED_VALUE"""),"")</f>
        <v/>
      </c>
      <c r="I3136" s="4" t="str">
        <f>IFERROR(__xludf.DUMMYFUNCTION("""COMPUTED_VALUE"""),"")</f>
        <v/>
      </c>
      <c r="J3136" s="4" t="str">
        <f>IFERROR(__xludf.DUMMYFUNCTION("""COMPUTED_VALUE"""),"")</f>
        <v/>
      </c>
      <c r="K3136" s="4" t="str">
        <f>IFERROR(__xludf.DUMMYFUNCTION("""COMPUTED_VALUE"""),"")</f>
        <v/>
      </c>
      <c r="L3136" s="4" t="str">
        <f>IFERROR(__xludf.DUMMYFUNCTION("""COMPUTED_VALUE"""),"")</f>
        <v/>
      </c>
      <c r="M3136" s="1" t="str">
        <f>IFERROR(__xludf.DUMMYFUNCTION("""COMPUTED_VALUE"""),"RFID")</f>
        <v>RFID</v>
      </c>
      <c r="N3136" s="5" t="str">
        <f>IFERROR(__xludf.DUMMYFUNCTION("""COMPUTED_VALUE"""),"")</f>
        <v/>
      </c>
      <c r="O3136" s="5" t="str">
        <f>IFERROR(__xludf.DUMMYFUNCTION("""COMPUTED_VALUE"""),"")</f>
        <v/>
      </c>
      <c r="P3136" s="5" t="str">
        <f>IFERROR(__xludf.DUMMYFUNCTION("""COMPUTED_VALUE"""),"")</f>
        <v/>
      </c>
      <c r="Q3136" s="5" t="str">
        <f>IFERROR(__xludf.DUMMYFUNCTION("""COMPUTED_VALUE"""),"")</f>
        <v/>
      </c>
      <c r="R3136" s="4" t="str">
        <f>IFERROR(__xludf.DUMMYFUNCTION("""COMPUTED_VALUE"""),"")</f>
        <v/>
      </c>
      <c r="S3136" s="1" t="b">
        <f>IFERROR(__xludf.DUMMYFUNCTION("""COMPUTED_VALUE"""),FALSE)</f>
        <v>0</v>
      </c>
      <c r="T3136" s="1" t="b">
        <f>IFERROR(__xludf.DUMMYFUNCTION("""COMPUTED_VALUE"""),FALSE)</f>
        <v>0</v>
      </c>
      <c r="U3136" s="1" t="str">
        <f>IFERROR(__xludf.DUMMYFUNCTION("""COMPUTED_VALUE"""),"")</f>
        <v/>
      </c>
      <c r="V3136" s="1" t="str">
        <f>IFERROR(__xludf.DUMMYFUNCTION("""COMPUTED_VALUE"""),"")</f>
        <v/>
      </c>
      <c r="W3136" s="1" t="str">
        <f>IFERROR(__xludf.DUMMYFUNCTION("""COMPUTED_VALUE"""),"")</f>
        <v/>
      </c>
      <c r="X3136" s="1" t="str">
        <f>IFERROR(__xludf.DUMMYFUNCTION("""COMPUTED_VALUE"""),"")</f>
        <v/>
      </c>
      <c r="Y3136" s="2"/>
      <c r="Z3136" s="2" t="str">
        <f>IFERROR(__xludf.DUMMYFUNCTION("""COMPUTED_VALUE"""),"")</f>
        <v/>
      </c>
    </row>
    <row r="3137">
      <c r="A3137" s="1" t="str">
        <f>IFERROR(__xludf.DUMMYFUNCTION("""COMPUTED_VALUE"""),"")</f>
        <v/>
      </c>
      <c r="B3137" s="1"/>
      <c r="C3137" s="2"/>
      <c r="D3137" s="2"/>
      <c r="E3137" s="1"/>
      <c r="F3137" s="1"/>
      <c r="G3137" s="4" t="str">
        <f>IFERROR(__xludf.DUMMYFUNCTION("""COMPUTED_VALUE"""),"")</f>
        <v/>
      </c>
      <c r="H3137" s="4" t="str">
        <f>IFERROR(__xludf.DUMMYFUNCTION("""COMPUTED_VALUE"""),"")</f>
        <v/>
      </c>
      <c r="I3137" s="4" t="str">
        <f>IFERROR(__xludf.DUMMYFUNCTION("""COMPUTED_VALUE"""),"")</f>
        <v/>
      </c>
      <c r="J3137" s="4" t="str">
        <f>IFERROR(__xludf.DUMMYFUNCTION("""COMPUTED_VALUE"""),"")</f>
        <v/>
      </c>
      <c r="K3137" s="4" t="str">
        <f>IFERROR(__xludf.DUMMYFUNCTION("""COMPUTED_VALUE"""),"")</f>
        <v/>
      </c>
      <c r="L3137" s="4" t="str">
        <f>IFERROR(__xludf.DUMMYFUNCTION("""COMPUTED_VALUE"""),"")</f>
        <v/>
      </c>
      <c r="M3137" s="1" t="str">
        <f>IFERROR(__xludf.DUMMYFUNCTION("""COMPUTED_VALUE"""),"RFID")</f>
        <v>RFID</v>
      </c>
      <c r="N3137" s="5" t="str">
        <f>IFERROR(__xludf.DUMMYFUNCTION("""COMPUTED_VALUE"""),"")</f>
        <v/>
      </c>
      <c r="O3137" s="5" t="str">
        <f>IFERROR(__xludf.DUMMYFUNCTION("""COMPUTED_VALUE"""),"")</f>
        <v/>
      </c>
      <c r="P3137" s="5" t="str">
        <f>IFERROR(__xludf.DUMMYFUNCTION("""COMPUTED_VALUE"""),"")</f>
        <v/>
      </c>
      <c r="Q3137" s="5" t="str">
        <f>IFERROR(__xludf.DUMMYFUNCTION("""COMPUTED_VALUE"""),"")</f>
        <v/>
      </c>
      <c r="R3137" s="4" t="str">
        <f>IFERROR(__xludf.DUMMYFUNCTION("""COMPUTED_VALUE"""),"")</f>
        <v/>
      </c>
      <c r="S3137" s="1" t="b">
        <f>IFERROR(__xludf.DUMMYFUNCTION("""COMPUTED_VALUE"""),FALSE)</f>
        <v>0</v>
      </c>
      <c r="T3137" s="1" t="b">
        <f>IFERROR(__xludf.DUMMYFUNCTION("""COMPUTED_VALUE"""),FALSE)</f>
        <v>0</v>
      </c>
      <c r="U3137" s="1" t="str">
        <f>IFERROR(__xludf.DUMMYFUNCTION("""COMPUTED_VALUE"""),"")</f>
        <v/>
      </c>
      <c r="V3137" s="1" t="str">
        <f>IFERROR(__xludf.DUMMYFUNCTION("""COMPUTED_VALUE"""),"")</f>
        <v/>
      </c>
      <c r="W3137" s="1" t="str">
        <f>IFERROR(__xludf.DUMMYFUNCTION("""COMPUTED_VALUE"""),"")</f>
        <v/>
      </c>
      <c r="X3137" s="1" t="str">
        <f>IFERROR(__xludf.DUMMYFUNCTION("""COMPUTED_VALUE"""),"")</f>
        <v/>
      </c>
      <c r="Y3137" s="2"/>
      <c r="Z3137" s="2" t="str">
        <f>IFERROR(__xludf.DUMMYFUNCTION("""COMPUTED_VALUE"""),"")</f>
        <v/>
      </c>
    </row>
    <row r="3138">
      <c r="A3138" s="1" t="str">
        <f>IFERROR(__xludf.DUMMYFUNCTION("""COMPUTED_VALUE"""),"")</f>
        <v/>
      </c>
      <c r="B3138" s="1"/>
      <c r="C3138" s="2"/>
      <c r="D3138" s="2"/>
      <c r="E3138" s="1"/>
      <c r="F3138" s="1"/>
      <c r="G3138" s="4" t="str">
        <f>IFERROR(__xludf.DUMMYFUNCTION("""COMPUTED_VALUE"""),"")</f>
        <v/>
      </c>
      <c r="H3138" s="4" t="str">
        <f>IFERROR(__xludf.DUMMYFUNCTION("""COMPUTED_VALUE"""),"")</f>
        <v/>
      </c>
      <c r="I3138" s="4" t="str">
        <f>IFERROR(__xludf.DUMMYFUNCTION("""COMPUTED_VALUE"""),"")</f>
        <v/>
      </c>
      <c r="J3138" s="4" t="str">
        <f>IFERROR(__xludf.DUMMYFUNCTION("""COMPUTED_VALUE"""),"")</f>
        <v/>
      </c>
      <c r="K3138" s="4" t="str">
        <f>IFERROR(__xludf.DUMMYFUNCTION("""COMPUTED_VALUE"""),"")</f>
        <v/>
      </c>
      <c r="L3138" s="4" t="str">
        <f>IFERROR(__xludf.DUMMYFUNCTION("""COMPUTED_VALUE"""),"")</f>
        <v/>
      </c>
      <c r="M3138" s="1" t="str">
        <f>IFERROR(__xludf.DUMMYFUNCTION("""COMPUTED_VALUE"""),"RFID")</f>
        <v>RFID</v>
      </c>
      <c r="N3138" s="5" t="str">
        <f>IFERROR(__xludf.DUMMYFUNCTION("""COMPUTED_VALUE"""),"")</f>
        <v/>
      </c>
      <c r="O3138" s="5" t="str">
        <f>IFERROR(__xludf.DUMMYFUNCTION("""COMPUTED_VALUE"""),"")</f>
        <v/>
      </c>
      <c r="P3138" s="5" t="str">
        <f>IFERROR(__xludf.DUMMYFUNCTION("""COMPUTED_VALUE"""),"")</f>
        <v/>
      </c>
      <c r="Q3138" s="5" t="str">
        <f>IFERROR(__xludf.DUMMYFUNCTION("""COMPUTED_VALUE"""),"")</f>
        <v/>
      </c>
      <c r="R3138" s="4" t="str">
        <f>IFERROR(__xludf.DUMMYFUNCTION("""COMPUTED_VALUE"""),"")</f>
        <v/>
      </c>
      <c r="S3138" s="1" t="b">
        <f>IFERROR(__xludf.DUMMYFUNCTION("""COMPUTED_VALUE"""),FALSE)</f>
        <v>0</v>
      </c>
      <c r="T3138" s="1" t="b">
        <f>IFERROR(__xludf.DUMMYFUNCTION("""COMPUTED_VALUE"""),FALSE)</f>
        <v>0</v>
      </c>
      <c r="U3138" s="1" t="str">
        <f>IFERROR(__xludf.DUMMYFUNCTION("""COMPUTED_VALUE"""),"")</f>
        <v/>
      </c>
      <c r="V3138" s="1" t="str">
        <f>IFERROR(__xludf.DUMMYFUNCTION("""COMPUTED_VALUE"""),"")</f>
        <v/>
      </c>
      <c r="W3138" s="1" t="str">
        <f>IFERROR(__xludf.DUMMYFUNCTION("""COMPUTED_VALUE"""),"")</f>
        <v/>
      </c>
      <c r="X3138" s="1" t="str">
        <f>IFERROR(__xludf.DUMMYFUNCTION("""COMPUTED_VALUE"""),"")</f>
        <v/>
      </c>
      <c r="Y3138" s="2"/>
      <c r="Z3138" s="2" t="str">
        <f>IFERROR(__xludf.DUMMYFUNCTION("""COMPUTED_VALUE"""),"")</f>
        <v/>
      </c>
    </row>
    <row r="3139">
      <c r="A3139" s="1" t="str">
        <f>IFERROR(__xludf.DUMMYFUNCTION("""COMPUTED_VALUE"""),"")</f>
        <v/>
      </c>
      <c r="B3139" s="1"/>
      <c r="C3139" s="2"/>
      <c r="D3139" s="2"/>
      <c r="E3139" s="1"/>
      <c r="F3139" s="1"/>
      <c r="G3139" s="4" t="str">
        <f>IFERROR(__xludf.DUMMYFUNCTION("""COMPUTED_VALUE"""),"")</f>
        <v/>
      </c>
      <c r="H3139" s="4" t="str">
        <f>IFERROR(__xludf.DUMMYFUNCTION("""COMPUTED_VALUE"""),"")</f>
        <v/>
      </c>
      <c r="I3139" s="4" t="str">
        <f>IFERROR(__xludf.DUMMYFUNCTION("""COMPUTED_VALUE"""),"")</f>
        <v/>
      </c>
      <c r="J3139" s="4" t="str">
        <f>IFERROR(__xludf.DUMMYFUNCTION("""COMPUTED_VALUE"""),"")</f>
        <v/>
      </c>
      <c r="K3139" s="4" t="str">
        <f>IFERROR(__xludf.DUMMYFUNCTION("""COMPUTED_VALUE"""),"")</f>
        <v/>
      </c>
      <c r="L3139" s="4" t="str">
        <f>IFERROR(__xludf.DUMMYFUNCTION("""COMPUTED_VALUE"""),"")</f>
        <v/>
      </c>
      <c r="M3139" s="1" t="str">
        <f>IFERROR(__xludf.DUMMYFUNCTION("""COMPUTED_VALUE"""),"RFID")</f>
        <v>RFID</v>
      </c>
      <c r="N3139" s="5" t="str">
        <f>IFERROR(__xludf.DUMMYFUNCTION("""COMPUTED_VALUE"""),"")</f>
        <v/>
      </c>
      <c r="O3139" s="5" t="str">
        <f>IFERROR(__xludf.DUMMYFUNCTION("""COMPUTED_VALUE"""),"")</f>
        <v/>
      </c>
      <c r="P3139" s="5" t="str">
        <f>IFERROR(__xludf.DUMMYFUNCTION("""COMPUTED_VALUE"""),"")</f>
        <v/>
      </c>
      <c r="Q3139" s="5" t="str">
        <f>IFERROR(__xludf.DUMMYFUNCTION("""COMPUTED_VALUE"""),"")</f>
        <v/>
      </c>
      <c r="R3139" s="4" t="str">
        <f>IFERROR(__xludf.DUMMYFUNCTION("""COMPUTED_VALUE"""),"")</f>
        <v/>
      </c>
      <c r="S3139" s="1" t="b">
        <f>IFERROR(__xludf.DUMMYFUNCTION("""COMPUTED_VALUE"""),FALSE)</f>
        <v>0</v>
      </c>
      <c r="T3139" s="1" t="b">
        <f>IFERROR(__xludf.DUMMYFUNCTION("""COMPUTED_VALUE"""),FALSE)</f>
        <v>0</v>
      </c>
      <c r="U3139" s="1" t="str">
        <f>IFERROR(__xludf.DUMMYFUNCTION("""COMPUTED_VALUE"""),"")</f>
        <v/>
      </c>
      <c r="V3139" s="1" t="str">
        <f>IFERROR(__xludf.DUMMYFUNCTION("""COMPUTED_VALUE"""),"")</f>
        <v/>
      </c>
      <c r="W3139" s="1" t="str">
        <f>IFERROR(__xludf.DUMMYFUNCTION("""COMPUTED_VALUE"""),"")</f>
        <v/>
      </c>
      <c r="X3139" s="1" t="str">
        <f>IFERROR(__xludf.DUMMYFUNCTION("""COMPUTED_VALUE"""),"")</f>
        <v/>
      </c>
      <c r="Y3139" s="2"/>
      <c r="Z3139" s="2" t="str">
        <f>IFERROR(__xludf.DUMMYFUNCTION("""COMPUTED_VALUE"""),"")</f>
        <v/>
      </c>
    </row>
    <row r="3140">
      <c r="A3140" s="1" t="str">
        <f>IFERROR(__xludf.DUMMYFUNCTION("""COMPUTED_VALUE"""),"")</f>
        <v/>
      </c>
      <c r="B3140" s="1"/>
      <c r="C3140" s="2"/>
      <c r="D3140" s="2"/>
      <c r="E3140" s="1"/>
      <c r="F3140" s="1"/>
      <c r="G3140" s="4" t="str">
        <f>IFERROR(__xludf.DUMMYFUNCTION("""COMPUTED_VALUE"""),"")</f>
        <v/>
      </c>
      <c r="H3140" s="4" t="str">
        <f>IFERROR(__xludf.DUMMYFUNCTION("""COMPUTED_VALUE"""),"")</f>
        <v/>
      </c>
      <c r="I3140" s="4" t="str">
        <f>IFERROR(__xludf.DUMMYFUNCTION("""COMPUTED_VALUE"""),"")</f>
        <v/>
      </c>
      <c r="J3140" s="4" t="str">
        <f>IFERROR(__xludf.DUMMYFUNCTION("""COMPUTED_VALUE"""),"")</f>
        <v/>
      </c>
      <c r="K3140" s="4" t="str">
        <f>IFERROR(__xludf.DUMMYFUNCTION("""COMPUTED_VALUE"""),"")</f>
        <v/>
      </c>
      <c r="L3140" s="4" t="str">
        <f>IFERROR(__xludf.DUMMYFUNCTION("""COMPUTED_VALUE"""),"")</f>
        <v/>
      </c>
      <c r="M3140" s="1" t="str">
        <f>IFERROR(__xludf.DUMMYFUNCTION("""COMPUTED_VALUE"""),"RFID")</f>
        <v>RFID</v>
      </c>
      <c r="N3140" s="5" t="str">
        <f>IFERROR(__xludf.DUMMYFUNCTION("""COMPUTED_VALUE"""),"")</f>
        <v/>
      </c>
      <c r="O3140" s="5" t="str">
        <f>IFERROR(__xludf.DUMMYFUNCTION("""COMPUTED_VALUE"""),"")</f>
        <v/>
      </c>
      <c r="P3140" s="5" t="str">
        <f>IFERROR(__xludf.DUMMYFUNCTION("""COMPUTED_VALUE"""),"")</f>
        <v/>
      </c>
      <c r="Q3140" s="5" t="str">
        <f>IFERROR(__xludf.DUMMYFUNCTION("""COMPUTED_VALUE"""),"")</f>
        <v/>
      </c>
      <c r="R3140" s="4" t="str">
        <f>IFERROR(__xludf.DUMMYFUNCTION("""COMPUTED_VALUE"""),"")</f>
        <v/>
      </c>
      <c r="S3140" s="1" t="b">
        <f>IFERROR(__xludf.DUMMYFUNCTION("""COMPUTED_VALUE"""),FALSE)</f>
        <v>0</v>
      </c>
      <c r="T3140" s="1" t="b">
        <f>IFERROR(__xludf.DUMMYFUNCTION("""COMPUTED_VALUE"""),FALSE)</f>
        <v>0</v>
      </c>
      <c r="U3140" s="1" t="str">
        <f>IFERROR(__xludf.DUMMYFUNCTION("""COMPUTED_VALUE"""),"")</f>
        <v/>
      </c>
      <c r="V3140" s="1" t="str">
        <f>IFERROR(__xludf.DUMMYFUNCTION("""COMPUTED_VALUE"""),"")</f>
        <v/>
      </c>
      <c r="W3140" s="1" t="str">
        <f>IFERROR(__xludf.DUMMYFUNCTION("""COMPUTED_VALUE"""),"")</f>
        <v/>
      </c>
      <c r="X3140" s="1" t="str">
        <f>IFERROR(__xludf.DUMMYFUNCTION("""COMPUTED_VALUE"""),"")</f>
        <v/>
      </c>
      <c r="Y3140" s="2"/>
      <c r="Z3140" s="2" t="str">
        <f>IFERROR(__xludf.DUMMYFUNCTION("""COMPUTED_VALUE"""),"")</f>
        <v/>
      </c>
    </row>
    <row r="3141">
      <c r="A3141" s="1" t="str">
        <f>IFERROR(__xludf.DUMMYFUNCTION("""COMPUTED_VALUE"""),"")</f>
        <v/>
      </c>
      <c r="B3141" s="1"/>
      <c r="C3141" s="2"/>
      <c r="D3141" s="2"/>
      <c r="E3141" s="1"/>
      <c r="F3141" s="1"/>
      <c r="G3141" s="4" t="str">
        <f>IFERROR(__xludf.DUMMYFUNCTION("""COMPUTED_VALUE"""),"")</f>
        <v/>
      </c>
      <c r="H3141" s="4" t="str">
        <f>IFERROR(__xludf.DUMMYFUNCTION("""COMPUTED_VALUE"""),"")</f>
        <v/>
      </c>
      <c r="I3141" s="4" t="str">
        <f>IFERROR(__xludf.DUMMYFUNCTION("""COMPUTED_VALUE"""),"")</f>
        <v/>
      </c>
      <c r="J3141" s="4" t="str">
        <f>IFERROR(__xludf.DUMMYFUNCTION("""COMPUTED_VALUE"""),"")</f>
        <v/>
      </c>
      <c r="K3141" s="4" t="str">
        <f>IFERROR(__xludf.DUMMYFUNCTION("""COMPUTED_VALUE"""),"")</f>
        <v/>
      </c>
      <c r="L3141" s="4" t="str">
        <f>IFERROR(__xludf.DUMMYFUNCTION("""COMPUTED_VALUE"""),"")</f>
        <v/>
      </c>
      <c r="M3141" s="1" t="str">
        <f>IFERROR(__xludf.DUMMYFUNCTION("""COMPUTED_VALUE"""),"RFID")</f>
        <v>RFID</v>
      </c>
      <c r="N3141" s="5" t="str">
        <f>IFERROR(__xludf.DUMMYFUNCTION("""COMPUTED_VALUE"""),"")</f>
        <v/>
      </c>
      <c r="O3141" s="5" t="str">
        <f>IFERROR(__xludf.DUMMYFUNCTION("""COMPUTED_VALUE"""),"")</f>
        <v/>
      </c>
      <c r="P3141" s="5" t="str">
        <f>IFERROR(__xludf.DUMMYFUNCTION("""COMPUTED_VALUE"""),"")</f>
        <v/>
      </c>
      <c r="Q3141" s="5" t="str">
        <f>IFERROR(__xludf.DUMMYFUNCTION("""COMPUTED_VALUE"""),"")</f>
        <v/>
      </c>
      <c r="R3141" s="4" t="str">
        <f>IFERROR(__xludf.DUMMYFUNCTION("""COMPUTED_VALUE"""),"")</f>
        <v/>
      </c>
      <c r="S3141" s="1" t="b">
        <f>IFERROR(__xludf.DUMMYFUNCTION("""COMPUTED_VALUE"""),FALSE)</f>
        <v>0</v>
      </c>
      <c r="T3141" s="1" t="b">
        <f>IFERROR(__xludf.DUMMYFUNCTION("""COMPUTED_VALUE"""),FALSE)</f>
        <v>0</v>
      </c>
      <c r="U3141" s="1" t="str">
        <f>IFERROR(__xludf.DUMMYFUNCTION("""COMPUTED_VALUE"""),"")</f>
        <v/>
      </c>
      <c r="V3141" s="1" t="str">
        <f>IFERROR(__xludf.DUMMYFUNCTION("""COMPUTED_VALUE"""),"")</f>
        <v/>
      </c>
      <c r="W3141" s="1" t="str">
        <f>IFERROR(__xludf.DUMMYFUNCTION("""COMPUTED_VALUE"""),"")</f>
        <v/>
      </c>
      <c r="X3141" s="1" t="str">
        <f>IFERROR(__xludf.DUMMYFUNCTION("""COMPUTED_VALUE"""),"")</f>
        <v/>
      </c>
      <c r="Y3141" s="2"/>
      <c r="Z3141" s="2" t="str">
        <f>IFERROR(__xludf.DUMMYFUNCTION("""COMPUTED_VALUE"""),"")</f>
        <v/>
      </c>
    </row>
    <row r="3142">
      <c r="A3142" s="1" t="str">
        <f>IFERROR(__xludf.DUMMYFUNCTION("""COMPUTED_VALUE"""),"")</f>
        <v/>
      </c>
      <c r="B3142" s="1"/>
      <c r="C3142" s="2"/>
      <c r="D3142" s="2"/>
      <c r="E3142" s="1"/>
      <c r="F3142" s="1"/>
      <c r="G3142" s="4" t="str">
        <f>IFERROR(__xludf.DUMMYFUNCTION("""COMPUTED_VALUE"""),"")</f>
        <v/>
      </c>
      <c r="H3142" s="4" t="str">
        <f>IFERROR(__xludf.DUMMYFUNCTION("""COMPUTED_VALUE"""),"")</f>
        <v/>
      </c>
      <c r="I3142" s="4" t="str">
        <f>IFERROR(__xludf.DUMMYFUNCTION("""COMPUTED_VALUE"""),"")</f>
        <v/>
      </c>
      <c r="J3142" s="4" t="str">
        <f>IFERROR(__xludf.DUMMYFUNCTION("""COMPUTED_VALUE"""),"")</f>
        <v/>
      </c>
      <c r="K3142" s="4" t="str">
        <f>IFERROR(__xludf.DUMMYFUNCTION("""COMPUTED_VALUE"""),"")</f>
        <v/>
      </c>
      <c r="L3142" s="4" t="str">
        <f>IFERROR(__xludf.DUMMYFUNCTION("""COMPUTED_VALUE"""),"")</f>
        <v/>
      </c>
      <c r="M3142" s="1" t="str">
        <f>IFERROR(__xludf.DUMMYFUNCTION("""COMPUTED_VALUE"""),"RFID")</f>
        <v>RFID</v>
      </c>
      <c r="N3142" s="5" t="str">
        <f>IFERROR(__xludf.DUMMYFUNCTION("""COMPUTED_VALUE"""),"")</f>
        <v/>
      </c>
      <c r="O3142" s="5" t="str">
        <f>IFERROR(__xludf.DUMMYFUNCTION("""COMPUTED_VALUE"""),"")</f>
        <v/>
      </c>
      <c r="P3142" s="5" t="str">
        <f>IFERROR(__xludf.DUMMYFUNCTION("""COMPUTED_VALUE"""),"")</f>
        <v/>
      </c>
      <c r="Q3142" s="5" t="str">
        <f>IFERROR(__xludf.DUMMYFUNCTION("""COMPUTED_VALUE"""),"")</f>
        <v/>
      </c>
      <c r="R3142" s="4" t="str">
        <f>IFERROR(__xludf.DUMMYFUNCTION("""COMPUTED_VALUE"""),"")</f>
        <v/>
      </c>
      <c r="S3142" s="1" t="b">
        <f>IFERROR(__xludf.DUMMYFUNCTION("""COMPUTED_VALUE"""),FALSE)</f>
        <v>0</v>
      </c>
      <c r="T3142" s="1" t="b">
        <f>IFERROR(__xludf.DUMMYFUNCTION("""COMPUTED_VALUE"""),FALSE)</f>
        <v>0</v>
      </c>
      <c r="U3142" s="1" t="str">
        <f>IFERROR(__xludf.DUMMYFUNCTION("""COMPUTED_VALUE"""),"")</f>
        <v/>
      </c>
      <c r="V3142" s="1" t="str">
        <f>IFERROR(__xludf.DUMMYFUNCTION("""COMPUTED_VALUE"""),"")</f>
        <v/>
      </c>
      <c r="W3142" s="1" t="str">
        <f>IFERROR(__xludf.DUMMYFUNCTION("""COMPUTED_VALUE"""),"")</f>
        <v/>
      </c>
      <c r="X3142" s="1" t="str">
        <f>IFERROR(__xludf.DUMMYFUNCTION("""COMPUTED_VALUE"""),"")</f>
        <v/>
      </c>
      <c r="Y3142" s="2"/>
      <c r="Z3142" s="2" t="str">
        <f>IFERROR(__xludf.DUMMYFUNCTION("""COMPUTED_VALUE"""),"")</f>
        <v/>
      </c>
    </row>
    <row r="3143">
      <c r="A3143" s="1" t="str">
        <f>IFERROR(__xludf.DUMMYFUNCTION("""COMPUTED_VALUE"""),"")</f>
        <v/>
      </c>
      <c r="B3143" s="1"/>
      <c r="C3143" s="2"/>
      <c r="D3143" s="2"/>
      <c r="E3143" s="1"/>
      <c r="F3143" s="1"/>
      <c r="G3143" s="4" t="str">
        <f>IFERROR(__xludf.DUMMYFUNCTION("""COMPUTED_VALUE"""),"")</f>
        <v/>
      </c>
      <c r="H3143" s="4" t="str">
        <f>IFERROR(__xludf.DUMMYFUNCTION("""COMPUTED_VALUE"""),"")</f>
        <v/>
      </c>
      <c r="I3143" s="4" t="str">
        <f>IFERROR(__xludf.DUMMYFUNCTION("""COMPUTED_VALUE"""),"")</f>
        <v/>
      </c>
      <c r="J3143" s="4" t="str">
        <f>IFERROR(__xludf.DUMMYFUNCTION("""COMPUTED_VALUE"""),"")</f>
        <v/>
      </c>
      <c r="K3143" s="4" t="str">
        <f>IFERROR(__xludf.DUMMYFUNCTION("""COMPUTED_VALUE"""),"")</f>
        <v/>
      </c>
      <c r="L3143" s="4" t="str">
        <f>IFERROR(__xludf.DUMMYFUNCTION("""COMPUTED_VALUE"""),"")</f>
        <v/>
      </c>
      <c r="M3143" s="1" t="str">
        <f>IFERROR(__xludf.DUMMYFUNCTION("""COMPUTED_VALUE"""),"RFID")</f>
        <v>RFID</v>
      </c>
      <c r="N3143" s="5" t="str">
        <f>IFERROR(__xludf.DUMMYFUNCTION("""COMPUTED_VALUE"""),"")</f>
        <v/>
      </c>
      <c r="O3143" s="5" t="str">
        <f>IFERROR(__xludf.DUMMYFUNCTION("""COMPUTED_VALUE"""),"")</f>
        <v/>
      </c>
      <c r="P3143" s="5" t="str">
        <f>IFERROR(__xludf.DUMMYFUNCTION("""COMPUTED_VALUE"""),"")</f>
        <v/>
      </c>
      <c r="Q3143" s="5" t="str">
        <f>IFERROR(__xludf.DUMMYFUNCTION("""COMPUTED_VALUE"""),"")</f>
        <v/>
      </c>
      <c r="R3143" s="4" t="str">
        <f>IFERROR(__xludf.DUMMYFUNCTION("""COMPUTED_VALUE"""),"")</f>
        <v/>
      </c>
      <c r="S3143" s="1" t="b">
        <f>IFERROR(__xludf.DUMMYFUNCTION("""COMPUTED_VALUE"""),FALSE)</f>
        <v>0</v>
      </c>
      <c r="T3143" s="1" t="b">
        <f>IFERROR(__xludf.DUMMYFUNCTION("""COMPUTED_VALUE"""),FALSE)</f>
        <v>0</v>
      </c>
      <c r="U3143" s="1" t="str">
        <f>IFERROR(__xludf.DUMMYFUNCTION("""COMPUTED_VALUE"""),"")</f>
        <v/>
      </c>
      <c r="V3143" s="1" t="str">
        <f>IFERROR(__xludf.DUMMYFUNCTION("""COMPUTED_VALUE"""),"")</f>
        <v/>
      </c>
      <c r="W3143" s="1" t="str">
        <f>IFERROR(__xludf.DUMMYFUNCTION("""COMPUTED_VALUE"""),"")</f>
        <v/>
      </c>
      <c r="X3143" s="1" t="str">
        <f>IFERROR(__xludf.DUMMYFUNCTION("""COMPUTED_VALUE"""),"")</f>
        <v/>
      </c>
      <c r="Y3143" s="2"/>
      <c r="Z3143" s="2" t="str">
        <f>IFERROR(__xludf.DUMMYFUNCTION("""COMPUTED_VALUE"""),"")</f>
        <v/>
      </c>
    </row>
    <row r="3144">
      <c r="A3144" s="1" t="str">
        <f>IFERROR(__xludf.DUMMYFUNCTION("""COMPUTED_VALUE"""),"")</f>
        <v/>
      </c>
      <c r="B3144" s="1"/>
      <c r="C3144" s="2"/>
      <c r="D3144" s="2"/>
      <c r="E3144" s="1"/>
      <c r="F3144" s="1"/>
      <c r="G3144" s="4" t="str">
        <f>IFERROR(__xludf.DUMMYFUNCTION("""COMPUTED_VALUE"""),"")</f>
        <v/>
      </c>
      <c r="H3144" s="4" t="str">
        <f>IFERROR(__xludf.DUMMYFUNCTION("""COMPUTED_VALUE"""),"")</f>
        <v/>
      </c>
      <c r="I3144" s="4" t="str">
        <f>IFERROR(__xludf.DUMMYFUNCTION("""COMPUTED_VALUE"""),"")</f>
        <v/>
      </c>
      <c r="J3144" s="4" t="str">
        <f>IFERROR(__xludf.DUMMYFUNCTION("""COMPUTED_VALUE"""),"")</f>
        <v/>
      </c>
      <c r="K3144" s="4" t="str">
        <f>IFERROR(__xludf.DUMMYFUNCTION("""COMPUTED_VALUE"""),"")</f>
        <v/>
      </c>
      <c r="L3144" s="4" t="str">
        <f>IFERROR(__xludf.DUMMYFUNCTION("""COMPUTED_VALUE"""),"")</f>
        <v/>
      </c>
      <c r="M3144" s="1" t="str">
        <f>IFERROR(__xludf.DUMMYFUNCTION("""COMPUTED_VALUE"""),"RFID")</f>
        <v>RFID</v>
      </c>
      <c r="N3144" s="5" t="str">
        <f>IFERROR(__xludf.DUMMYFUNCTION("""COMPUTED_VALUE"""),"")</f>
        <v/>
      </c>
      <c r="O3144" s="5" t="str">
        <f>IFERROR(__xludf.DUMMYFUNCTION("""COMPUTED_VALUE"""),"")</f>
        <v/>
      </c>
      <c r="P3144" s="5" t="str">
        <f>IFERROR(__xludf.DUMMYFUNCTION("""COMPUTED_VALUE"""),"")</f>
        <v/>
      </c>
      <c r="Q3144" s="5" t="str">
        <f>IFERROR(__xludf.DUMMYFUNCTION("""COMPUTED_VALUE"""),"")</f>
        <v/>
      </c>
      <c r="R3144" s="4" t="str">
        <f>IFERROR(__xludf.DUMMYFUNCTION("""COMPUTED_VALUE"""),"")</f>
        <v/>
      </c>
      <c r="S3144" s="1" t="b">
        <f>IFERROR(__xludf.DUMMYFUNCTION("""COMPUTED_VALUE"""),FALSE)</f>
        <v>0</v>
      </c>
      <c r="T3144" s="1" t="b">
        <f>IFERROR(__xludf.DUMMYFUNCTION("""COMPUTED_VALUE"""),FALSE)</f>
        <v>0</v>
      </c>
      <c r="U3144" s="1" t="str">
        <f>IFERROR(__xludf.DUMMYFUNCTION("""COMPUTED_VALUE"""),"")</f>
        <v/>
      </c>
      <c r="V3144" s="1" t="str">
        <f>IFERROR(__xludf.DUMMYFUNCTION("""COMPUTED_VALUE"""),"")</f>
        <v/>
      </c>
      <c r="W3144" s="1" t="str">
        <f>IFERROR(__xludf.DUMMYFUNCTION("""COMPUTED_VALUE"""),"")</f>
        <v/>
      </c>
      <c r="X3144" s="1" t="str">
        <f>IFERROR(__xludf.DUMMYFUNCTION("""COMPUTED_VALUE"""),"")</f>
        <v/>
      </c>
      <c r="Y3144" s="2"/>
      <c r="Z3144" s="2" t="str">
        <f>IFERROR(__xludf.DUMMYFUNCTION("""COMPUTED_VALUE"""),"")</f>
        <v/>
      </c>
    </row>
    <row r="3145">
      <c r="A3145" s="1" t="str">
        <f>IFERROR(__xludf.DUMMYFUNCTION("""COMPUTED_VALUE"""),"")</f>
        <v/>
      </c>
      <c r="B3145" s="1"/>
      <c r="C3145" s="2"/>
      <c r="D3145" s="2"/>
      <c r="E3145" s="1"/>
      <c r="F3145" s="1"/>
      <c r="G3145" s="4" t="str">
        <f>IFERROR(__xludf.DUMMYFUNCTION("""COMPUTED_VALUE"""),"")</f>
        <v/>
      </c>
      <c r="H3145" s="4" t="str">
        <f>IFERROR(__xludf.DUMMYFUNCTION("""COMPUTED_VALUE"""),"")</f>
        <v/>
      </c>
      <c r="I3145" s="4" t="str">
        <f>IFERROR(__xludf.DUMMYFUNCTION("""COMPUTED_VALUE"""),"")</f>
        <v/>
      </c>
      <c r="J3145" s="4" t="str">
        <f>IFERROR(__xludf.DUMMYFUNCTION("""COMPUTED_VALUE"""),"")</f>
        <v/>
      </c>
      <c r="K3145" s="4" t="str">
        <f>IFERROR(__xludf.DUMMYFUNCTION("""COMPUTED_VALUE"""),"")</f>
        <v/>
      </c>
      <c r="L3145" s="4" t="str">
        <f>IFERROR(__xludf.DUMMYFUNCTION("""COMPUTED_VALUE"""),"")</f>
        <v/>
      </c>
      <c r="M3145" s="1" t="str">
        <f>IFERROR(__xludf.DUMMYFUNCTION("""COMPUTED_VALUE"""),"RFID")</f>
        <v>RFID</v>
      </c>
      <c r="N3145" s="5" t="str">
        <f>IFERROR(__xludf.DUMMYFUNCTION("""COMPUTED_VALUE"""),"")</f>
        <v/>
      </c>
      <c r="O3145" s="5" t="str">
        <f>IFERROR(__xludf.DUMMYFUNCTION("""COMPUTED_VALUE"""),"")</f>
        <v/>
      </c>
      <c r="P3145" s="5" t="str">
        <f>IFERROR(__xludf.DUMMYFUNCTION("""COMPUTED_VALUE"""),"")</f>
        <v/>
      </c>
      <c r="Q3145" s="5" t="str">
        <f>IFERROR(__xludf.DUMMYFUNCTION("""COMPUTED_VALUE"""),"")</f>
        <v/>
      </c>
      <c r="R3145" s="4" t="str">
        <f>IFERROR(__xludf.DUMMYFUNCTION("""COMPUTED_VALUE"""),"")</f>
        <v/>
      </c>
      <c r="S3145" s="1" t="b">
        <f>IFERROR(__xludf.DUMMYFUNCTION("""COMPUTED_VALUE"""),FALSE)</f>
        <v>0</v>
      </c>
      <c r="T3145" s="1" t="b">
        <f>IFERROR(__xludf.DUMMYFUNCTION("""COMPUTED_VALUE"""),FALSE)</f>
        <v>0</v>
      </c>
      <c r="U3145" s="1" t="str">
        <f>IFERROR(__xludf.DUMMYFUNCTION("""COMPUTED_VALUE"""),"")</f>
        <v/>
      </c>
      <c r="V3145" s="1" t="str">
        <f>IFERROR(__xludf.DUMMYFUNCTION("""COMPUTED_VALUE"""),"")</f>
        <v/>
      </c>
      <c r="W3145" s="1" t="str">
        <f>IFERROR(__xludf.DUMMYFUNCTION("""COMPUTED_VALUE"""),"")</f>
        <v/>
      </c>
      <c r="X3145" s="1" t="str">
        <f>IFERROR(__xludf.DUMMYFUNCTION("""COMPUTED_VALUE"""),"")</f>
        <v/>
      </c>
      <c r="Y3145" s="2"/>
      <c r="Z3145" s="2" t="str">
        <f>IFERROR(__xludf.DUMMYFUNCTION("""COMPUTED_VALUE"""),"")</f>
        <v/>
      </c>
    </row>
    <row r="3146">
      <c r="A3146" s="1" t="str">
        <f>IFERROR(__xludf.DUMMYFUNCTION("""COMPUTED_VALUE"""),"")</f>
        <v/>
      </c>
      <c r="B3146" s="1"/>
      <c r="C3146" s="2"/>
      <c r="D3146" s="2"/>
      <c r="E3146" s="1"/>
      <c r="F3146" s="1"/>
      <c r="G3146" s="4" t="str">
        <f>IFERROR(__xludf.DUMMYFUNCTION("""COMPUTED_VALUE"""),"")</f>
        <v/>
      </c>
      <c r="H3146" s="4" t="str">
        <f>IFERROR(__xludf.DUMMYFUNCTION("""COMPUTED_VALUE"""),"")</f>
        <v/>
      </c>
      <c r="I3146" s="4" t="str">
        <f>IFERROR(__xludf.DUMMYFUNCTION("""COMPUTED_VALUE"""),"")</f>
        <v/>
      </c>
      <c r="J3146" s="4" t="str">
        <f>IFERROR(__xludf.DUMMYFUNCTION("""COMPUTED_VALUE"""),"")</f>
        <v/>
      </c>
      <c r="K3146" s="4" t="str">
        <f>IFERROR(__xludf.DUMMYFUNCTION("""COMPUTED_VALUE"""),"")</f>
        <v/>
      </c>
      <c r="L3146" s="4" t="str">
        <f>IFERROR(__xludf.DUMMYFUNCTION("""COMPUTED_VALUE"""),"")</f>
        <v/>
      </c>
      <c r="M3146" s="1" t="str">
        <f>IFERROR(__xludf.DUMMYFUNCTION("""COMPUTED_VALUE"""),"RFID")</f>
        <v>RFID</v>
      </c>
      <c r="N3146" s="5" t="str">
        <f>IFERROR(__xludf.DUMMYFUNCTION("""COMPUTED_VALUE"""),"")</f>
        <v/>
      </c>
      <c r="O3146" s="5" t="str">
        <f>IFERROR(__xludf.DUMMYFUNCTION("""COMPUTED_VALUE"""),"")</f>
        <v/>
      </c>
      <c r="P3146" s="5" t="str">
        <f>IFERROR(__xludf.DUMMYFUNCTION("""COMPUTED_VALUE"""),"")</f>
        <v/>
      </c>
      <c r="Q3146" s="5" t="str">
        <f>IFERROR(__xludf.DUMMYFUNCTION("""COMPUTED_VALUE"""),"")</f>
        <v/>
      </c>
      <c r="R3146" s="4" t="str">
        <f>IFERROR(__xludf.DUMMYFUNCTION("""COMPUTED_VALUE"""),"")</f>
        <v/>
      </c>
      <c r="S3146" s="1" t="b">
        <f>IFERROR(__xludf.DUMMYFUNCTION("""COMPUTED_VALUE"""),FALSE)</f>
        <v>0</v>
      </c>
      <c r="T3146" s="1" t="b">
        <f>IFERROR(__xludf.DUMMYFUNCTION("""COMPUTED_VALUE"""),FALSE)</f>
        <v>0</v>
      </c>
      <c r="U3146" s="1" t="str">
        <f>IFERROR(__xludf.DUMMYFUNCTION("""COMPUTED_VALUE"""),"")</f>
        <v/>
      </c>
      <c r="V3146" s="1" t="str">
        <f>IFERROR(__xludf.DUMMYFUNCTION("""COMPUTED_VALUE"""),"")</f>
        <v/>
      </c>
      <c r="W3146" s="1" t="str">
        <f>IFERROR(__xludf.DUMMYFUNCTION("""COMPUTED_VALUE"""),"")</f>
        <v/>
      </c>
      <c r="X3146" s="1" t="str">
        <f>IFERROR(__xludf.DUMMYFUNCTION("""COMPUTED_VALUE"""),"")</f>
        <v/>
      </c>
      <c r="Y3146" s="2"/>
      <c r="Z3146" s="2" t="str">
        <f>IFERROR(__xludf.DUMMYFUNCTION("""COMPUTED_VALUE"""),"")</f>
        <v/>
      </c>
    </row>
    <row r="3147">
      <c r="A3147" s="1" t="str">
        <f>IFERROR(__xludf.DUMMYFUNCTION("""COMPUTED_VALUE"""),"")</f>
        <v/>
      </c>
      <c r="B3147" s="1"/>
      <c r="C3147" s="2"/>
      <c r="D3147" s="2"/>
      <c r="E3147" s="1"/>
      <c r="F3147" s="1"/>
      <c r="G3147" s="4" t="str">
        <f>IFERROR(__xludf.DUMMYFUNCTION("""COMPUTED_VALUE"""),"")</f>
        <v/>
      </c>
      <c r="H3147" s="4" t="str">
        <f>IFERROR(__xludf.DUMMYFUNCTION("""COMPUTED_VALUE"""),"")</f>
        <v/>
      </c>
      <c r="I3147" s="4" t="str">
        <f>IFERROR(__xludf.DUMMYFUNCTION("""COMPUTED_VALUE"""),"")</f>
        <v/>
      </c>
      <c r="J3147" s="4" t="str">
        <f>IFERROR(__xludf.DUMMYFUNCTION("""COMPUTED_VALUE"""),"")</f>
        <v/>
      </c>
      <c r="K3147" s="4" t="str">
        <f>IFERROR(__xludf.DUMMYFUNCTION("""COMPUTED_VALUE"""),"")</f>
        <v/>
      </c>
      <c r="L3147" s="4" t="str">
        <f>IFERROR(__xludf.DUMMYFUNCTION("""COMPUTED_VALUE"""),"")</f>
        <v/>
      </c>
      <c r="M3147" s="1" t="str">
        <f>IFERROR(__xludf.DUMMYFUNCTION("""COMPUTED_VALUE"""),"RFID")</f>
        <v>RFID</v>
      </c>
      <c r="N3147" s="5" t="str">
        <f>IFERROR(__xludf.DUMMYFUNCTION("""COMPUTED_VALUE"""),"")</f>
        <v/>
      </c>
      <c r="O3147" s="5" t="str">
        <f>IFERROR(__xludf.DUMMYFUNCTION("""COMPUTED_VALUE"""),"")</f>
        <v/>
      </c>
      <c r="P3147" s="5" t="str">
        <f>IFERROR(__xludf.DUMMYFUNCTION("""COMPUTED_VALUE"""),"")</f>
        <v/>
      </c>
      <c r="Q3147" s="5" t="str">
        <f>IFERROR(__xludf.DUMMYFUNCTION("""COMPUTED_VALUE"""),"")</f>
        <v/>
      </c>
      <c r="R3147" s="4" t="str">
        <f>IFERROR(__xludf.DUMMYFUNCTION("""COMPUTED_VALUE"""),"")</f>
        <v/>
      </c>
      <c r="S3147" s="1" t="b">
        <f>IFERROR(__xludf.DUMMYFUNCTION("""COMPUTED_VALUE"""),FALSE)</f>
        <v>0</v>
      </c>
      <c r="T3147" s="1" t="b">
        <f>IFERROR(__xludf.DUMMYFUNCTION("""COMPUTED_VALUE"""),FALSE)</f>
        <v>0</v>
      </c>
      <c r="U3147" s="1" t="str">
        <f>IFERROR(__xludf.DUMMYFUNCTION("""COMPUTED_VALUE"""),"")</f>
        <v/>
      </c>
      <c r="V3147" s="1" t="str">
        <f>IFERROR(__xludf.DUMMYFUNCTION("""COMPUTED_VALUE"""),"")</f>
        <v/>
      </c>
      <c r="W3147" s="1" t="str">
        <f>IFERROR(__xludf.DUMMYFUNCTION("""COMPUTED_VALUE"""),"")</f>
        <v/>
      </c>
      <c r="X3147" s="1" t="str">
        <f>IFERROR(__xludf.DUMMYFUNCTION("""COMPUTED_VALUE"""),"")</f>
        <v/>
      </c>
      <c r="Y3147" s="2"/>
      <c r="Z3147" s="2" t="str">
        <f>IFERROR(__xludf.DUMMYFUNCTION("""COMPUTED_VALUE"""),"")</f>
        <v/>
      </c>
    </row>
    <row r="3148">
      <c r="A3148" s="1" t="str">
        <f>IFERROR(__xludf.DUMMYFUNCTION("""COMPUTED_VALUE"""),"")</f>
        <v/>
      </c>
      <c r="B3148" s="1"/>
      <c r="C3148" s="2"/>
      <c r="D3148" s="2"/>
      <c r="E3148" s="1"/>
      <c r="F3148" s="1"/>
      <c r="G3148" s="4" t="str">
        <f>IFERROR(__xludf.DUMMYFUNCTION("""COMPUTED_VALUE"""),"")</f>
        <v/>
      </c>
      <c r="H3148" s="4" t="str">
        <f>IFERROR(__xludf.DUMMYFUNCTION("""COMPUTED_VALUE"""),"")</f>
        <v/>
      </c>
      <c r="I3148" s="4" t="str">
        <f>IFERROR(__xludf.DUMMYFUNCTION("""COMPUTED_VALUE"""),"")</f>
        <v/>
      </c>
      <c r="J3148" s="4" t="str">
        <f>IFERROR(__xludf.DUMMYFUNCTION("""COMPUTED_VALUE"""),"")</f>
        <v/>
      </c>
      <c r="K3148" s="4" t="str">
        <f>IFERROR(__xludf.DUMMYFUNCTION("""COMPUTED_VALUE"""),"")</f>
        <v/>
      </c>
      <c r="L3148" s="4" t="str">
        <f>IFERROR(__xludf.DUMMYFUNCTION("""COMPUTED_VALUE"""),"")</f>
        <v/>
      </c>
      <c r="M3148" s="1" t="str">
        <f>IFERROR(__xludf.DUMMYFUNCTION("""COMPUTED_VALUE"""),"RFID")</f>
        <v>RFID</v>
      </c>
      <c r="N3148" s="5" t="str">
        <f>IFERROR(__xludf.DUMMYFUNCTION("""COMPUTED_VALUE"""),"")</f>
        <v/>
      </c>
      <c r="O3148" s="5" t="str">
        <f>IFERROR(__xludf.DUMMYFUNCTION("""COMPUTED_VALUE"""),"")</f>
        <v/>
      </c>
      <c r="P3148" s="5" t="str">
        <f>IFERROR(__xludf.DUMMYFUNCTION("""COMPUTED_VALUE"""),"")</f>
        <v/>
      </c>
      <c r="Q3148" s="5" t="str">
        <f>IFERROR(__xludf.DUMMYFUNCTION("""COMPUTED_VALUE"""),"")</f>
        <v/>
      </c>
      <c r="R3148" s="4" t="str">
        <f>IFERROR(__xludf.DUMMYFUNCTION("""COMPUTED_VALUE"""),"")</f>
        <v/>
      </c>
      <c r="S3148" s="1" t="b">
        <f>IFERROR(__xludf.DUMMYFUNCTION("""COMPUTED_VALUE"""),FALSE)</f>
        <v>0</v>
      </c>
      <c r="T3148" s="1" t="b">
        <f>IFERROR(__xludf.DUMMYFUNCTION("""COMPUTED_VALUE"""),FALSE)</f>
        <v>0</v>
      </c>
      <c r="U3148" s="1" t="str">
        <f>IFERROR(__xludf.DUMMYFUNCTION("""COMPUTED_VALUE"""),"")</f>
        <v/>
      </c>
      <c r="V3148" s="1" t="str">
        <f>IFERROR(__xludf.DUMMYFUNCTION("""COMPUTED_VALUE"""),"")</f>
        <v/>
      </c>
      <c r="W3148" s="1" t="str">
        <f>IFERROR(__xludf.DUMMYFUNCTION("""COMPUTED_VALUE"""),"")</f>
        <v/>
      </c>
      <c r="X3148" s="1" t="str">
        <f>IFERROR(__xludf.DUMMYFUNCTION("""COMPUTED_VALUE"""),"")</f>
        <v/>
      </c>
      <c r="Y3148" s="2"/>
      <c r="Z3148" s="2" t="str">
        <f>IFERROR(__xludf.DUMMYFUNCTION("""COMPUTED_VALUE"""),"")</f>
        <v/>
      </c>
    </row>
    <row r="3149">
      <c r="A3149" s="1" t="str">
        <f>IFERROR(__xludf.DUMMYFUNCTION("""COMPUTED_VALUE"""),"")</f>
        <v/>
      </c>
      <c r="B3149" s="1"/>
      <c r="C3149" s="2"/>
      <c r="D3149" s="2"/>
      <c r="E3149" s="1"/>
      <c r="F3149" s="1"/>
      <c r="G3149" s="4" t="str">
        <f>IFERROR(__xludf.DUMMYFUNCTION("""COMPUTED_VALUE"""),"")</f>
        <v/>
      </c>
      <c r="H3149" s="4" t="str">
        <f>IFERROR(__xludf.DUMMYFUNCTION("""COMPUTED_VALUE"""),"")</f>
        <v/>
      </c>
      <c r="I3149" s="4" t="str">
        <f>IFERROR(__xludf.DUMMYFUNCTION("""COMPUTED_VALUE"""),"")</f>
        <v/>
      </c>
      <c r="J3149" s="4" t="str">
        <f>IFERROR(__xludf.DUMMYFUNCTION("""COMPUTED_VALUE"""),"")</f>
        <v/>
      </c>
      <c r="K3149" s="4" t="str">
        <f>IFERROR(__xludf.DUMMYFUNCTION("""COMPUTED_VALUE"""),"")</f>
        <v/>
      </c>
      <c r="L3149" s="4" t="str">
        <f>IFERROR(__xludf.DUMMYFUNCTION("""COMPUTED_VALUE"""),"")</f>
        <v/>
      </c>
      <c r="M3149" s="1" t="str">
        <f>IFERROR(__xludf.DUMMYFUNCTION("""COMPUTED_VALUE"""),"RFID")</f>
        <v>RFID</v>
      </c>
      <c r="N3149" s="5" t="str">
        <f>IFERROR(__xludf.DUMMYFUNCTION("""COMPUTED_VALUE"""),"")</f>
        <v/>
      </c>
      <c r="O3149" s="5" t="str">
        <f>IFERROR(__xludf.DUMMYFUNCTION("""COMPUTED_VALUE"""),"")</f>
        <v/>
      </c>
      <c r="P3149" s="5" t="str">
        <f>IFERROR(__xludf.DUMMYFUNCTION("""COMPUTED_VALUE"""),"")</f>
        <v/>
      </c>
      <c r="Q3149" s="5" t="str">
        <f>IFERROR(__xludf.DUMMYFUNCTION("""COMPUTED_VALUE"""),"")</f>
        <v/>
      </c>
      <c r="R3149" s="4" t="str">
        <f>IFERROR(__xludf.DUMMYFUNCTION("""COMPUTED_VALUE"""),"")</f>
        <v/>
      </c>
      <c r="S3149" s="1" t="b">
        <f>IFERROR(__xludf.DUMMYFUNCTION("""COMPUTED_VALUE"""),FALSE)</f>
        <v>0</v>
      </c>
      <c r="T3149" s="1" t="b">
        <f>IFERROR(__xludf.DUMMYFUNCTION("""COMPUTED_VALUE"""),FALSE)</f>
        <v>0</v>
      </c>
      <c r="U3149" s="1" t="str">
        <f>IFERROR(__xludf.DUMMYFUNCTION("""COMPUTED_VALUE"""),"")</f>
        <v/>
      </c>
      <c r="V3149" s="1" t="str">
        <f>IFERROR(__xludf.DUMMYFUNCTION("""COMPUTED_VALUE"""),"")</f>
        <v/>
      </c>
      <c r="W3149" s="1" t="str">
        <f>IFERROR(__xludf.DUMMYFUNCTION("""COMPUTED_VALUE"""),"")</f>
        <v/>
      </c>
      <c r="X3149" s="1" t="str">
        <f>IFERROR(__xludf.DUMMYFUNCTION("""COMPUTED_VALUE"""),"")</f>
        <v/>
      </c>
      <c r="Y3149" s="2"/>
      <c r="Z3149" s="2" t="str">
        <f>IFERROR(__xludf.DUMMYFUNCTION("""COMPUTED_VALUE"""),"")</f>
        <v/>
      </c>
    </row>
    <row r="3150">
      <c r="A3150" s="1" t="str">
        <f>IFERROR(__xludf.DUMMYFUNCTION("""COMPUTED_VALUE"""),"")</f>
        <v/>
      </c>
      <c r="B3150" s="1"/>
      <c r="C3150" s="2"/>
      <c r="D3150" s="2"/>
      <c r="E3150" s="1"/>
      <c r="F3150" s="1"/>
      <c r="G3150" s="4" t="str">
        <f>IFERROR(__xludf.DUMMYFUNCTION("""COMPUTED_VALUE"""),"")</f>
        <v/>
      </c>
      <c r="H3150" s="4" t="str">
        <f>IFERROR(__xludf.DUMMYFUNCTION("""COMPUTED_VALUE"""),"")</f>
        <v/>
      </c>
      <c r="I3150" s="4" t="str">
        <f>IFERROR(__xludf.DUMMYFUNCTION("""COMPUTED_VALUE"""),"")</f>
        <v/>
      </c>
      <c r="J3150" s="4" t="str">
        <f>IFERROR(__xludf.DUMMYFUNCTION("""COMPUTED_VALUE"""),"")</f>
        <v/>
      </c>
      <c r="K3150" s="4" t="str">
        <f>IFERROR(__xludf.DUMMYFUNCTION("""COMPUTED_VALUE"""),"")</f>
        <v/>
      </c>
      <c r="L3150" s="4" t="str">
        <f>IFERROR(__xludf.DUMMYFUNCTION("""COMPUTED_VALUE"""),"")</f>
        <v/>
      </c>
      <c r="M3150" s="1" t="str">
        <f>IFERROR(__xludf.DUMMYFUNCTION("""COMPUTED_VALUE"""),"RFID")</f>
        <v>RFID</v>
      </c>
      <c r="N3150" s="5" t="str">
        <f>IFERROR(__xludf.DUMMYFUNCTION("""COMPUTED_VALUE"""),"")</f>
        <v/>
      </c>
      <c r="O3150" s="5" t="str">
        <f>IFERROR(__xludf.DUMMYFUNCTION("""COMPUTED_VALUE"""),"")</f>
        <v/>
      </c>
      <c r="P3150" s="5" t="str">
        <f>IFERROR(__xludf.DUMMYFUNCTION("""COMPUTED_VALUE"""),"")</f>
        <v/>
      </c>
      <c r="Q3150" s="5" t="str">
        <f>IFERROR(__xludf.DUMMYFUNCTION("""COMPUTED_VALUE"""),"")</f>
        <v/>
      </c>
      <c r="R3150" s="4" t="str">
        <f>IFERROR(__xludf.DUMMYFUNCTION("""COMPUTED_VALUE"""),"")</f>
        <v/>
      </c>
      <c r="S3150" s="1" t="b">
        <f>IFERROR(__xludf.DUMMYFUNCTION("""COMPUTED_VALUE"""),FALSE)</f>
        <v>0</v>
      </c>
      <c r="T3150" s="1" t="b">
        <f>IFERROR(__xludf.DUMMYFUNCTION("""COMPUTED_VALUE"""),FALSE)</f>
        <v>0</v>
      </c>
      <c r="U3150" s="1" t="str">
        <f>IFERROR(__xludf.DUMMYFUNCTION("""COMPUTED_VALUE"""),"")</f>
        <v/>
      </c>
      <c r="V3150" s="1" t="str">
        <f>IFERROR(__xludf.DUMMYFUNCTION("""COMPUTED_VALUE"""),"")</f>
        <v/>
      </c>
      <c r="W3150" s="1" t="str">
        <f>IFERROR(__xludf.DUMMYFUNCTION("""COMPUTED_VALUE"""),"")</f>
        <v/>
      </c>
      <c r="X3150" s="1" t="str">
        <f>IFERROR(__xludf.DUMMYFUNCTION("""COMPUTED_VALUE"""),"")</f>
        <v/>
      </c>
      <c r="Y3150" s="2"/>
      <c r="Z3150" s="2" t="str">
        <f>IFERROR(__xludf.DUMMYFUNCTION("""COMPUTED_VALUE"""),"")</f>
        <v/>
      </c>
    </row>
    <row r="3151">
      <c r="A3151" s="1" t="str">
        <f>IFERROR(__xludf.DUMMYFUNCTION("""COMPUTED_VALUE"""),"")</f>
        <v/>
      </c>
      <c r="B3151" s="1"/>
      <c r="C3151" s="2"/>
      <c r="D3151" s="2"/>
      <c r="E3151" s="1"/>
      <c r="F3151" s="1"/>
      <c r="G3151" s="4" t="str">
        <f>IFERROR(__xludf.DUMMYFUNCTION("""COMPUTED_VALUE"""),"")</f>
        <v/>
      </c>
      <c r="H3151" s="4" t="str">
        <f>IFERROR(__xludf.DUMMYFUNCTION("""COMPUTED_VALUE"""),"")</f>
        <v/>
      </c>
      <c r="I3151" s="4" t="str">
        <f>IFERROR(__xludf.DUMMYFUNCTION("""COMPUTED_VALUE"""),"")</f>
        <v/>
      </c>
      <c r="J3151" s="4" t="str">
        <f>IFERROR(__xludf.DUMMYFUNCTION("""COMPUTED_VALUE"""),"")</f>
        <v/>
      </c>
      <c r="K3151" s="4" t="str">
        <f>IFERROR(__xludf.DUMMYFUNCTION("""COMPUTED_VALUE"""),"")</f>
        <v/>
      </c>
      <c r="L3151" s="4" t="str">
        <f>IFERROR(__xludf.DUMMYFUNCTION("""COMPUTED_VALUE"""),"")</f>
        <v/>
      </c>
      <c r="M3151" s="1" t="str">
        <f>IFERROR(__xludf.DUMMYFUNCTION("""COMPUTED_VALUE"""),"RFID")</f>
        <v>RFID</v>
      </c>
      <c r="N3151" s="5" t="str">
        <f>IFERROR(__xludf.DUMMYFUNCTION("""COMPUTED_VALUE"""),"")</f>
        <v/>
      </c>
      <c r="O3151" s="5" t="str">
        <f>IFERROR(__xludf.DUMMYFUNCTION("""COMPUTED_VALUE"""),"")</f>
        <v/>
      </c>
      <c r="P3151" s="5" t="str">
        <f>IFERROR(__xludf.DUMMYFUNCTION("""COMPUTED_VALUE"""),"")</f>
        <v/>
      </c>
      <c r="Q3151" s="5" t="str">
        <f>IFERROR(__xludf.DUMMYFUNCTION("""COMPUTED_VALUE"""),"")</f>
        <v/>
      </c>
      <c r="R3151" s="4" t="str">
        <f>IFERROR(__xludf.DUMMYFUNCTION("""COMPUTED_VALUE"""),"")</f>
        <v/>
      </c>
      <c r="S3151" s="1" t="b">
        <f>IFERROR(__xludf.DUMMYFUNCTION("""COMPUTED_VALUE"""),FALSE)</f>
        <v>0</v>
      </c>
      <c r="T3151" s="1" t="b">
        <f>IFERROR(__xludf.DUMMYFUNCTION("""COMPUTED_VALUE"""),FALSE)</f>
        <v>0</v>
      </c>
      <c r="U3151" s="1" t="str">
        <f>IFERROR(__xludf.DUMMYFUNCTION("""COMPUTED_VALUE"""),"")</f>
        <v/>
      </c>
      <c r="V3151" s="1" t="str">
        <f>IFERROR(__xludf.DUMMYFUNCTION("""COMPUTED_VALUE"""),"")</f>
        <v/>
      </c>
      <c r="W3151" s="1" t="str">
        <f>IFERROR(__xludf.DUMMYFUNCTION("""COMPUTED_VALUE"""),"")</f>
        <v/>
      </c>
      <c r="X3151" s="1" t="str">
        <f>IFERROR(__xludf.DUMMYFUNCTION("""COMPUTED_VALUE"""),"")</f>
        <v/>
      </c>
      <c r="Y3151" s="2"/>
      <c r="Z3151" s="2" t="str">
        <f>IFERROR(__xludf.DUMMYFUNCTION("""COMPUTED_VALUE"""),"")</f>
        <v/>
      </c>
    </row>
    <row r="3152">
      <c r="A3152" s="1" t="str">
        <f>IFERROR(__xludf.DUMMYFUNCTION("""COMPUTED_VALUE"""),"")</f>
        <v/>
      </c>
      <c r="B3152" s="1"/>
      <c r="C3152" s="2"/>
      <c r="D3152" s="2"/>
      <c r="E3152" s="1"/>
      <c r="F3152" s="1"/>
      <c r="G3152" s="4" t="str">
        <f>IFERROR(__xludf.DUMMYFUNCTION("""COMPUTED_VALUE"""),"")</f>
        <v/>
      </c>
      <c r="H3152" s="4" t="str">
        <f>IFERROR(__xludf.DUMMYFUNCTION("""COMPUTED_VALUE"""),"")</f>
        <v/>
      </c>
      <c r="I3152" s="4" t="str">
        <f>IFERROR(__xludf.DUMMYFUNCTION("""COMPUTED_VALUE"""),"")</f>
        <v/>
      </c>
      <c r="J3152" s="4" t="str">
        <f>IFERROR(__xludf.DUMMYFUNCTION("""COMPUTED_VALUE"""),"")</f>
        <v/>
      </c>
      <c r="K3152" s="4" t="str">
        <f>IFERROR(__xludf.DUMMYFUNCTION("""COMPUTED_VALUE"""),"")</f>
        <v/>
      </c>
      <c r="L3152" s="4" t="str">
        <f>IFERROR(__xludf.DUMMYFUNCTION("""COMPUTED_VALUE"""),"")</f>
        <v/>
      </c>
      <c r="M3152" s="1" t="str">
        <f>IFERROR(__xludf.DUMMYFUNCTION("""COMPUTED_VALUE"""),"RFID")</f>
        <v>RFID</v>
      </c>
      <c r="N3152" s="5" t="str">
        <f>IFERROR(__xludf.DUMMYFUNCTION("""COMPUTED_VALUE"""),"")</f>
        <v/>
      </c>
      <c r="O3152" s="5" t="str">
        <f>IFERROR(__xludf.DUMMYFUNCTION("""COMPUTED_VALUE"""),"")</f>
        <v/>
      </c>
      <c r="P3152" s="5" t="str">
        <f>IFERROR(__xludf.DUMMYFUNCTION("""COMPUTED_VALUE"""),"")</f>
        <v/>
      </c>
      <c r="Q3152" s="5" t="str">
        <f>IFERROR(__xludf.DUMMYFUNCTION("""COMPUTED_VALUE"""),"")</f>
        <v/>
      </c>
      <c r="R3152" s="4" t="str">
        <f>IFERROR(__xludf.DUMMYFUNCTION("""COMPUTED_VALUE"""),"")</f>
        <v/>
      </c>
      <c r="S3152" s="1" t="b">
        <f>IFERROR(__xludf.DUMMYFUNCTION("""COMPUTED_VALUE"""),FALSE)</f>
        <v>0</v>
      </c>
      <c r="T3152" s="1" t="b">
        <f>IFERROR(__xludf.DUMMYFUNCTION("""COMPUTED_VALUE"""),FALSE)</f>
        <v>0</v>
      </c>
      <c r="U3152" s="1" t="str">
        <f>IFERROR(__xludf.DUMMYFUNCTION("""COMPUTED_VALUE"""),"")</f>
        <v/>
      </c>
      <c r="V3152" s="1" t="str">
        <f>IFERROR(__xludf.DUMMYFUNCTION("""COMPUTED_VALUE"""),"")</f>
        <v/>
      </c>
      <c r="W3152" s="1" t="str">
        <f>IFERROR(__xludf.DUMMYFUNCTION("""COMPUTED_VALUE"""),"")</f>
        <v/>
      </c>
      <c r="X3152" s="1" t="str">
        <f>IFERROR(__xludf.DUMMYFUNCTION("""COMPUTED_VALUE"""),"")</f>
        <v/>
      </c>
      <c r="Y3152" s="2"/>
      <c r="Z3152" s="2" t="str">
        <f>IFERROR(__xludf.DUMMYFUNCTION("""COMPUTED_VALUE"""),"")</f>
        <v/>
      </c>
    </row>
    <row r="3153">
      <c r="A3153" s="1" t="str">
        <f>IFERROR(__xludf.DUMMYFUNCTION("""COMPUTED_VALUE"""),"")</f>
        <v/>
      </c>
      <c r="B3153" s="1"/>
      <c r="C3153" s="2"/>
      <c r="D3153" s="2"/>
      <c r="E3153" s="1"/>
      <c r="F3153" s="1"/>
      <c r="G3153" s="4" t="str">
        <f>IFERROR(__xludf.DUMMYFUNCTION("""COMPUTED_VALUE"""),"")</f>
        <v/>
      </c>
      <c r="H3153" s="4" t="str">
        <f>IFERROR(__xludf.DUMMYFUNCTION("""COMPUTED_VALUE"""),"")</f>
        <v/>
      </c>
      <c r="I3153" s="4" t="str">
        <f>IFERROR(__xludf.DUMMYFUNCTION("""COMPUTED_VALUE"""),"")</f>
        <v/>
      </c>
      <c r="J3153" s="4" t="str">
        <f>IFERROR(__xludf.DUMMYFUNCTION("""COMPUTED_VALUE"""),"")</f>
        <v/>
      </c>
      <c r="K3153" s="4" t="str">
        <f>IFERROR(__xludf.DUMMYFUNCTION("""COMPUTED_VALUE"""),"")</f>
        <v/>
      </c>
      <c r="L3153" s="4" t="str">
        <f>IFERROR(__xludf.DUMMYFUNCTION("""COMPUTED_VALUE"""),"")</f>
        <v/>
      </c>
      <c r="M3153" s="1" t="str">
        <f>IFERROR(__xludf.DUMMYFUNCTION("""COMPUTED_VALUE"""),"RFID")</f>
        <v>RFID</v>
      </c>
      <c r="N3153" s="5" t="str">
        <f>IFERROR(__xludf.DUMMYFUNCTION("""COMPUTED_VALUE"""),"")</f>
        <v/>
      </c>
      <c r="O3153" s="5" t="str">
        <f>IFERROR(__xludf.DUMMYFUNCTION("""COMPUTED_VALUE"""),"")</f>
        <v/>
      </c>
      <c r="P3153" s="5" t="str">
        <f>IFERROR(__xludf.DUMMYFUNCTION("""COMPUTED_VALUE"""),"")</f>
        <v/>
      </c>
      <c r="Q3153" s="5" t="str">
        <f>IFERROR(__xludf.DUMMYFUNCTION("""COMPUTED_VALUE"""),"")</f>
        <v/>
      </c>
      <c r="R3153" s="4" t="str">
        <f>IFERROR(__xludf.DUMMYFUNCTION("""COMPUTED_VALUE"""),"")</f>
        <v/>
      </c>
      <c r="S3153" s="1" t="b">
        <f>IFERROR(__xludf.DUMMYFUNCTION("""COMPUTED_VALUE"""),FALSE)</f>
        <v>0</v>
      </c>
      <c r="T3153" s="1" t="b">
        <f>IFERROR(__xludf.DUMMYFUNCTION("""COMPUTED_VALUE"""),FALSE)</f>
        <v>0</v>
      </c>
      <c r="U3153" s="1" t="str">
        <f>IFERROR(__xludf.DUMMYFUNCTION("""COMPUTED_VALUE"""),"")</f>
        <v/>
      </c>
      <c r="V3153" s="1" t="str">
        <f>IFERROR(__xludf.DUMMYFUNCTION("""COMPUTED_VALUE"""),"")</f>
        <v/>
      </c>
      <c r="W3153" s="1" t="str">
        <f>IFERROR(__xludf.DUMMYFUNCTION("""COMPUTED_VALUE"""),"")</f>
        <v/>
      </c>
      <c r="X3153" s="1" t="str">
        <f>IFERROR(__xludf.DUMMYFUNCTION("""COMPUTED_VALUE"""),"")</f>
        <v/>
      </c>
      <c r="Y3153" s="2"/>
      <c r="Z3153" s="2" t="str">
        <f>IFERROR(__xludf.DUMMYFUNCTION("""COMPUTED_VALUE"""),"")</f>
        <v/>
      </c>
    </row>
    <row r="3154">
      <c r="A3154" s="1" t="str">
        <f>IFERROR(__xludf.DUMMYFUNCTION("""COMPUTED_VALUE"""),"")</f>
        <v/>
      </c>
      <c r="B3154" s="1"/>
      <c r="C3154" s="2"/>
      <c r="D3154" s="2"/>
      <c r="E3154" s="1"/>
      <c r="F3154" s="1"/>
      <c r="G3154" s="4" t="str">
        <f>IFERROR(__xludf.DUMMYFUNCTION("""COMPUTED_VALUE"""),"")</f>
        <v/>
      </c>
      <c r="H3154" s="4" t="str">
        <f>IFERROR(__xludf.DUMMYFUNCTION("""COMPUTED_VALUE"""),"")</f>
        <v/>
      </c>
      <c r="I3154" s="4" t="str">
        <f>IFERROR(__xludf.DUMMYFUNCTION("""COMPUTED_VALUE"""),"")</f>
        <v/>
      </c>
      <c r="J3154" s="4" t="str">
        <f>IFERROR(__xludf.DUMMYFUNCTION("""COMPUTED_VALUE"""),"")</f>
        <v/>
      </c>
      <c r="K3154" s="4" t="str">
        <f>IFERROR(__xludf.DUMMYFUNCTION("""COMPUTED_VALUE"""),"")</f>
        <v/>
      </c>
      <c r="L3154" s="4" t="str">
        <f>IFERROR(__xludf.DUMMYFUNCTION("""COMPUTED_VALUE"""),"")</f>
        <v/>
      </c>
      <c r="M3154" s="1" t="str">
        <f>IFERROR(__xludf.DUMMYFUNCTION("""COMPUTED_VALUE"""),"RFID")</f>
        <v>RFID</v>
      </c>
      <c r="N3154" s="5" t="str">
        <f>IFERROR(__xludf.DUMMYFUNCTION("""COMPUTED_VALUE"""),"")</f>
        <v/>
      </c>
      <c r="O3154" s="5" t="str">
        <f>IFERROR(__xludf.DUMMYFUNCTION("""COMPUTED_VALUE"""),"")</f>
        <v/>
      </c>
      <c r="P3154" s="5" t="str">
        <f>IFERROR(__xludf.DUMMYFUNCTION("""COMPUTED_VALUE"""),"")</f>
        <v/>
      </c>
      <c r="Q3154" s="5" t="str">
        <f>IFERROR(__xludf.DUMMYFUNCTION("""COMPUTED_VALUE"""),"")</f>
        <v/>
      </c>
      <c r="R3154" s="4" t="str">
        <f>IFERROR(__xludf.DUMMYFUNCTION("""COMPUTED_VALUE"""),"")</f>
        <v/>
      </c>
      <c r="S3154" s="1" t="b">
        <f>IFERROR(__xludf.DUMMYFUNCTION("""COMPUTED_VALUE"""),FALSE)</f>
        <v>0</v>
      </c>
      <c r="T3154" s="1" t="b">
        <f>IFERROR(__xludf.DUMMYFUNCTION("""COMPUTED_VALUE"""),FALSE)</f>
        <v>0</v>
      </c>
      <c r="U3154" s="1" t="str">
        <f>IFERROR(__xludf.DUMMYFUNCTION("""COMPUTED_VALUE"""),"")</f>
        <v/>
      </c>
      <c r="V3154" s="1" t="str">
        <f>IFERROR(__xludf.DUMMYFUNCTION("""COMPUTED_VALUE"""),"")</f>
        <v/>
      </c>
      <c r="W3154" s="1" t="str">
        <f>IFERROR(__xludf.DUMMYFUNCTION("""COMPUTED_VALUE"""),"")</f>
        <v/>
      </c>
      <c r="X3154" s="1" t="str">
        <f>IFERROR(__xludf.DUMMYFUNCTION("""COMPUTED_VALUE"""),"")</f>
        <v/>
      </c>
      <c r="Y3154" s="2"/>
      <c r="Z3154" s="2" t="str">
        <f>IFERROR(__xludf.DUMMYFUNCTION("""COMPUTED_VALUE"""),"")</f>
        <v/>
      </c>
    </row>
    <row r="3155">
      <c r="A3155" s="1" t="str">
        <f>IFERROR(__xludf.DUMMYFUNCTION("""COMPUTED_VALUE"""),"")</f>
        <v/>
      </c>
      <c r="B3155" s="1"/>
      <c r="C3155" s="2"/>
      <c r="D3155" s="2"/>
      <c r="E3155" s="1"/>
      <c r="F3155" s="1"/>
      <c r="G3155" s="4" t="str">
        <f>IFERROR(__xludf.DUMMYFUNCTION("""COMPUTED_VALUE"""),"")</f>
        <v/>
      </c>
      <c r="H3155" s="4" t="str">
        <f>IFERROR(__xludf.DUMMYFUNCTION("""COMPUTED_VALUE"""),"")</f>
        <v/>
      </c>
      <c r="I3155" s="4" t="str">
        <f>IFERROR(__xludf.DUMMYFUNCTION("""COMPUTED_VALUE"""),"")</f>
        <v/>
      </c>
      <c r="J3155" s="4" t="str">
        <f>IFERROR(__xludf.DUMMYFUNCTION("""COMPUTED_VALUE"""),"")</f>
        <v/>
      </c>
      <c r="K3155" s="4" t="str">
        <f>IFERROR(__xludf.DUMMYFUNCTION("""COMPUTED_VALUE"""),"")</f>
        <v/>
      </c>
      <c r="L3155" s="4" t="str">
        <f>IFERROR(__xludf.DUMMYFUNCTION("""COMPUTED_VALUE"""),"")</f>
        <v/>
      </c>
      <c r="M3155" s="1" t="str">
        <f>IFERROR(__xludf.DUMMYFUNCTION("""COMPUTED_VALUE"""),"RFID")</f>
        <v>RFID</v>
      </c>
      <c r="N3155" s="5" t="str">
        <f>IFERROR(__xludf.DUMMYFUNCTION("""COMPUTED_VALUE"""),"")</f>
        <v/>
      </c>
      <c r="O3155" s="5" t="str">
        <f>IFERROR(__xludf.DUMMYFUNCTION("""COMPUTED_VALUE"""),"")</f>
        <v/>
      </c>
      <c r="P3155" s="5" t="str">
        <f>IFERROR(__xludf.DUMMYFUNCTION("""COMPUTED_VALUE"""),"")</f>
        <v/>
      </c>
      <c r="Q3155" s="5" t="str">
        <f>IFERROR(__xludf.DUMMYFUNCTION("""COMPUTED_VALUE"""),"")</f>
        <v/>
      </c>
      <c r="R3155" s="4" t="str">
        <f>IFERROR(__xludf.DUMMYFUNCTION("""COMPUTED_VALUE"""),"")</f>
        <v/>
      </c>
      <c r="S3155" s="1" t="b">
        <f>IFERROR(__xludf.DUMMYFUNCTION("""COMPUTED_VALUE"""),FALSE)</f>
        <v>0</v>
      </c>
      <c r="T3155" s="1" t="b">
        <f>IFERROR(__xludf.DUMMYFUNCTION("""COMPUTED_VALUE"""),FALSE)</f>
        <v>0</v>
      </c>
      <c r="U3155" s="1" t="str">
        <f>IFERROR(__xludf.DUMMYFUNCTION("""COMPUTED_VALUE"""),"")</f>
        <v/>
      </c>
      <c r="V3155" s="1" t="str">
        <f>IFERROR(__xludf.DUMMYFUNCTION("""COMPUTED_VALUE"""),"")</f>
        <v/>
      </c>
      <c r="W3155" s="1" t="str">
        <f>IFERROR(__xludf.DUMMYFUNCTION("""COMPUTED_VALUE"""),"")</f>
        <v/>
      </c>
      <c r="X3155" s="1" t="str">
        <f>IFERROR(__xludf.DUMMYFUNCTION("""COMPUTED_VALUE"""),"")</f>
        <v/>
      </c>
      <c r="Y3155" s="2"/>
      <c r="Z3155" s="2" t="str">
        <f>IFERROR(__xludf.DUMMYFUNCTION("""COMPUTED_VALUE"""),"")</f>
        <v/>
      </c>
    </row>
    <row r="3156">
      <c r="A3156" s="1" t="str">
        <f>IFERROR(__xludf.DUMMYFUNCTION("""COMPUTED_VALUE"""),"")</f>
        <v/>
      </c>
      <c r="B3156" s="1"/>
      <c r="C3156" s="2"/>
      <c r="D3156" s="2"/>
      <c r="E3156" s="1"/>
      <c r="F3156" s="1"/>
      <c r="G3156" s="4" t="str">
        <f>IFERROR(__xludf.DUMMYFUNCTION("""COMPUTED_VALUE"""),"")</f>
        <v/>
      </c>
      <c r="H3156" s="4" t="str">
        <f>IFERROR(__xludf.DUMMYFUNCTION("""COMPUTED_VALUE"""),"")</f>
        <v/>
      </c>
      <c r="I3156" s="4" t="str">
        <f>IFERROR(__xludf.DUMMYFUNCTION("""COMPUTED_VALUE"""),"")</f>
        <v/>
      </c>
      <c r="J3156" s="4" t="str">
        <f>IFERROR(__xludf.DUMMYFUNCTION("""COMPUTED_VALUE"""),"")</f>
        <v/>
      </c>
      <c r="K3156" s="4" t="str">
        <f>IFERROR(__xludf.DUMMYFUNCTION("""COMPUTED_VALUE"""),"")</f>
        <v/>
      </c>
      <c r="L3156" s="4" t="str">
        <f>IFERROR(__xludf.DUMMYFUNCTION("""COMPUTED_VALUE"""),"")</f>
        <v/>
      </c>
      <c r="M3156" s="1" t="str">
        <f>IFERROR(__xludf.DUMMYFUNCTION("""COMPUTED_VALUE"""),"RFID")</f>
        <v>RFID</v>
      </c>
      <c r="N3156" s="5" t="str">
        <f>IFERROR(__xludf.DUMMYFUNCTION("""COMPUTED_VALUE"""),"")</f>
        <v/>
      </c>
      <c r="O3156" s="5" t="str">
        <f>IFERROR(__xludf.DUMMYFUNCTION("""COMPUTED_VALUE"""),"")</f>
        <v/>
      </c>
      <c r="P3156" s="5" t="str">
        <f>IFERROR(__xludf.DUMMYFUNCTION("""COMPUTED_VALUE"""),"")</f>
        <v/>
      </c>
      <c r="Q3156" s="5" t="str">
        <f>IFERROR(__xludf.DUMMYFUNCTION("""COMPUTED_VALUE"""),"")</f>
        <v/>
      </c>
      <c r="R3156" s="4" t="str">
        <f>IFERROR(__xludf.DUMMYFUNCTION("""COMPUTED_VALUE"""),"")</f>
        <v/>
      </c>
      <c r="S3156" s="1" t="b">
        <f>IFERROR(__xludf.DUMMYFUNCTION("""COMPUTED_VALUE"""),FALSE)</f>
        <v>0</v>
      </c>
      <c r="T3156" s="1" t="b">
        <f>IFERROR(__xludf.DUMMYFUNCTION("""COMPUTED_VALUE"""),FALSE)</f>
        <v>0</v>
      </c>
      <c r="U3156" s="1" t="str">
        <f>IFERROR(__xludf.DUMMYFUNCTION("""COMPUTED_VALUE"""),"")</f>
        <v/>
      </c>
      <c r="V3156" s="1" t="str">
        <f>IFERROR(__xludf.DUMMYFUNCTION("""COMPUTED_VALUE"""),"")</f>
        <v/>
      </c>
      <c r="W3156" s="1" t="str">
        <f>IFERROR(__xludf.DUMMYFUNCTION("""COMPUTED_VALUE"""),"")</f>
        <v/>
      </c>
      <c r="X3156" s="1" t="str">
        <f>IFERROR(__xludf.DUMMYFUNCTION("""COMPUTED_VALUE"""),"")</f>
        <v/>
      </c>
      <c r="Y3156" s="2"/>
      <c r="Z3156" s="2" t="str">
        <f>IFERROR(__xludf.DUMMYFUNCTION("""COMPUTED_VALUE"""),"")</f>
        <v/>
      </c>
    </row>
    <row r="3157">
      <c r="A3157" s="1" t="str">
        <f>IFERROR(__xludf.DUMMYFUNCTION("""COMPUTED_VALUE"""),"")</f>
        <v/>
      </c>
      <c r="B3157" s="1"/>
      <c r="C3157" s="2"/>
      <c r="D3157" s="2"/>
      <c r="E3157" s="1"/>
      <c r="F3157" s="1"/>
      <c r="G3157" s="4" t="str">
        <f>IFERROR(__xludf.DUMMYFUNCTION("""COMPUTED_VALUE"""),"")</f>
        <v/>
      </c>
      <c r="H3157" s="4" t="str">
        <f>IFERROR(__xludf.DUMMYFUNCTION("""COMPUTED_VALUE"""),"")</f>
        <v/>
      </c>
      <c r="I3157" s="4" t="str">
        <f>IFERROR(__xludf.DUMMYFUNCTION("""COMPUTED_VALUE"""),"")</f>
        <v/>
      </c>
      <c r="J3157" s="4" t="str">
        <f>IFERROR(__xludf.DUMMYFUNCTION("""COMPUTED_VALUE"""),"")</f>
        <v/>
      </c>
      <c r="K3157" s="4" t="str">
        <f>IFERROR(__xludf.DUMMYFUNCTION("""COMPUTED_VALUE"""),"")</f>
        <v/>
      </c>
      <c r="L3157" s="4" t="str">
        <f>IFERROR(__xludf.DUMMYFUNCTION("""COMPUTED_VALUE"""),"")</f>
        <v/>
      </c>
      <c r="M3157" s="1" t="str">
        <f>IFERROR(__xludf.DUMMYFUNCTION("""COMPUTED_VALUE"""),"RFID")</f>
        <v>RFID</v>
      </c>
      <c r="N3157" s="5" t="str">
        <f>IFERROR(__xludf.DUMMYFUNCTION("""COMPUTED_VALUE"""),"")</f>
        <v/>
      </c>
      <c r="O3157" s="5" t="str">
        <f>IFERROR(__xludf.DUMMYFUNCTION("""COMPUTED_VALUE"""),"")</f>
        <v/>
      </c>
      <c r="P3157" s="5" t="str">
        <f>IFERROR(__xludf.DUMMYFUNCTION("""COMPUTED_VALUE"""),"")</f>
        <v/>
      </c>
      <c r="Q3157" s="5" t="str">
        <f>IFERROR(__xludf.DUMMYFUNCTION("""COMPUTED_VALUE"""),"")</f>
        <v/>
      </c>
      <c r="R3157" s="4" t="str">
        <f>IFERROR(__xludf.DUMMYFUNCTION("""COMPUTED_VALUE"""),"")</f>
        <v/>
      </c>
      <c r="S3157" s="1" t="b">
        <f>IFERROR(__xludf.DUMMYFUNCTION("""COMPUTED_VALUE"""),FALSE)</f>
        <v>0</v>
      </c>
      <c r="T3157" s="1" t="b">
        <f>IFERROR(__xludf.DUMMYFUNCTION("""COMPUTED_VALUE"""),FALSE)</f>
        <v>0</v>
      </c>
      <c r="U3157" s="1" t="str">
        <f>IFERROR(__xludf.DUMMYFUNCTION("""COMPUTED_VALUE"""),"")</f>
        <v/>
      </c>
      <c r="V3157" s="1" t="str">
        <f>IFERROR(__xludf.DUMMYFUNCTION("""COMPUTED_VALUE"""),"")</f>
        <v/>
      </c>
      <c r="W3157" s="1" t="str">
        <f>IFERROR(__xludf.DUMMYFUNCTION("""COMPUTED_VALUE"""),"")</f>
        <v/>
      </c>
      <c r="X3157" s="1" t="str">
        <f>IFERROR(__xludf.DUMMYFUNCTION("""COMPUTED_VALUE"""),"")</f>
        <v/>
      </c>
      <c r="Y3157" s="2"/>
      <c r="Z3157" s="2" t="str">
        <f>IFERROR(__xludf.DUMMYFUNCTION("""COMPUTED_VALUE"""),"")</f>
        <v/>
      </c>
    </row>
    <row r="3158">
      <c r="A3158" s="1" t="str">
        <f>IFERROR(__xludf.DUMMYFUNCTION("""COMPUTED_VALUE"""),"")</f>
        <v/>
      </c>
      <c r="B3158" s="1"/>
      <c r="C3158" s="2"/>
      <c r="D3158" s="2"/>
      <c r="E3158" s="1"/>
      <c r="F3158" s="1"/>
      <c r="G3158" s="4" t="str">
        <f>IFERROR(__xludf.DUMMYFUNCTION("""COMPUTED_VALUE"""),"")</f>
        <v/>
      </c>
      <c r="H3158" s="4" t="str">
        <f>IFERROR(__xludf.DUMMYFUNCTION("""COMPUTED_VALUE"""),"")</f>
        <v/>
      </c>
      <c r="I3158" s="4" t="str">
        <f>IFERROR(__xludf.DUMMYFUNCTION("""COMPUTED_VALUE"""),"")</f>
        <v/>
      </c>
      <c r="J3158" s="4" t="str">
        <f>IFERROR(__xludf.DUMMYFUNCTION("""COMPUTED_VALUE"""),"")</f>
        <v/>
      </c>
      <c r="K3158" s="4" t="str">
        <f>IFERROR(__xludf.DUMMYFUNCTION("""COMPUTED_VALUE"""),"")</f>
        <v/>
      </c>
      <c r="L3158" s="4" t="str">
        <f>IFERROR(__xludf.DUMMYFUNCTION("""COMPUTED_VALUE"""),"")</f>
        <v/>
      </c>
      <c r="M3158" s="1" t="str">
        <f>IFERROR(__xludf.DUMMYFUNCTION("""COMPUTED_VALUE"""),"RFID")</f>
        <v>RFID</v>
      </c>
      <c r="N3158" s="5" t="str">
        <f>IFERROR(__xludf.DUMMYFUNCTION("""COMPUTED_VALUE"""),"")</f>
        <v/>
      </c>
      <c r="O3158" s="5" t="str">
        <f>IFERROR(__xludf.DUMMYFUNCTION("""COMPUTED_VALUE"""),"")</f>
        <v/>
      </c>
      <c r="P3158" s="5" t="str">
        <f>IFERROR(__xludf.DUMMYFUNCTION("""COMPUTED_VALUE"""),"")</f>
        <v/>
      </c>
      <c r="Q3158" s="5" t="str">
        <f>IFERROR(__xludf.DUMMYFUNCTION("""COMPUTED_VALUE"""),"")</f>
        <v/>
      </c>
      <c r="R3158" s="4" t="str">
        <f>IFERROR(__xludf.DUMMYFUNCTION("""COMPUTED_VALUE"""),"")</f>
        <v/>
      </c>
      <c r="S3158" s="1" t="b">
        <f>IFERROR(__xludf.DUMMYFUNCTION("""COMPUTED_VALUE"""),FALSE)</f>
        <v>0</v>
      </c>
      <c r="T3158" s="1" t="b">
        <f>IFERROR(__xludf.DUMMYFUNCTION("""COMPUTED_VALUE"""),FALSE)</f>
        <v>0</v>
      </c>
      <c r="U3158" s="1" t="str">
        <f>IFERROR(__xludf.DUMMYFUNCTION("""COMPUTED_VALUE"""),"")</f>
        <v/>
      </c>
      <c r="V3158" s="1" t="str">
        <f>IFERROR(__xludf.DUMMYFUNCTION("""COMPUTED_VALUE"""),"")</f>
        <v/>
      </c>
      <c r="W3158" s="1" t="str">
        <f>IFERROR(__xludf.DUMMYFUNCTION("""COMPUTED_VALUE"""),"")</f>
        <v/>
      </c>
      <c r="X3158" s="1" t="str">
        <f>IFERROR(__xludf.DUMMYFUNCTION("""COMPUTED_VALUE"""),"")</f>
        <v/>
      </c>
      <c r="Y3158" s="2"/>
      <c r="Z3158" s="2" t="str">
        <f>IFERROR(__xludf.DUMMYFUNCTION("""COMPUTED_VALUE"""),"")</f>
        <v/>
      </c>
    </row>
    <row r="3159">
      <c r="A3159" s="1" t="str">
        <f>IFERROR(__xludf.DUMMYFUNCTION("""COMPUTED_VALUE"""),"")</f>
        <v/>
      </c>
      <c r="B3159" s="1"/>
      <c r="C3159" s="2"/>
      <c r="D3159" s="2"/>
      <c r="E3159" s="1"/>
      <c r="F3159" s="1"/>
      <c r="G3159" s="4" t="str">
        <f>IFERROR(__xludf.DUMMYFUNCTION("""COMPUTED_VALUE"""),"")</f>
        <v/>
      </c>
      <c r="H3159" s="4" t="str">
        <f>IFERROR(__xludf.DUMMYFUNCTION("""COMPUTED_VALUE"""),"")</f>
        <v/>
      </c>
      <c r="I3159" s="4" t="str">
        <f>IFERROR(__xludf.DUMMYFUNCTION("""COMPUTED_VALUE"""),"")</f>
        <v/>
      </c>
      <c r="J3159" s="4" t="str">
        <f>IFERROR(__xludf.DUMMYFUNCTION("""COMPUTED_VALUE"""),"")</f>
        <v/>
      </c>
      <c r="K3159" s="4" t="str">
        <f>IFERROR(__xludf.DUMMYFUNCTION("""COMPUTED_VALUE"""),"")</f>
        <v/>
      </c>
      <c r="L3159" s="4" t="str">
        <f>IFERROR(__xludf.DUMMYFUNCTION("""COMPUTED_VALUE"""),"")</f>
        <v/>
      </c>
      <c r="M3159" s="1" t="str">
        <f>IFERROR(__xludf.DUMMYFUNCTION("""COMPUTED_VALUE"""),"RFID")</f>
        <v>RFID</v>
      </c>
      <c r="N3159" s="5" t="str">
        <f>IFERROR(__xludf.DUMMYFUNCTION("""COMPUTED_VALUE"""),"")</f>
        <v/>
      </c>
      <c r="O3159" s="5" t="str">
        <f>IFERROR(__xludf.DUMMYFUNCTION("""COMPUTED_VALUE"""),"")</f>
        <v/>
      </c>
      <c r="P3159" s="5" t="str">
        <f>IFERROR(__xludf.DUMMYFUNCTION("""COMPUTED_VALUE"""),"")</f>
        <v/>
      </c>
      <c r="Q3159" s="5" t="str">
        <f>IFERROR(__xludf.DUMMYFUNCTION("""COMPUTED_VALUE"""),"")</f>
        <v/>
      </c>
      <c r="R3159" s="4" t="str">
        <f>IFERROR(__xludf.DUMMYFUNCTION("""COMPUTED_VALUE"""),"")</f>
        <v/>
      </c>
      <c r="S3159" s="1" t="b">
        <f>IFERROR(__xludf.DUMMYFUNCTION("""COMPUTED_VALUE"""),FALSE)</f>
        <v>0</v>
      </c>
      <c r="T3159" s="1" t="b">
        <f>IFERROR(__xludf.DUMMYFUNCTION("""COMPUTED_VALUE"""),FALSE)</f>
        <v>0</v>
      </c>
      <c r="U3159" s="1" t="str">
        <f>IFERROR(__xludf.DUMMYFUNCTION("""COMPUTED_VALUE"""),"")</f>
        <v/>
      </c>
      <c r="V3159" s="1" t="str">
        <f>IFERROR(__xludf.DUMMYFUNCTION("""COMPUTED_VALUE"""),"")</f>
        <v/>
      </c>
      <c r="W3159" s="1" t="str">
        <f>IFERROR(__xludf.DUMMYFUNCTION("""COMPUTED_VALUE"""),"")</f>
        <v/>
      </c>
      <c r="X3159" s="1" t="str">
        <f>IFERROR(__xludf.DUMMYFUNCTION("""COMPUTED_VALUE"""),"")</f>
        <v/>
      </c>
      <c r="Y3159" s="2"/>
      <c r="Z3159" s="2" t="str">
        <f>IFERROR(__xludf.DUMMYFUNCTION("""COMPUTED_VALUE"""),"")</f>
        <v/>
      </c>
    </row>
    <row r="3160">
      <c r="A3160" s="1" t="str">
        <f>IFERROR(__xludf.DUMMYFUNCTION("""COMPUTED_VALUE"""),"")</f>
        <v/>
      </c>
      <c r="B3160" s="1"/>
      <c r="C3160" s="2"/>
      <c r="D3160" s="2"/>
      <c r="E3160" s="1"/>
      <c r="F3160" s="1"/>
      <c r="G3160" s="4" t="str">
        <f>IFERROR(__xludf.DUMMYFUNCTION("""COMPUTED_VALUE"""),"")</f>
        <v/>
      </c>
      <c r="H3160" s="4" t="str">
        <f>IFERROR(__xludf.DUMMYFUNCTION("""COMPUTED_VALUE"""),"")</f>
        <v/>
      </c>
      <c r="I3160" s="4" t="str">
        <f>IFERROR(__xludf.DUMMYFUNCTION("""COMPUTED_VALUE"""),"")</f>
        <v/>
      </c>
      <c r="J3160" s="4" t="str">
        <f>IFERROR(__xludf.DUMMYFUNCTION("""COMPUTED_VALUE"""),"")</f>
        <v/>
      </c>
      <c r="K3160" s="4" t="str">
        <f>IFERROR(__xludf.DUMMYFUNCTION("""COMPUTED_VALUE"""),"")</f>
        <v/>
      </c>
      <c r="L3160" s="4" t="str">
        <f>IFERROR(__xludf.DUMMYFUNCTION("""COMPUTED_VALUE"""),"")</f>
        <v/>
      </c>
      <c r="M3160" s="1" t="str">
        <f>IFERROR(__xludf.DUMMYFUNCTION("""COMPUTED_VALUE"""),"RFID")</f>
        <v>RFID</v>
      </c>
      <c r="N3160" s="5" t="str">
        <f>IFERROR(__xludf.DUMMYFUNCTION("""COMPUTED_VALUE"""),"")</f>
        <v/>
      </c>
      <c r="O3160" s="5" t="str">
        <f>IFERROR(__xludf.DUMMYFUNCTION("""COMPUTED_VALUE"""),"")</f>
        <v/>
      </c>
      <c r="P3160" s="5" t="str">
        <f>IFERROR(__xludf.DUMMYFUNCTION("""COMPUTED_VALUE"""),"")</f>
        <v/>
      </c>
      <c r="Q3160" s="5" t="str">
        <f>IFERROR(__xludf.DUMMYFUNCTION("""COMPUTED_VALUE"""),"")</f>
        <v/>
      </c>
      <c r="R3160" s="4" t="str">
        <f>IFERROR(__xludf.DUMMYFUNCTION("""COMPUTED_VALUE"""),"")</f>
        <v/>
      </c>
      <c r="S3160" s="1" t="b">
        <f>IFERROR(__xludf.DUMMYFUNCTION("""COMPUTED_VALUE"""),FALSE)</f>
        <v>0</v>
      </c>
      <c r="T3160" s="1" t="b">
        <f>IFERROR(__xludf.DUMMYFUNCTION("""COMPUTED_VALUE"""),FALSE)</f>
        <v>0</v>
      </c>
      <c r="U3160" s="1" t="str">
        <f>IFERROR(__xludf.DUMMYFUNCTION("""COMPUTED_VALUE"""),"")</f>
        <v/>
      </c>
      <c r="V3160" s="1" t="str">
        <f>IFERROR(__xludf.DUMMYFUNCTION("""COMPUTED_VALUE"""),"")</f>
        <v/>
      </c>
      <c r="W3160" s="1" t="str">
        <f>IFERROR(__xludf.DUMMYFUNCTION("""COMPUTED_VALUE"""),"")</f>
        <v/>
      </c>
      <c r="X3160" s="1" t="str">
        <f>IFERROR(__xludf.DUMMYFUNCTION("""COMPUTED_VALUE"""),"")</f>
        <v/>
      </c>
      <c r="Y3160" s="2"/>
      <c r="Z3160" s="2" t="str">
        <f>IFERROR(__xludf.DUMMYFUNCTION("""COMPUTED_VALUE"""),"")</f>
        <v/>
      </c>
    </row>
    <row r="3161">
      <c r="A3161" s="1" t="str">
        <f>IFERROR(__xludf.DUMMYFUNCTION("""COMPUTED_VALUE"""),"")</f>
        <v/>
      </c>
      <c r="B3161" s="1"/>
      <c r="C3161" s="2"/>
      <c r="D3161" s="2"/>
      <c r="E3161" s="1"/>
      <c r="F3161" s="1"/>
      <c r="G3161" s="4" t="str">
        <f>IFERROR(__xludf.DUMMYFUNCTION("""COMPUTED_VALUE"""),"")</f>
        <v/>
      </c>
      <c r="H3161" s="4" t="str">
        <f>IFERROR(__xludf.DUMMYFUNCTION("""COMPUTED_VALUE"""),"")</f>
        <v/>
      </c>
      <c r="I3161" s="4" t="str">
        <f>IFERROR(__xludf.DUMMYFUNCTION("""COMPUTED_VALUE"""),"")</f>
        <v/>
      </c>
      <c r="J3161" s="4" t="str">
        <f>IFERROR(__xludf.DUMMYFUNCTION("""COMPUTED_VALUE"""),"")</f>
        <v/>
      </c>
      <c r="K3161" s="4" t="str">
        <f>IFERROR(__xludf.DUMMYFUNCTION("""COMPUTED_VALUE"""),"")</f>
        <v/>
      </c>
      <c r="L3161" s="4" t="str">
        <f>IFERROR(__xludf.DUMMYFUNCTION("""COMPUTED_VALUE"""),"")</f>
        <v/>
      </c>
      <c r="M3161" s="1" t="str">
        <f>IFERROR(__xludf.DUMMYFUNCTION("""COMPUTED_VALUE"""),"RFID")</f>
        <v>RFID</v>
      </c>
      <c r="N3161" s="5" t="str">
        <f>IFERROR(__xludf.DUMMYFUNCTION("""COMPUTED_VALUE"""),"")</f>
        <v/>
      </c>
      <c r="O3161" s="5" t="str">
        <f>IFERROR(__xludf.DUMMYFUNCTION("""COMPUTED_VALUE"""),"")</f>
        <v/>
      </c>
      <c r="P3161" s="5" t="str">
        <f>IFERROR(__xludf.DUMMYFUNCTION("""COMPUTED_VALUE"""),"")</f>
        <v/>
      </c>
      <c r="Q3161" s="5" t="str">
        <f>IFERROR(__xludf.DUMMYFUNCTION("""COMPUTED_VALUE"""),"")</f>
        <v/>
      </c>
      <c r="R3161" s="4" t="str">
        <f>IFERROR(__xludf.DUMMYFUNCTION("""COMPUTED_VALUE"""),"")</f>
        <v/>
      </c>
      <c r="S3161" s="1" t="b">
        <f>IFERROR(__xludf.DUMMYFUNCTION("""COMPUTED_VALUE"""),FALSE)</f>
        <v>0</v>
      </c>
      <c r="T3161" s="1" t="b">
        <f>IFERROR(__xludf.DUMMYFUNCTION("""COMPUTED_VALUE"""),FALSE)</f>
        <v>0</v>
      </c>
      <c r="U3161" s="1" t="str">
        <f>IFERROR(__xludf.DUMMYFUNCTION("""COMPUTED_VALUE"""),"")</f>
        <v/>
      </c>
      <c r="V3161" s="1" t="str">
        <f>IFERROR(__xludf.DUMMYFUNCTION("""COMPUTED_VALUE"""),"")</f>
        <v/>
      </c>
      <c r="W3161" s="1" t="str">
        <f>IFERROR(__xludf.DUMMYFUNCTION("""COMPUTED_VALUE"""),"")</f>
        <v/>
      </c>
      <c r="X3161" s="1" t="str">
        <f>IFERROR(__xludf.DUMMYFUNCTION("""COMPUTED_VALUE"""),"")</f>
        <v/>
      </c>
      <c r="Y3161" s="2"/>
      <c r="Z3161" s="2" t="str">
        <f>IFERROR(__xludf.DUMMYFUNCTION("""COMPUTED_VALUE"""),"")</f>
        <v/>
      </c>
    </row>
    <row r="3162">
      <c r="A3162" s="1" t="str">
        <f>IFERROR(__xludf.DUMMYFUNCTION("""COMPUTED_VALUE"""),"")</f>
        <v/>
      </c>
      <c r="B3162" s="1"/>
      <c r="C3162" s="2"/>
      <c r="D3162" s="2"/>
      <c r="E3162" s="1"/>
      <c r="F3162" s="1"/>
      <c r="G3162" s="4" t="str">
        <f>IFERROR(__xludf.DUMMYFUNCTION("""COMPUTED_VALUE"""),"")</f>
        <v/>
      </c>
      <c r="H3162" s="4" t="str">
        <f>IFERROR(__xludf.DUMMYFUNCTION("""COMPUTED_VALUE"""),"")</f>
        <v/>
      </c>
      <c r="I3162" s="4" t="str">
        <f>IFERROR(__xludf.DUMMYFUNCTION("""COMPUTED_VALUE"""),"")</f>
        <v/>
      </c>
      <c r="J3162" s="4" t="str">
        <f>IFERROR(__xludf.DUMMYFUNCTION("""COMPUTED_VALUE"""),"")</f>
        <v/>
      </c>
      <c r="K3162" s="4" t="str">
        <f>IFERROR(__xludf.DUMMYFUNCTION("""COMPUTED_VALUE"""),"")</f>
        <v/>
      </c>
      <c r="L3162" s="4" t="str">
        <f>IFERROR(__xludf.DUMMYFUNCTION("""COMPUTED_VALUE"""),"")</f>
        <v/>
      </c>
      <c r="M3162" s="1" t="str">
        <f>IFERROR(__xludf.DUMMYFUNCTION("""COMPUTED_VALUE"""),"RFID")</f>
        <v>RFID</v>
      </c>
      <c r="N3162" s="5" t="str">
        <f>IFERROR(__xludf.DUMMYFUNCTION("""COMPUTED_VALUE"""),"")</f>
        <v/>
      </c>
      <c r="O3162" s="5" t="str">
        <f>IFERROR(__xludf.DUMMYFUNCTION("""COMPUTED_VALUE"""),"")</f>
        <v/>
      </c>
      <c r="P3162" s="5" t="str">
        <f>IFERROR(__xludf.DUMMYFUNCTION("""COMPUTED_VALUE"""),"")</f>
        <v/>
      </c>
      <c r="Q3162" s="5" t="str">
        <f>IFERROR(__xludf.DUMMYFUNCTION("""COMPUTED_VALUE"""),"")</f>
        <v/>
      </c>
      <c r="R3162" s="4" t="str">
        <f>IFERROR(__xludf.DUMMYFUNCTION("""COMPUTED_VALUE"""),"")</f>
        <v/>
      </c>
      <c r="S3162" s="1" t="b">
        <f>IFERROR(__xludf.DUMMYFUNCTION("""COMPUTED_VALUE"""),FALSE)</f>
        <v>0</v>
      </c>
      <c r="T3162" s="1" t="b">
        <f>IFERROR(__xludf.DUMMYFUNCTION("""COMPUTED_VALUE"""),FALSE)</f>
        <v>0</v>
      </c>
      <c r="U3162" s="1" t="str">
        <f>IFERROR(__xludf.DUMMYFUNCTION("""COMPUTED_VALUE"""),"")</f>
        <v/>
      </c>
      <c r="V3162" s="1" t="str">
        <f>IFERROR(__xludf.DUMMYFUNCTION("""COMPUTED_VALUE"""),"")</f>
        <v/>
      </c>
      <c r="W3162" s="1" t="str">
        <f>IFERROR(__xludf.DUMMYFUNCTION("""COMPUTED_VALUE"""),"")</f>
        <v/>
      </c>
      <c r="X3162" s="1" t="str">
        <f>IFERROR(__xludf.DUMMYFUNCTION("""COMPUTED_VALUE"""),"")</f>
        <v/>
      </c>
      <c r="Y3162" s="2"/>
      <c r="Z3162" s="2" t="str">
        <f>IFERROR(__xludf.DUMMYFUNCTION("""COMPUTED_VALUE"""),"")</f>
        <v/>
      </c>
    </row>
    <row r="3163">
      <c r="A3163" s="1" t="str">
        <f>IFERROR(__xludf.DUMMYFUNCTION("""COMPUTED_VALUE"""),"")</f>
        <v/>
      </c>
      <c r="B3163" s="1"/>
      <c r="C3163" s="2"/>
      <c r="D3163" s="2"/>
      <c r="E3163" s="1"/>
      <c r="F3163" s="1"/>
      <c r="G3163" s="4" t="str">
        <f>IFERROR(__xludf.DUMMYFUNCTION("""COMPUTED_VALUE"""),"")</f>
        <v/>
      </c>
      <c r="H3163" s="4" t="str">
        <f>IFERROR(__xludf.DUMMYFUNCTION("""COMPUTED_VALUE"""),"")</f>
        <v/>
      </c>
      <c r="I3163" s="4" t="str">
        <f>IFERROR(__xludf.DUMMYFUNCTION("""COMPUTED_VALUE"""),"")</f>
        <v/>
      </c>
      <c r="J3163" s="4" t="str">
        <f>IFERROR(__xludf.DUMMYFUNCTION("""COMPUTED_VALUE"""),"")</f>
        <v/>
      </c>
      <c r="K3163" s="4" t="str">
        <f>IFERROR(__xludf.DUMMYFUNCTION("""COMPUTED_VALUE"""),"")</f>
        <v/>
      </c>
      <c r="L3163" s="4" t="str">
        <f>IFERROR(__xludf.DUMMYFUNCTION("""COMPUTED_VALUE"""),"")</f>
        <v/>
      </c>
      <c r="M3163" s="1" t="str">
        <f>IFERROR(__xludf.DUMMYFUNCTION("""COMPUTED_VALUE"""),"RFID")</f>
        <v>RFID</v>
      </c>
      <c r="N3163" s="5" t="str">
        <f>IFERROR(__xludf.DUMMYFUNCTION("""COMPUTED_VALUE"""),"")</f>
        <v/>
      </c>
      <c r="O3163" s="5" t="str">
        <f>IFERROR(__xludf.DUMMYFUNCTION("""COMPUTED_VALUE"""),"")</f>
        <v/>
      </c>
      <c r="P3163" s="5" t="str">
        <f>IFERROR(__xludf.DUMMYFUNCTION("""COMPUTED_VALUE"""),"")</f>
        <v/>
      </c>
      <c r="Q3163" s="5" t="str">
        <f>IFERROR(__xludf.DUMMYFUNCTION("""COMPUTED_VALUE"""),"")</f>
        <v/>
      </c>
      <c r="R3163" s="4" t="str">
        <f>IFERROR(__xludf.DUMMYFUNCTION("""COMPUTED_VALUE"""),"")</f>
        <v/>
      </c>
      <c r="S3163" s="1" t="b">
        <f>IFERROR(__xludf.DUMMYFUNCTION("""COMPUTED_VALUE"""),FALSE)</f>
        <v>0</v>
      </c>
      <c r="T3163" s="1" t="b">
        <f>IFERROR(__xludf.DUMMYFUNCTION("""COMPUTED_VALUE"""),FALSE)</f>
        <v>0</v>
      </c>
      <c r="U3163" s="1" t="str">
        <f>IFERROR(__xludf.DUMMYFUNCTION("""COMPUTED_VALUE"""),"")</f>
        <v/>
      </c>
      <c r="V3163" s="1" t="str">
        <f>IFERROR(__xludf.DUMMYFUNCTION("""COMPUTED_VALUE"""),"")</f>
        <v/>
      </c>
      <c r="W3163" s="1" t="str">
        <f>IFERROR(__xludf.DUMMYFUNCTION("""COMPUTED_VALUE"""),"")</f>
        <v/>
      </c>
      <c r="X3163" s="1" t="str">
        <f>IFERROR(__xludf.DUMMYFUNCTION("""COMPUTED_VALUE"""),"")</f>
        <v/>
      </c>
      <c r="Y3163" s="2"/>
      <c r="Z3163" s="2" t="str">
        <f>IFERROR(__xludf.DUMMYFUNCTION("""COMPUTED_VALUE"""),"")</f>
        <v/>
      </c>
    </row>
    <row r="3164">
      <c r="A3164" s="1" t="str">
        <f>IFERROR(__xludf.DUMMYFUNCTION("""COMPUTED_VALUE"""),"")</f>
        <v/>
      </c>
      <c r="B3164" s="1"/>
      <c r="C3164" s="2"/>
      <c r="D3164" s="2"/>
      <c r="E3164" s="1"/>
      <c r="F3164" s="1"/>
      <c r="G3164" s="4" t="str">
        <f>IFERROR(__xludf.DUMMYFUNCTION("""COMPUTED_VALUE"""),"")</f>
        <v/>
      </c>
      <c r="H3164" s="4" t="str">
        <f>IFERROR(__xludf.DUMMYFUNCTION("""COMPUTED_VALUE"""),"")</f>
        <v/>
      </c>
      <c r="I3164" s="4" t="str">
        <f>IFERROR(__xludf.DUMMYFUNCTION("""COMPUTED_VALUE"""),"")</f>
        <v/>
      </c>
      <c r="J3164" s="4" t="str">
        <f>IFERROR(__xludf.DUMMYFUNCTION("""COMPUTED_VALUE"""),"")</f>
        <v/>
      </c>
      <c r="K3164" s="4" t="str">
        <f>IFERROR(__xludf.DUMMYFUNCTION("""COMPUTED_VALUE"""),"")</f>
        <v/>
      </c>
      <c r="L3164" s="4" t="str">
        <f>IFERROR(__xludf.DUMMYFUNCTION("""COMPUTED_VALUE"""),"")</f>
        <v/>
      </c>
      <c r="M3164" s="1" t="str">
        <f>IFERROR(__xludf.DUMMYFUNCTION("""COMPUTED_VALUE"""),"RFID")</f>
        <v>RFID</v>
      </c>
      <c r="N3164" s="5" t="str">
        <f>IFERROR(__xludf.DUMMYFUNCTION("""COMPUTED_VALUE"""),"")</f>
        <v/>
      </c>
      <c r="O3164" s="5" t="str">
        <f>IFERROR(__xludf.DUMMYFUNCTION("""COMPUTED_VALUE"""),"")</f>
        <v/>
      </c>
      <c r="P3164" s="5" t="str">
        <f>IFERROR(__xludf.DUMMYFUNCTION("""COMPUTED_VALUE"""),"")</f>
        <v/>
      </c>
      <c r="Q3164" s="5" t="str">
        <f>IFERROR(__xludf.DUMMYFUNCTION("""COMPUTED_VALUE"""),"")</f>
        <v/>
      </c>
      <c r="R3164" s="4" t="str">
        <f>IFERROR(__xludf.DUMMYFUNCTION("""COMPUTED_VALUE"""),"")</f>
        <v/>
      </c>
      <c r="S3164" s="1" t="b">
        <f>IFERROR(__xludf.DUMMYFUNCTION("""COMPUTED_VALUE"""),FALSE)</f>
        <v>0</v>
      </c>
      <c r="T3164" s="1" t="b">
        <f>IFERROR(__xludf.DUMMYFUNCTION("""COMPUTED_VALUE"""),FALSE)</f>
        <v>0</v>
      </c>
      <c r="U3164" s="1" t="str">
        <f>IFERROR(__xludf.DUMMYFUNCTION("""COMPUTED_VALUE"""),"")</f>
        <v/>
      </c>
      <c r="V3164" s="1" t="str">
        <f>IFERROR(__xludf.DUMMYFUNCTION("""COMPUTED_VALUE"""),"")</f>
        <v/>
      </c>
      <c r="W3164" s="1" t="str">
        <f>IFERROR(__xludf.DUMMYFUNCTION("""COMPUTED_VALUE"""),"")</f>
        <v/>
      </c>
      <c r="X3164" s="1" t="str">
        <f>IFERROR(__xludf.DUMMYFUNCTION("""COMPUTED_VALUE"""),"")</f>
        <v/>
      </c>
      <c r="Y3164" s="2"/>
      <c r="Z3164" s="2" t="str">
        <f>IFERROR(__xludf.DUMMYFUNCTION("""COMPUTED_VALUE"""),"")</f>
        <v/>
      </c>
    </row>
    <row r="3165">
      <c r="A3165" s="1" t="str">
        <f>IFERROR(__xludf.DUMMYFUNCTION("""COMPUTED_VALUE"""),"")</f>
        <v/>
      </c>
      <c r="B3165" s="1"/>
      <c r="C3165" s="2"/>
      <c r="D3165" s="2"/>
      <c r="E3165" s="1"/>
      <c r="F3165" s="1"/>
      <c r="G3165" s="4" t="str">
        <f>IFERROR(__xludf.DUMMYFUNCTION("""COMPUTED_VALUE"""),"")</f>
        <v/>
      </c>
      <c r="H3165" s="4" t="str">
        <f>IFERROR(__xludf.DUMMYFUNCTION("""COMPUTED_VALUE"""),"")</f>
        <v/>
      </c>
      <c r="I3165" s="4" t="str">
        <f>IFERROR(__xludf.DUMMYFUNCTION("""COMPUTED_VALUE"""),"")</f>
        <v/>
      </c>
      <c r="J3165" s="4" t="str">
        <f>IFERROR(__xludf.DUMMYFUNCTION("""COMPUTED_VALUE"""),"")</f>
        <v/>
      </c>
      <c r="K3165" s="4" t="str">
        <f>IFERROR(__xludf.DUMMYFUNCTION("""COMPUTED_VALUE"""),"")</f>
        <v/>
      </c>
      <c r="L3165" s="4" t="str">
        <f>IFERROR(__xludf.DUMMYFUNCTION("""COMPUTED_VALUE"""),"")</f>
        <v/>
      </c>
      <c r="M3165" s="1" t="str">
        <f>IFERROR(__xludf.DUMMYFUNCTION("""COMPUTED_VALUE"""),"RFID")</f>
        <v>RFID</v>
      </c>
      <c r="N3165" s="5" t="str">
        <f>IFERROR(__xludf.DUMMYFUNCTION("""COMPUTED_VALUE"""),"")</f>
        <v/>
      </c>
      <c r="O3165" s="5" t="str">
        <f>IFERROR(__xludf.DUMMYFUNCTION("""COMPUTED_VALUE"""),"")</f>
        <v/>
      </c>
      <c r="P3165" s="5" t="str">
        <f>IFERROR(__xludf.DUMMYFUNCTION("""COMPUTED_VALUE"""),"")</f>
        <v/>
      </c>
      <c r="Q3165" s="5" t="str">
        <f>IFERROR(__xludf.DUMMYFUNCTION("""COMPUTED_VALUE"""),"")</f>
        <v/>
      </c>
      <c r="R3165" s="4" t="str">
        <f>IFERROR(__xludf.DUMMYFUNCTION("""COMPUTED_VALUE"""),"")</f>
        <v/>
      </c>
      <c r="S3165" s="1" t="b">
        <f>IFERROR(__xludf.DUMMYFUNCTION("""COMPUTED_VALUE"""),FALSE)</f>
        <v>0</v>
      </c>
      <c r="T3165" s="1" t="b">
        <f>IFERROR(__xludf.DUMMYFUNCTION("""COMPUTED_VALUE"""),FALSE)</f>
        <v>0</v>
      </c>
      <c r="U3165" s="1" t="str">
        <f>IFERROR(__xludf.DUMMYFUNCTION("""COMPUTED_VALUE"""),"")</f>
        <v/>
      </c>
      <c r="V3165" s="1" t="str">
        <f>IFERROR(__xludf.DUMMYFUNCTION("""COMPUTED_VALUE"""),"")</f>
        <v/>
      </c>
      <c r="W3165" s="1" t="str">
        <f>IFERROR(__xludf.DUMMYFUNCTION("""COMPUTED_VALUE"""),"")</f>
        <v/>
      </c>
      <c r="X3165" s="1" t="str">
        <f>IFERROR(__xludf.DUMMYFUNCTION("""COMPUTED_VALUE"""),"")</f>
        <v/>
      </c>
      <c r="Y3165" s="2"/>
      <c r="Z3165" s="2" t="str">
        <f>IFERROR(__xludf.DUMMYFUNCTION("""COMPUTED_VALUE"""),"")</f>
        <v/>
      </c>
    </row>
    <row r="3166">
      <c r="A3166" s="1" t="str">
        <f>IFERROR(__xludf.DUMMYFUNCTION("""COMPUTED_VALUE"""),"")</f>
        <v/>
      </c>
      <c r="B3166" s="1"/>
      <c r="C3166" s="2"/>
      <c r="D3166" s="2"/>
      <c r="E3166" s="1"/>
      <c r="F3166" s="1"/>
      <c r="G3166" s="4" t="str">
        <f>IFERROR(__xludf.DUMMYFUNCTION("""COMPUTED_VALUE"""),"")</f>
        <v/>
      </c>
      <c r="H3166" s="4" t="str">
        <f>IFERROR(__xludf.DUMMYFUNCTION("""COMPUTED_VALUE"""),"")</f>
        <v/>
      </c>
      <c r="I3166" s="4" t="str">
        <f>IFERROR(__xludf.DUMMYFUNCTION("""COMPUTED_VALUE"""),"")</f>
        <v/>
      </c>
      <c r="J3166" s="4" t="str">
        <f>IFERROR(__xludf.DUMMYFUNCTION("""COMPUTED_VALUE"""),"")</f>
        <v/>
      </c>
      <c r="K3166" s="4" t="str">
        <f>IFERROR(__xludf.DUMMYFUNCTION("""COMPUTED_VALUE"""),"")</f>
        <v/>
      </c>
      <c r="L3166" s="4" t="str">
        <f>IFERROR(__xludf.DUMMYFUNCTION("""COMPUTED_VALUE"""),"")</f>
        <v/>
      </c>
      <c r="M3166" s="1" t="str">
        <f>IFERROR(__xludf.DUMMYFUNCTION("""COMPUTED_VALUE"""),"RFID")</f>
        <v>RFID</v>
      </c>
      <c r="N3166" s="5" t="str">
        <f>IFERROR(__xludf.DUMMYFUNCTION("""COMPUTED_VALUE"""),"")</f>
        <v/>
      </c>
      <c r="O3166" s="5" t="str">
        <f>IFERROR(__xludf.DUMMYFUNCTION("""COMPUTED_VALUE"""),"")</f>
        <v/>
      </c>
      <c r="P3166" s="5" t="str">
        <f>IFERROR(__xludf.DUMMYFUNCTION("""COMPUTED_VALUE"""),"")</f>
        <v/>
      </c>
      <c r="Q3166" s="5" t="str">
        <f>IFERROR(__xludf.DUMMYFUNCTION("""COMPUTED_VALUE"""),"")</f>
        <v/>
      </c>
      <c r="R3166" s="4" t="str">
        <f>IFERROR(__xludf.DUMMYFUNCTION("""COMPUTED_VALUE"""),"")</f>
        <v/>
      </c>
      <c r="S3166" s="1" t="b">
        <f>IFERROR(__xludf.DUMMYFUNCTION("""COMPUTED_VALUE"""),FALSE)</f>
        <v>0</v>
      </c>
      <c r="T3166" s="1" t="b">
        <f>IFERROR(__xludf.DUMMYFUNCTION("""COMPUTED_VALUE"""),FALSE)</f>
        <v>0</v>
      </c>
      <c r="U3166" s="1" t="str">
        <f>IFERROR(__xludf.DUMMYFUNCTION("""COMPUTED_VALUE"""),"")</f>
        <v/>
      </c>
      <c r="V3166" s="1" t="str">
        <f>IFERROR(__xludf.DUMMYFUNCTION("""COMPUTED_VALUE"""),"")</f>
        <v/>
      </c>
      <c r="W3166" s="1" t="str">
        <f>IFERROR(__xludf.DUMMYFUNCTION("""COMPUTED_VALUE"""),"")</f>
        <v/>
      </c>
      <c r="X3166" s="1" t="str">
        <f>IFERROR(__xludf.DUMMYFUNCTION("""COMPUTED_VALUE"""),"")</f>
        <v/>
      </c>
      <c r="Y3166" s="2"/>
      <c r="Z3166" s="2" t="str">
        <f>IFERROR(__xludf.DUMMYFUNCTION("""COMPUTED_VALUE"""),"")</f>
        <v/>
      </c>
    </row>
    <row r="3167">
      <c r="A3167" s="1" t="str">
        <f>IFERROR(__xludf.DUMMYFUNCTION("""COMPUTED_VALUE"""),"")</f>
        <v/>
      </c>
      <c r="B3167" s="1"/>
      <c r="C3167" s="2"/>
      <c r="D3167" s="2"/>
      <c r="E3167" s="1"/>
      <c r="F3167" s="1"/>
      <c r="G3167" s="4" t="str">
        <f>IFERROR(__xludf.DUMMYFUNCTION("""COMPUTED_VALUE"""),"")</f>
        <v/>
      </c>
      <c r="H3167" s="4" t="str">
        <f>IFERROR(__xludf.DUMMYFUNCTION("""COMPUTED_VALUE"""),"")</f>
        <v/>
      </c>
      <c r="I3167" s="4" t="str">
        <f>IFERROR(__xludf.DUMMYFUNCTION("""COMPUTED_VALUE"""),"")</f>
        <v/>
      </c>
      <c r="J3167" s="4" t="str">
        <f>IFERROR(__xludf.DUMMYFUNCTION("""COMPUTED_VALUE"""),"")</f>
        <v/>
      </c>
      <c r="K3167" s="4" t="str">
        <f>IFERROR(__xludf.DUMMYFUNCTION("""COMPUTED_VALUE"""),"")</f>
        <v/>
      </c>
      <c r="L3167" s="4" t="str">
        <f>IFERROR(__xludf.DUMMYFUNCTION("""COMPUTED_VALUE"""),"")</f>
        <v/>
      </c>
      <c r="M3167" s="1" t="str">
        <f>IFERROR(__xludf.DUMMYFUNCTION("""COMPUTED_VALUE"""),"RFID")</f>
        <v>RFID</v>
      </c>
      <c r="N3167" s="5" t="str">
        <f>IFERROR(__xludf.DUMMYFUNCTION("""COMPUTED_VALUE"""),"")</f>
        <v/>
      </c>
      <c r="O3167" s="5" t="str">
        <f>IFERROR(__xludf.DUMMYFUNCTION("""COMPUTED_VALUE"""),"")</f>
        <v/>
      </c>
      <c r="P3167" s="5" t="str">
        <f>IFERROR(__xludf.DUMMYFUNCTION("""COMPUTED_VALUE"""),"")</f>
        <v/>
      </c>
      <c r="Q3167" s="5" t="str">
        <f>IFERROR(__xludf.DUMMYFUNCTION("""COMPUTED_VALUE"""),"")</f>
        <v/>
      </c>
      <c r="R3167" s="4" t="str">
        <f>IFERROR(__xludf.DUMMYFUNCTION("""COMPUTED_VALUE"""),"")</f>
        <v/>
      </c>
      <c r="S3167" s="1" t="b">
        <f>IFERROR(__xludf.DUMMYFUNCTION("""COMPUTED_VALUE"""),FALSE)</f>
        <v>0</v>
      </c>
      <c r="T3167" s="1" t="b">
        <f>IFERROR(__xludf.DUMMYFUNCTION("""COMPUTED_VALUE"""),FALSE)</f>
        <v>0</v>
      </c>
      <c r="U3167" s="1" t="str">
        <f>IFERROR(__xludf.DUMMYFUNCTION("""COMPUTED_VALUE"""),"")</f>
        <v/>
      </c>
      <c r="V3167" s="1" t="str">
        <f>IFERROR(__xludf.DUMMYFUNCTION("""COMPUTED_VALUE"""),"")</f>
        <v/>
      </c>
      <c r="W3167" s="1" t="str">
        <f>IFERROR(__xludf.DUMMYFUNCTION("""COMPUTED_VALUE"""),"")</f>
        <v/>
      </c>
      <c r="X3167" s="1" t="str">
        <f>IFERROR(__xludf.DUMMYFUNCTION("""COMPUTED_VALUE"""),"")</f>
        <v/>
      </c>
      <c r="Y3167" s="2"/>
      <c r="Z3167" s="2" t="str">
        <f>IFERROR(__xludf.DUMMYFUNCTION("""COMPUTED_VALUE"""),"")</f>
        <v/>
      </c>
    </row>
    <row r="3168">
      <c r="A3168" s="1" t="str">
        <f>IFERROR(__xludf.DUMMYFUNCTION("""COMPUTED_VALUE"""),"")</f>
        <v/>
      </c>
      <c r="B3168" s="1"/>
      <c r="C3168" s="2"/>
      <c r="D3168" s="2"/>
      <c r="E3168" s="1"/>
      <c r="F3168" s="1"/>
      <c r="G3168" s="4" t="str">
        <f>IFERROR(__xludf.DUMMYFUNCTION("""COMPUTED_VALUE"""),"")</f>
        <v/>
      </c>
      <c r="H3168" s="4" t="str">
        <f>IFERROR(__xludf.DUMMYFUNCTION("""COMPUTED_VALUE"""),"")</f>
        <v/>
      </c>
      <c r="I3168" s="4" t="str">
        <f>IFERROR(__xludf.DUMMYFUNCTION("""COMPUTED_VALUE"""),"")</f>
        <v/>
      </c>
      <c r="J3168" s="4" t="str">
        <f>IFERROR(__xludf.DUMMYFUNCTION("""COMPUTED_VALUE"""),"")</f>
        <v/>
      </c>
      <c r="K3168" s="4" t="str">
        <f>IFERROR(__xludf.DUMMYFUNCTION("""COMPUTED_VALUE"""),"")</f>
        <v/>
      </c>
      <c r="L3168" s="4" t="str">
        <f>IFERROR(__xludf.DUMMYFUNCTION("""COMPUTED_VALUE"""),"")</f>
        <v/>
      </c>
      <c r="M3168" s="1" t="str">
        <f>IFERROR(__xludf.DUMMYFUNCTION("""COMPUTED_VALUE"""),"RFID")</f>
        <v>RFID</v>
      </c>
      <c r="N3168" s="5" t="str">
        <f>IFERROR(__xludf.DUMMYFUNCTION("""COMPUTED_VALUE"""),"")</f>
        <v/>
      </c>
      <c r="O3168" s="5" t="str">
        <f>IFERROR(__xludf.DUMMYFUNCTION("""COMPUTED_VALUE"""),"")</f>
        <v/>
      </c>
      <c r="P3168" s="5" t="str">
        <f>IFERROR(__xludf.DUMMYFUNCTION("""COMPUTED_VALUE"""),"")</f>
        <v/>
      </c>
      <c r="Q3168" s="5" t="str">
        <f>IFERROR(__xludf.DUMMYFUNCTION("""COMPUTED_VALUE"""),"")</f>
        <v/>
      </c>
      <c r="R3168" s="4" t="str">
        <f>IFERROR(__xludf.DUMMYFUNCTION("""COMPUTED_VALUE"""),"")</f>
        <v/>
      </c>
      <c r="S3168" s="1" t="b">
        <f>IFERROR(__xludf.DUMMYFUNCTION("""COMPUTED_VALUE"""),FALSE)</f>
        <v>0</v>
      </c>
      <c r="T3168" s="1" t="b">
        <f>IFERROR(__xludf.DUMMYFUNCTION("""COMPUTED_VALUE"""),FALSE)</f>
        <v>0</v>
      </c>
      <c r="U3168" s="1" t="str">
        <f>IFERROR(__xludf.DUMMYFUNCTION("""COMPUTED_VALUE"""),"")</f>
        <v/>
      </c>
      <c r="V3168" s="1" t="str">
        <f>IFERROR(__xludf.DUMMYFUNCTION("""COMPUTED_VALUE"""),"")</f>
        <v/>
      </c>
      <c r="W3168" s="1" t="str">
        <f>IFERROR(__xludf.DUMMYFUNCTION("""COMPUTED_VALUE"""),"")</f>
        <v/>
      </c>
      <c r="X3168" s="1" t="str">
        <f>IFERROR(__xludf.DUMMYFUNCTION("""COMPUTED_VALUE"""),"")</f>
        <v/>
      </c>
      <c r="Y3168" s="2"/>
      <c r="Z3168" s="2" t="str">
        <f>IFERROR(__xludf.DUMMYFUNCTION("""COMPUTED_VALUE"""),"")</f>
        <v/>
      </c>
    </row>
    <row r="3169">
      <c r="A3169" s="1" t="str">
        <f>IFERROR(__xludf.DUMMYFUNCTION("""COMPUTED_VALUE"""),"")</f>
        <v/>
      </c>
      <c r="B3169" s="1"/>
      <c r="C3169" s="2"/>
      <c r="D3169" s="2"/>
      <c r="E3169" s="1"/>
      <c r="F3169" s="1"/>
      <c r="G3169" s="4" t="str">
        <f>IFERROR(__xludf.DUMMYFUNCTION("""COMPUTED_VALUE"""),"")</f>
        <v/>
      </c>
      <c r="H3169" s="4" t="str">
        <f>IFERROR(__xludf.DUMMYFUNCTION("""COMPUTED_VALUE"""),"")</f>
        <v/>
      </c>
      <c r="I3169" s="4" t="str">
        <f>IFERROR(__xludf.DUMMYFUNCTION("""COMPUTED_VALUE"""),"")</f>
        <v/>
      </c>
      <c r="J3169" s="4" t="str">
        <f>IFERROR(__xludf.DUMMYFUNCTION("""COMPUTED_VALUE"""),"")</f>
        <v/>
      </c>
      <c r="K3169" s="4" t="str">
        <f>IFERROR(__xludf.DUMMYFUNCTION("""COMPUTED_VALUE"""),"")</f>
        <v/>
      </c>
      <c r="L3169" s="4" t="str">
        <f>IFERROR(__xludf.DUMMYFUNCTION("""COMPUTED_VALUE"""),"")</f>
        <v/>
      </c>
      <c r="M3169" s="1" t="str">
        <f>IFERROR(__xludf.DUMMYFUNCTION("""COMPUTED_VALUE"""),"RFID")</f>
        <v>RFID</v>
      </c>
      <c r="N3169" s="5" t="str">
        <f>IFERROR(__xludf.DUMMYFUNCTION("""COMPUTED_VALUE"""),"")</f>
        <v/>
      </c>
      <c r="O3169" s="5" t="str">
        <f>IFERROR(__xludf.DUMMYFUNCTION("""COMPUTED_VALUE"""),"")</f>
        <v/>
      </c>
      <c r="P3169" s="5" t="str">
        <f>IFERROR(__xludf.DUMMYFUNCTION("""COMPUTED_VALUE"""),"")</f>
        <v/>
      </c>
      <c r="Q3169" s="5" t="str">
        <f>IFERROR(__xludf.DUMMYFUNCTION("""COMPUTED_VALUE"""),"")</f>
        <v/>
      </c>
      <c r="R3169" s="4" t="str">
        <f>IFERROR(__xludf.DUMMYFUNCTION("""COMPUTED_VALUE"""),"")</f>
        <v/>
      </c>
      <c r="S3169" s="1" t="b">
        <f>IFERROR(__xludf.DUMMYFUNCTION("""COMPUTED_VALUE"""),FALSE)</f>
        <v>0</v>
      </c>
      <c r="T3169" s="1" t="b">
        <f>IFERROR(__xludf.DUMMYFUNCTION("""COMPUTED_VALUE"""),FALSE)</f>
        <v>0</v>
      </c>
      <c r="U3169" s="1" t="str">
        <f>IFERROR(__xludf.DUMMYFUNCTION("""COMPUTED_VALUE"""),"")</f>
        <v/>
      </c>
      <c r="V3169" s="1" t="str">
        <f>IFERROR(__xludf.DUMMYFUNCTION("""COMPUTED_VALUE"""),"")</f>
        <v/>
      </c>
      <c r="W3169" s="1" t="str">
        <f>IFERROR(__xludf.DUMMYFUNCTION("""COMPUTED_VALUE"""),"")</f>
        <v/>
      </c>
      <c r="X3169" s="1" t="str">
        <f>IFERROR(__xludf.DUMMYFUNCTION("""COMPUTED_VALUE"""),"")</f>
        <v/>
      </c>
      <c r="Y3169" s="2"/>
      <c r="Z3169" s="2" t="str">
        <f>IFERROR(__xludf.DUMMYFUNCTION("""COMPUTED_VALUE"""),"")</f>
        <v/>
      </c>
    </row>
    <row r="3170">
      <c r="A3170" s="1" t="str">
        <f>IFERROR(__xludf.DUMMYFUNCTION("""COMPUTED_VALUE"""),"")</f>
        <v/>
      </c>
      <c r="B3170" s="1"/>
      <c r="C3170" s="2"/>
      <c r="D3170" s="2"/>
      <c r="E3170" s="1"/>
      <c r="F3170" s="1"/>
      <c r="G3170" s="4" t="str">
        <f>IFERROR(__xludf.DUMMYFUNCTION("""COMPUTED_VALUE"""),"")</f>
        <v/>
      </c>
      <c r="H3170" s="4" t="str">
        <f>IFERROR(__xludf.DUMMYFUNCTION("""COMPUTED_VALUE"""),"")</f>
        <v/>
      </c>
      <c r="I3170" s="4" t="str">
        <f>IFERROR(__xludf.DUMMYFUNCTION("""COMPUTED_VALUE"""),"")</f>
        <v/>
      </c>
      <c r="J3170" s="4" t="str">
        <f>IFERROR(__xludf.DUMMYFUNCTION("""COMPUTED_VALUE"""),"")</f>
        <v/>
      </c>
      <c r="K3170" s="4" t="str">
        <f>IFERROR(__xludf.DUMMYFUNCTION("""COMPUTED_VALUE"""),"")</f>
        <v/>
      </c>
      <c r="L3170" s="4" t="str">
        <f>IFERROR(__xludf.DUMMYFUNCTION("""COMPUTED_VALUE"""),"")</f>
        <v/>
      </c>
      <c r="M3170" s="1" t="str">
        <f>IFERROR(__xludf.DUMMYFUNCTION("""COMPUTED_VALUE"""),"RFID")</f>
        <v>RFID</v>
      </c>
      <c r="N3170" s="5" t="str">
        <f>IFERROR(__xludf.DUMMYFUNCTION("""COMPUTED_VALUE"""),"")</f>
        <v/>
      </c>
      <c r="O3170" s="5" t="str">
        <f>IFERROR(__xludf.DUMMYFUNCTION("""COMPUTED_VALUE"""),"")</f>
        <v/>
      </c>
      <c r="P3170" s="5" t="str">
        <f>IFERROR(__xludf.DUMMYFUNCTION("""COMPUTED_VALUE"""),"")</f>
        <v/>
      </c>
      <c r="Q3170" s="5" t="str">
        <f>IFERROR(__xludf.DUMMYFUNCTION("""COMPUTED_VALUE"""),"")</f>
        <v/>
      </c>
      <c r="R3170" s="4" t="str">
        <f>IFERROR(__xludf.DUMMYFUNCTION("""COMPUTED_VALUE"""),"")</f>
        <v/>
      </c>
      <c r="S3170" s="1" t="b">
        <f>IFERROR(__xludf.DUMMYFUNCTION("""COMPUTED_VALUE"""),FALSE)</f>
        <v>0</v>
      </c>
      <c r="T3170" s="1" t="b">
        <f>IFERROR(__xludf.DUMMYFUNCTION("""COMPUTED_VALUE"""),FALSE)</f>
        <v>0</v>
      </c>
      <c r="U3170" s="1" t="str">
        <f>IFERROR(__xludf.DUMMYFUNCTION("""COMPUTED_VALUE"""),"")</f>
        <v/>
      </c>
      <c r="V3170" s="1" t="str">
        <f>IFERROR(__xludf.DUMMYFUNCTION("""COMPUTED_VALUE"""),"")</f>
        <v/>
      </c>
      <c r="W3170" s="1" t="str">
        <f>IFERROR(__xludf.DUMMYFUNCTION("""COMPUTED_VALUE"""),"")</f>
        <v/>
      </c>
      <c r="X3170" s="1" t="str">
        <f>IFERROR(__xludf.DUMMYFUNCTION("""COMPUTED_VALUE"""),"")</f>
        <v/>
      </c>
      <c r="Y3170" s="2"/>
      <c r="Z3170" s="2" t="str">
        <f>IFERROR(__xludf.DUMMYFUNCTION("""COMPUTED_VALUE"""),"")</f>
        <v/>
      </c>
    </row>
    <row r="3171">
      <c r="A3171" s="1" t="str">
        <f>IFERROR(__xludf.DUMMYFUNCTION("""COMPUTED_VALUE"""),"")</f>
        <v/>
      </c>
      <c r="B3171" s="1"/>
      <c r="C3171" s="2"/>
      <c r="D3171" s="2"/>
      <c r="E3171" s="1"/>
      <c r="F3171" s="1"/>
      <c r="G3171" s="4" t="str">
        <f>IFERROR(__xludf.DUMMYFUNCTION("""COMPUTED_VALUE"""),"")</f>
        <v/>
      </c>
      <c r="H3171" s="4" t="str">
        <f>IFERROR(__xludf.DUMMYFUNCTION("""COMPUTED_VALUE"""),"")</f>
        <v/>
      </c>
      <c r="I3171" s="4" t="str">
        <f>IFERROR(__xludf.DUMMYFUNCTION("""COMPUTED_VALUE"""),"")</f>
        <v/>
      </c>
      <c r="J3171" s="4" t="str">
        <f>IFERROR(__xludf.DUMMYFUNCTION("""COMPUTED_VALUE"""),"")</f>
        <v/>
      </c>
      <c r="K3171" s="4" t="str">
        <f>IFERROR(__xludf.DUMMYFUNCTION("""COMPUTED_VALUE"""),"")</f>
        <v/>
      </c>
      <c r="L3171" s="4" t="str">
        <f>IFERROR(__xludf.DUMMYFUNCTION("""COMPUTED_VALUE"""),"")</f>
        <v/>
      </c>
      <c r="M3171" s="1" t="str">
        <f>IFERROR(__xludf.DUMMYFUNCTION("""COMPUTED_VALUE"""),"RFID")</f>
        <v>RFID</v>
      </c>
      <c r="N3171" s="5" t="str">
        <f>IFERROR(__xludf.DUMMYFUNCTION("""COMPUTED_VALUE"""),"")</f>
        <v/>
      </c>
      <c r="O3171" s="5" t="str">
        <f>IFERROR(__xludf.DUMMYFUNCTION("""COMPUTED_VALUE"""),"")</f>
        <v/>
      </c>
      <c r="P3171" s="5" t="str">
        <f>IFERROR(__xludf.DUMMYFUNCTION("""COMPUTED_VALUE"""),"")</f>
        <v/>
      </c>
      <c r="Q3171" s="5" t="str">
        <f>IFERROR(__xludf.DUMMYFUNCTION("""COMPUTED_VALUE"""),"")</f>
        <v/>
      </c>
      <c r="R3171" s="4" t="str">
        <f>IFERROR(__xludf.DUMMYFUNCTION("""COMPUTED_VALUE"""),"")</f>
        <v/>
      </c>
      <c r="S3171" s="1" t="b">
        <f>IFERROR(__xludf.DUMMYFUNCTION("""COMPUTED_VALUE"""),FALSE)</f>
        <v>0</v>
      </c>
      <c r="T3171" s="1" t="b">
        <f>IFERROR(__xludf.DUMMYFUNCTION("""COMPUTED_VALUE"""),FALSE)</f>
        <v>0</v>
      </c>
      <c r="U3171" s="1" t="str">
        <f>IFERROR(__xludf.DUMMYFUNCTION("""COMPUTED_VALUE"""),"")</f>
        <v/>
      </c>
      <c r="V3171" s="1" t="str">
        <f>IFERROR(__xludf.DUMMYFUNCTION("""COMPUTED_VALUE"""),"")</f>
        <v/>
      </c>
      <c r="W3171" s="1" t="str">
        <f>IFERROR(__xludf.DUMMYFUNCTION("""COMPUTED_VALUE"""),"")</f>
        <v/>
      </c>
      <c r="X3171" s="1" t="str">
        <f>IFERROR(__xludf.DUMMYFUNCTION("""COMPUTED_VALUE"""),"")</f>
        <v/>
      </c>
      <c r="Y3171" s="2"/>
      <c r="Z3171" s="2" t="str">
        <f>IFERROR(__xludf.DUMMYFUNCTION("""COMPUTED_VALUE"""),"")</f>
        <v/>
      </c>
    </row>
    <row r="3172">
      <c r="A3172" s="1" t="str">
        <f>IFERROR(__xludf.DUMMYFUNCTION("""COMPUTED_VALUE"""),"")</f>
        <v/>
      </c>
      <c r="B3172" s="1"/>
      <c r="C3172" s="2"/>
      <c r="D3172" s="2"/>
      <c r="E3172" s="1"/>
      <c r="F3172" s="1"/>
      <c r="G3172" s="4" t="str">
        <f>IFERROR(__xludf.DUMMYFUNCTION("""COMPUTED_VALUE"""),"")</f>
        <v/>
      </c>
      <c r="H3172" s="4" t="str">
        <f>IFERROR(__xludf.DUMMYFUNCTION("""COMPUTED_VALUE"""),"")</f>
        <v/>
      </c>
      <c r="I3172" s="4" t="str">
        <f>IFERROR(__xludf.DUMMYFUNCTION("""COMPUTED_VALUE"""),"")</f>
        <v/>
      </c>
      <c r="J3172" s="4" t="str">
        <f>IFERROR(__xludf.DUMMYFUNCTION("""COMPUTED_VALUE"""),"")</f>
        <v/>
      </c>
      <c r="K3172" s="4" t="str">
        <f>IFERROR(__xludf.DUMMYFUNCTION("""COMPUTED_VALUE"""),"")</f>
        <v/>
      </c>
      <c r="L3172" s="4" t="str">
        <f>IFERROR(__xludf.DUMMYFUNCTION("""COMPUTED_VALUE"""),"")</f>
        <v/>
      </c>
      <c r="M3172" s="1" t="str">
        <f>IFERROR(__xludf.DUMMYFUNCTION("""COMPUTED_VALUE"""),"RFID")</f>
        <v>RFID</v>
      </c>
      <c r="N3172" s="5" t="str">
        <f>IFERROR(__xludf.DUMMYFUNCTION("""COMPUTED_VALUE"""),"")</f>
        <v/>
      </c>
      <c r="O3172" s="5" t="str">
        <f>IFERROR(__xludf.DUMMYFUNCTION("""COMPUTED_VALUE"""),"")</f>
        <v/>
      </c>
      <c r="P3172" s="5" t="str">
        <f>IFERROR(__xludf.DUMMYFUNCTION("""COMPUTED_VALUE"""),"")</f>
        <v/>
      </c>
      <c r="Q3172" s="5" t="str">
        <f>IFERROR(__xludf.DUMMYFUNCTION("""COMPUTED_VALUE"""),"")</f>
        <v/>
      </c>
      <c r="R3172" s="4" t="str">
        <f>IFERROR(__xludf.DUMMYFUNCTION("""COMPUTED_VALUE"""),"")</f>
        <v/>
      </c>
      <c r="S3172" s="1" t="b">
        <f>IFERROR(__xludf.DUMMYFUNCTION("""COMPUTED_VALUE"""),FALSE)</f>
        <v>0</v>
      </c>
      <c r="T3172" s="1" t="b">
        <f>IFERROR(__xludf.DUMMYFUNCTION("""COMPUTED_VALUE"""),FALSE)</f>
        <v>0</v>
      </c>
      <c r="U3172" s="1" t="str">
        <f>IFERROR(__xludf.DUMMYFUNCTION("""COMPUTED_VALUE"""),"")</f>
        <v/>
      </c>
      <c r="V3172" s="1" t="str">
        <f>IFERROR(__xludf.DUMMYFUNCTION("""COMPUTED_VALUE"""),"")</f>
        <v/>
      </c>
      <c r="W3172" s="1" t="str">
        <f>IFERROR(__xludf.DUMMYFUNCTION("""COMPUTED_VALUE"""),"")</f>
        <v/>
      </c>
      <c r="X3172" s="1" t="str">
        <f>IFERROR(__xludf.DUMMYFUNCTION("""COMPUTED_VALUE"""),"")</f>
        <v/>
      </c>
      <c r="Y3172" s="2"/>
      <c r="Z3172" s="2" t="str">
        <f>IFERROR(__xludf.DUMMYFUNCTION("""COMPUTED_VALUE"""),"")</f>
        <v/>
      </c>
    </row>
    <row r="3173">
      <c r="A3173" s="1" t="str">
        <f>IFERROR(__xludf.DUMMYFUNCTION("""COMPUTED_VALUE"""),"")</f>
        <v/>
      </c>
      <c r="B3173" s="1"/>
      <c r="C3173" s="2"/>
      <c r="D3173" s="2"/>
      <c r="E3173" s="1"/>
      <c r="F3173" s="1"/>
      <c r="G3173" s="4" t="str">
        <f>IFERROR(__xludf.DUMMYFUNCTION("""COMPUTED_VALUE"""),"")</f>
        <v/>
      </c>
      <c r="H3173" s="4" t="str">
        <f>IFERROR(__xludf.DUMMYFUNCTION("""COMPUTED_VALUE"""),"")</f>
        <v/>
      </c>
      <c r="I3173" s="4" t="str">
        <f>IFERROR(__xludf.DUMMYFUNCTION("""COMPUTED_VALUE"""),"")</f>
        <v/>
      </c>
      <c r="J3173" s="4" t="str">
        <f>IFERROR(__xludf.DUMMYFUNCTION("""COMPUTED_VALUE"""),"")</f>
        <v/>
      </c>
      <c r="K3173" s="4" t="str">
        <f>IFERROR(__xludf.DUMMYFUNCTION("""COMPUTED_VALUE"""),"")</f>
        <v/>
      </c>
      <c r="L3173" s="4" t="str">
        <f>IFERROR(__xludf.DUMMYFUNCTION("""COMPUTED_VALUE"""),"")</f>
        <v/>
      </c>
      <c r="M3173" s="1" t="str">
        <f>IFERROR(__xludf.DUMMYFUNCTION("""COMPUTED_VALUE"""),"RFID")</f>
        <v>RFID</v>
      </c>
      <c r="N3173" s="5" t="str">
        <f>IFERROR(__xludf.DUMMYFUNCTION("""COMPUTED_VALUE"""),"")</f>
        <v/>
      </c>
      <c r="O3173" s="5" t="str">
        <f>IFERROR(__xludf.DUMMYFUNCTION("""COMPUTED_VALUE"""),"")</f>
        <v/>
      </c>
      <c r="P3173" s="5" t="str">
        <f>IFERROR(__xludf.DUMMYFUNCTION("""COMPUTED_VALUE"""),"")</f>
        <v/>
      </c>
      <c r="Q3173" s="5" t="str">
        <f>IFERROR(__xludf.DUMMYFUNCTION("""COMPUTED_VALUE"""),"")</f>
        <v/>
      </c>
      <c r="R3173" s="4" t="str">
        <f>IFERROR(__xludf.DUMMYFUNCTION("""COMPUTED_VALUE"""),"")</f>
        <v/>
      </c>
      <c r="S3173" s="1" t="b">
        <f>IFERROR(__xludf.DUMMYFUNCTION("""COMPUTED_VALUE"""),FALSE)</f>
        <v>0</v>
      </c>
      <c r="T3173" s="1" t="b">
        <f>IFERROR(__xludf.DUMMYFUNCTION("""COMPUTED_VALUE"""),FALSE)</f>
        <v>0</v>
      </c>
      <c r="U3173" s="1" t="str">
        <f>IFERROR(__xludf.DUMMYFUNCTION("""COMPUTED_VALUE"""),"")</f>
        <v/>
      </c>
      <c r="V3173" s="1" t="str">
        <f>IFERROR(__xludf.DUMMYFUNCTION("""COMPUTED_VALUE"""),"")</f>
        <v/>
      </c>
      <c r="W3173" s="1" t="str">
        <f>IFERROR(__xludf.DUMMYFUNCTION("""COMPUTED_VALUE"""),"")</f>
        <v/>
      </c>
      <c r="X3173" s="1" t="str">
        <f>IFERROR(__xludf.DUMMYFUNCTION("""COMPUTED_VALUE"""),"")</f>
        <v/>
      </c>
      <c r="Y3173" s="2"/>
      <c r="Z3173" s="2" t="str">
        <f>IFERROR(__xludf.DUMMYFUNCTION("""COMPUTED_VALUE"""),"")</f>
        <v/>
      </c>
    </row>
    <row r="3174">
      <c r="A3174" s="1" t="str">
        <f>IFERROR(__xludf.DUMMYFUNCTION("""COMPUTED_VALUE"""),"")</f>
        <v/>
      </c>
      <c r="B3174" s="1"/>
      <c r="C3174" s="2"/>
      <c r="D3174" s="2"/>
      <c r="E3174" s="1"/>
      <c r="F3174" s="1"/>
      <c r="G3174" s="4" t="str">
        <f>IFERROR(__xludf.DUMMYFUNCTION("""COMPUTED_VALUE"""),"")</f>
        <v/>
      </c>
      <c r="H3174" s="4" t="str">
        <f>IFERROR(__xludf.DUMMYFUNCTION("""COMPUTED_VALUE"""),"")</f>
        <v/>
      </c>
      <c r="I3174" s="4" t="str">
        <f>IFERROR(__xludf.DUMMYFUNCTION("""COMPUTED_VALUE"""),"")</f>
        <v/>
      </c>
      <c r="J3174" s="4" t="str">
        <f>IFERROR(__xludf.DUMMYFUNCTION("""COMPUTED_VALUE"""),"")</f>
        <v/>
      </c>
      <c r="K3174" s="4" t="str">
        <f>IFERROR(__xludf.DUMMYFUNCTION("""COMPUTED_VALUE"""),"")</f>
        <v/>
      </c>
      <c r="L3174" s="4" t="str">
        <f>IFERROR(__xludf.DUMMYFUNCTION("""COMPUTED_VALUE"""),"")</f>
        <v/>
      </c>
      <c r="M3174" s="1" t="str">
        <f>IFERROR(__xludf.DUMMYFUNCTION("""COMPUTED_VALUE"""),"RFID")</f>
        <v>RFID</v>
      </c>
      <c r="N3174" s="5" t="str">
        <f>IFERROR(__xludf.DUMMYFUNCTION("""COMPUTED_VALUE"""),"")</f>
        <v/>
      </c>
      <c r="O3174" s="5" t="str">
        <f>IFERROR(__xludf.DUMMYFUNCTION("""COMPUTED_VALUE"""),"")</f>
        <v/>
      </c>
      <c r="P3174" s="5" t="str">
        <f>IFERROR(__xludf.DUMMYFUNCTION("""COMPUTED_VALUE"""),"")</f>
        <v/>
      </c>
      <c r="Q3174" s="5" t="str">
        <f>IFERROR(__xludf.DUMMYFUNCTION("""COMPUTED_VALUE"""),"")</f>
        <v/>
      </c>
      <c r="R3174" s="4" t="str">
        <f>IFERROR(__xludf.DUMMYFUNCTION("""COMPUTED_VALUE"""),"")</f>
        <v/>
      </c>
      <c r="S3174" s="1" t="b">
        <f>IFERROR(__xludf.DUMMYFUNCTION("""COMPUTED_VALUE"""),FALSE)</f>
        <v>0</v>
      </c>
      <c r="T3174" s="1" t="b">
        <f>IFERROR(__xludf.DUMMYFUNCTION("""COMPUTED_VALUE"""),FALSE)</f>
        <v>0</v>
      </c>
      <c r="U3174" s="1" t="str">
        <f>IFERROR(__xludf.DUMMYFUNCTION("""COMPUTED_VALUE"""),"")</f>
        <v/>
      </c>
      <c r="V3174" s="1" t="str">
        <f>IFERROR(__xludf.DUMMYFUNCTION("""COMPUTED_VALUE"""),"")</f>
        <v/>
      </c>
      <c r="W3174" s="1" t="str">
        <f>IFERROR(__xludf.DUMMYFUNCTION("""COMPUTED_VALUE"""),"")</f>
        <v/>
      </c>
      <c r="X3174" s="1" t="str">
        <f>IFERROR(__xludf.DUMMYFUNCTION("""COMPUTED_VALUE"""),"")</f>
        <v/>
      </c>
      <c r="Y3174" s="2"/>
      <c r="Z3174" s="2" t="str">
        <f>IFERROR(__xludf.DUMMYFUNCTION("""COMPUTED_VALUE"""),"")</f>
        <v/>
      </c>
    </row>
    <row r="3175">
      <c r="A3175" s="1" t="str">
        <f>IFERROR(__xludf.DUMMYFUNCTION("""COMPUTED_VALUE"""),"")</f>
        <v/>
      </c>
      <c r="B3175" s="1"/>
      <c r="C3175" s="2"/>
      <c r="D3175" s="2"/>
      <c r="E3175" s="1"/>
      <c r="F3175" s="1"/>
      <c r="G3175" s="4" t="str">
        <f>IFERROR(__xludf.DUMMYFUNCTION("""COMPUTED_VALUE"""),"")</f>
        <v/>
      </c>
      <c r="H3175" s="4" t="str">
        <f>IFERROR(__xludf.DUMMYFUNCTION("""COMPUTED_VALUE"""),"")</f>
        <v/>
      </c>
      <c r="I3175" s="4" t="str">
        <f>IFERROR(__xludf.DUMMYFUNCTION("""COMPUTED_VALUE"""),"")</f>
        <v/>
      </c>
      <c r="J3175" s="4" t="str">
        <f>IFERROR(__xludf.DUMMYFUNCTION("""COMPUTED_VALUE"""),"")</f>
        <v/>
      </c>
      <c r="K3175" s="4" t="str">
        <f>IFERROR(__xludf.DUMMYFUNCTION("""COMPUTED_VALUE"""),"")</f>
        <v/>
      </c>
      <c r="L3175" s="4" t="str">
        <f>IFERROR(__xludf.DUMMYFUNCTION("""COMPUTED_VALUE"""),"")</f>
        <v/>
      </c>
      <c r="M3175" s="1" t="str">
        <f>IFERROR(__xludf.DUMMYFUNCTION("""COMPUTED_VALUE"""),"RFID")</f>
        <v>RFID</v>
      </c>
      <c r="N3175" s="5" t="str">
        <f>IFERROR(__xludf.DUMMYFUNCTION("""COMPUTED_VALUE"""),"")</f>
        <v/>
      </c>
      <c r="O3175" s="5" t="str">
        <f>IFERROR(__xludf.DUMMYFUNCTION("""COMPUTED_VALUE"""),"")</f>
        <v/>
      </c>
      <c r="P3175" s="5" t="str">
        <f>IFERROR(__xludf.DUMMYFUNCTION("""COMPUTED_VALUE"""),"")</f>
        <v/>
      </c>
      <c r="Q3175" s="5" t="str">
        <f>IFERROR(__xludf.DUMMYFUNCTION("""COMPUTED_VALUE"""),"")</f>
        <v/>
      </c>
      <c r="R3175" s="4" t="str">
        <f>IFERROR(__xludf.DUMMYFUNCTION("""COMPUTED_VALUE"""),"")</f>
        <v/>
      </c>
      <c r="S3175" s="1" t="b">
        <f>IFERROR(__xludf.DUMMYFUNCTION("""COMPUTED_VALUE"""),FALSE)</f>
        <v>0</v>
      </c>
      <c r="T3175" s="1" t="b">
        <f>IFERROR(__xludf.DUMMYFUNCTION("""COMPUTED_VALUE"""),FALSE)</f>
        <v>0</v>
      </c>
      <c r="U3175" s="1" t="str">
        <f>IFERROR(__xludf.DUMMYFUNCTION("""COMPUTED_VALUE"""),"")</f>
        <v/>
      </c>
      <c r="V3175" s="1" t="str">
        <f>IFERROR(__xludf.DUMMYFUNCTION("""COMPUTED_VALUE"""),"")</f>
        <v/>
      </c>
      <c r="W3175" s="1" t="str">
        <f>IFERROR(__xludf.DUMMYFUNCTION("""COMPUTED_VALUE"""),"")</f>
        <v/>
      </c>
      <c r="X3175" s="1" t="str">
        <f>IFERROR(__xludf.DUMMYFUNCTION("""COMPUTED_VALUE"""),"")</f>
        <v/>
      </c>
      <c r="Y3175" s="2"/>
      <c r="Z3175" s="2" t="str">
        <f>IFERROR(__xludf.DUMMYFUNCTION("""COMPUTED_VALUE"""),"")</f>
        <v/>
      </c>
    </row>
    <row r="3176">
      <c r="A3176" s="1" t="str">
        <f>IFERROR(__xludf.DUMMYFUNCTION("""COMPUTED_VALUE"""),"")</f>
        <v/>
      </c>
      <c r="B3176" s="1"/>
      <c r="C3176" s="2"/>
      <c r="D3176" s="2"/>
      <c r="E3176" s="1"/>
      <c r="F3176" s="1"/>
      <c r="G3176" s="4" t="str">
        <f>IFERROR(__xludf.DUMMYFUNCTION("""COMPUTED_VALUE"""),"")</f>
        <v/>
      </c>
      <c r="H3176" s="4" t="str">
        <f>IFERROR(__xludf.DUMMYFUNCTION("""COMPUTED_VALUE"""),"")</f>
        <v/>
      </c>
      <c r="I3176" s="4" t="str">
        <f>IFERROR(__xludf.DUMMYFUNCTION("""COMPUTED_VALUE"""),"")</f>
        <v/>
      </c>
      <c r="J3176" s="4" t="str">
        <f>IFERROR(__xludf.DUMMYFUNCTION("""COMPUTED_VALUE"""),"")</f>
        <v/>
      </c>
      <c r="K3176" s="4" t="str">
        <f>IFERROR(__xludf.DUMMYFUNCTION("""COMPUTED_VALUE"""),"")</f>
        <v/>
      </c>
      <c r="L3176" s="4" t="str">
        <f>IFERROR(__xludf.DUMMYFUNCTION("""COMPUTED_VALUE"""),"")</f>
        <v/>
      </c>
      <c r="M3176" s="1" t="str">
        <f>IFERROR(__xludf.DUMMYFUNCTION("""COMPUTED_VALUE"""),"RFID")</f>
        <v>RFID</v>
      </c>
      <c r="N3176" s="5" t="str">
        <f>IFERROR(__xludf.DUMMYFUNCTION("""COMPUTED_VALUE"""),"")</f>
        <v/>
      </c>
      <c r="O3176" s="5" t="str">
        <f>IFERROR(__xludf.DUMMYFUNCTION("""COMPUTED_VALUE"""),"")</f>
        <v/>
      </c>
      <c r="P3176" s="5" t="str">
        <f>IFERROR(__xludf.DUMMYFUNCTION("""COMPUTED_VALUE"""),"")</f>
        <v/>
      </c>
      <c r="Q3176" s="5" t="str">
        <f>IFERROR(__xludf.DUMMYFUNCTION("""COMPUTED_VALUE"""),"")</f>
        <v/>
      </c>
      <c r="R3176" s="4" t="str">
        <f>IFERROR(__xludf.DUMMYFUNCTION("""COMPUTED_VALUE"""),"")</f>
        <v/>
      </c>
      <c r="S3176" s="1" t="b">
        <f>IFERROR(__xludf.DUMMYFUNCTION("""COMPUTED_VALUE"""),FALSE)</f>
        <v>0</v>
      </c>
      <c r="T3176" s="1" t="b">
        <f>IFERROR(__xludf.DUMMYFUNCTION("""COMPUTED_VALUE"""),FALSE)</f>
        <v>0</v>
      </c>
      <c r="U3176" s="1" t="str">
        <f>IFERROR(__xludf.DUMMYFUNCTION("""COMPUTED_VALUE"""),"")</f>
        <v/>
      </c>
      <c r="V3176" s="1" t="str">
        <f>IFERROR(__xludf.DUMMYFUNCTION("""COMPUTED_VALUE"""),"")</f>
        <v/>
      </c>
      <c r="W3176" s="1" t="str">
        <f>IFERROR(__xludf.DUMMYFUNCTION("""COMPUTED_VALUE"""),"")</f>
        <v/>
      </c>
      <c r="X3176" s="1" t="str">
        <f>IFERROR(__xludf.DUMMYFUNCTION("""COMPUTED_VALUE"""),"")</f>
        <v/>
      </c>
      <c r="Y3176" s="2"/>
      <c r="Z3176" s="2" t="str">
        <f>IFERROR(__xludf.DUMMYFUNCTION("""COMPUTED_VALUE"""),"")</f>
        <v/>
      </c>
    </row>
    <row r="3177">
      <c r="A3177" s="1" t="str">
        <f>IFERROR(__xludf.DUMMYFUNCTION("""COMPUTED_VALUE"""),"")</f>
        <v/>
      </c>
      <c r="B3177" s="1"/>
      <c r="C3177" s="2"/>
      <c r="D3177" s="2"/>
      <c r="E3177" s="1"/>
      <c r="F3177" s="1"/>
      <c r="G3177" s="4" t="str">
        <f>IFERROR(__xludf.DUMMYFUNCTION("""COMPUTED_VALUE"""),"")</f>
        <v/>
      </c>
      <c r="H3177" s="4" t="str">
        <f>IFERROR(__xludf.DUMMYFUNCTION("""COMPUTED_VALUE"""),"")</f>
        <v/>
      </c>
      <c r="I3177" s="4" t="str">
        <f>IFERROR(__xludf.DUMMYFUNCTION("""COMPUTED_VALUE"""),"")</f>
        <v/>
      </c>
      <c r="J3177" s="4" t="str">
        <f>IFERROR(__xludf.DUMMYFUNCTION("""COMPUTED_VALUE"""),"")</f>
        <v/>
      </c>
      <c r="K3177" s="4" t="str">
        <f>IFERROR(__xludf.DUMMYFUNCTION("""COMPUTED_VALUE"""),"")</f>
        <v/>
      </c>
      <c r="L3177" s="4" t="str">
        <f>IFERROR(__xludf.DUMMYFUNCTION("""COMPUTED_VALUE"""),"")</f>
        <v/>
      </c>
      <c r="M3177" s="1" t="str">
        <f>IFERROR(__xludf.DUMMYFUNCTION("""COMPUTED_VALUE"""),"RFID")</f>
        <v>RFID</v>
      </c>
      <c r="N3177" s="5" t="str">
        <f>IFERROR(__xludf.DUMMYFUNCTION("""COMPUTED_VALUE"""),"")</f>
        <v/>
      </c>
      <c r="O3177" s="5" t="str">
        <f>IFERROR(__xludf.DUMMYFUNCTION("""COMPUTED_VALUE"""),"")</f>
        <v/>
      </c>
      <c r="P3177" s="5" t="str">
        <f>IFERROR(__xludf.DUMMYFUNCTION("""COMPUTED_VALUE"""),"")</f>
        <v/>
      </c>
      <c r="Q3177" s="5" t="str">
        <f>IFERROR(__xludf.DUMMYFUNCTION("""COMPUTED_VALUE"""),"")</f>
        <v/>
      </c>
      <c r="R3177" s="4" t="str">
        <f>IFERROR(__xludf.DUMMYFUNCTION("""COMPUTED_VALUE"""),"")</f>
        <v/>
      </c>
      <c r="S3177" s="1" t="b">
        <f>IFERROR(__xludf.DUMMYFUNCTION("""COMPUTED_VALUE"""),FALSE)</f>
        <v>0</v>
      </c>
      <c r="T3177" s="1" t="b">
        <f>IFERROR(__xludf.DUMMYFUNCTION("""COMPUTED_VALUE"""),FALSE)</f>
        <v>0</v>
      </c>
      <c r="U3177" s="1" t="str">
        <f>IFERROR(__xludf.DUMMYFUNCTION("""COMPUTED_VALUE"""),"")</f>
        <v/>
      </c>
      <c r="V3177" s="1" t="str">
        <f>IFERROR(__xludf.DUMMYFUNCTION("""COMPUTED_VALUE"""),"")</f>
        <v/>
      </c>
      <c r="W3177" s="1" t="str">
        <f>IFERROR(__xludf.DUMMYFUNCTION("""COMPUTED_VALUE"""),"")</f>
        <v/>
      </c>
      <c r="X3177" s="1" t="str">
        <f>IFERROR(__xludf.DUMMYFUNCTION("""COMPUTED_VALUE"""),"")</f>
        <v/>
      </c>
      <c r="Y3177" s="2"/>
      <c r="Z3177" s="2" t="str">
        <f>IFERROR(__xludf.DUMMYFUNCTION("""COMPUTED_VALUE"""),"")</f>
        <v/>
      </c>
    </row>
    <row r="3178">
      <c r="A3178" s="1" t="str">
        <f>IFERROR(__xludf.DUMMYFUNCTION("""COMPUTED_VALUE"""),"")</f>
        <v/>
      </c>
      <c r="B3178" s="1"/>
      <c r="C3178" s="2"/>
      <c r="D3178" s="2"/>
      <c r="E3178" s="1"/>
      <c r="F3178" s="1"/>
      <c r="G3178" s="4" t="str">
        <f>IFERROR(__xludf.DUMMYFUNCTION("""COMPUTED_VALUE"""),"")</f>
        <v/>
      </c>
      <c r="H3178" s="4" t="str">
        <f>IFERROR(__xludf.DUMMYFUNCTION("""COMPUTED_VALUE"""),"")</f>
        <v/>
      </c>
      <c r="I3178" s="4" t="str">
        <f>IFERROR(__xludf.DUMMYFUNCTION("""COMPUTED_VALUE"""),"")</f>
        <v/>
      </c>
      <c r="J3178" s="4" t="str">
        <f>IFERROR(__xludf.DUMMYFUNCTION("""COMPUTED_VALUE"""),"")</f>
        <v/>
      </c>
      <c r="K3178" s="4" t="str">
        <f>IFERROR(__xludf.DUMMYFUNCTION("""COMPUTED_VALUE"""),"")</f>
        <v/>
      </c>
      <c r="L3178" s="4" t="str">
        <f>IFERROR(__xludf.DUMMYFUNCTION("""COMPUTED_VALUE"""),"")</f>
        <v/>
      </c>
      <c r="M3178" s="1" t="str">
        <f>IFERROR(__xludf.DUMMYFUNCTION("""COMPUTED_VALUE"""),"RFID")</f>
        <v>RFID</v>
      </c>
      <c r="N3178" s="5" t="str">
        <f>IFERROR(__xludf.DUMMYFUNCTION("""COMPUTED_VALUE"""),"")</f>
        <v/>
      </c>
      <c r="O3178" s="5" t="str">
        <f>IFERROR(__xludf.DUMMYFUNCTION("""COMPUTED_VALUE"""),"")</f>
        <v/>
      </c>
      <c r="P3178" s="5" t="str">
        <f>IFERROR(__xludf.DUMMYFUNCTION("""COMPUTED_VALUE"""),"")</f>
        <v/>
      </c>
      <c r="Q3178" s="5" t="str">
        <f>IFERROR(__xludf.DUMMYFUNCTION("""COMPUTED_VALUE"""),"")</f>
        <v/>
      </c>
      <c r="R3178" s="4" t="str">
        <f>IFERROR(__xludf.DUMMYFUNCTION("""COMPUTED_VALUE"""),"")</f>
        <v/>
      </c>
      <c r="S3178" s="1" t="b">
        <f>IFERROR(__xludf.DUMMYFUNCTION("""COMPUTED_VALUE"""),FALSE)</f>
        <v>0</v>
      </c>
      <c r="T3178" s="1" t="b">
        <f>IFERROR(__xludf.DUMMYFUNCTION("""COMPUTED_VALUE"""),FALSE)</f>
        <v>0</v>
      </c>
      <c r="U3178" s="1" t="str">
        <f>IFERROR(__xludf.DUMMYFUNCTION("""COMPUTED_VALUE"""),"")</f>
        <v/>
      </c>
      <c r="V3178" s="1" t="str">
        <f>IFERROR(__xludf.DUMMYFUNCTION("""COMPUTED_VALUE"""),"")</f>
        <v/>
      </c>
      <c r="W3178" s="1" t="str">
        <f>IFERROR(__xludf.DUMMYFUNCTION("""COMPUTED_VALUE"""),"")</f>
        <v/>
      </c>
      <c r="X3178" s="1" t="str">
        <f>IFERROR(__xludf.DUMMYFUNCTION("""COMPUTED_VALUE"""),"")</f>
        <v/>
      </c>
      <c r="Y3178" s="2"/>
      <c r="Z3178" s="2" t="str">
        <f>IFERROR(__xludf.DUMMYFUNCTION("""COMPUTED_VALUE"""),"")</f>
        <v/>
      </c>
    </row>
    <row r="3179">
      <c r="A3179" s="1" t="str">
        <f>IFERROR(__xludf.DUMMYFUNCTION("""COMPUTED_VALUE"""),"")</f>
        <v/>
      </c>
      <c r="B3179" s="1"/>
      <c r="C3179" s="2"/>
      <c r="D3179" s="2"/>
      <c r="E3179" s="1"/>
      <c r="F3179" s="1"/>
      <c r="G3179" s="4" t="str">
        <f>IFERROR(__xludf.DUMMYFUNCTION("""COMPUTED_VALUE"""),"")</f>
        <v/>
      </c>
      <c r="H3179" s="4" t="str">
        <f>IFERROR(__xludf.DUMMYFUNCTION("""COMPUTED_VALUE"""),"")</f>
        <v/>
      </c>
      <c r="I3179" s="4" t="str">
        <f>IFERROR(__xludf.DUMMYFUNCTION("""COMPUTED_VALUE"""),"")</f>
        <v/>
      </c>
      <c r="J3179" s="4" t="str">
        <f>IFERROR(__xludf.DUMMYFUNCTION("""COMPUTED_VALUE"""),"")</f>
        <v/>
      </c>
      <c r="K3179" s="4" t="str">
        <f>IFERROR(__xludf.DUMMYFUNCTION("""COMPUTED_VALUE"""),"")</f>
        <v/>
      </c>
      <c r="L3179" s="4" t="str">
        <f>IFERROR(__xludf.DUMMYFUNCTION("""COMPUTED_VALUE"""),"")</f>
        <v/>
      </c>
      <c r="M3179" s="1" t="str">
        <f>IFERROR(__xludf.DUMMYFUNCTION("""COMPUTED_VALUE"""),"RFID")</f>
        <v>RFID</v>
      </c>
      <c r="N3179" s="5" t="str">
        <f>IFERROR(__xludf.DUMMYFUNCTION("""COMPUTED_VALUE"""),"")</f>
        <v/>
      </c>
      <c r="O3179" s="5" t="str">
        <f>IFERROR(__xludf.DUMMYFUNCTION("""COMPUTED_VALUE"""),"")</f>
        <v/>
      </c>
      <c r="P3179" s="5" t="str">
        <f>IFERROR(__xludf.DUMMYFUNCTION("""COMPUTED_VALUE"""),"")</f>
        <v/>
      </c>
      <c r="Q3179" s="5" t="str">
        <f>IFERROR(__xludf.DUMMYFUNCTION("""COMPUTED_VALUE"""),"")</f>
        <v/>
      </c>
      <c r="R3179" s="4" t="str">
        <f>IFERROR(__xludf.DUMMYFUNCTION("""COMPUTED_VALUE"""),"")</f>
        <v/>
      </c>
      <c r="S3179" s="1" t="b">
        <f>IFERROR(__xludf.DUMMYFUNCTION("""COMPUTED_VALUE"""),FALSE)</f>
        <v>0</v>
      </c>
      <c r="T3179" s="1" t="b">
        <f>IFERROR(__xludf.DUMMYFUNCTION("""COMPUTED_VALUE"""),FALSE)</f>
        <v>0</v>
      </c>
      <c r="U3179" s="1" t="str">
        <f>IFERROR(__xludf.DUMMYFUNCTION("""COMPUTED_VALUE"""),"")</f>
        <v/>
      </c>
      <c r="V3179" s="1" t="str">
        <f>IFERROR(__xludf.DUMMYFUNCTION("""COMPUTED_VALUE"""),"")</f>
        <v/>
      </c>
      <c r="W3179" s="1" t="str">
        <f>IFERROR(__xludf.DUMMYFUNCTION("""COMPUTED_VALUE"""),"")</f>
        <v/>
      </c>
      <c r="X3179" s="1" t="str">
        <f>IFERROR(__xludf.DUMMYFUNCTION("""COMPUTED_VALUE"""),"")</f>
        <v/>
      </c>
      <c r="Y3179" s="2"/>
      <c r="Z3179" s="2" t="str">
        <f>IFERROR(__xludf.DUMMYFUNCTION("""COMPUTED_VALUE"""),"")</f>
        <v/>
      </c>
    </row>
    <row r="3180">
      <c r="A3180" s="1" t="str">
        <f>IFERROR(__xludf.DUMMYFUNCTION("""COMPUTED_VALUE"""),"")</f>
        <v/>
      </c>
      <c r="B3180" s="1"/>
      <c r="C3180" s="2"/>
      <c r="D3180" s="2"/>
      <c r="E3180" s="1"/>
      <c r="F3180" s="1"/>
      <c r="G3180" s="4" t="str">
        <f>IFERROR(__xludf.DUMMYFUNCTION("""COMPUTED_VALUE"""),"")</f>
        <v/>
      </c>
      <c r="H3180" s="4" t="str">
        <f>IFERROR(__xludf.DUMMYFUNCTION("""COMPUTED_VALUE"""),"")</f>
        <v/>
      </c>
      <c r="I3180" s="4" t="str">
        <f>IFERROR(__xludf.DUMMYFUNCTION("""COMPUTED_VALUE"""),"")</f>
        <v/>
      </c>
      <c r="J3180" s="4" t="str">
        <f>IFERROR(__xludf.DUMMYFUNCTION("""COMPUTED_VALUE"""),"")</f>
        <v/>
      </c>
      <c r="K3180" s="4" t="str">
        <f>IFERROR(__xludf.DUMMYFUNCTION("""COMPUTED_VALUE"""),"")</f>
        <v/>
      </c>
      <c r="L3180" s="4" t="str">
        <f>IFERROR(__xludf.DUMMYFUNCTION("""COMPUTED_VALUE"""),"")</f>
        <v/>
      </c>
      <c r="M3180" s="1" t="str">
        <f>IFERROR(__xludf.DUMMYFUNCTION("""COMPUTED_VALUE"""),"RFID")</f>
        <v>RFID</v>
      </c>
      <c r="N3180" s="5" t="str">
        <f>IFERROR(__xludf.DUMMYFUNCTION("""COMPUTED_VALUE"""),"")</f>
        <v/>
      </c>
      <c r="O3180" s="5" t="str">
        <f>IFERROR(__xludf.DUMMYFUNCTION("""COMPUTED_VALUE"""),"")</f>
        <v/>
      </c>
      <c r="P3180" s="5" t="str">
        <f>IFERROR(__xludf.DUMMYFUNCTION("""COMPUTED_VALUE"""),"")</f>
        <v/>
      </c>
      <c r="Q3180" s="5" t="str">
        <f>IFERROR(__xludf.DUMMYFUNCTION("""COMPUTED_VALUE"""),"")</f>
        <v/>
      </c>
      <c r="R3180" s="4" t="str">
        <f>IFERROR(__xludf.DUMMYFUNCTION("""COMPUTED_VALUE"""),"")</f>
        <v/>
      </c>
      <c r="S3180" s="1" t="b">
        <f>IFERROR(__xludf.DUMMYFUNCTION("""COMPUTED_VALUE"""),FALSE)</f>
        <v>0</v>
      </c>
      <c r="T3180" s="1" t="b">
        <f>IFERROR(__xludf.DUMMYFUNCTION("""COMPUTED_VALUE"""),FALSE)</f>
        <v>0</v>
      </c>
      <c r="U3180" s="1" t="str">
        <f>IFERROR(__xludf.DUMMYFUNCTION("""COMPUTED_VALUE"""),"")</f>
        <v/>
      </c>
      <c r="V3180" s="1" t="str">
        <f>IFERROR(__xludf.DUMMYFUNCTION("""COMPUTED_VALUE"""),"")</f>
        <v/>
      </c>
      <c r="W3180" s="1" t="str">
        <f>IFERROR(__xludf.DUMMYFUNCTION("""COMPUTED_VALUE"""),"")</f>
        <v/>
      </c>
      <c r="X3180" s="1" t="str">
        <f>IFERROR(__xludf.DUMMYFUNCTION("""COMPUTED_VALUE"""),"")</f>
        <v/>
      </c>
      <c r="Y3180" s="2"/>
      <c r="Z3180" s="2" t="str">
        <f>IFERROR(__xludf.DUMMYFUNCTION("""COMPUTED_VALUE"""),"")</f>
        <v/>
      </c>
    </row>
    <row r="3181">
      <c r="A3181" s="1" t="str">
        <f>IFERROR(__xludf.DUMMYFUNCTION("""COMPUTED_VALUE"""),"")</f>
        <v/>
      </c>
      <c r="B3181" s="1"/>
      <c r="C3181" s="2"/>
      <c r="D3181" s="2"/>
      <c r="E3181" s="1"/>
      <c r="F3181" s="1"/>
      <c r="G3181" s="4" t="str">
        <f>IFERROR(__xludf.DUMMYFUNCTION("""COMPUTED_VALUE"""),"")</f>
        <v/>
      </c>
      <c r="H3181" s="4" t="str">
        <f>IFERROR(__xludf.DUMMYFUNCTION("""COMPUTED_VALUE"""),"")</f>
        <v/>
      </c>
      <c r="I3181" s="4" t="str">
        <f>IFERROR(__xludf.DUMMYFUNCTION("""COMPUTED_VALUE"""),"")</f>
        <v/>
      </c>
      <c r="J3181" s="4" t="str">
        <f>IFERROR(__xludf.DUMMYFUNCTION("""COMPUTED_VALUE"""),"")</f>
        <v/>
      </c>
      <c r="K3181" s="4" t="str">
        <f>IFERROR(__xludf.DUMMYFUNCTION("""COMPUTED_VALUE"""),"")</f>
        <v/>
      </c>
      <c r="L3181" s="4" t="str">
        <f>IFERROR(__xludf.DUMMYFUNCTION("""COMPUTED_VALUE"""),"")</f>
        <v/>
      </c>
      <c r="M3181" s="1" t="str">
        <f>IFERROR(__xludf.DUMMYFUNCTION("""COMPUTED_VALUE"""),"RFID")</f>
        <v>RFID</v>
      </c>
      <c r="N3181" s="5" t="str">
        <f>IFERROR(__xludf.DUMMYFUNCTION("""COMPUTED_VALUE"""),"")</f>
        <v/>
      </c>
      <c r="O3181" s="5" t="str">
        <f>IFERROR(__xludf.DUMMYFUNCTION("""COMPUTED_VALUE"""),"")</f>
        <v/>
      </c>
      <c r="P3181" s="5" t="str">
        <f>IFERROR(__xludf.DUMMYFUNCTION("""COMPUTED_VALUE"""),"")</f>
        <v/>
      </c>
      <c r="Q3181" s="5" t="str">
        <f>IFERROR(__xludf.DUMMYFUNCTION("""COMPUTED_VALUE"""),"")</f>
        <v/>
      </c>
      <c r="R3181" s="4" t="str">
        <f>IFERROR(__xludf.DUMMYFUNCTION("""COMPUTED_VALUE"""),"")</f>
        <v/>
      </c>
      <c r="S3181" s="1" t="b">
        <f>IFERROR(__xludf.DUMMYFUNCTION("""COMPUTED_VALUE"""),FALSE)</f>
        <v>0</v>
      </c>
      <c r="T3181" s="1" t="b">
        <f>IFERROR(__xludf.DUMMYFUNCTION("""COMPUTED_VALUE"""),FALSE)</f>
        <v>0</v>
      </c>
      <c r="U3181" s="1" t="str">
        <f>IFERROR(__xludf.DUMMYFUNCTION("""COMPUTED_VALUE"""),"")</f>
        <v/>
      </c>
      <c r="V3181" s="1" t="str">
        <f>IFERROR(__xludf.DUMMYFUNCTION("""COMPUTED_VALUE"""),"")</f>
        <v/>
      </c>
      <c r="W3181" s="1" t="str">
        <f>IFERROR(__xludf.DUMMYFUNCTION("""COMPUTED_VALUE"""),"")</f>
        <v/>
      </c>
      <c r="X3181" s="1" t="str">
        <f>IFERROR(__xludf.DUMMYFUNCTION("""COMPUTED_VALUE"""),"")</f>
        <v/>
      </c>
      <c r="Y3181" s="2"/>
      <c r="Z3181" s="2" t="str">
        <f>IFERROR(__xludf.DUMMYFUNCTION("""COMPUTED_VALUE"""),"")</f>
        <v/>
      </c>
    </row>
    <row r="3182">
      <c r="A3182" s="1" t="str">
        <f>IFERROR(__xludf.DUMMYFUNCTION("""COMPUTED_VALUE"""),"")</f>
        <v/>
      </c>
      <c r="B3182" s="1"/>
      <c r="C3182" s="2"/>
      <c r="D3182" s="2"/>
      <c r="E3182" s="1"/>
      <c r="F3182" s="1"/>
      <c r="G3182" s="4" t="str">
        <f>IFERROR(__xludf.DUMMYFUNCTION("""COMPUTED_VALUE"""),"")</f>
        <v/>
      </c>
      <c r="H3182" s="4" t="str">
        <f>IFERROR(__xludf.DUMMYFUNCTION("""COMPUTED_VALUE"""),"")</f>
        <v/>
      </c>
      <c r="I3182" s="4" t="str">
        <f>IFERROR(__xludf.DUMMYFUNCTION("""COMPUTED_VALUE"""),"")</f>
        <v/>
      </c>
      <c r="J3182" s="4" t="str">
        <f>IFERROR(__xludf.DUMMYFUNCTION("""COMPUTED_VALUE"""),"")</f>
        <v/>
      </c>
      <c r="K3182" s="4" t="str">
        <f>IFERROR(__xludf.DUMMYFUNCTION("""COMPUTED_VALUE"""),"")</f>
        <v/>
      </c>
      <c r="L3182" s="4" t="str">
        <f>IFERROR(__xludf.DUMMYFUNCTION("""COMPUTED_VALUE"""),"")</f>
        <v/>
      </c>
      <c r="M3182" s="1" t="str">
        <f>IFERROR(__xludf.DUMMYFUNCTION("""COMPUTED_VALUE"""),"RFID")</f>
        <v>RFID</v>
      </c>
      <c r="N3182" s="5" t="str">
        <f>IFERROR(__xludf.DUMMYFUNCTION("""COMPUTED_VALUE"""),"")</f>
        <v/>
      </c>
      <c r="O3182" s="5" t="str">
        <f>IFERROR(__xludf.DUMMYFUNCTION("""COMPUTED_VALUE"""),"")</f>
        <v/>
      </c>
      <c r="P3182" s="5" t="str">
        <f>IFERROR(__xludf.DUMMYFUNCTION("""COMPUTED_VALUE"""),"")</f>
        <v/>
      </c>
      <c r="Q3182" s="5" t="str">
        <f>IFERROR(__xludf.DUMMYFUNCTION("""COMPUTED_VALUE"""),"")</f>
        <v/>
      </c>
      <c r="R3182" s="4" t="str">
        <f>IFERROR(__xludf.DUMMYFUNCTION("""COMPUTED_VALUE"""),"")</f>
        <v/>
      </c>
      <c r="S3182" s="1" t="b">
        <f>IFERROR(__xludf.DUMMYFUNCTION("""COMPUTED_VALUE"""),FALSE)</f>
        <v>0</v>
      </c>
      <c r="T3182" s="1" t="b">
        <f>IFERROR(__xludf.DUMMYFUNCTION("""COMPUTED_VALUE"""),FALSE)</f>
        <v>0</v>
      </c>
      <c r="U3182" s="1" t="str">
        <f>IFERROR(__xludf.DUMMYFUNCTION("""COMPUTED_VALUE"""),"")</f>
        <v/>
      </c>
      <c r="V3182" s="1" t="str">
        <f>IFERROR(__xludf.DUMMYFUNCTION("""COMPUTED_VALUE"""),"")</f>
        <v/>
      </c>
      <c r="W3182" s="1" t="str">
        <f>IFERROR(__xludf.DUMMYFUNCTION("""COMPUTED_VALUE"""),"")</f>
        <v/>
      </c>
      <c r="X3182" s="1" t="str">
        <f>IFERROR(__xludf.DUMMYFUNCTION("""COMPUTED_VALUE"""),"")</f>
        <v/>
      </c>
      <c r="Y3182" s="2"/>
      <c r="Z3182" s="2" t="str">
        <f>IFERROR(__xludf.DUMMYFUNCTION("""COMPUTED_VALUE"""),"")</f>
        <v/>
      </c>
    </row>
    <row r="3183">
      <c r="A3183" s="1" t="str">
        <f>IFERROR(__xludf.DUMMYFUNCTION("""COMPUTED_VALUE"""),"")</f>
        <v/>
      </c>
      <c r="B3183" s="1"/>
      <c r="C3183" s="2"/>
      <c r="D3183" s="2"/>
      <c r="E3183" s="1"/>
      <c r="F3183" s="1"/>
      <c r="G3183" s="4" t="str">
        <f>IFERROR(__xludf.DUMMYFUNCTION("""COMPUTED_VALUE"""),"")</f>
        <v/>
      </c>
      <c r="H3183" s="4" t="str">
        <f>IFERROR(__xludf.DUMMYFUNCTION("""COMPUTED_VALUE"""),"")</f>
        <v/>
      </c>
      <c r="I3183" s="4" t="str">
        <f>IFERROR(__xludf.DUMMYFUNCTION("""COMPUTED_VALUE"""),"")</f>
        <v/>
      </c>
      <c r="J3183" s="4" t="str">
        <f>IFERROR(__xludf.DUMMYFUNCTION("""COMPUTED_VALUE"""),"")</f>
        <v/>
      </c>
      <c r="K3183" s="4" t="str">
        <f>IFERROR(__xludf.DUMMYFUNCTION("""COMPUTED_VALUE"""),"")</f>
        <v/>
      </c>
      <c r="L3183" s="4" t="str">
        <f>IFERROR(__xludf.DUMMYFUNCTION("""COMPUTED_VALUE"""),"")</f>
        <v/>
      </c>
      <c r="M3183" s="1" t="str">
        <f>IFERROR(__xludf.DUMMYFUNCTION("""COMPUTED_VALUE"""),"RFID")</f>
        <v>RFID</v>
      </c>
      <c r="N3183" s="5" t="str">
        <f>IFERROR(__xludf.DUMMYFUNCTION("""COMPUTED_VALUE"""),"")</f>
        <v/>
      </c>
      <c r="O3183" s="5" t="str">
        <f>IFERROR(__xludf.DUMMYFUNCTION("""COMPUTED_VALUE"""),"")</f>
        <v/>
      </c>
      <c r="P3183" s="5" t="str">
        <f>IFERROR(__xludf.DUMMYFUNCTION("""COMPUTED_VALUE"""),"")</f>
        <v/>
      </c>
      <c r="Q3183" s="5" t="str">
        <f>IFERROR(__xludf.DUMMYFUNCTION("""COMPUTED_VALUE"""),"")</f>
        <v/>
      </c>
      <c r="R3183" s="4" t="str">
        <f>IFERROR(__xludf.DUMMYFUNCTION("""COMPUTED_VALUE"""),"")</f>
        <v/>
      </c>
      <c r="S3183" s="1" t="b">
        <f>IFERROR(__xludf.DUMMYFUNCTION("""COMPUTED_VALUE"""),FALSE)</f>
        <v>0</v>
      </c>
      <c r="T3183" s="1" t="b">
        <f>IFERROR(__xludf.DUMMYFUNCTION("""COMPUTED_VALUE"""),FALSE)</f>
        <v>0</v>
      </c>
      <c r="U3183" s="1" t="str">
        <f>IFERROR(__xludf.DUMMYFUNCTION("""COMPUTED_VALUE"""),"")</f>
        <v/>
      </c>
      <c r="V3183" s="1" t="str">
        <f>IFERROR(__xludf.DUMMYFUNCTION("""COMPUTED_VALUE"""),"")</f>
        <v/>
      </c>
      <c r="W3183" s="1" t="str">
        <f>IFERROR(__xludf.DUMMYFUNCTION("""COMPUTED_VALUE"""),"")</f>
        <v/>
      </c>
      <c r="X3183" s="1" t="str">
        <f>IFERROR(__xludf.DUMMYFUNCTION("""COMPUTED_VALUE"""),"")</f>
        <v/>
      </c>
      <c r="Y3183" s="2"/>
      <c r="Z3183" s="2" t="str">
        <f>IFERROR(__xludf.DUMMYFUNCTION("""COMPUTED_VALUE"""),"")</f>
        <v/>
      </c>
    </row>
    <row r="3184">
      <c r="A3184" s="1" t="str">
        <f>IFERROR(__xludf.DUMMYFUNCTION("""COMPUTED_VALUE"""),"")</f>
        <v/>
      </c>
      <c r="B3184" s="1"/>
      <c r="C3184" s="2"/>
      <c r="D3184" s="2"/>
      <c r="E3184" s="1"/>
      <c r="F3184" s="1"/>
      <c r="G3184" s="4" t="str">
        <f>IFERROR(__xludf.DUMMYFUNCTION("""COMPUTED_VALUE"""),"")</f>
        <v/>
      </c>
      <c r="H3184" s="4" t="str">
        <f>IFERROR(__xludf.DUMMYFUNCTION("""COMPUTED_VALUE"""),"")</f>
        <v/>
      </c>
      <c r="I3184" s="4" t="str">
        <f>IFERROR(__xludf.DUMMYFUNCTION("""COMPUTED_VALUE"""),"")</f>
        <v/>
      </c>
      <c r="J3184" s="4" t="str">
        <f>IFERROR(__xludf.DUMMYFUNCTION("""COMPUTED_VALUE"""),"")</f>
        <v/>
      </c>
      <c r="K3184" s="4" t="str">
        <f>IFERROR(__xludf.DUMMYFUNCTION("""COMPUTED_VALUE"""),"")</f>
        <v/>
      </c>
      <c r="L3184" s="4" t="str">
        <f>IFERROR(__xludf.DUMMYFUNCTION("""COMPUTED_VALUE"""),"")</f>
        <v/>
      </c>
      <c r="M3184" s="1" t="str">
        <f>IFERROR(__xludf.DUMMYFUNCTION("""COMPUTED_VALUE"""),"RFID")</f>
        <v>RFID</v>
      </c>
      <c r="N3184" s="5" t="str">
        <f>IFERROR(__xludf.DUMMYFUNCTION("""COMPUTED_VALUE"""),"")</f>
        <v/>
      </c>
      <c r="O3184" s="5" t="str">
        <f>IFERROR(__xludf.DUMMYFUNCTION("""COMPUTED_VALUE"""),"")</f>
        <v/>
      </c>
      <c r="P3184" s="5" t="str">
        <f>IFERROR(__xludf.DUMMYFUNCTION("""COMPUTED_VALUE"""),"")</f>
        <v/>
      </c>
      <c r="Q3184" s="5" t="str">
        <f>IFERROR(__xludf.DUMMYFUNCTION("""COMPUTED_VALUE"""),"")</f>
        <v/>
      </c>
      <c r="R3184" s="4" t="str">
        <f>IFERROR(__xludf.DUMMYFUNCTION("""COMPUTED_VALUE"""),"")</f>
        <v/>
      </c>
      <c r="S3184" s="1" t="b">
        <f>IFERROR(__xludf.DUMMYFUNCTION("""COMPUTED_VALUE"""),FALSE)</f>
        <v>0</v>
      </c>
      <c r="T3184" s="1" t="b">
        <f>IFERROR(__xludf.DUMMYFUNCTION("""COMPUTED_VALUE"""),FALSE)</f>
        <v>0</v>
      </c>
      <c r="U3184" s="1" t="str">
        <f>IFERROR(__xludf.DUMMYFUNCTION("""COMPUTED_VALUE"""),"")</f>
        <v/>
      </c>
      <c r="V3184" s="1" t="str">
        <f>IFERROR(__xludf.DUMMYFUNCTION("""COMPUTED_VALUE"""),"")</f>
        <v/>
      </c>
      <c r="W3184" s="1" t="str">
        <f>IFERROR(__xludf.DUMMYFUNCTION("""COMPUTED_VALUE"""),"")</f>
        <v/>
      </c>
      <c r="X3184" s="1" t="str">
        <f>IFERROR(__xludf.DUMMYFUNCTION("""COMPUTED_VALUE"""),"")</f>
        <v/>
      </c>
      <c r="Y3184" s="2"/>
      <c r="Z3184" s="2" t="str">
        <f>IFERROR(__xludf.DUMMYFUNCTION("""COMPUTED_VALUE"""),"")</f>
        <v/>
      </c>
    </row>
    <row r="3185">
      <c r="A3185" s="1" t="str">
        <f>IFERROR(__xludf.DUMMYFUNCTION("""COMPUTED_VALUE"""),"")</f>
        <v/>
      </c>
      <c r="B3185" s="1"/>
      <c r="C3185" s="2"/>
      <c r="D3185" s="2"/>
      <c r="E3185" s="1"/>
      <c r="F3185" s="1"/>
      <c r="G3185" s="4" t="str">
        <f>IFERROR(__xludf.DUMMYFUNCTION("""COMPUTED_VALUE"""),"")</f>
        <v/>
      </c>
      <c r="H3185" s="4" t="str">
        <f>IFERROR(__xludf.DUMMYFUNCTION("""COMPUTED_VALUE"""),"")</f>
        <v/>
      </c>
      <c r="I3185" s="4" t="str">
        <f>IFERROR(__xludf.DUMMYFUNCTION("""COMPUTED_VALUE"""),"")</f>
        <v/>
      </c>
      <c r="J3185" s="4" t="str">
        <f>IFERROR(__xludf.DUMMYFUNCTION("""COMPUTED_VALUE"""),"")</f>
        <v/>
      </c>
      <c r="K3185" s="4" t="str">
        <f>IFERROR(__xludf.DUMMYFUNCTION("""COMPUTED_VALUE"""),"")</f>
        <v/>
      </c>
      <c r="L3185" s="4" t="str">
        <f>IFERROR(__xludf.DUMMYFUNCTION("""COMPUTED_VALUE"""),"")</f>
        <v/>
      </c>
      <c r="M3185" s="1" t="str">
        <f>IFERROR(__xludf.DUMMYFUNCTION("""COMPUTED_VALUE"""),"RFID")</f>
        <v>RFID</v>
      </c>
      <c r="N3185" s="5" t="str">
        <f>IFERROR(__xludf.DUMMYFUNCTION("""COMPUTED_VALUE"""),"")</f>
        <v/>
      </c>
      <c r="O3185" s="5" t="str">
        <f>IFERROR(__xludf.DUMMYFUNCTION("""COMPUTED_VALUE"""),"")</f>
        <v/>
      </c>
      <c r="P3185" s="5" t="str">
        <f>IFERROR(__xludf.DUMMYFUNCTION("""COMPUTED_VALUE"""),"")</f>
        <v/>
      </c>
      <c r="Q3185" s="5" t="str">
        <f>IFERROR(__xludf.DUMMYFUNCTION("""COMPUTED_VALUE"""),"")</f>
        <v/>
      </c>
      <c r="R3185" s="4" t="str">
        <f>IFERROR(__xludf.DUMMYFUNCTION("""COMPUTED_VALUE"""),"")</f>
        <v/>
      </c>
      <c r="S3185" s="1" t="b">
        <f>IFERROR(__xludf.DUMMYFUNCTION("""COMPUTED_VALUE"""),FALSE)</f>
        <v>0</v>
      </c>
      <c r="T3185" s="1" t="b">
        <f>IFERROR(__xludf.DUMMYFUNCTION("""COMPUTED_VALUE"""),FALSE)</f>
        <v>0</v>
      </c>
      <c r="U3185" s="1" t="str">
        <f>IFERROR(__xludf.DUMMYFUNCTION("""COMPUTED_VALUE"""),"")</f>
        <v/>
      </c>
      <c r="V3185" s="1" t="str">
        <f>IFERROR(__xludf.DUMMYFUNCTION("""COMPUTED_VALUE"""),"")</f>
        <v/>
      </c>
      <c r="W3185" s="1" t="str">
        <f>IFERROR(__xludf.DUMMYFUNCTION("""COMPUTED_VALUE"""),"")</f>
        <v/>
      </c>
      <c r="X3185" s="1" t="str">
        <f>IFERROR(__xludf.DUMMYFUNCTION("""COMPUTED_VALUE"""),"")</f>
        <v/>
      </c>
      <c r="Y3185" s="2"/>
      <c r="Z3185" s="2" t="str">
        <f>IFERROR(__xludf.DUMMYFUNCTION("""COMPUTED_VALUE"""),"")</f>
        <v/>
      </c>
    </row>
    <row r="3186">
      <c r="A3186" s="1" t="str">
        <f>IFERROR(__xludf.DUMMYFUNCTION("""COMPUTED_VALUE"""),"")</f>
        <v/>
      </c>
      <c r="B3186" s="1"/>
      <c r="C3186" s="2"/>
      <c r="D3186" s="2"/>
      <c r="E3186" s="1"/>
      <c r="F3186" s="1"/>
      <c r="G3186" s="4" t="str">
        <f>IFERROR(__xludf.DUMMYFUNCTION("""COMPUTED_VALUE"""),"")</f>
        <v/>
      </c>
      <c r="H3186" s="4" t="str">
        <f>IFERROR(__xludf.DUMMYFUNCTION("""COMPUTED_VALUE"""),"")</f>
        <v/>
      </c>
      <c r="I3186" s="4" t="str">
        <f>IFERROR(__xludf.DUMMYFUNCTION("""COMPUTED_VALUE"""),"")</f>
        <v/>
      </c>
      <c r="J3186" s="4" t="str">
        <f>IFERROR(__xludf.DUMMYFUNCTION("""COMPUTED_VALUE"""),"")</f>
        <v/>
      </c>
      <c r="K3186" s="4" t="str">
        <f>IFERROR(__xludf.DUMMYFUNCTION("""COMPUTED_VALUE"""),"")</f>
        <v/>
      </c>
      <c r="L3186" s="4" t="str">
        <f>IFERROR(__xludf.DUMMYFUNCTION("""COMPUTED_VALUE"""),"")</f>
        <v/>
      </c>
      <c r="M3186" s="1" t="str">
        <f>IFERROR(__xludf.DUMMYFUNCTION("""COMPUTED_VALUE"""),"RFID")</f>
        <v>RFID</v>
      </c>
      <c r="N3186" s="5" t="str">
        <f>IFERROR(__xludf.DUMMYFUNCTION("""COMPUTED_VALUE"""),"")</f>
        <v/>
      </c>
      <c r="O3186" s="5" t="str">
        <f>IFERROR(__xludf.DUMMYFUNCTION("""COMPUTED_VALUE"""),"")</f>
        <v/>
      </c>
      <c r="P3186" s="5" t="str">
        <f>IFERROR(__xludf.DUMMYFUNCTION("""COMPUTED_VALUE"""),"")</f>
        <v/>
      </c>
      <c r="Q3186" s="5" t="str">
        <f>IFERROR(__xludf.DUMMYFUNCTION("""COMPUTED_VALUE"""),"")</f>
        <v/>
      </c>
      <c r="R3186" s="4" t="str">
        <f>IFERROR(__xludf.DUMMYFUNCTION("""COMPUTED_VALUE"""),"")</f>
        <v/>
      </c>
      <c r="S3186" s="1" t="b">
        <f>IFERROR(__xludf.DUMMYFUNCTION("""COMPUTED_VALUE"""),FALSE)</f>
        <v>0</v>
      </c>
      <c r="T3186" s="1" t="b">
        <f>IFERROR(__xludf.DUMMYFUNCTION("""COMPUTED_VALUE"""),FALSE)</f>
        <v>0</v>
      </c>
      <c r="U3186" s="1" t="str">
        <f>IFERROR(__xludf.DUMMYFUNCTION("""COMPUTED_VALUE"""),"")</f>
        <v/>
      </c>
      <c r="V3186" s="1" t="str">
        <f>IFERROR(__xludf.DUMMYFUNCTION("""COMPUTED_VALUE"""),"")</f>
        <v/>
      </c>
      <c r="W3186" s="1" t="str">
        <f>IFERROR(__xludf.DUMMYFUNCTION("""COMPUTED_VALUE"""),"")</f>
        <v/>
      </c>
      <c r="X3186" s="1" t="str">
        <f>IFERROR(__xludf.DUMMYFUNCTION("""COMPUTED_VALUE"""),"")</f>
        <v/>
      </c>
      <c r="Y3186" s="2"/>
      <c r="Z3186" s="2" t="str">
        <f>IFERROR(__xludf.DUMMYFUNCTION("""COMPUTED_VALUE"""),"")</f>
        <v/>
      </c>
    </row>
    <row r="3187">
      <c r="A3187" s="1" t="str">
        <f>IFERROR(__xludf.DUMMYFUNCTION("""COMPUTED_VALUE"""),"")</f>
        <v/>
      </c>
      <c r="B3187" s="1"/>
      <c r="C3187" s="2"/>
      <c r="D3187" s="2"/>
      <c r="E3187" s="1"/>
      <c r="F3187" s="1"/>
      <c r="G3187" s="4" t="str">
        <f>IFERROR(__xludf.DUMMYFUNCTION("""COMPUTED_VALUE"""),"")</f>
        <v/>
      </c>
      <c r="H3187" s="4" t="str">
        <f>IFERROR(__xludf.DUMMYFUNCTION("""COMPUTED_VALUE"""),"")</f>
        <v/>
      </c>
      <c r="I3187" s="4" t="str">
        <f>IFERROR(__xludf.DUMMYFUNCTION("""COMPUTED_VALUE"""),"")</f>
        <v/>
      </c>
      <c r="J3187" s="4" t="str">
        <f>IFERROR(__xludf.DUMMYFUNCTION("""COMPUTED_VALUE"""),"")</f>
        <v/>
      </c>
      <c r="K3187" s="4" t="str">
        <f>IFERROR(__xludf.DUMMYFUNCTION("""COMPUTED_VALUE"""),"")</f>
        <v/>
      </c>
      <c r="L3187" s="4" t="str">
        <f>IFERROR(__xludf.DUMMYFUNCTION("""COMPUTED_VALUE"""),"")</f>
        <v/>
      </c>
      <c r="M3187" s="1" t="str">
        <f>IFERROR(__xludf.DUMMYFUNCTION("""COMPUTED_VALUE"""),"RFID")</f>
        <v>RFID</v>
      </c>
      <c r="N3187" s="5" t="str">
        <f>IFERROR(__xludf.DUMMYFUNCTION("""COMPUTED_VALUE"""),"")</f>
        <v/>
      </c>
      <c r="O3187" s="5" t="str">
        <f>IFERROR(__xludf.DUMMYFUNCTION("""COMPUTED_VALUE"""),"")</f>
        <v/>
      </c>
      <c r="P3187" s="5" t="str">
        <f>IFERROR(__xludf.DUMMYFUNCTION("""COMPUTED_VALUE"""),"")</f>
        <v/>
      </c>
      <c r="Q3187" s="5" t="str">
        <f>IFERROR(__xludf.DUMMYFUNCTION("""COMPUTED_VALUE"""),"")</f>
        <v/>
      </c>
      <c r="R3187" s="4" t="str">
        <f>IFERROR(__xludf.DUMMYFUNCTION("""COMPUTED_VALUE"""),"")</f>
        <v/>
      </c>
      <c r="S3187" s="1" t="b">
        <f>IFERROR(__xludf.DUMMYFUNCTION("""COMPUTED_VALUE"""),FALSE)</f>
        <v>0</v>
      </c>
      <c r="T3187" s="1" t="b">
        <f>IFERROR(__xludf.DUMMYFUNCTION("""COMPUTED_VALUE"""),FALSE)</f>
        <v>0</v>
      </c>
      <c r="U3187" s="1" t="str">
        <f>IFERROR(__xludf.DUMMYFUNCTION("""COMPUTED_VALUE"""),"")</f>
        <v/>
      </c>
      <c r="V3187" s="1" t="str">
        <f>IFERROR(__xludf.DUMMYFUNCTION("""COMPUTED_VALUE"""),"")</f>
        <v/>
      </c>
      <c r="W3187" s="1" t="str">
        <f>IFERROR(__xludf.DUMMYFUNCTION("""COMPUTED_VALUE"""),"")</f>
        <v/>
      </c>
      <c r="X3187" s="1" t="str">
        <f>IFERROR(__xludf.DUMMYFUNCTION("""COMPUTED_VALUE"""),"")</f>
        <v/>
      </c>
      <c r="Y3187" s="2"/>
      <c r="Z3187" s="2" t="str">
        <f>IFERROR(__xludf.DUMMYFUNCTION("""COMPUTED_VALUE"""),"")</f>
        <v/>
      </c>
    </row>
    <row r="3188">
      <c r="A3188" s="1" t="str">
        <f>IFERROR(__xludf.DUMMYFUNCTION("""COMPUTED_VALUE"""),"")</f>
        <v/>
      </c>
      <c r="B3188" s="1"/>
      <c r="C3188" s="2"/>
      <c r="D3188" s="2"/>
      <c r="E3188" s="1"/>
      <c r="F3188" s="1"/>
      <c r="G3188" s="4" t="str">
        <f>IFERROR(__xludf.DUMMYFUNCTION("""COMPUTED_VALUE"""),"")</f>
        <v/>
      </c>
      <c r="H3188" s="4" t="str">
        <f>IFERROR(__xludf.DUMMYFUNCTION("""COMPUTED_VALUE"""),"")</f>
        <v/>
      </c>
      <c r="I3188" s="4" t="str">
        <f>IFERROR(__xludf.DUMMYFUNCTION("""COMPUTED_VALUE"""),"")</f>
        <v/>
      </c>
      <c r="J3188" s="4" t="str">
        <f>IFERROR(__xludf.DUMMYFUNCTION("""COMPUTED_VALUE"""),"")</f>
        <v/>
      </c>
      <c r="K3188" s="4" t="str">
        <f>IFERROR(__xludf.DUMMYFUNCTION("""COMPUTED_VALUE"""),"")</f>
        <v/>
      </c>
      <c r="L3188" s="4" t="str">
        <f>IFERROR(__xludf.DUMMYFUNCTION("""COMPUTED_VALUE"""),"")</f>
        <v/>
      </c>
      <c r="M3188" s="1" t="str">
        <f>IFERROR(__xludf.DUMMYFUNCTION("""COMPUTED_VALUE"""),"RFID")</f>
        <v>RFID</v>
      </c>
      <c r="N3188" s="5" t="str">
        <f>IFERROR(__xludf.DUMMYFUNCTION("""COMPUTED_VALUE"""),"")</f>
        <v/>
      </c>
      <c r="O3188" s="5" t="str">
        <f>IFERROR(__xludf.DUMMYFUNCTION("""COMPUTED_VALUE"""),"")</f>
        <v/>
      </c>
      <c r="P3188" s="5" t="str">
        <f>IFERROR(__xludf.DUMMYFUNCTION("""COMPUTED_VALUE"""),"")</f>
        <v/>
      </c>
      <c r="Q3188" s="5" t="str">
        <f>IFERROR(__xludf.DUMMYFUNCTION("""COMPUTED_VALUE"""),"")</f>
        <v/>
      </c>
      <c r="R3188" s="4" t="str">
        <f>IFERROR(__xludf.DUMMYFUNCTION("""COMPUTED_VALUE"""),"")</f>
        <v/>
      </c>
      <c r="S3188" s="1" t="b">
        <f>IFERROR(__xludf.DUMMYFUNCTION("""COMPUTED_VALUE"""),FALSE)</f>
        <v>0</v>
      </c>
      <c r="T3188" s="1" t="b">
        <f>IFERROR(__xludf.DUMMYFUNCTION("""COMPUTED_VALUE"""),FALSE)</f>
        <v>0</v>
      </c>
      <c r="U3188" s="1" t="str">
        <f>IFERROR(__xludf.DUMMYFUNCTION("""COMPUTED_VALUE"""),"")</f>
        <v/>
      </c>
      <c r="V3188" s="1" t="str">
        <f>IFERROR(__xludf.DUMMYFUNCTION("""COMPUTED_VALUE"""),"")</f>
        <v/>
      </c>
      <c r="W3188" s="1" t="str">
        <f>IFERROR(__xludf.DUMMYFUNCTION("""COMPUTED_VALUE"""),"")</f>
        <v/>
      </c>
      <c r="X3188" s="1" t="str">
        <f>IFERROR(__xludf.DUMMYFUNCTION("""COMPUTED_VALUE"""),"")</f>
        <v/>
      </c>
      <c r="Y3188" s="2"/>
      <c r="Z3188" s="2" t="str">
        <f>IFERROR(__xludf.DUMMYFUNCTION("""COMPUTED_VALUE"""),"")</f>
        <v/>
      </c>
    </row>
    <row r="3189">
      <c r="A3189" s="1" t="str">
        <f>IFERROR(__xludf.DUMMYFUNCTION("""COMPUTED_VALUE"""),"")</f>
        <v/>
      </c>
      <c r="B3189" s="1"/>
      <c r="C3189" s="2"/>
      <c r="D3189" s="2"/>
      <c r="E3189" s="1"/>
      <c r="F3189" s="1"/>
      <c r="G3189" s="4" t="str">
        <f>IFERROR(__xludf.DUMMYFUNCTION("""COMPUTED_VALUE"""),"")</f>
        <v/>
      </c>
      <c r="H3189" s="4" t="str">
        <f>IFERROR(__xludf.DUMMYFUNCTION("""COMPUTED_VALUE"""),"")</f>
        <v/>
      </c>
      <c r="I3189" s="4" t="str">
        <f>IFERROR(__xludf.DUMMYFUNCTION("""COMPUTED_VALUE"""),"")</f>
        <v/>
      </c>
      <c r="J3189" s="4" t="str">
        <f>IFERROR(__xludf.DUMMYFUNCTION("""COMPUTED_VALUE"""),"")</f>
        <v/>
      </c>
      <c r="K3189" s="4" t="str">
        <f>IFERROR(__xludf.DUMMYFUNCTION("""COMPUTED_VALUE"""),"")</f>
        <v/>
      </c>
      <c r="L3189" s="4" t="str">
        <f>IFERROR(__xludf.DUMMYFUNCTION("""COMPUTED_VALUE"""),"")</f>
        <v/>
      </c>
      <c r="M3189" s="1" t="str">
        <f>IFERROR(__xludf.DUMMYFUNCTION("""COMPUTED_VALUE"""),"RFID")</f>
        <v>RFID</v>
      </c>
      <c r="N3189" s="5" t="str">
        <f>IFERROR(__xludf.DUMMYFUNCTION("""COMPUTED_VALUE"""),"")</f>
        <v/>
      </c>
      <c r="O3189" s="5" t="str">
        <f>IFERROR(__xludf.DUMMYFUNCTION("""COMPUTED_VALUE"""),"")</f>
        <v/>
      </c>
      <c r="P3189" s="5" t="str">
        <f>IFERROR(__xludf.DUMMYFUNCTION("""COMPUTED_VALUE"""),"")</f>
        <v/>
      </c>
      <c r="Q3189" s="5" t="str">
        <f>IFERROR(__xludf.DUMMYFUNCTION("""COMPUTED_VALUE"""),"")</f>
        <v/>
      </c>
      <c r="R3189" s="4" t="str">
        <f>IFERROR(__xludf.DUMMYFUNCTION("""COMPUTED_VALUE"""),"")</f>
        <v/>
      </c>
      <c r="S3189" s="1" t="b">
        <f>IFERROR(__xludf.DUMMYFUNCTION("""COMPUTED_VALUE"""),FALSE)</f>
        <v>0</v>
      </c>
      <c r="T3189" s="1" t="b">
        <f>IFERROR(__xludf.DUMMYFUNCTION("""COMPUTED_VALUE"""),FALSE)</f>
        <v>0</v>
      </c>
      <c r="U3189" s="1" t="str">
        <f>IFERROR(__xludf.DUMMYFUNCTION("""COMPUTED_VALUE"""),"")</f>
        <v/>
      </c>
      <c r="V3189" s="1" t="str">
        <f>IFERROR(__xludf.DUMMYFUNCTION("""COMPUTED_VALUE"""),"")</f>
        <v/>
      </c>
      <c r="W3189" s="1" t="str">
        <f>IFERROR(__xludf.DUMMYFUNCTION("""COMPUTED_VALUE"""),"")</f>
        <v/>
      </c>
      <c r="X3189" s="1" t="str">
        <f>IFERROR(__xludf.DUMMYFUNCTION("""COMPUTED_VALUE"""),"")</f>
        <v/>
      </c>
      <c r="Y3189" s="2"/>
      <c r="Z3189" s="2" t="str">
        <f>IFERROR(__xludf.DUMMYFUNCTION("""COMPUTED_VALUE"""),"")</f>
        <v/>
      </c>
    </row>
    <row r="3190">
      <c r="A3190" s="1" t="str">
        <f>IFERROR(__xludf.DUMMYFUNCTION("""COMPUTED_VALUE"""),"")</f>
        <v/>
      </c>
      <c r="B3190" s="1"/>
      <c r="C3190" s="2"/>
      <c r="D3190" s="2"/>
      <c r="E3190" s="1"/>
      <c r="F3190" s="1"/>
      <c r="G3190" s="4" t="str">
        <f>IFERROR(__xludf.DUMMYFUNCTION("""COMPUTED_VALUE"""),"")</f>
        <v/>
      </c>
      <c r="H3190" s="4" t="str">
        <f>IFERROR(__xludf.DUMMYFUNCTION("""COMPUTED_VALUE"""),"")</f>
        <v/>
      </c>
      <c r="I3190" s="4" t="str">
        <f>IFERROR(__xludf.DUMMYFUNCTION("""COMPUTED_VALUE"""),"")</f>
        <v/>
      </c>
      <c r="J3190" s="4" t="str">
        <f>IFERROR(__xludf.DUMMYFUNCTION("""COMPUTED_VALUE"""),"")</f>
        <v/>
      </c>
      <c r="K3190" s="4" t="str">
        <f>IFERROR(__xludf.DUMMYFUNCTION("""COMPUTED_VALUE"""),"")</f>
        <v/>
      </c>
      <c r="L3190" s="4" t="str">
        <f>IFERROR(__xludf.DUMMYFUNCTION("""COMPUTED_VALUE"""),"")</f>
        <v/>
      </c>
      <c r="M3190" s="1" t="str">
        <f>IFERROR(__xludf.DUMMYFUNCTION("""COMPUTED_VALUE"""),"RFID")</f>
        <v>RFID</v>
      </c>
      <c r="N3190" s="5" t="str">
        <f>IFERROR(__xludf.DUMMYFUNCTION("""COMPUTED_VALUE"""),"")</f>
        <v/>
      </c>
      <c r="O3190" s="5" t="str">
        <f>IFERROR(__xludf.DUMMYFUNCTION("""COMPUTED_VALUE"""),"")</f>
        <v/>
      </c>
      <c r="P3190" s="5" t="str">
        <f>IFERROR(__xludf.DUMMYFUNCTION("""COMPUTED_VALUE"""),"")</f>
        <v/>
      </c>
      <c r="Q3190" s="5" t="str">
        <f>IFERROR(__xludf.DUMMYFUNCTION("""COMPUTED_VALUE"""),"")</f>
        <v/>
      </c>
      <c r="R3190" s="4" t="str">
        <f>IFERROR(__xludf.DUMMYFUNCTION("""COMPUTED_VALUE"""),"")</f>
        <v/>
      </c>
      <c r="S3190" s="1" t="b">
        <f>IFERROR(__xludf.DUMMYFUNCTION("""COMPUTED_VALUE"""),FALSE)</f>
        <v>0</v>
      </c>
      <c r="T3190" s="1" t="b">
        <f>IFERROR(__xludf.DUMMYFUNCTION("""COMPUTED_VALUE"""),FALSE)</f>
        <v>0</v>
      </c>
      <c r="U3190" s="1" t="str">
        <f>IFERROR(__xludf.DUMMYFUNCTION("""COMPUTED_VALUE"""),"")</f>
        <v/>
      </c>
      <c r="V3190" s="1" t="str">
        <f>IFERROR(__xludf.DUMMYFUNCTION("""COMPUTED_VALUE"""),"")</f>
        <v/>
      </c>
      <c r="W3190" s="1" t="str">
        <f>IFERROR(__xludf.DUMMYFUNCTION("""COMPUTED_VALUE"""),"")</f>
        <v/>
      </c>
      <c r="X3190" s="1" t="str">
        <f>IFERROR(__xludf.DUMMYFUNCTION("""COMPUTED_VALUE"""),"")</f>
        <v/>
      </c>
      <c r="Y3190" s="2"/>
      <c r="Z3190" s="2" t="str">
        <f>IFERROR(__xludf.DUMMYFUNCTION("""COMPUTED_VALUE"""),"")</f>
        <v/>
      </c>
    </row>
    <row r="3191">
      <c r="A3191" s="1" t="str">
        <f>IFERROR(__xludf.DUMMYFUNCTION("""COMPUTED_VALUE"""),"")</f>
        <v/>
      </c>
      <c r="B3191" s="1"/>
      <c r="C3191" s="2"/>
      <c r="D3191" s="2"/>
      <c r="E3191" s="1"/>
      <c r="F3191" s="1"/>
      <c r="G3191" s="4" t="str">
        <f>IFERROR(__xludf.DUMMYFUNCTION("""COMPUTED_VALUE"""),"")</f>
        <v/>
      </c>
      <c r="H3191" s="4" t="str">
        <f>IFERROR(__xludf.DUMMYFUNCTION("""COMPUTED_VALUE"""),"")</f>
        <v/>
      </c>
      <c r="I3191" s="4" t="str">
        <f>IFERROR(__xludf.DUMMYFUNCTION("""COMPUTED_VALUE"""),"")</f>
        <v/>
      </c>
      <c r="J3191" s="4" t="str">
        <f>IFERROR(__xludf.DUMMYFUNCTION("""COMPUTED_VALUE"""),"")</f>
        <v/>
      </c>
      <c r="K3191" s="4" t="str">
        <f>IFERROR(__xludf.DUMMYFUNCTION("""COMPUTED_VALUE"""),"")</f>
        <v/>
      </c>
      <c r="L3191" s="4" t="str">
        <f>IFERROR(__xludf.DUMMYFUNCTION("""COMPUTED_VALUE"""),"")</f>
        <v/>
      </c>
      <c r="M3191" s="1" t="str">
        <f>IFERROR(__xludf.DUMMYFUNCTION("""COMPUTED_VALUE"""),"RFID")</f>
        <v>RFID</v>
      </c>
      <c r="N3191" s="5" t="str">
        <f>IFERROR(__xludf.DUMMYFUNCTION("""COMPUTED_VALUE"""),"")</f>
        <v/>
      </c>
      <c r="O3191" s="5" t="str">
        <f>IFERROR(__xludf.DUMMYFUNCTION("""COMPUTED_VALUE"""),"")</f>
        <v/>
      </c>
      <c r="P3191" s="5" t="str">
        <f>IFERROR(__xludf.DUMMYFUNCTION("""COMPUTED_VALUE"""),"")</f>
        <v/>
      </c>
      <c r="Q3191" s="5" t="str">
        <f>IFERROR(__xludf.DUMMYFUNCTION("""COMPUTED_VALUE"""),"")</f>
        <v/>
      </c>
      <c r="R3191" s="4" t="str">
        <f>IFERROR(__xludf.DUMMYFUNCTION("""COMPUTED_VALUE"""),"")</f>
        <v/>
      </c>
      <c r="S3191" s="1" t="b">
        <f>IFERROR(__xludf.DUMMYFUNCTION("""COMPUTED_VALUE"""),FALSE)</f>
        <v>0</v>
      </c>
      <c r="T3191" s="1" t="b">
        <f>IFERROR(__xludf.DUMMYFUNCTION("""COMPUTED_VALUE"""),FALSE)</f>
        <v>0</v>
      </c>
      <c r="U3191" s="1" t="str">
        <f>IFERROR(__xludf.DUMMYFUNCTION("""COMPUTED_VALUE"""),"")</f>
        <v/>
      </c>
      <c r="V3191" s="1" t="str">
        <f>IFERROR(__xludf.DUMMYFUNCTION("""COMPUTED_VALUE"""),"")</f>
        <v/>
      </c>
      <c r="W3191" s="1" t="str">
        <f>IFERROR(__xludf.DUMMYFUNCTION("""COMPUTED_VALUE"""),"")</f>
        <v/>
      </c>
      <c r="X3191" s="1" t="str">
        <f>IFERROR(__xludf.DUMMYFUNCTION("""COMPUTED_VALUE"""),"")</f>
        <v/>
      </c>
      <c r="Y3191" s="2"/>
      <c r="Z3191" s="2" t="str">
        <f>IFERROR(__xludf.DUMMYFUNCTION("""COMPUTED_VALUE"""),"")</f>
        <v/>
      </c>
    </row>
    <row r="3192">
      <c r="A3192" s="1" t="str">
        <f>IFERROR(__xludf.DUMMYFUNCTION("""COMPUTED_VALUE"""),"")</f>
        <v/>
      </c>
      <c r="B3192" s="1"/>
      <c r="C3192" s="2"/>
      <c r="D3192" s="2"/>
      <c r="E3192" s="1"/>
      <c r="F3192" s="1"/>
      <c r="G3192" s="4" t="str">
        <f>IFERROR(__xludf.DUMMYFUNCTION("""COMPUTED_VALUE"""),"")</f>
        <v/>
      </c>
      <c r="H3192" s="4" t="str">
        <f>IFERROR(__xludf.DUMMYFUNCTION("""COMPUTED_VALUE"""),"")</f>
        <v/>
      </c>
      <c r="I3192" s="4" t="str">
        <f>IFERROR(__xludf.DUMMYFUNCTION("""COMPUTED_VALUE"""),"")</f>
        <v/>
      </c>
      <c r="J3192" s="4" t="str">
        <f>IFERROR(__xludf.DUMMYFUNCTION("""COMPUTED_VALUE"""),"")</f>
        <v/>
      </c>
      <c r="K3192" s="4" t="str">
        <f>IFERROR(__xludf.DUMMYFUNCTION("""COMPUTED_VALUE"""),"")</f>
        <v/>
      </c>
      <c r="L3192" s="4" t="str">
        <f>IFERROR(__xludf.DUMMYFUNCTION("""COMPUTED_VALUE"""),"")</f>
        <v/>
      </c>
      <c r="M3192" s="1" t="str">
        <f>IFERROR(__xludf.DUMMYFUNCTION("""COMPUTED_VALUE"""),"RFID")</f>
        <v>RFID</v>
      </c>
      <c r="N3192" s="5" t="str">
        <f>IFERROR(__xludf.DUMMYFUNCTION("""COMPUTED_VALUE"""),"")</f>
        <v/>
      </c>
      <c r="O3192" s="5" t="str">
        <f>IFERROR(__xludf.DUMMYFUNCTION("""COMPUTED_VALUE"""),"")</f>
        <v/>
      </c>
      <c r="P3192" s="5" t="str">
        <f>IFERROR(__xludf.DUMMYFUNCTION("""COMPUTED_VALUE"""),"")</f>
        <v/>
      </c>
      <c r="Q3192" s="5" t="str">
        <f>IFERROR(__xludf.DUMMYFUNCTION("""COMPUTED_VALUE"""),"")</f>
        <v/>
      </c>
      <c r="R3192" s="4" t="str">
        <f>IFERROR(__xludf.DUMMYFUNCTION("""COMPUTED_VALUE"""),"")</f>
        <v/>
      </c>
      <c r="S3192" s="1" t="b">
        <f>IFERROR(__xludf.DUMMYFUNCTION("""COMPUTED_VALUE"""),FALSE)</f>
        <v>0</v>
      </c>
      <c r="T3192" s="1" t="b">
        <f>IFERROR(__xludf.DUMMYFUNCTION("""COMPUTED_VALUE"""),FALSE)</f>
        <v>0</v>
      </c>
      <c r="U3192" s="1" t="str">
        <f>IFERROR(__xludf.DUMMYFUNCTION("""COMPUTED_VALUE"""),"")</f>
        <v/>
      </c>
      <c r="V3192" s="1" t="str">
        <f>IFERROR(__xludf.DUMMYFUNCTION("""COMPUTED_VALUE"""),"")</f>
        <v/>
      </c>
      <c r="W3192" s="1" t="str">
        <f>IFERROR(__xludf.DUMMYFUNCTION("""COMPUTED_VALUE"""),"")</f>
        <v/>
      </c>
      <c r="X3192" s="1" t="str">
        <f>IFERROR(__xludf.DUMMYFUNCTION("""COMPUTED_VALUE"""),"")</f>
        <v/>
      </c>
      <c r="Y3192" s="2"/>
      <c r="Z3192" s="2" t="str">
        <f>IFERROR(__xludf.DUMMYFUNCTION("""COMPUTED_VALUE"""),"")</f>
        <v/>
      </c>
    </row>
    <row r="3193">
      <c r="A3193" s="1" t="str">
        <f>IFERROR(__xludf.DUMMYFUNCTION("""COMPUTED_VALUE"""),"")</f>
        <v/>
      </c>
      <c r="B3193" s="1"/>
      <c r="C3193" s="2"/>
      <c r="D3193" s="2"/>
      <c r="E3193" s="1"/>
      <c r="F3193" s="1"/>
      <c r="G3193" s="4" t="str">
        <f>IFERROR(__xludf.DUMMYFUNCTION("""COMPUTED_VALUE"""),"")</f>
        <v/>
      </c>
      <c r="H3193" s="4" t="str">
        <f>IFERROR(__xludf.DUMMYFUNCTION("""COMPUTED_VALUE"""),"")</f>
        <v/>
      </c>
      <c r="I3193" s="4" t="str">
        <f>IFERROR(__xludf.DUMMYFUNCTION("""COMPUTED_VALUE"""),"")</f>
        <v/>
      </c>
      <c r="J3193" s="4" t="str">
        <f>IFERROR(__xludf.DUMMYFUNCTION("""COMPUTED_VALUE"""),"")</f>
        <v/>
      </c>
      <c r="K3193" s="4" t="str">
        <f>IFERROR(__xludf.DUMMYFUNCTION("""COMPUTED_VALUE"""),"")</f>
        <v/>
      </c>
      <c r="L3193" s="4" t="str">
        <f>IFERROR(__xludf.DUMMYFUNCTION("""COMPUTED_VALUE"""),"")</f>
        <v/>
      </c>
      <c r="M3193" s="1" t="str">
        <f>IFERROR(__xludf.DUMMYFUNCTION("""COMPUTED_VALUE"""),"RFID")</f>
        <v>RFID</v>
      </c>
      <c r="N3193" s="5" t="str">
        <f>IFERROR(__xludf.DUMMYFUNCTION("""COMPUTED_VALUE"""),"")</f>
        <v/>
      </c>
      <c r="O3193" s="5" t="str">
        <f>IFERROR(__xludf.DUMMYFUNCTION("""COMPUTED_VALUE"""),"")</f>
        <v/>
      </c>
      <c r="P3193" s="5" t="str">
        <f>IFERROR(__xludf.DUMMYFUNCTION("""COMPUTED_VALUE"""),"")</f>
        <v/>
      </c>
      <c r="Q3193" s="5" t="str">
        <f>IFERROR(__xludf.DUMMYFUNCTION("""COMPUTED_VALUE"""),"")</f>
        <v/>
      </c>
      <c r="R3193" s="4" t="str">
        <f>IFERROR(__xludf.DUMMYFUNCTION("""COMPUTED_VALUE"""),"")</f>
        <v/>
      </c>
      <c r="S3193" s="1" t="b">
        <f>IFERROR(__xludf.DUMMYFUNCTION("""COMPUTED_VALUE"""),FALSE)</f>
        <v>0</v>
      </c>
      <c r="T3193" s="1" t="b">
        <f>IFERROR(__xludf.DUMMYFUNCTION("""COMPUTED_VALUE"""),FALSE)</f>
        <v>0</v>
      </c>
      <c r="U3193" s="1" t="str">
        <f>IFERROR(__xludf.DUMMYFUNCTION("""COMPUTED_VALUE"""),"")</f>
        <v/>
      </c>
      <c r="V3193" s="1" t="str">
        <f>IFERROR(__xludf.DUMMYFUNCTION("""COMPUTED_VALUE"""),"")</f>
        <v/>
      </c>
      <c r="W3193" s="1" t="str">
        <f>IFERROR(__xludf.DUMMYFUNCTION("""COMPUTED_VALUE"""),"")</f>
        <v/>
      </c>
      <c r="X3193" s="1" t="str">
        <f>IFERROR(__xludf.DUMMYFUNCTION("""COMPUTED_VALUE"""),"")</f>
        <v/>
      </c>
      <c r="Y3193" s="2"/>
      <c r="Z3193" s="2" t="str">
        <f>IFERROR(__xludf.DUMMYFUNCTION("""COMPUTED_VALUE"""),"")</f>
        <v/>
      </c>
    </row>
    <row r="3194">
      <c r="A3194" s="1" t="str">
        <f>IFERROR(__xludf.DUMMYFUNCTION("""COMPUTED_VALUE"""),"")</f>
        <v/>
      </c>
      <c r="B3194" s="1"/>
      <c r="C3194" s="2"/>
      <c r="D3194" s="2"/>
      <c r="E3194" s="1"/>
      <c r="F3194" s="1"/>
      <c r="G3194" s="4" t="str">
        <f>IFERROR(__xludf.DUMMYFUNCTION("""COMPUTED_VALUE"""),"")</f>
        <v/>
      </c>
      <c r="H3194" s="4" t="str">
        <f>IFERROR(__xludf.DUMMYFUNCTION("""COMPUTED_VALUE"""),"")</f>
        <v/>
      </c>
      <c r="I3194" s="4" t="str">
        <f>IFERROR(__xludf.DUMMYFUNCTION("""COMPUTED_VALUE"""),"")</f>
        <v/>
      </c>
      <c r="J3194" s="4" t="str">
        <f>IFERROR(__xludf.DUMMYFUNCTION("""COMPUTED_VALUE"""),"")</f>
        <v/>
      </c>
      <c r="K3194" s="4" t="str">
        <f>IFERROR(__xludf.DUMMYFUNCTION("""COMPUTED_VALUE"""),"")</f>
        <v/>
      </c>
      <c r="L3194" s="4" t="str">
        <f>IFERROR(__xludf.DUMMYFUNCTION("""COMPUTED_VALUE"""),"")</f>
        <v/>
      </c>
      <c r="M3194" s="1" t="str">
        <f>IFERROR(__xludf.DUMMYFUNCTION("""COMPUTED_VALUE"""),"RFID")</f>
        <v>RFID</v>
      </c>
      <c r="N3194" s="5" t="str">
        <f>IFERROR(__xludf.DUMMYFUNCTION("""COMPUTED_VALUE"""),"")</f>
        <v/>
      </c>
      <c r="O3194" s="5" t="str">
        <f>IFERROR(__xludf.DUMMYFUNCTION("""COMPUTED_VALUE"""),"")</f>
        <v/>
      </c>
      <c r="P3194" s="5" t="str">
        <f>IFERROR(__xludf.DUMMYFUNCTION("""COMPUTED_VALUE"""),"")</f>
        <v/>
      </c>
      <c r="Q3194" s="5" t="str">
        <f>IFERROR(__xludf.DUMMYFUNCTION("""COMPUTED_VALUE"""),"")</f>
        <v/>
      </c>
      <c r="R3194" s="4" t="str">
        <f>IFERROR(__xludf.DUMMYFUNCTION("""COMPUTED_VALUE"""),"")</f>
        <v/>
      </c>
      <c r="S3194" s="1" t="b">
        <f>IFERROR(__xludf.DUMMYFUNCTION("""COMPUTED_VALUE"""),FALSE)</f>
        <v>0</v>
      </c>
      <c r="T3194" s="1" t="b">
        <f>IFERROR(__xludf.DUMMYFUNCTION("""COMPUTED_VALUE"""),FALSE)</f>
        <v>0</v>
      </c>
      <c r="U3194" s="1" t="str">
        <f>IFERROR(__xludf.DUMMYFUNCTION("""COMPUTED_VALUE"""),"")</f>
        <v/>
      </c>
      <c r="V3194" s="1" t="str">
        <f>IFERROR(__xludf.DUMMYFUNCTION("""COMPUTED_VALUE"""),"")</f>
        <v/>
      </c>
      <c r="W3194" s="1" t="str">
        <f>IFERROR(__xludf.DUMMYFUNCTION("""COMPUTED_VALUE"""),"")</f>
        <v/>
      </c>
      <c r="X3194" s="1" t="str">
        <f>IFERROR(__xludf.DUMMYFUNCTION("""COMPUTED_VALUE"""),"")</f>
        <v/>
      </c>
      <c r="Y3194" s="2"/>
      <c r="Z3194" s="2" t="str">
        <f>IFERROR(__xludf.DUMMYFUNCTION("""COMPUTED_VALUE"""),"")</f>
        <v/>
      </c>
    </row>
    <row r="3195">
      <c r="A3195" s="1" t="str">
        <f>IFERROR(__xludf.DUMMYFUNCTION("""COMPUTED_VALUE"""),"")</f>
        <v/>
      </c>
      <c r="B3195" s="1"/>
      <c r="C3195" s="2"/>
      <c r="D3195" s="2"/>
      <c r="E3195" s="1"/>
      <c r="F3195" s="1"/>
      <c r="G3195" s="4" t="str">
        <f>IFERROR(__xludf.DUMMYFUNCTION("""COMPUTED_VALUE"""),"")</f>
        <v/>
      </c>
      <c r="H3195" s="4" t="str">
        <f>IFERROR(__xludf.DUMMYFUNCTION("""COMPUTED_VALUE"""),"")</f>
        <v/>
      </c>
      <c r="I3195" s="4" t="str">
        <f>IFERROR(__xludf.DUMMYFUNCTION("""COMPUTED_VALUE"""),"")</f>
        <v/>
      </c>
      <c r="J3195" s="4" t="str">
        <f>IFERROR(__xludf.DUMMYFUNCTION("""COMPUTED_VALUE"""),"")</f>
        <v/>
      </c>
      <c r="K3195" s="4" t="str">
        <f>IFERROR(__xludf.DUMMYFUNCTION("""COMPUTED_VALUE"""),"")</f>
        <v/>
      </c>
      <c r="L3195" s="4" t="str">
        <f>IFERROR(__xludf.DUMMYFUNCTION("""COMPUTED_VALUE"""),"")</f>
        <v/>
      </c>
      <c r="M3195" s="1" t="str">
        <f>IFERROR(__xludf.DUMMYFUNCTION("""COMPUTED_VALUE"""),"RFID")</f>
        <v>RFID</v>
      </c>
      <c r="N3195" s="5" t="str">
        <f>IFERROR(__xludf.DUMMYFUNCTION("""COMPUTED_VALUE"""),"")</f>
        <v/>
      </c>
      <c r="O3195" s="5" t="str">
        <f>IFERROR(__xludf.DUMMYFUNCTION("""COMPUTED_VALUE"""),"")</f>
        <v/>
      </c>
      <c r="P3195" s="5" t="str">
        <f>IFERROR(__xludf.DUMMYFUNCTION("""COMPUTED_VALUE"""),"")</f>
        <v/>
      </c>
      <c r="Q3195" s="5" t="str">
        <f>IFERROR(__xludf.DUMMYFUNCTION("""COMPUTED_VALUE"""),"")</f>
        <v/>
      </c>
      <c r="R3195" s="4" t="str">
        <f>IFERROR(__xludf.DUMMYFUNCTION("""COMPUTED_VALUE"""),"")</f>
        <v/>
      </c>
      <c r="S3195" s="1" t="b">
        <f>IFERROR(__xludf.DUMMYFUNCTION("""COMPUTED_VALUE"""),FALSE)</f>
        <v>0</v>
      </c>
      <c r="T3195" s="1" t="b">
        <f>IFERROR(__xludf.DUMMYFUNCTION("""COMPUTED_VALUE"""),FALSE)</f>
        <v>0</v>
      </c>
      <c r="U3195" s="1" t="str">
        <f>IFERROR(__xludf.DUMMYFUNCTION("""COMPUTED_VALUE"""),"")</f>
        <v/>
      </c>
      <c r="V3195" s="1" t="str">
        <f>IFERROR(__xludf.DUMMYFUNCTION("""COMPUTED_VALUE"""),"")</f>
        <v/>
      </c>
      <c r="W3195" s="1" t="str">
        <f>IFERROR(__xludf.DUMMYFUNCTION("""COMPUTED_VALUE"""),"")</f>
        <v/>
      </c>
      <c r="X3195" s="1" t="str">
        <f>IFERROR(__xludf.DUMMYFUNCTION("""COMPUTED_VALUE"""),"")</f>
        <v/>
      </c>
      <c r="Y3195" s="2"/>
      <c r="Z3195" s="2" t="str">
        <f>IFERROR(__xludf.DUMMYFUNCTION("""COMPUTED_VALUE"""),"")</f>
        <v/>
      </c>
    </row>
    <row r="3196">
      <c r="A3196" s="1" t="str">
        <f>IFERROR(__xludf.DUMMYFUNCTION("""COMPUTED_VALUE"""),"")</f>
        <v/>
      </c>
      <c r="B3196" s="1"/>
      <c r="C3196" s="2"/>
      <c r="D3196" s="2"/>
      <c r="E3196" s="1"/>
      <c r="F3196" s="1"/>
      <c r="G3196" s="4" t="str">
        <f>IFERROR(__xludf.DUMMYFUNCTION("""COMPUTED_VALUE"""),"")</f>
        <v/>
      </c>
      <c r="H3196" s="4" t="str">
        <f>IFERROR(__xludf.DUMMYFUNCTION("""COMPUTED_VALUE"""),"")</f>
        <v/>
      </c>
      <c r="I3196" s="4" t="str">
        <f>IFERROR(__xludf.DUMMYFUNCTION("""COMPUTED_VALUE"""),"")</f>
        <v/>
      </c>
      <c r="J3196" s="4" t="str">
        <f>IFERROR(__xludf.DUMMYFUNCTION("""COMPUTED_VALUE"""),"")</f>
        <v/>
      </c>
      <c r="K3196" s="4" t="str">
        <f>IFERROR(__xludf.DUMMYFUNCTION("""COMPUTED_VALUE"""),"")</f>
        <v/>
      </c>
      <c r="L3196" s="4" t="str">
        <f>IFERROR(__xludf.DUMMYFUNCTION("""COMPUTED_VALUE"""),"")</f>
        <v/>
      </c>
      <c r="M3196" s="1" t="str">
        <f>IFERROR(__xludf.DUMMYFUNCTION("""COMPUTED_VALUE"""),"RFID")</f>
        <v>RFID</v>
      </c>
      <c r="N3196" s="5" t="str">
        <f>IFERROR(__xludf.DUMMYFUNCTION("""COMPUTED_VALUE"""),"")</f>
        <v/>
      </c>
      <c r="O3196" s="5" t="str">
        <f>IFERROR(__xludf.DUMMYFUNCTION("""COMPUTED_VALUE"""),"")</f>
        <v/>
      </c>
      <c r="P3196" s="5" t="str">
        <f>IFERROR(__xludf.DUMMYFUNCTION("""COMPUTED_VALUE"""),"")</f>
        <v/>
      </c>
      <c r="Q3196" s="5" t="str">
        <f>IFERROR(__xludf.DUMMYFUNCTION("""COMPUTED_VALUE"""),"")</f>
        <v/>
      </c>
      <c r="R3196" s="4" t="str">
        <f>IFERROR(__xludf.DUMMYFUNCTION("""COMPUTED_VALUE"""),"")</f>
        <v/>
      </c>
      <c r="S3196" s="1" t="b">
        <f>IFERROR(__xludf.DUMMYFUNCTION("""COMPUTED_VALUE"""),FALSE)</f>
        <v>0</v>
      </c>
      <c r="T3196" s="1" t="b">
        <f>IFERROR(__xludf.DUMMYFUNCTION("""COMPUTED_VALUE"""),FALSE)</f>
        <v>0</v>
      </c>
      <c r="U3196" s="1" t="str">
        <f>IFERROR(__xludf.DUMMYFUNCTION("""COMPUTED_VALUE"""),"")</f>
        <v/>
      </c>
      <c r="V3196" s="1" t="str">
        <f>IFERROR(__xludf.DUMMYFUNCTION("""COMPUTED_VALUE"""),"")</f>
        <v/>
      </c>
      <c r="W3196" s="1" t="str">
        <f>IFERROR(__xludf.DUMMYFUNCTION("""COMPUTED_VALUE"""),"")</f>
        <v/>
      </c>
      <c r="X3196" s="1" t="str">
        <f>IFERROR(__xludf.DUMMYFUNCTION("""COMPUTED_VALUE"""),"")</f>
        <v/>
      </c>
      <c r="Y3196" s="2"/>
      <c r="Z3196" s="2" t="str">
        <f>IFERROR(__xludf.DUMMYFUNCTION("""COMPUTED_VALUE"""),"")</f>
        <v/>
      </c>
    </row>
    <row r="3197">
      <c r="A3197" s="1" t="str">
        <f>IFERROR(__xludf.DUMMYFUNCTION("""COMPUTED_VALUE"""),"")</f>
        <v/>
      </c>
      <c r="B3197" s="1"/>
      <c r="C3197" s="2"/>
      <c r="D3197" s="2"/>
      <c r="E3197" s="1"/>
      <c r="F3197" s="1"/>
      <c r="G3197" s="4" t="str">
        <f>IFERROR(__xludf.DUMMYFUNCTION("""COMPUTED_VALUE"""),"")</f>
        <v/>
      </c>
      <c r="H3197" s="4" t="str">
        <f>IFERROR(__xludf.DUMMYFUNCTION("""COMPUTED_VALUE"""),"")</f>
        <v/>
      </c>
      <c r="I3197" s="4" t="str">
        <f>IFERROR(__xludf.DUMMYFUNCTION("""COMPUTED_VALUE"""),"")</f>
        <v/>
      </c>
      <c r="J3197" s="4" t="str">
        <f>IFERROR(__xludf.DUMMYFUNCTION("""COMPUTED_VALUE"""),"")</f>
        <v/>
      </c>
      <c r="K3197" s="4" t="str">
        <f>IFERROR(__xludf.DUMMYFUNCTION("""COMPUTED_VALUE"""),"")</f>
        <v/>
      </c>
      <c r="L3197" s="4" t="str">
        <f>IFERROR(__xludf.DUMMYFUNCTION("""COMPUTED_VALUE"""),"")</f>
        <v/>
      </c>
      <c r="M3197" s="1" t="str">
        <f>IFERROR(__xludf.DUMMYFUNCTION("""COMPUTED_VALUE"""),"RFID")</f>
        <v>RFID</v>
      </c>
      <c r="N3197" s="5" t="str">
        <f>IFERROR(__xludf.DUMMYFUNCTION("""COMPUTED_VALUE"""),"")</f>
        <v/>
      </c>
      <c r="O3197" s="5" t="str">
        <f>IFERROR(__xludf.DUMMYFUNCTION("""COMPUTED_VALUE"""),"")</f>
        <v/>
      </c>
      <c r="P3197" s="5" t="str">
        <f>IFERROR(__xludf.DUMMYFUNCTION("""COMPUTED_VALUE"""),"")</f>
        <v/>
      </c>
      <c r="Q3197" s="5" t="str">
        <f>IFERROR(__xludf.DUMMYFUNCTION("""COMPUTED_VALUE"""),"")</f>
        <v/>
      </c>
      <c r="R3197" s="4" t="str">
        <f>IFERROR(__xludf.DUMMYFUNCTION("""COMPUTED_VALUE"""),"")</f>
        <v/>
      </c>
      <c r="S3197" s="1" t="b">
        <f>IFERROR(__xludf.DUMMYFUNCTION("""COMPUTED_VALUE"""),FALSE)</f>
        <v>0</v>
      </c>
      <c r="T3197" s="1" t="b">
        <f>IFERROR(__xludf.DUMMYFUNCTION("""COMPUTED_VALUE"""),FALSE)</f>
        <v>0</v>
      </c>
      <c r="U3197" s="1" t="str">
        <f>IFERROR(__xludf.DUMMYFUNCTION("""COMPUTED_VALUE"""),"")</f>
        <v/>
      </c>
      <c r="V3197" s="1" t="str">
        <f>IFERROR(__xludf.DUMMYFUNCTION("""COMPUTED_VALUE"""),"")</f>
        <v/>
      </c>
      <c r="W3197" s="1" t="str">
        <f>IFERROR(__xludf.DUMMYFUNCTION("""COMPUTED_VALUE"""),"")</f>
        <v/>
      </c>
      <c r="X3197" s="1" t="str">
        <f>IFERROR(__xludf.DUMMYFUNCTION("""COMPUTED_VALUE"""),"")</f>
        <v/>
      </c>
      <c r="Y3197" s="2"/>
      <c r="Z3197" s="2" t="str">
        <f>IFERROR(__xludf.DUMMYFUNCTION("""COMPUTED_VALUE"""),"")</f>
        <v/>
      </c>
    </row>
    <row r="3198">
      <c r="A3198" s="1" t="str">
        <f>IFERROR(__xludf.DUMMYFUNCTION("""COMPUTED_VALUE"""),"")</f>
        <v/>
      </c>
      <c r="B3198" s="1"/>
      <c r="C3198" s="2"/>
      <c r="D3198" s="2"/>
      <c r="E3198" s="1"/>
      <c r="F3198" s="1"/>
      <c r="G3198" s="4" t="str">
        <f>IFERROR(__xludf.DUMMYFUNCTION("""COMPUTED_VALUE"""),"")</f>
        <v/>
      </c>
      <c r="H3198" s="4" t="str">
        <f>IFERROR(__xludf.DUMMYFUNCTION("""COMPUTED_VALUE"""),"")</f>
        <v/>
      </c>
      <c r="I3198" s="4" t="str">
        <f>IFERROR(__xludf.DUMMYFUNCTION("""COMPUTED_VALUE"""),"")</f>
        <v/>
      </c>
      <c r="J3198" s="4" t="str">
        <f>IFERROR(__xludf.DUMMYFUNCTION("""COMPUTED_VALUE"""),"")</f>
        <v/>
      </c>
      <c r="K3198" s="4" t="str">
        <f>IFERROR(__xludf.DUMMYFUNCTION("""COMPUTED_VALUE"""),"")</f>
        <v/>
      </c>
      <c r="L3198" s="4" t="str">
        <f>IFERROR(__xludf.DUMMYFUNCTION("""COMPUTED_VALUE"""),"")</f>
        <v/>
      </c>
      <c r="M3198" s="1" t="str">
        <f>IFERROR(__xludf.DUMMYFUNCTION("""COMPUTED_VALUE"""),"RFID")</f>
        <v>RFID</v>
      </c>
      <c r="N3198" s="5" t="str">
        <f>IFERROR(__xludf.DUMMYFUNCTION("""COMPUTED_VALUE"""),"")</f>
        <v/>
      </c>
      <c r="O3198" s="5" t="str">
        <f>IFERROR(__xludf.DUMMYFUNCTION("""COMPUTED_VALUE"""),"")</f>
        <v/>
      </c>
      <c r="P3198" s="5" t="str">
        <f>IFERROR(__xludf.DUMMYFUNCTION("""COMPUTED_VALUE"""),"")</f>
        <v/>
      </c>
      <c r="Q3198" s="5" t="str">
        <f>IFERROR(__xludf.DUMMYFUNCTION("""COMPUTED_VALUE"""),"")</f>
        <v/>
      </c>
      <c r="R3198" s="4" t="str">
        <f>IFERROR(__xludf.DUMMYFUNCTION("""COMPUTED_VALUE"""),"")</f>
        <v/>
      </c>
      <c r="S3198" s="1" t="b">
        <f>IFERROR(__xludf.DUMMYFUNCTION("""COMPUTED_VALUE"""),FALSE)</f>
        <v>0</v>
      </c>
      <c r="T3198" s="1" t="b">
        <f>IFERROR(__xludf.DUMMYFUNCTION("""COMPUTED_VALUE"""),FALSE)</f>
        <v>0</v>
      </c>
      <c r="U3198" s="1" t="str">
        <f>IFERROR(__xludf.DUMMYFUNCTION("""COMPUTED_VALUE"""),"")</f>
        <v/>
      </c>
      <c r="V3198" s="1" t="str">
        <f>IFERROR(__xludf.DUMMYFUNCTION("""COMPUTED_VALUE"""),"")</f>
        <v/>
      </c>
      <c r="W3198" s="1" t="str">
        <f>IFERROR(__xludf.DUMMYFUNCTION("""COMPUTED_VALUE"""),"")</f>
        <v/>
      </c>
      <c r="X3198" s="1" t="str">
        <f>IFERROR(__xludf.DUMMYFUNCTION("""COMPUTED_VALUE"""),"")</f>
        <v/>
      </c>
      <c r="Y3198" s="2"/>
      <c r="Z3198" s="2" t="str">
        <f>IFERROR(__xludf.DUMMYFUNCTION("""COMPUTED_VALUE"""),"")</f>
        <v/>
      </c>
    </row>
    <row r="3199">
      <c r="A3199" s="1" t="str">
        <f>IFERROR(__xludf.DUMMYFUNCTION("""COMPUTED_VALUE"""),"")</f>
        <v/>
      </c>
      <c r="B3199" s="1"/>
      <c r="C3199" s="2"/>
      <c r="D3199" s="2"/>
      <c r="E3199" s="1"/>
      <c r="F3199" s="1"/>
      <c r="G3199" s="4" t="str">
        <f>IFERROR(__xludf.DUMMYFUNCTION("""COMPUTED_VALUE"""),"")</f>
        <v/>
      </c>
      <c r="H3199" s="4" t="str">
        <f>IFERROR(__xludf.DUMMYFUNCTION("""COMPUTED_VALUE"""),"")</f>
        <v/>
      </c>
      <c r="I3199" s="4" t="str">
        <f>IFERROR(__xludf.DUMMYFUNCTION("""COMPUTED_VALUE"""),"")</f>
        <v/>
      </c>
      <c r="J3199" s="4" t="str">
        <f>IFERROR(__xludf.DUMMYFUNCTION("""COMPUTED_VALUE"""),"")</f>
        <v/>
      </c>
      <c r="K3199" s="4" t="str">
        <f>IFERROR(__xludf.DUMMYFUNCTION("""COMPUTED_VALUE"""),"")</f>
        <v/>
      </c>
      <c r="L3199" s="4" t="str">
        <f>IFERROR(__xludf.DUMMYFUNCTION("""COMPUTED_VALUE"""),"")</f>
        <v/>
      </c>
      <c r="M3199" s="1" t="str">
        <f>IFERROR(__xludf.DUMMYFUNCTION("""COMPUTED_VALUE"""),"RFID")</f>
        <v>RFID</v>
      </c>
      <c r="N3199" s="5" t="str">
        <f>IFERROR(__xludf.DUMMYFUNCTION("""COMPUTED_VALUE"""),"")</f>
        <v/>
      </c>
      <c r="O3199" s="5" t="str">
        <f>IFERROR(__xludf.DUMMYFUNCTION("""COMPUTED_VALUE"""),"")</f>
        <v/>
      </c>
      <c r="P3199" s="5" t="str">
        <f>IFERROR(__xludf.DUMMYFUNCTION("""COMPUTED_VALUE"""),"")</f>
        <v/>
      </c>
      <c r="Q3199" s="5" t="str">
        <f>IFERROR(__xludf.DUMMYFUNCTION("""COMPUTED_VALUE"""),"")</f>
        <v/>
      </c>
      <c r="R3199" s="4" t="str">
        <f>IFERROR(__xludf.DUMMYFUNCTION("""COMPUTED_VALUE"""),"")</f>
        <v/>
      </c>
      <c r="S3199" s="1" t="b">
        <f>IFERROR(__xludf.DUMMYFUNCTION("""COMPUTED_VALUE"""),FALSE)</f>
        <v>0</v>
      </c>
      <c r="T3199" s="1" t="b">
        <f>IFERROR(__xludf.DUMMYFUNCTION("""COMPUTED_VALUE"""),FALSE)</f>
        <v>0</v>
      </c>
      <c r="U3199" s="1" t="str">
        <f>IFERROR(__xludf.DUMMYFUNCTION("""COMPUTED_VALUE"""),"")</f>
        <v/>
      </c>
      <c r="V3199" s="1" t="str">
        <f>IFERROR(__xludf.DUMMYFUNCTION("""COMPUTED_VALUE"""),"")</f>
        <v/>
      </c>
      <c r="W3199" s="1" t="str">
        <f>IFERROR(__xludf.DUMMYFUNCTION("""COMPUTED_VALUE"""),"")</f>
        <v/>
      </c>
      <c r="X3199" s="1" t="str">
        <f>IFERROR(__xludf.DUMMYFUNCTION("""COMPUTED_VALUE"""),"")</f>
        <v/>
      </c>
      <c r="Y3199" s="2"/>
      <c r="Z3199" s="2" t="str">
        <f>IFERROR(__xludf.DUMMYFUNCTION("""COMPUTED_VALUE"""),"")</f>
        <v/>
      </c>
    </row>
    <row r="3200">
      <c r="A3200" s="1" t="str">
        <f>IFERROR(__xludf.DUMMYFUNCTION("""COMPUTED_VALUE"""),"")</f>
        <v/>
      </c>
      <c r="B3200" s="1"/>
      <c r="C3200" s="2"/>
      <c r="D3200" s="2"/>
      <c r="E3200" s="1"/>
      <c r="F3200" s="1"/>
      <c r="G3200" s="4" t="str">
        <f>IFERROR(__xludf.DUMMYFUNCTION("""COMPUTED_VALUE"""),"")</f>
        <v/>
      </c>
      <c r="H3200" s="4" t="str">
        <f>IFERROR(__xludf.DUMMYFUNCTION("""COMPUTED_VALUE"""),"")</f>
        <v/>
      </c>
      <c r="I3200" s="4" t="str">
        <f>IFERROR(__xludf.DUMMYFUNCTION("""COMPUTED_VALUE"""),"")</f>
        <v/>
      </c>
      <c r="J3200" s="4" t="str">
        <f>IFERROR(__xludf.DUMMYFUNCTION("""COMPUTED_VALUE"""),"")</f>
        <v/>
      </c>
      <c r="K3200" s="4" t="str">
        <f>IFERROR(__xludf.DUMMYFUNCTION("""COMPUTED_VALUE"""),"")</f>
        <v/>
      </c>
      <c r="L3200" s="4" t="str">
        <f>IFERROR(__xludf.DUMMYFUNCTION("""COMPUTED_VALUE"""),"")</f>
        <v/>
      </c>
      <c r="M3200" s="1" t="str">
        <f>IFERROR(__xludf.DUMMYFUNCTION("""COMPUTED_VALUE"""),"RFID")</f>
        <v>RFID</v>
      </c>
      <c r="N3200" s="5" t="str">
        <f>IFERROR(__xludf.DUMMYFUNCTION("""COMPUTED_VALUE"""),"")</f>
        <v/>
      </c>
      <c r="O3200" s="5" t="str">
        <f>IFERROR(__xludf.DUMMYFUNCTION("""COMPUTED_VALUE"""),"")</f>
        <v/>
      </c>
      <c r="P3200" s="5" t="str">
        <f>IFERROR(__xludf.DUMMYFUNCTION("""COMPUTED_VALUE"""),"")</f>
        <v/>
      </c>
      <c r="Q3200" s="5" t="str">
        <f>IFERROR(__xludf.DUMMYFUNCTION("""COMPUTED_VALUE"""),"")</f>
        <v/>
      </c>
      <c r="R3200" s="4" t="str">
        <f>IFERROR(__xludf.DUMMYFUNCTION("""COMPUTED_VALUE"""),"")</f>
        <v/>
      </c>
      <c r="S3200" s="1" t="b">
        <f>IFERROR(__xludf.DUMMYFUNCTION("""COMPUTED_VALUE"""),FALSE)</f>
        <v>0</v>
      </c>
      <c r="T3200" s="1" t="b">
        <f>IFERROR(__xludf.DUMMYFUNCTION("""COMPUTED_VALUE"""),FALSE)</f>
        <v>0</v>
      </c>
      <c r="U3200" s="1" t="str">
        <f>IFERROR(__xludf.DUMMYFUNCTION("""COMPUTED_VALUE"""),"")</f>
        <v/>
      </c>
      <c r="V3200" s="1" t="str">
        <f>IFERROR(__xludf.DUMMYFUNCTION("""COMPUTED_VALUE"""),"")</f>
        <v/>
      </c>
      <c r="W3200" s="1" t="str">
        <f>IFERROR(__xludf.DUMMYFUNCTION("""COMPUTED_VALUE"""),"")</f>
        <v/>
      </c>
      <c r="X3200" s="1" t="str">
        <f>IFERROR(__xludf.DUMMYFUNCTION("""COMPUTED_VALUE"""),"")</f>
        <v/>
      </c>
      <c r="Y3200" s="2"/>
      <c r="Z3200" s="2" t="str">
        <f>IFERROR(__xludf.DUMMYFUNCTION("""COMPUTED_VALUE"""),"")</f>
        <v/>
      </c>
    </row>
    <row r="3201">
      <c r="A3201" s="1" t="str">
        <f>IFERROR(__xludf.DUMMYFUNCTION("""COMPUTED_VALUE"""),"")</f>
        <v/>
      </c>
      <c r="B3201" s="1"/>
      <c r="C3201" s="2"/>
      <c r="D3201" s="2"/>
      <c r="E3201" s="1"/>
      <c r="F3201" s="1"/>
      <c r="G3201" s="4" t="str">
        <f>IFERROR(__xludf.DUMMYFUNCTION("""COMPUTED_VALUE"""),"")</f>
        <v/>
      </c>
      <c r="H3201" s="4" t="str">
        <f>IFERROR(__xludf.DUMMYFUNCTION("""COMPUTED_VALUE"""),"")</f>
        <v/>
      </c>
      <c r="I3201" s="4" t="str">
        <f>IFERROR(__xludf.DUMMYFUNCTION("""COMPUTED_VALUE"""),"")</f>
        <v/>
      </c>
      <c r="J3201" s="4" t="str">
        <f>IFERROR(__xludf.DUMMYFUNCTION("""COMPUTED_VALUE"""),"")</f>
        <v/>
      </c>
      <c r="K3201" s="4" t="str">
        <f>IFERROR(__xludf.DUMMYFUNCTION("""COMPUTED_VALUE"""),"")</f>
        <v/>
      </c>
      <c r="L3201" s="4" t="str">
        <f>IFERROR(__xludf.DUMMYFUNCTION("""COMPUTED_VALUE"""),"")</f>
        <v/>
      </c>
      <c r="M3201" s="1" t="str">
        <f>IFERROR(__xludf.DUMMYFUNCTION("""COMPUTED_VALUE"""),"RFID")</f>
        <v>RFID</v>
      </c>
      <c r="N3201" s="5" t="str">
        <f>IFERROR(__xludf.DUMMYFUNCTION("""COMPUTED_VALUE"""),"")</f>
        <v/>
      </c>
      <c r="O3201" s="5" t="str">
        <f>IFERROR(__xludf.DUMMYFUNCTION("""COMPUTED_VALUE"""),"")</f>
        <v/>
      </c>
      <c r="P3201" s="5" t="str">
        <f>IFERROR(__xludf.DUMMYFUNCTION("""COMPUTED_VALUE"""),"")</f>
        <v/>
      </c>
      <c r="Q3201" s="5" t="str">
        <f>IFERROR(__xludf.DUMMYFUNCTION("""COMPUTED_VALUE"""),"")</f>
        <v/>
      </c>
      <c r="R3201" s="4" t="str">
        <f>IFERROR(__xludf.DUMMYFUNCTION("""COMPUTED_VALUE"""),"")</f>
        <v/>
      </c>
      <c r="S3201" s="1" t="b">
        <f>IFERROR(__xludf.DUMMYFUNCTION("""COMPUTED_VALUE"""),FALSE)</f>
        <v>0</v>
      </c>
      <c r="T3201" s="1" t="b">
        <f>IFERROR(__xludf.DUMMYFUNCTION("""COMPUTED_VALUE"""),FALSE)</f>
        <v>0</v>
      </c>
      <c r="U3201" s="1" t="str">
        <f>IFERROR(__xludf.DUMMYFUNCTION("""COMPUTED_VALUE"""),"")</f>
        <v/>
      </c>
      <c r="V3201" s="1" t="str">
        <f>IFERROR(__xludf.DUMMYFUNCTION("""COMPUTED_VALUE"""),"")</f>
        <v/>
      </c>
      <c r="W3201" s="1" t="str">
        <f>IFERROR(__xludf.DUMMYFUNCTION("""COMPUTED_VALUE"""),"")</f>
        <v/>
      </c>
      <c r="X3201" s="1" t="str">
        <f>IFERROR(__xludf.DUMMYFUNCTION("""COMPUTED_VALUE"""),"")</f>
        <v/>
      </c>
      <c r="Y3201" s="2"/>
      <c r="Z3201" s="2" t="str">
        <f>IFERROR(__xludf.DUMMYFUNCTION("""COMPUTED_VALUE"""),"")</f>
        <v/>
      </c>
    </row>
    <row r="3202">
      <c r="A3202" s="1" t="str">
        <f>IFERROR(__xludf.DUMMYFUNCTION("""COMPUTED_VALUE"""),"")</f>
        <v/>
      </c>
      <c r="B3202" s="1"/>
      <c r="C3202" s="2"/>
      <c r="D3202" s="2"/>
      <c r="E3202" s="1"/>
      <c r="F3202" s="1"/>
      <c r="G3202" s="4" t="str">
        <f>IFERROR(__xludf.DUMMYFUNCTION("""COMPUTED_VALUE"""),"")</f>
        <v/>
      </c>
      <c r="H3202" s="4" t="str">
        <f>IFERROR(__xludf.DUMMYFUNCTION("""COMPUTED_VALUE"""),"")</f>
        <v/>
      </c>
      <c r="I3202" s="4" t="str">
        <f>IFERROR(__xludf.DUMMYFUNCTION("""COMPUTED_VALUE"""),"")</f>
        <v/>
      </c>
      <c r="J3202" s="4" t="str">
        <f>IFERROR(__xludf.DUMMYFUNCTION("""COMPUTED_VALUE"""),"")</f>
        <v/>
      </c>
      <c r="K3202" s="4" t="str">
        <f>IFERROR(__xludf.DUMMYFUNCTION("""COMPUTED_VALUE"""),"")</f>
        <v/>
      </c>
      <c r="L3202" s="4" t="str">
        <f>IFERROR(__xludf.DUMMYFUNCTION("""COMPUTED_VALUE"""),"")</f>
        <v/>
      </c>
      <c r="M3202" s="1" t="str">
        <f>IFERROR(__xludf.DUMMYFUNCTION("""COMPUTED_VALUE"""),"RFID")</f>
        <v>RFID</v>
      </c>
      <c r="N3202" s="5" t="str">
        <f>IFERROR(__xludf.DUMMYFUNCTION("""COMPUTED_VALUE"""),"")</f>
        <v/>
      </c>
      <c r="O3202" s="5" t="str">
        <f>IFERROR(__xludf.DUMMYFUNCTION("""COMPUTED_VALUE"""),"")</f>
        <v/>
      </c>
      <c r="P3202" s="5" t="str">
        <f>IFERROR(__xludf.DUMMYFUNCTION("""COMPUTED_VALUE"""),"")</f>
        <v/>
      </c>
      <c r="Q3202" s="5" t="str">
        <f>IFERROR(__xludf.DUMMYFUNCTION("""COMPUTED_VALUE"""),"")</f>
        <v/>
      </c>
      <c r="R3202" s="4" t="str">
        <f>IFERROR(__xludf.DUMMYFUNCTION("""COMPUTED_VALUE"""),"")</f>
        <v/>
      </c>
      <c r="S3202" s="1" t="b">
        <f>IFERROR(__xludf.DUMMYFUNCTION("""COMPUTED_VALUE"""),FALSE)</f>
        <v>0</v>
      </c>
      <c r="T3202" s="1" t="b">
        <f>IFERROR(__xludf.DUMMYFUNCTION("""COMPUTED_VALUE"""),FALSE)</f>
        <v>0</v>
      </c>
      <c r="U3202" s="1" t="str">
        <f>IFERROR(__xludf.DUMMYFUNCTION("""COMPUTED_VALUE"""),"")</f>
        <v/>
      </c>
      <c r="V3202" s="1" t="str">
        <f>IFERROR(__xludf.DUMMYFUNCTION("""COMPUTED_VALUE"""),"")</f>
        <v/>
      </c>
      <c r="W3202" s="1" t="str">
        <f>IFERROR(__xludf.DUMMYFUNCTION("""COMPUTED_VALUE"""),"")</f>
        <v/>
      </c>
      <c r="X3202" s="1" t="str">
        <f>IFERROR(__xludf.DUMMYFUNCTION("""COMPUTED_VALUE"""),"")</f>
        <v/>
      </c>
      <c r="Y3202" s="2"/>
      <c r="Z3202" s="2" t="str">
        <f>IFERROR(__xludf.DUMMYFUNCTION("""COMPUTED_VALUE"""),"")</f>
        <v/>
      </c>
    </row>
    <row r="3203">
      <c r="A3203" s="1" t="str">
        <f>IFERROR(__xludf.DUMMYFUNCTION("""COMPUTED_VALUE"""),"")</f>
        <v/>
      </c>
      <c r="B3203" s="1"/>
      <c r="C3203" s="2"/>
      <c r="D3203" s="2"/>
      <c r="E3203" s="1"/>
      <c r="F3203" s="1"/>
      <c r="G3203" s="4" t="str">
        <f>IFERROR(__xludf.DUMMYFUNCTION("""COMPUTED_VALUE"""),"")</f>
        <v/>
      </c>
      <c r="H3203" s="4" t="str">
        <f>IFERROR(__xludf.DUMMYFUNCTION("""COMPUTED_VALUE"""),"")</f>
        <v/>
      </c>
      <c r="I3203" s="4" t="str">
        <f>IFERROR(__xludf.DUMMYFUNCTION("""COMPUTED_VALUE"""),"")</f>
        <v/>
      </c>
      <c r="J3203" s="4" t="str">
        <f>IFERROR(__xludf.DUMMYFUNCTION("""COMPUTED_VALUE"""),"")</f>
        <v/>
      </c>
      <c r="K3203" s="4" t="str">
        <f>IFERROR(__xludf.DUMMYFUNCTION("""COMPUTED_VALUE"""),"")</f>
        <v/>
      </c>
      <c r="L3203" s="4" t="str">
        <f>IFERROR(__xludf.DUMMYFUNCTION("""COMPUTED_VALUE"""),"")</f>
        <v/>
      </c>
      <c r="M3203" s="1" t="str">
        <f>IFERROR(__xludf.DUMMYFUNCTION("""COMPUTED_VALUE"""),"RFID")</f>
        <v>RFID</v>
      </c>
      <c r="N3203" s="5" t="str">
        <f>IFERROR(__xludf.DUMMYFUNCTION("""COMPUTED_VALUE"""),"")</f>
        <v/>
      </c>
      <c r="O3203" s="5" t="str">
        <f>IFERROR(__xludf.DUMMYFUNCTION("""COMPUTED_VALUE"""),"")</f>
        <v/>
      </c>
      <c r="P3203" s="5" t="str">
        <f>IFERROR(__xludf.DUMMYFUNCTION("""COMPUTED_VALUE"""),"")</f>
        <v/>
      </c>
      <c r="Q3203" s="5" t="str">
        <f>IFERROR(__xludf.DUMMYFUNCTION("""COMPUTED_VALUE"""),"")</f>
        <v/>
      </c>
      <c r="R3203" s="4" t="str">
        <f>IFERROR(__xludf.DUMMYFUNCTION("""COMPUTED_VALUE"""),"")</f>
        <v/>
      </c>
      <c r="S3203" s="1" t="b">
        <f>IFERROR(__xludf.DUMMYFUNCTION("""COMPUTED_VALUE"""),FALSE)</f>
        <v>0</v>
      </c>
      <c r="T3203" s="1" t="b">
        <f>IFERROR(__xludf.DUMMYFUNCTION("""COMPUTED_VALUE"""),FALSE)</f>
        <v>0</v>
      </c>
      <c r="U3203" s="1" t="str">
        <f>IFERROR(__xludf.DUMMYFUNCTION("""COMPUTED_VALUE"""),"")</f>
        <v/>
      </c>
      <c r="V3203" s="1" t="str">
        <f>IFERROR(__xludf.DUMMYFUNCTION("""COMPUTED_VALUE"""),"")</f>
        <v/>
      </c>
      <c r="W3203" s="1" t="str">
        <f>IFERROR(__xludf.DUMMYFUNCTION("""COMPUTED_VALUE"""),"")</f>
        <v/>
      </c>
      <c r="X3203" s="1" t="str">
        <f>IFERROR(__xludf.DUMMYFUNCTION("""COMPUTED_VALUE"""),"")</f>
        <v/>
      </c>
      <c r="Y3203" s="2"/>
      <c r="Z3203" s="2" t="str">
        <f>IFERROR(__xludf.DUMMYFUNCTION("""COMPUTED_VALUE"""),"")</f>
        <v/>
      </c>
    </row>
    <row r="3204">
      <c r="A3204" s="1" t="str">
        <f>IFERROR(__xludf.DUMMYFUNCTION("""COMPUTED_VALUE"""),"")</f>
        <v/>
      </c>
      <c r="B3204" s="1"/>
      <c r="C3204" s="2"/>
      <c r="D3204" s="2"/>
      <c r="E3204" s="1"/>
      <c r="F3204" s="1"/>
      <c r="G3204" s="4" t="str">
        <f>IFERROR(__xludf.DUMMYFUNCTION("""COMPUTED_VALUE"""),"")</f>
        <v/>
      </c>
      <c r="H3204" s="4" t="str">
        <f>IFERROR(__xludf.DUMMYFUNCTION("""COMPUTED_VALUE"""),"")</f>
        <v/>
      </c>
      <c r="I3204" s="4" t="str">
        <f>IFERROR(__xludf.DUMMYFUNCTION("""COMPUTED_VALUE"""),"")</f>
        <v/>
      </c>
      <c r="J3204" s="4" t="str">
        <f>IFERROR(__xludf.DUMMYFUNCTION("""COMPUTED_VALUE"""),"")</f>
        <v/>
      </c>
      <c r="K3204" s="4" t="str">
        <f>IFERROR(__xludf.DUMMYFUNCTION("""COMPUTED_VALUE"""),"")</f>
        <v/>
      </c>
      <c r="L3204" s="4" t="str">
        <f>IFERROR(__xludf.DUMMYFUNCTION("""COMPUTED_VALUE"""),"")</f>
        <v/>
      </c>
      <c r="M3204" s="1" t="str">
        <f>IFERROR(__xludf.DUMMYFUNCTION("""COMPUTED_VALUE"""),"RFID")</f>
        <v>RFID</v>
      </c>
      <c r="N3204" s="5" t="str">
        <f>IFERROR(__xludf.DUMMYFUNCTION("""COMPUTED_VALUE"""),"")</f>
        <v/>
      </c>
      <c r="O3204" s="5" t="str">
        <f>IFERROR(__xludf.DUMMYFUNCTION("""COMPUTED_VALUE"""),"")</f>
        <v/>
      </c>
      <c r="P3204" s="5" t="str">
        <f>IFERROR(__xludf.DUMMYFUNCTION("""COMPUTED_VALUE"""),"")</f>
        <v/>
      </c>
      <c r="Q3204" s="5" t="str">
        <f>IFERROR(__xludf.DUMMYFUNCTION("""COMPUTED_VALUE"""),"")</f>
        <v/>
      </c>
      <c r="R3204" s="4" t="str">
        <f>IFERROR(__xludf.DUMMYFUNCTION("""COMPUTED_VALUE"""),"")</f>
        <v/>
      </c>
      <c r="S3204" s="1" t="b">
        <f>IFERROR(__xludf.DUMMYFUNCTION("""COMPUTED_VALUE"""),FALSE)</f>
        <v>0</v>
      </c>
      <c r="T3204" s="1" t="b">
        <f>IFERROR(__xludf.DUMMYFUNCTION("""COMPUTED_VALUE"""),FALSE)</f>
        <v>0</v>
      </c>
      <c r="U3204" s="1" t="str">
        <f>IFERROR(__xludf.DUMMYFUNCTION("""COMPUTED_VALUE"""),"")</f>
        <v/>
      </c>
      <c r="V3204" s="1" t="str">
        <f>IFERROR(__xludf.DUMMYFUNCTION("""COMPUTED_VALUE"""),"")</f>
        <v/>
      </c>
      <c r="W3204" s="1" t="str">
        <f>IFERROR(__xludf.DUMMYFUNCTION("""COMPUTED_VALUE"""),"")</f>
        <v/>
      </c>
      <c r="X3204" s="1" t="str">
        <f>IFERROR(__xludf.DUMMYFUNCTION("""COMPUTED_VALUE"""),"")</f>
        <v/>
      </c>
      <c r="Y3204" s="2"/>
      <c r="Z3204" s="2" t="str">
        <f>IFERROR(__xludf.DUMMYFUNCTION("""COMPUTED_VALUE"""),"")</f>
        <v/>
      </c>
    </row>
    <row r="3205">
      <c r="A3205" s="1" t="str">
        <f>IFERROR(__xludf.DUMMYFUNCTION("""COMPUTED_VALUE"""),"")</f>
        <v/>
      </c>
      <c r="B3205" s="1"/>
      <c r="C3205" s="2"/>
      <c r="D3205" s="2"/>
      <c r="E3205" s="1"/>
      <c r="F3205" s="1"/>
      <c r="G3205" s="4" t="str">
        <f>IFERROR(__xludf.DUMMYFUNCTION("""COMPUTED_VALUE"""),"")</f>
        <v/>
      </c>
      <c r="H3205" s="4" t="str">
        <f>IFERROR(__xludf.DUMMYFUNCTION("""COMPUTED_VALUE"""),"")</f>
        <v/>
      </c>
      <c r="I3205" s="4" t="str">
        <f>IFERROR(__xludf.DUMMYFUNCTION("""COMPUTED_VALUE"""),"")</f>
        <v/>
      </c>
      <c r="J3205" s="4" t="str">
        <f>IFERROR(__xludf.DUMMYFUNCTION("""COMPUTED_VALUE"""),"")</f>
        <v/>
      </c>
      <c r="K3205" s="4" t="str">
        <f>IFERROR(__xludf.DUMMYFUNCTION("""COMPUTED_VALUE"""),"")</f>
        <v/>
      </c>
      <c r="L3205" s="4" t="str">
        <f>IFERROR(__xludf.DUMMYFUNCTION("""COMPUTED_VALUE"""),"")</f>
        <v/>
      </c>
      <c r="M3205" s="1" t="str">
        <f>IFERROR(__xludf.DUMMYFUNCTION("""COMPUTED_VALUE"""),"RFID")</f>
        <v>RFID</v>
      </c>
      <c r="N3205" s="5" t="str">
        <f>IFERROR(__xludf.DUMMYFUNCTION("""COMPUTED_VALUE"""),"")</f>
        <v/>
      </c>
      <c r="O3205" s="5" t="str">
        <f>IFERROR(__xludf.DUMMYFUNCTION("""COMPUTED_VALUE"""),"")</f>
        <v/>
      </c>
      <c r="P3205" s="5" t="str">
        <f>IFERROR(__xludf.DUMMYFUNCTION("""COMPUTED_VALUE"""),"")</f>
        <v/>
      </c>
      <c r="Q3205" s="5" t="str">
        <f>IFERROR(__xludf.DUMMYFUNCTION("""COMPUTED_VALUE"""),"")</f>
        <v/>
      </c>
      <c r="R3205" s="4" t="str">
        <f>IFERROR(__xludf.DUMMYFUNCTION("""COMPUTED_VALUE"""),"")</f>
        <v/>
      </c>
      <c r="S3205" s="1" t="b">
        <f>IFERROR(__xludf.DUMMYFUNCTION("""COMPUTED_VALUE"""),FALSE)</f>
        <v>0</v>
      </c>
      <c r="T3205" s="1" t="b">
        <f>IFERROR(__xludf.DUMMYFUNCTION("""COMPUTED_VALUE"""),FALSE)</f>
        <v>0</v>
      </c>
      <c r="U3205" s="1" t="str">
        <f>IFERROR(__xludf.DUMMYFUNCTION("""COMPUTED_VALUE"""),"")</f>
        <v/>
      </c>
      <c r="V3205" s="1" t="str">
        <f>IFERROR(__xludf.DUMMYFUNCTION("""COMPUTED_VALUE"""),"")</f>
        <v/>
      </c>
      <c r="W3205" s="1" t="str">
        <f>IFERROR(__xludf.DUMMYFUNCTION("""COMPUTED_VALUE"""),"")</f>
        <v/>
      </c>
      <c r="X3205" s="1" t="str">
        <f>IFERROR(__xludf.DUMMYFUNCTION("""COMPUTED_VALUE"""),"")</f>
        <v/>
      </c>
      <c r="Y3205" s="2"/>
      <c r="Z3205" s="2" t="str">
        <f>IFERROR(__xludf.DUMMYFUNCTION("""COMPUTED_VALUE"""),"")</f>
        <v/>
      </c>
    </row>
    <row r="3206">
      <c r="A3206" s="1" t="str">
        <f>IFERROR(__xludf.DUMMYFUNCTION("""COMPUTED_VALUE"""),"")</f>
        <v/>
      </c>
      <c r="B3206" s="1"/>
      <c r="C3206" s="2"/>
      <c r="D3206" s="2"/>
      <c r="E3206" s="1"/>
      <c r="F3206" s="1"/>
      <c r="G3206" s="4" t="str">
        <f>IFERROR(__xludf.DUMMYFUNCTION("""COMPUTED_VALUE"""),"")</f>
        <v/>
      </c>
      <c r="H3206" s="4" t="str">
        <f>IFERROR(__xludf.DUMMYFUNCTION("""COMPUTED_VALUE"""),"")</f>
        <v/>
      </c>
      <c r="I3206" s="4" t="str">
        <f>IFERROR(__xludf.DUMMYFUNCTION("""COMPUTED_VALUE"""),"")</f>
        <v/>
      </c>
      <c r="J3206" s="4" t="str">
        <f>IFERROR(__xludf.DUMMYFUNCTION("""COMPUTED_VALUE"""),"")</f>
        <v/>
      </c>
      <c r="K3206" s="4" t="str">
        <f>IFERROR(__xludf.DUMMYFUNCTION("""COMPUTED_VALUE"""),"")</f>
        <v/>
      </c>
      <c r="L3206" s="4" t="str">
        <f>IFERROR(__xludf.DUMMYFUNCTION("""COMPUTED_VALUE"""),"")</f>
        <v/>
      </c>
      <c r="M3206" s="1" t="str">
        <f>IFERROR(__xludf.DUMMYFUNCTION("""COMPUTED_VALUE"""),"RFID")</f>
        <v>RFID</v>
      </c>
      <c r="N3206" s="5" t="str">
        <f>IFERROR(__xludf.DUMMYFUNCTION("""COMPUTED_VALUE"""),"")</f>
        <v/>
      </c>
      <c r="O3206" s="5" t="str">
        <f>IFERROR(__xludf.DUMMYFUNCTION("""COMPUTED_VALUE"""),"")</f>
        <v/>
      </c>
      <c r="P3206" s="5" t="str">
        <f>IFERROR(__xludf.DUMMYFUNCTION("""COMPUTED_VALUE"""),"")</f>
        <v/>
      </c>
      <c r="Q3206" s="5" t="str">
        <f>IFERROR(__xludf.DUMMYFUNCTION("""COMPUTED_VALUE"""),"")</f>
        <v/>
      </c>
      <c r="R3206" s="4" t="str">
        <f>IFERROR(__xludf.DUMMYFUNCTION("""COMPUTED_VALUE"""),"")</f>
        <v/>
      </c>
      <c r="S3206" s="1" t="b">
        <f>IFERROR(__xludf.DUMMYFUNCTION("""COMPUTED_VALUE"""),FALSE)</f>
        <v>0</v>
      </c>
      <c r="T3206" s="1" t="b">
        <f>IFERROR(__xludf.DUMMYFUNCTION("""COMPUTED_VALUE"""),FALSE)</f>
        <v>0</v>
      </c>
      <c r="U3206" s="1" t="str">
        <f>IFERROR(__xludf.DUMMYFUNCTION("""COMPUTED_VALUE"""),"")</f>
        <v/>
      </c>
      <c r="V3206" s="1" t="str">
        <f>IFERROR(__xludf.DUMMYFUNCTION("""COMPUTED_VALUE"""),"")</f>
        <v/>
      </c>
      <c r="W3206" s="1" t="str">
        <f>IFERROR(__xludf.DUMMYFUNCTION("""COMPUTED_VALUE"""),"")</f>
        <v/>
      </c>
      <c r="X3206" s="1" t="str">
        <f>IFERROR(__xludf.DUMMYFUNCTION("""COMPUTED_VALUE"""),"")</f>
        <v/>
      </c>
      <c r="Y3206" s="2"/>
      <c r="Z3206" s="2" t="str">
        <f>IFERROR(__xludf.DUMMYFUNCTION("""COMPUTED_VALUE"""),"")</f>
        <v/>
      </c>
    </row>
    <row r="3207">
      <c r="A3207" s="1" t="str">
        <f>IFERROR(__xludf.DUMMYFUNCTION("""COMPUTED_VALUE"""),"")</f>
        <v/>
      </c>
      <c r="B3207" s="1"/>
      <c r="C3207" s="2"/>
      <c r="D3207" s="2"/>
      <c r="E3207" s="1"/>
      <c r="F3207" s="1"/>
      <c r="G3207" s="4" t="str">
        <f>IFERROR(__xludf.DUMMYFUNCTION("""COMPUTED_VALUE"""),"")</f>
        <v/>
      </c>
      <c r="H3207" s="4" t="str">
        <f>IFERROR(__xludf.DUMMYFUNCTION("""COMPUTED_VALUE"""),"")</f>
        <v/>
      </c>
      <c r="I3207" s="4" t="str">
        <f>IFERROR(__xludf.DUMMYFUNCTION("""COMPUTED_VALUE"""),"")</f>
        <v/>
      </c>
      <c r="J3207" s="4" t="str">
        <f>IFERROR(__xludf.DUMMYFUNCTION("""COMPUTED_VALUE"""),"")</f>
        <v/>
      </c>
      <c r="K3207" s="4" t="str">
        <f>IFERROR(__xludf.DUMMYFUNCTION("""COMPUTED_VALUE"""),"")</f>
        <v/>
      </c>
      <c r="L3207" s="4" t="str">
        <f>IFERROR(__xludf.DUMMYFUNCTION("""COMPUTED_VALUE"""),"")</f>
        <v/>
      </c>
      <c r="M3207" s="1" t="str">
        <f>IFERROR(__xludf.DUMMYFUNCTION("""COMPUTED_VALUE"""),"RFID")</f>
        <v>RFID</v>
      </c>
      <c r="N3207" s="5" t="str">
        <f>IFERROR(__xludf.DUMMYFUNCTION("""COMPUTED_VALUE"""),"")</f>
        <v/>
      </c>
      <c r="O3207" s="5" t="str">
        <f>IFERROR(__xludf.DUMMYFUNCTION("""COMPUTED_VALUE"""),"")</f>
        <v/>
      </c>
      <c r="P3207" s="5" t="str">
        <f>IFERROR(__xludf.DUMMYFUNCTION("""COMPUTED_VALUE"""),"")</f>
        <v/>
      </c>
      <c r="Q3207" s="5" t="str">
        <f>IFERROR(__xludf.DUMMYFUNCTION("""COMPUTED_VALUE"""),"")</f>
        <v/>
      </c>
      <c r="R3207" s="4" t="str">
        <f>IFERROR(__xludf.DUMMYFUNCTION("""COMPUTED_VALUE"""),"")</f>
        <v/>
      </c>
      <c r="S3207" s="1" t="b">
        <f>IFERROR(__xludf.DUMMYFUNCTION("""COMPUTED_VALUE"""),FALSE)</f>
        <v>0</v>
      </c>
      <c r="T3207" s="1" t="b">
        <f>IFERROR(__xludf.DUMMYFUNCTION("""COMPUTED_VALUE"""),FALSE)</f>
        <v>0</v>
      </c>
      <c r="U3207" s="1" t="str">
        <f>IFERROR(__xludf.DUMMYFUNCTION("""COMPUTED_VALUE"""),"")</f>
        <v/>
      </c>
      <c r="V3207" s="1" t="str">
        <f>IFERROR(__xludf.DUMMYFUNCTION("""COMPUTED_VALUE"""),"")</f>
        <v/>
      </c>
      <c r="W3207" s="1" t="str">
        <f>IFERROR(__xludf.DUMMYFUNCTION("""COMPUTED_VALUE"""),"")</f>
        <v/>
      </c>
      <c r="X3207" s="1" t="str">
        <f>IFERROR(__xludf.DUMMYFUNCTION("""COMPUTED_VALUE"""),"")</f>
        <v/>
      </c>
      <c r="Y3207" s="2"/>
      <c r="Z3207" s="2" t="str">
        <f>IFERROR(__xludf.DUMMYFUNCTION("""COMPUTED_VALUE"""),"")</f>
        <v/>
      </c>
    </row>
    <row r="3208">
      <c r="A3208" s="1" t="str">
        <f>IFERROR(__xludf.DUMMYFUNCTION("""COMPUTED_VALUE"""),"")</f>
        <v/>
      </c>
      <c r="B3208" s="1"/>
      <c r="C3208" s="2"/>
      <c r="D3208" s="2"/>
      <c r="E3208" s="1"/>
      <c r="F3208" s="1"/>
      <c r="G3208" s="4" t="str">
        <f>IFERROR(__xludf.DUMMYFUNCTION("""COMPUTED_VALUE"""),"")</f>
        <v/>
      </c>
      <c r="H3208" s="4" t="str">
        <f>IFERROR(__xludf.DUMMYFUNCTION("""COMPUTED_VALUE"""),"")</f>
        <v/>
      </c>
      <c r="I3208" s="4" t="str">
        <f>IFERROR(__xludf.DUMMYFUNCTION("""COMPUTED_VALUE"""),"")</f>
        <v/>
      </c>
      <c r="J3208" s="4" t="str">
        <f>IFERROR(__xludf.DUMMYFUNCTION("""COMPUTED_VALUE"""),"")</f>
        <v/>
      </c>
      <c r="K3208" s="4" t="str">
        <f>IFERROR(__xludf.DUMMYFUNCTION("""COMPUTED_VALUE"""),"")</f>
        <v/>
      </c>
      <c r="L3208" s="4" t="str">
        <f>IFERROR(__xludf.DUMMYFUNCTION("""COMPUTED_VALUE"""),"")</f>
        <v/>
      </c>
      <c r="M3208" s="1" t="str">
        <f>IFERROR(__xludf.DUMMYFUNCTION("""COMPUTED_VALUE"""),"RFID")</f>
        <v>RFID</v>
      </c>
      <c r="N3208" s="5" t="str">
        <f>IFERROR(__xludf.DUMMYFUNCTION("""COMPUTED_VALUE"""),"")</f>
        <v/>
      </c>
      <c r="O3208" s="5" t="str">
        <f>IFERROR(__xludf.DUMMYFUNCTION("""COMPUTED_VALUE"""),"")</f>
        <v/>
      </c>
      <c r="P3208" s="5" t="str">
        <f>IFERROR(__xludf.DUMMYFUNCTION("""COMPUTED_VALUE"""),"")</f>
        <v/>
      </c>
      <c r="Q3208" s="5" t="str">
        <f>IFERROR(__xludf.DUMMYFUNCTION("""COMPUTED_VALUE"""),"")</f>
        <v/>
      </c>
      <c r="R3208" s="4" t="str">
        <f>IFERROR(__xludf.DUMMYFUNCTION("""COMPUTED_VALUE"""),"")</f>
        <v/>
      </c>
      <c r="S3208" s="1" t="b">
        <f>IFERROR(__xludf.DUMMYFUNCTION("""COMPUTED_VALUE"""),FALSE)</f>
        <v>0</v>
      </c>
      <c r="T3208" s="1" t="b">
        <f>IFERROR(__xludf.DUMMYFUNCTION("""COMPUTED_VALUE"""),FALSE)</f>
        <v>0</v>
      </c>
      <c r="U3208" s="1" t="str">
        <f>IFERROR(__xludf.DUMMYFUNCTION("""COMPUTED_VALUE"""),"")</f>
        <v/>
      </c>
      <c r="V3208" s="1" t="str">
        <f>IFERROR(__xludf.DUMMYFUNCTION("""COMPUTED_VALUE"""),"")</f>
        <v/>
      </c>
      <c r="W3208" s="1" t="str">
        <f>IFERROR(__xludf.DUMMYFUNCTION("""COMPUTED_VALUE"""),"")</f>
        <v/>
      </c>
      <c r="X3208" s="1" t="str">
        <f>IFERROR(__xludf.DUMMYFUNCTION("""COMPUTED_VALUE"""),"")</f>
        <v/>
      </c>
      <c r="Y3208" s="2"/>
      <c r="Z3208" s="2" t="str">
        <f>IFERROR(__xludf.DUMMYFUNCTION("""COMPUTED_VALUE"""),"")</f>
        <v/>
      </c>
    </row>
    <row r="3209">
      <c r="A3209" s="1" t="str">
        <f>IFERROR(__xludf.DUMMYFUNCTION("""COMPUTED_VALUE"""),"")</f>
        <v/>
      </c>
      <c r="B3209" s="1"/>
      <c r="C3209" s="2"/>
      <c r="D3209" s="2"/>
      <c r="E3209" s="1"/>
      <c r="F3209" s="1"/>
      <c r="G3209" s="4" t="str">
        <f>IFERROR(__xludf.DUMMYFUNCTION("""COMPUTED_VALUE"""),"")</f>
        <v/>
      </c>
      <c r="H3209" s="4" t="str">
        <f>IFERROR(__xludf.DUMMYFUNCTION("""COMPUTED_VALUE"""),"")</f>
        <v/>
      </c>
      <c r="I3209" s="4" t="str">
        <f>IFERROR(__xludf.DUMMYFUNCTION("""COMPUTED_VALUE"""),"")</f>
        <v/>
      </c>
      <c r="J3209" s="4" t="str">
        <f>IFERROR(__xludf.DUMMYFUNCTION("""COMPUTED_VALUE"""),"")</f>
        <v/>
      </c>
      <c r="K3209" s="4" t="str">
        <f>IFERROR(__xludf.DUMMYFUNCTION("""COMPUTED_VALUE"""),"")</f>
        <v/>
      </c>
      <c r="L3209" s="4" t="str">
        <f>IFERROR(__xludf.DUMMYFUNCTION("""COMPUTED_VALUE"""),"")</f>
        <v/>
      </c>
      <c r="M3209" s="1" t="str">
        <f>IFERROR(__xludf.DUMMYFUNCTION("""COMPUTED_VALUE"""),"RFID")</f>
        <v>RFID</v>
      </c>
      <c r="N3209" s="5" t="str">
        <f>IFERROR(__xludf.DUMMYFUNCTION("""COMPUTED_VALUE"""),"")</f>
        <v/>
      </c>
      <c r="O3209" s="5" t="str">
        <f>IFERROR(__xludf.DUMMYFUNCTION("""COMPUTED_VALUE"""),"")</f>
        <v/>
      </c>
      <c r="P3209" s="5" t="str">
        <f>IFERROR(__xludf.DUMMYFUNCTION("""COMPUTED_VALUE"""),"")</f>
        <v/>
      </c>
      <c r="Q3209" s="5" t="str">
        <f>IFERROR(__xludf.DUMMYFUNCTION("""COMPUTED_VALUE"""),"")</f>
        <v/>
      </c>
      <c r="R3209" s="4" t="str">
        <f>IFERROR(__xludf.DUMMYFUNCTION("""COMPUTED_VALUE"""),"")</f>
        <v/>
      </c>
      <c r="S3209" s="1" t="b">
        <f>IFERROR(__xludf.DUMMYFUNCTION("""COMPUTED_VALUE"""),FALSE)</f>
        <v>0</v>
      </c>
      <c r="T3209" s="1" t="b">
        <f>IFERROR(__xludf.DUMMYFUNCTION("""COMPUTED_VALUE"""),FALSE)</f>
        <v>0</v>
      </c>
      <c r="U3209" s="1" t="str">
        <f>IFERROR(__xludf.DUMMYFUNCTION("""COMPUTED_VALUE"""),"")</f>
        <v/>
      </c>
      <c r="V3209" s="1" t="str">
        <f>IFERROR(__xludf.DUMMYFUNCTION("""COMPUTED_VALUE"""),"")</f>
        <v/>
      </c>
      <c r="W3209" s="1" t="str">
        <f>IFERROR(__xludf.DUMMYFUNCTION("""COMPUTED_VALUE"""),"")</f>
        <v/>
      </c>
      <c r="X3209" s="1" t="str">
        <f>IFERROR(__xludf.DUMMYFUNCTION("""COMPUTED_VALUE"""),"")</f>
        <v/>
      </c>
      <c r="Y3209" s="2"/>
      <c r="Z3209" s="2" t="str">
        <f>IFERROR(__xludf.DUMMYFUNCTION("""COMPUTED_VALUE"""),"")</f>
        <v/>
      </c>
    </row>
    <row r="3210">
      <c r="A3210" s="1" t="str">
        <f>IFERROR(__xludf.DUMMYFUNCTION("""COMPUTED_VALUE"""),"")</f>
        <v/>
      </c>
      <c r="B3210" s="1"/>
      <c r="C3210" s="2"/>
      <c r="D3210" s="2"/>
      <c r="E3210" s="1"/>
      <c r="F3210" s="1"/>
      <c r="G3210" s="4" t="str">
        <f>IFERROR(__xludf.DUMMYFUNCTION("""COMPUTED_VALUE"""),"")</f>
        <v/>
      </c>
      <c r="H3210" s="4" t="str">
        <f>IFERROR(__xludf.DUMMYFUNCTION("""COMPUTED_VALUE"""),"")</f>
        <v/>
      </c>
      <c r="I3210" s="4" t="str">
        <f>IFERROR(__xludf.DUMMYFUNCTION("""COMPUTED_VALUE"""),"")</f>
        <v/>
      </c>
      <c r="J3210" s="4" t="str">
        <f>IFERROR(__xludf.DUMMYFUNCTION("""COMPUTED_VALUE"""),"")</f>
        <v/>
      </c>
      <c r="K3210" s="4" t="str">
        <f>IFERROR(__xludf.DUMMYFUNCTION("""COMPUTED_VALUE"""),"")</f>
        <v/>
      </c>
      <c r="L3210" s="4" t="str">
        <f>IFERROR(__xludf.DUMMYFUNCTION("""COMPUTED_VALUE"""),"")</f>
        <v/>
      </c>
      <c r="M3210" s="1" t="str">
        <f>IFERROR(__xludf.DUMMYFUNCTION("""COMPUTED_VALUE"""),"RFID")</f>
        <v>RFID</v>
      </c>
      <c r="N3210" s="5" t="str">
        <f>IFERROR(__xludf.DUMMYFUNCTION("""COMPUTED_VALUE"""),"")</f>
        <v/>
      </c>
      <c r="O3210" s="5" t="str">
        <f>IFERROR(__xludf.DUMMYFUNCTION("""COMPUTED_VALUE"""),"")</f>
        <v/>
      </c>
      <c r="P3210" s="5" t="str">
        <f>IFERROR(__xludf.DUMMYFUNCTION("""COMPUTED_VALUE"""),"")</f>
        <v/>
      </c>
      <c r="Q3210" s="5" t="str">
        <f>IFERROR(__xludf.DUMMYFUNCTION("""COMPUTED_VALUE"""),"")</f>
        <v/>
      </c>
      <c r="R3210" s="4" t="str">
        <f>IFERROR(__xludf.DUMMYFUNCTION("""COMPUTED_VALUE"""),"")</f>
        <v/>
      </c>
      <c r="S3210" s="1" t="b">
        <f>IFERROR(__xludf.DUMMYFUNCTION("""COMPUTED_VALUE"""),FALSE)</f>
        <v>0</v>
      </c>
      <c r="T3210" s="1" t="b">
        <f>IFERROR(__xludf.DUMMYFUNCTION("""COMPUTED_VALUE"""),FALSE)</f>
        <v>0</v>
      </c>
      <c r="U3210" s="1" t="str">
        <f>IFERROR(__xludf.DUMMYFUNCTION("""COMPUTED_VALUE"""),"")</f>
        <v/>
      </c>
      <c r="V3210" s="1" t="str">
        <f>IFERROR(__xludf.DUMMYFUNCTION("""COMPUTED_VALUE"""),"")</f>
        <v/>
      </c>
      <c r="W3210" s="1" t="str">
        <f>IFERROR(__xludf.DUMMYFUNCTION("""COMPUTED_VALUE"""),"")</f>
        <v/>
      </c>
      <c r="X3210" s="1" t="str">
        <f>IFERROR(__xludf.DUMMYFUNCTION("""COMPUTED_VALUE"""),"")</f>
        <v/>
      </c>
      <c r="Y3210" s="2"/>
      <c r="Z3210" s="2" t="str">
        <f>IFERROR(__xludf.DUMMYFUNCTION("""COMPUTED_VALUE"""),"")</f>
        <v/>
      </c>
    </row>
    <row r="3211">
      <c r="A3211" s="1" t="str">
        <f>IFERROR(__xludf.DUMMYFUNCTION("""COMPUTED_VALUE"""),"")</f>
        <v/>
      </c>
      <c r="B3211" s="1"/>
      <c r="C3211" s="2"/>
      <c r="D3211" s="2"/>
      <c r="E3211" s="1"/>
      <c r="F3211" s="1"/>
      <c r="G3211" s="4" t="str">
        <f>IFERROR(__xludf.DUMMYFUNCTION("""COMPUTED_VALUE"""),"")</f>
        <v/>
      </c>
      <c r="H3211" s="4" t="str">
        <f>IFERROR(__xludf.DUMMYFUNCTION("""COMPUTED_VALUE"""),"")</f>
        <v/>
      </c>
      <c r="I3211" s="4" t="str">
        <f>IFERROR(__xludf.DUMMYFUNCTION("""COMPUTED_VALUE"""),"")</f>
        <v/>
      </c>
      <c r="J3211" s="4" t="str">
        <f>IFERROR(__xludf.DUMMYFUNCTION("""COMPUTED_VALUE"""),"")</f>
        <v/>
      </c>
      <c r="K3211" s="4" t="str">
        <f>IFERROR(__xludf.DUMMYFUNCTION("""COMPUTED_VALUE"""),"")</f>
        <v/>
      </c>
      <c r="L3211" s="4" t="str">
        <f>IFERROR(__xludf.DUMMYFUNCTION("""COMPUTED_VALUE"""),"")</f>
        <v/>
      </c>
      <c r="M3211" s="1" t="str">
        <f>IFERROR(__xludf.DUMMYFUNCTION("""COMPUTED_VALUE"""),"RFID")</f>
        <v>RFID</v>
      </c>
      <c r="N3211" s="5" t="str">
        <f>IFERROR(__xludf.DUMMYFUNCTION("""COMPUTED_VALUE"""),"")</f>
        <v/>
      </c>
      <c r="O3211" s="5" t="str">
        <f>IFERROR(__xludf.DUMMYFUNCTION("""COMPUTED_VALUE"""),"")</f>
        <v/>
      </c>
      <c r="P3211" s="5" t="str">
        <f>IFERROR(__xludf.DUMMYFUNCTION("""COMPUTED_VALUE"""),"")</f>
        <v/>
      </c>
      <c r="Q3211" s="5" t="str">
        <f>IFERROR(__xludf.DUMMYFUNCTION("""COMPUTED_VALUE"""),"")</f>
        <v/>
      </c>
      <c r="R3211" s="4" t="str">
        <f>IFERROR(__xludf.DUMMYFUNCTION("""COMPUTED_VALUE"""),"")</f>
        <v/>
      </c>
      <c r="S3211" s="1" t="b">
        <f>IFERROR(__xludf.DUMMYFUNCTION("""COMPUTED_VALUE"""),FALSE)</f>
        <v>0</v>
      </c>
      <c r="T3211" s="1" t="b">
        <f>IFERROR(__xludf.DUMMYFUNCTION("""COMPUTED_VALUE"""),FALSE)</f>
        <v>0</v>
      </c>
      <c r="U3211" s="1" t="str">
        <f>IFERROR(__xludf.DUMMYFUNCTION("""COMPUTED_VALUE"""),"")</f>
        <v/>
      </c>
      <c r="V3211" s="1" t="str">
        <f>IFERROR(__xludf.DUMMYFUNCTION("""COMPUTED_VALUE"""),"")</f>
        <v/>
      </c>
      <c r="W3211" s="1" t="str">
        <f>IFERROR(__xludf.DUMMYFUNCTION("""COMPUTED_VALUE"""),"")</f>
        <v/>
      </c>
      <c r="X3211" s="1" t="str">
        <f>IFERROR(__xludf.DUMMYFUNCTION("""COMPUTED_VALUE"""),"")</f>
        <v/>
      </c>
      <c r="Y3211" s="2"/>
      <c r="Z3211" s="2" t="str">
        <f>IFERROR(__xludf.DUMMYFUNCTION("""COMPUTED_VALUE"""),"")</f>
        <v/>
      </c>
    </row>
    <row r="3212">
      <c r="A3212" s="1" t="str">
        <f>IFERROR(__xludf.DUMMYFUNCTION("""COMPUTED_VALUE"""),"")</f>
        <v/>
      </c>
      <c r="B3212" s="1"/>
      <c r="C3212" s="2"/>
      <c r="D3212" s="2"/>
      <c r="E3212" s="1"/>
      <c r="F3212" s="1"/>
      <c r="G3212" s="4" t="str">
        <f>IFERROR(__xludf.DUMMYFUNCTION("""COMPUTED_VALUE"""),"")</f>
        <v/>
      </c>
      <c r="H3212" s="4" t="str">
        <f>IFERROR(__xludf.DUMMYFUNCTION("""COMPUTED_VALUE"""),"")</f>
        <v/>
      </c>
      <c r="I3212" s="4" t="str">
        <f>IFERROR(__xludf.DUMMYFUNCTION("""COMPUTED_VALUE"""),"")</f>
        <v/>
      </c>
      <c r="J3212" s="4" t="str">
        <f>IFERROR(__xludf.DUMMYFUNCTION("""COMPUTED_VALUE"""),"")</f>
        <v/>
      </c>
      <c r="K3212" s="4" t="str">
        <f>IFERROR(__xludf.DUMMYFUNCTION("""COMPUTED_VALUE"""),"")</f>
        <v/>
      </c>
      <c r="L3212" s="4" t="str">
        <f>IFERROR(__xludf.DUMMYFUNCTION("""COMPUTED_VALUE"""),"")</f>
        <v/>
      </c>
      <c r="M3212" s="1" t="str">
        <f>IFERROR(__xludf.DUMMYFUNCTION("""COMPUTED_VALUE"""),"RFID")</f>
        <v>RFID</v>
      </c>
      <c r="N3212" s="5" t="str">
        <f>IFERROR(__xludf.DUMMYFUNCTION("""COMPUTED_VALUE"""),"")</f>
        <v/>
      </c>
      <c r="O3212" s="5" t="str">
        <f>IFERROR(__xludf.DUMMYFUNCTION("""COMPUTED_VALUE"""),"")</f>
        <v/>
      </c>
      <c r="P3212" s="5" t="str">
        <f>IFERROR(__xludf.DUMMYFUNCTION("""COMPUTED_VALUE"""),"")</f>
        <v/>
      </c>
      <c r="Q3212" s="5" t="str">
        <f>IFERROR(__xludf.DUMMYFUNCTION("""COMPUTED_VALUE"""),"")</f>
        <v/>
      </c>
      <c r="R3212" s="4" t="str">
        <f>IFERROR(__xludf.DUMMYFUNCTION("""COMPUTED_VALUE"""),"")</f>
        <v/>
      </c>
      <c r="S3212" s="1" t="b">
        <f>IFERROR(__xludf.DUMMYFUNCTION("""COMPUTED_VALUE"""),FALSE)</f>
        <v>0</v>
      </c>
      <c r="T3212" s="1" t="b">
        <f>IFERROR(__xludf.DUMMYFUNCTION("""COMPUTED_VALUE"""),FALSE)</f>
        <v>0</v>
      </c>
      <c r="U3212" s="1" t="str">
        <f>IFERROR(__xludf.DUMMYFUNCTION("""COMPUTED_VALUE"""),"")</f>
        <v/>
      </c>
      <c r="V3212" s="1" t="str">
        <f>IFERROR(__xludf.DUMMYFUNCTION("""COMPUTED_VALUE"""),"")</f>
        <v/>
      </c>
      <c r="W3212" s="1" t="str">
        <f>IFERROR(__xludf.DUMMYFUNCTION("""COMPUTED_VALUE"""),"")</f>
        <v/>
      </c>
      <c r="X3212" s="1" t="str">
        <f>IFERROR(__xludf.DUMMYFUNCTION("""COMPUTED_VALUE"""),"")</f>
        <v/>
      </c>
      <c r="Y3212" s="2"/>
      <c r="Z3212" s="2" t="str">
        <f>IFERROR(__xludf.DUMMYFUNCTION("""COMPUTED_VALUE"""),"")</f>
        <v/>
      </c>
    </row>
    <row r="3213">
      <c r="A3213" s="1" t="str">
        <f>IFERROR(__xludf.DUMMYFUNCTION("""COMPUTED_VALUE"""),"")</f>
        <v/>
      </c>
      <c r="B3213" s="1"/>
      <c r="C3213" s="2"/>
      <c r="D3213" s="2"/>
      <c r="E3213" s="1"/>
      <c r="F3213" s="1"/>
      <c r="G3213" s="4" t="str">
        <f>IFERROR(__xludf.DUMMYFUNCTION("""COMPUTED_VALUE"""),"")</f>
        <v/>
      </c>
      <c r="H3213" s="4" t="str">
        <f>IFERROR(__xludf.DUMMYFUNCTION("""COMPUTED_VALUE"""),"")</f>
        <v/>
      </c>
      <c r="I3213" s="4" t="str">
        <f>IFERROR(__xludf.DUMMYFUNCTION("""COMPUTED_VALUE"""),"")</f>
        <v/>
      </c>
      <c r="J3213" s="4" t="str">
        <f>IFERROR(__xludf.DUMMYFUNCTION("""COMPUTED_VALUE"""),"")</f>
        <v/>
      </c>
      <c r="K3213" s="4" t="str">
        <f>IFERROR(__xludf.DUMMYFUNCTION("""COMPUTED_VALUE"""),"")</f>
        <v/>
      </c>
      <c r="L3213" s="4" t="str">
        <f>IFERROR(__xludf.DUMMYFUNCTION("""COMPUTED_VALUE"""),"")</f>
        <v/>
      </c>
      <c r="M3213" s="1" t="str">
        <f>IFERROR(__xludf.DUMMYFUNCTION("""COMPUTED_VALUE"""),"RFID")</f>
        <v>RFID</v>
      </c>
      <c r="N3213" s="5" t="str">
        <f>IFERROR(__xludf.DUMMYFUNCTION("""COMPUTED_VALUE"""),"")</f>
        <v/>
      </c>
      <c r="O3213" s="5" t="str">
        <f>IFERROR(__xludf.DUMMYFUNCTION("""COMPUTED_VALUE"""),"")</f>
        <v/>
      </c>
      <c r="P3213" s="5" t="str">
        <f>IFERROR(__xludf.DUMMYFUNCTION("""COMPUTED_VALUE"""),"")</f>
        <v/>
      </c>
      <c r="Q3213" s="5" t="str">
        <f>IFERROR(__xludf.DUMMYFUNCTION("""COMPUTED_VALUE"""),"")</f>
        <v/>
      </c>
      <c r="R3213" s="4" t="str">
        <f>IFERROR(__xludf.DUMMYFUNCTION("""COMPUTED_VALUE"""),"")</f>
        <v/>
      </c>
      <c r="S3213" s="1" t="b">
        <f>IFERROR(__xludf.DUMMYFUNCTION("""COMPUTED_VALUE"""),FALSE)</f>
        <v>0</v>
      </c>
      <c r="T3213" s="1" t="b">
        <f>IFERROR(__xludf.DUMMYFUNCTION("""COMPUTED_VALUE"""),FALSE)</f>
        <v>0</v>
      </c>
      <c r="U3213" s="1" t="str">
        <f>IFERROR(__xludf.DUMMYFUNCTION("""COMPUTED_VALUE"""),"")</f>
        <v/>
      </c>
      <c r="V3213" s="1" t="str">
        <f>IFERROR(__xludf.DUMMYFUNCTION("""COMPUTED_VALUE"""),"")</f>
        <v/>
      </c>
      <c r="W3213" s="1" t="str">
        <f>IFERROR(__xludf.DUMMYFUNCTION("""COMPUTED_VALUE"""),"")</f>
        <v/>
      </c>
      <c r="X3213" s="1" t="str">
        <f>IFERROR(__xludf.DUMMYFUNCTION("""COMPUTED_VALUE"""),"")</f>
        <v/>
      </c>
      <c r="Y3213" s="2"/>
      <c r="Z3213" s="2" t="str">
        <f>IFERROR(__xludf.DUMMYFUNCTION("""COMPUTED_VALUE"""),"")</f>
        <v/>
      </c>
    </row>
    <row r="3214">
      <c r="A3214" s="1" t="str">
        <f>IFERROR(__xludf.DUMMYFUNCTION("""COMPUTED_VALUE"""),"")</f>
        <v/>
      </c>
      <c r="B3214" s="1"/>
      <c r="C3214" s="2"/>
      <c r="D3214" s="2"/>
      <c r="E3214" s="1"/>
      <c r="F3214" s="1"/>
      <c r="G3214" s="4" t="str">
        <f>IFERROR(__xludf.DUMMYFUNCTION("""COMPUTED_VALUE"""),"")</f>
        <v/>
      </c>
      <c r="H3214" s="4" t="str">
        <f>IFERROR(__xludf.DUMMYFUNCTION("""COMPUTED_VALUE"""),"")</f>
        <v/>
      </c>
      <c r="I3214" s="4" t="str">
        <f>IFERROR(__xludf.DUMMYFUNCTION("""COMPUTED_VALUE"""),"")</f>
        <v/>
      </c>
      <c r="J3214" s="4" t="str">
        <f>IFERROR(__xludf.DUMMYFUNCTION("""COMPUTED_VALUE"""),"")</f>
        <v/>
      </c>
      <c r="K3214" s="4" t="str">
        <f>IFERROR(__xludf.DUMMYFUNCTION("""COMPUTED_VALUE"""),"")</f>
        <v/>
      </c>
      <c r="L3214" s="4" t="str">
        <f>IFERROR(__xludf.DUMMYFUNCTION("""COMPUTED_VALUE"""),"")</f>
        <v/>
      </c>
      <c r="M3214" s="1" t="str">
        <f>IFERROR(__xludf.DUMMYFUNCTION("""COMPUTED_VALUE"""),"RFID")</f>
        <v>RFID</v>
      </c>
      <c r="N3214" s="5" t="str">
        <f>IFERROR(__xludf.DUMMYFUNCTION("""COMPUTED_VALUE"""),"")</f>
        <v/>
      </c>
      <c r="O3214" s="5" t="str">
        <f>IFERROR(__xludf.DUMMYFUNCTION("""COMPUTED_VALUE"""),"")</f>
        <v/>
      </c>
      <c r="P3214" s="5" t="str">
        <f>IFERROR(__xludf.DUMMYFUNCTION("""COMPUTED_VALUE"""),"")</f>
        <v/>
      </c>
      <c r="Q3214" s="5" t="str">
        <f>IFERROR(__xludf.DUMMYFUNCTION("""COMPUTED_VALUE"""),"")</f>
        <v/>
      </c>
      <c r="R3214" s="4" t="str">
        <f>IFERROR(__xludf.DUMMYFUNCTION("""COMPUTED_VALUE"""),"")</f>
        <v/>
      </c>
      <c r="S3214" s="1" t="b">
        <f>IFERROR(__xludf.DUMMYFUNCTION("""COMPUTED_VALUE"""),FALSE)</f>
        <v>0</v>
      </c>
      <c r="T3214" s="1" t="b">
        <f>IFERROR(__xludf.DUMMYFUNCTION("""COMPUTED_VALUE"""),FALSE)</f>
        <v>0</v>
      </c>
      <c r="U3214" s="1" t="str">
        <f>IFERROR(__xludf.DUMMYFUNCTION("""COMPUTED_VALUE"""),"")</f>
        <v/>
      </c>
      <c r="V3214" s="1" t="str">
        <f>IFERROR(__xludf.DUMMYFUNCTION("""COMPUTED_VALUE"""),"")</f>
        <v/>
      </c>
      <c r="W3214" s="1" t="str">
        <f>IFERROR(__xludf.DUMMYFUNCTION("""COMPUTED_VALUE"""),"")</f>
        <v/>
      </c>
      <c r="X3214" s="1" t="str">
        <f>IFERROR(__xludf.DUMMYFUNCTION("""COMPUTED_VALUE"""),"")</f>
        <v/>
      </c>
      <c r="Y3214" s="2"/>
      <c r="Z3214" s="2" t="str">
        <f>IFERROR(__xludf.DUMMYFUNCTION("""COMPUTED_VALUE"""),"")</f>
        <v/>
      </c>
    </row>
    <row r="3215">
      <c r="A3215" s="1" t="str">
        <f>IFERROR(__xludf.DUMMYFUNCTION("""COMPUTED_VALUE"""),"")</f>
        <v/>
      </c>
      <c r="B3215" s="1"/>
      <c r="C3215" s="2"/>
      <c r="D3215" s="2"/>
      <c r="E3215" s="1"/>
      <c r="F3215" s="1"/>
      <c r="G3215" s="4" t="str">
        <f>IFERROR(__xludf.DUMMYFUNCTION("""COMPUTED_VALUE"""),"")</f>
        <v/>
      </c>
      <c r="H3215" s="4" t="str">
        <f>IFERROR(__xludf.DUMMYFUNCTION("""COMPUTED_VALUE"""),"")</f>
        <v/>
      </c>
      <c r="I3215" s="4" t="str">
        <f>IFERROR(__xludf.DUMMYFUNCTION("""COMPUTED_VALUE"""),"")</f>
        <v/>
      </c>
      <c r="J3215" s="4" t="str">
        <f>IFERROR(__xludf.DUMMYFUNCTION("""COMPUTED_VALUE"""),"")</f>
        <v/>
      </c>
      <c r="K3215" s="4" t="str">
        <f>IFERROR(__xludf.DUMMYFUNCTION("""COMPUTED_VALUE"""),"")</f>
        <v/>
      </c>
      <c r="L3215" s="4" t="str">
        <f>IFERROR(__xludf.DUMMYFUNCTION("""COMPUTED_VALUE"""),"")</f>
        <v/>
      </c>
      <c r="M3215" s="1" t="str">
        <f>IFERROR(__xludf.DUMMYFUNCTION("""COMPUTED_VALUE"""),"RFID")</f>
        <v>RFID</v>
      </c>
      <c r="N3215" s="5" t="str">
        <f>IFERROR(__xludf.DUMMYFUNCTION("""COMPUTED_VALUE"""),"")</f>
        <v/>
      </c>
      <c r="O3215" s="5" t="str">
        <f>IFERROR(__xludf.DUMMYFUNCTION("""COMPUTED_VALUE"""),"")</f>
        <v/>
      </c>
      <c r="P3215" s="5" t="str">
        <f>IFERROR(__xludf.DUMMYFUNCTION("""COMPUTED_VALUE"""),"")</f>
        <v/>
      </c>
      <c r="Q3215" s="5" t="str">
        <f>IFERROR(__xludf.DUMMYFUNCTION("""COMPUTED_VALUE"""),"")</f>
        <v/>
      </c>
      <c r="R3215" s="4" t="str">
        <f>IFERROR(__xludf.DUMMYFUNCTION("""COMPUTED_VALUE"""),"")</f>
        <v/>
      </c>
      <c r="S3215" s="1" t="b">
        <f>IFERROR(__xludf.DUMMYFUNCTION("""COMPUTED_VALUE"""),FALSE)</f>
        <v>0</v>
      </c>
      <c r="T3215" s="1" t="b">
        <f>IFERROR(__xludf.DUMMYFUNCTION("""COMPUTED_VALUE"""),FALSE)</f>
        <v>0</v>
      </c>
      <c r="U3215" s="1" t="str">
        <f>IFERROR(__xludf.DUMMYFUNCTION("""COMPUTED_VALUE"""),"")</f>
        <v/>
      </c>
      <c r="V3215" s="1" t="str">
        <f>IFERROR(__xludf.DUMMYFUNCTION("""COMPUTED_VALUE"""),"")</f>
        <v/>
      </c>
      <c r="W3215" s="1" t="str">
        <f>IFERROR(__xludf.DUMMYFUNCTION("""COMPUTED_VALUE"""),"")</f>
        <v/>
      </c>
      <c r="X3215" s="1" t="str">
        <f>IFERROR(__xludf.DUMMYFUNCTION("""COMPUTED_VALUE"""),"")</f>
        <v/>
      </c>
      <c r="Y3215" s="2"/>
      <c r="Z3215" s="2" t="str">
        <f>IFERROR(__xludf.DUMMYFUNCTION("""COMPUTED_VALUE"""),"")</f>
        <v/>
      </c>
    </row>
    <row r="3216">
      <c r="A3216" s="1" t="str">
        <f>IFERROR(__xludf.DUMMYFUNCTION("""COMPUTED_VALUE"""),"")</f>
        <v/>
      </c>
      <c r="B3216" s="1"/>
      <c r="C3216" s="2"/>
      <c r="D3216" s="2"/>
      <c r="E3216" s="1"/>
      <c r="F3216" s="1"/>
      <c r="G3216" s="4" t="str">
        <f>IFERROR(__xludf.DUMMYFUNCTION("""COMPUTED_VALUE"""),"")</f>
        <v/>
      </c>
      <c r="H3216" s="4" t="str">
        <f>IFERROR(__xludf.DUMMYFUNCTION("""COMPUTED_VALUE"""),"")</f>
        <v/>
      </c>
      <c r="I3216" s="4" t="str">
        <f>IFERROR(__xludf.DUMMYFUNCTION("""COMPUTED_VALUE"""),"")</f>
        <v/>
      </c>
      <c r="J3216" s="4" t="str">
        <f>IFERROR(__xludf.DUMMYFUNCTION("""COMPUTED_VALUE"""),"")</f>
        <v/>
      </c>
      <c r="K3216" s="4" t="str">
        <f>IFERROR(__xludf.DUMMYFUNCTION("""COMPUTED_VALUE"""),"")</f>
        <v/>
      </c>
      <c r="L3216" s="4" t="str">
        <f>IFERROR(__xludf.DUMMYFUNCTION("""COMPUTED_VALUE"""),"")</f>
        <v/>
      </c>
      <c r="M3216" s="1" t="str">
        <f>IFERROR(__xludf.DUMMYFUNCTION("""COMPUTED_VALUE"""),"RFID")</f>
        <v>RFID</v>
      </c>
      <c r="N3216" s="5" t="str">
        <f>IFERROR(__xludf.DUMMYFUNCTION("""COMPUTED_VALUE"""),"")</f>
        <v/>
      </c>
      <c r="O3216" s="5" t="str">
        <f>IFERROR(__xludf.DUMMYFUNCTION("""COMPUTED_VALUE"""),"")</f>
        <v/>
      </c>
      <c r="P3216" s="5" t="str">
        <f>IFERROR(__xludf.DUMMYFUNCTION("""COMPUTED_VALUE"""),"")</f>
        <v/>
      </c>
      <c r="Q3216" s="5" t="str">
        <f>IFERROR(__xludf.DUMMYFUNCTION("""COMPUTED_VALUE"""),"")</f>
        <v/>
      </c>
      <c r="R3216" s="4" t="str">
        <f>IFERROR(__xludf.DUMMYFUNCTION("""COMPUTED_VALUE"""),"")</f>
        <v/>
      </c>
      <c r="S3216" s="1" t="b">
        <f>IFERROR(__xludf.DUMMYFUNCTION("""COMPUTED_VALUE"""),FALSE)</f>
        <v>0</v>
      </c>
      <c r="T3216" s="1" t="b">
        <f>IFERROR(__xludf.DUMMYFUNCTION("""COMPUTED_VALUE"""),FALSE)</f>
        <v>0</v>
      </c>
      <c r="U3216" s="1" t="str">
        <f>IFERROR(__xludf.DUMMYFUNCTION("""COMPUTED_VALUE"""),"")</f>
        <v/>
      </c>
      <c r="V3216" s="1" t="str">
        <f>IFERROR(__xludf.DUMMYFUNCTION("""COMPUTED_VALUE"""),"")</f>
        <v/>
      </c>
      <c r="W3216" s="1" t="str">
        <f>IFERROR(__xludf.DUMMYFUNCTION("""COMPUTED_VALUE"""),"")</f>
        <v/>
      </c>
      <c r="X3216" s="1" t="str">
        <f>IFERROR(__xludf.DUMMYFUNCTION("""COMPUTED_VALUE"""),"")</f>
        <v/>
      </c>
      <c r="Y3216" s="2"/>
      <c r="Z3216" s="2" t="str">
        <f>IFERROR(__xludf.DUMMYFUNCTION("""COMPUTED_VALUE"""),"")</f>
        <v/>
      </c>
    </row>
    <row r="3217">
      <c r="A3217" s="1" t="str">
        <f>IFERROR(__xludf.DUMMYFUNCTION("""COMPUTED_VALUE"""),"")</f>
        <v/>
      </c>
      <c r="B3217" s="1"/>
      <c r="C3217" s="2"/>
      <c r="D3217" s="2"/>
      <c r="E3217" s="1"/>
      <c r="F3217" s="1"/>
      <c r="G3217" s="4" t="str">
        <f>IFERROR(__xludf.DUMMYFUNCTION("""COMPUTED_VALUE"""),"")</f>
        <v/>
      </c>
      <c r="H3217" s="4" t="str">
        <f>IFERROR(__xludf.DUMMYFUNCTION("""COMPUTED_VALUE"""),"")</f>
        <v/>
      </c>
      <c r="I3217" s="4" t="str">
        <f>IFERROR(__xludf.DUMMYFUNCTION("""COMPUTED_VALUE"""),"")</f>
        <v/>
      </c>
      <c r="J3217" s="4" t="str">
        <f>IFERROR(__xludf.DUMMYFUNCTION("""COMPUTED_VALUE"""),"")</f>
        <v/>
      </c>
      <c r="K3217" s="4" t="str">
        <f>IFERROR(__xludf.DUMMYFUNCTION("""COMPUTED_VALUE"""),"")</f>
        <v/>
      </c>
      <c r="L3217" s="4" t="str">
        <f>IFERROR(__xludf.DUMMYFUNCTION("""COMPUTED_VALUE"""),"")</f>
        <v/>
      </c>
      <c r="M3217" s="1" t="str">
        <f>IFERROR(__xludf.DUMMYFUNCTION("""COMPUTED_VALUE"""),"RFID")</f>
        <v>RFID</v>
      </c>
      <c r="N3217" s="5" t="str">
        <f>IFERROR(__xludf.DUMMYFUNCTION("""COMPUTED_VALUE"""),"")</f>
        <v/>
      </c>
      <c r="O3217" s="5" t="str">
        <f>IFERROR(__xludf.DUMMYFUNCTION("""COMPUTED_VALUE"""),"")</f>
        <v/>
      </c>
      <c r="P3217" s="5" t="str">
        <f>IFERROR(__xludf.DUMMYFUNCTION("""COMPUTED_VALUE"""),"")</f>
        <v/>
      </c>
      <c r="Q3217" s="5" t="str">
        <f>IFERROR(__xludf.DUMMYFUNCTION("""COMPUTED_VALUE"""),"")</f>
        <v/>
      </c>
      <c r="R3217" s="4" t="str">
        <f>IFERROR(__xludf.DUMMYFUNCTION("""COMPUTED_VALUE"""),"")</f>
        <v/>
      </c>
      <c r="S3217" s="1" t="b">
        <f>IFERROR(__xludf.DUMMYFUNCTION("""COMPUTED_VALUE"""),FALSE)</f>
        <v>0</v>
      </c>
      <c r="T3217" s="1" t="b">
        <f>IFERROR(__xludf.DUMMYFUNCTION("""COMPUTED_VALUE"""),FALSE)</f>
        <v>0</v>
      </c>
      <c r="U3217" s="1" t="str">
        <f>IFERROR(__xludf.DUMMYFUNCTION("""COMPUTED_VALUE"""),"")</f>
        <v/>
      </c>
      <c r="V3217" s="1" t="str">
        <f>IFERROR(__xludf.DUMMYFUNCTION("""COMPUTED_VALUE"""),"")</f>
        <v/>
      </c>
      <c r="W3217" s="1" t="str">
        <f>IFERROR(__xludf.DUMMYFUNCTION("""COMPUTED_VALUE"""),"")</f>
        <v/>
      </c>
      <c r="X3217" s="1" t="str">
        <f>IFERROR(__xludf.DUMMYFUNCTION("""COMPUTED_VALUE"""),"")</f>
        <v/>
      </c>
      <c r="Y3217" s="2"/>
      <c r="Z3217" s="2" t="str">
        <f>IFERROR(__xludf.DUMMYFUNCTION("""COMPUTED_VALUE"""),"")</f>
        <v/>
      </c>
    </row>
    <row r="3218">
      <c r="A3218" s="1" t="str">
        <f>IFERROR(__xludf.DUMMYFUNCTION("""COMPUTED_VALUE"""),"")</f>
        <v/>
      </c>
      <c r="B3218" s="1"/>
      <c r="C3218" s="2"/>
      <c r="D3218" s="2"/>
      <c r="E3218" s="1"/>
      <c r="F3218" s="1"/>
      <c r="G3218" s="4" t="str">
        <f>IFERROR(__xludf.DUMMYFUNCTION("""COMPUTED_VALUE"""),"")</f>
        <v/>
      </c>
      <c r="H3218" s="4" t="str">
        <f>IFERROR(__xludf.DUMMYFUNCTION("""COMPUTED_VALUE"""),"")</f>
        <v/>
      </c>
      <c r="I3218" s="4" t="str">
        <f>IFERROR(__xludf.DUMMYFUNCTION("""COMPUTED_VALUE"""),"")</f>
        <v/>
      </c>
      <c r="J3218" s="4" t="str">
        <f>IFERROR(__xludf.DUMMYFUNCTION("""COMPUTED_VALUE"""),"")</f>
        <v/>
      </c>
      <c r="K3218" s="4" t="str">
        <f>IFERROR(__xludf.DUMMYFUNCTION("""COMPUTED_VALUE"""),"")</f>
        <v/>
      </c>
      <c r="L3218" s="4" t="str">
        <f>IFERROR(__xludf.DUMMYFUNCTION("""COMPUTED_VALUE"""),"")</f>
        <v/>
      </c>
      <c r="M3218" s="1" t="str">
        <f>IFERROR(__xludf.DUMMYFUNCTION("""COMPUTED_VALUE"""),"RFID")</f>
        <v>RFID</v>
      </c>
      <c r="N3218" s="5" t="str">
        <f>IFERROR(__xludf.DUMMYFUNCTION("""COMPUTED_VALUE"""),"")</f>
        <v/>
      </c>
      <c r="O3218" s="5" t="str">
        <f>IFERROR(__xludf.DUMMYFUNCTION("""COMPUTED_VALUE"""),"")</f>
        <v/>
      </c>
      <c r="P3218" s="5" t="str">
        <f>IFERROR(__xludf.DUMMYFUNCTION("""COMPUTED_VALUE"""),"")</f>
        <v/>
      </c>
      <c r="Q3218" s="5" t="str">
        <f>IFERROR(__xludf.DUMMYFUNCTION("""COMPUTED_VALUE"""),"")</f>
        <v/>
      </c>
      <c r="R3218" s="4" t="str">
        <f>IFERROR(__xludf.DUMMYFUNCTION("""COMPUTED_VALUE"""),"")</f>
        <v/>
      </c>
      <c r="S3218" s="1" t="b">
        <f>IFERROR(__xludf.DUMMYFUNCTION("""COMPUTED_VALUE"""),FALSE)</f>
        <v>0</v>
      </c>
      <c r="T3218" s="1" t="b">
        <f>IFERROR(__xludf.DUMMYFUNCTION("""COMPUTED_VALUE"""),FALSE)</f>
        <v>0</v>
      </c>
      <c r="U3218" s="1" t="str">
        <f>IFERROR(__xludf.DUMMYFUNCTION("""COMPUTED_VALUE"""),"")</f>
        <v/>
      </c>
      <c r="V3218" s="1" t="str">
        <f>IFERROR(__xludf.DUMMYFUNCTION("""COMPUTED_VALUE"""),"")</f>
        <v/>
      </c>
      <c r="W3218" s="1" t="str">
        <f>IFERROR(__xludf.DUMMYFUNCTION("""COMPUTED_VALUE"""),"")</f>
        <v/>
      </c>
      <c r="X3218" s="1" t="str">
        <f>IFERROR(__xludf.DUMMYFUNCTION("""COMPUTED_VALUE"""),"")</f>
        <v/>
      </c>
      <c r="Y3218" s="2"/>
      <c r="Z3218" s="2" t="str">
        <f>IFERROR(__xludf.DUMMYFUNCTION("""COMPUTED_VALUE"""),"")</f>
        <v/>
      </c>
    </row>
    <row r="3219">
      <c r="A3219" s="1" t="str">
        <f>IFERROR(__xludf.DUMMYFUNCTION("""COMPUTED_VALUE"""),"")</f>
        <v/>
      </c>
      <c r="B3219" s="1"/>
      <c r="C3219" s="2"/>
      <c r="D3219" s="2"/>
      <c r="E3219" s="1"/>
      <c r="F3219" s="1"/>
      <c r="G3219" s="4" t="str">
        <f>IFERROR(__xludf.DUMMYFUNCTION("""COMPUTED_VALUE"""),"")</f>
        <v/>
      </c>
      <c r="H3219" s="4" t="str">
        <f>IFERROR(__xludf.DUMMYFUNCTION("""COMPUTED_VALUE"""),"")</f>
        <v/>
      </c>
      <c r="I3219" s="4" t="str">
        <f>IFERROR(__xludf.DUMMYFUNCTION("""COMPUTED_VALUE"""),"")</f>
        <v/>
      </c>
      <c r="J3219" s="4" t="str">
        <f>IFERROR(__xludf.DUMMYFUNCTION("""COMPUTED_VALUE"""),"")</f>
        <v/>
      </c>
      <c r="K3219" s="4" t="str">
        <f>IFERROR(__xludf.DUMMYFUNCTION("""COMPUTED_VALUE"""),"")</f>
        <v/>
      </c>
      <c r="L3219" s="4" t="str">
        <f>IFERROR(__xludf.DUMMYFUNCTION("""COMPUTED_VALUE"""),"")</f>
        <v/>
      </c>
      <c r="M3219" s="1" t="str">
        <f>IFERROR(__xludf.DUMMYFUNCTION("""COMPUTED_VALUE"""),"RFID")</f>
        <v>RFID</v>
      </c>
      <c r="N3219" s="5" t="str">
        <f>IFERROR(__xludf.DUMMYFUNCTION("""COMPUTED_VALUE"""),"")</f>
        <v/>
      </c>
      <c r="O3219" s="5" t="str">
        <f>IFERROR(__xludf.DUMMYFUNCTION("""COMPUTED_VALUE"""),"")</f>
        <v/>
      </c>
      <c r="P3219" s="5" t="str">
        <f>IFERROR(__xludf.DUMMYFUNCTION("""COMPUTED_VALUE"""),"")</f>
        <v/>
      </c>
      <c r="Q3219" s="5" t="str">
        <f>IFERROR(__xludf.DUMMYFUNCTION("""COMPUTED_VALUE"""),"")</f>
        <v/>
      </c>
      <c r="R3219" s="4" t="str">
        <f>IFERROR(__xludf.DUMMYFUNCTION("""COMPUTED_VALUE"""),"")</f>
        <v/>
      </c>
      <c r="S3219" s="1" t="b">
        <f>IFERROR(__xludf.DUMMYFUNCTION("""COMPUTED_VALUE"""),FALSE)</f>
        <v>0</v>
      </c>
      <c r="T3219" s="1" t="b">
        <f>IFERROR(__xludf.DUMMYFUNCTION("""COMPUTED_VALUE"""),FALSE)</f>
        <v>0</v>
      </c>
      <c r="U3219" s="1" t="str">
        <f>IFERROR(__xludf.DUMMYFUNCTION("""COMPUTED_VALUE"""),"")</f>
        <v/>
      </c>
      <c r="V3219" s="1" t="str">
        <f>IFERROR(__xludf.DUMMYFUNCTION("""COMPUTED_VALUE"""),"")</f>
        <v/>
      </c>
      <c r="W3219" s="1" t="str">
        <f>IFERROR(__xludf.DUMMYFUNCTION("""COMPUTED_VALUE"""),"")</f>
        <v/>
      </c>
      <c r="X3219" s="1" t="str">
        <f>IFERROR(__xludf.DUMMYFUNCTION("""COMPUTED_VALUE"""),"")</f>
        <v/>
      </c>
      <c r="Y3219" s="2"/>
      <c r="Z3219" s="2" t="str">
        <f>IFERROR(__xludf.DUMMYFUNCTION("""COMPUTED_VALUE"""),"")</f>
        <v/>
      </c>
    </row>
    <row r="3220">
      <c r="A3220" s="1" t="str">
        <f>IFERROR(__xludf.DUMMYFUNCTION("""COMPUTED_VALUE"""),"")</f>
        <v/>
      </c>
      <c r="B3220" s="1"/>
      <c r="C3220" s="2"/>
      <c r="D3220" s="2"/>
      <c r="E3220" s="1"/>
      <c r="F3220" s="1"/>
      <c r="G3220" s="4" t="str">
        <f>IFERROR(__xludf.DUMMYFUNCTION("""COMPUTED_VALUE"""),"")</f>
        <v/>
      </c>
      <c r="H3220" s="4" t="str">
        <f>IFERROR(__xludf.DUMMYFUNCTION("""COMPUTED_VALUE"""),"")</f>
        <v/>
      </c>
      <c r="I3220" s="4" t="str">
        <f>IFERROR(__xludf.DUMMYFUNCTION("""COMPUTED_VALUE"""),"")</f>
        <v/>
      </c>
      <c r="J3220" s="4" t="str">
        <f>IFERROR(__xludf.DUMMYFUNCTION("""COMPUTED_VALUE"""),"")</f>
        <v/>
      </c>
      <c r="K3220" s="4" t="str">
        <f>IFERROR(__xludf.DUMMYFUNCTION("""COMPUTED_VALUE"""),"")</f>
        <v/>
      </c>
      <c r="L3220" s="4" t="str">
        <f>IFERROR(__xludf.DUMMYFUNCTION("""COMPUTED_VALUE"""),"")</f>
        <v/>
      </c>
      <c r="M3220" s="1" t="str">
        <f>IFERROR(__xludf.DUMMYFUNCTION("""COMPUTED_VALUE"""),"RFID")</f>
        <v>RFID</v>
      </c>
      <c r="N3220" s="5" t="str">
        <f>IFERROR(__xludf.DUMMYFUNCTION("""COMPUTED_VALUE"""),"")</f>
        <v/>
      </c>
      <c r="O3220" s="5" t="str">
        <f>IFERROR(__xludf.DUMMYFUNCTION("""COMPUTED_VALUE"""),"")</f>
        <v/>
      </c>
      <c r="P3220" s="5" t="str">
        <f>IFERROR(__xludf.DUMMYFUNCTION("""COMPUTED_VALUE"""),"")</f>
        <v/>
      </c>
      <c r="Q3220" s="5" t="str">
        <f>IFERROR(__xludf.DUMMYFUNCTION("""COMPUTED_VALUE"""),"")</f>
        <v/>
      </c>
      <c r="R3220" s="4" t="str">
        <f>IFERROR(__xludf.DUMMYFUNCTION("""COMPUTED_VALUE"""),"")</f>
        <v/>
      </c>
      <c r="S3220" s="1" t="b">
        <f>IFERROR(__xludf.DUMMYFUNCTION("""COMPUTED_VALUE"""),FALSE)</f>
        <v>0</v>
      </c>
      <c r="T3220" s="1" t="b">
        <f>IFERROR(__xludf.DUMMYFUNCTION("""COMPUTED_VALUE"""),FALSE)</f>
        <v>0</v>
      </c>
      <c r="U3220" s="1" t="str">
        <f>IFERROR(__xludf.DUMMYFUNCTION("""COMPUTED_VALUE"""),"")</f>
        <v/>
      </c>
      <c r="V3220" s="1" t="str">
        <f>IFERROR(__xludf.DUMMYFUNCTION("""COMPUTED_VALUE"""),"")</f>
        <v/>
      </c>
      <c r="W3220" s="1" t="str">
        <f>IFERROR(__xludf.DUMMYFUNCTION("""COMPUTED_VALUE"""),"")</f>
        <v/>
      </c>
      <c r="X3220" s="1" t="str">
        <f>IFERROR(__xludf.DUMMYFUNCTION("""COMPUTED_VALUE"""),"")</f>
        <v/>
      </c>
      <c r="Y3220" s="2"/>
      <c r="Z3220" s="2" t="str">
        <f>IFERROR(__xludf.DUMMYFUNCTION("""COMPUTED_VALUE"""),"")</f>
        <v/>
      </c>
    </row>
    <row r="3221">
      <c r="A3221" s="1" t="str">
        <f>IFERROR(__xludf.DUMMYFUNCTION("""COMPUTED_VALUE"""),"")</f>
        <v/>
      </c>
      <c r="B3221" s="1"/>
      <c r="C3221" s="2"/>
      <c r="D3221" s="2"/>
      <c r="E3221" s="1"/>
      <c r="F3221" s="1"/>
      <c r="G3221" s="4" t="str">
        <f>IFERROR(__xludf.DUMMYFUNCTION("""COMPUTED_VALUE"""),"")</f>
        <v/>
      </c>
      <c r="H3221" s="4" t="str">
        <f>IFERROR(__xludf.DUMMYFUNCTION("""COMPUTED_VALUE"""),"")</f>
        <v/>
      </c>
      <c r="I3221" s="4" t="str">
        <f>IFERROR(__xludf.DUMMYFUNCTION("""COMPUTED_VALUE"""),"")</f>
        <v/>
      </c>
      <c r="J3221" s="4" t="str">
        <f>IFERROR(__xludf.DUMMYFUNCTION("""COMPUTED_VALUE"""),"")</f>
        <v/>
      </c>
      <c r="K3221" s="4" t="str">
        <f>IFERROR(__xludf.DUMMYFUNCTION("""COMPUTED_VALUE"""),"")</f>
        <v/>
      </c>
      <c r="L3221" s="4" t="str">
        <f>IFERROR(__xludf.DUMMYFUNCTION("""COMPUTED_VALUE"""),"")</f>
        <v/>
      </c>
      <c r="M3221" s="1" t="str">
        <f>IFERROR(__xludf.DUMMYFUNCTION("""COMPUTED_VALUE"""),"RFID")</f>
        <v>RFID</v>
      </c>
      <c r="N3221" s="5" t="str">
        <f>IFERROR(__xludf.DUMMYFUNCTION("""COMPUTED_VALUE"""),"")</f>
        <v/>
      </c>
      <c r="O3221" s="5" t="str">
        <f>IFERROR(__xludf.DUMMYFUNCTION("""COMPUTED_VALUE"""),"")</f>
        <v/>
      </c>
      <c r="P3221" s="5" t="str">
        <f>IFERROR(__xludf.DUMMYFUNCTION("""COMPUTED_VALUE"""),"")</f>
        <v/>
      </c>
      <c r="Q3221" s="5" t="str">
        <f>IFERROR(__xludf.DUMMYFUNCTION("""COMPUTED_VALUE"""),"")</f>
        <v/>
      </c>
      <c r="R3221" s="4" t="str">
        <f>IFERROR(__xludf.DUMMYFUNCTION("""COMPUTED_VALUE"""),"")</f>
        <v/>
      </c>
      <c r="S3221" s="1" t="b">
        <f>IFERROR(__xludf.DUMMYFUNCTION("""COMPUTED_VALUE"""),FALSE)</f>
        <v>0</v>
      </c>
      <c r="T3221" s="1" t="b">
        <f>IFERROR(__xludf.DUMMYFUNCTION("""COMPUTED_VALUE"""),FALSE)</f>
        <v>0</v>
      </c>
      <c r="U3221" s="1" t="str">
        <f>IFERROR(__xludf.DUMMYFUNCTION("""COMPUTED_VALUE"""),"")</f>
        <v/>
      </c>
      <c r="V3221" s="1" t="str">
        <f>IFERROR(__xludf.DUMMYFUNCTION("""COMPUTED_VALUE"""),"")</f>
        <v/>
      </c>
      <c r="W3221" s="1" t="str">
        <f>IFERROR(__xludf.DUMMYFUNCTION("""COMPUTED_VALUE"""),"")</f>
        <v/>
      </c>
      <c r="X3221" s="1" t="str">
        <f>IFERROR(__xludf.DUMMYFUNCTION("""COMPUTED_VALUE"""),"")</f>
        <v/>
      </c>
      <c r="Y3221" s="2"/>
      <c r="Z3221" s="2" t="str">
        <f>IFERROR(__xludf.DUMMYFUNCTION("""COMPUTED_VALUE"""),"")</f>
        <v/>
      </c>
    </row>
    <row r="3222">
      <c r="A3222" s="1" t="str">
        <f>IFERROR(__xludf.DUMMYFUNCTION("""COMPUTED_VALUE"""),"")</f>
        <v/>
      </c>
      <c r="B3222" s="1"/>
      <c r="C3222" s="2"/>
      <c r="D3222" s="2"/>
      <c r="E3222" s="1"/>
      <c r="F3222" s="1"/>
      <c r="G3222" s="4" t="str">
        <f>IFERROR(__xludf.DUMMYFUNCTION("""COMPUTED_VALUE"""),"")</f>
        <v/>
      </c>
      <c r="H3222" s="4" t="str">
        <f>IFERROR(__xludf.DUMMYFUNCTION("""COMPUTED_VALUE"""),"")</f>
        <v/>
      </c>
      <c r="I3222" s="4" t="str">
        <f>IFERROR(__xludf.DUMMYFUNCTION("""COMPUTED_VALUE"""),"")</f>
        <v/>
      </c>
      <c r="J3222" s="4" t="str">
        <f>IFERROR(__xludf.DUMMYFUNCTION("""COMPUTED_VALUE"""),"")</f>
        <v/>
      </c>
      <c r="K3222" s="4" t="str">
        <f>IFERROR(__xludf.DUMMYFUNCTION("""COMPUTED_VALUE"""),"")</f>
        <v/>
      </c>
      <c r="L3222" s="4" t="str">
        <f>IFERROR(__xludf.DUMMYFUNCTION("""COMPUTED_VALUE"""),"")</f>
        <v/>
      </c>
      <c r="M3222" s="1" t="str">
        <f>IFERROR(__xludf.DUMMYFUNCTION("""COMPUTED_VALUE"""),"RFID")</f>
        <v>RFID</v>
      </c>
      <c r="N3222" s="5" t="str">
        <f>IFERROR(__xludf.DUMMYFUNCTION("""COMPUTED_VALUE"""),"")</f>
        <v/>
      </c>
      <c r="O3222" s="5" t="str">
        <f>IFERROR(__xludf.DUMMYFUNCTION("""COMPUTED_VALUE"""),"")</f>
        <v/>
      </c>
      <c r="P3222" s="5" t="str">
        <f>IFERROR(__xludf.DUMMYFUNCTION("""COMPUTED_VALUE"""),"")</f>
        <v/>
      </c>
      <c r="Q3222" s="5" t="str">
        <f>IFERROR(__xludf.DUMMYFUNCTION("""COMPUTED_VALUE"""),"")</f>
        <v/>
      </c>
      <c r="R3222" s="4" t="str">
        <f>IFERROR(__xludf.DUMMYFUNCTION("""COMPUTED_VALUE"""),"")</f>
        <v/>
      </c>
      <c r="S3222" s="1" t="b">
        <f>IFERROR(__xludf.DUMMYFUNCTION("""COMPUTED_VALUE"""),FALSE)</f>
        <v>0</v>
      </c>
      <c r="T3222" s="1" t="b">
        <f>IFERROR(__xludf.DUMMYFUNCTION("""COMPUTED_VALUE"""),FALSE)</f>
        <v>0</v>
      </c>
      <c r="U3222" s="1" t="str">
        <f>IFERROR(__xludf.DUMMYFUNCTION("""COMPUTED_VALUE"""),"")</f>
        <v/>
      </c>
      <c r="V3222" s="1" t="str">
        <f>IFERROR(__xludf.DUMMYFUNCTION("""COMPUTED_VALUE"""),"")</f>
        <v/>
      </c>
      <c r="W3222" s="1" t="str">
        <f>IFERROR(__xludf.DUMMYFUNCTION("""COMPUTED_VALUE"""),"")</f>
        <v/>
      </c>
      <c r="X3222" s="1" t="str">
        <f>IFERROR(__xludf.DUMMYFUNCTION("""COMPUTED_VALUE"""),"")</f>
        <v/>
      </c>
      <c r="Y3222" s="2"/>
      <c r="Z3222" s="2" t="str">
        <f>IFERROR(__xludf.DUMMYFUNCTION("""COMPUTED_VALUE"""),"")</f>
        <v/>
      </c>
    </row>
    <row r="3223">
      <c r="A3223" s="1" t="str">
        <f>IFERROR(__xludf.DUMMYFUNCTION("""COMPUTED_VALUE"""),"")</f>
        <v/>
      </c>
      <c r="B3223" s="1"/>
      <c r="C3223" s="2"/>
      <c r="D3223" s="2"/>
      <c r="E3223" s="1"/>
      <c r="F3223" s="1"/>
      <c r="G3223" s="4" t="str">
        <f>IFERROR(__xludf.DUMMYFUNCTION("""COMPUTED_VALUE"""),"")</f>
        <v/>
      </c>
      <c r="H3223" s="4" t="str">
        <f>IFERROR(__xludf.DUMMYFUNCTION("""COMPUTED_VALUE"""),"")</f>
        <v/>
      </c>
      <c r="I3223" s="4" t="str">
        <f>IFERROR(__xludf.DUMMYFUNCTION("""COMPUTED_VALUE"""),"")</f>
        <v/>
      </c>
      <c r="J3223" s="4" t="str">
        <f>IFERROR(__xludf.DUMMYFUNCTION("""COMPUTED_VALUE"""),"")</f>
        <v/>
      </c>
      <c r="K3223" s="4" t="str">
        <f>IFERROR(__xludf.DUMMYFUNCTION("""COMPUTED_VALUE"""),"")</f>
        <v/>
      </c>
      <c r="L3223" s="4" t="str">
        <f>IFERROR(__xludf.DUMMYFUNCTION("""COMPUTED_VALUE"""),"")</f>
        <v/>
      </c>
      <c r="M3223" s="1" t="str">
        <f>IFERROR(__xludf.DUMMYFUNCTION("""COMPUTED_VALUE"""),"RFID")</f>
        <v>RFID</v>
      </c>
      <c r="N3223" s="5" t="str">
        <f>IFERROR(__xludf.DUMMYFUNCTION("""COMPUTED_VALUE"""),"")</f>
        <v/>
      </c>
      <c r="O3223" s="5" t="str">
        <f>IFERROR(__xludf.DUMMYFUNCTION("""COMPUTED_VALUE"""),"")</f>
        <v/>
      </c>
      <c r="P3223" s="5" t="str">
        <f>IFERROR(__xludf.DUMMYFUNCTION("""COMPUTED_VALUE"""),"")</f>
        <v/>
      </c>
      <c r="Q3223" s="5" t="str">
        <f>IFERROR(__xludf.DUMMYFUNCTION("""COMPUTED_VALUE"""),"")</f>
        <v/>
      </c>
      <c r="R3223" s="4" t="str">
        <f>IFERROR(__xludf.DUMMYFUNCTION("""COMPUTED_VALUE"""),"")</f>
        <v/>
      </c>
      <c r="S3223" s="1" t="b">
        <f>IFERROR(__xludf.DUMMYFUNCTION("""COMPUTED_VALUE"""),FALSE)</f>
        <v>0</v>
      </c>
      <c r="T3223" s="1" t="b">
        <f>IFERROR(__xludf.DUMMYFUNCTION("""COMPUTED_VALUE"""),FALSE)</f>
        <v>0</v>
      </c>
      <c r="U3223" s="1" t="str">
        <f>IFERROR(__xludf.DUMMYFUNCTION("""COMPUTED_VALUE"""),"")</f>
        <v/>
      </c>
      <c r="V3223" s="1" t="str">
        <f>IFERROR(__xludf.DUMMYFUNCTION("""COMPUTED_VALUE"""),"")</f>
        <v/>
      </c>
      <c r="W3223" s="1" t="str">
        <f>IFERROR(__xludf.DUMMYFUNCTION("""COMPUTED_VALUE"""),"")</f>
        <v/>
      </c>
      <c r="X3223" s="1" t="str">
        <f>IFERROR(__xludf.DUMMYFUNCTION("""COMPUTED_VALUE"""),"")</f>
        <v/>
      </c>
      <c r="Y3223" s="2"/>
      <c r="Z3223" s="2" t="str">
        <f>IFERROR(__xludf.DUMMYFUNCTION("""COMPUTED_VALUE"""),"")</f>
        <v/>
      </c>
    </row>
    <row r="3224">
      <c r="A3224" s="1" t="str">
        <f>IFERROR(__xludf.DUMMYFUNCTION("""COMPUTED_VALUE"""),"")</f>
        <v/>
      </c>
      <c r="B3224" s="1"/>
      <c r="C3224" s="2"/>
      <c r="D3224" s="2"/>
      <c r="E3224" s="1"/>
      <c r="F3224" s="1"/>
      <c r="G3224" s="4" t="str">
        <f>IFERROR(__xludf.DUMMYFUNCTION("""COMPUTED_VALUE"""),"")</f>
        <v/>
      </c>
      <c r="H3224" s="4" t="str">
        <f>IFERROR(__xludf.DUMMYFUNCTION("""COMPUTED_VALUE"""),"")</f>
        <v/>
      </c>
      <c r="I3224" s="4" t="str">
        <f>IFERROR(__xludf.DUMMYFUNCTION("""COMPUTED_VALUE"""),"")</f>
        <v/>
      </c>
      <c r="J3224" s="4" t="str">
        <f>IFERROR(__xludf.DUMMYFUNCTION("""COMPUTED_VALUE"""),"")</f>
        <v/>
      </c>
      <c r="K3224" s="4" t="str">
        <f>IFERROR(__xludf.DUMMYFUNCTION("""COMPUTED_VALUE"""),"")</f>
        <v/>
      </c>
      <c r="L3224" s="4" t="str">
        <f>IFERROR(__xludf.DUMMYFUNCTION("""COMPUTED_VALUE"""),"")</f>
        <v/>
      </c>
      <c r="M3224" s="1" t="str">
        <f>IFERROR(__xludf.DUMMYFUNCTION("""COMPUTED_VALUE"""),"RFID")</f>
        <v>RFID</v>
      </c>
      <c r="N3224" s="5" t="str">
        <f>IFERROR(__xludf.DUMMYFUNCTION("""COMPUTED_VALUE"""),"")</f>
        <v/>
      </c>
      <c r="O3224" s="5" t="str">
        <f>IFERROR(__xludf.DUMMYFUNCTION("""COMPUTED_VALUE"""),"")</f>
        <v/>
      </c>
      <c r="P3224" s="5" t="str">
        <f>IFERROR(__xludf.DUMMYFUNCTION("""COMPUTED_VALUE"""),"")</f>
        <v/>
      </c>
      <c r="Q3224" s="5" t="str">
        <f>IFERROR(__xludf.DUMMYFUNCTION("""COMPUTED_VALUE"""),"")</f>
        <v/>
      </c>
      <c r="R3224" s="4" t="str">
        <f>IFERROR(__xludf.DUMMYFUNCTION("""COMPUTED_VALUE"""),"")</f>
        <v/>
      </c>
      <c r="S3224" s="1" t="b">
        <f>IFERROR(__xludf.DUMMYFUNCTION("""COMPUTED_VALUE"""),FALSE)</f>
        <v>0</v>
      </c>
      <c r="T3224" s="1" t="b">
        <f>IFERROR(__xludf.DUMMYFUNCTION("""COMPUTED_VALUE"""),FALSE)</f>
        <v>0</v>
      </c>
      <c r="U3224" s="1" t="str">
        <f>IFERROR(__xludf.DUMMYFUNCTION("""COMPUTED_VALUE"""),"")</f>
        <v/>
      </c>
      <c r="V3224" s="1" t="str">
        <f>IFERROR(__xludf.DUMMYFUNCTION("""COMPUTED_VALUE"""),"")</f>
        <v/>
      </c>
      <c r="W3224" s="1" t="str">
        <f>IFERROR(__xludf.DUMMYFUNCTION("""COMPUTED_VALUE"""),"")</f>
        <v/>
      </c>
      <c r="X3224" s="1" t="str">
        <f>IFERROR(__xludf.DUMMYFUNCTION("""COMPUTED_VALUE"""),"")</f>
        <v/>
      </c>
      <c r="Y3224" s="2"/>
      <c r="Z3224" s="2" t="str">
        <f>IFERROR(__xludf.DUMMYFUNCTION("""COMPUTED_VALUE"""),"")</f>
        <v/>
      </c>
    </row>
    <row r="3225">
      <c r="A3225" s="1" t="str">
        <f>IFERROR(__xludf.DUMMYFUNCTION("""COMPUTED_VALUE"""),"")</f>
        <v/>
      </c>
      <c r="B3225" s="1"/>
      <c r="C3225" s="2"/>
      <c r="D3225" s="2"/>
      <c r="E3225" s="1"/>
      <c r="F3225" s="1"/>
      <c r="G3225" s="4" t="str">
        <f>IFERROR(__xludf.DUMMYFUNCTION("""COMPUTED_VALUE"""),"")</f>
        <v/>
      </c>
      <c r="H3225" s="4" t="str">
        <f>IFERROR(__xludf.DUMMYFUNCTION("""COMPUTED_VALUE"""),"")</f>
        <v/>
      </c>
      <c r="I3225" s="4" t="str">
        <f>IFERROR(__xludf.DUMMYFUNCTION("""COMPUTED_VALUE"""),"")</f>
        <v/>
      </c>
      <c r="J3225" s="4" t="str">
        <f>IFERROR(__xludf.DUMMYFUNCTION("""COMPUTED_VALUE"""),"")</f>
        <v/>
      </c>
      <c r="K3225" s="4" t="str">
        <f>IFERROR(__xludf.DUMMYFUNCTION("""COMPUTED_VALUE"""),"")</f>
        <v/>
      </c>
      <c r="L3225" s="4" t="str">
        <f>IFERROR(__xludf.DUMMYFUNCTION("""COMPUTED_VALUE"""),"")</f>
        <v/>
      </c>
      <c r="M3225" s="1" t="str">
        <f>IFERROR(__xludf.DUMMYFUNCTION("""COMPUTED_VALUE"""),"RFID")</f>
        <v>RFID</v>
      </c>
      <c r="N3225" s="5" t="str">
        <f>IFERROR(__xludf.DUMMYFUNCTION("""COMPUTED_VALUE"""),"")</f>
        <v/>
      </c>
      <c r="O3225" s="5" t="str">
        <f>IFERROR(__xludf.DUMMYFUNCTION("""COMPUTED_VALUE"""),"")</f>
        <v/>
      </c>
      <c r="P3225" s="5" t="str">
        <f>IFERROR(__xludf.DUMMYFUNCTION("""COMPUTED_VALUE"""),"")</f>
        <v/>
      </c>
      <c r="Q3225" s="5" t="str">
        <f>IFERROR(__xludf.DUMMYFUNCTION("""COMPUTED_VALUE"""),"")</f>
        <v/>
      </c>
      <c r="R3225" s="4" t="str">
        <f>IFERROR(__xludf.DUMMYFUNCTION("""COMPUTED_VALUE"""),"")</f>
        <v/>
      </c>
      <c r="S3225" s="1" t="b">
        <f>IFERROR(__xludf.DUMMYFUNCTION("""COMPUTED_VALUE"""),FALSE)</f>
        <v>0</v>
      </c>
      <c r="T3225" s="1" t="b">
        <f>IFERROR(__xludf.DUMMYFUNCTION("""COMPUTED_VALUE"""),FALSE)</f>
        <v>0</v>
      </c>
      <c r="U3225" s="1" t="str">
        <f>IFERROR(__xludf.DUMMYFUNCTION("""COMPUTED_VALUE"""),"")</f>
        <v/>
      </c>
      <c r="V3225" s="1" t="str">
        <f>IFERROR(__xludf.DUMMYFUNCTION("""COMPUTED_VALUE"""),"")</f>
        <v/>
      </c>
      <c r="W3225" s="1" t="str">
        <f>IFERROR(__xludf.DUMMYFUNCTION("""COMPUTED_VALUE"""),"")</f>
        <v/>
      </c>
      <c r="X3225" s="1" t="str">
        <f>IFERROR(__xludf.DUMMYFUNCTION("""COMPUTED_VALUE"""),"")</f>
        <v/>
      </c>
      <c r="Y3225" s="2"/>
      <c r="Z3225" s="2" t="str">
        <f>IFERROR(__xludf.DUMMYFUNCTION("""COMPUTED_VALUE"""),"")</f>
        <v/>
      </c>
    </row>
    <row r="3226">
      <c r="A3226" s="1" t="str">
        <f>IFERROR(__xludf.DUMMYFUNCTION("""COMPUTED_VALUE"""),"")</f>
        <v/>
      </c>
      <c r="B3226" s="1"/>
      <c r="C3226" s="2"/>
      <c r="D3226" s="2"/>
      <c r="E3226" s="1"/>
      <c r="F3226" s="1"/>
      <c r="G3226" s="4" t="str">
        <f>IFERROR(__xludf.DUMMYFUNCTION("""COMPUTED_VALUE"""),"")</f>
        <v/>
      </c>
      <c r="H3226" s="4" t="str">
        <f>IFERROR(__xludf.DUMMYFUNCTION("""COMPUTED_VALUE"""),"")</f>
        <v/>
      </c>
      <c r="I3226" s="4" t="str">
        <f>IFERROR(__xludf.DUMMYFUNCTION("""COMPUTED_VALUE"""),"")</f>
        <v/>
      </c>
      <c r="J3226" s="4" t="str">
        <f>IFERROR(__xludf.DUMMYFUNCTION("""COMPUTED_VALUE"""),"")</f>
        <v/>
      </c>
      <c r="K3226" s="4" t="str">
        <f>IFERROR(__xludf.DUMMYFUNCTION("""COMPUTED_VALUE"""),"")</f>
        <v/>
      </c>
      <c r="L3226" s="4" t="str">
        <f>IFERROR(__xludf.DUMMYFUNCTION("""COMPUTED_VALUE"""),"")</f>
        <v/>
      </c>
      <c r="M3226" s="1" t="str">
        <f>IFERROR(__xludf.DUMMYFUNCTION("""COMPUTED_VALUE"""),"RFID")</f>
        <v>RFID</v>
      </c>
      <c r="N3226" s="5" t="str">
        <f>IFERROR(__xludf.DUMMYFUNCTION("""COMPUTED_VALUE"""),"")</f>
        <v/>
      </c>
      <c r="O3226" s="5" t="str">
        <f>IFERROR(__xludf.DUMMYFUNCTION("""COMPUTED_VALUE"""),"")</f>
        <v/>
      </c>
      <c r="P3226" s="5" t="str">
        <f>IFERROR(__xludf.DUMMYFUNCTION("""COMPUTED_VALUE"""),"")</f>
        <v/>
      </c>
      <c r="Q3226" s="5" t="str">
        <f>IFERROR(__xludf.DUMMYFUNCTION("""COMPUTED_VALUE"""),"")</f>
        <v/>
      </c>
      <c r="R3226" s="4" t="str">
        <f>IFERROR(__xludf.DUMMYFUNCTION("""COMPUTED_VALUE"""),"")</f>
        <v/>
      </c>
      <c r="S3226" s="1" t="b">
        <f>IFERROR(__xludf.DUMMYFUNCTION("""COMPUTED_VALUE"""),FALSE)</f>
        <v>0</v>
      </c>
      <c r="T3226" s="1" t="b">
        <f>IFERROR(__xludf.DUMMYFUNCTION("""COMPUTED_VALUE"""),FALSE)</f>
        <v>0</v>
      </c>
      <c r="U3226" s="1" t="str">
        <f>IFERROR(__xludf.DUMMYFUNCTION("""COMPUTED_VALUE"""),"")</f>
        <v/>
      </c>
      <c r="V3226" s="1" t="str">
        <f>IFERROR(__xludf.DUMMYFUNCTION("""COMPUTED_VALUE"""),"")</f>
        <v/>
      </c>
      <c r="W3226" s="1" t="str">
        <f>IFERROR(__xludf.DUMMYFUNCTION("""COMPUTED_VALUE"""),"")</f>
        <v/>
      </c>
      <c r="X3226" s="1" t="str">
        <f>IFERROR(__xludf.DUMMYFUNCTION("""COMPUTED_VALUE"""),"")</f>
        <v/>
      </c>
      <c r="Y3226" s="2"/>
      <c r="Z3226" s="2" t="str">
        <f>IFERROR(__xludf.DUMMYFUNCTION("""COMPUTED_VALUE"""),"")</f>
        <v/>
      </c>
    </row>
    <row r="3227">
      <c r="A3227" s="1" t="str">
        <f>IFERROR(__xludf.DUMMYFUNCTION("""COMPUTED_VALUE"""),"")</f>
        <v/>
      </c>
      <c r="B3227" s="1"/>
      <c r="C3227" s="2"/>
      <c r="D3227" s="2"/>
      <c r="E3227" s="1"/>
      <c r="F3227" s="1"/>
      <c r="G3227" s="4" t="str">
        <f>IFERROR(__xludf.DUMMYFUNCTION("""COMPUTED_VALUE"""),"")</f>
        <v/>
      </c>
      <c r="H3227" s="4" t="str">
        <f>IFERROR(__xludf.DUMMYFUNCTION("""COMPUTED_VALUE"""),"")</f>
        <v/>
      </c>
      <c r="I3227" s="4" t="str">
        <f>IFERROR(__xludf.DUMMYFUNCTION("""COMPUTED_VALUE"""),"")</f>
        <v/>
      </c>
      <c r="J3227" s="4" t="str">
        <f>IFERROR(__xludf.DUMMYFUNCTION("""COMPUTED_VALUE"""),"")</f>
        <v/>
      </c>
      <c r="K3227" s="4" t="str">
        <f>IFERROR(__xludf.DUMMYFUNCTION("""COMPUTED_VALUE"""),"")</f>
        <v/>
      </c>
      <c r="L3227" s="4" t="str">
        <f>IFERROR(__xludf.DUMMYFUNCTION("""COMPUTED_VALUE"""),"")</f>
        <v/>
      </c>
      <c r="M3227" s="1" t="str">
        <f>IFERROR(__xludf.DUMMYFUNCTION("""COMPUTED_VALUE"""),"RFID")</f>
        <v>RFID</v>
      </c>
      <c r="N3227" s="5" t="str">
        <f>IFERROR(__xludf.DUMMYFUNCTION("""COMPUTED_VALUE"""),"")</f>
        <v/>
      </c>
      <c r="O3227" s="5" t="str">
        <f>IFERROR(__xludf.DUMMYFUNCTION("""COMPUTED_VALUE"""),"")</f>
        <v/>
      </c>
      <c r="P3227" s="5" t="str">
        <f>IFERROR(__xludf.DUMMYFUNCTION("""COMPUTED_VALUE"""),"")</f>
        <v/>
      </c>
      <c r="Q3227" s="5" t="str">
        <f>IFERROR(__xludf.DUMMYFUNCTION("""COMPUTED_VALUE"""),"")</f>
        <v/>
      </c>
      <c r="R3227" s="4" t="str">
        <f>IFERROR(__xludf.DUMMYFUNCTION("""COMPUTED_VALUE"""),"")</f>
        <v/>
      </c>
      <c r="S3227" s="1" t="b">
        <f>IFERROR(__xludf.DUMMYFUNCTION("""COMPUTED_VALUE"""),FALSE)</f>
        <v>0</v>
      </c>
      <c r="T3227" s="1" t="b">
        <f>IFERROR(__xludf.DUMMYFUNCTION("""COMPUTED_VALUE"""),FALSE)</f>
        <v>0</v>
      </c>
      <c r="U3227" s="1" t="str">
        <f>IFERROR(__xludf.DUMMYFUNCTION("""COMPUTED_VALUE"""),"")</f>
        <v/>
      </c>
      <c r="V3227" s="1" t="str">
        <f>IFERROR(__xludf.DUMMYFUNCTION("""COMPUTED_VALUE"""),"")</f>
        <v/>
      </c>
      <c r="W3227" s="1" t="str">
        <f>IFERROR(__xludf.DUMMYFUNCTION("""COMPUTED_VALUE"""),"")</f>
        <v/>
      </c>
      <c r="X3227" s="1" t="str">
        <f>IFERROR(__xludf.DUMMYFUNCTION("""COMPUTED_VALUE"""),"")</f>
        <v/>
      </c>
      <c r="Y3227" s="2"/>
      <c r="Z3227" s="2" t="str">
        <f>IFERROR(__xludf.DUMMYFUNCTION("""COMPUTED_VALUE"""),"")</f>
        <v/>
      </c>
    </row>
    <row r="3228">
      <c r="A3228" s="1" t="str">
        <f>IFERROR(__xludf.DUMMYFUNCTION("""COMPUTED_VALUE"""),"")</f>
        <v/>
      </c>
      <c r="B3228" s="1"/>
      <c r="C3228" s="2"/>
      <c r="D3228" s="2"/>
      <c r="E3228" s="1"/>
      <c r="F3228" s="1"/>
      <c r="G3228" s="4" t="str">
        <f>IFERROR(__xludf.DUMMYFUNCTION("""COMPUTED_VALUE"""),"")</f>
        <v/>
      </c>
      <c r="H3228" s="4" t="str">
        <f>IFERROR(__xludf.DUMMYFUNCTION("""COMPUTED_VALUE"""),"")</f>
        <v/>
      </c>
      <c r="I3228" s="4" t="str">
        <f>IFERROR(__xludf.DUMMYFUNCTION("""COMPUTED_VALUE"""),"")</f>
        <v/>
      </c>
      <c r="J3228" s="4" t="str">
        <f>IFERROR(__xludf.DUMMYFUNCTION("""COMPUTED_VALUE"""),"")</f>
        <v/>
      </c>
      <c r="K3228" s="4" t="str">
        <f>IFERROR(__xludf.DUMMYFUNCTION("""COMPUTED_VALUE"""),"")</f>
        <v/>
      </c>
      <c r="L3228" s="4" t="str">
        <f>IFERROR(__xludf.DUMMYFUNCTION("""COMPUTED_VALUE"""),"")</f>
        <v/>
      </c>
      <c r="M3228" s="1" t="str">
        <f>IFERROR(__xludf.DUMMYFUNCTION("""COMPUTED_VALUE"""),"RFID")</f>
        <v>RFID</v>
      </c>
      <c r="N3228" s="5" t="str">
        <f>IFERROR(__xludf.DUMMYFUNCTION("""COMPUTED_VALUE"""),"")</f>
        <v/>
      </c>
      <c r="O3228" s="5" t="str">
        <f>IFERROR(__xludf.DUMMYFUNCTION("""COMPUTED_VALUE"""),"")</f>
        <v/>
      </c>
      <c r="P3228" s="5" t="str">
        <f>IFERROR(__xludf.DUMMYFUNCTION("""COMPUTED_VALUE"""),"")</f>
        <v/>
      </c>
      <c r="Q3228" s="5" t="str">
        <f>IFERROR(__xludf.DUMMYFUNCTION("""COMPUTED_VALUE"""),"")</f>
        <v/>
      </c>
      <c r="R3228" s="4" t="str">
        <f>IFERROR(__xludf.DUMMYFUNCTION("""COMPUTED_VALUE"""),"")</f>
        <v/>
      </c>
      <c r="S3228" s="1" t="b">
        <f>IFERROR(__xludf.DUMMYFUNCTION("""COMPUTED_VALUE"""),FALSE)</f>
        <v>0</v>
      </c>
      <c r="T3228" s="1" t="b">
        <f>IFERROR(__xludf.DUMMYFUNCTION("""COMPUTED_VALUE"""),FALSE)</f>
        <v>0</v>
      </c>
      <c r="U3228" s="1" t="str">
        <f>IFERROR(__xludf.DUMMYFUNCTION("""COMPUTED_VALUE"""),"")</f>
        <v/>
      </c>
      <c r="V3228" s="1" t="str">
        <f>IFERROR(__xludf.DUMMYFUNCTION("""COMPUTED_VALUE"""),"")</f>
        <v/>
      </c>
      <c r="W3228" s="1" t="str">
        <f>IFERROR(__xludf.DUMMYFUNCTION("""COMPUTED_VALUE"""),"")</f>
        <v/>
      </c>
      <c r="X3228" s="1" t="str">
        <f>IFERROR(__xludf.DUMMYFUNCTION("""COMPUTED_VALUE"""),"")</f>
        <v/>
      </c>
      <c r="Y3228" s="2"/>
      <c r="Z3228" s="2" t="str">
        <f>IFERROR(__xludf.DUMMYFUNCTION("""COMPUTED_VALUE"""),"")</f>
        <v/>
      </c>
    </row>
    <row r="3229">
      <c r="A3229" s="1" t="str">
        <f>IFERROR(__xludf.DUMMYFUNCTION("""COMPUTED_VALUE"""),"")</f>
        <v/>
      </c>
      <c r="B3229" s="1"/>
      <c r="C3229" s="2"/>
      <c r="D3229" s="2"/>
      <c r="E3229" s="1"/>
      <c r="F3229" s="1"/>
      <c r="G3229" s="4" t="str">
        <f>IFERROR(__xludf.DUMMYFUNCTION("""COMPUTED_VALUE"""),"")</f>
        <v/>
      </c>
      <c r="H3229" s="4" t="str">
        <f>IFERROR(__xludf.DUMMYFUNCTION("""COMPUTED_VALUE"""),"")</f>
        <v/>
      </c>
      <c r="I3229" s="4" t="str">
        <f>IFERROR(__xludf.DUMMYFUNCTION("""COMPUTED_VALUE"""),"")</f>
        <v/>
      </c>
      <c r="J3229" s="4" t="str">
        <f>IFERROR(__xludf.DUMMYFUNCTION("""COMPUTED_VALUE"""),"")</f>
        <v/>
      </c>
      <c r="K3229" s="4" t="str">
        <f>IFERROR(__xludf.DUMMYFUNCTION("""COMPUTED_VALUE"""),"")</f>
        <v/>
      </c>
      <c r="L3229" s="4" t="str">
        <f>IFERROR(__xludf.DUMMYFUNCTION("""COMPUTED_VALUE"""),"")</f>
        <v/>
      </c>
      <c r="M3229" s="1" t="str">
        <f>IFERROR(__xludf.DUMMYFUNCTION("""COMPUTED_VALUE"""),"RFID")</f>
        <v>RFID</v>
      </c>
      <c r="N3229" s="5" t="str">
        <f>IFERROR(__xludf.DUMMYFUNCTION("""COMPUTED_VALUE"""),"")</f>
        <v/>
      </c>
      <c r="O3229" s="5" t="str">
        <f>IFERROR(__xludf.DUMMYFUNCTION("""COMPUTED_VALUE"""),"")</f>
        <v/>
      </c>
      <c r="P3229" s="5" t="str">
        <f>IFERROR(__xludf.DUMMYFUNCTION("""COMPUTED_VALUE"""),"")</f>
        <v/>
      </c>
      <c r="Q3229" s="5" t="str">
        <f>IFERROR(__xludf.DUMMYFUNCTION("""COMPUTED_VALUE"""),"")</f>
        <v/>
      </c>
      <c r="R3229" s="4" t="str">
        <f>IFERROR(__xludf.DUMMYFUNCTION("""COMPUTED_VALUE"""),"")</f>
        <v/>
      </c>
      <c r="S3229" s="1" t="b">
        <f>IFERROR(__xludf.DUMMYFUNCTION("""COMPUTED_VALUE"""),FALSE)</f>
        <v>0</v>
      </c>
      <c r="T3229" s="1" t="b">
        <f>IFERROR(__xludf.DUMMYFUNCTION("""COMPUTED_VALUE"""),FALSE)</f>
        <v>0</v>
      </c>
      <c r="U3229" s="1" t="str">
        <f>IFERROR(__xludf.DUMMYFUNCTION("""COMPUTED_VALUE"""),"")</f>
        <v/>
      </c>
      <c r="V3229" s="1" t="str">
        <f>IFERROR(__xludf.DUMMYFUNCTION("""COMPUTED_VALUE"""),"")</f>
        <v/>
      </c>
      <c r="W3229" s="1" t="str">
        <f>IFERROR(__xludf.DUMMYFUNCTION("""COMPUTED_VALUE"""),"")</f>
        <v/>
      </c>
      <c r="X3229" s="1" t="str">
        <f>IFERROR(__xludf.DUMMYFUNCTION("""COMPUTED_VALUE"""),"")</f>
        <v/>
      </c>
      <c r="Y3229" s="2"/>
      <c r="Z3229" s="2" t="str">
        <f>IFERROR(__xludf.DUMMYFUNCTION("""COMPUTED_VALUE"""),"")</f>
        <v/>
      </c>
    </row>
    <row r="3230">
      <c r="A3230" s="1" t="str">
        <f>IFERROR(__xludf.DUMMYFUNCTION("""COMPUTED_VALUE"""),"")</f>
        <v/>
      </c>
      <c r="B3230" s="1"/>
      <c r="C3230" s="2"/>
      <c r="D3230" s="2"/>
      <c r="E3230" s="1"/>
      <c r="F3230" s="1"/>
      <c r="G3230" s="4" t="str">
        <f>IFERROR(__xludf.DUMMYFUNCTION("""COMPUTED_VALUE"""),"")</f>
        <v/>
      </c>
      <c r="H3230" s="4" t="str">
        <f>IFERROR(__xludf.DUMMYFUNCTION("""COMPUTED_VALUE"""),"")</f>
        <v/>
      </c>
      <c r="I3230" s="4" t="str">
        <f>IFERROR(__xludf.DUMMYFUNCTION("""COMPUTED_VALUE"""),"")</f>
        <v/>
      </c>
      <c r="J3230" s="4" t="str">
        <f>IFERROR(__xludf.DUMMYFUNCTION("""COMPUTED_VALUE"""),"")</f>
        <v/>
      </c>
      <c r="K3230" s="4" t="str">
        <f>IFERROR(__xludf.DUMMYFUNCTION("""COMPUTED_VALUE"""),"")</f>
        <v/>
      </c>
      <c r="L3230" s="4" t="str">
        <f>IFERROR(__xludf.DUMMYFUNCTION("""COMPUTED_VALUE"""),"")</f>
        <v/>
      </c>
      <c r="M3230" s="1" t="str">
        <f>IFERROR(__xludf.DUMMYFUNCTION("""COMPUTED_VALUE"""),"RFID")</f>
        <v>RFID</v>
      </c>
      <c r="N3230" s="5" t="str">
        <f>IFERROR(__xludf.DUMMYFUNCTION("""COMPUTED_VALUE"""),"")</f>
        <v/>
      </c>
      <c r="O3230" s="5" t="str">
        <f>IFERROR(__xludf.DUMMYFUNCTION("""COMPUTED_VALUE"""),"")</f>
        <v/>
      </c>
      <c r="P3230" s="5" t="str">
        <f>IFERROR(__xludf.DUMMYFUNCTION("""COMPUTED_VALUE"""),"")</f>
        <v/>
      </c>
      <c r="Q3230" s="5" t="str">
        <f>IFERROR(__xludf.DUMMYFUNCTION("""COMPUTED_VALUE"""),"")</f>
        <v/>
      </c>
      <c r="R3230" s="4" t="str">
        <f>IFERROR(__xludf.DUMMYFUNCTION("""COMPUTED_VALUE"""),"")</f>
        <v/>
      </c>
      <c r="S3230" s="1" t="b">
        <f>IFERROR(__xludf.DUMMYFUNCTION("""COMPUTED_VALUE"""),FALSE)</f>
        <v>0</v>
      </c>
      <c r="T3230" s="1" t="b">
        <f>IFERROR(__xludf.DUMMYFUNCTION("""COMPUTED_VALUE"""),FALSE)</f>
        <v>0</v>
      </c>
      <c r="U3230" s="1" t="str">
        <f>IFERROR(__xludf.DUMMYFUNCTION("""COMPUTED_VALUE"""),"")</f>
        <v/>
      </c>
      <c r="V3230" s="1" t="str">
        <f>IFERROR(__xludf.DUMMYFUNCTION("""COMPUTED_VALUE"""),"")</f>
        <v/>
      </c>
      <c r="W3230" s="1" t="str">
        <f>IFERROR(__xludf.DUMMYFUNCTION("""COMPUTED_VALUE"""),"")</f>
        <v/>
      </c>
      <c r="X3230" s="1" t="str">
        <f>IFERROR(__xludf.DUMMYFUNCTION("""COMPUTED_VALUE"""),"")</f>
        <v/>
      </c>
      <c r="Y3230" s="2"/>
      <c r="Z3230" s="2" t="str">
        <f>IFERROR(__xludf.DUMMYFUNCTION("""COMPUTED_VALUE"""),"")</f>
        <v/>
      </c>
    </row>
    <row r="3231">
      <c r="A3231" s="1" t="str">
        <f>IFERROR(__xludf.DUMMYFUNCTION("""COMPUTED_VALUE"""),"")</f>
        <v/>
      </c>
      <c r="B3231" s="1"/>
      <c r="C3231" s="2"/>
      <c r="D3231" s="2"/>
      <c r="E3231" s="1"/>
      <c r="F3231" s="1"/>
      <c r="G3231" s="4" t="str">
        <f>IFERROR(__xludf.DUMMYFUNCTION("""COMPUTED_VALUE"""),"")</f>
        <v/>
      </c>
      <c r="H3231" s="4" t="str">
        <f>IFERROR(__xludf.DUMMYFUNCTION("""COMPUTED_VALUE"""),"")</f>
        <v/>
      </c>
      <c r="I3231" s="4" t="str">
        <f>IFERROR(__xludf.DUMMYFUNCTION("""COMPUTED_VALUE"""),"")</f>
        <v/>
      </c>
      <c r="J3231" s="4" t="str">
        <f>IFERROR(__xludf.DUMMYFUNCTION("""COMPUTED_VALUE"""),"")</f>
        <v/>
      </c>
      <c r="K3231" s="4" t="str">
        <f>IFERROR(__xludf.DUMMYFUNCTION("""COMPUTED_VALUE"""),"")</f>
        <v/>
      </c>
      <c r="L3231" s="4" t="str">
        <f>IFERROR(__xludf.DUMMYFUNCTION("""COMPUTED_VALUE"""),"")</f>
        <v/>
      </c>
      <c r="M3231" s="1" t="str">
        <f>IFERROR(__xludf.DUMMYFUNCTION("""COMPUTED_VALUE"""),"RFID")</f>
        <v>RFID</v>
      </c>
      <c r="N3231" s="5" t="str">
        <f>IFERROR(__xludf.DUMMYFUNCTION("""COMPUTED_VALUE"""),"")</f>
        <v/>
      </c>
      <c r="O3231" s="5" t="str">
        <f>IFERROR(__xludf.DUMMYFUNCTION("""COMPUTED_VALUE"""),"")</f>
        <v/>
      </c>
      <c r="P3231" s="5" t="str">
        <f>IFERROR(__xludf.DUMMYFUNCTION("""COMPUTED_VALUE"""),"")</f>
        <v/>
      </c>
      <c r="Q3231" s="5" t="str">
        <f>IFERROR(__xludf.DUMMYFUNCTION("""COMPUTED_VALUE"""),"")</f>
        <v/>
      </c>
      <c r="R3231" s="4" t="str">
        <f>IFERROR(__xludf.DUMMYFUNCTION("""COMPUTED_VALUE"""),"")</f>
        <v/>
      </c>
      <c r="S3231" s="1" t="b">
        <f>IFERROR(__xludf.DUMMYFUNCTION("""COMPUTED_VALUE"""),FALSE)</f>
        <v>0</v>
      </c>
      <c r="T3231" s="1" t="b">
        <f>IFERROR(__xludf.DUMMYFUNCTION("""COMPUTED_VALUE"""),FALSE)</f>
        <v>0</v>
      </c>
      <c r="U3231" s="1" t="str">
        <f>IFERROR(__xludf.DUMMYFUNCTION("""COMPUTED_VALUE"""),"")</f>
        <v/>
      </c>
      <c r="V3231" s="1" t="str">
        <f>IFERROR(__xludf.DUMMYFUNCTION("""COMPUTED_VALUE"""),"")</f>
        <v/>
      </c>
      <c r="W3231" s="1" t="str">
        <f>IFERROR(__xludf.DUMMYFUNCTION("""COMPUTED_VALUE"""),"")</f>
        <v/>
      </c>
      <c r="X3231" s="1" t="str">
        <f>IFERROR(__xludf.DUMMYFUNCTION("""COMPUTED_VALUE"""),"")</f>
        <v/>
      </c>
      <c r="Y3231" s="2"/>
      <c r="Z3231" s="2" t="str">
        <f>IFERROR(__xludf.DUMMYFUNCTION("""COMPUTED_VALUE"""),"")</f>
        <v/>
      </c>
    </row>
    <row r="3232">
      <c r="A3232" s="1" t="str">
        <f>IFERROR(__xludf.DUMMYFUNCTION("""COMPUTED_VALUE"""),"")</f>
        <v/>
      </c>
      <c r="B3232" s="1"/>
      <c r="C3232" s="2"/>
      <c r="D3232" s="2"/>
      <c r="E3232" s="1"/>
      <c r="F3232" s="1"/>
      <c r="G3232" s="4" t="str">
        <f>IFERROR(__xludf.DUMMYFUNCTION("""COMPUTED_VALUE"""),"")</f>
        <v/>
      </c>
      <c r="H3232" s="4" t="str">
        <f>IFERROR(__xludf.DUMMYFUNCTION("""COMPUTED_VALUE"""),"")</f>
        <v/>
      </c>
      <c r="I3232" s="4" t="str">
        <f>IFERROR(__xludf.DUMMYFUNCTION("""COMPUTED_VALUE"""),"")</f>
        <v/>
      </c>
      <c r="J3232" s="4" t="str">
        <f>IFERROR(__xludf.DUMMYFUNCTION("""COMPUTED_VALUE"""),"")</f>
        <v/>
      </c>
      <c r="K3232" s="4" t="str">
        <f>IFERROR(__xludf.DUMMYFUNCTION("""COMPUTED_VALUE"""),"")</f>
        <v/>
      </c>
      <c r="L3232" s="4" t="str">
        <f>IFERROR(__xludf.DUMMYFUNCTION("""COMPUTED_VALUE"""),"")</f>
        <v/>
      </c>
      <c r="M3232" s="1" t="str">
        <f>IFERROR(__xludf.DUMMYFUNCTION("""COMPUTED_VALUE"""),"RFID")</f>
        <v>RFID</v>
      </c>
      <c r="N3232" s="5" t="str">
        <f>IFERROR(__xludf.DUMMYFUNCTION("""COMPUTED_VALUE"""),"")</f>
        <v/>
      </c>
      <c r="O3232" s="5" t="str">
        <f>IFERROR(__xludf.DUMMYFUNCTION("""COMPUTED_VALUE"""),"")</f>
        <v/>
      </c>
      <c r="P3232" s="5" t="str">
        <f>IFERROR(__xludf.DUMMYFUNCTION("""COMPUTED_VALUE"""),"")</f>
        <v/>
      </c>
      <c r="Q3232" s="5" t="str">
        <f>IFERROR(__xludf.DUMMYFUNCTION("""COMPUTED_VALUE"""),"")</f>
        <v/>
      </c>
      <c r="R3232" s="4" t="str">
        <f>IFERROR(__xludf.DUMMYFUNCTION("""COMPUTED_VALUE"""),"")</f>
        <v/>
      </c>
      <c r="S3232" s="1" t="b">
        <f>IFERROR(__xludf.DUMMYFUNCTION("""COMPUTED_VALUE"""),FALSE)</f>
        <v>0</v>
      </c>
      <c r="T3232" s="1" t="b">
        <f>IFERROR(__xludf.DUMMYFUNCTION("""COMPUTED_VALUE"""),FALSE)</f>
        <v>0</v>
      </c>
      <c r="U3232" s="1" t="str">
        <f>IFERROR(__xludf.DUMMYFUNCTION("""COMPUTED_VALUE"""),"")</f>
        <v/>
      </c>
      <c r="V3232" s="1" t="str">
        <f>IFERROR(__xludf.DUMMYFUNCTION("""COMPUTED_VALUE"""),"")</f>
        <v/>
      </c>
      <c r="W3232" s="1" t="str">
        <f>IFERROR(__xludf.DUMMYFUNCTION("""COMPUTED_VALUE"""),"")</f>
        <v/>
      </c>
      <c r="X3232" s="1" t="str">
        <f>IFERROR(__xludf.DUMMYFUNCTION("""COMPUTED_VALUE"""),"")</f>
        <v/>
      </c>
      <c r="Y3232" s="2"/>
      <c r="Z3232" s="2" t="str">
        <f>IFERROR(__xludf.DUMMYFUNCTION("""COMPUTED_VALUE"""),"")</f>
        <v/>
      </c>
    </row>
    <row r="3233">
      <c r="A3233" s="1" t="str">
        <f>IFERROR(__xludf.DUMMYFUNCTION("""COMPUTED_VALUE"""),"")</f>
        <v/>
      </c>
      <c r="B3233" s="1"/>
      <c r="C3233" s="2"/>
      <c r="D3233" s="2"/>
      <c r="E3233" s="1"/>
      <c r="F3233" s="1"/>
      <c r="G3233" s="4" t="str">
        <f>IFERROR(__xludf.DUMMYFUNCTION("""COMPUTED_VALUE"""),"")</f>
        <v/>
      </c>
      <c r="H3233" s="4" t="str">
        <f>IFERROR(__xludf.DUMMYFUNCTION("""COMPUTED_VALUE"""),"")</f>
        <v/>
      </c>
      <c r="I3233" s="4" t="str">
        <f>IFERROR(__xludf.DUMMYFUNCTION("""COMPUTED_VALUE"""),"")</f>
        <v/>
      </c>
      <c r="J3233" s="4" t="str">
        <f>IFERROR(__xludf.DUMMYFUNCTION("""COMPUTED_VALUE"""),"")</f>
        <v/>
      </c>
      <c r="K3233" s="4" t="str">
        <f>IFERROR(__xludf.DUMMYFUNCTION("""COMPUTED_VALUE"""),"")</f>
        <v/>
      </c>
      <c r="L3233" s="4" t="str">
        <f>IFERROR(__xludf.DUMMYFUNCTION("""COMPUTED_VALUE"""),"")</f>
        <v/>
      </c>
      <c r="M3233" s="1" t="str">
        <f>IFERROR(__xludf.DUMMYFUNCTION("""COMPUTED_VALUE"""),"RFID")</f>
        <v>RFID</v>
      </c>
      <c r="N3233" s="5" t="str">
        <f>IFERROR(__xludf.DUMMYFUNCTION("""COMPUTED_VALUE"""),"")</f>
        <v/>
      </c>
      <c r="O3233" s="5" t="str">
        <f>IFERROR(__xludf.DUMMYFUNCTION("""COMPUTED_VALUE"""),"")</f>
        <v/>
      </c>
      <c r="P3233" s="5" t="str">
        <f>IFERROR(__xludf.DUMMYFUNCTION("""COMPUTED_VALUE"""),"")</f>
        <v/>
      </c>
      <c r="Q3233" s="5" t="str">
        <f>IFERROR(__xludf.DUMMYFUNCTION("""COMPUTED_VALUE"""),"")</f>
        <v/>
      </c>
      <c r="R3233" s="4" t="str">
        <f>IFERROR(__xludf.DUMMYFUNCTION("""COMPUTED_VALUE"""),"")</f>
        <v/>
      </c>
      <c r="S3233" s="1" t="b">
        <f>IFERROR(__xludf.DUMMYFUNCTION("""COMPUTED_VALUE"""),FALSE)</f>
        <v>0</v>
      </c>
      <c r="T3233" s="1" t="b">
        <f>IFERROR(__xludf.DUMMYFUNCTION("""COMPUTED_VALUE"""),FALSE)</f>
        <v>0</v>
      </c>
      <c r="U3233" s="1" t="str">
        <f>IFERROR(__xludf.DUMMYFUNCTION("""COMPUTED_VALUE"""),"")</f>
        <v/>
      </c>
      <c r="V3233" s="1" t="str">
        <f>IFERROR(__xludf.DUMMYFUNCTION("""COMPUTED_VALUE"""),"")</f>
        <v/>
      </c>
      <c r="W3233" s="1" t="str">
        <f>IFERROR(__xludf.DUMMYFUNCTION("""COMPUTED_VALUE"""),"")</f>
        <v/>
      </c>
      <c r="X3233" s="1" t="str">
        <f>IFERROR(__xludf.DUMMYFUNCTION("""COMPUTED_VALUE"""),"")</f>
        <v/>
      </c>
      <c r="Y3233" s="2"/>
      <c r="Z3233" s="2" t="str">
        <f>IFERROR(__xludf.DUMMYFUNCTION("""COMPUTED_VALUE"""),"")</f>
        <v/>
      </c>
    </row>
    <row r="3234">
      <c r="A3234" s="1" t="str">
        <f>IFERROR(__xludf.DUMMYFUNCTION("""COMPUTED_VALUE"""),"")</f>
        <v/>
      </c>
      <c r="B3234" s="1"/>
      <c r="C3234" s="2"/>
      <c r="D3234" s="2"/>
      <c r="E3234" s="1"/>
      <c r="F3234" s="1"/>
      <c r="G3234" s="4" t="str">
        <f>IFERROR(__xludf.DUMMYFUNCTION("""COMPUTED_VALUE"""),"")</f>
        <v/>
      </c>
      <c r="H3234" s="4" t="str">
        <f>IFERROR(__xludf.DUMMYFUNCTION("""COMPUTED_VALUE"""),"")</f>
        <v/>
      </c>
      <c r="I3234" s="4" t="str">
        <f>IFERROR(__xludf.DUMMYFUNCTION("""COMPUTED_VALUE"""),"")</f>
        <v/>
      </c>
      <c r="J3234" s="4" t="str">
        <f>IFERROR(__xludf.DUMMYFUNCTION("""COMPUTED_VALUE"""),"")</f>
        <v/>
      </c>
      <c r="K3234" s="4" t="str">
        <f>IFERROR(__xludf.DUMMYFUNCTION("""COMPUTED_VALUE"""),"")</f>
        <v/>
      </c>
      <c r="L3234" s="4" t="str">
        <f>IFERROR(__xludf.DUMMYFUNCTION("""COMPUTED_VALUE"""),"")</f>
        <v/>
      </c>
      <c r="M3234" s="1" t="str">
        <f>IFERROR(__xludf.DUMMYFUNCTION("""COMPUTED_VALUE"""),"RFID")</f>
        <v>RFID</v>
      </c>
      <c r="N3234" s="5" t="str">
        <f>IFERROR(__xludf.DUMMYFUNCTION("""COMPUTED_VALUE"""),"")</f>
        <v/>
      </c>
      <c r="O3234" s="5" t="str">
        <f>IFERROR(__xludf.DUMMYFUNCTION("""COMPUTED_VALUE"""),"")</f>
        <v/>
      </c>
      <c r="P3234" s="5" t="str">
        <f>IFERROR(__xludf.DUMMYFUNCTION("""COMPUTED_VALUE"""),"")</f>
        <v/>
      </c>
      <c r="Q3234" s="5" t="str">
        <f>IFERROR(__xludf.DUMMYFUNCTION("""COMPUTED_VALUE"""),"")</f>
        <v/>
      </c>
      <c r="R3234" s="4" t="str">
        <f>IFERROR(__xludf.DUMMYFUNCTION("""COMPUTED_VALUE"""),"")</f>
        <v/>
      </c>
      <c r="S3234" s="1" t="b">
        <f>IFERROR(__xludf.DUMMYFUNCTION("""COMPUTED_VALUE"""),FALSE)</f>
        <v>0</v>
      </c>
      <c r="T3234" s="1" t="b">
        <f>IFERROR(__xludf.DUMMYFUNCTION("""COMPUTED_VALUE"""),FALSE)</f>
        <v>0</v>
      </c>
      <c r="U3234" s="1" t="str">
        <f>IFERROR(__xludf.DUMMYFUNCTION("""COMPUTED_VALUE"""),"")</f>
        <v/>
      </c>
      <c r="V3234" s="1" t="str">
        <f>IFERROR(__xludf.DUMMYFUNCTION("""COMPUTED_VALUE"""),"")</f>
        <v/>
      </c>
      <c r="W3234" s="1" t="str">
        <f>IFERROR(__xludf.DUMMYFUNCTION("""COMPUTED_VALUE"""),"")</f>
        <v/>
      </c>
      <c r="X3234" s="1" t="str">
        <f>IFERROR(__xludf.DUMMYFUNCTION("""COMPUTED_VALUE"""),"")</f>
        <v/>
      </c>
      <c r="Y3234" s="2"/>
      <c r="Z3234" s="2" t="str">
        <f>IFERROR(__xludf.DUMMYFUNCTION("""COMPUTED_VALUE"""),"")</f>
        <v/>
      </c>
    </row>
    <row r="3235">
      <c r="A3235" s="1" t="str">
        <f>IFERROR(__xludf.DUMMYFUNCTION("""COMPUTED_VALUE"""),"")</f>
        <v/>
      </c>
      <c r="B3235" s="1"/>
      <c r="C3235" s="2"/>
      <c r="D3235" s="2"/>
      <c r="E3235" s="1"/>
      <c r="F3235" s="1"/>
      <c r="G3235" s="4" t="str">
        <f>IFERROR(__xludf.DUMMYFUNCTION("""COMPUTED_VALUE"""),"")</f>
        <v/>
      </c>
      <c r="H3235" s="4" t="str">
        <f>IFERROR(__xludf.DUMMYFUNCTION("""COMPUTED_VALUE"""),"")</f>
        <v/>
      </c>
      <c r="I3235" s="4" t="str">
        <f>IFERROR(__xludf.DUMMYFUNCTION("""COMPUTED_VALUE"""),"")</f>
        <v/>
      </c>
      <c r="J3235" s="4" t="str">
        <f>IFERROR(__xludf.DUMMYFUNCTION("""COMPUTED_VALUE"""),"")</f>
        <v/>
      </c>
      <c r="K3235" s="4" t="str">
        <f>IFERROR(__xludf.DUMMYFUNCTION("""COMPUTED_VALUE"""),"")</f>
        <v/>
      </c>
      <c r="L3235" s="4" t="str">
        <f>IFERROR(__xludf.DUMMYFUNCTION("""COMPUTED_VALUE"""),"")</f>
        <v/>
      </c>
      <c r="M3235" s="1" t="str">
        <f>IFERROR(__xludf.DUMMYFUNCTION("""COMPUTED_VALUE"""),"RFID")</f>
        <v>RFID</v>
      </c>
      <c r="N3235" s="5" t="str">
        <f>IFERROR(__xludf.DUMMYFUNCTION("""COMPUTED_VALUE"""),"")</f>
        <v/>
      </c>
      <c r="O3235" s="5" t="str">
        <f>IFERROR(__xludf.DUMMYFUNCTION("""COMPUTED_VALUE"""),"")</f>
        <v/>
      </c>
      <c r="P3235" s="5" t="str">
        <f>IFERROR(__xludf.DUMMYFUNCTION("""COMPUTED_VALUE"""),"")</f>
        <v/>
      </c>
      <c r="Q3235" s="5" t="str">
        <f>IFERROR(__xludf.DUMMYFUNCTION("""COMPUTED_VALUE"""),"")</f>
        <v/>
      </c>
      <c r="R3235" s="4" t="str">
        <f>IFERROR(__xludf.DUMMYFUNCTION("""COMPUTED_VALUE"""),"")</f>
        <v/>
      </c>
      <c r="S3235" s="1" t="b">
        <f>IFERROR(__xludf.DUMMYFUNCTION("""COMPUTED_VALUE"""),FALSE)</f>
        <v>0</v>
      </c>
      <c r="T3235" s="1" t="b">
        <f>IFERROR(__xludf.DUMMYFUNCTION("""COMPUTED_VALUE"""),FALSE)</f>
        <v>0</v>
      </c>
      <c r="U3235" s="1" t="str">
        <f>IFERROR(__xludf.DUMMYFUNCTION("""COMPUTED_VALUE"""),"")</f>
        <v/>
      </c>
      <c r="V3235" s="1" t="str">
        <f>IFERROR(__xludf.DUMMYFUNCTION("""COMPUTED_VALUE"""),"")</f>
        <v/>
      </c>
      <c r="W3235" s="1" t="str">
        <f>IFERROR(__xludf.DUMMYFUNCTION("""COMPUTED_VALUE"""),"")</f>
        <v/>
      </c>
      <c r="X3235" s="1" t="str">
        <f>IFERROR(__xludf.DUMMYFUNCTION("""COMPUTED_VALUE"""),"")</f>
        <v/>
      </c>
      <c r="Y3235" s="2"/>
      <c r="Z3235" s="2" t="str">
        <f>IFERROR(__xludf.DUMMYFUNCTION("""COMPUTED_VALUE"""),"")</f>
        <v/>
      </c>
    </row>
    <row r="3236">
      <c r="A3236" s="1" t="str">
        <f>IFERROR(__xludf.DUMMYFUNCTION("""COMPUTED_VALUE"""),"")</f>
        <v/>
      </c>
      <c r="B3236" s="1"/>
      <c r="C3236" s="2"/>
      <c r="D3236" s="2"/>
      <c r="E3236" s="1"/>
      <c r="F3236" s="1"/>
      <c r="G3236" s="4" t="str">
        <f>IFERROR(__xludf.DUMMYFUNCTION("""COMPUTED_VALUE"""),"")</f>
        <v/>
      </c>
      <c r="H3236" s="4" t="str">
        <f>IFERROR(__xludf.DUMMYFUNCTION("""COMPUTED_VALUE"""),"")</f>
        <v/>
      </c>
      <c r="I3236" s="4" t="str">
        <f>IFERROR(__xludf.DUMMYFUNCTION("""COMPUTED_VALUE"""),"")</f>
        <v/>
      </c>
      <c r="J3236" s="4" t="str">
        <f>IFERROR(__xludf.DUMMYFUNCTION("""COMPUTED_VALUE"""),"")</f>
        <v/>
      </c>
      <c r="K3236" s="4" t="str">
        <f>IFERROR(__xludf.DUMMYFUNCTION("""COMPUTED_VALUE"""),"")</f>
        <v/>
      </c>
      <c r="L3236" s="4" t="str">
        <f>IFERROR(__xludf.DUMMYFUNCTION("""COMPUTED_VALUE"""),"")</f>
        <v/>
      </c>
      <c r="M3236" s="1" t="str">
        <f>IFERROR(__xludf.DUMMYFUNCTION("""COMPUTED_VALUE"""),"RFID")</f>
        <v>RFID</v>
      </c>
      <c r="N3236" s="5" t="str">
        <f>IFERROR(__xludf.DUMMYFUNCTION("""COMPUTED_VALUE"""),"")</f>
        <v/>
      </c>
      <c r="O3236" s="5" t="str">
        <f>IFERROR(__xludf.DUMMYFUNCTION("""COMPUTED_VALUE"""),"")</f>
        <v/>
      </c>
      <c r="P3236" s="5" t="str">
        <f>IFERROR(__xludf.DUMMYFUNCTION("""COMPUTED_VALUE"""),"")</f>
        <v/>
      </c>
      <c r="Q3236" s="5" t="str">
        <f>IFERROR(__xludf.DUMMYFUNCTION("""COMPUTED_VALUE"""),"")</f>
        <v/>
      </c>
      <c r="R3236" s="4" t="str">
        <f>IFERROR(__xludf.DUMMYFUNCTION("""COMPUTED_VALUE"""),"")</f>
        <v/>
      </c>
      <c r="S3236" s="1" t="b">
        <f>IFERROR(__xludf.DUMMYFUNCTION("""COMPUTED_VALUE"""),FALSE)</f>
        <v>0</v>
      </c>
      <c r="T3236" s="1" t="b">
        <f>IFERROR(__xludf.DUMMYFUNCTION("""COMPUTED_VALUE"""),FALSE)</f>
        <v>0</v>
      </c>
      <c r="U3236" s="1" t="str">
        <f>IFERROR(__xludf.DUMMYFUNCTION("""COMPUTED_VALUE"""),"")</f>
        <v/>
      </c>
      <c r="V3236" s="1" t="str">
        <f>IFERROR(__xludf.DUMMYFUNCTION("""COMPUTED_VALUE"""),"")</f>
        <v/>
      </c>
      <c r="W3236" s="1" t="str">
        <f>IFERROR(__xludf.DUMMYFUNCTION("""COMPUTED_VALUE"""),"")</f>
        <v/>
      </c>
      <c r="X3236" s="1" t="str">
        <f>IFERROR(__xludf.DUMMYFUNCTION("""COMPUTED_VALUE"""),"")</f>
        <v/>
      </c>
      <c r="Y3236" s="2"/>
      <c r="Z3236" s="2" t="str">
        <f>IFERROR(__xludf.DUMMYFUNCTION("""COMPUTED_VALUE"""),"")</f>
        <v/>
      </c>
    </row>
    <row r="3237">
      <c r="A3237" s="1" t="str">
        <f>IFERROR(__xludf.DUMMYFUNCTION("""COMPUTED_VALUE"""),"")</f>
        <v/>
      </c>
      <c r="B3237" s="1"/>
      <c r="C3237" s="2"/>
      <c r="D3237" s="2"/>
      <c r="E3237" s="1"/>
      <c r="F3237" s="1"/>
      <c r="G3237" s="4" t="str">
        <f>IFERROR(__xludf.DUMMYFUNCTION("""COMPUTED_VALUE"""),"")</f>
        <v/>
      </c>
      <c r="H3237" s="4" t="str">
        <f>IFERROR(__xludf.DUMMYFUNCTION("""COMPUTED_VALUE"""),"")</f>
        <v/>
      </c>
      <c r="I3237" s="4" t="str">
        <f>IFERROR(__xludf.DUMMYFUNCTION("""COMPUTED_VALUE"""),"")</f>
        <v/>
      </c>
      <c r="J3237" s="4" t="str">
        <f>IFERROR(__xludf.DUMMYFUNCTION("""COMPUTED_VALUE"""),"")</f>
        <v/>
      </c>
      <c r="K3237" s="4" t="str">
        <f>IFERROR(__xludf.DUMMYFUNCTION("""COMPUTED_VALUE"""),"")</f>
        <v/>
      </c>
      <c r="L3237" s="4" t="str">
        <f>IFERROR(__xludf.DUMMYFUNCTION("""COMPUTED_VALUE"""),"")</f>
        <v/>
      </c>
      <c r="M3237" s="1" t="str">
        <f>IFERROR(__xludf.DUMMYFUNCTION("""COMPUTED_VALUE"""),"RFID")</f>
        <v>RFID</v>
      </c>
      <c r="N3237" s="5" t="str">
        <f>IFERROR(__xludf.DUMMYFUNCTION("""COMPUTED_VALUE"""),"")</f>
        <v/>
      </c>
      <c r="O3237" s="5" t="str">
        <f>IFERROR(__xludf.DUMMYFUNCTION("""COMPUTED_VALUE"""),"")</f>
        <v/>
      </c>
      <c r="P3237" s="5" t="str">
        <f>IFERROR(__xludf.DUMMYFUNCTION("""COMPUTED_VALUE"""),"")</f>
        <v/>
      </c>
      <c r="Q3237" s="5" t="str">
        <f>IFERROR(__xludf.DUMMYFUNCTION("""COMPUTED_VALUE"""),"")</f>
        <v/>
      </c>
      <c r="R3237" s="4" t="str">
        <f>IFERROR(__xludf.DUMMYFUNCTION("""COMPUTED_VALUE"""),"")</f>
        <v/>
      </c>
      <c r="S3237" s="1" t="b">
        <f>IFERROR(__xludf.DUMMYFUNCTION("""COMPUTED_VALUE"""),FALSE)</f>
        <v>0</v>
      </c>
      <c r="T3237" s="1" t="b">
        <f>IFERROR(__xludf.DUMMYFUNCTION("""COMPUTED_VALUE"""),FALSE)</f>
        <v>0</v>
      </c>
      <c r="U3237" s="1" t="str">
        <f>IFERROR(__xludf.DUMMYFUNCTION("""COMPUTED_VALUE"""),"")</f>
        <v/>
      </c>
      <c r="V3237" s="1" t="str">
        <f>IFERROR(__xludf.DUMMYFUNCTION("""COMPUTED_VALUE"""),"")</f>
        <v/>
      </c>
      <c r="W3237" s="1" t="str">
        <f>IFERROR(__xludf.DUMMYFUNCTION("""COMPUTED_VALUE"""),"")</f>
        <v/>
      </c>
      <c r="X3237" s="1" t="str">
        <f>IFERROR(__xludf.DUMMYFUNCTION("""COMPUTED_VALUE"""),"")</f>
        <v/>
      </c>
      <c r="Y3237" s="2"/>
      <c r="Z3237" s="2" t="str">
        <f>IFERROR(__xludf.DUMMYFUNCTION("""COMPUTED_VALUE"""),"")</f>
        <v/>
      </c>
    </row>
    <row r="3238">
      <c r="A3238" s="1" t="str">
        <f>IFERROR(__xludf.DUMMYFUNCTION("""COMPUTED_VALUE"""),"")</f>
        <v/>
      </c>
      <c r="B3238" s="1"/>
      <c r="C3238" s="2"/>
      <c r="D3238" s="2"/>
      <c r="E3238" s="1"/>
      <c r="F3238" s="1"/>
      <c r="G3238" s="4" t="str">
        <f>IFERROR(__xludf.DUMMYFUNCTION("""COMPUTED_VALUE"""),"")</f>
        <v/>
      </c>
      <c r="H3238" s="4" t="str">
        <f>IFERROR(__xludf.DUMMYFUNCTION("""COMPUTED_VALUE"""),"")</f>
        <v/>
      </c>
      <c r="I3238" s="4" t="str">
        <f>IFERROR(__xludf.DUMMYFUNCTION("""COMPUTED_VALUE"""),"")</f>
        <v/>
      </c>
      <c r="J3238" s="4" t="str">
        <f>IFERROR(__xludf.DUMMYFUNCTION("""COMPUTED_VALUE"""),"")</f>
        <v/>
      </c>
      <c r="K3238" s="4" t="str">
        <f>IFERROR(__xludf.DUMMYFUNCTION("""COMPUTED_VALUE"""),"")</f>
        <v/>
      </c>
      <c r="L3238" s="4" t="str">
        <f>IFERROR(__xludf.DUMMYFUNCTION("""COMPUTED_VALUE"""),"")</f>
        <v/>
      </c>
      <c r="M3238" s="1" t="str">
        <f>IFERROR(__xludf.DUMMYFUNCTION("""COMPUTED_VALUE"""),"RFID")</f>
        <v>RFID</v>
      </c>
      <c r="N3238" s="5" t="str">
        <f>IFERROR(__xludf.DUMMYFUNCTION("""COMPUTED_VALUE"""),"")</f>
        <v/>
      </c>
      <c r="O3238" s="5" t="str">
        <f>IFERROR(__xludf.DUMMYFUNCTION("""COMPUTED_VALUE"""),"")</f>
        <v/>
      </c>
      <c r="P3238" s="5" t="str">
        <f>IFERROR(__xludf.DUMMYFUNCTION("""COMPUTED_VALUE"""),"")</f>
        <v/>
      </c>
      <c r="Q3238" s="5" t="str">
        <f>IFERROR(__xludf.DUMMYFUNCTION("""COMPUTED_VALUE"""),"")</f>
        <v/>
      </c>
      <c r="R3238" s="4" t="str">
        <f>IFERROR(__xludf.DUMMYFUNCTION("""COMPUTED_VALUE"""),"")</f>
        <v/>
      </c>
      <c r="S3238" s="1" t="b">
        <f>IFERROR(__xludf.DUMMYFUNCTION("""COMPUTED_VALUE"""),FALSE)</f>
        <v>0</v>
      </c>
      <c r="T3238" s="1" t="b">
        <f>IFERROR(__xludf.DUMMYFUNCTION("""COMPUTED_VALUE"""),FALSE)</f>
        <v>0</v>
      </c>
      <c r="U3238" s="1" t="str">
        <f>IFERROR(__xludf.DUMMYFUNCTION("""COMPUTED_VALUE"""),"")</f>
        <v/>
      </c>
      <c r="V3238" s="1" t="str">
        <f>IFERROR(__xludf.DUMMYFUNCTION("""COMPUTED_VALUE"""),"")</f>
        <v/>
      </c>
      <c r="W3238" s="1" t="str">
        <f>IFERROR(__xludf.DUMMYFUNCTION("""COMPUTED_VALUE"""),"")</f>
        <v/>
      </c>
      <c r="X3238" s="1" t="str">
        <f>IFERROR(__xludf.DUMMYFUNCTION("""COMPUTED_VALUE"""),"")</f>
        <v/>
      </c>
      <c r="Y3238" s="2"/>
      <c r="Z3238" s="2" t="str">
        <f>IFERROR(__xludf.DUMMYFUNCTION("""COMPUTED_VALUE"""),"")</f>
        <v/>
      </c>
    </row>
    <row r="3239">
      <c r="A3239" s="1" t="str">
        <f>IFERROR(__xludf.DUMMYFUNCTION("""COMPUTED_VALUE"""),"")</f>
        <v/>
      </c>
      <c r="B3239" s="1"/>
      <c r="C3239" s="2"/>
      <c r="D3239" s="2"/>
      <c r="E3239" s="1"/>
      <c r="F3239" s="1"/>
      <c r="G3239" s="4" t="str">
        <f>IFERROR(__xludf.DUMMYFUNCTION("""COMPUTED_VALUE"""),"")</f>
        <v/>
      </c>
      <c r="H3239" s="4" t="str">
        <f>IFERROR(__xludf.DUMMYFUNCTION("""COMPUTED_VALUE"""),"")</f>
        <v/>
      </c>
      <c r="I3239" s="4" t="str">
        <f>IFERROR(__xludf.DUMMYFUNCTION("""COMPUTED_VALUE"""),"")</f>
        <v/>
      </c>
      <c r="J3239" s="4" t="str">
        <f>IFERROR(__xludf.DUMMYFUNCTION("""COMPUTED_VALUE"""),"")</f>
        <v/>
      </c>
      <c r="K3239" s="4" t="str">
        <f>IFERROR(__xludf.DUMMYFUNCTION("""COMPUTED_VALUE"""),"")</f>
        <v/>
      </c>
      <c r="L3239" s="4" t="str">
        <f>IFERROR(__xludf.DUMMYFUNCTION("""COMPUTED_VALUE"""),"")</f>
        <v/>
      </c>
      <c r="M3239" s="1" t="str">
        <f>IFERROR(__xludf.DUMMYFUNCTION("""COMPUTED_VALUE"""),"RFID")</f>
        <v>RFID</v>
      </c>
      <c r="N3239" s="5" t="str">
        <f>IFERROR(__xludf.DUMMYFUNCTION("""COMPUTED_VALUE"""),"")</f>
        <v/>
      </c>
      <c r="O3239" s="5" t="str">
        <f>IFERROR(__xludf.DUMMYFUNCTION("""COMPUTED_VALUE"""),"")</f>
        <v/>
      </c>
      <c r="P3239" s="5" t="str">
        <f>IFERROR(__xludf.DUMMYFUNCTION("""COMPUTED_VALUE"""),"")</f>
        <v/>
      </c>
      <c r="Q3239" s="5" t="str">
        <f>IFERROR(__xludf.DUMMYFUNCTION("""COMPUTED_VALUE"""),"")</f>
        <v/>
      </c>
      <c r="R3239" s="4" t="str">
        <f>IFERROR(__xludf.DUMMYFUNCTION("""COMPUTED_VALUE"""),"")</f>
        <v/>
      </c>
      <c r="S3239" s="1" t="b">
        <f>IFERROR(__xludf.DUMMYFUNCTION("""COMPUTED_VALUE"""),FALSE)</f>
        <v>0</v>
      </c>
      <c r="T3239" s="1" t="b">
        <f>IFERROR(__xludf.DUMMYFUNCTION("""COMPUTED_VALUE"""),FALSE)</f>
        <v>0</v>
      </c>
      <c r="U3239" s="1" t="str">
        <f>IFERROR(__xludf.DUMMYFUNCTION("""COMPUTED_VALUE"""),"")</f>
        <v/>
      </c>
      <c r="V3239" s="1" t="str">
        <f>IFERROR(__xludf.DUMMYFUNCTION("""COMPUTED_VALUE"""),"")</f>
        <v/>
      </c>
      <c r="W3239" s="1" t="str">
        <f>IFERROR(__xludf.DUMMYFUNCTION("""COMPUTED_VALUE"""),"")</f>
        <v/>
      </c>
      <c r="X3239" s="1" t="str">
        <f>IFERROR(__xludf.DUMMYFUNCTION("""COMPUTED_VALUE"""),"")</f>
        <v/>
      </c>
      <c r="Y3239" s="2"/>
      <c r="Z3239" s="2" t="str">
        <f>IFERROR(__xludf.DUMMYFUNCTION("""COMPUTED_VALUE"""),"")</f>
        <v/>
      </c>
    </row>
    <row r="3240">
      <c r="A3240" s="1" t="str">
        <f>IFERROR(__xludf.DUMMYFUNCTION("""COMPUTED_VALUE"""),"")</f>
        <v/>
      </c>
      <c r="B3240" s="1"/>
      <c r="C3240" s="2"/>
      <c r="D3240" s="2"/>
      <c r="E3240" s="1"/>
      <c r="F3240" s="1"/>
      <c r="G3240" s="4" t="str">
        <f>IFERROR(__xludf.DUMMYFUNCTION("""COMPUTED_VALUE"""),"")</f>
        <v/>
      </c>
      <c r="H3240" s="4" t="str">
        <f>IFERROR(__xludf.DUMMYFUNCTION("""COMPUTED_VALUE"""),"")</f>
        <v/>
      </c>
      <c r="I3240" s="4" t="str">
        <f>IFERROR(__xludf.DUMMYFUNCTION("""COMPUTED_VALUE"""),"")</f>
        <v/>
      </c>
      <c r="J3240" s="4" t="str">
        <f>IFERROR(__xludf.DUMMYFUNCTION("""COMPUTED_VALUE"""),"")</f>
        <v/>
      </c>
      <c r="K3240" s="4" t="str">
        <f>IFERROR(__xludf.DUMMYFUNCTION("""COMPUTED_VALUE"""),"")</f>
        <v/>
      </c>
      <c r="L3240" s="4" t="str">
        <f>IFERROR(__xludf.DUMMYFUNCTION("""COMPUTED_VALUE"""),"")</f>
        <v/>
      </c>
      <c r="M3240" s="1" t="str">
        <f>IFERROR(__xludf.DUMMYFUNCTION("""COMPUTED_VALUE"""),"RFID")</f>
        <v>RFID</v>
      </c>
      <c r="N3240" s="5" t="str">
        <f>IFERROR(__xludf.DUMMYFUNCTION("""COMPUTED_VALUE"""),"")</f>
        <v/>
      </c>
      <c r="O3240" s="5" t="str">
        <f>IFERROR(__xludf.DUMMYFUNCTION("""COMPUTED_VALUE"""),"")</f>
        <v/>
      </c>
      <c r="P3240" s="5" t="str">
        <f>IFERROR(__xludf.DUMMYFUNCTION("""COMPUTED_VALUE"""),"")</f>
        <v/>
      </c>
      <c r="Q3240" s="5" t="str">
        <f>IFERROR(__xludf.DUMMYFUNCTION("""COMPUTED_VALUE"""),"")</f>
        <v/>
      </c>
      <c r="R3240" s="4" t="str">
        <f>IFERROR(__xludf.DUMMYFUNCTION("""COMPUTED_VALUE"""),"")</f>
        <v/>
      </c>
      <c r="S3240" s="1" t="b">
        <f>IFERROR(__xludf.DUMMYFUNCTION("""COMPUTED_VALUE"""),FALSE)</f>
        <v>0</v>
      </c>
      <c r="T3240" s="1" t="b">
        <f>IFERROR(__xludf.DUMMYFUNCTION("""COMPUTED_VALUE"""),FALSE)</f>
        <v>0</v>
      </c>
      <c r="U3240" s="1" t="str">
        <f>IFERROR(__xludf.DUMMYFUNCTION("""COMPUTED_VALUE"""),"")</f>
        <v/>
      </c>
      <c r="V3240" s="1" t="str">
        <f>IFERROR(__xludf.DUMMYFUNCTION("""COMPUTED_VALUE"""),"")</f>
        <v/>
      </c>
      <c r="W3240" s="1" t="str">
        <f>IFERROR(__xludf.DUMMYFUNCTION("""COMPUTED_VALUE"""),"")</f>
        <v/>
      </c>
      <c r="X3240" s="1" t="str">
        <f>IFERROR(__xludf.DUMMYFUNCTION("""COMPUTED_VALUE"""),"")</f>
        <v/>
      </c>
      <c r="Y3240" s="2"/>
      <c r="Z3240" s="2" t="str">
        <f>IFERROR(__xludf.DUMMYFUNCTION("""COMPUTED_VALUE"""),"")</f>
        <v/>
      </c>
    </row>
    <row r="3241">
      <c r="A3241" s="1" t="str">
        <f>IFERROR(__xludf.DUMMYFUNCTION("""COMPUTED_VALUE"""),"")</f>
        <v/>
      </c>
      <c r="B3241" s="1"/>
      <c r="C3241" s="2"/>
      <c r="D3241" s="2"/>
      <c r="E3241" s="1"/>
      <c r="F3241" s="1"/>
      <c r="G3241" s="4" t="str">
        <f>IFERROR(__xludf.DUMMYFUNCTION("""COMPUTED_VALUE"""),"")</f>
        <v/>
      </c>
      <c r="H3241" s="4" t="str">
        <f>IFERROR(__xludf.DUMMYFUNCTION("""COMPUTED_VALUE"""),"")</f>
        <v/>
      </c>
      <c r="I3241" s="4" t="str">
        <f>IFERROR(__xludf.DUMMYFUNCTION("""COMPUTED_VALUE"""),"")</f>
        <v/>
      </c>
      <c r="J3241" s="4" t="str">
        <f>IFERROR(__xludf.DUMMYFUNCTION("""COMPUTED_VALUE"""),"")</f>
        <v/>
      </c>
      <c r="K3241" s="4" t="str">
        <f>IFERROR(__xludf.DUMMYFUNCTION("""COMPUTED_VALUE"""),"")</f>
        <v/>
      </c>
      <c r="L3241" s="4" t="str">
        <f>IFERROR(__xludf.DUMMYFUNCTION("""COMPUTED_VALUE"""),"")</f>
        <v/>
      </c>
      <c r="M3241" s="1" t="str">
        <f>IFERROR(__xludf.DUMMYFUNCTION("""COMPUTED_VALUE"""),"RFID")</f>
        <v>RFID</v>
      </c>
      <c r="N3241" s="5" t="str">
        <f>IFERROR(__xludf.DUMMYFUNCTION("""COMPUTED_VALUE"""),"")</f>
        <v/>
      </c>
      <c r="O3241" s="5" t="str">
        <f>IFERROR(__xludf.DUMMYFUNCTION("""COMPUTED_VALUE"""),"")</f>
        <v/>
      </c>
      <c r="P3241" s="5" t="str">
        <f>IFERROR(__xludf.DUMMYFUNCTION("""COMPUTED_VALUE"""),"")</f>
        <v/>
      </c>
      <c r="Q3241" s="5" t="str">
        <f>IFERROR(__xludf.DUMMYFUNCTION("""COMPUTED_VALUE"""),"")</f>
        <v/>
      </c>
      <c r="R3241" s="4" t="str">
        <f>IFERROR(__xludf.DUMMYFUNCTION("""COMPUTED_VALUE"""),"")</f>
        <v/>
      </c>
      <c r="S3241" s="1" t="b">
        <f>IFERROR(__xludf.DUMMYFUNCTION("""COMPUTED_VALUE"""),FALSE)</f>
        <v>0</v>
      </c>
      <c r="T3241" s="1" t="b">
        <f>IFERROR(__xludf.DUMMYFUNCTION("""COMPUTED_VALUE"""),FALSE)</f>
        <v>0</v>
      </c>
      <c r="U3241" s="1" t="str">
        <f>IFERROR(__xludf.DUMMYFUNCTION("""COMPUTED_VALUE"""),"")</f>
        <v/>
      </c>
      <c r="V3241" s="1" t="str">
        <f>IFERROR(__xludf.DUMMYFUNCTION("""COMPUTED_VALUE"""),"")</f>
        <v/>
      </c>
      <c r="W3241" s="1" t="str">
        <f>IFERROR(__xludf.DUMMYFUNCTION("""COMPUTED_VALUE"""),"")</f>
        <v/>
      </c>
      <c r="X3241" s="1" t="str">
        <f>IFERROR(__xludf.DUMMYFUNCTION("""COMPUTED_VALUE"""),"")</f>
        <v/>
      </c>
      <c r="Y3241" s="2"/>
      <c r="Z3241" s="2" t="str">
        <f>IFERROR(__xludf.DUMMYFUNCTION("""COMPUTED_VALUE"""),"")</f>
        <v/>
      </c>
    </row>
    <row r="3242">
      <c r="A3242" s="1" t="str">
        <f>IFERROR(__xludf.DUMMYFUNCTION("""COMPUTED_VALUE"""),"")</f>
        <v/>
      </c>
      <c r="B3242" s="1"/>
      <c r="C3242" s="2"/>
      <c r="D3242" s="2"/>
      <c r="E3242" s="1"/>
      <c r="F3242" s="1"/>
      <c r="G3242" s="4" t="str">
        <f>IFERROR(__xludf.DUMMYFUNCTION("""COMPUTED_VALUE"""),"")</f>
        <v/>
      </c>
      <c r="H3242" s="4" t="str">
        <f>IFERROR(__xludf.DUMMYFUNCTION("""COMPUTED_VALUE"""),"")</f>
        <v/>
      </c>
      <c r="I3242" s="4" t="str">
        <f>IFERROR(__xludf.DUMMYFUNCTION("""COMPUTED_VALUE"""),"")</f>
        <v/>
      </c>
      <c r="J3242" s="4" t="str">
        <f>IFERROR(__xludf.DUMMYFUNCTION("""COMPUTED_VALUE"""),"")</f>
        <v/>
      </c>
      <c r="K3242" s="4" t="str">
        <f>IFERROR(__xludf.DUMMYFUNCTION("""COMPUTED_VALUE"""),"")</f>
        <v/>
      </c>
      <c r="L3242" s="4" t="str">
        <f>IFERROR(__xludf.DUMMYFUNCTION("""COMPUTED_VALUE"""),"")</f>
        <v/>
      </c>
      <c r="M3242" s="1" t="str">
        <f>IFERROR(__xludf.DUMMYFUNCTION("""COMPUTED_VALUE"""),"RFID")</f>
        <v>RFID</v>
      </c>
      <c r="N3242" s="5" t="str">
        <f>IFERROR(__xludf.DUMMYFUNCTION("""COMPUTED_VALUE"""),"")</f>
        <v/>
      </c>
      <c r="O3242" s="5" t="str">
        <f>IFERROR(__xludf.DUMMYFUNCTION("""COMPUTED_VALUE"""),"")</f>
        <v/>
      </c>
      <c r="P3242" s="5" t="str">
        <f>IFERROR(__xludf.DUMMYFUNCTION("""COMPUTED_VALUE"""),"")</f>
        <v/>
      </c>
      <c r="Q3242" s="5" t="str">
        <f>IFERROR(__xludf.DUMMYFUNCTION("""COMPUTED_VALUE"""),"")</f>
        <v/>
      </c>
      <c r="R3242" s="4" t="str">
        <f>IFERROR(__xludf.DUMMYFUNCTION("""COMPUTED_VALUE"""),"")</f>
        <v/>
      </c>
      <c r="S3242" s="1" t="b">
        <f>IFERROR(__xludf.DUMMYFUNCTION("""COMPUTED_VALUE"""),FALSE)</f>
        <v>0</v>
      </c>
      <c r="T3242" s="1" t="b">
        <f>IFERROR(__xludf.DUMMYFUNCTION("""COMPUTED_VALUE"""),FALSE)</f>
        <v>0</v>
      </c>
      <c r="U3242" s="1" t="str">
        <f>IFERROR(__xludf.DUMMYFUNCTION("""COMPUTED_VALUE"""),"")</f>
        <v/>
      </c>
      <c r="V3242" s="1" t="str">
        <f>IFERROR(__xludf.DUMMYFUNCTION("""COMPUTED_VALUE"""),"")</f>
        <v/>
      </c>
      <c r="W3242" s="1" t="str">
        <f>IFERROR(__xludf.DUMMYFUNCTION("""COMPUTED_VALUE"""),"")</f>
        <v/>
      </c>
      <c r="X3242" s="1" t="str">
        <f>IFERROR(__xludf.DUMMYFUNCTION("""COMPUTED_VALUE"""),"")</f>
        <v/>
      </c>
      <c r="Y3242" s="2"/>
      <c r="Z3242" s="2" t="str">
        <f>IFERROR(__xludf.DUMMYFUNCTION("""COMPUTED_VALUE"""),"")</f>
        <v/>
      </c>
    </row>
    <row r="3243">
      <c r="A3243" s="1" t="str">
        <f>IFERROR(__xludf.DUMMYFUNCTION("""COMPUTED_VALUE"""),"")</f>
        <v/>
      </c>
      <c r="B3243" s="1"/>
      <c r="C3243" s="2"/>
      <c r="D3243" s="2"/>
      <c r="E3243" s="1"/>
      <c r="F3243" s="1"/>
      <c r="G3243" s="4" t="str">
        <f>IFERROR(__xludf.DUMMYFUNCTION("""COMPUTED_VALUE"""),"")</f>
        <v/>
      </c>
      <c r="H3243" s="4" t="str">
        <f>IFERROR(__xludf.DUMMYFUNCTION("""COMPUTED_VALUE"""),"")</f>
        <v/>
      </c>
      <c r="I3243" s="4" t="str">
        <f>IFERROR(__xludf.DUMMYFUNCTION("""COMPUTED_VALUE"""),"")</f>
        <v/>
      </c>
      <c r="J3243" s="4" t="str">
        <f>IFERROR(__xludf.DUMMYFUNCTION("""COMPUTED_VALUE"""),"")</f>
        <v/>
      </c>
      <c r="K3243" s="4" t="str">
        <f>IFERROR(__xludf.DUMMYFUNCTION("""COMPUTED_VALUE"""),"")</f>
        <v/>
      </c>
      <c r="L3243" s="4" t="str">
        <f>IFERROR(__xludf.DUMMYFUNCTION("""COMPUTED_VALUE"""),"")</f>
        <v/>
      </c>
      <c r="M3243" s="1" t="str">
        <f>IFERROR(__xludf.DUMMYFUNCTION("""COMPUTED_VALUE"""),"RFID")</f>
        <v>RFID</v>
      </c>
      <c r="N3243" s="5" t="str">
        <f>IFERROR(__xludf.DUMMYFUNCTION("""COMPUTED_VALUE"""),"")</f>
        <v/>
      </c>
      <c r="O3243" s="5" t="str">
        <f>IFERROR(__xludf.DUMMYFUNCTION("""COMPUTED_VALUE"""),"")</f>
        <v/>
      </c>
      <c r="P3243" s="5" t="str">
        <f>IFERROR(__xludf.DUMMYFUNCTION("""COMPUTED_VALUE"""),"")</f>
        <v/>
      </c>
      <c r="Q3243" s="5" t="str">
        <f>IFERROR(__xludf.DUMMYFUNCTION("""COMPUTED_VALUE"""),"")</f>
        <v/>
      </c>
      <c r="R3243" s="4" t="str">
        <f>IFERROR(__xludf.DUMMYFUNCTION("""COMPUTED_VALUE"""),"")</f>
        <v/>
      </c>
      <c r="S3243" s="1" t="b">
        <f>IFERROR(__xludf.DUMMYFUNCTION("""COMPUTED_VALUE"""),FALSE)</f>
        <v>0</v>
      </c>
      <c r="T3243" s="1" t="b">
        <f>IFERROR(__xludf.DUMMYFUNCTION("""COMPUTED_VALUE"""),FALSE)</f>
        <v>0</v>
      </c>
      <c r="U3243" s="1" t="str">
        <f>IFERROR(__xludf.DUMMYFUNCTION("""COMPUTED_VALUE"""),"")</f>
        <v/>
      </c>
      <c r="V3243" s="1" t="str">
        <f>IFERROR(__xludf.DUMMYFUNCTION("""COMPUTED_VALUE"""),"")</f>
        <v/>
      </c>
      <c r="W3243" s="1" t="str">
        <f>IFERROR(__xludf.DUMMYFUNCTION("""COMPUTED_VALUE"""),"")</f>
        <v/>
      </c>
      <c r="X3243" s="1" t="str">
        <f>IFERROR(__xludf.DUMMYFUNCTION("""COMPUTED_VALUE"""),"")</f>
        <v/>
      </c>
      <c r="Y3243" s="2"/>
      <c r="Z3243" s="2" t="str">
        <f>IFERROR(__xludf.DUMMYFUNCTION("""COMPUTED_VALUE"""),"")</f>
        <v/>
      </c>
    </row>
    <row r="3244">
      <c r="A3244" s="1" t="str">
        <f>IFERROR(__xludf.DUMMYFUNCTION("""COMPUTED_VALUE"""),"")</f>
        <v/>
      </c>
      <c r="B3244" s="1"/>
      <c r="C3244" s="2"/>
      <c r="D3244" s="2"/>
      <c r="E3244" s="1"/>
      <c r="F3244" s="1"/>
      <c r="G3244" s="4" t="str">
        <f>IFERROR(__xludf.DUMMYFUNCTION("""COMPUTED_VALUE"""),"")</f>
        <v/>
      </c>
      <c r="H3244" s="4" t="str">
        <f>IFERROR(__xludf.DUMMYFUNCTION("""COMPUTED_VALUE"""),"")</f>
        <v/>
      </c>
      <c r="I3244" s="4" t="str">
        <f>IFERROR(__xludf.DUMMYFUNCTION("""COMPUTED_VALUE"""),"")</f>
        <v/>
      </c>
      <c r="J3244" s="4" t="str">
        <f>IFERROR(__xludf.DUMMYFUNCTION("""COMPUTED_VALUE"""),"")</f>
        <v/>
      </c>
      <c r="K3244" s="4" t="str">
        <f>IFERROR(__xludf.DUMMYFUNCTION("""COMPUTED_VALUE"""),"")</f>
        <v/>
      </c>
      <c r="L3244" s="4" t="str">
        <f>IFERROR(__xludf.DUMMYFUNCTION("""COMPUTED_VALUE"""),"")</f>
        <v/>
      </c>
      <c r="M3244" s="1" t="str">
        <f>IFERROR(__xludf.DUMMYFUNCTION("""COMPUTED_VALUE"""),"RFID")</f>
        <v>RFID</v>
      </c>
      <c r="N3244" s="5" t="str">
        <f>IFERROR(__xludf.DUMMYFUNCTION("""COMPUTED_VALUE"""),"")</f>
        <v/>
      </c>
      <c r="O3244" s="5" t="str">
        <f>IFERROR(__xludf.DUMMYFUNCTION("""COMPUTED_VALUE"""),"")</f>
        <v/>
      </c>
      <c r="P3244" s="5" t="str">
        <f>IFERROR(__xludf.DUMMYFUNCTION("""COMPUTED_VALUE"""),"")</f>
        <v/>
      </c>
      <c r="Q3244" s="5" t="str">
        <f>IFERROR(__xludf.DUMMYFUNCTION("""COMPUTED_VALUE"""),"")</f>
        <v/>
      </c>
      <c r="R3244" s="4" t="str">
        <f>IFERROR(__xludf.DUMMYFUNCTION("""COMPUTED_VALUE"""),"")</f>
        <v/>
      </c>
      <c r="S3244" s="1" t="b">
        <f>IFERROR(__xludf.DUMMYFUNCTION("""COMPUTED_VALUE"""),FALSE)</f>
        <v>0</v>
      </c>
      <c r="T3244" s="1" t="b">
        <f>IFERROR(__xludf.DUMMYFUNCTION("""COMPUTED_VALUE"""),FALSE)</f>
        <v>0</v>
      </c>
      <c r="U3244" s="1" t="str">
        <f>IFERROR(__xludf.DUMMYFUNCTION("""COMPUTED_VALUE"""),"")</f>
        <v/>
      </c>
      <c r="V3244" s="1" t="str">
        <f>IFERROR(__xludf.DUMMYFUNCTION("""COMPUTED_VALUE"""),"")</f>
        <v/>
      </c>
      <c r="W3244" s="1" t="str">
        <f>IFERROR(__xludf.DUMMYFUNCTION("""COMPUTED_VALUE"""),"")</f>
        <v/>
      </c>
      <c r="X3244" s="1" t="str">
        <f>IFERROR(__xludf.DUMMYFUNCTION("""COMPUTED_VALUE"""),"")</f>
        <v/>
      </c>
      <c r="Y3244" s="2"/>
      <c r="Z3244" s="2" t="str">
        <f>IFERROR(__xludf.DUMMYFUNCTION("""COMPUTED_VALUE"""),"")</f>
        <v/>
      </c>
    </row>
    <row r="3245">
      <c r="A3245" s="1" t="str">
        <f>IFERROR(__xludf.DUMMYFUNCTION("""COMPUTED_VALUE"""),"")</f>
        <v/>
      </c>
      <c r="B3245" s="1"/>
      <c r="C3245" s="2"/>
      <c r="D3245" s="2"/>
      <c r="E3245" s="1"/>
      <c r="F3245" s="1"/>
      <c r="G3245" s="4" t="str">
        <f>IFERROR(__xludf.DUMMYFUNCTION("""COMPUTED_VALUE"""),"")</f>
        <v/>
      </c>
      <c r="H3245" s="4" t="str">
        <f>IFERROR(__xludf.DUMMYFUNCTION("""COMPUTED_VALUE"""),"")</f>
        <v/>
      </c>
      <c r="I3245" s="4" t="str">
        <f>IFERROR(__xludf.DUMMYFUNCTION("""COMPUTED_VALUE"""),"")</f>
        <v/>
      </c>
      <c r="J3245" s="4" t="str">
        <f>IFERROR(__xludf.DUMMYFUNCTION("""COMPUTED_VALUE"""),"")</f>
        <v/>
      </c>
      <c r="K3245" s="4" t="str">
        <f>IFERROR(__xludf.DUMMYFUNCTION("""COMPUTED_VALUE"""),"")</f>
        <v/>
      </c>
      <c r="L3245" s="4" t="str">
        <f>IFERROR(__xludf.DUMMYFUNCTION("""COMPUTED_VALUE"""),"")</f>
        <v/>
      </c>
      <c r="M3245" s="1" t="str">
        <f>IFERROR(__xludf.DUMMYFUNCTION("""COMPUTED_VALUE"""),"RFID")</f>
        <v>RFID</v>
      </c>
      <c r="N3245" s="5" t="str">
        <f>IFERROR(__xludf.DUMMYFUNCTION("""COMPUTED_VALUE"""),"")</f>
        <v/>
      </c>
      <c r="O3245" s="5" t="str">
        <f>IFERROR(__xludf.DUMMYFUNCTION("""COMPUTED_VALUE"""),"")</f>
        <v/>
      </c>
      <c r="P3245" s="5" t="str">
        <f>IFERROR(__xludf.DUMMYFUNCTION("""COMPUTED_VALUE"""),"")</f>
        <v/>
      </c>
      <c r="Q3245" s="5" t="str">
        <f>IFERROR(__xludf.DUMMYFUNCTION("""COMPUTED_VALUE"""),"")</f>
        <v/>
      </c>
      <c r="R3245" s="4" t="str">
        <f>IFERROR(__xludf.DUMMYFUNCTION("""COMPUTED_VALUE"""),"")</f>
        <v/>
      </c>
      <c r="S3245" s="1" t="b">
        <f>IFERROR(__xludf.DUMMYFUNCTION("""COMPUTED_VALUE"""),FALSE)</f>
        <v>0</v>
      </c>
      <c r="T3245" s="1" t="b">
        <f>IFERROR(__xludf.DUMMYFUNCTION("""COMPUTED_VALUE"""),FALSE)</f>
        <v>0</v>
      </c>
      <c r="U3245" s="1" t="str">
        <f>IFERROR(__xludf.DUMMYFUNCTION("""COMPUTED_VALUE"""),"")</f>
        <v/>
      </c>
      <c r="V3245" s="1" t="str">
        <f>IFERROR(__xludf.DUMMYFUNCTION("""COMPUTED_VALUE"""),"")</f>
        <v/>
      </c>
      <c r="W3245" s="1" t="str">
        <f>IFERROR(__xludf.DUMMYFUNCTION("""COMPUTED_VALUE"""),"")</f>
        <v/>
      </c>
      <c r="X3245" s="1" t="str">
        <f>IFERROR(__xludf.DUMMYFUNCTION("""COMPUTED_VALUE"""),"")</f>
        <v/>
      </c>
      <c r="Y3245" s="2"/>
      <c r="Z3245" s="2" t="str">
        <f>IFERROR(__xludf.DUMMYFUNCTION("""COMPUTED_VALUE"""),"")</f>
        <v/>
      </c>
    </row>
    <row r="3246">
      <c r="A3246" s="1" t="str">
        <f>IFERROR(__xludf.DUMMYFUNCTION("""COMPUTED_VALUE"""),"")</f>
        <v/>
      </c>
      <c r="B3246" s="1"/>
      <c r="C3246" s="2"/>
      <c r="D3246" s="2"/>
      <c r="E3246" s="1"/>
      <c r="F3246" s="1"/>
      <c r="G3246" s="4" t="str">
        <f>IFERROR(__xludf.DUMMYFUNCTION("""COMPUTED_VALUE"""),"")</f>
        <v/>
      </c>
      <c r="H3246" s="4" t="str">
        <f>IFERROR(__xludf.DUMMYFUNCTION("""COMPUTED_VALUE"""),"")</f>
        <v/>
      </c>
      <c r="I3246" s="4" t="str">
        <f>IFERROR(__xludf.DUMMYFUNCTION("""COMPUTED_VALUE"""),"")</f>
        <v/>
      </c>
      <c r="J3246" s="4" t="str">
        <f>IFERROR(__xludf.DUMMYFUNCTION("""COMPUTED_VALUE"""),"")</f>
        <v/>
      </c>
      <c r="K3246" s="4" t="str">
        <f>IFERROR(__xludf.DUMMYFUNCTION("""COMPUTED_VALUE"""),"")</f>
        <v/>
      </c>
      <c r="L3246" s="4" t="str">
        <f>IFERROR(__xludf.DUMMYFUNCTION("""COMPUTED_VALUE"""),"")</f>
        <v/>
      </c>
      <c r="M3246" s="1" t="str">
        <f>IFERROR(__xludf.DUMMYFUNCTION("""COMPUTED_VALUE"""),"RFID")</f>
        <v>RFID</v>
      </c>
      <c r="N3246" s="5" t="str">
        <f>IFERROR(__xludf.DUMMYFUNCTION("""COMPUTED_VALUE"""),"")</f>
        <v/>
      </c>
      <c r="O3246" s="5" t="str">
        <f>IFERROR(__xludf.DUMMYFUNCTION("""COMPUTED_VALUE"""),"")</f>
        <v/>
      </c>
      <c r="P3246" s="5" t="str">
        <f>IFERROR(__xludf.DUMMYFUNCTION("""COMPUTED_VALUE"""),"")</f>
        <v/>
      </c>
      <c r="Q3246" s="5" t="str">
        <f>IFERROR(__xludf.DUMMYFUNCTION("""COMPUTED_VALUE"""),"")</f>
        <v/>
      </c>
      <c r="R3246" s="4" t="str">
        <f>IFERROR(__xludf.DUMMYFUNCTION("""COMPUTED_VALUE"""),"")</f>
        <v/>
      </c>
      <c r="S3246" s="1" t="b">
        <f>IFERROR(__xludf.DUMMYFUNCTION("""COMPUTED_VALUE"""),FALSE)</f>
        <v>0</v>
      </c>
      <c r="T3246" s="1" t="b">
        <f>IFERROR(__xludf.DUMMYFUNCTION("""COMPUTED_VALUE"""),FALSE)</f>
        <v>0</v>
      </c>
      <c r="U3246" s="1" t="str">
        <f>IFERROR(__xludf.DUMMYFUNCTION("""COMPUTED_VALUE"""),"")</f>
        <v/>
      </c>
      <c r="V3246" s="1" t="str">
        <f>IFERROR(__xludf.DUMMYFUNCTION("""COMPUTED_VALUE"""),"")</f>
        <v/>
      </c>
      <c r="W3246" s="1" t="str">
        <f>IFERROR(__xludf.DUMMYFUNCTION("""COMPUTED_VALUE"""),"")</f>
        <v/>
      </c>
      <c r="X3246" s="1" t="str">
        <f>IFERROR(__xludf.DUMMYFUNCTION("""COMPUTED_VALUE"""),"")</f>
        <v/>
      </c>
      <c r="Y3246" s="2"/>
      <c r="Z3246" s="2" t="str">
        <f>IFERROR(__xludf.DUMMYFUNCTION("""COMPUTED_VALUE"""),"")</f>
        <v/>
      </c>
    </row>
    <row r="3247">
      <c r="A3247" s="1" t="str">
        <f>IFERROR(__xludf.DUMMYFUNCTION("""COMPUTED_VALUE"""),"")</f>
        <v/>
      </c>
      <c r="B3247" s="1"/>
      <c r="C3247" s="2"/>
      <c r="D3247" s="2"/>
      <c r="E3247" s="1"/>
      <c r="F3247" s="1"/>
      <c r="G3247" s="4" t="str">
        <f>IFERROR(__xludf.DUMMYFUNCTION("""COMPUTED_VALUE"""),"")</f>
        <v/>
      </c>
      <c r="H3247" s="4" t="str">
        <f>IFERROR(__xludf.DUMMYFUNCTION("""COMPUTED_VALUE"""),"")</f>
        <v/>
      </c>
      <c r="I3247" s="4" t="str">
        <f>IFERROR(__xludf.DUMMYFUNCTION("""COMPUTED_VALUE"""),"")</f>
        <v/>
      </c>
      <c r="J3247" s="4" t="str">
        <f>IFERROR(__xludf.DUMMYFUNCTION("""COMPUTED_VALUE"""),"")</f>
        <v/>
      </c>
      <c r="K3247" s="4" t="str">
        <f>IFERROR(__xludf.DUMMYFUNCTION("""COMPUTED_VALUE"""),"")</f>
        <v/>
      </c>
      <c r="L3247" s="4" t="str">
        <f>IFERROR(__xludf.DUMMYFUNCTION("""COMPUTED_VALUE"""),"")</f>
        <v/>
      </c>
      <c r="M3247" s="1" t="str">
        <f>IFERROR(__xludf.DUMMYFUNCTION("""COMPUTED_VALUE"""),"RFID")</f>
        <v>RFID</v>
      </c>
      <c r="N3247" s="5" t="str">
        <f>IFERROR(__xludf.DUMMYFUNCTION("""COMPUTED_VALUE"""),"")</f>
        <v/>
      </c>
      <c r="O3247" s="5" t="str">
        <f>IFERROR(__xludf.DUMMYFUNCTION("""COMPUTED_VALUE"""),"")</f>
        <v/>
      </c>
      <c r="P3247" s="5" t="str">
        <f>IFERROR(__xludf.DUMMYFUNCTION("""COMPUTED_VALUE"""),"")</f>
        <v/>
      </c>
      <c r="Q3247" s="5" t="str">
        <f>IFERROR(__xludf.DUMMYFUNCTION("""COMPUTED_VALUE"""),"")</f>
        <v/>
      </c>
      <c r="R3247" s="4" t="str">
        <f>IFERROR(__xludf.DUMMYFUNCTION("""COMPUTED_VALUE"""),"")</f>
        <v/>
      </c>
      <c r="S3247" s="1" t="b">
        <f>IFERROR(__xludf.DUMMYFUNCTION("""COMPUTED_VALUE"""),FALSE)</f>
        <v>0</v>
      </c>
      <c r="T3247" s="1" t="b">
        <f>IFERROR(__xludf.DUMMYFUNCTION("""COMPUTED_VALUE"""),FALSE)</f>
        <v>0</v>
      </c>
      <c r="U3247" s="1" t="str">
        <f>IFERROR(__xludf.DUMMYFUNCTION("""COMPUTED_VALUE"""),"")</f>
        <v/>
      </c>
      <c r="V3247" s="1" t="str">
        <f>IFERROR(__xludf.DUMMYFUNCTION("""COMPUTED_VALUE"""),"")</f>
        <v/>
      </c>
      <c r="W3247" s="1" t="str">
        <f>IFERROR(__xludf.DUMMYFUNCTION("""COMPUTED_VALUE"""),"")</f>
        <v/>
      </c>
      <c r="X3247" s="1" t="str">
        <f>IFERROR(__xludf.DUMMYFUNCTION("""COMPUTED_VALUE"""),"")</f>
        <v/>
      </c>
      <c r="Y3247" s="2"/>
      <c r="Z3247" s="2" t="str">
        <f>IFERROR(__xludf.DUMMYFUNCTION("""COMPUTED_VALUE"""),"")</f>
        <v/>
      </c>
    </row>
    <row r="3248">
      <c r="A3248" s="1" t="str">
        <f>IFERROR(__xludf.DUMMYFUNCTION("""COMPUTED_VALUE"""),"")</f>
        <v/>
      </c>
      <c r="B3248" s="1"/>
      <c r="C3248" s="2"/>
      <c r="D3248" s="2"/>
      <c r="E3248" s="1"/>
      <c r="F3248" s="1"/>
      <c r="G3248" s="4" t="str">
        <f>IFERROR(__xludf.DUMMYFUNCTION("""COMPUTED_VALUE"""),"")</f>
        <v/>
      </c>
      <c r="H3248" s="4" t="str">
        <f>IFERROR(__xludf.DUMMYFUNCTION("""COMPUTED_VALUE"""),"")</f>
        <v/>
      </c>
      <c r="I3248" s="4" t="str">
        <f>IFERROR(__xludf.DUMMYFUNCTION("""COMPUTED_VALUE"""),"")</f>
        <v/>
      </c>
      <c r="J3248" s="4" t="str">
        <f>IFERROR(__xludf.DUMMYFUNCTION("""COMPUTED_VALUE"""),"")</f>
        <v/>
      </c>
      <c r="K3248" s="4" t="str">
        <f>IFERROR(__xludf.DUMMYFUNCTION("""COMPUTED_VALUE"""),"")</f>
        <v/>
      </c>
      <c r="L3248" s="4" t="str">
        <f>IFERROR(__xludf.DUMMYFUNCTION("""COMPUTED_VALUE"""),"")</f>
        <v/>
      </c>
      <c r="M3248" s="1" t="str">
        <f>IFERROR(__xludf.DUMMYFUNCTION("""COMPUTED_VALUE"""),"RFID")</f>
        <v>RFID</v>
      </c>
      <c r="N3248" s="5" t="str">
        <f>IFERROR(__xludf.DUMMYFUNCTION("""COMPUTED_VALUE"""),"")</f>
        <v/>
      </c>
      <c r="O3248" s="5" t="str">
        <f>IFERROR(__xludf.DUMMYFUNCTION("""COMPUTED_VALUE"""),"")</f>
        <v/>
      </c>
      <c r="P3248" s="5" t="str">
        <f>IFERROR(__xludf.DUMMYFUNCTION("""COMPUTED_VALUE"""),"")</f>
        <v/>
      </c>
      <c r="Q3248" s="5" t="str">
        <f>IFERROR(__xludf.DUMMYFUNCTION("""COMPUTED_VALUE"""),"")</f>
        <v/>
      </c>
      <c r="R3248" s="4" t="str">
        <f>IFERROR(__xludf.DUMMYFUNCTION("""COMPUTED_VALUE"""),"")</f>
        <v/>
      </c>
      <c r="S3248" s="1" t="b">
        <f>IFERROR(__xludf.DUMMYFUNCTION("""COMPUTED_VALUE"""),FALSE)</f>
        <v>0</v>
      </c>
      <c r="T3248" s="1" t="b">
        <f>IFERROR(__xludf.DUMMYFUNCTION("""COMPUTED_VALUE"""),FALSE)</f>
        <v>0</v>
      </c>
      <c r="U3248" s="1" t="str">
        <f>IFERROR(__xludf.DUMMYFUNCTION("""COMPUTED_VALUE"""),"")</f>
        <v/>
      </c>
      <c r="V3248" s="1" t="str">
        <f>IFERROR(__xludf.DUMMYFUNCTION("""COMPUTED_VALUE"""),"")</f>
        <v/>
      </c>
      <c r="W3248" s="1" t="str">
        <f>IFERROR(__xludf.DUMMYFUNCTION("""COMPUTED_VALUE"""),"")</f>
        <v/>
      </c>
      <c r="X3248" s="1" t="str">
        <f>IFERROR(__xludf.DUMMYFUNCTION("""COMPUTED_VALUE"""),"")</f>
        <v/>
      </c>
      <c r="Y3248" s="2"/>
      <c r="Z3248" s="2" t="str">
        <f>IFERROR(__xludf.DUMMYFUNCTION("""COMPUTED_VALUE"""),"")</f>
        <v/>
      </c>
    </row>
    <row r="3249">
      <c r="A3249" s="1" t="str">
        <f>IFERROR(__xludf.DUMMYFUNCTION("""COMPUTED_VALUE"""),"")</f>
        <v/>
      </c>
      <c r="B3249" s="1"/>
      <c r="C3249" s="2"/>
      <c r="D3249" s="2"/>
      <c r="E3249" s="1"/>
      <c r="F3249" s="1"/>
      <c r="G3249" s="4" t="str">
        <f>IFERROR(__xludf.DUMMYFUNCTION("""COMPUTED_VALUE"""),"")</f>
        <v/>
      </c>
      <c r="H3249" s="4" t="str">
        <f>IFERROR(__xludf.DUMMYFUNCTION("""COMPUTED_VALUE"""),"")</f>
        <v/>
      </c>
      <c r="I3249" s="4" t="str">
        <f>IFERROR(__xludf.DUMMYFUNCTION("""COMPUTED_VALUE"""),"")</f>
        <v/>
      </c>
      <c r="J3249" s="4" t="str">
        <f>IFERROR(__xludf.DUMMYFUNCTION("""COMPUTED_VALUE"""),"")</f>
        <v/>
      </c>
      <c r="K3249" s="4" t="str">
        <f>IFERROR(__xludf.DUMMYFUNCTION("""COMPUTED_VALUE"""),"")</f>
        <v/>
      </c>
      <c r="L3249" s="4" t="str">
        <f>IFERROR(__xludf.DUMMYFUNCTION("""COMPUTED_VALUE"""),"")</f>
        <v/>
      </c>
      <c r="M3249" s="1" t="str">
        <f>IFERROR(__xludf.DUMMYFUNCTION("""COMPUTED_VALUE"""),"RFID")</f>
        <v>RFID</v>
      </c>
      <c r="N3249" s="5" t="str">
        <f>IFERROR(__xludf.DUMMYFUNCTION("""COMPUTED_VALUE"""),"")</f>
        <v/>
      </c>
      <c r="O3249" s="5" t="str">
        <f>IFERROR(__xludf.DUMMYFUNCTION("""COMPUTED_VALUE"""),"")</f>
        <v/>
      </c>
      <c r="P3249" s="5" t="str">
        <f>IFERROR(__xludf.DUMMYFUNCTION("""COMPUTED_VALUE"""),"")</f>
        <v/>
      </c>
      <c r="Q3249" s="5" t="str">
        <f>IFERROR(__xludf.DUMMYFUNCTION("""COMPUTED_VALUE"""),"")</f>
        <v/>
      </c>
      <c r="R3249" s="4" t="str">
        <f>IFERROR(__xludf.DUMMYFUNCTION("""COMPUTED_VALUE"""),"")</f>
        <v/>
      </c>
      <c r="S3249" s="1" t="b">
        <f>IFERROR(__xludf.DUMMYFUNCTION("""COMPUTED_VALUE"""),FALSE)</f>
        <v>0</v>
      </c>
      <c r="T3249" s="1" t="b">
        <f>IFERROR(__xludf.DUMMYFUNCTION("""COMPUTED_VALUE"""),FALSE)</f>
        <v>0</v>
      </c>
      <c r="U3249" s="1" t="str">
        <f>IFERROR(__xludf.DUMMYFUNCTION("""COMPUTED_VALUE"""),"")</f>
        <v/>
      </c>
      <c r="V3249" s="1" t="str">
        <f>IFERROR(__xludf.DUMMYFUNCTION("""COMPUTED_VALUE"""),"")</f>
        <v/>
      </c>
      <c r="W3249" s="1" t="str">
        <f>IFERROR(__xludf.DUMMYFUNCTION("""COMPUTED_VALUE"""),"")</f>
        <v/>
      </c>
      <c r="X3249" s="1" t="str">
        <f>IFERROR(__xludf.DUMMYFUNCTION("""COMPUTED_VALUE"""),"")</f>
        <v/>
      </c>
      <c r="Y3249" s="2"/>
      <c r="Z3249" s="2" t="str">
        <f>IFERROR(__xludf.DUMMYFUNCTION("""COMPUTED_VALUE"""),"")</f>
        <v/>
      </c>
    </row>
    <row r="3250">
      <c r="A3250" s="1" t="str">
        <f>IFERROR(__xludf.DUMMYFUNCTION("""COMPUTED_VALUE"""),"")</f>
        <v/>
      </c>
      <c r="B3250" s="1"/>
      <c r="C3250" s="2"/>
      <c r="D3250" s="2"/>
      <c r="E3250" s="1"/>
      <c r="F3250" s="1"/>
      <c r="G3250" s="4" t="str">
        <f>IFERROR(__xludf.DUMMYFUNCTION("""COMPUTED_VALUE"""),"")</f>
        <v/>
      </c>
      <c r="H3250" s="4" t="str">
        <f>IFERROR(__xludf.DUMMYFUNCTION("""COMPUTED_VALUE"""),"")</f>
        <v/>
      </c>
      <c r="I3250" s="4" t="str">
        <f>IFERROR(__xludf.DUMMYFUNCTION("""COMPUTED_VALUE"""),"")</f>
        <v/>
      </c>
      <c r="J3250" s="4" t="str">
        <f>IFERROR(__xludf.DUMMYFUNCTION("""COMPUTED_VALUE"""),"")</f>
        <v/>
      </c>
      <c r="K3250" s="4" t="str">
        <f>IFERROR(__xludf.DUMMYFUNCTION("""COMPUTED_VALUE"""),"")</f>
        <v/>
      </c>
      <c r="L3250" s="4" t="str">
        <f>IFERROR(__xludf.DUMMYFUNCTION("""COMPUTED_VALUE"""),"")</f>
        <v/>
      </c>
      <c r="M3250" s="1" t="str">
        <f>IFERROR(__xludf.DUMMYFUNCTION("""COMPUTED_VALUE"""),"RFID")</f>
        <v>RFID</v>
      </c>
      <c r="N3250" s="5" t="str">
        <f>IFERROR(__xludf.DUMMYFUNCTION("""COMPUTED_VALUE"""),"")</f>
        <v/>
      </c>
      <c r="O3250" s="5" t="str">
        <f>IFERROR(__xludf.DUMMYFUNCTION("""COMPUTED_VALUE"""),"")</f>
        <v/>
      </c>
      <c r="P3250" s="5" t="str">
        <f>IFERROR(__xludf.DUMMYFUNCTION("""COMPUTED_VALUE"""),"")</f>
        <v/>
      </c>
      <c r="Q3250" s="5" t="str">
        <f>IFERROR(__xludf.DUMMYFUNCTION("""COMPUTED_VALUE"""),"")</f>
        <v/>
      </c>
      <c r="R3250" s="4" t="str">
        <f>IFERROR(__xludf.DUMMYFUNCTION("""COMPUTED_VALUE"""),"")</f>
        <v/>
      </c>
      <c r="S3250" s="1" t="b">
        <f>IFERROR(__xludf.DUMMYFUNCTION("""COMPUTED_VALUE"""),FALSE)</f>
        <v>0</v>
      </c>
      <c r="T3250" s="1" t="b">
        <f>IFERROR(__xludf.DUMMYFUNCTION("""COMPUTED_VALUE"""),FALSE)</f>
        <v>0</v>
      </c>
      <c r="U3250" s="1" t="str">
        <f>IFERROR(__xludf.DUMMYFUNCTION("""COMPUTED_VALUE"""),"")</f>
        <v/>
      </c>
      <c r="V3250" s="1" t="str">
        <f>IFERROR(__xludf.DUMMYFUNCTION("""COMPUTED_VALUE"""),"")</f>
        <v/>
      </c>
      <c r="W3250" s="1" t="str">
        <f>IFERROR(__xludf.DUMMYFUNCTION("""COMPUTED_VALUE"""),"")</f>
        <v/>
      </c>
      <c r="X3250" s="1" t="str">
        <f>IFERROR(__xludf.DUMMYFUNCTION("""COMPUTED_VALUE"""),"")</f>
        <v/>
      </c>
      <c r="Y3250" s="2"/>
      <c r="Z3250" s="2" t="str">
        <f>IFERROR(__xludf.DUMMYFUNCTION("""COMPUTED_VALUE"""),"")</f>
        <v/>
      </c>
    </row>
    <row r="3251">
      <c r="A3251" s="1" t="str">
        <f>IFERROR(__xludf.DUMMYFUNCTION("""COMPUTED_VALUE"""),"")</f>
        <v/>
      </c>
      <c r="B3251" s="1"/>
      <c r="C3251" s="2"/>
      <c r="D3251" s="2"/>
      <c r="E3251" s="1"/>
      <c r="F3251" s="1"/>
      <c r="G3251" s="4" t="str">
        <f>IFERROR(__xludf.DUMMYFUNCTION("""COMPUTED_VALUE"""),"")</f>
        <v/>
      </c>
      <c r="H3251" s="4" t="str">
        <f>IFERROR(__xludf.DUMMYFUNCTION("""COMPUTED_VALUE"""),"")</f>
        <v/>
      </c>
      <c r="I3251" s="4" t="str">
        <f>IFERROR(__xludf.DUMMYFUNCTION("""COMPUTED_VALUE"""),"")</f>
        <v/>
      </c>
      <c r="J3251" s="4" t="str">
        <f>IFERROR(__xludf.DUMMYFUNCTION("""COMPUTED_VALUE"""),"")</f>
        <v/>
      </c>
      <c r="K3251" s="4" t="str">
        <f>IFERROR(__xludf.DUMMYFUNCTION("""COMPUTED_VALUE"""),"")</f>
        <v/>
      </c>
      <c r="L3251" s="4" t="str">
        <f>IFERROR(__xludf.DUMMYFUNCTION("""COMPUTED_VALUE"""),"")</f>
        <v/>
      </c>
      <c r="M3251" s="1" t="str">
        <f>IFERROR(__xludf.DUMMYFUNCTION("""COMPUTED_VALUE"""),"RFID")</f>
        <v>RFID</v>
      </c>
      <c r="N3251" s="5" t="str">
        <f>IFERROR(__xludf.DUMMYFUNCTION("""COMPUTED_VALUE"""),"")</f>
        <v/>
      </c>
      <c r="O3251" s="5" t="str">
        <f>IFERROR(__xludf.DUMMYFUNCTION("""COMPUTED_VALUE"""),"")</f>
        <v/>
      </c>
      <c r="P3251" s="5" t="str">
        <f>IFERROR(__xludf.DUMMYFUNCTION("""COMPUTED_VALUE"""),"")</f>
        <v/>
      </c>
      <c r="Q3251" s="5" t="str">
        <f>IFERROR(__xludf.DUMMYFUNCTION("""COMPUTED_VALUE"""),"")</f>
        <v/>
      </c>
      <c r="R3251" s="4" t="str">
        <f>IFERROR(__xludf.DUMMYFUNCTION("""COMPUTED_VALUE"""),"")</f>
        <v/>
      </c>
      <c r="S3251" s="1" t="b">
        <f>IFERROR(__xludf.DUMMYFUNCTION("""COMPUTED_VALUE"""),FALSE)</f>
        <v>0</v>
      </c>
      <c r="T3251" s="1" t="b">
        <f>IFERROR(__xludf.DUMMYFUNCTION("""COMPUTED_VALUE"""),FALSE)</f>
        <v>0</v>
      </c>
      <c r="U3251" s="1" t="str">
        <f>IFERROR(__xludf.DUMMYFUNCTION("""COMPUTED_VALUE"""),"")</f>
        <v/>
      </c>
      <c r="V3251" s="1" t="str">
        <f>IFERROR(__xludf.DUMMYFUNCTION("""COMPUTED_VALUE"""),"")</f>
        <v/>
      </c>
      <c r="W3251" s="1" t="str">
        <f>IFERROR(__xludf.DUMMYFUNCTION("""COMPUTED_VALUE"""),"")</f>
        <v/>
      </c>
      <c r="X3251" s="1" t="str">
        <f>IFERROR(__xludf.DUMMYFUNCTION("""COMPUTED_VALUE"""),"")</f>
        <v/>
      </c>
      <c r="Y3251" s="2"/>
      <c r="Z3251" s="2" t="str">
        <f>IFERROR(__xludf.DUMMYFUNCTION("""COMPUTED_VALUE"""),"")</f>
        <v/>
      </c>
    </row>
    <row r="3252">
      <c r="A3252" s="1" t="str">
        <f>IFERROR(__xludf.DUMMYFUNCTION("""COMPUTED_VALUE"""),"")</f>
        <v/>
      </c>
      <c r="B3252" s="1"/>
      <c r="C3252" s="2"/>
      <c r="D3252" s="2"/>
      <c r="E3252" s="1"/>
      <c r="F3252" s="1"/>
      <c r="G3252" s="4" t="str">
        <f>IFERROR(__xludf.DUMMYFUNCTION("""COMPUTED_VALUE"""),"")</f>
        <v/>
      </c>
      <c r="H3252" s="4" t="str">
        <f>IFERROR(__xludf.DUMMYFUNCTION("""COMPUTED_VALUE"""),"")</f>
        <v/>
      </c>
      <c r="I3252" s="4" t="str">
        <f>IFERROR(__xludf.DUMMYFUNCTION("""COMPUTED_VALUE"""),"")</f>
        <v/>
      </c>
      <c r="J3252" s="4" t="str">
        <f>IFERROR(__xludf.DUMMYFUNCTION("""COMPUTED_VALUE"""),"")</f>
        <v/>
      </c>
      <c r="K3252" s="4" t="str">
        <f>IFERROR(__xludf.DUMMYFUNCTION("""COMPUTED_VALUE"""),"")</f>
        <v/>
      </c>
      <c r="L3252" s="4" t="str">
        <f>IFERROR(__xludf.DUMMYFUNCTION("""COMPUTED_VALUE"""),"")</f>
        <v/>
      </c>
      <c r="M3252" s="1" t="str">
        <f>IFERROR(__xludf.DUMMYFUNCTION("""COMPUTED_VALUE"""),"RFID")</f>
        <v>RFID</v>
      </c>
      <c r="N3252" s="5" t="str">
        <f>IFERROR(__xludf.DUMMYFUNCTION("""COMPUTED_VALUE"""),"")</f>
        <v/>
      </c>
      <c r="O3252" s="5" t="str">
        <f>IFERROR(__xludf.DUMMYFUNCTION("""COMPUTED_VALUE"""),"")</f>
        <v/>
      </c>
      <c r="P3252" s="5" t="str">
        <f>IFERROR(__xludf.DUMMYFUNCTION("""COMPUTED_VALUE"""),"")</f>
        <v/>
      </c>
      <c r="Q3252" s="5" t="str">
        <f>IFERROR(__xludf.DUMMYFUNCTION("""COMPUTED_VALUE"""),"")</f>
        <v/>
      </c>
      <c r="R3252" s="4" t="str">
        <f>IFERROR(__xludf.DUMMYFUNCTION("""COMPUTED_VALUE"""),"")</f>
        <v/>
      </c>
      <c r="S3252" s="1" t="b">
        <f>IFERROR(__xludf.DUMMYFUNCTION("""COMPUTED_VALUE"""),FALSE)</f>
        <v>0</v>
      </c>
      <c r="T3252" s="1" t="b">
        <f>IFERROR(__xludf.DUMMYFUNCTION("""COMPUTED_VALUE"""),FALSE)</f>
        <v>0</v>
      </c>
      <c r="U3252" s="1" t="str">
        <f>IFERROR(__xludf.DUMMYFUNCTION("""COMPUTED_VALUE"""),"")</f>
        <v/>
      </c>
      <c r="V3252" s="1" t="str">
        <f>IFERROR(__xludf.DUMMYFUNCTION("""COMPUTED_VALUE"""),"")</f>
        <v/>
      </c>
      <c r="W3252" s="1" t="str">
        <f>IFERROR(__xludf.DUMMYFUNCTION("""COMPUTED_VALUE"""),"")</f>
        <v/>
      </c>
      <c r="X3252" s="1" t="str">
        <f>IFERROR(__xludf.DUMMYFUNCTION("""COMPUTED_VALUE"""),"")</f>
        <v/>
      </c>
      <c r="Y3252" s="2"/>
      <c r="Z3252" s="2" t="str">
        <f>IFERROR(__xludf.DUMMYFUNCTION("""COMPUTED_VALUE"""),"")</f>
        <v/>
      </c>
    </row>
    <row r="3253">
      <c r="A3253" s="1"/>
      <c r="B3253" s="1"/>
      <c r="E3253" s="1"/>
      <c r="F3253" s="1"/>
      <c r="G3253" s="1"/>
      <c r="H3253" s="1"/>
      <c r="I3253" s="1"/>
      <c r="J3253" s="1"/>
      <c r="K3253" s="1"/>
      <c r="L3253" s="1"/>
      <c r="M3253" s="1"/>
      <c r="N3253" s="1"/>
      <c r="O3253" s="1"/>
      <c r="P3253" s="1"/>
      <c r="Q3253" s="1"/>
      <c r="R3253" s="1"/>
      <c r="S3253" s="1"/>
      <c r="T3253" s="1"/>
      <c r="U3253" s="1"/>
      <c r="V3253" s="1"/>
      <c r="W3253" s="1"/>
      <c r="X3253" s="1"/>
    </row>
    <row r="3254">
      <c r="A3254" s="1"/>
      <c r="B3254" s="1"/>
      <c r="E3254" s="1"/>
      <c r="F3254" s="1"/>
      <c r="G3254" s="1"/>
      <c r="H3254" s="1"/>
      <c r="I3254" s="1"/>
      <c r="J3254" s="1"/>
      <c r="K3254" s="1"/>
      <c r="L3254" s="1"/>
      <c r="M3254" s="1"/>
      <c r="N3254" s="1"/>
      <c r="O3254" s="1"/>
      <c r="P3254" s="1"/>
      <c r="Q3254" s="1"/>
      <c r="R3254" s="1"/>
      <c r="S3254" s="1"/>
      <c r="T3254" s="1"/>
      <c r="U3254" s="1"/>
      <c r="V3254" s="1"/>
      <c r="W3254" s="1"/>
      <c r="X3254" s="1"/>
    </row>
    <row r="3255">
      <c r="A3255" s="1"/>
      <c r="B3255" s="1"/>
      <c r="E3255" s="1"/>
      <c r="F3255" s="1"/>
      <c r="G3255" s="1"/>
      <c r="H3255" s="1"/>
      <c r="I3255" s="1"/>
      <c r="J3255" s="1"/>
      <c r="K3255" s="1"/>
      <c r="L3255" s="1"/>
      <c r="M3255" s="1"/>
      <c r="N3255" s="1"/>
      <c r="O3255" s="1"/>
      <c r="P3255" s="1"/>
      <c r="Q3255" s="1"/>
      <c r="R3255" s="1"/>
      <c r="S3255" s="1"/>
      <c r="T3255" s="1"/>
      <c r="U3255" s="1"/>
      <c r="V3255" s="1"/>
      <c r="W3255" s="1"/>
      <c r="X3255" s="1"/>
    </row>
    <row r="3256">
      <c r="A3256" s="1"/>
      <c r="B3256" s="1"/>
      <c r="E3256" s="1"/>
      <c r="F3256" s="1"/>
      <c r="G3256" s="1"/>
      <c r="H3256" s="1"/>
      <c r="I3256" s="1"/>
      <c r="J3256" s="1"/>
      <c r="K3256" s="1"/>
      <c r="L3256" s="1"/>
      <c r="M3256" s="1"/>
      <c r="N3256" s="1"/>
      <c r="O3256" s="1"/>
      <c r="P3256" s="1"/>
      <c r="Q3256" s="1"/>
      <c r="R3256" s="1"/>
      <c r="S3256" s="1"/>
      <c r="T3256" s="1"/>
      <c r="U3256" s="1"/>
      <c r="V3256" s="1"/>
      <c r="W3256" s="1"/>
      <c r="X3256" s="1"/>
    </row>
    <row r="3257">
      <c r="A3257" s="1"/>
      <c r="B3257" s="1"/>
      <c r="E3257" s="1"/>
      <c r="F3257" s="1"/>
      <c r="G3257" s="1"/>
      <c r="H3257" s="1"/>
      <c r="I3257" s="1"/>
      <c r="J3257" s="1"/>
      <c r="K3257" s="1"/>
      <c r="L3257" s="1"/>
      <c r="M3257" s="1"/>
      <c r="N3257" s="1"/>
      <c r="O3257" s="1"/>
      <c r="P3257" s="1"/>
      <c r="Q3257" s="1"/>
      <c r="R3257" s="1"/>
      <c r="S3257" s="1"/>
      <c r="T3257" s="1"/>
      <c r="U3257" s="1"/>
      <c r="V3257" s="1"/>
      <c r="W3257" s="1"/>
      <c r="X3257" s="1"/>
    </row>
    <row r="3258">
      <c r="A3258" s="1"/>
      <c r="B3258" s="1"/>
      <c r="E3258" s="1"/>
      <c r="F3258" s="1"/>
      <c r="G3258" s="1"/>
      <c r="H3258" s="1"/>
      <c r="I3258" s="1"/>
      <c r="J3258" s="1"/>
      <c r="K3258" s="1"/>
      <c r="L3258" s="1"/>
      <c r="M3258" s="1"/>
      <c r="N3258" s="1"/>
      <c r="O3258" s="1"/>
      <c r="P3258" s="1"/>
      <c r="Q3258" s="1"/>
      <c r="R3258" s="1"/>
      <c r="S3258" s="1"/>
      <c r="T3258" s="1"/>
      <c r="U3258" s="1"/>
      <c r="V3258" s="1"/>
      <c r="W3258" s="1"/>
      <c r="X3258" s="1"/>
    </row>
    <row r="3259">
      <c r="A3259" s="1"/>
      <c r="B3259" s="1"/>
      <c r="E3259" s="1"/>
      <c r="F3259" s="1"/>
      <c r="G3259" s="1"/>
      <c r="H3259" s="1"/>
      <c r="I3259" s="1"/>
      <c r="J3259" s="1"/>
      <c r="K3259" s="1"/>
      <c r="L3259" s="1"/>
      <c r="M3259" s="1"/>
      <c r="N3259" s="1"/>
      <c r="O3259" s="1"/>
      <c r="P3259" s="1"/>
      <c r="Q3259" s="1"/>
      <c r="R3259" s="1"/>
      <c r="S3259" s="1"/>
      <c r="T3259" s="1"/>
      <c r="U3259" s="1"/>
      <c r="V3259" s="1"/>
      <c r="W3259" s="1"/>
      <c r="X3259" s="1"/>
    </row>
    <row r="3260">
      <c r="A3260" s="1"/>
      <c r="B3260" s="1"/>
      <c r="E3260" s="1"/>
      <c r="F3260" s="1"/>
      <c r="G3260" s="1"/>
      <c r="H3260" s="1"/>
      <c r="I3260" s="1"/>
      <c r="J3260" s="1"/>
      <c r="K3260" s="1"/>
      <c r="L3260" s="1"/>
      <c r="M3260" s="1"/>
      <c r="N3260" s="1"/>
      <c r="O3260" s="1"/>
      <c r="P3260" s="1"/>
      <c r="Q3260" s="1"/>
      <c r="R3260" s="1"/>
      <c r="S3260" s="1"/>
      <c r="T3260" s="1"/>
      <c r="U3260" s="1"/>
      <c r="V3260" s="1"/>
      <c r="W3260" s="1"/>
      <c r="X3260" s="1"/>
    </row>
    <row r="3261">
      <c r="A3261" s="1"/>
      <c r="B3261" s="1"/>
      <c r="E3261" s="1"/>
      <c r="F3261" s="1"/>
      <c r="G3261" s="1"/>
      <c r="H3261" s="1"/>
      <c r="I3261" s="1"/>
      <c r="J3261" s="1"/>
      <c r="K3261" s="1"/>
      <c r="L3261" s="1"/>
      <c r="M3261" s="1"/>
      <c r="N3261" s="1"/>
      <c r="O3261" s="1"/>
      <c r="P3261" s="1"/>
      <c r="Q3261" s="1"/>
      <c r="R3261" s="1"/>
      <c r="S3261" s="1"/>
      <c r="T3261" s="1"/>
      <c r="U3261" s="1"/>
      <c r="V3261" s="1"/>
      <c r="W3261" s="1"/>
      <c r="X3261" s="1"/>
    </row>
    <row r="3262">
      <c r="A3262" s="1"/>
      <c r="B3262" s="1"/>
      <c r="E3262" s="1"/>
      <c r="F3262" s="1"/>
      <c r="G3262" s="1"/>
      <c r="H3262" s="1"/>
      <c r="I3262" s="1"/>
      <c r="J3262" s="1"/>
      <c r="K3262" s="1"/>
      <c r="L3262" s="1"/>
      <c r="M3262" s="1"/>
      <c r="N3262" s="1"/>
      <c r="O3262" s="1"/>
      <c r="P3262" s="1"/>
      <c r="Q3262" s="1"/>
      <c r="R3262" s="1"/>
      <c r="S3262" s="1"/>
      <c r="T3262" s="1"/>
      <c r="U3262" s="1"/>
      <c r="V3262" s="1"/>
      <c r="W3262" s="1"/>
      <c r="X3262" s="1"/>
    </row>
    <row r="3263">
      <c r="A3263" s="1"/>
      <c r="B3263" s="1"/>
      <c r="E3263" s="1"/>
      <c r="F3263" s="1"/>
      <c r="G3263" s="1"/>
      <c r="H3263" s="1"/>
      <c r="I3263" s="1"/>
      <c r="J3263" s="1"/>
      <c r="K3263" s="1"/>
      <c r="L3263" s="1"/>
      <c r="M3263" s="1"/>
      <c r="N3263" s="1"/>
      <c r="O3263" s="1"/>
      <c r="P3263" s="1"/>
      <c r="Q3263" s="1"/>
      <c r="R3263" s="1"/>
      <c r="S3263" s="1"/>
      <c r="T3263" s="1"/>
      <c r="U3263" s="1"/>
      <c r="V3263" s="1"/>
      <c r="W3263" s="1"/>
      <c r="X3263" s="1"/>
    </row>
    <row r="3264">
      <c r="A3264" s="1"/>
      <c r="B3264" s="1"/>
      <c r="E3264" s="1"/>
      <c r="F3264" s="1"/>
      <c r="G3264" s="1"/>
      <c r="H3264" s="1"/>
      <c r="I3264" s="1"/>
      <c r="J3264" s="1"/>
      <c r="K3264" s="1"/>
      <c r="L3264" s="1"/>
      <c r="M3264" s="1"/>
      <c r="N3264" s="1"/>
      <c r="O3264" s="1"/>
      <c r="P3264" s="1"/>
      <c r="Q3264" s="1"/>
      <c r="R3264" s="1"/>
      <c r="S3264" s="1"/>
      <c r="T3264" s="1"/>
      <c r="U3264" s="1"/>
      <c r="V3264" s="1"/>
      <c r="W3264" s="1"/>
      <c r="X3264" s="1"/>
    </row>
    <row r="3265">
      <c r="A3265" s="1"/>
      <c r="B3265" s="1"/>
      <c r="E3265" s="1"/>
      <c r="F3265" s="1"/>
      <c r="G3265" s="1"/>
      <c r="H3265" s="1"/>
      <c r="I3265" s="1"/>
      <c r="J3265" s="1"/>
      <c r="K3265" s="1"/>
      <c r="L3265" s="1"/>
      <c r="M3265" s="1"/>
      <c r="N3265" s="1"/>
      <c r="O3265" s="1"/>
      <c r="P3265" s="1"/>
      <c r="Q3265" s="1"/>
      <c r="R3265" s="1"/>
      <c r="S3265" s="1"/>
      <c r="T3265" s="1"/>
      <c r="U3265" s="1"/>
      <c r="V3265" s="1"/>
      <c r="W3265" s="1"/>
      <c r="X3265" s="1"/>
    </row>
    <row r="3266">
      <c r="A3266" s="1"/>
      <c r="B3266" s="1"/>
      <c r="E3266" s="1"/>
      <c r="F3266" s="1"/>
      <c r="G3266" s="1"/>
      <c r="H3266" s="1"/>
      <c r="I3266" s="1"/>
      <c r="J3266" s="1"/>
      <c r="K3266" s="1"/>
      <c r="L3266" s="1"/>
      <c r="M3266" s="1"/>
      <c r="N3266" s="1"/>
      <c r="O3266" s="1"/>
      <c r="P3266" s="1"/>
      <c r="Q3266" s="1"/>
      <c r="R3266" s="1"/>
      <c r="S3266" s="1"/>
      <c r="T3266" s="1"/>
      <c r="U3266" s="1"/>
      <c r="V3266" s="1"/>
      <c r="W3266" s="1"/>
      <c r="X3266" s="1"/>
    </row>
    <row r="3267">
      <c r="A3267" s="1"/>
      <c r="B3267" s="1"/>
      <c r="E3267" s="1"/>
      <c r="F3267" s="1"/>
      <c r="G3267" s="1"/>
      <c r="H3267" s="1"/>
      <c r="I3267" s="1"/>
      <c r="J3267" s="1"/>
      <c r="K3267" s="1"/>
      <c r="L3267" s="1"/>
      <c r="M3267" s="1"/>
      <c r="N3267" s="1"/>
      <c r="O3267" s="1"/>
      <c r="P3267" s="1"/>
      <c r="Q3267" s="1"/>
      <c r="R3267" s="1"/>
      <c r="S3267" s="1"/>
      <c r="T3267" s="1"/>
      <c r="U3267" s="1"/>
      <c r="V3267" s="1"/>
      <c r="W3267" s="1"/>
      <c r="X3267" s="1"/>
    </row>
    <row r="3268">
      <c r="A3268" s="1"/>
      <c r="B3268" s="1"/>
      <c r="E3268" s="1"/>
      <c r="F3268" s="1"/>
      <c r="G3268" s="1"/>
      <c r="H3268" s="1"/>
      <c r="I3268" s="1"/>
      <c r="J3268" s="1"/>
      <c r="K3268" s="1"/>
      <c r="L3268" s="1"/>
      <c r="M3268" s="1"/>
      <c r="N3268" s="1"/>
      <c r="O3268" s="1"/>
      <c r="P3268" s="1"/>
      <c r="Q3268" s="1"/>
      <c r="R3268" s="1"/>
      <c r="S3268" s="1"/>
      <c r="T3268" s="1"/>
      <c r="U3268" s="1"/>
      <c r="V3268" s="1"/>
      <c r="W3268" s="1"/>
      <c r="X3268" s="1"/>
    </row>
    <row r="3269">
      <c r="A3269" s="1"/>
      <c r="B3269" s="1"/>
      <c r="E3269" s="1"/>
      <c r="F3269" s="1"/>
      <c r="G3269" s="1"/>
      <c r="H3269" s="1"/>
      <c r="I3269" s="1"/>
      <c r="J3269" s="1"/>
      <c r="K3269" s="1"/>
      <c r="L3269" s="1"/>
      <c r="M3269" s="1"/>
      <c r="N3269" s="1"/>
      <c r="O3269" s="1"/>
      <c r="P3269" s="1"/>
      <c r="Q3269" s="1"/>
      <c r="R3269" s="1"/>
      <c r="S3269" s="1"/>
      <c r="T3269" s="1"/>
      <c r="U3269" s="1"/>
      <c r="V3269" s="1"/>
      <c r="W3269" s="1"/>
      <c r="X3269" s="1"/>
    </row>
    <row r="3270">
      <c r="A3270" s="1"/>
      <c r="B3270" s="1"/>
      <c r="E3270" s="1"/>
      <c r="F3270" s="1"/>
      <c r="G3270" s="1"/>
      <c r="H3270" s="1"/>
      <c r="I3270" s="1"/>
      <c r="J3270" s="1"/>
      <c r="K3270" s="1"/>
      <c r="L3270" s="1"/>
      <c r="M3270" s="1"/>
      <c r="N3270" s="1"/>
      <c r="O3270" s="1"/>
      <c r="P3270" s="1"/>
      <c r="Q3270" s="1"/>
      <c r="R3270" s="1"/>
      <c r="S3270" s="1"/>
      <c r="T3270" s="1"/>
      <c r="U3270" s="1"/>
      <c r="V3270" s="1"/>
      <c r="W3270" s="1"/>
      <c r="X3270" s="1"/>
    </row>
    <row r="3271">
      <c r="A3271" s="1"/>
      <c r="B3271" s="1"/>
      <c r="E3271" s="1"/>
      <c r="F3271" s="1"/>
      <c r="G3271" s="1"/>
      <c r="H3271" s="1"/>
      <c r="I3271" s="1"/>
      <c r="J3271" s="1"/>
      <c r="K3271" s="1"/>
      <c r="L3271" s="1"/>
      <c r="M3271" s="1"/>
      <c r="N3271" s="1"/>
      <c r="O3271" s="1"/>
      <c r="P3271" s="1"/>
      <c r="Q3271" s="1"/>
      <c r="R3271" s="1"/>
      <c r="S3271" s="1"/>
      <c r="T3271" s="1"/>
      <c r="U3271" s="1"/>
      <c r="V3271" s="1"/>
      <c r="W3271" s="1"/>
      <c r="X3271" s="1"/>
    </row>
    <row r="3272">
      <c r="A3272" s="1"/>
      <c r="B3272" s="1"/>
      <c r="E3272" s="1"/>
      <c r="F3272" s="1"/>
      <c r="G3272" s="1"/>
      <c r="H3272" s="1"/>
      <c r="I3272" s="1"/>
      <c r="J3272" s="1"/>
      <c r="K3272" s="1"/>
      <c r="L3272" s="1"/>
      <c r="M3272" s="1"/>
      <c r="N3272" s="1"/>
      <c r="O3272" s="1"/>
      <c r="P3272" s="1"/>
      <c r="Q3272" s="1"/>
      <c r="R3272" s="1"/>
      <c r="S3272" s="1"/>
      <c r="T3272" s="1"/>
      <c r="U3272" s="1"/>
      <c r="V3272" s="1"/>
      <c r="W3272" s="1"/>
      <c r="X3272" s="1"/>
    </row>
    <row r="3273">
      <c r="A3273" s="1"/>
      <c r="B3273" s="1"/>
      <c r="E3273" s="1"/>
      <c r="F3273" s="1"/>
      <c r="G3273" s="1"/>
      <c r="H3273" s="1"/>
      <c r="I3273" s="1"/>
      <c r="J3273" s="1"/>
      <c r="K3273" s="1"/>
      <c r="L3273" s="1"/>
      <c r="M3273" s="1"/>
      <c r="N3273" s="1"/>
      <c r="O3273" s="1"/>
      <c r="P3273" s="1"/>
      <c r="Q3273" s="1"/>
      <c r="R3273" s="1"/>
      <c r="S3273" s="1"/>
      <c r="T3273" s="1"/>
      <c r="U3273" s="1"/>
      <c r="V3273" s="1"/>
      <c r="W3273" s="1"/>
      <c r="X3273" s="1"/>
    </row>
    <row r="3274">
      <c r="A3274" s="1"/>
      <c r="B3274" s="1"/>
      <c r="E3274" s="1"/>
      <c r="F3274" s="1"/>
      <c r="G3274" s="1"/>
      <c r="H3274" s="1"/>
      <c r="I3274" s="1"/>
      <c r="J3274" s="1"/>
      <c r="K3274" s="1"/>
      <c r="L3274" s="1"/>
      <c r="M3274" s="1"/>
      <c r="N3274" s="1"/>
      <c r="O3274" s="1"/>
      <c r="P3274" s="1"/>
      <c r="Q3274" s="1"/>
      <c r="R3274" s="1"/>
      <c r="S3274" s="1"/>
      <c r="T3274" s="1"/>
      <c r="U3274" s="1"/>
      <c r="V3274" s="1"/>
      <c r="W3274" s="1"/>
      <c r="X3274" s="1"/>
    </row>
    <row r="3275">
      <c r="A3275" s="1"/>
      <c r="B3275" s="1"/>
      <c r="E3275" s="1"/>
      <c r="F3275" s="1"/>
      <c r="G3275" s="1"/>
      <c r="H3275" s="1"/>
      <c r="I3275" s="1"/>
      <c r="J3275" s="1"/>
      <c r="K3275" s="1"/>
      <c r="L3275" s="1"/>
      <c r="M3275" s="1"/>
      <c r="N3275" s="1"/>
      <c r="O3275" s="1"/>
      <c r="P3275" s="1"/>
      <c r="Q3275" s="1"/>
      <c r="R3275" s="1"/>
      <c r="S3275" s="1"/>
      <c r="T3275" s="1"/>
      <c r="U3275" s="1"/>
      <c r="V3275" s="1"/>
      <c r="W3275" s="1"/>
      <c r="X3275" s="1"/>
    </row>
    <row r="3276">
      <c r="A3276" s="1"/>
      <c r="B3276" s="1"/>
      <c r="E3276" s="1"/>
      <c r="F3276" s="1"/>
      <c r="G3276" s="1"/>
      <c r="H3276" s="1"/>
      <c r="I3276" s="1"/>
      <c r="J3276" s="1"/>
      <c r="K3276" s="1"/>
      <c r="L3276" s="1"/>
      <c r="M3276" s="1"/>
      <c r="N3276" s="1"/>
      <c r="O3276" s="1"/>
      <c r="P3276" s="1"/>
      <c r="Q3276" s="1"/>
      <c r="R3276" s="1"/>
      <c r="S3276" s="1"/>
      <c r="T3276" s="1"/>
      <c r="U3276" s="1"/>
      <c r="V3276" s="1"/>
      <c r="W3276" s="1"/>
      <c r="X3276" s="1"/>
    </row>
    <row r="3277">
      <c r="A3277" s="1"/>
      <c r="B3277" s="1"/>
      <c r="E3277" s="1"/>
      <c r="F3277" s="1"/>
      <c r="G3277" s="1"/>
      <c r="H3277" s="1"/>
      <c r="I3277" s="1"/>
      <c r="J3277" s="1"/>
      <c r="K3277" s="1"/>
      <c r="L3277" s="1"/>
      <c r="M3277" s="1"/>
      <c r="N3277" s="1"/>
      <c r="O3277" s="1"/>
      <c r="P3277" s="1"/>
      <c r="Q3277" s="1"/>
      <c r="R3277" s="1"/>
      <c r="S3277" s="1"/>
      <c r="T3277" s="1"/>
      <c r="U3277" s="1"/>
      <c r="V3277" s="1"/>
      <c r="W3277" s="1"/>
      <c r="X3277" s="1"/>
    </row>
    <row r="3278">
      <c r="A3278" s="1"/>
      <c r="B3278" s="1"/>
      <c r="E3278" s="1"/>
      <c r="F3278" s="1"/>
      <c r="G3278" s="1"/>
      <c r="H3278" s="1"/>
      <c r="I3278" s="1"/>
      <c r="J3278" s="1"/>
      <c r="K3278" s="1"/>
      <c r="L3278" s="1"/>
      <c r="M3278" s="1"/>
      <c r="N3278" s="1"/>
      <c r="O3278" s="1"/>
      <c r="P3278" s="1"/>
      <c r="Q3278" s="1"/>
      <c r="R3278" s="1"/>
      <c r="S3278" s="1"/>
      <c r="T3278" s="1"/>
      <c r="U3278" s="1"/>
      <c r="V3278" s="1"/>
      <c r="W3278" s="1"/>
      <c r="X3278" s="1"/>
    </row>
    <row r="3279">
      <c r="A3279" s="1"/>
      <c r="B3279" s="1"/>
      <c r="E3279" s="1"/>
      <c r="F3279" s="1"/>
      <c r="G3279" s="1"/>
      <c r="H3279" s="1"/>
      <c r="I3279" s="1"/>
      <c r="J3279" s="1"/>
      <c r="K3279" s="1"/>
      <c r="L3279" s="1"/>
      <c r="M3279" s="1"/>
      <c r="N3279" s="1"/>
      <c r="O3279" s="1"/>
      <c r="P3279" s="1"/>
      <c r="Q3279" s="1"/>
      <c r="R3279" s="1"/>
      <c r="S3279" s="1"/>
      <c r="T3279" s="1"/>
      <c r="U3279" s="1"/>
      <c r="V3279" s="1"/>
      <c r="W3279" s="1"/>
      <c r="X3279" s="1"/>
    </row>
    <row r="3280">
      <c r="A3280" s="1"/>
      <c r="B3280" s="1"/>
      <c r="E3280" s="1"/>
      <c r="F3280" s="1"/>
      <c r="G3280" s="1"/>
      <c r="H3280" s="1"/>
      <c r="I3280" s="1"/>
      <c r="J3280" s="1"/>
      <c r="K3280" s="1"/>
      <c r="L3280" s="1"/>
      <c r="M3280" s="1"/>
      <c r="N3280" s="1"/>
      <c r="O3280" s="1"/>
      <c r="P3280" s="1"/>
      <c r="Q3280" s="1"/>
      <c r="R3280" s="1"/>
      <c r="S3280" s="1"/>
      <c r="T3280" s="1"/>
      <c r="U3280" s="1"/>
      <c r="V3280" s="1"/>
      <c r="W3280" s="1"/>
      <c r="X3280" s="1"/>
    </row>
    <row r="3281">
      <c r="A3281" s="1"/>
      <c r="B3281" s="1"/>
      <c r="E3281" s="1"/>
      <c r="F3281" s="1"/>
      <c r="G3281" s="1"/>
      <c r="H3281" s="1"/>
      <c r="I3281" s="1"/>
      <c r="J3281" s="1"/>
      <c r="K3281" s="1"/>
      <c r="L3281" s="1"/>
      <c r="M3281" s="1"/>
      <c r="N3281" s="1"/>
      <c r="O3281" s="1"/>
      <c r="P3281" s="1"/>
      <c r="Q3281" s="1"/>
      <c r="R3281" s="1"/>
      <c r="S3281" s="1"/>
      <c r="T3281" s="1"/>
      <c r="U3281" s="1"/>
      <c r="V3281" s="1"/>
      <c r="W3281" s="1"/>
      <c r="X3281" s="1"/>
    </row>
    <row r="3282">
      <c r="A3282" s="1"/>
      <c r="B3282" s="1"/>
      <c r="E3282" s="1"/>
      <c r="F3282" s="1"/>
      <c r="G3282" s="1"/>
      <c r="H3282" s="1"/>
      <c r="I3282" s="1"/>
      <c r="J3282" s="1"/>
      <c r="K3282" s="1"/>
      <c r="L3282" s="1"/>
      <c r="M3282" s="1"/>
      <c r="N3282" s="1"/>
      <c r="O3282" s="1"/>
      <c r="P3282" s="1"/>
      <c r="Q3282" s="1"/>
      <c r="R3282" s="1"/>
      <c r="S3282" s="1"/>
      <c r="T3282" s="1"/>
      <c r="U3282" s="1"/>
      <c r="V3282" s="1"/>
      <c r="W3282" s="1"/>
      <c r="X3282" s="1"/>
    </row>
    <row r="3283">
      <c r="A3283" s="1"/>
      <c r="B3283" s="1"/>
      <c r="E3283" s="1"/>
      <c r="F3283" s="1"/>
      <c r="G3283" s="1"/>
      <c r="H3283" s="1"/>
      <c r="I3283" s="1"/>
      <c r="J3283" s="1"/>
      <c r="K3283" s="1"/>
      <c r="L3283" s="1"/>
      <c r="M3283" s="1"/>
      <c r="N3283" s="1"/>
      <c r="O3283" s="1"/>
      <c r="P3283" s="1"/>
      <c r="Q3283" s="1"/>
      <c r="R3283" s="1"/>
      <c r="S3283" s="1"/>
      <c r="T3283" s="1"/>
      <c r="U3283" s="1"/>
      <c r="V3283" s="1"/>
      <c r="W3283" s="1"/>
      <c r="X3283" s="1"/>
    </row>
    <row r="3284">
      <c r="A3284" s="1"/>
      <c r="B3284" s="1"/>
      <c r="E3284" s="1"/>
      <c r="F3284" s="1"/>
      <c r="G3284" s="1"/>
      <c r="H3284" s="1"/>
      <c r="I3284" s="1"/>
      <c r="J3284" s="1"/>
      <c r="K3284" s="1"/>
      <c r="L3284" s="1"/>
      <c r="M3284" s="1"/>
      <c r="N3284" s="1"/>
      <c r="O3284" s="1"/>
      <c r="P3284" s="1"/>
      <c r="Q3284" s="1"/>
      <c r="R3284" s="1"/>
      <c r="S3284" s="1"/>
      <c r="T3284" s="1"/>
      <c r="U3284" s="1"/>
      <c r="V3284" s="1"/>
      <c r="W3284" s="1"/>
      <c r="X3284" s="1"/>
    </row>
    <row r="3285">
      <c r="A3285" s="1"/>
      <c r="B3285" s="1"/>
      <c r="E3285" s="1"/>
      <c r="F3285" s="1"/>
      <c r="G3285" s="1"/>
      <c r="H3285" s="1"/>
      <c r="I3285" s="1"/>
      <c r="J3285" s="1"/>
      <c r="K3285" s="1"/>
      <c r="L3285" s="1"/>
      <c r="M3285" s="1"/>
      <c r="N3285" s="1"/>
      <c r="O3285" s="1"/>
      <c r="P3285" s="1"/>
      <c r="Q3285" s="1"/>
      <c r="R3285" s="1"/>
      <c r="S3285" s="1"/>
      <c r="T3285" s="1"/>
      <c r="U3285" s="1"/>
      <c r="V3285" s="1"/>
      <c r="W3285" s="1"/>
      <c r="X3285" s="1"/>
    </row>
    <row r="3286">
      <c r="A3286" s="1"/>
      <c r="B3286" s="1"/>
      <c r="E3286" s="1"/>
      <c r="F3286" s="1"/>
      <c r="G3286" s="1"/>
      <c r="H3286" s="1"/>
      <c r="I3286" s="1"/>
      <c r="J3286" s="1"/>
      <c r="K3286" s="1"/>
      <c r="L3286" s="1"/>
      <c r="M3286" s="1"/>
      <c r="N3286" s="1"/>
      <c r="O3286" s="1"/>
      <c r="P3286" s="1"/>
      <c r="Q3286" s="1"/>
      <c r="R3286" s="1"/>
      <c r="S3286" s="1"/>
      <c r="T3286" s="1"/>
      <c r="U3286" s="1"/>
      <c r="V3286" s="1"/>
      <c r="W3286" s="1"/>
      <c r="X3286" s="1"/>
    </row>
    <row r="3287">
      <c r="A3287" s="1"/>
      <c r="B3287" s="1"/>
      <c r="E3287" s="1"/>
      <c r="F3287" s="1"/>
      <c r="G3287" s="1"/>
      <c r="H3287" s="1"/>
      <c r="I3287" s="1"/>
      <c r="J3287" s="1"/>
      <c r="K3287" s="1"/>
      <c r="L3287" s="1"/>
      <c r="M3287" s="1"/>
      <c r="N3287" s="1"/>
      <c r="O3287" s="1"/>
      <c r="P3287" s="1"/>
      <c r="Q3287" s="1"/>
      <c r="R3287" s="1"/>
      <c r="S3287" s="1"/>
      <c r="T3287" s="1"/>
      <c r="U3287" s="1"/>
      <c r="V3287" s="1"/>
      <c r="W3287" s="1"/>
      <c r="X3287" s="1"/>
    </row>
    <row r="3288">
      <c r="A3288" s="1"/>
      <c r="B3288" s="1"/>
      <c r="E3288" s="1"/>
      <c r="F3288" s="1"/>
      <c r="G3288" s="1"/>
      <c r="H3288" s="1"/>
      <c r="I3288" s="1"/>
      <c r="J3288" s="1"/>
      <c r="K3288" s="1"/>
      <c r="L3288" s="1"/>
      <c r="M3288" s="1"/>
      <c r="N3288" s="1"/>
      <c r="O3288" s="1"/>
      <c r="P3288" s="1"/>
      <c r="Q3288" s="1"/>
      <c r="R3288" s="1"/>
      <c r="S3288" s="1"/>
      <c r="T3288" s="1"/>
      <c r="U3288" s="1"/>
      <c r="V3288" s="1"/>
      <c r="W3288" s="1"/>
      <c r="X3288" s="1"/>
    </row>
    <row r="3289">
      <c r="A3289" s="1"/>
      <c r="B3289" s="1"/>
      <c r="E3289" s="1"/>
      <c r="F3289" s="1"/>
      <c r="G3289" s="1"/>
      <c r="H3289" s="1"/>
      <c r="I3289" s="1"/>
      <c r="J3289" s="1"/>
      <c r="K3289" s="1"/>
      <c r="L3289" s="1"/>
      <c r="M3289" s="1"/>
      <c r="N3289" s="1"/>
      <c r="O3289" s="1"/>
      <c r="P3289" s="1"/>
      <c r="Q3289" s="1"/>
      <c r="R3289" s="1"/>
      <c r="S3289" s="1"/>
      <c r="T3289" s="1"/>
      <c r="U3289" s="1"/>
      <c r="V3289" s="1"/>
      <c r="W3289" s="1"/>
      <c r="X3289" s="1"/>
    </row>
    <row r="3290">
      <c r="A3290" s="1"/>
      <c r="B3290" s="1"/>
      <c r="E3290" s="1"/>
      <c r="F3290" s="1"/>
      <c r="G3290" s="1"/>
      <c r="H3290" s="1"/>
      <c r="I3290" s="1"/>
      <c r="J3290" s="1"/>
      <c r="K3290" s="1"/>
      <c r="L3290" s="1"/>
      <c r="M3290" s="1"/>
      <c r="N3290" s="1"/>
      <c r="O3290" s="1"/>
      <c r="P3290" s="1"/>
      <c r="Q3290" s="1"/>
      <c r="R3290" s="1"/>
      <c r="S3290" s="1"/>
      <c r="T3290" s="1"/>
      <c r="U3290" s="1"/>
      <c r="V3290" s="1"/>
      <c r="W3290" s="1"/>
      <c r="X3290" s="1"/>
    </row>
    <row r="3291">
      <c r="A3291" s="1"/>
      <c r="B3291" s="1"/>
      <c r="E3291" s="1"/>
      <c r="F3291" s="1"/>
      <c r="G3291" s="1"/>
      <c r="H3291" s="1"/>
      <c r="I3291" s="1"/>
      <c r="J3291" s="1"/>
      <c r="K3291" s="1"/>
      <c r="L3291" s="1"/>
      <c r="M3291" s="1"/>
      <c r="N3291" s="1"/>
      <c r="O3291" s="1"/>
      <c r="P3291" s="1"/>
      <c r="Q3291" s="1"/>
      <c r="R3291" s="1"/>
      <c r="S3291" s="1"/>
      <c r="T3291" s="1"/>
      <c r="U3291" s="1"/>
      <c r="V3291" s="1"/>
      <c r="W3291" s="1"/>
      <c r="X3291" s="1"/>
    </row>
    <row r="3292">
      <c r="A3292" s="1"/>
      <c r="B3292" s="1"/>
      <c r="E3292" s="1"/>
      <c r="F3292" s="1"/>
      <c r="G3292" s="1"/>
      <c r="H3292" s="1"/>
      <c r="I3292" s="1"/>
      <c r="J3292" s="1"/>
      <c r="K3292" s="1"/>
      <c r="L3292" s="1"/>
      <c r="M3292" s="1"/>
      <c r="N3292" s="1"/>
      <c r="O3292" s="1"/>
      <c r="P3292" s="1"/>
      <c r="Q3292" s="1"/>
      <c r="R3292" s="1"/>
      <c r="S3292" s="1"/>
      <c r="T3292" s="1"/>
      <c r="U3292" s="1"/>
      <c r="V3292" s="1"/>
      <c r="W3292" s="1"/>
      <c r="X3292" s="1"/>
    </row>
    <row r="3293">
      <c r="A3293" s="1"/>
      <c r="B3293" s="1"/>
      <c r="E3293" s="1"/>
      <c r="F3293" s="1"/>
      <c r="G3293" s="1"/>
      <c r="H3293" s="1"/>
      <c r="I3293" s="1"/>
      <c r="J3293" s="1"/>
      <c r="K3293" s="1"/>
      <c r="L3293" s="1"/>
      <c r="M3293" s="1"/>
      <c r="N3293" s="1"/>
      <c r="O3293" s="1"/>
      <c r="P3293" s="1"/>
      <c r="Q3293" s="1"/>
      <c r="R3293" s="1"/>
      <c r="S3293" s="1"/>
      <c r="T3293" s="1"/>
      <c r="U3293" s="1"/>
      <c r="V3293" s="1"/>
      <c r="W3293" s="1"/>
      <c r="X3293" s="1"/>
    </row>
    <row r="3294">
      <c r="A3294" s="1"/>
      <c r="B3294" s="1"/>
      <c r="E3294" s="1"/>
      <c r="F3294" s="1"/>
      <c r="G3294" s="1"/>
      <c r="H3294" s="1"/>
      <c r="I3294" s="1"/>
      <c r="J3294" s="1"/>
      <c r="K3294" s="1"/>
      <c r="L3294" s="1"/>
      <c r="M3294" s="1"/>
      <c r="N3294" s="1"/>
      <c r="O3294" s="1"/>
      <c r="P3294" s="1"/>
      <c r="Q3294" s="1"/>
      <c r="R3294" s="1"/>
      <c r="S3294" s="1"/>
      <c r="T3294" s="1"/>
      <c r="U3294" s="1"/>
      <c r="V3294" s="1"/>
      <c r="W3294" s="1"/>
      <c r="X3294" s="1"/>
    </row>
    <row r="3295">
      <c r="A3295" s="1"/>
      <c r="B3295" s="1"/>
      <c r="E3295" s="1"/>
      <c r="F3295" s="1"/>
      <c r="G3295" s="1"/>
      <c r="H3295" s="1"/>
      <c r="I3295" s="1"/>
      <c r="J3295" s="1"/>
      <c r="K3295" s="1"/>
      <c r="L3295" s="1"/>
      <c r="M3295" s="1"/>
      <c r="N3295" s="1"/>
      <c r="O3295" s="1"/>
      <c r="P3295" s="1"/>
      <c r="Q3295" s="1"/>
      <c r="R3295" s="1"/>
      <c r="S3295" s="1"/>
      <c r="T3295" s="1"/>
      <c r="U3295" s="1"/>
      <c r="V3295" s="1"/>
      <c r="W3295" s="1"/>
      <c r="X3295" s="1"/>
    </row>
    <row r="3296">
      <c r="A3296" s="1"/>
      <c r="B3296" s="1"/>
      <c r="E3296" s="1"/>
      <c r="F3296" s="1"/>
      <c r="G3296" s="1"/>
      <c r="H3296" s="1"/>
      <c r="I3296" s="1"/>
      <c r="J3296" s="1"/>
      <c r="K3296" s="1"/>
      <c r="L3296" s="1"/>
      <c r="M3296" s="1"/>
      <c r="N3296" s="1"/>
      <c r="O3296" s="1"/>
      <c r="P3296" s="1"/>
      <c r="Q3296" s="1"/>
      <c r="R3296" s="1"/>
      <c r="S3296" s="1"/>
      <c r="T3296" s="1"/>
      <c r="U3296" s="1"/>
      <c r="V3296" s="1"/>
      <c r="W3296" s="1"/>
      <c r="X3296" s="1"/>
    </row>
    <row r="3297">
      <c r="A3297" s="1"/>
      <c r="B3297" s="1"/>
      <c r="E3297" s="1"/>
      <c r="F3297" s="1"/>
      <c r="G3297" s="1"/>
      <c r="H3297" s="1"/>
      <c r="I3297" s="1"/>
      <c r="J3297" s="1"/>
      <c r="K3297" s="1"/>
      <c r="L3297" s="1"/>
      <c r="M3297" s="1"/>
      <c r="N3297" s="1"/>
      <c r="O3297" s="1"/>
      <c r="P3297" s="1"/>
      <c r="Q3297" s="1"/>
      <c r="R3297" s="1"/>
      <c r="S3297" s="1"/>
      <c r="T3297" s="1"/>
      <c r="U3297" s="1"/>
      <c r="V3297" s="1"/>
      <c r="W3297" s="1"/>
      <c r="X3297" s="1"/>
    </row>
    <row r="3298">
      <c r="A3298" s="1"/>
      <c r="B3298" s="1"/>
      <c r="E3298" s="1"/>
      <c r="F3298" s="1"/>
      <c r="G3298" s="1"/>
      <c r="H3298" s="1"/>
      <c r="I3298" s="1"/>
      <c r="J3298" s="1"/>
      <c r="K3298" s="1"/>
      <c r="L3298" s="1"/>
      <c r="M3298" s="1"/>
      <c r="N3298" s="1"/>
      <c r="O3298" s="1"/>
      <c r="P3298" s="1"/>
      <c r="Q3298" s="1"/>
      <c r="R3298" s="1"/>
      <c r="S3298" s="1"/>
      <c r="T3298" s="1"/>
      <c r="U3298" s="1"/>
      <c r="V3298" s="1"/>
      <c r="W3298" s="1"/>
      <c r="X3298" s="1"/>
    </row>
    <row r="3299">
      <c r="A3299" s="1"/>
      <c r="B3299" s="1"/>
      <c r="E3299" s="1"/>
      <c r="F3299" s="1"/>
      <c r="G3299" s="1"/>
      <c r="H3299" s="1"/>
      <c r="I3299" s="1"/>
      <c r="J3299" s="1"/>
      <c r="K3299" s="1"/>
      <c r="L3299" s="1"/>
      <c r="M3299" s="1"/>
      <c r="N3299" s="1"/>
      <c r="O3299" s="1"/>
      <c r="P3299" s="1"/>
      <c r="Q3299" s="1"/>
      <c r="R3299" s="1"/>
      <c r="S3299" s="1"/>
      <c r="T3299" s="1"/>
      <c r="U3299" s="1"/>
      <c r="V3299" s="1"/>
      <c r="W3299" s="1"/>
      <c r="X3299" s="1"/>
    </row>
    <row r="3300">
      <c r="A3300" s="1"/>
      <c r="B3300" s="1"/>
      <c r="E3300" s="1"/>
      <c r="F3300" s="1"/>
      <c r="G3300" s="1"/>
      <c r="H3300" s="1"/>
      <c r="I3300" s="1"/>
      <c r="J3300" s="1"/>
      <c r="K3300" s="1"/>
      <c r="L3300" s="1"/>
      <c r="M3300" s="1"/>
      <c r="N3300" s="1"/>
      <c r="O3300" s="1"/>
      <c r="P3300" s="1"/>
      <c r="Q3300" s="1"/>
      <c r="R3300" s="1"/>
      <c r="S3300" s="1"/>
      <c r="T3300" s="1"/>
      <c r="U3300" s="1"/>
      <c r="V3300" s="1"/>
      <c r="W3300" s="1"/>
      <c r="X3300" s="1"/>
    </row>
    <row r="3301">
      <c r="A3301" s="1"/>
      <c r="B3301" s="1"/>
      <c r="E3301" s="1"/>
      <c r="F3301" s="1"/>
      <c r="G3301" s="1"/>
      <c r="H3301" s="1"/>
      <c r="I3301" s="1"/>
      <c r="J3301" s="1"/>
      <c r="K3301" s="1"/>
      <c r="L3301" s="1"/>
      <c r="M3301" s="1"/>
      <c r="N3301" s="1"/>
      <c r="O3301" s="1"/>
      <c r="P3301" s="1"/>
      <c r="Q3301" s="1"/>
      <c r="R3301" s="1"/>
      <c r="S3301" s="1"/>
      <c r="T3301" s="1"/>
      <c r="U3301" s="1"/>
      <c r="V3301" s="1"/>
      <c r="W3301" s="1"/>
      <c r="X3301" s="1"/>
    </row>
    <row r="3302">
      <c r="A3302" s="1"/>
      <c r="B3302" s="1"/>
      <c r="E3302" s="1"/>
      <c r="F3302" s="1"/>
      <c r="G3302" s="1"/>
      <c r="H3302" s="1"/>
      <c r="I3302" s="1"/>
      <c r="J3302" s="1"/>
      <c r="K3302" s="1"/>
      <c r="L3302" s="1"/>
      <c r="M3302" s="1"/>
      <c r="N3302" s="1"/>
      <c r="O3302" s="1"/>
      <c r="P3302" s="1"/>
      <c r="Q3302" s="1"/>
      <c r="R3302" s="1"/>
      <c r="S3302" s="1"/>
      <c r="T3302" s="1"/>
      <c r="U3302" s="1"/>
      <c r="V3302" s="1"/>
      <c r="W3302" s="1"/>
      <c r="X3302" s="1"/>
    </row>
    <row r="3303">
      <c r="A3303" s="1"/>
      <c r="B3303" s="1"/>
      <c r="E3303" s="1"/>
      <c r="F3303" s="1"/>
      <c r="G3303" s="1"/>
      <c r="H3303" s="1"/>
      <c r="I3303" s="1"/>
      <c r="J3303" s="1"/>
      <c r="K3303" s="1"/>
      <c r="L3303" s="1"/>
      <c r="M3303" s="1"/>
      <c r="N3303" s="1"/>
      <c r="O3303" s="1"/>
      <c r="P3303" s="1"/>
      <c r="Q3303" s="1"/>
      <c r="R3303" s="1"/>
      <c r="S3303" s="1"/>
      <c r="T3303" s="1"/>
      <c r="U3303" s="1"/>
      <c r="V3303" s="1"/>
      <c r="W3303" s="1"/>
      <c r="X3303" s="1"/>
    </row>
    <row r="3304">
      <c r="A3304" s="1"/>
      <c r="B3304" s="1"/>
      <c r="E3304" s="1"/>
      <c r="F3304" s="1"/>
      <c r="G3304" s="1"/>
      <c r="H3304" s="1"/>
      <c r="I3304" s="1"/>
      <c r="J3304" s="1"/>
      <c r="K3304" s="1"/>
      <c r="L3304" s="1"/>
      <c r="M3304" s="1"/>
      <c r="N3304" s="1"/>
      <c r="O3304" s="1"/>
      <c r="P3304" s="1"/>
      <c r="Q3304" s="1"/>
      <c r="R3304" s="1"/>
      <c r="S3304" s="1"/>
      <c r="T3304" s="1"/>
      <c r="U3304" s="1"/>
      <c r="V3304" s="1"/>
      <c r="W3304" s="1"/>
      <c r="X3304" s="1"/>
    </row>
    <row r="3305">
      <c r="A3305" s="1"/>
      <c r="B3305" s="1"/>
      <c r="E3305" s="1"/>
      <c r="F3305" s="1"/>
      <c r="G3305" s="1"/>
      <c r="H3305" s="1"/>
      <c r="I3305" s="1"/>
      <c r="J3305" s="1"/>
      <c r="K3305" s="1"/>
      <c r="L3305" s="1"/>
      <c r="M3305" s="1"/>
      <c r="N3305" s="1"/>
      <c r="O3305" s="1"/>
      <c r="P3305" s="1"/>
      <c r="Q3305" s="1"/>
      <c r="R3305" s="1"/>
      <c r="S3305" s="1"/>
      <c r="T3305" s="1"/>
      <c r="U3305" s="1"/>
      <c r="V3305" s="1"/>
      <c r="W3305" s="1"/>
      <c r="X3305" s="1"/>
    </row>
    <row r="3306">
      <c r="A3306" s="1"/>
      <c r="B3306" s="1"/>
      <c r="E3306" s="1"/>
      <c r="F3306" s="1"/>
      <c r="G3306" s="1"/>
      <c r="H3306" s="1"/>
      <c r="I3306" s="1"/>
      <c r="J3306" s="1"/>
      <c r="K3306" s="1"/>
      <c r="L3306" s="1"/>
      <c r="M3306" s="1"/>
      <c r="N3306" s="1"/>
      <c r="O3306" s="1"/>
      <c r="P3306" s="1"/>
      <c r="Q3306" s="1"/>
      <c r="R3306" s="1"/>
      <c r="S3306" s="1"/>
      <c r="T3306" s="1"/>
      <c r="U3306" s="1"/>
      <c r="V3306" s="1"/>
      <c r="W3306" s="1"/>
      <c r="X3306" s="1"/>
    </row>
    <row r="3307">
      <c r="A3307" s="1"/>
      <c r="B3307" s="1"/>
      <c r="E3307" s="1"/>
      <c r="F3307" s="1"/>
      <c r="G3307" s="1"/>
      <c r="H3307" s="1"/>
      <c r="I3307" s="1"/>
      <c r="J3307" s="1"/>
      <c r="K3307" s="1"/>
      <c r="L3307" s="1"/>
      <c r="M3307" s="1"/>
      <c r="N3307" s="1"/>
      <c r="O3307" s="1"/>
      <c r="P3307" s="1"/>
      <c r="Q3307" s="1"/>
      <c r="R3307" s="1"/>
      <c r="S3307" s="1"/>
      <c r="T3307" s="1"/>
      <c r="U3307" s="1"/>
      <c r="V3307" s="1"/>
      <c r="W3307" s="1"/>
      <c r="X3307" s="1"/>
    </row>
    <row r="3308">
      <c r="A3308" s="1"/>
      <c r="B3308" s="1"/>
      <c r="E3308" s="1"/>
      <c r="F3308" s="1"/>
      <c r="G3308" s="1"/>
      <c r="H3308" s="1"/>
      <c r="I3308" s="1"/>
      <c r="J3308" s="1"/>
      <c r="K3308" s="1"/>
      <c r="L3308" s="1"/>
      <c r="M3308" s="1"/>
      <c r="N3308" s="1"/>
      <c r="O3308" s="1"/>
      <c r="P3308" s="1"/>
      <c r="Q3308" s="1"/>
      <c r="R3308" s="1"/>
      <c r="S3308" s="1"/>
      <c r="T3308" s="1"/>
      <c r="U3308" s="1"/>
      <c r="V3308" s="1"/>
      <c r="W3308" s="1"/>
      <c r="X3308" s="1"/>
    </row>
    <row r="3309">
      <c r="A3309" s="1"/>
      <c r="B3309" s="1"/>
      <c r="E3309" s="1"/>
      <c r="F3309" s="1"/>
      <c r="G3309" s="1"/>
      <c r="H3309" s="1"/>
      <c r="I3309" s="1"/>
      <c r="J3309" s="1"/>
      <c r="K3309" s="1"/>
      <c r="L3309" s="1"/>
      <c r="M3309" s="1"/>
      <c r="N3309" s="1"/>
      <c r="O3309" s="1"/>
      <c r="P3309" s="1"/>
      <c r="Q3309" s="1"/>
      <c r="R3309" s="1"/>
      <c r="S3309" s="1"/>
      <c r="T3309" s="1"/>
      <c r="U3309" s="1"/>
      <c r="V3309" s="1"/>
      <c r="W3309" s="1"/>
      <c r="X3309" s="1"/>
    </row>
    <row r="3310">
      <c r="A3310" s="1"/>
      <c r="B3310" s="1"/>
      <c r="E3310" s="1"/>
      <c r="F3310" s="1"/>
      <c r="G3310" s="1"/>
      <c r="H3310" s="1"/>
      <c r="I3310" s="1"/>
      <c r="J3310" s="1"/>
      <c r="K3310" s="1"/>
      <c r="L3310" s="1"/>
      <c r="M3310" s="1"/>
      <c r="N3310" s="1"/>
      <c r="O3310" s="1"/>
      <c r="P3310" s="1"/>
      <c r="Q3310" s="1"/>
      <c r="R3310" s="1"/>
      <c r="S3310" s="1"/>
      <c r="T3310" s="1"/>
      <c r="U3310" s="1"/>
      <c r="V3310" s="1"/>
      <c r="W3310" s="1"/>
      <c r="X3310" s="1"/>
    </row>
    <row r="3311">
      <c r="A3311" s="1"/>
      <c r="B3311" s="1"/>
      <c r="E3311" s="1"/>
      <c r="F3311" s="1"/>
      <c r="G3311" s="1"/>
      <c r="H3311" s="1"/>
      <c r="I3311" s="1"/>
      <c r="J3311" s="1"/>
      <c r="K3311" s="1"/>
      <c r="L3311" s="1"/>
      <c r="M3311" s="1"/>
      <c r="N3311" s="1"/>
      <c r="O3311" s="1"/>
      <c r="P3311" s="1"/>
      <c r="Q3311" s="1"/>
      <c r="R3311" s="1"/>
      <c r="S3311" s="1"/>
      <c r="T3311" s="1"/>
      <c r="U3311" s="1"/>
      <c r="V3311" s="1"/>
      <c r="W3311" s="1"/>
      <c r="X3311" s="1"/>
    </row>
    <row r="3312">
      <c r="A3312" s="1"/>
      <c r="B3312" s="1"/>
      <c r="E3312" s="1"/>
      <c r="F3312" s="1"/>
      <c r="G3312" s="1"/>
      <c r="H3312" s="1"/>
      <c r="I3312" s="1"/>
      <c r="J3312" s="1"/>
      <c r="K3312" s="1"/>
      <c r="L3312" s="1"/>
      <c r="M3312" s="1"/>
      <c r="N3312" s="1"/>
      <c r="O3312" s="1"/>
      <c r="P3312" s="1"/>
      <c r="Q3312" s="1"/>
      <c r="R3312" s="1"/>
      <c r="S3312" s="1"/>
      <c r="T3312" s="1"/>
      <c r="U3312" s="1"/>
      <c r="V3312" s="1"/>
      <c r="W3312" s="1"/>
      <c r="X3312" s="1"/>
    </row>
    <row r="3313">
      <c r="A3313" s="1"/>
      <c r="B3313" s="1"/>
      <c r="E3313" s="1"/>
      <c r="F3313" s="1"/>
      <c r="G3313" s="1"/>
      <c r="H3313" s="1"/>
      <c r="I3313" s="1"/>
      <c r="J3313" s="1"/>
      <c r="K3313" s="1"/>
      <c r="L3313" s="1"/>
      <c r="M3313" s="1"/>
      <c r="N3313" s="1"/>
      <c r="O3313" s="1"/>
      <c r="P3313" s="1"/>
      <c r="Q3313" s="1"/>
      <c r="R3313" s="1"/>
      <c r="S3313" s="1"/>
      <c r="T3313" s="1"/>
      <c r="U3313" s="1"/>
      <c r="V3313" s="1"/>
      <c r="W3313" s="1"/>
      <c r="X3313" s="1"/>
    </row>
    <row r="3314">
      <c r="A3314" s="1"/>
      <c r="B3314" s="1"/>
      <c r="E3314" s="1"/>
      <c r="F3314" s="1"/>
      <c r="G3314" s="1"/>
      <c r="H3314" s="1"/>
      <c r="I3314" s="1"/>
      <c r="J3314" s="1"/>
      <c r="K3314" s="1"/>
      <c r="L3314" s="1"/>
      <c r="M3314" s="1"/>
      <c r="N3314" s="1"/>
      <c r="O3314" s="1"/>
      <c r="P3314" s="1"/>
      <c r="Q3314" s="1"/>
      <c r="R3314" s="1"/>
      <c r="S3314" s="1"/>
      <c r="T3314" s="1"/>
      <c r="U3314" s="1"/>
      <c r="V3314" s="1"/>
      <c r="W3314" s="1"/>
      <c r="X3314" s="1"/>
    </row>
    <row r="3315">
      <c r="A3315" s="1"/>
      <c r="B3315" s="1"/>
      <c r="E3315" s="1"/>
      <c r="F3315" s="1"/>
      <c r="G3315" s="1"/>
      <c r="H3315" s="1"/>
      <c r="I3315" s="1"/>
      <c r="J3315" s="1"/>
      <c r="K3315" s="1"/>
      <c r="L3315" s="1"/>
      <c r="M3315" s="1"/>
      <c r="N3315" s="1"/>
      <c r="O3315" s="1"/>
      <c r="P3315" s="1"/>
      <c r="Q3315" s="1"/>
      <c r="R3315" s="1"/>
      <c r="S3315" s="1"/>
      <c r="T3315" s="1"/>
      <c r="U3315" s="1"/>
      <c r="V3315" s="1"/>
      <c r="W3315" s="1"/>
      <c r="X3315" s="1"/>
    </row>
    <row r="3316">
      <c r="A3316" s="1"/>
      <c r="B3316" s="1"/>
      <c r="E3316" s="1"/>
      <c r="F3316" s="1"/>
      <c r="G3316" s="1"/>
      <c r="H3316" s="1"/>
      <c r="I3316" s="1"/>
      <c r="J3316" s="1"/>
      <c r="K3316" s="1"/>
      <c r="L3316" s="1"/>
      <c r="M3316" s="1"/>
      <c r="N3316" s="1"/>
      <c r="O3316" s="1"/>
      <c r="P3316" s="1"/>
      <c r="Q3316" s="1"/>
      <c r="R3316" s="1"/>
      <c r="S3316" s="1"/>
      <c r="T3316" s="1"/>
      <c r="U3316" s="1"/>
      <c r="V3316" s="1"/>
      <c r="W3316" s="1"/>
      <c r="X3316" s="1"/>
    </row>
    <row r="3317">
      <c r="A3317" s="1"/>
      <c r="B3317" s="1"/>
      <c r="E3317" s="1"/>
      <c r="F3317" s="1"/>
      <c r="G3317" s="1"/>
      <c r="H3317" s="1"/>
      <c r="I3317" s="1"/>
      <c r="J3317" s="1"/>
      <c r="K3317" s="1"/>
      <c r="L3317" s="1"/>
      <c r="M3317" s="1"/>
      <c r="N3317" s="1"/>
      <c r="O3317" s="1"/>
      <c r="P3317" s="1"/>
      <c r="Q3317" s="1"/>
      <c r="R3317" s="1"/>
      <c r="S3317" s="1"/>
      <c r="T3317" s="1"/>
      <c r="U3317" s="1"/>
      <c r="V3317" s="1"/>
      <c r="W3317" s="1"/>
      <c r="X3317" s="1"/>
    </row>
    <row r="3318">
      <c r="A3318" s="1"/>
      <c r="B3318" s="1"/>
      <c r="E3318" s="1"/>
      <c r="F3318" s="1"/>
      <c r="G3318" s="1"/>
      <c r="H3318" s="1"/>
      <c r="I3318" s="1"/>
      <c r="J3318" s="1"/>
      <c r="K3318" s="1"/>
      <c r="L3318" s="1"/>
      <c r="M3318" s="1"/>
      <c r="N3318" s="1"/>
      <c r="O3318" s="1"/>
      <c r="P3318" s="1"/>
      <c r="Q3318" s="1"/>
      <c r="R3318" s="1"/>
      <c r="S3318" s="1"/>
      <c r="T3318" s="1"/>
      <c r="U3318" s="1"/>
      <c r="V3318" s="1"/>
      <c r="W3318" s="1"/>
      <c r="X3318" s="1"/>
    </row>
    <row r="3319">
      <c r="A3319" s="1"/>
      <c r="B3319" s="1"/>
      <c r="E3319" s="1"/>
      <c r="F3319" s="1"/>
      <c r="G3319" s="1"/>
      <c r="H3319" s="1"/>
      <c r="I3319" s="1"/>
      <c r="J3319" s="1"/>
      <c r="K3319" s="1"/>
      <c r="L3319" s="1"/>
      <c r="M3319" s="1"/>
      <c r="N3319" s="1"/>
      <c r="O3319" s="1"/>
      <c r="P3319" s="1"/>
      <c r="Q3319" s="1"/>
      <c r="R3319" s="1"/>
      <c r="S3319" s="1"/>
      <c r="T3319" s="1"/>
      <c r="U3319" s="1"/>
      <c r="V3319" s="1"/>
      <c r="W3319" s="1"/>
      <c r="X3319" s="1"/>
    </row>
    <row r="3320">
      <c r="A3320" s="1"/>
      <c r="B3320" s="1"/>
      <c r="E3320" s="1"/>
      <c r="F3320" s="1"/>
      <c r="G3320" s="1"/>
      <c r="H3320" s="1"/>
      <c r="I3320" s="1"/>
      <c r="J3320" s="1"/>
      <c r="K3320" s="1"/>
      <c r="L3320" s="1"/>
      <c r="M3320" s="1"/>
      <c r="N3320" s="1"/>
      <c r="O3320" s="1"/>
      <c r="P3320" s="1"/>
      <c r="Q3320" s="1"/>
      <c r="R3320" s="1"/>
      <c r="S3320" s="1"/>
      <c r="T3320" s="1"/>
      <c r="U3320" s="1"/>
      <c r="V3320" s="1"/>
      <c r="W3320" s="1"/>
      <c r="X3320" s="1"/>
    </row>
    <row r="3321">
      <c r="A3321" s="1"/>
      <c r="B3321" s="1"/>
      <c r="E3321" s="1"/>
      <c r="F3321" s="1"/>
      <c r="G3321" s="1"/>
      <c r="H3321" s="1"/>
      <c r="I3321" s="1"/>
      <c r="J3321" s="1"/>
      <c r="K3321" s="1"/>
      <c r="L3321" s="1"/>
      <c r="M3321" s="1"/>
      <c r="N3321" s="1"/>
      <c r="O3321" s="1"/>
      <c r="P3321" s="1"/>
      <c r="Q3321" s="1"/>
      <c r="R3321" s="1"/>
      <c r="S3321" s="1"/>
      <c r="T3321" s="1"/>
      <c r="U3321" s="1"/>
      <c r="V3321" s="1"/>
      <c r="W3321" s="1"/>
      <c r="X3321" s="1"/>
    </row>
    <row r="3322">
      <c r="A3322" s="1"/>
      <c r="B3322" s="1"/>
      <c r="E3322" s="1"/>
      <c r="F3322" s="1"/>
      <c r="G3322" s="1"/>
      <c r="H3322" s="1"/>
      <c r="I3322" s="1"/>
      <c r="J3322" s="1"/>
      <c r="K3322" s="1"/>
      <c r="L3322" s="1"/>
      <c r="M3322" s="1"/>
      <c r="N3322" s="1"/>
      <c r="O3322" s="1"/>
      <c r="P3322" s="1"/>
      <c r="Q3322" s="1"/>
      <c r="R3322" s="1"/>
      <c r="S3322" s="1"/>
      <c r="T3322" s="1"/>
      <c r="U3322" s="1"/>
      <c r="V3322" s="1"/>
      <c r="W3322" s="1"/>
      <c r="X3322" s="1"/>
    </row>
    <row r="3323">
      <c r="A3323" s="1"/>
      <c r="B3323" s="1"/>
      <c r="E3323" s="1"/>
      <c r="F3323" s="1"/>
      <c r="G3323" s="1"/>
      <c r="H3323" s="1"/>
      <c r="I3323" s="1"/>
      <c r="J3323" s="1"/>
      <c r="K3323" s="1"/>
      <c r="L3323" s="1"/>
      <c r="M3323" s="1"/>
      <c r="N3323" s="1"/>
      <c r="O3323" s="1"/>
      <c r="P3323" s="1"/>
      <c r="Q3323" s="1"/>
      <c r="R3323" s="1"/>
      <c r="S3323" s="1"/>
      <c r="T3323" s="1"/>
      <c r="U3323" s="1"/>
      <c r="V3323" s="1"/>
      <c r="W3323" s="1"/>
      <c r="X3323" s="1"/>
    </row>
    <row r="3324">
      <c r="A3324" s="1"/>
      <c r="B3324" s="1"/>
      <c r="E3324" s="1"/>
      <c r="F3324" s="1"/>
      <c r="G3324" s="1"/>
      <c r="H3324" s="1"/>
      <c r="I3324" s="1"/>
      <c r="J3324" s="1"/>
      <c r="K3324" s="1"/>
      <c r="L3324" s="1"/>
      <c r="M3324" s="1"/>
      <c r="N3324" s="1"/>
      <c r="O3324" s="1"/>
      <c r="P3324" s="1"/>
      <c r="Q3324" s="1"/>
      <c r="R3324" s="1"/>
      <c r="S3324" s="1"/>
      <c r="T3324" s="1"/>
      <c r="U3324" s="1"/>
      <c r="V3324" s="1"/>
      <c r="W3324" s="1"/>
      <c r="X3324" s="1"/>
    </row>
    <row r="3325">
      <c r="A3325" s="1"/>
      <c r="B3325" s="1"/>
      <c r="E3325" s="1"/>
      <c r="F3325" s="1"/>
      <c r="G3325" s="1"/>
      <c r="H3325" s="1"/>
      <c r="I3325" s="1"/>
      <c r="J3325" s="1"/>
      <c r="K3325" s="1"/>
      <c r="L3325" s="1"/>
      <c r="M3325" s="1"/>
      <c r="N3325" s="1"/>
      <c r="O3325" s="1"/>
      <c r="P3325" s="1"/>
      <c r="Q3325" s="1"/>
      <c r="R3325" s="1"/>
      <c r="S3325" s="1"/>
      <c r="T3325" s="1"/>
      <c r="U3325" s="1"/>
      <c r="V3325" s="1"/>
      <c r="W3325" s="1"/>
      <c r="X3325" s="1"/>
    </row>
    <row r="3326">
      <c r="A3326" s="1"/>
      <c r="B3326" s="1"/>
      <c r="E3326" s="1"/>
      <c r="F3326" s="1"/>
      <c r="G3326" s="1"/>
      <c r="H3326" s="1"/>
      <c r="I3326" s="1"/>
      <c r="J3326" s="1"/>
      <c r="K3326" s="1"/>
      <c r="L3326" s="1"/>
      <c r="M3326" s="1"/>
      <c r="N3326" s="1"/>
      <c r="O3326" s="1"/>
      <c r="P3326" s="1"/>
      <c r="Q3326" s="1"/>
      <c r="R3326" s="1"/>
      <c r="S3326" s="1"/>
      <c r="T3326" s="1"/>
      <c r="U3326" s="1"/>
      <c r="V3326" s="1"/>
      <c r="W3326" s="1"/>
      <c r="X3326" s="1"/>
    </row>
    <row r="3327">
      <c r="A3327" s="1"/>
      <c r="B3327" s="1"/>
      <c r="E3327" s="1"/>
      <c r="F3327" s="1"/>
      <c r="G3327" s="1"/>
      <c r="H3327" s="1"/>
      <c r="I3327" s="1"/>
      <c r="J3327" s="1"/>
      <c r="K3327" s="1"/>
      <c r="L3327" s="1"/>
      <c r="M3327" s="1"/>
      <c r="N3327" s="1"/>
      <c r="O3327" s="1"/>
      <c r="P3327" s="1"/>
      <c r="Q3327" s="1"/>
      <c r="R3327" s="1"/>
      <c r="S3327" s="1"/>
      <c r="T3327" s="1"/>
      <c r="U3327" s="1"/>
      <c r="V3327" s="1"/>
      <c r="W3327" s="1"/>
      <c r="X3327" s="1"/>
    </row>
    <row r="3328">
      <c r="A3328" s="1"/>
      <c r="B3328" s="1"/>
      <c r="E3328" s="1"/>
      <c r="F3328" s="1"/>
      <c r="G3328" s="1"/>
      <c r="H3328" s="1"/>
      <c r="I3328" s="1"/>
      <c r="J3328" s="1"/>
      <c r="K3328" s="1"/>
      <c r="L3328" s="1"/>
      <c r="M3328" s="1"/>
      <c r="N3328" s="1"/>
      <c r="O3328" s="1"/>
      <c r="P3328" s="1"/>
      <c r="Q3328" s="1"/>
      <c r="R3328" s="1"/>
      <c r="S3328" s="1"/>
      <c r="T3328" s="1"/>
      <c r="U3328" s="1"/>
      <c r="V3328" s="1"/>
      <c r="W3328" s="1"/>
      <c r="X3328" s="1"/>
    </row>
    <row r="3329">
      <c r="A3329" s="1"/>
      <c r="B3329" s="1"/>
      <c r="E3329" s="1"/>
      <c r="F3329" s="1"/>
      <c r="G3329" s="1"/>
      <c r="H3329" s="1"/>
      <c r="I3329" s="1"/>
      <c r="J3329" s="1"/>
      <c r="K3329" s="1"/>
      <c r="L3329" s="1"/>
      <c r="M3329" s="1"/>
      <c r="N3329" s="1"/>
      <c r="O3329" s="1"/>
      <c r="P3329" s="1"/>
      <c r="Q3329" s="1"/>
      <c r="R3329" s="1"/>
      <c r="S3329" s="1"/>
      <c r="T3329" s="1"/>
      <c r="U3329" s="1"/>
      <c r="V3329" s="1"/>
      <c r="W3329" s="1"/>
      <c r="X3329" s="1"/>
    </row>
    <row r="3330">
      <c r="A3330" s="1"/>
      <c r="B3330" s="1"/>
      <c r="E3330" s="1"/>
      <c r="F3330" s="1"/>
      <c r="G3330" s="1"/>
      <c r="H3330" s="1"/>
      <c r="I3330" s="1"/>
      <c r="J3330" s="1"/>
      <c r="K3330" s="1"/>
      <c r="L3330" s="1"/>
      <c r="M3330" s="1"/>
      <c r="N3330" s="1"/>
      <c r="O3330" s="1"/>
      <c r="P3330" s="1"/>
      <c r="Q3330" s="1"/>
      <c r="R3330" s="1"/>
      <c r="S3330" s="1"/>
      <c r="T3330" s="1"/>
      <c r="U3330" s="1"/>
      <c r="V3330" s="1"/>
      <c r="W3330" s="1"/>
      <c r="X3330" s="1"/>
    </row>
    <row r="3331">
      <c r="A3331" s="1"/>
      <c r="B3331" s="1"/>
      <c r="E3331" s="1"/>
      <c r="F3331" s="1"/>
      <c r="G3331" s="1"/>
      <c r="H3331" s="1"/>
      <c r="I3331" s="1"/>
      <c r="J3331" s="1"/>
      <c r="K3331" s="1"/>
      <c r="L3331" s="1"/>
      <c r="M3331" s="1"/>
      <c r="N3331" s="1"/>
      <c r="O3331" s="1"/>
      <c r="P3331" s="1"/>
      <c r="Q3331" s="1"/>
      <c r="R3331" s="1"/>
      <c r="S3331" s="1"/>
      <c r="T3331" s="1"/>
      <c r="U3331" s="1"/>
      <c r="V3331" s="1"/>
      <c r="W3331" s="1"/>
      <c r="X3331" s="1"/>
    </row>
    <row r="3332">
      <c r="A3332" s="1"/>
      <c r="B3332" s="1"/>
      <c r="E3332" s="1"/>
      <c r="F3332" s="1"/>
      <c r="G3332" s="1"/>
      <c r="H3332" s="1"/>
      <c r="I3332" s="1"/>
      <c r="J3332" s="1"/>
      <c r="K3332" s="1"/>
      <c r="L3332" s="1"/>
      <c r="M3332" s="1"/>
      <c r="N3332" s="1"/>
      <c r="O3332" s="1"/>
      <c r="P3332" s="1"/>
      <c r="Q3332" s="1"/>
      <c r="R3332" s="1"/>
      <c r="S3332" s="1"/>
      <c r="T3332" s="1"/>
      <c r="U3332" s="1"/>
      <c r="V3332" s="1"/>
      <c r="W3332" s="1"/>
      <c r="X3332" s="1"/>
    </row>
    <row r="3333">
      <c r="A3333" s="1"/>
      <c r="B3333" s="1"/>
      <c r="E3333" s="1"/>
      <c r="F3333" s="1"/>
      <c r="G3333" s="1"/>
      <c r="H3333" s="1"/>
      <c r="I3333" s="1"/>
      <c r="J3333" s="1"/>
      <c r="K3333" s="1"/>
      <c r="L3333" s="1"/>
      <c r="M3333" s="1"/>
      <c r="N3333" s="1"/>
      <c r="O3333" s="1"/>
      <c r="P3333" s="1"/>
      <c r="Q3333" s="1"/>
      <c r="R3333" s="1"/>
      <c r="S3333" s="1"/>
      <c r="T3333" s="1"/>
      <c r="U3333" s="1"/>
      <c r="V3333" s="1"/>
      <c r="W3333" s="1"/>
      <c r="X3333" s="1"/>
    </row>
    <row r="3334">
      <c r="A3334" s="1"/>
      <c r="B3334" s="1"/>
      <c r="E3334" s="1"/>
      <c r="F3334" s="1"/>
      <c r="G3334" s="1"/>
      <c r="H3334" s="1"/>
      <c r="I3334" s="1"/>
      <c r="J3334" s="1"/>
      <c r="K3334" s="1"/>
      <c r="L3334" s="1"/>
      <c r="M3334" s="1"/>
      <c r="N3334" s="1"/>
      <c r="O3334" s="1"/>
      <c r="P3334" s="1"/>
      <c r="Q3334" s="1"/>
      <c r="R3334" s="1"/>
      <c r="S3334" s="1"/>
      <c r="T3334" s="1"/>
      <c r="U3334" s="1"/>
      <c r="V3334" s="1"/>
      <c r="W3334" s="1"/>
      <c r="X3334" s="1"/>
    </row>
    <row r="3335">
      <c r="A3335" s="1"/>
      <c r="B3335" s="1"/>
      <c r="E3335" s="1"/>
      <c r="F3335" s="1"/>
      <c r="G3335" s="1"/>
      <c r="H3335" s="1"/>
      <c r="I3335" s="1"/>
      <c r="J3335" s="1"/>
      <c r="K3335" s="1"/>
      <c r="L3335" s="1"/>
      <c r="M3335" s="1"/>
      <c r="N3335" s="1"/>
      <c r="O3335" s="1"/>
      <c r="P3335" s="1"/>
      <c r="Q3335" s="1"/>
      <c r="R3335" s="1"/>
      <c r="S3335" s="1"/>
      <c r="T3335" s="1"/>
      <c r="U3335" s="1"/>
      <c r="V3335" s="1"/>
      <c r="W3335" s="1"/>
      <c r="X3335" s="1"/>
    </row>
    <row r="3336">
      <c r="A3336" s="1"/>
      <c r="B3336" s="1"/>
      <c r="E3336" s="1"/>
      <c r="F3336" s="1"/>
      <c r="G3336" s="1"/>
      <c r="H3336" s="1"/>
      <c r="I3336" s="1"/>
      <c r="J3336" s="1"/>
      <c r="K3336" s="1"/>
      <c r="L3336" s="1"/>
      <c r="M3336" s="1"/>
      <c r="N3336" s="1"/>
      <c r="O3336" s="1"/>
      <c r="P3336" s="1"/>
      <c r="Q3336" s="1"/>
      <c r="R3336" s="1"/>
      <c r="S3336" s="1"/>
      <c r="T3336" s="1"/>
      <c r="U3336" s="1"/>
      <c r="V3336" s="1"/>
      <c r="W3336" s="1"/>
      <c r="X3336" s="1"/>
    </row>
    <row r="3337">
      <c r="A3337" s="1"/>
      <c r="B3337" s="1"/>
      <c r="E3337" s="1"/>
      <c r="F3337" s="1"/>
      <c r="G3337" s="1"/>
      <c r="H3337" s="1"/>
      <c r="I3337" s="1"/>
      <c r="J3337" s="1"/>
      <c r="K3337" s="1"/>
      <c r="L3337" s="1"/>
      <c r="M3337" s="1"/>
      <c r="N3337" s="1"/>
      <c r="O3337" s="1"/>
      <c r="P3337" s="1"/>
      <c r="Q3337" s="1"/>
      <c r="R3337" s="1"/>
      <c r="S3337" s="1"/>
      <c r="T3337" s="1"/>
      <c r="U3337" s="1"/>
      <c r="V3337" s="1"/>
      <c r="W3337" s="1"/>
      <c r="X3337" s="1"/>
    </row>
    <row r="3338">
      <c r="A3338" s="1"/>
      <c r="B3338" s="1"/>
      <c r="E3338" s="1"/>
      <c r="F3338" s="1"/>
      <c r="G3338" s="1"/>
      <c r="H3338" s="1"/>
      <c r="I3338" s="1"/>
      <c r="J3338" s="1"/>
      <c r="K3338" s="1"/>
      <c r="L3338" s="1"/>
      <c r="M3338" s="1"/>
      <c r="N3338" s="1"/>
      <c r="O3338" s="1"/>
      <c r="P3338" s="1"/>
      <c r="Q3338" s="1"/>
      <c r="R3338" s="1"/>
      <c r="S3338" s="1"/>
      <c r="T3338" s="1"/>
      <c r="U3338" s="1"/>
      <c r="V3338" s="1"/>
      <c r="W3338" s="1"/>
      <c r="X3338" s="1"/>
    </row>
    <row r="3339">
      <c r="A3339" s="1"/>
      <c r="B3339" s="1"/>
      <c r="E3339" s="1"/>
      <c r="F3339" s="1"/>
      <c r="G3339" s="1"/>
      <c r="H3339" s="1"/>
      <c r="I3339" s="1"/>
      <c r="J3339" s="1"/>
      <c r="K3339" s="1"/>
      <c r="L3339" s="1"/>
      <c r="M3339" s="1"/>
      <c r="N3339" s="1"/>
      <c r="O3339" s="1"/>
      <c r="P3339" s="1"/>
      <c r="Q3339" s="1"/>
      <c r="R3339" s="1"/>
      <c r="S3339" s="1"/>
      <c r="T3339" s="1"/>
      <c r="U3339" s="1"/>
      <c r="V3339" s="1"/>
      <c r="W3339" s="1"/>
      <c r="X3339" s="1"/>
    </row>
    <row r="3340">
      <c r="A3340" s="1"/>
      <c r="B3340" s="1"/>
      <c r="E3340" s="1"/>
      <c r="F3340" s="1"/>
      <c r="G3340" s="1"/>
      <c r="H3340" s="1"/>
      <c r="I3340" s="1"/>
      <c r="J3340" s="1"/>
      <c r="K3340" s="1"/>
      <c r="L3340" s="1"/>
      <c r="M3340" s="1"/>
      <c r="N3340" s="1"/>
      <c r="O3340" s="1"/>
      <c r="P3340" s="1"/>
      <c r="Q3340" s="1"/>
      <c r="R3340" s="1"/>
      <c r="S3340" s="1"/>
      <c r="T3340" s="1"/>
      <c r="U3340" s="1"/>
      <c r="V3340" s="1"/>
      <c r="W3340" s="1"/>
      <c r="X3340" s="1"/>
    </row>
    <row r="3341">
      <c r="A3341" s="1"/>
      <c r="B3341" s="1"/>
      <c r="E3341" s="1"/>
      <c r="F3341" s="1"/>
      <c r="G3341" s="1"/>
      <c r="H3341" s="1"/>
      <c r="I3341" s="1"/>
      <c r="J3341" s="1"/>
      <c r="K3341" s="1"/>
      <c r="L3341" s="1"/>
      <c r="M3341" s="1"/>
      <c r="N3341" s="1"/>
      <c r="O3341" s="1"/>
      <c r="P3341" s="1"/>
      <c r="Q3341" s="1"/>
      <c r="R3341" s="1"/>
      <c r="S3341" s="1"/>
      <c r="T3341" s="1"/>
      <c r="U3341" s="1"/>
      <c r="V3341" s="1"/>
      <c r="W3341" s="1"/>
      <c r="X3341" s="1"/>
    </row>
    <row r="3342">
      <c r="A3342" s="1"/>
      <c r="B3342" s="1"/>
      <c r="E3342" s="1"/>
      <c r="F3342" s="1"/>
      <c r="G3342" s="1"/>
      <c r="H3342" s="1"/>
      <c r="I3342" s="1"/>
      <c r="J3342" s="1"/>
      <c r="K3342" s="1"/>
      <c r="L3342" s="1"/>
      <c r="M3342" s="1"/>
      <c r="N3342" s="1"/>
      <c r="O3342" s="1"/>
      <c r="P3342" s="1"/>
      <c r="Q3342" s="1"/>
      <c r="R3342" s="1"/>
      <c r="S3342" s="1"/>
      <c r="T3342" s="1"/>
      <c r="U3342" s="1"/>
      <c r="V3342" s="1"/>
      <c r="W3342" s="1"/>
      <c r="X3342" s="1"/>
    </row>
    <row r="3343">
      <c r="A3343" s="1"/>
      <c r="B3343" s="1"/>
      <c r="E3343" s="1"/>
      <c r="F3343" s="1"/>
      <c r="G3343" s="1"/>
      <c r="H3343" s="1"/>
      <c r="I3343" s="1"/>
      <c r="J3343" s="1"/>
      <c r="K3343" s="1"/>
      <c r="L3343" s="1"/>
      <c r="M3343" s="1"/>
      <c r="N3343" s="1"/>
      <c r="O3343" s="1"/>
      <c r="P3343" s="1"/>
      <c r="Q3343" s="1"/>
      <c r="R3343" s="1"/>
      <c r="S3343" s="1"/>
      <c r="T3343" s="1"/>
      <c r="U3343" s="1"/>
      <c r="V3343" s="1"/>
      <c r="W3343" s="1"/>
      <c r="X3343" s="1"/>
    </row>
    <row r="3344">
      <c r="A3344" s="1"/>
      <c r="B3344" s="1"/>
      <c r="E3344" s="1"/>
      <c r="F3344" s="1"/>
      <c r="G3344" s="1"/>
      <c r="H3344" s="1"/>
      <c r="I3344" s="1"/>
      <c r="J3344" s="1"/>
      <c r="K3344" s="1"/>
      <c r="L3344" s="1"/>
      <c r="M3344" s="1"/>
      <c r="N3344" s="1"/>
      <c r="O3344" s="1"/>
      <c r="P3344" s="1"/>
      <c r="Q3344" s="1"/>
      <c r="R3344" s="1"/>
      <c r="S3344" s="1"/>
      <c r="T3344" s="1"/>
      <c r="U3344" s="1"/>
      <c r="V3344" s="1"/>
      <c r="W3344" s="1"/>
      <c r="X3344" s="1"/>
    </row>
    <row r="3345">
      <c r="A3345" s="1"/>
      <c r="B3345" s="1"/>
      <c r="E3345" s="1"/>
      <c r="F3345" s="1"/>
      <c r="G3345" s="1"/>
      <c r="H3345" s="1"/>
      <c r="I3345" s="1"/>
      <c r="J3345" s="1"/>
      <c r="K3345" s="1"/>
      <c r="L3345" s="1"/>
      <c r="M3345" s="1"/>
      <c r="N3345" s="1"/>
      <c r="O3345" s="1"/>
      <c r="P3345" s="1"/>
      <c r="Q3345" s="1"/>
      <c r="R3345" s="1"/>
      <c r="S3345" s="1"/>
      <c r="T3345" s="1"/>
      <c r="U3345" s="1"/>
      <c r="V3345" s="1"/>
      <c r="W3345" s="1"/>
      <c r="X3345" s="1"/>
    </row>
    <row r="3346">
      <c r="A3346" s="1"/>
      <c r="B3346" s="1"/>
      <c r="E3346" s="1"/>
      <c r="F3346" s="1"/>
      <c r="G3346" s="1"/>
      <c r="H3346" s="1"/>
      <c r="I3346" s="1"/>
      <c r="J3346" s="1"/>
      <c r="K3346" s="1"/>
      <c r="L3346" s="1"/>
      <c r="M3346" s="1"/>
      <c r="N3346" s="1"/>
      <c r="O3346" s="1"/>
      <c r="P3346" s="1"/>
      <c r="Q3346" s="1"/>
      <c r="R3346" s="1"/>
      <c r="S3346" s="1"/>
      <c r="T3346" s="1"/>
      <c r="U3346" s="1"/>
      <c r="V3346" s="1"/>
      <c r="W3346" s="1"/>
      <c r="X3346" s="1"/>
    </row>
    <row r="3347">
      <c r="A3347" s="1"/>
      <c r="B3347" s="1"/>
      <c r="E3347" s="1"/>
      <c r="F3347" s="1"/>
      <c r="G3347" s="1"/>
      <c r="H3347" s="1"/>
      <c r="I3347" s="1"/>
      <c r="J3347" s="1"/>
      <c r="K3347" s="1"/>
      <c r="L3347" s="1"/>
      <c r="M3347" s="1"/>
      <c r="N3347" s="1"/>
      <c r="O3347" s="1"/>
      <c r="P3347" s="1"/>
      <c r="Q3347" s="1"/>
      <c r="R3347" s="1"/>
      <c r="S3347" s="1"/>
      <c r="T3347" s="1"/>
      <c r="U3347" s="1"/>
      <c r="V3347" s="1"/>
      <c r="W3347" s="1"/>
      <c r="X3347" s="1"/>
    </row>
    <row r="3348">
      <c r="A3348" s="1"/>
      <c r="B3348" s="1"/>
      <c r="E3348" s="1"/>
      <c r="F3348" s="1"/>
      <c r="G3348" s="1"/>
      <c r="H3348" s="1"/>
      <c r="I3348" s="1"/>
      <c r="J3348" s="1"/>
      <c r="K3348" s="1"/>
      <c r="L3348" s="1"/>
      <c r="M3348" s="1"/>
      <c r="N3348" s="1"/>
      <c r="O3348" s="1"/>
      <c r="P3348" s="1"/>
      <c r="Q3348" s="1"/>
      <c r="R3348" s="1"/>
      <c r="S3348" s="1"/>
      <c r="T3348" s="1"/>
      <c r="U3348" s="1"/>
      <c r="V3348" s="1"/>
      <c r="W3348" s="1"/>
      <c r="X3348" s="1"/>
    </row>
    <row r="3349">
      <c r="A3349" s="1"/>
      <c r="B3349" s="1"/>
      <c r="E3349" s="1"/>
      <c r="F3349" s="1"/>
      <c r="G3349" s="1"/>
      <c r="H3349" s="1"/>
      <c r="I3349" s="1"/>
      <c r="J3349" s="1"/>
      <c r="K3349" s="1"/>
      <c r="L3349" s="1"/>
      <c r="M3349" s="1"/>
      <c r="N3349" s="1"/>
      <c r="O3349" s="1"/>
      <c r="P3349" s="1"/>
      <c r="Q3349" s="1"/>
      <c r="R3349" s="1"/>
      <c r="S3349" s="1"/>
      <c r="T3349" s="1"/>
      <c r="U3349" s="1"/>
      <c r="V3349" s="1"/>
      <c r="W3349" s="1"/>
      <c r="X3349" s="1"/>
    </row>
    <row r="3350">
      <c r="A3350" s="1"/>
      <c r="B3350" s="1"/>
      <c r="E3350" s="1"/>
      <c r="F3350" s="1"/>
      <c r="G3350" s="1"/>
      <c r="H3350" s="1"/>
      <c r="I3350" s="1"/>
      <c r="J3350" s="1"/>
      <c r="K3350" s="1"/>
      <c r="L3350" s="1"/>
      <c r="M3350" s="1"/>
      <c r="N3350" s="1"/>
      <c r="O3350" s="1"/>
      <c r="P3350" s="1"/>
      <c r="Q3350" s="1"/>
      <c r="R3350" s="1"/>
      <c r="S3350" s="1"/>
      <c r="T3350" s="1"/>
      <c r="U3350" s="1"/>
      <c r="V3350" s="1"/>
      <c r="W3350" s="1"/>
      <c r="X3350" s="1"/>
    </row>
    <row r="3351">
      <c r="A3351" s="1"/>
      <c r="B3351" s="1"/>
      <c r="E3351" s="1"/>
      <c r="F3351" s="1"/>
      <c r="G3351" s="1"/>
      <c r="H3351" s="1"/>
      <c r="I3351" s="1"/>
      <c r="J3351" s="1"/>
      <c r="K3351" s="1"/>
      <c r="L3351" s="1"/>
      <c r="M3351" s="1"/>
      <c r="N3351" s="1"/>
      <c r="O3351" s="1"/>
      <c r="P3351" s="1"/>
      <c r="Q3351" s="1"/>
      <c r="R3351" s="1"/>
      <c r="S3351" s="1"/>
      <c r="T3351" s="1"/>
      <c r="U3351" s="1"/>
      <c r="V3351" s="1"/>
      <c r="W3351" s="1"/>
      <c r="X3351" s="1"/>
    </row>
    <row r="3352">
      <c r="A3352" s="1"/>
      <c r="B3352" s="1"/>
      <c r="E3352" s="1"/>
      <c r="F3352" s="1"/>
      <c r="G3352" s="1"/>
      <c r="H3352" s="1"/>
      <c r="I3352" s="1"/>
      <c r="J3352" s="1"/>
      <c r="K3352" s="1"/>
      <c r="L3352" s="1"/>
      <c r="M3352" s="1"/>
      <c r="N3352" s="1"/>
      <c r="O3352" s="1"/>
      <c r="P3352" s="1"/>
      <c r="Q3352" s="1"/>
      <c r="R3352" s="1"/>
      <c r="S3352" s="1"/>
      <c r="T3352" s="1"/>
      <c r="U3352" s="1"/>
      <c r="V3352" s="1"/>
      <c r="W3352" s="1"/>
      <c r="X3352" s="1"/>
    </row>
    <row r="3353">
      <c r="A3353" s="1"/>
      <c r="B3353" s="1"/>
      <c r="E3353" s="1"/>
      <c r="F3353" s="1"/>
      <c r="G3353" s="1"/>
      <c r="H3353" s="1"/>
      <c r="I3353" s="1"/>
      <c r="J3353" s="1"/>
      <c r="K3353" s="1"/>
      <c r="L3353" s="1"/>
      <c r="M3353" s="1"/>
      <c r="N3353" s="1"/>
      <c r="O3353" s="1"/>
      <c r="P3353" s="1"/>
      <c r="Q3353" s="1"/>
      <c r="R3353" s="1"/>
      <c r="S3353" s="1"/>
      <c r="T3353" s="1"/>
      <c r="U3353" s="1"/>
      <c r="V3353" s="1"/>
      <c r="W3353" s="1"/>
      <c r="X3353" s="1"/>
    </row>
    <row r="3354">
      <c r="A3354" s="1"/>
      <c r="B3354" s="1"/>
      <c r="E3354" s="1"/>
      <c r="F3354" s="1"/>
      <c r="G3354" s="1"/>
      <c r="H3354" s="1"/>
      <c r="I3354" s="1"/>
      <c r="J3354" s="1"/>
      <c r="K3354" s="1"/>
      <c r="L3354" s="1"/>
      <c r="M3354" s="1"/>
      <c r="N3354" s="1"/>
      <c r="O3354" s="1"/>
      <c r="P3354" s="1"/>
      <c r="Q3354" s="1"/>
      <c r="R3354" s="1"/>
      <c r="S3354" s="1"/>
      <c r="T3354" s="1"/>
      <c r="U3354" s="1"/>
      <c r="V3354" s="1"/>
      <c r="W3354" s="1"/>
      <c r="X3354" s="1"/>
    </row>
    <row r="3355">
      <c r="A3355" s="1"/>
      <c r="B3355" s="1"/>
      <c r="E3355" s="1"/>
      <c r="F3355" s="1"/>
      <c r="G3355" s="1"/>
      <c r="H3355" s="1"/>
      <c r="I3355" s="1"/>
      <c r="J3355" s="1"/>
      <c r="K3355" s="1"/>
      <c r="L3355" s="1"/>
      <c r="M3355" s="1"/>
      <c r="N3355" s="1"/>
      <c r="O3355" s="1"/>
      <c r="P3355" s="1"/>
      <c r="Q3355" s="1"/>
      <c r="R3355" s="1"/>
      <c r="S3355" s="1"/>
      <c r="T3355" s="1"/>
      <c r="U3355" s="1"/>
      <c r="V3355" s="1"/>
      <c r="W3355" s="1"/>
      <c r="X3355" s="1"/>
    </row>
    <row r="3356">
      <c r="A3356" s="1"/>
      <c r="B3356" s="1"/>
      <c r="E3356" s="1"/>
      <c r="F3356" s="1"/>
      <c r="G3356" s="1"/>
      <c r="H3356" s="1"/>
      <c r="I3356" s="1"/>
      <c r="J3356" s="1"/>
      <c r="K3356" s="1"/>
      <c r="L3356" s="1"/>
      <c r="M3356" s="1"/>
      <c r="N3356" s="1"/>
      <c r="O3356" s="1"/>
      <c r="P3356" s="1"/>
      <c r="Q3356" s="1"/>
      <c r="R3356" s="1"/>
      <c r="S3356" s="1"/>
      <c r="T3356" s="1"/>
      <c r="U3356" s="1"/>
      <c r="V3356" s="1"/>
      <c r="W3356" s="1"/>
      <c r="X3356" s="1"/>
    </row>
    <row r="3357">
      <c r="A3357" s="1"/>
      <c r="B3357" s="1"/>
      <c r="E3357" s="1"/>
      <c r="F3357" s="1"/>
      <c r="G3357" s="1"/>
      <c r="H3357" s="1"/>
      <c r="I3357" s="1"/>
      <c r="J3357" s="1"/>
      <c r="K3357" s="1"/>
      <c r="L3357" s="1"/>
      <c r="M3357" s="1"/>
      <c r="N3357" s="1"/>
      <c r="O3357" s="1"/>
      <c r="P3357" s="1"/>
      <c r="Q3357" s="1"/>
      <c r="R3357" s="1"/>
      <c r="S3357" s="1"/>
      <c r="T3357" s="1"/>
      <c r="U3357" s="1"/>
      <c r="V3357" s="1"/>
      <c r="W3357" s="1"/>
      <c r="X3357" s="1"/>
    </row>
    <row r="3358">
      <c r="A3358" s="1"/>
      <c r="B3358" s="1"/>
      <c r="E3358" s="1"/>
      <c r="F3358" s="1"/>
      <c r="G3358" s="1"/>
      <c r="H3358" s="1"/>
      <c r="I3358" s="1"/>
      <c r="J3358" s="1"/>
      <c r="K3358" s="1"/>
      <c r="L3358" s="1"/>
      <c r="M3358" s="1"/>
      <c r="N3358" s="1"/>
      <c r="O3358" s="1"/>
      <c r="P3358" s="1"/>
      <c r="Q3358" s="1"/>
      <c r="R3358" s="1"/>
      <c r="S3358" s="1"/>
      <c r="T3358" s="1"/>
      <c r="U3358" s="1"/>
      <c r="V3358" s="1"/>
      <c r="W3358" s="1"/>
      <c r="X3358" s="1"/>
    </row>
    <row r="3359">
      <c r="A3359" s="1"/>
      <c r="B3359" s="1"/>
      <c r="E3359" s="1"/>
      <c r="F3359" s="1"/>
      <c r="G3359" s="1"/>
      <c r="H3359" s="1"/>
      <c r="I3359" s="1"/>
      <c r="J3359" s="1"/>
      <c r="K3359" s="1"/>
      <c r="L3359" s="1"/>
      <c r="M3359" s="1"/>
      <c r="N3359" s="1"/>
      <c r="O3359" s="1"/>
      <c r="P3359" s="1"/>
      <c r="Q3359" s="1"/>
      <c r="R3359" s="1"/>
      <c r="S3359" s="1"/>
      <c r="T3359" s="1"/>
      <c r="U3359" s="1"/>
      <c r="V3359" s="1"/>
      <c r="W3359" s="1"/>
      <c r="X3359" s="1"/>
    </row>
    <row r="3360">
      <c r="A3360" s="1"/>
      <c r="B3360" s="1"/>
      <c r="E3360" s="1"/>
      <c r="F3360" s="1"/>
      <c r="G3360" s="1"/>
      <c r="H3360" s="1"/>
      <c r="I3360" s="1"/>
      <c r="J3360" s="1"/>
      <c r="K3360" s="1"/>
      <c r="L3360" s="1"/>
      <c r="M3360" s="1"/>
      <c r="N3360" s="1"/>
      <c r="O3360" s="1"/>
      <c r="P3360" s="1"/>
      <c r="Q3360" s="1"/>
      <c r="R3360" s="1"/>
      <c r="S3360" s="1"/>
      <c r="T3360" s="1"/>
      <c r="U3360" s="1"/>
      <c r="V3360" s="1"/>
      <c r="W3360" s="1"/>
      <c r="X3360" s="1"/>
    </row>
    <row r="3361">
      <c r="A3361" s="1"/>
      <c r="B3361" s="1"/>
      <c r="E3361" s="1"/>
      <c r="F3361" s="1"/>
      <c r="G3361" s="1"/>
      <c r="H3361" s="1"/>
      <c r="I3361" s="1"/>
      <c r="J3361" s="1"/>
      <c r="K3361" s="1"/>
      <c r="L3361" s="1"/>
      <c r="M3361" s="1"/>
      <c r="N3361" s="1"/>
      <c r="O3361" s="1"/>
      <c r="P3361" s="1"/>
      <c r="Q3361" s="1"/>
      <c r="R3361" s="1"/>
      <c r="S3361" s="1"/>
      <c r="T3361" s="1"/>
      <c r="U3361" s="1"/>
      <c r="V3361" s="1"/>
      <c r="W3361" s="1"/>
      <c r="X3361" s="1"/>
    </row>
    <row r="3362">
      <c r="A3362" s="1"/>
      <c r="B3362" s="1"/>
      <c r="E3362" s="1"/>
      <c r="F3362" s="1"/>
      <c r="G3362" s="1"/>
      <c r="H3362" s="1"/>
      <c r="I3362" s="1"/>
      <c r="J3362" s="1"/>
      <c r="K3362" s="1"/>
      <c r="L3362" s="1"/>
      <c r="M3362" s="1"/>
      <c r="N3362" s="1"/>
      <c r="O3362" s="1"/>
      <c r="P3362" s="1"/>
      <c r="Q3362" s="1"/>
      <c r="R3362" s="1"/>
      <c r="S3362" s="1"/>
      <c r="T3362" s="1"/>
      <c r="U3362" s="1"/>
      <c r="V3362" s="1"/>
      <c r="W3362" s="1"/>
      <c r="X3362" s="1"/>
    </row>
    <row r="3363">
      <c r="A3363" s="1"/>
      <c r="B3363" s="1"/>
      <c r="E3363" s="1"/>
      <c r="F3363" s="1"/>
      <c r="G3363" s="1"/>
      <c r="H3363" s="1"/>
      <c r="I3363" s="1"/>
      <c r="J3363" s="1"/>
      <c r="K3363" s="1"/>
      <c r="L3363" s="1"/>
      <c r="M3363" s="1"/>
      <c r="N3363" s="1"/>
      <c r="O3363" s="1"/>
      <c r="P3363" s="1"/>
      <c r="Q3363" s="1"/>
      <c r="R3363" s="1"/>
      <c r="S3363" s="1"/>
      <c r="T3363" s="1"/>
      <c r="U3363" s="1"/>
      <c r="V3363" s="1"/>
      <c r="W3363" s="1"/>
      <c r="X3363" s="1"/>
    </row>
    <row r="3364">
      <c r="A3364" s="1"/>
      <c r="B3364" s="1"/>
      <c r="E3364" s="1"/>
      <c r="F3364" s="1"/>
      <c r="G3364" s="1"/>
      <c r="H3364" s="1"/>
      <c r="I3364" s="1"/>
      <c r="J3364" s="1"/>
      <c r="K3364" s="1"/>
      <c r="L3364" s="1"/>
      <c r="M3364" s="1"/>
      <c r="N3364" s="1"/>
      <c r="O3364" s="1"/>
      <c r="P3364" s="1"/>
      <c r="Q3364" s="1"/>
      <c r="R3364" s="1"/>
      <c r="S3364" s="1"/>
      <c r="T3364" s="1"/>
      <c r="U3364" s="1"/>
      <c r="V3364" s="1"/>
      <c r="W3364" s="1"/>
      <c r="X3364" s="1"/>
    </row>
    <row r="3365">
      <c r="A3365" s="1"/>
      <c r="B3365" s="1"/>
      <c r="E3365" s="1"/>
      <c r="F3365" s="1"/>
      <c r="G3365" s="1"/>
      <c r="H3365" s="1"/>
      <c r="I3365" s="1"/>
      <c r="J3365" s="1"/>
      <c r="K3365" s="1"/>
      <c r="L3365" s="1"/>
      <c r="M3365" s="1"/>
      <c r="N3365" s="1"/>
      <c r="O3365" s="1"/>
      <c r="P3365" s="1"/>
      <c r="Q3365" s="1"/>
      <c r="R3365" s="1"/>
      <c r="S3365" s="1"/>
      <c r="T3365" s="1"/>
      <c r="U3365" s="1"/>
      <c r="V3365" s="1"/>
      <c r="W3365" s="1"/>
      <c r="X3365" s="1"/>
    </row>
    <row r="3366">
      <c r="A3366" s="1"/>
      <c r="B3366" s="1"/>
      <c r="E3366" s="1"/>
      <c r="F3366" s="1"/>
      <c r="G3366" s="1"/>
      <c r="H3366" s="1"/>
      <c r="I3366" s="1"/>
      <c r="J3366" s="1"/>
      <c r="K3366" s="1"/>
      <c r="L3366" s="1"/>
      <c r="M3366" s="1"/>
      <c r="N3366" s="1"/>
      <c r="O3366" s="1"/>
      <c r="P3366" s="1"/>
      <c r="Q3366" s="1"/>
      <c r="R3366" s="1"/>
      <c r="S3366" s="1"/>
      <c r="T3366" s="1"/>
      <c r="U3366" s="1"/>
      <c r="V3366" s="1"/>
      <c r="W3366" s="1"/>
      <c r="X3366" s="1"/>
    </row>
    <row r="3367">
      <c r="A3367" s="1"/>
      <c r="B3367" s="1"/>
      <c r="E3367" s="1"/>
      <c r="F3367" s="1"/>
      <c r="G3367" s="1"/>
      <c r="H3367" s="1"/>
      <c r="I3367" s="1"/>
      <c r="J3367" s="1"/>
      <c r="K3367" s="1"/>
      <c r="L3367" s="1"/>
      <c r="M3367" s="1"/>
      <c r="N3367" s="1"/>
      <c r="O3367" s="1"/>
      <c r="P3367" s="1"/>
      <c r="Q3367" s="1"/>
      <c r="R3367" s="1"/>
      <c r="S3367" s="1"/>
      <c r="T3367" s="1"/>
      <c r="U3367" s="1"/>
      <c r="V3367" s="1"/>
      <c r="W3367" s="1"/>
      <c r="X3367" s="1"/>
    </row>
    <row r="3368">
      <c r="A3368" s="1"/>
      <c r="B3368" s="1"/>
      <c r="E3368" s="1"/>
      <c r="F3368" s="1"/>
      <c r="G3368" s="1"/>
      <c r="H3368" s="1"/>
      <c r="I3368" s="1"/>
      <c r="J3368" s="1"/>
      <c r="K3368" s="1"/>
      <c r="L3368" s="1"/>
      <c r="M3368" s="1"/>
      <c r="N3368" s="1"/>
      <c r="O3368" s="1"/>
      <c r="P3368" s="1"/>
      <c r="Q3368" s="1"/>
      <c r="R3368" s="1"/>
      <c r="S3368" s="1"/>
      <c r="T3368" s="1"/>
      <c r="U3368" s="1"/>
      <c r="V3368" s="1"/>
      <c r="W3368" s="1"/>
      <c r="X3368" s="1"/>
    </row>
    <row r="3369">
      <c r="A3369" s="1"/>
      <c r="B3369" s="1"/>
      <c r="E3369" s="1"/>
      <c r="F3369" s="1"/>
      <c r="G3369" s="1"/>
      <c r="H3369" s="1"/>
      <c r="I3369" s="1"/>
      <c r="J3369" s="1"/>
      <c r="K3369" s="1"/>
      <c r="L3369" s="1"/>
      <c r="M3369" s="1"/>
      <c r="N3369" s="1"/>
      <c r="O3369" s="1"/>
      <c r="P3369" s="1"/>
      <c r="Q3369" s="1"/>
      <c r="R3369" s="1"/>
      <c r="S3369" s="1"/>
      <c r="T3369" s="1"/>
      <c r="U3369" s="1"/>
      <c r="V3369" s="1"/>
      <c r="W3369" s="1"/>
      <c r="X3369" s="1"/>
    </row>
    <row r="3370">
      <c r="A3370" s="1"/>
      <c r="B3370" s="1"/>
      <c r="E3370" s="1"/>
      <c r="F3370" s="1"/>
      <c r="G3370" s="1"/>
      <c r="H3370" s="1"/>
      <c r="I3370" s="1"/>
      <c r="J3370" s="1"/>
      <c r="K3370" s="1"/>
      <c r="L3370" s="1"/>
      <c r="M3370" s="1"/>
      <c r="N3370" s="1"/>
      <c r="O3370" s="1"/>
      <c r="P3370" s="1"/>
      <c r="Q3370" s="1"/>
      <c r="R3370" s="1"/>
      <c r="S3370" s="1"/>
      <c r="T3370" s="1"/>
      <c r="U3370" s="1"/>
      <c r="V3370" s="1"/>
      <c r="W3370" s="1"/>
      <c r="X3370" s="1"/>
    </row>
    <row r="3371">
      <c r="A3371" s="1"/>
      <c r="B3371" s="1"/>
      <c r="E3371" s="1"/>
      <c r="F3371" s="1"/>
      <c r="G3371" s="1"/>
      <c r="H3371" s="1"/>
      <c r="I3371" s="1"/>
      <c r="J3371" s="1"/>
      <c r="K3371" s="1"/>
      <c r="L3371" s="1"/>
      <c r="M3371" s="1"/>
      <c r="N3371" s="1"/>
      <c r="O3371" s="1"/>
      <c r="P3371" s="1"/>
      <c r="Q3371" s="1"/>
      <c r="R3371" s="1"/>
      <c r="S3371" s="1"/>
      <c r="T3371" s="1"/>
      <c r="U3371" s="1"/>
      <c r="V3371" s="1"/>
      <c r="W3371" s="1"/>
      <c r="X3371" s="1"/>
    </row>
    <row r="3372">
      <c r="A3372" s="1"/>
      <c r="B3372" s="1"/>
      <c r="E3372" s="1"/>
      <c r="F3372" s="1"/>
      <c r="G3372" s="1"/>
      <c r="H3372" s="1"/>
      <c r="I3372" s="1"/>
      <c r="J3372" s="1"/>
      <c r="K3372" s="1"/>
      <c r="L3372" s="1"/>
      <c r="M3372" s="1"/>
      <c r="N3372" s="1"/>
      <c r="O3372" s="1"/>
      <c r="P3372" s="1"/>
      <c r="Q3372" s="1"/>
      <c r="R3372" s="1"/>
      <c r="S3372" s="1"/>
      <c r="T3372" s="1"/>
      <c r="U3372" s="1"/>
      <c r="V3372" s="1"/>
      <c r="W3372" s="1"/>
      <c r="X3372" s="1"/>
    </row>
    <row r="3373">
      <c r="A3373" s="1"/>
      <c r="B3373" s="1"/>
      <c r="E3373" s="1"/>
      <c r="F3373" s="1"/>
      <c r="G3373" s="1"/>
      <c r="H3373" s="1"/>
      <c r="I3373" s="1"/>
      <c r="J3373" s="1"/>
      <c r="K3373" s="1"/>
      <c r="L3373" s="1"/>
      <c r="M3373" s="1"/>
      <c r="N3373" s="1"/>
      <c r="O3373" s="1"/>
      <c r="P3373" s="1"/>
      <c r="Q3373" s="1"/>
      <c r="R3373" s="1"/>
      <c r="S3373" s="1"/>
      <c r="T3373" s="1"/>
      <c r="U3373" s="1"/>
      <c r="V3373" s="1"/>
      <c r="W3373" s="1"/>
      <c r="X3373" s="1"/>
    </row>
    <row r="3374">
      <c r="A3374" s="1"/>
      <c r="B3374" s="1"/>
      <c r="E3374" s="1"/>
      <c r="F3374" s="1"/>
      <c r="G3374" s="1"/>
      <c r="H3374" s="1"/>
      <c r="I3374" s="1"/>
      <c r="J3374" s="1"/>
      <c r="K3374" s="1"/>
      <c r="L3374" s="1"/>
      <c r="M3374" s="1"/>
      <c r="N3374" s="1"/>
      <c r="O3374" s="1"/>
      <c r="P3374" s="1"/>
      <c r="Q3374" s="1"/>
      <c r="R3374" s="1"/>
      <c r="S3374" s="1"/>
      <c r="T3374" s="1"/>
      <c r="U3374" s="1"/>
      <c r="V3374" s="1"/>
      <c r="W3374" s="1"/>
      <c r="X3374" s="1"/>
    </row>
    <row r="3375">
      <c r="A3375" s="1"/>
      <c r="B3375" s="1"/>
      <c r="E3375" s="1"/>
      <c r="F3375" s="1"/>
      <c r="G3375" s="1"/>
      <c r="H3375" s="1"/>
      <c r="I3375" s="1"/>
      <c r="J3375" s="1"/>
      <c r="K3375" s="1"/>
      <c r="L3375" s="1"/>
      <c r="M3375" s="1"/>
      <c r="N3375" s="1"/>
      <c r="O3375" s="1"/>
      <c r="P3375" s="1"/>
      <c r="Q3375" s="1"/>
      <c r="R3375" s="1"/>
      <c r="S3375" s="1"/>
      <c r="T3375" s="1"/>
      <c r="U3375" s="1"/>
      <c r="V3375" s="1"/>
      <c r="W3375" s="1"/>
      <c r="X3375" s="1"/>
    </row>
    <row r="3376">
      <c r="A3376" s="1"/>
      <c r="B3376" s="1"/>
      <c r="E3376" s="1"/>
      <c r="F3376" s="1"/>
      <c r="G3376" s="1"/>
      <c r="H3376" s="1"/>
      <c r="I3376" s="1"/>
      <c r="J3376" s="1"/>
      <c r="K3376" s="1"/>
      <c r="L3376" s="1"/>
      <c r="M3376" s="1"/>
      <c r="N3376" s="1"/>
      <c r="O3376" s="1"/>
      <c r="P3376" s="1"/>
      <c r="Q3376" s="1"/>
      <c r="R3376" s="1"/>
      <c r="S3376" s="1"/>
      <c r="T3376" s="1"/>
      <c r="U3376" s="1"/>
      <c r="V3376" s="1"/>
      <c r="W3376" s="1"/>
      <c r="X3376" s="1"/>
    </row>
    <row r="3377">
      <c r="A3377" s="1"/>
      <c r="B3377" s="1"/>
      <c r="E3377" s="1"/>
      <c r="F3377" s="1"/>
      <c r="G3377" s="1"/>
      <c r="H3377" s="1"/>
      <c r="I3377" s="1"/>
      <c r="J3377" s="1"/>
      <c r="K3377" s="1"/>
      <c r="L3377" s="1"/>
      <c r="M3377" s="1"/>
      <c r="N3377" s="1"/>
      <c r="O3377" s="1"/>
      <c r="P3377" s="1"/>
      <c r="Q3377" s="1"/>
      <c r="R3377" s="1"/>
      <c r="S3377" s="1"/>
      <c r="T3377" s="1"/>
      <c r="U3377" s="1"/>
      <c r="V3377" s="1"/>
      <c r="W3377" s="1"/>
      <c r="X3377" s="1"/>
    </row>
    <row r="3378">
      <c r="A3378" s="1"/>
      <c r="B3378" s="1"/>
      <c r="E3378" s="1"/>
      <c r="F3378" s="1"/>
      <c r="G3378" s="1"/>
      <c r="H3378" s="1"/>
      <c r="I3378" s="1"/>
      <c r="J3378" s="1"/>
      <c r="K3378" s="1"/>
      <c r="L3378" s="1"/>
      <c r="M3378" s="1"/>
      <c r="N3378" s="1"/>
      <c r="O3378" s="1"/>
      <c r="P3378" s="1"/>
      <c r="Q3378" s="1"/>
      <c r="R3378" s="1"/>
      <c r="S3378" s="1"/>
      <c r="T3378" s="1"/>
      <c r="U3378" s="1"/>
      <c r="V3378" s="1"/>
      <c r="W3378" s="1"/>
      <c r="X3378" s="1"/>
    </row>
    <row r="3379">
      <c r="A3379" s="1"/>
      <c r="B3379" s="1"/>
      <c r="E3379" s="1"/>
      <c r="F3379" s="1"/>
      <c r="G3379" s="1"/>
      <c r="H3379" s="1"/>
      <c r="I3379" s="1"/>
      <c r="J3379" s="1"/>
      <c r="K3379" s="1"/>
      <c r="L3379" s="1"/>
      <c r="M3379" s="1"/>
      <c r="N3379" s="1"/>
      <c r="O3379" s="1"/>
      <c r="P3379" s="1"/>
      <c r="Q3379" s="1"/>
      <c r="R3379" s="1"/>
      <c r="S3379" s="1"/>
      <c r="T3379" s="1"/>
      <c r="U3379" s="1"/>
      <c r="V3379" s="1"/>
      <c r="W3379" s="1"/>
      <c r="X3379" s="1"/>
    </row>
    <row r="3380">
      <c r="A3380" s="1"/>
      <c r="B3380" s="1"/>
      <c r="E3380" s="1"/>
      <c r="F3380" s="1"/>
      <c r="G3380" s="1"/>
      <c r="H3380" s="1"/>
      <c r="I3380" s="1"/>
      <c r="J3380" s="1"/>
      <c r="K3380" s="1"/>
      <c r="L3380" s="1"/>
      <c r="M3380" s="1"/>
      <c r="N3380" s="1"/>
      <c r="O3380" s="1"/>
      <c r="P3380" s="1"/>
      <c r="Q3380" s="1"/>
      <c r="R3380" s="1"/>
      <c r="S3380" s="1"/>
      <c r="T3380" s="1"/>
      <c r="U3380" s="1"/>
      <c r="V3380" s="1"/>
      <c r="W3380" s="1"/>
      <c r="X3380" s="1"/>
    </row>
    <row r="3381">
      <c r="A3381" s="1"/>
      <c r="B3381" s="1"/>
      <c r="E3381" s="1"/>
      <c r="F3381" s="1"/>
      <c r="G3381" s="1"/>
      <c r="H3381" s="1"/>
      <c r="I3381" s="1"/>
      <c r="J3381" s="1"/>
      <c r="K3381" s="1"/>
      <c r="L3381" s="1"/>
      <c r="M3381" s="1"/>
      <c r="N3381" s="1"/>
      <c r="O3381" s="1"/>
      <c r="P3381" s="1"/>
      <c r="Q3381" s="1"/>
      <c r="R3381" s="1"/>
      <c r="S3381" s="1"/>
      <c r="T3381" s="1"/>
      <c r="U3381" s="1"/>
      <c r="V3381" s="1"/>
      <c r="W3381" s="1"/>
      <c r="X3381" s="1"/>
    </row>
    <row r="3382">
      <c r="A3382" s="1"/>
      <c r="B3382" s="1"/>
      <c r="E3382" s="1"/>
      <c r="F3382" s="1"/>
      <c r="G3382" s="1"/>
      <c r="H3382" s="1"/>
      <c r="I3382" s="1"/>
      <c r="J3382" s="1"/>
      <c r="K3382" s="1"/>
      <c r="L3382" s="1"/>
      <c r="M3382" s="1"/>
      <c r="N3382" s="1"/>
      <c r="O3382" s="1"/>
      <c r="P3382" s="1"/>
      <c r="Q3382" s="1"/>
      <c r="R3382" s="1"/>
      <c r="S3382" s="1"/>
      <c r="T3382" s="1"/>
      <c r="U3382" s="1"/>
      <c r="V3382" s="1"/>
      <c r="W3382" s="1"/>
      <c r="X3382" s="1"/>
    </row>
    <row r="3383">
      <c r="A3383" s="1"/>
      <c r="B3383" s="1"/>
      <c r="E3383" s="1"/>
      <c r="F3383" s="1"/>
      <c r="G3383" s="1"/>
      <c r="H3383" s="1"/>
      <c r="I3383" s="1"/>
      <c r="J3383" s="1"/>
      <c r="K3383" s="1"/>
      <c r="L3383" s="1"/>
      <c r="M3383" s="1"/>
      <c r="N3383" s="1"/>
      <c r="O3383" s="1"/>
      <c r="P3383" s="1"/>
      <c r="Q3383" s="1"/>
      <c r="R3383" s="1"/>
      <c r="S3383" s="1"/>
      <c r="T3383" s="1"/>
      <c r="U3383" s="1"/>
      <c r="V3383" s="1"/>
      <c r="W3383" s="1"/>
      <c r="X3383" s="1"/>
    </row>
    <row r="3384">
      <c r="A3384" s="1"/>
      <c r="B3384" s="1"/>
      <c r="E3384" s="1"/>
      <c r="F3384" s="1"/>
      <c r="G3384" s="1"/>
      <c r="H3384" s="1"/>
      <c r="I3384" s="1"/>
      <c r="J3384" s="1"/>
      <c r="K3384" s="1"/>
      <c r="L3384" s="1"/>
      <c r="M3384" s="1"/>
      <c r="N3384" s="1"/>
      <c r="O3384" s="1"/>
      <c r="P3384" s="1"/>
      <c r="Q3384" s="1"/>
      <c r="R3384" s="1"/>
      <c r="S3384" s="1"/>
      <c r="T3384" s="1"/>
      <c r="U3384" s="1"/>
      <c r="V3384" s="1"/>
      <c r="W3384" s="1"/>
      <c r="X3384" s="1"/>
    </row>
    <row r="3385">
      <c r="A3385" s="1"/>
      <c r="B3385" s="1"/>
      <c r="E3385" s="1"/>
      <c r="F3385" s="1"/>
      <c r="G3385" s="1"/>
      <c r="H3385" s="1"/>
      <c r="I3385" s="1"/>
      <c r="J3385" s="1"/>
      <c r="K3385" s="1"/>
      <c r="L3385" s="1"/>
      <c r="M3385" s="1"/>
      <c r="N3385" s="1"/>
      <c r="O3385" s="1"/>
      <c r="P3385" s="1"/>
      <c r="Q3385" s="1"/>
      <c r="R3385" s="1"/>
      <c r="S3385" s="1"/>
      <c r="T3385" s="1"/>
      <c r="U3385" s="1"/>
      <c r="V3385" s="1"/>
      <c r="W3385" s="1"/>
      <c r="X3385" s="1"/>
    </row>
    <row r="3386">
      <c r="A3386" s="1"/>
      <c r="B3386" s="1"/>
      <c r="E3386" s="1"/>
      <c r="F3386" s="1"/>
      <c r="G3386" s="1"/>
      <c r="H3386" s="1"/>
      <c r="I3386" s="1"/>
      <c r="J3386" s="1"/>
      <c r="K3386" s="1"/>
      <c r="L3386" s="1"/>
      <c r="M3386" s="1"/>
      <c r="N3386" s="1"/>
      <c r="O3386" s="1"/>
      <c r="P3386" s="1"/>
      <c r="Q3386" s="1"/>
      <c r="R3386" s="1"/>
      <c r="S3386" s="1"/>
      <c r="T3386" s="1"/>
      <c r="U3386" s="1"/>
      <c r="V3386" s="1"/>
      <c r="W3386" s="1"/>
      <c r="X3386" s="1"/>
    </row>
    <row r="3387">
      <c r="A3387" s="1"/>
      <c r="B3387" s="1"/>
      <c r="E3387" s="1"/>
      <c r="F3387" s="1"/>
      <c r="G3387" s="1"/>
      <c r="H3387" s="1"/>
      <c r="I3387" s="1"/>
      <c r="J3387" s="1"/>
      <c r="K3387" s="1"/>
      <c r="L3387" s="1"/>
      <c r="M3387" s="1"/>
      <c r="N3387" s="1"/>
      <c r="O3387" s="1"/>
      <c r="P3387" s="1"/>
      <c r="Q3387" s="1"/>
      <c r="R3387" s="1"/>
      <c r="S3387" s="1"/>
      <c r="T3387" s="1"/>
      <c r="U3387" s="1"/>
      <c r="V3387" s="1"/>
      <c r="W3387" s="1"/>
      <c r="X3387" s="1"/>
    </row>
    <row r="3388">
      <c r="A3388" s="1"/>
      <c r="B3388" s="1"/>
      <c r="E3388" s="1"/>
      <c r="F3388" s="1"/>
      <c r="G3388" s="1"/>
      <c r="H3388" s="1"/>
      <c r="I3388" s="1"/>
      <c r="J3388" s="1"/>
      <c r="K3388" s="1"/>
      <c r="L3388" s="1"/>
      <c r="M3388" s="1"/>
      <c r="N3388" s="1"/>
      <c r="O3388" s="1"/>
      <c r="P3388" s="1"/>
      <c r="Q3388" s="1"/>
      <c r="R3388" s="1"/>
      <c r="S3388" s="1"/>
      <c r="T3388" s="1"/>
      <c r="U3388" s="1"/>
      <c r="V3388" s="1"/>
      <c r="W3388" s="1"/>
      <c r="X3388" s="1"/>
    </row>
    <row r="3389">
      <c r="A3389" s="1"/>
      <c r="B3389" s="1"/>
      <c r="E3389" s="1"/>
      <c r="F3389" s="1"/>
      <c r="G3389" s="1"/>
      <c r="H3389" s="1"/>
      <c r="I3389" s="1"/>
      <c r="J3389" s="1"/>
      <c r="K3389" s="1"/>
      <c r="L3389" s="1"/>
      <c r="M3389" s="1"/>
      <c r="N3389" s="1"/>
      <c r="O3389" s="1"/>
      <c r="P3389" s="1"/>
      <c r="Q3389" s="1"/>
      <c r="R3389" s="1"/>
      <c r="S3389" s="1"/>
      <c r="T3389" s="1"/>
      <c r="U3389" s="1"/>
      <c r="V3389" s="1"/>
      <c r="W3389" s="1"/>
      <c r="X3389" s="1"/>
    </row>
    <row r="3390">
      <c r="A3390" s="1"/>
      <c r="B3390" s="1"/>
      <c r="E3390" s="1"/>
      <c r="F3390" s="1"/>
      <c r="G3390" s="1"/>
      <c r="H3390" s="1"/>
      <c r="I3390" s="1"/>
      <c r="J3390" s="1"/>
      <c r="K3390" s="1"/>
      <c r="L3390" s="1"/>
      <c r="M3390" s="1"/>
      <c r="N3390" s="1"/>
      <c r="O3390" s="1"/>
      <c r="P3390" s="1"/>
      <c r="Q3390" s="1"/>
      <c r="R3390" s="1"/>
      <c r="S3390" s="1"/>
      <c r="T3390" s="1"/>
      <c r="U3390" s="1"/>
      <c r="V3390" s="1"/>
      <c r="W3390" s="1"/>
      <c r="X3390" s="1"/>
    </row>
    <row r="3391">
      <c r="A3391" s="1"/>
      <c r="B3391" s="1"/>
      <c r="E3391" s="1"/>
      <c r="F3391" s="1"/>
      <c r="G3391" s="1"/>
      <c r="H3391" s="1"/>
      <c r="I3391" s="1"/>
      <c r="J3391" s="1"/>
      <c r="K3391" s="1"/>
      <c r="L3391" s="1"/>
      <c r="M3391" s="1"/>
      <c r="N3391" s="1"/>
      <c r="O3391" s="1"/>
      <c r="P3391" s="1"/>
      <c r="Q3391" s="1"/>
      <c r="R3391" s="1"/>
      <c r="S3391" s="1"/>
      <c r="T3391" s="1"/>
      <c r="U3391" s="1"/>
      <c r="V3391" s="1"/>
      <c r="W3391" s="1"/>
      <c r="X3391" s="1"/>
    </row>
    <row r="3392">
      <c r="A3392" s="1"/>
      <c r="B3392" s="1"/>
      <c r="E3392" s="1"/>
      <c r="F3392" s="1"/>
      <c r="G3392" s="1"/>
      <c r="H3392" s="1"/>
      <c r="I3392" s="1"/>
      <c r="J3392" s="1"/>
      <c r="K3392" s="1"/>
      <c r="L3392" s="1"/>
      <c r="M3392" s="1"/>
      <c r="N3392" s="1"/>
      <c r="O3392" s="1"/>
      <c r="P3392" s="1"/>
      <c r="Q3392" s="1"/>
      <c r="R3392" s="1"/>
      <c r="S3392" s="1"/>
      <c r="T3392" s="1"/>
      <c r="U3392" s="1"/>
      <c r="V3392" s="1"/>
      <c r="W3392" s="1"/>
      <c r="X3392" s="1"/>
    </row>
    <row r="3393">
      <c r="A3393" s="1"/>
      <c r="B3393" s="1"/>
      <c r="E3393" s="1"/>
      <c r="F3393" s="1"/>
      <c r="G3393" s="1"/>
      <c r="H3393" s="1"/>
      <c r="I3393" s="1"/>
      <c r="J3393" s="1"/>
      <c r="K3393" s="1"/>
      <c r="L3393" s="1"/>
      <c r="M3393" s="1"/>
      <c r="N3393" s="1"/>
      <c r="O3393" s="1"/>
      <c r="P3393" s="1"/>
      <c r="Q3393" s="1"/>
      <c r="R3393" s="1"/>
      <c r="S3393" s="1"/>
      <c r="T3393" s="1"/>
      <c r="U3393" s="1"/>
      <c r="V3393" s="1"/>
      <c r="W3393" s="1"/>
      <c r="X3393" s="1"/>
    </row>
    <row r="3394">
      <c r="A3394" s="1"/>
      <c r="B3394" s="1"/>
      <c r="E3394" s="1"/>
      <c r="F3394" s="1"/>
      <c r="G3394" s="1"/>
      <c r="H3394" s="1"/>
      <c r="I3394" s="1"/>
      <c r="J3394" s="1"/>
      <c r="K3394" s="1"/>
      <c r="L3394" s="1"/>
      <c r="M3394" s="1"/>
      <c r="N3394" s="1"/>
      <c r="O3394" s="1"/>
      <c r="P3394" s="1"/>
      <c r="Q3394" s="1"/>
      <c r="R3394" s="1"/>
      <c r="S3394" s="1"/>
      <c r="T3394" s="1"/>
      <c r="U3394" s="1"/>
      <c r="V3394" s="1"/>
      <c r="W3394" s="1"/>
      <c r="X3394" s="1"/>
    </row>
    <row r="3395">
      <c r="A3395" s="1"/>
      <c r="B3395" s="1"/>
      <c r="E3395" s="1"/>
      <c r="F3395" s="1"/>
      <c r="G3395" s="1"/>
      <c r="H3395" s="1"/>
      <c r="I3395" s="1"/>
      <c r="J3395" s="1"/>
      <c r="K3395" s="1"/>
      <c r="L3395" s="1"/>
      <c r="M3395" s="1"/>
      <c r="N3395" s="1"/>
      <c r="O3395" s="1"/>
      <c r="P3395" s="1"/>
      <c r="Q3395" s="1"/>
      <c r="R3395" s="1"/>
      <c r="S3395" s="1"/>
      <c r="T3395" s="1"/>
      <c r="U3395" s="1"/>
      <c r="V3395" s="1"/>
      <c r="W3395" s="1"/>
      <c r="X3395" s="1"/>
    </row>
    <row r="3396">
      <c r="A3396" s="1"/>
      <c r="B3396" s="1"/>
      <c r="E3396" s="1"/>
      <c r="F3396" s="1"/>
      <c r="G3396" s="1"/>
      <c r="H3396" s="1"/>
      <c r="I3396" s="1"/>
      <c r="J3396" s="1"/>
      <c r="K3396" s="1"/>
      <c r="L3396" s="1"/>
      <c r="M3396" s="1"/>
      <c r="N3396" s="1"/>
      <c r="O3396" s="1"/>
      <c r="P3396" s="1"/>
      <c r="Q3396" s="1"/>
      <c r="R3396" s="1"/>
      <c r="S3396" s="1"/>
      <c r="T3396" s="1"/>
      <c r="U3396" s="1"/>
      <c r="V3396" s="1"/>
      <c r="W3396" s="1"/>
      <c r="X3396" s="1"/>
    </row>
    <row r="3397">
      <c r="A3397" s="1"/>
      <c r="B3397" s="1"/>
      <c r="E3397" s="1"/>
      <c r="F3397" s="1"/>
      <c r="G3397" s="1"/>
      <c r="H3397" s="1"/>
      <c r="I3397" s="1"/>
      <c r="J3397" s="1"/>
      <c r="K3397" s="1"/>
      <c r="L3397" s="1"/>
      <c r="M3397" s="1"/>
      <c r="N3397" s="1"/>
      <c r="O3397" s="1"/>
      <c r="P3397" s="1"/>
      <c r="Q3397" s="1"/>
      <c r="R3397" s="1"/>
      <c r="S3397" s="1"/>
      <c r="T3397" s="1"/>
      <c r="U3397" s="1"/>
      <c r="V3397" s="1"/>
      <c r="W3397" s="1"/>
      <c r="X3397" s="1"/>
    </row>
    <row r="3398">
      <c r="A3398" s="1"/>
      <c r="B3398" s="1"/>
      <c r="E3398" s="1"/>
      <c r="F3398" s="1"/>
      <c r="G3398" s="1"/>
      <c r="H3398" s="1"/>
      <c r="I3398" s="1"/>
      <c r="J3398" s="1"/>
      <c r="K3398" s="1"/>
      <c r="L3398" s="1"/>
      <c r="M3398" s="1"/>
      <c r="N3398" s="1"/>
      <c r="O3398" s="1"/>
      <c r="P3398" s="1"/>
      <c r="Q3398" s="1"/>
      <c r="R3398" s="1"/>
      <c r="S3398" s="1"/>
      <c r="T3398" s="1"/>
      <c r="U3398" s="1"/>
      <c r="V3398" s="1"/>
      <c r="W3398" s="1"/>
      <c r="X3398" s="1"/>
    </row>
    <row r="3399">
      <c r="A3399" s="1"/>
      <c r="B3399" s="1"/>
      <c r="E3399" s="1"/>
      <c r="F3399" s="1"/>
      <c r="G3399" s="1"/>
      <c r="H3399" s="1"/>
      <c r="I3399" s="1"/>
      <c r="J3399" s="1"/>
      <c r="K3399" s="1"/>
      <c r="L3399" s="1"/>
      <c r="M3399" s="1"/>
      <c r="N3399" s="1"/>
      <c r="O3399" s="1"/>
      <c r="P3399" s="1"/>
      <c r="Q3399" s="1"/>
      <c r="R3399" s="1"/>
      <c r="S3399" s="1"/>
      <c r="T3399" s="1"/>
      <c r="U3399" s="1"/>
      <c r="V3399" s="1"/>
      <c r="W3399" s="1"/>
      <c r="X3399" s="1"/>
    </row>
    <row r="3400">
      <c r="A3400" s="1"/>
      <c r="B3400" s="1"/>
      <c r="E3400" s="1"/>
      <c r="F3400" s="1"/>
      <c r="G3400" s="1"/>
      <c r="H3400" s="1"/>
      <c r="I3400" s="1"/>
      <c r="J3400" s="1"/>
      <c r="K3400" s="1"/>
      <c r="L3400" s="1"/>
      <c r="M3400" s="1"/>
      <c r="N3400" s="1"/>
      <c r="O3400" s="1"/>
      <c r="P3400" s="1"/>
      <c r="Q3400" s="1"/>
      <c r="R3400" s="1"/>
      <c r="S3400" s="1"/>
      <c r="T3400" s="1"/>
      <c r="U3400" s="1"/>
      <c r="V3400" s="1"/>
      <c r="W3400" s="1"/>
      <c r="X3400" s="1"/>
    </row>
    <row r="3401">
      <c r="A3401" s="1"/>
      <c r="B3401" s="1"/>
      <c r="E3401" s="1"/>
      <c r="F3401" s="1"/>
      <c r="G3401" s="1"/>
      <c r="H3401" s="1"/>
      <c r="I3401" s="1"/>
      <c r="J3401" s="1"/>
      <c r="K3401" s="1"/>
      <c r="L3401" s="1"/>
      <c r="M3401" s="1"/>
      <c r="N3401" s="1"/>
      <c r="O3401" s="1"/>
      <c r="P3401" s="1"/>
      <c r="Q3401" s="1"/>
      <c r="R3401" s="1"/>
      <c r="S3401" s="1"/>
      <c r="T3401" s="1"/>
      <c r="U3401" s="1"/>
      <c r="V3401" s="1"/>
      <c r="W3401" s="1"/>
      <c r="X3401" s="1"/>
    </row>
    <row r="3402">
      <c r="A3402" s="1"/>
      <c r="B3402" s="1"/>
      <c r="E3402" s="1"/>
      <c r="F3402" s="1"/>
      <c r="G3402" s="1"/>
      <c r="H3402" s="1"/>
      <c r="I3402" s="1"/>
      <c r="J3402" s="1"/>
      <c r="K3402" s="1"/>
      <c r="L3402" s="1"/>
      <c r="M3402" s="1"/>
      <c r="N3402" s="1"/>
      <c r="O3402" s="1"/>
      <c r="P3402" s="1"/>
      <c r="Q3402" s="1"/>
      <c r="R3402" s="1"/>
      <c r="S3402" s="1"/>
      <c r="T3402" s="1"/>
      <c r="U3402" s="1"/>
      <c r="V3402" s="1"/>
      <c r="W3402" s="1"/>
      <c r="X3402" s="1"/>
    </row>
    <row r="3403">
      <c r="A3403" s="1"/>
      <c r="B3403" s="1"/>
      <c r="E3403" s="1"/>
      <c r="F3403" s="1"/>
      <c r="G3403" s="1"/>
      <c r="H3403" s="1"/>
      <c r="I3403" s="1"/>
      <c r="J3403" s="1"/>
      <c r="K3403" s="1"/>
      <c r="L3403" s="1"/>
      <c r="M3403" s="1"/>
      <c r="N3403" s="1"/>
      <c r="O3403" s="1"/>
      <c r="P3403" s="1"/>
      <c r="Q3403" s="1"/>
      <c r="R3403" s="1"/>
      <c r="S3403" s="1"/>
      <c r="T3403" s="1"/>
      <c r="U3403" s="1"/>
      <c r="V3403" s="1"/>
      <c r="W3403" s="1"/>
      <c r="X3403" s="1"/>
    </row>
    <row r="3404">
      <c r="A3404" s="1"/>
      <c r="B3404" s="1"/>
      <c r="E3404" s="1"/>
      <c r="F3404" s="1"/>
      <c r="G3404" s="1"/>
      <c r="H3404" s="1"/>
      <c r="I3404" s="1"/>
      <c r="J3404" s="1"/>
      <c r="K3404" s="1"/>
      <c r="L3404" s="1"/>
      <c r="M3404" s="1"/>
      <c r="N3404" s="1"/>
      <c r="O3404" s="1"/>
      <c r="P3404" s="1"/>
      <c r="Q3404" s="1"/>
      <c r="R3404" s="1"/>
      <c r="S3404" s="1"/>
      <c r="T3404" s="1"/>
      <c r="U3404" s="1"/>
      <c r="V3404" s="1"/>
      <c r="W3404" s="1"/>
      <c r="X3404" s="1"/>
    </row>
    <row r="3405">
      <c r="A3405" s="1"/>
      <c r="B3405" s="1"/>
      <c r="E3405" s="1"/>
      <c r="F3405" s="1"/>
      <c r="G3405" s="1"/>
      <c r="H3405" s="1"/>
      <c r="I3405" s="1"/>
      <c r="J3405" s="1"/>
      <c r="K3405" s="1"/>
      <c r="L3405" s="1"/>
      <c r="M3405" s="1"/>
      <c r="N3405" s="1"/>
      <c r="O3405" s="1"/>
      <c r="P3405" s="1"/>
      <c r="Q3405" s="1"/>
      <c r="R3405" s="1"/>
      <c r="S3405" s="1"/>
      <c r="T3405" s="1"/>
      <c r="U3405" s="1"/>
      <c r="V3405" s="1"/>
      <c r="W3405" s="1"/>
      <c r="X3405" s="1"/>
    </row>
    <row r="3406">
      <c r="A3406" s="1"/>
      <c r="B3406" s="1"/>
      <c r="E3406" s="1"/>
      <c r="F3406" s="1"/>
      <c r="G3406" s="1"/>
      <c r="H3406" s="1"/>
      <c r="I3406" s="1"/>
      <c r="J3406" s="1"/>
      <c r="K3406" s="1"/>
      <c r="L3406" s="1"/>
      <c r="M3406" s="1"/>
      <c r="N3406" s="1"/>
      <c r="O3406" s="1"/>
      <c r="P3406" s="1"/>
      <c r="Q3406" s="1"/>
      <c r="R3406" s="1"/>
      <c r="S3406" s="1"/>
      <c r="T3406" s="1"/>
      <c r="U3406" s="1"/>
      <c r="V3406" s="1"/>
      <c r="W3406" s="1"/>
      <c r="X3406" s="1"/>
    </row>
    <row r="3407">
      <c r="A3407" s="1"/>
      <c r="B3407" s="1"/>
      <c r="E3407" s="1"/>
      <c r="F3407" s="1"/>
      <c r="G3407" s="1"/>
      <c r="H3407" s="1"/>
      <c r="I3407" s="1"/>
      <c r="J3407" s="1"/>
      <c r="K3407" s="1"/>
      <c r="L3407" s="1"/>
      <c r="M3407" s="1"/>
      <c r="N3407" s="1"/>
      <c r="O3407" s="1"/>
      <c r="P3407" s="1"/>
      <c r="Q3407" s="1"/>
      <c r="R3407" s="1"/>
      <c r="S3407" s="1"/>
      <c r="T3407" s="1"/>
      <c r="U3407" s="1"/>
      <c r="V3407" s="1"/>
      <c r="W3407" s="1"/>
      <c r="X3407" s="1"/>
    </row>
    <row r="3408">
      <c r="A3408" s="1"/>
      <c r="B3408" s="1"/>
      <c r="E3408" s="1"/>
      <c r="F3408" s="1"/>
      <c r="G3408" s="1"/>
      <c r="H3408" s="1"/>
      <c r="I3408" s="1"/>
      <c r="J3408" s="1"/>
      <c r="K3408" s="1"/>
      <c r="L3408" s="1"/>
      <c r="M3408" s="1"/>
      <c r="N3408" s="1"/>
      <c r="O3408" s="1"/>
      <c r="P3408" s="1"/>
      <c r="Q3408" s="1"/>
      <c r="R3408" s="1"/>
      <c r="S3408" s="1"/>
      <c r="T3408" s="1"/>
      <c r="U3408" s="1"/>
      <c r="V3408" s="1"/>
      <c r="W3408" s="1"/>
      <c r="X3408" s="1"/>
    </row>
    <row r="3409">
      <c r="A3409" s="1"/>
      <c r="B3409" s="1"/>
      <c r="E3409" s="1"/>
      <c r="F3409" s="1"/>
      <c r="G3409" s="1"/>
      <c r="H3409" s="1"/>
      <c r="I3409" s="1"/>
      <c r="J3409" s="1"/>
      <c r="K3409" s="1"/>
      <c r="L3409" s="1"/>
      <c r="M3409" s="1"/>
      <c r="N3409" s="1"/>
      <c r="O3409" s="1"/>
      <c r="P3409" s="1"/>
      <c r="Q3409" s="1"/>
      <c r="R3409" s="1"/>
      <c r="S3409" s="1"/>
      <c r="T3409" s="1"/>
      <c r="U3409" s="1"/>
      <c r="V3409" s="1"/>
      <c r="W3409" s="1"/>
      <c r="X3409" s="1"/>
    </row>
    <row r="3410">
      <c r="A3410" s="1"/>
      <c r="B3410" s="1"/>
      <c r="E3410" s="1"/>
      <c r="F3410" s="1"/>
      <c r="G3410" s="1"/>
      <c r="H3410" s="1"/>
      <c r="I3410" s="1"/>
      <c r="J3410" s="1"/>
      <c r="K3410" s="1"/>
      <c r="L3410" s="1"/>
      <c r="M3410" s="1"/>
      <c r="N3410" s="1"/>
      <c r="O3410" s="1"/>
      <c r="P3410" s="1"/>
      <c r="Q3410" s="1"/>
      <c r="R3410" s="1"/>
      <c r="S3410" s="1"/>
      <c r="T3410" s="1"/>
      <c r="U3410" s="1"/>
      <c r="V3410" s="1"/>
      <c r="W3410" s="1"/>
      <c r="X3410" s="1"/>
    </row>
    <row r="3411">
      <c r="A3411" s="1"/>
      <c r="B3411" s="1"/>
      <c r="E3411" s="1"/>
      <c r="F3411" s="1"/>
      <c r="G3411" s="1"/>
      <c r="H3411" s="1"/>
      <c r="I3411" s="1"/>
      <c r="J3411" s="1"/>
      <c r="K3411" s="1"/>
      <c r="L3411" s="1"/>
      <c r="M3411" s="1"/>
      <c r="N3411" s="1"/>
      <c r="O3411" s="1"/>
      <c r="P3411" s="1"/>
      <c r="Q3411" s="1"/>
      <c r="R3411" s="1"/>
      <c r="S3411" s="1"/>
      <c r="T3411" s="1"/>
      <c r="U3411" s="1"/>
      <c r="V3411" s="1"/>
      <c r="W3411" s="1"/>
      <c r="X3411" s="1"/>
    </row>
    <row r="3412">
      <c r="A3412" s="1"/>
      <c r="B3412" s="1"/>
      <c r="E3412" s="1"/>
      <c r="F3412" s="1"/>
      <c r="G3412" s="1"/>
      <c r="H3412" s="1"/>
      <c r="I3412" s="1"/>
      <c r="J3412" s="1"/>
      <c r="K3412" s="1"/>
      <c r="L3412" s="1"/>
      <c r="M3412" s="1"/>
      <c r="N3412" s="1"/>
      <c r="O3412" s="1"/>
      <c r="P3412" s="1"/>
      <c r="Q3412" s="1"/>
      <c r="R3412" s="1"/>
      <c r="S3412" s="1"/>
      <c r="T3412" s="1"/>
      <c r="U3412" s="1"/>
      <c r="V3412" s="1"/>
      <c r="W3412" s="1"/>
      <c r="X3412" s="1"/>
    </row>
    <row r="3413">
      <c r="A3413" s="1"/>
      <c r="B3413" s="1"/>
      <c r="E3413" s="1"/>
      <c r="F3413" s="1"/>
      <c r="G3413" s="1"/>
      <c r="H3413" s="1"/>
      <c r="I3413" s="1"/>
      <c r="J3413" s="1"/>
      <c r="K3413" s="1"/>
      <c r="L3413" s="1"/>
      <c r="M3413" s="1"/>
      <c r="N3413" s="1"/>
      <c r="O3413" s="1"/>
      <c r="P3413" s="1"/>
      <c r="Q3413" s="1"/>
      <c r="R3413" s="1"/>
      <c r="S3413" s="1"/>
      <c r="T3413" s="1"/>
      <c r="U3413" s="1"/>
      <c r="V3413" s="1"/>
      <c r="W3413" s="1"/>
      <c r="X3413" s="1"/>
    </row>
    <row r="3414">
      <c r="A3414" s="1"/>
      <c r="B3414" s="1"/>
      <c r="E3414" s="1"/>
      <c r="F3414" s="1"/>
      <c r="G3414" s="1"/>
      <c r="H3414" s="1"/>
      <c r="I3414" s="1"/>
      <c r="J3414" s="1"/>
      <c r="K3414" s="1"/>
      <c r="L3414" s="1"/>
      <c r="M3414" s="1"/>
      <c r="N3414" s="1"/>
      <c r="O3414" s="1"/>
      <c r="P3414" s="1"/>
      <c r="Q3414" s="1"/>
      <c r="R3414" s="1"/>
      <c r="S3414" s="1"/>
      <c r="T3414" s="1"/>
      <c r="U3414" s="1"/>
      <c r="V3414" s="1"/>
      <c r="W3414" s="1"/>
      <c r="X3414" s="1"/>
    </row>
    <row r="3415">
      <c r="A3415" s="1"/>
      <c r="B3415" s="1"/>
      <c r="E3415" s="1"/>
      <c r="F3415" s="1"/>
      <c r="G3415" s="1"/>
      <c r="H3415" s="1"/>
      <c r="I3415" s="1"/>
      <c r="J3415" s="1"/>
      <c r="K3415" s="1"/>
      <c r="L3415" s="1"/>
      <c r="M3415" s="1"/>
      <c r="N3415" s="1"/>
      <c r="O3415" s="1"/>
      <c r="P3415" s="1"/>
      <c r="Q3415" s="1"/>
      <c r="R3415" s="1"/>
      <c r="S3415" s="1"/>
      <c r="T3415" s="1"/>
      <c r="U3415" s="1"/>
      <c r="V3415" s="1"/>
      <c r="W3415" s="1"/>
      <c r="X3415" s="1"/>
    </row>
    <row r="3416">
      <c r="A3416" s="1"/>
      <c r="B3416" s="1"/>
      <c r="E3416" s="1"/>
      <c r="F3416" s="1"/>
      <c r="G3416" s="1"/>
      <c r="H3416" s="1"/>
      <c r="I3416" s="1"/>
      <c r="J3416" s="1"/>
      <c r="K3416" s="1"/>
      <c r="L3416" s="1"/>
      <c r="M3416" s="1"/>
      <c r="N3416" s="1"/>
      <c r="O3416" s="1"/>
      <c r="P3416" s="1"/>
      <c r="Q3416" s="1"/>
      <c r="R3416" s="1"/>
      <c r="S3416" s="1"/>
      <c r="T3416" s="1"/>
      <c r="U3416" s="1"/>
      <c r="V3416" s="1"/>
      <c r="W3416" s="1"/>
      <c r="X3416" s="1"/>
    </row>
    <row r="3417">
      <c r="A3417" s="1"/>
      <c r="B3417" s="1"/>
      <c r="E3417" s="1"/>
      <c r="F3417" s="1"/>
      <c r="G3417" s="1"/>
      <c r="H3417" s="1"/>
      <c r="I3417" s="1"/>
      <c r="J3417" s="1"/>
      <c r="K3417" s="1"/>
      <c r="L3417" s="1"/>
      <c r="M3417" s="1"/>
      <c r="N3417" s="1"/>
      <c r="O3417" s="1"/>
      <c r="P3417" s="1"/>
      <c r="Q3417" s="1"/>
      <c r="R3417" s="1"/>
      <c r="S3417" s="1"/>
      <c r="T3417" s="1"/>
      <c r="U3417" s="1"/>
      <c r="V3417" s="1"/>
      <c r="W3417" s="1"/>
      <c r="X3417" s="1"/>
    </row>
    <row r="3418">
      <c r="A3418" s="1"/>
      <c r="B3418" s="1"/>
      <c r="E3418" s="1"/>
      <c r="F3418" s="1"/>
      <c r="G3418" s="1"/>
      <c r="H3418" s="1"/>
      <c r="I3418" s="1"/>
      <c r="J3418" s="1"/>
      <c r="K3418" s="1"/>
      <c r="L3418" s="1"/>
      <c r="M3418" s="1"/>
      <c r="N3418" s="1"/>
      <c r="O3418" s="1"/>
      <c r="P3418" s="1"/>
      <c r="Q3418" s="1"/>
      <c r="R3418" s="1"/>
      <c r="S3418" s="1"/>
      <c r="T3418" s="1"/>
      <c r="U3418" s="1"/>
      <c r="V3418" s="1"/>
      <c r="W3418" s="1"/>
      <c r="X3418" s="1"/>
    </row>
    <row r="3419">
      <c r="A3419" s="1"/>
      <c r="B3419" s="1"/>
      <c r="E3419" s="1"/>
      <c r="F3419" s="1"/>
      <c r="G3419" s="1"/>
      <c r="H3419" s="1"/>
      <c r="I3419" s="1"/>
      <c r="J3419" s="1"/>
      <c r="K3419" s="1"/>
      <c r="L3419" s="1"/>
      <c r="M3419" s="1"/>
      <c r="N3419" s="1"/>
      <c r="O3419" s="1"/>
      <c r="P3419" s="1"/>
      <c r="Q3419" s="1"/>
      <c r="R3419" s="1"/>
      <c r="S3419" s="1"/>
      <c r="T3419" s="1"/>
      <c r="U3419" s="1"/>
      <c r="V3419" s="1"/>
      <c r="W3419" s="1"/>
      <c r="X3419" s="1"/>
    </row>
    <row r="3420">
      <c r="A3420" s="1"/>
      <c r="B3420" s="1"/>
      <c r="E3420" s="1"/>
      <c r="F3420" s="1"/>
      <c r="G3420" s="1"/>
      <c r="H3420" s="1"/>
      <c r="I3420" s="1"/>
      <c r="J3420" s="1"/>
      <c r="K3420" s="1"/>
      <c r="L3420" s="1"/>
      <c r="M3420" s="1"/>
      <c r="N3420" s="1"/>
      <c r="O3420" s="1"/>
      <c r="P3420" s="1"/>
      <c r="Q3420" s="1"/>
      <c r="R3420" s="1"/>
      <c r="S3420" s="1"/>
      <c r="T3420" s="1"/>
      <c r="U3420" s="1"/>
      <c r="V3420" s="1"/>
      <c r="W3420" s="1"/>
      <c r="X3420" s="1"/>
    </row>
    <row r="3421">
      <c r="A3421" s="1"/>
      <c r="B3421" s="1"/>
      <c r="E3421" s="1"/>
      <c r="F3421" s="1"/>
      <c r="G3421" s="1"/>
      <c r="H3421" s="1"/>
      <c r="I3421" s="1"/>
      <c r="J3421" s="1"/>
      <c r="K3421" s="1"/>
      <c r="L3421" s="1"/>
      <c r="M3421" s="1"/>
      <c r="N3421" s="1"/>
      <c r="O3421" s="1"/>
      <c r="P3421" s="1"/>
      <c r="Q3421" s="1"/>
      <c r="R3421" s="1"/>
      <c r="S3421" s="1"/>
      <c r="T3421" s="1"/>
      <c r="U3421" s="1"/>
      <c r="V3421" s="1"/>
      <c r="W3421" s="1"/>
      <c r="X3421" s="1"/>
    </row>
    <row r="3422">
      <c r="A3422" s="1"/>
      <c r="B3422" s="1"/>
      <c r="E3422" s="1"/>
      <c r="F3422" s="1"/>
      <c r="G3422" s="1"/>
      <c r="H3422" s="1"/>
      <c r="I3422" s="1"/>
      <c r="J3422" s="1"/>
      <c r="K3422" s="1"/>
      <c r="L3422" s="1"/>
      <c r="M3422" s="1"/>
      <c r="N3422" s="1"/>
      <c r="O3422" s="1"/>
      <c r="P3422" s="1"/>
      <c r="Q3422" s="1"/>
      <c r="R3422" s="1"/>
      <c r="S3422" s="1"/>
      <c r="T3422" s="1"/>
      <c r="U3422" s="1"/>
      <c r="V3422" s="1"/>
      <c r="W3422" s="1"/>
      <c r="X3422" s="1"/>
    </row>
    <row r="3423">
      <c r="A3423" s="1"/>
      <c r="B3423" s="1"/>
      <c r="E3423" s="1"/>
      <c r="F3423" s="1"/>
      <c r="G3423" s="1"/>
      <c r="H3423" s="1"/>
      <c r="I3423" s="1"/>
      <c r="J3423" s="1"/>
      <c r="K3423" s="1"/>
      <c r="L3423" s="1"/>
      <c r="M3423" s="1"/>
      <c r="N3423" s="1"/>
      <c r="O3423" s="1"/>
      <c r="P3423" s="1"/>
      <c r="Q3423" s="1"/>
      <c r="R3423" s="1"/>
      <c r="S3423" s="1"/>
      <c r="T3423" s="1"/>
      <c r="U3423" s="1"/>
      <c r="V3423" s="1"/>
      <c r="W3423" s="1"/>
      <c r="X3423" s="1"/>
    </row>
    <row r="3424">
      <c r="A3424" s="1"/>
      <c r="B3424" s="1"/>
      <c r="E3424" s="1"/>
      <c r="F3424" s="1"/>
      <c r="G3424" s="1"/>
      <c r="H3424" s="1"/>
      <c r="I3424" s="1"/>
      <c r="J3424" s="1"/>
      <c r="K3424" s="1"/>
      <c r="L3424" s="1"/>
      <c r="M3424" s="1"/>
      <c r="N3424" s="1"/>
      <c r="O3424" s="1"/>
      <c r="P3424" s="1"/>
      <c r="Q3424" s="1"/>
      <c r="R3424" s="1"/>
      <c r="S3424" s="1"/>
      <c r="T3424" s="1"/>
      <c r="U3424" s="1"/>
      <c r="V3424" s="1"/>
      <c r="W3424" s="1"/>
      <c r="X3424" s="1"/>
    </row>
    <row r="3425">
      <c r="A3425" s="1"/>
      <c r="B3425" s="1"/>
      <c r="E3425" s="1"/>
      <c r="F3425" s="1"/>
      <c r="G3425" s="1"/>
      <c r="H3425" s="1"/>
      <c r="I3425" s="1"/>
      <c r="J3425" s="1"/>
      <c r="K3425" s="1"/>
      <c r="L3425" s="1"/>
      <c r="M3425" s="1"/>
      <c r="N3425" s="1"/>
      <c r="O3425" s="1"/>
      <c r="P3425" s="1"/>
      <c r="Q3425" s="1"/>
      <c r="R3425" s="1"/>
      <c r="S3425" s="1"/>
      <c r="T3425" s="1"/>
      <c r="U3425" s="1"/>
      <c r="V3425" s="1"/>
      <c r="W3425" s="1"/>
      <c r="X3425" s="1"/>
    </row>
    <row r="3426">
      <c r="A3426" s="1"/>
      <c r="B3426" s="1"/>
      <c r="E3426" s="1"/>
      <c r="F3426" s="1"/>
      <c r="G3426" s="1"/>
      <c r="H3426" s="1"/>
      <c r="I3426" s="1"/>
      <c r="J3426" s="1"/>
      <c r="K3426" s="1"/>
      <c r="L3426" s="1"/>
      <c r="M3426" s="1"/>
      <c r="N3426" s="1"/>
      <c r="O3426" s="1"/>
      <c r="P3426" s="1"/>
      <c r="Q3426" s="1"/>
      <c r="R3426" s="1"/>
      <c r="S3426" s="1"/>
      <c r="T3426" s="1"/>
      <c r="U3426" s="1"/>
      <c r="V3426" s="1"/>
      <c r="W3426" s="1"/>
      <c r="X3426" s="1"/>
    </row>
    <row r="3427">
      <c r="A3427" s="1"/>
      <c r="B3427" s="1"/>
      <c r="E3427" s="1"/>
      <c r="F3427" s="1"/>
      <c r="G3427" s="1"/>
      <c r="H3427" s="1"/>
      <c r="I3427" s="1"/>
      <c r="J3427" s="1"/>
      <c r="K3427" s="1"/>
      <c r="L3427" s="1"/>
      <c r="M3427" s="1"/>
      <c r="N3427" s="1"/>
      <c r="O3427" s="1"/>
      <c r="P3427" s="1"/>
      <c r="Q3427" s="1"/>
      <c r="R3427" s="1"/>
      <c r="S3427" s="1"/>
      <c r="T3427" s="1"/>
      <c r="U3427" s="1"/>
      <c r="V3427" s="1"/>
      <c r="W3427" s="1"/>
      <c r="X3427" s="1"/>
    </row>
    <row r="3428">
      <c r="A3428" s="1"/>
      <c r="B3428" s="1"/>
      <c r="E3428" s="1"/>
      <c r="F3428" s="1"/>
      <c r="G3428" s="1"/>
      <c r="H3428" s="1"/>
      <c r="I3428" s="1"/>
      <c r="J3428" s="1"/>
      <c r="K3428" s="1"/>
      <c r="L3428" s="1"/>
      <c r="M3428" s="1"/>
      <c r="N3428" s="1"/>
      <c r="O3428" s="1"/>
      <c r="P3428" s="1"/>
      <c r="Q3428" s="1"/>
      <c r="R3428" s="1"/>
      <c r="S3428" s="1"/>
      <c r="T3428" s="1"/>
      <c r="U3428" s="1"/>
      <c r="V3428" s="1"/>
      <c r="W3428" s="1"/>
      <c r="X3428" s="1"/>
    </row>
    <row r="3429">
      <c r="A3429" s="1"/>
      <c r="B3429" s="1"/>
      <c r="E3429" s="1"/>
      <c r="F3429" s="1"/>
      <c r="G3429" s="1"/>
      <c r="H3429" s="1"/>
      <c r="I3429" s="1"/>
      <c r="J3429" s="1"/>
      <c r="K3429" s="1"/>
      <c r="L3429" s="1"/>
      <c r="M3429" s="1"/>
      <c r="N3429" s="1"/>
      <c r="O3429" s="1"/>
      <c r="P3429" s="1"/>
      <c r="Q3429" s="1"/>
      <c r="R3429" s="1"/>
      <c r="S3429" s="1"/>
      <c r="T3429" s="1"/>
      <c r="U3429" s="1"/>
      <c r="V3429" s="1"/>
      <c r="W3429" s="1"/>
      <c r="X3429" s="1"/>
    </row>
    <row r="3430">
      <c r="A3430" s="1"/>
      <c r="B3430" s="1"/>
      <c r="E3430" s="1"/>
      <c r="F3430" s="1"/>
      <c r="G3430" s="1"/>
      <c r="H3430" s="1"/>
      <c r="I3430" s="1"/>
      <c r="J3430" s="1"/>
      <c r="K3430" s="1"/>
      <c r="L3430" s="1"/>
      <c r="M3430" s="1"/>
      <c r="N3430" s="1"/>
      <c r="O3430" s="1"/>
      <c r="P3430" s="1"/>
      <c r="Q3430" s="1"/>
      <c r="R3430" s="1"/>
      <c r="S3430" s="1"/>
      <c r="T3430" s="1"/>
      <c r="U3430" s="1"/>
      <c r="V3430" s="1"/>
      <c r="W3430" s="1"/>
      <c r="X3430" s="1"/>
    </row>
    <row r="3431">
      <c r="A3431" s="1"/>
      <c r="B3431" s="1"/>
      <c r="E3431" s="1"/>
      <c r="F3431" s="1"/>
      <c r="G3431" s="1"/>
      <c r="H3431" s="1"/>
      <c r="I3431" s="1"/>
      <c r="J3431" s="1"/>
      <c r="K3431" s="1"/>
      <c r="L3431" s="1"/>
      <c r="M3431" s="1"/>
      <c r="N3431" s="1"/>
      <c r="O3431" s="1"/>
      <c r="P3431" s="1"/>
      <c r="Q3431" s="1"/>
      <c r="R3431" s="1"/>
      <c r="S3431" s="1"/>
      <c r="T3431" s="1"/>
      <c r="U3431" s="1"/>
      <c r="V3431" s="1"/>
      <c r="W3431" s="1"/>
      <c r="X3431" s="1"/>
    </row>
    <row r="3432">
      <c r="A3432" s="1"/>
      <c r="B3432" s="1"/>
      <c r="E3432" s="1"/>
      <c r="F3432" s="1"/>
      <c r="G3432" s="1"/>
      <c r="H3432" s="1"/>
      <c r="I3432" s="1"/>
      <c r="J3432" s="1"/>
      <c r="K3432" s="1"/>
      <c r="L3432" s="1"/>
      <c r="M3432" s="1"/>
      <c r="N3432" s="1"/>
      <c r="O3432" s="1"/>
      <c r="P3432" s="1"/>
      <c r="Q3432" s="1"/>
      <c r="R3432" s="1"/>
      <c r="S3432" s="1"/>
      <c r="T3432" s="1"/>
      <c r="U3432" s="1"/>
      <c r="V3432" s="1"/>
      <c r="W3432" s="1"/>
      <c r="X3432" s="1"/>
    </row>
    <row r="3433">
      <c r="A3433" s="1"/>
      <c r="B3433" s="1"/>
      <c r="E3433" s="1"/>
      <c r="F3433" s="1"/>
      <c r="G3433" s="1"/>
      <c r="H3433" s="1"/>
      <c r="I3433" s="1"/>
      <c r="J3433" s="1"/>
      <c r="K3433" s="1"/>
      <c r="L3433" s="1"/>
      <c r="M3433" s="1"/>
      <c r="N3433" s="1"/>
      <c r="O3433" s="1"/>
      <c r="P3433" s="1"/>
      <c r="Q3433" s="1"/>
      <c r="R3433" s="1"/>
      <c r="S3433" s="1"/>
      <c r="T3433" s="1"/>
      <c r="U3433" s="1"/>
      <c r="V3433" s="1"/>
      <c r="W3433" s="1"/>
      <c r="X3433" s="1"/>
    </row>
    <row r="3434">
      <c r="A3434" s="1"/>
      <c r="B3434" s="1"/>
      <c r="E3434" s="1"/>
      <c r="F3434" s="1"/>
      <c r="G3434" s="1"/>
      <c r="H3434" s="1"/>
      <c r="I3434" s="1"/>
      <c r="J3434" s="1"/>
      <c r="K3434" s="1"/>
      <c r="L3434" s="1"/>
      <c r="M3434" s="1"/>
      <c r="N3434" s="1"/>
      <c r="O3434" s="1"/>
      <c r="P3434" s="1"/>
      <c r="Q3434" s="1"/>
      <c r="R3434" s="1"/>
      <c r="S3434" s="1"/>
      <c r="T3434" s="1"/>
      <c r="U3434" s="1"/>
      <c r="V3434" s="1"/>
      <c r="W3434" s="1"/>
      <c r="X3434" s="1"/>
    </row>
    <row r="3435">
      <c r="A3435" s="1"/>
      <c r="B3435" s="1"/>
      <c r="E3435" s="1"/>
      <c r="F3435" s="1"/>
      <c r="G3435" s="1"/>
      <c r="H3435" s="1"/>
      <c r="I3435" s="1"/>
      <c r="J3435" s="1"/>
      <c r="K3435" s="1"/>
      <c r="L3435" s="1"/>
      <c r="M3435" s="1"/>
      <c r="N3435" s="1"/>
      <c r="O3435" s="1"/>
      <c r="P3435" s="1"/>
      <c r="Q3435" s="1"/>
      <c r="R3435" s="1"/>
      <c r="S3435" s="1"/>
      <c r="T3435" s="1"/>
      <c r="U3435" s="1"/>
      <c r="V3435" s="1"/>
      <c r="W3435" s="1"/>
      <c r="X3435" s="1"/>
    </row>
    <row r="3436">
      <c r="A3436" s="1"/>
      <c r="B3436" s="1"/>
      <c r="E3436" s="1"/>
      <c r="F3436" s="1"/>
      <c r="G3436" s="1"/>
      <c r="H3436" s="1"/>
      <c r="I3436" s="1"/>
      <c r="J3436" s="1"/>
      <c r="K3436" s="1"/>
      <c r="L3436" s="1"/>
      <c r="M3436" s="1"/>
      <c r="N3436" s="1"/>
      <c r="O3436" s="1"/>
      <c r="P3436" s="1"/>
      <c r="Q3436" s="1"/>
      <c r="R3436" s="1"/>
      <c r="S3436" s="1"/>
      <c r="T3436" s="1"/>
      <c r="U3436" s="1"/>
      <c r="V3436" s="1"/>
      <c r="W3436" s="1"/>
      <c r="X3436" s="1"/>
    </row>
    <row r="3437">
      <c r="A3437" s="1"/>
      <c r="B3437" s="1"/>
      <c r="E3437" s="1"/>
      <c r="F3437" s="1"/>
      <c r="G3437" s="1"/>
      <c r="H3437" s="1"/>
      <c r="I3437" s="1"/>
      <c r="J3437" s="1"/>
      <c r="K3437" s="1"/>
      <c r="L3437" s="1"/>
      <c r="M3437" s="1"/>
      <c r="N3437" s="1"/>
      <c r="O3437" s="1"/>
      <c r="P3437" s="1"/>
      <c r="Q3437" s="1"/>
      <c r="R3437" s="1"/>
      <c r="S3437" s="1"/>
      <c r="T3437" s="1"/>
      <c r="U3437" s="1"/>
      <c r="V3437" s="1"/>
      <c r="W3437" s="1"/>
      <c r="X3437" s="1"/>
    </row>
    <row r="3438">
      <c r="A3438" s="1"/>
      <c r="B3438" s="1"/>
      <c r="E3438" s="1"/>
      <c r="F3438" s="1"/>
      <c r="G3438" s="1"/>
      <c r="H3438" s="1"/>
      <c r="I3438" s="1"/>
      <c r="J3438" s="1"/>
      <c r="K3438" s="1"/>
      <c r="L3438" s="1"/>
      <c r="M3438" s="1"/>
      <c r="N3438" s="1"/>
      <c r="O3438" s="1"/>
      <c r="P3438" s="1"/>
      <c r="Q3438" s="1"/>
      <c r="R3438" s="1"/>
      <c r="S3438" s="1"/>
      <c r="T3438" s="1"/>
      <c r="U3438" s="1"/>
      <c r="V3438" s="1"/>
      <c r="W3438" s="1"/>
      <c r="X3438" s="1"/>
    </row>
    <row r="3439">
      <c r="A3439" s="1"/>
      <c r="B3439" s="1"/>
      <c r="E3439" s="1"/>
      <c r="F3439" s="1"/>
      <c r="G3439" s="1"/>
      <c r="H3439" s="1"/>
      <c r="I3439" s="1"/>
      <c r="J3439" s="1"/>
      <c r="K3439" s="1"/>
      <c r="L3439" s="1"/>
      <c r="M3439" s="1"/>
      <c r="N3439" s="1"/>
      <c r="O3439" s="1"/>
      <c r="P3439" s="1"/>
      <c r="Q3439" s="1"/>
      <c r="R3439" s="1"/>
      <c r="S3439" s="1"/>
      <c r="T3439" s="1"/>
      <c r="U3439" s="1"/>
      <c r="V3439" s="1"/>
      <c r="W3439" s="1"/>
      <c r="X3439" s="1"/>
    </row>
    <row r="3440">
      <c r="A3440" s="1"/>
      <c r="B3440" s="1"/>
      <c r="E3440" s="1"/>
      <c r="F3440" s="1"/>
      <c r="G3440" s="1"/>
      <c r="H3440" s="1"/>
      <c r="I3440" s="1"/>
      <c r="J3440" s="1"/>
      <c r="K3440" s="1"/>
      <c r="L3440" s="1"/>
      <c r="M3440" s="1"/>
      <c r="N3440" s="1"/>
      <c r="O3440" s="1"/>
      <c r="P3440" s="1"/>
      <c r="Q3440" s="1"/>
      <c r="R3440" s="1"/>
      <c r="S3440" s="1"/>
      <c r="T3440" s="1"/>
      <c r="U3440" s="1"/>
      <c r="V3440" s="1"/>
      <c r="W3440" s="1"/>
      <c r="X3440" s="1"/>
    </row>
    <row r="3441">
      <c r="A3441" s="1"/>
      <c r="B3441" s="1"/>
      <c r="E3441" s="1"/>
      <c r="F3441" s="1"/>
      <c r="G3441" s="1"/>
      <c r="H3441" s="1"/>
      <c r="I3441" s="1"/>
      <c r="J3441" s="1"/>
      <c r="K3441" s="1"/>
      <c r="L3441" s="1"/>
      <c r="M3441" s="1"/>
      <c r="N3441" s="1"/>
      <c r="O3441" s="1"/>
      <c r="P3441" s="1"/>
      <c r="Q3441" s="1"/>
      <c r="R3441" s="1"/>
      <c r="S3441" s="1"/>
      <c r="T3441" s="1"/>
      <c r="U3441" s="1"/>
      <c r="V3441" s="1"/>
      <c r="W3441" s="1"/>
      <c r="X3441" s="1"/>
    </row>
    <row r="3442">
      <c r="A3442" s="1"/>
      <c r="B3442" s="1"/>
      <c r="E3442" s="1"/>
      <c r="F3442" s="1"/>
      <c r="G3442" s="1"/>
      <c r="H3442" s="1"/>
      <c r="I3442" s="1"/>
      <c r="J3442" s="1"/>
      <c r="K3442" s="1"/>
      <c r="L3442" s="1"/>
      <c r="M3442" s="1"/>
      <c r="N3442" s="1"/>
      <c r="O3442" s="1"/>
      <c r="P3442" s="1"/>
      <c r="Q3442" s="1"/>
      <c r="R3442" s="1"/>
      <c r="S3442" s="1"/>
      <c r="T3442" s="1"/>
      <c r="U3442" s="1"/>
      <c r="V3442" s="1"/>
      <c r="W3442" s="1"/>
      <c r="X3442" s="1"/>
    </row>
    <row r="3443">
      <c r="A3443" s="1"/>
      <c r="B3443" s="1"/>
      <c r="E3443" s="1"/>
      <c r="F3443" s="1"/>
      <c r="G3443" s="1"/>
      <c r="H3443" s="1"/>
      <c r="I3443" s="1"/>
      <c r="J3443" s="1"/>
      <c r="K3443" s="1"/>
      <c r="L3443" s="1"/>
      <c r="M3443" s="1"/>
      <c r="N3443" s="1"/>
      <c r="O3443" s="1"/>
      <c r="P3443" s="1"/>
      <c r="Q3443" s="1"/>
      <c r="R3443" s="1"/>
      <c r="S3443" s="1"/>
      <c r="T3443" s="1"/>
      <c r="U3443" s="1"/>
      <c r="V3443" s="1"/>
      <c r="W3443" s="1"/>
      <c r="X3443" s="1"/>
    </row>
    <row r="3444">
      <c r="A3444" s="1"/>
      <c r="B3444" s="1"/>
      <c r="E3444" s="1"/>
      <c r="F3444" s="1"/>
      <c r="G3444" s="1"/>
      <c r="H3444" s="1"/>
      <c r="I3444" s="1"/>
      <c r="J3444" s="1"/>
      <c r="K3444" s="1"/>
      <c r="L3444" s="1"/>
      <c r="M3444" s="1"/>
      <c r="N3444" s="1"/>
      <c r="O3444" s="1"/>
      <c r="P3444" s="1"/>
      <c r="Q3444" s="1"/>
      <c r="R3444" s="1"/>
      <c r="S3444" s="1"/>
      <c r="T3444" s="1"/>
      <c r="U3444" s="1"/>
      <c r="V3444" s="1"/>
      <c r="W3444" s="1"/>
      <c r="X3444" s="1"/>
    </row>
    <row r="3445">
      <c r="A3445" s="1"/>
      <c r="B3445" s="1"/>
      <c r="E3445" s="1"/>
      <c r="F3445" s="1"/>
      <c r="G3445" s="1"/>
      <c r="H3445" s="1"/>
      <c r="I3445" s="1"/>
      <c r="J3445" s="1"/>
      <c r="K3445" s="1"/>
      <c r="L3445" s="1"/>
      <c r="M3445" s="1"/>
      <c r="N3445" s="1"/>
      <c r="O3445" s="1"/>
      <c r="P3445" s="1"/>
      <c r="Q3445" s="1"/>
      <c r="R3445" s="1"/>
      <c r="S3445" s="1"/>
      <c r="T3445" s="1"/>
      <c r="U3445" s="1"/>
      <c r="V3445" s="1"/>
      <c r="W3445" s="1"/>
      <c r="X3445" s="1"/>
    </row>
    <row r="3446">
      <c r="A3446" s="1"/>
      <c r="B3446" s="1"/>
      <c r="E3446" s="1"/>
      <c r="F3446" s="1"/>
      <c r="G3446" s="1"/>
      <c r="H3446" s="1"/>
      <c r="I3446" s="1"/>
      <c r="J3446" s="1"/>
      <c r="K3446" s="1"/>
      <c r="L3446" s="1"/>
      <c r="M3446" s="1"/>
      <c r="N3446" s="1"/>
      <c r="O3446" s="1"/>
      <c r="P3446" s="1"/>
      <c r="Q3446" s="1"/>
      <c r="R3446" s="1"/>
      <c r="S3446" s="1"/>
      <c r="T3446" s="1"/>
      <c r="U3446" s="1"/>
      <c r="V3446" s="1"/>
      <c r="W3446" s="1"/>
      <c r="X3446" s="1"/>
    </row>
    <row r="3447">
      <c r="A3447" s="1"/>
      <c r="B3447" s="1"/>
      <c r="E3447" s="1"/>
      <c r="F3447" s="1"/>
      <c r="G3447" s="1"/>
      <c r="H3447" s="1"/>
      <c r="I3447" s="1"/>
      <c r="J3447" s="1"/>
      <c r="K3447" s="1"/>
      <c r="L3447" s="1"/>
      <c r="M3447" s="1"/>
      <c r="N3447" s="1"/>
      <c r="O3447" s="1"/>
      <c r="P3447" s="1"/>
      <c r="Q3447" s="1"/>
      <c r="R3447" s="1"/>
      <c r="S3447" s="1"/>
      <c r="T3447" s="1"/>
      <c r="U3447" s="1"/>
      <c r="V3447" s="1"/>
      <c r="W3447" s="1"/>
      <c r="X3447" s="1"/>
    </row>
    <row r="3448">
      <c r="A3448" s="1"/>
      <c r="B3448" s="1"/>
      <c r="E3448" s="1"/>
      <c r="F3448" s="1"/>
      <c r="G3448" s="1"/>
      <c r="H3448" s="1"/>
      <c r="I3448" s="1"/>
      <c r="J3448" s="1"/>
      <c r="K3448" s="1"/>
      <c r="L3448" s="1"/>
      <c r="M3448" s="1"/>
      <c r="N3448" s="1"/>
      <c r="O3448" s="1"/>
      <c r="P3448" s="1"/>
      <c r="Q3448" s="1"/>
      <c r="R3448" s="1"/>
      <c r="S3448" s="1"/>
      <c r="T3448" s="1"/>
      <c r="U3448" s="1"/>
      <c r="V3448" s="1"/>
      <c r="W3448" s="1"/>
      <c r="X3448" s="1"/>
    </row>
    <row r="3449">
      <c r="A3449" s="1"/>
      <c r="B3449" s="1"/>
      <c r="E3449" s="1"/>
      <c r="F3449" s="1"/>
      <c r="G3449" s="1"/>
      <c r="H3449" s="1"/>
      <c r="I3449" s="1"/>
      <c r="J3449" s="1"/>
      <c r="K3449" s="1"/>
      <c r="L3449" s="1"/>
      <c r="M3449" s="1"/>
      <c r="N3449" s="1"/>
      <c r="O3449" s="1"/>
      <c r="P3449" s="1"/>
      <c r="Q3449" s="1"/>
      <c r="R3449" s="1"/>
      <c r="S3449" s="1"/>
      <c r="T3449" s="1"/>
      <c r="U3449" s="1"/>
      <c r="V3449" s="1"/>
      <c r="W3449" s="1"/>
      <c r="X3449" s="1"/>
    </row>
    <row r="3450">
      <c r="A3450" s="1"/>
      <c r="B3450" s="1"/>
      <c r="E3450" s="1"/>
      <c r="F3450" s="1"/>
      <c r="G3450" s="1"/>
      <c r="H3450" s="1"/>
      <c r="I3450" s="1"/>
      <c r="J3450" s="1"/>
      <c r="K3450" s="1"/>
      <c r="L3450" s="1"/>
      <c r="M3450" s="1"/>
      <c r="N3450" s="1"/>
      <c r="O3450" s="1"/>
      <c r="P3450" s="1"/>
      <c r="Q3450" s="1"/>
      <c r="R3450" s="1"/>
      <c r="S3450" s="1"/>
      <c r="T3450" s="1"/>
      <c r="U3450" s="1"/>
      <c r="V3450" s="1"/>
      <c r="W3450" s="1"/>
      <c r="X3450" s="1"/>
    </row>
    <row r="3451">
      <c r="A3451" s="1"/>
      <c r="B3451" s="1"/>
      <c r="E3451" s="1"/>
      <c r="F3451" s="1"/>
      <c r="G3451" s="1"/>
      <c r="H3451" s="1"/>
      <c r="I3451" s="1"/>
      <c r="J3451" s="1"/>
      <c r="K3451" s="1"/>
      <c r="L3451" s="1"/>
      <c r="M3451" s="1"/>
      <c r="N3451" s="1"/>
      <c r="O3451" s="1"/>
      <c r="P3451" s="1"/>
      <c r="Q3451" s="1"/>
      <c r="R3451" s="1"/>
      <c r="S3451" s="1"/>
      <c r="T3451" s="1"/>
      <c r="U3451" s="1"/>
      <c r="V3451" s="1"/>
      <c r="W3451" s="1"/>
      <c r="X3451" s="1"/>
    </row>
    <row r="3452">
      <c r="A3452" s="1"/>
      <c r="B3452" s="1"/>
      <c r="E3452" s="1"/>
      <c r="F3452" s="1"/>
      <c r="G3452" s="1"/>
      <c r="H3452" s="1"/>
      <c r="I3452" s="1"/>
      <c r="J3452" s="1"/>
      <c r="K3452" s="1"/>
      <c r="L3452" s="1"/>
      <c r="M3452" s="1"/>
      <c r="N3452" s="1"/>
      <c r="O3452" s="1"/>
      <c r="P3452" s="1"/>
      <c r="Q3452" s="1"/>
      <c r="R3452" s="1"/>
      <c r="S3452" s="1"/>
      <c r="T3452" s="1"/>
      <c r="U3452" s="1"/>
      <c r="V3452" s="1"/>
      <c r="W3452" s="1"/>
      <c r="X3452" s="1"/>
    </row>
    <row r="3453">
      <c r="A3453" s="1"/>
      <c r="B3453" s="1"/>
      <c r="E3453" s="1"/>
      <c r="F3453" s="1"/>
      <c r="G3453" s="1"/>
      <c r="H3453" s="1"/>
      <c r="I3453" s="1"/>
      <c r="J3453" s="1"/>
      <c r="K3453" s="1"/>
      <c r="L3453" s="1"/>
      <c r="M3453" s="1"/>
      <c r="N3453" s="1"/>
      <c r="O3453" s="1"/>
      <c r="P3453" s="1"/>
      <c r="Q3453" s="1"/>
      <c r="R3453" s="1"/>
      <c r="S3453" s="1"/>
      <c r="T3453" s="1"/>
      <c r="U3453" s="1"/>
      <c r="V3453" s="1"/>
      <c r="W3453" s="1"/>
      <c r="X3453" s="1"/>
    </row>
    <row r="3454">
      <c r="A3454" s="1"/>
      <c r="B3454" s="1"/>
      <c r="E3454" s="1"/>
      <c r="F3454" s="1"/>
      <c r="G3454" s="1"/>
      <c r="H3454" s="1"/>
      <c r="I3454" s="1"/>
      <c r="J3454" s="1"/>
      <c r="K3454" s="1"/>
      <c r="L3454" s="1"/>
      <c r="M3454" s="1"/>
      <c r="N3454" s="1"/>
      <c r="O3454" s="1"/>
      <c r="P3454" s="1"/>
      <c r="Q3454" s="1"/>
      <c r="R3454" s="1"/>
      <c r="S3454" s="1"/>
      <c r="T3454" s="1"/>
      <c r="U3454" s="1"/>
      <c r="V3454" s="1"/>
      <c r="W3454" s="1"/>
      <c r="X3454" s="1"/>
    </row>
    <row r="3455">
      <c r="A3455" s="1"/>
      <c r="B3455" s="1"/>
      <c r="E3455" s="1"/>
      <c r="F3455" s="1"/>
      <c r="G3455" s="1"/>
      <c r="H3455" s="1"/>
      <c r="I3455" s="1"/>
      <c r="J3455" s="1"/>
      <c r="K3455" s="1"/>
      <c r="L3455" s="1"/>
      <c r="M3455" s="1"/>
      <c r="N3455" s="1"/>
      <c r="O3455" s="1"/>
      <c r="P3455" s="1"/>
      <c r="Q3455" s="1"/>
      <c r="R3455" s="1"/>
      <c r="S3455" s="1"/>
      <c r="T3455" s="1"/>
      <c r="U3455" s="1"/>
      <c r="V3455" s="1"/>
      <c r="W3455" s="1"/>
      <c r="X3455" s="1"/>
    </row>
    <row r="3456">
      <c r="A3456" s="1"/>
      <c r="B3456" s="1"/>
      <c r="E3456" s="1"/>
      <c r="F3456" s="1"/>
      <c r="G3456" s="1"/>
      <c r="H3456" s="1"/>
      <c r="I3456" s="1"/>
      <c r="J3456" s="1"/>
      <c r="K3456" s="1"/>
      <c r="L3456" s="1"/>
      <c r="M3456" s="1"/>
      <c r="N3456" s="1"/>
      <c r="O3456" s="1"/>
      <c r="P3456" s="1"/>
      <c r="Q3456" s="1"/>
      <c r="R3456" s="1"/>
      <c r="S3456" s="1"/>
      <c r="T3456" s="1"/>
      <c r="U3456" s="1"/>
      <c r="V3456" s="1"/>
      <c r="W3456" s="1"/>
      <c r="X3456" s="1"/>
    </row>
    <row r="3457">
      <c r="A3457" s="1"/>
      <c r="B3457" s="1"/>
      <c r="E3457" s="1"/>
      <c r="F3457" s="1"/>
      <c r="G3457" s="1"/>
      <c r="H3457" s="1"/>
      <c r="I3457" s="1"/>
      <c r="J3457" s="1"/>
      <c r="K3457" s="1"/>
      <c r="L3457" s="1"/>
      <c r="M3457" s="1"/>
      <c r="N3457" s="1"/>
      <c r="O3457" s="1"/>
      <c r="P3457" s="1"/>
      <c r="Q3457" s="1"/>
      <c r="R3457" s="1"/>
      <c r="S3457" s="1"/>
      <c r="T3457" s="1"/>
      <c r="U3457" s="1"/>
      <c r="V3457" s="1"/>
      <c r="W3457" s="1"/>
      <c r="X3457" s="1"/>
    </row>
    <row r="3458">
      <c r="A3458" s="1"/>
      <c r="B3458" s="1"/>
      <c r="E3458" s="1"/>
      <c r="F3458" s="1"/>
      <c r="G3458" s="1"/>
      <c r="H3458" s="1"/>
      <c r="I3458" s="1"/>
      <c r="J3458" s="1"/>
      <c r="K3458" s="1"/>
      <c r="L3458" s="1"/>
      <c r="M3458" s="1"/>
      <c r="N3458" s="1"/>
      <c r="O3458" s="1"/>
      <c r="P3458" s="1"/>
      <c r="Q3458" s="1"/>
      <c r="R3458" s="1"/>
      <c r="S3458" s="1"/>
      <c r="T3458" s="1"/>
      <c r="U3458" s="1"/>
      <c r="V3458" s="1"/>
      <c r="W3458" s="1"/>
      <c r="X3458" s="1"/>
    </row>
    <row r="3459">
      <c r="A3459" s="1"/>
      <c r="B3459" s="1"/>
      <c r="E3459" s="1"/>
      <c r="F3459" s="1"/>
      <c r="G3459" s="1"/>
      <c r="H3459" s="1"/>
      <c r="I3459" s="1"/>
      <c r="J3459" s="1"/>
      <c r="K3459" s="1"/>
      <c r="L3459" s="1"/>
      <c r="M3459" s="1"/>
      <c r="N3459" s="1"/>
      <c r="O3459" s="1"/>
      <c r="P3459" s="1"/>
      <c r="Q3459" s="1"/>
      <c r="R3459" s="1"/>
      <c r="S3459" s="1"/>
      <c r="T3459" s="1"/>
      <c r="U3459" s="1"/>
      <c r="V3459" s="1"/>
      <c r="W3459" s="1"/>
      <c r="X3459" s="1"/>
    </row>
    <row r="3460">
      <c r="A3460" s="1"/>
      <c r="B3460" s="1"/>
      <c r="E3460" s="1"/>
      <c r="F3460" s="1"/>
      <c r="G3460" s="1"/>
      <c r="H3460" s="1"/>
      <c r="I3460" s="1"/>
      <c r="J3460" s="1"/>
      <c r="K3460" s="1"/>
      <c r="L3460" s="1"/>
      <c r="M3460" s="1"/>
      <c r="N3460" s="1"/>
      <c r="O3460" s="1"/>
      <c r="P3460" s="1"/>
      <c r="Q3460" s="1"/>
      <c r="R3460" s="1"/>
      <c r="S3460" s="1"/>
      <c r="T3460" s="1"/>
      <c r="U3460" s="1"/>
      <c r="V3460" s="1"/>
      <c r="W3460" s="1"/>
      <c r="X3460" s="1"/>
    </row>
    <row r="3461">
      <c r="A3461" s="1"/>
      <c r="B3461" s="1"/>
      <c r="E3461" s="1"/>
      <c r="F3461" s="1"/>
      <c r="G3461" s="1"/>
      <c r="H3461" s="1"/>
      <c r="I3461" s="1"/>
      <c r="J3461" s="1"/>
      <c r="K3461" s="1"/>
      <c r="L3461" s="1"/>
      <c r="M3461" s="1"/>
      <c r="N3461" s="1"/>
      <c r="O3461" s="1"/>
      <c r="P3461" s="1"/>
      <c r="Q3461" s="1"/>
      <c r="R3461" s="1"/>
      <c r="S3461" s="1"/>
      <c r="T3461" s="1"/>
      <c r="U3461" s="1"/>
      <c r="V3461" s="1"/>
      <c r="W3461" s="1"/>
      <c r="X3461" s="1"/>
    </row>
    <row r="3462">
      <c r="A3462" s="1"/>
      <c r="B3462" s="1"/>
      <c r="E3462" s="1"/>
      <c r="F3462" s="1"/>
      <c r="G3462" s="1"/>
      <c r="H3462" s="1"/>
      <c r="I3462" s="1"/>
      <c r="J3462" s="1"/>
      <c r="K3462" s="1"/>
      <c r="L3462" s="1"/>
      <c r="M3462" s="1"/>
      <c r="N3462" s="1"/>
      <c r="O3462" s="1"/>
      <c r="P3462" s="1"/>
      <c r="Q3462" s="1"/>
      <c r="R3462" s="1"/>
      <c r="S3462" s="1"/>
      <c r="T3462" s="1"/>
      <c r="U3462" s="1"/>
      <c r="V3462" s="1"/>
      <c r="W3462" s="1"/>
      <c r="X3462" s="1"/>
    </row>
    <row r="3463">
      <c r="A3463" s="1"/>
      <c r="B3463" s="1"/>
      <c r="E3463" s="1"/>
      <c r="F3463" s="1"/>
      <c r="G3463" s="1"/>
      <c r="H3463" s="1"/>
      <c r="I3463" s="1"/>
      <c r="J3463" s="1"/>
      <c r="K3463" s="1"/>
      <c r="L3463" s="1"/>
      <c r="M3463" s="1"/>
      <c r="N3463" s="1"/>
      <c r="O3463" s="1"/>
      <c r="P3463" s="1"/>
      <c r="Q3463" s="1"/>
      <c r="R3463" s="1"/>
      <c r="S3463" s="1"/>
      <c r="T3463" s="1"/>
      <c r="U3463" s="1"/>
      <c r="V3463" s="1"/>
      <c r="W3463" s="1"/>
      <c r="X3463" s="1"/>
    </row>
    <row r="3464">
      <c r="A3464" s="1"/>
      <c r="B3464" s="1"/>
      <c r="E3464" s="1"/>
      <c r="F3464" s="1"/>
      <c r="G3464" s="1"/>
      <c r="H3464" s="1"/>
      <c r="I3464" s="1"/>
      <c r="J3464" s="1"/>
      <c r="K3464" s="1"/>
      <c r="L3464" s="1"/>
      <c r="M3464" s="1"/>
      <c r="N3464" s="1"/>
      <c r="O3464" s="1"/>
      <c r="P3464" s="1"/>
      <c r="Q3464" s="1"/>
      <c r="R3464" s="1"/>
      <c r="S3464" s="1"/>
      <c r="T3464" s="1"/>
      <c r="U3464" s="1"/>
      <c r="V3464" s="1"/>
      <c r="W3464" s="1"/>
      <c r="X3464" s="1"/>
    </row>
    <row r="3465">
      <c r="A3465" s="1"/>
      <c r="B3465" s="1"/>
      <c r="E3465" s="1"/>
      <c r="F3465" s="1"/>
      <c r="G3465" s="1"/>
      <c r="H3465" s="1"/>
      <c r="I3465" s="1"/>
      <c r="J3465" s="1"/>
      <c r="K3465" s="1"/>
      <c r="L3465" s="1"/>
      <c r="M3465" s="1"/>
      <c r="N3465" s="1"/>
      <c r="O3465" s="1"/>
      <c r="P3465" s="1"/>
      <c r="Q3465" s="1"/>
      <c r="R3465" s="1"/>
      <c r="S3465" s="1"/>
      <c r="T3465" s="1"/>
      <c r="U3465" s="1"/>
      <c r="V3465" s="1"/>
      <c r="W3465" s="1"/>
      <c r="X3465" s="1"/>
    </row>
    <row r="3466">
      <c r="A3466" s="1"/>
      <c r="B3466" s="1"/>
      <c r="E3466" s="1"/>
      <c r="F3466" s="1"/>
      <c r="G3466" s="1"/>
      <c r="H3466" s="1"/>
      <c r="I3466" s="1"/>
      <c r="J3466" s="1"/>
      <c r="K3466" s="1"/>
      <c r="L3466" s="1"/>
      <c r="M3466" s="1"/>
      <c r="N3466" s="1"/>
      <c r="O3466" s="1"/>
      <c r="P3466" s="1"/>
      <c r="Q3466" s="1"/>
      <c r="R3466" s="1"/>
      <c r="S3466" s="1"/>
      <c r="T3466" s="1"/>
      <c r="U3466" s="1"/>
      <c r="V3466" s="1"/>
      <c r="W3466" s="1"/>
      <c r="X3466" s="1"/>
    </row>
    <row r="3467">
      <c r="A3467" s="1"/>
      <c r="B3467" s="1"/>
      <c r="E3467" s="1"/>
      <c r="F3467" s="1"/>
      <c r="G3467" s="1"/>
      <c r="H3467" s="1"/>
      <c r="I3467" s="1"/>
      <c r="J3467" s="1"/>
      <c r="K3467" s="1"/>
      <c r="L3467" s="1"/>
      <c r="M3467" s="1"/>
      <c r="N3467" s="1"/>
      <c r="O3467" s="1"/>
      <c r="P3467" s="1"/>
      <c r="Q3467" s="1"/>
      <c r="R3467" s="1"/>
      <c r="S3467" s="1"/>
      <c r="T3467" s="1"/>
      <c r="U3467" s="1"/>
      <c r="V3467" s="1"/>
      <c r="W3467" s="1"/>
      <c r="X3467" s="1"/>
    </row>
    <row r="3468">
      <c r="A3468" s="1"/>
      <c r="B3468" s="1"/>
      <c r="E3468" s="1"/>
      <c r="F3468" s="1"/>
      <c r="G3468" s="1"/>
      <c r="H3468" s="1"/>
      <c r="I3468" s="1"/>
      <c r="J3468" s="1"/>
      <c r="K3468" s="1"/>
      <c r="L3468" s="1"/>
      <c r="M3468" s="1"/>
      <c r="N3468" s="1"/>
      <c r="O3468" s="1"/>
      <c r="P3468" s="1"/>
      <c r="Q3468" s="1"/>
      <c r="R3468" s="1"/>
      <c r="S3468" s="1"/>
      <c r="T3468" s="1"/>
      <c r="U3468" s="1"/>
      <c r="V3468" s="1"/>
      <c r="W3468" s="1"/>
      <c r="X3468" s="1"/>
    </row>
    <row r="3469">
      <c r="A3469" s="1"/>
      <c r="B3469" s="1"/>
      <c r="E3469" s="1"/>
      <c r="F3469" s="1"/>
      <c r="G3469" s="1"/>
      <c r="H3469" s="1"/>
      <c r="I3469" s="1"/>
      <c r="J3469" s="1"/>
      <c r="K3469" s="1"/>
      <c r="L3469" s="1"/>
      <c r="M3469" s="1"/>
      <c r="N3469" s="1"/>
      <c r="O3469" s="1"/>
      <c r="P3469" s="1"/>
      <c r="Q3469" s="1"/>
      <c r="R3469" s="1"/>
      <c r="S3469" s="1"/>
      <c r="T3469" s="1"/>
      <c r="U3469" s="1"/>
      <c r="V3469" s="1"/>
      <c r="W3469" s="1"/>
      <c r="X3469" s="1"/>
    </row>
    <row r="3470">
      <c r="A3470" s="1"/>
      <c r="B3470" s="1"/>
      <c r="E3470" s="1"/>
      <c r="F3470" s="1"/>
      <c r="G3470" s="1"/>
      <c r="H3470" s="1"/>
      <c r="I3470" s="1"/>
      <c r="J3470" s="1"/>
      <c r="K3470" s="1"/>
      <c r="L3470" s="1"/>
      <c r="M3470" s="1"/>
      <c r="N3470" s="1"/>
      <c r="O3470" s="1"/>
      <c r="P3470" s="1"/>
      <c r="Q3470" s="1"/>
      <c r="R3470" s="1"/>
      <c r="S3470" s="1"/>
      <c r="T3470" s="1"/>
      <c r="U3470" s="1"/>
      <c r="V3470" s="1"/>
      <c r="W3470" s="1"/>
      <c r="X3470" s="1"/>
    </row>
    <row r="3471">
      <c r="A3471" s="1"/>
      <c r="B3471" s="1"/>
      <c r="E3471" s="1"/>
      <c r="F3471" s="1"/>
      <c r="G3471" s="1"/>
      <c r="H3471" s="1"/>
      <c r="I3471" s="1"/>
      <c r="J3471" s="1"/>
      <c r="K3471" s="1"/>
      <c r="L3471" s="1"/>
      <c r="M3471" s="1"/>
      <c r="N3471" s="1"/>
      <c r="O3471" s="1"/>
      <c r="P3471" s="1"/>
      <c r="Q3471" s="1"/>
      <c r="R3471" s="1"/>
      <c r="S3471" s="1"/>
      <c r="T3471" s="1"/>
      <c r="U3471" s="1"/>
      <c r="V3471" s="1"/>
      <c r="W3471" s="1"/>
      <c r="X3471" s="1"/>
    </row>
    <row r="3472">
      <c r="A3472" s="1"/>
      <c r="B3472" s="1"/>
      <c r="E3472" s="1"/>
      <c r="F3472" s="1"/>
      <c r="G3472" s="1"/>
      <c r="H3472" s="1"/>
      <c r="I3472" s="1"/>
      <c r="J3472" s="1"/>
      <c r="K3472" s="1"/>
      <c r="L3472" s="1"/>
      <c r="M3472" s="1"/>
      <c r="N3472" s="1"/>
      <c r="O3472" s="1"/>
      <c r="P3472" s="1"/>
      <c r="Q3472" s="1"/>
      <c r="R3472" s="1"/>
      <c r="S3472" s="1"/>
      <c r="T3472" s="1"/>
      <c r="U3472" s="1"/>
      <c r="V3472" s="1"/>
      <c r="W3472" s="1"/>
      <c r="X3472" s="1"/>
    </row>
    <row r="3473">
      <c r="A3473" s="1"/>
      <c r="B3473" s="1"/>
      <c r="E3473" s="1"/>
      <c r="F3473" s="1"/>
      <c r="G3473" s="1"/>
      <c r="H3473" s="1"/>
      <c r="I3473" s="1"/>
      <c r="J3473" s="1"/>
      <c r="K3473" s="1"/>
      <c r="L3473" s="1"/>
      <c r="M3473" s="1"/>
      <c r="N3473" s="1"/>
      <c r="O3473" s="1"/>
      <c r="P3473" s="1"/>
      <c r="Q3473" s="1"/>
      <c r="R3473" s="1"/>
      <c r="S3473" s="1"/>
      <c r="T3473" s="1"/>
      <c r="U3473" s="1"/>
      <c r="V3473" s="1"/>
      <c r="W3473" s="1"/>
      <c r="X3473" s="1"/>
    </row>
    <row r="3474">
      <c r="A3474" s="1"/>
      <c r="B3474" s="1"/>
      <c r="E3474" s="1"/>
      <c r="F3474" s="1"/>
      <c r="G3474" s="1"/>
      <c r="H3474" s="1"/>
      <c r="I3474" s="1"/>
      <c r="J3474" s="1"/>
      <c r="K3474" s="1"/>
      <c r="L3474" s="1"/>
      <c r="M3474" s="1"/>
      <c r="N3474" s="1"/>
      <c r="O3474" s="1"/>
      <c r="P3474" s="1"/>
      <c r="Q3474" s="1"/>
      <c r="R3474" s="1"/>
      <c r="S3474" s="1"/>
      <c r="T3474" s="1"/>
      <c r="U3474" s="1"/>
      <c r="V3474" s="1"/>
      <c r="W3474" s="1"/>
      <c r="X3474" s="1"/>
    </row>
    <row r="3475">
      <c r="A3475" s="1"/>
      <c r="B3475" s="1"/>
      <c r="E3475" s="1"/>
      <c r="F3475" s="1"/>
      <c r="G3475" s="1"/>
      <c r="H3475" s="1"/>
      <c r="I3475" s="1"/>
      <c r="J3475" s="1"/>
      <c r="K3475" s="1"/>
      <c r="L3475" s="1"/>
      <c r="M3475" s="1"/>
      <c r="N3475" s="1"/>
      <c r="O3475" s="1"/>
      <c r="P3475" s="1"/>
      <c r="Q3475" s="1"/>
      <c r="R3475" s="1"/>
      <c r="S3475" s="1"/>
      <c r="T3475" s="1"/>
      <c r="U3475" s="1"/>
      <c r="V3475" s="1"/>
      <c r="W3475" s="1"/>
      <c r="X3475" s="1"/>
    </row>
    <row r="3476">
      <c r="A3476" s="1"/>
      <c r="B3476" s="1"/>
      <c r="E3476" s="1"/>
      <c r="F3476" s="1"/>
      <c r="G3476" s="1"/>
      <c r="H3476" s="1"/>
      <c r="I3476" s="1"/>
      <c r="J3476" s="1"/>
      <c r="K3476" s="1"/>
      <c r="L3476" s="1"/>
      <c r="M3476" s="1"/>
      <c r="N3476" s="1"/>
      <c r="O3476" s="1"/>
      <c r="P3476" s="1"/>
      <c r="Q3476" s="1"/>
      <c r="R3476" s="1"/>
      <c r="S3476" s="1"/>
      <c r="T3476" s="1"/>
      <c r="U3476" s="1"/>
      <c r="V3476" s="1"/>
      <c r="W3476" s="1"/>
      <c r="X3476" s="1"/>
    </row>
    <row r="3477">
      <c r="A3477" s="1"/>
      <c r="B3477" s="1"/>
      <c r="E3477" s="1"/>
      <c r="F3477" s="1"/>
      <c r="G3477" s="1"/>
      <c r="H3477" s="1"/>
      <c r="I3477" s="1"/>
      <c r="J3477" s="1"/>
      <c r="K3477" s="1"/>
      <c r="L3477" s="1"/>
      <c r="M3477" s="1"/>
      <c r="N3477" s="1"/>
      <c r="O3477" s="1"/>
      <c r="P3477" s="1"/>
      <c r="Q3477" s="1"/>
      <c r="R3477" s="1"/>
      <c r="S3477" s="1"/>
      <c r="T3477" s="1"/>
      <c r="U3477" s="1"/>
      <c r="V3477" s="1"/>
      <c r="W3477" s="1"/>
      <c r="X3477" s="1"/>
    </row>
    <row r="3478">
      <c r="A3478" s="1"/>
      <c r="B3478" s="1"/>
      <c r="E3478" s="1"/>
      <c r="F3478" s="1"/>
      <c r="G3478" s="1"/>
      <c r="H3478" s="1"/>
      <c r="I3478" s="1"/>
      <c r="J3478" s="1"/>
      <c r="K3478" s="1"/>
      <c r="L3478" s="1"/>
      <c r="M3478" s="1"/>
      <c r="N3478" s="1"/>
      <c r="O3478" s="1"/>
      <c r="P3478" s="1"/>
      <c r="Q3478" s="1"/>
      <c r="R3478" s="1"/>
      <c r="S3478" s="1"/>
      <c r="T3478" s="1"/>
      <c r="U3478" s="1"/>
      <c r="V3478" s="1"/>
      <c r="W3478" s="1"/>
      <c r="X3478" s="1"/>
    </row>
    <row r="3479">
      <c r="A3479" s="1"/>
      <c r="B3479" s="1"/>
      <c r="E3479" s="1"/>
      <c r="F3479" s="1"/>
      <c r="G3479" s="1"/>
      <c r="H3479" s="1"/>
      <c r="I3479" s="1"/>
      <c r="J3479" s="1"/>
      <c r="K3479" s="1"/>
      <c r="L3479" s="1"/>
      <c r="M3479" s="1"/>
      <c r="N3479" s="1"/>
      <c r="O3479" s="1"/>
      <c r="P3479" s="1"/>
      <c r="Q3479" s="1"/>
      <c r="R3479" s="1"/>
      <c r="S3479" s="1"/>
      <c r="T3479" s="1"/>
      <c r="U3479" s="1"/>
      <c r="V3479" s="1"/>
      <c r="W3479" s="1"/>
      <c r="X3479" s="1"/>
    </row>
    <row r="3480">
      <c r="A3480" s="1"/>
      <c r="B3480" s="1"/>
      <c r="E3480" s="1"/>
      <c r="F3480" s="1"/>
      <c r="G3480" s="1"/>
      <c r="H3480" s="1"/>
      <c r="I3480" s="1"/>
      <c r="J3480" s="1"/>
      <c r="K3480" s="1"/>
      <c r="L3480" s="1"/>
      <c r="M3480" s="1"/>
      <c r="N3480" s="1"/>
      <c r="O3480" s="1"/>
      <c r="P3480" s="1"/>
      <c r="Q3480" s="1"/>
      <c r="R3480" s="1"/>
      <c r="S3480" s="1"/>
      <c r="T3480" s="1"/>
      <c r="U3480" s="1"/>
      <c r="V3480" s="1"/>
      <c r="W3480" s="1"/>
      <c r="X3480" s="1"/>
    </row>
    <row r="3481">
      <c r="A3481" s="1"/>
      <c r="B3481" s="1"/>
      <c r="E3481" s="1"/>
      <c r="F3481" s="1"/>
      <c r="G3481" s="1"/>
      <c r="H3481" s="1"/>
      <c r="I3481" s="1"/>
      <c r="J3481" s="1"/>
      <c r="K3481" s="1"/>
      <c r="L3481" s="1"/>
      <c r="M3481" s="1"/>
      <c r="N3481" s="1"/>
      <c r="O3481" s="1"/>
      <c r="P3481" s="1"/>
      <c r="Q3481" s="1"/>
      <c r="R3481" s="1"/>
      <c r="S3481" s="1"/>
      <c r="T3481" s="1"/>
      <c r="U3481" s="1"/>
      <c r="V3481" s="1"/>
      <c r="W3481" s="1"/>
      <c r="X3481" s="1"/>
    </row>
    <row r="3482">
      <c r="A3482" s="1"/>
      <c r="B3482" s="1"/>
      <c r="E3482" s="1"/>
      <c r="F3482" s="1"/>
      <c r="G3482" s="1"/>
      <c r="H3482" s="1"/>
      <c r="I3482" s="1"/>
      <c r="J3482" s="1"/>
      <c r="K3482" s="1"/>
      <c r="L3482" s="1"/>
      <c r="M3482" s="1"/>
      <c r="N3482" s="1"/>
      <c r="O3482" s="1"/>
      <c r="P3482" s="1"/>
      <c r="Q3482" s="1"/>
      <c r="R3482" s="1"/>
      <c r="S3482" s="1"/>
      <c r="T3482" s="1"/>
      <c r="U3482" s="1"/>
      <c r="V3482" s="1"/>
      <c r="W3482" s="1"/>
      <c r="X3482" s="1"/>
    </row>
    <row r="3483">
      <c r="A3483" s="1"/>
      <c r="B3483" s="1"/>
      <c r="E3483" s="1"/>
      <c r="F3483" s="1"/>
      <c r="G3483" s="1"/>
      <c r="H3483" s="1"/>
      <c r="I3483" s="1"/>
      <c r="J3483" s="1"/>
      <c r="K3483" s="1"/>
      <c r="L3483" s="1"/>
      <c r="M3483" s="1"/>
      <c r="N3483" s="1"/>
      <c r="O3483" s="1"/>
      <c r="P3483" s="1"/>
      <c r="Q3483" s="1"/>
      <c r="R3483" s="1"/>
      <c r="S3483" s="1"/>
      <c r="T3483" s="1"/>
      <c r="U3483" s="1"/>
      <c r="V3483" s="1"/>
      <c r="W3483" s="1"/>
      <c r="X3483" s="1"/>
    </row>
    <row r="3484">
      <c r="A3484" s="1"/>
      <c r="B3484" s="1"/>
      <c r="E3484" s="1"/>
      <c r="F3484" s="1"/>
      <c r="G3484" s="1"/>
      <c r="H3484" s="1"/>
      <c r="I3484" s="1"/>
      <c r="J3484" s="1"/>
      <c r="K3484" s="1"/>
      <c r="L3484" s="1"/>
      <c r="M3484" s="1"/>
      <c r="N3484" s="1"/>
      <c r="O3484" s="1"/>
      <c r="P3484" s="1"/>
      <c r="Q3484" s="1"/>
      <c r="R3484" s="1"/>
      <c r="S3484" s="1"/>
      <c r="T3484" s="1"/>
      <c r="U3484" s="1"/>
      <c r="V3484" s="1"/>
      <c r="W3484" s="1"/>
      <c r="X3484" s="1"/>
    </row>
    <row r="3485">
      <c r="A3485" s="1"/>
      <c r="B3485" s="1"/>
      <c r="E3485" s="1"/>
      <c r="F3485" s="1"/>
      <c r="G3485" s="1"/>
      <c r="H3485" s="1"/>
      <c r="I3485" s="1"/>
      <c r="J3485" s="1"/>
      <c r="K3485" s="1"/>
      <c r="L3485" s="1"/>
      <c r="M3485" s="1"/>
      <c r="N3485" s="1"/>
      <c r="O3485" s="1"/>
      <c r="P3485" s="1"/>
      <c r="Q3485" s="1"/>
      <c r="R3485" s="1"/>
      <c r="S3485" s="1"/>
      <c r="T3485" s="1"/>
      <c r="U3485" s="1"/>
      <c r="V3485" s="1"/>
      <c r="W3485" s="1"/>
      <c r="X3485" s="1"/>
    </row>
    <row r="3486">
      <c r="A3486" s="1"/>
      <c r="B3486" s="1"/>
      <c r="E3486" s="1"/>
      <c r="F3486" s="1"/>
      <c r="G3486" s="1"/>
      <c r="H3486" s="1"/>
      <c r="I3486" s="1"/>
      <c r="J3486" s="1"/>
      <c r="K3486" s="1"/>
      <c r="L3486" s="1"/>
      <c r="M3486" s="1"/>
      <c r="N3486" s="1"/>
      <c r="O3486" s="1"/>
      <c r="P3486" s="1"/>
      <c r="Q3486" s="1"/>
      <c r="R3486" s="1"/>
      <c r="S3486" s="1"/>
      <c r="T3486" s="1"/>
      <c r="U3486" s="1"/>
      <c r="V3486" s="1"/>
      <c r="W3486" s="1"/>
      <c r="X3486" s="1"/>
    </row>
    <row r="3487">
      <c r="A3487" s="1"/>
      <c r="B3487" s="1"/>
      <c r="E3487" s="1"/>
      <c r="F3487" s="1"/>
      <c r="G3487" s="1"/>
      <c r="H3487" s="1"/>
      <c r="I3487" s="1"/>
      <c r="J3487" s="1"/>
      <c r="K3487" s="1"/>
      <c r="L3487" s="1"/>
      <c r="M3487" s="1"/>
      <c r="N3487" s="1"/>
      <c r="O3487" s="1"/>
      <c r="P3487" s="1"/>
      <c r="Q3487" s="1"/>
      <c r="R3487" s="1"/>
      <c r="S3487" s="1"/>
      <c r="T3487" s="1"/>
      <c r="U3487" s="1"/>
      <c r="V3487" s="1"/>
      <c r="W3487" s="1"/>
      <c r="X3487" s="1"/>
    </row>
    <row r="3488">
      <c r="A3488" s="1"/>
      <c r="B3488" s="1"/>
      <c r="E3488" s="1"/>
      <c r="F3488" s="1"/>
      <c r="G3488" s="1"/>
      <c r="H3488" s="1"/>
      <c r="I3488" s="1"/>
      <c r="J3488" s="1"/>
      <c r="K3488" s="1"/>
      <c r="L3488" s="1"/>
      <c r="M3488" s="1"/>
      <c r="N3488" s="1"/>
      <c r="O3488" s="1"/>
      <c r="P3488" s="1"/>
      <c r="Q3488" s="1"/>
      <c r="R3488" s="1"/>
      <c r="S3488" s="1"/>
      <c r="T3488" s="1"/>
      <c r="U3488" s="1"/>
      <c r="V3488" s="1"/>
      <c r="W3488" s="1"/>
      <c r="X3488" s="1"/>
    </row>
    <row r="3489">
      <c r="A3489" s="1"/>
      <c r="B3489" s="1"/>
      <c r="E3489" s="1"/>
      <c r="F3489" s="1"/>
      <c r="G3489" s="1"/>
      <c r="H3489" s="1"/>
      <c r="I3489" s="1"/>
      <c r="J3489" s="1"/>
      <c r="K3489" s="1"/>
      <c r="L3489" s="1"/>
      <c r="M3489" s="1"/>
      <c r="N3489" s="1"/>
      <c r="O3489" s="1"/>
      <c r="P3489" s="1"/>
      <c r="Q3489" s="1"/>
      <c r="R3489" s="1"/>
      <c r="S3489" s="1"/>
      <c r="T3489" s="1"/>
      <c r="U3489" s="1"/>
      <c r="V3489" s="1"/>
      <c r="W3489" s="1"/>
      <c r="X3489" s="1"/>
    </row>
    <row r="3490">
      <c r="A3490" s="1"/>
      <c r="B3490" s="1"/>
      <c r="E3490" s="1"/>
      <c r="F3490" s="1"/>
      <c r="G3490" s="1"/>
      <c r="H3490" s="1"/>
      <c r="I3490" s="1"/>
      <c r="J3490" s="1"/>
      <c r="K3490" s="1"/>
      <c r="L3490" s="1"/>
      <c r="M3490" s="1"/>
      <c r="N3490" s="1"/>
      <c r="O3490" s="1"/>
      <c r="P3490" s="1"/>
      <c r="Q3490" s="1"/>
      <c r="R3490" s="1"/>
      <c r="S3490" s="1"/>
      <c r="T3490" s="1"/>
      <c r="U3490" s="1"/>
      <c r="V3490" s="1"/>
      <c r="W3490" s="1"/>
      <c r="X3490" s="1"/>
    </row>
    <row r="3491">
      <c r="A3491" s="1"/>
      <c r="B3491" s="1"/>
      <c r="E3491" s="1"/>
      <c r="F3491" s="1"/>
      <c r="G3491" s="1"/>
      <c r="H3491" s="1"/>
      <c r="I3491" s="1"/>
      <c r="J3491" s="1"/>
      <c r="K3491" s="1"/>
      <c r="L3491" s="1"/>
      <c r="M3491" s="1"/>
      <c r="N3491" s="1"/>
      <c r="O3491" s="1"/>
      <c r="P3491" s="1"/>
      <c r="Q3491" s="1"/>
      <c r="R3491" s="1"/>
      <c r="S3491" s="1"/>
      <c r="T3491" s="1"/>
      <c r="U3491" s="1"/>
      <c r="V3491" s="1"/>
      <c r="W3491" s="1"/>
      <c r="X3491" s="1"/>
    </row>
    <row r="3492">
      <c r="A3492" s="1"/>
      <c r="B3492" s="1"/>
      <c r="E3492" s="1"/>
      <c r="F3492" s="1"/>
      <c r="G3492" s="1"/>
      <c r="H3492" s="1"/>
      <c r="I3492" s="1"/>
      <c r="J3492" s="1"/>
      <c r="K3492" s="1"/>
      <c r="L3492" s="1"/>
      <c r="M3492" s="1"/>
      <c r="N3492" s="1"/>
      <c r="O3492" s="1"/>
      <c r="P3492" s="1"/>
      <c r="Q3492" s="1"/>
      <c r="R3492" s="1"/>
      <c r="S3492" s="1"/>
      <c r="T3492" s="1"/>
      <c r="U3492" s="1"/>
      <c r="V3492" s="1"/>
      <c r="W3492" s="1"/>
      <c r="X3492" s="1"/>
    </row>
    <row r="3493">
      <c r="A3493" s="1"/>
      <c r="B3493" s="1"/>
      <c r="E3493" s="1"/>
      <c r="F3493" s="1"/>
      <c r="G3493" s="1"/>
      <c r="H3493" s="1"/>
      <c r="I3493" s="1"/>
      <c r="J3493" s="1"/>
      <c r="K3493" s="1"/>
      <c r="L3493" s="1"/>
      <c r="M3493" s="1"/>
      <c r="N3493" s="1"/>
      <c r="O3493" s="1"/>
      <c r="P3493" s="1"/>
      <c r="Q3493" s="1"/>
      <c r="R3493" s="1"/>
      <c r="S3493" s="1"/>
      <c r="T3493" s="1"/>
      <c r="U3493" s="1"/>
      <c r="V3493" s="1"/>
      <c r="W3493" s="1"/>
      <c r="X3493" s="1"/>
    </row>
    <row r="3494">
      <c r="A3494" s="1"/>
      <c r="B3494" s="1"/>
      <c r="E3494" s="1"/>
      <c r="F3494" s="1"/>
      <c r="G3494" s="1"/>
      <c r="H3494" s="1"/>
      <c r="I3494" s="1"/>
      <c r="J3494" s="1"/>
      <c r="K3494" s="1"/>
      <c r="L3494" s="1"/>
      <c r="M3494" s="1"/>
      <c r="N3494" s="1"/>
      <c r="O3494" s="1"/>
      <c r="P3494" s="1"/>
      <c r="Q3494" s="1"/>
      <c r="R3494" s="1"/>
      <c r="S3494" s="1"/>
      <c r="T3494" s="1"/>
      <c r="U3494" s="1"/>
      <c r="V3494" s="1"/>
      <c r="W3494" s="1"/>
      <c r="X3494" s="1"/>
    </row>
    <row r="3495">
      <c r="A3495" s="1"/>
      <c r="B3495" s="1"/>
      <c r="E3495" s="1"/>
      <c r="F3495" s="1"/>
      <c r="G3495" s="1"/>
      <c r="H3495" s="1"/>
      <c r="I3495" s="1"/>
      <c r="J3495" s="1"/>
      <c r="K3495" s="1"/>
      <c r="L3495" s="1"/>
      <c r="M3495" s="1"/>
      <c r="N3495" s="1"/>
      <c r="O3495" s="1"/>
      <c r="P3495" s="1"/>
      <c r="Q3495" s="1"/>
      <c r="R3495" s="1"/>
      <c r="S3495" s="1"/>
      <c r="T3495" s="1"/>
      <c r="U3495" s="1"/>
      <c r="V3495" s="1"/>
      <c r="W3495" s="1"/>
      <c r="X3495" s="1"/>
    </row>
    <row r="3496">
      <c r="A3496" s="1"/>
      <c r="B3496" s="1"/>
      <c r="E3496" s="1"/>
      <c r="F3496" s="1"/>
      <c r="G3496" s="1"/>
      <c r="H3496" s="1"/>
      <c r="I3496" s="1"/>
      <c r="J3496" s="1"/>
      <c r="K3496" s="1"/>
      <c r="L3496" s="1"/>
      <c r="M3496" s="1"/>
      <c r="N3496" s="1"/>
      <c r="O3496" s="1"/>
      <c r="P3496" s="1"/>
      <c r="Q3496" s="1"/>
      <c r="R3496" s="1"/>
      <c r="S3496" s="1"/>
      <c r="T3496" s="1"/>
      <c r="U3496" s="1"/>
      <c r="V3496" s="1"/>
      <c r="W3496" s="1"/>
      <c r="X3496" s="1"/>
    </row>
    <row r="3497">
      <c r="A3497" s="1"/>
      <c r="B3497" s="1"/>
      <c r="E3497" s="1"/>
      <c r="F3497" s="1"/>
      <c r="G3497" s="1"/>
      <c r="H3497" s="1"/>
      <c r="I3497" s="1"/>
      <c r="J3497" s="1"/>
      <c r="K3497" s="1"/>
      <c r="L3497" s="1"/>
      <c r="M3497" s="1"/>
      <c r="N3497" s="1"/>
      <c r="O3497" s="1"/>
      <c r="P3497" s="1"/>
      <c r="Q3497" s="1"/>
      <c r="R3497" s="1"/>
      <c r="S3497" s="1"/>
      <c r="T3497" s="1"/>
      <c r="U3497" s="1"/>
      <c r="V3497" s="1"/>
      <c r="W3497" s="1"/>
      <c r="X3497" s="1"/>
    </row>
    <row r="3498">
      <c r="A3498" s="1"/>
      <c r="B3498" s="1"/>
      <c r="E3498" s="1"/>
      <c r="F3498" s="1"/>
      <c r="G3498" s="1"/>
      <c r="H3498" s="1"/>
      <c r="I3498" s="1"/>
      <c r="J3498" s="1"/>
      <c r="K3498" s="1"/>
      <c r="L3498" s="1"/>
      <c r="M3498" s="1"/>
      <c r="N3498" s="1"/>
      <c r="O3498" s="1"/>
      <c r="P3498" s="1"/>
      <c r="Q3498" s="1"/>
      <c r="R3498" s="1"/>
      <c r="S3498" s="1"/>
      <c r="T3498" s="1"/>
      <c r="U3498" s="1"/>
      <c r="V3498" s="1"/>
      <c r="W3498" s="1"/>
      <c r="X3498" s="1"/>
    </row>
    <row r="3499">
      <c r="A3499" s="1"/>
      <c r="B3499" s="1"/>
      <c r="E3499" s="1"/>
      <c r="F3499" s="1"/>
      <c r="G3499" s="1"/>
      <c r="H3499" s="1"/>
      <c r="I3499" s="1"/>
      <c r="J3499" s="1"/>
      <c r="K3499" s="1"/>
      <c r="L3499" s="1"/>
      <c r="M3499" s="1"/>
      <c r="N3499" s="1"/>
      <c r="O3499" s="1"/>
      <c r="P3499" s="1"/>
      <c r="Q3499" s="1"/>
      <c r="R3499" s="1"/>
      <c r="S3499" s="1"/>
      <c r="T3499" s="1"/>
      <c r="U3499" s="1"/>
      <c r="V3499" s="1"/>
      <c r="W3499" s="1"/>
      <c r="X3499" s="1"/>
    </row>
    <row r="3500">
      <c r="A3500" s="1"/>
      <c r="B3500" s="1"/>
      <c r="E3500" s="1"/>
      <c r="F3500" s="1"/>
      <c r="G3500" s="1"/>
      <c r="H3500" s="1"/>
      <c r="I3500" s="1"/>
      <c r="J3500" s="1"/>
      <c r="K3500" s="1"/>
      <c r="L3500" s="1"/>
      <c r="M3500" s="1"/>
      <c r="N3500" s="1"/>
      <c r="O3500" s="1"/>
      <c r="P3500" s="1"/>
      <c r="Q3500" s="1"/>
      <c r="R3500" s="1"/>
      <c r="S3500" s="1"/>
      <c r="T3500" s="1"/>
      <c r="U3500" s="1"/>
      <c r="V3500" s="1"/>
      <c r="W3500" s="1"/>
      <c r="X3500" s="1"/>
    </row>
    <row r="3501">
      <c r="A3501" s="1"/>
      <c r="B3501" s="1"/>
      <c r="E3501" s="1"/>
      <c r="F3501" s="1"/>
      <c r="G3501" s="1"/>
      <c r="H3501" s="1"/>
      <c r="I3501" s="1"/>
      <c r="J3501" s="1"/>
      <c r="K3501" s="1"/>
      <c r="L3501" s="1"/>
      <c r="M3501" s="1"/>
      <c r="N3501" s="1"/>
      <c r="O3501" s="1"/>
      <c r="P3501" s="1"/>
      <c r="Q3501" s="1"/>
      <c r="R3501" s="1"/>
      <c r="S3501" s="1"/>
      <c r="T3501" s="1"/>
      <c r="U3501" s="1"/>
      <c r="V3501" s="1"/>
      <c r="W3501" s="1"/>
      <c r="X3501" s="1"/>
    </row>
    <row r="3502">
      <c r="A3502" s="1"/>
      <c r="B3502" s="1"/>
      <c r="E3502" s="1"/>
      <c r="F3502" s="1"/>
      <c r="G3502" s="1"/>
      <c r="H3502" s="1"/>
      <c r="I3502" s="1"/>
      <c r="J3502" s="1"/>
      <c r="K3502" s="1"/>
      <c r="L3502" s="1"/>
      <c r="M3502" s="1"/>
      <c r="N3502" s="1"/>
      <c r="O3502" s="1"/>
      <c r="P3502" s="1"/>
      <c r="Q3502" s="1"/>
      <c r="R3502" s="1"/>
      <c r="S3502" s="1"/>
      <c r="T3502" s="1"/>
      <c r="U3502" s="1"/>
      <c r="V3502" s="1"/>
      <c r="W3502" s="1"/>
      <c r="X3502" s="1"/>
    </row>
    <row r="3503">
      <c r="A3503" s="1"/>
      <c r="B3503" s="1"/>
      <c r="E3503" s="1"/>
      <c r="F3503" s="1"/>
      <c r="G3503" s="1"/>
      <c r="H3503" s="1"/>
      <c r="I3503" s="1"/>
      <c r="J3503" s="1"/>
      <c r="K3503" s="1"/>
      <c r="L3503" s="1"/>
      <c r="M3503" s="1"/>
      <c r="N3503" s="1"/>
      <c r="O3503" s="1"/>
      <c r="P3503" s="1"/>
      <c r="Q3503" s="1"/>
      <c r="R3503" s="1"/>
      <c r="S3503" s="1"/>
      <c r="T3503" s="1"/>
      <c r="U3503" s="1"/>
      <c r="V3503" s="1"/>
      <c r="W3503" s="1"/>
      <c r="X3503" s="1"/>
    </row>
    <row r="3504">
      <c r="A3504" s="1"/>
      <c r="B3504" s="1"/>
      <c r="E3504" s="1"/>
      <c r="F3504" s="1"/>
      <c r="G3504" s="1"/>
      <c r="H3504" s="1"/>
      <c r="I3504" s="1"/>
      <c r="J3504" s="1"/>
      <c r="K3504" s="1"/>
      <c r="L3504" s="1"/>
      <c r="M3504" s="1"/>
      <c r="N3504" s="1"/>
      <c r="O3504" s="1"/>
      <c r="P3504" s="1"/>
      <c r="Q3504" s="1"/>
      <c r="R3504" s="1"/>
      <c r="S3504" s="1"/>
      <c r="T3504" s="1"/>
      <c r="U3504" s="1"/>
      <c r="V3504" s="1"/>
      <c r="W3504" s="1"/>
      <c r="X3504" s="1"/>
    </row>
    <row r="3505">
      <c r="A3505" s="1"/>
      <c r="B3505" s="1"/>
      <c r="E3505" s="1"/>
      <c r="F3505" s="1"/>
      <c r="G3505" s="1"/>
      <c r="H3505" s="1"/>
      <c r="I3505" s="1"/>
      <c r="J3505" s="1"/>
      <c r="K3505" s="1"/>
      <c r="L3505" s="1"/>
      <c r="M3505" s="1"/>
      <c r="N3505" s="1"/>
      <c r="O3505" s="1"/>
      <c r="P3505" s="1"/>
      <c r="Q3505" s="1"/>
      <c r="R3505" s="1"/>
      <c r="S3505" s="1"/>
      <c r="T3505" s="1"/>
      <c r="U3505" s="1"/>
      <c r="V3505" s="1"/>
      <c r="W3505" s="1"/>
      <c r="X3505" s="1"/>
    </row>
    <row r="3506">
      <c r="A3506" s="1"/>
      <c r="B3506" s="1"/>
      <c r="E3506" s="1"/>
      <c r="F3506" s="1"/>
      <c r="G3506" s="1"/>
      <c r="H3506" s="1"/>
      <c r="I3506" s="1"/>
      <c r="J3506" s="1"/>
      <c r="K3506" s="1"/>
      <c r="L3506" s="1"/>
      <c r="M3506" s="1"/>
      <c r="N3506" s="1"/>
      <c r="O3506" s="1"/>
      <c r="P3506" s="1"/>
      <c r="Q3506" s="1"/>
      <c r="R3506" s="1"/>
      <c r="S3506" s="1"/>
      <c r="T3506" s="1"/>
      <c r="U3506" s="1"/>
      <c r="V3506" s="1"/>
      <c r="W3506" s="1"/>
      <c r="X3506" s="1"/>
    </row>
    <row r="3507">
      <c r="A3507" s="1"/>
      <c r="B3507" s="1"/>
      <c r="E3507" s="1"/>
      <c r="F3507" s="1"/>
      <c r="G3507" s="1"/>
      <c r="H3507" s="1"/>
      <c r="I3507" s="1"/>
      <c r="J3507" s="1"/>
      <c r="K3507" s="1"/>
      <c r="L3507" s="1"/>
      <c r="M3507" s="1"/>
      <c r="N3507" s="1"/>
      <c r="O3507" s="1"/>
      <c r="P3507" s="1"/>
      <c r="Q3507" s="1"/>
      <c r="R3507" s="1"/>
      <c r="S3507" s="1"/>
      <c r="T3507" s="1"/>
      <c r="U3507" s="1"/>
      <c r="V3507" s="1"/>
      <c r="W3507" s="1"/>
      <c r="X3507" s="1"/>
    </row>
    <row r="3508">
      <c r="A3508" s="1"/>
      <c r="B3508" s="1"/>
      <c r="E3508" s="1"/>
      <c r="F3508" s="1"/>
      <c r="G3508" s="1"/>
      <c r="H3508" s="1"/>
      <c r="I3508" s="1"/>
      <c r="J3508" s="1"/>
      <c r="K3508" s="1"/>
      <c r="L3508" s="1"/>
      <c r="M3508" s="1"/>
      <c r="N3508" s="1"/>
      <c r="O3508" s="1"/>
      <c r="P3508" s="1"/>
      <c r="Q3508" s="1"/>
      <c r="R3508" s="1"/>
      <c r="S3508" s="1"/>
      <c r="T3508" s="1"/>
      <c r="U3508" s="1"/>
      <c r="V3508" s="1"/>
      <c r="W3508" s="1"/>
      <c r="X3508" s="1"/>
    </row>
    <row r="3509">
      <c r="A3509" s="1"/>
      <c r="B3509" s="1"/>
      <c r="E3509" s="1"/>
      <c r="F3509" s="1"/>
      <c r="G3509" s="1"/>
      <c r="H3509" s="1"/>
      <c r="I3509" s="1"/>
      <c r="J3509" s="1"/>
      <c r="K3509" s="1"/>
      <c r="L3509" s="1"/>
      <c r="M3509" s="1"/>
      <c r="N3509" s="1"/>
      <c r="O3509" s="1"/>
      <c r="P3509" s="1"/>
      <c r="Q3509" s="1"/>
      <c r="R3509" s="1"/>
      <c r="S3509" s="1"/>
      <c r="T3509" s="1"/>
      <c r="U3509" s="1"/>
      <c r="V3509" s="1"/>
      <c r="W3509" s="1"/>
      <c r="X3509" s="1"/>
    </row>
    <row r="3510">
      <c r="A3510" s="1"/>
      <c r="B3510" s="1"/>
      <c r="E3510" s="1"/>
      <c r="F3510" s="1"/>
      <c r="G3510" s="1"/>
      <c r="H3510" s="1"/>
      <c r="I3510" s="1"/>
      <c r="J3510" s="1"/>
      <c r="K3510" s="1"/>
      <c r="L3510" s="1"/>
      <c r="M3510" s="1"/>
      <c r="N3510" s="1"/>
      <c r="O3510" s="1"/>
      <c r="P3510" s="1"/>
      <c r="Q3510" s="1"/>
      <c r="R3510" s="1"/>
      <c r="S3510" s="1"/>
      <c r="T3510" s="1"/>
      <c r="U3510" s="1"/>
      <c r="V3510" s="1"/>
      <c r="W3510" s="1"/>
      <c r="X3510" s="1"/>
    </row>
    <row r="3511">
      <c r="A3511" s="1"/>
      <c r="B3511" s="1"/>
      <c r="E3511" s="1"/>
      <c r="F3511" s="1"/>
      <c r="G3511" s="1"/>
      <c r="H3511" s="1"/>
      <c r="I3511" s="1"/>
      <c r="J3511" s="1"/>
      <c r="K3511" s="1"/>
      <c r="L3511" s="1"/>
      <c r="M3511" s="1"/>
      <c r="N3511" s="1"/>
      <c r="O3511" s="1"/>
      <c r="P3511" s="1"/>
      <c r="Q3511" s="1"/>
      <c r="R3511" s="1"/>
      <c r="S3511" s="1"/>
      <c r="T3511" s="1"/>
      <c r="U3511" s="1"/>
      <c r="V3511" s="1"/>
      <c r="W3511" s="1"/>
      <c r="X3511" s="1"/>
    </row>
    <row r="3512">
      <c r="A3512" s="1"/>
      <c r="B3512" s="1"/>
      <c r="E3512" s="1"/>
      <c r="F3512" s="1"/>
      <c r="G3512" s="1"/>
      <c r="H3512" s="1"/>
      <c r="I3512" s="1"/>
      <c r="J3512" s="1"/>
      <c r="K3512" s="1"/>
      <c r="L3512" s="1"/>
      <c r="M3512" s="1"/>
      <c r="N3512" s="1"/>
      <c r="O3512" s="1"/>
      <c r="P3512" s="1"/>
      <c r="Q3512" s="1"/>
      <c r="R3512" s="1"/>
      <c r="S3512" s="1"/>
      <c r="T3512" s="1"/>
      <c r="U3512" s="1"/>
      <c r="V3512" s="1"/>
      <c r="W3512" s="1"/>
      <c r="X3512" s="1"/>
    </row>
    <row r="3513">
      <c r="A3513" s="1"/>
      <c r="B3513" s="1"/>
      <c r="E3513" s="1"/>
      <c r="F3513" s="1"/>
      <c r="G3513" s="1"/>
      <c r="H3513" s="1"/>
      <c r="I3513" s="1"/>
      <c r="J3513" s="1"/>
      <c r="K3513" s="1"/>
      <c r="L3513" s="1"/>
      <c r="M3513" s="1"/>
      <c r="N3513" s="1"/>
      <c r="O3513" s="1"/>
      <c r="P3513" s="1"/>
      <c r="Q3513" s="1"/>
      <c r="R3513" s="1"/>
      <c r="S3513" s="1"/>
      <c r="T3513" s="1"/>
      <c r="U3513" s="1"/>
      <c r="V3513" s="1"/>
      <c r="W3513" s="1"/>
      <c r="X3513" s="1"/>
    </row>
    <row r="3514">
      <c r="A3514" s="1"/>
      <c r="B3514" s="1"/>
      <c r="E3514" s="1"/>
      <c r="F3514" s="1"/>
      <c r="G3514" s="1"/>
      <c r="H3514" s="1"/>
      <c r="I3514" s="1"/>
      <c r="J3514" s="1"/>
      <c r="K3514" s="1"/>
      <c r="L3514" s="1"/>
      <c r="M3514" s="1"/>
      <c r="N3514" s="1"/>
      <c r="O3514" s="1"/>
      <c r="P3514" s="1"/>
      <c r="Q3514" s="1"/>
      <c r="R3514" s="1"/>
      <c r="S3514" s="1"/>
      <c r="T3514" s="1"/>
      <c r="U3514" s="1"/>
      <c r="V3514" s="1"/>
      <c r="W3514" s="1"/>
      <c r="X3514" s="1"/>
    </row>
    <row r="3515">
      <c r="A3515" s="1"/>
      <c r="B3515" s="1"/>
      <c r="E3515" s="1"/>
      <c r="F3515" s="1"/>
      <c r="G3515" s="1"/>
      <c r="H3515" s="1"/>
      <c r="I3515" s="1"/>
      <c r="J3515" s="1"/>
      <c r="K3515" s="1"/>
      <c r="L3515" s="1"/>
      <c r="M3515" s="1"/>
      <c r="N3515" s="1"/>
      <c r="O3515" s="1"/>
      <c r="P3515" s="1"/>
      <c r="Q3515" s="1"/>
      <c r="R3515" s="1"/>
      <c r="S3515" s="1"/>
      <c r="T3515" s="1"/>
      <c r="U3515" s="1"/>
      <c r="V3515" s="1"/>
      <c r="W3515" s="1"/>
      <c r="X3515" s="1"/>
    </row>
    <row r="3516">
      <c r="A3516" s="1"/>
      <c r="B3516" s="1"/>
      <c r="E3516" s="1"/>
      <c r="F3516" s="1"/>
      <c r="G3516" s="1"/>
      <c r="H3516" s="1"/>
      <c r="I3516" s="1"/>
      <c r="J3516" s="1"/>
      <c r="K3516" s="1"/>
      <c r="L3516" s="1"/>
      <c r="M3516" s="1"/>
      <c r="N3516" s="1"/>
      <c r="O3516" s="1"/>
      <c r="P3516" s="1"/>
      <c r="Q3516" s="1"/>
      <c r="R3516" s="1"/>
      <c r="S3516" s="1"/>
      <c r="T3516" s="1"/>
      <c r="U3516" s="1"/>
      <c r="V3516" s="1"/>
      <c r="W3516" s="1"/>
      <c r="X3516" s="1"/>
    </row>
    <row r="3517">
      <c r="A3517" s="1"/>
      <c r="B3517" s="1"/>
      <c r="E3517" s="1"/>
      <c r="F3517" s="1"/>
      <c r="G3517" s="1"/>
      <c r="H3517" s="1"/>
      <c r="I3517" s="1"/>
      <c r="J3517" s="1"/>
      <c r="K3517" s="1"/>
      <c r="L3517" s="1"/>
      <c r="M3517" s="1"/>
      <c r="N3517" s="1"/>
      <c r="O3517" s="1"/>
      <c r="P3517" s="1"/>
      <c r="Q3517" s="1"/>
      <c r="R3517" s="1"/>
      <c r="S3517" s="1"/>
      <c r="T3517" s="1"/>
      <c r="U3517" s="1"/>
      <c r="V3517" s="1"/>
      <c r="W3517" s="1"/>
      <c r="X3517" s="1"/>
    </row>
    <row r="3518">
      <c r="A3518" s="1"/>
      <c r="B3518" s="1"/>
      <c r="E3518" s="1"/>
      <c r="F3518" s="1"/>
      <c r="G3518" s="1"/>
      <c r="H3518" s="1"/>
      <c r="I3518" s="1"/>
      <c r="J3518" s="1"/>
      <c r="K3518" s="1"/>
      <c r="L3518" s="1"/>
      <c r="M3518" s="1"/>
      <c r="N3518" s="1"/>
      <c r="O3518" s="1"/>
      <c r="P3518" s="1"/>
      <c r="Q3518" s="1"/>
      <c r="R3518" s="1"/>
      <c r="S3518" s="1"/>
      <c r="T3518" s="1"/>
      <c r="U3518" s="1"/>
      <c r="V3518" s="1"/>
      <c r="W3518" s="1"/>
      <c r="X3518" s="1"/>
    </row>
    <row r="3519">
      <c r="A3519" s="1"/>
      <c r="B3519" s="1"/>
      <c r="E3519" s="1"/>
      <c r="F3519" s="1"/>
      <c r="G3519" s="1"/>
      <c r="H3519" s="1"/>
      <c r="I3519" s="1"/>
      <c r="J3519" s="1"/>
      <c r="K3519" s="1"/>
      <c r="L3519" s="1"/>
      <c r="M3519" s="1"/>
      <c r="N3519" s="1"/>
      <c r="O3519" s="1"/>
      <c r="P3519" s="1"/>
      <c r="Q3519" s="1"/>
      <c r="R3519" s="1"/>
      <c r="S3519" s="1"/>
      <c r="T3519" s="1"/>
      <c r="U3519" s="1"/>
      <c r="V3519" s="1"/>
      <c r="W3519" s="1"/>
      <c r="X3519" s="1"/>
    </row>
    <row r="3520">
      <c r="A3520" s="1"/>
      <c r="B3520" s="1"/>
      <c r="E3520" s="1"/>
      <c r="F3520" s="1"/>
      <c r="G3520" s="1"/>
      <c r="H3520" s="1"/>
      <c r="I3520" s="1"/>
      <c r="J3520" s="1"/>
      <c r="K3520" s="1"/>
      <c r="L3520" s="1"/>
      <c r="M3520" s="1"/>
      <c r="N3520" s="1"/>
      <c r="O3520" s="1"/>
      <c r="P3520" s="1"/>
      <c r="Q3520" s="1"/>
      <c r="R3520" s="1"/>
      <c r="S3520" s="1"/>
      <c r="T3520" s="1"/>
      <c r="U3520" s="1"/>
      <c r="V3520" s="1"/>
      <c r="W3520" s="1"/>
      <c r="X3520" s="1"/>
    </row>
    <row r="3521">
      <c r="A3521" s="1"/>
      <c r="B3521" s="1"/>
      <c r="E3521" s="1"/>
      <c r="F3521" s="1"/>
      <c r="G3521" s="1"/>
      <c r="H3521" s="1"/>
      <c r="I3521" s="1"/>
      <c r="J3521" s="1"/>
      <c r="K3521" s="1"/>
      <c r="L3521" s="1"/>
      <c r="M3521" s="1"/>
      <c r="N3521" s="1"/>
      <c r="O3521" s="1"/>
      <c r="P3521" s="1"/>
      <c r="Q3521" s="1"/>
      <c r="R3521" s="1"/>
      <c r="S3521" s="1"/>
      <c r="T3521" s="1"/>
      <c r="U3521" s="1"/>
      <c r="V3521" s="1"/>
      <c r="W3521" s="1"/>
      <c r="X3521" s="1"/>
    </row>
    <row r="3522">
      <c r="A3522" s="1"/>
      <c r="B3522" s="1"/>
      <c r="E3522" s="1"/>
      <c r="F3522" s="1"/>
      <c r="G3522" s="1"/>
      <c r="H3522" s="1"/>
      <c r="I3522" s="1"/>
      <c r="J3522" s="1"/>
      <c r="K3522" s="1"/>
      <c r="L3522" s="1"/>
      <c r="M3522" s="1"/>
      <c r="N3522" s="1"/>
      <c r="O3522" s="1"/>
      <c r="P3522" s="1"/>
      <c r="Q3522" s="1"/>
      <c r="R3522" s="1"/>
      <c r="S3522" s="1"/>
      <c r="T3522" s="1"/>
      <c r="U3522" s="1"/>
      <c r="V3522" s="1"/>
      <c r="W3522" s="1"/>
      <c r="X3522" s="1"/>
    </row>
    <row r="3523">
      <c r="A3523" s="1"/>
      <c r="B3523" s="1"/>
      <c r="E3523" s="1"/>
      <c r="F3523" s="1"/>
      <c r="G3523" s="1"/>
      <c r="H3523" s="1"/>
      <c r="I3523" s="1"/>
      <c r="J3523" s="1"/>
      <c r="K3523" s="1"/>
      <c r="L3523" s="1"/>
      <c r="M3523" s="1"/>
      <c r="N3523" s="1"/>
      <c r="O3523" s="1"/>
      <c r="P3523" s="1"/>
      <c r="Q3523" s="1"/>
      <c r="R3523" s="1"/>
      <c r="S3523" s="1"/>
      <c r="T3523" s="1"/>
      <c r="U3523" s="1"/>
      <c r="V3523" s="1"/>
      <c r="W3523" s="1"/>
      <c r="X3523" s="1"/>
    </row>
    <row r="3524">
      <c r="A3524" s="1"/>
      <c r="B3524" s="1"/>
      <c r="E3524" s="1"/>
      <c r="F3524" s="1"/>
      <c r="G3524" s="1"/>
      <c r="H3524" s="1"/>
      <c r="I3524" s="1"/>
      <c r="J3524" s="1"/>
      <c r="K3524" s="1"/>
      <c r="L3524" s="1"/>
      <c r="M3524" s="1"/>
      <c r="N3524" s="1"/>
      <c r="O3524" s="1"/>
      <c r="P3524" s="1"/>
      <c r="Q3524" s="1"/>
      <c r="R3524" s="1"/>
      <c r="S3524" s="1"/>
      <c r="T3524" s="1"/>
      <c r="U3524" s="1"/>
      <c r="V3524" s="1"/>
      <c r="W3524" s="1"/>
      <c r="X3524" s="1"/>
    </row>
    <row r="3525">
      <c r="A3525" s="1"/>
      <c r="B3525" s="1"/>
      <c r="E3525" s="1"/>
      <c r="F3525" s="1"/>
      <c r="G3525" s="1"/>
      <c r="H3525" s="1"/>
      <c r="I3525" s="1"/>
      <c r="J3525" s="1"/>
      <c r="K3525" s="1"/>
      <c r="L3525" s="1"/>
      <c r="M3525" s="1"/>
      <c r="N3525" s="1"/>
      <c r="O3525" s="1"/>
      <c r="P3525" s="1"/>
      <c r="Q3525" s="1"/>
      <c r="R3525" s="1"/>
      <c r="S3525" s="1"/>
      <c r="T3525" s="1"/>
      <c r="U3525" s="1"/>
      <c r="V3525" s="1"/>
      <c r="W3525" s="1"/>
      <c r="X3525" s="1"/>
    </row>
    <row r="3526">
      <c r="A3526" s="1"/>
      <c r="B3526" s="1"/>
      <c r="E3526" s="1"/>
      <c r="F3526" s="1"/>
      <c r="G3526" s="1"/>
      <c r="H3526" s="1"/>
      <c r="I3526" s="1"/>
      <c r="J3526" s="1"/>
      <c r="K3526" s="1"/>
      <c r="L3526" s="1"/>
      <c r="M3526" s="1"/>
      <c r="N3526" s="1"/>
      <c r="O3526" s="1"/>
      <c r="P3526" s="1"/>
      <c r="Q3526" s="1"/>
      <c r="R3526" s="1"/>
      <c r="S3526" s="1"/>
      <c r="T3526" s="1"/>
      <c r="U3526" s="1"/>
      <c r="V3526" s="1"/>
      <c r="W3526" s="1"/>
      <c r="X3526" s="1"/>
    </row>
    <row r="3527">
      <c r="A3527" s="1"/>
      <c r="B3527" s="1"/>
      <c r="E3527" s="1"/>
      <c r="F3527" s="1"/>
      <c r="G3527" s="1"/>
      <c r="H3527" s="1"/>
      <c r="I3527" s="1"/>
      <c r="J3527" s="1"/>
      <c r="K3527" s="1"/>
      <c r="L3527" s="1"/>
      <c r="M3527" s="1"/>
      <c r="N3527" s="1"/>
      <c r="O3527" s="1"/>
      <c r="P3527" s="1"/>
      <c r="Q3527" s="1"/>
      <c r="R3527" s="1"/>
      <c r="S3527" s="1"/>
      <c r="T3527" s="1"/>
      <c r="U3527" s="1"/>
      <c r="V3527" s="1"/>
      <c r="W3527" s="1"/>
      <c r="X3527" s="1"/>
    </row>
    <row r="3528">
      <c r="A3528" s="1"/>
      <c r="B3528" s="1"/>
      <c r="E3528" s="1"/>
      <c r="F3528" s="1"/>
      <c r="G3528" s="1"/>
      <c r="H3528" s="1"/>
      <c r="I3528" s="1"/>
      <c r="J3528" s="1"/>
      <c r="K3528" s="1"/>
      <c r="L3528" s="1"/>
      <c r="M3528" s="1"/>
      <c r="N3528" s="1"/>
      <c r="O3528" s="1"/>
      <c r="P3528" s="1"/>
      <c r="Q3528" s="1"/>
      <c r="R3528" s="1"/>
      <c r="S3528" s="1"/>
      <c r="T3528" s="1"/>
      <c r="U3528" s="1"/>
      <c r="V3528" s="1"/>
      <c r="W3528" s="1"/>
      <c r="X3528" s="1"/>
    </row>
    <row r="3529">
      <c r="A3529" s="1"/>
      <c r="B3529" s="1"/>
      <c r="E3529" s="1"/>
      <c r="F3529" s="1"/>
      <c r="G3529" s="1"/>
      <c r="H3529" s="1"/>
      <c r="I3529" s="1"/>
      <c r="J3529" s="1"/>
      <c r="K3529" s="1"/>
      <c r="L3529" s="1"/>
      <c r="M3529" s="1"/>
      <c r="N3529" s="1"/>
      <c r="O3529" s="1"/>
      <c r="P3529" s="1"/>
      <c r="Q3529" s="1"/>
      <c r="R3529" s="1"/>
      <c r="S3529" s="1"/>
      <c r="T3529" s="1"/>
      <c r="U3529" s="1"/>
      <c r="V3529" s="1"/>
      <c r="W3529" s="1"/>
      <c r="X3529" s="1"/>
    </row>
    <row r="3530">
      <c r="A3530" s="1"/>
      <c r="B3530" s="1"/>
      <c r="E3530" s="1"/>
      <c r="F3530" s="1"/>
      <c r="G3530" s="1"/>
      <c r="H3530" s="1"/>
      <c r="I3530" s="1"/>
      <c r="J3530" s="1"/>
      <c r="K3530" s="1"/>
      <c r="L3530" s="1"/>
      <c r="M3530" s="1"/>
      <c r="N3530" s="1"/>
      <c r="O3530" s="1"/>
      <c r="P3530" s="1"/>
      <c r="Q3530" s="1"/>
      <c r="R3530" s="1"/>
      <c r="S3530" s="1"/>
      <c r="T3530" s="1"/>
      <c r="U3530" s="1"/>
      <c r="V3530" s="1"/>
      <c r="W3530" s="1"/>
      <c r="X3530" s="1"/>
    </row>
    <row r="3531">
      <c r="A3531" s="1"/>
      <c r="B3531" s="1"/>
      <c r="E3531" s="1"/>
      <c r="F3531" s="1"/>
      <c r="G3531" s="1"/>
      <c r="H3531" s="1"/>
      <c r="I3531" s="1"/>
      <c r="J3531" s="1"/>
      <c r="K3531" s="1"/>
      <c r="L3531" s="1"/>
      <c r="M3531" s="1"/>
      <c r="N3531" s="1"/>
      <c r="O3531" s="1"/>
      <c r="P3531" s="1"/>
      <c r="Q3531" s="1"/>
      <c r="R3531" s="1"/>
      <c r="S3531" s="1"/>
      <c r="T3531" s="1"/>
      <c r="U3531" s="1"/>
      <c r="V3531" s="1"/>
      <c r="W3531" s="1"/>
      <c r="X3531" s="1"/>
    </row>
    <row r="3532">
      <c r="A3532" s="1"/>
      <c r="B3532" s="1"/>
      <c r="E3532" s="1"/>
      <c r="F3532" s="1"/>
      <c r="G3532" s="1"/>
      <c r="H3532" s="1"/>
      <c r="I3532" s="1"/>
      <c r="J3532" s="1"/>
      <c r="K3532" s="1"/>
      <c r="L3532" s="1"/>
      <c r="M3532" s="1"/>
      <c r="N3532" s="1"/>
      <c r="O3532" s="1"/>
      <c r="P3532" s="1"/>
      <c r="Q3532" s="1"/>
      <c r="R3532" s="1"/>
      <c r="S3532" s="1"/>
      <c r="T3532" s="1"/>
      <c r="U3532" s="1"/>
      <c r="V3532" s="1"/>
      <c r="W3532" s="1"/>
      <c r="X3532" s="1"/>
    </row>
    <row r="3533">
      <c r="A3533" s="1"/>
      <c r="B3533" s="1"/>
      <c r="E3533" s="1"/>
      <c r="F3533" s="1"/>
      <c r="G3533" s="1"/>
      <c r="H3533" s="1"/>
      <c r="I3533" s="1"/>
      <c r="J3533" s="1"/>
      <c r="K3533" s="1"/>
      <c r="L3533" s="1"/>
      <c r="M3533" s="1"/>
      <c r="N3533" s="1"/>
      <c r="O3533" s="1"/>
      <c r="P3533" s="1"/>
      <c r="Q3533" s="1"/>
      <c r="R3533" s="1"/>
      <c r="S3533" s="1"/>
      <c r="T3533" s="1"/>
      <c r="U3533" s="1"/>
      <c r="V3533" s="1"/>
      <c r="W3533" s="1"/>
      <c r="X3533" s="1"/>
    </row>
    <row r="3534">
      <c r="A3534" s="1"/>
      <c r="B3534" s="1"/>
      <c r="E3534" s="1"/>
      <c r="F3534" s="1"/>
      <c r="G3534" s="1"/>
      <c r="H3534" s="1"/>
      <c r="I3534" s="1"/>
      <c r="J3534" s="1"/>
      <c r="K3534" s="1"/>
      <c r="L3534" s="1"/>
      <c r="M3534" s="1"/>
      <c r="N3534" s="1"/>
      <c r="O3534" s="1"/>
      <c r="P3534" s="1"/>
      <c r="Q3534" s="1"/>
      <c r="R3534" s="1"/>
      <c r="S3534" s="1"/>
      <c r="T3534" s="1"/>
      <c r="U3534" s="1"/>
      <c r="V3534" s="1"/>
      <c r="W3534" s="1"/>
      <c r="X3534" s="1"/>
    </row>
    <row r="3535">
      <c r="A3535" s="1"/>
      <c r="B3535" s="1"/>
      <c r="E3535" s="1"/>
      <c r="F3535" s="1"/>
      <c r="G3535" s="1"/>
      <c r="H3535" s="1"/>
      <c r="I3535" s="1"/>
      <c r="J3535" s="1"/>
      <c r="K3535" s="1"/>
      <c r="L3535" s="1"/>
      <c r="M3535" s="1"/>
      <c r="N3535" s="1"/>
      <c r="O3535" s="1"/>
      <c r="P3535" s="1"/>
      <c r="Q3535" s="1"/>
      <c r="R3535" s="1"/>
      <c r="S3535" s="1"/>
      <c r="T3535" s="1"/>
      <c r="U3535" s="1"/>
      <c r="V3535" s="1"/>
      <c r="W3535" s="1"/>
      <c r="X3535" s="1"/>
    </row>
    <row r="3536">
      <c r="A3536" s="1"/>
      <c r="B3536" s="1"/>
      <c r="E3536" s="1"/>
      <c r="F3536" s="1"/>
      <c r="G3536" s="1"/>
      <c r="H3536" s="1"/>
      <c r="I3536" s="1"/>
      <c r="J3536" s="1"/>
      <c r="K3536" s="1"/>
      <c r="L3536" s="1"/>
      <c r="M3536" s="1"/>
      <c r="N3536" s="1"/>
      <c r="O3536" s="1"/>
      <c r="P3536" s="1"/>
      <c r="Q3536" s="1"/>
      <c r="R3536" s="1"/>
      <c r="S3536" s="1"/>
      <c r="T3536" s="1"/>
      <c r="U3536" s="1"/>
      <c r="V3536" s="1"/>
      <c r="W3536" s="1"/>
      <c r="X3536" s="1"/>
    </row>
    <row r="3537">
      <c r="A3537" s="1"/>
      <c r="B3537" s="1"/>
      <c r="E3537" s="1"/>
      <c r="F3537" s="1"/>
      <c r="G3537" s="1"/>
      <c r="H3537" s="1"/>
      <c r="I3537" s="1"/>
      <c r="J3537" s="1"/>
      <c r="K3537" s="1"/>
      <c r="L3537" s="1"/>
      <c r="M3537" s="1"/>
      <c r="N3537" s="1"/>
      <c r="O3537" s="1"/>
      <c r="P3537" s="1"/>
      <c r="Q3537" s="1"/>
      <c r="R3537" s="1"/>
      <c r="S3537" s="1"/>
      <c r="T3537" s="1"/>
      <c r="U3537" s="1"/>
      <c r="V3537" s="1"/>
      <c r="W3537" s="1"/>
      <c r="X3537" s="1"/>
    </row>
    <row r="3538">
      <c r="A3538" s="1"/>
      <c r="B3538" s="1"/>
      <c r="E3538" s="1"/>
      <c r="F3538" s="1"/>
      <c r="G3538" s="1"/>
      <c r="H3538" s="1"/>
      <c r="I3538" s="1"/>
      <c r="J3538" s="1"/>
      <c r="K3538" s="1"/>
      <c r="L3538" s="1"/>
      <c r="M3538" s="1"/>
      <c r="N3538" s="1"/>
      <c r="O3538" s="1"/>
      <c r="P3538" s="1"/>
      <c r="Q3538" s="1"/>
      <c r="R3538" s="1"/>
      <c r="S3538" s="1"/>
      <c r="T3538" s="1"/>
      <c r="U3538" s="1"/>
      <c r="V3538" s="1"/>
      <c r="W3538" s="1"/>
      <c r="X3538" s="1"/>
    </row>
    <row r="3539">
      <c r="A3539" s="1"/>
      <c r="B3539" s="1"/>
      <c r="E3539" s="1"/>
      <c r="F3539" s="1"/>
      <c r="G3539" s="1"/>
      <c r="H3539" s="1"/>
      <c r="I3539" s="1"/>
      <c r="J3539" s="1"/>
      <c r="K3539" s="1"/>
      <c r="L3539" s="1"/>
      <c r="M3539" s="1"/>
      <c r="N3539" s="1"/>
      <c r="O3539" s="1"/>
      <c r="P3539" s="1"/>
      <c r="Q3539" s="1"/>
      <c r="R3539" s="1"/>
      <c r="S3539" s="1"/>
      <c r="T3539" s="1"/>
      <c r="U3539" s="1"/>
      <c r="V3539" s="1"/>
      <c r="W3539" s="1"/>
      <c r="X3539" s="1"/>
    </row>
    <row r="3540">
      <c r="A3540" s="1"/>
      <c r="B3540" s="1"/>
      <c r="E3540" s="1"/>
      <c r="F3540" s="1"/>
      <c r="G3540" s="1"/>
      <c r="H3540" s="1"/>
      <c r="I3540" s="1"/>
      <c r="J3540" s="1"/>
      <c r="K3540" s="1"/>
      <c r="L3540" s="1"/>
      <c r="M3540" s="1"/>
      <c r="N3540" s="1"/>
      <c r="O3540" s="1"/>
      <c r="P3540" s="1"/>
      <c r="Q3540" s="1"/>
      <c r="R3540" s="1"/>
      <c r="S3540" s="1"/>
      <c r="T3540" s="1"/>
      <c r="U3540" s="1"/>
      <c r="V3540" s="1"/>
      <c r="W3540" s="1"/>
      <c r="X3540" s="1"/>
    </row>
    <row r="3541">
      <c r="A3541" s="1"/>
      <c r="B3541" s="1"/>
      <c r="E3541" s="1"/>
      <c r="F3541" s="1"/>
      <c r="G3541" s="1"/>
      <c r="H3541" s="1"/>
      <c r="I3541" s="1"/>
      <c r="J3541" s="1"/>
      <c r="K3541" s="1"/>
      <c r="L3541" s="1"/>
      <c r="M3541" s="1"/>
      <c r="N3541" s="1"/>
      <c r="O3541" s="1"/>
      <c r="P3541" s="1"/>
      <c r="Q3541" s="1"/>
      <c r="R3541" s="1"/>
      <c r="S3541" s="1"/>
      <c r="T3541" s="1"/>
      <c r="U3541" s="1"/>
      <c r="V3541" s="1"/>
      <c r="W3541" s="1"/>
      <c r="X3541" s="1"/>
    </row>
    <row r="3542">
      <c r="A3542" s="1"/>
      <c r="B3542" s="1"/>
      <c r="E3542" s="1"/>
      <c r="F3542" s="1"/>
      <c r="G3542" s="1"/>
      <c r="H3542" s="1"/>
      <c r="I3542" s="1"/>
      <c r="J3542" s="1"/>
      <c r="K3542" s="1"/>
      <c r="L3542" s="1"/>
      <c r="M3542" s="1"/>
      <c r="N3542" s="1"/>
      <c r="O3542" s="1"/>
      <c r="P3542" s="1"/>
      <c r="Q3542" s="1"/>
      <c r="R3542" s="1"/>
      <c r="S3542" s="1"/>
      <c r="T3542" s="1"/>
      <c r="U3542" s="1"/>
      <c r="V3542" s="1"/>
      <c r="W3542" s="1"/>
      <c r="X3542" s="1"/>
    </row>
    <row r="3543">
      <c r="A3543" s="1"/>
      <c r="B3543" s="1"/>
      <c r="E3543" s="1"/>
      <c r="F3543" s="1"/>
      <c r="G3543" s="1"/>
      <c r="H3543" s="1"/>
      <c r="I3543" s="1"/>
      <c r="J3543" s="1"/>
      <c r="K3543" s="1"/>
      <c r="L3543" s="1"/>
      <c r="M3543" s="1"/>
      <c r="N3543" s="1"/>
      <c r="O3543" s="1"/>
      <c r="P3543" s="1"/>
      <c r="Q3543" s="1"/>
      <c r="R3543" s="1"/>
      <c r="S3543" s="1"/>
      <c r="T3543" s="1"/>
      <c r="U3543" s="1"/>
      <c r="V3543" s="1"/>
      <c r="W3543" s="1"/>
      <c r="X3543" s="1"/>
    </row>
    <row r="3544">
      <c r="A3544" s="1"/>
      <c r="B3544" s="1"/>
      <c r="E3544" s="1"/>
      <c r="F3544" s="1"/>
      <c r="G3544" s="1"/>
      <c r="H3544" s="1"/>
      <c r="I3544" s="1"/>
      <c r="J3544" s="1"/>
      <c r="K3544" s="1"/>
      <c r="L3544" s="1"/>
      <c r="M3544" s="1"/>
      <c r="N3544" s="1"/>
      <c r="O3544" s="1"/>
      <c r="P3544" s="1"/>
      <c r="Q3544" s="1"/>
      <c r="R3544" s="1"/>
      <c r="S3544" s="1"/>
      <c r="T3544" s="1"/>
      <c r="U3544" s="1"/>
      <c r="V3544" s="1"/>
      <c r="W3544" s="1"/>
      <c r="X3544" s="1"/>
    </row>
    <row r="3545">
      <c r="A3545" s="1"/>
      <c r="B3545" s="1"/>
      <c r="E3545" s="1"/>
      <c r="F3545" s="1"/>
      <c r="G3545" s="1"/>
      <c r="H3545" s="1"/>
      <c r="I3545" s="1"/>
      <c r="J3545" s="1"/>
      <c r="K3545" s="1"/>
      <c r="L3545" s="1"/>
      <c r="M3545" s="1"/>
      <c r="N3545" s="1"/>
      <c r="O3545" s="1"/>
      <c r="P3545" s="1"/>
      <c r="Q3545" s="1"/>
      <c r="R3545" s="1"/>
      <c r="S3545" s="1"/>
      <c r="T3545" s="1"/>
      <c r="U3545" s="1"/>
      <c r="V3545" s="1"/>
      <c r="W3545" s="1"/>
      <c r="X3545" s="1"/>
    </row>
    <row r="3546">
      <c r="A3546" s="1"/>
      <c r="B3546" s="1"/>
      <c r="E3546" s="1"/>
      <c r="F3546" s="1"/>
      <c r="G3546" s="1"/>
      <c r="H3546" s="1"/>
      <c r="I3546" s="1"/>
      <c r="J3546" s="1"/>
      <c r="K3546" s="1"/>
      <c r="L3546" s="1"/>
      <c r="M3546" s="1"/>
      <c r="N3546" s="1"/>
      <c r="O3546" s="1"/>
      <c r="P3546" s="1"/>
      <c r="Q3546" s="1"/>
      <c r="R3546" s="1"/>
      <c r="S3546" s="1"/>
      <c r="T3546" s="1"/>
      <c r="U3546" s="1"/>
      <c r="V3546" s="1"/>
      <c r="W3546" s="1"/>
      <c r="X3546" s="1"/>
    </row>
    <row r="3547">
      <c r="A3547" s="1"/>
      <c r="B3547" s="1"/>
      <c r="E3547" s="1"/>
      <c r="F3547" s="1"/>
      <c r="G3547" s="1"/>
      <c r="H3547" s="1"/>
      <c r="I3547" s="1"/>
      <c r="J3547" s="1"/>
      <c r="K3547" s="1"/>
      <c r="L3547" s="1"/>
      <c r="M3547" s="1"/>
      <c r="N3547" s="1"/>
      <c r="O3547" s="1"/>
      <c r="P3547" s="1"/>
      <c r="Q3547" s="1"/>
      <c r="R3547" s="1"/>
      <c r="S3547" s="1"/>
      <c r="T3547" s="1"/>
      <c r="U3547" s="1"/>
      <c r="V3547" s="1"/>
      <c r="W3547" s="1"/>
      <c r="X3547" s="1"/>
    </row>
    <row r="3548">
      <c r="A3548" s="1"/>
      <c r="B3548" s="1"/>
      <c r="E3548" s="1"/>
      <c r="F3548" s="1"/>
      <c r="G3548" s="1"/>
      <c r="H3548" s="1"/>
      <c r="I3548" s="1"/>
      <c r="J3548" s="1"/>
      <c r="K3548" s="1"/>
      <c r="L3548" s="1"/>
      <c r="M3548" s="1"/>
      <c r="N3548" s="1"/>
      <c r="O3548" s="1"/>
      <c r="P3548" s="1"/>
      <c r="Q3548" s="1"/>
      <c r="R3548" s="1"/>
      <c r="S3548" s="1"/>
      <c r="T3548" s="1"/>
      <c r="U3548" s="1"/>
      <c r="V3548" s="1"/>
      <c r="W3548" s="1"/>
      <c r="X3548" s="1"/>
    </row>
    <row r="3549">
      <c r="A3549" s="1"/>
      <c r="B3549" s="1"/>
      <c r="E3549" s="1"/>
      <c r="F3549" s="1"/>
      <c r="G3549" s="1"/>
      <c r="H3549" s="1"/>
      <c r="I3549" s="1"/>
      <c r="J3549" s="1"/>
      <c r="K3549" s="1"/>
      <c r="L3549" s="1"/>
      <c r="M3549" s="1"/>
      <c r="N3549" s="1"/>
      <c r="O3549" s="1"/>
      <c r="P3549" s="1"/>
      <c r="Q3549" s="1"/>
      <c r="R3549" s="1"/>
      <c r="S3549" s="1"/>
      <c r="T3549" s="1"/>
      <c r="U3549" s="1"/>
      <c r="V3549" s="1"/>
      <c r="W3549" s="1"/>
      <c r="X3549" s="1"/>
    </row>
    <row r="3550">
      <c r="A3550" s="1"/>
      <c r="B3550" s="1"/>
      <c r="E3550" s="1"/>
      <c r="F3550" s="1"/>
      <c r="G3550" s="1"/>
      <c r="H3550" s="1"/>
      <c r="I3550" s="1"/>
      <c r="J3550" s="1"/>
      <c r="K3550" s="1"/>
      <c r="L3550" s="1"/>
      <c r="M3550" s="1"/>
      <c r="N3550" s="1"/>
      <c r="O3550" s="1"/>
      <c r="P3550" s="1"/>
      <c r="Q3550" s="1"/>
      <c r="R3550" s="1"/>
      <c r="S3550" s="1"/>
      <c r="T3550" s="1"/>
      <c r="U3550" s="1"/>
      <c r="V3550" s="1"/>
      <c r="W3550" s="1"/>
      <c r="X3550" s="1"/>
    </row>
    <row r="3551">
      <c r="A3551" s="1"/>
      <c r="B3551" s="1"/>
      <c r="E3551" s="1"/>
      <c r="F3551" s="1"/>
      <c r="G3551" s="1"/>
      <c r="H3551" s="1"/>
      <c r="I3551" s="1"/>
      <c r="J3551" s="1"/>
      <c r="K3551" s="1"/>
      <c r="L3551" s="1"/>
      <c r="M3551" s="1"/>
      <c r="N3551" s="1"/>
      <c r="O3551" s="1"/>
      <c r="P3551" s="1"/>
      <c r="Q3551" s="1"/>
      <c r="R3551" s="1"/>
      <c r="S3551" s="1"/>
      <c r="T3551" s="1"/>
      <c r="U3551" s="1"/>
      <c r="V3551" s="1"/>
      <c r="W3551" s="1"/>
      <c r="X3551" s="1"/>
    </row>
    <row r="3552">
      <c r="A3552" s="1"/>
      <c r="B3552" s="1"/>
      <c r="E3552" s="1"/>
      <c r="F3552" s="1"/>
      <c r="G3552" s="1"/>
      <c r="H3552" s="1"/>
      <c r="I3552" s="1"/>
      <c r="J3552" s="1"/>
      <c r="K3552" s="1"/>
      <c r="L3552" s="1"/>
      <c r="M3552" s="1"/>
      <c r="N3552" s="1"/>
      <c r="O3552" s="1"/>
      <c r="P3552" s="1"/>
      <c r="Q3552" s="1"/>
      <c r="R3552" s="1"/>
      <c r="S3552" s="1"/>
      <c r="T3552" s="1"/>
      <c r="U3552" s="1"/>
      <c r="V3552" s="1"/>
      <c r="W3552" s="1"/>
      <c r="X3552" s="1"/>
    </row>
    <row r="3553">
      <c r="A3553" s="1"/>
      <c r="B3553" s="1"/>
      <c r="E3553" s="1"/>
      <c r="F3553" s="1"/>
      <c r="G3553" s="1"/>
      <c r="H3553" s="1"/>
      <c r="I3553" s="1"/>
      <c r="J3553" s="1"/>
      <c r="K3553" s="1"/>
      <c r="L3553" s="1"/>
      <c r="M3553" s="1"/>
      <c r="N3553" s="1"/>
      <c r="O3553" s="1"/>
      <c r="P3553" s="1"/>
      <c r="Q3553" s="1"/>
      <c r="R3553" s="1"/>
      <c r="S3553" s="1"/>
      <c r="T3553" s="1"/>
      <c r="U3553" s="1"/>
      <c r="V3553" s="1"/>
      <c r="W3553" s="1"/>
      <c r="X3553" s="1"/>
    </row>
    <row r="3554">
      <c r="A3554" s="1"/>
      <c r="B3554" s="1"/>
      <c r="E3554" s="1"/>
      <c r="F3554" s="1"/>
      <c r="G3554" s="1"/>
      <c r="H3554" s="1"/>
      <c r="I3554" s="1"/>
      <c r="J3554" s="1"/>
      <c r="K3554" s="1"/>
      <c r="L3554" s="1"/>
      <c r="M3554" s="1"/>
      <c r="N3554" s="1"/>
      <c r="O3554" s="1"/>
      <c r="P3554" s="1"/>
      <c r="Q3554" s="1"/>
      <c r="R3554" s="1"/>
      <c r="S3554" s="1"/>
      <c r="T3554" s="1"/>
      <c r="U3554" s="1"/>
      <c r="V3554" s="1"/>
      <c r="W3554" s="1"/>
      <c r="X3554" s="1"/>
    </row>
    <row r="3555">
      <c r="A3555" s="1"/>
      <c r="B3555" s="1"/>
      <c r="E3555" s="1"/>
      <c r="F3555" s="1"/>
      <c r="G3555" s="1"/>
      <c r="H3555" s="1"/>
      <c r="I3555" s="1"/>
      <c r="J3555" s="1"/>
      <c r="K3555" s="1"/>
      <c r="L3555" s="1"/>
      <c r="M3555" s="1"/>
      <c r="N3555" s="1"/>
      <c r="O3555" s="1"/>
      <c r="P3555" s="1"/>
      <c r="Q3555" s="1"/>
      <c r="R3555" s="1"/>
      <c r="S3555" s="1"/>
      <c r="T3555" s="1"/>
      <c r="U3555" s="1"/>
      <c r="V3555" s="1"/>
      <c r="W3555" s="1"/>
      <c r="X3555" s="1"/>
    </row>
    <row r="3556">
      <c r="A3556" s="1"/>
      <c r="B3556" s="1"/>
      <c r="E3556" s="1"/>
      <c r="F3556" s="1"/>
      <c r="G3556" s="1"/>
      <c r="H3556" s="1"/>
      <c r="I3556" s="1"/>
      <c r="J3556" s="1"/>
      <c r="K3556" s="1"/>
      <c r="L3556" s="1"/>
      <c r="M3556" s="1"/>
      <c r="N3556" s="1"/>
      <c r="O3556" s="1"/>
      <c r="P3556" s="1"/>
      <c r="Q3556" s="1"/>
      <c r="R3556" s="1"/>
      <c r="S3556" s="1"/>
      <c r="T3556" s="1"/>
      <c r="U3556" s="1"/>
      <c r="V3556" s="1"/>
      <c r="W3556" s="1"/>
      <c r="X3556" s="1"/>
    </row>
    <row r="3557">
      <c r="A3557" s="1"/>
      <c r="B3557" s="1"/>
      <c r="E3557" s="1"/>
      <c r="F3557" s="1"/>
      <c r="G3557" s="1"/>
      <c r="H3557" s="1"/>
      <c r="I3557" s="1"/>
      <c r="J3557" s="1"/>
      <c r="K3557" s="1"/>
      <c r="L3557" s="1"/>
      <c r="M3557" s="1"/>
      <c r="N3557" s="1"/>
      <c r="O3557" s="1"/>
      <c r="P3557" s="1"/>
      <c r="Q3557" s="1"/>
      <c r="R3557" s="1"/>
      <c r="S3557" s="1"/>
      <c r="T3557" s="1"/>
      <c r="U3557" s="1"/>
      <c r="V3557" s="1"/>
      <c r="W3557" s="1"/>
      <c r="X3557" s="1"/>
    </row>
    <row r="3558">
      <c r="A3558" s="1"/>
      <c r="B3558" s="1"/>
      <c r="E3558" s="1"/>
      <c r="F3558" s="1"/>
      <c r="G3558" s="1"/>
      <c r="H3558" s="1"/>
      <c r="I3558" s="1"/>
      <c r="J3558" s="1"/>
      <c r="K3558" s="1"/>
      <c r="L3558" s="1"/>
      <c r="M3558" s="1"/>
      <c r="N3558" s="1"/>
      <c r="O3558" s="1"/>
      <c r="P3558" s="1"/>
      <c r="Q3558" s="1"/>
      <c r="R3558" s="1"/>
      <c r="S3558" s="1"/>
      <c r="T3558" s="1"/>
      <c r="U3558" s="1"/>
      <c r="V3558" s="1"/>
      <c r="W3558" s="1"/>
      <c r="X3558" s="1"/>
    </row>
    <row r="3559">
      <c r="A3559" s="1"/>
      <c r="B3559" s="1"/>
      <c r="E3559" s="1"/>
      <c r="F3559" s="1"/>
      <c r="G3559" s="1"/>
      <c r="H3559" s="1"/>
      <c r="I3559" s="1"/>
      <c r="J3559" s="1"/>
      <c r="K3559" s="1"/>
      <c r="L3559" s="1"/>
      <c r="M3559" s="1"/>
      <c r="N3559" s="1"/>
      <c r="O3559" s="1"/>
      <c r="P3559" s="1"/>
      <c r="Q3559" s="1"/>
      <c r="R3559" s="1"/>
      <c r="S3559" s="1"/>
      <c r="T3559" s="1"/>
      <c r="U3559" s="1"/>
      <c r="V3559" s="1"/>
      <c r="W3559" s="1"/>
      <c r="X3559" s="1"/>
    </row>
    <row r="3560">
      <c r="A3560" s="1"/>
      <c r="B3560" s="1"/>
      <c r="E3560" s="1"/>
      <c r="F3560" s="1"/>
      <c r="G3560" s="1"/>
      <c r="H3560" s="1"/>
      <c r="I3560" s="1"/>
      <c r="J3560" s="1"/>
      <c r="K3560" s="1"/>
      <c r="L3560" s="1"/>
      <c r="M3560" s="1"/>
      <c r="N3560" s="1"/>
      <c r="O3560" s="1"/>
      <c r="P3560" s="1"/>
      <c r="Q3560" s="1"/>
      <c r="R3560" s="1"/>
      <c r="S3560" s="1"/>
      <c r="T3560" s="1"/>
      <c r="U3560" s="1"/>
      <c r="V3560" s="1"/>
      <c r="W3560" s="1"/>
      <c r="X3560" s="1"/>
    </row>
    <row r="3561">
      <c r="A3561" s="1"/>
      <c r="B3561" s="1"/>
      <c r="E3561" s="1"/>
      <c r="F3561" s="1"/>
      <c r="G3561" s="1"/>
      <c r="H3561" s="1"/>
      <c r="I3561" s="1"/>
      <c r="J3561" s="1"/>
      <c r="K3561" s="1"/>
      <c r="L3561" s="1"/>
      <c r="M3561" s="1"/>
      <c r="N3561" s="1"/>
      <c r="O3561" s="1"/>
      <c r="P3561" s="1"/>
      <c r="Q3561" s="1"/>
      <c r="R3561" s="1"/>
      <c r="S3561" s="1"/>
      <c r="T3561" s="1"/>
      <c r="U3561" s="1"/>
      <c r="V3561" s="1"/>
      <c r="W3561" s="1"/>
      <c r="X3561" s="1"/>
    </row>
    <row r="3562">
      <c r="A3562" s="1"/>
      <c r="B3562" s="1"/>
      <c r="E3562" s="1"/>
      <c r="F3562" s="1"/>
      <c r="G3562" s="1"/>
      <c r="H3562" s="1"/>
      <c r="I3562" s="1"/>
      <c r="J3562" s="1"/>
      <c r="K3562" s="1"/>
      <c r="L3562" s="1"/>
      <c r="M3562" s="1"/>
      <c r="N3562" s="1"/>
      <c r="O3562" s="1"/>
      <c r="P3562" s="1"/>
      <c r="Q3562" s="1"/>
      <c r="R3562" s="1"/>
      <c r="S3562" s="1"/>
      <c r="T3562" s="1"/>
      <c r="U3562" s="1"/>
      <c r="V3562" s="1"/>
      <c r="W3562" s="1"/>
      <c r="X3562" s="1"/>
    </row>
    <row r="3563">
      <c r="A3563" s="1"/>
      <c r="B3563" s="1"/>
      <c r="E3563" s="1"/>
      <c r="F3563" s="1"/>
      <c r="G3563" s="1"/>
      <c r="H3563" s="1"/>
      <c r="I3563" s="1"/>
      <c r="J3563" s="1"/>
      <c r="K3563" s="1"/>
      <c r="L3563" s="1"/>
      <c r="M3563" s="1"/>
      <c r="N3563" s="1"/>
      <c r="O3563" s="1"/>
      <c r="P3563" s="1"/>
      <c r="Q3563" s="1"/>
      <c r="R3563" s="1"/>
      <c r="S3563" s="1"/>
      <c r="T3563" s="1"/>
      <c r="U3563" s="1"/>
      <c r="V3563" s="1"/>
      <c r="W3563" s="1"/>
      <c r="X3563" s="1"/>
    </row>
    <row r="3564">
      <c r="A3564" s="1"/>
      <c r="B3564" s="1"/>
      <c r="E3564" s="1"/>
      <c r="F3564" s="1"/>
      <c r="G3564" s="1"/>
      <c r="H3564" s="1"/>
      <c r="I3564" s="1"/>
      <c r="J3564" s="1"/>
      <c r="K3564" s="1"/>
      <c r="L3564" s="1"/>
      <c r="M3564" s="1"/>
      <c r="N3564" s="1"/>
      <c r="O3564" s="1"/>
      <c r="P3564" s="1"/>
      <c r="Q3564" s="1"/>
      <c r="R3564" s="1"/>
      <c r="S3564" s="1"/>
      <c r="T3564" s="1"/>
      <c r="U3564" s="1"/>
      <c r="V3564" s="1"/>
      <c r="W3564" s="1"/>
      <c r="X3564" s="1"/>
    </row>
    <row r="3565">
      <c r="A3565" s="1"/>
      <c r="B3565" s="1"/>
      <c r="E3565" s="1"/>
      <c r="F3565" s="1"/>
      <c r="G3565" s="1"/>
      <c r="H3565" s="1"/>
      <c r="I3565" s="1"/>
      <c r="J3565" s="1"/>
      <c r="K3565" s="1"/>
      <c r="L3565" s="1"/>
      <c r="M3565" s="1"/>
      <c r="N3565" s="1"/>
      <c r="O3565" s="1"/>
      <c r="P3565" s="1"/>
      <c r="Q3565" s="1"/>
      <c r="R3565" s="1"/>
      <c r="S3565" s="1"/>
      <c r="T3565" s="1"/>
      <c r="U3565" s="1"/>
      <c r="V3565" s="1"/>
      <c r="W3565" s="1"/>
      <c r="X3565" s="1"/>
    </row>
    <row r="3566">
      <c r="A3566" s="1"/>
      <c r="B3566" s="1"/>
      <c r="E3566" s="1"/>
      <c r="F3566" s="1"/>
      <c r="G3566" s="1"/>
      <c r="H3566" s="1"/>
      <c r="I3566" s="1"/>
      <c r="J3566" s="1"/>
      <c r="K3566" s="1"/>
      <c r="L3566" s="1"/>
      <c r="M3566" s="1"/>
      <c r="N3566" s="1"/>
      <c r="O3566" s="1"/>
      <c r="P3566" s="1"/>
      <c r="Q3566" s="1"/>
      <c r="R3566" s="1"/>
      <c r="S3566" s="1"/>
      <c r="T3566" s="1"/>
      <c r="U3566" s="1"/>
      <c r="V3566" s="1"/>
      <c r="W3566" s="1"/>
      <c r="X3566" s="1"/>
    </row>
    <row r="3567">
      <c r="A3567" s="1"/>
      <c r="B3567" s="1"/>
      <c r="E3567" s="1"/>
      <c r="F3567" s="1"/>
      <c r="G3567" s="1"/>
      <c r="H3567" s="1"/>
      <c r="I3567" s="1"/>
      <c r="J3567" s="1"/>
      <c r="K3567" s="1"/>
      <c r="L3567" s="1"/>
      <c r="M3567" s="1"/>
      <c r="N3567" s="1"/>
      <c r="O3567" s="1"/>
      <c r="P3567" s="1"/>
      <c r="Q3567" s="1"/>
      <c r="R3567" s="1"/>
      <c r="S3567" s="1"/>
      <c r="T3567" s="1"/>
      <c r="U3567" s="1"/>
      <c r="V3567" s="1"/>
      <c r="W3567" s="1"/>
      <c r="X3567" s="1"/>
    </row>
    <row r="3568">
      <c r="A3568" s="1"/>
      <c r="B3568" s="1"/>
      <c r="E3568" s="1"/>
      <c r="F3568" s="1"/>
      <c r="G3568" s="1"/>
      <c r="H3568" s="1"/>
      <c r="I3568" s="1"/>
      <c r="J3568" s="1"/>
      <c r="K3568" s="1"/>
      <c r="L3568" s="1"/>
      <c r="M3568" s="1"/>
      <c r="N3568" s="1"/>
      <c r="O3568" s="1"/>
      <c r="P3568" s="1"/>
      <c r="Q3568" s="1"/>
      <c r="R3568" s="1"/>
      <c r="S3568" s="1"/>
      <c r="T3568" s="1"/>
      <c r="U3568" s="1"/>
      <c r="V3568" s="1"/>
      <c r="W3568" s="1"/>
      <c r="X3568" s="1"/>
    </row>
    <row r="3569">
      <c r="A3569" s="1"/>
      <c r="B3569" s="1"/>
      <c r="E3569" s="1"/>
      <c r="F3569" s="1"/>
      <c r="G3569" s="1"/>
      <c r="H3569" s="1"/>
      <c r="I3569" s="1"/>
      <c r="J3569" s="1"/>
      <c r="K3569" s="1"/>
      <c r="L3569" s="1"/>
      <c r="M3569" s="1"/>
      <c r="N3569" s="1"/>
      <c r="O3569" s="1"/>
      <c r="P3569" s="1"/>
      <c r="Q3569" s="1"/>
      <c r="R3569" s="1"/>
      <c r="S3569" s="1"/>
      <c r="T3569" s="1"/>
      <c r="U3569" s="1"/>
      <c r="V3569" s="1"/>
      <c r="W3569" s="1"/>
      <c r="X3569" s="1"/>
    </row>
    <row r="3570">
      <c r="A3570" s="1"/>
      <c r="B3570" s="1"/>
      <c r="E3570" s="1"/>
      <c r="F3570" s="1"/>
      <c r="G3570" s="1"/>
      <c r="H3570" s="1"/>
      <c r="I3570" s="1"/>
      <c r="J3570" s="1"/>
      <c r="K3570" s="1"/>
      <c r="L3570" s="1"/>
      <c r="M3570" s="1"/>
      <c r="N3570" s="1"/>
      <c r="O3570" s="1"/>
      <c r="P3570" s="1"/>
      <c r="Q3570" s="1"/>
      <c r="R3570" s="1"/>
      <c r="S3570" s="1"/>
      <c r="T3570" s="1"/>
      <c r="U3570" s="1"/>
      <c r="V3570" s="1"/>
      <c r="W3570" s="1"/>
      <c r="X3570" s="1"/>
    </row>
    <row r="3571">
      <c r="A3571" s="1"/>
      <c r="B3571" s="1"/>
      <c r="E3571" s="1"/>
      <c r="F3571" s="1"/>
      <c r="G3571" s="1"/>
      <c r="H3571" s="1"/>
      <c r="I3571" s="1"/>
      <c r="J3571" s="1"/>
      <c r="K3571" s="1"/>
      <c r="L3571" s="1"/>
      <c r="M3571" s="1"/>
      <c r="N3571" s="1"/>
      <c r="O3571" s="1"/>
      <c r="P3571" s="1"/>
      <c r="Q3571" s="1"/>
      <c r="R3571" s="1"/>
      <c r="S3571" s="1"/>
      <c r="T3571" s="1"/>
      <c r="U3571" s="1"/>
      <c r="V3571" s="1"/>
      <c r="W3571" s="1"/>
      <c r="X3571" s="1"/>
    </row>
    <row r="3572">
      <c r="A3572" s="1"/>
      <c r="B3572" s="1"/>
      <c r="E3572" s="1"/>
      <c r="F3572" s="1"/>
      <c r="G3572" s="1"/>
      <c r="H3572" s="1"/>
      <c r="I3572" s="1"/>
      <c r="J3572" s="1"/>
      <c r="K3572" s="1"/>
      <c r="L3572" s="1"/>
      <c r="M3572" s="1"/>
      <c r="N3572" s="1"/>
      <c r="O3572" s="1"/>
      <c r="P3572" s="1"/>
      <c r="Q3572" s="1"/>
      <c r="R3572" s="1"/>
      <c r="S3572" s="1"/>
      <c r="T3572" s="1"/>
      <c r="U3572" s="1"/>
      <c r="V3572" s="1"/>
      <c r="W3572" s="1"/>
      <c r="X3572" s="1"/>
    </row>
    <row r="3573">
      <c r="A3573" s="1"/>
      <c r="B3573" s="1"/>
      <c r="E3573" s="1"/>
      <c r="F3573" s="1"/>
      <c r="G3573" s="1"/>
      <c r="H3573" s="1"/>
      <c r="I3573" s="1"/>
      <c r="J3573" s="1"/>
      <c r="K3573" s="1"/>
      <c r="L3573" s="1"/>
      <c r="M3573" s="1"/>
      <c r="N3573" s="1"/>
      <c r="O3573" s="1"/>
      <c r="P3573" s="1"/>
      <c r="Q3573" s="1"/>
      <c r="R3573" s="1"/>
      <c r="S3573" s="1"/>
      <c r="T3573" s="1"/>
      <c r="U3573" s="1"/>
      <c r="V3573" s="1"/>
      <c r="W3573" s="1"/>
      <c r="X3573" s="1"/>
    </row>
    <row r="3574">
      <c r="A3574" s="1"/>
      <c r="B3574" s="1"/>
      <c r="E3574" s="1"/>
      <c r="F3574" s="1"/>
      <c r="G3574" s="1"/>
      <c r="H3574" s="1"/>
      <c r="I3574" s="1"/>
      <c r="J3574" s="1"/>
      <c r="K3574" s="1"/>
      <c r="L3574" s="1"/>
      <c r="M3574" s="1"/>
      <c r="N3574" s="1"/>
      <c r="O3574" s="1"/>
      <c r="P3574" s="1"/>
      <c r="Q3574" s="1"/>
      <c r="R3574" s="1"/>
      <c r="S3574" s="1"/>
      <c r="T3574" s="1"/>
      <c r="U3574" s="1"/>
      <c r="V3574" s="1"/>
      <c r="W3574" s="1"/>
      <c r="X3574" s="1"/>
    </row>
    <row r="3575">
      <c r="A3575" s="1"/>
      <c r="B3575" s="1"/>
      <c r="E3575" s="1"/>
      <c r="F3575" s="1"/>
      <c r="G3575" s="1"/>
      <c r="H3575" s="1"/>
      <c r="I3575" s="1"/>
      <c r="J3575" s="1"/>
      <c r="K3575" s="1"/>
      <c r="L3575" s="1"/>
      <c r="M3575" s="1"/>
      <c r="N3575" s="1"/>
      <c r="O3575" s="1"/>
      <c r="P3575" s="1"/>
      <c r="Q3575" s="1"/>
      <c r="R3575" s="1"/>
      <c r="S3575" s="1"/>
      <c r="T3575" s="1"/>
      <c r="U3575" s="1"/>
      <c r="V3575" s="1"/>
      <c r="W3575" s="1"/>
      <c r="X3575" s="1"/>
    </row>
    <row r="3576">
      <c r="A3576" s="1"/>
      <c r="B3576" s="1"/>
      <c r="E3576" s="1"/>
      <c r="F3576" s="1"/>
      <c r="G3576" s="1"/>
      <c r="H3576" s="1"/>
      <c r="I3576" s="1"/>
      <c r="J3576" s="1"/>
      <c r="K3576" s="1"/>
      <c r="L3576" s="1"/>
      <c r="M3576" s="1"/>
      <c r="N3576" s="1"/>
      <c r="O3576" s="1"/>
      <c r="P3576" s="1"/>
      <c r="Q3576" s="1"/>
      <c r="R3576" s="1"/>
      <c r="S3576" s="1"/>
      <c r="T3576" s="1"/>
      <c r="U3576" s="1"/>
      <c r="V3576" s="1"/>
      <c r="W3576" s="1"/>
      <c r="X3576" s="1"/>
    </row>
    <row r="3577">
      <c r="A3577" s="1"/>
      <c r="B3577" s="1"/>
      <c r="E3577" s="1"/>
      <c r="F3577" s="1"/>
      <c r="G3577" s="1"/>
      <c r="H3577" s="1"/>
      <c r="I3577" s="1"/>
      <c r="J3577" s="1"/>
      <c r="K3577" s="1"/>
      <c r="L3577" s="1"/>
      <c r="M3577" s="1"/>
      <c r="N3577" s="1"/>
      <c r="O3577" s="1"/>
      <c r="P3577" s="1"/>
      <c r="Q3577" s="1"/>
      <c r="R3577" s="1"/>
      <c r="S3577" s="1"/>
      <c r="T3577" s="1"/>
      <c r="U3577" s="1"/>
      <c r="V3577" s="1"/>
      <c r="W3577" s="1"/>
      <c r="X3577" s="1"/>
    </row>
    <row r="3578">
      <c r="A3578" s="1"/>
      <c r="B3578" s="1"/>
      <c r="E3578" s="1"/>
      <c r="F3578" s="1"/>
      <c r="G3578" s="1"/>
      <c r="H3578" s="1"/>
      <c r="I3578" s="1"/>
      <c r="J3578" s="1"/>
      <c r="K3578" s="1"/>
      <c r="L3578" s="1"/>
      <c r="M3578" s="1"/>
      <c r="N3578" s="1"/>
      <c r="O3578" s="1"/>
      <c r="P3578" s="1"/>
      <c r="Q3578" s="1"/>
      <c r="R3578" s="1"/>
      <c r="S3578" s="1"/>
      <c r="T3578" s="1"/>
      <c r="U3578" s="1"/>
      <c r="V3578" s="1"/>
      <c r="W3578" s="1"/>
      <c r="X3578" s="1"/>
    </row>
    <row r="3579">
      <c r="A3579" s="1"/>
      <c r="B3579" s="1"/>
      <c r="E3579" s="1"/>
      <c r="F3579" s="1"/>
      <c r="G3579" s="1"/>
      <c r="H3579" s="1"/>
      <c r="I3579" s="1"/>
      <c r="J3579" s="1"/>
      <c r="K3579" s="1"/>
      <c r="L3579" s="1"/>
      <c r="M3579" s="1"/>
      <c r="N3579" s="1"/>
      <c r="O3579" s="1"/>
      <c r="P3579" s="1"/>
      <c r="Q3579" s="1"/>
      <c r="R3579" s="1"/>
      <c r="S3579" s="1"/>
      <c r="T3579" s="1"/>
      <c r="U3579" s="1"/>
      <c r="V3579" s="1"/>
      <c r="W3579" s="1"/>
      <c r="X3579" s="1"/>
    </row>
    <row r="3580">
      <c r="A3580" s="1"/>
      <c r="B3580" s="1"/>
      <c r="E3580" s="1"/>
      <c r="F3580" s="1"/>
      <c r="G3580" s="1"/>
      <c r="H3580" s="1"/>
      <c r="I3580" s="1"/>
      <c r="J3580" s="1"/>
      <c r="K3580" s="1"/>
      <c r="L3580" s="1"/>
      <c r="M3580" s="1"/>
      <c r="N3580" s="1"/>
      <c r="O3580" s="1"/>
      <c r="P3580" s="1"/>
      <c r="Q3580" s="1"/>
      <c r="R3580" s="1"/>
      <c r="S3580" s="1"/>
      <c r="T3580" s="1"/>
      <c r="U3580" s="1"/>
      <c r="V3580" s="1"/>
      <c r="W3580" s="1"/>
      <c r="X3580" s="1"/>
    </row>
    <row r="3581">
      <c r="A3581" s="1"/>
      <c r="B3581" s="1"/>
      <c r="E3581" s="1"/>
      <c r="F3581" s="1"/>
      <c r="G3581" s="1"/>
      <c r="H3581" s="1"/>
      <c r="I3581" s="1"/>
      <c r="J3581" s="1"/>
      <c r="K3581" s="1"/>
      <c r="L3581" s="1"/>
      <c r="M3581" s="1"/>
      <c r="N3581" s="1"/>
      <c r="O3581" s="1"/>
      <c r="P3581" s="1"/>
      <c r="Q3581" s="1"/>
      <c r="R3581" s="1"/>
      <c r="S3581" s="1"/>
      <c r="T3581" s="1"/>
      <c r="U3581" s="1"/>
      <c r="V3581" s="1"/>
      <c r="W3581" s="1"/>
      <c r="X3581" s="1"/>
    </row>
    <row r="3582">
      <c r="A3582" s="1"/>
      <c r="B3582" s="1"/>
      <c r="E3582" s="1"/>
      <c r="F3582" s="1"/>
      <c r="G3582" s="1"/>
      <c r="H3582" s="1"/>
      <c r="I3582" s="1"/>
      <c r="J3582" s="1"/>
      <c r="K3582" s="1"/>
      <c r="L3582" s="1"/>
      <c r="M3582" s="1"/>
      <c r="N3582" s="1"/>
      <c r="O3582" s="1"/>
      <c r="P3582" s="1"/>
      <c r="Q3582" s="1"/>
      <c r="R3582" s="1"/>
      <c r="S3582" s="1"/>
      <c r="T3582" s="1"/>
      <c r="U3582" s="1"/>
      <c r="V3582" s="1"/>
      <c r="W3582" s="1"/>
      <c r="X3582" s="1"/>
    </row>
    <row r="3583">
      <c r="A3583" s="1"/>
      <c r="B3583" s="1"/>
      <c r="E3583" s="1"/>
      <c r="F3583" s="1"/>
      <c r="G3583" s="1"/>
      <c r="H3583" s="1"/>
      <c r="I3583" s="1"/>
      <c r="J3583" s="1"/>
      <c r="K3583" s="1"/>
      <c r="L3583" s="1"/>
      <c r="M3583" s="1"/>
      <c r="N3583" s="1"/>
      <c r="O3583" s="1"/>
      <c r="P3583" s="1"/>
      <c r="Q3583" s="1"/>
      <c r="R3583" s="1"/>
      <c r="S3583" s="1"/>
      <c r="T3583" s="1"/>
      <c r="U3583" s="1"/>
      <c r="V3583" s="1"/>
      <c r="W3583" s="1"/>
      <c r="X3583" s="1"/>
    </row>
    <row r="3584">
      <c r="A3584" s="1"/>
      <c r="B3584" s="1"/>
      <c r="E3584" s="1"/>
      <c r="F3584" s="1"/>
      <c r="G3584" s="1"/>
      <c r="H3584" s="1"/>
      <c r="I3584" s="1"/>
      <c r="J3584" s="1"/>
      <c r="K3584" s="1"/>
      <c r="L3584" s="1"/>
      <c r="M3584" s="1"/>
      <c r="N3584" s="1"/>
      <c r="O3584" s="1"/>
      <c r="P3584" s="1"/>
      <c r="Q3584" s="1"/>
      <c r="R3584" s="1"/>
      <c r="S3584" s="1"/>
      <c r="T3584" s="1"/>
      <c r="U3584" s="1"/>
      <c r="V3584" s="1"/>
      <c r="W3584" s="1"/>
      <c r="X3584" s="1"/>
    </row>
    <row r="3585">
      <c r="A3585" s="1"/>
      <c r="B3585" s="1"/>
      <c r="E3585" s="1"/>
      <c r="F3585" s="1"/>
      <c r="G3585" s="1"/>
      <c r="H3585" s="1"/>
      <c r="I3585" s="1"/>
      <c r="J3585" s="1"/>
      <c r="K3585" s="1"/>
      <c r="L3585" s="1"/>
      <c r="M3585" s="1"/>
      <c r="N3585" s="1"/>
      <c r="O3585" s="1"/>
      <c r="P3585" s="1"/>
      <c r="Q3585" s="1"/>
      <c r="R3585" s="1"/>
      <c r="S3585" s="1"/>
      <c r="T3585" s="1"/>
      <c r="U3585" s="1"/>
      <c r="V3585" s="1"/>
      <c r="W3585" s="1"/>
      <c r="X3585" s="1"/>
    </row>
    <row r="3586">
      <c r="A3586" s="1"/>
      <c r="B3586" s="1"/>
      <c r="E3586" s="1"/>
      <c r="F3586" s="1"/>
      <c r="G3586" s="1"/>
      <c r="H3586" s="1"/>
      <c r="I3586" s="1"/>
      <c r="J3586" s="1"/>
      <c r="K3586" s="1"/>
      <c r="L3586" s="1"/>
      <c r="M3586" s="1"/>
      <c r="N3586" s="1"/>
      <c r="O3586" s="1"/>
      <c r="P3586" s="1"/>
      <c r="Q3586" s="1"/>
      <c r="R3586" s="1"/>
      <c r="S3586" s="1"/>
      <c r="T3586" s="1"/>
      <c r="U3586" s="1"/>
      <c r="V3586" s="1"/>
      <c r="W3586" s="1"/>
      <c r="X3586" s="1"/>
    </row>
    <row r="3587">
      <c r="A3587" s="1"/>
      <c r="B3587" s="1"/>
      <c r="E3587" s="1"/>
      <c r="F3587" s="1"/>
      <c r="G3587" s="1"/>
      <c r="H3587" s="1"/>
      <c r="I3587" s="1"/>
      <c r="J3587" s="1"/>
      <c r="K3587" s="1"/>
      <c r="L3587" s="1"/>
      <c r="M3587" s="1"/>
      <c r="N3587" s="1"/>
      <c r="O3587" s="1"/>
      <c r="P3587" s="1"/>
      <c r="Q3587" s="1"/>
      <c r="R3587" s="1"/>
      <c r="S3587" s="1"/>
      <c r="T3587" s="1"/>
      <c r="U3587" s="1"/>
      <c r="V3587" s="1"/>
      <c r="W3587" s="1"/>
      <c r="X3587" s="1"/>
    </row>
    <row r="3588">
      <c r="A3588" s="1"/>
      <c r="B3588" s="1"/>
      <c r="E3588" s="1"/>
      <c r="F3588" s="1"/>
      <c r="G3588" s="1"/>
      <c r="H3588" s="1"/>
      <c r="I3588" s="1"/>
      <c r="J3588" s="1"/>
      <c r="K3588" s="1"/>
      <c r="L3588" s="1"/>
      <c r="M3588" s="1"/>
      <c r="N3588" s="1"/>
      <c r="O3588" s="1"/>
      <c r="P3588" s="1"/>
      <c r="Q3588" s="1"/>
      <c r="R3588" s="1"/>
      <c r="S3588" s="1"/>
      <c r="T3588" s="1"/>
      <c r="U3588" s="1"/>
      <c r="V3588" s="1"/>
      <c r="W3588" s="1"/>
      <c r="X3588" s="1"/>
    </row>
    <row r="3589">
      <c r="A3589" s="1"/>
      <c r="B3589" s="1"/>
      <c r="E3589" s="1"/>
      <c r="F3589" s="1"/>
      <c r="G3589" s="1"/>
      <c r="H3589" s="1"/>
      <c r="I3589" s="1"/>
      <c r="J3589" s="1"/>
      <c r="K3589" s="1"/>
      <c r="L3589" s="1"/>
      <c r="M3589" s="1"/>
      <c r="N3589" s="1"/>
      <c r="O3589" s="1"/>
      <c r="P3589" s="1"/>
      <c r="Q3589" s="1"/>
      <c r="R3589" s="1"/>
      <c r="S3589" s="1"/>
      <c r="T3589" s="1"/>
      <c r="U3589" s="1"/>
      <c r="V3589" s="1"/>
      <c r="W3589" s="1"/>
      <c r="X3589" s="1"/>
    </row>
    <row r="3590">
      <c r="A3590" s="1"/>
      <c r="B3590" s="1"/>
      <c r="E3590" s="1"/>
      <c r="F3590" s="1"/>
      <c r="G3590" s="1"/>
      <c r="H3590" s="1"/>
      <c r="I3590" s="1"/>
      <c r="J3590" s="1"/>
      <c r="K3590" s="1"/>
      <c r="L3590" s="1"/>
      <c r="M3590" s="1"/>
      <c r="N3590" s="1"/>
      <c r="O3590" s="1"/>
      <c r="P3590" s="1"/>
      <c r="Q3590" s="1"/>
      <c r="R3590" s="1"/>
      <c r="S3590" s="1"/>
      <c r="T3590" s="1"/>
      <c r="U3590" s="1"/>
      <c r="V3590" s="1"/>
      <c r="W3590" s="1"/>
      <c r="X3590" s="1"/>
    </row>
    <row r="3591">
      <c r="A3591" s="1"/>
      <c r="B3591" s="1"/>
      <c r="E3591" s="1"/>
      <c r="F3591" s="1"/>
      <c r="G3591" s="1"/>
      <c r="H3591" s="1"/>
      <c r="I3591" s="1"/>
      <c r="J3591" s="1"/>
      <c r="K3591" s="1"/>
      <c r="L3591" s="1"/>
      <c r="M3591" s="1"/>
      <c r="N3591" s="1"/>
      <c r="O3591" s="1"/>
      <c r="P3591" s="1"/>
      <c r="Q3591" s="1"/>
      <c r="R3591" s="1"/>
      <c r="S3591" s="1"/>
      <c r="T3591" s="1"/>
      <c r="U3591" s="1"/>
      <c r="V3591" s="1"/>
      <c r="W3591" s="1"/>
      <c r="X3591" s="1"/>
    </row>
    <row r="3592">
      <c r="A3592" s="1"/>
      <c r="B3592" s="1"/>
      <c r="E3592" s="1"/>
      <c r="F3592" s="1"/>
      <c r="G3592" s="1"/>
      <c r="H3592" s="1"/>
      <c r="I3592" s="1"/>
      <c r="J3592" s="1"/>
      <c r="K3592" s="1"/>
      <c r="L3592" s="1"/>
      <c r="M3592" s="1"/>
      <c r="N3592" s="1"/>
      <c r="O3592" s="1"/>
      <c r="P3592" s="1"/>
      <c r="Q3592" s="1"/>
      <c r="R3592" s="1"/>
      <c r="S3592" s="1"/>
      <c r="T3592" s="1"/>
      <c r="U3592" s="1"/>
      <c r="V3592" s="1"/>
      <c r="W3592" s="1"/>
      <c r="X3592" s="1"/>
    </row>
    <row r="3593">
      <c r="A3593" s="1"/>
      <c r="B3593" s="1"/>
      <c r="E3593" s="1"/>
      <c r="F3593" s="1"/>
      <c r="G3593" s="1"/>
      <c r="H3593" s="1"/>
      <c r="I3593" s="1"/>
      <c r="J3593" s="1"/>
      <c r="K3593" s="1"/>
      <c r="L3593" s="1"/>
      <c r="M3593" s="1"/>
      <c r="N3593" s="1"/>
      <c r="O3593" s="1"/>
      <c r="P3593" s="1"/>
      <c r="Q3593" s="1"/>
      <c r="R3593" s="1"/>
      <c r="S3593" s="1"/>
      <c r="T3593" s="1"/>
      <c r="U3593" s="1"/>
      <c r="V3593" s="1"/>
      <c r="W3593" s="1"/>
      <c r="X3593" s="1"/>
    </row>
    <row r="3594">
      <c r="A3594" s="1"/>
      <c r="B3594" s="1"/>
      <c r="E3594" s="1"/>
      <c r="F3594" s="1"/>
      <c r="G3594" s="1"/>
      <c r="H3594" s="1"/>
      <c r="I3594" s="1"/>
      <c r="J3594" s="1"/>
      <c r="K3594" s="1"/>
      <c r="L3594" s="1"/>
      <c r="M3594" s="1"/>
      <c r="N3594" s="1"/>
      <c r="O3594" s="1"/>
      <c r="P3594" s="1"/>
      <c r="Q3594" s="1"/>
      <c r="R3594" s="1"/>
      <c r="S3594" s="1"/>
      <c r="T3594" s="1"/>
      <c r="U3594" s="1"/>
      <c r="V3594" s="1"/>
      <c r="W3594" s="1"/>
      <c r="X3594" s="1"/>
    </row>
    <row r="3595">
      <c r="A3595" s="1"/>
      <c r="B3595" s="1"/>
      <c r="E3595" s="1"/>
      <c r="F3595" s="1"/>
      <c r="G3595" s="1"/>
      <c r="H3595" s="1"/>
      <c r="I3595" s="1"/>
      <c r="J3595" s="1"/>
      <c r="K3595" s="1"/>
      <c r="L3595" s="1"/>
      <c r="M3595" s="1"/>
      <c r="N3595" s="1"/>
      <c r="O3595" s="1"/>
      <c r="P3595" s="1"/>
      <c r="Q3595" s="1"/>
      <c r="R3595" s="1"/>
      <c r="S3595" s="1"/>
      <c r="T3595" s="1"/>
      <c r="U3595" s="1"/>
      <c r="V3595" s="1"/>
      <c r="W3595" s="1"/>
      <c r="X3595" s="1"/>
    </row>
    <row r="3596">
      <c r="A3596" s="1"/>
      <c r="B3596" s="1"/>
      <c r="E3596" s="1"/>
      <c r="F3596" s="1"/>
      <c r="G3596" s="1"/>
      <c r="H3596" s="1"/>
      <c r="I3596" s="1"/>
      <c r="J3596" s="1"/>
      <c r="K3596" s="1"/>
      <c r="L3596" s="1"/>
      <c r="M3596" s="1"/>
      <c r="N3596" s="1"/>
      <c r="O3596" s="1"/>
      <c r="P3596" s="1"/>
      <c r="Q3596" s="1"/>
      <c r="R3596" s="1"/>
      <c r="S3596" s="1"/>
      <c r="T3596" s="1"/>
      <c r="U3596" s="1"/>
      <c r="V3596" s="1"/>
      <c r="W3596" s="1"/>
      <c r="X3596" s="1"/>
    </row>
    <row r="3597">
      <c r="A3597" s="1"/>
      <c r="B3597" s="1"/>
      <c r="E3597" s="1"/>
      <c r="F3597" s="1"/>
      <c r="G3597" s="1"/>
      <c r="H3597" s="1"/>
      <c r="I3597" s="1"/>
      <c r="J3597" s="1"/>
      <c r="K3597" s="1"/>
      <c r="L3597" s="1"/>
      <c r="M3597" s="1"/>
      <c r="N3597" s="1"/>
      <c r="O3597" s="1"/>
      <c r="P3597" s="1"/>
      <c r="Q3597" s="1"/>
      <c r="R3597" s="1"/>
      <c r="S3597" s="1"/>
      <c r="T3597" s="1"/>
      <c r="U3597" s="1"/>
      <c r="V3597" s="1"/>
      <c r="W3597" s="1"/>
      <c r="X3597" s="1"/>
    </row>
    <row r="3598">
      <c r="A3598" s="1"/>
      <c r="B3598" s="1"/>
      <c r="E3598" s="1"/>
      <c r="F3598" s="1"/>
      <c r="G3598" s="1"/>
      <c r="H3598" s="1"/>
      <c r="I3598" s="1"/>
      <c r="J3598" s="1"/>
      <c r="K3598" s="1"/>
      <c r="L3598" s="1"/>
      <c r="M3598" s="1"/>
      <c r="N3598" s="1"/>
      <c r="O3598" s="1"/>
      <c r="P3598" s="1"/>
      <c r="Q3598" s="1"/>
      <c r="R3598" s="1"/>
      <c r="S3598" s="1"/>
      <c r="T3598" s="1"/>
      <c r="U3598" s="1"/>
      <c r="V3598" s="1"/>
      <c r="W3598" s="1"/>
      <c r="X3598" s="1"/>
    </row>
    <row r="3599">
      <c r="A3599" s="1"/>
      <c r="B3599" s="1"/>
      <c r="E3599" s="1"/>
      <c r="F3599" s="1"/>
      <c r="G3599" s="1"/>
      <c r="H3599" s="1"/>
      <c r="I3599" s="1"/>
      <c r="J3599" s="1"/>
      <c r="K3599" s="1"/>
      <c r="L3599" s="1"/>
      <c r="M3599" s="1"/>
      <c r="N3599" s="1"/>
      <c r="O3599" s="1"/>
      <c r="P3599" s="1"/>
      <c r="Q3599" s="1"/>
      <c r="R3599" s="1"/>
      <c r="S3599" s="1"/>
      <c r="T3599" s="1"/>
      <c r="U3599" s="1"/>
      <c r="V3599" s="1"/>
      <c r="W3599" s="1"/>
      <c r="X3599" s="1"/>
    </row>
    <row r="3600">
      <c r="A3600" s="1"/>
      <c r="B3600" s="1"/>
      <c r="E3600" s="1"/>
      <c r="F3600" s="1"/>
      <c r="G3600" s="1"/>
      <c r="H3600" s="1"/>
      <c r="I3600" s="1"/>
      <c r="J3600" s="1"/>
      <c r="K3600" s="1"/>
      <c r="L3600" s="1"/>
      <c r="M3600" s="1"/>
      <c r="N3600" s="1"/>
      <c r="O3600" s="1"/>
      <c r="P3600" s="1"/>
      <c r="Q3600" s="1"/>
      <c r="R3600" s="1"/>
      <c r="S3600" s="1"/>
      <c r="T3600" s="1"/>
      <c r="U3600" s="1"/>
      <c r="V3600" s="1"/>
      <c r="W3600" s="1"/>
      <c r="X3600" s="1"/>
    </row>
    <row r="3601">
      <c r="A3601" s="1"/>
      <c r="B3601" s="1"/>
      <c r="E3601" s="1"/>
      <c r="F3601" s="1"/>
      <c r="G3601" s="1"/>
      <c r="H3601" s="1"/>
      <c r="I3601" s="1"/>
      <c r="J3601" s="1"/>
      <c r="K3601" s="1"/>
      <c r="L3601" s="1"/>
      <c r="M3601" s="1"/>
      <c r="N3601" s="1"/>
      <c r="O3601" s="1"/>
      <c r="P3601" s="1"/>
      <c r="Q3601" s="1"/>
      <c r="R3601" s="1"/>
      <c r="S3601" s="1"/>
      <c r="T3601" s="1"/>
      <c r="U3601" s="1"/>
      <c r="V3601" s="1"/>
      <c r="W3601" s="1"/>
      <c r="X3601" s="1"/>
    </row>
    <row r="3602">
      <c r="A3602" s="1"/>
      <c r="B3602" s="1"/>
      <c r="E3602" s="1"/>
      <c r="F3602" s="1"/>
      <c r="G3602" s="1"/>
      <c r="H3602" s="1"/>
      <c r="I3602" s="1"/>
      <c r="J3602" s="1"/>
      <c r="K3602" s="1"/>
      <c r="L3602" s="1"/>
      <c r="M3602" s="1"/>
      <c r="N3602" s="1"/>
      <c r="O3602" s="1"/>
      <c r="P3602" s="1"/>
      <c r="Q3602" s="1"/>
      <c r="R3602" s="1"/>
      <c r="S3602" s="1"/>
      <c r="T3602" s="1"/>
      <c r="U3602" s="1"/>
      <c r="V3602" s="1"/>
      <c r="W3602" s="1"/>
      <c r="X3602" s="1"/>
    </row>
    <row r="3603">
      <c r="A3603" s="1"/>
      <c r="B3603" s="1"/>
      <c r="E3603" s="1"/>
      <c r="F3603" s="1"/>
      <c r="G3603" s="1"/>
      <c r="H3603" s="1"/>
      <c r="I3603" s="1"/>
      <c r="J3603" s="1"/>
      <c r="K3603" s="1"/>
      <c r="L3603" s="1"/>
      <c r="M3603" s="1"/>
      <c r="N3603" s="1"/>
      <c r="O3603" s="1"/>
      <c r="P3603" s="1"/>
      <c r="Q3603" s="1"/>
      <c r="R3603" s="1"/>
      <c r="S3603" s="1"/>
      <c r="T3603" s="1"/>
      <c r="U3603" s="1"/>
      <c r="V3603" s="1"/>
      <c r="W3603" s="1"/>
      <c r="X3603" s="1"/>
    </row>
    <row r="3604">
      <c r="A3604" s="1"/>
      <c r="B3604" s="1"/>
      <c r="E3604" s="1"/>
      <c r="F3604" s="1"/>
      <c r="G3604" s="1"/>
      <c r="H3604" s="1"/>
      <c r="I3604" s="1"/>
      <c r="J3604" s="1"/>
      <c r="K3604" s="1"/>
      <c r="L3604" s="1"/>
      <c r="M3604" s="1"/>
      <c r="N3604" s="1"/>
      <c r="O3604" s="1"/>
      <c r="P3604" s="1"/>
      <c r="Q3604" s="1"/>
      <c r="R3604" s="1"/>
      <c r="S3604" s="1"/>
      <c r="T3604" s="1"/>
      <c r="U3604" s="1"/>
      <c r="V3604" s="1"/>
      <c r="W3604" s="1"/>
      <c r="X3604" s="1"/>
    </row>
    <row r="3605">
      <c r="A3605" s="1"/>
      <c r="B3605" s="1"/>
      <c r="E3605" s="1"/>
      <c r="F3605" s="1"/>
      <c r="G3605" s="1"/>
      <c r="H3605" s="1"/>
      <c r="I3605" s="1"/>
      <c r="J3605" s="1"/>
      <c r="K3605" s="1"/>
      <c r="L3605" s="1"/>
      <c r="M3605" s="1"/>
      <c r="N3605" s="1"/>
      <c r="O3605" s="1"/>
      <c r="P3605" s="1"/>
      <c r="Q3605" s="1"/>
      <c r="R3605" s="1"/>
      <c r="S3605" s="1"/>
      <c r="T3605" s="1"/>
      <c r="U3605" s="1"/>
      <c r="V3605" s="1"/>
      <c r="W3605" s="1"/>
      <c r="X3605" s="1"/>
    </row>
    <row r="3606">
      <c r="A3606" s="1"/>
      <c r="B3606" s="1"/>
      <c r="E3606" s="1"/>
      <c r="F3606" s="1"/>
      <c r="G3606" s="1"/>
      <c r="H3606" s="1"/>
      <c r="I3606" s="1"/>
      <c r="J3606" s="1"/>
      <c r="K3606" s="1"/>
      <c r="L3606" s="1"/>
      <c r="M3606" s="1"/>
      <c r="N3606" s="1"/>
      <c r="O3606" s="1"/>
      <c r="P3606" s="1"/>
      <c r="Q3606" s="1"/>
      <c r="R3606" s="1"/>
      <c r="S3606" s="1"/>
      <c r="T3606" s="1"/>
      <c r="U3606" s="1"/>
      <c r="V3606" s="1"/>
      <c r="W3606" s="1"/>
      <c r="X3606" s="1"/>
    </row>
    <row r="3607">
      <c r="A3607" s="1"/>
      <c r="B3607" s="1"/>
      <c r="E3607" s="1"/>
      <c r="F3607" s="1"/>
      <c r="G3607" s="1"/>
      <c r="H3607" s="1"/>
      <c r="I3607" s="1"/>
      <c r="J3607" s="1"/>
      <c r="K3607" s="1"/>
      <c r="L3607" s="1"/>
      <c r="M3607" s="1"/>
      <c r="N3607" s="1"/>
      <c r="O3607" s="1"/>
      <c r="P3607" s="1"/>
      <c r="Q3607" s="1"/>
      <c r="R3607" s="1"/>
      <c r="S3607" s="1"/>
      <c r="T3607" s="1"/>
      <c r="U3607" s="1"/>
      <c r="V3607" s="1"/>
      <c r="W3607" s="1"/>
      <c r="X3607" s="1"/>
    </row>
    <row r="3608">
      <c r="A3608" s="1"/>
      <c r="B3608" s="1"/>
      <c r="E3608" s="1"/>
      <c r="F3608" s="1"/>
      <c r="G3608" s="1"/>
      <c r="H3608" s="1"/>
      <c r="I3608" s="1"/>
      <c r="J3608" s="1"/>
      <c r="K3608" s="1"/>
      <c r="L3608" s="1"/>
      <c r="M3608" s="1"/>
      <c r="N3608" s="1"/>
      <c r="O3608" s="1"/>
      <c r="P3608" s="1"/>
      <c r="Q3608" s="1"/>
      <c r="R3608" s="1"/>
      <c r="S3608" s="1"/>
      <c r="T3608" s="1"/>
      <c r="U3608" s="1"/>
      <c r="V3608" s="1"/>
      <c r="W3608" s="1"/>
      <c r="X3608" s="1"/>
    </row>
    <row r="3609">
      <c r="A3609" s="1"/>
      <c r="B3609" s="1"/>
      <c r="E3609" s="1"/>
      <c r="F3609" s="1"/>
      <c r="G3609" s="1"/>
      <c r="H3609" s="1"/>
      <c r="I3609" s="1"/>
      <c r="J3609" s="1"/>
      <c r="K3609" s="1"/>
      <c r="L3609" s="1"/>
      <c r="M3609" s="1"/>
      <c r="N3609" s="1"/>
      <c r="O3609" s="1"/>
      <c r="P3609" s="1"/>
      <c r="Q3609" s="1"/>
      <c r="R3609" s="1"/>
      <c r="S3609" s="1"/>
      <c r="T3609" s="1"/>
      <c r="U3609" s="1"/>
      <c r="V3609" s="1"/>
      <c r="W3609" s="1"/>
      <c r="X3609" s="1"/>
    </row>
    <row r="3610">
      <c r="A3610" s="1"/>
      <c r="B3610" s="1"/>
      <c r="E3610" s="1"/>
      <c r="F3610" s="1"/>
      <c r="G3610" s="1"/>
      <c r="H3610" s="1"/>
      <c r="I3610" s="1"/>
      <c r="J3610" s="1"/>
      <c r="K3610" s="1"/>
      <c r="L3610" s="1"/>
      <c r="M3610" s="1"/>
      <c r="N3610" s="1"/>
      <c r="O3610" s="1"/>
      <c r="P3610" s="1"/>
      <c r="Q3610" s="1"/>
      <c r="R3610" s="1"/>
      <c r="S3610" s="1"/>
      <c r="T3610" s="1"/>
      <c r="U3610" s="1"/>
      <c r="V3610" s="1"/>
      <c r="W3610" s="1"/>
      <c r="X3610" s="1"/>
    </row>
    <row r="3611">
      <c r="A3611" s="1"/>
      <c r="B3611" s="1"/>
      <c r="E3611" s="1"/>
      <c r="F3611" s="1"/>
      <c r="G3611" s="1"/>
      <c r="H3611" s="1"/>
      <c r="I3611" s="1"/>
      <c r="J3611" s="1"/>
      <c r="K3611" s="1"/>
      <c r="L3611" s="1"/>
      <c r="M3611" s="1"/>
      <c r="N3611" s="1"/>
      <c r="O3611" s="1"/>
      <c r="P3611" s="1"/>
      <c r="Q3611" s="1"/>
      <c r="R3611" s="1"/>
      <c r="S3611" s="1"/>
      <c r="T3611" s="1"/>
      <c r="U3611" s="1"/>
      <c r="V3611" s="1"/>
      <c r="W3611" s="1"/>
      <c r="X3611" s="1"/>
    </row>
    <row r="3612">
      <c r="A3612" s="1"/>
      <c r="B3612" s="1"/>
      <c r="E3612" s="1"/>
      <c r="F3612" s="1"/>
      <c r="G3612" s="1"/>
      <c r="H3612" s="1"/>
      <c r="I3612" s="1"/>
      <c r="J3612" s="1"/>
      <c r="K3612" s="1"/>
      <c r="L3612" s="1"/>
      <c r="M3612" s="1"/>
      <c r="N3612" s="1"/>
      <c r="O3612" s="1"/>
      <c r="P3612" s="1"/>
      <c r="Q3612" s="1"/>
      <c r="R3612" s="1"/>
      <c r="S3612" s="1"/>
      <c r="T3612" s="1"/>
      <c r="U3612" s="1"/>
      <c r="V3612" s="1"/>
      <c r="W3612" s="1"/>
      <c r="X3612" s="1"/>
    </row>
    <row r="3613">
      <c r="A3613" s="1"/>
      <c r="B3613" s="1"/>
      <c r="E3613" s="1"/>
      <c r="F3613" s="1"/>
      <c r="G3613" s="1"/>
      <c r="H3613" s="1"/>
      <c r="I3613" s="1"/>
      <c r="J3613" s="1"/>
      <c r="K3613" s="1"/>
      <c r="L3613" s="1"/>
      <c r="M3613" s="1"/>
      <c r="N3613" s="1"/>
      <c r="O3613" s="1"/>
      <c r="P3613" s="1"/>
      <c r="Q3613" s="1"/>
      <c r="R3613" s="1"/>
      <c r="S3613" s="1"/>
      <c r="T3613" s="1"/>
      <c r="U3613" s="1"/>
      <c r="V3613" s="1"/>
      <c r="W3613" s="1"/>
      <c r="X3613" s="1"/>
    </row>
    <row r="3614">
      <c r="A3614" s="1"/>
      <c r="B3614" s="1"/>
      <c r="E3614" s="1"/>
      <c r="F3614" s="1"/>
      <c r="G3614" s="1"/>
      <c r="H3614" s="1"/>
      <c r="I3614" s="1"/>
      <c r="J3614" s="1"/>
      <c r="K3614" s="1"/>
      <c r="L3614" s="1"/>
      <c r="M3614" s="1"/>
      <c r="N3614" s="1"/>
      <c r="O3614" s="1"/>
      <c r="P3614" s="1"/>
      <c r="Q3614" s="1"/>
      <c r="R3614" s="1"/>
      <c r="S3614" s="1"/>
      <c r="T3614" s="1"/>
      <c r="U3614" s="1"/>
      <c r="V3614" s="1"/>
      <c r="W3614" s="1"/>
      <c r="X3614" s="1"/>
    </row>
    <row r="3615">
      <c r="A3615" s="1"/>
      <c r="B3615" s="1"/>
      <c r="E3615" s="1"/>
      <c r="F3615" s="1"/>
      <c r="G3615" s="1"/>
      <c r="H3615" s="1"/>
      <c r="I3615" s="1"/>
      <c r="J3615" s="1"/>
      <c r="K3615" s="1"/>
      <c r="L3615" s="1"/>
      <c r="M3615" s="1"/>
      <c r="N3615" s="1"/>
      <c r="O3615" s="1"/>
      <c r="P3615" s="1"/>
      <c r="Q3615" s="1"/>
      <c r="R3615" s="1"/>
      <c r="S3615" s="1"/>
      <c r="T3615" s="1"/>
      <c r="U3615" s="1"/>
      <c r="V3615" s="1"/>
      <c r="W3615" s="1"/>
      <c r="X3615" s="1"/>
    </row>
    <row r="3616">
      <c r="A3616" s="1"/>
      <c r="B3616" s="1"/>
      <c r="E3616" s="1"/>
      <c r="F3616" s="1"/>
      <c r="G3616" s="1"/>
      <c r="H3616" s="1"/>
      <c r="I3616" s="1"/>
      <c r="J3616" s="1"/>
      <c r="K3616" s="1"/>
      <c r="L3616" s="1"/>
      <c r="M3616" s="1"/>
      <c r="N3616" s="1"/>
      <c r="O3616" s="1"/>
      <c r="P3616" s="1"/>
      <c r="Q3616" s="1"/>
      <c r="R3616" s="1"/>
      <c r="S3616" s="1"/>
      <c r="T3616" s="1"/>
      <c r="U3616" s="1"/>
      <c r="V3616" s="1"/>
      <c r="W3616" s="1"/>
      <c r="X3616" s="1"/>
    </row>
    <row r="3617">
      <c r="A3617" s="1"/>
      <c r="B3617" s="1"/>
      <c r="E3617" s="1"/>
      <c r="F3617" s="1"/>
      <c r="G3617" s="1"/>
      <c r="H3617" s="1"/>
      <c r="I3617" s="1"/>
      <c r="J3617" s="1"/>
      <c r="K3617" s="1"/>
      <c r="L3617" s="1"/>
      <c r="M3617" s="1"/>
      <c r="N3617" s="1"/>
      <c r="O3617" s="1"/>
      <c r="P3617" s="1"/>
      <c r="Q3617" s="1"/>
      <c r="R3617" s="1"/>
      <c r="S3617" s="1"/>
      <c r="T3617" s="1"/>
      <c r="U3617" s="1"/>
      <c r="V3617" s="1"/>
      <c r="W3617" s="1"/>
      <c r="X3617" s="1"/>
    </row>
    <row r="3618">
      <c r="A3618" s="1"/>
      <c r="B3618" s="1"/>
      <c r="E3618" s="1"/>
      <c r="F3618" s="1"/>
      <c r="G3618" s="1"/>
      <c r="H3618" s="1"/>
      <c r="I3618" s="1"/>
      <c r="J3618" s="1"/>
      <c r="K3618" s="1"/>
      <c r="L3618" s="1"/>
      <c r="M3618" s="1"/>
      <c r="N3618" s="1"/>
      <c r="O3618" s="1"/>
      <c r="P3618" s="1"/>
      <c r="Q3618" s="1"/>
      <c r="R3618" s="1"/>
      <c r="S3618" s="1"/>
      <c r="T3618" s="1"/>
      <c r="U3618" s="1"/>
      <c r="V3618" s="1"/>
      <c r="W3618" s="1"/>
      <c r="X3618" s="1"/>
    </row>
    <row r="3619">
      <c r="A3619" s="1"/>
      <c r="B3619" s="1"/>
      <c r="E3619" s="1"/>
      <c r="F3619" s="1"/>
      <c r="G3619" s="1"/>
      <c r="H3619" s="1"/>
      <c r="I3619" s="1"/>
      <c r="J3619" s="1"/>
      <c r="K3619" s="1"/>
      <c r="L3619" s="1"/>
      <c r="M3619" s="1"/>
      <c r="N3619" s="1"/>
      <c r="O3619" s="1"/>
      <c r="P3619" s="1"/>
      <c r="Q3619" s="1"/>
      <c r="R3619" s="1"/>
      <c r="S3619" s="1"/>
      <c r="T3619" s="1"/>
      <c r="U3619" s="1"/>
      <c r="V3619" s="1"/>
      <c r="W3619" s="1"/>
      <c r="X3619" s="1"/>
    </row>
    <row r="3620">
      <c r="A3620" s="1"/>
      <c r="B3620" s="1"/>
      <c r="E3620" s="1"/>
      <c r="F3620" s="1"/>
      <c r="G3620" s="1"/>
      <c r="H3620" s="1"/>
      <c r="I3620" s="1"/>
      <c r="J3620" s="1"/>
      <c r="K3620" s="1"/>
      <c r="L3620" s="1"/>
      <c r="M3620" s="1"/>
      <c r="N3620" s="1"/>
      <c r="O3620" s="1"/>
      <c r="P3620" s="1"/>
      <c r="Q3620" s="1"/>
      <c r="R3620" s="1"/>
      <c r="S3620" s="1"/>
      <c r="T3620" s="1"/>
      <c r="U3620" s="1"/>
      <c r="V3620" s="1"/>
      <c r="W3620" s="1"/>
      <c r="X3620" s="1"/>
    </row>
    <row r="3621">
      <c r="A3621" s="1"/>
      <c r="B3621" s="1"/>
      <c r="E3621" s="1"/>
      <c r="F3621" s="1"/>
      <c r="G3621" s="1"/>
      <c r="H3621" s="1"/>
      <c r="I3621" s="1"/>
      <c r="J3621" s="1"/>
      <c r="K3621" s="1"/>
      <c r="L3621" s="1"/>
      <c r="M3621" s="1"/>
      <c r="N3621" s="1"/>
      <c r="O3621" s="1"/>
      <c r="P3621" s="1"/>
      <c r="Q3621" s="1"/>
      <c r="R3621" s="1"/>
      <c r="S3621" s="1"/>
      <c r="T3621" s="1"/>
      <c r="U3621" s="1"/>
      <c r="V3621" s="1"/>
      <c r="W3621" s="1"/>
      <c r="X3621" s="1"/>
    </row>
    <row r="3622">
      <c r="A3622" s="1"/>
      <c r="B3622" s="1"/>
      <c r="E3622" s="1"/>
      <c r="F3622" s="1"/>
      <c r="G3622" s="1"/>
      <c r="H3622" s="1"/>
      <c r="I3622" s="1"/>
      <c r="J3622" s="1"/>
      <c r="K3622" s="1"/>
      <c r="L3622" s="1"/>
      <c r="M3622" s="1"/>
      <c r="N3622" s="1"/>
      <c r="O3622" s="1"/>
      <c r="P3622" s="1"/>
      <c r="Q3622" s="1"/>
      <c r="R3622" s="1"/>
      <c r="S3622" s="1"/>
      <c r="T3622" s="1"/>
      <c r="U3622" s="1"/>
      <c r="V3622" s="1"/>
      <c r="W3622" s="1"/>
      <c r="X3622" s="1"/>
    </row>
    <row r="3623">
      <c r="A3623" s="1"/>
      <c r="B3623" s="1"/>
      <c r="E3623" s="1"/>
      <c r="F3623" s="1"/>
      <c r="G3623" s="1"/>
      <c r="H3623" s="1"/>
      <c r="I3623" s="1"/>
      <c r="J3623" s="1"/>
      <c r="K3623" s="1"/>
      <c r="L3623" s="1"/>
      <c r="M3623" s="1"/>
      <c r="N3623" s="1"/>
      <c r="O3623" s="1"/>
      <c r="P3623" s="1"/>
      <c r="Q3623" s="1"/>
      <c r="R3623" s="1"/>
      <c r="S3623" s="1"/>
      <c r="T3623" s="1"/>
      <c r="U3623" s="1"/>
      <c r="V3623" s="1"/>
      <c r="W3623" s="1"/>
      <c r="X3623" s="1"/>
    </row>
    <row r="3624">
      <c r="A3624" s="1"/>
      <c r="B3624" s="1"/>
      <c r="E3624" s="1"/>
      <c r="F3624" s="1"/>
      <c r="G3624" s="1"/>
      <c r="H3624" s="1"/>
      <c r="I3624" s="1"/>
      <c r="J3624" s="1"/>
      <c r="K3624" s="1"/>
      <c r="L3624" s="1"/>
      <c r="M3624" s="1"/>
      <c r="N3624" s="1"/>
      <c r="O3624" s="1"/>
      <c r="P3624" s="1"/>
      <c r="Q3624" s="1"/>
      <c r="R3624" s="1"/>
      <c r="S3624" s="1"/>
      <c r="T3624" s="1"/>
      <c r="U3624" s="1"/>
      <c r="V3624" s="1"/>
      <c r="W3624" s="1"/>
      <c r="X3624" s="1"/>
    </row>
    <row r="3625">
      <c r="A3625" s="1"/>
      <c r="B3625" s="1"/>
      <c r="E3625" s="1"/>
      <c r="F3625" s="1"/>
      <c r="G3625" s="1"/>
      <c r="H3625" s="1"/>
      <c r="I3625" s="1"/>
      <c r="J3625" s="1"/>
      <c r="K3625" s="1"/>
      <c r="L3625" s="1"/>
      <c r="M3625" s="1"/>
      <c r="N3625" s="1"/>
      <c r="O3625" s="1"/>
      <c r="P3625" s="1"/>
      <c r="Q3625" s="1"/>
      <c r="R3625" s="1"/>
      <c r="S3625" s="1"/>
      <c r="T3625" s="1"/>
      <c r="U3625" s="1"/>
      <c r="V3625" s="1"/>
      <c r="W3625" s="1"/>
      <c r="X3625" s="1"/>
    </row>
    <row r="3626">
      <c r="A3626" s="1"/>
      <c r="B3626" s="1"/>
      <c r="E3626" s="1"/>
      <c r="F3626" s="1"/>
      <c r="G3626" s="1"/>
      <c r="H3626" s="1"/>
      <c r="I3626" s="1"/>
      <c r="J3626" s="1"/>
      <c r="K3626" s="1"/>
      <c r="L3626" s="1"/>
      <c r="M3626" s="1"/>
      <c r="N3626" s="1"/>
      <c r="O3626" s="1"/>
      <c r="P3626" s="1"/>
      <c r="Q3626" s="1"/>
      <c r="R3626" s="1"/>
      <c r="S3626" s="1"/>
      <c r="T3626" s="1"/>
      <c r="U3626" s="1"/>
      <c r="V3626" s="1"/>
      <c r="W3626" s="1"/>
      <c r="X3626" s="1"/>
    </row>
    <row r="3627">
      <c r="A3627" s="1"/>
      <c r="B3627" s="1"/>
      <c r="E3627" s="1"/>
      <c r="F3627" s="1"/>
      <c r="G3627" s="1"/>
      <c r="H3627" s="1"/>
      <c r="I3627" s="1"/>
      <c r="J3627" s="1"/>
      <c r="K3627" s="1"/>
      <c r="L3627" s="1"/>
      <c r="M3627" s="1"/>
      <c r="N3627" s="1"/>
      <c r="O3627" s="1"/>
      <c r="P3627" s="1"/>
      <c r="Q3627" s="1"/>
      <c r="R3627" s="1"/>
      <c r="S3627" s="1"/>
      <c r="T3627" s="1"/>
      <c r="U3627" s="1"/>
      <c r="V3627" s="1"/>
      <c r="W3627" s="1"/>
      <c r="X3627" s="1"/>
    </row>
    <row r="3628">
      <c r="A3628" s="1"/>
      <c r="B3628" s="1"/>
      <c r="E3628" s="1"/>
      <c r="F3628" s="1"/>
      <c r="G3628" s="1"/>
      <c r="H3628" s="1"/>
      <c r="I3628" s="1"/>
      <c r="J3628" s="1"/>
      <c r="K3628" s="1"/>
      <c r="L3628" s="1"/>
      <c r="M3628" s="1"/>
      <c r="N3628" s="1"/>
      <c r="O3628" s="1"/>
      <c r="P3628" s="1"/>
      <c r="Q3628" s="1"/>
      <c r="R3628" s="1"/>
      <c r="S3628" s="1"/>
      <c r="T3628" s="1"/>
      <c r="U3628" s="1"/>
      <c r="V3628" s="1"/>
      <c r="W3628" s="1"/>
      <c r="X3628" s="1"/>
    </row>
    <row r="3629">
      <c r="A3629" s="1"/>
      <c r="B3629" s="1"/>
      <c r="E3629" s="1"/>
      <c r="F3629" s="1"/>
      <c r="G3629" s="1"/>
      <c r="H3629" s="1"/>
      <c r="I3629" s="1"/>
      <c r="J3629" s="1"/>
      <c r="K3629" s="1"/>
      <c r="L3629" s="1"/>
      <c r="M3629" s="1"/>
      <c r="N3629" s="1"/>
      <c r="O3629" s="1"/>
      <c r="P3629" s="1"/>
      <c r="Q3629" s="1"/>
      <c r="R3629" s="1"/>
      <c r="S3629" s="1"/>
      <c r="T3629" s="1"/>
      <c r="U3629" s="1"/>
      <c r="V3629" s="1"/>
      <c r="W3629" s="1"/>
      <c r="X3629" s="1"/>
    </row>
    <row r="3630">
      <c r="A3630" s="1"/>
      <c r="B3630" s="1"/>
      <c r="E3630" s="1"/>
      <c r="F3630" s="1"/>
      <c r="G3630" s="1"/>
      <c r="H3630" s="1"/>
      <c r="I3630" s="1"/>
      <c r="J3630" s="1"/>
      <c r="K3630" s="1"/>
      <c r="L3630" s="1"/>
      <c r="M3630" s="1"/>
      <c r="N3630" s="1"/>
      <c r="O3630" s="1"/>
      <c r="P3630" s="1"/>
      <c r="Q3630" s="1"/>
      <c r="R3630" s="1"/>
      <c r="S3630" s="1"/>
      <c r="T3630" s="1"/>
      <c r="U3630" s="1"/>
      <c r="V3630" s="1"/>
      <c r="W3630" s="1"/>
      <c r="X3630" s="1"/>
    </row>
    <row r="3631">
      <c r="A3631" s="1"/>
      <c r="B3631" s="1"/>
      <c r="E3631" s="1"/>
      <c r="F3631" s="1"/>
      <c r="G3631" s="1"/>
      <c r="H3631" s="1"/>
      <c r="I3631" s="1"/>
      <c r="J3631" s="1"/>
      <c r="K3631" s="1"/>
      <c r="L3631" s="1"/>
      <c r="M3631" s="1"/>
      <c r="N3631" s="1"/>
      <c r="O3631" s="1"/>
      <c r="P3631" s="1"/>
      <c r="Q3631" s="1"/>
      <c r="R3631" s="1"/>
      <c r="S3631" s="1"/>
      <c r="T3631" s="1"/>
      <c r="U3631" s="1"/>
      <c r="V3631" s="1"/>
      <c r="W3631" s="1"/>
      <c r="X3631" s="1"/>
    </row>
    <row r="3632">
      <c r="A3632" s="1"/>
      <c r="B3632" s="1"/>
      <c r="E3632" s="1"/>
      <c r="F3632" s="1"/>
      <c r="G3632" s="1"/>
      <c r="H3632" s="1"/>
      <c r="I3632" s="1"/>
      <c r="J3632" s="1"/>
      <c r="K3632" s="1"/>
      <c r="L3632" s="1"/>
      <c r="M3632" s="1"/>
      <c r="N3632" s="1"/>
      <c r="O3632" s="1"/>
      <c r="P3632" s="1"/>
      <c r="Q3632" s="1"/>
      <c r="R3632" s="1"/>
      <c r="S3632" s="1"/>
      <c r="T3632" s="1"/>
      <c r="U3632" s="1"/>
      <c r="V3632" s="1"/>
      <c r="W3632" s="1"/>
      <c r="X3632" s="1"/>
    </row>
    <row r="3633">
      <c r="A3633" s="1"/>
      <c r="B3633" s="1"/>
      <c r="E3633" s="1"/>
      <c r="F3633" s="1"/>
      <c r="G3633" s="1"/>
      <c r="H3633" s="1"/>
      <c r="I3633" s="1"/>
      <c r="J3633" s="1"/>
      <c r="K3633" s="1"/>
      <c r="L3633" s="1"/>
      <c r="M3633" s="1"/>
      <c r="N3633" s="1"/>
      <c r="O3633" s="1"/>
      <c r="P3633" s="1"/>
      <c r="Q3633" s="1"/>
      <c r="R3633" s="1"/>
      <c r="S3633" s="1"/>
      <c r="T3633" s="1"/>
      <c r="U3633" s="1"/>
      <c r="V3633" s="1"/>
      <c r="W3633" s="1"/>
      <c r="X3633" s="1"/>
    </row>
    <row r="3634">
      <c r="A3634" s="1"/>
      <c r="B3634" s="1"/>
      <c r="E3634" s="1"/>
      <c r="F3634" s="1"/>
      <c r="G3634" s="1"/>
      <c r="H3634" s="1"/>
      <c r="I3634" s="1"/>
      <c r="J3634" s="1"/>
      <c r="K3634" s="1"/>
      <c r="L3634" s="1"/>
      <c r="M3634" s="1"/>
      <c r="N3634" s="1"/>
      <c r="O3634" s="1"/>
      <c r="P3634" s="1"/>
      <c r="Q3634" s="1"/>
      <c r="R3634" s="1"/>
      <c r="S3634" s="1"/>
      <c r="T3634" s="1"/>
      <c r="U3634" s="1"/>
      <c r="V3634" s="1"/>
      <c r="W3634" s="1"/>
      <c r="X3634" s="1"/>
    </row>
    <row r="3635">
      <c r="A3635" s="1"/>
      <c r="B3635" s="1"/>
      <c r="E3635" s="1"/>
      <c r="F3635" s="1"/>
      <c r="G3635" s="1"/>
      <c r="H3635" s="1"/>
      <c r="I3635" s="1"/>
      <c r="J3635" s="1"/>
      <c r="K3635" s="1"/>
      <c r="L3635" s="1"/>
      <c r="M3635" s="1"/>
      <c r="N3635" s="1"/>
      <c r="O3635" s="1"/>
      <c r="P3635" s="1"/>
      <c r="Q3635" s="1"/>
      <c r="R3635" s="1"/>
      <c r="S3635" s="1"/>
      <c r="T3635" s="1"/>
      <c r="U3635" s="1"/>
      <c r="V3635" s="1"/>
      <c r="W3635" s="1"/>
      <c r="X3635" s="1"/>
    </row>
    <row r="3636">
      <c r="A3636" s="1"/>
      <c r="B3636" s="1"/>
      <c r="E3636" s="1"/>
      <c r="F3636" s="1"/>
      <c r="G3636" s="1"/>
      <c r="H3636" s="1"/>
      <c r="I3636" s="1"/>
      <c r="J3636" s="1"/>
      <c r="K3636" s="1"/>
      <c r="L3636" s="1"/>
      <c r="M3636" s="1"/>
      <c r="N3636" s="1"/>
      <c r="O3636" s="1"/>
      <c r="P3636" s="1"/>
      <c r="Q3636" s="1"/>
      <c r="R3636" s="1"/>
      <c r="S3636" s="1"/>
      <c r="T3636" s="1"/>
      <c r="U3636" s="1"/>
      <c r="V3636" s="1"/>
      <c r="W3636" s="1"/>
      <c r="X3636" s="1"/>
    </row>
    <row r="3637">
      <c r="A3637" s="1"/>
      <c r="B3637" s="1"/>
      <c r="E3637" s="1"/>
      <c r="F3637" s="1"/>
      <c r="G3637" s="1"/>
      <c r="H3637" s="1"/>
      <c r="I3637" s="1"/>
      <c r="J3637" s="1"/>
      <c r="K3637" s="1"/>
      <c r="L3637" s="1"/>
      <c r="M3637" s="1"/>
      <c r="N3637" s="1"/>
      <c r="O3637" s="1"/>
      <c r="P3637" s="1"/>
      <c r="Q3637" s="1"/>
      <c r="R3637" s="1"/>
      <c r="S3637" s="1"/>
      <c r="T3637" s="1"/>
      <c r="U3637" s="1"/>
      <c r="V3637" s="1"/>
      <c r="W3637" s="1"/>
      <c r="X3637" s="1"/>
    </row>
    <row r="3638">
      <c r="A3638" s="1"/>
      <c r="B3638" s="1"/>
      <c r="E3638" s="1"/>
      <c r="F3638" s="1"/>
      <c r="G3638" s="1"/>
      <c r="H3638" s="1"/>
      <c r="I3638" s="1"/>
      <c r="J3638" s="1"/>
      <c r="K3638" s="1"/>
      <c r="L3638" s="1"/>
      <c r="M3638" s="1"/>
      <c r="N3638" s="1"/>
      <c r="O3638" s="1"/>
      <c r="P3638" s="1"/>
      <c r="Q3638" s="1"/>
      <c r="R3638" s="1"/>
      <c r="S3638" s="1"/>
      <c r="T3638" s="1"/>
      <c r="U3638" s="1"/>
      <c r="V3638" s="1"/>
      <c r="W3638" s="1"/>
      <c r="X3638" s="1"/>
    </row>
    <row r="3639">
      <c r="A3639" s="1"/>
      <c r="B3639" s="1"/>
      <c r="E3639" s="1"/>
      <c r="F3639" s="1"/>
      <c r="G3639" s="1"/>
      <c r="H3639" s="1"/>
      <c r="I3639" s="1"/>
      <c r="J3639" s="1"/>
      <c r="K3639" s="1"/>
      <c r="L3639" s="1"/>
      <c r="M3639" s="1"/>
      <c r="N3639" s="1"/>
      <c r="O3639" s="1"/>
      <c r="P3639" s="1"/>
      <c r="Q3639" s="1"/>
      <c r="R3639" s="1"/>
      <c r="S3639" s="1"/>
      <c r="T3639" s="1"/>
      <c r="U3639" s="1"/>
      <c r="V3639" s="1"/>
      <c r="W3639" s="1"/>
      <c r="X3639" s="1"/>
    </row>
    <row r="3640">
      <c r="A3640" s="1"/>
      <c r="B3640" s="1"/>
      <c r="E3640" s="1"/>
      <c r="F3640" s="1"/>
      <c r="G3640" s="1"/>
      <c r="H3640" s="1"/>
      <c r="I3640" s="1"/>
      <c r="J3640" s="1"/>
      <c r="K3640" s="1"/>
      <c r="L3640" s="1"/>
      <c r="M3640" s="1"/>
      <c r="N3640" s="1"/>
      <c r="O3640" s="1"/>
      <c r="P3640" s="1"/>
      <c r="Q3640" s="1"/>
      <c r="R3640" s="1"/>
      <c r="S3640" s="1"/>
      <c r="T3640" s="1"/>
      <c r="U3640" s="1"/>
      <c r="V3640" s="1"/>
      <c r="W3640" s="1"/>
      <c r="X3640" s="1"/>
    </row>
    <row r="3641">
      <c r="A3641" s="1"/>
      <c r="B3641" s="1"/>
      <c r="E3641" s="1"/>
      <c r="F3641" s="1"/>
      <c r="G3641" s="1"/>
      <c r="H3641" s="1"/>
      <c r="I3641" s="1"/>
      <c r="J3641" s="1"/>
      <c r="K3641" s="1"/>
      <c r="L3641" s="1"/>
      <c r="M3641" s="1"/>
      <c r="N3641" s="1"/>
      <c r="O3641" s="1"/>
      <c r="P3641" s="1"/>
      <c r="Q3641" s="1"/>
      <c r="R3641" s="1"/>
      <c r="S3641" s="1"/>
      <c r="T3641" s="1"/>
      <c r="U3641" s="1"/>
      <c r="V3641" s="1"/>
      <c r="W3641" s="1"/>
      <c r="X3641" s="1"/>
    </row>
    <row r="3642">
      <c r="A3642" s="1"/>
      <c r="B3642" s="1"/>
      <c r="E3642" s="1"/>
      <c r="F3642" s="1"/>
      <c r="G3642" s="1"/>
      <c r="H3642" s="1"/>
      <c r="I3642" s="1"/>
      <c r="J3642" s="1"/>
      <c r="K3642" s="1"/>
      <c r="L3642" s="1"/>
      <c r="M3642" s="1"/>
      <c r="N3642" s="1"/>
      <c r="O3642" s="1"/>
      <c r="P3642" s="1"/>
      <c r="Q3642" s="1"/>
      <c r="R3642" s="1"/>
      <c r="S3642" s="1"/>
      <c r="T3642" s="1"/>
      <c r="U3642" s="1"/>
      <c r="V3642" s="1"/>
      <c r="W3642" s="1"/>
      <c r="X3642" s="1"/>
    </row>
    <row r="3643">
      <c r="A3643" s="1"/>
      <c r="B3643" s="1"/>
      <c r="E3643" s="1"/>
      <c r="F3643" s="1"/>
      <c r="G3643" s="1"/>
      <c r="H3643" s="1"/>
      <c r="I3643" s="1"/>
      <c r="J3643" s="1"/>
      <c r="K3643" s="1"/>
      <c r="L3643" s="1"/>
      <c r="M3643" s="1"/>
      <c r="N3643" s="1"/>
      <c r="O3643" s="1"/>
      <c r="P3643" s="1"/>
      <c r="Q3643" s="1"/>
      <c r="R3643" s="1"/>
      <c r="S3643" s="1"/>
      <c r="T3643" s="1"/>
      <c r="U3643" s="1"/>
      <c r="V3643" s="1"/>
      <c r="W3643" s="1"/>
      <c r="X3643" s="1"/>
    </row>
    <row r="3644">
      <c r="A3644" s="1"/>
      <c r="B3644" s="1"/>
      <c r="E3644" s="1"/>
      <c r="F3644" s="1"/>
      <c r="G3644" s="1"/>
      <c r="H3644" s="1"/>
      <c r="I3644" s="1"/>
      <c r="J3644" s="1"/>
      <c r="K3644" s="1"/>
      <c r="L3644" s="1"/>
      <c r="M3644" s="1"/>
      <c r="N3644" s="1"/>
      <c r="O3644" s="1"/>
      <c r="P3644" s="1"/>
      <c r="Q3644" s="1"/>
      <c r="R3644" s="1"/>
      <c r="S3644" s="1"/>
      <c r="T3644" s="1"/>
      <c r="U3644" s="1"/>
      <c r="V3644" s="1"/>
      <c r="W3644" s="1"/>
      <c r="X3644" s="1"/>
    </row>
    <row r="3645">
      <c r="A3645" s="1"/>
      <c r="B3645" s="1"/>
      <c r="E3645" s="1"/>
      <c r="F3645" s="1"/>
      <c r="G3645" s="1"/>
      <c r="H3645" s="1"/>
      <c r="I3645" s="1"/>
      <c r="J3645" s="1"/>
      <c r="K3645" s="1"/>
      <c r="L3645" s="1"/>
      <c r="M3645" s="1"/>
      <c r="N3645" s="1"/>
      <c r="O3645" s="1"/>
      <c r="P3645" s="1"/>
      <c r="Q3645" s="1"/>
      <c r="R3645" s="1"/>
      <c r="S3645" s="1"/>
      <c r="T3645" s="1"/>
      <c r="U3645" s="1"/>
      <c r="V3645" s="1"/>
      <c r="W3645" s="1"/>
      <c r="X3645" s="1"/>
    </row>
    <row r="3646">
      <c r="A3646" s="1"/>
      <c r="B3646" s="1"/>
      <c r="E3646" s="1"/>
      <c r="F3646" s="1"/>
      <c r="G3646" s="1"/>
      <c r="H3646" s="1"/>
      <c r="I3646" s="1"/>
      <c r="J3646" s="1"/>
      <c r="K3646" s="1"/>
      <c r="L3646" s="1"/>
      <c r="M3646" s="1"/>
      <c r="N3646" s="1"/>
      <c r="O3646" s="1"/>
      <c r="P3646" s="1"/>
      <c r="Q3646" s="1"/>
      <c r="R3646" s="1"/>
      <c r="S3646" s="1"/>
      <c r="T3646" s="1"/>
      <c r="U3646" s="1"/>
      <c r="V3646" s="1"/>
      <c r="W3646" s="1"/>
      <c r="X3646" s="1"/>
    </row>
    <row r="3647">
      <c r="A3647" s="1"/>
      <c r="B3647" s="1"/>
      <c r="E3647" s="1"/>
      <c r="F3647" s="1"/>
      <c r="G3647" s="1"/>
      <c r="H3647" s="1"/>
      <c r="I3647" s="1"/>
      <c r="J3647" s="1"/>
      <c r="K3647" s="1"/>
      <c r="L3647" s="1"/>
      <c r="M3647" s="1"/>
      <c r="N3647" s="1"/>
      <c r="O3647" s="1"/>
      <c r="P3647" s="1"/>
      <c r="Q3647" s="1"/>
      <c r="R3647" s="1"/>
      <c r="S3647" s="1"/>
      <c r="T3647" s="1"/>
      <c r="U3647" s="1"/>
      <c r="V3647" s="1"/>
      <c r="W3647" s="1"/>
      <c r="X3647" s="1"/>
    </row>
    <row r="3648">
      <c r="A3648" s="1"/>
      <c r="B3648" s="1"/>
      <c r="E3648" s="1"/>
      <c r="F3648" s="1"/>
      <c r="G3648" s="1"/>
      <c r="H3648" s="1"/>
      <c r="I3648" s="1"/>
      <c r="J3648" s="1"/>
      <c r="K3648" s="1"/>
      <c r="L3648" s="1"/>
      <c r="M3648" s="1"/>
      <c r="N3648" s="1"/>
      <c r="O3648" s="1"/>
      <c r="P3648" s="1"/>
      <c r="Q3648" s="1"/>
      <c r="R3648" s="1"/>
      <c r="S3648" s="1"/>
      <c r="T3648" s="1"/>
      <c r="U3648" s="1"/>
      <c r="V3648" s="1"/>
      <c r="W3648" s="1"/>
      <c r="X3648" s="1"/>
    </row>
    <row r="3649">
      <c r="A3649" s="1"/>
      <c r="B3649" s="1"/>
      <c r="E3649" s="1"/>
      <c r="F3649" s="1"/>
      <c r="G3649" s="1"/>
      <c r="H3649" s="1"/>
      <c r="I3649" s="1"/>
      <c r="J3649" s="1"/>
      <c r="K3649" s="1"/>
      <c r="L3649" s="1"/>
      <c r="M3649" s="1"/>
      <c r="N3649" s="1"/>
      <c r="O3649" s="1"/>
      <c r="P3649" s="1"/>
      <c r="Q3649" s="1"/>
      <c r="R3649" s="1"/>
      <c r="S3649" s="1"/>
      <c r="T3649" s="1"/>
      <c r="U3649" s="1"/>
      <c r="V3649" s="1"/>
      <c r="W3649" s="1"/>
      <c r="X3649" s="1"/>
    </row>
    <row r="3650">
      <c r="A3650" s="1"/>
      <c r="B3650" s="1"/>
      <c r="E3650" s="1"/>
      <c r="F3650" s="1"/>
      <c r="G3650" s="1"/>
      <c r="H3650" s="1"/>
      <c r="I3650" s="1"/>
      <c r="J3650" s="1"/>
      <c r="K3650" s="1"/>
      <c r="L3650" s="1"/>
      <c r="M3650" s="1"/>
      <c r="N3650" s="1"/>
      <c r="O3650" s="1"/>
      <c r="P3650" s="1"/>
      <c r="Q3650" s="1"/>
      <c r="R3650" s="1"/>
      <c r="S3650" s="1"/>
      <c r="T3650" s="1"/>
      <c r="U3650" s="1"/>
      <c r="V3650" s="1"/>
      <c r="W3650" s="1"/>
      <c r="X3650" s="1"/>
    </row>
    <row r="3651">
      <c r="A3651" s="1"/>
      <c r="B3651" s="1"/>
      <c r="E3651" s="1"/>
      <c r="F3651" s="1"/>
      <c r="G3651" s="1"/>
      <c r="H3651" s="1"/>
      <c r="I3651" s="1"/>
      <c r="J3651" s="1"/>
      <c r="K3651" s="1"/>
      <c r="L3651" s="1"/>
      <c r="M3651" s="1"/>
      <c r="N3651" s="1"/>
      <c r="O3651" s="1"/>
      <c r="P3651" s="1"/>
      <c r="Q3651" s="1"/>
      <c r="R3651" s="1"/>
      <c r="S3651" s="1"/>
      <c r="T3651" s="1"/>
      <c r="U3651" s="1"/>
      <c r="V3651" s="1"/>
      <c r="W3651" s="1"/>
      <c r="X3651" s="1"/>
    </row>
    <row r="3652">
      <c r="A3652" s="1"/>
      <c r="B3652" s="1"/>
      <c r="E3652" s="1"/>
      <c r="F3652" s="1"/>
      <c r="G3652" s="1"/>
      <c r="H3652" s="1"/>
      <c r="I3652" s="1"/>
      <c r="J3652" s="1"/>
      <c r="K3652" s="1"/>
      <c r="L3652" s="1"/>
      <c r="M3652" s="1"/>
      <c r="N3652" s="1"/>
      <c r="O3652" s="1"/>
      <c r="P3652" s="1"/>
      <c r="Q3652" s="1"/>
      <c r="R3652" s="1"/>
      <c r="S3652" s="1"/>
      <c r="T3652" s="1"/>
      <c r="U3652" s="1"/>
      <c r="V3652" s="1"/>
      <c r="W3652" s="1"/>
      <c r="X3652" s="1"/>
    </row>
    <row r="3653">
      <c r="A3653" s="1"/>
      <c r="B3653" s="1"/>
      <c r="E3653" s="1"/>
      <c r="F3653" s="1"/>
      <c r="G3653" s="1"/>
      <c r="H3653" s="1"/>
      <c r="I3653" s="1"/>
      <c r="J3653" s="1"/>
      <c r="K3653" s="1"/>
      <c r="L3653" s="1"/>
      <c r="M3653" s="1"/>
      <c r="N3653" s="1"/>
      <c r="O3653" s="1"/>
      <c r="P3653" s="1"/>
      <c r="Q3653" s="1"/>
      <c r="R3653" s="1"/>
      <c r="S3653" s="1"/>
      <c r="T3653" s="1"/>
      <c r="U3653" s="1"/>
      <c r="V3653" s="1"/>
      <c r="W3653" s="1"/>
      <c r="X3653" s="1"/>
    </row>
    <row r="3654">
      <c r="A3654" s="1"/>
      <c r="B3654" s="1"/>
      <c r="E3654" s="1"/>
      <c r="F3654" s="1"/>
      <c r="G3654" s="1"/>
      <c r="H3654" s="1"/>
      <c r="I3654" s="1"/>
      <c r="J3654" s="1"/>
      <c r="K3654" s="1"/>
      <c r="L3654" s="1"/>
      <c r="M3654" s="1"/>
      <c r="N3654" s="1"/>
      <c r="O3654" s="1"/>
      <c r="P3654" s="1"/>
      <c r="Q3654" s="1"/>
      <c r="R3654" s="1"/>
      <c r="S3654" s="1"/>
      <c r="T3654" s="1"/>
      <c r="U3654" s="1"/>
      <c r="V3654" s="1"/>
      <c r="W3654" s="1"/>
      <c r="X3654" s="1"/>
    </row>
    <row r="3655">
      <c r="A3655" s="1"/>
      <c r="B3655" s="1"/>
      <c r="E3655" s="1"/>
      <c r="F3655" s="1"/>
      <c r="G3655" s="1"/>
      <c r="H3655" s="1"/>
      <c r="I3655" s="1"/>
      <c r="J3655" s="1"/>
      <c r="K3655" s="1"/>
      <c r="L3655" s="1"/>
      <c r="M3655" s="1"/>
      <c r="N3655" s="1"/>
      <c r="O3655" s="1"/>
      <c r="P3655" s="1"/>
      <c r="Q3655" s="1"/>
      <c r="R3655" s="1"/>
      <c r="S3655" s="1"/>
      <c r="T3655" s="1"/>
      <c r="U3655" s="1"/>
      <c r="V3655" s="1"/>
      <c r="W3655" s="1"/>
      <c r="X3655" s="1"/>
    </row>
    <row r="3656">
      <c r="A3656" s="1"/>
      <c r="B3656" s="1"/>
      <c r="E3656" s="1"/>
      <c r="F3656" s="1"/>
      <c r="G3656" s="1"/>
      <c r="H3656" s="1"/>
      <c r="I3656" s="1"/>
      <c r="J3656" s="1"/>
      <c r="K3656" s="1"/>
      <c r="L3656" s="1"/>
      <c r="M3656" s="1"/>
      <c r="N3656" s="1"/>
      <c r="O3656" s="1"/>
      <c r="P3656" s="1"/>
      <c r="Q3656" s="1"/>
      <c r="R3656" s="1"/>
      <c r="S3656" s="1"/>
      <c r="T3656" s="1"/>
      <c r="U3656" s="1"/>
      <c r="V3656" s="1"/>
      <c r="W3656" s="1"/>
      <c r="X3656" s="1"/>
    </row>
    <row r="3657">
      <c r="A3657" s="1"/>
      <c r="B3657" s="1"/>
      <c r="E3657" s="1"/>
      <c r="F3657" s="1"/>
      <c r="G3657" s="1"/>
      <c r="H3657" s="1"/>
      <c r="I3657" s="1"/>
      <c r="J3657" s="1"/>
      <c r="K3657" s="1"/>
      <c r="L3657" s="1"/>
      <c r="M3657" s="1"/>
      <c r="N3657" s="1"/>
      <c r="O3657" s="1"/>
      <c r="P3657" s="1"/>
      <c r="Q3657" s="1"/>
      <c r="R3657" s="1"/>
      <c r="S3657" s="1"/>
      <c r="T3657" s="1"/>
      <c r="U3657" s="1"/>
      <c r="V3657" s="1"/>
      <c r="W3657" s="1"/>
      <c r="X3657" s="1"/>
    </row>
    <row r="3658">
      <c r="A3658" s="1"/>
      <c r="B3658" s="1"/>
      <c r="E3658" s="1"/>
      <c r="F3658" s="1"/>
      <c r="G3658" s="1"/>
      <c r="H3658" s="1"/>
      <c r="I3658" s="1"/>
      <c r="J3658" s="1"/>
      <c r="K3658" s="1"/>
      <c r="L3658" s="1"/>
      <c r="M3658" s="1"/>
      <c r="N3658" s="1"/>
      <c r="O3658" s="1"/>
      <c r="P3658" s="1"/>
      <c r="Q3658" s="1"/>
      <c r="R3658" s="1"/>
      <c r="S3658" s="1"/>
      <c r="T3658" s="1"/>
      <c r="U3658" s="1"/>
      <c r="V3658" s="1"/>
      <c r="W3658" s="1"/>
      <c r="X3658" s="1"/>
    </row>
    <row r="3659">
      <c r="A3659" s="1"/>
      <c r="B3659" s="1"/>
      <c r="E3659" s="1"/>
      <c r="F3659" s="1"/>
      <c r="G3659" s="1"/>
      <c r="H3659" s="1"/>
      <c r="I3659" s="1"/>
      <c r="J3659" s="1"/>
      <c r="K3659" s="1"/>
      <c r="L3659" s="1"/>
      <c r="M3659" s="1"/>
      <c r="N3659" s="1"/>
      <c r="O3659" s="1"/>
      <c r="P3659" s="1"/>
      <c r="Q3659" s="1"/>
      <c r="R3659" s="1"/>
      <c r="S3659" s="1"/>
      <c r="T3659" s="1"/>
      <c r="U3659" s="1"/>
      <c r="V3659" s="1"/>
      <c r="W3659" s="1"/>
      <c r="X3659" s="1"/>
    </row>
    <row r="3660">
      <c r="A3660" s="1"/>
      <c r="B3660" s="1"/>
      <c r="E3660" s="1"/>
      <c r="F3660" s="1"/>
      <c r="G3660" s="1"/>
      <c r="H3660" s="1"/>
      <c r="I3660" s="1"/>
      <c r="J3660" s="1"/>
      <c r="K3660" s="1"/>
      <c r="L3660" s="1"/>
      <c r="M3660" s="1"/>
      <c r="N3660" s="1"/>
      <c r="O3660" s="1"/>
      <c r="P3660" s="1"/>
      <c r="Q3660" s="1"/>
      <c r="R3660" s="1"/>
      <c r="S3660" s="1"/>
      <c r="T3660" s="1"/>
      <c r="U3660" s="1"/>
      <c r="V3660" s="1"/>
      <c r="W3660" s="1"/>
      <c r="X3660" s="1"/>
    </row>
    <row r="3661">
      <c r="A3661" s="1"/>
      <c r="B3661" s="1"/>
      <c r="E3661" s="1"/>
      <c r="F3661" s="1"/>
      <c r="G3661" s="1"/>
      <c r="H3661" s="1"/>
      <c r="I3661" s="1"/>
      <c r="J3661" s="1"/>
      <c r="K3661" s="1"/>
      <c r="L3661" s="1"/>
      <c r="M3661" s="1"/>
      <c r="N3661" s="1"/>
      <c r="O3661" s="1"/>
      <c r="P3661" s="1"/>
      <c r="Q3661" s="1"/>
      <c r="R3661" s="1"/>
      <c r="S3661" s="1"/>
      <c r="T3661" s="1"/>
      <c r="U3661" s="1"/>
      <c r="V3661" s="1"/>
      <c r="W3661" s="1"/>
      <c r="X3661" s="1"/>
    </row>
    <row r="3662">
      <c r="A3662" s="1"/>
      <c r="B3662" s="1"/>
      <c r="E3662" s="1"/>
      <c r="F3662" s="1"/>
      <c r="G3662" s="1"/>
      <c r="H3662" s="1"/>
      <c r="I3662" s="1"/>
      <c r="J3662" s="1"/>
      <c r="K3662" s="1"/>
      <c r="L3662" s="1"/>
      <c r="M3662" s="1"/>
      <c r="N3662" s="1"/>
      <c r="O3662" s="1"/>
      <c r="P3662" s="1"/>
      <c r="Q3662" s="1"/>
      <c r="R3662" s="1"/>
      <c r="S3662" s="1"/>
      <c r="T3662" s="1"/>
      <c r="U3662" s="1"/>
      <c r="V3662" s="1"/>
      <c r="W3662" s="1"/>
      <c r="X3662" s="1"/>
    </row>
    <row r="3663">
      <c r="A3663" s="1"/>
      <c r="B3663" s="1"/>
      <c r="E3663" s="1"/>
      <c r="F3663" s="1"/>
      <c r="G3663" s="1"/>
      <c r="H3663" s="1"/>
      <c r="I3663" s="1"/>
      <c r="J3663" s="1"/>
      <c r="K3663" s="1"/>
      <c r="L3663" s="1"/>
      <c r="M3663" s="1"/>
      <c r="N3663" s="1"/>
      <c r="O3663" s="1"/>
      <c r="P3663" s="1"/>
      <c r="Q3663" s="1"/>
      <c r="R3663" s="1"/>
      <c r="S3663" s="1"/>
      <c r="T3663" s="1"/>
      <c r="U3663" s="1"/>
      <c r="V3663" s="1"/>
      <c r="W3663" s="1"/>
      <c r="X3663" s="1"/>
    </row>
    <row r="3664">
      <c r="A3664" s="1"/>
      <c r="B3664" s="1"/>
      <c r="E3664" s="1"/>
      <c r="F3664" s="1"/>
      <c r="G3664" s="1"/>
      <c r="H3664" s="1"/>
      <c r="I3664" s="1"/>
      <c r="J3664" s="1"/>
      <c r="K3664" s="1"/>
      <c r="L3664" s="1"/>
      <c r="M3664" s="1"/>
      <c r="N3664" s="1"/>
      <c r="O3664" s="1"/>
      <c r="P3664" s="1"/>
      <c r="Q3664" s="1"/>
      <c r="R3664" s="1"/>
      <c r="S3664" s="1"/>
      <c r="T3664" s="1"/>
      <c r="U3664" s="1"/>
      <c r="V3664" s="1"/>
      <c r="W3664" s="1"/>
      <c r="X3664" s="1"/>
    </row>
    <row r="3665">
      <c r="A3665" s="1"/>
      <c r="B3665" s="1"/>
      <c r="E3665" s="1"/>
      <c r="F3665" s="1"/>
      <c r="G3665" s="1"/>
      <c r="H3665" s="1"/>
      <c r="I3665" s="1"/>
      <c r="J3665" s="1"/>
      <c r="K3665" s="1"/>
      <c r="L3665" s="1"/>
      <c r="M3665" s="1"/>
      <c r="N3665" s="1"/>
      <c r="O3665" s="1"/>
      <c r="P3665" s="1"/>
      <c r="Q3665" s="1"/>
      <c r="R3665" s="1"/>
      <c r="S3665" s="1"/>
      <c r="T3665" s="1"/>
      <c r="U3665" s="1"/>
      <c r="V3665" s="1"/>
      <c r="W3665" s="1"/>
      <c r="X3665" s="1"/>
    </row>
    <row r="3666">
      <c r="A3666" s="1"/>
      <c r="B3666" s="1"/>
      <c r="E3666" s="1"/>
      <c r="F3666" s="1"/>
      <c r="G3666" s="1"/>
      <c r="H3666" s="1"/>
      <c r="I3666" s="1"/>
      <c r="J3666" s="1"/>
      <c r="K3666" s="1"/>
      <c r="L3666" s="1"/>
      <c r="M3666" s="1"/>
      <c r="N3666" s="1"/>
      <c r="O3666" s="1"/>
      <c r="P3666" s="1"/>
      <c r="Q3666" s="1"/>
      <c r="R3666" s="1"/>
      <c r="S3666" s="1"/>
      <c r="T3666" s="1"/>
      <c r="U3666" s="1"/>
      <c r="V3666" s="1"/>
      <c r="W3666" s="1"/>
      <c r="X3666" s="1"/>
    </row>
    <row r="3667">
      <c r="A3667" s="1"/>
      <c r="B3667" s="1"/>
      <c r="E3667" s="1"/>
      <c r="F3667" s="1"/>
      <c r="G3667" s="1"/>
      <c r="H3667" s="1"/>
      <c r="I3667" s="1"/>
      <c r="J3667" s="1"/>
      <c r="K3667" s="1"/>
      <c r="L3667" s="1"/>
      <c r="M3667" s="1"/>
      <c r="N3667" s="1"/>
      <c r="O3667" s="1"/>
      <c r="P3667" s="1"/>
      <c r="Q3667" s="1"/>
      <c r="R3667" s="1"/>
      <c r="S3667" s="1"/>
      <c r="T3667" s="1"/>
      <c r="U3667" s="1"/>
      <c r="V3667" s="1"/>
      <c r="W3667" s="1"/>
      <c r="X3667" s="1"/>
    </row>
    <row r="3668">
      <c r="A3668" s="1"/>
      <c r="B3668" s="1"/>
      <c r="E3668" s="1"/>
      <c r="F3668" s="1"/>
      <c r="G3668" s="1"/>
      <c r="H3668" s="1"/>
      <c r="I3668" s="1"/>
      <c r="J3668" s="1"/>
      <c r="K3668" s="1"/>
      <c r="L3668" s="1"/>
      <c r="M3668" s="1"/>
      <c r="N3668" s="1"/>
      <c r="O3668" s="1"/>
      <c r="P3668" s="1"/>
      <c r="Q3668" s="1"/>
      <c r="R3668" s="1"/>
      <c r="S3668" s="1"/>
      <c r="T3668" s="1"/>
      <c r="U3668" s="1"/>
      <c r="V3668" s="1"/>
      <c r="W3668" s="1"/>
      <c r="X3668" s="1"/>
    </row>
    <row r="3669">
      <c r="A3669" s="1"/>
      <c r="B3669" s="1"/>
      <c r="E3669" s="1"/>
      <c r="F3669" s="1"/>
      <c r="G3669" s="1"/>
      <c r="H3669" s="1"/>
      <c r="I3669" s="1"/>
      <c r="J3669" s="1"/>
      <c r="K3669" s="1"/>
      <c r="L3669" s="1"/>
      <c r="M3669" s="1"/>
      <c r="N3669" s="1"/>
      <c r="O3669" s="1"/>
      <c r="P3669" s="1"/>
      <c r="Q3669" s="1"/>
      <c r="R3669" s="1"/>
      <c r="S3669" s="1"/>
      <c r="T3669" s="1"/>
      <c r="U3669" s="1"/>
      <c r="V3669" s="1"/>
      <c r="W3669" s="1"/>
      <c r="X3669" s="1"/>
    </row>
    <row r="3670">
      <c r="A3670" s="1"/>
      <c r="B3670" s="1"/>
      <c r="E3670" s="1"/>
      <c r="F3670" s="1"/>
      <c r="G3670" s="1"/>
      <c r="H3670" s="1"/>
      <c r="I3670" s="1"/>
      <c r="J3670" s="1"/>
      <c r="K3670" s="1"/>
      <c r="L3670" s="1"/>
      <c r="M3670" s="1"/>
      <c r="N3670" s="1"/>
      <c r="O3670" s="1"/>
      <c r="P3670" s="1"/>
      <c r="Q3670" s="1"/>
      <c r="R3670" s="1"/>
      <c r="S3670" s="1"/>
      <c r="T3670" s="1"/>
      <c r="U3670" s="1"/>
      <c r="V3670" s="1"/>
      <c r="W3670" s="1"/>
      <c r="X3670" s="1"/>
    </row>
    <row r="3671">
      <c r="A3671" s="1"/>
      <c r="B3671" s="1"/>
      <c r="E3671" s="1"/>
      <c r="F3671" s="1"/>
      <c r="G3671" s="1"/>
      <c r="H3671" s="1"/>
      <c r="I3671" s="1"/>
      <c r="J3671" s="1"/>
      <c r="K3671" s="1"/>
      <c r="L3671" s="1"/>
      <c r="M3671" s="1"/>
      <c r="N3671" s="1"/>
      <c r="O3671" s="1"/>
      <c r="P3671" s="1"/>
      <c r="Q3671" s="1"/>
      <c r="R3671" s="1"/>
      <c r="S3671" s="1"/>
      <c r="T3671" s="1"/>
      <c r="U3671" s="1"/>
      <c r="V3671" s="1"/>
      <c r="W3671" s="1"/>
      <c r="X3671" s="1"/>
    </row>
    <row r="3672">
      <c r="A3672" s="1"/>
      <c r="B3672" s="1"/>
      <c r="E3672" s="1"/>
      <c r="F3672" s="1"/>
      <c r="G3672" s="1"/>
      <c r="H3672" s="1"/>
      <c r="I3672" s="1"/>
      <c r="J3672" s="1"/>
      <c r="K3672" s="1"/>
      <c r="L3672" s="1"/>
      <c r="M3672" s="1"/>
      <c r="N3672" s="1"/>
      <c r="O3672" s="1"/>
      <c r="P3672" s="1"/>
      <c r="Q3672" s="1"/>
      <c r="R3672" s="1"/>
      <c r="S3672" s="1"/>
      <c r="T3672" s="1"/>
      <c r="U3672" s="1"/>
      <c r="V3672" s="1"/>
      <c r="W3672" s="1"/>
      <c r="X3672" s="1"/>
    </row>
    <row r="3673">
      <c r="A3673" s="1"/>
      <c r="B3673" s="1"/>
      <c r="E3673" s="1"/>
      <c r="F3673" s="1"/>
      <c r="G3673" s="1"/>
      <c r="H3673" s="1"/>
      <c r="I3673" s="1"/>
      <c r="J3673" s="1"/>
      <c r="K3673" s="1"/>
      <c r="L3673" s="1"/>
      <c r="M3673" s="1"/>
      <c r="N3673" s="1"/>
      <c r="O3673" s="1"/>
      <c r="P3673" s="1"/>
      <c r="Q3673" s="1"/>
      <c r="R3673" s="1"/>
      <c r="S3673" s="1"/>
      <c r="T3673" s="1"/>
      <c r="U3673" s="1"/>
      <c r="V3673" s="1"/>
      <c r="W3673" s="1"/>
      <c r="X3673" s="1"/>
    </row>
    <row r="3674">
      <c r="A3674" s="1"/>
      <c r="B3674" s="1"/>
      <c r="E3674" s="1"/>
      <c r="F3674" s="1"/>
      <c r="G3674" s="1"/>
      <c r="H3674" s="1"/>
      <c r="I3674" s="1"/>
      <c r="J3674" s="1"/>
      <c r="K3674" s="1"/>
      <c r="L3674" s="1"/>
      <c r="M3674" s="1"/>
      <c r="N3674" s="1"/>
      <c r="O3674" s="1"/>
      <c r="P3674" s="1"/>
      <c r="Q3674" s="1"/>
      <c r="R3674" s="1"/>
      <c r="S3674" s="1"/>
      <c r="T3674" s="1"/>
      <c r="U3674" s="1"/>
      <c r="V3674" s="1"/>
      <c r="W3674" s="1"/>
      <c r="X3674" s="1"/>
    </row>
    <row r="3675">
      <c r="A3675" s="1"/>
      <c r="B3675" s="1"/>
      <c r="E3675" s="1"/>
      <c r="F3675" s="1"/>
      <c r="G3675" s="1"/>
      <c r="H3675" s="1"/>
      <c r="I3675" s="1"/>
      <c r="J3675" s="1"/>
      <c r="K3675" s="1"/>
      <c r="L3675" s="1"/>
      <c r="M3675" s="1"/>
      <c r="N3675" s="1"/>
      <c r="O3675" s="1"/>
      <c r="P3675" s="1"/>
      <c r="Q3675" s="1"/>
      <c r="R3675" s="1"/>
      <c r="S3675" s="1"/>
      <c r="T3675" s="1"/>
      <c r="U3675" s="1"/>
      <c r="V3675" s="1"/>
      <c r="W3675" s="1"/>
      <c r="X3675" s="1"/>
    </row>
    <row r="3676">
      <c r="A3676" s="1"/>
      <c r="B3676" s="1"/>
      <c r="E3676" s="1"/>
      <c r="F3676" s="1"/>
      <c r="G3676" s="1"/>
      <c r="H3676" s="1"/>
      <c r="I3676" s="1"/>
      <c r="J3676" s="1"/>
      <c r="K3676" s="1"/>
      <c r="L3676" s="1"/>
      <c r="M3676" s="1"/>
      <c r="N3676" s="1"/>
      <c r="O3676" s="1"/>
      <c r="P3676" s="1"/>
      <c r="Q3676" s="1"/>
      <c r="R3676" s="1"/>
      <c r="S3676" s="1"/>
      <c r="T3676" s="1"/>
      <c r="U3676" s="1"/>
      <c r="V3676" s="1"/>
      <c r="W3676" s="1"/>
      <c r="X3676" s="1"/>
    </row>
    <row r="3677">
      <c r="A3677" s="1"/>
      <c r="B3677" s="1"/>
      <c r="E3677" s="1"/>
      <c r="F3677" s="1"/>
      <c r="G3677" s="1"/>
      <c r="H3677" s="1"/>
      <c r="I3677" s="1"/>
      <c r="J3677" s="1"/>
      <c r="K3677" s="1"/>
      <c r="L3677" s="1"/>
      <c r="M3677" s="1"/>
      <c r="N3677" s="1"/>
      <c r="O3677" s="1"/>
      <c r="P3677" s="1"/>
      <c r="Q3677" s="1"/>
      <c r="R3677" s="1"/>
      <c r="S3677" s="1"/>
      <c r="T3677" s="1"/>
      <c r="U3677" s="1"/>
      <c r="V3677" s="1"/>
      <c r="W3677" s="1"/>
      <c r="X3677" s="1"/>
    </row>
    <row r="3678">
      <c r="A3678" s="1"/>
      <c r="B3678" s="1"/>
      <c r="E3678" s="1"/>
      <c r="F3678" s="1"/>
      <c r="G3678" s="1"/>
      <c r="H3678" s="1"/>
      <c r="I3678" s="1"/>
      <c r="J3678" s="1"/>
      <c r="K3678" s="1"/>
      <c r="L3678" s="1"/>
      <c r="M3678" s="1"/>
      <c r="N3678" s="1"/>
      <c r="O3678" s="1"/>
      <c r="P3678" s="1"/>
      <c r="Q3678" s="1"/>
      <c r="R3678" s="1"/>
      <c r="S3678" s="1"/>
      <c r="T3678" s="1"/>
      <c r="U3678" s="1"/>
      <c r="V3678" s="1"/>
      <c r="W3678" s="1"/>
      <c r="X3678" s="1"/>
    </row>
    <row r="3679">
      <c r="A3679" s="1"/>
      <c r="B3679" s="1"/>
      <c r="E3679" s="1"/>
      <c r="F3679" s="1"/>
      <c r="G3679" s="1"/>
      <c r="H3679" s="1"/>
      <c r="I3679" s="1"/>
      <c r="J3679" s="1"/>
      <c r="K3679" s="1"/>
      <c r="L3679" s="1"/>
      <c r="M3679" s="1"/>
      <c r="N3679" s="1"/>
      <c r="O3679" s="1"/>
      <c r="P3679" s="1"/>
      <c r="Q3679" s="1"/>
      <c r="R3679" s="1"/>
      <c r="S3679" s="1"/>
      <c r="T3679" s="1"/>
      <c r="U3679" s="1"/>
      <c r="V3679" s="1"/>
      <c r="W3679" s="1"/>
      <c r="X3679" s="1"/>
    </row>
    <row r="3680">
      <c r="A3680" s="1"/>
      <c r="B3680" s="1"/>
      <c r="E3680" s="1"/>
      <c r="F3680" s="1"/>
      <c r="G3680" s="1"/>
      <c r="H3680" s="1"/>
      <c r="I3680" s="1"/>
      <c r="J3680" s="1"/>
      <c r="K3680" s="1"/>
      <c r="L3680" s="1"/>
      <c r="M3680" s="1"/>
      <c r="N3680" s="1"/>
      <c r="O3680" s="1"/>
      <c r="P3680" s="1"/>
      <c r="Q3680" s="1"/>
      <c r="R3680" s="1"/>
      <c r="S3680" s="1"/>
      <c r="T3680" s="1"/>
      <c r="U3680" s="1"/>
      <c r="V3680" s="1"/>
      <c r="W3680" s="1"/>
      <c r="X3680" s="1"/>
    </row>
    <row r="3681">
      <c r="A3681" s="1"/>
      <c r="B3681" s="1"/>
      <c r="E3681" s="1"/>
      <c r="F3681" s="1"/>
      <c r="G3681" s="1"/>
      <c r="H3681" s="1"/>
      <c r="I3681" s="1"/>
      <c r="J3681" s="1"/>
      <c r="K3681" s="1"/>
      <c r="L3681" s="1"/>
      <c r="M3681" s="1"/>
      <c r="N3681" s="1"/>
      <c r="O3681" s="1"/>
      <c r="P3681" s="1"/>
      <c r="Q3681" s="1"/>
      <c r="R3681" s="1"/>
      <c r="S3681" s="1"/>
      <c r="T3681" s="1"/>
      <c r="U3681" s="1"/>
      <c r="V3681" s="1"/>
      <c r="W3681" s="1"/>
      <c r="X3681" s="1"/>
    </row>
    <row r="3682">
      <c r="A3682" s="1"/>
      <c r="B3682" s="1"/>
      <c r="E3682" s="1"/>
      <c r="F3682" s="1"/>
      <c r="G3682" s="1"/>
      <c r="H3682" s="1"/>
      <c r="I3682" s="1"/>
      <c r="J3682" s="1"/>
      <c r="K3682" s="1"/>
      <c r="L3682" s="1"/>
      <c r="M3682" s="1"/>
      <c r="N3682" s="1"/>
      <c r="O3682" s="1"/>
      <c r="P3682" s="1"/>
      <c r="Q3682" s="1"/>
      <c r="R3682" s="1"/>
      <c r="S3682" s="1"/>
      <c r="T3682" s="1"/>
      <c r="U3682" s="1"/>
      <c r="V3682" s="1"/>
      <c r="W3682" s="1"/>
      <c r="X3682" s="1"/>
    </row>
    <row r="3683">
      <c r="A3683" s="1"/>
      <c r="B3683" s="1"/>
      <c r="E3683" s="1"/>
      <c r="F3683" s="1"/>
      <c r="G3683" s="1"/>
      <c r="H3683" s="1"/>
      <c r="I3683" s="1"/>
      <c r="J3683" s="1"/>
      <c r="K3683" s="1"/>
      <c r="L3683" s="1"/>
      <c r="M3683" s="1"/>
      <c r="N3683" s="1"/>
      <c r="O3683" s="1"/>
      <c r="P3683" s="1"/>
      <c r="Q3683" s="1"/>
      <c r="R3683" s="1"/>
      <c r="S3683" s="1"/>
      <c r="T3683" s="1"/>
      <c r="U3683" s="1"/>
      <c r="V3683" s="1"/>
      <c r="W3683" s="1"/>
      <c r="X3683" s="1"/>
    </row>
    <row r="3684">
      <c r="A3684" s="1"/>
      <c r="B3684" s="1"/>
      <c r="E3684" s="1"/>
      <c r="F3684" s="1"/>
      <c r="G3684" s="1"/>
      <c r="H3684" s="1"/>
      <c r="I3684" s="1"/>
      <c r="J3684" s="1"/>
      <c r="K3684" s="1"/>
      <c r="L3684" s="1"/>
      <c r="M3684" s="1"/>
      <c r="N3684" s="1"/>
      <c r="O3684" s="1"/>
      <c r="P3684" s="1"/>
      <c r="Q3684" s="1"/>
      <c r="R3684" s="1"/>
      <c r="S3684" s="1"/>
      <c r="T3684" s="1"/>
      <c r="U3684" s="1"/>
      <c r="V3684" s="1"/>
      <c r="W3684" s="1"/>
      <c r="X3684" s="1"/>
    </row>
    <row r="3685">
      <c r="A3685" s="1"/>
      <c r="B3685" s="1"/>
      <c r="E3685" s="1"/>
      <c r="F3685" s="1"/>
      <c r="G3685" s="1"/>
      <c r="H3685" s="1"/>
      <c r="I3685" s="1"/>
      <c r="J3685" s="1"/>
      <c r="K3685" s="1"/>
      <c r="L3685" s="1"/>
      <c r="M3685" s="1"/>
      <c r="N3685" s="1"/>
      <c r="O3685" s="1"/>
      <c r="P3685" s="1"/>
      <c r="Q3685" s="1"/>
      <c r="R3685" s="1"/>
      <c r="S3685" s="1"/>
      <c r="T3685" s="1"/>
      <c r="U3685" s="1"/>
      <c r="V3685" s="1"/>
      <c r="W3685" s="1"/>
      <c r="X3685" s="1"/>
    </row>
    <row r="3686">
      <c r="A3686" s="1"/>
      <c r="B3686" s="1"/>
      <c r="E3686" s="1"/>
      <c r="F3686" s="1"/>
      <c r="G3686" s="1"/>
      <c r="H3686" s="1"/>
      <c r="I3686" s="1"/>
      <c r="J3686" s="1"/>
      <c r="K3686" s="1"/>
      <c r="L3686" s="1"/>
      <c r="M3686" s="1"/>
      <c r="N3686" s="1"/>
      <c r="O3686" s="1"/>
      <c r="P3686" s="1"/>
      <c r="Q3686" s="1"/>
      <c r="R3686" s="1"/>
      <c r="S3686" s="1"/>
      <c r="T3686" s="1"/>
      <c r="U3686" s="1"/>
      <c r="V3686" s="1"/>
      <c r="W3686" s="1"/>
      <c r="X3686" s="1"/>
    </row>
    <row r="3687">
      <c r="A3687" s="1"/>
      <c r="B3687" s="1"/>
      <c r="E3687" s="1"/>
      <c r="F3687" s="1"/>
      <c r="G3687" s="1"/>
      <c r="H3687" s="1"/>
      <c r="I3687" s="1"/>
      <c r="J3687" s="1"/>
      <c r="K3687" s="1"/>
      <c r="L3687" s="1"/>
      <c r="M3687" s="1"/>
      <c r="N3687" s="1"/>
      <c r="O3687" s="1"/>
      <c r="P3687" s="1"/>
      <c r="Q3687" s="1"/>
      <c r="R3687" s="1"/>
      <c r="S3687" s="1"/>
      <c r="T3687" s="1"/>
      <c r="U3687" s="1"/>
      <c r="V3687" s="1"/>
      <c r="W3687" s="1"/>
      <c r="X3687" s="1"/>
    </row>
    <row r="3688">
      <c r="A3688" s="1"/>
      <c r="B3688" s="1"/>
      <c r="E3688" s="1"/>
      <c r="F3688" s="1"/>
      <c r="G3688" s="1"/>
      <c r="H3688" s="1"/>
      <c r="I3688" s="1"/>
      <c r="J3688" s="1"/>
      <c r="K3688" s="1"/>
      <c r="L3688" s="1"/>
      <c r="M3688" s="1"/>
      <c r="N3688" s="1"/>
      <c r="O3688" s="1"/>
      <c r="P3688" s="1"/>
      <c r="Q3688" s="1"/>
      <c r="R3688" s="1"/>
      <c r="S3688" s="1"/>
      <c r="T3688" s="1"/>
      <c r="U3688" s="1"/>
      <c r="V3688" s="1"/>
      <c r="W3688" s="1"/>
      <c r="X3688" s="1"/>
    </row>
    <row r="3689">
      <c r="A3689" s="1"/>
      <c r="B3689" s="1"/>
      <c r="E3689" s="1"/>
      <c r="F3689" s="1"/>
      <c r="G3689" s="1"/>
      <c r="H3689" s="1"/>
      <c r="I3689" s="1"/>
      <c r="J3689" s="1"/>
      <c r="K3689" s="1"/>
      <c r="L3689" s="1"/>
      <c r="M3689" s="1"/>
      <c r="N3689" s="1"/>
      <c r="O3689" s="1"/>
      <c r="P3689" s="1"/>
      <c r="Q3689" s="1"/>
      <c r="R3689" s="1"/>
      <c r="S3689" s="1"/>
      <c r="T3689" s="1"/>
      <c r="U3689" s="1"/>
      <c r="V3689" s="1"/>
      <c r="W3689" s="1"/>
      <c r="X3689" s="1"/>
    </row>
    <row r="3690">
      <c r="A3690" s="1"/>
      <c r="B3690" s="1"/>
      <c r="E3690" s="1"/>
      <c r="F3690" s="1"/>
      <c r="G3690" s="1"/>
      <c r="H3690" s="1"/>
      <c r="I3690" s="1"/>
      <c r="J3690" s="1"/>
      <c r="K3690" s="1"/>
      <c r="L3690" s="1"/>
      <c r="M3690" s="1"/>
      <c r="N3690" s="1"/>
      <c r="O3690" s="1"/>
      <c r="P3690" s="1"/>
      <c r="Q3690" s="1"/>
      <c r="R3690" s="1"/>
      <c r="S3690" s="1"/>
      <c r="T3690" s="1"/>
      <c r="U3690" s="1"/>
      <c r="V3690" s="1"/>
      <c r="W3690" s="1"/>
      <c r="X3690" s="1"/>
    </row>
    <row r="3691">
      <c r="A3691" s="1"/>
      <c r="B3691" s="1"/>
      <c r="E3691" s="1"/>
      <c r="F3691" s="1"/>
      <c r="G3691" s="1"/>
      <c r="H3691" s="1"/>
      <c r="I3691" s="1"/>
      <c r="J3691" s="1"/>
      <c r="K3691" s="1"/>
      <c r="L3691" s="1"/>
      <c r="M3691" s="1"/>
      <c r="N3691" s="1"/>
      <c r="O3691" s="1"/>
      <c r="P3691" s="1"/>
      <c r="Q3691" s="1"/>
      <c r="R3691" s="1"/>
      <c r="S3691" s="1"/>
      <c r="T3691" s="1"/>
      <c r="U3691" s="1"/>
      <c r="V3691" s="1"/>
      <c r="W3691" s="1"/>
      <c r="X3691" s="1"/>
    </row>
    <row r="3692">
      <c r="A3692" s="1"/>
      <c r="B3692" s="1"/>
      <c r="E3692" s="1"/>
      <c r="F3692" s="1"/>
      <c r="G3692" s="1"/>
      <c r="H3692" s="1"/>
      <c r="I3692" s="1"/>
      <c r="J3692" s="1"/>
      <c r="K3692" s="1"/>
      <c r="L3692" s="1"/>
      <c r="M3692" s="1"/>
      <c r="N3692" s="1"/>
      <c r="O3692" s="1"/>
      <c r="P3692" s="1"/>
      <c r="Q3692" s="1"/>
      <c r="R3692" s="1"/>
      <c r="S3692" s="1"/>
      <c r="T3692" s="1"/>
      <c r="U3692" s="1"/>
      <c r="V3692" s="1"/>
      <c r="W3692" s="1"/>
      <c r="X3692" s="1"/>
    </row>
    <row r="3693">
      <c r="A3693" s="1"/>
      <c r="B3693" s="1"/>
      <c r="E3693" s="1"/>
      <c r="F3693" s="1"/>
      <c r="G3693" s="1"/>
      <c r="H3693" s="1"/>
      <c r="I3693" s="1"/>
      <c r="J3693" s="1"/>
      <c r="K3693" s="1"/>
      <c r="L3693" s="1"/>
      <c r="M3693" s="1"/>
      <c r="N3693" s="1"/>
      <c r="O3693" s="1"/>
      <c r="P3693" s="1"/>
      <c r="Q3693" s="1"/>
      <c r="R3693" s="1"/>
      <c r="S3693" s="1"/>
      <c r="T3693" s="1"/>
      <c r="U3693" s="1"/>
      <c r="V3693" s="1"/>
      <c r="W3693" s="1"/>
      <c r="X3693" s="1"/>
    </row>
    <row r="3694">
      <c r="A3694" s="1"/>
      <c r="B3694" s="1"/>
      <c r="E3694" s="1"/>
      <c r="F3694" s="1"/>
      <c r="G3694" s="1"/>
      <c r="H3694" s="1"/>
      <c r="I3694" s="1"/>
      <c r="J3694" s="1"/>
      <c r="K3694" s="1"/>
      <c r="L3694" s="1"/>
      <c r="M3694" s="1"/>
      <c r="N3694" s="1"/>
      <c r="O3694" s="1"/>
      <c r="P3694" s="1"/>
      <c r="Q3694" s="1"/>
      <c r="R3694" s="1"/>
      <c r="S3694" s="1"/>
      <c r="T3694" s="1"/>
      <c r="U3694" s="1"/>
      <c r="V3694" s="1"/>
      <c r="W3694" s="1"/>
      <c r="X3694" s="1"/>
    </row>
    <row r="3695">
      <c r="A3695" s="1"/>
      <c r="B3695" s="1"/>
      <c r="E3695" s="1"/>
      <c r="F3695" s="1"/>
      <c r="G3695" s="1"/>
      <c r="H3695" s="1"/>
      <c r="I3695" s="1"/>
      <c r="J3695" s="1"/>
      <c r="K3695" s="1"/>
      <c r="L3695" s="1"/>
      <c r="M3695" s="1"/>
      <c r="N3695" s="1"/>
      <c r="O3695" s="1"/>
      <c r="P3695" s="1"/>
      <c r="Q3695" s="1"/>
      <c r="R3695" s="1"/>
      <c r="S3695" s="1"/>
      <c r="T3695" s="1"/>
      <c r="U3695" s="1"/>
      <c r="V3695" s="1"/>
      <c r="W3695" s="1"/>
      <c r="X3695" s="1"/>
    </row>
    <row r="3696">
      <c r="A3696" s="1"/>
      <c r="B3696" s="1"/>
      <c r="E3696" s="1"/>
      <c r="F3696" s="1"/>
      <c r="G3696" s="1"/>
      <c r="H3696" s="1"/>
      <c r="I3696" s="1"/>
      <c r="J3696" s="1"/>
      <c r="K3696" s="1"/>
      <c r="L3696" s="1"/>
      <c r="M3696" s="1"/>
      <c r="N3696" s="1"/>
      <c r="O3696" s="1"/>
      <c r="P3696" s="1"/>
      <c r="Q3696" s="1"/>
      <c r="R3696" s="1"/>
      <c r="S3696" s="1"/>
      <c r="T3696" s="1"/>
      <c r="U3696" s="1"/>
      <c r="V3696" s="1"/>
      <c r="W3696" s="1"/>
      <c r="X3696" s="1"/>
    </row>
    <row r="3697">
      <c r="A3697" s="1"/>
      <c r="B3697" s="1"/>
      <c r="E3697" s="1"/>
      <c r="F3697" s="1"/>
      <c r="G3697" s="1"/>
      <c r="H3697" s="1"/>
      <c r="I3697" s="1"/>
      <c r="J3697" s="1"/>
      <c r="K3697" s="1"/>
      <c r="L3697" s="1"/>
      <c r="M3697" s="1"/>
      <c r="N3697" s="1"/>
      <c r="O3697" s="1"/>
      <c r="P3697" s="1"/>
      <c r="Q3697" s="1"/>
      <c r="R3697" s="1"/>
      <c r="S3697" s="1"/>
      <c r="T3697" s="1"/>
      <c r="U3697" s="1"/>
      <c r="V3697" s="1"/>
      <c r="W3697" s="1"/>
      <c r="X3697" s="1"/>
    </row>
    <row r="3698">
      <c r="A3698" s="1"/>
      <c r="B3698" s="1"/>
      <c r="E3698" s="1"/>
      <c r="F3698" s="1"/>
      <c r="G3698" s="1"/>
      <c r="H3698" s="1"/>
      <c r="I3698" s="1"/>
      <c r="J3698" s="1"/>
      <c r="K3698" s="1"/>
      <c r="L3698" s="1"/>
      <c r="M3698" s="1"/>
      <c r="N3698" s="1"/>
      <c r="O3698" s="1"/>
      <c r="P3698" s="1"/>
      <c r="Q3698" s="1"/>
      <c r="R3698" s="1"/>
      <c r="S3698" s="1"/>
      <c r="T3698" s="1"/>
      <c r="U3698" s="1"/>
      <c r="V3698" s="1"/>
      <c r="W3698" s="1"/>
      <c r="X3698" s="1"/>
    </row>
    <row r="3699">
      <c r="A3699" s="1"/>
      <c r="B3699" s="1"/>
      <c r="E3699" s="1"/>
      <c r="F3699" s="1"/>
      <c r="G3699" s="1"/>
      <c r="H3699" s="1"/>
      <c r="I3699" s="1"/>
      <c r="J3699" s="1"/>
      <c r="K3699" s="1"/>
      <c r="L3699" s="1"/>
      <c r="M3699" s="1"/>
      <c r="N3699" s="1"/>
      <c r="O3699" s="1"/>
      <c r="P3699" s="1"/>
      <c r="Q3699" s="1"/>
      <c r="R3699" s="1"/>
      <c r="S3699" s="1"/>
      <c r="T3699" s="1"/>
      <c r="U3699" s="1"/>
      <c r="V3699" s="1"/>
      <c r="W3699" s="1"/>
      <c r="X3699" s="1"/>
    </row>
    <row r="3700">
      <c r="A3700" s="1"/>
      <c r="B3700" s="1"/>
      <c r="E3700" s="1"/>
      <c r="F3700" s="1"/>
      <c r="G3700" s="1"/>
      <c r="H3700" s="1"/>
      <c r="I3700" s="1"/>
      <c r="J3700" s="1"/>
      <c r="K3700" s="1"/>
      <c r="L3700" s="1"/>
      <c r="M3700" s="1"/>
      <c r="N3700" s="1"/>
      <c r="O3700" s="1"/>
      <c r="P3700" s="1"/>
      <c r="Q3700" s="1"/>
      <c r="R3700" s="1"/>
      <c r="S3700" s="1"/>
      <c r="T3700" s="1"/>
      <c r="U3700" s="1"/>
      <c r="V3700" s="1"/>
      <c r="W3700" s="1"/>
      <c r="X3700" s="1"/>
    </row>
    <row r="3701">
      <c r="A3701" s="1"/>
      <c r="B3701" s="1"/>
      <c r="E3701" s="1"/>
      <c r="F3701" s="1"/>
      <c r="G3701" s="1"/>
      <c r="H3701" s="1"/>
      <c r="I3701" s="1"/>
      <c r="J3701" s="1"/>
      <c r="K3701" s="1"/>
      <c r="L3701" s="1"/>
      <c r="M3701" s="1"/>
      <c r="N3701" s="1"/>
      <c r="O3701" s="1"/>
      <c r="P3701" s="1"/>
      <c r="Q3701" s="1"/>
      <c r="R3701" s="1"/>
      <c r="S3701" s="1"/>
      <c r="T3701" s="1"/>
      <c r="U3701" s="1"/>
      <c r="V3701" s="1"/>
      <c r="W3701" s="1"/>
      <c r="X3701" s="1"/>
    </row>
    <row r="3702">
      <c r="A3702" s="1"/>
      <c r="B3702" s="1"/>
      <c r="E3702" s="1"/>
      <c r="F3702" s="1"/>
      <c r="G3702" s="1"/>
      <c r="H3702" s="1"/>
      <c r="I3702" s="1"/>
      <c r="J3702" s="1"/>
      <c r="K3702" s="1"/>
      <c r="L3702" s="1"/>
      <c r="M3702" s="1"/>
      <c r="N3702" s="1"/>
      <c r="O3702" s="1"/>
      <c r="P3702" s="1"/>
      <c r="Q3702" s="1"/>
      <c r="R3702" s="1"/>
      <c r="S3702" s="1"/>
      <c r="T3702" s="1"/>
      <c r="U3702" s="1"/>
      <c r="V3702" s="1"/>
      <c r="W3702" s="1"/>
      <c r="X3702" s="1"/>
    </row>
    <row r="3703">
      <c r="A3703" s="1"/>
      <c r="B3703" s="1"/>
      <c r="E3703" s="1"/>
      <c r="F3703" s="1"/>
      <c r="G3703" s="1"/>
      <c r="H3703" s="1"/>
      <c r="I3703" s="1"/>
      <c r="J3703" s="1"/>
      <c r="K3703" s="1"/>
      <c r="L3703" s="1"/>
      <c r="M3703" s="1"/>
      <c r="N3703" s="1"/>
      <c r="O3703" s="1"/>
      <c r="P3703" s="1"/>
      <c r="Q3703" s="1"/>
      <c r="R3703" s="1"/>
      <c r="S3703" s="1"/>
      <c r="T3703" s="1"/>
      <c r="U3703" s="1"/>
      <c r="V3703" s="1"/>
      <c r="W3703" s="1"/>
      <c r="X3703" s="1"/>
    </row>
    <row r="3704">
      <c r="A3704" s="1"/>
      <c r="B3704" s="1"/>
      <c r="E3704" s="1"/>
      <c r="F3704" s="1"/>
      <c r="G3704" s="1"/>
      <c r="H3704" s="1"/>
      <c r="I3704" s="1"/>
      <c r="J3704" s="1"/>
      <c r="K3704" s="1"/>
      <c r="L3704" s="1"/>
      <c r="M3704" s="1"/>
      <c r="N3704" s="1"/>
      <c r="O3704" s="1"/>
      <c r="P3704" s="1"/>
      <c r="Q3704" s="1"/>
      <c r="R3704" s="1"/>
      <c r="S3704" s="1"/>
      <c r="T3704" s="1"/>
      <c r="U3704" s="1"/>
      <c r="V3704" s="1"/>
      <c r="W3704" s="1"/>
      <c r="X3704" s="1"/>
    </row>
    <row r="3705">
      <c r="A3705" s="1"/>
      <c r="B3705" s="1"/>
      <c r="E3705" s="1"/>
      <c r="F3705" s="1"/>
      <c r="G3705" s="1"/>
      <c r="H3705" s="1"/>
      <c r="I3705" s="1"/>
      <c r="J3705" s="1"/>
      <c r="K3705" s="1"/>
      <c r="L3705" s="1"/>
      <c r="M3705" s="1"/>
      <c r="N3705" s="1"/>
      <c r="O3705" s="1"/>
      <c r="P3705" s="1"/>
      <c r="Q3705" s="1"/>
      <c r="R3705" s="1"/>
      <c r="S3705" s="1"/>
      <c r="T3705" s="1"/>
      <c r="U3705" s="1"/>
      <c r="V3705" s="1"/>
      <c r="W3705" s="1"/>
      <c r="X3705" s="1"/>
    </row>
    <row r="3706">
      <c r="A3706" s="1"/>
      <c r="B3706" s="1"/>
      <c r="E3706" s="1"/>
      <c r="F3706" s="1"/>
      <c r="G3706" s="1"/>
      <c r="H3706" s="1"/>
      <c r="I3706" s="1"/>
      <c r="J3706" s="1"/>
      <c r="K3706" s="1"/>
      <c r="L3706" s="1"/>
      <c r="M3706" s="1"/>
      <c r="N3706" s="1"/>
      <c r="O3706" s="1"/>
      <c r="P3706" s="1"/>
      <c r="Q3706" s="1"/>
      <c r="R3706" s="1"/>
      <c r="S3706" s="1"/>
      <c r="T3706" s="1"/>
      <c r="U3706" s="1"/>
      <c r="V3706" s="1"/>
      <c r="W3706" s="1"/>
      <c r="X3706" s="1"/>
    </row>
    <row r="3707">
      <c r="A3707" s="1"/>
      <c r="B3707" s="1"/>
      <c r="E3707" s="1"/>
      <c r="F3707" s="1"/>
      <c r="G3707" s="1"/>
      <c r="H3707" s="1"/>
      <c r="I3707" s="1"/>
      <c r="J3707" s="1"/>
      <c r="K3707" s="1"/>
      <c r="L3707" s="1"/>
      <c r="M3707" s="1"/>
      <c r="N3707" s="1"/>
      <c r="O3707" s="1"/>
      <c r="P3707" s="1"/>
      <c r="Q3707" s="1"/>
      <c r="R3707" s="1"/>
      <c r="S3707" s="1"/>
      <c r="T3707" s="1"/>
      <c r="U3707" s="1"/>
      <c r="V3707" s="1"/>
      <c r="W3707" s="1"/>
      <c r="X3707" s="1"/>
    </row>
    <row r="3708">
      <c r="A3708" s="1"/>
      <c r="B3708" s="1"/>
      <c r="E3708" s="1"/>
      <c r="F3708" s="1"/>
      <c r="G3708" s="1"/>
      <c r="H3708" s="1"/>
      <c r="I3708" s="1"/>
      <c r="J3708" s="1"/>
      <c r="K3708" s="1"/>
      <c r="L3708" s="1"/>
      <c r="M3708" s="1"/>
      <c r="N3708" s="1"/>
      <c r="O3708" s="1"/>
      <c r="P3708" s="1"/>
      <c r="Q3708" s="1"/>
      <c r="R3708" s="1"/>
      <c r="S3708" s="1"/>
      <c r="T3708" s="1"/>
      <c r="U3708" s="1"/>
      <c r="V3708" s="1"/>
      <c r="W3708" s="1"/>
      <c r="X3708" s="1"/>
    </row>
    <row r="3709">
      <c r="A3709" s="1"/>
      <c r="B3709" s="1"/>
      <c r="E3709" s="1"/>
      <c r="F3709" s="1"/>
      <c r="G3709" s="1"/>
      <c r="H3709" s="1"/>
      <c r="I3709" s="1"/>
      <c r="J3709" s="1"/>
      <c r="K3709" s="1"/>
      <c r="L3709" s="1"/>
      <c r="M3709" s="1"/>
      <c r="N3709" s="1"/>
      <c r="O3709" s="1"/>
      <c r="P3709" s="1"/>
      <c r="Q3709" s="1"/>
      <c r="R3709" s="1"/>
      <c r="S3709" s="1"/>
      <c r="T3709" s="1"/>
      <c r="U3709" s="1"/>
      <c r="V3709" s="1"/>
      <c r="W3709" s="1"/>
      <c r="X3709" s="1"/>
    </row>
    <row r="3710">
      <c r="A3710" s="1"/>
      <c r="B3710" s="1"/>
      <c r="E3710" s="1"/>
      <c r="F3710" s="1"/>
      <c r="G3710" s="1"/>
      <c r="H3710" s="1"/>
      <c r="I3710" s="1"/>
      <c r="J3710" s="1"/>
      <c r="K3710" s="1"/>
      <c r="L3710" s="1"/>
      <c r="M3710" s="1"/>
      <c r="N3710" s="1"/>
      <c r="O3710" s="1"/>
      <c r="P3710" s="1"/>
      <c r="Q3710" s="1"/>
      <c r="R3710" s="1"/>
      <c r="S3710" s="1"/>
      <c r="T3710" s="1"/>
      <c r="U3710" s="1"/>
      <c r="V3710" s="1"/>
      <c r="W3710" s="1"/>
      <c r="X3710" s="1"/>
    </row>
    <row r="3711">
      <c r="A3711" s="1"/>
      <c r="B3711" s="1"/>
      <c r="E3711" s="1"/>
      <c r="F3711" s="1"/>
      <c r="G3711" s="1"/>
      <c r="H3711" s="1"/>
      <c r="I3711" s="1"/>
      <c r="J3711" s="1"/>
      <c r="K3711" s="1"/>
      <c r="L3711" s="1"/>
      <c r="M3711" s="1"/>
      <c r="N3711" s="1"/>
      <c r="O3711" s="1"/>
      <c r="P3711" s="1"/>
      <c r="Q3711" s="1"/>
      <c r="R3711" s="1"/>
      <c r="S3711" s="1"/>
      <c r="T3711" s="1"/>
      <c r="U3711" s="1"/>
      <c r="V3711" s="1"/>
      <c r="W3711" s="1"/>
      <c r="X3711" s="1"/>
    </row>
    <row r="3712">
      <c r="A3712" s="1"/>
      <c r="B3712" s="1"/>
      <c r="E3712" s="1"/>
      <c r="F3712" s="1"/>
      <c r="G3712" s="1"/>
      <c r="H3712" s="1"/>
      <c r="I3712" s="1"/>
      <c r="J3712" s="1"/>
      <c r="K3712" s="1"/>
      <c r="L3712" s="1"/>
      <c r="M3712" s="1"/>
      <c r="N3712" s="1"/>
      <c r="O3712" s="1"/>
      <c r="P3712" s="1"/>
      <c r="Q3712" s="1"/>
      <c r="R3712" s="1"/>
      <c r="S3712" s="1"/>
      <c r="T3712" s="1"/>
      <c r="U3712" s="1"/>
      <c r="V3712" s="1"/>
      <c r="W3712" s="1"/>
      <c r="X3712" s="1"/>
    </row>
    <row r="3713">
      <c r="A3713" s="1"/>
      <c r="B3713" s="1"/>
      <c r="E3713" s="1"/>
      <c r="F3713" s="1"/>
      <c r="G3713" s="1"/>
      <c r="H3713" s="1"/>
      <c r="I3713" s="1"/>
      <c r="J3713" s="1"/>
      <c r="K3713" s="1"/>
      <c r="L3713" s="1"/>
      <c r="M3713" s="1"/>
      <c r="N3713" s="1"/>
      <c r="O3713" s="1"/>
      <c r="P3713" s="1"/>
      <c r="Q3713" s="1"/>
      <c r="R3713" s="1"/>
      <c r="S3713" s="1"/>
      <c r="T3713" s="1"/>
      <c r="U3713" s="1"/>
      <c r="V3713" s="1"/>
      <c r="W3713" s="1"/>
      <c r="X3713" s="1"/>
    </row>
    <row r="3714">
      <c r="A3714" s="1"/>
      <c r="B3714" s="1"/>
      <c r="E3714" s="1"/>
      <c r="F3714" s="1"/>
      <c r="G3714" s="1"/>
      <c r="H3714" s="1"/>
      <c r="I3714" s="1"/>
      <c r="J3714" s="1"/>
      <c r="K3714" s="1"/>
      <c r="L3714" s="1"/>
      <c r="M3714" s="1"/>
      <c r="N3714" s="1"/>
      <c r="O3714" s="1"/>
      <c r="P3714" s="1"/>
      <c r="Q3714" s="1"/>
      <c r="R3714" s="1"/>
      <c r="S3714" s="1"/>
      <c r="T3714" s="1"/>
      <c r="U3714" s="1"/>
      <c r="V3714" s="1"/>
      <c r="W3714" s="1"/>
      <c r="X3714" s="1"/>
    </row>
    <row r="3715">
      <c r="A3715" s="1"/>
      <c r="B3715" s="1"/>
      <c r="E3715" s="1"/>
      <c r="F3715" s="1"/>
      <c r="G3715" s="1"/>
      <c r="H3715" s="1"/>
      <c r="I3715" s="1"/>
      <c r="J3715" s="1"/>
      <c r="K3715" s="1"/>
      <c r="L3715" s="1"/>
      <c r="M3715" s="1"/>
      <c r="N3715" s="1"/>
      <c r="O3715" s="1"/>
      <c r="P3715" s="1"/>
      <c r="Q3715" s="1"/>
      <c r="R3715" s="1"/>
      <c r="S3715" s="1"/>
      <c r="T3715" s="1"/>
      <c r="U3715" s="1"/>
      <c r="V3715" s="1"/>
      <c r="W3715" s="1"/>
      <c r="X3715" s="1"/>
    </row>
    <row r="3716">
      <c r="A3716" s="1"/>
      <c r="B3716" s="1"/>
      <c r="E3716" s="1"/>
      <c r="F3716" s="1"/>
      <c r="G3716" s="1"/>
      <c r="H3716" s="1"/>
      <c r="I3716" s="1"/>
      <c r="J3716" s="1"/>
      <c r="K3716" s="1"/>
      <c r="L3716" s="1"/>
      <c r="M3716" s="1"/>
      <c r="N3716" s="1"/>
      <c r="O3716" s="1"/>
      <c r="P3716" s="1"/>
      <c r="Q3716" s="1"/>
      <c r="R3716" s="1"/>
      <c r="S3716" s="1"/>
      <c r="T3716" s="1"/>
      <c r="U3716" s="1"/>
      <c r="V3716" s="1"/>
      <c r="W3716" s="1"/>
      <c r="X3716" s="1"/>
    </row>
    <row r="3717">
      <c r="A3717" s="1"/>
      <c r="B3717" s="1"/>
      <c r="E3717" s="1"/>
      <c r="F3717" s="1"/>
      <c r="G3717" s="1"/>
      <c r="H3717" s="1"/>
      <c r="I3717" s="1"/>
      <c r="J3717" s="1"/>
      <c r="K3717" s="1"/>
      <c r="L3717" s="1"/>
      <c r="M3717" s="1"/>
      <c r="N3717" s="1"/>
      <c r="O3717" s="1"/>
      <c r="P3717" s="1"/>
      <c r="Q3717" s="1"/>
      <c r="R3717" s="1"/>
      <c r="S3717" s="1"/>
      <c r="T3717" s="1"/>
      <c r="U3717" s="1"/>
      <c r="V3717" s="1"/>
      <c r="W3717" s="1"/>
      <c r="X3717" s="1"/>
    </row>
    <row r="3718">
      <c r="A3718" s="1"/>
      <c r="B3718" s="1"/>
      <c r="E3718" s="1"/>
      <c r="F3718" s="1"/>
      <c r="G3718" s="1"/>
      <c r="H3718" s="1"/>
      <c r="I3718" s="1"/>
      <c r="J3718" s="1"/>
      <c r="K3718" s="1"/>
      <c r="L3718" s="1"/>
      <c r="M3718" s="1"/>
      <c r="N3718" s="1"/>
      <c r="O3718" s="1"/>
      <c r="P3718" s="1"/>
      <c r="Q3718" s="1"/>
      <c r="R3718" s="1"/>
      <c r="S3718" s="1"/>
      <c r="T3718" s="1"/>
      <c r="U3718" s="1"/>
      <c r="V3718" s="1"/>
      <c r="W3718" s="1"/>
      <c r="X3718" s="1"/>
    </row>
    <row r="3719">
      <c r="A3719" s="1"/>
      <c r="B3719" s="1"/>
      <c r="E3719" s="1"/>
      <c r="F3719" s="1"/>
      <c r="G3719" s="1"/>
      <c r="H3719" s="1"/>
      <c r="I3719" s="1"/>
      <c r="J3719" s="1"/>
      <c r="K3719" s="1"/>
      <c r="L3719" s="1"/>
      <c r="M3719" s="1"/>
      <c r="N3719" s="1"/>
      <c r="O3719" s="1"/>
      <c r="P3719" s="1"/>
      <c r="Q3719" s="1"/>
      <c r="R3719" s="1"/>
      <c r="S3719" s="1"/>
      <c r="T3719" s="1"/>
      <c r="U3719" s="1"/>
      <c r="V3719" s="1"/>
      <c r="W3719" s="1"/>
      <c r="X3719" s="1"/>
    </row>
    <row r="3720">
      <c r="A3720" s="1"/>
      <c r="B3720" s="1"/>
      <c r="E3720" s="1"/>
      <c r="F3720" s="1"/>
      <c r="G3720" s="1"/>
      <c r="H3720" s="1"/>
      <c r="I3720" s="1"/>
      <c r="J3720" s="1"/>
      <c r="K3720" s="1"/>
      <c r="L3720" s="1"/>
      <c r="M3720" s="1"/>
      <c r="N3720" s="1"/>
      <c r="O3720" s="1"/>
      <c r="P3720" s="1"/>
      <c r="Q3720" s="1"/>
      <c r="R3720" s="1"/>
      <c r="S3720" s="1"/>
      <c r="T3720" s="1"/>
      <c r="U3720" s="1"/>
      <c r="V3720" s="1"/>
      <c r="W3720" s="1"/>
      <c r="X3720" s="1"/>
    </row>
    <row r="3721">
      <c r="A3721" s="1"/>
      <c r="B3721" s="1"/>
      <c r="E3721" s="1"/>
      <c r="F3721" s="1"/>
      <c r="G3721" s="1"/>
      <c r="H3721" s="1"/>
      <c r="I3721" s="1"/>
      <c r="J3721" s="1"/>
      <c r="K3721" s="1"/>
      <c r="L3721" s="1"/>
      <c r="M3721" s="1"/>
      <c r="N3721" s="1"/>
      <c r="O3721" s="1"/>
      <c r="P3721" s="1"/>
      <c r="Q3721" s="1"/>
      <c r="R3721" s="1"/>
      <c r="S3721" s="1"/>
      <c r="T3721" s="1"/>
      <c r="U3721" s="1"/>
      <c r="V3721" s="1"/>
      <c r="W3721" s="1"/>
      <c r="X3721" s="1"/>
    </row>
    <row r="3722">
      <c r="A3722" s="1"/>
      <c r="B3722" s="1"/>
      <c r="E3722" s="1"/>
      <c r="F3722" s="1"/>
      <c r="G3722" s="1"/>
      <c r="H3722" s="1"/>
      <c r="I3722" s="1"/>
      <c r="J3722" s="1"/>
      <c r="K3722" s="1"/>
      <c r="L3722" s="1"/>
      <c r="M3722" s="1"/>
      <c r="N3722" s="1"/>
      <c r="O3722" s="1"/>
      <c r="P3722" s="1"/>
      <c r="Q3722" s="1"/>
      <c r="R3722" s="1"/>
      <c r="S3722" s="1"/>
      <c r="T3722" s="1"/>
      <c r="U3722" s="1"/>
      <c r="V3722" s="1"/>
      <c r="W3722" s="1"/>
      <c r="X3722" s="1"/>
    </row>
    <row r="3723">
      <c r="A3723" s="1"/>
      <c r="B3723" s="1"/>
      <c r="E3723" s="1"/>
      <c r="F3723" s="1"/>
      <c r="G3723" s="1"/>
      <c r="H3723" s="1"/>
      <c r="I3723" s="1"/>
      <c r="J3723" s="1"/>
      <c r="K3723" s="1"/>
      <c r="L3723" s="1"/>
      <c r="M3723" s="1"/>
      <c r="N3723" s="1"/>
      <c r="O3723" s="1"/>
      <c r="P3723" s="1"/>
      <c r="Q3723" s="1"/>
      <c r="R3723" s="1"/>
      <c r="S3723" s="1"/>
      <c r="T3723" s="1"/>
      <c r="U3723" s="1"/>
      <c r="V3723" s="1"/>
      <c r="W3723" s="1"/>
      <c r="X3723" s="1"/>
    </row>
    <row r="3724">
      <c r="A3724" s="1"/>
      <c r="B3724" s="1"/>
      <c r="E3724" s="1"/>
      <c r="F3724" s="1"/>
      <c r="G3724" s="1"/>
      <c r="H3724" s="1"/>
      <c r="I3724" s="1"/>
      <c r="J3724" s="1"/>
      <c r="K3724" s="1"/>
      <c r="L3724" s="1"/>
      <c r="M3724" s="1"/>
      <c r="N3724" s="1"/>
      <c r="O3724" s="1"/>
      <c r="P3724" s="1"/>
      <c r="Q3724" s="1"/>
      <c r="R3724" s="1"/>
      <c r="S3724" s="1"/>
      <c r="T3724" s="1"/>
      <c r="U3724" s="1"/>
      <c r="V3724" s="1"/>
      <c r="W3724" s="1"/>
      <c r="X3724" s="1"/>
    </row>
    <row r="3725">
      <c r="A3725" s="1"/>
      <c r="B3725" s="1"/>
      <c r="E3725" s="1"/>
      <c r="F3725" s="1"/>
      <c r="G3725" s="1"/>
      <c r="H3725" s="1"/>
      <c r="I3725" s="1"/>
      <c r="J3725" s="1"/>
      <c r="K3725" s="1"/>
      <c r="L3725" s="1"/>
      <c r="M3725" s="1"/>
      <c r="N3725" s="1"/>
      <c r="O3725" s="1"/>
      <c r="P3725" s="1"/>
      <c r="Q3725" s="1"/>
      <c r="R3725" s="1"/>
      <c r="S3725" s="1"/>
      <c r="T3725" s="1"/>
      <c r="U3725" s="1"/>
      <c r="V3725" s="1"/>
      <c r="W3725" s="1"/>
      <c r="X3725" s="1"/>
    </row>
    <row r="3726">
      <c r="A3726" s="1"/>
      <c r="B3726" s="1"/>
      <c r="E3726" s="1"/>
      <c r="F3726" s="1"/>
      <c r="G3726" s="1"/>
      <c r="H3726" s="1"/>
      <c r="I3726" s="1"/>
      <c r="J3726" s="1"/>
      <c r="K3726" s="1"/>
      <c r="L3726" s="1"/>
      <c r="M3726" s="1"/>
      <c r="N3726" s="1"/>
      <c r="O3726" s="1"/>
      <c r="P3726" s="1"/>
      <c r="Q3726" s="1"/>
      <c r="R3726" s="1"/>
      <c r="S3726" s="1"/>
      <c r="T3726" s="1"/>
      <c r="U3726" s="1"/>
      <c r="V3726" s="1"/>
      <c r="W3726" s="1"/>
      <c r="X3726" s="1"/>
    </row>
    <row r="3727">
      <c r="A3727" s="1"/>
      <c r="B3727" s="1"/>
      <c r="E3727" s="1"/>
      <c r="F3727" s="1"/>
      <c r="G3727" s="1"/>
      <c r="H3727" s="1"/>
      <c r="I3727" s="1"/>
      <c r="J3727" s="1"/>
      <c r="K3727" s="1"/>
      <c r="L3727" s="1"/>
      <c r="M3727" s="1"/>
      <c r="N3727" s="1"/>
      <c r="O3727" s="1"/>
      <c r="P3727" s="1"/>
      <c r="Q3727" s="1"/>
      <c r="R3727" s="1"/>
      <c r="S3727" s="1"/>
      <c r="T3727" s="1"/>
      <c r="U3727" s="1"/>
      <c r="V3727" s="1"/>
      <c r="W3727" s="1"/>
      <c r="X3727" s="1"/>
    </row>
    <row r="3728">
      <c r="A3728" s="1"/>
      <c r="B3728" s="1"/>
      <c r="E3728" s="1"/>
      <c r="F3728" s="1"/>
      <c r="G3728" s="1"/>
      <c r="H3728" s="1"/>
      <c r="I3728" s="1"/>
      <c r="J3728" s="1"/>
      <c r="K3728" s="1"/>
      <c r="L3728" s="1"/>
      <c r="M3728" s="1"/>
      <c r="N3728" s="1"/>
      <c r="O3728" s="1"/>
      <c r="P3728" s="1"/>
      <c r="Q3728" s="1"/>
      <c r="R3728" s="1"/>
      <c r="S3728" s="1"/>
      <c r="T3728" s="1"/>
      <c r="U3728" s="1"/>
      <c r="V3728" s="1"/>
      <c r="W3728" s="1"/>
      <c r="X3728" s="1"/>
    </row>
    <row r="3729">
      <c r="A3729" s="1"/>
      <c r="B3729" s="1"/>
      <c r="E3729" s="1"/>
      <c r="F3729" s="1"/>
      <c r="G3729" s="1"/>
      <c r="H3729" s="1"/>
      <c r="I3729" s="1"/>
      <c r="J3729" s="1"/>
      <c r="K3729" s="1"/>
      <c r="L3729" s="1"/>
      <c r="M3729" s="1"/>
      <c r="N3729" s="1"/>
      <c r="O3729" s="1"/>
      <c r="P3729" s="1"/>
      <c r="Q3729" s="1"/>
      <c r="R3729" s="1"/>
      <c r="S3729" s="1"/>
      <c r="T3729" s="1"/>
      <c r="U3729" s="1"/>
      <c r="V3729" s="1"/>
      <c r="W3729" s="1"/>
      <c r="X3729" s="1"/>
    </row>
    <row r="3730">
      <c r="A3730" s="1"/>
      <c r="B3730" s="1"/>
      <c r="E3730" s="1"/>
      <c r="F3730" s="1"/>
      <c r="G3730" s="1"/>
      <c r="H3730" s="1"/>
      <c r="I3730" s="1"/>
      <c r="J3730" s="1"/>
      <c r="K3730" s="1"/>
      <c r="L3730" s="1"/>
      <c r="M3730" s="1"/>
      <c r="N3730" s="1"/>
      <c r="O3730" s="1"/>
      <c r="P3730" s="1"/>
      <c r="Q3730" s="1"/>
      <c r="R3730" s="1"/>
      <c r="S3730" s="1"/>
      <c r="T3730" s="1"/>
      <c r="U3730" s="1"/>
      <c r="V3730" s="1"/>
      <c r="W3730" s="1"/>
      <c r="X3730" s="1"/>
    </row>
    <row r="3731">
      <c r="A3731" s="1"/>
      <c r="B3731" s="1"/>
      <c r="E3731" s="1"/>
      <c r="F3731" s="1"/>
      <c r="G3731" s="1"/>
      <c r="H3731" s="1"/>
      <c r="I3731" s="1"/>
      <c r="J3731" s="1"/>
      <c r="K3731" s="1"/>
      <c r="L3731" s="1"/>
      <c r="M3731" s="1"/>
      <c r="N3731" s="1"/>
      <c r="O3731" s="1"/>
      <c r="P3731" s="1"/>
      <c r="Q3731" s="1"/>
      <c r="R3731" s="1"/>
      <c r="S3731" s="1"/>
      <c r="T3731" s="1"/>
      <c r="U3731" s="1"/>
      <c r="V3731" s="1"/>
      <c r="W3731" s="1"/>
      <c r="X3731" s="1"/>
    </row>
    <row r="3732">
      <c r="A3732" s="1"/>
      <c r="B3732" s="1"/>
      <c r="E3732" s="1"/>
      <c r="F3732" s="1"/>
      <c r="G3732" s="1"/>
      <c r="H3732" s="1"/>
      <c r="I3732" s="1"/>
      <c r="J3732" s="1"/>
      <c r="K3732" s="1"/>
      <c r="L3732" s="1"/>
      <c r="M3732" s="1"/>
      <c r="N3732" s="1"/>
      <c r="O3732" s="1"/>
      <c r="P3732" s="1"/>
      <c r="Q3732" s="1"/>
      <c r="R3732" s="1"/>
      <c r="S3732" s="1"/>
      <c r="T3732" s="1"/>
      <c r="U3732" s="1"/>
      <c r="V3732" s="1"/>
      <c r="W3732" s="1"/>
      <c r="X3732" s="1"/>
    </row>
    <row r="3733">
      <c r="A3733" s="1"/>
      <c r="B3733" s="1"/>
      <c r="E3733" s="1"/>
      <c r="F3733" s="1"/>
      <c r="G3733" s="1"/>
      <c r="H3733" s="1"/>
      <c r="I3733" s="1"/>
      <c r="J3733" s="1"/>
      <c r="K3733" s="1"/>
      <c r="L3733" s="1"/>
      <c r="M3733" s="1"/>
      <c r="N3733" s="1"/>
      <c r="O3733" s="1"/>
      <c r="P3733" s="1"/>
      <c r="Q3733" s="1"/>
      <c r="R3733" s="1"/>
      <c r="S3733" s="1"/>
      <c r="T3733" s="1"/>
      <c r="U3733" s="1"/>
      <c r="V3733" s="1"/>
      <c r="W3733" s="1"/>
      <c r="X3733" s="1"/>
    </row>
    <row r="3734">
      <c r="A3734" s="1"/>
      <c r="B3734" s="1"/>
      <c r="E3734" s="1"/>
      <c r="F3734" s="1"/>
      <c r="G3734" s="1"/>
      <c r="H3734" s="1"/>
      <c r="I3734" s="1"/>
      <c r="J3734" s="1"/>
      <c r="K3734" s="1"/>
      <c r="L3734" s="1"/>
      <c r="M3734" s="1"/>
      <c r="N3734" s="1"/>
      <c r="O3734" s="1"/>
      <c r="P3734" s="1"/>
      <c r="Q3734" s="1"/>
      <c r="R3734" s="1"/>
      <c r="S3734" s="1"/>
      <c r="T3734" s="1"/>
      <c r="U3734" s="1"/>
      <c r="V3734" s="1"/>
      <c r="W3734" s="1"/>
      <c r="X3734" s="1"/>
    </row>
    <row r="3735">
      <c r="A3735" s="1"/>
      <c r="B3735" s="1"/>
      <c r="E3735" s="1"/>
      <c r="F3735" s="1"/>
      <c r="G3735" s="1"/>
      <c r="H3735" s="1"/>
      <c r="I3735" s="1"/>
      <c r="J3735" s="1"/>
      <c r="K3735" s="1"/>
      <c r="L3735" s="1"/>
      <c r="M3735" s="1"/>
      <c r="N3735" s="1"/>
      <c r="O3735" s="1"/>
      <c r="P3735" s="1"/>
      <c r="Q3735" s="1"/>
      <c r="R3735" s="1"/>
      <c r="S3735" s="1"/>
      <c r="T3735" s="1"/>
      <c r="U3735" s="1"/>
      <c r="V3735" s="1"/>
      <c r="W3735" s="1"/>
      <c r="X3735" s="1"/>
    </row>
    <row r="3736">
      <c r="A3736" s="1"/>
      <c r="B3736" s="1"/>
      <c r="E3736" s="1"/>
      <c r="F3736" s="1"/>
      <c r="G3736" s="1"/>
      <c r="H3736" s="1"/>
      <c r="I3736" s="1"/>
      <c r="J3736" s="1"/>
      <c r="K3736" s="1"/>
      <c r="L3736" s="1"/>
      <c r="M3736" s="1"/>
      <c r="N3736" s="1"/>
      <c r="O3736" s="1"/>
      <c r="P3736" s="1"/>
      <c r="Q3736" s="1"/>
      <c r="R3736" s="1"/>
      <c r="S3736" s="1"/>
      <c r="T3736" s="1"/>
      <c r="U3736" s="1"/>
      <c r="V3736" s="1"/>
      <c r="W3736" s="1"/>
      <c r="X3736" s="1"/>
    </row>
    <row r="3737">
      <c r="A3737" s="1"/>
      <c r="B3737" s="1"/>
      <c r="E3737" s="1"/>
      <c r="F3737" s="1"/>
      <c r="G3737" s="1"/>
      <c r="H3737" s="1"/>
      <c r="I3737" s="1"/>
      <c r="J3737" s="1"/>
      <c r="K3737" s="1"/>
      <c r="L3737" s="1"/>
      <c r="M3737" s="1"/>
      <c r="N3737" s="1"/>
      <c r="O3737" s="1"/>
      <c r="P3737" s="1"/>
      <c r="Q3737" s="1"/>
      <c r="R3737" s="1"/>
      <c r="S3737" s="1"/>
      <c r="T3737" s="1"/>
      <c r="U3737" s="1"/>
      <c r="V3737" s="1"/>
      <c r="W3737" s="1"/>
      <c r="X3737" s="1"/>
    </row>
    <row r="3738">
      <c r="A3738" s="1"/>
      <c r="B3738" s="1"/>
      <c r="E3738" s="1"/>
      <c r="F3738" s="1"/>
      <c r="G3738" s="1"/>
      <c r="H3738" s="1"/>
      <c r="I3738" s="1"/>
      <c r="J3738" s="1"/>
      <c r="K3738" s="1"/>
      <c r="L3738" s="1"/>
      <c r="M3738" s="1"/>
      <c r="N3738" s="1"/>
      <c r="O3738" s="1"/>
      <c r="P3738" s="1"/>
      <c r="Q3738" s="1"/>
      <c r="R3738" s="1"/>
      <c r="S3738" s="1"/>
      <c r="T3738" s="1"/>
      <c r="U3738" s="1"/>
      <c r="V3738" s="1"/>
      <c r="W3738" s="1"/>
      <c r="X3738" s="1"/>
    </row>
    <row r="3739">
      <c r="A3739" s="1"/>
      <c r="B3739" s="1"/>
      <c r="E3739" s="1"/>
      <c r="F3739" s="1"/>
      <c r="G3739" s="1"/>
      <c r="H3739" s="1"/>
      <c r="I3739" s="1"/>
      <c r="J3739" s="1"/>
      <c r="K3739" s="1"/>
      <c r="L3739" s="1"/>
      <c r="M3739" s="1"/>
      <c r="N3739" s="1"/>
      <c r="O3739" s="1"/>
      <c r="P3739" s="1"/>
      <c r="Q3739" s="1"/>
      <c r="R3739" s="1"/>
      <c r="S3739" s="1"/>
      <c r="T3739" s="1"/>
      <c r="U3739" s="1"/>
      <c r="V3739" s="1"/>
      <c r="W3739" s="1"/>
      <c r="X3739" s="1"/>
    </row>
    <row r="3740">
      <c r="A3740" s="1"/>
      <c r="B3740" s="1"/>
      <c r="E3740" s="1"/>
      <c r="F3740" s="1"/>
      <c r="G3740" s="1"/>
      <c r="H3740" s="1"/>
      <c r="I3740" s="1"/>
      <c r="J3740" s="1"/>
      <c r="K3740" s="1"/>
      <c r="L3740" s="1"/>
      <c r="M3740" s="1"/>
      <c r="N3740" s="1"/>
      <c r="O3740" s="1"/>
      <c r="P3740" s="1"/>
      <c r="Q3740" s="1"/>
      <c r="R3740" s="1"/>
      <c r="S3740" s="1"/>
      <c r="T3740" s="1"/>
      <c r="U3740" s="1"/>
      <c r="V3740" s="1"/>
      <c r="W3740" s="1"/>
      <c r="X3740" s="1"/>
    </row>
    <row r="3741">
      <c r="A3741" s="1"/>
      <c r="B3741" s="1"/>
      <c r="E3741" s="1"/>
      <c r="F3741" s="1"/>
      <c r="G3741" s="1"/>
      <c r="H3741" s="1"/>
      <c r="I3741" s="1"/>
      <c r="J3741" s="1"/>
      <c r="K3741" s="1"/>
      <c r="L3741" s="1"/>
      <c r="M3741" s="1"/>
      <c r="N3741" s="1"/>
      <c r="O3741" s="1"/>
      <c r="P3741" s="1"/>
      <c r="Q3741" s="1"/>
      <c r="R3741" s="1"/>
      <c r="S3741" s="1"/>
      <c r="T3741" s="1"/>
      <c r="U3741" s="1"/>
      <c r="V3741" s="1"/>
      <c r="W3741" s="1"/>
      <c r="X3741" s="1"/>
    </row>
    <row r="3742">
      <c r="A3742" s="1"/>
      <c r="B3742" s="1"/>
      <c r="E3742" s="1"/>
      <c r="F3742" s="1"/>
      <c r="G3742" s="1"/>
      <c r="H3742" s="1"/>
      <c r="I3742" s="1"/>
      <c r="J3742" s="1"/>
      <c r="K3742" s="1"/>
      <c r="L3742" s="1"/>
      <c r="M3742" s="1"/>
      <c r="N3742" s="1"/>
      <c r="O3742" s="1"/>
      <c r="P3742" s="1"/>
      <c r="Q3742" s="1"/>
      <c r="R3742" s="1"/>
      <c r="S3742" s="1"/>
      <c r="T3742" s="1"/>
      <c r="U3742" s="1"/>
      <c r="V3742" s="1"/>
      <c r="W3742" s="1"/>
      <c r="X3742" s="1"/>
    </row>
    <row r="3743">
      <c r="A3743" s="1"/>
      <c r="B3743" s="1"/>
      <c r="E3743" s="1"/>
      <c r="F3743" s="1"/>
      <c r="G3743" s="1"/>
      <c r="H3743" s="1"/>
      <c r="I3743" s="1"/>
      <c r="J3743" s="1"/>
      <c r="K3743" s="1"/>
      <c r="L3743" s="1"/>
      <c r="M3743" s="1"/>
      <c r="N3743" s="1"/>
      <c r="O3743" s="1"/>
      <c r="P3743" s="1"/>
      <c r="Q3743" s="1"/>
      <c r="R3743" s="1"/>
      <c r="S3743" s="1"/>
      <c r="T3743" s="1"/>
      <c r="U3743" s="1"/>
      <c r="V3743" s="1"/>
      <c r="W3743" s="1"/>
      <c r="X3743" s="1"/>
    </row>
    <row r="3744">
      <c r="A3744" s="1"/>
      <c r="B3744" s="1"/>
      <c r="E3744" s="1"/>
      <c r="F3744" s="1"/>
      <c r="G3744" s="1"/>
      <c r="H3744" s="1"/>
      <c r="I3744" s="1"/>
      <c r="J3744" s="1"/>
      <c r="K3744" s="1"/>
      <c r="L3744" s="1"/>
      <c r="M3744" s="1"/>
      <c r="N3744" s="1"/>
      <c r="O3744" s="1"/>
      <c r="P3744" s="1"/>
      <c r="Q3744" s="1"/>
      <c r="R3744" s="1"/>
      <c r="S3744" s="1"/>
      <c r="T3744" s="1"/>
      <c r="U3744" s="1"/>
      <c r="V3744" s="1"/>
      <c r="W3744" s="1"/>
      <c r="X3744" s="1"/>
    </row>
    <row r="3745">
      <c r="A3745" s="1"/>
      <c r="B3745" s="1"/>
      <c r="E3745" s="1"/>
      <c r="F3745" s="1"/>
      <c r="G3745" s="1"/>
      <c r="H3745" s="1"/>
      <c r="I3745" s="1"/>
      <c r="J3745" s="1"/>
      <c r="K3745" s="1"/>
      <c r="L3745" s="1"/>
      <c r="M3745" s="1"/>
      <c r="N3745" s="1"/>
      <c r="O3745" s="1"/>
      <c r="P3745" s="1"/>
      <c r="Q3745" s="1"/>
      <c r="R3745" s="1"/>
      <c r="S3745" s="1"/>
      <c r="T3745" s="1"/>
      <c r="U3745" s="1"/>
      <c r="V3745" s="1"/>
      <c r="W3745" s="1"/>
      <c r="X3745" s="1"/>
    </row>
    <row r="3746">
      <c r="A3746" s="1"/>
      <c r="B3746" s="1"/>
      <c r="E3746" s="1"/>
      <c r="F3746" s="1"/>
      <c r="G3746" s="1"/>
      <c r="H3746" s="1"/>
      <c r="I3746" s="1"/>
      <c r="J3746" s="1"/>
      <c r="K3746" s="1"/>
      <c r="L3746" s="1"/>
      <c r="M3746" s="1"/>
      <c r="N3746" s="1"/>
      <c r="O3746" s="1"/>
      <c r="P3746" s="1"/>
      <c r="Q3746" s="1"/>
      <c r="R3746" s="1"/>
      <c r="S3746" s="1"/>
      <c r="T3746" s="1"/>
      <c r="U3746" s="1"/>
      <c r="V3746" s="1"/>
      <c r="W3746" s="1"/>
      <c r="X3746" s="1"/>
    </row>
    <row r="3747">
      <c r="A3747" s="1"/>
      <c r="B3747" s="1"/>
      <c r="E3747" s="1"/>
      <c r="F3747" s="1"/>
      <c r="G3747" s="1"/>
      <c r="H3747" s="1"/>
      <c r="I3747" s="1"/>
      <c r="J3747" s="1"/>
      <c r="K3747" s="1"/>
      <c r="L3747" s="1"/>
      <c r="M3747" s="1"/>
      <c r="N3747" s="1"/>
      <c r="O3747" s="1"/>
      <c r="P3747" s="1"/>
      <c r="Q3747" s="1"/>
      <c r="R3747" s="1"/>
      <c r="S3747" s="1"/>
      <c r="T3747" s="1"/>
      <c r="U3747" s="1"/>
      <c r="V3747" s="1"/>
      <c r="W3747" s="1"/>
      <c r="X3747" s="1"/>
    </row>
    <row r="3748">
      <c r="A3748" s="1"/>
      <c r="B3748" s="1"/>
      <c r="E3748" s="1"/>
      <c r="F3748" s="1"/>
      <c r="G3748" s="1"/>
      <c r="H3748" s="1"/>
      <c r="I3748" s="1"/>
      <c r="J3748" s="1"/>
      <c r="K3748" s="1"/>
      <c r="L3748" s="1"/>
      <c r="M3748" s="1"/>
      <c r="N3748" s="1"/>
      <c r="O3748" s="1"/>
      <c r="P3748" s="1"/>
      <c r="Q3748" s="1"/>
      <c r="R3748" s="1"/>
      <c r="S3748" s="1"/>
      <c r="T3748" s="1"/>
      <c r="U3748" s="1"/>
      <c r="V3748" s="1"/>
      <c r="W3748" s="1"/>
      <c r="X3748" s="1"/>
    </row>
    <row r="3749">
      <c r="A3749" s="1"/>
      <c r="B3749" s="1"/>
      <c r="E3749" s="1"/>
      <c r="F3749" s="1"/>
      <c r="G3749" s="1"/>
      <c r="H3749" s="1"/>
      <c r="I3749" s="1"/>
      <c r="J3749" s="1"/>
      <c r="K3749" s="1"/>
      <c r="L3749" s="1"/>
      <c r="M3749" s="1"/>
      <c r="N3749" s="1"/>
      <c r="O3749" s="1"/>
      <c r="P3749" s="1"/>
      <c r="Q3749" s="1"/>
      <c r="R3749" s="1"/>
      <c r="S3749" s="1"/>
      <c r="T3749" s="1"/>
      <c r="U3749" s="1"/>
      <c r="V3749" s="1"/>
      <c r="W3749" s="1"/>
      <c r="X3749" s="1"/>
    </row>
    <row r="3750">
      <c r="A3750" s="1"/>
      <c r="B3750" s="1"/>
      <c r="E3750" s="1"/>
      <c r="F3750" s="1"/>
      <c r="G3750" s="1"/>
      <c r="H3750" s="1"/>
      <c r="I3750" s="1"/>
      <c r="J3750" s="1"/>
      <c r="K3750" s="1"/>
      <c r="L3750" s="1"/>
      <c r="M3750" s="1"/>
      <c r="N3750" s="1"/>
      <c r="O3750" s="1"/>
      <c r="P3750" s="1"/>
      <c r="Q3750" s="1"/>
      <c r="R3750" s="1"/>
      <c r="S3750" s="1"/>
      <c r="T3750" s="1"/>
      <c r="U3750" s="1"/>
      <c r="V3750" s="1"/>
      <c r="W3750" s="1"/>
      <c r="X3750" s="1"/>
    </row>
    <row r="3751">
      <c r="A3751" s="1"/>
      <c r="B3751" s="1"/>
      <c r="E3751" s="1"/>
      <c r="F3751" s="1"/>
      <c r="G3751" s="1"/>
      <c r="H3751" s="1"/>
      <c r="I3751" s="1"/>
      <c r="J3751" s="1"/>
      <c r="K3751" s="1"/>
      <c r="L3751" s="1"/>
      <c r="M3751" s="1"/>
      <c r="N3751" s="1"/>
      <c r="O3751" s="1"/>
      <c r="P3751" s="1"/>
      <c r="Q3751" s="1"/>
      <c r="R3751" s="1"/>
      <c r="S3751" s="1"/>
      <c r="T3751" s="1"/>
      <c r="U3751" s="1"/>
      <c r="V3751" s="1"/>
      <c r="W3751" s="1"/>
      <c r="X3751" s="1"/>
    </row>
    <row r="3752">
      <c r="A3752" s="1"/>
      <c r="B3752" s="1"/>
      <c r="E3752" s="1"/>
      <c r="F3752" s="1"/>
      <c r="G3752" s="1"/>
      <c r="H3752" s="1"/>
      <c r="I3752" s="1"/>
      <c r="J3752" s="1"/>
      <c r="K3752" s="1"/>
      <c r="L3752" s="1"/>
      <c r="M3752" s="1"/>
      <c r="N3752" s="1"/>
      <c r="O3752" s="1"/>
      <c r="P3752" s="1"/>
      <c r="Q3752" s="1"/>
      <c r="R3752" s="1"/>
      <c r="S3752" s="1"/>
      <c r="T3752" s="1"/>
      <c r="U3752" s="1"/>
      <c r="V3752" s="1"/>
      <c r="W3752" s="1"/>
      <c r="X3752" s="1"/>
    </row>
  </sheetData>
  <conditionalFormatting sqref="G2:H3252 S2:T3252">
    <cfRule type="cellIs" dxfId="0" priority="1" operator="equal">
      <formula>"TRUE"</formula>
    </cfRule>
  </conditionalFormatting>
  <conditionalFormatting sqref="G2:H3252 S2:T3252">
    <cfRule type="cellIs" dxfId="1" priority="2" operator="equal">
      <formula>"FALSE"</formula>
    </cfRule>
  </conditionalFormatting>
  <conditionalFormatting sqref="G2:H3252 S2:T3252">
    <cfRule type="containsBlanks" dxfId="2" priority="3">
      <formula>LEN(TRIM(G2))=0</formula>
    </cfRule>
  </conditionalFormatting>
  <hyperlinks>
    <hyperlink r:id="rId1" ref="C286"/>
  </hyperlinks>
  <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38"/>
    <col customWidth="1" min="3" max="3" width="35.38"/>
    <col customWidth="1" min="4" max="4" width="15.38"/>
    <col customWidth="1" min="11" max="12" width="17.75"/>
    <col hidden="1" min="13" max="28" width="12.63"/>
  </cols>
  <sheetData>
    <row r="1">
      <c r="A1" s="9" t="s">
        <v>0</v>
      </c>
      <c r="B1" s="9" t="s">
        <v>1</v>
      </c>
      <c r="C1" s="10" t="s">
        <v>2</v>
      </c>
      <c r="D1" s="11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 t="s">
        <v>11</v>
      </c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>
      <c r="A2" s="1">
        <f>IFERROR(__xludf.DUMMYFUNCTION("SORT(FILTER({RESULT!$W$2:$W1001,RESULT!$B$2:$B1001,RESULT!$C$2:$C1001,RESULT!$D$2:$D1001,RESULT!$V$2:$V1001,RESULT!$F$2:$F1001,RESULT!$Q$2:$Q1001,RESULT!$I$2:$I1001,RESULT!$L$2:$L1001,RESULT!$R$2:$R1001,RESULT!$J$2:$J1001,RESULT!$K$2:$K1001},RESULT!$B$2:$"&amp;"B1001&lt;&gt;"""",RESULT!$E$2:$E1001=1),1,TRUE)"),1.0)</f>
        <v>1</v>
      </c>
      <c r="B2" s="1">
        <f>IFERROR(__xludf.DUMMYFUNCTION("""COMPUTED_VALUE"""),10216.0)</f>
        <v>10216</v>
      </c>
      <c r="C2" s="13" t="str">
        <f>IFERROR(__xludf.DUMMYFUNCTION("""COMPUTED_VALUE"""),"makiah")</f>
        <v>makiah</v>
      </c>
      <c r="D2" s="2" t="str">
        <f>IFERROR(__xludf.DUMMYFUNCTION("""COMPUTED_VALUE"""),"10KM OVERALL M")</f>
        <v>10KM OVERALL M</v>
      </c>
      <c r="E2" s="1">
        <f>IFERROR(__xludf.DUMMYFUNCTION("""COMPUTED_VALUE"""),1.0)</f>
        <v>1</v>
      </c>
      <c r="F2" s="1" t="str">
        <f>IFERROR(__xludf.DUMMYFUNCTION("""COMPUTED_VALUE"""),"Male")</f>
        <v>Male</v>
      </c>
      <c r="G2" s="5">
        <f>IFERROR(__xludf.DUMMYFUNCTION("""COMPUTED_VALUE"""),0.002401222222222222)</f>
        <v>0.002401222222</v>
      </c>
      <c r="H2" s="14">
        <f>IFERROR(__xludf.DUMMYFUNCTION("""COMPUTED_VALUE"""),0.24646185185185185)</f>
        <v>0.2464618519</v>
      </c>
      <c r="I2" s="15">
        <f>IFERROR(__xludf.DUMMYFUNCTION("""COMPUTED_VALUE"""),45949.270474075274)</f>
        <v>45949.27047</v>
      </c>
      <c r="J2" s="15">
        <f>IFERROR(__xludf.DUMMYFUNCTION("""COMPUTED_VALUE"""),45949.024012223425)</f>
        <v>45949.02401</v>
      </c>
      <c r="K2" s="15">
        <f>IFERROR(__xludf.DUMMYFUNCTION("""COMPUTED_VALUE"""),45949.2516422496)</f>
        <v>45949.25164</v>
      </c>
      <c r="L2" s="15">
        <f>IFERROR(__xludf.DUMMYFUNCTION("""COMPUTED_VALUE"""),45949.26614636432)</f>
        <v>45949.26615</v>
      </c>
    </row>
    <row r="3">
      <c r="A3" s="1">
        <f>IFERROR(__xludf.DUMMYFUNCTION("""COMPUTED_VALUE"""),2.0)</f>
        <v>2</v>
      </c>
      <c r="B3" s="1">
        <f>IFERROR(__xludf.DUMMYFUNCTION("""COMPUTED_VALUE"""),12008.0)</f>
        <v>12008</v>
      </c>
      <c r="C3" s="13" t="str">
        <f>IFERROR(__xludf.DUMMYFUNCTION("""COMPUTED_VALUE"""),"MASIANG")</f>
        <v>MASIANG</v>
      </c>
      <c r="D3" s="2" t="str">
        <f>IFERROR(__xludf.DUMMYFUNCTION("""COMPUTED_VALUE"""),"10KM MASTER M")</f>
        <v>10KM MASTER M</v>
      </c>
      <c r="E3" s="1">
        <f>IFERROR(__xludf.DUMMYFUNCTION("""COMPUTED_VALUE"""),1.0)</f>
        <v>1</v>
      </c>
      <c r="F3" s="1" t="str">
        <f>IFERROR(__xludf.DUMMYFUNCTION("""COMPUTED_VALUE"""),"Male")</f>
        <v>Male</v>
      </c>
      <c r="G3" s="5">
        <f>IFERROR(__xludf.DUMMYFUNCTION("""COMPUTED_VALUE"""),0.002519972222222222)</f>
        <v>0.002519972222</v>
      </c>
      <c r="H3" s="14">
        <f>IFERROR(__xludf.DUMMYFUNCTION("""COMPUTED_VALUE"""),0.24646185185185185)</f>
        <v>0.2464618519</v>
      </c>
      <c r="I3" s="15">
        <f>IFERROR(__xludf.DUMMYFUNCTION("""COMPUTED_VALUE"""),45949.271661574814)</f>
        <v>45949.27166</v>
      </c>
      <c r="J3" s="15">
        <f>IFERROR(__xludf.DUMMYFUNCTION("""COMPUTED_VALUE"""),45949.025199722964)</f>
        <v>45949.0252</v>
      </c>
      <c r="K3" s="15">
        <f>IFERROR(__xludf.DUMMYFUNCTION("""COMPUTED_VALUE"""),45949.25206488353)</f>
        <v>45949.25206</v>
      </c>
      <c r="L3" s="15">
        <f>IFERROR(__xludf.DUMMYFUNCTION("""COMPUTED_VALUE"""),45949.26727136337)</f>
        <v>45949.26727</v>
      </c>
    </row>
    <row r="4">
      <c r="A4" s="1">
        <f>IFERROR(__xludf.DUMMYFUNCTION("""COMPUTED_VALUE"""),3.0)</f>
        <v>3</v>
      </c>
      <c r="B4" s="1">
        <f>IFERROR(__xludf.DUMMYFUNCTION("""COMPUTED_VALUE"""),10197.0)</f>
        <v>10197</v>
      </c>
      <c r="C4" s="13" t="str">
        <f>IFERROR(__xludf.DUMMYFUNCTION("""COMPUTED_VALUE"""),"AHMAD BAKRI")</f>
        <v>AHMAD BAKRI</v>
      </c>
      <c r="D4" s="2" t="str">
        <f>IFERROR(__xludf.DUMMYFUNCTION("""COMPUTED_VALUE"""),"10KM OVERALL M")</f>
        <v>10KM OVERALL M</v>
      </c>
      <c r="E4" s="1">
        <f>IFERROR(__xludf.DUMMYFUNCTION("""COMPUTED_VALUE"""),2.0)</f>
        <v>2</v>
      </c>
      <c r="F4" s="1" t="str">
        <f>IFERROR(__xludf.DUMMYFUNCTION("""COMPUTED_VALUE"""),"Male")</f>
        <v>Male</v>
      </c>
      <c r="G4" s="5">
        <f>IFERROR(__xludf.DUMMYFUNCTION("""COMPUTED_VALUE"""),0.002564405092592593)</f>
        <v>0.002564405093</v>
      </c>
      <c r="H4" s="14">
        <f>IFERROR(__xludf.DUMMYFUNCTION("""COMPUTED_VALUE"""),0.24646185185185185)</f>
        <v>0.2464618519</v>
      </c>
      <c r="I4" s="15">
        <f>IFERROR(__xludf.DUMMYFUNCTION("""COMPUTED_VALUE"""),45949.2721059073)</f>
        <v>45949.27211</v>
      </c>
      <c r="J4" s="15">
        <f>IFERROR(__xludf.DUMMYFUNCTION("""COMPUTED_VALUE"""),45949.02564405545)</f>
        <v>45949.02564</v>
      </c>
      <c r="K4" s="15">
        <f>IFERROR(__xludf.DUMMYFUNCTION("""COMPUTED_VALUE"""),45949.25186696956)</f>
        <v>45949.25187</v>
      </c>
      <c r="L4" s="15">
        <f>IFERROR(__xludf.DUMMYFUNCTION("""COMPUTED_VALUE"""),45949.267476221255)</f>
        <v>45949.26748</v>
      </c>
    </row>
    <row r="5">
      <c r="A5" s="1">
        <f>IFERROR(__xludf.DUMMYFUNCTION("""COMPUTED_VALUE"""),4.0)</f>
        <v>4</v>
      </c>
      <c r="B5" s="1">
        <f>IFERROR(__xludf.DUMMYFUNCTION("""COMPUTED_VALUE"""),10665.0)</f>
        <v>10665</v>
      </c>
      <c r="C5" s="13" t="str">
        <f>IFERROR(__xludf.DUMMYFUNCTION("""COMPUTED_VALUE"""),"ARIA ARDHA")</f>
        <v>ARIA ARDHA</v>
      </c>
      <c r="D5" s="2" t="str">
        <f>IFERROR(__xludf.DUMMYFUNCTION("""COMPUTED_VALUE"""),"10KM OVERALL M")</f>
        <v>10KM OVERALL M</v>
      </c>
      <c r="E5" s="1">
        <f>IFERROR(__xludf.DUMMYFUNCTION("""COMPUTED_VALUE"""),3.0)</f>
        <v>3</v>
      </c>
      <c r="F5" s="1" t="str">
        <f>IFERROR(__xludf.DUMMYFUNCTION("""COMPUTED_VALUE"""),"Male")</f>
        <v>Male</v>
      </c>
      <c r="G5" s="5">
        <f>IFERROR(__xludf.DUMMYFUNCTION("""COMPUTED_VALUE"""),0.002722373842592592)</f>
        <v>0.002722373843</v>
      </c>
      <c r="H5" s="14">
        <f>IFERROR(__xludf.DUMMYFUNCTION("""COMPUTED_VALUE"""),0.24646185185185185)</f>
        <v>0.2464618519</v>
      </c>
      <c r="I5" s="15">
        <f>IFERROR(__xludf.DUMMYFUNCTION("""COMPUTED_VALUE"""),45949.273685586784)</f>
        <v>45949.27369</v>
      </c>
      <c r="J5" s="15">
        <f>IFERROR(__xludf.DUMMYFUNCTION("""COMPUTED_VALUE"""),45949.027223734935)</f>
        <v>45949.02722</v>
      </c>
      <c r="K5" s="15">
        <f>IFERROR(__xludf.DUMMYFUNCTION("""COMPUTED_VALUE"""),45949.2524017519)</f>
        <v>45949.2524</v>
      </c>
      <c r="L5" s="15">
        <f>IFERROR(__xludf.DUMMYFUNCTION("""COMPUTED_VALUE"""),45949.268837330696)</f>
        <v>45949.26884</v>
      </c>
    </row>
    <row r="6">
      <c r="A6" s="1">
        <f>IFERROR(__xludf.DUMMYFUNCTION("""COMPUTED_VALUE"""),5.0)</f>
        <v>5</v>
      </c>
      <c r="B6" s="1">
        <f>IFERROR(__xludf.DUMMYFUNCTION("""COMPUTED_VALUE"""),10459.0)</f>
        <v>10459</v>
      </c>
      <c r="C6" s="13" t="str">
        <f>IFERROR(__xludf.DUMMYFUNCTION("""COMPUTED_VALUE"""),"SYAID M. R.")</f>
        <v>SYAID M. R.</v>
      </c>
      <c r="D6" s="2" t="str">
        <f>IFERROR(__xludf.DUMMYFUNCTION("""COMPUTED_VALUE"""),"10KM OVERALL M")</f>
        <v>10KM OVERALL M</v>
      </c>
      <c r="E6" s="1">
        <f>IFERROR(__xludf.DUMMYFUNCTION("""COMPUTED_VALUE"""),4.0)</f>
        <v>4</v>
      </c>
      <c r="F6" s="1" t="str">
        <f>IFERROR(__xludf.DUMMYFUNCTION("""COMPUTED_VALUE"""),"Male")</f>
        <v>Male</v>
      </c>
      <c r="G6" s="5">
        <f>IFERROR(__xludf.DUMMYFUNCTION("""COMPUTED_VALUE"""),0.002740430555555556)</f>
        <v>0.002740430556</v>
      </c>
      <c r="H6" s="14">
        <f>IFERROR(__xludf.DUMMYFUNCTION("""COMPUTED_VALUE"""),0.24646185185185185)</f>
        <v>0.2464618519</v>
      </c>
      <c r="I6" s="15">
        <f>IFERROR(__xludf.DUMMYFUNCTION("""COMPUTED_VALUE"""),45949.27386615449)</f>
        <v>45949.27387</v>
      </c>
      <c r="J6" s="15">
        <f>IFERROR(__xludf.DUMMYFUNCTION("""COMPUTED_VALUE"""),45949.027404302644)</f>
        <v>45949.0274</v>
      </c>
      <c r="K6" s="15">
        <f>IFERROR(__xludf.DUMMYFUNCTION("""COMPUTED_VALUE"""),45949.25242251673)</f>
        <v>45949.25242</v>
      </c>
      <c r="L6" s="15">
        <f>IFERROR(__xludf.DUMMYFUNCTION("""COMPUTED_VALUE"""),45949.26895538112)</f>
        <v>45949.26896</v>
      </c>
    </row>
    <row r="7">
      <c r="A7" s="1">
        <f>IFERROR(__xludf.DUMMYFUNCTION("""COMPUTED_VALUE"""),6.0)</f>
        <v>6</v>
      </c>
      <c r="B7" s="1">
        <f>IFERROR(__xludf.DUMMYFUNCTION("""COMPUTED_VALUE"""),10323.0)</f>
        <v>10323</v>
      </c>
      <c r="C7" s="13" t="str">
        <f>IFERROR(__xludf.DUMMYFUNCTION("""COMPUTED_VALUE"""),"Jasli")</f>
        <v>Jasli</v>
      </c>
      <c r="D7" s="2" t="str">
        <f>IFERROR(__xludf.DUMMYFUNCTION("""COMPUTED_VALUE"""),"10KM OVERALL M")</f>
        <v>10KM OVERALL M</v>
      </c>
      <c r="E7" s="1">
        <f>IFERROR(__xludf.DUMMYFUNCTION("""COMPUTED_VALUE"""),5.0)</f>
        <v>5</v>
      </c>
      <c r="F7" s="1" t="str">
        <f>IFERROR(__xludf.DUMMYFUNCTION("""COMPUTED_VALUE"""),"Male")</f>
        <v>Male</v>
      </c>
      <c r="G7" s="5">
        <f>IFERROR(__xludf.DUMMYFUNCTION("""COMPUTED_VALUE"""),0.0028473969907407406)</f>
        <v>0.002847396991</v>
      </c>
      <c r="H7" s="14">
        <f>IFERROR(__xludf.DUMMYFUNCTION("""COMPUTED_VALUE"""),0.24646185185185185)</f>
        <v>0.2464618519</v>
      </c>
      <c r="I7" s="15">
        <f>IFERROR(__xludf.DUMMYFUNCTION("""COMPUTED_VALUE"""),45949.274935821995)</f>
        <v>45949.27494</v>
      </c>
      <c r="J7" s="15">
        <f>IFERROR(__xludf.DUMMYFUNCTION("""COMPUTED_VALUE"""),45949.028473970146)</f>
        <v>45949.02847</v>
      </c>
      <c r="K7" s="15">
        <f>IFERROR(__xludf.DUMMYFUNCTION("""COMPUTED_VALUE"""),45949.25268298964)</f>
        <v>45949.25268</v>
      </c>
      <c r="L7" s="15">
        <f>IFERROR(__xludf.DUMMYFUNCTION("""COMPUTED_VALUE"""),45949.26971927725)</f>
        <v>45949.26972</v>
      </c>
    </row>
    <row r="8">
      <c r="A8" s="1">
        <f>IFERROR(__xludf.DUMMYFUNCTION("""COMPUTED_VALUE"""),7.0)</f>
        <v>7</v>
      </c>
      <c r="B8" s="1">
        <f>IFERROR(__xludf.DUMMYFUNCTION("""COMPUTED_VALUE"""),12052.0)</f>
        <v>12052</v>
      </c>
      <c r="C8" s="13" t="str">
        <f>IFERROR(__xludf.DUMMYFUNCTION("""COMPUTED_VALUE"""),"Tatahadi Prayitno")</f>
        <v>Tatahadi Prayitno</v>
      </c>
      <c r="D8" s="2" t="str">
        <f>IFERROR(__xludf.DUMMYFUNCTION("""COMPUTED_VALUE"""),"10KM MASTER M")</f>
        <v>10KM MASTER M</v>
      </c>
      <c r="E8" s="1">
        <f>IFERROR(__xludf.DUMMYFUNCTION("""COMPUTED_VALUE"""),2.0)</f>
        <v>2</v>
      </c>
      <c r="F8" s="1" t="str">
        <f>IFERROR(__xludf.DUMMYFUNCTION("""COMPUTED_VALUE"""),"Male")</f>
        <v>Male</v>
      </c>
      <c r="G8" s="5">
        <f>IFERROR(__xludf.DUMMYFUNCTION("""COMPUTED_VALUE"""),0.0028720266203703703)</f>
        <v>0.00287202662</v>
      </c>
      <c r="H8" s="14">
        <f>IFERROR(__xludf.DUMMYFUNCTION("""COMPUTED_VALUE"""),0.24646185185185185)</f>
        <v>0.2464618519</v>
      </c>
      <c r="I8" s="15">
        <f>IFERROR(__xludf.DUMMYFUNCTION("""COMPUTED_VALUE"""),45949.27518211597)</f>
        <v>45949.27518</v>
      </c>
      <c r="J8" s="15">
        <f>IFERROR(__xludf.DUMMYFUNCTION("""COMPUTED_VALUE"""),45949.02872026412)</f>
        <v>45949.02872</v>
      </c>
      <c r="K8" s="15">
        <f>IFERROR(__xludf.DUMMYFUNCTION("""COMPUTED_VALUE"""),45949.2524265227)</f>
        <v>45949.25243</v>
      </c>
      <c r="L8" s="15">
        <f>IFERROR(__xludf.DUMMYFUNCTION("""COMPUTED_VALUE"""),45949.26991019422)</f>
        <v>45949.26991</v>
      </c>
    </row>
    <row r="9">
      <c r="A9" s="1">
        <f>IFERROR(__xludf.DUMMYFUNCTION("""COMPUTED_VALUE"""),8.0)</f>
        <v>8</v>
      </c>
      <c r="B9" s="1">
        <f>IFERROR(__xludf.DUMMYFUNCTION("""COMPUTED_VALUE"""),10694.0)</f>
        <v>10694</v>
      </c>
      <c r="C9" s="13" t="str">
        <f>IFERROR(__xludf.DUMMYFUNCTION("""COMPUTED_VALUE"""),"Rezaafw")</f>
        <v>Rezaafw</v>
      </c>
      <c r="D9" s="2" t="str">
        <f>IFERROR(__xludf.DUMMYFUNCTION("""COMPUTED_VALUE"""),"10KM OVERALL M")</f>
        <v>10KM OVERALL M</v>
      </c>
      <c r="E9" s="1">
        <f>IFERROR(__xludf.DUMMYFUNCTION("""COMPUTED_VALUE"""),6.0)</f>
        <v>6</v>
      </c>
      <c r="F9" s="1" t="str">
        <f>IFERROR(__xludf.DUMMYFUNCTION("""COMPUTED_VALUE"""),"Male")</f>
        <v>Male</v>
      </c>
      <c r="G9" s="5">
        <f>IFERROR(__xludf.DUMMYFUNCTION("""COMPUTED_VALUE"""),0.002886222222222222)</f>
        <v>0.002886222222</v>
      </c>
      <c r="H9" s="14">
        <f>IFERROR(__xludf.DUMMYFUNCTION("""COMPUTED_VALUE"""),0.24646185185185185)</f>
        <v>0.2464618519</v>
      </c>
      <c r="I9" s="15">
        <f>IFERROR(__xludf.DUMMYFUNCTION("""COMPUTED_VALUE"""),45949.27532407407)</f>
        <v>45949.27532</v>
      </c>
      <c r="J9" s="15">
        <f>IFERROR(__xludf.DUMMYFUNCTION("""COMPUTED_VALUE"""),45949.02886222222)</f>
        <v>45949.02886</v>
      </c>
      <c r="K9" s="15">
        <f>IFERROR(__xludf.DUMMYFUNCTION("""COMPUTED_VALUE"""),45949.25319682903)</f>
        <v>45949.2532</v>
      </c>
      <c r="L9" s="15">
        <f>IFERROR(__xludf.DUMMYFUNCTION("""COMPUTED_VALUE"""),45949.27069942787)</f>
        <v>45949.2707</v>
      </c>
    </row>
    <row r="10">
      <c r="A10" s="1">
        <f>IFERROR(__xludf.DUMMYFUNCTION("""COMPUTED_VALUE"""),9.0)</f>
        <v>9</v>
      </c>
      <c r="B10" s="1">
        <f>IFERROR(__xludf.DUMMYFUNCTION("""COMPUTED_VALUE"""),12086.0)</f>
        <v>12086</v>
      </c>
      <c r="C10" s="13" t="str">
        <f>IFERROR(__xludf.DUMMYFUNCTION("""COMPUTED_VALUE"""),"jimmy lee")</f>
        <v>jimmy lee</v>
      </c>
      <c r="D10" s="2" t="str">
        <f>IFERROR(__xludf.DUMMYFUNCTION("""COMPUTED_VALUE"""),"10KM MASTER M")</f>
        <v>10KM MASTER M</v>
      </c>
      <c r="E10" s="1">
        <f>IFERROR(__xludf.DUMMYFUNCTION("""COMPUTED_VALUE"""),3.0)</f>
        <v>3</v>
      </c>
      <c r="F10" s="1" t="str">
        <f>IFERROR(__xludf.DUMMYFUNCTION("""COMPUTED_VALUE"""),"Male")</f>
        <v>Male</v>
      </c>
      <c r="G10" s="5">
        <f>IFERROR(__xludf.DUMMYFUNCTION("""COMPUTED_VALUE"""),0.0029373043981481485)</f>
        <v>0.002937304398</v>
      </c>
      <c r="H10" s="14">
        <f>IFERROR(__xludf.DUMMYFUNCTION("""COMPUTED_VALUE"""),0.24646185185185185)</f>
        <v>0.2464618519</v>
      </c>
      <c r="I10" s="15">
        <f>IFERROR(__xludf.DUMMYFUNCTION("""COMPUTED_VALUE"""),45949.27583489813)</f>
        <v>45949.27583</v>
      </c>
      <c r="J10" s="15">
        <f>IFERROR(__xludf.DUMMYFUNCTION("""COMPUTED_VALUE"""),45949.02937304628)</f>
        <v>45949.02937</v>
      </c>
      <c r="K10" s="15">
        <f>IFERROR(__xludf.DUMMYFUNCTION("""COMPUTED_VALUE"""),45949.25269341818)</f>
        <v>45949.25269</v>
      </c>
      <c r="L10" s="15">
        <f>IFERROR(__xludf.DUMMYFUNCTION("""COMPUTED_VALUE"""),45949.27045300836)</f>
        <v>45949.27045</v>
      </c>
    </row>
    <row r="11">
      <c r="A11" s="1">
        <f>IFERROR(__xludf.DUMMYFUNCTION("""COMPUTED_VALUE"""),10.0)</f>
        <v>10</v>
      </c>
      <c r="B11" s="1">
        <f>IFERROR(__xludf.DUMMYFUNCTION("""COMPUTED_VALUE"""),12073.0)</f>
        <v>12073</v>
      </c>
      <c r="C11" s="13" t="str">
        <f>IFERROR(__xludf.DUMMYFUNCTION("""COMPUTED_VALUE"""),"jasman")</f>
        <v>jasman</v>
      </c>
      <c r="D11" s="2" t="str">
        <f>IFERROR(__xludf.DUMMYFUNCTION("""COMPUTED_VALUE"""),"10KM MASTER M")</f>
        <v>10KM MASTER M</v>
      </c>
      <c r="E11" s="1">
        <f>IFERROR(__xludf.DUMMYFUNCTION("""COMPUTED_VALUE"""),4.0)</f>
        <v>4</v>
      </c>
      <c r="F11" s="1" t="str">
        <f>IFERROR(__xludf.DUMMYFUNCTION("""COMPUTED_VALUE"""),"Male")</f>
        <v>Male</v>
      </c>
      <c r="G11" s="5">
        <f>IFERROR(__xludf.DUMMYFUNCTION("""COMPUTED_VALUE"""),0.0029689131944444446)</f>
        <v>0.002968913194</v>
      </c>
      <c r="H11" s="14">
        <f>IFERROR(__xludf.DUMMYFUNCTION("""COMPUTED_VALUE"""),0.24646185185185185)</f>
        <v>0.2464618519</v>
      </c>
      <c r="I11" s="15">
        <f>IFERROR(__xludf.DUMMYFUNCTION("""COMPUTED_VALUE"""),45949.2761509849)</f>
        <v>45949.27615</v>
      </c>
      <c r="J11" s="15">
        <f>IFERROR(__xludf.DUMMYFUNCTION("""COMPUTED_VALUE"""),45949.02968913305)</f>
        <v>45949.02969</v>
      </c>
      <c r="K11" s="15">
        <f>IFERROR(__xludf.DUMMYFUNCTION("""COMPUTED_VALUE"""),45949.252752445376)</f>
        <v>45949.25275</v>
      </c>
      <c r="L11" s="15">
        <f>IFERROR(__xludf.DUMMYFUNCTION("""COMPUTED_VALUE"""),45949.27097274249)</f>
        <v>45949.27097</v>
      </c>
    </row>
    <row r="12">
      <c r="A12" s="1">
        <f>IFERROR(__xludf.DUMMYFUNCTION("""COMPUTED_VALUE"""),11.0)</f>
        <v>11</v>
      </c>
      <c r="B12" s="1">
        <f>IFERROR(__xludf.DUMMYFUNCTION("""COMPUTED_VALUE"""),10064.0)</f>
        <v>10064</v>
      </c>
      <c r="C12" s="13" t="str">
        <f>IFERROR(__xludf.DUMMYFUNCTION("""COMPUTED_VALUE"""),"Dicky")</f>
        <v>Dicky</v>
      </c>
      <c r="D12" s="2" t="str">
        <f>IFERROR(__xludf.DUMMYFUNCTION("""COMPUTED_VALUE"""),"10KM OVERALL M")</f>
        <v>10KM OVERALL M</v>
      </c>
      <c r="E12" s="1">
        <f>IFERROR(__xludf.DUMMYFUNCTION("""COMPUTED_VALUE"""),7.0)</f>
        <v>7</v>
      </c>
      <c r="F12" s="1" t="str">
        <f>IFERROR(__xludf.DUMMYFUNCTION("""COMPUTED_VALUE"""),"Male")</f>
        <v>Male</v>
      </c>
      <c r="G12" s="5">
        <f>IFERROR(__xludf.DUMMYFUNCTION("""COMPUTED_VALUE"""),0.002999804398148148)</f>
        <v>0.002999804398</v>
      </c>
      <c r="H12" s="14">
        <f>IFERROR(__xludf.DUMMYFUNCTION("""COMPUTED_VALUE"""),0.24646185185185185)</f>
        <v>0.2464618519</v>
      </c>
      <c r="I12" s="15">
        <f>IFERROR(__xludf.DUMMYFUNCTION("""COMPUTED_VALUE"""),45949.2764598903)</f>
        <v>45949.27646</v>
      </c>
      <c r="J12" s="15">
        <f>IFERROR(__xludf.DUMMYFUNCTION("""COMPUTED_VALUE"""),45949.02999803845)</f>
        <v>45949.03</v>
      </c>
      <c r="K12" s="15">
        <f>IFERROR(__xludf.DUMMYFUNCTION("""COMPUTED_VALUE"""),45949.252707997075)</f>
        <v>45949.25271</v>
      </c>
      <c r="L12" s="15">
        <f>IFERROR(__xludf.DUMMYFUNCTION("""COMPUTED_VALUE"""),45949.27112898732)</f>
        <v>45949.27113</v>
      </c>
    </row>
    <row r="13">
      <c r="A13" s="1">
        <f>IFERROR(__xludf.DUMMYFUNCTION("""COMPUTED_VALUE"""),12.0)</f>
        <v>12</v>
      </c>
      <c r="B13" s="1">
        <f>IFERROR(__xludf.DUMMYFUNCTION("""COMPUTED_VALUE"""),10758.0)</f>
        <v>10758</v>
      </c>
      <c r="C13" s="13" t="str">
        <f>IFERROR(__xludf.DUMMYFUNCTION("""COMPUTED_VALUE"""),"POLRES BJB")</f>
        <v>POLRES BJB</v>
      </c>
      <c r="D13" s="2" t="str">
        <f>IFERROR(__xludf.DUMMYFUNCTION("""COMPUTED_VALUE"""),"10KM OVERALL M")</f>
        <v>10KM OVERALL M</v>
      </c>
      <c r="E13" s="1">
        <f>IFERROR(__xludf.DUMMYFUNCTION("""COMPUTED_VALUE"""),8.0)</f>
        <v>8</v>
      </c>
      <c r="F13" s="1" t="str">
        <f>IFERROR(__xludf.DUMMYFUNCTION("""COMPUTED_VALUE"""),"Male")</f>
        <v>Male</v>
      </c>
      <c r="G13" s="5">
        <f>IFERROR(__xludf.DUMMYFUNCTION("""COMPUTED_VALUE"""),0.0030546655092592596)</f>
        <v>0.003054665509</v>
      </c>
      <c r="H13" s="14">
        <f>IFERROR(__xludf.DUMMYFUNCTION("""COMPUTED_VALUE"""),0.24646185185185185)</f>
        <v>0.2464618519</v>
      </c>
      <c r="I13" s="15">
        <f>IFERROR(__xludf.DUMMYFUNCTION("""COMPUTED_VALUE"""),45949.27700850156)</f>
        <v>45949.27701</v>
      </c>
      <c r="J13" s="15">
        <f>IFERROR(__xludf.DUMMYFUNCTION("""COMPUTED_VALUE"""),45949.03054664971)</f>
        <v>45949.03055</v>
      </c>
      <c r="K13" s="15">
        <f>IFERROR(__xludf.DUMMYFUNCTION("""COMPUTED_VALUE"""),45949.253165582755)</f>
        <v>45949.25317</v>
      </c>
      <c r="L13" s="15">
        <f>IFERROR(__xludf.DUMMYFUNCTION("""COMPUTED_VALUE"""),45949.27156362146)</f>
        <v>45949.27156</v>
      </c>
    </row>
    <row r="14">
      <c r="A14" s="1">
        <f>IFERROR(__xludf.DUMMYFUNCTION("""COMPUTED_VALUE"""),13.0)</f>
        <v>13</v>
      </c>
      <c r="B14" s="1">
        <f>IFERROR(__xludf.DUMMYFUNCTION("""COMPUTED_VALUE"""),10766.0)</f>
        <v>10766</v>
      </c>
      <c r="C14" s="13" t="str">
        <f>IFERROR(__xludf.DUMMYFUNCTION("""COMPUTED_VALUE"""),"ABI")</f>
        <v>ABI</v>
      </c>
      <c r="D14" s="2" t="str">
        <f>IFERROR(__xludf.DUMMYFUNCTION("""COMPUTED_VALUE"""),"10KM OVERALL M")</f>
        <v>10KM OVERALL M</v>
      </c>
      <c r="E14" s="1">
        <f>IFERROR(__xludf.DUMMYFUNCTION("""COMPUTED_VALUE"""),9.0)</f>
        <v>9</v>
      </c>
      <c r="F14" s="1" t="str">
        <f>IFERROR(__xludf.DUMMYFUNCTION("""COMPUTED_VALUE"""),"Female")</f>
        <v>Female</v>
      </c>
      <c r="G14" s="5">
        <f>IFERROR(__xludf.DUMMYFUNCTION("""COMPUTED_VALUE"""),0.0030772361111111113)</f>
        <v>0.003077236111</v>
      </c>
      <c r="H14" s="14">
        <f>IFERROR(__xludf.DUMMYFUNCTION("""COMPUTED_VALUE"""),0.24646185185185185)</f>
        <v>0.2464618519</v>
      </c>
      <c r="I14" s="15">
        <f>IFERROR(__xludf.DUMMYFUNCTION("""COMPUTED_VALUE"""),45949.27723420731)</f>
        <v>45949.27723</v>
      </c>
      <c r="J14" s="15">
        <f>IFERROR(__xludf.DUMMYFUNCTION("""COMPUTED_VALUE"""),45949.03077235546)</f>
        <v>45949.03077</v>
      </c>
      <c r="K14" s="15">
        <f>IFERROR(__xludf.DUMMYFUNCTION("""COMPUTED_VALUE"""),45949.25377732183)</f>
        <v>45949.25378</v>
      </c>
      <c r="L14" s="15">
        <f>IFERROR(__xludf.DUMMYFUNCTION("""COMPUTED_VALUE"""),45949.27217414821)</f>
        <v>45949.27217</v>
      </c>
    </row>
    <row r="15">
      <c r="A15" s="1">
        <f>IFERROR(__xludf.DUMMYFUNCTION("""COMPUTED_VALUE"""),14.0)</f>
        <v>14</v>
      </c>
      <c r="B15" s="1">
        <f>IFERROR(__xludf.DUMMYFUNCTION("""COMPUTED_VALUE"""),10578.0)</f>
        <v>10578</v>
      </c>
      <c r="C15" s="13" t="str">
        <f>IFERROR(__xludf.DUMMYFUNCTION("""COMPUTED_VALUE"""),"Hendra Setiadi")</f>
        <v>Hendra Setiadi</v>
      </c>
      <c r="D15" s="2" t="str">
        <f>IFERROR(__xludf.DUMMYFUNCTION("""COMPUTED_VALUE"""),"10KM OVERALL M")</f>
        <v>10KM OVERALL M</v>
      </c>
      <c r="E15" s="1">
        <f>IFERROR(__xludf.DUMMYFUNCTION("""COMPUTED_VALUE"""),10.0)</f>
        <v>10</v>
      </c>
      <c r="F15" s="1" t="str">
        <f>IFERROR(__xludf.DUMMYFUNCTION("""COMPUTED_VALUE"""),"Male")</f>
        <v>Male</v>
      </c>
      <c r="G15" s="5">
        <f>IFERROR(__xludf.DUMMYFUNCTION("""COMPUTED_VALUE"""),0.0030998043981481484)</f>
        <v>0.003099804398</v>
      </c>
      <c r="H15" s="14">
        <f>IFERROR(__xludf.DUMMYFUNCTION("""COMPUTED_VALUE"""),0.24646185185185185)</f>
        <v>0.2464618519</v>
      </c>
      <c r="I15" s="15">
        <f>IFERROR(__xludf.DUMMYFUNCTION("""COMPUTED_VALUE"""),45949.27745990118)</f>
        <v>45949.27746</v>
      </c>
      <c r="J15" s="15">
        <f>IFERROR(__xludf.DUMMYFUNCTION("""COMPUTED_VALUE"""),45949.03099804933)</f>
        <v>45949.031</v>
      </c>
      <c r="K15" s="15">
        <f>IFERROR(__xludf.DUMMYFUNCTION("""COMPUTED_VALUE"""),45949.25356494752)</f>
        <v>45949.25356</v>
      </c>
      <c r="L15" s="15">
        <f>IFERROR(__xludf.DUMMYFUNCTION("""COMPUTED_VALUE"""),45949.272160251545)</f>
        <v>45949.27216</v>
      </c>
    </row>
    <row r="16">
      <c r="A16" s="1">
        <f>IFERROR(__xludf.DUMMYFUNCTION("""COMPUTED_VALUE"""),15.0)</f>
        <v>15</v>
      </c>
      <c r="B16" s="1">
        <f>IFERROR(__xludf.DUMMYFUNCTION("""COMPUTED_VALUE"""),10101.0)</f>
        <v>10101</v>
      </c>
      <c r="C16" s="13" t="str">
        <f>IFERROR(__xludf.DUMMYFUNCTION("""COMPUTED_VALUE"""),"Iqbal AbdulQutni")</f>
        <v>Iqbal AbdulQutni</v>
      </c>
      <c r="D16" s="2" t="str">
        <f>IFERROR(__xludf.DUMMYFUNCTION("""COMPUTED_VALUE"""),"10KM OVERALL M")</f>
        <v>10KM OVERALL M</v>
      </c>
      <c r="E16" s="1">
        <f>IFERROR(__xludf.DUMMYFUNCTION("""COMPUTED_VALUE"""),11.0)</f>
        <v>11</v>
      </c>
      <c r="F16" s="1" t="str">
        <f>IFERROR(__xludf.DUMMYFUNCTION("""COMPUTED_VALUE"""),"Male")</f>
        <v>Male</v>
      </c>
      <c r="G16" s="5">
        <f>IFERROR(__xludf.DUMMYFUNCTION("""COMPUTED_VALUE"""),0.003123756944444444)</f>
        <v>0.003123756944</v>
      </c>
      <c r="H16" s="14">
        <f>IFERROR(__xludf.DUMMYFUNCTION("""COMPUTED_VALUE"""),0.24646185185185185)</f>
        <v>0.2464618519</v>
      </c>
      <c r="I16" s="15">
        <f>IFERROR(__xludf.DUMMYFUNCTION("""COMPUTED_VALUE"""),45949.2776994264)</f>
        <v>45949.2777</v>
      </c>
      <c r="J16" s="15">
        <f>IFERROR(__xludf.DUMMYFUNCTION("""COMPUTED_VALUE"""),45949.03123757455)</f>
        <v>45949.03124</v>
      </c>
      <c r="K16" s="15">
        <f>IFERROR(__xludf.DUMMYFUNCTION("""COMPUTED_VALUE"""),45949.25336701726)</f>
        <v>45949.25337</v>
      </c>
      <c r="L16" s="15">
        <f>IFERROR(__xludf.DUMMYFUNCTION("""COMPUTED_VALUE"""),45949.272115343556)</f>
        <v>45949.27212</v>
      </c>
    </row>
    <row r="17">
      <c r="A17" s="1">
        <f>IFERROR(__xludf.DUMMYFUNCTION("""COMPUTED_VALUE"""),16.0)</f>
        <v>16</v>
      </c>
      <c r="B17" s="1">
        <f>IFERROR(__xludf.DUMMYFUNCTION("""COMPUTED_VALUE"""),12081.0)</f>
        <v>12081</v>
      </c>
      <c r="C17" s="13" t="str">
        <f>IFERROR(__xludf.DUMMYFUNCTION("""COMPUTED_VALUE"""),"MAHYUDIN")</f>
        <v>MAHYUDIN</v>
      </c>
      <c r="D17" s="2" t="str">
        <f>IFERROR(__xludf.DUMMYFUNCTION("""COMPUTED_VALUE"""),"10KM MASTER M")</f>
        <v>10KM MASTER M</v>
      </c>
      <c r="E17" s="1">
        <f>IFERROR(__xludf.DUMMYFUNCTION("""COMPUTED_VALUE"""),5.0)</f>
        <v>5</v>
      </c>
      <c r="F17" s="1" t="str">
        <f>IFERROR(__xludf.DUMMYFUNCTION("""COMPUTED_VALUE"""),"Male")</f>
        <v>Male</v>
      </c>
      <c r="G17" s="5">
        <f>IFERROR(__xludf.DUMMYFUNCTION("""COMPUTED_VALUE"""),0.003125847222222222)</f>
        <v>0.003125847222</v>
      </c>
      <c r="H17" s="14">
        <f>IFERROR(__xludf.DUMMYFUNCTION("""COMPUTED_VALUE"""),0.24646185185185185)</f>
        <v>0.2464618519</v>
      </c>
      <c r="I17" s="15">
        <f>IFERROR(__xludf.DUMMYFUNCTION("""COMPUTED_VALUE"""),45949.2777203251)</f>
        <v>45949.27772</v>
      </c>
      <c r="J17" s="15">
        <f>IFERROR(__xludf.DUMMYFUNCTION("""COMPUTED_VALUE"""),45949.03125847325)</f>
        <v>45949.03126</v>
      </c>
      <c r="K17" s="15">
        <f>IFERROR(__xludf.DUMMYFUNCTION("""COMPUTED_VALUE"""),45949.25315908829)</f>
        <v>45949.25316</v>
      </c>
      <c r="L17" s="15">
        <f>IFERROR(__xludf.DUMMYFUNCTION("""COMPUTED_VALUE"""),45949.27227829547)</f>
        <v>45949.27228</v>
      </c>
    </row>
    <row r="18">
      <c r="A18" s="1">
        <f>IFERROR(__xludf.DUMMYFUNCTION("""COMPUTED_VALUE"""),17.0)</f>
        <v>17</v>
      </c>
      <c r="B18" s="1">
        <f>IFERROR(__xludf.DUMMYFUNCTION("""COMPUTED_VALUE"""),10389.0)</f>
        <v>10389</v>
      </c>
      <c r="C18" s="13" t="str">
        <f>IFERROR(__xludf.DUMMYFUNCTION("""COMPUTED_VALUE"""),"Fahrul")</f>
        <v>Fahrul</v>
      </c>
      <c r="D18" s="2" t="str">
        <f>IFERROR(__xludf.DUMMYFUNCTION("""COMPUTED_VALUE"""),"10KM OVERALL M")</f>
        <v>10KM OVERALL M</v>
      </c>
      <c r="E18" s="1">
        <f>IFERROR(__xludf.DUMMYFUNCTION("""COMPUTED_VALUE"""),12.0)</f>
        <v>12</v>
      </c>
      <c r="F18" s="1" t="str">
        <f>IFERROR(__xludf.DUMMYFUNCTION("""COMPUTED_VALUE"""),"Male")</f>
        <v>Male</v>
      </c>
      <c r="G18" s="5">
        <f>IFERROR(__xludf.DUMMYFUNCTION("""COMPUTED_VALUE"""),0.0031300138888888883)</f>
        <v>0.003130013889</v>
      </c>
      <c r="H18" s="14">
        <f>IFERROR(__xludf.DUMMYFUNCTION("""COMPUTED_VALUE"""),0.24646185185185185)</f>
        <v>0.2464618519</v>
      </c>
      <c r="I18" s="15">
        <f>IFERROR(__xludf.DUMMYFUNCTION("""COMPUTED_VALUE"""),45949.27776198776)</f>
        <v>45949.27776</v>
      </c>
      <c r="J18" s="15">
        <f>IFERROR(__xludf.DUMMYFUNCTION("""COMPUTED_VALUE"""),45949.03130013591)</f>
        <v>45949.0313</v>
      </c>
      <c r="K18" s="15">
        <f>IFERROR(__xludf.DUMMYFUNCTION("""COMPUTED_VALUE"""),45949.25419683331)</f>
        <v>45949.2542</v>
      </c>
      <c r="L18" s="15">
        <f>IFERROR(__xludf.DUMMYFUNCTION("""COMPUTED_VALUE"""),45949.27263941606)</f>
        <v>45949.27264</v>
      </c>
    </row>
    <row r="19">
      <c r="A19" s="1">
        <f>IFERROR(__xludf.DUMMYFUNCTION("""COMPUTED_VALUE"""),18.0)</f>
        <v>18</v>
      </c>
      <c r="B19" s="1">
        <f>IFERROR(__xludf.DUMMYFUNCTION("""COMPUTED_VALUE"""),10035.0)</f>
        <v>10035</v>
      </c>
      <c r="C19" s="13" t="str">
        <f>IFERROR(__xludf.DUMMYFUNCTION("""COMPUTED_VALUE"""),"Amrullah")</f>
        <v>Amrullah</v>
      </c>
      <c r="D19" s="2" t="str">
        <f>IFERROR(__xludf.DUMMYFUNCTION("""COMPUTED_VALUE"""),"10KM OVERALL M")</f>
        <v>10KM OVERALL M</v>
      </c>
      <c r="E19" s="1">
        <f>IFERROR(__xludf.DUMMYFUNCTION("""COMPUTED_VALUE"""),13.0)</f>
        <v>13</v>
      </c>
      <c r="F19" s="1" t="str">
        <f>IFERROR(__xludf.DUMMYFUNCTION("""COMPUTED_VALUE"""),"Male")</f>
        <v>Male</v>
      </c>
      <c r="G19" s="5">
        <f>IFERROR(__xludf.DUMMYFUNCTION("""COMPUTED_VALUE"""),0.0031495381944444444)</f>
        <v>0.003149538194</v>
      </c>
      <c r="H19" s="14">
        <f>IFERROR(__xludf.DUMMYFUNCTION("""COMPUTED_VALUE"""),0.24646185185185185)</f>
        <v>0.2464618519</v>
      </c>
      <c r="I19" s="15">
        <f>IFERROR(__xludf.DUMMYFUNCTION("""COMPUTED_VALUE"""),45949.27795722864)</f>
        <v>45949.27796</v>
      </c>
      <c r="J19" s="15">
        <f>IFERROR(__xludf.DUMMYFUNCTION("""COMPUTED_VALUE"""),45949.03149537679)</f>
        <v>45949.0315</v>
      </c>
      <c r="K19" s="15">
        <f>IFERROR(__xludf.DUMMYFUNCTION("""COMPUTED_VALUE"""),45949.253811477785)</f>
        <v>45949.25381</v>
      </c>
      <c r="L19" s="15">
        <f>IFERROR(__xludf.DUMMYFUNCTION("""COMPUTED_VALUE"""),45949.27252477901)</f>
        <v>45949.27252</v>
      </c>
    </row>
    <row r="20">
      <c r="A20" s="1">
        <f>IFERROR(__xludf.DUMMYFUNCTION("""COMPUTED_VALUE"""),19.0)</f>
        <v>19</v>
      </c>
      <c r="B20" s="1">
        <f>IFERROR(__xludf.DUMMYFUNCTION("""COMPUTED_VALUE"""),10071.0)</f>
        <v>10071</v>
      </c>
      <c r="C20" s="13" t="str">
        <f>IFERROR(__xludf.DUMMYFUNCTION("""COMPUTED_VALUE"""),"RASYID AAN")</f>
        <v>RASYID AAN</v>
      </c>
      <c r="D20" s="2" t="str">
        <f>IFERROR(__xludf.DUMMYFUNCTION("""COMPUTED_VALUE"""),"10KM OVERALL M")</f>
        <v>10KM OVERALL M</v>
      </c>
      <c r="E20" s="1">
        <f>IFERROR(__xludf.DUMMYFUNCTION("""COMPUTED_VALUE"""),14.0)</f>
        <v>14</v>
      </c>
      <c r="F20" s="1" t="str">
        <f>IFERROR(__xludf.DUMMYFUNCTION("""COMPUTED_VALUE"""),"Male")</f>
        <v>Male</v>
      </c>
      <c r="G20" s="5">
        <f>IFERROR(__xludf.DUMMYFUNCTION("""COMPUTED_VALUE"""),0.0031550127314814817)</f>
        <v>0.003155012731</v>
      </c>
      <c r="H20" s="14">
        <f>IFERROR(__xludf.DUMMYFUNCTION("""COMPUTED_VALUE"""),0.24646185185185185)</f>
        <v>0.2464618519</v>
      </c>
      <c r="I20" s="15">
        <f>IFERROR(__xludf.DUMMYFUNCTION("""COMPUTED_VALUE"""),45949.27801198457)</f>
        <v>45949.27801</v>
      </c>
      <c r="J20" s="15">
        <f>IFERROR(__xludf.DUMMYFUNCTION("""COMPUTED_VALUE"""),45949.03155013272)</f>
        <v>45949.03155</v>
      </c>
      <c r="K20" s="15">
        <f>IFERROR(__xludf.DUMMYFUNCTION("""COMPUTED_VALUE"""),45949.253665579534)</f>
        <v>45949.25367</v>
      </c>
      <c r="L20" s="15">
        <f>IFERROR(__xludf.DUMMYFUNCTION("""COMPUTED_VALUE"""),45949.272462329915)</f>
        <v>45949.27246</v>
      </c>
    </row>
    <row r="21">
      <c r="A21" s="1">
        <f>IFERROR(__xludf.DUMMYFUNCTION("""COMPUTED_VALUE"""),20.0)</f>
        <v>20</v>
      </c>
      <c r="B21" s="1">
        <f>IFERROR(__xludf.DUMMYFUNCTION("""COMPUTED_VALUE"""),10046.0)</f>
        <v>10046</v>
      </c>
      <c r="C21" s="13" t="str">
        <f>IFERROR(__xludf.DUMMYFUNCTION("""COMPUTED_VALUE"""),"Hamli")</f>
        <v>Hamli</v>
      </c>
      <c r="D21" s="2" t="str">
        <f>IFERROR(__xludf.DUMMYFUNCTION("""COMPUTED_VALUE"""),"10KM OVERALL M")</f>
        <v>10KM OVERALL M</v>
      </c>
      <c r="E21" s="1">
        <f>IFERROR(__xludf.DUMMYFUNCTION("""COMPUTED_VALUE"""),15.0)</f>
        <v>15</v>
      </c>
      <c r="F21" s="1" t="str">
        <f>IFERROR(__xludf.DUMMYFUNCTION("""COMPUTED_VALUE"""),"Male")</f>
        <v>Male</v>
      </c>
      <c r="G21" s="5">
        <f>IFERROR(__xludf.DUMMYFUNCTION("""COMPUTED_VALUE"""),0.003163346064814815)</f>
        <v>0.003163346065</v>
      </c>
      <c r="H21" s="14">
        <f>IFERROR(__xludf.DUMMYFUNCTION("""COMPUTED_VALUE"""),0.24646185185185185)</f>
        <v>0.2464618519</v>
      </c>
      <c r="I21" s="15">
        <f>IFERROR(__xludf.DUMMYFUNCTION("""COMPUTED_VALUE"""),45949.278095311296)</f>
        <v>45949.2781</v>
      </c>
      <c r="J21" s="15">
        <f>IFERROR(__xludf.DUMMYFUNCTION("""COMPUTED_VALUE"""),45949.031633459446)</f>
        <v>45949.03163</v>
      </c>
      <c r="K21" s="15">
        <f>IFERROR(__xludf.DUMMYFUNCTION("""COMPUTED_VALUE"""),45949.25327669009)</f>
        <v>45949.25328</v>
      </c>
      <c r="L21" s="15">
        <f>IFERROR(__xludf.DUMMYFUNCTION("""COMPUTED_VALUE"""),45949.27254217863)</f>
        <v>45949.27254</v>
      </c>
    </row>
    <row r="22">
      <c r="A22" s="1">
        <f>IFERROR(__xludf.DUMMYFUNCTION("""COMPUTED_VALUE"""),21.0)</f>
        <v>21</v>
      </c>
      <c r="B22" s="1">
        <f>IFERROR(__xludf.DUMMYFUNCTION("""COMPUTED_VALUE"""),10664.0)</f>
        <v>10664</v>
      </c>
      <c r="C22" s="13" t="str">
        <f>IFERROR(__xludf.DUMMYFUNCTION("""COMPUTED_VALUE"""),"MUHAMMAD RIFKY RIDANI")</f>
        <v>MUHAMMAD RIFKY RIDANI</v>
      </c>
      <c r="D22" s="2" t="str">
        <f>IFERROR(__xludf.DUMMYFUNCTION("""COMPUTED_VALUE"""),"10KM OVERALL M")</f>
        <v>10KM OVERALL M</v>
      </c>
      <c r="E22" s="1">
        <f>IFERROR(__xludf.DUMMYFUNCTION("""COMPUTED_VALUE"""),16.0)</f>
        <v>16</v>
      </c>
      <c r="F22" s="1" t="str">
        <f>IFERROR(__xludf.DUMMYFUNCTION("""COMPUTED_VALUE"""),"Male")</f>
        <v>Male</v>
      </c>
      <c r="G22" s="5">
        <f>IFERROR(__xludf.DUMMYFUNCTION("""COMPUTED_VALUE"""),0.0031678611111111117)</f>
        <v>0.003167861111</v>
      </c>
      <c r="H22" s="14">
        <f>IFERROR(__xludf.DUMMYFUNCTION("""COMPUTED_VALUE"""),0.24646185185185185)</f>
        <v>0.2464618519</v>
      </c>
      <c r="I22" s="15">
        <f>IFERROR(__xludf.DUMMYFUNCTION("""COMPUTED_VALUE"""),45949.2781404639)</f>
        <v>45949.27814</v>
      </c>
      <c r="J22" s="15">
        <f>IFERROR(__xludf.DUMMYFUNCTION("""COMPUTED_VALUE"""),45949.03167861205)</f>
        <v>45949.03168</v>
      </c>
      <c r="K22" s="15">
        <f>IFERROR(__xludf.DUMMYFUNCTION("""COMPUTED_VALUE"""),45949.25289572697)</f>
        <v>45949.2529</v>
      </c>
      <c r="L22" s="15">
        <f>IFERROR(__xludf.DUMMYFUNCTION("""COMPUTED_VALUE"""),45949.27239636596)</f>
        <v>45949.2724</v>
      </c>
    </row>
    <row r="23">
      <c r="A23" s="1">
        <f>IFERROR(__xludf.DUMMYFUNCTION("""COMPUTED_VALUE"""),22.0)</f>
        <v>22</v>
      </c>
      <c r="B23" s="1">
        <f>IFERROR(__xludf.DUMMYFUNCTION("""COMPUTED_VALUE"""),10547.0)</f>
        <v>10547</v>
      </c>
      <c r="C23" s="13" t="str">
        <f>IFERROR(__xludf.DUMMYFUNCTION("""COMPUTED_VALUE"""),"Abdurrahman Sidiq")</f>
        <v>Abdurrahman Sidiq</v>
      </c>
      <c r="D23" s="2" t="str">
        <f>IFERROR(__xludf.DUMMYFUNCTION("""COMPUTED_VALUE"""),"10KM OVERALL M")</f>
        <v>10KM OVERALL M</v>
      </c>
      <c r="E23" s="1">
        <f>IFERROR(__xludf.DUMMYFUNCTION("""COMPUTED_VALUE"""),17.0)</f>
        <v>17</v>
      </c>
      <c r="F23" s="1" t="str">
        <f>IFERROR(__xludf.DUMMYFUNCTION("""COMPUTED_VALUE"""),"Male")</f>
        <v>Male</v>
      </c>
      <c r="G23" s="5">
        <f>IFERROR(__xludf.DUMMYFUNCTION("""COMPUTED_VALUE"""),0.0031942488425925923)</f>
        <v>0.003194248843</v>
      </c>
      <c r="H23" s="14">
        <f>IFERROR(__xludf.DUMMYFUNCTION("""COMPUTED_VALUE"""),0.24646185185185185)</f>
        <v>0.2464618519</v>
      </c>
      <c r="I23" s="15">
        <f>IFERROR(__xludf.DUMMYFUNCTION("""COMPUTED_VALUE"""),45949.27840434018)</f>
        <v>45949.2784</v>
      </c>
      <c r="J23" s="15">
        <f>IFERROR(__xludf.DUMMYFUNCTION("""COMPUTED_VALUE"""),45949.03194248833)</f>
        <v>45949.03194</v>
      </c>
      <c r="K23" s="15">
        <f>IFERROR(__xludf.DUMMYFUNCTION("""COMPUTED_VALUE"""),45949.25279058859)</f>
        <v>45949.25279</v>
      </c>
      <c r="L23" s="15">
        <f>IFERROR(__xludf.DUMMYFUNCTION("""COMPUTED_VALUE"""),45949.27266024649)</f>
        <v>45949.27266</v>
      </c>
    </row>
    <row r="24">
      <c r="A24" s="1">
        <f>IFERROR(__xludf.DUMMYFUNCTION("""COMPUTED_VALUE"""),23.0)</f>
        <v>23</v>
      </c>
      <c r="B24" s="1">
        <f>IFERROR(__xludf.DUMMYFUNCTION("""COMPUTED_VALUE"""),12023.0)</f>
        <v>12023</v>
      </c>
      <c r="C24" s="13" t="str">
        <f>IFERROR(__xludf.DUMMYFUNCTION("""COMPUTED_VALUE"""),"Sukardi")</f>
        <v>Sukardi</v>
      </c>
      <c r="D24" s="2" t="str">
        <f>IFERROR(__xludf.DUMMYFUNCTION("""COMPUTED_VALUE"""),"10KM MASTER M")</f>
        <v>10KM MASTER M</v>
      </c>
      <c r="E24" s="1">
        <f>IFERROR(__xludf.DUMMYFUNCTION("""COMPUTED_VALUE"""),6.0)</f>
        <v>6</v>
      </c>
      <c r="F24" s="1" t="str">
        <f>IFERROR(__xludf.DUMMYFUNCTION("""COMPUTED_VALUE"""),"Male")</f>
        <v>Male</v>
      </c>
      <c r="G24" s="5">
        <f>IFERROR(__xludf.DUMMYFUNCTION("""COMPUTED_VALUE"""),0.0032039710648148153)</f>
        <v>0.003203971065</v>
      </c>
      <c r="H24" s="14">
        <f>IFERROR(__xludf.DUMMYFUNCTION("""COMPUTED_VALUE"""),0.24646185185185185)</f>
        <v>0.2464618519</v>
      </c>
      <c r="I24" s="15">
        <f>IFERROR(__xludf.DUMMYFUNCTION("""COMPUTED_VALUE"""),45949.27850155798)</f>
        <v>45949.2785</v>
      </c>
      <c r="J24" s="15">
        <f>IFERROR(__xludf.DUMMYFUNCTION("""COMPUTED_VALUE"""),45949.03203970613)</f>
        <v>45949.03204</v>
      </c>
      <c r="K24" s="15">
        <f>IFERROR(__xludf.DUMMYFUNCTION("""COMPUTED_VALUE"""),45949.25338780884)</f>
        <v>45949.25339</v>
      </c>
      <c r="L24" s="15">
        <f>IFERROR(__xludf.DUMMYFUNCTION("""COMPUTED_VALUE"""),45949.27292414419)</f>
        <v>45949.27292</v>
      </c>
    </row>
    <row r="25">
      <c r="A25" s="1">
        <f>IFERROR(__xludf.DUMMYFUNCTION("""COMPUTED_VALUE"""),24.0)</f>
        <v>24</v>
      </c>
      <c r="B25" s="1">
        <f>IFERROR(__xludf.DUMMYFUNCTION("""COMPUTED_VALUE"""),10692.0)</f>
        <v>10692</v>
      </c>
      <c r="C25" s="13" t="str">
        <f>IFERROR(__xludf.DUMMYFUNCTION("""COMPUTED_VALUE"""),"Awan")</f>
        <v>Awan</v>
      </c>
      <c r="D25" s="2" t="str">
        <f>IFERROR(__xludf.DUMMYFUNCTION("""COMPUTED_VALUE"""),"10KM OVERALL M")</f>
        <v>10KM OVERALL M</v>
      </c>
      <c r="E25" s="1">
        <f>IFERROR(__xludf.DUMMYFUNCTION("""COMPUTED_VALUE"""),18.0)</f>
        <v>18</v>
      </c>
      <c r="F25" s="1" t="str">
        <f>IFERROR(__xludf.DUMMYFUNCTION("""COMPUTED_VALUE"""),"Male")</f>
        <v>Male</v>
      </c>
      <c r="G25" s="5">
        <f>IFERROR(__xludf.DUMMYFUNCTION("""COMPUTED_VALUE"""),0.003214037037037037)</f>
        <v>0.003214037037</v>
      </c>
      <c r="H25" s="14">
        <f>IFERROR(__xludf.DUMMYFUNCTION("""COMPUTED_VALUE"""),0.24646185185185185)</f>
        <v>0.2464618519</v>
      </c>
      <c r="I25" s="15">
        <f>IFERROR(__xludf.DUMMYFUNCTION("""COMPUTED_VALUE"""),45949.27860221689)</f>
        <v>45949.2786</v>
      </c>
      <c r="J25" s="15">
        <f>IFERROR(__xludf.DUMMYFUNCTION("""COMPUTED_VALUE"""),45949.03214036504)</f>
        <v>45949.03214</v>
      </c>
      <c r="K25" s="15">
        <f>IFERROR(__xludf.DUMMYFUNCTION("""COMPUTED_VALUE"""),45949.25370036109)</f>
        <v>45949.2537</v>
      </c>
      <c r="L25" s="15">
        <f>IFERROR(__xludf.DUMMYFUNCTION("""COMPUTED_VALUE"""),45949.273080407926)</f>
        <v>45949.27308</v>
      </c>
    </row>
    <row r="26">
      <c r="A26" s="1">
        <f>IFERROR(__xludf.DUMMYFUNCTION("""COMPUTED_VALUE"""),25.0)</f>
        <v>25</v>
      </c>
      <c r="B26" s="1">
        <f>IFERROR(__xludf.DUMMYFUNCTION("""COMPUTED_VALUE"""),10562.0)</f>
        <v>10562</v>
      </c>
      <c r="C26" s="13" t="str">
        <f>IFERROR(__xludf.DUMMYFUNCTION("""COMPUTED_VALUE"""),"Anagram")</f>
        <v>Anagram</v>
      </c>
      <c r="D26" s="2" t="str">
        <f>IFERROR(__xludf.DUMMYFUNCTION("""COMPUTED_VALUE"""),"10KM OVERALL F")</f>
        <v>10KM OVERALL F</v>
      </c>
      <c r="E26" s="1">
        <f>IFERROR(__xludf.DUMMYFUNCTION("""COMPUTED_VALUE"""),1.0)</f>
        <v>1</v>
      </c>
      <c r="F26" s="1" t="str">
        <f>IFERROR(__xludf.DUMMYFUNCTION("""COMPUTED_VALUE"""),"Female")</f>
        <v>Female</v>
      </c>
      <c r="G26" s="5">
        <f>IFERROR(__xludf.DUMMYFUNCTION("""COMPUTED_VALUE"""),0.0032616099537037036)</f>
        <v>0.003261609954</v>
      </c>
      <c r="H26" s="14">
        <f>IFERROR(__xludf.DUMMYFUNCTION("""COMPUTED_VALUE"""),0.24646185185185185)</f>
        <v>0.2464618519</v>
      </c>
      <c r="I26" s="15">
        <f>IFERROR(__xludf.DUMMYFUNCTION("""COMPUTED_VALUE"""),45949.27907795577)</f>
        <v>45949.27908</v>
      </c>
      <c r="J26" s="15">
        <f>IFERROR(__xludf.DUMMYFUNCTION("""COMPUTED_VALUE"""),45949.03261610392)</f>
        <v>45949.03262</v>
      </c>
      <c r="K26" s="15">
        <f>IFERROR(__xludf.DUMMYFUNCTION("""COMPUTED_VALUE"""),45949.253725004804)</f>
        <v>45949.25373</v>
      </c>
      <c r="L26" s="15">
        <f>IFERROR(__xludf.DUMMYFUNCTION("""COMPUTED_VALUE"""),45949.273309553304)</f>
        <v>45949.27331</v>
      </c>
    </row>
    <row r="27">
      <c r="A27" s="1">
        <f>IFERROR(__xludf.DUMMYFUNCTION("""COMPUTED_VALUE"""),26.0)</f>
        <v>26</v>
      </c>
      <c r="B27" s="1">
        <f>IFERROR(__xludf.DUMMYFUNCTION("""COMPUTED_VALUE"""),10384.0)</f>
        <v>10384</v>
      </c>
      <c r="C27" s="13" t="str">
        <f>IFERROR(__xludf.DUMMYFUNCTION("""COMPUTED_VALUE"""),"kamal_metalica")</f>
        <v>kamal_metalica</v>
      </c>
      <c r="D27" s="2" t="str">
        <f>IFERROR(__xludf.DUMMYFUNCTION("""COMPUTED_VALUE"""),"10KM OVERALL M")</f>
        <v>10KM OVERALL M</v>
      </c>
      <c r="E27" s="1">
        <f>IFERROR(__xludf.DUMMYFUNCTION("""COMPUTED_VALUE"""),19.0)</f>
        <v>19</v>
      </c>
      <c r="F27" s="1" t="str">
        <f>IFERROR(__xludf.DUMMYFUNCTION("""COMPUTED_VALUE"""),"Male")</f>
        <v>Male</v>
      </c>
      <c r="G27" s="5">
        <f>IFERROR(__xludf.DUMMYFUNCTION("""COMPUTED_VALUE"""),0.003278623842592593)</f>
        <v>0.003278623843</v>
      </c>
      <c r="H27" s="14">
        <f>IFERROR(__xludf.DUMMYFUNCTION("""COMPUTED_VALUE"""),0.24646185185185185)</f>
        <v>0.2464618519</v>
      </c>
      <c r="I27" s="15">
        <f>IFERROR(__xludf.DUMMYFUNCTION("""COMPUTED_VALUE"""),45949.27924808952)</f>
        <v>45949.27925</v>
      </c>
      <c r="J27" s="15">
        <f>IFERROR(__xludf.DUMMYFUNCTION("""COMPUTED_VALUE"""),45949.03278623767)</f>
        <v>45949.03279</v>
      </c>
      <c r="K27" s="15">
        <f>IFERROR(__xludf.DUMMYFUNCTION("""COMPUTED_VALUE"""),45949.25272478176)</f>
        <v>45949.25272</v>
      </c>
      <c r="L27" s="15">
        <f>IFERROR(__xludf.DUMMYFUNCTION("""COMPUTED_VALUE"""),45949.27147278411)</f>
        <v>45949.27147</v>
      </c>
    </row>
    <row r="28">
      <c r="A28" s="1">
        <f>IFERROR(__xludf.DUMMYFUNCTION("""COMPUTED_VALUE"""),27.0)</f>
        <v>27</v>
      </c>
      <c r="B28" s="1">
        <f>IFERROR(__xludf.DUMMYFUNCTION("""COMPUTED_VALUE"""),12067.0)</f>
        <v>12067</v>
      </c>
      <c r="C28" s="13" t="str">
        <f>IFERROR(__xludf.DUMMYFUNCTION("""COMPUTED_VALUE"""),"Ancha")</f>
        <v>Ancha</v>
      </c>
      <c r="D28" s="2" t="str">
        <f>IFERROR(__xludf.DUMMYFUNCTION("""COMPUTED_VALUE"""),"10KM MASTER M")</f>
        <v>10KM MASTER M</v>
      </c>
      <c r="E28" s="1">
        <f>IFERROR(__xludf.DUMMYFUNCTION("""COMPUTED_VALUE"""),7.0)</f>
        <v>7</v>
      </c>
      <c r="F28" s="1" t="str">
        <f>IFERROR(__xludf.DUMMYFUNCTION("""COMPUTED_VALUE"""),"Male")</f>
        <v>Male</v>
      </c>
      <c r="G28" s="5">
        <f>IFERROR(__xludf.DUMMYFUNCTION("""COMPUTED_VALUE"""),0.003308184027777778)</f>
        <v>0.003308184028</v>
      </c>
      <c r="H28" s="14">
        <f>IFERROR(__xludf.DUMMYFUNCTION("""COMPUTED_VALUE"""),0.24646185185185185)</f>
        <v>0.2464618519</v>
      </c>
      <c r="I28" s="15">
        <f>IFERROR(__xludf.DUMMYFUNCTION("""COMPUTED_VALUE"""),45949.27954368983)</f>
        <v>45949.27954</v>
      </c>
      <c r="J28" s="15">
        <f>IFERROR(__xludf.DUMMYFUNCTION("""COMPUTED_VALUE"""),45949.03308183798)</f>
        <v>45949.03308</v>
      </c>
      <c r="K28" s="15">
        <f>IFERROR(__xludf.DUMMYFUNCTION("""COMPUTED_VALUE"""),45949.25382876531)</f>
        <v>45949.25383</v>
      </c>
      <c r="L28" s="15">
        <f>IFERROR(__xludf.DUMMYFUNCTION("""COMPUTED_VALUE"""),45949.273785239995)</f>
        <v>45949.27379</v>
      </c>
    </row>
    <row r="29">
      <c r="A29" s="1">
        <f>IFERROR(__xludf.DUMMYFUNCTION("""COMPUTED_VALUE"""),28.0)</f>
        <v>28</v>
      </c>
      <c r="B29" s="1">
        <f>IFERROR(__xludf.DUMMYFUNCTION("""COMPUTED_VALUE"""),10469.0)</f>
        <v>10469</v>
      </c>
      <c r="C29" s="13" t="str">
        <f>IFERROR(__xludf.DUMMYFUNCTION("""COMPUTED_VALUE"""),"Nabiel")</f>
        <v>Nabiel</v>
      </c>
      <c r="D29" s="2" t="str">
        <f>IFERROR(__xludf.DUMMYFUNCTION("""COMPUTED_VALUE"""),"10KM OVERALL M")</f>
        <v>10KM OVERALL M</v>
      </c>
      <c r="E29" s="1">
        <f>IFERROR(__xludf.DUMMYFUNCTION("""COMPUTED_VALUE"""),20.0)</f>
        <v>20</v>
      </c>
      <c r="F29" s="1" t="str">
        <f>IFERROR(__xludf.DUMMYFUNCTION("""COMPUTED_VALUE"""),"Male")</f>
        <v>Male</v>
      </c>
      <c r="G29" s="5">
        <f>IFERROR(__xludf.DUMMYFUNCTION("""COMPUTED_VALUE"""),0.003330707175925926)</f>
        <v>0.003330707176</v>
      </c>
      <c r="H29" s="14">
        <f>IFERROR(__xludf.DUMMYFUNCTION("""COMPUTED_VALUE"""),0.24646185185185185)</f>
        <v>0.2464618519</v>
      </c>
      <c r="I29" s="15">
        <f>IFERROR(__xludf.DUMMYFUNCTION("""COMPUTED_VALUE"""),45949.27976892605)</f>
        <v>45949.27977</v>
      </c>
      <c r="J29" s="15">
        <f>IFERROR(__xludf.DUMMYFUNCTION("""COMPUTED_VALUE"""),45949.0333070742)</f>
        <v>45949.03331</v>
      </c>
      <c r="K29" s="15">
        <f>IFERROR(__xludf.DUMMYFUNCTION("""COMPUTED_VALUE"""),45949.2541311565)</f>
        <v>45949.25413</v>
      </c>
      <c r="L29" s="15">
        <f>IFERROR(__xludf.DUMMYFUNCTION("""COMPUTED_VALUE"""),45949.27371584788)</f>
        <v>45949.27372</v>
      </c>
    </row>
    <row r="30">
      <c r="A30" s="1">
        <f>IFERROR(__xludf.DUMMYFUNCTION("""COMPUTED_VALUE"""),29.0)</f>
        <v>29</v>
      </c>
      <c r="B30" s="1">
        <f>IFERROR(__xludf.DUMMYFUNCTION("""COMPUTED_VALUE"""),10246.0)</f>
        <v>10246</v>
      </c>
      <c r="C30" s="13" t="str">
        <f>IFERROR(__xludf.DUMMYFUNCTION("""COMPUTED_VALUE"""),"Dewa junior")</f>
        <v>Dewa junior</v>
      </c>
      <c r="D30" s="2" t="str">
        <f>IFERROR(__xludf.DUMMYFUNCTION("""COMPUTED_VALUE"""),"10KM OVERALL M")</f>
        <v>10KM OVERALL M</v>
      </c>
      <c r="E30" s="1">
        <f>IFERROR(__xludf.DUMMYFUNCTION("""COMPUTED_VALUE"""),21.0)</f>
        <v>21</v>
      </c>
      <c r="F30" s="1" t="str">
        <f>IFERROR(__xludf.DUMMYFUNCTION("""COMPUTED_VALUE"""),"Male")</f>
        <v>Male</v>
      </c>
      <c r="G30" s="5">
        <f>IFERROR(__xludf.DUMMYFUNCTION("""COMPUTED_VALUE"""),0.0033373043981481483)</f>
        <v>0.003337304398</v>
      </c>
      <c r="H30" s="14">
        <f>IFERROR(__xludf.DUMMYFUNCTION("""COMPUTED_VALUE"""),0.24646185185185185)</f>
        <v>0.2464618519</v>
      </c>
      <c r="I30" s="15">
        <f>IFERROR(__xludf.DUMMYFUNCTION("""COMPUTED_VALUE"""),45949.27983490083)</f>
        <v>45949.27983</v>
      </c>
      <c r="J30" s="15">
        <f>IFERROR(__xludf.DUMMYFUNCTION("""COMPUTED_VALUE"""),45949.03337304898)</f>
        <v>45949.03337</v>
      </c>
      <c r="K30" s="15">
        <f>IFERROR(__xludf.DUMMYFUNCTION("""COMPUTED_VALUE"""),45949.25366560269)</f>
        <v>45949.25367</v>
      </c>
      <c r="L30" s="15">
        <f>IFERROR(__xludf.DUMMYFUNCTION("""COMPUTED_VALUE"""),45949.27391024997)</f>
        <v>45949.27391</v>
      </c>
    </row>
    <row r="31">
      <c r="A31" s="1">
        <f>IFERROR(__xludf.DUMMYFUNCTION("""COMPUTED_VALUE"""),30.0)</f>
        <v>30</v>
      </c>
      <c r="B31" s="1">
        <f>IFERROR(__xludf.DUMMYFUNCTION("""COMPUTED_VALUE"""),10212.0)</f>
        <v>10212</v>
      </c>
      <c r="C31" s="13" t="str">
        <f>IFERROR(__xludf.DUMMYFUNCTION("""COMPUTED_VALUE"""),"Yoggy")</f>
        <v>Yoggy</v>
      </c>
      <c r="D31" s="2" t="str">
        <f>IFERROR(__xludf.DUMMYFUNCTION("""COMPUTED_VALUE"""),"10KM OVERALL M")</f>
        <v>10KM OVERALL M</v>
      </c>
      <c r="E31" s="1">
        <f>IFERROR(__xludf.DUMMYFUNCTION("""COMPUTED_VALUE"""),22.0)</f>
        <v>22</v>
      </c>
      <c r="F31" s="1" t="str">
        <f>IFERROR(__xludf.DUMMYFUNCTION("""COMPUTED_VALUE"""),"Male")</f>
        <v>Male</v>
      </c>
      <c r="G31" s="5">
        <f>IFERROR(__xludf.DUMMYFUNCTION("""COMPUTED_VALUE"""),0.0033553541666666666)</f>
        <v>0.003355354167</v>
      </c>
      <c r="H31" s="14">
        <f>IFERROR(__xludf.DUMMYFUNCTION("""COMPUTED_VALUE"""),0.24646185185185185)</f>
        <v>0.2464618519</v>
      </c>
      <c r="I31" s="15">
        <f>IFERROR(__xludf.DUMMYFUNCTION("""COMPUTED_VALUE"""),45949.28001539826)</f>
        <v>45949.28002</v>
      </c>
      <c r="J31" s="15">
        <f>IFERROR(__xludf.DUMMYFUNCTION("""COMPUTED_VALUE"""),45949.03355354641)</f>
        <v>45949.03355</v>
      </c>
      <c r="K31" s="15">
        <f>IFERROR(__xludf.DUMMYFUNCTION("""COMPUTED_VALUE"""),45949.254780161755)</f>
        <v>45949.25478</v>
      </c>
      <c r="L31" s="15">
        <f>IFERROR(__xludf.DUMMYFUNCTION("""COMPUTED_VALUE"""),45949.27441804722)</f>
        <v>45949.27442</v>
      </c>
    </row>
    <row r="32">
      <c r="A32" s="1">
        <f>IFERROR(__xludf.DUMMYFUNCTION("""COMPUTED_VALUE"""),31.0)</f>
        <v>31</v>
      </c>
      <c r="B32" s="1">
        <f>IFERROR(__xludf.DUMMYFUNCTION("""COMPUTED_VALUE"""),10093.0)</f>
        <v>10093</v>
      </c>
      <c r="C32" s="13" t="str">
        <f>IFERROR(__xludf.DUMMYFUNCTION("""COMPUTED_VALUE"""),"HALLY LAZWARD")</f>
        <v>HALLY LAZWARD</v>
      </c>
      <c r="D32" s="2" t="str">
        <f>IFERROR(__xludf.DUMMYFUNCTION("""COMPUTED_VALUE"""),"10KM OVERALL M")</f>
        <v>10KM OVERALL M</v>
      </c>
      <c r="E32" s="1">
        <f>IFERROR(__xludf.DUMMYFUNCTION("""COMPUTED_VALUE"""),23.0)</f>
        <v>23</v>
      </c>
      <c r="F32" s="1" t="str">
        <f>IFERROR(__xludf.DUMMYFUNCTION("""COMPUTED_VALUE"""),"Male")</f>
        <v>Male</v>
      </c>
      <c r="G32" s="5">
        <f>IFERROR(__xludf.DUMMYFUNCTION("""COMPUTED_VALUE"""),0.003371335648148148)</f>
        <v>0.003371335648</v>
      </c>
      <c r="H32" s="14">
        <f>IFERROR(__xludf.DUMMYFUNCTION("""COMPUTED_VALUE"""),0.24646185185185185)</f>
        <v>0.2464618519</v>
      </c>
      <c r="I32" s="15">
        <f>IFERROR(__xludf.DUMMYFUNCTION("""COMPUTED_VALUE"""),45949.28017520722)</f>
        <v>45949.28018</v>
      </c>
      <c r="J32" s="15">
        <f>IFERROR(__xludf.DUMMYFUNCTION("""COMPUTED_VALUE"""),45949.03371335537)</f>
        <v>45949.03371</v>
      </c>
      <c r="K32" s="15">
        <f>IFERROR(__xludf.DUMMYFUNCTION("""COMPUTED_VALUE"""),45949.254832254526)</f>
        <v>45949.25483</v>
      </c>
      <c r="L32" s="15">
        <f>IFERROR(__xludf.DUMMYFUNCTION("""COMPUTED_VALUE"""),45949.274424137904)</f>
        <v>45949.27442</v>
      </c>
    </row>
    <row r="33">
      <c r="A33" s="1">
        <f>IFERROR(__xludf.DUMMYFUNCTION("""COMPUTED_VALUE"""),32.0)</f>
        <v>32</v>
      </c>
      <c r="B33" s="1">
        <f>IFERROR(__xludf.DUMMYFUNCTION("""COMPUTED_VALUE"""),10430.0)</f>
        <v>10430</v>
      </c>
      <c r="C33" s="13" t="str">
        <f>IFERROR(__xludf.DUMMYFUNCTION("""COMPUTED_VALUE"""),"SpiderBay")</f>
        <v>SpiderBay</v>
      </c>
      <c r="D33" s="2" t="str">
        <f>IFERROR(__xludf.DUMMYFUNCTION("""COMPUTED_VALUE"""),"10KM OVERALL M")</f>
        <v>10KM OVERALL M</v>
      </c>
      <c r="E33" s="1">
        <f>IFERROR(__xludf.DUMMYFUNCTION("""COMPUTED_VALUE"""),24.0)</f>
        <v>24</v>
      </c>
      <c r="F33" s="1" t="str">
        <f>IFERROR(__xludf.DUMMYFUNCTION("""COMPUTED_VALUE"""),"Male")</f>
        <v>Male</v>
      </c>
      <c r="G33" s="5">
        <f>IFERROR(__xludf.DUMMYFUNCTION("""COMPUTED_VALUE"""),0.0033994548611111113)</f>
        <v>0.003399454861</v>
      </c>
      <c r="H33" s="14">
        <f>IFERROR(__xludf.DUMMYFUNCTION("""COMPUTED_VALUE"""),0.24646185185185185)</f>
        <v>0.2464618519</v>
      </c>
      <c r="I33" s="15">
        <f>IFERROR(__xludf.DUMMYFUNCTION("""COMPUTED_VALUE"""),45949.28045639774)</f>
        <v>45949.28046</v>
      </c>
      <c r="J33" s="15">
        <f>IFERROR(__xludf.DUMMYFUNCTION("""COMPUTED_VALUE"""),45949.03399454589)</f>
        <v>45949.03399</v>
      </c>
      <c r="K33" s="15">
        <f>IFERROR(__xludf.DUMMYFUNCTION("""COMPUTED_VALUE"""),45949.255016275034)</f>
        <v>45949.25502</v>
      </c>
      <c r="L33" s="15">
        <f>IFERROR(__xludf.DUMMYFUNCTION("""COMPUTED_VALUE"""),45949.27496927443)</f>
        <v>45949.27497</v>
      </c>
    </row>
    <row r="34">
      <c r="A34" s="1">
        <f>IFERROR(__xludf.DUMMYFUNCTION("""COMPUTED_VALUE"""),33.0)</f>
        <v>33</v>
      </c>
      <c r="B34" s="1">
        <f>IFERROR(__xludf.DUMMYFUNCTION("""COMPUTED_VALUE"""),10138.0)</f>
        <v>10138</v>
      </c>
      <c r="C34" s="13" t="str">
        <f>IFERROR(__xludf.DUMMYFUNCTION("""COMPUTED_VALUE"""),"Muhammad Sholihin")</f>
        <v>Muhammad Sholihin</v>
      </c>
      <c r="D34" s="2" t="str">
        <f>IFERROR(__xludf.DUMMYFUNCTION("""COMPUTED_VALUE"""),"10KM OVERALL M")</f>
        <v>10KM OVERALL M</v>
      </c>
      <c r="E34" s="1">
        <f>IFERROR(__xludf.DUMMYFUNCTION("""COMPUTED_VALUE"""),25.0)</f>
        <v>25</v>
      </c>
      <c r="F34" s="1" t="str">
        <f>IFERROR(__xludf.DUMMYFUNCTION("""COMPUTED_VALUE"""),"Male")</f>
        <v>Male</v>
      </c>
      <c r="G34" s="5">
        <f>IFERROR(__xludf.DUMMYFUNCTION("""COMPUTED_VALUE"""),0.0034272361111111114)</f>
        <v>0.003427236111</v>
      </c>
      <c r="H34" s="14">
        <f>IFERROR(__xludf.DUMMYFUNCTION("""COMPUTED_VALUE"""),0.24646185185185185)</f>
        <v>0.2464618519</v>
      </c>
      <c r="I34" s="15">
        <f>IFERROR(__xludf.DUMMYFUNCTION("""COMPUTED_VALUE"""),45949.28073421488)</f>
        <v>45949.28073</v>
      </c>
      <c r="J34" s="15">
        <f>IFERROR(__xludf.DUMMYFUNCTION("""COMPUTED_VALUE"""),45949.03427236303)</f>
        <v>45949.03427</v>
      </c>
      <c r="K34" s="15">
        <f>IFERROR(__xludf.DUMMYFUNCTION("""COMPUTED_VALUE"""),45949.25368299606)</f>
        <v>45949.25368</v>
      </c>
      <c r="L34" s="15">
        <f>IFERROR(__xludf.DUMMYFUNCTION("""COMPUTED_VALUE"""),45949.27475398799)</f>
        <v>45949.27475</v>
      </c>
    </row>
    <row r="35">
      <c r="A35" s="1">
        <f>IFERROR(__xludf.DUMMYFUNCTION("""COMPUTED_VALUE"""),34.0)</f>
        <v>34</v>
      </c>
      <c r="B35" s="1">
        <f>IFERROR(__xludf.DUMMYFUNCTION("""COMPUTED_VALUE"""),10075.0)</f>
        <v>10075</v>
      </c>
      <c r="C35" s="13" t="str">
        <f>IFERROR(__xludf.DUMMYFUNCTION("""COMPUTED_VALUE"""),"hairani")</f>
        <v>hairani</v>
      </c>
      <c r="D35" s="2" t="str">
        <f>IFERROR(__xludf.DUMMYFUNCTION("""COMPUTED_VALUE"""),"10KM OVERALL M")</f>
        <v>10KM OVERALL M</v>
      </c>
      <c r="E35" s="1">
        <f>IFERROR(__xludf.DUMMYFUNCTION("""COMPUTED_VALUE"""),26.0)</f>
        <v>26</v>
      </c>
      <c r="F35" s="1" t="str">
        <f>IFERROR(__xludf.DUMMYFUNCTION("""COMPUTED_VALUE"""),"Male")</f>
        <v>Male</v>
      </c>
      <c r="G35" s="5">
        <f>IFERROR(__xludf.DUMMYFUNCTION("""COMPUTED_VALUE"""),0.003438693287037037)</f>
        <v>0.003438693287</v>
      </c>
      <c r="H35" s="14">
        <f>IFERROR(__xludf.DUMMYFUNCTION("""COMPUTED_VALUE"""),0.24646185185185185)</f>
        <v>0.2464618519</v>
      </c>
      <c r="I35" s="15">
        <f>IFERROR(__xludf.DUMMYFUNCTION("""COMPUTED_VALUE"""),45949.280848783856)</f>
        <v>45949.28085</v>
      </c>
      <c r="J35" s="15">
        <f>IFERROR(__xludf.DUMMYFUNCTION("""COMPUTED_VALUE"""),45949.034386932006)</f>
        <v>45949.03439</v>
      </c>
      <c r="K35" s="15">
        <f>IFERROR(__xludf.DUMMYFUNCTION("""COMPUTED_VALUE"""),45949.25323507689)</f>
        <v>45949.25324</v>
      </c>
      <c r="L35" s="15">
        <f>IFERROR(__xludf.DUMMYFUNCTION("""COMPUTED_VALUE"""),45949.27477135672)</f>
        <v>45949.27477</v>
      </c>
    </row>
    <row r="36">
      <c r="A36" s="1">
        <f>IFERROR(__xludf.DUMMYFUNCTION("""COMPUTED_VALUE"""),35.0)</f>
        <v>35</v>
      </c>
      <c r="B36" s="1">
        <f>IFERROR(__xludf.DUMMYFUNCTION("""COMPUTED_VALUE"""),10263.0)</f>
        <v>10263</v>
      </c>
      <c r="C36" s="13" t="str">
        <f>IFERROR(__xludf.DUMMYFUNCTION("""COMPUTED_VALUE"""),"Kucing Loreng")</f>
        <v>Kucing Loreng</v>
      </c>
      <c r="D36" s="2" t="str">
        <f>IFERROR(__xludf.DUMMYFUNCTION("""COMPUTED_VALUE"""),"10KM OVERALL M")</f>
        <v>10KM OVERALL M</v>
      </c>
      <c r="E36" s="1">
        <f>IFERROR(__xludf.DUMMYFUNCTION("""COMPUTED_VALUE"""),27.0)</f>
        <v>27</v>
      </c>
      <c r="F36" s="1" t="str">
        <f>IFERROR(__xludf.DUMMYFUNCTION("""COMPUTED_VALUE"""),"Male")</f>
        <v>Male</v>
      </c>
      <c r="G36" s="5">
        <f>IFERROR(__xludf.DUMMYFUNCTION("""COMPUTED_VALUE"""),0.0034904293981481483)</f>
        <v>0.003490429398</v>
      </c>
      <c r="H36" s="14">
        <f>IFERROR(__xludf.DUMMYFUNCTION("""COMPUTED_VALUE"""),0.24646185185185185)</f>
        <v>0.2464618519</v>
      </c>
      <c r="I36" s="15">
        <f>IFERROR(__xludf.DUMMYFUNCTION("""COMPUTED_VALUE"""),45949.28136614935)</f>
        <v>45949.28137</v>
      </c>
      <c r="J36" s="15">
        <f>IFERROR(__xludf.DUMMYFUNCTION("""COMPUTED_VALUE"""),45949.0349042975)</f>
        <v>45949.0349</v>
      </c>
      <c r="K36" s="15">
        <f>IFERROR(__xludf.DUMMYFUNCTION("""COMPUTED_VALUE"""),45949.25439133108)</f>
        <v>45949.25439</v>
      </c>
      <c r="L36" s="15">
        <f>IFERROR(__xludf.DUMMYFUNCTION("""COMPUTED_VALUE"""),45949.27530261271)</f>
        <v>45949.2753</v>
      </c>
    </row>
    <row r="37">
      <c r="A37" s="1">
        <f>IFERROR(__xludf.DUMMYFUNCTION("""COMPUTED_VALUE"""),36.0)</f>
        <v>36</v>
      </c>
      <c r="B37" s="1">
        <f>IFERROR(__xludf.DUMMYFUNCTION("""COMPUTED_VALUE"""),10602.0)</f>
        <v>10602</v>
      </c>
      <c r="C37" s="13" t="str">
        <f>IFERROR(__xludf.DUMMYFUNCTION("""COMPUTED_VALUE"""),"AHMAD")</f>
        <v>AHMAD</v>
      </c>
      <c r="D37" s="2" t="str">
        <f>IFERROR(__xludf.DUMMYFUNCTION("""COMPUTED_VALUE"""),"10KM OVERALL M")</f>
        <v>10KM OVERALL M</v>
      </c>
      <c r="E37" s="1">
        <f>IFERROR(__xludf.DUMMYFUNCTION("""COMPUTED_VALUE"""),28.0)</f>
        <v>28</v>
      </c>
      <c r="F37" s="1" t="str">
        <f>IFERROR(__xludf.DUMMYFUNCTION("""COMPUTED_VALUE"""),"Male")</f>
        <v>Male</v>
      </c>
      <c r="G37" s="5">
        <f>IFERROR(__xludf.DUMMYFUNCTION("""COMPUTED_VALUE"""),0.0034991111111111113)</f>
        <v>0.003499111111</v>
      </c>
      <c r="H37" s="14">
        <f>IFERROR(__xludf.DUMMYFUNCTION("""COMPUTED_VALUE"""),0.24646185185185185)</f>
        <v>0.2464618519</v>
      </c>
      <c r="I37" s="15">
        <f>IFERROR(__xludf.DUMMYFUNCTION("""COMPUTED_VALUE"""),45949.28145296067)</f>
        <v>45949.28145</v>
      </c>
      <c r="J37" s="15">
        <f>IFERROR(__xludf.DUMMYFUNCTION("""COMPUTED_VALUE"""),45949.03499110882)</f>
        <v>45949.03499</v>
      </c>
      <c r="K37" s="15">
        <f>IFERROR(__xludf.DUMMYFUNCTION("""COMPUTED_VALUE"""),45949.25365876046)</f>
        <v>45949.25366</v>
      </c>
      <c r="L37" s="15">
        <f>IFERROR(__xludf.DUMMYFUNCTION("""COMPUTED_VALUE"""),45949.275892920545)</f>
        <v>45949.27589</v>
      </c>
    </row>
    <row r="38">
      <c r="A38" s="1">
        <f>IFERROR(__xludf.DUMMYFUNCTION("""COMPUTED_VALUE"""),37.0)</f>
        <v>37</v>
      </c>
      <c r="B38" s="1">
        <f>IFERROR(__xludf.DUMMYFUNCTION("""COMPUTED_VALUE"""),10722.0)</f>
        <v>10722</v>
      </c>
      <c r="C38" s="13" t="str">
        <f>IFERROR(__xludf.DUMMYFUNCTION("""COMPUTED_VALUE"""),"ROLAN SIHOMBING")</f>
        <v>ROLAN SIHOMBING</v>
      </c>
      <c r="D38" s="2" t="str">
        <f>IFERROR(__xludf.DUMMYFUNCTION("""COMPUTED_VALUE"""),"10KM OVERALL M")</f>
        <v>10KM OVERALL M</v>
      </c>
      <c r="E38" s="1">
        <f>IFERROR(__xludf.DUMMYFUNCTION("""COMPUTED_VALUE"""),29.0)</f>
        <v>29</v>
      </c>
      <c r="F38" s="1" t="str">
        <f>IFERROR(__xludf.DUMMYFUNCTION("""COMPUTED_VALUE"""),"Male")</f>
        <v>Male</v>
      </c>
      <c r="G38" s="5">
        <f>IFERROR(__xludf.DUMMYFUNCTION("""COMPUTED_VALUE"""),0.0035001516203703705)</f>
        <v>0.00350015162</v>
      </c>
      <c r="H38" s="14">
        <f>IFERROR(__xludf.DUMMYFUNCTION("""COMPUTED_VALUE"""),0.24646185185185185)</f>
        <v>0.2464618519</v>
      </c>
      <c r="I38" s="15">
        <f>IFERROR(__xludf.DUMMYFUNCTION("""COMPUTED_VALUE"""),45949.28146336867)</f>
        <v>45949.28146</v>
      </c>
      <c r="J38" s="15">
        <f>IFERROR(__xludf.DUMMYFUNCTION("""COMPUTED_VALUE"""),45949.03500151682)</f>
        <v>45949.035</v>
      </c>
      <c r="K38" s="15">
        <f>IFERROR(__xludf.DUMMYFUNCTION("""COMPUTED_VALUE"""),45949.25458231358)</f>
        <v>45949.25458</v>
      </c>
      <c r="L38" s="15">
        <f>IFERROR(__xludf.DUMMYFUNCTION("""COMPUTED_VALUE"""),45949.27589289367)</f>
        <v>45949.27589</v>
      </c>
    </row>
    <row r="39">
      <c r="A39" s="1">
        <f>IFERROR(__xludf.DUMMYFUNCTION("""COMPUTED_VALUE"""),38.0)</f>
        <v>38</v>
      </c>
      <c r="B39" s="1">
        <f>IFERROR(__xludf.DUMMYFUNCTION("""COMPUTED_VALUE"""),10311.0)</f>
        <v>10311</v>
      </c>
      <c r="C39" s="13" t="str">
        <f>IFERROR(__xludf.DUMMYFUNCTION("""COMPUTED_VALUE"""),"Muhammad Hendra Firmadi")</f>
        <v>Muhammad Hendra Firmadi</v>
      </c>
      <c r="D39" s="2" t="str">
        <f>IFERROR(__xludf.DUMMYFUNCTION("""COMPUTED_VALUE"""),"10KM OVERALL M")</f>
        <v>10KM OVERALL M</v>
      </c>
      <c r="E39" s="1">
        <f>IFERROR(__xludf.DUMMYFUNCTION("""COMPUTED_VALUE"""),30.0)</f>
        <v>30</v>
      </c>
      <c r="F39" s="1" t="str">
        <f>IFERROR(__xludf.DUMMYFUNCTION("""COMPUTED_VALUE"""),"Male")</f>
        <v>Male</v>
      </c>
      <c r="G39" s="5">
        <f>IFERROR(__xludf.DUMMYFUNCTION("""COMPUTED_VALUE"""),0.003501887731481481)</f>
        <v>0.003501887731</v>
      </c>
      <c r="H39" s="14">
        <f>IFERROR(__xludf.DUMMYFUNCTION("""COMPUTED_VALUE"""),0.24646185185185185)</f>
        <v>0.2464618519</v>
      </c>
      <c r="I39" s="15">
        <f>IFERROR(__xludf.DUMMYFUNCTION("""COMPUTED_VALUE"""),45949.281480726626)</f>
        <v>45949.28148</v>
      </c>
      <c r="J39" s="15">
        <f>IFERROR(__xludf.DUMMYFUNCTION("""COMPUTED_VALUE"""),45949.035018874776)</f>
        <v>45949.03502</v>
      </c>
      <c r="K39" s="15">
        <f>IFERROR(__xludf.DUMMYFUNCTION("""COMPUTED_VALUE"""),45949.25490869435)</f>
        <v>45949.25491</v>
      </c>
      <c r="L39" s="15">
        <f>IFERROR(__xludf.DUMMYFUNCTION("""COMPUTED_VALUE"""),45949.27587553981)</f>
        <v>45949.27588</v>
      </c>
    </row>
    <row r="40">
      <c r="A40" s="1">
        <f>IFERROR(__xludf.DUMMYFUNCTION("""COMPUTED_VALUE"""),39.0)</f>
        <v>39</v>
      </c>
      <c r="B40" s="1">
        <f>IFERROR(__xludf.DUMMYFUNCTION("""COMPUTED_VALUE"""),10513.0)</f>
        <v>10513</v>
      </c>
      <c r="C40" s="13" t="str">
        <f>IFERROR(__xludf.DUMMYFUNCTION("""COMPUTED_VALUE"""),"ADE TRIYANTO")</f>
        <v>ADE TRIYANTO</v>
      </c>
      <c r="D40" s="2" t="str">
        <f>IFERROR(__xludf.DUMMYFUNCTION("""COMPUTED_VALUE"""),"10KM OVERALL M")</f>
        <v>10KM OVERALL M</v>
      </c>
      <c r="E40" s="1">
        <f>IFERROR(__xludf.DUMMYFUNCTION("""COMPUTED_VALUE"""),31.0)</f>
        <v>31</v>
      </c>
      <c r="F40" s="1" t="str">
        <f>IFERROR(__xludf.DUMMYFUNCTION("""COMPUTED_VALUE"""),"Male")</f>
        <v>Male</v>
      </c>
      <c r="G40" s="5">
        <f>IFERROR(__xludf.DUMMYFUNCTION("""COMPUTED_VALUE"""),0.0035060543981481488)</f>
        <v>0.003506054398</v>
      </c>
      <c r="H40" s="14">
        <f>IFERROR(__xludf.DUMMYFUNCTION("""COMPUTED_VALUE"""),0.24646185185185185)</f>
        <v>0.2464618519</v>
      </c>
      <c r="I40" s="15">
        <f>IFERROR(__xludf.DUMMYFUNCTION("""COMPUTED_VALUE"""),45949.28152239966)</f>
        <v>45949.28152</v>
      </c>
      <c r="J40" s="15">
        <f>IFERROR(__xludf.DUMMYFUNCTION("""COMPUTED_VALUE"""),45949.03506054781)</f>
        <v>45949.03506</v>
      </c>
      <c r="K40" s="15">
        <f>IFERROR(__xludf.DUMMYFUNCTION("""COMPUTED_VALUE"""),45949.255103078634)</f>
        <v>45949.2551</v>
      </c>
      <c r="L40" s="15">
        <f>IFERROR(__xludf.DUMMYFUNCTION("""COMPUTED_VALUE"""),45949.27588589132)</f>
        <v>45949.27589</v>
      </c>
    </row>
    <row r="41">
      <c r="A41" s="1">
        <f>IFERROR(__xludf.DUMMYFUNCTION("""COMPUTED_VALUE"""),40.0)</f>
        <v>40</v>
      </c>
      <c r="B41" s="1">
        <f>IFERROR(__xludf.DUMMYFUNCTION("""COMPUTED_VALUE"""),10487.0)</f>
        <v>10487</v>
      </c>
      <c r="C41" s="13" t="str">
        <f>IFERROR(__xludf.DUMMYFUNCTION("""COMPUTED_VALUE"""),"Daniyal")</f>
        <v>Daniyal</v>
      </c>
      <c r="D41" s="2" t="str">
        <f>IFERROR(__xludf.DUMMYFUNCTION("""COMPUTED_VALUE"""),"10KM OVERALL M")</f>
        <v>10KM OVERALL M</v>
      </c>
      <c r="E41" s="1">
        <f>IFERROR(__xludf.DUMMYFUNCTION("""COMPUTED_VALUE"""),32.0)</f>
        <v>32</v>
      </c>
      <c r="F41" s="1" t="str">
        <f>IFERROR(__xludf.DUMMYFUNCTION("""COMPUTED_VALUE"""),"Male")</f>
        <v>Male</v>
      </c>
      <c r="G41" s="5">
        <f>IFERROR(__xludf.DUMMYFUNCTION("""COMPUTED_VALUE"""),0.0035088321759259257)</f>
        <v>0.003508832176</v>
      </c>
      <c r="H41" s="14">
        <f>IFERROR(__xludf.DUMMYFUNCTION("""COMPUTED_VALUE"""),0.24646185185185185)</f>
        <v>0.2464618519</v>
      </c>
      <c r="I41" s="15">
        <f>IFERROR(__xludf.DUMMYFUNCTION("""COMPUTED_VALUE"""),45949.281550168875)</f>
        <v>45949.28155</v>
      </c>
      <c r="J41" s="15">
        <f>IFERROR(__xludf.DUMMYFUNCTION("""COMPUTED_VALUE"""),45949.035088317025)</f>
        <v>45949.03509</v>
      </c>
      <c r="K41" s="15">
        <f>IFERROR(__xludf.DUMMYFUNCTION("""COMPUTED_VALUE"""),45949.25464822291)</f>
        <v>45949.25465</v>
      </c>
      <c r="L41" s="15">
        <f>IFERROR(__xludf.DUMMYFUNCTION("""COMPUTED_VALUE"""),45949.27589635633)</f>
        <v>45949.2759</v>
      </c>
    </row>
    <row r="42">
      <c r="A42" s="1">
        <f>IFERROR(__xludf.DUMMYFUNCTION("""COMPUTED_VALUE"""),41.0)</f>
        <v>41</v>
      </c>
      <c r="B42" s="1">
        <f>IFERROR(__xludf.DUMMYFUNCTION("""COMPUTED_VALUE"""),10567.0)</f>
        <v>10567</v>
      </c>
      <c r="C42" s="13" t="str">
        <f>IFERROR(__xludf.DUMMYFUNCTION("""COMPUTED_VALUE"""),"SERIGALA")</f>
        <v>SERIGALA</v>
      </c>
      <c r="D42" s="2" t="str">
        <f>IFERROR(__xludf.DUMMYFUNCTION("""COMPUTED_VALUE"""),"10KM OVERALL M")</f>
        <v>10KM OVERALL M</v>
      </c>
      <c r="E42" s="1">
        <f>IFERROR(__xludf.DUMMYFUNCTION("""COMPUTED_VALUE"""),33.0)</f>
        <v>33</v>
      </c>
      <c r="F42" s="1" t="str">
        <f>IFERROR(__xludf.DUMMYFUNCTION("""COMPUTED_VALUE"""),"Male")</f>
        <v>Male</v>
      </c>
      <c r="G42" s="5">
        <f>IFERROR(__xludf.DUMMYFUNCTION("""COMPUTED_VALUE"""),0.0035126527777777777)</f>
        <v>0.003512652778</v>
      </c>
      <c r="H42" s="14">
        <f>IFERROR(__xludf.DUMMYFUNCTION("""COMPUTED_VALUE"""),0.24646185185185185)</f>
        <v>0.2464618519</v>
      </c>
      <c r="I42" s="15">
        <f>IFERROR(__xludf.DUMMYFUNCTION("""COMPUTED_VALUE"""),45949.281588382946)</f>
        <v>45949.28159</v>
      </c>
      <c r="J42" s="15">
        <f>IFERROR(__xludf.DUMMYFUNCTION("""COMPUTED_VALUE"""),45949.0351265311)</f>
        <v>45949.03513</v>
      </c>
      <c r="K42" s="15">
        <f>IFERROR(__xludf.DUMMYFUNCTION("""COMPUTED_VALUE"""),45949.25454754527)</f>
        <v>45949.25455</v>
      </c>
      <c r="L42" s="15">
        <f>IFERROR(__xludf.DUMMYFUNCTION("""COMPUTED_VALUE"""),45949.275740114266)</f>
        <v>45949.27574</v>
      </c>
    </row>
    <row r="43">
      <c r="A43" s="1">
        <f>IFERROR(__xludf.DUMMYFUNCTION("""COMPUTED_VALUE"""),42.0)</f>
        <v>42</v>
      </c>
      <c r="B43" s="1">
        <f>IFERROR(__xludf.DUMMYFUNCTION("""COMPUTED_VALUE"""),10159.0)</f>
        <v>10159</v>
      </c>
      <c r="C43" s="13" t="str">
        <f>IFERROR(__xludf.DUMMYFUNCTION("""COMPUTED_VALUE"""),"hendri")</f>
        <v>hendri</v>
      </c>
      <c r="D43" s="2" t="str">
        <f>IFERROR(__xludf.DUMMYFUNCTION("""COMPUTED_VALUE"""),"10KM OVERALL M")</f>
        <v>10KM OVERALL M</v>
      </c>
      <c r="E43" s="1">
        <f>IFERROR(__xludf.DUMMYFUNCTION("""COMPUTED_VALUE"""),34.0)</f>
        <v>34</v>
      </c>
      <c r="F43" s="1" t="str">
        <f>IFERROR(__xludf.DUMMYFUNCTION("""COMPUTED_VALUE"""),"Male")</f>
        <v>Male</v>
      </c>
      <c r="G43" s="5">
        <f>IFERROR(__xludf.DUMMYFUNCTION("""COMPUTED_VALUE"""),0.003516472222222222)</f>
        <v>0.003516472222</v>
      </c>
      <c r="H43" s="14">
        <f>IFERROR(__xludf.DUMMYFUNCTION("""COMPUTED_VALUE"""),0.24646185185185185)</f>
        <v>0.2464618519</v>
      </c>
      <c r="I43" s="15">
        <f>IFERROR(__xludf.DUMMYFUNCTION("""COMPUTED_VALUE"""),45949.28162656989)</f>
        <v>45949.28163</v>
      </c>
      <c r="J43" s="15">
        <f>IFERROR(__xludf.DUMMYFUNCTION("""COMPUTED_VALUE"""),45949.03516471804)</f>
        <v>45949.03516</v>
      </c>
      <c r="K43" s="15">
        <f>IFERROR(__xludf.DUMMYFUNCTION("""COMPUTED_VALUE"""),45949.25440545441)</f>
        <v>45949.25441</v>
      </c>
      <c r="L43" s="15">
        <f>IFERROR(__xludf.DUMMYFUNCTION("""COMPUTED_VALUE"""),45949.275667145455)</f>
        <v>45949.27567</v>
      </c>
    </row>
    <row r="44">
      <c r="A44" s="1">
        <f>IFERROR(__xludf.DUMMYFUNCTION("""COMPUTED_VALUE"""),43.0)</f>
        <v>43</v>
      </c>
      <c r="B44" s="1">
        <f>IFERROR(__xludf.DUMMYFUNCTION("""COMPUTED_VALUE"""),10068.0)</f>
        <v>10068</v>
      </c>
      <c r="C44" s="13" t="str">
        <f>IFERROR(__xludf.DUMMYFUNCTION("""COMPUTED_VALUE"""),"RYAN NOOR FAHREZA")</f>
        <v>RYAN NOOR FAHREZA</v>
      </c>
      <c r="D44" s="2" t="str">
        <f>IFERROR(__xludf.DUMMYFUNCTION("""COMPUTED_VALUE"""),"10KM OVERALL M")</f>
        <v>10KM OVERALL M</v>
      </c>
      <c r="E44" s="1">
        <f>IFERROR(__xludf.DUMMYFUNCTION("""COMPUTED_VALUE"""),35.0)</f>
        <v>35</v>
      </c>
      <c r="F44" s="1" t="str">
        <f>IFERROR(__xludf.DUMMYFUNCTION("""COMPUTED_VALUE"""),"Male")</f>
        <v>Male</v>
      </c>
      <c r="G44" s="5">
        <f>IFERROR(__xludf.DUMMYFUNCTION("""COMPUTED_VALUE"""),0.00352202662037037)</f>
        <v>0.00352202662</v>
      </c>
      <c r="H44" s="14">
        <f>IFERROR(__xludf.DUMMYFUNCTION("""COMPUTED_VALUE"""),0.24646185185185185)</f>
        <v>0.2464618519</v>
      </c>
      <c r="I44" s="15">
        <f>IFERROR(__xludf.DUMMYFUNCTION("""COMPUTED_VALUE"""),45949.28168212343)</f>
        <v>45949.28168</v>
      </c>
      <c r="J44" s="15">
        <f>IFERROR(__xludf.DUMMYFUNCTION("""COMPUTED_VALUE"""),45949.03522027158)</f>
        <v>45949.03522</v>
      </c>
      <c r="K44" s="15">
        <f>IFERROR(__xludf.DUMMYFUNCTION("""COMPUTED_VALUE"""),45949.25442251774)</f>
        <v>45949.25442</v>
      </c>
      <c r="L44" s="15">
        <f>IFERROR(__xludf.DUMMYFUNCTION("""COMPUTED_VALUE"""),45949.27587555118)</f>
        <v>45949.27588</v>
      </c>
    </row>
    <row r="45">
      <c r="A45" s="1">
        <f>IFERROR(__xludf.DUMMYFUNCTION("""COMPUTED_VALUE"""),44.0)</f>
        <v>44</v>
      </c>
      <c r="B45" s="1">
        <f>IFERROR(__xludf.DUMMYFUNCTION("""COMPUTED_VALUE"""),10360.0)</f>
        <v>10360</v>
      </c>
      <c r="C45" s="13" t="str">
        <f>IFERROR(__xludf.DUMMYFUNCTION("""COMPUTED_VALUE"""),"Abuy Mahbub")</f>
        <v>Abuy Mahbub</v>
      </c>
      <c r="D45" s="2" t="str">
        <f>IFERROR(__xludf.DUMMYFUNCTION("""COMPUTED_VALUE"""),"10KM OVERALL M")</f>
        <v>10KM OVERALL M</v>
      </c>
      <c r="E45" s="1">
        <f>IFERROR(__xludf.DUMMYFUNCTION("""COMPUTED_VALUE"""),36.0)</f>
        <v>36</v>
      </c>
      <c r="F45" s="1" t="str">
        <f>IFERROR(__xludf.DUMMYFUNCTION("""COMPUTED_VALUE"""),"Male")</f>
        <v>Male</v>
      </c>
      <c r="G45" s="5">
        <f>IFERROR(__xludf.DUMMYFUNCTION("""COMPUTED_VALUE"""),0.003539387731481482)</f>
        <v>0.003539387731</v>
      </c>
      <c r="H45" s="14">
        <f>IFERROR(__xludf.DUMMYFUNCTION("""COMPUTED_VALUE"""),0.24646185185185185)</f>
        <v>0.2464618519</v>
      </c>
      <c r="I45" s="15">
        <f>IFERROR(__xludf.DUMMYFUNCTION("""COMPUTED_VALUE"""),45949.28185572605)</f>
        <v>45949.28186</v>
      </c>
      <c r="J45" s="15">
        <f>IFERROR(__xludf.DUMMYFUNCTION("""COMPUTED_VALUE"""),45949.0353938742)</f>
        <v>45949.03539</v>
      </c>
      <c r="K45" s="15">
        <f>IFERROR(__xludf.DUMMYFUNCTION("""COMPUTED_VALUE"""),45949.25434620502)</f>
        <v>45949.25435</v>
      </c>
      <c r="L45" s="15">
        <f>IFERROR(__xludf.DUMMYFUNCTION("""COMPUTED_VALUE"""),45949.27570977186)</f>
        <v>45949.27571</v>
      </c>
    </row>
    <row r="46">
      <c r="A46" s="1">
        <f>IFERROR(__xludf.DUMMYFUNCTION("""COMPUTED_VALUE"""),45.0)</f>
        <v>45</v>
      </c>
      <c r="B46" s="1">
        <f>IFERROR(__xludf.DUMMYFUNCTION("""COMPUTED_VALUE"""),10267.0)</f>
        <v>10267</v>
      </c>
      <c r="C46" s="13" t="str">
        <f>IFERROR(__xludf.DUMMYFUNCTION("""COMPUTED_VALUE"""),"Royan Pratama")</f>
        <v>Royan Pratama</v>
      </c>
      <c r="D46" s="2" t="str">
        <f>IFERROR(__xludf.DUMMYFUNCTION("""COMPUTED_VALUE"""),"10KM OVERALL M")</f>
        <v>10KM OVERALL M</v>
      </c>
      <c r="E46" s="1">
        <f>IFERROR(__xludf.DUMMYFUNCTION("""COMPUTED_VALUE"""),37.0)</f>
        <v>37</v>
      </c>
      <c r="F46" s="1" t="str">
        <f>IFERROR(__xludf.DUMMYFUNCTION("""COMPUTED_VALUE"""),"Male")</f>
        <v>Male</v>
      </c>
      <c r="G46" s="5">
        <f>IFERROR(__xludf.DUMMYFUNCTION("""COMPUTED_VALUE"""),0.003550497685185185)</f>
        <v>0.003550497685</v>
      </c>
      <c r="H46" s="14">
        <f>IFERROR(__xludf.DUMMYFUNCTION("""COMPUTED_VALUE"""),0.24646185185185185)</f>
        <v>0.2464618519</v>
      </c>
      <c r="I46" s="15">
        <f>IFERROR(__xludf.DUMMYFUNCTION("""COMPUTED_VALUE"""),45949.28196683127)</f>
        <v>45949.28197</v>
      </c>
      <c r="J46" s="15">
        <f>IFERROR(__xludf.DUMMYFUNCTION("""COMPUTED_VALUE"""),45949.03550497942)</f>
        <v>45949.0355</v>
      </c>
      <c r="K46" s="15">
        <f>IFERROR(__xludf.DUMMYFUNCTION("""COMPUTED_VALUE"""),45949.25463434563)</f>
        <v>45949.25463</v>
      </c>
      <c r="L46" s="15">
        <f>IFERROR(__xludf.DUMMYFUNCTION("""COMPUTED_VALUE"""),45949.27589290574)</f>
        <v>45949.27589</v>
      </c>
    </row>
    <row r="47">
      <c r="A47" s="1">
        <f>IFERROR(__xludf.DUMMYFUNCTION("""COMPUTED_VALUE"""),46.0)</f>
        <v>46</v>
      </c>
      <c r="B47" s="1">
        <f>IFERROR(__xludf.DUMMYFUNCTION("""COMPUTED_VALUE"""),12091.0)</f>
        <v>12091</v>
      </c>
      <c r="C47" s="13" t="str">
        <f>IFERROR(__xludf.DUMMYFUNCTION("""COMPUTED_VALUE"""),"ANWARI DELMO")</f>
        <v>ANWARI DELMO</v>
      </c>
      <c r="D47" s="2" t="str">
        <f>IFERROR(__xludf.DUMMYFUNCTION("""COMPUTED_VALUE"""),"10KM MASTER M")</f>
        <v>10KM MASTER M</v>
      </c>
      <c r="E47" s="1">
        <f>IFERROR(__xludf.DUMMYFUNCTION("""COMPUTED_VALUE"""),8.0)</f>
        <v>8</v>
      </c>
      <c r="F47" s="1" t="str">
        <f>IFERROR(__xludf.DUMMYFUNCTION("""COMPUTED_VALUE"""),"Male")</f>
        <v>Male</v>
      </c>
      <c r="G47" s="5">
        <f>IFERROR(__xludf.DUMMYFUNCTION("""COMPUTED_VALUE"""),0.003563693287037037)</f>
        <v>0.003563693287</v>
      </c>
      <c r="H47" s="14">
        <f>IFERROR(__xludf.DUMMYFUNCTION("""COMPUTED_VALUE"""),0.24646185185185185)</f>
        <v>0.2464618519</v>
      </c>
      <c r="I47" s="15">
        <f>IFERROR(__xludf.DUMMYFUNCTION("""COMPUTED_VALUE"""),45949.28209878489)</f>
        <v>45949.2821</v>
      </c>
      <c r="J47" s="15">
        <f>IFERROR(__xludf.DUMMYFUNCTION("""COMPUTED_VALUE"""),45949.03563693304)</f>
        <v>45949.03564</v>
      </c>
      <c r="K47" s="15">
        <f>IFERROR(__xludf.DUMMYFUNCTION("""COMPUTED_VALUE"""),45949.25443295759)</f>
        <v>45949.25443</v>
      </c>
      <c r="L47" s="15">
        <f>IFERROR(__xludf.DUMMYFUNCTION("""COMPUTED_VALUE"""),45949.27587902794)</f>
        <v>45949.27588</v>
      </c>
    </row>
    <row r="48">
      <c r="A48" s="1">
        <f>IFERROR(__xludf.DUMMYFUNCTION("""COMPUTED_VALUE"""),47.0)</f>
        <v>47</v>
      </c>
      <c r="B48" s="1">
        <f>IFERROR(__xludf.DUMMYFUNCTION("""COMPUTED_VALUE"""),12077.0)</f>
        <v>12077</v>
      </c>
      <c r="C48" s="13" t="str">
        <f>IFERROR(__xludf.DUMMYFUNCTION("""COMPUTED_VALUE"""),"Onyah Yuyung")</f>
        <v>Onyah Yuyung</v>
      </c>
      <c r="D48" s="2" t="str">
        <f>IFERROR(__xludf.DUMMYFUNCTION("""COMPUTED_VALUE"""),"10KM MASTER F")</f>
        <v>10KM MASTER F</v>
      </c>
      <c r="E48" s="1">
        <f>IFERROR(__xludf.DUMMYFUNCTION("""COMPUTED_VALUE"""),1.0)</f>
        <v>1</v>
      </c>
      <c r="F48" s="1" t="str">
        <f>IFERROR(__xludf.DUMMYFUNCTION("""COMPUTED_VALUE"""),"Female")</f>
        <v>Female</v>
      </c>
      <c r="G48" s="5">
        <f>IFERROR(__xludf.DUMMYFUNCTION("""COMPUTED_VALUE"""),0.0035654293981481483)</f>
        <v>0.003565429398</v>
      </c>
      <c r="H48" s="14">
        <f>IFERROR(__xludf.DUMMYFUNCTION("""COMPUTED_VALUE"""),0.24646185185185185)</f>
        <v>0.2464618519</v>
      </c>
      <c r="I48" s="15">
        <f>IFERROR(__xludf.DUMMYFUNCTION("""COMPUTED_VALUE"""),45949.28211614838)</f>
        <v>45949.28212</v>
      </c>
      <c r="J48" s="15">
        <f>IFERROR(__xludf.DUMMYFUNCTION("""COMPUTED_VALUE"""),45949.03565429653)</f>
        <v>45949.03565</v>
      </c>
      <c r="K48" s="15">
        <f>IFERROR(__xludf.DUMMYFUNCTION("""COMPUTED_VALUE"""),45949.25450585223)</f>
        <v>45949.25451</v>
      </c>
      <c r="L48" s="15">
        <f>IFERROR(__xludf.DUMMYFUNCTION("""COMPUTED_VALUE"""),45949.27576789224)</f>
        <v>45949.27577</v>
      </c>
    </row>
    <row r="49">
      <c r="A49" s="1">
        <f>IFERROR(__xludf.DUMMYFUNCTION("""COMPUTED_VALUE"""),48.0)</f>
        <v>48</v>
      </c>
      <c r="B49" s="1">
        <f>IFERROR(__xludf.DUMMYFUNCTION("""COMPUTED_VALUE"""),10036.0)</f>
        <v>10036</v>
      </c>
      <c r="C49" s="13" t="str">
        <f>IFERROR(__xludf.DUMMYFUNCTION("""COMPUTED_VALUE"""),"Gusti.P")</f>
        <v>Gusti.P</v>
      </c>
      <c r="D49" s="2" t="str">
        <f>IFERROR(__xludf.DUMMYFUNCTION("""COMPUTED_VALUE"""),"10KM OVERALL M")</f>
        <v>10KM OVERALL M</v>
      </c>
      <c r="E49" s="1">
        <f>IFERROR(__xludf.DUMMYFUNCTION("""COMPUTED_VALUE"""),38.0)</f>
        <v>38</v>
      </c>
      <c r="F49" s="1" t="str">
        <f>IFERROR(__xludf.DUMMYFUNCTION("""COMPUTED_VALUE"""),"Male")</f>
        <v>Male</v>
      </c>
      <c r="G49" s="5">
        <f>IFERROR(__xludf.DUMMYFUNCTION("""COMPUTED_VALUE"""),0.003566158564814815)</f>
        <v>0.003566158565</v>
      </c>
      <c r="H49" s="14">
        <f>IFERROR(__xludf.DUMMYFUNCTION("""COMPUTED_VALUE"""),0.24646185185185185)</f>
        <v>0.2464618519</v>
      </c>
      <c r="I49" s="15">
        <f>IFERROR(__xludf.DUMMYFUNCTION("""COMPUTED_VALUE"""),45949.28212344068)</f>
        <v>45949.28212</v>
      </c>
      <c r="J49" s="15">
        <f>IFERROR(__xludf.DUMMYFUNCTION("""COMPUTED_VALUE"""),45949.03566158883)</f>
        <v>45949.03566</v>
      </c>
      <c r="K49" s="15">
        <f>IFERROR(__xludf.DUMMYFUNCTION("""COMPUTED_VALUE"""),45949.254561471105)</f>
        <v>45949.25456</v>
      </c>
      <c r="L49" s="15">
        <f>IFERROR(__xludf.DUMMYFUNCTION("""COMPUTED_VALUE"""),45949.275903321075)</f>
        <v>45949.2759</v>
      </c>
    </row>
    <row r="50">
      <c r="A50" s="1">
        <f>IFERROR(__xludf.DUMMYFUNCTION("""COMPUTED_VALUE"""),49.0)</f>
        <v>49</v>
      </c>
      <c r="B50" s="1">
        <f>IFERROR(__xludf.DUMMYFUNCTION("""COMPUTED_VALUE"""),10264.0)</f>
        <v>10264</v>
      </c>
      <c r="C50" s="13" t="str">
        <f>IFERROR(__xludf.DUMMYFUNCTION("""COMPUTED_VALUE"""),"RIZAL ANUGRAH SUSANDHIE")</f>
        <v>RIZAL ANUGRAH SUSANDHIE</v>
      </c>
      <c r="D50" s="2" t="str">
        <f>IFERROR(__xludf.DUMMYFUNCTION("""COMPUTED_VALUE"""),"10KM OVERALL M")</f>
        <v>10KM OVERALL M</v>
      </c>
      <c r="E50" s="1">
        <f>IFERROR(__xludf.DUMMYFUNCTION("""COMPUTED_VALUE"""),39.0)</f>
        <v>39</v>
      </c>
      <c r="F50" s="1" t="str">
        <f>IFERROR(__xludf.DUMMYFUNCTION("""COMPUTED_VALUE"""),"Male")</f>
        <v>Male</v>
      </c>
      <c r="G50" s="5">
        <f>IFERROR(__xludf.DUMMYFUNCTION("""COMPUTED_VALUE"""),0.003568554398148149)</f>
        <v>0.003568554398</v>
      </c>
      <c r="H50" s="14">
        <f>IFERROR(__xludf.DUMMYFUNCTION("""COMPUTED_VALUE"""),0.24646185185185185)</f>
        <v>0.2464618519</v>
      </c>
      <c r="I50" s="15">
        <f>IFERROR(__xludf.DUMMYFUNCTION("""COMPUTED_VALUE"""),45949.282147394675)</f>
        <v>45949.28215</v>
      </c>
      <c r="J50" s="15">
        <f>IFERROR(__xludf.DUMMYFUNCTION("""COMPUTED_VALUE"""),45949.035685542825)</f>
        <v>45949.03569</v>
      </c>
      <c r="K50" s="15">
        <f>IFERROR(__xludf.DUMMYFUNCTION("""COMPUTED_VALUE"""),45949.25580099165)</f>
        <v>45949.2558</v>
      </c>
      <c r="L50" s="15">
        <f>IFERROR(__xludf.DUMMYFUNCTION("""COMPUTED_VALUE"""),45949.27636857795)</f>
        <v>45949.27637</v>
      </c>
    </row>
    <row r="51">
      <c r="A51" s="1">
        <f>IFERROR(__xludf.DUMMYFUNCTION("""COMPUTED_VALUE"""),50.0)</f>
        <v>50</v>
      </c>
      <c r="B51" s="1">
        <f>IFERROR(__xludf.DUMMYFUNCTION("""COMPUTED_VALUE"""),10207.0)</f>
        <v>10207</v>
      </c>
      <c r="C51" s="13" t="str">
        <f>IFERROR(__xludf.DUMMYFUNCTION("""COMPUTED_VALUE"""),"eitinzyx")</f>
        <v>eitinzyx</v>
      </c>
      <c r="D51" s="2" t="str">
        <f>IFERROR(__xludf.DUMMYFUNCTION("""COMPUTED_VALUE"""),"10KM OVERALL M")</f>
        <v>10KM OVERALL M</v>
      </c>
      <c r="E51" s="1">
        <f>IFERROR(__xludf.DUMMYFUNCTION("""COMPUTED_VALUE"""),40.0)</f>
        <v>40</v>
      </c>
      <c r="F51" s="1" t="str">
        <f>IFERROR(__xludf.DUMMYFUNCTION("""COMPUTED_VALUE"""),"Male")</f>
        <v>Male</v>
      </c>
      <c r="G51" s="5">
        <f>IFERROR(__xludf.DUMMYFUNCTION("""COMPUTED_VALUE"""),0.0035817442129629632)</f>
        <v>0.003581744213</v>
      </c>
      <c r="H51" s="14">
        <f>IFERROR(__xludf.DUMMYFUNCTION("""COMPUTED_VALUE"""),0.24646185185185185)</f>
        <v>0.2464618519</v>
      </c>
      <c r="I51" s="15">
        <f>IFERROR(__xludf.DUMMYFUNCTION("""COMPUTED_VALUE"""),45949.28227929817)</f>
        <v>45949.28228</v>
      </c>
      <c r="J51" s="15">
        <f>IFERROR(__xludf.DUMMYFUNCTION("""COMPUTED_VALUE"""),45949.03581744632)</f>
        <v>45949.03582</v>
      </c>
      <c r="K51" s="15">
        <f>IFERROR(__xludf.DUMMYFUNCTION("""COMPUTED_VALUE"""),45949.25463433406)</f>
        <v>45949.25463</v>
      </c>
      <c r="L51" s="15">
        <f>IFERROR(__xludf.DUMMYFUNCTION("""COMPUTED_VALUE"""),45949.27587211133)</f>
        <v>45949.27587</v>
      </c>
    </row>
    <row r="52">
      <c r="A52" s="1">
        <f>IFERROR(__xludf.DUMMYFUNCTION("""COMPUTED_VALUE"""),51.0)</f>
        <v>51</v>
      </c>
      <c r="B52" s="1">
        <f>IFERROR(__xludf.DUMMYFUNCTION("""COMPUTED_VALUE"""),10757.0)</f>
        <v>10757</v>
      </c>
      <c r="C52" s="13" t="str">
        <f>IFERROR(__xludf.DUMMYFUNCTION("""COMPUTED_VALUE"""),"SHODIQUR RIFKY")</f>
        <v>SHODIQUR RIFKY</v>
      </c>
      <c r="D52" s="2" t="str">
        <f>IFERROR(__xludf.DUMMYFUNCTION("""COMPUTED_VALUE"""),"10KM OVERALL M")</f>
        <v>10KM OVERALL M</v>
      </c>
      <c r="E52" s="1">
        <f>IFERROR(__xludf.DUMMYFUNCTION("""COMPUTED_VALUE"""),41.0)</f>
        <v>41</v>
      </c>
      <c r="F52" s="1" t="str">
        <f>IFERROR(__xludf.DUMMYFUNCTION("""COMPUTED_VALUE"""),"Female")</f>
        <v>Female</v>
      </c>
      <c r="G52" s="5">
        <f>IFERROR(__xludf.DUMMYFUNCTION("""COMPUTED_VALUE"""),0.0035824432870370376)</f>
        <v>0.003582443287</v>
      </c>
      <c r="H52" s="14">
        <f>IFERROR(__xludf.DUMMYFUNCTION("""COMPUTED_VALUE"""),0.24646185185185185)</f>
        <v>0.2464618519</v>
      </c>
      <c r="I52" s="15">
        <f>IFERROR(__xludf.DUMMYFUNCTION("""COMPUTED_VALUE"""),45949.28228628983)</f>
        <v>45949.28229</v>
      </c>
      <c r="J52" s="15">
        <f>IFERROR(__xludf.DUMMYFUNCTION("""COMPUTED_VALUE"""),45949.03582443798)</f>
        <v>45949.03582</v>
      </c>
      <c r="K52" s="15">
        <f>IFERROR(__xludf.DUMMYFUNCTION("""COMPUTED_VALUE"""),45949.272596144125)</f>
        <v>45949.2726</v>
      </c>
      <c r="L52" s="15" t="str">
        <f>IFERROR(__xludf.DUMMYFUNCTION("""COMPUTED_VALUE"""),"")</f>
        <v/>
      </c>
    </row>
    <row r="53">
      <c r="A53" s="1">
        <f>IFERROR(__xludf.DUMMYFUNCTION("""COMPUTED_VALUE"""),52.0)</f>
        <v>52</v>
      </c>
      <c r="B53" s="1">
        <f>IFERROR(__xludf.DUMMYFUNCTION("""COMPUTED_VALUE"""),10398.0)</f>
        <v>10398</v>
      </c>
      <c r="C53" s="13" t="str">
        <f>IFERROR(__xludf.DUMMYFUNCTION("""COMPUTED_VALUE"""),"BANDIT OVC")</f>
        <v>BANDIT OVC</v>
      </c>
      <c r="D53" s="2" t="str">
        <f>IFERROR(__xludf.DUMMYFUNCTION("""COMPUTED_VALUE"""),"10KM OVERALL M")</f>
        <v>10KM OVERALL M</v>
      </c>
      <c r="E53" s="1">
        <f>IFERROR(__xludf.DUMMYFUNCTION("""COMPUTED_VALUE"""),42.0)</f>
        <v>42</v>
      </c>
      <c r="F53" s="1" t="str">
        <f>IFERROR(__xludf.DUMMYFUNCTION("""COMPUTED_VALUE"""),"Male")</f>
        <v>Male</v>
      </c>
      <c r="G53" s="5">
        <f>IFERROR(__xludf.DUMMYFUNCTION("""COMPUTED_VALUE"""),0.0035841747685185187)</f>
        <v>0.003584174769</v>
      </c>
      <c r="H53" s="14">
        <f>IFERROR(__xludf.DUMMYFUNCTION("""COMPUTED_VALUE"""),0.24646185185185185)</f>
        <v>0.2464618519</v>
      </c>
      <c r="I53" s="15">
        <f>IFERROR(__xludf.DUMMYFUNCTION("""COMPUTED_VALUE"""),45949.28230360513)</f>
        <v>45949.2823</v>
      </c>
      <c r="J53" s="15">
        <f>IFERROR(__xludf.DUMMYFUNCTION("""COMPUTED_VALUE"""),45949.03584175328)</f>
        <v>45949.03584</v>
      </c>
      <c r="K53" s="15">
        <f>IFERROR(__xludf.DUMMYFUNCTION("""COMPUTED_VALUE"""),45949.255377385394)</f>
        <v>45949.25538</v>
      </c>
      <c r="L53" s="15">
        <f>IFERROR(__xludf.DUMMYFUNCTION("""COMPUTED_VALUE"""),45949.27637201062)</f>
        <v>45949.27637</v>
      </c>
    </row>
    <row r="54">
      <c r="A54" s="1">
        <f>IFERROR(__xludf.DUMMYFUNCTION("""COMPUTED_VALUE"""),53.0)</f>
        <v>53</v>
      </c>
      <c r="B54" s="1">
        <f>IFERROR(__xludf.DUMMYFUNCTION("""COMPUTED_VALUE"""),10106.0)</f>
        <v>10106</v>
      </c>
      <c r="C54" s="13" t="str">
        <f>IFERROR(__xludf.DUMMYFUNCTION("""COMPUTED_VALUE"""),"Yunan")</f>
        <v>Yunan</v>
      </c>
      <c r="D54" s="2" t="str">
        <f>IFERROR(__xludf.DUMMYFUNCTION("""COMPUTED_VALUE"""),"10KM OVERALL F")</f>
        <v>10KM OVERALL F</v>
      </c>
      <c r="E54" s="1">
        <f>IFERROR(__xludf.DUMMYFUNCTION("""COMPUTED_VALUE"""),2.0)</f>
        <v>2</v>
      </c>
      <c r="F54" s="1" t="str">
        <f>IFERROR(__xludf.DUMMYFUNCTION("""COMPUTED_VALUE"""),"Female")</f>
        <v>Female</v>
      </c>
      <c r="G54" s="5">
        <f>IFERROR(__xludf.DUMMYFUNCTION("""COMPUTED_VALUE"""),0.0035869571759259257)</f>
        <v>0.003586957176</v>
      </c>
      <c r="H54" s="14">
        <f>IFERROR(__xludf.DUMMYFUNCTION("""COMPUTED_VALUE"""),0.24646185185185185)</f>
        <v>0.2464618519</v>
      </c>
      <c r="I54" s="15">
        <f>IFERROR(__xludf.DUMMYFUNCTION("""COMPUTED_VALUE"""),45949.28233142897)</f>
        <v>45949.28233</v>
      </c>
      <c r="J54" s="15">
        <f>IFERROR(__xludf.DUMMYFUNCTION("""COMPUTED_VALUE"""),45949.03586957712)</f>
        <v>45949.03587</v>
      </c>
      <c r="K54" s="15">
        <f>IFERROR(__xludf.DUMMYFUNCTION("""COMPUTED_VALUE"""),45949.25424196184)</f>
        <v>45949.25424</v>
      </c>
      <c r="L54" s="15">
        <f>IFERROR(__xludf.DUMMYFUNCTION("""COMPUTED_VALUE"""),45949.27589978513)</f>
        <v>45949.2759</v>
      </c>
    </row>
    <row r="55">
      <c r="A55" s="1">
        <f>IFERROR(__xludf.DUMMYFUNCTION("""COMPUTED_VALUE"""),54.0)</f>
        <v>54</v>
      </c>
      <c r="B55" s="1">
        <f>IFERROR(__xludf.DUMMYFUNCTION("""COMPUTED_VALUE"""),12005.0)</f>
        <v>12005</v>
      </c>
      <c r="C55" s="13" t="str">
        <f>IFERROR(__xludf.DUMMYFUNCTION("""COMPUTED_VALUE"""),"Sukamto")</f>
        <v>Sukamto</v>
      </c>
      <c r="D55" s="2" t="str">
        <f>IFERROR(__xludf.DUMMYFUNCTION("""COMPUTED_VALUE"""),"10KM MASTER M")</f>
        <v>10KM MASTER M</v>
      </c>
      <c r="E55" s="1">
        <f>IFERROR(__xludf.DUMMYFUNCTION("""COMPUTED_VALUE"""),9.0)</f>
        <v>9</v>
      </c>
      <c r="F55" s="1" t="str">
        <f>IFERROR(__xludf.DUMMYFUNCTION("""COMPUTED_VALUE"""),"Male")</f>
        <v>Male</v>
      </c>
      <c r="G55" s="5">
        <f>IFERROR(__xludf.DUMMYFUNCTION("""COMPUTED_VALUE"""),0.0035914710648148147)</f>
        <v>0.003591471065</v>
      </c>
      <c r="H55" s="14">
        <f>IFERROR(__xludf.DUMMYFUNCTION("""COMPUTED_VALUE"""),0.24646185185185185)</f>
        <v>0.2464618519</v>
      </c>
      <c r="I55" s="15">
        <f>IFERROR(__xludf.DUMMYFUNCTION("""COMPUTED_VALUE"""),45949.282376563046)</f>
        <v>45949.28238</v>
      </c>
      <c r="J55" s="15">
        <f>IFERROR(__xludf.DUMMYFUNCTION("""COMPUTED_VALUE"""),45949.035914711196)</f>
        <v>45949.03591</v>
      </c>
      <c r="K55" s="15">
        <f>IFERROR(__xludf.DUMMYFUNCTION("""COMPUTED_VALUE"""),45949.25420376726)</f>
        <v>45949.2542</v>
      </c>
      <c r="L55" s="15">
        <f>IFERROR(__xludf.DUMMYFUNCTION("""COMPUTED_VALUE"""),45949.27580610009)</f>
        <v>45949.27581</v>
      </c>
    </row>
    <row r="56">
      <c r="A56" s="1">
        <f>IFERROR(__xludf.DUMMYFUNCTION("""COMPUTED_VALUE"""),55.0)</f>
        <v>55</v>
      </c>
      <c r="B56" s="1">
        <f>IFERROR(__xludf.DUMMYFUNCTION("""COMPUTED_VALUE"""),10635.0)</f>
        <v>10635</v>
      </c>
      <c r="C56" s="13" t="str">
        <f>IFERROR(__xludf.DUMMYFUNCTION("""COMPUTED_VALUE"""),"AHMAD")</f>
        <v>AHMAD</v>
      </c>
      <c r="D56" s="2" t="str">
        <f>IFERROR(__xludf.DUMMYFUNCTION("""COMPUTED_VALUE"""),"10KM OVERALL M")</f>
        <v>10KM OVERALL M</v>
      </c>
      <c r="E56" s="1">
        <f>IFERROR(__xludf.DUMMYFUNCTION("""COMPUTED_VALUE"""),43.0)</f>
        <v>43</v>
      </c>
      <c r="F56" s="1" t="str">
        <f>IFERROR(__xludf.DUMMYFUNCTION("""COMPUTED_VALUE"""),"Male")</f>
        <v>Male</v>
      </c>
      <c r="G56" s="5">
        <f>IFERROR(__xludf.DUMMYFUNCTION("""COMPUTED_VALUE"""),0.0035987638888888888)</f>
        <v>0.003598763889</v>
      </c>
      <c r="H56" s="14">
        <f>IFERROR(__xludf.DUMMYFUNCTION("""COMPUTED_VALUE"""),0.24646185185185185)</f>
        <v>0.2464618519</v>
      </c>
      <c r="I56" s="15">
        <f>IFERROR(__xludf.DUMMYFUNCTION("""COMPUTED_VALUE"""),45949.28244948863)</f>
        <v>45949.28245</v>
      </c>
      <c r="J56" s="15">
        <f>IFERROR(__xludf.DUMMYFUNCTION("""COMPUTED_VALUE"""),45949.03598763678)</f>
        <v>45949.03599</v>
      </c>
      <c r="K56" s="15">
        <f>IFERROR(__xludf.DUMMYFUNCTION("""COMPUTED_VALUE"""),45949.254384386324)</f>
        <v>45949.25438</v>
      </c>
      <c r="L56" s="15">
        <f>IFERROR(__xludf.DUMMYFUNCTION("""COMPUTED_VALUE"""),45949.27596929606)</f>
        <v>45949.27597</v>
      </c>
    </row>
    <row r="57">
      <c r="A57" s="1">
        <f>IFERROR(__xludf.DUMMYFUNCTION("""COMPUTED_VALUE"""),56.0)</f>
        <v>56</v>
      </c>
      <c r="B57" s="1">
        <f>IFERROR(__xludf.DUMMYFUNCTION("""COMPUTED_VALUE"""),10539.0)</f>
        <v>10539</v>
      </c>
      <c r="C57" s="13" t="str">
        <f>IFERROR(__xludf.DUMMYFUNCTION("""COMPUTED_VALUE"""),"Orlandy")</f>
        <v>Orlandy</v>
      </c>
      <c r="D57" s="2" t="str">
        <f>IFERROR(__xludf.DUMMYFUNCTION("""COMPUTED_VALUE"""),"10KM OVERALL M")</f>
        <v>10KM OVERALL M</v>
      </c>
      <c r="E57" s="1">
        <f>IFERROR(__xludf.DUMMYFUNCTION("""COMPUTED_VALUE"""),44.0)</f>
        <v>44</v>
      </c>
      <c r="F57" s="1" t="str">
        <f>IFERROR(__xludf.DUMMYFUNCTION("""COMPUTED_VALUE"""),"Male")</f>
        <v>Male</v>
      </c>
      <c r="G57" s="5">
        <f>IFERROR(__xludf.DUMMYFUNCTION("""COMPUTED_VALUE"""),0.0036077905092592594)</f>
        <v>0.003607790509</v>
      </c>
      <c r="H57" s="14">
        <f>IFERROR(__xludf.DUMMYFUNCTION("""COMPUTED_VALUE"""),0.24646185185185185)</f>
        <v>0.2464618519</v>
      </c>
      <c r="I57" s="15">
        <f>IFERROR(__xludf.DUMMYFUNCTION("""COMPUTED_VALUE"""),45949.28253976079)</f>
        <v>45949.28254</v>
      </c>
      <c r="J57" s="15">
        <f>IFERROR(__xludf.DUMMYFUNCTION("""COMPUTED_VALUE"""),45949.03607790894)</f>
        <v>45949.03608</v>
      </c>
      <c r="K57" s="15">
        <f>IFERROR(__xludf.DUMMYFUNCTION("""COMPUTED_VALUE"""),45949.25436703782)</f>
        <v>45949.25437</v>
      </c>
      <c r="L57" s="15">
        <f>IFERROR(__xludf.DUMMYFUNCTION("""COMPUTED_VALUE"""),45949.27593450208)</f>
        <v>45949.27593</v>
      </c>
    </row>
    <row r="58">
      <c r="A58" s="1">
        <f>IFERROR(__xludf.DUMMYFUNCTION("""COMPUTED_VALUE"""),57.0)</f>
        <v>57</v>
      </c>
      <c r="B58" s="1">
        <f>IFERROR(__xludf.DUMMYFUNCTION("""COMPUTED_VALUE"""),10431.0)</f>
        <v>10431</v>
      </c>
      <c r="C58" s="13" t="str">
        <f>IFERROR(__xludf.DUMMYFUNCTION("""COMPUTED_VALUE"""),"Spiderboyy11")</f>
        <v>Spiderboyy11</v>
      </c>
      <c r="D58" s="2" t="str">
        <f>IFERROR(__xludf.DUMMYFUNCTION("""COMPUTED_VALUE"""),"10KM OVERALL M")</f>
        <v>10KM OVERALL M</v>
      </c>
      <c r="E58" s="1">
        <f>IFERROR(__xludf.DUMMYFUNCTION("""COMPUTED_VALUE"""),45.0)</f>
        <v>45</v>
      </c>
      <c r="F58" s="1" t="str">
        <f>IFERROR(__xludf.DUMMYFUNCTION("""COMPUTED_VALUE"""),"Male")</f>
        <v>Male</v>
      </c>
      <c r="G58" s="5">
        <f>IFERROR(__xludf.DUMMYFUNCTION("""COMPUTED_VALUE"""),0.0036189016203703704)</f>
        <v>0.00361890162</v>
      </c>
      <c r="H58" s="14">
        <f>IFERROR(__xludf.DUMMYFUNCTION("""COMPUTED_VALUE"""),0.24646185185185185)</f>
        <v>0.2464618519</v>
      </c>
      <c r="I58" s="15">
        <f>IFERROR(__xludf.DUMMYFUNCTION("""COMPUTED_VALUE"""),45949.282650865796)</f>
        <v>45949.28265</v>
      </c>
      <c r="J58" s="15">
        <f>IFERROR(__xludf.DUMMYFUNCTION("""COMPUTED_VALUE"""),45949.03618901395)</f>
        <v>45949.03619</v>
      </c>
      <c r="K58" s="15">
        <f>IFERROR(__xludf.DUMMYFUNCTION("""COMPUTED_VALUE"""),45949.25586354734)</f>
        <v>45949.25586</v>
      </c>
      <c r="L58" s="15">
        <f>IFERROR(__xludf.DUMMYFUNCTION("""COMPUTED_VALUE"""),45949.27679912876)</f>
        <v>45949.2768</v>
      </c>
    </row>
    <row r="59">
      <c r="A59" s="1">
        <f>IFERROR(__xludf.DUMMYFUNCTION("""COMPUTED_VALUE"""),58.0)</f>
        <v>58</v>
      </c>
      <c r="B59" s="1">
        <f>IFERROR(__xludf.DUMMYFUNCTION("""COMPUTED_VALUE"""),10084.0)</f>
        <v>10084</v>
      </c>
      <c r="C59" s="13" t="str">
        <f>IFERROR(__xludf.DUMMYFUNCTION("""COMPUTED_VALUE"""),"MUHAMMAD REZA")</f>
        <v>MUHAMMAD REZA</v>
      </c>
      <c r="D59" s="2" t="str">
        <f>IFERROR(__xludf.DUMMYFUNCTION("""COMPUTED_VALUE"""),"10KM OVERALL M")</f>
        <v>10KM OVERALL M</v>
      </c>
      <c r="E59" s="1">
        <f>IFERROR(__xludf.DUMMYFUNCTION("""COMPUTED_VALUE"""),46.0)</f>
        <v>46</v>
      </c>
      <c r="F59" s="1" t="str">
        <f>IFERROR(__xludf.DUMMYFUNCTION("""COMPUTED_VALUE"""),"Male")</f>
        <v>Male</v>
      </c>
      <c r="G59" s="5">
        <f>IFERROR(__xludf.DUMMYFUNCTION("""COMPUTED_VALUE"""),0.003620987268518518)</f>
        <v>0.003620987269</v>
      </c>
      <c r="H59" s="14">
        <f>IFERROR(__xludf.DUMMYFUNCTION("""COMPUTED_VALUE"""),0.24646185185185185)</f>
        <v>0.2464618519</v>
      </c>
      <c r="I59" s="15">
        <f>IFERROR(__xludf.DUMMYFUNCTION("""COMPUTED_VALUE"""),45949.28267171933)</f>
        <v>45949.28267</v>
      </c>
      <c r="J59" s="15">
        <f>IFERROR(__xludf.DUMMYFUNCTION("""COMPUTED_VALUE"""),45949.03620986748)</f>
        <v>45949.03621</v>
      </c>
      <c r="K59" s="15">
        <f>IFERROR(__xludf.DUMMYFUNCTION("""COMPUTED_VALUE"""),45949.25458230202)</f>
        <v>45949.25458</v>
      </c>
      <c r="L59" s="15">
        <f>IFERROR(__xludf.DUMMYFUNCTION("""COMPUTED_VALUE"""),45949.27647969065)</f>
        <v>45949.27648</v>
      </c>
    </row>
    <row r="60">
      <c r="A60" s="1">
        <f>IFERROR(__xludf.DUMMYFUNCTION("""COMPUTED_VALUE"""),59.0)</f>
        <v>59</v>
      </c>
      <c r="B60" s="1">
        <f>IFERROR(__xludf.DUMMYFUNCTION("""COMPUTED_VALUE"""),10582.0)</f>
        <v>10582</v>
      </c>
      <c r="C60" s="13" t="str">
        <f>IFERROR(__xludf.DUMMYFUNCTION("""COMPUTED_VALUE"""),"Muhammad Hanif")</f>
        <v>Muhammad Hanif</v>
      </c>
      <c r="D60" s="2" t="str">
        <f>IFERROR(__xludf.DUMMYFUNCTION("""COMPUTED_VALUE"""),"10KM OVERALL M")</f>
        <v>10KM OVERALL M</v>
      </c>
      <c r="E60" s="1">
        <f>IFERROR(__xludf.DUMMYFUNCTION("""COMPUTED_VALUE"""),47.0)</f>
        <v>47</v>
      </c>
      <c r="F60" s="1" t="str">
        <f>IFERROR(__xludf.DUMMYFUNCTION("""COMPUTED_VALUE"""),"Male")</f>
        <v>Male</v>
      </c>
      <c r="G60" s="5">
        <f>IFERROR(__xludf.DUMMYFUNCTION("""COMPUTED_VALUE"""),0.003631054398148149)</f>
        <v>0.003631054398</v>
      </c>
      <c r="H60" s="14">
        <f>IFERROR(__xludf.DUMMYFUNCTION("""COMPUTED_VALUE"""),0.24646185185185185)</f>
        <v>0.2464618519</v>
      </c>
      <c r="I60" s="15">
        <f>IFERROR(__xludf.DUMMYFUNCTION("""COMPUTED_VALUE"""),45949.28277239259)</f>
        <v>45949.28277</v>
      </c>
      <c r="J60" s="15">
        <f>IFERROR(__xludf.DUMMYFUNCTION("""COMPUTED_VALUE"""),45949.03631054074)</f>
        <v>45949.03631</v>
      </c>
      <c r="K60" s="15">
        <f>IFERROR(__xludf.DUMMYFUNCTION("""COMPUTED_VALUE"""),45949.2549816016)</f>
        <v>45949.25498</v>
      </c>
      <c r="L60" s="15">
        <f>IFERROR(__xludf.DUMMYFUNCTION("""COMPUTED_VALUE"""),45949.27658384586)</f>
        <v>45949.27658</v>
      </c>
    </row>
    <row r="61">
      <c r="A61" s="1">
        <f>IFERROR(__xludf.DUMMYFUNCTION("""COMPUTED_VALUE"""),60.0)</f>
        <v>60</v>
      </c>
      <c r="B61" s="1">
        <f>IFERROR(__xludf.DUMMYFUNCTION("""COMPUTED_VALUE"""),10550.0)</f>
        <v>10550</v>
      </c>
      <c r="C61" s="13" t="str">
        <f>IFERROR(__xludf.DUMMYFUNCTION("""COMPUTED_VALUE"""),"eaji")</f>
        <v>eaji</v>
      </c>
      <c r="D61" s="2" t="str">
        <f>IFERROR(__xludf.DUMMYFUNCTION("""COMPUTED_VALUE"""),"10KM OVERALL M")</f>
        <v>10KM OVERALL M</v>
      </c>
      <c r="E61" s="1">
        <f>IFERROR(__xludf.DUMMYFUNCTION("""COMPUTED_VALUE"""),48.0)</f>
        <v>48</v>
      </c>
      <c r="F61" s="1" t="str">
        <f>IFERROR(__xludf.DUMMYFUNCTION("""COMPUTED_VALUE"""),"Male")</f>
        <v>Male</v>
      </c>
      <c r="G61" s="5">
        <f>IFERROR(__xludf.DUMMYFUNCTION("""COMPUTED_VALUE"""),0.0036352222222222224)</f>
        <v>0.003635222222</v>
      </c>
      <c r="H61" s="14">
        <f>IFERROR(__xludf.DUMMYFUNCTION("""COMPUTED_VALUE"""),0.24646185185185185)</f>
        <v>0.2464618519</v>
      </c>
      <c r="I61" s="15">
        <f>IFERROR(__xludf.DUMMYFUNCTION("""COMPUTED_VALUE"""),45949.28281407051)</f>
        <v>45949.28281</v>
      </c>
      <c r="J61" s="15">
        <f>IFERROR(__xludf.DUMMYFUNCTION("""COMPUTED_VALUE"""),45949.03635221866)</f>
        <v>45949.03635</v>
      </c>
      <c r="K61" s="15">
        <f>IFERROR(__xludf.DUMMYFUNCTION("""COMPUTED_VALUE"""),45949.2558704991)</f>
        <v>45949.25587</v>
      </c>
      <c r="L61" s="15">
        <f>IFERROR(__xludf.DUMMYFUNCTION("""COMPUTED_VALUE"""),45949.27681302137)</f>
        <v>45949.27681</v>
      </c>
    </row>
    <row r="62">
      <c r="A62" s="1">
        <f>IFERROR(__xludf.DUMMYFUNCTION("""COMPUTED_VALUE"""),61.0)</f>
        <v>61</v>
      </c>
      <c r="B62" s="1">
        <f>IFERROR(__xludf.DUMMYFUNCTION("""COMPUTED_VALUE"""),10353.0)</f>
        <v>10353</v>
      </c>
      <c r="C62" s="13" t="str">
        <f>IFERROR(__xludf.DUMMYFUNCTION("""COMPUTED_VALUE"""),"Fano")</f>
        <v>Fano</v>
      </c>
      <c r="D62" s="2" t="str">
        <f>IFERROR(__xludf.DUMMYFUNCTION("""COMPUTED_VALUE"""),"10KM OVERALL M")</f>
        <v>10KM OVERALL M</v>
      </c>
      <c r="E62" s="1">
        <f>IFERROR(__xludf.DUMMYFUNCTION("""COMPUTED_VALUE"""),49.0)</f>
        <v>49</v>
      </c>
      <c r="F62" s="1" t="str">
        <f>IFERROR(__xludf.DUMMYFUNCTION("""COMPUTED_VALUE"""),"Male")</f>
        <v>Male</v>
      </c>
      <c r="G62" s="5">
        <f>IFERROR(__xludf.DUMMYFUNCTION("""COMPUTED_VALUE"""),0.0036352233796296297)</f>
        <v>0.00363522338</v>
      </c>
      <c r="H62" s="14">
        <f>IFERROR(__xludf.DUMMYFUNCTION("""COMPUTED_VALUE"""),0.24646185185185185)</f>
        <v>0.2464618519</v>
      </c>
      <c r="I62" s="15">
        <f>IFERROR(__xludf.DUMMYFUNCTION("""COMPUTED_VALUE"""),45949.28281408211)</f>
        <v>45949.28281</v>
      </c>
      <c r="J62" s="15">
        <f>IFERROR(__xludf.DUMMYFUNCTION("""COMPUTED_VALUE"""),45949.03635223026)</f>
        <v>45949.03635</v>
      </c>
      <c r="K62" s="15">
        <f>IFERROR(__xludf.DUMMYFUNCTION("""COMPUTED_VALUE"""),45949.25439915546)</f>
        <v>45949.2544</v>
      </c>
      <c r="L62" s="15">
        <f>IFERROR(__xludf.DUMMYFUNCTION("""COMPUTED_VALUE"""),45949.27629270854)</f>
        <v>45949.27629</v>
      </c>
    </row>
    <row r="63">
      <c r="A63" s="1">
        <f>IFERROR(__xludf.DUMMYFUNCTION("""COMPUTED_VALUE"""),62.0)</f>
        <v>62</v>
      </c>
      <c r="B63" s="1">
        <f>IFERROR(__xludf.DUMMYFUNCTION("""COMPUTED_VALUE"""),10383.0)</f>
        <v>10383</v>
      </c>
      <c r="C63" s="13" t="str">
        <f>IFERROR(__xludf.DUMMYFUNCTION("""COMPUTED_VALUE"""),"Amall")</f>
        <v>Amall</v>
      </c>
      <c r="D63" s="2" t="str">
        <f>IFERROR(__xludf.DUMMYFUNCTION("""COMPUTED_VALUE"""),"10KM OVERALL M")</f>
        <v>10KM OVERALL M</v>
      </c>
      <c r="E63" s="1">
        <f>IFERROR(__xludf.DUMMYFUNCTION("""COMPUTED_VALUE"""),50.0)</f>
        <v>50</v>
      </c>
      <c r="F63" s="1" t="str">
        <f>IFERROR(__xludf.DUMMYFUNCTION("""COMPUTED_VALUE"""),"Male")</f>
        <v>Male</v>
      </c>
      <c r="G63" s="5">
        <f>IFERROR(__xludf.DUMMYFUNCTION("""COMPUTED_VALUE"""),0.0036362627314814816)</f>
        <v>0.003636262731</v>
      </c>
      <c r="H63" s="14">
        <f>IFERROR(__xludf.DUMMYFUNCTION("""COMPUTED_VALUE"""),0.24646185185185185)</f>
        <v>0.2464618519</v>
      </c>
      <c r="I63" s="15">
        <f>IFERROR(__xludf.DUMMYFUNCTION("""COMPUTED_VALUE"""),45949.28282448275)</f>
        <v>45949.28282</v>
      </c>
      <c r="J63" s="15">
        <f>IFERROR(__xludf.DUMMYFUNCTION("""COMPUTED_VALUE"""),45949.0363626309)</f>
        <v>45949.03636</v>
      </c>
      <c r="K63" s="15">
        <f>IFERROR(__xludf.DUMMYFUNCTION("""COMPUTED_VALUE"""),45949.25489132919)</f>
        <v>45949.25489</v>
      </c>
      <c r="L63" s="15">
        <f>IFERROR(__xludf.DUMMYFUNCTION("""COMPUTED_VALUE"""),45949.276729694495)</f>
        <v>45949.27673</v>
      </c>
    </row>
    <row r="64">
      <c r="A64" s="1">
        <f>IFERROR(__xludf.DUMMYFUNCTION("""COMPUTED_VALUE"""),63.0)</f>
        <v>63</v>
      </c>
      <c r="B64" s="1">
        <f>IFERROR(__xludf.DUMMYFUNCTION("""COMPUTED_VALUE"""),10100.0)</f>
        <v>10100</v>
      </c>
      <c r="C64" s="13" t="str">
        <f>IFERROR(__xludf.DUMMYFUNCTION("""COMPUTED_VALUE"""),"Fathinirwana")</f>
        <v>Fathinirwana</v>
      </c>
      <c r="D64" s="2" t="str">
        <f>IFERROR(__xludf.DUMMYFUNCTION("""COMPUTED_VALUE"""),"10KM OVERALL M")</f>
        <v>10KM OVERALL M</v>
      </c>
      <c r="E64" s="1">
        <f>IFERROR(__xludf.DUMMYFUNCTION("""COMPUTED_VALUE"""),51.0)</f>
        <v>51</v>
      </c>
      <c r="F64" s="1" t="str">
        <f>IFERROR(__xludf.DUMMYFUNCTION("""COMPUTED_VALUE"""),"Male")</f>
        <v>Male</v>
      </c>
      <c r="G64" s="5">
        <f>IFERROR(__xludf.DUMMYFUNCTION("""COMPUTED_VALUE"""),0.003652582175925926)</f>
        <v>0.003652582176</v>
      </c>
      <c r="H64" s="14">
        <f>IFERROR(__xludf.DUMMYFUNCTION("""COMPUTED_VALUE"""),0.24646185185185185)</f>
        <v>0.2464618519</v>
      </c>
      <c r="I64" s="15">
        <f>IFERROR(__xludf.DUMMYFUNCTION("""COMPUTED_VALUE"""),45949.282987679115)</f>
        <v>45949.28299</v>
      </c>
      <c r="J64" s="15">
        <f>IFERROR(__xludf.DUMMYFUNCTION("""COMPUTED_VALUE"""),45949.036525827265)</f>
        <v>45949.03653</v>
      </c>
      <c r="K64" s="15">
        <f>IFERROR(__xludf.DUMMYFUNCTION("""COMPUTED_VALUE"""),45949.254672583666)</f>
        <v>45949.25467</v>
      </c>
      <c r="L64" s="15">
        <f>IFERROR(__xludf.DUMMYFUNCTION("""COMPUTED_VALUE"""),45949.27691024814)</f>
        <v>45949.27691</v>
      </c>
    </row>
    <row r="65">
      <c r="A65" s="1">
        <f>IFERROR(__xludf.DUMMYFUNCTION("""COMPUTED_VALUE"""),64.0)</f>
        <v>64</v>
      </c>
      <c r="B65" s="1">
        <f>IFERROR(__xludf.DUMMYFUNCTION("""COMPUTED_VALUE"""),10185.0)</f>
        <v>10185</v>
      </c>
      <c r="C65" s="13" t="str">
        <f>IFERROR(__xludf.DUMMYFUNCTION("""COMPUTED_VALUE"""),"alfianrzki")</f>
        <v>alfianrzki</v>
      </c>
      <c r="D65" s="2" t="str">
        <f>IFERROR(__xludf.DUMMYFUNCTION("""COMPUTED_VALUE"""),"10KM OVERALL M")</f>
        <v>10KM OVERALL M</v>
      </c>
      <c r="E65" s="1">
        <f>IFERROR(__xludf.DUMMYFUNCTION("""COMPUTED_VALUE"""),52.0)</f>
        <v>52</v>
      </c>
      <c r="F65" s="1" t="str">
        <f>IFERROR(__xludf.DUMMYFUNCTION("""COMPUTED_VALUE"""),"Male")</f>
        <v>Male</v>
      </c>
      <c r="G65" s="5">
        <f>IFERROR(__xludf.DUMMYFUNCTION("""COMPUTED_VALUE"""),0.0036536249999999998)</f>
        <v>0.003653625</v>
      </c>
      <c r="H65" s="14">
        <f>IFERROR(__xludf.DUMMYFUNCTION("""COMPUTED_VALUE"""),0.24646185185185185)</f>
        <v>0.2464618519</v>
      </c>
      <c r="I65" s="15">
        <f>IFERROR(__xludf.DUMMYFUNCTION("""COMPUTED_VALUE"""),45949.28299810016)</f>
        <v>45949.283</v>
      </c>
      <c r="J65" s="15">
        <f>IFERROR(__xludf.DUMMYFUNCTION("""COMPUTED_VALUE"""),45949.03653624831)</f>
        <v>45949.03654</v>
      </c>
      <c r="K65" s="15">
        <f>IFERROR(__xludf.DUMMYFUNCTION("""COMPUTED_VALUE"""),45949.2550822389)</f>
        <v>45949.25508</v>
      </c>
      <c r="L65" s="15">
        <f>IFERROR(__xludf.DUMMYFUNCTION("""COMPUTED_VALUE"""),45949.27649042579)</f>
        <v>45949.27649</v>
      </c>
    </row>
    <row r="66">
      <c r="A66" s="1">
        <f>IFERROR(__xludf.DUMMYFUNCTION("""COMPUTED_VALUE"""),65.0)</f>
        <v>65</v>
      </c>
      <c r="B66" s="1">
        <f>IFERROR(__xludf.DUMMYFUNCTION("""COMPUTED_VALUE"""),10266.0)</f>
        <v>10266</v>
      </c>
      <c r="C66" s="13" t="str">
        <f>IFERROR(__xludf.DUMMYFUNCTION("""COMPUTED_VALUE"""),"Medi")</f>
        <v>Medi</v>
      </c>
      <c r="D66" s="2" t="str">
        <f>IFERROR(__xludf.DUMMYFUNCTION("""COMPUTED_VALUE"""),"10KM OVERALL M")</f>
        <v>10KM OVERALL M</v>
      </c>
      <c r="E66" s="1">
        <f>IFERROR(__xludf.DUMMYFUNCTION("""COMPUTED_VALUE"""),53.0)</f>
        <v>53</v>
      </c>
      <c r="F66" s="1" t="str">
        <f>IFERROR(__xludf.DUMMYFUNCTION("""COMPUTED_VALUE"""),"Male")</f>
        <v>Male</v>
      </c>
      <c r="G66" s="5">
        <f>IFERROR(__xludf.DUMMYFUNCTION("""COMPUTED_VALUE"""),0.0036536261574074075)</f>
        <v>0.003653626157</v>
      </c>
      <c r="H66" s="14">
        <f>IFERROR(__xludf.DUMMYFUNCTION("""COMPUTED_VALUE"""),0.24646185185185185)</f>
        <v>0.2464618519</v>
      </c>
      <c r="I66" s="15">
        <f>IFERROR(__xludf.DUMMYFUNCTION("""COMPUTED_VALUE"""),45949.28299811234)</f>
        <v>45949.283</v>
      </c>
      <c r="J66" s="15">
        <f>IFERROR(__xludf.DUMMYFUNCTION("""COMPUTED_VALUE"""),45949.03653626049)</f>
        <v>45949.03654</v>
      </c>
      <c r="K66" s="15">
        <f>IFERROR(__xludf.DUMMYFUNCTION("""COMPUTED_VALUE"""),45949.293248983464)</f>
        <v>45949.29325</v>
      </c>
      <c r="L66" s="15">
        <f>IFERROR(__xludf.DUMMYFUNCTION("""COMPUTED_VALUE"""),45949.32232897891)</f>
        <v>45949.32233</v>
      </c>
    </row>
    <row r="67">
      <c r="A67" s="1">
        <f>IFERROR(__xludf.DUMMYFUNCTION("""COMPUTED_VALUE"""),66.0)</f>
        <v>66</v>
      </c>
      <c r="B67" s="1">
        <f>IFERROR(__xludf.DUMMYFUNCTION("""COMPUTED_VALUE"""),10307.0)</f>
        <v>10307</v>
      </c>
      <c r="C67" s="13" t="str">
        <f>IFERROR(__xludf.DUMMYFUNCTION("""COMPUTED_VALUE"""),"Yohanes Poalam")</f>
        <v>Yohanes Poalam</v>
      </c>
      <c r="D67" s="2" t="str">
        <f>IFERROR(__xludf.DUMMYFUNCTION("""COMPUTED_VALUE"""),"10KM OVERALL M")</f>
        <v>10KM OVERALL M</v>
      </c>
      <c r="E67" s="1">
        <f>IFERROR(__xludf.DUMMYFUNCTION("""COMPUTED_VALUE"""),54.0)</f>
        <v>54</v>
      </c>
      <c r="F67" s="1" t="str">
        <f>IFERROR(__xludf.DUMMYFUNCTION("""COMPUTED_VALUE"""),"Male")</f>
        <v>Male</v>
      </c>
      <c r="G67" s="5">
        <f>IFERROR(__xludf.DUMMYFUNCTION("""COMPUTED_VALUE"""),0.0036647349537037035)</f>
        <v>0.003664734954</v>
      </c>
      <c r="H67" s="14">
        <f>IFERROR(__xludf.DUMMYFUNCTION("""COMPUTED_VALUE"""),0.24646185185185185)</f>
        <v>0.2464618519</v>
      </c>
      <c r="I67" s="15">
        <f>IFERROR(__xludf.DUMMYFUNCTION("""COMPUTED_VALUE"""),45949.28310920193)</f>
        <v>45949.28311</v>
      </c>
      <c r="J67" s="15">
        <f>IFERROR(__xludf.DUMMYFUNCTION("""COMPUTED_VALUE"""),45949.03664735008)</f>
        <v>45949.03665</v>
      </c>
      <c r="K67" s="15">
        <f>IFERROR(__xludf.DUMMYFUNCTION("""COMPUTED_VALUE"""),45949.25471765849)</f>
        <v>45949.25472</v>
      </c>
      <c r="L67" s="15">
        <f>IFERROR(__xludf.DUMMYFUNCTION("""COMPUTED_VALUE"""),45949.27489342209)</f>
        <v>45949.27489</v>
      </c>
    </row>
    <row r="68">
      <c r="A68" s="1">
        <f>IFERROR(__xludf.DUMMYFUNCTION("""COMPUTED_VALUE"""),67.0)</f>
        <v>67</v>
      </c>
      <c r="B68" s="1">
        <f>IFERROR(__xludf.DUMMYFUNCTION("""COMPUTED_VALUE"""),10619.0)</f>
        <v>10619</v>
      </c>
      <c r="C68" s="13" t="str">
        <f>IFERROR(__xludf.DUMMYFUNCTION("""COMPUTED_VALUE"""),"GENTA26")</f>
        <v>GENTA26</v>
      </c>
      <c r="D68" s="2" t="str">
        <f>IFERROR(__xludf.DUMMYFUNCTION("""COMPUTED_VALUE"""),"10KM OVERALL M")</f>
        <v>10KM OVERALL M</v>
      </c>
      <c r="E68" s="1">
        <f>IFERROR(__xludf.DUMMYFUNCTION("""COMPUTED_VALUE"""),55.0)</f>
        <v>55</v>
      </c>
      <c r="F68" s="1" t="str">
        <f>IFERROR(__xludf.DUMMYFUNCTION("""COMPUTED_VALUE"""),"Male")</f>
        <v>Male</v>
      </c>
      <c r="G68" s="5">
        <f>IFERROR(__xludf.DUMMYFUNCTION("""COMPUTED_VALUE"""),0.0036786238425925927)</f>
        <v>0.003678623843</v>
      </c>
      <c r="H68" s="14">
        <f>IFERROR(__xludf.DUMMYFUNCTION("""COMPUTED_VALUE"""),0.24646185185185185)</f>
        <v>0.2464618519</v>
      </c>
      <c r="I68" s="15">
        <f>IFERROR(__xludf.DUMMYFUNCTION("""COMPUTED_VALUE"""),45949.28324808569)</f>
        <v>45949.28325</v>
      </c>
      <c r="J68" s="15">
        <f>IFERROR(__xludf.DUMMYFUNCTION("""COMPUTED_VALUE"""),45949.03678623384)</f>
        <v>45949.03679</v>
      </c>
      <c r="K68" s="15">
        <f>IFERROR(__xludf.DUMMYFUNCTION("""COMPUTED_VALUE"""),45949.25506494447)</f>
        <v>45949.25506</v>
      </c>
      <c r="L68" s="15">
        <f>IFERROR(__xludf.DUMMYFUNCTION("""COMPUTED_VALUE"""),45949.276944960315)</f>
        <v>45949.27694</v>
      </c>
    </row>
    <row r="69">
      <c r="A69" s="1">
        <f>IFERROR(__xludf.DUMMYFUNCTION("""COMPUTED_VALUE"""),68.0)</f>
        <v>68</v>
      </c>
      <c r="B69" s="1">
        <f>IFERROR(__xludf.DUMMYFUNCTION("""COMPUTED_VALUE"""),10051.0)</f>
        <v>10051</v>
      </c>
      <c r="C69" s="13" t="str">
        <f>IFERROR(__xludf.DUMMYFUNCTION("""COMPUTED_VALUE"""),"Feri Rahmadani")</f>
        <v>Feri Rahmadani</v>
      </c>
      <c r="D69" s="2" t="str">
        <f>IFERROR(__xludf.DUMMYFUNCTION("""COMPUTED_VALUE"""),"10KM OVERALL M")</f>
        <v>10KM OVERALL M</v>
      </c>
      <c r="E69" s="1">
        <f>IFERROR(__xludf.DUMMYFUNCTION("""COMPUTED_VALUE"""),56.0)</f>
        <v>56</v>
      </c>
      <c r="F69" s="1" t="str">
        <f>IFERROR(__xludf.DUMMYFUNCTION("""COMPUTED_VALUE"""),"Male")</f>
        <v>Male</v>
      </c>
      <c r="G69" s="5">
        <f>IFERROR(__xludf.DUMMYFUNCTION("""COMPUTED_VALUE"""),0.003718554398148148)</f>
        <v>0.003718554398</v>
      </c>
      <c r="H69" s="14">
        <f>IFERROR(__xludf.DUMMYFUNCTION("""COMPUTED_VALUE"""),0.24646185185185185)</f>
        <v>0.2464618519</v>
      </c>
      <c r="I69" s="15">
        <f>IFERROR(__xludf.DUMMYFUNCTION("""COMPUTED_VALUE"""),45949.28364739225)</f>
        <v>45949.28365</v>
      </c>
      <c r="J69" s="15">
        <f>IFERROR(__xludf.DUMMYFUNCTION("""COMPUTED_VALUE"""),45949.0371855404)</f>
        <v>45949.03719</v>
      </c>
      <c r="K69" s="15">
        <f>IFERROR(__xludf.DUMMYFUNCTION("""COMPUTED_VALUE"""),45949.25496425401)</f>
        <v>45949.25496</v>
      </c>
      <c r="L69" s="15">
        <f>IFERROR(__xludf.DUMMYFUNCTION("""COMPUTED_VALUE"""),45949.277417225545)</f>
        <v>45949.27742</v>
      </c>
    </row>
    <row r="70">
      <c r="A70" s="1">
        <f>IFERROR(__xludf.DUMMYFUNCTION("""COMPUTED_VALUE"""),69.0)</f>
        <v>69</v>
      </c>
      <c r="B70" s="1">
        <f>IFERROR(__xludf.DUMMYFUNCTION("""COMPUTED_VALUE"""),10503.0)</f>
        <v>10503</v>
      </c>
      <c r="C70" s="13" t="str">
        <f>IFERROR(__xludf.DUMMYFUNCTION("""COMPUTED_VALUE"""),"Agung Septiawan")</f>
        <v>Agung Septiawan</v>
      </c>
      <c r="D70" s="2" t="str">
        <f>IFERROR(__xludf.DUMMYFUNCTION("""COMPUTED_VALUE"""),"10KM OVERALL M")</f>
        <v>10KM OVERALL M</v>
      </c>
      <c r="E70" s="1">
        <f>IFERROR(__xludf.DUMMYFUNCTION("""COMPUTED_VALUE"""),57.0)</f>
        <v>57</v>
      </c>
      <c r="F70" s="1" t="str">
        <f>IFERROR(__xludf.DUMMYFUNCTION("""COMPUTED_VALUE"""),"Male")</f>
        <v>Male</v>
      </c>
      <c r="G70" s="5">
        <f>IFERROR(__xludf.DUMMYFUNCTION("""COMPUTED_VALUE"""),0.003729319444444445)</f>
        <v>0.003729319444</v>
      </c>
      <c r="H70" s="14">
        <f>IFERROR(__xludf.DUMMYFUNCTION("""COMPUTED_VALUE"""),0.24646185185185185)</f>
        <v>0.2464618519</v>
      </c>
      <c r="I70" s="15">
        <f>IFERROR(__xludf.DUMMYFUNCTION("""COMPUTED_VALUE"""),45949.28375505068)</f>
        <v>45949.28376</v>
      </c>
      <c r="J70" s="15">
        <f>IFERROR(__xludf.DUMMYFUNCTION("""COMPUTED_VALUE"""),45949.03729319883)</f>
        <v>45949.03729</v>
      </c>
      <c r="K70" s="15">
        <f>IFERROR(__xludf.DUMMYFUNCTION("""COMPUTED_VALUE"""),45949.253934096814)</f>
        <v>45949.25393</v>
      </c>
      <c r="L70" s="15">
        <f>IFERROR(__xludf.DUMMYFUNCTION("""COMPUTED_VALUE"""),45949.2770005188)</f>
        <v>45949.277</v>
      </c>
    </row>
    <row r="71">
      <c r="A71" s="1">
        <f>IFERROR(__xludf.DUMMYFUNCTION("""COMPUTED_VALUE"""),70.0)</f>
        <v>70</v>
      </c>
      <c r="B71" s="1">
        <f>IFERROR(__xludf.DUMMYFUNCTION("""COMPUTED_VALUE"""),10111.0)</f>
        <v>10111</v>
      </c>
      <c r="C71" s="13" t="str">
        <f>IFERROR(__xludf.DUMMYFUNCTION("""COMPUTED_VALUE"""),"Yudha Pratama")</f>
        <v>Yudha Pratama</v>
      </c>
      <c r="D71" s="2" t="str">
        <f>IFERROR(__xludf.DUMMYFUNCTION("""COMPUTED_VALUE"""),"10KM OVERALL M")</f>
        <v>10KM OVERALL M</v>
      </c>
      <c r="E71" s="1">
        <f>IFERROR(__xludf.DUMMYFUNCTION("""COMPUTED_VALUE"""),58.0)</f>
        <v>58</v>
      </c>
      <c r="F71" s="1" t="str">
        <f>IFERROR(__xludf.DUMMYFUNCTION("""COMPUTED_VALUE"""),"Male")</f>
        <v>Male</v>
      </c>
      <c r="G71" s="5">
        <f>IFERROR(__xludf.DUMMYFUNCTION("""COMPUTED_VALUE"""),0.0037376481481481484)</f>
        <v>0.003737648148</v>
      </c>
      <c r="H71" s="14">
        <f>IFERROR(__xludf.DUMMYFUNCTION("""COMPUTED_VALUE"""),0.24646185185185185)</f>
        <v>0.2464618519</v>
      </c>
      <c r="I71" s="15">
        <f>IFERROR(__xludf.DUMMYFUNCTION("""COMPUTED_VALUE"""),45949.28383832871)</f>
        <v>45949.28384</v>
      </c>
      <c r="J71" s="15">
        <f>IFERROR(__xludf.DUMMYFUNCTION("""COMPUTED_VALUE"""),45949.03737647686)</f>
        <v>45949.03738</v>
      </c>
      <c r="K71" s="15">
        <f>IFERROR(__xludf.DUMMYFUNCTION("""COMPUTED_VALUE"""),45949.25458571739)</f>
        <v>45949.25459</v>
      </c>
      <c r="L71" s="15">
        <f>IFERROR(__xludf.DUMMYFUNCTION("""COMPUTED_VALUE"""),45949.27736891766)</f>
        <v>45949.27737</v>
      </c>
    </row>
    <row r="72">
      <c r="A72" s="1">
        <f>IFERROR(__xludf.DUMMYFUNCTION("""COMPUTED_VALUE"""),71.0)</f>
        <v>71</v>
      </c>
      <c r="B72" s="1">
        <f>IFERROR(__xludf.DUMMYFUNCTION("""COMPUTED_VALUE"""),10347.0)</f>
        <v>10347</v>
      </c>
      <c r="C72" s="13">
        <f>IFERROR(__xludf.DUMMYFUNCTION("""COMPUTED_VALUE"""),44.0)</f>
        <v>44</v>
      </c>
      <c r="D72" s="2" t="str">
        <f>IFERROR(__xludf.DUMMYFUNCTION("""COMPUTED_VALUE"""),"10KM OVERALL M")</f>
        <v>10KM OVERALL M</v>
      </c>
      <c r="E72" s="1">
        <f>IFERROR(__xludf.DUMMYFUNCTION("""COMPUTED_VALUE"""),59.0)</f>
        <v>59</v>
      </c>
      <c r="F72" s="1" t="str">
        <f>IFERROR(__xludf.DUMMYFUNCTION("""COMPUTED_VALUE"""),"Male")</f>
        <v>Male</v>
      </c>
      <c r="G72" s="5">
        <f>IFERROR(__xludf.DUMMYFUNCTION("""COMPUTED_VALUE"""),0.0037421666666666666)</f>
        <v>0.003742166667</v>
      </c>
      <c r="H72" s="14">
        <f>IFERROR(__xludf.DUMMYFUNCTION("""COMPUTED_VALUE"""),0.24646185185185185)</f>
        <v>0.2464618519</v>
      </c>
      <c r="I72" s="15">
        <f>IFERROR(__xludf.DUMMYFUNCTION("""COMPUTED_VALUE"""),45949.28388352221)</f>
        <v>45949.28388</v>
      </c>
      <c r="J72" s="15">
        <f>IFERROR(__xludf.DUMMYFUNCTION("""COMPUTED_VALUE"""),45949.03742167036)</f>
        <v>45949.03742</v>
      </c>
      <c r="K72" s="15">
        <f>IFERROR(__xludf.DUMMYFUNCTION("""COMPUTED_VALUE"""),45949.25533919902)</f>
        <v>45949.25534</v>
      </c>
      <c r="L72" s="15">
        <f>IFERROR(__xludf.DUMMYFUNCTION("""COMPUTED_VALUE"""),45949.27748316512)</f>
        <v>45949.27748</v>
      </c>
    </row>
    <row r="73">
      <c r="A73" s="1">
        <f>IFERROR(__xludf.DUMMYFUNCTION("""COMPUTED_VALUE"""),72.0)</f>
        <v>72</v>
      </c>
      <c r="B73" s="1">
        <f>IFERROR(__xludf.DUMMYFUNCTION("""COMPUTED_VALUE"""),10463.0)</f>
        <v>10463</v>
      </c>
      <c r="C73" s="13" t="str">
        <f>IFERROR(__xludf.DUMMYFUNCTION("""COMPUTED_VALUE"""),"ROLAND")</f>
        <v>ROLAND</v>
      </c>
      <c r="D73" s="2" t="str">
        <f>IFERROR(__xludf.DUMMYFUNCTION("""COMPUTED_VALUE"""),"10KM OVERALL M")</f>
        <v>10KM OVERALL M</v>
      </c>
      <c r="E73" s="1">
        <f>IFERROR(__xludf.DUMMYFUNCTION("""COMPUTED_VALUE"""),60.0)</f>
        <v>60</v>
      </c>
      <c r="F73" s="1" t="str">
        <f>IFERROR(__xludf.DUMMYFUNCTION("""COMPUTED_VALUE"""),"Male")</f>
        <v>Male</v>
      </c>
      <c r="G73" s="5">
        <f>IFERROR(__xludf.DUMMYFUNCTION("""COMPUTED_VALUE"""),0.003744943287037037)</f>
        <v>0.003744943287</v>
      </c>
      <c r="H73" s="14">
        <f>IFERROR(__xludf.DUMMYFUNCTION("""COMPUTED_VALUE"""),0.24646185185185185)</f>
        <v>0.2464618519</v>
      </c>
      <c r="I73" s="15">
        <f>IFERROR(__xludf.DUMMYFUNCTION("""COMPUTED_VALUE"""),45949.28391128989)</f>
        <v>45949.28391</v>
      </c>
      <c r="J73" s="15">
        <f>IFERROR(__xludf.DUMMYFUNCTION("""COMPUTED_VALUE"""),45949.03744943804)</f>
        <v>45949.03745</v>
      </c>
      <c r="K73" s="15">
        <f>IFERROR(__xludf.DUMMYFUNCTION("""COMPUTED_VALUE"""),45949.2548079521)</f>
        <v>45949.25481</v>
      </c>
      <c r="L73" s="15">
        <f>IFERROR(__xludf.DUMMYFUNCTION("""COMPUTED_VALUE"""),45949.277091491706)</f>
        <v>45949.27709</v>
      </c>
    </row>
    <row r="74">
      <c r="A74" s="1">
        <f>IFERROR(__xludf.DUMMYFUNCTION("""COMPUTED_VALUE"""),73.0)</f>
        <v>73</v>
      </c>
      <c r="B74" s="1">
        <f>IFERROR(__xludf.DUMMYFUNCTION("""COMPUTED_VALUE"""),10361.0)</f>
        <v>10361</v>
      </c>
      <c r="C74" s="13" t="str">
        <f>IFERROR(__xludf.DUMMYFUNCTION("""COMPUTED_VALUE"""),"Rizky W")</f>
        <v>Rizky W</v>
      </c>
      <c r="D74" s="2" t="str">
        <f>IFERROR(__xludf.DUMMYFUNCTION("""COMPUTED_VALUE"""),"10KM OVERALL M")</f>
        <v>10KM OVERALL M</v>
      </c>
      <c r="E74" s="1">
        <f>IFERROR(__xludf.DUMMYFUNCTION("""COMPUTED_VALUE"""),61.0)</f>
        <v>61</v>
      </c>
      <c r="F74" s="1" t="str">
        <f>IFERROR(__xludf.DUMMYFUNCTION("""COMPUTED_VALUE"""),"Male")</f>
        <v>Male</v>
      </c>
      <c r="G74" s="5">
        <f>IFERROR(__xludf.DUMMYFUNCTION("""COMPUTED_VALUE"""),0.003746680555555556)</f>
        <v>0.003746680556</v>
      </c>
      <c r="H74" s="14">
        <f>IFERROR(__xludf.DUMMYFUNCTION("""COMPUTED_VALUE"""),0.24646185185185185)</f>
        <v>0.2464618519</v>
      </c>
      <c r="I74" s="15">
        <f>IFERROR(__xludf.DUMMYFUNCTION("""COMPUTED_VALUE"""),45949.28392865834)</f>
        <v>45949.28393</v>
      </c>
      <c r="J74" s="15">
        <f>IFERROR(__xludf.DUMMYFUNCTION("""COMPUTED_VALUE"""),45949.03746680649)</f>
        <v>45949.03747</v>
      </c>
      <c r="K74" s="15">
        <f>IFERROR(__xludf.DUMMYFUNCTION("""COMPUTED_VALUE"""),45949.25436702625)</f>
        <v>45949.25437</v>
      </c>
      <c r="L74" s="15">
        <f>IFERROR(__xludf.DUMMYFUNCTION("""COMPUTED_VALUE"""),45949.27738248992)</f>
        <v>45949.27738</v>
      </c>
    </row>
    <row r="75">
      <c r="A75" s="1">
        <f>IFERROR(__xludf.DUMMYFUNCTION("""COMPUTED_VALUE"""),74.0)</f>
        <v>74</v>
      </c>
      <c r="B75" s="1">
        <f>IFERROR(__xludf.DUMMYFUNCTION("""COMPUTED_VALUE"""),10433.0)</f>
        <v>10433</v>
      </c>
      <c r="C75" s="13" t="str">
        <f>IFERROR(__xludf.DUMMYFUNCTION("""COMPUTED_VALUE"""),"AHMAD SEPTIAN")</f>
        <v>AHMAD SEPTIAN</v>
      </c>
      <c r="D75" s="2" t="str">
        <f>IFERROR(__xludf.DUMMYFUNCTION("""COMPUTED_VALUE"""),"10KM OVERALL M")</f>
        <v>10KM OVERALL M</v>
      </c>
      <c r="E75" s="1">
        <f>IFERROR(__xludf.DUMMYFUNCTION("""COMPUTED_VALUE"""),62.0)</f>
        <v>62</v>
      </c>
      <c r="F75" s="1" t="str">
        <f>IFERROR(__xludf.DUMMYFUNCTION("""COMPUTED_VALUE"""),"Male")</f>
        <v>Male</v>
      </c>
      <c r="G75" s="5">
        <f>IFERROR(__xludf.DUMMYFUNCTION("""COMPUTED_VALUE"""),0.0037484675925925927)</f>
        <v>0.003748467593</v>
      </c>
      <c r="H75" s="14">
        <f>IFERROR(__xludf.DUMMYFUNCTION("""COMPUTED_VALUE"""),0.24646185185185185)</f>
        <v>0.2464618519</v>
      </c>
      <c r="I75" s="15">
        <f>IFERROR(__xludf.DUMMYFUNCTION("""COMPUTED_VALUE"""),45949.28394652298)</f>
        <v>45949.28395</v>
      </c>
      <c r="J75" s="15">
        <f>IFERROR(__xludf.DUMMYFUNCTION("""COMPUTED_VALUE"""),45949.03748467113)</f>
        <v>45949.03748</v>
      </c>
      <c r="K75" s="15">
        <f>IFERROR(__xludf.DUMMYFUNCTION("""COMPUTED_VALUE"""),45949.254623973844)</f>
        <v>45949.25462</v>
      </c>
      <c r="L75" s="15">
        <f>IFERROR(__xludf.DUMMYFUNCTION("""COMPUTED_VALUE"""),45949.277427618756)</f>
        <v>45949.27743</v>
      </c>
    </row>
    <row r="76">
      <c r="A76" s="1">
        <f>IFERROR(__xludf.DUMMYFUNCTION("""COMPUTED_VALUE"""),75.0)</f>
        <v>75</v>
      </c>
      <c r="B76" s="1">
        <f>IFERROR(__xludf.DUMMYFUNCTION("""COMPUTED_VALUE"""),10434.0)</f>
        <v>10434</v>
      </c>
      <c r="C76" s="13" t="str">
        <f>IFERROR(__xludf.DUMMYFUNCTION("""COMPUTED_VALUE"""),"RAHIL AHYAN")</f>
        <v>RAHIL AHYAN</v>
      </c>
      <c r="D76" s="2" t="str">
        <f>IFERROR(__xludf.DUMMYFUNCTION("""COMPUTED_VALUE"""),"10KM OVERALL M")</f>
        <v>10KM OVERALL M</v>
      </c>
      <c r="E76" s="1">
        <f>IFERROR(__xludf.DUMMYFUNCTION("""COMPUTED_VALUE"""),63.0)</f>
        <v>63</v>
      </c>
      <c r="F76" s="1" t="str">
        <f>IFERROR(__xludf.DUMMYFUNCTION("""COMPUTED_VALUE"""),"Male")</f>
        <v>Male</v>
      </c>
      <c r="G76" s="5">
        <f>IFERROR(__xludf.DUMMYFUNCTION("""COMPUTED_VALUE"""),0.0037626516203703706)</f>
        <v>0.00376265162</v>
      </c>
      <c r="H76" s="14">
        <f>IFERROR(__xludf.DUMMYFUNCTION("""COMPUTED_VALUE"""),0.24646185185185185)</f>
        <v>0.2464618519</v>
      </c>
      <c r="I76" s="15">
        <f>IFERROR(__xludf.DUMMYFUNCTION("""COMPUTED_VALUE"""),45949.28408837074)</f>
        <v>45949.28409</v>
      </c>
      <c r="J76" s="15">
        <f>IFERROR(__xludf.DUMMYFUNCTION("""COMPUTED_VALUE"""),45949.03762651889)</f>
        <v>45949.03763</v>
      </c>
      <c r="K76" s="15">
        <f>IFERROR(__xludf.DUMMYFUNCTION("""COMPUTED_VALUE"""),45949.25551974274)</f>
        <v>45949.25552</v>
      </c>
      <c r="L76" s="15">
        <f>IFERROR(__xludf.DUMMYFUNCTION("""COMPUTED_VALUE"""),45949.27754566213)</f>
        <v>45949.27755</v>
      </c>
    </row>
    <row r="77">
      <c r="A77" s="1">
        <f>IFERROR(__xludf.DUMMYFUNCTION("""COMPUTED_VALUE"""),76.0)</f>
        <v>76</v>
      </c>
      <c r="B77" s="1">
        <f>IFERROR(__xludf.DUMMYFUNCTION("""COMPUTED_VALUE"""),10047.0)</f>
        <v>10047</v>
      </c>
      <c r="C77" s="13" t="str">
        <f>IFERROR(__xludf.DUMMYFUNCTION("""COMPUTED_VALUE"""),"IKIPIYUL28")</f>
        <v>IKIPIYUL28</v>
      </c>
      <c r="D77" s="2" t="str">
        <f>IFERROR(__xludf.DUMMYFUNCTION("""COMPUTED_VALUE"""),"10KM OVERALL M")</f>
        <v>10KM OVERALL M</v>
      </c>
      <c r="E77" s="1">
        <f>IFERROR(__xludf.DUMMYFUNCTION("""COMPUTED_VALUE"""),64.0)</f>
        <v>64</v>
      </c>
      <c r="F77" s="1" t="str">
        <f>IFERROR(__xludf.DUMMYFUNCTION("""COMPUTED_VALUE"""),"Male")</f>
        <v>Male</v>
      </c>
      <c r="G77" s="5">
        <f>IFERROR(__xludf.DUMMYFUNCTION("""COMPUTED_VALUE"""),0.003767859953703704)</f>
        <v>0.003767859954</v>
      </c>
      <c r="H77" s="14">
        <f>IFERROR(__xludf.DUMMYFUNCTION("""COMPUTED_VALUE"""),0.24646185185185185)</f>
        <v>0.2464618519</v>
      </c>
      <c r="I77" s="15">
        <f>IFERROR(__xludf.DUMMYFUNCTION("""COMPUTED_VALUE"""),45949.28414045009)</f>
        <v>45949.28414</v>
      </c>
      <c r="J77" s="15">
        <f>IFERROR(__xludf.DUMMYFUNCTION("""COMPUTED_VALUE"""),45949.03767859824)</f>
        <v>45949.03768</v>
      </c>
      <c r="K77" s="15">
        <f>IFERROR(__xludf.DUMMYFUNCTION("""COMPUTED_VALUE"""),45949.25529146171)</f>
        <v>45949.25529</v>
      </c>
      <c r="L77" s="15">
        <f>IFERROR(__xludf.DUMMYFUNCTION("""COMPUTED_VALUE"""),45949.277715774966)</f>
        <v>45949.27772</v>
      </c>
    </row>
    <row r="78">
      <c r="A78" s="1">
        <f>IFERROR(__xludf.DUMMYFUNCTION("""COMPUTED_VALUE"""),77.0)</f>
        <v>77</v>
      </c>
      <c r="B78" s="1">
        <f>IFERROR(__xludf.DUMMYFUNCTION("""COMPUTED_VALUE"""),10780.0)</f>
        <v>10780</v>
      </c>
      <c r="C78" s="13" t="str">
        <f>IFERROR(__xludf.DUMMYFUNCTION("""COMPUTED_VALUE"""),"WAKAPOLDA")</f>
        <v>WAKAPOLDA</v>
      </c>
      <c r="D78" s="2" t="str">
        <f>IFERROR(__xludf.DUMMYFUNCTION("""COMPUTED_VALUE"""),"10KM OVERALL M")</f>
        <v>10KM OVERALL M</v>
      </c>
      <c r="E78" s="1">
        <f>IFERROR(__xludf.DUMMYFUNCTION("""COMPUTED_VALUE"""),65.0)</f>
        <v>65</v>
      </c>
      <c r="F78" s="1" t="str">
        <f>IFERROR(__xludf.DUMMYFUNCTION("""COMPUTED_VALUE"""),"Male")</f>
        <v>Male</v>
      </c>
      <c r="G78" s="5">
        <f>IFERROR(__xludf.DUMMYFUNCTION("""COMPUTED_VALUE"""),0.0037706388888888885)</f>
        <v>0.003770638889</v>
      </c>
      <c r="H78" s="14">
        <f>IFERROR(__xludf.DUMMYFUNCTION("""COMPUTED_VALUE"""),0.24646185185185185)</f>
        <v>0.2464618519</v>
      </c>
      <c r="I78" s="15">
        <f>IFERROR(__xludf.DUMMYFUNCTION("""COMPUTED_VALUE"""),45949.2841682352)</f>
        <v>45949.28417</v>
      </c>
      <c r="J78" s="15">
        <f>IFERROR(__xludf.DUMMYFUNCTION("""COMPUTED_VALUE"""),45949.03770638335)</f>
        <v>45949.03771</v>
      </c>
      <c r="K78" s="15">
        <f>IFERROR(__xludf.DUMMYFUNCTION("""COMPUTED_VALUE"""),45949.2557385078)</f>
        <v>45949.25574</v>
      </c>
      <c r="L78" s="15" t="str">
        <f>IFERROR(__xludf.DUMMYFUNCTION("""COMPUTED_VALUE"""),"")</f>
        <v/>
      </c>
    </row>
    <row r="79">
      <c r="A79" s="1">
        <f>IFERROR(__xludf.DUMMYFUNCTION("""COMPUTED_VALUE"""),78.0)</f>
        <v>78</v>
      </c>
      <c r="B79" s="1">
        <f>IFERROR(__xludf.DUMMYFUNCTION("""COMPUTED_VALUE"""),12024.0)</f>
        <v>12024</v>
      </c>
      <c r="C79" s="13" t="str">
        <f>IFERROR(__xludf.DUMMYFUNCTION("""COMPUTED_VALUE"""),"Ria")</f>
        <v>Ria</v>
      </c>
      <c r="D79" s="2" t="str">
        <f>IFERROR(__xludf.DUMMYFUNCTION("""COMPUTED_VALUE"""),"10KM MASTER F")</f>
        <v>10KM MASTER F</v>
      </c>
      <c r="E79" s="1">
        <f>IFERROR(__xludf.DUMMYFUNCTION("""COMPUTED_VALUE"""),2.0)</f>
        <v>2</v>
      </c>
      <c r="F79" s="1" t="str">
        <f>IFERROR(__xludf.DUMMYFUNCTION("""COMPUTED_VALUE"""),"Female")</f>
        <v>Female</v>
      </c>
      <c r="G79" s="5">
        <f>IFERROR(__xludf.DUMMYFUNCTION("""COMPUTED_VALUE"""),0.003777929398148148)</f>
        <v>0.003777929398</v>
      </c>
      <c r="H79" s="14">
        <f>IFERROR(__xludf.DUMMYFUNCTION("""COMPUTED_VALUE"""),0.24646185185185185)</f>
        <v>0.2464618519</v>
      </c>
      <c r="I79" s="15">
        <f>IFERROR(__xludf.DUMMYFUNCTION("""COMPUTED_VALUE"""),45949.28424114943)</f>
        <v>45949.28424</v>
      </c>
      <c r="J79" s="15">
        <f>IFERROR(__xludf.DUMMYFUNCTION("""COMPUTED_VALUE"""),45949.03777929758)</f>
        <v>45949.03778</v>
      </c>
      <c r="K79" s="15">
        <f>IFERROR(__xludf.DUMMYFUNCTION("""COMPUTED_VALUE"""),45949.254432934475)</f>
        <v>45949.25443</v>
      </c>
      <c r="L79" s="15">
        <f>IFERROR(__xludf.DUMMYFUNCTION("""COMPUTED_VALUE"""),45949.27718206723)</f>
        <v>45949.27718</v>
      </c>
    </row>
    <row r="80">
      <c r="A80" s="1">
        <f>IFERROR(__xludf.DUMMYFUNCTION("""COMPUTED_VALUE"""),79.0)</f>
        <v>79</v>
      </c>
      <c r="B80" s="1">
        <f>IFERROR(__xludf.DUMMYFUNCTION("""COMPUTED_VALUE"""),10250.0)</f>
        <v>10250</v>
      </c>
      <c r="C80" s="13" t="str">
        <f>IFERROR(__xludf.DUMMYFUNCTION("""COMPUTED_VALUE"""),"Riyadi Ahmad")</f>
        <v>Riyadi Ahmad</v>
      </c>
      <c r="D80" s="2" t="str">
        <f>IFERROR(__xludf.DUMMYFUNCTION("""COMPUTED_VALUE"""),"10KM OVERALL M")</f>
        <v>10KM OVERALL M</v>
      </c>
      <c r="E80" s="1">
        <f>IFERROR(__xludf.DUMMYFUNCTION("""COMPUTED_VALUE"""),66.0)</f>
        <v>66</v>
      </c>
      <c r="F80" s="1" t="str">
        <f>IFERROR(__xludf.DUMMYFUNCTION("""COMPUTED_VALUE"""),"Male")</f>
        <v>Male</v>
      </c>
      <c r="G80" s="5">
        <f>IFERROR(__xludf.DUMMYFUNCTION("""COMPUTED_VALUE"""),0.003778627314814815)</f>
        <v>0.003778627315</v>
      </c>
      <c r="H80" s="14">
        <f>IFERROR(__xludf.DUMMYFUNCTION("""COMPUTED_VALUE"""),0.24646185185185185)</f>
        <v>0.2464618519</v>
      </c>
      <c r="I80" s="15">
        <f>IFERROR(__xludf.DUMMYFUNCTION("""COMPUTED_VALUE"""),45949.28424812109)</f>
        <v>45949.28425</v>
      </c>
      <c r="J80" s="15">
        <f>IFERROR(__xludf.DUMMYFUNCTION("""COMPUTED_VALUE"""),45949.03778626924)</f>
        <v>45949.03779</v>
      </c>
      <c r="K80" s="15">
        <f>IFERROR(__xludf.DUMMYFUNCTION("""COMPUTED_VALUE"""),45949.25491215752)</f>
        <v>45949.25491</v>
      </c>
      <c r="L80" s="15">
        <f>IFERROR(__xludf.DUMMYFUNCTION("""COMPUTED_VALUE"""),45949.27784424123)</f>
        <v>45949.27784</v>
      </c>
    </row>
    <row r="81">
      <c r="A81" s="1">
        <f>IFERROR(__xludf.DUMMYFUNCTION("""COMPUTED_VALUE"""),80.0)</f>
        <v>80</v>
      </c>
      <c r="B81" s="1">
        <f>IFERROR(__xludf.DUMMYFUNCTION("""COMPUTED_VALUE"""),10242.0)</f>
        <v>10242</v>
      </c>
      <c r="C81" s="13" t="str">
        <f>IFERROR(__xludf.DUMMYFUNCTION("""COMPUTED_VALUE"""),"Mika")</f>
        <v>Mika</v>
      </c>
      <c r="D81" s="2" t="str">
        <f>IFERROR(__xludf.DUMMYFUNCTION("""COMPUTED_VALUE"""),"10KM OVERALL M")</f>
        <v>10KM OVERALL M</v>
      </c>
      <c r="E81" s="1">
        <f>IFERROR(__xludf.DUMMYFUNCTION("""COMPUTED_VALUE"""),67.0)</f>
        <v>67</v>
      </c>
      <c r="F81" s="1" t="str">
        <f>IFERROR(__xludf.DUMMYFUNCTION("""COMPUTED_VALUE"""),"Male")</f>
        <v>Male</v>
      </c>
      <c r="G81" s="5">
        <f>IFERROR(__xludf.DUMMYFUNCTION("""COMPUTED_VALUE"""),0.003778971064814815)</f>
        <v>0.003778971065</v>
      </c>
      <c r="H81" s="14">
        <f>IFERROR(__xludf.DUMMYFUNCTION("""COMPUTED_VALUE"""),0.24646185185185185)</f>
        <v>0.2464618519</v>
      </c>
      <c r="I81" s="15">
        <f>IFERROR(__xludf.DUMMYFUNCTION("""COMPUTED_VALUE"""),45949.284251565725)</f>
        <v>45949.28425</v>
      </c>
      <c r="J81" s="15">
        <f>IFERROR(__xludf.DUMMYFUNCTION("""COMPUTED_VALUE"""),45949.037789713875)</f>
        <v>45949.03779</v>
      </c>
      <c r="K81" s="15">
        <f>IFERROR(__xludf.DUMMYFUNCTION("""COMPUTED_VALUE"""),45949.25579752129)</f>
        <v>45949.2558</v>
      </c>
      <c r="L81" s="15">
        <f>IFERROR(__xludf.DUMMYFUNCTION("""COMPUTED_VALUE"""),45949.27779912855)</f>
        <v>45949.2778</v>
      </c>
    </row>
    <row r="82">
      <c r="A82" s="1">
        <f>IFERROR(__xludf.DUMMYFUNCTION("""COMPUTED_VALUE"""),81.0)</f>
        <v>81</v>
      </c>
      <c r="B82" s="1">
        <f>IFERROR(__xludf.DUMMYFUNCTION("""COMPUTED_VALUE"""),10102.0)</f>
        <v>10102</v>
      </c>
      <c r="C82" s="13" t="str">
        <f>IFERROR(__xludf.DUMMYFUNCTION("""COMPUTED_VALUE"""),"Naufal Shidqi")</f>
        <v>Naufal Shidqi</v>
      </c>
      <c r="D82" s="2" t="str">
        <f>IFERROR(__xludf.DUMMYFUNCTION("""COMPUTED_VALUE"""),"10KM OVERALL M")</f>
        <v>10KM OVERALL M</v>
      </c>
      <c r="E82" s="1">
        <f>IFERROR(__xludf.DUMMYFUNCTION("""COMPUTED_VALUE"""),68.0)</f>
        <v>68</v>
      </c>
      <c r="F82" s="1" t="str">
        <f>IFERROR(__xludf.DUMMYFUNCTION("""COMPUTED_VALUE"""),"Male")</f>
        <v>Male</v>
      </c>
      <c r="G82" s="5">
        <f>IFERROR(__xludf.DUMMYFUNCTION("""COMPUTED_VALUE"""),0.0037866099537037035)</f>
        <v>0.003786609954</v>
      </c>
      <c r="H82" s="14">
        <f>IFERROR(__xludf.DUMMYFUNCTION("""COMPUTED_VALUE"""),0.24646185185185185)</f>
        <v>0.2464618519</v>
      </c>
      <c r="I82" s="15">
        <f>IFERROR(__xludf.DUMMYFUNCTION("""COMPUTED_VALUE"""),45949.28432794755)</f>
        <v>45949.28433</v>
      </c>
      <c r="J82" s="15">
        <f>IFERROR(__xludf.DUMMYFUNCTION("""COMPUTED_VALUE"""),45949.0378660957)</f>
        <v>45949.03787</v>
      </c>
      <c r="K82" s="15">
        <f>IFERROR(__xludf.DUMMYFUNCTION("""COMPUTED_VALUE"""),45949.25497460556)</f>
        <v>45949.25497</v>
      </c>
      <c r="L82" s="15">
        <f>IFERROR(__xludf.DUMMYFUNCTION("""COMPUTED_VALUE"""),45949.277917217965)</f>
        <v>45949.27792</v>
      </c>
    </row>
    <row r="83">
      <c r="A83" s="1">
        <f>IFERROR(__xludf.DUMMYFUNCTION("""COMPUTED_VALUE"""),82.0)</f>
        <v>82</v>
      </c>
      <c r="B83" s="1">
        <f>IFERROR(__xludf.DUMMYFUNCTION("""COMPUTED_VALUE"""),10091.0)</f>
        <v>10091</v>
      </c>
      <c r="C83" s="13" t="str">
        <f>IFERROR(__xludf.DUMMYFUNCTION("""COMPUTED_VALUE"""),"ABAH AHZA &amp; YUSUF")</f>
        <v>ABAH AHZA &amp; YUSUF</v>
      </c>
      <c r="D83" s="2" t="str">
        <f>IFERROR(__xludf.DUMMYFUNCTION("""COMPUTED_VALUE"""),"10KM OVERALL M")</f>
        <v>10KM OVERALL M</v>
      </c>
      <c r="E83" s="1">
        <f>IFERROR(__xludf.DUMMYFUNCTION("""COMPUTED_VALUE"""),69.0)</f>
        <v>69</v>
      </c>
      <c r="F83" s="1" t="str">
        <f>IFERROR(__xludf.DUMMYFUNCTION("""COMPUTED_VALUE"""),"Male")</f>
        <v>Male</v>
      </c>
      <c r="G83" s="5">
        <f>IFERROR(__xludf.DUMMYFUNCTION("""COMPUTED_VALUE"""),0.0037897349537037036)</f>
        <v>0.003789734954</v>
      </c>
      <c r="H83" s="14">
        <f>IFERROR(__xludf.DUMMYFUNCTION("""COMPUTED_VALUE"""),0.24646185185185185)</f>
        <v>0.2464618519</v>
      </c>
      <c r="I83" s="15">
        <f>IFERROR(__xludf.DUMMYFUNCTION("""COMPUTED_VALUE"""),45949.28435919711)</f>
        <v>45949.28436</v>
      </c>
      <c r="J83" s="15">
        <f>IFERROR(__xludf.DUMMYFUNCTION("""COMPUTED_VALUE"""),45949.03789734526)</f>
        <v>45949.0379</v>
      </c>
      <c r="K83" s="15">
        <f>IFERROR(__xludf.DUMMYFUNCTION("""COMPUTED_VALUE"""),45949.255887861356)</f>
        <v>45949.25589</v>
      </c>
      <c r="L83" s="15">
        <f>IFERROR(__xludf.DUMMYFUNCTION("""COMPUTED_VALUE"""),45949.31993055555)</f>
        <v>45949.31993</v>
      </c>
    </row>
    <row r="84">
      <c r="A84" s="1">
        <f>IFERROR(__xludf.DUMMYFUNCTION("""COMPUTED_VALUE"""),83.0)</f>
        <v>83</v>
      </c>
      <c r="B84" s="1">
        <f>IFERROR(__xludf.DUMMYFUNCTION("""COMPUTED_VALUE"""),10422.0)</f>
        <v>10422</v>
      </c>
      <c r="C84" s="13" t="str">
        <f>IFERROR(__xludf.DUMMYFUNCTION("""COMPUTED_VALUE"""),"Dedy")</f>
        <v>Dedy</v>
      </c>
      <c r="D84" s="2" t="str">
        <f>IFERROR(__xludf.DUMMYFUNCTION("""COMPUTED_VALUE"""),"10KM OVERALL M")</f>
        <v>10KM OVERALL M</v>
      </c>
      <c r="E84" s="1">
        <f>IFERROR(__xludf.DUMMYFUNCTION("""COMPUTED_VALUE"""),70.0)</f>
        <v>70</v>
      </c>
      <c r="F84" s="1" t="str">
        <f>IFERROR(__xludf.DUMMYFUNCTION("""COMPUTED_VALUE"""),"Male")</f>
        <v>Male</v>
      </c>
      <c r="G84" s="5">
        <f>IFERROR(__xludf.DUMMYFUNCTION("""COMPUTED_VALUE"""),0.0038074444444444445)</f>
        <v>0.003807444444</v>
      </c>
      <c r="H84" s="14">
        <f>IFERROR(__xludf.DUMMYFUNCTION("""COMPUTED_VALUE"""),0.24646185185185185)</f>
        <v>0.2464618519</v>
      </c>
      <c r="I84" s="15">
        <f>IFERROR(__xludf.DUMMYFUNCTION("""COMPUTED_VALUE"""),45949.28453629287)</f>
        <v>45949.28454</v>
      </c>
      <c r="J84" s="15">
        <f>IFERROR(__xludf.DUMMYFUNCTION("""COMPUTED_VALUE"""),45949.03807444102)</f>
        <v>45949.03807</v>
      </c>
      <c r="K84" s="15">
        <f>IFERROR(__xludf.DUMMYFUNCTION("""COMPUTED_VALUE"""),45949.25531488864)</f>
        <v>45949.25531</v>
      </c>
      <c r="L84" s="15">
        <f>IFERROR(__xludf.DUMMYFUNCTION("""COMPUTED_VALUE"""),45949.278028297726)</f>
        <v>45949.27803</v>
      </c>
    </row>
    <row r="85">
      <c r="A85" s="1">
        <f>IFERROR(__xludf.DUMMYFUNCTION("""COMPUTED_VALUE"""),84.0)</f>
        <v>84</v>
      </c>
      <c r="B85" s="1">
        <f>IFERROR(__xludf.DUMMYFUNCTION("""COMPUTED_VALUE"""),10601.0)</f>
        <v>10601</v>
      </c>
      <c r="C85" s="13" t="str">
        <f>IFERROR(__xludf.DUMMYFUNCTION("""COMPUTED_VALUE"""),"Erlangga")</f>
        <v>Erlangga</v>
      </c>
      <c r="D85" s="2" t="str">
        <f>IFERROR(__xludf.DUMMYFUNCTION("""COMPUTED_VALUE"""),"10KM OVERALL M")</f>
        <v>10KM OVERALL M</v>
      </c>
      <c r="E85" s="1">
        <f>IFERROR(__xludf.DUMMYFUNCTION("""COMPUTED_VALUE"""),71.0)</f>
        <v>71</v>
      </c>
      <c r="F85" s="1" t="str">
        <f>IFERROR(__xludf.DUMMYFUNCTION("""COMPUTED_VALUE"""),"Male")</f>
        <v>Male</v>
      </c>
      <c r="G85" s="5">
        <f>IFERROR(__xludf.DUMMYFUNCTION("""COMPUTED_VALUE"""),0.003810221064814815)</f>
        <v>0.003810221065</v>
      </c>
      <c r="H85" s="14">
        <f>IFERROR(__xludf.DUMMYFUNCTION("""COMPUTED_VALUE"""),0.24646185185185185)</f>
        <v>0.2464618519</v>
      </c>
      <c r="I85" s="15">
        <f>IFERROR(__xludf.DUMMYFUNCTION("""COMPUTED_VALUE"""),45949.28456406193)</f>
        <v>45949.28456</v>
      </c>
      <c r="J85" s="15">
        <f>IFERROR(__xludf.DUMMYFUNCTION("""COMPUTED_VALUE"""),45949.03810221008)</f>
        <v>45949.0381</v>
      </c>
      <c r="K85" s="15">
        <f>IFERROR(__xludf.DUMMYFUNCTION("""COMPUTED_VALUE"""),45949.25523850075)</f>
        <v>45949.25524</v>
      </c>
      <c r="L85" s="15">
        <f>IFERROR(__xludf.DUMMYFUNCTION("""COMPUTED_VALUE"""),45949.27767412847)</f>
        <v>45949.27767</v>
      </c>
    </row>
    <row r="86">
      <c r="A86" s="1">
        <f>IFERROR(__xludf.DUMMYFUNCTION("""COMPUTED_VALUE"""),85.0)</f>
        <v>85</v>
      </c>
      <c r="B86" s="1">
        <f>IFERROR(__xludf.DUMMYFUNCTION("""COMPUTED_VALUE"""),10672.0)</f>
        <v>10672</v>
      </c>
      <c r="C86" s="13" t="str">
        <f>IFERROR(__xludf.DUMMYFUNCTION("""COMPUTED_VALUE"""),"Fajri N")</f>
        <v>Fajri N</v>
      </c>
      <c r="D86" s="2" t="str">
        <f>IFERROR(__xludf.DUMMYFUNCTION("""COMPUTED_VALUE"""),"10KM OVERALL M")</f>
        <v>10KM OVERALL M</v>
      </c>
      <c r="E86" s="1">
        <f>IFERROR(__xludf.DUMMYFUNCTION("""COMPUTED_VALUE"""),72.0)</f>
        <v>72</v>
      </c>
      <c r="F86" s="1" t="str">
        <f>IFERROR(__xludf.DUMMYFUNCTION("""COMPUTED_VALUE"""),"Male")</f>
        <v>Male</v>
      </c>
      <c r="G86" s="5">
        <f>IFERROR(__xludf.DUMMYFUNCTION("""COMPUTED_VALUE"""),0.0038130011574074073)</f>
        <v>0.003813001157</v>
      </c>
      <c r="H86" s="14">
        <f>IFERROR(__xludf.DUMMYFUNCTION("""COMPUTED_VALUE"""),0.24646185185185185)</f>
        <v>0.2464618519</v>
      </c>
      <c r="I86" s="15">
        <f>IFERROR(__xludf.DUMMYFUNCTION("""COMPUTED_VALUE"""),45949.284591858326)</f>
        <v>45949.28459</v>
      </c>
      <c r="J86" s="15">
        <f>IFERROR(__xludf.DUMMYFUNCTION("""COMPUTED_VALUE"""),45949.03813000648)</f>
        <v>45949.03813</v>
      </c>
      <c r="K86" s="15">
        <f>IFERROR(__xludf.DUMMYFUNCTION("""COMPUTED_VALUE"""),45949.25579410132)</f>
        <v>45949.25579</v>
      </c>
      <c r="L86" s="15">
        <f>IFERROR(__xludf.DUMMYFUNCTION("""COMPUTED_VALUE"""),45949.32004629629)</f>
        <v>45949.32005</v>
      </c>
    </row>
    <row r="87">
      <c r="A87" s="1">
        <f>IFERROR(__xludf.DUMMYFUNCTION("""COMPUTED_VALUE"""),86.0)</f>
        <v>86</v>
      </c>
      <c r="B87" s="1">
        <f>IFERROR(__xludf.DUMMYFUNCTION("""COMPUTED_VALUE"""),10089.0)</f>
        <v>10089</v>
      </c>
      <c r="C87" s="13" t="str">
        <f>IFERROR(__xludf.DUMMYFUNCTION("""COMPUTED_VALUE"""),"Oca")</f>
        <v>Oca</v>
      </c>
      <c r="D87" s="2" t="str">
        <f>IFERROR(__xludf.DUMMYFUNCTION("""COMPUTED_VALUE"""),"10KM OVERALL M")</f>
        <v>10KM OVERALL M</v>
      </c>
      <c r="E87" s="1">
        <f>IFERROR(__xludf.DUMMYFUNCTION("""COMPUTED_VALUE"""),73.0)</f>
        <v>73</v>
      </c>
      <c r="F87" s="1" t="str">
        <f>IFERROR(__xludf.DUMMYFUNCTION("""COMPUTED_VALUE"""),"Male")</f>
        <v>Male</v>
      </c>
      <c r="G87" s="5">
        <f>IFERROR(__xludf.DUMMYFUNCTION("""COMPUTED_VALUE"""),0.0038216793981481487)</f>
        <v>0.003821679398</v>
      </c>
      <c r="H87" s="14">
        <f>IFERROR(__xludf.DUMMYFUNCTION("""COMPUTED_VALUE"""),0.24646185185185185)</f>
        <v>0.2464618519</v>
      </c>
      <c r="I87" s="15">
        <f>IFERROR(__xludf.DUMMYFUNCTION("""COMPUTED_VALUE"""),45949.28467864549)</f>
        <v>45949.28468</v>
      </c>
      <c r="J87" s="15">
        <f>IFERROR(__xludf.DUMMYFUNCTION("""COMPUTED_VALUE"""),45949.03821679364)</f>
        <v>45949.03822</v>
      </c>
      <c r="K87" s="15">
        <f>IFERROR(__xludf.DUMMYFUNCTION("""COMPUTED_VALUE"""),45949.25491910169)</f>
        <v>45949.25492</v>
      </c>
      <c r="L87" s="15">
        <f>IFERROR(__xludf.DUMMYFUNCTION("""COMPUTED_VALUE"""),45949.277703074105)</f>
        <v>45949.2777</v>
      </c>
    </row>
    <row r="88">
      <c r="A88" s="1">
        <f>IFERROR(__xludf.DUMMYFUNCTION("""COMPUTED_VALUE"""),87.0)</f>
        <v>87</v>
      </c>
      <c r="B88" s="1">
        <f>IFERROR(__xludf.DUMMYFUNCTION("""COMPUTED_VALUE"""),10462.0)</f>
        <v>10462</v>
      </c>
      <c r="C88" s="13" t="str">
        <f>IFERROR(__xludf.DUMMYFUNCTION("""COMPUTED_VALUE"""),"Alfi Saffa Ramadhan")</f>
        <v>Alfi Saffa Ramadhan</v>
      </c>
      <c r="D88" s="2" t="str">
        <f>IFERROR(__xludf.DUMMYFUNCTION("""COMPUTED_VALUE"""),"10KM OVERALL F")</f>
        <v>10KM OVERALL F</v>
      </c>
      <c r="E88" s="1">
        <f>IFERROR(__xludf.DUMMYFUNCTION("""COMPUTED_VALUE"""),3.0)</f>
        <v>3</v>
      </c>
      <c r="F88" s="1" t="str">
        <f>IFERROR(__xludf.DUMMYFUNCTION("""COMPUTED_VALUE"""),"Female")</f>
        <v>Female</v>
      </c>
      <c r="G88" s="5">
        <f>IFERROR(__xludf.DUMMYFUNCTION("""COMPUTED_VALUE"""),0.003821680555555555)</f>
        <v>0.003821680556</v>
      </c>
      <c r="H88" s="14">
        <f>IFERROR(__xludf.DUMMYFUNCTION("""COMPUTED_VALUE"""),0.24646185185185185)</f>
        <v>0.2464618519</v>
      </c>
      <c r="I88" s="15">
        <f>IFERROR(__xludf.DUMMYFUNCTION("""COMPUTED_VALUE"""),45949.28467865733)</f>
        <v>45949.28468</v>
      </c>
      <c r="J88" s="15">
        <f>IFERROR(__xludf.DUMMYFUNCTION("""COMPUTED_VALUE"""),45949.03821680548)</f>
        <v>45949.03822</v>
      </c>
      <c r="K88" s="15">
        <f>IFERROR(__xludf.DUMMYFUNCTION("""COMPUTED_VALUE"""),45949.25446767754)</f>
        <v>45949.25447</v>
      </c>
      <c r="L88" s="15">
        <f>IFERROR(__xludf.DUMMYFUNCTION("""COMPUTED_VALUE"""),45949.277703074105)</f>
        <v>45949.2777</v>
      </c>
    </row>
    <row r="89">
      <c r="A89" s="1">
        <f>IFERROR(__xludf.DUMMYFUNCTION("""COMPUTED_VALUE"""),88.0)</f>
        <v>88</v>
      </c>
      <c r="B89" s="1">
        <f>IFERROR(__xludf.DUMMYFUNCTION("""COMPUTED_VALUE"""),10507.0)</f>
        <v>10507</v>
      </c>
      <c r="C89" s="13" t="str">
        <f>IFERROR(__xludf.DUMMYFUNCTION("""COMPUTED_VALUE"""),"Nabiel Goaaa")</f>
        <v>Nabiel Goaaa</v>
      </c>
      <c r="D89" s="2" t="str">
        <f>IFERROR(__xludf.DUMMYFUNCTION("""COMPUTED_VALUE"""),"10KM OVERALL M")</f>
        <v>10KM OVERALL M</v>
      </c>
      <c r="E89" s="1">
        <f>IFERROR(__xludf.DUMMYFUNCTION("""COMPUTED_VALUE"""),74.0)</f>
        <v>74</v>
      </c>
      <c r="F89" s="1" t="str">
        <f>IFERROR(__xludf.DUMMYFUNCTION("""COMPUTED_VALUE"""),"Male")</f>
        <v>Male</v>
      </c>
      <c r="G89" s="5">
        <f>IFERROR(__xludf.DUMMYFUNCTION("""COMPUTED_VALUE"""),0.0038300127314814815)</f>
        <v>0.003830012731</v>
      </c>
      <c r="H89" s="14">
        <f>IFERROR(__xludf.DUMMYFUNCTION("""COMPUTED_VALUE"""),0.24646185185185185)</f>
        <v>0.2464618519</v>
      </c>
      <c r="I89" s="15">
        <f>IFERROR(__xludf.DUMMYFUNCTION("""COMPUTED_VALUE"""),45949.28476197377)</f>
        <v>45949.28476</v>
      </c>
      <c r="J89" s="15">
        <f>IFERROR(__xludf.DUMMYFUNCTION("""COMPUTED_VALUE"""),45949.03830012192)</f>
        <v>45949.0383</v>
      </c>
      <c r="K89" s="15">
        <f>IFERROR(__xludf.DUMMYFUNCTION("""COMPUTED_VALUE"""),45949.254311462144)</f>
        <v>45949.25431</v>
      </c>
      <c r="L89" s="15">
        <f>IFERROR(__xludf.DUMMYFUNCTION("""COMPUTED_VALUE"""),45949.27774011344)</f>
        <v>45949.27774</v>
      </c>
    </row>
    <row r="90">
      <c r="A90" s="1">
        <f>IFERROR(__xludf.DUMMYFUNCTION("""COMPUTED_VALUE"""),89.0)</f>
        <v>89</v>
      </c>
      <c r="B90" s="1">
        <f>IFERROR(__xludf.DUMMYFUNCTION("""COMPUTED_VALUE"""),10382.0)</f>
        <v>10382</v>
      </c>
      <c r="C90" s="13" t="str">
        <f>IFERROR(__xludf.DUMMYFUNCTION("""COMPUTED_VALUE"""),"RAHMA")</f>
        <v>RAHMA</v>
      </c>
      <c r="D90" s="2" t="str">
        <f>IFERROR(__xludf.DUMMYFUNCTION("""COMPUTED_VALUE"""),"10KM OVERALL F")</f>
        <v>10KM OVERALL F</v>
      </c>
      <c r="E90" s="1">
        <f>IFERROR(__xludf.DUMMYFUNCTION("""COMPUTED_VALUE"""),4.0)</f>
        <v>4</v>
      </c>
      <c r="F90" s="1" t="str">
        <f>IFERROR(__xludf.DUMMYFUNCTION("""COMPUTED_VALUE"""),"Female")</f>
        <v>Female</v>
      </c>
      <c r="G90" s="5">
        <f>IFERROR(__xludf.DUMMYFUNCTION("""COMPUTED_VALUE"""),0.0038300127314814815)</f>
        <v>0.003830012731</v>
      </c>
      <c r="H90" s="14">
        <f>IFERROR(__xludf.DUMMYFUNCTION("""COMPUTED_VALUE"""),0.24646185185185185)</f>
        <v>0.2464618519</v>
      </c>
      <c r="I90" s="15">
        <f>IFERROR(__xludf.DUMMYFUNCTION("""COMPUTED_VALUE"""),45949.28476197377)</f>
        <v>45949.28476</v>
      </c>
      <c r="J90" s="15">
        <f>IFERROR(__xludf.DUMMYFUNCTION("""COMPUTED_VALUE"""),45949.03830012192)</f>
        <v>45949.0383</v>
      </c>
      <c r="K90" s="15">
        <f>IFERROR(__xludf.DUMMYFUNCTION("""COMPUTED_VALUE"""),45949.25434619335)</f>
        <v>45949.25435</v>
      </c>
      <c r="L90" s="15">
        <f>IFERROR(__xludf.DUMMYFUNCTION("""COMPUTED_VALUE"""),45949.277760949895)</f>
        <v>45949.27776</v>
      </c>
    </row>
    <row r="91">
      <c r="A91" s="1">
        <f>IFERROR(__xludf.DUMMYFUNCTION("""COMPUTED_VALUE"""),90.0)</f>
        <v>90</v>
      </c>
      <c r="B91" s="1">
        <f>IFERROR(__xludf.DUMMYFUNCTION("""COMPUTED_VALUE"""),12059.0)</f>
        <v>12059</v>
      </c>
      <c r="C91" s="13" t="str">
        <f>IFERROR(__xludf.DUMMYFUNCTION("""COMPUTED_VALUE"""),"joko yulistiono")</f>
        <v>joko yulistiono</v>
      </c>
      <c r="D91" s="2" t="str">
        <f>IFERROR(__xludf.DUMMYFUNCTION("""COMPUTED_VALUE"""),"10KM MASTER M")</f>
        <v>10KM MASTER M</v>
      </c>
      <c r="E91" s="1">
        <f>IFERROR(__xludf.DUMMYFUNCTION("""COMPUTED_VALUE"""),10.0)</f>
        <v>10</v>
      </c>
      <c r="F91" s="1" t="str">
        <f>IFERROR(__xludf.DUMMYFUNCTION("""COMPUTED_VALUE"""),"Male")</f>
        <v>Male</v>
      </c>
      <c r="G91" s="5">
        <f>IFERROR(__xludf.DUMMYFUNCTION("""COMPUTED_VALUE"""),0.003838346064814815)</f>
        <v>0.003838346065</v>
      </c>
      <c r="H91" s="14">
        <f>IFERROR(__xludf.DUMMYFUNCTION("""COMPUTED_VALUE"""),0.24646185185185185)</f>
        <v>0.2464618519</v>
      </c>
      <c r="I91" s="15">
        <f>IFERROR(__xludf.DUMMYFUNCTION("""COMPUTED_VALUE"""),45949.284845312905)</f>
        <v>45949.28485</v>
      </c>
      <c r="J91" s="15">
        <f>IFERROR(__xludf.DUMMYFUNCTION("""COMPUTED_VALUE"""),45949.038383461055)</f>
        <v>45949.03838</v>
      </c>
      <c r="K91" s="15">
        <f>IFERROR(__xludf.DUMMYFUNCTION("""COMPUTED_VALUE"""),45949.255373960834)</f>
        <v>45949.25537</v>
      </c>
      <c r="L91" s="15">
        <f>IFERROR(__xludf.DUMMYFUNCTION("""COMPUTED_VALUE"""),45949.31983796296)</f>
        <v>45949.31984</v>
      </c>
    </row>
    <row r="92">
      <c r="A92" s="1">
        <f>IFERROR(__xludf.DUMMYFUNCTION("""COMPUTED_VALUE"""),91.0)</f>
        <v>91</v>
      </c>
      <c r="B92" s="1">
        <f>IFERROR(__xludf.DUMMYFUNCTION("""COMPUTED_VALUE"""),10442.0)</f>
        <v>10442</v>
      </c>
      <c r="C92" s="13" t="str">
        <f>IFERROR(__xludf.DUMMYFUNCTION("""COMPUTED_VALUE"""),"REAL ANGGARA")</f>
        <v>REAL ANGGARA</v>
      </c>
      <c r="D92" s="2" t="str">
        <f>IFERROR(__xludf.DUMMYFUNCTION("""COMPUTED_VALUE"""),"10KM OVERALL M")</f>
        <v>10KM OVERALL M</v>
      </c>
      <c r="E92" s="1">
        <f>IFERROR(__xludf.DUMMYFUNCTION("""COMPUTED_VALUE"""),75.0)</f>
        <v>75</v>
      </c>
      <c r="F92" s="1" t="str">
        <f>IFERROR(__xludf.DUMMYFUNCTION("""COMPUTED_VALUE"""),"Male")</f>
        <v>Male</v>
      </c>
      <c r="G92" s="5">
        <f>IFERROR(__xludf.DUMMYFUNCTION("""COMPUTED_VALUE"""),0.0038452905092592597)</f>
        <v>0.003845290509</v>
      </c>
      <c r="H92" s="14">
        <f>IFERROR(__xludf.DUMMYFUNCTION("""COMPUTED_VALUE"""),0.24646185185185185)</f>
        <v>0.2464618519</v>
      </c>
      <c r="I92" s="15">
        <f>IFERROR(__xludf.DUMMYFUNCTION("""COMPUTED_VALUE"""),45949.28491475827)</f>
        <v>45949.28491</v>
      </c>
      <c r="J92" s="15">
        <f>IFERROR(__xludf.DUMMYFUNCTION("""COMPUTED_VALUE"""),45949.03845290642)</f>
        <v>45949.03845</v>
      </c>
      <c r="K92" s="15">
        <f>IFERROR(__xludf.DUMMYFUNCTION("""COMPUTED_VALUE"""),45949.25584619283)</f>
        <v>45949.25585</v>
      </c>
      <c r="L92" s="15">
        <f>IFERROR(__xludf.DUMMYFUNCTION("""COMPUTED_VALUE"""),45949.27796580488)</f>
        <v>45949.27797</v>
      </c>
    </row>
    <row r="93">
      <c r="A93" s="1">
        <f>IFERROR(__xludf.DUMMYFUNCTION("""COMPUTED_VALUE"""),92.0)</f>
        <v>92</v>
      </c>
      <c r="B93" s="1">
        <f>IFERROR(__xludf.DUMMYFUNCTION("""COMPUTED_VALUE"""),12021.0)</f>
        <v>12021</v>
      </c>
      <c r="C93" s="13" t="str">
        <f>IFERROR(__xludf.DUMMYFUNCTION("""COMPUTED_VALUE"""),"Iwan")</f>
        <v>Iwan</v>
      </c>
      <c r="D93" s="2" t="str">
        <f>IFERROR(__xludf.DUMMYFUNCTION("""COMPUTED_VALUE"""),"10KM MASTER M")</f>
        <v>10KM MASTER M</v>
      </c>
      <c r="E93" s="1">
        <f>IFERROR(__xludf.DUMMYFUNCTION("""COMPUTED_VALUE"""),11.0)</f>
        <v>11</v>
      </c>
      <c r="F93" s="1" t="str">
        <f>IFERROR(__xludf.DUMMYFUNCTION("""COMPUTED_VALUE"""),"Male")</f>
        <v>Male</v>
      </c>
      <c r="G93" s="5">
        <f>IFERROR(__xludf.DUMMYFUNCTION("""COMPUTED_VALUE"""),0.003845291666666666)</f>
        <v>0.003845291667</v>
      </c>
      <c r="H93" s="14">
        <f>IFERROR(__xludf.DUMMYFUNCTION("""COMPUTED_VALUE"""),0.24646185185185185)</f>
        <v>0.2464618519</v>
      </c>
      <c r="I93" s="15">
        <f>IFERROR(__xludf.DUMMYFUNCTION("""COMPUTED_VALUE"""),45949.284914770375)</f>
        <v>45949.28491</v>
      </c>
      <c r="J93" s="15">
        <f>IFERROR(__xludf.DUMMYFUNCTION("""COMPUTED_VALUE"""),45949.038452918525)</f>
        <v>45949.03845</v>
      </c>
      <c r="K93" s="15">
        <f>IFERROR(__xludf.DUMMYFUNCTION("""COMPUTED_VALUE"""),45949.25417367827)</f>
        <v>45949.25417</v>
      </c>
      <c r="L93" s="15">
        <f>IFERROR(__xludf.DUMMYFUNCTION("""COMPUTED_VALUE"""),45949.27647679711)</f>
        <v>45949.27648</v>
      </c>
    </row>
    <row r="94">
      <c r="A94" s="1">
        <f>IFERROR(__xludf.DUMMYFUNCTION("""COMPUTED_VALUE"""),93.0)</f>
        <v>93</v>
      </c>
      <c r="B94" s="1">
        <f>IFERROR(__xludf.DUMMYFUNCTION("""COMPUTED_VALUE"""),10378.0)</f>
        <v>10378</v>
      </c>
      <c r="C94" s="13" t="str">
        <f>IFERROR(__xludf.DUMMYFUNCTION("""COMPUTED_VALUE"""),"Tito Kurniawan")</f>
        <v>Tito Kurniawan</v>
      </c>
      <c r="D94" s="2" t="str">
        <f>IFERROR(__xludf.DUMMYFUNCTION("""COMPUTED_VALUE"""),"10KM OVERALL M")</f>
        <v>10KM OVERALL M</v>
      </c>
      <c r="E94" s="1">
        <f>IFERROR(__xludf.DUMMYFUNCTION("""COMPUTED_VALUE"""),76.0)</f>
        <v>76</v>
      </c>
      <c r="F94" s="1" t="str">
        <f>IFERROR(__xludf.DUMMYFUNCTION("""COMPUTED_VALUE"""),"Male")</f>
        <v>Male</v>
      </c>
      <c r="G94" s="5">
        <f>IFERROR(__xludf.DUMMYFUNCTION("""COMPUTED_VALUE"""),0.0038456342592592596)</f>
        <v>0.003845634259</v>
      </c>
      <c r="H94" s="14">
        <f>IFERROR(__xludf.DUMMYFUNCTION("""COMPUTED_VALUE"""),0.24646185185185185)</f>
        <v>0.2464618519</v>
      </c>
      <c r="I94" s="15">
        <f>IFERROR(__xludf.DUMMYFUNCTION("""COMPUTED_VALUE"""),45949.28491819368)</f>
        <v>45949.28492</v>
      </c>
      <c r="J94" s="15">
        <f>IFERROR(__xludf.DUMMYFUNCTION("""COMPUTED_VALUE"""),45949.038456341834)</f>
        <v>45949.03846</v>
      </c>
      <c r="K94" s="15">
        <f>IFERROR(__xludf.DUMMYFUNCTION("""COMPUTED_VALUE"""),45949.25465863722)</f>
        <v>45949.25466</v>
      </c>
      <c r="L94" s="15">
        <f>IFERROR(__xludf.DUMMYFUNCTION("""COMPUTED_VALUE"""),45949.27787552599)</f>
        <v>45949.27788</v>
      </c>
    </row>
    <row r="95">
      <c r="A95" s="1">
        <f>IFERROR(__xludf.DUMMYFUNCTION("""COMPUTED_VALUE"""),94.0)</f>
        <v>94</v>
      </c>
      <c r="B95" s="1">
        <f>IFERROR(__xludf.DUMMYFUNCTION("""COMPUTED_VALUE"""),10528.0)</f>
        <v>10528</v>
      </c>
      <c r="C95" s="13" t="str">
        <f>IFERROR(__xludf.DUMMYFUNCTION("""COMPUTED_VALUE"""),"Wahyu Indra")</f>
        <v>Wahyu Indra</v>
      </c>
      <c r="D95" s="2" t="str">
        <f>IFERROR(__xludf.DUMMYFUNCTION("""COMPUTED_VALUE"""),"10KM OVERALL M")</f>
        <v>10KM OVERALL M</v>
      </c>
      <c r="E95" s="1">
        <f>IFERROR(__xludf.DUMMYFUNCTION("""COMPUTED_VALUE"""),77.0)</f>
        <v>77</v>
      </c>
      <c r="F95" s="1" t="str">
        <f>IFERROR(__xludf.DUMMYFUNCTION("""COMPUTED_VALUE"""),"Male")</f>
        <v>Male</v>
      </c>
      <c r="G95" s="5">
        <f>IFERROR(__xludf.DUMMYFUNCTION("""COMPUTED_VALUE"""),0.0038484097222222222)</f>
        <v>0.003848409722</v>
      </c>
      <c r="H95" s="14">
        <f>IFERROR(__xludf.DUMMYFUNCTION("""COMPUTED_VALUE"""),0.24646185185185185)</f>
        <v>0.2464618519</v>
      </c>
      <c r="I95" s="15">
        <f>IFERROR(__xludf.DUMMYFUNCTION("""COMPUTED_VALUE"""),45949.28494595201)</f>
        <v>45949.28495</v>
      </c>
      <c r="J95" s="15">
        <f>IFERROR(__xludf.DUMMYFUNCTION("""COMPUTED_VALUE"""),45949.03848410016)</f>
        <v>45949.03848</v>
      </c>
      <c r="K95" s="15">
        <f>IFERROR(__xludf.DUMMYFUNCTION("""COMPUTED_VALUE"""),45949.256655180034)</f>
        <v>45949.25666</v>
      </c>
      <c r="L95" s="15">
        <f>IFERROR(__xludf.DUMMYFUNCTION("""COMPUTED_VALUE"""),45949.32015046296)</f>
        <v>45949.32015</v>
      </c>
    </row>
    <row r="96">
      <c r="A96" s="1">
        <f>IFERROR(__xludf.DUMMYFUNCTION("""COMPUTED_VALUE"""),95.0)</f>
        <v>95</v>
      </c>
      <c r="B96" s="1">
        <f>IFERROR(__xludf.DUMMYFUNCTION("""COMPUTED_VALUE"""),10656.0)</f>
        <v>10656</v>
      </c>
      <c r="C96" s="13" t="str">
        <f>IFERROR(__xludf.DUMMYFUNCTION("""COMPUTED_VALUE"""),"Ega")</f>
        <v>Ega</v>
      </c>
      <c r="D96" s="2" t="str">
        <f>IFERROR(__xludf.DUMMYFUNCTION("""COMPUTED_VALUE"""),"10KM OVERALL M")</f>
        <v>10KM OVERALL M</v>
      </c>
      <c r="E96" s="1">
        <f>IFERROR(__xludf.DUMMYFUNCTION("""COMPUTED_VALUE"""),78.0)</f>
        <v>78</v>
      </c>
      <c r="F96" s="1" t="str">
        <f>IFERROR(__xludf.DUMMYFUNCTION("""COMPUTED_VALUE"""),"Male")</f>
        <v>Male</v>
      </c>
      <c r="G96" s="5">
        <f>IFERROR(__xludf.DUMMYFUNCTION("""COMPUTED_VALUE"""),0.0038553611111111115)</f>
        <v>0.003855361111</v>
      </c>
      <c r="H96" s="14">
        <f>IFERROR(__xludf.DUMMYFUNCTION("""COMPUTED_VALUE"""),0.24646185185185185)</f>
        <v>0.2464618519</v>
      </c>
      <c r="I96" s="15">
        <f>IFERROR(__xludf.DUMMYFUNCTION("""COMPUTED_VALUE"""),45949.28501545943)</f>
        <v>45949.28502</v>
      </c>
      <c r="J96" s="15">
        <f>IFERROR(__xludf.DUMMYFUNCTION("""COMPUTED_VALUE"""),45949.03855360758)</f>
        <v>45949.03855</v>
      </c>
      <c r="K96" s="15">
        <f>IFERROR(__xludf.DUMMYFUNCTION("""COMPUTED_VALUE"""),45949.254589248565)</f>
        <v>45949.25459</v>
      </c>
      <c r="L96" s="15">
        <f>IFERROR(__xludf.DUMMYFUNCTION("""COMPUTED_VALUE"""),45949.31994212963)</f>
        <v>45949.31994</v>
      </c>
    </row>
    <row r="97">
      <c r="A97" s="1">
        <f>IFERROR(__xludf.DUMMYFUNCTION("""COMPUTED_VALUE"""),96.0)</f>
        <v>96</v>
      </c>
      <c r="B97" s="1">
        <f>IFERROR(__xludf.DUMMYFUNCTION("""COMPUTED_VALUE"""),10504.0)</f>
        <v>10504</v>
      </c>
      <c r="C97" s="13" t="str">
        <f>IFERROR(__xludf.DUMMYFUNCTION("""COMPUTED_VALUE"""),"tabrani")</f>
        <v>tabrani</v>
      </c>
      <c r="D97" s="2" t="str">
        <f>IFERROR(__xludf.DUMMYFUNCTION("""COMPUTED_VALUE"""),"10KM OVERALL M")</f>
        <v>10KM OVERALL M</v>
      </c>
      <c r="E97" s="1">
        <f>IFERROR(__xludf.DUMMYFUNCTION("""COMPUTED_VALUE"""),79.0)</f>
        <v>79</v>
      </c>
      <c r="F97" s="1" t="str">
        <f>IFERROR(__xludf.DUMMYFUNCTION("""COMPUTED_VALUE"""),"Male")</f>
        <v>Male</v>
      </c>
      <c r="G97" s="5">
        <f>IFERROR(__xludf.DUMMYFUNCTION("""COMPUTED_VALUE"""),0.0038758472222222224)</f>
        <v>0.003875847222</v>
      </c>
      <c r="H97" s="14">
        <f>IFERROR(__xludf.DUMMYFUNCTION("""COMPUTED_VALUE"""),0.24646185185185185)</f>
        <v>0.2464618519</v>
      </c>
      <c r="I97" s="15">
        <f>IFERROR(__xludf.DUMMYFUNCTION("""COMPUTED_VALUE"""),45949.28522032565)</f>
        <v>45949.28522</v>
      </c>
      <c r="J97" s="15">
        <f>IFERROR(__xludf.DUMMYFUNCTION("""COMPUTED_VALUE"""),45949.0387584738)</f>
        <v>45949.03876</v>
      </c>
      <c r="K97" s="15">
        <f>IFERROR(__xludf.DUMMYFUNCTION("""COMPUTED_VALUE"""),45949.25556488047)</f>
        <v>45949.25556</v>
      </c>
      <c r="L97" s="15">
        <f>IFERROR(__xludf.DUMMYFUNCTION("""COMPUTED_VALUE"""),45949.27856852095)</f>
        <v>45949.27857</v>
      </c>
    </row>
    <row r="98">
      <c r="A98" s="1">
        <f>IFERROR(__xludf.DUMMYFUNCTION("""COMPUTED_VALUE"""),97.0)</f>
        <v>97</v>
      </c>
      <c r="B98" s="1">
        <f>IFERROR(__xludf.DUMMYFUNCTION("""COMPUTED_VALUE"""),10301.0)</f>
        <v>10301</v>
      </c>
      <c r="C98" s="13" t="str">
        <f>IFERROR(__xludf.DUMMYFUNCTION("""COMPUTED_VALUE"""),"KEDOKTERUNN")</f>
        <v>KEDOKTERUNN</v>
      </c>
      <c r="D98" s="2" t="str">
        <f>IFERROR(__xludf.DUMMYFUNCTION("""COMPUTED_VALUE"""),"10KM OVERALL M")</f>
        <v>10KM OVERALL M</v>
      </c>
      <c r="E98" s="1">
        <f>IFERROR(__xludf.DUMMYFUNCTION("""COMPUTED_VALUE"""),80.0)</f>
        <v>80</v>
      </c>
      <c r="F98" s="1" t="str">
        <f>IFERROR(__xludf.DUMMYFUNCTION("""COMPUTED_VALUE"""),"Male")</f>
        <v>Male</v>
      </c>
      <c r="G98" s="5">
        <f>IFERROR(__xludf.DUMMYFUNCTION("""COMPUTED_VALUE"""),0.003884607638888889)</f>
        <v>0.003884607639</v>
      </c>
      <c r="H98" s="14">
        <f>IFERROR(__xludf.DUMMYFUNCTION("""COMPUTED_VALUE"""),0.24646185185185185)</f>
        <v>0.2464618519</v>
      </c>
      <c r="I98" s="15">
        <f>IFERROR(__xludf.DUMMYFUNCTION("""COMPUTED_VALUE"""),45949.285307931794)</f>
        <v>45949.28531</v>
      </c>
      <c r="J98" s="15">
        <f>IFERROR(__xludf.DUMMYFUNCTION("""COMPUTED_VALUE"""),45949.038846079944)</f>
        <v>45949.03885</v>
      </c>
      <c r="K98" s="15">
        <f>IFERROR(__xludf.DUMMYFUNCTION("""COMPUTED_VALUE"""),45949.25652672347)</f>
        <v>45949.25653</v>
      </c>
      <c r="L98" s="15">
        <f>IFERROR(__xludf.DUMMYFUNCTION("""COMPUTED_VALUE"""),45949.27890867595)</f>
        <v>45949.27891</v>
      </c>
    </row>
    <row r="99">
      <c r="A99" s="1">
        <f>IFERROR(__xludf.DUMMYFUNCTION("""COMPUTED_VALUE"""),98.0)</f>
        <v>98</v>
      </c>
      <c r="B99" s="1">
        <f>IFERROR(__xludf.DUMMYFUNCTION("""COMPUTED_VALUE"""),12090.0)</f>
        <v>12090</v>
      </c>
      <c r="C99" s="13" t="str">
        <f>IFERROR(__xludf.DUMMYFUNCTION("""COMPUTED_VALUE"""),"fakhru")</f>
        <v>fakhru</v>
      </c>
      <c r="D99" s="2" t="str">
        <f>IFERROR(__xludf.DUMMYFUNCTION("""COMPUTED_VALUE"""),"10KM MASTER M")</f>
        <v>10KM MASTER M</v>
      </c>
      <c r="E99" s="1">
        <f>IFERROR(__xludf.DUMMYFUNCTION("""COMPUTED_VALUE"""),12.0)</f>
        <v>12</v>
      </c>
      <c r="F99" s="1" t="str">
        <f>IFERROR(__xludf.DUMMYFUNCTION("""COMPUTED_VALUE"""),"Male")</f>
        <v>Male</v>
      </c>
      <c r="G99" s="5">
        <f>IFERROR(__xludf.DUMMYFUNCTION("""COMPUTED_VALUE"""),0.0038900833333333335)</f>
        <v>0.003890083333</v>
      </c>
      <c r="H99" s="14">
        <f>IFERROR(__xludf.DUMMYFUNCTION("""COMPUTED_VALUE"""),0.24646185185185185)</f>
        <v>0.2464618519</v>
      </c>
      <c r="I99" s="15">
        <f>IFERROR(__xludf.DUMMYFUNCTION("""COMPUTED_VALUE"""),45949.28536268343)</f>
        <v>45949.28536</v>
      </c>
      <c r="J99" s="15">
        <f>IFERROR(__xludf.DUMMYFUNCTION("""COMPUTED_VALUE"""),45949.03890083158)</f>
        <v>45949.0389</v>
      </c>
      <c r="K99" s="15">
        <f>IFERROR(__xludf.DUMMYFUNCTION("""COMPUTED_VALUE"""),45949.25442952552)</f>
        <v>45949.25443</v>
      </c>
      <c r="L99" s="15">
        <f>IFERROR(__xludf.DUMMYFUNCTION("""COMPUTED_VALUE"""),45949.32017361111)</f>
        <v>45949.32017</v>
      </c>
    </row>
    <row r="100">
      <c r="A100" s="1">
        <f>IFERROR(__xludf.DUMMYFUNCTION("""COMPUTED_VALUE"""),99.0)</f>
        <v>99</v>
      </c>
      <c r="B100" s="1">
        <f>IFERROR(__xludf.DUMMYFUNCTION("""COMPUTED_VALUE"""),10077.0)</f>
        <v>10077</v>
      </c>
      <c r="C100" s="13" t="str">
        <f>IFERROR(__xludf.DUMMYFUNCTION("""COMPUTED_VALUE"""),"AGUNG ARYA")</f>
        <v>AGUNG ARYA</v>
      </c>
      <c r="D100" s="2" t="str">
        <f>IFERROR(__xludf.DUMMYFUNCTION("""COMPUTED_VALUE"""),"10KM OVERALL M")</f>
        <v>10KM OVERALL M</v>
      </c>
      <c r="E100" s="1">
        <f>IFERROR(__xludf.DUMMYFUNCTION("""COMPUTED_VALUE"""),81.0)</f>
        <v>81</v>
      </c>
      <c r="F100" s="1" t="str">
        <f>IFERROR(__xludf.DUMMYFUNCTION("""COMPUTED_VALUE"""),"Male")</f>
        <v>Male</v>
      </c>
      <c r="G100" s="5">
        <f>IFERROR(__xludf.DUMMYFUNCTION("""COMPUTED_VALUE"""),0.003897020833333333)</f>
        <v>0.003897020833</v>
      </c>
      <c r="H100" s="14">
        <f>IFERROR(__xludf.DUMMYFUNCTION("""COMPUTED_VALUE"""),0.24646185185185185)</f>
        <v>0.2464618519</v>
      </c>
      <c r="I100" s="15">
        <f>IFERROR(__xludf.DUMMYFUNCTION("""COMPUTED_VALUE"""),45949.285432065466)</f>
        <v>45949.28543</v>
      </c>
      <c r="J100" s="15">
        <f>IFERROR(__xludf.DUMMYFUNCTION("""COMPUTED_VALUE"""),45949.038970213616)</f>
        <v>45949.03897</v>
      </c>
      <c r="K100" s="15">
        <f>IFERROR(__xludf.DUMMYFUNCTION("""COMPUTED_VALUE"""),45949.25351280822)</f>
        <v>45949.25351</v>
      </c>
      <c r="L100" s="15">
        <f>IFERROR(__xludf.DUMMYFUNCTION("""COMPUTED_VALUE"""),45949.27917954819)</f>
        <v>45949.27918</v>
      </c>
    </row>
    <row r="101">
      <c r="A101" s="1">
        <f>IFERROR(__xludf.DUMMYFUNCTION("""COMPUTED_VALUE"""),100.0)</f>
        <v>100</v>
      </c>
      <c r="B101" s="1">
        <f>IFERROR(__xludf.DUMMYFUNCTION("""COMPUTED_VALUE"""),10083.0)</f>
        <v>10083</v>
      </c>
      <c r="C101" s="13" t="str">
        <f>IFERROR(__xludf.DUMMYFUNCTION("""COMPUTED_VALUE"""),"FIDO")</f>
        <v>FIDO</v>
      </c>
      <c r="D101" s="2" t="str">
        <f>IFERROR(__xludf.DUMMYFUNCTION("""COMPUTED_VALUE"""),"10KM OVERALL M")</f>
        <v>10KM OVERALL M</v>
      </c>
      <c r="E101" s="1">
        <f>IFERROR(__xludf.DUMMYFUNCTION("""COMPUTED_VALUE"""),82.0)</f>
        <v>82</v>
      </c>
      <c r="F101" s="1" t="str">
        <f>IFERROR(__xludf.DUMMYFUNCTION("""COMPUTED_VALUE"""),"Male")</f>
        <v>Male</v>
      </c>
      <c r="G101" s="5">
        <f>IFERROR(__xludf.DUMMYFUNCTION("""COMPUTED_VALUE"""),0.0039050138888888884)</f>
        <v>0.003905013889</v>
      </c>
      <c r="H101" s="14">
        <f>IFERROR(__xludf.DUMMYFUNCTION("""COMPUTED_VALUE"""),0.24646185185185185)</f>
        <v>0.2464618519</v>
      </c>
      <c r="I101" s="15">
        <f>IFERROR(__xludf.DUMMYFUNCTION("""COMPUTED_VALUE"""),45949.28551198819)</f>
        <v>45949.28551</v>
      </c>
      <c r="J101" s="15">
        <f>IFERROR(__xludf.DUMMYFUNCTION("""COMPUTED_VALUE"""),45949.03905013634)</f>
        <v>45949.03905</v>
      </c>
      <c r="K101" s="15">
        <f>IFERROR(__xludf.DUMMYFUNCTION("""COMPUTED_VALUE"""),45949.256512872606)</f>
        <v>45949.25651</v>
      </c>
      <c r="L101" s="15">
        <f>IFERROR(__xludf.DUMMYFUNCTION("""COMPUTED_VALUE"""),45949.279196914526)</f>
        <v>45949.2792</v>
      </c>
    </row>
    <row r="102">
      <c r="A102" s="1">
        <f>IFERROR(__xludf.DUMMYFUNCTION("""COMPUTED_VALUE"""),101.0)</f>
        <v>101</v>
      </c>
      <c r="B102" s="1">
        <f>IFERROR(__xludf.DUMMYFUNCTION("""COMPUTED_VALUE"""),10287.0)</f>
        <v>10287</v>
      </c>
      <c r="C102" s="13" t="str">
        <f>IFERROR(__xludf.DUMMYFUNCTION("""COMPUTED_VALUE"""),"Lekting")</f>
        <v>Lekting</v>
      </c>
      <c r="D102" s="2" t="str">
        <f>IFERROR(__xludf.DUMMYFUNCTION("""COMPUTED_VALUE"""),"10KM OVERALL M")</f>
        <v>10KM OVERALL M</v>
      </c>
      <c r="E102" s="1">
        <f>IFERROR(__xludf.DUMMYFUNCTION("""COMPUTED_VALUE"""),83.0)</f>
        <v>83</v>
      </c>
      <c r="F102" s="1" t="str">
        <f>IFERROR(__xludf.DUMMYFUNCTION("""COMPUTED_VALUE"""),"Male")</f>
        <v>Male</v>
      </c>
      <c r="G102" s="5">
        <f>IFERROR(__xludf.DUMMYFUNCTION("""COMPUTED_VALUE"""),0.003907790509259259)</f>
        <v>0.003907790509</v>
      </c>
      <c r="H102" s="14">
        <f>IFERROR(__xludf.DUMMYFUNCTION("""COMPUTED_VALUE"""),0.24646185185185185)</f>
        <v>0.2464618519</v>
      </c>
      <c r="I102" s="15">
        <f>IFERROR(__xludf.DUMMYFUNCTION("""COMPUTED_VALUE"""),45949.28553975572)</f>
        <v>45949.28554</v>
      </c>
      <c r="J102" s="15">
        <f>IFERROR(__xludf.DUMMYFUNCTION("""COMPUTED_VALUE"""),45949.03907790387)</f>
        <v>45949.03908</v>
      </c>
      <c r="K102" s="15">
        <f>IFERROR(__xludf.DUMMYFUNCTION("""COMPUTED_VALUE"""),45949.25448848992)</f>
        <v>45949.25449</v>
      </c>
      <c r="L102" s="15">
        <f>IFERROR(__xludf.DUMMYFUNCTION("""COMPUTED_VALUE"""),45949.27872116074)</f>
        <v>45949.27872</v>
      </c>
    </row>
    <row r="103">
      <c r="A103" s="1">
        <f>IFERROR(__xludf.DUMMYFUNCTION("""COMPUTED_VALUE"""),102.0)</f>
        <v>102</v>
      </c>
      <c r="B103" s="1">
        <f>IFERROR(__xludf.DUMMYFUNCTION("""COMPUTED_VALUE"""),10388.0)</f>
        <v>10388</v>
      </c>
      <c r="C103" s="13" t="str">
        <f>IFERROR(__xludf.DUMMYFUNCTION("""COMPUTED_VALUE"""),"RAHADIAN")</f>
        <v>RAHADIAN</v>
      </c>
      <c r="D103" s="2" t="str">
        <f>IFERROR(__xludf.DUMMYFUNCTION("""COMPUTED_VALUE"""),"10KM OVERALL M")</f>
        <v>10KM OVERALL M</v>
      </c>
      <c r="E103" s="1">
        <f>IFERROR(__xludf.DUMMYFUNCTION("""COMPUTED_VALUE"""),84.0)</f>
        <v>84</v>
      </c>
      <c r="F103" s="1" t="str">
        <f>IFERROR(__xludf.DUMMYFUNCTION("""COMPUTED_VALUE"""),"Male")</f>
        <v>Male</v>
      </c>
      <c r="G103" s="5">
        <f>IFERROR(__xludf.DUMMYFUNCTION("""COMPUTED_VALUE"""),0.003924457175925926)</f>
        <v>0.003924457176</v>
      </c>
      <c r="H103" s="14">
        <f>IFERROR(__xludf.DUMMYFUNCTION("""COMPUTED_VALUE"""),0.24646185185185185)</f>
        <v>0.2464618519</v>
      </c>
      <c r="I103" s="15">
        <f>IFERROR(__xludf.DUMMYFUNCTION("""COMPUTED_VALUE"""),45949.28570642692)</f>
        <v>45949.28571</v>
      </c>
      <c r="J103" s="15">
        <f>IFERROR(__xludf.DUMMYFUNCTION("""COMPUTED_VALUE"""),45949.03924457507)</f>
        <v>45949.03924</v>
      </c>
      <c r="K103" s="15">
        <f>IFERROR(__xludf.DUMMYFUNCTION("""COMPUTED_VALUE"""),45949.25533921058)</f>
        <v>45949.25534</v>
      </c>
      <c r="L103" s="15">
        <f>IFERROR(__xludf.DUMMYFUNCTION("""COMPUTED_VALUE"""),45949.2788982648)</f>
        <v>45949.2789</v>
      </c>
    </row>
    <row r="104">
      <c r="A104" s="1">
        <f>IFERROR(__xludf.DUMMYFUNCTION("""COMPUTED_VALUE"""),103.0)</f>
        <v>103</v>
      </c>
      <c r="B104" s="1">
        <f>IFERROR(__xludf.DUMMYFUNCTION("""COMPUTED_VALUE"""),10421.0)</f>
        <v>10421</v>
      </c>
      <c r="C104" s="13" t="str">
        <f>IFERROR(__xludf.DUMMYFUNCTION("""COMPUTED_VALUE"""),"lisda mookss")</f>
        <v>lisda mookss</v>
      </c>
      <c r="D104" s="2" t="str">
        <f>IFERROR(__xludf.DUMMYFUNCTION("""COMPUTED_VALUE"""),"10KM OVERALL F")</f>
        <v>10KM OVERALL F</v>
      </c>
      <c r="E104" s="1">
        <f>IFERROR(__xludf.DUMMYFUNCTION("""COMPUTED_VALUE"""),5.0)</f>
        <v>5</v>
      </c>
      <c r="F104" s="1" t="str">
        <f>IFERROR(__xludf.DUMMYFUNCTION("""COMPUTED_VALUE"""),"Female")</f>
        <v>Female</v>
      </c>
      <c r="G104" s="5">
        <f>IFERROR(__xludf.DUMMYFUNCTION("""COMPUTED_VALUE"""),0.003927234953703704)</f>
        <v>0.003927234954</v>
      </c>
      <c r="H104" s="14">
        <f>IFERROR(__xludf.DUMMYFUNCTION("""COMPUTED_VALUE"""),0.24646185185185185)</f>
        <v>0.2464618519</v>
      </c>
      <c r="I104" s="15">
        <f>IFERROR(__xludf.DUMMYFUNCTION("""COMPUTED_VALUE"""),45949.28573419962)</f>
        <v>45949.28573</v>
      </c>
      <c r="J104" s="15">
        <f>IFERROR(__xludf.DUMMYFUNCTION("""COMPUTED_VALUE"""),45949.03927234777)</f>
        <v>45949.03927</v>
      </c>
      <c r="K104" s="15">
        <f>IFERROR(__xludf.DUMMYFUNCTION("""COMPUTED_VALUE"""),45949.25464129626)</f>
        <v>45949.25464</v>
      </c>
      <c r="L104" s="15">
        <f>IFERROR(__xludf.DUMMYFUNCTION("""COMPUTED_VALUE"""),45949.27857028755)</f>
        <v>45949.27857</v>
      </c>
    </row>
    <row r="105">
      <c r="A105" s="1">
        <f>IFERROR(__xludf.DUMMYFUNCTION("""COMPUTED_VALUE"""),104.0)</f>
        <v>104</v>
      </c>
      <c r="B105" s="1">
        <f>IFERROR(__xludf.DUMMYFUNCTION("""COMPUTED_VALUE"""),10315.0)</f>
        <v>10315</v>
      </c>
      <c r="C105" s="13" t="str">
        <f>IFERROR(__xludf.DUMMYFUNCTION("""COMPUTED_VALUE"""),"Papahnya Dela Nindy")</f>
        <v>Papahnya Dela Nindy</v>
      </c>
      <c r="D105" s="2" t="str">
        <f>IFERROR(__xludf.DUMMYFUNCTION("""COMPUTED_VALUE"""),"10KM OVERALL M")</f>
        <v>10KM OVERALL M</v>
      </c>
      <c r="E105" s="1">
        <f>IFERROR(__xludf.DUMMYFUNCTION("""COMPUTED_VALUE"""),85.0)</f>
        <v>85</v>
      </c>
      <c r="F105" s="1" t="str">
        <f>IFERROR(__xludf.DUMMYFUNCTION("""COMPUTED_VALUE"""),"Male")</f>
        <v>Male</v>
      </c>
      <c r="G105" s="5">
        <f>IFERROR(__xludf.DUMMYFUNCTION("""COMPUTED_VALUE"""),0.003935984953703704)</f>
        <v>0.003935984954</v>
      </c>
      <c r="H105" s="14">
        <f>IFERROR(__xludf.DUMMYFUNCTION("""COMPUTED_VALUE"""),0.24646185185185185)</f>
        <v>0.2464618519</v>
      </c>
      <c r="I105" s="15">
        <f>IFERROR(__xludf.DUMMYFUNCTION("""COMPUTED_VALUE"""),45949.28582170387)</f>
        <v>45949.28582</v>
      </c>
      <c r="J105" s="15">
        <f>IFERROR(__xludf.DUMMYFUNCTION("""COMPUTED_VALUE"""),45949.03935985202)</f>
        <v>45949.03936</v>
      </c>
      <c r="K105" s="15">
        <f>IFERROR(__xludf.DUMMYFUNCTION("""COMPUTED_VALUE"""),45949.25554410272)</f>
        <v>45949.25554</v>
      </c>
      <c r="L105" s="15">
        <f>IFERROR(__xludf.DUMMYFUNCTION("""COMPUTED_VALUE"""),45949.27897115521)</f>
        <v>45949.27897</v>
      </c>
    </row>
    <row r="106">
      <c r="A106" s="1">
        <f>IFERROR(__xludf.DUMMYFUNCTION("""COMPUTED_VALUE"""),105.0)</f>
        <v>105</v>
      </c>
      <c r="B106" s="1">
        <f>IFERROR(__xludf.DUMMYFUNCTION("""COMPUTED_VALUE"""),10125.0)</f>
        <v>10125</v>
      </c>
      <c r="C106" s="13" t="str">
        <f>IFERROR(__xludf.DUMMYFUNCTION("""COMPUTED_VALUE"""),"ADIB")</f>
        <v>ADIB</v>
      </c>
      <c r="D106" s="2" t="str">
        <f>IFERROR(__xludf.DUMMYFUNCTION("""COMPUTED_VALUE"""),"10KM OVERALL M")</f>
        <v>10KM OVERALL M</v>
      </c>
      <c r="E106" s="1">
        <f>IFERROR(__xludf.DUMMYFUNCTION("""COMPUTED_VALUE"""),86.0)</f>
        <v>86</v>
      </c>
      <c r="F106" s="1" t="str">
        <f>IFERROR(__xludf.DUMMYFUNCTION("""COMPUTED_VALUE"""),"Male")</f>
        <v>Male</v>
      </c>
      <c r="G106" s="5">
        <f>IFERROR(__xludf.DUMMYFUNCTION("""COMPUTED_VALUE"""),0.003948763888888889)</f>
        <v>0.003948763889</v>
      </c>
      <c r="H106" s="14">
        <f>IFERROR(__xludf.DUMMYFUNCTION("""COMPUTED_VALUE"""),0.24646185185185185)</f>
        <v>0.2464618519</v>
      </c>
      <c r="I106" s="15">
        <f>IFERROR(__xludf.DUMMYFUNCTION("""COMPUTED_VALUE"""),45949.28594948846)</f>
        <v>45949.28595</v>
      </c>
      <c r="J106" s="15">
        <f>IFERROR(__xludf.DUMMYFUNCTION("""COMPUTED_VALUE"""),45949.03948763661)</f>
        <v>45949.03949</v>
      </c>
      <c r="K106" s="15">
        <f>IFERROR(__xludf.DUMMYFUNCTION("""COMPUTED_VALUE"""),45949.25578369206)</f>
        <v>45949.25578</v>
      </c>
      <c r="L106" s="15">
        <f>IFERROR(__xludf.DUMMYFUNCTION("""COMPUTED_VALUE"""),45949.27898854309)</f>
        <v>45949.27899</v>
      </c>
    </row>
    <row r="107">
      <c r="A107" s="1">
        <f>IFERROR(__xludf.DUMMYFUNCTION("""COMPUTED_VALUE"""),106.0)</f>
        <v>106</v>
      </c>
      <c r="B107" s="1">
        <f>IFERROR(__xludf.DUMMYFUNCTION("""COMPUTED_VALUE"""),10546.0)</f>
        <v>10546</v>
      </c>
      <c r="C107" s="13" t="str">
        <f>IFERROR(__xludf.DUMMYFUNCTION("""COMPUTED_VALUE"""),"M. albiansyah")</f>
        <v>M. albiansyah</v>
      </c>
      <c r="D107" s="2" t="str">
        <f>IFERROR(__xludf.DUMMYFUNCTION("""COMPUTED_VALUE"""),"10KM OVERALL M")</f>
        <v>10KM OVERALL M</v>
      </c>
      <c r="E107" s="1">
        <f>IFERROR(__xludf.DUMMYFUNCTION("""COMPUTED_VALUE"""),87.0)</f>
        <v>87</v>
      </c>
      <c r="F107" s="1" t="str">
        <f>IFERROR(__xludf.DUMMYFUNCTION("""COMPUTED_VALUE"""),"Male")</f>
        <v>Male</v>
      </c>
      <c r="G107" s="5">
        <f>IFERROR(__xludf.DUMMYFUNCTION("""COMPUTED_VALUE"""),0.003949457175925926)</f>
        <v>0.003949457176</v>
      </c>
      <c r="H107" s="14">
        <f>IFERROR(__xludf.DUMMYFUNCTION("""COMPUTED_VALUE"""),0.24646185185185185)</f>
        <v>0.2464618519</v>
      </c>
      <c r="I107" s="15">
        <f>IFERROR(__xludf.DUMMYFUNCTION("""COMPUTED_VALUE"""),45949.285956418054)</f>
        <v>45949.28596</v>
      </c>
      <c r="J107" s="15">
        <f>IFERROR(__xludf.DUMMYFUNCTION("""COMPUTED_VALUE"""),45949.039494566205)</f>
        <v>45949.03949</v>
      </c>
      <c r="K107" s="15">
        <f>IFERROR(__xludf.DUMMYFUNCTION("""COMPUTED_VALUE"""),45949.255807932954)</f>
        <v>45949.25581</v>
      </c>
      <c r="L107" s="15">
        <f>IFERROR(__xludf.DUMMYFUNCTION("""COMPUTED_VALUE"""),45949.27883921625)</f>
        <v>45949.27884</v>
      </c>
    </row>
    <row r="108">
      <c r="A108" s="1">
        <f>IFERROR(__xludf.DUMMYFUNCTION("""COMPUTED_VALUE"""),107.0)</f>
        <v>107</v>
      </c>
      <c r="B108" s="1">
        <f>IFERROR(__xludf.DUMMYFUNCTION("""COMPUTED_VALUE"""),10187.0)</f>
        <v>10187</v>
      </c>
      <c r="C108" s="13" t="str">
        <f>IFERROR(__xludf.DUMMYFUNCTION("""COMPUTED_VALUE"""),"ABID")</f>
        <v>ABID</v>
      </c>
      <c r="D108" s="2" t="str">
        <f>IFERROR(__xludf.DUMMYFUNCTION("""COMPUTED_VALUE"""),"10KM OVERALL M")</f>
        <v>10KM OVERALL M</v>
      </c>
      <c r="E108" s="1">
        <f>IFERROR(__xludf.DUMMYFUNCTION("""COMPUTED_VALUE"""),88.0)</f>
        <v>88</v>
      </c>
      <c r="F108" s="1" t="str">
        <f>IFERROR(__xludf.DUMMYFUNCTION("""COMPUTED_VALUE"""),"Male")</f>
        <v>Male</v>
      </c>
      <c r="G108" s="5">
        <f>IFERROR(__xludf.DUMMYFUNCTION("""COMPUTED_VALUE"""),0.003949805555555555)</f>
        <v>0.003949805556</v>
      </c>
      <c r="H108" s="14">
        <f>IFERROR(__xludf.DUMMYFUNCTION("""COMPUTED_VALUE"""),0.24646185185185185)</f>
        <v>0.2464618519</v>
      </c>
      <c r="I108" s="15">
        <f>IFERROR(__xludf.DUMMYFUNCTION("""COMPUTED_VALUE"""),45949.28595990883)</f>
        <v>45949.28596</v>
      </c>
      <c r="J108" s="15">
        <f>IFERROR(__xludf.DUMMYFUNCTION("""COMPUTED_VALUE"""),45949.03949805698)</f>
        <v>45949.0395</v>
      </c>
      <c r="K108" s="15">
        <f>IFERROR(__xludf.DUMMYFUNCTION("""COMPUTED_VALUE"""),45949.25583989604)</f>
        <v>45949.25584</v>
      </c>
      <c r="L108" s="15">
        <f>IFERROR(__xludf.DUMMYFUNCTION("""COMPUTED_VALUE"""),45949.2790337218)</f>
        <v>45949.27903</v>
      </c>
    </row>
    <row r="109">
      <c r="A109" s="1">
        <f>IFERROR(__xludf.DUMMYFUNCTION("""COMPUTED_VALUE"""),108.0)</f>
        <v>108</v>
      </c>
      <c r="B109" s="1">
        <f>IFERROR(__xludf.DUMMYFUNCTION("""COMPUTED_VALUE"""),10387.0)</f>
        <v>10387</v>
      </c>
      <c r="C109" s="13" t="str">
        <f>IFERROR(__xludf.DUMMYFUNCTION("""COMPUTED_VALUE"""),"ENDA K.")</f>
        <v>ENDA K.</v>
      </c>
      <c r="D109" s="2" t="str">
        <f>IFERROR(__xludf.DUMMYFUNCTION("""COMPUTED_VALUE"""),"10KM OVERALL M")</f>
        <v>10KM OVERALL M</v>
      </c>
      <c r="E109" s="1">
        <f>IFERROR(__xludf.DUMMYFUNCTION("""COMPUTED_VALUE"""),89.0)</f>
        <v>89</v>
      </c>
      <c r="F109" s="1" t="str">
        <f>IFERROR(__xludf.DUMMYFUNCTION("""COMPUTED_VALUE"""),"Male")</f>
        <v>Male</v>
      </c>
      <c r="G109" s="5">
        <f>IFERROR(__xludf.DUMMYFUNCTION("""COMPUTED_VALUE"""),0.003950498842592593)</f>
        <v>0.003950498843</v>
      </c>
      <c r="H109" s="14">
        <f>IFERROR(__xludf.DUMMYFUNCTION("""COMPUTED_VALUE"""),0.24646185185185185)</f>
        <v>0.2464618519</v>
      </c>
      <c r="I109" s="15">
        <f>IFERROR(__xludf.DUMMYFUNCTION("""COMPUTED_VALUE"""),45949.2859668385)</f>
        <v>45949.28597</v>
      </c>
      <c r="J109" s="15">
        <f>IFERROR(__xludf.DUMMYFUNCTION("""COMPUTED_VALUE"""),45949.03950498665)</f>
        <v>45949.0395</v>
      </c>
      <c r="K109" s="15">
        <f>IFERROR(__xludf.DUMMYFUNCTION("""COMPUTED_VALUE"""),45949.25606490253)</f>
        <v>45949.25606</v>
      </c>
      <c r="L109" s="15">
        <f>IFERROR(__xludf.DUMMYFUNCTION("""COMPUTED_VALUE"""),45949.27970032707)</f>
        <v>45949.2797</v>
      </c>
    </row>
    <row r="110">
      <c r="A110" s="1">
        <f>IFERROR(__xludf.DUMMYFUNCTION("""COMPUTED_VALUE"""),109.0)</f>
        <v>109</v>
      </c>
      <c r="B110" s="1">
        <f>IFERROR(__xludf.DUMMYFUNCTION("""COMPUTED_VALUE"""),10493.0)</f>
        <v>10493</v>
      </c>
      <c r="C110" s="13" t="str">
        <f>IFERROR(__xludf.DUMMYFUNCTION("""COMPUTED_VALUE"""),"Zidny Zaidan")</f>
        <v>Zidny Zaidan</v>
      </c>
      <c r="D110" s="2" t="str">
        <f>IFERROR(__xludf.DUMMYFUNCTION("""COMPUTED_VALUE"""),"10KM OVERALL M")</f>
        <v>10KM OVERALL M</v>
      </c>
      <c r="E110" s="1">
        <f>IFERROR(__xludf.DUMMYFUNCTION("""COMPUTED_VALUE"""),90.0)</f>
        <v>90</v>
      </c>
      <c r="F110" s="1" t="str">
        <f>IFERROR(__xludf.DUMMYFUNCTION("""COMPUTED_VALUE"""),"Male")</f>
        <v>Male</v>
      </c>
      <c r="G110" s="5">
        <f>IFERROR(__xludf.DUMMYFUNCTION("""COMPUTED_VALUE"""),0.003954666666666667)</f>
        <v>0.003954666667</v>
      </c>
      <c r="H110" s="14">
        <f>IFERROR(__xludf.DUMMYFUNCTION("""COMPUTED_VALUE"""),0.24646185185185185)</f>
        <v>0.2464618519</v>
      </c>
      <c r="I110" s="15">
        <f>IFERROR(__xludf.DUMMYFUNCTION("""COMPUTED_VALUE"""),45949.286008512885)</f>
        <v>45949.28601</v>
      </c>
      <c r="J110" s="15">
        <f>IFERROR(__xludf.DUMMYFUNCTION("""COMPUTED_VALUE"""),45949.039546661035)</f>
        <v>45949.03955</v>
      </c>
      <c r="K110" s="15">
        <f>IFERROR(__xludf.DUMMYFUNCTION("""COMPUTED_VALUE"""),45949.25566905653)</f>
        <v>45949.25567</v>
      </c>
      <c r="L110" s="15">
        <f>IFERROR(__xludf.DUMMYFUNCTION("""COMPUTED_VALUE"""),45949.27935312649)</f>
        <v>45949.27935</v>
      </c>
    </row>
    <row r="111">
      <c r="A111" s="1">
        <f>IFERROR(__xludf.DUMMYFUNCTION("""COMPUTED_VALUE"""),110.0)</f>
        <v>110</v>
      </c>
      <c r="B111" s="1">
        <f>IFERROR(__xludf.DUMMYFUNCTION("""COMPUTED_VALUE"""),10560.0)</f>
        <v>10560</v>
      </c>
      <c r="C111" s="13" t="str">
        <f>IFERROR(__xludf.DUMMYFUNCTION("""COMPUTED_VALUE"""),"M MU'THI AZHARI")</f>
        <v>M MU'THI AZHARI</v>
      </c>
      <c r="D111" s="2" t="str">
        <f>IFERROR(__xludf.DUMMYFUNCTION("""COMPUTED_VALUE"""),"10KM OVERALL M")</f>
        <v>10KM OVERALL M</v>
      </c>
      <c r="E111" s="1">
        <f>IFERROR(__xludf.DUMMYFUNCTION("""COMPUTED_VALUE"""),91.0)</f>
        <v>91</v>
      </c>
      <c r="F111" s="1" t="str">
        <f>IFERROR(__xludf.DUMMYFUNCTION("""COMPUTED_VALUE"""),"Male")</f>
        <v>Male</v>
      </c>
      <c r="G111" s="5">
        <f>IFERROR(__xludf.DUMMYFUNCTION("""COMPUTED_VALUE"""),0.003955012731481481)</f>
        <v>0.003955012731</v>
      </c>
      <c r="H111" s="14">
        <f>IFERROR(__xludf.DUMMYFUNCTION("""COMPUTED_VALUE"""),0.24646185185185185)</f>
        <v>0.2464618519</v>
      </c>
      <c r="I111" s="15">
        <f>IFERROR(__xludf.DUMMYFUNCTION("""COMPUTED_VALUE"""),45949.28601198225)</f>
        <v>45949.28601</v>
      </c>
      <c r="J111" s="15">
        <f>IFERROR(__xludf.DUMMYFUNCTION("""COMPUTED_VALUE"""),45949.0395501304)</f>
        <v>45949.03955</v>
      </c>
      <c r="K111" s="15">
        <f>IFERROR(__xludf.DUMMYFUNCTION("""COMPUTED_VALUE"""),45949.255887849795)</f>
        <v>45949.25589</v>
      </c>
      <c r="L111" s="15">
        <f>IFERROR(__xludf.DUMMYFUNCTION("""COMPUTED_VALUE"""),45949.27968644341)</f>
        <v>45949.27969</v>
      </c>
    </row>
    <row r="112">
      <c r="A112" s="1">
        <f>IFERROR(__xludf.DUMMYFUNCTION("""COMPUTED_VALUE"""),111.0)</f>
        <v>111</v>
      </c>
      <c r="B112" s="1">
        <f>IFERROR(__xludf.DUMMYFUNCTION("""COMPUTED_VALUE"""),10096.0)</f>
        <v>10096</v>
      </c>
      <c r="C112" s="13">
        <f>IFERROR(__xludf.DUMMYFUNCTION("""COMPUTED_VALUE"""),595.0)</f>
        <v>595</v>
      </c>
      <c r="D112" s="2" t="str">
        <f>IFERROR(__xludf.DUMMYFUNCTION("""COMPUTED_VALUE"""),"10KM OVERALL M")</f>
        <v>10KM OVERALL M</v>
      </c>
      <c r="E112" s="1">
        <f>IFERROR(__xludf.DUMMYFUNCTION("""COMPUTED_VALUE"""),92.0)</f>
        <v>92</v>
      </c>
      <c r="F112" s="1" t="str">
        <f>IFERROR(__xludf.DUMMYFUNCTION("""COMPUTED_VALUE"""),"Male")</f>
        <v>Male</v>
      </c>
      <c r="G112" s="5">
        <f>IFERROR(__xludf.DUMMYFUNCTION("""COMPUTED_VALUE"""),0.003960568287037037)</f>
        <v>0.003960568287</v>
      </c>
      <c r="H112" s="14">
        <f>IFERROR(__xludf.DUMMYFUNCTION("""COMPUTED_VALUE"""),0.24646185185185185)</f>
        <v>0.2464618519</v>
      </c>
      <c r="I112" s="15">
        <f>IFERROR(__xludf.DUMMYFUNCTION("""COMPUTED_VALUE"""),45949.28606754045)</f>
        <v>45949.28607</v>
      </c>
      <c r="J112" s="15">
        <f>IFERROR(__xludf.DUMMYFUNCTION("""COMPUTED_VALUE"""),45949.0396056886)</f>
        <v>45949.03961</v>
      </c>
      <c r="K112" s="15">
        <f>IFERROR(__xludf.DUMMYFUNCTION("""COMPUTED_VALUE"""),45949.25515178197)</f>
        <v>45949.25515</v>
      </c>
      <c r="L112" s="15">
        <f>IFERROR(__xludf.DUMMYFUNCTION("""COMPUTED_VALUE"""),45949.279113556164)</f>
        <v>45949.27911</v>
      </c>
    </row>
    <row r="113">
      <c r="A113" s="1">
        <f>IFERROR(__xludf.DUMMYFUNCTION("""COMPUTED_VALUE"""),112.0)</f>
        <v>112</v>
      </c>
      <c r="B113" s="1">
        <f>IFERROR(__xludf.DUMMYFUNCTION("""COMPUTED_VALUE"""),10396.0)</f>
        <v>10396</v>
      </c>
      <c r="C113" s="13" t="str">
        <f>IFERROR(__xludf.DUMMYFUNCTION("""COMPUTED_VALUE"""),"Reza")</f>
        <v>Reza</v>
      </c>
      <c r="D113" s="2" t="str">
        <f>IFERROR(__xludf.DUMMYFUNCTION("""COMPUTED_VALUE"""),"10KM OVERALL M")</f>
        <v>10KM OVERALL M</v>
      </c>
      <c r="E113" s="1">
        <f>IFERROR(__xludf.DUMMYFUNCTION("""COMPUTED_VALUE"""),93.0)</f>
        <v>93</v>
      </c>
      <c r="F113" s="1" t="str">
        <f>IFERROR(__xludf.DUMMYFUNCTION("""COMPUTED_VALUE"""),"Male")</f>
        <v>Male</v>
      </c>
      <c r="G113" s="5">
        <f>IFERROR(__xludf.DUMMYFUNCTION("""COMPUTED_VALUE"""),0.003961957175925926)</f>
        <v>0.003961957176</v>
      </c>
      <c r="H113" s="14">
        <f>IFERROR(__xludf.DUMMYFUNCTION("""COMPUTED_VALUE"""),0.24646185185185185)</f>
        <v>0.2464618519</v>
      </c>
      <c r="I113" s="15">
        <f>IFERROR(__xludf.DUMMYFUNCTION("""COMPUTED_VALUE"""),45949.28608141849)</f>
        <v>45949.28608</v>
      </c>
      <c r="J113" s="15">
        <f>IFERROR(__xludf.DUMMYFUNCTION("""COMPUTED_VALUE"""),45949.03961956664)</f>
        <v>45949.03962</v>
      </c>
      <c r="K113" s="15">
        <f>IFERROR(__xludf.DUMMYFUNCTION("""COMPUTED_VALUE"""),45949.255620442105)</f>
        <v>45949.25562</v>
      </c>
      <c r="L113" s="15">
        <f>IFERROR(__xludf.DUMMYFUNCTION("""COMPUTED_VALUE"""),45949.279707274414)</f>
        <v>45949.27971</v>
      </c>
    </row>
    <row r="114">
      <c r="A114" s="1">
        <f>IFERROR(__xludf.DUMMYFUNCTION("""COMPUTED_VALUE"""),113.0)</f>
        <v>113</v>
      </c>
      <c r="B114" s="1">
        <f>IFERROR(__xludf.DUMMYFUNCTION("""COMPUTED_VALUE"""),10282.0)</f>
        <v>10282</v>
      </c>
      <c r="C114" s="13" t="str">
        <f>IFERROR(__xludf.DUMMYFUNCTION("""COMPUTED_VALUE"""),"Syahrul GM")</f>
        <v>Syahrul GM</v>
      </c>
      <c r="D114" s="2" t="str">
        <f>IFERROR(__xludf.DUMMYFUNCTION("""COMPUTED_VALUE"""),"10KM OVERALL M")</f>
        <v>10KM OVERALL M</v>
      </c>
      <c r="E114" s="1">
        <f>IFERROR(__xludf.DUMMYFUNCTION("""COMPUTED_VALUE"""),94.0)</f>
        <v>94</v>
      </c>
      <c r="F114" s="1" t="str">
        <f>IFERROR(__xludf.DUMMYFUNCTION("""COMPUTED_VALUE"""),"Male")</f>
        <v>Male</v>
      </c>
      <c r="G114" s="5">
        <f>IFERROR(__xludf.DUMMYFUNCTION("""COMPUTED_VALUE"""),0.0039629930555555555)</f>
        <v>0.003962993056</v>
      </c>
      <c r="H114" s="14">
        <f>IFERROR(__xludf.DUMMYFUNCTION("""COMPUTED_VALUE"""),0.24646185185185185)</f>
        <v>0.2464618519</v>
      </c>
      <c r="I114" s="15">
        <f>IFERROR(__xludf.DUMMYFUNCTION("""COMPUTED_VALUE"""),45949.28609178584)</f>
        <v>45949.28609</v>
      </c>
      <c r="J114" s="15">
        <f>IFERROR(__xludf.DUMMYFUNCTION("""COMPUTED_VALUE"""),45949.03962993399)</f>
        <v>45949.03963</v>
      </c>
      <c r="K114" s="15">
        <f>IFERROR(__xludf.DUMMYFUNCTION("""COMPUTED_VALUE"""),45949.25456523167)</f>
        <v>45949.25457</v>
      </c>
      <c r="L114" s="15">
        <f>IFERROR(__xludf.DUMMYFUNCTION("""COMPUTED_VALUE"""),45949.279252414504)</f>
        <v>45949.27925</v>
      </c>
    </row>
    <row r="115">
      <c r="A115" s="1">
        <f>IFERROR(__xludf.DUMMYFUNCTION("""COMPUTED_VALUE"""),114.0)</f>
        <v>114</v>
      </c>
      <c r="B115" s="1">
        <f>IFERROR(__xludf.DUMMYFUNCTION("""COMPUTED_VALUE"""),10179.0)</f>
        <v>10179</v>
      </c>
      <c r="C115" s="13" t="str">
        <f>IFERROR(__xludf.DUMMYFUNCTION("""COMPUTED_VALUE"""),"WAN")</f>
        <v>WAN</v>
      </c>
      <c r="D115" s="2" t="str">
        <f>IFERROR(__xludf.DUMMYFUNCTION("""COMPUTED_VALUE"""),"10KM OVERALL M")</f>
        <v>10KM OVERALL M</v>
      </c>
      <c r="E115" s="1">
        <f>IFERROR(__xludf.DUMMYFUNCTION("""COMPUTED_VALUE"""),95.0)</f>
        <v>95</v>
      </c>
      <c r="F115" s="1" t="str">
        <f>IFERROR(__xludf.DUMMYFUNCTION("""COMPUTED_VALUE"""),"Male")</f>
        <v>Male</v>
      </c>
      <c r="G115" s="5">
        <f>IFERROR(__xludf.DUMMYFUNCTION("""COMPUTED_VALUE"""),0.0039629930555555555)</f>
        <v>0.003962993056</v>
      </c>
      <c r="H115" s="14">
        <f>IFERROR(__xludf.DUMMYFUNCTION("""COMPUTED_VALUE"""),0.24646185185185185)</f>
        <v>0.2464618519</v>
      </c>
      <c r="I115" s="15">
        <f>IFERROR(__xludf.DUMMYFUNCTION("""COMPUTED_VALUE"""),45949.28609178584)</f>
        <v>45949.28609</v>
      </c>
      <c r="J115" s="15">
        <f>IFERROR(__xludf.DUMMYFUNCTION("""COMPUTED_VALUE"""),45949.03962993399)</f>
        <v>45949.03963</v>
      </c>
      <c r="K115" s="15">
        <f>IFERROR(__xludf.DUMMYFUNCTION("""COMPUTED_VALUE"""),45949.25542252515)</f>
        <v>45949.25542</v>
      </c>
      <c r="L115" s="15">
        <f>IFERROR(__xludf.DUMMYFUNCTION("""COMPUTED_VALUE"""),45949.2791517395)</f>
        <v>45949.27915</v>
      </c>
    </row>
    <row r="116">
      <c r="A116" s="1">
        <f>IFERROR(__xludf.DUMMYFUNCTION("""COMPUTED_VALUE"""),115.0)</f>
        <v>115</v>
      </c>
      <c r="B116" s="1">
        <f>IFERROR(__xludf.DUMMYFUNCTION("""COMPUTED_VALUE"""),10150.0)</f>
        <v>10150</v>
      </c>
      <c r="C116" s="13" t="str">
        <f>IFERROR(__xludf.DUMMYFUNCTION("""COMPUTED_VALUE"""),"Taufiq A")</f>
        <v>Taufiq A</v>
      </c>
      <c r="D116" s="2" t="str">
        <f>IFERROR(__xludf.DUMMYFUNCTION("""COMPUTED_VALUE"""),"10KM OVERALL M")</f>
        <v>10KM OVERALL M</v>
      </c>
      <c r="E116" s="1">
        <f>IFERROR(__xludf.DUMMYFUNCTION("""COMPUTED_VALUE"""),96.0)</f>
        <v>96</v>
      </c>
      <c r="F116" s="1" t="str">
        <f>IFERROR(__xludf.DUMMYFUNCTION("""COMPUTED_VALUE"""),"Male")</f>
        <v>Male</v>
      </c>
      <c r="G116" s="5">
        <f>IFERROR(__xludf.DUMMYFUNCTION("""COMPUTED_VALUE"""),0.003967861111111111)</f>
        <v>0.003967861111</v>
      </c>
      <c r="H116" s="14">
        <f>IFERROR(__xludf.DUMMYFUNCTION("""COMPUTED_VALUE"""),0.24646185185185185)</f>
        <v>0.2464618519</v>
      </c>
      <c r="I116" s="15">
        <f>IFERROR(__xludf.DUMMYFUNCTION("""COMPUTED_VALUE"""),45949.2861404666)</f>
        <v>45949.28614</v>
      </c>
      <c r="J116" s="15">
        <f>IFERROR(__xludf.DUMMYFUNCTION("""COMPUTED_VALUE"""),45949.03967861475)</f>
        <v>45949.03968</v>
      </c>
      <c r="K116" s="15">
        <f>IFERROR(__xludf.DUMMYFUNCTION("""COMPUTED_VALUE"""),45949.25574551734)</f>
        <v>45949.25575</v>
      </c>
      <c r="L116" s="15">
        <f>IFERROR(__xludf.DUMMYFUNCTION("""COMPUTED_VALUE"""),45949.279120501524)</f>
        <v>45949.27912</v>
      </c>
    </row>
    <row r="117">
      <c r="A117" s="1">
        <f>IFERROR(__xludf.DUMMYFUNCTION("""COMPUTED_VALUE"""),116.0)</f>
        <v>116</v>
      </c>
      <c r="B117" s="1">
        <f>IFERROR(__xludf.DUMMYFUNCTION("""COMPUTED_VALUE"""),10763.0)</f>
        <v>10763</v>
      </c>
      <c r="C117" s="13" t="str">
        <f>IFERROR(__xludf.DUMMYFUNCTION("""COMPUTED_VALUE"""),"REFI")</f>
        <v>REFI</v>
      </c>
      <c r="D117" s="2" t="str">
        <f>IFERROR(__xludf.DUMMYFUNCTION("""COMPUTED_VALUE"""),"10KM OVERALL M")</f>
        <v>10KM OVERALL M</v>
      </c>
      <c r="E117" s="1">
        <f>IFERROR(__xludf.DUMMYFUNCTION("""COMPUTED_VALUE"""),97.0)</f>
        <v>97</v>
      </c>
      <c r="F117" s="1" t="str">
        <f>IFERROR(__xludf.DUMMYFUNCTION("""COMPUTED_VALUE"""),"Female")</f>
        <v>Female</v>
      </c>
      <c r="G117" s="5">
        <f>IFERROR(__xludf.DUMMYFUNCTION("""COMPUTED_VALUE"""),0.003982287037037037)</f>
        <v>0.003982287037</v>
      </c>
      <c r="H117" s="14">
        <f>IFERROR(__xludf.DUMMYFUNCTION("""COMPUTED_VALUE"""),0.24646185185185185)</f>
        <v>0.2464618519</v>
      </c>
      <c r="I117" s="15">
        <f>IFERROR(__xludf.DUMMYFUNCTION("""COMPUTED_VALUE"""),45949.28628472222)</f>
        <v>45949.28628</v>
      </c>
      <c r="J117" s="15">
        <f>IFERROR(__xludf.DUMMYFUNCTION("""COMPUTED_VALUE"""),45949.03982287037)</f>
        <v>45949.03982</v>
      </c>
      <c r="K117" s="15" t="str">
        <f>IFERROR(__xludf.DUMMYFUNCTION("""COMPUTED_VALUE"""),"")</f>
        <v/>
      </c>
      <c r="L117" s="15">
        <f>IFERROR(__xludf.DUMMYFUNCTION("""COMPUTED_VALUE"""),45949.27933922711)</f>
        <v>45949.27934</v>
      </c>
    </row>
    <row r="118">
      <c r="A118" s="1">
        <f>IFERROR(__xludf.DUMMYFUNCTION("""COMPUTED_VALUE"""),117.0)</f>
        <v>117</v>
      </c>
      <c r="B118" s="1">
        <f>IFERROR(__xludf.DUMMYFUNCTION("""COMPUTED_VALUE"""),10793.0)</f>
        <v>10793</v>
      </c>
      <c r="C118" s="13" t="str">
        <f>IFERROR(__xludf.DUMMYFUNCTION("""COMPUTED_VALUE"""),"ANGGA GINANJAR")</f>
        <v>ANGGA GINANJAR</v>
      </c>
      <c r="D118" s="2" t="str">
        <f>IFERROR(__xludf.DUMMYFUNCTION("""COMPUTED_VALUE"""),"10KM OVERALL M")</f>
        <v>10KM OVERALL M</v>
      </c>
      <c r="E118" s="1">
        <f>IFERROR(__xludf.DUMMYFUNCTION("""COMPUTED_VALUE"""),98.0)</f>
        <v>98</v>
      </c>
      <c r="F118" s="1" t="str">
        <f>IFERROR(__xludf.DUMMYFUNCTION("""COMPUTED_VALUE"""),"Male")</f>
        <v>Male</v>
      </c>
      <c r="G118" s="5">
        <f>IFERROR(__xludf.DUMMYFUNCTION("""COMPUTED_VALUE"""),0.003982790509259259)</f>
        <v>0.003982790509</v>
      </c>
      <c r="H118" s="14">
        <f>IFERROR(__xludf.DUMMYFUNCTION("""COMPUTED_VALUE"""),0.24646185185185185)</f>
        <v>0.2464618519</v>
      </c>
      <c r="I118" s="15">
        <f>IFERROR(__xludf.DUMMYFUNCTION("""COMPUTED_VALUE"""),45949.286289754484)</f>
        <v>45949.28629</v>
      </c>
      <c r="J118" s="15">
        <f>IFERROR(__xludf.DUMMYFUNCTION("""COMPUTED_VALUE"""),45949.039827902634)</f>
        <v>45949.03983</v>
      </c>
      <c r="K118" s="15">
        <f>IFERROR(__xludf.DUMMYFUNCTION("""COMPUTED_VALUE"""),45949.25581841647)</f>
        <v>45949.25582</v>
      </c>
      <c r="L118" s="15">
        <f>IFERROR(__xludf.DUMMYFUNCTION("""COMPUTED_VALUE"""),45949.27910311626)</f>
        <v>45949.2791</v>
      </c>
    </row>
    <row r="119">
      <c r="A119" s="1">
        <f>IFERROR(__xludf.DUMMYFUNCTION("""COMPUTED_VALUE"""),118.0)</f>
        <v>118</v>
      </c>
      <c r="B119" s="1">
        <f>IFERROR(__xludf.DUMMYFUNCTION("""COMPUTED_VALUE"""),10200.0)</f>
        <v>10200</v>
      </c>
      <c r="C119" s="13" t="str">
        <f>IFERROR(__xludf.DUMMYFUNCTION("""COMPUTED_VALUE"""),"ridho juniardie")</f>
        <v>ridho juniardie</v>
      </c>
      <c r="D119" s="2" t="str">
        <f>IFERROR(__xludf.DUMMYFUNCTION("""COMPUTED_VALUE"""),"10KM OVERALL M")</f>
        <v>10KM OVERALL M</v>
      </c>
      <c r="E119" s="1">
        <f>IFERROR(__xludf.DUMMYFUNCTION("""COMPUTED_VALUE"""),99.0)</f>
        <v>99</v>
      </c>
      <c r="F119" s="1" t="str">
        <f>IFERROR(__xludf.DUMMYFUNCTION("""COMPUTED_VALUE"""),"Male")</f>
        <v>Male</v>
      </c>
      <c r="G119" s="5">
        <f>IFERROR(__xludf.DUMMYFUNCTION("""COMPUTED_VALUE"""),0.003983137731481482)</f>
        <v>0.003983137731</v>
      </c>
      <c r="H119" s="14">
        <f>IFERROR(__xludf.DUMMYFUNCTION("""COMPUTED_VALUE"""),0.24646185185185185)</f>
        <v>0.2464618519</v>
      </c>
      <c r="I119" s="15">
        <f>IFERROR(__xludf.DUMMYFUNCTION("""COMPUTED_VALUE"""),45949.28629322513)</f>
        <v>45949.28629</v>
      </c>
      <c r="J119" s="15">
        <f>IFERROR(__xludf.DUMMYFUNCTION("""COMPUTED_VALUE"""),45949.03983137328)</f>
        <v>45949.03983</v>
      </c>
      <c r="K119" s="15">
        <f>IFERROR(__xludf.DUMMYFUNCTION("""COMPUTED_VALUE"""),45949.255790577765)</f>
        <v>45949.25579</v>
      </c>
      <c r="L119" s="15">
        <f>IFERROR(__xludf.DUMMYFUNCTION("""COMPUTED_VALUE"""),45949.279092737735)</f>
        <v>45949.27909</v>
      </c>
    </row>
    <row r="120">
      <c r="A120" s="1">
        <f>IFERROR(__xludf.DUMMYFUNCTION("""COMPUTED_VALUE"""),119.0)</f>
        <v>119</v>
      </c>
      <c r="B120" s="1">
        <f>IFERROR(__xludf.DUMMYFUNCTION("""COMPUTED_VALUE"""),10566.0)</f>
        <v>10566</v>
      </c>
      <c r="C120" s="13" t="str">
        <f>IFERROR(__xludf.DUMMYFUNCTION("""COMPUTED_VALUE"""),"Muhammad Ridha")</f>
        <v>Muhammad Ridha</v>
      </c>
      <c r="D120" s="2" t="str">
        <f>IFERROR(__xludf.DUMMYFUNCTION("""COMPUTED_VALUE"""),"10KM OVERALL M")</f>
        <v>10KM OVERALL M</v>
      </c>
      <c r="E120" s="1">
        <f>IFERROR(__xludf.DUMMYFUNCTION("""COMPUTED_VALUE"""),100.0)</f>
        <v>100</v>
      </c>
      <c r="F120" s="1" t="str">
        <f>IFERROR(__xludf.DUMMYFUNCTION("""COMPUTED_VALUE"""),"Male")</f>
        <v>Male</v>
      </c>
      <c r="G120" s="5">
        <f>IFERROR(__xludf.DUMMYFUNCTION("""COMPUTED_VALUE"""),0.003985569444444444)</f>
        <v>0.003985569444</v>
      </c>
      <c r="H120" s="14">
        <f>IFERROR(__xludf.DUMMYFUNCTION("""COMPUTED_VALUE"""),0.24646185185185185)</f>
        <v>0.2464618519</v>
      </c>
      <c r="I120" s="15">
        <f>IFERROR(__xludf.DUMMYFUNCTION("""COMPUTED_VALUE"""),45949.286317541366)</f>
        <v>45949.28632</v>
      </c>
      <c r="J120" s="15">
        <f>IFERROR(__xludf.DUMMYFUNCTION("""COMPUTED_VALUE"""),45949.039855689516)</f>
        <v>45949.03986</v>
      </c>
      <c r="K120" s="15">
        <f>IFERROR(__xludf.DUMMYFUNCTION("""COMPUTED_VALUE"""),45949.25599199117)</f>
        <v>45949.25599</v>
      </c>
      <c r="L120" s="15">
        <f>IFERROR(__xludf.DUMMYFUNCTION("""COMPUTED_VALUE"""),45949.279630886405)</f>
        <v>45949.27963</v>
      </c>
    </row>
    <row r="121">
      <c r="A121" s="1">
        <f>IFERROR(__xludf.DUMMYFUNCTION("""COMPUTED_VALUE"""),120.0)</f>
        <v>120</v>
      </c>
      <c r="B121" s="1">
        <f>IFERROR(__xludf.DUMMYFUNCTION("""COMPUTED_VALUE"""),10621.0)</f>
        <v>10621</v>
      </c>
      <c r="C121" s="13" t="str">
        <f>IFERROR(__xludf.DUMMYFUNCTION("""COMPUTED_VALUE"""),"Berri Kharisma")</f>
        <v>Berri Kharisma</v>
      </c>
      <c r="D121" s="2" t="str">
        <f>IFERROR(__xludf.DUMMYFUNCTION("""COMPUTED_VALUE"""),"10KM OVERALL M")</f>
        <v>10KM OVERALL M</v>
      </c>
      <c r="E121" s="1">
        <f>IFERROR(__xludf.DUMMYFUNCTION("""COMPUTED_VALUE"""),101.0)</f>
        <v>101</v>
      </c>
      <c r="F121" s="1" t="str">
        <f>IFERROR(__xludf.DUMMYFUNCTION("""COMPUTED_VALUE"""),"Male")</f>
        <v>Male</v>
      </c>
      <c r="G121" s="5">
        <f>IFERROR(__xludf.DUMMYFUNCTION("""COMPUTED_VALUE"""),0.003985570601851852)</f>
        <v>0.003985570602</v>
      </c>
      <c r="H121" s="14">
        <f>IFERROR(__xludf.DUMMYFUNCTION("""COMPUTED_VALUE"""),0.24646185185185185)</f>
        <v>0.2464618519</v>
      </c>
      <c r="I121" s="15">
        <f>IFERROR(__xludf.DUMMYFUNCTION("""COMPUTED_VALUE"""),45949.28631755339)</f>
        <v>45949.28632</v>
      </c>
      <c r="J121" s="15">
        <f>IFERROR(__xludf.DUMMYFUNCTION("""COMPUTED_VALUE"""),45949.03985570154)</f>
        <v>45949.03986</v>
      </c>
      <c r="K121" s="15">
        <f>IFERROR(__xludf.DUMMYFUNCTION("""COMPUTED_VALUE"""),45949.2560753074)</f>
        <v>45949.25608</v>
      </c>
      <c r="L121" s="15">
        <f>IFERROR(__xludf.DUMMYFUNCTION("""COMPUTED_VALUE"""),45949.27937742188)</f>
        <v>45949.27938</v>
      </c>
    </row>
    <row r="122">
      <c r="A122" s="1">
        <f>IFERROR(__xludf.DUMMYFUNCTION("""COMPUTED_VALUE"""),121.0)</f>
        <v>121</v>
      </c>
      <c r="B122" s="1">
        <f>IFERROR(__xludf.DUMMYFUNCTION("""COMPUTED_VALUE"""),12064.0)</f>
        <v>12064</v>
      </c>
      <c r="C122" s="13" t="str">
        <f>IFERROR(__xludf.DUMMYFUNCTION("""COMPUTED_VALUE"""),"Ellif")</f>
        <v>Ellif</v>
      </c>
      <c r="D122" s="2" t="str">
        <f>IFERROR(__xludf.DUMMYFUNCTION("""COMPUTED_VALUE"""),"10KM MASTER M")</f>
        <v>10KM MASTER M</v>
      </c>
      <c r="E122" s="1">
        <f>IFERROR(__xludf.DUMMYFUNCTION("""COMPUTED_VALUE"""),13.0)</f>
        <v>13</v>
      </c>
      <c r="F122" s="1" t="str">
        <f>IFERROR(__xludf.DUMMYFUNCTION("""COMPUTED_VALUE"""),"Male")</f>
        <v>Male</v>
      </c>
      <c r="G122" s="5">
        <f>IFERROR(__xludf.DUMMYFUNCTION("""COMPUTED_VALUE"""),0.003991471064814815)</f>
        <v>0.003991471065</v>
      </c>
      <c r="H122" s="14">
        <f>IFERROR(__xludf.DUMMYFUNCTION("""COMPUTED_VALUE"""),0.24646185185185185)</f>
        <v>0.2464618519</v>
      </c>
      <c r="I122" s="15">
        <f>IFERROR(__xludf.DUMMYFUNCTION("""COMPUTED_VALUE"""),45949.28637656753)</f>
        <v>45949.28638</v>
      </c>
      <c r="J122" s="15">
        <f>IFERROR(__xludf.DUMMYFUNCTION("""COMPUTED_VALUE"""),45949.03991471568)</f>
        <v>45949.03991</v>
      </c>
      <c r="K122" s="15">
        <f>IFERROR(__xludf.DUMMYFUNCTION("""COMPUTED_VALUE"""),45949.25634265927)</f>
        <v>45949.25634</v>
      </c>
      <c r="L122" s="15">
        <f>IFERROR(__xludf.DUMMYFUNCTION("""COMPUTED_VALUE"""),45949.27977323989)</f>
        <v>45949.27977</v>
      </c>
    </row>
    <row r="123">
      <c r="A123" s="1">
        <f>IFERROR(__xludf.DUMMYFUNCTION("""COMPUTED_VALUE"""),122.0)</f>
        <v>122</v>
      </c>
      <c r="B123" s="1">
        <f>IFERROR(__xludf.DUMMYFUNCTION("""COMPUTED_VALUE"""),10070.0)</f>
        <v>10070</v>
      </c>
      <c r="C123" s="13" t="str">
        <f>IFERROR(__xludf.DUMMYFUNCTION("""COMPUTED_VALUE"""),"Abdul Halim Bimamahesa")</f>
        <v>Abdul Halim Bimamahesa</v>
      </c>
      <c r="D123" s="2" t="str">
        <f>IFERROR(__xludf.DUMMYFUNCTION("""COMPUTED_VALUE"""),"10KM OVERALL M")</f>
        <v>10KM OVERALL M</v>
      </c>
      <c r="E123" s="1">
        <f>IFERROR(__xludf.DUMMYFUNCTION("""COMPUTED_VALUE"""),102.0)</f>
        <v>102</v>
      </c>
      <c r="F123" s="1" t="str">
        <f>IFERROR(__xludf.DUMMYFUNCTION("""COMPUTED_VALUE"""),"Male")</f>
        <v>Male</v>
      </c>
      <c r="G123" s="5">
        <f>IFERROR(__xludf.DUMMYFUNCTION("""COMPUTED_VALUE"""),0.003993902777777778)</f>
        <v>0.003993902778</v>
      </c>
      <c r="H123" s="14">
        <f>IFERROR(__xludf.DUMMYFUNCTION("""COMPUTED_VALUE"""),0.24646185185185185)</f>
        <v>0.2464618519</v>
      </c>
      <c r="I123" s="15">
        <f>IFERROR(__xludf.DUMMYFUNCTION("""COMPUTED_VALUE"""),45949.28640087954)</f>
        <v>45949.2864</v>
      </c>
      <c r="J123" s="15">
        <f>IFERROR(__xludf.DUMMYFUNCTION("""COMPUTED_VALUE"""),45949.03993902769)</f>
        <v>45949.03994</v>
      </c>
      <c r="K123" s="15">
        <f>IFERROR(__xludf.DUMMYFUNCTION("""COMPUTED_VALUE"""),45949.25441210813)</f>
        <v>45949.25441</v>
      </c>
      <c r="L123" s="15">
        <f>IFERROR(__xludf.DUMMYFUNCTION("""COMPUTED_VALUE"""),45949.32010416666)</f>
        <v>45949.3201</v>
      </c>
    </row>
    <row r="124">
      <c r="A124" s="1">
        <f>IFERROR(__xludf.DUMMYFUNCTION("""COMPUTED_VALUE"""),123.0)</f>
        <v>123</v>
      </c>
      <c r="B124" s="1">
        <f>IFERROR(__xludf.DUMMYFUNCTION("""COMPUTED_VALUE"""),10438.0)</f>
        <v>10438</v>
      </c>
      <c r="C124" s="13" t="str">
        <f>IFERROR(__xludf.DUMMYFUNCTION("""COMPUTED_VALUE"""),"Nasri Yamani")</f>
        <v>Nasri Yamani</v>
      </c>
      <c r="D124" s="2" t="str">
        <f>IFERROR(__xludf.DUMMYFUNCTION("""COMPUTED_VALUE"""),"10KM OVERALL M")</f>
        <v>10KM OVERALL M</v>
      </c>
      <c r="E124" s="1">
        <f>IFERROR(__xludf.DUMMYFUNCTION("""COMPUTED_VALUE"""),103.0)</f>
        <v>103</v>
      </c>
      <c r="F124" s="1" t="str">
        <f>IFERROR(__xludf.DUMMYFUNCTION("""COMPUTED_VALUE"""),"Male")</f>
        <v>Male</v>
      </c>
      <c r="G124" s="5">
        <f>IFERROR(__xludf.DUMMYFUNCTION("""COMPUTED_VALUE"""),0.004000152777777778)</f>
        <v>0.004000152778</v>
      </c>
      <c r="H124" s="14">
        <f>IFERROR(__xludf.DUMMYFUNCTION("""COMPUTED_VALUE"""),0.24646185185185185)</f>
        <v>0.2464618519</v>
      </c>
      <c r="I124" s="15">
        <f>IFERROR(__xludf.DUMMYFUNCTION("""COMPUTED_VALUE"""),45949.28646337852)</f>
        <v>45949.28646</v>
      </c>
      <c r="J124" s="15">
        <f>IFERROR(__xludf.DUMMYFUNCTION("""COMPUTED_VALUE"""),45949.04000152667)</f>
        <v>45949.04</v>
      </c>
      <c r="K124" s="15">
        <f>IFERROR(__xludf.DUMMYFUNCTION("""COMPUTED_VALUE"""),45949.25579411276)</f>
        <v>45949.25579</v>
      </c>
      <c r="L124" s="15">
        <f>IFERROR(__xludf.DUMMYFUNCTION("""COMPUTED_VALUE"""),45949.279801025856)</f>
        <v>45949.2798</v>
      </c>
    </row>
    <row r="125">
      <c r="A125" s="1">
        <f>IFERROR(__xludf.DUMMYFUNCTION("""COMPUTED_VALUE"""),124.0)</f>
        <v>124</v>
      </c>
      <c r="B125" s="1">
        <f>IFERROR(__xludf.DUMMYFUNCTION("""COMPUTED_VALUE"""),10616.0)</f>
        <v>10616</v>
      </c>
      <c r="C125" s="13" t="str">
        <f>IFERROR(__xludf.DUMMYFUNCTION("""COMPUTED_VALUE"""),"Liya")</f>
        <v>Liya</v>
      </c>
      <c r="D125" s="2" t="str">
        <f>IFERROR(__xludf.DUMMYFUNCTION("""COMPUTED_VALUE"""),"10KM OVERALL F")</f>
        <v>10KM OVERALL F</v>
      </c>
      <c r="E125" s="1">
        <f>IFERROR(__xludf.DUMMYFUNCTION("""COMPUTED_VALUE"""),6.0)</f>
        <v>6</v>
      </c>
      <c r="F125" s="1" t="str">
        <f>IFERROR(__xludf.DUMMYFUNCTION("""COMPUTED_VALUE"""),"Female")</f>
        <v>Female</v>
      </c>
      <c r="G125" s="5">
        <f>IFERROR(__xludf.DUMMYFUNCTION("""COMPUTED_VALUE"""),0.004005707175925926)</f>
        <v>0.004005707176</v>
      </c>
      <c r="H125" s="14">
        <f>IFERROR(__xludf.DUMMYFUNCTION("""COMPUTED_VALUE"""),0.24646185185185185)</f>
        <v>0.2464618519</v>
      </c>
      <c r="I125" s="15">
        <f>IFERROR(__xludf.DUMMYFUNCTION("""COMPUTED_VALUE"""),45949.2865189235)</f>
        <v>45949.28652</v>
      </c>
      <c r="J125" s="15">
        <f>IFERROR(__xludf.DUMMYFUNCTION("""COMPUTED_VALUE"""),45949.04005707165)</f>
        <v>45949.04006</v>
      </c>
      <c r="K125" s="15">
        <f>IFERROR(__xludf.DUMMYFUNCTION("""COMPUTED_VALUE"""),45949.25527327207)</f>
        <v>45949.25527</v>
      </c>
      <c r="L125" s="15">
        <f>IFERROR(__xludf.DUMMYFUNCTION("""COMPUTED_VALUE"""),45949.279321886715)</f>
        <v>45949.27932</v>
      </c>
    </row>
    <row r="126">
      <c r="A126" s="1">
        <f>IFERROR(__xludf.DUMMYFUNCTION("""COMPUTED_VALUE"""),125.0)</f>
        <v>125</v>
      </c>
      <c r="B126" s="1">
        <f>IFERROR(__xludf.DUMMYFUNCTION("""COMPUTED_VALUE"""),10615.0)</f>
        <v>10615</v>
      </c>
      <c r="C126" s="13" t="str">
        <f>IFERROR(__xludf.DUMMYFUNCTION("""COMPUTED_VALUE"""),"Andi")</f>
        <v>Andi</v>
      </c>
      <c r="D126" s="2" t="str">
        <f>IFERROR(__xludf.DUMMYFUNCTION("""COMPUTED_VALUE"""),"10KM OVERALL M")</f>
        <v>10KM OVERALL M</v>
      </c>
      <c r="E126" s="1">
        <f>IFERROR(__xludf.DUMMYFUNCTION("""COMPUTED_VALUE"""),104.0)</f>
        <v>104</v>
      </c>
      <c r="F126" s="1" t="str">
        <f>IFERROR(__xludf.DUMMYFUNCTION("""COMPUTED_VALUE"""),"Male")</f>
        <v>Male</v>
      </c>
      <c r="G126" s="5">
        <f>IFERROR(__xludf.DUMMYFUNCTION("""COMPUTED_VALUE"""),0.004006743055555555)</f>
        <v>0.004006743056</v>
      </c>
      <c r="H126" s="14">
        <f>IFERROR(__xludf.DUMMYFUNCTION("""COMPUTED_VALUE"""),0.24646185185185185)</f>
        <v>0.2464618519</v>
      </c>
      <c r="I126" s="15">
        <f>IFERROR(__xludf.DUMMYFUNCTION("""COMPUTED_VALUE"""),45949.28652928385)</f>
        <v>45949.28653</v>
      </c>
      <c r="J126" s="15">
        <f>IFERROR(__xludf.DUMMYFUNCTION("""COMPUTED_VALUE"""),45949.040067432)</f>
        <v>45949.04007</v>
      </c>
      <c r="K126" s="15">
        <f>IFERROR(__xludf.DUMMYFUNCTION("""COMPUTED_VALUE"""),45949.255280983336)</f>
        <v>45949.25528</v>
      </c>
      <c r="L126" s="15">
        <f>IFERROR(__xludf.DUMMYFUNCTION("""COMPUTED_VALUE"""),45949.27929062735)</f>
        <v>45949.27929</v>
      </c>
    </row>
    <row r="127">
      <c r="A127" s="1">
        <f>IFERROR(__xludf.DUMMYFUNCTION("""COMPUTED_VALUE"""),126.0)</f>
        <v>126</v>
      </c>
      <c r="B127" s="1">
        <f>IFERROR(__xludf.DUMMYFUNCTION("""COMPUTED_VALUE"""),10308.0)</f>
        <v>10308</v>
      </c>
      <c r="C127" s="13" t="str">
        <f>IFERROR(__xludf.DUMMYFUNCTION("""COMPUTED_VALUE"""),"husnul yakin")</f>
        <v>husnul yakin</v>
      </c>
      <c r="D127" s="2" t="str">
        <f>IFERROR(__xludf.DUMMYFUNCTION("""COMPUTED_VALUE"""),"10KM OVERALL M")</f>
        <v>10KM OVERALL M</v>
      </c>
      <c r="E127" s="1">
        <f>IFERROR(__xludf.DUMMYFUNCTION("""COMPUTED_VALUE"""),105.0)</f>
        <v>105</v>
      </c>
      <c r="F127" s="1" t="str">
        <f>IFERROR(__xludf.DUMMYFUNCTION("""COMPUTED_VALUE"""),"Male")</f>
        <v>Male</v>
      </c>
      <c r="G127" s="5">
        <f>IFERROR(__xludf.DUMMYFUNCTION("""COMPUTED_VALUE"""),0.004009526620370371)</f>
        <v>0.00400952662</v>
      </c>
      <c r="H127" s="14">
        <f>IFERROR(__xludf.DUMMYFUNCTION("""COMPUTED_VALUE"""),0.24646185185185185)</f>
        <v>0.2464618519</v>
      </c>
      <c r="I127" s="15">
        <f>IFERROR(__xludf.DUMMYFUNCTION("""COMPUTED_VALUE"""),45949.28655711455)</f>
        <v>45949.28656</v>
      </c>
      <c r="J127" s="15">
        <f>IFERROR(__xludf.DUMMYFUNCTION("""COMPUTED_VALUE"""),45949.0400952627)</f>
        <v>45949.0401</v>
      </c>
      <c r="K127" s="15">
        <f>IFERROR(__xludf.DUMMYFUNCTION("""COMPUTED_VALUE"""),45949.258235056695)</f>
        <v>45949.25824</v>
      </c>
      <c r="L127" s="15">
        <f>IFERROR(__xludf.DUMMYFUNCTION("""COMPUTED_VALUE"""),45949.2805927179)</f>
        <v>45949.28059</v>
      </c>
    </row>
    <row r="128">
      <c r="A128" s="1">
        <f>IFERROR(__xludf.DUMMYFUNCTION("""COMPUTED_VALUE"""),127.0)</f>
        <v>127</v>
      </c>
      <c r="B128" s="1">
        <f>IFERROR(__xludf.DUMMYFUNCTION("""COMPUTED_VALUE"""),12011.0)</f>
        <v>12011</v>
      </c>
      <c r="C128" s="13" t="str">
        <f>IFERROR(__xludf.DUMMYFUNCTION("""COMPUTED_VALUE"""),"kusdinaryanto")</f>
        <v>kusdinaryanto</v>
      </c>
      <c r="D128" s="2" t="str">
        <f>IFERROR(__xludf.DUMMYFUNCTION("""COMPUTED_VALUE"""),"10KM MASTER M")</f>
        <v>10KM MASTER M</v>
      </c>
      <c r="E128" s="1">
        <f>IFERROR(__xludf.DUMMYFUNCTION("""COMPUTED_VALUE"""),14.0)</f>
        <v>14</v>
      </c>
      <c r="F128" s="1" t="str">
        <f>IFERROR(__xludf.DUMMYFUNCTION("""COMPUTED_VALUE"""),"Male")</f>
        <v>Male</v>
      </c>
      <c r="G128" s="5">
        <f>IFERROR(__xludf.DUMMYFUNCTION("""COMPUTED_VALUE"""),0.004010581018518518)</f>
        <v>0.004010581019</v>
      </c>
      <c r="H128" s="14">
        <f>IFERROR(__xludf.DUMMYFUNCTION("""COMPUTED_VALUE"""),0.24646185185185185)</f>
        <v>0.2464618519</v>
      </c>
      <c r="I128" s="15">
        <f>IFERROR(__xludf.DUMMYFUNCTION("""COMPUTED_VALUE"""),45949.28656765865)</f>
        <v>45949.28657</v>
      </c>
      <c r="J128" s="15">
        <f>IFERROR(__xludf.DUMMYFUNCTION("""COMPUTED_VALUE"""),45949.0401058068)</f>
        <v>45949.04011</v>
      </c>
      <c r="K128" s="15">
        <f>IFERROR(__xludf.DUMMYFUNCTION("""COMPUTED_VALUE"""),45949.254953783486)</f>
        <v>45949.25495</v>
      </c>
      <c r="L128" s="15">
        <f>IFERROR(__xludf.DUMMYFUNCTION("""COMPUTED_VALUE"""),45949.27926631811)</f>
        <v>45949.27927</v>
      </c>
    </row>
    <row r="129">
      <c r="A129" s="1">
        <f>IFERROR(__xludf.DUMMYFUNCTION("""COMPUTED_VALUE"""),128.0)</f>
        <v>128</v>
      </c>
      <c r="B129" s="1">
        <f>IFERROR(__xludf.DUMMYFUNCTION("""COMPUTED_VALUE"""),10408.0)</f>
        <v>10408</v>
      </c>
      <c r="C129" s="13" t="str">
        <f>IFERROR(__xludf.DUMMYFUNCTION("""COMPUTED_VALUE"""),"Supian Sauri")</f>
        <v>Supian Sauri</v>
      </c>
      <c r="D129" s="2" t="str">
        <f>IFERROR(__xludf.DUMMYFUNCTION("""COMPUTED_VALUE"""),"10KM OVERALL M")</f>
        <v>10KM OVERALL M</v>
      </c>
      <c r="E129" s="1">
        <f>IFERROR(__xludf.DUMMYFUNCTION("""COMPUTED_VALUE"""),106.0)</f>
        <v>106</v>
      </c>
      <c r="F129" s="1" t="str">
        <f>IFERROR(__xludf.DUMMYFUNCTION("""COMPUTED_VALUE"""),"Male")</f>
        <v>Male</v>
      </c>
      <c r="G129" s="5">
        <f>IFERROR(__xludf.DUMMYFUNCTION("""COMPUTED_VALUE"""),0.004013346064814815)</f>
        <v>0.004013346065</v>
      </c>
      <c r="H129" s="14">
        <f>IFERROR(__xludf.DUMMYFUNCTION("""COMPUTED_VALUE"""),0.24646185185185185)</f>
        <v>0.2464618519</v>
      </c>
      <c r="I129" s="15">
        <f>IFERROR(__xludf.DUMMYFUNCTION("""COMPUTED_VALUE"""),45949.28659531011)</f>
        <v>45949.2866</v>
      </c>
      <c r="J129" s="15">
        <f>IFERROR(__xludf.DUMMYFUNCTION("""COMPUTED_VALUE"""),45949.040133458264)</f>
        <v>45949.04013</v>
      </c>
      <c r="K129" s="15">
        <f>IFERROR(__xludf.DUMMYFUNCTION("""COMPUTED_VALUE"""),45949.255492028125)</f>
        <v>45949.25549</v>
      </c>
      <c r="L129" s="15">
        <f>IFERROR(__xludf.DUMMYFUNCTION("""COMPUTED_VALUE"""),45949.27961116152)</f>
        <v>45949.27961</v>
      </c>
    </row>
    <row r="130">
      <c r="A130" s="1">
        <f>IFERROR(__xludf.DUMMYFUNCTION("""COMPUTED_VALUE"""),129.0)</f>
        <v>129</v>
      </c>
      <c r="B130" s="1">
        <f>IFERROR(__xludf.DUMMYFUNCTION("""COMPUTED_VALUE"""),10180.0)</f>
        <v>10180</v>
      </c>
      <c r="C130" s="13" t="str">
        <f>IFERROR(__xludf.DUMMYFUNCTION("""COMPUTED_VALUE"""),"pesall")</f>
        <v>pesall</v>
      </c>
      <c r="D130" s="2" t="str">
        <f>IFERROR(__xludf.DUMMYFUNCTION("""COMPUTED_VALUE"""),"10KM OVERALL M")</f>
        <v>10KM OVERALL M</v>
      </c>
      <c r="E130" s="1">
        <f>IFERROR(__xludf.DUMMYFUNCTION("""COMPUTED_VALUE"""),107.0)</f>
        <v>107</v>
      </c>
      <c r="F130" s="1" t="str">
        <f>IFERROR(__xludf.DUMMYFUNCTION("""COMPUTED_VALUE"""),"Male")</f>
        <v>Male</v>
      </c>
      <c r="G130" s="5">
        <f>IFERROR(__xludf.DUMMYFUNCTION("""COMPUTED_VALUE"""),0.004023758101851852)</f>
        <v>0.004023758102</v>
      </c>
      <c r="H130" s="14">
        <f>IFERROR(__xludf.DUMMYFUNCTION("""COMPUTED_VALUE"""),0.24646185185185185)</f>
        <v>0.2464618519</v>
      </c>
      <c r="I130" s="15">
        <f>IFERROR(__xludf.DUMMYFUNCTION("""COMPUTED_VALUE"""),45949.28669943839)</f>
        <v>45949.2867</v>
      </c>
      <c r="J130" s="15">
        <f>IFERROR(__xludf.DUMMYFUNCTION("""COMPUTED_VALUE"""),45949.04023758654)</f>
        <v>45949.04024</v>
      </c>
      <c r="K130" s="15">
        <f>IFERROR(__xludf.DUMMYFUNCTION("""COMPUTED_VALUE"""),45949.25834613161)</f>
        <v>45949.25835</v>
      </c>
      <c r="L130" s="15">
        <f>IFERROR(__xludf.DUMMYFUNCTION("""COMPUTED_VALUE"""),45949.27996421401)</f>
        <v>45949.27996</v>
      </c>
    </row>
    <row r="131">
      <c r="A131" s="1">
        <f>IFERROR(__xludf.DUMMYFUNCTION("""COMPUTED_VALUE"""),130.0)</f>
        <v>130</v>
      </c>
      <c r="B131" s="1">
        <f>IFERROR(__xludf.DUMMYFUNCTION("""COMPUTED_VALUE"""),10174.0)</f>
        <v>10174</v>
      </c>
      <c r="C131" s="13" t="str">
        <f>IFERROR(__xludf.DUMMYFUNCTION("""COMPUTED_VALUE"""),"rizqi wonk")</f>
        <v>rizqi wonk</v>
      </c>
      <c r="D131" s="2" t="str">
        <f>IFERROR(__xludf.DUMMYFUNCTION("""COMPUTED_VALUE"""),"10KM OVERALL M")</f>
        <v>10KM OVERALL M</v>
      </c>
      <c r="E131" s="1">
        <f>IFERROR(__xludf.DUMMYFUNCTION("""COMPUTED_VALUE"""),108.0)</f>
        <v>108</v>
      </c>
      <c r="F131" s="1" t="str">
        <f>IFERROR(__xludf.DUMMYFUNCTION("""COMPUTED_VALUE"""),"Male")</f>
        <v>Male</v>
      </c>
      <c r="G131" s="5">
        <f>IFERROR(__xludf.DUMMYFUNCTION("""COMPUTED_VALUE"""),0.0040348738425925925)</f>
        <v>0.004034873843</v>
      </c>
      <c r="H131" s="14">
        <f>IFERROR(__xludf.DUMMYFUNCTION("""COMPUTED_VALUE"""),0.24646185185185185)</f>
        <v>0.2464618519</v>
      </c>
      <c r="I131" s="15">
        <f>IFERROR(__xludf.DUMMYFUNCTION("""COMPUTED_VALUE"""),45949.286810594545)</f>
        <v>45949.28681</v>
      </c>
      <c r="J131" s="15">
        <f>IFERROR(__xludf.DUMMYFUNCTION("""COMPUTED_VALUE"""),45949.040348742696)</f>
        <v>45949.04035</v>
      </c>
      <c r="K131" s="15">
        <f>IFERROR(__xludf.DUMMYFUNCTION("""COMPUTED_VALUE"""),45949.25656910084)</f>
        <v>45949.25657</v>
      </c>
      <c r="L131" s="15">
        <f>IFERROR(__xludf.DUMMYFUNCTION("""COMPUTED_VALUE"""),45949.2806174075)</f>
        <v>45949.28062</v>
      </c>
    </row>
    <row r="132">
      <c r="A132" s="1">
        <f>IFERROR(__xludf.DUMMYFUNCTION("""COMPUTED_VALUE"""),131.0)</f>
        <v>131</v>
      </c>
      <c r="B132" s="1">
        <f>IFERROR(__xludf.DUMMYFUNCTION("""COMPUTED_VALUE"""),10039.0)</f>
        <v>10039</v>
      </c>
      <c r="C132" s="13" t="str">
        <f>IFERROR(__xludf.DUMMYFUNCTION("""COMPUTED_VALUE"""),"Mei Rida Jaya")</f>
        <v>Mei Rida Jaya</v>
      </c>
      <c r="D132" s="2" t="str">
        <f>IFERROR(__xludf.DUMMYFUNCTION("""COMPUTED_VALUE"""),"10KM OVERALL M")</f>
        <v>10KM OVERALL M</v>
      </c>
      <c r="E132" s="1">
        <f>IFERROR(__xludf.DUMMYFUNCTION("""COMPUTED_VALUE"""),109.0)</f>
        <v>109</v>
      </c>
      <c r="F132" s="1" t="str">
        <f>IFERROR(__xludf.DUMMYFUNCTION("""COMPUTED_VALUE"""),"Male")</f>
        <v>Male</v>
      </c>
      <c r="G132" s="5">
        <f>IFERROR(__xludf.DUMMYFUNCTION("""COMPUTED_VALUE"""),0.004038341435185186)</f>
        <v>0.004038341435</v>
      </c>
      <c r="H132" s="14">
        <f>IFERROR(__xludf.DUMMYFUNCTION("""COMPUTED_VALUE"""),0.24646185185185185)</f>
        <v>0.2464618519</v>
      </c>
      <c r="I132" s="15">
        <f>IFERROR(__xludf.DUMMYFUNCTION("""COMPUTED_VALUE"""),45949.28684526291)</f>
        <v>45949.28685</v>
      </c>
      <c r="J132" s="15">
        <f>IFERROR(__xludf.DUMMYFUNCTION("""COMPUTED_VALUE"""),45949.04038341106)</f>
        <v>45949.04038</v>
      </c>
      <c r="K132" s="15">
        <f>IFERROR(__xludf.DUMMYFUNCTION("""COMPUTED_VALUE"""),45949.255151758894)</f>
        <v>45949.25515</v>
      </c>
      <c r="L132" s="15">
        <f>IFERROR(__xludf.DUMMYFUNCTION("""COMPUTED_VALUE"""),45949.27955109686)</f>
        <v>45949.27955</v>
      </c>
    </row>
    <row r="133">
      <c r="A133" s="1">
        <f>IFERROR(__xludf.DUMMYFUNCTION("""COMPUTED_VALUE"""),132.0)</f>
        <v>132</v>
      </c>
      <c r="B133" s="1">
        <f>IFERROR(__xludf.DUMMYFUNCTION("""COMPUTED_VALUE"""),10199.0)</f>
        <v>10199</v>
      </c>
      <c r="C133" s="13" t="str">
        <f>IFERROR(__xludf.DUMMYFUNCTION("""COMPUTED_VALUE"""),"Bagas Dwi Noprianto")</f>
        <v>Bagas Dwi Noprianto</v>
      </c>
      <c r="D133" s="2" t="str">
        <f>IFERROR(__xludf.DUMMYFUNCTION("""COMPUTED_VALUE"""),"10KM OVERALL M")</f>
        <v>10KM OVERALL M</v>
      </c>
      <c r="E133" s="1">
        <f>IFERROR(__xludf.DUMMYFUNCTION("""COMPUTED_VALUE"""),110.0)</f>
        <v>110</v>
      </c>
      <c r="F133" s="1" t="str">
        <f>IFERROR(__xludf.DUMMYFUNCTION("""COMPUTED_VALUE"""),"Male")</f>
        <v>Male</v>
      </c>
      <c r="G133" s="5">
        <f>IFERROR(__xludf.DUMMYFUNCTION("""COMPUTED_VALUE"""),0.004046679398148148)</f>
        <v>0.004046679398</v>
      </c>
      <c r="H133" s="14">
        <f>IFERROR(__xludf.DUMMYFUNCTION("""COMPUTED_VALUE"""),0.24646185185185185)</f>
        <v>0.2464618519</v>
      </c>
      <c r="I133" s="15">
        <f>IFERROR(__xludf.DUMMYFUNCTION("""COMPUTED_VALUE"""),45949.28692864968)</f>
        <v>45949.28693</v>
      </c>
      <c r="J133" s="15">
        <f>IFERROR(__xludf.DUMMYFUNCTION("""COMPUTED_VALUE"""),45949.04046679783)</f>
        <v>45949.04047</v>
      </c>
      <c r="K133" s="15">
        <f>IFERROR(__xludf.DUMMYFUNCTION("""COMPUTED_VALUE"""),45949.25431148528)</f>
        <v>45949.25431</v>
      </c>
      <c r="L133" s="15">
        <f>IFERROR(__xludf.DUMMYFUNCTION("""COMPUTED_VALUE"""),45949.2790059422)</f>
        <v>45949.27901</v>
      </c>
    </row>
    <row r="134">
      <c r="A134" s="1">
        <f>IFERROR(__xludf.DUMMYFUNCTION("""COMPUTED_VALUE"""),133.0)</f>
        <v>133</v>
      </c>
      <c r="B134" s="1">
        <f>IFERROR(__xludf.DUMMYFUNCTION("""COMPUTED_VALUE"""),10048.0)</f>
        <v>10048</v>
      </c>
      <c r="C134" s="13" t="str">
        <f>IFERROR(__xludf.DUMMYFUNCTION("""COMPUTED_VALUE"""),"RICKY")</f>
        <v>RICKY</v>
      </c>
      <c r="D134" s="2" t="str">
        <f>IFERROR(__xludf.DUMMYFUNCTION("""COMPUTED_VALUE"""),"10KM OVERALL M")</f>
        <v>10KM OVERALL M</v>
      </c>
      <c r="E134" s="1">
        <f>IFERROR(__xludf.DUMMYFUNCTION("""COMPUTED_VALUE"""),111.0)</f>
        <v>111</v>
      </c>
      <c r="F134" s="1" t="str">
        <f>IFERROR(__xludf.DUMMYFUNCTION("""COMPUTED_VALUE"""),"Male")</f>
        <v>Male</v>
      </c>
      <c r="G134" s="5">
        <f>IFERROR(__xludf.DUMMYFUNCTION("""COMPUTED_VALUE"""),0.004049111111111111)</f>
        <v>0.004049111111</v>
      </c>
      <c r="H134" s="14">
        <f>IFERROR(__xludf.DUMMYFUNCTION("""COMPUTED_VALUE"""),0.24646185185185185)</f>
        <v>0.2464618519</v>
      </c>
      <c r="I134" s="15">
        <f>IFERROR(__xludf.DUMMYFUNCTION("""COMPUTED_VALUE"""),45949.286952967544)</f>
        <v>45949.28695</v>
      </c>
      <c r="J134" s="15">
        <f>IFERROR(__xludf.DUMMYFUNCTION("""COMPUTED_VALUE"""),45949.040491115695)</f>
        <v>45949.04049</v>
      </c>
      <c r="K134" s="15">
        <f>IFERROR(__xludf.DUMMYFUNCTION("""COMPUTED_VALUE"""),45949.25625240173)</f>
        <v>45949.25625</v>
      </c>
      <c r="L134" s="15">
        <f>IFERROR(__xludf.DUMMYFUNCTION("""COMPUTED_VALUE"""),45949.28000935547)</f>
        <v>45949.28001</v>
      </c>
    </row>
    <row r="135">
      <c r="A135" s="1">
        <f>IFERROR(__xludf.DUMMYFUNCTION("""COMPUTED_VALUE"""),134.0)</f>
        <v>134</v>
      </c>
      <c r="B135" s="1">
        <f>IFERROR(__xludf.DUMMYFUNCTION("""COMPUTED_VALUE"""),10043.0)</f>
        <v>10043</v>
      </c>
      <c r="C135" s="13" t="str">
        <f>IFERROR(__xludf.DUMMYFUNCTION("""COMPUTED_VALUE"""),"Shah Reza")</f>
        <v>Shah Reza</v>
      </c>
      <c r="D135" s="2" t="str">
        <f>IFERROR(__xludf.DUMMYFUNCTION("""COMPUTED_VALUE"""),"10KM OVERALL M")</f>
        <v>10KM OVERALL M</v>
      </c>
      <c r="E135" s="1">
        <f>IFERROR(__xludf.DUMMYFUNCTION("""COMPUTED_VALUE"""),112.0)</f>
        <v>112</v>
      </c>
      <c r="F135" s="1" t="str">
        <f>IFERROR(__xludf.DUMMYFUNCTION("""COMPUTED_VALUE"""),"Male")</f>
        <v>Male</v>
      </c>
      <c r="G135" s="5">
        <f>IFERROR(__xludf.DUMMYFUNCTION("""COMPUTED_VALUE"""),0.00405466550925926)</f>
        <v>0.004054665509</v>
      </c>
      <c r="H135" s="14">
        <f>IFERROR(__xludf.DUMMYFUNCTION("""COMPUTED_VALUE"""),0.24646185185185185)</f>
        <v>0.2464618519</v>
      </c>
      <c r="I135" s="15">
        <f>IFERROR(__xludf.DUMMYFUNCTION("""COMPUTED_VALUE"""),45949.28700850452)</f>
        <v>45949.28701</v>
      </c>
      <c r="J135" s="15">
        <f>IFERROR(__xludf.DUMMYFUNCTION("""COMPUTED_VALUE"""),45949.04054665267)</f>
        <v>45949.04055</v>
      </c>
      <c r="K135" s="15">
        <f>IFERROR(__xludf.DUMMYFUNCTION("""COMPUTED_VALUE"""),45949.25546071619)</f>
        <v>45949.25546</v>
      </c>
      <c r="L135" s="15">
        <f>IFERROR(__xludf.DUMMYFUNCTION("""COMPUTED_VALUE"""),45949.2796482397)</f>
        <v>45949.27965</v>
      </c>
    </row>
    <row r="136">
      <c r="A136" s="1">
        <f>IFERROR(__xludf.DUMMYFUNCTION("""COMPUTED_VALUE"""),135.0)</f>
        <v>135</v>
      </c>
      <c r="B136" s="1">
        <f>IFERROR(__xludf.DUMMYFUNCTION("""COMPUTED_VALUE"""),12069.0)</f>
        <v>12069</v>
      </c>
      <c r="C136" s="13" t="str">
        <f>IFERROR(__xludf.DUMMYFUNCTION("""COMPUTED_VALUE"""),"Simon WM")</f>
        <v>Simon WM</v>
      </c>
      <c r="D136" s="2" t="str">
        <f>IFERROR(__xludf.DUMMYFUNCTION("""COMPUTED_VALUE"""),"10KM MASTER M")</f>
        <v>10KM MASTER M</v>
      </c>
      <c r="E136" s="1">
        <f>IFERROR(__xludf.DUMMYFUNCTION("""COMPUTED_VALUE"""),15.0)</f>
        <v>15</v>
      </c>
      <c r="F136" s="1" t="str">
        <f>IFERROR(__xludf.DUMMYFUNCTION("""COMPUTED_VALUE"""),"Male")</f>
        <v>Male</v>
      </c>
      <c r="G136" s="5">
        <f>IFERROR(__xludf.DUMMYFUNCTION("""COMPUTED_VALUE"""),0.004058137731481481)</f>
        <v>0.004058137731</v>
      </c>
      <c r="H136" s="14">
        <f>IFERROR(__xludf.DUMMYFUNCTION("""COMPUTED_VALUE"""),0.24646185185185185)</f>
        <v>0.2464618519</v>
      </c>
      <c r="I136" s="15">
        <f>IFERROR(__xludf.DUMMYFUNCTION("""COMPUTED_VALUE"""),45949.28704322547)</f>
        <v>45949.28704</v>
      </c>
      <c r="J136" s="15">
        <f>IFERROR(__xludf.DUMMYFUNCTION("""COMPUTED_VALUE"""),45949.04058137362)</f>
        <v>45949.04058</v>
      </c>
      <c r="K136" s="15">
        <f>IFERROR(__xludf.DUMMYFUNCTION("""COMPUTED_VALUE"""),45949.25584265585)</f>
        <v>45949.25584</v>
      </c>
      <c r="L136" s="15">
        <f>IFERROR(__xludf.DUMMYFUNCTION("""COMPUTED_VALUE"""),45949.280040620666)</f>
        <v>45949.28004</v>
      </c>
    </row>
    <row r="137">
      <c r="A137" s="1">
        <f>IFERROR(__xludf.DUMMYFUNCTION("""COMPUTED_VALUE"""),136.0)</f>
        <v>136</v>
      </c>
      <c r="B137" s="1">
        <f>IFERROR(__xludf.DUMMYFUNCTION("""COMPUTED_VALUE"""),10224.0)</f>
        <v>10224</v>
      </c>
      <c r="C137" s="13" t="str">
        <f>IFERROR(__xludf.DUMMYFUNCTION("""COMPUTED_VALUE"""),"IYAN")</f>
        <v>IYAN</v>
      </c>
      <c r="D137" s="2" t="str">
        <f>IFERROR(__xludf.DUMMYFUNCTION("""COMPUTED_VALUE"""),"10KM OVERALL M")</f>
        <v>10KM OVERALL M</v>
      </c>
      <c r="E137" s="1">
        <f>IFERROR(__xludf.DUMMYFUNCTION("""COMPUTED_VALUE"""),113.0)</f>
        <v>113</v>
      </c>
      <c r="F137" s="1" t="str">
        <f>IFERROR(__xludf.DUMMYFUNCTION("""COMPUTED_VALUE"""),"Male")</f>
        <v>Male</v>
      </c>
      <c r="G137" s="5">
        <f>IFERROR(__xludf.DUMMYFUNCTION("""COMPUTED_VALUE"""),0.004059875)</f>
        <v>0.004059875</v>
      </c>
      <c r="H137" s="14">
        <f>IFERROR(__xludf.DUMMYFUNCTION("""COMPUTED_VALUE"""),0.24646185185185185)</f>
        <v>0.2464618519</v>
      </c>
      <c r="I137" s="15">
        <f>IFERROR(__xludf.DUMMYFUNCTION("""COMPUTED_VALUE"""),45949.28706060505)</f>
        <v>45949.28706</v>
      </c>
      <c r="J137" s="15">
        <f>IFERROR(__xludf.DUMMYFUNCTION("""COMPUTED_VALUE"""),45949.0405987532)</f>
        <v>45949.0406</v>
      </c>
      <c r="K137" s="15">
        <f>IFERROR(__xludf.DUMMYFUNCTION("""COMPUTED_VALUE"""),45949.255179467895)</f>
        <v>45949.25518</v>
      </c>
      <c r="L137" s="15">
        <f>IFERROR(__xludf.DUMMYFUNCTION("""COMPUTED_VALUE"""),45949.279721187006)</f>
        <v>45949.27972</v>
      </c>
    </row>
    <row r="138">
      <c r="A138" s="1">
        <f>IFERROR(__xludf.DUMMYFUNCTION("""COMPUTED_VALUE"""),137.0)</f>
        <v>137</v>
      </c>
      <c r="B138" s="1">
        <f>IFERROR(__xludf.DUMMYFUNCTION("""COMPUTED_VALUE"""),10348.0)</f>
        <v>10348</v>
      </c>
      <c r="C138" s="13" t="str">
        <f>IFERROR(__xludf.DUMMYFUNCTION("""COMPUTED_VALUE"""),"ALDY")</f>
        <v>ALDY</v>
      </c>
      <c r="D138" s="2" t="str">
        <f>IFERROR(__xludf.DUMMYFUNCTION("""COMPUTED_VALUE"""),"10KM OVERALL M")</f>
        <v>10KM OVERALL M</v>
      </c>
      <c r="E138" s="1">
        <f>IFERROR(__xludf.DUMMYFUNCTION("""COMPUTED_VALUE"""),114.0)</f>
        <v>114</v>
      </c>
      <c r="F138" s="1" t="str">
        <f>IFERROR(__xludf.DUMMYFUNCTION("""COMPUTED_VALUE"""),"Male")</f>
        <v>Male</v>
      </c>
      <c r="G138" s="5">
        <f>IFERROR(__xludf.DUMMYFUNCTION("""COMPUTED_VALUE"""),0.004070249999999999)</f>
        <v>0.00407025</v>
      </c>
      <c r="H138" s="14">
        <f>IFERROR(__xludf.DUMMYFUNCTION("""COMPUTED_VALUE"""),0.24646185185185185)</f>
        <v>0.2464618519</v>
      </c>
      <c r="I138" s="15">
        <f>IFERROR(__xludf.DUMMYFUNCTION("""COMPUTED_VALUE"""),45949.28716435185)</f>
        <v>45949.28716</v>
      </c>
      <c r="J138" s="15">
        <f>IFERROR(__xludf.DUMMYFUNCTION("""COMPUTED_VALUE"""),45949.0407025)</f>
        <v>45949.0407</v>
      </c>
      <c r="K138" s="15">
        <f>IFERROR(__xludf.DUMMYFUNCTION("""COMPUTED_VALUE"""),45949.25522546775)</f>
        <v>45949.25523</v>
      </c>
      <c r="L138" s="15">
        <f>IFERROR(__xludf.DUMMYFUNCTION("""COMPUTED_VALUE"""),45949.279394772384)</f>
        <v>45949.27939</v>
      </c>
    </row>
    <row r="139">
      <c r="A139" s="1">
        <f>IFERROR(__xludf.DUMMYFUNCTION("""COMPUTED_VALUE"""),138.0)</f>
        <v>138</v>
      </c>
      <c r="B139" s="1">
        <f>IFERROR(__xludf.DUMMYFUNCTION("""COMPUTED_VALUE"""),10363.0)</f>
        <v>10363</v>
      </c>
      <c r="C139" s="13" t="str">
        <f>IFERROR(__xludf.DUMMYFUNCTION("""COMPUTED_VALUE"""),"Andriw")</f>
        <v>Andriw</v>
      </c>
      <c r="D139" s="2" t="str">
        <f>IFERROR(__xludf.DUMMYFUNCTION("""COMPUTED_VALUE"""),"10KM OVERALL M")</f>
        <v>10KM OVERALL M</v>
      </c>
      <c r="E139" s="1">
        <f>IFERROR(__xludf.DUMMYFUNCTION("""COMPUTED_VALUE"""),115.0)</f>
        <v>115</v>
      </c>
      <c r="F139" s="1" t="str">
        <f>IFERROR(__xludf.DUMMYFUNCTION("""COMPUTED_VALUE"""),"Male")</f>
        <v>Male</v>
      </c>
      <c r="G139" s="5">
        <f>IFERROR(__xludf.DUMMYFUNCTION("""COMPUTED_VALUE"""),0.00407827662037037)</f>
        <v>0.00407827662</v>
      </c>
      <c r="H139" s="14">
        <f>IFERROR(__xludf.DUMMYFUNCTION("""COMPUTED_VALUE"""),0.24646185185185185)</f>
        <v>0.2464618519</v>
      </c>
      <c r="I139" s="15">
        <f>IFERROR(__xludf.DUMMYFUNCTION("""COMPUTED_VALUE"""),45949.28724461478)</f>
        <v>45949.28724</v>
      </c>
      <c r="J139" s="15">
        <f>IFERROR(__xludf.DUMMYFUNCTION("""COMPUTED_VALUE"""),45949.04078276293)</f>
        <v>45949.04078</v>
      </c>
      <c r="K139" s="15">
        <f>IFERROR(__xludf.DUMMYFUNCTION("""COMPUTED_VALUE"""),45949.25480116043)</f>
        <v>45949.2548</v>
      </c>
      <c r="L139" s="15">
        <f>IFERROR(__xludf.DUMMYFUNCTION("""COMPUTED_VALUE"""),45949.28023505481)</f>
        <v>45949.28024</v>
      </c>
    </row>
    <row r="140">
      <c r="A140" s="1">
        <f>IFERROR(__xludf.DUMMYFUNCTION("""COMPUTED_VALUE"""),139.0)</f>
        <v>139</v>
      </c>
      <c r="B140" s="1">
        <f>IFERROR(__xludf.DUMMYFUNCTION("""COMPUTED_VALUE"""),10639.0)</f>
        <v>10639</v>
      </c>
      <c r="C140" s="13" t="str">
        <f>IFERROR(__xludf.DUMMYFUNCTION("""COMPUTED_VALUE"""),"ndaru")</f>
        <v>ndaru</v>
      </c>
      <c r="D140" s="2" t="str">
        <f>IFERROR(__xludf.DUMMYFUNCTION("""COMPUTED_VALUE"""),"10KM OVERALL M")</f>
        <v>10KM OVERALL M</v>
      </c>
      <c r="E140" s="1">
        <f>IFERROR(__xludf.DUMMYFUNCTION("""COMPUTED_VALUE"""),116.0)</f>
        <v>116</v>
      </c>
      <c r="F140" s="1" t="str">
        <f>IFERROR(__xludf.DUMMYFUNCTION("""COMPUTED_VALUE"""),"Male")</f>
        <v>Male</v>
      </c>
      <c r="G140" s="5">
        <f>IFERROR(__xludf.DUMMYFUNCTION("""COMPUTED_VALUE"""),0.004080013888888889)</f>
        <v>0.004080013889</v>
      </c>
      <c r="H140" s="14">
        <f>IFERROR(__xludf.DUMMYFUNCTION("""COMPUTED_VALUE"""),0.24646185185185185)</f>
        <v>0.2464618519</v>
      </c>
      <c r="I140" s="15">
        <f>IFERROR(__xludf.DUMMYFUNCTION("""COMPUTED_VALUE"""),45949.287261993755)</f>
        <v>45949.28726</v>
      </c>
      <c r="J140" s="15">
        <f>IFERROR(__xludf.DUMMYFUNCTION("""COMPUTED_VALUE"""),45949.040800141905)</f>
        <v>45949.0408</v>
      </c>
      <c r="K140" s="15">
        <f>IFERROR(__xludf.DUMMYFUNCTION("""COMPUTED_VALUE"""),45949.255801014806)</f>
        <v>45949.2558</v>
      </c>
      <c r="L140" s="15">
        <f>IFERROR(__xludf.DUMMYFUNCTION("""COMPUTED_VALUE"""),45949.28024281786)</f>
        <v>45949.28024</v>
      </c>
    </row>
    <row r="141">
      <c r="A141" s="1">
        <f>IFERROR(__xludf.DUMMYFUNCTION("""COMPUTED_VALUE"""),140.0)</f>
        <v>140</v>
      </c>
      <c r="B141" s="1">
        <f>IFERROR(__xludf.DUMMYFUNCTION("""COMPUTED_VALUE"""),10115.0)</f>
        <v>10115</v>
      </c>
      <c r="C141" s="13" t="str">
        <f>IFERROR(__xludf.DUMMYFUNCTION("""COMPUTED_VALUE"""),"Rudy Harmawan")</f>
        <v>Rudy Harmawan</v>
      </c>
      <c r="D141" s="2" t="str">
        <f>IFERROR(__xludf.DUMMYFUNCTION("""COMPUTED_VALUE"""),"10KM OVERALL M")</f>
        <v>10KM OVERALL M</v>
      </c>
      <c r="E141" s="1">
        <f>IFERROR(__xludf.DUMMYFUNCTION("""COMPUTED_VALUE"""),117.0)</f>
        <v>117</v>
      </c>
      <c r="F141" s="1" t="str">
        <f>IFERROR(__xludf.DUMMYFUNCTION("""COMPUTED_VALUE"""),"Male")</f>
        <v>Male</v>
      </c>
      <c r="G141" s="5">
        <f>IFERROR(__xludf.DUMMYFUNCTION("""COMPUTED_VALUE"""),0.0040862627314814815)</f>
        <v>0.004086262731</v>
      </c>
      <c r="H141" s="14">
        <f>IFERROR(__xludf.DUMMYFUNCTION("""COMPUTED_VALUE"""),0.24646185185185185)</f>
        <v>0.2464618519</v>
      </c>
      <c r="I141" s="15">
        <f>IFERROR(__xludf.DUMMYFUNCTION("""COMPUTED_VALUE"""),45949.28732448034)</f>
        <v>45949.28732</v>
      </c>
      <c r="J141" s="15">
        <f>IFERROR(__xludf.DUMMYFUNCTION("""COMPUTED_VALUE"""),45949.04086262849)</f>
        <v>45949.04086</v>
      </c>
      <c r="K141" s="15">
        <f>IFERROR(__xludf.DUMMYFUNCTION("""COMPUTED_VALUE"""),45949.25704059449)</f>
        <v>45949.25704</v>
      </c>
      <c r="L141" s="15">
        <f>IFERROR(__xludf.DUMMYFUNCTION("""COMPUTED_VALUE"""),45949.28064132194)</f>
        <v>45949.28064</v>
      </c>
    </row>
    <row r="142">
      <c r="A142" s="1">
        <f>IFERROR(__xludf.DUMMYFUNCTION("""COMPUTED_VALUE"""),141.0)</f>
        <v>141</v>
      </c>
      <c r="B142" s="1">
        <f>IFERROR(__xludf.DUMMYFUNCTION("""COMPUTED_VALUE"""),10611.0)</f>
        <v>10611</v>
      </c>
      <c r="C142" s="13" t="str">
        <f>IFERROR(__xludf.DUMMYFUNCTION("""COMPUTED_VALUE"""),"ZhÃ¶u Ichsan")</f>
        <v>ZhÃ¶u Ichsan</v>
      </c>
      <c r="D142" s="2" t="str">
        <f>IFERROR(__xludf.DUMMYFUNCTION("""COMPUTED_VALUE"""),"10KM OVERALL M")</f>
        <v>10KM OVERALL M</v>
      </c>
      <c r="E142" s="1">
        <f>IFERROR(__xludf.DUMMYFUNCTION("""COMPUTED_VALUE"""),118.0)</f>
        <v>118</v>
      </c>
      <c r="F142" s="1" t="str">
        <f>IFERROR(__xludf.DUMMYFUNCTION("""COMPUTED_VALUE"""),"Male")</f>
        <v>Male</v>
      </c>
      <c r="G142" s="5">
        <f>IFERROR(__xludf.DUMMYFUNCTION("""COMPUTED_VALUE"""),0.004087298611111111)</f>
        <v>0.004087298611</v>
      </c>
      <c r="H142" s="14">
        <f>IFERROR(__xludf.DUMMYFUNCTION("""COMPUTED_VALUE"""),0.24646185185185185)</f>
        <v>0.2464618519</v>
      </c>
      <c r="I142" s="15">
        <f>IFERROR(__xludf.DUMMYFUNCTION("""COMPUTED_VALUE"""),45949.287334839544)</f>
        <v>45949.28733</v>
      </c>
      <c r="J142" s="15">
        <f>IFERROR(__xludf.DUMMYFUNCTION("""COMPUTED_VALUE"""),45949.040872987694)</f>
        <v>45949.04087</v>
      </c>
      <c r="K142" s="15">
        <f>IFERROR(__xludf.DUMMYFUNCTION("""COMPUTED_VALUE"""),45949.256169057495)</f>
        <v>45949.25617</v>
      </c>
      <c r="L142" s="15">
        <f>IFERROR(__xludf.DUMMYFUNCTION("""COMPUTED_VALUE"""),45949.28042257713)</f>
        <v>45949.28042</v>
      </c>
    </row>
    <row r="143">
      <c r="A143" s="1">
        <f>IFERROR(__xludf.DUMMYFUNCTION("""COMPUTED_VALUE"""),142.0)</f>
        <v>142</v>
      </c>
      <c r="B143" s="1">
        <f>IFERROR(__xludf.DUMMYFUNCTION("""COMPUTED_VALUE"""),10009.0)</f>
        <v>10009</v>
      </c>
      <c r="C143" s="13" t="str">
        <f>IFERROR(__xludf.DUMMYFUNCTION("""COMPUTED_VALUE"""),"HASBI")</f>
        <v>HASBI</v>
      </c>
      <c r="D143" s="2" t="str">
        <f>IFERROR(__xludf.DUMMYFUNCTION("""COMPUTED_VALUE"""),"10KM OVERALL M")</f>
        <v>10KM OVERALL M</v>
      </c>
      <c r="E143" s="1">
        <f>IFERROR(__xludf.DUMMYFUNCTION("""COMPUTED_VALUE"""),119.0)</f>
        <v>119</v>
      </c>
      <c r="F143" s="1" t="str">
        <f>IFERROR(__xludf.DUMMYFUNCTION("""COMPUTED_VALUE"""),"Male")</f>
        <v>Male</v>
      </c>
      <c r="G143" s="5">
        <f>IFERROR(__xludf.DUMMYFUNCTION("""COMPUTED_VALUE"""),0.004089741898148148)</f>
        <v>0.004089741898</v>
      </c>
      <c r="H143" s="14">
        <f>IFERROR(__xludf.DUMMYFUNCTION("""COMPUTED_VALUE"""),0.24646185185185185)</f>
        <v>0.2464618519</v>
      </c>
      <c r="I143" s="15">
        <f>IFERROR(__xludf.DUMMYFUNCTION("""COMPUTED_VALUE"""),45949.28735926934)</f>
        <v>45949.28736</v>
      </c>
      <c r="J143" s="15">
        <f>IFERROR(__xludf.DUMMYFUNCTION("""COMPUTED_VALUE"""),45949.04089741749)</f>
        <v>45949.0409</v>
      </c>
      <c r="K143" s="15">
        <f>IFERROR(__xludf.DUMMYFUNCTION("""COMPUTED_VALUE"""),45949.25558224395)</f>
        <v>45949.25558</v>
      </c>
      <c r="L143" s="15">
        <f>IFERROR(__xludf.DUMMYFUNCTION("""COMPUTED_VALUE"""),45949.279797963805)</f>
        <v>45949.2798</v>
      </c>
    </row>
    <row r="144">
      <c r="A144" s="1">
        <f>IFERROR(__xludf.DUMMYFUNCTION("""COMPUTED_VALUE"""),143.0)</f>
        <v>143</v>
      </c>
      <c r="B144" s="1">
        <f>IFERROR(__xludf.DUMMYFUNCTION("""COMPUTED_VALUE"""),10764.0)</f>
        <v>10764</v>
      </c>
      <c r="C144" s="13" t="str">
        <f>IFERROR(__xludf.DUMMYFUNCTION("""COMPUTED_VALUE"""),"JALE")</f>
        <v>JALE</v>
      </c>
      <c r="D144" s="2" t="str">
        <f>IFERROR(__xludf.DUMMYFUNCTION("""COMPUTED_VALUE"""),"10KM OVERALL M")</f>
        <v>10KM OVERALL M</v>
      </c>
      <c r="E144" s="1">
        <f>IFERROR(__xludf.DUMMYFUNCTION("""COMPUTED_VALUE"""),120.0)</f>
        <v>120</v>
      </c>
      <c r="F144" s="1" t="str">
        <f>IFERROR(__xludf.DUMMYFUNCTION("""COMPUTED_VALUE"""),"Female")</f>
        <v>Female</v>
      </c>
      <c r="G144" s="5">
        <f>IFERROR(__xludf.DUMMYFUNCTION("""COMPUTED_VALUE"""),0.0040928599537037045)</f>
        <v>0.004092859954</v>
      </c>
      <c r="H144" s="14">
        <f>IFERROR(__xludf.DUMMYFUNCTION("""COMPUTED_VALUE"""),0.24646185185185185)</f>
        <v>0.2464618519</v>
      </c>
      <c r="I144" s="15">
        <f>IFERROR(__xludf.DUMMYFUNCTION("""COMPUTED_VALUE"""),45949.28739044957)</f>
        <v>45949.28739</v>
      </c>
      <c r="J144" s="15">
        <f>IFERROR(__xludf.DUMMYFUNCTION("""COMPUTED_VALUE"""),45949.04092859772)</f>
        <v>45949.04093</v>
      </c>
      <c r="K144" s="15">
        <f>IFERROR(__xludf.DUMMYFUNCTION("""COMPUTED_VALUE"""),45949.25525933263)</f>
        <v>45949.25526</v>
      </c>
      <c r="L144" s="15">
        <f>IFERROR(__xludf.DUMMYFUNCTION("""COMPUTED_VALUE"""),45949.279814931986)</f>
        <v>45949.27981</v>
      </c>
    </row>
    <row r="145">
      <c r="A145" s="1">
        <f>IFERROR(__xludf.DUMMYFUNCTION("""COMPUTED_VALUE"""),144.0)</f>
        <v>144</v>
      </c>
      <c r="B145" s="1">
        <f>IFERROR(__xludf.DUMMYFUNCTION("""COMPUTED_VALUE"""),10003.0)</f>
        <v>10003</v>
      </c>
      <c r="C145" s="13" t="str">
        <f>IFERROR(__xludf.DUMMYFUNCTION("""COMPUTED_VALUE"""),"amnndn")</f>
        <v>amnndn</v>
      </c>
      <c r="D145" s="2" t="str">
        <f>IFERROR(__xludf.DUMMYFUNCTION("""COMPUTED_VALUE"""),"10KM OVERALL M")</f>
        <v>10KM OVERALL M</v>
      </c>
      <c r="E145" s="1">
        <f>IFERROR(__xludf.DUMMYFUNCTION("""COMPUTED_VALUE"""),121.0)</f>
        <v>121</v>
      </c>
      <c r="F145" s="1" t="str">
        <f>IFERROR(__xludf.DUMMYFUNCTION("""COMPUTED_VALUE"""),"Male")</f>
        <v>Male</v>
      </c>
      <c r="G145" s="5">
        <f>IFERROR(__xludf.DUMMYFUNCTION("""COMPUTED_VALUE"""),0.004093554398148148)</f>
        <v>0.004093554398</v>
      </c>
      <c r="H145" s="14">
        <f>IFERROR(__xludf.DUMMYFUNCTION("""COMPUTED_VALUE"""),0.24646185185185185)</f>
        <v>0.2464618519</v>
      </c>
      <c r="I145" s="15">
        <f>IFERROR(__xludf.DUMMYFUNCTION("""COMPUTED_VALUE"""),45949.287397398475)</f>
        <v>45949.2874</v>
      </c>
      <c r="J145" s="15">
        <f>IFERROR(__xludf.DUMMYFUNCTION("""COMPUTED_VALUE"""),45949.040935546625)</f>
        <v>45949.04094</v>
      </c>
      <c r="K145" s="15">
        <f>IFERROR(__xludf.DUMMYFUNCTION("""COMPUTED_VALUE"""),45949.255745528906)</f>
        <v>45949.25575</v>
      </c>
      <c r="L145" s="15">
        <f>IFERROR(__xludf.DUMMYFUNCTION("""COMPUTED_VALUE"""),45949.280248944575)</f>
        <v>45949.28025</v>
      </c>
    </row>
    <row r="146">
      <c r="A146" s="1">
        <f>IFERROR(__xludf.DUMMYFUNCTION("""COMPUTED_VALUE"""),145.0)</f>
        <v>145</v>
      </c>
      <c r="B146" s="1">
        <f>IFERROR(__xludf.DUMMYFUNCTION("""COMPUTED_VALUE"""),10419.0)</f>
        <v>10419</v>
      </c>
      <c r="C146" s="13" t="str">
        <f>IFERROR(__xludf.DUMMYFUNCTION("""COMPUTED_VALUE"""),"LUFI")</f>
        <v>LUFI</v>
      </c>
      <c r="D146" s="2" t="str">
        <f>IFERROR(__xludf.DUMMYFUNCTION("""COMPUTED_VALUE"""),"10KM OVERALL M")</f>
        <v>10KM OVERALL M</v>
      </c>
      <c r="E146" s="1">
        <f>IFERROR(__xludf.DUMMYFUNCTION("""COMPUTED_VALUE"""),122.0)</f>
        <v>122</v>
      </c>
      <c r="F146" s="1" t="str">
        <f>IFERROR(__xludf.DUMMYFUNCTION("""COMPUTED_VALUE"""),"Male")</f>
        <v>Male</v>
      </c>
      <c r="G146" s="5">
        <f>IFERROR(__xludf.DUMMYFUNCTION("""COMPUTED_VALUE"""),0.004100846064814815)</f>
        <v>0.004100846065</v>
      </c>
      <c r="H146" s="14">
        <f>IFERROR(__xludf.DUMMYFUNCTION("""COMPUTED_VALUE"""),0.24646185185185185)</f>
        <v>0.2464618519</v>
      </c>
      <c r="I146" s="15">
        <f>IFERROR(__xludf.DUMMYFUNCTION("""COMPUTED_VALUE"""),45949.2874703143)</f>
        <v>45949.28747</v>
      </c>
      <c r="J146" s="15">
        <f>IFERROR(__xludf.DUMMYFUNCTION("""COMPUTED_VALUE"""),45949.04100846245)</f>
        <v>45949.04101</v>
      </c>
      <c r="K146" s="15">
        <f>IFERROR(__xludf.DUMMYFUNCTION("""COMPUTED_VALUE"""),45949.25682187822)</f>
        <v>45949.25682</v>
      </c>
      <c r="L146" s="15">
        <f>IFERROR(__xludf.DUMMYFUNCTION("""COMPUTED_VALUE"""),45949.28078714868)</f>
        <v>45949.28079</v>
      </c>
    </row>
    <row r="147">
      <c r="A147" s="1">
        <f>IFERROR(__xludf.DUMMYFUNCTION("""COMPUTED_VALUE"""),146.0)</f>
        <v>146</v>
      </c>
      <c r="B147" s="1">
        <f>IFERROR(__xludf.DUMMYFUNCTION("""COMPUTED_VALUE"""),10024.0)</f>
        <v>10024</v>
      </c>
      <c r="C147" s="13" t="str">
        <f>IFERROR(__xludf.DUMMYFUNCTION("""COMPUTED_VALUE"""),"Fadil")</f>
        <v>Fadil</v>
      </c>
      <c r="D147" s="2" t="str">
        <f>IFERROR(__xludf.DUMMYFUNCTION("""COMPUTED_VALUE"""),"10KM OVERALL M")</f>
        <v>10KM OVERALL M</v>
      </c>
      <c r="E147" s="1">
        <f>IFERROR(__xludf.DUMMYFUNCTION("""COMPUTED_VALUE"""),123.0)</f>
        <v>123</v>
      </c>
      <c r="F147" s="1" t="str">
        <f>IFERROR(__xludf.DUMMYFUNCTION("""COMPUTED_VALUE"""),"Male")</f>
        <v>Male</v>
      </c>
      <c r="G147" s="5">
        <f>IFERROR(__xludf.DUMMYFUNCTION("""COMPUTED_VALUE"""),0.004110570601851852)</f>
        <v>0.004110570602</v>
      </c>
      <c r="H147" s="14">
        <f>IFERROR(__xludf.DUMMYFUNCTION("""COMPUTED_VALUE"""),0.24646185185185185)</f>
        <v>0.2464618519</v>
      </c>
      <c r="I147" s="15">
        <f>IFERROR(__xludf.DUMMYFUNCTION("""COMPUTED_VALUE"""),45949.287567556086)</f>
        <v>45949.28757</v>
      </c>
      <c r="J147" s="15">
        <f>IFERROR(__xludf.DUMMYFUNCTION("""COMPUTED_VALUE"""),45949.04110570424)</f>
        <v>45949.04111</v>
      </c>
      <c r="K147" s="15">
        <f>IFERROR(__xludf.DUMMYFUNCTION("""COMPUTED_VALUE"""),45949.255248973066)</f>
        <v>45949.25525</v>
      </c>
      <c r="L147" s="15">
        <f>IFERROR(__xludf.DUMMYFUNCTION("""COMPUTED_VALUE"""),45949.28036000594)</f>
        <v>45949.28036</v>
      </c>
    </row>
    <row r="148">
      <c r="A148" s="1">
        <f>IFERROR(__xludf.DUMMYFUNCTION("""COMPUTED_VALUE"""),147.0)</f>
        <v>147</v>
      </c>
      <c r="B148" s="1">
        <f>IFERROR(__xludf.DUMMYFUNCTION("""COMPUTED_VALUE"""),10339.0)</f>
        <v>10339</v>
      </c>
      <c r="C148" s="13" t="str">
        <f>IFERROR(__xludf.DUMMYFUNCTION("""COMPUTED_VALUE"""),"Bayu Setiyawan S")</f>
        <v>Bayu Setiyawan S</v>
      </c>
      <c r="D148" s="2" t="str">
        <f>IFERROR(__xludf.DUMMYFUNCTION("""COMPUTED_VALUE"""),"10KM OVERALL M")</f>
        <v>10KM OVERALL M</v>
      </c>
      <c r="E148" s="1">
        <f>IFERROR(__xludf.DUMMYFUNCTION("""COMPUTED_VALUE"""),124.0)</f>
        <v>124</v>
      </c>
      <c r="F148" s="1" t="str">
        <f>IFERROR(__xludf.DUMMYFUNCTION("""COMPUTED_VALUE"""),"Male")</f>
        <v>Male</v>
      </c>
      <c r="G148" s="5">
        <f>IFERROR(__xludf.DUMMYFUNCTION("""COMPUTED_VALUE"""),0.004116905092592592)</f>
        <v>0.004116905093</v>
      </c>
      <c r="H148" s="14">
        <f>IFERROR(__xludf.DUMMYFUNCTION("""COMPUTED_VALUE"""),0.24646185185185185)</f>
        <v>0.2464618519</v>
      </c>
      <c r="I148" s="15">
        <f>IFERROR(__xludf.DUMMYFUNCTION("""COMPUTED_VALUE"""),45949.287630899125)</f>
        <v>45949.28763</v>
      </c>
      <c r="J148" s="15">
        <f>IFERROR(__xludf.DUMMYFUNCTION("""COMPUTED_VALUE"""),45949.041169047276)</f>
        <v>45949.04117</v>
      </c>
      <c r="K148" s="15">
        <f>IFERROR(__xludf.DUMMYFUNCTION("""COMPUTED_VALUE"""),45949.256151750065)</f>
        <v>45949.25615</v>
      </c>
      <c r="L148" s="15">
        <f>IFERROR(__xludf.DUMMYFUNCTION("""COMPUTED_VALUE"""),45949.28064826682)</f>
        <v>45949.28065</v>
      </c>
    </row>
    <row r="149">
      <c r="A149" s="1">
        <f>IFERROR(__xludf.DUMMYFUNCTION("""COMPUTED_VALUE"""),148.0)</f>
        <v>148</v>
      </c>
      <c r="B149" s="1">
        <f>IFERROR(__xludf.DUMMYFUNCTION("""COMPUTED_VALUE"""),10127.0)</f>
        <v>10127</v>
      </c>
      <c r="C149" s="13" t="str">
        <f>IFERROR(__xludf.DUMMYFUNCTION("""COMPUTED_VALUE"""),"SAIPULLAH")</f>
        <v>SAIPULLAH</v>
      </c>
      <c r="D149" s="2" t="str">
        <f>IFERROR(__xludf.DUMMYFUNCTION("""COMPUTED_VALUE"""),"10KM OVERALL M")</f>
        <v>10KM OVERALL M</v>
      </c>
      <c r="E149" s="1">
        <f>IFERROR(__xludf.DUMMYFUNCTION("""COMPUTED_VALUE"""),125.0)</f>
        <v>125</v>
      </c>
      <c r="F149" s="1" t="str">
        <f>IFERROR(__xludf.DUMMYFUNCTION("""COMPUTED_VALUE"""),"Male")</f>
        <v>Male</v>
      </c>
      <c r="G149" s="5">
        <f>IFERROR(__xludf.DUMMYFUNCTION("""COMPUTED_VALUE"""),0.004127583333333333)</f>
        <v>0.004127583333</v>
      </c>
      <c r="H149" s="14">
        <f>IFERROR(__xludf.DUMMYFUNCTION("""COMPUTED_VALUE"""),0.24646185185185185)</f>
        <v>0.2464618519</v>
      </c>
      <c r="I149" s="15">
        <f>IFERROR(__xludf.DUMMYFUNCTION("""COMPUTED_VALUE"""),45949.287737688464)</f>
        <v>45949.28774</v>
      </c>
      <c r="J149" s="15">
        <f>IFERROR(__xludf.DUMMYFUNCTION("""COMPUTED_VALUE"""),45949.041275836615)</f>
        <v>45949.04128</v>
      </c>
      <c r="K149" s="15">
        <f>IFERROR(__xludf.DUMMYFUNCTION("""COMPUTED_VALUE"""),45949.25821424964)</f>
        <v>45949.25821</v>
      </c>
      <c r="L149" s="15">
        <f>IFERROR(__xludf.DUMMYFUNCTION("""COMPUTED_VALUE"""),45949.2815128338)</f>
        <v>45949.28151</v>
      </c>
    </row>
    <row r="150">
      <c r="A150" s="1">
        <f>IFERROR(__xludf.DUMMYFUNCTION("""COMPUTED_VALUE"""),149.0)</f>
        <v>149</v>
      </c>
      <c r="B150" s="1">
        <f>IFERROR(__xludf.DUMMYFUNCTION("""COMPUTED_VALUE"""),10060.0)</f>
        <v>10060</v>
      </c>
      <c r="C150" s="13" t="str">
        <f>IFERROR(__xludf.DUMMYFUNCTION("""COMPUTED_VALUE"""),"@ahmadrzal_")</f>
        <v>@ahmadrzal_</v>
      </c>
      <c r="D150" s="2" t="str">
        <f>IFERROR(__xludf.DUMMYFUNCTION("""COMPUTED_VALUE"""),"10KM OVERALL M")</f>
        <v>10KM OVERALL M</v>
      </c>
      <c r="E150" s="1">
        <f>IFERROR(__xludf.DUMMYFUNCTION("""COMPUTED_VALUE"""),126.0)</f>
        <v>126</v>
      </c>
      <c r="F150" s="1" t="str">
        <f>IFERROR(__xludf.DUMMYFUNCTION("""COMPUTED_VALUE"""),"Male")</f>
        <v>Male</v>
      </c>
      <c r="G150" s="5">
        <f>IFERROR(__xludf.DUMMYFUNCTION("""COMPUTED_VALUE"""),0.004128623842592593)</f>
        <v>0.004128623843</v>
      </c>
      <c r="H150" s="14">
        <f>IFERROR(__xludf.DUMMYFUNCTION("""COMPUTED_VALUE"""),0.24646185185185185)</f>
        <v>0.2464618519</v>
      </c>
      <c r="I150" s="15">
        <f>IFERROR(__xludf.DUMMYFUNCTION("""COMPUTED_VALUE"""),45949.2877480868)</f>
        <v>45949.28775</v>
      </c>
      <c r="J150" s="15">
        <f>IFERROR(__xludf.DUMMYFUNCTION("""COMPUTED_VALUE"""),45949.04128623495)</f>
        <v>45949.04129</v>
      </c>
      <c r="K150" s="15">
        <f>IFERROR(__xludf.DUMMYFUNCTION("""COMPUTED_VALUE"""),45949.25572575436)</f>
        <v>45949.25573</v>
      </c>
      <c r="L150" s="15">
        <f>IFERROR(__xludf.DUMMYFUNCTION("""COMPUTED_VALUE"""),45949.279978104925)</f>
        <v>45949.27998</v>
      </c>
    </row>
    <row r="151">
      <c r="A151" s="1">
        <f>IFERROR(__xludf.DUMMYFUNCTION("""COMPUTED_VALUE"""),150.0)</f>
        <v>150</v>
      </c>
      <c r="B151" s="1">
        <f>IFERROR(__xludf.DUMMYFUNCTION("""COMPUTED_VALUE"""),10030.0)</f>
        <v>10030</v>
      </c>
      <c r="C151" s="13" t="str">
        <f>IFERROR(__xludf.DUMMYFUNCTION("""COMPUTED_VALUE"""),"Syaifu.17")</f>
        <v>Syaifu.17</v>
      </c>
      <c r="D151" s="2" t="str">
        <f>IFERROR(__xludf.DUMMYFUNCTION("""COMPUTED_VALUE"""),"10KM OVERALL M")</f>
        <v>10KM OVERALL M</v>
      </c>
      <c r="E151" s="1">
        <f>IFERROR(__xludf.DUMMYFUNCTION("""COMPUTED_VALUE"""),127.0)</f>
        <v>127</v>
      </c>
      <c r="F151" s="1" t="str">
        <f>IFERROR(__xludf.DUMMYFUNCTION("""COMPUTED_VALUE"""),"Male")</f>
        <v>Male</v>
      </c>
      <c r="G151" s="5">
        <f>IFERROR(__xludf.DUMMYFUNCTION("""COMPUTED_VALUE"""),0.004132096064814814)</f>
        <v>0.004132096065</v>
      </c>
      <c r="H151" s="14">
        <f>IFERROR(__xludf.DUMMYFUNCTION("""COMPUTED_VALUE"""),0.24646185185185185)</f>
        <v>0.2464618519</v>
      </c>
      <c r="I151" s="15">
        <f>IFERROR(__xludf.DUMMYFUNCTION("""COMPUTED_VALUE"""),45949.287782818)</f>
        <v>45949.28778</v>
      </c>
      <c r="J151" s="15">
        <f>IFERROR(__xludf.DUMMYFUNCTION("""COMPUTED_VALUE"""),45949.04132096615)</f>
        <v>45949.04132</v>
      </c>
      <c r="K151" s="15">
        <f>IFERROR(__xludf.DUMMYFUNCTION("""COMPUTED_VALUE"""),45949.25583252692)</f>
        <v>45949.25583</v>
      </c>
      <c r="L151" s="15">
        <f>IFERROR(__xludf.DUMMYFUNCTION("""COMPUTED_VALUE"""),45949.28064131035)</f>
        <v>45949.28064</v>
      </c>
    </row>
    <row r="152">
      <c r="A152" s="1">
        <f>IFERROR(__xludf.DUMMYFUNCTION("""COMPUTED_VALUE"""),151.0)</f>
        <v>151</v>
      </c>
      <c r="B152" s="1">
        <f>IFERROR(__xludf.DUMMYFUNCTION("""COMPUTED_VALUE"""),12015.0)</f>
        <v>12015</v>
      </c>
      <c r="C152" s="13" t="str">
        <f>IFERROR(__xludf.DUMMYFUNCTION("""COMPUTED_VALUE"""),"Abdi Rfn")</f>
        <v>Abdi Rfn</v>
      </c>
      <c r="D152" s="2" t="str">
        <f>IFERROR(__xludf.DUMMYFUNCTION("""COMPUTED_VALUE"""),"10KM MASTER M")</f>
        <v>10KM MASTER M</v>
      </c>
      <c r="E152" s="1">
        <f>IFERROR(__xludf.DUMMYFUNCTION("""COMPUTED_VALUE"""),16.0)</f>
        <v>16</v>
      </c>
      <c r="F152" s="1" t="str">
        <f>IFERROR(__xludf.DUMMYFUNCTION("""COMPUTED_VALUE"""),"Male")</f>
        <v>Male</v>
      </c>
      <c r="G152" s="5">
        <f>IFERROR(__xludf.DUMMYFUNCTION("""COMPUTED_VALUE"""),0.004135221064814815)</f>
        <v>0.004135221065</v>
      </c>
      <c r="H152" s="14">
        <f>IFERROR(__xludf.DUMMYFUNCTION("""COMPUTED_VALUE"""),0.24646185185185185)</f>
        <v>0.2464618519</v>
      </c>
      <c r="I152" s="15">
        <f>IFERROR(__xludf.DUMMYFUNCTION("""COMPUTED_VALUE"""),45949.28781405833)</f>
        <v>45949.28781</v>
      </c>
      <c r="J152" s="15">
        <f>IFERROR(__xludf.DUMMYFUNCTION("""COMPUTED_VALUE"""),45949.04135220648)</f>
        <v>45949.04135</v>
      </c>
      <c r="K152" s="15">
        <f>IFERROR(__xludf.DUMMYFUNCTION("""COMPUTED_VALUE"""),45949.25651982172)</f>
        <v>45949.25652</v>
      </c>
      <c r="L152" s="15">
        <f>IFERROR(__xludf.DUMMYFUNCTION("""COMPUTED_VALUE"""),45949.280953826)</f>
        <v>45949.28095</v>
      </c>
    </row>
    <row r="153">
      <c r="A153" s="1">
        <f>IFERROR(__xludf.DUMMYFUNCTION("""COMPUTED_VALUE"""),152.0)</f>
        <v>152</v>
      </c>
      <c r="B153" s="1">
        <f>IFERROR(__xludf.DUMMYFUNCTION("""COMPUTED_VALUE"""),10641.0)</f>
        <v>10641</v>
      </c>
      <c r="C153" s="13" t="str">
        <f>IFERROR(__xludf.DUMMYFUNCTION("""COMPUTED_VALUE"""),"NASIBDLUS_S")</f>
        <v>NASIBDLUS_S</v>
      </c>
      <c r="D153" s="2" t="str">
        <f>IFERROR(__xludf.DUMMYFUNCTION("""COMPUTED_VALUE"""),"10KM OVERALL M")</f>
        <v>10KM OVERALL M</v>
      </c>
      <c r="E153" s="1">
        <f>IFERROR(__xludf.DUMMYFUNCTION("""COMPUTED_VALUE"""),128.0)</f>
        <v>128</v>
      </c>
      <c r="F153" s="1" t="str">
        <f>IFERROR(__xludf.DUMMYFUNCTION("""COMPUTED_VALUE"""),"Male")</f>
        <v>Male</v>
      </c>
      <c r="G153" s="5">
        <f>IFERROR(__xludf.DUMMYFUNCTION("""COMPUTED_VALUE"""),0.004136662037037038)</f>
        <v>0.004136662037</v>
      </c>
      <c r="H153" s="14">
        <f>IFERROR(__xludf.DUMMYFUNCTION("""COMPUTED_VALUE"""),0.24646185185185185)</f>
        <v>0.2464618519</v>
      </c>
      <c r="I153" s="15">
        <f>IFERROR(__xludf.DUMMYFUNCTION("""COMPUTED_VALUE"""),45949.287828471424)</f>
        <v>45949.28783</v>
      </c>
      <c r="J153" s="15">
        <f>IFERROR(__xludf.DUMMYFUNCTION("""COMPUTED_VALUE"""),45949.041366619575)</f>
        <v>45949.04137</v>
      </c>
      <c r="K153" s="15">
        <f>IFERROR(__xludf.DUMMYFUNCTION("""COMPUTED_VALUE"""),45949.25457182671)</f>
        <v>45949.25457</v>
      </c>
      <c r="L153" s="15">
        <f>IFERROR(__xludf.DUMMYFUNCTION("""COMPUTED_VALUE"""),45949.280044095074)</f>
        <v>45949.28004</v>
      </c>
    </row>
    <row r="154">
      <c r="A154" s="1">
        <f>IFERROR(__xludf.DUMMYFUNCTION("""COMPUTED_VALUE"""),153.0)</f>
        <v>153</v>
      </c>
      <c r="B154" s="1">
        <f>IFERROR(__xludf.DUMMYFUNCTION("""COMPUTED_VALUE"""),10170.0)</f>
        <v>10170</v>
      </c>
      <c r="C154" s="13" t="str">
        <f>IFERROR(__xludf.DUMMYFUNCTION("""COMPUTED_VALUE"""),"Yusdiana")</f>
        <v>Yusdiana</v>
      </c>
      <c r="D154" s="2" t="str">
        <f>IFERROR(__xludf.DUMMYFUNCTION("""COMPUTED_VALUE"""),"10KM OVERALL M")</f>
        <v>10KM OVERALL M</v>
      </c>
      <c r="E154" s="1">
        <f>IFERROR(__xludf.DUMMYFUNCTION("""COMPUTED_VALUE"""),129.0)</f>
        <v>129</v>
      </c>
      <c r="F154" s="1" t="str">
        <f>IFERROR(__xludf.DUMMYFUNCTION("""COMPUTED_VALUE"""),"Male")</f>
        <v>Male</v>
      </c>
      <c r="G154" s="5">
        <f>IFERROR(__xludf.DUMMYFUNCTION("""COMPUTED_VALUE"""),0.004151881944444444)</f>
        <v>0.004151881944</v>
      </c>
      <c r="H154" s="14">
        <f>IFERROR(__xludf.DUMMYFUNCTION("""COMPUTED_VALUE"""),0.24646185185185185)</f>
        <v>0.2464618519</v>
      </c>
      <c r="I154" s="15">
        <f>IFERROR(__xludf.DUMMYFUNCTION("""COMPUTED_VALUE"""),45949.287980672474)</f>
        <v>45949.28798</v>
      </c>
      <c r="J154" s="15">
        <f>IFERROR(__xludf.DUMMYFUNCTION("""COMPUTED_VALUE"""),45949.041518820624)</f>
        <v>45949.04152</v>
      </c>
      <c r="K154" s="15">
        <f>IFERROR(__xludf.DUMMYFUNCTION("""COMPUTED_VALUE"""),45949.25654058537)</f>
        <v>45949.25654</v>
      </c>
      <c r="L154" s="15">
        <f>IFERROR(__xludf.DUMMYFUNCTION("""COMPUTED_VALUE"""),45949.28065175156)</f>
        <v>45949.28065</v>
      </c>
    </row>
    <row r="155">
      <c r="A155" s="1">
        <f>IFERROR(__xludf.DUMMYFUNCTION("""COMPUTED_VALUE"""),154.0)</f>
        <v>154</v>
      </c>
      <c r="B155" s="1">
        <f>IFERROR(__xludf.DUMMYFUNCTION("""COMPUTED_VALUE"""),10280.0)</f>
        <v>10280</v>
      </c>
      <c r="C155" s="13" t="str">
        <f>IFERROR(__xludf.DUMMYFUNCTION("""COMPUTED_VALUE"""),"KHAIRIL AMAN")</f>
        <v>KHAIRIL AMAN</v>
      </c>
      <c r="D155" s="2" t="str">
        <f>IFERROR(__xludf.DUMMYFUNCTION("""COMPUTED_VALUE"""),"10KM OVERALL M")</f>
        <v>10KM OVERALL M</v>
      </c>
      <c r="E155" s="1">
        <f>IFERROR(__xludf.DUMMYFUNCTION("""COMPUTED_VALUE"""),130.0)</f>
        <v>130</v>
      </c>
      <c r="F155" s="1" t="str">
        <f>IFERROR(__xludf.DUMMYFUNCTION("""COMPUTED_VALUE"""),"Male")</f>
        <v>Male</v>
      </c>
      <c r="G155" s="5">
        <f>IFERROR(__xludf.DUMMYFUNCTION("""COMPUTED_VALUE"""),0.004152234953703704)</f>
        <v>0.004152234954</v>
      </c>
      <c r="H155" s="14">
        <f>IFERROR(__xludf.DUMMYFUNCTION("""COMPUTED_VALUE"""),0.24646185185185185)</f>
        <v>0.2464618519</v>
      </c>
      <c r="I155" s="15">
        <f>IFERROR(__xludf.DUMMYFUNCTION("""COMPUTED_VALUE"""),45949.28798420141)</f>
        <v>45949.28798</v>
      </c>
      <c r="J155" s="15">
        <f>IFERROR(__xludf.DUMMYFUNCTION("""COMPUTED_VALUE"""),45949.04152234956)</f>
        <v>45949.04152</v>
      </c>
      <c r="K155" s="15">
        <f>IFERROR(__xludf.DUMMYFUNCTION("""COMPUTED_VALUE"""),45949.25819692102)</f>
        <v>45949.2582</v>
      </c>
      <c r="L155" s="15">
        <f>IFERROR(__xludf.DUMMYFUNCTION("""COMPUTED_VALUE"""),45949.28132532966)</f>
        <v>45949.28133</v>
      </c>
    </row>
    <row r="156">
      <c r="A156" s="1">
        <f>IFERROR(__xludf.DUMMYFUNCTION("""COMPUTED_VALUE"""),155.0)</f>
        <v>155</v>
      </c>
      <c r="B156" s="1">
        <f>IFERROR(__xludf.DUMMYFUNCTION("""COMPUTED_VALUE"""),10416.0)</f>
        <v>10416</v>
      </c>
      <c r="C156" s="13" t="str">
        <f>IFERROR(__xludf.DUMMYFUNCTION("""COMPUTED_VALUE"""),"Ahmad Madani")</f>
        <v>Ahmad Madani</v>
      </c>
      <c r="D156" s="2" t="str">
        <f>IFERROR(__xludf.DUMMYFUNCTION("""COMPUTED_VALUE"""),"10KM OVERALL M")</f>
        <v>10KM OVERALL M</v>
      </c>
      <c r="E156" s="1">
        <f>IFERROR(__xludf.DUMMYFUNCTION("""COMPUTED_VALUE"""),131.0)</f>
        <v>131</v>
      </c>
      <c r="F156" s="1" t="str">
        <f>IFERROR(__xludf.DUMMYFUNCTION("""COMPUTED_VALUE"""),"Male")</f>
        <v>Male</v>
      </c>
      <c r="G156" s="5">
        <f>IFERROR(__xludf.DUMMYFUNCTION("""COMPUTED_VALUE"""),0.004154313657407408)</f>
        <v>0.004154313657</v>
      </c>
      <c r="H156" s="14">
        <f>IFERROR(__xludf.DUMMYFUNCTION("""COMPUTED_VALUE"""),0.24646185185185185)</f>
        <v>0.2464618519</v>
      </c>
      <c r="I156" s="15">
        <f>IFERROR(__xludf.DUMMYFUNCTION("""COMPUTED_VALUE"""),45949.288004987095)</f>
        <v>45949.288</v>
      </c>
      <c r="J156" s="15">
        <f>IFERROR(__xludf.DUMMYFUNCTION("""COMPUTED_VALUE"""),45949.041543135245)</f>
        <v>45949.04154</v>
      </c>
      <c r="K156" s="15">
        <f>IFERROR(__xludf.DUMMYFUNCTION("""COMPUTED_VALUE"""),45949.25531491179)</f>
        <v>45949.25531</v>
      </c>
      <c r="L156" s="15">
        <f>IFERROR(__xludf.DUMMYFUNCTION("""COMPUTED_VALUE"""),45949.28031491408)</f>
        <v>45949.28031</v>
      </c>
    </row>
    <row r="157">
      <c r="A157" s="1">
        <f>IFERROR(__xludf.DUMMYFUNCTION("""COMPUTED_VALUE"""),156.0)</f>
        <v>156</v>
      </c>
      <c r="B157" s="1">
        <f>IFERROR(__xludf.DUMMYFUNCTION("""COMPUTED_VALUE"""),10088.0)</f>
        <v>10088</v>
      </c>
      <c r="C157" s="13" t="str">
        <f>IFERROR(__xludf.DUMMYFUNCTION("""COMPUTED_VALUE"""),"Griembell")</f>
        <v>Griembell</v>
      </c>
      <c r="D157" s="2" t="str">
        <f>IFERROR(__xludf.DUMMYFUNCTION("""COMPUTED_VALUE"""),"10KM OVERALL M")</f>
        <v>10KM OVERALL M</v>
      </c>
      <c r="E157" s="1">
        <f>IFERROR(__xludf.DUMMYFUNCTION("""COMPUTED_VALUE"""),132.0)</f>
        <v>132</v>
      </c>
      <c r="F157" s="1" t="str">
        <f>IFERROR(__xludf.DUMMYFUNCTION("""COMPUTED_VALUE"""),"Male")</f>
        <v>Male</v>
      </c>
      <c r="G157" s="5">
        <f>IFERROR(__xludf.DUMMYFUNCTION("""COMPUTED_VALUE"""),0.004155013888888889)</f>
        <v>0.004155013889</v>
      </c>
      <c r="H157" s="14">
        <f>IFERROR(__xludf.DUMMYFUNCTION("""COMPUTED_VALUE"""),0.24646185185185185)</f>
        <v>0.2464618519</v>
      </c>
      <c r="I157" s="15">
        <f>IFERROR(__xludf.DUMMYFUNCTION("""COMPUTED_VALUE"""),45949.288011985096)</f>
        <v>45949.28801</v>
      </c>
      <c r="J157" s="15">
        <f>IFERROR(__xludf.DUMMYFUNCTION("""COMPUTED_VALUE"""),45949.041550133246)</f>
        <v>45949.04155</v>
      </c>
      <c r="K157" s="15">
        <f>IFERROR(__xludf.DUMMYFUNCTION("""COMPUTED_VALUE"""),45949.257026698775)</f>
        <v>45949.25703</v>
      </c>
      <c r="L157" s="15">
        <f>IFERROR(__xludf.DUMMYFUNCTION("""COMPUTED_VALUE"""),45949.28096422714)</f>
        <v>45949.28096</v>
      </c>
    </row>
    <row r="158">
      <c r="A158" s="1">
        <f>IFERROR(__xludf.DUMMYFUNCTION("""COMPUTED_VALUE"""),157.0)</f>
        <v>157</v>
      </c>
      <c r="B158" s="1">
        <f>IFERROR(__xludf.DUMMYFUNCTION("""COMPUTED_VALUE"""),10529.0)</f>
        <v>10529</v>
      </c>
      <c r="C158" s="13" t="str">
        <f>IFERROR(__xludf.DUMMYFUNCTION("""COMPUTED_VALUE"""),"Farhan")</f>
        <v>Farhan</v>
      </c>
      <c r="D158" s="2" t="str">
        <f>IFERROR(__xludf.DUMMYFUNCTION("""COMPUTED_VALUE"""),"10KM OVERALL M")</f>
        <v>10KM OVERALL M</v>
      </c>
      <c r="E158" s="1">
        <f>IFERROR(__xludf.DUMMYFUNCTION("""COMPUTED_VALUE"""),133.0)</f>
        <v>133</v>
      </c>
      <c r="F158" s="1" t="str">
        <f>IFERROR(__xludf.DUMMYFUNCTION("""COMPUTED_VALUE"""),"Male")</f>
        <v>Male</v>
      </c>
      <c r="G158" s="5">
        <f>IFERROR(__xludf.DUMMYFUNCTION("""COMPUTED_VALUE"""),0.00415675)</f>
        <v>0.00415675</v>
      </c>
      <c r="H158" s="14">
        <f>IFERROR(__xludf.DUMMYFUNCTION("""COMPUTED_VALUE"""),0.24646185185185185)</f>
        <v>0.2464618519</v>
      </c>
      <c r="I158" s="15">
        <f>IFERROR(__xludf.DUMMYFUNCTION("""COMPUTED_VALUE"""),45949.28802935574)</f>
        <v>45949.28803</v>
      </c>
      <c r="J158" s="15">
        <f>IFERROR(__xludf.DUMMYFUNCTION("""COMPUTED_VALUE"""),45949.04156750389)</f>
        <v>45949.04157</v>
      </c>
      <c r="K158" s="15">
        <f>IFERROR(__xludf.DUMMYFUNCTION("""COMPUTED_VALUE"""),45949.25706487789)</f>
        <v>45949.25706</v>
      </c>
      <c r="L158" s="15">
        <f>IFERROR(__xludf.DUMMYFUNCTION("""COMPUTED_VALUE"""),45949.28093295423)</f>
        <v>45949.28093</v>
      </c>
    </row>
    <row r="159">
      <c r="A159" s="1">
        <f>IFERROR(__xludf.DUMMYFUNCTION("""COMPUTED_VALUE"""),158.0)</f>
        <v>158</v>
      </c>
      <c r="B159" s="1">
        <f>IFERROR(__xludf.DUMMYFUNCTION("""COMPUTED_VALUE"""),10104.0)</f>
        <v>10104</v>
      </c>
      <c r="C159" s="13" t="str">
        <f>IFERROR(__xludf.DUMMYFUNCTION("""COMPUTED_VALUE"""),"Zibran")</f>
        <v>Zibran</v>
      </c>
      <c r="D159" s="2" t="str">
        <f>IFERROR(__xludf.DUMMYFUNCTION("""COMPUTED_VALUE"""),"10KM OVERALL M")</f>
        <v>10KM OVERALL M</v>
      </c>
      <c r="E159" s="1">
        <f>IFERROR(__xludf.DUMMYFUNCTION("""COMPUTED_VALUE"""),134.0)</f>
        <v>134</v>
      </c>
      <c r="F159" s="1" t="str">
        <f>IFERROR(__xludf.DUMMYFUNCTION("""COMPUTED_VALUE"""),"Male")</f>
        <v>Male</v>
      </c>
      <c r="G159" s="5">
        <f>IFERROR(__xludf.DUMMYFUNCTION("""COMPUTED_VALUE"""),0.004160569444444444)</f>
        <v>0.004160569444</v>
      </c>
      <c r="H159" s="14">
        <f>IFERROR(__xludf.DUMMYFUNCTION("""COMPUTED_VALUE"""),0.24646185185185185)</f>
        <v>0.2464618519</v>
      </c>
      <c r="I159" s="15">
        <f>IFERROR(__xludf.DUMMYFUNCTION("""COMPUTED_VALUE"""),45949.28806755089)</f>
        <v>45949.28807</v>
      </c>
      <c r="J159" s="15">
        <f>IFERROR(__xludf.DUMMYFUNCTION("""COMPUTED_VALUE"""),45949.04160569904)</f>
        <v>45949.04161</v>
      </c>
      <c r="K159" s="15">
        <f>IFERROR(__xludf.DUMMYFUNCTION("""COMPUTED_VALUE"""),45949.254576178544)</f>
        <v>45949.25458</v>
      </c>
      <c r="L159" s="15">
        <f>IFERROR(__xludf.DUMMYFUNCTION("""COMPUTED_VALUE"""),45949.28040176)</f>
        <v>45949.2804</v>
      </c>
    </row>
    <row r="160">
      <c r="A160" s="1">
        <f>IFERROR(__xludf.DUMMYFUNCTION("""COMPUTED_VALUE"""),159.0)</f>
        <v>159</v>
      </c>
      <c r="B160" s="1">
        <f>IFERROR(__xludf.DUMMYFUNCTION("""COMPUTED_VALUE"""),10688.0)</f>
        <v>10688</v>
      </c>
      <c r="C160" s="13" t="str">
        <f>IFERROR(__xludf.DUMMYFUNCTION("""COMPUTED_VALUE"""),"ika")</f>
        <v>ika</v>
      </c>
      <c r="D160" s="2" t="str">
        <f>IFERROR(__xludf.DUMMYFUNCTION("""COMPUTED_VALUE"""),"10KM OVERALL F")</f>
        <v>10KM OVERALL F</v>
      </c>
      <c r="E160" s="1">
        <f>IFERROR(__xludf.DUMMYFUNCTION("""COMPUTED_VALUE"""),7.0)</f>
        <v>7</v>
      </c>
      <c r="F160" s="1" t="str">
        <f>IFERROR(__xludf.DUMMYFUNCTION("""COMPUTED_VALUE"""),"Female")</f>
        <v>Female</v>
      </c>
      <c r="G160" s="5">
        <f>IFERROR(__xludf.DUMMYFUNCTION("""COMPUTED_VALUE"""),0.004164040509259259)</f>
        <v>0.004164040509</v>
      </c>
      <c r="H160" s="14">
        <f>IFERROR(__xludf.DUMMYFUNCTION("""COMPUTED_VALUE"""),0.24646185185185185)</f>
        <v>0.2464618519</v>
      </c>
      <c r="I160" s="15">
        <f>IFERROR(__xludf.DUMMYFUNCTION("""COMPUTED_VALUE"""),45949.28810226163)</f>
        <v>45949.2881</v>
      </c>
      <c r="J160" s="15">
        <f>IFERROR(__xludf.DUMMYFUNCTION("""COMPUTED_VALUE"""),45949.04164040978)</f>
        <v>45949.04164</v>
      </c>
      <c r="K160" s="15">
        <f>IFERROR(__xludf.DUMMYFUNCTION("""COMPUTED_VALUE"""),45949.27357901535)</f>
        <v>45949.27358</v>
      </c>
      <c r="L160" s="15" t="str">
        <f>IFERROR(__xludf.DUMMYFUNCTION("""COMPUTED_VALUE"""),"")</f>
        <v/>
      </c>
    </row>
    <row r="161">
      <c r="A161" s="1">
        <f>IFERROR(__xludf.DUMMYFUNCTION("""COMPUTED_VALUE"""),160.0)</f>
        <v>160</v>
      </c>
      <c r="B161" s="1">
        <f>IFERROR(__xludf.DUMMYFUNCTION("""COMPUTED_VALUE"""),10590.0)</f>
        <v>10590</v>
      </c>
      <c r="C161" s="13" t="str">
        <f>IFERROR(__xludf.DUMMYFUNCTION("""COMPUTED_VALUE"""),"LANA878")</f>
        <v>LANA878</v>
      </c>
      <c r="D161" s="2" t="str">
        <f>IFERROR(__xludf.DUMMYFUNCTION("""COMPUTED_VALUE"""),"10KM OVERALL M")</f>
        <v>10KM OVERALL M</v>
      </c>
      <c r="E161" s="1">
        <f>IFERROR(__xludf.DUMMYFUNCTION("""COMPUTED_VALUE"""),135.0)</f>
        <v>135</v>
      </c>
      <c r="F161" s="1" t="str">
        <f>IFERROR(__xludf.DUMMYFUNCTION("""COMPUTED_VALUE"""),"Male")</f>
        <v>Male</v>
      </c>
      <c r="G161" s="5">
        <f>IFERROR(__xludf.DUMMYFUNCTION("""COMPUTED_VALUE"""),0.004168305555555555)</f>
        <v>0.004168305556</v>
      </c>
      <c r="H161" s="14">
        <f>IFERROR(__xludf.DUMMYFUNCTION("""COMPUTED_VALUE"""),0.24646185185185185)</f>
        <v>0.2464618519</v>
      </c>
      <c r="I161" s="15">
        <f>IFERROR(__xludf.DUMMYFUNCTION("""COMPUTED_VALUE"""),45949.2881449086)</f>
        <v>45949.28814</v>
      </c>
      <c r="J161" s="15">
        <f>IFERROR(__xludf.DUMMYFUNCTION("""COMPUTED_VALUE"""),45949.04168305675)</f>
        <v>45949.04168</v>
      </c>
      <c r="K161" s="15">
        <f>IFERROR(__xludf.DUMMYFUNCTION("""COMPUTED_VALUE"""),45949.256158627955)</f>
        <v>45949.25616</v>
      </c>
      <c r="L161" s="15">
        <f>IFERROR(__xludf.DUMMYFUNCTION("""COMPUTED_VALUE"""),45949.281005896766)</f>
        <v>45949.28101</v>
      </c>
    </row>
    <row r="162">
      <c r="A162" s="1">
        <f>IFERROR(__xludf.DUMMYFUNCTION("""COMPUTED_VALUE"""),161.0)</f>
        <v>161</v>
      </c>
      <c r="B162" s="1">
        <f>IFERROR(__xludf.DUMMYFUNCTION("""COMPUTED_VALUE"""),10206.0)</f>
        <v>10206</v>
      </c>
      <c r="C162" s="13" t="str">
        <f>IFERROR(__xludf.DUMMYFUNCTION("""COMPUTED_VALUE"""),"Najib")</f>
        <v>Najib</v>
      </c>
      <c r="D162" s="2" t="str">
        <f>IFERROR(__xludf.DUMMYFUNCTION("""COMPUTED_VALUE"""),"10KM OVERALL M")</f>
        <v>10KM OVERALL M</v>
      </c>
      <c r="E162" s="1">
        <f>IFERROR(__xludf.DUMMYFUNCTION("""COMPUTED_VALUE"""),136.0)</f>
        <v>136</v>
      </c>
      <c r="F162" s="1" t="str">
        <f>IFERROR(__xludf.DUMMYFUNCTION("""COMPUTED_VALUE"""),"Male")</f>
        <v>Male</v>
      </c>
      <c r="G162" s="5">
        <f>IFERROR(__xludf.DUMMYFUNCTION("""COMPUTED_VALUE"""),0.004169598379629629)</f>
        <v>0.00416959838</v>
      </c>
      <c r="H162" s="14">
        <f>IFERROR(__xludf.DUMMYFUNCTION("""COMPUTED_VALUE"""),0.24646185185185185)</f>
        <v>0.2464618519</v>
      </c>
      <c r="I162" s="15">
        <f>IFERROR(__xludf.DUMMYFUNCTION("""COMPUTED_VALUE"""),45949.28815783035)</f>
        <v>45949.28816</v>
      </c>
      <c r="J162" s="15">
        <f>IFERROR(__xludf.DUMMYFUNCTION("""COMPUTED_VALUE"""),45949.0416959785)</f>
        <v>45949.0417</v>
      </c>
      <c r="K162" s="15">
        <f>IFERROR(__xludf.DUMMYFUNCTION("""COMPUTED_VALUE"""),45949.256325314025)</f>
        <v>45949.25633</v>
      </c>
      <c r="L162" s="15">
        <f>IFERROR(__xludf.DUMMYFUNCTION("""COMPUTED_VALUE"""),45949.28102674167)</f>
        <v>45949.28103</v>
      </c>
    </row>
    <row r="163">
      <c r="A163" s="1">
        <f>IFERROR(__xludf.DUMMYFUNCTION("""COMPUTED_VALUE"""),162.0)</f>
        <v>162</v>
      </c>
      <c r="B163" s="1">
        <f>IFERROR(__xludf.DUMMYFUNCTION("""COMPUTED_VALUE"""),10158.0)</f>
        <v>10158</v>
      </c>
      <c r="C163" s="13" t="str">
        <f>IFERROR(__xludf.DUMMYFUNCTION("""COMPUTED_VALUE"""),"bagus")</f>
        <v>bagus</v>
      </c>
      <c r="D163" s="2" t="str">
        <f>IFERROR(__xludf.DUMMYFUNCTION("""COMPUTED_VALUE"""),"10KM OVERALL M")</f>
        <v>10KM OVERALL M</v>
      </c>
      <c r="E163" s="1">
        <f>IFERROR(__xludf.DUMMYFUNCTION("""COMPUTED_VALUE"""),137.0)</f>
        <v>137</v>
      </c>
      <c r="F163" s="1" t="str">
        <f>IFERROR(__xludf.DUMMYFUNCTION("""COMPUTED_VALUE"""),"Male")</f>
        <v>Male</v>
      </c>
      <c r="G163" s="5">
        <f>IFERROR(__xludf.DUMMYFUNCTION("""COMPUTED_VALUE"""),0.004169598379629629)</f>
        <v>0.00416959838</v>
      </c>
      <c r="H163" s="14">
        <f>IFERROR(__xludf.DUMMYFUNCTION("""COMPUTED_VALUE"""),0.24646185185185185)</f>
        <v>0.2464618519</v>
      </c>
      <c r="I163" s="15">
        <f>IFERROR(__xludf.DUMMYFUNCTION("""COMPUTED_VALUE"""),45949.28815783035)</f>
        <v>45949.28816</v>
      </c>
      <c r="J163" s="15">
        <f>IFERROR(__xludf.DUMMYFUNCTION("""COMPUTED_VALUE"""),45949.0416959785)</f>
        <v>45949.0417</v>
      </c>
      <c r="K163" s="15">
        <f>IFERROR(__xludf.DUMMYFUNCTION("""COMPUTED_VALUE"""),45949.25645724473)</f>
        <v>45949.25646</v>
      </c>
      <c r="L163" s="15">
        <f>IFERROR(__xludf.DUMMYFUNCTION("""COMPUTED_VALUE"""),45949.28122464937)</f>
        <v>45949.28122</v>
      </c>
    </row>
    <row r="164">
      <c r="A164" s="1">
        <f>IFERROR(__xludf.DUMMYFUNCTION("""COMPUTED_VALUE"""),163.0)</f>
        <v>163</v>
      </c>
      <c r="B164" s="1">
        <f>IFERROR(__xludf.DUMMYFUNCTION("""COMPUTED_VALUE"""),10013.0)</f>
        <v>10013</v>
      </c>
      <c r="C164" s="13" t="str">
        <f>IFERROR(__xludf.DUMMYFUNCTION("""COMPUTED_VALUE"""),"Adi Saputra")</f>
        <v>Adi Saputra</v>
      </c>
      <c r="D164" s="2" t="str">
        <f>IFERROR(__xludf.DUMMYFUNCTION("""COMPUTED_VALUE"""),"10KM OVERALL M")</f>
        <v>10KM OVERALL M</v>
      </c>
      <c r="E164" s="1">
        <f>IFERROR(__xludf.DUMMYFUNCTION("""COMPUTED_VALUE"""),138.0)</f>
        <v>138</v>
      </c>
      <c r="F164" s="1" t="str">
        <f>IFERROR(__xludf.DUMMYFUNCTION("""COMPUTED_VALUE"""),"Male")</f>
        <v>Male</v>
      </c>
      <c r="G164" s="5">
        <f>IFERROR(__xludf.DUMMYFUNCTION("""COMPUTED_VALUE"""),0.004182096064814815)</f>
        <v>0.004182096065</v>
      </c>
      <c r="H164" s="14">
        <f>IFERROR(__xludf.DUMMYFUNCTION("""COMPUTED_VALUE"""),0.24646185185185185)</f>
        <v>0.2464618519</v>
      </c>
      <c r="I164" s="15">
        <f>IFERROR(__xludf.DUMMYFUNCTION("""COMPUTED_VALUE"""),45949.28828280901)</f>
        <v>45949.28828</v>
      </c>
      <c r="J164" s="15">
        <f>IFERROR(__xludf.DUMMYFUNCTION("""COMPUTED_VALUE"""),45949.04182095716)</f>
        <v>45949.04182</v>
      </c>
      <c r="K164" s="15">
        <f>IFERROR(__xludf.DUMMYFUNCTION("""COMPUTED_VALUE"""),45949.256367384085)</f>
        <v>45949.25637</v>
      </c>
      <c r="L164" s="15">
        <f>IFERROR(__xludf.DUMMYFUNCTION("""COMPUTED_VALUE"""),45949.28089129463)</f>
        <v>45949.28089</v>
      </c>
    </row>
    <row r="165">
      <c r="A165" s="1">
        <f>IFERROR(__xludf.DUMMYFUNCTION("""COMPUTED_VALUE"""),164.0)</f>
        <v>164</v>
      </c>
      <c r="B165" s="1">
        <f>IFERROR(__xludf.DUMMYFUNCTION("""COMPUTED_VALUE"""),10598.0)</f>
        <v>10598</v>
      </c>
      <c r="C165" s="13" t="str">
        <f>IFERROR(__xludf.DUMMYFUNCTION("""COMPUTED_VALUE"""),"YN")</f>
        <v>YN</v>
      </c>
      <c r="D165" s="2" t="str">
        <f>IFERROR(__xludf.DUMMYFUNCTION("""COMPUTED_VALUE"""),"10KM OVERALL M")</f>
        <v>10KM OVERALL M</v>
      </c>
      <c r="E165" s="1">
        <f>IFERROR(__xludf.DUMMYFUNCTION("""COMPUTED_VALUE"""),139.0)</f>
        <v>139</v>
      </c>
      <c r="F165" s="1" t="str">
        <f>IFERROR(__xludf.DUMMYFUNCTION("""COMPUTED_VALUE"""),"Male")</f>
        <v>Male</v>
      </c>
      <c r="G165" s="5">
        <f>IFERROR(__xludf.DUMMYFUNCTION("""COMPUTED_VALUE"""),0.004191123842592593)</f>
        <v>0.004191123843</v>
      </c>
      <c r="H165" s="14">
        <f>IFERROR(__xludf.DUMMYFUNCTION("""COMPUTED_VALUE"""),0.24646185185185185)</f>
        <v>0.2464618519</v>
      </c>
      <c r="I165" s="15">
        <f>IFERROR(__xludf.DUMMYFUNCTION("""COMPUTED_VALUE"""),45949.288373091316)</f>
        <v>45949.28837</v>
      </c>
      <c r="J165" s="15">
        <f>IFERROR(__xludf.DUMMYFUNCTION("""COMPUTED_VALUE"""),45949.04191123947)</f>
        <v>45949.04191</v>
      </c>
      <c r="K165" s="15">
        <f>IFERROR(__xludf.DUMMYFUNCTION("""COMPUTED_VALUE"""),45949.2605440493)</f>
        <v>45949.26054</v>
      </c>
      <c r="L165" s="15">
        <f>IFERROR(__xludf.DUMMYFUNCTION("""COMPUTED_VALUE"""),45949.28225242647)</f>
        <v>45949.28225</v>
      </c>
    </row>
    <row r="166">
      <c r="A166" s="1">
        <f>IFERROR(__xludf.DUMMYFUNCTION("""COMPUTED_VALUE"""),165.0)</f>
        <v>165</v>
      </c>
      <c r="B166" s="1">
        <f>IFERROR(__xludf.DUMMYFUNCTION("""COMPUTED_VALUE"""),10576.0)</f>
        <v>10576</v>
      </c>
      <c r="C166" s="13" t="str">
        <f>IFERROR(__xludf.DUMMYFUNCTION("""COMPUTED_VALUE"""),"Garingging")</f>
        <v>Garingging</v>
      </c>
      <c r="D166" s="2" t="str">
        <f>IFERROR(__xludf.DUMMYFUNCTION("""COMPUTED_VALUE"""),"10KM OVERALL M")</f>
        <v>10KM OVERALL M</v>
      </c>
      <c r="E166" s="1">
        <f>IFERROR(__xludf.DUMMYFUNCTION("""COMPUTED_VALUE"""),140.0)</f>
        <v>140</v>
      </c>
      <c r="F166" s="1" t="str">
        <f>IFERROR(__xludf.DUMMYFUNCTION("""COMPUTED_VALUE"""),"Male")</f>
        <v>Male</v>
      </c>
      <c r="G166" s="5">
        <f>IFERROR(__xludf.DUMMYFUNCTION("""COMPUTED_VALUE"""),0.004192166666666667)</f>
        <v>0.004192166667</v>
      </c>
      <c r="H166" s="14">
        <f>IFERROR(__xludf.DUMMYFUNCTION("""COMPUTED_VALUE"""),0.24646185185185185)</f>
        <v>0.2464618519</v>
      </c>
      <c r="I166" s="15">
        <f>IFERROR(__xludf.DUMMYFUNCTION("""COMPUTED_VALUE"""),45949.28838351939)</f>
        <v>45949.28838</v>
      </c>
      <c r="J166" s="15">
        <f>IFERROR(__xludf.DUMMYFUNCTION("""COMPUTED_VALUE"""),45949.041921667544)</f>
        <v>45949.04192</v>
      </c>
      <c r="K166" s="15">
        <f>IFERROR(__xludf.DUMMYFUNCTION("""COMPUTED_VALUE"""),45949.25757531957)</f>
        <v>45949.25758</v>
      </c>
      <c r="L166" s="15">
        <f>IFERROR(__xludf.DUMMYFUNCTION("""COMPUTED_VALUE"""),45949.2817663326)</f>
        <v>45949.28177</v>
      </c>
    </row>
    <row r="167">
      <c r="A167" s="1">
        <f>IFERROR(__xludf.DUMMYFUNCTION("""COMPUTED_VALUE"""),166.0)</f>
        <v>166</v>
      </c>
      <c r="B167" s="1">
        <f>IFERROR(__xludf.DUMMYFUNCTION("""COMPUTED_VALUE"""),10160.0)</f>
        <v>10160</v>
      </c>
      <c r="C167" s="13" t="str">
        <f>IFERROR(__xludf.DUMMYFUNCTION("""COMPUTED_VALUE"""),"APIP")</f>
        <v>APIP</v>
      </c>
      <c r="D167" s="2" t="str">
        <f>IFERROR(__xludf.DUMMYFUNCTION("""COMPUTED_VALUE"""),"10KM OVERALL M")</f>
        <v>10KM OVERALL M</v>
      </c>
      <c r="E167" s="1">
        <f>IFERROR(__xludf.DUMMYFUNCTION("""COMPUTED_VALUE"""),141.0)</f>
        <v>141</v>
      </c>
      <c r="F167" s="1" t="str">
        <f>IFERROR(__xludf.DUMMYFUNCTION("""COMPUTED_VALUE"""),"Male")</f>
        <v>Male</v>
      </c>
      <c r="G167" s="5">
        <f>IFERROR(__xludf.DUMMYFUNCTION("""COMPUTED_VALUE"""),0.004195290509259259)</f>
        <v>0.004195290509</v>
      </c>
      <c r="H167" s="14">
        <f>IFERROR(__xludf.DUMMYFUNCTION("""COMPUTED_VALUE"""),0.24646185185185185)</f>
        <v>0.2464618519</v>
      </c>
      <c r="I167" s="15">
        <f>IFERROR(__xludf.DUMMYFUNCTION("""COMPUTED_VALUE"""),45949.28841475919)</f>
        <v>45949.28841</v>
      </c>
      <c r="J167" s="15">
        <f>IFERROR(__xludf.DUMMYFUNCTION("""COMPUTED_VALUE"""),45949.04195290734)</f>
        <v>45949.04195</v>
      </c>
      <c r="K167" s="15">
        <f>IFERROR(__xludf.DUMMYFUNCTION("""COMPUTED_VALUE"""),45949.25529145014)</f>
        <v>45949.25529</v>
      </c>
      <c r="L167" s="15">
        <f>IFERROR(__xludf.DUMMYFUNCTION("""COMPUTED_VALUE"""),45949.28118297342)</f>
        <v>45949.28118</v>
      </c>
    </row>
    <row r="168">
      <c r="A168" s="1">
        <f>IFERROR(__xludf.DUMMYFUNCTION("""COMPUTED_VALUE"""),167.0)</f>
        <v>167</v>
      </c>
      <c r="B168" s="1">
        <f>IFERROR(__xludf.DUMMYFUNCTION("""COMPUTED_VALUE"""),10155.0)</f>
        <v>10155</v>
      </c>
      <c r="C168" s="13" t="str">
        <f>IFERROR(__xludf.DUMMYFUNCTION("""COMPUTED_VALUE"""),"Annisa")</f>
        <v>Annisa</v>
      </c>
      <c r="D168" s="2" t="str">
        <f>IFERROR(__xludf.DUMMYFUNCTION("""COMPUTED_VALUE"""),"10KM OVERALL F")</f>
        <v>10KM OVERALL F</v>
      </c>
      <c r="E168" s="1">
        <f>IFERROR(__xludf.DUMMYFUNCTION("""COMPUTED_VALUE"""),8.0)</f>
        <v>8</v>
      </c>
      <c r="F168" s="1" t="str">
        <f>IFERROR(__xludf.DUMMYFUNCTION("""COMPUTED_VALUE"""),"Female")</f>
        <v>Female</v>
      </c>
      <c r="G168" s="5">
        <f>IFERROR(__xludf.DUMMYFUNCTION("""COMPUTED_VALUE"""),0.0042004988425925925)</f>
        <v>0.004200498843</v>
      </c>
      <c r="H168" s="14">
        <f>IFERROR(__xludf.DUMMYFUNCTION("""COMPUTED_VALUE"""),0.24646185185185185)</f>
        <v>0.2464618519</v>
      </c>
      <c r="I168" s="15">
        <f>IFERROR(__xludf.DUMMYFUNCTION("""COMPUTED_VALUE"""),45949.288466845916)</f>
        <v>45949.28847</v>
      </c>
      <c r="J168" s="15">
        <f>IFERROR(__xludf.DUMMYFUNCTION("""COMPUTED_VALUE"""),45949.042004994066)</f>
        <v>45949.042</v>
      </c>
      <c r="K168" s="15">
        <f>IFERROR(__xludf.DUMMYFUNCTION("""COMPUTED_VALUE"""),45949.256210956526)</f>
        <v>45949.25621</v>
      </c>
      <c r="L168" s="15">
        <f>IFERROR(__xludf.DUMMYFUNCTION("""COMPUTED_VALUE"""),45949.280665629776)</f>
        <v>45949.28067</v>
      </c>
    </row>
    <row r="169">
      <c r="A169" s="1">
        <f>IFERROR(__xludf.DUMMYFUNCTION("""COMPUTED_VALUE"""),168.0)</f>
        <v>168</v>
      </c>
      <c r="B169" s="1">
        <f>IFERROR(__xludf.DUMMYFUNCTION("""COMPUTED_VALUE"""),10423.0)</f>
        <v>10423</v>
      </c>
      <c r="C169" s="13" t="str">
        <f>IFERROR(__xludf.DUMMYFUNCTION("""COMPUTED_VALUE"""),"Unggul")</f>
        <v>Unggul</v>
      </c>
      <c r="D169" s="2" t="str">
        <f>IFERROR(__xludf.DUMMYFUNCTION("""COMPUTED_VALUE"""),"10KM OVERALL M")</f>
        <v>10KM OVERALL M</v>
      </c>
      <c r="E169" s="1">
        <f>IFERROR(__xludf.DUMMYFUNCTION("""COMPUTED_VALUE"""),142.0)</f>
        <v>142</v>
      </c>
      <c r="F169" s="1" t="str">
        <f>IFERROR(__xludf.DUMMYFUNCTION("""COMPUTED_VALUE"""),"Male")</f>
        <v>Male</v>
      </c>
      <c r="G169" s="5">
        <f>IFERROR(__xludf.DUMMYFUNCTION("""COMPUTED_VALUE"""),0.004201540509259259)</f>
        <v>0.004201540509</v>
      </c>
      <c r="H169" s="14">
        <f>IFERROR(__xludf.DUMMYFUNCTION("""COMPUTED_VALUE"""),0.24646185185185185)</f>
        <v>0.2464618519</v>
      </c>
      <c r="I169" s="15">
        <f>IFERROR(__xludf.DUMMYFUNCTION("""COMPUTED_VALUE"""),45949.2884772603)</f>
        <v>45949.28848</v>
      </c>
      <c r="J169" s="15">
        <f>IFERROR(__xludf.DUMMYFUNCTION("""COMPUTED_VALUE"""),45949.04201540845)</f>
        <v>45949.04202</v>
      </c>
      <c r="K169" s="15">
        <f>IFERROR(__xludf.DUMMYFUNCTION("""COMPUTED_VALUE"""),45949.25624543698)</f>
        <v>45949.25625</v>
      </c>
      <c r="L169" s="15">
        <f>IFERROR(__xludf.DUMMYFUNCTION("""COMPUTED_VALUE"""),45949.28116214297)</f>
        <v>45949.28116</v>
      </c>
    </row>
    <row r="170">
      <c r="A170" s="1">
        <f>IFERROR(__xludf.DUMMYFUNCTION("""COMPUTED_VALUE"""),169.0)</f>
        <v>169</v>
      </c>
      <c r="B170" s="1">
        <f>IFERROR(__xludf.DUMMYFUNCTION("""COMPUTED_VALUE"""),10214.0)</f>
        <v>10214</v>
      </c>
      <c r="C170" s="13" t="str">
        <f>IFERROR(__xludf.DUMMYFUNCTION("""COMPUTED_VALUE"""),"Saufi.A")</f>
        <v>Saufi.A</v>
      </c>
      <c r="D170" s="2" t="str">
        <f>IFERROR(__xludf.DUMMYFUNCTION("""COMPUTED_VALUE"""),"10KM OVERALL M")</f>
        <v>10KM OVERALL M</v>
      </c>
      <c r="E170" s="1">
        <f>IFERROR(__xludf.DUMMYFUNCTION("""COMPUTED_VALUE"""),143.0)</f>
        <v>143</v>
      </c>
      <c r="F170" s="1" t="str">
        <f>IFERROR(__xludf.DUMMYFUNCTION("""COMPUTED_VALUE"""),"Male")</f>
        <v>Male</v>
      </c>
      <c r="G170" s="5">
        <f>IFERROR(__xludf.DUMMYFUNCTION("""COMPUTED_VALUE"""),0.004202236111111111)</f>
        <v>0.004202236111</v>
      </c>
      <c r="H170" s="14">
        <f>IFERROR(__xludf.DUMMYFUNCTION("""COMPUTED_VALUE"""),0.24646185185185185)</f>
        <v>0.2464618519</v>
      </c>
      <c r="I170" s="15">
        <f>IFERROR(__xludf.DUMMYFUNCTION("""COMPUTED_VALUE"""),45949.288484216675)</f>
        <v>45949.28848</v>
      </c>
      <c r="J170" s="15">
        <f>IFERROR(__xludf.DUMMYFUNCTION("""COMPUTED_VALUE"""),45949.042022364825)</f>
        <v>45949.04202</v>
      </c>
      <c r="K170" s="15">
        <f>IFERROR(__xludf.DUMMYFUNCTION("""COMPUTED_VALUE"""),45949.256610047145)</f>
        <v>45949.25661</v>
      </c>
      <c r="L170" s="15">
        <f>IFERROR(__xludf.DUMMYFUNCTION("""COMPUTED_VALUE"""),45949.2823183905)</f>
        <v>45949.28232</v>
      </c>
    </row>
    <row r="171">
      <c r="A171" s="1">
        <f>IFERROR(__xludf.DUMMYFUNCTION("""COMPUTED_VALUE"""),170.0)</f>
        <v>170</v>
      </c>
      <c r="B171" s="1">
        <f>IFERROR(__xludf.DUMMYFUNCTION("""COMPUTED_VALUE"""),10604.0)</f>
        <v>10604</v>
      </c>
      <c r="C171" s="13" t="str">
        <f>IFERROR(__xludf.DUMMYFUNCTION("""COMPUTED_VALUE"""),"Fazrien")</f>
        <v>Fazrien</v>
      </c>
      <c r="D171" s="2" t="str">
        <f>IFERROR(__xludf.DUMMYFUNCTION("""COMPUTED_VALUE"""),"10KM OVERALL M")</f>
        <v>10KM OVERALL M</v>
      </c>
      <c r="E171" s="1">
        <f>IFERROR(__xludf.DUMMYFUNCTION("""COMPUTED_VALUE"""),144.0)</f>
        <v>144</v>
      </c>
      <c r="F171" s="1" t="str">
        <f>IFERROR(__xludf.DUMMYFUNCTION("""COMPUTED_VALUE"""),"Male")</f>
        <v>Male</v>
      </c>
      <c r="G171" s="5">
        <f>IFERROR(__xludf.DUMMYFUNCTION("""COMPUTED_VALUE"""),0.004206054398148148)</f>
        <v>0.004206054398</v>
      </c>
      <c r="H171" s="14">
        <f>IFERROR(__xludf.DUMMYFUNCTION("""COMPUTED_VALUE"""),0.24646185185185185)</f>
        <v>0.2464618519</v>
      </c>
      <c r="I171" s="15">
        <f>IFERROR(__xludf.DUMMYFUNCTION("""COMPUTED_VALUE"""),45949.2885223959)</f>
        <v>45949.28852</v>
      </c>
      <c r="J171" s="15">
        <f>IFERROR(__xludf.DUMMYFUNCTION("""COMPUTED_VALUE"""),45949.04206054405)</f>
        <v>45949.04206</v>
      </c>
      <c r="K171" s="15">
        <f>IFERROR(__xludf.DUMMYFUNCTION("""COMPUTED_VALUE"""),45949.256526700425)</f>
        <v>45949.25653</v>
      </c>
      <c r="L171" s="15">
        <f>IFERROR(__xludf.DUMMYFUNCTION("""COMPUTED_VALUE"""),45949.28071425377)</f>
        <v>45949.28071</v>
      </c>
    </row>
    <row r="172">
      <c r="A172" s="1">
        <f>IFERROR(__xludf.DUMMYFUNCTION("""COMPUTED_VALUE"""),171.0)</f>
        <v>171</v>
      </c>
      <c r="B172" s="1">
        <f>IFERROR(__xludf.DUMMYFUNCTION("""COMPUTED_VALUE"""),10022.0)</f>
        <v>10022</v>
      </c>
      <c r="C172" s="13" t="str">
        <f>IFERROR(__xludf.DUMMYFUNCTION("""COMPUTED_VALUE"""),"Danang Cahyadi")</f>
        <v>Danang Cahyadi</v>
      </c>
      <c r="D172" s="2" t="str">
        <f>IFERROR(__xludf.DUMMYFUNCTION("""COMPUTED_VALUE"""),"10KM OVERALL M")</f>
        <v>10KM OVERALL M</v>
      </c>
      <c r="E172" s="1">
        <f>IFERROR(__xludf.DUMMYFUNCTION("""COMPUTED_VALUE"""),145.0)</f>
        <v>145</v>
      </c>
      <c r="F172" s="1" t="str">
        <f>IFERROR(__xludf.DUMMYFUNCTION("""COMPUTED_VALUE"""),"Male")</f>
        <v>Male</v>
      </c>
      <c r="G172" s="5">
        <f>IFERROR(__xludf.DUMMYFUNCTION("""COMPUTED_VALUE"""),0.004208837962962963)</f>
        <v>0.004208837963</v>
      </c>
      <c r="H172" s="14">
        <f>IFERROR(__xludf.DUMMYFUNCTION("""COMPUTED_VALUE"""),0.24646185185185185)</f>
        <v>0.2464618519</v>
      </c>
      <c r="I172" s="15">
        <f>IFERROR(__xludf.DUMMYFUNCTION("""COMPUTED_VALUE"""),45949.28855022755)</f>
        <v>45949.28855</v>
      </c>
      <c r="J172" s="15">
        <f>IFERROR(__xludf.DUMMYFUNCTION("""COMPUTED_VALUE"""),45949.0420883757)</f>
        <v>45949.04209</v>
      </c>
      <c r="K172" s="15">
        <f>IFERROR(__xludf.DUMMYFUNCTION("""COMPUTED_VALUE"""),45949.25709616231)</f>
        <v>45949.2571</v>
      </c>
      <c r="L172" s="15">
        <f>IFERROR(__xludf.DUMMYFUNCTION("""COMPUTED_VALUE"""),45949.28202672162)</f>
        <v>45949.28203</v>
      </c>
    </row>
    <row r="173">
      <c r="A173" s="1">
        <f>IFERROR(__xludf.DUMMYFUNCTION("""COMPUTED_VALUE"""),172.0)</f>
        <v>172</v>
      </c>
      <c r="B173" s="1">
        <f>IFERROR(__xludf.DUMMYFUNCTION("""COMPUTED_VALUE"""),10300.0)</f>
        <v>10300</v>
      </c>
      <c r="C173" s="13" t="str">
        <f>IFERROR(__xludf.DUMMYFUNCTION("""COMPUTED_VALUE"""),"Primelana")</f>
        <v>Primelana</v>
      </c>
      <c r="D173" s="2" t="str">
        <f>IFERROR(__xludf.DUMMYFUNCTION("""COMPUTED_VALUE"""),"10KM OVERALL M")</f>
        <v>10KM OVERALL M</v>
      </c>
      <c r="E173" s="1">
        <f>IFERROR(__xludf.DUMMYFUNCTION("""COMPUTED_VALUE"""),146.0)</f>
        <v>146</v>
      </c>
      <c r="F173" s="1" t="str">
        <f>IFERROR(__xludf.DUMMYFUNCTION("""COMPUTED_VALUE"""),"Male")</f>
        <v>Male</v>
      </c>
      <c r="G173" s="5">
        <f>IFERROR(__xludf.DUMMYFUNCTION("""COMPUTED_VALUE"""),0.004209873842592593)</f>
        <v>0.004209873843</v>
      </c>
      <c r="H173" s="14">
        <f>IFERROR(__xludf.DUMMYFUNCTION("""COMPUTED_VALUE"""),0.24646185185185185)</f>
        <v>0.2464618519</v>
      </c>
      <c r="I173" s="15">
        <f>IFERROR(__xludf.DUMMYFUNCTION("""COMPUTED_VALUE"""),45949.28856058953)</f>
        <v>45949.28856</v>
      </c>
      <c r="J173" s="15">
        <f>IFERROR(__xludf.DUMMYFUNCTION("""COMPUTED_VALUE"""),45949.04209873768)</f>
        <v>45949.0421</v>
      </c>
      <c r="K173" s="15">
        <f>IFERROR(__xludf.DUMMYFUNCTION("""COMPUTED_VALUE"""),45949.25689821597)</f>
        <v>45949.2569</v>
      </c>
      <c r="L173" s="15">
        <f>IFERROR(__xludf.DUMMYFUNCTION("""COMPUTED_VALUE"""),45949.281839218624)</f>
        <v>45949.28184</v>
      </c>
    </row>
    <row r="174">
      <c r="A174" s="1">
        <f>IFERROR(__xludf.DUMMYFUNCTION("""COMPUTED_VALUE"""),173.0)</f>
        <v>173</v>
      </c>
      <c r="B174" s="1">
        <f>IFERROR(__xludf.DUMMYFUNCTION("""COMPUTED_VALUE"""),10067.0)</f>
        <v>10067</v>
      </c>
      <c r="C174" s="13" t="str">
        <f>IFERROR(__xludf.DUMMYFUNCTION("""COMPUTED_VALUE"""),"A175")</f>
        <v>A175</v>
      </c>
      <c r="D174" s="2" t="str">
        <f>IFERROR(__xludf.DUMMYFUNCTION("""COMPUTED_VALUE"""),"10KM OVERALL M")</f>
        <v>10KM OVERALL M</v>
      </c>
      <c r="E174" s="1">
        <f>IFERROR(__xludf.DUMMYFUNCTION("""COMPUTED_VALUE"""),147.0)</f>
        <v>147</v>
      </c>
      <c r="F174" s="1" t="str">
        <f>IFERROR(__xludf.DUMMYFUNCTION("""COMPUTED_VALUE"""),"Male")</f>
        <v>Male</v>
      </c>
      <c r="G174" s="5">
        <f>IFERROR(__xludf.DUMMYFUNCTION("""COMPUTED_VALUE"""),0.0042116099537037035)</f>
        <v>0.004211609954</v>
      </c>
      <c r="H174" s="14">
        <f>IFERROR(__xludf.DUMMYFUNCTION("""COMPUTED_VALUE"""),0.24646185185185185)</f>
        <v>0.2464618519</v>
      </c>
      <c r="I174" s="15">
        <f>IFERROR(__xludf.DUMMYFUNCTION("""COMPUTED_VALUE"""),45949.28857795613)</f>
        <v>45949.28858</v>
      </c>
      <c r="J174" s="15">
        <f>IFERROR(__xludf.DUMMYFUNCTION("""COMPUTED_VALUE"""),45949.04211610428)</f>
        <v>45949.04212</v>
      </c>
      <c r="K174" s="15">
        <f>IFERROR(__xludf.DUMMYFUNCTION("""COMPUTED_VALUE"""),45949.256353132674)</f>
        <v>45949.25635</v>
      </c>
      <c r="L174" s="15">
        <f>IFERROR(__xludf.DUMMYFUNCTION("""COMPUTED_VALUE"""),45949.28099200999)</f>
        <v>45949.28099</v>
      </c>
    </row>
    <row r="175">
      <c r="A175" s="1">
        <f>IFERROR(__xludf.DUMMYFUNCTION("""COMPUTED_VALUE"""),174.0)</f>
        <v>174</v>
      </c>
      <c r="B175" s="1">
        <f>IFERROR(__xludf.DUMMYFUNCTION("""COMPUTED_VALUE"""),10368.0)</f>
        <v>10368</v>
      </c>
      <c r="C175" s="13" t="str">
        <f>IFERROR(__xludf.DUMMYFUNCTION("""COMPUTED_VALUE"""),"Micky")</f>
        <v>Micky</v>
      </c>
      <c r="D175" s="2" t="str">
        <f>IFERROR(__xludf.DUMMYFUNCTION("""COMPUTED_VALUE"""),"10KM OVERALL M")</f>
        <v>10KM OVERALL M</v>
      </c>
      <c r="E175" s="1">
        <f>IFERROR(__xludf.DUMMYFUNCTION("""COMPUTED_VALUE"""),148.0)</f>
        <v>148</v>
      </c>
      <c r="F175" s="1" t="str">
        <f>IFERROR(__xludf.DUMMYFUNCTION("""COMPUTED_VALUE"""),"Male")</f>
        <v>Male</v>
      </c>
      <c r="G175" s="5">
        <f>IFERROR(__xludf.DUMMYFUNCTION("""COMPUTED_VALUE"""),0.0042126550925925925)</f>
        <v>0.004212655093</v>
      </c>
      <c r="H175" s="14">
        <f>IFERROR(__xludf.DUMMYFUNCTION("""COMPUTED_VALUE"""),0.24646185185185185)</f>
        <v>0.2464618519</v>
      </c>
      <c r="I175" s="15">
        <f>IFERROR(__xludf.DUMMYFUNCTION("""COMPUTED_VALUE"""),45949.288588402946)</f>
        <v>45949.28859</v>
      </c>
      <c r="J175" s="15">
        <f>IFERROR(__xludf.DUMMYFUNCTION("""COMPUTED_VALUE"""),45949.042126551096)</f>
        <v>45949.04213</v>
      </c>
      <c r="K175" s="15">
        <f>IFERROR(__xludf.DUMMYFUNCTION("""COMPUTED_VALUE"""),45949.25641632664)</f>
        <v>45949.25642</v>
      </c>
      <c r="L175" s="15">
        <f>IFERROR(__xludf.DUMMYFUNCTION("""COMPUTED_VALUE"""),45949.28125243429)</f>
        <v>45949.28125</v>
      </c>
    </row>
    <row r="176">
      <c r="A176" s="1">
        <f>IFERROR(__xludf.DUMMYFUNCTION("""COMPUTED_VALUE"""),175.0)</f>
        <v>175</v>
      </c>
      <c r="B176" s="1">
        <f>IFERROR(__xludf.DUMMYFUNCTION("""COMPUTED_VALUE"""),10607.0)</f>
        <v>10607</v>
      </c>
      <c r="C176" s="13" t="str">
        <f>IFERROR(__xludf.DUMMYFUNCTION("""COMPUTED_VALUE"""),"AKANGC")</f>
        <v>AKANGC</v>
      </c>
      <c r="D176" s="2" t="str">
        <f>IFERROR(__xludf.DUMMYFUNCTION("""COMPUTED_VALUE"""),"10KM OVERALL M")</f>
        <v>10KM OVERALL M</v>
      </c>
      <c r="E176" s="1">
        <f>IFERROR(__xludf.DUMMYFUNCTION("""COMPUTED_VALUE"""),149.0)</f>
        <v>149</v>
      </c>
      <c r="F176" s="1" t="str">
        <f>IFERROR(__xludf.DUMMYFUNCTION("""COMPUTED_VALUE"""),"Male")</f>
        <v>Male</v>
      </c>
      <c r="G176" s="5">
        <f>IFERROR(__xludf.DUMMYFUNCTION("""COMPUTED_VALUE"""),0.004215429398148148)</f>
        <v>0.004215429398</v>
      </c>
      <c r="H176" s="14">
        <f>IFERROR(__xludf.DUMMYFUNCTION("""COMPUTED_VALUE"""),0.24646185185185185)</f>
        <v>0.2464618519</v>
      </c>
      <c r="I176" s="15">
        <f>IFERROR(__xludf.DUMMYFUNCTION("""COMPUTED_VALUE"""),45949.28861614871)</f>
        <v>45949.28862</v>
      </c>
      <c r="J176" s="15">
        <f>IFERROR(__xludf.DUMMYFUNCTION("""COMPUTED_VALUE"""),45949.04215429686)</f>
        <v>45949.04215</v>
      </c>
      <c r="K176" s="15">
        <f>IFERROR(__xludf.DUMMYFUNCTION("""COMPUTED_VALUE"""),45949.25800588045)</f>
        <v>45949.25801</v>
      </c>
      <c r="L176" s="15">
        <f>IFERROR(__xludf.DUMMYFUNCTION("""COMPUTED_VALUE"""),45949.282235076425)</f>
        <v>45949.28224</v>
      </c>
    </row>
    <row r="177">
      <c r="A177" s="1">
        <f>IFERROR(__xludf.DUMMYFUNCTION("""COMPUTED_VALUE"""),176.0)</f>
        <v>176</v>
      </c>
      <c r="B177" s="1">
        <f>IFERROR(__xludf.DUMMYFUNCTION("""COMPUTED_VALUE"""),10486.0)</f>
        <v>10486</v>
      </c>
      <c r="C177" s="13" t="str">
        <f>IFERROR(__xludf.DUMMYFUNCTION("""COMPUTED_VALUE"""),"Trahman")</f>
        <v>Trahman</v>
      </c>
      <c r="D177" s="2" t="str">
        <f>IFERROR(__xludf.DUMMYFUNCTION("""COMPUTED_VALUE"""),"10KM OVERALL M")</f>
        <v>10KM OVERALL M</v>
      </c>
      <c r="E177" s="1">
        <f>IFERROR(__xludf.DUMMYFUNCTION("""COMPUTED_VALUE"""),150.0)</f>
        <v>150</v>
      </c>
      <c r="F177" s="1" t="str">
        <f>IFERROR(__xludf.DUMMYFUNCTION("""COMPUTED_VALUE"""),"Male")</f>
        <v>Male</v>
      </c>
      <c r="G177" s="5">
        <f>IFERROR(__xludf.DUMMYFUNCTION("""COMPUTED_VALUE"""),0.00421890162037037)</f>
        <v>0.00421890162</v>
      </c>
      <c r="H177" s="14">
        <f>IFERROR(__xludf.DUMMYFUNCTION("""COMPUTED_VALUE"""),0.24646185185185185)</f>
        <v>0.2464618519</v>
      </c>
      <c r="I177" s="15">
        <f>IFERROR(__xludf.DUMMYFUNCTION("""COMPUTED_VALUE"""),45949.288650868286)</f>
        <v>45949.28865</v>
      </c>
      <c r="J177" s="15">
        <f>IFERROR(__xludf.DUMMYFUNCTION("""COMPUTED_VALUE"""),45949.042189016436)</f>
        <v>45949.04219</v>
      </c>
      <c r="K177" s="15">
        <f>IFERROR(__xludf.DUMMYFUNCTION("""COMPUTED_VALUE"""),45949.25676286668)</f>
        <v>45949.25676</v>
      </c>
      <c r="L177" s="15">
        <f>IFERROR(__xludf.DUMMYFUNCTION("""COMPUTED_VALUE"""),45949.28142604678)</f>
        <v>45949.28143</v>
      </c>
    </row>
    <row r="178">
      <c r="A178" s="1">
        <f>IFERROR(__xludf.DUMMYFUNCTION("""COMPUTED_VALUE"""),177.0)</f>
        <v>177</v>
      </c>
      <c r="B178" s="1">
        <f>IFERROR(__xludf.DUMMYFUNCTION("""COMPUTED_VALUE"""),12056.0)</f>
        <v>12056</v>
      </c>
      <c r="C178" s="13" t="str">
        <f>IFERROR(__xludf.DUMMYFUNCTION("""COMPUTED_VALUE"""),"Bakuh")</f>
        <v>Bakuh</v>
      </c>
      <c r="D178" s="2" t="str">
        <f>IFERROR(__xludf.DUMMYFUNCTION("""COMPUTED_VALUE"""),"10KM MASTER M")</f>
        <v>10KM MASTER M</v>
      </c>
      <c r="E178" s="1">
        <f>IFERROR(__xludf.DUMMYFUNCTION("""COMPUTED_VALUE"""),17.0)</f>
        <v>17</v>
      </c>
      <c r="F178" s="1" t="str">
        <f>IFERROR(__xludf.DUMMYFUNCTION("""COMPUTED_VALUE"""),"Male")</f>
        <v>Male</v>
      </c>
      <c r="G178" s="5">
        <f>IFERROR(__xludf.DUMMYFUNCTION("""COMPUTED_VALUE"""),0.004230707175925926)</f>
        <v>0.004230707176</v>
      </c>
      <c r="H178" s="14">
        <f>IFERROR(__xludf.DUMMYFUNCTION("""COMPUTED_VALUE"""),0.24646185185185185)</f>
        <v>0.2464618519</v>
      </c>
      <c r="I178" s="15">
        <f>IFERROR(__xludf.DUMMYFUNCTION("""COMPUTED_VALUE"""),45949.28876892503)</f>
        <v>45949.28877</v>
      </c>
      <c r="J178" s="15">
        <f>IFERROR(__xludf.DUMMYFUNCTION("""COMPUTED_VALUE"""),45949.04230707318)</f>
        <v>45949.04231</v>
      </c>
      <c r="K178" s="15">
        <f>IFERROR(__xludf.DUMMYFUNCTION("""COMPUTED_VALUE"""),45949.25639128955)</f>
        <v>45949.25639</v>
      </c>
      <c r="L178" s="15">
        <f>IFERROR(__xludf.DUMMYFUNCTION("""COMPUTED_VALUE"""),45949.28134964396)</f>
        <v>45949.28135</v>
      </c>
    </row>
    <row r="179">
      <c r="A179" s="1">
        <f>IFERROR(__xludf.DUMMYFUNCTION("""COMPUTED_VALUE"""),178.0)</f>
        <v>178</v>
      </c>
      <c r="B179" s="1">
        <f>IFERROR(__xludf.DUMMYFUNCTION("""COMPUTED_VALUE"""),10569.0)</f>
        <v>10569</v>
      </c>
      <c r="C179" s="13" t="str">
        <f>IFERROR(__xludf.DUMMYFUNCTION("""COMPUTED_VALUE"""),"MUHAMMAD REHAN")</f>
        <v>MUHAMMAD REHAN</v>
      </c>
      <c r="D179" s="2" t="str">
        <f>IFERROR(__xludf.DUMMYFUNCTION("""COMPUTED_VALUE"""),"10KM OVERALL M")</f>
        <v>10KM OVERALL M</v>
      </c>
      <c r="E179" s="1">
        <f>IFERROR(__xludf.DUMMYFUNCTION("""COMPUTED_VALUE"""),151.0)</f>
        <v>151</v>
      </c>
      <c r="F179" s="1" t="str">
        <f>IFERROR(__xludf.DUMMYFUNCTION("""COMPUTED_VALUE"""),"Male")</f>
        <v>Male</v>
      </c>
      <c r="G179" s="5">
        <f>IFERROR(__xludf.DUMMYFUNCTION("""COMPUTED_VALUE"""),0.00423591550925926)</f>
        <v>0.004235915509</v>
      </c>
      <c r="H179" s="14">
        <f>IFERROR(__xludf.DUMMYFUNCTION("""COMPUTED_VALUE"""),0.24646185185185185)</f>
        <v>0.2464618519</v>
      </c>
      <c r="I179" s="15">
        <f>IFERROR(__xludf.DUMMYFUNCTION("""COMPUTED_VALUE"""),45949.2888210075)</f>
        <v>45949.28882</v>
      </c>
      <c r="J179" s="15">
        <f>IFERROR(__xludf.DUMMYFUNCTION("""COMPUTED_VALUE"""),45949.042359155654)</f>
        <v>45949.04236</v>
      </c>
      <c r="K179" s="15">
        <f>IFERROR(__xludf.DUMMYFUNCTION("""COMPUTED_VALUE"""),45949.25780798945)</f>
        <v>45949.25781</v>
      </c>
      <c r="L179" s="15">
        <f>IFERROR(__xludf.DUMMYFUNCTION("""COMPUTED_VALUE"""),45949.28203715604)</f>
        <v>45949.28204</v>
      </c>
    </row>
    <row r="180">
      <c r="A180" s="1">
        <f>IFERROR(__xludf.DUMMYFUNCTION("""COMPUTED_VALUE"""),179.0)</f>
        <v>179</v>
      </c>
      <c r="B180" s="1">
        <f>IFERROR(__xludf.DUMMYFUNCTION("""COMPUTED_VALUE"""),10169.0)</f>
        <v>10169</v>
      </c>
      <c r="C180" s="13" t="str">
        <f>IFERROR(__xludf.DUMMYFUNCTION("""COMPUTED_VALUE"""),"Syarief")</f>
        <v>Syarief</v>
      </c>
      <c r="D180" s="2" t="str">
        <f>IFERROR(__xludf.DUMMYFUNCTION("""COMPUTED_VALUE"""),"10KM OVERALL M")</f>
        <v>10KM OVERALL M</v>
      </c>
      <c r="E180" s="1">
        <f>IFERROR(__xludf.DUMMYFUNCTION("""COMPUTED_VALUE"""),152.0)</f>
        <v>152</v>
      </c>
      <c r="F180" s="1" t="str">
        <f>IFERROR(__xludf.DUMMYFUNCTION("""COMPUTED_VALUE"""),"Male")</f>
        <v>Male</v>
      </c>
      <c r="G180" s="5">
        <f>IFERROR(__xludf.DUMMYFUNCTION("""COMPUTED_VALUE"""),0.004236719907407408)</f>
        <v>0.004236719907</v>
      </c>
      <c r="H180" s="14">
        <f>IFERROR(__xludf.DUMMYFUNCTION("""COMPUTED_VALUE"""),0.24646185185185185)</f>
        <v>0.2464618519</v>
      </c>
      <c r="I180" s="15">
        <f>IFERROR(__xludf.DUMMYFUNCTION("""COMPUTED_VALUE"""),45949.28882905576)</f>
        <v>45949.28883</v>
      </c>
      <c r="J180" s="15">
        <f>IFERROR(__xludf.DUMMYFUNCTION("""COMPUTED_VALUE"""),45949.04236720391)</f>
        <v>45949.04237</v>
      </c>
      <c r="K180" s="15">
        <f>IFERROR(__xludf.DUMMYFUNCTION("""COMPUTED_VALUE"""),45949.25781497044)</f>
        <v>45949.25781</v>
      </c>
      <c r="L180" s="15">
        <f>IFERROR(__xludf.DUMMYFUNCTION("""COMPUTED_VALUE"""),45949.28203368523)</f>
        <v>45949.28203</v>
      </c>
    </row>
    <row r="181">
      <c r="A181" s="1">
        <f>IFERROR(__xludf.DUMMYFUNCTION("""COMPUTED_VALUE"""),180.0)</f>
        <v>180</v>
      </c>
      <c r="B181" s="1">
        <f>IFERROR(__xludf.DUMMYFUNCTION("""COMPUTED_VALUE"""),10119.0)</f>
        <v>10119</v>
      </c>
      <c r="C181" s="13" t="str">
        <f>IFERROR(__xludf.DUMMYFUNCTION("""COMPUTED_VALUE"""),"Muhammad Ikbal")</f>
        <v>Muhammad Ikbal</v>
      </c>
      <c r="D181" s="2" t="str">
        <f>IFERROR(__xludf.DUMMYFUNCTION("""COMPUTED_VALUE"""),"10KM OVERALL M")</f>
        <v>10KM OVERALL M</v>
      </c>
      <c r="E181" s="1">
        <f>IFERROR(__xludf.DUMMYFUNCTION("""COMPUTED_VALUE"""),153.0)</f>
        <v>153</v>
      </c>
      <c r="F181" s="1" t="str">
        <f>IFERROR(__xludf.DUMMYFUNCTION("""COMPUTED_VALUE"""),"Male")</f>
        <v>Male</v>
      </c>
      <c r="G181" s="5">
        <f>IFERROR(__xludf.DUMMYFUNCTION("""COMPUTED_VALUE"""),0.004236957175925926)</f>
        <v>0.004236957176</v>
      </c>
      <c r="H181" s="14">
        <f>IFERROR(__xludf.DUMMYFUNCTION("""COMPUTED_VALUE"""),0.24646185185185185)</f>
        <v>0.2464618519</v>
      </c>
      <c r="I181" s="15">
        <f>IFERROR(__xludf.DUMMYFUNCTION("""COMPUTED_VALUE"""),45949.28883142479)</f>
        <v>45949.28883</v>
      </c>
      <c r="J181" s="15">
        <f>IFERROR(__xludf.DUMMYFUNCTION("""COMPUTED_VALUE"""),45949.04236957294)</f>
        <v>45949.04237</v>
      </c>
      <c r="K181" s="15">
        <f>IFERROR(__xludf.DUMMYFUNCTION("""COMPUTED_VALUE"""),45949.255776703154)</f>
        <v>45949.25578</v>
      </c>
      <c r="L181" s="15">
        <f>IFERROR(__xludf.DUMMYFUNCTION("""COMPUTED_VALUE"""),45949.2817732403)</f>
        <v>45949.28177</v>
      </c>
    </row>
    <row r="182">
      <c r="A182" s="1">
        <f>IFERROR(__xludf.DUMMYFUNCTION("""COMPUTED_VALUE"""),181.0)</f>
        <v>181</v>
      </c>
      <c r="B182" s="1">
        <f>IFERROR(__xludf.DUMMYFUNCTION("""COMPUTED_VALUE"""),10198.0)</f>
        <v>10198</v>
      </c>
      <c r="C182" s="13" t="str">
        <f>IFERROR(__xludf.DUMMYFUNCTION("""COMPUTED_VALUE"""),"Alfabet")</f>
        <v>Alfabet</v>
      </c>
      <c r="D182" s="2" t="str">
        <f>IFERROR(__xludf.DUMMYFUNCTION("""COMPUTED_VALUE"""),"10KM OVERALL M")</f>
        <v>10KM OVERALL M</v>
      </c>
      <c r="E182" s="1">
        <f>IFERROR(__xludf.DUMMYFUNCTION("""COMPUTED_VALUE"""),154.0)</f>
        <v>154</v>
      </c>
      <c r="F182" s="1" t="str">
        <f>IFERROR(__xludf.DUMMYFUNCTION("""COMPUTED_VALUE"""),"Male")</f>
        <v>Male</v>
      </c>
      <c r="G182" s="5">
        <f>IFERROR(__xludf.DUMMYFUNCTION("""COMPUTED_VALUE"""),0.004244248842592593)</f>
        <v>0.004244248843</v>
      </c>
      <c r="H182" s="14">
        <f>IFERROR(__xludf.DUMMYFUNCTION("""COMPUTED_VALUE"""),0.24646185185185185)</f>
        <v>0.2464618519</v>
      </c>
      <c r="I182" s="15">
        <f>IFERROR(__xludf.DUMMYFUNCTION("""COMPUTED_VALUE"""),45949.28890433817)</f>
        <v>45949.2889</v>
      </c>
      <c r="J182" s="15">
        <f>IFERROR(__xludf.DUMMYFUNCTION("""COMPUTED_VALUE"""),45949.04244248632)</f>
        <v>45949.04244</v>
      </c>
      <c r="K182" s="15">
        <f>IFERROR(__xludf.DUMMYFUNCTION("""COMPUTED_VALUE"""),45949.256637794235)</f>
        <v>45949.25664</v>
      </c>
      <c r="L182" s="15">
        <f>IFERROR(__xludf.DUMMYFUNCTION("""COMPUTED_VALUE"""),45949.28166907344)</f>
        <v>45949.28167</v>
      </c>
    </row>
    <row r="183">
      <c r="A183" s="1">
        <f>IFERROR(__xludf.DUMMYFUNCTION("""COMPUTED_VALUE"""),182.0)</f>
        <v>182</v>
      </c>
      <c r="B183" s="1">
        <f>IFERROR(__xludf.DUMMYFUNCTION("""COMPUTED_VALUE"""),10041.0)</f>
        <v>10041</v>
      </c>
      <c r="C183" s="13" t="str">
        <f>IFERROR(__xludf.DUMMYFUNCTION("""COMPUTED_VALUE"""),"Pattimura Muda")</f>
        <v>Pattimura Muda</v>
      </c>
      <c r="D183" s="2" t="str">
        <f>IFERROR(__xludf.DUMMYFUNCTION("""COMPUTED_VALUE"""),"10KM OVERALL M")</f>
        <v>10KM OVERALL M</v>
      </c>
      <c r="E183" s="1">
        <f>IFERROR(__xludf.DUMMYFUNCTION("""COMPUTED_VALUE"""),155.0)</f>
        <v>155</v>
      </c>
      <c r="F183" s="1" t="str">
        <f>IFERROR(__xludf.DUMMYFUNCTION("""COMPUTED_VALUE"""),"Male")</f>
        <v>Male</v>
      </c>
      <c r="G183" s="5">
        <f>IFERROR(__xludf.DUMMYFUNCTION("""COMPUTED_VALUE"""),0.004244597222222222)</f>
        <v>0.004244597222</v>
      </c>
      <c r="H183" s="14">
        <f>IFERROR(__xludf.DUMMYFUNCTION("""COMPUTED_VALUE"""),0.24646185185185185)</f>
        <v>0.2464618519</v>
      </c>
      <c r="I183" s="15">
        <f>IFERROR(__xludf.DUMMYFUNCTION("""COMPUTED_VALUE"""),45949.28890782126)</f>
        <v>45949.28891</v>
      </c>
      <c r="J183" s="15">
        <f>IFERROR(__xludf.DUMMYFUNCTION("""COMPUTED_VALUE"""),45949.04244596941)</f>
        <v>45949.04245</v>
      </c>
      <c r="K183" s="15">
        <f>IFERROR(__xludf.DUMMYFUNCTION("""COMPUTED_VALUE"""),45949.25690170579)</f>
        <v>45949.2569</v>
      </c>
      <c r="L183" s="15">
        <f>IFERROR(__xludf.DUMMYFUNCTION("""COMPUTED_VALUE"""),45949.28189478354)</f>
        <v>45949.28189</v>
      </c>
    </row>
    <row r="184">
      <c r="A184" s="1">
        <f>IFERROR(__xludf.DUMMYFUNCTION("""COMPUTED_VALUE"""),183.0)</f>
        <v>183</v>
      </c>
      <c r="B184" s="1">
        <f>IFERROR(__xludf.DUMMYFUNCTION("""COMPUTED_VALUE"""),10636.0)</f>
        <v>10636</v>
      </c>
      <c r="C184" s="13" t="str">
        <f>IFERROR(__xludf.DUMMYFUNCTION("""COMPUTED_VALUE"""),"RIYAL YUDISTIRA")</f>
        <v>RIYAL YUDISTIRA</v>
      </c>
      <c r="D184" s="2" t="str">
        <f>IFERROR(__xludf.DUMMYFUNCTION("""COMPUTED_VALUE"""),"10KM OVERALL M")</f>
        <v>10KM OVERALL M</v>
      </c>
      <c r="E184" s="1">
        <f>IFERROR(__xludf.DUMMYFUNCTION("""COMPUTED_VALUE"""),156.0)</f>
        <v>156</v>
      </c>
      <c r="F184" s="1" t="str">
        <f>IFERROR(__xludf.DUMMYFUNCTION("""COMPUTED_VALUE"""),"Male")</f>
        <v>Male</v>
      </c>
      <c r="G184" s="5">
        <f>IFERROR(__xludf.DUMMYFUNCTION("""COMPUTED_VALUE"""),0.004246332175925926)</f>
        <v>0.004246332176</v>
      </c>
      <c r="H184" s="14">
        <f>IFERROR(__xludf.DUMMYFUNCTION("""COMPUTED_VALUE"""),0.24646185185185185)</f>
        <v>0.2464618519</v>
      </c>
      <c r="I184" s="15">
        <f>IFERROR(__xludf.DUMMYFUNCTION("""COMPUTED_VALUE"""),45949.28892517183)</f>
        <v>45949.28893</v>
      </c>
      <c r="J184" s="15">
        <f>IFERROR(__xludf.DUMMYFUNCTION("""COMPUTED_VALUE"""),45949.04246331998)</f>
        <v>45949.04246</v>
      </c>
      <c r="K184" s="15">
        <f>IFERROR(__xludf.DUMMYFUNCTION("""COMPUTED_VALUE"""),45949.2575475207)</f>
        <v>45949.25755</v>
      </c>
      <c r="L184" s="15">
        <f>IFERROR(__xludf.DUMMYFUNCTION("""COMPUTED_VALUE"""),45949.28305102087)</f>
        <v>45949.28305</v>
      </c>
    </row>
    <row r="185">
      <c r="A185" s="1">
        <f>IFERROR(__xludf.DUMMYFUNCTION("""COMPUTED_VALUE"""),184.0)</f>
        <v>184</v>
      </c>
      <c r="B185" s="1">
        <f>IFERROR(__xludf.DUMMYFUNCTION("""COMPUTED_VALUE"""),10377.0)</f>
        <v>10377</v>
      </c>
      <c r="C185" s="13" t="str">
        <f>IFERROR(__xludf.DUMMYFUNCTION("""COMPUTED_VALUE"""),"rakha")</f>
        <v>rakha</v>
      </c>
      <c r="D185" s="2" t="str">
        <f>IFERROR(__xludf.DUMMYFUNCTION("""COMPUTED_VALUE"""),"10KM OVERALL M")</f>
        <v>10KM OVERALL M</v>
      </c>
      <c r="E185" s="1">
        <f>IFERROR(__xludf.DUMMYFUNCTION("""COMPUTED_VALUE"""),157.0)</f>
        <v>157</v>
      </c>
      <c r="F185" s="1" t="str">
        <f>IFERROR(__xludf.DUMMYFUNCTION("""COMPUTED_VALUE"""),"Male")</f>
        <v>Male</v>
      </c>
      <c r="G185" s="5">
        <f>IFERROR(__xludf.DUMMYFUNCTION("""COMPUTED_VALUE"""),0.004246333333333333)</f>
        <v>0.004246333333</v>
      </c>
      <c r="H185" s="14">
        <f>IFERROR(__xludf.DUMMYFUNCTION("""COMPUTED_VALUE"""),0.24646185185185185)</f>
        <v>0.2464618519</v>
      </c>
      <c r="I185" s="15">
        <f>IFERROR(__xludf.DUMMYFUNCTION("""COMPUTED_VALUE"""),45949.288925183944)</f>
        <v>45949.28893</v>
      </c>
      <c r="J185" s="15">
        <f>IFERROR(__xludf.DUMMYFUNCTION("""COMPUTED_VALUE"""),45949.042463332094)</f>
        <v>45949.04246</v>
      </c>
      <c r="K185" s="15">
        <f>IFERROR(__xludf.DUMMYFUNCTION("""COMPUTED_VALUE"""),45949.25877322114)</f>
        <v>45949.25877</v>
      </c>
      <c r="L185" s="15">
        <f>IFERROR(__xludf.DUMMYFUNCTION("""COMPUTED_VALUE"""),45949.2821309005)</f>
        <v>45949.28213</v>
      </c>
    </row>
    <row r="186">
      <c r="A186" s="1">
        <f>IFERROR(__xludf.DUMMYFUNCTION("""COMPUTED_VALUE"""),185.0)</f>
        <v>185</v>
      </c>
      <c r="B186" s="1">
        <f>IFERROR(__xludf.DUMMYFUNCTION("""COMPUTED_VALUE"""),10773.0)</f>
        <v>10773</v>
      </c>
      <c r="C186" s="13" t="str">
        <f>IFERROR(__xludf.DUMMYFUNCTION("""COMPUTED_VALUE"""),"REKA")</f>
        <v>REKA</v>
      </c>
      <c r="D186" s="2" t="str">
        <f>IFERROR(__xludf.DUMMYFUNCTION("""COMPUTED_VALUE"""),"10KM OVERALL M")</f>
        <v>10KM OVERALL M</v>
      </c>
      <c r="E186" s="1">
        <f>IFERROR(__xludf.DUMMYFUNCTION("""COMPUTED_VALUE"""),158.0)</f>
        <v>158</v>
      </c>
      <c r="F186" s="1" t="str">
        <f>IFERROR(__xludf.DUMMYFUNCTION("""COMPUTED_VALUE"""),"Female")</f>
        <v>Female</v>
      </c>
      <c r="G186" s="5">
        <f>IFERROR(__xludf.DUMMYFUNCTION("""COMPUTED_VALUE"""),0.004249804398148148)</f>
        <v>0.004249804398</v>
      </c>
      <c r="H186" s="14">
        <f>IFERROR(__xludf.DUMMYFUNCTION("""COMPUTED_VALUE"""),0.24646185185185185)</f>
        <v>0.2464618519</v>
      </c>
      <c r="I186" s="15">
        <f>IFERROR(__xludf.DUMMYFUNCTION("""COMPUTED_VALUE"""),45949.2889598972)</f>
        <v>45949.28896</v>
      </c>
      <c r="J186" s="15">
        <f>IFERROR(__xludf.DUMMYFUNCTION("""COMPUTED_VALUE"""),45949.04249804535)</f>
        <v>45949.0425</v>
      </c>
      <c r="K186" s="15">
        <f>IFERROR(__xludf.DUMMYFUNCTION("""COMPUTED_VALUE"""),45949.25645029229)</f>
        <v>45949.25645</v>
      </c>
      <c r="L186" s="15">
        <f>IFERROR(__xludf.DUMMYFUNCTION("""COMPUTED_VALUE"""),45949.28125936774)</f>
        <v>45949.28126</v>
      </c>
    </row>
    <row r="187">
      <c r="A187" s="1">
        <f>IFERROR(__xludf.DUMMYFUNCTION("""COMPUTED_VALUE"""),186.0)</f>
        <v>186</v>
      </c>
      <c r="B187" s="1">
        <f>IFERROR(__xludf.DUMMYFUNCTION("""COMPUTED_VALUE"""),10612.0)</f>
        <v>10612</v>
      </c>
      <c r="C187" s="13" t="str">
        <f>IFERROR(__xludf.DUMMYFUNCTION("""COMPUTED_VALUE"""),"syafrizal")</f>
        <v>syafrizal</v>
      </c>
      <c r="D187" s="2" t="str">
        <f>IFERROR(__xludf.DUMMYFUNCTION("""COMPUTED_VALUE"""),"10KM OVERALL M")</f>
        <v>10KM OVERALL M</v>
      </c>
      <c r="E187" s="1">
        <f>IFERROR(__xludf.DUMMYFUNCTION("""COMPUTED_VALUE"""),159.0)</f>
        <v>159</v>
      </c>
      <c r="F187" s="1" t="str">
        <f>IFERROR(__xludf.DUMMYFUNCTION("""COMPUTED_VALUE"""),"Male")</f>
        <v>Male</v>
      </c>
      <c r="G187" s="5">
        <f>IFERROR(__xludf.DUMMYFUNCTION("""COMPUTED_VALUE"""),0.004250498842592593)</f>
        <v>0.004250498843</v>
      </c>
      <c r="H187" s="14">
        <f>IFERROR(__xludf.DUMMYFUNCTION("""COMPUTED_VALUE"""),0.24646185185185185)</f>
        <v>0.2464618519</v>
      </c>
      <c r="I187" s="15">
        <f>IFERROR(__xludf.DUMMYFUNCTION("""COMPUTED_VALUE"""),45949.288966835724)</f>
        <v>45949.28897</v>
      </c>
      <c r="J187" s="15">
        <f>IFERROR(__xludf.DUMMYFUNCTION("""COMPUTED_VALUE"""),45949.042504983874)</f>
        <v>45949.0425</v>
      </c>
      <c r="K187" s="15">
        <f>IFERROR(__xludf.DUMMYFUNCTION("""COMPUTED_VALUE"""),45949.256436462594)</f>
        <v>45949.25644</v>
      </c>
      <c r="L187" s="15">
        <f>IFERROR(__xludf.DUMMYFUNCTION("""COMPUTED_VALUE"""),45949.281273250686)</f>
        <v>45949.28127</v>
      </c>
    </row>
    <row r="188">
      <c r="A188" s="1">
        <f>IFERROR(__xludf.DUMMYFUNCTION("""COMPUTED_VALUE"""),187.0)</f>
        <v>187</v>
      </c>
      <c r="B188" s="1">
        <f>IFERROR(__xludf.DUMMYFUNCTION("""COMPUTED_VALUE"""),10147.0)</f>
        <v>10147</v>
      </c>
      <c r="C188" s="13" t="str">
        <f>IFERROR(__xludf.DUMMYFUNCTION("""COMPUTED_VALUE"""),"Andi Masduki")</f>
        <v>Andi Masduki</v>
      </c>
      <c r="D188" s="2" t="str">
        <f>IFERROR(__xludf.DUMMYFUNCTION("""COMPUTED_VALUE"""),"10KM OVERALL M")</f>
        <v>10KM OVERALL M</v>
      </c>
      <c r="E188" s="1">
        <f>IFERROR(__xludf.DUMMYFUNCTION("""COMPUTED_VALUE"""),160.0)</f>
        <v>160</v>
      </c>
      <c r="F188" s="1" t="str">
        <f>IFERROR(__xludf.DUMMYFUNCTION("""COMPUTED_VALUE"""),"Male")</f>
        <v>Male</v>
      </c>
      <c r="G188" s="5">
        <f>IFERROR(__xludf.DUMMYFUNCTION("""COMPUTED_VALUE"""),0.0042516041666666666)</f>
        <v>0.004251604167</v>
      </c>
      <c r="H188" s="14">
        <f>IFERROR(__xludf.DUMMYFUNCTION("""COMPUTED_VALUE"""),0.24646185185185185)</f>
        <v>0.2464618519</v>
      </c>
      <c r="I188" s="15">
        <f>IFERROR(__xludf.DUMMYFUNCTION("""COMPUTED_VALUE"""),45949.28897789012)</f>
        <v>45949.28898</v>
      </c>
      <c r="J188" s="15">
        <f>IFERROR(__xludf.DUMMYFUNCTION("""COMPUTED_VALUE"""),45949.04251603827)</f>
        <v>45949.04252</v>
      </c>
      <c r="K188" s="15">
        <f>IFERROR(__xludf.DUMMYFUNCTION("""COMPUTED_VALUE"""),45949.25679752636)</f>
        <v>45949.2568</v>
      </c>
      <c r="L188" s="15">
        <f>IFERROR(__xludf.DUMMYFUNCTION("""COMPUTED_VALUE"""),45949.28231491751)</f>
        <v>45949.28231</v>
      </c>
    </row>
    <row r="189">
      <c r="A189" s="1">
        <f>IFERROR(__xludf.DUMMYFUNCTION("""COMPUTED_VALUE"""),188.0)</f>
        <v>188</v>
      </c>
      <c r="B189" s="1">
        <f>IFERROR(__xludf.DUMMYFUNCTION("""COMPUTED_VALUE"""),10417.0)</f>
        <v>10417</v>
      </c>
      <c r="C189" s="13" t="str">
        <f>IFERROR(__xludf.DUMMYFUNCTION("""COMPUTED_VALUE"""),"biiimata")</f>
        <v>biiimata</v>
      </c>
      <c r="D189" s="2" t="str">
        <f>IFERROR(__xludf.DUMMYFUNCTION("""COMPUTED_VALUE"""),"10KM OVERALL M")</f>
        <v>10KM OVERALL M</v>
      </c>
      <c r="E189" s="1">
        <f>IFERROR(__xludf.DUMMYFUNCTION("""COMPUTED_VALUE"""),161.0)</f>
        <v>161</v>
      </c>
      <c r="F189" s="1" t="str">
        <f>IFERROR(__xludf.DUMMYFUNCTION("""COMPUTED_VALUE"""),"Male")</f>
        <v>Male</v>
      </c>
      <c r="G189" s="5">
        <f>IFERROR(__xludf.DUMMYFUNCTION("""COMPUTED_VALUE"""),0.004256806712962963)</f>
        <v>0.004256806713</v>
      </c>
      <c r="H189" s="14">
        <f>IFERROR(__xludf.DUMMYFUNCTION("""COMPUTED_VALUE"""),0.24646185185185185)</f>
        <v>0.2464618519</v>
      </c>
      <c r="I189" s="15">
        <f>IFERROR(__xludf.DUMMYFUNCTION("""COMPUTED_VALUE"""),45949.28902992451)</f>
        <v>45949.28903</v>
      </c>
      <c r="J189" s="15">
        <f>IFERROR(__xludf.DUMMYFUNCTION("""COMPUTED_VALUE"""),45949.04256807266)</f>
        <v>45949.04257</v>
      </c>
      <c r="K189" s="15">
        <f>IFERROR(__xludf.DUMMYFUNCTION("""COMPUTED_VALUE"""),45949.25659612874)</f>
        <v>45949.2566</v>
      </c>
      <c r="L189" s="15">
        <f>IFERROR(__xludf.DUMMYFUNCTION("""COMPUTED_VALUE"""),45949.282332253984)</f>
        <v>45949.28233</v>
      </c>
    </row>
    <row r="190">
      <c r="A190" s="1">
        <f>IFERROR(__xludf.DUMMYFUNCTION("""COMPUTED_VALUE"""),189.0)</f>
        <v>189</v>
      </c>
      <c r="B190" s="1">
        <f>IFERROR(__xludf.DUMMYFUNCTION("""COMPUTED_VALUE"""),10109.0)</f>
        <v>10109</v>
      </c>
      <c r="C190" s="13" t="str">
        <f>IFERROR(__xludf.DUMMYFUNCTION("""COMPUTED_VALUE"""),"Bambang Wahyudi")</f>
        <v>Bambang Wahyudi</v>
      </c>
      <c r="D190" s="2" t="str">
        <f>IFERROR(__xludf.DUMMYFUNCTION("""COMPUTED_VALUE"""),"10KM OVERALL M")</f>
        <v>10KM OVERALL M</v>
      </c>
      <c r="E190" s="1">
        <f>IFERROR(__xludf.DUMMYFUNCTION("""COMPUTED_VALUE"""),162.0)</f>
        <v>162</v>
      </c>
      <c r="F190" s="1" t="str">
        <f>IFERROR(__xludf.DUMMYFUNCTION("""COMPUTED_VALUE"""),"Male")</f>
        <v>Male</v>
      </c>
      <c r="G190" s="5">
        <f>IFERROR(__xludf.DUMMYFUNCTION("""COMPUTED_VALUE"""),0.004262651620370371)</f>
        <v>0.00426265162</v>
      </c>
      <c r="H190" s="14">
        <f>IFERROR(__xludf.DUMMYFUNCTION("""COMPUTED_VALUE"""),0.24646185185185185)</f>
        <v>0.2464618519</v>
      </c>
      <c r="I190" s="15">
        <f>IFERROR(__xludf.DUMMYFUNCTION("""COMPUTED_VALUE"""),45949.28908837231)</f>
        <v>45949.28909</v>
      </c>
      <c r="J190" s="15">
        <f>IFERROR(__xludf.DUMMYFUNCTION("""COMPUTED_VALUE"""),45949.04262652046)</f>
        <v>45949.04263</v>
      </c>
      <c r="K190" s="15">
        <f>IFERROR(__xludf.DUMMYFUNCTION("""COMPUTED_VALUE"""),45949.25668294885)</f>
        <v>45949.25668</v>
      </c>
      <c r="L190" s="15">
        <f>IFERROR(__xludf.DUMMYFUNCTION("""COMPUTED_VALUE"""),45949.281394773876)</f>
        <v>45949.28139</v>
      </c>
    </row>
    <row r="191">
      <c r="A191" s="1">
        <f>IFERROR(__xludf.DUMMYFUNCTION("""COMPUTED_VALUE"""),190.0)</f>
        <v>190</v>
      </c>
      <c r="B191" s="1">
        <f>IFERROR(__xludf.DUMMYFUNCTION("""COMPUTED_VALUE"""),10443.0)</f>
        <v>10443</v>
      </c>
      <c r="C191" s="13" t="str">
        <f>IFERROR(__xludf.DUMMYFUNCTION("""COMPUTED_VALUE"""),"DAFFA NESTA M A")</f>
        <v>DAFFA NESTA M A</v>
      </c>
      <c r="D191" s="2" t="str">
        <f>IFERROR(__xludf.DUMMYFUNCTION("""COMPUTED_VALUE"""),"10KM OVERALL M")</f>
        <v>10KM OVERALL M</v>
      </c>
      <c r="E191" s="1">
        <f>IFERROR(__xludf.DUMMYFUNCTION("""COMPUTED_VALUE"""),163.0)</f>
        <v>163</v>
      </c>
      <c r="F191" s="1" t="str">
        <f>IFERROR(__xludf.DUMMYFUNCTION("""COMPUTED_VALUE"""),"Male")</f>
        <v>Male</v>
      </c>
      <c r="G191" s="5">
        <f>IFERROR(__xludf.DUMMYFUNCTION("""COMPUTED_VALUE"""),0.004264734953703704)</f>
        <v>0.004264734954</v>
      </c>
      <c r="H191" s="14">
        <f>IFERROR(__xludf.DUMMYFUNCTION("""COMPUTED_VALUE"""),0.24646185185185185)</f>
        <v>0.2464618519</v>
      </c>
      <c r="I191" s="15">
        <f>IFERROR(__xludf.DUMMYFUNCTION("""COMPUTED_VALUE"""),45949.289109196216)</f>
        <v>45949.28911</v>
      </c>
      <c r="J191" s="15">
        <f>IFERROR(__xludf.DUMMYFUNCTION("""COMPUTED_VALUE"""),45949.042647344366)</f>
        <v>45949.04265</v>
      </c>
      <c r="K191" s="15">
        <f>IFERROR(__xludf.DUMMYFUNCTION("""COMPUTED_VALUE"""),45949.25772465782)</f>
        <v>45949.25772</v>
      </c>
      <c r="L191" s="15">
        <f>IFERROR(__xludf.DUMMYFUNCTION("""COMPUTED_VALUE"""),45949.28217604646)</f>
        <v>45949.28218</v>
      </c>
    </row>
    <row r="192">
      <c r="A192" s="1">
        <f>IFERROR(__xludf.DUMMYFUNCTION("""COMPUTED_VALUE"""),191.0)</f>
        <v>191</v>
      </c>
      <c r="B192" s="1">
        <f>IFERROR(__xludf.DUMMYFUNCTION("""COMPUTED_VALUE"""),10218.0)</f>
        <v>10218</v>
      </c>
      <c r="C192" s="13" t="str">
        <f>IFERROR(__xludf.DUMMYFUNCTION("""COMPUTED_VALUE"""),"Ahmad Nawawi")</f>
        <v>Ahmad Nawawi</v>
      </c>
      <c r="D192" s="2" t="str">
        <f>IFERROR(__xludf.DUMMYFUNCTION("""COMPUTED_VALUE"""),"10KM OVERALL M")</f>
        <v>10KM OVERALL M</v>
      </c>
      <c r="E192" s="1">
        <f>IFERROR(__xludf.DUMMYFUNCTION("""COMPUTED_VALUE"""),164.0)</f>
        <v>164</v>
      </c>
      <c r="F192" s="1" t="str">
        <f>IFERROR(__xludf.DUMMYFUNCTION("""COMPUTED_VALUE"""),"Male")</f>
        <v>Male</v>
      </c>
      <c r="G192" s="5">
        <f>IFERROR(__xludf.DUMMYFUNCTION("""COMPUTED_VALUE"""),0.004288346064814814)</f>
        <v>0.004288346065</v>
      </c>
      <c r="H192" s="14">
        <f>IFERROR(__xludf.DUMMYFUNCTION("""COMPUTED_VALUE"""),0.24646185185185185)</f>
        <v>0.2464618519</v>
      </c>
      <c r="I192" s="15">
        <f>IFERROR(__xludf.DUMMYFUNCTION("""COMPUTED_VALUE"""),45949.28934530989)</f>
        <v>45949.28935</v>
      </c>
      <c r="J192" s="15">
        <f>IFERROR(__xludf.DUMMYFUNCTION("""COMPUTED_VALUE"""),45949.04288345804)</f>
        <v>45949.04288</v>
      </c>
      <c r="K192" s="15">
        <f>IFERROR(__xludf.DUMMYFUNCTION("""COMPUTED_VALUE"""),45949.25688792264)</f>
        <v>45949.25689</v>
      </c>
      <c r="L192" s="15">
        <f>IFERROR(__xludf.DUMMYFUNCTION("""COMPUTED_VALUE"""),45949.28175588563)</f>
        <v>45949.28176</v>
      </c>
    </row>
    <row r="193">
      <c r="A193" s="1">
        <f>IFERROR(__xludf.DUMMYFUNCTION("""COMPUTED_VALUE"""),192.0)</f>
        <v>192</v>
      </c>
      <c r="B193" s="1">
        <f>IFERROR(__xludf.DUMMYFUNCTION("""COMPUTED_VALUE"""),12039.0)</f>
        <v>12039</v>
      </c>
      <c r="C193" s="13" t="str">
        <f>IFERROR(__xludf.DUMMYFUNCTION("""COMPUTED_VALUE"""),"Supriadi")</f>
        <v>Supriadi</v>
      </c>
      <c r="D193" s="2" t="str">
        <f>IFERROR(__xludf.DUMMYFUNCTION("""COMPUTED_VALUE"""),"10KM MASTER M")</f>
        <v>10KM MASTER M</v>
      </c>
      <c r="E193" s="1">
        <f>IFERROR(__xludf.DUMMYFUNCTION("""COMPUTED_VALUE"""),18.0)</f>
        <v>18</v>
      </c>
      <c r="F193" s="1" t="str">
        <f>IFERROR(__xludf.DUMMYFUNCTION("""COMPUTED_VALUE"""),"Male")</f>
        <v>Male</v>
      </c>
      <c r="G193" s="5">
        <f>IFERROR(__xludf.DUMMYFUNCTION("""COMPUTED_VALUE"""),0.004288693287037037)</f>
        <v>0.004288693287</v>
      </c>
      <c r="H193" s="14">
        <f>IFERROR(__xludf.DUMMYFUNCTION("""COMPUTED_VALUE"""),0.24646185185185185)</f>
        <v>0.2464618519</v>
      </c>
      <c r="I193" s="15">
        <f>IFERROR(__xludf.DUMMYFUNCTION("""COMPUTED_VALUE"""),45949.289348784485)</f>
        <v>45949.28935</v>
      </c>
      <c r="J193" s="15">
        <f>IFERROR(__xludf.DUMMYFUNCTION("""COMPUTED_VALUE"""),45949.042886932635)</f>
        <v>45949.04289</v>
      </c>
      <c r="K193" s="15">
        <f>IFERROR(__xludf.DUMMYFUNCTION("""COMPUTED_VALUE"""),45949.25545031026)</f>
        <v>45949.25545</v>
      </c>
      <c r="L193" s="15">
        <f>IFERROR(__xludf.DUMMYFUNCTION("""COMPUTED_VALUE"""),45949.281193384595)</f>
        <v>45949.28119</v>
      </c>
    </row>
    <row r="194">
      <c r="A194" s="1">
        <f>IFERROR(__xludf.DUMMYFUNCTION("""COMPUTED_VALUE"""),193.0)</f>
        <v>193</v>
      </c>
      <c r="B194" s="1">
        <f>IFERROR(__xludf.DUMMYFUNCTION("""COMPUTED_VALUE"""),10069.0)</f>
        <v>10069</v>
      </c>
      <c r="C194" s="13" t="str">
        <f>IFERROR(__xludf.DUMMYFUNCTION("""COMPUTED_VALUE"""),"Putri Hadiati")</f>
        <v>Putri Hadiati</v>
      </c>
      <c r="D194" s="2" t="str">
        <f>IFERROR(__xludf.DUMMYFUNCTION("""COMPUTED_VALUE"""),"10KM OVERALL F")</f>
        <v>10KM OVERALL F</v>
      </c>
      <c r="E194" s="1">
        <f>IFERROR(__xludf.DUMMYFUNCTION("""COMPUTED_VALUE"""),9.0)</f>
        <v>9</v>
      </c>
      <c r="F194" s="1" t="str">
        <f>IFERROR(__xludf.DUMMYFUNCTION("""COMPUTED_VALUE"""),"Female")</f>
        <v>Female</v>
      </c>
      <c r="G194" s="5">
        <f>IFERROR(__xludf.DUMMYFUNCTION("""COMPUTED_VALUE"""),0.004289054398148149)</f>
        <v>0.004289054398</v>
      </c>
      <c r="H194" s="14">
        <f>IFERROR(__xludf.DUMMYFUNCTION("""COMPUTED_VALUE"""),0.24646185185185185)</f>
        <v>0.2464618519</v>
      </c>
      <c r="I194" s="15">
        <f>IFERROR(__xludf.DUMMYFUNCTION("""COMPUTED_VALUE"""),45949.2893523989)</f>
        <v>45949.28935</v>
      </c>
      <c r="J194" s="15">
        <f>IFERROR(__xludf.DUMMYFUNCTION("""COMPUTED_VALUE"""),45949.04289054705)</f>
        <v>45949.04289</v>
      </c>
      <c r="K194" s="15">
        <f>IFERROR(__xludf.DUMMYFUNCTION("""COMPUTED_VALUE"""),45949.25528099501)</f>
        <v>45949.25528</v>
      </c>
      <c r="L194" s="15">
        <f>IFERROR(__xludf.DUMMYFUNCTION("""COMPUTED_VALUE"""),45949.28168991107)</f>
        <v>45949.28169</v>
      </c>
    </row>
    <row r="195">
      <c r="A195" s="1">
        <f>IFERROR(__xludf.DUMMYFUNCTION("""COMPUTED_VALUE"""),194.0)</f>
        <v>194</v>
      </c>
      <c r="B195" s="1">
        <f>IFERROR(__xludf.DUMMYFUNCTION("""COMPUTED_VALUE"""),10650.0)</f>
        <v>10650</v>
      </c>
      <c r="C195" s="13" t="str">
        <f>IFERROR(__xludf.DUMMYFUNCTION("""COMPUTED_VALUE"""),"Dani Belucy")</f>
        <v>Dani Belucy</v>
      </c>
      <c r="D195" s="2" t="str">
        <f>IFERROR(__xludf.DUMMYFUNCTION("""COMPUTED_VALUE"""),"10KM OVERALL M")</f>
        <v>10KM OVERALL M</v>
      </c>
      <c r="E195" s="1">
        <f>IFERROR(__xludf.DUMMYFUNCTION("""COMPUTED_VALUE"""),165.0)</f>
        <v>165</v>
      </c>
      <c r="F195" s="1" t="str">
        <f>IFERROR(__xludf.DUMMYFUNCTION("""COMPUTED_VALUE"""),"Male")</f>
        <v>Male</v>
      </c>
      <c r="G195" s="5">
        <f>IFERROR(__xludf.DUMMYFUNCTION("""COMPUTED_VALUE"""),0.0042897361111111105)</f>
        <v>0.004289736111</v>
      </c>
      <c r="H195" s="14">
        <f>IFERROR(__xludf.DUMMYFUNCTION("""COMPUTED_VALUE"""),0.24646185185185185)</f>
        <v>0.2464618519</v>
      </c>
      <c r="I195" s="15">
        <f>IFERROR(__xludf.DUMMYFUNCTION("""COMPUTED_VALUE"""),45949.28935921181)</f>
        <v>45949.28936</v>
      </c>
      <c r="J195" s="15">
        <f>IFERROR(__xludf.DUMMYFUNCTION("""COMPUTED_VALUE"""),45949.04289735996)</f>
        <v>45949.0429</v>
      </c>
      <c r="K195" s="15">
        <f>IFERROR(__xludf.DUMMYFUNCTION("""COMPUTED_VALUE"""),45949.254443773294)</f>
        <v>45949.25444</v>
      </c>
      <c r="L195" s="15">
        <f>IFERROR(__xludf.DUMMYFUNCTION("""COMPUTED_VALUE"""),45949.281210757246)</f>
        <v>45949.28121</v>
      </c>
    </row>
    <row r="196">
      <c r="A196" s="1">
        <f>IFERROR(__xludf.DUMMYFUNCTION("""COMPUTED_VALUE"""),195.0)</f>
        <v>195</v>
      </c>
      <c r="B196" s="1">
        <f>IFERROR(__xludf.DUMMYFUNCTION("""COMPUTED_VALUE"""),10275.0)</f>
        <v>10275</v>
      </c>
      <c r="C196" s="13" t="str">
        <f>IFERROR(__xludf.DUMMYFUNCTION("""COMPUTED_VALUE"""),"NAZHARRR")</f>
        <v>NAZHARRR</v>
      </c>
      <c r="D196" s="2" t="str">
        <f>IFERROR(__xludf.DUMMYFUNCTION("""COMPUTED_VALUE"""),"10KM OVERALL M")</f>
        <v>10KM OVERALL M</v>
      </c>
      <c r="E196" s="1">
        <f>IFERROR(__xludf.DUMMYFUNCTION("""COMPUTED_VALUE"""),166.0)</f>
        <v>166</v>
      </c>
      <c r="F196" s="1" t="str">
        <f>IFERROR(__xludf.DUMMYFUNCTION("""COMPUTED_VALUE"""),"Male")</f>
        <v>Male</v>
      </c>
      <c r="G196" s="5">
        <f>IFERROR(__xludf.DUMMYFUNCTION("""COMPUTED_VALUE"""),0.0042900821759259255)</f>
        <v>0.004290082176</v>
      </c>
      <c r="H196" s="14">
        <f>IFERROR(__xludf.DUMMYFUNCTION("""COMPUTED_VALUE"""),0.24646185185185185)</f>
        <v>0.2464618519</v>
      </c>
      <c r="I196" s="15">
        <f>IFERROR(__xludf.DUMMYFUNCTION("""COMPUTED_VALUE"""),45949.2893626682)</f>
        <v>45949.28936</v>
      </c>
      <c r="J196" s="15">
        <f>IFERROR(__xludf.DUMMYFUNCTION("""COMPUTED_VALUE"""),45949.04290081635)</f>
        <v>45949.0429</v>
      </c>
      <c r="K196" s="15">
        <f>IFERROR(__xludf.DUMMYFUNCTION("""COMPUTED_VALUE"""),45949.25671771225)</f>
        <v>45949.25672</v>
      </c>
      <c r="L196" s="15">
        <f>IFERROR(__xludf.DUMMYFUNCTION("""COMPUTED_VALUE"""),45949.28213437554)</f>
        <v>45949.28213</v>
      </c>
    </row>
    <row r="197">
      <c r="A197" s="1">
        <f>IFERROR(__xludf.DUMMYFUNCTION("""COMPUTED_VALUE"""),196.0)</f>
        <v>196</v>
      </c>
      <c r="B197" s="1">
        <f>IFERROR(__xludf.DUMMYFUNCTION("""COMPUTED_VALUE"""),10181.0)</f>
        <v>10181</v>
      </c>
      <c r="C197" s="13" t="str">
        <f>IFERROR(__xludf.DUMMYFUNCTION("""COMPUTED_VALUE"""),"Ardea")</f>
        <v>Ardea</v>
      </c>
      <c r="D197" s="2" t="str">
        <f>IFERROR(__xludf.DUMMYFUNCTION("""COMPUTED_VALUE"""),"10KM OVERALL M")</f>
        <v>10KM OVERALL M</v>
      </c>
      <c r="E197" s="1">
        <f>IFERROR(__xludf.DUMMYFUNCTION("""COMPUTED_VALUE"""),167.0)</f>
        <v>167</v>
      </c>
      <c r="F197" s="1" t="str">
        <f>IFERROR(__xludf.DUMMYFUNCTION("""COMPUTED_VALUE"""),"Male")</f>
        <v>Male</v>
      </c>
      <c r="G197" s="5">
        <f>IFERROR(__xludf.DUMMYFUNCTION("""COMPUTED_VALUE"""),0.0042945960648148145)</f>
        <v>0.004294596065</v>
      </c>
      <c r="H197" s="14">
        <f>IFERROR(__xludf.DUMMYFUNCTION("""COMPUTED_VALUE"""),0.24646185185185185)</f>
        <v>0.2464618519</v>
      </c>
      <c r="I197" s="15">
        <f>IFERROR(__xludf.DUMMYFUNCTION("""COMPUTED_VALUE"""),45949.28940781506)</f>
        <v>45949.28941</v>
      </c>
      <c r="J197" s="15">
        <f>IFERROR(__xludf.DUMMYFUNCTION("""COMPUTED_VALUE"""),45949.04294596321)</f>
        <v>45949.04295</v>
      </c>
      <c r="K197" s="15">
        <f>IFERROR(__xludf.DUMMYFUNCTION("""COMPUTED_VALUE"""),45949.25577327387)</f>
        <v>45949.25577</v>
      </c>
      <c r="L197" s="15">
        <f>IFERROR(__xludf.DUMMYFUNCTION("""COMPUTED_VALUE"""),45949.281078880944)</f>
        <v>45949.28108</v>
      </c>
    </row>
    <row r="198">
      <c r="A198" s="1">
        <f>IFERROR(__xludf.DUMMYFUNCTION("""COMPUTED_VALUE"""),197.0)</f>
        <v>197</v>
      </c>
      <c r="B198" s="1">
        <f>IFERROR(__xludf.DUMMYFUNCTION("""COMPUTED_VALUE"""),10583.0)</f>
        <v>10583</v>
      </c>
      <c r="C198" s="13" t="str">
        <f>IFERROR(__xludf.DUMMYFUNCTION("""COMPUTED_VALUE"""),"uchupers")</f>
        <v>uchupers</v>
      </c>
      <c r="D198" s="2" t="str">
        <f>IFERROR(__xludf.DUMMYFUNCTION("""COMPUTED_VALUE"""),"10KM OVERALL M")</f>
        <v>10KM OVERALL M</v>
      </c>
      <c r="E198" s="1">
        <f>IFERROR(__xludf.DUMMYFUNCTION("""COMPUTED_VALUE"""),168.0)</f>
        <v>168</v>
      </c>
      <c r="F198" s="1" t="str">
        <f>IFERROR(__xludf.DUMMYFUNCTION("""COMPUTED_VALUE"""),"Male")</f>
        <v>Male</v>
      </c>
      <c r="G198" s="5">
        <f>IFERROR(__xludf.DUMMYFUNCTION("""COMPUTED_VALUE"""),0.00429702662037037)</f>
        <v>0.00429702662</v>
      </c>
      <c r="H198" s="14">
        <f>IFERROR(__xludf.DUMMYFUNCTION("""COMPUTED_VALUE"""),0.24646185185185185)</f>
        <v>0.2464618519</v>
      </c>
      <c r="I198" s="15">
        <f>IFERROR(__xludf.DUMMYFUNCTION("""COMPUTED_VALUE"""),45949.28943211451)</f>
        <v>45949.28943</v>
      </c>
      <c r="J198" s="15">
        <f>IFERROR(__xludf.DUMMYFUNCTION("""COMPUTED_VALUE"""),45949.04297026266)</f>
        <v>45949.04297</v>
      </c>
      <c r="K198" s="15">
        <f>IFERROR(__xludf.DUMMYFUNCTION("""COMPUTED_VALUE"""),45949.25661002399)</f>
        <v>45949.25661</v>
      </c>
      <c r="L198" s="15">
        <f>IFERROR(__xludf.DUMMYFUNCTION("""COMPUTED_VALUE"""),45949.28223505968)</f>
        <v>45949.28224</v>
      </c>
    </row>
    <row r="199">
      <c r="A199" s="1">
        <f>IFERROR(__xludf.DUMMYFUNCTION("""COMPUTED_VALUE"""),198.0)</f>
        <v>198</v>
      </c>
      <c r="B199" s="1">
        <f>IFERROR(__xludf.DUMMYFUNCTION("""COMPUTED_VALUE"""),12031.0)</f>
        <v>12031</v>
      </c>
      <c r="C199" s="13" t="str">
        <f>IFERROR(__xludf.DUMMYFUNCTION("""COMPUTED_VALUE"""),"Aya")</f>
        <v>Aya</v>
      </c>
      <c r="D199" s="2" t="str">
        <f>IFERROR(__xludf.DUMMYFUNCTION("""COMPUTED_VALUE"""),"10KM MASTER F")</f>
        <v>10KM MASTER F</v>
      </c>
      <c r="E199" s="1">
        <f>IFERROR(__xludf.DUMMYFUNCTION("""COMPUTED_VALUE"""),3.0)</f>
        <v>3</v>
      </c>
      <c r="F199" s="1" t="str">
        <f>IFERROR(__xludf.DUMMYFUNCTION("""COMPUTED_VALUE"""),"Female")</f>
        <v>Female</v>
      </c>
      <c r="G199" s="5">
        <f>IFERROR(__xludf.DUMMYFUNCTION("""COMPUTED_VALUE"""),0.004297369212962964)</f>
        <v>0.004297369213</v>
      </c>
      <c r="H199" s="14">
        <f>IFERROR(__xludf.DUMMYFUNCTION("""COMPUTED_VALUE"""),0.24646185185185185)</f>
        <v>0.2464618519</v>
      </c>
      <c r="I199" s="15">
        <f>IFERROR(__xludf.DUMMYFUNCTION("""COMPUTED_VALUE"""),45949.28943554648)</f>
        <v>45949.28944</v>
      </c>
      <c r="J199" s="15">
        <f>IFERROR(__xludf.DUMMYFUNCTION("""COMPUTED_VALUE"""),45949.04297369463)</f>
        <v>45949.04297</v>
      </c>
      <c r="K199" s="15">
        <f>IFERROR(__xludf.DUMMYFUNCTION("""COMPUTED_VALUE"""),45949.25558572649)</f>
        <v>45949.25559</v>
      </c>
      <c r="L199" s="15">
        <f>IFERROR(__xludf.DUMMYFUNCTION("""COMPUTED_VALUE"""),45949.28160657989)</f>
        <v>45949.28161</v>
      </c>
    </row>
    <row r="200">
      <c r="A200" s="1">
        <f>IFERROR(__xludf.DUMMYFUNCTION("""COMPUTED_VALUE"""),199.0)</f>
        <v>199</v>
      </c>
      <c r="B200" s="1">
        <f>IFERROR(__xludf.DUMMYFUNCTION("""COMPUTED_VALUE"""),10649.0)</f>
        <v>10649</v>
      </c>
      <c r="C200" s="13" t="str">
        <f>IFERROR(__xludf.DUMMYFUNCTION("""COMPUTED_VALUE"""),"KAHFI")</f>
        <v>KAHFI</v>
      </c>
      <c r="D200" s="2" t="str">
        <f>IFERROR(__xludf.DUMMYFUNCTION("""COMPUTED_VALUE"""),"10KM OVERALL M")</f>
        <v>10KM OVERALL M</v>
      </c>
      <c r="E200" s="1">
        <f>IFERROR(__xludf.DUMMYFUNCTION("""COMPUTED_VALUE"""),169.0)</f>
        <v>169</v>
      </c>
      <c r="F200" s="1" t="str">
        <f>IFERROR(__xludf.DUMMYFUNCTION("""COMPUTED_VALUE"""),"Male")</f>
        <v>Male</v>
      </c>
      <c r="G200" s="5">
        <f>IFERROR(__xludf.DUMMYFUNCTION("""COMPUTED_VALUE"""),0.004324804398148148)</f>
        <v>0.004324804398</v>
      </c>
      <c r="H200" s="14">
        <f>IFERROR(__xludf.DUMMYFUNCTION("""COMPUTED_VALUE"""),0.24646185185185185)</f>
        <v>0.2464618519</v>
      </c>
      <c r="I200" s="15">
        <f>IFERROR(__xludf.DUMMYFUNCTION("""COMPUTED_VALUE"""),45949.28970989831)</f>
        <v>45949.28971</v>
      </c>
      <c r="J200" s="15">
        <f>IFERROR(__xludf.DUMMYFUNCTION("""COMPUTED_VALUE"""),45949.04324804646)</f>
        <v>45949.04325</v>
      </c>
      <c r="K200" s="15">
        <f>IFERROR(__xludf.DUMMYFUNCTION("""COMPUTED_VALUE"""),45949.25673502215)</f>
        <v>45949.25674</v>
      </c>
      <c r="L200" s="15">
        <f>IFERROR(__xludf.DUMMYFUNCTION("""COMPUTED_VALUE"""),45949.28240863558)</f>
        <v>45949.28241</v>
      </c>
    </row>
    <row r="201">
      <c r="A201" s="1">
        <f>IFERROR(__xludf.DUMMYFUNCTION("""COMPUTED_VALUE"""),200.0)</f>
        <v>200</v>
      </c>
      <c r="B201" s="1">
        <f>IFERROR(__xludf.DUMMYFUNCTION("""COMPUTED_VALUE"""),10140.0)</f>
        <v>10140</v>
      </c>
      <c r="C201" s="13" t="str">
        <f>IFERROR(__xludf.DUMMYFUNCTION("""COMPUTED_VALUE"""),"Rakha")</f>
        <v>Rakha</v>
      </c>
      <c r="D201" s="2" t="str">
        <f>IFERROR(__xludf.DUMMYFUNCTION("""COMPUTED_VALUE"""),"10KM OVERALL M")</f>
        <v>10KM OVERALL M</v>
      </c>
      <c r="E201" s="1">
        <f>IFERROR(__xludf.DUMMYFUNCTION("""COMPUTED_VALUE"""),170.0)</f>
        <v>170</v>
      </c>
      <c r="F201" s="1" t="str">
        <f>IFERROR(__xludf.DUMMYFUNCTION("""COMPUTED_VALUE"""),"Male")</f>
        <v>Male</v>
      </c>
      <c r="G201" s="5">
        <f>IFERROR(__xludf.DUMMYFUNCTION("""COMPUTED_VALUE"""),0.00432827662037037)</f>
        <v>0.00432827662</v>
      </c>
      <c r="H201" s="14">
        <f>IFERROR(__xludf.DUMMYFUNCTION("""COMPUTED_VALUE"""),0.24646185185185185)</f>
        <v>0.2464618519</v>
      </c>
      <c r="I201" s="15">
        <f>IFERROR(__xludf.DUMMYFUNCTION("""COMPUTED_VALUE"""),45949.289744618836)</f>
        <v>45949.28974</v>
      </c>
      <c r="J201" s="15">
        <f>IFERROR(__xludf.DUMMYFUNCTION("""COMPUTED_VALUE"""),45949.04328276699)</f>
        <v>45949.04328</v>
      </c>
      <c r="K201" s="15">
        <f>IFERROR(__xludf.DUMMYFUNCTION("""COMPUTED_VALUE"""),45949.25686007777)</f>
        <v>45949.25686</v>
      </c>
      <c r="L201" s="15">
        <f>IFERROR(__xludf.DUMMYFUNCTION("""COMPUTED_VALUE"""),45949.28283573991)</f>
        <v>45949.28284</v>
      </c>
    </row>
    <row r="202">
      <c r="A202" s="1">
        <f>IFERROR(__xludf.DUMMYFUNCTION("""COMPUTED_VALUE"""),201.0)</f>
        <v>201</v>
      </c>
      <c r="B202" s="1">
        <f>IFERROR(__xludf.DUMMYFUNCTION("""COMPUTED_VALUE"""),10164.0)</f>
        <v>10164</v>
      </c>
      <c r="C202" s="13" t="str">
        <f>IFERROR(__xludf.DUMMYFUNCTION("""COMPUTED_VALUE"""),"Aldyyosh")</f>
        <v>Aldyyosh</v>
      </c>
      <c r="D202" s="2" t="str">
        <f>IFERROR(__xludf.DUMMYFUNCTION("""COMPUTED_VALUE"""),"10KM OVERALL M")</f>
        <v>10KM OVERALL M</v>
      </c>
      <c r="E202" s="1">
        <f>IFERROR(__xludf.DUMMYFUNCTION("""COMPUTED_VALUE"""),171.0)</f>
        <v>171</v>
      </c>
      <c r="F202" s="1" t="str">
        <f>IFERROR(__xludf.DUMMYFUNCTION("""COMPUTED_VALUE"""),"Male")</f>
        <v>Male</v>
      </c>
      <c r="G202" s="5">
        <f>IFERROR(__xludf.DUMMYFUNCTION("""COMPUTED_VALUE"""),0.004336263888888889)</f>
        <v>0.004336263889</v>
      </c>
      <c r="H202" s="14">
        <f>IFERROR(__xludf.DUMMYFUNCTION("""COMPUTED_VALUE"""),0.24646185185185185)</f>
        <v>0.2464618519</v>
      </c>
      <c r="I202" s="15">
        <f>IFERROR(__xludf.DUMMYFUNCTION("""COMPUTED_VALUE"""),45949.28982448594)</f>
        <v>45949.28982</v>
      </c>
      <c r="J202" s="15">
        <f>IFERROR(__xludf.DUMMYFUNCTION("""COMPUTED_VALUE"""),45949.04336263409)</f>
        <v>45949.04336</v>
      </c>
      <c r="K202" s="15">
        <f>IFERROR(__xludf.DUMMYFUNCTION("""COMPUTED_VALUE"""),45949.25670035582)</f>
        <v>45949.2567</v>
      </c>
      <c r="L202" s="15">
        <f>IFERROR(__xludf.DUMMYFUNCTION("""COMPUTED_VALUE"""),45949.28213436396)</f>
        <v>45949.28213</v>
      </c>
    </row>
    <row r="203">
      <c r="A203" s="1">
        <f>IFERROR(__xludf.DUMMYFUNCTION("""COMPUTED_VALUE"""),202.0)</f>
        <v>202</v>
      </c>
      <c r="B203" s="1">
        <f>IFERROR(__xludf.DUMMYFUNCTION("""COMPUTED_VALUE"""),12047.0)</f>
        <v>12047</v>
      </c>
      <c r="C203" s="13" t="str">
        <f>IFERROR(__xludf.DUMMYFUNCTION("""COMPUTED_VALUE"""),"HF 423 R1")</f>
        <v>HF 423 R1</v>
      </c>
      <c r="D203" s="2" t="str">
        <f>IFERROR(__xludf.DUMMYFUNCTION("""COMPUTED_VALUE"""),"10KM MASTER M")</f>
        <v>10KM MASTER M</v>
      </c>
      <c r="E203" s="1">
        <f>IFERROR(__xludf.DUMMYFUNCTION("""COMPUTED_VALUE"""),19.0)</f>
        <v>19</v>
      </c>
      <c r="F203" s="1" t="str">
        <f>IFERROR(__xludf.DUMMYFUNCTION("""COMPUTED_VALUE"""),"Male")</f>
        <v>Male</v>
      </c>
      <c r="G203" s="5">
        <f>IFERROR(__xludf.DUMMYFUNCTION("""COMPUTED_VALUE"""),0.004345637731481481)</f>
        <v>0.004345637731</v>
      </c>
      <c r="H203" s="14">
        <f>IFERROR(__xludf.DUMMYFUNCTION("""COMPUTED_VALUE"""),0.24646185185185185)</f>
        <v>0.2464618519</v>
      </c>
      <c r="I203" s="15">
        <f>IFERROR(__xludf.DUMMYFUNCTION("""COMPUTED_VALUE"""),45949.28991823115)</f>
        <v>45949.28992</v>
      </c>
      <c r="J203" s="15">
        <f>IFERROR(__xludf.DUMMYFUNCTION("""COMPUTED_VALUE"""),45949.0434563793)</f>
        <v>45949.04346</v>
      </c>
      <c r="K203" s="15">
        <f>IFERROR(__xludf.DUMMYFUNCTION("""COMPUTED_VALUE"""),45949.25478715953)</f>
        <v>45949.25479</v>
      </c>
      <c r="L203" s="15">
        <f>IFERROR(__xludf.DUMMYFUNCTION("""COMPUTED_VALUE"""),45949.28200936785)</f>
        <v>45949.28201</v>
      </c>
    </row>
    <row r="204">
      <c r="A204" s="1">
        <f>IFERROR(__xludf.DUMMYFUNCTION("""COMPUTED_VALUE"""),203.0)</f>
        <v>203</v>
      </c>
      <c r="B204" s="1">
        <f>IFERROR(__xludf.DUMMYFUNCTION("""COMPUTED_VALUE"""),10570.0)</f>
        <v>10570</v>
      </c>
      <c r="C204" s="13" t="str">
        <f>IFERROR(__xludf.DUMMYFUNCTION("""COMPUTED_VALUE"""),"didit")</f>
        <v>didit</v>
      </c>
      <c r="D204" s="2" t="str">
        <f>IFERROR(__xludf.DUMMYFUNCTION("""COMPUTED_VALUE"""),"10KM OVERALL M")</f>
        <v>10KM OVERALL M</v>
      </c>
      <c r="E204" s="1">
        <f>IFERROR(__xludf.DUMMYFUNCTION("""COMPUTED_VALUE"""),172.0)</f>
        <v>172</v>
      </c>
      <c r="F204" s="1" t="str">
        <f>IFERROR(__xludf.DUMMYFUNCTION("""COMPUTED_VALUE"""),"Male")</f>
        <v>Male</v>
      </c>
      <c r="G204" s="5">
        <f>IFERROR(__xludf.DUMMYFUNCTION("""COMPUTED_VALUE"""),0.004346013888888889)</f>
        <v>0.004346013889</v>
      </c>
      <c r="H204" s="14">
        <f>IFERROR(__xludf.DUMMYFUNCTION("""COMPUTED_VALUE"""),0.24646185185185185)</f>
        <v>0.2464618519</v>
      </c>
      <c r="I204" s="15">
        <f>IFERROR(__xludf.DUMMYFUNCTION("""COMPUTED_VALUE"""),45949.289921993004)</f>
        <v>45949.28992</v>
      </c>
      <c r="J204" s="15">
        <f>IFERROR(__xludf.DUMMYFUNCTION("""COMPUTED_VALUE"""),45949.043460141154)</f>
        <v>45949.04346</v>
      </c>
      <c r="K204" s="15">
        <f>IFERROR(__xludf.DUMMYFUNCTION("""COMPUTED_VALUE"""),45949.25658229508)</f>
        <v>45949.25658</v>
      </c>
      <c r="L204" s="15">
        <f>IFERROR(__xludf.DUMMYFUNCTION("""COMPUTED_VALUE"""),45949.28201979406)</f>
        <v>45949.28202</v>
      </c>
    </row>
    <row r="205">
      <c r="A205" s="1">
        <f>IFERROR(__xludf.DUMMYFUNCTION("""COMPUTED_VALUE"""),204.0)</f>
        <v>204</v>
      </c>
      <c r="B205" s="1">
        <f>IFERROR(__xludf.DUMMYFUNCTION("""COMPUTED_VALUE"""),10343.0)</f>
        <v>10343</v>
      </c>
      <c r="C205" s="13" t="str">
        <f>IFERROR(__xludf.DUMMYFUNCTION("""COMPUTED_VALUE"""),"hadi")</f>
        <v>hadi</v>
      </c>
      <c r="D205" s="2" t="str">
        <f>IFERROR(__xludf.DUMMYFUNCTION("""COMPUTED_VALUE"""),"10KM OVERALL M")</f>
        <v>10KM OVERALL M</v>
      </c>
      <c r="E205" s="1">
        <f>IFERROR(__xludf.DUMMYFUNCTION("""COMPUTED_VALUE"""),173.0)</f>
        <v>173</v>
      </c>
      <c r="F205" s="1" t="str">
        <f>IFERROR(__xludf.DUMMYFUNCTION("""COMPUTED_VALUE"""),"Male")</f>
        <v>Male</v>
      </c>
      <c r="G205" s="5">
        <f>IFERROR(__xludf.DUMMYFUNCTION("""COMPUTED_VALUE"""),0.004347370370370371)</f>
        <v>0.00434737037</v>
      </c>
      <c r="H205" s="14">
        <f>IFERROR(__xludf.DUMMYFUNCTION("""COMPUTED_VALUE"""),0.24646185185185185)</f>
        <v>0.2464618519</v>
      </c>
      <c r="I205" s="15">
        <f>IFERROR(__xludf.DUMMYFUNCTION("""COMPUTED_VALUE"""),45949.289935550136)</f>
        <v>45949.28994</v>
      </c>
      <c r="J205" s="15">
        <f>IFERROR(__xludf.DUMMYFUNCTION("""COMPUTED_VALUE"""),45949.043473698286)</f>
        <v>45949.04347</v>
      </c>
      <c r="K205" s="15">
        <f>IFERROR(__xludf.DUMMYFUNCTION("""COMPUTED_VALUE"""),45949.25459613787)</f>
        <v>45949.2546</v>
      </c>
      <c r="L205" s="15">
        <f>IFERROR(__xludf.DUMMYFUNCTION("""COMPUTED_VALUE"""),45949.28290900728)</f>
        <v>45949.28291</v>
      </c>
    </row>
    <row r="206">
      <c r="A206" s="1">
        <f>IFERROR(__xludf.DUMMYFUNCTION("""COMPUTED_VALUE"""),205.0)</f>
        <v>205</v>
      </c>
      <c r="B206" s="1">
        <f>IFERROR(__xludf.DUMMYFUNCTION("""COMPUTED_VALUE"""),12030.0)</f>
        <v>12030</v>
      </c>
      <c r="C206" s="13" t="str">
        <f>IFERROR(__xludf.DUMMYFUNCTION("""COMPUTED_VALUE"""),"KaiRun")</f>
        <v>KaiRun</v>
      </c>
      <c r="D206" s="2" t="str">
        <f>IFERROR(__xludf.DUMMYFUNCTION("""COMPUTED_VALUE"""),"10KM MASTER M")</f>
        <v>10KM MASTER M</v>
      </c>
      <c r="E206" s="1">
        <f>IFERROR(__xludf.DUMMYFUNCTION("""COMPUTED_VALUE"""),20.0)</f>
        <v>20</v>
      </c>
      <c r="F206" s="1" t="str">
        <f>IFERROR(__xludf.DUMMYFUNCTION("""COMPUTED_VALUE"""),"Male")</f>
        <v>Male</v>
      </c>
      <c r="G206" s="5">
        <f>IFERROR(__xludf.DUMMYFUNCTION("""COMPUTED_VALUE"""),0.004349111111111111)</f>
        <v>0.004349111111</v>
      </c>
      <c r="H206" s="14">
        <f>IFERROR(__xludf.DUMMYFUNCTION("""COMPUTED_VALUE"""),0.24646185185185185)</f>
        <v>0.2464618519</v>
      </c>
      <c r="I206" s="15">
        <f>IFERROR(__xludf.DUMMYFUNCTION("""COMPUTED_VALUE"""),45949.289952960906)</f>
        <v>45949.28995</v>
      </c>
      <c r="J206" s="15">
        <f>IFERROR(__xludf.DUMMYFUNCTION("""COMPUTED_VALUE"""),45949.043491109056)</f>
        <v>45949.04349</v>
      </c>
      <c r="K206" s="15">
        <f>IFERROR(__xludf.DUMMYFUNCTION("""COMPUTED_VALUE"""),45949.257047517334)</f>
        <v>45949.25705</v>
      </c>
      <c r="L206" s="15">
        <f>IFERROR(__xludf.DUMMYFUNCTION("""COMPUTED_VALUE"""),45949.28248157741)</f>
        <v>45949.28248</v>
      </c>
    </row>
    <row r="207">
      <c r="A207" s="1">
        <f>IFERROR(__xludf.DUMMYFUNCTION("""COMPUTED_VALUE"""),206.0)</f>
        <v>206</v>
      </c>
      <c r="B207" s="1">
        <f>IFERROR(__xludf.DUMMYFUNCTION("""COMPUTED_VALUE"""),12084.0)</f>
        <v>12084</v>
      </c>
      <c r="C207" s="13" t="str">
        <f>IFERROR(__xludf.DUMMYFUNCTION("""COMPUTED_VALUE"""),"Suyono")</f>
        <v>Suyono</v>
      </c>
      <c r="D207" s="2" t="str">
        <f>IFERROR(__xludf.DUMMYFUNCTION("""COMPUTED_VALUE"""),"10KM MASTER M")</f>
        <v>10KM MASTER M</v>
      </c>
      <c r="E207" s="1">
        <f>IFERROR(__xludf.DUMMYFUNCTION("""COMPUTED_VALUE"""),21.0)</f>
        <v>21</v>
      </c>
      <c r="F207" s="1" t="str">
        <f>IFERROR(__xludf.DUMMYFUNCTION("""COMPUTED_VALUE"""),"Male")</f>
        <v>Male</v>
      </c>
      <c r="G207" s="5">
        <f>IFERROR(__xludf.DUMMYFUNCTION("""COMPUTED_VALUE"""),0.004350521990740741)</f>
        <v>0.004350521991</v>
      </c>
      <c r="H207" s="14">
        <f>IFERROR(__xludf.DUMMYFUNCTION("""COMPUTED_VALUE"""),0.24646185185185185)</f>
        <v>0.2464618519</v>
      </c>
      <c r="I207" s="15">
        <f>IFERROR(__xludf.DUMMYFUNCTION("""COMPUTED_VALUE"""),45949.28996706992)</f>
        <v>45949.28997</v>
      </c>
      <c r="J207" s="15">
        <f>IFERROR(__xludf.DUMMYFUNCTION("""COMPUTED_VALUE"""),45949.04350521807)</f>
        <v>45949.04351</v>
      </c>
      <c r="K207" s="15">
        <f>IFERROR(__xludf.DUMMYFUNCTION("""COMPUTED_VALUE"""),45949.25651979866)</f>
        <v>45949.25652</v>
      </c>
      <c r="L207" s="15">
        <f>IFERROR(__xludf.DUMMYFUNCTION("""COMPUTED_VALUE"""),45949.28210313167)</f>
        <v>45949.2821</v>
      </c>
    </row>
    <row r="208">
      <c r="A208" s="1">
        <f>IFERROR(__xludf.DUMMYFUNCTION("""COMPUTED_VALUE"""),207.0)</f>
        <v>207</v>
      </c>
      <c r="B208" s="1">
        <f>IFERROR(__xludf.DUMMYFUNCTION("""COMPUTED_VALUE"""),10376.0)</f>
        <v>10376</v>
      </c>
      <c r="C208" s="13" t="str">
        <f>IFERROR(__xludf.DUMMYFUNCTION("""COMPUTED_VALUE"""),"aulia")</f>
        <v>aulia</v>
      </c>
      <c r="D208" s="2" t="str">
        <f>IFERROR(__xludf.DUMMYFUNCTION("""COMPUTED_VALUE"""),"10KM OVERALL M")</f>
        <v>10KM OVERALL M</v>
      </c>
      <c r="E208" s="1">
        <f>IFERROR(__xludf.DUMMYFUNCTION("""COMPUTED_VALUE"""),174.0)</f>
        <v>174</v>
      </c>
      <c r="F208" s="1" t="str">
        <f>IFERROR(__xludf.DUMMYFUNCTION("""COMPUTED_VALUE"""),"Male")</f>
        <v>Male</v>
      </c>
      <c r="G208" s="5">
        <f>IFERROR(__xludf.DUMMYFUNCTION("""COMPUTED_VALUE"""),0.004356049768518519)</f>
        <v>0.004356049769</v>
      </c>
      <c r="H208" s="14">
        <f>IFERROR(__xludf.DUMMYFUNCTION("""COMPUTED_VALUE"""),0.24646185185185185)</f>
        <v>0.2464618519</v>
      </c>
      <c r="I208" s="15">
        <f>IFERROR(__xludf.DUMMYFUNCTION("""COMPUTED_VALUE"""),45949.290022344336)</f>
        <v>45949.29002</v>
      </c>
      <c r="J208" s="15">
        <f>IFERROR(__xludf.DUMMYFUNCTION("""COMPUTED_VALUE"""),45949.043560492486)</f>
        <v>45949.04356</v>
      </c>
      <c r="K208" s="15">
        <f>IFERROR(__xludf.DUMMYFUNCTION("""COMPUTED_VALUE"""),45949.2572141858)</f>
        <v>45949.25721</v>
      </c>
      <c r="L208" s="15">
        <f>IFERROR(__xludf.DUMMYFUNCTION("""COMPUTED_VALUE"""),45949.283037142704)</f>
        <v>45949.28304</v>
      </c>
    </row>
    <row r="209">
      <c r="A209" s="1">
        <f>IFERROR(__xludf.DUMMYFUNCTION("""COMPUTED_VALUE"""),208.0)</f>
        <v>208</v>
      </c>
      <c r="B209" s="1">
        <f>IFERROR(__xludf.DUMMYFUNCTION("""COMPUTED_VALUE"""),12046.0)</f>
        <v>12046</v>
      </c>
      <c r="C209" s="13" t="str">
        <f>IFERROR(__xludf.DUMMYFUNCTION("""COMPUTED_VALUE"""),"EN")</f>
        <v>EN</v>
      </c>
      <c r="D209" s="2" t="str">
        <f>IFERROR(__xludf.DUMMYFUNCTION("""COMPUTED_VALUE"""),"10KM MASTER M")</f>
        <v>10KM MASTER M</v>
      </c>
      <c r="E209" s="1">
        <f>IFERROR(__xludf.DUMMYFUNCTION("""COMPUTED_VALUE"""),22.0)</f>
        <v>22</v>
      </c>
      <c r="F209" s="1" t="str">
        <f>IFERROR(__xludf.DUMMYFUNCTION("""COMPUTED_VALUE"""),"Male")</f>
        <v>Male</v>
      </c>
      <c r="G209" s="5">
        <f>IFERROR(__xludf.DUMMYFUNCTION("""COMPUTED_VALUE"""),0.0043591793981481485)</f>
        <v>0.004359179398</v>
      </c>
      <c r="H209" s="14">
        <f>IFERROR(__xludf.DUMMYFUNCTION("""COMPUTED_VALUE"""),0.24646185185185185)</f>
        <v>0.2464618519</v>
      </c>
      <c r="I209" s="15">
        <f>IFERROR(__xludf.DUMMYFUNCTION("""COMPUTED_VALUE"""),45949.290053640914)</f>
        <v>45949.29005</v>
      </c>
      <c r="J209" s="15">
        <f>IFERROR(__xludf.DUMMYFUNCTION("""COMPUTED_VALUE"""),45949.043591789065)</f>
        <v>45949.04359</v>
      </c>
      <c r="K209" s="15">
        <f>IFERROR(__xludf.DUMMYFUNCTION("""COMPUTED_VALUE"""),45949.25778016865)</f>
        <v>45949.25778</v>
      </c>
      <c r="L209" s="15">
        <f>IFERROR(__xludf.DUMMYFUNCTION("""COMPUTED_VALUE"""),45949.2826031166)</f>
        <v>45949.2826</v>
      </c>
    </row>
    <row r="210">
      <c r="A210" s="1">
        <f>IFERROR(__xludf.DUMMYFUNCTION("""COMPUTED_VALUE"""),209.0)</f>
        <v>209</v>
      </c>
      <c r="B210" s="1">
        <f>IFERROR(__xludf.DUMMYFUNCTION("""COMPUTED_VALUE"""),10492.0)</f>
        <v>10492</v>
      </c>
      <c r="C210" s="13" t="str">
        <f>IFERROR(__xludf.DUMMYFUNCTION("""COMPUTED_VALUE"""),"Robi Ali Shabana")</f>
        <v>Robi Ali Shabana</v>
      </c>
      <c r="D210" s="2" t="str">
        <f>IFERROR(__xludf.DUMMYFUNCTION("""COMPUTED_VALUE"""),"10KM OVERALL M")</f>
        <v>10KM OVERALL M</v>
      </c>
      <c r="E210" s="1">
        <f>IFERROR(__xludf.DUMMYFUNCTION("""COMPUTED_VALUE"""),175.0)</f>
        <v>175</v>
      </c>
      <c r="F210" s="1" t="str">
        <f>IFERROR(__xludf.DUMMYFUNCTION("""COMPUTED_VALUE"""),"Male")</f>
        <v>Male</v>
      </c>
      <c r="G210" s="5">
        <f>IFERROR(__xludf.DUMMYFUNCTION("""COMPUTED_VALUE"""),0.004359875)</f>
        <v>0.004359875</v>
      </c>
      <c r="H210" s="14">
        <f>IFERROR(__xludf.DUMMYFUNCTION("""COMPUTED_VALUE"""),0.24646185185185185)</f>
        <v>0.2464618519</v>
      </c>
      <c r="I210" s="15">
        <f>IFERROR(__xludf.DUMMYFUNCTION("""COMPUTED_VALUE"""),45949.290060598665)</f>
        <v>45949.29006</v>
      </c>
      <c r="J210" s="15">
        <f>IFERROR(__xludf.DUMMYFUNCTION("""COMPUTED_VALUE"""),45949.043598746815)</f>
        <v>45949.0436</v>
      </c>
      <c r="K210" s="15">
        <f>IFERROR(__xludf.DUMMYFUNCTION("""COMPUTED_VALUE"""),45949.25687045808)</f>
        <v>45949.25687</v>
      </c>
      <c r="L210" s="15">
        <f>IFERROR(__xludf.DUMMYFUNCTION("""COMPUTED_VALUE"""),45949.28230102848)</f>
        <v>45949.2823</v>
      </c>
    </row>
    <row r="211">
      <c r="A211" s="1">
        <f>IFERROR(__xludf.DUMMYFUNCTION("""COMPUTED_VALUE"""),210.0)</f>
        <v>210</v>
      </c>
      <c r="B211" s="1">
        <f>IFERROR(__xludf.DUMMYFUNCTION("""COMPUTED_VALUE"""),12072.0)</f>
        <v>12072</v>
      </c>
      <c r="C211" s="13" t="str">
        <f>IFERROR(__xludf.DUMMYFUNCTION("""COMPUTED_VALUE"""),"Muhammad Wisnu")</f>
        <v>Muhammad Wisnu</v>
      </c>
      <c r="D211" s="2" t="str">
        <f>IFERROR(__xludf.DUMMYFUNCTION("""COMPUTED_VALUE"""),"10KM MASTER M")</f>
        <v>10KM MASTER M</v>
      </c>
      <c r="E211" s="1">
        <f>IFERROR(__xludf.DUMMYFUNCTION("""COMPUTED_VALUE"""),23.0)</f>
        <v>23</v>
      </c>
      <c r="F211" s="1" t="str">
        <f>IFERROR(__xludf.DUMMYFUNCTION("""COMPUTED_VALUE"""),"Male")</f>
        <v>Male</v>
      </c>
      <c r="G211" s="5">
        <f>IFERROR(__xludf.DUMMYFUNCTION("""COMPUTED_VALUE"""),0.00436091550925926)</f>
        <v>0.004360915509</v>
      </c>
      <c r="H211" s="14">
        <f>IFERROR(__xludf.DUMMYFUNCTION("""COMPUTED_VALUE"""),0.24646185185185185)</f>
        <v>0.2464618519</v>
      </c>
      <c r="I211" s="15">
        <f>IFERROR(__xludf.DUMMYFUNCTION("""COMPUTED_VALUE"""),45949.29007100745)</f>
        <v>45949.29007</v>
      </c>
      <c r="J211" s="15">
        <f>IFERROR(__xludf.DUMMYFUNCTION("""COMPUTED_VALUE"""),45949.0436091556)</f>
        <v>45949.04361</v>
      </c>
      <c r="K211" s="15">
        <f>IFERROR(__xludf.DUMMYFUNCTION("""COMPUTED_VALUE"""),45949.25536008205)</f>
        <v>45949.25536</v>
      </c>
      <c r="L211" s="15">
        <f>IFERROR(__xludf.DUMMYFUNCTION("""COMPUTED_VALUE"""),45949.28261005277)</f>
        <v>45949.28261</v>
      </c>
    </row>
    <row r="212">
      <c r="A212" s="1">
        <f>IFERROR(__xludf.DUMMYFUNCTION("""COMPUTED_VALUE"""),211.0)</f>
        <v>211</v>
      </c>
      <c r="B212" s="1">
        <f>IFERROR(__xludf.DUMMYFUNCTION("""COMPUTED_VALUE"""),10518.0)</f>
        <v>10518</v>
      </c>
      <c r="C212" s="13" t="str">
        <f>IFERROR(__xludf.DUMMYFUNCTION("""COMPUTED_VALUE"""),"AKMAL HIDAYAT HARAHAP")</f>
        <v>AKMAL HIDAYAT HARAHAP</v>
      </c>
      <c r="D212" s="2" t="str">
        <f>IFERROR(__xludf.DUMMYFUNCTION("""COMPUTED_VALUE"""),"10KM OVERALL M")</f>
        <v>10KM OVERALL M</v>
      </c>
      <c r="E212" s="1">
        <f>IFERROR(__xludf.DUMMYFUNCTION("""COMPUTED_VALUE"""),176.0)</f>
        <v>176</v>
      </c>
      <c r="F212" s="1" t="str">
        <f>IFERROR(__xludf.DUMMYFUNCTION("""COMPUTED_VALUE"""),"Male")</f>
        <v>Male</v>
      </c>
      <c r="G212" s="5">
        <f>IFERROR(__xludf.DUMMYFUNCTION("""COMPUTED_VALUE"""),0.004364387731481482)</f>
        <v>0.004364387731</v>
      </c>
      <c r="H212" s="14">
        <f>IFERROR(__xludf.DUMMYFUNCTION("""COMPUTED_VALUE"""),0.24646185185185185)</f>
        <v>0.2464618519</v>
      </c>
      <c r="I212" s="15">
        <f>IFERROR(__xludf.DUMMYFUNCTION("""COMPUTED_VALUE"""),45949.29010572783)</f>
        <v>45949.29011</v>
      </c>
      <c r="J212" s="15">
        <f>IFERROR(__xludf.DUMMYFUNCTION("""COMPUTED_VALUE"""),45949.04364387598)</f>
        <v>45949.04364</v>
      </c>
      <c r="K212" s="15">
        <f>IFERROR(__xludf.DUMMYFUNCTION("""COMPUTED_VALUE"""),45949.25532877903)</f>
        <v>45949.25533</v>
      </c>
      <c r="L212" s="15">
        <f>IFERROR(__xludf.DUMMYFUNCTION("""COMPUTED_VALUE"""),45949.2820128388)</f>
        <v>45949.28201</v>
      </c>
    </row>
    <row r="213">
      <c r="A213" s="1">
        <f>IFERROR(__xludf.DUMMYFUNCTION("""COMPUTED_VALUE"""),212.0)</f>
        <v>212</v>
      </c>
      <c r="B213" s="1">
        <f>IFERROR(__xludf.DUMMYFUNCTION("""COMPUTED_VALUE"""),10279.0)</f>
        <v>10279</v>
      </c>
      <c r="C213" s="13" t="str">
        <f>IFERROR(__xludf.DUMMYFUNCTION("""COMPUTED_VALUE"""),"JIEBEX")</f>
        <v>JIEBEX</v>
      </c>
      <c r="D213" s="2" t="str">
        <f>IFERROR(__xludf.DUMMYFUNCTION("""COMPUTED_VALUE"""),"10KM OVERALL M")</f>
        <v>10KM OVERALL M</v>
      </c>
      <c r="E213" s="1">
        <f>IFERROR(__xludf.DUMMYFUNCTION("""COMPUTED_VALUE"""),177.0)</f>
        <v>177</v>
      </c>
      <c r="F213" s="1" t="str">
        <f>IFERROR(__xludf.DUMMYFUNCTION("""COMPUTED_VALUE"""),"Male")</f>
        <v>Male</v>
      </c>
      <c r="G213" s="5">
        <f>IFERROR(__xludf.DUMMYFUNCTION("""COMPUTED_VALUE"""),0.004364388888888888)</f>
        <v>0.004364388889</v>
      </c>
      <c r="H213" s="14">
        <f>IFERROR(__xludf.DUMMYFUNCTION("""COMPUTED_VALUE"""),0.24646185185185185)</f>
        <v>0.2464618519</v>
      </c>
      <c r="I213" s="15">
        <f>IFERROR(__xludf.DUMMYFUNCTION("""COMPUTED_VALUE"""),45949.290105739885)</f>
        <v>45949.29011</v>
      </c>
      <c r="J213" s="15">
        <f>IFERROR(__xludf.DUMMYFUNCTION("""COMPUTED_VALUE"""),45949.043643888035)</f>
        <v>45949.04364</v>
      </c>
      <c r="K213" s="15">
        <f>IFERROR(__xludf.DUMMYFUNCTION("""COMPUTED_VALUE"""),45949.256901694214)</f>
        <v>45949.2569</v>
      </c>
      <c r="L213" s="15">
        <f>IFERROR(__xludf.DUMMYFUNCTION("""COMPUTED_VALUE"""),45949.28256839568)</f>
        <v>45949.28257</v>
      </c>
    </row>
    <row r="214">
      <c r="A214" s="1">
        <f>IFERROR(__xludf.DUMMYFUNCTION("""COMPUTED_VALUE"""),213.0)</f>
        <v>213</v>
      </c>
      <c r="B214" s="1">
        <f>IFERROR(__xludf.DUMMYFUNCTION("""COMPUTED_VALUE"""),10049.0)</f>
        <v>10049</v>
      </c>
      <c r="C214" s="13" t="str">
        <f>IFERROR(__xludf.DUMMYFUNCTION("""COMPUTED_VALUE"""),"Kresno")</f>
        <v>Kresno</v>
      </c>
      <c r="D214" s="2" t="str">
        <f>IFERROR(__xludf.DUMMYFUNCTION("""COMPUTED_VALUE"""),"10KM OVERALL M")</f>
        <v>10KM OVERALL M</v>
      </c>
      <c r="E214" s="1">
        <f>IFERROR(__xludf.DUMMYFUNCTION("""COMPUTED_VALUE"""),178.0)</f>
        <v>178</v>
      </c>
      <c r="F214" s="1" t="str">
        <f>IFERROR(__xludf.DUMMYFUNCTION("""COMPUTED_VALUE"""),"Male")</f>
        <v>Male</v>
      </c>
      <c r="G214" s="5">
        <f>IFERROR(__xludf.DUMMYFUNCTION("""COMPUTED_VALUE"""),0.004366472222222222)</f>
        <v>0.004366472222</v>
      </c>
      <c r="H214" s="14">
        <f>IFERROR(__xludf.DUMMYFUNCTION("""COMPUTED_VALUE"""),0.24646185185185185)</f>
        <v>0.2464618519</v>
      </c>
      <c r="I214" s="15">
        <f>IFERROR(__xludf.DUMMYFUNCTION("""COMPUTED_VALUE"""),45949.29012657505)</f>
        <v>45949.29013</v>
      </c>
      <c r="J214" s="15">
        <f>IFERROR(__xludf.DUMMYFUNCTION("""COMPUTED_VALUE"""),45949.0436647232)</f>
        <v>45949.04366</v>
      </c>
      <c r="K214" s="15">
        <f>IFERROR(__xludf.DUMMYFUNCTION("""COMPUTED_VALUE"""),45949.25520477023)</f>
        <v>45949.2552</v>
      </c>
      <c r="L214" s="15">
        <f>IFERROR(__xludf.DUMMYFUNCTION("""COMPUTED_VALUE"""),45949.28264478233)</f>
        <v>45949.28264</v>
      </c>
    </row>
    <row r="215">
      <c r="A215" s="1">
        <f>IFERROR(__xludf.DUMMYFUNCTION("""COMPUTED_VALUE"""),214.0)</f>
        <v>214</v>
      </c>
      <c r="B215" s="1">
        <f>IFERROR(__xludf.DUMMYFUNCTION("""COMPUTED_VALUE"""),10168.0)</f>
        <v>10168</v>
      </c>
      <c r="C215" s="13" t="str">
        <f>IFERROR(__xludf.DUMMYFUNCTION("""COMPUTED_VALUE"""),"Viviani Hifni")</f>
        <v>Viviani Hifni</v>
      </c>
      <c r="D215" s="2" t="str">
        <f>IFERROR(__xludf.DUMMYFUNCTION("""COMPUTED_VALUE"""),"10KM OVERALL M")</f>
        <v>10KM OVERALL M</v>
      </c>
      <c r="E215" s="1">
        <f>IFERROR(__xludf.DUMMYFUNCTION("""COMPUTED_VALUE"""),179.0)</f>
        <v>179</v>
      </c>
      <c r="F215" s="1" t="str">
        <f>IFERROR(__xludf.DUMMYFUNCTION("""COMPUTED_VALUE"""),"Male")</f>
        <v>Male</v>
      </c>
      <c r="G215" s="5">
        <f>IFERROR(__xludf.DUMMYFUNCTION("""COMPUTED_VALUE"""),0.004371333333333333)</f>
        <v>0.004371333333</v>
      </c>
      <c r="H215" s="14">
        <f>IFERROR(__xludf.DUMMYFUNCTION("""COMPUTED_VALUE"""),0.24646185185185185)</f>
        <v>0.2464618519</v>
      </c>
      <c r="I215" s="15">
        <f>IFERROR(__xludf.DUMMYFUNCTION("""COMPUTED_VALUE"""),45949.2901751869)</f>
        <v>45949.29018</v>
      </c>
      <c r="J215" s="15">
        <f>IFERROR(__xludf.DUMMYFUNCTION("""COMPUTED_VALUE"""),45949.04371333505)</f>
        <v>45949.04371</v>
      </c>
      <c r="K215" s="15">
        <f>IFERROR(__xludf.DUMMYFUNCTION("""COMPUTED_VALUE"""),45949.2581551546)</f>
        <v>45949.25816</v>
      </c>
      <c r="L215" s="15">
        <f>IFERROR(__xludf.DUMMYFUNCTION("""COMPUTED_VALUE"""),45949.28333578663)</f>
        <v>45949.28334</v>
      </c>
    </row>
    <row r="216">
      <c r="A216" s="1">
        <f>IFERROR(__xludf.DUMMYFUNCTION("""COMPUTED_VALUE"""),215.0)</f>
        <v>215</v>
      </c>
      <c r="B216" s="1">
        <f>IFERROR(__xludf.DUMMYFUNCTION("""COMPUTED_VALUE"""),10698.0)</f>
        <v>10698</v>
      </c>
      <c r="C216" s="13" t="str">
        <f>IFERROR(__xludf.DUMMYFUNCTION("""COMPUTED_VALUE"""),"ZABRIX")</f>
        <v>ZABRIX</v>
      </c>
      <c r="D216" s="2" t="str">
        <f>IFERROR(__xludf.DUMMYFUNCTION("""COMPUTED_VALUE"""),"10KM OVERALL M")</f>
        <v>10KM OVERALL M</v>
      </c>
      <c r="E216" s="1">
        <f>IFERROR(__xludf.DUMMYFUNCTION("""COMPUTED_VALUE"""),180.0)</f>
        <v>180</v>
      </c>
      <c r="F216" s="1" t="str">
        <f>IFERROR(__xludf.DUMMYFUNCTION("""COMPUTED_VALUE"""),"Male")</f>
        <v>Male</v>
      </c>
      <c r="G216" s="5">
        <f>IFERROR(__xludf.DUMMYFUNCTION("""COMPUTED_VALUE"""),0.0043723749999999995)</f>
        <v>0.004372375</v>
      </c>
      <c r="H216" s="14">
        <f>IFERROR(__xludf.DUMMYFUNCTION("""COMPUTED_VALUE"""),0.24646185185185185)</f>
        <v>0.2464618519</v>
      </c>
      <c r="I216" s="15">
        <f>IFERROR(__xludf.DUMMYFUNCTION("""COMPUTED_VALUE"""),45949.29018560444)</f>
        <v>45949.29019</v>
      </c>
      <c r="J216" s="15">
        <f>IFERROR(__xludf.DUMMYFUNCTION("""COMPUTED_VALUE"""),45949.04372375259)</f>
        <v>45949.04372</v>
      </c>
      <c r="K216" s="15">
        <f>IFERROR(__xludf.DUMMYFUNCTION("""COMPUTED_VALUE"""),45949.256828821795)</f>
        <v>45949.25683</v>
      </c>
      <c r="L216" s="15">
        <f>IFERROR(__xludf.DUMMYFUNCTION("""COMPUTED_VALUE"""),45949.282471154955)</f>
        <v>45949.28247</v>
      </c>
    </row>
    <row r="217">
      <c r="A217" s="1">
        <f>IFERROR(__xludf.DUMMYFUNCTION("""COMPUTED_VALUE"""),216.0)</f>
        <v>216</v>
      </c>
      <c r="B217" s="1">
        <f>IFERROR(__xludf.DUMMYFUNCTION("""COMPUTED_VALUE"""),10554.0)</f>
        <v>10554</v>
      </c>
      <c r="C217" s="13" t="str">
        <f>IFERROR(__xludf.DUMMYFUNCTION("""COMPUTED_VALUE"""),"Arief Hidayat Noor")</f>
        <v>Arief Hidayat Noor</v>
      </c>
      <c r="D217" s="2" t="str">
        <f>IFERROR(__xludf.DUMMYFUNCTION("""COMPUTED_VALUE"""),"10KM OVERALL M")</f>
        <v>10KM OVERALL M</v>
      </c>
      <c r="E217" s="1">
        <f>IFERROR(__xludf.DUMMYFUNCTION("""COMPUTED_VALUE"""),181.0)</f>
        <v>181</v>
      </c>
      <c r="F217" s="1" t="str">
        <f>IFERROR(__xludf.DUMMYFUNCTION("""COMPUTED_VALUE"""),"Male")</f>
        <v>Male</v>
      </c>
      <c r="G217" s="5">
        <f>IFERROR(__xludf.DUMMYFUNCTION("""COMPUTED_VALUE"""),0.004375498842592593)</f>
        <v>0.004375498843</v>
      </c>
      <c r="H217" s="14">
        <f>IFERROR(__xludf.DUMMYFUNCTION("""COMPUTED_VALUE"""),0.24646185185185185)</f>
        <v>0.2464618519</v>
      </c>
      <c r="I217" s="15">
        <f>IFERROR(__xludf.DUMMYFUNCTION("""COMPUTED_VALUE"""),45949.290216835136)</f>
        <v>45949.29022</v>
      </c>
      <c r="J217" s="15">
        <f>IFERROR(__xludf.DUMMYFUNCTION("""COMPUTED_VALUE"""),45949.043754983286)</f>
        <v>45949.04375</v>
      </c>
      <c r="K217" s="15">
        <f>IFERROR(__xludf.DUMMYFUNCTION("""COMPUTED_VALUE"""),45949.25709617388)</f>
        <v>45949.2571</v>
      </c>
      <c r="L217" s="15">
        <f>IFERROR(__xludf.DUMMYFUNCTION("""COMPUTED_VALUE"""),45949.28287394913)</f>
        <v>45949.28287</v>
      </c>
    </row>
    <row r="218">
      <c r="A218" s="1">
        <f>IFERROR(__xludf.DUMMYFUNCTION("""COMPUTED_VALUE"""),217.0)</f>
        <v>217</v>
      </c>
      <c r="B218" s="1">
        <f>IFERROR(__xludf.DUMMYFUNCTION("""COMPUTED_VALUE"""),10330.0)</f>
        <v>10330</v>
      </c>
      <c r="C218" s="13" t="str">
        <f>IFERROR(__xludf.DUMMYFUNCTION("""COMPUTED_VALUE"""),"Anjarvratama")</f>
        <v>Anjarvratama</v>
      </c>
      <c r="D218" s="2" t="str">
        <f>IFERROR(__xludf.DUMMYFUNCTION("""COMPUTED_VALUE"""),"10KM OVERALL M")</f>
        <v>10KM OVERALL M</v>
      </c>
      <c r="E218" s="1">
        <f>IFERROR(__xludf.DUMMYFUNCTION("""COMPUTED_VALUE"""),182.0)</f>
        <v>182</v>
      </c>
      <c r="F218" s="1" t="str">
        <f>IFERROR(__xludf.DUMMYFUNCTION("""COMPUTED_VALUE"""),"Male")</f>
        <v>Male</v>
      </c>
      <c r="G218" s="5">
        <f>IFERROR(__xludf.DUMMYFUNCTION("""COMPUTED_VALUE"""),0.004377929398148148)</f>
        <v>0.004377929398</v>
      </c>
      <c r="H218" s="14">
        <f>IFERROR(__xludf.DUMMYFUNCTION("""COMPUTED_VALUE"""),0.24646185185185185)</f>
        <v>0.2464618519</v>
      </c>
      <c r="I218" s="15">
        <f>IFERROR(__xludf.DUMMYFUNCTION("""COMPUTED_VALUE"""),45949.29024114901)</f>
        <v>45949.29024</v>
      </c>
      <c r="J218" s="15">
        <f>IFERROR(__xludf.DUMMYFUNCTION("""COMPUTED_VALUE"""),45949.04377929716)</f>
        <v>45949.04378</v>
      </c>
      <c r="K218" s="15">
        <f>IFERROR(__xludf.DUMMYFUNCTION("""COMPUTED_VALUE"""),45949.256301175454)</f>
        <v>45949.2563</v>
      </c>
      <c r="L218" s="15">
        <f>IFERROR(__xludf.DUMMYFUNCTION("""COMPUTED_VALUE"""),45949.28276977972)</f>
        <v>45949.28277</v>
      </c>
    </row>
    <row r="219">
      <c r="A219" s="1">
        <f>IFERROR(__xludf.DUMMYFUNCTION("""COMPUTED_VALUE"""),218.0)</f>
        <v>218</v>
      </c>
      <c r="B219" s="1">
        <f>IFERROR(__xludf.DUMMYFUNCTION("""COMPUTED_VALUE"""),12065.0)</f>
        <v>12065</v>
      </c>
      <c r="C219" s="13" t="str">
        <f>IFERROR(__xludf.DUMMYFUNCTION("""COMPUTED_VALUE"""),"Yusri")</f>
        <v>Yusri</v>
      </c>
      <c r="D219" s="2" t="str">
        <f>IFERROR(__xludf.DUMMYFUNCTION("""COMPUTED_VALUE"""),"10KM MASTER M")</f>
        <v>10KM MASTER M</v>
      </c>
      <c r="E219" s="1">
        <f>IFERROR(__xludf.DUMMYFUNCTION("""COMPUTED_VALUE"""),24.0)</f>
        <v>24</v>
      </c>
      <c r="F219" s="1" t="str">
        <f>IFERROR(__xludf.DUMMYFUNCTION("""COMPUTED_VALUE"""),"Male")</f>
        <v>Male</v>
      </c>
      <c r="G219" s="5">
        <f>IFERROR(__xludf.DUMMYFUNCTION("""COMPUTED_VALUE"""),0.004378971064814815)</f>
        <v>0.004378971065</v>
      </c>
      <c r="H219" s="14">
        <f>IFERROR(__xludf.DUMMYFUNCTION("""COMPUTED_VALUE"""),0.24646185185185185)</f>
        <v>0.2464618519</v>
      </c>
      <c r="I219" s="15">
        <f>IFERROR(__xludf.DUMMYFUNCTION("""COMPUTED_VALUE"""),45949.29025156335)</f>
        <v>45949.29025</v>
      </c>
      <c r="J219" s="15">
        <f>IFERROR(__xludf.DUMMYFUNCTION("""COMPUTED_VALUE"""),45949.0437897115)</f>
        <v>45949.04379</v>
      </c>
      <c r="K219" s="15">
        <f>IFERROR(__xludf.DUMMYFUNCTION("""COMPUTED_VALUE"""),45949.25566563864)</f>
        <v>45949.25567</v>
      </c>
      <c r="L219" s="15">
        <f>IFERROR(__xludf.DUMMYFUNCTION("""COMPUTED_VALUE"""),45949.282030234404)</f>
        <v>45949.28203</v>
      </c>
    </row>
    <row r="220">
      <c r="A220" s="1">
        <f>IFERROR(__xludf.DUMMYFUNCTION("""COMPUTED_VALUE"""),219.0)</f>
        <v>219</v>
      </c>
      <c r="B220" s="1">
        <f>IFERROR(__xludf.DUMMYFUNCTION("""COMPUTED_VALUE"""),10332.0)</f>
        <v>10332</v>
      </c>
      <c r="C220" s="13" t="str">
        <f>IFERROR(__xludf.DUMMYFUNCTION("""COMPUTED_VALUE"""),"Yogi")</f>
        <v>Yogi</v>
      </c>
      <c r="D220" s="2" t="str">
        <f>IFERROR(__xludf.DUMMYFUNCTION("""COMPUTED_VALUE"""),"10KM OVERALL M")</f>
        <v>10KM OVERALL M</v>
      </c>
      <c r="E220" s="1">
        <f>IFERROR(__xludf.DUMMYFUNCTION("""COMPUTED_VALUE"""),183.0)</f>
        <v>183</v>
      </c>
      <c r="F220" s="1" t="str">
        <f>IFERROR(__xludf.DUMMYFUNCTION("""COMPUTED_VALUE"""),"Male")</f>
        <v>Male</v>
      </c>
      <c r="G220" s="5">
        <f>IFERROR(__xludf.DUMMYFUNCTION("""COMPUTED_VALUE"""),0.004381401620370371)</f>
        <v>0.00438140162</v>
      </c>
      <c r="H220" s="14">
        <f>IFERROR(__xludf.DUMMYFUNCTION("""COMPUTED_VALUE"""),0.24646185185185185)</f>
        <v>0.2464618519</v>
      </c>
      <c r="I220" s="15">
        <f>IFERROR(__xludf.DUMMYFUNCTION("""COMPUTED_VALUE"""),45949.29027587017)</f>
        <v>45949.29028</v>
      </c>
      <c r="J220" s="15">
        <f>IFERROR(__xludf.DUMMYFUNCTION("""COMPUTED_VALUE"""),45949.04381401832)</f>
        <v>45949.04381</v>
      </c>
      <c r="K220" s="15">
        <f>IFERROR(__xludf.DUMMYFUNCTION("""COMPUTED_VALUE"""),45949.256741960475)</f>
        <v>45949.25674</v>
      </c>
      <c r="L220" s="15">
        <f>IFERROR(__xludf.DUMMYFUNCTION("""COMPUTED_VALUE"""),45949.282860044084)</f>
        <v>45949.28286</v>
      </c>
    </row>
    <row r="221">
      <c r="A221" s="1">
        <f>IFERROR(__xludf.DUMMYFUNCTION("""COMPUTED_VALUE"""),220.0)</f>
        <v>220</v>
      </c>
      <c r="B221" s="1">
        <f>IFERROR(__xludf.DUMMYFUNCTION("""COMPUTED_VALUE"""),10770.0)</f>
        <v>10770</v>
      </c>
      <c r="C221" s="13" t="str">
        <f>IFERROR(__xludf.DUMMYFUNCTION("""COMPUTED_VALUE"""),"WIWIN")</f>
        <v>WIWIN</v>
      </c>
      <c r="D221" s="2" t="str">
        <f>IFERROR(__xludf.DUMMYFUNCTION("""COMPUTED_VALUE"""),"10KM OVERALL M")</f>
        <v>10KM OVERALL M</v>
      </c>
      <c r="E221" s="1">
        <f>IFERROR(__xludf.DUMMYFUNCTION("""COMPUTED_VALUE"""),184.0)</f>
        <v>184</v>
      </c>
      <c r="F221" s="1" t="str">
        <f>IFERROR(__xludf.DUMMYFUNCTION("""COMPUTED_VALUE"""),"Female")</f>
        <v>Female</v>
      </c>
      <c r="G221" s="5">
        <f>IFERROR(__xludf.DUMMYFUNCTION("""COMPUTED_VALUE"""),0.004382442129629629)</f>
        <v>0.00438244213</v>
      </c>
      <c r="H221" s="14">
        <f>IFERROR(__xludf.DUMMYFUNCTION("""COMPUTED_VALUE"""),0.24646185185185185)</f>
        <v>0.2464618519</v>
      </c>
      <c r="I221" s="15">
        <f>IFERROR(__xludf.DUMMYFUNCTION("""COMPUTED_VALUE"""),45949.29028627047)</f>
        <v>45949.29029</v>
      </c>
      <c r="J221" s="15">
        <f>IFERROR(__xludf.DUMMYFUNCTION("""COMPUTED_VALUE"""),45949.04382441862)</f>
        <v>45949.04382</v>
      </c>
      <c r="K221" s="15">
        <f>IFERROR(__xludf.DUMMYFUNCTION("""COMPUTED_VALUE"""),45949.25712397801)</f>
        <v>45949.25712</v>
      </c>
      <c r="L221" s="15">
        <f>IFERROR(__xludf.DUMMYFUNCTION("""COMPUTED_VALUE"""),45949.28283227112)</f>
        <v>45949.28283</v>
      </c>
    </row>
    <row r="222">
      <c r="A222" s="1">
        <f>IFERROR(__xludf.DUMMYFUNCTION("""COMPUTED_VALUE"""),221.0)</f>
        <v>221</v>
      </c>
      <c r="B222" s="1">
        <f>IFERROR(__xludf.DUMMYFUNCTION("""COMPUTED_VALUE"""),10034.0)</f>
        <v>10034</v>
      </c>
      <c r="C222" s="13" t="str">
        <f>IFERROR(__xludf.DUMMYFUNCTION("""COMPUTED_VALUE"""),"YAZID")</f>
        <v>YAZID</v>
      </c>
      <c r="D222" s="2" t="str">
        <f>IFERROR(__xludf.DUMMYFUNCTION("""COMPUTED_VALUE"""),"10KM OVERALL M")</f>
        <v>10KM OVERALL M</v>
      </c>
      <c r="E222" s="1">
        <f>IFERROR(__xludf.DUMMYFUNCTION("""COMPUTED_VALUE"""),185.0)</f>
        <v>185</v>
      </c>
      <c r="F222" s="1" t="str">
        <f>IFERROR(__xludf.DUMMYFUNCTION("""COMPUTED_VALUE"""),"Male")</f>
        <v>Male</v>
      </c>
      <c r="G222" s="5">
        <f>IFERROR(__xludf.DUMMYFUNCTION("""COMPUTED_VALUE"""),0.0043831388888888895)</f>
        <v>0.004383138889</v>
      </c>
      <c r="H222" s="14">
        <f>IFERROR(__xludf.DUMMYFUNCTION("""COMPUTED_VALUE"""),0.24646185185185185)</f>
        <v>0.2464618519</v>
      </c>
      <c r="I222" s="15">
        <f>IFERROR(__xludf.DUMMYFUNCTION("""COMPUTED_VALUE"""),45949.29029324358)</f>
        <v>45949.29029</v>
      </c>
      <c r="J222" s="15">
        <f>IFERROR(__xludf.DUMMYFUNCTION("""COMPUTED_VALUE"""),45949.04383139173)</f>
        <v>45949.04383</v>
      </c>
      <c r="K222" s="15">
        <f>IFERROR(__xludf.DUMMYFUNCTION("""COMPUTED_VALUE"""),45949.25713092361)</f>
        <v>45949.25713</v>
      </c>
      <c r="L222" s="15">
        <f>IFERROR(__xludf.DUMMYFUNCTION("""COMPUTED_VALUE"""),45949.28289129654)</f>
        <v>45949.28289</v>
      </c>
    </row>
    <row r="223">
      <c r="A223" s="1">
        <f>IFERROR(__xludf.DUMMYFUNCTION("""COMPUTED_VALUE"""),222.0)</f>
        <v>222</v>
      </c>
      <c r="B223" s="1">
        <f>IFERROR(__xludf.DUMMYFUNCTION("""COMPUTED_VALUE"""),10633.0)</f>
        <v>10633</v>
      </c>
      <c r="C223" s="13" t="str">
        <f>IFERROR(__xludf.DUMMYFUNCTION("""COMPUTED_VALUE"""),"Fadli Bimantara")</f>
        <v>Fadli Bimantara</v>
      </c>
      <c r="D223" s="2" t="str">
        <f>IFERROR(__xludf.DUMMYFUNCTION("""COMPUTED_VALUE"""),"10KM OVERALL M")</f>
        <v>10KM OVERALL M</v>
      </c>
      <c r="E223" s="1">
        <f>IFERROR(__xludf.DUMMYFUNCTION("""COMPUTED_VALUE"""),186.0)</f>
        <v>186</v>
      </c>
      <c r="F223" s="1" t="str">
        <f>IFERROR(__xludf.DUMMYFUNCTION("""COMPUTED_VALUE"""),"Male")</f>
        <v>Male</v>
      </c>
      <c r="G223" s="5">
        <f>IFERROR(__xludf.DUMMYFUNCTION("""COMPUTED_VALUE"""),0.004390430555555555)</f>
        <v>0.004390430556</v>
      </c>
      <c r="H223" s="14">
        <f>IFERROR(__xludf.DUMMYFUNCTION("""COMPUTED_VALUE"""),0.24646185185185185)</f>
        <v>0.2464618519</v>
      </c>
      <c r="I223" s="15">
        <f>IFERROR(__xludf.DUMMYFUNCTION("""COMPUTED_VALUE"""),45949.29036615738)</f>
        <v>45949.29037</v>
      </c>
      <c r="J223" s="15">
        <f>IFERROR(__xludf.DUMMYFUNCTION("""COMPUTED_VALUE"""),45949.04390430553)</f>
        <v>45949.0439</v>
      </c>
      <c r="K223" s="15">
        <f>IFERROR(__xludf.DUMMYFUNCTION("""COMPUTED_VALUE"""),45949.25752674628)</f>
        <v>45949.25753</v>
      </c>
      <c r="L223" s="15">
        <f>IFERROR(__xludf.DUMMYFUNCTION("""COMPUTED_VALUE"""),45949.28307188137)</f>
        <v>45949.28307</v>
      </c>
    </row>
    <row r="224">
      <c r="A224" s="1">
        <f>IFERROR(__xludf.DUMMYFUNCTION("""COMPUTED_VALUE"""),223.0)</f>
        <v>223</v>
      </c>
      <c r="B224" s="1">
        <f>IFERROR(__xludf.DUMMYFUNCTION("""COMPUTED_VALUE"""),10401.0)</f>
        <v>10401</v>
      </c>
      <c r="C224" s="13" t="str">
        <f>IFERROR(__xludf.DUMMYFUNCTION("""COMPUTED_VALUE"""),"Muhammad Rifa'i")</f>
        <v>Muhammad Rifa'i</v>
      </c>
      <c r="D224" s="2" t="str">
        <f>IFERROR(__xludf.DUMMYFUNCTION("""COMPUTED_VALUE"""),"10KM OVERALL M")</f>
        <v>10KM OVERALL M</v>
      </c>
      <c r="E224" s="1">
        <f>IFERROR(__xludf.DUMMYFUNCTION("""COMPUTED_VALUE"""),187.0)</f>
        <v>187</v>
      </c>
      <c r="F224" s="1" t="str">
        <f>IFERROR(__xludf.DUMMYFUNCTION("""COMPUTED_VALUE"""),"Male")</f>
        <v>Male</v>
      </c>
      <c r="G224" s="5">
        <f>IFERROR(__xludf.DUMMYFUNCTION("""COMPUTED_VALUE"""),0.004391471064814815)</f>
        <v>0.004391471065</v>
      </c>
      <c r="H224" s="14">
        <f>IFERROR(__xludf.DUMMYFUNCTION("""COMPUTED_VALUE"""),0.24646185185185185)</f>
        <v>0.2464618519</v>
      </c>
      <c r="I224" s="15">
        <f>IFERROR(__xludf.DUMMYFUNCTION("""COMPUTED_VALUE"""),45949.29037656084)</f>
        <v>45949.29038</v>
      </c>
      <c r="J224" s="15">
        <f>IFERROR(__xludf.DUMMYFUNCTION("""COMPUTED_VALUE"""),45949.04391470899)</f>
        <v>45949.04391</v>
      </c>
      <c r="K224" s="15">
        <f>IFERROR(__xludf.DUMMYFUNCTION("""COMPUTED_VALUE"""),45949.255686422795)</f>
        <v>45949.25569</v>
      </c>
      <c r="L224" s="15">
        <f>IFERROR(__xludf.DUMMYFUNCTION("""COMPUTED_VALUE"""),45949.28217951626)</f>
        <v>45949.28218</v>
      </c>
    </row>
    <row r="225">
      <c r="A225" s="1">
        <f>IFERROR(__xludf.DUMMYFUNCTION("""COMPUTED_VALUE"""),224.0)</f>
        <v>224</v>
      </c>
      <c r="B225" s="1">
        <f>IFERROR(__xludf.DUMMYFUNCTION("""COMPUTED_VALUE"""),10238.0)</f>
        <v>10238</v>
      </c>
      <c r="C225" s="13" t="str">
        <f>IFERROR(__xludf.DUMMYFUNCTION("""COMPUTED_VALUE"""),"M. Fairuz Furjatullah")</f>
        <v>M. Fairuz Furjatullah</v>
      </c>
      <c r="D225" s="2" t="str">
        <f>IFERROR(__xludf.DUMMYFUNCTION("""COMPUTED_VALUE"""),"10KM OVERALL M")</f>
        <v>10KM OVERALL M</v>
      </c>
      <c r="E225" s="1">
        <f>IFERROR(__xludf.DUMMYFUNCTION("""COMPUTED_VALUE"""),188.0)</f>
        <v>188</v>
      </c>
      <c r="F225" s="1" t="str">
        <f>IFERROR(__xludf.DUMMYFUNCTION("""COMPUTED_VALUE"""),"Male")</f>
        <v>Male</v>
      </c>
      <c r="G225" s="5">
        <f>IFERROR(__xludf.DUMMYFUNCTION("""COMPUTED_VALUE"""),0.00439702662037037)</f>
        <v>0.00439702662</v>
      </c>
      <c r="H225" s="14">
        <f>IFERROR(__xludf.DUMMYFUNCTION("""COMPUTED_VALUE"""),0.24646185185185185)</f>
        <v>0.2464618519</v>
      </c>
      <c r="I225" s="15">
        <f>IFERROR(__xludf.DUMMYFUNCTION("""COMPUTED_VALUE"""),45949.29043211267)</f>
        <v>45949.29043</v>
      </c>
      <c r="J225" s="15">
        <f>IFERROR(__xludf.DUMMYFUNCTION("""COMPUTED_VALUE"""),45949.04397026082)</f>
        <v>45949.04397</v>
      </c>
      <c r="K225" s="15">
        <f>IFERROR(__xludf.DUMMYFUNCTION("""COMPUTED_VALUE"""),45949.25818987911)</f>
        <v>45949.25819</v>
      </c>
      <c r="L225" s="15">
        <f>IFERROR(__xludf.DUMMYFUNCTION("""COMPUTED_VALUE"""),45949.28334617822)</f>
        <v>45949.28335</v>
      </c>
    </row>
    <row r="226">
      <c r="A226" s="1">
        <f>IFERROR(__xludf.DUMMYFUNCTION("""COMPUTED_VALUE"""),225.0)</f>
        <v>225</v>
      </c>
      <c r="B226" s="1">
        <f>IFERROR(__xludf.DUMMYFUNCTION("""COMPUTED_VALUE"""),10369.0)</f>
        <v>10369</v>
      </c>
      <c r="C226" s="13" t="str">
        <f>IFERROR(__xludf.DUMMYFUNCTION("""COMPUTED_VALUE"""),"SAW")</f>
        <v>SAW</v>
      </c>
      <c r="D226" s="2" t="str">
        <f>IFERROR(__xludf.DUMMYFUNCTION("""COMPUTED_VALUE"""),"10KM OVERALL M")</f>
        <v>10KM OVERALL M</v>
      </c>
      <c r="E226" s="1">
        <f>IFERROR(__xludf.DUMMYFUNCTION("""COMPUTED_VALUE"""),189.0)</f>
        <v>189</v>
      </c>
      <c r="F226" s="1" t="str">
        <f>IFERROR(__xludf.DUMMYFUNCTION("""COMPUTED_VALUE"""),"Male")</f>
        <v>Male</v>
      </c>
      <c r="G226" s="5">
        <f>IFERROR(__xludf.DUMMYFUNCTION("""COMPUTED_VALUE"""),0.004398068287037037)</f>
        <v>0.004398068287</v>
      </c>
      <c r="H226" s="14">
        <f>IFERROR(__xludf.DUMMYFUNCTION("""COMPUTED_VALUE"""),0.24646185185185185)</f>
        <v>0.2464618519</v>
      </c>
      <c r="I226" s="15">
        <f>IFERROR(__xludf.DUMMYFUNCTION("""COMPUTED_VALUE"""),45949.29044253108)</f>
        <v>45949.29044</v>
      </c>
      <c r="J226" s="15">
        <f>IFERROR(__xludf.DUMMYFUNCTION("""COMPUTED_VALUE"""),45949.04398067923)</f>
        <v>45949.04398</v>
      </c>
      <c r="K226" s="15">
        <f>IFERROR(__xludf.DUMMYFUNCTION("""COMPUTED_VALUE"""),45949.25792600515)</f>
        <v>45949.25793</v>
      </c>
      <c r="L226" s="15">
        <f>IFERROR(__xludf.DUMMYFUNCTION("""COMPUTED_VALUE"""),45949.283870471125)</f>
        <v>45949.28387</v>
      </c>
    </row>
    <row r="227">
      <c r="A227" s="1">
        <f>IFERROR(__xludf.DUMMYFUNCTION("""COMPUTED_VALUE"""),226.0)</f>
        <v>226</v>
      </c>
      <c r="B227" s="1">
        <f>IFERROR(__xludf.DUMMYFUNCTION("""COMPUTED_VALUE"""),10273.0)</f>
        <v>10273</v>
      </c>
      <c r="C227" s="13" t="str">
        <f>IFERROR(__xludf.DUMMYFUNCTION("""COMPUTED_VALUE"""),"Mama Anggur")</f>
        <v>Mama Anggur</v>
      </c>
      <c r="D227" s="2" t="str">
        <f>IFERROR(__xludf.DUMMYFUNCTION("""COMPUTED_VALUE"""),"10KM OVERALL F")</f>
        <v>10KM OVERALL F</v>
      </c>
      <c r="E227" s="1">
        <f>IFERROR(__xludf.DUMMYFUNCTION("""COMPUTED_VALUE"""),10.0)</f>
        <v>10</v>
      </c>
      <c r="F227" s="1" t="str">
        <f>IFERROR(__xludf.DUMMYFUNCTION("""COMPUTED_VALUE"""),"Female")</f>
        <v>Female</v>
      </c>
      <c r="G227" s="5">
        <f>IFERROR(__xludf.DUMMYFUNCTION("""COMPUTED_VALUE"""),0.004399804398148148)</f>
        <v>0.004399804398</v>
      </c>
      <c r="H227" s="14">
        <f>IFERROR(__xludf.DUMMYFUNCTION("""COMPUTED_VALUE"""),0.24646185185185185)</f>
        <v>0.2464618519</v>
      </c>
      <c r="I227" s="15">
        <f>IFERROR(__xludf.DUMMYFUNCTION("""COMPUTED_VALUE"""),45949.29045989633)</f>
        <v>45949.29046</v>
      </c>
      <c r="J227" s="15">
        <f>IFERROR(__xludf.DUMMYFUNCTION("""COMPUTED_VALUE"""),45949.04399804448)</f>
        <v>45949.044</v>
      </c>
      <c r="K227" s="15">
        <f>IFERROR(__xludf.DUMMYFUNCTION("""COMPUTED_VALUE"""),45949.25575932432)</f>
        <v>45949.25576</v>
      </c>
      <c r="L227" s="15">
        <f>IFERROR(__xludf.DUMMYFUNCTION("""COMPUTED_VALUE"""),45949.28262741552)</f>
        <v>45949.28263</v>
      </c>
    </row>
    <row r="228">
      <c r="A228" s="1">
        <f>IFERROR(__xludf.DUMMYFUNCTION("""COMPUTED_VALUE"""),227.0)</f>
        <v>227</v>
      </c>
      <c r="B228" s="1">
        <f>IFERROR(__xludf.DUMMYFUNCTION("""COMPUTED_VALUE"""),10413.0)</f>
        <v>10413</v>
      </c>
      <c r="C228" s="13" t="str">
        <f>IFERROR(__xludf.DUMMYFUNCTION("""COMPUTED_VALUE"""),"Apriyanto")</f>
        <v>Apriyanto</v>
      </c>
      <c r="D228" s="2" t="str">
        <f>IFERROR(__xludf.DUMMYFUNCTION("""COMPUTED_VALUE"""),"10KM OVERALL F")</f>
        <v>10KM OVERALL F</v>
      </c>
      <c r="E228" s="1">
        <f>IFERROR(__xludf.DUMMYFUNCTION("""COMPUTED_VALUE"""),11.0)</f>
        <v>11</v>
      </c>
      <c r="F228" s="1" t="str">
        <f>IFERROR(__xludf.DUMMYFUNCTION("""COMPUTED_VALUE"""),"Female")</f>
        <v>Female</v>
      </c>
      <c r="G228" s="5">
        <f>IFERROR(__xludf.DUMMYFUNCTION("""COMPUTED_VALUE"""),0.0044036238425925935)</f>
        <v>0.004403623843</v>
      </c>
      <c r="H228" s="14">
        <f>IFERROR(__xludf.DUMMYFUNCTION("""COMPUTED_VALUE"""),0.24646185185185185)</f>
        <v>0.2464618519</v>
      </c>
      <c r="I228" s="15">
        <f>IFERROR(__xludf.DUMMYFUNCTION("""COMPUTED_VALUE"""),45949.29049809049)</f>
        <v>45949.2905</v>
      </c>
      <c r="J228" s="15">
        <f>IFERROR(__xludf.DUMMYFUNCTION("""COMPUTED_VALUE"""),45949.04403623864)</f>
        <v>45949.04404</v>
      </c>
      <c r="K228" s="15">
        <f>IFERROR(__xludf.DUMMYFUNCTION("""COMPUTED_VALUE"""),45949.25578372671)</f>
        <v>45949.25578</v>
      </c>
      <c r="L228" s="15">
        <f>IFERROR(__xludf.DUMMYFUNCTION("""COMPUTED_VALUE"""),45949.28263785247)</f>
        <v>45949.28264</v>
      </c>
    </row>
    <row r="229">
      <c r="A229" s="1">
        <f>IFERROR(__xludf.DUMMYFUNCTION("""COMPUTED_VALUE"""),228.0)</f>
        <v>228</v>
      </c>
      <c r="B229" s="1">
        <f>IFERROR(__xludf.DUMMYFUNCTION("""COMPUTED_VALUE"""),10257.0)</f>
        <v>10257</v>
      </c>
      <c r="C229" s="13" t="str">
        <f>IFERROR(__xludf.DUMMYFUNCTION("""COMPUTED_VALUE"""),"Ahmad Rizky")</f>
        <v>Ahmad Rizky</v>
      </c>
      <c r="D229" s="2" t="str">
        <f>IFERROR(__xludf.DUMMYFUNCTION("""COMPUTED_VALUE"""),"10KM OVERALL M")</f>
        <v>10KM OVERALL M</v>
      </c>
      <c r="E229" s="1">
        <f>IFERROR(__xludf.DUMMYFUNCTION("""COMPUTED_VALUE"""),190.0)</f>
        <v>190</v>
      </c>
      <c r="F229" s="1" t="str">
        <f>IFERROR(__xludf.DUMMYFUNCTION("""COMPUTED_VALUE"""),"Male")</f>
        <v>Male</v>
      </c>
      <c r="G229" s="5">
        <f>IFERROR(__xludf.DUMMYFUNCTION("""COMPUTED_VALUE"""),0.0044053564814814814)</f>
        <v>0.004405356481</v>
      </c>
      <c r="H229" s="14">
        <f>IFERROR(__xludf.DUMMYFUNCTION("""COMPUTED_VALUE"""),0.24646185185185185)</f>
        <v>0.2464618519</v>
      </c>
      <c r="I229" s="15">
        <f>IFERROR(__xludf.DUMMYFUNCTION("""COMPUTED_VALUE"""),45949.290515420296)</f>
        <v>45949.29052</v>
      </c>
      <c r="J229" s="15">
        <f>IFERROR(__xludf.DUMMYFUNCTION("""COMPUTED_VALUE"""),45949.04405356845)</f>
        <v>45949.04405</v>
      </c>
      <c r="K229" s="15">
        <f>IFERROR(__xludf.DUMMYFUNCTION("""COMPUTED_VALUE"""),45949.255578767006)</f>
        <v>45949.25558</v>
      </c>
      <c r="L229" s="15">
        <f>IFERROR(__xludf.DUMMYFUNCTION("""COMPUTED_VALUE"""),45949.28236358757)</f>
        <v>45949.28236</v>
      </c>
    </row>
    <row r="230">
      <c r="A230" s="1">
        <f>IFERROR(__xludf.DUMMYFUNCTION("""COMPUTED_VALUE"""),229.0)</f>
        <v>229</v>
      </c>
      <c r="B230" s="1">
        <f>IFERROR(__xludf.DUMMYFUNCTION("""COMPUTED_VALUE"""),10312.0)</f>
        <v>10312</v>
      </c>
      <c r="C230" s="13" t="str">
        <f>IFERROR(__xludf.DUMMYFUNCTION("""COMPUTED_VALUE"""),"Ical faisal")</f>
        <v>Ical faisal</v>
      </c>
      <c r="D230" s="2" t="str">
        <f>IFERROR(__xludf.DUMMYFUNCTION("""COMPUTED_VALUE"""),"10KM OVERALL M")</f>
        <v>10KM OVERALL M</v>
      </c>
      <c r="E230" s="1">
        <f>IFERROR(__xludf.DUMMYFUNCTION("""COMPUTED_VALUE"""),191.0)</f>
        <v>191</v>
      </c>
      <c r="F230" s="1" t="str">
        <f>IFERROR(__xludf.DUMMYFUNCTION("""COMPUTED_VALUE"""),"Male")</f>
        <v>Male</v>
      </c>
      <c r="G230" s="5">
        <f>IFERROR(__xludf.DUMMYFUNCTION("""COMPUTED_VALUE"""),0.004409873842592593)</f>
        <v>0.004409873843</v>
      </c>
      <c r="H230" s="14">
        <f>IFERROR(__xludf.DUMMYFUNCTION("""COMPUTED_VALUE"""),0.24646185185185185)</f>
        <v>0.2464618519</v>
      </c>
      <c r="I230" s="15">
        <f>IFERROR(__xludf.DUMMYFUNCTION("""COMPUTED_VALUE"""),45949.29056059513)</f>
        <v>45949.29056</v>
      </c>
      <c r="J230" s="15">
        <f>IFERROR(__xludf.DUMMYFUNCTION("""COMPUTED_VALUE"""),45949.04409874328)</f>
        <v>45949.0441</v>
      </c>
      <c r="K230" s="15">
        <f>IFERROR(__xludf.DUMMYFUNCTION("""COMPUTED_VALUE"""),45949.2574815485)</f>
        <v>45949.25748</v>
      </c>
      <c r="L230" s="15">
        <f>IFERROR(__xludf.DUMMYFUNCTION("""COMPUTED_VALUE"""),45949.28299893747)</f>
        <v>45949.283</v>
      </c>
    </row>
    <row r="231">
      <c r="A231" s="1">
        <f>IFERROR(__xludf.DUMMYFUNCTION("""COMPUTED_VALUE"""),230.0)</f>
        <v>230</v>
      </c>
      <c r="B231" s="1">
        <f>IFERROR(__xludf.DUMMYFUNCTION("""COMPUTED_VALUE"""),12009.0)</f>
        <v>12009</v>
      </c>
      <c r="C231" s="13" t="str">
        <f>IFERROR(__xludf.DUMMYFUNCTION("""COMPUTED_VALUE"""),"MUJIONO")</f>
        <v>MUJIONO</v>
      </c>
      <c r="D231" s="2" t="str">
        <f>IFERROR(__xludf.DUMMYFUNCTION("""COMPUTED_VALUE"""),"10KM MASTER M")</f>
        <v>10KM MASTER M</v>
      </c>
      <c r="E231" s="1">
        <f>IFERROR(__xludf.DUMMYFUNCTION("""COMPUTED_VALUE"""),25.0)</f>
        <v>25</v>
      </c>
      <c r="F231" s="1" t="str">
        <f>IFERROR(__xludf.DUMMYFUNCTION("""COMPUTED_VALUE"""),"Male")</f>
        <v>Male</v>
      </c>
      <c r="G231" s="5">
        <f>IFERROR(__xludf.DUMMYFUNCTION("""COMPUTED_VALUE"""),0.004411256944444444)</f>
        <v>0.004411256944</v>
      </c>
      <c r="H231" s="14">
        <f>IFERROR(__xludf.DUMMYFUNCTION("""COMPUTED_VALUE"""),0.24646185185185185)</f>
        <v>0.2464618519</v>
      </c>
      <c r="I231" s="15">
        <f>IFERROR(__xludf.DUMMYFUNCTION("""COMPUTED_VALUE"""),45949.2905744268)</f>
        <v>45949.29057</v>
      </c>
      <c r="J231" s="15">
        <f>IFERROR(__xludf.DUMMYFUNCTION("""COMPUTED_VALUE"""),45949.04411257495)</f>
        <v>45949.04411</v>
      </c>
      <c r="K231" s="15">
        <f>IFERROR(__xludf.DUMMYFUNCTION("""COMPUTED_VALUE"""),45949.25595377262)</f>
        <v>45949.25595</v>
      </c>
      <c r="L231" s="15">
        <f>IFERROR(__xludf.DUMMYFUNCTION("""COMPUTED_VALUE"""),45949.28290521017)</f>
        <v>45949.28291</v>
      </c>
    </row>
    <row r="232">
      <c r="A232" s="1">
        <f>IFERROR(__xludf.DUMMYFUNCTION("""COMPUTED_VALUE"""),231.0)</f>
        <v>231</v>
      </c>
      <c r="B232" s="1">
        <f>IFERROR(__xludf.DUMMYFUNCTION("""COMPUTED_VALUE"""),10697.0)</f>
        <v>10697</v>
      </c>
      <c r="C232" s="13" t="str">
        <f>IFERROR(__xludf.DUMMYFUNCTION("""COMPUTED_VALUE"""),"ERWIN")</f>
        <v>ERWIN</v>
      </c>
      <c r="D232" s="2" t="str">
        <f>IFERROR(__xludf.DUMMYFUNCTION("""COMPUTED_VALUE"""),"10KM OVERALL M")</f>
        <v>10KM OVERALL M</v>
      </c>
      <c r="E232" s="1">
        <f>IFERROR(__xludf.DUMMYFUNCTION("""COMPUTED_VALUE"""),192.0)</f>
        <v>192</v>
      </c>
      <c r="F232" s="1" t="str">
        <f>IFERROR(__xludf.DUMMYFUNCTION("""COMPUTED_VALUE"""),"Male")</f>
        <v>Male</v>
      </c>
      <c r="G232" s="5">
        <f>IFERROR(__xludf.DUMMYFUNCTION("""COMPUTED_VALUE"""),0.004418554398148148)</f>
        <v>0.004418554398</v>
      </c>
      <c r="H232" s="14">
        <f>IFERROR(__xludf.DUMMYFUNCTION("""COMPUTED_VALUE"""),0.24646185185185185)</f>
        <v>0.2464618519</v>
      </c>
      <c r="I232" s="15">
        <f>IFERROR(__xludf.DUMMYFUNCTION("""COMPUTED_VALUE"""),45949.2906473973)</f>
        <v>45949.29065</v>
      </c>
      <c r="J232" s="15">
        <f>IFERROR(__xludf.DUMMYFUNCTION("""COMPUTED_VALUE"""),45949.04418554545)</f>
        <v>45949.04419</v>
      </c>
      <c r="K232" s="15">
        <f>IFERROR(__xludf.DUMMYFUNCTION("""COMPUTED_VALUE"""),45949.259290633134)</f>
        <v>45949.25929</v>
      </c>
      <c r="L232" s="15">
        <f>IFERROR(__xludf.DUMMYFUNCTION("""COMPUTED_VALUE"""),45949.28382186571)</f>
        <v>45949.28382</v>
      </c>
    </row>
    <row r="233">
      <c r="A233" s="1">
        <f>IFERROR(__xludf.DUMMYFUNCTION("""COMPUTED_VALUE"""),232.0)</f>
        <v>232</v>
      </c>
      <c r="B233" s="1">
        <f>IFERROR(__xludf.DUMMYFUNCTION("""COMPUTED_VALUE"""),10151.0)</f>
        <v>10151</v>
      </c>
      <c r="C233" s="13" t="str">
        <f>IFERROR(__xludf.DUMMYFUNCTION("""COMPUTED_VALUE"""),"Fahmi Arif")</f>
        <v>Fahmi Arif</v>
      </c>
      <c r="D233" s="2" t="str">
        <f>IFERROR(__xludf.DUMMYFUNCTION("""COMPUTED_VALUE"""),"10KM OVERALL M")</f>
        <v>10KM OVERALL M</v>
      </c>
      <c r="E233" s="1">
        <f>IFERROR(__xludf.DUMMYFUNCTION("""COMPUTED_VALUE"""),193.0)</f>
        <v>193</v>
      </c>
      <c r="F233" s="1" t="str">
        <f>IFERROR(__xludf.DUMMYFUNCTION("""COMPUTED_VALUE"""),"Male")</f>
        <v>Male</v>
      </c>
      <c r="G233" s="5">
        <f>IFERROR(__xludf.DUMMYFUNCTION("""COMPUTED_VALUE"""),0.0044234178240740735)</f>
        <v>0.004423417824</v>
      </c>
      <c r="H233" s="14">
        <f>IFERROR(__xludf.DUMMYFUNCTION("""COMPUTED_VALUE"""),0.24646185185185185)</f>
        <v>0.2464618519</v>
      </c>
      <c r="I233" s="15">
        <f>IFERROR(__xludf.DUMMYFUNCTION("""COMPUTED_VALUE"""),45949.29069603566)</f>
        <v>45949.2907</v>
      </c>
      <c r="J233" s="15">
        <f>IFERROR(__xludf.DUMMYFUNCTION("""COMPUTED_VALUE"""),45949.04423418381)</f>
        <v>45949.04423</v>
      </c>
      <c r="K233" s="15">
        <f>IFERROR(__xludf.DUMMYFUNCTION("""COMPUTED_VALUE"""),45949.2564850793)</f>
        <v>45949.25649</v>
      </c>
      <c r="L233" s="15">
        <f>IFERROR(__xludf.DUMMYFUNCTION("""COMPUTED_VALUE"""),45949.28319338106)</f>
        <v>45949.28319</v>
      </c>
    </row>
    <row r="234">
      <c r="A234" s="1">
        <f>IFERROR(__xludf.DUMMYFUNCTION("""COMPUTED_VALUE"""),233.0)</f>
        <v>233</v>
      </c>
      <c r="B234" s="1">
        <f>IFERROR(__xludf.DUMMYFUNCTION("""COMPUTED_VALUE"""),12037.0)</f>
        <v>12037</v>
      </c>
      <c r="C234" s="13" t="str">
        <f>IFERROR(__xludf.DUMMYFUNCTION("""COMPUTED_VALUE"""),"LINA INDRIYANI")</f>
        <v>LINA INDRIYANI</v>
      </c>
      <c r="D234" s="2" t="str">
        <f>IFERROR(__xludf.DUMMYFUNCTION("""COMPUTED_VALUE"""),"10KM MASTER F")</f>
        <v>10KM MASTER F</v>
      </c>
      <c r="E234" s="1">
        <f>IFERROR(__xludf.DUMMYFUNCTION("""COMPUTED_VALUE"""),4.0)</f>
        <v>4</v>
      </c>
      <c r="F234" s="1" t="str">
        <f>IFERROR(__xludf.DUMMYFUNCTION("""COMPUTED_VALUE"""),"Female")</f>
        <v>Female</v>
      </c>
      <c r="G234" s="5">
        <f>IFERROR(__xludf.DUMMYFUNCTION("""COMPUTED_VALUE"""),0.004433832175925926)</f>
        <v>0.004433832176</v>
      </c>
      <c r="H234" s="14">
        <f>IFERROR(__xludf.DUMMYFUNCTION("""COMPUTED_VALUE"""),0.24646185185185185)</f>
        <v>0.2464618519</v>
      </c>
      <c r="I234" s="15">
        <f>IFERROR(__xludf.DUMMYFUNCTION("""COMPUTED_VALUE"""),45949.29080016944)</f>
        <v>45949.2908</v>
      </c>
      <c r="J234" s="15">
        <f>IFERROR(__xludf.DUMMYFUNCTION("""COMPUTED_VALUE"""),45949.04433831759)</f>
        <v>45949.04434</v>
      </c>
      <c r="K234" s="15">
        <f>IFERROR(__xludf.DUMMYFUNCTION("""COMPUTED_VALUE"""),45949.25623161737)</f>
        <v>45949.25623</v>
      </c>
      <c r="L234" s="15">
        <f>IFERROR(__xludf.DUMMYFUNCTION("""COMPUTED_VALUE"""),45949.282957293995)</f>
        <v>45949.28296</v>
      </c>
    </row>
    <row r="235">
      <c r="A235" s="1">
        <f>IFERROR(__xludf.DUMMYFUNCTION("""COMPUTED_VALUE"""),234.0)</f>
        <v>234</v>
      </c>
      <c r="B235" s="1">
        <f>IFERROR(__xludf.DUMMYFUNCTION("""COMPUTED_VALUE"""),10756.0)</f>
        <v>10756</v>
      </c>
      <c r="C235" s="13" t="str">
        <f>IFERROR(__xludf.DUMMYFUNCTION("""COMPUTED_VALUE"""),"AYAT")</f>
        <v>AYAT</v>
      </c>
      <c r="D235" s="2" t="str">
        <f>IFERROR(__xludf.DUMMYFUNCTION("""COMPUTED_VALUE"""),"10KM OVERALL M")</f>
        <v>10KM OVERALL M</v>
      </c>
      <c r="E235" s="1">
        <f>IFERROR(__xludf.DUMMYFUNCTION("""COMPUTED_VALUE"""),194.0)</f>
        <v>194</v>
      </c>
      <c r="F235" s="1" t="str">
        <f>IFERROR(__xludf.DUMMYFUNCTION("""COMPUTED_VALUE"""),"Female")</f>
        <v>Female</v>
      </c>
      <c r="G235" s="5">
        <f>IFERROR(__xludf.DUMMYFUNCTION("""COMPUTED_VALUE"""),0.004433833333333333)</f>
        <v>0.004433833333</v>
      </c>
      <c r="H235" s="14">
        <f>IFERROR(__xludf.DUMMYFUNCTION("""COMPUTED_VALUE"""),0.24646185185185185)</f>
        <v>0.2464618519</v>
      </c>
      <c r="I235" s="15">
        <f>IFERROR(__xludf.DUMMYFUNCTION("""COMPUTED_VALUE"""),45949.29080018142)</f>
        <v>45949.2908</v>
      </c>
      <c r="J235" s="15">
        <f>IFERROR(__xludf.DUMMYFUNCTION("""COMPUTED_VALUE"""),45949.04433832957)</f>
        <v>45949.04434</v>
      </c>
      <c r="K235" s="15">
        <f>IFERROR(__xludf.DUMMYFUNCTION("""COMPUTED_VALUE"""),45949.25833233482)</f>
        <v>45949.25833</v>
      </c>
      <c r="L235" s="15">
        <f>IFERROR(__xludf.DUMMYFUNCTION("""COMPUTED_VALUE"""),45949.28384615941)</f>
        <v>45949.28385</v>
      </c>
    </row>
    <row r="236">
      <c r="A236" s="1">
        <f>IFERROR(__xludf.DUMMYFUNCTION("""COMPUTED_VALUE"""),235.0)</f>
        <v>235</v>
      </c>
      <c r="B236" s="1">
        <f>IFERROR(__xludf.DUMMYFUNCTION("""COMPUTED_VALUE"""),10521.0)</f>
        <v>10521</v>
      </c>
      <c r="C236" s="13" t="str">
        <f>IFERROR(__xludf.DUMMYFUNCTION("""COMPUTED_VALUE"""),"BADRI")</f>
        <v>BADRI</v>
      </c>
      <c r="D236" s="2" t="str">
        <f>IFERROR(__xludf.DUMMYFUNCTION("""COMPUTED_VALUE"""),"10KM OVERALL M")</f>
        <v>10KM OVERALL M</v>
      </c>
      <c r="E236" s="1">
        <f>IFERROR(__xludf.DUMMYFUNCTION("""COMPUTED_VALUE"""),195.0)</f>
        <v>195</v>
      </c>
      <c r="F236" s="1" t="str">
        <f>IFERROR(__xludf.DUMMYFUNCTION("""COMPUTED_VALUE"""),"Male")</f>
        <v>Male</v>
      </c>
      <c r="G236" s="5">
        <f>IFERROR(__xludf.DUMMYFUNCTION("""COMPUTED_VALUE"""),0.004434873842592593)</f>
        <v>0.004434873843</v>
      </c>
      <c r="H236" s="14">
        <f>IFERROR(__xludf.DUMMYFUNCTION("""COMPUTED_VALUE"""),0.24646185185185185)</f>
        <v>0.2464618519</v>
      </c>
      <c r="I236" s="15">
        <f>IFERROR(__xludf.DUMMYFUNCTION("""COMPUTED_VALUE"""),45949.290810587)</f>
        <v>45949.29081</v>
      </c>
      <c r="J236" s="15">
        <f>IFERROR(__xludf.DUMMYFUNCTION("""COMPUTED_VALUE"""),45949.04434873515)</f>
        <v>45949.04435</v>
      </c>
      <c r="K236" s="15">
        <f>IFERROR(__xludf.DUMMYFUNCTION("""COMPUTED_VALUE"""),45949.25620378179)</f>
        <v>45949.2562</v>
      </c>
      <c r="L236" s="15">
        <f>IFERROR(__xludf.DUMMYFUNCTION("""COMPUTED_VALUE"""),45949.282964220954)</f>
        <v>45949.28296</v>
      </c>
    </row>
    <row r="237">
      <c r="A237" s="1">
        <f>IFERROR(__xludf.DUMMYFUNCTION("""COMPUTED_VALUE"""),236.0)</f>
        <v>236</v>
      </c>
      <c r="B237" s="1">
        <f>IFERROR(__xludf.DUMMYFUNCTION("""COMPUTED_VALUE"""),10520.0)</f>
        <v>10520</v>
      </c>
      <c r="C237" s="13" t="str">
        <f>IFERROR(__xludf.DUMMYFUNCTION("""COMPUTED_VALUE"""),"ANDI YANOR")</f>
        <v>ANDI YANOR</v>
      </c>
      <c r="D237" s="2" t="str">
        <f>IFERROR(__xludf.DUMMYFUNCTION("""COMPUTED_VALUE"""),"10KM OVERALL M")</f>
        <v>10KM OVERALL M</v>
      </c>
      <c r="E237" s="1">
        <f>IFERROR(__xludf.DUMMYFUNCTION("""COMPUTED_VALUE"""),196.0)</f>
        <v>196</v>
      </c>
      <c r="F237" s="1" t="str">
        <f>IFERROR(__xludf.DUMMYFUNCTION("""COMPUTED_VALUE"""),"Male")</f>
        <v>Male</v>
      </c>
      <c r="G237" s="5">
        <f>IFERROR(__xludf.DUMMYFUNCTION("""COMPUTED_VALUE"""),0.004435568287037037)</f>
        <v>0.004435568287</v>
      </c>
      <c r="H237" s="14">
        <f>IFERROR(__xludf.DUMMYFUNCTION("""COMPUTED_VALUE"""),0.24646185185185185)</f>
        <v>0.2464618519</v>
      </c>
      <c r="I237" s="15">
        <f>IFERROR(__xludf.DUMMYFUNCTION("""COMPUTED_VALUE"""),45949.290817539746)</f>
        <v>45949.29082</v>
      </c>
      <c r="J237" s="15">
        <f>IFERROR(__xludf.DUMMYFUNCTION("""COMPUTED_VALUE"""),45949.044355687896)</f>
        <v>45949.04436</v>
      </c>
      <c r="K237" s="15">
        <f>IFERROR(__xludf.DUMMYFUNCTION("""COMPUTED_VALUE"""),45949.25797113443)</f>
        <v>45949.25797</v>
      </c>
      <c r="L237" s="15">
        <f>IFERROR(__xludf.DUMMYFUNCTION("""COMPUTED_VALUE"""),45949.28312393481)</f>
        <v>45949.28312</v>
      </c>
    </row>
    <row r="238">
      <c r="A238" s="1">
        <f>IFERROR(__xludf.DUMMYFUNCTION("""COMPUTED_VALUE"""),237.0)</f>
        <v>237</v>
      </c>
      <c r="B238" s="1">
        <f>IFERROR(__xludf.DUMMYFUNCTION("""COMPUTED_VALUE"""),10344.0)</f>
        <v>10344</v>
      </c>
      <c r="C238" s="13" t="str">
        <f>IFERROR(__xludf.DUMMYFUNCTION("""COMPUTED_VALUE"""),"TAMA")</f>
        <v>TAMA</v>
      </c>
      <c r="D238" s="2" t="str">
        <f>IFERROR(__xludf.DUMMYFUNCTION("""COMPUTED_VALUE"""),"10KM OVERALL M")</f>
        <v>10KM OVERALL M</v>
      </c>
      <c r="E238" s="1">
        <f>IFERROR(__xludf.DUMMYFUNCTION("""COMPUTED_VALUE"""),197.0)</f>
        <v>197</v>
      </c>
      <c r="F238" s="1" t="str">
        <f>IFERROR(__xludf.DUMMYFUNCTION("""COMPUTED_VALUE"""),"Male")</f>
        <v>Male</v>
      </c>
      <c r="G238" s="5">
        <f>IFERROR(__xludf.DUMMYFUNCTION("""COMPUTED_VALUE"""),0.0044376516203703704)</f>
        <v>0.00443765162</v>
      </c>
      <c r="H238" s="14">
        <f>IFERROR(__xludf.DUMMYFUNCTION("""COMPUTED_VALUE"""),0.24646185185185185)</f>
        <v>0.2464618519</v>
      </c>
      <c r="I238" s="15">
        <f>IFERROR(__xludf.DUMMYFUNCTION("""COMPUTED_VALUE"""),45949.29083837171)</f>
        <v>45949.29084</v>
      </c>
      <c r="J238" s="15">
        <f>IFERROR(__xludf.DUMMYFUNCTION("""COMPUTED_VALUE"""),45949.04437651986)</f>
        <v>45949.04438</v>
      </c>
      <c r="K238" s="15">
        <f>IFERROR(__xludf.DUMMYFUNCTION("""COMPUTED_VALUE"""),45949.25623501489)</f>
        <v>45949.25624</v>
      </c>
      <c r="L238" s="15">
        <f>IFERROR(__xludf.DUMMYFUNCTION("""COMPUTED_VALUE"""),45949.28330102147)</f>
        <v>45949.2833</v>
      </c>
    </row>
    <row r="239">
      <c r="A239" s="1">
        <f>IFERROR(__xludf.DUMMYFUNCTION("""COMPUTED_VALUE"""),238.0)</f>
        <v>238</v>
      </c>
      <c r="B239" s="1">
        <f>IFERROR(__xludf.DUMMYFUNCTION("""COMPUTED_VALUE"""),10057.0)</f>
        <v>10057</v>
      </c>
      <c r="C239" s="13" t="str">
        <f>IFERROR(__xludf.DUMMYFUNCTION("""COMPUTED_VALUE"""),"RIANGG")</f>
        <v>RIANGG</v>
      </c>
      <c r="D239" s="2" t="str">
        <f>IFERROR(__xludf.DUMMYFUNCTION("""COMPUTED_VALUE"""),"10KM OVERALL M")</f>
        <v>10KM OVERALL M</v>
      </c>
      <c r="E239" s="1">
        <f>IFERROR(__xludf.DUMMYFUNCTION("""COMPUTED_VALUE"""),198.0)</f>
        <v>198</v>
      </c>
      <c r="F239" s="1" t="str">
        <f>IFERROR(__xludf.DUMMYFUNCTION("""COMPUTED_VALUE"""),"Male")</f>
        <v>Male</v>
      </c>
      <c r="G239" s="5">
        <f>IFERROR(__xludf.DUMMYFUNCTION("""COMPUTED_VALUE"""),0.004438346064814815)</f>
        <v>0.004438346065</v>
      </c>
      <c r="H239" s="14">
        <f>IFERROR(__xludf.DUMMYFUNCTION("""COMPUTED_VALUE"""),0.24646185185185185)</f>
        <v>0.2464618519</v>
      </c>
      <c r="I239" s="15">
        <f>IFERROR(__xludf.DUMMYFUNCTION("""COMPUTED_VALUE"""),45949.29084531404)</f>
        <v>45949.29085</v>
      </c>
      <c r="J239" s="15">
        <f>IFERROR(__xludf.DUMMYFUNCTION("""COMPUTED_VALUE"""),45949.04438346219)</f>
        <v>45949.04438</v>
      </c>
      <c r="K239" s="15">
        <f>IFERROR(__xludf.DUMMYFUNCTION("""COMPUTED_VALUE"""),45949.25659271106)</f>
        <v>45949.25659</v>
      </c>
      <c r="L239" s="15">
        <f>IFERROR(__xludf.DUMMYFUNCTION("""COMPUTED_VALUE"""),45949.2829503291)</f>
        <v>45949.28295</v>
      </c>
    </row>
    <row r="240">
      <c r="A240" s="1">
        <f>IFERROR(__xludf.DUMMYFUNCTION("""COMPUTED_VALUE"""),239.0)</f>
        <v>239</v>
      </c>
      <c r="B240" s="1">
        <f>IFERROR(__xludf.DUMMYFUNCTION("""COMPUTED_VALUE"""),10314.0)</f>
        <v>10314</v>
      </c>
      <c r="C240" s="13" t="str">
        <f>IFERROR(__xludf.DUMMYFUNCTION("""COMPUTED_VALUE"""),"Fikri")</f>
        <v>Fikri</v>
      </c>
      <c r="D240" s="2" t="str">
        <f>IFERROR(__xludf.DUMMYFUNCTION("""COMPUTED_VALUE"""),"10KM OVERALL M")</f>
        <v>10KM OVERALL M</v>
      </c>
      <c r="E240" s="1">
        <f>IFERROR(__xludf.DUMMYFUNCTION("""COMPUTED_VALUE"""),199.0)</f>
        <v>199</v>
      </c>
      <c r="F240" s="1" t="str">
        <f>IFERROR(__xludf.DUMMYFUNCTION("""COMPUTED_VALUE"""),"Male")</f>
        <v>Male</v>
      </c>
      <c r="G240" s="5">
        <f>IFERROR(__xludf.DUMMYFUNCTION("""COMPUTED_VALUE"""),0.00444042361111111)</f>
        <v>0.004440423611</v>
      </c>
      <c r="H240" s="14">
        <f>IFERROR(__xludf.DUMMYFUNCTION("""COMPUTED_VALUE"""),0.24646185185185185)</f>
        <v>0.2464618519</v>
      </c>
      <c r="I240" s="15">
        <f>IFERROR(__xludf.DUMMYFUNCTION("""COMPUTED_VALUE"""),45949.29086609366)</f>
        <v>45949.29087</v>
      </c>
      <c r="J240" s="15">
        <f>IFERROR(__xludf.DUMMYFUNCTION("""COMPUTED_VALUE"""),45949.04440424181)</f>
        <v>45949.0444</v>
      </c>
      <c r="K240" s="15">
        <f>IFERROR(__xludf.DUMMYFUNCTION("""COMPUTED_VALUE"""),45949.25730100061)</f>
        <v>45949.2573</v>
      </c>
      <c r="L240" s="15">
        <f>IFERROR(__xludf.DUMMYFUNCTION("""COMPUTED_VALUE"""),45949.28328367274)</f>
        <v>45949.28328</v>
      </c>
    </row>
    <row r="241">
      <c r="A241" s="1">
        <f>IFERROR(__xludf.DUMMYFUNCTION("""COMPUTED_VALUE"""),240.0)</f>
        <v>240</v>
      </c>
      <c r="B241" s="1">
        <f>IFERROR(__xludf.DUMMYFUNCTION("""COMPUTED_VALUE"""),10182.0)</f>
        <v>10182</v>
      </c>
      <c r="C241" s="13" t="str">
        <f>IFERROR(__xludf.DUMMYFUNCTION("""COMPUTED_VALUE"""),"adhidwian")</f>
        <v>adhidwian</v>
      </c>
      <c r="D241" s="2" t="str">
        <f>IFERROR(__xludf.DUMMYFUNCTION("""COMPUTED_VALUE"""),"10KM OVERALL M")</f>
        <v>10KM OVERALL M</v>
      </c>
      <c r="E241" s="1">
        <f>IFERROR(__xludf.DUMMYFUNCTION("""COMPUTED_VALUE"""),200.0)</f>
        <v>200</v>
      </c>
      <c r="F241" s="1" t="str">
        <f>IFERROR(__xludf.DUMMYFUNCTION("""COMPUTED_VALUE"""),"Male")</f>
        <v>Male</v>
      </c>
      <c r="G241" s="5">
        <f>IFERROR(__xludf.DUMMYFUNCTION("""COMPUTED_VALUE"""),0.004440425925925926)</f>
        <v>0.004440425926</v>
      </c>
      <c r="H241" s="14">
        <f>IFERROR(__xludf.DUMMYFUNCTION("""COMPUTED_VALUE"""),0.24646185185185185)</f>
        <v>0.2464618519</v>
      </c>
      <c r="I241" s="15">
        <f>IFERROR(__xludf.DUMMYFUNCTION("""COMPUTED_VALUE"""),45949.29086610597)</f>
        <v>45949.29087</v>
      </c>
      <c r="J241" s="15">
        <f>IFERROR(__xludf.DUMMYFUNCTION("""COMPUTED_VALUE"""),45949.04440425412)</f>
        <v>45949.0444</v>
      </c>
      <c r="K241" s="15">
        <f>IFERROR(__xludf.DUMMYFUNCTION("""COMPUTED_VALUE"""),45949.25700241663)</f>
        <v>45949.257</v>
      </c>
      <c r="L241" s="15">
        <f>IFERROR(__xludf.DUMMYFUNCTION("""COMPUTED_VALUE"""),45949.28334273229)</f>
        <v>45949.28334</v>
      </c>
    </row>
    <row r="242">
      <c r="A242" s="1">
        <f>IFERROR(__xludf.DUMMYFUNCTION("""COMPUTED_VALUE"""),241.0)</f>
        <v>241</v>
      </c>
      <c r="B242" s="1">
        <f>IFERROR(__xludf.DUMMYFUNCTION("""COMPUTED_VALUE"""),10555.0)</f>
        <v>10555</v>
      </c>
      <c r="C242" s="13" t="str">
        <f>IFERROR(__xludf.DUMMYFUNCTION("""COMPUTED_VALUE"""),"Anugerah Yusuf S.")</f>
        <v>Anugerah Yusuf S.</v>
      </c>
      <c r="D242" s="2" t="str">
        <f>IFERROR(__xludf.DUMMYFUNCTION("""COMPUTED_VALUE"""),"10KM OVERALL M")</f>
        <v>10KM OVERALL M</v>
      </c>
      <c r="E242" s="1">
        <f>IFERROR(__xludf.DUMMYFUNCTION("""COMPUTED_VALUE"""),201.0)</f>
        <v>201</v>
      </c>
      <c r="F242" s="1" t="str">
        <f>IFERROR(__xludf.DUMMYFUNCTION("""COMPUTED_VALUE"""),"Male")</f>
        <v>Male</v>
      </c>
      <c r="G242" s="5">
        <f>IFERROR(__xludf.DUMMYFUNCTION("""COMPUTED_VALUE"""),0.004445984953703704)</f>
        <v>0.004445984954</v>
      </c>
      <c r="H242" s="14">
        <f>IFERROR(__xludf.DUMMYFUNCTION("""COMPUTED_VALUE"""),0.24646185185185185)</f>
        <v>0.2464618519</v>
      </c>
      <c r="I242" s="15">
        <f>IFERROR(__xludf.DUMMYFUNCTION("""COMPUTED_VALUE"""),45949.290921707165)</f>
        <v>45949.29092</v>
      </c>
      <c r="J242" s="15">
        <f>IFERROR(__xludf.DUMMYFUNCTION("""COMPUTED_VALUE"""),45949.044459855315)</f>
        <v>45949.04446</v>
      </c>
      <c r="K242" s="15">
        <f>IFERROR(__xludf.DUMMYFUNCTION("""COMPUTED_VALUE"""),45949.25784275573)</f>
        <v>45949.25784</v>
      </c>
      <c r="L242" s="15">
        <f>IFERROR(__xludf.DUMMYFUNCTION("""COMPUTED_VALUE"""),45949.28382533294)</f>
        <v>45949.28383</v>
      </c>
    </row>
    <row r="243">
      <c r="A243" s="1">
        <f>IFERROR(__xludf.DUMMYFUNCTION("""COMPUTED_VALUE"""),242.0)</f>
        <v>242</v>
      </c>
      <c r="B243" s="1">
        <f>IFERROR(__xludf.DUMMYFUNCTION("""COMPUTED_VALUE"""),12001.0)</f>
        <v>12001</v>
      </c>
      <c r="C243" s="13" t="str">
        <f>IFERROR(__xludf.DUMMYFUNCTION("""COMPUTED_VALUE"""),"Evie Lesli")</f>
        <v>Evie Lesli</v>
      </c>
      <c r="D243" s="2" t="str">
        <f>IFERROR(__xludf.DUMMYFUNCTION("""COMPUTED_VALUE"""),"10KM MASTER F")</f>
        <v>10KM MASTER F</v>
      </c>
      <c r="E243" s="1">
        <f>IFERROR(__xludf.DUMMYFUNCTION("""COMPUTED_VALUE"""),5.0)</f>
        <v>5</v>
      </c>
      <c r="F243" s="1" t="str">
        <f>IFERROR(__xludf.DUMMYFUNCTION("""COMPUTED_VALUE"""),"Female")</f>
        <v>Female</v>
      </c>
      <c r="G243" s="5">
        <f>IFERROR(__xludf.DUMMYFUNCTION("""COMPUTED_VALUE"""),0.004447026620370371)</f>
        <v>0.00444702662</v>
      </c>
      <c r="H243" s="14">
        <f>IFERROR(__xludf.DUMMYFUNCTION("""COMPUTED_VALUE"""),0.24646185185185185)</f>
        <v>0.2464618519</v>
      </c>
      <c r="I243" s="15">
        <f>IFERROR(__xludf.DUMMYFUNCTION("""COMPUTED_VALUE"""),45949.290932123826)</f>
        <v>45949.29093</v>
      </c>
      <c r="J243" s="15">
        <f>IFERROR(__xludf.DUMMYFUNCTION("""COMPUTED_VALUE"""),45949.044470271976)</f>
        <v>45949.04447</v>
      </c>
      <c r="K243" s="15">
        <f>IFERROR(__xludf.DUMMYFUNCTION("""COMPUTED_VALUE"""),45949.257894803966)</f>
        <v>45949.25789</v>
      </c>
      <c r="L243" s="15">
        <f>IFERROR(__xludf.DUMMYFUNCTION("""COMPUTED_VALUE"""),45949.283877409376)</f>
        <v>45949.28388</v>
      </c>
    </row>
    <row r="244">
      <c r="A244" s="1">
        <f>IFERROR(__xludf.DUMMYFUNCTION("""COMPUTED_VALUE"""),243.0)</f>
        <v>243</v>
      </c>
      <c r="B244" s="1">
        <f>IFERROR(__xludf.DUMMYFUNCTION("""COMPUTED_VALUE"""),10482.0)</f>
        <v>10482</v>
      </c>
      <c r="C244" s="13" t="str">
        <f>IFERROR(__xludf.DUMMYFUNCTION("""COMPUTED_VALUE"""),"Vianne")</f>
        <v>Vianne</v>
      </c>
      <c r="D244" s="2" t="str">
        <f>IFERROR(__xludf.DUMMYFUNCTION("""COMPUTED_VALUE"""),"10KM OVERALL F")</f>
        <v>10KM OVERALL F</v>
      </c>
      <c r="E244" s="1">
        <f>IFERROR(__xludf.DUMMYFUNCTION("""COMPUTED_VALUE"""),12.0)</f>
        <v>12</v>
      </c>
      <c r="F244" s="1" t="str">
        <f>IFERROR(__xludf.DUMMYFUNCTION("""COMPUTED_VALUE"""),"Female")</f>
        <v>Female</v>
      </c>
      <c r="G244" s="5">
        <f>IFERROR(__xludf.DUMMYFUNCTION("""COMPUTED_VALUE"""),0.0044487627314814815)</f>
        <v>0.004448762731</v>
      </c>
      <c r="H244" s="14">
        <f>IFERROR(__xludf.DUMMYFUNCTION("""COMPUTED_VALUE"""),0.24646185185185185)</f>
        <v>0.2464618519</v>
      </c>
      <c r="I244" s="15">
        <f>IFERROR(__xludf.DUMMYFUNCTION("""COMPUTED_VALUE"""),45949.29094948108)</f>
        <v>45949.29095</v>
      </c>
      <c r="J244" s="15">
        <f>IFERROR(__xludf.DUMMYFUNCTION("""COMPUTED_VALUE"""),45949.04448762923)</f>
        <v>45949.04449</v>
      </c>
      <c r="K244" s="15">
        <f>IFERROR(__xludf.DUMMYFUNCTION("""COMPUTED_VALUE"""),45949.27208918249)</f>
        <v>45949.27209</v>
      </c>
      <c r="L244" s="15" t="str">
        <f>IFERROR(__xludf.DUMMYFUNCTION("""COMPUTED_VALUE"""),"")</f>
        <v/>
      </c>
    </row>
    <row r="245">
      <c r="A245" s="1">
        <f>IFERROR(__xludf.DUMMYFUNCTION("""COMPUTED_VALUE"""),244.0)</f>
        <v>244</v>
      </c>
      <c r="B245" s="1">
        <f>IFERROR(__xludf.DUMMYFUNCTION("""COMPUTED_VALUE"""),10406.0)</f>
        <v>10406</v>
      </c>
      <c r="C245" s="13" t="str">
        <f>IFERROR(__xludf.DUMMYFUNCTION("""COMPUTED_VALUE"""),"Wahyu")</f>
        <v>Wahyu</v>
      </c>
      <c r="D245" s="2" t="str">
        <f>IFERROR(__xludf.DUMMYFUNCTION("""COMPUTED_VALUE"""),"10KM OVERALL M")</f>
        <v>10KM OVERALL M</v>
      </c>
      <c r="E245" s="1">
        <f>IFERROR(__xludf.DUMMYFUNCTION("""COMPUTED_VALUE"""),202.0)</f>
        <v>202</v>
      </c>
      <c r="F245" s="1" t="str">
        <f>IFERROR(__xludf.DUMMYFUNCTION("""COMPUTED_VALUE"""),"Male")</f>
        <v>Male</v>
      </c>
      <c r="G245" s="5">
        <f>IFERROR(__xludf.DUMMYFUNCTION("""COMPUTED_VALUE"""),0.004449805555555556)</f>
        <v>0.004449805556</v>
      </c>
      <c r="H245" s="14">
        <f>IFERROR(__xludf.DUMMYFUNCTION("""COMPUTED_VALUE"""),0.24646185185185185)</f>
        <v>0.2464618519</v>
      </c>
      <c r="I245" s="15">
        <f>IFERROR(__xludf.DUMMYFUNCTION("""COMPUTED_VALUE"""),45949.29095990352)</f>
        <v>45949.29096</v>
      </c>
      <c r="J245" s="15">
        <f>IFERROR(__xludf.DUMMYFUNCTION("""COMPUTED_VALUE"""),45949.04449805167)</f>
        <v>45949.0445</v>
      </c>
      <c r="K245" s="15">
        <f>IFERROR(__xludf.DUMMYFUNCTION("""COMPUTED_VALUE"""),45949.255985089076)</f>
        <v>45949.25599</v>
      </c>
      <c r="L245" s="15">
        <f>IFERROR(__xludf.DUMMYFUNCTION("""COMPUTED_VALUE"""),45949.2828426951)</f>
        <v>45949.28284</v>
      </c>
    </row>
    <row r="246">
      <c r="A246" s="1">
        <f>IFERROR(__xludf.DUMMYFUNCTION("""COMPUTED_VALUE"""),245.0)</f>
        <v>245</v>
      </c>
      <c r="B246" s="1">
        <f>IFERROR(__xludf.DUMMYFUNCTION("""COMPUTED_VALUE"""),10535.0)</f>
        <v>10535</v>
      </c>
      <c r="C246" s="13" t="str">
        <f>IFERROR(__xludf.DUMMYFUNCTION("""COMPUTED_VALUE"""),"Sugiarto")</f>
        <v>Sugiarto</v>
      </c>
      <c r="D246" s="2" t="str">
        <f>IFERROR(__xludf.DUMMYFUNCTION("""COMPUTED_VALUE"""),"10KM OVERALL M")</f>
        <v>10KM OVERALL M</v>
      </c>
      <c r="E246" s="1">
        <f>IFERROR(__xludf.DUMMYFUNCTION("""COMPUTED_VALUE"""),203.0)</f>
        <v>203</v>
      </c>
      <c r="F246" s="1" t="str">
        <f>IFERROR(__xludf.DUMMYFUNCTION("""COMPUTED_VALUE"""),"Male")</f>
        <v>Male</v>
      </c>
      <c r="G246" s="5">
        <f>IFERROR(__xludf.DUMMYFUNCTION("""COMPUTED_VALUE"""),0.004450846064814815)</f>
        <v>0.004450846065</v>
      </c>
      <c r="H246" s="14">
        <f>IFERROR(__xludf.DUMMYFUNCTION("""COMPUTED_VALUE"""),0.24646185185185185)</f>
        <v>0.2464618519</v>
      </c>
      <c r="I246" s="15">
        <f>IFERROR(__xludf.DUMMYFUNCTION("""COMPUTED_VALUE"""),45949.29097031717)</f>
        <v>45949.29097</v>
      </c>
      <c r="J246" s="15">
        <f>IFERROR(__xludf.DUMMYFUNCTION("""COMPUTED_VALUE"""),45949.04450846532)</f>
        <v>45949.04451</v>
      </c>
      <c r="K246" s="15">
        <f>IFERROR(__xludf.DUMMYFUNCTION("""COMPUTED_VALUE"""),45949.25766210101)</f>
        <v>45949.25766</v>
      </c>
      <c r="L246" s="15">
        <f>IFERROR(__xludf.DUMMYFUNCTION("""COMPUTED_VALUE"""),45949.283873924745)</f>
        <v>45949.28387</v>
      </c>
    </row>
    <row r="247">
      <c r="A247" s="1">
        <f>IFERROR(__xludf.DUMMYFUNCTION("""COMPUTED_VALUE"""),246.0)</f>
        <v>246</v>
      </c>
      <c r="B247" s="1">
        <f>IFERROR(__xludf.DUMMYFUNCTION("""COMPUTED_VALUE"""),10163.0)</f>
        <v>10163</v>
      </c>
      <c r="C247" s="13" t="str">
        <f>IFERROR(__xludf.DUMMYFUNCTION("""COMPUTED_VALUE"""),"m. fiqri j")</f>
        <v>m. fiqri j</v>
      </c>
      <c r="D247" s="2" t="str">
        <f>IFERROR(__xludf.DUMMYFUNCTION("""COMPUTED_VALUE"""),"10KM OVERALL M")</f>
        <v>10KM OVERALL M</v>
      </c>
      <c r="E247" s="1">
        <f>IFERROR(__xludf.DUMMYFUNCTION("""COMPUTED_VALUE"""),204.0)</f>
        <v>204</v>
      </c>
      <c r="F247" s="1" t="str">
        <f>IFERROR(__xludf.DUMMYFUNCTION("""COMPUTED_VALUE"""),"Male")</f>
        <v>Male</v>
      </c>
      <c r="G247" s="5">
        <f>IFERROR(__xludf.DUMMYFUNCTION("""COMPUTED_VALUE"""),0.0044522754629629634)</f>
        <v>0.004452275463</v>
      </c>
      <c r="H247" s="14">
        <f>IFERROR(__xludf.DUMMYFUNCTION("""COMPUTED_VALUE"""),0.24646185185185185)</f>
        <v>0.2464618519</v>
      </c>
      <c r="I247" s="15">
        <f>IFERROR(__xludf.DUMMYFUNCTION("""COMPUTED_VALUE"""),45949.29098460971)</f>
        <v>45949.29098</v>
      </c>
      <c r="J247" s="15">
        <f>IFERROR(__xludf.DUMMYFUNCTION("""COMPUTED_VALUE"""),45949.04452275786)</f>
        <v>45949.04452</v>
      </c>
      <c r="K247" s="15">
        <f>IFERROR(__xludf.DUMMYFUNCTION("""COMPUTED_VALUE"""),45949.257557934485)</f>
        <v>45949.25756</v>
      </c>
      <c r="L247" s="15">
        <f>IFERROR(__xludf.DUMMYFUNCTION("""COMPUTED_VALUE"""),45949.283634366104)</f>
        <v>45949.28363</v>
      </c>
    </row>
    <row r="248">
      <c r="A248" s="1">
        <f>IFERROR(__xludf.DUMMYFUNCTION("""COMPUTED_VALUE"""),247.0)</f>
        <v>247</v>
      </c>
      <c r="B248" s="1">
        <f>IFERROR(__xludf.DUMMYFUNCTION("""COMPUTED_VALUE"""),10407.0)</f>
        <v>10407</v>
      </c>
      <c r="C248" s="13" t="str">
        <f>IFERROR(__xludf.DUMMYFUNCTION("""COMPUTED_VALUE"""),"Adit")</f>
        <v>Adit</v>
      </c>
      <c r="D248" s="2" t="str">
        <f>IFERROR(__xludf.DUMMYFUNCTION("""COMPUTED_VALUE"""),"10KM OVERALL M")</f>
        <v>10KM OVERALL M</v>
      </c>
      <c r="E248" s="1">
        <f>IFERROR(__xludf.DUMMYFUNCTION("""COMPUTED_VALUE"""),205.0)</f>
        <v>205</v>
      </c>
      <c r="F248" s="1" t="str">
        <f>IFERROR(__xludf.DUMMYFUNCTION("""COMPUTED_VALUE"""),"Male")</f>
        <v>Male</v>
      </c>
      <c r="G248" s="5">
        <f>IFERROR(__xludf.DUMMYFUNCTION("""COMPUTED_VALUE"""),0.004453623842592592)</f>
        <v>0.004453623843</v>
      </c>
      <c r="H248" s="14">
        <f>IFERROR(__xludf.DUMMYFUNCTION("""COMPUTED_VALUE"""),0.24646185185185185)</f>
        <v>0.2464618519</v>
      </c>
      <c r="I248" s="15">
        <f>IFERROR(__xludf.DUMMYFUNCTION("""COMPUTED_VALUE"""),45949.29099809332)</f>
        <v>45949.291</v>
      </c>
      <c r="J248" s="15">
        <f>IFERROR(__xludf.DUMMYFUNCTION("""COMPUTED_VALUE"""),45949.04453624147)</f>
        <v>45949.04454</v>
      </c>
      <c r="K248" s="15" t="str">
        <f>IFERROR(__xludf.DUMMYFUNCTION("""COMPUTED_VALUE"""),"")</f>
        <v/>
      </c>
      <c r="L248" s="15">
        <f>IFERROR(__xludf.DUMMYFUNCTION("""COMPUTED_VALUE"""),45949.2833704667)</f>
        <v>45949.28337</v>
      </c>
    </row>
    <row r="249">
      <c r="A249" s="1">
        <f>IFERROR(__xludf.DUMMYFUNCTION("""COMPUTED_VALUE"""),248.0)</f>
        <v>248</v>
      </c>
      <c r="B249" s="1">
        <f>IFERROR(__xludf.DUMMYFUNCTION("""COMPUTED_VALUE"""),12018.0)</f>
        <v>12018</v>
      </c>
      <c r="C249" s="13" t="str">
        <f>IFERROR(__xludf.DUMMYFUNCTION("""COMPUTED_VALUE"""),"Novi")</f>
        <v>Novi</v>
      </c>
      <c r="D249" s="2" t="str">
        <f>IFERROR(__xludf.DUMMYFUNCTION("""COMPUTED_VALUE"""),"10KM MASTER M")</f>
        <v>10KM MASTER M</v>
      </c>
      <c r="E249" s="1">
        <f>IFERROR(__xludf.DUMMYFUNCTION("""COMPUTED_VALUE"""),26.0)</f>
        <v>26</v>
      </c>
      <c r="F249" s="1" t="str">
        <f>IFERROR(__xludf.DUMMYFUNCTION("""COMPUTED_VALUE"""),"Male")</f>
        <v>Male</v>
      </c>
      <c r="G249" s="5">
        <f>IFERROR(__xludf.DUMMYFUNCTION("""COMPUTED_VALUE"""),0.0044574375)</f>
        <v>0.0044574375</v>
      </c>
      <c r="H249" s="14">
        <f>IFERROR(__xludf.DUMMYFUNCTION("""COMPUTED_VALUE"""),0.24646185185185185)</f>
        <v>0.2464618519</v>
      </c>
      <c r="I249" s="15">
        <f>IFERROR(__xludf.DUMMYFUNCTION("""COMPUTED_VALUE"""),45949.291036232054)</f>
        <v>45949.29104</v>
      </c>
      <c r="J249" s="15">
        <f>IFERROR(__xludf.DUMMYFUNCTION("""COMPUTED_VALUE"""),45949.044574380205)</f>
        <v>45949.04457</v>
      </c>
      <c r="K249" s="15">
        <f>IFERROR(__xludf.DUMMYFUNCTION("""COMPUTED_VALUE"""),45949.25677669856)</f>
        <v>45949.25678</v>
      </c>
      <c r="L249" s="15">
        <f>IFERROR(__xludf.DUMMYFUNCTION("""COMPUTED_VALUE"""),45949.283068460616)</f>
        <v>45949.28307</v>
      </c>
    </row>
    <row r="250">
      <c r="A250" s="1">
        <f>IFERROR(__xludf.DUMMYFUNCTION("""COMPUTED_VALUE"""),249.0)</f>
        <v>249</v>
      </c>
      <c r="B250" s="1">
        <f>IFERROR(__xludf.DUMMYFUNCTION("""COMPUTED_VALUE"""),10498.0)</f>
        <v>10498</v>
      </c>
      <c r="C250" s="13" t="str">
        <f>IFERROR(__xludf.DUMMYFUNCTION("""COMPUTED_VALUE"""),"M. Topan Aria Zada")</f>
        <v>M. Topan Aria Zada</v>
      </c>
      <c r="D250" s="2" t="str">
        <f>IFERROR(__xludf.DUMMYFUNCTION("""COMPUTED_VALUE"""),"10KM OVERALL M")</f>
        <v>10KM OVERALL M</v>
      </c>
      <c r="E250" s="1">
        <f>IFERROR(__xludf.DUMMYFUNCTION("""COMPUTED_VALUE"""),206.0)</f>
        <v>206</v>
      </c>
      <c r="F250" s="1" t="str">
        <f>IFERROR(__xludf.DUMMYFUNCTION("""COMPUTED_VALUE"""),"Male")</f>
        <v>Male</v>
      </c>
      <c r="G250" s="5">
        <f>IFERROR(__xludf.DUMMYFUNCTION("""COMPUTED_VALUE"""),0.004457819444444445)</f>
        <v>0.004457819444</v>
      </c>
      <c r="H250" s="14">
        <f>IFERROR(__xludf.DUMMYFUNCTION("""COMPUTED_VALUE"""),0.24646185185185185)</f>
        <v>0.2464618519</v>
      </c>
      <c r="I250" s="15">
        <f>IFERROR(__xludf.DUMMYFUNCTION("""COMPUTED_VALUE"""),45949.29104005002)</f>
        <v>45949.29104</v>
      </c>
      <c r="J250" s="15">
        <f>IFERROR(__xludf.DUMMYFUNCTION("""COMPUTED_VALUE"""),45949.04457819817)</f>
        <v>45949.04458</v>
      </c>
      <c r="K250" s="15">
        <f>IFERROR(__xludf.DUMMYFUNCTION("""COMPUTED_VALUE"""),45949.25507531218)</f>
        <v>45949.25508</v>
      </c>
      <c r="L250" s="15">
        <f>IFERROR(__xludf.DUMMYFUNCTION("""COMPUTED_VALUE"""),45949.28309617612)</f>
        <v>45949.2831</v>
      </c>
    </row>
    <row r="251">
      <c r="A251" s="1">
        <f>IFERROR(__xludf.DUMMYFUNCTION("""COMPUTED_VALUE"""),250.0)</f>
        <v>250</v>
      </c>
      <c r="B251" s="1">
        <f>IFERROR(__xludf.DUMMYFUNCTION("""COMPUTED_VALUE"""),10059.0)</f>
        <v>10059</v>
      </c>
      <c r="C251" s="13" t="str">
        <f>IFERROR(__xludf.DUMMYFUNCTION("""COMPUTED_VALUE"""),"Jo")</f>
        <v>Jo</v>
      </c>
      <c r="D251" s="2" t="str">
        <f>IFERROR(__xludf.DUMMYFUNCTION("""COMPUTED_VALUE"""),"10KM OVERALL M")</f>
        <v>10KM OVERALL M</v>
      </c>
      <c r="E251" s="1">
        <f>IFERROR(__xludf.DUMMYFUNCTION("""COMPUTED_VALUE"""),207.0)</f>
        <v>207</v>
      </c>
      <c r="F251" s="1" t="str">
        <f>IFERROR(__xludf.DUMMYFUNCTION("""COMPUTED_VALUE"""),"Male")</f>
        <v>Male</v>
      </c>
      <c r="G251" s="5">
        <f>IFERROR(__xludf.DUMMYFUNCTION("""COMPUTED_VALUE"""),0.004460568287037037)</f>
        <v>0.004460568287</v>
      </c>
      <c r="H251" s="14">
        <f>IFERROR(__xludf.DUMMYFUNCTION("""COMPUTED_VALUE"""),0.24646185185185185)</f>
        <v>0.2464618519</v>
      </c>
      <c r="I251" s="15">
        <f>IFERROR(__xludf.DUMMYFUNCTION("""COMPUTED_VALUE"""),45949.291067530634)</f>
        <v>45949.29107</v>
      </c>
      <c r="J251" s="15">
        <f>IFERROR(__xludf.DUMMYFUNCTION("""COMPUTED_VALUE"""),45949.044605678784)</f>
        <v>45949.04461</v>
      </c>
      <c r="K251" s="15">
        <f>IFERROR(__xludf.DUMMYFUNCTION("""COMPUTED_VALUE"""),45949.25654752717)</f>
        <v>45949.25655</v>
      </c>
      <c r="L251" s="15">
        <f>IFERROR(__xludf.DUMMYFUNCTION("""COMPUTED_VALUE"""),45949.28332885945)</f>
        <v>45949.28333</v>
      </c>
    </row>
    <row r="252">
      <c r="A252" s="1">
        <f>IFERROR(__xludf.DUMMYFUNCTION("""COMPUTED_VALUE"""),251.0)</f>
        <v>251</v>
      </c>
      <c r="B252" s="1">
        <f>IFERROR(__xludf.DUMMYFUNCTION("""COMPUTED_VALUE"""),10596.0)</f>
        <v>10596</v>
      </c>
      <c r="C252" s="13" t="str">
        <f>IFERROR(__xludf.DUMMYFUNCTION("""COMPUTED_VALUE"""),"rayhan")</f>
        <v>rayhan</v>
      </c>
      <c r="D252" s="2" t="str">
        <f>IFERROR(__xludf.DUMMYFUNCTION("""COMPUTED_VALUE"""),"10KM OVERALL M")</f>
        <v>10KM OVERALL M</v>
      </c>
      <c r="E252" s="1">
        <f>IFERROR(__xludf.DUMMYFUNCTION("""COMPUTED_VALUE"""),208.0)</f>
        <v>208</v>
      </c>
      <c r="F252" s="1" t="str">
        <f>IFERROR(__xludf.DUMMYFUNCTION("""COMPUTED_VALUE"""),"Male")</f>
        <v>Male</v>
      </c>
      <c r="G252" s="5">
        <f>IFERROR(__xludf.DUMMYFUNCTION("""COMPUTED_VALUE"""),0.004461609953703704)</f>
        <v>0.004461609954</v>
      </c>
      <c r="H252" s="14">
        <f>IFERROR(__xludf.DUMMYFUNCTION("""COMPUTED_VALUE"""),0.24646185185185185)</f>
        <v>0.2464618519</v>
      </c>
      <c r="I252" s="15">
        <f>IFERROR(__xludf.DUMMYFUNCTION("""COMPUTED_VALUE"""),45949.291077956914)</f>
        <v>45949.29108</v>
      </c>
      <c r="J252" s="15">
        <f>IFERROR(__xludf.DUMMYFUNCTION("""COMPUTED_VALUE"""),45949.044616105064)</f>
        <v>45949.04462</v>
      </c>
      <c r="K252" s="15">
        <f>IFERROR(__xludf.DUMMYFUNCTION("""COMPUTED_VALUE"""),45949.25726287234)</f>
        <v>45949.25726</v>
      </c>
      <c r="L252" s="15">
        <f>IFERROR(__xludf.DUMMYFUNCTION("""COMPUTED_VALUE"""),45949.283380891444)</f>
        <v>45949.28338</v>
      </c>
    </row>
    <row r="253">
      <c r="A253" s="1">
        <f>IFERROR(__xludf.DUMMYFUNCTION("""COMPUTED_VALUE"""),252.0)</f>
        <v>252</v>
      </c>
      <c r="B253" s="1">
        <f>IFERROR(__xludf.DUMMYFUNCTION("""COMPUTED_VALUE"""),10565.0)</f>
        <v>10565</v>
      </c>
      <c r="C253" s="13" t="str">
        <f>IFERROR(__xludf.DUMMYFUNCTION("""COMPUTED_VALUE"""),"Ahmad Wafiy Arrizal")</f>
        <v>Ahmad Wafiy Arrizal</v>
      </c>
      <c r="D253" s="2" t="str">
        <f>IFERROR(__xludf.DUMMYFUNCTION("""COMPUTED_VALUE"""),"10KM OVERALL M")</f>
        <v>10KM OVERALL M</v>
      </c>
      <c r="E253" s="1">
        <f>IFERROR(__xludf.DUMMYFUNCTION("""COMPUTED_VALUE"""),209.0)</f>
        <v>209</v>
      </c>
      <c r="F253" s="1" t="str">
        <f>IFERROR(__xludf.DUMMYFUNCTION("""COMPUTED_VALUE"""),"Male")</f>
        <v>Male</v>
      </c>
      <c r="G253" s="5">
        <f>IFERROR(__xludf.DUMMYFUNCTION("""COMPUTED_VALUE"""),0.004463347222222222)</f>
        <v>0.004463347222</v>
      </c>
      <c r="H253" s="14">
        <f>IFERROR(__xludf.DUMMYFUNCTION("""COMPUTED_VALUE"""),0.24646185185185185)</f>
        <v>0.2464618519</v>
      </c>
      <c r="I253" s="15">
        <f>IFERROR(__xludf.DUMMYFUNCTION("""COMPUTED_VALUE"""),45949.291095326415)</f>
        <v>45949.2911</v>
      </c>
      <c r="J253" s="15">
        <f>IFERROR(__xludf.DUMMYFUNCTION("""COMPUTED_VALUE"""),45949.044633474565)</f>
        <v>45949.04463</v>
      </c>
      <c r="K253" s="15">
        <f>IFERROR(__xludf.DUMMYFUNCTION("""COMPUTED_VALUE"""),45949.256019750814)</f>
        <v>45949.25602</v>
      </c>
      <c r="L253" s="15">
        <f>IFERROR(__xludf.DUMMYFUNCTION("""COMPUTED_VALUE"""),45949.283373973834)</f>
        <v>45949.28337</v>
      </c>
    </row>
    <row r="254">
      <c r="A254" s="1">
        <f>IFERROR(__xludf.DUMMYFUNCTION("""COMPUTED_VALUE"""),253.0)</f>
        <v>253</v>
      </c>
      <c r="B254" s="1">
        <f>IFERROR(__xludf.DUMMYFUNCTION("""COMPUTED_VALUE"""),10122.0)</f>
        <v>10122</v>
      </c>
      <c r="C254" s="16" t="str">
        <f>IFERROR(__xludf.DUMMYFUNCTION("""COMPUTED_VALUE"""),"Will.I.Am")</f>
        <v>Will.I.Am</v>
      </c>
      <c r="D254" s="2" t="str">
        <f>IFERROR(__xludf.DUMMYFUNCTION("""COMPUTED_VALUE"""),"10KM OVERALL M")</f>
        <v>10KM OVERALL M</v>
      </c>
      <c r="E254" s="1">
        <f>IFERROR(__xludf.DUMMYFUNCTION("""COMPUTED_VALUE"""),210.0)</f>
        <v>210</v>
      </c>
      <c r="F254" s="1" t="str">
        <f>IFERROR(__xludf.DUMMYFUNCTION("""COMPUTED_VALUE"""),"Male")</f>
        <v>Male</v>
      </c>
      <c r="G254" s="5">
        <f>IFERROR(__xludf.DUMMYFUNCTION("""COMPUTED_VALUE"""),0.0044689016203703705)</f>
        <v>0.00446890162</v>
      </c>
      <c r="H254" s="14">
        <f>IFERROR(__xludf.DUMMYFUNCTION("""COMPUTED_VALUE"""),0.24646185185185185)</f>
        <v>0.2464618519</v>
      </c>
      <c r="I254" s="15">
        <f>IFERROR(__xludf.DUMMYFUNCTION("""COMPUTED_VALUE"""),45949.29115087067)</f>
        <v>45949.29115</v>
      </c>
      <c r="J254" s="15">
        <f>IFERROR(__xludf.DUMMYFUNCTION("""COMPUTED_VALUE"""),45949.04468901882)</f>
        <v>45949.04469</v>
      </c>
      <c r="K254" s="15">
        <f>IFERROR(__xludf.DUMMYFUNCTION("""COMPUTED_VALUE"""),45949.26211697158)</f>
        <v>45949.26212</v>
      </c>
      <c r="L254" s="15">
        <f>IFERROR(__xludf.DUMMYFUNCTION("""COMPUTED_VALUE"""),45949.28476282811)</f>
        <v>45949.28476</v>
      </c>
    </row>
    <row r="255">
      <c r="A255" s="1">
        <f>IFERROR(__xludf.DUMMYFUNCTION("""COMPUTED_VALUE"""),254.0)</f>
        <v>254</v>
      </c>
      <c r="B255" s="1">
        <f>IFERROR(__xludf.DUMMYFUNCTION("""COMPUTED_VALUE"""),10309.0)</f>
        <v>10309</v>
      </c>
      <c r="C255" s="13" t="str">
        <f>IFERROR(__xludf.DUMMYFUNCTION("""COMPUTED_VALUE"""),"Ikyy")</f>
        <v>Ikyy</v>
      </c>
      <c r="D255" s="2" t="str">
        <f>IFERROR(__xludf.DUMMYFUNCTION("""COMPUTED_VALUE"""),"10KM OVERALL M")</f>
        <v>10KM OVERALL M</v>
      </c>
      <c r="E255" s="1">
        <f>IFERROR(__xludf.DUMMYFUNCTION("""COMPUTED_VALUE"""),211.0)</f>
        <v>211</v>
      </c>
      <c r="F255" s="1" t="str">
        <f>IFERROR(__xludf.DUMMYFUNCTION("""COMPUTED_VALUE"""),"Male")</f>
        <v>Male</v>
      </c>
      <c r="G255" s="5">
        <f>IFERROR(__xludf.DUMMYFUNCTION("""COMPUTED_VALUE"""),0.004471679398148148)</f>
        <v>0.004471679398</v>
      </c>
      <c r="H255" s="14">
        <f>IFERROR(__xludf.DUMMYFUNCTION("""COMPUTED_VALUE"""),0.24646185185185185)</f>
        <v>0.2464618519</v>
      </c>
      <c r="I255" s="15">
        <f>IFERROR(__xludf.DUMMYFUNCTION("""COMPUTED_VALUE"""),45949.2911786469)</f>
        <v>45949.29118</v>
      </c>
      <c r="J255" s="15">
        <f>IFERROR(__xludf.DUMMYFUNCTION("""COMPUTED_VALUE"""),45949.04471679505)</f>
        <v>45949.04472</v>
      </c>
      <c r="K255" s="15">
        <f>IFERROR(__xludf.DUMMYFUNCTION("""COMPUTED_VALUE"""),45949.257832244846)</f>
        <v>45949.25783</v>
      </c>
      <c r="L255" s="15">
        <f>IFERROR(__xludf.DUMMYFUNCTION("""COMPUTED_VALUE"""),45949.28415519424)</f>
        <v>45949.28416</v>
      </c>
    </row>
    <row r="256">
      <c r="A256" s="1">
        <f>IFERROR(__xludf.DUMMYFUNCTION("""COMPUTED_VALUE"""),255.0)</f>
        <v>255</v>
      </c>
      <c r="B256" s="1">
        <f>IFERROR(__xludf.DUMMYFUNCTION("""COMPUTED_VALUE"""),12025.0)</f>
        <v>12025</v>
      </c>
      <c r="C256" s="13" t="str">
        <f>IFERROR(__xludf.DUMMYFUNCTION("""COMPUTED_VALUE"""),"Nanang")</f>
        <v>Nanang</v>
      </c>
      <c r="D256" s="2" t="str">
        <f>IFERROR(__xludf.DUMMYFUNCTION("""COMPUTED_VALUE"""),"10KM MASTER M")</f>
        <v>10KM MASTER M</v>
      </c>
      <c r="E256" s="1">
        <f>IFERROR(__xludf.DUMMYFUNCTION("""COMPUTED_VALUE"""),27.0)</f>
        <v>27</v>
      </c>
      <c r="F256" s="1" t="str">
        <f>IFERROR(__xludf.DUMMYFUNCTION("""COMPUTED_VALUE"""),"Male")</f>
        <v>Male</v>
      </c>
      <c r="G256" s="5">
        <f>IFERROR(__xludf.DUMMYFUNCTION("""COMPUTED_VALUE"""),0.004482097222222222)</f>
        <v>0.004482097222</v>
      </c>
      <c r="H256" s="14">
        <f>IFERROR(__xludf.DUMMYFUNCTION("""COMPUTED_VALUE"""),0.24646185185185185)</f>
        <v>0.2464618519</v>
      </c>
      <c r="I256" s="15">
        <f>IFERROR(__xludf.DUMMYFUNCTION("""COMPUTED_VALUE"""),45949.29128282621)</f>
        <v>45949.29128</v>
      </c>
      <c r="J256" s="15">
        <f>IFERROR(__xludf.DUMMYFUNCTION("""COMPUTED_VALUE"""),45949.04482097436)</f>
        <v>45949.04482</v>
      </c>
      <c r="K256" s="15">
        <f>IFERROR(__xludf.DUMMYFUNCTION("""COMPUTED_VALUE"""),45949.25731842679)</f>
        <v>45949.25732</v>
      </c>
      <c r="L256" s="15">
        <f>IFERROR(__xludf.DUMMYFUNCTION("""COMPUTED_VALUE"""),45949.284009358336)</f>
        <v>45949.28401</v>
      </c>
    </row>
    <row r="257">
      <c r="A257" s="1">
        <f>IFERROR(__xludf.DUMMYFUNCTION("""COMPUTED_VALUE"""),256.0)</f>
        <v>256</v>
      </c>
      <c r="B257" s="1">
        <f>IFERROR(__xludf.DUMMYFUNCTION("""COMPUTED_VALUE"""),10192.0)</f>
        <v>10192</v>
      </c>
      <c r="C257" s="13" t="str">
        <f>IFERROR(__xludf.DUMMYFUNCTION("""COMPUTED_VALUE"""),"I K Y")</f>
        <v>I K Y</v>
      </c>
      <c r="D257" s="2" t="str">
        <f>IFERROR(__xludf.DUMMYFUNCTION("""COMPUTED_VALUE"""),"10KM OVERALL M")</f>
        <v>10KM OVERALL M</v>
      </c>
      <c r="E257" s="1">
        <f>IFERROR(__xludf.DUMMYFUNCTION("""COMPUTED_VALUE"""),212.0)</f>
        <v>212</v>
      </c>
      <c r="F257" s="1" t="str">
        <f>IFERROR(__xludf.DUMMYFUNCTION("""COMPUTED_VALUE"""),"Male")</f>
        <v>Male</v>
      </c>
      <c r="G257" s="5">
        <f>IFERROR(__xludf.DUMMYFUNCTION("""COMPUTED_VALUE"""),0.004482790509259258)</f>
        <v>0.004482790509</v>
      </c>
      <c r="H257" s="14">
        <f>IFERROR(__xludf.DUMMYFUNCTION("""COMPUTED_VALUE"""),0.24646185185185185)</f>
        <v>0.2464618519</v>
      </c>
      <c r="I257" s="15">
        <f>IFERROR(__xludf.DUMMYFUNCTION("""COMPUTED_VALUE"""),45949.29128975842)</f>
        <v>45949.29129</v>
      </c>
      <c r="J257" s="15">
        <f>IFERROR(__xludf.DUMMYFUNCTION("""COMPUTED_VALUE"""),45949.04482790657)</f>
        <v>45949.04483</v>
      </c>
      <c r="K257" s="15">
        <f>IFERROR(__xludf.DUMMYFUNCTION("""COMPUTED_VALUE"""),45949.25965168937)</f>
        <v>45949.25965</v>
      </c>
      <c r="L257" s="15">
        <f>IFERROR(__xludf.DUMMYFUNCTION("""COMPUTED_VALUE"""),45949.28417601961)</f>
        <v>45949.28418</v>
      </c>
    </row>
    <row r="258">
      <c r="A258" s="1">
        <f>IFERROR(__xludf.DUMMYFUNCTION("""COMPUTED_VALUE"""),257.0)</f>
        <v>257</v>
      </c>
      <c r="B258" s="1">
        <f>IFERROR(__xludf.DUMMYFUNCTION("""COMPUTED_VALUE"""),10628.0)</f>
        <v>10628</v>
      </c>
      <c r="C258" s="13" t="str">
        <f>IFERROR(__xludf.DUMMYFUNCTION("""COMPUTED_VALUE"""),"Arief")</f>
        <v>Arief</v>
      </c>
      <c r="D258" s="2" t="str">
        <f>IFERROR(__xludf.DUMMYFUNCTION("""COMPUTED_VALUE"""),"10KM OVERALL M")</f>
        <v>10KM OVERALL M</v>
      </c>
      <c r="E258" s="1">
        <f>IFERROR(__xludf.DUMMYFUNCTION("""COMPUTED_VALUE"""),213.0)</f>
        <v>213</v>
      </c>
      <c r="F258" s="1" t="str">
        <f>IFERROR(__xludf.DUMMYFUNCTION("""COMPUTED_VALUE"""),"Male")</f>
        <v>Male</v>
      </c>
      <c r="G258" s="5">
        <f>IFERROR(__xludf.DUMMYFUNCTION("""COMPUTED_VALUE"""),0.004488347222222222)</f>
        <v>0.004488347222</v>
      </c>
      <c r="H258" s="14">
        <f>IFERROR(__xludf.DUMMYFUNCTION("""COMPUTED_VALUE"""),0.24646185185185185)</f>
        <v>0.2464618519</v>
      </c>
      <c r="I258" s="15">
        <f>IFERROR(__xludf.DUMMYFUNCTION("""COMPUTED_VALUE"""),45949.29134531898)</f>
        <v>45949.29135</v>
      </c>
      <c r="J258" s="15">
        <f>IFERROR(__xludf.DUMMYFUNCTION("""COMPUTED_VALUE"""),45949.04488346713)</f>
        <v>45949.04488</v>
      </c>
      <c r="K258" s="15">
        <f>IFERROR(__xludf.DUMMYFUNCTION("""COMPUTED_VALUE"""),45949.25857535576)</f>
        <v>45949.25858</v>
      </c>
      <c r="L258" s="15">
        <f>IFERROR(__xludf.DUMMYFUNCTION("""COMPUTED_VALUE"""),45949.283957267544)</f>
        <v>45949.28396</v>
      </c>
    </row>
    <row r="259">
      <c r="A259" s="1">
        <f>IFERROR(__xludf.DUMMYFUNCTION("""COMPUTED_VALUE"""),258.0)</f>
        <v>258</v>
      </c>
      <c r="B259" s="1">
        <f>IFERROR(__xludf.DUMMYFUNCTION("""COMPUTED_VALUE"""),10154.0)</f>
        <v>10154</v>
      </c>
      <c r="C259" s="13" t="str">
        <f>IFERROR(__xludf.DUMMYFUNCTION("""COMPUTED_VALUE"""),"Hilmi")</f>
        <v>Hilmi</v>
      </c>
      <c r="D259" s="2" t="str">
        <f>IFERROR(__xludf.DUMMYFUNCTION("""COMPUTED_VALUE"""),"10KM OVERALL M")</f>
        <v>10KM OVERALL M</v>
      </c>
      <c r="E259" s="1">
        <f>IFERROR(__xludf.DUMMYFUNCTION("""COMPUTED_VALUE"""),214.0)</f>
        <v>214</v>
      </c>
      <c r="F259" s="1" t="str">
        <f>IFERROR(__xludf.DUMMYFUNCTION("""COMPUTED_VALUE"""),"Male")</f>
        <v>Male</v>
      </c>
      <c r="G259" s="5">
        <f>IFERROR(__xludf.DUMMYFUNCTION("""COMPUTED_VALUE"""),0.004489387731481482)</f>
        <v>0.004489387731</v>
      </c>
      <c r="H259" s="14">
        <f>IFERROR(__xludf.DUMMYFUNCTION("""COMPUTED_VALUE"""),0.24646185185185185)</f>
        <v>0.2464618519</v>
      </c>
      <c r="I259" s="15">
        <f>IFERROR(__xludf.DUMMYFUNCTION("""COMPUTED_VALUE"""),45949.29135573002)</f>
        <v>45949.29136</v>
      </c>
      <c r="J259" s="15">
        <f>IFERROR(__xludf.DUMMYFUNCTION("""COMPUTED_VALUE"""),45949.04489387817)</f>
        <v>45949.04489</v>
      </c>
      <c r="K259" s="15">
        <f>IFERROR(__xludf.DUMMYFUNCTION("""COMPUTED_VALUE"""),45949.257002405124)</f>
        <v>45949.257</v>
      </c>
      <c r="L259" s="15">
        <f>IFERROR(__xludf.DUMMYFUNCTION("""COMPUTED_VALUE"""),45949.28399893718)</f>
        <v>45949.284</v>
      </c>
    </row>
    <row r="260">
      <c r="A260" s="1">
        <f>IFERROR(__xludf.DUMMYFUNCTION("""COMPUTED_VALUE"""),259.0)</f>
        <v>259</v>
      </c>
      <c r="B260" s="1">
        <f>IFERROR(__xludf.DUMMYFUNCTION("""COMPUTED_VALUE"""),10066.0)</f>
        <v>10066</v>
      </c>
      <c r="C260" s="13" t="str">
        <f>IFERROR(__xludf.DUMMYFUNCTION("""COMPUTED_VALUE"""),"Dextra")</f>
        <v>Dextra</v>
      </c>
      <c r="D260" s="2" t="str">
        <f>IFERROR(__xludf.DUMMYFUNCTION("""COMPUTED_VALUE"""),"10KM OVERALL M")</f>
        <v>10KM OVERALL M</v>
      </c>
      <c r="E260" s="1">
        <f>IFERROR(__xludf.DUMMYFUNCTION("""COMPUTED_VALUE"""),215.0)</f>
        <v>215</v>
      </c>
      <c r="F260" s="1" t="str">
        <f>IFERROR(__xludf.DUMMYFUNCTION("""COMPUTED_VALUE"""),"Male")</f>
        <v>Male</v>
      </c>
      <c r="G260" s="5">
        <f>IFERROR(__xludf.DUMMYFUNCTION("""COMPUTED_VALUE"""),0.004491471064814815)</f>
        <v>0.004491471065</v>
      </c>
      <c r="H260" s="14">
        <f>IFERROR(__xludf.DUMMYFUNCTION("""COMPUTED_VALUE"""),0.24646185185185185)</f>
        <v>0.2464618519</v>
      </c>
      <c r="I260" s="15">
        <f>IFERROR(__xludf.DUMMYFUNCTION("""COMPUTED_VALUE"""),45949.29137656173)</f>
        <v>45949.29138</v>
      </c>
      <c r="J260" s="15">
        <f>IFERROR(__xludf.DUMMYFUNCTION("""COMPUTED_VALUE"""),45949.04491470988)</f>
        <v>45949.04491</v>
      </c>
      <c r="K260" s="15">
        <f>IFERROR(__xludf.DUMMYFUNCTION("""COMPUTED_VALUE"""),45949.25658925002)</f>
        <v>45949.25659</v>
      </c>
      <c r="L260" s="15">
        <f>IFERROR(__xludf.DUMMYFUNCTION("""COMPUTED_VALUE"""),45949.28372465789)</f>
        <v>45949.28372</v>
      </c>
    </row>
    <row r="261">
      <c r="A261" s="1">
        <f>IFERROR(__xludf.DUMMYFUNCTION("""COMPUTED_VALUE"""),260.0)</f>
        <v>260</v>
      </c>
      <c r="B261" s="1">
        <f>IFERROR(__xludf.DUMMYFUNCTION("""COMPUTED_VALUE"""),10606.0)</f>
        <v>10606</v>
      </c>
      <c r="C261" s="13" t="str">
        <f>IFERROR(__xludf.DUMMYFUNCTION("""COMPUTED_VALUE"""),"Dins_Jr")</f>
        <v>Dins_Jr</v>
      </c>
      <c r="D261" s="2" t="str">
        <f>IFERROR(__xludf.DUMMYFUNCTION("""COMPUTED_VALUE"""),"10KM OVERALL M")</f>
        <v>10KM OVERALL M</v>
      </c>
      <c r="E261" s="1">
        <f>IFERROR(__xludf.DUMMYFUNCTION("""COMPUTED_VALUE"""),216.0)</f>
        <v>216</v>
      </c>
      <c r="F261" s="1" t="str">
        <f>IFERROR(__xludf.DUMMYFUNCTION("""COMPUTED_VALUE"""),"Male")</f>
        <v>Male</v>
      </c>
      <c r="G261" s="5">
        <f>IFERROR(__xludf.DUMMYFUNCTION("""COMPUTED_VALUE"""),0.004493554398148148)</f>
        <v>0.004493554398</v>
      </c>
      <c r="H261" s="14">
        <f>IFERROR(__xludf.DUMMYFUNCTION("""COMPUTED_VALUE"""),0.24646185185185185)</f>
        <v>0.2464618519</v>
      </c>
      <c r="I261" s="15">
        <f>IFERROR(__xludf.DUMMYFUNCTION("""COMPUTED_VALUE"""),45949.291397391586)</f>
        <v>45949.2914</v>
      </c>
      <c r="J261" s="15">
        <f>IFERROR(__xludf.DUMMYFUNCTION("""COMPUTED_VALUE"""),45949.044935539736)</f>
        <v>45949.04494</v>
      </c>
      <c r="K261" s="15">
        <f>IFERROR(__xludf.DUMMYFUNCTION("""COMPUTED_VALUE"""),45949.25481488882)</f>
        <v>45949.25481</v>
      </c>
      <c r="L261" s="15">
        <f>IFERROR(__xludf.DUMMYFUNCTION("""COMPUTED_VALUE"""),45949.28268297057)</f>
        <v>45949.28268</v>
      </c>
    </row>
    <row r="262">
      <c r="A262" s="1">
        <f>IFERROR(__xludf.DUMMYFUNCTION("""COMPUTED_VALUE"""),261.0)</f>
        <v>261</v>
      </c>
      <c r="B262" s="1">
        <f>IFERROR(__xludf.DUMMYFUNCTION("""COMPUTED_VALUE"""),10351.0)</f>
        <v>10351</v>
      </c>
      <c r="C262" s="13" t="str">
        <f>IFERROR(__xludf.DUMMYFUNCTION("""COMPUTED_VALUE"""),"Nanda")</f>
        <v>Nanda</v>
      </c>
      <c r="D262" s="2" t="str">
        <f>IFERROR(__xludf.DUMMYFUNCTION("""COMPUTED_VALUE"""),"10KM OVERALL F")</f>
        <v>10KM OVERALL F</v>
      </c>
      <c r="E262" s="1">
        <f>IFERROR(__xludf.DUMMYFUNCTION("""COMPUTED_VALUE"""),13.0)</f>
        <v>13</v>
      </c>
      <c r="F262" s="1" t="str">
        <f>IFERROR(__xludf.DUMMYFUNCTION("""COMPUTED_VALUE"""),"Female")</f>
        <v>Female</v>
      </c>
      <c r="G262" s="5">
        <f>IFERROR(__xludf.DUMMYFUNCTION("""COMPUTED_VALUE"""),0.004503277777777778)</f>
        <v>0.004503277778</v>
      </c>
      <c r="H262" s="14">
        <f>IFERROR(__xludf.DUMMYFUNCTION("""COMPUTED_VALUE"""),0.24646185185185185)</f>
        <v>0.2464618519</v>
      </c>
      <c r="I262" s="15">
        <f>IFERROR(__xludf.DUMMYFUNCTION("""COMPUTED_VALUE"""),45949.291494632154)</f>
        <v>45949.29149</v>
      </c>
      <c r="J262" s="15">
        <f>IFERROR(__xludf.DUMMYFUNCTION("""COMPUTED_VALUE"""),45949.045032780305)</f>
        <v>45949.04503</v>
      </c>
      <c r="K262" s="15">
        <f>IFERROR(__xludf.DUMMYFUNCTION("""COMPUTED_VALUE"""),45949.25553021743)</f>
        <v>45949.25553</v>
      </c>
      <c r="L262" s="15">
        <f>IFERROR(__xludf.DUMMYFUNCTION("""COMPUTED_VALUE"""),45949.2826864943)</f>
        <v>45949.28269</v>
      </c>
    </row>
    <row r="263">
      <c r="A263" s="1">
        <f>IFERROR(__xludf.DUMMYFUNCTION("""COMPUTED_VALUE"""),262.0)</f>
        <v>262</v>
      </c>
      <c r="B263" s="1">
        <f>IFERROR(__xludf.DUMMYFUNCTION("""COMPUTED_VALUE"""),10114.0)</f>
        <v>10114</v>
      </c>
      <c r="C263" s="13" t="str">
        <f>IFERROR(__xludf.DUMMYFUNCTION("""COMPUTED_VALUE"""),"hafizh anshary")</f>
        <v>hafizh anshary</v>
      </c>
      <c r="D263" s="2" t="str">
        <f>IFERROR(__xludf.DUMMYFUNCTION("""COMPUTED_VALUE"""),"10KM OVERALL M")</f>
        <v>10KM OVERALL M</v>
      </c>
      <c r="E263" s="1">
        <f>IFERROR(__xludf.DUMMYFUNCTION("""COMPUTED_VALUE"""),217.0)</f>
        <v>217</v>
      </c>
      <c r="F263" s="1" t="str">
        <f>IFERROR(__xludf.DUMMYFUNCTION("""COMPUTED_VALUE"""),"Male")</f>
        <v>Male</v>
      </c>
      <c r="G263" s="5">
        <f>IFERROR(__xludf.DUMMYFUNCTION("""COMPUTED_VALUE"""),0.004506748842592593)</f>
        <v>0.004506748843</v>
      </c>
      <c r="H263" s="14">
        <f>IFERROR(__xludf.DUMMYFUNCTION("""COMPUTED_VALUE"""),0.24646185185185185)</f>
        <v>0.2464618519</v>
      </c>
      <c r="I263" s="15">
        <f>IFERROR(__xludf.DUMMYFUNCTION("""COMPUTED_VALUE"""),45949.2915293439)</f>
        <v>45949.29153</v>
      </c>
      <c r="J263" s="15">
        <f>IFERROR(__xludf.DUMMYFUNCTION("""COMPUTED_VALUE"""),45949.04506749205)</f>
        <v>45949.04507</v>
      </c>
      <c r="K263" s="15">
        <f>IFERROR(__xludf.DUMMYFUNCTION("""COMPUTED_VALUE"""),45949.25728017176)</f>
        <v>45949.25728</v>
      </c>
      <c r="L263" s="15">
        <f>IFERROR(__xludf.DUMMYFUNCTION("""COMPUTED_VALUE"""),45949.285482690015)</f>
        <v>45949.28548</v>
      </c>
    </row>
    <row r="264">
      <c r="A264" s="1">
        <f>IFERROR(__xludf.DUMMYFUNCTION("""COMPUTED_VALUE"""),263.0)</f>
        <v>263</v>
      </c>
      <c r="B264" s="1">
        <f>IFERROR(__xludf.DUMMYFUNCTION("""COMPUTED_VALUE"""),10730.0)</f>
        <v>10730</v>
      </c>
      <c r="C264" s="13" t="str">
        <f>IFERROR(__xludf.DUMMYFUNCTION("""COMPUTED_VALUE"""),"FATONI")</f>
        <v>FATONI</v>
      </c>
      <c r="D264" s="2" t="str">
        <f>IFERROR(__xludf.DUMMYFUNCTION("""COMPUTED_VALUE"""),"10KM OVERALL M")</f>
        <v>10KM OVERALL M</v>
      </c>
      <c r="E264" s="1">
        <f>IFERROR(__xludf.DUMMYFUNCTION("""COMPUTED_VALUE"""),218.0)</f>
        <v>218</v>
      </c>
      <c r="F264" s="1" t="str">
        <f>IFERROR(__xludf.DUMMYFUNCTION("""COMPUTED_VALUE"""),"Male")</f>
        <v>Male</v>
      </c>
      <c r="G264" s="5">
        <f>IFERROR(__xludf.DUMMYFUNCTION("""COMPUTED_VALUE"""),0.004511609953703704)</f>
        <v>0.004511609954</v>
      </c>
      <c r="H264" s="14">
        <f>IFERROR(__xludf.DUMMYFUNCTION("""COMPUTED_VALUE"""),0.24646185185185185)</f>
        <v>0.2464618519</v>
      </c>
      <c r="I264" s="15">
        <f>IFERROR(__xludf.DUMMYFUNCTION("""COMPUTED_VALUE"""),45949.29157795279)</f>
        <v>45949.29158</v>
      </c>
      <c r="J264" s="15">
        <f>IFERROR(__xludf.DUMMYFUNCTION("""COMPUTED_VALUE"""),45949.04511610094)</f>
        <v>45949.04512</v>
      </c>
      <c r="K264" s="15">
        <f>IFERROR(__xludf.DUMMYFUNCTION("""COMPUTED_VALUE"""),45949.259797593404)</f>
        <v>45949.2598</v>
      </c>
      <c r="L264" s="15">
        <f>IFERROR(__xludf.DUMMYFUNCTION("""COMPUTED_VALUE"""),45949.28480449938)</f>
        <v>45949.2848</v>
      </c>
    </row>
    <row r="265">
      <c r="A265" s="1">
        <f>IFERROR(__xludf.DUMMYFUNCTION("""COMPUTED_VALUE"""),264.0)</f>
        <v>264</v>
      </c>
      <c r="B265" s="1">
        <f>IFERROR(__xludf.DUMMYFUNCTION("""COMPUTED_VALUE"""),10390.0)</f>
        <v>10390</v>
      </c>
      <c r="C265" s="13" t="str">
        <f>IFERROR(__xludf.DUMMYFUNCTION("""COMPUTED_VALUE"""),"Bagas Adabi")</f>
        <v>Bagas Adabi</v>
      </c>
      <c r="D265" s="2" t="str">
        <f>IFERROR(__xludf.DUMMYFUNCTION("""COMPUTED_VALUE"""),"10KM OVERALL M")</f>
        <v>10KM OVERALL M</v>
      </c>
      <c r="E265" s="1">
        <f>IFERROR(__xludf.DUMMYFUNCTION("""COMPUTED_VALUE"""),219.0)</f>
        <v>219</v>
      </c>
      <c r="F265" s="1" t="str">
        <f>IFERROR(__xludf.DUMMYFUNCTION("""COMPUTED_VALUE"""),"Male")</f>
        <v>Male</v>
      </c>
      <c r="G265" s="5">
        <f>IFERROR(__xludf.DUMMYFUNCTION("""COMPUTED_VALUE"""),0.004514387731481481)</f>
        <v>0.004514387731</v>
      </c>
      <c r="H265" s="14">
        <f>IFERROR(__xludf.DUMMYFUNCTION("""COMPUTED_VALUE"""),0.24646185185185185)</f>
        <v>0.2464618519</v>
      </c>
      <c r="I265" s="15">
        <f>IFERROR(__xludf.DUMMYFUNCTION("""COMPUTED_VALUE"""),45949.29160572378)</f>
        <v>45949.29161</v>
      </c>
      <c r="J265" s="15">
        <f>IFERROR(__xludf.DUMMYFUNCTION("""COMPUTED_VALUE"""),45949.04514387193)</f>
        <v>45949.04514</v>
      </c>
      <c r="K265" s="15">
        <f>IFERROR(__xludf.DUMMYFUNCTION("""COMPUTED_VALUE"""),45949.25701289631)</f>
        <v>45949.25701</v>
      </c>
      <c r="L265" s="15">
        <f>IFERROR(__xludf.DUMMYFUNCTION("""COMPUTED_VALUE"""),45949.28490876712)</f>
        <v>45949.28491</v>
      </c>
    </row>
    <row r="266">
      <c r="A266" s="1">
        <f>IFERROR(__xludf.DUMMYFUNCTION("""COMPUTED_VALUE"""),265.0)</f>
        <v>265</v>
      </c>
      <c r="B266" s="1">
        <f>IFERROR(__xludf.DUMMYFUNCTION("""COMPUTED_VALUE"""),10778.0)</f>
        <v>10778</v>
      </c>
      <c r="C266" s="13" t="str">
        <f>IFERROR(__xludf.DUMMYFUNCTION("""COMPUTED_VALUE"""),"WAKAPOLDA")</f>
        <v>WAKAPOLDA</v>
      </c>
      <c r="D266" s="2" t="str">
        <f>IFERROR(__xludf.DUMMYFUNCTION("""COMPUTED_VALUE"""),"10KM OVERALL M")</f>
        <v>10KM OVERALL M</v>
      </c>
      <c r="E266" s="1">
        <f>IFERROR(__xludf.DUMMYFUNCTION("""COMPUTED_VALUE"""),220.0)</f>
        <v>220</v>
      </c>
      <c r="F266" s="1" t="str">
        <f>IFERROR(__xludf.DUMMYFUNCTION("""COMPUTED_VALUE"""),"Male")</f>
        <v>Male</v>
      </c>
      <c r="G266" s="5">
        <f>IFERROR(__xludf.DUMMYFUNCTION("""COMPUTED_VALUE"""),0.004517859953703704)</f>
        <v>0.004517859954</v>
      </c>
      <c r="H266" s="14">
        <f>IFERROR(__xludf.DUMMYFUNCTION("""COMPUTED_VALUE"""),0.24646185185185185)</f>
        <v>0.2464618519</v>
      </c>
      <c r="I266" s="15">
        <f>IFERROR(__xludf.DUMMYFUNCTION("""COMPUTED_VALUE"""),45949.291640455034)</f>
        <v>45949.29164</v>
      </c>
      <c r="J266" s="15">
        <f>IFERROR(__xludf.DUMMYFUNCTION("""COMPUTED_VALUE"""),45949.045178603184)</f>
        <v>45949.04518</v>
      </c>
      <c r="K266" s="15">
        <f>IFERROR(__xludf.DUMMYFUNCTION("""COMPUTED_VALUE"""),45949.257894827126)</f>
        <v>45949.25789</v>
      </c>
      <c r="L266" s="15">
        <f>IFERROR(__xludf.DUMMYFUNCTION("""COMPUTED_VALUE"""),45949.28373505178)</f>
        <v>45949.28374</v>
      </c>
    </row>
    <row r="267">
      <c r="A267" s="1">
        <f>IFERROR(__xludf.DUMMYFUNCTION("""COMPUTED_VALUE"""),266.0)</f>
        <v>266</v>
      </c>
      <c r="B267" s="1">
        <f>IFERROR(__xludf.DUMMYFUNCTION("""COMPUTED_VALUE"""),10028.0)</f>
        <v>10028</v>
      </c>
      <c r="C267" s="13" t="str">
        <f>IFERROR(__xludf.DUMMYFUNCTION("""COMPUTED_VALUE"""),"Karim")</f>
        <v>Karim</v>
      </c>
      <c r="D267" s="2" t="str">
        <f>IFERROR(__xludf.DUMMYFUNCTION("""COMPUTED_VALUE"""),"10KM OVERALL M")</f>
        <v>10KM OVERALL M</v>
      </c>
      <c r="E267" s="1">
        <f>IFERROR(__xludf.DUMMYFUNCTION("""COMPUTED_VALUE"""),221.0)</f>
        <v>221</v>
      </c>
      <c r="F267" s="1" t="str">
        <f>IFERROR(__xludf.DUMMYFUNCTION("""COMPUTED_VALUE"""),"Male")</f>
        <v>Male</v>
      </c>
      <c r="G267" s="5">
        <f>IFERROR(__xludf.DUMMYFUNCTION("""COMPUTED_VALUE"""),0.004519335648148148)</f>
        <v>0.004519335648</v>
      </c>
      <c r="H267" s="14">
        <f>IFERROR(__xludf.DUMMYFUNCTION("""COMPUTED_VALUE"""),0.24646185185185185)</f>
        <v>0.2464618519</v>
      </c>
      <c r="I267" s="15">
        <f>IFERROR(__xludf.DUMMYFUNCTION("""COMPUTED_VALUE"""),45949.29165520991)</f>
        <v>45949.29166</v>
      </c>
      <c r="J267" s="15">
        <f>IFERROR(__xludf.DUMMYFUNCTION("""COMPUTED_VALUE"""),45949.04519335806)</f>
        <v>45949.04519</v>
      </c>
      <c r="K267" s="15">
        <f>IFERROR(__xludf.DUMMYFUNCTION("""COMPUTED_VALUE"""),45949.25751628565)</f>
        <v>45949.25752</v>
      </c>
      <c r="L267" s="15">
        <f>IFERROR(__xludf.DUMMYFUNCTION("""COMPUTED_VALUE"""),45949.284312489755)</f>
        <v>45949.28431</v>
      </c>
    </row>
    <row r="268">
      <c r="A268" s="1">
        <f>IFERROR(__xludf.DUMMYFUNCTION("""COMPUTED_VALUE"""),267.0)</f>
        <v>267</v>
      </c>
      <c r="B268" s="1">
        <f>IFERROR(__xludf.DUMMYFUNCTION("""COMPUTED_VALUE"""),10249.0)</f>
        <v>10249</v>
      </c>
      <c r="C268" s="13" t="str">
        <f>IFERROR(__xludf.DUMMYFUNCTION("""COMPUTED_VALUE"""),"DEDY")</f>
        <v>DEDY</v>
      </c>
      <c r="D268" s="2" t="str">
        <f>IFERROR(__xludf.DUMMYFUNCTION("""COMPUTED_VALUE"""),"10KM OVERALL M")</f>
        <v>10KM OVERALL M</v>
      </c>
      <c r="E268" s="1">
        <f>IFERROR(__xludf.DUMMYFUNCTION("""COMPUTED_VALUE"""),222.0)</f>
        <v>222</v>
      </c>
      <c r="F268" s="1" t="str">
        <f>IFERROR(__xludf.DUMMYFUNCTION("""COMPUTED_VALUE"""),"Male")</f>
        <v>Male</v>
      </c>
      <c r="G268" s="5">
        <f>IFERROR(__xludf.DUMMYFUNCTION("""COMPUTED_VALUE"""),0.004519596064814815)</f>
        <v>0.004519596065</v>
      </c>
      <c r="H268" s="14">
        <f>IFERROR(__xludf.DUMMYFUNCTION("""COMPUTED_VALUE"""),0.24646185185185185)</f>
        <v>0.2464618519</v>
      </c>
      <c r="I268" s="15">
        <f>IFERROR(__xludf.DUMMYFUNCTION("""COMPUTED_VALUE"""),45949.29165780729)</f>
        <v>45949.29166</v>
      </c>
      <c r="J268" s="15">
        <f>IFERROR(__xludf.DUMMYFUNCTION("""COMPUTED_VALUE"""),45949.04519595544)</f>
        <v>45949.0452</v>
      </c>
      <c r="K268" s="15">
        <f>IFERROR(__xludf.DUMMYFUNCTION("""COMPUTED_VALUE"""),45949.25666210416)</f>
        <v>45949.25666</v>
      </c>
      <c r="L268" s="15">
        <f>IFERROR(__xludf.DUMMYFUNCTION("""COMPUTED_VALUE"""),45949.28394685609)</f>
        <v>45949.28395</v>
      </c>
    </row>
    <row r="269">
      <c r="A269" s="1">
        <f>IFERROR(__xludf.DUMMYFUNCTION("""COMPUTED_VALUE"""),268.0)</f>
        <v>268</v>
      </c>
      <c r="B269" s="1">
        <f>IFERROR(__xludf.DUMMYFUNCTION("""COMPUTED_VALUE"""),10397.0)</f>
        <v>10397</v>
      </c>
      <c r="C269" s="13" t="str">
        <f>IFERROR(__xludf.DUMMYFUNCTION("""COMPUTED_VALUE"""),"Muhammad Tri Laksono")</f>
        <v>Muhammad Tri Laksono</v>
      </c>
      <c r="D269" s="2" t="str">
        <f>IFERROR(__xludf.DUMMYFUNCTION("""COMPUTED_VALUE"""),"10KM OVERALL M")</f>
        <v>10KM OVERALL M</v>
      </c>
      <c r="E269" s="1">
        <f>IFERROR(__xludf.DUMMYFUNCTION("""COMPUTED_VALUE"""),223.0)</f>
        <v>223</v>
      </c>
      <c r="F269" s="1" t="str">
        <f>IFERROR(__xludf.DUMMYFUNCTION("""COMPUTED_VALUE"""),"Male")</f>
        <v>Male</v>
      </c>
      <c r="G269" s="5">
        <f>IFERROR(__xludf.DUMMYFUNCTION("""COMPUTED_VALUE"""),0.004522373842592593)</f>
        <v>0.004522373843</v>
      </c>
      <c r="H269" s="14">
        <f>IFERROR(__xludf.DUMMYFUNCTION("""COMPUTED_VALUE"""),0.24646185185185185)</f>
        <v>0.2464618519</v>
      </c>
      <c r="I269" s="15">
        <f>IFERROR(__xludf.DUMMYFUNCTION("""COMPUTED_VALUE"""),45949.29168559141)</f>
        <v>45949.29169</v>
      </c>
      <c r="J269" s="15">
        <f>IFERROR(__xludf.DUMMYFUNCTION("""COMPUTED_VALUE"""),45949.04522373956)</f>
        <v>45949.04522</v>
      </c>
      <c r="K269" s="15">
        <f>IFERROR(__xludf.DUMMYFUNCTION("""COMPUTED_VALUE"""),45949.256995452975)</f>
        <v>45949.257</v>
      </c>
      <c r="L269" s="15">
        <f>IFERROR(__xludf.DUMMYFUNCTION("""COMPUTED_VALUE"""),45949.28335312093)</f>
        <v>45949.28335</v>
      </c>
    </row>
    <row r="270">
      <c r="A270" s="1">
        <f>IFERROR(__xludf.DUMMYFUNCTION("""COMPUTED_VALUE"""),269.0)</f>
        <v>269</v>
      </c>
      <c r="B270" s="1">
        <f>IFERROR(__xludf.DUMMYFUNCTION("""COMPUTED_VALUE"""),10589.0)</f>
        <v>10589</v>
      </c>
      <c r="C270" s="13" t="str">
        <f>IFERROR(__xludf.DUMMYFUNCTION("""COMPUTED_VALUE"""),"Muhammad Raysa")</f>
        <v>Muhammad Raysa</v>
      </c>
      <c r="D270" s="2" t="str">
        <f>IFERROR(__xludf.DUMMYFUNCTION("""COMPUTED_VALUE"""),"10KM OVERALL M")</f>
        <v>10KM OVERALL M</v>
      </c>
      <c r="E270" s="1">
        <f>IFERROR(__xludf.DUMMYFUNCTION("""COMPUTED_VALUE"""),224.0)</f>
        <v>224</v>
      </c>
      <c r="F270" s="1" t="str">
        <f>IFERROR(__xludf.DUMMYFUNCTION("""COMPUTED_VALUE"""),"Male")</f>
        <v>Male</v>
      </c>
      <c r="G270" s="5">
        <f>IFERROR(__xludf.DUMMYFUNCTION("""COMPUTED_VALUE"""),0.00452515162037037)</f>
        <v>0.00452515162</v>
      </c>
      <c r="H270" s="14">
        <f>IFERROR(__xludf.DUMMYFUNCTION("""COMPUTED_VALUE"""),0.24646185185185185)</f>
        <v>0.2464618519</v>
      </c>
      <c r="I270" s="15">
        <f>IFERROR(__xludf.DUMMYFUNCTION("""COMPUTED_VALUE"""),45949.29171337199)</f>
        <v>45949.29171</v>
      </c>
      <c r="J270" s="15">
        <f>IFERROR(__xludf.DUMMYFUNCTION("""COMPUTED_VALUE"""),45949.04525152014)</f>
        <v>45949.04525</v>
      </c>
      <c r="K270" s="15">
        <f>IFERROR(__xludf.DUMMYFUNCTION("""COMPUTED_VALUE"""),45949.25784273257)</f>
        <v>45949.25784</v>
      </c>
      <c r="L270" s="15">
        <f>IFERROR(__xludf.DUMMYFUNCTION("""COMPUTED_VALUE"""),45949.28412046053)</f>
        <v>45949.28412</v>
      </c>
    </row>
    <row r="271">
      <c r="A271" s="1">
        <f>IFERROR(__xludf.DUMMYFUNCTION("""COMPUTED_VALUE"""),270.0)</f>
        <v>270</v>
      </c>
      <c r="B271" s="1">
        <f>IFERROR(__xludf.DUMMYFUNCTION("""COMPUTED_VALUE"""),10208.0)</f>
        <v>10208</v>
      </c>
      <c r="C271" s="13" t="str">
        <f>IFERROR(__xludf.DUMMYFUNCTION("""COMPUTED_VALUE"""),"M Yudha prawira")</f>
        <v>M Yudha prawira</v>
      </c>
      <c r="D271" s="2" t="str">
        <f>IFERROR(__xludf.DUMMYFUNCTION("""COMPUTED_VALUE"""),"10KM OVERALL M")</f>
        <v>10KM OVERALL M</v>
      </c>
      <c r="E271" s="1">
        <f>IFERROR(__xludf.DUMMYFUNCTION("""COMPUTED_VALUE"""),225.0)</f>
        <v>225</v>
      </c>
      <c r="F271" s="1" t="str">
        <f>IFERROR(__xludf.DUMMYFUNCTION("""COMPUTED_VALUE"""),"Male")</f>
        <v>Male</v>
      </c>
      <c r="G271" s="5">
        <f>IFERROR(__xludf.DUMMYFUNCTION("""COMPUTED_VALUE"""),0.004533486111111111)</f>
        <v>0.004533486111</v>
      </c>
      <c r="H271" s="14">
        <f>IFERROR(__xludf.DUMMYFUNCTION("""COMPUTED_VALUE"""),0.24646185185185185)</f>
        <v>0.2464618519</v>
      </c>
      <c r="I271" s="15">
        <f>IFERROR(__xludf.DUMMYFUNCTION("""COMPUTED_VALUE"""),45949.291796711754)</f>
        <v>45949.2918</v>
      </c>
      <c r="J271" s="15">
        <f>IFERROR(__xludf.DUMMYFUNCTION("""COMPUTED_VALUE"""),45949.045334859904)</f>
        <v>45949.04533</v>
      </c>
      <c r="K271" s="15">
        <f>IFERROR(__xludf.DUMMYFUNCTION("""COMPUTED_VALUE"""),45949.25739481199)</f>
        <v>45949.25739</v>
      </c>
      <c r="L271" s="15">
        <f>IFERROR(__xludf.DUMMYFUNCTION("""COMPUTED_VALUE"""),45949.2840163137)</f>
        <v>45949.28402</v>
      </c>
    </row>
    <row r="272">
      <c r="A272" s="1">
        <f>IFERROR(__xludf.DUMMYFUNCTION("""COMPUTED_VALUE"""),271.0)</f>
        <v>271</v>
      </c>
      <c r="B272" s="1">
        <f>IFERROR(__xludf.DUMMYFUNCTION("""COMPUTED_VALUE"""),10699.0)</f>
        <v>10699</v>
      </c>
      <c r="C272" s="13" t="str">
        <f>IFERROR(__xludf.DUMMYFUNCTION("""COMPUTED_VALUE"""),"Oky Purnawan")</f>
        <v>Oky Purnawan</v>
      </c>
      <c r="D272" s="2" t="str">
        <f>IFERROR(__xludf.DUMMYFUNCTION("""COMPUTED_VALUE"""),"10KM OVERALL M")</f>
        <v>10KM OVERALL M</v>
      </c>
      <c r="E272" s="1">
        <f>IFERROR(__xludf.DUMMYFUNCTION("""COMPUTED_VALUE"""),226.0)</f>
        <v>226</v>
      </c>
      <c r="F272" s="1" t="str">
        <f>IFERROR(__xludf.DUMMYFUNCTION("""COMPUTED_VALUE"""),"Male")</f>
        <v>Male</v>
      </c>
      <c r="G272" s="5">
        <f>IFERROR(__xludf.DUMMYFUNCTION("""COMPUTED_VALUE"""),0.004534180555555556)</f>
        <v>0.004534180556</v>
      </c>
      <c r="H272" s="14">
        <f>IFERROR(__xludf.DUMMYFUNCTION("""COMPUTED_VALUE"""),0.24646185185185185)</f>
        <v>0.2464618519</v>
      </c>
      <c r="I272" s="15">
        <f>IFERROR(__xludf.DUMMYFUNCTION("""COMPUTED_VALUE"""),45949.291803661275)</f>
        <v>45949.2918</v>
      </c>
      <c r="J272" s="15">
        <f>IFERROR(__xludf.DUMMYFUNCTION("""COMPUTED_VALUE"""),45949.045341809426)</f>
        <v>45949.04534</v>
      </c>
      <c r="K272" s="15">
        <f>IFERROR(__xludf.DUMMYFUNCTION("""COMPUTED_VALUE"""),45949.25709618546)</f>
        <v>45949.2571</v>
      </c>
      <c r="L272" s="15">
        <f>IFERROR(__xludf.DUMMYFUNCTION("""COMPUTED_VALUE"""),45949.28369339431)</f>
        <v>45949.28369</v>
      </c>
    </row>
    <row r="273">
      <c r="A273" s="1">
        <f>IFERROR(__xludf.DUMMYFUNCTION("""COMPUTED_VALUE"""),272.0)</f>
        <v>272</v>
      </c>
      <c r="B273" s="1">
        <f>IFERROR(__xludf.DUMMYFUNCTION("""COMPUTED_VALUE"""),12062.0)</f>
        <v>12062</v>
      </c>
      <c r="C273" s="13" t="str">
        <f>IFERROR(__xludf.DUMMYFUNCTION("""COMPUTED_VALUE"""),"MARGO")</f>
        <v>MARGO</v>
      </c>
      <c r="D273" s="2" t="str">
        <f>IFERROR(__xludf.DUMMYFUNCTION("""COMPUTED_VALUE"""),"10KM MASTER M")</f>
        <v>10KM MASTER M</v>
      </c>
      <c r="E273" s="1">
        <f>IFERROR(__xludf.DUMMYFUNCTION("""COMPUTED_VALUE"""),28.0)</f>
        <v>28</v>
      </c>
      <c r="F273" s="1" t="str">
        <f>IFERROR(__xludf.DUMMYFUNCTION("""COMPUTED_VALUE"""),"Male")</f>
        <v>Male</v>
      </c>
      <c r="G273" s="5">
        <f>IFERROR(__xludf.DUMMYFUNCTION("""COMPUTED_VALUE"""),0.0045369548611111105)</f>
        <v>0.004536954861</v>
      </c>
      <c r="H273" s="14">
        <f>IFERROR(__xludf.DUMMYFUNCTION("""COMPUTED_VALUE"""),0.24646185185185185)</f>
        <v>0.2464618519</v>
      </c>
      <c r="I273" s="15">
        <f>IFERROR(__xludf.DUMMYFUNCTION("""COMPUTED_VALUE"""),45949.2918313954)</f>
        <v>45949.29183</v>
      </c>
      <c r="J273" s="15">
        <f>IFERROR(__xludf.DUMMYFUNCTION("""COMPUTED_VALUE"""),45949.04536954355)</f>
        <v>45949.04537</v>
      </c>
      <c r="K273" s="15">
        <f>IFERROR(__xludf.DUMMYFUNCTION("""COMPUTED_VALUE"""),45949.257731606245)</f>
        <v>45949.25773</v>
      </c>
      <c r="L273" s="15">
        <f>IFERROR(__xludf.DUMMYFUNCTION("""COMPUTED_VALUE"""),45949.284346172644)</f>
        <v>45949.28435</v>
      </c>
    </row>
    <row r="274">
      <c r="A274" s="1">
        <f>IFERROR(__xludf.DUMMYFUNCTION("""COMPUTED_VALUE"""),273.0)</f>
        <v>273</v>
      </c>
      <c r="B274" s="1">
        <f>IFERROR(__xludf.DUMMYFUNCTION("""COMPUTED_VALUE"""),12055.0)</f>
        <v>12055</v>
      </c>
      <c r="C274" s="13" t="str">
        <f>IFERROR(__xludf.DUMMYFUNCTION("""COMPUTED_VALUE"""),"AWI")</f>
        <v>AWI</v>
      </c>
      <c r="D274" s="2" t="str">
        <f>IFERROR(__xludf.DUMMYFUNCTION("""COMPUTED_VALUE"""),"10KM MASTER M")</f>
        <v>10KM MASTER M</v>
      </c>
      <c r="E274" s="1">
        <f>IFERROR(__xludf.DUMMYFUNCTION("""COMPUTED_VALUE"""),29.0)</f>
        <v>29</v>
      </c>
      <c r="F274" s="1" t="str">
        <f>IFERROR(__xludf.DUMMYFUNCTION("""COMPUTED_VALUE"""),"Male")</f>
        <v>Male</v>
      </c>
      <c r="G274" s="5">
        <f>IFERROR(__xludf.DUMMYFUNCTION("""COMPUTED_VALUE"""),0.0045400833333333335)</f>
        <v>0.004540083333</v>
      </c>
      <c r="H274" s="14">
        <f>IFERROR(__xludf.DUMMYFUNCTION("""COMPUTED_VALUE"""),0.24646185185185185)</f>
        <v>0.2464618519</v>
      </c>
      <c r="I274" s="15">
        <f>IFERROR(__xludf.DUMMYFUNCTION("""COMPUTED_VALUE"""),45949.29186268121)</f>
        <v>45949.29186</v>
      </c>
      <c r="J274" s="15">
        <f>IFERROR(__xludf.DUMMYFUNCTION("""COMPUTED_VALUE"""),45949.04540082936)</f>
        <v>45949.0454</v>
      </c>
      <c r="K274" s="15">
        <f>IFERROR(__xludf.DUMMYFUNCTION("""COMPUTED_VALUE"""),45949.25722118332)</f>
        <v>45949.25722</v>
      </c>
      <c r="L274" s="15">
        <f>IFERROR(__xludf.DUMMYFUNCTION("""COMPUTED_VALUE"""),45949.284002415094)</f>
        <v>45949.284</v>
      </c>
    </row>
    <row r="275">
      <c r="A275" s="1">
        <f>IFERROR(__xludf.DUMMYFUNCTION("""COMPUTED_VALUE"""),274.0)</f>
        <v>274</v>
      </c>
      <c r="B275" s="1">
        <f>IFERROR(__xludf.DUMMYFUNCTION("""COMPUTED_VALUE"""),10195.0)</f>
        <v>10195</v>
      </c>
      <c r="C275" s="13" t="str">
        <f>IFERROR(__xludf.DUMMYFUNCTION("""COMPUTED_VALUE"""),"Erwin Gunawan")</f>
        <v>Erwin Gunawan</v>
      </c>
      <c r="D275" s="2" t="str">
        <f>IFERROR(__xludf.DUMMYFUNCTION("""COMPUTED_VALUE"""),"10KM OVERALL M")</f>
        <v>10KM OVERALL M</v>
      </c>
      <c r="E275" s="1">
        <f>IFERROR(__xludf.DUMMYFUNCTION("""COMPUTED_VALUE"""),227.0)</f>
        <v>227</v>
      </c>
      <c r="F275" s="1" t="str">
        <f>IFERROR(__xludf.DUMMYFUNCTION("""COMPUTED_VALUE"""),"Male")</f>
        <v>Male</v>
      </c>
      <c r="G275" s="5">
        <f>IFERROR(__xludf.DUMMYFUNCTION("""COMPUTED_VALUE"""),0.004554665509259259)</f>
        <v>0.004554665509</v>
      </c>
      <c r="H275" s="14">
        <f>IFERROR(__xludf.DUMMYFUNCTION("""COMPUTED_VALUE"""),0.24646185185185185)</f>
        <v>0.2464618519</v>
      </c>
      <c r="I275" s="15">
        <f>IFERROR(__xludf.DUMMYFUNCTION("""COMPUTED_VALUE"""),45949.29200850479)</f>
        <v>45949.29201</v>
      </c>
      <c r="J275" s="15">
        <f>IFERROR(__xludf.DUMMYFUNCTION("""COMPUTED_VALUE"""),45949.04554665294)</f>
        <v>45949.04555</v>
      </c>
      <c r="K275" s="15">
        <f>IFERROR(__xludf.DUMMYFUNCTION("""COMPUTED_VALUE"""),45949.25622461794)</f>
        <v>45949.25622</v>
      </c>
      <c r="L275" s="15">
        <f>IFERROR(__xludf.DUMMYFUNCTION("""COMPUTED_VALUE"""),45949.283995523736)</f>
        <v>45949.284</v>
      </c>
    </row>
    <row r="276">
      <c r="A276" s="1">
        <f>IFERROR(__xludf.DUMMYFUNCTION("""COMPUTED_VALUE"""),275.0)</f>
        <v>275</v>
      </c>
      <c r="B276" s="1">
        <f>IFERROR(__xludf.DUMMYFUNCTION("""COMPUTED_VALUE"""),10020.0)</f>
        <v>10020</v>
      </c>
      <c r="C276" s="13" t="str">
        <f>IFERROR(__xludf.DUMMYFUNCTION("""COMPUTED_VALUE"""),"Rahmat JP")</f>
        <v>Rahmat JP</v>
      </c>
      <c r="D276" s="2" t="str">
        <f>IFERROR(__xludf.DUMMYFUNCTION("""COMPUTED_VALUE"""),"10KM OVERALL M")</f>
        <v>10KM OVERALL M</v>
      </c>
      <c r="E276" s="1">
        <f>IFERROR(__xludf.DUMMYFUNCTION("""COMPUTED_VALUE"""),228.0)</f>
        <v>228</v>
      </c>
      <c r="F276" s="1" t="str">
        <f>IFERROR(__xludf.DUMMYFUNCTION("""COMPUTED_VALUE"""),"Male")</f>
        <v>Male</v>
      </c>
      <c r="G276" s="5">
        <f>IFERROR(__xludf.DUMMYFUNCTION("""COMPUTED_VALUE"""),0.004555359953703704)</f>
        <v>0.004555359954</v>
      </c>
      <c r="H276" s="14">
        <f>IFERROR(__xludf.DUMMYFUNCTION("""COMPUTED_VALUE"""),0.24646185185185185)</f>
        <v>0.2464618519</v>
      </c>
      <c r="I276" s="15">
        <f>IFERROR(__xludf.DUMMYFUNCTION("""COMPUTED_VALUE"""),45949.292015456645)</f>
        <v>45949.29202</v>
      </c>
      <c r="J276" s="15">
        <f>IFERROR(__xludf.DUMMYFUNCTION("""COMPUTED_VALUE"""),45949.045553604796)</f>
        <v>45949.04555</v>
      </c>
      <c r="K276" s="15">
        <f>IFERROR(__xludf.DUMMYFUNCTION("""COMPUTED_VALUE"""),45949.25606487948)</f>
        <v>45949.25606</v>
      </c>
      <c r="L276" s="15">
        <f>IFERROR(__xludf.DUMMYFUNCTION("""COMPUTED_VALUE"""),45949.283228106324)</f>
        <v>45949.28323</v>
      </c>
    </row>
    <row r="277">
      <c r="A277" s="1">
        <f>IFERROR(__xludf.DUMMYFUNCTION("""COMPUTED_VALUE"""),276.0)</f>
        <v>276</v>
      </c>
      <c r="B277" s="1">
        <f>IFERROR(__xludf.DUMMYFUNCTION("""COMPUTED_VALUE"""),10530.0)</f>
        <v>10530</v>
      </c>
      <c r="C277" s="13" t="str">
        <f>IFERROR(__xludf.DUMMYFUNCTION("""COMPUTED_VALUE"""),"-")</f>
        <v>-</v>
      </c>
      <c r="D277" s="2" t="str">
        <f>IFERROR(__xludf.DUMMYFUNCTION("""COMPUTED_VALUE"""),"10KM OVERALL M")</f>
        <v>10KM OVERALL M</v>
      </c>
      <c r="E277" s="1">
        <f>IFERROR(__xludf.DUMMYFUNCTION("""COMPUTED_VALUE"""),229.0)</f>
        <v>229</v>
      </c>
      <c r="F277" s="1" t="str">
        <f>IFERROR(__xludf.DUMMYFUNCTION("""COMPUTED_VALUE"""),"Male")</f>
        <v>Male</v>
      </c>
      <c r="G277" s="5">
        <f>IFERROR(__xludf.DUMMYFUNCTION("""COMPUTED_VALUE"""),0.004560916666666666)</f>
        <v>0.004560916667</v>
      </c>
      <c r="H277" s="14">
        <f>IFERROR(__xludf.DUMMYFUNCTION("""COMPUTED_VALUE"""),0.24646185185185185)</f>
        <v>0.2464618519</v>
      </c>
      <c r="I277" s="15">
        <f>IFERROR(__xludf.DUMMYFUNCTION("""COMPUTED_VALUE"""),45949.29207101386)</f>
        <v>45949.29207</v>
      </c>
      <c r="J277" s="15">
        <f>IFERROR(__xludf.DUMMYFUNCTION("""COMPUTED_VALUE"""),45949.04560916201)</f>
        <v>45949.04561</v>
      </c>
      <c r="K277" s="15">
        <f>IFERROR(__xludf.DUMMYFUNCTION("""COMPUTED_VALUE"""),45949.257960771836)</f>
        <v>45949.25796</v>
      </c>
      <c r="L277" s="15">
        <f>IFERROR(__xludf.DUMMYFUNCTION("""COMPUTED_VALUE"""),45949.28412393424)</f>
        <v>45949.28412</v>
      </c>
    </row>
    <row r="278">
      <c r="A278" s="1">
        <f>IFERROR(__xludf.DUMMYFUNCTION("""COMPUTED_VALUE"""),277.0)</f>
        <v>277</v>
      </c>
      <c r="B278" s="1">
        <f>IFERROR(__xludf.DUMMYFUNCTION("""COMPUTED_VALUE"""),10345.0)</f>
        <v>10345</v>
      </c>
      <c r="C278" s="13" t="str">
        <f>IFERROR(__xludf.DUMMYFUNCTION("""COMPUTED_VALUE"""),"Alif Nur Fadhilah")</f>
        <v>Alif Nur Fadhilah</v>
      </c>
      <c r="D278" s="2" t="str">
        <f>IFERROR(__xludf.DUMMYFUNCTION("""COMPUTED_VALUE"""),"10KM OVERALL M")</f>
        <v>10KM OVERALL M</v>
      </c>
      <c r="E278" s="1">
        <f>IFERROR(__xludf.DUMMYFUNCTION("""COMPUTED_VALUE"""),230.0)</f>
        <v>230</v>
      </c>
      <c r="F278" s="1" t="str">
        <f>IFERROR(__xludf.DUMMYFUNCTION("""COMPUTED_VALUE"""),"Male")</f>
        <v>Male</v>
      </c>
      <c r="G278" s="5">
        <f>IFERROR(__xludf.DUMMYFUNCTION("""COMPUTED_VALUE"""),0.004561611111111112)</f>
        <v>0.004561611111</v>
      </c>
      <c r="H278" s="14">
        <f>IFERROR(__xludf.DUMMYFUNCTION("""COMPUTED_VALUE"""),0.24646185185185185)</f>
        <v>0.2464618519</v>
      </c>
      <c r="I278" s="15">
        <f>IFERROR(__xludf.DUMMYFUNCTION("""COMPUTED_VALUE"""),45949.292077960155)</f>
        <v>45949.29208</v>
      </c>
      <c r="J278" s="15">
        <f>IFERROR(__xludf.DUMMYFUNCTION("""COMPUTED_VALUE"""),45949.045616108306)</f>
        <v>45949.04562</v>
      </c>
      <c r="K278" s="15">
        <f>IFERROR(__xludf.DUMMYFUNCTION("""COMPUTED_VALUE"""),45949.256915638245)</f>
        <v>45949.25692</v>
      </c>
      <c r="L278" s="15">
        <f>IFERROR(__xludf.DUMMYFUNCTION("""COMPUTED_VALUE"""),45949.28475931212)</f>
        <v>45949.28476</v>
      </c>
    </row>
    <row r="279">
      <c r="A279" s="1">
        <f>IFERROR(__xludf.DUMMYFUNCTION("""COMPUTED_VALUE"""),278.0)</f>
        <v>278</v>
      </c>
      <c r="B279" s="1">
        <f>IFERROR(__xludf.DUMMYFUNCTION("""COMPUTED_VALUE"""),10124.0)</f>
        <v>10124</v>
      </c>
      <c r="C279" s="13" t="str">
        <f>IFERROR(__xludf.DUMMYFUNCTION("""COMPUTED_VALUE"""),"IHSAN AHMAD")</f>
        <v>IHSAN AHMAD</v>
      </c>
      <c r="D279" s="2" t="str">
        <f>IFERROR(__xludf.DUMMYFUNCTION("""COMPUTED_VALUE"""),"10KM OVERALL M")</f>
        <v>10KM OVERALL M</v>
      </c>
      <c r="E279" s="1">
        <f>IFERROR(__xludf.DUMMYFUNCTION("""COMPUTED_VALUE"""),231.0)</f>
        <v>231</v>
      </c>
      <c r="F279" s="1" t="str">
        <f>IFERROR(__xludf.DUMMYFUNCTION("""COMPUTED_VALUE"""),"Male")</f>
        <v>Male</v>
      </c>
      <c r="G279" s="5">
        <f>IFERROR(__xludf.DUMMYFUNCTION("""COMPUTED_VALUE"""),0.004568901620370371)</f>
        <v>0.00456890162</v>
      </c>
      <c r="H279" s="14">
        <f>IFERROR(__xludf.DUMMYFUNCTION("""COMPUTED_VALUE"""),0.24646185185185185)</f>
        <v>0.2464618519</v>
      </c>
      <c r="I279" s="15">
        <f>IFERROR(__xludf.DUMMYFUNCTION("""COMPUTED_VALUE"""),45949.29215086638)</f>
        <v>45949.29215</v>
      </c>
      <c r="J279" s="15">
        <f>IFERROR(__xludf.DUMMYFUNCTION("""COMPUTED_VALUE"""),45949.04568901453)</f>
        <v>45949.04569</v>
      </c>
      <c r="K279" s="15">
        <f>IFERROR(__xludf.DUMMYFUNCTION("""COMPUTED_VALUE"""),45949.257252445874)</f>
        <v>45949.25725</v>
      </c>
      <c r="L279" s="15">
        <f>IFERROR(__xludf.DUMMYFUNCTION("""COMPUTED_VALUE"""),45949.28537048288)</f>
        <v>45949.28537</v>
      </c>
    </row>
    <row r="280">
      <c r="A280" s="1">
        <f>IFERROR(__xludf.DUMMYFUNCTION("""COMPUTED_VALUE"""),279.0)</f>
        <v>279</v>
      </c>
      <c r="B280" s="1">
        <f>IFERROR(__xludf.DUMMYFUNCTION("""COMPUTED_VALUE"""),10316.0)</f>
        <v>10316</v>
      </c>
      <c r="C280" s="13" t="str">
        <f>IFERROR(__xludf.DUMMYFUNCTION("""COMPUTED_VALUE"""),"Ewaldo Josantio")</f>
        <v>Ewaldo Josantio</v>
      </c>
      <c r="D280" s="2" t="str">
        <f>IFERROR(__xludf.DUMMYFUNCTION("""COMPUTED_VALUE"""),"10KM OVERALL M")</f>
        <v>10KM OVERALL M</v>
      </c>
      <c r="E280" s="1">
        <f>IFERROR(__xludf.DUMMYFUNCTION("""COMPUTED_VALUE"""),232.0)</f>
        <v>232</v>
      </c>
      <c r="F280" s="1" t="str">
        <f>IFERROR(__xludf.DUMMYFUNCTION("""COMPUTED_VALUE"""),"Male")</f>
        <v>Male</v>
      </c>
      <c r="G280" s="5">
        <f>IFERROR(__xludf.DUMMYFUNCTION("""COMPUTED_VALUE"""),0.004569944444444444)</f>
        <v>0.004569944444</v>
      </c>
      <c r="H280" s="14">
        <f>IFERROR(__xludf.DUMMYFUNCTION("""COMPUTED_VALUE"""),0.24646185185185185)</f>
        <v>0.2464618519</v>
      </c>
      <c r="I280" s="15">
        <f>IFERROR(__xludf.DUMMYFUNCTION("""COMPUTED_VALUE"""),45949.29216129563)</f>
        <v>45949.29216</v>
      </c>
      <c r="J280" s="15">
        <f>IFERROR(__xludf.DUMMYFUNCTION("""COMPUTED_VALUE"""),45949.04569944378)</f>
        <v>45949.0457</v>
      </c>
      <c r="K280" s="15">
        <f>IFERROR(__xludf.DUMMYFUNCTION("""COMPUTED_VALUE"""),45949.25759268023)</f>
        <v>45949.25759</v>
      </c>
      <c r="L280" s="15">
        <f>IFERROR(__xludf.DUMMYFUNCTION("""COMPUTED_VALUE"""),45949.28448158455)</f>
        <v>45949.28448</v>
      </c>
    </row>
    <row r="281">
      <c r="A281" s="1">
        <f>IFERROR(__xludf.DUMMYFUNCTION("""COMPUTED_VALUE"""),280.0)</f>
        <v>280</v>
      </c>
      <c r="B281" s="1">
        <f>IFERROR(__xludf.DUMMYFUNCTION("""COMPUTED_VALUE"""),10232.0)</f>
        <v>10232</v>
      </c>
      <c r="C281" s="13" t="str">
        <f>IFERROR(__xludf.DUMMYFUNCTION("""COMPUTED_VALUE"""),"murthado")</f>
        <v>murthado</v>
      </c>
      <c r="D281" s="2" t="str">
        <f>IFERROR(__xludf.DUMMYFUNCTION("""COMPUTED_VALUE"""),"10KM OVERALL M")</f>
        <v>10KM OVERALL M</v>
      </c>
      <c r="E281" s="1">
        <f>IFERROR(__xludf.DUMMYFUNCTION("""COMPUTED_VALUE"""),233.0)</f>
        <v>233</v>
      </c>
      <c r="F281" s="1" t="str">
        <f>IFERROR(__xludf.DUMMYFUNCTION("""COMPUTED_VALUE"""),"Male")</f>
        <v>Male</v>
      </c>
      <c r="G281" s="5">
        <f>IFERROR(__xludf.DUMMYFUNCTION("""COMPUTED_VALUE"""),0.004572721064814815)</f>
        <v>0.004572721065</v>
      </c>
      <c r="H281" s="14">
        <f>IFERROR(__xludf.DUMMYFUNCTION("""COMPUTED_VALUE"""),0.24646185185185185)</f>
        <v>0.2464618519</v>
      </c>
      <c r="I281" s="15">
        <f>IFERROR(__xludf.DUMMYFUNCTION("""COMPUTED_VALUE"""),45949.29218906091)</f>
        <v>45949.29219</v>
      </c>
      <c r="J281" s="15">
        <f>IFERROR(__xludf.DUMMYFUNCTION("""COMPUTED_VALUE"""),45949.04572720906)</f>
        <v>45949.04573</v>
      </c>
      <c r="K281" s="15">
        <f>IFERROR(__xludf.DUMMYFUNCTION("""COMPUTED_VALUE"""),45949.257780191656)</f>
        <v>45949.25778</v>
      </c>
      <c r="L281" s="15">
        <f>IFERROR(__xludf.DUMMYFUNCTION("""COMPUTED_VALUE"""),45949.28449199679)</f>
        <v>45949.28449</v>
      </c>
    </row>
    <row r="282">
      <c r="A282" s="1">
        <f>IFERROR(__xludf.DUMMYFUNCTION("""COMPUTED_VALUE"""),281.0)</f>
        <v>281</v>
      </c>
      <c r="B282" s="1">
        <f>IFERROR(__xludf.DUMMYFUNCTION("""COMPUTED_VALUE"""),10252.0)</f>
        <v>10252</v>
      </c>
      <c r="C282" s="13" t="str">
        <f>IFERROR(__xludf.DUMMYFUNCTION("""COMPUTED_VALUE"""),"Bimo Seno Santoso")</f>
        <v>Bimo Seno Santoso</v>
      </c>
      <c r="D282" s="2" t="str">
        <f>IFERROR(__xludf.DUMMYFUNCTION("""COMPUTED_VALUE"""),"10KM OVERALL M")</f>
        <v>10KM OVERALL M</v>
      </c>
      <c r="E282" s="1">
        <f>IFERROR(__xludf.DUMMYFUNCTION("""COMPUTED_VALUE"""),234.0)</f>
        <v>234</v>
      </c>
      <c r="F282" s="1" t="str">
        <f>IFERROR(__xludf.DUMMYFUNCTION("""COMPUTED_VALUE"""),"Male")</f>
        <v>Male</v>
      </c>
      <c r="G282" s="5">
        <f>IFERROR(__xludf.DUMMYFUNCTION("""COMPUTED_VALUE"""),0.004574457175925925)</f>
        <v>0.004574457176</v>
      </c>
      <c r="H282" s="14">
        <f>IFERROR(__xludf.DUMMYFUNCTION("""COMPUTED_VALUE"""),0.24646185185185185)</f>
        <v>0.2464618519</v>
      </c>
      <c r="I282" s="15">
        <f>IFERROR(__xludf.DUMMYFUNCTION("""COMPUTED_VALUE"""),45949.29220642187)</f>
        <v>45949.29221</v>
      </c>
      <c r="J282" s="15">
        <f>IFERROR(__xludf.DUMMYFUNCTION("""COMPUTED_VALUE"""),45949.04574457002)</f>
        <v>45949.04574</v>
      </c>
      <c r="K282" s="15">
        <f>IFERROR(__xludf.DUMMYFUNCTION("""COMPUTED_VALUE"""),45949.25788437052)</f>
        <v>45949.25788</v>
      </c>
      <c r="L282" s="15">
        <f>IFERROR(__xludf.DUMMYFUNCTION("""COMPUTED_VALUE"""),45949.28475286831)</f>
        <v>45949.28475</v>
      </c>
    </row>
    <row r="283">
      <c r="A283" s="1">
        <f>IFERROR(__xludf.DUMMYFUNCTION("""COMPUTED_VALUE"""),282.0)</f>
        <v>282</v>
      </c>
      <c r="B283" s="1">
        <f>IFERROR(__xludf.DUMMYFUNCTION("""COMPUTED_VALUE"""),10771.0)</f>
        <v>10771</v>
      </c>
      <c r="C283" s="13" t="str">
        <f>IFERROR(__xludf.DUMMYFUNCTION("""COMPUTED_VALUE"""),"ARRAFI")</f>
        <v>ARRAFI</v>
      </c>
      <c r="D283" s="2" t="str">
        <f>IFERROR(__xludf.DUMMYFUNCTION("""COMPUTED_VALUE"""),"10KM OVERALL M")</f>
        <v>10KM OVERALL M</v>
      </c>
      <c r="E283" s="1">
        <f>IFERROR(__xludf.DUMMYFUNCTION("""COMPUTED_VALUE"""),235.0)</f>
        <v>235</v>
      </c>
      <c r="F283" s="1" t="str">
        <f>IFERROR(__xludf.DUMMYFUNCTION("""COMPUTED_VALUE"""),"Female")</f>
        <v>Female</v>
      </c>
      <c r="G283" s="5">
        <f>IFERROR(__xludf.DUMMYFUNCTION("""COMPUTED_VALUE"""),0.0045772326388888885)</f>
        <v>0.004577232639</v>
      </c>
      <c r="H283" s="14">
        <f>IFERROR(__xludf.DUMMYFUNCTION("""COMPUTED_VALUE"""),0.24646185185185185)</f>
        <v>0.2464618519</v>
      </c>
      <c r="I283" s="15">
        <f>IFERROR(__xludf.DUMMYFUNCTION("""COMPUTED_VALUE"""),45949.292234179855)</f>
        <v>45949.29223</v>
      </c>
      <c r="J283" s="15">
        <f>IFERROR(__xludf.DUMMYFUNCTION("""COMPUTED_VALUE"""),45949.045772328005)</f>
        <v>45949.04577</v>
      </c>
      <c r="K283" s="15">
        <f>IFERROR(__xludf.DUMMYFUNCTION("""COMPUTED_VALUE"""),45949.25732531367)</f>
        <v>45949.25733</v>
      </c>
      <c r="L283" s="15">
        <f>IFERROR(__xludf.DUMMYFUNCTION("""COMPUTED_VALUE"""),45949.28499553085)</f>
        <v>45949.285</v>
      </c>
    </row>
    <row r="284">
      <c r="A284" s="1">
        <f>IFERROR(__xludf.DUMMYFUNCTION("""COMPUTED_VALUE"""),283.0)</f>
        <v>283</v>
      </c>
      <c r="B284" s="1">
        <f>IFERROR(__xludf.DUMMYFUNCTION("""COMPUTED_VALUE"""),10545.0)</f>
        <v>10545</v>
      </c>
      <c r="C284" s="13" t="str">
        <f>IFERROR(__xludf.DUMMYFUNCTION("""COMPUTED_VALUE"""),"Aby Aliya")</f>
        <v>Aby Aliya</v>
      </c>
      <c r="D284" s="2" t="str">
        <f>IFERROR(__xludf.DUMMYFUNCTION("""COMPUTED_VALUE"""),"10KM OVERALL M")</f>
        <v>10KM OVERALL M</v>
      </c>
      <c r="E284" s="1">
        <f>IFERROR(__xludf.DUMMYFUNCTION("""COMPUTED_VALUE"""),236.0)</f>
        <v>236</v>
      </c>
      <c r="F284" s="1" t="str">
        <f>IFERROR(__xludf.DUMMYFUNCTION("""COMPUTED_VALUE"""),"Male")</f>
        <v>Male</v>
      </c>
      <c r="G284" s="5">
        <f>IFERROR(__xludf.DUMMYFUNCTION("""COMPUTED_VALUE"""),0.004577930555555556)</f>
        <v>0.004577930556</v>
      </c>
      <c r="H284" s="14">
        <f>IFERROR(__xludf.DUMMYFUNCTION("""COMPUTED_VALUE"""),0.24646185185185185)</f>
        <v>0.2464618519</v>
      </c>
      <c r="I284" s="15">
        <f>IFERROR(__xludf.DUMMYFUNCTION("""COMPUTED_VALUE"""),45949.292241156916)</f>
        <v>45949.29224</v>
      </c>
      <c r="J284" s="15">
        <f>IFERROR(__xludf.DUMMYFUNCTION("""COMPUTED_VALUE"""),45949.04577930507)</f>
        <v>45949.04578</v>
      </c>
      <c r="K284" s="15">
        <f>IFERROR(__xludf.DUMMYFUNCTION("""COMPUTED_VALUE"""),45949.25572120584)</f>
        <v>45949.25572</v>
      </c>
      <c r="L284" s="15">
        <f>IFERROR(__xludf.DUMMYFUNCTION("""COMPUTED_VALUE"""),45949.283679622014)</f>
        <v>45949.28368</v>
      </c>
    </row>
    <row r="285">
      <c r="A285" s="1">
        <f>IFERROR(__xludf.DUMMYFUNCTION("""COMPUTED_VALUE"""),284.0)</f>
        <v>284</v>
      </c>
      <c r="B285" s="1">
        <f>IFERROR(__xludf.DUMMYFUNCTION("""COMPUTED_VALUE"""),10680.0)</f>
        <v>10680</v>
      </c>
      <c r="C285" s="13" t="str">
        <f>IFERROR(__xludf.DUMMYFUNCTION("""COMPUTED_VALUE"""),"Aleshaka")</f>
        <v>Aleshaka</v>
      </c>
      <c r="D285" s="2" t="str">
        <f>IFERROR(__xludf.DUMMYFUNCTION("""COMPUTED_VALUE"""),"10KM OVERALL F")</f>
        <v>10KM OVERALL F</v>
      </c>
      <c r="E285" s="1">
        <f>IFERROR(__xludf.DUMMYFUNCTION("""COMPUTED_VALUE"""),14.0)</f>
        <v>14</v>
      </c>
      <c r="F285" s="1" t="str">
        <f>IFERROR(__xludf.DUMMYFUNCTION("""COMPUTED_VALUE"""),"Female")</f>
        <v>Female</v>
      </c>
      <c r="G285" s="5">
        <f>IFERROR(__xludf.DUMMYFUNCTION("""COMPUTED_VALUE"""),0.004578971064814815)</f>
        <v>0.004578971065</v>
      </c>
      <c r="H285" s="14">
        <f>IFERROR(__xludf.DUMMYFUNCTION("""COMPUTED_VALUE"""),0.24646185185185185)</f>
        <v>0.2464618519</v>
      </c>
      <c r="I285" s="15">
        <f>IFERROR(__xludf.DUMMYFUNCTION("""COMPUTED_VALUE"""),45949.29225155815)</f>
        <v>45949.29225</v>
      </c>
      <c r="J285" s="15">
        <f>IFERROR(__xludf.DUMMYFUNCTION("""COMPUTED_VALUE"""),45949.0457897063)</f>
        <v>45949.04579</v>
      </c>
      <c r="K285" s="15">
        <f>IFERROR(__xludf.DUMMYFUNCTION("""COMPUTED_VALUE"""),45949.25646418606)</f>
        <v>45949.25646</v>
      </c>
      <c r="L285" s="15">
        <f>IFERROR(__xludf.DUMMYFUNCTION("""COMPUTED_VALUE"""),45949.283887835096)</f>
        <v>45949.28389</v>
      </c>
    </row>
    <row r="286">
      <c r="A286" s="1">
        <f>IFERROR(__xludf.DUMMYFUNCTION("""COMPUTED_VALUE"""),285.0)</f>
        <v>285</v>
      </c>
      <c r="B286" s="1">
        <f>IFERROR(__xludf.DUMMYFUNCTION("""COMPUTED_VALUE"""),10585.0)</f>
        <v>10585</v>
      </c>
      <c r="C286" s="13" t="str">
        <f>IFERROR(__xludf.DUMMYFUNCTION("""COMPUTED_VALUE"""),"MUHAMMAD BAYHAQI")</f>
        <v>MUHAMMAD BAYHAQI</v>
      </c>
      <c r="D286" s="2" t="str">
        <f>IFERROR(__xludf.DUMMYFUNCTION("""COMPUTED_VALUE"""),"10KM OVERALL M")</f>
        <v>10KM OVERALL M</v>
      </c>
      <c r="E286" s="1">
        <f>IFERROR(__xludf.DUMMYFUNCTION("""COMPUTED_VALUE"""),237.0)</f>
        <v>237</v>
      </c>
      <c r="F286" s="1" t="str">
        <f>IFERROR(__xludf.DUMMYFUNCTION("""COMPUTED_VALUE"""),"Male")</f>
        <v>Male</v>
      </c>
      <c r="G286" s="5">
        <f>IFERROR(__xludf.DUMMYFUNCTION("""COMPUTED_VALUE"""),0.004583832175925926)</f>
        <v>0.004583832176</v>
      </c>
      <c r="H286" s="14">
        <f>IFERROR(__xludf.DUMMYFUNCTION("""COMPUTED_VALUE"""),0.24646185185185185)</f>
        <v>0.2464618519</v>
      </c>
      <c r="I286" s="15">
        <f>IFERROR(__xludf.DUMMYFUNCTION("""COMPUTED_VALUE"""),45949.29230017215)</f>
        <v>45949.2923</v>
      </c>
      <c r="J286" s="15">
        <f>IFERROR(__xludf.DUMMYFUNCTION("""COMPUTED_VALUE"""),45949.0458383203)</f>
        <v>45949.04584</v>
      </c>
      <c r="K286" s="15">
        <f>IFERROR(__xludf.DUMMYFUNCTION("""COMPUTED_VALUE"""),45949.25625239004)</f>
        <v>45949.25625</v>
      </c>
      <c r="L286" s="15">
        <f>IFERROR(__xludf.DUMMYFUNCTION("""COMPUTED_VALUE"""),45949.284329507704)</f>
        <v>45949.28433</v>
      </c>
    </row>
    <row r="287">
      <c r="A287" s="1">
        <f>IFERROR(__xludf.DUMMYFUNCTION("""COMPUTED_VALUE"""),286.0)</f>
        <v>286</v>
      </c>
      <c r="B287" s="1">
        <f>IFERROR(__xludf.DUMMYFUNCTION("""COMPUTED_VALUE"""),10510.0)</f>
        <v>10510</v>
      </c>
      <c r="C287" s="13" t="str">
        <f>IFERROR(__xludf.DUMMYFUNCTION("""COMPUTED_VALUE"""),"M.Mukholik")</f>
        <v>M.Mukholik</v>
      </c>
      <c r="D287" s="2" t="str">
        <f>IFERROR(__xludf.DUMMYFUNCTION("""COMPUTED_VALUE"""),"10KM OVERALL M")</f>
        <v>10KM OVERALL M</v>
      </c>
      <c r="E287" s="1">
        <f>IFERROR(__xludf.DUMMYFUNCTION("""COMPUTED_VALUE"""),238.0)</f>
        <v>238</v>
      </c>
      <c r="F287" s="1" t="str">
        <f>IFERROR(__xludf.DUMMYFUNCTION("""COMPUTED_VALUE"""),"Male")</f>
        <v>Male</v>
      </c>
      <c r="G287" s="5">
        <f>IFERROR(__xludf.DUMMYFUNCTION("""COMPUTED_VALUE"""),0.0045873043981481485)</f>
        <v>0.004587304398</v>
      </c>
      <c r="H287" s="14">
        <f>IFERROR(__xludf.DUMMYFUNCTION("""COMPUTED_VALUE"""),0.24646185185185185)</f>
        <v>0.2464618519</v>
      </c>
      <c r="I287" s="15">
        <f>IFERROR(__xludf.DUMMYFUNCTION("""COMPUTED_VALUE"""),45949.292334900914)</f>
        <v>45949.29233</v>
      </c>
      <c r="J287" s="15">
        <f>IFERROR(__xludf.DUMMYFUNCTION("""COMPUTED_VALUE"""),45949.045873049065)</f>
        <v>45949.04587</v>
      </c>
      <c r="K287" s="15">
        <f>IFERROR(__xludf.DUMMYFUNCTION("""COMPUTED_VALUE"""),45949.25762048827)</f>
        <v>45949.25762</v>
      </c>
      <c r="L287" s="15">
        <f>IFERROR(__xludf.DUMMYFUNCTION("""COMPUTED_VALUE"""),45949.284519769935)</f>
        <v>45949.28452</v>
      </c>
    </row>
    <row r="288">
      <c r="A288" s="1">
        <f>IFERROR(__xludf.DUMMYFUNCTION("""COMPUTED_VALUE"""),287.0)</f>
        <v>287</v>
      </c>
      <c r="B288" s="1">
        <f>IFERROR(__xludf.DUMMYFUNCTION("""COMPUTED_VALUE"""),10362.0)</f>
        <v>10362</v>
      </c>
      <c r="C288" s="13" t="str">
        <f>IFERROR(__xludf.DUMMYFUNCTION("""COMPUTED_VALUE"""),"fauzzipau_")</f>
        <v>fauzzipau_</v>
      </c>
      <c r="D288" s="2" t="str">
        <f>IFERROR(__xludf.DUMMYFUNCTION("""COMPUTED_VALUE"""),"10KM OVERALL M")</f>
        <v>10KM OVERALL M</v>
      </c>
      <c r="E288" s="1">
        <f>IFERROR(__xludf.DUMMYFUNCTION("""COMPUTED_VALUE"""),239.0)</f>
        <v>239</v>
      </c>
      <c r="F288" s="1" t="str">
        <f>IFERROR(__xludf.DUMMYFUNCTION("""COMPUTED_VALUE"""),"Male")</f>
        <v>Male</v>
      </c>
      <c r="G288" s="5">
        <f>IFERROR(__xludf.DUMMYFUNCTION("""COMPUTED_VALUE"""),0.004597021990740741)</f>
        <v>0.004597021991</v>
      </c>
      <c r="H288" s="14">
        <f>IFERROR(__xludf.DUMMYFUNCTION("""COMPUTED_VALUE"""),0.24646185185185185)</f>
        <v>0.2464618519</v>
      </c>
      <c r="I288" s="15">
        <f>IFERROR(__xludf.DUMMYFUNCTION("""COMPUTED_VALUE"""),45949.292432075876)</f>
        <v>45949.29243</v>
      </c>
      <c r="J288" s="15">
        <f>IFERROR(__xludf.DUMMYFUNCTION("""COMPUTED_VALUE"""),45949.045970224026)</f>
        <v>45949.04597</v>
      </c>
      <c r="K288" s="15">
        <f>IFERROR(__xludf.DUMMYFUNCTION("""COMPUTED_VALUE"""),45949.259200355526)</f>
        <v>45949.2592</v>
      </c>
      <c r="L288" s="15">
        <f>IFERROR(__xludf.DUMMYFUNCTION("""COMPUTED_VALUE"""),45949.286162133285)</f>
        <v>45949.28616</v>
      </c>
    </row>
    <row r="289">
      <c r="A289" s="1">
        <f>IFERROR(__xludf.DUMMYFUNCTION("""COMPUTED_VALUE"""),288.0)</f>
        <v>288</v>
      </c>
      <c r="B289" s="1">
        <f>IFERROR(__xludf.DUMMYFUNCTION("""COMPUTED_VALUE"""),10333.0)</f>
        <v>10333</v>
      </c>
      <c r="C289" s="13" t="str">
        <f>IFERROR(__xludf.DUMMYFUNCTION("""COMPUTED_VALUE"""),"Acil Pondasi")</f>
        <v>Acil Pondasi</v>
      </c>
      <c r="D289" s="2" t="str">
        <f>IFERROR(__xludf.DUMMYFUNCTION("""COMPUTED_VALUE"""),"10KM OVERALL F")</f>
        <v>10KM OVERALL F</v>
      </c>
      <c r="E289" s="1">
        <f>IFERROR(__xludf.DUMMYFUNCTION("""COMPUTED_VALUE"""),15.0)</f>
        <v>15</v>
      </c>
      <c r="F289" s="1" t="str">
        <f>IFERROR(__xludf.DUMMYFUNCTION("""COMPUTED_VALUE"""),"Female")</f>
        <v>Female</v>
      </c>
      <c r="G289" s="5">
        <f>IFERROR(__xludf.DUMMYFUNCTION("""COMPUTED_VALUE"""),0.004600151620370371)</f>
        <v>0.00460015162</v>
      </c>
      <c r="H289" s="14">
        <f>IFERROR(__xludf.DUMMYFUNCTION("""COMPUTED_VALUE"""),0.24646185185185185)</f>
        <v>0.2464618519</v>
      </c>
      <c r="I289" s="15">
        <f>IFERROR(__xludf.DUMMYFUNCTION("""COMPUTED_VALUE"""),45949.292463368496)</f>
        <v>45949.29246</v>
      </c>
      <c r="J289" s="15">
        <f>IFERROR(__xludf.DUMMYFUNCTION("""COMPUTED_VALUE"""),45949.046001516646)</f>
        <v>45949.046</v>
      </c>
      <c r="K289" s="15">
        <f>IFERROR(__xludf.DUMMYFUNCTION("""COMPUTED_VALUE"""),45949.258103081665)</f>
        <v>45949.2581</v>
      </c>
      <c r="L289" s="15">
        <f>IFERROR(__xludf.DUMMYFUNCTION("""COMPUTED_VALUE"""),45949.28565519895)</f>
        <v>45949.28566</v>
      </c>
    </row>
    <row r="290">
      <c r="A290" s="1">
        <f>IFERROR(__xludf.DUMMYFUNCTION("""COMPUTED_VALUE"""),289.0)</f>
        <v>289</v>
      </c>
      <c r="B290" s="1">
        <f>IFERROR(__xludf.DUMMYFUNCTION("""COMPUTED_VALUE"""),10108.0)</f>
        <v>10108</v>
      </c>
      <c r="C290" s="13" t="str">
        <f>IFERROR(__xludf.DUMMYFUNCTION("""COMPUTED_VALUE"""),"Hendra Mahriady")</f>
        <v>Hendra Mahriady</v>
      </c>
      <c r="D290" s="2" t="str">
        <f>IFERROR(__xludf.DUMMYFUNCTION("""COMPUTED_VALUE"""),"10KM OVERALL M")</f>
        <v>10KM OVERALL M</v>
      </c>
      <c r="E290" s="1">
        <f>IFERROR(__xludf.DUMMYFUNCTION("""COMPUTED_VALUE"""),240.0)</f>
        <v>240</v>
      </c>
      <c r="F290" s="1" t="str">
        <f>IFERROR(__xludf.DUMMYFUNCTION("""COMPUTED_VALUE"""),"Male")</f>
        <v>Male</v>
      </c>
      <c r="G290" s="5">
        <f>IFERROR(__xludf.DUMMYFUNCTION("""COMPUTED_VALUE"""),0.004600498842592593)</f>
        <v>0.004600498843</v>
      </c>
      <c r="H290" s="14">
        <f>IFERROR(__xludf.DUMMYFUNCTION("""COMPUTED_VALUE"""),0.24646185185185185)</f>
        <v>0.2464618519</v>
      </c>
      <c r="I290" s="15">
        <f>IFERROR(__xludf.DUMMYFUNCTION("""COMPUTED_VALUE"""),45949.29246684417)</f>
        <v>45949.29247</v>
      </c>
      <c r="J290" s="15">
        <f>IFERROR(__xludf.DUMMYFUNCTION("""COMPUTED_VALUE"""),45949.04600499232)</f>
        <v>45949.046</v>
      </c>
      <c r="K290" s="15">
        <f>IFERROR(__xludf.DUMMYFUNCTION("""COMPUTED_VALUE"""),45949.258106562906)</f>
        <v>45949.25811</v>
      </c>
      <c r="L290" s="15">
        <f>IFERROR(__xludf.DUMMYFUNCTION("""COMPUTED_VALUE"""),45949.28565172832)</f>
        <v>45949.28565</v>
      </c>
    </row>
    <row r="291">
      <c r="A291" s="1">
        <f>IFERROR(__xludf.DUMMYFUNCTION("""COMPUTED_VALUE"""),290.0)</f>
        <v>290</v>
      </c>
      <c r="B291" s="1">
        <f>IFERROR(__xludf.DUMMYFUNCTION("""COMPUTED_VALUE"""),10657.0)</f>
        <v>10657</v>
      </c>
      <c r="C291" s="13" t="str">
        <f>IFERROR(__xludf.DUMMYFUNCTION("""COMPUTED_VALUE"""),"Reza Syarief")</f>
        <v>Reza Syarief</v>
      </c>
      <c r="D291" s="2" t="str">
        <f>IFERROR(__xludf.DUMMYFUNCTION("""COMPUTED_VALUE"""),"10KM OVERALL M")</f>
        <v>10KM OVERALL M</v>
      </c>
      <c r="E291" s="1">
        <f>IFERROR(__xludf.DUMMYFUNCTION("""COMPUTED_VALUE"""),241.0)</f>
        <v>241</v>
      </c>
      <c r="F291" s="1" t="str">
        <f>IFERROR(__xludf.DUMMYFUNCTION("""COMPUTED_VALUE"""),"Male")</f>
        <v>Male</v>
      </c>
      <c r="G291" s="5">
        <f>IFERROR(__xludf.DUMMYFUNCTION("""COMPUTED_VALUE"""),0.004600847222222222)</f>
        <v>0.004600847222</v>
      </c>
      <c r="H291" s="14">
        <f>IFERROR(__xludf.DUMMYFUNCTION("""COMPUTED_VALUE"""),0.24646185185185185)</f>
        <v>0.2464618519</v>
      </c>
      <c r="I291" s="15">
        <f>IFERROR(__xludf.DUMMYFUNCTION("""COMPUTED_VALUE"""),45949.29247032724)</f>
        <v>45949.29247</v>
      </c>
      <c r="J291" s="15">
        <f>IFERROR(__xludf.DUMMYFUNCTION("""COMPUTED_VALUE"""),45949.04600847539)</f>
        <v>45949.04601</v>
      </c>
      <c r="K291" s="15">
        <f>IFERROR(__xludf.DUMMYFUNCTION("""COMPUTED_VALUE"""),45949.25666564691)</f>
        <v>45949.25667</v>
      </c>
      <c r="L291" s="15">
        <f>IFERROR(__xludf.DUMMYFUNCTION("""COMPUTED_VALUE"""),45949.284842700356)</f>
        <v>45949.28484</v>
      </c>
    </row>
    <row r="292">
      <c r="A292" s="1">
        <f>IFERROR(__xludf.DUMMYFUNCTION("""COMPUTED_VALUE"""),291.0)</f>
        <v>291</v>
      </c>
      <c r="B292" s="1">
        <f>IFERROR(__xludf.DUMMYFUNCTION("""COMPUTED_VALUE"""),10142.0)</f>
        <v>10142</v>
      </c>
      <c r="C292" s="13" t="str">
        <f>IFERROR(__xludf.DUMMYFUNCTION("""COMPUTED_VALUE"""),"ROBBY")</f>
        <v>ROBBY</v>
      </c>
      <c r="D292" s="2" t="str">
        <f>IFERROR(__xludf.DUMMYFUNCTION("""COMPUTED_VALUE"""),"10KM OVERALL M")</f>
        <v>10KM OVERALL M</v>
      </c>
      <c r="E292" s="1">
        <f>IFERROR(__xludf.DUMMYFUNCTION("""COMPUTED_VALUE"""),242.0)</f>
        <v>242</v>
      </c>
      <c r="F292" s="1" t="str">
        <f>IFERROR(__xludf.DUMMYFUNCTION("""COMPUTED_VALUE"""),"Male")</f>
        <v>Male</v>
      </c>
      <c r="G292" s="5">
        <f>IFERROR(__xludf.DUMMYFUNCTION("""COMPUTED_VALUE"""),0.004600847222222222)</f>
        <v>0.004600847222</v>
      </c>
      <c r="H292" s="14">
        <f>IFERROR(__xludf.DUMMYFUNCTION("""COMPUTED_VALUE"""),0.24646185185185185)</f>
        <v>0.2464618519</v>
      </c>
      <c r="I292" s="15">
        <f>IFERROR(__xludf.DUMMYFUNCTION("""COMPUTED_VALUE"""),45949.29247032724)</f>
        <v>45949.29247</v>
      </c>
      <c r="J292" s="15">
        <f>IFERROR(__xludf.DUMMYFUNCTION("""COMPUTED_VALUE"""),45949.04600847539)</f>
        <v>45949.04601</v>
      </c>
      <c r="K292" s="15">
        <f>IFERROR(__xludf.DUMMYFUNCTION("""COMPUTED_VALUE"""),45949.258485018225)</f>
        <v>45949.25849</v>
      </c>
      <c r="L292" s="15">
        <f>IFERROR(__xludf.DUMMYFUNCTION("""COMPUTED_VALUE"""),45949.284946857086)</f>
        <v>45949.28495</v>
      </c>
    </row>
    <row r="293">
      <c r="A293" s="1">
        <f>IFERROR(__xludf.DUMMYFUNCTION("""COMPUTED_VALUE"""),292.0)</f>
        <v>292</v>
      </c>
      <c r="B293" s="1">
        <f>IFERROR(__xludf.DUMMYFUNCTION("""COMPUTED_VALUE"""),10553.0)</f>
        <v>10553</v>
      </c>
      <c r="C293" s="13" t="str">
        <f>IFERROR(__xludf.DUMMYFUNCTION("""COMPUTED_VALUE"""),"Si Redflag NPD")</f>
        <v>Si Redflag NPD</v>
      </c>
      <c r="D293" s="2" t="str">
        <f>IFERROR(__xludf.DUMMYFUNCTION("""COMPUTED_VALUE"""),"10KM OVERALL M")</f>
        <v>10KM OVERALL M</v>
      </c>
      <c r="E293" s="1">
        <f>IFERROR(__xludf.DUMMYFUNCTION("""COMPUTED_VALUE"""),243.0)</f>
        <v>243</v>
      </c>
      <c r="F293" s="1" t="str">
        <f>IFERROR(__xludf.DUMMYFUNCTION("""COMPUTED_VALUE"""),"Male")</f>
        <v>Male</v>
      </c>
      <c r="G293" s="5">
        <f>IFERROR(__xludf.DUMMYFUNCTION("""COMPUTED_VALUE"""),0.004603971064814815)</f>
        <v>0.004603971065</v>
      </c>
      <c r="H293" s="14">
        <f>IFERROR(__xludf.DUMMYFUNCTION("""COMPUTED_VALUE"""),0.24646185185185185)</f>
        <v>0.2464618519</v>
      </c>
      <c r="I293" s="15">
        <f>IFERROR(__xludf.DUMMYFUNCTION("""COMPUTED_VALUE"""),45949.29250156085)</f>
        <v>45949.2925</v>
      </c>
      <c r="J293" s="15">
        <f>IFERROR(__xludf.DUMMYFUNCTION("""COMPUTED_VALUE"""),45949.046039709)</f>
        <v>45949.04604</v>
      </c>
      <c r="K293" s="15">
        <f>IFERROR(__xludf.DUMMYFUNCTION("""COMPUTED_VALUE"""),45949.2580058574)</f>
        <v>45949.25801</v>
      </c>
      <c r="L293" s="15">
        <f>IFERROR(__xludf.DUMMYFUNCTION("""COMPUTED_VALUE"""),45949.28501978756)</f>
        <v>45949.28502</v>
      </c>
    </row>
    <row r="294">
      <c r="A294" s="1">
        <f>IFERROR(__xludf.DUMMYFUNCTION("""COMPUTED_VALUE"""),293.0)</f>
        <v>293</v>
      </c>
      <c r="B294" s="1">
        <f>IFERROR(__xludf.DUMMYFUNCTION("""COMPUTED_VALUE"""),10283.0)</f>
        <v>10283</v>
      </c>
      <c r="C294" s="13" t="str">
        <f>IFERROR(__xludf.DUMMYFUNCTION("""COMPUTED_VALUE"""),"khairi fadli")</f>
        <v>khairi fadli</v>
      </c>
      <c r="D294" s="2" t="str">
        <f>IFERROR(__xludf.DUMMYFUNCTION("""COMPUTED_VALUE"""),"10KM OVERALL M")</f>
        <v>10KM OVERALL M</v>
      </c>
      <c r="E294" s="1">
        <f>IFERROR(__xludf.DUMMYFUNCTION("""COMPUTED_VALUE"""),244.0)</f>
        <v>244</v>
      </c>
      <c r="F294" s="1" t="str">
        <f>IFERROR(__xludf.DUMMYFUNCTION("""COMPUTED_VALUE"""),"Male")</f>
        <v>Male</v>
      </c>
      <c r="G294" s="5">
        <f>IFERROR(__xludf.DUMMYFUNCTION("""COMPUTED_VALUE"""),0.004608484953703704)</f>
        <v>0.004608484954</v>
      </c>
      <c r="H294" s="14">
        <f>IFERROR(__xludf.DUMMYFUNCTION("""COMPUTED_VALUE"""),0.24646185185185185)</f>
        <v>0.2464618519</v>
      </c>
      <c r="I294" s="15">
        <f>IFERROR(__xludf.DUMMYFUNCTION("""COMPUTED_VALUE"""),45949.29254670095)</f>
        <v>45949.29255</v>
      </c>
      <c r="J294" s="15">
        <f>IFERROR(__xludf.DUMMYFUNCTION("""COMPUTED_VALUE"""),45949.0460848491)</f>
        <v>45949.04608</v>
      </c>
      <c r="K294" s="15">
        <f>IFERROR(__xludf.DUMMYFUNCTION("""COMPUTED_VALUE"""),45949.256835716194)</f>
        <v>45949.25684</v>
      </c>
      <c r="L294" s="15">
        <f>IFERROR(__xludf.DUMMYFUNCTION("""COMPUTED_VALUE"""),45949.284384352664)</f>
        <v>45949.28438</v>
      </c>
    </row>
    <row r="295">
      <c r="A295" s="1">
        <f>IFERROR(__xludf.DUMMYFUNCTION("""COMPUTED_VALUE"""),294.0)</f>
        <v>294</v>
      </c>
      <c r="B295" s="1">
        <f>IFERROR(__xludf.DUMMYFUNCTION("""COMPUTED_VALUE"""),10234.0)</f>
        <v>10234</v>
      </c>
      <c r="C295" s="13" t="str">
        <f>IFERROR(__xludf.DUMMYFUNCTION("""COMPUTED_VALUE"""),"ABDUL MALIK")</f>
        <v>ABDUL MALIK</v>
      </c>
      <c r="D295" s="2" t="str">
        <f>IFERROR(__xludf.DUMMYFUNCTION("""COMPUTED_VALUE"""),"10KM OVERALL M")</f>
        <v>10KM OVERALL M</v>
      </c>
      <c r="E295" s="1">
        <f>IFERROR(__xludf.DUMMYFUNCTION("""COMPUTED_VALUE"""),245.0)</f>
        <v>245</v>
      </c>
      <c r="F295" s="1" t="str">
        <f>IFERROR(__xludf.DUMMYFUNCTION("""COMPUTED_VALUE"""),"Male")</f>
        <v>Male</v>
      </c>
      <c r="G295" s="5">
        <f>IFERROR(__xludf.DUMMYFUNCTION("""COMPUTED_VALUE"""),0.004608486111111111)</f>
        <v>0.004608486111</v>
      </c>
      <c r="H295" s="14">
        <f>IFERROR(__xludf.DUMMYFUNCTION("""COMPUTED_VALUE"""),0.24646185185185185)</f>
        <v>0.2464618519</v>
      </c>
      <c r="I295" s="15">
        <f>IFERROR(__xludf.DUMMYFUNCTION("""COMPUTED_VALUE"""),45949.29254671301)</f>
        <v>45949.29255</v>
      </c>
      <c r="J295" s="15">
        <f>IFERROR(__xludf.DUMMYFUNCTION("""COMPUTED_VALUE"""),45949.04608486116)</f>
        <v>45949.04608</v>
      </c>
      <c r="K295" s="15">
        <f>IFERROR(__xludf.DUMMYFUNCTION("""COMPUTED_VALUE"""),45949.258370495256)</f>
        <v>45949.25837</v>
      </c>
      <c r="L295" s="15">
        <f>IFERROR(__xludf.DUMMYFUNCTION("""COMPUTED_VALUE"""),45949.28537393692)</f>
        <v>45949.28537</v>
      </c>
    </row>
    <row r="296">
      <c r="A296" s="1">
        <f>IFERROR(__xludf.DUMMYFUNCTION("""COMPUTED_VALUE"""),295.0)</f>
        <v>295</v>
      </c>
      <c r="B296" s="1">
        <f>IFERROR(__xludf.DUMMYFUNCTION("""COMPUTED_VALUE"""),10209.0)</f>
        <v>10209</v>
      </c>
      <c r="C296" s="13" t="str">
        <f>IFERROR(__xludf.DUMMYFUNCTION("""COMPUTED_VALUE"""),"Shayne Pattynama")</f>
        <v>Shayne Pattynama</v>
      </c>
      <c r="D296" s="2" t="str">
        <f>IFERROR(__xludf.DUMMYFUNCTION("""COMPUTED_VALUE"""),"10KM OVERALL M")</f>
        <v>10KM OVERALL M</v>
      </c>
      <c r="E296" s="1">
        <f>IFERROR(__xludf.DUMMYFUNCTION("""COMPUTED_VALUE"""),246.0)</f>
        <v>246</v>
      </c>
      <c r="F296" s="1" t="str">
        <f>IFERROR(__xludf.DUMMYFUNCTION("""COMPUTED_VALUE"""),"Male")</f>
        <v>Male</v>
      </c>
      <c r="G296" s="5">
        <f>IFERROR(__xludf.DUMMYFUNCTION("""COMPUTED_VALUE"""),0.004609526620370371)</f>
        <v>0.00460952662</v>
      </c>
      <c r="H296" s="14">
        <f>IFERROR(__xludf.DUMMYFUNCTION("""COMPUTED_VALUE"""),0.24646185185185185)</f>
        <v>0.2464618519</v>
      </c>
      <c r="I296" s="15">
        <f>IFERROR(__xludf.DUMMYFUNCTION("""COMPUTED_VALUE"""),45949.29255712299)</f>
        <v>45949.29256</v>
      </c>
      <c r="J296" s="15">
        <f>IFERROR(__xludf.DUMMYFUNCTION("""COMPUTED_VALUE"""),45949.046095271144)</f>
        <v>45949.0461</v>
      </c>
      <c r="K296" s="15">
        <f>IFERROR(__xludf.DUMMYFUNCTION("""COMPUTED_VALUE"""),45949.258012863465)</f>
        <v>45949.25801</v>
      </c>
      <c r="L296" s="15">
        <f>IFERROR(__xludf.DUMMYFUNCTION("""COMPUTED_VALUE"""),45949.28504755465)</f>
        <v>45949.28505</v>
      </c>
    </row>
    <row r="297">
      <c r="A297" s="1">
        <f>IFERROR(__xludf.DUMMYFUNCTION("""COMPUTED_VALUE"""),296.0)</f>
        <v>296</v>
      </c>
      <c r="B297" s="1">
        <f>IFERROR(__xludf.DUMMYFUNCTION("""COMPUTED_VALUE"""),10131.0)</f>
        <v>10131</v>
      </c>
      <c r="C297" s="13" t="str">
        <f>IFERROR(__xludf.DUMMYFUNCTION("""COMPUTED_VALUE"""),"Arief SA")</f>
        <v>Arief SA</v>
      </c>
      <c r="D297" s="2" t="str">
        <f>IFERROR(__xludf.DUMMYFUNCTION("""COMPUTED_VALUE"""),"10KM OVERALL M")</f>
        <v>10KM OVERALL M</v>
      </c>
      <c r="E297" s="1">
        <f>IFERROR(__xludf.DUMMYFUNCTION("""COMPUTED_VALUE"""),247.0)</f>
        <v>247</v>
      </c>
      <c r="F297" s="1" t="str">
        <f>IFERROR(__xludf.DUMMYFUNCTION("""COMPUTED_VALUE"""),"Male")</f>
        <v>Male</v>
      </c>
      <c r="G297" s="5">
        <f>IFERROR(__xludf.DUMMYFUNCTION("""COMPUTED_VALUE"""),0.004610222222222222)</f>
        <v>0.004610222222</v>
      </c>
      <c r="H297" s="14">
        <f>IFERROR(__xludf.DUMMYFUNCTION("""COMPUTED_VALUE"""),0.24646185185185185)</f>
        <v>0.2464618519</v>
      </c>
      <c r="I297" s="15">
        <f>IFERROR(__xludf.DUMMYFUNCTION("""COMPUTED_VALUE"""),45949.29256407742)</f>
        <v>45949.29256</v>
      </c>
      <c r="J297" s="15">
        <f>IFERROR(__xludf.DUMMYFUNCTION("""COMPUTED_VALUE"""),45949.04610222557)</f>
        <v>45949.0461</v>
      </c>
      <c r="K297" s="15">
        <f>IFERROR(__xludf.DUMMYFUNCTION("""COMPUTED_VALUE"""),45949.25724203252)</f>
        <v>45949.25724</v>
      </c>
      <c r="L297" s="15">
        <f>IFERROR(__xludf.DUMMYFUNCTION("""COMPUTED_VALUE"""),45949.28449199679)</f>
        <v>45949.28449</v>
      </c>
    </row>
    <row r="298">
      <c r="A298" s="1">
        <f>IFERROR(__xludf.DUMMYFUNCTION("""COMPUTED_VALUE"""),297.0)</f>
        <v>297</v>
      </c>
      <c r="B298" s="1">
        <f>IFERROR(__xludf.DUMMYFUNCTION("""COMPUTED_VALUE"""),10687.0)</f>
        <v>10687</v>
      </c>
      <c r="C298" s="13" t="str">
        <f>IFERROR(__xludf.DUMMYFUNCTION("""COMPUTED_VALUE"""),"ILHAM WASIS DHARMAWAN")</f>
        <v>ILHAM WASIS DHARMAWAN</v>
      </c>
      <c r="D298" s="2" t="str">
        <f>IFERROR(__xludf.DUMMYFUNCTION("""COMPUTED_VALUE"""),"10KM OVERALL M")</f>
        <v>10KM OVERALL M</v>
      </c>
      <c r="E298" s="1">
        <f>IFERROR(__xludf.DUMMYFUNCTION("""COMPUTED_VALUE"""),248.0)</f>
        <v>248</v>
      </c>
      <c r="F298" s="1" t="str">
        <f>IFERROR(__xludf.DUMMYFUNCTION("""COMPUTED_VALUE"""),"Male")</f>
        <v>Male</v>
      </c>
      <c r="G298" s="5">
        <f>IFERROR(__xludf.DUMMYFUNCTION("""COMPUTED_VALUE"""),0.004615083333333333)</f>
        <v>0.004615083333</v>
      </c>
      <c r="H298" s="14">
        <f>IFERROR(__xludf.DUMMYFUNCTION("""COMPUTED_VALUE"""),0.24646185185185185)</f>
        <v>0.2464618519</v>
      </c>
      <c r="I298" s="15">
        <f>IFERROR(__xludf.DUMMYFUNCTION("""COMPUTED_VALUE"""),45949.292612683)</f>
        <v>45949.29261</v>
      </c>
      <c r="J298" s="15">
        <f>IFERROR(__xludf.DUMMYFUNCTION("""COMPUTED_VALUE"""),45949.04615083115)</f>
        <v>45949.04615</v>
      </c>
      <c r="K298" s="15">
        <f>IFERROR(__xludf.DUMMYFUNCTION("""COMPUTED_VALUE"""),45949.25687044648)</f>
        <v>45949.25687</v>
      </c>
      <c r="L298" s="15">
        <f>IFERROR(__xludf.DUMMYFUNCTION("""COMPUTED_VALUE"""),45949.28490876712)</f>
        <v>45949.28491</v>
      </c>
    </row>
    <row r="299">
      <c r="A299" s="1">
        <f>IFERROR(__xludf.DUMMYFUNCTION("""COMPUTED_VALUE"""),298.0)</f>
        <v>298</v>
      </c>
      <c r="B299" s="1">
        <f>IFERROR(__xludf.DUMMYFUNCTION("""COMPUTED_VALUE"""),10033.0)</f>
        <v>10033</v>
      </c>
      <c r="C299" s="13" t="str">
        <f>IFERROR(__xludf.DUMMYFUNCTION("""COMPUTED_VALUE"""),"RIDHO DINTA")</f>
        <v>RIDHO DINTA</v>
      </c>
      <c r="D299" s="2" t="str">
        <f>IFERROR(__xludf.DUMMYFUNCTION("""COMPUTED_VALUE"""),"10KM OVERALL M")</f>
        <v>10KM OVERALL M</v>
      </c>
      <c r="E299" s="1">
        <f>IFERROR(__xludf.DUMMYFUNCTION("""COMPUTED_VALUE"""),249.0)</f>
        <v>249</v>
      </c>
      <c r="F299" s="1" t="str">
        <f>IFERROR(__xludf.DUMMYFUNCTION("""COMPUTED_VALUE"""),"Male")</f>
        <v>Male</v>
      </c>
      <c r="G299" s="5">
        <f>IFERROR(__xludf.DUMMYFUNCTION("""COMPUTED_VALUE"""),0.004619596064814815)</f>
        <v>0.004619596065</v>
      </c>
      <c r="H299" s="14">
        <f>IFERROR(__xludf.DUMMYFUNCTION("""COMPUTED_VALUE"""),0.24646185185185185)</f>
        <v>0.2464618519</v>
      </c>
      <c r="I299" s="15">
        <f>IFERROR(__xludf.DUMMYFUNCTION("""COMPUTED_VALUE"""),45949.29265781653)</f>
        <v>45949.29266</v>
      </c>
      <c r="J299" s="15">
        <f>IFERROR(__xludf.DUMMYFUNCTION("""COMPUTED_VALUE"""),45949.04619596468)</f>
        <v>45949.0462</v>
      </c>
      <c r="K299" s="15">
        <f>IFERROR(__xludf.DUMMYFUNCTION("""COMPUTED_VALUE"""),45949.25774196327)</f>
        <v>45949.25774</v>
      </c>
      <c r="L299" s="15">
        <f>IFERROR(__xludf.DUMMYFUNCTION("""COMPUTED_VALUE"""),45949.28520032595)</f>
        <v>45949.2852</v>
      </c>
    </row>
    <row r="300">
      <c r="A300" s="1">
        <f>IFERROR(__xludf.DUMMYFUNCTION("""COMPUTED_VALUE"""),299.0)</f>
        <v>299</v>
      </c>
      <c r="B300" s="1">
        <f>IFERROR(__xludf.DUMMYFUNCTION("""COMPUTED_VALUE"""),10541.0)</f>
        <v>10541</v>
      </c>
      <c r="C300" s="13" t="str">
        <f>IFERROR(__xludf.DUMMYFUNCTION("""COMPUTED_VALUE"""),"Sahid Ali")</f>
        <v>Sahid Ali</v>
      </c>
      <c r="D300" s="2" t="str">
        <f>IFERROR(__xludf.DUMMYFUNCTION("""COMPUTED_VALUE"""),"10KM OVERALL M")</f>
        <v>10KM OVERALL M</v>
      </c>
      <c r="E300" s="1">
        <f>IFERROR(__xludf.DUMMYFUNCTION("""COMPUTED_VALUE"""),250.0)</f>
        <v>250</v>
      </c>
      <c r="F300" s="1" t="str">
        <f>IFERROR(__xludf.DUMMYFUNCTION("""COMPUTED_VALUE"""),"Male")</f>
        <v>Male</v>
      </c>
      <c r="G300" s="5">
        <f>IFERROR(__xludf.DUMMYFUNCTION("""COMPUTED_VALUE"""),0.0046300127314814815)</f>
        <v>0.004630012731</v>
      </c>
      <c r="H300" s="14">
        <f>IFERROR(__xludf.DUMMYFUNCTION("""COMPUTED_VALUE"""),0.24646185185185185)</f>
        <v>0.2464618519</v>
      </c>
      <c r="I300" s="15">
        <f>IFERROR(__xludf.DUMMYFUNCTION("""COMPUTED_VALUE"""),45949.2927619805)</f>
        <v>45949.29276</v>
      </c>
      <c r="J300" s="15">
        <f>IFERROR(__xludf.DUMMYFUNCTION("""COMPUTED_VALUE"""),45949.04630012865)</f>
        <v>45949.0463</v>
      </c>
      <c r="K300" s="15">
        <f>IFERROR(__xludf.DUMMYFUNCTION("""COMPUTED_VALUE"""),45949.25733231009)</f>
        <v>45949.25733</v>
      </c>
      <c r="L300" s="15">
        <f>IFERROR(__xludf.DUMMYFUNCTION("""COMPUTED_VALUE"""),45949.28461004917)</f>
        <v>45949.28461</v>
      </c>
    </row>
    <row r="301">
      <c r="A301" s="1">
        <f>IFERROR(__xludf.DUMMYFUNCTION("""COMPUTED_VALUE"""),300.0)</f>
        <v>300</v>
      </c>
      <c r="B301" s="1">
        <f>IFERROR(__xludf.DUMMYFUNCTION("""COMPUTED_VALUE"""),10700.0)</f>
        <v>10700</v>
      </c>
      <c r="C301" s="13" t="str">
        <f>IFERROR(__xludf.DUMMYFUNCTION("""COMPUTED_VALUE"""),"M.RIFANI")</f>
        <v>M.RIFANI</v>
      </c>
      <c r="D301" s="2" t="str">
        <f>IFERROR(__xludf.DUMMYFUNCTION("""COMPUTED_VALUE"""),"10KM OVERALL M")</f>
        <v>10KM OVERALL M</v>
      </c>
      <c r="E301" s="1">
        <f>IFERROR(__xludf.DUMMYFUNCTION("""COMPUTED_VALUE"""),251.0)</f>
        <v>251</v>
      </c>
      <c r="F301" s="1" t="str">
        <f>IFERROR(__xludf.DUMMYFUNCTION("""COMPUTED_VALUE"""),"Male")</f>
        <v>Male</v>
      </c>
      <c r="G301" s="5">
        <f>IFERROR(__xludf.DUMMYFUNCTION("""COMPUTED_VALUE"""),0.00463427199074074)</f>
        <v>0.004634271991</v>
      </c>
      <c r="H301" s="14">
        <f>IFERROR(__xludf.DUMMYFUNCTION("""COMPUTED_VALUE"""),0.24646185185185185)</f>
        <v>0.2464618519</v>
      </c>
      <c r="I301" s="15">
        <f>IFERROR(__xludf.DUMMYFUNCTION("""COMPUTED_VALUE"""),45949.29280457406)</f>
        <v>45949.2928</v>
      </c>
      <c r="J301" s="15">
        <f>IFERROR(__xludf.DUMMYFUNCTION("""COMPUTED_VALUE"""),45949.04634272221)</f>
        <v>45949.04634</v>
      </c>
      <c r="K301" s="15">
        <f>IFERROR(__xludf.DUMMYFUNCTION("""COMPUTED_VALUE"""),45949.25638434784)</f>
        <v>45949.25638</v>
      </c>
      <c r="L301" s="15">
        <f>IFERROR(__xludf.DUMMYFUNCTION("""COMPUTED_VALUE"""),45949.284853122714)</f>
        <v>45949.28485</v>
      </c>
    </row>
    <row r="302">
      <c r="A302" s="1">
        <f>IFERROR(__xludf.DUMMYFUNCTION("""COMPUTED_VALUE"""),301.0)</f>
        <v>301</v>
      </c>
      <c r="B302" s="1">
        <f>IFERROR(__xludf.DUMMYFUNCTION("""COMPUTED_VALUE"""),10175.0)</f>
        <v>10175</v>
      </c>
      <c r="C302" s="13" t="str">
        <f>IFERROR(__xludf.DUMMYFUNCTION("""COMPUTED_VALUE"""),"Alvaro Shaquille")</f>
        <v>Alvaro Shaquille</v>
      </c>
      <c r="D302" s="2" t="str">
        <f>IFERROR(__xludf.DUMMYFUNCTION("""COMPUTED_VALUE"""),"10KM OVERALL M")</f>
        <v>10KM OVERALL M</v>
      </c>
      <c r="E302" s="1">
        <f>IFERROR(__xludf.DUMMYFUNCTION("""COMPUTED_VALUE"""),252.0)</f>
        <v>252</v>
      </c>
      <c r="F302" s="1" t="str">
        <f>IFERROR(__xludf.DUMMYFUNCTION("""COMPUTED_VALUE"""),"Male")</f>
        <v>Male</v>
      </c>
      <c r="G302" s="5">
        <f>IFERROR(__xludf.DUMMYFUNCTION("""COMPUTED_VALUE"""),0.004634868055555555)</f>
        <v>0.004634868056</v>
      </c>
      <c r="H302" s="14">
        <f>IFERROR(__xludf.DUMMYFUNCTION("""COMPUTED_VALUE"""),0.24646185185185185)</f>
        <v>0.2464618519</v>
      </c>
      <c r="I302" s="15">
        <f>IFERROR(__xludf.DUMMYFUNCTION("""COMPUTED_VALUE"""),45949.29281053528)</f>
        <v>45949.29281</v>
      </c>
      <c r="J302" s="15">
        <f>IFERROR(__xludf.DUMMYFUNCTION("""COMPUTED_VALUE"""),45949.04634868343)</f>
        <v>45949.04635</v>
      </c>
      <c r="K302" s="15">
        <f>IFERROR(__xludf.DUMMYFUNCTION("""COMPUTED_VALUE"""),45949.256384324755)</f>
        <v>45949.25638</v>
      </c>
      <c r="L302" s="15">
        <f>IFERROR(__xludf.DUMMYFUNCTION("""COMPUTED_VALUE"""),45949.28489141343)</f>
        <v>45949.28489</v>
      </c>
    </row>
    <row r="303">
      <c r="A303" s="1">
        <f>IFERROR(__xludf.DUMMYFUNCTION("""COMPUTED_VALUE"""),302.0)</f>
        <v>302</v>
      </c>
      <c r="B303" s="1">
        <f>IFERROR(__xludf.DUMMYFUNCTION("""COMPUTED_VALUE"""),10392.0)</f>
        <v>10392</v>
      </c>
      <c r="C303" s="13" t="str">
        <f>IFERROR(__xludf.DUMMYFUNCTION("""COMPUTED_VALUE"""),"zunai")</f>
        <v>zunai</v>
      </c>
      <c r="D303" s="2" t="str">
        <f>IFERROR(__xludf.DUMMYFUNCTION("""COMPUTED_VALUE"""),"10KM OVERALL M")</f>
        <v>10KM OVERALL M</v>
      </c>
      <c r="E303" s="1">
        <f>IFERROR(__xludf.DUMMYFUNCTION("""COMPUTED_VALUE"""),253.0)</f>
        <v>253</v>
      </c>
      <c r="F303" s="1" t="str">
        <f>IFERROR(__xludf.DUMMYFUNCTION("""COMPUTED_VALUE"""),"Male")</f>
        <v>Male</v>
      </c>
      <c r="G303" s="5">
        <f>IFERROR(__xludf.DUMMYFUNCTION("""COMPUTED_VALUE"""),0.004636991898148148)</f>
        <v>0.004636991898</v>
      </c>
      <c r="H303" s="14">
        <f>IFERROR(__xludf.DUMMYFUNCTION("""COMPUTED_VALUE"""),0.24646185185185185)</f>
        <v>0.2464618519</v>
      </c>
      <c r="I303" s="15">
        <f>IFERROR(__xludf.DUMMYFUNCTION("""COMPUTED_VALUE"""),45949.292831773186)</f>
        <v>45949.29283</v>
      </c>
      <c r="J303" s="15">
        <f>IFERROR(__xludf.DUMMYFUNCTION("""COMPUTED_VALUE"""),45949.046369921336)</f>
        <v>45949.04637</v>
      </c>
      <c r="K303" s="15">
        <f>IFERROR(__xludf.DUMMYFUNCTION("""COMPUTED_VALUE"""),45949.25717947989)</f>
        <v>45949.25718</v>
      </c>
      <c r="L303" s="15">
        <f>IFERROR(__xludf.DUMMYFUNCTION("""COMPUTED_VALUE"""),45949.28524199728)</f>
        <v>45949.28524</v>
      </c>
    </row>
    <row r="304">
      <c r="A304" s="1">
        <f>IFERROR(__xludf.DUMMYFUNCTION("""COMPUTED_VALUE"""),303.0)</f>
        <v>303</v>
      </c>
      <c r="B304" s="1">
        <f>IFERROR(__xludf.DUMMYFUNCTION("""COMPUTED_VALUE"""),10542.0)</f>
        <v>10542</v>
      </c>
      <c r="C304" s="13" t="str">
        <f>IFERROR(__xludf.DUMMYFUNCTION("""COMPUTED_VALUE"""),"Fajri Ramadhan")</f>
        <v>Fajri Ramadhan</v>
      </c>
      <c r="D304" s="2" t="str">
        <f>IFERROR(__xludf.DUMMYFUNCTION("""COMPUTED_VALUE"""),"10KM OVERALL M")</f>
        <v>10KM OVERALL M</v>
      </c>
      <c r="E304" s="1">
        <f>IFERROR(__xludf.DUMMYFUNCTION("""COMPUTED_VALUE"""),254.0)</f>
        <v>254</v>
      </c>
      <c r="F304" s="1" t="str">
        <f>IFERROR(__xludf.DUMMYFUNCTION("""COMPUTED_VALUE"""),"Male")</f>
        <v>Male</v>
      </c>
      <c r="G304" s="5">
        <f>IFERROR(__xludf.DUMMYFUNCTION("""COMPUTED_VALUE"""),0.004637994212962963)</f>
        <v>0.004637994213</v>
      </c>
      <c r="H304" s="14">
        <f>IFERROR(__xludf.DUMMYFUNCTION("""COMPUTED_VALUE"""),0.24646185185185185)</f>
        <v>0.2464618519</v>
      </c>
      <c r="I304" s="15">
        <f>IFERROR(__xludf.DUMMYFUNCTION("""COMPUTED_VALUE"""),45949.29284178924)</f>
        <v>45949.29284</v>
      </c>
      <c r="J304" s="15">
        <f>IFERROR(__xludf.DUMMYFUNCTION("""COMPUTED_VALUE"""),45949.04637993739)</f>
        <v>45949.04638</v>
      </c>
      <c r="K304" s="15">
        <f>IFERROR(__xludf.DUMMYFUNCTION("""COMPUTED_VALUE"""),45949.26084614382)</f>
        <v>45949.26085</v>
      </c>
      <c r="L304" s="15">
        <f>IFERROR(__xludf.DUMMYFUNCTION("""COMPUTED_VALUE"""),45949.28601977698)</f>
        <v>45949.28602</v>
      </c>
    </row>
    <row r="305">
      <c r="A305" s="1">
        <f>IFERROR(__xludf.DUMMYFUNCTION("""COMPUTED_VALUE"""),304.0)</f>
        <v>304</v>
      </c>
      <c r="B305" s="1">
        <f>IFERROR(__xludf.DUMMYFUNCTION("""COMPUTED_VALUE"""),10626.0)</f>
        <v>10626</v>
      </c>
      <c r="C305" s="13" t="str">
        <f>IFERROR(__xludf.DUMMYFUNCTION("""COMPUTED_VALUE"""),"Aidiladha")</f>
        <v>Aidiladha</v>
      </c>
      <c r="D305" s="2" t="str">
        <f>IFERROR(__xludf.DUMMYFUNCTION("""COMPUTED_VALUE"""),"10KM OVERALL M")</f>
        <v>10KM OVERALL M</v>
      </c>
      <c r="E305" s="1">
        <f>IFERROR(__xludf.DUMMYFUNCTION("""COMPUTED_VALUE"""),255.0)</f>
        <v>255</v>
      </c>
      <c r="F305" s="1" t="str">
        <f>IFERROR(__xludf.DUMMYFUNCTION("""COMPUTED_VALUE"""),"Male")</f>
        <v>Male</v>
      </c>
      <c r="G305" s="5">
        <f>IFERROR(__xludf.DUMMYFUNCTION("""COMPUTED_VALUE"""),0.004641813657407407)</f>
        <v>0.004641813657</v>
      </c>
      <c r="H305" s="14">
        <f>IFERROR(__xludf.DUMMYFUNCTION("""COMPUTED_VALUE"""),0.24646185185185185)</f>
        <v>0.2464618519</v>
      </c>
      <c r="I305" s="15">
        <f>IFERROR(__xludf.DUMMYFUNCTION("""COMPUTED_VALUE"""),45949.29287998343)</f>
        <v>45949.29288</v>
      </c>
      <c r="J305" s="15">
        <f>IFERROR(__xludf.DUMMYFUNCTION("""COMPUTED_VALUE"""),45949.046418131584)</f>
        <v>45949.04642</v>
      </c>
      <c r="K305" s="15">
        <f>IFERROR(__xludf.DUMMYFUNCTION("""COMPUTED_VALUE"""),45949.25803711201)</f>
        <v>45949.25804</v>
      </c>
      <c r="L305" s="15">
        <f>IFERROR(__xludf.DUMMYFUNCTION("""COMPUTED_VALUE"""),45949.284905228305)</f>
        <v>45949.28491</v>
      </c>
    </row>
    <row r="306">
      <c r="A306" s="1">
        <f>IFERROR(__xludf.DUMMYFUNCTION("""COMPUTED_VALUE"""),305.0)</f>
        <v>305</v>
      </c>
      <c r="B306" s="1">
        <f>IFERROR(__xludf.DUMMYFUNCTION("""COMPUTED_VALUE"""),10050.0)</f>
        <v>10050</v>
      </c>
      <c r="C306" s="13" t="str">
        <f>IFERROR(__xludf.DUMMYFUNCTION("""COMPUTED_VALUE"""),"LISA KHAIRUNNISA")</f>
        <v>LISA KHAIRUNNISA</v>
      </c>
      <c r="D306" s="2" t="str">
        <f>IFERROR(__xludf.DUMMYFUNCTION("""COMPUTED_VALUE"""),"10KM OVERALL F")</f>
        <v>10KM OVERALL F</v>
      </c>
      <c r="E306" s="1">
        <f>IFERROR(__xludf.DUMMYFUNCTION("""COMPUTED_VALUE"""),16.0)</f>
        <v>16</v>
      </c>
      <c r="F306" s="1" t="str">
        <f>IFERROR(__xludf.DUMMYFUNCTION("""COMPUTED_VALUE"""),"Female")</f>
        <v>Female</v>
      </c>
      <c r="G306" s="5">
        <f>IFERROR(__xludf.DUMMYFUNCTION("""COMPUTED_VALUE"""),0.004644273148148148)</f>
        <v>0.004644273148</v>
      </c>
      <c r="H306" s="14">
        <f>IFERROR(__xludf.DUMMYFUNCTION("""COMPUTED_VALUE"""),0.24646185185185185)</f>
        <v>0.2464618519</v>
      </c>
      <c r="I306" s="15">
        <f>IFERROR(__xludf.DUMMYFUNCTION("""COMPUTED_VALUE"""),45949.2929045806)</f>
        <v>45949.2929</v>
      </c>
      <c r="J306" s="15">
        <f>IFERROR(__xludf.DUMMYFUNCTION("""COMPUTED_VALUE"""),45949.04644272875)</f>
        <v>45949.04644</v>
      </c>
      <c r="K306" s="15">
        <f>IFERROR(__xludf.DUMMYFUNCTION("""COMPUTED_VALUE"""),45949.25775932721)</f>
        <v>45949.25776</v>
      </c>
      <c r="L306" s="15">
        <f>IFERROR(__xludf.DUMMYFUNCTION("""COMPUTED_VALUE"""),45949.285224641026)</f>
        <v>45949.28522</v>
      </c>
    </row>
    <row r="307">
      <c r="A307" s="1">
        <f>IFERROR(__xludf.DUMMYFUNCTION("""COMPUTED_VALUE"""),306.0)</f>
        <v>306</v>
      </c>
      <c r="B307" s="1">
        <f>IFERROR(__xludf.DUMMYFUNCTION("""COMPUTED_VALUE"""),10399.0)</f>
        <v>10399</v>
      </c>
      <c r="C307" s="13" t="str">
        <f>IFERROR(__xludf.DUMMYFUNCTION("""COMPUTED_VALUE"""),"sesarea pangestu")</f>
        <v>sesarea pangestu</v>
      </c>
      <c r="D307" s="2" t="str">
        <f>IFERROR(__xludf.DUMMYFUNCTION("""COMPUTED_VALUE"""),"10KM OVERALL M")</f>
        <v>10KM OVERALL M</v>
      </c>
      <c r="E307" s="1">
        <f>IFERROR(__xludf.DUMMYFUNCTION("""COMPUTED_VALUE"""),256.0)</f>
        <v>256</v>
      </c>
      <c r="F307" s="1" t="str">
        <f>IFERROR(__xludf.DUMMYFUNCTION("""COMPUTED_VALUE"""),"Male")</f>
        <v>Male</v>
      </c>
      <c r="G307" s="5">
        <f>IFERROR(__xludf.DUMMYFUNCTION("""COMPUTED_VALUE"""),0.0046539722222222225)</f>
        <v>0.004653972222</v>
      </c>
      <c r="H307" s="14">
        <f>IFERROR(__xludf.DUMMYFUNCTION("""COMPUTED_VALUE"""),0.24646185185185185)</f>
        <v>0.2464618519</v>
      </c>
      <c r="I307" s="15">
        <f>IFERROR(__xludf.DUMMYFUNCTION("""COMPUTED_VALUE"""),45949.29300157238)</f>
        <v>45949.293</v>
      </c>
      <c r="J307" s="15">
        <f>IFERROR(__xludf.DUMMYFUNCTION("""COMPUTED_VALUE"""),45949.04653972053)</f>
        <v>45949.04654</v>
      </c>
      <c r="K307" s="15">
        <f>IFERROR(__xludf.DUMMYFUNCTION("""COMPUTED_VALUE"""),45949.25555799994)</f>
        <v>45949.25556</v>
      </c>
      <c r="L307" s="15">
        <f>IFERROR(__xludf.DUMMYFUNCTION("""COMPUTED_VALUE"""),45949.28382533294)</f>
        <v>45949.28383</v>
      </c>
    </row>
    <row r="308">
      <c r="A308" s="1">
        <f>IFERROR(__xludf.DUMMYFUNCTION("""COMPUTED_VALUE"""),307.0)</f>
        <v>307</v>
      </c>
      <c r="B308" s="1">
        <f>IFERROR(__xludf.DUMMYFUNCTION("""COMPUTED_VALUE"""),10045.0)</f>
        <v>10045</v>
      </c>
      <c r="C308" s="13" t="str">
        <f>IFERROR(__xludf.DUMMYFUNCTION("""COMPUTED_VALUE"""),"Arif")</f>
        <v>Arif</v>
      </c>
      <c r="D308" s="2" t="str">
        <f>IFERROR(__xludf.DUMMYFUNCTION("""COMPUTED_VALUE"""),"10KM OVERALL M")</f>
        <v>10KM OVERALL M</v>
      </c>
      <c r="E308" s="1">
        <f>IFERROR(__xludf.DUMMYFUNCTION("""COMPUTED_VALUE"""),257.0)</f>
        <v>257</v>
      </c>
      <c r="F308" s="1" t="str">
        <f>IFERROR(__xludf.DUMMYFUNCTION("""COMPUTED_VALUE"""),"Male")</f>
        <v>Male</v>
      </c>
      <c r="G308" s="5">
        <f>IFERROR(__xludf.DUMMYFUNCTION("""COMPUTED_VALUE"""),0.004659873842592593)</f>
        <v>0.004659873843</v>
      </c>
      <c r="H308" s="14">
        <f>IFERROR(__xludf.DUMMYFUNCTION("""COMPUTED_VALUE"""),0.24646185185185185)</f>
        <v>0.2464618519</v>
      </c>
      <c r="I308" s="15">
        <f>IFERROR(__xludf.DUMMYFUNCTION("""COMPUTED_VALUE"""),45949.2930605869)</f>
        <v>45949.29306</v>
      </c>
      <c r="J308" s="15">
        <f>IFERROR(__xludf.DUMMYFUNCTION("""COMPUTED_VALUE"""),45949.04659873505)</f>
        <v>45949.0466</v>
      </c>
      <c r="K308" s="15">
        <f>IFERROR(__xludf.DUMMYFUNCTION("""COMPUTED_VALUE"""),45949.25792602825)</f>
        <v>45949.25793</v>
      </c>
      <c r="L308" s="15">
        <f>IFERROR(__xludf.DUMMYFUNCTION("""COMPUTED_VALUE"""),45949.2853114387)</f>
        <v>45949.28531</v>
      </c>
    </row>
    <row r="309">
      <c r="A309" s="1">
        <f>IFERROR(__xludf.DUMMYFUNCTION("""COMPUTED_VALUE"""),308.0)</f>
        <v>308</v>
      </c>
      <c r="B309" s="1">
        <f>IFERROR(__xludf.DUMMYFUNCTION("""COMPUTED_VALUE"""),10465.0)</f>
        <v>10465</v>
      </c>
      <c r="C309" s="13" t="str">
        <f>IFERROR(__xludf.DUMMYFUNCTION("""COMPUTED_VALUE"""),"Mirzha")</f>
        <v>Mirzha</v>
      </c>
      <c r="D309" s="2" t="str">
        <f>IFERROR(__xludf.DUMMYFUNCTION("""COMPUTED_VALUE"""),"10KM OVERALL M")</f>
        <v>10KM OVERALL M</v>
      </c>
      <c r="E309" s="1">
        <f>IFERROR(__xludf.DUMMYFUNCTION("""COMPUTED_VALUE"""),258.0)</f>
        <v>258</v>
      </c>
      <c r="F309" s="1" t="str">
        <f>IFERROR(__xludf.DUMMYFUNCTION("""COMPUTED_VALUE"""),"Male")</f>
        <v>Male</v>
      </c>
      <c r="G309" s="5">
        <f>IFERROR(__xludf.DUMMYFUNCTION("""COMPUTED_VALUE"""),0.0046723749999999994)</f>
        <v>0.004672375</v>
      </c>
      <c r="H309" s="14">
        <f>IFERROR(__xludf.DUMMYFUNCTION("""COMPUTED_VALUE"""),0.24646185185185185)</f>
        <v>0.2464618519</v>
      </c>
      <c r="I309" s="15">
        <f>IFERROR(__xludf.DUMMYFUNCTION("""COMPUTED_VALUE"""),45949.29318560107)</f>
        <v>45949.29319</v>
      </c>
      <c r="J309" s="15">
        <f>IFERROR(__xludf.DUMMYFUNCTION("""COMPUTED_VALUE"""),45949.04672374922)</f>
        <v>45949.04672</v>
      </c>
      <c r="K309" s="15">
        <f>IFERROR(__xludf.DUMMYFUNCTION("""COMPUTED_VALUE"""),45949.255700357826)</f>
        <v>45949.2557</v>
      </c>
      <c r="L309" s="15">
        <f>IFERROR(__xludf.DUMMYFUNCTION("""COMPUTED_VALUE"""),45949.28479755022)</f>
        <v>45949.2848</v>
      </c>
    </row>
    <row r="310">
      <c r="A310" s="1">
        <f>IFERROR(__xludf.DUMMYFUNCTION("""COMPUTED_VALUE"""),309.0)</f>
        <v>309</v>
      </c>
      <c r="B310" s="1">
        <f>IFERROR(__xludf.DUMMYFUNCTION("""COMPUTED_VALUE"""),10734.0)</f>
        <v>10734</v>
      </c>
      <c r="C310" s="13" t="str">
        <f>IFERROR(__xludf.DUMMYFUNCTION("""COMPUTED_VALUE"""),"Naomita Salsavilla Nova Regiana")</f>
        <v>Naomita Salsavilla Nova Regiana</v>
      </c>
      <c r="D310" s="2" t="str">
        <f>IFERROR(__xludf.DUMMYFUNCTION("""COMPUTED_VALUE"""),"10KM OVERALL M")</f>
        <v>10KM OVERALL M</v>
      </c>
      <c r="E310" s="1">
        <f>IFERROR(__xludf.DUMMYFUNCTION("""COMPUTED_VALUE"""),259.0)</f>
        <v>259</v>
      </c>
      <c r="F310" s="1" t="str">
        <f>IFERROR(__xludf.DUMMYFUNCTION("""COMPUTED_VALUE"""),"Female")</f>
        <v>Female</v>
      </c>
      <c r="G310" s="5">
        <f>IFERROR(__xludf.DUMMYFUNCTION("""COMPUTED_VALUE"""),0.004679665509259259)</f>
        <v>0.004679665509</v>
      </c>
      <c r="H310" s="14">
        <f>IFERROR(__xludf.DUMMYFUNCTION("""COMPUTED_VALUE"""),0.24646185185185185)</f>
        <v>0.2464618519</v>
      </c>
      <c r="I310" s="15">
        <f>IFERROR(__xludf.DUMMYFUNCTION("""COMPUTED_VALUE"""),45949.293258505146)</f>
        <v>45949.29326</v>
      </c>
      <c r="J310" s="15">
        <f>IFERROR(__xludf.DUMMYFUNCTION("""COMPUTED_VALUE"""),45949.046796653296)</f>
        <v>45949.0468</v>
      </c>
      <c r="K310" s="15">
        <f>IFERROR(__xludf.DUMMYFUNCTION("""COMPUTED_VALUE"""),45949.257655160436)</f>
        <v>45949.25766</v>
      </c>
      <c r="L310" s="15">
        <f>IFERROR(__xludf.DUMMYFUNCTION("""COMPUTED_VALUE"""),45949.28651979161)</f>
        <v>45949.28652</v>
      </c>
    </row>
    <row r="311">
      <c r="A311" s="1">
        <f>IFERROR(__xludf.DUMMYFUNCTION("""COMPUTED_VALUE"""),310.0)</f>
        <v>310</v>
      </c>
      <c r="B311" s="1">
        <f>IFERROR(__xludf.DUMMYFUNCTION("""COMPUTED_VALUE"""),10405.0)</f>
        <v>10405</v>
      </c>
      <c r="C311" s="13" t="str">
        <f>IFERROR(__xludf.DUMMYFUNCTION("""COMPUTED_VALUE"""),"BUDIMAN")</f>
        <v>BUDIMAN</v>
      </c>
      <c r="D311" s="2" t="str">
        <f>IFERROR(__xludf.DUMMYFUNCTION("""COMPUTED_VALUE"""),"10KM OVERALL M")</f>
        <v>10KM OVERALL M</v>
      </c>
      <c r="E311" s="1">
        <f>IFERROR(__xludf.DUMMYFUNCTION("""COMPUTED_VALUE"""),260.0)</f>
        <v>260</v>
      </c>
      <c r="F311" s="1" t="str">
        <f>IFERROR(__xludf.DUMMYFUNCTION("""COMPUTED_VALUE"""),"Male")</f>
        <v>Male</v>
      </c>
      <c r="G311" s="5">
        <f>IFERROR(__xludf.DUMMYFUNCTION("""COMPUTED_VALUE"""),0.004680012731481482)</f>
        <v>0.004680012731</v>
      </c>
      <c r="H311" s="14">
        <f>IFERROR(__xludf.DUMMYFUNCTION("""COMPUTED_VALUE"""),0.24646185185185185)</f>
        <v>0.2464618519</v>
      </c>
      <c r="I311" s="15">
        <f>IFERROR(__xludf.DUMMYFUNCTION("""COMPUTED_VALUE"""),45949.293261983)</f>
        <v>45949.29326</v>
      </c>
      <c r="J311" s="15">
        <f>IFERROR(__xludf.DUMMYFUNCTION("""COMPUTED_VALUE"""),45949.04680013115)</f>
        <v>45949.0468</v>
      </c>
      <c r="K311" s="15">
        <f>IFERROR(__xludf.DUMMYFUNCTION("""COMPUTED_VALUE"""),45949.25899890982)</f>
        <v>45949.259</v>
      </c>
      <c r="L311" s="15">
        <f>IFERROR(__xludf.DUMMYFUNCTION("""COMPUTED_VALUE"""),45949.28624549749)</f>
        <v>45949.28625</v>
      </c>
    </row>
    <row r="312">
      <c r="A312" s="1">
        <f>IFERROR(__xludf.DUMMYFUNCTION("""COMPUTED_VALUE"""),311.0)</f>
        <v>311</v>
      </c>
      <c r="B312" s="1">
        <f>IFERROR(__xludf.DUMMYFUNCTION("""COMPUTED_VALUE"""),12004.0)</f>
        <v>12004</v>
      </c>
      <c r="C312" s="13" t="str">
        <f>IFERROR(__xludf.DUMMYFUNCTION("""COMPUTED_VALUE"""),"arif")</f>
        <v>arif</v>
      </c>
      <c r="D312" s="2" t="str">
        <f>IFERROR(__xludf.DUMMYFUNCTION("""COMPUTED_VALUE"""),"10KM MASTER M")</f>
        <v>10KM MASTER M</v>
      </c>
      <c r="E312" s="1">
        <f>IFERROR(__xludf.DUMMYFUNCTION("""COMPUTED_VALUE"""),30.0)</f>
        <v>30</v>
      </c>
      <c r="F312" s="1" t="str">
        <f>IFERROR(__xludf.DUMMYFUNCTION("""COMPUTED_VALUE"""),"Male")</f>
        <v>Male</v>
      </c>
      <c r="G312" s="5">
        <f>IFERROR(__xludf.DUMMYFUNCTION("""COMPUTED_VALUE"""),0.0046859155092592595)</f>
        <v>0.004685915509</v>
      </c>
      <c r="H312" s="14">
        <f>IFERROR(__xludf.DUMMYFUNCTION("""COMPUTED_VALUE"""),0.24646185185185185)</f>
        <v>0.2464618519</v>
      </c>
      <c r="I312" s="15">
        <f>IFERROR(__xludf.DUMMYFUNCTION("""COMPUTED_VALUE"""),45949.29332100419)</f>
        <v>45949.29332</v>
      </c>
      <c r="J312" s="15">
        <f>IFERROR(__xludf.DUMMYFUNCTION("""COMPUTED_VALUE"""),45949.04685915234)</f>
        <v>45949.04686</v>
      </c>
      <c r="K312" s="15">
        <f>IFERROR(__xludf.DUMMYFUNCTION("""COMPUTED_VALUE"""),45949.257613789814)</f>
        <v>45949.25761</v>
      </c>
      <c r="L312" s="15">
        <f>IFERROR(__xludf.DUMMYFUNCTION("""COMPUTED_VALUE"""),45949.28602671877)</f>
        <v>45949.28603</v>
      </c>
    </row>
    <row r="313">
      <c r="A313" s="1">
        <f>IFERROR(__xludf.DUMMYFUNCTION("""COMPUTED_VALUE"""),312.0)</f>
        <v>312</v>
      </c>
      <c r="B313" s="1">
        <f>IFERROR(__xludf.DUMMYFUNCTION("""COMPUTED_VALUE"""),10196.0)</f>
        <v>10196</v>
      </c>
      <c r="C313" s="13" t="str">
        <f>IFERROR(__xludf.DUMMYFUNCTION("""COMPUTED_VALUE"""),"rizal wahyudi")</f>
        <v>rizal wahyudi</v>
      </c>
      <c r="D313" s="2" t="str">
        <f>IFERROR(__xludf.DUMMYFUNCTION("""COMPUTED_VALUE"""),"10KM OVERALL M")</f>
        <v>10KM OVERALL M</v>
      </c>
      <c r="E313" s="1">
        <f>IFERROR(__xludf.DUMMYFUNCTION("""COMPUTED_VALUE"""),261.0)</f>
        <v>261</v>
      </c>
      <c r="F313" s="1" t="str">
        <f>IFERROR(__xludf.DUMMYFUNCTION("""COMPUTED_VALUE"""),"Male")</f>
        <v>Male</v>
      </c>
      <c r="G313" s="5">
        <f>IFERROR(__xludf.DUMMYFUNCTION("""COMPUTED_VALUE"""),0.0046859155092592595)</f>
        <v>0.004685915509</v>
      </c>
      <c r="H313" s="14">
        <f>IFERROR(__xludf.DUMMYFUNCTION("""COMPUTED_VALUE"""),0.24646185185185185)</f>
        <v>0.2464618519</v>
      </c>
      <c r="I313" s="15">
        <f>IFERROR(__xludf.DUMMYFUNCTION("""COMPUTED_VALUE"""),45949.29332100419)</f>
        <v>45949.29332</v>
      </c>
      <c r="J313" s="15">
        <f>IFERROR(__xludf.DUMMYFUNCTION("""COMPUTED_VALUE"""),45949.04685915234)</f>
        <v>45949.04686</v>
      </c>
      <c r="K313" s="15">
        <f>IFERROR(__xludf.DUMMYFUNCTION("""COMPUTED_VALUE"""),45949.2580544795)</f>
        <v>45949.25805</v>
      </c>
      <c r="L313" s="15">
        <f>IFERROR(__xludf.DUMMYFUNCTION("""COMPUTED_VALUE"""),45949.28546831173)</f>
        <v>45949.28547</v>
      </c>
    </row>
    <row r="314">
      <c r="A314" s="1">
        <f>IFERROR(__xludf.DUMMYFUNCTION("""COMPUTED_VALUE"""),313.0)</f>
        <v>313</v>
      </c>
      <c r="B314" s="1">
        <f>IFERROR(__xludf.DUMMYFUNCTION("""COMPUTED_VALUE"""),10203.0)</f>
        <v>10203</v>
      </c>
      <c r="C314" s="13" t="str">
        <f>IFERROR(__xludf.DUMMYFUNCTION("""COMPUTED_VALUE"""),"GALIH")</f>
        <v>GALIH</v>
      </c>
      <c r="D314" s="2" t="str">
        <f>IFERROR(__xludf.DUMMYFUNCTION("""COMPUTED_VALUE"""),"10KM OVERALL M")</f>
        <v>10KM OVERALL M</v>
      </c>
      <c r="E314" s="1">
        <f>IFERROR(__xludf.DUMMYFUNCTION("""COMPUTED_VALUE"""),262.0)</f>
        <v>262</v>
      </c>
      <c r="F314" s="1" t="str">
        <f>IFERROR(__xludf.DUMMYFUNCTION("""COMPUTED_VALUE"""),"Male")</f>
        <v>Male</v>
      </c>
      <c r="G314" s="5">
        <f>IFERROR(__xludf.DUMMYFUNCTION("""COMPUTED_VALUE"""),0.004691471064814815)</f>
        <v>0.004691471065</v>
      </c>
      <c r="H314" s="14">
        <f>IFERROR(__xludf.DUMMYFUNCTION("""COMPUTED_VALUE"""),0.24646185185185185)</f>
        <v>0.2464618519</v>
      </c>
      <c r="I314" s="15">
        <f>IFERROR(__xludf.DUMMYFUNCTION("""COMPUTED_VALUE"""),45949.29337656695)</f>
        <v>45949.29338</v>
      </c>
      <c r="J314" s="15">
        <f>IFERROR(__xludf.DUMMYFUNCTION("""COMPUTED_VALUE"""),45949.0469147151)</f>
        <v>45949.04691</v>
      </c>
      <c r="K314" s="15">
        <f>IFERROR(__xludf.DUMMYFUNCTION("""COMPUTED_VALUE"""),45949.25662079839)</f>
        <v>45949.25662</v>
      </c>
      <c r="L314" s="15">
        <f>IFERROR(__xludf.DUMMYFUNCTION("""COMPUTED_VALUE"""),45949.28506839648)</f>
        <v>45949.28507</v>
      </c>
    </row>
    <row r="315">
      <c r="A315" s="1">
        <f>IFERROR(__xludf.DUMMYFUNCTION("""COMPUTED_VALUE"""),314.0)</f>
        <v>314</v>
      </c>
      <c r="B315" s="1">
        <f>IFERROR(__xludf.DUMMYFUNCTION("""COMPUTED_VALUE"""),10552.0)</f>
        <v>10552</v>
      </c>
      <c r="C315" s="13" t="str">
        <f>IFERROR(__xludf.DUMMYFUNCTION("""COMPUTED_VALUE"""),"KHAIRUDIN")</f>
        <v>KHAIRUDIN</v>
      </c>
      <c r="D315" s="2" t="str">
        <f>IFERROR(__xludf.DUMMYFUNCTION("""COMPUTED_VALUE"""),"10KM OVERALL M")</f>
        <v>10KM OVERALL M</v>
      </c>
      <c r="E315" s="1">
        <f>IFERROR(__xludf.DUMMYFUNCTION("""COMPUTED_VALUE"""),263.0)</f>
        <v>263</v>
      </c>
      <c r="F315" s="1" t="str">
        <f>IFERROR(__xludf.DUMMYFUNCTION("""COMPUTED_VALUE"""),"Male")</f>
        <v>Male</v>
      </c>
      <c r="G315" s="5">
        <f>IFERROR(__xludf.DUMMYFUNCTION("""COMPUTED_VALUE"""),0.004696333333333334)</f>
        <v>0.004696333333</v>
      </c>
      <c r="H315" s="14">
        <f>IFERROR(__xludf.DUMMYFUNCTION("""COMPUTED_VALUE"""),0.24646185185185185)</f>
        <v>0.2464618519</v>
      </c>
      <c r="I315" s="15">
        <f>IFERROR(__xludf.DUMMYFUNCTION("""COMPUTED_VALUE"""),45949.293425189564)</f>
        <v>45949.29343</v>
      </c>
      <c r="J315" s="15">
        <f>IFERROR(__xludf.DUMMYFUNCTION("""COMPUTED_VALUE"""),45949.046963337714)</f>
        <v>45949.04696</v>
      </c>
      <c r="K315" s="15">
        <f>IFERROR(__xludf.DUMMYFUNCTION("""COMPUTED_VALUE"""),45949.25829412119)</f>
        <v>45949.25829</v>
      </c>
      <c r="L315" s="15">
        <f>IFERROR(__xludf.DUMMYFUNCTION("""COMPUTED_VALUE"""),45949.28566561588)</f>
        <v>45949.28567</v>
      </c>
    </row>
    <row r="316">
      <c r="A316" s="1">
        <f>IFERROR(__xludf.DUMMYFUNCTION("""COMPUTED_VALUE"""),315.0)</f>
        <v>315</v>
      </c>
      <c r="B316" s="1">
        <f>IFERROR(__xludf.DUMMYFUNCTION("""COMPUTED_VALUE"""),10220.0)</f>
        <v>10220</v>
      </c>
      <c r="C316" s="13" t="str">
        <f>IFERROR(__xludf.DUMMYFUNCTION("""COMPUTED_VALUE"""),"Clau")</f>
        <v>Clau</v>
      </c>
      <c r="D316" s="2" t="str">
        <f>IFERROR(__xludf.DUMMYFUNCTION("""COMPUTED_VALUE"""),"10KM OVERALL M")</f>
        <v>10KM OVERALL M</v>
      </c>
      <c r="E316" s="1">
        <f>IFERROR(__xludf.DUMMYFUNCTION("""COMPUTED_VALUE"""),264.0)</f>
        <v>264</v>
      </c>
      <c r="F316" s="1" t="str">
        <f>IFERROR(__xludf.DUMMYFUNCTION("""COMPUTED_VALUE"""),"Male")</f>
        <v>Male</v>
      </c>
      <c r="G316" s="5">
        <f>IFERROR(__xludf.DUMMYFUNCTION("""COMPUTED_VALUE"""),0.004703277777777778)</f>
        <v>0.004703277778</v>
      </c>
      <c r="H316" s="14">
        <f>IFERROR(__xludf.DUMMYFUNCTION("""COMPUTED_VALUE"""),0.24646185185185185)</f>
        <v>0.2464618519</v>
      </c>
      <c r="I316" s="15">
        <f>IFERROR(__xludf.DUMMYFUNCTION("""COMPUTED_VALUE"""),45949.29349463322)</f>
        <v>45949.29349</v>
      </c>
      <c r="J316" s="15">
        <f>IFERROR(__xludf.DUMMYFUNCTION("""COMPUTED_VALUE"""),45949.04703278137)</f>
        <v>45949.04703</v>
      </c>
      <c r="K316" s="15">
        <f>IFERROR(__xludf.DUMMYFUNCTION("""COMPUTED_VALUE"""),45949.25698510645)</f>
        <v>45949.25699</v>
      </c>
      <c r="L316" s="15">
        <f>IFERROR(__xludf.DUMMYFUNCTION("""COMPUTED_VALUE"""),45949.285262841244)</f>
        <v>45949.28526</v>
      </c>
    </row>
    <row r="317">
      <c r="A317" s="1">
        <f>IFERROR(__xludf.DUMMYFUNCTION("""COMPUTED_VALUE"""),316.0)</f>
        <v>316</v>
      </c>
      <c r="B317" s="1">
        <f>IFERROR(__xludf.DUMMYFUNCTION("""COMPUTED_VALUE"""),10268.0)</f>
        <v>10268</v>
      </c>
      <c r="C317" s="13" t="str">
        <f>IFERROR(__xludf.DUMMYFUNCTION("""COMPUTED_VALUE"""),"derry`")</f>
        <v>derry`</v>
      </c>
      <c r="D317" s="2" t="str">
        <f>IFERROR(__xludf.DUMMYFUNCTION("""COMPUTED_VALUE"""),"10KM OVERALL M")</f>
        <v>10KM OVERALL M</v>
      </c>
      <c r="E317" s="1">
        <f>IFERROR(__xludf.DUMMYFUNCTION("""COMPUTED_VALUE"""),265.0)</f>
        <v>265</v>
      </c>
      <c r="F317" s="1" t="str">
        <f>IFERROR(__xludf.DUMMYFUNCTION("""COMPUTED_VALUE"""),"Male")</f>
        <v>Male</v>
      </c>
      <c r="G317" s="5">
        <f>IFERROR(__xludf.DUMMYFUNCTION("""COMPUTED_VALUE"""),0.004718207175925926)</f>
        <v>0.004718207176</v>
      </c>
      <c r="H317" s="14">
        <f>IFERROR(__xludf.DUMMYFUNCTION("""COMPUTED_VALUE"""),0.24646185185185185)</f>
        <v>0.2464618519</v>
      </c>
      <c r="I317" s="15">
        <f>IFERROR(__xludf.DUMMYFUNCTION("""COMPUTED_VALUE"""),45949.293643925186)</f>
        <v>45949.29364</v>
      </c>
      <c r="J317" s="15">
        <f>IFERROR(__xludf.DUMMYFUNCTION("""COMPUTED_VALUE"""),45949.04718207334)</f>
        <v>45949.04718</v>
      </c>
      <c r="K317" s="15">
        <f>IFERROR(__xludf.DUMMYFUNCTION("""COMPUTED_VALUE"""),45949.25886699605)</f>
        <v>45949.25887</v>
      </c>
      <c r="L317" s="15">
        <f>IFERROR(__xludf.DUMMYFUNCTION("""COMPUTED_VALUE"""),45949.28527322541)</f>
        <v>45949.28527</v>
      </c>
    </row>
    <row r="318">
      <c r="A318" s="1">
        <f>IFERROR(__xludf.DUMMYFUNCTION("""COMPUTED_VALUE"""),317.0)</f>
        <v>317</v>
      </c>
      <c r="B318" s="1">
        <f>IFERROR(__xludf.DUMMYFUNCTION("""COMPUTED_VALUE"""),10563.0)</f>
        <v>10563</v>
      </c>
      <c r="C318" s="13" t="str">
        <f>IFERROR(__xludf.DUMMYFUNCTION("""COMPUTED_VALUE"""),"LANA CHANNN")</f>
        <v>LANA CHANNN</v>
      </c>
      <c r="D318" s="2" t="str">
        <f>IFERROR(__xludf.DUMMYFUNCTION("""COMPUTED_VALUE"""),"10KM OVERALL M")</f>
        <v>10KM OVERALL M</v>
      </c>
      <c r="E318" s="1">
        <f>IFERROR(__xludf.DUMMYFUNCTION("""COMPUTED_VALUE"""),266.0)</f>
        <v>266</v>
      </c>
      <c r="F318" s="1" t="str">
        <f>IFERROR(__xludf.DUMMYFUNCTION("""COMPUTED_VALUE"""),"Male")</f>
        <v>Male</v>
      </c>
      <c r="G318" s="5">
        <f>IFERROR(__xludf.DUMMYFUNCTION("""COMPUTED_VALUE"""),0.004721680555555556)</f>
        <v>0.004721680556</v>
      </c>
      <c r="H318" s="14">
        <f>IFERROR(__xludf.DUMMYFUNCTION("""COMPUTED_VALUE"""),0.24646185185185185)</f>
        <v>0.2464618519</v>
      </c>
      <c r="I318" s="15">
        <f>IFERROR(__xludf.DUMMYFUNCTION("""COMPUTED_VALUE"""),45949.29367865823)</f>
        <v>45949.29368</v>
      </c>
      <c r="J318" s="15">
        <f>IFERROR(__xludf.DUMMYFUNCTION("""COMPUTED_VALUE"""),45949.04721680638)</f>
        <v>45949.04722</v>
      </c>
      <c r="K318" s="15">
        <f>IFERROR(__xludf.DUMMYFUNCTION("""COMPUTED_VALUE"""),45949.25819690945)</f>
        <v>45949.2582</v>
      </c>
      <c r="L318" s="15">
        <f>IFERROR(__xludf.DUMMYFUNCTION("""COMPUTED_VALUE"""),45949.285530183224)</f>
        <v>45949.28553</v>
      </c>
    </row>
    <row r="319">
      <c r="A319" s="1">
        <f>IFERROR(__xludf.DUMMYFUNCTION("""COMPUTED_VALUE"""),318.0)</f>
        <v>318</v>
      </c>
      <c r="B319" s="1">
        <f>IFERROR(__xludf.DUMMYFUNCTION("""COMPUTED_VALUE"""),10062.0)</f>
        <v>10062</v>
      </c>
      <c r="C319" s="13" t="str">
        <f>IFERROR(__xludf.DUMMYFUNCTION("""COMPUTED_VALUE"""),"Indra Aditya")</f>
        <v>Indra Aditya</v>
      </c>
      <c r="D319" s="2" t="str">
        <f>IFERROR(__xludf.DUMMYFUNCTION("""COMPUTED_VALUE"""),"10KM OVERALL M")</f>
        <v>10KM OVERALL M</v>
      </c>
      <c r="E319" s="1">
        <f>IFERROR(__xludf.DUMMYFUNCTION("""COMPUTED_VALUE"""),267.0)</f>
        <v>267</v>
      </c>
      <c r="F319" s="1" t="str">
        <f>IFERROR(__xludf.DUMMYFUNCTION("""COMPUTED_VALUE"""),"Male")</f>
        <v>Male</v>
      </c>
      <c r="G319" s="5">
        <f>IFERROR(__xludf.DUMMYFUNCTION("""COMPUTED_VALUE"""),0.004729666666666667)</f>
        <v>0.004729666667</v>
      </c>
      <c r="H319" s="14">
        <f>IFERROR(__xludf.DUMMYFUNCTION("""COMPUTED_VALUE"""),0.24646185185185185)</f>
        <v>0.2464618519</v>
      </c>
      <c r="I319" s="15">
        <f>IFERROR(__xludf.DUMMYFUNCTION("""COMPUTED_VALUE"""),45949.2937585236)</f>
        <v>45949.29376</v>
      </c>
      <c r="J319" s="15">
        <f>IFERROR(__xludf.DUMMYFUNCTION("""COMPUTED_VALUE"""),45949.04729667175)</f>
        <v>45949.0473</v>
      </c>
      <c r="K319" s="15">
        <f>IFERROR(__xludf.DUMMYFUNCTION("""COMPUTED_VALUE"""),45949.256589238576)</f>
        <v>45949.25659</v>
      </c>
      <c r="L319" s="15">
        <f>IFERROR(__xludf.DUMMYFUNCTION("""COMPUTED_VALUE"""),45949.28562395202)</f>
        <v>45949.28562</v>
      </c>
    </row>
    <row r="320">
      <c r="A320" s="1">
        <f>IFERROR(__xludf.DUMMYFUNCTION("""COMPUTED_VALUE"""),319.0)</f>
        <v>319</v>
      </c>
      <c r="B320" s="1">
        <f>IFERROR(__xludf.DUMMYFUNCTION("""COMPUTED_VALUE"""),10373.0)</f>
        <v>10373</v>
      </c>
      <c r="C320" s="13" t="str">
        <f>IFERROR(__xludf.DUMMYFUNCTION("""COMPUTED_VALUE"""),"Syam")</f>
        <v>Syam</v>
      </c>
      <c r="D320" s="2" t="str">
        <f>IFERROR(__xludf.DUMMYFUNCTION("""COMPUTED_VALUE"""),"10KM OVERALL M")</f>
        <v>10KM OVERALL M</v>
      </c>
      <c r="E320" s="1">
        <f>IFERROR(__xludf.DUMMYFUNCTION("""COMPUTED_VALUE"""),268.0)</f>
        <v>268</v>
      </c>
      <c r="F320" s="1" t="str">
        <f>IFERROR(__xludf.DUMMYFUNCTION("""COMPUTED_VALUE"""),"Male")</f>
        <v>Male</v>
      </c>
      <c r="G320" s="5">
        <f>IFERROR(__xludf.DUMMYFUNCTION("""COMPUTED_VALUE"""),0.004733137731481481)</f>
        <v>0.004733137731</v>
      </c>
      <c r="H320" s="14">
        <f>IFERROR(__xludf.DUMMYFUNCTION("""COMPUTED_VALUE"""),0.24646185185185185)</f>
        <v>0.2464618519</v>
      </c>
      <c r="I320" s="15">
        <f>IFERROR(__xludf.DUMMYFUNCTION("""COMPUTED_VALUE"""),45949.293793234785)</f>
        <v>45949.29379</v>
      </c>
      <c r="J320" s="15">
        <f>IFERROR(__xludf.DUMMYFUNCTION("""COMPUTED_VALUE"""),45949.047331382935)</f>
        <v>45949.04733</v>
      </c>
      <c r="K320" s="15">
        <f>IFERROR(__xludf.DUMMYFUNCTION("""COMPUTED_VALUE"""),45949.25758918657)</f>
        <v>45949.25759</v>
      </c>
      <c r="L320" s="15">
        <f>IFERROR(__xludf.DUMMYFUNCTION("""COMPUTED_VALUE"""),45949.28587395381)</f>
        <v>45949.28587</v>
      </c>
    </row>
    <row r="321">
      <c r="A321" s="1">
        <f>IFERROR(__xludf.DUMMYFUNCTION("""COMPUTED_VALUE"""),320.0)</f>
        <v>320</v>
      </c>
      <c r="B321" s="1">
        <f>IFERROR(__xludf.DUMMYFUNCTION("""COMPUTED_VALUE"""),10426.0)</f>
        <v>10426</v>
      </c>
      <c r="C321" s="13" t="str">
        <f>IFERROR(__xludf.DUMMYFUNCTION("""COMPUTED_VALUE"""),"ZIKRI")</f>
        <v>ZIKRI</v>
      </c>
      <c r="D321" s="2" t="str">
        <f>IFERROR(__xludf.DUMMYFUNCTION("""COMPUTED_VALUE"""),"10KM OVERALL M")</f>
        <v>10KM OVERALL M</v>
      </c>
      <c r="E321" s="1">
        <f>IFERROR(__xludf.DUMMYFUNCTION("""COMPUTED_VALUE"""),269.0)</f>
        <v>269</v>
      </c>
      <c r="F321" s="1" t="str">
        <f>IFERROR(__xludf.DUMMYFUNCTION("""COMPUTED_VALUE"""),"Male")</f>
        <v>Male</v>
      </c>
      <c r="G321" s="5">
        <f>IFERROR(__xludf.DUMMYFUNCTION("""COMPUTED_VALUE"""),0.004734179398148149)</f>
        <v>0.004734179398</v>
      </c>
      <c r="H321" s="14">
        <f>IFERROR(__xludf.DUMMYFUNCTION("""COMPUTED_VALUE"""),0.24646185185185185)</f>
        <v>0.2464618519</v>
      </c>
      <c r="I321" s="15">
        <f>IFERROR(__xludf.DUMMYFUNCTION("""COMPUTED_VALUE"""),45949.293803647626)</f>
        <v>45949.2938</v>
      </c>
      <c r="J321" s="15">
        <f>IFERROR(__xludf.DUMMYFUNCTION("""COMPUTED_VALUE"""),45949.04734179578)</f>
        <v>45949.04734</v>
      </c>
      <c r="K321" s="15">
        <f>IFERROR(__xludf.DUMMYFUNCTION("""COMPUTED_VALUE"""),45949.25680098847)</f>
        <v>45949.2568</v>
      </c>
      <c r="L321" s="15">
        <f>IFERROR(__xludf.DUMMYFUNCTION("""COMPUTED_VALUE"""),45949.284939890546)</f>
        <v>45949.28494</v>
      </c>
    </row>
    <row r="322">
      <c r="A322" s="1">
        <f>IFERROR(__xludf.DUMMYFUNCTION("""COMPUTED_VALUE"""),321.0)</f>
        <v>321</v>
      </c>
      <c r="B322" s="1">
        <f>IFERROR(__xludf.DUMMYFUNCTION("""COMPUTED_VALUE"""),10021.0)</f>
        <v>10021</v>
      </c>
      <c r="C322" s="13" t="str">
        <f>IFERROR(__xludf.DUMMYFUNCTION("""COMPUTED_VALUE"""),"Rohmad Isnaeni A.")</f>
        <v>Rohmad Isnaeni A.</v>
      </c>
      <c r="D322" s="2" t="str">
        <f>IFERROR(__xludf.DUMMYFUNCTION("""COMPUTED_VALUE"""),"10KM OVERALL M")</f>
        <v>10KM OVERALL M</v>
      </c>
      <c r="E322" s="1">
        <f>IFERROR(__xludf.DUMMYFUNCTION("""COMPUTED_VALUE"""),270.0)</f>
        <v>270</v>
      </c>
      <c r="F322" s="1" t="str">
        <f>IFERROR(__xludf.DUMMYFUNCTION("""COMPUTED_VALUE"""),"Male")</f>
        <v>Male</v>
      </c>
      <c r="G322" s="5">
        <f>IFERROR(__xludf.DUMMYFUNCTION("""COMPUTED_VALUE"""),0.004735909722222222)</f>
        <v>0.004735909722</v>
      </c>
      <c r="H322" s="14">
        <f>IFERROR(__xludf.DUMMYFUNCTION("""COMPUTED_VALUE"""),0.24646185185185185)</f>
        <v>0.2464618519</v>
      </c>
      <c r="I322" s="15">
        <f>IFERROR(__xludf.DUMMYFUNCTION("""COMPUTED_VALUE"""),45949.29382095336)</f>
        <v>45949.29382</v>
      </c>
      <c r="J322" s="15">
        <f>IFERROR(__xludf.DUMMYFUNCTION("""COMPUTED_VALUE"""),45949.04735910151)</f>
        <v>45949.04736</v>
      </c>
      <c r="K322" s="15">
        <f>IFERROR(__xludf.DUMMYFUNCTION("""COMPUTED_VALUE"""),45949.255745505754)</f>
        <v>45949.25575</v>
      </c>
      <c r="L322" s="15">
        <f>IFERROR(__xludf.DUMMYFUNCTION("""COMPUTED_VALUE"""),45949.28564824142)</f>
        <v>45949.28565</v>
      </c>
    </row>
    <row r="323">
      <c r="A323" s="1">
        <f>IFERROR(__xludf.DUMMYFUNCTION("""COMPUTED_VALUE"""),322.0)</f>
        <v>322</v>
      </c>
      <c r="B323" s="1">
        <f>IFERROR(__xludf.DUMMYFUNCTION("""COMPUTED_VALUE"""),12044.0)</f>
        <v>12044</v>
      </c>
      <c r="C323" s="13" t="str">
        <f>IFERROR(__xludf.DUMMYFUNCTION("""COMPUTED_VALUE"""),"THE LITTLE GIANT")</f>
        <v>THE LITTLE GIANT</v>
      </c>
      <c r="D323" s="2" t="str">
        <f>IFERROR(__xludf.DUMMYFUNCTION("""COMPUTED_VALUE"""),"10KM MASTER M")</f>
        <v>10KM MASTER M</v>
      </c>
      <c r="E323" s="1">
        <f>IFERROR(__xludf.DUMMYFUNCTION("""COMPUTED_VALUE"""),31.0)</f>
        <v>31</v>
      </c>
      <c r="F323" s="1" t="str">
        <f>IFERROR(__xludf.DUMMYFUNCTION("""COMPUTED_VALUE"""),"Male")</f>
        <v>Male</v>
      </c>
      <c r="G323" s="5">
        <f>IFERROR(__xludf.DUMMYFUNCTION("""COMPUTED_VALUE"""),0.004736956018518519)</f>
        <v>0.004736956019</v>
      </c>
      <c r="H323" s="14">
        <f>IFERROR(__xludf.DUMMYFUNCTION("""COMPUTED_VALUE"""),0.24646185185185185)</f>
        <v>0.2464618519</v>
      </c>
      <c r="I323" s="15">
        <f>IFERROR(__xludf.DUMMYFUNCTION("""COMPUTED_VALUE"""),45949.29383140693)</f>
        <v>45949.29383</v>
      </c>
      <c r="J323" s="15">
        <f>IFERROR(__xludf.DUMMYFUNCTION("""COMPUTED_VALUE"""),45949.04736955508)</f>
        <v>45949.04737</v>
      </c>
      <c r="K323" s="15">
        <f>IFERROR(__xludf.DUMMYFUNCTION("""COMPUTED_VALUE"""),45949.25661696571)</f>
        <v>45949.25662</v>
      </c>
      <c r="L323" s="15">
        <f>IFERROR(__xludf.DUMMYFUNCTION("""COMPUTED_VALUE"""),45949.28491557422)</f>
        <v>45949.28492</v>
      </c>
    </row>
    <row r="324">
      <c r="A324" s="1">
        <f>IFERROR(__xludf.DUMMYFUNCTION("""COMPUTED_VALUE"""),323.0)</f>
        <v>323</v>
      </c>
      <c r="B324" s="1">
        <f>IFERROR(__xludf.DUMMYFUNCTION("""COMPUTED_VALUE"""),10610.0)</f>
        <v>10610</v>
      </c>
      <c r="C324" s="13" t="str">
        <f>IFERROR(__xludf.DUMMYFUNCTION("""COMPUTED_VALUE"""),"Nur Aji")</f>
        <v>Nur Aji</v>
      </c>
      <c r="D324" s="2" t="str">
        <f>IFERROR(__xludf.DUMMYFUNCTION("""COMPUTED_VALUE"""),"10KM OVERALL M")</f>
        <v>10KM OVERALL M</v>
      </c>
      <c r="E324" s="1">
        <f>IFERROR(__xludf.DUMMYFUNCTION("""COMPUTED_VALUE"""),271.0)</f>
        <v>271</v>
      </c>
      <c r="F324" s="1" t="str">
        <f>IFERROR(__xludf.DUMMYFUNCTION("""COMPUTED_VALUE"""),"Male")</f>
        <v>Male</v>
      </c>
      <c r="G324" s="5">
        <f>IFERROR(__xludf.DUMMYFUNCTION("""COMPUTED_VALUE"""),0.004741819444444444)</f>
        <v>0.004741819444</v>
      </c>
      <c r="H324" s="14">
        <f>IFERROR(__xludf.DUMMYFUNCTION("""COMPUTED_VALUE"""),0.24646185185185185)</f>
        <v>0.2464618519</v>
      </c>
      <c r="I324" s="15">
        <f>IFERROR(__xludf.DUMMYFUNCTION("""COMPUTED_VALUE"""),45949.293880042605)</f>
        <v>45949.29388</v>
      </c>
      <c r="J324" s="15">
        <f>IFERROR(__xludf.DUMMYFUNCTION("""COMPUTED_VALUE"""),45949.047418190756)</f>
        <v>45949.04742</v>
      </c>
      <c r="K324" s="15">
        <f>IFERROR(__xludf.DUMMYFUNCTION("""COMPUTED_VALUE"""),45949.25709615073)</f>
        <v>45949.2571</v>
      </c>
      <c r="L324" s="15">
        <f>IFERROR(__xludf.DUMMYFUNCTION("""COMPUTED_VALUE"""),45949.28560658606)</f>
        <v>45949.28561</v>
      </c>
    </row>
    <row r="325">
      <c r="A325" s="1">
        <f>IFERROR(__xludf.DUMMYFUNCTION("""COMPUTED_VALUE"""),324.0)</f>
        <v>324</v>
      </c>
      <c r="B325" s="1">
        <f>IFERROR(__xludf.DUMMYFUNCTION("""COMPUTED_VALUE"""),10573.0)</f>
        <v>10573</v>
      </c>
      <c r="C325" s="13" t="str">
        <f>IFERROR(__xludf.DUMMYFUNCTION("""COMPUTED_VALUE"""),"ARYA MW")</f>
        <v>ARYA MW</v>
      </c>
      <c r="D325" s="2" t="str">
        <f>IFERROR(__xludf.DUMMYFUNCTION("""COMPUTED_VALUE"""),"10KM OVERALL M")</f>
        <v>10KM OVERALL M</v>
      </c>
      <c r="E325" s="1">
        <f>IFERROR(__xludf.DUMMYFUNCTION("""COMPUTED_VALUE"""),272.0)</f>
        <v>272</v>
      </c>
      <c r="F325" s="1" t="str">
        <f>IFERROR(__xludf.DUMMYFUNCTION("""COMPUTED_VALUE"""),"Male")</f>
        <v>Male</v>
      </c>
      <c r="G325" s="5">
        <f>IFERROR(__xludf.DUMMYFUNCTION("""COMPUTED_VALUE"""),0.004742861111111112)</f>
        <v>0.004742861111</v>
      </c>
      <c r="H325" s="14">
        <f>IFERROR(__xludf.DUMMYFUNCTION("""COMPUTED_VALUE"""),0.24646185185185185)</f>
        <v>0.2464618519</v>
      </c>
      <c r="I325" s="15">
        <f>IFERROR(__xludf.DUMMYFUNCTION("""COMPUTED_VALUE"""),45949.29389046333)</f>
        <v>45949.29389</v>
      </c>
      <c r="J325" s="15">
        <f>IFERROR(__xludf.DUMMYFUNCTION("""COMPUTED_VALUE"""),45949.04742861148)</f>
        <v>45949.04743</v>
      </c>
      <c r="K325" s="15">
        <f>IFERROR(__xludf.DUMMYFUNCTION("""COMPUTED_VALUE"""),45949.25753363912)</f>
        <v>45949.25753</v>
      </c>
      <c r="L325" s="15">
        <f>IFERROR(__xludf.DUMMYFUNCTION("""COMPUTED_VALUE"""),45949.28559615517)</f>
        <v>45949.2856</v>
      </c>
    </row>
    <row r="326">
      <c r="A326" s="1">
        <f>IFERROR(__xludf.DUMMYFUNCTION("""COMPUTED_VALUE"""),325.0)</f>
        <v>325</v>
      </c>
      <c r="B326" s="1">
        <f>IFERROR(__xludf.DUMMYFUNCTION("""COMPUTED_VALUE"""),10271.0)</f>
        <v>10271</v>
      </c>
      <c r="C326" s="13" t="str">
        <f>IFERROR(__xludf.DUMMYFUNCTION("""COMPUTED_VALUE"""),"M.Fikri Haikall")</f>
        <v>M.Fikri Haikall</v>
      </c>
      <c r="D326" s="2" t="str">
        <f>IFERROR(__xludf.DUMMYFUNCTION("""COMPUTED_VALUE"""),"10KM OVERALL M")</f>
        <v>10KM OVERALL M</v>
      </c>
      <c r="E326" s="1">
        <f>IFERROR(__xludf.DUMMYFUNCTION("""COMPUTED_VALUE"""),273.0)</f>
        <v>273</v>
      </c>
      <c r="F326" s="1" t="str">
        <f>IFERROR(__xludf.DUMMYFUNCTION("""COMPUTED_VALUE"""),"Male")</f>
        <v>Male</v>
      </c>
      <c r="G326" s="5">
        <f>IFERROR(__xludf.DUMMYFUNCTION("""COMPUTED_VALUE"""),0.004749104166666666)</f>
        <v>0.004749104167</v>
      </c>
      <c r="H326" s="14">
        <f>IFERROR(__xludf.DUMMYFUNCTION("""COMPUTED_VALUE"""),0.24646185185185185)</f>
        <v>0.2464618519</v>
      </c>
      <c r="I326" s="15">
        <f>IFERROR(__xludf.DUMMYFUNCTION("""COMPUTED_VALUE"""),45949.29395289621)</f>
        <v>45949.29395</v>
      </c>
      <c r="J326" s="15">
        <f>IFERROR(__xludf.DUMMYFUNCTION("""COMPUTED_VALUE"""),45949.04749104436)</f>
        <v>45949.04749</v>
      </c>
      <c r="K326" s="15">
        <f>IFERROR(__xludf.DUMMYFUNCTION("""COMPUTED_VALUE"""),45949.25922814493)</f>
        <v>45949.25923</v>
      </c>
      <c r="L326" s="15">
        <f>IFERROR(__xludf.DUMMYFUNCTION("""COMPUTED_VALUE"""),45949.28625939225)</f>
        <v>45949.28626</v>
      </c>
    </row>
    <row r="327">
      <c r="A327" s="1">
        <f>IFERROR(__xludf.DUMMYFUNCTION("""COMPUTED_VALUE"""),326.0)</f>
        <v>326</v>
      </c>
      <c r="B327" s="1">
        <f>IFERROR(__xludf.DUMMYFUNCTION("""COMPUTED_VALUE"""),10237.0)</f>
        <v>10237</v>
      </c>
      <c r="C327" s="13" t="str">
        <f>IFERROR(__xludf.DUMMYFUNCTION("""COMPUTED_VALUE"""),"D.RIZKY")</f>
        <v>D.RIZKY</v>
      </c>
      <c r="D327" s="2" t="str">
        <f>IFERROR(__xludf.DUMMYFUNCTION("""COMPUTED_VALUE"""),"10KM OVERALL M")</f>
        <v>10KM OVERALL M</v>
      </c>
      <c r="E327" s="1">
        <f>IFERROR(__xludf.DUMMYFUNCTION("""COMPUTED_VALUE"""),274.0)</f>
        <v>274</v>
      </c>
      <c r="F327" s="1" t="str">
        <f>IFERROR(__xludf.DUMMYFUNCTION("""COMPUTED_VALUE"""),"Male")</f>
        <v>Male</v>
      </c>
      <c r="G327" s="5">
        <f>IFERROR(__xludf.DUMMYFUNCTION("""COMPUTED_VALUE"""),0.004752929398148148)</f>
        <v>0.004752929398</v>
      </c>
      <c r="H327" s="14">
        <f>IFERROR(__xludf.DUMMYFUNCTION("""COMPUTED_VALUE"""),0.24646185185185185)</f>
        <v>0.2464618519</v>
      </c>
      <c r="I327" s="15">
        <f>IFERROR(__xludf.DUMMYFUNCTION("""COMPUTED_VALUE"""),45949.293991144164)</f>
        <v>45949.29399</v>
      </c>
      <c r="J327" s="15">
        <f>IFERROR(__xludf.DUMMYFUNCTION("""COMPUTED_VALUE"""),45949.047529292315)</f>
        <v>45949.04753</v>
      </c>
      <c r="K327" s="15">
        <f>IFERROR(__xludf.DUMMYFUNCTION("""COMPUTED_VALUE"""),45949.258366962466)</f>
        <v>45949.25837</v>
      </c>
      <c r="L327" s="15">
        <f>IFERROR(__xludf.DUMMYFUNCTION("""COMPUTED_VALUE"""),45949.28600936619)</f>
        <v>45949.28601</v>
      </c>
    </row>
    <row r="328">
      <c r="A328" s="1">
        <f>IFERROR(__xludf.DUMMYFUNCTION("""COMPUTED_VALUE"""),327.0)</f>
        <v>327</v>
      </c>
      <c r="B328" s="1">
        <f>IFERROR(__xludf.DUMMYFUNCTION("""COMPUTED_VALUE"""),10386.0)</f>
        <v>10386</v>
      </c>
      <c r="C328" s="13" t="str">
        <f>IFERROR(__xludf.DUMMYFUNCTION("""COMPUTED_VALUE"""),"Azmi")</f>
        <v>Azmi</v>
      </c>
      <c r="D328" s="2" t="str">
        <f>IFERROR(__xludf.DUMMYFUNCTION("""COMPUTED_VALUE"""),"10KM OVERALL M")</f>
        <v>10KM OVERALL M</v>
      </c>
      <c r="E328" s="1">
        <f>IFERROR(__xludf.DUMMYFUNCTION("""COMPUTED_VALUE"""),275.0)</f>
        <v>275</v>
      </c>
      <c r="F328" s="1" t="str">
        <f>IFERROR(__xludf.DUMMYFUNCTION("""COMPUTED_VALUE"""),"Male")</f>
        <v>Male</v>
      </c>
      <c r="G328" s="5">
        <f>IFERROR(__xludf.DUMMYFUNCTION("""COMPUTED_VALUE"""),0.004754318287037037)</f>
        <v>0.004754318287</v>
      </c>
      <c r="H328" s="14">
        <f>IFERROR(__xludf.DUMMYFUNCTION("""COMPUTED_VALUE"""),0.24646185185185185)</f>
        <v>0.2464618519</v>
      </c>
      <c r="I328" s="15">
        <f>IFERROR(__xludf.DUMMYFUNCTION("""COMPUTED_VALUE"""),45949.29400503309)</f>
        <v>45949.29401</v>
      </c>
      <c r="J328" s="15">
        <f>IFERROR(__xludf.DUMMYFUNCTION("""COMPUTED_VALUE"""),45949.04754318124)</f>
        <v>45949.04754</v>
      </c>
      <c r="K328" s="15">
        <f>IFERROR(__xludf.DUMMYFUNCTION("""COMPUTED_VALUE"""),45949.2577316294)</f>
        <v>45949.25773</v>
      </c>
      <c r="L328" s="15">
        <f>IFERROR(__xludf.DUMMYFUNCTION("""COMPUTED_VALUE"""),45949.28604061807)</f>
        <v>45949.28604</v>
      </c>
    </row>
    <row r="329">
      <c r="A329" s="1">
        <f>IFERROR(__xludf.DUMMYFUNCTION("""COMPUTED_VALUE"""),328.0)</f>
        <v>328</v>
      </c>
      <c r="B329" s="1">
        <f>IFERROR(__xludf.DUMMYFUNCTION("""COMPUTED_VALUE"""),10499.0)</f>
        <v>10499</v>
      </c>
      <c r="C329" s="13" t="str">
        <f>IFERROR(__xludf.DUMMYFUNCTION("""COMPUTED_VALUE"""),"RIDHO")</f>
        <v>RIDHO</v>
      </c>
      <c r="D329" s="2" t="str">
        <f>IFERROR(__xludf.DUMMYFUNCTION("""COMPUTED_VALUE"""),"10KM OVERALL M")</f>
        <v>10KM OVERALL M</v>
      </c>
      <c r="E329" s="1">
        <f>IFERROR(__xludf.DUMMYFUNCTION("""COMPUTED_VALUE"""),276.0)</f>
        <v>276</v>
      </c>
      <c r="F329" s="1" t="str">
        <f>IFERROR(__xludf.DUMMYFUNCTION("""COMPUTED_VALUE"""),"Male")</f>
        <v>Male</v>
      </c>
      <c r="G329" s="5">
        <f>IFERROR(__xludf.DUMMYFUNCTION("""COMPUTED_VALUE"""),0.004757443287037037)</f>
        <v>0.004757443287</v>
      </c>
      <c r="H329" s="14">
        <f>IFERROR(__xludf.DUMMYFUNCTION("""COMPUTED_VALUE"""),0.24646185185185185)</f>
        <v>0.2464618519</v>
      </c>
      <c r="I329" s="15">
        <f>IFERROR(__xludf.DUMMYFUNCTION("""COMPUTED_VALUE"""),45949.29403628837)</f>
        <v>45949.29404</v>
      </c>
      <c r="J329" s="15">
        <f>IFERROR(__xludf.DUMMYFUNCTION("""COMPUTED_VALUE"""),45949.04757443652)</f>
        <v>45949.04757</v>
      </c>
      <c r="K329" s="15">
        <f>IFERROR(__xludf.DUMMYFUNCTION("""COMPUTED_VALUE"""),45949.257696835455)</f>
        <v>45949.2577</v>
      </c>
      <c r="L329" s="15">
        <f>IFERROR(__xludf.DUMMYFUNCTION("""COMPUTED_VALUE"""),45949.28605448955)</f>
        <v>45949.28605</v>
      </c>
    </row>
    <row r="330">
      <c r="A330" s="1">
        <f>IFERROR(__xludf.DUMMYFUNCTION("""COMPUTED_VALUE"""),329.0)</f>
        <v>329</v>
      </c>
      <c r="B330" s="1">
        <f>IFERROR(__xludf.DUMMYFUNCTION("""COMPUTED_VALUE"""),10483.0)</f>
        <v>10483</v>
      </c>
      <c r="C330" s="13" t="str">
        <f>IFERROR(__xludf.DUMMYFUNCTION("""COMPUTED_VALUE"""),"naufall")</f>
        <v>naufall</v>
      </c>
      <c r="D330" s="2" t="str">
        <f>IFERROR(__xludf.DUMMYFUNCTION("""COMPUTED_VALUE"""),"10KM OVERALL M")</f>
        <v>10KM OVERALL M</v>
      </c>
      <c r="E330" s="1">
        <f>IFERROR(__xludf.DUMMYFUNCTION("""COMPUTED_VALUE"""),277.0)</f>
        <v>277</v>
      </c>
      <c r="F330" s="1" t="str">
        <f>IFERROR(__xludf.DUMMYFUNCTION("""COMPUTED_VALUE"""),"Male")</f>
        <v>Male</v>
      </c>
      <c r="G330" s="5">
        <f>IFERROR(__xludf.DUMMYFUNCTION("""COMPUTED_VALUE"""),0.004758832175925926)</f>
        <v>0.004758832176</v>
      </c>
      <c r="H330" s="14">
        <f>IFERROR(__xludf.DUMMYFUNCTION("""COMPUTED_VALUE"""),0.24646185185185185)</f>
        <v>0.2464618519</v>
      </c>
      <c r="I330" s="15">
        <f>IFERROR(__xludf.DUMMYFUNCTION("""COMPUTED_VALUE"""),45949.29405017354)</f>
        <v>45949.29405</v>
      </c>
      <c r="J330" s="15">
        <f>IFERROR(__xludf.DUMMYFUNCTION("""COMPUTED_VALUE"""),45949.04758832169)</f>
        <v>45949.04759</v>
      </c>
      <c r="K330" s="15">
        <f>IFERROR(__xludf.DUMMYFUNCTION("""COMPUTED_VALUE"""),45949.25701285012)</f>
        <v>45949.25701</v>
      </c>
      <c r="L330" s="15">
        <f>IFERROR(__xludf.DUMMYFUNCTION("""COMPUTED_VALUE"""),45949.285634353204)</f>
        <v>45949.28563</v>
      </c>
    </row>
    <row r="331">
      <c r="A331" s="1">
        <f>IFERROR(__xludf.DUMMYFUNCTION("""COMPUTED_VALUE"""),330.0)</f>
        <v>330</v>
      </c>
      <c r="B331" s="1">
        <f>IFERROR(__xludf.DUMMYFUNCTION("""COMPUTED_VALUE"""),10023.0)</f>
        <v>10023</v>
      </c>
      <c r="C331" s="13" t="str">
        <f>IFERROR(__xludf.DUMMYFUNCTION("""COMPUTED_VALUE"""),"Robinson")</f>
        <v>Robinson</v>
      </c>
      <c r="D331" s="2" t="str">
        <f>IFERROR(__xludf.DUMMYFUNCTION("""COMPUTED_VALUE"""),"10KM OVERALL M")</f>
        <v>10KM OVERALL M</v>
      </c>
      <c r="E331" s="1">
        <f>IFERROR(__xludf.DUMMYFUNCTION("""COMPUTED_VALUE"""),278.0)</f>
        <v>278</v>
      </c>
      <c r="F331" s="1" t="str">
        <f>IFERROR(__xludf.DUMMYFUNCTION("""COMPUTED_VALUE"""),"Male")</f>
        <v>Male</v>
      </c>
      <c r="G331" s="5">
        <f>IFERROR(__xludf.DUMMYFUNCTION("""COMPUTED_VALUE"""),0.0047633414351851856)</f>
        <v>0.004763341435</v>
      </c>
      <c r="H331" s="14">
        <f>IFERROR(__xludf.DUMMYFUNCTION("""COMPUTED_VALUE"""),0.24646185185185185)</f>
        <v>0.2464618519</v>
      </c>
      <c r="I331" s="15">
        <f>IFERROR(__xludf.DUMMYFUNCTION("""COMPUTED_VALUE"""),45949.29409526951)</f>
        <v>45949.2941</v>
      </c>
      <c r="J331" s="15">
        <f>IFERROR(__xludf.DUMMYFUNCTION("""COMPUTED_VALUE"""),45949.047633417664)</f>
        <v>45949.04763</v>
      </c>
      <c r="K331" s="15">
        <f>IFERROR(__xludf.DUMMYFUNCTION("""COMPUTED_VALUE"""),45949.25532880218)</f>
        <v>45949.25533</v>
      </c>
      <c r="L331" s="15">
        <f>IFERROR(__xludf.DUMMYFUNCTION("""COMPUTED_VALUE"""),45949.28618644537)</f>
        <v>45949.28619</v>
      </c>
    </row>
    <row r="332">
      <c r="A332" s="1">
        <f>IFERROR(__xludf.DUMMYFUNCTION("""COMPUTED_VALUE"""),331.0)</f>
        <v>331</v>
      </c>
      <c r="B332" s="1">
        <f>IFERROR(__xludf.DUMMYFUNCTION("""COMPUTED_VALUE"""),10645.0)</f>
        <v>10645</v>
      </c>
      <c r="C332" s="13" t="str">
        <f>IFERROR(__xludf.DUMMYFUNCTION("""COMPUTED_VALUE"""),"M. FAHMI ILHAM")</f>
        <v>M. FAHMI ILHAM</v>
      </c>
      <c r="D332" s="2" t="str">
        <f>IFERROR(__xludf.DUMMYFUNCTION("""COMPUTED_VALUE"""),"10KM OVERALL M")</f>
        <v>10KM OVERALL M</v>
      </c>
      <c r="E332" s="1">
        <f>IFERROR(__xludf.DUMMYFUNCTION("""COMPUTED_VALUE"""),279.0)</f>
        <v>279</v>
      </c>
      <c r="F332" s="1" t="str">
        <f>IFERROR(__xludf.DUMMYFUNCTION("""COMPUTED_VALUE"""),"Male")</f>
        <v>Male</v>
      </c>
      <c r="G332" s="5">
        <f>IFERROR(__xludf.DUMMYFUNCTION("""COMPUTED_VALUE"""),0.0047702916666666675)</f>
        <v>0.004770291667</v>
      </c>
      <c r="H332" s="14">
        <f>IFERROR(__xludf.DUMMYFUNCTION("""COMPUTED_VALUE"""),0.24646185185185185)</f>
        <v>0.2464618519</v>
      </c>
      <c r="I332" s="15">
        <f>IFERROR(__xludf.DUMMYFUNCTION("""COMPUTED_VALUE"""),45949.294164765306)</f>
        <v>45949.29416</v>
      </c>
      <c r="J332" s="15">
        <f>IFERROR(__xludf.DUMMYFUNCTION("""COMPUTED_VALUE"""),45949.047702913456)</f>
        <v>45949.0477</v>
      </c>
      <c r="K332" s="15">
        <f>IFERROR(__xludf.DUMMYFUNCTION("""COMPUTED_VALUE"""),45949.25761003607)</f>
        <v>45949.25761</v>
      </c>
      <c r="L332" s="15">
        <f>IFERROR(__xludf.DUMMYFUNCTION("""COMPUTED_VALUE"""),45949.286044074535)</f>
        <v>45949.28604</v>
      </c>
    </row>
    <row r="333">
      <c r="A333" s="1">
        <f>IFERROR(__xludf.DUMMYFUNCTION("""COMPUTED_VALUE"""),332.0)</f>
        <v>332</v>
      </c>
      <c r="B333" s="1">
        <f>IFERROR(__xludf.DUMMYFUNCTION("""COMPUTED_VALUE"""),10489.0)</f>
        <v>10489</v>
      </c>
      <c r="C333" s="13" t="str">
        <f>IFERROR(__xludf.DUMMYFUNCTION("""COMPUTED_VALUE"""),"yoga")</f>
        <v>yoga</v>
      </c>
      <c r="D333" s="2" t="str">
        <f>IFERROR(__xludf.DUMMYFUNCTION("""COMPUTED_VALUE"""),"10KM OVERALL M")</f>
        <v>10KM OVERALL M</v>
      </c>
      <c r="E333" s="1">
        <f>IFERROR(__xludf.DUMMYFUNCTION("""COMPUTED_VALUE"""),280.0)</f>
        <v>280</v>
      </c>
      <c r="F333" s="1" t="str">
        <f>IFERROR(__xludf.DUMMYFUNCTION("""COMPUTED_VALUE"""),"Male")</f>
        <v>Male</v>
      </c>
      <c r="G333" s="5">
        <f>IFERROR(__xludf.DUMMYFUNCTION("""COMPUTED_VALUE"""),0.004771679398148148)</f>
        <v>0.004771679398</v>
      </c>
      <c r="H333" s="14">
        <f>IFERROR(__xludf.DUMMYFUNCTION("""COMPUTED_VALUE"""),0.24646185185185185)</f>
        <v>0.2464618519</v>
      </c>
      <c r="I333" s="15">
        <f>IFERROR(__xludf.DUMMYFUNCTION("""COMPUTED_VALUE"""),45949.29417864505)</f>
        <v>45949.29418</v>
      </c>
      <c r="J333" s="15">
        <f>IFERROR(__xludf.DUMMYFUNCTION("""COMPUTED_VALUE"""),45949.0477167932)</f>
        <v>45949.04772</v>
      </c>
      <c r="K333" s="15">
        <f>IFERROR(__xludf.DUMMYFUNCTION("""COMPUTED_VALUE"""),45949.25703710339)</f>
        <v>45949.25704</v>
      </c>
      <c r="L333" s="15">
        <f>IFERROR(__xludf.DUMMYFUNCTION("""COMPUTED_VALUE"""),45949.283700351225)</f>
        <v>45949.2837</v>
      </c>
    </row>
    <row r="334">
      <c r="A334" s="1">
        <f>IFERROR(__xludf.DUMMYFUNCTION("""COMPUTED_VALUE"""),333.0)</f>
        <v>333</v>
      </c>
      <c r="B334" s="1">
        <f>IFERROR(__xludf.DUMMYFUNCTION("""COMPUTED_VALUE"""),10153.0)</f>
        <v>10153</v>
      </c>
      <c r="C334" s="13" t="str">
        <f>IFERROR(__xludf.DUMMYFUNCTION("""COMPUTED_VALUE"""),"Muhammad Haddad")</f>
        <v>Muhammad Haddad</v>
      </c>
      <c r="D334" s="2" t="str">
        <f>IFERROR(__xludf.DUMMYFUNCTION("""COMPUTED_VALUE"""),"10KM OVERALL M")</f>
        <v>10KM OVERALL M</v>
      </c>
      <c r="E334" s="1">
        <f>IFERROR(__xludf.DUMMYFUNCTION("""COMPUTED_VALUE"""),281.0)</f>
        <v>281</v>
      </c>
      <c r="F334" s="1" t="str">
        <f>IFERROR(__xludf.DUMMYFUNCTION("""COMPUTED_VALUE"""),"Male")</f>
        <v>Male</v>
      </c>
      <c r="G334" s="5">
        <f>IFERROR(__xludf.DUMMYFUNCTION("""COMPUTED_VALUE"""),0.004772716435185185)</f>
        <v>0.004772716435</v>
      </c>
      <c r="H334" s="14">
        <f>IFERROR(__xludf.DUMMYFUNCTION("""COMPUTED_VALUE"""),0.24646185185185185)</f>
        <v>0.2464618519</v>
      </c>
      <c r="I334" s="15">
        <f>IFERROR(__xludf.DUMMYFUNCTION("""COMPUTED_VALUE"""),45949.29418901078)</f>
        <v>45949.29419</v>
      </c>
      <c r="J334" s="15">
        <f>IFERROR(__xludf.DUMMYFUNCTION("""COMPUTED_VALUE"""),45949.04772715893)</f>
        <v>45949.04773</v>
      </c>
      <c r="K334" s="15">
        <f>IFERROR(__xludf.DUMMYFUNCTION("""COMPUTED_VALUE"""),45949.25825241156)</f>
        <v>45949.25825</v>
      </c>
      <c r="L334" s="15">
        <f>IFERROR(__xludf.DUMMYFUNCTION("""COMPUTED_VALUE"""),45949.28575240724)</f>
        <v>45949.28575</v>
      </c>
    </row>
    <row r="335">
      <c r="A335" s="1">
        <f>IFERROR(__xludf.DUMMYFUNCTION("""COMPUTED_VALUE"""),334.0)</f>
        <v>334</v>
      </c>
      <c r="B335" s="1">
        <f>IFERROR(__xludf.DUMMYFUNCTION("""COMPUTED_VALUE"""),10321.0)</f>
        <v>10321</v>
      </c>
      <c r="C335" s="13" t="str">
        <f>IFERROR(__xludf.DUMMYFUNCTION("""COMPUTED_VALUE"""),"Dony Irawan")</f>
        <v>Dony Irawan</v>
      </c>
      <c r="D335" s="2" t="str">
        <f>IFERROR(__xludf.DUMMYFUNCTION("""COMPUTED_VALUE"""),"10KM OVERALL M")</f>
        <v>10KM OVERALL M</v>
      </c>
      <c r="E335" s="1">
        <f>IFERROR(__xludf.DUMMYFUNCTION("""COMPUTED_VALUE"""),282.0)</f>
        <v>282</v>
      </c>
      <c r="F335" s="1" t="str">
        <f>IFERROR(__xludf.DUMMYFUNCTION("""COMPUTED_VALUE"""),"Male")</f>
        <v>Male</v>
      </c>
      <c r="G335" s="5">
        <f>IFERROR(__xludf.DUMMYFUNCTION("""COMPUTED_VALUE"""),0.004773763888888889)</f>
        <v>0.004773763889</v>
      </c>
      <c r="H335" s="14">
        <f>IFERROR(__xludf.DUMMYFUNCTION("""COMPUTED_VALUE"""),0.24646185185185185)</f>
        <v>0.2464618519</v>
      </c>
      <c r="I335" s="15">
        <f>IFERROR(__xludf.DUMMYFUNCTION("""COMPUTED_VALUE"""),45949.2941994917)</f>
        <v>45949.2942</v>
      </c>
      <c r="J335" s="15">
        <f>IFERROR(__xludf.DUMMYFUNCTION("""COMPUTED_VALUE"""),45949.04773763985)</f>
        <v>45949.04774</v>
      </c>
      <c r="K335" s="15">
        <f>IFERROR(__xludf.DUMMYFUNCTION("""COMPUTED_VALUE"""),45949.25662473547)</f>
        <v>45949.25662</v>
      </c>
      <c r="L335" s="15">
        <f>IFERROR(__xludf.DUMMYFUNCTION("""COMPUTED_VALUE"""),45949.285849814005)</f>
        <v>45949.28585</v>
      </c>
    </row>
    <row r="336">
      <c r="A336" s="1">
        <f>IFERROR(__xludf.DUMMYFUNCTION("""COMPUTED_VALUE"""),335.0)</f>
        <v>335</v>
      </c>
      <c r="B336" s="1">
        <f>IFERROR(__xludf.DUMMYFUNCTION("""COMPUTED_VALUE"""),10517.0)</f>
        <v>10517</v>
      </c>
      <c r="C336" s="13" t="str">
        <f>IFERROR(__xludf.DUMMYFUNCTION("""COMPUTED_VALUE"""),"Kamal Hasany")</f>
        <v>Kamal Hasany</v>
      </c>
      <c r="D336" s="2" t="str">
        <f>IFERROR(__xludf.DUMMYFUNCTION("""COMPUTED_VALUE"""),"10KM OVERALL M")</f>
        <v>10KM OVERALL M</v>
      </c>
      <c r="E336" s="1">
        <f>IFERROR(__xludf.DUMMYFUNCTION("""COMPUTED_VALUE"""),283.0)</f>
        <v>283</v>
      </c>
      <c r="F336" s="1" t="str">
        <f>IFERROR(__xludf.DUMMYFUNCTION("""COMPUTED_VALUE"""),"Male")</f>
        <v>Male</v>
      </c>
      <c r="G336" s="5">
        <f>IFERROR(__xludf.DUMMYFUNCTION("""COMPUTED_VALUE"""),0.004773765046296297)</f>
        <v>0.004773765046</v>
      </c>
      <c r="H336" s="14">
        <f>IFERROR(__xludf.DUMMYFUNCTION("""COMPUTED_VALUE"""),0.24646185185185185)</f>
        <v>0.2464618519</v>
      </c>
      <c r="I336" s="15">
        <f>IFERROR(__xludf.DUMMYFUNCTION("""COMPUTED_VALUE"""),45949.29419950357)</f>
        <v>45949.2942</v>
      </c>
      <c r="J336" s="15">
        <f>IFERROR(__xludf.DUMMYFUNCTION("""COMPUTED_VALUE"""),45949.04773765172)</f>
        <v>45949.04774</v>
      </c>
      <c r="K336" s="15">
        <f>IFERROR(__xludf.DUMMYFUNCTION("""COMPUTED_VALUE"""),45949.25701287315)</f>
        <v>45949.25701</v>
      </c>
      <c r="L336" s="15">
        <f>IFERROR(__xludf.DUMMYFUNCTION("""COMPUTED_VALUE"""),45949.285964223986)</f>
        <v>45949.28596</v>
      </c>
    </row>
    <row r="337">
      <c r="A337" s="1">
        <f>IFERROR(__xludf.DUMMYFUNCTION("""COMPUTED_VALUE"""),336.0)</f>
        <v>336</v>
      </c>
      <c r="B337" s="1">
        <f>IFERROR(__xludf.DUMMYFUNCTION("""COMPUTED_VALUE"""),10738.0)</f>
        <v>10738</v>
      </c>
      <c r="C337" s="13" t="str">
        <f>IFERROR(__xludf.DUMMYFUNCTION("""COMPUTED_VALUE"""),"Aulia Ulhaq")</f>
        <v>Aulia Ulhaq</v>
      </c>
      <c r="D337" s="2" t="str">
        <f>IFERROR(__xludf.DUMMYFUNCTION("""COMPUTED_VALUE"""),"10KM OVERALL M")</f>
        <v>10KM OVERALL M</v>
      </c>
      <c r="E337" s="1">
        <f>IFERROR(__xludf.DUMMYFUNCTION("""COMPUTED_VALUE"""),284.0)</f>
        <v>284</v>
      </c>
      <c r="F337" s="1" t="str">
        <f>IFERROR(__xludf.DUMMYFUNCTION("""COMPUTED_VALUE"""),"Male")</f>
        <v>Male</v>
      </c>
      <c r="G337" s="5">
        <f>IFERROR(__xludf.DUMMYFUNCTION("""COMPUTED_VALUE"""),0.004778276620370369)</f>
        <v>0.00477827662</v>
      </c>
      <c r="H337" s="14">
        <f>IFERROR(__xludf.DUMMYFUNCTION("""COMPUTED_VALUE"""),0.24646185185185185)</f>
        <v>0.2464618519</v>
      </c>
      <c r="I337" s="15">
        <f>IFERROR(__xludf.DUMMYFUNCTION("""COMPUTED_VALUE"""),45949.29424461576)</f>
        <v>45949.29424</v>
      </c>
      <c r="J337" s="15">
        <f>IFERROR(__xludf.DUMMYFUNCTION("""COMPUTED_VALUE"""),45949.04778276391)</f>
        <v>45949.04778</v>
      </c>
      <c r="K337" s="15">
        <f>IFERROR(__xludf.DUMMYFUNCTION("""COMPUTED_VALUE"""),45949.25795029596)</f>
        <v>45949.25795</v>
      </c>
      <c r="L337" s="15">
        <f>IFERROR(__xludf.DUMMYFUNCTION("""COMPUTED_VALUE"""),45949.28567255525)</f>
        <v>45949.28567</v>
      </c>
    </row>
    <row r="338">
      <c r="A338" s="1">
        <f>IFERROR(__xludf.DUMMYFUNCTION("""COMPUTED_VALUE"""),337.0)</f>
        <v>337</v>
      </c>
      <c r="B338" s="1">
        <f>IFERROR(__xludf.DUMMYFUNCTION("""COMPUTED_VALUE"""),10725.0)</f>
        <v>10725</v>
      </c>
      <c r="C338" s="13" t="str">
        <f>IFERROR(__xludf.DUMMYFUNCTION("""COMPUTED_VALUE"""),"PACER - RAGA")</f>
        <v>PACER - RAGA</v>
      </c>
      <c r="D338" s="2" t="str">
        <f>IFERROR(__xludf.DUMMYFUNCTION("""COMPUTED_VALUE"""),"10KM OVERALL M")</f>
        <v>10KM OVERALL M</v>
      </c>
      <c r="E338" s="1">
        <f>IFERROR(__xludf.DUMMYFUNCTION("""COMPUTED_VALUE"""),285.0)</f>
        <v>285</v>
      </c>
      <c r="F338" s="1" t="str">
        <f>IFERROR(__xludf.DUMMYFUNCTION("""COMPUTED_VALUE"""),"Male")</f>
        <v>Male</v>
      </c>
      <c r="G338" s="5">
        <f>IFERROR(__xludf.DUMMYFUNCTION("""COMPUTED_VALUE"""),0.004785568287037037)</f>
        <v>0.004785568287</v>
      </c>
      <c r="H338" s="14">
        <f>IFERROR(__xludf.DUMMYFUNCTION("""COMPUTED_VALUE"""),0.24646185185185185)</f>
        <v>0.2464618519</v>
      </c>
      <c r="I338" s="15">
        <f>IFERROR(__xludf.DUMMYFUNCTION("""COMPUTED_VALUE"""),45949.294317539636)</f>
        <v>45949.29432</v>
      </c>
      <c r="J338" s="15">
        <f>IFERROR(__xludf.DUMMYFUNCTION("""COMPUTED_VALUE"""),45949.047855687786)</f>
        <v>45949.04786</v>
      </c>
      <c r="K338" s="15">
        <f>IFERROR(__xludf.DUMMYFUNCTION("""COMPUTED_VALUE"""),45949.257575296535)</f>
        <v>45949.25758</v>
      </c>
      <c r="L338" s="15">
        <f>IFERROR(__xludf.DUMMYFUNCTION("""COMPUTED_VALUE"""),45949.28603714196)</f>
        <v>45949.28604</v>
      </c>
    </row>
    <row r="339">
      <c r="A339" s="1">
        <f>IFERROR(__xludf.DUMMYFUNCTION("""COMPUTED_VALUE"""),338.0)</f>
        <v>338</v>
      </c>
      <c r="B339" s="1">
        <f>IFERROR(__xludf.DUMMYFUNCTION("""COMPUTED_VALUE"""),10374.0)</f>
        <v>10374</v>
      </c>
      <c r="C339" s="13" t="str">
        <f>IFERROR(__xludf.DUMMYFUNCTION("""COMPUTED_VALUE"""),"PRASETYA MF")</f>
        <v>PRASETYA MF</v>
      </c>
      <c r="D339" s="2" t="str">
        <f>IFERROR(__xludf.DUMMYFUNCTION("""COMPUTED_VALUE"""),"10KM OVERALL M")</f>
        <v>10KM OVERALL M</v>
      </c>
      <c r="E339" s="1">
        <f>IFERROR(__xludf.DUMMYFUNCTION("""COMPUTED_VALUE"""),286.0)</f>
        <v>286</v>
      </c>
      <c r="F339" s="1" t="str">
        <f>IFERROR(__xludf.DUMMYFUNCTION("""COMPUTED_VALUE"""),"Male")</f>
        <v>Male</v>
      </c>
      <c r="G339" s="5">
        <f>IFERROR(__xludf.DUMMYFUNCTION("""COMPUTED_VALUE"""),0.004787645833333333)</f>
        <v>0.004787645833</v>
      </c>
      <c r="H339" s="14">
        <f>IFERROR(__xludf.DUMMYFUNCTION("""COMPUTED_VALUE"""),0.24646185185185185)</f>
        <v>0.2464618519</v>
      </c>
      <c r="I339" s="15">
        <f>IFERROR(__xludf.DUMMYFUNCTION("""COMPUTED_VALUE"""),45949.29433831343)</f>
        <v>45949.29434</v>
      </c>
      <c r="J339" s="15">
        <f>IFERROR(__xludf.DUMMYFUNCTION("""COMPUTED_VALUE"""),45949.047876461584)</f>
        <v>45949.04788</v>
      </c>
      <c r="K339" s="15">
        <f>IFERROR(__xludf.DUMMYFUNCTION("""COMPUTED_VALUE"""),45949.257582239356)</f>
        <v>45949.25758</v>
      </c>
      <c r="L339" s="15">
        <f>IFERROR(__xludf.DUMMYFUNCTION("""COMPUTED_VALUE"""),45949.285964223986)</f>
        <v>45949.28596</v>
      </c>
    </row>
    <row r="340">
      <c r="A340" s="1">
        <f>IFERROR(__xludf.DUMMYFUNCTION("""COMPUTED_VALUE"""),339.0)</f>
        <v>339</v>
      </c>
      <c r="B340" s="1">
        <f>IFERROR(__xludf.DUMMYFUNCTION("""COMPUTED_VALUE"""),10178.0)</f>
        <v>10178</v>
      </c>
      <c r="C340" s="13" t="str">
        <f>IFERROR(__xludf.DUMMYFUNCTION("""COMPUTED_VALUE"""),"Randy Saputra")</f>
        <v>Randy Saputra</v>
      </c>
      <c r="D340" s="2" t="str">
        <f>IFERROR(__xludf.DUMMYFUNCTION("""COMPUTED_VALUE"""),"10KM OVERALL M")</f>
        <v>10KM OVERALL M</v>
      </c>
      <c r="E340" s="1">
        <f>IFERROR(__xludf.DUMMYFUNCTION("""COMPUTED_VALUE"""),287.0)</f>
        <v>287</v>
      </c>
      <c r="F340" s="1" t="str">
        <f>IFERROR(__xludf.DUMMYFUNCTION("""COMPUTED_VALUE"""),"Male")</f>
        <v>Male</v>
      </c>
      <c r="G340" s="5">
        <f>IFERROR(__xludf.DUMMYFUNCTION("""COMPUTED_VALUE"""),0.004791471064814815)</f>
        <v>0.004791471065</v>
      </c>
      <c r="H340" s="14">
        <f>IFERROR(__xludf.DUMMYFUNCTION("""COMPUTED_VALUE"""),0.24646185185185185)</f>
        <v>0.2464618519</v>
      </c>
      <c r="I340" s="15">
        <f>IFERROR(__xludf.DUMMYFUNCTION("""COMPUTED_VALUE"""),45949.29437656306)</f>
        <v>45949.29438</v>
      </c>
      <c r="J340" s="15">
        <f>IFERROR(__xludf.DUMMYFUNCTION("""COMPUTED_VALUE"""),45949.04791471121)</f>
        <v>45949.04791</v>
      </c>
      <c r="K340" s="15">
        <f>IFERROR(__xludf.DUMMYFUNCTION("""COMPUTED_VALUE"""),45949.257089255)</f>
        <v>45949.25709</v>
      </c>
      <c r="L340" s="15">
        <f>IFERROR(__xludf.DUMMYFUNCTION("""COMPUTED_VALUE"""),45949.28602671877)</f>
        <v>45949.28603</v>
      </c>
    </row>
    <row r="341">
      <c r="A341" s="1">
        <f>IFERROR(__xludf.DUMMYFUNCTION("""COMPUTED_VALUE"""),340.0)</f>
        <v>340</v>
      </c>
      <c r="B341" s="1">
        <f>IFERROR(__xludf.DUMMYFUNCTION("""COMPUTED_VALUE"""),10144.0)</f>
        <v>10144</v>
      </c>
      <c r="C341" s="13" t="str">
        <f>IFERROR(__xludf.DUMMYFUNCTION("""COMPUTED_VALUE"""),"M hapiji")</f>
        <v>M hapiji</v>
      </c>
      <c r="D341" s="2" t="str">
        <f>IFERROR(__xludf.DUMMYFUNCTION("""COMPUTED_VALUE"""),"10KM OVERALL M")</f>
        <v>10KM OVERALL M</v>
      </c>
      <c r="E341" s="1">
        <f>IFERROR(__xludf.DUMMYFUNCTION("""COMPUTED_VALUE"""),288.0)</f>
        <v>288</v>
      </c>
      <c r="F341" s="1" t="str">
        <f>IFERROR(__xludf.DUMMYFUNCTION("""COMPUTED_VALUE"""),"Male")</f>
        <v>Male</v>
      </c>
      <c r="G341" s="5">
        <f>IFERROR(__xludf.DUMMYFUNCTION("""COMPUTED_VALUE"""),0.00479528587962963)</f>
        <v>0.00479528588</v>
      </c>
      <c r="H341" s="14">
        <f>IFERROR(__xludf.DUMMYFUNCTION("""COMPUTED_VALUE"""),0.24646185185185185)</f>
        <v>0.2464618519</v>
      </c>
      <c r="I341" s="15">
        <f>IFERROR(__xludf.DUMMYFUNCTION("""COMPUTED_VALUE"""),45949.29441471528)</f>
        <v>45949.29441</v>
      </c>
      <c r="J341" s="15">
        <f>IFERROR(__xludf.DUMMYFUNCTION("""COMPUTED_VALUE"""),45949.04795286343)</f>
        <v>45949.04795</v>
      </c>
      <c r="K341" s="15">
        <f>IFERROR(__xludf.DUMMYFUNCTION("""COMPUTED_VALUE"""),45949.25717950306)</f>
        <v>45949.25718</v>
      </c>
      <c r="L341" s="15">
        <f>IFERROR(__xludf.DUMMYFUNCTION("""COMPUTED_VALUE"""),45949.285051033425)</f>
        <v>45949.28505</v>
      </c>
    </row>
    <row r="342">
      <c r="A342" s="1">
        <f>IFERROR(__xludf.DUMMYFUNCTION("""COMPUTED_VALUE"""),341.0)</f>
        <v>341</v>
      </c>
      <c r="B342" s="1">
        <f>IFERROR(__xludf.DUMMYFUNCTION("""COMPUTED_VALUE"""),10270.0)</f>
        <v>10270</v>
      </c>
      <c r="C342" s="13" t="str">
        <f>IFERROR(__xludf.DUMMYFUNCTION("""COMPUTED_VALUE"""),"wibowo")</f>
        <v>wibowo</v>
      </c>
      <c r="D342" s="2" t="str">
        <f>IFERROR(__xludf.DUMMYFUNCTION("""COMPUTED_VALUE"""),"10KM OVERALL M")</f>
        <v>10KM OVERALL M</v>
      </c>
      <c r="E342" s="1">
        <f>IFERROR(__xludf.DUMMYFUNCTION("""COMPUTED_VALUE"""),289.0)</f>
        <v>289</v>
      </c>
      <c r="F342" s="1" t="str">
        <f>IFERROR(__xludf.DUMMYFUNCTION("""COMPUTED_VALUE"""),"Male")</f>
        <v>Male</v>
      </c>
      <c r="G342" s="5">
        <f>IFERROR(__xludf.DUMMYFUNCTION("""COMPUTED_VALUE"""),0.004810568287037037)</f>
        <v>0.004810568287</v>
      </c>
      <c r="H342" s="14">
        <f>IFERROR(__xludf.DUMMYFUNCTION("""COMPUTED_VALUE"""),0.24646185185185185)</f>
        <v>0.2464618519</v>
      </c>
      <c r="I342" s="15">
        <f>IFERROR(__xludf.DUMMYFUNCTION("""COMPUTED_VALUE"""),45949.29456753584)</f>
        <v>45949.29457</v>
      </c>
      <c r="J342" s="15">
        <f>IFERROR(__xludf.DUMMYFUNCTION("""COMPUTED_VALUE"""),45949.04810568399)</f>
        <v>45949.04811</v>
      </c>
      <c r="K342" s="15">
        <f>IFERROR(__xludf.DUMMYFUNCTION("""COMPUTED_VALUE"""),45949.25796772483)</f>
        <v>45949.25797</v>
      </c>
      <c r="L342" s="15">
        <f>IFERROR(__xludf.DUMMYFUNCTION("""COMPUTED_VALUE"""),45949.28626282823)</f>
        <v>45949.28626</v>
      </c>
    </row>
    <row r="343">
      <c r="A343" s="1">
        <f>IFERROR(__xludf.DUMMYFUNCTION("""COMPUTED_VALUE"""),342.0)</f>
        <v>342</v>
      </c>
      <c r="B343" s="1">
        <f>IFERROR(__xludf.DUMMYFUNCTION("""COMPUTED_VALUE"""),10660.0)</f>
        <v>10660</v>
      </c>
      <c r="C343" s="13" t="str">
        <f>IFERROR(__xludf.DUMMYFUNCTION("""COMPUTED_VALUE"""),"Adenia")</f>
        <v>Adenia</v>
      </c>
      <c r="D343" s="2" t="str">
        <f>IFERROR(__xludf.DUMMYFUNCTION("""COMPUTED_VALUE"""),"10KM OVERALL F")</f>
        <v>10KM OVERALL F</v>
      </c>
      <c r="E343" s="1">
        <f>IFERROR(__xludf.DUMMYFUNCTION("""COMPUTED_VALUE"""),17.0)</f>
        <v>17</v>
      </c>
      <c r="F343" s="1" t="str">
        <f>IFERROR(__xludf.DUMMYFUNCTION("""COMPUTED_VALUE"""),"Female")</f>
        <v>Female</v>
      </c>
      <c r="G343" s="5">
        <f>IFERROR(__xludf.DUMMYFUNCTION("""COMPUTED_VALUE"""),0.004812305555555556)</f>
        <v>0.004812305556</v>
      </c>
      <c r="H343" s="14">
        <f>IFERROR(__xludf.DUMMYFUNCTION("""COMPUTED_VALUE"""),0.24646185185185185)</f>
        <v>0.2464618519</v>
      </c>
      <c r="I343" s="15">
        <f>IFERROR(__xludf.DUMMYFUNCTION("""COMPUTED_VALUE"""),45949.29458491007)</f>
        <v>45949.29458</v>
      </c>
      <c r="J343" s="15">
        <f>IFERROR(__xludf.DUMMYFUNCTION("""COMPUTED_VALUE"""),45949.04812305822)</f>
        <v>45949.04812</v>
      </c>
      <c r="K343" s="15">
        <f>IFERROR(__xludf.DUMMYFUNCTION("""COMPUTED_VALUE"""),45949.256474597416)</f>
        <v>45949.25647</v>
      </c>
      <c r="L343" s="15">
        <f>IFERROR(__xludf.DUMMYFUNCTION("""COMPUTED_VALUE"""),45949.28587395381)</f>
        <v>45949.28587</v>
      </c>
    </row>
    <row r="344">
      <c r="A344" s="1">
        <f>IFERROR(__xludf.DUMMYFUNCTION("""COMPUTED_VALUE"""),343.0)</f>
        <v>343</v>
      </c>
      <c r="B344" s="1">
        <f>IFERROR(__xludf.DUMMYFUNCTION("""COMPUTED_VALUE"""),10476.0)</f>
        <v>10476</v>
      </c>
      <c r="C344" s="13" t="str">
        <f>IFERROR(__xludf.DUMMYFUNCTION("""COMPUTED_VALUE"""),"RAFI")</f>
        <v>RAFI</v>
      </c>
      <c r="D344" s="2" t="str">
        <f>IFERROR(__xludf.DUMMYFUNCTION("""COMPUTED_VALUE"""),"10KM OVERALL M")</f>
        <v>10KM OVERALL M</v>
      </c>
      <c r="E344" s="1">
        <f>IFERROR(__xludf.DUMMYFUNCTION("""COMPUTED_VALUE"""),290.0)</f>
        <v>290</v>
      </c>
      <c r="F344" s="1" t="str">
        <f>IFERROR(__xludf.DUMMYFUNCTION("""COMPUTED_VALUE"""),"Male")</f>
        <v>Male</v>
      </c>
      <c r="G344" s="5">
        <f>IFERROR(__xludf.DUMMYFUNCTION("""COMPUTED_VALUE"""),0.004816124999999999)</f>
        <v>0.004816125</v>
      </c>
      <c r="H344" s="14">
        <f>IFERROR(__xludf.DUMMYFUNCTION("""COMPUTED_VALUE"""),0.24646185185185185)</f>
        <v>0.2464618519</v>
      </c>
      <c r="I344" s="15">
        <f>IFERROR(__xludf.DUMMYFUNCTION("""COMPUTED_VALUE"""),45949.29462309716)</f>
        <v>45949.29462</v>
      </c>
      <c r="J344" s="15">
        <f>IFERROR(__xludf.DUMMYFUNCTION("""COMPUTED_VALUE"""),45949.04816124531)</f>
        <v>45949.04816</v>
      </c>
      <c r="K344" s="15">
        <f>IFERROR(__xludf.DUMMYFUNCTION("""COMPUTED_VALUE"""),45949.25599196809)</f>
        <v>45949.25599</v>
      </c>
      <c r="L344" s="15">
        <f>IFERROR(__xludf.DUMMYFUNCTION("""COMPUTED_VALUE"""),45949.28592601823)</f>
        <v>45949.28593</v>
      </c>
    </row>
    <row r="345">
      <c r="A345" s="1">
        <f>IFERROR(__xludf.DUMMYFUNCTION("""COMPUTED_VALUE"""),344.0)</f>
        <v>344</v>
      </c>
      <c r="B345" s="1">
        <f>IFERROR(__xludf.DUMMYFUNCTION("""COMPUTED_VALUE"""),10437.0)</f>
        <v>10437</v>
      </c>
      <c r="C345" s="13" t="str">
        <f>IFERROR(__xludf.DUMMYFUNCTION("""COMPUTED_VALUE"""),"Fauzan R.")</f>
        <v>Fauzan R.</v>
      </c>
      <c r="D345" s="2" t="str">
        <f>IFERROR(__xludf.DUMMYFUNCTION("""COMPUTED_VALUE"""),"10KM OVERALL M")</f>
        <v>10KM OVERALL M</v>
      </c>
      <c r="E345" s="1">
        <f>IFERROR(__xludf.DUMMYFUNCTION("""COMPUTED_VALUE"""),291.0)</f>
        <v>291</v>
      </c>
      <c r="F345" s="1" t="str">
        <f>IFERROR(__xludf.DUMMYFUNCTION("""COMPUTED_VALUE"""),"Male")</f>
        <v>Male</v>
      </c>
      <c r="G345" s="5">
        <f>IFERROR(__xludf.DUMMYFUNCTION("""COMPUTED_VALUE"""),0.004818208333333333)</f>
        <v>0.004818208333</v>
      </c>
      <c r="H345" s="14">
        <f>IFERROR(__xludf.DUMMYFUNCTION("""COMPUTED_VALUE"""),0.24646185185185185)</f>
        <v>0.2464618519</v>
      </c>
      <c r="I345" s="15">
        <f>IFERROR(__xludf.DUMMYFUNCTION("""COMPUTED_VALUE"""),45949.294643930545)</f>
        <v>45949.29464</v>
      </c>
      <c r="J345" s="15">
        <f>IFERROR(__xludf.DUMMYFUNCTION("""COMPUTED_VALUE"""),45949.048182078695)</f>
        <v>45949.04818</v>
      </c>
      <c r="K345" s="15">
        <f>IFERROR(__xludf.DUMMYFUNCTION("""COMPUTED_VALUE"""),45949.25876285076)</f>
        <v>45949.25876</v>
      </c>
      <c r="L345" s="15">
        <f>IFERROR(__xludf.DUMMYFUNCTION("""COMPUTED_VALUE"""),45949.2865475824)</f>
        <v>45949.28655</v>
      </c>
    </row>
    <row r="346">
      <c r="A346" s="1">
        <f>IFERROR(__xludf.DUMMYFUNCTION("""COMPUTED_VALUE"""),345.0)</f>
        <v>345</v>
      </c>
      <c r="B346" s="1">
        <f>IFERROR(__xludf.DUMMYFUNCTION("""COMPUTED_VALUE"""),10452.0)</f>
        <v>10452</v>
      </c>
      <c r="C346" s="13" t="str">
        <f>IFERROR(__xludf.DUMMYFUNCTION("""COMPUTED_VALUE"""),"Aam")</f>
        <v>Aam</v>
      </c>
      <c r="D346" s="2" t="str">
        <f>IFERROR(__xludf.DUMMYFUNCTION("""COMPUTED_VALUE"""),"10KM OVERALL M")</f>
        <v>10KM OVERALL M</v>
      </c>
      <c r="E346" s="1">
        <f>IFERROR(__xludf.DUMMYFUNCTION("""COMPUTED_VALUE"""),292.0)</f>
        <v>292</v>
      </c>
      <c r="F346" s="1" t="str">
        <f>IFERROR(__xludf.DUMMYFUNCTION("""COMPUTED_VALUE"""),"Male")</f>
        <v>Male</v>
      </c>
      <c r="G346" s="5">
        <f>IFERROR(__xludf.DUMMYFUNCTION("""COMPUTED_VALUE"""),0.004827234953703703)</f>
        <v>0.004827234954</v>
      </c>
      <c r="H346" s="14">
        <f>IFERROR(__xludf.DUMMYFUNCTION("""COMPUTED_VALUE"""),0.24646185185185185)</f>
        <v>0.2464618519</v>
      </c>
      <c r="I346" s="15">
        <f>IFERROR(__xludf.DUMMYFUNCTION("""COMPUTED_VALUE"""),45949.294734199066)</f>
        <v>45949.29473</v>
      </c>
      <c r="J346" s="15">
        <f>IFERROR(__xludf.DUMMYFUNCTION("""COMPUTED_VALUE"""),45949.048272347216)</f>
        <v>45949.04827</v>
      </c>
      <c r="K346" s="15">
        <f>IFERROR(__xludf.DUMMYFUNCTION("""COMPUTED_VALUE"""),45949.2585822503)</f>
        <v>45949.25858</v>
      </c>
      <c r="L346" s="15">
        <f>IFERROR(__xludf.DUMMYFUNCTION("""COMPUTED_VALUE"""),45949.28764477228)</f>
        <v>45949.28764</v>
      </c>
    </row>
    <row r="347">
      <c r="A347" s="1">
        <f>IFERROR(__xludf.DUMMYFUNCTION("""COMPUTED_VALUE"""),346.0)</f>
        <v>346</v>
      </c>
      <c r="B347" s="1">
        <f>IFERROR(__xludf.DUMMYFUNCTION("""COMPUTED_VALUE"""),10121.0)</f>
        <v>10121</v>
      </c>
      <c r="C347" s="13" t="str">
        <f>IFERROR(__xludf.DUMMYFUNCTION("""COMPUTED_VALUE"""),"Hakiem")</f>
        <v>Hakiem</v>
      </c>
      <c r="D347" s="2" t="str">
        <f>IFERROR(__xludf.DUMMYFUNCTION("""COMPUTED_VALUE"""),"10KM OVERALL M")</f>
        <v>10KM OVERALL M</v>
      </c>
      <c r="E347" s="1">
        <f>IFERROR(__xludf.DUMMYFUNCTION("""COMPUTED_VALUE"""),293.0)</f>
        <v>293</v>
      </c>
      <c r="F347" s="1" t="str">
        <f>IFERROR(__xludf.DUMMYFUNCTION("""COMPUTED_VALUE"""),"Male")</f>
        <v>Male</v>
      </c>
      <c r="G347" s="5">
        <f>IFERROR(__xludf.DUMMYFUNCTION("""COMPUTED_VALUE"""),0.004828972222222222)</f>
        <v>0.004828972222</v>
      </c>
      <c r="H347" s="14">
        <f>IFERROR(__xludf.DUMMYFUNCTION("""COMPUTED_VALUE"""),0.24646185185185185)</f>
        <v>0.2464618519</v>
      </c>
      <c r="I347" s="15">
        <f>IFERROR(__xludf.DUMMYFUNCTION("""COMPUTED_VALUE"""),45949.294751572466)</f>
        <v>45949.29475</v>
      </c>
      <c r="J347" s="15">
        <f>IFERROR(__xludf.DUMMYFUNCTION("""COMPUTED_VALUE"""),45949.04828972062)</f>
        <v>45949.04829</v>
      </c>
      <c r="K347" s="15">
        <f>IFERROR(__xludf.DUMMYFUNCTION("""COMPUTED_VALUE"""),45949.257773282625)</f>
        <v>45949.25777</v>
      </c>
      <c r="L347" s="15">
        <f>IFERROR(__xludf.DUMMYFUNCTION("""COMPUTED_VALUE"""),45949.28632883506)</f>
        <v>45949.28633</v>
      </c>
    </row>
    <row r="348">
      <c r="A348" s="1">
        <f>IFERROR(__xludf.DUMMYFUNCTION("""COMPUTED_VALUE"""),347.0)</f>
        <v>347</v>
      </c>
      <c r="B348" s="1">
        <f>IFERROR(__xludf.DUMMYFUNCTION("""COMPUTED_VALUE"""),10058.0)</f>
        <v>10058</v>
      </c>
      <c r="C348" s="13" t="str">
        <f>IFERROR(__xludf.DUMMYFUNCTION("""COMPUTED_VALUE"""),"Fazrin Rizaldy")</f>
        <v>Fazrin Rizaldy</v>
      </c>
      <c r="D348" s="2" t="str">
        <f>IFERROR(__xludf.DUMMYFUNCTION("""COMPUTED_VALUE"""),"10KM OVERALL M")</f>
        <v>10KM OVERALL M</v>
      </c>
      <c r="E348" s="1">
        <f>IFERROR(__xludf.DUMMYFUNCTION("""COMPUTED_VALUE"""),294.0)</f>
        <v>294</v>
      </c>
      <c r="F348" s="1" t="str">
        <f>IFERROR(__xludf.DUMMYFUNCTION("""COMPUTED_VALUE"""),"Male")</f>
        <v>Male</v>
      </c>
      <c r="G348" s="5">
        <f>IFERROR(__xludf.DUMMYFUNCTION("""COMPUTED_VALUE"""),0.0048314016203703705)</f>
        <v>0.00483140162</v>
      </c>
      <c r="H348" s="14">
        <f>IFERROR(__xludf.DUMMYFUNCTION("""COMPUTED_VALUE"""),0.24646185185185185)</f>
        <v>0.2464618519</v>
      </c>
      <c r="I348" s="15">
        <f>IFERROR(__xludf.DUMMYFUNCTION("""COMPUTED_VALUE"""),45949.29477586494)</f>
        <v>45949.29478</v>
      </c>
      <c r="J348" s="15">
        <f>IFERROR(__xludf.DUMMYFUNCTION("""COMPUTED_VALUE"""),45949.04831401309)</f>
        <v>45949.04831</v>
      </c>
      <c r="K348" s="15">
        <f>IFERROR(__xludf.DUMMYFUNCTION("""COMPUTED_VALUE"""),45949.256353155724)</f>
        <v>45949.25635</v>
      </c>
      <c r="L348" s="15">
        <f>IFERROR(__xludf.DUMMYFUNCTION("""COMPUTED_VALUE"""),45949.286235045096)</f>
        <v>45949.28624</v>
      </c>
    </row>
    <row r="349">
      <c r="A349" s="1">
        <f>IFERROR(__xludf.DUMMYFUNCTION("""COMPUTED_VALUE"""),348.0)</f>
        <v>348</v>
      </c>
      <c r="B349" s="1">
        <f>IFERROR(__xludf.DUMMYFUNCTION("""COMPUTED_VALUE"""),12070.0)</f>
        <v>12070</v>
      </c>
      <c r="C349" s="13" t="str">
        <f>IFERROR(__xludf.DUMMYFUNCTION("""COMPUTED_VALUE"""),"BONDAN KU")</f>
        <v>BONDAN KU</v>
      </c>
      <c r="D349" s="2" t="str">
        <f>IFERROR(__xludf.DUMMYFUNCTION("""COMPUTED_VALUE"""),"10KM MASTER M")</f>
        <v>10KM MASTER M</v>
      </c>
      <c r="E349" s="1">
        <f>IFERROR(__xludf.DUMMYFUNCTION("""COMPUTED_VALUE"""),32.0)</f>
        <v>32</v>
      </c>
      <c r="F349" s="1" t="str">
        <f>IFERROR(__xludf.DUMMYFUNCTION("""COMPUTED_VALUE"""),"Male")</f>
        <v>Male</v>
      </c>
      <c r="G349" s="5">
        <f>IFERROR(__xludf.DUMMYFUNCTION("""COMPUTED_VALUE"""),0.004832443287037037)</f>
        <v>0.004832443287</v>
      </c>
      <c r="H349" s="14">
        <f>IFERROR(__xludf.DUMMYFUNCTION("""COMPUTED_VALUE"""),0.24646185185185185)</f>
        <v>0.2464618519</v>
      </c>
      <c r="I349" s="15">
        <f>IFERROR(__xludf.DUMMYFUNCTION("""COMPUTED_VALUE"""),45949.294786286046)</f>
        <v>45949.29479</v>
      </c>
      <c r="J349" s="15">
        <f>IFERROR(__xludf.DUMMYFUNCTION("""COMPUTED_VALUE"""),45949.048324434196)</f>
        <v>45949.04832</v>
      </c>
      <c r="K349" s="15">
        <f>IFERROR(__xludf.DUMMYFUNCTION("""COMPUTED_VALUE"""),45949.25682188974)</f>
        <v>45949.25682</v>
      </c>
      <c r="L349" s="15">
        <f>IFERROR(__xludf.DUMMYFUNCTION("""COMPUTED_VALUE"""),45949.28573159411)</f>
        <v>45949.28573</v>
      </c>
    </row>
    <row r="350">
      <c r="A350" s="1">
        <f>IFERROR(__xludf.DUMMYFUNCTION("""COMPUTED_VALUE"""),349.0)</f>
        <v>349</v>
      </c>
      <c r="B350" s="1">
        <f>IFERROR(__xludf.DUMMYFUNCTION("""COMPUTED_VALUE"""),12074.0)</f>
        <v>12074</v>
      </c>
      <c r="C350" s="13" t="str">
        <f>IFERROR(__xludf.DUMMYFUNCTION("""COMPUTED_VALUE"""),"Doddy Indrawan")</f>
        <v>Doddy Indrawan</v>
      </c>
      <c r="D350" s="2" t="str">
        <f>IFERROR(__xludf.DUMMYFUNCTION("""COMPUTED_VALUE"""),"10KM MASTER M")</f>
        <v>10KM MASTER M</v>
      </c>
      <c r="E350" s="1">
        <f>IFERROR(__xludf.DUMMYFUNCTION("""COMPUTED_VALUE"""),33.0)</f>
        <v>33</v>
      </c>
      <c r="F350" s="1" t="str">
        <f>IFERROR(__xludf.DUMMYFUNCTION("""COMPUTED_VALUE"""),"Male")</f>
        <v>Male</v>
      </c>
      <c r="G350" s="5">
        <f>IFERROR(__xludf.DUMMYFUNCTION("""COMPUTED_VALUE"""),0.0048334861111111104)</f>
        <v>0.004833486111</v>
      </c>
      <c r="H350" s="14">
        <f>IFERROR(__xludf.DUMMYFUNCTION("""COMPUTED_VALUE"""),0.24646185185185185)</f>
        <v>0.2464618519</v>
      </c>
      <c r="I350" s="15">
        <f>IFERROR(__xludf.DUMMYFUNCTION("""COMPUTED_VALUE"""),45949.294796707596)</f>
        <v>45949.2948</v>
      </c>
      <c r="J350" s="15">
        <f>IFERROR(__xludf.DUMMYFUNCTION("""COMPUTED_VALUE"""),45949.048334855746)</f>
        <v>45949.04833</v>
      </c>
      <c r="K350" s="15">
        <f>IFERROR(__xludf.DUMMYFUNCTION("""COMPUTED_VALUE"""),45949.25922465861)</f>
        <v>45949.25922</v>
      </c>
      <c r="L350" s="15">
        <f>IFERROR(__xludf.DUMMYFUNCTION("""COMPUTED_VALUE"""),45949.28726978055)</f>
        <v>45949.28727</v>
      </c>
    </row>
    <row r="351">
      <c r="A351" s="1">
        <f>IFERROR(__xludf.DUMMYFUNCTION("""COMPUTED_VALUE"""),350.0)</f>
        <v>350</v>
      </c>
      <c r="B351" s="1">
        <f>IFERROR(__xludf.DUMMYFUNCTION("""COMPUTED_VALUE"""),10444.0)</f>
        <v>10444</v>
      </c>
      <c r="C351" s="13" t="str">
        <f>IFERROR(__xludf.DUMMYFUNCTION("""COMPUTED_VALUE"""),"MUHAMMAD RANGGA F")</f>
        <v>MUHAMMAD RANGGA F</v>
      </c>
      <c r="D351" s="2" t="str">
        <f>IFERROR(__xludf.DUMMYFUNCTION("""COMPUTED_VALUE"""),"10KM OVERALL M")</f>
        <v>10KM OVERALL M</v>
      </c>
      <c r="E351" s="1">
        <f>IFERROR(__xludf.DUMMYFUNCTION("""COMPUTED_VALUE"""),295.0)</f>
        <v>295</v>
      </c>
      <c r="F351" s="1" t="str">
        <f>IFERROR(__xludf.DUMMYFUNCTION("""COMPUTED_VALUE"""),"Male")</f>
        <v>Male</v>
      </c>
      <c r="G351" s="5">
        <f>IFERROR(__xludf.DUMMYFUNCTION("""COMPUTED_VALUE"""),0.0048342141203703715)</f>
        <v>0.00483421412</v>
      </c>
      <c r="H351" s="14">
        <f>IFERROR(__xludf.DUMMYFUNCTION("""COMPUTED_VALUE"""),0.24646185185185185)</f>
        <v>0.2464618519</v>
      </c>
      <c r="I351" s="15">
        <f>IFERROR(__xludf.DUMMYFUNCTION("""COMPUTED_VALUE"""),45949.294803994024)</f>
        <v>45949.2948</v>
      </c>
      <c r="J351" s="15">
        <f>IFERROR(__xludf.DUMMYFUNCTION("""COMPUTED_VALUE"""),45949.048342142174)</f>
        <v>45949.04834</v>
      </c>
      <c r="K351" s="15">
        <f>IFERROR(__xludf.DUMMYFUNCTION("""COMPUTED_VALUE"""),45949.257728131364)</f>
        <v>45949.25773</v>
      </c>
      <c r="L351" s="15">
        <f>IFERROR(__xludf.DUMMYFUNCTION("""COMPUTED_VALUE"""),45949.28687741444)</f>
        <v>45949.28688</v>
      </c>
    </row>
    <row r="352">
      <c r="A352" s="1">
        <f>IFERROR(__xludf.DUMMYFUNCTION("""COMPUTED_VALUE"""),351.0)</f>
        <v>351</v>
      </c>
      <c r="B352" s="1">
        <f>IFERROR(__xludf.DUMMYFUNCTION("""COMPUTED_VALUE"""),10012.0)</f>
        <v>10012</v>
      </c>
      <c r="C352" s="13" t="str">
        <f>IFERROR(__xludf.DUMMYFUNCTION("""COMPUTED_VALUE"""),"Shuri")</f>
        <v>Shuri</v>
      </c>
      <c r="D352" s="2" t="str">
        <f>IFERROR(__xludf.DUMMYFUNCTION("""COMPUTED_VALUE"""),"10KM OVERALL M")</f>
        <v>10KM OVERALL M</v>
      </c>
      <c r="E352" s="1">
        <f>IFERROR(__xludf.DUMMYFUNCTION("""COMPUTED_VALUE"""),296.0)</f>
        <v>296</v>
      </c>
      <c r="F352" s="1" t="str">
        <f>IFERROR(__xludf.DUMMYFUNCTION("""COMPUTED_VALUE"""),"Male")</f>
        <v>Male</v>
      </c>
      <c r="G352" s="5">
        <f>IFERROR(__xludf.DUMMYFUNCTION("""COMPUTED_VALUE"""),0.004835222222222222)</f>
        <v>0.004835222222</v>
      </c>
      <c r="H352" s="14">
        <f>IFERROR(__xludf.DUMMYFUNCTION("""COMPUTED_VALUE"""),0.24646185185185185)</f>
        <v>0.2464618519</v>
      </c>
      <c r="I352" s="15">
        <f>IFERROR(__xludf.DUMMYFUNCTION("""COMPUTED_VALUE"""),45949.29481407624)</f>
        <v>45949.29481</v>
      </c>
      <c r="J352" s="15">
        <f>IFERROR(__xludf.DUMMYFUNCTION("""COMPUTED_VALUE"""),45949.04835222439)</f>
        <v>45949.04835</v>
      </c>
      <c r="K352" s="15">
        <f>IFERROR(__xludf.DUMMYFUNCTION("""COMPUTED_VALUE"""),45949.258252388405)</f>
        <v>45949.25825</v>
      </c>
      <c r="L352" s="15">
        <f>IFERROR(__xludf.DUMMYFUNCTION("""COMPUTED_VALUE"""),45949.285620518305)</f>
        <v>45949.28562</v>
      </c>
    </row>
    <row r="353">
      <c r="A353" s="1">
        <f>IFERROR(__xludf.DUMMYFUNCTION("""COMPUTED_VALUE"""),352.0)</f>
        <v>352</v>
      </c>
      <c r="B353" s="1">
        <f>IFERROR(__xludf.DUMMYFUNCTION("""COMPUTED_VALUE"""),10777.0)</f>
        <v>10777</v>
      </c>
      <c r="C353" s="13" t="str">
        <f>IFERROR(__xludf.DUMMYFUNCTION("""COMPUTED_VALUE"""),"NIAM")</f>
        <v>NIAM</v>
      </c>
      <c r="D353" s="2" t="str">
        <f>IFERROR(__xludf.DUMMYFUNCTION("""COMPUTED_VALUE"""),"10KM OVERALL M")</f>
        <v>10KM OVERALL M</v>
      </c>
      <c r="E353" s="1">
        <f>IFERROR(__xludf.DUMMYFUNCTION("""COMPUTED_VALUE"""),297.0)</f>
        <v>297</v>
      </c>
      <c r="F353" s="1" t="str">
        <f>IFERROR(__xludf.DUMMYFUNCTION("""COMPUTED_VALUE"""),"Female")</f>
        <v>Female</v>
      </c>
      <c r="G353" s="5">
        <f>IFERROR(__xludf.DUMMYFUNCTION("""COMPUTED_VALUE"""),0.004836958333333333)</f>
        <v>0.004836958333</v>
      </c>
      <c r="H353" s="14">
        <f>IFERROR(__xludf.DUMMYFUNCTION("""COMPUTED_VALUE"""),0.24646185185185185)</f>
        <v>0.2464618519</v>
      </c>
      <c r="I353" s="15">
        <f>IFERROR(__xludf.DUMMYFUNCTION("""COMPUTED_VALUE"""),45949.29483143807)</f>
        <v>45949.29483</v>
      </c>
      <c r="J353" s="15">
        <f>IFERROR(__xludf.DUMMYFUNCTION("""COMPUTED_VALUE"""),45949.04836958622)</f>
        <v>45949.04837</v>
      </c>
      <c r="K353" s="15">
        <f>IFERROR(__xludf.DUMMYFUNCTION("""COMPUTED_VALUE"""),45949.25732182482)</f>
        <v>45949.25732</v>
      </c>
      <c r="L353" s="15">
        <f>IFERROR(__xludf.DUMMYFUNCTION("""COMPUTED_VALUE"""),45949.28611351749)</f>
        <v>45949.28611</v>
      </c>
    </row>
    <row r="354">
      <c r="A354" s="1">
        <f>IFERROR(__xludf.DUMMYFUNCTION("""COMPUTED_VALUE"""),353.0)</f>
        <v>353</v>
      </c>
      <c r="B354" s="1">
        <f>IFERROR(__xludf.DUMMYFUNCTION("""COMPUTED_VALUE"""),10336.0)</f>
        <v>10336</v>
      </c>
      <c r="C354" s="13" t="str">
        <f>IFERROR(__xludf.DUMMYFUNCTION("""COMPUTED_VALUE"""),"maulidah")</f>
        <v>maulidah</v>
      </c>
      <c r="D354" s="2" t="str">
        <f>IFERROR(__xludf.DUMMYFUNCTION("""COMPUTED_VALUE"""),"10KM OVERALL F")</f>
        <v>10KM OVERALL F</v>
      </c>
      <c r="E354" s="1">
        <f>IFERROR(__xludf.DUMMYFUNCTION("""COMPUTED_VALUE"""),18.0)</f>
        <v>18</v>
      </c>
      <c r="F354" s="1" t="str">
        <f>IFERROR(__xludf.DUMMYFUNCTION("""COMPUTED_VALUE"""),"Female")</f>
        <v>Female</v>
      </c>
      <c r="G354" s="5">
        <f>IFERROR(__xludf.DUMMYFUNCTION("""COMPUTED_VALUE"""),0.004854364583333334)</f>
        <v>0.004854364583</v>
      </c>
      <c r="H354" s="14">
        <f>IFERROR(__xludf.DUMMYFUNCTION("""COMPUTED_VALUE"""),0.24646185185185185)</f>
        <v>0.2464618519</v>
      </c>
      <c r="I354" s="15">
        <f>IFERROR(__xludf.DUMMYFUNCTION("""COMPUTED_VALUE"""),45949.295005497814)</f>
        <v>45949.29501</v>
      </c>
      <c r="J354" s="15">
        <f>IFERROR(__xludf.DUMMYFUNCTION("""COMPUTED_VALUE"""),45949.048543645964)</f>
        <v>45949.04854</v>
      </c>
      <c r="K354" s="15">
        <f>IFERROR(__xludf.DUMMYFUNCTION("""COMPUTED_VALUE"""),45949.257346131075)</f>
        <v>45949.25735</v>
      </c>
      <c r="L354" s="15">
        <f>IFERROR(__xludf.DUMMYFUNCTION("""COMPUTED_VALUE"""),45949.28598504679)</f>
        <v>45949.28599</v>
      </c>
    </row>
    <row r="355">
      <c r="A355" s="1">
        <f>IFERROR(__xludf.DUMMYFUNCTION("""COMPUTED_VALUE"""),354.0)</f>
        <v>354</v>
      </c>
      <c r="B355" s="1">
        <f>IFERROR(__xludf.DUMMYFUNCTION("""COMPUTED_VALUE"""),10031.0)</f>
        <v>10031</v>
      </c>
      <c r="C355" s="13" t="str">
        <f>IFERROR(__xludf.DUMMYFUNCTION("""COMPUTED_VALUE"""),"Fathan")</f>
        <v>Fathan</v>
      </c>
      <c r="D355" s="2" t="str">
        <f>IFERROR(__xludf.DUMMYFUNCTION("""COMPUTED_VALUE"""),"10KM OVERALL M")</f>
        <v>10KM OVERALL M</v>
      </c>
      <c r="E355" s="1">
        <f>IFERROR(__xludf.DUMMYFUNCTION("""COMPUTED_VALUE"""),298.0)</f>
        <v>298</v>
      </c>
      <c r="F355" s="1" t="str">
        <f>IFERROR(__xludf.DUMMYFUNCTION("""COMPUTED_VALUE"""),"Male")</f>
        <v>Male</v>
      </c>
      <c r="G355" s="5">
        <f>IFERROR(__xludf.DUMMYFUNCTION("""COMPUTED_VALUE"""),0.004858137731481481)</f>
        <v>0.004858137731</v>
      </c>
      <c r="H355" s="14">
        <f>IFERROR(__xludf.DUMMYFUNCTION("""COMPUTED_VALUE"""),0.24646185185185185)</f>
        <v>0.2464618519</v>
      </c>
      <c r="I355" s="15">
        <f>IFERROR(__xludf.DUMMYFUNCTION("""COMPUTED_VALUE"""),45949.295043227736)</f>
        <v>45949.29504</v>
      </c>
      <c r="J355" s="15">
        <f>IFERROR(__xludf.DUMMYFUNCTION("""COMPUTED_VALUE"""),45949.048581375886)</f>
        <v>45949.04858</v>
      </c>
      <c r="K355" s="15">
        <f>IFERROR(__xludf.DUMMYFUNCTION("""COMPUTED_VALUE"""),45949.2576030792)</f>
        <v>45949.2576</v>
      </c>
      <c r="L355" s="15">
        <f>IFERROR(__xludf.DUMMYFUNCTION("""COMPUTED_VALUE"""),45949.28634623077)</f>
        <v>45949.28635</v>
      </c>
    </row>
    <row r="356">
      <c r="A356" s="1">
        <f>IFERROR(__xludf.DUMMYFUNCTION("""COMPUTED_VALUE"""),355.0)</f>
        <v>355</v>
      </c>
      <c r="B356" s="1">
        <f>IFERROR(__xludf.DUMMYFUNCTION("""COMPUTED_VALUE"""),10745.0)</f>
        <v>10745</v>
      </c>
      <c r="C356" s="13" t="str">
        <f>IFERROR(__xludf.DUMMYFUNCTION("""COMPUTED_VALUE"""),"HASRUDIN")</f>
        <v>HASRUDIN</v>
      </c>
      <c r="D356" s="2" t="str">
        <f>IFERROR(__xludf.DUMMYFUNCTION("""COMPUTED_VALUE"""),"10KM OVERALL M")</f>
        <v>10KM OVERALL M</v>
      </c>
      <c r="E356" s="1">
        <f>IFERROR(__xludf.DUMMYFUNCTION("""COMPUTED_VALUE"""),299.0)</f>
        <v>299</v>
      </c>
      <c r="F356" s="1" t="str">
        <f>IFERROR(__xludf.DUMMYFUNCTION("""COMPUTED_VALUE"""),"Male")</f>
        <v>Male</v>
      </c>
      <c r="G356" s="5">
        <f>IFERROR(__xludf.DUMMYFUNCTION("""COMPUTED_VALUE"""),0.004858832175925925)</f>
        <v>0.004858832176</v>
      </c>
      <c r="H356" s="14">
        <f>IFERROR(__xludf.DUMMYFUNCTION("""COMPUTED_VALUE"""),0.24646185185185185)</f>
        <v>0.2464618519</v>
      </c>
      <c r="I356" s="15">
        <f>IFERROR(__xludf.DUMMYFUNCTION("""COMPUTED_VALUE"""),45949.295050176515)</f>
        <v>45949.29505</v>
      </c>
      <c r="J356" s="15">
        <f>IFERROR(__xludf.DUMMYFUNCTION("""COMPUTED_VALUE"""),45949.048588324666)</f>
        <v>45949.04859</v>
      </c>
      <c r="K356" s="15">
        <f>IFERROR(__xludf.DUMMYFUNCTION("""COMPUTED_VALUE"""),45949.25665515699)</f>
        <v>45949.25666</v>
      </c>
      <c r="L356" s="15">
        <f>IFERROR(__xludf.DUMMYFUNCTION("""COMPUTED_VALUE"""),45949.28626282823)</f>
        <v>45949.28626</v>
      </c>
    </row>
    <row r="357">
      <c r="A357" s="1">
        <f>IFERROR(__xludf.DUMMYFUNCTION("""COMPUTED_VALUE"""),356.0)</f>
        <v>356</v>
      </c>
      <c r="B357" s="1">
        <f>IFERROR(__xludf.DUMMYFUNCTION("""COMPUTED_VALUE"""),10027.0)</f>
        <v>10027</v>
      </c>
      <c r="C357" s="13" t="str">
        <f>IFERROR(__xludf.DUMMYFUNCTION("""COMPUTED_VALUE"""),"Barkah Muhammad")</f>
        <v>Barkah Muhammad</v>
      </c>
      <c r="D357" s="2" t="str">
        <f>IFERROR(__xludf.DUMMYFUNCTION("""COMPUTED_VALUE"""),"10KM OVERALL M")</f>
        <v>10KM OVERALL M</v>
      </c>
      <c r="E357" s="1">
        <f>IFERROR(__xludf.DUMMYFUNCTION("""COMPUTED_VALUE"""),300.0)</f>
        <v>300</v>
      </c>
      <c r="F357" s="1" t="str">
        <f>IFERROR(__xludf.DUMMYFUNCTION("""COMPUTED_VALUE"""),"Male")</f>
        <v>Male</v>
      </c>
      <c r="G357" s="5">
        <f>IFERROR(__xludf.DUMMYFUNCTION("""COMPUTED_VALUE"""),0.004860568287037037)</f>
        <v>0.004860568287</v>
      </c>
      <c r="H357" s="14">
        <f>IFERROR(__xludf.DUMMYFUNCTION("""COMPUTED_VALUE"""),0.24646185185185185)</f>
        <v>0.2464618519</v>
      </c>
      <c r="I357" s="15">
        <f>IFERROR(__xludf.DUMMYFUNCTION("""COMPUTED_VALUE"""),45949.295067534724)</f>
        <v>45949.29507</v>
      </c>
      <c r="J357" s="15">
        <f>IFERROR(__xludf.DUMMYFUNCTION("""COMPUTED_VALUE"""),45949.048605682874)</f>
        <v>45949.04861</v>
      </c>
      <c r="K357" s="15">
        <f>IFERROR(__xludf.DUMMYFUNCTION("""COMPUTED_VALUE"""),45949.25811007784)</f>
        <v>45949.25811</v>
      </c>
      <c r="L357" s="15">
        <f>IFERROR(__xludf.DUMMYFUNCTION("""COMPUTED_VALUE"""),45949.287162148685)</f>
        <v>45949.28716</v>
      </c>
    </row>
    <row r="358">
      <c r="A358" s="1">
        <f>IFERROR(__xludf.DUMMYFUNCTION("""COMPUTED_VALUE"""),357.0)</f>
        <v>357</v>
      </c>
      <c r="B358" s="1">
        <f>IFERROR(__xludf.DUMMYFUNCTION("""COMPUTED_VALUE"""),10556.0)</f>
        <v>10556</v>
      </c>
      <c r="C358" s="13" t="str">
        <f>IFERROR(__xludf.DUMMYFUNCTION("""COMPUTED_VALUE"""),"Xilhamsyah")</f>
        <v>Xilhamsyah</v>
      </c>
      <c r="D358" s="2" t="str">
        <f>IFERROR(__xludf.DUMMYFUNCTION("""COMPUTED_VALUE"""),"10KM OVERALL M")</f>
        <v>10KM OVERALL M</v>
      </c>
      <c r="E358" s="1">
        <f>IFERROR(__xludf.DUMMYFUNCTION("""COMPUTED_VALUE"""),301.0)</f>
        <v>301</v>
      </c>
      <c r="F358" s="1" t="str">
        <f>IFERROR(__xludf.DUMMYFUNCTION("""COMPUTED_VALUE"""),"Male")</f>
        <v>Male</v>
      </c>
      <c r="G358" s="5">
        <f>IFERROR(__xludf.DUMMYFUNCTION("""COMPUTED_VALUE"""),0.0048720266203703694)</f>
        <v>0.00487202662</v>
      </c>
      <c r="H358" s="14">
        <f>IFERROR(__xludf.DUMMYFUNCTION("""COMPUTED_VALUE"""),0.24646185185185185)</f>
        <v>0.2464618519</v>
      </c>
      <c r="I358" s="15">
        <f>IFERROR(__xludf.DUMMYFUNCTION("""COMPUTED_VALUE"""),45949.295182118534)</f>
        <v>45949.29518</v>
      </c>
      <c r="J358" s="15">
        <f>IFERROR(__xludf.DUMMYFUNCTION("""COMPUTED_VALUE"""),45949.048720266685)</f>
        <v>45949.04872</v>
      </c>
      <c r="K358" s="15">
        <f>IFERROR(__xludf.DUMMYFUNCTION("""COMPUTED_VALUE"""),45949.255891323235)</f>
        <v>45949.25589</v>
      </c>
      <c r="L358" s="15">
        <f>IFERROR(__xludf.DUMMYFUNCTION("""COMPUTED_VALUE"""),45949.28603714196)</f>
        <v>45949.28604</v>
      </c>
    </row>
    <row r="359">
      <c r="A359" s="1">
        <f>IFERROR(__xludf.DUMMYFUNCTION("""COMPUTED_VALUE"""),358.0)</f>
        <v>358</v>
      </c>
      <c r="B359" s="1">
        <f>IFERROR(__xludf.DUMMYFUNCTION("""COMPUTED_VALUE"""),10277.0)</f>
        <v>10277</v>
      </c>
      <c r="C359" s="13" t="str">
        <f>IFERROR(__xludf.DUMMYFUNCTION("""COMPUTED_VALUE"""),"frans")</f>
        <v>frans</v>
      </c>
      <c r="D359" s="2" t="str">
        <f>IFERROR(__xludf.DUMMYFUNCTION("""COMPUTED_VALUE"""),"10KM OVERALL M")</f>
        <v>10KM OVERALL M</v>
      </c>
      <c r="E359" s="1">
        <f>IFERROR(__xludf.DUMMYFUNCTION("""COMPUTED_VALUE"""),302.0)</f>
        <v>302</v>
      </c>
      <c r="F359" s="1" t="str">
        <f>IFERROR(__xludf.DUMMYFUNCTION("""COMPUTED_VALUE"""),"Male")</f>
        <v>Male</v>
      </c>
      <c r="G359" s="5">
        <f>IFERROR(__xludf.DUMMYFUNCTION("""COMPUTED_VALUE"""),0.004880012731481482)</f>
        <v>0.004880012731</v>
      </c>
      <c r="H359" s="14">
        <f>IFERROR(__xludf.DUMMYFUNCTION("""COMPUTED_VALUE"""),0.24646185185185185)</f>
        <v>0.2464618519</v>
      </c>
      <c r="I359" s="15">
        <f>IFERROR(__xludf.DUMMYFUNCTION("""COMPUTED_VALUE"""),45949.295261981715)</f>
        <v>45949.29526</v>
      </c>
      <c r="J359" s="15">
        <f>IFERROR(__xludf.DUMMYFUNCTION("""COMPUTED_VALUE"""),45949.048800129865)</f>
        <v>45949.0488</v>
      </c>
      <c r="K359" s="15">
        <f>IFERROR(__xludf.DUMMYFUNCTION("""COMPUTED_VALUE"""),45949.25884612791)</f>
        <v>45949.25885</v>
      </c>
      <c r="L359" s="15">
        <f>IFERROR(__xludf.DUMMYFUNCTION("""COMPUTED_VALUE"""),45949.28667603506)</f>
        <v>45949.28668</v>
      </c>
    </row>
    <row r="360">
      <c r="A360" s="1">
        <f>IFERROR(__xludf.DUMMYFUNCTION("""COMPUTED_VALUE"""),359.0)</f>
        <v>359</v>
      </c>
      <c r="B360" s="1">
        <f>IFERROR(__xludf.DUMMYFUNCTION("""COMPUTED_VALUE"""),10099.0)</f>
        <v>10099</v>
      </c>
      <c r="C360" s="13" t="str">
        <f>IFERROR(__xludf.DUMMYFUNCTION("""COMPUTED_VALUE"""),"among09")</f>
        <v>among09</v>
      </c>
      <c r="D360" s="2" t="str">
        <f>IFERROR(__xludf.DUMMYFUNCTION("""COMPUTED_VALUE"""),"10KM OVERALL M")</f>
        <v>10KM OVERALL M</v>
      </c>
      <c r="E360" s="1">
        <f>IFERROR(__xludf.DUMMYFUNCTION("""COMPUTED_VALUE"""),303.0)</f>
        <v>303</v>
      </c>
      <c r="F360" s="1" t="str">
        <f>IFERROR(__xludf.DUMMYFUNCTION("""COMPUTED_VALUE"""),"Male")</f>
        <v>Male</v>
      </c>
      <c r="G360" s="5">
        <f>IFERROR(__xludf.DUMMYFUNCTION("""COMPUTED_VALUE"""),0.0048852210648148145)</f>
        <v>0.004885221065</v>
      </c>
      <c r="H360" s="14">
        <f>IFERROR(__xludf.DUMMYFUNCTION("""COMPUTED_VALUE"""),0.24646185185185185)</f>
        <v>0.2464618519</v>
      </c>
      <c r="I360" s="15">
        <f>IFERROR(__xludf.DUMMYFUNCTION("""COMPUTED_VALUE"""),45949.29531406423)</f>
        <v>45949.29531</v>
      </c>
      <c r="J360" s="15">
        <f>IFERROR(__xludf.DUMMYFUNCTION("""COMPUTED_VALUE"""),45949.04885221238)</f>
        <v>45949.04885</v>
      </c>
      <c r="K360" s="15">
        <f>IFERROR(__xludf.DUMMYFUNCTION("""COMPUTED_VALUE"""),45949.25786003351)</f>
        <v>45949.25786</v>
      </c>
      <c r="L360" s="15">
        <f>IFERROR(__xludf.DUMMYFUNCTION("""COMPUTED_VALUE"""),45949.28703366349)</f>
        <v>45949.28703</v>
      </c>
    </row>
    <row r="361">
      <c r="A361" s="1">
        <f>IFERROR(__xludf.DUMMYFUNCTION("""COMPUTED_VALUE"""),360.0)</f>
        <v>360</v>
      </c>
      <c r="B361" s="1">
        <f>IFERROR(__xludf.DUMMYFUNCTION("""COMPUTED_VALUE"""),10508.0)</f>
        <v>10508</v>
      </c>
      <c r="C361" s="13" t="str">
        <f>IFERROR(__xludf.DUMMYFUNCTION("""COMPUTED_VALUE"""),"ZAIN REYHAN")</f>
        <v>ZAIN REYHAN</v>
      </c>
      <c r="D361" s="2" t="str">
        <f>IFERROR(__xludf.DUMMYFUNCTION("""COMPUTED_VALUE"""),"10KM OVERALL M")</f>
        <v>10KM OVERALL M</v>
      </c>
      <c r="E361" s="1">
        <f>IFERROR(__xludf.DUMMYFUNCTION("""COMPUTED_VALUE"""),304.0)</f>
        <v>304</v>
      </c>
      <c r="F361" s="1" t="str">
        <f>IFERROR(__xludf.DUMMYFUNCTION("""COMPUTED_VALUE"""),"Male")</f>
        <v>Male</v>
      </c>
      <c r="G361" s="5">
        <f>IFERROR(__xludf.DUMMYFUNCTION("""COMPUTED_VALUE"""),0.004886258101851852)</f>
        <v>0.004886258102</v>
      </c>
      <c r="H361" s="14">
        <f>IFERROR(__xludf.DUMMYFUNCTION("""COMPUTED_VALUE"""),0.24646185185185185)</f>
        <v>0.2464618519</v>
      </c>
      <c r="I361" s="15">
        <f>IFERROR(__xludf.DUMMYFUNCTION("""COMPUTED_VALUE"""),45949.29532442775)</f>
        <v>45949.29532</v>
      </c>
      <c r="J361" s="15">
        <f>IFERROR(__xludf.DUMMYFUNCTION("""COMPUTED_VALUE"""),45949.0488625759)</f>
        <v>45949.04886</v>
      </c>
      <c r="K361" s="15">
        <f>IFERROR(__xludf.DUMMYFUNCTION("""COMPUTED_VALUE"""),45949.25788433596)</f>
        <v>45949.25788</v>
      </c>
      <c r="L361" s="15">
        <f>IFERROR(__xludf.DUMMYFUNCTION("""COMPUTED_VALUE"""),45949.28684269862)</f>
        <v>45949.28684</v>
      </c>
    </row>
    <row r="362">
      <c r="A362" s="1">
        <f>IFERROR(__xludf.DUMMYFUNCTION("""COMPUTED_VALUE"""),361.0)</f>
        <v>361</v>
      </c>
      <c r="B362" s="1">
        <f>IFERROR(__xludf.DUMMYFUNCTION("""COMPUTED_VALUE"""),10637.0)</f>
        <v>10637</v>
      </c>
      <c r="C362" s="13" t="str">
        <f>IFERROR(__xludf.DUMMYFUNCTION("""COMPUTED_VALUE"""),"raditeru")</f>
        <v>raditeru</v>
      </c>
      <c r="D362" s="2" t="str">
        <f>IFERROR(__xludf.DUMMYFUNCTION("""COMPUTED_VALUE"""),"10KM OVERALL M")</f>
        <v>10KM OVERALL M</v>
      </c>
      <c r="E362" s="1">
        <f>IFERROR(__xludf.DUMMYFUNCTION("""COMPUTED_VALUE"""),305.0)</f>
        <v>305</v>
      </c>
      <c r="F362" s="1" t="str">
        <f>IFERROR(__xludf.DUMMYFUNCTION("""COMPUTED_VALUE"""),"Male")</f>
        <v>Male</v>
      </c>
      <c r="G362" s="5">
        <f>IFERROR(__xludf.DUMMYFUNCTION("""COMPUTED_VALUE"""),0.004887003472222222)</f>
        <v>0.004887003472</v>
      </c>
      <c r="H362" s="14">
        <f>IFERROR(__xludf.DUMMYFUNCTION("""COMPUTED_VALUE"""),0.24646185185185185)</f>
        <v>0.2464618519</v>
      </c>
      <c r="I362" s="15">
        <f>IFERROR(__xludf.DUMMYFUNCTION("""COMPUTED_VALUE"""),45949.295331890266)</f>
        <v>45949.29533</v>
      </c>
      <c r="J362" s="15">
        <f>IFERROR(__xludf.DUMMYFUNCTION("""COMPUTED_VALUE"""),45949.048870038416)</f>
        <v>45949.04887</v>
      </c>
      <c r="K362" s="15">
        <f>IFERROR(__xludf.DUMMYFUNCTION("""COMPUTED_VALUE"""),45949.257037126416)</f>
        <v>45949.25704</v>
      </c>
      <c r="L362" s="15">
        <f>IFERROR(__xludf.DUMMYFUNCTION("""COMPUTED_VALUE"""),45949.28666909629)</f>
        <v>45949.28667</v>
      </c>
    </row>
    <row r="363">
      <c r="A363" s="1">
        <f>IFERROR(__xludf.DUMMYFUNCTION("""COMPUTED_VALUE"""),362.0)</f>
        <v>362</v>
      </c>
      <c r="B363" s="1">
        <f>IFERROR(__xludf.DUMMYFUNCTION("""COMPUTED_VALUE"""),10737.0)</f>
        <v>10737</v>
      </c>
      <c r="C363" s="13" t="str">
        <f>IFERROR(__xludf.DUMMYFUNCTION("""COMPUTED_VALUE"""),"Yan Heryadi")</f>
        <v>Yan Heryadi</v>
      </c>
      <c r="D363" s="2" t="str">
        <f>IFERROR(__xludf.DUMMYFUNCTION("""COMPUTED_VALUE"""),"10KM OVERALL M")</f>
        <v>10KM OVERALL M</v>
      </c>
      <c r="E363" s="1">
        <f>IFERROR(__xludf.DUMMYFUNCTION("""COMPUTED_VALUE"""),306.0)</f>
        <v>306</v>
      </c>
      <c r="F363" s="1" t="str">
        <f>IFERROR(__xludf.DUMMYFUNCTION("""COMPUTED_VALUE"""),"Male")</f>
        <v>Male</v>
      </c>
      <c r="G363" s="5">
        <f>IFERROR(__xludf.DUMMYFUNCTION("""COMPUTED_VALUE"""),0.00488904050925926)</f>
        <v>0.004889040509</v>
      </c>
      <c r="H363" s="14">
        <f>IFERROR(__xludf.DUMMYFUNCTION("""COMPUTED_VALUE"""),0.24646185185185185)</f>
        <v>0.2464618519</v>
      </c>
      <c r="I363" s="15">
        <f>IFERROR(__xludf.DUMMYFUNCTION("""COMPUTED_VALUE"""),45949.295352260175)</f>
        <v>45949.29535</v>
      </c>
      <c r="J363" s="15">
        <f>IFERROR(__xludf.DUMMYFUNCTION("""COMPUTED_VALUE"""),45949.048890408325)</f>
        <v>45949.04889</v>
      </c>
      <c r="K363" s="15">
        <f>IFERROR(__xludf.DUMMYFUNCTION("""COMPUTED_VALUE"""),45949.257783659006)</f>
        <v>45949.25778</v>
      </c>
      <c r="L363" s="15">
        <f>IFERROR(__xludf.DUMMYFUNCTION("""COMPUTED_VALUE"""),45949.286492018)</f>
        <v>45949.28649</v>
      </c>
    </row>
    <row r="364">
      <c r="A364" s="1">
        <f>IFERROR(__xludf.DUMMYFUNCTION("""COMPUTED_VALUE"""),363.0)</f>
        <v>363</v>
      </c>
      <c r="B364" s="1">
        <f>IFERROR(__xludf.DUMMYFUNCTION("""COMPUTED_VALUE"""),10167.0)</f>
        <v>10167</v>
      </c>
      <c r="C364" s="13" t="str">
        <f>IFERROR(__xludf.DUMMYFUNCTION("""COMPUTED_VALUE"""),"robbyons")</f>
        <v>robbyons</v>
      </c>
      <c r="D364" s="2" t="str">
        <f>IFERROR(__xludf.DUMMYFUNCTION("""COMPUTED_VALUE"""),"10KM OVERALL M")</f>
        <v>10KM OVERALL M</v>
      </c>
      <c r="E364" s="1">
        <f>IFERROR(__xludf.DUMMYFUNCTION("""COMPUTED_VALUE"""),307.0)</f>
        <v>307</v>
      </c>
      <c r="F364" s="1" t="str">
        <f>IFERROR(__xludf.DUMMYFUNCTION("""COMPUTED_VALUE"""),"Male")</f>
        <v>Male</v>
      </c>
      <c r="G364" s="5">
        <f>IFERROR(__xludf.DUMMYFUNCTION("""COMPUTED_VALUE"""),0.004892512731481482)</f>
        <v>0.004892512731</v>
      </c>
      <c r="H364" s="14">
        <f>IFERROR(__xludf.DUMMYFUNCTION("""COMPUTED_VALUE"""),0.24646185185185185)</f>
        <v>0.2464618519</v>
      </c>
      <c r="I364" s="15">
        <f>IFERROR(__xludf.DUMMYFUNCTION("""COMPUTED_VALUE"""),45949.29538698322)</f>
        <v>45949.29539</v>
      </c>
      <c r="J364" s="15">
        <f>IFERROR(__xludf.DUMMYFUNCTION("""COMPUTED_VALUE"""),45949.04892513137)</f>
        <v>45949.04893</v>
      </c>
      <c r="K364" s="15">
        <f>IFERROR(__xludf.DUMMYFUNCTION("""COMPUTED_VALUE"""),45949.258300996094)</f>
        <v>45949.2583</v>
      </c>
      <c r="L364" s="15">
        <f>IFERROR(__xludf.DUMMYFUNCTION("""COMPUTED_VALUE"""),45949.287610070656)</f>
        <v>45949.28761</v>
      </c>
    </row>
    <row r="365">
      <c r="A365" s="1">
        <f>IFERROR(__xludf.DUMMYFUNCTION("""COMPUTED_VALUE"""),364.0)</f>
        <v>364</v>
      </c>
      <c r="B365" s="1">
        <f>IFERROR(__xludf.DUMMYFUNCTION("""COMPUTED_VALUE"""),10471.0)</f>
        <v>10471</v>
      </c>
      <c r="C365" s="13" t="str">
        <f>IFERROR(__xludf.DUMMYFUNCTION("""COMPUTED_VALUE"""),"Agus Black")</f>
        <v>Agus Black</v>
      </c>
      <c r="D365" s="2" t="str">
        <f>IFERROR(__xludf.DUMMYFUNCTION("""COMPUTED_VALUE"""),"10KM OVERALL M")</f>
        <v>10KM OVERALL M</v>
      </c>
      <c r="E365" s="1">
        <f>IFERROR(__xludf.DUMMYFUNCTION("""COMPUTED_VALUE"""),308.0)</f>
        <v>308</v>
      </c>
      <c r="F365" s="1" t="str">
        <f>IFERROR(__xludf.DUMMYFUNCTION("""COMPUTED_VALUE"""),"Male")</f>
        <v>Male</v>
      </c>
      <c r="G365" s="5">
        <f>IFERROR(__xludf.DUMMYFUNCTION("""COMPUTED_VALUE"""),0.004892515046296296)</f>
        <v>0.004892515046</v>
      </c>
      <c r="H365" s="14">
        <f>IFERROR(__xludf.DUMMYFUNCTION("""COMPUTED_VALUE"""),0.24646185185185185)</f>
        <v>0.2464618519</v>
      </c>
      <c r="I365" s="15">
        <f>IFERROR(__xludf.DUMMYFUNCTION("""COMPUTED_VALUE"""),45949.29538699685)</f>
        <v>45949.29539</v>
      </c>
      <c r="J365" s="15">
        <f>IFERROR(__xludf.DUMMYFUNCTION("""COMPUTED_VALUE"""),45949.048925145)</f>
        <v>45949.04893</v>
      </c>
      <c r="K365" s="15">
        <f>IFERROR(__xludf.DUMMYFUNCTION("""COMPUTED_VALUE"""),45949.25709960782)</f>
        <v>45949.2571</v>
      </c>
      <c r="L365" s="15">
        <f>IFERROR(__xludf.DUMMYFUNCTION("""COMPUTED_VALUE"""),45949.28635659262)</f>
        <v>45949.28636</v>
      </c>
    </row>
    <row r="366">
      <c r="A366" s="1">
        <f>IFERROR(__xludf.DUMMYFUNCTION("""COMPUTED_VALUE"""),365.0)</f>
        <v>365</v>
      </c>
      <c r="B366" s="1">
        <f>IFERROR(__xludf.DUMMYFUNCTION("""COMPUTED_VALUE"""),10506.0)</f>
        <v>10506</v>
      </c>
      <c r="C366" s="13" t="str">
        <f>IFERROR(__xludf.DUMMYFUNCTION("""COMPUTED_VALUE"""),"aldo")</f>
        <v>aldo</v>
      </c>
      <c r="D366" s="2" t="str">
        <f>IFERROR(__xludf.DUMMYFUNCTION("""COMPUTED_VALUE"""),"10KM OVERALL M")</f>
        <v>10KM OVERALL M</v>
      </c>
      <c r="E366" s="1">
        <f>IFERROR(__xludf.DUMMYFUNCTION("""COMPUTED_VALUE"""),309.0)</f>
        <v>309</v>
      </c>
      <c r="F366" s="1" t="str">
        <f>IFERROR(__xludf.DUMMYFUNCTION("""COMPUTED_VALUE"""),"Male")</f>
        <v>Male</v>
      </c>
      <c r="G366" s="5">
        <f>IFERROR(__xludf.DUMMYFUNCTION("""COMPUTED_VALUE"""),0.004894596064814814)</f>
        <v>0.004894596065</v>
      </c>
      <c r="H366" s="14">
        <f>IFERROR(__xludf.DUMMYFUNCTION("""COMPUTED_VALUE"""),0.24646185185185185)</f>
        <v>0.2464618519</v>
      </c>
      <c r="I366" s="15">
        <f>IFERROR(__xludf.DUMMYFUNCTION("""COMPUTED_VALUE"""),45949.295407815756)</f>
        <v>45949.29541</v>
      </c>
      <c r="J366" s="15">
        <f>IFERROR(__xludf.DUMMYFUNCTION("""COMPUTED_VALUE"""),45949.04894596391)</f>
        <v>45949.04895</v>
      </c>
      <c r="K366" s="15">
        <f>IFERROR(__xludf.DUMMYFUNCTION("""COMPUTED_VALUE"""),45949.25866215552)</f>
        <v>45949.25866</v>
      </c>
      <c r="L366" s="15">
        <f>IFERROR(__xludf.DUMMYFUNCTION("""COMPUTED_VALUE"""),45949.28748852383)</f>
        <v>45949.28749</v>
      </c>
    </row>
    <row r="367">
      <c r="A367" s="1">
        <f>IFERROR(__xludf.DUMMYFUNCTION("""COMPUTED_VALUE"""),366.0)</f>
        <v>366</v>
      </c>
      <c r="B367" s="1">
        <f>IFERROR(__xludf.DUMMYFUNCTION("""COMPUTED_VALUE"""),10097.0)</f>
        <v>10097</v>
      </c>
      <c r="C367" s="13" t="str">
        <f>IFERROR(__xludf.DUMMYFUNCTION("""COMPUTED_VALUE"""),"Ismail Saleh")</f>
        <v>Ismail Saleh</v>
      </c>
      <c r="D367" s="2" t="str">
        <f>IFERROR(__xludf.DUMMYFUNCTION("""COMPUTED_VALUE"""),"10KM OVERALL M")</f>
        <v>10KM OVERALL M</v>
      </c>
      <c r="E367" s="1">
        <f>IFERROR(__xludf.DUMMYFUNCTION("""COMPUTED_VALUE"""),310.0)</f>
        <v>310</v>
      </c>
      <c r="F367" s="1" t="str">
        <f>IFERROR(__xludf.DUMMYFUNCTION("""COMPUTED_VALUE"""),"Male")</f>
        <v>Male</v>
      </c>
      <c r="G367" s="5">
        <f>IFERROR(__xludf.DUMMYFUNCTION("""COMPUTED_VALUE"""),0.0048952928240740745)</f>
        <v>0.004895292824</v>
      </c>
      <c r="H367" s="14">
        <f>IFERROR(__xludf.DUMMYFUNCTION("""COMPUTED_VALUE"""),0.24646185185185185)</f>
        <v>0.2464618519</v>
      </c>
      <c r="I367" s="15">
        <f>IFERROR(__xludf.DUMMYFUNCTION("""COMPUTED_VALUE"""),45949.29541477808)</f>
        <v>45949.29541</v>
      </c>
      <c r="J367" s="15">
        <f>IFERROR(__xludf.DUMMYFUNCTION("""COMPUTED_VALUE"""),45949.04895292623)</f>
        <v>45949.04895</v>
      </c>
      <c r="K367" s="15">
        <f>IFERROR(__xludf.DUMMYFUNCTION("""COMPUTED_VALUE"""),45949.25950937916)</f>
        <v>45949.25951</v>
      </c>
      <c r="L367" s="15">
        <f>IFERROR(__xludf.DUMMYFUNCTION("""COMPUTED_VALUE"""),45949.28825588492)</f>
        <v>45949.28826</v>
      </c>
    </row>
    <row r="368">
      <c r="A368" s="1">
        <f>IFERROR(__xludf.DUMMYFUNCTION("""COMPUTED_VALUE"""),367.0)</f>
        <v>367</v>
      </c>
      <c r="B368" s="1">
        <f>IFERROR(__xludf.DUMMYFUNCTION("""COMPUTED_VALUE"""),10248.0)</f>
        <v>10248</v>
      </c>
      <c r="C368" s="13" t="str">
        <f>IFERROR(__xludf.DUMMYFUNCTION("""COMPUTED_VALUE"""),"Afrizal")</f>
        <v>Afrizal</v>
      </c>
      <c r="D368" s="2" t="str">
        <f>IFERROR(__xludf.DUMMYFUNCTION("""COMPUTED_VALUE"""),"10KM OVERALL M")</f>
        <v>10KM OVERALL M</v>
      </c>
      <c r="E368" s="1">
        <f>IFERROR(__xludf.DUMMYFUNCTION("""COMPUTED_VALUE"""),311.0)</f>
        <v>311</v>
      </c>
      <c r="F368" s="1" t="str">
        <f>IFERROR(__xludf.DUMMYFUNCTION("""COMPUTED_VALUE"""),"Male")</f>
        <v>Male</v>
      </c>
      <c r="G368" s="5">
        <f>IFERROR(__xludf.DUMMYFUNCTION("""COMPUTED_VALUE"""),0.004895637731481482)</f>
        <v>0.004895637731</v>
      </c>
      <c r="H368" s="14">
        <f>IFERROR(__xludf.DUMMYFUNCTION("""COMPUTED_VALUE"""),0.24646185185185185)</f>
        <v>0.2464618519</v>
      </c>
      <c r="I368" s="15">
        <f>IFERROR(__xludf.DUMMYFUNCTION("""COMPUTED_VALUE"""),45949.2954182244)</f>
        <v>45949.29542</v>
      </c>
      <c r="J368" s="15">
        <f>IFERROR(__xludf.DUMMYFUNCTION("""COMPUTED_VALUE"""),45949.04895637255)</f>
        <v>45949.04896</v>
      </c>
      <c r="K368" s="15">
        <f>IFERROR(__xludf.DUMMYFUNCTION("""COMPUTED_VALUE"""),45949.25759266866)</f>
        <v>45949.25759</v>
      </c>
      <c r="L368" s="15">
        <f>IFERROR(__xludf.DUMMYFUNCTION("""COMPUTED_VALUE"""),45949.286363547806)</f>
        <v>45949.28636</v>
      </c>
    </row>
    <row r="369">
      <c r="A369" s="1">
        <f>IFERROR(__xludf.DUMMYFUNCTION("""COMPUTED_VALUE"""),368.0)</f>
        <v>368</v>
      </c>
      <c r="B369" s="1">
        <f>IFERROR(__xludf.DUMMYFUNCTION("""COMPUTED_VALUE"""),10137.0)</f>
        <v>10137</v>
      </c>
      <c r="C369" s="13" t="str">
        <f>IFERROR(__xludf.DUMMYFUNCTION("""COMPUTED_VALUE"""),"Rismayanti")</f>
        <v>Rismayanti</v>
      </c>
      <c r="D369" s="2" t="str">
        <f>IFERROR(__xludf.DUMMYFUNCTION("""COMPUTED_VALUE"""),"10KM OVERALL F")</f>
        <v>10KM OVERALL F</v>
      </c>
      <c r="E369" s="1">
        <f>IFERROR(__xludf.DUMMYFUNCTION("""COMPUTED_VALUE"""),19.0)</f>
        <v>19</v>
      </c>
      <c r="F369" s="1" t="str">
        <f>IFERROR(__xludf.DUMMYFUNCTION("""COMPUTED_VALUE"""),"Female")</f>
        <v>Female</v>
      </c>
      <c r="G369" s="5">
        <f>IFERROR(__xludf.DUMMYFUNCTION("""COMPUTED_VALUE"""),0.00489706712962963)</f>
        <v>0.00489706713</v>
      </c>
      <c r="H369" s="14">
        <f>IFERROR(__xludf.DUMMYFUNCTION("""COMPUTED_VALUE"""),0.24646185185185185)</f>
        <v>0.2464618519</v>
      </c>
      <c r="I369" s="15">
        <f>IFERROR(__xludf.DUMMYFUNCTION("""COMPUTED_VALUE"""),45949.295432525054)</f>
        <v>45949.29543</v>
      </c>
      <c r="J369" s="15">
        <f>IFERROR(__xludf.DUMMYFUNCTION("""COMPUTED_VALUE"""),45949.048970673204)</f>
        <v>45949.04897</v>
      </c>
      <c r="K369" s="15">
        <f>IFERROR(__xludf.DUMMYFUNCTION("""COMPUTED_VALUE"""),45949.25783920094)</f>
        <v>45949.25784</v>
      </c>
      <c r="L369" s="15">
        <f>IFERROR(__xludf.DUMMYFUNCTION("""COMPUTED_VALUE"""),45949.287054501605)</f>
        <v>45949.28705</v>
      </c>
    </row>
    <row r="370">
      <c r="A370" s="1">
        <f>IFERROR(__xludf.DUMMYFUNCTION("""COMPUTED_VALUE"""),369.0)</f>
        <v>369</v>
      </c>
      <c r="B370" s="1">
        <f>IFERROR(__xludf.DUMMYFUNCTION("""COMPUTED_VALUE"""),10441.0)</f>
        <v>10441</v>
      </c>
      <c r="C370" s="13" t="str">
        <f>IFERROR(__xludf.DUMMYFUNCTION("""COMPUTED_VALUE"""),"ixan")</f>
        <v>ixan</v>
      </c>
      <c r="D370" s="2" t="str">
        <f>IFERROR(__xludf.DUMMYFUNCTION("""COMPUTED_VALUE"""),"10KM OVERALL M")</f>
        <v>10KM OVERALL M</v>
      </c>
      <c r="E370" s="1">
        <f>IFERROR(__xludf.DUMMYFUNCTION("""COMPUTED_VALUE"""),312.0)</f>
        <v>312</v>
      </c>
      <c r="F370" s="1" t="str">
        <f>IFERROR(__xludf.DUMMYFUNCTION("""COMPUTED_VALUE"""),"Male")</f>
        <v>Male</v>
      </c>
      <c r="G370" s="5">
        <f>IFERROR(__xludf.DUMMYFUNCTION("""COMPUTED_VALUE"""),0.00490015162037037)</f>
        <v>0.00490015162</v>
      </c>
      <c r="H370" s="14">
        <f>IFERROR(__xludf.DUMMYFUNCTION("""COMPUTED_VALUE"""),0.24646185185185185)</f>
        <v>0.2464618519</v>
      </c>
      <c r="I370" s="15">
        <f>IFERROR(__xludf.DUMMYFUNCTION("""COMPUTED_VALUE"""),45949.295463367154)</f>
        <v>45949.29546</v>
      </c>
      <c r="J370" s="15">
        <f>IFERROR(__xludf.DUMMYFUNCTION("""COMPUTED_VALUE"""),45949.049001515305)</f>
        <v>45949.049</v>
      </c>
      <c r="K370" s="15">
        <f>IFERROR(__xludf.DUMMYFUNCTION("""COMPUTED_VALUE"""),45949.25727321003)</f>
        <v>45949.25727</v>
      </c>
      <c r="L370" s="15">
        <f>IFERROR(__xludf.DUMMYFUNCTION("""COMPUTED_VALUE"""),45949.286832275735)</f>
        <v>45949.28683</v>
      </c>
    </row>
    <row r="371">
      <c r="A371" s="1">
        <f>IFERROR(__xludf.DUMMYFUNCTION("""COMPUTED_VALUE"""),370.0)</f>
        <v>370</v>
      </c>
      <c r="B371" s="1">
        <f>IFERROR(__xludf.DUMMYFUNCTION("""COMPUTED_VALUE"""),12075.0)</f>
        <v>12075</v>
      </c>
      <c r="C371" s="13" t="str">
        <f>IFERROR(__xludf.DUMMYFUNCTION("""COMPUTED_VALUE"""),"GUNAWAN")</f>
        <v>GUNAWAN</v>
      </c>
      <c r="D371" s="2" t="str">
        <f>IFERROR(__xludf.DUMMYFUNCTION("""COMPUTED_VALUE"""),"10KM MASTER M")</f>
        <v>10KM MASTER M</v>
      </c>
      <c r="E371" s="1">
        <f>IFERROR(__xludf.DUMMYFUNCTION("""COMPUTED_VALUE"""),34.0)</f>
        <v>34</v>
      </c>
      <c r="F371" s="1" t="str">
        <f>IFERROR(__xludf.DUMMYFUNCTION("""COMPUTED_VALUE"""),"Male")</f>
        <v>Male</v>
      </c>
      <c r="G371" s="5">
        <f>IFERROR(__xludf.DUMMYFUNCTION("""COMPUTED_VALUE"""),0.004900152777777778)</f>
        <v>0.004900152778</v>
      </c>
      <c r="H371" s="14">
        <f>IFERROR(__xludf.DUMMYFUNCTION("""COMPUTED_VALUE"""),0.24646185185185185)</f>
        <v>0.2464618519</v>
      </c>
      <c r="I371" s="15">
        <f>IFERROR(__xludf.DUMMYFUNCTION("""COMPUTED_VALUE"""),45949.295463383896)</f>
        <v>45949.29546</v>
      </c>
      <c r="J371" s="15">
        <f>IFERROR(__xludf.DUMMYFUNCTION("""COMPUTED_VALUE"""),45949.04900153205)</f>
        <v>45949.049</v>
      </c>
      <c r="K371" s="15">
        <f>IFERROR(__xludf.DUMMYFUNCTION("""COMPUTED_VALUE"""),45949.261169680154)</f>
        <v>45949.26117</v>
      </c>
      <c r="L371" s="15">
        <f>IFERROR(__xludf.DUMMYFUNCTION("""COMPUTED_VALUE"""),45949.28798933521)</f>
        <v>45949.28799</v>
      </c>
    </row>
    <row r="372">
      <c r="A372" s="1">
        <f>IFERROR(__xludf.DUMMYFUNCTION("""COMPUTED_VALUE"""),371.0)</f>
        <v>371</v>
      </c>
      <c r="B372" s="1">
        <f>IFERROR(__xludf.DUMMYFUNCTION("""COMPUTED_VALUE"""),10776.0)</f>
        <v>10776</v>
      </c>
      <c r="C372" s="13" t="str">
        <f>IFERROR(__xludf.DUMMYFUNCTION("""COMPUTED_VALUE"""),"YUDI")</f>
        <v>YUDI</v>
      </c>
      <c r="D372" s="2" t="str">
        <f>IFERROR(__xludf.DUMMYFUNCTION("""COMPUTED_VALUE"""),"10KM OVERALL M")</f>
        <v>10KM OVERALL M</v>
      </c>
      <c r="E372" s="1">
        <f>IFERROR(__xludf.DUMMYFUNCTION("""COMPUTED_VALUE"""),313.0)</f>
        <v>313</v>
      </c>
      <c r="F372" s="1" t="str">
        <f>IFERROR(__xludf.DUMMYFUNCTION("""COMPUTED_VALUE"""),"Female")</f>
        <v>Female</v>
      </c>
      <c r="G372" s="5">
        <f>IFERROR(__xludf.DUMMYFUNCTION("""COMPUTED_VALUE"""),0.004900152777777778)</f>
        <v>0.004900152778</v>
      </c>
      <c r="H372" s="14">
        <f>IFERROR(__xludf.DUMMYFUNCTION("""COMPUTED_VALUE"""),0.24646185185185185)</f>
        <v>0.2464618519</v>
      </c>
      <c r="I372" s="15">
        <f>IFERROR(__xludf.DUMMYFUNCTION("""COMPUTED_VALUE"""),45949.295463383896)</f>
        <v>45949.29546</v>
      </c>
      <c r="J372" s="15">
        <f>IFERROR(__xludf.DUMMYFUNCTION("""COMPUTED_VALUE"""),45949.04900153205)</f>
        <v>45949.049</v>
      </c>
      <c r="K372" s="15">
        <f>IFERROR(__xludf.DUMMYFUNCTION("""COMPUTED_VALUE"""),45949.2578080126)</f>
        <v>45949.25781</v>
      </c>
      <c r="L372" s="15">
        <f>IFERROR(__xludf.DUMMYFUNCTION("""COMPUTED_VALUE"""),45949.28659963147)</f>
        <v>45949.2866</v>
      </c>
    </row>
    <row r="373">
      <c r="A373" s="1">
        <f>IFERROR(__xludf.DUMMYFUNCTION("""COMPUTED_VALUE"""),372.0)</f>
        <v>372</v>
      </c>
      <c r="B373" s="1">
        <f>IFERROR(__xludf.DUMMYFUNCTION("""COMPUTED_VALUE"""),10568.0)</f>
        <v>10568</v>
      </c>
      <c r="C373" s="13" t="str">
        <f>IFERROR(__xludf.DUMMYFUNCTION("""COMPUTED_VALUE"""),"Ivan Pradana Putra")</f>
        <v>Ivan Pradana Putra</v>
      </c>
      <c r="D373" s="2" t="str">
        <f>IFERROR(__xludf.DUMMYFUNCTION("""COMPUTED_VALUE"""),"10KM OVERALL M")</f>
        <v>10KM OVERALL M</v>
      </c>
      <c r="E373" s="1">
        <f>IFERROR(__xludf.DUMMYFUNCTION("""COMPUTED_VALUE"""),314.0)</f>
        <v>314</v>
      </c>
      <c r="F373" s="1" t="str">
        <f>IFERROR(__xludf.DUMMYFUNCTION("""COMPUTED_VALUE"""),"Male")</f>
        <v>Male</v>
      </c>
      <c r="G373" s="5">
        <f>IFERROR(__xludf.DUMMYFUNCTION("""COMPUTED_VALUE"""),0.004903623842592592)</f>
        <v>0.004903623843</v>
      </c>
      <c r="H373" s="14">
        <f>IFERROR(__xludf.DUMMYFUNCTION("""COMPUTED_VALUE"""),0.24646185185185185)</f>
        <v>0.2464618519</v>
      </c>
      <c r="I373" s="15">
        <f>IFERROR(__xludf.DUMMYFUNCTION("""COMPUTED_VALUE"""),45949.29549809205)</f>
        <v>45949.2955</v>
      </c>
      <c r="J373" s="15">
        <f>IFERROR(__xludf.DUMMYFUNCTION("""COMPUTED_VALUE"""),45949.0490362402)</f>
        <v>45949.04904</v>
      </c>
      <c r="K373" s="15">
        <f>IFERROR(__xludf.DUMMYFUNCTION("""COMPUTED_VALUE"""),45949.25765518345)</f>
        <v>45949.25766</v>
      </c>
      <c r="L373" s="15">
        <f>IFERROR(__xludf.DUMMYFUNCTION("""COMPUTED_VALUE"""),45949.28722116546)</f>
        <v>45949.28722</v>
      </c>
    </row>
    <row r="374">
      <c r="A374" s="1">
        <f>IFERROR(__xludf.DUMMYFUNCTION("""COMPUTED_VALUE"""),373.0)</f>
        <v>373</v>
      </c>
      <c r="B374" s="1">
        <f>IFERROR(__xludf.DUMMYFUNCTION("""COMPUTED_VALUE"""),10724.0)</f>
        <v>10724</v>
      </c>
      <c r="C374" s="13" t="str">
        <f>IFERROR(__xludf.DUMMYFUNCTION("""COMPUTED_VALUE"""),"PACER - RAHMAN")</f>
        <v>PACER - RAHMAN</v>
      </c>
      <c r="D374" s="2" t="str">
        <f>IFERROR(__xludf.DUMMYFUNCTION("""COMPUTED_VALUE"""),"10KM OVERALL M")</f>
        <v>10KM OVERALL M</v>
      </c>
      <c r="E374" s="1">
        <f>IFERROR(__xludf.DUMMYFUNCTION("""COMPUTED_VALUE"""),315.0)</f>
        <v>315</v>
      </c>
      <c r="F374" s="1" t="str">
        <f>IFERROR(__xludf.DUMMYFUNCTION("""COMPUTED_VALUE"""),"Male")</f>
        <v>Male</v>
      </c>
      <c r="G374" s="5">
        <f>IFERROR(__xludf.DUMMYFUNCTION("""COMPUTED_VALUE"""),0.0049043206018518515)</f>
        <v>0.004904320602</v>
      </c>
      <c r="H374" s="14">
        <f>IFERROR(__xludf.DUMMYFUNCTION("""COMPUTED_VALUE"""),0.24646185185185185)</f>
        <v>0.2464618519</v>
      </c>
      <c r="I374" s="15">
        <f>IFERROR(__xludf.DUMMYFUNCTION("""COMPUTED_VALUE"""),45949.295505061134)</f>
        <v>45949.29551</v>
      </c>
      <c r="J374" s="15">
        <f>IFERROR(__xludf.DUMMYFUNCTION("""COMPUTED_VALUE"""),45949.049043209285)</f>
        <v>45949.04904</v>
      </c>
      <c r="K374" s="15">
        <f>IFERROR(__xludf.DUMMYFUNCTION("""COMPUTED_VALUE"""),45949.25758919805)</f>
        <v>45949.25759</v>
      </c>
      <c r="L374" s="15">
        <f>IFERROR(__xludf.DUMMYFUNCTION("""COMPUTED_VALUE"""),45949.28718992069)</f>
        <v>45949.28719</v>
      </c>
    </row>
    <row r="375">
      <c r="A375" s="1">
        <f>IFERROR(__xludf.DUMMYFUNCTION("""COMPUTED_VALUE"""),374.0)</f>
        <v>374</v>
      </c>
      <c r="B375" s="1">
        <f>IFERROR(__xludf.DUMMYFUNCTION("""COMPUTED_VALUE"""),12040.0)</f>
        <v>12040</v>
      </c>
      <c r="C375" s="13" t="str">
        <f>IFERROR(__xludf.DUMMYFUNCTION("""COMPUTED_VALUE"""),"Asrori")</f>
        <v>Asrori</v>
      </c>
      <c r="D375" s="2" t="str">
        <f>IFERROR(__xludf.DUMMYFUNCTION("""COMPUTED_VALUE"""),"10KM MASTER M")</f>
        <v>10KM MASTER M</v>
      </c>
      <c r="E375" s="1">
        <f>IFERROR(__xludf.DUMMYFUNCTION("""COMPUTED_VALUE"""),35.0)</f>
        <v>35</v>
      </c>
      <c r="F375" s="1" t="str">
        <f>IFERROR(__xludf.DUMMYFUNCTION("""COMPUTED_VALUE"""),"Male")</f>
        <v>Male</v>
      </c>
      <c r="G375" s="5">
        <f>IFERROR(__xludf.DUMMYFUNCTION("""COMPUTED_VALUE"""),0.004907097222222222)</f>
        <v>0.004907097222</v>
      </c>
      <c r="H375" s="14">
        <f>IFERROR(__xludf.DUMMYFUNCTION("""COMPUTED_VALUE"""),0.24646185185185185)</f>
        <v>0.2464618519</v>
      </c>
      <c r="I375" s="15">
        <f>IFERROR(__xludf.DUMMYFUNCTION("""COMPUTED_VALUE"""),45949.29553282629)</f>
        <v>45949.29553</v>
      </c>
      <c r="J375" s="15">
        <f>IFERROR(__xludf.DUMMYFUNCTION("""COMPUTED_VALUE"""),45949.04907097444)</f>
        <v>45949.04907</v>
      </c>
      <c r="K375" s="15">
        <f>IFERROR(__xludf.DUMMYFUNCTION("""COMPUTED_VALUE"""),45949.27626630314)</f>
        <v>45949.27627</v>
      </c>
      <c r="L375" s="15" t="str">
        <f>IFERROR(__xludf.DUMMYFUNCTION("""COMPUTED_VALUE"""),"")</f>
        <v/>
      </c>
    </row>
    <row r="376">
      <c r="A376" s="1">
        <f>IFERROR(__xludf.DUMMYFUNCTION("""COMPUTED_VALUE"""),375.0)</f>
        <v>375</v>
      </c>
      <c r="B376" s="1">
        <f>IFERROR(__xludf.DUMMYFUNCTION("""COMPUTED_VALUE"""),10739.0)</f>
        <v>10739</v>
      </c>
      <c r="C376" s="13" t="str">
        <f>IFERROR(__xludf.DUMMYFUNCTION("""COMPUTED_VALUE"""),"Bustanul Anwar")</f>
        <v>Bustanul Anwar</v>
      </c>
      <c r="D376" s="2" t="str">
        <f>IFERROR(__xludf.DUMMYFUNCTION("""COMPUTED_VALUE"""),"10KM OVERALL M")</f>
        <v>10KM OVERALL M</v>
      </c>
      <c r="E376" s="1">
        <f>IFERROR(__xludf.DUMMYFUNCTION("""COMPUTED_VALUE"""),316.0)</f>
        <v>316</v>
      </c>
      <c r="F376" s="1" t="str">
        <f>IFERROR(__xludf.DUMMYFUNCTION("""COMPUTED_VALUE"""),"Male")</f>
        <v>Male</v>
      </c>
      <c r="G376" s="5">
        <f>IFERROR(__xludf.DUMMYFUNCTION("""COMPUTED_VALUE"""),0.004912304398148147)</f>
        <v>0.004912304398</v>
      </c>
      <c r="H376" s="14">
        <f>IFERROR(__xludf.DUMMYFUNCTION("""COMPUTED_VALUE"""),0.24646185185185185)</f>
        <v>0.2464618519</v>
      </c>
      <c r="I376" s="15">
        <f>IFERROR(__xludf.DUMMYFUNCTION("""COMPUTED_VALUE"""),45949.29558489227)</f>
        <v>45949.29558</v>
      </c>
      <c r="J376" s="15">
        <f>IFERROR(__xludf.DUMMYFUNCTION("""COMPUTED_VALUE"""),45949.04912304042)</f>
        <v>45949.04912</v>
      </c>
      <c r="K376" s="15">
        <f>IFERROR(__xludf.DUMMYFUNCTION("""COMPUTED_VALUE"""),45949.256978135716)</f>
        <v>45949.25698</v>
      </c>
      <c r="L376" s="15">
        <f>IFERROR(__xludf.DUMMYFUNCTION("""COMPUTED_VALUE"""),45949.28697115758)</f>
        <v>45949.28697</v>
      </c>
    </row>
    <row r="377">
      <c r="A377" s="1">
        <f>IFERROR(__xludf.DUMMYFUNCTION("""COMPUTED_VALUE"""),376.0)</f>
        <v>376</v>
      </c>
      <c r="B377" s="1">
        <f>IFERROR(__xludf.DUMMYFUNCTION("""COMPUTED_VALUE"""),10609.0)</f>
        <v>10609</v>
      </c>
      <c r="C377" s="13" t="str">
        <f>IFERROR(__xludf.DUMMYFUNCTION("""COMPUTED_VALUE"""),"IMAM SYAHRIZAL")</f>
        <v>IMAM SYAHRIZAL</v>
      </c>
      <c r="D377" s="2" t="str">
        <f>IFERROR(__xludf.DUMMYFUNCTION("""COMPUTED_VALUE"""),"10KM OVERALL M")</f>
        <v>10KM OVERALL M</v>
      </c>
      <c r="E377" s="1">
        <f>IFERROR(__xludf.DUMMYFUNCTION("""COMPUTED_VALUE"""),317.0)</f>
        <v>317</v>
      </c>
      <c r="F377" s="1" t="str">
        <f>IFERROR(__xludf.DUMMYFUNCTION("""COMPUTED_VALUE"""),"Male")</f>
        <v>Male</v>
      </c>
      <c r="G377" s="5">
        <f>IFERROR(__xludf.DUMMYFUNCTION("""COMPUTED_VALUE"""),0.004912304398148147)</f>
        <v>0.004912304398</v>
      </c>
      <c r="H377" s="14">
        <f>IFERROR(__xludf.DUMMYFUNCTION("""COMPUTED_VALUE"""),0.24646185185185185)</f>
        <v>0.2464618519</v>
      </c>
      <c r="I377" s="15">
        <f>IFERROR(__xludf.DUMMYFUNCTION("""COMPUTED_VALUE"""),45949.29558489227)</f>
        <v>45949.29558</v>
      </c>
      <c r="J377" s="15">
        <f>IFERROR(__xludf.DUMMYFUNCTION("""COMPUTED_VALUE"""),45949.04912304042)</f>
        <v>45949.04912</v>
      </c>
      <c r="K377" s="15">
        <f>IFERROR(__xludf.DUMMYFUNCTION("""COMPUTED_VALUE"""),45949.25745384606)</f>
        <v>45949.25745</v>
      </c>
      <c r="L377" s="15">
        <f>IFERROR(__xludf.DUMMYFUNCTION("""COMPUTED_VALUE"""),45949.28715527242)</f>
        <v>45949.28716</v>
      </c>
    </row>
    <row r="378">
      <c r="A378" s="1">
        <f>IFERROR(__xludf.DUMMYFUNCTION("""COMPUTED_VALUE"""),377.0)</f>
        <v>377</v>
      </c>
      <c r="B378" s="1">
        <f>IFERROR(__xludf.DUMMYFUNCTION("""COMPUTED_VALUE"""),10146.0)</f>
        <v>10146</v>
      </c>
      <c r="C378" s="13" t="str">
        <f>IFERROR(__xludf.DUMMYFUNCTION("""COMPUTED_VALUE"""),"AKBR")</f>
        <v>AKBR</v>
      </c>
      <c r="D378" s="2" t="str">
        <f>IFERROR(__xludf.DUMMYFUNCTION("""COMPUTED_VALUE"""),"10KM OVERALL M")</f>
        <v>10KM OVERALL M</v>
      </c>
      <c r="E378" s="1">
        <f>IFERROR(__xludf.DUMMYFUNCTION("""COMPUTED_VALUE"""),318.0)</f>
        <v>318</v>
      </c>
      <c r="F378" s="1" t="str">
        <f>IFERROR(__xludf.DUMMYFUNCTION("""COMPUTED_VALUE"""),"Male")</f>
        <v>Male</v>
      </c>
      <c r="G378" s="5">
        <f>IFERROR(__xludf.DUMMYFUNCTION("""COMPUTED_VALUE"""),0.00491577662037037)</f>
        <v>0.00491577662</v>
      </c>
      <c r="H378" s="14">
        <f>IFERROR(__xludf.DUMMYFUNCTION("""COMPUTED_VALUE"""),0.24646185185185185)</f>
        <v>0.2464618519</v>
      </c>
      <c r="I378" s="15">
        <f>IFERROR(__xludf.DUMMYFUNCTION("""COMPUTED_VALUE"""),45949.29561961872)</f>
        <v>45949.29562</v>
      </c>
      <c r="J378" s="15">
        <f>IFERROR(__xludf.DUMMYFUNCTION("""COMPUTED_VALUE"""),45949.04915776687)</f>
        <v>45949.04916</v>
      </c>
      <c r="K378" s="15">
        <f>IFERROR(__xludf.DUMMYFUNCTION("""COMPUTED_VALUE"""),45949.25622464109)</f>
        <v>45949.25622</v>
      </c>
      <c r="L378" s="15">
        <f>IFERROR(__xludf.DUMMYFUNCTION("""COMPUTED_VALUE"""),45949.286582291126)</f>
        <v>45949.28658</v>
      </c>
    </row>
    <row r="379">
      <c r="A379" s="1">
        <f>IFERROR(__xludf.DUMMYFUNCTION("""COMPUTED_VALUE"""),378.0)</f>
        <v>378</v>
      </c>
      <c r="B379" s="1">
        <f>IFERROR(__xludf.DUMMYFUNCTION("""COMPUTED_VALUE"""),10613.0)</f>
        <v>10613</v>
      </c>
      <c r="C379" s="13" t="str">
        <f>IFERROR(__xludf.DUMMYFUNCTION("""COMPUTED_VALUE"""),"Andiyy")</f>
        <v>Andiyy</v>
      </c>
      <c r="D379" s="2" t="str">
        <f>IFERROR(__xludf.DUMMYFUNCTION("""COMPUTED_VALUE"""),"10KM OVERALL M")</f>
        <v>10KM OVERALL M</v>
      </c>
      <c r="E379" s="1">
        <f>IFERROR(__xludf.DUMMYFUNCTION("""COMPUTED_VALUE"""),319.0)</f>
        <v>319</v>
      </c>
      <c r="F379" s="1" t="str">
        <f>IFERROR(__xludf.DUMMYFUNCTION("""COMPUTED_VALUE"""),"Male")</f>
        <v>Male</v>
      </c>
      <c r="G379" s="5">
        <f>IFERROR(__xludf.DUMMYFUNCTION("""COMPUTED_VALUE"""),0.004917855324074074)</f>
        <v>0.004917855324</v>
      </c>
      <c r="H379" s="14">
        <f>IFERROR(__xludf.DUMMYFUNCTION("""COMPUTED_VALUE"""),0.24646185185185185)</f>
        <v>0.2464618519</v>
      </c>
      <c r="I379" s="15">
        <f>IFERROR(__xludf.DUMMYFUNCTION("""COMPUTED_VALUE"""),45949.29564040927)</f>
        <v>45949.29564</v>
      </c>
      <c r="J379" s="15">
        <f>IFERROR(__xludf.DUMMYFUNCTION("""COMPUTED_VALUE"""),45949.04917855742)</f>
        <v>45949.04918</v>
      </c>
      <c r="K379" s="15">
        <f>IFERROR(__xludf.DUMMYFUNCTION("""COMPUTED_VALUE"""),45949.2574642086)</f>
        <v>45949.25746</v>
      </c>
      <c r="L379" s="15">
        <f>IFERROR(__xludf.DUMMYFUNCTION("""COMPUTED_VALUE"""),45949.287151731995)</f>
        <v>45949.28715</v>
      </c>
    </row>
    <row r="380">
      <c r="A380" s="1">
        <f>IFERROR(__xludf.DUMMYFUNCTION("""COMPUTED_VALUE"""),379.0)</f>
        <v>379</v>
      </c>
      <c r="B380" s="1">
        <f>IFERROR(__xludf.DUMMYFUNCTION("""COMPUTED_VALUE"""),10461.0)</f>
        <v>10461</v>
      </c>
      <c r="C380" s="13" t="str">
        <f>IFERROR(__xludf.DUMMYFUNCTION("""COMPUTED_VALUE"""),"Nz Aldriyan")</f>
        <v>Nz Aldriyan</v>
      </c>
      <c r="D380" s="2" t="str">
        <f>IFERROR(__xludf.DUMMYFUNCTION("""COMPUTED_VALUE"""),"10KM OVERALL M")</f>
        <v>10KM OVERALL M</v>
      </c>
      <c r="E380" s="1">
        <f>IFERROR(__xludf.DUMMYFUNCTION("""COMPUTED_VALUE"""),320.0)</f>
        <v>320</v>
      </c>
      <c r="F380" s="1" t="str">
        <f>IFERROR(__xludf.DUMMYFUNCTION("""COMPUTED_VALUE"""),"Male")</f>
        <v>Male</v>
      </c>
      <c r="G380" s="5">
        <f>IFERROR(__xludf.DUMMYFUNCTION("""COMPUTED_VALUE"""),0.004926268518518519)</f>
        <v>0.004926268519</v>
      </c>
      <c r="H380" s="14">
        <f>IFERROR(__xludf.DUMMYFUNCTION("""COMPUTED_VALUE"""),0.24646185185185185)</f>
        <v>0.2464618519</v>
      </c>
      <c r="I380" s="15">
        <f>IFERROR(__xludf.DUMMYFUNCTION("""COMPUTED_VALUE"""),45949.29572454259)</f>
        <v>45949.29572</v>
      </c>
      <c r="J380" s="15">
        <f>IFERROR(__xludf.DUMMYFUNCTION("""COMPUTED_VALUE"""),45949.04926269074)</f>
        <v>45949.04926</v>
      </c>
      <c r="K380" s="15">
        <f>IFERROR(__xludf.DUMMYFUNCTION("""COMPUTED_VALUE"""),45949.25709620862)</f>
        <v>45949.2571</v>
      </c>
      <c r="L380" s="15">
        <f>IFERROR(__xludf.DUMMYFUNCTION("""COMPUTED_VALUE"""),45949.28714824425)</f>
        <v>45949.28715</v>
      </c>
    </row>
    <row r="381">
      <c r="A381" s="1">
        <f>IFERROR(__xludf.DUMMYFUNCTION("""COMPUTED_VALUE"""),380.0)</f>
        <v>380</v>
      </c>
      <c r="B381" s="1">
        <f>IFERROR(__xludf.DUMMYFUNCTION("""COMPUTED_VALUE"""),10455.0)</f>
        <v>10455</v>
      </c>
      <c r="C381" s="13" t="str">
        <f>IFERROR(__xludf.DUMMYFUNCTION("""COMPUTED_VALUE"""),"ELIYA")</f>
        <v>ELIYA</v>
      </c>
      <c r="D381" s="2" t="str">
        <f>IFERROR(__xludf.DUMMYFUNCTION("""COMPUTED_VALUE"""),"10KM OVERALL F")</f>
        <v>10KM OVERALL F</v>
      </c>
      <c r="E381" s="1">
        <f>IFERROR(__xludf.DUMMYFUNCTION("""COMPUTED_VALUE"""),20.0)</f>
        <v>20</v>
      </c>
      <c r="F381" s="1" t="str">
        <f>IFERROR(__xludf.DUMMYFUNCTION("""COMPUTED_VALUE"""),"Female")</f>
        <v>Female</v>
      </c>
      <c r="G381" s="5">
        <f>IFERROR(__xludf.DUMMYFUNCTION("""COMPUTED_VALUE"""),0.00492827662037037)</f>
        <v>0.00492827662</v>
      </c>
      <c r="H381" s="14">
        <f>IFERROR(__xludf.DUMMYFUNCTION("""COMPUTED_VALUE"""),0.24646185185185185)</f>
        <v>0.2464618519</v>
      </c>
      <c r="I381" s="15">
        <f>IFERROR(__xludf.DUMMYFUNCTION("""COMPUTED_VALUE"""),45949.29574461763)</f>
        <v>45949.29574</v>
      </c>
      <c r="J381" s="15">
        <f>IFERROR(__xludf.DUMMYFUNCTION("""COMPUTED_VALUE"""),45949.04928276578)</f>
        <v>45949.04928</v>
      </c>
      <c r="K381" s="15">
        <f>IFERROR(__xludf.DUMMYFUNCTION("""COMPUTED_VALUE"""),45949.25798503156)</f>
        <v>45949.25799</v>
      </c>
      <c r="L381" s="15">
        <f>IFERROR(__xludf.DUMMYFUNCTION("""COMPUTED_VALUE"""),45949.28718992069)</f>
        <v>45949.28719</v>
      </c>
    </row>
    <row r="382">
      <c r="A382" s="1">
        <f>IFERROR(__xludf.DUMMYFUNCTION("""COMPUTED_VALUE"""),381.0)</f>
        <v>381</v>
      </c>
      <c r="B382" s="1">
        <f>IFERROR(__xludf.DUMMYFUNCTION("""COMPUTED_VALUE"""),10161.0)</f>
        <v>10161</v>
      </c>
      <c r="C382" s="13" t="str">
        <f>IFERROR(__xludf.DUMMYFUNCTION("""COMPUTED_VALUE"""),"AndRe")</f>
        <v>AndRe</v>
      </c>
      <c r="D382" s="2" t="str">
        <f>IFERROR(__xludf.DUMMYFUNCTION("""COMPUTED_VALUE"""),"10KM OVERALL M")</f>
        <v>10KM OVERALL M</v>
      </c>
      <c r="E382" s="1">
        <f>IFERROR(__xludf.DUMMYFUNCTION("""COMPUTED_VALUE"""),321.0)</f>
        <v>321</v>
      </c>
      <c r="F382" s="1" t="str">
        <f>IFERROR(__xludf.DUMMYFUNCTION("""COMPUTED_VALUE"""),"Male")</f>
        <v>Male</v>
      </c>
      <c r="G382" s="5">
        <f>IFERROR(__xludf.DUMMYFUNCTION("""COMPUTED_VALUE"""),0.004932790509259258)</f>
        <v>0.004932790509</v>
      </c>
      <c r="H382" s="14">
        <f>IFERROR(__xludf.DUMMYFUNCTION("""COMPUTED_VALUE"""),0.24646185185185185)</f>
        <v>0.2464618519</v>
      </c>
      <c r="I382" s="15">
        <f>IFERROR(__xludf.DUMMYFUNCTION("""COMPUTED_VALUE"""),45949.29578975777)</f>
        <v>45949.29579</v>
      </c>
      <c r="J382" s="15">
        <f>IFERROR(__xludf.DUMMYFUNCTION("""COMPUTED_VALUE"""),45949.04932790592)</f>
        <v>45949.04933</v>
      </c>
      <c r="K382" s="15">
        <f>IFERROR(__xludf.DUMMYFUNCTION("""COMPUTED_VALUE"""),45949.25886696133)</f>
        <v>45949.25887</v>
      </c>
      <c r="L382" s="15">
        <f>IFERROR(__xludf.DUMMYFUNCTION("""COMPUTED_VALUE"""),45949.288155185306)</f>
        <v>45949.28816</v>
      </c>
    </row>
    <row r="383">
      <c r="A383" s="1">
        <f>IFERROR(__xludf.DUMMYFUNCTION("""COMPUTED_VALUE"""),382.0)</f>
        <v>382</v>
      </c>
      <c r="B383" s="1">
        <f>IFERROR(__xludf.DUMMYFUNCTION("""COMPUTED_VALUE"""),12085.0)</f>
        <v>12085</v>
      </c>
      <c r="C383" s="13" t="str">
        <f>IFERROR(__xludf.DUMMYFUNCTION("""COMPUTED_VALUE"""),"abd XXV")</f>
        <v>abd XXV</v>
      </c>
      <c r="D383" s="2" t="str">
        <f>IFERROR(__xludf.DUMMYFUNCTION("""COMPUTED_VALUE"""),"10KM MASTER M")</f>
        <v>10KM MASTER M</v>
      </c>
      <c r="E383" s="1">
        <f>IFERROR(__xludf.DUMMYFUNCTION("""COMPUTED_VALUE"""),36.0)</f>
        <v>36</v>
      </c>
      <c r="F383" s="1" t="str">
        <f>IFERROR(__xludf.DUMMYFUNCTION("""COMPUTED_VALUE"""),"Male")</f>
        <v>Male</v>
      </c>
      <c r="G383" s="5">
        <f>IFERROR(__xludf.DUMMYFUNCTION("""COMPUTED_VALUE"""),0.00493452199074074)</f>
        <v>0.004934521991</v>
      </c>
      <c r="H383" s="14">
        <f>IFERROR(__xludf.DUMMYFUNCTION("""COMPUTED_VALUE"""),0.24646185185185185)</f>
        <v>0.2464618519</v>
      </c>
      <c r="I383" s="15">
        <f>IFERROR(__xludf.DUMMYFUNCTION("""COMPUTED_VALUE"""),45949.295807072725)</f>
        <v>45949.29581</v>
      </c>
      <c r="J383" s="15">
        <f>IFERROR(__xludf.DUMMYFUNCTION("""COMPUTED_VALUE"""),45949.049345220876)</f>
        <v>45949.04935</v>
      </c>
      <c r="K383" s="15">
        <f>IFERROR(__xludf.DUMMYFUNCTION("""COMPUTED_VALUE"""),45949.256922536064)</f>
        <v>45949.25692</v>
      </c>
      <c r="L383" s="15">
        <f>IFERROR(__xludf.DUMMYFUNCTION("""COMPUTED_VALUE"""),45949.28660311392)</f>
        <v>45949.2866</v>
      </c>
    </row>
    <row r="384">
      <c r="A384" s="1">
        <f>IFERROR(__xludf.DUMMYFUNCTION("""COMPUTED_VALUE"""),383.0)</f>
        <v>383</v>
      </c>
      <c r="B384" s="1">
        <f>IFERROR(__xludf.DUMMYFUNCTION("""COMPUTED_VALUE"""),10291.0)</f>
        <v>10291</v>
      </c>
      <c r="C384" s="13" t="str">
        <f>IFERROR(__xludf.DUMMYFUNCTION("""COMPUTED_VALUE"""),"Aulia Shay")</f>
        <v>Aulia Shay</v>
      </c>
      <c r="D384" s="2" t="str">
        <f>IFERROR(__xludf.DUMMYFUNCTION("""COMPUTED_VALUE"""),"10KM OVERALL M")</f>
        <v>10KM OVERALL M</v>
      </c>
      <c r="E384" s="1">
        <f>IFERROR(__xludf.DUMMYFUNCTION("""COMPUTED_VALUE"""),322.0)</f>
        <v>322</v>
      </c>
      <c r="F384" s="1" t="str">
        <f>IFERROR(__xludf.DUMMYFUNCTION("""COMPUTED_VALUE"""),"Male")</f>
        <v>Male</v>
      </c>
      <c r="G384" s="5">
        <f>IFERROR(__xludf.DUMMYFUNCTION("""COMPUTED_VALUE"""),0.00493696412037037)</f>
        <v>0.00493696412</v>
      </c>
      <c r="H384" s="14">
        <f>IFERROR(__xludf.DUMMYFUNCTION("""COMPUTED_VALUE"""),0.24646185185185185)</f>
        <v>0.2464618519</v>
      </c>
      <c r="I384" s="15">
        <f>IFERROR(__xludf.DUMMYFUNCTION("""COMPUTED_VALUE"""),45949.295831494295)</f>
        <v>45949.29583</v>
      </c>
      <c r="J384" s="15">
        <f>IFERROR(__xludf.DUMMYFUNCTION("""COMPUTED_VALUE"""),45949.049369642446)</f>
        <v>45949.04937</v>
      </c>
      <c r="K384" s="15">
        <f>IFERROR(__xludf.DUMMYFUNCTION("""COMPUTED_VALUE"""),45949.258877434484)</f>
        <v>45949.25888</v>
      </c>
      <c r="L384" s="15">
        <f>IFERROR(__xludf.DUMMYFUNCTION("""COMPUTED_VALUE"""),45949.2877698191)</f>
        <v>45949.28777</v>
      </c>
    </row>
    <row r="385">
      <c r="A385" s="1">
        <f>IFERROR(__xludf.DUMMYFUNCTION("""COMPUTED_VALUE"""),384.0)</f>
        <v>384</v>
      </c>
      <c r="B385" s="1">
        <f>IFERROR(__xludf.DUMMYFUNCTION("""COMPUTED_VALUE"""),10117.0)</f>
        <v>10117</v>
      </c>
      <c r="C385" s="13" t="str">
        <f>IFERROR(__xludf.DUMMYFUNCTION("""COMPUTED_VALUE"""),"Kinza")</f>
        <v>Kinza</v>
      </c>
      <c r="D385" s="2" t="str">
        <f>IFERROR(__xludf.DUMMYFUNCTION("""COMPUTED_VALUE"""),"10KM OVERALL M")</f>
        <v>10KM OVERALL M</v>
      </c>
      <c r="E385" s="1">
        <f>IFERROR(__xludf.DUMMYFUNCTION("""COMPUTED_VALUE"""),323.0)</f>
        <v>323</v>
      </c>
      <c r="F385" s="1" t="str">
        <f>IFERROR(__xludf.DUMMYFUNCTION("""COMPUTED_VALUE"""),"Male")</f>
        <v>Male</v>
      </c>
      <c r="G385" s="5">
        <f>IFERROR(__xludf.DUMMYFUNCTION("""COMPUTED_VALUE"""),0.004939040509259259)</f>
        <v>0.004939040509</v>
      </c>
      <c r="H385" s="14">
        <f>IFERROR(__xludf.DUMMYFUNCTION("""COMPUTED_VALUE"""),0.24646185185185185)</f>
        <v>0.2464618519</v>
      </c>
      <c r="I385" s="15">
        <f>IFERROR(__xludf.DUMMYFUNCTION("""COMPUTED_VALUE"""),45949.29585226044)</f>
        <v>45949.29585</v>
      </c>
      <c r="J385" s="15">
        <f>IFERROR(__xludf.DUMMYFUNCTION("""COMPUTED_VALUE"""),45949.04939040859)</f>
        <v>45949.04939</v>
      </c>
      <c r="K385" s="15">
        <f>IFERROR(__xludf.DUMMYFUNCTION("""COMPUTED_VALUE"""),45949.25798501996)</f>
        <v>45949.25799</v>
      </c>
      <c r="L385" s="15">
        <f>IFERROR(__xludf.DUMMYFUNCTION("""COMPUTED_VALUE"""),45949.28787394243)</f>
        <v>45949.28787</v>
      </c>
    </row>
    <row r="386">
      <c r="A386" s="1">
        <f>IFERROR(__xludf.DUMMYFUNCTION("""COMPUTED_VALUE"""),385.0)</f>
        <v>385</v>
      </c>
      <c r="B386" s="1">
        <f>IFERROR(__xludf.DUMMYFUNCTION("""COMPUTED_VALUE"""),10625.0)</f>
        <v>10625</v>
      </c>
      <c r="C386" s="13" t="str">
        <f>IFERROR(__xludf.DUMMYFUNCTION("""COMPUTED_VALUE"""),"BABANG DAYAT")</f>
        <v>BABANG DAYAT</v>
      </c>
      <c r="D386" s="2" t="str">
        <f>IFERROR(__xludf.DUMMYFUNCTION("""COMPUTED_VALUE"""),"10KM OVERALL M")</f>
        <v>10KM OVERALL M</v>
      </c>
      <c r="E386" s="1">
        <f>IFERROR(__xludf.DUMMYFUNCTION("""COMPUTED_VALUE"""),324.0)</f>
        <v>324</v>
      </c>
      <c r="F386" s="1" t="str">
        <f>IFERROR(__xludf.DUMMYFUNCTION("""COMPUTED_VALUE"""),"Male")</f>
        <v>Male</v>
      </c>
      <c r="G386" s="5">
        <f>IFERROR(__xludf.DUMMYFUNCTION("""COMPUTED_VALUE"""),0.004941471064814814)</f>
        <v>0.004941471065</v>
      </c>
      <c r="H386" s="14">
        <f>IFERROR(__xludf.DUMMYFUNCTION("""COMPUTED_VALUE"""),0.24646185185185185)</f>
        <v>0.2464618519</v>
      </c>
      <c r="I386" s="15">
        <f>IFERROR(__xludf.DUMMYFUNCTION("""COMPUTED_VALUE"""),45949.29587656254)</f>
        <v>45949.29588</v>
      </c>
      <c r="J386" s="15">
        <f>IFERROR(__xludf.DUMMYFUNCTION("""COMPUTED_VALUE"""),45949.04941471069)</f>
        <v>45949.04941</v>
      </c>
      <c r="K386" s="15">
        <f>IFERROR(__xludf.DUMMYFUNCTION("""COMPUTED_VALUE"""),45949.25906835508)</f>
        <v>45949.25907</v>
      </c>
      <c r="L386" s="15">
        <f>IFERROR(__xludf.DUMMYFUNCTION("""COMPUTED_VALUE"""),45949.28762742701)</f>
        <v>45949.28763</v>
      </c>
    </row>
    <row r="387">
      <c r="A387" s="1">
        <f>IFERROR(__xludf.DUMMYFUNCTION("""COMPUTED_VALUE"""),386.0)</f>
        <v>386</v>
      </c>
      <c r="B387" s="1">
        <f>IFERROR(__xludf.DUMMYFUNCTION("""COMPUTED_VALUE"""),10488.0)</f>
        <v>10488</v>
      </c>
      <c r="C387" s="13" t="str">
        <f>IFERROR(__xludf.DUMMYFUNCTION("""COMPUTED_VALUE"""),"Pelari Fomo")</f>
        <v>Pelari Fomo</v>
      </c>
      <c r="D387" s="2" t="str">
        <f>IFERROR(__xludf.DUMMYFUNCTION("""COMPUTED_VALUE"""),"10KM OVERALL M")</f>
        <v>10KM OVERALL M</v>
      </c>
      <c r="E387" s="1">
        <f>IFERROR(__xludf.DUMMYFUNCTION("""COMPUTED_VALUE"""),325.0)</f>
        <v>325</v>
      </c>
      <c r="F387" s="1" t="str">
        <f>IFERROR(__xludf.DUMMYFUNCTION("""COMPUTED_VALUE"""),"Male")</f>
        <v>Male</v>
      </c>
      <c r="G387" s="5">
        <f>IFERROR(__xludf.DUMMYFUNCTION("""COMPUTED_VALUE"""),0.004942252314814814)</f>
        <v>0.004942252315</v>
      </c>
      <c r="H387" s="14">
        <f>IFERROR(__xludf.DUMMYFUNCTION("""COMPUTED_VALUE"""),0.24646185185185185)</f>
        <v>0.2464618519</v>
      </c>
      <c r="I387" s="15">
        <f>IFERROR(__xludf.DUMMYFUNCTION("""COMPUTED_VALUE"""),45949.29588438039)</f>
        <v>45949.29588</v>
      </c>
      <c r="J387" s="15">
        <f>IFERROR(__xludf.DUMMYFUNCTION("""COMPUTED_VALUE"""),45949.049422528544)</f>
        <v>45949.04942</v>
      </c>
      <c r="K387" s="15">
        <f>IFERROR(__xludf.DUMMYFUNCTION("""COMPUTED_VALUE"""),45949.25706142168)</f>
        <v>45949.25706</v>
      </c>
      <c r="L387" s="15">
        <f>IFERROR(__xludf.DUMMYFUNCTION("""COMPUTED_VALUE"""),45949.28725589083)</f>
        <v>45949.28726</v>
      </c>
    </row>
    <row r="388">
      <c r="A388" s="1">
        <f>IFERROR(__xludf.DUMMYFUNCTION("""COMPUTED_VALUE"""),387.0)</f>
        <v>387</v>
      </c>
      <c r="B388" s="1">
        <f>IFERROR(__xludf.DUMMYFUNCTION("""COMPUTED_VALUE"""),10475.0)</f>
        <v>10475</v>
      </c>
      <c r="C388" s="13" t="str">
        <f>IFERROR(__xludf.DUMMYFUNCTION("""COMPUTED_VALUE"""),"nabil el")</f>
        <v>nabil el</v>
      </c>
      <c r="D388" s="2" t="str">
        <f>IFERROR(__xludf.DUMMYFUNCTION("""COMPUTED_VALUE"""),"10KM OVERALL M")</f>
        <v>10KM OVERALL M</v>
      </c>
      <c r="E388" s="1">
        <f>IFERROR(__xludf.DUMMYFUNCTION("""COMPUTED_VALUE"""),326.0)</f>
        <v>326</v>
      </c>
      <c r="F388" s="1" t="str">
        <f>IFERROR(__xludf.DUMMYFUNCTION("""COMPUTED_VALUE"""),"Male")</f>
        <v>Male</v>
      </c>
      <c r="G388" s="5">
        <f>IFERROR(__xludf.DUMMYFUNCTION("""COMPUTED_VALUE"""),0.004942512731481482)</f>
        <v>0.004942512731</v>
      </c>
      <c r="H388" s="14">
        <f>IFERROR(__xludf.DUMMYFUNCTION("""COMPUTED_VALUE"""),0.24646185185185185)</f>
        <v>0.2464618519</v>
      </c>
      <c r="I388" s="15">
        <f>IFERROR(__xludf.DUMMYFUNCTION("""COMPUTED_VALUE"""),45949.295886980304)</f>
        <v>45949.29589</v>
      </c>
      <c r="J388" s="15">
        <f>IFERROR(__xludf.DUMMYFUNCTION("""COMPUTED_VALUE"""),45949.049425128454)</f>
        <v>45949.04943</v>
      </c>
      <c r="K388" s="15">
        <f>IFERROR(__xludf.DUMMYFUNCTION("""COMPUTED_VALUE"""),45949.25745383449)</f>
        <v>45949.25745</v>
      </c>
      <c r="L388" s="15">
        <f>IFERROR(__xludf.DUMMYFUNCTION("""COMPUTED_VALUE"""),45949.2884295079)</f>
        <v>45949.28843</v>
      </c>
    </row>
    <row r="389">
      <c r="A389" s="1">
        <f>IFERROR(__xludf.DUMMYFUNCTION("""COMPUTED_VALUE"""),388.0)</f>
        <v>388</v>
      </c>
      <c r="B389" s="1">
        <f>IFERROR(__xludf.DUMMYFUNCTION("""COMPUTED_VALUE"""),10622.0)</f>
        <v>10622</v>
      </c>
      <c r="C389" s="13" t="str">
        <f>IFERROR(__xludf.DUMMYFUNCTION("""COMPUTED_VALUE"""),"ALFANDY PERMANA")</f>
        <v>ALFANDY PERMANA</v>
      </c>
      <c r="D389" s="2" t="str">
        <f>IFERROR(__xludf.DUMMYFUNCTION("""COMPUTED_VALUE"""),"10KM OVERALL M")</f>
        <v>10KM OVERALL M</v>
      </c>
      <c r="E389" s="1">
        <f>IFERROR(__xludf.DUMMYFUNCTION("""COMPUTED_VALUE"""),327.0)</f>
        <v>327</v>
      </c>
      <c r="F389" s="1" t="str">
        <f>IFERROR(__xludf.DUMMYFUNCTION("""COMPUTED_VALUE"""),"Male")</f>
        <v>Male</v>
      </c>
      <c r="G389" s="5">
        <f>IFERROR(__xludf.DUMMYFUNCTION("""COMPUTED_VALUE"""),0.004945984953703704)</f>
        <v>0.004945984954</v>
      </c>
      <c r="H389" s="14">
        <f>IFERROR(__xludf.DUMMYFUNCTION("""COMPUTED_VALUE"""),0.24646185185185185)</f>
        <v>0.2464618519</v>
      </c>
      <c r="I389" s="15">
        <f>IFERROR(__xludf.DUMMYFUNCTION("""COMPUTED_VALUE"""),45949.29592169739)</f>
        <v>45949.29592</v>
      </c>
      <c r="J389" s="15">
        <f>IFERROR(__xludf.DUMMYFUNCTION("""COMPUTED_VALUE"""),45949.04945984554)</f>
        <v>45949.04946</v>
      </c>
      <c r="K389" s="15">
        <f>IFERROR(__xludf.DUMMYFUNCTION("""COMPUTED_VALUE"""),45949.25766910952)</f>
        <v>45949.25767</v>
      </c>
      <c r="L389" s="15">
        <f>IFERROR(__xludf.DUMMYFUNCTION("""COMPUTED_VALUE"""),45949.28703366349)</f>
        <v>45949.28703</v>
      </c>
    </row>
    <row r="390">
      <c r="A390" s="1">
        <f>IFERROR(__xludf.DUMMYFUNCTION("""COMPUTED_VALUE"""),389.0)</f>
        <v>389</v>
      </c>
      <c r="B390" s="1">
        <f>IFERROR(__xludf.DUMMYFUNCTION("""COMPUTED_VALUE"""),10472.0)</f>
        <v>10472</v>
      </c>
      <c r="C390" s="13" t="str">
        <f>IFERROR(__xludf.DUMMYFUNCTION("""COMPUTED_VALUE"""),"Abdurrahim")</f>
        <v>Abdurrahim</v>
      </c>
      <c r="D390" s="2" t="str">
        <f>IFERROR(__xludf.DUMMYFUNCTION("""COMPUTED_VALUE"""),"10KM OVERALL M")</f>
        <v>10KM OVERALL M</v>
      </c>
      <c r="E390" s="1">
        <f>IFERROR(__xludf.DUMMYFUNCTION("""COMPUTED_VALUE"""),328.0)</f>
        <v>328</v>
      </c>
      <c r="F390" s="1" t="str">
        <f>IFERROR(__xludf.DUMMYFUNCTION("""COMPUTED_VALUE"""),"Male")</f>
        <v>Male</v>
      </c>
      <c r="G390" s="5">
        <f>IFERROR(__xludf.DUMMYFUNCTION("""COMPUTED_VALUE"""),0.004950174768518519)</f>
        <v>0.004950174769</v>
      </c>
      <c r="H390" s="14">
        <f>IFERROR(__xludf.DUMMYFUNCTION("""COMPUTED_VALUE"""),0.24646185185185185)</f>
        <v>0.2464618519</v>
      </c>
      <c r="I390" s="15">
        <f>IFERROR(__xludf.DUMMYFUNCTION("""COMPUTED_VALUE"""),45949.29596360066)</f>
        <v>45949.29596</v>
      </c>
      <c r="J390" s="15">
        <f>IFERROR(__xludf.DUMMYFUNCTION("""COMPUTED_VALUE"""),45949.049501748814)</f>
        <v>45949.0495</v>
      </c>
      <c r="K390" s="15">
        <f>IFERROR(__xludf.DUMMYFUNCTION("""COMPUTED_VALUE"""),45949.25690171737)</f>
        <v>45949.2569</v>
      </c>
      <c r="L390" s="15">
        <f>IFERROR(__xludf.DUMMYFUNCTION("""COMPUTED_VALUE"""),45949.28681143376)</f>
        <v>45949.28681</v>
      </c>
    </row>
    <row r="391">
      <c r="A391" s="1">
        <f>IFERROR(__xludf.DUMMYFUNCTION("""COMPUTED_VALUE"""),390.0)</f>
        <v>390</v>
      </c>
      <c r="B391" s="1">
        <f>IFERROR(__xludf.DUMMYFUNCTION("""COMPUTED_VALUE"""),10564.0)</f>
        <v>10564</v>
      </c>
      <c r="C391" s="13" t="str">
        <f>IFERROR(__xludf.DUMMYFUNCTION("""COMPUTED_VALUE"""),"ARUL FIRDA")</f>
        <v>ARUL FIRDA</v>
      </c>
      <c r="D391" s="2" t="str">
        <f>IFERROR(__xludf.DUMMYFUNCTION("""COMPUTED_VALUE"""),"10KM OVERALL M")</f>
        <v>10KM OVERALL M</v>
      </c>
      <c r="E391" s="1">
        <f>IFERROR(__xludf.DUMMYFUNCTION("""COMPUTED_VALUE"""),329.0)</f>
        <v>329</v>
      </c>
      <c r="F391" s="1" t="str">
        <f>IFERROR(__xludf.DUMMYFUNCTION("""COMPUTED_VALUE"""),"Male")</f>
        <v>Male</v>
      </c>
      <c r="G391" s="5">
        <f>IFERROR(__xludf.DUMMYFUNCTION("""COMPUTED_VALUE"""),0.004968901620370371)</f>
        <v>0.00496890162</v>
      </c>
      <c r="H391" s="14">
        <f>IFERROR(__xludf.DUMMYFUNCTION("""COMPUTED_VALUE"""),0.24646185185185185)</f>
        <v>0.2464618519</v>
      </c>
      <c r="I391" s="15">
        <f>IFERROR(__xludf.DUMMYFUNCTION("""COMPUTED_VALUE"""),45949.29615086339)</f>
        <v>45949.29615</v>
      </c>
      <c r="J391" s="15">
        <f>IFERROR(__xludf.DUMMYFUNCTION("""COMPUTED_VALUE"""),45949.04968901154)</f>
        <v>45949.04969</v>
      </c>
      <c r="K391" s="15">
        <f>IFERROR(__xludf.DUMMYFUNCTION("""COMPUTED_VALUE"""),45949.258266326135)</f>
        <v>45949.25827</v>
      </c>
      <c r="L391" s="15">
        <f>IFERROR(__xludf.DUMMYFUNCTION("""COMPUTED_VALUE"""),45949.287495463395)</f>
        <v>45949.2875</v>
      </c>
    </row>
    <row r="392">
      <c r="A392" s="1">
        <f>IFERROR(__xludf.DUMMYFUNCTION("""COMPUTED_VALUE"""),391.0)</f>
        <v>391</v>
      </c>
      <c r="B392" s="1">
        <f>IFERROR(__xludf.DUMMYFUNCTION("""COMPUTED_VALUE"""),10225.0)</f>
        <v>10225</v>
      </c>
      <c r="C392" s="13" t="str">
        <f>IFERROR(__xludf.DUMMYFUNCTION("""COMPUTED_VALUE"""),"Wahyu")</f>
        <v>Wahyu</v>
      </c>
      <c r="D392" s="2" t="str">
        <f>IFERROR(__xludf.DUMMYFUNCTION("""COMPUTED_VALUE"""),"10KM OVERALL M")</f>
        <v>10KM OVERALL M</v>
      </c>
      <c r="E392" s="1">
        <f>IFERROR(__xludf.DUMMYFUNCTION("""COMPUTED_VALUE"""),330.0)</f>
        <v>330</v>
      </c>
      <c r="F392" s="1" t="str">
        <f>IFERROR(__xludf.DUMMYFUNCTION("""COMPUTED_VALUE"""),"Male")</f>
        <v>Male</v>
      </c>
      <c r="G392" s="5">
        <f>IFERROR(__xludf.DUMMYFUNCTION("""COMPUTED_VALUE"""),0.004968902777777778)</f>
        <v>0.004968902778</v>
      </c>
      <c r="H392" s="14">
        <f>IFERROR(__xludf.DUMMYFUNCTION("""COMPUTED_VALUE"""),0.24646185185185185)</f>
        <v>0.2464618519</v>
      </c>
      <c r="I392" s="15">
        <f>IFERROR(__xludf.DUMMYFUNCTION("""COMPUTED_VALUE"""),45949.29615087696)</f>
        <v>45949.29615</v>
      </c>
      <c r="J392" s="15">
        <f>IFERROR(__xludf.DUMMYFUNCTION("""COMPUTED_VALUE"""),45949.04968902511)</f>
        <v>45949.04969</v>
      </c>
      <c r="K392" s="15">
        <f>IFERROR(__xludf.DUMMYFUNCTION("""COMPUTED_VALUE"""),45949.25765517189)</f>
        <v>45949.25766</v>
      </c>
      <c r="L392" s="15">
        <f>IFERROR(__xludf.DUMMYFUNCTION("""COMPUTED_VALUE"""),45949.287273238595)</f>
        <v>45949.28727</v>
      </c>
    </row>
    <row r="393">
      <c r="A393" s="1">
        <f>IFERROR(__xludf.DUMMYFUNCTION("""COMPUTED_VALUE"""),392.0)</f>
        <v>392</v>
      </c>
      <c r="B393" s="1">
        <f>IFERROR(__xludf.DUMMYFUNCTION("""COMPUTED_VALUE"""),10581.0)</f>
        <v>10581</v>
      </c>
      <c r="C393" s="13" t="str">
        <f>IFERROR(__xludf.DUMMYFUNCTION("""COMPUTED_VALUE"""),"Haegel Rizfian")</f>
        <v>Haegel Rizfian</v>
      </c>
      <c r="D393" s="2" t="str">
        <f>IFERROR(__xludf.DUMMYFUNCTION("""COMPUTED_VALUE"""),"10KM OVERALL M")</f>
        <v>10KM OVERALL M</v>
      </c>
      <c r="E393" s="1">
        <f>IFERROR(__xludf.DUMMYFUNCTION("""COMPUTED_VALUE"""),331.0)</f>
        <v>331</v>
      </c>
      <c r="F393" s="1" t="str">
        <f>IFERROR(__xludf.DUMMYFUNCTION("""COMPUTED_VALUE"""),"Male")</f>
        <v>Male</v>
      </c>
      <c r="G393" s="5">
        <f>IFERROR(__xludf.DUMMYFUNCTION("""COMPUTED_VALUE"""),0.004970986111111111)</f>
        <v>0.004970986111</v>
      </c>
      <c r="H393" s="14">
        <f>IFERROR(__xludf.DUMMYFUNCTION("""COMPUTED_VALUE"""),0.24646185185185185)</f>
        <v>0.2464618519</v>
      </c>
      <c r="I393" s="15">
        <f>IFERROR(__xludf.DUMMYFUNCTION("""COMPUTED_VALUE"""),45949.296171712966)</f>
        <v>45949.29617</v>
      </c>
      <c r="J393" s="15">
        <f>IFERROR(__xludf.DUMMYFUNCTION("""COMPUTED_VALUE"""),45949.049709861116)</f>
        <v>45949.04971</v>
      </c>
      <c r="K393" s="15">
        <f>IFERROR(__xludf.DUMMYFUNCTION("""COMPUTED_VALUE"""),45949.257891286616)</f>
        <v>45949.25789</v>
      </c>
      <c r="L393" s="15">
        <f>IFERROR(__xludf.DUMMYFUNCTION("""COMPUTED_VALUE"""),45949.287342701944)</f>
        <v>45949.28734</v>
      </c>
    </row>
    <row r="394">
      <c r="A394" s="1">
        <f>IFERROR(__xludf.DUMMYFUNCTION("""COMPUTED_VALUE"""),393.0)</f>
        <v>393</v>
      </c>
      <c r="B394" s="1">
        <f>IFERROR(__xludf.DUMMYFUNCTION("""COMPUTED_VALUE"""),10746.0)</f>
        <v>10746</v>
      </c>
      <c r="C394" s="13" t="str">
        <f>IFERROR(__xludf.DUMMYFUNCTION("""COMPUTED_VALUE"""),"MARISON")</f>
        <v>MARISON</v>
      </c>
      <c r="D394" s="2" t="str">
        <f>IFERROR(__xludf.DUMMYFUNCTION("""COMPUTED_VALUE"""),"10KM OVERALL M")</f>
        <v>10KM OVERALL M</v>
      </c>
      <c r="E394" s="1">
        <f>IFERROR(__xludf.DUMMYFUNCTION("""COMPUTED_VALUE"""),332.0)</f>
        <v>332</v>
      </c>
      <c r="F394" s="1" t="str">
        <f>IFERROR(__xludf.DUMMYFUNCTION("""COMPUTED_VALUE"""),"Male")</f>
        <v>Male</v>
      </c>
      <c r="G394" s="5">
        <f>IFERROR(__xludf.DUMMYFUNCTION("""COMPUTED_VALUE"""),0.004971679398148148)</f>
        <v>0.004971679398</v>
      </c>
      <c r="H394" s="14">
        <f>IFERROR(__xludf.DUMMYFUNCTION("""COMPUTED_VALUE"""),0.24646185185185185)</f>
        <v>0.2464618519</v>
      </c>
      <c r="I394" s="15">
        <f>IFERROR(__xludf.DUMMYFUNCTION("""COMPUTED_VALUE"""),45949.296178643446)</f>
        <v>45949.29618</v>
      </c>
      <c r="J394" s="15">
        <f>IFERROR(__xludf.DUMMYFUNCTION("""COMPUTED_VALUE"""),45949.0497167916)</f>
        <v>45949.04972</v>
      </c>
      <c r="K394" s="15">
        <f>IFERROR(__xludf.DUMMYFUNCTION("""COMPUTED_VALUE"""),45949.256974612894)</f>
        <v>45949.25697</v>
      </c>
      <c r="L394" s="15">
        <f>IFERROR(__xludf.DUMMYFUNCTION("""COMPUTED_VALUE"""),45949.286703781734)</f>
        <v>45949.2867</v>
      </c>
    </row>
    <row r="395">
      <c r="A395" s="1">
        <f>IFERROR(__xludf.DUMMYFUNCTION("""COMPUTED_VALUE"""),394.0)</f>
        <v>394</v>
      </c>
      <c r="B395" s="1">
        <f>IFERROR(__xludf.DUMMYFUNCTION("""COMPUTED_VALUE"""),10029.0)</f>
        <v>10029</v>
      </c>
      <c r="C395" s="13" t="str">
        <f>IFERROR(__xludf.DUMMYFUNCTION("""COMPUTED_VALUE"""),"GUSTI RUDI")</f>
        <v>GUSTI RUDI</v>
      </c>
      <c r="D395" s="2" t="str">
        <f>IFERROR(__xludf.DUMMYFUNCTION("""COMPUTED_VALUE"""),"10KM OVERALL M")</f>
        <v>10KM OVERALL M</v>
      </c>
      <c r="E395" s="1">
        <f>IFERROR(__xludf.DUMMYFUNCTION("""COMPUTED_VALUE"""),333.0)</f>
        <v>333</v>
      </c>
      <c r="F395" s="1" t="str">
        <f>IFERROR(__xludf.DUMMYFUNCTION("""COMPUTED_VALUE"""),"Male")</f>
        <v>Male</v>
      </c>
      <c r="G395" s="5">
        <f>IFERROR(__xludf.DUMMYFUNCTION("""COMPUTED_VALUE"""),0.0049744583333333325)</f>
        <v>0.004974458333</v>
      </c>
      <c r="H395" s="14">
        <f>IFERROR(__xludf.DUMMYFUNCTION("""COMPUTED_VALUE"""),0.24646185185185185)</f>
        <v>0.2464618519</v>
      </c>
      <c r="I395" s="15">
        <f>IFERROR(__xludf.DUMMYFUNCTION("""COMPUTED_VALUE"""),45949.29620643845)</f>
        <v>45949.29621</v>
      </c>
      <c r="J395" s="15">
        <f>IFERROR(__xludf.DUMMYFUNCTION("""COMPUTED_VALUE"""),45949.0497445866)</f>
        <v>45949.04974</v>
      </c>
      <c r="K395" s="15">
        <f>IFERROR(__xludf.DUMMYFUNCTION("""COMPUTED_VALUE"""),45949.25595098932)</f>
        <v>45949.25595</v>
      </c>
      <c r="L395" s="15">
        <f>IFERROR(__xludf.DUMMYFUNCTION("""COMPUTED_VALUE"""),45949.287099637)</f>
        <v>45949.2871</v>
      </c>
    </row>
    <row r="396">
      <c r="A396" s="1">
        <f>IFERROR(__xludf.DUMMYFUNCTION("""COMPUTED_VALUE"""),395.0)</f>
        <v>395</v>
      </c>
      <c r="B396" s="1">
        <f>IFERROR(__xludf.DUMMYFUNCTION("""COMPUTED_VALUE"""),10440.0)</f>
        <v>10440</v>
      </c>
      <c r="C396" s="13" t="str">
        <f>IFERROR(__xludf.DUMMYFUNCTION("""COMPUTED_VALUE"""),"DAFFA SOELISTIJONO")</f>
        <v>DAFFA SOELISTIJONO</v>
      </c>
      <c r="D396" s="2" t="str">
        <f>IFERROR(__xludf.DUMMYFUNCTION("""COMPUTED_VALUE"""),"10KM OVERALL M")</f>
        <v>10KM OVERALL M</v>
      </c>
      <c r="E396" s="1">
        <f>IFERROR(__xludf.DUMMYFUNCTION("""COMPUTED_VALUE"""),334.0)</f>
        <v>334</v>
      </c>
      <c r="F396" s="1" t="str">
        <f>IFERROR(__xludf.DUMMYFUNCTION("""COMPUTED_VALUE"""),"Male")</f>
        <v>Male</v>
      </c>
      <c r="G396" s="5">
        <f>IFERROR(__xludf.DUMMYFUNCTION("""COMPUTED_VALUE"""),0.004984875)</f>
        <v>0.004984875</v>
      </c>
      <c r="H396" s="14">
        <f>IFERROR(__xludf.DUMMYFUNCTION("""COMPUTED_VALUE"""),0.24646185185185185)</f>
        <v>0.2464618519</v>
      </c>
      <c r="I396" s="15">
        <f>IFERROR(__xludf.DUMMYFUNCTION("""COMPUTED_VALUE"""),45949.29631059627)</f>
        <v>45949.29631</v>
      </c>
      <c r="J396" s="15">
        <f>IFERROR(__xludf.DUMMYFUNCTION("""COMPUTED_VALUE"""),45949.04984874442)</f>
        <v>45949.04985</v>
      </c>
      <c r="K396" s="15">
        <f>IFERROR(__xludf.DUMMYFUNCTION("""COMPUTED_VALUE"""),45949.257759350374)</f>
        <v>45949.25776</v>
      </c>
      <c r="L396" s="15">
        <f>IFERROR(__xludf.DUMMYFUNCTION("""COMPUTED_VALUE"""),45949.28722810507)</f>
        <v>45949.28723</v>
      </c>
    </row>
    <row r="397">
      <c r="A397" s="1">
        <f>IFERROR(__xludf.DUMMYFUNCTION("""COMPUTED_VALUE"""),396.0)</f>
        <v>396</v>
      </c>
      <c r="B397" s="1">
        <f>IFERROR(__xludf.DUMMYFUNCTION("""COMPUTED_VALUE"""),10231.0)</f>
        <v>10231</v>
      </c>
      <c r="C397" s="13" t="str">
        <f>IFERROR(__xludf.DUMMYFUNCTION("""COMPUTED_VALUE"""),"Gusti Aspianur")</f>
        <v>Gusti Aspianur</v>
      </c>
      <c r="D397" s="2" t="str">
        <f>IFERROR(__xludf.DUMMYFUNCTION("""COMPUTED_VALUE"""),"10KM OVERALL M")</f>
        <v>10KM OVERALL M</v>
      </c>
      <c r="E397" s="1">
        <f>IFERROR(__xludf.DUMMYFUNCTION("""COMPUTED_VALUE"""),335.0)</f>
        <v>335</v>
      </c>
      <c r="F397" s="1" t="str">
        <f>IFERROR(__xludf.DUMMYFUNCTION("""COMPUTED_VALUE"""),"Male")</f>
        <v>Male</v>
      </c>
      <c r="G397" s="5">
        <f>IFERROR(__xludf.DUMMYFUNCTION("""COMPUTED_VALUE"""),0.004985603009259259)</f>
        <v>0.004985603009</v>
      </c>
      <c r="H397" s="14">
        <f>IFERROR(__xludf.DUMMYFUNCTION("""COMPUTED_VALUE"""),0.24646185185185185)</f>
        <v>0.2464618519</v>
      </c>
      <c r="I397" s="15">
        <f>IFERROR(__xludf.DUMMYFUNCTION("""COMPUTED_VALUE"""),45949.29631788463)</f>
        <v>45949.29632</v>
      </c>
      <c r="J397" s="15">
        <f>IFERROR(__xludf.DUMMYFUNCTION("""COMPUTED_VALUE"""),45949.04985603278)</f>
        <v>45949.04986</v>
      </c>
      <c r="K397" s="15">
        <f>IFERROR(__xludf.DUMMYFUNCTION("""COMPUTED_VALUE"""),45949.2570961276)</f>
        <v>45949.2571</v>
      </c>
      <c r="L397" s="15">
        <f>IFERROR(__xludf.DUMMYFUNCTION("""COMPUTED_VALUE"""),45949.28674893592)</f>
        <v>45949.28675</v>
      </c>
    </row>
    <row r="398">
      <c r="A398" s="1">
        <f>IFERROR(__xludf.DUMMYFUNCTION("""COMPUTED_VALUE"""),397.0)</f>
        <v>397</v>
      </c>
      <c r="B398" s="1">
        <f>IFERROR(__xludf.DUMMYFUNCTION("""COMPUTED_VALUE"""),10055.0)</f>
        <v>10055</v>
      </c>
      <c r="C398" s="13" t="str">
        <f>IFERROR(__xludf.DUMMYFUNCTION("""COMPUTED_VALUE"""),"Muhammad Hasanul Basri")</f>
        <v>Muhammad Hasanul Basri</v>
      </c>
      <c r="D398" s="2" t="str">
        <f>IFERROR(__xludf.DUMMYFUNCTION("""COMPUTED_VALUE"""),"10KM OVERALL M")</f>
        <v>10KM OVERALL M</v>
      </c>
      <c r="E398" s="1">
        <f>IFERROR(__xludf.DUMMYFUNCTION("""COMPUTED_VALUE"""),336.0)</f>
        <v>336</v>
      </c>
      <c r="F398" s="1" t="str">
        <f>IFERROR(__xludf.DUMMYFUNCTION("""COMPUTED_VALUE"""),"Male")</f>
        <v>Male</v>
      </c>
      <c r="G398" s="5">
        <f>IFERROR(__xludf.DUMMYFUNCTION("""COMPUTED_VALUE"""),0.004996366898148148)</f>
        <v>0.004996366898</v>
      </c>
      <c r="H398" s="14">
        <f>IFERROR(__xludf.DUMMYFUNCTION("""COMPUTED_VALUE"""),0.24646185185185185)</f>
        <v>0.2464618519</v>
      </c>
      <c r="I398" s="15">
        <f>IFERROR(__xludf.DUMMYFUNCTION("""COMPUTED_VALUE"""),45949.29642552027)</f>
        <v>45949.29643</v>
      </c>
      <c r="J398" s="15">
        <f>IFERROR(__xludf.DUMMYFUNCTION("""COMPUTED_VALUE"""),45949.04996366842)</f>
        <v>45949.04996</v>
      </c>
      <c r="K398" s="15">
        <f>IFERROR(__xludf.DUMMYFUNCTION("""COMPUTED_VALUE"""),45949.2600371611)</f>
        <v>45949.26004</v>
      </c>
      <c r="L398" s="15">
        <f>IFERROR(__xludf.DUMMYFUNCTION("""COMPUTED_VALUE"""),45949.28816562944)</f>
        <v>45949.28817</v>
      </c>
    </row>
    <row r="399">
      <c r="A399" s="1">
        <f>IFERROR(__xludf.DUMMYFUNCTION("""COMPUTED_VALUE"""),398.0)</f>
        <v>398</v>
      </c>
      <c r="B399" s="1">
        <f>IFERROR(__xludf.DUMMYFUNCTION("""COMPUTED_VALUE"""),10008.0)</f>
        <v>10008</v>
      </c>
      <c r="C399" s="13" t="str">
        <f>IFERROR(__xludf.DUMMYFUNCTION("""COMPUTED_VALUE"""),"Rilo DB")</f>
        <v>Rilo DB</v>
      </c>
      <c r="D399" s="2" t="str">
        <f>IFERROR(__xludf.DUMMYFUNCTION("""COMPUTED_VALUE"""),"10KM OVERALL M")</f>
        <v>10KM OVERALL M</v>
      </c>
      <c r="E399" s="1">
        <f>IFERROR(__xludf.DUMMYFUNCTION("""COMPUTED_VALUE"""),337.0)</f>
        <v>337</v>
      </c>
      <c r="F399" s="1" t="str">
        <f>IFERROR(__xludf.DUMMYFUNCTION("""COMPUTED_VALUE"""),"Male")</f>
        <v>Male</v>
      </c>
      <c r="G399" s="5">
        <f>IFERROR(__xludf.DUMMYFUNCTION("""COMPUTED_VALUE"""),0.005001962962962963)</f>
        <v>0.005001962963</v>
      </c>
      <c r="H399" s="14">
        <f>IFERROR(__xludf.DUMMYFUNCTION("""COMPUTED_VALUE"""),0.24646185185185185)</f>
        <v>0.2464618519</v>
      </c>
      <c r="I399" s="15">
        <f>IFERROR(__xludf.DUMMYFUNCTION("""COMPUTED_VALUE"""),45949.296481481484)</f>
        <v>45949.29648</v>
      </c>
      <c r="J399" s="15">
        <f>IFERROR(__xludf.DUMMYFUNCTION("""COMPUTED_VALUE"""),45949.050019629634)</f>
        <v>45949.05002</v>
      </c>
      <c r="K399" s="15">
        <f>IFERROR(__xludf.DUMMYFUNCTION("""COMPUTED_VALUE"""),45949.25903711974)</f>
        <v>45949.25904</v>
      </c>
      <c r="L399" s="15">
        <f>IFERROR(__xludf.DUMMYFUNCTION("""COMPUTED_VALUE"""),45949.28877325183)</f>
        <v>45949.28877</v>
      </c>
    </row>
    <row r="400">
      <c r="A400" s="1">
        <f>IFERROR(__xludf.DUMMYFUNCTION("""COMPUTED_VALUE"""),399.0)</f>
        <v>399</v>
      </c>
      <c r="B400" s="1">
        <f>IFERROR(__xludf.DUMMYFUNCTION("""COMPUTED_VALUE"""),10087.0)</f>
        <v>10087</v>
      </c>
      <c r="C400" s="13" t="str">
        <f>IFERROR(__xludf.DUMMYFUNCTION("""COMPUTED_VALUE"""),"FITRIYADI")</f>
        <v>FITRIYADI</v>
      </c>
      <c r="D400" s="2" t="str">
        <f>IFERROR(__xludf.DUMMYFUNCTION("""COMPUTED_VALUE"""),"10KM OVERALL M")</f>
        <v>10KM OVERALL M</v>
      </c>
      <c r="E400" s="1">
        <f>IFERROR(__xludf.DUMMYFUNCTION("""COMPUTED_VALUE"""),338.0)</f>
        <v>338</v>
      </c>
      <c r="F400" s="1" t="str">
        <f>IFERROR(__xludf.DUMMYFUNCTION("""COMPUTED_VALUE"""),"Male")</f>
        <v>Male</v>
      </c>
      <c r="G400" s="5">
        <f>IFERROR(__xludf.DUMMYFUNCTION("""COMPUTED_VALUE"""),0.005003972222222222)</f>
        <v>0.005003972222</v>
      </c>
      <c r="H400" s="14">
        <f>IFERROR(__xludf.DUMMYFUNCTION("""COMPUTED_VALUE"""),0.24646185185185185)</f>
        <v>0.2464618519</v>
      </c>
      <c r="I400" s="15">
        <f>IFERROR(__xludf.DUMMYFUNCTION("""COMPUTED_VALUE"""),45949.29650156949)</f>
        <v>45949.2965</v>
      </c>
      <c r="J400" s="15">
        <f>IFERROR(__xludf.DUMMYFUNCTION("""COMPUTED_VALUE"""),45949.050039717644)</f>
        <v>45949.05004</v>
      </c>
      <c r="K400" s="15">
        <f>IFERROR(__xludf.DUMMYFUNCTION("""COMPUTED_VALUE"""),45949.25800238278)</f>
        <v>45949.258</v>
      </c>
      <c r="L400" s="15">
        <f>IFERROR(__xludf.DUMMYFUNCTION("""COMPUTED_VALUE"""),45949.28792952076)</f>
        <v>45949.28793</v>
      </c>
    </row>
    <row r="401">
      <c r="A401" s="1">
        <f>IFERROR(__xludf.DUMMYFUNCTION("""COMPUTED_VALUE"""),400.0)</f>
        <v>400</v>
      </c>
      <c r="B401" s="1">
        <f>IFERROR(__xludf.DUMMYFUNCTION("""COMPUTED_VALUE"""),12006.0)</f>
        <v>12006</v>
      </c>
      <c r="C401" s="13" t="str">
        <f>IFERROR(__xludf.DUMMYFUNCTION("""COMPUTED_VALUE"""),"ISDARYANTO")</f>
        <v>ISDARYANTO</v>
      </c>
      <c r="D401" s="2" t="str">
        <f>IFERROR(__xludf.DUMMYFUNCTION("""COMPUTED_VALUE"""),"10KM MASTER M")</f>
        <v>10KM MASTER M</v>
      </c>
      <c r="E401" s="1">
        <f>IFERROR(__xludf.DUMMYFUNCTION("""COMPUTED_VALUE"""),37.0)</f>
        <v>37</v>
      </c>
      <c r="F401" s="1" t="str">
        <f>IFERROR(__xludf.DUMMYFUNCTION("""COMPUTED_VALUE"""),"Male")</f>
        <v>Male</v>
      </c>
      <c r="G401" s="5">
        <f>IFERROR(__xludf.DUMMYFUNCTION("""COMPUTED_VALUE"""),0.005006402777777778)</f>
        <v>0.005006402778</v>
      </c>
      <c r="H401" s="14">
        <f>IFERROR(__xludf.DUMMYFUNCTION("""COMPUTED_VALUE"""),0.24646185185185185)</f>
        <v>0.2464618519</v>
      </c>
      <c r="I401" s="15">
        <f>IFERROR(__xludf.DUMMYFUNCTION("""COMPUTED_VALUE"""),45949.296525882)</f>
        <v>45949.29653</v>
      </c>
      <c r="J401" s="15">
        <f>IFERROR(__xludf.DUMMYFUNCTION("""COMPUTED_VALUE"""),45949.05006403015)</f>
        <v>45949.05006</v>
      </c>
      <c r="K401" s="15">
        <f>IFERROR(__xludf.DUMMYFUNCTION("""COMPUTED_VALUE"""),45949.258057945495)</f>
        <v>45949.25806</v>
      </c>
      <c r="L401" s="15">
        <f>IFERROR(__xludf.DUMMYFUNCTION("""COMPUTED_VALUE"""),45949.287870465785)</f>
        <v>45949.28787</v>
      </c>
    </row>
    <row r="402">
      <c r="A402" s="1">
        <f>IFERROR(__xludf.DUMMYFUNCTION("""COMPUTED_VALUE"""),401.0)</f>
        <v>401</v>
      </c>
      <c r="B402" s="1">
        <f>IFERROR(__xludf.DUMMYFUNCTION("""COMPUTED_VALUE"""),10490.0)</f>
        <v>10490</v>
      </c>
      <c r="C402" s="13" t="str">
        <f>IFERROR(__xludf.DUMMYFUNCTION("""COMPUTED_VALUE"""),"Pelari Dugong")</f>
        <v>Pelari Dugong</v>
      </c>
      <c r="D402" s="2" t="str">
        <f>IFERROR(__xludf.DUMMYFUNCTION("""COMPUTED_VALUE"""),"10KM OVERALL M")</f>
        <v>10KM OVERALL M</v>
      </c>
      <c r="E402" s="1">
        <f>IFERROR(__xludf.DUMMYFUNCTION("""COMPUTED_VALUE"""),339.0)</f>
        <v>339</v>
      </c>
      <c r="F402" s="1" t="str">
        <f>IFERROR(__xludf.DUMMYFUNCTION("""COMPUTED_VALUE"""),"Male")</f>
        <v>Male</v>
      </c>
      <c r="G402" s="5">
        <f>IFERROR(__xludf.DUMMYFUNCTION("""COMPUTED_VALUE"""),0.005006592592592592)</f>
        <v>0.005006592593</v>
      </c>
      <c r="H402" s="14">
        <f>IFERROR(__xludf.DUMMYFUNCTION("""COMPUTED_VALUE"""),0.24646185185185185)</f>
        <v>0.2464618519</v>
      </c>
      <c r="I402" s="15">
        <f>IFERROR(__xludf.DUMMYFUNCTION("""COMPUTED_VALUE"""),45949.29652777778)</f>
        <v>45949.29653</v>
      </c>
      <c r="J402" s="15">
        <f>IFERROR(__xludf.DUMMYFUNCTION("""COMPUTED_VALUE"""),45949.05006592593)</f>
        <v>45949.05007</v>
      </c>
      <c r="K402" s="15">
        <f>IFERROR(__xludf.DUMMYFUNCTION("""COMPUTED_VALUE"""),45949.25707188746)</f>
        <v>45949.25707</v>
      </c>
      <c r="L402" s="15">
        <f>IFERROR(__xludf.DUMMYFUNCTION("""COMPUTED_VALUE"""),45949.287294088186)</f>
        <v>45949.28729</v>
      </c>
    </row>
    <row r="403">
      <c r="A403" s="1">
        <f>IFERROR(__xludf.DUMMYFUNCTION("""COMPUTED_VALUE"""),402.0)</f>
        <v>402</v>
      </c>
      <c r="B403" s="1">
        <f>IFERROR(__xludf.DUMMYFUNCTION("""COMPUTED_VALUE"""),10575.0)</f>
        <v>10575</v>
      </c>
      <c r="C403" s="13" t="str">
        <f>IFERROR(__xludf.DUMMYFUNCTION("""COMPUTED_VALUE"""),"ELFXXYZ")</f>
        <v>ELFXXYZ</v>
      </c>
      <c r="D403" s="2" t="str">
        <f>IFERROR(__xludf.DUMMYFUNCTION("""COMPUTED_VALUE"""),"10KM OVERALL M")</f>
        <v>10KM OVERALL M</v>
      </c>
      <c r="E403" s="1">
        <f>IFERROR(__xludf.DUMMYFUNCTION("""COMPUTED_VALUE"""),340.0)</f>
        <v>340</v>
      </c>
      <c r="F403" s="1" t="str">
        <f>IFERROR(__xludf.DUMMYFUNCTION("""COMPUTED_VALUE"""),"Male")</f>
        <v>Male</v>
      </c>
      <c r="G403" s="5">
        <f>IFERROR(__xludf.DUMMYFUNCTION("""COMPUTED_VALUE"""),0.005006748842592593)</f>
        <v>0.005006748843</v>
      </c>
      <c r="H403" s="14">
        <f>IFERROR(__xludf.DUMMYFUNCTION("""COMPUTED_VALUE"""),0.24646185185185185)</f>
        <v>0.2464618519</v>
      </c>
      <c r="I403" s="15">
        <f>IFERROR(__xludf.DUMMYFUNCTION("""COMPUTED_VALUE"""),45949.2965293397)</f>
        <v>45949.29653</v>
      </c>
      <c r="J403" s="15">
        <f>IFERROR(__xludf.DUMMYFUNCTION("""COMPUTED_VALUE"""),45949.05006748785)</f>
        <v>45949.05007</v>
      </c>
      <c r="K403" s="15">
        <f>IFERROR(__xludf.DUMMYFUNCTION("""COMPUTED_VALUE"""),45949.260429527916)</f>
        <v>45949.26043</v>
      </c>
      <c r="L403" s="15">
        <f>IFERROR(__xludf.DUMMYFUNCTION("""COMPUTED_VALUE"""),45949.28817599591)</f>
        <v>45949.28818</v>
      </c>
    </row>
    <row r="404">
      <c r="A404" s="1">
        <f>IFERROR(__xludf.DUMMYFUNCTION("""COMPUTED_VALUE"""),403.0)</f>
        <v>403</v>
      </c>
      <c r="B404" s="1">
        <f>IFERROR(__xludf.DUMMYFUNCTION("""COMPUTED_VALUE"""),10502.0)</f>
        <v>10502</v>
      </c>
      <c r="C404" s="13" t="str">
        <f>IFERROR(__xludf.DUMMYFUNCTION("""COMPUTED_VALUE"""),"babalea")</f>
        <v>babalea</v>
      </c>
      <c r="D404" s="2" t="str">
        <f>IFERROR(__xludf.DUMMYFUNCTION("""COMPUTED_VALUE"""),"10KM OVERALL M")</f>
        <v>10KM OVERALL M</v>
      </c>
      <c r="E404" s="1">
        <f>IFERROR(__xludf.DUMMYFUNCTION("""COMPUTED_VALUE"""),341.0)</f>
        <v>341</v>
      </c>
      <c r="F404" s="1" t="str">
        <f>IFERROR(__xludf.DUMMYFUNCTION("""COMPUTED_VALUE"""),"Male")</f>
        <v>Male</v>
      </c>
      <c r="G404" s="5">
        <f>IFERROR(__xludf.DUMMYFUNCTION("""COMPUTED_VALUE"""),0.005007443287037037)</f>
        <v>0.005007443287</v>
      </c>
      <c r="H404" s="14">
        <f>IFERROR(__xludf.DUMMYFUNCTION("""COMPUTED_VALUE"""),0.24646185185185185)</f>
        <v>0.2464618519</v>
      </c>
      <c r="I404" s="15">
        <f>IFERROR(__xludf.DUMMYFUNCTION("""COMPUTED_VALUE"""),45949.296536281116)</f>
        <v>45949.29654</v>
      </c>
      <c r="J404" s="15">
        <f>IFERROR(__xludf.DUMMYFUNCTION("""COMPUTED_VALUE"""),45949.050074429266)</f>
        <v>45949.05007</v>
      </c>
      <c r="K404" s="15">
        <f>IFERROR(__xludf.DUMMYFUNCTION("""COMPUTED_VALUE"""),45949.260408636175)</f>
        <v>45949.26041</v>
      </c>
      <c r="L404" s="15">
        <f>IFERROR(__xludf.DUMMYFUNCTION("""COMPUTED_VALUE"""),45949.28814149187)</f>
        <v>45949.28814</v>
      </c>
    </row>
    <row r="405">
      <c r="A405" s="1">
        <f>IFERROR(__xludf.DUMMYFUNCTION("""COMPUTED_VALUE"""),404.0)</f>
        <v>404</v>
      </c>
      <c r="B405" s="1">
        <f>IFERROR(__xludf.DUMMYFUNCTION("""COMPUTED_VALUE"""),10473.0)</f>
        <v>10473</v>
      </c>
      <c r="C405" s="13" t="str">
        <f>IFERROR(__xludf.DUMMYFUNCTION("""COMPUTED_VALUE"""),"vijea")</f>
        <v>vijea</v>
      </c>
      <c r="D405" s="2" t="str">
        <f>IFERROR(__xludf.DUMMYFUNCTION("""COMPUTED_VALUE"""),"10KM OVERALL M")</f>
        <v>10KM OVERALL M</v>
      </c>
      <c r="E405" s="1">
        <f>IFERROR(__xludf.DUMMYFUNCTION("""COMPUTED_VALUE"""),342.0)</f>
        <v>342</v>
      </c>
      <c r="F405" s="1" t="str">
        <f>IFERROR(__xludf.DUMMYFUNCTION("""COMPUTED_VALUE"""),"Male")</f>
        <v>Male</v>
      </c>
      <c r="G405" s="5">
        <f>IFERROR(__xludf.DUMMYFUNCTION("""COMPUTED_VALUE"""),0.005009180555555556)</f>
        <v>0.005009180556</v>
      </c>
      <c r="H405" s="14">
        <f>IFERROR(__xludf.DUMMYFUNCTION("""COMPUTED_VALUE"""),0.24646185185185185)</f>
        <v>0.2464618519</v>
      </c>
      <c r="I405" s="15">
        <f>IFERROR(__xludf.DUMMYFUNCTION("""COMPUTED_VALUE"""),45949.296553657434)</f>
        <v>45949.29655</v>
      </c>
      <c r="J405" s="15">
        <f>IFERROR(__xludf.DUMMYFUNCTION("""COMPUTED_VALUE"""),45949.050091805584)</f>
        <v>45949.05009</v>
      </c>
      <c r="K405" s="15">
        <f>IFERROR(__xludf.DUMMYFUNCTION("""COMPUTED_VALUE"""),45949.257082254175)</f>
        <v>45949.25708</v>
      </c>
      <c r="L405" s="15">
        <f>IFERROR(__xludf.DUMMYFUNCTION("""COMPUTED_VALUE"""),45949.28771772737)</f>
        <v>45949.28772</v>
      </c>
    </row>
    <row r="406">
      <c r="A406" s="1">
        <f>IFERROR(__xludf.DUMMYFUNCTION("""COMPUTED_VALUE"""),405.0)</f>
        <v>405</v>
      </c>
      <c r="B406" s="1">
        <f>IFERROR(__xludf.DUMMYFUNCTION("""COMPUTED_VALUE"""),10494.0)</f>
        <v>10494</v>
      </c>
      <c r="C406" s="13" t="str">
        <f>IFERROR(__xludf.DUMMYFUNCTION("""COMPUTED_VALUE"""),"pelari biawak")</f>
        <v>pelari biawak</v>
      </c>
      <c r="D406" s="2" t="str">
        <f>IFERROR(__xludf.DUMMYFUNCTION("""COMPUTED_VALUE"""),"10KM OVERALL M")</f>
        <v>10KM OVERALL M</v>
      </c>
      <c r="E406" s="1">
        <f>IFERROR(__xludf.DUMMYFUNCTION("""COMPUTED_VALUE"""),343.0)</f>
        <v>343</v>
      </c>
      <c r="F406" s="1" t="str">
        <f>IFERROR(__xludf.DUMMYFUNCTION("""COMPUTED_VALUE"""),"Male")</f>
        <v>Male</v>
      </c>
      <c r="G406" s="5">
        <f>IFERROR(__xludf.DUMMYFUNCTION("""COMPUTED_VALUE"""),0.005010570601851851)</f>
        <v>0.005010570602</v>
      </c>
      <c r="H406" s="14">
        <f>IFERROR(__xludf.DUMMYFUNCTION("""COMPUTED_VALUE"""),0.24646185185185185)</f>
        <v>0.2464618519</v>
      </c>
      <c r="I406" s="15">
        <f>IFERROR(__xludf.DUMMYFUNCTION("""COMPUTED_VALUE"""),45949.296567557605)</f>
        <v>45949.29657</v>
      </c>
      <c r="J406" s="15">
        <f>IFERROR(__xludf.DUMMYFUNCTION("""COMPUTED_VALUE"""),45949.050105705755)</f>
        <v>45949.05011</v>
      </c>
      <c r="K406" s="15">
        <f>IFERROR(__xludf.DUMMYFUNCTION("""COMPUTED_VALUE"""),45949.25706488937)</f>
        <v>45949.25706</v>
      </c>
      <c r="L406" s="15">
        <f>IFERROR(__xludf.DUMMYFUNCTION("""COMPUTED_VALUE"""),45949.28789827069)</f>
        <v>45949.2879</v>
      </c>
    </row>
    <row r="407">
      <c r="A407" s="1">
        <f>IFERROR(__xludf.DUMMYFUNCTION("""COMPUTED_VALUE"""),406.0)</f>
        <v>406</v>
      </c>
      <c r="B407" s="1">
        <f>IFERROR(__xludf.DUMMYFUNCTION("""COMPUTED_VALUE"""),10651.0)</f>
        <v>10651</v>
      </c>
      <c r="C407" s="13" t="str">
        <f>IFERROR(__xludf.DUMMYFUNCTION("""COMPUTED_VALUE"""),"Pelari Siput")</f>
        <v>Pelari Siput</v>
      </c>
      <c r="D407" s="2" t="str">
        <f>IFERROR(__xludf.DUMMYFUNCTION("""COMPUTED_VALUE"""),"10KM OVERALL M")</f>
        <v>10KM OVERALL M</v>
      </c>
      <c r="E407" s="1">
        <f>IFERROR(__xludf.DUMMYFUNCTION("""COMPUTED_VALUE"""),344.0)</f>
        <v>344</v>
      </c>
      <c r="F407" s="1" t="str">
        <f>IFERROR(__xludf.DUMMYFUNCTION("""COMPUTED_VALUE"""),"Male")</f>
        <v>Male</v>
      </c>
      <c r="G407" s="5">
        <f>IFERROR(__xludf.DUMMYFUNCTION("""COMPUTED_VALUE"""),0.005011967592592593)</f>
        <v>0.005011967593</v>
      </c>
      <c r="H407" s="14">
        <f>IFERROR(__xludf.DUMMYFUNCTION("""COMPUTED_VALUE"""),0.24646185185185185)</f>
        <v>0.2464618519</v>
      </c>
      <c r="I407" s="15">
        <f>IFERROR(__xludf.DUMMYFUNCTION("""COMPUTED_VALUE"""),45949.296581524446)</f>
        <v>45949.29658</v>
      </c>
      <c r="J407" s="15">
        <f>IFERROR(__xludf.DUMMYFUNCTION("""COMPUTED_VALUE"""),45949.050119672596)</f>
        <v>45949.05012</v>
      </c>
      <c r="K407" s="15">
        <f>IFERROR(__xludf.DUMMYFUNCTION("""COMPUTED_VALUE"""),45949.25859265865)</f>
        <v>45949.25859</v>
      </c>
      <c r="L407" s="15">
        <f>IFERROR(__xludf.DUMMYFUNCTION("""COMPUTED_VALUE"""),45949.28728019233)</f>
        <v>45949.28728</v>
      </c>
    </row>
    <row r="408">
      <c r="A408" s="1">
        <f>IFERROR(__xludf.DUMMYFUNCTION("""COMPUTED_VALUE"""),407.0)</f>
        <v>407</v>
      </c>
      <c r="B408" s="1">
        <f>IFERROR(__xludf.DUMMYFUNCTION("""COMPUTED_VALUE"""),10090.0)</f>
        <v>10090</v>
      </c>
      <c r="C408" s="13" t="str">
        <f>IFERROR(__xludf.DUMMYFUNCTION("""COMPUTED_VALUE"""),"Helmi")</f>
        <v>Helmi</v>
      </c>
      <c r="D408" s="2" t="str">
        <f>IFERROR(__xludf.DUMMYFUNCTION("""COMPUTED_VALUE"""),"10KM OVERALL M")</f>
        <v>10KM OVERALL M</v>
      </c>
      <c r="E408" s="1">
        <f>IFERROR(__xludf.DUMMYFUNCTION("""COMPUTED_VALUE"""),345.0)</f>
        <v>345</v>
      </c>
      <c r="F408" s="1" t="str">
        <f>IFERROR(__xludf.DUMMYFUNCTION("""COMPUTED_VALUE"""),"Male")</f>
        <v>Male</v>
      </c>
      <c r="G408" s="5">
        <f>IFERROR(__xludf.DUMMYFUNCTION("""COMPUTED_VALUE"""),0.005012652777777777)</f>
        <v>0.005012652778</v>
      </c>
      <c r="H408" s="14">
        <f>IFERROR(__xludf.DUMMYFUNCTION("""COMPUTED_VALUE"""),0.24646185185185185)</f>
        <v>0.2464618519</v>
      </c>
      <c r="I408" s="15">
        <f>IFERROR(__xludf.DUMMYFUNCTION("""COMPUTED_VALUE"""),45949.29658837647)</f>
        <v>45949.29659</v>
      </c>
      <c r="J408" s="15">
        <f>IFERROR(__xludf.DUMMYFUNCTION("""COMPUTED_VALUE"""),45949.05012652462)</f>
        <v>45949.05013</v>
      </c>
      <c r="K408" s="15">
        <f>IFERROR(__xludf.DUMMYFUNCTION("""COMPUTED_VALUE"""),45949.25704058298)</f>
        <v>45949.25704</v>
      </c>
      <c r="L408" s="15">
        <f>IFERROR(__xludf.DUMMYFUNCTION("""COMPUTED_VALUE"""),45949.28761699815)</f>
        <v>45949.28762</v>
      </c>
    </row>
    <row r="409">
      <c r="A409" s="1">
        <f>IFERROR(__xludf.DUMMYFUNCTION("""COMPUTED_VALUE"""),408.0)</f>
        <v>408</v>
      </c>
      <c r="B409" s="1">
        <f>IFERROR(__xludf.DUMMYFUNCTION("""COMPUTED_VALUE"""),10015.0)</f>
        <v>10015</v>
      </c>
      <c r="C409" s="13" t="str">
        <f>IFERROR(__xludf.DUMMYFUNCTION("""COMPUTED_VALUE"""),"Khalid")</f>
        <v>Khalid</v>
      </c>
      <c r="D409" s="2" t="str">
        <f>IFERROR(__xludf.DUMMYFUNCTION("""COMPUTED_VALUE"""),"10KM OVERALL M")</f>
        <v>10KM OVERALL M</v>
      </c>
      <c r="E409" s="1">
        <f>IFERROR(__xludf.DUMMYFUNCTION("""COMPUTED_VALUE"""),346.0)</f>
        <v>346</v>
      </c>
      <c r="F409" s="1" t="str">
        <f>IFERROR(__xludf.DUMMYFUNCTION("""COMPUTED_VALUE"""),"Male")</f>
        <v>Male</v>
      </c>
      <c r="G409" s="5">
        <f>IFERROR(__xludf.DUMMYFUNCTION("""COMPUTED_VALUE"""),0.005016135416666666)</f>
        <v>0.005016135417</v>
      </c>
      <c r="H409" s="14">
        <f>IFERROR(__xludf.DUMMYFUNCTION("""COMPUTED_VALUE"""),0.24646185185185185)</f>
        <v>0.2464618519</v>
      </c>
      <c r="I409" s="15">
        <f>IFERROR(__xludf.DUMMYFUNCTION("""COMPUTED_VALUE"""),45949.296623200426)</f>
        <v>45949.29662</v>
      </c>
      <c r="J409" s="15">
        <f>IFERROR(__xludf.DUMMYFUNCTION("""COMPUTED_VALUE"""),45949.050161348576)</f>
        <v>45949.05016</v>
      </c>
      <c r="K409" s="15">
        <f>IFERROR(__xludf.DUMMYFUNCTION("""COMPUTED_VALUE"""),45949.257287114044)</f>
        <v>45949.25729</v>
      </c>
      <c r="L409" s="15">
        <f>IFERROR(__xludf.DUMMYFUNCTION("""COMPUTED_VALUE"""),45949.287905214325)</f>
        <v>45949.28791</v>
      </c>
    </row>
    <row r="410">
      <c r="A410" s="1">
        <f>IFERROR(__xludf.DUMMYFUNCTION("""COMPUTED_VALUE"""),409.0)</f>
        <v>409</v>
      </c>
      <c r="B410" s="1">
        <f>IFERROR(__xludf.DUMMYFUNCTION("""COMPUTED_VALUE"""),10591.0)</f>
        <v>10591</v>
      </c>
      <c r="C410" s="13" t="str">
        <f>IFERROR(__xludf.DUMMYFUNCTION("""COMPUTED_VALUE"""),"PIPON")</f>
        <v>PIPON</v>
      </c>
      <c r="D410" s="2" t="str">
        <f>IFERROR(__xludf.DUMMYFUNCTION("""COMPUTED_VALUE"""),"10KM OVERALL M")</f>
        <v>10KM OVERALL M</v>
      </c>
      <c r="E410" s="1">
        <f>IFERROR(__xludf.DUMMYFUNCTION("""COMPUTED_VALUE"""),347.0)</f>
        <v>347</v>
      </c>
      <c r="F410" s="1" t="str">
        <f>IFERROR(__xludf.DUMMYFUNCTION("""COMPUTED_VALUE"""),"Male")</f>
        <v>Male</v>
      </c>
      <c r="G410" s="5">
        <f>IFERROR(__xludf.DUMMYFUNCTION("""COMPUTED_VALUE"""),0.005017167824074074)</f>
        <v>0.005017167824</v>
      </c>
      <c r="H410" s="14">
        <f>IFERROR(__xludf.DUMMYFUNCTION("""COMPUTED_VALUE"""),0.24646185185185185)</f>
        <v>0.2464618519</v>
      </c>
      <c r="I410" s="15">
        <f>IFERROR(__xludf.DUMMYFUNCTION("""COMPUTED_VALUE"""),45949.2966335304)</f>
        <v>45949.29663</v>
      </c>
      <c r="J410" s="15">
        <f>IFERROR(__xludf.DUMMYFUNCTION("""COMPUTED_VALUE"""),45949.05017167855)</f>
        <v>45949.05017</v>
      </c>
      <c r="K410" s="15">
        <f>IFERROR(__xludf.DUMMYFUNCTION("""COMPUTED_VALUE"""),45949.26042607139)</f>
        <v>45949.26043</v>
      </c>
      <c r="L410" s="15">
        <f>IFERROR(__xludf.DUMMYFUNCTION("""COMPUTED_VALUE"""),45949.28813783819)</f>
        <v>45949.28814</v>
      </c>
    </row>
    <row r="411">
      <c r="A411" s="1">
        <f>IFERROR(__xludf.DUMMYFUNCTION("""COMPUTED_VALUE"""),410.0)</f>
        <v>410</v>
      </c>
      <c r="B411" s="1">
        <f>IFERROR(__xludf.DUMMYFUNCTION("""COMPUTED_VALUE"""),10474.0)</f>
        <v>10474</v>
      </c>
      <c r="C411" s="13" t="str">
        <f>IFERROR(__xludf.DUMMYFUNCTION("""COMPUTED_VALUE"""),"Angga A")</f>
        <v>Angga A</v>
      </c>
      <c r="D411" s="2" t="str">
        <f>IFERROR(__xludf.DUMMYFUNCTION("""COMPUTED_VALUE"""),"10KM OVERALL M")</f>
        <v>10KM OVERALL M</v>
      </c>
      <c r="E411" s="1">
        <f>IFERROR(__xludf.DUMMYFUNCTION("""COMPUTED_VALUE"""),348.0)</f>
        <v>348</v>
      </c>
      <c r="F411" s="1" t="str">
        <f>IFERROR(__xludf.DUMMYFUNCTION("""COMPUTED_VALUE"""),"Male")</f>
        <v>Male</v>
      </c>
      <c r="G411" s="5">
        <f>IFERROR(__xludf.DUMMYFUNCTION("""COMPUTED_VALUE"""),0.005029348379629629)</f>
        <v>0.00502934838</v>
      </c>
      <c r="H411" s="14">
        <f>IFERROR(__xludf.DUMMYFUNCTION("""COMPUTED_VALUE"""),0.24646185185185185)</f>
        <v>0.2464618519</v>
      </c>
      <c r="I411" s="15">
        <f>IFERROR(__xludf.DUMMYFUNCTION("""COMPUTED_VALUE"""),45949.296755330455)</f>
        <v>45949.29676</v>
      </c>
      <c r="J411" s="15">
        <f>IFERROR(__xludf.DUMMYFUNCTION("""COMPUTED_VALUE"""),45949.050293478605)</f>
        <v>45949.05029</v>
      </c>
      <c r="K411" s="15">
        <f>IFERROR(__xludf.DUMMYFUNCTION("""COMPUTED_VALUE"""),45949.257755882)</f>
        <v>45949.25776</v>
      </c>
      <c r="L411" s="15">
        <f>IFERROR(__xludf.DUMMYFUNCTION("""COMPUTED_VALUE"""),45949.28762396623)</f>
        <v>45949.28762</v>
      </c>
    </row>
    <row r="412">
      <c r="A412" s="1">
        <f>IFERROR(__xludf.DUMMYFUNCTION("""COMPUTED_VALUE"""),411.0)</f>
        <v>411</v>
      </c>
      <c r="B412" s="1">
        <f>IFERROR(__xludf.DUMMYFUNCTION("""COMPUTED_VALUE"""),10253.0)</f>
        <v>10253</v>
      </c>
      <c r="C412" s="13" t="str">
        <f>IFERROR(__xludf.DUMMYFUNCTION("""COMPUTED_VALUE"""),"HANS NUBATONIS")</f>
        <v>HANS NUBATONIS</v>
      </c>
      <c r="D412" s="2" t="str">
        <f>IFERROR(__xludf.DUMMYFUNCTION("""COMPUTED_VALUE"""),"10KM OVERALL M")</f>
        <v>10KM OVERALL M</v>
      </c>
      <c r="E412" s="1">
        <f>IFERROR(__xludf.DUMMYFUNCTION("""COMPUTED_VALUE"""),349.0)</f>
        <v>349</v>
      </c>
      <c r="F412" s="1" t="str">
        <f>IFERROR(__xludf.DUMMYFUNCTION("""COMPUTED_VALUE"""),"Male")</f>
        <v>Male</v>
      </c>
      <c r="G412" s="5">
        <f>IFERROR(__xludf.DUMMYFUNCTION("""COMPUTED_VALUE"""),0.0050303599537037036)</f>
        <v>0.005030359954</v>
      </c>
      <c r="H412" s="14">
        <f>IFERROR(__xludf.DUMMYFUNCTION("""COMPUTED_VALUE"""),0.24646185185185185)</f>
        <v>0.2464618519</v>
      </c>
      <c r="I412" s="15">
        <f>IFERROR(__xludf.DUMMYFUNCTION("""COMPUTED_VALUE"""),45949.29676545355)</f>
        <v>45949.29677</v>
      </c>
      <c r="J412" s="15">
        <f>IFERROR(__xludf.DUMMYFUNCTION("""COMPUTED_VALUE"""),45949.0503036017)</f>
        <v>45949.0503</v>
      </c>
      <c r="K412" s="15">
        <f>IFERROR(__xludf.DUMMYFUNCTION("""COMPUTED_VALUE"""),45949.259214190315)</f>
        <v>45949.25921</v>
      </c>
      <c r="L412" s="15">
        <f>IFERROR(__xludf.DUMMYFUNCTION("""COMPUTED_VALUE"""),45949.28848157819)</f>
        <v>45949.28848</v>
      </c>
    </row>
    <row r="413">
      <c r="A413" s="1">
        <f>IFERROR(__xludf.DUMMYFUNCTION("""COMPUTED_VALUE"""),412.0)</f>
        <v>412</v>
      </c>
      <c r="B413" s="1">
        <f>IFERROR(__xludf.DUMMYFUNCTION("""COMPUTED_VALUE"""),12028.0)</f>
        <v>12028</v>
      </c>
      <c r="C413" s="13" t="str">
        <f>IFERROR(__xludf.DUMMYFUNCTION("""COMPUTED_VALUE"""),"Yudha")</f>
        <v>Yudha</v>
      </c>
      <c r="D413" s="2" t="str">
        <f>IFERROR(__xludf.DUMMYFUNCTION("""COMPUTED_VALUE"""),"10KM MASTER M")</f>
        <v>10KM MASTER M</v>
      </c>
      <c r="E413" s="1">
        <f>IFERROR(__xludf.DUMMYFUNCTION("""COMPUTED_VALUE"""),38.0)</f>
        <v>38</v>
      </c>
      <c r="F413" s="1" t="str">
        <f>IFERROR(__xludf.DUMMYFUNCTION("""COMPUTED_VALUE"""),"Male")</f>
        <v>Male</v>
      </c>
      <c r="G413" s="5">
        <f>IFERROR(__xludf.DUMMYFUNCTION("""COMPUTED_VALUE"""),0.005038347222222222)</f>
        <v>0.005038347222</v>
      </c>
      <c r="H413" s="14">
        <f>IFERROR(__xludf.DUMMYFUNCTION("""COMPUTED_VALUE"""),0.24646185185185185)</f>
        <v>0.2464618519</v>
      </c>
      <c r="I413" s="15">
        <f>IFERROR(__xludf.DUMMYFUNCTION("""COMPUTED_VALUE"""),45949.296845318335)</f>
        <v>45949.29685</v>
      </c>
      <c r="J413" s="15">
        <f>IFERROR(__xludf.DUMMYFUNCTION("""COMPUTED_VALUE"""),45949.050383466485)</f>
        <v>45949.05038</v>
      </c>
      <c r="K413" s="15">
        <f>IFERROR(__xludf.DUMMYFUNCTION("""COMPUTED_VALUE"""),45949.2570996194)</f>
        <v>45949.2571</v>
      </c>
      <c r="L413" s="15">
        <f>IFERROR(__xludf.DUMMYFUNCTION("""COMPUTED_VALUE"""),45949.28803021154)</f>
        <v>45949.28803</v>
      </c>
    </row>
    <row r="414">
      <c r="A414" s="1">
        <f>IFERROR(__xludf.DUMMYFUNCTION("""COMPUTED_VALUE"""),413.0)</f>
        <v>413</v>
      </c>
      <c r="B414" s="1">
        <f>IFERROR(__xludf.DUMMYFUNCTION("""COMPUTED_VALUE"""),10184.0)</f>
        <v>10184</v>
      </c>
      <c r="C414" s="13" t="str">
        <f>IFERROR(__xludf.DUMMYFUNCTION("""COMPUTED_VALUE"""),"Dedy")</f>
        <v>Dedy</v>
      </c>
      <c r="D414" s="2" t="str">
        <f>IFERROR(__xludf.DUMMYFUNCTION("""COMPUTED_VALUE"""),"10KM OVERALL M")</f>
        <v>10KM OVERALL M</v>
      </c>
      <c r="E414" s="1">
        <f>IFERROR(__xludf.DUMMYFUNCTION("""COMPUTED_VALUE"""),350.0)</f>
        <v>350</v>
      </c>
      <c r="F414" s="1" t="str">
        <f>IFERROR(__xludf.DUMMYFUNCTION("""COMPUTED_VALUE"""),"Male")</f>
        <v>Male</v>
      </c>
      <c r="G414" s="5">
        <f>IFERROR(__xludf.DUMMYFUNCTION("""COMPUTED_VALUE"""),0.005038347222222222)</f>
        <v>0.005038347222</v>
      </c>
      <c r="H414" s="14">
        <f>IFERROR(__xludf.DUMMYFUNCTION("""COMPUTED_VALUE"""),0.24646185185185185)</f>
        <v>0.2464618519</v>
      </c>
      <c r="I414" s="15">
        <f>IFERROR(__xludf.DUMMYFUNCTION("""COMPUTED_VALUE"""),45949.296845318335)</f>
        <v>45949.29685</v>
      </c>
      <c r="J414" s="15">
        <f>IFERROR(__xludf.DUMMYFUNCTION("""COMPUTED_VALUE"""),45949.050383466485)</f>
        <v>45949.05038</v>
      </c>
      <c r="K414" s="15">
        <f>IFERROR(__xludf.DUMMYFUNCTION("""COMPUTED_VALUE"""),45949.25632530259)</f>
        <v>45949.25633</v>
      </c>
      <c r="L414" s="15">
        <f>IFERROR(__xludf.DUMMYFUNCTION("""COMPUTED_VALUE"""),45949.28746074826)</f>
        <v>45949.28746</v>
      </c>
    </row>
    <row r="415">
      <c r="A415" s="1">
        <f>IFERROR(__xludf.DUMMYFUNCTION("""COMPUTED_VALUE"""),414.0)</f>
        <v>414</v>
      </c>
      <c r="B415" s="1">
        <f>IFERROR(__xludf.DUMMYFUNCTION("""COMPUTED_VALUE"""),10148.0)</f>
        <v>10148</v>
      </c>
      <c r="C415" s="13" t="str">
        <f>IFERROR(__xludf.DUMMYFUNCTION("""COMPUTED_VALUE"""),"Dhanty")</f>
        <v>Dhanty</v>
      </c>
      <c r="D415" s="2" t="str">
        <f>IFERROR(__xludf.DUMMYFUNCTION("""COMPUTED_VALUE"""),"10KM OVERALL F")</f>
        <v>10KM OVERALL F</v>
      </c>
      <c r="E415" s="1">
        <f>IFERROR(__xludf.DUMMYFUNCTION("""COMPUTED_VALUE"""),21.0)</f>
        <v>21</v>
      </c>
      <c r="F415" s="1" t="str">
        <f>IFERROR(__xludf.DUMMYFUNCTION("""COMPUTED_VALUE"""),"Female")</f>
        <v>Female</v>
      </c>
      <c r="G415" s="5">
        <f>IFERROR(__xludf.DUMMYFUNCTION("""COMPUTED_VALUE"""),0.0050435555555555555)</f>
        <v>0.005043555556</v>
      </c>
      <c r="H415" s="14">
        <f>IFERROR(__xludf.DUMMYFUNCTION("""COMPUTED_VALUE"""),0.24646185185185185)</f>
        <v>0.2464618519</v>
      </c>
      <c r="I415" s="15">
        <f>IFERROR(__xludf.DUMMYFUNCTION("""COMPUTED_VALUE"""),45949.29689740282)</f>
        <v>45949.2969</v>
      </c>
      <c r="J415" s="15">
        <f>IFERROR(__xludf.DUMMYFUNCTION("""COMPUTED_VALUE"""),45949.05043555097)</f>
        <v>45949.05044</v>
      </c>
      <c r="K415" s="15">
        <f>IFERROR(__xludf.DUMMYFUNCTION("""COMPUTED_VALUE"""),45949.25859268168)</f>
        <v>45949.25859</v>
      </c>
      <c r="L415" s="15">
        <f>IFERROR(__xludf.DUMMYFUNCTION("""COMPUTED_VALUE"""),45949.2880822724)</f>
        <v>45949.28808</v>
      </c>
    </row>
    <row r="416">
      <c r="A416" s="1">
        <f>IFERROR(__xludf.DUMMYFUNCTION("""COMPUTED_VALUE"""),415.0)</f>
        <v>415</v>
      </c>
      <c r="B416" s="1">
        <f>IFERROR(__xludf.DUMMYFUNCTION("""COMPUTED_VALUE"""),10402.0)</f>
        <v>10402</v>
      </c>
      <c r="C416" s="13" t="str">
        <f>IFERROR(__xludf.DUMMYFUNCTION("""COMPUTED_VALUE"""),"Abe")</f>
        <v>Abe</v>
      </c>
      <c r="D416" s="2" t="str">
        <f>IFERROR(__xludf.DUMMYFUNCTION("""COMPUTED_VALUE"""),"10KM OVERALL M")</f>
        <v>10KM OVERALL M</v>
      </c>
      <c r="E416" s="1">
        <f>IFERROR(__xludf.DUMMYFUNCTION("""COMPUTED_VALUE"""),351.0)</f>
        <v>351</v>
      </c>
      <c r="F416" s="1" t="str">
        <f>IFERROR(__xludf.DUMMYFUNCTION("""COMPUTED_VALUE"""),"Male")</f>
        <v>Male</v>
      </c>
      <c r="G416" s="5">
        <f>IFERROR(__xludf.DUMMYFUNCTION("""COMPUTED_VALUE"""),0.005046025462962962)</f>
        <v>0.005046025463</v>
      </c>
      <c r="H416" s="14">
        <f>IFERROR(__xludf.DUMMYFUNCTION("""COMPUTED_VALUE"""),0.24646185185185185)</f>
        <v>0.2464618519</v>
      </c>
      <c r="I416" s="15">
        <f>IFERROR(__xludf.DUMMYFUNCTION("""COMPUTED_VALUE"""),45949.296922105554)</f>
        <v>45949.29692</v>
      </c>
      <c r="J416" s="15">
        <f>IFERROR(__xludf.DUMMYFUNCTION("""COMPUTED_VALUE"""),45949.050460253704)</f>
        <v>45949.05046</v>
      </c>
      <c r="K416" s="15">
        <f>IFERROR(__xludf.DUMMYFUNCTION("""COMPUTED_VALUE"""),45949.25909272062)</f>
        <v>45949.25909</v>
      </c>
      <c r="L416" s="15">
        <f>IFERROR(__xludf.DUMMYFUNCTION("""COMPUTED_VALUE"""),45949.28826282662)</f>
        <v>45949.28826</v>
      </c>
    </row>
    <row r="417">
      <c r="A417" s="1">
        <f>IFERROR(__xludf.DUMMYFUNCTION("""COMPUTED_VALUE"""),416.0)</f>
        <v>416</v>
      </c>
      <c r="B417" s="1">
        <f>IFERROR(__xludf.DUMMYFUNCTION("""COMPUTED_VALUE"""),10505.0)</f>
        <v>10505</v>
      </c>
      <c r="C417" s="13" t="str">
        <f>IFERROR(__xludf.DUMMYFUNCTION("""COMPUTED_VALUE"""),"damar")</f>
        <v>damar</v>
      </c>
      <c r="D417" s="2" t="str">
        <f>IFERROR(__xludf.DUMMYFUNCTION("""COMPUTED_VALUE"""),"10KM OVERALL M")</f>
        <v>10KM OVERALL M</v>
      </c>
      <c r="E417" s="1">
        <f>IFERROR(__xludf.DUMMYFUNCTION("""COMPUTED_VALUE"""),352.0)</f>
        <v>352</v>
      </c>
      <c r="F417" s="1" t="str">
        <f>IFERROR(__xludf.DUMMYFUNCTION("""COMPUTED_VALUE"""),"Male")</f>
        <v>Male</v>
      </c>
      <c r="G417" s="5">
        <f>IFERROR(__xludf.DUMMYFUNCTION("""COMPUTED_VALUE"""),0.0050480682870370375)</f>
        <v>0.005048068287</v>
      </c>
      <c r="H417" s="14">
        <f>IFERROR(__xludf.DUMMYFUNCTION("""COMPUTED_VALUE"""),0.24646185185185185)</f>
        <v>0.2464618519</v>
      </c>
      <c r="I417" s="15">
        <f>IFERROR(__xludf.DUMMYFUNCTION("""COMPUTED_VALUE"""),45949.29694253372)</f>
        <v>45949.29694</v>
      </c>
      <c r="J417" s="15">
        <f>IFERROR(__xludf.DUMMYFUNCTION("""COMPUTED_VALUE"""),45949.05048068187)</f>
        <v>45949.05048</v>
      </c>
      <c r="K417" s="15">
        <f>IFERROR(__xludf.DUMMYFUNCTION("""COMPUTED_VALUE"""),45949.25867947486)</f>
        <v>45949.25868</v>
      </c>
      <c r="L417" s="15">
        <f>IFERROR(__xludf.DUMMYFUNCTION("""COMPUTED_VALUE"""),45949.287509358684)</f>
        <v>45949.28751</v>
      </c>
    </row>
    <row r="418">
      <c r="A418" s="1">
        <f>IFERROR(__xludf.DUMMYFUNCTION("""COMPUTED_VALUE"""),417.0)</f>
        <v>417</v>
      </c>
      <c r="B418" s="1">
        <f>IFERROR(__xludf.DUMMYFUNCTION("""COMPUTED_VALUE"""),10792.0)</f>
        <v>10792</v>
      </c>
      <c r="C418" s="13" t="str">
        <f>IFERROR(__xludf.DUMMYFUNCTION("""COMPUTED_VALUE"""),"RIOKARNO")</f>
        <v>RIOKARNO</v>
      </c>
      <c r="D418" s="2" t="str">
        <f>IFERROR(__xludf.DUMMYFUNCTION("""COMPUTED_VALUE"""),"10KM OVERALL M")</f>
        <v>10KM OVERALL M</v>
      </c>
      <c r="E418" s="1">
        <f>IFERROR(__xludf.DUMMYFUNCTION("""COMPUTED_VALUE"""),353.0)</f>
        <v>353</v>
      </c>
      <c r="F418" s="1" t="str">
        <f>IFERROR(__xludf.DUMMYFUNCTION("""COMPUTED_VALUE"""),"Male")</f>
        <v>Male</v>
      </c>
      <c r="G418" s="5">
        <f>IFERROR(__xludf.DUMMYFUNCTION("""COMPUTED_VALUE"""),0.005048762731481482)</f>
        <v>0.005048762731</v>
      </c>
      <c r="H418" s="14">
        <f>IFERROR(__xludf.DUMMYFUNCTION("""COMPUTED_VALUE"""),0.24646185185185185)</f>
        <v>0.2464618519</v>
      </c>
      <c r="I418" s="15">
        <f>IFERROR(__xludf.DUMMYFUNCTION("""COMPUTED_VALUE"""),45949.296949476084)</f>
        <v>45949.29695</v>
      </c>
      <c r="J418" s="15">
        <f>IFERROR(__xludf.DUMMYFUNCTION("""COMPUTED_VALUE"""),45949.050487624234)</f>
        <v>45949.05049</v>
      </c>
      <c r="K418" s="15">
        <f>IFERROR(__xludf.DUMMYFUNCTION("""COMPUTED_VALUE"""),45949.2569503549)</f>
        <v>45949.25695</v>
      </c>
      <c r="L418" s="15">
        <f>IFERROR(__xludf.DUMMYFUNCTION("""COMPUTED_VALUE"""),45949.28814825275)</f>
        <v>45949.28815</v>
      </c>
    </row>
    <row r="419">
      <c r="A419" s="1">
        <f>IFERROR(__xludf.DUMMYFUNCTION("""COMPUTED_VALUE"""),418.0)</f>
        <v>418</v>
      </c>
      <c r="B419" s="1">
        <f>IFERROR(__xludf.DUMMYFUNCTION("""COMPUTED_VALUE"""),10319.0)</f>
        <v>10319</v>
      </c>
      <c r="C419" s="13" t="str">
        <f>IFERROR(__xludf.DUMMYFUNCTION("""COMPUTED_VALUE"""),"NAO")</f>
        <v>NAO</v>
      </c>
      <c r="D419" s="2" t="str">
        <f>IFERROR(__xludf.DUMMYFUNCTION("""COMPUTED_VALUE"""),"10KM OVERALL M")</f>
        <v>10KM OVERALL M</v>
      </c>
      <c r="E419" s="1">
        <f>IFERROR(__xludf.DUMMYFUNCTION("""COMPUTED_VALUE"""),354.0)</f>
        <v>354</v>
      </c>
      <c r="F419" s="1" t="str">
        <f>IFERROR(__xludf.DUMMYFUNCTION("""COMPUTED_VALUE"""),"Male")</f>
        <v>Male</v>
      </c>
      <c r="G419" s="5">
        <f>IFERROR(__xludf.DUMMYFUNCTION("""COMPUTED_VALUE"""),0.005051541666666667)</f>
        <v>0.005051541667</v>
      </c>
      <c r="H419" s="14">
        <f>IFERROR(__xludf.DUMMYFUNCTION("""COMPUTED_VALUE"""),0.24646185185185185)</f>
        <v>0.2464618519</v>
      </c>
      <c r="I419" s="15">
        <f>IFERROR(__xludf.DUMMYFUNCTION("""COMPUTED_VALUE"""),45949.29697727002)</f>
        <v>45949.29698</v>
      </c>
      <c r="J419" s="15">
        <f>IFERROR(__xludf.DUMMYFUNCTION("""COMPUTED_VALUE"""),45949.050515418174)</f>
        <v>45949.05052</v>
      </c>
      <c r="K419" s="15">
        <f>IFERROR(__xludf.DUMMYFUNCTION("""COMPUTED_VALUE"""),45949.25841909955)</f>
        <v>45949.25842</v>
      </c>
      <c r="L419" s="15">
        <f>IFERROR(__xludf.DUMMYFUNCTION("""COMPUTED_VALUE"""),45949.28852671555)</f>
        <v>45949.28853</v>
      </c>
    </row>
    <row r="420">
      <c r="A420" s="1">
        <f>IFERROR(__xludf.DUMMYFUNCTION("""COMPUTED_VALUE"""),419.0)</f>
        <v>419</v>
      </c>
      <c r="B420" s="1">
        <f>IFERROR(__xludf.DUMMYFUNCTION("""COMPUTED_VALUE"""),10215.0)</f>
        <v>10215</v>
      </c>
      <c r="C420" s="13" t="str">
        <f>IFERROR(__xludf.DUMMYFUNCTION("""COMPUTED_VALUE"""),"ALDY CAHYADY")</f>
        <v>ALDY CAHYADY</v>
      </c>
      <c r="D420" s="2" t="str">
        <f>IFERROR(__xludf.DUMMYFUNCTION("""COMPUTED_VALUE"""),"10KM OVERALL M")</f>
        <v>10KM OVERALL M</v>
      </c>
      <c r="E420" s="1">
        <f>IFERROR(__xludf.DUMMYFUNCTION("""COMPUTED_VALUE"""),355.0)</f>
        <v>355</v>
      </c>
      <c r="F420" s="1" t="str">
        <f>IFERROR(__xludf.DUMMYFUNCTION("""COMPUTED_VALUE"""),"Male")</f>
        <v>Male</v>
      </c>
      <c r="G420" s="5">
        <f>IFERROR(__xludf.DUMMYFUNCTION("""COMPUTED_VALUE"""),0.005051541666666667)</f>
        <v>0.005051541667</v>
      </c>
      <c r="H420" s="14">
        <f>IFERROR(__xludf.DUMMYFUNCTION("""COMPUTED_VALUE"""),0.24646185185185185)</f>
        <v>0.2464618519</v>
      </c>
      <c r="I420" s="15">
        <f>IFERROR(__xludf.DUMMYFUNCTION("""COMPUTED_VALUE"""),45949.29697727002)</f>
        <v>45949.29698</v>
      </c>
      <c r="J420" s="15">
        <f>IFERROR(__xludf.DUMMYFUNCTION("""COMPUTED_VALUE"""),45949.050515418174)</f>
        <v>45949.05052</v>
      </c>
      <c r="K420" s="15">
        <f>IFERROR(__xludf.DUMMYFUNCTION("""COMPUTED_VALUE"""),45949.25764475828)</f>
        <v>45949.25764</v>
      </c>
      <c r="L420" s="15">
        <f>IFERROR(__xludf.DUMMYFUNCTION("""COMPUTED_VALUE"""),45949.28707185172)</f>
        <v>45949.28707</v>
      </c>
    </row>
    <row r="421">
      <c r="A421" s="1">
        <f>IFERROR(__xludf.DUMMYFUNCTION("""COMPUTED_VALUE"""),420.0)</f>
        <v>420</v>
      </c>
      <c r="B421" s="1">
        <f>IFERROR(__xludf.DUMMYFUNCTION("""COMPUTED_VALUE"""),10526.0)</f>
        <v>10526</v>
      </c>
      <c r="C421" s="13" t="str">
        <f>IFERROR(__xludf.DUMMYFUNCTION("""COMPUTED_VALUE"""),"nandra")</f>
        <v>nandra</v>
      </c>
      <c r="D421" s="2" t="str">
        <f>IFERROR(__xludf.DUMMYFUNCTION("""COMPUTED_VALUE"""),"10KM OVERALL M")</f>
        <v>10KM OVERALL M</v>
      </c>
      <c r="E421" s="1">
        <f>IFERROR(__xludf.DUMMYFUNCTION("""COMPUTED_VALUE"""),356.0)</f>
        <v>356</v>
      </c>
      <c r="F421" s="1" t="str">
        <f>IFERROR(__xludf.DUMMYFUNCTION("""COMPUTED_VALUE"""),"Male")</f>
        <v>Male</v>
      </c>
      <c r="G421" s="5">
        <f>IFERROR(__xludf.DUMMYFUNCTION("""COMPUTED_VALUE"""),0.005051542824074075)</f>
        <v>0.005051542824</v>
      </c>
      <c r="H421" s="14">
        <f>IFERROR(__xludf.DUMMYFUNCTION("""COMPUTED_VALUE"""),0.24646185185185185)</f>
        <v>0.2464618519</v>
      </c>
      <c r="I421" s="15">
        <f>IFERROR(__xludf.DUMMYFUNCTION("""COMPUTED_VALUE"""),45949.29697728469)</f>
        <v>45949.29698</v>
      </c>
      <c r="J421" s="15">
        <f>IFERROR(__xludf.DUMMYFUNCTION("""COMPUTED_VALUE"""),45949.05051543284)</f>
        <v>45949.05052</v>
      </c>
      <c r="K421" s="15">
        <f>IFERROR(__xludf.DUMMYFUNCTION("""COMPUTED_VALUE"""),45949.25669336771)</f>
        <v>45949.25669</v>
      </c>
      <c r="L421" s="15">
        <f>IFERROR(__xludf.DUMMYFUNCTION("""COMPUTED_VALUE"""),45949.287676019914)</f>
        <v>45949.28768</v>
      </c>
    </row>
    <row r="422">
      <c r="A422" s="1">
        <f>IFERROR(__xludf.DUMMYFUNCTION("""COMPUTED_VALUE"""),421.0)</f>
        <v>421</v>
      </c>
      <c r="B422" s="1">
        <f>IFERROR(__xludf.DUMMYFUNCTION("""COMPUTED_VALUE"""),10614.0)</f>
        <v>10614</v>
      </c>
      <c r="C422" s="13" t="str">
        <f>IFERROR(__xludf.DUMMYFUNCTION("""COMPUTED_VALUE"""),"Kity Tokan")</f>
        <v>Kity Tokan</v>
      </c>
      <c r="D422" s="2" t="str">
        <f>IFERROR(__xludf.DUMMYFUNCTION("""COMPUTED_VALUE"""),"10KM OVERALL M")</f>
        <v>10KM OVERALL M</v>
      </c>
      <c r="E422" s="1">
        <f>IFERROR(__xludf.DUMMYFUNCTION("""COMPUTED_VALUE"""),357.0)</f>
        <v>357</v>
      </c>
      <c r="F422" s="1" t="str">
        <f>IFERROR(__xludf.DUMMYFUNCTION("""COMPUTED_VALUE"""),"Male")</f>
        <v>Male</v>
      </c>
      <c r="G422" s="5">
        <f>IFERROR(__xludf.DUMMYFUNCTION("""COMPUTED_VALUE"""),0.005055013888888888)</f>
        <v>0.005055013889</v>
      </c>
      <c r="H422" s="14">
        <f>IFERROR(__xludf.DUMMYFUNCTION("""COMPUTED_VALUE"""),0.24646185185185185)</f>
        <v>0.2464618519</v>
      </c>
      <c r="I422" s="15">
        <f>IFERROR(__xludf.DUMMYFUNCTION("""COMPUTED_VALUE"""),45949.29701199526)</f>
        <v>45949.29701</v>
      </c>
      <c r="J422" s="15">
        <f>IFERROR(__xludf.DUMMYFUNCTION("""COMPUTED_VALUE"""),45949.05055014341)</f>
        <v>45949.05055</v>
      </c>
      <c r="K422" s="15">
        <f>IFERROR(__xludf.DUMMYFUNCTION("""COMPUTED_VALUE"""),45949.25712396644)</f>
        <v>45949.25712</v>
      </c>
      <c r="L422" s="15">
        <f>IFERROR(__xludf.DUMMYFUNCTION("""COMPUTED_VALUE"""),45949.28874893335)</f>
        <v>45949.28875</v>
      </c>
    </row>
    <row r="423">
      <c r="A423" s="1">
        <f>IFERROR(__xludf.DUMMYFUNCTION("""COMPUTED_VALUE"""),422.0)</f>
        <v>422</v>
      </c>
      <c r="B423" s="1">
        <f>IFERROR(__xludf.DUMMYFUNCTION("""COMPUTED_VALUE"""),10042.0)</f>
        <v>10042</v>
      </c>
      <c r="C423" s="13" t="str">
        <f>IFERROR(__xludf.DUMMYFUNCTION("""COMPUTED_VALUE"""),"JOSE REFOR WAN")</f>
        <v>JOSE REFOR WAN</v>
      </c>
      <c r="D423" s="2" t="str">
        <f>IFERROR(__xludf.DUMMYFUNCTION("""COMPUTED_VALUE"""),"10KM OVERALL M")</f>
        <v>10KM OVERALL M</v>
      </c>
      <c r="E423" s="1">
        <f>IFERROR(__xludf.DUMMYFUNCTION("""COMPUTED_VALUE"""),358.0)</f>
        <v>358</v>
      </c>
      <c r="F423" s="1" t="str">
        <f>IFERROR(__xludf.DUMMYFUNCTION("""COMPUTED_VALUE"""),"Male")</f>
        <v>Male</v>
      </c>
      <c r="G423" s="5">
        <f>IFERROR(__xludf.DUMMYFUNCTION("""COMPUTED_VALUE"""),0.005061265046296296)</f>
        <v>0.005061265046</v>
      </c>
      <c r="H423" s="14">
        <f>IFERROR(__xludf.DUMMYFUNCTION("""COMPUTED_VALUE"""),0.24646185185185185)</f>
        <v>0.2464618519</v>
      </c>
      <c r="I423" s="15">
        <f>IFERROR(__xludf.DUMMYFUNCTION("""COMPUTED_VALUE"""),45949.297074499904)</f>
        <v>45949.29707</v>
      </c>
      <c r="J423" s="15">
        <f>IFERROR(__xludf.DUMMYFUNCTION("""COMPUTED_VALUE"""),45949.050612648054)</f>
        <v>45949.05061</v>
      </c>
      <c r="K423" s="15">
        <f>IFERROR(__xludf.DUMMYFUNCTION("""COMPUTED_VALUE"""),45949.26077668653)</f>
        <v>45949.26078</v>
      </c>
      <c r="L423" s="15">
        <f>IFERROR(__xludf.DUMMYFUNCTION("""COMPUTED_VALUE"""),45949.2899537037)</f>
        <v>45949.28995</v>
      </c>
    </row>
    <row r="424">
      <c r="A424" s="1">
        <f>IFERROR(__xludf.DUMMYFUNCTION("""COMPUTED_VALUE"""),423.0)</f>
        <v>423</v>
      </c>
      <c r="B424" s="1">
        <f>IFERROR(__xludf.DUMMYFUNCTION("""COMPUTED_VALUE"""),10073.0)</f>
        <v>10073</v>
      </c>
      <c r="C424" s="13" t="str">
        <f>IFERROR(__xludf.DUMMYFUNCTION("""COMPUTED_VALUE"""),"Irfan")</f>
        <v>Irfan</v>
      </c>
      <c r="D424" s="2" t="str">
        <f>IFERROR(__xludf.DUMMYFUNCTION("""COMPUTED_VALUE"""),"10KM OVERALL M")</f>
        <v>10KM OVERALL M</v>
      </c>
      <c r="E424" s="1">
        <f>IFERROR(__xludf.DUMMYFUNCTION("""COMPUTED_VALUE"""),359.0)</f>
        <v>359</v>
      </c>
      <c r="F424" s="1" t="str">
        <f>IFERROR(__xludf.DUMMYFUNCTION("""COMPUTED_VALUE"""),"Male")</f>
        <v>Male</v>
      </c>
      <c r="G424" s="5">
        <f>IFERROR(__xludf.DUMMYFUNCTION("""COMPUTED_VALUE"""),0.005062998842592592)</f>
        <v>0.005062998843</v>
      </c>
      <c r="H424" s="14">
        <f>IFERROR(__xludf.DUMMYFUNCTION("""COMPUTED_VALUE"""),0.24646185185185185)</f>
        <v>0.2464618519</v>
      </c>
      <c r="I424" s="15">
        <f>IFERROR(__xludf.DUMMYFUNCTION("""COMPUTED_VALUE"""),45949.29709184235)</f>
        <v>45949.29709</v>
      </c>
      <c r="J424" s="15">
        <f>IFERROR(__xludf.DUMMYFUNCTION("""COMPUTED_VALUE"""),45949.0506299905)</f>
        <v>45949.05063</v>
      </c>
      <c r="K424" s="15">
        <f>IFERROR(__xludf.DUMMYFUNCTION("""COMPUTED_VALUE"""),45949.25768989346)</f>
        <v>45949.25769</v>
      </c>
      <c r="L424" s="15">
        <f>IFERROR(__xludf.DUMMYFUNCTION("""COMPUTED_VALUE"""),45949.288210756196)</f>
        <v>45949.28821</v>
      </c>
    </row>
    <row r="425">
      <c r="A425" s="1">
        <f>IFERROR(__xludf.DUMMYFUNCTION("""COMPUTED_VALUE"""),424.0)</f>
        <v>424</v>
      </c>
      <c r="B425" s="1">
        <f>IFERROR(__xludf.DUMMYFUNCTION("""COMPUTED_VALUE"""),10454.0)</f>
        <v>10454</v>
      </c>
      <c r="C425" s="13" t="str">
        <f>IFERROR(__xludf.DUMMYFUNCTION("""COMPUTED_VALUE"""),"fanie")</f>
        <v>fanie</v>
      </c>
      <c r="D425" s="2" t="str">
        <f>IFERROR(__xludf.DUMMYFUNCTION("""COMPUTED_VALUE"""),"10KM OVERALL M")</f>
        <v>10KM OVERALL M</v>
      </c>
      <c r="E425" s="1">
        <f>IFERROR(__xludf.DUMMYFUNCTION("""COMPUTED_VALUE"""),360.0)</f>
        <v>360</v>
      </c>
      <c r="F425" s="1" t="str">
        <f>IFERROR(__xludf.DUMMYFUNCTION("""COMPUTED_VALUE"""),"Male")</f>
        <v>Male</v>
      </c>
      <c r="G425" s="5">
        <f>IFERROR(__xludf.DUMMYFUNCTION("""COMPUTED_VALUE"""),0.005063797453703703)</f>
        <v>0.005063797454</v>
      </c>
      <c r="H425" s="14">
        <f>IFERROR(__xludf.DUMMYFUNCTION("""COMPUTED_VALUE"""),0.24646185185185185)</f>
        <v>0.2464618519</v>
      </c>
      <c r="I425" s="15">
        <f>IFERROR(__xludf.DUMMYFUNCTION("""COMPUTED_VALUE"""),45949.297099824376)</f>
        <v>45949.2971</v>
      </c>
      <c r="J425" s="15">
        <f>IFERROR(__xludf.DUMMYFUNCTION("""COMPUTED_VALUE"""),45949.05063797253)</f>
        <v>45949.05064</v>
      </c>
      <c r="K425" s="15">
        <f>IFERROR(__xludf.DUMMYFUNCTION("""COMPUTED_VALUE"""),45949.26031495277)</f>
        <v>45949.26031</v>
      </c>
      <c r="L425" s="15">
        <f>IFERROR(__xludf.DUMMYFUNCTION("""COMPUTED_VALUE"""),45949.28820380059)</f>
        <v>45949.2882</v>
      </c>
    </row>
    <row r="426">
      <c r="A426" s="1">
        <f>IFERROR(__xludf.DUMMYFUNCTION("""COMPUTED_VALUE"""),425.0)</f>
        <v>425</v>
      </c>
      <c r="B426" s="1">
        <f>IFERROR(__xludf.DUMMYFUNCTION("""COMPUTED_VALUE"""),12032.0)</f>
        <v>12032</v>
      </c>
      <c r="C426" s="13" t="str">
        <f>IFERROR(__xludf.DUMMYFUNCTION("""COMPUTED_VALUE"""),"M.Syafaat")</f>
        <v>M.Syafaat</v>
      </c>
      <c r="D426" s="2" t="str">
        <f>IFERROR(__xludf.DUMMYFUNCTION("""COMPUTED_VALUE"""),"10KM MASTER M")</f>
        <v>10KM MASTER M</v>
      </c>
      <c r="E426" s="1">
        <f>IFERROR(__xludf.DUMMYFUNCTION("""COMPUTED_VALUE"""),39.0)</f>
        <v>39</v>
      </c>
      <c r="F426" s="1" t="str">
        <f>IFERROR(__xludf.DUMMYFUNCTION("""COMPUTED_VALUE"""),"Male")</f>
        <v>Male</v>
      </c>
      <c r="G426" s="5">
        <f>IFERROR(__xludf.DUMMYFUNCTION("""COMPUTED_VALUE"""),0.005064734953703703)</f>
        <v>0.005064734954</v>
      </c>
      <c r="H426" s="14">
        <f>IFERROR(__xludf.DUMMYFUNCTION("""COMPUTED_VALUE"""),0.24646185185185185)</f>
        <v>0.2464618519</v>
      </c>
      <c r="I426" s="15">
        <f>IFERROR(__xludf.DUMMYFUNCTION("""COMPUTED_VALUE"""),45949.29710919761)</f>
        <v>45949.29711</v>
      </c>
      <c r="J426" s="15">
        <f>IFERROR(__xludf.DUMMYFUNCTION("""COMPUTED_VALUE"""),45949.05064734576)</f>
        <v>45949.05065</v>
      </c>
      <c r="K426" s="15">
        <f>IFERROR(__xludf.DUMMYFUNCTION("""COMPUTED_VALUE"""),45949.25780803575)</f>
        <v>45949.25781</v>
      </c>
      <c r="L426" s="15">
        <f>IFERROR(__xludf.DUMMYFUNCTION("""COMPUTED_VALUE"""),45949.287905214325)</f>
        <v>45949.28791</v>
      </c>
    </row>
    <row r="427">
      <c r="A427" s="1">
        <f>IFERROR(__xludf.DUMMYFUNCTION("""COMPUTED_VALUE"""),426.0)</f>
        <v>426</v>
      </c>
      <c r="B427" s="1">
        <f>IFERROR(__xludf.DUMMYFUNCTION("""COMPUTED_VALUE"""),10297.0)</f>
        <v>10297</v>
      </c>
      <c r="C427" s="13" t="str">
        <f>IFERROR(__xludf.DUMMYFUNCTION("""COMPUTED_VALUE"""),"RHERA M.A")</f>
        <v>RHERA M.A</v>
      </c>
      <c r="D427" s="2" t="str">
        <f>IFERROR(__xludf.DUMMYFUNCTION("""COMPUTED_VALUE"""),"10KM OVERALL M")</f>
        <v>10KM OVERALL M</v>
      </c>
      <c r="E427" s="1">
        <f>IFERROR(__xludf.DUMMYFUNCTION("""COMPUTED_VALUE"""),361.0)</f>
        <v>361</v>
      </c>
      <c r="F427" s="1" t="str">
        <f>IFERROR(__xludf.DUMMYFUNCTION("""COMPUTED_VALUE"""),"Male")</f>
        <v>Male</v>
      </c>
      <c r="G427" s="5">
        <f>IFERROR(__xludf.DUMMYFUNCTION("""COMPUTED_VALUE"""),0.005067862268518518)</f>
        <v>0.005067862269</v>
      </c>
      <c r="H427" s="14">
        <f>IFERROR(__xludf.DUMMYFUNCTION("""COMPUTED_VALUE"""),0.24646185185185185)</f>
        <v>0.2464618519</v>
      </c>
      <c r="I427" s="15">
        <f>IFERROR(__xludf.DUMMYFUNCTION("""COMPUTED_VALUE"""),45949.29714046949)</f>
        <v>45949.29714</v>
      </c>
      <c r="J427" s="15">
        <f>IFERROR(__xludf.DUMMYFUNCTION("""COMPUTED_VALUE"""),45949.05067861764)</f>
        <v>45949.05068</v>
      </c>
      <c r="K427" s="15">
        <f>IFERROR(__xludf.DUMMYFUNCTION("""COMPUTED_VALUE"""),45949.258571837185)</f>
        <v>45949.25857</v>
      </c>
      <c r="L427" s="15">
        <f>IFERROR(__xludf.DUMMYFUNCTION("""COMPUTED_VALUE"""),45949.28861004454)</f>
        <v>45949.28861</v>
      </c>
    </row>
    <row r="428">
      <c r="A428" s="1">
        <f>IFERROR(__xludf.DUMMYFUNCTION("""COMPUTED_VALUE"""),427.0)</f>
        <v>427</v>
      </c>
      <c r="B428" s="1">
        <f>IFERROR(__xludf.DUMMYFUNCTION("""COMPUTED_VALUE"""),10014.0)</f>
        <v>10014</v>
      </c>
      <c r="C428" s="13" t="str">
        <f>IFERROR(__xludf.DUMMYFUNCTION("""COMPUTED_VALUE"""),"mahesi")</f>
        <v>mahesi</v>
      </c>
      <c r="D428" s="2" t="str">
        <f>IFERROR(__xludf.DUMMYFUNCTION("""COMPUTED_VALUE"""),"10KM OVERALL F")</f>
        <v>10KM OVERALL F</v>
      </c>
      <c r="E428" s="1">
        <f>IFERROR(__xludf.DUMMYFUNCTION("""COMPUTED_VALUE"""),22.0)</f>
        <v>22</v>
      </c>
      <c r="F428" s="1" t="str">
        <f>IFERROR(__xludf.DUMMYFUNCTION("""COMPUTED_VALUE"""),"Female")</f>
        <v>Female</v>
      </c>
      <c r="G428" s="5">
        <f>IFERROR(__xludf.DUMMYFUNCTION("""COMPUTED_VALUE"""),0.0050702916666666665)</f>
        <v>0.005070291667</v>
      </c>
      <c r="H428" s="14">
        <f>IFERROR(__xludf.DUMMYFUNCTION("""COMPUTED_VALUE"""),0.24646185185185185)</f>
        <v>0.2464618519</v>
      </c>
      <c r="I428" s="15">
        <f>IFERROR(__xludf.DUMMYFUNCTION("""COMPUTED_VALUE"""),45949.29716476558)</f>
        <v>45949.29716</v>
      </c>
      <c r="J428" s="15">
        <f>IFERROR(__xludf.DUMMYFUNCTION("""COMPUTED_VALUE"""),45949.05070291373)</f>
        <v>45949.0507</v>
      </c>
      <c r="K428" s="15">
        <f>IFERROR(__xludf.DUMMYFUNCTION("""COMPUTED_VALUE"""),45949.257783635956)</f>
        <v>45949.25778</v>
      </c>
      <c r="L428" s="15">
        <f>IFERROR(__xludf.DUMMYFUNCTION("""COMPUTED_VALUE"""),45949.288287102885)</f>
        <v>45949.28829</v>
      </c>
    </row>
    <row r="429">
      <c r="A429" s="1">
        <f>IFERROR(__xludf.DUMMYFUNCTION("""COMPUTED_VALUE"""),428.0)</f>
        <v>428</v>
      </c>
      <c r="B429" s="1">
        <f>IFERROR(__xludf.DUMMYFUNCTION("""COMPUTED_VALUE"""),10334.0)</f>
        <v>10334</v>
      </c>
      <c r="C429" s="13" t="str">
        <f>IFERROR(__xludf.DUMMYFUNCTION("""COMPUTED_VALUE"""),"rezky")</f>
        <v>rezky</v>
      </c>
      <c r="D429" s="2" t="str">
        <f>IFERROR(__xludf.DUMMYFUNCTION("""COMPUTED_VALUE"""),"10KM OVERALL M")</f>
        <v>10KM OVERALL M</v>
      </c>
      <c r="E429" s="1">
        <f>IFERROR(__xludf.DUMMYFUNCTION("""COMPUTED_VALUE"""),362.0)</f>
        <v>362</v>
      </c>
      <c r="F429" s="1" t="str">
        <f>IFERROR(__xludf.DUMMYFUNCTION("""COMPUTED_VALUE"""),"Male")</f>
        <v>Male</v>
      </c>
      <c r="G429" s="5">
        <f>IFERROR(__xludf.DUMMYFUNCTION("""COMPUTED_VALUE"""),0.005071332175925926)</f>
        <v>0.005071332176</v>
      </c>
      <c r="H429" s="14">
        <f>IFERROR(__xludf.DUMMYFUNCTION("""COMPUTED_VALUE"""),0.24646185185185185)</f>
        <v>0.2464618519</v>
      </c>
      <c r="I429" s="15">
        <f>IFERROR(__xludf.DUMMYFUNCTION("""COMPUTED_VALUE"""),45949.297175173866)</f>
        <v>45949.29718</v>
      </c>
      <c r="J429" s="15">
        <f>IFERROR(__xludf.DUMMYFUNCTION("""COMPUTED_VALUE"""),45949.050713322016)</f>
        <v>45949.05071</v>
      </c>
      <c r="K429" s="15">
        <f>IFERROR(__xludf.DUMMYFUNCTION("""COMPUTED_VALUE"""),45949.25890869201)</f>
        <v>45949.25891</v>
      </c>
      <c r="L429" s="15">
        <f>IFERROR(__xludf.DUMMYFUNCTION("""COMPUTED_VALUE"""),45949.28816909704)</f>
        <v>45949.28817</v>
      </c>
    </row>
    <row r="430">
      <c r="A430" s="1">
        <f>IFERROR(__xludf.DUMMYFUNCTION("""COMPUTED_VALUE"""),429.0)</f>
        <v>429</v>
      </c>
      <c r="B430" s="1">
        <f>IFERROR(__xludf.DUMMYFUNCTION("""COMPUTED_VALUE"""),10446.0)</f>
        <v>10446</v>
      </c>
      <c r="C430" s="13" t="str">
        <f>IFERROR(__xludf.DUMMYFUNCTION("""COMPUTED_VALUE"""),"MARDIANA ROSYIDA")</f>
        <v>MARDIANA ROSYIDA</v>
      </c>
      <c r="D430" s="2" t="str">
        <f>IFERROR(__xludf.DUMMYFUNCTION("""COMPUTED_VALUE"""),"10KM OVERALL F")</f>
        <v>10KM OVERALL F</v>
      </c>
      <c r="E430" s="1">
        <f>IFERROR(__xludf.DUMMYFUNCTION("""COMPUTED_VALUE"""),23.0)</f>
        <v>23</v>
      </c>
      <c r="F430" s="1" t="str">
        <f>IFERROR(__xludf.DUMMYFUNCTION("""COMPUTED_VALUE"""),"Female")</f>
        <v>Female</v>
      </c>
      <c r="G430" s="5">
        <f>IFERROR(__xludf.DUMMYFUNCTION("""COMPUTED_VALUE"""),0.00507733912037037)</f>
        <v>0.00507733912</v>
      </c>
      <c r="H430" s="14">
        <f>IFERROR(__xludf.DUMMYFUNCTION("""COMPUTED_VALUE"""),0.24646185185185185)</f>
        <v>0.2464618519</v>
      </c>
      <c r="I430" s="15">
        <f>IFERROR(__xludf.DUMMYFUNCTION("""COMPUTED_VALUE"""),45949.29723524415)</f>
        <v>45949.29724</v>
      </c>
      <c r="J430" s="15">
        <f>IFERROR(__xludf.DUMMYFUNCTION("""COMPUTED_VALUE"""),45949.0507733923)</f>
        <v>45949.05077</v>
      </c>
      <c r="K430" s="15">
        <f>IFERROR(__xludf.DUMMYFUNCTION("""COMPUTED_VALUE"""),45949.25845382961)</f>
        <v>45949.25845</v>
      </c>
      <c r="L430" s="15">
        <f>IFERROR(__xludf.DUMMYFUNCTION("""COMPUTED_VALUE"""),45949.28855450625)</f>
        <v>45949.28855</v>
      </c>
    </row>
    <row r="431">
      <c r="A431" s="1">
        <f>IFERROR(__xludf.DUMMYFUNCTION("""COMPUTED_VALUE"""),430.0)</f>
        <v>430</v>
      </c>
      <c r="B431" s="1">
        <f>IFERROR(__xludf.DUMMYFUNCTION("""COMPUTED_VALUE"""),10654.0)</f>
        <v>10654</v>
      </c>
      <c r="C431" s="13" t="str">
        <f>IFERROR(__xludf.DUMMYFUNCTION("""COMPUTED_VALUE"""),"MLukmanH")</f>
        <v>MLukmanH</v>
      </c>
      <c r="D431" s="2" t="str">
        <f>IFERROR(__xludf.DUMMYFUNCTION("""COMPUTED_VALUE"""),"10KM OVERALL M")</f>
        <v>10KM OVERALL M</v>
      </c>
      <c r="E431" s="1">
        <f>IFERROR(__xludf.DUMMYFUNCTION("""COMPUTED_VALUE"""),363.0)</f>
        <v>363</v>
      </c>
      <c r="F431" s="1" t="str">
        <f>IFERROR(__xludf.DUMMYFUNCTION("""COMPUTED_VALUE"""),"Male")</f>
        <v>Male</v>
      </c>
      <c r="G431" s="5">
        <f>IFERROR(__xludf.DUMMYFUNCTION("""COMPUTED_VALUE"""),0.005083137731481482)</f>
        <v>0.005083137731</v>
      </c>
      <c r="H431" s="14">
        <f>IFERROR(__xludf.DUMMYFUNCTION("""COMPUTED_VALUE"""),0.24646185185185185)</f>
        <v>0.2464618519</v>
      </c>
      <c r="I431" s="15">
        <f>IFERROR(__xludf.DUMMYFUNCTION("""COMPUTED_VALUE"""),45949.29729323489)</f>
        <v>45949.29729</v>
      </c>
      <c r="J431" s="15">
        <f>IFERROR(__xludf.DUMMYFUNCTION("""COMPUTED_VALUE"""),45949.05083138304)</f>
        <v>45949.05083</v>
      </c>
      <c r="K431" s="15">
        <f>IFERROR(__xludf.DUMMYFUNCTION("""COMPUTED_VALUE"""),45949.25813086855)</f>
        <v>45949.25813</v>
      </c>
      <c r="L431" s="15">
        <f>IFERROR(__xludf.DUMMYFUNCTION("""COMPUTED_VALUE"""),45949.288797552)</f>
        <v>45949.2888</v>
      </c>
    </row>
    <row r="432">
      <c r="A432" s="1">
        <f>IFERROR(__xludf.DUMMYFUNCTION("""COMPUTED_VALUE"""),431.0)</f>
        <v>431</v>
      </c>
      <c r="B432" s="1">
        <f>IFERROR(__xludf.DUMMYFUNCTION("""COMPUTED_VALUE"""),10341.0)</f>
        <v>10341</v>
      </c>
      <c r="C432" s="13" t="str">
        <f>IFERROR(__xludf.DUMMYFUNCTION("""COMPUTED_VALUE"""),"Zaky Fahmi")</f>
        <v>Zaky Fahmi</v>
      </c>
      <c r="D432" s="2" t="str">
        <f>IFERROR(__xludf.DUMMYFUNCTION("""COMPUTED_VALUE"""),"10KM OVERALL M")</f>
        <v>10KM OVERALL M</v>
      </c>
      <c r="E432" s="1">
        <f>IFERROR(__xludf.DUMMYFUNCTION("""COMPUTED_VALUE"""),364.0)</f>
        <v>364</v>
      </c>
      <c r="F432" s="1" t="str">
        <f>IFERROR(__xludf.DUMMYFUNCTION("""COMPUTED_VALUE"""),"Male")</f>
        <v>Male</v>
      </c>
      <c r="G432" s="5">
        <f>IFERROR(__xludf.DUMMYFUNCTION("""COMPUTED_VALUE"""),0.005084181712962963)</f>
        <v>0.005084181713</v>
      </c>
      <c r="H432" s="14">
        <f>IFERROR(__xludf.DUMMYFUNCTION("""COMPUTED_VALUE"""),0.24646185185185185)</f>
        <v>0.2464618519</v>
      </c>
      <c r="I432" s="15">
        <f>IFERROR(__xludf.DUMMYFUNCTION("""COMPUTED_VALUE"""),45949.29730366393)</f>
        <v>45949.2973</v>
      </c>
      <c r="J432" s="15">
        <f>IFERROR(__xludf.DUMMYFUNCTION("""COMPUTED_VALUE"""),45949.05084181208)</f>
        <v>45949.05084</v>
      </c>
      <c r="K432" s="15">
        <f>IFERROR(__xludf.DUMMYFUNCTION("""COMPUTED_VALUE"""),45949.25834614315)</f>
        <v>45949.25835</v>
      </c>
      <c r="L432" s="15" t="str">
        <f>IFERROR(__xludf.DUMMYFUNCTION("""COMPUTED_VALUE"""),"")</f>
        <v/>
      </c>
    </row>
    <row r="433">
      <c r="A433" s="1">
        <f>IFERROR(__xludf.DUMMYFUNCTION("""COMPUTED_VALUE"""),432.0)</f>
        <v>432</v>
      </c>
      <c r="B433" s="1">
        <f>IFERROR(__xludf.DUMMYFUNCTION("""COMPUTED_VALUE"""),10501.0)</f>
        <v>10501</v>
      </c>
      <c r="C433" s="13" t="str">
        <f>IFERROR(__xludf.DUMMYFUNCTION("""COMPUTED_VALUE"""),"Akhmad Alfy")</f>
        <v>Akhmad Alfy</v>
      </c>
      <c r="D433" s="2" t="str">
        <f>IFERROR(__xludf.DUMMYFUNCTION("""COMPUTED_VALUE"""),"10KM OVERALL M")</f>
        <v>10KM OVERALL M</v>
      </c>
      <c r="E433" s="1">
        <f>IFERROR(__xludf.DUMMYFUNCTION("""COMPUTED_VALUE"""),365.0)</f>
        <v>365</v>
      </c>
      <c r="F433" s="1" t="str">
        <f>IFERROR(__xludf.DUMMYFUNCTION("""COMPUTED_VALUE"""),"Male")</f>
        <v>Male</v>
      </c>
      <c r="G433" s="5">
        <f>IFERROR(__xludf.DUMMYFUNCTION("""COMPUTED_VALUE"""),0.005085568287037037)</f>
        <v>0.005085568287</v>
      </c>
      <c r="H433" s="14">
        <f>IFERROR(__xludf.DUMMYFUNCTION("""COMPUTED_VALUE"""),0.24646185185185185)</f>
        <v>0.2464618519</v>
      </c>
      <c r="I433" s="15">
        <f>IFERROR(__xludf.DUMMYFUNCTION("""COMPUTED_VALUE"""),45949.297317533594)</f>
        <v>45949.29732</v>
      </c>
      <c r="J433" s="15">
        <f>IFERROR(__xludf.DUMMYFUNCTION("""COMPUTED_VALUE"""),45949.050855681744)</f>
        <v>45949.05086</v>
      </c>
      <c r="K433" s="15">
        <f>IFERROR(__xludf.DUMMYFUNCTION("""COMPUTED_VALUE"""),45949.25809966548)</f>
        <v>45949.2581</v>
      </c>
      <c r="L433" s="15">
        <f>IFERROR(__xludf.DUMMYFUNCTION("""COMPUTED_VALUE"""),45949.28818991565)</f>
        <v>45949.28819</v>
      </c>
    </row>
    <row r="434">
      <c r="A434" s="1">
        <f>IFERROR(__xludf.DUMMYFUNCTION("""COMPUTED_VALUE"""),433.0)</f>
        <v>433</v>
      </c>
      <c r="B434" s="1">
        <f>IFERROR(__xludf.DUMMYFUNCTION("""COMPUTED_VALUE"""),12014.0)</f>
        <v>12014</v>
      </c>
      <c r="C434" s="13" t="str">
        <f>IFERROR(__xludf.DUMMYFUNCTION("""COMPUTED_VALUE"""),"parjono")</f>
        <v>parjono</v>
      </c>
      <c r="D434" s="2" t="str">
        <f>IFERROR(__xludf.DUMMYFUNCTION("""COMPUTED_VALUE"""),"10KM MASTER M")</f>
        <v>10KM MASTER M</v>
      </c>
      <c r="E434" s="1">
        <f>IFERROR(__xludf.DUMMYFUNCTION("""COMPUTED_VALUE"""),40.0)</f>
        <v>40</v>
      </c>
      <c r="F434" s="1" t="str">
        <f>IFERROR(__xludf.DUMMYFUNCTION("""COMPUTED_VALUE"""),"Male")</f>
        <v>Male</v>
      </c>
      <c r="G434" s="5">
        <f>IFERROR(__xludf.DUMMYFUNCTION("""COMPUTED_VALUE"""),0.005091893518518518)</f>
        <v>0.005091893519</v>
      </c>
      <c r="H434" s="14">
        <f>IFERROR(__xludf.DUMMYFUNCTION("""COMPUTED_VALUE"""),0.24646185185185185)</f>
        <v>0.2464618519</v>
      </c>
      <c r="I434" s="15">
        <f>IFERROR(__xludf.DUMMYFUNCTION("""COMPUTED_VALUE"""),45949.2973807854)</f>
        <v>45949.29738</v>
      </c>
      <c r="J434" s="15">
        <f>IFERROR(__xludf.DUMMYFUNCTION("""COMPUTED_VALUE"""),45949.05091893355)</f>
        <v>45949.05092</v>
      </c>
      <c r="K434" s="15">
        <f>IFERROR(__xludf.DUMMYFUNCTION("""COMPUTED_VALUE"""),45949.25874898428)</f>
        <v>45949.25875</v>
      </c>
      <c r="L434" s="15">
        <f>IFERROR(__xludf.DUMMYFUNCTION("""COMPUTED_VALUE"""),45949.28896422079)</f>
        <v>45949.28896</v>
      </c>
    </row>
    <row r="435">
      <c r="A435" s="1">
        <f>IFERROR(__xludf.DUMMYFUNCTION("""COMPUTED_VALUE"""),434.0)</f>
        <v>434</v>
      </c>
      <c r="B435" s="1">
        <f>IFERROR(__xludf.DUMMYFUNCTION("""COMPUTED_VALUE"""),10011.0)</f>
        <v>10011</v>
      </c>
      <c r="C435" s="13" t="str">
        <f>IFERROR(__xludf.DUMMYFUNCTION("""COMPUTED_VALUE"""),"Jhony Maulana")</f>
        <v>Jhony Maulana</v>
      </c>
      <c r="D435" s="2" t="str">
        <f>IFERROR(__xludf.DUMMYFUNCTION("""COMPUTED_VALUE"""),"10KM OVERALL M")</f>
        <v>10KM OVERALL M</v>
      </c>
      <c r="E435" s="1">
        <f>IFERROR(__xludf.DUMMYFUNCTION("""COMPUTED_VALUE"""),366.0)</f>
        <v>366</v>
      </c>
      <c r="F435" s="1" t="str">
        <f>IFERROR(__xludf.DUMMYFUNCTION("""COMPUTED_VALUE"""),"Male")</f>
        <v>Male</v>
      </c>
      <c r="G435" s="5">
        <f>IFERROR(__xludf.DUMMYFUNCTION("""COMPUTED_VALUE"""),0.005093177083333333)</f>
        <v>0.005093177083</v>
      </c>
      <c r="H435" s="14">
        <f>IFERROR(__xludf.DUMMYFUNCTION("""COMPUTED_VALUE"""),0.24646185185185185)</f>
        <v>0.2464618519</v>
      </c>
      <c r="I435" s="15">
        <f>IFERROR(__xludf.DUMMYFUNCTION("""COMPUTED_VALUE"""),45949.297393622684)</f>
        <v>45949.29739</v>
      </c>
      <c r="J435" s="15">
        <f>IFERROR(__xludf.DUMMYFUNCTION("""COMPUTED_VALUE"""),45949.050931770835)</f>
        <v>45949.05093</v>
      </c>
      <c r="K435" s="15">
        <f>IFERROR(__xludf.DUMMYFUNCTION("""COMPUTED_VALUE"""),45949.26137043741)</f>
        <v>45949.26137</v>
      </c>
      <c r="L435" s="15">
        <f>IFERROR(__xludf.DUMMYFUNCTION("""COMPUTED_VALUE"""),45949.289456018516)</f>
        <v>45949.28946</v>
      </c>
    </row>
    <row r="436">
      <c r="A436" s="1">
        <f>IFERROR(__xludf.DUMMYFUNCTION("""COMPUTED_VALUE"""),435.0)</f>
        <v>435</v>
      </c>
      <c r="B436" s="1">
        <f>IFERROR(__xludf.DUMMYFUNCTION("""COMPUTED_VALUE"""),10183.0)</f>
        <v>10183</v>
      </c>
      <c r="C436" s="13" t="str">
        <f>IFERROR(__xludf.DUMMYFUNCTION("""COMPUTED_VALUE"""),"edy purnomo")</f>
        <v>edy purnomo</v>
      </c>
      <c r="D436" s="2" t="str">
        <f>IFERROR(__xludf.DUMMYFUNCTION("""COMPUTED_VALUE"""),"10KM OVERALL M")</f>
        <v>10KM OVERALL M</v>
      </c>
      <c r="E436" s="1">
        <f>IFERROR(__xludf.DUMMYFUNCTION("""COMPUTED_VALUE"""),367.0)</f>
        <v>367</v>
      </c>
      <c r="F436" s="1" t="str">
        <f>IFERROR(__xludf.DUMMYFUNCTION("""COMPUTED_VALUE"""),"Male")</f>
        <v>Male</v>
      </c>
      <c r="G436" s="5">
        <f>IFERROR(__xludf.DUMMYFUNCTION("""COMPUTED_VALUE"""),0.005099804398148148)</f>
        <v>0.005099804398</v>
      </c>
      <c r="H436" s="14">
        <f>IFERROR(__xludf.DUMMYFUNCTION("""COMPUTED_VALUE"""),0.24646185185185185)</f>
        <v>0.2464618519</v>
      </c>
      <c r="I436" s="15">
        <f>IFERROR(__xludf.DUMMYFUNCTION("""COMPUTED_VALUE"""),45949.29745989459)</f>
        <v>45949.29746</v>
      </c>
      <c r="J436" s="15">
        <f>IFERROR(__xludf.DUMMYFUNCTION("""COMPUTED_VALUE"""),45949.05099804274)</f>
        <v>45949.051</v>
      </c>
      <c r="K436" s="15" t="str">
        <f>IFERROR(__xludf.DUMMYFUNCTION("""COMPUTED_VALUE"""),"")</f>
        <v/>
      </c>
      <c r="L436" s="15">
        <f>IFERROR(__xludf.DUMMYFUNCTION("""COMPUTED_VALUE"""),45949.28809965681)</f>
        <v>45949.2881</v>
      </c>
    </row>
    <row r="437">
      <c r="A437" s="1">
        <f>IFERROR(__xludf.DUMMYFUNCTION("""COMPUTED_VALUE"""),436.0)</f>
        <v>436</v>
      </c>
      <c r="B437" s="1">
        <f>IFERROR(__xludf.DUMMYFUNCTION("""COMPUTED_VALUE"""),10326.0)</f>
        <v>10326</v>
      </c>
      <c r="C437" s="13" t="str">
        <f>IFERROR(__xludf.DUMMYFUNCTION("""COMPUTED_VALUE"""),"Zainalll")</f>
        <v>Zainalll</v>
      </c>
      <c r="D437" s="2" t="str">
        <f>IFERROR(__xludf.DUMMYFUNCTION("""COMPUTED_VALUE"""),"10KM OVERALL M")</f>
        <v>10KM OVERALL M</v>
      </c>
      <c r="E437" s="1">
        <f>IFERROR(__xludf.DUMMYFUNCTION("""COMPUTED_VALUE"""),368.0)</f>
        <v>368</v>
      </c>
      <c r="F437" s="1" t="str">
        <f>IFERROR(__xludf.DUMMYFUNCTION("""COMPUTED_VALUE"""),"Male")</f>
        <v>Male</v>
      </c>
      <c r="G437" s="5">
        <f>IFERROR(__xludf.DUMMYFUNCTION("""COMPUTED_VALUE"""),0.005102582175925926)</f>
        <v>0.005102582176</v>
      </c>
      <c r="H437" s="14">
        <f>IFERROR(__xludf.DUMMYFUNCTION("""COMPUTED_VALUE"""),0.24646185185185185)</f>
        <v>0.2464618519</v>
      </c>
      <c r="I437" s="15">
        <f>IFERROR(__xludf.DUMMYFUNCTION("""COMPUTED_VALUE"""),45949.297487678654)</f>
        <v>45949.29749</v>
      </c>
      <c r="J437" s="15">
        <f>IFERROR(__xludf.DUMMYFUNCTION("""COMPUTED_VALUE"""),45949.051025826804)</f>
        <v>45949.05103</v>
      </c>
      <c r="K437" s="15">
        <f>IFERROR(__xludf.DUMMYFUNCTION("""COMPUTED_VALUE"""),45949.25819688639)</f>
        <v>45949.2582</v>
      </c>
      <c r="L437" s="15">
        <f>IFERROR(__xludf.DUMMYFUNCTION("""COMPUTED_VALUE"""),45949.28809271896)</f>
        <v>45949.28809</v>
      </c>
    </row>
    <row r="438">
      <c r="A438" s="1">
        <f>IFERROR(__xludf.DUMMYFUNCTION("""COMPUTED_VALUE"""),437.0)</f>
        <v>437</v>
      </c>
      <c r="B438" s="1">
        <f>IFERROR(__xludf.DUMMYFUNCTION("""COMPUTED_VALUE"""),10415.0)</f>
        <v>10415</v>
      </c>
      <c r="C438" s="13" t="str">
        <f>IFERROR(__xludf.DUMMYFUNCTION("""COMPUTED_VALUE"""),"@myasinfirdausðŸ¢")</f>
        <v>@myasinfirdausðŸ_x0090_¢</v>
      </c>
      <c r="D438" s="2" t="str">
        <f>IFERROR(__xludf.DUMMYFUNCTION("""COMPUTED_VALUE"""),"10KM OVERALL M")</f>
        <v>10KM OVERALL M</v>
      </c>
      <c r="E438" s="1">
        <f>IFERROR(__xludf.DUMMYFUNCTION("""COMPUTED_VALUE"""),369.0)</f>
        <v>369</v>
      </c>
      <c r="F438" s="1" t="str">
        <f>IFERROR(__xludf.DUMMYFUNCTION("""COMPUTED_VALUE"""),"Male")</f>
        <v>Male</v>
      </c>
      <c r="G438" s="5">
        <f>IFERROR(__xludf.DUMMYFUNCTION("""COMPUTED_VALUE"""),0.005117194444444445)</f>
        <v>0.005117194444</v>
      </c>
      <c r="H438" s="14">
        <f>IFERROR(__xludf.DUMMYFUNCTION("""COMPUTED_VALUE"""),0.24646185185185185)</f>
        <v>0.2464618519</v>
      </c>
      <c r="I438" s="15">
        <f>IFERROR(__xludf.DUMMYFUNCTION("""COMPUTED_VALUE"""),45949.29763379806)</f>
        <v>45949.29763</v>
      </c>
      <c r="J438" s="15">
        <f>IFERROR(__xludf.DUMMYFUNCTION("""COMPUTED_VALUE"""),45949.05117194621)</f>
        <v>45949.05117</v>
      </c>
      <c r="K438" s="15">
        <f>IFERROR(__xludf.DUMMYFUNCTION("""COMPUTED_VALUE"""),45949.25831493981)</f>
        <v>45949.25831</v>
      </c>
      <c r="L438" s="15">
        <f>IFERROR(__xludf.DUMMYFUNCTION("""COMPUTED_VALUE"""),45949.288491999534)</f>
        <v>45949.28849</v>
      </c>
    </row>
    <row r="439">
      <c r="A439" s="1">
        <f>IFERROR(__xludf.DUMMYFUNCTION("""COMPUTED_VALUE"""),438.0)</f>
        <v>438</v>
      </c>
      <c r="B439" s="1">
        <f>IFERROR(__xludf.DUMMYFUNCTION("""COMPUTED_VALUE"""),10394.0)</f>
        <v>10394</v>
      </c>
      <c r="C439" s="13" t="str">
        <f>IFERROR(__xludf.DUMMYFUNCTION("""COMPUTED_VALUE"""),"VAREL")</f>
        <v>VAREL</v>
      </c>
      <c r="D439" s="2" t="str">
        <f>IFERROR(__xludf.DUMMYFUNCTION("""COMPUTED_VALUE"""),"10KM OVERALL M")</f>
        <v>10KM OVERALL M</v>
      </c>
      <c r="E439" s="1">
        <f>IFERROR(__xludf.DUMMYFUNCTION("""COMPUTED_VALUE"""),370.0)</f>
        <v>370</v>
      </c>
      <c r="F439" s="1" t="str">
        <f>IFERROR(__xludf.DUMMYFUNCTION("""COMPUTED_VALUE"""),"Male")</f>
        <v>Male</v>
      </c>
      <c r="G439" s="5">
        <f>IFERROR(__xludf.DUMMYFUNCTION("""COMPUTED_VALUE"""),0.005127229166666667)</f>
        <v>0.005127229167</v>
      </c>
      <c r="H439" s="14">
        <f>IFERROR(__xludf.DUMMYFUNCTION("""COMPUTED_VALUE"""),0.24646185185185185)</f>
        <v>0.2464618519</v>
      </c>
      <c r="I439" s="15">
        <f>IFERROR(__xludf.DUMMYFUNCTION("""COMPUTED_VALUE"""),45949.297734147614)</f>
        <v>45949.29773</v>
      </c>
      <c r="J439" s="15">
        <f>IFERROR(__xludf.DUMMYFUNCTION("""COMPUTED_VALUE"""),45949.051272295765)</f>
        <v>45949.05127</v>
      </c>
      <c r="K439" s="15">
        <f>IFERROR(__xludf.DUMMYFUNCTION("""COMPUTED_VALUE"""),45949.256985083295)</f>
        <v>45949.25699</v>
      </c>
      <c r="L439" s="15">
        <f>IFERROR(__xludf.DUMMYFUNCTION("""COMPUTED_VALUE"""),45949.2888739377)</f>
        <v>45949.28887</v>
      </c>
    </row>
    <row r="440">
      <c r="A440" s="1">
        <f>IFERROR(__xludf.DUMMYFUNCTION("""COMPUTED_VALUE"""),439.0)</f>
        <v>439</v>
      </c>
      <c r="B440" s="1">
        <f>IFERROR(__xludf.DUMMYFUNCTION("""COMPUTED_VALUE"""),10189.0)</f>
        <v>10189</v>
      </c>
      <c r="C440" s="13" t="str">
        <f>IFERROR(__xludf.DUMMYFUNCTION("""COMPUTED_VALUE"""),"ASRO MAILANDO ISPANDIAR")</f>
        <v>ASRO MAILANDO ISPANDIAR</v>
      </c>
      <c r="D440" s="2" t="str">
        <f>IFERROR(__xludf.DUMMYFUNCTION("""COMPUTED_VALUE"""),"10KM OVERALL M")</f>
        <v>10KM OVERALL M</v>
      </c>
      <c r="E440" s="1">
        <f>IFERROR(__xludf.DUMMYFUNCTION("""COMPUTED_VALUE"""),371.0)</f>
        <v>371</v>
      </c>
      <c r="F440" s="1" t="str">
        <f>IFERROR(__xludf.DUMMYFUNCTION("""COMPUTED_VALUE"""),"Male")</f>
        <v>Male</v>
      </c>
      <c r="G440" s="5">
        <f>IFERROR(__xludf.DUMMYFUNCTION("""COMPUTED_VALUE"""),0.005127930555555556)</f>
        <v>0.005127930556</v>
      </c>
      <c r="H440" s="14">
        <f>IFERROR(__xludf.DUMMYFUNCTION("""COMPUTED_VALUE"""),0.24646185185185185)</f>
        <v>0.2464618519</v>
      </c>
      <c r="I440" s="15">
        <f>IFERROR(__xludf.DUMMYFUNCTION("""COMPUTED_VALUE"""),45949.29774115444)</f>
        <v>45949.29774</v>
      </c>
      <c r="J440" s="15">
        <f>IFERROR(__xludf.DUMMYFUNCTION("""COMPUTED_VALUE"""),45949.05127930259)</f>
        <v>45949.05128</v>
      </c>
      <c r="K440" s="15">
        <f>IFERROR(__xludf.DUMMYFUNCTION("""COMPUTED_VALUE"""),45949.25814480073)</f>
        <v>45949.25814</v>
      </c>
      <c r="L440" s="15">
        <f>IFERROR(__xludf.DUMMYFUNCTION("""COMPUTED_VALUE"""),45949.289560185185)</f>
        <v>45949.28956</v>
      </c>
    </row>
    <row r="441">
      <c r="A441" s="1">
        <f>IFERROR(__xludf.DUMMYFUNCTION("""COMPUTED_VALUE"""),440.0)</f>
        <v>440</v>
      </c>
      <c r="B441" s="1">
        <f>IFERROR(__xludf.DUMMYFUNCTION("""COMPUTED_VALUE"""),10516.0)</f>
        <v>10516</v>
      </c>
      <c r="C441" s="13" t="str">
        <f>IFERROR(__xludf.DUMMYFUNCTION("""COMPUTED_VALUE"""),"YADI")</f>
        <v>YADI</v>
      </c>
      <c r="D441" s="2" t="str">
        <f>IFERROR(__xludf.DUMMYFUNCTION("""COMPUTED_VALUE"""),"10KM OVERALL M")</f>
        <v>10KM OVERALL M</v>
      </c>
      <c r="E441" s="1">
        <f>IFERROR(__xludf.DUMMYFUNCTION("""COMPUTED_VALUE"""),372.0)</f>
        <v>372</v>
      </c>
      <c r="F441" s="1" t="str">
        <f>IFERROR(__xludf.DUMMYFUNCTION("""COMPUTED_VALUE"""),"Male")</f>
        <v>Male</v>
      </c>
      <c r="G441" s="5">
        <f>IFERROR(__xludf.DUMMYFUNCTION("""COMPUTED_VALUE"""),0.0051289710648148145)</f>
        <v>0.005128971065</v>
      </c>
      <c r="H441" s="14">
        <f>IFERROR(__xludf.DUMMYFUNCTION("""COMPUTED_VALUE"""),0.24646185185185185)</f>
        <v>0.2464618519</v>
      </c>
      <c r="I441" s="15">
        <f>IFERROR(__xludf.DUMMYFUNCTION("""COMPUTED_VALUE"""),45949.29775155745)</f>
        <v>45949.29775</v>
      </c>
      <c r="J441" s="15">
        <f>IFERROR(__xludf.DUMMYFUNCTION("""COMPUTED_VALUE"""),45949.0512897056)</f>
        <v>45949.05129</v>
      </c>
      <c r="K441" s="15">
        <f>IFERROR(__xludf.DUMMYFUNCTION("""COMPUTED_VALUE"""),45949.259644740356)</f>
        <v>45949.25964</v>
      </c>
      <c r="L441" s="15">
        <f>IFERROR(__xludf.DUMMYFUNCTION("""COMPUTED_VALUE"""),45949.2896412037)</f>
        <v>45949.28964</v>
      </c>
    </row>
    <row r="442">
      <c r="A442" s="1">
        <f>IFERROR(__xludf.DUMMYFUNCTION("""COMPUTED_VALUE"""),441.0)</f>
        <v>441</v>
      </c>
      <c r="B442" s="1">
        <f>IFERROR(__xludf.DUMMYFUNCTION("""COMPUTED_VALUE"""),10335.0)</f>
        <v>10335</v>
      </c>
      <c r="C442" s="13" t="str">
        <f>IFERROR(__xludf.DUMMYFUNCTION("""COMPUTED_VALUE"""),"Asrori")</f>
        <v>Asrori</v>
      </c>
      <c r="D442" s="2" t="str">
        <f>IFERROR(__xludf.DUMMYFUNCTION("""COMPUTED_VALUE"""),"10KM OVERALL M")</f>
        <v>10KM OVERALL M</v>
      </c>
      <c r="E442" s="1">
        <f>IFERROR(__xludf.DUMMYFUNCTION("""COMPUTED_VALUE"""),373.0)</f>
        <v>373</v>
      </c>
      <c r="F442" s="1" t="str">
        <f>IFERROR(__xludf.DUMMYFUNCTION("""COMPUTED_VALUE"""),"Male")</f>
        <v>Male</v>
      </c>
      <c r="G442" s="5">
        <f>IFERROR(__xludf.DUMMYFUNCTION("""COMPUTED_VALUE"""),0.005142859953703703)</f>
        <v>0.005142859954</v>
      </c>
      <c r="H442" s="14">
        <f>IFERROR(__xludf.DUMMYFUNCTION("""COMPUTED_VALUE"""),0.24646185185185185)</f>
        <v>0.2464618519</v>
      </c>
      <c r="I442" s="15">
        <f>IFERROR(__xludf.DUMMYFUNCTION("""COMPUTED_VALUE"""),45949.29789044719)</f>
        <v>45949.29789</v>
      </c>
      <c r="J442" s="15">
        <f>IFERROR(__xludf.DUMMYFUNCTION("""COMPUTED_VALUE"""),45949.05142859534)</f>
        <v>45949.05143</v>
      </c>
      <c r="K442" s="15">
        <f>IFERROR(__xludf.DUMMYFUNCTION("""COMPUTED_VALUE"""),45949.258214272646)</f>
        <v>45949.25821</v>
      </c>
      <c r="L442" s="15">
        <f>IFERROR(__xludf.DUMMYFUNCTION("""COMPUTED_VALUE"""),45949.28927757988)</f>
        <v>45949.28928</v>
      </c>
    </row>
    <row r="443">
      <c r="A443" s="1">
        <f>IFERROR(__xludf.DUMMYFUNCTION("""COMPUTED_VALUE"""),442.0)</f>
        <v>442</v>
      </c>
      <c r="B443" s="1">
        <f>IFERROR(__xludf.DUMMYFUNCTION("""COMPUTED_VALUE"""),10597.0)</f>
        <v>10597</v>
      </c>
      <c r="C443" s="13" t="str">
        <f>IFERROR(__xludf.DUMMYFUNCTION("""COMPUTED_VALUE"""),"Suhaimi")</f>
        <v>Suhaimi</v>
      </c>
      <c r="D443" s="2" t="str">
        <f>IFERROR(__xludf.DUMMYFUNCTION("""COMPUTED_VALUE"""),"10KM OVERALL M")</f>
        <v>10KM OVERALL M</v>
      </c>
      <c r="E443" s="1">
        <f>IFERROR(__xludf.DUMMYFUNCTION("""COMPUTED_VALUE"""),374.0)</f>
        <v>374</v>
      </c>
      <c r="F443" s="1" t="str">
        <f>IFERROR(__xludf.DUMMYFUNCTION("""COMPUTED_VALUE"""),"Male")</f>
        <v>Male</v>
      </c>
      <c r="G443" s="5">
        <f>IFERROR(__xludf.DUMMYFUNCTION("""COMPUTED_VALUE"""),0.005147721064814815)</f>
        <v>0.005147721065</v>
      </c>
      <c r="H443" s="14">
        <f>IFERROR(__xludf.DUMMYFUNCTION("""COMPUTED_VALUE"""),0.24646185185185185)</f>
        <v>0.2464618519</v>
      </c>
      <c r="I443" s="15">
        <f>IFERROR(__xludf.DUMMYFUNCTION("""COMPUTED_VALUE"""),45949.29793906034)</f>
        <v>45949.29794</v>
      </c>
      <c r="J443" s="15">
        <f>IFERROR(__xludf.DUMMYFUNCTION("""COMPUTED_VALUE"""),45949.05147720849)</f>
        <v>45949.05148</v>
      </c>
      <c r="K443" s="15">
        <f>IFERROR(__xludf.DUMMYFUNCTION("""COMPUTED_VALUE"""),45949.25725591961)</f>
        <v>45949.25726</v>
      </c>
      <c r="L443" s="15">
        <f>IFERROR(__xludf.DUMMYFUNCTION("""COMPUTED_VALUE"""),45949.28893297581)</f>
        <v>45949.28893</v>
      </c>
    </row>
    <row r="444">
      <c r="A444" s="1">
        <f>IFERROR(__xludf.DUMMYFUNCTION("""COMPUTED_VALUE"""),443.0)</f>
        <v>443</v>
      </c>
      <c r="B444" s="1">
        <f>IFERROR(__xludf.DUMMYFUNCTION("""COMPUTED_VALUE"""),10509.0)</f>
        <v>10509</v>
      </c>
      <c r="C444" s="13" t="str">
        <f>IFERROR(__xludf.DUMMYFUNCTION("""COMPUTED_VALUE"""),"Rojer Rahman")</f>
        <v>Rojer Rahman</v>
      </c>
      <c r="D444" s="2" t="str">
        <f>IFERROR(__xludf.DUMMYFUNCTION("""COMPUTED_VALUE"""),"10KM OVERALL M")</f>
        <v>10KM OVERALL M</v>
      </c>
      <c r="E444" s="1">
        <f>IFERROR(__xludf.DUMMYFUNCTION("""COMPUTED_VALUE"""),375.0)</f>
        <v>375</v>
      </c>
      <c r="F444" s="1" t="str">
        <f>IFERROR(__xludf.DUMMYFUNCTION("""COMPUTED_VALUE"""),"Male")</f>
        <v>Male</v>
      </c>
      <c r="G444" s="5">
        <f>IFERROR(__xludf.DUMMYFUNCTION("""COMPUTED_VALUE"""),0.0051491099537037035)</f>
        <v>0.005149109954</v>
      </c>
      <c r="H444" s="14">
        <f>IFERROR(__xludf.DUMMYFUNCTION("""COMPUTED_VALUE"""),0.24646185185185185)</f>
        <v>0.2464618519</v>
      </c>
      <c r="I444" s="15">
        <f>IFERROR(__xludf.DUMMYFUNCTION("""COMPUTED_VALUE"""),45949.29795295109)</f>
        <v>45949.29795</v>
      </c>
      <c r="J444" s="15">
        <f>IFERROR(__xludf.DUMMYFUNCTION("""COMPUTED_VALUE"""),45949.05149109924)</f>
        <v>45949.05149</v>
      </c>
      <c r="K444" s="15">
        <f>IFERROR(__xludf.DUMMYFUNCTION("""COMPUTED_VALUE"""),45949.260016323904)</f>
        <v>45949.26002</v>
      </c>
      <c r="L444" s="15">
        <f>IFERROR(__xludf.DUMMYFUNCTION("""COMPUTED_VALUE"""),45949.28960648148)</f>
        <v>45949.28961</v>
      </c>
    </row>
    <row r="445">
      <c r="A445" s="1">
        <f>IFERROR(__xludf.DUMMYFUNCTION("""COMPUTED_VALUE"""),444.0)</f>
        <v>444</v>
      </c>
      <c r="B445" s="1">
        <f>IFERROR(__xludf.DUMMYFUNCTION("""COMPUTED_VALUE"""),10005.0)</f>
        <v>10005</v>
      </c>
      <c r="C445" s="13" t="str">
        <f>IFERROR(__xludf.DUMMYFUNCTION("""COMPUTED_VALUE"""),"Maidin.R")</f>
        <v>Maidin.R</v>
      </c>
      <c r="D445" s="2" t="str">
        <f>IFERROR(__xludf.DUMMYFUNCTION("""COMPUTED_VALUE"""),"10KM OVERALL M")</f>
        <v>10KM OVERALL M</v>
      </c>
      <c r="E445" s="1">
        <f>IFERROR(__xludf.DUMMYFUNCTION("""COMPUTED_VALUE"""),376.0)</f>
        <v>376</v>
      </c>
      <c r="F445" s="1" t="str">
        <f>IFERROR(__xludf.DUMMYFUNCTION("""COMPUTED_VALUE"""),"Male")</f>
        <v>Male</v>
      </c>
      <c r="G445" s="5">
        <f>IFERROR(__xludf.DUMMYFUNCTION("""COMPUTED_VALUE"""),0.00515015162037037)</f>
        <v>0.00515015162</v>
      </c>
      <c r="H445" s="14">
        <f>IFERROR(__xludf.DUMMYFUNCTION("""COMPUTED_VALUE"""),0.24646185185185185)</f>
        <v>0.2464618519</v>
      </c>
      <c r="I445" s="15">
        <f>IFERROR(__xludf.DUMMYFUNCTION("""COMPUTED_VALUE"""),45949.297963370016)</f>
        <v>45949.29796</v>
      </c>
      <c r="J445" s="15">
        <f>IFERROR(__xludf.DUMMYFUNCTION("""COMPUTED_VALUE"""),45949.051501518166)</f>
        <v>45949.0515</v>
      </c>
      <c r="K445" s="15">
        <f>IFERROR(__xludf.DUMMYFUNCTION("""COMPUTED_VALUE"""),45949.257714182444)</f>
        <v>45949.25771</v>
      </c>
      <c r="L445" s="15">
        <f>IFERROR(__xludf.DUMMYFUNCTION("""COMPUTED_VALUE"""),45949.288439968295)</f>
        <v>45949.28844</v>
      </c>
    </row>
    <row r="446">
      <c r="A446" s="1">
        <f>IFERROR(__xludf.DUMMYFUNCTION("""COMPUTED_VALUE"""),445.0)</f>
        <v>445</v>
      </c>
      <c r="B446" s="1">
        <f>IFERROR(__xludf.DUMMYFUNCTION("""COMPUTED_VALUE"""),10118.0)</f>
        <v>10118</v>
      </c>
      <c r="C446" s="13" t="str">
        <f>IFERROR(__xludf.DUMMYFUNCTION("""COMPUTED_VALUE"""),"Adha")</f>
        <v>Adha</v>
      </c>
      <c r="D446" s="2" t="str">
        <f>IFERROR(__xludf.DUMMYFUNCTION("""COMPUTED_VALUE"""),"10KM OVERALL M")</f>
        <v>10KM OVERALL M</v>
      </c>
      <c r="E446" s="1">
        <f>IFERROR(__xludf.DUMMYFUNCTION("""COMPUTED_VALUE"""),377.0)</f>
        <v>377</v>
      </c>
      <c r="F446" s="1" t="str">
        <f>IFERROR(__xludf.DUMMYFUNCTION("""COMPUTED_VALUE"""),"Male")</f>
        <v>Male</v>
      </c>
      <c r="G446" s="5">
        <f>IFERROR(__xludf.DUMMYFUNCTION("""COMPUTED_VALUE"""),0.005156054398148148)</f>
        <v>0.005156054398</v>
      </c>
      <c r="H446" s="14">
        <f>IFERROR(__xludf.DUMMYFUNCTION("""COMPUTED_VALUE"""),0.24646185185185185)</f>
        <v>0.2464618519</v>
      </c>
      <c r="I446" s="15">
        <f>IFERROR(__xludf.DUMMYFUNCTION("""COMPUTED_VALUE"""),45949.298022399176)</f>
        <v>45949.29802</v>
      </c>
      <c r="J446" s="15">
        <f>IFERROR(__xludf.DUMMYFUNCTION("""COMPUTED_VALUE"""),45949.05156054733)</f>
        <v>45949.05156</v>
      </c>
      <c r="K446" s="15">
        <f>IFERROR(__xludf.DUMMYFUNCTION("""COMPUTED_VALUE"""),45949.25759961516)</f>
        <v>45949.2576</v>
      </c>
      <c r="L446" s="15">
        <f>IFERROR(__xludf.DUMMYFUNCTION("""COMPUTED_VALUE"""),45949.28894338654)</f>
        <v>45949.28894</v>
      </c>
    </row>
    <row r="447">
      <c r="A447" s="1">
        <f>IFERROR(__xludf.DUMMYFUNCTION("""COMPUTED_VALUE"""),446.0)</f>
        <v>446</v>
      </c>
      <c r="B447" s="1">
        <f>IFERROR(__xludf.DUMMYFUNCTION("""COMPUTED_VALUE"""),12019.0)</f>
        <v>12019</v>
      </c>
      <c r="C447" s="13" t="str">
        <f>IFERROR(__xludf.DUMMYFUNCTION("""COMPUTED_VALUE"""),"Rey")</f>
        <v>Rey</v>
      </c>
      <c r="D447" s="2" t="str">
        <f>IFERROR(__xludf.DUMMYFUNCTION("""COMPUTED_VALUE"""),"10KM MASTER M")</f>
        <v>10KM MASTER M</v>
      </c>
      <c r="E447" s="1">
        <f>IFERROR(__xludf.DUMMYFUNCTION("""COMPUTED_VALUE"""),41.0)</f>
        <v>41</v>
      </c>
      <c r="F447" s="1" t="str">
        <f>IFERROR(__xludf.DUMMYFUNCTION("""COMPUTED_VALUE"""),"Male")</f>
        <v>Male</v>
      </c>
      <c r="G447" s="5">
        <f>IFERROR(__xludf.DUMMYFUNCTION("""COMPUTED_VALUE"""),0.005158827546296296)</f>
        <v>0.005158827546</v>
      </c>
      <c r="H447" s="14">
        <f>IFERROR(__xludf.DUMMYFUNCTION("""COMPUTED_VALUE"""),0.24646185185185185)</f>
        <v>0.2464618519</v>
      </c>
      <c r="I447" s="15">
        <f>IFERROR(__xludf.DUMMYFUNCTION("""COMPUTED_VALUE"""),45949.29805012343)</f>
        <v>45949.29805</v>
      </c>
      <c r="J447" s="15">
        <f>IFERROR(__xludf.DUMMYFUNCTION("""COMPUTED_VALUE"""),45949.05158827158)</f>
        <v>45949.05159</v>
      </c>
      <c r="K447" s="15">
        <f>IFERROR(__xludf.DUMMYFUNCTION("""COMPUTED_VALUE"""),45949.26040865932)</f>
        <v>45949.26041</v>
      </c>
      <c r="L447" s="15">
        <f>IFERROR(__xludf.DUMMYFUNCTION("""COMPUTED_VALUE"""),45949.33202546296)</f>
        <v>45949.33203</v>
      </c>
    </row>
    <row r="448">
      <c r="A448" s="1">
        <f>IFERROR(__xludf.DUMMYFUNCTION("""COMPUTED_VALUE"""),447.0)</f>
        <v>447</v>
      </c>
      <c r="B448" s="1">
        <f>IFERROR(__xludf.DUMMYFUNCTION("""COMPUTED_VALUE"""),10515.0)</f>
        <v>10515</v>
      </c>
      <c r="C448" s="13" t="str">
        <f>IFERROR(__xludf.DUMMYFUNCTION("""COMPUTED_VALUE"""),"Achmad Muchlisin")</f>
        <v>Achmad Muchlisin</v>
      </c>
      <c r="D448" s="2" t="str">
        <f>IFERROR(__xludf.DUMMYFUNCTION("""COMPUTED_VALUE"""),"10KM OVERALL M")</f>
        <v>10KM OVERALL M</v>
      </c>
      <c r="E448" s="1">
        <f>IFERROR(__xludf.DUMMYFUNCTION("""COMPUTED_VALUE"""),378.0)</f>
        <v>378</v>
      </c>
      <c r="F448" s="1" t="str">
        <f>IFERROR(__xludf.DUMMYFUNCTION("""COMPUTED_VALUE"""),"Male")</f>
        <v>Male</v>
      </c>
      <c r="G448" s="5">
        <f>IFERROR(__xludf.DUMMYFUNCTION("""COMPUTED_VALUE"""),0.005158828703703704)</f>
        <v>0.005158828704</v>
      </c>
      <c r="H448" s="14">
        <f>IFERROR(__xludf.DUMMYFUNCTION("""COMPUTED_VALUE"""),0.24646185185185185)</f>
        <v>0.2464618519</v>
      </c>
      <c r="I448" s="15">
        <f>IFERROR(__xludf.DUMMYFUNCTION("""COMPUTED_VALUE"""),45949.29805013496)</f>
        <v>45949.29805</v>
      </c>
      <c r="J448" s="15">
        <f>IFERROR(__xludf.DUMMYFUNCTION("""COMPUTED_VALUE"""),45949.05158828311)</f>
        <v>45949.05159</v>
      </c>
      <c r="K448" s="15">
        <f>IFERROR(__xludf.DUMMYFUNCTION("""COMPUTED_VALUE"""),45949.25525932106)</f>
        <v>45949.25526</v>
      </c>
      <c r="L448" s="15">
        <f>IFERROR(__xludf.DUMMYFUNCTION("""COMPUTED_VALUE"""),45949.28771772737)</f>
        <v>45949.28772</v>
      </c>
    </row>
    <row r="449">
      <c r="A449" s="1">
        <f>IFERROR(__xludf.DUMMYFUNCTION("""COMPUTED_VALUE"""),448.0)</f>
        <v>448</v>
      </c>
      <c r="B449" s="1">
        <f>IFERROR(__xludf.DUMMYFUNCTION("""COMPUTED_VALUE"""),10661.0)</f>
        <v>10661</v>
      </c>
      <c r="C449" s="13" t="str">
        <f>IFERROR(__xludf.DUMMYFUNCTION("""COMPUTED_VALUE"""),"DIO SURYA")</f>
        <v>DIO SURYA</v>
      </c>
      <c r="D449" s="2" t="str">
        <f>IFERROR(__xludf.DUMMYFUNCTION("""COMPUTED_VALUE"""),"10KM OVERALL M")</f>
        <v>10KM OVERALL M</v>
      </c>
      <c r="E449" s="1">
        <f>IFERROR(__xludf.DUMMYFUNCTION("""COMPUTED_VALUE"""),379.0)</f>
        <v>379</v>
      </c>
      <c r="F449" s="1" t="str">
        <f>IFERROR(__xludf.DUMMYFUNCTION("""COMPUTED_VALUE"""),"Male")</f>
        <v>Male</v>
      </c>
      <c r="G449" s="5">
        <f>IFERROR(__xludf.DUMMYFUNCTION("""COMPUTED_VALUE"""),0.005164)</f>
        <v>0.005164</v>
      </c>
      <c r="H449" s="14">
        <f>IFERROR(__xludf.DUMMYFUNCTION("""COMPUTED_VALUE"""),0.24646185185185185)</f>
        <v>0.2464618519</v>
      </c>
      <c r="I449" s="15">
        <f>IFERROR(__xludf.DUMMYFUNCTION("""COMPUTED_VALUE"""),45949.298101851855)</f>
        <v>45949.2981</v>
      </c>
      <c r="J449" s="15">
        <f>IFERROR(__xludf.DUMMYFUNCTION("""COMPUTED_VALUE"""),45949.051640000005)</f>
        <v>45949.05164</v>
      </c>
      <c r="K449" s="15">
        <f>IFERROR(__xludf.DUMMYFUNCTION("""COMPUTED_VALUE"""),45949.2579884977)</f>
        <v>45949.25799</v>
      </c>
      <c r="L449" s="15">
        <f>IFERROR(__xludf.DUMMYFUNCTION("""COMPUTED_VALUE"""),45949.28911009356)</f>
        <v>45949.28911</v>
      </c>
    </row>
    <row r="450">
      <c r="A450" s="1">
        <f>IFERROR(__xludf.DUMMYFUNCTION("""COMPUTED_VALUE"""),449.0)</f>
        <v>449</v>
      </c>
      <c r="B450" s="1">
        <f>IFERROR(__xludf.DUMMYFUNCTION("""COMPUTED_VALUE"""),10205.0)</f>
        <v>10205</v>
      </c>
      <c r="C450" s="13" t="str">
        <f>IFERROR(__xludf.DUMMYFUNCTION("""COMPUTED_VALUE"""),"Galuh Sri Gunawan")</f>
        <v>Galuh Sri Gunawan</v>
      </c>
      <c r="D450" s="2" t="str">
        <f>IFERROR(__xludf.DUMMYFUNCTION("""COMPUTED_VALUE"""),"10KM OVERALL M")</f>
        <v>10KM OVERALL M</v>
      </c>
      <c r="E450" s="1">
        <f>IFERROR(__xludf.DUMMYFUNCTION("""COMPUTED_VALUE"""),380.0)</f>
        <v>380</v>
      </c>
      <c r="F450" s="1" t="str">
        <f>IFERROR(__xludf.DUMMYFUNCTION("""COMPUTED_VALUE"""),"Male")</f>
        <v>Male</v>
      </c>
      <c r="G450" s="5">
        <f>IFERROR(__xludf.DUMMYFUNCTION("""COMPUTED_VALUE"""),0.005165082175925926)</f>
        <v>0.005165082176</v>
      </c>
      <c r="H450" s="14">
        <f>IFERROR(__xludf.DUMMYFUNCTION("""COMPUTED_VALUE"""),0.24646185185185185)</f>
        <v>0.2464618519</v>
      </c>
      <c r="I450" s="15">
        <f>IFERROR(__xludf.DUMMYFUNCTION("""COMPUTED_VALUE"""),45949.29811267403)</f>
        <v>45949.29811</v>
      </c>
      <c r="J450" s="15">
        <f>IFERROR(__xludf.DUMMYFUNCTION("""COMPUTED_VALUE"""),45949.05165082218)</f>
        <v>45949.05165</v>
      </c>
      <c r="K450" s="15">
        <f>IFERROR(__xludf.DUMMYFUNCTION("""COMPUTED_VALUE"""),45949.25916559837)</f>
        <v>45949.25917</v>
      </c>
      <c r="L450" s="15">
        <f>IFERROR(__xludf.DUMMYFUNCTION("""COMPUTED_VALUE"""),45949.28953703703)</f>
        <v>45949.28954</v>
      </c>
    </row>
    <row r="451">
      <c r="A451" s="1">
        <f>IFERROR(__xludf.DUMMYFUNCTION("""COMPUTED_VALUE"""),450.0)</f>
        <v>450</v>
      </c>
      <c r="B451" s="1">
        <f>IFERROR(__xludf.DUMMYFUNCTION("""COMPUTED_VALUE"""),10094.0)</f>
        <v>10094</v>
      </c>
      <c r="C451" s="13" t="str">
        <f>IFERROR(__xludf.DUMMYFUNCTION("""COMPUTED_VALUE"""),"KELVIN KIPTUM")</f>
        <v>KELVIN KIPTUM</v>
      </c>
      <c r="D451" s="2" t="str">
        <f>IFERROR(__xludf.DUMMYFUNCTION("""COMPUTED_VALUE"""),"10KM OVERALL M")</f>
        <v>10KM OVERALL M</v>
      </c>
      <c r="E451" s="1">
        <f>IFERROR(__xludf.DUMMYFUNCTION("""COMPUTED_VALUE"""),381.0)</f>
        <v>381</v>
      </c>
      <c r="F451" s="1" t="str">
        <f>IFERROR(__xludf.DUMMYFUNCTION("""COMPUTED_VALUE"""),"Male")</f>
        <v>Male</v>
      </c>
      <c r="G451" s="5">
        <f>IFERROR(__xludf.DUMMYFUNCTION("""COMPUTED_VALUE"""),0.005167859953703704)</f>
        <v>0.005167859954</v>
      </c>
      <c r="H451" s="14">
        <f>IFERROR(__xludf.DUMMYFUNCTION("""COMPUTED_VALUE"""),0.24646185185185185)</f>
        <v>0.2464618519</v>
      </c>
      <c r="I451" s="15">
        <f>IFERROR(__xludf.DUMMYFUNCTION("""COMPUTED_VALUE"""),45949.298140449384)</f>
        <v>45949.29814</v>
      </c>
      <c r="J451" s="15">
        <f>IFERROR(__xludf.DUMMYFUNCTION("""COMPUTED_VALUE"""),45949.051678597534)</f>
        <v>45949.05168</v>
      </c>
      <c r="K451" s="15">
        <f>IFERROR(__xludf.DUMMYFUNCTION("""COMPUTED_VALUE"""),45949.25818298842)</f>
        <v>45949.25818</v>
      </c>
      <c r="L451" s="15">
        <f>IFERROR(__xludf.DUMMYFUNCTION("""COMPUTED_VALUE"""),45949.288464218145)</f>
        <v>45949.28846</v>
      </c>
    </row>
    <row r="452">
      <c r="A452" s="1">
        <f>IFERROR(__xludf.DUMMYFUNCTION("""COMPUTED_VALUE"""),451.0)</f>
        <v>451</v>
      </c>
      <c r="B452" s="1">
        <f>IFERROR(__xludf.DUMMYFUNCTION("""COMPUTED_VALUE"""),10647.0)</f>
        <v>10647</v>
      </c>
      <c r="C452" s="13" t="str">
        <f>IFERROR(__xludf.DUMMYFUNCTION("""COMPUTED_VALUE"""),"SNDYSTWN")</f>
        <v>SNDYSTWN</v>
      </c>
      <c r="D452" s="2" t="str">
        <f>IFERROR(__xludf.DUMMYFUNCTION("""COMPUTED_VALUE"""),"10KM OVERALL M")</f>
        <v>10KM OVERALL M</v>
      </c>
      <c r="E452" s="1">
        <f>IFERROR(__xludf.DUMMYFUNCTION("""COMPUTED_VALUE"""),382.0)</f>
        <v>382</v>
      </c>
      <c r="F452" s="1" t="str">
        <f>IFERROR(__xludf.DUMMYFUNCTION("""COMPUTED_VALUE"""),"Male")</f>
        <v>Male</v>
      </c>
      <c r="G452" s="5">
        <f>IFERROR(__xludf.DUMMYFUNCTION("""COMPUTED_VALUE"""),0.0051803541666666664)</f>
        <v>0.005180354167</v>
      </c>
      <c r="H452" s="14">
        <f>IFERROR(__xludf.DUMMYFUNCTION("""COMPUTED_VALUE"""),0.24646185185185185)</f>
        <v>0.2464618519</v>
      </c>
      <c r="I452" s="15">
        <f>IFERROR(__xludf.DUMMYFUNCTION("""COMPUTED_VALUE"""),45949.298265394544)</f>
        <v>45949.29827</v>
      </c>
      <c r="J452" s="15">
        <f>IFERROR(__xludf.DUMMYFUNCTION("""COMPUTED_VALUE"""),45949.051803542694)</f>
        <v>45949.0518</v>
      </c>
      <c r="K452" s="15">
        <f>IFERROR(__xludf.DUMMYFUNCTION("""COMPUTED_VALUE"""),45949.259193361926)</f>
        <v>45949.25919</v>
      </c>
      <c r="L452" s="15" t="str">
        <f>IFERROR(__xludf.DUMMYFUNCTION("""COMPUTED_VALUE"""),"")</f>
        <v/>
      </c>
    </row>
    <row r="453">
      <c r="A453" s="1">
        <f>IFERROR(__xludf.DUMMYFUNCTION("""COMPUTED_VALUE"""),452.0)</f>
        <v>452</v>
      </c>
      <c r="B453" s="1">
        <f>IFERROR(__xludf.DUMMYFUNCTION("""COMPUTED_VALUE"""),10411.0)</f>
        <v>10411</v>
      </c>
      <c r="C453" s="13" t="str">
        <f>IFERROR(__xludf.DUMMYFUNCTION("""COMPUTED_VALUE"""),"Marcel")</f>
        <v>Marcel</v>
      </c>
      <c r="D453" s="2" t="str">
        <f>IFERROR(__xludf.DUMMYFUNCTION("""COMPUTED_VALUE"""),"10KM OVERALL M")</f>
        <v>10KM OVERALL M</v>
      </c>
      <c r="E453" s="1">
        <f>IFERROR(__xludf.DUMMYFUNCTION("""COMPUTED_VALUE"""),383.0)</f>
        <v>383</v>
      </c>
      <c r="F453" s="1" t="str">
        <f>IFERROR(__xludf.DUMMYFUNCTION("""COMPUTED_VALUE"""),"Male")</f>
        <v>Male</v>
      </c>
      <c r="G453" s="5">
        <f>IFERROR(__xludf.DUMMYFUNCTION("""COMPUTED_VALUE"""),0.005194944444444445)</f>
        <v>0.005194944444</v>
      </c>
      <c r="H453" s="14">
        <f>IFERROR(__xludf.DUMMYFUNCTION("""COMPUTED_VALUE"""),0.24646185185185185)</f>
        <v>0.2464618519</v>
      </c>
      <c r="I453" s="15">
        <f>IFERROR(__xludf.DUMMYFUNCTION("""COMPUTED_VALUE"""),45949.29841129147)</f>
        <v>45949.29841</v>
      </c>
      <c r="J453" s="15">
        <f>IFERROR(__xludf.DUMMYFUNCTION("""COMPUTED_VALUE"""),45949.05194943962)</f>
        <v>45949.05195</v>
      </c>
      <c r="K453" s="15">
        <f>IFERROR(__xludf.DUMMYFUNCTION("""COMPUTED_VALUE"""),45949.25787745622)</f>
        <v>45949.25788</v>
      </c>
      <c r="L453" s="15">
        <f>IFERROR(__xludf.DUMMYFUNCTION("""COMPUTED_VALUE"""),45949.28947916666)</f>
        <v>45949.28948</v>
      </c>
    </row>
    <row r="454">
      <c r="A454" s="1">
        <f>IFERROR(__xludf.DUMMYFUNCTION("""COMPUTED_VALUE"""),453.0)</f>
        <v>453</v>
      </c>
      <c r="B454" s="1">
        <f>IFERROR(__xludf.DUMMYFUNCTION("""COMPUTED_VALUE"""),10018.0)</f>
        <v>10018</v>
      </c>
      <c r="C454" s="13" t="str">
        <f>IFERROR(__xludf.DUMMYFUNCTION("""COMPUTED_VALUE"""),"Indah_Feter")</f>
        <v>Indah_Feter</v>
      </c>
      <c r="D454" s="2" t="str">
        <f>IFERROR(__xludf.DUMMYFUNCTION("""COMPUTED_VALUE"""),"10KM OVERALL F")</f>
        <v>10KM OVERALL F</v>
      </c>
      <c r="E454" s="1">
        <f>IFERROR(__xludf.DUMMYFUNCTION("""COMPUTED_VALUE"""),24.0)</f>
        <v>24</v>
      </c>
      <c r="F454" s="1" t="str">
        <f>IFERROR(__xludf.DUMMYFUNCTION("""COMPUTED_VALUE"""),"Female")</f>
        <v>Female</v>
      </c>
      <c r="G454" s="5">
        <f>IFERROR(__xludf.DUMMYFUNCTION("""COMPUTED_VALUE"""),0.005201881944444445)</f>
        <v>0.005201881944</v>
      </c>
      <c r="H454" s="14">
        <f>IFERROR(__xludf.DUMMYFUNCTION("""COMPUTED_VALUE"""),0.24646185185185185)</f>
        <v>0.2464618519</v>
      </c>
      <c r="I454" s="15">
        <f>IFERROR(__xludf.DUMMYFUNCTION("""COMPUTED_VALUE"""),45949.29848067283)</f>
        <v>45949.29848</v>
      </c>
      <c r="J454" s="15">
        <f>IFERROR(__xludf.DUMMYFUNCTION("""COMPUTED_VALUE"""),45949.05201882098)</f>
        <v>45949.05202</v>
      </c>
      <c r="K454" s="15">
        <f>IFERROR(__xludf.DUMMYFUNCTION("""COMPUTED_VALUE"""),45949.25722807381)</f>
        <v>45949.25723</v>
      </c>
      <c r="L454" s="15">
        <f>IFERROR(__xludf.DUMMYFUNCTION("""COMPUTED_VALUE"""),45949.28865172411)</f>
        <v>45949.28865</v>
      </c>
    </row>
    <row r="455">
      <c r="A455" s="1">
        <f>IFERROR(__xludf.DUMMYFUNCTION("""COMPUTED_VALUE"""),454.0)</f>
        <v>454</v>
      </c>
      <c r="B455" s="1">
        <f>IFERROR(__xludf.DUMMYFUNCTION("""COMPUTED_VALUE"""),10002.0)</f>
        <v>10002</v>
      </c>
      <c r="C455" s="13" t="str">
        <f>IFERROR(__xludf.DUMMYFUNCTION("""COMPUTED_VALUE"""),"Feter_Indah")</f>
        <v>Feter_Indah</v>
      </c>
      <c r="D455" s="2" t="str">
        <f>IFERROR(__xludf.DUMMYFUNCTION("""COMPUTED_VALUE"""),"10KM OVERALL M")</f>
        <v>10KM OVERALL M</v>
      </c>
      <c r="E455" s="1">
        <f>IFERROR(__xludf.DUMMYFUNCTION("""COMPUTED_VALUE"""),384.0)</f>
        <v>384</v>
      </c>
      <c r="F455" s="1" t="str">
        <f>IFERROR(__xludf.DUMMYFUNCTION("""COMPUTED_VALUE"""),"Male")</f>
        <v>Male</v>
      </c>
      <c r="G455" s="5">
        <f>IFERROR(__xludf.DUMMYFUNCTION("""COMPUTED_VALUE"""),0.0052022303240740735)</f>
        <v>0.005202230324</v>
      </c>
      <c r="H455" s="14">
        <f>IFERROR(__xludf.DUMMYFUNCTION("""COMPUTED_VALUE"""),0.24646185185185185)</f>
        <v>0.2464618519</v>
      </c>
      <c r="I455" s="15">
        <f>IFERROR(__xludf.DUMMYFUNCTION("""COMPUTED_VALUE"""),45949.29848415484)</f>
        <v>45949.29848</v>
      </c>
      <c r="J455" s="15">
        <f>IFERROR(__xludf.DUMMYFUNCTION("""COMPUTED_VALUE"""),45949.05202230299)</f>
        <v>45949.05202</v>
      </c>
      <c r="K455" s="15">
        <f>IFERROR(__xludf.DUMMYFUNCTION("""COMPUTED_VALUE"""),45949.25726289536)</f>
        <v>45949.25726</v>
      </c>
      <c r="L455" s="15">
        <f>IFERROR(__xludf.DUMMYFUNCTION("""COMPUTED_VALUE"""),45949.28864477863)</f>
        <v>45949.28864</v>
      </c>
    </row>
    <row r="456">
      <c r="A456" s="1">
        <f>IFERROR(__xludf.DUMMYFUNCTION("""COMPUTED_VALUE"""),455.0)</f>
        <v>455</v>
      </c>
      <c r="B456" s="1">
        <f>IFERROR(__xludf.DUMMYFUNCTION("""COMPUTED_VALUE"""),10587.0)</f>
        <v>10587</v>
      </c>
      <c r="C456" s="13" t="str">
        <f>IFERROR(__xludf.DUMMYFUNCTION("""COMPUTED_VALUE"""),"Sandy")</f>
        <v>Sandy</v>
      </c>
      <c r="D456" s="2" t="str">
        <f>IFERROR(__xludf.DUMMYFUNCTION("""COMPUTED_VALUE"""),"10KM OVERALL M")</f>
        <v>10KM OVERALL M</v>
      </c>
      <c r="E456" s="1">
        <f>IFERROR(__xludf.DUMMYFUNCTION("""COMPUTED_VALUE"""),385.0)</f>
        <v>385</v>
      </c>
      <c r="F456" s="1" t="str">
        <f>IFERROR(__xludf.DUMMYFUNCTION("""COMPUTED_VALUE"""),"Male")</f>
        <v>Male</v>
      </c>
      <c r="G456" s="5">
        <f>IFERROR(__xludf.DUMMYFUNCTION("""COMPUTED_VALUE"""),0.005202929398148148)</f>
        <v>0.005202929398</v>
      </c>
      <c r="H456" s="14">
        <f>IFERROR(__xludf.DUMMYFUNCTION("""COMPUTED_VALUE"""),0.24646185185185185)</f>
        <v>0.2464618519</v>
      </c>
      <c r="I456" s="15">
        <f>IFERROR(__xludf.DUMMYFUNCTION("""COMPUTED_VALUE"""),45949.29849114428)</f>
        <v>45949.29849</v>
      </c>
      <c r="J456" s="15">
        <f>IFERROR(__xludf.DUMMYFUNCTION("""COMPUTED_VALUE"""),45949.052029292434)</f>
        <v>45949.05203</v>
      </c>
      <c r="K456" s="15">
        <f>IFERROR(__xludf.DUMMYFUNCTION("""COMPUTED_VALUE"""),45949.257943364355)</f>
        <v>45949.25794</v>
      </c>
      <c r="L456" s="15">
        <f>IFERROR(__xludf.DUMMYFUNCTION("""COMPUTED_VALUE"""),45949.28888830082)</f>
        <v>45949.28889</v>
      </c>
    </row>
    <row r="457">
      <c r="A457" s="1">
        <f>IFERROR(__xludf.DUMMYFUNCTION("""COMPUTED_VALUE"""),456.0)</f>
        <v>456</v>
      </c>
      <c r="B457" s="1">
        <f>IFERROR(__xludf.DUMMYFUNCTION("""COMPUTED_VALUE"""),10032.0)</f>
        <v>10032</v>
      </c>
      <c r="C457" s="13" t="str">
        <f>IFERROR(__xludf.DUMMYFUNCTION("""COMPUTED_VALUE"""),"Lukman")</f>
        <v>Lukman</v>
      </c>
      <c r="D457" s="2" t="str">
        <f>IFERROR(__xludf.DUMMYFUNCTION("""COMPUTED_VALUE"""),"10KM OVERALL M")</f>
        <v>10KM OVERALL M</v>
      </c>
      <c r="E457" s="1">
        <f>IFERROR(__xludf.DUMMYFUNCTION("""COMPUTED_VALUE"""),386.0)</f>
        <v>386</v>
      </c>
      <c r="F457" s="1" t="str">
        <f>IFERROR(__xludf.DUMMYFUNCTION("""COMPUTED_VALUE"""),"Male")</f>
        <v>Male</v>
      </c>
      <c r="G457" s="5">
        <f>IFERROR(__xludf.DUMMYFUNCTION("""COMPUTED_VALUE"""),0.005202930555555556)</f>
        <v>0.005202930556</v>
      </c>
      <c r="H457" s="14">
        <f>IFERROR(__xludf.DUMMYFUNCTION("""COMPUTED_VALUE"""),0.24646185185185185)</f>
        <v>0.2464618519</v>
      </c>
      <c r="I457" s="15">
        <f>IFERROR(__xludf.DUMMYFUNCTION("""COMPUTED_VALUE"""),45949.29849115621)</f>
        <v>45949.29849</v>
      </c>
      <c r="J457" s="15">
        <f>IFERROR(__xludf.DUMMYFUNCTION("""COMPUTED_VALUE"""),45949.05202930436)</f>
        <v>45949.05203</v>
      </c>
      <c r="K457" s="15">
        <f>IFERROR(__xludf.DUMMYFUNCTION("""COMPUTED_VALUE"""),45949.259644763406)</f>
        <v>45949.25964</v>
      </c>
      <c r="L457" s="15">
        <f>IFERROR(__xludf.DUMMYFUNCTION("""COMPUTED_VALUE"""),45949.291124171876)</f>
        <v>45949.29112</v>
      </c>
    </row>
    <row r="458">
      <c r="A458" s="1">
        <f>IFERROR(__xludf.DUMMYFUNCTION("""COMPUTED_VALUE"""),457.0)</f>
        <v>457</v>
      </c>
      <c r="B458" s="1">
        <f>IFERROR(__xludf.DUMMYFUNCTION("""COMPUTED_VALUE"""),12057.0)</f>
        <v>12057</v>
      </c>
      <c r="C458" s="13" t="str">
        <f>IFERROR(__xludf.DUMMYFUNCTION("""COMPUTED_VALUE"""),"Kholiq")</f>
        <v>Kholiq</v>
      </c>
      <c r="D458" s="2" t="str">
        <f>IFERROR(__xludf.DUMMYFUNCTION("""COMPUTED_VALUE"""),"10KM MASTER M")</f>
        <v>10KM MASTER M</v>
      </c>
      <c r="E458" s="1">
        <f>IFERROR(__xludf.DUMMYFUNCTION("""COMPUTED_VALUE"""),42.0)</f>
        <v>42</v>
      </c>
      <c r="F458" s="1" t="str">
        <f>IFERROR(__xludf.DUMMYFUNCTION("""COMPUTED_VALUE"""),"Male")</f>
        <v>Male</v>
      </c>
      <c r="G458" s="5">
        <f>IFERROR(__xludf.DUMMYFUNCTION("""COMPUTED_VALUE"""),0.005203971064814814)</f>
        <v>0.005203971065</v>
      </c>
      <c r="H458" s="14">
        <f>IFERROR(__xludf.DUMMYFUNCTION("""COMPUTED_VALUE"""),0.24646185185185185)</f>
        <v>0.2464618519</v>
      </c>
      <c r="I458" s="15">
        <f>IFERROR(__xludf.DUMMYFUNCTION("""COMPUTED_VALUE"""),45949.29850156482)</f>
        <v>45949.2985</v>
      </c>
      <c r="J458" s="15">
        <f>IFERROR(__xludf.DUMMYFUNCTION("""COMPUTED_VALUE"""),45949.05203971297)</f>
        <v>45949.05204</v>
      </c>
      <c r="K458" s="15">
        <f>IFERROR(__xludf.DUMMYFUNCTION("""COMPUTED_VALUE"""),45949.256512849555)</f>
        <v>45949.25651</v>
      </c>
      <c r="L458" s="15">
        <f>IFERROR(__xludf.DUMMYFUNCTION("""COMPUTED_VALUE"""),45949.28911699792)</f>
        <v>45949.28912</v>
      </c>
    </row>
    <row r="459">
      <c r="A459" s="1">
        <f>IFERROR(__xludf.DUMMYFUNCTION("""COMPUTED_VALUE"""),458.0)</f>
        <v>458</v>
      </c>
      <c r="B459" s="1">
        <f>IFERROR(__xludf.DUMMYFUNCTION("""COMPUTED_VALUE"""),12078.0)</f>
        <v>12078</v>
      </c>
      <c r="C459" s="13" t="str">
        <f>IFERROR(__xludf.DUMMYFUNCTION("""COMPUTED_VALUE"""),"Arbaina Rahmi S")</f>
        <v>Arbaina Rahmi S</v>
      </c>
      <c r="D459" s="2" t="str">
        <f>IFERROR(__xludf.DUMMYFUNCTION("""COMPUTED_VALUE"""),"10KM MASTER F")</f>
        <v>10KM MASTER F</v>
      </c>
      <c r="E459" s="1">
        <f>IFERROR(__xludf.DUMMYFUNCTION("""COMPUTED_VALUE"""),6.0)</f>
        <v>6</v>
      </c>
      <c r="F459" s="1" t="str">
        <f>IFERROR(__xludf.DUMMYFUNCTION("""COMPUTED_VALUE"""),"Female")</f>
        <v>Female</v>
      </c>
      <c r="G459" s="5">
        <f>IFERROR(__xludf.DUMMYFUNCTION("""COMPUTED_VALUE"""),0.005207790509259259)</f>
        <v>0.005207790509</v>
      </c>
      <c r="H459" s="14">
        <f>IFERROR(__xludf.DUMMYFUNCTION("""COMPUTED_VALUE"""),0.24646185185185185)</f>
        <v>0.2464618519</v>
      </c>
      <c r="I459" s="15">
        <f>IFERROR(__xludf.DUMMYFUNCTION("""COMPUTED_VALUE"""),45949.29853975237)</f>
        <v>45949.29854</v>
      </c>
      <c r="J459" s="15">
        <f>IFERROR(__xludf.DUMMYFUNCTION("""COMPUTED_VALUE"""),45949.052077900524)</f>
        <v>45949.05208</v>
      </c>
      <c r="K459" s="15">
        <f>IFERROR(__xludf.DUMMYFUNCTION("""COMPUTED_VALUE"""),45949.257009381654)</f>
        <v>45949.25701</v>
      </c>
      <c r="L459" s="15">
        <f>IFERROR(__xludf.DUMMYFUNCTION("""COMPUTED_VALUE"""),45949.28929408649)</f>
        <v>45949.28929</v>
      </c>
    </row>
    <row r="460">
      <c r="A460" s="1">
        <f>IFERROR(__xludf.DUMMYFUNCTION("""COMPUTED_VALUE"""),459.0)</f>
        <v>459</v>
      </c>
      <c r="B460" s="1">
        <f>IFERROR(__xludf.DUMMYFUNCTION("""COMPUTED_VALUE"""),10691.0)</f>
        <v>10691</v>
      </c>
      <c r="C460" s="13" t="str">
        <f>IFERROR(__xludf.DUMMYFUNCTION("""COMPUTED_VALUE"""),"H_ANDRI")</f>
        <v>H_ANDRI</v>
      </c>
      <c r="D460" s="2" t="str">
        <f>IFERROR(__xludf.DUMMYFUNCTION("""COMPUTED_VALUE"""),"10KM OVERALL M")</f>
        <v>10KM OVERALL M</v>
      </c>
      <c r="E460" s="1">
        <f>IFERROR(__xludf.DUMMYFUNCTION("""COMPUTED_VALUE"""),387.0)</f>
        <v>387</v>
      </c>
      <c r="F460" s="1" t="str">
        <f>IFERROR(__xludf.DUMMYFUNCTION("""COMPUTED_VALUE"""),"Male")</f>
        <v>Male</v>
      </c>
      <c r="G460" s="5">
        <f>IFERROR(__xludf.DUMMYFUNCTION("""COMPUTED_VALUE"""),0.005209528935185186)</f>
        <v>0.005209528935</v>
      </c>
      <c r="H460" s="14">
        <f>IFERROR(__xludf.DUMMYFUNCTION("""COMPUTED_VALUE"""),0.24646185185185185)</f>
        <v>0.2464618519</v>
      </c>
      <c r="I460" s="15">
        <f>IFERROR(__xludf.DUMMYFUNCTION("""COMPUTED_VALUE"""),45949.29855714064)</f>
        <v>45949.29856</v>
      </c>
      <c r="J460" s="15">
        <f>IFERROR(__xludf.DUMMYFUNCTION("""COMPUTED_VALUE"""),45949.05209528879)</f>
        <v>45949.0521</v>
      </c>
      <c r="K460" s="15">
        <f>IFERROR(__xludf.DUMMYFUNCTION("""COMPUTED_VALUE"""),45949.25800239437)</f>
        <v>45949.258</v>
      </c>
      <c r="L460" s="15" t="str">
        <f>IFERROR(__xludf.DUMMYFUNCTION("""COMPUTED_VALUE"""),"")</f>
        <v/>
      </c>
    </row>
    <row r="461">
      <c r="A461" s="1">
        <f>IFERROR(__xludf.DUMMYFUNCTION("""COMPUTED_VALUE"""),460.0)</f>
        <v>460</v>
      </c>
      <c r="B461" s="1">
        <f>IFERROR(__xludf.DUMMYFUNCTION("""COMPUTED_VALUE"""),12003.0)</f>
        <v>12003</v>
      </c>
      <c r="C461" s="13" t="str">
        <f>IFERROR(__xludf.DUMMYFUNCTION("""COMPUTED_VALUE"""),"FEBBY")</f>
        <v>FEBBY</v>
      </c>
      <c r="D461" s="2" t="str">
        <f>IFERROR(__xludf.DUMMYFUNCTION("""COMPUTED_VALUE"""),"10KM MASTER F")</f>
        <v>10KM MASTER F</v>
      </c>
      <c r="E461" s="1">
        <f>IFERROR(__xludf.DUMMYFUNCTION("""COMPUTED_VALUE"""),7.0)</f>
        <v>7</v>
      </c>
      <c r="F461" s="1" t="str">
        <f>IFERROR(__xludf.DUMMYFUNCTION("""COMPUTED_VALUE"""),"Female")</f>
        <v>Female</v>
      </c>
      <c r="G461" s="5">
        <f>IFERROR(__xludf.DUMMYFUNCTION("""COMPUTED_VALUE"""),0.005212304398148147)</f>
        <v>0.005212304398</v>
      </c>
      <c r="H461" s="14">
        <f>IFERROR(__xludf.DUMMYFUNCTION("""COMPUTED_VALUE"""),0.24646185185185185)</f>
        <v>0.2464618519</v>
      </c>
      <c r="I461" s="15">
        <f>IFERROR(__xludf.DUMMYFUNCTION("""COMPUTED_VALUE"""),45949.29858490113)</f>
        <v>45949.29858</v>
      </c>
      <c r="J461" s="15">
        <f>IFERROR(__xludf.DUMMYFUNCTION("""COMPUTED_VALUE"""),45949.05212304928)</f>
        <v>45949.05212</v>
      </c>
      <c r="K461" s="15">
        <f>IFERROR(__xludf.DUMMYFUNCTION("""COMPUTED_VALUE"""),45949.25864827533)</f>
        <v>45949.25865</v>
      </c>
      <c r="L461" s="15">
        <f>IFERROR(__xludf.DUMMYFUNCTION("""COMPUTED_VALUE"""),45949.28971064815)</f>
        <v>45949.28971</v>
      </c>
    </row>
    <row r="462">
      <c r="A462" s="1">
        <f>IFERROR(__xludf.DUMMYFUNCTION("""COMPUTED_VALUE"""),461.0)</f>
        <v>461</v>
      </c>
      <c r="B462" s="1">
        <f>IFERROR(__xludf.DUMMYFUNCTION("""COMPUTED_VALUE"""),10522.0)</f>
        <v>10522</v>
      </c>
      <c r="C462" s="13" t="str">
        <f>IFERROR(__xludf.DUMMYFUNCTION("""COMPUTED_VALUE"""),"Rizqy")</f>
        <v>Rizqy</v>
      </c>
      <c r="D462" s="2" t="str">
        <f>IFERROR(__xludf.DUMMYFUNCTION("""COMPUTED_VALUE"""),"10KM OVERALL M")</f>
        <v>10KM OVERALL M</v>
      </c>
      <c r="E462" s="1">
        <f>IFERROR(__xludf.DUMMYFUNCTION("""COMPUTED_VALUE"""),388.0)</f>
        <v>388</v>
      </c>
      <c r="F462" s="1" t="str">
        <f>IFERROR(__xludf.DUMMYFUNCTION("""COMPUTED_VALUE"""),"Male")</f>
        <v>Male</v>
      </c>
      <c r="G462" s="5">
        <f>IFERROR(__xludf.DUMMYFUNCTION("""COMPUTED_VALUE"""),0.005212305555555555)</f>
        <v>0.005212305556</v>
      </c>
      <c r="H462" s="14">
        <f>IFERROR(__xludf.DUMMYFUNCTION("""COMPUTED_VALUE"""),0.24646185185185185)</f>
        <v>0.2464618519</v>
      </c>
      <c r="I462" s="15">
        <f>IFERROR(__xludf.DUMMYFUNCTION("""COMPUTED_VALUE"""),45949.29858491299)</f>
        <v>45949.29858</v>
      </c>
      <c r="J462" s="15">
        <f>IFERROR(__xludf.DUMMYFUNCTION("""COMPUTED_VALUE"""),45949.05212306114)</f>
        <v>45949.05212</v>
      </c>
      <c r="K462" s="15">
        <f>IFERROR(__xludf.DUMMYFUNCTION("""COMPUTED_VALUE"""),45949.25823503347)</f>
        <v>45949.25824</v>
      </c>
      <c r="L462" s="15">
        <f>IFERROR(__xludf.DUMMYFUNCTION("""COMPUTED_VALUE"""),45949.28973379629)</f>
        <v>45949.28973</v>
      </c>
    </row>
    <row r="463">
      <c r="A463" s="1">
        <f>IFERROR(__xludf.DUMMYFUNCTION("""COMPUTED_VALUE"""),462.0)</f>
        <v>462</v>
      </c>
      <c r="B463" s="1">
        <f>IFERROR(__xludf.DUMMYFUNCTION("""COMPUTED_VALUE"""),10310.0)</f>
        <v>10310</v>
      </c>
      <c r="C463" s="13" t="str">
        <f>IFERROR(__xludf.DUMMYFUNCTION("""COMPUTED_VALUE"""),"Rendy Pramana")</f>
        <v>Rendy Pramana</v>
      </c>
      <c r="D463" s="2" t="str">
        <f>IFERROR(__xludf.DUMMYFUNCTION("""COMPUTED_VALUE"""),"10KM OVERALL M")</f>
        <v>10KM OVERALL M</v>
      </c>
      <c r="E463" s="1">
        <f>IFERROR(__xludf.DUMMYFUNCTION("""COMPUTED_VALUE"""),389.0)</f>
        <v>389</v>
      </c>
      <c r="F463" s="1" t="str">
        <f>IFERROR(__xludf.DUMMYFUNCTION("""COMPUTED_VALUE"""),"Male")</f>
        <v>Male</v>
      </c>
      <c r="G463" s="5">
        <f>IFERROR(__xludf.DUMMYFUNCTION("""COMPUTED_VALUE"""),0.00521577662037037)</f>
        <v>0.00521577662</v>
      </c>
      <c r="H463" s="14">
        <f>IFERROR(__xludf.DUMMYFUNCTION("""COMPUTED_VALUE"""),0.24646185185185185)</f>
        <v>0.2464618519</v>
      </c>
      <c r="I463" s="15">
        <f>IFERROR(__xludf.DUMMYFUNCTION("""COMPUTED_VALUE"""),45949.29861962329)</f>
        <v>45949.29862</v>
      </c>
      <c r="J463" s="15">
        <f>IFERROR(__xludf.DUMMYFUNCTION("""COMPUTED_VALUE"""),45949.05215777144)</f>
        <v>45949.05216</v>
      </c>
      <c r="K463" s="15">
        <f>IFERROR(__xludf.DUMMYFUNCTION("""COMPUTED_VALUE"""),45949.259273214346)</f>
        <v>45949.25927</v>
      </c>
      <c r="L463" s="15">
        <f>IFERROR(__xludf.DUMMYFUNCTION("""COMPUTED_VALUE"""),45949.28928716269)</f>
        <v>45949.28929</v>
      </c>
    </row>
    <row r="464">
      <c r="A464" s="1">
        <f>IFERROR(__xludf.DUMMYFUNCTION("""COMPUTED_VALUE"""),463.0)</f>
        <v>463</v>
      </c>
      <c r="B464" s="1">
        <f>IFERROR(__xludf.DUMMYFUNCTION("""COMPUTED_VALUE"""),10558.0)</f>
        <v>10558</v>
      </c>
      <c r="C464" s="13" t="str">
        <f>IFERROR(__xludf.DUMMYFUNCTION("""COMPUTED_VALUE"""),"Bondan")</f>
        <v>Bondan</v>
      </c>
      <c r="D464" s="2" t="str">
        <f>IFERROR(__xludf.DUMMYFUNCTION("""COMPUTED_VALUE"""),"10KM OVERALL M")</f>
        <v>10KM OVERALL M</v>
      </c>
      <c r="E464" s="1">
        <f>IFERROR(__xludf.DUMMYFUNCTION("""COMPUTED_VALUE"""),390.0)</f>
        <v>390</v>
      </c>
      <c r="F464" s="1" t="str">
        <f>IFERROR(__xludf.DUMMYFUNCTION("""COMPUTED_VALUE"""),"Male")</f>
        <v>Male</v>
      </c>
      <c r="G464" s="5">
        <f>IFERROR(__xludf.DUMMYFUNCTION("""COMPUTED_VALUE"""),0.0052206377314814815)</f>
        <v>0.005220637731</v>
      </c>
      <c r="H464" s="14">
        <f>IFERROR(__xludf.DUMMYFUNCTION("""COMPUTED_VALUE"""),0.24646185185185185)</f>
        <v>0.2464618519</v>
      </c>
      <c r="I464" s="15">
        <f>IFERROR(__xludf.DUMMYFUNCTION("""COMPUTED_VALUE"""),45949.29866823181)</f>
        <v>45949.29867</v>
      </c>
      <c r="J464" s="15">
        <f>IFERROR(__xludf.DUMMYFUNCTION("""COMPUTED_VALUE"""),45949.05220637996)</f>
        <v>45949.05221</v>
      </c>
      <c r="K464" s="15">
        <f>IFERROR(__xludf.DUMMYFUNCTION("""COMPUTED_VALUE"""),45949.25847118424)</f>
        <v>45949.25847</v>
      </c>
      <c r="L464" s="15">
        <f>IFERROR(__xludf.DUMMYFUNCTION("""COMPUTED_VALUE"""),45949.28966435185)</f>
        <v>45949.28966</v>
      </c>
    </row>
    <row r="465">
      <c r="A465" s="1">
        <f>IFERROR(__xludf.DUMMYFUNCTION("""COMPUTED_VALUE"""),464.0)</f>
        <v>464</v>
      </c>
      <c r="B465" s="1">
        <f>IFERROR(__xludf.DUMMYFUNCTION("""COMPUTED_VALUE"""),10427.0)</f>
        <v>10427</v>
      </c>
      <c r="C465" s="13" t="str">
        <f>IFERROR(__xludf.DUMMYFUNCTION("""COMPUTED_VALUE"""),"NABIL'S")</f>
        <v>NABIL'S</v>
      </c>
      <c r="D465" s="2" t="str">
        <f>IFERROR(__xludf.DUMMYFUNCTION("""COMPUTED_VALUE"""),"10KM OVERALL M")</f>
        <v>10KM OVERALL M</v>
      </c>
      <c r="E465" s="1">
        <f>IFERROR(__xludf.DUMMYFUNCTION("""COMPUTED_VALUE"""),391.0)</f>
        <v>391</v>
      </c>
      <c r="F465" s="1" t="str">
        <f>IFERROR(__xludf.DUMMYFUNCTION("""COMPUTED_VALUE"""),"Male")</f>
        <v>Male</v>
      </c>
      <c r="G465" s="5">
        <f>IFERROR(__xludf.DUMMYFUNCTION("""COMPUTED_VALUE"""),0.005223415509259259)</f>
        <v>0.005223415509</v>
      </c>
      <c r="H465" s="14">
        <f>IFERROR(__xludf.DUMMYFUNCTION("""COMPUTED_VALUE"""),0.24646185185185185)</f>
        <v>0.2464618519</v>
      </c>
      <c r="I465" s="15">
        <f>IFERROR(__xludf.DUMMYFUNCTION("""COMPUTED_VALUE"""),45949.29869600735)</f>
        <v>45949.2987</v>
      </c>
      <c r="J465" s="15">
        <f>IFERROR(__xludf.DUMMYFUNCTION("""COMPUTED_VALUE"""),45949.0522341555)</f>
        <v>45949.05223</v>
      </c>
      <c r="K465" s="15">
        <f>IFERROR(__xludf.DUMMYFUNCTION("""COMPUTED_VALUE"""),45949.25744341514)</f>
        <v>45949.25744</v>
      </c>
      <c r="L465" s="15">
        <f>IFERROR(__xludf.DUMMYFUNCTION("""COMPUTED_VALUE"""),45949.289571759255)</f>
        <v>45949.28957</v>
      </c>
    </row>
    <row r="466">
      <c r="A466" s="1">
        <f>IFERROR(__xludf.DUMMYFUNCTION("""COMPUTED_VALUE"""),465.0)</f>
        <v>465</v>
      </c>
      <c r="B466" s="1">
        <f>IFERROR(__xludf.DUMMYFUNCTION("""COMPUTED_VALUE"""),12010.0)</f>
        <v>12010</v>
      </c>
      <c r="C466" s="13" t="str">
        <f>IFERROR(__xludf.DUMMYFUNCTION("""COMPUTED_VALUE"""),"Teguh")</f>
        <v>Teguh</v>
      </c>
      <c r="D466" s="2" t="str">
        <f>IFERROR(__xludf.DUMMYFUNCTION("""COMPUTED_VALUE"""),"10KM MASTER M")</f>
        <v>10KM MASTER M</v>
      </c>
      <c r="E466" s="1">
        <f>IFERROR(__xludf.DUMMYFUNCTION("""COMPUTED_VALUE"""),43.0)</f>
        <v>43</v>
      </c>
      <c r="F466" s="1" t="str">
        <f>IFERROR(__xludf.DUMMYFUNCTION("""COMPUTED_VALUE"""),"Male")</f>
        <v>Male</v>
      </c>
      <c r="G466" s="5">
        <f>IFERROR(__xludf.DUMMYFUNCTION("""COMPUTED_VALUE"""),0.005223416666666667)</f>
        <v>0.005223416667</v>
      </c>
      <c r="H466" s="14">
        <f>IFERROR(__xludf.DUMMYFUNCTION("""COMPUTED_VALUE"""),0.24646185185185185)</f>
        <v>0.2464618519</v>
      </c>
      <c r="I466" s="15">
        <f>IFERROR(__xludf.DUMMYFUNCTION("""COMPUTED_VALUE"""),45949.29869601937)</f>
        <v>45949.2987</v>
      </c>
      <c r="J466" s="15">
        <f>IFERROR(__xludf.DUMMYFUNCTION("""COMPUTED_VALUE"""),45949.05223416752)</f>
        <v>45949.05223</v>
      </c>
      <c r="K466" s="15">
        <f>IFERROR(__xludf.DUMMYFUNCTION("""COMPUTED_VALUE"""),45949.256610035576)</f>
        <v>45949.25661</v>
      </c>
      <c r="L466" s="15">
        <f>IFERROR(__xludf.DUMMYFUNCTION("""COMPUTED_VALUE"""),45949.28871771246)</f>
        <v>45949.28872</v>
      </c>
    </row>
    <row r="467">
      <c r="A467" s="1">
        <f>IFERROR(__xludf.DUMMYFUNCTION("""COMPUTED_VALUE"""),466.0)</f>
        <v>466</v>
      </c>
      <c r="B467" s="1">
        <f>IFERROR(__xludf.DUMMYFUNCTION("""COMPUTED_VALUE"""),10230.0)</f>
        <v>10230</v>
      </c>
      <c r="C467" s="13" t="str">
        <f>IFERROR(__xludf.DUMMYFUNCTION("""COMPUTED_VALUE"""),"Ade")</f>
        <v>Ade</v>
      </c>
      <c r="D467" s="2" t="str">
        <f>IFERROR(__xludf.DUMMYFUNCTION("""COMPUTED_VALUE"""),"10KM OVERALL M")</f>
        <v>10KM OVERALL M</v>
      </c>
      <c r="E467" s="1">
        <f>IFERROR(__xludf.DUMMYFUNCTION("""COMPUTED_VALUE"""),392.0)</f>
        <v>392</v>
      </c>
      <c r="F467" s="1" t="str">
        <f>IFERROR(__xludf.DUMMYFUNCTION("""COMPUTED_VALUE"""),"Male")</f>
        <v>Male</v>
      </c>
      <c r="G467" s="5">
        <f>IFERROR(__xludf.DUMMYFUNCTION("""COMPUTED_VALUE"""),0.0052244594907407405)</f>
        <v>0.005224459491</v>
      </c>
      <c r="H467" s="14">
        <f>IFERROR(__xludf.DUMMYFUNCTION("""COMPUTED_VALUE"""),0.24646185185185185)</f>
        <v>0.2464618519</v>
      </c>
      <c r="I467" s="15">
        <f>IFERROR(__xludf.DUMMYFUNCTION("""COMPUTED_VALUE"""),45949.29870645121)</f>
        <v>45949.29871</v>
      </c>
      <c r="J467" s="15">
        <f>IFERROR(__xludf.DUMMYFUNCTION("""COMPUTED_VALUE"""),45949.05224459936)</f>
        <v>45949.05224</v>
      </c>
      <c r="K467" s="15">
        <f>IFERROR(__xludf.DUMMYFUNCTION("""COMPUTED_VALUE"""),45949.25886355561)</f>
        <v>45949.25886</v>
      </c>
      <c r="L467" s="15">
        <f>IFERROR(__xludf.DUMMYFUNCTION("""COMPUTED_VALUE"""),45949.29020833333)</f>
        <v>45949.29021</v>
      </c>
    </row>
    <row r="468">
      <c r="A468" s="1">
        <f>IFERROR(__xludf.DUMMYFUNCTION("""COMPUTED_VALUE"""),467.0)</f>
        <v>467</v>
      </c>
      <c r="B468" s="1">
        <f>IFERROR(__xludf.DUMMYFUNCTION("""COMPUTED_VALUE"""),10634.0)</f>
        <v>10634</v>
      </c>
      <c r="C468" s="13" t="str">
        <f>IFERROR(__xludf.DUMMYFUNCTION("""COMPUTED_VALUE"""),"Tantowi")</f>
        <v>Tantowi</v>
      </c>
      <c r="D468" s="2" t="str">
        <f>IFERROR(__xludf.DUMMYFUNCTION("""COMPUTED_VALUE"""),"10KM OVERALL M")</f>
        <v>10KM OVERALL M</v>
      </c>
      <c r="E468" s="1">
        <f>IFERROR(__xludf.DUMMYFUNCTION("""COMPUTED_VALUE"""),393.0)</f>
        <v>393</v>
      </c>
      <c r="F468" s="1" t="str">
        <f>IFERROR(__xludf.DUMMYFUNCTION("""COMPUTED_VALUE"""),"Male")</f>
        <v>Male</v>
      </c>
      <c r="G468" s="5">
        <f>IFERROR(__xludf.DUMMYFUNCTION("""COMPUTED_VALUE"""),0.005224461805555556)</f>
        <v>0.005224461806</v>
      </c>
      <c r="H468" s="14">
        <f>IFERROR(__xludf.DUMMYFUNCTION("""COMPUTED_VALUE"""),0.24646185185185185)</f>
        <v>0.2464618519</v>
      </c>
      <c r="I468" s="15">
        <f>IFERROR(__xludf.DUMMYFUNCTION("""COMPUTED_VALUE"""),45949.298706464644)</f>
        <v>45949.29871</v>
      </c>
      <c r="J468" s="15">
        <f>IFERROR(__xludf.DUMMYFUNCTION("""COMPUTED_VALUE"""),45949.052244612794)</f>
        <v>45949.05224</v>
      </c>
      <c r="K468" s="15">
        <f>IFERROR(__xludf.DUMMYFUNCTION("""COMPUTED_VALUE"""),45949.256693390824)</f>
        <v>45949.25669</v>
      </c>
      <c r="L468" s="15">
        <f>IFERROR(__xludf.DUMMYFUNCTION("""COMPUTED_VALUE"""),45949.28842284825)</f>
        <v>45949.28842</v>
      </c>
    </row>
    <row r="469">
      <c r="A469" s="1">
        <f>IFERROR(__xludf.DUMMYFUNCTION("""COMPUTED_VALUE"""),468.0)</f>
        <v>468</v>
      </c>
      <c r="B469" s="1">
        <f>IFERROR(__xludf.DUMMYFUNCTION("""COMPUTED_VALUE"""),10201.0)</f>
        <v>10201</v>
      </c>
      <c r="C469" s="13" t="str">
        <f>IFERROR(__xludf.DUMMYFUNCTION("""COMPUTED_VALUE"""),"ITQAN")</f>
        <v>ITQAN</v>
      </c>
      <c r="D469" s="2" t="str">
        <f>IFERROR(__xludf.DUMMYFUNCTION("""COMPUTED_VALUE"""),"10KM OVERALL M")</f>
        <v>10KM OVERALL M</v>
      </c>
      <c r="E469" s="1">
        <f>IFERROR(__xludf.DUMMYFUNCTION("""COMPUTED_VALUE"""),394.0)</f>
        <v>394</v>
      </c>
      <c r="F469" s="1" t="str">
        <f>IFERROR(__xludf.DUMMYFUNCTION("""COMPUTED_VALUE"""),"Male")</f>
        <v>Male</v>
      </c>
      <c r="G469" s="5">
        <f>IFERROR(__xludf.DUMMYFUNCTION("""COMPUTED_VALUE"""),0.005230012731481481)</f>
        <v>0.005230012731</v>
      </c>
      <c r="H469" s="14">
        <f>IFERROR(__xludf.DUMMYFUNCTION("""COMPUTED_VALUE"""),0.24646185185185185)</f>
        <v>0.2464618519</v>
      </c>
      <c r="I469" s="15">
        <f>IFERROR(__xludf.DUMMYFUNCTION("""COMPUTED_VALUE"""),45949.29876198276)</f>
        <v>45949.29876</v>
      </c>
      <c r="J469" s="15">
        <f>IFERROR(__xludf.DUMMYFUNCTION("""COMPUTED_VALUE"""),45949.05230013091)</f>
        <v>45949.0523</v>
      </c>
      <c r="K469" s="15">
        <f>IFERROR(__xludf.DUMMYFUNCTION("""COMPUTED_VALUE"""),45949.25962049165)</f>
        <v>45949.25962</v>
      </c>
      <c r="L469" s="15">
        <f>IFERROR(__xludf.DUMMYFUNCTION("""COMPUTED_VALUE"""),45949.29042824074)</f>
        <v>45949.29043</v>
      </c>
    </row>
    <row r="470">
      <c r="A470" s="1">
        <f>IFERROR(__xludf.DUMMYFUNCTION("""COMPUTED_VALUE"""),469.0)</f>
        <v>469</v>
      </c>
      <c r="B470" s="1">
        <f>IFERROR(__xludf.DUMMYFUNCTION("""COMPUTED_VALUE"""),12033.0)</f>
        <v>12033</v>
      </c>
      <c r="C470" s="13" t="str">
        <f>IFERROR(__xludf.DUMMYFUNCTION("""COMPUTED_VALUE"""),"DEVIL SLAYER")</f>
        <v>DEVIL SLAYER</v>
      </c>
      <c r="D470" s="2" t="str">
        <f>IFERROR(__xludf.DUMMYFUNCTION("""COMPUTED_VALUE"""),"10KM MASTER M")</f>
        <v>10KM MASTER M</v>
      </c>
      <c r="E470" s="1">
        <f>IFERROR(__xludf.DUMMYFUNCTION("""COMPUTED_VALUE"""),44.0)</f>
        <v>44</v>
      </c>
      <c r="F470" s="1" t="str">
        <f>IFERROR(__xludf.DUMMYFUNCTION("""COMPUTED_VALUE"""),"Male")</f>
        <v>Male</v>
      </c>
      <c r="G470" s="5">
        <f>IFERROR(__xludf.DUMMYFUNCTION("""COMPUTED_VALUE"""),0.005239737268518519)</f>
        <v>0.005239737269</v>
      </c>
      <c r="H470" s="14">
        <f>IFERROR(__xludf.DUMMYFUNCTION("""COMPUTED_VALUE"""),0.24646185185185185)</f>
        <v>0.2464618519</v>
      </c>
      <c r="I470" s="15">
        <f>IFERROR(__xludf.DUMMYFUNCTION("""COMPUTED_VALUE"""),45949.29885921917)</f>
        <v>45949.29886</v>
      </c>
      <c r="J470" s="15">
        <f>IFERROR(__xludf.DUMMYFUNCTION("""COMPUTED_VALUE"""),45949.05239736732)</f>
        <v>45949.0524</v>
      </c>
      <c r="K470" s="15">
        <f>IFERROR(__xludf.DUMMYFUNCTION("""COMPUTED_VALUE"""),45949.25896072637)</f>
        <v>45949.25896</v>
      </c>
      <c r="L470" s="15">
        <f>IFERROR(__xludf.DUMMYFUNCTION("""COMPUTED_VALUE"""),45949.289768518516)</f>
        <v>45949.28977</v>
      </c>
    </row>
    <row r="471">
      <c r="A471" s="1">
        <f>IFERROR(__xludf.DUMMYFUNCTION("""COMPUTED_VALUE"""),470.0)</f>
        <v>470</v>
      </c>
      <c r="B471" s="1">
        <f>IFERROR(__xludf.DUMMYFUNCTION("""COMPUTED_VALUE"""),12076.0)</f>
        <v>12076</v>
      </c>
      <c r="C471" s="13" t="str">
        <f>IFERROR(__xludf.DUMMYFUNCTION("""COMPUTED_VALUE"""),"Erpani")</f>
        <v>Erpani</v>
      </c>
      <c r="D471" s="2" t="str">
        <f>IFERROR(__xludf.DUMMYFUNCTION("""COMPUTED_VALUE"""),"10KM MASTER M")</f>
        <v>10KM MASTER M</v>
      </c>
      <c r="E471" s="1">
        <f>IFERROR(__xludf.DUMMYFUNCTION("""COMPUTED_VALUE"""),45.0)</f>
        <v>45</v>
      </c>
      <c r="F471" s="1" t="str">
        <f>IFERROR(__xludf.DUMMYFUNCTION("""COMPUTED_VALUE"""),"Male")</f>
        <v>Male</v>
      </c>
      <c r="G471" s="5">
        <f>IFERROR(__xludf.DUMMYFUNCTION("""COMPUTED_VALUE"""),0.005266125)</f>
        <v>0.005266125</v>
      </c>
      <c r="H471" s="14">
        <f>IFERROR(__xludf.DUMMYFUNCTION("""COMPUTED_VALUE"""),0.24646185185185185)</f>
        <v>0.2464618519</v>
      </c>
      <c r="I471" s="15">
        <f>IFERROR(__xludf.DUMMYFUNCTION("""COMPUTED_VALUE"""),45949.299123100034)</f>
        <v>45949.29912</v>
      </c>
      <c r="J471" s="15">
        <f>IFERROR(__xludf.DUMMYFUNCTION("""COMPUTED_VALUE"""),45949.052661248184)</f>
        <v>45949.05266</v>
      </c>
      <c r="K471" s="15">
        <f>IFERROR(__xludf.DUMMYFUNCTION("""COMPUTED_VALUE"""),45949.256985071734)</f>
        <v>45949.25699</v>
      </c>
      <c r="L471" s="15" t="str">
        <f>IFERROR(__xludf.DUMMYFUNCTION("""COMPUTED_VALUE"""),"")</f>
        <v/>
      </c>
    </row>
    <row r="472">
      <c r="A472" s="1">
        <f>IFERROR(__xludf.DUMMYFUNCTION("""COMPUTED_VALUE"""),471.0)</f>
        <v>471</v>
      </c>
      <c r="B472" s="1">
        <f>IFERROR(__xludf.DUMMYFUNCTION("""COMPUTED_VALUE"""),10579.0)</f>
        <v>10579</v>
      </c>
      <c r="C472" s="13" t="str">
        <f>IFERROR(__xludf.DUMMYFUNCTION("""COMPUTED_VALUE"""),"Almann")</f>
        <v>Almann</v>
      </c>
      <c r="D472" s="2" t="str">
        <f>IFERROR(__xludf.DUMMYFUNCTION("""COMPUTED_VALUE"""),"10KM OVERALL M")</f>
        <v>10KM OVERALL M</v>
      </c>
      <c r="E472" s="1">
        <f>IFERROR(__xludf.DUMMYFUNCTION("""COMPUTED_VALUE"""),395.0)</f>
        <v>395</v>
      </c>
      <c r="F472" s="1" t="str">
        <f>IFERROR(__xludf.DUMMYFUNCTION("""COMPUTED_VALUE"""),"Male")</f>
        <v>Male</v>
      </c>
      <c r="G472" s="5">
        <f>IFERROR(__xludf.DUMMYFUNCTION("""COMPUTED_VALUE"""),0.005271673611111111)</f>
        <v>0.005271673611</v>
      </c>
      <c r="H472" s="14">
        <f>IFERROR(__xludf.DUMMYFUNCTION("""COMPUTED_VALUE"""),0.24646185185185185)</f>
        <v>0.2464618519</v>
      </c>
      <c r="I472" s="15">
        <f>IFERROR(__xludf.DUMMYFUNCTION("""COMPUTED_VALUE"""),45949.299178593676)</f>
        <v>45949.29918</v>
      </c>
      <c r="J472" s="15">
        <f>IFERROR(__xludf.DUMMYFUNCTION("""COMPUTED_VALUE"""),45949.052716741826)</f>
        <v>45949.05272</v>
      </c>
      <c r="K472" s="15">
        <f>IFERROR(__xludf.DUMMYFUNCTION("""COMPUTED_VALUE"""),45949.26661349127)</f>
        <v>45949.26661</v>
      </c>
      <c r="L472" s="15">
        <f>IFERROR(__xludf.DUMMYFUNCTION("""COMPUTED_VALUE"""),45949.29259008078)</f>
        <v>45949.29259</v>
      </c>
    </row>
    <row r="473">
      <c r="A473" s="1">
        <f>IFERROR(__xludf.DUMMYFUNCTION("""COMPUTED_VALUE"""),472.0)</f>
        <v>472</v>
      </c>
      <c r="B473" s="1">
        <f>IFERROR(__xludf.DUMMYFUNCTION("""COMPUTED_VALUE"""),10412.0)</f>
        <v>10412</v>
      </c>
      <c r="C473" s="13" t="str">
        <f>IFERROR(__xludf.DUMMYFUNCTION("""COMPUTED_VALUE"""),"YUTO Ja gin")</f>
        <v>YUTO Ja gin</v>
      </c>
      <c r="D473" s="2" t="str">
        <f>IFERROR(__xludf.DUMMYFUNCTION("""COMPUTED_VALUE"""),"10KM OVERALL M")</f>
        <v>10KM OVERALL M</v>
      </c>
      <c r="E473" s="1">
        <f>IFERROR(__xludf.DUMMYFUNCTION("""COMPUTED_VALUE"""),396.0)</f>
        <v>396</v>
      </c>
      <c r="F473" s="1" t="str">
        <f>IFERROR(__xludf.DUMMYFUNCTION("""COMPUTED_VALUE"""),"Male")</f>
        <v>Male</v>
      </c>
      <c r="G473" s="5">
        <f>IFERROR(__xludf.DUMMYFUNCTION("""COMPUTED_VALUE"""),0.005272796296296296)</f>
        <v>0.005272796296</v>
      </c>
      <c r="H473" s="14">
        <f>IFERROR(__xludf.DUMMYFUNCTION("""COMPUTED_VALUE"""),0.24646185185185185)</f>
        <v>0.2464618519</v>
      </c>
      <c r="I473" s="15">
        <f>IFERROR(__xludf.DUMMYFUNCTION("""COMPUTED_VALUE"""),45949.29918981482)</f>
        <v>45949.29919</v>
      </c>
      <c r="J473" s="15">
        <f>IFERROR(__xludf.DUMMYFUNCTION("""COMPUTED_VALUE"""),45949.05272796297)</f>
        <v>45949.05273</v>
      </c>
      <c r="K473" s="15">
        <f>IFERROR(__xludf.DUMMYFUNCTION("""COMPUTED_VALUE"""),45949.2585927164)</f>
        <v>45949.25859</v>
      </c>
      <c r="L473" s="15">
        <f>IFERROR(__xludf.DUMMYFUNCTION("""COMPUTED_VALUE"""),45949.29034722222)</f>
        <v>45949.29035</v>
      </c>
    </row>
    <row r="474">
      <c r="A474" s="1">
        <f>IFERROR(__xludf.DUMMYFUNCTION("""COMPUTED_VALUE"""),473.0)</f>
        <v>473</v>
      </c>
      <c r="B474" s="1">
        <f>IFERROR(__xludf.DUMMYFUNCTION("""COMPUTED_VALUE"""),10053.0)</f>
        <v>10053</v>
      </c>
      <c r="C474" s="13" t="str">
        <f>IFERROR(__xludf.DUMMYFUNCTION("""COMPUTED_VALUE"""),"Seno NB")</f>
        <v>Seno NB</v>
      </c>
      <c r="D474" s="2" t="str">
        <f>IFERROR(__xludf.DUMMYFUNCTION("""COMPUTED_VALUE"""),"10KM OVERALL M")</f>
        <v>10KM OVERALL M</v>
      </c>
      <c r="E474" s="1">
        <f>IFERROR(__xludf.DUMMYFUNCTION("""COMPUTED_VALUE"""),397.0)</f>
        <v>397</v>
      </c>
      <c r="F474" s="1" t="str">
        <f>IFERROR(__xludf.DUMMYFUNCTION("""COMPUTED_VALUE"""),"Male")</f>
        <v>Male</v>
      </c>
      <c r="G474" s="5">
        <f>IFERROR(__xludf.DUMMYFUNCTION("""COMPUTED_VALUE"""),0.005273415509259259)</f>
        <v>0.005273415509</v>
      </c>
      <c r="H474" s="14">
        <f>IFERROR(__xludf.DUMMYFUNCTION("""COMPUTED_VALUE"""),0.24646185185185185)</f>
        <v>0.2464618519</v>
      </c>
      <c r="I474" s="15">
        <f>IFERROR(__xludf.DUMMYFUNCTION("""COMPUTED_VALUE"""),45949.299196011154)</f>
        <v>45949.2992</v>
      </c>
      <c r="J474" s="15">
        <f>IFERROR(__xludf.DUMMYFUNCTION("""COMPUTED_VALUE"""),45949.052734159304)</f>
        <v>45949.05273</v>
      </c>
      <c r="K474" s="15">
        <f>IFERROR(__xludf.DUMMYFUNCTION("""COMPUTED_VALUE"""),45949.259214201775)</f>
        <v>45949.25921</v>
      </c>
      <c r="L474" s="15">
        <f>IFERROR(__xludf.DUMMYFUNCTION("""COMPUTED_VALUE"""),45949.29055826738)</f>
        <v>45949.29056</v>
      </c>
    </row>
    <row r="475">
      <c r="A475" s="1">
        <f>IFERROR(__xludf.DUMMYFUNCTION("""COMPUTED_VALUE"""),474.0)</f>
        <v>474</v>
      </c>
      <c r="B475" s="1">
        <f>IFERROR(__xludf.DUMMYFUNCTION("""COMPUTED_VALUE"""),10286.0)</f>
        <v>10286</v>
      </c>
      <c r="C475" s="13" t="str">
        <f>IFERROR(__xludf.DUMMYFUNCTION("""COMPUTED_VALUE"""),"Ihsan Ramdhani")</f>
        <v>Ihsan Ramdhani</v>
      </c>
      <c r="D475" s="2" t="str">
        <f>IFERROR(__xludf.DUMMYFUNCTION("""COMPUTED_VALUE"""),"10KM OVERALL M")</f>
        <v>10KM OVERALL M</v>
      </c>
      <c r="E475" s="1">
        <f>IFERROR(__xludf.DUMMYFUNCTION("""COMPUTED_VALUE"""),398.0)</f>
        <v>398</v>
      </c>
      <c r="F475" s="1" t="str">
        <f>IFERROR(__xludf.DUMMYFUNCTION("""COMPUTED_VALUE"""),"Male")</f>
        <v>Male</v>
      </c>
      <c r="G475" s="5">
        <f>IFERROR(__xludf.DUMMYFUNCTION("""COMPUTED_VALUE"""),0.005286609953703704)</f>
        <v>0.005286609954</v>
      </c>
      <c r="H475" s="14">
        <f>IFERROR(__xludf.DUMMYFUNCTION("""COMPUTED_VALUE"""),0.24646185185185185)</f>
        <v>0.2464618519</v>
      </c>
      <c r="I475" s="15">
        <f>IFERROR(__xludf.DUMMYFUNCTION("""COMPUTED_VALUE"""),45949.29932795188)</f>
        <v>45949.29933</v>
      </c>
      <c r="J475" s="15">
        <f>IFERROR(__xludf.DUMMYFUNCTION("""COMPUTED_VALUE"""),45949.05286610003)</f>
        <v>45949.05287</v>
      </c>
      <c r="K475" s="15">
        <f>IFERROR(__xludf.DUMMYFUNCTION("""COMPUTED_VALUE"""),45949.25787743319)</f>
        <v>45949.25788</v>
      </c>
      <c r="L475" s="15">
        <f>IFERROR(__xludf.DUMMYFUNCTION("""COMPUTED_VALUE"""),45949.28902667728)</f>
        <v>45949.28903</v>
      </c>
    </row>
    <row r="476">
      <c r="A476" s="1">
        <f>IFERROR(__xludf.DUMMYFUNCTION("""COMPUTED_VALUE"""),475.0)</f>
        <v>475</v>
      </c>
      <c r="B476" s="1">
        <f>IFERROR(__xludf.DUMMYFUNCTION("""COMPUTED_VALUE"""),10445.0)</f>
        <v>10445</v>
      </c>
      <c r="C476" s="13" t="str">
        <f>IFERROR(__xludf.DUMMYFUNCTION("""COMPUTED_VALUE"""),"Selvi Lolowang")</f>
        <v>Selvi Lolowang</v>
      </c>
      <c r="D476" s="2" t="str">
        <f>IFERROR(__xludf.DUMMYFUNCTION("""COMPUTED_VALUE"""),"10KM OVERALL F")</f>
        <v>10KM OVERALL F</v>
      </c>
      <c r="E476" s="1">
        <f>IFERROR(__xludf.DUMMYFUNCTION("""COMPUTED_VALUE"""),25.0)</f>
        <v>25</v>
      </c>
      <c r="F476" s="1" t="str">
        <f>IFERROR(__xludf.DUMMYFUNCTION("""COMPUTED_VALUE"""),"Female")</f>
        <v>Female</v>
      </c>
      <c r="G476" s="5">
        <f>IFERROR(__xludf.DUMMYFUNCTION("""COMPUTED_VALUE"""),0.005290199074074074)</f>
        <v>0.005290199074</v>
      </c>
      <c r="H476" s="14">
        <f>IFERROR(__xludf.DUMMYFUNCTION("""COMPUTED_VALUE"""),0.24646185185185185)</f>
        <v>0.2464618519</v>
      </c>
      <c r="I476" s="15">
        <f>IFERROR(__xludf.DUMMYFUNCTION("""COMPUTED_VALUE"""),45949.299363838225)</f>
        <v>45949.29936</v>
      </c>
      <c r="J476" s="15">
        <f>IFERROR(__xludf.DUMMYFUNCTION("""COMPUTED_VALUE"""),45949.052901986375)</f>
        <v>45949.0529</v>
      </c>
      <c r="K476" s="15">
        <f>IFERROR(__xludf.DUMMYFUNCTION("""COMPUTED_VALUE"""),45949.25849543699)</f>
        <v>45949.2585</v>
      </c>
      <c r="L476" s="15">
        <f>IFERROR(__xludf.DUMMYFUNCTION("""COMPUTED_VALUE"""),45949.29001157407)</f>
        <v>45949.29001</v>
      </c>
    </row>
    <row r="477">
      <c r="A477" s="1">
        <f>IFERROR(__xludf.DUMMYFUNCTION("""COMPUTED_VALUE"""),476.0)</f>
        <v>476</v>
      </c>
      <c r="B477" s="1">
        <f>IFERROR(__xludf.DUMMYFUNCTION("""COMPUTED_VALUE"""),10105.0)</f>
        <v>10105</v>
      </c>
      <c r="C477" s="13" t="str">
        <f>IFERROR(__xludf.DUMMYFUNCTION("""COMPUTED_VALUE"""),"Merny")</f>
        <v>Merny</v>
      </c>
      <c r="D477" s="2" t="str">
        <f>IFERROR(__xludf.DUMMYFUNCTION("""COMPUTED_VALUE"""),"10KM OVERALL F")</f>
        <v>10KM OVERALL F</v>
      </c>
      <c r="E477" s="1">
        <f>IFERROR(__xludf.DUMMYFUNCTION("""COMPUTED_VALUE"""),26.0)</f>
        <v>26</v>
      </c>
      <c r="F477" s="1" t="str">
        <f>IFERROR(__xludf.DUMMYFUNCTION("""COMPUTED_VALUE"""),"Female")</f>
        <v>Female</v>
      </c>
      <c r="G477" s="5">
        <f>IFERROR(__xludf.DUMMYFUNCTION("""COMPUTED_VALUE"""),0.005291818287037038)</f>
        <v>0.005291818287</v>
      </c>
      <c r="H477" s="14">
        <f>IFERROR(__xludf.DUMMYFUNCTION("""COMPUTED_VALUE"""),0.24646185185185185)</f>
        <v>0.2464618519</v>
      </c>
      <c r="I477" s="15">
        <f>IFERROR(__xludf.DUMMYFUNCTION("""COMPUTED_VALUE"""),45949.29938003753)</f>
        <v>45949.29938</v>
      </c>
      <c r="J477" s="15">
        <f>IFERROR(__xludf.DUMMYFUNCTION("""COMPUTED_VALUE"""),45949.052918185684)</f>
        <v>45949.05292</v>
      </c>
      <c r="K477" s="15">
        <f>IFERROR(__xludf.DUMMYFUNCTION("""COMPUTED_VALUE"""),45949.25877674017)</f>
        <v>45949.25878</v>
      </c>
      <c r="L477" s="15">
        <f>IFERROR(__xludf.DUMMYFUNCTION("""COMPUTED_VALUE"""),45949.290138888886)</f>
        <v>45949.29014</v>
      </c>
    </row>
    <row r="478">
      <c r="A478" s="1">
        <f>IFERROR(__xludf.DUMMYFUNCTION("""COMPUTED_VALUE"""),477.0)</f>
        <v>477</v>
      </c>
      <c r="B478" s="1">
        <f>IFERROR(__xludf.DUMMYFUNCTION("""COMPUTED_VALUE"""),10103.0)</f>
        <v>10103</v>
      </c>
      <c r="C478" s="13" t="str">
        <f>IFERROR(__xludf.DUMMYFUNCTION("""COMPUTED_VALUE"""),"Trian")</f>
        <v>Trian</v>
      </c>
      <c r="D478" s="2" t="str">
        <f>IFERROR(__xludf.DUMMYFUNCTION("""COMPUTED_VALUE"""),"10KM OVERALL M")</f>
        <v>10KM OVERALL M</v>
      </c>
      <c r="E478" s="1">
        <f>IFERROR(__xludf.DUMMYFUNCTION("""COMPUTED_VALUE"""),399.0)</f>
        <v>399</v>
      </c>
      <c r="F478" s="1" t="str">
        <f>IFERROR(__xludf.DUMMYFUNCTION("""COMPUTED_VALUE"""),"Male")</f>
        <v>Male</v>
      </c>
      <c r="G478" s="5">
        <f>IFERROR(__xludf.DUMMYFUNCTION("""COMPUTED_VALUE"""),0.005293207175925926)</f>
        <v>0.005293207176</v>
      </c>
      <c r="H478" s="14">
        <f>IFERROR(__xludf.DUMMYFUNCTION("""COMPUTED_VALUE"""),0.24646185185185185)</f>
        <v>0.2464618519</v>
      </c>
      <c r="I478" s="15">
        <f>IFERROR(__xludf.DUMMYFUNCTION("""COMPUTED_VALUE"""),45949.299393928726)</f>
        <v>45949.29939</v>
      </c>
      <c r="J478" s="15">
        <f>IFERROR(__xludf.DUMMYFUNCTION("""COMPUTED_VALUE"""),45949.05293207688)</f>
        <v>45949.05293</v>
      </c>
      <c r="K478" s="15">
        <f>IFERROR(__xludf.DUMMYFUNCTION("""COMPUTED_VALUE"""),45949.258800997595)</f>
        <v>45949.2588</v>
      </c>
      <c r="L478" s="15">
        <f>IFERROR(__xludf.DUMMYFUNCTION("""COMPUTED_VALUE"""),45949.290138888886)</f>
        <v>45949.29014</v>
      </c>
    </row>
    <row r="479">
      <c r="A479" s="1">
        <f>IFERROR(__xludf.DUMMYFUNCTION("""COMPUTED_VALUE"""),478.0)</f>
        <v>478</v>
      </c>
      <c r="B479" s="1">
        <f>IFERROR(__xludf.DUMMYFUNCTION("""COMPUTED_VALUE"""),10544.0)</f>
        <v>10544</v>
      </c>
      <c r="C479" s="13" t="str">
        <f>IFERROR(__xludf.DUMMYFUNCTION("""COMPUTED_VALUE"""),"Muhammad Saukani")</f>
        <v>Muhammad Saukani</v>
      </c>
      <c r="D479" s="2" t="str">
        <f>IFERROR(__xludf.DUMMYFUNCTION("""COMPUTED_VALUE"""),"10KM OVERALL M")</f>
        <v>10KM OVERALL M</v>
      </c>
      <c r="E479" s="1">
        <f>IFERROR(__xludf.DUMMYFUNCTION("""COMPUTED_VALUE"""),400.0)</f>
        <v>400</v>
      </c>
      <c r="F479" s="1" t="str">
        <f>IFERROR(__xludf.DUMMYFUNCTION("""COMPUTED_VALUE"""),"Male")</f>
        <v>Male</v>
      </c>
      <c r="G479" s="5">
        <f>IFERROR(__xludf.DUMMYFUNCTION("""COMPUTED_VALUE"""),0.005297027777777777)</f>
        <v>0.005297027778</v>
      </c>
      <c r="H479" s="14">
        <f>IFERROR(__xludf.DUMMYFUNCTION("""COMPUTED_VALUE"""),0.24646185185185185)</f>
        <v>0.2464618519</v>
      </c>
      <c r="I479" s="15">
        <f>IFERROR(__xludf.DUMMYFUNCTION("""COMPUTED_VALUE"""),45949.29943212434)</f>
        <v>45949.29943</v>
      </c>
      <c r="J479" s="15">
        <f>IFERROR(__xludf.DUMMYFUNCTION("""COMPUTED_VALUE"""),45949.05297027249)</f>
        <v>45949.05297</v>
      </c>
      <c r="K479" s="15">
        <f>IFERROR(__xludf.DUMMYFUNCTION("""COMPUTED_VALUE"""),45949.258675989775)</f>
        <v>45949.25868</v>
      </c>
      <c r="L479" s="15">
        <f>IFERROR(__xludf.DUMMYFUNCTION("""COMPUTED_VALUE"""),45949.29065553889)</f>
        <v>45949.29066</v>
      </c>
    </row>
    <row r="480">
      <c r="A480" s="1">
        <f>IFERROR(__xludf.DUMMYFUNCTION("""COMPUTED_VALUE"""),479.0)</f>
        <v>479</v>
      </c>
      <c r="B480" s="1">
        <f>IFERROR(__xludf.DUMMYFUNCTION("""COMPUTED_VALUE"""),10627.0)</f>
        <v>10627</v>
      </c>
      <c r="C480" s="13" t="str">
        <f>IFERROR(__xludf.DUMMYFUNCTION("""COMPUTED_VALUE"""),"Dwi Normansyah")</f>
        <v>Dwi Normansyah</v>
      </c>
      <c r="D480" s="2" t="str">
        <f>IFERROR(__xludf.DUMMYFUNCTION("""COMPUTED_VALUE"""),"10KM OVERALL M")</f>
        <v>10KM OVERALL M</v>
      </c>
      <c r="E480" s="1">
        <f>IFERROR(__xludf.DUMMYFUNCTION("""COMPUTED_VALUE"""),401.0)</f>
        <v>401</v>
      </c>
      <c r="F480" s="1" t="str">
        <f>IFERROR(__xludf.DUMMYFUNCTION("""COMPUTED_VALUE"""),"Male")</f>
        <v>Male</v>
      </c>
      <c r="G480" s="5">
        <f>IFERROR(__xludf.DUMMYFUNCTION("""COMPUTED_VALUE"""),0.005307096064814815)</f>
        <v>0.005307096065</v>
      </c>
      <c r="H480" s="14">
        <f>IFERROR(__xludf.DUMMYFUNCTION("""COMPUTED_VALUE"""),0.24646185185185185)</f>
        <v>0.2464618519</v>
      </c>
      <c r="I480" s="15">
        <f>IFERROR(__xludf.DUMMYFUNCTION("""COMPUTED_VALUE"""),45949.29953281582)</f>
        <v>45949.29953</v>
      </c>
      <c r="J480" s="15">
        <f>IFERROR(__xludf.DUMMYFUNCTION("""COMPUTED_VALUE"""),45949.05307096397)</f>
        <v>45949.05307</v>
      </c>
      <c r="K480" s="15">
        <f>IFERROR(__xludf.DUMMYFUNCTION("""COMPUTED_VALUE"""),45949.256717735996)</f>
        <v>45949.25672</v>
      </c>
      <c r="L480" s="15">
        <f>IFERROR(__xludf.DUMMYFUNCTION("""COMPUTED_VALUE"""),45949.29008101852)</f>
        <v>45949.29008</v>
      </c>
    </row>
    <row r="481">
      <c r="A481" s="1">
        <f>IFERROR(__xludf.DUMMYFUNCTION("""COMPUTED_VALUE"""),480.0)</f>
        <v>480</v>
      </c>
      <c r="B481" s="1">
        <f>IFERROR(__xludf.DUMMYFUNCTION("""COMPUTED_VALUE"""),10484.0)</f>
        <v>10484</v>
      </c>
      <c r="C481" s="13" t="str">
        <f>IFERROR(__xludf.DUMMYFUNCTION("""COMPUTED_VALUE"""),"Firjatullah")</f>
        <v>Firjatullah</v>
      </c>
      <c r="D481" s="2" t="str">
        <f>IFERROR(__xludf.DUMMYFUNCTION("""COMPUTED_VALUE"""),"10KM OVERALL M")</f>
        <v>10KM OVERALL M</v>
      </c>
      <c r="E481" s="1">
        <f>IFERROR(__xludf.DUMMYFUNCTION("""COMPUTED_VALUE"""),402.0)</f>
        <v>402</v>
      </c>
      <c r="F481" s="1" t="str">
        <f>IFERROR(__xludf.DUMMYFUNCTION("""COMPUTED_VALUE"""),"Male")</f>
        <v>Male</v>
      </c>
      <c r="G481" s="5">
        <f>IFERROR(__xludf.DUMMYFUNCTION("""COMPUTED_VALUE"""),0.005313346064814815)</f>
        <v>0.005313346065</v>
      </c>
      <c r="H481" s="14">
        <f>IFERROR(__xludf.DUMMYFUNCTION("""COMPUTED_VALUE"""),0.24646185185185185)</f>
        <v>0.2464618519</v>
      </c>
      <c r="I481" s="15">
        <f>IFERROR(__xludf.DUMMYFUNCTION("""COMPUTED_VALUE"""),45949.299595311364)</f>
        <v>45949.2996</v>
      </c>
      <c r="J481" s="15">
        <f>IFERROR(__xludf.DUMMYFUNCTION("""COMPUTED_VALUE"""),45949.053133459514)</f>
        <v>45949.05313</v>
      </c>
      <c r="K481" s="15">
        <f>IFERROR(__xludf.DUMMYFUNCTION("""COMPUTED_VALUE"""),45949.25885311452)</f>
        <v>45949.25885</v>
      </c>
      <c r="L481" s="15">
        <f>IFERROR(__xludf.DUMMYFUNCTION("""COMPUTED_VALUE"""),45949.2903125)</f>
        <v>45949.29031</v>
      </c>
    </row>
    <row r="482">
      <c r="A482" s="1">
        <f>IFERROR(__xludf.DUMMYFUNCTION("""COMPUTED_VALUE"""),481.0)</f>
        <v>481</v>
      </c>
      <c r="B482" s="1">
        <f>IFERROR(__xludf.DUMMYFUNCTION("""COMPUTED_VALUE"""),10608.0)</f>
        <v>10608</v>
      </c>
      <c r="C482" s="13" t="str">
        <f>IFERROR(__xludf.DUMMYFUNCTION("""COMPUTED_VALUE"""),"GANE")</f>
        <v>GANE</v>
      </c>
      <c r="D482" s="2" t="str">
        <f>IFERROR(__xludf.DUMMYFUNCTION("""COMPUTED_VALUE"""),"10KM OVERALL F")</f>
        <v>10KM OVERALL F</v>
      </c>
      <c r="E482" s="1">
        <f>IFERROR(__xludf.DUMMYFUNCTION("""COMPUTED_VALUE"""),27.0)</f>
        <v>27</v>
      </c>
      <c r="F482" s="1" t="str">
        <f>IFERROR(__xludf.DUMMYFUNCTION("""COMPUTED_VALUE"""),"Female")</f>
        <v>Female</v>
      </c>
      <c r="G482" s="5">
        <f>IFERROR(__xludf.DUMMYFUNCTION("""COMPUTED_VALUE"""),0.005317854166666667)</f>
        <v>0.005317854167</v>
      </c>
      <c r="H482" s="14">
        <f>IFERROR(__xludf.DUMMYFUNCTION("""COMPUTED_VALUE"""),0.24646185185185185)</f>
        <v>0.2464618519</v>
      </c>
      <c r="I482" s="15">
        <f>IFERROR(__xludf.DUMMYFUNCTION("""COMPUTED_VALUE"""),45949.29964039173)</f>
        <v>45949.29964</v>
      </c>
      <c r="J482" s="15">
        <f>IFERROR(__xludf.DUMMYFUNCTION("""COMPUTED_VALUE"""),45949.05317853988)</f>
        <v>45949.05318</v>
      </c>
      <c r="K482" s="15">
        <f>IFERROR(__xludf.DUMMYFUNCTION("""COMPUTED_VALUE"""),45949.26061001833)</f>
        <v>45949.26061</v>
      </c>
      <c r="L482" s="15">
        <f>IFERROR(__xludf.DUMMYFUNCTION("""COMPUTED_VALUE"""),45949.29089500669)</f>
        <v>45949.2909</v>
      </c>
    </row>
    <row r="483">
      <c r="A483" s="1">
        <f>IFERROR(__xludf.DUMMYFUNCTION("""COMPUTED_VALUE"""),482.0)</f>
        <v>482</v>
      </c>
      <c r="B483" s="1">
        <f>IFERROR(__xludf.DUMMYFUNCTION("""COMPUTED_VALUE"""),10485.0)</f>
        <v>10485</v>
      </c>
      <c r="C483" s="13" t="str">
        <f>IFERROR(__xludf.DUMMYFUNCTION("""COMPUTED_VALUE"""),"Pelari Tungau")</f>
        <v>Pelari Tungau</v>
      </c>
      <c r="D483" s="2" t="str">
        <f>IFERROR(__xludf.DUMMYFUNCTION("""COMPUTED_VALUE"""),"10KM OVERALL M")</f>
        <v>10KM OVERALL M</v>
      </c>
      <c r="E483" s="1">
        <f>IFERROR(__xludf.DUMMYFUNCTION("""COMPUTED_VALUE"""),403.0)</f>
        <v>403</v>
      </c>
      <c r="F483" s="1" t="str">
        <f>IFERROR(__xludf.DUMMYFUNCTION("""COMPUTED_VALUE"""),"Male")</f>
        <v>Male</v>
      </c>
      <c r="G483" s="5">
        <f>IFERROR(__xludf.DUMMYFUNCTION("""COMPUTED_VALUE"""),0.005317854166666667)</f>
        <v>0.005317854167</v>
      </c>
      <c r="H483" s="14">
        <f>IFERROR(__xludf.DUMMYFUNCTION("""COMPUTED_VALUE"""),0.24646185185185185)</f>
        <v>0.2464618519</v>
      </c>
      <c r="I483" s="15">
        <f>IFERROR(__xludf.DUMMYFUNCTION("""COMPUTED_VALUE"""),45949.29964039173)</f>
        <v>45949.29964</v>
      </c>
      <c r="J483" s="15">
        <f>IFERROR(__xludf.DUMMYFUNCTION("""COMPUTED_VALUE"""),45949.05317853988)</f>
        <v>45949.05318</v>
      </c>
      <c r="K483" s="15">
        <f>IFERROR(__xludf.DUMMYFUNCTION("""COMPUTED_VALUE"""),45949.25905799327)</f>
        <v>45949.25906</v>
      </c>
      <c r="L483" s="15">
        <f>IFERROR(__xludf.DUMMYFUNCTION("""COMPUTED_VALUE"""),45949.29088460833)</f>
        <v>45949.29088</v>
      </c>
    </row>
    <row r="484">
      <c r="A484" s="1">
        <f>IFERROR(__xludf.DUMMYFUNCTION("""COMPUTED_VALUE"""),483.0)</f>
        <v>483</v>
      </c>
      <c r="B484" s="1">
        <f>IFERROR(__xludf.DUMMYFUNCTION("""COMPUTED_VALUE"""),10410.0)</f>
        <v>10410</v>
      </c>
      <c r="C484" s="13" t="str">
        <f>IFERROR(__xludf.DUMMYFUNCTION("""COMPUTED_VALUE"""),"Walad hudaify")</f>
        <v>Walad hudaify</v>
      </c>
      <c r="D484" s="2" t="str">
        <f>IFERROR(__xludf.DUMMYFUNCTION("""COMPUTED_VALUE"""),"10KM OVERALL M")</f>
        <v>10KM OVERALL M</v>
      </c>
      <c r="E484" s="1">
        <f>IFERROR(__xludf.DUMMYFUNCTION("""COMPUTED_VALUE"""),404.0)</f>
        <v>404</v>
      </c>
      <c r="F484" s="1" t="str">
        <f>IFERROR(__xludf.DUMMYFUNCTION("""COMPUTED_VALUE"""),"Male")</f>
        <v>Male</v>
      </c>
      <c r="G484" s="5">
        <f>IFERROR(__xludf.DUMMYFUNCTION("""COMPUTED_VALUE"""),0.005328293981481482)</f>
        <v>0.005328293981</v>
      </c>
      <c r="H484" s="14">
        <f>IFERROR(__xludf.DUMMYFUNCTION("""COMPUTED_VALUE"""),0.24646185185185185)</f>
        <v>0.2464618519</v>
      </c>
      <c r="I484" s="15">
        <f>IFERROR(__xludf.DUMMYFUNCTION("""COMPUTED_VALUE"""),45949.29974479221)</f>
        <v>45949.29974</v>
      </c>
      <c r="J484" s="15">
        <f>IFERROR(__xludf.DUMMYFUNCTION("""COMPUTED_VALUE"""),45949.05328294036)</f>
        <v>45949.05328</v>
      </c>
      <c r="K484" s="15">
        <f>IFERROR(__xludf.DUMMYFUNCTION("""COMPUTED_VALUE"""),45949.25772113267)</f>
        <v>45949.25772</v>
      </c>
      <c r="L484" s="15">
        <f>IFERROR(__xludf.DUMMYFUNCTION("""COMPUTED_VALUE"""),45949.28997685185)</f>
        <v>45949.28998</v>
      </c>
    </row>
    <row r="485">
      <c r="A485" s="1">
        <f>IFERROR(__xludf.DUMMYFUNCTION("""COMPUTED_VALUE"""),484.0)</f>
        <v>484</v>
      </c>
      <c r="B485" s="1">
        <f>IFERROR(__xludf.DUMMYFUNCTION("""COMPUTED_VALUE"""),10191.0)</f>
        <v>10191</v>
      </c>
      <c r="C485" s="13" t="str">
        <f>IFERROR(__xludf.DUMMYFUNCTION("""COMPUTED_VALUE"""),"M. Noor P.")</f>
        <v>M. Noor P.</v>
      </c>
      <c r="D485" s="2" t="str">
        <f>IFERROR(__xludf.DUMMYFUNCTION("""COMPUTED_VALUE"""),"10KM OVERALL M")</f>
        <v>10KM OVERALL M</v>
      </c>
      <c r="E485" s="1">
        <f>IFERROR(__xludf.DUMMYFUNCTION("""COMPUTED_VALUE"""),405.0)</f>
        <v>405</v>
      </c>
      <c r="F485" s="1" t="str">
        <f>IFERROR(__xludf.DUMMYFUNCTION("""COMPUTED_VALUE"""),"Male")</f>
        <v>Male</v>
      </c>
      <c r="G485" s="5">
        <f>IFERROR(__xludf.DUMMYFUNCTION("""COMPUTED_VALUE"""),0.0053300069444444445)</f>
        <v>0.005330006944</v>
      </c>
      <c r="H485" s="14">
        <f>IFERROR(__xludf.DUMMYFUNCTION("""COMPUTED_VALUE"""),0.24646185185185185)</f>
        <v>0.2464618519</v>
      </c>
      <c r="I485" s="15">
        <f>IFERROR(__xludf.DUMMYFUNCTION("""COMPUTED_VALUE"""),45949.299761923125)</f>
        <v>45949.29976</v>
      </c>
      <c r="J485" s="15">
        <f>IFERROR(__xludf.DUMMYFUNCTION("""COMPUTED_VALUE"""),45949.053300071275)</f>
        <v>45949.0533</v>
      </c>
      <c r="K485" s="15">
        <f>IFERROR(__xludf.DUMMYFUNCTION("""COMPUTED_VALUE"""),45949.26558663622)</f>
        <v>45949.26559</v>
      </c>
      <c r="L485" s="15">
        <f>IFERROR(__xludf.DUMMYFUNCTION("""COMPUTED_VALUE"""),45949.29158593287)</f>
        <v>45949.29159</v>
      </c>
    </row>
    <row r="486">
      <c r="A486" s="1">
        <f>IFERROR(__xludf.DUMMYFUNCTION("""COMPUTED_VALUE"""),485.0)</f>
        <v>485</v>
      </c>
      <c r="B486" s="1">
        <f>IFERROR(__xludf.DUMMYFUNCTION("""COMPUTED_VALUE"""),10584.0)</f>
        <v>10584</v>
      </c>
      <c r="C486" s="13" t="str">
        <f>IFERROR(__xludf.DUMMYFUNCTION("""COMPUTED_VALUE"""),"ahnan fadlil")</f>
        <v>ahnan fadlil</v>
      </c>
      <c r="D486" s="2" t="str">
        <f>IFERROR(__xludf.DUMMYFUNCTION("""COMPUTED_VALUE"""),"10KM OVERALL M")</f>
        <v>10KM OVERALL M</v>
      </c>
      <c r="E486" s="1">
        <f>IFERROR(__xludf.DUMMYFUNCTION("""COMPUTED_VALUE"""),406.0)</f>
        <v>406</v>
      </c>
      <c r="F486" s="1" t="str">
        <f>IFERROR(__xludf.DUMMYFUNCTION("""COMPUTED_VALUE"""),"Male")</f>
        <v>Male</v>
      </c>
      <c r="G486" s="5">
        <f>IFERROR(__xludf.DUMMYFUNCTION("""COMPUTED_VALUE"""),0.005332790509259259)</f>
        <v>0.005332790509</v>
      </c>
      <c r="H486" s="14">
        <f>IFERROR(__xludf.DUMMYFUNCTION("""COMPUTED_VALUE"""),0.24646185185185185)</f>
        <v>0.2464618519</v>
      </c>
      <c r="I486" s="15">
        <f>IFERROR(__xludf.DUMMYFUNCTION("""COMPUTED_VALUE"""),45949.29978975162)</f>
        <v>45949.29979</v>
      </c>
      <c r="J486" s="15">
        <f>IFERROR(__xludf.DUMMYFUNCTION("""COMPUTED_VALUE"""),45949.05332789977)</f>
        <v>45949.05333</v>
      </c>
      <c r="K486" s="15">
        <f>IFERROR(__xludf.DUMMYFUNCTION("""COMPUTED_VALUE"""),45949.2592176721)</f>
        <v>45949.25922</v>
      </c>
      <c r="L486" s="15">
        <f>IFERROR(__xludf.DUMMYFUNCTION("""COMPUTED_VALUE"""),45949.29016203703)</f>
        <v>45949.29016</v>
      </c>
    </row>
    <row r="487">
      <c r="A487" s="1">
        <f>IFERROR(__xludf.DUMMYFUNCTION("""COMPUTED_VALUE"""),486.0)</f>
        <v>486</v>
      </c>
      <c r="B487" s="1">
        <f>IFERROR(__xludf.DUMMYFUNCTION("""COMPUTED_VALUE"""),10599.0)</f>
        <v>10599</v>
      </c>
      <c r="C487" s="13" t="str">
        <f>IFERROR(__xludf.DUMMYFUNCTION("""COMPUTED_VALUE"""),"Mutasi HomeBase")</f>
        <v>Mutasi HomeBase</v>
      </c>
      <c r="D487" s="2" t="str">
        <f>IFERROR(__xludf.DUMMYFUNCTION("""COMPUTED_VALUE"""),"10KM OVERALL M")</f>
        <v>10KM OVERALL M</v>
      </c>
      <c r="E487" s="1">
        <f>IFERROR(__xludf.DUMMYFUNCTION("""COMPUTED_VALUE"""),407.0)</f>
        <v>407</v>
      </c>
      <c r="F487" s="1" t="str">
        <f>IFERROR(__xludf.DUMMYFUNCTION("""COMPUTED_VALUE"""),"Male")</f>
        <v>Male</v>
      </c>
      <c r="G487" s="5">
        <f>IFERROR(__xludf.DUMMYFUNCTION("""COMPUTED_VALUE"""),0.005334528935185186)</f>
        <v>0.005334528935</v>
      </c>
      <c r="H487" s="14">
        <f>IFERROR(__xludf.DUMMYFUNCTION("""COMPUTED_VALUE"""),0.24646185185185185)</f>
        <v>0.2464618519</v>
      </c>
      <c r="I487" s="15">
        <f>IFERROR(__xludf.DUMMYFUNCTION("""COMPUTED_VALUE"""),45949.299807136966)</f>
        <v>45949.29981</v>
      </c>
      <c r="J487" s="15">
        <f>IFERROR(__xludf.DUMMYFUNCTION("""COMPUTED_VALUE"""),45949.053345285116)</f>
        <v>45949.05335</v>
      </c>
      <c r="K487" s="15">
        <f>IFERROR(__xludf.DUMMYFUNCTION("""COMPUTED_VALUE"""),45949.25909619227)</f>
        <v>45949.2591</v>
      </c>
      <c r="L487" s="15">
        <f>IFERROR(__xludf.DUMMYFUNCTION("""COMPUTED_VALUE"""),45949.290676280194)</f>
        <v>45949.29068</v>
      </c>
    </row>
    <row r="488">
      <c r="A488" s="1">
        <f>IFERROR(__xludf.DUMMYFUNCTION("""COMPUTED_VALUE"""),487.0)</f>
        <v>487</v>
      </c>
      <c r="B488" s="1">
        <f>IFERROR(__xludf.DUMMYFUNCTION("""COMPUTED_VALUE"""),10202.0)</f>
        <v>10202</v>
      </c>
      <c r="C488" s="13" t="str">
        <f>IFERROR(__xludf.DUMMYFUNCTION("""COMPUTED_VALUE"""),"Achmad Ramadani")</f>
        <v>Achmad Ramadani</v>
      </c>
      <c r="D488" s="2" t="str">
        <f>IFERROR(__xludf.DUMMYFUNCTION("""COMPUTED_VALUE"""),"10KM OVERALL M")</f>
        <v>10KM OVERALL M</v>
      </c>
      <c r="E488" s="1">
        <f>IFERROR(__xludf.DUMMYFUNCTION("""COMPUTED_VALUE"""),408.0)</f>
        <v>408</v>
      </c>
      <c r="F488" s="1" t="str">
        <f>IFERROR(__xludf.DUMMYFUNCTION("""COMPUTED_VALUE"""),"Male")</f>
        <v>Male</v>
      </c>
      <c r="G488" s="5">
        <f>IFERROR(__xludf.DUMMYFUNCTION("""COMPUTED_VALUE"""),0.0053373043981481474)</f>
        <v>0.005337304398</v>
      </c>
      <c r="H488" s="14">
        <f>IFERROR(__xludf.DUMMYFUNCTION("""COMPUTED_VALUE"""),0.24646185185185185)</f>
        <v>0.2464618519</v>
      </c>
      <c r="I488" s="15">
        <f>IFERROR(__xludf.DUMMYFUNCTION("""COMPUTED_VALUE"""),45949.299834894264)</f>
        <v>45949.29983</v>
      </c>
      <c r="J488" s="15">
        <f>IFERROR(__xludf.DUMMYFUNCTION("""COMPUTED_VALUE"""),45949.053373042414)</f>
        <v>45949.05337</v>
      </c>
      <c r="K488" s="15">
        <f>IFERROR(__xludf.DUMMYFUNCTION("""COMPUTED_VALUE"""),45949.26122465611)</f>
        <v>45949.26122</v>
      </c>
      <c r="L488" s="15">
        <f>IFERROR(__xludf.DUMMYFUNCTION("""COMPUTED_VALUE"""),45949.29204425213)</f>
        <v>45949.29204</v>
      </c>
    </row>
    <row r="489">
      <c r="A489" s="1">
        <f>IFERROR(__xludf.DUMMYFUNCTION("""COMPUTED_VALUE"""),488.0)</f>
        <v>488</v>
      </c>
      <c r="B489" s="1">
        <f>IFERROR(__xludf.DUMMYFUNCTION("""COMPUTED_VALUE"""),10329.0)</f>
        <v>10329</v>
      </c>
      <c r="C489" s="13" t="str">
        <f>IFERROR(__xludf.DUMMYFUNCTION("""COMPUTED_VALUE"""),"Fajar Agung")</f>
        <v>Fajar Agung</v>
      </c>
      <c r="D489" s="2" t="str">
        <f>IFERROR(__xludf.DUMMYFUNCTION("""COMPUTED_VALUE"""),"10KM OVERALL M")</f>
        <v>10KM OVERALL M</v>
      </c>
      <c r="E489" s="1">
        <f>IFERROR(__xludf.DUMMYFUNCTION("""COMPUTED_VALUE"""),409.0)</f>
        <v>409</v>
      </c>
      <c r="F489" s="1" t="str">
        <f>IFERROR(__xludf.DUMMYFUNCTION("""COMPUTED_VALUE"""),"Male")</f>
        <v>Male</v>
      </c>
      <c r="G489" s="5">
        <f>IFERROR(__xludf.DUMMYFUNCTION("""COMPUTED_VALUE"""),0.005339387731481481)</f>
        <v>0.005339387731</v>
      </c>
      <c r="H489" s="14">
        <f>IFERROR(__xludf.DUMMYFUNCTION("""COMPUTED_VALUE"""),0.24646185185185185)</f>
        <v>0.2464618519</v>
      </c>
      <c r="I489" s="15">
        <f>IFERROR(__xludf.DUMMYFUNCTION("""COMPUTED_VALUE"""),45949.299855724836)</f>
        <v>45949.29986</v>
      </c>
      <c r="J489" s="15">
        <f>IFERROR(__xludf.DUMMYFUNCTION("""COMPUTED_VALUE"""),45949.053393872986)</f>
        <v>45949.05339</v>
      </c>
      <c r="K489" s="15">
        <f>IFERROR(__xludf.DUMMYFUNCTION("""COMPUTED_VALUE"""),45949.25797814221)</f>
        <v>45949.25798</v>
      </c>
      <c r="L489" s="15">
        <f>IFERROR(__xludf.DUMMYFUNCTION("""COMPUTED_VALUE"""),45949.29054328855)</f>
        <v>45949.29054</v>
      </c>
    </row>
    <row r="490">
      <c r="A490" s="1">
        <f>IFERROR(__xludf.DUMMYFUNCTION("""COMPUTED_VALUE"""),489.0)</f>
        <v>489</v>
      </c>
      <c r="B490" s="1">
        <f>IFERROR(__xludf.DUMMYFUNCTION("""COMPUTED_VALUE"""),10284.0)</f>
        <v>10284</v>
      </c>
      <c r="C490" s="13" t="str">
        <f>IFERROR(__xludf.DUMMYFUNCTION("""COMPUTED_VALUE"""),"ZAENUDDIN")</f>
        <v>ZAENUDDIN</v>
      </c>
      <c r="D490" s="2" t="str">
        <f>IFERROR(__xludf.DUMMYFUNCTION("""COMPUTED_VALUE"""),"10KM OVERALL M")</f>
        <v>10KM OVERALL M</v>
      </c>
      <c r="E490" s="1">
        <f>IFERROR(__xludf.DUMMYFUNCTION("""COMPUTED_VALUE"""),410.0)</f>
        <v>410</v>
      </c>
      <c r="F490" s="1" t="str">
        <f>IFERROR(__xludf.DUMMYFUNCTION("""COMPUTED_VALUE"""),"Male")</f>
        <v>Male</v>
      </c>
      <c r="G490" s="5">
        <f>IFERROR(__xludf.DUMMYFUNCTION("""COMPUTED_VALUE"""),0.005344590277777778)</f>
        <v>0.005344590278</v>
      </c>
      <c r="H490" s="14">
        <f>IFERROR(__xludf.DUMMYFUNCTION("""COMPUTED_VALUE"""),0.24646185185185185)</f>
        <v>0.2464618519</v>
      </c>
      <c r="I490" s="15">
        <f>IFERROR(__xludf.DUMMYFUNCTION("""COMPUTED_VALUE"""),45949.299907759225)</f>
        <v>45949.29991</v>
      </c>
      <c r="J490" s="15">
        <f>IFERROR(__xludf.DUMMYFUNCTION("""COMPUTED_VALUE"""),45949.053445907375)</f>
        <v>45949.05345</v>
      </c>
      <c r="K490" s="15">
        <f>IFERROR(__xludf.DUMMYFUNCTION("""COMPUTED_VALUE"""),45949.256707265304)</f>
        <v>45949.25671</v>
      </c>
      <c r="L490" s="15">
        <f>IFERROR(__xludf.DUMMYFUNCTION("""COMPUTED_VALUE"""),45949.290254629625)</f>
        <v>45949.29025</v>
      </c>
    </row>
    <row r="491">
      <c r="A491" s="1">
        <f>IFERROR(__xludf.DUMMYFUNCTION("""COMPUTED_VALUE"""),490.0)</f>
        <v>490</v>
      </c>
      <c r="B491" s="1">
        <f>IFERROR(__xludf.DUMMYFUNCTION("""COMPUTED_VALUE"""),12061.0)</f>
        <v>12061</v>
      </c>
      <c r="C491" s="13" t="str">
        <f>IFERROR(__xludf.DUMMYFUNCTION("""COMPUTED_VALUE"""),"SYAHRANI TALA")</f>
        <v>SYAHRANI TALA</v>
      </c>
      <c r="D491" s="2" t="str">
        <f>IFERROR(__xludf.DUMMYFUNCTION("""COMPUTED_VALUE"""),"10KM MASTER M")</f>
        <v>10KM MASTER M</v>
      </c>
      <c r="E491" s="1">
        <f>IFERROR(__xludf.DUMMYFUNCTION("""COMPUTED_VALUE"""),46.0)</f>
        <v>46</v>
      </c>
      <c r="F491" s="1" t="str">
        <f>IFERROR(__xludf.DUMMYFUNCTION("""COMPUTED_VALUE"""),"Male")</f>
        <v>Male</v>
      </c>
      <c r="G491" s="5">
        <f>IFERROR(__xludf.DUMMYFUNCTION("""COMPUTED_VALUE"""),0.005347021990740742)</f>
        <v>0.005347021991</v>
      </c>
      <c r="H491" s="14">
        <f>IFERROR(__xludf.DUMMYFUNCTION("""COMPUTED_VALUE"""),0.24646185185185185)</f>
        <v>0.2464618519</v>
      </c>
      <c r="I491" s="15">
        <f>IFERROR(__xludf.DUMMYFUNCTION("""COMPUTED_VALUE"""),45949.29993206704)</f>
        <v>45949.29993</v>
      </c>
      <c r="J491" s="15">
        <f>IFERROR(__xludf.DUMMYFUNCTION("""COMPUTED_VALUE"""),45949.05347021519)</f>
        <v>45949.05347</v>
      </c>
      <c r="K491" s="15">
        <f>IFERROR(__xludf.DUMMYFUNCTION("""COMPUTED_VALUE"""),45949.25968987895)</f>
        <v>45949.25969</v>
      </c>
      <c r="L491" s="15">
        <f>IFERROR(__xludf.DUMMYFUNCTION("""COMPUTED_VALUE"""),45949.29093323409)</f>
        <v>45949.29093</v>
      </c>
    </row>
    <row r="492">
      <c r="A492" s="1">
        <f>IFERROR(__xludf.DUMMYFUNCTION("""COMPUTED_VALUE"""),491.0)</f>
        <v>491</v>
      </c>
      <c r="B492" s="1">
        <f>IFERROR(__xludf.DUMMYFUNCTION("""COMPUTED_VALUE"""),10272.0)</f>
        <v>10272</v>
      </c>
      <c r="C492" s="13" t="str">
        <f>IFERROR(__xludf.DUMMYFUNCTION("""COMPUTED_VALUE"""),"Rahman")</f>
        <v>Rahman</v>
      </c>
      <c r="D492" s="2" t="str">
        <f>IFERROR(__xludf.DUMMYFUNCTION("""COMPUTED_VALUE"""),"10KM OVERALL M")</f>
        <v>10KM OVERALL M</v>
      </c>
      <c r="E492" s="1">
        <f>IFERROR(__xludf.DUMMYFUNCTION("""COMPUTED_VALUE"""),411.0)</f>
        <v>411</v>
      </c>
      <c r="F492" s="1" t="str">
        <f>IFERROR(__xludf.DUMMYFUNCTION("""COMPUTED_VALUE"""),"Male")</f>
        <v>Male</v>
      </c>
      <c r="G492" s="5">
        <f>IFERROR(__xludf.DUMMYFUNCTION("""COMPUTED_VALUE"""),0.005347021990740742)</f>
        <v>0.005347021991</v>
      </c>
      <c r="H492" s="14">
        <f>IFERROR(__xludf.DUMMYFUNCTION("""COMPUTED_VALUE"""),0.24646185185185185)</f>
        <v>0.2464618519</v>
      </c>
      <c r="I492" s="15">
        <f>IFERROR(__xludf.DUMMYFUNCTION("""COMPUTED_VALUE"""),45949.29993206704)</f>
        <v>45949.29993</v>
      </c>
      <c r="J492" s="15">
        <f>IFERROR(__xludf.DUMMYFUNCTION("""COMPUTED_VALUE"""),45949.05347021519)</f>
        <v>45949.05347</v>
      </c>
      <c r="K492" s="15">
        <f>IFERROR(__xludf.DUMMYFUNCTION("""COMPUTED_VALUE"""),45949.259717752495)</f>
        <v>45949.25972</v>
      </c>
      <c r="L492" s="15">
        <f>IFERROR(__xludf.DUMMYFUNCTION("""COMPUTED_VALUE"""),45949.29066584558)</f>
        <v>45949.29067</v>
      </c>
    </row>
    <row r="493">
      <c r="A493" s="1">
        <f>IFERROR(__xludf.DUMMYFUNCTION("""COMPUTED_VALUE"""),492.0)</f>
        <v>492</v>
      </c>
      <c r="B493" s="1">
        <f>IFERROR(__xludf.DUMMYFUNCTION("""COMPUTED_VALUE"""),10110.0)</f>
        <v>10110</v>
      </c>
      <c r="C493" s="13" t="str">
        <f>IFERROR(__xludf.DUMMYFUNCTION("""COMPUTED_VALUE"""),"Yivon")</f>
        <v>Yivon</v>
      </c>
      <c r="D493" s="2" t="str">
        <f>IFERROR(__xludf.DUMMYFUNCTION("""COMPUTED_VALUE"""),"10KM OVERALL M")</f>
        <v>10KM OVERALL M</v>
      </c>
      <c r="E493" s="1">
        <f>IFERROR(__xludf.DUMMYFUNCTION("""COMPUTED_VALUE"""),412.0)</f>
        <v>412</v>
      </c>
      <c r="F493" s="1" t="str">
        <f>IFERROR(__xludf.DUMMYFUNCTION("""COMPUTED_VALUE"""),"Male")</f>
        <v>Male</v>
      </c>
      <c r="G493" s="5">
        <f>IFERROR(__xludf.DUMMYFUNCTION("""COMPUTED_VALUE"""),0.005349804398148148)</f>
        <v>0.005349804398</v>
      </c>
      <c r="H493" s="14">
        <f>IFERROR(__xludf.DUMMYFUNCTION("""COMPUTED_VALUE"""),0.24646185185185185)</f>
        <v>0.2464618519</v>
      </c>
      <c r="I493" s="15">
        <f>IFERROR(__xludf.DUMMYFUNCTION("""COMPUTED_VALUE"""),45949.29995989124)</f>
        <v>45949.29996</v>
      </c>
      <c r="J493" s="15">
        <f>IFERROR(__xludf.DUMMYFUNCTION("""COMPUTED_VALUE"""),45949.05349803939)</f>
        <v>45949.0535</v>
      </c>
      <c r="K493" s="15">
        <f>IFERROR(__xludf.DUMMYFUNCTION("""COMPUTED_VALUE"""),45949.26261003637)</f>
        <v>45949.26261</v>
      </c>
      <c r="L493" s="15">
        <f>IFERROR(__xludf.DUMMYFUNCTION("""COMPUTED_VALUE"""),45949.291495664525)</f>
        <v>45949.2915</v>
      </c>
    </row>
    <row r="494">
      <c r="A494" s="1">
        <f>IFERROR(__xludf.DUMMYFUNCTION("""COMPUTED_VALUE"""),493.0)</f>
        <v>493</v>
      </c>
      <c r="B494" s="1">
        <f>IFERROR(__xludf.DUMMYFUNCTION("""COMPUTED_VALUE"""),10748.0)</f>
        <v>10748</v>
      </c>
      <c r="C494" s="13" t="str">
        <f>IFERROR(__xludf.DUMMYFUNCTION("""COMPUTED_VALUE"""),"AGUS HENDRIYANTO")</f>
        <v>AGUS HENDRIYANTO</v>
      </c>
      <c r="D494" s="2" t="str">
        <f>IFERROR(__xludf.DUMMYFUNCTION("""COMPUTED_VALUE"""),"10KM OVERALL M")</f>
        <v>10KM OVERALL M</v>
      </c>
      <c r="E494" s="1">
        <f>IFERROR(__xludf.DUMMYFUNCTION("""COMPUTED_VALUE"""),413.0)</f>
        <v>413</v>
      </c>
      <c r="F494" s="1" t="str">
        <f>IFERROR(__xludf.DUMMYFUNCTION("""COMPUTED_VALUE"""),"Male")</f>
        <v>Male</v>
      </c>
      <c r="G494" s="5">
        <f>IFERROR(__xludf.DUMMYFUNCTION("""COMPUTED_VALUE"""),0.0053498055555555556)</f>
        <v>0.005349805556</v>
      </c>
      <c r="H494" s="14">
        <f>IFERROR(__xludf.DUMMYFUNCTION("""COMPUTED_VALUE"""),0.24646185185185185)</f>
        <v>0.2464618519</v>
      </c>
      <c r="I494" s="15">
        <f>IFERROR(__xludf.DUMMYFUNCTION("""COMPUTED_VALUE"""),45949.2999599063)</f>
        <v>45949.29996</v>
      </c>
      <c r="J494" s="15">
        <f>IFERROR(__xludf.DUMMYFUNCTION("""COMPUTED_VALUE"""),45949.05349805445)</f>
        <v>45949.0535</v>
      </c>
      <c r="K494" s="15">
        <f>IFERROR(__xludf.DUMMYFUNCTION("""COMPUTED_VALUE"""),45949.25725938215)</f>
        <v>45949.25726</v>
      </c>
      <c r="L494" s="15">
        <f>IFERROR(__xludf.DUMMYFUNCTION("""COMPUTED_VALUE"""),45949.29119015788)</f>
        <v>45949.29119</v>
      </c>
    </row>
    <row r="495">
      <c r="A495" s="1">
        <f>IFERROR(__xludf.DUMMYFUNCTION("""COMPUTED_VALUE"""),494.0)</f>
        <v>494</v>
      </c>
      <c r="B495" s="1">
        <f>IFERROR(__xludf.DUMMYFUNCTION("""COMPUTED_VALUE"""),10162.0)</f>
        <v>10162</v>
      </c>
      <c r="C495" s="13" t="str">
        <f>IFERROR(__xludf.DUMMYFUNCTION("""COMPUTED_VALUE"""),"Riqi_R")</f>
        <v>Riqi_R</v>
      </c>
      <c r="D495" s="2" t="str">
        <f>IFERROR(__xludf.DUMMYFUNCTION("""COMPUTED_VALUE"""),"10KM OVERALL M")</f>
        <v>10KM OVERALL M</v>
      </c>
      <c r="E495" s="1">
        <f>IFERROR(__xludf.DUMMYFUNCTION("""COMPUTED_VALUE"""),414.0)</f>
        <v>414</v>
      </c>
      <c r="F495" s="1" t="str">
        <f>IFERROR(__xludf.DUMMYFUNCTION("""COMPUTED_VALUE"""),"Male")</f>
        <v>Male</v>
      </c>
      <c r="G495" s="5">
        <f>IFERROR(__xludf.DUMMYFUNCTION("""COMPUTED_VALUE"""),0.005355359953703703)</f>
        <v>0.005355359954</v>
      </c>
      <c r="H495" s="14">
        <f>IFERROR(__xludf.DUMMYFUNCTION("""COMPUTED_VALUE"""),0.24646185185185185)</f>
        <v>0.2464618519</v>
      </c>
      <c r="I495" s="15">
        <f>IFERROR(__xludf.DUMMYFUNCTION("""COMPUTED_VALUE"""),45949.30001545538)</f>
        <v>45949.30002</v>
      </c>
      <c r="J495" s="15">
        <f>IFERROR(__xludf.DUMMYFUNCTION("""COMPUTED_VALUE"""),45949.05355360353)</f>
        <v>45949.05355</v>
      </c>
      <c r="K495" s="15">
        <f>IFERROR(__xludf.DUMMYFUNCTION("""COMPUTED_VALUE"""),45949.25715870209)</f>
        <v>45949.25716</v>
      </c>
      <c r="L495" s="15">
        <f>IFERROR(__xludf.DUMMYFUNCTION("""COMPUTED_VALUE"""),45949.29005787037)</f>
        <v>45949.29006</v>
      </c>
    </row>
    <row r="496">
      <c r="A496" s="1">
        <f>IFERROR(__xludf.DUMMYFUNCTION("""COMPUTED_VALUE"""),495.0)</f>
        <v>495</v>
      </c>
      <c r="B496" s="1">
        <f>IFERROR(__xludf.DUMMYFUNCTION("""COMPUTED_VALUE"""),10141.0)</f>
        <v>10141</v>
      </c>
      <c r="C496" s="13" t="str">
        <f>IFERROR(__xludf.DUMMYFUNCTION("""COMPUTED_VALUE"""),"FATHURRAHMAN AZHARI")</f>
        <v>FATHURRAHMAN AZHARI</v>
      </c>
      <c r="D496" s="2" t="str">
        <f>IFERROR(__xludf.DUMMYFUNCTION("""COMPUTED_VALUE"""),"10KM OVERALL M")</f>
        <v>10KM OVERALL M</v>
      </c>
      <c r="E496" s="1">
        <f>IFERROR(__xludf.DUMMYFUNCTION("""COMPUTED_VALUE"""),415.0)</f>
        <v>415</v>
      </c>
      <c r="F496" s="1" t="str">
        <f>IFERROR(__xludf.DUMMYFUNCTION("""COMPUTED_VALUE"""),"Male")</f>
        <v>Male</v>
      </c>
      <c r="G496" s="5">
        <f>IFERROR(__xludf.DUMMYFUNCTION("""COMPUTED_VALUE"""),0.005356777777777778)</f>
        <v>0.005356777778</v>
      </c>
      <c r="H496" s="14">
        <f>IFERROR(__xludf.DUMMYFUNCTION("""COMPUTED_VALUE"""),0.24646185185185185)</f>
        <v>0.2464618519</v>
      </c>
      <c r="I496" s="15">
        <f>IFERROR(__xludf.DUMMYFUNCTION("""COMPUTED_VALUE"""),45949.300029627266)</f>
        <v>45949.30003</v>
      </c>
      <c r="J496" s="15">
        <f>IFERROR(__xludf.DUMMYFUNCTION("""COMPUTED_VALUE"""),45949.053567775416)</f>
        <v>45949.05357</v>
      </c>
      <c r="K496" s="15">
        <f>IFERROR(__xludf.DUMMYFUNCTION("""COMPUTED_VALUE"""),45949.25926280529)</f>
        <v>45949.25926</v>
      </c>
      <c r="L496" s="15">
        <f>IFERROR(__xludf.DUMMYFUNCTION("""COMPUTED_VALUE"""),45949.290243055555)</f>
        <v>45949.29024</v>
      </c>
    </row>
    <row r="497">
      <c r="A497" s="1">
        <f>IFERROR(__xludf.DUMMYFUNCTION("""COMPUTED_VALUE"""),496.0)</f>
        <v>496</v>
      </c>
      <c r="B497" s="1">
        <f>IFERROR(__xludf.DUMMYFUNCTION("""COMPUTED_VALUE"""),10229.0)</f>
        <v>10229</v>
      </c>
      <c r="C497" s="13" t="str">
        <f>IFERROR(__xludf.DUMMYFUNCTION("""COMPUTED_VALUE"""),"Rizal Ariyadi")</f>
        <v>Rizal Ariyadi</v>
      </c>
      <c r="D497" s="2" t="str">
        <f>IFERROR(__xludf.DUMMYFUNCTION("""COMPUTED_VALUE"""),"10KM OVERALL M")</f>
        <v>10KM OVERALL M</v>
      </c>
      <c r="E497" s="1">
        <f>IFERROR(__xludf.DUMMYFUNCTION("""COMPUTED_VALUE"""),416.0)</f>
        <v>416</v>
      </c>
      <c r="F497" s="1" t="str">
        <f>IFERROR(__xludf.DUMMYFUNCTION("""COMPUTED_VALUE"""),"Male")</f>
        <v>Male</v>
      </c>
      <c r="G497" s="5">
        <f>IFERROR(__xludf.DUMMYFUNCTION("""COMPUTED_VALUE"""),0.005364040509259259)</f>
        <v>0.005364040509</v>
      </c>
      <c r="H497" s="14">
        <f>IFERROR(__xludf.DUMMYFUNCTION("""COMPUTED_VALUE"""),0.24646185185185185)</f>
        <v>0.2464618519</v>
      </c>
      <c r="I497" s="15">
        <f>IFERROR(__xludf.DUMMYFUNCTION("""COMPUTED_VALUE"""),45949.300102259804)</f>
        <v>45949.3001</v>
      </c>
      <c r="J497" s="15">
        <f>IFERROR(__xludf.DUMMYFUNCTION("""COMPUTED_VALUE"""),45949.053640407954)</f>
        <v>45949.05364</v>
      </c>
      <c r="K497" s="15">
        <f>IFERROR(__xludf.DUMMYFUNCTION("""COMPUTED_VALUE"""),45949.25955795275)</f>
        <v>45949.25956</v>
      </c>
      <c r="L497" s="15">
        <f>IFERROR(__xludf.DUMMYFUNCTION("""COMPUTED_VALUE"""),45949.29099220813)</f>
        <v>45949.29099</v>
      </c>
    </row>
    <row r="498">
      <c r="A498" s="1">
        <f>IFERROR(__xludf.DUMMYFUNCTION("""COMPUTED_VALUE"""),497.0)</f>
        <v>497</v>
      </c>
      <c r="B498" s="1">
        <f>IFERROR(__xludf.DUMMYFUNCTION("""COMPUTED_VALUE"""),10623.0)</f>
        <v>10623</v>
      </c>
      <c r="C498" s="13" t="str">
        <f>IFERROR(__xludf.DUMMYFUNCTION("""COMPUTED_VALUE"""),"yowan")</f>
        <v>yowan</v>
      </c>
      <c r="D498" s="2" t="str">
        <f>IFERROR(__xludf.DUMMYFUNCTION("""COMPUTED_VALUE"""),"10KM OVERALL M")</f>
        <v>10KM OVERALL M</v>
      </c>
      <c r="E498" s="1">
        <f>IFERROR(__xludf.DUMMYFUNCTION("""COMPUTED_VALUE"""),417.0)</f>
        <v>417</v>
      </c>
      <c r="F498" s="1" t="str">
        <f>IFERROR(__xludf.DUMMYFUNCTION("""COMPUTED_VALUE"""),"Male")</f>
        <v>Male</v>
      </c>
      <c r="G498" s="5">
        <f>IFERROR(__xludf.DUMMYFUNCTION("""COMPUTED_VALUE"""),0.005366818287037037)</f>
        <v>0.005366818287</v>
      </c>
      <c r="H498" s="14">
        <f>IFERROR(__xludf.DUMMYFUNCTION("""COMPUTED_VALUE"""),0.24646185185185185)</f>
        <v>0.2464618519</v>
      </c>
      <c r="I498" s="15">
        <f>IFERROR(__xludf.DUMMYFUNCTION("""COMPUTED_VALUE"""),45949.30013003304)</f>
        <v>45949.30013</v>
      </c>
      <c r="J498" s="15">
        <f>IFERROR(__xludf.DUMMYFUNCTION("""COMPUTED_VALUE"""),45949.053668181194)</f>
        <v>45949.05367</v>
      </c>
      <c r="K498" s="15">
        <f>IFERROR(__xludf.DUMMYFUNCTION("""COMPUTED_VALUE"""),45949.261967673854)</f>
        <v>45949.26197</v>
      </c>
      <c r="L498" s="15">
        <f>IFERROR(__xludf.DUMMYFUNCTION("""COMPUTED_VALUE"""),45949.29178732066)</f>
        <v>45949.29179</v>
      </c>
    </row>
    <row r="499">
      <c r="A499" s="1">
        <f>IFERROR(__xludf.DUMMYFUNCTION("""COMPUTED_VALUE"""),498.0)</f>
        <v>498</v>
      </c>
      <c r="B499" s="1">
        <f>IFERROR(__xludf.DUMMYFUNCTION("""COMPUTED_VALUE"""),10366.0)</f>
        <v>10366</v>
      </c>
      <c r="C499" s="13" t="str">
        <f>IFERROR(__xludf.DUMMYFUNCTION("""COMPUTED_VALUE"""),"cen-cen")</f>
        <v>cen-cen</v>
      </c>
      <c r="D499" s="2" t="str">
        <f>IFERROR(__xludf.DUMMYFUNCTION("""COMPUTED_VALUE"""),"10KM OVERALL M")</f>
        <v>10KM OVERALL M</v>
      </c>
      <c r="E499" s="1">
        <f>IFERROR(__xludf.DUMMYFUNCTION("""COMPUTED_VALUE"""),418.0)</f>
        <v>418</v>
      </c>
      <c r="F499" s="1" t="str">
        <f>IFERROR(__xludf.DUMMYFUNCTION("""COMPUTED_VALUE"""),"Male")</f>
        <v>Male</v>
      </c>
      <c r="G499" s="5">
        <f>IFERROR(__xludf.DUMMYFUNCTION("""COMPUTED_VALUE"""),0.0053678611111111114)</f>
        <v>0.005367861111</v>
      </c>
      <c r="H499" s="14">
        <f>IFERROR(__xludf.DUMMYFUNCTION("""COMPUTED_VALUE"""),0.24646185185185185)</f>
        <v>0.2464618519</v>
      </c>
      <c r="I499" s="15">
        <f>IFERROR(__xludf.DUMMYFUNCTION("""COMPUTED_VALUE"""),45949.30014046775)</f>
        <v>45949.30014</v>
      </c>
      <c r="J499" s="15">
        <f>IFERROR(__xludf.DUMMYFUNCTION("""COMPUTED_VALUE"""),45949.0536786159)</f>
        <v>45949.05368</v>
      </c>
      <c r="K499" s="15">
        <f>IFERROR(__xludf.DUMMYFUNCTION("""COMPUTED_VALUE"""),45949.26133229713)</f>
        <v>45949.26133</v>
      </c>
      <c r="L499" s="15">
        <f>IFERROR(__xludf.DUMMYFUNCTION("""COMPUTED_VALUE"""),45949.29139843623)</f>
        <v>45949.2914</v>
      </c>
    </row>
    <row r="500">
      <c r="A500" s="1">
        <f>IFERROR(__xludf.DUMMYFUNCTION("""COMPUTED_VALUE"""),499.0)</f>
        <v>499</v>
      </c>
      <c r="B500" s="1">
        <f>IFERROR(__xludf.DUMMYFUNCTION("""COMPUTED_VALUE"""),10080.0)</f>
        <v>10080</v>
      </c>
      <c r="C500" s="13" t="str">
        <f>IFERROR(__xludf.DUMMYFUNCTION("""COMPUTED_VALUE"""),"Ilham Nazza")</f>
        <v>Ilham Nazza</v>
      </c>
      <c r="D500" s="2" t="str">
        <f>IFERROR(__xludf.DUMMYFUNCTION("""COMPUTED_VALUE"""),"10KM OVERALL M")</f>
        <v>10KM OVERALL M</v>
      </c>
      <c r="E500" s="1">
        <f>IFERROR(__xludf.DUMMYFUNCTION("""COMPUTED_VALUE"""),419.0)</f>
        <v>419</v>
      </c>
      <c r="F500" s="1" t="str">
        <f>IFERROR(__xludf.DUMMYFUNCTION("""COMPUTED_VALUE"""),"Male")</f>
        <v>Male</v>
      </c>
      <c r="G500" s="5">
        <f>IFERROR(__xludf.DUMMYFUNCTION("""COMPUTED_VALUE"""),0.00536890162037037)</f>
        <v>0.00536890162</v>
      </c>
      <c r="H500" s="14">
        <f>IFERROR(__xludf.DUMMYFUNCTION("""COMPUTED_VALUE"""),0.24646185185185185)</f>
        <v>0.2464618519</v>
      </c>
      <c r="I500" s="15">
        <f>IFERROR(__xludf.DUMMYFUNCTION("""COMPUTED_VALUE"""),45949.30015086774)</f>
        <v>45949.30015</v>
      </c>
      <c r="J500" s="15">
        <f>IFERROR(__xludf.DUMMYFUNCTION("""COMPUTED_VALUE"""),45949.05368901589)</f>
        <v>45949.05369</v>
      </c>
      <c r="K500" s="15">
        <f>IFERROR(__xludf.DUMMYFUNCTION("""COMPUTED_VALUE"""),45949.259353073845)</f>
        <v>45949.25935</v>
      </c>
      <c r="L500" s="15">
        <f>IFERROR(__xludf.DUMMYFUNCTION("""COMPUTED_VALUE"""),45949.29178732066)</f>
        <v>45949.29179</v>
      </c>
    </row>
    <row r="501">
      <c r="A501" s="1">
        <f>IFERROR(__xludf.DUMMYFUNCTION("""COMPUTED_VALUE"""),500.0)</f>
        <v>500</v>
      </c>
      <c r="B501" s="1">
        <f>IFERROR(__xludf.DUMMYFUNCTION("""COMPUTED_VALUE"""),12079.0)</f>
        <v>12079</v>
      </c>
      <c r="C501" s="13" t="str">
        <f>IFERROR(__xludf.DUMMYFUNCTION("""COMPUTED_VALUE"""),"Hendry J")</f>
        <v>Hendry J</v>
      </c>
      <c r="D501" s="2" t="str">
        <f>IFERROR(__xludf.DUMMYFUNCTION("""COMPUTED_VALUE"""),"10KM MASTER M")</f>
        <v>10KM MASTER M</v>
      </c>
      <c r="E501" s="1">
        <f>IFERROR(__xludf.DUMMYFUNCTION("""COMPUTED_VALUE"""),47.0)</f>
        <v>47</v>
      </c>
      <c r="F501" s="1" t="str">
        <f>IFERROR(__xludf.DUMMYFUNCTION("""COMPUTED_VALUE"""),"Male")</f>
        <v>Male</v>
      </c>
      <c r="G501" s="5">
        <f>IFERROR(__xludf.DUMMYFUNCTION("""COMPUTED_VALUE"""),0.005368902777777778)</f>
        <v>0.005368902778</v>
      </c>
      <c r="H501" s="14">
        <f>IFERROR(__xludf.DUMMYFUNCTION("""COMPUTED_VALUE"""),0.24646185185185185)</f>
        <v>0.2464618519</v>
      </c>
      <c r="I501" s="15">
        <f>IFERROR(__xludf.DUMMYFUNCTION("""COMPUTED_VALUE"""),45949.30015087973)</f>
        <v>45949.30015</v>
      </c>
      <c r="J501" s="15">
        <f>IFERROR(__xludf.DUMMYFUNCTION("""COMPUTED_VALUE"""),45949.05368902788)</f>
        <v>45949.05369</v>
      </c>
      <c r="K501" s="15">
        <f>IFERROR(__xludf.DUMMYFUNCTION("""COMPUTED_VALUE"""),45949.257755858845)</f>
        <v>45949.25776</v>
      </c>
      <c r="L501" s="15">
        <f>IFERROR(__xludf.DUMMYFUNCTION("""COMPUTED_VALUE"""),45949.290846399825)</f>
        <v>45949.29085</v>
      </c>
    </row>
    <row r="502">
      <c r="A502" s="1">
        <f>IFERROR(__xludf.DUMMYFUNCTION("""COMPUTED_VALUE"""),501.0)</f>
        <v>501</v>
      </c>
      <c r="B502" s="1">
        <f>IFERROR(__xludf.DUMMYFUNCTION("""COMPUTED_VALUE"""),10381.0)</f>
        <v>10381</v>
      </c>
      <c r="C502" s="13" t="str">
        <f>IFERROR(__xludf.DUMMYFUNCTION("""COMPUTED_VALUE"""),"Rio Barab")</f>
        <v>Rio Barab</v>
      </c>
      <c r="D502" s="2" t="str">
        <f>IFERROR(__xludf.DUMMYFUNCTION("""COMPUTED_VALUE"""),"10KM OVERALL M")</f>
        <v>10KM OVERALL M</v>
      </c>
      <c r="E502" s="1">
        <f>IFERROR(__xludf.DUMMYFUNCTION("""COMPUTED_VALUE"""),420.0)</f>
        <v>420</v>
      </c>
      <c r="F502" s="1" t="str">
        <f>IFERROR(__xludf.DUMMYFUNCTION("""COMPUTED_VALUE"""),"Male")</f>
        <v>Male</v>
      </c>
      <c r="G502" s="5">
        <f>IFERROR(__xludf.DUMMYFUNCTION("""COMPUTED_VALUE"""),0.0053706377314814814)</f>
        <v>0.005370637731</v>
      </c>
      <c r="H502" s="14">
        <f>IFERROR(__xludf.DUMMYFUNCTION("""COMPUTED_VALUE"""),0.24646185185185185)</f>
        <v>0.2464618519</v>
      </c>
      <c r="I502" s="15">
        <f>IFERROR(__xludf.DUMMYFUNCTION("""COMPUTED_VALUE"""),45949.30016823106)</f>
        <v>45949.30017</v>
      </c>
      <c r="J502" s="15">
        <f>IFERROR(__xludf.DUMMYFUNCTION("""COMPUTED_VALUE"""),45949.05370637921)</f>
        <v>45949.05371</v>
      </c>
      <c r="K502" s="15">
        <f>IFERROR(__xludf.DUMMYFUNCTION("""COMPUTED_VALUE"""),45949.25750933348)</f>
        <v>45949.25751</v>
      </c>
      <c r="L502" s="15">
        <f>IFERROR(__xludf.DUMMYFUNCTION("""COMPUTED_VALUE"""),45949.290243055555)</f>
        <v>45949.29024</v>
      </c>
    </row>
    <row r="503">
      <c r="A503" s="1">
        <f>IFERROR(__xludf.DUMMYFUNCTION("""COMPUTED_VALUE"""),502.0)</f>
        <v>502</v>
      </c>
      <c r="B503" s="1">
        <f>IFERROR(__xludf.DUMMYFUNCTION("""COMPUTED_VALUE"""),10653.0)</f>
        <v>10653</v>
      </c>
      <c r="C503" s="13" t="str">
        <f>IFERROR(__xludf.DUMMYFUNCTION("""COMPUTED_VALUE"""),"Saekawa")</f>
        <v>Saekawa</v>
      </c>
      <c r="D503" s="2" t="str">
        <f>IFERROR(__xludf.DUMMYFUNCTION("""COMPUTED_VALUE"""),"10KM OVERALL M")</f>
        <v>10KM OVERALL M</v>
      </c>
      <c r="E503" s="1">
        <f>IFERROR(__xludf.DUMMYFUNCTION("""COMPUTED_VALUE"""),421.0)</f>
        <v>421</v>
      </c>
      <c r="F503" s="1" t="str">
        <f>IFERROR(__xludf.DUMMYFUNCTION("""COMPUTED_VALUE"""),"Male")</f>
        <v>Male</v>
      </c>
      <c r="G503" s="5">
        <f>IFERROR(__xludf.DUMMYFUNCTION("""COMPUTED_VALUE"""),0.005378971064814815)</f>
        <v>0.005378971065</v>
      </c>
      <c r="H503" s="14">
        <f>IFERROR(__xludf.DUMMYFUNCTION("""COMPUTED_VALUE"""),0.24646185185185185)</f>
        <v>0.2464618519</v>
      </c>
      <c r="I503" s="15">
        <f>IFERROR(__xludf.DUMMYFUNCTION("""COMPUTED_VALUE"""),45949.300251560155)</f>
        <v>45949.30025</v>
      </c>
      <c r="J503" s="15">
        <f>IFERROR(__xludf.DUMMYFUNCTION("""COMPUTED_VALUE"""),45949.053789708305)</f>
        <v>45949.05379</v>
      </c>
      <c r="K503" s="15">
        <f>IFERROR(__xludf.DUMMYFUNCTION("""COMPUTED_VALUE"""),45949.25942254306)</f>
        <v>45949.25942</v>
      </c>
      <c r="L503" s="15">
        <f>IFERROR(__xludf.DUMMYFUNCTION("""COMPUTED_VALUE"""),45949.291138045046)</f>
        <v>45949.29114</v>
      </c>
    </row>
    <row r="504">
      <c r="A504" s="1">
        <f>IFERROR(__xludf.DUMMYFUNCTION("""COMPUTED_VALUE"""),503.0)</f>
        <v>503</v>
      </c>
      <c r="B504" s="1">
        <f>IFERROR(__xludf.DUMMYFUNCTION("""COMPUTED_VALUE"""),10133.0)</f>
        <v>10133</v>
      </c>
      <c r="C504" s="13" t="str">
        <f>IFERROR(__xludf.DUMMYFUNCTION("""COMPUTED_VALUE"""),"FEBGG")</f>
        <v>FEBGG</v>
      </c>
      <c r="D504" s="2" t="str">
        <f>IFERROR(__xludf.DUMMYFUNCTION("""COMPUTED_VALUE"""),"10KM OVERALL M")</f>
        <v>10KM OVERALL M</v>
      </c>
      <c r="E504" s="1">
        <f>IFERROR(__xludf.DUMMYFUNCTION("""COMPUTED_VALUE"""),422.0)</f>
        <v>422</v>
      </c>
      <c r="F504" s="1" t="str">
        <f>IFERROR(__xludf.DUMMYFUNCTION("""COMPUTED_VALUE"""),"Male")</f>
        <v>Male</v>
      </c>
      <c r="G504" s="5">
        <f>IFERROR(__xludf.DUMMYFUNCTION("""COMPUTED_VALUE"""),0.005381401620370371)</f>
        <v>0.00538140162</v>
      </c>
      <c r="H504" s="14">
        <f>IFERROR(__xludf.DUMMYFUNCTION("""COMPUTED_VALUE"""),0.24646185185185185)</f>
        <v>0.2464618519</v>
      </c>
      <c r="I504" s="15">
        <f>IFERROR(__xludf.DUMMYFUNCTION("""COMPUTED_VALUE"""),45949.30027586898)</f>
        <v>45949.30028</v>
      </c>
      <c r="J504" s="15">
        <f>IFERROR(__xludf.DUMMYFUNCTION("""COMPUTED_VALUE"""),45949.053814017134)</f>
        <v>45949.05381</v>
      </c>
      <c r="K504" s="15">
        <f>IFERROR(__xludf.DUMMYFUNCTION("""COMPUTED_VALUE"""),45949.25851332221)</f>
        <v>45949.25851</v>
      </c>
      <c r="L504" s="15">
        <f>IFERROR(__xludf.DUMMYFUNCTION("""COMPUTED_VALUE"""),45949.2911345476)</f>
        <v>45949.29113</v>
      </c>
    </row>
    <row r="505">
      <c r="A505" s="1">
        <f>IFERROR(__xludf.DUMMYFUNCTION("""COMPUTED_VALUE"""),504.0)</f>
        <v>504</v>
      </c>
      <c r="B505" s="1">
        <f>IFERROR(__xludf.DUMMYFUNCTION("""COMPUTED_VALUE"""),10233.0)</f>
        <v>10233</v>
      </c>
      <c r="C505" s="13" t="str">
        <f>IFERROR(__xludf.DUMMYFUNCTION("""COMPUTED_VALUE"""),"Pur Wa Zhi")</f>
        <v>Pur Wa Zhi</v>
      </c>
      <c r="D505" s="2" t="str">
        <f>IFERROR(__xludf.DUMMYFUNCTION("""COMPUTED_VALUE"""),"10KM OVERALL M")</f>
        <v>10KM OVERALL M</v>
      </c>
      <c r="E505" s="1">
        <f>IFERROR(__xludf.DUMMYFUNCTION("""COMPUTED_VALUE"""),423.0)</f>
        <v>423</v>
      </c>
      <c r="F505" s="1" t="str">
        <f>IFERROR(__xludf.DUMMYFUNCTION("""COMPUTED_VALUE"""),"Male")</f>
        <v>Male</v>
      </c>
      <c r="G505" s="5">
        <f>IFERROR(__xludf.DUMMYFUNCTION("""COMPUTED_VALUE"""),0.005398763888888889)</f>
        <v>0.005398763889</v>
      </c>
      <c r="H505" s="14">
        <f>IFERROR(__xludf.DUMMYFUNCTION("""COMPUTED_VALUE"""),0.24646185185185185)</f>
        <v>0.2464618519</v>
      </c>
      <c r="I505" s="15">
        <f>IFERROR(__xludf.DUMMYFUNCTION("""COMPUTED_VALUE"""),45949.30044949171)</f>
        <v>45949.30045</v>
      </c>
      <c r="J505" s="15">
        <f>IFERROR(__xludf.DUMMYFUNCTION("""COMPUTED_VALUE"""),45949.05398763986)</f>
        <v>45949.05399</v>
      </c>
      <c r="K505" s="15">
        <f>IFERROR(__xludf.DUMMYFUNCTION("""COMPUTED_VALUE"""),45949.258332323254)</f>
        <v>45949.25833</v>
      </c>
      <c r="L505" s="15">
        <f>IFERROR(__xludf.DUMMYFUNCTION("""COMPUTED_VALUE"""),45949.29118319819)</f>
        <v>45949.29118</v>
      </c>
    </row>
    <row r="506">
      <c r="A506" s="1">
        <f>IFERROR(__xludf.DUMMYFUNCTION("""COMPUTED_VALUE"""),505.0)</f>
        <v>505</v>
      </c>
      <c r="B506" s="1">
        <f>IFERROR(__xludf.DUMMYFUNCTION("""COMPUTED_VALUE"""),10173.0)</f>
        <v>10173</v>
      </c>
      <c r="C506" s="13" t="str">
        <f>IFERROR(__xludf.DUMMYFUNCTION("""COMPUTED_VALUE"""),"Dika Fahrianor Syafi'e")</f>
        <v>Dika Fahrianor Syafi'e</v>
      </c>
      <c r="D506" s="2" t="str">
        <f>IFERROR(__xludf.DUMMYFUNCTION("""COMPUTED_VALUE"""),"10KM OVERALL M")</f>
        <v>10KM OVERALL M</v>
      </c>
      <c r="E506" s="1">
        <f>IFERROR(__xludf.DUMMYFUNCTION("""COMPUTED_VALUE"""),424.0)</f>
        <v>424</v>
      </c>
      <c r="F506" s="1" t="str">
        <f>IFERROR(__xludf.DUMMYFUNCTION("""COMPUTED_VALUE"""),"Male")</f>
        <v>Male</v>
      </c>
      <c r="G506" s="5">
        <f>IFERROR(__xludf.DUMMYFUNCTION("""COMPUTED_VALUE"""),0.005399453703703703)</f>
        <v>0.005399453704</v>
      </c>
      <c r="H506" s="14">
        <f>IFERROR(__xludf.DUMMYFUNCTION("""COMPUTED_VALUE"""),0.24646185185185185)</f>
        <v>0.2464618519</v>
      </c>
      <c r="I506" s="15">
        <f>IFERROR(__xludf.DUMMYFUNCTION("""COMPUTED_VALUE"""),45949.3004563846)</f>
        <v>45949.30046</v>
      </c>
      <c r="J506" s="15">
        <f>IFERROR(__xludf.DUMMYFUNCTION("""COMPUTED_VALUE"""),45949.05399453275)</f>
        <v>45949.05399</v>
      </c>
      <c r="K506" s="15">
        <f>IFERROR(__xludf.DUMMYFUNCTION("""COMPUTED_VALUE"""),45949.25938779462)</f>
        <v>45949.25939</v>
      </c>
      <c r="L506" s="15">
        <f>IFERROR(__xludf.DUMMYFUNCTION("""COMPUTED_VALUE"""),45949.29181519352)</f>
        <v>45949.29182</v>
      </c>
    </row>
    <row r="507">
      <c r="A507" s="1">
        <f>IFERROR(__xludf.DUMMYFUNCTION("""COMPUTED_VALUE"""),506.0)</f>
        <v>506</v>
      </c>
      <c r="B507" s="1">
        <f>IFERROR(__xludf.DUMMYFUNCTION("""COMPUTED_VALUE"""),10134.0)</f>
        <v>10134</v>
      </c>
      <c r="C507" s="13" t="str">
        <f>IFERROR(__xludf.DUMMYFUNCTION("""COMPUTED_VALUE"""),"Nasirinnn")</f>
        <v>Nasirinnn</v>
      </c>
      <c r="D507" s="2" t="str">
        <f>IFERROR(__xludf.DUMMYFUNCTION("""COMPUTED_VALUE"""),"10KM OVERALL M")</f>
        <v>10KM OVERALL M</v>
      </c>
      <c r="E507" s="1">
        <f>IFERROR(__xludf.DUMMYFUNCTION("""COMPUTED_VALUE"""),425.0)</f>
        <v>425</v>
      </c>
      <c r="F507" s="1" t="str">
        <f>IFERROR(__xludf.DUMMYFUNCTION("""COMPUTED_VALUE"""),"Male")</f>
        <v>Male</v>
      </c>
      <c r="G507" s="5">
        <f>IFERROR(__xludf.DUMMYFUNCTION("""COMPUTED_VALUE"""),0.005399453703703703)</f>
        <v>0.005399453704</v>
      </c>
      <c r="H507" s="14">
        <f>IFERROR(__xludf.DUMMYFUNCTION("""COMPUTED_VALUE"""),0.24646185185185185)</f>
        <v>0.2464618519</v>
      </c>
      <c r="I507" s="15">
        <f>IFERROR(__xludf.DUMMYFUNCTION("""COMPUTED_VALUE"""),45949.3004563846)</f>
        <v>45949.30046</v>
      </c>
      <c r="J507" s="15">
        <f>IFERROR(__xludf.DUMMYFUNCTION("""COMPUTED_VALUE"""),45949.05399453275)</f>
        <v>45949.05399</v>
      </c>
      <c r="K507" s="15" t="str">
        <f>IFERROR(__xludf.DUMMYFUNCTION("""COMPUTED_VALUE"""),"")</f>
        <v/>
      </c>
      <c r="L507" s="15">
        <f>IFERROR(__xludf.DUMMYFUNCTION("""COMPUTED_VALUE"""),45949.29183948987)</f>
        <v>45949.29184</v>
      </c>
    </row>
    <row r="508">
      <c r="A508" s="1">
        <f>IFERROR(__xludf.DUMMYFUNCTION("""COMPUTED_VALUE"""),507.0)</f>
        <v>507</v>
      </c>
      <c r="B508" s="1">
        <f>IFERROR(__xludf.DUMMYFUNCTION("""COMPUTED_VALUE"""),12066.0)</f>
        <v>12066</v>
      </c>
      <c r="C508" s="13" t="str">
        <f>IFERROR(__xludf.DUMMYFUNCTION("""COMPUTED_VALUE"""),"I A M")</f>
        <v>I A M</v>
      </c>
      <c r="D508" s="2" t="str">
        <f>IFERROR(__xludf.DUMMYFUNCTION("""COMPUTED_VALUE"""),"10KM MASTER M")</f>
        <v>10KM MASTER M</v>
      </c>
      <c r="E508" s="1">
        <f>IFERROR(__xludf.DUMMYFUNCTION("""COMPUTED_VALUE"""),48.0)</f>
        <v>48</v>
      </c>
      <c r="F508" s="1" t="str">
        <f>IFERROR(__xludf.DUMMYFUNCTION("""COMPUTED_VALUE"""),"Male")</f>
        <v>Male</v>
      </c>
      <c r="G508" s="5">
        <f>IFERROR(__xludf.DUMMYFUNCTION("""COMPUTED_VALUE"""),0.0054029699074074075)</f>
        <v>0.005402969907</v>
      </c>
      <c r="H508" s="14">
        <f>IFERROR(__xludf.DUMMYFUNCTION("""COMPUTED_VALUE"""),0.24646185185185185)</f>
        <v>0.2464618519</v>
      </c>
      <c r="I508" s="15">
        <f>IFERROR(__xludf.DUMMYFUNCTION("""COMPUTED_VALUE"""),45949.300491547096)</f>
        <v>45949.30049</v>
      </c>
      <c r="J508" s="15">
        <f>IFERROR(__xludf.DUMMYFUNCTION("""COMPUTED_VALUE"""),45949.054029695246)</f>
        <v>45949.05403</v>
      </c>
      <c r="K508" s="15">
        <f>IFERROR(__xludf.DUMMYFUNCTION("""COMPUTED_VALUE"""),45949.259596359356)</f>
        <v>45949.2596</v>
      </c>
      <c r="L508" s="15">
        <f>IFERROR(__xludf.DUMMYFUNCTION("""COMPUTED_VALUE"""),45949.29147829793)</f>
        <v>45949.29148</v>
      </c>
    </row>
    <row r="509">
      <c r="A509" s="1">
        <f>IFERROR(__xludf.DUMMYFUNCTION("""COMPUTED_VALUE"""),508.0)</f>
        <v>508</v>
      </c>
      <c r="B509" s="1">
        <f>IFERROR(__xludf.DUMMYFUNCTION("""COMPUTED_VALUE"""),10357.0)</f>
        <v>10357</v>
      </c>
      <c r="C509" s="13" t="str">
        <f>IFERROR(__xludf.DUMMYFUNCTION("""COMPUTED_VALUE"""),"Mr. Joe")</f>
        <v>Mr. Joe</v>
      </c>
      <c r="D509" s="2" t="str">
        <f>IFERROR(__xludf.DUMMYFUNCTION("""COMPUTED_VALUE"""),"10KM OVERALL M")</f>
        <v>10KM OVERALL M</v>
      </c>
      <c r="E509" s="1">
        <f>IFERROR(__xludf.DUMMYFUNCTION("""COMPUTED_VALUE"""),426.0)</f>
        <v>426</v>
      </c>
      <c r="F509" s="1" t="str">
        <f>IFERROR(__xludf.DUMMYFUNCTION("""COMPUTED_VALUE"""),"Male")</f>
        <v>Male</v>
      </c>
      <c r="G509" s="5">
        <f>IFERROR(__xludf.DUMMYFUNCTION("""COMPUTED_VALUE"""),0.0054060486111111115)</f>
        <v>0.005406048611</v>
      </c>
      <c r="H509" s="14">
        <f>IFERROR(__xludf.DUMMYFUNCTION("""COMPUTED_VALUE"""),0.24646185185185185)</f>
        <v>0.2464618519</v>
      </c>
      <c r="I509" s="15">
        <f>IFERROR(__xludf.DUMMYFUNCTION("""COMPUTED_VALUE"""),45949.300522340665)</f>
        <v>45949.30052</v>
      </c>
      <c r="J509" s="15">
        <f>IFERROR(__xludf.DUMMYFUNCTION("""COMPUTED_VALUE"""),45949.054060488816)</f>
        <v>45949.05406</v>
      </c>
      <c r="K509" s="15">
        <f>IFERROR(__xludf.DUMMYFUNCTION("""COMPUTED_VALUE"""),45949.25780107394)</f>
        <v>45949.2578</v>
      </c>
      <c r="L509" s="15">
        <f>IFERROR(__xludf.DUMMYFUNCTION("""COMPUTED_VALUE"""),45949.29130477466)</f>
        <v>45949.2913</v>
      </c>
    </row>
    <row r="510">
      <c r="A510" s="1">
        <f>IFERROR(__xludf.DUMMYFUNCTION("""COMPUTED_VALUE"""),509.0)</f>
        <v>509</v>
      </c>
      <c r="B510" s="1">
        <f>IFERROR(__xludf.DUMMYFUNCTION("""COMPUTED_VALUE"""),10244.0)</f>
        <v>10244</v>
      </c>
      <c r="C510" s="13" t="str">
        <f>IFERROR(__xludf.DUMMYFUNCTION("""COMPUTED_VALUE"""),"YUSRIL")</f>
        <v>YUSRIL</v>
      </c>
      <c r="D510" s="2" t="str">
        <f>IFERROR(__xludf.DUMMYFUNCTION("""COMPUTED_VALUE"""),"10KM OVERALL M")</f>
        <v>10KM OVERALL M</v>
      </c>
      <c r="E510" s="1">
        <f>IFERROR(__xludf.DUMMYFUNCTION("""COMPUTED_VALUE"""),427.0)</f>
        <v>427</v>
      </c>
      <c r="F510" s="1" t="str">
        <f>IFERROR(__xludf.DUMMYFUNCTION("""COMPUTED_VALUE"""),"Male")</f>
        <v>Male</v>
      </c>
      <c r="G510" s="5">
        <f>IFERROR(__xludf.DUMMYFUNCTION("""COMPUTED_VALUE"""),0.005409527777777779)</f>
        <v>0.005409527778</v>
      </c>
      <c r="H510" s="14">
        <f>IFERROR(__xludf.DUMMYFUNCTION("""COMPUTED_VALUE"""),0.24646185185185185)</f>
        <v>0.2464618519</v>
      </c>
      <c r="I510" s="15">
        <f>IFERROR(__xludf.DUMMYFUNCTION("""COMPUTED_VALUE"""),45949.30055712811)</f>
        <v>45949.30056</v>
      </c>
      <c r="J510" s="15">
        <f>IFERROR(__xludf.DUMMYFUNCTION("""COMPUTED_VALUE"""),45949.05409527626)</f>
        <v>45949.0541</v>
      </c>
      <c r="K510" s="15">
        <f>IFERROR(__xludf.DUMMYFUNCTION("""COMPUTED_VALUE"""),45949.25956488341)</f>
        <v>45949.25956</v>
      </c>
      <c r="L510" s="15">
        <f>IFERROR(__xludf.DUMMYFUNCTION("""COMPUTED_VALUE"""),45949.291575557705)</f>
        <v>45949.29158</v>
      </c>
    </row>
    <row r="511">
      <c r="A511" s="1">
        <f>IFERROR(__xludf.DUMMYFUNCTION("""COMPUTED_VALUE"""),510.0)</f>
        <v>510</v>
      </c>
      <c r="B511" s="1">
        <f>IFERROR(__xludf.DUMMYFUNCTION("""COMPUTED_VALUE"""),10306.0)</f>
        <v>10306</v>
      </c>
      <c r="C511" s="13" t="str">
        <f>IFERROR(__xludf.DUMMYFUNCTION("""COMPUTED_VALUE"""),"Fahh")</f>
        <v>Fahh</v>
      </c>
      <c r="D511" s="2" t="str">
        <f>IFERROR(__xludf.DUMMYFUNCTION("""COMPUTED_VALUE"""),"10KM OVERALL M")</f>
        <v>10KM OVERALL M</v>
      </c>
      <c r="E511" s="1">
        <f>IFERROR(__xludf.DUMMYFUNCTION("""COMPUTED_VALUE"""),428.0)</f>
        <v>428</v>
      </c>
      <c r="F511" s="1" t="str">
        <f>IFERROR(__xludf.DUMMYFUNCTION("""COMPUTED_VALUE"""),"Male")</f>
        <v>Male</v>
      </c>
      <c r="G511" s="5">
        <f>IFERROR(__xludf.DUMMYFUNCTION("""COMPUTED_VALUE"""),0.005411609953703704)</f>
        <v>0.005411609954</v>
      </c>
      <c r="H511" s="14">
        <f>IFERROR(__xludf.DUMMYFUNCTION("""COMPUTED_VALUE"""),0.24646185185185185)</f>
        <v>0.2464618519</v>
      </c>
      <c r="I511" s="15">
        <f>IFERROR(__xludf.DUMMYFUNCTION("""COMPUTED_VALUE"""),45949.300577948095)</f>
        <v>45949.30058</v>
      </c>
      <c r="J511" s="15">
        <f>IFERROR(__xludf.DUMMYFUNCTION("""COMPUTED_VALUE"""),45949.054116096246)</f>
        <v>45949.05412</v>
      </c>
      <c r="K511" s="15">
        <f>IFERROR(__xludf.DUMMYFUNCTION("""COMPUTED_VALUE"""),45949.26834619023)</f>
        <v>45949.26835</v>
      </c>
      <c r="L511" s="15">
        <f>IFERROR(__xludf.DUMMYFUNCTION("""COMPUTED_VALUE"""),45949.29333986734)</f>
        <v>45949.29334</v>
      </c>
    </row>
    <row r="512">
      <c r="A512" s="1">
        <f>IFERROR(__xludf.DUMMYFUNCTION("""COMPUTED_VALUE"""),511.0)</f>
        <v>511</v>
      </c>
      <c r="B512" s="1">
        <f>IFERROR(__xludf.DUMMYFUNCTION("""COMPUTED_VALUE"""),10157.0)</f>
        <v>10157</v>
      </c>
      <c r="C512" s="13" t="str">
        <f>IFERROR(__xludf.DUMMYFUNCTION("""COMPUTED_VALUE"""),"SEG4RA")</f>
        <v>SEG4RA</v>
      </c>
      <c r="D512" s="2" t="str">
        <f>IFERROR(__xludf.DUMMYFUNCTION("""COMPUTED_VALUE"""),"10KM OVERALL M")</f>
        <v>10KM OVERALL M</v>
      </c>
      <c r="E512" s="1">
        <f>IFERROR(__xludf.DUMMYFUNCTION("""COMPUTED_VALUE"""),429.0)</f>
        <v>429</v>
      </c>
      <c r="F512" s="1" t="str">
        <f>IFERROR(__xludf.DUMMYFUNCTION("""COMPUTED_VALUE"""),"Male")</f>
        <v>Male</v>
      </c>
      <c r="G512" s="5">
        <f>IFERROR(__xludf.DUMMYFUNCTION("""COMPUTED_VALUE"""),0.005414040509259259)</f>
        <v>0.005414040509</v>
      </c>
      <c r="H512" s="14">
        <f>IFERROR(__xludf.DUMMYFUNCTION("""COMPUTED_VALUE"""),0.24646185185185185)</f>
        <v>0.2464618519</v>
      </c>
      <c r="I512" s="15">
        <f>IFERROR(__xludf.DUMMYFUNCTION("""COMPUTED_VALUE"""),45949.30060225905)</f>
        <v>45949.3006</v>
      </c>
      <c r="J512" s="15">
        <f>IFERROR(__xludf.DUMMYFUNCTION("""COMPUTED_VALUE"""),45949.0541404072)</f>
        <v>45949.05414</v>
      </c>
      <c r="K512" s="15">
        <f>IFERROR(__xludf.DUMMYFUNCTION("""COMPUTED_VALUE"""),45949.25889536219)</f>
        <v>45949.2589</v>
      </c>
      <c r="L512" s="15">
        <f>IFERROR(__xludf.DUMMYFUNCTION("""COMPUTED_VALUE"""),45949.291697036475)</f>
        <v>45949.2917</v>
      </c>
    </row>
    <row r="513">
      <c r="A513" s="1">
        <f>IFERROR(__xludf.DUMMYFUNCTION("""COMPUTED_VALUE"""),512.0)</f>
        <v>512</v>
      </c>
      <c r="B513" s="1">
        <f>IFERROR(__xludf.DUMMYFUNCTION("""COMPUTED_VALUE"""),10265.0)</f>
        <v>10265</v>
      </c>
      <c r="C513" s="13" t="str">
        <f>IFERROR(__xludf.DUMMYFUNCTION("""COMPUTED_VALUE"""),"TopanS")</f>
        <v>TopanS</v>
      </c>
      <c r="D513" s="2" t="str">
        <f>IFERROR(__xludf.DUMMYFUNCTION("""COMPUTED_VALUE"""),"10KM OVERALL M")</f>
        <v>10KM OVERALL M</v>
      </c>
      <c r="E513" s="1">
        <f>IFERROR(__xludf.DUMMYFUNCTION("""COMPUTED_VALUE"""),430.0)</f>
        <v>430</v>
      </c>
      <c r="F513" s="1" t="str">
        <f>IFERROR(__xludf.DUMMYFUNCTION("""COMPUTED_VALUE"""),"Male")</f>
        <v>Male</v>
      </c>
      <c r="G513" s="5">
        <f>IFERROR(__xludf.DUMMYFUNCTION("""COMPUTED_VALUE"""),0.005414387731481481)</f>
        <v>0.005414387731</v>
      </c>
      <c r="H513" s="14">
        <f>IFERROR(__xludf.DUMMYFUNCTION("""COMPUTED_VALUE"""),0.24646185185185185)</f>
        <v>0.2464618519</v>
      </c>
      <c r="I513" s="15">
        <f>IFERROR(__xludf.DUMMYFUNCTION("""COMPUTED_VALUE"""),45949.300605726945)</f>
        <v>45949.30061</v>
      </c>
      <c r="J513" s="15">
        <f>IFERROR(__xludf.DUMMYFUNCTION("""COMPUTED_VALUE"""),45949.054143875095)</f>
        <v>45949.05414</v>
      </c>
      <c r="K513" s="15">
        <f>IFERROR(__xludf.DUMMYFUNCTION("""COMPUTED_VALUE"""),45949.25731488186)</f>
        <v>45949.25731</v>
      </c>
      <c r="L513" s="15">
        <f>IFERROR(__xludf.DUMMYFUNCTION("""COMPUTED_VALUE"""),45949.290818598536)</f>
        <v>45949.29082</v>
      </c>
    </row>
    <row r="514">
      <c r="A514" s="1">
        <f>IFERROR(__xludf.DUMMYFUNCTION("""COMPUTED_VALUE"""),513.0)</f>
        <v>513</v>
      </c>
      <c r="B514" s="1">
        <f>IFERROR(__xludf.DUMMYFUNCTION("""COMPUTED_VALUE"""),10219.0)</f>
        <v>10219</v>
      </c>
      <c r="C514" s="13" t="str">
        <f>IFERROR(__xludf.DUMMYFUNCTION("""COMPUTED_VALUE"""),"MEKKA")</f>
        <v>MEKKA</v>
      </c>
      <c r="D514" s="2" t="str">
        <f>IFERROR(__xludf.DUMMYFUNCTION("""COMPUTED_VALUE"""),"10KM OVERALL M")</f>
        <v>10KM OVERALL M</v>
      </c>
      <c r="E514" s="1">
        <f>IFERROR(__xludf.DUMMYFUNCTION("""COMPUTED_VALUE"""),431.0)</f>
        <v>431</v>
      </c>
      <c r="F514" s="1" t="str">
        <f>IFERROR(__xludf.DUMMYFUNCTION("""COMPUTED_VALUE"""),"Male")</f>
        <v>Male</v>
      </c>
      <c r="G514" s="5">
        <f>IFERROR(__xludf.DUMMYFUNCTION("""COMPUTED_VALUE"""),0.005415777777777778)</f>
        <v>0.005415777778</v>
      </c>
      <c r="H514" s="14">
        <f>IFERROR(__xludf.DUMMYFUNCTION("""COMPUTED_VALUE"""),0.24646185185185185)</f>
        <v>0.2464618519</v>
      </c>
      <c r="I514" s="15">
        <f>IFERROR(__xludf.DUMMYFUNCTION("""COMPUTED_VALUE"""),45949.30061962585)</f>
        <v>45949.30062</v>
      </c>
      <c r="J514" s="15">
        <f>IFERROR(__xludf.DUMMYFUNCTION("""COMPUTED_VALUE"""),45949.054157774)</f>
        <v>45949.05416</v>
      </c>
      <c r="K514" s="15">
        <f>IFERROR(__xludf.DUMMYFUNCTION("""COMPUTED_VALUE"""),45949.26178369051)</f>
        <v>45949.26178</v>
      </c>
      <c r="L514" s="15">
        <f>IFERROR(__xludf.DUMMYFUNCTION("""COMPUTED_VALUE"""),45949.29008101852)</f>
        <v>45949.29008</v>
      </c>
    </row>
    <row r="515">
      <c r="A515" s="1">
        <f>IFERROR(__xludf.DUMMYFUNCTION("""COMPUTED_VALUE"""),514.0)</f>
        <v>514</v>
      </c>
      <c r="B515" s="1">
        <f>IFERROR(__xludf.DUMMYFUNCTION("""COMPUTED_VALUE"""),10342.0)</f>
        <v>10342</v>
      </c>
      <c r="C515" s="13" t="str">
        <f>IFERROR(__xludf.DUMMYFUNCTION("""COMPUTED_VALUE"""),"Huda GS")</f>
        <v>Huda GS</v>
      </c>
      <c r="D515" s="2" t="str">
        <f>IFERROR(__xludf.DUMMYFUNCTION("""COMPUTED_VALUE"""),"10KM OVERALL M")</f>
        <v>10KM OVERALL M</v>
      </c>
      <c r="E515" s="1">
        <f>IFERROR(__xludf.DUMMYFUNCTION("""COMPUTED_VALUE"""),432.0)</f>
        <v>432</v>
      </c>
      <c r="F515" s="1" t="str">
        <f>IFERROR(__xludf.DUMMYFUNCTION("""COMPUTED_VALUE"""),"Male")</f>
        <v>Male</v>
      </c>
      <c r="G515" s="5">
        <f>IFERROR(__xludf.DUMMYFUNCTION("""COMPUTED_VALUE"""),0.005416125)</f>
        <v>0.005416125</v>
      </c>
      <c r="H515" s="14">
        <f>IFERROR(__xludf.DUMMYFUNCTION("""COMPUTED_VALUE"""),0.24646185185185185)</f>
        <v>0.2464618519</v>
      </c>
      <c r="I515" s="15">
        <f>IFERROR(__xludf.DUMMYFUNCTION("""COMPUTED_VALUE"""),45949.300623098956)</f>
        <v>45949.30062</v>
      </c>
      <c r="J515" s="15">
        <f>IFERROR(__xludf.DUMMYFUNCTION("""COMPUTED_VALUE"""),45949.054161247106)</f>
        <v>45949.05416</v>
      </c>
      <c r="K515" s="15">
        <f>IFERROR(__xludf.DUMMYFUNCTION("""COMPUTED_VALUE"""),45949.25802670251)</f>
        <v>45949.25803</v>
      </c>
      <c r="L515" s="15">
        <f>IFERROR(__xludf.DUMMYFUNCTION("""COMPUTED_VALUE"""),45949.290451388886)</f>
        <v>45949.29045</v>
      </c>
    </row>
    <row r="516">
      <c r="A516" s="1">
        <f>IFERROR(__xludf.DUMMYFUNCTION("""COMPUTED_VALUE"""),515.0)</f>
        <v>515</v>
      </c>
      <c r="B516" s="1">
        <f>IFERROR(__xludf.DUMMYFUNCTION("""COMPUTED_VALUE"""),10194.0)</f>
        <v>10194</v>
      </c>
      <c r="C516" s="13" t="str">
        <f>IFERROR(__xludf.DUMMYFUNCTION("""COMPUTED_VALUE"""),"Rainer Oner")</f>
        <v>Rainer Oner</v>
      </c>
      <c r="D516" s="2" t="str">
        <f>IFERROR(__xludf.DUMMYFUNCTION("""COMPUTED_VALUE"""),"10KM OVERALL M")</f>
        <v>10KM OVERALL M</v>
      </c>
      <c r="E516" s="1">
        <f>IFERROR(__xludf.DUMMYFUNCTION("""COMPUTED_VALUE"""),433.0)</f>
        <v>433</v>
      </c>
      <c r="F516" s="1" t="str">
        <f>IFERROR(__xludf.DUMMYFUNCTION("""COMPUTED_VALUE"""),"Male")</f>
        <v>Male</v>
      </c>
      <c r="G516" s="5">
        <f>IFERROR(__xludf.DUMMYFUNCTION("""COMPUTED_VALUE"""),0.005418554398148148)</f>
        <v>0.005418554398</v>
      </c>
      <c r="H516" s="14">
        <f>IFERROR(__xludf.DUMMYFUNCTION("""COMPUTED_VALUE"""),0.24646185185185185)</f>
        <v>0.2464618519</v>
      </c>
      <c r="I516" s="15">
        <f>IFERROR(__xludf.DUMMYFUNCTION("""COMPUTED_VALUE"""),45949.30064739543)</f>
        <v>45949.30065</v>
      </c>
      <c r="J516" s="15">
        <f>IFERROR(__xludf.DUMMYFUNCTION("""COMPUTED_VALUE"""),45949.05418554358)</f>
        <v>45949.05419</v>
      </c>
      <c r="K516" s="15">
        <f>IFERROR(__xludf.DUMMYFUNCTION("""COMPUTED_VALUE"""),45949.25951629285)</f>
        <v>45949.25952</v>
      </c>
      <c r="L516" s="15">
        <f>IFERROR(__xludf.DUMMYFUNCTION("""COMPUTED_VALUE"""),45949.29180477464)</f>
        <v>45949.2918</v>
      </c>
    </row>
    <row r="517">
      <c r="A517" s="1">
        <f>IFERROR(__xludf.DUMMYFUNCTION("""COMPUTED_VALUE"""),516.0)</f>
        <v>516</v>
      </c>
      <c r="B517" s="1">
        <f>IFERROR(__xludf.DUMMYFUNCTION("""COMPUTED_VALUE"""),10166.0)</f>
        <v>10166</v>
      </c>
      <c r="C517" s="13" t="str">
        <f>IFERROR(__xludf.DUMMYFUNCTION("""COMPUTED_VALUE"""),"Tiyas Sudjarwan")</f>
        <v>Tiyas Sudjarwan</v>
      </c>
      <c r="D517" s="2" t="str">
        <f>IFERROR(__xludf.DUMMYFUNCTION("""COMPUTED_VALUE"""),"10KM OVERALL M")</f>
        <v>10KM OVERALL M</v>
      </c>
      <c r="E517" s="1">
        <f>IFERROR(__xludf.DUMMYFUNCTION("""COMPUTED_VALUE"""),434.0)</f>
        <v>434</v>
      </c>
      <c r="F517" s="1" t="str">
        <f>IFERROR(__xludf.DUMMYFUNCTION("""COMPUTED_VALUE"""),"Male")</f>
        <v>Male</v>
      </c>
      <c r="G517" s="5">
        <f>IFERROR(__xludf.DUMMYFUNCTION("""COMPUTED_VALUE"""),0.005418555555555555)</f>
        <v>0.005418555556</v>
      </c>
      <c r="H517" s="14">
        <f>IFERROR(__xludf.DUMMYFUNCTION("""COMPUTED_VALUE"""),0.24646185185185185)</f>
        <v>0.2464618519</v>
      </c>
      <c r="I517" s="15">
        <f>IFERROR(__xludf.DUMMYFUNCTION("""COMPUTED_VALUE"""),45949.300647410826)</f>
        <v>45949.30065</v>
      </c>
      <c r="J517" s="15">
        <f>IFERROR(__xludf.DUMMYFUNCTION("""COMPUTED_VALUE"""),45949.054185558976)</f>
        <v>45949.05419</v>
      </c>
      <c r="K517" s="15">
        <f>IFERROR(__xludf.DUMMYFUNCTION("""COMPUTED_VALUE"""),45949.25924198562)</f>
        <v>45949.25924</v>
      </c>
      <c r="L517" s="15">
        <f>IFERROR(__xludf.DUMMYFUNCTION("""COMPUTED_VALUE"""),45949.29055134294)</f>
        <v>45949.29055</v>
      </c>
    </row>
    <row r="518">
      <c r="A518" s="1">
        <f>IFERROR(__xludf.DUMMYFUNCTION("""COMPUTED_VALUE"""),517.0)</f>
        <v>517</v>
      </c>
      <c r="B518" s="1">
        <f>IFERROR(__xludf.DUMMYFUNCTION("""COMPUTED_VALUE"""),10481.0)</f>
        <v>10481</v>
      </c>
      <c r="C518" s="13" t="str">
        <f>IFERROR(__xludf.DUMMYFUNCTION("""COMPUTED_VALUE"""),"AINUN NAJIB")</f>
        <v>AINUN NAJIB</v>
      </c>
      <c r="D518" s="2" t="str">
        <f>IFERROR(__xludf.DUMMYFUNCTION("""COMPUTED_VALUE"""),"10KM OVERALL M")</f>
        <v>10KM OVERALL M</v>
      </c>
      <c r="E518" s="1">
        <f>IFERROR(__xludf.DUMMYFUNCTION("""COMPUTED_VALUE"""),435.0)</f>
        <v>435</v>
      </c>
      <c r="F518" s="1" t="str">
        <f>IFERROR(__xludf.DUMMYFUNCTION("""COMPUTED_VALUE"""),"Male")</f>
        <v>Male</v>
      </c>
      <c r="G518" s="5">
        <f>IFERROR(__xludf.DUMMYFUNCTION("""COMPUTED_VALUE"""),0.005420290509259259)</f>
        <v>0.005420290509</v>
      </c>
      <c r="H518" s="14">
        <f>IFERROR(__xludf.DUMMYFUNCTION("""COMPUTED_VALUE"""),0.24646185185185185)</f>
        <v>0.2464618519</v>
      </c>
      <c r="I518" s="15">
        <f>IFERROR(__xludf.DUMMYFUNCTION("""COMPUTED_VALUE"""),45949.30066475846)</f>
        <v>45949.30066</v>
      </c>
      <c r="J518" s="15">
        <f>IFERROR(__xludf.DUMMYFUNCTION("""COMPUTED_VALUE"""),45949.05420290661)</f>
        <v>45949.0542</v>
      </c>
      <c r="K518" s="15">
        <f>IFERROR(__xludf.DUMMYFUNCTION("""COMPUTED_VALUE"""),45949.258287097924)</f>
        <v>45949.25829</v>
      </c>
      <c r="L518" s="15">
        <f>IFERROR(__xludf.DUMMYFUNCTION("""COMPUTED_VALUE"""),45949.291405370874)</f>
        <v>45949.29141</v>
      </c>
    </row>
    <row r="519">
      <c r="A519" s="1">
        <f>IFERROR(__xludf.DUMMYFUNCTION("""COMPUTED_VALUE"""),518.0)</f>
        <v>518</v>
      </c>
      <c r="B519" s="1">
        <f>IFERROR(__xludf.DUMMYFUNCTION("""COMPUTED_VALUE"""),10466.0)</f>
        <v>10466</v>
      </c>
      <c r="C519" s="13" t="str">
        <f>IFERROR(__xludf.DUMMYFUNCTION("""COMPUTED_VALUE"""),"Alfian Bolt")</f>
        <v>Alfian Bolt</v>
      </c>
      <c r="D519" s="2" t="str">
        <f>IFERROR(__xludf.DUMMYFUNCTION("""COMPUTED_VALUE"""),"10KM OVERALL M")</f>
        <v>10KM OVERALL M</v>
      </c>
      <c r="E519" s="1">
        <f>IFERROR(__xludf.DUMMYFUNCTION("""COMPUTED_VALUE"""),436.0)</f>
        <v>436</v>
      </c>
      <c r="F519" s="1" t="str">
        <f>IFERROR(__xludf.DUMMYFUNCTION("""COMPUTED_VALUE"""),"Male")</f>
        <v>Male</v>
      </c>
      <c r="G519" s="5">
        <f>IFERROR(__xludf.DUMMYFUNCTION("""COMPUTED_VALUE"""),0.005420633101851852)</f>
        <v>0.005420633102</v>
      </c>
      <c r="H519" s="14">
        <f>IFERROR(__xludf.DUMMYFUNCTION("""COMPUTED_VALUE"""),0.24646185185185185)</f>
        <v>0.2464618519</v>
      </c>
      <c r="I519" s="15">
        <f>IFERROR(__xludf.DUMMYFUNCTION("""COMPUTED_VALUE"""),45949.300668179334)</f>
        <v>45949.30067</v>
      </c>
      <c r="J519" s="15">
        <f>IFERROR(__xludf.DUMMYFUNCTION("""COMPUTED_VALUE"""),45949.054206327484)</f>
        <v>45949.05421</v>
      </c>
      <c r="K519" s="15">
        <f>IFERROR(__xludf.DUMMYFUNCTION("""COMPUTED_VALUE"""),45949.257478143)</f>
        <v>45949.25748</v>
      </c>
      <c r="L519" s="15">
        <f>IFERROR(__xludf.DUMMYFUNCTION("""COMPUTED_VALUE"""),45949.291256130644)</f>
        <v>45949.29126</v>
      </c>
    </row>
    <row r="520">
      <c r="A520" s="1">
        <f>IFERROR(__xludf.DUMMYFUNCTION("""COMPUTED_VALUE"""),519.0)</f>
        <v>519</v>
      </c>
      <c r="B520" s="1">
        <f>IFERROR(__xludf.DUMMYFUNCTION("""COMPUTED_VALUE"""),10655.0)</f>
        <v>10655</v>
      </c>
      <c r="C520" s="13" t="str">
        <f>IFERROR(__xludf.DUMMYFUNCTION("""COMPUTED_VALUE"""),"Hifensix")</f>
        <v>Hifensix</v>
      </c>
      <c r="D520" s="2" t="str">
        <f>IFERROR(__xludf.DUMMYFUNCTION("""COMPUTED_VALUE"""),"10KM OVERALL M")</f>
        <v>10KM OVERALL M</v>
      </c>
      <c r="E520" s="1">
        <f>IFERROR(__xludf.DUMMYFUNCTION("""COMPUTED_VALUE"""),437.0)</f>
        <v>437</v>
      </c>
      <c r="F520" s="1" t="str">
        <f>IFERROR(__xludf.DUMMYFUNCTION("""COMPUTED_VALUE"""),"Male")</f>
        <v>Male</v>
      </c>
      <c r="G520" s="5">
        <f>IFERROR(__xludf.DUMMYFUNCTION("""COMPUTED_VALUE"""),0.0054213275462962965)</f>
        <v>0.005421327546</v>
      </c>
      <c r="H520" s="14">
        <f>IFERROR(__xludf.DUMMYFUNCTION("""COMPUTED_VALUE"""),0.24646185185185185)</f>
        <v>0.2464618519</v>
      </c>
      <c r="I520" s="15">
        <f>IFERROR(__xludf.DUMMYFUNCTION("""COMPUTED_VALUE"""),45949.30067512979)</f>
        <v>45949.30068</v>
      </c>
      <c r="J520" s="15">
        <f>IFERROR(__xludf.DUMMYFUNCTION("""COMPUTED_VALUE"""),45949.05421327794)</f>
        <v>45949.05421</v>
      </c>
      <c r="K520" s="15">
        <f>IFERROR(__xludf.DUMMYFUNCTION("""COMPUTED_VALUE"""),45949.26957188095)</f>
        <v>45949.26957</v>
      </c>
      <c r="L520" s="15">
        <f>IFERROR(__xludf.DUMMYFUNCTION("""COMPUTED_VALUE"""),45949.293502663386)</f>
        <v>45949.2935</v>
      </c>
    </row>
    <row r="521">
      <c r="A521" s="1">
        <f>IFERROR(__xludf.DUMMYFUNCTION("""COMPUTED_VALUE"""),520.0)</f>
        <v>520</v>
      </c>
      <c r="B521" s="1">
        <f>IFERROR(__xludf.DUMMYFUNCTION("""COMPUTED_VALUE"""),10172.0)</f>
        <v>10172</v>
      </c>
      <c r="C521" s="13" t="str">
        <f>IFERROR(__xludf.DUMMYFUNCTION("""COMPUTED_VALUE"""),"Iqbal AP")</f>
        <v>Iqbal AP</v>
      </c>
      <c r="D521" s="2" t="str">
        <f>IFERROR(__xludf.DUMMYFUNCTION("""COMPUTED_VALUE"""),"10KM OVERALL M")</f>
        <v>10KM OVERALL M</v>
      </c>
      <c r="E521" s="1">
        <f>IFERROR(__xludf.DUMMYFUNCTION("""COMPUTED_VALUE"""),438.0)</f>
        <v>438</v>
      </c>
      <c r="F521" s="1" t="str">
        <f>IFERROR(__xludf.DUMMYFUNCTION("""COMPUTED_VALUE"""),"Male")</f>
        <v>Male</v>
      </c>
      <c r="G521" s="5">
        <f>IFERROR(__xludf.DUMMYFUNCTION("""COMPUTED_VALUE"""),0.005423259259259259)</f>
        <v>0.005423259259</v>
      </c>
      <c r="H521" s="14">
        <f>IFERROR(__xludf.DUMMYFUNCTION("""COMPUTED_VALUE"""),0.24646185185185185)</f>
        <v>0.2464618519</v>
      </c>
      <c r="I521" s="15">
        <f>IFERROR(__xludf.DUMMYFUNCTION("""COMPUTED_VALUE"""),45949.30069444444)</f>
        <v>45949.30069</v>
      </c>
      <c r="J521" s="15">
        <f>IFERROR(__xludf.DUMMYFUNCTION("""COMPUTED_VALUE"""),45949.05423259259)</f>
        <v>45949.05423</v>
      </c>
      <c r="K521" s="15">
        <f>IFERROR(__xludf.DUMMYFUNCTION("""COMPUTED_VALUE"""),45949.259005858745)</f>
        <v>45949.25901</v>
      </c>
      <c r="L521" s="15">
        <f>IFERROR(__xludf.DUMMYFUNCTION("""COMPUTED_VALUE"""),45949.29106163295)</f>
        <v>45949.29106</v>
      </c>
    </row>
    <row r="522">
      <c r="A522" s="1">
        <f>IFERROR(__xludf.DUMMYFUNCTION("""COMPUTED_VALUE"""),521.0)</f>
        <v>521</v>
      </c>
      <c r="B522" s="1">
        <f>IFERROR(__xludf.DUMMYFUNCTION("""COMPUTED_VALUE"""),12053.0)</f>
        <v>12053</v>
      </c>
      <c r="C522" s="13" t="str">
        <f>IFERROR(__xludf.DUMMYFUNCTION("""COMPUTED_VALUE"""),"aliem")</f>
        <v>aliem</v>
      </c>
      <c r="D522" s="2" t="str">
        <f>IFERROR(__xludf.DUMMYFUNCTION("""COMPUTED_VALUE"""),"10KM MASTER M")</f>
        <v>10KM MASTER M</v>
      </c>
      <c r="E522" s="1">
        <f>IFERROR(__xludf.DUMMYFUNCTION("""COMPUTED_VALUE"""),49.0)</f>
        <v>49</v>
      </c>
      <c r="F522" s="1" t="str">
        <f>IFERROR(__xludf.DUMMYFUNCTION("""COMPUTED_VALUE"""),"Male")</f>
        <v>Male</v>
      </c>
      <c r="G522" s="5">
        <f>IFERROR(__xludf.DUMMYFUNCTION("""COMPUTED_VALUE"""),0.005426881944444444)</f>
        <v>0.005426881944</v>
      </c>
      <c r="H522" s="14">
        <f>IFERROR(__xludf.DUMMYFUNCTION("""COMPUTED_VALUE"""),0.24646185185185185)</f>
        <v>0.2464618519</v>
      </c>
      <c r="I522" s="15">
        <f>IFERROR(__xludf.DUMMYFUNCTION("""COMPUTED_VALUE"""),45949.30073067365)</f>
        <v>45949.30073</v>
      </c>
      <c r="J522" s="15">
        <f>IFERROR(__xludf.DUMMYFUNCTION("""COMPUTED_VALUE"""),45949.0542688218)</f>
        <v>45949.05427</v>
      </c>
      <c r="K522" s="15">
        <f>IFERROR(__xludf.DUMMYFUNCTION("""COMPUTED_VALUE"""),45949.261321835314)</f>
        <v>45949.26132</v>
      </c>
      <c r="L522" s="15">
        <f>IFERROR(__xludf.DUMMYFUNCTION("""COMPUTED_VALUE"""),45949.29162760357)</f>
        <v>45949.29163</v>
      </c>
    </row>
    <row r="523">
      <c r="A523" s="1">
        <f>IFERROR(__xludf.DUMMYFUNCTION("""COMPUTED_VALUE"""),522.0)</f>
        <v>522</v>
      </c>
      <c r="B523" s="1">
        <f>IFERROR(__xludf.DUMMYFUNCTION("""COMPUTED_VALUE"""),10116.0)</f>
        <v>10116</v>
      </c>
      <c r="C523" s="13" t="str">
        <f>IFERROR(__xludf.DUMMYFUNCTION("""COMPUTED_VALUE"""),"Bisepta Prayogi")</f>
        <v>Bisepta Prayogi</v>
      </c>
      <c r="D523" s="2" t="str">
        <f>IFERROR(__xludf.DUMMYFUNCTION("""COMPUTED_VALUE"""),"10KM OVERALL M")</f>
        <v>10KM OVERALL M</v>
      </c>
      <c r="E523" s="1">
        <f>IFERROR(__xludf.DUMMYFUNCTION("""COMPUTED_VALUE"""),439.0)</f>
        <v>439</v>
      </c>
      <c r="F523" s="1" t="str">
        <f>IFERROR(__xludf.DUMMYFUNCTION("""COMPUTED_VALUE"""),"Male")</f>
        <v>Male</v>
      </c>
      <c r="G523" s="5">
        <f>IFERROR(__xludf.DUMMYFUNCTION("""COMPUTED_VALUE"""),0.005427582175925925)</f>
        <v>0.005427582176</v>
      </c>
      <c r="H523" s="14">
        <f>IFERROR(__xludf.DUMMYFUNCTION("""COMPUTED_VALUE"""),0.24646185185185185)</f>
        <v>0.2464618519</v>
      </c>
      <c r="I523" s="15">
        <f>IFERROR(__xludf.DUMMYFUNCTION("""COMPUTED_VALUE"""),45949.30073767131)</f>
        <v>45949.30074</v>
      </c>
      <c r="J523" s="15">
        <f>IFERROR(__xludf.DUMMYFUNCTION("""COMPUTED_VALUE"""),45949.05427581946)</f>
        <v>45949.05428</v>
      </c>
      <c r="K523" s="15">
        <f>IFERROR(__xludf.DUMMYFUNCTION("""COMPUTED_VALUE"""),45949.25853021229)</f>
        <v>45949.25853</v>
      </c>
      <c r="L523" s="15">
        <f>IFERROR(__xludf.DUMMYFUNCTION("""COMPUTED_VALUE"""),45949.29159635206)</f>
        <v>45949.2916</v>
      </c>
    </row>
    <row r="524">
      <c r="A524" s="1">
        <f>IFERROR(__xludf.DUMMYFUNCTION("""COMPUTED_VALUE"""),523.0)</f>
        <v>523</v>
      </c>
      <c r="B524" s="1">
        <f>IFERROR(__xludf.DUMMYFUNCTION("""COMPUTED_VALUE"""),10468.0)</f>
        <v>10468</v>
      </c>
      <c r="C524" s="13" t="str">
        <f>IFERROR(__xludf.DUMMYFUNCTION("""COMPUTED_VALUE"""),"Ahmad Nabil Khaitami")</f>
        <v>Ahmad Nabil Khaitami</v>
      </c>
      <c r="D524" s="2" t="str">
        <f>IFERROR(__xludf.DUMMYFUNCTION("""COMPUTED_VALUE"""),"10KM OVERALL M")</f>
        <v>10KM OVERALL M</v>
      </c>
      <c r="E524" s="1">
        <f>IFERROR(__xludf.DUMMYFUNCTION("""COMPUTED_VALUE"""),440.0)</f>
        <v>440</v>
      </c>
      <c r="F524" s="1" t="str">
        <f>IFERROR(__xludf.DUMMYFUNCTION("""COMPUTED_VALUE"""),"Male")</f>
        <v>Male</v>
      </c>
      <c r="G524" s="5">
        <f>IFERROR(__xludf.DUMMYFUNCTION("""COMPUTED_VALUE"""),0.005429666666666667)</f>
        <v>0.005429666667</v>
      </c>
      <c r="H524" s="14">
        <f>IFERROR(__xludf.DUMMYFUNCTION("""COMPUTED_VALUE"""),0.24646185185185185)</f>
        <v>0.2464618519</v>
      </c>
      <c r="I524" s="15">
        <f>IFERROR(__xludf.DUMMYFUNCTION("""COMPUTED_VALUE"""),45949.30075851897)</f>
        <v>45949.30076</v>
      </c>
      <c r="J524" s="15">
        <f>IFERROR(__xludf.DUMMYFUNCTION("""COMPUTED_VALUE"""),45949.05429666712)</f>
        <v>45949.0543</v>
      </c>
      <c r="K524" s="15">
        <f>IFERROR(__xludf.DUMMYFUNCTION("""COMPUTED_VALUE"""),45949.258165592175)</f>
        <v>45949.25817</v>
      </c>
      <c r="L524" s="15">
        <f>IFERROR(__xludf.DUMMYFUNCTION("""COMPUTED_VALUE"""),45949.29156511193)</f>
        <v>45949.29157</v>
      </c>
    </row>
    <row r="525">
      <c r="A525" s="1">
        <f>IFERROR(__xludf.DUMMYFUNCTION("""COMPUTED_VALUE"""),524.0)</f>
        <v>524</v>
      </c>
      <c r="B525" s="1">
        <f>IFERROR(__xludf.DUMMYFUNCTION("""COMPUTED_VALUE"""),10095.0)</f>
        <v>10095</v>
      </c>
      <c r="C525" s="13" t="str">
        <f>IFERROR(__xludf.DUMMYFUNCTION("""COMPUTED_VALUE"""),"Ariyanto")</f>
        <v>Ariyanto</v>
      </c>
      <c r="D525" s="2" t="str">
        <f>IFERROR(__xludf.DUMMYFUNCTION("""COMPUTED_VALUE"""),"10KM OVERALL M")</f>
        <v>10KM OVERALL M</v>
      </c>
      <c r="E525" s="1">
        <f>IFERROR(__xludf.DUMMYFUNCTION("""COMPUTED_VALUE"""),441.0)</f>
        <v>441</v>
      </c>
      <c r="F525" s="1" t="str">
        <f>IFERROR(__xludf.DUMMYFUNCTION("""COMPUTED_VALUE"""),"Male")</f>
        <v>Male</v>
      </c>
      <c r="G525" s="5">
        <f>IFERROR(__xludf.DUMMYFUNCTION("""COMPUTED_VALUE"""),0.005429666666666667)</f>
        <v>0.005429666667</v>
      </c>
      <c r="H525" s="14">
        <f>IFERROR(__xludf.DUMMYFUNCTION("""COMPUTED_VALUE"""),0.24646185185185185)</f>
        <v>0.2464618519</v>
      </c>
      <c r="I525" s="15">
        <f>IFERROR(__xludf.DUMMYFUNCTION("""COMPUTED_VALUE"""),45949.30075851897)</f>
        <v>45949.30076</v>
      </c>
      <c r="J525" s="15">
        <f>IFERROR(__xludf.DUMMYFUNCTION("""COMPUTED_VALUE"""),45949.05429666712)</f>
        <v>45949.0543</v>
      </c>
      <c r="K525" s="15">
        <f>IFERROR(__xludf.DUMMYFUNCTION("""COMPUTED_VALUE"""),45949.25840522973)</f>
        <v>45949.25841</v>
      </c>
      <c r="L525" s="15">
        <f>IFERROR(__xludf.DUMMYFUNCTION("""COMPUTED_VALUE"""),45949.291460946624)</f>
        <v>45949.29146</v>
      </c>
    </row>
    <row r="526">
      <c r="A526" s="1">
        <f>IFERROR(__xludf.DUMMYFUNCTION("""COMPUTED_VALUE"""),525.0)</f>
        <v>525</v>
      </c>
      <c r="B526" s="1">
        <f>IFERROR(__xludf.DUMMYFUNCTION("""COMPUTED_VALUE"""),10439.0)</f>
        <v>10439</v>
      </c>
      <c r="C526" s="13" t="str">
        <f>IFERROR(__xludf.DUMMYFUNCTION("""COMPUTED_VALUE"""),"Widiyanto")</f>
        <v>Widiyanto</v>
      </c>
      <c r="D526" s="2" t="str">
        <f>IFERROR(__xludf.DUMMYFUNCTION("""COMPUTED_VALUE"""),"10KM OVERALL M")</f>
        <v>10KM OVERALL M</v>
      </c>
      <c r="E526" s="1">
        <f>IFERROR(__xludf.DUMMYFUNCTION("""COMPUTED_VALUE"""),442.0)</f>
        <v>442</v>
      </c>
      <c r="F526" s="1" t="str">
        <f>IFERROR(__xludf.DUMMYFUNCTION("""COMPUTED_VALUE"""),"Male")</f>
        <v>Male</v>
      </c>
      <c r="G526" s="5">
        <f>IFERROR(__xludf.DUMMYFUNCTION("""COMPUTED_VALUE"""),0.005430354166666667)</f>
        <v>0.005430354167</v>
      </c>
      <c r="H526" s="14">
        <f>IFERROR(__xludf.DUMMYFUNCTION("""COMPUTED_VALUE"""),0.24646185185185185)</f>
        <v>0.2464618519</v>
      </c>
      <c r="I526" s="15">
        <f>IFERROR(__xludf.DUMMYFUNCTION("""COMPUTED_VALUE"""),45949.300765395485)</f>
        <v>45949.30077</v>
      </c>
      <c r="J526" s="15">
        <f>IFERROR(__xludf.DUMMYFUNCTION("""COMPUTED_VALUE"""),45949.054303543635)</f>
        <v>45949.0543</v>
      </c>
      <c r="K526" s="15">
        <f>IFERROR(__xludf.DUMMYFUNCTION("""COMPUTED_VALUE"""),45949.259759385306)</f>
        <v>45949.25976</v>
      </c>
      <c r="L526" s="15">
        <f>IFERROR(__xludf.DUMMYFUNCTION("""COMPUTED_VALUE"""),45949.29125266427)</f>
        <v>45949.29125</v>
      </c>
    </row>
    <row r="527">
      <c r="A527" s="1">
        <f>IFERROR(__xludf.DUMMYFUNCTION("""COMPUTED_VALUE"""),526.0)</f>
        <v>526</v>
      </c>
      <c r="B527" s="1">
        <f>IFERROR(__xludf.DUMMYFUNCTION("""COMPUTED_VALUE"""),10318.0)</f>
        <v>10318</v>
      </c>
      <c r="C527" s="13" t="str">
        <f>IFERROR(__xludf.DUMMYFUNCTION("""COMPUTED_VALUE"""),"AFRI")</f>
        <v>AFRI</v>
      </c>
      <c r="D527" s="2" t="str">
        <f>IFERROR(__xludf.DUMMYFUNCTION("""COMPUTED_VALUE"""),"10KM OVERALL M")</f>
        <v>10KM OVERALL M</v>
      </c>
      <c r="E527" s="1">
        <f>IFERROR(__xludf.DUMMYFUNCTION("""COMPUTED_VALUE"""),443.0)</f>
        <v>443</v>
      </c>
      <c r="F527" s="1" t="str">
        <f>IFERROR(__xludf.DUMMYFUNCTION("""COMPUTED_VALUE"""),"Male")</f>
        <v>Male</v>
      </c>
      <c r="G527" s="5">
        <f>IFERROR(__xludf.DUMMYFUNCTION("""COMPUTED_VALUE"""),0.005430355324074074)</f>
        <v>0.005430355324</v>
      </c>
      <c r="H527" s="14">
        <f>IFERROR(__xludf.DUMMYFUNCTION("""COMPUTED_VALUE"""),0.24646185185185185)</f>
        <v>0.2464618519</v>
      </c>
      <c r="I527" s="15">
        <f>IFERROR(__xludf.DUMMYFUNCTION("""COMPUTED_VALUE"""),45949.30076540941)</f>
        <v>45949.30077</v>
      </c>
      <c r="J527" s="15">
        <f>IFERROR(__xludf.DUMMYFUNCTION("""COMPUTED_VALUE"""),45949.05430355756)</f>
        <v>45949.0543</v>
      </c>
      <c r="K527" s="15">
        <f>IFERROR(__xludf.DUMMYFUNCTION("""COMPUTED_VALUE"""),45949.25762747738)</f>
        <v>45949.25763</v>
      </c>
      <c r="L527" s="15">
        <f>IFERROR(__xludf.DUMMYFUNCTION("""COMPUTED_VALUE"""),45949.290912354656)</f>
        <v>45949.29091</v>
      </c>
    </row>
    <row r="528">
      <c r="A528" s="1">
        <f>IFERROR(__xludf.DUMMYFUNCTION("""COMPUTED_VALUE"""),527.0)</f>
        <v>527</v>
      </c>
      <c r="B528" s="1">
        <f>IFERROR(__xludf.DUMMYFUNCTION("""COMPUTED_VALUE"""),10251.0)</f>
        <v>10251</v>
      </c>
      <c r="C528" s="13" t="str">
        <f>IFERROR(__xludf.DUMMYFUNCTION("""COMPUTED_VALUE"""),"Haziki Abduh")</f>
        <v>Haziki Abduh</v>
      </c>
      <c r="D528" s="2" t="str">
        <f>IFERROR(__xludf.DUMMYFUNCTION("""COMPUTED_VALUE"""),"10KM OVERALL M")</f>
        <v>10KM OVERALL M</v>
      </c>
      <c r="E528" s="1">
        <f>IFERROR(__xludf.DUMMYFUNCTION("""COMPUTED_VALUE"""),444.0)</f>
        <v>444</v>
      </c>
      <c r="F528" s="1" t="str">
        <f>IFERROR(__xludf.DUMMYFUNCTION("""COMPUTED_VALUE"""),"Male")</f>
        <v>Male</v>
      </c>
      <c r="G528" s="5">
        <f>IFERROR(__xludf.DUMMYFUNCTION("""COMPUTED_VALUE"""),0.005432443287037037)</f>
        <v>0.005432443287</v>
      </c>
      <c r="H528" s="14">
        <f>IFERROR(__xludf.DUMMYFUNCTION("""COMPUTED_VALUE"""),0.24646185185185185)</f>
        <v>0.2464618519</v>
      </c>
      <c r="I528" s="15">
        <f>IFERROR(__xludf.DUMMYFUNCTION("""COMPUTED_VALUE"""),45949.30078628926)</f>
        <v>45949.30079</v>
      </c>
      <c r="J528" s="15">
        <f>IFERROR(__xludf.DUMMYFUNCTION("""COMPUTED_VALUE"""),45949.05432443741)</f>
        <v>45949.05432</v>
      </c>
      <c r="K528" s="15">
        <f>IFERROR(__xludf.DUMMYFUNCTION("""COMPUTED_VALUE"""),45949.25937743972)</f>
        <v>45949.25938</v>
      </c>
      <c r="L528" s="15">
        <f>IFERROR(__xludf.DUMMYFUNCTION("""COMPUTED_VALUE"""),45949.29164148637)</f>
        <v>45949.29164</v>
      </c>
    </row>
    <row r="529">
      <c r="A529" s="1">
        <f>IFERROR(__xludf.DUMMYFUNCTION("""COMPUTED_VALUE"""),528.0)</f>
        <v>528</v>
      </c>
      <c r="B529" s="1">
        <f>IFERROR(__xludf.DUMMYFUNCTION("""COMPUTED_VALUE"""),10239.0)</f>
        <v>10239</v>
      </c>
      <c r="C529" s="13" t="str">
        <f>IFERROR(__xludf.DUMMYFUNCTION("""COMPUTED_VALUE"""),"DAN")</f>
        <v>DAN</v>
      </c>
      <c r="D529" s="2" t="str">
        <f>IFERROR(__xludf.DUMMYFUNCTION("""COMPUTED_VALUE"""),"10KM OVERALL M")</f>
        <v>10KM OVERALL M</v>
      </c>
      <c r="E529" s="1">
        <f>IFERROR(__xludf.DUMMYFUNCTION("""COMPUTED_VALUE"""),445.0)</f>
        <v>445</v>
      </c>
      <c r="F529" s="1" t="str">
        <f>IFERROR(__xludf.DUMMYFUNCTION("""COMPUTED_VALUE"""),"Male")</f>
        <v>Male</v>
      </c>
      <c r="G529" s="5">
        <f>IFERROR(__xludf.DUMMYFUNCTION("""COMPUTED_VALUE"""),0.0054331377314814815)</f>
        <v>0.005433137731</v>
      </c>
      <c r="H529" s="14">
        <f>IFERROR(__xludf.DUMMYFUNCTION("""COMPUTED_VALUE"""),0.24646185185185185)</f>
        <v>0.2464618519</v>
      </c>
      <c r="I529" s="15">
        <f>IFERROR(__xludf.DUMMYFUNCTION("""COMPUTED_VALUE"""),45949.30079323401)</f>
        <v>45949.30079</v>
      </c>
      <c r="J529" s="15">
        <f>IFERROR(__xludf.DUMMYFUNCTION("""COMPUTED_VALUE"""),45949.05433138216)</f>
        <v>45949.05433</v>
      </c>
      <c r="K529" s="15">
        <f>IFERROR(__xludf.DUMMYFUNCTION("""COMPUTED_VALUE"""),45949.25971772934)</f>
        <v>45949.25972</v>
      </c>
      <c r="L529" s="15">
        <f>IFERROR(__xludf.DUMMYFUNCTION("""COMPUTED_VALUE"""),45949.29188810835)</f>
        <v>45949.29189</v>
      </c>
    </row>
    <row r="530">
      <c r="A530" s="1">
        <f>IFERROR(__xludf.DUMMYFUNCTION("""COMPUTED_VALUE"""),529.0)</f>
        <v>529</v>
      </c>
      <c r="B530" s="1">
        <f>IFERROR(__xludf.DUMMYFUNCTION("""COMPUTED_VALUE"""),10741.0)</f>
        <v>10741</v>
      </c>
      <c r="C530" s="13" t="str">
        <f>IFERROR(__xludf.DUMMYFUNCTION("""COMPUTED_VALUE"""),"Endik Riyanto")</f>
        <v>Endik Riyanto</v>
      </c>
      <c r="D530" s="2" t="str">
        <f>IFERROR(__xludf.DUMMYFUNCTION("""COMPUTED_VALUE"""),"10KM OVERALL M")</f>
        <v>10KM OVERALL M</v>
      </c>
      <c r="E530" s="1">
        <f>IFERROR(__xludf.DUMMYFUNCTION("""COMPUTED_VALUE"""),446.0)</f>
        <v>446</v>
      </c>
      <c r="F530" s="1" t="str">
        <f>IFERROR(__xludf.DUMMYFUNCTION("""COMPUTED_VALUE"""),"Male")</f>
        <v>Male</v>
      </c>
      <c r="G530" s="5">
        <f>IFERROR(__xludf.DUMMYFUNCTION("""COMPUTED_VALUE"""),0.005435916666666666)</f>
        <v>0.005435916667</v>
      </c>
      <c r="H530" s="14">
        <f>IFERROR(__xludf.DUMMYFUNCTION("""COMPUTED_VALUE"""),0.24646185185185185)</f>
        <v>0.2464618519</v>
      </c>
      <c r="I530" s="15">
        <f>IFERROR(__xludf.DUMMYFUNCTION("""COMPUTED_VALUE"""),45949.30082101491)</f>
        <v>45949.30082</v>
      </c>
      <c r="J530" s="15">
        <f>IFERROR(__xludf.DUMMYFUNCTION("""COMPUTED_VALUE"""),45949.05435916306)</f>
        <v>45949.05436</v>
      </c>
      <c r="K530" s="15">
        <f>IFERROR(__xludf.DUMMYFUNCTION("""COMPUTED_VALUE"""),45949.25780105097)</f>
        <v>45949.2578</v>
      </c>
      <c r="L530" s="15">
        <f>IFERROR(__xludf.DUMMYFUNCTION("""COMPUTED_VALUE"""),45949.29147486374)</f>
        <v>45949.29147</v>
      </c>
    </row>
    <row r="531">
      <c r="A531" s="1">
        <f>IFERROR(__xludf.DUMMYFUNCTION("""COMPUTED_VALUE"""),530.0)</f>
        <v>530</v>
      </c>
      <c r="B531" s="1">
        <f>IFERROR(__xludf.DUMMYFUNCTION("""COMPUTED_VALUE"""),10350.0)</f>
        <v>10350</v>
      </c>
      <c r="C531" s="13" t="str">
        <f>IFERROR(__xludf.DUMMYFUNCTION("""COMPUTED_VALUE"""),"Frasrizky Aldan")</f>
        <v>Frasrizky Aldan</v>
      </c>
      <c r="D531" s="2" t="str">
        <f>IFERROR(__xludf.DUMMYFUNCTION("""COMPUTED_VALUE"""),"10KM OVERALL M")</f>
        <v>10KM OVERALL M</v>
      </c>
      <c r="E531" s="1">
        <f>IFERROR(__xludf.DUMMYFUNCTION("""COMPUTED_VALUE"""),447.0)</f>
        <v>447</v>
      </c>
      <c r="F531" s="1" t="str">
        <f>IFERROR(__xludf.DUMMYFUNCTION("""COMPUTED_VALUE"""),"Male")</f>
        <v>Male</v>
      </c>
      <c r="G531" s="5">
        <f>IFERROR(__xludf.DUMMYFUNCTION("""COMPUTED_VALUE"""),0.005436957175925926)</f>
        <v>0.005436957176</v>
      </c>
      <c r="H531" s="14">
        <f>IFERROR(__xludf.DUMMYFUNCTION("""COMPUTED_VALUE"""),0.24646185185185185)</f>
        <v>0.2464618519</v>
      </c>
      <c r="I531" s="15">
        <f>IFERROR(__xludf.DUMMYFUNCTION("""COMPUTED_VALUE"""),45949.30083142318)</f>
        <v>45949.30083</v>
      </c>
      <c r="J531" s="15">
        <f>IFERROR(__xludf.DUMMYFUNCTION("""COMPUTED_VALUE"""),45949.05436957133)</f>
        <v>45949.05437</v>
      </c>
      <c r="K531" s="15">
        <f>IFERROR(__xludf.DUMMYFUNCTION("""COMPUTED_VALUE"""),45949.25844336496)</f>
        <v>45949.25844</v>
      </c>
      <c r="L531" s="15">
        <f>IFERROR(__xludf.DUMMYFUNCTION("""COMPUTED_VALUE"""),45949.29113114202)</f>
        <v>45949.29113</v>
      </c>
    </row>
    <row r="532">
      <c r="A532" s="1">
        <f>IFERROR(__xludf.DUMMYFUNCTION("""COMPUTED_VALUE"""),531.0)</f>
        <v>531</v>
      </c>
      <c r="B532" s="1">
        <f>IFERROR(__xludf.DUMMYFUNCTION("""COMPUTED_VALUE"""),10226.0)</f>
        <v>10226</v>
      </c>
      <c r="C532" s="13" t="str">
        <f>IFERROR(__xludf.DUMMYFUNCTION("""COMPUTED_VALUE"""),"Mella")</f>
        <v>Mella</v>
      </c>
      <c r="D532" s="2" t="str">
        <f>IFERROR(__xludf.DUMMYFUNCTION("""COMPUTED_VALUE"""),"10KM OVERALL F")</f>
        <v>10KM OVERALL F</v>
      </c>
      <c r="E532" s="1">
        <f>IFERROR(__xludf.DUMMYFUNCTION("""COMPUTED_VALUE"""),28.0)</f>
        <v>28</v>
      </c>
      <c r="F532" s="1" t="str">
        <f>IFERROR(__xludf.DUMMYFUNCTION("""COMPUTED_VALUE"""),"Female")</f>
        <v>Female</v>
      </c>
      <c r="G532" s="5">
        <f>IFERROR(__xludf.DUMMYFUNCTION("""COMPUTED_VALUE"""),0.0054414849537037045)</f>
        <v>0.005441484954</v>
      </c>
      <c r="H532" s="14">
        <f>IFERROR(__xludf.DUMMYFUNCTION("""COMPUTED_VALUE"""),0.24646185185185185)</f>
        <v>0.2464618519</v>
      </c>
      <c r="I532" s="15">
        <f>IFERROR(__xludf.DUMMYFUNCTION("""COMPUTED_VALUE"""),45949.30087670326)</f>
        <v>45949.30088</v>
      </c>
      <c r="J532" s="15">
        <f>IFERROR(__xludf.DUMMYFUNCTION("""COMPUTED_VALUE"""),45949.05441485141)</f>
        <v>45949.05441</v>
      </c>
      <c r="K532" s="15">
        <f>IFERROR(__xludf.DUMMYFUNCTION("""COMPUTED_VALUE"""),45949.258516268965)</f>
        <v>45949.25852</v>
      </c>
      <c r="L532" s="15">
        <f>IFERROR(__xludf.DUMMYFUNCTION("""COMPUTED_VALUE"""),45949.29123182434)</f>
        <v>45949.29123</v>
      </c>
    </row>
    <row r="533">
      <c r="A533" s="1">
        <f>IFERROR(__xludf.DUMMYFUNCTION("""COMPUTED_VALUE"""),532.0)</f>
        <v>532</v>
      </c>
      <c r="B533" s="1">
        <f>IFERROR(__xludf.DUMMYFUNCTION("""COMPUTED_VALUE"""),10580.0)</f>
        <v>10580</v>
      </c>
      <c r="C533" s="13" t="str">
        <f>IFERROR(__xludf.DUMMYFUNCTION("""COMPUTED_VALUE"""),"Danny A")</f>
        <v>Danny A</v>
      </c>
      <c r="D533" s="2" t="str">
        <f>IFERROR(__xludf.DUMMYFUNCTION("""COMPUTED_VALUE"""),"10KM OVERALL M")</f>
        <v>10KM OVERALL M</v>
      </c>
      <c r="E533" s="1">
        <f>IFERROR(__xludf.DUMMYFUNCTION("""COMPUTED_VALUE"""),448.0)</f>
        <v>448</v>
      </c>
      <c r="F533" s="1" t="str">
        <f>IFERROR(__xludf.DUMMYFUNCTION("""COMPUTED_VALUE"""),"Male")</f>
        <v>Male</v>
      </c>
      <c r="G533" s="5">
        <f>IFERROR(__xludf.DUMMYFUNCTION("""COMPUTED_VALUE"""),0.005445637731481481)</f>
        <v>0.005445637731</v>
      </c>
      <c r="H533" s="14">
        <f>IFERROR(__xludf.DUMMYFUNCTION("""COMPUTED_VALUE"""),0.24646185185185185)</f>
        <v>0.2464618519</v>
      </c>
      <c r="I533" s="15">
        <f>IFERROR(__xludf.DUMMYFUNCTION("""COMPUTED_VALUE"""),45949.3009182258)</f>
        <v>45949.30092</v>
      </c>
      <c r="J533" s="15">
        <f>IFERROR(__xludf.DUMMYFUNCTION("""COMPUTED_VALUE"""),45949.05445637395)</f>
        <v>45949.05446</v>
      </c>
      <c r="K533" s="15">
        <f>IFERROR(__xludf.DUMMYFUNCTION("""COMPUTED_VALUE"""),45949.259422554605)</f>
        <v>45949.25942</v>
      </c>
      <c r="L533" s="15">
        <f>IFERROR(__xludf.DUMMYFUNCTION("""COMPUTED_VALUE"""),45949.29197481071)</f>
        <v>45949.29197</v>
      </c>
    </row>
    <row r="534">
      <c r="A534" s="1">
        <f>IFERROR(__xludf.DUMMYFUNCTION("""COMPUTED_VALUE"""),533.0)</f>
        <v>533</v>
      </c>
      <c r="B534" s="1">
        <f>IFERROR(__xludf.DUMMYFUNCTION("""COMPUTED_VALUE"""),10120.0)</f>
        <v>10120</v>
      </c>
      <c r="C534" s="13" t="str">
        <f>IFERROR(__xludf.DUMMYFUNCTION("""COMPUTED_VALUE"""),"Rahman Handsome")</f>
        <v>Rahman Handsome</v>
      </c>
      <c r="D534" s="2" t="str">
        <f>IFERROR(__xludf.DUMMYFUNCTION("""COMPUTED_VALUE"""),"10KM OVERALL M")</f>
        <v>10KM OVERALL M</v>
      </c>
      <c r="E534" s="1">
        <f>IFERROR(__xludf.DUMMYFUNCTION("""COMPUTED_VALUE"""),449.0)</f>
        <v>449</v>
      </c>
      <c r="F534" s="1" t="str">
        <f>IFERROR(__xludf.DUMMYFUNCTION("""COMPUTED_VALUE"""),"Male")</f>
        <v>Male</v>
      </c>
      <c r="G534" s="5">
        <f>IFERROR(__xludf.DUMMYFUNCTION("""COMPUTED_VALUE"""),0.005450846064814815)</f>
        <v>0.005450846065</v>
      </c>
      <c r="H534" s="14">
        <f>IFERROR(__xludf.DUMMYFUNCTION("""COMPUTED_VALUE"""),0.24646185185185185)</f>
        <v>0.2464618519</v>
      </c>
      <c r="I534" s="15">
        <f>IFERROR(__xludf.DUMMYFUNCTION("""COMPUTED_VALUE"""),45949.30097030761)</f>
        <v>45949.30097</v>
      </c>
      <c r="J534" s="15">
        <f>IFERROR(__xludf.DUMMYFUNCTION("""COMPUTED_VALUE"""),45949.05450845576)</f>
        <v>45949.05451</v>
      </c>
      <c r="K534" s="15">
        <f>IFERROR(__xludf.DUMMYFUNCTION("""COMPUTED_VALUE"""),45949.258245434925)</f>
        <v>45949.25825</v>
      </c>
      <c r="L534" s="15">
        <f>IFERROR(__xludf.DUMMYFUNCTION("""COMPUTED_VALUE"""),45949.29144010174)</f>
        <v>45949.29144</v>
      </c>
    </row>
    <row r="535">
      <c r="A535" s="1">
        <f>IFERROR(__xludf.DUMMYFUNCTION("""COMPUTED_VALUE"""),534.0)</f>
        <v>534</v>
      </c>
      <c r="B535" s="1">
        <f>IFERROR(__xludf.DUMMYFUNCTION("""COMPUTED_VALUE"""),10640.0)</f>
        <v>10640</v>
      </c>
      <c r="C535" s="13" t="str">
        <f>IFERROR(__xludf.DUMMYFUNCTION("""COMPUTED_VALUE"""),"Jumadil")</f>
        <v>Jumadil</v>
      </c>
      <c r="D535" s="2" t="str">
        <f>IFERROR(__xludf.DUMMYFUNCTION("""COMPUTED_VALUE"""),"10KM OVERALL M")</f>
        <v>10KM OVERALL M</v>
      </c>
      <c r="E535" s="1">
        <f>IFERROR(__xludf.DUMMYFUNCTION("""COMPUTED_VALUE"""),450.0)</f>
        <v>450</v>
      </c>
      <c r="F535" s="1" t="str">
        <f>IFERROR(__xludf.DUMMYFUNCTION("""COMPUTED_VALUE"""),"Male")</f>
        <v>Male</v>
      </c>
      <c r="G535" s="5">
        <f>IFERROR(__xludf.DUMMYFUNCTION("""COMPUTED_VALUE"""),0.005454665509259259)</f>
        <v>0.005454665509</v>
      </c>
      <c r="H535" s="14">
        <f>IFERROR(__xludf.DUMMYFUNCTION("""COMPUTED_VALUE"""),0.24646185185185185)</f>
        <v>0.2464618519</v>
      </c>
      <c r="I535" s="15">
        <f>IFERROR(__xludf.DUMMYFUNCTION("""COMPUTED_VALUE"""),45949.30100851131)</f>
        <v>45949.30101</v>
      </c>
      <c r="J535" s="15">
        <f>IFERROR(__xludf.DUMMYFUNCTION("""COMPUTED_VALUE"""),45949.05454665946)</f>
        <v>45949.05455</v>
      </c>
      <c r="K535" s="15">
        <f>IFERROR(__xludf.DUMMYFUNCTION("""COMPUTED_VALUE"""),45949.259353097004)</f>
        <v>45949.25935</v>
      </c>
      <c r="L535" s="15">
        <f>IFERROR(__xludf.DUMMYFUNCTION("""COMPUTED_VALUE"""),45949.29179783296)</f>
        <v>45949.2918</v>
      </c>
    </row>
    <row r="536">
      <c r="A536" s="1">
        <f>IFERROR(__xludf.DUMMYFUNCTION("""COMPUTED_VALUE"""),535.0)</f>
        <v>535</v>
      </c>
      <c r="B536" s="1">
        <f>IFERROR(__xludf.DUMMYFUNCTION("""COMPUTED_VALUE"""),12012.0)</f>
        <v>12012</v>
      </c>
      <c r="C536" s="13" t="str">
        <f>IFERROR(__xludf.DUMMYFUNCTION("""COMPUTED_VALUE"""),"Tatay")</f>
        <v>Tatay</v>
      </c>
      <c r="D536" s="2" t="str">
        <f>IFERROR(__xludf.DUMMYFUNCTION("""COMPUTED_VALUE"""),"10KM MASTER M")</f>
        <v>10KM MASTER M</v>
      </c>
      <c r="E536" s="1">
        <f>IFERROR(__xludf.DUMMYFUNCTION("""COMPUTED_VALUE"""),50.0)</f>
        <v>50</v>
      </c>
      <c r="F536" s="1" t="str">
        <f>IFERROR(__xludf.DUMMYFUNCTION("""COMPUTED_VALUE"""),"Male")</f>
        <v>Male</v>
      </c>
      <c r="G536" s="5">
        <f>IFERROR(__xludf.DUMMYFUNCTION("""COMPUTED_VALUE"""),0.005456402777777778)</f>
        <v>0.005456402778</v>
      </c>
      <c r="H536" s="14">
        <f>IFERROR(__xludf.DUMMYFUNCTION("""COMPUTED_VALUE"""),0.24646185185185185)</f>
        <v>0.2464618519</v>
      </c>
      <c r="I536" s="15">
        <f>IFERROR(__xludf.DUMMYFUNCTION("""COMPUTED_VALUE"""),45949.30102587404)</f>
        <v>45949.30103</v>
      </c>
      <c r="J536" s="15">
        <f>IFERROR(__xludf.DUMMYFUNCTION("""COMPUTED_VALUE"""),45949.05456402219)</f>
        <v>45949.05456</v>
      </c>
      <c r="K536" s="15">
        <f>IFERROR(__xludf.DUMMYFUNCTION("""COMPUTED_VALUE"""),45949.258953774326)</f>
        <v>45949.25895</v>
      </c>
      <c r="L536" s="15">
        <f>IFERROR(__xludf.DUMMYFUNCTION("""COMPUTED_VALUE"""),45949.29191238889)</f>
        <v>45949.29191</v>
      </c>
    </row>
    <row r="537">
      <c r="A537" s="1">
        <f>IFERROR(__xludf.DUMMYFUNCTION("""COMPUTED_VALUE"""),536.0)</f>
        <v>536</v>
      </c>
      <c r="B537" s="1">
        <f>IFERROR(__xludf.DUMMYFUNCTION("""COMPUTED_VALUE"""),10754.0)</f>
        <v>10754</v>
      </c>
      <c r="C537" s="13" t="str">
        <f>IFERROR(__xludf.DUMMYFUNCTION("""COMPUTED_VALUE"""),"BINTARA")</f>
        <v>BINTARA</v>
      </c>
      <c r="D537" s="2" t="str">
        <f>IFERROR(__xludf.DUMMYFUNCTION("""COMPUTED_VALUE"""),"10KM OVERALL M")</f>
        <v>10KM OVERALL M</v>
      </c>
      <c r="E537" s="1">
        <f>IFERROR(__xludf.DUMMYFUNCTION("""COMPUTED_VALUE"""),451.0)</f>
        <v>451</v>
      </c>
      <c r="F537" s="1" t="str">
        <f>IFERROR(__xludf.DUMMYFUNCTION("""COMPUTED_VALUE"""),"Male")</f>
        <v>Male</v>
      </c>
      <c r="G537" s="5">
        <f>IFERROR(__xludf.DUMMYFUNCTION("""COMPUTED_VALUE"""),0.005456402777777778)</f>
        <v>0.005456402778</v>
      </c>
      <c r="H537" s="14">
        <f>IFERROR(__xludf.DUMMYFUNCTION("""COMPUTED_VALUE"""),0.24646185185185185)</f>
        <v>0.2464618519</v>
      </c>
      <c r="I537" s="15">
        <f>IFERROR(__xludf.DUMMYFUNCTION("""COMPUTED_VALUE"""),45949.30102587404)</f>
        <v>45949.30103</v>
      </c>
      <c r="J537" s="15">
        <f>IFERROR(__xludf.DUMMYFUNCTION("""COMPUTED_VALUE"""),45949.05456402219)</f>
        <v>45949.05456</v>
      </c>
      <c r="K537" s="15">
        <f>IFERROR(__xludf.DUMMYFUNCTION("""COMPUTED_VALUE"""),45949.2576378649)</f>
        <v>45949.25764</v>
      </c>
      <c r="L537" s="15">
        <f>IFERROR(__xludf.DUMMYFUNCTION("""COMPUTED_VALUE"""),45949.29172487569)</f>
        <v>45949.29172</v>
      </c>
    </row>
    <row r="538">
      <c r="A538" s="1">
        <f>IFERROR(__xludf.DUMMYFUNCTION("""COMPUTED_VALUE"""),537.0)</f>
        <v>537</v>
      </c>
      <c r="B538" s="1">
        <f>IFERROR(__xludf.DUMMYFUNCTION("""COMPUTED_VALUE"""),10571.0)</f>
        <v>10571</v>
      </c>
      <c r="C538" s="13" t="str">
        <f>IFERROR(__xludf.DUMMYFUNCTION("""COMPUTED_VALUE"""),"Nagita")</f>
        <v>Nagita</v>
      </c>
      <c r="D538" s="2" t="str">
        <f>IFERROR(__xludf.DUMMYFUNCTION("""COMPUTED_VALUE"""),"10KM OVERALL F")</f>
        <v>10KM OVERALL F</v>
      </c>
      <c r="E538" s="1">
        <f>IFERROR(__xludf.DUMMYFUNCTION("""COMPUTED_VALUE"""),29.0)</f>
        <v>29</v>
      </c>
      <c r="F538" s="1" t="str">
        <f>IFERROR(__xludf.DUMMYFUNCTION("""COMPUTED_VALUE"""),"Female")</f>
        <v>Female</v>
      </c>
      <c r="G538" s="5">
        <f>IFERROR(__xludf.DUMMYFUNCTION("""COMPUTED_VALUE"""),0.005460222222222222)</f>
        <v>0.005460222222</v>
      </c>
      <c r="H538" s="14">
        <f>IFERROR(__xludf.DUMMYFUNCTION("""COMPUTED_VALUE"""),0.24646185185185185)</f>
        <v>0.2464618519</v>
      </c>
      <c r="I538" s="15">
        <f>IFERROR(__xludf.DUMMYFUNCTION("""COMPUTED_VALUE"""),45949.3010640798)</f>
        <v>45949.30106</v>
      </c>
      <c r="J538" s="15">
        <f>IFERROR(__xludf.DUMMYFUNCTION("""COMPUTED_VALUE"""),45949.05460222795)</f>
        <v>45949.0546</v>
      </c>
      <c r="K538" s="15">
        <f>IFERROR(__xludf.DUMMYFUNCTION("""COMPUTED_VALUE"""),45949.25773854526)</f>
        <v>45949.25774</v>
      </c>
      <c r="L538" s="15">
        <f>IFERROR(__xludf.DUMMYFUNCTION("""COMPUTED_VALUE"""),45949.291811718926)</f>
        <v>45949.29181</v>
      </c>
    </row>
    <row r="539">
      <c r="A539" s="1">
        <f>IFERROR(__xludf.DUMMYFUNCTION("""COMPUTED_VALUE"""),538.0)</f>
        <v>538</v>
      </c>
      <c r="B539" s="1">
        <f>IFERROR(__xludf.DUMMYFUNCTION("""COMPUTED_VALUE"""),10743.0)</f>
        <v>10743</v>
      </c>
      <c r="C539" s="13" t="str">
        <f>IFERROR(__xludf.DUMMYFUNCTION("""COMPUTED_VALUE"""),"PACER - ADISHA")</f>
        <v>PACER - ADISHA</v>
      </c>
      <c r="D539" s="2" t="str">
        <f>IFERROR(__xludf.DUMMYFUNCTION("""COMPUTED_VALUE"""),"10KM OVERALL F")</f>
        <v>10KM OVERALL F</v>
      </c>
      <c r="E539" s="1">
        <f>IFERROR(__xludf.DUMMYFUNCTION("""COMPUTED_VALUE"""),30.0)</f>
        <v>30</v>
      </c>
      <c r="F539" s="1" t="str">
        <f>IFERROR(__xludf.DUMMYFUNCTION("""COMPUTED_VALUE"""),"Female")</f>
        <v>Female</v>
      </c>
      <c r="G539" s="5">
        <f>IFERROR(__xludf.DUMMYFUNCTION("""COMPUTED_VALUE"""),0.005464734953703703)</f>
        <v>0.005464734954</v>
      </c>
      <c r="H539" s="14">
        <f>IFERROR(__xludf.DUMMYFUNCTION("""COMPUTED_VALUE"""),0.24646185185185185)</f>
        <v>0.2464618519</v>
      </c>
      <c r="I539" s="15">
        <f>IFERROR(__xludf.DUMMYFUNCTION("""COMPUTED_VALUE"""),45949.30110920698)</f>
        <v>45949.30111</v>
      </c>
      <c r="J539" s="15">
        <f>IFERROR(__xludf.DUMMYFUNCTION("""COMPUTED_VALUE"""),45949.05464735513)</f>
        <v>45949.05465</v>
      </c>
      <c r="K539" s="15">
        <f>IFERROR(__xludf.DUMMYFUNCTION("""COMPUTED_VALUE"""),45949.25932184183)</f>
        <v>45949.25932</v>
      </c>
      <c r="L539" s="15">
        <f>IFERROR(__xludf.DUMMYFUNCTION("""COMPUTED_VALUE"""),45949.29173870683)</f>
        <v>45949.29174</v>
      </c>
    </row>
    <row r="540">
      <c r="A540" s="1">
        <f>IFERROR(__xludf.DUMMYFUNCTION("""COMPUTED_VALUE"""),539.0)</f>
        <v>539</v>
      </c>
      <c r="B540" s="1">
        <f>IFERROR(__xludf.DUMMYFUNCTION("""COMPUTED_VALUE"""),10744.0)</f>
        <v>10744</v>
      </c>
      <c r="C540" s="13" t="str">
        <f>IFERROR(__xludf.DUMMYFUNCTION("""COMPUTED_VALUE"""),"PACER - RICHA")</f>
        <v>PACER - RICHA</v>
      </c>
      <c r="D540" s="2" t="str">
        <f>IFERROR(__xludf.DUMMYFUNCTION("""COMPUTED_VALUE"""),"10KM OVERALL F")</f>
        <v>10KM OVERALL F</v>
      </c>
      <c r="E540" s="1">
        <f>IFERROR(__xludf.DUMMYFUNCTION("""COMPUTED_VALUE"""),31.0)</f>
        <v>31</v>
      </c>
      <c r="F540" s="1" t="str">
        <f>IFERROR(__xludf.DUMMYFUNCTION("""COMPUTED_VALUE"""),"Female")</f>
        <v>Female</v>
      </c>
      <c r="G540" s="5">
        <f>IFERROR(__xludf.DUMMYFUNCTION("""COMPUTED_VALUE"""),0.005465076388888889)</f>
        <v>0.005465076389</v>
      </c>
      <c r="H540" s="14">
        <f>IFERROR(__xludf.DUMMYFUNCTION("""COMPUTED_VALUE"""),0.24646185185185185)</f>
        <v>0.2464618519</v>
      </c>
      <c r="I540" s="15">
        <f>IFERROR(__xludf.DUMMYFUNCTION("""COMPUTED_VALUE"""),45949.301112619934)</f>
        <v>45949.30111</v>
      </c>
      <c r="J540" s="15">
        <f>IFERROR(__xludf.DUMMYFUNCTION("""COMPUTED_VALUE"""),45949.054650768085)</f>
        <v>45949.05465</v>
      </c>
      <c r="K540" s="15">
        <f>IFERROR(__xludf.DUMMYFUNCTION("""COMPUTED_VALUE"""),45949.259339190095)</f>
        <v>45949.25934</v>
      </c>
      <c r="L540" s="15">
        <f>IFERROR(__xludf.DUMMYFUNCTION("""COMPUTED_VALUE"""),45949.291721410416)</f>
        <v>45949.29172</v>
      </c>
    </row>
    <row r="541">
      <c r="A541" s="1">
        <f>IFERROR(__xludf.DUMMYFUNCTION("""COMPUTED_VALUE"""),540.0)</f>
        <v>540</v>
      </c>
      <c r="B541" s="1">
        <f>IFERROR(__xludf.DUMMYFUNCTION("""COMPUTED_VALUE"""),10617.0)</f>
        <v>10617</v>
      </c>
      <c r="C541" s="13" t="str">
        <f>IFERROR(__xludf.DUMMYFUNCTION("""COMPUTED_VALUE"""),"Rusdi")</f>
        <v>Rusdi</v>
      </c>
      <c r="D541" s="2" t="str">
        <f>IFERROR(__xludf.DUMMYFUNCTION("""COMPUTED_VALUE"""),"10KM OVERALL M")</f>
        <v>10KM OVERALL M</v>
      </c>
      <c r="E541" s="1">
        <f>IFERROR(__xludf.DUMMYFUNCTION("""COMPUTED_VALUE"""),452.0)</f>
        <v>452</v>
      </c>
      <c r="F541" s="1" t="str">
        <f>IFERROR(__xludf.DUMMYFUNCTION("""COMPUTED_VALUE"""),"Male")</f>
        <v>Male</v>
      </c>
      <c r="G541" s="5">
        <f>IFERROR(__xludf.DUMMYFUNCTION("""COMPUTED_VALUE"""),0.005465076388888889)</f>
        <v>0.005465076389</v>
      </c>
      <c r="H541" s="14">
        <f>IFERROR(__xludf.DUMMYFUNCTION("""COMPUTED_VALUE"""),0.24646185185185185)</f>
        <v>0.2464618519</v>
      </c>
      <c r="I541" s="15">
        <f>IFERROR(__xludf.DUMMYFUNCTION("""COMPUTED_VALUE"""),45949.301112619934)</f>
        <v>45949.30111</v>
      </c>
      <c r="J541" s="15">
        <f>IFERROR(__xludf.DUMMYFUNCTION("""COMPUTED_VALUE"""),45949.054650768085)</f>
        <v>45949.05465</v>
      </c>
      <c r="K541" s="15">
        <f>IFERROR(__xludf.DUMMYFUNCTION("""COMPUTED_VALUE"""),45949.25820033601)</f>
        <v>45949.2582</v>
      </c>
      <c r="L541" s="15">
        <f>IFERROR(__xludf.DUMMYFUNCTION("""COMPUTED_VALUE"""),45949.292304696515)</f>
        <v>45949.2923</v>
      </c>
    </row>
    <row r="542">
      <c r="A542" s="1">
        <f>IFERROR(__xludf.DUMMYFUNCTION("""COMPUTED_VALUE"""),541.0)</f>
        <v>541</v>
      </c>
      <c r="B542" s="1">
        <f>IFERROR(__xludf.DUMMYFUNCTION("""COMPUTED_VALUE"""),10726.0)</f>
        <v>10726</v>
      </c>
      <c r="C542" s="13" t="str">
        <f>IFERROR(__xludf.DUMMYFUNCTION("""COMPUTED_VALUE"""),"PACER - DARMA")</f>
        <v>PACER - DARMA</v>
      </c>
      <c r="D542" s="2" t="str">
        <f>IFERROR(__xludf.DUMMYFUNCTION("""COMPUTED_VALUE"""),"10KM OVERALL M")</f>
        <v>10KM OVERALL M</v>
      </c>
      <c r="E542" s="1">
        <f>IFERROR(__xludf.DUMMYFUNCTION("""COMPUTED_VALUE"""),453.0)</f>
        <v>453</v>
      </c>
      <c r="F542" s="1" t="str">
        <f>IFERROR(__xludf.DUMMYFUNCTION("""COMPUTED_VALUE"""),"Male")</f>
        <v>Male</v>
      </c>
      <c r="G542" s="5">
        <f>IFERROR(__xludf.DUMMYFUNCTION("""COMPUTED_VALUE"""),0.005465078703703704)</f>
        <v>0.005465078704</v>
      </c>
      <c r="H542" s="14">
        <f>IFERROR(__xludf.DUMMYFUNCTION("""COMPUTED_VALUE"""),0.24646185185185185)</f>
        <v>0.2464618519</v>
      </c>
      <c r="I542" s="15">
        <f>IFERROR(__xludf.DUMMYFUNCTION("""COMPUTED_VALUE"""),45949.30111263626)</f>
        <v>45949.30111</v>
      </c>
      <c r="J542" s="15">
        <f>IFERROR(__xludf.DUMMYFUNCTION("""COMPUTED_VALUE"""),45949.05465078441)</f>
        <v>45949.05465</v>
      </c>
      <c r="K542" s="15">
        <f>IFERROR(__xludf.DUMMYFUNCTION("""COMPUTED_VALUE"""),45949.259360046744)</f>
        <v>45949.25936</v>
      </c>
      <c r="L542" s="15">
        <f>IFERROR(__xludf.DUMMYFUNCTION("""COMPUTED_VALUE"""),45949.29176305846)</f>
        <v>45949.29176</v>
      </c>
    </row>
    <row r="543">
      <c r="A543" s="1">
        <f>IFERROR(__xludf.DUMMYFUNCTION("""COMPUTED_VALUE"""),542.0)</f>
        <v>542</v>
      </c>
      <c r="B543" s="1">
        <f>IFERROR(__xludf.DUMMYFUNCTION("""COMPUTED_VALUE"""),10299.0)</f>
        <v>10299</v>
      </c>
      <c r="C543" s="13" t="str">
        <f>IFERROR(__xludf.DUMMYFUNCTION("""COMPUTED_VALUE"""),"Muhammad Parhani")</f>
        <v>Muhammad Parhani</v>
      </c>
      <c r="D543" s="2" t="str">
        <f>IFERROR(__xludf.DUMMYFUNCTION("""COMPUTED_VALUE"""),"10KM OVERALL M")</f>
        <v>10KM OVERALL M</v>
      </c>
      <c r="E543" s="1">
        <f>IFERROR(__xludf.DUMMYFUNCTION("""COMPUTED_VALUE"""),454.0)</f>
        <v>454</v>
      </c>
      <c r="F543" s="1" t="str">
        <f>IFERROR(__xludf.DUMMYFUNCTION("""COMPUTED_VALUE"""),"Male")</f>
        <v>Male</v>
      </c>
      <c r="G543" s="5">
        <f>IFERROR(__xludf.DUMMYFUNCTION("""COMPUTED_VALUE"""),0.005465777777777778)</f>
        <v>0.005465777778</v>
      </c>
      <c r="H543" s="14">
        <f>IFERROR(__xludf.DUMMYFUNCTION("""COMPUTED_VALUE"""),0.24646185185185185)</f>
        <v>0.2464618519</v>
      </c>
      <c r="I543" s="15">
        <f>IFERROR(__xludf.DUMMYFUNCTION("""COMPUTED_VALUE"""),45949.30111962993)</f>
        <v>45949.30112</v>
      </c>
      <c r="J543" s="15">
        <f>IFERROR(__xludf.DUMMYFUNCTION("""COMPUTED_VALUE"""),45949.05465777808)</f>
        <v>45949.05466</v>
      </c>
      <c r="K543" s="15">
        <f>IFERROR(__xludf.DUMMYFUNCTION("""COMPUTED_VALUE"""),45949.25757182944)</f>
        <v>45949.25757</v>
      </c>
      <c r="L543" s="15">
        <f>IFERROR(__xludf.DUMMYFUNCTION("""COMPUTED_VALUE"""),45949.291811718926)</f>
        <v>45949.29181</v>
      </c>
    </row>
    <row r="544">
      <c r="A544" s="1">
        <f>IFERROR(__xludf.DUMMYFUNCTION("""COMPUTED_VALUE"""),543.0)</f>
        <v>543</v>
      </c>
      <c r="B544" s="1">
        <f>IFERROR(__xludf.DUMMYFUNCTION("""COMPUTED_VALUE"""),12054.0)</f>
        <v>12054</v>
      </c>
      <c r="C544" s="13" t="str">
        <f>IFERROR(__xludf.DUMMYFUNCTION("""COMPUTED_VALUE"""),"Nugraha")</f>
        <v>Nugraha</v>
      </c>
      <c r="D544" s="2" t="str">
        <f>IFERROR(__xludf.DUMMYFUNCTION("""COMPUTED_VALUE"""),"10KM MASTER M")</f>
        <v>10KM MASTER M</v>
      </c>
      <c r="E544" s="1">
        <f>IFERROR(__xludf.DUMMYFUNCTION("""COMPUTED_VALUE"""),51.0)</f>
        <v>51</v>
      </c>
      <c r="F544" s="1" t="str">
        <f>IFERROR(__xludf.DUMMYFUNCTION("""COMPUTED_VALUE"""),"Male")</f>
        <v>Male</v>
      </c>
      <c r="G544" s="5">
        <f>IFERROR(__xludf.DUMMYFUNCTION("""COMPUTED_VALUE"""),0.005467854166666666)</f>
        <v>0.005467854167</v>
      </c>
      <c r="H544" s="14">
        <f>IFERROR(__xludf.DUMMYFUNCTION("""COMPUTED_VALUE"""),0.24646185185185185)</f>
        <v>0.2464618519</v>
      </c>
      <c r="I544" s="15">
        <f>IFERROR(__xludf.DUMMYFUNCTION("""COMPUTED_VALUE"""),45949.30114039433)</f>
        <v>45949.30114</v>
      </c>
      <c r="J544" s="15">
        <f>IFERROR(__xludf.DUMMYFUNCTION("""COMPUTED_VALUE"""),45949.05467854248)</f>
        <v>45949.05468</v>
      </c>
      <c r="K544" s="15">
        <f>IFERROR(__xludf.DUMMYFUNCTION("""COMPUTED_VALUE"""),45949.26099544991)</f>
        <v>45949.261</v>
      </c>
      <c r="L544" s="15">
        <f>IFERROR(__xludf.DUMMYFUNCTION("""COMPUTED_VALUE"""),45949.29259009744)</f>
        <v>45949.29259</v>
      </c>
    </row>
    <row r="545">
      <c r="A545" s="1">
        <f>IFERROR(__xludf.DUMMYFUNCTION("""COMPUTED_VALUE"""),544.0)</f>
        <v>544</v>
      </c>
      <c r="B545" s="1">
        <f>IFERROR(__xludf.DUMMYFUNCTION("""COMPUTED_VALUE"""),10086.0)</f>
        <v>10086</v>
      </c>
      <c r="C545" s="13" t="str">
        <f>IFERROR(__xludf.DUMMYFUNCTION("""COMPUTED_VALUE"""),"TUTEK")</f>
        <v>TUTEK</v>
      </c>
      <c r="D545" s="2" t="str">
        <f>IFERROR(__xludf.DUMMYFUNCTION("""COMPUTED_VALUE"""),"10KM OVERALL M")</f>
        <v>10KM OVERALL M</v>
      </c>
      <c r="E545" s="1">
        <f>IFERROR(__xludf.DUMMYFUNCTION("""COMPUTED_VALUE"""),455.0)</f>
        <v>455</v>
      </c>
      <c r="F545" s="1" t="str">
        <f>IFERROR(__xludf.DUMMYFUNCTION("""COMPUTED_VALUE"""),"Male")</f>
        <v>Male</v>
      </c>
      <c r="G545" s="5">
        <f>IFERROR(__xludf.DUMMYFUNCTION("""COMPUTED_VALUE"""),0.005467855324074074)</f>
        <v>0.005467855324</v>
      </c>
      <c r="H545" s="14">
        <f>IFERROR(__xludf.DUMMYFUNCTION("""COMPUTED_VALUE"""),0.24646185185185185)</f>
        <v>0.2464618519</v>
      </c>
      <c r="I545" s="15">
        <f>IFERROR(__xludf.DUMMYFUNCTION("""COMPUTED_VALUE"""),45949.301140406336)</f>
        <v>45949.30114</v>
      </c>
      <c r="J545" s="15">
        <f>IFERROR(__xludf.DUMMYFUNCTION("""COMPUTED_VALUE"""),45949.05467855449)</f>
        <v>45949.05468</v>
      </c>
      <c r="K545" s="15">
        <f>IFERROR(__xludf.DUMMYFUNCTION("""COMPUTED_VALUE"""),45949.25930793807)</f>
        <v>45949.25931</v>
      </c>
      <c r="L545" s="15">
        <f>IFERROR(__xludf.DUMMYFUNCTION("""COMPUTED_VALUE"""),45949.291578992365)</f>
        <v>45949.29158</v>
      </c>
    </row>
    <row r="546">
      <c r="A546" s="1">
        <f>IFERROR(__xludf.DUMMYFUNCTION("""COMPUTED_VALUE"""),545.0)</f>
        <v>545</v>
      </c>
      <c r="B546" s="1">
        <f>IFERROR(__xludf.DUMMYFUNCTION("""COMPUTED_VALUE"""),10078.0)</f>
        <v>10078</v>
      </c>
      <c r="C546" s="13" t="str">
        <f>IFERROR(__xludf.DUMMYFUNCTION("""COMPUTED_VALUE"""),"MATA ELANG 20KV")</f>
        <v>MATA ELANG 20KV</v>
      </c>
      <c r="D546" s="2" t="str">
        <f>IFERROR(__xludf.DUMMYFUNCTION("""COMPUTED_VALUE"""),"10KM OVERALL M")</f>
        <v>10KM OVERALL M</v>
      </c>
      <c r="E546" s="1">
        <f>IFERROR(__xludf.DUMMYFUNCTION("""COMPUTED_VALUE"""),456.0)</f>
        <v>456</v>
      </c>
      <c r="F546" s="1" t="str">
        <f>IFERROR(__xludf.DUMMYFUNCTION("""COMPUTED_VALUE"""),"Male")</f>
        <v>Male</v>
      </c>
      <c r="G546" s="5">
        <f>IFERROR(__xludf.DUMMYFUNCTION("""COMPUTED_VALUE"""),0.005469943287037037)</f>
        <v>0.005469943287</v>
      </c>
      <c r="H546" s="14">
        <f>IFERROR(__xludf.DUMMYFUNCTION("""COMPUTED_VALUE"""),0.24646185185185185)</f>
        <v>0.2464618519</v>
      </c>
      <c r="I546" s="15">
        <f>IFERROR(__xludf.DUMMYFUNCTION("""COMPUTED_VALUE"""),45949.30116128253)</f>
        <v>45949.30116</v>
      </c>
      <c r="J546" s="15">
        <f>IFERROR(__xludf.DUMMYFUNCTION("""COMPUTED_VALUE"""),45949.05469943068)</f>
        <v>45949.0547</v>
      </c>
      <c r="K546" s="15">
        <f>IFERROR(__xludf.DUMMYFUNCTION("""COMPUTED_VALUE"""),45949.257814947225)</f>
        <v>45949.25781</v>
      </c>
      <c r="L546" s="15">
        <f>IFERROR(__xludf.DUMMYFUNCTION("""COMPUTED_VALUE"""),45949.29178389023)</f>
        <v>45949.29178</v>
      </c>
    </row>
    <row r="547">
      <c r="A547" s="1">
        <f>IFERROR(__xludf.DUMMYFUNCTION("""COMPUTED_VALUE"""),546.0)</f>
        <v>546</v>
      </c>
      <c r="B547" s="1">
        <f>IFERROR(__xludf.DUMMYFUNCTION("""COMPUTED_VALUE"""),10729.0)</f>
        <v>10729</v>
      </c>
      <c r="C547" s="13" t="str">
        <f>IFERROR(__xludf.DUMMYFUNCTION("""COMPUTED_VALUE"""),"ANDRI SUMADIO")</f>
        <v>ANDRI SUMADIO</v>
      </c>
      <c r="D547" s="2" t="str">
        <f>IFERROR(__xludf.DUMMYFUNCTION("""COMPUTED_VALUE"""),"10KM OVERALL M")</f>
        <v>10KM OVERALL M</v>
      </c>
      <c r="E547" s="1">
        <f>IFERROR(__xludf.DUMMYFUNCTION("""COMPUTED_VALUE"""),457.0)</f>
        <v>457</v>
      </c>
      <c r="F547" s="1" t="str">
        <f>IFERROR(__xludf.DUMMYFUNCTION("""COMPUTED_VALUE"""),"Male")</f>
        <v>Male</v>
      </c>
      <c r="G547" s="5">
        <f>IFERROR(__xludf.DUMMYFUNCTION("""COMPUTED_VALUE"""),0.00547202662037037)</f>
        <v>0.00547202662</v>
      </c>
      <c r="H547" s="14">
        <f>IFERROR(__xludf.DUMMYFUNCTION("""COMPUTED_VALUE"""),0.24646185185185185)</f>
        <v>0.2464618519</v>
      </c>
      <c r="I547" s="15">
        <f>IFERROR(__xludf.DUMMYFUNCTION("""COMPUTED_VALUE"""),45949.301182121824)</f>
        <v>45949.30118</v>
      </c>
      <c r="J547" s="15">
        <f>IFERROR(__xludf.DUMMYFUNCTION("""COMPUTED_VALUE"""),45949.054720269974)</f>
        <v>45949.05472</v>
      </c>
      <c r="K547" s="15">
        <f>IFERROR(__xludf.DUMMYFUNCTION("""COMPUTED_VALUE"""),45949.25799543722)</f>
        <v>45949.258</v>
      </c>
      <c r="L547" s="15">
        <f>IFERROR(__xludf.DUMMYFUNCTION("""COMPUTED_VALUE"""),45949.29073526246)</f>
        <v>45949.29074</v>
      </c>
    </row>
    <row r="548">
      <c r="A548" s="1">
        <f>IFERROR(__xludf.DUMMYFUNCTION("""COMPUTED_VALUE"""),547.0)</f>
        <v>547</v>
      </c>
      <c r="B548" s="1">
        <f>IFERROR(__xludf.DUMMYFUNCTION("""COMPUTED_VALUE"""),10135.0)</f>
        <v>10135</v>
      </c>
      <c r="C548" s="13" t="str">
        <f>IFERROR(__xludf.DUMMYFUNCTION("""COMPUTED_VALUE"""),"Muza")</f>
        <v>Muza</v>
      </c>
      <c r="D548" s="2" t="str">
        <f>IFERROR(__xludf.DUMMYFUNCTION("""COMPUTED_VALUE"""),"10KM OVERALL F")</f>
        <v>10KM OVERALL F</v>
      </c>
      <c r="E548" s="1">
        <f>IFERROR(__xludf.DUMMYFUNCTION("""COMPUTED_VALUE"""),32.0)</f>
        <v>32</v>
      </c>
      <c r="F548" s="1" t="str">
        <f>IFERROR(__xludf.DUMMYFUNCTION("""COMPUTED_VALUE"""),"Female")</f>
        <v>Female</v>
      </c>
      <c r="G548" s="5">
        <f>IFERROR(__xludf.DUMMYFUNCTION("""COMPUTED_VALUE"""),0.00547480787037037)</f>
        <v>0.00547480787</v>
      </c>
      <c r="H548" s="14">
        <f>IFERROR(__xludf.DUMMYFUNCTION("""COMPUTED_VALUE"""),0.24646185185185185)</f>
        <v>0.2464618519</v>
      </c>
      <c r="I548" s="15">
        <f>IFERROR(__xludf.DUMMYFUNCTION("""COMPUTED_VALUE"""),45949.301209927435)</f>
        <v>45949.30121</v>
      </c>
      <c r="J548" s="15">
        <f>IFERROR(__xludf.DUMMYFUNCTION("""COMPUTED_VALUE"""),45949.054748075585)</f>
        <v>45949.05475</v>
      </c>
      <c r="K548" s="15">
        <f>IFERROR(__xludf.DUMMYFUNCTION("""COMPUTED_VALUE"""),45949.2583947475)</f>
        <v>45949.25839</v>
      </c>
      <c r="L548" s="15">
        <f>IFERROR(__xludf.DUMMYFUNCTION("""COMPUTED_VALUE"""),45949.290950555616)</f>
        <v>45949.29095</v>
      </c>
    </row>
    <row r="549">
      <c r="A549" s="1">
        <f>IFERROR(__xludf.DUMMYFUNCTION("""COMPUTED_VALUE"""),548.0)</f>
        <v>548</v>
      </c>
      <c r="B549" s="1">
        <f>IFERROR(__xludf.DUMMYFUNCTION("""COMPUTED_VALUE"""),10514.0)</f>
        <v>10514</v>
      </c>
      <c r="C549" s="13" t="str">
        <f>IFERROR(__xludf.DUMMYFUNCTION("""COMPUTED_VALUE"""),"Rafi")</f>
        <v>Rafi</v>
      </c>
      <c r="D549" s="2" t="str">
        <f>IFERROR(__xludf.DUMMYFUNCTION("""COMPUTED_VALUE"""),"10KM OVERALL F")</f>
        <v>10KM OVERALL F</v>
      </c>
      <c r="E549" s="1">
        <f>IFERROR(__xludf.DUMMYFUNCTION("""COMPUTED_VALUE"""),33.0)</f>
        <v>33</v>
      </c>
      <c r="F549" s="1" t="str">
        <f>IFERROR(__xludf.DUMMYFUNCTION("""COMPUTED_VALUE"""),"Female")</f>
        <v>Female</v>
      </c>
      <c r="G549" s="5">
        <f>IFERROR(__xludf.DUMMYFUNCTION("""COMPUTED_VALUE"""),0.005483832175925926)</f>
        <v>0.005483832176</v>
      </c>
      <c r="H549" s="14">
        <f>IFERROR(__xludf.DUMMYFUNCTION("""COMPUTED_VALUE"""),0.24646185185185185)</f>
        <v>0.2464618519</v>
      </c>
      <c r="I549" s="15">
        <f>IFERROR(__xludf.DUMMYFUNCTION("""COMPUTED_VALUE"""),45949.30130017801)</f>
        <v>45949.3013</v>
      </c>
      <c r="J549" s="15">
        <f>IFERROR(__xludf.DUMMYFUNCTION("""COMPUTED_VALUE"""),45949.05483832616)</f>
        <v>45949.05484</v>
      </c>
      <c r="K549" s="15">
        <f>IFERROR(__xludf.DUMMYFUNCTION("""COMPUTED_VALUE"""),45949.25983223948)</f>
        <v>45949.25983</v>
      </c>
      <c r="L549" s="15">
        <f>IFERROR(__xludf.DUMMYFUNCTION("""COMPUTED_VALUE"""),45949.29234984076)</f>
        <v>45949.29235</v>
      </c>
    </row>
    <row r="550">
      <c r="A550" s="1">
        <f>IFERROR(__xludf.DUMMYFUNCTION("""COMPUTED_VALUE"""),549.0)</f>
        <v>549</v>
      </c>
      <c r="B550" s="1">
        <f>IFERROR(__xludf.DUMMYFUNCTION("""COMPUTED_VALUE"""),10007.0)</f>
        <v>10007</v>
      </c>
      <c r="C550" s="13" t="str">
        <f>IFERROR(__xludf.DUMMYFUNCTION("""COMPUTED_VALUE"""),"Regatta")</f>
        <v>Regatta</v>
      </c>
      <c r="D550" s="2" t="str">
        <f>IFERROR(__xludf.DUMMYFUNCTION("""COMPUTED_VALUE"""),"10KM OVERALL M")</f>
        <v>10KM OVERALL M</v>
      </c>
      <c r="E550" s="1">
        <f>IFERROR(__xludf.DUMMYFUNCTION("""COMPUTED_VALUE"""),458.0)</f>
        <v>458</v>
      </c>
      <c r="F550" s="1" t="str">
        <f>IFERROR(__xludf.DUMMYFUNCTION("""COMPUTED_VALUE"""),"Male")</f>
        <v>Male</v>
      </c>
      <c r="G550" s="5">
        <f>IFERROR(__xludf.DUMMYFUNCTION("""COMPUTED_VALUE"""),0.005503277777777779)</f>
        <v>0.005503277778</v>
      </c>
      <c r="H550" s="14">
        <f>IFERROR(__xludf.DUMMYFUNCTION("""COMPUTED_VALUE"""),0.24646185185185185)</f>
        <v>0.2464618519</v>
      </c>
      <c r="I550" s="15">
        <f>IFERROR(__xludf.DUMMYFUNCTION("""COMPUTED_VALUE"""),45949.301494624815)</f>
        <v>45949.30149</v>
      </c>
      <c r="J550" s="15">
        <f>IFERROR(__xludf.DUMMYFUNCTION("""COMPUTED_VALUE"""),45949.055032772965)</f>
        <v>45949.05503</v>
      </c>
      <c r="K550" s="15">
        <f>IFERROR(__xludf.DUMMYFUNCTION("""COMPUTED_VALUE"""),45949.25915186367)</f>
        <v>45949.25915</v>
      </c>
      <c r="L550" s="15">
        <f>IFERROR(__xludf.DUMMYFUNCTION("""COMPUTED_VALUE"""),45949.2927526726)</f>
        <v>45949.29275</v>
      </c>
    </row>
    <row r="551">
      <c r="A551" s="1">
        <f>IFERROR(__xludf.DUMMYFUNCTION("""COMPUTED_VALUE"""),550.0)</f>
        <v>550</v>
      </c>
      <c r="B551" s="1">
        <f>IFERROR(__xludf.DUMMYFUNCTION("""COMPUTED_VALUE"""),10056.0)</f>
        <v>10056</v>
      </c>
      <c r="C551" s="13" t="str">
        <f>IFERROR(__xludf.DUMMYFUNCTION("""COMPUTED_VALUE"""),"Toni Rusady")</f>
        <v>Toni Rusady</v>
      </c>
      <c r="D551" s="2" t="str">
        <f>IFERROR(__xludf.DUMMYFUNCTION("""COMPUTED_VALUE"""),"10KM OVERALL M")</f>
        <v>10KM OVERALL M</v>
      </c>
      <c r="E551" s="1">
        <f>IFERROR(__xludf.DUMMYFUNCTION("""COMPUTED_VALUE"""),459.0)</f>
        <v>459</v>
      </c>
      <c r="F551" s="1" t="str">
        <f>IFERROR(__xludf.DUMMYFUNCTION("""COMPUTED_VALUE"""),"Male")</f>
        <v>Male</v>
      </c>
      <c r="G551" s="5">
        <f>IFERROR(__xludf.DUMMYFUNCTION("""COMPUTED_VALUE"""),0.005503623842592593)</f>
        <v>0.005503623843</v>
      </c>
      <c r="H551" s="14">
        <f>IFERROR(__xludf.DUMMYFUNCTION("""COMPUTED_VALUE"""),0.24646185185185185)</f>
        <v>0.2464618519</v>
      </c>
      <c r="I551" s="15">
        <f>IFERROR(__xludf.DUMMYFUNCTION("""COMPUTED_VALUE"""),45949.30149809239)</f>
        <v>45949.3015</v>
      </c>
      <c r="J551" s="15">
        <f>IFERROR(__xludf.DUMMYFUNCTION("""COMPUTED_VALUE"""),45949.05503624054)</f>
        <v>45949.05504</v>
      </c>
      <c r="K551" s="15">
        <f>IFERROR(__xludf.DUMMYFUNCTION("""COMPUTED_VALUE"""),45949.26006838154)</f>
        <v>45949.26007</v>
      </c>
      <c r="L551" s="15">
        <f>IFERROR(__xludf.DUMMYFUNCTION("""COMPUTED_VALUE"""),45949.29167622607)</f>
        <v>45949.29168</v>
      </c>
    </row>
    <row r="552">
      <c r="A552" s="1">
        <f>IFERROR(__xludf.DUMMYFUNCTION("""COMPUTED_VALUE"""),551.0)</f>
        <v>551</v>
      </c>
      <c r="B552" s="1">
        <f>IFERROR(__xludf.DUMMYFUNCTION("""COMPUTED_VALUE"""),12071.0)</f>
        <v>12071</v>
      </c>
      <c r="C552" s="13" t="str">
        <f>IFERROR(__xludf.DUMMYFUNCTION("""COMPUTED_VALUE"""),"APRI")</f>
        <v>APRI</v>
      </c>
      <c r="D552" s="2" t="str">
        <f>IFERROR(__xludf.DUMMYFUNCTION("""COMPUTED_VALUE"""),"10KM MASTER M")</f>
        <v>10KM MASTER M</v>
      </c>
      <c r="E552" s="1">
        <f>IFERROR(__xludf.DUMMYFUNCTION("""COMPUTED_VALUE"""),52.0)</f>
        <v>52</v>
      </c>
      <c r="F552" s="1" t="str">
        <f>IFERROR(__xludf.DUMMYFUNCTION("""COMPUTED_VALUE"""),"Male")</f>
        <v>Male</v>
      </c>
      <c r="G552" s="5">
        <f>IFERROR(__xludf.DUMMYFUNCTION("""COMPUTED_VALUE"""),0.005507443287037036)</f>
        <v>0.005507443287</v>
      </c>
      <c r="H552" s="14">
        <f>IFERROR(__xludf.DUMMYFUNCTION("""COMPUTED_VALUE"""),0.24646185185185185)</f>
        <v>0.2464618519</v>
      </c>
      <c r="I552" s="15">
        <f>IFERROR(__xludf.DUMMYFUNCTION("""COMPUTED_VALUE"""),45949.30153628334)</f>
        <v>45949.30154</v>
      </c>
      <c r="J552" s="15">
        <f>IFERROR(__xludf.DUMMYFUNCTION("""COMPUTED_VALUE"""),45949.05507443149)</f>
        <v>45949.05507</v>
      </c>
      <c r="K552" s="15">
        <f>IFERROR(__xludf.DUMMYFUNCTION("""COMPUTED_VALUE"""),45949.26268641332)</f>
        <v>45949.26269</v>
      </c>
      <c r="L552" s="15">
        <f>IFERROR(__xludf.DUMMYFUNCTION("""COMPUTED_VALUE"""),45949.292683200845)</f>
        <v>45949.29268</v>
      </c>
    </row>
    <row r="553">
      <c r="A553" s="1">
        <f>IFERROR(__xludf.DUMMYFUNCTION("""COMPUTED_VALUE"""),552.0)</f>
        <v>552</v>
      </c>
      <c r="B553" s="1">
        <f>IFERROR(__xludf.DUMMYFUNCTION("""COMPUTED_VALUE"""),10666.0)</f>
        <v>10666</v>
      </c>
      <c r="C553" s="13" t="str">
        <f>IFERROR(__xludf.DUMMYFUNCTION("""COMPUTED_VALUE"""),"Logistik TNB")</f>
        <v>Logistik TNB</v>
      </c>
      <c r="D553" s="2" t="str">
        <f>IFERROR(__xludf.DUMMYFUNCTION("""COMPUTED_VALUE"""),"10KM OVERALL M")</f>
        <v>10KM OVERALL M</v>
      </c>
      <c r="E553" s="1">
        <f>IFERROR(__xludf.DUMMYFUNCTION("""COMPUTED_VALUE"""),460.0)</f>
        <v>460</v>
      </c>
      <c r="F553" s="1" t="str">
        <f>IFERROR(__xludf.DUMMYFUNCTION("""COMPUTED_VALUE"""),"Male")</f>
        <v>Male</v>
      </c>
      <c r="G553" s="5">
        <f>IFERROR(__xludf.DUMMYFUNCTION("""COMPUTED_VALUE"""),0.005509179398148148)</f>
        <v>0.005509179398</v>
      </c>
      <c r="H553" s="14">
        <f>IFERROR(__xludf.DUMMYFUNCTION("""COMPUTED_VALUE"""),0.24646185185185185)</f>
        <v>0.2464618519</v>
      </c>
      <c r="I553" s="15">
        <f>IFERROR(__xludf.DUMMYFUNCTION("""COMPUTED_VALUE"""),45949.30155364479)</f>
        <v>45949.30155</v>
      </c>
      <c r="J553" s="15">
        <f>IFERROR(__xludf.DUMMYFUNCTION("""COMPUTED_VALUE"""),45949.05509179294)</f>
        <v>45949.05509</v>
      </c>
      <c r="K553" s="15">
        <f>IFERROR(__xludf.DUMMYFUNCTION("""COMPUTED_VALUE"""),45949.25733578309)</f>
        <v>45949.25734</v>
      </c>
      <c r="L553" s="15">
        <f>IFERROR(__xludf.DUMMYFUNCTION("""COMPUTED_VALUE"""),45949.292346362105)</f>
        <v>45949.29235</v>
      </c>
    </row>
    <row r="554">
      <c r="A554" s="1">
        <f>IFERROR(__xludf.DUMMYFUNCTION("""COMPUTED_VALUE"""),553.0)</f>
        <v>553</v>
      </c>
      <c r="B554" s="1">
        <f>IFERROR(__xludf.DUMMYFUNCTION("""COMPUTED_VALUE"""),10085.0)</f>
        <v>10085</v>
      </c>
      <c r="C554" s="13" t="str">
        <f>IFERROR(__xludf.DUMMYFUNCTION("""COMPUTED_VALUE"""),"Rizki Wahyu")</f>
        <v>Rizki Wahyu</v>
      </c>
      <c r="D554" s="2" t="str">
        <f>IFERROR(__xludf.DUMMYFUNCTION("""COMPUTED_VALUE"""),"10KM OVERALL M")</f>
        <v>10KM OVERALL M</v>
      </c>
      <c r="E554" s="1">
        <f>IFERROR(__xludf.DUMMYFUNCTION("""COMPUTED_VALUE"""),461.0)</f>
        <v>461</v>
      </c>
      <c r="F554" s="1" t="str">
        <f>IFERROR(__xludf.DUMMYFUNCTION("""COMPUTED_VALUE"""),"Male")</f>
        <v>Male</v>
      </c>
      <c r="G554" s="5">
        <f>IFERROR(__xludf.DUMMYFUNCTION("""COMPUTED_VALUE"""),0.005511679398148148)</f>
        <v>0.005511679398</v>
      </c>
      <c r="H554" s="14">
        <f>IFERROR(__xludf.DUMMYFUNCTION("""COMPUTED_VALUE"""),0.24646185185185185)</f>
        <v>0.2464618519</v>
      </c>
      <c r="I554" s="15">
        <f>IFERROR(__xludf.DUMMYFUNCTION("""COMPUTED_VALUE"""),45949.301578650724)</f>
        <v>45949.30158</v>
      </c>
      <c r="J554" s="15">
        <f>IFERROR(__xludf.DUMMYFUNCTION("""COMPUTED_VALUE"""),45949.055116798874)</f>
        <v>45949.05512</v>
      </c>
      <c r="K554" s="15">
        <f>IFERROR(__xludf.DUMMYFUNCTION("""COMPUTED_VALUE"""),45949.259544045424)</f>
        <v>45949.25954</v>
      </c>
      <c r="L554" s="15">
        <f>IFERROR(__xludf.DUMMYFUNCTION("""COMPUTED_VALUE"""),45949.29179436579)</f>
        <v>45949.29179</v>
      </c>
    </row>
    <row r="555">
      <c r="A555" s="1">
        <f>IFERROR(__xludf.DUMMYFUNCTION("""COMPUTED_VALUE"""),554.0)</f>
        <v>554</v>
      </c>
      <c r="B555" s="1">
        <f>IFERROR(__xludf.DUMMYFUNCTION("""COMPUTED_VALUE"""),10781.0)</f>
        <v>10781</v>
      </c>
      <c r="C555" s="13" t="str">
        <f>IFERROR(__xludf.DUMMYFUNCTION("""COMPUTED_VALUE"""),"WAKAPOLDA")</f>
        <v>WAKAPOLDA</v>
      </c>
      <c r="D555" s="2" t="str">
        <f>IFERROR(__xludf.DUMMYFUNCTION("""COMPUTED_VALUE"""),"10KM OVERALL M")</f>
        <v>10KM OVERALL M</v>
      </c>
      <c r="E555" s="1">
        <f>IFERROR(__xludf.DUMMYFUNCTION("""COMPUTED_VALUE"""),462.0)</f>
        <v>462</v>
      </c>
      <c r="F555" s="1" t="str">
        <f>IFERROR(__xludf.DUMMYFUNCTION("""COMPUTED_VALUE"""),"Male")</f>
        <v>Male</v>
      </c>
      <c r="G555" s="5">
        <f>IFERROR(__xludf.DUMMYFUNCTION("""COMPUTED_VALUE"""),0.005516127314814815)</f>
        <v>0.005516127315</v>
      </c>
      <c r="H555" s="14">
        <f>IFERROR(__xludf.DUMMYFUNCTION("""COMPUTED_VALUE"""),0.24646185185185185)</f>
        <v>0.2464618519</v>
      </c>
      <c r="I555" s="15">
        <f>IFERROR(__xludf.DUMMYFUNCTION("""COMPUTED_VALUE"""),45949.30162311931)</f>
        <v>45949.30162</v>
      </c>
      <c r="J555" s="15">
        <f>IFERROR(__xludf.DUMMYFUNCTION("""COMPUTED_VALUE"""),45949.05516126746)</f>
        <v>45949.05516</v>
      </c>
      <c r="K555" s="15">
        <f>IFERROR(__xludf.DUMMYFUNCTION("""COMPUTED_VALUE"""),45949.25964479812)</f>
        <v>45949.25964</v>
      </c>
      <c r="L555" s="15">
        <f>IFERROR(__xludf.DUMMYFUNCTION("""COMPUTED_VALUE"""),45949.29173870683)</f>
        <v>45949.29174</v>
      </c>
    </row>
    <row r="556">
      <c r="A556" s="1">
        <f>IFERROR(__xludf.DUMMYFUNCTION("""COMPUTED_VALUE"""),555.0)</f>
        <v>555</v>
      </c>
      <c r="B556" s="1">
        <f>IFERROR(__xludf.DUMMYFUNCTION("""COMPUTED_VALUE"""),10128.0)</f>
        <v>10128</v>
      </c>
      <c r="C556" s="13" t="str">
        <f>IFERROR(__xludf.DUMMYFUNCTION("""COMPUTED_VALUE"""),"Sanz10")</f>
        <v>Sanz10</v>
      </c>
      <c r="D556" s="2" t="str">
        <f>IFERROR(__xludf.DUMMYFUNCTION("""COMPUTED_VALUE"""),"10KM OVERALL M")</f>
        <v>10KM OVERALL M</v>
      </c>
      <c r="E556" s="1">
        <f>IFERROR(__xludf.DUMMYFUNCTION("""COMPUTED_VALUE"""),463.0)</f>
        <v>463</v>
      </c>
      <c r="F556" s="1" t="str">
        <f>IFERROR(__xludf.DUMMYFUNCTION("""COMPUTED_VALUE"""),"Male")</f>
        <v>Male</v>
      </c>
      <c r="G556" s="5">
        <f>IFERROR(__xludf.DUMMYFUNCTION("""COMPUTED_VALUE"""),0.005522026620370371)</f>
        <v>0.00552202662</v>
      </c>
      <c r="H556" s="14">
        <f>IFERROR(__xludf.DUMMYFUNCTION("""COMPUTED_VALUE"""),0.24646185185185185)</f>
        <v>0.2464618519</v>
      </c>
      <c r="I556" s="15">
        <f>IFERROR(__xludf.DUMMYFUNCTION("""COMPUTED_VALUE"""),45949.30168211425)</f>
        <v>45949.30168</v>
      </c>
      <c r="J556" s="15">
        <f>IFERROR(__xludf.DUMMYFUNCTION("""COMPUTED_VALUE"""),45949.0552202624)</f>
        <v>45949.05522</v>
      </c>
      <c r="K556" s="15">
        <f>IFERROR(__xludf.DUMMYFUNCTION("""COMPUTED_VALUE"""),45949.25850585172)</f>
        <v>45949.25851</v>
      </c>
      <c r="L556" s="15">
        <f>IFERROR(__xludf.DUMMYFUNCTION("""COMPUTED_VALUE"""),45949.29122489865)</f>
        <v>45949.29122</v>
      </c>
    </row>
    <row r="557">
      <c r="A557" s="1">
        <f>IFERROR(__xludf.DUMMYFUNCTION("""COMPUTED_VALUE"""),556.0)</f>
        <v>556</v>
      </c>
      <c r="B557" s="1">
        <f>IFERROR(__xludf.DUMMYFUNCTION("""COMPUTED_VALUE"""),12063.0)</f>
        <v>12063</v>
      </c>
      <c r="C557" s="13" t="str">
        <f>IFERROR(__xludf.DUMMYFUNCTION("""COMPUTED_VALUE"""),"NOODHY SMITH S")</f>
        <v>NOODHY SMITH S</v>
      </c>
      <c r="D557" s="2" t="str">
        <f>IFERROR(__xludf.DUMMYFUNCTION("""COMPUTED_VALUE"""),"10KM MASTER M")</f>
        <v>10KM MASTER M</v>
      </c>
      <c r="E557" s="1">
        <f>IFERROR(__xludf.DUMMYFUNCTION("""COMPUTED_VALUE"""),53.0)</f>
        <v>53</v>
      </c>
      <c r="F557" s="1" t="str">
        <f>IFERROR(__xludf.DUMMYFUNCTION("""COMPUTED_VALUE"""),"Male")</f>
        <v>Male</v>
      </c>
      <c r="G557" s="5">
        <f>IFERROR(__xludf.DUMMYFUNCTION("""COMPUTED_VALUE"""),0.005526534722222223)</f>
        <v>0.005526534722</v>
      </c>
      <c r="H557" s="14">
        <f>IFERROR(__xludf.DUMMYFUNCTION("""COMPUTED_VALUE"""),0.24646185185185185)</f>
        <v>0.2464618519</v>
      </c>
      <c r="I557" s="15">
        <f>IFERROR(__xludf.DUMMYFUNCTION("""COMPUTED_VALUE"""),45949.30172720033)</f>
        <v>45949.30173</v>
      </c>
      <c r="J557" s="15">
        <f>IFERROR(__xludf.DUMMYFUNCTION("""COMPUTED_VALUE"""),45949.05526534848)</f>
        <v>45949.05527</v>
      </c>
      <c r="K557" s="15">
        <f>IFERROR(__xludf.DUMMYFUNCTION("""COMPUTED_VALUE"""),45949.259241962434)</f>
        <v>45949.25924</v>
      </c>
      <c r="L557" s="15">
        <f>IFERROR(__xludf.DUMMYFUNCTION("""COMPUTED_VALUE"""),45949.29164854744)</f>
        <v>45949.29165</v>
      </c>
    </row>
    <row r="558">
      <c r="A558" s="1">
        <f>IFERROR(__xludf.DUMMYFUNCTION("""COMPUTED_VALUE"""),557.0)</f>
        <v>557</v>
      </c>
      <c r="B558" s="1">
        <f>IFERROR(__xludf.DUMMYFUNCTION("""COMPUTED_VALUE"""),10527.0)</f>
        <v>10527</v>
      </c>
      <c r="C558" s="13" t="str">
        <f>IFERROR(__xludf.DUMMYFUNCTION("""COMPUTED_VALUE"""),"FAISAL A.")</f>
        <v>FAISAL A.</v>
      </c>
      <c r="D558" s="2" t="str">
        <f>IFERROR(__xludf.DUMMYFUNCTION("""COMPUTED_VALUE"""),"10KM OVERALL M")</f>
        <v>10KM OVERALL M</v>
      </c>
      <c r="E558" s="1">
        <f>IFERROR(__xludf.DUMMYFUNCTION("""COMPUTED_VALUE"""),464.0)</f>
        <v>464</v>
      </c>
      <c r="F558" s="1" t="str">
        <f>IFERROR(__xludf.DUMMYFUNCTION("""COMPUTED_VALUE"""),"Male")</f>
        <v>Male</v>
      </c>
      <c r="G558" s="5">
        <f>IFERROR(__xludf.DUMMYFUNCTION("""COMPUTED_VALUE"""),0.005534179398148148)</f>
        <v>0.005534179398</v>
      </c>
      <c r="H558" s="14">
        <f>IFERROR(__xludf.DUMMYFUNCTION("""COMPUTED_VALUE"""),0.24646185185185185)</f>
        <v>0.2464618519</v>
      </c>
      <c r="I558" s="15">
        <f>IFERROR(__xludf.DUMMYFUNCTION("""COMPUTED_VALUE"""),45949.30180364375)</f>
        <v>45949.3018</v>
      </c>
      <c r="J558" s="15">
        <f>IFERROR(__xludf.DUMMYFUNCTION("""COMPUTED_VALUE"""),45949.0553417919)</f>
        <v>45949.05534</v>
      </c>
      <c r="K558" s="15">
        <f>IFERROR(__xludf.DUMMYFUNCTION("""COMPUTED_VALUE"""),45949.260519817675)</f>
        <v>45949.26052</v>
      </c>
      <c r="L558" s="15">
        <f>IFERROR(__xludf.DUMMYFUNCTION("""COMPUTED_VALUE"""),45949.29289154349)</f>
        <v>45949.29289</v>
      </c>
    </row>
    <row r="559">
      <c r="A559" s="1">
        <f>IFERROR(__xludf.DUMMYFUNCTION("""COMPUTED_VALUE"""),558.0)</f>
        <v>558</v>
      </c>
      <c r="B559" s="1">
        <f>IFERROR(__xludf.DUMMYFUNCTION("""COMPUTED_VALUE"""),10648.0)</f>
        <v>10648</v>
      </c>
      <c r="C559" s="13" t="str">
        <f>IFERROR(__xludf.DUMMYFUNCTION("""COMPUTED_VALUE"""),"AzmiArfn")</f>
        <v>AzmiArfn</v>
      </c>
      <c r="D559" s="2" t="str">
        <f>IFERROR(__xludf.DUMMYFUNCTION("""COMPUTED_VALUE"""),"10KM OVERALL M")</f>
        <v>10KM OVERALL M</v>
      </c>
      <c r="E559" s="1">
        <f>IFERROR(__xludf.DUMMYFUNCTION("""COMPUTED_VALUE"""),465.0)</f>
        <v>465</v>
      </c>
      <c r="F559" s="1" t="str">
        <f>IFERROR(__xludf.DUMMYFUNCTION("""COMPUTED_VALUE"""),"Male")</f>
        <v>Male</v>
      </c>
      <c r="G559" s="5">
        <f>IFERROR(__xludf.DUMMYFUNCTION("""COMPUTED_VALUE"""),0.0055359155092592595)</f>
        <v>0.005535915509</v>
      </c>
      <c r="H559" s="14">
        <f>IFERROR(__xludf.DUMMYFUNCTION("""COMPUTED_VALUE"""),0.24646185185185185)</f>
        <v>0.2464618519</v>
      </c>
      <c r="I559" s="15">
        <f>IFERROR(__xludf.DUMMYFUNCTION("""COMPUTED_VALUE"""),45949.30182100803)</f>
        <v>45949.30182</v>
      </c>
      <c r="J559" s="15">
        <f>IFERROR(__xludf.DUMMYFUNCTION("""COMPUTED_VALUE"""),45949.055359156184)</f>
        <v>45949.05536</v>
      </c>
      <c r="K559" s="15">
        <f>IFERROR(__xludf.DUMMYFUNCTION("""COMPUTED_VALUE"""),45949.26053716834)</f>
        <v>45949.26054</v>
      </c>
      <c r="L559" s="15">
        <f>IFERROR(__xludf.DUMMYFUNCTION("""COMPUTED_VALUE"""),45949.292881097455)</f>
        <v>45949.29288</v>
      </c>
    </row>
    <row r="560">
      <c r="A560" s="1">
        <f>IFERROR(__xludf.DUMMYFUNCTION("""COMPUTED_VALUE"""),559.0)</f>
        <v>559</v>
      </c>
      <c r="B560" s="1">
        <f>IFERROR(__xludf.DUMMYFUNCTION("""COMPUTED_VALUE"""),10313.0)</f>
        <v>10313</v>
      </c>
      <c r="C560" s="13" t="str">
        <f>IFERROR(__xludf.DUMMYFUNCTION("""COMPUTED_VALUE"""),"Muhammad Noor Zaini")</f>
        <v>Muhammad Noor Zaini</v>
      </c>
      <c r="D560" s="2" t="str">
        <f>IFERROR(__xludf.DUMMYFUNCTION("""COMPUTED_VALUE"""),"10KM OVERALL M")</f>
        <v>10KM OVERALL M</v>
      </c>
      <c r="E560" s="1">
        <f>IFERROR(__xludf.DUMMYFUNCTION("""COMPUTED_VALUE"""),466.0)</f>
        <v>466</v>
      </c>
      <c r="F560" s="1" t="str">
        <f>IFERROR(__xludf.DUMMYFUNCTION("""COMPUTED_VALUE"""),"Male")</f>
        <v>Male</v>
      </c>
      <c r="G560" s="5">
        <f>IFERROR(__xludf.DUMMYFUNCTION("""COMPUTED_VALUE"""),0.005538693287037036)</f>
        <v>0.005538693287</v>
      </c>
      <c r="H560" s="14">
        <f>IFERROR(__xludf.DUMMYFUNCTION("""COMPUTED_VALUE"""),0.24646185185185185)</f>
        <v>0.2464618519</v>
      </c>
      <c r="I560" s="15">
        <f>IFERROR(__xludf.DUMMYFUNCTION("""COMPUTED_VALUE"""),45949.30184878331)</f>
        <v>45949.30185</v>
      </c>
      <c r="J560" s="15">
        <f>IFERROR(__xludf.DUMMYFUNCTION("""COMPUTED_VALUE"""),45949.05538693146)</f>
        <v>45949.05539</v>
      </c>
      <c r="K560" s="15">
        <f>IFERROR(__xludf.DUMMYFUNCTION("""COMPUTED_VALUE"""),45949.25932186486)</f>
        <v>45949.25932</v>
      </c>
      <c r="L560" s="15">
        <f>IFERROR(__xludf.DUMMYFUNCTION("""COMPUTED_VALUE"""),45949.29184982846)</f>
        <v>45949.29185</v>
      </c>
    </row>
    <row r="561">
      <c r="A561" s="1">
        <f>IFERROR(__xludf.DUMMYFUNCTION("""COMPUTED_VALUE"""),560.0)</f>
        <v>560</v>
      </c>
      <c r="B561" s="1">
        <f>IFERROR(__xludf.DUMMYFUNCTION("""COMPUTED_VALUE"""),10241.0)</f>
        <v>10241</v>
      </c>
      <c r="C561" s="13" t="str">
        <f>IFERROR(__xludf.DUMMYFUNCTION("""COMPUTED_VALUE"""),"NDN")</f>
        <v>NDN</v>
      </c>
      <c r="D561" s="2" t="str">
        <f>IFERROR(__xludf.DUMMYFUNCTION("""COMPUTED_VALUE"""),"10KM OVERALL M")</f>
        <v>10KM OVERALL M</v>
      </c>
      <c r="E561" s="1">
        <f>IFERROR(__xludf.DUMMYFUNCTION("""COMPUTED_VALUE"""),467.0)</f>
        <v>467</v>
      </c>
      <c r="F561" s="1" t="str">
        <f>IFERROR(__xludf.DUMMYFUNCTION("""COMPUTED_VALUE"""),"Male")</f>
        <v>Male</v>
      </c>
      <c r="G561" s="5">
        <f>IFERROR(__xludf.DUMMYFUNCTION("""COMPUTED_VALUE"""),0.0055411875)</f>
        <v>0.0055411875</v>
      </c>
      <c r="H561" s="14">
        <f>IFERROR(__xludf.DUMMYFUNCTION("""COMPUTED_VALUE"""),0.24646185185185185)</f>
        <v>0.2464618519</v>
      </c>
      <c r="I561" s="15">
        <f>IFERROR(__xludf.DUMMYFUNCTION("""COMPUTED_VALUE"""),45949.30187372629)</f>
        <v>45949.30187</v>
      </c>
      <c r="J561" s="15">
        <f>IFERROR(__xludf.DUMMYFUNCTION("""COMPUTED_VALUE"""),45949.05541187444)</f>
        <v>45949.05541</v>
      </c>
      <c r="K561" s="15">
        <f>IFERROR(__xludf.DUMMYFUNCTION("""COMPUTED_VALUE"""),45949.26056141021)</f>
        <v>45949.26056</v>
      </c>
      <c r="L561" s="15">
        <f>IFERROR(__xludf.DUMMYFUNCTION("""COMPUTED_VALUE"""),45949.29308940437)</f>
        <v>45949.29309</v>
      </c>
    </row>
    <row r="562">
      <c r="A562" s="1">
        <f>IFERROR(__xludf.DUMMYFUNCTION("""COMPUTED_VALUE"""),561.0)</f>
        <v>561</v>
      </c>
      <c r="B562" s="1">
        <f>IFERROR(__xludf.DUMMYFUNCTION("""COMPUTED_VALUE"""),10235.0)</f>
        <v>10235</v>
      </c>
      <c r="C562" s="13" t="str">
        <f>IFERROR(__xludf.DUMMYFUNCTION("""COMPUTED_VALUE"""),"MAULANA")</f>
        <v>MAULANA</v>
      </c>
      <c r="D562" s="2" t="str">
        <f>IFERROR(__xludf.DUMMYFUNCTION("""COMPUTED_VALUE"""),"10KM OVERALL M")</f>
        <v>10KM OVERALL M</v>
      </c>
      <c r="E562" s="1">
        <f>IFERROR(__xludf.DUMMYFUNCTION("""COMPUTED_VALUE"""),468.0)</f>
        <v>468</v>
      </c>
      <c r="F562" s="1" t="str">
        <f>IFERROR(__xludf.DUMMYFUNCTION("""COMPUTED_VALUE"""),"Male")</f>
        <v>Male</v>
      </c>
      <c r="G562" s="5">
        <f>IFERROR(__xludf.DUMMYFUNCTION("""COMPUTED_VALUE"""),0.005547377314814815)</f>
        <v>0.005547377315</v>
      </c>
      <c r="H562" s="14">
        <f>IFERROR(__xludf.DUMMYFUNCTION("""COMPUTED_VALUE"""),0.24646185185185185)</f>
        <v>0.2464618519</v>
      </c>
      <c r="I562" s="15">
        <f>IFERROR(__xludf.DUMMYFUNCTION("""COMPUTED_VALUE"""),45949.30193562398)</f>
        <v>45949.30194</v>
      </c>
      <c r="J562" s="15">
        <f>IFERROR(__xludf.DUMMYFUNCTION("""COMPUTED_VALUE"""),45949.05547377213)</f>
        <v>45949.05547</v>
      </c>
      <c r="K562" s="15">
        <f>IFERROR(__xludf.DUMMYFUNCTION("""COMPUTED_VALUE"""),45949.258863543924)</f>
        <v>45949.25886</v>
      </c>
      <c r="L562" s="15">
        <f>IFERROR(__xludf.DUMMYFUNCTION("""COMPUTED_VALUE"""),45949.291335979215)</f>
        <v>45949.29134</v>
      </c>
    </row>
    <row r="563">
      <c r="A563" s="1">
        <f>IFERROR(__xludf.DUMMYFUNCTION("""COMPUTED_VALUE"""),562.0)</f>
        <v>562</v>
      </c>
      <c r="B563" s="1">
        <f>IFERROR(__xludf.DUMMYFUNCTION("""COMPUTED_VALUE"""),10081.0)</f>
        <v>10081</v>
      </c>
      <c r="C563" s="13" t="str">
        <f>IFERROR(__xludf.DUMMYFUNCTION("""COMPUTED_VALUE"""),"MAHROS")</f>
        <v>MAHROS</v>
      </c>
      <c r="D563" s="2" t="str">
        <f>IFERROR(__xludf.DUMMYFUNCTION("""COMPUTED_VALUE"""),"10KM OVERALL M")</f>
        <v>10KM OVERALL M</v>
      </c>
      <c r="E563" s="1">
        <f>IFERROR(__xludf.DUMMYFUNCTION("""COMPUTED_VALUE"""),469.0)</f>
        <v>469</v>
      </c>
      <c r="F563" s="1" t="str">
        <f>IFERROR(__xludf.DUMMYFUNCTION("""COMPUTED_VALUE"""),"Male")</f>
        <v>Male</v>
      </c>
      <c r="G563" s="5">
        <f>IFERROR(__xludf.DUMMYFUNCTION("""COMPUTED_VALUE"""),0.005549452546296296)</f>
        <v>0.005549452546</v>
      </c>
      <c r="H563" s="14">
        <f>IFERROR(__xludf.DUMMYFUNCTION("""COMPUTED_VALUE"""),0.24646185185185185)</f>
        <v>0.2464618519</v>
      </c>
      <c r="I563" s="15">
        <f>IFERROR(__xludf.DUMMYFUNCTION("""COMPUTED_VALUE"""),45949.301956374846)</f>
        <v>45949.30196</v>
      </c>
      <c r="J563" s="15">
        <f>IFERROR(__xludf.DUMMYFUNCTION("""COMPUTED_VALUE"""),45949.055494522996)</f>
        <v>45949.05549</v>
      </c>
      <c r="K563" s="15">
        <f>IFERROR(__xludf.DUMMYFUNCTION("""COMPUTED_VALUE"""),45949.25905801642)</f>
        <v>45949.25906</v>
      </c>
      <c r="L563" s="15">
        <f>IFERROR(__xludf.DUMMYFUNCTION("""COMPUTED_VALUE"""),45949.29204779115)</f>
        <v>45949.29205</v>
      </c>
    </row>
    <row r="564">
      <c r="A564" s="1">
        <f>IFERROR(__xludf.DUMMYFUNCTION("""COMPUTED_VALUE"""),563.0)</f>
        <v>563</v>
      </c>
      <c r="B564" s="1">
        <f>IFERROR(__xludf.DUMMYFUNCTION("""COMPUTED_VALUE"""),10531.0)</f>
        <v>10531</v>
      </c>
      <c r="C564" s="13" t="str">
        <f>IFERROR(__xludf.DUMMYFUNCTION("""COMPUTED_VALUE"""),"Agung Pribadi")</f>
        <v>Agung Pribadi</v>
      </c>
      <c r="D564" s="2" t="str">
        <f>IFERROR(__xludf.DUMMYFUNCTION("""COMPUTED_VALUE"""),"10KM OVERALL M")</f>
        <v>10KM OVERALL M</v>
      </c>
      <c r="E564" s="1">
        <f>IFERROR(__xludf.DUMMYFUNCTION("""COMPUTED_VALUE"""),470.0)</f>
        <v>470</v>
      </c>
      <c r="F564" s="1" t="str">
        <f>IFERROR(__xludf.DUMMYFUNCTION("""COMPUTED_VALUE"""),"Male")</f>
        <v>Male</v>
      </c>
      <c r="G564" s="5">
        <f>IFERROR(__xludf.DUMMYFUNCTION("""COMPUTED_VALUE"""),0.005553971064814815)</f>
        <v>0.005553971065</v>
      </c>
      <c r="H564" s="14">
        <f>IFERROR(__xludf.DUMMYFUNCTION("""COMPUTED_VALUE"""),0.24646185185185185)</f>
        <v>0.2464618519</v>
      </c>
      <c r="I564" s="15">
        <f>IFERROR(__xludf.DUMMYFUNCTION("""COMPUTED_VALUE"""),45949.30200156736)</f>
        <v>45949.302</v>
      </c>
      <c r="J564" s="15">
        <f>IFERROR(__xludf.DUMMYFUNCTION("""COMPUTED_VALUE"""),45949.05553971551)</f>
        <v>45949.05554</v>
      </c>
      <c r="K564" s="15">
        <f>IFERROR(__xludf.DUMMYFUNCTION("""COMPUTED_VALUE"""),45949.258551044986)</f>
        <v>45949.25855</v>
      </c>
      <c r="L564" s="15">
        <f>IFERROR(__xludf.DUMMYFUNCTION("""COMPUTED_VALUE"""),45949.292634607744)</f>
        <v>45949.29263</v>
      </c>
    </row>
    <row r="565">
      <c r="A565" s="1">
        <f>IFERROR(__xludf.DUMMYFUNCTION("""COMPUTED_VALUE"""),564.0)</f>
        <v>564</v>
      </c>
      <c r="B565" s="1">
        <f>IFERROR(__xludf.DUMMYFUNCTION("""COMPUTED_VALUE"""),10458.0)</f>
        <v>10458</v>
      </c>
      <c r="C565" s="13" t="str">
        <f>IFERROR(__xludf.DUMMYFUNCTION("""COMPUTED_VALUE"""),"Yudi")</f>
        <v>Yudi</v>
      </c>
      <c r="D565" s="2" t="str">
        <f>IFERROR(__xludf.DUMMYFUNCTION("""COMPUTED_VALUE"""),"10KM OVERALL M")</f>
        <v>10KM OVERALL M</v>
      </c>
      <c r="E565" s="1">
        <f>IFERROR(__xludf.DUMMYFUNCTION("""COMPUTED_VALUE"""),471.0)</f>
        <v>471</v>
      </c>
      <c r="F565" s="1" t="str">
        <f>IFERROR(__xludf.DUMMYFUNCTION("""COMPUTED_VALUE"""),"Male")</f>
        <v>Male</v>
      </c>
      <c r="G565" s="5">
        <f>IFERROR(__xludf.DUMMYFUNCTION("""COMPUTED_VALUE"""),0.0055622997685185185)</f>
        <v>0.005562299769</v>
      </c>
      <c r="H565" s="14">
        <f>IFERROR(__xludf.DUMMYFUNCTION("""COMPUTED_VALUE"""),0.24646185185185185)</f>
        <v>0.2464618519</v>
      </c>
      <c r="I565" s="15">
        <f>IFERROR(__xludf.DUMMYFUNCTION("""COMPUTED_VALUE"""),45949.30208484461)</f>
        <v>45949.30208</v>
      </c>
      <c r="J565" s="15">
        <f>IFERROR(__xludf.DUMMYFUNCTION("""COMPUTED_VALUE"""),45949.05562299276)</f>
        <v>45949.05562</v>
      </c>
      <c r="K565" s="15">
        <f>IFERROR(__xludf.DUMMYFUNCTION("""COMPUTED_VALUE"""),45949.258377434024)</f>
        <v>45949.25838</v>
      </c>
      <c r="L565" s="15">
        <f>IFERROR(__xludf.DUMMYFUNCTION("""COMPUTED_VALUE"""),45949.29274570829)</f>
        <v>45949.29275</v>
      </c>
    </row>
    <row r="566">
      <c r="A566" s="1">
        <f>IFERROR(__xludf.DUMMYFUNCTION("""COMPUTED_VALUE"""),565.0)</f>
        <v>565</v>
      </c>
      <c r="B566" s="1">
        <f>IFERROR(__xludf.DUMMYFUNCTION("""COMPUTED_VALUE"""),10652.0)</f>
        <v>10652</v>
      </c>
      <c r="C566" s="13" t="str">
        <f>IFERROR(__xludf.DUMMYFUNCTION("""COMPUTED_VALUE"""),"pelari badut")</f>
        <v>pelari badut</v>
      </c>
      <c r="D566" s="2" t="str">
        <f>IFERROR(__xludf.DUMMYFUNCTION("""COMPUTED_VALUE"""),"10KM OVERALL M")</f>
        <v>10KM OVERALL M</v>
      </c>
      <c r="E566" s="1">
        <f>IFERROR(__xludf.DUMMYFUNCTION("""COMPUTED_VALUE"""),472.0)</f>
        <v>472</v>
      </c>
      <c r="F566" s="1" t="str">
        <f>IFERROR(__xludf.DUMMYFUNCTION("""COMPUTED_VALUE"""),"Male")</f>
        <v>Male</v>
      </c>
      <c r="G566" s="5">
        <f>IFERROR(__xludf.DUMMYFUNCTION("""COMPUTED_VALUE"""),0.005564729166666667)</f>
        <v>0.005564729167</v>
      </c>
      <c r="H566" s="14">
        <f>IFERROR(__xludf.DUMMYFUNCTION("""COMPUTED_VALUE"""),0.24646185185185185)</f>
        <v>0.2464618519</v>
      </c>
      <c r="I566" s="15">
        <f>IFERROR(__xludf.DUMMYFUNCTION("""COMPUTED_VALUE"""),45949.302109143704)</f>
        <v>45949.30211</v>
      </c>
      <c r="J566" s="15">
        <f>IFERROR(__xludf.DUMMYFUNCTION("""COMPUTED_VALUE"""),45949.055647291854)</f>
        <v>45949.05565</v>
      </c>
      <c r="K566" s="15">
        <f>IFERROR(__xludf.DUMMYFUNCTION("""COMPUTED_VALUE"""),45949.257676044646)</f>
        <v>45949.25768</v>
      </c>
      <c r="L566" s="15">
        <f>IFERROR(__xludf.DUMMYFUNCTION("""COMPUTED_VALUE"""),45949.29364500218)</f>
        <v>45949.29365</v>
      </c>
    </row>
    <row r="567">
      <c r="A567" s="1">
        <f>IFERROR(__xludf.DUMMYFUNCTION("""COMPUTED_VALUE"""),566.0)</f>
        <v>566</v>
      </c>
      <c r="B567" s="1">
        <f>IFERROR(__xludf.DUMMYFUNCTION("""COMPUTED_VALUE"""),10495.0)</f>
        <v>10495</v>
      </c>
      <c r="C567" s="13" t="str">
        <f>IFERROR(__xludf.DUMMYFUNCTION("""COMPUTED_VALUE"""),"Pelari Jawa")</f>
        <v>Pelari Jawa</v>
      </c>
      <c r="D567" s="2" t="str">
        <f>IFERROR(__xludf.DUMMYFUNCTION("""COMPUTED_VALUE"""),"10KM OVERALL M")</f>
        <v>10KM OVERALL M</v>
      </c>
      <c r="E567" s="1">
        <f>IFERROR(__xludf.DUMMYFUNCTION("""COMPUTED_VALUE"""),473.0)</f>
        <v>473</v>
      </c>
      <c r="F567" s="1" t="str">
        <f>IFERROR(__xludf.DUMMYFUNCTION("""COMPUTED_VALUE"""),"Male")</f>
        <v>Male</v>
      </c>
      <c r="G567" s="5">
        <f>IFERROR(__xludf.DUMMYFUNCTION("""COMPUTED_VALUE"""),0.005565082175925926)</f>
        <v>0.005565082176</v>
      </c>
      <c r="H567" s="14">
        <f>IFERROR(__xludf.DUMMYFUNCTION("""COMPUTED_VALUE"""),0.24646185185185185)</f>
        <v>0.2464618519</v>
      </c>
      <c r="I567" s="15">
        <f>IFERROR(__xludf.DUMMYFUNCTION("""COMPUTED_VALUE"""),45949.30211267115)</f>
        <v>45949.30211</v>
      </c>
      <c r="J567" s="15">
        <f>IFERROR(__xludf.DUMMYFUNCTION("""COMPUTED_VALUE"""),45949.0556508193)</f>
        <v>45949.05565</v>
      </c>
      <c r="K567" s="15">
        <f>IFERROR(__xludf.DUMMYFUNCTION("""COMPUTED_VALUE"""),45949.258557948684)</f>
        <v>45949.25856</v>
      </c>
      <c r="L567" s="15">
        <f>IFERROR(__xludf.DUMMYFUNCTION("""COMPUTED_VALUE"""),45949.29363807937)</f>
        <v>45949.29364</v>
      </c>
    </row>
    <row r="568">
      <c r="A568" s="1">
        <f>IFERROR(__xludf.DUMMYFUNCTION("""COMPUTED_VALUE"""),567.0)</f>
        <v>567</v>
      </c>
      <c r="B568" s="1">
        <f>IFERROR(__xludf.DUMMYFUNCTION("""COMPUTED_VALUE"""),10631.0)</f>
        <v>10631</v>
      </c>
      <c r="C568" s="13" t="str">
        <f>IFERROR(__xludf.DUMMYFUNCTION("""COMPUTED_VALUE"""),"JJWT")</f>
        <v>JJWT</v>
      </c>
      <c r="D568" s="2" t="str">
        <f>IFERROR(__xludf.DUMMYFUNCTION("""COMPUTED_VALUE"""),"10KM OVERALL F")</f>
        <v>10KM OVERALL F</v>
      </c>
      <c r="E568" s="1">
        <f>IFERROR(__xludf.DUMMYFUNCTION("""COMPUTED_VALUE"""),34.0)</f>
        <v>34</v>
      </c>
      <c r="F568" s="1" t="str">
        <f>IFERROR(__xludf.DUMMYFUNCTION("""COMPUTED_VALUE"""),"Female")</f>
        <v>Female</v>
      </c>
      <c r="G568" s="5">
        <f>IFERROR(__xludf.DUMMYFUNCTION("""COMPUTED_VALUE"""),0.005567859953703704)</f>
        <v>0.005567859954</v>
      </c>
      <c r="H568" s="14">
        <f>IFERROR(__xludf.DUMMYFUNCTION("""COMPUTED_VALUE"""),0.24646185185185185)</f>
        <v>0.2464618519</v>
      </c>
      <c r="I568" s="15">
        <f>IFERROR(__xludf.DUMMYFUNCTION("""COMPUTED_VALUE"""),45949.302140446096)</f>
        <v>45949.30214</v>
      </c>
      <c r="J568" s="15">
        <f>IFERROR(__xludf.DUMMYFUNCTION("""COMPUTED_VALUE"""),45949.055678594246)</f>
        <v>45949.05568</v>
      </c>
      <c r="K568" s="15">
        <f>IFERROR(__xludf.DUMMYFUNCTION("""COMPUTED_VALUE"""),45949.259314967945)</f>
        <v>45949.25931</v>
      </c>
      <c r="L568" s="15">
        <f>IFERROR(__xludf.DUMMYFUNCTION("""COMPUTED_VALUE"""),45949.29265196735)</f>
        <v>45949.29265</v>
      </c>
    </row>
    <row r="569">
      <c r="A569" s="1">
        <f>IFERROR(__xludf.DUMMYFUNCTION("""COMPUTED_VALUE"""),568.0)</f>
        <v>568</v>
      </c>
      <c r="B569" s="1">
        <f>IFERROR(__xludf.DUMMYFUNCTION("""COMPUTED_VALUE"""),10076.0)</f>
        <v>10076</v>
      </c>
      <c r="C569" s="13" t="str">
        <f>IFERROR(__xludf.DUMMYFUNCTION("""COMPUTED_VALUE"""),"andri")</f>
        <v>andri</v>
      </c>
      <c r="D569" s="2" t="str">
        <f>IFERROR(__xludf.DUMMYFUNCTION("""COMPUTED_VALUE"""),"10KM OVERALL M")</f>
        <v>10KM OVERALL M</v>
      </c>
      <c r="E569" s="1">
        <f>IFERROR(__xludf.DUMMYFUNCTION("""COMPUTED_VALUE"""),474.0)</f>
        <v>474</v>
      </c>
      <c r="F569" s="1" t="str">
        <f>IFERROR(__xludf.DUMMYFUNCTION("""COMPUTED_VALUE"""),"Male")</f>
        <v>Male</v>
      </c>
      <c r="G569" s="5">
        <f>IFERROR(__xludf.DUMMYFUNCTION("""COMPUTED_VALUE"""),0.005570638888888889)</f>
        <v>0.005570638889</v>
      </c>
      <c r="H569" s="14">
        <f>IFERROR(__xludf.DUMMYFUNCTION("""COMPUTED_VALUE"""),0.24646185185185185)</f>
        <v>0.2464618519</v>
      </c>
      <c r="I569" s="15">
        <f>IFERROR(__xludf.DUMMYFUNCTION("""COMPUTED_VALUE"""),45949.302168235925)</f>
        <v>45949.30217</v>
      </c>
      <c r="J569" s="15">
        <f>IFERROR(__xludf.DUMMYFUNCTION("""COMPUTED_VALUE"""),45949.055706384075)</f>
        <v>45949.05571</v>
      </c>
      <c r="K569" s="15">
        <f>IFERROR(__xludf.DUMMYFUNCTION("""COMPUTED_VALUE"""),45949.26197460372)</f>
        <v>45949.26197</v>
      </c>
      <c r="L569" s="15">
        <f>IFERROR(__xludf.DUMMYFUNCTION("""COMPUTED_VALUE"""),45949.29261029411)</f>
        <v>45949.29261</v>
      </c>
    </row>
    <row r="570">
      <c r="A570" s="1">
        <f>IFERROR(__xludf.DUMMYFUNCTION("""COMPUTED_VALUE"""),569.0)</f>
        <v>569</v>
      </c>
      <c r="B570" s="1">
        <f>IFERROR(__xludf.DUMMYFUNCTION("""COMPUTED_VALUE"""),10228.0)</f>
        <v>10228</v>
      </c>
      <c r="C570" s="13" t="str">
        <f>IFERROR(__xludf.DUMMYFUNCTION("""COMPUTED_VALUE"""),"Ahlun")</f>
        <v>Ahlun</v>
      </c>
      <c r="D570" s="2" t="str">
        <f>IFERROR(__xludf.DUMMYFUNCTION("""COMPUTED_VALUE"""),"10KM OVERALL M")</f>
        <v>10KM OVERALL M</v>
      </c>
      <c r="E570" s="1">
        <f>IFERROR(__xludf.DUMMYFUNCTION("""COMPUTED_VALUE"""),475.0)</f>
        <v>475</v>
      </c>
      <c r="F570" s="1" t="str">
        <f>IFERROR(__xludf.DUMMYFUNCTION("""COMPUTED_VALUE"""),"Male")</f>
        <v>Male</v>
      </c>
      <c r="G570" s="5">
        <f>IFERROR(__xludf.DUMMYFUNCTION("""COMPUTED_VALUE"""),0.0055713263888888895)</f>
        <v>0.005571326389</v>
      </c>
      <c r="H570" s="14">
        <f>IFERROR(__xludf.DUMMYFUNCTION("""COMPUTED_VALUE"""),0.24646185185185185)</f>
        <v>0.2464618519</v>
      </c>
      <c r="I570" s="15">
        <f>IFERROR(__xludf.DUMMYFUNCTION("""COMPUTED_VALUE"""),45949.30217512093)</f>
        <v>45949.30218</v>
      </c>
      <c r="J570" s="15">
        <f>IFERROR(__xludf.DUMMYFUNCTION("""COMPUTED_VALUE"""),45949.05571326908)</f>
        <v>45949.05571</v>
      </c>
      <c r="K570" s="15">
        <f>IFERROR(__xludf.DUMMYFUNCTION("""COMPUTED_VALUE"""),45949.25938119922)</f>
        <v>45949.25938</v>
      </c>
      <c r="L570" s="15">
        <f>IFERROR(__xludf.DUMMYFUNCTION("""COMPUTED_VALUE"""),45949.29271792469)</f>
        <v>45949.29272</v>
      </c>
    </row>
    <row r="571">
      <c r="A571" s="1">
        <f>IFERROR(__xludf.DUMMYFUNCTION("""COMPUTED_VALUE"""),570.0)</f>
        <v>570</v>
      </c>
      <c r="B571" s="1">
        <f>IFERROR(__xludf.DUMMYFUNCTION("""COMPUTED_VALUE"""),10037.0)</f>
        <v>10037</v>
      </c>
      <c r="C571" s="13" t="str">
        <f>IFERROR(__xludf.DUMMYFUNCTION("""COMPUTED_VALUE"""),"Azmi")</f>
        <v>Azmi</v>
      </c>
      <c r="D571" s="2" t="str">
        <f>IFERROR(__xludf.DUMMYFUNCTION("""COMPUTED_VALUE"""),"10KM OVERALL M")</f>
        <v>10KM OVERALL M</v>
      </c>
      <c r="E571" s="1">
        <f>IFERROR(__xludf.DUMMYFUNCTION("""COMPUTED_VALUE"""),476.0)</f>
        <v>476</v>
      </c>
      <c r="F571" s="1" t="str">
        <f>IFERROR(__xludf.DUMMYFUNCTION("""COMPUTED_VALUE"""),"Male")</f>
        <v>Male</v>
      </c>
      <c r="G571" s="5">
        <f>IFERROR(__xludf.DUMMYFUNCTION("""COMPUTED_VALUE"""),0.005573068287037038)</f>
        <v>0.005573068287</v>
      </c>
      <c r="H571" s="14">
        <f>IFERROR(__xludf.DUMMYFUNCTION("""COMPUTED_VALUE"""),0.24646185185185185)</f>
        <v>0.2464618519</v>
      </c>
      <c r="I571" s="15">
        <f>IFERROR(__xludf.DUMMYFUNCTION("""COMPUTED_VALUE"""),45949.30219253912)</f>
        <v>45949.30219</v>
      </c>
      <c r="J571" s="15">
        <f>IFERROR(__xludf.DUMMYFUNCTION("""COMPUTED_VALUE"""),45949.05573068727)</f>
        <v>45949.05573</v>
      </c>
      <c r="K571" s="15">
        <f>IFERROR(__xludf.DUMMYFUNCTION("""COMPUTED_VALUE"""),45949.259432956846)</f>
        <v>45949.25943</v>
      </c>
      <c r="L571" s="15">
        <f>IFERROR(__xludf.DUMMYFUNCTION("""COMPUTED_VALUE"""),45949.29273530152)</f>
        <v>45949.29274</v>
      </c>
    </row>
    <row r="572">
      <c r="A572" s="1">
        <f>IFERROR(__xludf.DUMMYFUNCTION("""COMPUTED_VALUE"""),571.0)</f>
        <v>571</v>
      </c>
      <c r="B572" s="1">
        <f>IFERROR(__xludf.DUMMYFUNCTION("""COMPUTED_VALUE"""),10371.0)</f>
        <v>10371</v>
      </c>
      <c r="C572" s="13" t="str">
        <f>IFERROR(__xludf.DUMMYFUNCTION("""COMPUTED_VALUE"""),"Damai Putra")</f>
        <v>Damai Putra</v>
      </c>
      <c r="D572" s="2" t="str">
        <f>IFERROR(__xludf.DUMMYFUNCTION("""COMPUTED_VALUE"""),"10KM OVERALL M")</f>
        <v>10KM OVERALL M</v>
      </c>
      <c r="E572" s="1">
        <f>IFERROR(__xludf.DUMMYFUNCTION("""COMPUTED_VALUE"""),477.0)</f>
        <v>477</v>
      </c>
      <c r="F572" s="1" t="str">
        <f>IFERROR(__xludf.DUMMYFUNCTION("""COMPUTED_VALUE"""),"Male")</f>
        <v>Male</v>
      </c>
      <c r="G572" s="5">
        <f>IFERROR(__xludf.DUMMYFUNCTION("""COMPUTED_VALUE"""),0.005579711805555556)</f>
        <v>0.005579711806</v>
      </c>
      <c r="H572" s="14">
        <f>IFERROR(__xludf.DUMMYFUNCTION("""COMPUTED_VALUE"""),0.24646185185185185)</f>
        <v>0.2464618519</v>
      </c>
      <c r="I572" s="15">
        <f>IFERROR(__xludf.DUMMYFUNCTION("""COMPUTED_VALUE"""),45949.302258967335)</f>
        <v>45949.30226</v>
      </c>
      <c r="J572" s="15">
        <f>IFERROR(__xludf.DUMMYFUNCTION("""COMPUTED_VALUE"""),45949.055797115485)</f>
        <v>45949.0558</v>
      </c>
      <c r="K572" s="15">
        <f>IFERROR(__xludf.DUMMYFUNCTION("""COMPUTED_VALUE"""),45949.25949545711)</f>
        <v>45949.2595</v>
      </c>
      <c r="L572" s="15">
        <f>IFERROR(__xludf.DUMMYFUNCTION("""COMPUTED_VALUE"""),45949.29269015821)</f>
        <v>45949.29269</v>
      </c>
    </row>
    <row r="573">
      <c r="A573" s="1">
        <f>IFERROR(__xludf.DUMMYFUNCTION("""COMPUTED_VALUE"""),572.0)</f>
        <v>572</v>
      </c>
      <c r="B573" s="1">
        <f>IFERROR(__xludf.DUMMYFUNCTION("""COMPUTED_VALUE"""),10436.0)</f>
        <v>10436</v>
      </c>
      <c r="C573" s="13" t="str">
        <f>IFERROR(__xludf.DUMMYFUNCTION("""COMPUTED_VALUE"""),"Irsad")</f>
        <v>Irsad</v>
      </c>
      <c r="D573" s="2" t="str">
        <f>IFERROR(__xludf.DUMMYFUNCTION("""COMPUTED_VALUE"""),"10KM OVERALL M")</f>
        <v>10KM OVERALL M</v>
      </c>
      <c r="E573" s="1">
        <f>IFERROR(__xludf.DUMMYFUNCTION("""COMPUTED_VALUE"""),478.0)</f>
        <v>478</v>
      </c>
      <c r="F573" s="1" t="str">
        <f>IFERROR(__xludf.DUMMYFUNCTION("""COMPUTED_VALUE"""),"Male")</f>
        <v>Male</v>
      </c>
      <c r="G573" s="5">
        <f>IFERROR(__xludf.DUMMYFUNCTION("""COMPUTED_VALUE"""),0.005580731481481482)</f>
        <v>0.005580731481</v>
      </c>
      <c r="H573" s="14">
        <f>IFERROR(__xludf.DUMMYFUNCTION("""COMPUTED_VALUE"""),0.24646185185185185)</f>
        <v>0.2464618519</v>
      </c>
      <c r="I573" s="15">
        <f>IFERROR(__xludf.DUMMYFUNCTION("""COMPUTED_VALUE"""),45949.30226916386)</f>
        <v>45949.30227</v>
      </c>
      <c r="J573" s="15">
        <f>IFERROR(__xludf.DUMMYFUNCTION("""COMPUTED_VALUE"""),45949.05580731201)</f>
        <v>45949.05581</v>
      </c>
      <c r="K573" s="15">
        <f>IFERROR(__xludf.DUMMYFUNCTION("""COMPUTED_VALUE"""),45949.259370433654)</f>
        <v>45949.25937</v>
      </c>
      <c r="L573" s="15">
        <f>IFERROR(__xludf.DUMMYFUNCTION("""COMPUTED_VALUE"""),45949.29294711337)</f>
        <v>45949.29295</v>
      </c>
    </row>
    <row r="574">
      <c r="A574" s="1">
        <f>IFERROR(__xludf.DUMMYFUNCTION("""COMPUTED_VALUE"""),573.0)</f>
        <v>573</v>
      </c>
      <c r="B574" s="1">
        <f>IFERROR(__xludf.DUMMYFUNCTION("""COMPUTED_VALUE"""),10551.0)</f>
        <v>10551</v>
      </c>
      <c r="C574" s="13" t="str">
        <f>IFERROR(__xludf.DUMMYFUNCTION("""COMPUTED_VALUE"""),"Abdul Muzawir")</f>
        <v>Abdul Muzawir</v>
      </c>
      <c r="D574" s="2" t="str">
        <f>IFERROR(__xludf.DUMMYFUNCTION("""COMPUTED_VALUE"""),"10KM OVERALL M")</f>
        <v>10KM OVERALL M</v>
      </c>
      <c r="E574" s="1">
        <f>IFERROR(__xludf.DUMMYFUNCTION("""COMPUTED_VALUE"""),479.0)</f>
        <v>479</v>
      </c>
      <c r="F574" s="1" t="str">
        <f>IFERROR(__xludf.DUMMYFUNCTION("""COMPUTED_VALUE"""),"Male")</f>
        <v>Male</v>
      </c>
      <c r="G574" s="5">
        <f>IFERROR(__xludf.DUMMYFUNCTION("""COMPUTED_VALUE"""),0.005582518518518519)</f>
        <v>0.005582518519</v>
      </c>
      <c r="H574" s="14">
        <f>IFERROR(__xludf.DUMMYFUNCTION("""COMPUTED_VALUE"""),0.24646185185185185)</f>
        <v>0.2464618519</v>
      </c>
      <c r="I574" s="15">
        <f>IFERROR(__xludf.DUMMYFUNCTION("""COMPUTED_VALUE"""),45949.30228703959)</f>
        <v>45949.30229</v>
      </c>
      <c r="J574" s="15">
        <f>IFERROR(__xludf.DUMMYFUNCTION("""COMPUTED_VALUE"""),45949.05582518774)</f>
        <v>45949.05583</v>
      </c>
      <c r="K574" s="15">
        <f>IFERROR(__xludf.DUMMYFUNCTION("""COMPUTED_VALUE"""),45949.2629156293)</f>
        <v>45949.26292</v>
      </c>
      <c r="L574" s="15">
        <f>IFERROR(__xludf.DUMMYFUNCTION("""COMPUTED_VALUE"""),45949.29320049936)</f>
        <v>45949.2932</v>
      </c>
    </row>
    <row r="575">
      <c r="A575" s="1">
        <f>IFERROR(__xludf.DUMMYFUNCTION("""COMPUTED_VALUE"""),574.0)</f>
        <v>574</v>
      </c>
      <c r="B575" s="1">
        <f>IFERROR(__xludf.DUMMYFUNCTION("""COMPUTED_VALUE"""),10732.0)</f>
        <v>10732</v>
      </c>
      <c r="C575" s="13" t="str">
        <f>IFERROR(__xludf.DUMMYFUNCTION("""COMPUTED_VALUE"""),"MARTIO ERWA PRAYUDA")</f>
        <v>MARTIO ERWA PRAYUDA</v>
      </c>
      <c r="D575" s="2" t="str">
        <f>IFERROR(__xludf.DUMMYFUNCTION("""COMPUTED_VALUE"""),"10KM OVERALL M")</f>
        <v>10KM OVERALL M</v>
      </c>
      <c r="E575" s="1">
        <f>IFERROR(__xludf.DUMMYFUNCTION("""COMPUTED_VALUE"""),480.0)</f>
        <v>480</v>
      </c>
      <c r="F575" s="1" t="str">
        <f>IFERROR(__xludf.DUMMYFUNCTION("""COMPUTED_VALUE"""),"Male")</f>
        <v>Male</v>
      </c>
      <c r="G575" s="5">
        <f>IFERROR(__xludf.DUMMYFUNCTION("""COMPUTED_VALUE"""),0.005583484953703704)</f>
        <v>0.005583484954</v>
      </c>
      <c r="H575" s="14">
        <f>IFERROR(__xludf.DUMMYFUNCTION("""COMPUTED_VALUE"""),0.24646185185185185)</f>
        <v>0.2464618519</v>
      </c>
      <c r="I575" s="15">
        <f>IFERROR(__xludf.DUMMYFUNCTION("""COMPUTED_VALUE"""),45949.30229670587)</f>
        <v>45949.3023</v>
      </c>
      <c r="J575" s="15">
        <f>IFERROR(__xludf.DUMMYFUNCTION("""COMPUTED_VALUE"""),45949.05583485402)</f>
        <v>45949.05583</v>
      </c>
      <c r="K575" s="15">
        <f>IFERROR(__xludf.DUMMYFUNCTION("""COMPUTED_VALUE"""),45949.25942948759)</f>
        <v>45949.25943</v>
      </c>
      <c r="L575" s="15">
        <f>IFERROR(__xludf.DUMMYFUNCTION("""COMPUTED_VALUE"""),45949.292933213495)</f>
        <v>45949.29293</v>
      </c>
    </row>
    <row r="576">
      <c r="A576" s="1">
        <f>IFERROR(__xludf.DUMMYFUNCTION("""COMPUTED_VALUE"""),575.0)</f>
        <v>575</v>
      </c>
      <c r="B576" s="1">
        <f>IFERROR(__xludf.DUMMYFUNCTION("""COMPUTED_VALUE"""),10467.0)</f>
        <v>10467</v>
      </c>
      <c r="C576" s="13" t="str">
        <f>IFERROR(__xludf.DUMMYFUNCTION("""COMPUTED_VALUE"""),"Sasmita")</f>
        <v>Sasmita</v>
      </c>
      <c r="D576" s="2" t="str">
        <f>IFERROR(__xludf.DUMMYFUNCTION("""COMPUTED_VALUE"""),"10KM OVERALL F")</f>
        <v>10KM OVERALL F</v>
      </c>
      <c r="E576" s="1">
        <f>IFERROR(__xludf.DUMMYFUNCTION("""COMPUTED_VALUE"""),35.0)</f>
        <v>35</v>
      </c>
      <c r="F576" s="1" t="str">
        <f>IFERROR(__xludf.DUMMYFUNCTION("""COMPUTED_VALUE"""),"Female")</f>
        <v>Female</v>
      </c>
      <c r="G576" s="5">
        <f>IFERROR(__xludf.DUMMYFUNCTION("""COMPUTED_VALUE"""),0.005596674768518518)</f>
        <v>0.005596674769</v>
      </c>
      <c r="H576" s="14">
        <f>IFERROR(__xludf.DUMMYFUNCTION("""COMPUTED_VALUE"""),0.24646185185185185)</f>
        <v>0.2464618519</v>
      </c>
      <c r="I576" s="15">
        <f>IFERROR(__xludf.DUMMYFUNCTION("""COMPUTED_VALUE"""),45949.30242859655)</f>
        <v>45949.30243</v>
      </c>
      <c r="J576" s="15">
        <f>IFERROR(__xludf.DUMMYFUNCTION("""COMPUTED_VALUE"""),45949.0559667447)</f>
        <v>45949.05597</v>
      </c>
      <c r="K576" s="15">
        <f>IFERROR(__xludf.DUMMYFUNCTION("""COMPUTED_VALUE"""),45949.26117600855)</f>
        <v>45949.26118</v>
      </c>
      <c r="L576" s="15">
        <f>IFERROR(__xludf.DUMMYFUNCTION("""COMPUTED_VALUE"""),45949.293384545745)</f>
        <v>45949.29338</v>
      </c>
    </row>
    <row r="577">
      <c r="A577" s="1">
        <f>IFERROR(__xludf.DUMMYFUNCTION("""COMPUTED_VALUE"""),576.0)</f>
        <v>576</v>
      </c>
      <c r="B577" s="1">
        <f>IFERROR(__xludf.DUMMYFUNCTION("""COMPUTED_VALUE"""),10261.0)</f>
        <v>10261</v>
      </c>
      <c r="C577" s="13" t="str">
        <f>IFERROR(__xludf.DUMMYFUNCTION("""COMPUTED_VALUE"""),"Sibumatus")</f>
        <v>Sibumatus</v>
      </c>
      <c r="D577" s="2" t="str">
        <f>IFERROR(__xludf.DUMMYFUNCTION("""COMPUTED_VALUE"""),"10KM OVERALL M")</f>
        <v>10KM OVERALL M</v>
      </c>
      <c r="E577" s="1">
        <f>IFERROR(__xludf.DUMMYFUNCTION("""COMPUTED_VALUE"""),481.0)</f>
        <v>481</v>
      </c>
      <c r="F577" s="1" t="str">
        <f>IFERROR(__xludf.DUMMYFUNCTION("""COMPUTED_VALUE"""),"Male")</f>
        <v>Male</v>
      </c>
      <c r="G577" s="5">
        <f>IFERROR(__xludf.DUMMYFUNCTION("""COMPUTED_VALUE"""),0.005596675925925927)</f>
        <v>0.005596675926</v>
      </c>
      <c r="H577" s="14">
        <f>IFERROR(__xludf.DUMMYFUNCTION("""COMPUTED_VALUE"""),0.24646185185185185)</f>
        <v>0.2464618519</v>
      </c>
      <c r="I577" s="15">
        <f>IFERROR(__xludf.DUMMYFUNCTION("""COMPUTED_VALUE"""),45949.30242860858)</f>
        <v>45949.30243</v>
      </c>
      <c r="J577" s="15">
        <f>IFERROR(__xludf.DUMMYFUNCTION("""COMPUTED_VALUE"""),45949.05596675673)</f>
        <v>45949.05597</v>
      </c>
      <c r="K577" s="15">
        <f>IFERROR(__xludf.DUMMYFUNCTION("""COMPUTED_VALUE"""),45949.25762747738)</f>
        <v>45949.25763</v>
      </c>
      <c r="L577" s="15">
        <f>IFERROR(__xludf.DUMMYFUNCTION("""COMPUTED_VALUE"""),45949.290138888886)</f>
        <v>45949.29014</v>
      </c>
    </row>
    <row r="578">
      <c r="A578" s="1">
        <f>IFERROR(__xludf.DUMMYFUNCTION("""COMPUTED_VALUE"""),577.0)</f>
        <v>577</v>
      </c>
      <c r="B578" s="1">
        <f>IFERROR(__xludf.DUMMYFUNCTION("""COMPUTED_VALUE"""),10491.0)</f>
        <v>10491</v>
      </c>
      <c r="C578" s="13" t="str">
        <f>IFERROR(__xludf.DUMMYFUNCTION("""COMPUTED_VALUE"""),"Muhammad Sultan Alfarisi")</f>
        <v>Muhammad Sultan Alfarisi</v>
      </c>
      <c r="D578" s="2" t="str">
        <f>IFERROR(__xludf.DUMMYFUNCTION("""COMPUTED_VALUE"""),"10KM OVERALL M")</f>
        <v>10KM OVERALL M</v>
      </c>
      <c r="E578" s="1">
        <f>IFERROR(__xludf.DUMMYFUNCTION("""COMPUTED_VALUE"""),482.0)</f>
        <v>482</v>
      </c>
      <c r="F578" s="1" t="str">
        <f>IFERROR(__xludf.DUMMYFUNCTION("""COMPUTED_VALUE"""),"Male")</f>
        <v>Male</v>
      </c>
      <c r="G578" s="5">
        <f>IFERROR(__xludf.DUMMYFUNCTION("""COMPUTED_VALUE"""),0.005612304398148148)</f>
        <v>0.005612304398</v>
      </c>
      <c r="H578" s="14">
        <f>IFERROR(__xludf.DUMMYFUNCTION("""COMPUTED_VALUE"""),0.24646185185185185)</f>
        <v>0.2464618519</v>
      </c>
      <c r="I578" s="15">
        <f>IFERROR(__xludf.DUMMYFUNCTION("""COMPUTED_VALUE"""),45949.30258489831)</f>
        <v>45949.30258</v>
      </c>
      <c r="J578" s="15">
        <f>IFERROR(__xludf.DUMMYFUNCTION("""COMPUTED_VALUE"""),45949.05612304646)</f>
        <v>45949.05612</v>
      </c>
      <c r="K578" s="15">
        <f>IFERROR(__xludf.DUMMYFUNCTION("""COMPUTED_VALUE"""),45949.257703848896)</f>
        <v>45949.2577</v>
      </c>
      <c r="L578" s="15">
        <f>IFERROR(__xludf.DUMMYFUNCTION("""COMPUTED_VALUE"""),45949.29299570087)</f>
        <v>45949.293</v>
      </c>
    </row>
    <row r="579">
      <c r="A579" s="1">
        <f>IFERROR(__xludf.DUMMYFUNCTION("""COMPUTED_VALUE"""),578.0)</f>
        <v>578</v>
      </c>
      <c r="B579" s="1">
        <f>IFERROR(__xludf.DUMMYFUNCTION("""COMPUTED_VALUE"""),10403.0)</f>
        <v>10403</v>
      </c>
      <c r="C579" s="13" t="str">
        <f>IFERROR(__xludf.DUMMYFUNCTION("""COMPUTED_VALUE"""),"Herman")</f>
        <v>Herman</v>
      </c>
      <c r="D579" s="2" t="str">
        <f>IFERROR(__xludf.DUMMYFUNCTION("""COMPUTED_VALUE"""),"10KM OVERALL M")</f>
        <v>10KM OVERALL M</v>
      </c>
      <c r="E579" s="1">
        <f>IFERROR(__xludf.DUMMYFUNCTION("""COMPUTED_VALUE"""),483.0)</f>
        <v>483</v>
      </c>
      <c r="F579" s="1" t="str">
        <f>IFERROR(__xludf.DUMMYFUNCTION("""COMPUTED_VALUE"""),"Male")</f>
        <v>Male</v>
      </c>
      <c r="G579" s="5">
        <f>IFERROR(__xludf.DUMMYFUNCTION("""COMPUTED_VALUE"""),0.005612305555555556)</f>
        <v>0.005612305556</v>
      </c>
      <c r="H579" s="14">
        <f>IFERROR(__xludf.DUMMYFUNCTION("""COMPUTED_VALUE"""),0.24646185185185185)</f>
        <v>0.2464618519</v>
      </c>
      <c r="I579" s="15">
        <f>IFERROR(__xludf.DUMMYFUNCTION("""COMPUTED_VALUE"""),45949.30258491024)</f>
        <v>45949.30258</v>
      </c>
      <c r="J579" s="15">
        <f>IFERROR(__xludf.DUMMYFUNCTION("""COMPUTED_VALUE"""),45949.05612305839)</f>
        <v>45949.05612</v>
      </c>
      <c r="K579" s="15">
        <f>IFERROR(__xludf.DUMMYFUNCTION("""COMPUTED_VALUE"""),45949.2588530915)</f>
        <v>45949.25885</v>
      </c>
      <c r="L579" s="15">
        <f>IFERROR(__xludf.DUMMYFUNCTION("""COMPUTED_VALUE"""),45949.292367203874)</f>
        <v>45949.29237</v>
      </c>
    </row>
    <row r="580">
      <c r="A580" s="1">
        <f>IFERROR(__xludf.DUMMYFUNCTION("""COMPUTED_VALUE"""),579.0)</f>
        <v>579</v>
      </c>
      <c r="B580" s="1">
        <f>IFERROR(__xludf.DUMMYFUNCTION("""COMPUTED_VALUE"""),10240.0)</f>
        <v>10240</v>
      </c>
      <c r="C580" s="13" t="str">
        <f>IFERROR(__xludf.DUMMYFUNCTION("""COMPUTED_VALUE"""),"deddy rizky")</f>
        <v>deddy rizky</v>
      </c>
      <c r="D580" s="2" t="str">
        <f>IFERROR(__xludf.DUMMYFUNCTION("""COMPUTED_VALUE"""),"10KM OVERALL M")</f>
        <v>10KM OVERALL M</v>
      </c>
      <c r="E580" s="1">
        <f>IFERROR(__xludf.DUMMYFUNCTION("""COMPUTED_VALUE"""),484.0)</f>
        <v>484</v>
      </c>
      <c r="F580" s="1" t="str">
        <f>IFERROR(__xludf.DUMMYFUNCTION("""COMPUTED_VALUE"""),"Male")</f>
        <v>Male</v>
      </c>
      <c r="G580" s="5">
        <f>IFERROR(__xludf.DUMMYFUNCTION("""COMPUTED_VALUE"""),0.0056153888888888885)</f>
        <v>0.005615388889</v>
      </c>
      <c r="H580" s="14">
        <f>IFERROR(__xludf.DUMMYFUNCTION("""COMPUTED_VALUE"""),0.24646185185185185)</f>
        <v>0.2464618519</v>
      </c>
      <c r="I580" s="15">
        <f>IFERROR(__xludf.DUMMYFUNCTION("""COMPUTED_VALUE"""),45949.302615740744)</f>
        <v>45949.30262</v>
      </c>
      <c r="J580" s="15">
        <f>IFERROR(__xludf.DUMMYFUNCTION("""COMPUTED_VALUE"""),45949.056153888894)</f>
        <v>45949.05615</v>
      </c>
      <c r="K580" s="15">
        <f>IFERROR(__xludf.DUMMYFUNCTION("""COMPUTED_VALUE"""),45949.257113554275)</f>
        <v>45949.25711</v>
      </c>
      <c r="L580" s="15">
        <f>IFERROR(__xludf.DUMMYFUNCTION("""COMPUTED_VALUE"""),45949.29251307059)</f>
        <v>45949.29251</v>
      </c>
    </row>
    <row r="581">
      <c r="A581" s="1">
        <f>IFERROR(__xludf.DUMMYFUNCTION("""COMPUTED_VALUE"""),580.0)</f>
        <v>580</v>
      </c>
      <c r="B581" s="1">
        <f>IFERROR(__xludf.DUMMYFUNCTION("""COMPUTED_VALUE"""),12013.0)</f>
        <v>12013</v>
      </c>
      <c r="C581" s="13" t="str">
        <f>IFERROR(__xludf.DUMMYFUNCTION("""COMPUTED_VALUE"""),"ferry kurniawan")</f>
        <v>ferry kurniawan</v>
      </c>
      <c r="D581" s="2" t="str">
        <f>IFERROR(__xludf.DUMMYFUNCTION("""COMPUTED_VALUE"""),"10KM MASTER M")</f>
        <v>10KM MASTER M</v>
      </c>
      <c r="E581" s="1">
        <f>IFERROR(__xludf.DUMMYFUNCTION("""COMPUTED_VALUE"""),54.0)</f>
        <v>54</v>
      </c>
      <c r="F581" s="1" t="str">
        <f>IFERROR(__xludf.DUMMYFUNCTION("""COMPUTED_VALUE"""),"Male")</f>
        <v>Male</v>
      </c>
      <c r="G581" s="5">
        <f>IFERROR(__xludf.DUMMYFUNCTION("""COMPUTED_VALUE"""),0.0056164710648148155)</f>
        <v>0.005616471065</v>
      </c>
      <c r="H581" s="14">
        <f>IFERROR(__xludf.DUMMYFUNCTION("""COMPUTED_VALUE"""),0.24646185185185185)</f>
        <v>0.2464618519</v>
      </c>
      <c r="I581" s="15">
        <f>IFERROR(__xludf.DUMMYFUNCTION("""COMPUTED_VALUE"""),45949.30262656576)</f>
        <v>45949.30263</v>
      </c>
      <c r="J581" s="15">
        <f>IFERROR(__xludf.DUMMYFUNCTION("""COMPUTED_VALUE"""),45949.05616471391)</f>
        <v>45949.05616</v>
      </c>
      <c r="K581" s="15">
        <f>IFERROR(__xludf.DUMMYFUNCTION("""COMPUTED_VALUE"""),45949.26140517042)</f>
        <v>45949.26141</v>
      </c>
      <c r="L581" s="15">
        <f>IFERROR(__xludf.DUMMYFUNCTION("""COMPUTED_VALUE"""),45949.29409988352)</f>
        <v>45949.2941</v>
      </c>
    </row>
    <row r="582">
      <c r="A582" s="1">
        <f>IFERROR(__xludf.DUMMYFUNCTION("""COMPUTED_VALUE"""),581.0)</f>
        <v>581</v>
      </c>
      <c r="B582" s="1">
        <f>IFERROR(__xludf.DUMMYFUNCTION("""COMPUTED_VALUE"""),10355.0)</f>
        <v>10355</v>
      </c>
      <c r="C582" s="13" t="str">
        <f>IFERROR(__xludf.DUMMYFUNCTION("""COMPUTED_VALUE"""),"LUIL MAKNUN")</f>
        <v>LUIL MAKNUN</v>
      </c>
      <c r="D582" s="2" t="str">
        <f>IFERROR(__xludf.DUMMYFUNCTION("""COMPUTED_VALUE"""),"10KM OVERALL M")</f>
        <v>10KM OVERALL M</v>
      </c>
      <c r="E582" s="1">
        <f>IFERROR(__xludf.DUMMYFUNCTION("""COMPUTED_VALUE"""),485.0)</f>
        <v>485</v>
      </c>
      <c r="F582" s="1" t="str">
        <f>IFERROR(__xludf.DUMMYFUNCTION("""COMPUTED_VALUE"""),"Male")</f>
        <v>Male</v>
      </c>
      <c r="G582" s="5">
        <f>IFERROR(__xludf.DUMMYFUNCTION("""COMPUTED_VALUE"""),0.005630359953703704)</f>
        <v>0.005630359954</v>
      </c>
      <c r="H582" s="14">
        <f>IFERROR(__xludf.DUMMYFUNCTION("""COMPUTED_VALUE"""),0.24646185185185185)</f>
        <v>0.2464618519</v>
      </c>
      <c r="I582" s="15">
        <f>IFERROR(__xludf.DUMMYFUNCTION("""COMPUTED_VALUE"""),45949.302765452434)</f>
        <v>45949.30277</v>
      </c>
      <c r="J582" s="15">
        <f>IFERROR(__xludf.DUMMYFUNCTION("""COMPUTED_VALUE"""),45949.056303600584)</f>
        <v>45949.0563</v>
      </c>
      <c r="K582" s="15">
        <f>IFERROR(__xludf.DUMMYFUNCTION("""COMPUTED_VALUE"""),45949.25957534955)</f>
        <v>45949.25958</v>
      </c>
      <c r="L582" s="15">
        <f>IFERROR(__xludf.DUMMYFUNCTION("""COMPUTED_VALUE"""),45949.29316231835)</f>
        <v>45949.29316</v>
      </c>
    </row>
    <row r="583">
      <c r="A583" s="1">
        <f>IFERROR(__xludf.DUMMYFUNCTION("""COMPUTED_VALUE"""),582.0)</f>
        <v>582</v>
      </c>
      <c r="B583" s="1">
        <f>IFERROR(__xludf.DUMMYFUNCTION("""COMPUTED_VALUE"""),10190.0)</f>
        <v>10190</v>
      </c>
      <c r="C583" s="13" t="str">
        <f>IFERROR(__xludf.DUMMYFUNCTION("""COMPUTED_VALUE"""),"Ahmad D.S")</f>
        <v>Ahmad D.S</v>
      </c>
      <c r="D583" s="2" t="str">
        <f>IFERROR(__xludf.DUMMYFUNCTION("""COMPUTED_VALUE"""),"10KM OVERALL M")</f>
        <v>10KM OVERALL M</v>
      </c>
      <c r="E583" s="1">
        <f>IFERROR(__xludf.DUMMYFUNCTION("""COMPUTED_VALUE"""),486.0)</f>
        <v>486</v>
      </c>
      <c r="F583" s="1" t="str">
        <f>IFERROR(__xludf.DUMMYFUNCTION("""COMPUTED_VALUE"""),"Male")</f>
        <v>Male</v>
      </c>
      <c r="G583" s="5">
        <f>IFERROR(__xludf.DUMMYFUNCTION("""COMPUTED_VALUE"""),0.0056383472222222225)</f>
        <v>0.005638347222</v>
      </c>
      <c r="H583" s="14">
        <f>IFERROR(__xludf.DUMMYFUNCTION("""COMPUTED_VALUE"""),0.24646185185185185)</f>
        <v>0.2464618519</v>
      </c>
      <c r="I583" s="15">
        <f>IFERROR(__xludf.DUMMYFUNCTION("""COMPUTED_VALUE"""),45949.30284532868)</f>
        <v>45949.30285</v>
      </c>
      <c r="J583" s="15">
        <f>IFERROR(__xludf.DUMMYFUNCTION("""COMPUTED_VALUE"""),45949.05638347683)</f>
        <v>45949.05638</v>
      </c>
      <c r="K583" s="15" t="str">
        <f>IFERROR(__xludf.DUMMYFUNCTION("""COMPUTED_VALUE"""),"")</f>
        <v/>
      </c>
      <c r="L583" s="15">
        <f>IFERROR(__xludf.DUMMYFUNCTION("""COMPUTED_VALUE"""),45949.29235332429)</f>
        <v>45949.29235</v>
      </c>
    </row>
    <row r="584">
      <c r="A584" s="1">
        <f>IFERROR(__xludf.DUMMYFUNCTION("""COMPUTED_VALUE"""),583.0)</f>
        <v>583</v>
      </c>
      <c r="B584" s="1">
        <f>IFERROR(__xludf.DUMMYFUNCTION("""COMPUTED_VALUE"""),10727.0)</f>
        <v>10727</v>
      </c>
      <c r="C584" s="13" t="str">
        <f>IFERROR(__xludf.DUMMYFUNCTION("""COMPUTED_VALUE"""),"WAHID QADIM RABAN")</f>
        <v>WAHID QADIM RABAN</v>
      </c>
      <c r="D584" s="2" t="str">
        <f>IFERROR(__xludf.DUMMYFUNCTION("""COMPUTED_VALUE"""),"10KM OVERALL M")</f>
        <v>10KM OVERALL M</v>
      </c>
      <c r="E584" s="1">
        <f>IFERROR(__xludf.DUMMYFUNCTION("""COMPUTED_VALUE"""),487.0)</f>
        <v>487</v>
      </c>
      <c r="F584" s="1" t="str">
        <f>IFERROR(__xludf.DUMMYFUNCTION("""COMPUTED_VALUE"""),"Male")</f>
        <v>Male</v>
      </c>
      <c r="G584" s="5">
        <f>IFERROR(__xludf.DUMMYFUNCTION("""COMPUTED_VALUE"""),0.0056456377314814815)</f>
        <v>0.005645637731</v>
      </c>
      <c r="H584" s="14">
        <f>IFERROR(__xludf.DUMMYFUNCTION("""COMPUTED_VALUE"""),0.24646185185185185)</f>
        <v>0.2464618519</v>
      </c>
      <c r="I584" s="15">
        <f>IFERROR(__xludf.DUMMYFUNCTION("""COMPUTED_VALUE"""),45949.302918233974)</f>
        <v>45949.30292</v>
      </c>
      <c r="J584" s="15">
        <f>IFERROR(__xludf.DUMMYFUNCTION("""COMPUTED_VALUE"""),45949.056456382124)</f>
        <v>45949.05646</v>
      </c>
      <c r="K584" s="15">
        <f>IFERROR(__xludf.DUMMYFUNCTION("""COMPUTED_VALUE"""),45949.26121771768)</f>
        <v>45949.26122</v>
      </c>
      <c r="L584" s="15">
        <f>IFERROR(__xludf.DUMMYFUNCTION("""COMPUTED_VALUE"""),45949.29313105843)</f>
        <v>45949.29313</v>
      </c>
    </row>
    <row r="585">
      <c r="A585" s="1">
        <f>IFERROR(__xludf.DUMMYFUNCTION("""COMPUTED_VALUE"""),584.0)</f>
        <v>584</v>
      </c>
      <c r="B585" s="1">
        <f>IFERROR(__xludf.DUMMYFUNCTION("""COMPUTED_VALUE"""),10302.0)</f>
        <v>10302</v>
      </c>
      <c r="C585" s="13" t="str">
        <f>IFERROR(__xludf.DUMMYFUNCTION("""COMPUTED_VALUE"""),"Ema Moy")</f>
        <v>Ema Moy</v>
      </c>
      <c r="D585" s="2" t="str">
        <f>IFERROR(__xludf.DUMMYFUNCTION("""COMPUTED_VALUE"""),"10KM OVERALL F")</f>
        <v>10KM OVERALL F</v>
      </c>
      <c r="E585" s="1">
        <f>IFERROR(__xludf.DUMMYFUNCTION("""COMPUTED_VALUE"""),36.0)</f>
        <v>36</v>
      </c>
      <c r="F585" s="1" t="str">
        <f>IFERROR(__xludf.DUMMYFUNCTION("""COMPUTED_VALUE"""),"Female")</f>
        <v>Female</v>
      </c>
      <c r="G585" s="5">
        <f>IFERROR(__xludf.DUMMYFUNCTION("""COMPUTED_VALUE"""),0.005646332175925925)</f>
        <v>0.005646332176</v>
      </c>
      <c r="H585" s="14">
        <f>IFERROR(__xludf.DUMMYFUNCTION("""COMPUTED_VALUE"""),0.24646185185185185)</f>
        <v>0.2464618519</v>
      </c>
      <c r="I585" s="15">
        <f>IFERROR(__xludf.DUMMYFUNCTION("""COMPUTED_VALUE"""),45949.302925173964)</f>
        <v>45949.30293</v>
      </c>
      <c r="J585" s="15">
        <f>IFERROR(__xludf.DUMMYFUNCTION("""COMPUTED_VALUE"""),45949.056463322115)</f>
        <v>45949.05646</v>
      </c>
      <c r="K585" s="15">
        <f>IFERROR(__xludf.DUMMYFUNCTION("""COMPUTED_VALUE"""),45949.25789831885)</f>
        <v>45949.2579</v>
      </c>
      <c r="L585" s="15">
        <f>IFERROR(__xludf.DUMMYFUNCTION("""COMPUTED_VALUE"""),45949.29224571748)</f>
        <v>45949.29225</v>
      </c>
    </row>
    <row r="586">
      <c r="A586" s="1">
        <f>IFERROR(__xludf.DUMMYFUNCTION("""COMPUTED_VALUE"""),585.0)</f>
        <v>585</v>
      </c>
      <c r="B586" s="1">
        <f>IFERROR(__xludf.DUMMYFUNCTION("""COMPUTED_VALUE"""),10429.0)</f>
        <v>10429</v>
      </c>
      <c r="C586" s="13" t="str">
        <f>IFERROR(__xludf.DUMMYFUNCTION("""COMPUTED_VALUE"""),"Dini Yuliana")</f>
        <v>Dini Yuliana</v>
      </c>
      <c r="D586" s="2" t="str">
        <f>IFERROR(__xludf.DUMMYFUNCTION("""COMPUTED_VALUE"""),"10KM OVERALL F")</f>
        <v>10KM OVERALL F</v>
      </c>
      <c r="E586" s="1">
        <f>IFERROR(__xludf.DUMMYFUNCTION("""COMPUTED_VALUE"""),37.0)</f>
        <v>37</v>
      </c>
      <c r="F586" s="1" t="str">
        <f>IFERROR(__xludf.DUMMYFUNCTION("""COMPUTED_VALUE"""),"Female")</f>
        <v>Female</v>
      </c>
      <c r="G586" s="5">
        <f>IFERROR(__xludf.DUMMYFUNCTION("""COMPUTED_VALUE"""),0.005653965277777778)</f>
        <v>0.005653965278</v>
      </c>
      <c r="H586" s="14">
        <f>IFERROR(__xludf.DUMMYFUNCTION("""COMPUTED_VALUE"""),0.24646185185185185)</f>
        <v>0.2464618519</v>
      </c>
      <c r="I586" s="15">
        <f>IFERROR(__xludf.DUMMYFUNCTION("""COMPUTED_VALUE"""),45949.30300150737)</f>
        <v>45949.303</v>
      </c>
      <c r="J586" s="15">
        <f>IFERROR(__xludf.DUMMYFUNCTION("""COMPUTED_VALUE"""),45949.05653965552)</f>
        <v>45949.05654</v>
      </c>
      <c r="K586" s="15">
        <f>IFERROR(__xludf.DUMMYFUNCTION("""COMPUTED_VALUE"""),45949.25837396065)</f>
        <v>45949.25837</v>
      </c>
      <c r="L586" s="15">
        <f>IFERROR(__xludf.DUMMYFUNCTION("""COMPUTED_VALUE"""),45949.2928776477)</f>
        <v>45949.29288</v>
      </c>
    </row>
    <row r="587">
      <c r="A587" s="1">
        <f>IFERROR(__xludf.DUMMYFUNCTION("""COMPUTED_VALUE"""),586.0)</f>
        <v>586</v>
      </c>
      <c r="B587" s="1">
        <f>IFERROR(__xludf.DUMMYFUNCTION("""COMPUTED_VALUE"""),10643.0)</f>
        <v>10643</v>
      </c>
      <c r="C587" s="13" t="str">
        <f>IFERROR(__xludf.DUMMYFUNCTION("""COMPUTED_VALUE"""),"Nenda")</f>
        <v>Nenda</v>
      </c>
      <c r="D587" s="2" t="str">
        <f>IFERROR(__xludf.DUMMYFUNCTION("""COMPUTED_VALUE"""),"10KM OVERALL M")</f>
        <v>10KM OVERALL M</v>
      </c>
      <c r="E587" s="1">
        <f>IFERROR(__xludf.DUMMYFUNCTION("""COMPUTED_VALUE"""),488.0)</f>
        <v>488</v>
      </c>
      <c r="F587" s="1" t="str">
        <f>IFERROR(__xludf.DUMMYFUNCTION("""COMPUTED_VALUE"""),"Male")</f>
        <v>Male</v>
      </c>
      <c r="G587" s="5">
        <f>IFERROR(__xludf.DUMMYFUNCTION("""COMPUTED_VALUE"""),0.005655359953703703)</f>
        <v>0.005655359954</v>
      </c>
      <c r="H587" s="14">
        <f>IFERROR(__xludf.DUMMYFUNCTION("""COMPUTED_VALUE"""),0.24646185185185185)</f>
        <v>0.2464618519</v>
      </c>
      <c r="I587" s="15">
        <f>IFERROR(__xludf.DUMMYFUNCTION("""COMPUTED_VALUE"""),45949.30301545034)</f>
        <v>45949.30302</v>
      </c>
      <c r="J587" s="15">
        <f>IFERROR(__xludf.DUMMYFUNCTION("""COMPUTED_VALUE"""),45949.05655359849)</f>
        <v>45949.05655</v>
      </c>
      <c r="K587" s="15">
        <f>IFERROR(__xludf.DUMMYFUNCTION("""COMPUTED_VALUE"""),45949.258429476475)</f>
        <v>45949.25843</v>
      </c>
      <c r="L587" s="15">
        <f>IFERROR(__xludf.DUMMYFUNCTION("""COMPUTED_VALUE"""),45949.291735330364)</f>
        <v>45949.29174</v>
      </c>
    </row>
    <row r="588">
      <c r="A588" s="1">
        <f>IFERROR(__xludf.DUMMYFUNCTION("""COMPUTED_VALUE"""),587.0)</f>
        <v>587</v>
      </c>
      <c r="B588" s="1">
        <f>IFERROR(__xludf.DUMMYFUNCTION("""COMPUTED_VALUE"""),10432.0)</f>
        <v>10432</v>
      </c>
      <c r="C588" s="13" t="str">
        <f>IFERROR(__xludf.DUMMYFUNCTION("""COMPUTED_VALUE"""),"Agus Thoriq")</f>
        <v>Agus Thoriq</v>
      </c>
      <c r="D588" s="2" t="str">
        <f>IFERROR(__xludf.DUMMYFUNCTION("""COMPUTED_VALUE"""),"10KM OVERALL M")</f>
        <v>10KM OVERALL M</v>
      </c>
      <c r="E588" s="1">
        <f>IFERROR(__xludf.DUMMYFUNCTION("""COMPUTED_VALUE"""),489.0)</f>
        <v>489</v>
      </c>
      <c r="F588" s="1" t="str">
        <f>IFERROR(__xludf.DUMMYFUNCTION("""COMPUTED_VALUE"""),"Male")</f>
        <v>Male</v>
      </c>
      <c r="G588" s="5">
        <f>IFERROR(__xludf.DUMMYFUNCTION("""COMPUTED_VALUE"""),0.005655707175925926)</f>
        <v>0.005655707176</v>
      </c>
      <c r="H588" s="14">
        <f>IFERROR(__xludf.DUMMYFUNCTION("""COMPUTED_VALUE"""),0.24646185185185185)</f>
        <v>0.2464618519</v>
      </c>
      <c r="I588" s="15">
        <f>IFERROR(__xludf.DUMMYFUNCTION("""COMPUTED_VALUE"""),45949.303018924395)</f>
        <v>45949.30302</v>
      </c>
      <c r="J588" s="15">
        <f>IFERROR(__xludf.DUMMYFUNCTION("""COMPUTED_VALUE"""),45949.056557072545)</f>
        <v>45949.05656</v>
      </c>
      <c r="K588" s="15">
        <f>IFERROR(__xludf.DUMMYFUNCTION("""COMPUTED_VALUE"""),45949.25832536312)</f>
        <v>45949.25833</v>
      </c>
      <c r="L588" s="15">
        <f>IFERROR(__xludf.DUMMYFUNCTION("""COMPUTED_VALUE"""),45949.292940103776)</f>
        <v>45949.29294</v>
      </c>
    </row>
    <row r="589">
      <c r="A589" s="1">
        <f>IFERROR(__xludf.DUMMYFUNCTION("""COMPUTED_VALUE"""),588.0)</f>
        <v>588</v>
      </c>
      <c r="B589" s="1">
        <f>IFERROR(__xludf.DUMMYFUNCTION("""COMPUTED_VALUE"""),10632.0)</f>
        <v>10632</v>
      </c>
      <c r="C589" s="13" t="str">
        <f>IFERROR(__xludf.DUMMYFUNCTION("""COMPUTED_VALUE"""),"ADHYAKSA")</f>
        <v>ADHYAKSA</v>
      </c>
      <c r="D589" s="2" t="str">
        <f>IFERROR(__xludf.DUMMYFUNCTION("""COMPUTED_VALUE"""),"10KM OVERALL M")</f>
        <v>10KM OVERALL M</v>
      </c>
      <c r="E589" s="1">
        <f>IFERROR(__xludf.DUMMYFUNCTION("""COMPUTED_VALUE"""),490.0)</f>
        <v>490</v>
      </c>
      <c r="F589" s="1" t="str">
        <f>IFERROR(__xludf.DUMMYFUNCTION("""COMPUTED_VALUE"""),"Male")</f>
        <v>Male</v>
      </c>
      <c r="G589" s="5">
        <f>IFERROR(__xludf.DUMMYFUNCTION("""COMPUTED_VALUE"""),0.005658484953703703)</f>
        <v>0.005658484954</v>
      </c>
      <c r="H589" s="14">
        <f>IFERROR(__xludf.DUMMYFUNCTION("""COMPUTED_VALUE"""),0.24646185185185185)</f>
        <v>0.2464618519</v>
      </c>
      <c r="I589" s="15">
        <f>IFERROR(__xludf.DUMMYFUNCTION("""COMPUTED_VALUE"""),45949.30304670157)</f>
        <v>45949.30305</v>
      </c>
      <c r="J589" s="15">
        <f>IFERROR(__xludf.DUMMYFUNCTION("""COMPUTED_VALUE"""),45949.05658484972)</f>
        <v>45949.05658</v>
      </c>
      <c r="K589" s="15">
        <f>IFERROR(__xludf.DUMMYFUNCTION("""COMPUTED_VALUE"""),45949.25930451769)</f>
        <v>45949.2593</v>
      </c>
      <c r="L589" s="15">
        <f>IFERROR(__xludf.DUMMYFUNCTION("""COMPUTED_VALUE"""),45949.293221338)</f>
        <v>45949.29322</v>
      </c>
    </row>
    <row r="590">
      <c r="A590" s="1">
        <f>IFERROR(__xludf.DUMMYFUNCTION("""COMPUTED_VALUE"""),589.0)</f>
        <v>589</v>
      </c>
      <c r="B590" s="1">
        <f>IFERROR(__xludf.DUMMYFUNCTION("""COMPUTED_VALUE"""),10293.0)</f>
        <v>10293</v>
      </c>
      <c r="C590" s="13" t="str">
        <f>IFERROR(__xludf.DUMMYFUNCTION("""COMPUTED_VALUE"""),"RUDI")</f>
        <v>RUDI</v>
      </c>
      <c r="D590" s="2" t="str">
        <f>IFERROR(__xludf.DUMMYFUNCTION("""COMPUTED_VALUE"""),"10KM OVERALL M")</f>
        <v>10KM OVERALL M</v>
      </c>
      <c r="E590" s="1">
        <f>IFERROR(__xludf.DUMMYFUNCTION("""COMPUTED_VALUE"""),491.0)</f>
        <v>491</v>
      </c>
      <c r="F590" s="1" t="str">
        <f>IFERROR(__xludf.DUMMYFUNCTION("""COMPUTED_VALUE"""),"Male")</f>
        <v>Male</v>
      </c>
      <c r="G590" s="5">
        <f>IFERROR(__xludf.DUMMYFUNCTION("""COMPUTED_VALUE"""),0.005660222222222222)</f>
        <v>0.005660222222</v>
      </c>
      <c r="H590" s="14">
        <f>IFERROR(__xludf.DUMMYFUNCTION("""COMPUTED_VALUE"""),0.24646185185185185)</f>
        <v>0.2464618519</v>
      </c>
      <c r="I590" s="15">
        <f>IFERROR(__xludf.DUMMYFUNCTION("""COMPUTED_VALUE"""),45949.303064078136)</f>
        <v>45949.30306</v>
      </c>
      <c r="J590" s="15">
        <f>IFERROR(__xludf.DUMMYFUNCTION("""COMPUTED_VALUE"""),45949.05660222629)</f>
        <v>45949.0566</v>
      </c>
      <c r="K590" s="15">
        <f>IFERROR(__xludf.DUMMYFUNCTION("""COMPUTED_VALUE"""),45949.26010307081)</f>
        <v>45949.2601</v>
      </c>
      <c r="L590" s="15">
        <f>IFERROR(__xludf.DUMMYFUNCTION("""COMPUTED_VALUE"""),45949.29303733106)</f>
        <v>45949.29304</v>
      </c>
    </row>
    <row r="591">
      <c r="A591" s="1">
        <f>IFERROR(__xludf.DUMMYFUNCTION("""COMPUTED_VALUE"""),590.0)</f>
        <v>590</v>
      </c>
      <c r="B591" s="1">
        <f>IFERROR(__xludf.DUMMYFUNCTION("""COMPUTED_VALUE"""),10783.0)</f>
        <v>10783</v>
      </c>
      <c r="C591" s="13" t="str">
        <f>IFERROR(__xludf.DUMMYFUNCTION("""COMPUTED_VALUE"""),"DIRRESNARKOBA")</f>
        <v>DIRRESNARKOBA</v>
      </c>
      <c r="D591" s="2" t="str">
        <f>IFERROR(__xludf.DUMMYFUNCTION("""COMPUTED_VALUE"""),"10KM OVERALL M")</f>
        <v>10KM OVERALL M</v>
      </c>
      <c r="E591" s="1">
        <f>IFERROR(__xludf.DUMMYFUNCTION("""COMPUTED_VALUE"""),492.0)</f>
        <v>492</v>
      </c>
      <c r="F591" s="1" t="str">
        <f>IFERROR(__xludf.DUMMYFUNCTION("""COMPUTED_VALUE"""),"Male")</f>
        <v>Male</v>
      </c>
      <c r="G591" s="5">
        <f>IFERROR(__xludf.DUMMYFUNCTION("""COMPUTED_VALUE"""),0.00566577662037037)</f>
        <v>0.00566577662</v>
      </c>
      <c r="H591" s="14">
        <f>IFERROR(__xludf.DUMMYFUNCTION("""COMPUTED_VALUE"""),0.24646185185185185)</f>
        <v>0.2464618519</v>
      </c>
      <c r="I591" s="15">
        <f>IFERROR(__xludf.DUMMYFUNCTION("""COMPUTED_VALUE"""),45949.30311961678)</f>
        <v>45949.30312</v>
      </c>
      <c r="J591" s="15">
        <f>IFERROR(__xludf.DUMMYFUNCTION("""COMPUTED_VALUE"""),45949.05665776493)</f>
        <v>45949.05666</v>
      </c>
      <c r="K591" s="15">
        <f>IFERROR(__xludf.DUMMYFUNCTION("""COMPUTED_VALUE"""),45949.28282530509)</f>
        <v>45949.28283</v>
      </c>
      <c r="L591" s="15" t="str">
        <f>IFERROR(__xludf.DUMMYFUNCTION("""COMPUTED_VALUE"""),"")</f>
        <v/>
      </c>
    </row>
    <row r="592">
      <c r="A592" s="1">
        <f>IFERROR(__xludf.DUMMYFUNCTION("""COMPUTED_VALUE"""),591.0)</f>
        <v>591</v>
      </c>
      <c r="B592" s="1">
        <f>IFERROR(__xludf.DUMMYFUNCTION("""COMPUTED_VALUE"""),10156.0)</f>
        <v>10156</v>
      </c>
      <c r="C592" s="13" t="str">
        <f>IFERROR(__xludf.DUMMYFUNCTION("""COMPUTED_VALUE"""),"Bustanul")</f>
        <v>Bustanul</v>
      </c>
      <c r="D592" s="2" t="str">
        <f>IFERROR(__xludf.DUMMYFUNCTION("""COMPUTED_VALUE"""),"10KM OVERALL M")</f>
        <v>10KM OVERALL M</v>
      </c>
      <c r="E592" s="1">
        <f>IFERROR(__xludf.DUMMYFUNCTION("""COMPUTED_VALUE"""),493.0)</f>
        <v>493</v>
      </c>
      <c r="F592" s="1" t="str">
        <f>IFERROR(__xludf.DUMMYFUNCTION("""COMPUTED_VALUE"""),"Male")</f>
        <v>Male</v>
      </c>
      <c r="G592" s="5">
        <f>IFERROR(__xludf.DUMMYFUNCTION("""COMPUTED_VALUE"""),0.005669248842592593)</f>
        <v>0.005669248843</v>
      </c>
      <c r="H592" s="14">
        <f>IFERROR(__xludf.DUMMYFUNCTION("""COMPUTED_VALUE"""),0.24646185185185185)</f>
        <v>0.2464618519</v>
      </c>
      <c r="I592" s="15">
        <f>IFERROR(__xludf.DUMMYFUNCTION("""COMPUTED_VALUE"""),45949.30315434503)</f>
        <v>45949.30315</v>
      </c>
      <c r="J592" s="15">
        <f>IFERROR(__xludf.DUMMYFUNCTION("""COMPUTED_VALUE"""),45949.05669249318)</f>
        <v>45949.05669</v>
      </c>
      <c r="K592" s="15">
        <f>IFERROR(__xludf.DUMMYFUNCTION("""COMPUTED_VALUE"""),45949.257130946746)</f>
        <v>45949.25713</v>
      </c>
      <c r="L592" s="15">
        <f>IFERROR(__xludf.DUMMYFUNCTION("""COMPUTED_VALUE"""),45949.29259639261)</f>
        <v>45949.2926</v>
      </c>
    </row>
    <row r="593">
      <c r="A593" s="1">
        <f>IFERROR(__xludf.DUMMYFUNCTION("""COMPUTED_VALUE"""),592.0)</f>
        <v>592</v>
      </c>
      <c r="B593" s="1">
        <f>IFERROR(__xludf.DUMMYFUNCTION("""COMPUTED_VALUE"""),12016.0)</f>
        <v>12016</v>
      </c>
      <c r="C593" s="13" t="str">
        <f>IFERROR(__xludf.DUMMYFUNCTION("""COMPUTED_VALUE"""),"ERIKA")</f>
        <v>ERIKA</v>
      </c>
      <c r="D593" s="2" t="str">
        <f>IFERROR(__xludf.DUMMYFUNCTION("""COMPUTED_VALUE"""),"10KM MASTER F")</f>
        <v>10KM MASTER F</v>
      </c>
      <c r="E593" s="1">
        <f>IFERROR(__xludf.DUMMYFUNCTION("""COMPUTED_VALUE"""),8.0)</f>
        <v>8</v>
      </c>
      <c r="F593" s="1" t="str">
        <f>IFERROR(__xludf.DUMMYFUNCTION("""COMPUTED_VALUE"""),"Female")</f>
        <v>Female</v>
      </c>
      <c r="G593" s="5">
        <f>IFERROR(__xludf.DUMMYFUNCTION("""COMPUTED_VALUE"""),0.005670984953703703)</f>
        <v>0.005670984954</v>
      </c>
      <c r="H593" s="14">
        <f>IFERROR(__xludf.DUMMYFUNCTION("""COMPUTED_VALUE"""),0.24646185185185185)</f>
        <v>0.2464618519</v>
      </c>
      <c r="I593" s="15">
        <f>IFERROR(__xludf.DUMMYFUNCTION("""COMPUTED_VALUE"""),45949.30317170141)</f>
        <v>45949.30317</v>
      </c>
      <c r="J593" s="15">
        <f>IFERROR(__xludf.DUMMYFUNCTION("""COMPUTED_VALUE"""),45949.05670984956)</f>
        <v>45949.05671</v>
      </c>
      <c r="K593" s="15">
        <f>IFERROR(__xludf.DUMMYFUNCTION("""COMPUTED_VALUE"""),45949.260068358286)</f>
        <v>45949.26007</v>
      </c>
      <c r="L593" s="15">
        <f>IFERROR(__xludf.DUMMYFUNCTION("""COMPUTED_VALUE"""),45949.293280436614)</f>
        <v>45949.29328</v>
      </c>
    </row>
    <row r="594">
      <c r="A594" s="1">
        <f>IFERROR(__xludf.DUMMYFUNCTION("""COMPUTED_VALUE"""),593.0)</f>
        <v>593</v>
      </c>
      <c r="B594" s="1">
        <f>IFERROR(__xludf.DUMMYFUNCTION("""COMPUTED_VALUE"""),12017.0)</f>
        <v>12017</v>
      </c>
      <c r="C594" s="13" t="str">
        <f>IFERROR(__xludf.DUMMYFUNCTION("""COMPUTED_VALUE"""),"Didik Prasetyo")</f>
        <v>Didik Prasetyo</v>
      </c>
      <c r="D594" s="2" t="str">
        <f>IFERROR(__xludf.DUMMYFUNCTION("""COMPUTED_VALUE"""),"10KM MASTER M")</f>
        <v>10KM MASTER M</v>
      </c>
      <c r="E594" s="1">
        <f>IFERROR(__xludf.DUMMYFUNCTION("""COMPUTED_VALUE"""),55.0)</f>
        <v>55</v>
      </c>
      <c r="F594" s="1" t="str">
        <f>IFERROR(__xludf.DUMMYFUNCTION("""COMPUTED_VALUE"""),"Male")</f>
        <v>Male</v>
      </c>
      <c r="G594" s="5">
        <f>IFERROR(__xludf.DUMMYFUNCTION("""COMPUTED_VALUE"""),0.005672026620370371)</f>
        <v>0.00567202662</v>
      </c>
      <c r="H594" s="14">
        <f>IFERROR(__xludf.DUMMYFUNCTION("""COMPUTED_VALUE"""),0.24646185185185185)</f>
        <v>0.2464618519</v>
      </c>
      <c r="I594" s="15">
        <f>IFERROR(__xludf.DUMMYFUNCTION("""COMPUTED_VALUE"""),45949.30318211913)</f>
        <v>45949.30318</v>
      </c>
      <c r="J594" s="15">
        <f>IFERROR(__xludf.DUMMYFUNCTION("""COMPUTED_VALUE"""),45949.05672026728)</f>
        <v>45949.05672</v>
      </c>
      <c r="K594" s="15">
        <f>IFERROR(__xludf.DUMMYFUNCTION("""COMPUTED_VALUE"""),45949.260099892555)</f>
        <v>45949.2601</v>
      </c>
      <c r="L594" s="15">
        <f>IFERROR(__xludf.DUMMYFUNCTION("""COMPUTED_VALUE"""),45949.2932977354)</f>
        <v>45949.2933</v>
      </c>
    </row>
    <row r="595">
      <c r="A595" s="1">
        <f>IFERROR(__xludf.DUMMYFUNCTION("""COMPUTED_VALUE"""),594.0)</f>
        <v>594</v>
      </c>
      <c r="B595" s="1">
        <f>IFERROR(__xludf.DUMMYFUNCTION("""COMPUTED_VALUE"""),10063.0)</f>
        <v>10063</v>
      </c>
      <c r="C595" s="13" t="str">
        <f>IFERROR(__xludf.DUMMYFUNCTION("""COMPUTED_VALUE"""),"Fahmi")</f>
        <v>Fahmi</v>
      </c>
      <c r="D595" s="2" t="str">
        <f>IFERROR(__xludf.DUMMYFUNCTION("""COMPUTED_VALUE"""),"10KM OVERALL M")</f>
        <v>10KM OVERALL M</v>
      </c>
      <c r="E595" s="1">
        <f>IFERROR(__xludf.DUMMYFUNCTION("""COMPUTED_VALUE"""),494.0)</f>
        <v>494</v>
      </c>
      <c r="F595" s="1" t="str">
        <f>IFERROR(__xludf.DUMMYFUNCTION("""COMPUTED_VALUE"""),"Male")</f>
        <v>Male</v>
      </c>
      <c r="G595" s="5">
        <f>IFERROR(__xludf.DUMMYFUNCTION("""COMPUTED_VALUE"""),0.005674804398148148)</f>
        <v>0.005674804398</v>
      </c>
      <c r="H595" s="14">
        <f>IFERROR(__xludf.DUMMYFUNCTION("""COMPUTED_VALUE"""),0.24646185185185185)</f>
        <v>0.2464618519</v>
      </c>
      <c r="I595" s="15">
        <f>IFERROR(__xludf.DUMMYFUNCTION("""COMPUTED_VALUE"""),45949.303209900514)</f>
        <v>45949.30321</v>
      </c>
      <c r="J595" s="15">
        <f>IFERROR(__xludf.DUMMYFUNCTION("""COMPUTED_VALUE"""),45949.056748048664)</f>
        <v>45949.05675</v>
      </c>
      <c r="K595" s="15">
        <f>IFERROR(__xludf.DUMMYFUNCTION("""COMPUTED_VALUE"""),45949.259349618915)</f>
        <v>45949.25935</v>
      </c>
      <c r="L595" s="15">
        <f>IFERROR(__xludf.DUMMYFUNCTION("""COMPUTED_VALUE"""),45949.293026946965)</f>
        <v>45949.29303</v>
      </c>
    </row>
    <row r="596">
      <c r="A596" s="1">
        <f>IFERROR(__xludf.DUMMYFUNCTION("""COMPUTED_VALUE"""),595.0)</f>
        <v>595</v>
      </c>
      <c r="B596" s="1">
        <f>IFERROR(__xludf.DUMMYFUNCTION("""COMPUTED_VALUE"""),10082.0)</f>
        <v>10082</v>
      </c>
      <c r="C596" s="13" t="str">
        <f>IFERROR(__xludf.DUMMYFUNCTION("""COMPUTED_VALUE"""),"Mr.Sablon")</f>
        <v>Mr.Sablon</v>
      </c>
      <c r="D596" s="2" t="str">
        <f>IFERROR(__xludf.DUMMYFUNCTION("""COMPUTED_VALUE"""),"10KM OVERALL M")</f>
        <v>10KM OVERALL M</v>
      </c>
      <c r="E596" s="1">
        <f>IFERROR(__xludf.DUMMYFUNCTION("""COMPUTED_VALUE"""),495.0)</f>
        <v>495</v>
      </c>
      <c r="F596" s="1" t="str">
        <f>IFERROR(__xludf.DUMMYFUNCTION("""COMPUTED_VALUE"""),"Male")</f>
        <v>Male</v>
      </c>
      <c r="G596" s="5">
        <f>IFERROR(__xludf.DUMMYFUNCTION("""COMPUTED_VALUE"""),0.005677003472222221)</f>
        <v>0.005677003472</v>
      </c>
      <c r="H596" s="14">
        <f>IFERROR(__xludf.DUMMYFUNCTION("""COMPUTED_VALUE"""),0.24646185185185185)</f>
        <v>0.2464618519</v>
      </c>
      <c r="I596" s="15">
        <f>IFERROR(__xludf.DUMMYFUNCTION("""COMPUTED_VALUE"""),45949.30323188161)</f>
        <v>45949.30323</v>
      </c>
      <c r="J596" s="15">
        <f>IFERROR(__xludf.DUMMYFUNCTION("""COMPUTED_VALUE"""),45949.05677002976)</f>
        <v>45949.05677</v>
      </c>
      <c r="K596" s="15">
        <f>IFERROR(__xludf.DUMMYFUNCTION("""COMPUTED_VALUE"""),45949.25861702552)</f>
        <v>45949.25862</v>
      </c>
      <c r="L596" s="15">
        <f>IFERROR(__xludf.DUMMYFUNCTION("""COMPUTED_VALUE"""),45949.288127424195)</f>
        <v>45949.28813</v>
      </c>
    </row>
    <row r="597">
      <c r="A597" s="1">
        <f>IFERROR(__xludf.DUMMYFUNCTION("""COMPUTED_VALUE"""),596.0)</f>
        <v>596</v>
      </c>
      <c r="B597" s="1">
        <f>IFERROR(__xludf.DUMMYFUNCTION("""COMPUTED_VALUE"""),10025.0)</f>
        <v>10025</v>
      </c>
      <c r="C597" s="13" t="str">
        <f>IFERROR(__xludf.DUMMYFUNCTION("""COMPUTED_VALUE"""),"KAISERRR")</f>
        <v>KAISERRR</v>
      </c>
      <c r="D597" s="2" t="str">
        <f>IFERROR(__xludf.DUMMYFUNCTION("""COMPUTED_VALUE"""),"10KM OVERALL M")</f>
        <v>10KM OVERALL M</v>
      </c>
      <c r="E597" s="1">
        <f>IFERROR(__xludf.DUMMYFUNCTION("""COMPUTED_VALUE"""),496.0)</f>
        <v>496</v>
      </c>
      <c r="F597" s="1" t="str">
        <f>IFERROR(__xludf.DUMMYFUNCTION("""COMPUTED_VALUE"""),"Male")</f>
        <v>Male</v>
      </c>
      <c r="G597" s="5">
        <f>IFERROR(__xludf.DUMMYFUNCTION("""COMPUTED_VALUE"""),0.005680707175925926)</f>
        <v>0.005680707176</v>
      </c>
      <c r="H597" s="14">
        <f>IFERROR(__xludf.DUMMYFUNCTION("""COMPUTED_VALUE"""),0.24646185185185185)</f>
        <v>0.2464618519</v>
      </c>
      <c r="I597" s="15">
        <f>IFERROR(__xludf.DUMMYFUNCTION("""COMPUTED_VALUE"""),45949.30326892643)</f>
        <v>45949.30327</v>
      </c>
      <c r="J597" s="15">
        <f>IFERROR(__xludf.DUMMYFUNCTION("""COMPUTED_VALUE"""),45949.05680707458)</f>
        <v>45949.05681</v>
      </c>
      <c r="K597" s="15">
        <f>IFERROR(__xludf.DUMMYFUNCTION("""COMPUTED_VALUE"""),45949.25886698449)</f>
        <v>45949.25887</v>
      </c>
      <c r="L597" s="15">
        <f>IFERROR(__xludf.DUMMYFUNCTION("""COMPUTED_VALUE"""),45949.29391947906)</f>
        <v>45949.29392</v>
      </c>
    </row>
    <row r="598">
      <c r="A598" s="1">
        <f>IFERROR(__xludf.DUMMYFUNCTION("""COMPUTED_VALUE"""),597.0)</f>
        <v>597</v>
      </c>
      <c r="B598" s="1">
        <f>IFERROR(__xludf.DUMMYFUNCTION("""COMPUTED_VALUE"""),10107.0)</f>
        <v>10107</v>
      </c>
      <c r="C598" s="13" t="str">
        <f>IFERROR(__xludf.DUMMYFUNCTION("""COMPUTED_VALUE"""),"Rizki Nur Hidayah")</f>
        <v>Rizki Nur Hidayah</v>
      </c>
      <c r="D598" s="2" t="str">
        <f>IFERROR(__xludf.DUMMYFUNCTION("""COMPUTED_VALUE"""),"10KM OVERALL F")</f>
        <v>10KM OVERALL F</v>
      </c>
      <c r="E598" s="1">
        <f>IFERROR(__xludf.DUMMYFUNCTION("""COMPUTED_VALUE"""),38.0)</f>
        <v>38</v>
      </c>
      <c r="F598" s="1" t="str">
        <f>IFERROR(__xludf.DUMMYFUNCTION("""COMPUTED_VALUE"""),"Female")</f>
        <v>Female</v>
      </c>
      <c r="G598" s="5">
        <f>IFERROR(__xludf.DUMMYFUNCTION("""COMPUTED_VALUE"""),0.005681506944444444)</f>
        <v>0.005681506944</v>
      </c>
      <c r="H598" s="14">
        <f>IFERROR(__xludf.DUMMYFUNCTION("""COMPUTED_VALUE"""),0.24646185185185185)</f>
        <v>0.2464618519</v>
      </c>
      <c r="I598" s="15">
        <f>IFERROR(__xludf.DUMMYFUNCTION("""COMPUTED_VALUE"""),45949.303276921775)</f>
        <v>45949.30328</v>
      </c>
      <c r="J598" s="15">
        <f>IFERROR(__xludf.DUMMYFUNCTION("""COMPUTED_VALUE"""),45949.056815069926)</f>
        <v>45949.05682</v>
      </c>
      <c r="K598" s="15">
        <f>IFERROR(__xludf.DUMMYFUNCTION("""COMPUTED_VALUE"""),45949.257894838694)</f>
        <v>45949.25789</v>
      </c>
      <c r="L598" s="15">
        <f>IFERROR(__xludf.DUMMYFUNCTION("""COMPUTED_VALUE"""),45949.29365542927)</f>
        <v>45949.29366</v>
      </c>
    </row>
    <row r="599">
      <c r="A599" s="1">
        <f>IFERROR(__xludf.DUMMYFUNCTION("""COMPUTED_VALUE"""),598.0)</f>
        <v>598</v>
      </c>
      <c r="B599" s="1">
        <f>IFERROR(__xludf.DUMMYFUNCTION("""COMPUTED_VALUE"""),10017.0)</f>
        <v>10017</v>
      </c>
      <c r="C599" s="13" t="str">
        <f>IFERROR(__xludf.DUMMYFUNCTION("""COMPUTED_VALUE"""),"Diyank Atie o9")</f>
        <v>Diyank Atie o9</v>
      </c>
      <c r="D599" s="2" t="str">
        <f>IFERROR(__xludf.DUMMYFUNCTION("""COMPUTED_VALUE"""),"10KM OVERALL F")</f>
        <v>10KM OVERALL F</v>
      </c>
      <c r="E599" s="1">
        <f>IFERROR(__xludf.DUMMYFUNCTION("""COMPUTED_VALUE"""),39.0)</f>
        <v>39</v>
      </c>
      <c r="F599" s="1" t="str">
        <f>IFERROR(__xludf.DUMMYFUNCTION("""COMPUTED_VALUE"""),"Female")</f>
        <v>Female</v>
      </c>
      <c r="G599" s="5">
        <f>IFERROR(__xludf.DUMMYFUNCTION("""COMPUTED_VALUE"""),0.005682791666666667)</f>
        <v>0.005682791667</v>
      </c>
      <c r="H599" s="14">
        <f>IFERROR(__xludf.DUMMYFUNCTION("""COMPUTED_VALUE"""),0.24646185185185185)</f>
        <v>0.2464618519</v>
      </c>
      <c r="I599" s="15">
        <f>IFERROR(__xludf.DUMMYFUNCTION("""COMPUTED_VALUE"""),45949.303289762975)</f>
        <v>45949.30329</v>
      </c>
      <c r="J599" s="15">
        <f>IFERROR(__xludf.DUMMYFUNCTION("""COMPUTED_VALUE"""),45949.056827911125)</f>
        <v>45949.05683</v>
      </c>
      <c r="K599" s="15">
        <f>IFERROR(__xludf.DUMMYFUNCTION("""COMPUTED_VALUE"""),45949.259432933475)</f>
        <v>45949.25943</v>
      </c>
      <c r="L599" s="15">
        <f>IFERROR(__xludf.DUMMYFUNCTION("""COMPUTED_VALUE"""),45949.29357897248)</f>
        <v>45949.29358</v>
      </c>
    </row>
    <row r="600">
      <c r="A600" s="1">
        <f>IFERROR(__xludf.DUMMYFUNCTION("""COMPUTED_VALUE"""),599.0)</f>
        <v>599</v>
      </c>
      <c r="B600" s="1">
        <f>IFERROR(__xludf.DUMMYFUNCTION("""COMPUTED_VALUE"""),10324.0)</f>
        <v>10324</v>
      </c>
      <c r="C600" s="13" t="str">
        <f>IFERROR(__xludf.DUMMYFUNCTION("""COMPUTED_VALUE"""),"ASSALAMUALAIKUM NS")</f>
        <v>ASSALAMUALAIKUM NS</v>
      </c>
      <c r="D600" s="2" t="str">
        <f>IFERROR(__xludf.DUMMYFUNCTION("""COMPUTED_VALUE"""),"10KM OVERALL M")</f>
        <v>10KM OVERALL M</v>
      </c>
      <c r="E600" s="1">
        <f>IFERROR(__xludf.DUMMYFUNCTION("""COMPUTED_VALUE"""),497.0)</f>
        <v>497</v>
      </c>
      <c r="F600" s="1" t="str">
        <f>IFERROR(__xludf.DUMMYFUNCTION("""COMPUTED_VALUE"""),"Male")</f>
        <v>Male</v>
      </c>
      <c r="G600" s="5">
        <f>IFERROR(__xludf.DUMMYFUNCTION("""COMPUTED_VALUE"""),0.005684520833333333)</f>
        <v>0.005684520833</v>
      </c>
      <c r="H600" s="14">
        <f>IFERROR(__xludf.DUMMYFUNCTION("""COMPUTED_VALUE"""),0.24646185185185185)</f>
        <v>0.2464618519</v>
      </c>
      <c r="I600" s="15">
        <f>IFERROR(__xludf.DUMMYFUNCTION("""COMPUTED_VALUE"""),45949.3033070622)</f>
        <v>45949.30331</v>
      </c>
      <c r="J600" s="15">
        <f>IFERROR(__xludf.DUMMYFUNCTION("""COMPUTED_VALUE"""),45949.05684521035)</f>
        <v>45949.05685</v>
      </c>
      <c r="K600" s="15">
        <f>IFERROR(__xludf.DUMMYFUNCTION("""COMPUTED_VALUE"""),45949.259429476006)</f>
        <v>45949.25943</v>
      </c>
      <c r="L600" s="15">
        <f>IFERROR(__xludf.DUMMYFUNCTION("""COMPUTED_VALUE"""),45949.29357552255)</f>
        <v>45949.29358</v>
      </c>
    </row>
    <row r="601">
      <c r="A601" s="1">
        <f>IFERROR(__xludf.DUMMYFUNCTION("""COMPUTED_VALUE"""),600.0)</f>
        <v>600</v>
      </c>
      <c r="B601" s="1">
        <f>IFERROR(__xludf.DUMMYFUNCTION("""COMPUTED_VALUE"""),10395.0)</f>
        <v>10395</v>
      </c>
      <c r="C601" s="13" t="str">
        <f>IFERROR(__xludf.DUMMYFUNCTION("""COMPUTED_VALUE"""),"Ahmad Febry Fahrurrazi")</f>
        <v>Ahmad Febry Fahrurrazi</v>
      </c>
      <c r="D601" s="2" t="str">
        <f>IFERROR(__xludf.DUMMYFUNCTION("""COMPUTED_VALUE"""),"10KM OVERALL M")</f>
        <v>10KM OVERALL M</v>
      </c>
      <c r="E601" s="1">
        <f>IFERROR(__xludf.DUMMYFUNCTION("""COMPUTED_VALUE"""),498.0)</f>
        <v>498</v>
      </c>
      <c r="F601" s="1" t="str">
        <f>IFERROR(__xludf.DUMMYFUNCTION("""COMPUTED_VALUE"""),"Male")</f>
        <v>Male</v>
      </c>
      <c r="G601" s="5">
        <f>IFERROR(__xludf.DUMMYFUNCTION("""COMPUTED_VALUE"""),0.005686957175925926)</f>
        <v>0.005686957176</v>
      </c>
      <c r="H601" s="14">
        <f>IFERROR(__xludf.DUMMYFUNCTION("""COMPUTED_VALUE"""),0.24646185185185185)</f>
        <v>0.2464618519</v>
      </c>
      <c r="I601" s="15">
        <f>IFERROR(__xludf.DUMMYFUNCTION("""COMPUTED_VALUE"""),45949.303331428746)</f>
        <v>45949.30333</v>
      </c>
      <c r="J601" s="15">
        <f>IFERROR(__xludf.DUMMYFUNCTION("""COMPUTED_VALUE"""),45949.056869576896)</f>
        <v>45949.05687</v>
      </c>
      <c r="K601" s="15">
        <f>IFERROR(__xludf.DUMMYFUNCTION("""COMPUTED_VALUE"""),45949.259880908314)</f>
        <v>45949.25988</v>
      </c>
      <c r="L601" s="15">
        <f>IFERROR(__xludf.DUMMYFUNCTION("""COMPUTED_VALUE"""),45949.29438806899)</f>
        <v>45949.29439</v>
      </c>
    </row>
    <row r="602">
      <c r="A602" s="1">
        <f>IFERROR(__xludf.DUMMYFUNCTION("""COMPUTED_VALUE"""),601.0)</f>
        <v>601</v>
      </c>
      <c r="B602" s="1">
        <f>IFERROR(__xludf.DUMMYFUNCTION("""COMPUTED_VALUE"""),12034.0)</f>
        <v>12034</v>
      </c>
      <c r="C602" s="13" t="str">
        <f>IFERROR(__xludf.DUMMYFUNCTION("""COMPUTED_VALUE"""),"MULYADI")</f>
        <v>MULYADI</v>
      </c>
      <c r="D602" s="2" t="str">
        <f>IFERROR(__xludf.DUMMYFUNCTION("""COMPUTED_VALUE"""),"10KM MASTER M")</f>
        <v>10KM MASTER M</v>
      </c>
      <c r="E602" s="1">
        <f>IFERROR(__xludf.DUMMYFUNCTION("""COMPUTED_VALUE"""),56.0)</f>
        <v>56</v>
      </c>
      <c r="F602" s="1" t="str">
        <f>IFERROR(__xludf.DUMMYFUNCTION("""COMPUTED_VALUE"""),"Male")</f>
        <v>Male</v>
      </c>
      <c r="G602" s="5">
        <f>IFERROR(__xludf.DUMMYFUNCTION("""COMPUTED_VALUE"""),0.005687998842592592)</f>
        <v>0.005687998843</v>
      </c>
      <c r="H602" s="14">
        <f>IFERROR(__xludf.DUMMYFUNCTION("""COMPUTED_VALUE"""),0.24646185185185185)</f>
        <v>0.2464618519</v>
      </c>
      <c r="I602" s="15">
        <f>IFERROR(__xludf.DUMMYFUNCTION("""COMPUTED_VALUE"""),45949.3033418416)</f>
        <v>45949.30334</v>
      </c>
      <c r="J602" s="15">
        <f>IFERROR(__xludf.DUMMYFUNCTION("""COMPUTED_VALUE"""),45949.05687998975)</f>
        <v>45949.05688</v>
      </c>
      <c r="K602" s="15">
        <f>IFERROR(__xludf.DUMMYFUNCTION("""COMPUTED_VALUE"""),45949.25733234483)</f>
        <v>45949.25733</v>
      </c>
      <c r="L602" s="15">
        <f>IFERROR(__xludf.DUMMYFUNCTION("""COMPUTED_VALUE"""),45949.29338455744)</f>
        <v>45949.29338</v>
      </c>
    </row>
    <row r="603">
      <c r="A603" s="1">
        <f>IFERROR(__xludf.DUMMYFUNCTION("""COMPUTED_VALUE"""),602.0)</f>
        <v>602</v>
      </c>
      <c r="B603" s="1">
        <f>IFERROR(__xludf.DUMMYFUNCTION("""COMPUTED_VALUE"""),12027.0)</f>
        <v>12027</v>
      </c>
      <c r="C603" s="13" t="str">
        <f>IFERROR(__xludf.DUMMYFUNCTION("""COMPUTED_VALUE"""),"UlunAa")</f>
        <v>UlunAa</v>
      </c>
      <c r="D603" s="2" t="str">
        <f>IFERROR(__xludf.DUMMYFUNCTION("""COMPUTED_VALUE"""),"10KM MASTER M")</f>
        <v>10KM MASTER M</v>
      </c>
      <c r="E603" s="1">
        <f>IFERROR(__xludf.DUMMYFUNCTION("""COMPUTED_VALUE"""),57.0)</f>
        <v>57</v>
      </c>
      <c r="F603" s="1" t="str">
        <f>IFERROR(__xludf.DUMMYFUNCTION("""COMPUTED_VALUE"""),"Male")</f>
        <v>Male</v>
      </c>
      <c r="G603" s="5">
        <f>IFERROR(__xludf.DUMMYFUNCTION("""COMPUTED_VALUE"""),0.005688)</f>
        <v>0.005688</v>
      </c>
      <c r="H603" s="14">
        <f>IFERROR(__xludf.DUMMYFUNCTION("""COMPUTED_VALUE"""),0.24646185185185185)</f>
        <v>0.2464618519</v>
      </c>
      <c r="I603" s="15">
        <f>IFERROR(__xludf.DUMMYFUNCTION("""COMPUTED_VALUE"""),45949.3033418533)</f>
        <v>45949.30334</v>
      </c>
      <c r="J603" s="15">
        <f>IFERROR(__xludf.DUMMYFUNCTION("""COMPUTED_VALUE"""),45949.05688000145)</f>
        <v>45949.05688</v>
      </c>
      <c r="K603" s="15">
        <f>IFERROR(__xludf.DUMMYFUNCTION("""COMPUTED_VALUE"""),45949.25804752206)</f>
        <v>45949.25805</v>
      </c>
      <c r="L603" s="15">
        <f>IFERROR(__xludf.DUMMYFUNCTION("""COMPUTED_VALUE"""),45949.29371788498)</f>
        <v>45949.29372</v>
      </c>
    </row>
    <row r="604">
      <c r="A604" s="1">
        <f>IFERROR(__xludf.DUMMYFUNCTION("""COMPUTED_VALUE"""),603.0)</f>
        <v>603</v>
      </c>
      <c r="B604" s="1">
        <f>IFERROR(__xludf.DUMMYFUNCTION("""COMPUTED_VALUE"""),10258.0)</f>
        <v>10258</v>
      </c>
      <c r="C604" s="13" t="str">
        <f>IFERROR(__xludf.DUMMYFUNCTION("""COMPUTED_VALUE"""),"Dhani AM")</f>
        <v>Dhani AM</v>
      </c>
      <c r="D604" s="2" t="str">
        <f>IFERROR(__xludf.DUMMYFUNCTION("""COMPUTED_VALUE"""),"10KM OVERALL M")</f>
        <v>10KM OVERALL M</v>
      </c>
      <c r="E604" s="1">
        <f>IFERROR(__xludf.DUMMYFUNCTION("""COMPUTED_VALUE"""),499.0)</f>
        <v>499</v>
      </c>
      <c r="F604" s="1" t="str">
        <f>IFERROR(__xludf.DUMMYFUNCTION("""COMPUTED_VALUE"""),"Male")</f>
        <v>Male</v>
      </c>
      <c r="G604" s="5">
        <f>IFERROR(__xludf.DUMMYFUNCTION("""COMPUTED_VALUE"""),0.00569320138888889)</f>
        <v>0.005693201389</v>
      </c>
      <c r="H604" s="14">
        <f>IFERROR(__xludf.DUMMYFUNCTION("""COMPUTED_VALUE"""),0.24646185185185185)</f>
        <v>0.2464618519</v>
      </c>
      <c r="I604" s="15">
        <f>IFERROR(__xludf.DUMMYFUNCTION("""COMPUTED_VALUE"""),45949.30339386994)</f>
        <v>45949.30339</v>
      </c>
      <c r="J604" s="15">
        <f>IFERROR(__xludf.DUMMYFUNCTION("""COMPUTED_VALUE"""),45949.05693201809)</f>
        <v>45949.05693</v>
      </c>
      <c r="K604" s="15">
        <f>IFERROR(__xludf.DUMMYFUNCTION("""COMPUTED_VALUE"""),45949.25999545002)</f>
        <v>45949.26</v>
      </c>
      <c r="L604" s="15">
        <f>IFERROR(__xludf.DUMMYFUNCTION("""COMPUTED_VALUE"""),45949.29332212439)</f>
        <v>45949.29332</v>
      </c>
    </row>
    <row r="605">
      <c r="A605" s="1">
        <f>IFERROR(__xludf.DUMMYFUNCTION("""COMPUTED_VALUE"""),604.0)</f>
        <v>604</v>
      </c>
      <c r="B605" s="1">
        <f>IFERROR(__xludf.DUMMYFUNCTION("""COMPUTED_VALUE"""),12038.0)</f>
        <v>12038</v>
      </c>
      <c r="C605" s="13" t="str">
        <f>IFERROR(__xludf.DUMMYFUNCTION("""COMPUTED_VALUE"""),"Manda")</f>
        <v>Manda</v>
      </c>
      <c r="D605" s="2" t="str">
        <f>IFERROR(__xludf.DUMMYFUNCTION("""COMPUTED_VALUE"""),"10KM MASTER F")</f>
        <v>10KM MASTER F</v>
      </c>
      <c r="E605" s="1">
        <f>IFERROR(__xludf.DUMMYFUNCTION("""COMPUTED_VALUE"""),9.0)</f>
        <v>9</v>
      </c>
      <c r="F605" s="1" t="str">
        <f>IFERROR(__xludf.DUMMYFUNCTION("""COMPUTED_VALUE"""),"Female")</f>
        <v>Female</v>
      </c>
      <c r="G605" s="5">
        <f>IFERROR(__xludf.DUMMYFUNCTION("""COMPUTED_VALUE"""),0.005695984953703704)</f>
        <v>0.005695984954</v>
      </c>
      <c r="H605" s="14">
        <f>IFERROR(__xludf.DUMMYFUNCTION("""COMPUTED_VALUE"""),0.24646185185185185)</f>
        <v>0.2464618519</v>
      </c>
      <c r="I605" s="15">
        <f>IFERROR(__xludf.DUMMYFUNCTION("""COMPUTED_VALUE"""),45949.303421696575)</f>
        <v>45949.30342</v>
      </c>
      <c r="J605" s="15">
        <f>IFERROR(__xludf.DUMMYFUNCTION("""COMPUTED_VALUE"""),45949.056959844725)</f>
        <v>45949.05696</v>
      </c>
      <c r="K605" s="15">
        <f>IFERROR(__xludf.DUMMYFUNCTION("""COMPUTED_VALUE"""),45949.26003718415)</f>
        <v>45949.26004</v>
      </c>
      <c r="L605" s="15">
        <f>IFERROR(__xludf.DUMMYFUNCTION("""COMPUTED_VALUE"""),45949.29336378814)</f>
        <v>45949.29336</v>
      </c>
    </row>
    <row r="606">
      <c r="A606" s="1">
        <f>IFERROR(__xludf.DUMMYFUNCTION("""COMPUTED_VALUE"""),605.0)</f>
        <v>605</v>
      </c>
      <c r="B606" s="1">
        <f>IFERROR(__xludf.DUMMYFUNCTION("""COMPUTED_VALUE"""),10790.0)</f>
        <v>10790</v>
      </c>
      <c r="C606" s="13" t="str">
        <f>IFERROR(__xludf.DUMMYFUNCTION("""COMPUTED_VALUE"""),"CACA")</f>
        <v>CACA</v>
      </c>
      <c r="D606" s="2" t="str">
        <f>IFERROR(__xludf.DUMMYFUNCTION("""COMPUTED_VALUE"""),"10KM OVERALL M")</f>
        <v>10KM OVERALL M</v>
      </c>
      <c r="E606" s="1">
        <f>IFERROR(__xludf.DUMMYFUNCTION("""COMPUTED_VALUE"""),500.0)</f>
        <v>500</v>
      </c>
      <c r="F606" s="1" t="str">
        <f>IFERROR(__xludf.DUMMYFUNCTION("""COMPUTED_VALUE"""),"Male")</f>
        <v>Male</v>
      </c>
      <c r="G606" s="5">
        <f>IFERROR(__xludf.DUMMYFUNCTION("""COMPUTED_VALUE"""),0.005706055555555556)</f>
        <v>0.005706055556</v>
      </c>
      <c r="H606" s="14">
        <f>IFERROR(__xludf.DUMMYFUNCTION("""COMPUTED_VALUE"""),0.24646185185185185)</f>
        <v>0.2464618519</v>
      </c>
      <c r="I606" s="15">
        <f>IFERROR(__xludf.DUMMYFUNCTION("""COMPUTED_VALUE"""),45949.303522404465)</f>
        <v>45949.30352</v>
      </c>
      <c r="J606" s="15">
        <f>IFERROR(__xludf.DUMMYFUNCTION("""COMPUTED_VALUE"""),45949.057060552615)</f>
        <v>45949.05706</v>
      </c>
      <c r="K606" s="15">
        <f>IFERROR(__xludf.DUMMYFUNCTION("""COMPUTED_VALUE"""),45949.25928021447)</f>
        <v>45949.25928</v>
      </c>
      <c r="L606" s="15">
        <f>IFERROR(__xludf.DUMMYFUNCTION("""COMPUTED_VALUE"""),45949.29299217846)</f>
        <v>45949.29299</v>
      </c>
    </row>
    <row r="607">
      <c r="A607" s="1">
        <f>IFERROR(__xludf.DUMMYFUNCTION("""COMPUTED_VALUE"""),606.0)</f>
        <v>606</v>
      </c>
      <c r="B607" s="1">
        <f>IFERROR(__xludf.DUMMYFUNCTION("""COMPUTED_VALUE"""),10791.0)</f>
        <v>10791</v>
      </c>
      <c r="C607" s="13" t="str">
        <f>IFERROR(__xludf.DUMMYFUNCTION("""COMPUTED_VALUE"""),"KINUR")</f>
        <v>KINUR</v>
      </c>
      <c r="D607" s="2" t="str">
        <f>IFERROR(__xludf.DUMMYFUNCTION("""COMPUTED_VALUE"""),"10KM OVERALL M")</f>
        <v>10KM OVERALL M</v>
      </c>
      <c r="E607" s="1">
        <f>IFERROR(__xludf.DUMMYFUNCTION("""COMPUTED_VALUE"""),501.0)</f>
        <v>501</v>
      </c>
      <c r="F607" s="1" t="str">
        <f>IFERROR(__xludf.DUMMYFUNCTION("""COMPUTED_VALUE"""),"Male")</f>
        <v>Male</v>
      </c>
      <c r="G607" s="5">
        <f>IFERROR(__xludf.DUMMYFUNCTION("""COMPUTED_VALUE"""),0.00570640162037037)</f>
        <v>0.00570640162</v>
      </c>
      <c r="H607" s="14">
        <f>IFERROR(__xludf.DUMMYFUNCTION("""COMPUTED_VALUE"""),0.24646185185185185)</f>
        <v>0.2464618519</v>
      </c>
      <c r="I607" s="15">
        <f>IFERROR(__xludf.DUMMYFUNCTION("""COMPUTED_VALUE"""),45949.30352586516)</f>
        <v>45949.30353</v>
      </c>
      <c r="J607" s="15">
        <f>IFERROR(__xludf.DUMMYFUNCTION("""COMPUTED_VALUE"""),45949.05706401331)</f>
        <v>45949.05706</v>
      </c>
      <c r="K607" s="15">
        <f>IFERROR(__xludf.DUMMYFUNCTION("""COMPUTED_VALUE"""),45949.259321899626)</f>
        <v>45949.25932</v>
      </c>
      <c r="L607" s="15">
        <f>IFERROR(__xludf.DUMMYFUNCTION("""COMPUTED_VALUE"""),45949.29299570087)</f>
        <v>45949.293</v>
      </c>
    </row>
    <row r="608">
      <c r="A608" s="1">
        <f>IFERROR(__xludf.DUMMYFUNCTION("""COMPUTED_VALUE"""),607.0)</f>
        <v>607</v>
      </c>
      <c r="B608" s="1">
        <f>IFERROR(__xludf.DUMMYFUNCTION("""COMPUTED_VALUE"""),10288.0)</f>
        <v>10288</v>
      </c>
      <c r="C608" s="13" t="str">
        <f>IFERROR(__xludf.DUMMYFUNCTION("""COMPUTED_VALUE"""),"Sintha MN")</f>
        <v>Sintha MN</v>
      </c>
      <c r="D608" s="2" t="str">
        <f>IFERROR(__xludf.DUMMYFUNCTION("""COMPUTED_VALUE"""),"10KM OVERALL F")</f>
        <v>10KM OVERALL F</v>
      </c>
      <c r="E608" s="1">
        <f>IFERROR(__xludf.DUMMYFUNCTION("""COMPUTED_VALUE"""),40.0)</f>
        <v>40</v>
      </c>
      <c r="F608" s="1" t="str">
        <f>IFERROR(__xludf.DUMMYFUNCTION("""COMPUTED_VALUE"""),"Female")</f>
        <v>Female</v>
      </c>
      <c r="G608" s="5">
        <f>IFERROR(__xludf.DUMMYFUNCTION("""COMPUTED_VALUE"""),0.005707096064814814)</f>
        <v>0.005707096065</v>
      </c>
      <c r="H608" s="14">
        <f>IFERROR(__xludf.DUMMYFUNCTION("""COMPUTED_VALUE"""),0.24646185185185185)</f>
        <v>0.2464618519</v>
      </c>
      <c r="I608" s="15">
        <f>IFERROR(__xludf.DUMMYFUNCTION("""COMPUTED_VALUE"""),45949.30353281598)</f>
        <v>45949.30353</v>
      </c>
      <c r="J608" s="15">
        <f>IFERROR(__xludf.DUMMYFUNCTION("""COMPUTED_VALUE"""),45949.05707096413)</f>
        <v>45949.05707</v>
      </c>
      <c r="K608" s="15">
        <f>IFERROR(__xludf.DUMMYFUNCTION("""COMPUTED_VALUE"""),45949.25937396741)</f>
        <v>45949.25937</v>
      </c>
      <c r="L608" s="15">
        <f>IFERROR(__xludf.DUMMYFUNCTION("""COMPUTED_VALUE"""),45949.29340544507)</f>
        <v>45949.29341</v>
      </c>
    </row>
    <row r="609">
      <c r="A609" s="1">
        <f>IFERROR(__xludf.DUMMYFUNCTION("""COMPUTED_VALUE"""),608.0)</f>
        <v>608</v>
      </c>
      <c r="B609" s="1">
        <f>IFERROR(__xludf.DUMMYFUNCTION("""COMPUTED_VALUE"""),10346.0)</f>
        <v>10346</v>
      </c>
      <c r="C609" s="13" t="str">
        <f>IFERROR(__xludf.DUMMYFUNCTION("""COMPUTED_VALUE"""),"algi_physio")</f>
        <v>algi_physio</v>
      </c>
      <c r="D609" s="2" t="str">
        <f>IFERROR(__xludf.DUMMYFUNCTION("""COMPUTED_VALUE"""),"10KM OVERALL M")</f>
        <v>10KM OVERALL M</v>
      </c>
      <c r="E609" s="1">
        <f>IFERROR(__xludf.DUMMYFUNCTION("""COMPUTED_VALUE"""),502.0)</f>
        <v>502</v>
      </c>
      <c r="F609" s="1" t="str">
        <f>IFERROR(__xludf.DUMMYFUNCTION("""COMPUTED_VALUE"""),"Male")</f>
        <v>Male</v>
      </c>
      <c r="G609" s="5">
        <f>IFERROR(__xludf.DUMMYFUNCTION("""COMPUTED_VALUE"""),0.005711291666666666)</f>
        <v>0.005711291667</v>
      </c>
      <c r="H609" s="14">
        <f>IFERROR(__xludf.DUMMYFUNCTION("""COMPUTED_VALUE"""),0.24646185185185185)</f>
        <v>0.2464618519</v>
      </c>
      <c r="I609" s="15">
        <f>IFERROR(__xludf.DUMMYFUNCTION("""COMPUTED_VALUE"""),45949.303574773454)</f>
        <v>45949.30357</v>
      </c>
      <c r="J609" s="15">
        <f>IFERROR(__xludf.DUMMYFUNCTION("""COMPUTED_VALUE"""),45949.057112921604)</f>
        <v>45949.05711</v>
      </c>
      <c r="K609" s="15">
        <f>IFERROR(__xludf.DUMMYFUNCTION("""COMPUTED_VALUE"""),45949.25937045679)</f>
        <v>45949.25937</v>
      </c>
      <c r="L609" s="15">
        <f>IFERROR(__xludf.DUMMYFUNCTION("""COMPUTED_VALUE"""),45949.29380127201)</f>
        <v>45949.2938</v>
      </c>
    </row>
    <row r="610">
      <c r="A610" s="1">
        <f>IFERROR(__xludf.DUMMYFUNCTION("""COMPUTED_VALUE"""),609.0)</f>
        <v>609</v>
      </c>
      <c r="B610" s="1">
        <f>IFERROR(__xludf.DUMMYFUNCTION("""COMPUTED_VALUE"""),10193.0)</f>
        <v>10193</v>
      </c>
      <c r="C610" s="13" t="str">
        <f>IFERROR(__xludf.DUMMYFUNCTION("""COMPUTED_VALUE"""),"Pah Y.A.E.")</f>
        <v>Pah Y.A.E.</v>
      </c>
      <c r="D610" s="2" t="str">
        <f>IFERROR(__xludf.DUMMYFUNCTION("""COMPUTED_VALUE"""),"10KM OVERALL M")</f>
        <v>10KM OVERALL M</v>
      </c>
      <c r="E610" s="1">
        <f>IFERROR(__xludf.DUMMYFUNCTION("""COMPUTED_VALUE"""),503.0)</f>
        <v>503</v>
      </c>
      <c r="F610" s="1" t="str">
        <f>IFERROR(__xludf.DUMMYFUNCTION("""COMPUTED_VALUE"""),"Male")</f>
        <v>Male</v>
      </c>
      <c r="G610" s="5">
        <f>IFERROR(__xludf.DUMMYFUNCTION("""COMPUTED_VALUE"""),0.005716471064814815)</f>
        <v>0.005716471065</v>
      </c>
      <c r="H610" s="14">
        <f>IFERROR(__xludf.DUMMYFUNCTION("""COMPUTED_VALUE"""),0.24646185185185185)</f>
        <v>0.2464618519</v>
      </c>
      <c r="I610" s="15">
        <f>IFERROR(__xludf.DUMMYFUNCTION("""COMPUTED_VALUE"""),45949.30362656238)</f>
        <v>45949.30363</v>
      </c>
      <c r="J610" s="15">
        <f>IFERROR(__xludf.DUMMYFUNCTION("""COMPUTED_VALUE"""),45949.05716471053)</f>
        <v>45949.05716</v>
      </c>
      <c r="K610" s="15">
        <f>IFERROR(__xludf.DUMMYFUNCTION("""COMPUTED_VALUE"""),45949.25769685849)</f>
        <v>45949.2577</v>
      </c>
      <c r="L610" s="15">
        <f>IFERROR(__xludf.DUMMYFUNCTION("""COMPUTED_VALUE"""),45949.29256613044)</f>
        <v>45949.29257</v>
      </c>
    </row>
    <row r="611">
      <c r="A611" s="1">
        <f>IFERROR(__xludf.DUMMYFUNCTION("""COMPUTED_VALUE"""),610.0)</f>
        <v>610</v>
      </c>
      <c r="B611" s="1">
        <f>IFERROR(__xludf.DUMMYFUNCTION("""COMPUTED_VALUE"""),10385.0)</f>
        <v>10385</v>
      </c>
      <c r="C611" s="13" t="str">
        <f>IFERROR(__xludf.DUMMYFUNCTION("""COMPUTED_VALUE"""),"APRIZAL")</f>
        <v>APRIZAL</v>
      </c>
      <c r="D611" s="2" t="str">
        <f>IFERROR(__xludf.DUMMYFUNCTION("""COMPUTED_VALUE"""),"10KM OVERALL M")</f>
        <v>10KM OVERALL M</v>
      </c>
      <c r="E611" s="1">
        <f>IFERROR(__xludf.DUMMYFUNCTION("""COMPUTED_VALUE"""),504.0)</f>
        <v>504</v>
      </c>
      <c r="F611" s="1" t="str">
        <f>IFERROR(__xludf.DUMMYFUNCTION("""COMPUTED_VALUE"""),"Male")</f>
        <v>Male</v>
      </c>
      <c r="G611" s="5">
        <f>IFERROR(__xludf.DUMMYFUNCTION("""COMPUTED_VALUE"""),0.005718207175925926)</f>
        <v>0.005718207176</v>
      </c>
      <c r="H611" s="14">
        <f>IFERROR(__xludf.DUMMYFUNCTION("""COMPUTED_VALUE"""),0.24646185185185185)</f>
        <v>0.2464618519</v>
      </c>
      <c r="I611" s="15">
        <f>IFERROR(__xludf.DUMMYFUNCTION("""COMPUTED_VALUE"""),45949.303643919935)</f>
        <v>45949.30364</v>
      </c>
      <c r="J611" s="15">
        <f>IFERROR(__xludf.DUMMYFUNCTION("""COMPUTED_VALUE"""),45949.057182068085)</f>
        <v>45949.05718</v>
      </c>
      <c r="K611" s="15">
        <f>IFERROR(__xludf.DUMMYFUNCTION("""COMPUTED_VALUE"""),45949.25820031284)</f>
        <v>45949.2582</v>
      </c>
      <c r="L611" s="15">
        <f>IFERROR(__xludf.DUMMYFUNCTION("""COMPUTED_VALUE"""),45949.29242627774)</f>
        <v>45949.29243</v>
      </c>
    </row>
    <row r="612">
      <c r="A612" s="1">
        <f>IFERROR(__xludf.DUMMYFUNCTION("""COMPUTED_VALUE"""),611.0)</f>
        <v>611</v>
      </c>
      <c r="B612" s="1">
        <f>IFERROR(__xludf.DUMMYFUNCTION("""COMPUTED_VALUE"""),10457.0)</f>
        <v>10457</v>
      </c>
      <c r="C612" s="13" t="str">
        <f>IFERROR(__xludf.DUMMYFUNCTION("""COMPUTED_VALUE"""),"chrystanto novendi")</f>
        <v>chrystanto novendi</v>
      </c>
      <c r="D612" s="2" t="str">
        <f>IFERROR(__xludf.DUMMYFUNCTION("""COMPUTED_VALUE"""),"10KM OVERALL M")</f>
        <v>10KM OVERALL M</v>
      </c>
      <c r="E612" s="1">
        <f>IFERROR(__xludf.DUMMYFUNCTION("""COMPUTED_VALUE"""),505.0)</f>
        <v>505</v>
      </c>
      <c r="F612" s="1" t="str">
        <f>IFERROR(__xludf.DUMMYFUNCTION("""COMPUTED_VALUE"""),"Male")</f>
        <v>Male</v>
      </c>
      <c r="G612" s="5">
        <f>IFERROR(__xludf.DUMMYFUNCTION("""COMPUTED_VALUE"""),0.005740429398148148)</f>
        <v>0.005740429398</v>
      </c>
      <c r="H612" s="14">
        <f>IFERROR(__xludf.DUMMYFUNCTION("""COMPUTED_VALUE"""),0.24646185185185185)</f>
        <v>0.2464618519</v>
      </c>
      <c r="I612" s="15">
        <f>IFERROR(__xludf.DUMMYFUNCTION("""COMPUTED_VALUE"""),45949.30386614206)</f>
        <v>45949.30387</v>
      </c>
      <c r="J612" s="15">
        <f>IFERROR(__xludf.DUMMYFUNCTION("""COMPUTED_VALUE"""),45949.05740429021)</f>
        <v>45949.0574</v>
      </c>
      <c r="K612" s="15">
        <f>IFERROR(__xludf.DUMMYFUNCTION("""COMPUTED_VALUE"""),45949.25781500518)</f>
        <v>45949.25782</v>
      </c>
      <c r="L612" s="15">
        <f>IFERROR(__xludf.DUMMYFUNCTION("""COMPUTED_VALUE"""),45949.29240541994)</f>
        <v>45949.29241</v>
      </c>
    </row>
    <row r="613">
      <c r="A613" s="1">
        <f>IFERROR(__xludf.DUMMYFUNCTION("""COMPUTED_VALUE"""),612.0)</f>
        <v>612</v>
      </c>
      <c r="B613" s="1">
        <f>IFERROR(__xludf.DUMMYFUNCTION("""COMPUTED_VALUE"""),10136.0)</f>
        <v>10136</v>
      </c>
      <c r="C613" s="13" t="str">
        <f>IFERROR(__xludf.DUMMYFUNCTION("""COMPUTED_VALUE"""),"Padly")</f>
        <v>Padly</v>
      </c>
      <c r="D613" s="2" t="str">
        <f>IFERROR(__xludf.DUMMYFUNCTION("""COMPUTED_VALUE"""),"10KM OVERALL M")</f>
        <v>10KM OVERALL M</v>
      </c>
      <c r="E613" s="1">
        <f>IFERROR(__xludf.DUMMYFUNCTION("""COMPUTED_VALUE"""),506.0)</f>
        <v>506</v>
      </c>
      <c r="F613" s="1" t="str">
        <f>IFERROR(__xludf.DUMMYFUNCTION("""COMPUTED_VALUE"""),"Male")</f>
        <v>Male</v>
      </c>
      <c r="G613" s="5">
        <f>IFERROR(__xludf.DUMMYFUNCTION("""COMPUTED_VALUE"""),0.005741842592592593)</f>
        <v>0.005741842593</v>
      </c>
      <c r="H613" s="14">
        <f>IFERROR(__xludf.DUMMYFUNCTION("""COMPUTED_VALUE"""),0.24646185185185185)</f>
        <v>0.2464618519</v>
      </c>
      <c r="I613" s="15">
        <f>IFERROR(__xludf.DUMMYFUNCTION("""COMPUTED_VALUE"""),45949.303880283434)</f>
        <v>45949.30388</v>
      </c>
      <c r="J613" s="15">
        <f>IFERROR(__xludf.DUMMYFUNCTION("""COMPUTED_VALUE"""),45949.057418431585)</f>
        <v>45949.05742</v>
      </c>
      <c r="K613" s="15">
        <f>IFERROR(__xludf.DUMMYFUNCTION("""COMPUTED_VALUE"""),45949.259766286435)</f>
        <v>45949.25977</v>
      </c>
      <c r="L613" s="15">
        <f>IFERROR(__xludf.DUMMYFUNCTION("""COMPUTED_VALUE"""),45949.29387066618)</f>
        <v>45949.29387</v>
      </c>
    </row>
    <row r="614">
      <c r="A614" s="1">
        <f>IFERROR(__xludf.DUMMYFUNCTION("""COMPUTED_VALUE"""),613.0)</f>
        <v>613</v>
      </c>
      <c r="B614" s="1">
        <f>IFERROR(__xludf.DUMMYFUNCTION("""COMPUTED_VALUE"""),10294.0)</f>
        <v>10294</v>
      </c>
      <c r="C614" s="13" t="str">
        <f>IFERROR(__xludf.DUMMYFUNCTION("""COMPUTED_VALUE"""),"ROMI")</f>
        <v>ROMI</v>
      </c>
      <c r="D614" s="2" t="str">
        <f>IFERROR(__xludf.DUMMYFUNCTION("""COMPUTED_VALUE"""),"10KM OVERALL M")</f>
        <v>10KM OVERALL M</v>
      </c>
      <c r="E614" s="1">
        <f>IFERROR(__xludf.DUMMYFUNCTION("""COMPUTED_VALUE"""),507.0)</f>
        <v>507</v>
      </c>
      <c r="F614" s="1" t="str">
        <f>IFERROR(__xludf.DUMMYFUNCTION("""COMPUTED_VALUE"""),"Male")</f>
        <v>Male</v>
      </c>
      <c r="G614" s="5">
        <f>IFERROR(__xludf.DUMMYFUNCTION("""COMPUTED_VALUE"""),0.00575466550925926)</f>
        <v>0.005754665509</v>
      </c>
      <c r="H614" s="14">
        <f>IFERROR(__xludf.DUMMYFUNCTION("""COMPUTED_VALUE"""),0.24646185185185185)</f>
        <v>0.2464618519</v>
      </c>
      <c r="I614" s="15">
        <f>IFERROR(__xludf.DUMMYFUNCTION("""COMPUTED_VALUE"""),45949.30400850344)</f>
        <v>45949.30401</v>
      </c>
      <c r="J614" s="15">
        <f>IFERROR(__xludf.DUMMYFUNCTION("""COMPUTED_VALUE"""),45949.05754665159)</f>
        <v>45949.05755</v>
      </c>
      <c r="K614" s="15">
        <f>IFERROR(__xludf.DUMMYFUNCTION("""COMPUTED_VALUE"""),45949.25873161779)</f>
        <v>45949.25873</v>
      </c>
      <c r="L614" s="15">
        <f>IFERROR(__xludf.DUMMYFUNCTION("""COMPUTED_VALUE"""),45949.293354031455)</f>
        <v>45949.29335</v>
      </c>
    </row>
    <row r="615">
      <c r="A615" s="1">
        <f>IFERROR(__xludf.DUMMYFUNCTION("""COMPUTED_VALUE"""),614.0)</f>
        <v>614</v>
      </c>
      <c r="B615" s="1">
        <f>IFERROR(__xludf.DUMMYFUNCTION("""COMPUTED_VALUE"""),10525.0)</f>
        <v>10525</v>
      </c>
      <c r="C615" s="13" t="str">
        <f>IFERROR(__xludf.DUMMYFUNCTION("""COMPUTED_VALUE"""),"QRI")</f>
        <v>QRI</v>
      </c>
      <c r="D615" s="2" t="str">
        <f>IFERROR(__xludf.DUMMYFUNCTION("""COMPUTED_VALUE"""),"10KM OVERALL M")</f>
        <v>10KM OVERALL M</v>
      </c>
      <c r="E615" s="1">
        <f>IFERROR(__xludf.DUMMYFUNCTION("""COMPUTED_VALUE"""),508.0)</f>
        <v>508</v>
      </c>
      <c r="F615" s="1" t="str">
        <f>IFERROR(__xludf.DUMMYFUNCTION("""COMPUTED_VALUE"""),"Male")</f>
        <v>Male</v>
      </c>
      <c r="G615" s="5">
        <f>IFERROR(__xludf.DUMMYFUNCTION("""COMPUTED_VALUE"""),0.00575640162037037)</f>
        <v>0.00575640162</v>
      </c>
      <c r="H615" s="14">
        <f>IFERROR(__xludf.DUMMYFUNCTION("""COMPUTED_VALUE"""),0.24646185185185185)</f>
        <v>0.2464618519</v>
      </c>
      <c r="I615" s="15">
        <f>IFERROR(__xludf.DUMMYFUNCTION("""COMPUTED_VALUE"""),45949.30402587108)</f>
        <v>45949.30403</v>
      </c>
      <c r="J615" s="15">
        <f>IFERROR(__xludf.DUMMYFUNCTION("""COMPUTED_VALUE"""),45949.05756401923)</f>
        <v>45949.05756</v>
      </c>
      <c r="K615" s="15">
        <f>IFERROR(__xludf.DUMMYFUNCTION("""COMPUTED_VALUE"""),45949.27052670069)</f>
        <v>45949.27053</v>
      </c>
      <c r="L615" s="15">
        <f>IFERROR(__xludf.DUMMYFUNCTION("""COMPUTED_VALUE"""),45949.29648523589)</f>
        <v>45949.29649</v>
      </c>
    </row>
    <row r="616">
      <c r="A616" s="1">
        <f>IFERROR(__xludf.DUMMYFUNCTION("""COMPUTED_VALUE"""),615.0)</f>
        <v>615</v>
      </c>
      <c r="B616" s="1">
        <f>IFERROR(__xludf.DUMMYFUNCTION("""COMPUTED_VALUE"""),10533.0)</f>
        <v>10533</v>
      </c>
      <c r="C616" s="13" t="str">
        <f>IFERROR(__xludf.DUMMYFUNCTION("""COMPUTED_VALUE"""),"Mila")</f>
        <v>Mila</v>
      </c>
      <c r="D616" s="2" t="str">
        <f>IFERROR(__xludf.DUMMYFUNCTION("""COMPUTED_VALUE"""),"10KM OVERALL F")</f>
        <v>10KM OVERALL F</v>
      </c>
      <c r="E616" s="1">
        <f>IFERROR(__xludf.DUMMYFUNCTION("""COMPUTED_VALUE"""),41.0)</f>
        <v>41</v>
      </c>
      <c r="F616" s="1" t="str">
        <f>IFERROR(__xludf.DUMMYFUNCTION("""COMPUTED_VALUE"""),"Female")</f>
        <v>Female</v>
      </c>
      <c r="G616" s="5">
        <f>IFERROR(__xludf.DUMMYFUNCTION("""COMPUTED_VALUE"""),0.005761609953703704)</f>
        <v>0.005761609954</v>
      </c>
      <c r="H616" s="14">
        <f>IFERROR(__xludf.DUMMYFUNCTION("""COMPUTED_VALUE"""),0.24646185185185185)</f>
        <v>0.2464618519</v>
      </c>
      <c r="I616" s="15">
        <f>IFERROR(__xludf.DUMMYFUNCTION("""COMPUTED_VALUE"""),45949.30407794869)</f>
        <v>45949.30408</v>
      </c>
      <c r="J616" s="15">
        <f>IFERROR(__xludf.DUMMYFUNCTION("""COMPUTED_VALUE"""),45949.05761609684)</f>
        <v>45949.05762</v>
      </c>
      <c r="K616" s="15">
        <f>IFERROR(__xludf.DUMMYFUNCTION("""COMPUTED_VALUE"""),45949.25982883161)</f>
        <v>45949.25983</v>
      </c>
      <c r="L616" s="15">
        <f>IFERROR(__xludf.DUMMYFUNCTION("""COMPUTED_VALUE"""),45949.2941068117)</f>
        <v>45949.29411</v>
      </c>
    </row>
    <row r="617">
      <c r="A617" s="1">
        <f>IFERROR(__xludf.DUMMYFUNCTION("""COMPUTED_VALUE"""),616.0)</f>
        <v>616</v>
      </c>
      <c r="B617" s="1">
        <f>IFERROR(__xludf.DUMMYFUNCTION("""COMPUTED_VALUE"""),10414.0)</f>
        <v>10414</v>
      </c>
      <c r="C617" s="13" t="str">
        <f>IFERROR(__xludf.DUMMYFUNCTION("""COMPUTED_VALUE"""),"Muhammad Syofri Nurdwivha Marsid")</f>
        <v>Muhammad Syofri Nurdwivha Marsid</v>
      </c>
      <c r="D617" s="2" t="str">
        <f>IFERROR(__xludf.DUMMYFUNCTION("""COMPUTED_VALUE"""),"10KM OVERALL M")</f>
        <v>10KM OVERALL M</v>
      </c>
      <c r="E617" s="1">
        <f>IFERROR(__xludf.DUMMYFUNCTION("""COMPUTED_VALUE"""),509.0)</f>
        <v>509</v>
      </c>
      <c r="F617" s="1" t="str">
        <f>IFERROR(__xludf.DUMMYFUNCTION("""COMPUTED_VALUE"""),"Male")</f>
        <v>Male</v>
      </c>
      <c r="G617" s="5">
        <f>IFERROR(__xludf.DUMMYFUNCTION("""COMPUTED_VALUE"""),0.005763409722222222)</f>
        <v>0.005763409722</v>
      </c>
      <c r="H617" s="14">
        <f>IFERROR(__xludf.DUMMYFUNCTION("""COMPUTED_VALUE"""),0.24646185185185185)</f>
        <v>0.2464618519</v>
      </c>
      <c r="I617" s="15">
        <f>IFERROR(__xludf.DUMMYFUNCTION("""COMPUTED_VALUE"""),45949.30409594999)</f>
        <v>45949.3041</v>
      </c>
      <c r="J617" s="15">
        <f>IFERROR(__xludf.DUMMYFUNCTION("""COMPUTED_VALUE"""),45949.05763409814)</f>
        <v>45949.05763</v>
      </c>
      <c r="K617" s="15">
        <f>IFERROR(__xludf.DUMMYFUNCTION("""COMPUTED_VALUE"""),45949.257620499826)</f>
        <v>45949.25762</v>
      </c>
      <c r="L617" s="15">
        <f>IFERROR(__xludf.DUMMYFUNCTION("""COMPUTED_VALUE"""),45949.29322481032)</f>
        <v>45949.29322</v>
      </c>
    </row>
    <row r="618">
      <c r="A618" s="1">
        <f>IFERROR(__xludf.DUMMYFUNCTION("""COMPUTED_VALUE"""),617.0)</f>
        <v>617</v>
      </c>
      <c r="B618" s="1">
        <f>IFERROR(__xludf.DUMMYFUNCTION("""COMPUTED_VALUE"""),12041.0)</f>
        <v>12041</v>
      </c>
      <c r="C618" s="13" t="str">
        <f>IFERROR(__xludf.DUMMYFUNCTION("""COMPUTED_VALUE"""),"TANTRINARINDRA")</f>
        <v>TANTRINARINDRA</v>
      </c>
      <c r="D618" s="2" t="str">
        <f>IFERROR(__xludf.DUMMYFUNCTION("""COMPUTED_VALUE"""),"10KM MASTER F")</f>
        <v>10KM MASTER F</v>
      </c>
      <c r="E618" s="1">
        <f>IFERROR(__xludf.DUMMYFUNCTION("""COMPUTED_VALUE"""),10.0)</f>
        <v>10</v>
      </c>
      <c r="F618" s="1" t="str">
        <f>IFERROR(__xludf.DUMMYFUNCTION("""COMPUTED_VALUE"""),"Female")</f>
        <v>Female</v>
      </c>
      <c r="G618" s="5">
        <f>IFERROR(__xludf.DUMMYFUNCTION("""COMPUTED_VALUE"""),0.005764387731481481)</f>
        <v>0.005764387731</v>
      </c>
      <c r="H618" s="14">
        <f>IFERROR(__xludf.DUMMYFUNCTION("""COMPUTED_VALUE"""),0.24646185185185185)</f>
        <v>0.2464618519</v>
      </c>
      <c r="I618" s="15">
        <f>IFERROR(__xludf.DUMMYFUNCTION("""COMPUTED_VALUE"""),45949.30410573339)</f>
        <v>45949.30411</v>
      </c>
      <c r="J618" s="15">
        <f>IFERROR(__xludf.DUMMYFUNCTION("""COMPUTED_VALUE"""),45949.05764388154)</f>
        <v>45949.05764</v>
      </c>
      <c r="K618" s="15">
        <f>IFERROR(__xludf.DUMMYFUNCTION("""COMPUTED_VALUE"""),45949.25790168366)</f>
        <v>45949.2579</v>
      </c>
      <c r="L618" s="15">
        <f>IFERROR(__xludf.DUMMYFUNCTION("""COMPUTED_VALUE"""),45949.29288458721)</f>
        <v>45949.29288</v>
      </c>
    </row>
    <row r="619">
      <c r="A619" s="1">
        <f>IFERROR(__xludf.DUMMYFUNCTION("""COMPUTED_VALUE"""),618.0)</f>
        <v>618</v>
      </c>
      <c r="B619" s="1">
        <f>IFERROR(__xludf.DUMMYFUNCTION("""COMPUTED_VALUE"""),10534.0)</f>
        <v>10534</v>
      </c>
      <c r="C619" s="13" t="str">
        <f>IFERROR(__xludf.DUMMYFUNCTION("""COMPUTED_VALUE"""),"SANDY")</f>
        <v>SANDY</v>
      </c>
      <c r="D619" s="2" t="str">
        <f>IFERROR(__xludf.DUMMYFUNCTION("""COMPUTED_VALUE"""),"10KM OVERALL M")</f>
        <v>10KM OVERALL M</v>
      </c>
      <c r="E619" s="1">
        <f>IFERROR(__xludf.DUMMYFUNCTION("""COMPUTED_VALUE"""),510.0)</f>
        <v>510</v>
      </c>
      <c r="F619" s="1" t="str">
        <f>IFERROR(__xludf.DUMMYFUNCTION("""COMPUTED_VALUE"""),"Male")</f>
        <v>Male</v>
      </c>
      <c r="G619" s="5">
        <f>IFERROR(__xludf.DUMMYFUNCTION("""COMPUTED_VALUE"""),0.005786262731481482)</f>
        <v>0.005786262731</v>
      </c>
      <c r="H619" s="14">
        <f>IFERROR(__xludf.DUMMYFUNCTION("""COMPUTED_VALUE"""),0.24646185185185185)</f>
        <v>0.2464618519</v>
      </c>
      <c r="I619" s="15">
        <f>IFERROR(__xludf.DUMMYFUNCTION("""COMPUTED_VALUE"""),45949.30432448445)</f>
        <v>45949.30432</v>
      </c>
      <c r="J619" s="15">
        <f>IFERROR(__xludf.DUMMYFUNCTION("""COMPUTED_VALUE"""),45949.0578626326)</f>
        <v>45949.05786</v>
      </c>
      <c r="K619" s="15">
        <f>IFERROR(__xludf.DUMMYFUNCTION("""COMPUTED_VALUE"""),45949.28346074655)</f>
        <v>45949.28346</v>
      </c>
      <c r="L619" s="15" t="str">
        <f>IFERROR(__xludf.DUMMYFUNCTION("""COMPUTED_VALUE"""),"")</f>
        <v/>
      </c>
    </row>
    <row r="620">
      <c r="A620" s="1">
        <f>IFERROR(__xludf.DUMMYFUNCTION("""COMPUTED_VALUE"""),619.0)</f>
        <v>619</v>
      </c>
      <c r="B620" s="1">
        <f>IFERROR(__xludf.DUMMYFUNCTION("""COMPUTED_VALUE"""),10618.0)</f>
        <v>10618</v>
      </c>
      <c r="C620" s="13" t="str">
        <f>IFERROR(__xludf.DUMMYFUNCTION("""COMPUTED_VALUE"""),"chaca")</f>
        <v>chaca</v>
      </c>
      <c r="D620" s="2" t="str">
        <f>IFERROR(__xludf.DUMMYFUNCTION("""COMPUTED_VALUE"""),"10KM OVERALL F")</f>
        <v>10KM OVERALL F</v>
      </c>
      <c r="E620" s="1">
        <f>IFERROR(__xludf.DUMMYFUNCTION("""COMPUTED_VALUE"""),42.0)</f>
        <v>42</v>
      </c>
      <c r="F620" s="1" t="str">
        <f>IFERROR(__xludf.DUMMYFUNCTION("""COMPUTED_VALUE"""),"Female")</f>
        <v>Female</v>
      </c>
      <c r="G620" s="5">
        <f>IFERROR(__xludf.DUMMYFUNCTION("""COMPUTED_VALUE"""),0.005788)</f>
        <v>0.005788</v>
      </c>
      <c r="H620" s="14">
        <f>IFERROR(__xludf.DUMMYFUNCTION("""COMPUTED_VALUE"""),0.24646185185185185)</f>
        <v>0.2464618519</v>
      </c>
      <c r="I620" s="15">
        <f>IFERROR(__xludf.DUMMYFUNCTION("""COMPUTED_VALUE"""),45949.30434184886)</f>
        <v>45949.30434</v>
      </c>
      <c r="J620" s="15">
        <f>IFERROR(__xludf.DUMMYFUNCTION("""COMPUTED_VALUE"""),45949.05787999701)</f>
        <v>45949.05788</v>
      </c>
      <c r="K620" s="15">
        <f>IFERROR(__xludf.DUMMYFUNCTION("""COMPUTED_VALUE"""),45949.25931494374)</f>
        <v>45949.25931</v>
      </c>
      <c r="L620" s="15">
        <f>IFERROR(__xludf.DUMMYFUNCTION("""COMPUTED_VALUE"""),45949.294589445235)</f>
        <v>45949.29459</v>
      </c>
    </row>
    <row r="621">
      <c r="A621" s="1">
        <f>IFERROR(__xludf.DUMMYFUNCTION("""COMPUTED_VALUE"""),620.0)</f>
        <v>620</v>
      </c>
      <c r="B621" s="1">
        <f>IFERROR(__xludf.DUMMYFUNCTION("""COMPUTED_VALUE"""),10356.0)</f>
        <v>10356</v>
      </c>
      <c r="C621" s="13" t="str">
        <f>IFERROR(__xludf.DUMMYFUNCTION("""COMPUTED_VALUE"""),"Dayat")</f>
        <v>Dayat</v>
      </c>
      <c r="D621" s="2" t="str">
        <f>IFERROR(__xludf.DUMMYFUNCTION("""COMPUTED_VALUE"""),"10KM OVERALL M")</f>
        <v>10KM OVERALL M</v>
      </c>
      <c r="E621" s="1">
        <f>IFERROR(__xludf.DUMMYFUNCTION("""COMPUTED_VALUE"""),511.0)</f>
        <v>511</v>
      </c>
      <c r="F621" s="1" t="str">
        <f>IFERROR(__xludf.DUMMYFUNCTION("""COMPUTED_VALUE"""),"Male")</f>
        <v>Male</v>
      </c>
      <c r="G621" s="5">
        <f>IFERROR(__xludf.DUMMYFUNCTION("""COMPUTED_VALUE"""),0.005789731481481482)</f>
        <v>0.005789731481</v>
      </c>
      <c r="H621" s="14">
        <f>IFERROR(__xludf.DUMMYFUNCTION("""COMPUTED_VALUE"""),0.24646185185185185)</f>
        <v>0.2464618519</v>
      </c>
      <c r="I621" s="15">
        <f>IFERROR(__xludf.DUMMYFUNCTION("""COMPUTED_VALUE"""),45949.3043591659)</f>
        <v>45949.30436</v>
      </c>
      <c r="J621" s="15">
        <f>IFERROR(__xludf.DUMMYFUNCTION("""COMPUTED_VALUE"""),45949.05789731405)</f>
        <v>45949.0579</v>
      </c>
      <c r="K621" s="15">
        <f>IFERROR(__xludf.DUMMYFUNCTION("""COMPUTED_VALUE"""),45949.259943354205)</f>
        <v>45949.25994</v>
      </c>
      <c r="L621" s="15">
        <f>IFERROR(__xludf.DUMMYFUNCTION("""COMPUTED_VALUE"""),45949.2941624963)</f>
        <v>45949.29416</v>
      </c>
    </row>
    <row r="622">
      <c r="A622" s="1">
        <f>IFERROR(__xludf.DUMMYFUNCTION("""COMPUTED_VALUE"""),621.0)</f>
        <v>621</v>
      </c>
      <c r="B622" s="1">
        <f>IFERROR(__xludf.DUMMYFUNCTION("""COMPUTED_VALUE"""),10337.0)</f>
        <v>10337</v>
      </c>
      <c r="C622" s="13" t="str">
        <f>IFERROR(__xludf.DUMMYFUNCTION("""COMPUTED_VALUE"""),"Abdul Ghaffaar")</f>
        <v>Abdul Ghaffaar</v>
      </c>
      <c r="D622" s="2" t="str">
        <f>IFERROR(__xludf.DUMMYFUNCTION("""COMPUTED_VALUE"""),"10KM OVERALL M")</f>
        <v>10KM OVERALL M</v>
      </c>
      <c r="E622" s="1">
        <f>IFERROR(__xludf.DUMMYFUNCTION("""COMPUTED_VALUE"""),512.0)</f>
        <v>512</v>
      </c>
      <c r="F622" s="1" t="str">
        <f>IFERROR(__xludf.DUMMYFUNCTION("""COMPUTED_VALUE"""),"Male")</f>
        <v>Male</v>
      </c>
      <c r="G622" s="5">
        <f>IFERROR(__xludf.DUMMYFUNCTION("""COMPUTED_VALUE"""),0.0057932071759259265)</f>
        <v>0.005793207176</v>
      </c>
      <c r="H622" s="14">
        <f>IFERROR(__xludf.DUMMYFUNCTION("""COMPUTED_VALUE"""),0.24646185185185185)</f>
        <v>0.2464618519</v>
      </c>
      <c r="I622" s="15">
        <f>IFERROR(__xludf.DUMMYFUNCTION("""COMPUTED_VALUE"""),45949.30439391784)</f>
        <v>45949.30439</v>
      </c>
      <c r="J622" s="15">
        <f>IFERROR(__xludf.DUMMYFUNCTION("""COMPUTED_VALUE"""),45949.05793206599)</f>
        <v>45949.05793</v>
      </c>
      <c r="K622" s="15">
        <f>IFERROR(__xludf.DUMMYFUNCTION("""COMPUTED_VALUE"""),45949.25733233324)</f>
        <v>45949.25733</v>
      </c>
      <c r="L622" s="15">
        <f>IFERROR(__xludf.DUMMYFUNCTION("""COMPUTED_VALUE"""),45949.29404083832)</f>
        <v>45949.29404</v>
      </c>
    </row>
    <row r="623">
      <c r="A623" s="1">
        <f>IFERROR(__xludf.DUMMYFUNCTION("""COMPUTED_VALUE"""),622.0)</f>
        <v>622</v>
      </c>
      <c r="B623" s="1">
        <f>IFERROR(__xludf.DUMMYFUNCTION("""COMPUTED_VALUE"""),12045.0)</f>
        <v>12045</v>
      </c>
      <c r="C623" s="13" t="str">
        <f>IFERROR(__xludf.DUMMYFUNCTION("""COMPUTED_VALUE"""),"YADI")</f>
        <v>YADI</v>
      </c>
      <c r="D623" s="2" t="str">
        <f>IFERROR(__xludf.DUMMYFUNCTION("""COMPUTED_VALUE"""),"10KM MASTER M")</f>
        <v>10KM MASTER M</v>
      </c>
      <c r="E623" s="1">
        <f>IFERROR(__xludf.DUMMYFUNCTION("""COMPUTED_VALUE"""),58.0)</f>
        <v>58</v>
      </c>
      <c r="F623" s="1" t="str">
        <f>IFERROR(__xludf.DUMMYFUNCTION("""COMPUTED_VALUE"""),"Male")</f>
        <v>Male</v>
      </c>
      <c r="G623" s="5">
        <f>IFERROR(__xludf.DUMMYFUNCTION("""COMPUTED_VALUE"""),0.005794244212962963)</f>
        <v>0.005794244213</v>
      </c>
      <c r="H623" s="14">
        <f>IFERROR(__xludf.DUMMYFUNCTION("""COMPUTED_VALUE"""),0.24646185185185185)</f>
        <v>0.2464618519</v>
      </c>
      <c r="I623" s="15">
        <f>IFERROR(__xludf.DUMMYFUNCTION("""COMPUTED_VALUE"""),45949.304404289695)</f>
        <v>45949.3044</v>
      </c>
      <c r="J623" s="15">
        <f>IFERROR(__xludf.DUMMYFUNCTION("""COMPUTED_VALUE"""),45949.057942437845)</f>
        <v>45949.05794</v>
      </c>
      <c r="K623" s="15">
        <f>IFERROR(__xludf.DUMMYFUNCTION("""COMPUTED_VALUE"""),45949.25879406373)</f>
        <v>45949.25879</v>
      </c>
      <c r="L623" s="15">
        <f>IFERROR(__xludf.DUMMYFUNCTION("""COMPUTED_VALUE"""),45949.294037370426)</f>
        <v>45949.29404</v>
      </c>
    </row>
    <row r="624">
      <c r="A624" s="1">
        <f>IFERROR(__xludf.DUMMYFUNCTION("""COMPUTED_VALUE"""),623.0)</f>
        <v>623</v>
      </c>
      <c r="B624" s="1">
        <f>IFERROR(__xludf.DUMMYFUNCTION("""COMPUTED_VALUE"""),12087.0)</f>
        <v>12087</v>
      </c>
      <c r="C624" s="13" t="str">
        <f>IFERROR(__xludf.DUMMYFUNCTION("""COMPUTED_VALUE"""),"Lyza")</f>
        <v>Lyza</v>
      </c>
      <c r="D624" s="2" t="str">
        <f>IFERROR(__xludf.DUMMYFUNCTION("""COMPUTED_VALUE"""),"10KM MASTER F")</f>
        <v>10KM MASTER F</v>
      </c>
      <c r="E624" s="1">
        <f>IFERROR(__xludf.DUMMYFUNCTION("""COMPUTED_VALUE"""),11.0)</f>
        <v>11</v>
      </c>
      <c r="F624" s="1" t="str">
        <f>IFERROR(__xludf.DUMMYFUNCTION("""COMPUTED_VALUE"""),"Female")</f>
        <v>Female</v>
      </c>
      <c r="G624" s="5">
        <f>IFERROR(__xludf.DUMMYFUNCTION("""COMPUTED_VALUE"""),0.005800498842592592)</f>
        <v>0.005800498843</v>
      </c>
      <c r="H624" s="14">
        <f>IFERROR(__xludf.DUMMYFUNCTION("""COMPUTED_VALUE"""),0.24646185185185185)</f>
        <v>0.2464618519</v>
      </c>
      <c r="I624" s="15">
        <f>IFERROR(__xludf.DUMMYFUNCTION("""COMPUTED_VALUE"""),45949.30446683881)</f>
        <v>45949.30447</v>
      </c>
      <c r="J624" s="15">
        <f>IFERROR(__xludf.DUMMYFUNCTION("""COMPUTED_VALUE"""),45949.05800498696)</f>
        <v>45949.058</v>
      </c>
      <c r="K624" s="15">
        <f>IFERROR(__xludf.DUMMYFUNCTION("""COMPUTED_VALUE"""),45949.261130905994)</f>
        <v>45949.26113</v>
      </c>
      <c r="L624" s="15">
        <f>IFERROR(__xludf.DUMMYFUNCTION("""COMPUTED_VALUE"""),45949.295228322)</f>
        <v>45949.29523</v>
      </c>
    </row>
    <row r="625">
      <c r="A625" s="1">
        <f>IFERROR(__xludf.DUMMYFUNCTION("""COMPUTED_VALUE"""),624.0)</f>
        <v>624</v>
      </c>
      <c r="B625" s="1">
        <f>IFERROR(__xludf.DUMMYFUNCTION("""COMPUTED_VALUE"""),10537.0)</f>
        <v>10537</v>
      </c>
      <c r="C625" s="13" t="str">
        <f>IFERROR(__xludf.DUMMYFUNCTION("""COMPUTED_VALUE"""),"Muhammad Nagib")</f>
        <v>Muhammad Nagib</v>
      </c>
      <c r="D625" s="2" t="str">
        <f>IFERROR(__xludf.DUMMYFUNCTION("""COMPUTED_VALUE"""),"10KM OVERALL M")</f>
        <v>10KM OVERALL M</v>
      </c>
      <c r="E625" s="1">
        <f>IFERROR(__xludf.DUMMYFUNCTION("""COMPUTED_VALUE"""),513.0)</f>
        <v>513</v>
      </c>
      <c r="F625" s="1" t="str">
        <f>IFERROR(__xludf.DUMMYFUNCTION("""COMPUTED_VALUE"""),"Male")</f>
        <v>Male</v>
      </c>
      <c r="G625" s="5">
        <f>IFERROR(__xludf.DUMMYFUNCTION("""COMPUTED_VALUE"""),0.005828623842592593)</f>
        <v>0.005828623843</v>
      </c>
      <c r="H625" s="14">
        <f>IFERROR(__xludf.DUMMYFUNCTION("""COMPUTED_VALUE"""),0.24646185185185185)</f>
        <v>0.2464618519</v>
      </c>
      <c r="I625" s="15">
        <f>IFERROR(__xludf.DUMMYFUNCTION("""COMPUTED_VALUE"""),45949.304748090566)</f>
        <v>45949.30475</v>
      </c>
      <c r="J625" s="15">
        <f>IFERROR(__xludf.DUMMYFUNCTION("""COMPUTED_VALUE"""),45949.05828623872)</f>
        <v>45949.05829</v>
      </c>
      <c r="K625" s="15">
        <f>IFERROR(__xludf.DUMMYFUNCTION("""COMPUTED_VALUE"""),45949.25767269279)</f>
        <v>45949.25767</v>
      </c>
      <c r="L625" s="15">
        <f>IFERROR(__xludf.DUMMYFUNCTION("""COMPUTED_VALUE"""),45949.293644991005)</f>
        <v>45949.29364</v>
      </c>
    </row>
    <row r="626">
      <c r="A626" s="1">
        <f>IFERROR(__xludf.DUMMYFUNCTION("""COMPUTED_VALUE"""),625.0)</f>
        <v>625</v>
      </c>
      <c r="B626" s="1">
        <f>IFERROR(__xludf.DUMMYFUNCTION("""COMPUTED_VALUE"""),10572.0)</f>
        <v>10572</v>
      </c>
      <c r="C626" s="13" t="str">
        <f>IFERROR(__xludf.DUMMYFUNCTION("""COMPUTED_VALUE"""),"Muhammad Fahri")</f>
        <v>Muhammad Fahri</v>
      </c>
      <c r="D626" s="2" t="str">
        <f>IFERROR(__xludf.DUMMYFUNCTION("""COMPUTED_VALUE"""),"10KM OVERALL M")</f>
        <v>10KM OVERALL M</v>
      </c>
      <c r="E626" s="1">
        <f>IFERROR(__xludf.DUMMYFUNCTION("""COMPUTED_VALUE"""),514.0)</f>
        <v>514</v>
      </c>
      <c r="F626" s="1" t="str">
        <f>IFERROR(__xludf.DUMMYFUNCTION("""COMPUTED_VALUE"""),"Male")</f>
        <v>Male</v>
      </c>
      <c r="G626" s="5">
        <f>IFERROR(__xludf.DUMMYFUNCTION("""COMPUTED_VALUE"""),0.005846332175925926)</f>
        <v>0.005846332176</v>
      </c>
      <c r="H626" s="14">
        <f>IFERROR(__xludf.DUMMYFUNCTION("""COMPUTED_VALUE"""),0.24646185185185185)</f>
        <v>0.2464618519</v>
      </c>
      <c r="I626" s="15">
        <f>IFERROR(__xludf.DUMMYFUNCTION("""COMPUTED_VALUE"""),45949.304925168944)</f>
        <v>45949.30493</v>
      </c>
      <c r="J626" s="15">
        <f>IFERROR(__xludf.DUMMYFUNCTION("""COMPUTED_VALUE"""),45949.058463317095)</f>
        <v>45949.05846</v>
      </c>
      <c r="K626" s="15">
        <f>IFERROR(__xludf.DUMMYFUNCTION("""COMPUTED_VALUE"""),45949.26412044696)</f>
        <v>45949.26412</v>
      </c>
      <c r="L626" s="15">
        <f>IFERROR(__xludf.DUMMYFUNCTION("""COMPUTED_VALUE"""),45949.29709292056)</f>
        <v>45949.29709</v>
      </c>
    </row>
    <row r="627">
      <c r="A627" s="1">
        <f>IFERROR(__xludf.DUMMYFUNCTION("""COMPUTED_VALUE"""),626.0)</f>
        <v>626</v>
      </c>
      <c r="B627" s="1">
        <f>IFERROR(__xludf.DUMMYFUNCTION("""COMPUTED_VALUE"""),10259.0)</f>
        <v>10259</v>
      </c>
      <c r="C627" s="13" t="str">
        <f>IFERROR(__xludf.DUMMYFUNCTION("""COMPUTED_VALUE"""),"rezkys")</f>
        <v>rezkys</v>
      </c>
      <c r="D627" s="2" t="str">
        <f>IFERROR(__xludf.DUMMYFUNCTION("""COMPUTED_VALUE"""),"10KM OVERALL M")</f>
        <v>10KM OVERALL M</v>
      </c>
      <c r="E627" s="1">
        <f>IFERROR(__xludf.DUMMYFUNCTION("""COMPUTED_VALUE"""),515.0)</f>
        <v>515</v>
      </c>
      <c r="F627" s="1" t="str">
        <f>IFERROR(__xludf.DUMMYFUNCTION("""COMPUTED_VALUE"""),"Male")</f>
        <v>Male</v>
      </c>
      <c r="G627" s="5">
        <f>IFERROR(__xludf.DUMMYFUNCTION("""COMPUTED_VALUE"""),0.005846333333333334)</f>
        <v>0.005846333333</v>
      </c>
      <c r="H627" s="14">
        <f>IFERROR(__xludf.DUMMYFUNCTION("""COMPUTED_VALUE"""),0.24646185185185185)</f>
        <v>0.2464618519</v>
      </c>
      <c r="I627" s="15">
        <f>IFERROR(__xludf.DUMMYFUNCTION("""COMPUTED_VALUE"""),45949.30492518413)</f>
        <v>45949.30493</v>
      </c>
      <c r="J627" s="15">
        <f>IFERROR(__xludf.DUMMYFUNCTION("""COMPUTED_VALUE"""),45949.05846333228)</f>
        <v>45949.05846</v>
      </c>
      <c r="K627" s="15">
        <f>IFERROR(__xludf.DUMMYFUNCTION("""COMPUTED_VALUE"""),45949.2586516943)</f>
        <v>45949.25865</v>
      </c>
      <c r="L627" s="15">
        <f>IFERROR(__xludf.DUMMYFUNCTION("""COMPUTED_VALUE"""),45949.29534634846)</f>
        <v>45949.29535</v>
      </c>
    </row>
    <row r="628">
      <c r="A628" s="1">
        <f>IFERROR(__xludf.DUMMYFUNCTION("""COMPUTED_VALUE"""),627.0)</f>
        <v>627</v>
      </c>
      <c r="B628" s="1">
        <f>IFERROR(__xludf.DUMMYFUNCTION("""COMPUTED_VALUE"""),10010.0)</f>
        <v>10010</v>
      </c>
      <c r="C628" s="13" t="str">
        <f>IFERROR(__xludf.DUMMYFUNCTION("""COMPUTED_VALUE"""),"Ikbal")</f>
        <v>Ikbal</v>
      </c>
      <c r="D628" s="2" t="str">
        <f>IFERROR(__xludf.DUMMYFUNCTION("""COMPUTED_VALUE"""),"10KM OVERALL M")</f>
        <v>10KM OVERALL M</v>
      </c>
      <c r="E628" s="1">
        <f>IFERROR(__xludf.DUMMYFUNCTION("""COMPUTED_VALUE"""),516.0)</f>
        <v>516</v>
      </c>
      <c r="F628" s="1" t="str">
        <f>IFERROR(__xludf.DUMMYFUNCTION("""COMPUTED_VALUE"""),"Male")</f>
        <v>Male</v>
      </c>
      <c r="G628" s="5">
        <f>IFERROR(__xludf.DUMMYFUNCTION("""COMPUTED_VALUE"""),0.0058515405092592595)</f>
        <v>0.005851540509</v>
      </c>
      <c r="H628" s="14">
        <f>IFERROR(__xludf.DUMMYFUNCTION("""COMPUTED_VALUE"""),0.24646185185185185)</f>
        <v>0.2464618519</v>
      </c>
      <c r="I628" s="15">
        <f>IFERROR(__xludf.DUMMYFUNCTION("""COMPUTED_VALUE"""),45949.30497725167)</f>
        <v>45949.30498</v>
      </c>
      <c r="J628" s="15">
        <f>IFERROR(__xludf.DUMMYFUNCTION("""COMPUTED_VALUE"""),45949.05851539982)</f>
        <v>45949.05852</v>
      </c>
      <c r="K628" s="15">
        <f>IFERROR(__xludf.DUMMYFUNCTION("""COMPUTED_VALUE"""),45949.260141322375)</f>
        <v>45949.26014</v>
      </c>
      <c r="L628" s="15">
        <f>IFERROR(__xludf.DUMMYFUNCTION("""COMPUTED_VALUE"""),45949.29478731451)</f>
        <v>45949.29479</v>
      </c>
    </row>
    <row r="629">
      <c r="A629" s="1">
        <f>IFERROR(__xludf.DUMMYFUNCTION("""COMPUTED_VALUE"""),628.0)</f>
        <v>628</v>
      </c>
      <c r="B629" s="1">
        <f>IFERROR(__xludf.DUMMYFUNCTION("""COMPUTED_VALUE"""),10740.0)</f>
        <v>10740</v>
      </c>
      <c r="C629" s="13" t="str">
        <f>IFERROR(__xludf.DUMMYFUNCTION("""COMPUTED_VALUE"""),"Margono")</f>
        <v>Margono</v>
      </c>
      <c r="D629" s="2" t="str">
        <f>IFERROR(__xludf.DUMMYFUNCTION("""COMPUTED_VALUE"""),"10KM OVERALL M")</f>
        <v>10KM OVERALL M</v>
      </c>
      <c r="E629" s="1">
        <f>IFERROR(__xludf.DUMMYFUNCTION("""COMPUTED_VALUE"""),517.0)</f>
        <v>517</v>
      </c>
      <c r="F629" s="1" t="str">
        <f>IFERROR(__xludf.DUMMYFUNCTION("""COMPUTED_VALUE"""),"Male")</f>
        <v>Male</v>
      </c>
      <c r="G629" s="5">
        <f>IFERROR(__xludf.DUMMYFUNCTION("""COMPUTED_VALUE"""),0.005852583333333333)</f>
        <v>0.005852583333</v>
      </c>
      <c r="H629" s="14">
        <f>IFERROR(__xludf.DUMMYFUNCTION("""COMPUTED_VALUE"""),0.24646185185185185)</f>
        <v>0.2464618519</v>
      </c>
      <c r="I629" s="15">
        <f>IFERROR(__xludf.DUMMYFUNCTION("""COMPUTED_VALUE"""),45949.30498768135)</f>
        <v>45949.30499</v>
      </c>
      <c r="J629" s="15">
        <f>IFERROR(__xludf.DUMMYFUNCTION("""COMPUTED_VALUE"""),45949.0585258295)</f>
        <v>45949.05853</v>
      </c>
      <c r="K629" s="15">
        <f>IFERROR(__xludf.DUMMYFUNCTION("""COMPUTED_VALUE"""),45949.25986697198)</f>
        <v>45949.25987</v>
      </c>
      <c r="L629" s="15">
        <f>IFERROR(__xludf.DUMMYFUNCTION("""COMPUTED_VALUE"""),45949.2940168368)</f>
        <v>45949.29402</v>
      </c>
    </row>
    <row r="630">
      <c r="A630" s="1">
        <f>IFERROR(__xludf.DUMMYFUNCTION("""COMPUTED_VALUE"""),629.0)</f>
        <v>629</v>
      </c>
      <c r="B630" s="1">
        <f>IFERROR(__xludf.DUMMYFUNCTION("""COMPUTED_VALUE"""),10480.0)</f>
        <v>10480</v>
      </c>
      <c r="C630" s="13" t="str">
        <f>IFERROR(__xludf.DUMMYFUNCTION("""COMPUTED_VALUE"""),"bytebabe")</f>
        <v>bytebabe</v>
      </c>
      <c r="D630" s="2" t="str">
        <f>IFERROR(__xludf.DUMMYFUNCTION("""COMPUTED_VALUE"""),"10KM OVERALL F")</f>
        <v>10KM OVERALL F</v>
      </c>
      <c r="E630" s="1">
        <f>IFERROR(__xludf.DUMMYFUNCTION("""COMPUTED_VALUE"""),43.0)</f>
        <v>43</v>
      </c>
      <c r="F630" s="1" t="str">
        <f>IFERROR(__xludf.DUMMYFUNCTION("""COMPUTED_VALUE"""),"Female")</f>
        <v>Female</v>
      </c>
      <c r="G630" s="5">
        <f>IFERROR(__xludf.DUMMYFUNCTION("""COMPUTED_VALUE"""),0.005858184027777777)</f>
        <v>0.005858184028</v>
      </c>
      <c r="H630" s="14">
        <f>IFERROR(__xludf.DUMMYFUNCTION("""COMPUTED_VALUE"""),0.24646185185185185)</f>
        <v>0.2464618519</v>
      </c>
      <c r="I630" s="15">
        <f>IFERROR(__xludf.DUMMYFUNCTION("""COMPUTED_VALUE"""),45949.30504369657)</f>
        <v>45949.30504</v>
      </c>
      <c r="J630" s="15">
        <f>IFERROR(__xludf.DUMMYFUNCTION("""COMPUTED_VALUE"""),45949.05858184472)</f>
        <v>45949.05858</v>
      </c>
      <c r="K630" s="15">
        <f>IFERROR(__xludf.DUMMYFUNCTION("""COMPUTED_VALUE"""),45949.258857122964)</f>
        <v>45949.25886</v>
      </c>
      <c r="L630" s="15">
        <f>IFERROR(__xludf.DUMMYFUNCTION("""COMPUTED_VALUE"""),45949.29499572436)</f>
        <v>45949.295</v>
      </c>
    </row>
    <row r="631">
      <c r="A631" s="1">
        <f>IFERROR(__xludf.DUMMYFUNCTION("""COMPUTED_VALUE"""),630.0)</f>
        <v>630</v>
      </c>
      <c r="B631" s="1">
        <f>IFERROR(__xludf.DUMMYFUNCTION("""COMPUTED_VALUE"""),10479.0)</f>
        <v>10479</v>
      </c>
      <c r="C631" s="13" t="str">
        <f>IFERROR(__xludf.DUMMYFUNCTION("""COMPUTED_VALUE"""),"badzakwan")</f>
        <v>badzakwan</v>
      </c>
      <c r="D631" s="2" t="str">
        <f>IFERROR(__xludf.DUMMYFUNCTION("""COMPUTED_VALUE"""),"10KM OVERALL M")</f>
        <v>10KM OVERALL M</v>
      </c>
      <c r="E631" s="1">
        <f>IFERROR(__xludf.DUMMYFUNCTION("""COMPUTED_VALUE"""),518.0)</f>
        <v>518</v>
      </c>
      <c r="F631" s="1" t="str">
        <f>IFERROR(__xludf.DUMMYFUNCTION("""COMPUTED_VALUE"""),"Male")</f>
        <v>Male</v>
      </c>
      <c r="G631" s="5">
        <f>IFERROR(__xludf.DUMMYFUNCTION("""COMPUTED_VALUE"""),0.0058616631944444445)</f>
        <v>0.005861663194</v>
      </c>
      <c r="H631" s="14">
        <f>IFERROR(__xludf.DUMMYFUNCTION("""COMPUTED_VALUE"""),0.24646185185185185)</f>
        <v>0.2464618519</v>
      </c>
      <c r="I631" s="15">
        <f>IFERROR(__xludf.DUMMYFUNCTION("""COMPUTED_VALUE"""),45949.30507848069)</f>
        <v>45949.30508</v>
      </c>
      <c r="J631" s="15">
        <f>IFERROR(__xludf.DUMMYFUNCTION("""COMPUTED_VALUE"""),45949.05861662884)</f>
        <v>45949.05862</v>
      </c>
      <c r="K631" s="15">
        <f>IFERROR(__xludf.DUMMYFUNCTION("""COMPUTED_VALUE"""),45949.25884613949)</f>
        <v>45949.25885</v>
      </c>
      <c r="L631" s="15">
        <f>IFERROR(__xludf.DUMMYFUNCTION("""COMPUTED_VALUE"""),45949.29513109971)</f>
        <v>45949.29513</v>
      </c>
    </row>
    <row r="632">
      <c r="A632" s="1">
        <f>IFERROR(__xludf.DUMMYFUNCTION("""COMPUTED_VALUE"""),631.0)</f>
        <v>631</v>
      </c>
      <c r="B632" s="1">
        <f>IFERROR(__xludf.DUMMYFUNCTION("""COMPUTED_VALUE"""),10305.0)</f>
        <v>10305</v>
      </c>
      <c r="C632" s="13" t="str">
        <f>IFERROR(__xludf.DUMMYFUNCTION("""COMPUTED_VALUE"""),"trikun")</f>
        <v>trikun</v>
      </c>
      <c r="D632" s="2" t="str">
        <f>IFERROR(__xludf.DUMMYFUNCTION("""COMPUTED_VALUE"""),"10KM OVERALL M")</f>
        <v>10KM OVERALL M</v>
      </c>
      <c r="E632" s="1">
        <f>IFERROR(__xludf.DUMMYFUNCTION("""COMPUTED_VALUE"""),519.0)</f>
        <v>519</v>
      </c>
      <c r="F632" s="1" t="str">
        <f>IFERROR(__xludf.DUMMYFUNCTION("""COMPUTED_VALUE"""),"Male")</f>
        <v>Male</v>
      </c>
      <c r="G632" s="5">
        <f>IFERROR(__xludf.DUMMYFUNCTION("""COMPUTED_VALUE"""),0.005863694444444444)</f>
        <v>0.005863694444</v>
      </c>
      <c r="H632" s="14">
        <f>IFERROR(__xludf.DUMMYFUNCTION("""COMPUTED_VALUE"""),0.24646185185185185)</f>
        <v>0.2464618519</v>
      </c>
      <c r="I632" s="15">
        <f>IFERROR(__xludf.DUMMYFUNCTION("""COMPUTED_VALUE"""),45949.30509879068)</f>
        <v>45949.3051</v>
      </c>
      <c r="J632" s="15">
        <f>IFERROR(__xludf.DUMMYFUNCTION("""COMPUTED_VALUE"""),45949.05863693883)</f>
        <v>45949.05864</v>
      </c>
      <c r="K632" s="15">
        <f>IFERROR(__xludf.DUMMYFUNCTION("""COMPUTED_VALUE"""),45949.26034960736)</f>
        <v>45949.26035</v>
      </c>
      <c r="L632" s="15">
        <f>IFERROR(__xludf.DUMMYFUNCTION("""COMPUTED_VALUE"""),45949.29507900309)</f>
        <v>45949.29508</v>
      </c>
    </row>
    <row r="633">
      <c r="A633" s="1">
        <f>IFERROR(__xludf.DUMMYFUNCTION("""COMPUTED_VALUE"""),632.0)</f>
        <v>632</v>
      </c>
      <c r="B633" s="1">
        <f>IFERROR(__xludf.DUMMYFUNCTION("""COMPUTED_VALUE"""),10001.0)</f>
        <v>10001</v>
      </c>
      <c r="C633" s="13" t="str">
        <f>IFERROR(__xludf.DUMMYFUNCTION("""COMPUTED_VALUE"""),"Angga Y")</f>
        <v>Angga Y</v>
      </c>
      <c r="D633" s="2" t="str">
        <f>IFERROR(__xludf.DUMMYFUNCTION("""COMPUTED_VALUE"""),"10KM OVERALL M")</f>
        <v>10KM OVERALL M</v>
      </c>
      <c r="E633" s="1">
        <f>IFERROR(__xludf.DUMMYFUNCTION("""COMPUTED_VALUE"""),520.0)</f>
        <v>520</v>
      </c>
      <c r="F633" s="1" t="str">
        <f>IFERROR(__xludf.DUMMYFUNCTION("""COMPUTED_VALUE"""),"Male")</f>
        <v>Male</v>
      </c>
      <c r="G633" s="5">
        <f>IFERROR(__xludf.DUMMYFUNCTION("""COMPUTED_VALUE"""),0.005878623842592593)</f>
        <v>0.005878623843</v>
      </c>
      <c r="H633" s="14">
        <f>IFERROR(__xludf.DUMMYFUNCTION("""COMPUTED_VALUE"""),0.24646185185185185)</f>
        <v>0.2464618519</v>
      </c>
      <c r="I633" s="15">
        <f>IFERROR(__xludf.DUMMYFUNCTION("""COMPUTED_VALUE"""),45949.30524809089)</f>
        <v>45949.30525</v>
      </c>
      <c r="J633" s="15">
        <f>IFERROR(__xludf.DUMMYFUNCTION("""COMPUTED_VALUE"""),45949.05878623904)</f>
        <v>45949.05879</v>
      </c>
      <c r="K633" s="15">
        <f>IFERROR(__xludf.DUMMYFUNCTION("""COMPUTED_VALUE"""),45949.25916557531)</f>
        <v>45949.25917</v>
      </c>
      <c r="L633" s="15">
        <f>IFERROR(__xludf.DUMMYFUNCTION("""COMPUTED_VALUE"""),45949.29452689335)</f>
        <v>45949.29453</v>
      </c>
    </row>
    <row r="634">
      <c r="A634" s="1">
        <f>IFERROR(__xludf.DUMMYFUNCTION("""COMPUTED_VALUE"""),633.0)</f>
        <v>633</v>
      </c>
      <c r="B634" s="1">
        <f>IFERROR(__xludf.DUMMYFUNCTION("""COMPUTED_VALUE"""),10358.0)</f>
        <v>10358</v>
      </c>
      <c r="C634" s="13" t="str">
        <f>IFERROR(__xludf.DUMMYFUNCTION("""COMPUTED_VALUE"""),"Dia Ayu Lestari")</f>
        <v>Dia Ayu Lestari</v>
      </c>
      <c r="D634" s="2" t="str">
        <f>IFERROR(__xludf.DUMMYFUNCTION("""COMPUTED_VALUE"""),"10KM OVERALL F")</f>
        <v>10KM OVERALL F</v>
      </c>
      <c r="E634" s="1">
        <f>IFERROR(__xludf.DUMMYFUNCTION("""COMPUTED_VALUE"""),44.0)</f>
        <v>44</v>
      </c>
      <c r="F634" s="1" t="str">
        <f>IFERROR(__xludf.DUMMYFUNCTION("""COMPUTED_VALUE"""),"Female")</f>
        <v>Female</v>
      </c>
      <c r="G634" s="5">
        <f>IFERROR(__xludf.DUMMYFUNCTION("""COMPUTED_VALUE"""),0.005891118055555556)</f>
        <v>0.005891118056</v>
      </c>
      <c r="H634" s="14">
        <f>IFERROR(__xludf.DUMMYFUNCTION("""COMPUTED_VALUE"""),0.24646185185185185)</f>
        <v>0.2464618519</v>
      </c>
      <c r="I634" s="15">
        <f>IFERROR(__xludf.DUMMYFUNCTION("""COMPUTED_VALUE"""),45949.3053730375)</f>
        <v>45949.30537</v>
      </c>
      <c r="J634" s="15">
        <f>IFERROR(__xludf.DUMMYFUNCTION("""COMPUTED_VALUE"""),45949.05891118565)</f>
        <v>45949.05891</v>
      </c>
      <c r="K634" s="15">
        <f>IFERROR(__xludf.DUMMYFUNCTION("""COMPUTED_VALUE"""),45949.26001974653)</f>
        <v>45949.26002</v>
      </c>
      <c r="L634" s="15">
        <f>IFERROR(__xludf.DUMMYFUNCTION("""COMPUTED_VALUE"""),45949.294349870695)</f>
        <v>45949.29435</v>
      </c>
    </row>
    <row r="635">
      <c r="A635" s="1">
        <f>IFERROR(__xludf.DUMMYFUNCTION("""COMPUTED_VALUE"""),634.0)</f>
        <v>634</v>
      </c>
      <c r="B635" s="1">
        <f>IFERROR(__xludf.DUMMYFUNCTION("""COMPUTED_VALUE"""),10359.0)</f>
        <v>10359</v>
      </c>
      <c r="C635" s="13" t="str">
        <f>IFERROR(__xludf.DUMMYFUNCTION("""COMPUTED_VALUE"""),"Hari Prayitno")</f>
        <v>Hari Prayitno</v>
      </c>
      <c r="D635" s="2" t="str">
        <f>IFERROR(__xludf.DUMMYFUNCTION("""COMPUTED_VALUE"""),"10KM OVERALL M")</f>
        <v>10KM OVERALL M</v>
      </c>
      <c r="E635" s="1">
        <f>IFERROR(__xludf.DUMMYFUNCTION("""COMPUTED_VALUE"""),521.0)</f>
        <v>521</v>
      </c>
      <c r="F635" s="1" t="str">
        <f>IFERROR(__xludf.DUMMYFUNCTION("""COMPUTED_VALUE"""),"Male")</f>
        <v>Male</v>
      </c>
      <c r="G635" s="5">
        <f>IFERROR(__xludf.DUMMYFUNCTION("""COMPUTED_VALUE"""),0.005894939814814815)</f>
        <v>0.005894939815</v>
      </c>
      <c r="H635" s="14">
        <f>IFERROR(__xludf.DUMMYFUNCTION("""COMPUTED_VALUE"""),0.24646185185185185)</f>
        <v>0.2464618519</v>
      </c>
      <c r="I635" s="15">
        <f>IFERROR(__xludf.DUMMYFUNCTION("""COMPUTED_VALUE"""),45949.30541124966)</f>
        <v>45949.30541</v>
      </c>
      <c r="J635" s="15">
        <f>IFERROR(__xludf.DUMMYFUNCTION("""COMPUTED_VALUE"""),45949.05894939781)</f>
        <v>45949.05895</v>
      </c>
      <c r="K635" s="15">
        <f>IFERROR(__xludf.DUMMYFUNCTION("""COMPUTED_VALUE"""),45949.2601135084)</f>
        <v>45949.26011</v>
      </c>
      <c r="L635" s="15">
        <f>IFERROR(__xludf.DUMMYFUNCTION("""COMPUTED_VALUE"""),45949.29445398973)</f>
        <v>45949.29445</v>
      </c>
    </row>
    <row r="636">
      <c r="A636" s="1">
        <f>IFERROR(__xludf.DUMMYFUNCTION("""COMPUTED_VALUE"""),635.0)</f>
        <v>635</v>
      </c>
      <c r="B636" s="1">
        <f>IFERROR(__xludf.DUMMYFUNCTION("""COMPUTED_VALUE"""),10511.0)</f>
        <v>10511</v>
      </c>
      <c r="C636" s="13" t="str">
        <f>IFERROR(__xludf.DUMMYFUNCTION("""COMPUTED_VALUE"""),"idoyperdana")</f>
        <v>idoyperdana</v>
      </c>
      <c r="D636" s="2" t="str">
        <f>IFERROR(__xludf.DUMMYFUNCTION("""COMPUTED_VALUE"""),"10KM OVERALL M")</f>
        <v>10KM OVERALL M</v>
      </c>
      <c r="E636" s="1">
        <f>IFERROR(__xludf.DUMMYFUNCTION("""COMPUTED_VALUE"""),522.0)</f>
        <v>522</v>
      </c>
      <c r="F636" s="1" t="str">
        <f>IFERROR(__xludf.DUMMYFUNCTION("""COMPUTED_VALUE"""),"Male")</f>
        <v>Male</v>
      </c>
      <c r="G636" s="5">
        <f>IFERROR(__xludf.DUMMYFUNCTION("""COMPUTED_VALUE"""),0.0058956388888888895)</f>
        <v>0.005895638889</v>
      </c>
      <c r="H636" s="14">
        <f>IFERROR(__xludf.DUMMYFUNCTION("""COMPUTED_VALUE"""),0.24646185185185185)</f>
        <v>0.2464618519</v>
      </c>
      <c r="I636" s="15">
        <f>IFERROR(__xludf.DUMMYFUNCTION("""COMPUTED_VALUE"""),45949.305418239936)</f>
        <v>45949.30542</v>
      </c>
      <c r="J636" s="15">
        <f>IFERROR(__xludf.DUMMYFUNCTION("""COMPUTED_VALUE"""),45949.058956388086)</f>
        <v>45949.05896</v>
      </c>
      <c r="K636" s="15">
        <f>IFERROR(__xludf.DUMMYFUNCTION("""COMPUTED_VALUE"""),45949.26025237769)</f>
        <v>45949.26025</v>
      </c>
      <c r="L636" s="15">
        <f>IFERROR(__xludf.DUMMYFUNCTION("""COMPUTED_VALUE"""),45949.295106812286)</f>
        <v>45949.29511</v>
      </c>
    </row>
    <row r="637">
      <c r="A637" s="1">
        <f>IFERROR(__xludf.DUMMYFUNCTION("""COMPUTED_VALUE"""),636.0)</f>
        <v>636</v>
      </c>
      <c r="B637" s="1">
        <f>IFERROR(__xludf.DUMMYFUNCTION("""COMPUTED_VALUE"""),10769.0)</f>
        <v>10769</v>
      </c>
      <c r="C637" s="13" t="str">
        <f>IFERROR(__xludf.DUMMYFUNCTION("""COMPUTED_VALUE"""),"AWAL")</f>
        <v>AWAL</v>
      </c>
      <c r="D637" s="2" t="str">
        <f>IFERROR(__xludf.DUMMYFUNCTION("""COMPUTED_VALUE"""),"10KM OVERALL M")</f>
        <v>10KM OVERALL M</v>
      </c>
      <c r="E637" s="1">
        <f>IFERROR(__xludf.DUMMYFUNCTION("""COMPUTED_VALUE"""),523.0)</f>
        <v>523</v>
      </c>
      <c r="F637" s="1" t="str">
        <f>IFERROR(__xludf.DUMMYFUNCTION("""COMPUTED_VALUE"""),"Female")</f>
        <v>Female</v>
      </c>
      <c r="G637" s="5">
        <f>IFERROR(__xludf.DUMMYFUNCTION("""COMPUTED_VALUE"""),0.005896679398148147)</f>
        <v>0.005896679398</v>
      </c>
      <c r="H637" s="14">
        <f>IFERROR(__xludf.DUMMYFUNCTION("""COMPUTED_VALUE"""),0.24646185185185185)</f>
        <v>0.2464618519</v>
      </c>
      <c r="I637" s="15">
        <f>IFERROR(__xludf.DUMMYFUNCTION("""COMPUTED_VALUE"""),45949.305428642925)</f>
        <v>45949.30543</v>
      </c>
      <c r="J637" s="15">
        <f>IFERROR(__xludf.DUMMYFUNCTION("""COMPUTED_VALUE"""),45949.058966791075)</f>
        <v>45949.05897</v>
      </c>
      <c r="K637" s="15">
        <f>IFERROR(__xludf.DUMMYFUNCTION("""COMPUTED_VALUE"""),45949.25883919229)</f>
        <v>45949.25884</v>
      </c>
      <c r="L637" s="15">
        <f>IFERROR(__xludf.DUMMYFUNCTION("""COMPUTED_VALUE"""),45949.29466237036)</f>
        <v>45949.29466</v>
      </c>
    </row>
    <row r="638">
      <c r="A638" s="1">
        <f>IFERROR(__xludf.DUMMYFUNCTION("""COMPUTED_VALUE"""),637.0)</f>
        <v>637</v>
      </c>
      <c r="B638" s="1">
        <f>IFERROR(__xludf.DUMMYFUNCTION("""COMPUTED_VALUE"""),10254.0)</f>
        <v>10254</v>
      </c>
      <c r="C638" s="13" t="str">
        <f>IFERROR(__xludf.DUMMYFUNCTION("""COMPUTED_VALUE"""),"chandra")</f>
        <v>chandra</v>
      </c>
      <c r="D638" s="2" t="str">
        <f>IFERROR(__xludf.DUMMYFUNCTION("""COMPUTED_VALUE"""),"10KM OVERALL M")</f>
        <v>10KM OVERALL M</v>
      </c>
      <c r="E638" s="1">
        <f>IFERROR(__xludf.DUMMYFUNCTION("""COMPUTED_VALUE"""),524.0)</f>
        <v>524</v>
      </c>
      <c r="F638" s="1" t="str">
        <f>IFERROR(__xludf.DUMMYFUNCTION("""COMPUTED_VALUE"""),"Male")</f>
        <v>Male</v>
      </c>
      <c r="G638" s="5">
        <f>IFERROR(__xludf.DUMMYFUNCTION("""COMPUTED_VALUE"""),0.005897721064814815)</f>
        <v>0.005897721065</v>
      </c>
      <c r="H638" s="14">
        <f>IFERROR(__xludf.DUMMYFUNCTION("""COMPUTED_VALUE"""),0.24646185185185185)</f>
        <v>0.2464618519</v>
      </c>
      <c r="I638" s="15">
        <f>IFERROR(__xludf.DUMMYFUNCTION("""COMPUTED_VALUE"""),45949.30543906631)</f>
        <v>45949.30544</v>
      </c>
      <c r="J638" s="15">
        <f>IFERROR(__xludf.DUMMYFUNCTION("""COMPUTED_VALUE"""),45949.05897721446)</f>
        <v>45949.05898</v>
      </c>
      <c r="K638" s="15">
        <f>IFERROR(__xludf.DUMMYFUNCTION("""COMPUTED_VALUE"""),45949.259422519826)</f>
        <v>45949.25942</v>
      </c>
      <c r="L638" s="15">
        <f>IFERROR(__xludf.DUMMYFUNCTION("""COMPUTED_VALUE"""),45949.29542973058)</f>
        <v>45949.29543</v>
      </c>
    </row>
    <row r="639">
      <c r="A639" s="1">
        <f>IFERROR(__xludf.DUMMYFUNCTION("""COMPUTED_VALUE"""),638.0)</f>
        <v>638</v>
      </c>
      <c r="B639" s="1">
        <f>IFERROR(__xludf.DUMMYFUNCTION("""COMPUTED_VALUE"""),12026.0)</f>
        <v>12026</v>
      </c>
      <c r="C639" s="13" t="str">
        <f>IFERROR(__xludf.DUMMYFUNCTION("""COMPUTED_VALUE"""),"Mr. Yun's")</f>
        <v>Mr. Yun's</v>
      </c>
      <c r="D639" s="2" t="str">
        <f>IFERROR(__xludf.DUMMYFUNCTION("""COMPUTED_VALUE"""),"10KM MASTER M")</f>
        <v>10KM MASTER M</v>
      </c>
      <c r="E639" s="1">
        <f>IFERROR(__xludf.DUMMYFUNCTION("""COMPUTED_VALUE"""),59.0)</f>
        <v>59</v>
      </c>
      <c r="F639" s="1" t="str">
        <f>IFERROR(__xludf.DUMMYFUNCTION("""COMPUTED_VALUE"""),"Male")</f>
        <v>Male</v>
      </c>
      <c r="G639" s="5">
        <f>IFERROR(__xludf.DUMMYFUNCTION("""COMPUTED_VALUE"""),0.005901193287037037)</f>
        <v>0.005901193287</v>
      </c>
      <c r="H639" s="14">
        <f>IFERROR(__xludf.DUMMYFUNCTION("""COMPUTED_VALUE"""),0.24646185185185185)</f>
        <v>0.2464618519</v>
      </c>
      <c r="I639" s="15">
        <f>IFERROR(__xludf.DUMMYFUNCTION("""COMPUTED_VALUE"""),45949.305473785214)</f>
        <v>45949.30547</v>
      </c>
      <c r="J639" s="15">
        <f>IFERROR(__xludf.DUMMYFUNCTION("""COMPUTED_VALUE"""),45949.059011933365)</f>
        <v>45949.05901</v>
      </c>
      <c r="K639" s="15">
        <f>IFERROR(__xludf.DUMMYFUNCTION("""COMPUTED_VALUE"""),45949.258748961125)</f>
        <v>45949.25875</v>
      </c>
      <c r="L639" s="15">
        <f>IFERROR(__xludf.DUMMYFUNCTION("""COMPUTED_VALUE"""),45949.29445398973)</f>
        <v>45949.29445</v>
      </c>
    </row>
    <row r="640">
      <c r="A640" s="1">
        <f>IFERROR(__xludf.DUMMYFUNCTION("""COMPUTED_VALUE"""),639.0)</f>
        <v>639</v>
      </c>
      <c r="B640" s="1">
        <f>IFERROR(__xludf.DUMMYFUNCTION("""COMPUTED_VALUE"""),10477.0)</f>
        <v>10477</v>
      </c>
      <c r="C640" s="13" t="str">
        <f>IFERROR(__xludf.DUMMYFUNCTION("""COMPUTED_VALUE"""),"Alpisan")</f>
        <v>Alpisan</v>
      </c>
      <c r="D640" s="2" t="str">
        <f>IFERROR(__xludf.DUMMYFUNCTION("""COMPUTED_VALUE"""),"10KM OVERALL M")</f>
        <v>10KM OVERALL M</v>
      </c>
      <c r="E640" s="1">
        <f>IFERROR(__xludf.DUMMYFUNCTION("""COMPUTED_VALUE"""),525.0)</f>
        <v>525</v>
      </c>
      <c r="F640" s="1" t="str">
        <f>IFERROR(__xludf.DUMMYFUNCTION("""COMPUTED_VALUE"""),"Male")</f>
        <v>Male</v>
      </c>
      <c r="G640" s="5">
        <f>IFERROR(__xludf.DUMMYFUNCTION("""COMPUTED_VALUE"""),0.005904011574074074)</f>
        <v>0.005904011574</v>
      </c>
      <c r="H640" s="14">
        <f>IFERROR(__xludf.DUMMYFUNCTION("""COMPUTED_VALUE"""),0.24646185185185185)</f>
        <v>0.2464618519</v>
      </c>
      <c r="I640" s="15">
        <f>IFERROR(__xludf.DUMMYFUNCTION("""COMPUTED_VALUE"""),45949.305501970586)</f>
        <v>45949.3055</v>
      </c>
      <c r="J640" s="15">
        <f>IFERROR(__xludf.DUMMYFUNCTION("""COMPUTED_VALUE"""),45949.05904011874)</f>
        <v>45949.05904</v>
      </c>
      <c r="K640" s="15">
        <f>IFERROR(__xludf.DUMMYFUNCTION("""COMPUTED_VALUE"""),45949.26545378281)</f>
        <v>45949.26545</v>
      </c>
      <c r="L640" s="15">
        <f>IFERROR(__xludf.DUMMYFUNCTION("""COMPUTED_VALUE"""),45949.29615229775)</f>
        <v>45949.29615</v>
      </c>
    </row>
    <row r="641">
      <c r="A641" s="1">
        <f>IFERROR(__xludf.DUMMYFUNCTION("""COMPUTED_VALUE"""),640.0)</f>
        <v>640</v>
      </c>
      <c r="B641" s="1">
        <f>IFERROR(__xludf.DUMMYFUNCTION("""COMPUTED_VALUE"""),10327.0)</f>
        <v>10327</v>
      </c>
      <c r="C641" s="13" t="str">
        <f>IFERROR(__xludf.DUMMYFUNCTION("""COMPUTED_VALUE"""),"Adinda")</f>
        <v>Adinda</v>
      </c>
      <c r="D641" s="2" t="str">
        <f>IFERROR(__xludf.DUMMYFUNCTION("""COMPUTED_VALUE"""),"10KM OVERALL F")</f>
        <v>10KM OVERALL F</v>
      </c>
      <c r="E641" s="1">
        <f>IFERROR(__xludf.DUMMYFUNCTION("""COMPUTED_VALUE"""),45.0)</f>
        <v>45</v>
      </c>
      <c r="F641" s="1" t="str">
        <f>IFERROR(__xludf.DUMMYFUNCTION("""COMPUTED_VALUE"""),"Female")</f>
        <v>Female</v>
      </c>
      <c r="G641" s="5">
        <f>IFERROR(__xludf.DUMMYFUNCTION("""COMPUTED_VALUE"""),0.005924109953703703)</f>
        <v>0.005924109954</v>
      </c>
      <c r="H641" s="14">
        <f>IFERROR(__xludf.DUMMYFUNCTION("""COMPUTED_VALUE"""),0.24646185185185185)</f>
        <v>0.2464618519</v>
      </c>
      <c r="I641" s="15">
        <f>IFERROR(__xludf.DUMMYFUNCTION("""COMPUTED_VALUE"""),45949.30570294667)</f>
        <v>45949.3057</v>
      </c>
      <c r="J641" s="15">
        <f>IFERROR(__xludf.DUMMYFUNCTION("""COMPUTED_VALUE"""),45949.05924109482)</f>
        <v>45949.05924</v>
      </c>
      <c r="K641" s="15">
        <f>IFERROR(__xludf.DUMMYFUNCTION("""COMPUTED_VALUE"""),45949.258627391224)</f>
        <v>45949.25863</v>
      </c>
      <c r="L641" s="15">
        <f>IFERROR(__xludf.DUMMYFUNCTION("""COMPUTED_VALUE"""),45949.29581862389)</f>
        <v>45949.29582</v>
      </c>
    </row>
    <row r="642">
      <c r="A642" s="1">
        <f>IFERROR(__xludf.DUMMYFUNCTION("""COMPUTED_VALUE"""),641.0)</f>
        <v>641</v>
      </c>
      <c r="B642" s="1">
        <f>IFERROR(__xludf.DUMMYFUNCTION("""COMPUTED_VALUE"""),10500.0)</f>
        <v>10500</v>
      </c>
      <c r="C642" s="13" t="str">
        <f>IFERROR(__xludf.DUMMYFUNCTION("""COMPUTED_VALUE"""),"Fau")</f>
        <v>Fau</v>
      </c>
      <c r="D642" s="2" t="str">
        <f>IFERROR(__xludf.DUMMYFUNCTION("""COMPUTED_VALUE"""),"10KM OVERALL F")</f>
        <v>10KM OVERALL F</v>
      </c>
      <c r="E642" s="1">
        <f>IFERROR(__xludf.DUMMYFUNCTION("""COMPUTED_VALUE"""),46.0)</f>
        <v>46</v>
      </c>
      <c r="F642" s="1" t="str">
        <f>IFERROR(__xludf.DUMMYFUNCTION("""COMPUTED_VALUE"""),"Female")</f>
        <v>Female</v>
      </c>
      <c r="G642" s="5">
        <f>IFERROR(__xludf.DUMMYFUNCTION("""COMPUTED_VALUE"""),0.0059268888888888895)</f>
        <v>0.005926888889</v>
      </c>
      <c r="H642" s="14">
        <f>IFERROR(__xludf.DUMMYFUNCTION("""COMPUTED_VALUE"""),0.24646185185185185)</f>
        <v>0.2464618519</v>
      </c>
      <c r="I642" s="15">
        <f>IFERROR(__xludf.DUMMYFUNCTION("""COMPUTED_VALUE"""),45949.305730740445)</f>
        <v>45949.30573</v>
      </c>
      <c r="J642" s="15">
        <f>IFERROR(__xludf.DUMMYFUNCTION("""COMPUTED_VALUE"""),45949.059268888595)</f>
        <v>45949.05927</v>
      </c>
      <c r="K642" s="15">
        <f>IFERROR(__xludf.DUMMYFUNCTION("""COMPUTED_VALUE"""),45949.25941210137)</f>
        <v>45949.25941</v>
      </c>
      <c r="L642" s="15">
        <f>IFERROR(__xludf.DUMMYFUNCTION("""COMPUTED_VALUE"""),45949.29505815786)</f>
        <v>45949.29506</v>
      </c>
    </row>
    <row r="643">
      <c r="A643" s="1">
        <f>IFERROR(__xludf.DUMMYFUNCTION("""COMPUTED_VALUE"""),642.0)</f>
        <v>642</v>
      </c>
      <c r="B643" s="1">
        <f>IFERROR(__xludf.DUMMYFUNCTION("""COMPUTED_VALUE"""),10295.0)</f>
        <v>10295</v>
      </c>
      <c r="C643" s="13" t="str">
        <f>IFERROR(__xludf.DUMMYFUNCTION("""COMPUTED_VALUE"""),"cacane")</f>
        <v>cacane</v>
      </c>
      <c r="D643" s="2" t="str">
        <f>IFERROR(__xludf.DUMMYFUNCTION("""COMPUTED_VALUE"""),"10KM OVERALL M")</f>
        <v>10KM OVERALL M</v>
      </c>
      <c r="E643" s="1">
        <f>IFERROR(__xludf.DUMMYFUNCTION("""COMPUTED_VALUE"""),526.0)</f>
        <v>526</v>
      </c>
      <c r="F643" s="1" t="str">
        <f>IFERROR(__xludf.DUMMYFUNCTION("""COMPUTED_VALUE"""),"Male")</f>
        <v>Male</v>
      </c>
      <c r="G643" s="5">
        <f>IFERROR(__xludf.DUMMYFUNCTION("""COMPUTED_VALUE"""),0.005931048611111112)</f>
        <v>0.005931048611</v>
      </c>
      <c r="H643" s="14">
        <f>IFERROR(__xludf.DUMMYFUNCTION("""COMPUTED_VALUE"""),0.24646185185185185)</f>
        <v>0.2464618519</v>
      </c>
      <c r="I643" s="15">
        <f>IFERROR(__xludf.DUMMYFUNCTION("""COMPUTED_VALUE"""),45949.305772343054)</f>
        <v>45949.30577</v>
      </c>
      <c r="J643" s="15">
        <f>IFERROR(__xludf.DUMMYFUNCTION("""COMPUTED_VALUE"""),45949.059310491204)</f>
        <v>45949.05931</v>
      </c>
      <c r="K643" s="15">
        <f>IFERROR(__xludf.DUMMYFUNCTION("""COMPUTED_VALUE"""),45949.26557535688)</f>
        <v>45949.26558</v>
      </c>
      <c r="L643" s="15">
        <f>IFERROR(__xludf.DUMMYFUNCTION("""COMPUTED_VALUE"""),45949.29632211058)</f>
        <v>45949.29632</v>
      </c>
    </row>
    <row r="644">
      <c r="A644" s="1">
        <f>IFERROR(__xludf.DUMMYFUNCTION("""COMPUTED_VALUE"""),643.0)</f>
        <v>643</v>
      </c>
      <c r="B644" s="1">
        <f>IFERROR(__xludf.DUMMYFUNCTION("""COMPUTED_VALUE"""),12080.0)</f>
        <v>12080</v>
      </c>
      <c r="C644" s="13" t="str">
        <f>IFERROR(__xludf.DUMMYFUNCTION("""COMPUTED_VALUE"""),"Akhyar Rifani")</f>
        <v>Akhyar Rifani</v>
      </c>
      <c r="D644" s="2" t="str">
        <f>IFERROR(__xludf.DUMMYFUNCTION("""COMPUTED_VALUE"""),"10KM MASTER M")</f>
        <v>10KM MASTER M</v>
      </c>
      <c r="E644" s="1">
        <f>IFERROR(__xludf.DUMMYFUNCTION("""COMPUTED_VALUE"""),60.0)</f>
        <v>60</v>
      </c>
      <c r="F644" s="1" t="str">
        <f>IFERROR(__xludf.DUMMYFUNCTION("""COMPUTED_VALUE"""),"Male")</f>
        <v>Male</v>
      </c>
      <c r="G644" s="5">
        <f>IFERROR(__xludf.DUMMYFUNCTION("""COMPUTED_VALUE"""),0.005937016203703705)</f>
        <v>0.005937016204</v>
      </c>
      <c r="H644" s="14">
        <f>IFERROR(__xludf.DUMMYFUNCTION("""COMPUTED_VALUE"""),0.24646185185185185)</f>
        <v>0.2464618519</v>
      </c>
      <c r="I644" s="15">
        <f>IFERROR(__xludf.DUMMYFUNCTION("""COMPUTED_VALUE"""),45949.305832010905)</f>
        <v>45949.30583</v>
      </c>
      <c r="J644" s="15">
        <f>IFERROR(__xludf.DUMMYFUNCTION("""COMPUTED_VALUE"""),45949.059370159055)</f>
        <v>45949.05937</v>
      </c>
      <c r="K644" s="15">
        <f>IFERROR(__xludf.DUMMYFUNCTION("""COMPUTED_VALUE"""),45949.25815170281)</f>
        <v>45949.25815</v>
      </c>
      <c r="L644" s="15">
        <f>IFERROR(__xludf.DUMMYFUNCTION("""COMPUTED_VALUE"""),45949.29512760928)</f>
        <v>45949.29513</v>
      </c>
    </row>
    <row r="645">
      <c r="A645" s="1">
        <f>IFERROR(__xludf.DUMMYFUNCTION("""COMPUTED_VALUE"""),644.0)</f>
        <v>644</v>
      </c>
      <c r="B645" s="1">
        <f>IFERROR(__xludf.DUMMYFUNCTION("""COMPUTED_VALUE"""),10129.0)</f>
        <v>10129</v>
      </c>
      <c r="C645" s="13" t="str">
        <f>IFERROR(__xludf.DUMMYFUNCTION("""COMPUTED_VALUE"""),"Z. Rezza Maulidin")</f>
        <v>Z. Rezza Maulidin</v>
      </c>
      <c r="D645" s="2" t="str">
        <f>IFERROR(__xludf.DUMMYFUNCTION("""COMPUTED_VALUE"""),"10KM OVERALL M")</f>
        <v>10KM OVERALL M</v>
      </c>
      <c r="E645" s="1">
        <f>IFERROR(__xludf.DUMMYFUNCTION("""COMPUTED_VALUE"""),527.0)</f>
        <v>527</v>
      </c>
      <c r="F645" s="1" t="str">
        <f>IFERROR(__xludf.DUMMYFUNCTION("""COMPUTED_VALUE"""),"Male")</f>
        <v>Male</v>
      </c>
      <c r="G645" s="5">
        <f>IFERROR(__xludf.DUMMYFUNCTION("""COMPUTED_VALUE"""),0.00594702662037037)</f>
        <v>0.00594702662</v>
      </c>
      <c r="H645" s="14">
        <f>IFERROR(__xludf.DUMMYFUNCTION("""COMPUTED_VALUE"""),0.24646185185185185)</f>
        <v>0.2464618519</v>
      </c>
      <c r="I645" s="15">
        <f>IFERROR(__xludf.DUMMYFUNCTION("""COMPUTED_VALUE"""),45949.305932123214)</f>
        <v>45949.30593</v>
      </c>
      <c r="J645" s="15">
        <f>IFERROR(__xludf.DUMMYFUNCTION("""COMPUTED_VALUE"""),45949.059470271364)</f>
        <v>45949.05947</v>
      </c>
      <c r="K645" s="15">
        <f>IFERROR(__xludf.DUMMYFUNCTION("""COMPUTED_VALUE"""),45949.259235082005)</f>
        <v>45949.25924</v>
      </c>
      <c r="L645" s="15">
        <f>IFERROR(__xludf.DUMMYFUNCTION("""COMPUTED_VALUE"""),45949.29474218781)</f>
        <v>45949.29474</v>
      </c>
    </row>
    <row r="646">
      <c r="A646" s="1">
        <f>IFERROR(__xludf.DUMMYFUNCTION("""COMPUTED_VALUE"""),645.0)</f>
        <v>645</v>
      </c>
      <c r="B646" s="1">
        <f>IFERROR(__xludf.DUMMYFUNCTION("""COMPUTED_VALUE"""),10325.0)</f>
        <v>10325</v>
      </c>
      <c r="C646" s="13" t="str">
        <f>IFERROR(__xludf.DUMMYFUNCTION("""COMPUTED_VALUE"""),"Hamba Allah")</f>
        <v>Hamba Allah</v>
      </c>
      <c r="D646" s="2" t="str">
        <f>IFERROR(__xludf.DUMMYFUNCTION("""COMPUTED_VALUE"""),"10KM OVERALL M")</f>
        <v>10KM OVERALL M</v>
      </c>
      <c r="E646" s="1">
        <f>IFERROR(__xludf.DUMMYFUNCTION("""COMPUTED_VALUE"""),528.0)</f>
        <v>528</v>
      </c>
      <c r="F646" s="1" t="str">
        <f>IFERROR(__xludf.DUMMYFUNCTION("""COMPUTED_VALUE"""),"Male")</f>
        <v>Male</v>
      </c>
      <c r="G646" s="5">
        <f>IFERROR(__xludf.DUMMYFUNCTION("""COMPUTED_VALUE"""),0.005950174768518519)</f>
        <v>0.005950174769</v>
      </c>
      <c r="H646" s="14">
        <f>IFERROR(__xludf.DUMMYFUNCTION("""COMPUTED_VALUE"""),0.24646185185185185)</f>
        <v>0.2464618519</v>
      </c>
      <c r="I646" s="15">
        <f>IFERROR(__xludf.DUMMYFUNCTION("""COMPUTED_VALUE"""),45949.30596360517)</f>
        <v>45949.30596</v>
      </c>
      <c r="J646" s="15">
        <f>IFERROR(__xludf.DUMMYFUNCTION("""COMPUTED_VALUE"""),45949.05950175332)</f>
        <v>45949.0595</v>
      </c>
      <c r="K646" s="15">
        <f>IFERROR(__xludf.DUMMYFUNCTION("""COMPUTED_VALUE"""),45949.26010654877)</f>
        <v>45949.26011</v>
      </c>
      <c r="L646" s="15">
        <f>IFERROR(__xludf.DUMMYFUNCTION("""COMPUTED_VALUE"""),45949.29592659209)</f>
        <v>45949.29593</v>
      </c>
    </row>
    <row r="647">
      <c r="A647" s="1">
        <f>IFERROR(__xludf.DUMMYFUNCTION("""COMPUTED_VALUE"""),646.0)</f>
        <v>646</v>
      </c>
      <c r="B647" s="1">
        <f>IFERROR(__xludf.DUMMYFUNCTION("""COMPUTED_VALUE"""),10404.0)</f>
        <v>10404</v>
      </c>
      <c r="C647" s="13" t="str">
        <f>IFERROR(__xludf.DUMMYFUNCTION("""COMPUTED_VALUE"""),"Danita Thirza")</f>
        <v>Danita Thirza</v>
      </c>
      <c r="D647" s="2" t="str">
        <f>IFERROR(__xludf.DUMMYFUNCTION("""COMPUTED_VALUE"""),"10KM OVERALL F")</f>
        <v>10KM OVERALL F</v>
      </c>
      <c r="E647" s="1">
        <f>IFERROR(__xludf.DUMMYFUNCTION("""COMPUTED_VALUE"""),47.0)</f>
        <v>47</v>
      </c>
      <c r="F647" s="1" t="str">
        <f>IFERROR(__xludf.DUMMYFUNCTION("""COMPUTED_VALUE"""),"Female")</f>
        <v>Female</v>
      </c>
      <c r="G647" s="5">
        <f>IFERROR(__xludf.DUMMYFUNCTION("""COMPUTED_VALUE"""),0.005952952546296296)</f>
        <v>0.005952952546</v>
      </c>
      <c r="H647" s="14">
        <f>IFERROR(__xludf.DUMMYFUNCTION("""COMPUTED_VALUE"""),0.24646185185185185)</f>
        <v>0.2464618519</v>
      </c>
      <c r="I647" s="15">
        <f>IFERROR(__xludf.DUMMYFUNCTION("""COMPUTED_VALUE"""),45949.30599137924)</f>
        <v>45949.30599</v>
      </c>
      <c r="J647" s="15">
        <f>IFERROR(__xludf.DUMMYFUNCTION("""COMPUTED_VALUE"""),45949.05952952739)</f>
        <v>45949.05953</v>
      </c>
      <c r="K647" s="15">
        <f>IFERROR(__xludf.DUMMYFUNCTION("""COMPUTED_VALUE"""),45949.259648276595)</f>
        <v>45949.25965</v>
      </c>
      <c r="L647" s="15">
        <f>IFERROR(__xludf.DUMMYFUNCTION("""COMPUTED_VALUE"""),45949.296714446755)</f>
        <v>45949.29671</v>
      </c>
    </row>
    <row r="648">
      <c r="A648" s="1">
        <f>IFERROR(__xludf.DUMMYFUNCTION("""COMPUTED_VALUE"""),647.0)</f>
        <v>647</v>
      </c>
      <c r="B648" s="1">
        <f>IFERROR(__xludf.DUMMYFUNCTION("""COMPUTED_VALUE"""),12058.0)</f>
        <v>12058</v>
      </c>
      <c r="C648" s="13" t="str">
        <f>IFERROR(__xludf.DUMMYFUNCTION("""COMPUTED_VALUE"""),"Daniel Rembeth")</f>
        <v>Daniel Rembeth</v>
      </c>
      <c r="D648" s="2" t="str">
        <f>IFERROR(__xludf.DUMMYFUNCTION("""COMPUTED_VALUE"""),"10KM MASTER F")</f>
        <v>10KM MASTER F</v>
      </c>
      <c r="E648" s="1">
        <f>IFERROR(__xludf.DUMMYFUNCTION("""COMPUTED_VALUE"""),12.0)</f>
        <v>12</v>
      </c>
      <c r="F648" s="1" t="str">
        <f>IFERROR(__xludf.DUMMYFUNCTION("""COMPUTED_VALUE"""),"Female")</f>
        <v>Female</v>
      </c>
      <c r="G648" s="5">
        <f>IFERROR(__xludf.DUMMYFUNCTION("""COMPUTED_VALUE"""),0.005955707175925926)</f>
        <v>0.005955707176</v>
      </c>
      <c r="H648" s="14">
        <f>IFERROR(__xludf.DUMMYFUNCTION("""COMPUTED_VALUE"""),0.24646185185185185)</f>
        <v>0.2464618519</v>
      </c>
      <c r="I648" s="15">
        <f>IFERROR(__xludf.DUMMYFUNCTION("""COMPUTED_VALUE"""),45949.30601891958)</f>
        <v>45949.30602</v>
      </c>
      <c r="J648" s="15">
        <f>IFERROR(__xludf.DUMMYFUNCTION("""COMPUTED_VALUE"""),45949.05955706773)</f>
        <v>45949.05956</v>
      </c>
      <c r="K648" s="15">
        <f>IFERROR(__xludf.DUMMYFUNCTION("""COMPUTED_VALUE"""),45949.25967251736)</f>
        <v>45949.25967</v>
      </c>
      <c r="L648" s="15">
        <f>IFERROR(__xludf.DUMMYFUNCTION("""COMPUTED_VALUE"""),45949.296756084215)</f>
        <v>45949.29676</v>
      </c>
    </row>
    <row r="649">
      <c r="A649" s="1">
        <f>IFERROR(__xludf.DUMMYFUNCTION("""COMPUTED_VALUE"""),648.0)</f>
        <v>648</v>
      </c>
      <c r="B649" s="1">
        <f>IFERROR(__xludf.DUMMYFUNCTION("""COMPUTED_VALUE"""),10223.0)</f>
        <v>10223</v>
      </c>
      <c r="C649" s="13" t="str">
        <f>IFERROR(__xludf.DUMMYFUNCTION("""COMPUTED_VALUE"""),"Riska WN")</f>
        <v>Riska WN</v>
      </c>
      <c r="D649" s="2" t="str">
        <f>IFERROR(__xludf.DUMMYFUNCTION("""COMPUTED_VALUE"""),"10KM OVERALL F")</f>
        <v>10KM OVERALL F</v>
      </c>
      <c r="E649" s="1">
        <f>IFERROR(__xludf.DUMMYFUNCTION("""COMPUTED_VALUE"""),48.0)</f>
        <v>48</v>
      </c>
      <c r="F649" s="1" t="str">
        <f>IFERROR(__xludf.DUMMYFUNCTION("""COMPUTED_VALUE"""),"Female")</f>
        <v>Female</v>
      </c>
      <c r="G649" s="5">
        <f>IFERROR(__xludf.DUMMYFUNCTION("""COMPUTED_VALUE"""),0.005972373842592593)</f>
        <v>0.005972373843</v>
      </c>
      <c r="H649" s="14">
        <f>IFERROR(__xludf.DUMMYFUNCTION("""COMPUTED_VALUE"""),0.24646185185185185)</f>
        <v>0.2464618519</v>
      </c>
      <c r="I649" s="15">
        <f>IFERROR(__xludf.DUMMYFUNCTION("""COMPUTED_VALUE"""),45949.30618558553)</f>
        <v>45949.30619</v>
      </c>
      <c r="J649" s="15">
        <f>IFERROR(__xludf.DUMMYFUNCTION("""COMPUTED_VALUE"""),45949.05972373368)</f>
        <v>45949.05972</v>
      </c>
      <c r="K649" s="15">
        <f>IFERROR(__xludf.DUMMYFUNCTION("""COMPUTED_VALUE"""),45949.25910307229)</f>
        <v>45949.2591</v>
      </c>
      <c r="L649" s="15">
        <f>IFERROR(__xludf.DUMMYFUNCTION("""COMPUTED_VALUE"""),45949.29542973058)</f>
        <v>45949.29543</v>
      </c>
    </row>
    <row r="650">
      <c r="A650" s="1">
        <f>IFERROR(__xludf.DUMMYFUNCTION("""COMPUTED_VALUE"""),649.0)</f>
        <v>649</v>
      </c>
      <c r="B650" s="1">
        <f>IFERROR(__xludf.DUMMYFUNCTION("""COMPUTED_VALUE"""),10735.0)</f>
        <v>10735</v>
      </c>
      <c r="C650" s="13" t="str">
        <f>IFERROR(__xludf.DUMMYFUNCTION("""COMPUTED_VALUE"""),"Rara Aulia Putri")</f>
        <v>Rara Aulia Putri</v>
      </c>
      <c r="D650" s="2" t="str">
        <f>IFERROR(__xludf.DUMMYFUNCTION("""COMPUTED_VALUE"""),"10KM OVERALL M")</f>
        <v>10KM OVERALL M</v>
      </c>
      <c r="E650" s="1">
        <f>IFERROR(__xludf.DUMMYFUNCTION("""COMPUTED_VALUE"""),529.0)</f>
        <v>529</v>
      </c>
      <c r="F650" s="1" t="str">
        <f>IFERROR(__xludf.DUMMYFUNCTION("""COMPUTED_VALUE"""),"Female")</f>
        <v>Female</v>
      </c>
      <c r="G650" s="5">
        <f>IFERROR(__xludf.DUMMYFUNCTION("""COMPUTED_VALUE"""),0.005972374999999999)</f>
        <v>0.005972375</v>
      </c>
      <c r="H650" s="14">
        <f>IFERROR(__xludf.DUMMYFUNCTION("""COMPUTED_VALUE"""),0.24646185185185185)</f>
        <v>0.2464618519</v>
      </c>
      <c r="I650" s="15">
        <f>IFERROR(__xludf.DUMMYFUNCTION("""COMPUTED_VALUE"""),45949.30618559806)</f>
        <v>45949.30619</v>
      </c>
      <c r="J650" s="15">
        <f>IFERROR(__xludf.DUMMYFUNCTION("""COMPUTED_VALUE"""),45949.05972374621)</f>
        <v>45949.05972</v>
      </c>
      <c r="K650" s="15">
        <f>IFERROR(__xludf.DUMMYFUNCTION("""COMPUTED_VALUE"""),45949.25946766025)</f>
        <v>45949.25947</v>
      </c>
      <c r="L650" s="15">
        <f>IFERROR(__xludf.DUMMYFUNCTION("""COMPUTED_VALUE"""),45949.29552343109)</f>
        <v>45949.29552</v>
      </c>
    </row>
    <row r="651">
      <c r="A651" s="1">
        <f>IFERROR(__xludf.DUMMYFUNCTION("""COMPUTED_VALUE"""),650.0)</f>
        <v>650</v>
      </c>
      <c r="B651" s="1">
        <f>IFERROR(__xludf.DUMMYFUNCTION("""COMPUTED_VALUE"""),10532.0)</f>
        <v>10532</v>
      </c>
      <c r="C651" s="13" t="str">
        <f>IFERROR(__xludf.DUMMYFUNCTION("""COMPUTED_VALUE"""),"MAULANA IBRAHIM")</f>
        <v>MAULANA IBRAHIM</v>
      </c>
      <c r="D651" s="2" t="str">
        <f>IFERROR(__xludf.DUMMYFUNCTION("""COMPUTED_VALUE"""),"10KM OVERALL M")</f>
        <v>10KM OVERALL M</v>
      </c>
      <c r="E651" s="1">
        <f>IFERROR(__xludf.DUMMYFUNCTION("""COMPUTED_VALUE"""),530.0)</f>
        <v>530</v>
      </c>
      <c r="F651" s="1" t="str">
        <f>IFERROR(__xludf.DUMMYFUNCTION("""COMPUTED_VALUE"""),"Male")</f>
        <v>Male</v>
      </c>
      <c r="G651" s="5">
        <f>IFERROR(__xludf.DUMMYFUNCTION("""COMPUTED_VALUE"""),0.005974457175925926)</f>
        <v>0.005974457176</v>
      </c>
      <c r="H651" s="14">
        <f>IFERROR(__xludf.DUMMYFUNCTION("""COMPUTED_VALUE"""),0.24646185185185185)</f>
        <v>0.2464618519</v>
      </c>
      <c r="I651" s="15">
        <f>IFERROR(__xludf.DUMMYFUNCTION("""COMPUTED_VALUE"""),45949.30620642252)</f>
        <v>45949.30621</v>
      </c>
      <c r="J651" s="15">
        <f>IFERROR(__xludf.DUMMYFUNCTION("""COMPUTED_VALUE"""),45949.05974457067)</f>
        <v>45949.05974</v>
      </c>
      <c r="K651" s="15">
        <f>IFERROR(__xludf.DUMMYFUNCTION("""COMPUTED_VALUE"""),45949.25951628128)</f>
        <v>45949.25952</v>
      </c>
      <c r="L651" s="15">
        <f>IFERROR(__xludf.DUMMYFUNCTION("""COMPUTED_VALUE"""),45949.295047780324)</f>
        <v>45949.29505</v>
      </c>
    </row>
    <row r="652">
      <c r="A652" s="1">
        <f>IFERROR(__xludf.DUMMYFUNCTION("""COMPUTED_VALUE"""),651.0)</f>
        <v>651</v>
      </c>
      <c r="B652" s="1">
        <f>IFERROR(__xludf.DUMMYFUNCTION("""COMPUTED_VALUE"""),12035.0)</f>
        <v>12035</v>
      </c>
      <c r="C652" s="13" t="str">
        <f>IFERROR(__xludf.DUMMYFUNCTION("""COMPUTED_VALUE"""),"FIRNA")</f>
        <v>FIRNA</v>
      </c>
      <c r="D652" s="2" t="str">
        <f>IFERROR(__xludf.DUMMYFUNCTION("""COMPUTED_VALUE"""),"10KM MASTER F")</f>
        <v>10KM MASTER F</v>
      </c>
      <c r="E652" s="1">
        <f>IFERROR(__xludf.DUMMYFUNCTION("""COMPUTED_VALUE"""),13.0)</f>
        <v>13</v>
      </c>
      <c r="F652" s="1" t="str">
        <f>IFERROR(__xludf.DUMMYFUNCTION("""COMPUTED_VALUE"""),"Female")</f>
        <v>Female</v>
      </c>
      <c r="G652" s="5">
        <f>IFERROR(__xludf.DUMMYFUNCTION("""COMPUTED_VALUE"""),0.005977236111111112)</f>
        <v>0.005977236111</v>
      </c>
      <c r="H652" s="14">
        <f>IFERROR(__xludf.DUMMYFUNCTION("""COMPUTED_VALUE"""),0.24646185185185185)</f>
        <v>0.2464618519</v>
      </c>
      <c r="I652" s="15">
        <f>IFERROR(__xludf.DUMMYFUNCTION("""COMPUTED_VALUE"""),45949.306234216034)</f>
        <v>45949.30623</v>
      </c>
      <c r="J652" s="15">
        <f>IFERROR(__xludf.DUMMYFUNCTION("""COMPUTED_VALUE"""),45949.059772364184)</f>
        <v>45949.05977</v>
      </c>
      <c r="K652" s="15">
        <f>IFERROR(__xludf.DUMMYFUNCTION("""COMPUTED_VALUE"""),45949.26241906244)</f>
        <v>45949.26242</v>
      </c>
      <c r="L652" s="15">
        <f>IFERROR(__xludf.DUMMYFUNCTION("""COMPUTED_VALUE"""),45949.29663107244)</f>
        <v>45949.29663</v>
      </c>
    </row>
    <row r="653">
      <c r="A653" s="1">
        <f>IFERROR(__xludf.DUMMYFUNCTION("""COMPUTED_VALUE"""),652.0)</f>
        <v>652</v>
      </c>
      <c r="B653" s="1">
        <f>IFERROR(__xludf.DUMMYFUNCTION("""COMPUTED_VALUE"""),12060.0)</f>
        <v>12060</v>
      </c>
      <c r="C653" s="13" t="str">
        <f>IFERROR(__xludf.DUMMYFUNCTION("""COMPUTED_VALUE"""),"SITI")</f>
        <v>SITI</v>
      </c>
      <c r="D653" s="2" t="str">
        <f>IFERROR(__xludf.DUMMYFUNCTION("""COMPUTED_VALUE"""),"10KM MASTER F")</f>
        <v>10KM MASTER F</v>
      </c>
      <c r="E653" s="1">
        <f>IFERROR(__xludf.DUMMYFUNCTION("""COMPUTED_VALUE"""),14.0)</f>
        <v>14</v>
      </c>
      <c r="F653" s="1" t="str">
        <f>IFERROR(__xludf.DUMMYFUNCTION("""COMPUTED_VALUE"""),"Female")</f>
        <v>Female</v>
      </c>
      <c r="G653" s="5">
        <f>IFERROR(__xludf.DUMMYFUNCTION("""COMPUTED_VALUE"""),0.0059807025462962965)</f>
        <v>0.005980702546</v>
      </c>
      <c r="H653" s="14">
        <f>IFERROR(__xludf.DUMMYFUNCTION("""COMPUTED_VALUE"""),0.24646185185185185)</f>
        <v>0.2464618519</v>
      </c>
      <c r="I653" s="15">
        <f>IFERROR(__xludf.DUMMYFUNCTION("""COMPUTED_VALUE"""),45949.306268882574)</f>
        <v>45949.30627</v>
      </c>
      <c r="J653" s="15">
        <f>IFERROR(__xludf.DUMMYFUNCTION("""COMPUTED_VALUE"""),45949.059807030724)</f>
        <v>45949.05981</v>
      </c>
      <c r="K653" s="15">
        <f>IFERROR(__xludf.DUMMYFUNCTION("""COMPUTED_VALUE"""),45949.25940522293)</f>
        <v>45949.25941</v>
      </c>
      <c r="L653" s="15">
        <f>IFERROR(__xludf.DUMMYFUNCTION("""COMPUTED_VALUE"""),45949.29544709063)</f>
        <v>45949.29545</v>
      </c>
    </row>
    <row r="654">
      <c r="A654" s="1">
        <f>IFERROR(__xludf.DUMMYFUNCTION("""COMPUTED_VALUE"""),653.0)</f>
        <v>653</v>
      </c>
      <c r="B654" s="1">
        <f>IFERROR(__xludf.DUMMYFUNCTION("""COMPUTED_VALUE"""),10512.0)</f>
        <v>10512</v>
      </c>
      <c r="C654" s="13" t="str">
        <f>IFERROR(__xludf.DUMMYFUNCTION("""COMPUTED_VALUE"""),"Najmi")</f>
        <v>Najmi</v>
      </c>
      <c r="D654" s="2" t="str">
        <f>IFERROR(__xludf.DUMMYFUNCTION("""COMPUTED_VALUE"""),"10KM OVERALL M")</f>
        <v>10KM OVERALL M</v>
      </c>
      <c r="E654" s="1">
        <f>IFERROR(__xludf.DUMMYFUNCTION("""COMPUTED_VALUE"""),531.0)</f>
        <v>531</v>
      </c>
      <c r="F654" s="1" t="str">
        <f>IFERROR(__xludf.DUMMYFUNCTION("""COMPUTED_VALUE"""),"Male")</f>
        <v>Male</v>
      </c>
      <c r="G654" s="5">
        <f>IFERROR(__xludf.DUMMYFUNCTION("""COMPUTED_VALUE"""),0.005984526620370371)</f>
        <v>0.00598452662</v>
      </c>
      <c r="H654" s="14">
        <f>IFERROR(__xludf.DUMMYFUNCTION("""COMPUTED_VALUE"""),0.24646185185185185)</f>
        <v>0.2464618519</v>
      </c>
      <c r="I654" s="15">
        <f>IFERROR(__xludf.DUMMYFUNCTION("""COMPUTED_VALUE"""),45949.30630712028)</f>
        <v>45949.30631</v>
      </c>
      <c r="J654" s="15">
        <f>IFERROR(__xludf.DUMMYFUNCTION("""COMPUTED_VALUE"""),45949.05984526843)</f>
        <v>45949.05985</v>
      </c>
      <c r="K654" s="15">
        <f>IFERROR(__xludf.DUMMYFUNCTION("""COMPUTED_VALUE"""),45949.259519739186)</f>
        <v>45949.25952</v>
      </c>
      <c r="L654" s="15">
        <f>IFERROR(__xludf.DUMMYFUNCTION("""COMPUTED_VALUE"""),45949.296481756865)</f>
        <v>45949.29648</v>
      </c>
    </row>
    <row r="655">
      <c r="A655" s="1">
        <f>IFERROR(__xludf.DUMMYFUNCTION("""COMPUTED_VALUE"""),654.0)</f>
        <v>654</v>
      </c>
      <c r="B655" s="1">
        <f>IFERROR(__xludf.DUMMYFUNCTION("""COMPUTED_VALUE"""),10464.0)</f>
        <v>10464</v>
      </c>
      <c r="C655" s="13" t="str">
        <f>IFERROR(__xludf.DUMMYFUNCTION("""COMPUTED_VALUE"""),"Harada")</f>
        <v>Harada</v>
      </c>
      <c r="D655" s="2" t="str">
        <f>IFERROR(__xludf.DUMMYFUNCTION("""COMPUTED_VALUE"""),"10KM OVERALL M")</f>
        <v>10KM OVERALL M</v>
      </c>
      <c r="E655" s="1">
        <f>IFERROR(__xludf.DUMMYFUNCTION("""COMPUTED_VALUE"""),532.0)</f>
        <v>532</v>
      </c>
      <c r="F655" s="1" t="str">
        <f>IFERROR(__xludf.DUMMYFUNCTION("""COMPUTED_VALUE"""),"Male")</f>
        <v>Male</v>
      </c>
      <c r="G655" s="5">
        <f>IFERROR(__xludf.DUMMYFUNCTION("""COMPUTED_VALUE"""),0.005998450231481481)</f>
        <v>0.005998450231</v>
      </c>
      <c r="H655" s="14">
        <f>IFERROR(__xludf.DUMMYFUNCTION("""COMPUTED_VALUE"""),0.24646185185185185)</f>
        <v>0.2464618519</v>
      </c>
      <c r="I655" s="15">
        <f>IFERROR(__xludf.DUMMYFUNCTION("""COMPUTED_VALUE"""),45949.30644635353)</f>
        <v>45949.30645</v>
      </c>
      <c r="J655" s="15">
        <f>IFERROR(__xludf.DUMMYFUNCTION("""COMPUTED_VALUE"""),45949.05998450168)</f>
        <v>45949.05998</v>
      </c>
      <c r="K655" s="15">
        <f>IFERROR(__xludf.DUMMYFUNCTION("""COMPUTED_VALUE"""),45949.26416910918)</f>
        <v>45949.26417</v>
      </c>
      <c r="L655" s="15">
        <f>IFERROR(__xludf.DUMMYFUNCTION("""COMPUTED_VALUE"""),45949.29845403528)</f>
        <v>45949.29845</v>
      </c>
    </row>
    <row r="656">
      <c r="A656" s="1">
        <f>IFERROR(__xludf.DUMMYFUNCTION("""COMPUTED_VALUE"""),655.0)</f>
        <v>655</v>
      </c>
      <c r="B656" s="1">
        <f>IFERROR(__xludf.DUMMYFUNCTION("""COMPUTED_VALUE"""),10375.0)</f>
        <v>10375</v>
      </c>
      <c r="C656" s="13" t="str">
        <f>IFERROR(__xludf.DUMMYFUNCTION("""COMPUTED_VALUE"""),"Takiman")</f>
        <v>Takiman</v>
      </c>
      <c r="D656" s="2" t="str">
        <f>IFERROR(__xludf.DUMMYFUNCTION("""COMPUTED_VALUE"""),"10KM OVERALL M")</f>
        <v>10KM OVERALL M</v>
      </c>
      <c r="E656" s="1">
        <f>IFERROR(__xludf.DUMMYFUNCTION("""COMPUTED_VALUE"""),533.0)</f>
        <v>533</v>
      </c>
      <c r="F656" s="1" t="str">
        <f>IFERROR(__xludf.DUMMYFUNCTION("""COMPUTED_VALUE"""),"Male")</f>
        <v>Male</v>
      </c>
      <c r="G656" s="5">
        <f>IFERROR(__xludf.DUMMYFUNCTION("""COMPUTED_VALUE"""),0.005999804398148148)</f>
        <v>0.005999804398</v>
      </c>
      <c r="H656" s="14">
        <f>IFERROR(__xludf.DUMMYFUNCTION("""COMPUTED_VALUE"""),0.24646185185185185)</f>
        <v>0.2464618519</v>
      </c>
      <c r="I656" s="15">
        <f>IFERROR(__xludf.DUMMYFUNCTION("""COMPUTED_VALUE"""),45949.306459899475)</f>
        <v>45949.30646</v>
      </c>
      <c r="J656" s="15">
        <f>IFERROR(__xludf.DUMMYFUNCTION("""COMPUTED_VALUE"""),45949.059998047625)</f>
        <v>45949.06</v>
      </c>
      <c r="K656" s="15">
        <f>IFERROR(__xludf.DUMMYFUNCTION("""COMPUTED_VALUE"""),45949.26291244436)</f>
        <v>45949.26291</v>
      </c>
      <c r="L656" s="15">
        <f>IFERROR(__xludf.DUMMYFUNCTION("""COMPUTED_VALUE"""),45949.29697834604)</f>
        <v>45949.29698</v>
      </c>
    </row>
    <row r="657">
      <c r="A657" s="1">
        <f>IFERROR(__xludf.DUMMYFUNCTION("""COMPUTED_VALUE"""),656.0)</f>
        <v>656</v>
      </c>
      <c r="B657" s="1">
        <f>IFERROR(__xludf.DUMMYFUNCTION("""COMPUTED_VALUE"""),10674.0)</f>
        <v>10674</v>
      </c>
      <c r="C657" s="13" t="str">
        <f>IFERROR(__xludf.DUMMYFUNCTION("""COMPUTED_VALUE"""),"SPONSORSHIP")</f>
        <v>SPONSORSHIP</v>
      </c>
      <c r="D657" s="2" t="str">
        <f>IFERROR(__xludf.DUMMYFUNCTION("""COMPUTED_VALUE"""),"10KM OVERALL M")</f>
        <v>10KM OVERALL M</v>
      </c>
      <c r="E657" s="1">
        <f>IFERROR(__xludf.DUMMYFUNCTION("""COMPUTED_VALUE"""),534.0)</f>
        <v>534</v>
      </c>
      <c r="F657" s="1" t="str">
        <f>IFERROR(__xludf.DUMMYFUNCTION("""COMPUTED_VALUE"""),"Male")</f>
        <v>Male</v>
      </c>
      <c r="G657" s="5">
        <f>IFERROR(__xludf.DUMMYFUNCTION("""COMPUTED_VALUE"""),0.0060081377314814815)</f>
        <v>0.006008137731</v>
      </c>
      <c r="H657" s="14">
        <f>IFERROR(__xludf.DUMMYFUNCTION("""COMPUTED_VALUE"""),0.24646185185185185)</f>
        <v>0.2464618519</v>
      </c>
      <c r="I657" s="15">
        <f>IFERROR(__xludf.DUMMYFUNCTION("""COMPUTED_VALUE"""),45949.30654323378)</f>
        <v>45949.30654</v>
      </c>
      <c r="J657" s="15">
        <f>IFERROR(__xludf.DUMMYFUNCTION("""COMPUTED_VALUE"""),45949.06008138193)</f>
        <v>45949.06008</v>
      </c>
      <c r="K657" s="15">
        <f>IFERROR(__xludf.DUMMYFUNCTION("""COMPUTED_VALUE"""),45949.25936005829)</f>
        <v>45949.25936</v>
      </c>
      <c r="L657" s="15">
        <f>IFERROR(__xludf.DUMMYFUNCTION("""COMPUTED_VALUE"""),45949.295738751796)</f>
        <v>45949.29574</v>
      </c>
    </row>
    <row r="658">
      <c r="A658" s="1">
        <f>IFERROR(__xludf.DUMMYFUNCTION("""COMPUTED_VALUE"""),657.0)</f>
        <v>657</v>
      </c>
      <c r="B658" s="1">
        <f>IFERROR(__xludf.DUMMYFUNCTION("""COMPUTED_VALUE"""),10595.0)</f>
        <v>10595</v>
      </c>
      <c r="C658" s="13" t="str">
        <f>IFERROR(__xludf.DUMMYFUNCTION("""COMPUTED_VALUE"""),"Putri Tamaro")</f>
        <v>Putri Tamaro</v>
      </c>
      <c r="D658" s="2" t="str">
        <f>IFERROR(__xludf.DUMMYFUNCTION("""COMPUTED_VALUE"""),"10KM OVERALL F")</f>
        <v>10KM OVERALL F</v>
      </c>
      <c r="E658" s="1">
        <f>IFERROR(__xludf.DUMMYFUNCTION("""COMPUTED_VALUE"""),49.0)</f>
        <v>49</v>
      </c>
      <c r="F658" s="1" t="str">
        <f>IFERROR(__xludf.DUMMYFUNCTION("""COMPUTED_VALUE"""),"Female")</f>
        <v>Female</v>
      </c>
      <c r="G658" s="5">
        <f>IFERROR(__xludf.DUMMYFUNCTION("""COMPUTED_VALUE"""),0.006035568287037036)</f>
        <v>0.006035568287</v>
      </c>
      <c r="H658" s="14">
        <f>IFERROR(__xludf.DUMMYFUNCTION("""COMPUTED_VALUE"""),0.24646185185185185)</f>
        <v>0.2464618519</v>
      </c>
      <c r="I658" s="15">
        <f>IFERROR(__xludf.DUMMYFUNCTION("""COMPUTED_VALUE"""),45949.30681754037)</f>
        <v>45949.30682</v>
      </c>
      <c r="J658" s="15">
        <f>IFERROR(__xludf.DUMMYFUNCTION("""COMPUTED_VALUE"""),45949.06035568852)</f>
        <v>45949.06036</v>
      </c>
      <c r="K658" s="15">
        <f>IFERROR(__xludf.DUMMYFUNCTION("""COMPUTED_VALUE"""),45949.25877061622)</f>
        <v>45949.25877</v>
      </c>
      <c r="L658" s="15">
        <f>IFERROR(__xludf.DUMMYFUNCTION("""COMPUTED_VALUE"""),45949.29591237372)</f>
        <v>45949.29591</v>
      </c>
    </row>
    <row r="659">
      <c r="A659" s="1">
        <f>IFERROR(__xludf.DUMMYFUNCTION("""COMPUTED_VALUE"""),658.0)</f>
        <v>658</v>
      </c>
      <c r="B659" s="1">
        <f>IFERROR(__xludf.DUMMYFUNCTION("""COMPUTED_VALUE"""),10322.0)</f>
        <v>10322</v>
      </c>
      <c r="C659" s="13" t="str">
        <f>IFERROR(__xludf.DUMMYFUNCTION("""COMPUTED_VALUE"""),"M. Amin Badali")</f>
        <v>M. Amin Badali</v>
      </c>
      <c r="D659" s="2" t="str">
        <f>IFERROR(__xludf.DUMMYFUNCTION("""COMPUTED_VALUE"""),"10KM OVERALL M")</f>
        <v>10KM OVERALL M</v>
      </c>
      <c r="E659" s="1">
        <f>IFERROR(__xludf.DUMMYFUNCTION("""COMPUTED_VALUE"""),535.0)</f>
        <v>535</v>
      </c>
      <c r="F659" s="1" t="str">
        <f>IFERROR(__xludf.DUMMYFUNCTION("""COMPUTED_VALUE"""),"Male")</f>
        <v>Male</v>
      </c>
      <c r="G659" s="5">
        <f>IFERROR(__xludf.DUMMYFUNCTION("""COMPUTED_VALUE"""),0.006049804398148148)</f>
        <v>0.006049804398</v>
      </c>
      <c r="H659" s="14">
        <f>IFERROR(__xludf.DUMMYFUNCTION("""COMPUTED_VALUE"""),0.24646185185185185)</f>
        <v>0.2464618519</v>
      </c>
      <c r="I659" s="15">
        <f>IFERROR(__xludf.DUMMYFUNCTION("""COMPUTED_VALUE"""),45949.30695989918)</f>
        <v>45949.30696</v>
      </c>
      <c r="J659" s="15">
        <f>IFERROR(__xludf.DUMMYFUNCTION("""COMPUTED_VALUE"""),45949.06049804733)</f>
        <v>45949.0605</v>
      </c>
      <c r="K659" s="15">
        <f>IFERROR(__xludf.DUMMYFUNCTION("""COMPUTED_VALUE"""),45949.26151308237)</f>
        <v>45949.26151</v>
      </c>
      <c r="L659" s="15">
        <f>IFERROR(__xludf.DUMMYFUNCTION("""COMPUTED_VALUE"""),45949.295724868665)</f>
        <v>45949.29572</v>
      </c>
    </row>
    <row r="660">
      <c r="A660" s="1">
        <f>IFERROR(__xludf.DUMMYFUNCTION("""COMPUTED_VALUE"""),659.0)</f>
        <v>659</v>
      </c>
      <c r="B660" s="1">
        <f>IFERROR(__xludf.DUMMYFUNCTION("""COMPUTED_VALUE"""),12002.0)</f>
        <v>12002</v>
      </c>
      <c r="C660" s="13" t="str">
        <f>IFERROR(__xludf.DUMMYFUNCTION("""COMPUTED_VALUE"""),"amank sandi")</f>
        <v>amank sandi</v>
      </c>
      <c r="D660" s="2" t="str">
        <f>IFERROR(__xludf.DUMMYFUNCTION("""COMPUTED_VALUE"""),"10KM MASTER M")</f>
        <v>10KM MASTER M</v>
      </c>
      <c r="E660" s="1">
        <f>IFERROR(__xludf.DUMMYFUNCTION("""COMPUTED_VALUE"""),61.0)</f>
        <v>61</v>
      </c>
      <c r="F660" s="1" t="str">
        <f>IFERROR(__xludf.DUMMYFUNCTION("""COMPUTED_VALUE"""),"Male")</f>
        <v>Male</v>
      </c>
      <c r="G660" s="5">
        <f>IFERROR(__xludf.DUMMYFUNCTION("""COMPUTED_VALUE"""),0.0060595266203703705)</f>
        <v>0.00605952662</v>
      </c>
      <c r="H660" s="14">
        <f>IFERROR(__xludf.DUMMYFUNCTION("""COMPUTED_VALUE"""),0.24646185185185185)</f>
        <v>0.2464618519</v>
      </c>
      <c r="I660" s="15">
        <f>IFERROR(__xludf.DUMMYFUNCTION("""COMPUTED_VALUE"""),45949.30705711527)</f>
        <v>45949.30706</v>
      </c>
      <c r="J660" s="15">
        <f>IFERROR(__xludf.DUMMYFUNCTION("""COMPUTED_VALUE"""),45949.06059526342)</f>
        <v>45949.0606</v>
      </c>
      <c r="K660" s="15">
        <f>IFERROR(__xludf.DUMMYFUNCTION("""COMPUTED_VALUE"""),45949.26143642293)</f>
        <v>45949.26144</v>
      </c>
      <c r="L660" s="15">
        <f>IFERROR(__xludf.DUMMYFUNCTION("""COMPUTED_VALUE"""),45949.2975903908)</f>
        <v>45949.29759</v>
      </c>
    </row>
    <row r="661">
      <c r="A661" s="1">
        <f>IFERROR(__xludf.DUMMYFUNCTION("""COMPUTED_VALUE"""),660.0)</f>
        <v>660</v>
      </c>
      <c r="B661" s="1">
        <f>IFERROR(__xludf.DUMMYFUNCTION("""COMPUTED_VALUE"""),10247.0)</f>
        <v>10247</v>
      </c>
      <c r="C661" s="13" t="str">
        <f>IFERROR(__xludf.DUMMYFUNCTION("""COMPUTED_VALUE"""),"Fizai")</f>
        <v>Fizai</v>
      </c>
      <c r="D661" s="2" t="str">
        <f>IFERROR(__xludf.DUMMYFUNCTION("""COMPUTED_VALUE"""),"10KM OVERALL M")</f>
        <v>10KM OVERALL M</v>
      </c>
      <c r="E661" s="1">
        <f>IFERROR(__xludf.DUMMYFUNCTION("""COMPUTED_VALUE"""),536.0)</f>
        <v>536</v>
      </c>
      <c r="F661" s="1" t="str">
        <f>IFERROR(__xludf.DUMMYFUNCTION("""COMPUTED_VALUE"""),"Male")</f>
        <v>Male</v>
      </c>
      <c r="G661" s="5">
        <f>IFERROR(__xludf.DUMMYFUNCTION("""COMPUTED_VALUE"""),0.006067512731481482)</f>
        <v>0.006067512731</v>
      </c>
      <c r="H661" s="14">
        <f>IFERROR(__xludf.DUMMYFUNCTION("""COMPUTED_VALUE"""),0.24646185185185185)</f>
        <v>0.2464618519</v>
      </c>
      <c r="I661" s="15">
        <f>IFERROR(__xludf.DUMMYFUNCTION("""COMPUTED_VALUE"""),45949.307136978976)</f>
        <v>45949.30714</v>
      </c>
      <c r="J661" s="15">
        <f>IFERROR(__xludf.DUMMYFUNCTION("""COMPUTED_VALUE"""),45949.060675127126)</f>
        <v>45949.06068</v>
      </c>
      <c r="K661" s="15">
        <f>IFERROR(__xludf.DUMMYFUNCTION("""COMPUTED_VALUE"""),45949.28590869137)</f>
        <v>45949.28591</v>
      </c>
      <c r="L661" s="15">
        <f>IFERROR(__xludf.DUMMYFUNCTION("""COMPUTED_VALUE"""),45949.2896412037)</f>
        <v>45949.28964</v>
      </c>
    </row>
    <row r="662">
      <c r="A662" s="1">
        <f>IFERROR(__xludf.DUMMYFUNCTION("""COMPUTED_VALUE"""),661.0)</f>
        <v>661</v>
      </c>
      <c r="B662" s="1">
        <f>IFERROR(__xludf.DUMMYFUNCTION("""COMPUTED_VALUE"""),10380.0)</f>
        <v>10380</v>
      </c>
      <c r="C662" s="13" t="str">
        <f>IFERROR(__xludf.DUMMYFUNCTION("""COMPUTED_VALUE"""),"Hendi")</f>
        <v>Hendi</v>
      </c>
      <c r="D662" s="2" t="str">
        <f>IFERROR(__xludf.DUMMYFUNCTION("""COMPUTED_VALUE"""),"10KM OVERALL M")</f>
        <v>10KM OVERALL M</v>
      </c>
      <c r="E662" s="1">
        <f>IFERROR(__xludf.DUMMYFUNCTION("""COMPUTED_VALUE"""),537.0)</f>
        <v>537</v>
      </c>
      <c r="F662" s="1" t="str">
        <f>IFERROR(__xludf.DUMMYFUNCTION("""COMPUTED_VALUE"""),"Male")</f>
        <v>Male</v>
      </c>
      <c r="G662" s="5">
        <f>IFERROR(__xludf.DUMMYFUNCTION("""COMPUTED_VALUE"""),0.006077929398148148)</f>
        <v>0.006077929398</v>
      </c>
      <c r="H662" s="14">
        <f>IFERROR(__xludf.DUMMYFUNCTION("""COMPUTED_VALUE"""),0.24646185185185185)</f>
        <v>0.2464618519</v>
      </c>
      <c r="I662" s="15">
        <f>IFERROR(__xludf.DUMMYFUNCTION("""COMPUTED_VALUE"""),45949.307241143055)</f>
        <v>45949.30724</v>
      </c>
      <c r="J662" s="15">
        <f>IFERROR(__xludf.DUMMYFUNCTION("""COMPUTED_VALUE"""),45949.060779291205)</f>
        <v>45949.06078</v>
      </c>
      <c r="K662" s="15">
        <f>IFERROR(__xludf.DUMMYFUNCTION("""COMPUTED_VALUE"""),45949.26042604815)</f>
        <v>45949.26043</v>
      </c>
      <c r="L662" s="15">
        <f>IFERROR(__xludf.DUMMYFUNCTION("""COMPUTED_VALUE"""),45949.29698522808)</f>
        <v>45949.29699</v>
      </c>
    </row>
    <row r="663">
      <c r="A663" s="1">
        <f>IFERROR(__xludf.DUMMYFUNCTION("""COMPUTED_VALUE"""),662.0)</f>
        <v>662</v>
      </c>
      <c r="B663" s="1">
        <f>IFERROR(__xludf.DUMMYFUNCTION("""COMPUTED_VALUE"""),10594.0)</f>
        <v>10594</v>
      </c>
      <c r="C663" s="13" t="str">
        <f>IFERROR(__xludf.DUMMYFUNCTION("""COMPUTED_VALUE"""),"MEVI GANTENG")</f>
        <v>MEVI GANTENG</v>
      </c>
      <c r="D663" s="2" t="str">
        <f>IFERROR(__xludf.DUMMYFUNCTION("""COMPUTED_VALUE"""),"10KM OVERALL M")</f>
        <v>10KM OVERALL M</v>
      </c>
      <c r="E663" s="1">
        <f>IFERROR(__xludf.DUMMYFUNCTION("""COMPUTED_VALUE"""),538.0)</f>
        <v>538</v>
      </c>
      <c r="F663" s="1" t="str">
        <f>IFERROR(__xludf.DUMMYFUNCTION("""COMPUTED_VALUE"""),"Male")</f>
        <v>Male</v>
      </c>
      <c r="G663" s="5">
        <f>IFERROR(__xludf.DUMMYFUNCTION("""COMPUTED_VALUE"""),0.0060796655092592595)</f>
        <v>0.006079665509</v>
      </c>
      <c r="H663" s="14">
        <f>IFERROR(__xludf.DUMMYFUNCTION("""COMPUTED_VALUE"""),0.24646185185185185)</f>
        <v>0.2464618519</v>
      </c>
      <c r="I663" s="15">
        <f>IFERROR(__xludf.DUMMYFUNCTION("""COMPUTED_VALUE"""),45949.30725850532)</f>
        <v>45949.30726</v>
      </c>
      <c r="J663" s="15">
        <f>IFERROR(__xludf.DUMMYFUNCTION("""COMPUTED_VALUE"""),45949.06079665347)</f>
        <v>45949.0608</v>
      </c>
      <c r="K663" s="15">
        <f>IFERROR(__xludf.DUMMYFUNCTION("""COMPUTED_VALUE"""),45949.26736356147)</f>
        <v>45949.26736</v>
      </c>
      <c r="L663" s="15">
        <f>IFERROR(__xludf.DUMMYFUNCTION("""COMPUTED_VALUE"""),45949.29889844436)</f>
        <v>45949.2989</v>
      </c>
    </row>
    <row r="664">
      <c r="A664" s="1">
        <f>IFERROR(__xludf.DUMMYFUNCTION("""COMPUTED_VALUE"""),663.0)</f>
        <v>663</v>
      </c>
      <c r="B664" s="1">
        <f>IFERROR(__xludf.DUMMYFUNCTION("""COMPUTED_VALUE"""),10126.0)</f>
        <v>10126</v>
      </c>
      <c r="C664" s="13" t="str">
        <f>IFERROR(__xludf.DUMMYFUNCTION("""COMPUTED_VALUE"""),"B 123 WOK")</f>
        <v>B 123 WOK</v>
      </c>
      <c r="D664" s="2" t="str">
        <f>IFERROR(__xludf.DUMMYFUNCTION("""COMPUTED_VALUE"""),"10KM OVERALL M")</f>
        <v>10KM OVERALL M</v>
      </c>
      <c r="E664" s="1">
        <f>IFERROR(__xludf.DUMMYFUNCTION("""COMPUTED_VALUE"""),539.0)</f>
        <v>539</v>
      </c>
      <c r="F664" s="1" t="str">
        <f>IFERROR(__xludf.DUMMYFUNCTION("""COMPUTED_VALUE"""),"Male")</f>
        <v>Male</v>
      </c>
      <c r="G664" s="5">
        <f>IFERROR(__xludf.DUMMYFUNCTION("""COMPUTED_VALUE"""),0.0060932071759259255)</f>
        <v>0.006093207176</v>
      </c>
      <c r="H664" s="14">
        <f>IFERROR(__xludf.DUMMYFUNCTION("""COMPUTED_VALUE"""),0.24646185185185185)</f>
        <v>0.2464618519</v>
      </c>
      <c r="I664" s="15">
        <f>IFERROR(__xludf.DUMMYFUNCTION("""COMPUTED_VALUE"""),45949.307393926785)</f>
        <v>45949.30739</v>
      </c>
      <c r="J664" s="15">
        <f>IFERROR(__xludf.DUMMYFUNCTION("""COMPUTED_VALUE"""),45949.060932074935)</f>
        <v>45949.06093</v>
      </c>
      <c r="K664" s="15">
        <f>IFERROR(__xludf.DUMMYFUNCTION("""COMPUTED_VALUE"""),45949.26728711648)</f>
        <v>45949.26729</v>
      </c>
      <c r="L664" s="15">
        <f>IFERROR(__xludf.DUMMYFUNCTION("""COMPUTED_VALUE"""),45949.29888112377)</f>
        <v>45949.29888</v>
      </c>
    </row>
    <row r="665">
      <c r="A665" s="1">
        <f>IFERROR(__xludf.DUMMYFUNCTION("""COMPUTED_VALUE"""),664.0)</f>
        <v>664</v>
      </c>
      <c r="B665" s="1">
        <f>IFERROR(__xludf.DUMMYFUNCTION("""COMPUTED_VALUE"""),10364.0)</f>
        <v>10364</v>
      </c>
      <c r="C665" s="13" t="str">
        <f>IFERROR(__xludf.DUMMYFUNCTION("""COMPUTED_VALUE"""),"M. Ade R.")</f>
        <v>M. Ade R.</v>
      </c>
      <c r="D665" s="2" t="str">
        <f>IFERROR(__xludf.DUMMYFUNCTION("""COMPUTED_VALUE"""),"10KM OVERALL M")</f>
        <v>10KM OVERALL M</v>
      </c>
      <c r="E665" s="1">
        <f>IFERROR(__xludf.DUMMYFUNCTION("""COMPUTED_VALUE"""),540.0)</f>
        <v>540</v>
      </c>
      <c r="F665" s="1" t="str">
        <f>IFERROR(__xludf.DUMMYFUNCTION("""COMPUTED_VALUE"""),"Male")</f>
        <v>Male</v>
      </c>
      <c r="G665" s="5">
        <f>IFERROR(__xludf.DUMMYFUNCTION("""COMPUTED_VALUE"""),0.006095326388888889)</f>
        <v>0.006095326389</v>
      </c>
      <c r="H665" s="14">
        <f>IFERROR(__xludf.DUMMYFUNCTION("""COMPUTED_VALUE"""),0.24646185185185185)</f>
        <v>0.2464618519</v>
      </c>
      <c r="I665" s="15">
        <f>IFERROR(__xludf.DUMMYFUNCTION("""COMPUTED_VALUE"""),45949.307415110976)</f>
        <v>45949.30742</v>
      </c>
      <c r="J665" s="15">
        <f>IFERROR(__xludf.DUMMYFUNCTION("""COMPUTED_VALUE"""),45949.060953259126)</f>
        <v>45949.06095</v>
      </c>
      <c r="K665" s="15">
        <f>IFERROR(__xludf.DUMMYFUNCTION("""COMPUTED_VALUE"""),45949.25971771776)</f>
        <v>45949.25972</v>
      </c>
      <c r="L665" s="15">
        <f>IFERROR(__xludf.DUMMYFUNCTION("""COMPUTED_VALUE"""),45949.29627696109)</f>
        <v>45949.29628</v>
      </c>
    </row>
    <row r="666">
      <c r="A666" s="1">
        <f>IFERROR(__xludf.DUMMYFUNCTION("""COMPUTED_VALUE"""),665.0)</f>
        <v>665</v>
      </c>
      <c r="B666" s="1">
        <f>IFERROR(__xludf.DUMMYFUNCTION("""COMPUTED_VALUE"""),10690.0)</f>
        <v>10690</v>
      </c>
      <c r="C666" s="13" t="str">
        <f>IFERROR(__xludf.DUMMYFUNCTION("""COMPUTED_VALUE"""),"Irwandi")</f>
        <v>Irwandi</v>
      </c>
      <c r="D666" s="2" t="str">
        <f>IFERROR(__xludf.DUMMYFUNCTION("""COMPUTED_VALUE"""),"10KM OVERALL M")</f>
        <v>10KM OVERALL M</v>
      </c>
      <c r="E666" s="1">
        <f>IFERROR(__xludf.DUMMYFUNCTION("""COMPUTED_VALUE"""),541.0)</f>
        <v>541</v>
      </c>
      <c r="F666" s="1" t="str">
        <f>IFERROR(__xludf.DUMMYFUNCTION("""COMPUTED_VALUE"""),"Male")</f>
        <v>Male</v>
      </c>
      <c r="G666" s="5">
        <f>IFERROR(__xludf.DUMMYFUNCTION("""COMPUTED_VALUE"""),0.006099805555555555)</f>
        <v>0.006099805556</v>
      </c>
      <c r="H666" s="14">
        <f>IFERROR(__xludf.DUMMYFUNCTION("""COMPUTED_VALUE"""),0.24646185185185185)</f>
        <v>0.2464618519</v>
      </c>
      <c r="I666" s="15">
        <f>IFERROR(__xludf.DUMMYFUNCTION("""COMPUTED_VALUE"""),45949.30745990195)</f>
        <v>45949.30746</v>
      </c>
      <c r="J666" s="15">
        <f>IFERROR(__xludf.DUMMYFUNCTION("""COMPUTED_VALUE"""),45949.0609980501)</f>
        <v>45949.061</v>
      </c>
      <c r="K666" s="15">
        <f>IFERROR(__xludf.DUMMYFUNCTION("""COMPUTED_VALUE"""),45949.257627442545)</f>
        <v>45949.25763</v>
      </c>
      <c r="L666" s="15">
        <f>IFERROR(__xludf.DUMMYFUNCTION("""COMPUTED_VALUE"""),45949.29584634829)</f>
        <v>45949.29585</v>
      </c>
    </row>
    <row r="667">
      <c r="A667" s="1">
        <f>IFERROR(__xludf.DUMMYFUNCTION("""COMPUTED_VALUE"""),666.0)</f>
        <v>666</v>
      </c>
      <c r="B667" s="1">
        <f>IFERROR(__xludf.DUMMYFUNCTION("""COMPUTED_VALUE"""),10019.0)</f>
        <v>10019</v>
      </c>
      <c r="C667" s="13" t="str">
        <f>IFERROR(__xludf.DUMMYFUNCTION("""COMPUTED_VALUE"""),"Reza")</f>
        <v>Reza</v>
      </c>
      <c r="D667" s="2" t="str">
        <f>IFERROR(__xludf.DUMMYFUNCTION("""COMPUTED_VALUE"""),"10KM OVERALL M")</f>
        <v>10KM OVERALL M</v>
      </c>
      <c r="E667" s="1">
        <f>IFERROR(__xludf.DUMMYFUNCTION("""COMPUTED_VALUE"""),542.0)</f>
        <v>542</v>
      </c>
      <c r="F667" s="1" t="str">
        <f>IFERROR(__xludf.DUMMYFUNCTION("""COMPUTED_VALUE"""),"Male")</f>
        <v>Male</v>
      </c>
      <c r="G667" s="5">
        <f>IFERROR(__xludf.DUMMYFUNCTION("""COMPUTED_VALUE"""),0.006105359953703704)</f>
        <v>0.006105359954</v>
      </c>
      <c r="H667" s="14">
        <f>IFERROR(__xludf.DUMMYFUNCTION("""COMPUTED_VALUE"""),0.24646185185185185)</f>
        <v>0.2464618519</v>
      </c>
      <c r="I667" s="15">
        <f>IFERROR(__xludf.DUMMYFUNCTION("""COMPUTED_VALUE"""),45949.30751545347)</f>
        <v>45949.30752</v>
      </c>
      <c r="J667" s="15">
        <f>IFERROR(__xludf.DUMMYFUNCTION("""COMPUTED_VALUE"""),45949.06105360162)</f>
        <v>45949.06105</v>
      </c>
      <c r="K667" s="15">
        <f>IFERROR(__xludf.DUMMYFUNCTION("""COMPUTED_VALUE"""),45949.26308918622)</f>
        <v>45949.26309</v>
      </c>
      <c r="L667" s="15">
        <f>IFERROR(__xludf.DUMMYFUNCTION("""COMPUTED_VALUE"""),45949.29683944727)</f>
        <v>45949.29684</v>
      </c>
    </row>
    <row r="668">
      <c r="A668" s="1">
        <f>IFERROR(__xludf.DUMMYFUNCTION("""COMPUTED_VALUE"""),667.0)</f>
        <v>667</v>
      </c>
      <c r="B668" s="1">
        <f>IFERROR(__xludf.DUMMYFUNCTION("""COMPUTED_VALUE"""),10354.0)</f>
        <v>10354</v>
      </c>
      <c r="C668" s="13" t="str">
        <f>IFERROR(__xludf.DUMMYFUNCTION("""COMPUTED_VALUE"""),"Ikhwan A")</f>
        <v>Ikhwan A</v>
      </c>
      <c r="D668" s="2" t="str">
        <f>IFERROR(__xludf.DUMMYFUNCTION("""COMPUTED_VALUE"""),"10KM OVERALL M")</f>
        <v>10KM OVERALL M</v>
      </c>
      <c r="E668" s="1">
        <f>IFERROR(__xludf.DUMMYFUNCTION("""COMPUTED_VALUE"""),543.0)</f>
        <v>543</v>
      </c>
      <c r="F668" s="1" t="str">
        <f>IFERROR(__xludf.DUMMYFUNCTION("""COMPUTED_VALUE"""),"Male")</f>
        <v>Male</v>
      </c>
      <c r="G668" s="5">
        <f>IFERROR(__xludf.DUMMYFUNCTION("""COMPUTED_VALUE"""),0.006115082175925926)</f>
        <v>0.006115082176</v>
      </c>
      <c r="H668" s="14">
        <f>IFERROR(__xludf.DUMMYFUNCTION("""COMPUTED_VALUE"""),0.24646185185185185)</f>
        <v>0.2464618519</v>
      </c>
      <c r="I668" s="15">
        <f>IFERROR(__xludf.DUMMYFUNCTION("""COMPUTED_VALUE"""),45949.30761267539)</f>
        <v>45949.30761</v>
      </c>
      <c r="J668" s="15">
        <f>IFERROR(__xludf.DUMMYFUNCTION("""COMPUTED_VALUE"""),45949.06115082354)</f>
        <v>45949.06115</v>
      </c>
      <c r="K668" s="15">
        <f>IFERROR(__xludf.DUMMYFUNCTION("""COMPUTED_VALUE"""),45949.26024890455)</f>
        <v>45949.26025</v>
      </c>
      <c r="L668" s="15">
        <f>IFERROR(__xludf.DUMMYFUNCTION("""COMPUTED_VALUE"""),45949.296572632586)</f>
        <v>45949.29657</v>
      </c>
    </row>
    <row r="669">
      <c r="A669" s="1">
        <f>IFERROR(__xludf.DUMMYFUNCTION("""COMPUTED_VALUE"""),668.0)</f>
        <v>668</v>
      </c>
      <c r="B669" s="1">
        <f>IFERROR(__xludf.DUMMYFUNCTION("""COMPUTED_VALUE"""),10519.0)</f>
        <v>10519</v>
      </c>
      <c r="C669" s="13" t="str">
        <f>IFERROR(__xludf.DUMMYFUNCTION("""COMPUTED_VALUE"""),"Eza69")</f>
        <v>Eza69</v>
      </c>
      <c r="D669" s="2" t="str">
        <f>IFERROR(__xludf.DUMMYFUNCTION("""COMPUTED_VALUE"""),"10KM OVERALL M")</f>
        <v>10KM OVERALL M</v>
      </c>
      <c r="E669" s="1">
        <f>IFERROR(__xludf.DUMMYFUNCTION("""COMPUTED_VALUE"""),544.0)</f>
        <v>544</v>
      </c>
      <c r="F669" s="1" t="str">
        <f>IFERROR(__xludf.DUMMYFUNCTION("""COMPUTED_VALUE"""),"Male")</f>
        <v>Male</v>
      </c>
      <c r="G669" s="5">
        <f>IFERROR(__xludf.DUMMYFUNCTION("""COMPUTED_VALUE"""),0.006116123842592592)</f>
        <v>0.006116123843</v>
      </c>
      <c r="H669" s="14">
        <f>IFERROR(__xludf.DUMMYFUNCTION("""COMPUTED_VALUE"""),0.24646185185185185)</f>
        <v>0.2464618519</v>
      </c>
      <c r="I669" s="15">
        <f>IFERROR(__xludf.DUMMYFUNCTION("""COMPUTED_VALUE"""),45949.307623092696)</f>
        <v>45949.30762</v>
      </c>
      <c r="J669" s="15">
        <f>IFERROR(__xludf.DUMMYFUNCTION("""COMPUTED_VALUE"""),45949.06116124085)</f>
        <v>45949.06116</v>
      </c>
      <c r="K669" s="15">
        <f>IFERROR(__xludf.DUMMYFUNCTION("""COMPUTED_VALUE"""),45949.27006493508)</f>
        <v>45949.27006</v>
      </c>
      <c r="L669" s="15">
        <f>IFERROR(__xludf.DUMMYFUNCTION("""COMPUTED_VALUE"""),45949.29904781838)</f>
        <v>45949.29905</v>
      </c>
    </row>
    <row r="670">
      <c r="A670" s="1">
        <f>IFERROR(__xludf.DUMMYFUNCTION("""COMPUTED_VALUE"""),669.0)</f>
        <v>669</v>
      </c>
      <c r="B670" s="1">
        <f>IFERROR(__xludf.DUMMYFUNCTION("""COMPUTED_VALUE"""),10693.0)</f>
        <v>10693</v>
      </c>
      <c r="C670" s="13" t="str">
        <f>IFERROR(__xludf.DUMMYFUNCTION("""COMPUTED_VALUE"""),"SIHOMBING")</f>
        <v>SIHOMBING</v>
      </c>
      <c r="D670" s="2" t="str">
        <f>IFERROR(__xludf.DUMMYFUNCTION("""COMPUTED_VALUE"""),"10KM OVERALL M")</f>
        <v>10KM OVERALL M</v>
      </c>
      <c r="E670" s="1">
        <f>IFERROR(__xludf.DUMMYFUNCTION("""COMPUTED_VALUE"""),545.0)</f>
        <v>545</v>
      </c>
      <c r="F670" s="1" t="str">
        <f>IFERROR(__xludf.DUMMYFUNCTION("""COMPUTED_VALUE"""),"Male")</f>
        <v>Male</v>
      </c>
      <c r="G670" s="5">
        <f>IFERROR(__xludf.DUMMYFUNCTION("""COMPUTED_VALUE"""),0.006117165509259259)</f>
        <v>0.006117165509</v>
      </c>
      <c r="H670" s="14">
        <f>IFERROR(__xludf.DUMMYFUNCTION("""COMPUTED_VALUE"""),0.24646185185185185)</f>
        <v>0.2464618519</v>
      </c>
      <c r="I670" s="15">
        <f>IFERROR(__xludf.DUMMYFUNCTION("""COMPUTED_VALUE"""),45949.30763350695)</f>
        <v>45949.30763</v>
      </c>
      <c r="J670" s="15">
        <f>IFERROR(__xludf.DUMMYFUNCTION("""COMPUTED_VALUE"""),45949.0611716551)</f>
        <v>45949.06117</v>
      </c>
      <c r="K670" s="15">
        <f>IFERROR(__xludf.DUMMYFUNCTION("""COMPUTED_VALUE"""),45949.26117949933)</f>
        <v>45949.26118</v>
      </c>
      <c r="L670" s="15">
        <f>IFERROR(__xludf.DUMMYFUNCTION("""COMPUTED_VALUE"""),45949.29803730938)</f>
        <v>45949.29804</v>
      </c>
    </row>
    <row r="671">
      <c r="A671" s="1">
        <f>IFERROR(__xludf.DUMMYFUNCTION("""COMPUTED_VALUE"""),670.0)</f>
        <v>670</v>
      </c>
      <c r="B671" s="1">
        <f>IFERROR(__xludf.DUMMYFUNCTION("""COMPUTED_VALUE"""),10695.0)</f>
        <v>10695</v>
      </c>
      <c r="C671" s="13" t="str">
        <f>IFERROR(__xludf.DUMMYFUNCTION("""COMPUTED_VALUE"""),"REVINDO M")</f>
        <v>REVINDO M</v>
      </c>
      <c r="D671" s="2" t="str">
        <f>IFERROR(__xludf.DUMMYFUNCTION("""COMPUTED_VALUE"""),"10KM OVERALL M")</f>
        <v>10KM OVERALL M</v>
      </c>
      <c r="E671" s="1">
        <f>IFERROR(__xludf.DUMMYFUNCTION("""COMPUTED_VALUE"""),546.0)</f>
        <v>546</v>
      </c>
      <c r="F671" s="1" t="str">
        <f>IFERROR(__xludf.DUMMYFUNCTION("""COMPUTED_VALUE"""),"Male")</f>
        <v>Male</v>
      </c>
      <c r="G671" s="5">
        <f>IFERROR(__xludf.DUMMYFUNCTION("""COMPUTED_VALUE"""),0.006125498842592592)</f>
        <v>0.006125498843</v>
      </c>
      <c r="H671" s="14">
        <f>IFERROR(__xludf.DUMMYFUNCTION("""COMPUTED_VALUE"""),0.24646185185185185)</f>
        <v>0.2464618519</v>
      </c>
      <c r="I671" s="15">
        <f>IFERROR(__xludf.DUMMYFUNCTION("""COMPUTED_VALUE"""),45949.307716843614)</f>
        <v>45949.30772</v>
      </c>
      <c r="J671" s="15">
        <f>IFERROR(__xludf.DUMMYFUNCTION("""COMPUTED_VALUE"""),45949.061254991764)</f>
        <v>45949.06125</v>
      </c>
      <c r="K671" s="15">
        <f>IFERROR(__xludf.DUMMYFUNCTION("""COMPUTED_VALUE"""),45949.2611204348)</f>
        <v>45949.26112</v>
      </c>
      <c r="L671" s="15">
        <f>IFERROR(__xludf.DUMMYFUNCTION("""COMPUTED_VALUE"""),45949.29802368889)</f>
        <v>45949.29802</v>
      </c>
    </row>
    <row r="672">
      <c r="A672" s="1">
        <f>IFERROR(__xludf.DUMMYFUNCTION("""COMPUTED_VALUE"""),671.0)</f>
        <v>671</v>
      </c>
      <c r="B672" s="1">
        <f>IFERROR(__xludf.DUMMYFUNCTION("""COMPUTED_VALUE"""),12048.0)</f>
        <v>12048</v>
      </c>
      <c r="C672" s="13" t="str">
        <f>IFERROR(__xludf.DUMMYFUNCTION("""COMPUTED_VALUE"""),"R FAHMI")</f>
        <v>R FAHMI</v>
      </c>
      <c r="D672" s="2" t="str">
        <f>IFERROR(__xludf.DUMMYFUNCTION("""COMPUTED_VALUE"""),"10KM MASTER M")</f>
        <v>10KM MASTER M</v>
      </c>
      <c r="E672" s="1">
        <f>IFERROR(__xludf.DUMMYFUNCTION("""COMPUTED_VALUE"""),62.0)</f>
        <v>62</v>
      </c>
      <c r="F672" s="1" t="str">
        <f>IFERROR(__xludf.DUMMYFUNCTION("""COMPUTED_VALUE"""),"Male")</f>
        <v>Male</v>
      </c>
      <c r="G672" s="5">
        <f>IFERROR(__xludf.DUMMYFUNCTION("""COMPUTED_VALUE"""),0.0061387916666666665)</f>
        <v>0.006138791667</v>
      </c>
      <c r="H672" s="14">
        <f>IFERROR(__xludf.DUMMYFUNCTION("""COMPUTED_VALUE"""),0.24646185185185185)</f>
        <v>0.2464618519</v>
      </c>
      <c r="I672" s="15">
        <f>IFERROR(__xludf.DUMMYFUNCTION("""COMPUTED_VALUE"""),45949.30784976687)</f>
        <v>45949.30785</v>
      </c>
      <c r="J672" s="15">
        <f>IFERROR(__xludf.DUMMYFUNCTION("""COMPUTED_VALUE"""),45949.06138791502)</f>
        <v>45949.06139</v>
      </c>
      <c r="K672" s="15">
        <f>IFERROR(__xludf.DUMMYFUNCTION("""COMPUTED_VALUE"""),45949.25932535006)</f>
        <v>45949.25933</v>
      </c>
      <c r="L672" s="15">
        <f>IFERROR(__xludf.DUMMYFUNCTION("""COMPUTED_VALUE"""),45949.297339407975)</f>
        <v>45949.29734</v>
      </c>
    </row>
    <row r="673">
      <c r="A673" s="1">
        <f>IFERROR(__xludf.DUMMYFUNCTION("""COMPUTED_VALUE"""),672.0)</f>
        <v>672</v>
      </c>
      <c r="B673" s="1">
        <f>IFERROR(__xludf.DUMMYFUNCTION("""COMPUTED_VALUE"""),10435.0)</f>
        <v>10435</v>
      </c>
      <c r="C673" s="13" t="str">
        <f>IFERROR(__xludf.DUMMYFUNCTION("""COMPUTED_VALUE"""),"DONY")</f>
        <v>DONY</v>
      </c>
      <c r="D673" s="2" t="str">
        <f>IFERROR(__xludf.DUMMYFUNCTION("""COMPUTED_VALUE"""),"10KM OVERALL M")</f>
        <v>10KM OVERALL M</v>
      </c>
      <c r="E673" s="1">
        <f>IFERROR(__xludf.DUMMYFUNCTION("""COMPUTED_VALUE"""),547.0)</f>
        <v>547</v>
      </c>
      <c r="F673" s="1" t="str">
        <f>IFERROR(__xludf.DUMMYFUNCTION("""COMPUTED_VALUE"""),"Male")</f>
        <v>Male</v>
      </c>
      <c r="G673" s="5">
        <f>IFERROR(__xludf.DUMMYFUNCTION("""COMPUTED_VALUE"""),0.006140430555555556)</f>
        <v>0.006140430556</v>
      </c>
      <c r="H673" s="14">
        <f>IFERROR(__xludf.DUMMYFUNCTION("""COMPUTED_VALUE"""),0.24646185185185185)</f>
        <v>0.2464618519</v>
      </c>
      <c r="I673" s="15">
        <f>IFERROR(__xludf.DUMMYFUNCTION("""COMPUTED_VALUE"""),45949.30786615214)</f>
        <v>45949.30787</v>
      </c>
      <c r="J673" s="15">
        <f>IFERROR(__xludf.DUMMYFUNCTION("""COMPUTED_VALUE"""),45949.06140430029)</f>
        <v>45949.0614</v>
      </c>
      <c r="K673" s="15">
        <f>IFERROR(__xludf.DUMMYFUNCTION("""COMPUTED_VALUE"""),45949.259450298785)</f>
        <v>45949.25945</v>
      </c>
      <c r="L673" s="15">
        <f>IFERROR(__xludf.DUMMYFUNCTION("""COMPUTED_VALUE"""),45949.297269960145)</f>
        <v>45949.29727</v>
      </c>
    </row>
    <row r="674">
      <c r="A674" s="1">
        <f>IFERROR(__xludf.DUMMYFUNCTION("""COMPUTED_VALUE"""),673.0)</f>
        <v>673</v>
      </c>
      <c r="B674" s="1">
        <f>IFERROR(__xludf.DUMMYFUNCTION("""COMPUTED_VALUE"""),10749.0)</f>
        <v>10749</v>
      </c>
      <c r="C674" s="13" t="str">
        <f>IFERROR(__xludf.DUMMYFUNCTION("""COMPUTED_VALUE"""),"REZA ADETYA JAYA SINAGA")</f>
        <v>REZA ADETYA JAYA SINAGA</v>
      </c>
      <c r="D674" s="2" t="str">
        <f>IFERROR(__xludf.DUMMYFUNCTION("""COMPUTED_VALUE"""),"10KM OVERALL M")</f>
        <v>10KM OVERALL M</v>
      </c>
      <c r="E674" s="1">
        <f>IFERROR(__xludf.DUMMYFUNCTION("""COMPUTED_VALUE"""),548.0)</f>
        <v>548</v>
      </c>
      <c r="F674" s="1" t="str">
        <f>IFERROR(__xludf.DUMMYFUNCTION("""COMPUTED_VALUE"""),"Male")</f>
        <v>Male</v>
      </c>
      <c r="G674" s="5">
        <f>IFERROR(__xludf.DUMMYFUNCTION("""COMPUTED_VALUE"""),0.006157096064814815)</f>
        <v>0.006157096065</v>
      </c>
      <c r="H674" s="14">
        <f>IFERROR(__xludf.DUMMYFUNCTION("""COMPUTED_VALUE"""),0.24646185185185185)</f>
        <v>0.2464618519</v>
      </c>
      <c r="I674" s="15">
        <f>IFERROR(__xludf.DUMMYFUNCTION("""COMPUTED_VALUE"""),45949.308032817404)</f>
        <v>45949.30803</v>
      </c>
      <c r="J674" s="15">
        <f>IFERROR(__xludf.DUMMYFUNCTION("""COMPUTED_VALUE"""),45949.061570965554)</f>
        <v>45949.06157</v>
      </c>
      <c r="K674" s="15">
        <f>IFERROR(__xludf.DUMMYFUNCTION("""COMPUTED_VALUE"""),45949.25855446472)</f>
        <v>45949.25855</v>
      </c>
      <c r="L674" s="15">
        <f>IFERROR(__xludf.DUMMYFUNCTION("""COMPUTED_VALUE"""),45949.29774921245)</f>
        <v>45949.29775</v>
      </c>
    </row>
    <row r="675">
      <c r="A675" s="1">
        <f>IFERROR(__xludf.DUMMYFUNCTION("""COMPUTED_VALUE"""),674.0)</f>
        <v>674</v>
      </c>
      <c r="B675" s="1">
        <f>IFERROR(__xludf.DUMMYFUNCTION("""COMPUTED_VALUE"""),10367.0)</f>
        <v>10367</v>
      </c>
      <c r="C675" s="13" t="str">
        <f>IFERROR(__xludf.DUMMYFUNCTION("""COMPUTED_VALUE"""),"FADLI")</f>
        <v>FADLI</v>
      </c>
      <c r="D675" s="2" t="str">
        <f>IFERROR(__xludf.DUMMYFUNCTION("""COMPUTED_VALUE"""),"10KM OVERALL M")</f>
        <v>10KM OVERALL M</v>
      </c>
      <c r="E675" s="1">
        <f>IFERROR(__xludf.DUMMYFUNCTION("""COMPUTED_VALUE"""),549.0)</f>
        <v>549</v>
      </c>
      <c r="F675" s="1" t="str">
        <f>IFERROR(__xludf.DUMMYFUNCTION("""COMPUTED_VALUE"""),"Male")</f>
        <v>Male</v>
      </c>
      <c r="G675" s="5">
        <f>IFERROR(__xludf.DUMMYFUNCTION("""COMPUTED_VALUE"""),0.00617272337962963)</f>
        <v>0.00617272338</v>
      </c>
      <c r="H675" s="14">
        <f>IFERROR(__xludf.DUMMYFUNCTION("""COMPUTED_VALUE"""),0.24646185185185185)</f>
        <v>0.2464618519</v>
      </c>
      <c r="I675" s="15">
        <f>IFERROR(__xludf.DUMMYFUNCTION("""COMPUTED_VALUE"""),45949.308189083626)</f>
        <v>45949.30819</v>
      </c>
      <c r="J675" s="15">
        <f>IFERROR(__xludf.DUMMYFUNCTION("""COMPUTED_VALUE"""),45949.061727231776)</f>
        <v>45949.06173</v>
      </c>
      <c r="K675" s="15">
        <f>IFERROR(__xludf.DUMMYFUNCTION("""COMPUTED_VALUE"""),45949.26061004137)</f>
        <v>45949.26061</v>
      </c>
      <c r="L675" s="15">
        <f>IFERROR(__xludf.DUMMYFUNCTION("""COMPUTED_VALUE"""),45949.298398534105)</f>
        <v>45949.2984</v>
      </c>
    </row>
    <row r="676">
      <c r="A676" s="1">
        <f>IFERROR(__xludf.DUMMYFUNCTION("""COMPUTED_VALUE"""),675.0)</f>
        <v>675</v>
      </c>
      <c r="B676" s="1">
        <f>IFERROR(__xludf.DUMMYFUNCTION("""COMPUTED_VALUE"""),10586.0)</f>
        <v>10586</v>
      </c>
      <c r="C676" s="13" t="str">
        <f>IFERROR(__xludf.DUMMYFUNCTION("""COMPUTED_VALUE"""),"Amir")</f>
        <v>Amir</v>
      </c>
      <c r="D676" s="2" t="str">
        <f>IFERROR(__xludf.DUMMYFUNCTION("""COMPUTED_VALUE"""),"10KM OVERALL M")</f>
        <v>10KM OVERALL M</v>
      </c>
      <c r="E676" s="1">
        <f>IFERROR(__xludf.DUMMYFUNCTION("""COMPUTED_VALUE"""),550.0)</f>
        <v>550</v>
      </c>
      <c r="F676" s="1" t="str">
        <f>IFERROR(__xludf.DUMMYFUNCTION("""COMPUTED_VALUE"""),"Male")</f>
        <v>Male</v>
      </c>
      <c r="G676" s="5">
        <f>IFERROR(__xludf.DUMMYFUNCTION("""COMPUTED_VALUE"""),0.006172724537037037)</f>
        <v>0.006172724537</v>
      </c>
      <c r="H676" s="14">
        <f>IFERROR(__xludf.DUMMYFUNCTION("""COMPUTED_VALUE"""),0.24646185185185185)</f>
        <v>0.2464618519</v>
      </c>
      <c r="I676" s="15">
        <f>IFERROR(__xludf.DUMMYFUNCTION("""COMPUTED_VALUE"""),45949.308189098985)</f>
        <v>45949.30819</v>
      </c>
      <c r="J676" s="15">
        <f>IFERROR(__xludf.DUMMYFUNCTION("""COMPUTED_VALUE"""),45949.061727247135)</f>
        <v>45949.06173</v>
      </c>
      <c r="K676" s="15">
        <f>IFERROR(__xludf.DUMMYFUNCTION("""COMPUTED_VALUE"""),45949.26055799258)</f>
        <v>45949.26056</v>
      </c>
      <c r="L676" s="15">
        <f>IFERROR(__xludf.DUMMYFUNCTION("""COMPUTED_VALUE"""),45949.298401991466)</f>
        <v>45949.2984</v>
      </c>
    </row>
    <row r="677">
      <c r="A677" s="1">
        <f>IFERROR(__xludf.DUMMYFUNCTION("""COMPUTED_VALUE"""),676.0)</f>
        <v>676</v>
      </c>
      <c r="B677" s="1">
        <f>IFERROR(__xludf.DUMMYFUNCTION("""COMPUTED_VALUE"""),10593.0)</f>
        <v>10593</v>
      </c>
      <c r="C677" s="13" t="str">
        <f>IFERROR(__xludf.DUMMYFUNCTION("""COMPUTED_VALUE"""),"Hakin Nazli")</f>
        <v>Hakin Nazli</v>
      </c>
      <c r="D677" s="2" t="str">
        <f>IFERROR(__xludf.DUMMYFUNCTION("""COMPUTED_VALUE"""),"10KM OVERALL M")</f>
        <v>10KM OVERALL M</v>
      </c>
      <c r="E677" s="1">
        <f>IFERROR(__xludf.DUMMYFUNCTION("""COMPUTED_VALUE"""),551.0)</f>
        <v>551</v>
      </c>
      <c r="F677" s="1" t="str">
        <f>IFERROR(__xludf.DUMMYFUNCTION("""COMPUTED_VALUE"""),"Male")</f>
        <v>Male</v>
      </c>
      <c r="G677" s="5">
        <f>IFERROR(__xludf.DUMMYFUNCTION("""COMPUTED_VALUE"""),0.006177582175925926)</f>
        <v>0.006177582176</v>
      </c>
      <c r="H677" s="14">
        <f>IFERROR(__xludf.DUMMYFUNCTION("""COMPUTED_VALUE"""),0.24646185185185185)</f>
        <v>0.2464618519</v>
      </c>
      <c r="I677" s="15">
        <f>IFERROR(__xludf.DUMMYFUNCTION("""COMPUTED_VALUE"""),45949.30823767715)</f>
        <v>45949.30824</v>
      </c>
      <c r="J677" s="15">
        <f>IFERROR(__xludf.DUMMYFUNCTION("""COMPUTED_VALUE"""),45949.0617758253)</f>
        <v>45949.06178</v>
      </c>
      <c r="K677" s="15">
        <f>IFERROR(__xludf.DUMMYFUNCTION("""COMPUTED_VALUE"""),45949.26217952787)</f>
        <v>45949.26218</v>
      </c>
      <c r="L677" s="15">
        <f>IFERROR(__xludf.DUMMYFUNCTION("""COMPUTED_VALUE"""),45949.29784287971)</f>
        <v>45949.29784</v>
      </c>
    </row>
    <row r="678">
      <c r="A678" s="1">
        <f>IFERROR(__xludf.DUMMYFUNCTION("""COMPUTED_VALUE"""),677.0)</f>
        <v>677</v>
      </c>
      <c r="B678" s="1">
        <f>IFERROR(__xludf.DUMMYFUNCTION("""COMPUTED_VALUE"""),10782.0)</f>
        <v>10782</v>
      </c>
      <c r="C678" s="13" t="str">
        <f>IFERROR(__xludf.DUMMYFUNCTION("""COMPUTED_VALUE"""),"WAKAPOLDA")</f>
        <v>WAKAPOLDA</v>
      </c>
      <c r="D678" s="2" t="str">
        <f>IFERROR(__xludf.DUMMYFUNCTION("""COMPUTED_VALUE"""),"10KM OVERALL M")</f>
        <v>10KM OVERALL M</v>
      </c>
      <c r="E678" s="1">
        <f>IFERROR(__xludf.DUMMYFUNCTION("""COMPUTED_VALUE"""),552.0)</f>
        <v>552</v>
      </c>
      <c r="F678" s="1" t="str">
        <f>IFERROR(__xludf.DUMMYFUNCTION("""COMPUTED_VALUE"""),"Male")</f>
        <v>Male</v>
      </c>
      <c r="G678" s="5">
        <f>IFERROR(__xludf.DUMMYFUNCTION("""COMPUTED_VALUE"""),0.0061824432870370375)</f>
        <v>0.006182443287</v>
      </c>
      <c r="H678" s="14">
        <f>IFERROR(__xludf.DUMMYFUNCTION("""COMPUTED_VALUE"""),0.24646185185185185)</f>
        <v>0.2464618519</v>
      </c>
      <c r="I678" s="15">
        <f>IFERROR(__xludf.DUMMYFUNCTION("""COMPUTED_VALUE"""),45949.308286280284)</f>
        <v>45949.30829</v>
      </c>
      <c r="J678" s="15">
        <f>IFERROR(__xludf.DUMMYFUNCTION("""COMPUTED_VALUE"""),45949.061824428434)</f>
        <v>45949.06182</v>
      </c>
      <c r="K678" s="15">
        <f>IFERROR(__xludf.DUMMYFUNCTION("""COMPUTED_VALUE"""),45949.26196419662)</f>
        <v>45949.26196</v>
      </c>
      <c r="L678" s="15">
        <f>IFERROR(__xludf.DUMMYFUNCTION("""COMPUTED_VALUE"""),45949.29784642071)</f>
        <v>45949.29785</v>
      </c>
    </row>
    <row r="679">
      <c r="A679" s="1">
        <f>IFERROR(__xludf.DUMMYFUNCTION("""COMPUTED_VALUE"""),678.0)</f>
        <v>678</v>
      </c>
      <c r="B679" s="1">
        <f>IFERROR(__xludf.DUMMYFUNCTION("""COMPUTED_VALUE"""),10624.0)</f>
        <v>10624</v>
      </c>
      <c r="C679" s="13" t="str">
        <f>IFERROR(__xludf.DUMMYFUNCTION("""COMPUTED_VALUE"""),"Nur Hikmah Risqi Khasanah")</f>
        <v>Nur Hikmah Risqi Khasanah</v>
      </c>
      <c r="D679" s="2" t="str">
        <f>IFERROR(__xludf.DUMMYFUNCTION("""COMPUTED_VALUE"""),"10KM OVERALL F")</f>
        <v>10KM OVERALL F</v>
      </c>
      <c r="E679" s="1">
        <f>IFERROR(__xludf.DUMMYFUNCTION("""COMPUTED_VALUE"""),50.0)</f>
        <v>50</v>
      </c>
      <c r="F679" s="1" t="str">
        <f>IFERROR(__xludf.DUMMYFUNCTION("""COMPUTED_VALUE"""),"Female")</f>
        <v>Female</v>
      </c>
      <c r="G679" s="5">
        <f>IFERROR(__xludf.DUMMYFUNCTION("""COMPUTED_VALUE"""),0.006197431712962964)</f>
        <v>0.006197431713</v>
      </c>
      <c r="H679" s="14">
        <f>IFERROR(__xludf.DUMMYFUNCTION("""COMPUTED_VALUE"""),0.24646185185185185)</f>
        <v>0.2464618519</v>
      </c>
      <c r="I679" s="15">
        <f>IFERROR(__xludf.DUMMYFUNCTION("""COMPUTED_VALUE"""),45949.308436164254)</f>
        <v>45949.30844</v>
      </c>
      <c r="J679" s="15">
        <f>IFERROR(__xludf.DUMMYFUNCTION("""COMPUTED_VALUE"""),45949.061974312404)</f>
        <v>45949.06197</v>
      </c>
      <c r="K679" s="15">
        <f>IFERROR(__xludf.DUMMYFUNCTION("""COMPUTED_VALUE"""),45949.26486702976)</f>
        <v>45949.26487</v>
      </c>
      <c r="L679" s="15">
        <f>IFERROR(__xludf.DUMMYFUNCTION("""COMPUTED_VALUE"""),45949.29913801582)</f>
        <v>45949.29914</v>
      </c>
    </row>
    <row r="680">
      <c r="A680" s="1">
        <f>IFERROR(__xludf.DUMMYFUNCTION("""COMPUTED_VALUE"""),679.0)</f>
        <v>679</v>
      </c>
      <c r="B680" s="1">
        <f>IFERROR(__xludf.DUMMYFUNCTION("""COMPUTED_VALUE"""),12049.0)</f>
        <v>12049</v>
      </c>
      <c r="C680" s="13" t="str">
        <f>IFERROR(__xludf.DUMMYFUNCTION("""COMPUTED_VALUE"""),"Ida Chilla")</f>
        <v>Ida Chilla</v>
      </c>
      <c r="D680" s="2" t="str">
        <f>IFERROR(__xludf.DUMMYFUNCTION("""COMPUTED_VALUE"""),"10KM MASTER F")</f>
        <v>10KM MASTER F</v>
      </c>
      <c r="E680" s="1">
        <f>IFERROR(__xludf.DUMMYFUNCTION("""COMPUTED_VALUE"""),15.0)</f>
        <v>15</v>
      </c>
      <c r="F680" s="1" t="str">
        <f>IFERROR(__xludf.DUMMYFUNCTION("""COMPUTED_VALUE"""),"Female")</f>
        <v>Female</v>
      </c>
      <c r="G680" s="5">
        <f>IFERROR(__xludf.DUMMYFUNCTION("""COMPUTED_VALUE"""),0.0061984155092592585)</f>
        <v>0.006198415509</v>
      </c>
      <c r="H680" s="14">
        <f>IFERROR(__xludf.DUMMYFUNCTION("""COMPUTED_VALUE"""),0.24646185185185185)</f>
        <v>0.2464618519</v>
      </c>
      <c r="I680" s="15">
        <f>IFERROR(__xludf.DUMMYFUNCTION("""COMPUTED_VALUE"""),45949.308446007315)</f>
        <v>45949.30845</v>
      </c>
      <c r="J680" s="15">
        <f>IFERROR(__xludf.DUMMYFUNCTION("""COMPUTED_VALUE"""),45949.061984155465)</f>
        <v>45949.06198</v>
      </c>
      <c r="K680" s="15">
        <f>IFERROR(__xludf.DUMMYFUNCTION("""COMPUTED_VALUE"""),45949.258332300094)</f>
        <v>45949.25833</v>
      </c>
      <c r="L680" s="15">
        <f>IFERROR(__xludf.DUMMYFUNCTION("""COMPUTED_VALUE"""),45949.29706862724)</f>
        <v>45949.29707</v>
      </c>
    </row>
    <row r="681">
      <c r="A681" s="1">
        <f>IFERROR(__xludf.DUMMYFUNCTION("""COMPUTED_VALUE"""),680.0)</f>
        <v>680</v>
      </c>
      <c r="B681" s="1">
        <f>IFERROR(__xludf.DUMMYFUNCTION("""COMPUTED_VALUE"""),10222.0)</f>
        <v>10222</v>
      </c>
      <c r="C681" s="13" t="str">
        <f>IFERROR(__xludf.DUMMYFUNCTION("""COMPUTED_VALUE"""),"Samiaji Santoso")</f>
        <v>Samiaji Santoso</v>
      </c>
      <c r="D681" s="2" t="str">
        <f>IFERROR(__xludf.DUMMYFUNCTION("""COMPUTED_VALUE"""),"10KM OVERALL M")</f>
        <v>10KM OVERALL M</v>
      </c>
      <c r="E681" s="1">
        <f>IFERROR(__xludf.DUMMYFUNCTION("""COMPUTED_VALUE"""),553.0)</f>
        <v>553</v>
      </c>
      <c r="F681" s="1" t="str">
        <f>IFERROR(__xludf.DUMMYFUNCTION("""COMPUTED_VALUE"""),"Male")</f>
        <v>Male</v>
      </c>
      <c r="G681" s="5">
        <f>IFERROR(__xludf.DUMMYFUNCTION("""COMPUTED_VALUE"""),0.006213774305555556)</f>
        <v>0.006213774306</v>
      </c>
      <c r="H681" s="14">
        <f>IFERROR(__xludf.DUMMYFUNCTION("""COMPUTED_VALUE"""),0.24646185185185185)</f>
        <v>0.2464618519</v>
      </c>
      <c r="I681" s="15">
        <f>IFERROR(__xludf.DUMMYFUNCTION("""COMPUTED_VALUE"""),45949.30859959679)</f>
        <v>45949.3086</v>
      </c>
      <c r="J681" s="15">
        <f>IFERROR(__xludf.DUMMYFUNCTION("""COMPUTED_VALUE"""),45949.06213774494)</f>
        <v>45949.06214</v>
      </c>
      <c r="K681" s="15">
        <f>IFERROR(__xludf.DUMMYFUNCTION("""COMPUTED_VALUE"""),45949.25881581085)</f>
        <v>45949.25882</v>
      </c>
      <c r="L681" s="15">
        <f>IFERROR(__xludf.DUMMYFUNCTION("""COMPUTED_VALUE"""),45949.29782210578)</f>
        <v>45949.29782</v>
      </c>
    </row>
    <row r="682">
      <c r="A682" s="1">
        <f>IFERROR(__xludf.DUMMYFUNCTION("""COMPUTED_VALUE"""),681.0)</f>
        <v>681</v>
      </c>
      <c r="B682" s="1">
        <f>IFERROR(__xludf.DUMMYFUNCTION("""COMPUTED_VALUE"""),12043.0)</f>
        <v>12043</v>
      </c>
      <c r="C682" s="13" t="str">
        <f>IFERROR(__xludf.DUMMYFUNCTION("""COMPUTED_VALUE"""),"Nining K")</f>
        <v>Nining K</v>
      </c>
      <c r="D682" s="2" t="str">
        <f>IFERROR(__xludf.DUMMYFUNCTION("""COMPUTED_VALUE"""),"10KM MASTER F")</f>
        <v>10KM MASTER F</v>
      </c>
      <c r="E682" s="1">
        <f>IFERROR(__xludf.DUMMYFUNCTION("""COMPUTED_VALUE"""),16.0)</f>
        <v>16</v>
      </c>
      <c r="F682" s="1" t="str">
        <f>IFERROR(__xludf.DUMMYFUNCTION("""COMPUTED_VALUE"""),"Female")</f>
        <v>Female</v>
      </c>
      <c r="G682" s="5">
        <f>IFERROR(__xludf.DUMMYFUNCTION("""COMPUTED_VALUE"""),0.006222716435185184)</f>
        <v>0.006222716435</v>
      </c>
      <c r="H682" s="14">
        <f>IFERROR(__xludf.DUMMYFUNCTION("""COMPUTED_VALUE"""),0.24646185185185185)</f>
        <v>0.2464618519</v>
      </c>
      <c r="I682" s="15">
        <f>IFERROR(__xludf.DUMMYFUNCTION("""COMPUTED_VALUE"""),45949.30868901379)</f>
        <v>45949.30869</v>
      </c>
      <c r="J682" s="15">
        <f>IFERROR(__xludf.DUMMYFUNCTION("""COMPUTED_VALUE"""),45949.06222716194)</f>
        <v>45949.06223</v>
      </c>
      <c r="K682" s="15">
        <f>IFERROR(__xludf.DUMMYFUNCTION("""COMPUTED_VALUE"""),45949.26036007699)</f>
        <v>45949.26036</v>
      </c>
      <c r="L682" s="15">
        <f>IFERROR(__xludf.DUMMYFUNCTION("""COMPUTED_VALUE"""),45949.29793317142)</f>
        <v>45949.29793</v>
      </c>
    </row>
    <row r="683">
      <c r="A683" s="1">
        <f>IFERROR(__xludf.DUMMYFUNCTION("""COMPUTED_VALUE"""),682.0)</f>
        <v>682</v>
      </c>
      <c r="B683" s="1">
        <f>IFERROR(__xludf.DUMMYFUNCTION("""COMPUTED_VALUE"""),10165.0)</f>
        <v>10165</v>
      </c>
      <c r="C683" s="13" t="str">
        <f>IFERROR(__xludf.DUMMYFUNCTION("""COMPUTED_VALUE"""),"Budimansyah")</f>
        <v>Budimansyah</v>
      </c>
      <c r="D683" s="2" t="str">
        <f>IFERROR(__xludf.DUMMYFUNCTION("""COMPUTED_VALUE"""),"10KM OVERALL M")</f>
        <v>10KM OVERALL M</v>
      </c>
      <c r="E683" s="1">
        <f>IFERROR(__xludf.DUMMYFUNCTION("""COMPUTED_VALUE"""),554.0)</f>
        <v>554</v>
      </c>
      <c r="F683" s="1" t="str">
        <f>IFERROR(__xludf.DUMMYFUNCTION("""COMPUTED_VALUE"""),"Male")</f>
        <v>Male</v>
      </c>
      <c r="G683" s="5">
        <f>IFERROR(__xludf.DUMMYFUNCTION("""COMPUTED_VALUE"""),0.0062918125000000005)</f>
        <v>0.0062918125</v>
      </c>
      <c r="H683" s="14">
        <f>IFERROR(__xludf.DUMMYFUNCTION("""COMPUTED_VALUE"""),0.24646185185185185)</f>
        <v>0.2464618519</v>
      </c>
      <c r="I683" s="15">
        <f>IFERROR(__xludf.DUMMYFUNCTION("""COMPUTED_VALUE"""),45949.30937997774)</f>
        <v>45949.30938</v>
      </c>
      <c r="J683" s="15">
        <f>IFERROR(__xludf.DUMMYFUNCTION("""COMPUTED_VALUE"""),45949.06291812589)</f>
        <v>45949.06292</v>
      </c>
      <c r="K683" s="15">
        <f>IFERROR(__xludf.DUMMYFUNCTION("""COMPUTED_VALUE"""),45949.25970030921)</f>
        <v>45949.2597</v>
      </c>
      <c r="L683" s="15">
        <f>IFERROR(__xludf.DUMMYFUNCTION("""COMPUTED_VALUE"""),45949.298551379616)</f>
        <v>45949.29855</v>
      </c>
    </row>
    <row r="684">
      <c r="A684" s="1">
        <f>IFERROR(__xludf.DUMMYFUNCTION("""COMPUTED_VALUE"""),683.0)</f>
        <v>683</v>
      </c>
      <c r="B684" s="1">
        <f>IFERROR(__xludf.DUMMYFUNCTION("""COMPUTED_VALUE"""),10673.0)</f>
        <v>10673</v>
      </c>
      <c r="C684" s="13" t="str">
        <f>IFERROR(__xludf.DUMMYFUNCTION("""COMPUTED_VALUE"""),"ANGGA YOSI")</f>
        <v>ANGGA YOSI</v>
      </c>
      <c r="D684" s="2" t="str">
        <f>IFERROR(__xludf.DUMMYFUNCTION("""COMPUTED_VALUE"""),"10KM OVERALL M")</f>
        <v>10KM OVERALL M</v>
      </c>
      <c r="E684" s="1">
        <f>IFERROR(__xludf.DUMMYFUNCTION("""COMPUTED_VALUE"""),555.0)</f>
        <v>555</v>
      </c>
      <c r="F684" s="1" t="str">
        <f>IFERROR(__xludf.DUMMYFUNCTION("""COMPUTED_VALUE"""),"Male")</f>
        <v>Male</v>
      </c>
      <c r="G684" s="5">
        <f>IFERROR(__xludf.DUMMYFUNCTION("""COMPUTED_VALUE"""),0.006299457175925925)</f>
        <v>0.006299457176</v>
      </c>
      <c r="H684" s="14">
        <f>IFERROR(__xludf.DUMMYFUNCTION("""COMPUTED_VALUE"""),0.24646185185185185)</f>
        <v>0.2464618519</v>
      </c>
      <c r="I684" s="15">
        <f>IFERROR(__xludf.DUMMYFUNCTION("""COMPUTED_VALUE"""),45949.309456424686)</f>
        <v>45949.30946</v>
      </c>
      <c r="J684" s="15">
        <f>IFERROR(__xludf.DUMMYFUNCTION("""COMPUTED_VALUE"""),45949.062994572836)</f>
        <v>45949.06299</v>
      </c>
      <c r="K684" s="15">
        <f>IFERROR(__xludf.DUMMYFUNCTION("""COMPUTED_VALUE"""),45949.26195724009)</f>
        <v>45949.26196</v>
      </c>
      <c r="L684" s="15">
        <f>IFERROR(__xludf.DUMMYFUNCTION("""COMPUTED_VALUE"""),45949.29966639292)</f>
        <v>45949.29967</v>
      </c>
    </row>
    <row r="685">
      <c r="A685" s="1">
        <f>IFERROR(__xludf.DUMMYFUNCTION("""COMPUTED_VALUE"""),684.0)</f>
        <v>684</v>
      </c>
      <c r="B685" s="1">
        <f>IFERROR(__xludf.DUMMYFUNCTION("""COMPUTED_VALUE"""),10451.0)</f>
        <v>10451</v>
      </c>
      <c r="C685" s="13" t="str">
        <f>IFERROR(__xludf.DUMMYFUNCTION("""COMPUTED_VALUE"""),"awan")</f>
        <v>awan</v>
      </c>
      <c r="D685" s="2" t="str">
        <f>IFERROR(__xludf.DUMMYFUNCTION("""COMPUTED_VALUE"""),"10KM OVERALL M")</f>
        <v>10KM OVERALL M</v>
      </c>
      <c r="E685" s="1">
        <f>IFERROR(__xludf.DUMMYFUNCTION("""COMPUTED_VALUE"""),556.0)</f>
        <v>556</v>
      </c>
      <c r="F685" s="1" t="str">
        <f>IFERROR(__xludf.DUMMYFUNCTION("""COMPUTED_VALUE"""),"Male")</f>
        <v>Male</v>
      </c>
      <c r="G685" s="5">
        <f>IFERROR(__xludf.DUMMYFUNCTION("""COMPUTED_VALUE"""),0.006351928240740741)</f>
        <v>0.006351928241</v>
      </c>
      <c r="H685" s="14">
        <f>IFERROR(__xludf.DUMMYFUNCTION("""COMPUTED_VALUE"""),0.24646185185185185)</f>
        <v>0.2464618519</v>
      </c>
      <c r="I685" s="15">
        <f>IFERROR(__xludf.DUMMYFUNCTION("""COMPUTED_VALUE"""),45949.309981138096)</f>
        <v>45949.30998</v>
      </c>
      <c r="J685" s="15">
        <f>IFERROR(__xludf.DUMMYFUNCTION("""COMPUTED_VALUE"""),45949.06351928625)</f>
        <v>45949.06352</v>
      </c>
      <c r="K685" s="15">
        <f>IFERROR(__xludf.DUMMYFUNCTION("""COMPUTED_VALUE"""),45949.25989128065)</f>
        <v>45949.25989</v>
      </c>
      <c r="L685" s="15">
        <f>IFERROR(__xludf.DUMMYFUNCTION("""COMPUTED_VALUE"""),45949.29837418129)</f>
        <v>45949.29837</v>
      </c>
    </row>
    <row r="686">
      <c r="A686" s="1">
        <f>IFERROR(__xludf.DUMMYFUNCTION("""COMPUTED_VALUE"""),685.0)</f>
        <v>685</v>
      </c>
      <c r="B686" s="1">
        <f>IFERROR(__xludf.DUMMYFUNCTION("""COMPUTED_VALUE"""),12042.0)</f>
        <v>12042</v>
      </c>
      <c r="C686" s="13" t="str">
        <f>IFERROR(__xludf.DUMMYFUNCTION("""COMPUTED_VALUE"""),"Dian Keren")</f>
        <v>Dian Keren</v>
      </c>
      <c r="D686" s="2" t="str">
        <f>IFERROR(__xludf.DUMMYFUNCTION("""COMPUTED_VALUE"""),"10KM MASTER M")</f>
        <v>10KM MASTER M</v>
      </c>
      <c r="E686" s="1">
        <f>IFERROR(__xludf.DUMMYFUNCTION("""COMPUTED_VALUE"""),63.0)</f>
        <v>63</v>
      </c>
      <c r="F686" s="1" t="str">
        <f>IFERROR(__xludf.DUMMYFUNCTION("""COMPUTED_VALUE"""),"Male")</f>
        <v>Male</v>
      </c>
      <c r="G686" s="5">
        <f>IFERROR(__xludf.DUMMYFUNCTION("""COMPUTED_VALUE"""),0.006365076388888889)</f>
        <v>0.006365076389</v>
      </c>
      <c r="H686" s="14">
        <f>IFERROR(__xludf.DUMMYFUNCTION("""COMPUTED_VALUE"""),0.24646185185185185)</f>
        <v>0.2464618519</v>
      </c>
      <c r="I686" s="15">
        <f>IFERROR(__xludf.DUMMYFUNCTION("""COMPUTED_VALUE"""),45949.310112616695)</f>
        <v>45949.31011</v>
      </c>
      <c r="J686" s="15">
        <f>IFERROR(__xludf.DUMMYFUNCTION("""COMPUTED_VALUE"""),45949.063650764845)</f>
        <v>45949.06365</v>
      </c>
      <c r="K686" s="15">
        <f>IFERROR(__xludf.DUMMYFUNCTION("""COMPUTED_VALUE"""),45949.25971076813)</f>
        <v>45949.25971</v>
      </c>
      <c r="L686" s="15">
        <f>IFERROR(__xludf.DUMMYFUNCTION("""COMPUTED_VALUE"""),45949.29925688823)</f>
        <v>45949.29926</v>
      </c>
    </row>
    <row r="687">
      <c r="A687" s="1">
        <f>IFERROR(__xludf.DUMMYFUNCTION("""COMPUTED_VALUE"""),686.0)</f>
        <v>686</v>
      </c>
      <c r="B687" s="1">
        <f>IFERROR(__xludf.DUMMYFUNCTION("""COMPUTED_VALUE"""),10227.0)</f>
        <v>10227</v>
      </c>
      <c r="C687" s="13" t="str">
        <f>IFERROR(__xludf.DUMMYFUNCTION("""COMPUTED_VALUE"""),"RIOWICAK")</f>
        <v>RIOWICAK</v>
      </c>
      <c r="D687" s="2" t="str">
        <f>IFERROR(__xludf.DUMMYFUNCTION("""COMPUTED_VALUE"""),"10KM OVERALL M")</f>
        <v>10KM OVERALL M</v>
      </c>
      <c r="E687" s="1">
        <f>IFERROR(__xludf.DUMMYFUNCTION("""COMPUTED_VALUE"""),557.0)</f>
        <v>557</v>
      </c>
      <c r="F687" s="1" t="str">
        <f>IFERROR(__xludf.DUMMYFUNCTION("""COMPUTED_VALUE"""),"Male")</f>
        <v>Male</v>
      </c>
      <c r="G687" s="5">
        <f>IFERROR(__xludf.DUMMYFUNCTION("""COMPUTED_VALUE"""),0.006375499999999999)</f>
        <v>0.0063755</v>
      </c>
      <c r="H687" s="14">
        <f>IFERROR(__xludf.DUMMYFUNCTION("""COMPUTED_VALUE"""),0.24646185185185185)</f>
        <v>0.2464618519</v>
      </c>
      <c r="I687" s="15">
        <f>IFERROR(__xludf.DUMMYFUNCTION("""COMPUTED_VALUE"""),45949.310216848695)</f>
        <v>45949.31022</v>
      </c>
      <c r="J687" s="15">
        <f>IFERROR(__xludf.DUMMYFUNCTION("""COMPUTED_VALUE"""),45949.063754996845)</f>
        <v>45949.06375</v>
      </c>
      <c r="K687" s="15">
        <f>IFERROR(__xludf.DUMMYFUNCTION("""COMPUTED_VALUE"""),45949.261821831475)</f>
        <v>45949.26182</v>
      </c>
      <c r="L687" s="15">
        <f>IFERROR(__xludf.DUMMYFUNCTION("""COMPUTED_VALUE"""),45949.2994470911)</f>
        <v>45949.29945</v>
      </c>
    </row>
    <row r="688">
      <c r="A688" s="1">
        <f>IFERROR(__xludf.DUMMYFUNCTION("""COMPUTED_VALUE"""),687.0)</f>
        <v>687</v>
      </c>
      <c r="B688" s="1">
        <f>IFERROR(__xludf.DUMMYFUNCTION("""COMPUTED_VALUE"""),10143.0)</f>
        <v>10143</v>
      </c>
      <c r="C688" s="13" t="str">
        <f>IFERROR(__xludf.DUMMYFUNCTION("""COMPUTED_VALUE"""),"Dina")</f>
        <v>Dina</v>
      </c>
      <c r="D688" s="2" t="str">
        <f>IFERROR(__xludf.DUMMYFUNCTION("""COMPUTED_VALUE"""),"10KM OVERALL F")</f>
        <v>10KM OVERALL F</v>
      </c>
      <c r="E688" s="1">
        <f>IFERROR(__xludf.DUMMYFUNCTION("""COMPUTED_VALUE"""),51.0)</f>
        <v>51</v>
      </c>
      <c r="F688" s="1" t="str">
        <f>IFERROR(__xludf.DUMMYFUNCTION("""COMPUTED_VALUE"""),"Female")</f>
        <v>Female</v>
      </c>
      <c r="G688" s="5">
        <f>IFERROR(__xludf.DUMMYFUNCTION("""COMPUTED_VALUE"""),0.0063814652777777784)</f>
        <v>0.006381465278</v>
      </c>
      <c r="H688" s="14">
        <f>IFERROR(__xludf.DUMMYFUNCTION("""COMPUTED_VALUE"""),0.24646185185185185)</f>
        <v>0.2464618519</v>
      </c>
      <c r="I688" s="15">
        <f>IFERROR(__xludf.DUMMYFUNCTION("""COMPUTED_VALUE"""),45949.310276505596)</f>
        <v>45949.31028</v>
      </c>
      <c r="J688" s="15">
        <f>IFERROR(__xludf.DUMMYFUNCTION("""COMPUTED_VALUE"""),45949.063814653746)</f>
        <v>45949.06381</v>
      </c>
      <c r="K688" s="15">
        <f>IFERROR(__xludf.DUMMYFUNCTION("""COMPUTED_VALUE"""),45949.262505923296)</f>
        <v>45949.26251</v>
      </c>
      <c r="L688" s="15">
        <f>IFERROR(__xludf.DUMMYFUNCTION("""COMPUTED_VALUE"""),45949.298826092745)</f>
        <v>45949.29883</v>
      </c>
    </row>
    <row r="689">
      <c r="A689" s="1">
        <f>IFERROR(__xludf.DUMMYFUNCTION("""COMPUTED_VALUE"""),688.0)</f>
        <v>688</v>
      </c>
      <c r="B689" s="1">
        <f>IFERROR(__xludf.DUMMYFUNCTION("""COMPUTED_VALUE"""),12022.0)</f>
        <v>12022</v>
      </c>
      <c r="C689" s="13" t="str">
        <f>IFERROR(__xludf.DUMMYFUNCTION("""COMPUTED_VALUE"""),"tasliem")</f>
        <v>tasliem</v>
      </c>
      <c r="D689" s="2" t="str">
        <f>IFERROR(__xludf.DUMMYFUNCTION("""COMPUTED_VALUE"""),"10KM MASTER M")</f>
        <v>10KM MASTER M</v>
      </c>
      <c r="E689" s="1">
        <f>IFERROR(__xludf.DUMMYFUNCTION("""COMPUTED_VALUE"""),64.0)</f>
        <v>64</v>
      </c>
      <c r="F689" s="1" t="str">
        <f>IFERROR(__xludf.DUMMYFUNCTION("""COMPUTED_VALUE"""),"Male")</f>
        <v>Male</v>
      </c>
      <c r="G689" s="5">
        <f>IFERROR(__xludf.DUMMYFUNCTION("""COMPUTED_VALUE"""),0.0063831782407407405)</f>
        <v>0.006383178241</v>
      </c>
      <c r="H689" s="14">
        <f>IFERROR(__xludf.DUMMYFUNCTION("""COMPUTED_VALUE"""),0.24646185185185185)</f>
        <v>0.2464618519</v>
      </c>
      <c r="I689" s="15">
        <f>IFERROR(__xludf.DUMMYFUNCTION("""COMPUTED_VALUE"""),45949.31029363665)</f>
        <v>45949.31029</v>
      </c>
      <c r="J689" s="15">
        <f>IFERROR(__xludf.DUMMYFUNCTION("""COMPUTED_VALUE"""),45949.0638317848)</f>
        <v>45949.06383</v>
      </c>
      <c r="K689" s="15">
        <f>IFERROR(__xludf.DUMMYFUNCTION("""COMPUTED_VALUE"""),45949.262510314016)</f>
        <v>45949.26251</v>
      </c>
      <c r="L689" s="15">
        <f>IFERROR(__xludf.DUMMYFUNCTION("""COMPUTED_VALUE"""),45949.29884638949)</f>
        <v>45949.29885</v>
      </c>
    </row>
    <row r="690">
      <c r="A690" s="1">
        <f>IFERROR(__xludf.DUMMYFUNCTION("""COMPUTED_VALUE"""),689.0)</f>
        <v>689</v>
      </c>
      <c r="B690" s="1">
        <f>IFERROR(__xludf.DUMMYFUNCTION("""COMPUTED_VALUE"""),10497.0)</f>
        <v>10497</v>
      </c>
      <c r="C690" s="13" t="str">
        <f>IFERROR(__xludf.DUMMYFUNCTION("""COMPUTED_VALUE"""),"Rama Diandra")</f>
        <v>Rama Diandra</v>
      </c>
      <c r="D690" s="2" t="str">
        <f>IFERROR(__xludf.DUMMYFUNCTION("""COMPUTED_VALUE"""),"10KM OVERALL M")</f>
        <v>10KM OVERALL M</v>
      </c>
      <c r="E690" s="1">
        <f>IFERROR(__xludf.DUMMYFUNCTION("""COMPUTED_VALUE"""),558.0)</f>
        <v>558</v>
      </c>
      <c r="F690" s="1" t="str">
        <f>IFERROR(__xludf.DUMMYFUNCTION("""COMPUTED_VALUE"""),"Male")</f>
        <v>Male</v>
      </c>
      <c r="G690" s="5">
        <f>IFERROR(__xludf.DUMMYFUNCTION("""COMPUTED_VALUE"""),0.0063831782407407405)</f>
        <v>0.006383178241</v>
      </c>
      <c r="H690" s="14">
        <f>IFERROR(__xludf.DUMMYFUNCTION("""COMPUTED_VALUE"""),0.24646185185185185)</f>
        <v>0.2464618519</v>
      </c>
      <c r="I690" s="15">
        <f>IFERROR(__xludf.DUMMYFUNCTION("""COMPUTED_VALUE"""),45949.31029363665)</f>
        <v>45949.31029</v>
      </c>
      <c r="J690" s="15">
        <f>IFERROR(__xludf.DUMMYFUNCTION("""COMPUTED_VALUE"""),45949.0638317848)</f>
        <v>45949.06383</v>
      </c>
      <c r="K690" s="15">
        <f>IFERROR(__xludf.DUMMYFUNCTION("""COMPUTED_VALUE"""),45949.26950937845)</f>
        <v>45949.26951</v>
      </c>
      <c r="L690" s="15">
        <f>IFERROR(__xludf.DUMMYFUNCTION("""COMPUTED_VALUE"""),45949.30070399327)</f>
        <v>45949.3007</v>
      </c>
    </row>
    <row r="691">
      <c r="A691" s="1">
        <f>IFERROR(__xludf.DUMMYFUNCTION("""COMPUTED_VALUE"""),690.0)</f>
        <v>690</v>
      </c>
      <c r="B691" s="1">
        <f>IFERROR(__xludf.DUMMYFUNCTION("""COMPUTED_VALUE"""),10540.0)</f>
        <v>10540</v>
      </c>
      <c r="C691" s="13" t="str">
        <f>IFERROR(__xludf.DUMMYFUNCTION("""COMPUTED_VALUE"""),"DIMAS")</f>
        <v>DIMAS</v>
      </c>
      <c r="D691" s="2" t="str">
        <f>IFERROR(__xludf.DUMMYFUNCTION("""COMPUTED_VALUE"""),"10KM OVERALL M")</f>
        <v>10KM OVERALL M</v>
      </c>
      <c r="E691" s="1">
        <f>IFERROR(__xludf.DUMMYFUNCTION("""COMPUTED_VALUE"""),559.0)</f>
        <v>559</v>
      </c>
      <c r="F691" s="1" t="str">
        <f>IFERROR(__xludf.DUMMYFUNCTION("""COMPUTED_VALUE"""),"Male")</f>
        <v>Male</v>
      </c>
      <c r="G691" s="5">
        <f>IFERROR(__xludf.DUMMYFUNCTION("""COMPUTED_VALUE"""),0.00638452662037037)</f>
        <v>0.00638452662</v>
      </c>
      <c r="H691" s="14">
        <f>IFERROR(__xludf.DUMMYFUNCTION("""COMPUTED_VALUE"""),0.24646185185185185)</f>
        <v>0.2464618519</v>
      </c>
      <c r="I691" s="15">
        <f>IFERROR(__xludf.DUMMYFUNCTION("""COMPUTED_VALUE"""),45949.31030711619)</f>
        <v>45949.31031</v>
      </c>
      <c r="J691" s="15">
        <f>IFERROR(__xludf.DUMMYFUNCTION("""COMPUTED_VALUE"""),45949.06384526434)</f>
        <v>45949.06385</v>
      </c>
      <c r="K691" s="15">
        <f>IFERROR(__xludf.DUMMYFUNCTION("""COMPUTED_VALUE"""),45949.26202392407)</f>
        <v>45949.26202</v>
      </c>
      <c r="L691" s="15">
        <f>IFERROR(__xludf.DUMMYFUNCTION("""COMPUTED_VALUE"""),45949.29889153221)</f>
        <v>45949.29889</v>
      </c>
    </row>
    <row r="692">
      <c r="A692" s="1">
        <f>IFERROR(__xludf.DUMMYFUNCTION("""COMPUTED_VALUE"""),691.0)</f>
        <v>691</v>
      </c>
      <c r="B692" s="1">
        <f>IFERROR(__xludf.DUMMYFUNCTION("""COMPUTED_VALUE"""),10496.0)</f>
        <v>10496</v>
      </c>
      <c r="C692" s="13" t="str">
        <f>IFERROR(__xludf.DUMMYFUNCTION("""COMPUTED_VALUE"""),"FAWWAZ R")</f>
        <v>FAWWAZ R</v>
      </c>
      <c r="D692" s="2" t="str">
        <f>IFERROR(__xludf.DUMMYFUNCTION("""COMPUTED_VALUE"""),"10KM OVERALL M")</f>
        <v>10KM OVERALL M</v>
      </c>
      <c r="E692" s="1">
        <f>IFERROR(__xludf.DUMMYFUNCTION("""COMPUTED_VALUE"""),560.0)</f>
        <v>560</v>
      </c>
      <c r="F692" s="1" t="str">
        <f>IFERROR(__xludf.DUMMYFUNCTION("""COMPUTED_VALUE"""),"Male")</f>
        <v>Male</v>
      </c>
      <c r="G692" s="5">
        <f>IFERROR(__xludf.DUMMYFUNCTION("""COMPUTED_VALUE"""),0.006384527777777778)</f>
        <v>0.006384527778</v>
      </c>
      <c r="H692" s="14">
        <f>IFERROR(__xludf.DUMMYFUNCTION("""COMPUTED_VALUE"""),0.24646185185185185)</f>
        <v>0.2464618519</v>
      </c>
      <c r="I692" s="15">
        <f>IFERROR(__xludf.DUMMYFUNCTION("""COMPUTED_VALUE"""),45949.31030713041)</f>
        <v>45949.31031</v>
      </c>
      <c r="J692" s="15">
        <f>IFERROR(__xludf.DUMMYFUNCTION("""COMPUTED_VALUE"""),45949.06384527856)</f>
        <v>45949.06385</v>
      </c>
      <c r="K692" s="15">
        <f>IFERROR(__xludf.DUMMYFUNCTION("""COMPUTED_VALUE"""),45949.26952671995)</f>
        <v>45949.26953</v>
      </c>
      <c r="L692" s="15">
        <f>IFERROR(__xludf.DUMMYFUNCTION("""COMPUTED_VALUE"""),45949.30070400467)</f>
        <v>45949.3007</v>
      </c>
    </row>
    <row r="693">
      <c r="A693" s="1">
        <f>IFERROR(__xludf.DUMMYFUNCTION("""COMPUTED_VALUE"""),692.0)</f>
        <v>692</v>
      </c>
      <c r="B693" s="1">
        <f>IFERROR(__xludf.DUMMYFUNCTION("""COMPUTED_VALUE"""),10543.0)</f>
        <v>10543</v>
      </c>
      <c r="C693" s="13" t="str">
        <f>IFERROR(__xludf.DUMMYFUNCTION("""COMPUTED_VALUE"""),"ajifahruzi")</f>
        <v>ajifahruzi</v>
      </c>
      <c r="D693" s="2" t="str">
        <f>IFERROR(__xludf.DUMMYFUNCTION("""COMPUTED_VALUE"""),"10KM OVERALL M")</f>
        <v>10KM OVERALL M</v>
      </c>
      <c r="E693" s="1">
        <f>IFERROR(__xludf.DUMMYFUNCTION("""COMPUTED_VALUE"""),561.0)</f>
        <v>561</v>
      </c>
      <c r="F693" s="1" t="str">
        <f>IFERROR(__xludf.DUMMYFUNCTION("""COMPUTED_VALUE"""),"Male")</f>
        <v>Male</v>
      </c>
      <c r="G693" s="5">
        <f>IFERROR(__xludf.DUMMYFUNCTION("""COMPUTED_VALUE"""),0.006385568287037037)</f>
        <v>0.006385568287</v>
      </c>
      <c r="H693" s="14">
        <f>IFERROR(__xludf.DUMMYFUNCTION("""COMPUTED_VALUE"""),0.24646185185185185)</f>
        <v>0.2464618519</v>
      </c>
      <c r="I693" s="15">
        <f>IFERROR(__xludf.DUMMYFUNCTION("""COMPUTED_VALUE"""),45949.31031753653)</f>
        <v>45949.31032</v>
      </c>
      <c r="J693" s="15">
        <f>IFERROR(__xludf.DUMMYFUNCTION("""COMPUTED_VALUE"""),45949.06385568468)</f>
        <v>45949.06386</v>
      </c>
      <c r="K693" s="15">
        <f>IFERROR(__xludf.DUMMYFUNCTION("""COMPUTED_VALUE"""),45949.26205099458)</f>
        <v>45949.26205</v>
      </c>
      <c r="L693" s="15">
        <f>IFERROR(__xludf.DUMMYFUNCTION("""COMPUTED_VALUE"""),45949.298929670505)</f>
        <v>45949.29893</v>
      </c>
    </row>
    <row r="694">
      <c r="A694" s="1">
        <f>IFERROR(__xludf.DUMMYFUNCTION("""COMPUTED_VALUE"""),693.0)</f>
        <v>693</v>
      </c>
      <c r="B694" s="1">
        <f>IFERROR(__xludf.DUMMYFUNCTION("""COMPUTED_VALUE"""),10420.0)</f>
        <v>10420</v>
      </c>
      <c r="C694" s="13" t="str">
        <f>IFERROR(__xludf.DUMMYFUNCTION("""COMPUTED_VALUE"""),"All-v")</f>
        <v>All-v</v>
      </c>
      <c r="D694" s="2" t="str">
        <f>IFERROR(__xludf.DUMMYFUNCTION("""COMPUTED_VALUE"""),"10KM OVERALL M")</f>
        <v>10KM OVERALL M</v>
      </c>
      <c r="E694" s="1">
        <f>IFERROR(__xludf.DUMMYFUNCTION("""COMPUTED_VALUE"""),562.0)</f>
        <v>562</v>
      </c>
      <c r="F694" s="1" t="str">
        <f>IFERROR(__xludf.DUMMYFUNCTION("""COMPUTED_VALUE"""),"Male")</f>
        <v>Male</v>
      </c>
      <c r="G694" s="5">
        <f>IFERROR(__xludf.DUMMYFUNCTION("""COMPUTED_VALUE"""),0.006385915509259259)</f>
        <v>0.006385915509</v>
      </c>
      <c r="H694" s="14">
        <f>IFERROR(__xludf.DUMMYFUNCTION("""COMPUTED_VALUE"""),0.24646185185185185)</f>
        <v>0.2464618519</v>
      </c>
      <c r="I694" s="15">
        <f>IFERROR(__xludf.DUMMYFUNCTION("""COMPUTED_VALUE"""),45949.31032100574)</f>
        <v>45949.31032</v>
      </c>
      <c r="J694" s="15">
        <f>IFERROR(__xludf.DUMMYFUNCTION("""COMPUTED_VALUE"""),45949.06385915389)</f>
        <v>45949.06386</v>
      </c>
      <c r="K694" s="15">
        <f>IFERROR(__xludf.DUMMYFUNCTION("""COMPUTED_VALUE"""),45949.26028021884)</f>
        <v>45949.26028</v>
      </c>
      <c r="L694" s="15">
        <f>IFERROR(__xludf.DUMMYFUNCTION("""COMPUTED_VALUE"""),45949.299259527914)</f>
        <v>45949.29926</v>
      </c>
    </row>
    <row r="695">
      <c r="A695" s="1">
        <f>IFERROR(__xludf.DUMMYFUNCTION("""COMPUTED_VALUE"""),694.0)</f>
        <v>694</v>
      </c>
      <c r="B695" s="1">
        <f>IFERROR(__xludf.DUMMYFUNCTION("""COMPUTED_VALUE"""),10139.0)</f>
        <v>10139</v>
      </c>
      <c r="C695" s="13" t="str">
        <f>IFERROR(__xludf.DUMMYFUNCTION("""COMPUTED_VALUE"""),"Nyan")</f>
        <v>Nyan</v>
      </c>
      <c r="D695" s="2" t="str">
        <f>IFERROR(__xludf.DUMMYFUNCTION("""COMPUTED_VALUE"""),"10KM OVERALL F")</f>
        <v>10KM OVERALL F</v>
      </c>
      <c r="E695" s="1">
        <f>IFERROR(__xludf.DUMMYFUNCTION("""COMPUTED_VALUE"""),52.0)</f>
        <v>52</v>
      </c>
      <c r="F695" s="1" t="str">
        <f>IFERROR(__xludf.DUMMYFUNCTION("""COMPUTED_VALUE"""),"Female")</f>
        <v>Female</v>
      </c>
      <c r="G695" s="5">
        <f>IFERROR(__xludf.DUMMYFUNCTION("""COMPUTED_VALUE"""),0.0063859166666666665)</f>
        <v>0.006385916667</v>
      </c>
      <c r="H695" s="14">
        <f>IFERROR(__xludf.DUMMYFUNCTION("""COMPUTED_VALUE"""),0.24646185185185185)</f>
        <v>0.2464618519</v>
      </c>
      <c r="I695" s="15">
        <f>IFERROR(__xludf.DUMMYFUNCTION("""COMPUTED_VALUE"""),45949.31032101775)</f>
        <v>45949.31032</v>
      </c>
      <c r="J695" s="15">
        <f>IFERROR(__xludf.DUMMYFUNCTION("""COMPUTED_VALUE"""),45949.0638591659)</f>
        <v>45949.06386</v>
      </c>
      <c r="K695" s="15">
        <f>IFERROR(__xludf.DUMMYFUNCTION("""COMPUTED_VALUE"""),45949.260342675385)</f>
        <v>45949.26034</v>
      </c>
      <c r="L695" s="15">
        <f>IFERROR(__xludf.DUMMYFUNCTION("""COMPUTED_VALUE"""),45949.299246697105)</f>
        <v>45949.29925</v>
      </c>
    </row>
    <row r="696">
      <c r="A696" s="1">
        <f>IFERROR(__xludf.DUMMYFUNCTION("""COMPUTED_VALUE"""),695.0)</f>
        <v>695</v>
      </c>
      <c r="B696" s="1">
        <f>IFERROR(__xludf.DUMMYFUNCTION("""COMPUTED_VALUE"""),10536.0)</f>
        <v>10536</v>
      </c>
      <c r="C696" s="13" t="str">
        <f>IFERROR(__xludf.DUMMYFUNCTION("""COMPUTED_VALUE"""),"Lanang Tenan")</f>
        <v>Lanang Tenan</v>
      </c>
      <c r="D696" s="2" t="str">
        <f>IFERROR(__xludf.DUMMYFUNCTION("""COMPUTED_VALUE"""),"10KM OVERALL M")</f>
        <v>10KM OVERALL M</v>
      </c>
      <c r="E696" s="1">
        <f>IFERROR(__xludf.DUMMYFUNCTION("""COMPUTED_VALUE"""),563.0)</f>
        <v>563</v>
      </c>
      <c r="F696" s="1" t="str">
        <f>IFERROR(__xludf.DUMMYFUNCTION("""COMPUTED_VALUE"""),"Male")</f>
        <v>Male</v>
      </c>
      <c r="G696" s="5">
        <f>IFERROR(__xludf.DUMMYFUNCTION("""COMPUTED_VALUE"""),0.006399914351851851)</f>
        <v>0.006399914352</v>
      </c>
      <c r="H696" s="14">
        <f>IFERROR(__xludf.DUMMYFUNCTION("""COMPUTED_VALUE"""),0.24646185185185185)</f>
        <v>0.2464618519</v>
      </c>
      <c r="I696" s="15">
        <f>IFERROR(__xludf.DUMMYFUNCTION("""COMPUTED_VALUE"""),45949.31046099074)</f>
        <v>45949.31046</v>
      </c>
      <c r="J696" s="15">
        <f>IFERROR(__xludf.DUMMYFUNCTION("""COMPUTED_VALUE"""),45949.06399913889)</f>
        <v>45949.064</v>
      </c>
      <c r="K696" s="15">
        <f>IFERROR(__xludf.DUMMYFUNCTION("""COMPUTED_VALUE"""),45949.26152674155)</f>
        <v>45949.26153</v>
      </c>
      <c r="L696" s="15">
        <f>IFERROR(__xludf.DUMMYFUNCTION("""COMPUTED_VALUE"""),45949.29944444047)</f>
        <v>45949.29944</v>
      </c>
    </row>
    <row r="697">
      <c r="A697" s="1">
        <f>IFERROR(__xludf.DUMMYFUNCTION("""COMPUTED_VALUE"""),696.0)</f>
        <v>696</v>
      </c>
      <c r="B697" s="1">
        <f>IFERROR(__xludf.DUMMYFUNCTION("""COMPUTED_VALUE"""),10079.0)</f>
        <v>10079</v>
      </c>
      <c r="C697" s="13" t="str">
        <f>IFERROR(__xludf.DUMMYFUNCTION("""COMPUTED_VALUE"""),"Ahmadin")</f>
        <v>Ahmadin</v>
      </c>
      <c r="D697" s="2" t="str">
        <f>IFERROR(__xludf.DUMMYFUNCTION("""COMPUTED_VALUE"""),"10KM OVERALL M")</f>
        <v>10KM OVERALL M</v>
      </c>
      <c r="E697" s="1">
        <f>IFERROR(__xludf.DUMMYFUNCTION("""COMPUTED_VALUE"""),564.0)</f>
        <v>564</v>
      </c>
      <c r="F697" s="1" t="str">
        <f>IFERROR(__xludf.DUMMYFUNCTION("""COMPUTED_VALUE"""),"Male")</f>
        <v>Male</v>
      </c>
      <c r="G697" s="5">
        <f>IFERROR(__xludf.DUMMYFUNCTION("""COMPUTED_VALUE"""),0.006433137731481481)</f>
        <v>0.006433137731</v>
      </c>
      <c r="H697" s="14">
        <f>IFERROR(__xludf.DUMMYFUNCTION("""COMPUTED_VALUE"""),0.24646185185185185)</f>
        <v>0.2464618519</v>
      </c>
      <c r="I697" s="15">
        <f>IFERROR(__xludf.DUMMYFUNCTION("""COMPUTED_VALUE"""),45949.3107932326)</f>
        <v>45949.31079</v>
      </c>
      <c r="J697" s="15">
        <f>IFERROR(__xludf.DUMMYFUNCTION("""COMPUTED_VALUE"""),45949.06433138075)</f>
        <v>45949.06433</v>
      </c>
      <c r="K697" s="15">
        <f>IFERROR(__xludf.DUMMYFUNCTION("""COMPUTED_VALUE"""),45949.26285656328)</f>
        <v>45949.26286</v>
      </c>
      <c r="L697" s="15">
        <f>IFERROR(__xludf.DUMMYFUNCTION("""COMPUTED_VALUE"""),45949.29868413224)</f>
        <v>45949.29868</v>
      </c>
    </row>
    <row r="698">
      <c r="A698" s="1">
        <f>IFERROR(__xludf.DUMMYFUNCTION("""COMPUTED_VALUE"""),697.0)</f>
        <v>697</v>
      </c>
      <c r="B698" s="1">
        <f>IFERROR(__xludf.DUMMYFUNCTION("""COMPUTED_VALUE"""),10450.0)</f>
        <v>10450</v>
      </c>
      <c r="C698" s="13" t="str">
        <f>IFERROR(__xludf.DUMMYFUNCTION("""COMPUTED_VALUE"""),"Pelari Badak")</f>
        <v>Pelari Badak</v>
      </c>
      <c r="D698" s="2" t="str">
        <f>IFERROR(__xludf.DUMMYFUNCTION("""COMPUTED_VALUE"""),"10KM OVERALL M")</f>
        <v>10KM OVERALL M</v>
      </c>
      <c r="E698" s="1">
        <f>IFERROR(__xludf.DUMMYFUNCTION("""COMPUTED_VALUE"""),565.0)</f>
        <v>565</v>
      </c>
      <c r="F698" s="1" t="str">
        <f>IFERROR(__xludf.DUMMYFUNCTION("""COMPUTED_VALUE"""),"Male")</f>
        <v>Male</v>
      </c>
      <c r="G698" s="5">
        <f>IFERROR(__xludf.DUMMYFUNCTION("""COMPUTED_VALUE"""),0.006479972222222222)</f>
        <v>0.006479972222</v>
      </c>
      <c r="H698" s="14">
        <f>IFERROR(__xludf.DUMMYFUNCTION("""COMPUTED_VALUE"""),0.24646185185185185)</f>
        <v>0.2464618519</v>
      </c>
      <c r="I698" s="15">
        <f>IFERROR(__xludf.DUMMYFUNCTION("""COMPUTED_VALUE"""),45949.311261574076)</f>
        <v>45949.31126</v>
      </c>
      <c r="J698" s="15">
        <f>IFERROR(__xludf.DUMMYFUNCTION("""COMPUTED_VALUE"""),45949.064799722226)</f>
        <v>45949.0648</v>
      </c>
      <c r="K698" s="15">
        <f>IFERROR(__xludf.DUMMYFUNCTION("""COMPUTED_VALUE"""),45949.25916560995)</f>
        <v>45949.25917</v>
      </c>
      <c r="L698" s="15">
        <f>IFERROR(__xludf.DUMMYFUNCTION("""COMPUTED_VALUE"""),45949.30029431264)</f>
        <v>45949.30029</v>
      </c>
    </row>
    <row r="699">
      <c r="A699" s="1">
        <f>IFERROR(__xludf.DUMMYFUNCTION("""COMPUTED_VALUE"""),698.0)</f>
        <v>698</v>
      </c>
      <c r="B699" s="1">
        <f>IFERROR(__xludf.DUMMYFUNCTION("""COMPUTED_VALUE"""),10753.0)</f>
        <v>10753</v>
      </c>
      <c r="C699" s="13" t="str">
        <f>IFERROR(__xludf.DUMMYFUNCTION("""COMPUTED_VALUE"""),"RIZKY RAMADHAN")</f>
        <v>RIZKY RAMADHAN</v>
      </c>
      <c r="D699" s="2" t="str">
        <f>IFERROR(__xludf.DUMMYFUNCTION("""COMPUTED_VALUE"""),"10KM OVERALL M")</f>
        <v>10KM OVERALL M</v>
      </c>
      <c r="E699" s="1">
        <f>IFERROR(__xludf.DUMMYFUNCTION("""COMPUTED_VALUE"""),566.0)</f>
        <v>566</v>
      </c>
      <c r="F699" s="1" t="str">
        <f>IFERROR(__xludf.DUMMYFUNCTION("""COMPUTED_VALUE"""),"Female")</f>
        <v>Female</v>
      </c>
      <c r="G699" s="5">
        <f>IFERROR(__xludf.DUMMYFUNCTION("""COMPUTED_VALUE"""),0.006499798611111112)</f>
        <v>0.006499798611</v>
      </c>
      <c r="H699" s="14">
        <f>IFERROR(__xludf.DUMMYFUNCTION("""COMPUTED_VALUE"""),0.24646185185185185)</f>
        <v>0.2464618519</v>
      </c>
      <c r="I699" s="15">
        <f>IFERROR(__xludf.DUMMYFUNCTION("""COMPUTED_VALUE"""),45949.311459839766)</f>
        <v>45949.31146</v>
      </c>
      <c r="J699" s="15">
        <f>IFERROR(__xludf.DUMMYFUNCTION("""COMPUTED_VALUE"""),45949.064997987916)</f>
        <v>45949.065</v>
      </c>
      <c r="K699" s="15">
        <f>IFERROR(__xludf.DUMMYFUNCTION("""COMPUTED_VALUE"""),45949.260912104)</f>
        <v>45949.26091</v>
      </c>
      <c r="L699" s="15">
        <f>IFERROR(__xludf.DUMMYFUNCTION("""COMPUTED_VALUE"""),45949.299516530904)</f>
        <v>45949.29952</v>
      </c>
    </row>
    <row r="700">
      <c r="A700" s="1">
        <f>IFERROR(__xludf.DUMMYFUNCTION("""COMPUTED_VALUE"""),699.0)</f>
        <v>699</v>
      </c>
      <c r="B700" s="1">
        <f>IFERROR(__xludf.DUMMYFUNCTION("""COMPUTED_VALUE"""),10072.0)</f>
        <v>10072</v>
      </c>
      <c r="C700" s="13" t="str">
        <f>IFERROR(__xludf.DUMMYFUNCTION("""COMPUTED_VALUE"""),"M.DONI RAHMADI")</f>
        <v>M.DONI RAHMADI</v>
      </c>
      <c r="D700" s="2" t="str">
        <f>IFERROR(__xludf.DUMMYFUNCTION("""COMPUTED_VALUE"""),"10KM OVERALL M")</f>
        <v>10KM OVERALL M</v>
      </c>
      <c r="E700" s="1">
        <f>IFERROR(__xludf.DUMMYFUNCTION("""COMPUTED_VALUE"""),567.0)</f>
        <v>567</v>
      </c>
      <c r="F700" s="1" t="str">
        <f>IFERROR(__xludf.DUMMYFUNCTION("""COMPUTED_VALUE"""),"Male")</f>
        <v>Male</v>
      </c>
      <c r="G700" s="5">
        <f>IFERROR(__xludf.DUMMYFUNCTION("""COMPUTED_VALUE"""),0.006516471064814814)</f>
        <v>0.006516471065</v>
      </c>
      <c r="H700" s="14">
        <f>IFERROR(__xludf.DUMMYFUNCTION("""COMPUTED_VALUE"""),0.24646185185185185)</f>
        <v>0.2464618519</v>
      </c>
      <c r="I700" s="15">
        <f>IFERROR(__xludf.DUMMYFUNCTION("""COMPUTED_VALUE"""),45949.31162656407)</f>
        <v>45949.31163</v>
      </c>
      <c r="J700" s="15">
        <f>IFERROR(__xludf.DUMMYFUNCTION("""COMPUTED_VALUE"""),45949.06516471222)</f>
        <v>45949.06516</v>
      </c>
      <c r="K700" s="15">
        <f>IFERROR(__xludf.DUMMYFUNCTION("""COMPUTED_VALUE"""),45949.26137738424)</f>
        <v>45949.26138</v>
      </c>
      <c r="L700" s="15">
        <f>IFERROR(__xludf.DUMMYFUNCTION("""COMPUTED_VALUE"""),45949.30058598039)</f>
        <v>45949.30059</v>
      </c>
    </row>
    <row r="701">
      <c r="A701" s="1">
        <f>IFERROR(__xludf.DUMMYFUNCTION("""COMPUTED_VALUE"""),700.0)</f>
        <v>700</v>
      </c>
      <c r="B701" s="1">
        <f>IFERROR(__xludf.DUMMYFUNCTION("""COMPUTED_VALUE"""),10061.0)</f>
        <v>10061</v>
      </c>
      <c r="C701" s="13" t="str">
        <f>IFERROR(__xludf.DUMMYFUNCTION("""COMPUTED_VALUE"""),"Adi Putra")</f>
        <v>Adi Putra</v>
      </c>
      <c r="D701" s="2" t="str">
        <f>IFERROR(__xludf.DUMMYFUNCTION("""COMPUTED_VALUE"""),"10KM OVERALL M")</f>
        <v>10KM OVERALL M</v>
      </c>
      <c r="E701" s="1">
        <f>IFERROR(__xludf.DUMMYFUNCTION("""COMPUTED_VALUE"""),568.0)</f>
        <v>568</v>
      </c>
      <c r="F701" s="1" t="str">
        <f>IFERROR(__xludf.DUMMYFUNCTION("""COMPUTED_VALUE"""),"Male")</f>
        <v>Male</v>
      </c>
      <c r="G701" s="5">
        <f>IFERROR(__xludf.DUMMYFUNCTION("""COMPUTED_VALUE"""),0.006516471064814814)</f>
        <v>0.006516471065</v>
      </c>
      <c r="H701" s="14">
        <f>IFERROR(__xludf.DUMMYFUNCTION("""COMPUTED_VALUE"""),0.24646185185185185)</f>
        <v>0.2464618519</v>
      </c>
      <c r="I701" s="15">
        <f>IFERROR(__xludf.DUMMYFUNCTION("""COMPUTED_VALUE"""),45949.31162656407)</f>
        <v>45949.31163</v>
      </c>
      <c r="J701" s="15">
        <f>IFERROR(__xludf.DUMMYFUNCTION("""COMPUTED_VALUE"""),45949.06516471222)</f>
        <v>45949.06516</v>
      </c>
      <c r="K701" s="15">
        <f>IFERROR(__xludf.DUMMYFUNCTION("""COMPUTED_VALUE"""),45949.26139826755)</f>
        <v>45949.2614</v>
      </c>
      <c r="L701" s="15">
        <f>IFERROR(__xludf.DUMMYFUNCTION("""COMPUTED_VALUE"""),45949.30056510283)</f>
        <v>45949.30057</v>
      </c>
    </row>
    <row r="702">
      <c r="A702" s="1">
        <f>IFERROR(__xludf.DUMMYFUNCTION("""COMPUTED_VALUE"""),701.0)</f>
        <v>701</v>
      </c>
      <c r="B702" s="1">
        <f>IFERROR(__xludf.DUMMYFUNCTION("""COMPUTED_VALUE"""),10453.0)</f>
        <v>10453</v>
      </c>
      <c r="C702" s="13" t="str">
        <f>IFERROR(__xludf.DUMMYFUNCTION("""COMPUTED_VALUE"""),"Nico")</f>
        <v>Nico</v>
      </c>
      <c r="D702" s="2" t="str">
        <f>IFERROR(__xludf.DUMMYFUNCTION("""COMPUTED_VALUE"""),"10KM OVERALL M")</f>
        <v>10KM OVERALL M</v>
      </c>
      <c r="E702" s="1">
        <f>IFERROR(__xludf.DUMMYFUNCTION("""COMPUTED_VALUE"""),569.0)</f>
        <v>569</v>
      </c>
      <c r="F702" s="1" t="str">
        <f>IFERROR(__xludf.DUMMYFUNCTION("""COMPUTED_VALUE"""),"Male")</f>
        <v>Male</v>
      </c>
      <c r="G702" s="5">
        <f>IFERROR(__xludf.DUMMYFUNCTION("""COMPUTED_VALUE"""),0.006522721064814815)</f>
        <v>0.006522721065</v>
      </c>
      <c r="H702" s="14">
        <f>IFERROR(__xludf.DUMMYFUNCTION("""COMPUTED_VALUE"""),0.24646185185185185)</f>
        <v>0.2464618519</v>
      </c>
      <c r="I702" s="15">
        <f>IFERROR(__xludf.DUMMYFUNCTION("""COMPUTED_VALUE"""),45949.31168905882)</f>
        <v>45949.31169</v>
      </c>
      <c r="J702" s="15">
        <f>IFERROR(__xludf.DUMMYFUNCTION("""COMPUTED_VALUE"""),45949.06522720697)</f>
        <v>45949.06523</v>
      </c>
      <c r="K702" s="15">
        <f>IFERROR(__xludf.DUMMYFUNCTION("""COMPUTED_VALUE"""),45949.25945032193)</f>
        <v>45949.25945</v>
      </c>
      <c r="L702" s="15">
        <f>IFERROR(__xludf.DUMMYFUNCTION("""COMPUTED_VALUE"""),45949.29999570521)</f>
        <v>45949.3</v>
      </c>
    </row>
    <row r="703">
      <c r="A703" s="1">
        <f>IFERROR(__xludf.DUMMYFUNCTION("""COMPUTED_VALUE"""),702.0)</f>
        <v>702</v>
      </c>
      <c r="B703" s="1">
        <f>IFERROR(__xludf.DUMMYFUNCTION("""COMPUTED_VALUE"""),10574.0)</f>
        <v>10574</v>
      </c>
      <c r="C703" s="13" t="str">
        <f>IFERROR(__xludf.DUMMYFUNCTION("""COMPUTED_VALUE"""),"ARZL")</f>
        <v>ARZL</v>
      </c>
      <c r="D703" s="2" t="str">
        <f>IFERROR(__xludf.DUMMYFUNCTION("""COMPUTED_VALUE"""),"10KM OVERALL M")</f>
        <v>10KM OVERALL M</v>
      </c>
      <c r="E703" s="1">
        <f>IFERROR(__xludf.DUMMYFUNCTION("""COMPUTED_VALUE"""),570.0)</f>
        <v>570</v>
      </c>
      <c r="F703" s="1" t="str">
        <f>IFERROR(__xludf.DUMMYFUNCTION("""COMPUTED_VALUE"""),"Male")</f>
        <v>Male</v>
      </c>
      <c r="G703" s="5">
        <f>IFERROR(__xludf.DUMMYFUNCTION("""COMPUTED_VALUE"""),0.006530355324074073)</f>
        <v>0.006530355324</v>
      </c>
      <c r="H703" s="14">
        <f>IFERROR(__xludf.DUMMYFUNCTION("""COMPUTED_VALUE"""),0.24646185185185185)</f>
        <v>0.2464618519</v>
      </c>
      <c r="I703" s="15">
        <f>IFERROR(__xludf.DUMMYFUNCTION("""COMPUTED_VALUE"""),45949.311765400045)</f>
        <v>45949.31177</v>
      </c>
      <c r="J703" s="15">
        <f>IFERROR(__xludf.DUMMYFUNCTION("""COMPUTED_VALUE"""),45949.065303548196)</f>
        <v>45949.0653</v>
      </c>
      <c r="K703" s="15">
        <f>IFERROR(__xludf.DUMMYFUNCTION("""COMPUTED_VALUE"""),45949.260971141855)</f>
        <v>45949.26097</v>
      </c>
      <c r="L703" s="15">
        <f>IFERROR(__xludf.DUMMYFUNCTION("""COMPUTED_VALUE"""),45949.3008359803)</f>
        <v>45949.30084</v>
      </c>
    </row>
    <row r="704">
      <c r="A704" s="1">
        <f>IFERROR(__xludf.DUMMYFUNCTION("""COMPUTED_VALUE"""),703.0)</f>
        <v>703</v>
      </c>
      <c r="B704" s="1">
        <f>IFERROR(__xludf.DUMMYFUNCTION("""COMPUTED_VALUE"""),10379.0)</f>
        <v>10379</v>
      </c>
      <c r="C704" s="13" t="str">
        <f>IFERROR(__xludf.DUMMYFUNCTION("""COMPUTED_VALUE"""),"Icha Irza")</f>
        <v>Icha Irza</v>
      </c>
      <c r="D704" s="2" t="str">
        <f>IFERROR(__xludf.DUMMYFUNCTION("""COMPUTED_VALUE"""),"10KM OVERALL F")</f>
        <v>10KM OVERALL F</v>
      </c>
      <c r="E704" s="1">
        <f>IFERROR(__xludf.DUMMYFUNCTION("""COMPUTED_VALUE"""),53.0)</f>
        <v>53</v>
      </c>
      <c r="F704" s="1" t="str">
        <f>IFERROR(__xludf.DUMMYFUNCTION("""COMPUTED_VALUE"""),"Female")</f>
        <v>Female</v>
      </c>
      <c r="G704" s="5">
        <f>IFERROR(__xludf.DUMMYFUNCTION("""COMPUTED_VALUE"""),0.006539387731481482)</f>
        <v>0.006539387731</v>
      </c>
      <c r="H704" s="14">
        <f>IFERROR(__xludf.DUMMYFUNCTION("""COMPUTED_VALUE"""),0.24646185185185185)</f>
        <v>0.2464618519</v>
      </c>
      <c r="I704" s="15">
        <f>IFERROR(__xludf.DUMMYFUNCTION("""COMPUTED_VALUE"""),45949.31185573216)</f>
        <v>45949.31186</v>
      </c>
      <c r="J704" s="15">
        <f>IFERROR(__xludf.DUMMYFUNCTION("""COMPUTED_VALUE"""),45949.06539388031)</f>
        <v>45949.06539</v>
      </c>
      <c r="K704" s="15">
        <f>IFERROR(__xludf.DUMMYFUNCTION("""COMPUTED_VALUE"""),45949.261123913566)</f>
        <v>45949.26112</v>
      </c>
      <c r="L704" s="15">
        <f>IFERROR(__xludf.DUMMYFUNCTION("""COMPUTED_VALUE"""),45949.301540849265)</f>
        <v>45949.30154</v>
      </c>
    </row>
    <row r="705">
      <c r="A705" s="1">
        <f>IFERROR(__xludf.DUMMYFUNCTION("""COMPUTED_VALUE"""),704.0)</f>
        <v>704</v>
      </c>
      <c r="B705" s="1">
        <f>IFERROR(__xludf.DUMMYFUNCTION("""COMPUTED_VALUE"""),10026.0)</f>
        <v>10026</v>
      </c>
      <c r="C705" s="13" t="str">
        <f>IFERROR(__xludf.DUMMYFUNCTION("""COMPUTED_VALUE"""),"novi meta")</f>
        <v>novi meta</v>
      </c>
      <c r="D705" s="2" t="str">
        <f>IFERROR(__xludf.DUMMYFUNCTION("""COMPUTED_VALUE"""),"10KM OVERALL F")</f>
        <v>10KM OVERALL F</v>
      </c>
      <c r="E705" s="1">
        <f>IFERROR(__xludf.DUMMYFUNCTION("""COMPUTED_VALUE"""),54.0)</f>
        <v>54</v>
      </c>
      <c r="F705" s="1" t="str">
        <f>IFERROR(__xludf.DUMMYFUNCTION("""COMPUTED_VALUE"""),"Female")</f>
        <v>Female</v>
      </c>
      <c r="G705" s="5">
        <f>IFERROR(__xludf.DUMMYFUNCTION("""COMPUTED_VALUE"""),0.0065564016203703696)</f>
        <v>0.00655640162</v>
      </c>
      <c r="H705" s="14">
        <f>IFERROR(__xludf.DUMMYFUNCTION("""COMPUTED_VALUE"""),0.24646185185185185)</f>
        <v>0.2464618519</v>
      </c>
      <c r="I705" s="15">
        <f>IFERROR(__xludf.DUMMYFUNCTION("""COMPUTED_VALUE"""),45949.312025872576)</f>
        <v>45949.31203</v>
      </c>
      <c r="J705" s="15">
        <f>IFERROR(__xludf.DUMMYFUNCTION("""COMPUTED_VALUE"""),45949.065564020726)</f>
        <v>45949.06556</v>
      </c>
      <c r="K705" s="15">
        <f>IFERROR(__xludf.DUMMYFUNCTION("""COMPUTED_VALUE"""),45949.2608149345)</f>
        <v>45949.26081</v>
      </c>
      <c r="L705" s="15">
        <f>IFERROR(__xludf.DUMMYFUNCTION("""COMPUTED_VALUE"""),45949.300474861404)</f>
        <v>45949.30047</v>
      </c>
    </row>
    <row r="706">
      <c r="A706" s="1">
        <f>IFERROR(__xludf.DUMMYFUNCTION("""COMPUTED_VALUE"""),705.0)</f>
        <v>705</v>
      </c>
      <c r="B706" s="1">
        <f>IFERROR(__xludf.DUMMYFUNCTION("""COMPUTED_VALUE"""),10132.0)</f>
        <v>10132</v>
      </c>
      <c r="C706" s="13" t="str">
        <f>IFERROR(__xludf.DUMMYFUNCTION("""COMPUTED_VALUE"""),"BILLAHMAR")</f>
        <v>BILLAHMAR</v>
      </c>
      <c r="D706" s="2" t="str">
        <f>IFERROR(__xludf.DUMMYFUNCTION("""COMPUTED_VALUE"""),"10KM OVERALL F")</f>
        <v>10KM OVERALL F</v>
      </c>
      <c r="E706" s="1">
        <f>IFERROR(__xludf.DUMMYFUNCTION("""COMPUTED_VALUE"""),55.0)</f>
        <v>55</v>
      </c>
      <c r="F706" s="1" t="str">
        <f>IFERROR(__xludf.DUMMYFUNCTION("""COMPUTED_VALUE"""),"Female")</f>
        <v>Female</v>
      </c>
      <c r="G706" s="5">
        <f>IFERROR(__xludf.DUMMYFUNCTION("""COMPUTED_VALUE"""),0.006567508101851851)</f>
        <v>0.006567508102</v>
      </c>
      <c r="H706" s="14">
        <f>IFERROR(__xludf.DUMMYFUNCTION("""COMPUTED_VALUE"""),0.24646185185185185)</f>
        <v>0.2464618519</v>
      </c>
      <c r="I706" s="15">
        <f>IFERROR(__xludf.DUMMYFUNCTION("""COMPUTED_VALUE"""),45949.31213692879)</f>
        <v>45949.31214</v>
      </c>
      <c r="J706" s="15">
        <f>IFERROR(__xludf.DUMMYFUNCTION("""COMPUTED_VALUE"""),45949.06567507694)</f>
        <v>45949.06568</v>
      </c>
      <c r="K706" s="15">
        <f>IFERROR(__xludf.DUMMYFUNCTION("""COMPUTED_VALUE"""),45949.26725934223)</f>
        <v>45949.26726</v>
      </c>
      <c r="L706" s="15">
        <f>IFERROR(__xludf.DUMMYFUNCTION("""COMPUTED_VALUE"""),45949.30123220956)</f>
        <v>45949.30123</v>
      </c>
    </row>
    <row r="707">
      <c r="A707" s="1">
        <f>IFERROR(__xludf.DUMMYFUNCTION("""COMPUTED_VALUE"""),706.0)</f>
        <v>706</v>
      </c>
      <c r="B707" s="1">
        <f>IFERROR(__xludf.DUMMYFUNCTION("""COMPUTED_VALUE"""),10328.0)</f>
        <v>10328</v>
      </c>
      <c r="C707" s="13" t="str">
        <f>IFERROR(__xludf.DUMMYFUNCTION("""COMPUTED_VALUE"""),"Annisa Adila")</f>
        <v>Annisa Adila</v>
      </c>
      <c r="D707" s="2" t="str">
        <f>IFERROR(__xludf.DUMMYFUNCTION("""COMPUTED_VALUE"""),"10KM OVERALL F")</f>
        <v>10KM OVERALL F</v>
      </c>
      <c r="E707" s="1">
        <f>IFERROR(__xludf.DUMMYFUNCTION("""COMPUTED_VALUE"""),56.0)</f>
        <v>56</v>
      </c>
      <c r="F707" s="1" t="str">
        <f>IFERROR(__xludf.DUMMYFUNCTION("""COMPUTED_VALUE"""),"Female")</f>
        <v>Female</v>
      </c>
      <c r="G707" s="5">
        <f>IFERROR(__xludf.DUMMYFUNCTION("""COMPUTED_VALUE"""),0.006569248842592593)</f>
        <v>0.006569248843</v>
      </c>
      <c r="H707" s="14">
        <f>IFERROR(__xludf.DUMMYFUNCTION("""COMPUTED_VALUE"""),0.24646185185185185)</f>
        <v>0.2464618519</v>
      </c>
      <c r="I707" s="15">
        <f>IFERROR(__xludf.DUMMYFUNCTION("""COMPUTED_VALUE"""),45949.31215434416)</f>
        <v>45949.31215</v>
      </c>
      <c r="J707" s="15">
        <f>IFERROR(__xludf.DUMMYFUNCTION("""COMPUTED_VALUE"""),45949.06569249231)</f>
        <v>45949.06569</v>
      </c>
      <c r="K707" s="15">
        <f>IFERROR(__xludf.DUMMYFUNCTION("""COMPUTED_VALUE"""),45949.260269774255)</f>
        <v>45949.26027</v>
      </c>
      <c r="L707" s="15">
        <f>IFERROR(__xludf.DUMMYFUNCTION("""COMPUTED_VALUE"""),45949.30060676527)</f>
        <v>45949.30061</v>
      </c>
    </row>
    <row r="708">
      <c r="A708" s="1">
        <f>IFERROR(__xludf.DUMMYFUNCTION("""COMPUTED_VALUE"""),707.0)</f>
        <v>707</v>
      </c>
      <c r="B708" s="1">
        <f>IFERROR(__xludf.DUMMYFUNCTION("""COMPUTED_VALUE"""),10418.0)</f>
        <v>10418</v>
      </c>
      <c r="C708" s="13" t="str">
        <f>IFERROR(__xludf.DUMMYFUNCTION("""COMPUTED_VALUE"""),"Thomzz")</f>
        <v>Thomzz</v>
      </c>
      <c r="D708" s="2" t="str">
        <f>IFERROR(__xludf.DUMMYFUNCTION("""COMPUTED_VALUE"""),"10KM OVERALL M")</f>
        <v>10KM OVERALL M</v>
      </c>
      <c r="E708" s="1">
        <f>IFERROR(__xludf.DUMMYFUNCTION("""COMPUTED_VALUE"""),571.0)</f>
        <v>571</v>
      </c>
      <c r="F708" s="1" t="str">
        <f>IFERROR(__xludf.DUMMYFUNCTION("""COMPUTED_VALUE"""),"Male")</f>
        <v>Male</v>
      </c>
      <c r="G708" s="5">
        <f>IFERROR(__xludf.DUMMYFUNCTION("""COMPUTED_VALUE"""),0.006570290509259259)</f>
        <v>0.006570290509</v>
      </c>
      <c r="H708" s="14">
        <f>IFERROR(__xludf.DUMMYFUNCTION("""COMPUTED_VALUE"""),0.24646185185185185)</f>
        <v>0.2464618519</v>
      </c>
      <c r="I708" s="15">
        <f>IFERROR(__xludf.DUMMYFUNCTION("""COMPUTED_VALUE"""),45949.31216475713)</f>
        <v>45949.31216</v>
      </c>
      <c r="J708" s="15">
        <f>IFERROR(__xludf.DUMMYFUNCTION("""COMPUTED_VALUE"""),45949.06570290528)</f>
        <v>45949.0657</v>
      </c>
      <c r="K708" s="15">
        <f>IFERROR(__xludf.DUMMYFUNCTION("""COMPUTED_VALUE"""),45949.25949543396)</f>
        <v>45949.2595</v>
      </c>
      <c r="L708" s="15">
        <f>IFERROR(__xludf.DUMMYFUNCTION("""COMPUTED_VALUE"""),45949.30093316269)</f>
        <v>45949.30093</v>
      </c>
    </row>
    <row r="709">
      <c r="A709" s="1">
        <f>IFERROR(__xludf.DUMMYFUNCTION("""COMPUTED_VALUE"""),708.0)</f>
        <v>708</v>
      </c>
      <c r="B709" s="1">
        <f>IFERROR(__xludf.DUMMYFUNCTION("""COMPUTED_VALUE"""),10605.0)</f>
        <v>10605</v>
      </c>
      <c r="C709" s="13" t="str">
        <f>IFERROR(__xludf.DUMMYFUNCTION("""COMPUTED_VALUE"""),"Tiara")</f>
        <v>Tiara</v>
      </c>
      <c r="D709" s="2" t="str">
        <f>IFERROR(__xludf.DUMMYFUNCTION("""COMPUTED_VALUE"""),"10KM OVERALL F")</f>
        <v>10KM OVERALL F</v>
      </c>
      <c r="E709" s="1">
        <f>IFERROR(__xludf.DUMMYFUNCTION("""COMPUTED_VALUE"""),57.0)</f>
        <v>57</v>
      </c>
      <c r="F709" s="1" t="str">
        <f>IFERROR(__xludf.DUMMYFUNCTION("""COMPUTED_VALUE"""),"Female")</f>
        <v>Female</v>
      </c>
      <c r="G709" s="5">
        <f>IFERROR(__xludf.DUMMYFUNCTION("""COMPUTED_VALUE"""),0.0065744571759259254)</f>
        <v>0.006574457176</v>
      </c>
      <c r="H709" s="14">
        <f>IFERROR(__xludf.DUMMYFUNCTION("""COMPUTED_VALUE"""),0.24646185185185185)</f>
        <v>0.2464618519</v>
      </c>
      <c r="I709" s="15">
        <f>IFERROR(__xludf.DUMMYFUNCTION("""COMPUTED_VALUE"""),45949.3122064267)</f>
        <v>45949.31221</v>
      </c>
      <c r="J709" s="15">
        <f>IFERROR(__xludf.DUMMYFUNCTION("""COMPUTED_VALUE"""),45949.06574457485)</f>
        <v>45949.06574</v>
      </c>
      <c r="K709" s="15">
        <f>IFERROR(__xludf.DUMMYFUNCTION("""COMPUTED_VALUE"""),45949.26136390662)</f>
        <v>45949.26136</v>
      </c>
      <c r="L709" s="15">
        <f>IFERROR(__xludf.DUMMYFUNCTION("""COMPUTED_VALUE"""),45949.301187272686)</f>
        <v>45949.30119</v>
      </c>
    </row>
    <row r="710">
      <c r="A710" s="1">
        <f>IFERROR(__xludf.DUMMYFUNCTION("""COMPUTED_VALUE"""),709.0)</f>
        <v>709</v>
      </c>
      <c r="B710" s="1">
        <f>IFERROR(__xludf.DUMMYFUNCTION("""COMPUTED_VALUE"""),10044.0)</f>
        <v>10044</v>
      </c>
      <c r="C710" s="13" t="str">
        <f>IFERROR(__xludf.DUMMYFUNCTION("""COMPUTED_VALUE"""),"Diky Abdillah")</f>
        <v>Diky Abdillah</v>
      </c>
      <c r="D710" s="2" t="str">
        <f>IFERROR(__xludf.DUMMYFUNCTION("""COMPUTED_VALUE"""),"10KM OVERALL M")</f>
        <v>10KM OVERALL M</v>
      </c>
      <c r="E710" s="1">
        <f>IFERROR(__xludf.DUMMYFUNCTION("""COMPUTED_VALUE"""),572.0)</f>
        <v>572</v>
      </c>
      <c r="F710" s="1" t="str">
        <f>IFERROR(__xludf.DUMMYFUNCTION("""COMPUTED_VALUE"""),"Male")</f>
        <v>Male</v>
      </c>
      <c r="G710" s="5">
        <f>IFERROR(__xludf.DUMMYFUNCTION("""COMPUTED_VALUE"""),0.006574799768518519)</f>
        <v>0.006574799769</v>
      </c>
      <c r="H710" s="14">
        <f>IFERROR(__xludf.DUMMYFUNCTION("""COMPUTED_VALUE"""),0.24646185185185185)</f>
        <v>0.2464618519</v>
      </c>
      <c r="I710" s="15">
        <f>IFERROR(__xludf.DUMMYFUNCTION("""COMPUTED_VALUE"""),45949.31220985343)</f>
        <v>45949.31221</v>
      </c>
      <c r="J710" s="15">
        <f>IFERROR(__xludf.DUMMYFUNCTION("""COMPUTED_VALUE"""),45949.06574800158)</f>
        <v>45949.06575</v>
      </c>
      <c r="K710" s="15">
        <f>IFERROR(__xludf.DUMMYFUNCTION("""COMPUTED_VALUE"""),45949.26018642479)</f>
        <v>45949.26019</v>
      </c>
      <c r="L710" s="15">
        <f>IFERROR(__xludf.DUMMYFUNCTION("""COMPUTED_VALUE"""),45949.30096793773)</f>
        <v>45949.30097</v>
      </c>
    </row>
    <row r="711">
      <c r="A711" s="1">
        <f>IFERROR(__xludf.DUMMYFUNCTION("""COMPUTED_VALUE"""),710.0)</f>
        <v>710</v>
      </c>
      <c r="B711" s="1">
        <f>IFERROR(__xludf.DUMMYFUNCTION("""COMPUTED_VALUE"""),10152.0)</f>
        <v>10152</v>
      </c>
      <c r="C711" s="13" t="str">
        <f>IFERROR(__xludf.DUMMYFUNCTION("""COMPUTED_VALUE"""),"mitha")</f>
        <v>mitha</v>
      </c>
      <c r="D711" s="2" t="str">
        <f>IFERROR(__xludf.DUMMYFUNCTION("""COMPUTED_VALUE"""),"10KM OVERALL F")</f>
        <v>10KM OVERALL F</v>
      </c>
      <c r="E711" s="1">
        <f>IFERROR(__xludf.DUMMYFUNCTION("""COMPUTED_VALUE"""),58.0)</f>
        <v>58</v>
      </c>
      <c r="F711" s="1" t="str">
        <f>IFERROR(__xludf.DUMMYFUNCTION("""COMPUTED_VALUE"""),"Female")</f>
        <v>Female</v>
      </c>
      <c r="G711" s="5">
        <f>IFERROR(__xludf.DUMMYFUNCTION("""COMPUTED_VALUE"""),0.006587304398148147)</f>
        <v>0.006587304398</v>
      </c>
      <c r="H711" s="14">
        <f>IFERROR(__xludf.DUMMYFUNCTION("""COMPUTED_VALUE"""),0.24646185185185185)</f>
        <v>0.2464618519</v>
      </c>
      <c r="I711" s="15">
        <f>IFERROR(__xludf.DUMMYFUNCTION("""COMPUTED_VALUE"""),45949.31233489868)</f>
        <v>45949.31233</v>
      </c>
      <c r="J711" s="15">
        <f>IFERROR(__xludf.DUMMYFUNCTION("""COMPUTED_VALUE"""),45949.06587304683)</f>
        <v>45949.06587</v>
      </c>
      <c r="K711" s="15">
        <f>IFERROR(__xludf.DUMMYFUNCTION("""COMPUTED_VALUE"""),45949.25992258098)</f>
        <v>45949.25992</v>
      </c>
      <c r="L711" s="15">
        <f>IFERROR(__xludf.DUMMYFUNCTION("""COMPUTED_VALUE"""),45949.300107928626)</f>
        <v>45949.30011</v>
      </c>
    </row>
    <row r="712">
      <c r="A712" s="1">
        <f>IFERROR(__xludf.DUMMYFUNCTION("""COMPUTED_VALUE"""),711.0)</f>
        <v>711</v>
      </c>
      <c r="B712" s="1">
        <f>IFERROR(__xludf.DUMMYFUNCTION("""COMPUTED_VALUE"""),10370.0)</f>
        <v>10370</v>
      </c>
      <c r="C712" s="13" t="str">
        <f>IFERROR(__xludf.DUMMYFUNCTION("""COMPUTED_VALUE"""),"Ghina")</f>
        <v>Ghina</v>
      </c>
      <c r="D712" s="2" t="str">
        <f>IFERROR(__xludf.DUMMYFUNCTION("""COMPUTED_VALUE"""),"10KM OVERALL F")</f>
        <v>10KM OVERALL F</v>
      </c>
      <c r="E712" s="1">
        <f>IFERROR(__xludf.DUMMYFUNCTION("""COMPUTED_VALUE"""),59.0)</f>
        <v>59</v>
      </c>
      <c r="F712" s="1" t="str">
        <f>IFERROR(__xludf.DUMMYFUNCTION("""COMPUTED_VALUE"""),"Female")</f>
        <v>Female</v>
      </c>
      <c r="G712" s="5">
        <f>IFERROR(__xludf.DUMMYFUNCTION("""COMPUTED_VALUE"""),0.006603386574074074)</f>
        <v>0.006603386574</v>
      </c>
      <c r="H712" s="14">
        <f>IFERROR(__xludf.DUMMYFUNCTION("""COMPUTED_VALUE"""),0.24646185185185185)</f>
        <v>0.2464618519</v>
      </c>
      <c r="I712" s="15">
        <f>IFERROR(__xludf.DUMMYFUNCTION("""COMPUTED_VALUE"""),45949.31249571518)</f>
        <v>45949.3125</v>
      </c>
      <c r="J712" s="15">
        <f>IFERROR(__xludf.DUMMYFUNCTION("""COMPUTED_VALUE"""),45949.06603386333)</f>
        <v>45949.06603</v>
      </c>
      <c r="K712" s="15">
        <f>IFERROR(__xludf.DUMMYFUNCTION("""COMPUTED_VALUE"""),45949.25964478654)</f>
        <v>45949.25964</v>
      </c>
      <c r="L712" s="15">
        <f>IFERROR(__xludf.DUMMYFUNCTION("""COMPUTED_VALUE"""),45949.300773434)</f>
        <v>45949.30077</v>
      </c>
    </row>
    <row r="713">
      <c r="A713" s="1">
        <f>IFERROR(__xludf.DUMMYFUNCTION("""COMPUTED_VALUE"""),712.0)</f>
        <v>712</v>
      </c>
      <c r="B713" s="1">
        <f>IFERROR(__xludf.DUMMYFUNCTION("""COMPUTED_VALUE"""),10040.0)</f>
        <v>10040</v>
      </c>
      <c r="C713" s="13" t="str">
        <f>IFERROR(__xludf.DUMMYFUNCTION("""COMPUTED_VALUE"""),"MUHAMMAD ERWIN JUARDI")</f>
        <v>MUHAMMAD ERWIN JUARDI</v>
      </c>
      <c r="D713" s="2" t="str">
        <f>IFERROR(__xludf.DUMMYFUNCTION("""COMPUTED_VALUE"""),"10KM OVERALL M")</f>
        <v>10KM OVERALL M</v>
      </c>
      <c r="E713" s="1">
        <f>IFERROR(__xludf.DUMMYFUNCTION("""COMPUTED_VALUE"""),573.0)</f>
        <v>573</v>
      </c>
      <c r="F713" s="1" t="str">
        <f>IFERROR(__xludf.DUMMYFUNCTION("""COMPUTED_VALUE"""),"Male")</f>
        <v>Male</v>
      </c>
      <c r="G713" s="5">
        <f>IFERROR(__xludf.DUMMYFUNCTION("""COMPUTED_VALUE"""),0.006604667824074074)</f>
        <v>0.006604667824</v>
      </c>
      <c r="H713" s="14">
        <f>IFERROR(__xludf.DUMMYFUNCTION("""COMPUTED_VALUE"""),0.24646185185185185)</f>
        <v>0.2464618519</v>
      </c>
      <c r="I713" s="15">
        <f>IFERROR(__xludf.DUMMYFUNCTION("""COMPUTED_VALUE"""),45949.31250853234)</f>
        <v>45949.31251</v>
      </c>
      <c r="J713" s="15">
        <f>IFERROR(__xludf.DUMMYFUNCTION("""COMPUTED_VALUE"""),45949.06604668049)</f>
        <v>45949.06605</v>
      </c>
      <c r="K713" s="15">
        <f>IFERROR(__xludf.DUMMYFUNCTION("""COMPUTED_VALUE"""),45949.26066557643)</f>
        <v>45949.26067</v>
      </c>
      <c r="L713" s="15">
        <f>IFERROR(__xludf.DUMMYFUNCTION("""COMPUTED_VALUE"""),45949.30145750736)</f>
        <v>45949.30146</v>
      </c>
    </row>
    <row r="714">
      <c r="A714" s="1">
        <f>IFERROR(__xludf.DUMMYFUNCTION("""COMPUTED_VALUE"""),713.0)</f>
        <v>713</v>
      </c>
      <c r="B714" s="1">
        <f>IFERROR(__xludf.DUMMYFUNCTION("""COMPUTED_VALUE"""),10317.0)</f>
        <v>10317</v>
      </c>
      <c r="C714" s="13" t="str">
        <f>IFERROR(__xludf.DUMMYFUNCTION("""COMPUTED_VALUE"""),"rifqi")</f>
        <v>rifqi</v>
      </c>
      <c r="D714" s="2" t="str">
        <f>IFERROR(__xludf.DUMMYFUNCTION("""COMPUTED_VALUE"""),"10KM OVERALL M")</f>
        <v>10KM OVERALL M</v>
      </c>
      <c r="E714" s="1">
        <f>IFERROR(__xludf.DUMMYFUNCTION("""COMPUTED_VALUE"""),574.0)</f>
        <v>574</v>
      </c>
      <c r="F714" s="1" t="str">
        <f>IFERROR(__xludf.DUMMYFUNCTION("""COMPUTED_VALUE"""),"Male")</f>
        <v>Male</v>
      </c>
      <c r="G714" s="5">
        <f>IFERROR(__xludf.DUMMYFUNCTION("""COMPUTED_VALUE"""),0.006613039351851852)</f>
        <v>0.006613039352</v>
      </c>
      <c r="H714" s="14">
        <f>IFERROR(__xludf.DUMMYFUNCTION("""COMPUTED_VALUE"""),0.24646185185185185)</f>
        <v>0.2464618519</v>
      </c>
      <c r="I714" s="15">
        <f>IFERROR(__xludf.DUMMYFUNCTION("""COMPUTED_VALUE"""),45949.3125922472)</f>
        <v>45949.31259</v>
      </c>
      <c r="J714" s="15">
        <f>IFERROR(__xludf.DUMMYFUNCTION("""COMPUTED_VALUE"""),45949.06613039535)</f>
        <v>45949.06613</v>
      </c>
      <c r="K714" s="15">
        <f>IFERROR(__xludf.DUMMYFUNCTION("""COMPUTED_VALUE"""),45949.263245501934)</f>
        <v>45949.26325</v>
      </c>
      <c r="L714" s="15">
        <f>IFERROR(__xludf.DUMMYFUNCTION("""COMPUTED_VALUE"""),45949.30146098518)</f>
        <v>45949.30146</v>
      </c>
    </row>
    <row r="715">
      <c r="A715" s="1">
        <f>IFERROR(__xludf.DUMMYFUNCTION("""COMPUTED_VALUE"""),714.0)</f>
        <v>714</v>
      </c>
      <c r="B715" s="1">
        <f>IFERROR(__xludf.DUMMYFUNCTION("""COMPUTED_VALUE"""),10176.0)</f>
        <v>10176</v>
      </c>
      <c r="C715" s="13" t="str">
        <f>IFERROR(__xludf.DUMMYFUNCTION("""COMPUTED_VALUE"""),"Anank_Ballers")</f>
        <v>Anank_Ballers</v>
      </c>
      <c r="D715" s="2" t="str">
        <f>IFERROR(__xludf.DUMMYFUNCTION("""COMPUTED_VALUE"""),"10KM OVERALL M")</f>
        <v>10KM OVERALL M</v>
      </c>
      <c r="E715" s="1">
        <f>IFERROR(__xludf.DUMMYFUNCTION("""COMPUTED_VALUE"""),575.0)</f>
        <v>575</v>
      </c>
      <c r="F715" s="1" t="str">
        <f>IFERROR(__xludf.DUMMYFUNCTION("""COMPUTED_VALUE"""),"Male")</f>
        <v>Male</v>
      </c>
      <c r="G715" s="5">
        <f>IFERROR(__xludf.DUMMYFUNCTION("""COMPUTED_VALUE"""),0.006637015046296296)</f>
        <v>0.006637015046</v>
      </c>
      <c r="H715" s="14">
        <f>IFERROR(__xludf.DUMMYFUNCTION("""COMPUTED_VALUE"""),0.24646185185185185)</f>
        <v>0.2464618519</v>
      </c>
      <c r="I715" s="15">
        <f>IFERROR(__xludf.DUMMYFUNCTION("""COMPUTED_VALUE"""),45949.31283200714)</f>
        <v>45949.31283</v>
      </c>
      <c r="J715" s="15">
        <f>IFERROR(__xludf.DUMMYFUNCTION("""COMPUTED_VALUE"""),45949.06637015529)</f>
        <v>45949.06637</v>
      </c>
      <c r="K715" s="15">
        <f>IFERROR(__xludf.DUMMYFUNCTION("""COMPUTED_VALUE"""),45949.260117950864)</f>
        <v>45949.26012</v>
      </c>
      <c r="L715" s="15">
        <f>IFERROR(__xludf.DUMMYFUNCTION("""COMPUTED_VALUE"""),45949.302384593866)</f>
        <v>45949.30238</v>
      </c>
    </row>
    <row r="716">
      <c r="A716" s="1">
        <f>IFERROR(__xludf.DUMMYFUNCTION("""COMPUTED_VALUE"""),715.0)</f>
        <v>715</v>
      </c>
      <c r="B716" s="1">
        <f>IFERROR(__xludf.DUMMYFUNCTION("""COMPUTED_VALUE"""),10561.0)</f>
        <v>10561</v>
      </c>
      <c r="C716" s="13" t="str">
        <f>IFERROR(__xludf.DUMMYFUNCTION("""COMPUTED_VALUE"""),"Baskara S.")</f>
        <v>Baskara S.</v>
      </c>
      <c r="D716" s="2" t="str">
        <f>IFERROR(__xludf.DUMMYFUNCTION("""COMPUTED_VALUE"""),"10KM OVERALL M")</f>
        <v>10KM OVERALL M</v>
      </c>
      <c r="E716" s="1">
        <f>IFERROR(__xludf.DUMMYFUNCTION("""COMPUTED_VALUE"""),576.0)</f>
        <v>576</v>
      </c>
      <c r="F716" s="1" t="str">
        <f>IFERROR(__xludf.DUMMYFUNCTION("""COMPUTED_VALUE"""),"Male")</f>
        <v>Male</v>
      </c>
      <c r="G716" s="5">
        <f>IFERROR(__xludf.DUMMYFUNCTION("""COMPUTED_VALUE"""),0.00665196412037037)</f>
        <v>0.00665196412</v>
      </c>
      <c r="H716" s="14">
        <f>IFERROR(__xludf.DUMMYFUNCTION("""COMPUTED_VALUE"""),0.24646185185185185)</f>
        <v>0.2464618519</v>
      </c>
      <c r="I716" s="15">
        <f>IFERROR(__xludf.DUMMYFUNCTION("""COMPUTED_VALUE"""),45949.31298148753)</f>
        <v>45949.31298</v>
      </c>
      <c r="J716" s="15">
        <f>IFERROR(__xludf.DUMMYFUNCTION("""COMPUTED_VALUE"""),45949.06651963568)</f>
        <v>45949.06652</v>
      </c>
      <c r="K716" s="15">
        <f>IFERROR(__xludf.DUMMYFUNCTION("""COMPUTED_VALUE"""),45949.26189826628)</f>
        <v>45949.2619</v>
      </c>
      <c r="L716" s="15">
        <f>IFERROR(__xludf.DUMMYFUNCTION("""COMPUTED_VALUE"""),45949.301322096326)</f>
        <v>45949.30132</v>
      </c>
    </row>
    <row r="717">
      <c r="A717" s="1">
        <f>IFERROR(__xludf.DUMMYFUNCTION("""COMPUTED_VALUE"""),716.0)</f>
        <v>716</v>
      </c>
      <c r="B717" s="1">
        <f>IFERROR(__xludf.DUMMYFUNCTION("""COMPUTED_VALUE"""),10188.0)</f>
        <v>10188</v>
      </c>
      <c r="C717" s="13" t="str">
        <f>IFERROR(__xludf.DUMMYFUNCTION("""COMPUTED_VALUE"""),"ariagfa")</f>
        <v>ariagfa</v>
      </c>
      <c r="D717" s="2" t="str">
        <f>IFERROR(__xludf.DUMMYFUNCTION("""COMPUTED_VALUE"""),"10KM OVERALL M")</f>
        <v>10KM OVERALL M</v>
      </c>
      <c r="E717" s="1">
        <f>IFERROR(__xludf.DUMMYFUNCTION("""COMPUTED_VALUE"""),577.0)</f>
        <v>577</v>
      </c>
      <c r="F717" s="1" t="str">
        <f>IFERROR(__xludf.DUMMYFUNCTION("""COMPUTED_VALUE"""),"Male")</f>
        <v>Male</v>
      </c>
      <c r="G717" s="5">
        <f>IFERROR(__xludf.DUMMYFUNCTION("""COMPUTED_VALUE"""),0.006652924768518519)</f>
        <v>0.006652924769</v>
      </c>
      <c r="H717" s="14">
        <f>IFERROR(__xludf.DUMMYFUNCTION("""COMPUTED_VALUE"""),0.24646185185185185)</f>
        <v>0.2464618519</v>
      </c>
      <c r="I717" s="15">
        <f>IFERROR(__xludf.DUMMYFUNCTION("""COMPUTED_VALUE"""),45949.31299109475)</f>
        <v>45949.31299</v>
      </c>
      <c r="J717" s="15">
        <f>IFERROR(__xludf.DUMMYFUNCTION("""COMPUTED_VALUE"""),45949.0665292429)</f>
        <v>45949.06653</v>
      </c>
      <c r="K717" s="15">
        <f>IFERROR(__xludf.DUMMYFUNCTION("""COMPUTED_VALUE"""),45949.26026975112)</f>
        <v>45949.26027</v>
      </c>
      <c r="L717" s="15">
        <f>IFERROR(__xludf.DUMMYFUNCTION("""COMPUTED_VALUE"""),45949.30092272861)</f>
        <v>45949.30092</v>
      </c>
    </row>
    <row r="718">
      <c r="A718" s="1">
        <f>IFERROR(__xludf.DUMMYFUNCTION("""COMPUTED_VALUE"""),717.0)</f>
        <v>717</v>
      </c>
      <c r="B718" s="1">
        <f>IFERROR(__xludf.DUMMYFUNCTION("""COMPUTED_VALUE"""),10686.0)</f>
        <v>10686</v>
      </c>
      <c r="C718" s="13" t="str">
        <f>IFERROR(__xludf.DUMMYFUNCTION("""COMPUTED_VALUE"""),"Sari Astuti")</f>
        <v>Sari Astuti</v>
      </c>
      <c r="D718" s="2" t="str">
        <f>IFERROR(__xludf.DUMMYFUNCTION("""COMPUTED_VALUE"""),"10KM OVERALL F")</f>
        <v>10KM OVERALL F</v>
      </c>
      <c r="E718" s="1">
        <f>IFERROR(__xludf.DUMMYFUNCTION("""COMPUTED_VALUE"""),60.0)</f>
        <v>60</v>
      </c>
      <c r="F718" s="1" t="str">
        <f>IFERROR(__xludf.DUMMYFUNCTION("""COMPUTED_VALUE"""),"Female")</f>
        <v>Female</v>
      </c>
      <c r="G718" s="5">
        <f>IFERROR(__xludf.DUMMYFUNCTION("""COMPUTED_VALUE"""),0.0066838321759259255)</f>
        <v>0.006683832176</v>
      </c>
      <c r="H718" s="14">
        <f>IFERROR(__xludf.DUMMYFUNCTION("""COMPUTED_VALUE"""),0.24646185185185185)</f>
        <v>0.2464618519</v>
      </c>
      <c r="I718" s="15">
        <f>IFERROR(__xludf.DUMMYFUNCTION("""COMPUTED_VALUE"""),45949.313300176145)</f>
        <v>45949.3133</v>
      </c>
      <c r="J718" s="15">
        <f>IFERROR(__xludf.DUMMYFUNCTION("""COMPUTED_VALUE"""),45949.066838324296)</f>
        <v>45949.06684</v>
      </c>
      <c r="K718" s="15">
        <f>IFERROR(__xludf.DUMMYFUNCTION("""COMPUTED_VALUE"""),45949.26123208192)</f>
        <v>45949.26123</v>
      </c>
      <c r="L718" s="15">
        <f>IFERROR(__xludf.DUMMYFUNCTION("""COMPUTED_VALUE"""),45949.301568574745)</f>
        <v>45949.30157</v>
      </c>
    </row>
    <row r="719">
      <c r="A719" s="1">
        <f>IFERROR(__xludf.DUMMYFUNCTION("""COMPUTED_VALUE"""),718.0)</f>
        <v>718</v>
      </c>
      <c r="B719" s="1">
        <f>IFERROR(__xludf.DUMMYFUNCTION("""COMPUTED_VALUE"""),10689.0)</f>
        <v>10689</v>
      </c>
      <c r="C719" s="13" t="str">
        <f>IFERROR(__xludf.DUMMYFUNCTION("""COMPUTED_VALUE"""),"Nugroho")</f>
        <v>Nugroho</v>
      </c>
      <c r="D719" s="2" t="str">
        <f>IFERROR(__xludf.DUMMYFUNCTION("""COMPUTED_VALUE"""),"10KM OVERALL M")</f>
        <v>10KM OVERALL M</v>
      </c>
      <c r="E719" s="1">
        <f>IFERROR(__xludf.DUMMYFUNCTION("""COMPUTED_VALUE"""),578.0)</f>
        <v>578</v>
      </c>
      <c r="F719" s="1" t="str">
        <f>IFERROR(__xludf.DUMMYFUNCTION("""COMPUTED_VALUE"""),"Male")</f>
        <v>Male</v>
      </c>
      <c r="G719" s="5">
        <f>IFERROR(__xludf.DUMMYFUNCTION("""COMPUTED_VALUE"""),0.00669077662037037)</f>
        <v>0.00669077662</v>
      </c>
      <c r="H719" s="14">
        <f>IFERROR(__xludf.DUMMYFUNCTION("""COMPUTED_VALUE"""),0.24646185185185185)</f>
        <v>0.2464618519</v>
      </c>
      <c r="I719" s="15">
        <f>IFERROR(__xludf.DUMMYFUNCTION("""COMPUTED_VALUE"""),45949.31336962216)</f>
        <v>45949.31337</v>
      </c>
      <c r="J719" s="15">
        <f>IFERROR(__xludf.DUMMYFUNCTION("""COMPUTED_VALUE"""),45949.06690777031)</f>
        <v>45949.06691</v>
      </c>
      <c r="K719" s="15">
        <f>IFERROR(__xludf.DUMMYFUNCTION("""COMPUTED_VALUE"""),45949.261325818974)</f>
        <v>45949.26133</v>
      </c>
      <c r="L719" s="15">
        <f>IFERROR(__xludf.DUMMYFUNCTION("""COMPUTED_VALUE"""),45949.301624169224)</f>
        <v>45949.30162</v>
      </c>
    </row>
    <row r="720">
      <c r="A720" s="1">
        <f>IFERROR(__xludf.DUMMYFUNCTION("""COMPUTED_VALUE"""),719.0)</f>
        <v>719</v>
      </c>
      <c r="B720" s="1">
        <f>IFERROR(__xludf.DUMMYFUNCTION("""COMPUTED_VALUE"""),10752.0)</f>
        <v>10752</v>
      </c>
      <c r="C720" s="13" t="str">
        <f>IFERROR(__xludf.DUMMYFUNCTION("""COMPUTED_VALUE"""),"ITA")</f>
        <v>ITA</v>
      </c>
      <c r="D720" s="2" t="str">
        <f>IFERROR(__xludf.DUMMYFUNCTION("""COMPUTED_VALUE"""),"10KM OVERALL M")</f>
        <v>10KM OVERALL M</v>
      </c>
      <c r="E720" s="1">
        <f>IFERROR(__xludf.DUMMYFUNCTION("""COMPUTED_VALUE"""),579.0)</f>
        <v>579</v>
      </c>
      <c r="F720" s="1" t="str">
        <f>IFERROR(__xludf.DUMMYFUNCTION("""COMPUTED_VALUE"""),"Female")</f>
        <v>Female</v>
      </c>
      <c r="G720" s="5">
        <f>IFERROR(__xludf.DUMMYFUNCTION("""COMPUTED_VALUE"""),0.006706402777777778)</f>
        <v>0.006706402778</v>
      </c>
      <c r="H720" s="14">
        <f>IFERROR(__xludf.DUMMYFUNCTION("""COMPUTED_VALUE"""),0.24646185185185185)</f>
        <v>0.2464618519</v>
      </c>
      <c r="I720" s="15">
        <f>IFERROR(__xludf.DUMMYFUNCTION("""COMPUTED_VALUE"""),45949.3135258821)</f>
        <v>45949.31353</v>
      </c>
      <c r="J720" s="15">
        <f>IFERROR(__xludf.DUMMYFUNCTION("""COMPUTED_VALUE"""),45949.06706403025)</f>
        <v>45949.06706</v>
      </c>
      <c r="K720" s="15" t="str">
        <f>IFERROR(__xludf.DUMMYFUNCTION("""COMPUTED_VALUE"""),"")</f>
        <v/>
      </c>
      <c r="L720" s="15">
        <f>IFERROR(__xludf.DUMMYFUNCTION("""COMPUTED_VALUE"""),45949.30057897821)</f>
        <v>45949.30058</v>
      </c>
    </row>
    <row r="721">
      <c r="A721" s="1">
        <f>IFERROR(__xludf.DUMMYFUNCTION("""COMPUTED_VALUE"""),720.0)</f>
        <v>720</v>
      </c>
      <c r="B721" s="1">
        <f>IFERROR(__xludf.DUMMYFUNCTION("""COMPUTED_VALUE"""),10751.0)</f>
        <v>10751</v>
      </c>
      <c r="C721" s="13" t="str">
        <f>IFERROR(__xludf.DUMMYFUNCTION("""COMPUTED_VALUE"""),"JUNNAN")</f>
        <v>JUNNAN</v>
      </c>
      <c r="D721" s="2" t="str">
        <f>IFERROR(__xludf.DUMMYFUNCTION("""COMPUTED_VALUE"""),"10KM OVERALL M")</f>
        <v>10KM OVERALL M</v>
      </c>
      <c r="E721" s="1">
        <f>IFERROR(__xludf.DUMMYFUNCTION("""COMPUTED_VALUE"""),580.0)</f>
        <v>580</v>
      </c>
      <c r="F721" s="1" t="str">
        <f>IFERROR(__xludf.DUMMYFUNCTION("""COMPUTED_VALUE"""),"Male")</f>
        <v>Male</v>
      </c>
      <c r="G721" s="5">
        <f>IFERROR(__xludf.DUMMYFUNCTION("""COMPUTED_VALUE"""),0.006708832175925926)</f>
        <v>0.006708832176</v>
      </c>
      <c r="H721" s="14">
        <f>IFERROR(__xludf.DUMMYFUNCTION("""COMPUTED_VALUE"""),0.24646185185185185)</f>
        <v>0.2464618519</v>
      </c>
      <c r="I721" s="15">
        <f>IFERROR(__xludf.DUMMYFUNCTION("""COMPUTED_VALUE"""),45949.31355016945)</f>
        <v>45949.31355</v>
      </c>
      <c r="J721" s="15">
        <f>IFERROR(__xludf.DUMMYFUNCTION("""COMPUTED_VALUE"""),45949.0670883176)</f>
        <v>45949.06709</v>
      </c>
      <c r="K721" s="15">
        <f>IFERROR(__xludf.DUMMYFUNCTION("""COMPUTED_VALUE"""),45949.261158632675)</f>
        <v>45949.26116</v>
      </c>
      <c r="L721" s="15">
        <f>IFERROR(__xludf.DUMMYFUNCTION("""COMPUTED_VALUE"""),45949.30063807955)</f>
        <v>45949.30064</v>
      </c>
    </row>
    <row r="722">
      <c r="A722" s="1">
        <f>IFERROR(__xludf.DUMMYFUNCTION("""COMPUTED_VALUE"""),721.0)</f>
        <v>721</v>
      </c>
      <c r="B722" s="1">
        <f>IFERROR(__xludf.DUMMYFUNCTION("""COMPUTED_VALUE"""),10292.0)</f>
        <v>10292</v>
      </c>
      <c r="C722" s="13" t="str">
        <f>IFERROR(__xludf.DUMMYFUNCTION("""COMPUTED_VALUE"""),"Mustofa")</f>
        <v>Mustofa</v>
      </c>
      <c r="D722" s="2" t="str">
        <f>IFERROR(__xludf.DUMMYFUNCTION("""COMPUTED_VALUE"""),"10KM OVERALL M")</f>
        <v>10KM OVERALL M</v>
      </c>
      <c r="E722" s="1">
        <f>IFERROR(__xludf.DUMMYFUNCTION("""COMPUTED_VALUE"""),581.0)</f>
        <v>581</v>
      </c>
      <c r="F722" s="1" t="str">
        <f>IFERROR(__xludf.DUMMYFUNCTION("""COMPUTED_VALUE"""),"Male")</f>
        <v>Male</v>
      </c>
      <c r="G722" s="5">
        <f>IFERROR(__xludf.DUMMYFUNCTION("""COMPUTED_VALUE"""),0.006726193287037037)</f>
        <v>0.006726193287</v>
      </c>
      <c r="H722" s="14">
        <f>IFERROR(__xludf.DUMMYFUNCTION("""COMPUTED_VALUE"""),0.24646185185185185)</f>
        <v>0.2464618519</v>
      </c>
      <c r="I722" s="15">
        <f>IFERROR(__xludf.DUMMYFUNCTION("""COMPUTED_VALUE"""),45949.31372378384)</f>
        <v>45949.31372</v>
      </c>
      <c r="J722" s="15">
        <f>IFERROR(__xludf.DUMMYFUNCTION("""COMPUTED_VALUE"""),45949.06726193199)</f>
        <v>45949.06726</v>
      </c>
      <c r="K722" s="15">
        <f>IFERROR(__xludf.DUMMYFUNCTION("""COMPUTED_VALUE"""),45949.26153363807)</f>
        <v>45949.26153</v>
      </c>
      <c r="L722" s="15">
        <f>IFERROR(__xludf.DUMMYFUNCTION("""COMPUTED_VALUE"""),45949.30235369722)</f>
        <v>45949.30235</v>
      </c>
    </row>
    <row r="723">
      <c r="A723" s="1">
        <f>IFERROR(__xludf.DUMMYFUNCTION("""COMPUTED_VALUE"""),722.0)</f>
        <v>722</v>
      </c>
      <c r="B723" s="1">
        <f>IFERROR(__xludf.DUMMYFUNCTION("""COMPUTED_VALUE"""),10733.0)</f>
        <v>10733</v>
      </c>
      <c r="C723" s="13" t="str">
        <f>IFERROR(__xludf.DUMMYFUNCTION("""COMPUTED_VALUE"""),"Mangihut Bernard Sinaga")</f>
        <v>Mangihut Bernard Sinaga</v>
      </c>
      <c r="D723" s="2" t="str">
        <f>IFERROR(__xludf.DUMMYFUNCTION("""COMPUTED_VALUE"""),"10KM OVERALL M")</f>
        <v>10KM OVERALL M</v>
      </c>
      <c r="E723" s="1">
        <f>IFERROR(__xludf.DUMMYFUNCTION("""COMPUTED_VALUE"""),582.0)</f>
        <v>582</v>
      </c>
      <c r="F723" s="1" t="str">
        <f>IFERROR(__xludf.DUMMYFUNCTION("""COMPUTED_VALUE"""),"Female")</f>
        <v>Female</v>
      </c>
      <c r="G723" s="5">
        <f>IFERROR(__xludf.DUMMYFUNCTION("""COMPUTED_VALUE"""),0.006743201388888889)</f>
        <v>0.006743201389</v>
      </c>
      <c r="H723" s="14">
        <f>IFERROR(__xludf.DUMMYFUNCTION("""COMPUTED_VALUE"""),0.24646185185185185)</f>
        <v>0.2464618519</v>
      </c>
      <c r="I723" s="15">
        <f>IFERROR(__xludf.DUMMYFUNCTION("""COMPUTED_VALUE"""),45949.31389387097)</f>
        <v>45949.31389</v>
      </c>
      <c r="J723" s="15">
        <f>IFERROR(__xludf.DUMMYFUNCTION("""COMPUTED_VALUE"""),45949.06743201912)</f>
        <v>45949.06743</v>
      </c>
      <c r="K723" s="15">
        <f>IFERROR(__xludf.DUMMYFUNCTION("""COMPUTED_VALUE"""),45949.262009327766)</f>
        <v>45949.26201</v>
      </c>
      <c r="L723" s="15">
        <f>IFERROR(__xludf.DUMMYFUNCTION("""COMPUTED_VALUE"""),45949.30273875213)</f>
        <v>45949.30274</v>
      </c>
    </row>
    <row r="724">
      <c r="A724" s="1">
        <f>IFERROR(__xludf.DUMMYFUNCTION("""COMPUTED_VALUE"""),723.0)</f>
        <v>723</v>
      </c>
      <c r="B724" s="1">
        <f>IFERROR(__xludf.DUMMYFUNCTION("""COMPUTED_VALUE"""),10736.0)</f>
        <v>10736</v>
      </c>
      <c r="C724" s="13" t="str">
        <f>IFERROR(__xludf.DUMMYFUNCTION("""COMPUTED_VALUE"""),"Miftakhul Hakim Rojabi")</f>
        <v>Miftakhul Hakim Rojabi</v>
      </c>
      <c r="D724" s="2" t="str">
        <f>IFERROR(__xludf.DUMMYFUNCTION("""COMPUTED_VALUE"""),"10KM OVERALL M")</f>
        <v>10KM OVERALL M</v>
      </c>
      <c r="E724" s="1">
        <f>IFERROR(__xludf.DUMMYFUNCTION("""COMPUTED_VALUE"""),583.0)</f>
        <v>583</v>
      </c>
      <c r="F724" s="1" t="str">
        <f>IFERROR(__xludf.DUMMYFUNCTION("""COMPUTED_VALUE"""),"Male")</f>
        <v>Male</v>
      </c>
      <c r="G724" s="5">
        <f>IFERROR(__xludf.DUMMYFUNCTION("""COMPUTED_VALUE"""),0.00674390162037037)</f>
        <v>0.00674390162</v>
      </c>
      <c r="H724" s="14">
        <f>IFERROR(__xludf.DUMMYFUNCTION("""COMPUTED_VALUE"""),0.24646185185185185)</f>
        <v>0.2464618519</v>
      </c>
      <c r="I724" s="15">
        <f>IFERROR(__xludf.DUMMYFUNCTION("""COMPUTED_VALUE"""),45949.31390086646)</f>
        <v>45949.3139</v>
      </c>
      <c r="J724" s="15">
        <f>IFERROR(__xludf.DUMMYFUNCTION("""COMPUTED_VALUE"""),45949.06743901461)</f>
        <v>45949.06744</v>
      </c>
      <c r="K724" s="15">
        <f>IFERROR(__xludf.DUMMYFUNCTION("""COMPUTED_VALUE"""),45949.26197461528)</f>
        <v>45949.26197</v>
      </c>
      <c r="L724" s="15">
        <f>IFERROR(__xludf.DUMMYFUNCTION("""COMPUTED_VALUE"""),45949.30266335695)</f>
        <v>45949.30266</v>
      </c>
    </row>
    <row r="725">
      <c r="A725" s="1">
        <f>IFERROR(__xludf.DUMMYFUNCTION("""COMPUTED_VALUE"""),724.0)</f>
        <v>724</v>
      </c>
      <c r="B725" s="1">
        <f>IFERROR(__xludf.DUMMYFUNCTION("""COMPUTED_VALUE"""),10742.0)</f>
        <v>10742</v>
      </c>
      <c r="C725" s="13" t="str">
        <f>IFERROR(__xludf.DUMMYFUNCTION("""COMPUTED_VALUE"""),"Zainudin")</f>
        <v>Zainudin</v>
      </c>
      <c r="D725" s="2" t="str">
        <f>IFERROR(__xludf.DUMMYFUNCTION("""COMPUTED_VALUE"""),"10KM OVERALL M")</f>
        <v>10KM OVERALL M</v>
      </c>
      <c r="E725" s="1">
        <f>IFERROR(__xludf.DUMMYFUNCTION("""COMPUTED_VALUE"""),584.0)</f>
        <v>584</v>
      </c>
      <c r="F725" s="1" t="str">
        <f>IFERROR(__xludf.DUMMYFUNCTION("""COMPUTED_VALUE"""),"Male")</f>
        <v>Male</v>
      </c>
      <c r="G725" s="5">
        <f>IFERROR(__xludf.DUMMYFUNCTION("""COMPUTED_VALUE"""),0.006746681712962962)</f>
        <v>0.006746681713</v>
      </c>
      <c r="H725" s="14">
        <f>IFERROR(__xludf.DUMMYFUNCTION("""COMPUTED_VALUE"""),0.24646185185185185)</f>
        <v>0.2464618519</v>
      </c>
      <c r="I725" s="15">
        <f>IFERROR(__xludf.DUMMYFUNCTION("""COMPUTED_VALUE"""),45949.3139286644)</f>
        <v>45949.31393</v>
      </c>
      <c r="J725" s="15">
        <f>IFERROR(__xludf.DUMMYFUNCTION("""COMPUTED_VALUE"""),45949.06746681255)</f>
        <v>45949.06747</v>
      </c>
      <c r="K725" s="15">
        <f>IFERROR(__xludf.DUMMYFUNCTION("""COMPUTED_VALUE"""),45949.26112044637)</f>
        <v>45949.26112</v>
      </c>
      <c r="L725" s="15">
        <f>IFERROR(__xludf.DUMMYFUNCTION("""COMPUTED_VALUE"""),45949.30187417072)</f>
        <v>45949.30187</v>
      </c>
    </row>
    <row r="726">
      <c r="A726" s="1">
        <f>IFERROR(__xludf.DUMMYFUNCTION("""COMPUTED_VALUE"""),725.0)</f>
        <v>725</v>
      </c>
      <c r="B726" s="1">
        <f>IFERROR(__xludf.DUMMYFUNCTION("""COMPUTED_VALUE"""),10340.0)</f>
        <v>10340</v>
      </c>
      <c r="C726" s="13" t="str">
        <f>IFERROR(__xludf.DUMMYFUNCTION("""COMPUTED_VALUE"""),"MWH")</f>
        <v>MWH</v>
      </c>
      <c r="D726" s="2" t="str">
        <f>IFERROR(__xludf.DUMMYFUNCTION("""COMPUTED_VALUE"""),"10KM OVERALL M")</f>
        <v>10KM OVERALL M</v>
      </c>
      <c r="E726" s="1">
        <f>IFERROR(__xludf.DUMMYFUNCTION("""COMPUTED_VALUE"""),585.0)</f>
        <v>585</v>
      </c>
      <c r="F726" s="1" t="str">
        <f>IFERROR(__xludf.DUMMYFUNCTION("""COMPUTED_VALUE"""),"Male")</f>
        <v>Male</v>
      </c>
      <c r="G726" s="5">
        <f>IFERROR(__xludf.DUMMYFUNCTION("""COMPUTED_VALUE"""),0.006748503472222223)</f>
        <v>0.006748503472</v>
      </c>
      <c r="H726" s="14">
        <f>IFERROR(__xludf.DUMMYFUNCTION("""COMPUTED_VALUE"""),0.24646185185185185)</f>
        <v>0.2464618519</v>
      </c>
      <c r="I726" s="15">
        <f>IFERROR(__xludf.DUMMYFUNCTION("""COMPUTED_VALUE"""),45949.31394688217)</f>
        <v>45949.31395</v>
      </c>
      <c r="J726" s="15">
        <f>IFERROR(__xludf.DUMMYFUNCTION("""COMPUTED_VALUE"""),45949.06748503032)</f>
        <v>45949.06749</v>
      </c>
      <c r="K726" s="15">
        <f>IFERROR(__xludf.DUMMYFUNCTION("""COMPUTED_VALUE"""),45949.26113779263)</f>
        <v>45949.26114</v>
      </c>
      <c r="L726" s="15">
        <f>IFERROR(__xludf.DUMMYFUNCTION("""COMPUTED_VALUE"""),45949.30181162189)</f>
        <v>45949.30181</v>
      </c>
    </row>
    <row r="727">
      <c r="A727" s="1">
        <f>IFERROR(__xludf.DUMMYFUNCTION("""COMPUTED_VALUE"""),726.0)</f>
        <v>726</v>
      </c>
      <c r="B727" s="1">
        <f>IFERROR(__xludf.DUMMYFUNCTION("""COMPUTED_VALUE"""),10338.0)</f>
        <v>10338</v>
      </c>
      <c r="C727" s="13" t="str">
        <f>IFERROR(__xludf.DUMMYFUNCTION("""COMPUTED_VALUE"""),"Diana S")</f>
        <v>Diana S</v>
      </c>
      <c r="D727" s="2" t="str">
        <f>IFERROR(__xludf.DUMMYFUNCTION("""COMPUTED_VALUE"""),"10KM OVERALL F")</f>
        <v>10KM OVERALL F</v>
      </c>
      <c r="E727" s="1">
        <f>IFERROR(__xludf.DUMMYFUNCTION("""COMPUTED_VALUE"""),61.0)</f>
        <v>61</v>
      </c>
      <c r="F727" s="1" t="str">
        <f>IFERROR(__xludf.DUMMYFUNCTION("""COMPUTED_VALUE"""),"Female")</f>
        <v>Female</v>
      </c>
      <c r="G727" s="5">
        <f>IFERROR(__xludf.DUMMYFUNCTION("""COMPUTED_VALUE"""),0.0067529293981481485)</f>
        <v>0.006752929398</v>
      </c>
      <c r="H727" s="14">
        <f>IFERROR(__xludf.DUMMYFUNCTION("""COMPUTED_VALUE"""),0.24646185185185185)</f>
        <v>0.2464618519</v>
      </c>
      <c r="I727" s="15">
        <f>IFERROR(__xludf.DUMMYFUNCTION("""COMPUTED_VALUE"""),45949.313991140414)</f>
        <v>45949.31399</v>
      </c>
      <c r="J727" s="15">
        <f>IFERROR(__xludf.DUMMYFUNCTION("""COMPUTED_VALUE"""),45949.067529288564)</f>
        <v>45949.06753</v>
      </c>
      <c r="K727" s="15">
        <f>IFERROR(__xludf.DUMMYFUNCTION("""COMPUTED_VALUE"""),45949.26117947618)</f>
        <v>45949.26118</v>
      </c>
      <c r="L727" s="15">
        <f>IFERROR(__xludf.DUMMYFUNCTION("""COMPUTED_VALUE"""),45949.30185676151)</f>
        <v>45949.30186</v>
      </c>
    </row>
    <row r="728">
      <c r="A728" s="1">
        <f>IFERROR(__xludf.DUMMYFUNCTION("""COMPUTED_VALUE"""),727.0)</f>
        <v>727</v>
      </c>
      <c r="B728" s="1">
        <f>IFERROR(__xludf.DUMMYFUNCTION("""COMPUTED_VALUE"""),10098.0)</f>
        <v>10098</v>
      </c>
      <c r="C728" s="13" t="str">
        <f>IFERROR(__xludf.DUMMYFUNCTION("""COMPUTED_VALUE"""),"Arifin F. Lubis")</f>
        <v>Arifin F. Lubis</v>
      </c>
      <c r="D728" s="2" t="str">
        <f>IFERROR(__xludf.DUMMYFUNCTION("""COMPUTED_VALUE"""),"10KM OVERALL M")</f>
        <v>10KM OVERALL M</v>
      </c>
      <c r="E728" s="1">
        <f>IFERROR(__xludf.DUMMYFUNCTION("""COMPUTED_VALUE"""),586.0)</f>
        <v>586</v>
      </c>
      <c r="F728" s="1" t="str">
        <f>IFERROR(__xludf.DUMMYFUNCTION("""COMPUTED_VALUE"""),"Male")</f>
        <v>Male</v>
      </c>
      <c r="G728" s="5">
        <f>IFERROR(__xludf.DUMMYFUNCTION("""COMPUTED_VALUE"""),0.006759180555555555)</f>
        <v>0.006759180556</v>
      </c>
      <c r="H728" s="14">
        <f>IFERROR(__xludf.DUMMYFUNCTION("""COMPUTED_VALUE"""),0.24646185185185185)</f>
        <v>0.2464618519</v>
      </c>
      <c r="I728" s="15">
        <f>IFERROR(__xludf.DUMMYFUNCTION("""COMPUTED_VALUE"""),45949.314053660804)</f>
        <v>45949.31405</v>
      </c>
      <c r="J728" s="15">
        <f>IFERROR(__xludf.DUMMYFUNCTION("""COMPUTED_VALUE"""),45949.067591808955)</f>
        <v>45949.06759</v>
      </c>
      <c r="K728" s="15">
        <f>IFERROR(__xludf.DUMMYFUNCTION("""COMPUTED_VALUE"""),45949.26120030504)</f>
        <v>45949.2612</v>
      </c>
      <c r="L728" s="15">
        <f>IFERROR(__xludf.DUMMYFUNCTION("""COMPUTED_VALUE"""),45949.30230473499)</f>
        <v>45949.3023</v>
      </c>
    </row>
    <row r="729">
      <c r="A729" s="1">
        <f>IFERROR(__xludf.DUMMYFUNCTION("""COMPUTED_VALUE"""),728.0)</f>
        <v>728</v>
      </c>
      <c r="B729" s="1">
        <f>IFERROR(__xludf.DUMMYFUNCTION("""COMPUTED_VALUE"""),10372.0)</f>
        <v>10372</v>
      </c>
      <c r="C729" s="13" t="str">
        <f>IFERROR(__xludf.DUMMYFUNCTION("""COMPUTED_VALUE"""),"Gina")</f>
        <v>Gina</v>
      </c>
      <c r="D729" s="2" t="str">
        <f>IFERROR(__xludf.DUMMYFUNCTION("""COMPUTED_VALUE"""),"10KM OVERALL F")</f>
        <v>10KM OVERALL F</v>
      </c>
      <c r="E729" s="1">
        <f>IFERROR(__xludf.DUMMYFUNCTION("""COMPUTED_VALUE"""),62.0)</f>
        <v>62</v>
      </c>
      <c r="F729" s="1" t="str">
        <f>IFERROR(__xludf.DUMMYFUNCTION("""COMPUTED_VALUE"""),"Female")</f>
        <v>Female</v>
      </c>
      <c r="G729" s="5">
        <f>IFERROR(__xludf.DUMMYFUNCTION("""COMPUTED_VALUE"""),0.0067925590277777784)</f>
        <v>0.006792559028</v>
      </c>
      <c r="H729" s="14">
        <f>IFERROR(__xludf.DUMMYFUNCTION("""COMPUTED_VALUE"""),0.24646185185185185)</f>
        <v>0.2464618519</v>
      </c>
      <c r="I729" s="15">
        <f>IFERROR(__xludf.DUMMYFUNCTION("""COMPUTED_VALUE"""),45949.314387445615)</f>
        <v>45949.31439</v>
      </c>
      <c r="J729" s="15">
        <f>IFERROR(__xludf.DUMMYFUNCTION("""COMPUTED_VALUE"""),45949.067925593765)</f>
        <v>45949.06793</v>
      </c>
      <c r="K729" s="15">
        <f>IFERROR(__xludf.DUMMYFUNCTION("""COMPUTED_VALUE"""),45949.26045031417)</f>
        <v>45949.26045</v>
      </c>
      <c r="L729" s="15">
        <f>IFERROR(__xludf.DUMMYFUNCTION("""COMPUTED_VALUE"""),45949.302068743775)</f>
        <v>45949.30207</v>
      </c>
    </row>
    <row r="730">
      <c r="A730" s="1">
        <f>IFERROR(__xludf.DUMMYFUNCTION("""COMPUTED_VALUE"""),729.0)</f>
        <v>729</v>
      </c>
      <c r="B730" s="1">
        <f>IFERROR(__xludf.DUMMYFUNCTION("""COMPUTED_VALUE"""),10204.0)</f>
        <v>10204</v>
      </c>
      <c r="C730" s="13" t="str">
        <f>IFERROR(__xludf.DUMMYFUNCTION("""COMPUTED_VALUE"""),"Fida")</f>
        <v>Fida</v>
      </c>
      <c r="D730" s="2" t="str">
        <f>IFERROR(__xludf.DUMMYFUNCTION("""COMPUTED_VALUE"""),"10KM OVERALL F")</f>
        <v>10KM OVERALL F</v>
      </c>
      <c r="E730" s="1">
        <f>IFERROR(__xludf.DUMMYFUNCTION("""COMPUTED_VALUE"""),63.0)</f>
        <v>63</v>
      </c>
      <c r="F730" s="1" t="str">
        <f>IFERROR(__xludf.DUMMYFUNCTION("""COMPUTED_VALUE"""),"Female")</f>
        <v>Female</v>
      </c>
      <c r="G730" s="5">
        <f>IFERROR(__xludf.DUMMYFUNCTION("""COMPUTED_VALUE"""),0.006804665509259259)</f>
        <v>0.006804665509</v>
      </c>
      <c r="H730" s="14">
        <f>IFERROR(__xludf.DUMMYFUNCTION("""COMPUTED_VALUE"""),0.24646185185185185)</f>
        <v>0.2464618519</v>
      </c>
      <c r="I730" s="15">
        <f>IFERROR(__xludf.DUMMYFUNCTION("""COMPUTED_VALUE"""),45949.31450850428)</f>
        <v>45949.31451</v>
      </c>
      <c r="J730" s="15">
        <f>IFERROR(__xludf.DUMMYFUNCTION("""COMPUTED_VALUE"""),45949.06804665243)</f>
        <v>45949.06805</v>
      </c>
      <c r="K730" s="15">
        <f>IFERROR(__xludf.DUMMYFUNCTION("""COMPUTED_VALUE"""),45949.26098507194)</f>
        <v>45949.26099</v>
      </c>
      <c r="L730" s="15">
        <f>IFERROR(__xludf.DUMMYFUNCTION("""COMPUTED_VALUE"""),45949.30214149337)</f>
        <v>45949.30214</v>
      </c>
    </row>
    <row r="731">
      <c r="A731" s="1">
        <f>IFERROR(__xludf.DUMMYFUNCTION("""COMPUTED_VALUE"""),730.0)</f>
        <v>730</v>
      </c>
      <c r="B731" s="1">
        <f>IFERROR(__xludf.DUMMYFUNCTION("""COMPUTED_VALUE"""),10460.0)</f>
        <v>10460</v>
      </c>
      <c r="C731" s="13" t="str">
        <f>IFERROR(__xludf.DUMMYFUNCTION("""COMPUTED_VALUE"""),"ADY ARIEFIANTO")</f>
        <v>ADY ARIEFIANTO</v>
      </c>
      <c r="D731" s="2" t="str">
        <f>IFERROR(__xludf.DUMMYFUNCTION("""COMPUTED_VALUE"""),"10KM OVERALL M")</f>
        <v>10KM OVERALL M</v>
      </c>
      <c r="E731" s="1">
        <f>IFERROR(__xludf.DUMMYFUNCTION("""COMPUTED_VALUE"""),587.0)</f>
        <v>587</v>
      </c>
      <c r="F731" s="1" t="str">
        <f>IFERROR(__xludf.DUMMYFUNCTION("""COMPUTED_VALUE"""),"Male")</f>
        <v>Male</v>
      </c>
      <c r="G731" s="5">
        <f>IFERROR(__xludf.DUMMYFUNCTION("""COMPUTED_VALUE"""),0.006813347222222222)</f>
        <v>0.006813347222</v>
      </c>
      <c r="H731" s="14">
        <f>IFERROR(__xludf.DUMMYFUNCTION("""COMPUTED_VALUE"""),0.24646185185185185)</f>
        <v>0.2464618519</v>
      </c>
      <c r="I731" s="15">
        <f>IFERROR(__xludf.DUMMYFUNCTION("""COMPUTED_VALUE"""),45949.31459531984)</f>
        <v>45949.3146</v>
      </c>
      <c r="J731" s="15">
        <f>IFERROR(__xludf.DUMMYFUNCTION("""COMPUTED_VALUE"""),45949.06813346799)</f>
        <v>45949.06813</v>
      </c>
      <c r="K731" s="15">
        <f>IFERROR(__xludf.DUMMYFUNCTION("""COMPUTED_VALUE"""),45949.2609850951)</f>
        <v>45949.26099</v>
      </c>
      <c r="L731" s="15">
        <f>IFERROR(__xludf.DUMMYFUNCTION("""COMPUTED_VALUE"""),45949.30209982202)</f>
        <v>45949.3021</v>
      </c>
    </row>
    <row r="732">
      <c r="A732" s="1">
        <f>IFERROR(__xludf.DUMMYFUNCTION("""COMPUTED_VALUE"""),731.0)</f>
        <v>731</v>
      </c>
      <c r="B732" s="1">
        <f>IFERROR(__xludf.DUMMYFUNCTION("""COMPUTED_VALUE"""),10588.0)</f>
        <v>10588</v>
      </c>
      <c r="C732" s="13" t="str">
        <f>IFERROR(__xludf.DUMMYFUNCTION("""COMPUTED_VALUE"""),"Sagustira_09")</f>
        <v>Sagustira_09</v>
      </c>
      <c r="D732" s="2" t="str">
        <f>IFERROR(__xludf.DUMMYFUNCTION("""COMPUTED_VALUE"""),"10KM OVERALL M")</f>
        <v>10KM OVERALL M</v>
      </c>
      <c r="E732" s="1">
        <f>IFERROR(__xludf.DUMMYFUNCTION("""COMPUTED_VALUE"""),588.0)</f>
        <v>588</v>
      </c>
      <c r="F732" s="1" t="str">
        <f>IFERROR(__xludf.DUMMYFUNCTION("""COMPUTED_VALUE"""),"Male")</f>
        <v>Male</v>
      </c>
      <c r="G732" s="5">
        <f>IFERROR(__xludf.DUMMYFUNCTION("""COMPUTED_VALUE"""),0.006816471064814815)</f>
        <v>0.006816471065</v>
      </c>
      <c r="H732" s="14">
        <f>IFERROR(__xludf.DUMMYFUNCTION("""COMPUTED_VALUE"""),0.24646185185185185)</f>
        <v>0.2464618519</v>
      </c>
      <c r="I732" s="15">
        <f>IFERROR(__xludf.DUMMYFUNCTION("""COMPUTED_VALUE"""),45949.31462656062)</f>
        <v>45949.31463</v>
      </c>
      <c r="J732" s="15">
        <f>IFERROR(__xludf.DUMMYFUNCTION("""COMPUTED_VALUE"""),45949.06816470877)</f>
        <v>45949.06816</v>
      </c>
      <c r="K732" s="15">
        <f>IFERROR(__xludf.DUMMYFUNCTION("""COMPUTED_VALUE"""),45949.26071424647)</f>
        <v>45949.26071</v>
      </c>
      <c r="L732" s="15">
        <f>IFERROR(__xludf.DUMMYFUNCTION("""COMPUTED_VALUE"""),45949.30286028955)</f>
        <v>45949.30286</v>
      </c>
    </row>
    <row r="733">
      <c r="A733" s="1">
        <f>IFERROR(__xludf.DUMMYFUNCTION("""COMPUTED_VALUE"""),732.0)</f>
        <v>732</v>
      </c>
      <c r="B733" s="1">
        <f>IFERROR(__xludf.DUMMYFUNCTION("""COMPUTED_VALUE"""),10592.0)</f>
        <v>10592</v>
      </c>
      <c r="C733" s="13" t="str">
        <f>IFERROR(__xludf.DUMMYFUNCTION("""COMPUTED_VALUE"""),"Weka Novita Sari")</f>
        <v>Weka Novita Sari</v>
      </c>
      <c r="D733" s="2" t="str">
        <f>IFERROR(__xludf.DUMMYFUNCTION("""COMPUTED_VALUE"""),"10KM OVERALL F")</f>
        <v>10KM OVERALL F</v>
      </c>
      <c r="E733" s="1">
        <f>IFERROR(__xludf.DUMMYFUNCTION("""COMPUTED_VALUE"""),64.0)</f>
        <v>64</v>
      </c>
      <c r="F733" s="1" t="str">
        <f>IFERROR(__xludf.DUMMYFUNCTION("""COMPUTED_VALUE"""),"Female")</f>
        <v>Female</v>
      </c>
      <c r="G733" s="5">
        <f>IFERROR(__xludf.DUMMYFUNCTION("""COMPUTED_VALUE"""),0.006829666666666667)</f>
        <v>0.006829666667</v>
      </c>
      <c r="H733" s="14">
        <f>IFERROR(__xludf.DUMMYFUNCTION("""COMPUTED_VALUE"""),0.24646185185185185)</f>
        <v>0.2464618519</v>
      </c>
      <c r="I733" s="15">
        <f>IFERROR(__xludf.DUMMYFUNCTION("""COMPUTED_VALUE"""),45949.31475851814)</f>
        <v>45949.31476</v>
      </c>
      <c r="J733" s="15">
        <f>IFERROR(__xludf.DUMMYFUNCTION("""COMPUTED_VALUE"""),45949.06829666629)</f>
        <v>45949.0683</v>
      </c>
      <c r="K733" s="15">
        <f>IFERROR(__xludf.DUMMYFUNCTION("""COMPUTED_VALUE"""),45949.260906318996)</f>
        <v>45949.26091</v>
      </c>
      <c r="L733" s="15">
        <f>IFERROR(__xludf.DUMMYFUNCTION("""COMPUTED_VALUE"""),45949.30277348439)</f>
        <v>45949.30277</v>
      </c>
    </row>
    <row r="734">
      <c r="A734" s="1">
        <f>IFERROR(__xludf.DUMMYFUNCTION("""COMPUTED_VALUE"""),733.0)</f>
        <v>733</v>
      </c>
      <c r="B734" s="1">
        <f>IFERROR(__xludf.DUMMYFUNCTION("""COMPUTED_VALUE"""),10600.0)</f>
        <v>10600</v>
      </c>
      <c r="C734" s="13" t="str">
        <f>IFERROR(__xludf.DUMMYFUNCTION("""COMPUTED_VALUE"""),"Bunaayya A.R")</f>
        <v>Bunaayya A.R</v>
      </c>
      <c r="D734" s="2" t="str">
        <f>IFERROR(__xludf.DUMMYFUNCTION("""COMPUTED_VALUE"""),"10KM OVERALL M")</f>
        <v>10KM OVERALL M</v>
      </c>
      <c r="E734" s="1">
        <f>IFERROR(__xludf.DUMMYFUNCTION("""COMPUTED_VALUE"""),589.0)</f>
        <v>589</v>
      </c>
      <c r="F734" s="1" t="str">
        <f>IFERROR(__xludf.DUMMYFUNCTION("""COMPUTED_VALUE"""),"Male")</f>
        <v>Male</v>
      </c>
      <c r="G734" s="5">
        <f>IFERROR(__xludf.DUMMYFUNCTION("""COMPUTED_VALUE"""),0.006843907407407408)</f>
        <v>0.006843907407</v>
      </c>
      <c r="H734" s="14">
        <f>IFERROR(__xludf.DUMMYFUNCTION("""COMPUTED_VALUE"""),0.24646185185185185)</f>
        <v>0.2464618519</v>
      </c>
      <c r="I734" s="15">
        <f>IFERROR(__xludf.DUMMYFUNCTION("""COMPUTED_VALUE"""),45949.314900929116)</f>
        <v>45949.3149</v>
      </c>
      <c r="J734" s="15">
        <f>IFERROR(__xludf.DUMMYFUNCTION("""COMPUTED_VALUE"""),45949.068439077266)</f>
        <v>45949.06844</v>
      </c>
      <c r="K734" s="15">
        <f>IFERROR(__xludf.DUMMYFUNCTION("""COMPUTED_VALUE"""),45949.268665574324)</f>
        <v>45949.26867</v>
      </c>
      <c r="L734" s="15">
        <f>IFERROR(__xludf.DUMMYFUNCTION("""COMPUTED_VALUE"""),45949.305360280174)</f>
        <v>45949.30536</v>
      </c>
    </row>
    <row r="735">
      <c r="A735" s="1">
        <f>IFERROR(__xludf.DUMMYFUNCTION("""COMPUTED_VALUE"""),734.0)</f>
        <v>734</v>
      </c>
      <c r="B735" s="1">
        <f>IFERROR(__xludf.DUMMYFUNCTION("""COMPUTED_VALUE"""),10145.0)</f>
        <v>10145</v>
      </c>
      <c r="C735" s="13" t="str">
        <f>IFERROR(__xludf.DUMMYFUNCTION("""COMPUTED_VALUE"""),"NAUFAL I R")</f>
        <v>NAUFAL I R</v>
      </c>
      <c r="D735" s="2" t="str">
        <f>IFERROR(__xludf.DUMMYFUNCTION("""COMPUTED_VALUE"""),"10KM OVERALL M")</f>
        <v>10KM OVERALL M</v>
      </c>
      <c r="E735" s="1">
        <f>IFERROR(__xludf.DUMMYFUNCTION("""COMPUTED_VALUE"""),590.0)</f>
        <v>590</v>
      </c>
      <c r="F735" s="1" t="str">
        <f>IFERROR(__xludf.DUMMYFUNCTION("""COMPUTED_VALUE"""),"Male")</f>
        <v>Male</v>
      </c>
      <c r="G735" s="5">
        <f>IFERROR(__xludf.DUMMYFUNCTION("""COMPUTED_VALUE"""),0.006868207175925926)</f>
        <v>0.006868207176</v>
      </c>
      <c r="H735" s="14">
        <f>IFERROR(__xludf.DUMMYFUNCTION("""COMPUTED_VALUE"""),0.24646185185185185)</f>
        <v>0.2464618519</v>
      </c>
      <c r="I735" s="15">
        <f>IFERROR(__xludf.DUMMYFUNCTION("""COMPUTED_VALUE"""),45949.31514392255)</f>
        <v>45949.31514</v>
      </c>
      <c r="J735" s="15">
        <f>IFERROR(__xludf.DUMMYFUNCTION("""COMPUTED_VALUE"""),45949.0686820707)</f>
        <v>45949.06868</v>
      </c>
      <c r="K735" s="15">
        <f>IFERROR(__xludf.DUMMYFUNCTION("""COMPUTED_VALUE"""),45949.265321833984)</f>
        <v>45949.26532</v>
      </c>
      <c r="L735" s="15">
        <f>IFERROR(__xludf.DUMMYFUNCTION("""COMPUTED_VALUE"""),45949.304315959555)</f>
        <v>45949.30432</v>
      </c>
    </row>
    <row r="736">
      <c r="A736" s="1">
        <f>IFERROR(__xludf.DUMMYFUNCTION("""COMPUTED_VALUE"""),735.0)</f>
        <v>735</v>
      </c>
      <c r="B736" s="1">
        <f>IFERROR(__xludf.DUMMYFUNCTION("""COMPUTED_VALUE"""),10217.0)</f>
        <v>10217</v>
      </c>
      <c r="C736" s="13" t="str">
        <f>IFERROR(__xludf.DUMMYFUNCTION("""COMPUTED_VALUE"""),"SYIFA YASMIN")</f>
        <v>SYIFA YASMIN</v>
      </c>
      <c r="D736" s="2" t="str">
        <f>IFERROR(__xludf.DUMMYFUNCTION("""COMPUTED_VALUE"""),"10KM OVERALL F")</f>
        <v>10KM OVERALL F</v>
      </c>
      <c r="E736" s="1">
        <f>IFERROR(__xludf.DUMMYFUNCTION("""COMPUTED_VALUE"""),65.0)</f>
        <v>65</v>
      </c>
      <c r="F736" s="1" t="str">
        <f>IFERROR(__xludf.DUMMYFUNCTION("""COMPUTED_VALUE"""),"Female")</f>
        <v>Female</v>
      </c>
      <c r="G736" s="5">
        <f>IFERROR(__xludf.DUMMYFUNCTION("""COMPUTED_VALUE"""),0.006927605324074074)</f>
        <v>0.006927605324</v>
      </c>
      <c r="H736" s="14">
        <f>IFERROR(__xludf.DUMMYFUNCTION("""COMPUTED_VALUE"""),0.24646185185185185)</f>
        <v>0.2464618519</v>
      </c>
      <c r="I736" s="15">
        <f>IFERROR(__xludf.DUMMYFUNCTION("""COMPUTED_VALUE"""),45949.31573790731)</f>
        <v>45949.31574</v>
      </c>
      <c r="J736" s="15">
        <f>IFERROR(__xludf.DUMMYFUNCTION("""COMPUTED_VALUE"""),45949.06927605546)</f>
        <v>45949.06928</v>
      </c>
      <c r="K736" s="15">
        <f>IFERROR(__xludf.DUMMYFUNCTION("""COMPUTED_VALUE"""),45949.26186349809)</f>
        <v>45949.26186</v>
      </c>
      <c r="L736" s="15">
        <f>IFERROR(__xludf.DUMMYFUNCTION("""COMPUTED_VALUE"""),45949.30397187414)</f>
        <v>45949.30397</v>
      </c>
    </row>
    <row r="737">
      <c r="A737" s="1">
        <f>IFERROR(__xludf.DUMMYFUNCTION("""COMPUTED_VALUE"""),736.0)</f>
        <v>736</v>
      </c>
      <c r="B737" s="1">
        <f>IFERROR(__xludf.DUMMYFUNCTION("""COMPUTED_VALUE"""),10211.0)</f>
        <v>10211</v>
      </c>
      <c r="C737" s="13" t="str">
        <f>IFERROR(__xludf.DUMMYFUNCTION("""COMPUTED_VALUE"""),"PARADISOO__")</f>
        <v>PARADISOO__</v>
      </c>
      <c r="D737" s="2" t="str">
        <f>IFERROR(__xludf.DUMMYFUNCTION("""COMPUTED_VALUE"""),"10KM OVERALL M")</f>
        <v>10KM OVERALL M</v>
      </c>
      <c r="E737" s="1">
        <f>IFERROR(__xludf.DUMMYFUNCTION("""COMPUTED_VALUE"""),591.0)</f>
        <v>591</v>
      </c>
      <c r="F737" s="1" t="str">
        <f>IFERROR(__xludf.DUMMYFUNCTION("""COMPUTED_VALUE"""),"Male")</f>
        <v>Male</v>
      </c>
      <c r="G737" s="5">
        <f>IFERROR(__xludf.DUMMYFUNCTION("""COMPUTED_VALUE"""),0.006932871527777778)</f>
        <v>0.006932871528</v>
      </c>
      <c r="H737" s="14">
        <f>IFERROR(__xludf.DUMMYFUNCTION("""COMPUTED_VALUE"""),0.24646185185185185)</f>
        <v>0.2464618519</v>
      </c>
      <c r="I737" s="15">
        <f>IFERROR(__xludf.DUMMYFUNCTION("""COMPUTED_VALUE"""),45949.31579056238)</f>
        <v>45949.31579</v>
      </c>
      <c r="J737" s="15">
        <f>IFERROR(__xludf.DUMMYFUNCTION("""COMPUTED_VALUE"""),45949.06932871053)</f>
        <v>45949.06933</v>
      </c>
      <c r="K737" s="15">
        <f>IFERROR(__xludf.DUMMYFUNCTION("""COMPUTED_VALUE"""),45949.26190868428)</f>
        <v>45949.26191</v>
      </c>
      <c r="L737" s="15">
        <f>IFERROR(__xludf.DUMMYFUNCTION("""COMPUTED_VALUE"""),45949.304009597676)</f>
        <v>45949.30401</v>
      </c>
    </row>
    <row r="738">
      <c r="A738" s="1">
        <f>IFERROR(__xludf.DUMMYFUNCTION("""COMPUTED_VALUE"""),737.0)</f>
        <v>737</v>
      </c>
      <c r="B738" s="1">
        <f>IFERROR(__xludf.DUMMYFUNCTION("""COMPUTED_VALUE"""),10731.0)</f>
        <v>10731</v>
      </c>
      <c r="C738" s="13" t="str">
        <f>IFERROR(__xludf.DUMMYFUNCTION("""COMPUTED_VALUE"""),"DESI APRIANI")</f>
        <v>DESI APRIANI</v>
      </c>
      <c r="D738" s="2" t="str">
        <f>IFERROR(__xludf.DUMMYFUNCTION("""COMPUTED_VALUE"""),"10KM OVERALL M")</f>
        <v>10KM OVERALL M</v>
      </c>
      <c r="E738" s="1">
        <f>IFERROR(__xludf.DUMMYFUNCTION("""COMPUTED_VALUE"""),592.0)</f>
        <v>592</v>
      </c>
      <c r="F738" s="1" t="str">
        <f>IFERROR(__xludf.DUMMYFUNCTION("""COMPUTED_VALUE"""),"Female")</f>
        <v>Female</v>
      </c>
      <c r="G738" s="5">
        <f>IFERROR(__xludf.DUMMYFUNCTION("""COMPUTED_VALUE"""),0.006935916666666667)</f>
        <v>0.006935916667</v>
      </c>
      <c r="H738" s="14">
        <f>IFERROR(__xludf.DUMMYFUNCTION("""COMPUTED_VALUE"""),0.24646185185185185)</f>
        <v>0.2464618519</v>
      </c>
      <c r="I738" s="15">
        <f>IFERROR(__xludf.DUMMYFUNCTION("""COMPUTED_VALUE"""),45949.31582101315)</f>
        <v>45949.31582</v>
      </c>
      <c r="J738" s="15">
        <f>IFERROR(__xludf.DUMMYFUNCTION("""COMPUTED_VALUE"""),45949.0693591613)</f>
        <v>45949.06936</v>
      </c>
      <c r="K738" s="15">
        <f>IFERROR(__xludf.DUMMYFUNCTION("""COMPUTED_VALUE"""),45949.26064826584)</f>
        <v>45949.26065</v>
      </c>
      <c r="L738" s="15">
        <f>IFERROR(__xludf.DUMMYFUNCTION("""COMPUTED_VALUE"""),45949.30171126222)</f>
        <v>45949.30171</v>
      </c>
    </row>
    <row r="739">
      <c r="A739" s="1">
        <f>IFERROR(__xludf.DUMMYFUNCTION("""COMPUTED_VALUE"""),738.0)</f>
        <v>738</v>
      </c>
      <c r="B739" s="1">
        <f>IFERROR(__xludf.DUMMYFUNCTION("""COMPUTED_VALUE"""),10559.0)</f>
        <v>10559</v>
      </c>
      <c r="C739" s="13" t="str">
        <f>IFERROR(__xludf.DUMMYFUNCTION("""COMPUTED_VALUE"""),"ibunya maya fiya")</f>
        <v>ibunya maya fiya</v>
      </c>
      <c r="D739" s="2" t="str">
        <f>IFERROR(__xludf.DUMMYFUNCTION("""COMPUTED_VALUE"""),"10KM OVERALL F")</f>
        <v>10KM OVERALL F</v>
      </c>
      <c r="E739" s="1">
        <f>IFERROR(__xludf.DUMMYFUNCTION("""COMPUTED_VALUE"""),66.0)</f>
        <v>66</v>
      </c>
      <c r="F739" s="1" t="str">
        <f>IFERROR(__xludf.DUMMYFUNCTION("""COMPUTED_VALUE"""),"Female")</f>
        <v>Female</v>
      </c>
      <c r="G739" s="5">
        <f>IFERROR(__xludf.DUMMYFUNCTION("""COMPUTED_VALUE"""),0.00694702199074074)</f>
        <v>0.006947021991</v>
      </c>
      <c r="H739" s="14">
        <f>IFERROR(__xludf.DUMMYFUNCTION("""COMPUTED_VALUE"""),0.24646185185185185)</f>
        <v>0.2464618519</v>
      </c>
      <c r="I739" s="15">
        <f>IFERROR(__xludf.DUMMYFUNCTION("""COMPUTED_VALUE"""),45949.31593206781)</f>
        <v>45949.31593</v>
      </c>
      <c r="J739" s="15">
        <f>IFERROR(__xludf.DUMMYFUNCTION("""COMPUTED_VALUE"""),45949.06947021596)</f>
        <v>45949.06947</v>
      </c>
      <c r="K739" s="15">
        <f>IFERROR(__xludf.DUMMYFUNCTION("""COMPUTED_VALUE"""),45949.264943369446)</f>
        <v>45949.26494</v>
      </c>
      <c r="L739" s="15">
        <f>IFERROR(__xludf.DUMMYFUNCTION("""COMPUTED_VALUE"""),45949.30547591699)</f>
        <v>45949.30548</v>
      </c>
    </row>
    <row r="740">
      <c r="A740" s="1">
        <f>IFERROR(__xludf.DUMMYFUNCTION("""COMPUTED_VALUE"""),739.0)</f>
        <v>739</v>
      </c>
      <c r="B740" s="1">
        <f>IFERROR(__xludf.DUMMYFUNCTION("""COMPUTED_VALUE"""),10557.0)</f>
        <v>10557</v>
      </c>
      <c r="C740" s="13" t="str">
        <f>IFERROR(__xludf.DUMMYFUNCTION("""COMPUTED_VALUE"""),"bapaknya maya fiya")</f>
        <v>bapaknya maya fiya</v>
      </c>
      <c r="D740" s="2" t="str">
        <f>IFERROR(__xludf.DUMMYFUNCTION("""COMPUTED_VALUE"""),"10KM OVERALL M")</f>
        <v>10KM OVERALL M</v>
      </c>
      <c r="E740" s="1">
        <f>IFERROR(__xludf.DUMMYFUNCTION("""COMPUTED_VALUE"""),593.0)</f>
        <v>593</v>
      </c>
      <c r="F740" s="1" t="str">
        <f>IFERROR(__xludf.DUMMYFUNCTION("""COMPUTED_VALUE"""),"Male")</f>
        <v>Male</v>
      </c>
      <c r="G740" s="5">
        <f>IFERROR(__xludf.DUMMYFUNCTION("""COMPUTED_VALUE"""),0.006952236111111111)</f>
        <v>0.006952236111</v>
      </c>
      <c r="H740" s="14">
        <f>IFERROR(__xludf.DUMMYFUNCTION("""COMPUTED_VALUE"""),0.24646185185185185)</f>
        <v>0.2464618519</v>
      </c>
      <c r="I740" s="15">
        <f>IFERROR(__xludf.DUMMYFUNCTION("""COMPUTED_VALUE"""),45949.31598420926)</f>
        <v>45949.31598</v>
      </c>
      <c r="J740" s="15">
        <f>IFERROR(__xludf.DUMMYFUNCTION("""COMPUTED_VALUE"""),45949.06952235741)</f>
        <v>45949.06952</v>
      </c>
      <c r="K740" s="15">
        <f>IFERROR(__xludf.DUMMYFUNCTION("""COMPUTED_VALUE"""),45949.264384410686)</f>
        <v>45949.26438</v>
      </c>
      <c r="L740" s="15">
        <f>IFERROR(__xludf.DUMMYFUNCTION("""COMPUTED_VALUE"""),45949.305558199456)</f>
        <v>45949.30556</v>
      </c>
    </row>
    <row r="741">
      <c r="A741" s="1">
        <f>IFERROR(__xludf.DUMMYFUNCTION("""COMPUTED_VALUE"""),740.0)</f>
        <v>740</v>
      </c>
      <c r="B741" s="1">
        <f>IFERROR(__xludf.DUMMYFUNCTION("""COMPUTED_VALUE"""),10349.0)</f>
        <v>10349</v>
      </c>
      <c r="C741" s="13" t="str">
        <f>IFERROR(__xludf.DUMMYFUNCTION("""COMPUTED_VALUE"""),"AMIRIL")</f>
        <v>AMIRIL</v>
      </c>
      <c r="D741" s="2" t="str">
        <f>IFERROR(__xludf.DUMMYFUNCTION("""COMPUTED_VALUE"""),"10KM OVERALL M")</f>
        <v>10KM OVERALL M</v>
      </c>
      <c r="E741" s="1">
        <f>IFERROR(__xludf.DUMMYFUNCTION("""COMPUTED_VALUE"""),594.0)</f>
        <v>594</v>
      </c>
      <c r="F741" s="1" t="str">
        <f>IFERROR(__xludf.DUMMYFUNCTION("""COMPUTED_VALUE"""),"Male")</f>
        <v>Male</v>
      </c>
      <c r="G741" s="5">
        <f>IFERROR(__xludf.DUMMYFUNCTION("""COMPUTED_VALUE"""),0.006971333333333334)</f>
        <v>0.006971333333</v>
      </c>
      <c r="H741" s="14">
        <f>IFERROR(__xludf.DUMMYFUNCTION("""COMPUTED_VALUE"""),0.24646185185185185)</f>
        <v>0.2464618519</v>
      </c>
      <c r="I741" s="15">
        <f>IFERROR(__xludf.DUMMYFUNCTION("""COMPUTED_VALUE"""),45949.31617518679)</f>
        <v>45949.31618</v>
      </c>
      <c r="J741" s="15">
        <f>IFERROR(__xludf.DUMMYFUNCTION("""COMPUTED_VALUE"""),45949.06971333494)</f>
        <v>45949.06971</v>
      </c>
      <c r="K741" s="15">
        <f>IFERROR(__xludf.DUMMYFUNCTION("""COMPUTED_VALUE"""),45949.260585719836)</f>
        <v>45949.26059</v>
      </c>
      <c r="L741" s="15">
        <f>IFERROR(__xludf.DUMMYFUNCTION("""COMPUTED_VALUE"""),45949.304999536114)</f>
        <v>45949.305</v>
      </c>
    </row>
    <row r="742">
      <c r="A742" s="1">
        <f>IFERROR(__xludf.DUMMYFUNCTION("""COMPUTED_VALUE"""),741.0)</f>
        <v>741</v>
      </c>
      <c r="B742" s="1">
        <f>IFERROR(__xludf.DUMMYFUNCTION("""COMPUTED_VALUE"""),10548.0)</f>
        <v>10548</v>
      </c>
      <c r="C742" s="13" t="str">
        <f>IFERROR(__xludf.DUMMYFUNCTION("""COMPUTED_VALUE"""),"Alfi (Kresna Runners)")</f>
        <v>Alfi (Kresna Runners)</v>
      </c>
      <c r="D742" s="2" t="str">
        <f>IFERROR(__xludf.DUMMYFUNCTION("""COMPUTED_VALUE"""),"10KM OVERALL M")</f>
        <v>10KM OVERALL M</v>
      </c>
      <c r="E742" s="1">
        <f>IFERROR(__xludf.DUMMYFUNCTION("""COMPUTED_VALUE"""),595.0)</f>
        <v>595</v>
      </c>
      <c r="F742" s="1" t="str">
        <f>IFERROR(__xludf.DUMMYFUNCTION("""COMPUTED_VALUE"""),"Male")</f>
        <v>Male</v>
      </c>
      <c r="G742" s="5">
        <f>IFERROR(__xludf.DUMMYFUNCTION("""COMPUTED_VALUE"""),0.00704148263888889)</f>
        <v>0.007041482639</v>
      </c>
      <c r="H742" s="14">
        <f>IFERROR(__xludf.DUMMYFUNCTION("""COMPUTED_VALUE"""),0.24646185185185185)</f>
        <v>0.2464618519</v>
      </c>
      <c r="I742" s="15">
        <f>IFERROR(__xludf.DUMMYFUNCTION("""COMPUTED_VALUE"""),45949.31687667794)</f>
        <v>45949.31688</v>
      </c>
      <c r="J742" s="15">
        <f>IFERROR(__xludf.DUMMYFUNCTION("""COMPUTED_VALUE"""),45949.07041482609)</f>
        <v>45949.07041</v>
      </c>
      <c r="K742" s="15">
        <f>IFERROR(__xludf.DUMMYFUNCTION("""COMPUTED_VALUE"""),45949.263217845255)</f>
        <v>45949.26322</v>
      </c>
      <c r="L742" s="15">
        <f>IFERROR(__xludf.DUMMYFUNCTION("""COMPUTED_VALUE"""),45949.30471092725)</f>
        <v>45949.30471</v>
      </c>
    </row>
    <row r="743">
      <c r="A743" s="1">
        <f>IFERROR(__xludf.DUMMYFUNCTION("""COMPUTED_VALUE"""),742.0)</f>
        <v>742</v>
      </c>
      <c r="B743" s="1">
        <f>IFERROR(__xludf.DUMMYFUNCTION("""COMPUTED_VALUE"""),10549.0)</f>
        <v>10549</v>
      </c>
      <c r="C743" s="13" t="str">
        <f>IFERROR(__xludf.DUMMYFUNCTION("""COMPUTED_VALUE"""),"MIA")</f>
        <v>MIA</v>
      </c>
      <c r="D743" s="2" t="str">
        <f>IFERROR(__xludf.DUMMYFUNCTION("""COMPUTED_VALUE"""),"10KM OVERALL F")</f>
        <v>10KM OVERALL F</v>
      </c>
      <c r="E743" s="1">
        <f>IFERROR(__xludf.DUMMYFUNCTION("""COMPUTED_VALUE"""),67.0)</f>
        <v>67</v>
      </c>
      <c r="F743" s="1" t="str">
        <f>IFERROR(__xludf.DUMMYFUNCTION("""COMPUTED_VALUE"""),"Female")</f>
        <v>Female</v>
      </c>
      <c r="G743" s="5">
        <f>IFERROR(__xludf.DUMMYFUNCTION("""COMPUTED_VALUE"""),0.007043207175925927)</f>
        <v>0.007043207176</v>
      </c>
      <c r="H743" s="14">
        <f>IFERROR(__xludf.DUMMYFUNCTION("""COMPUTED_VALUE"""),0.24646185185185185)</f>
        <v>0.2464618519</v>
      </c>
      <c r="I743" s="15">
        <f>IFERROR(__xludf.DUMMYFUNCTION("""COMPUTED_VALUE"""),45949.31689391954)</f>
        <v>45949.31689</v>
      </c>
      <c r="J743" s="15">
        <f>IFERROR(__xludf.DUMMYFUNCTION("""COMPUTED_VALUE"""),45949.07043206769)</f>
        <v>45949.07043</v>
      </c>
      <c r="K743" s="15">
        <f>IFERROR(__xludf.DUMMYFUNCTION("""COMPUTED_VALUE"""),45949.26330793699)</f>
        <v>45949.26331</v>
      </c>
      <c r="L743" s="15">
        <f>IFERROR(__xludf.DUMMYFUNCTION("""COMPUTED_VALUE"""),45949.30458940418)</f>
        <v>45949.30459</v>
      </c>
    </row>
    <row r="744">
      <c r="A744" s="1">
        <f>IFERROR(__xludf.DUMMYFUNCTION("""COMPUTED_VALUE"""),743.0)</f>
        <v>743</v>
      </c>
      <c r="B744" s="1">
        <f>IFERROR(__xludf.DUMMYFUNCTION("""COMPUTED_VALUE"""),10065.0)</f>
        <v>10065</v>
      </c>
      <c r="C744" s="13" t="str">
        <f>IFERROR(__xludf.DUMMYFUNCTION("""COMPUTED_VALUE"""),"BERLAN")</f>
        <v>BERLAN</v>
      </c>
      <c r="D744" s="2" t="str">
        <f>IFERROR(__xludf.DUMMYFUNCTION("""COMPUTED_VALUE"""),"10KM OVERALL M")</f>
        <v>10KM OVERALL M</v>
      </c>
      <c r="E744" s="1">
        <f>IFERROR(__xludf.DUMMYFUNCTION("""COMPUTED_VALUE"""),596.0)</f>
        <v>596</v>
      </c>
      <c r="F744" s="1" t="str">
        <f>IFERROR(__xludf.DUMMYFUNCTION("""COMPUTED_VALUE"""),"Male")</f>
        <v>Male</v>
      </c>
      <c r="G744" s="5">
        <f>IFERROR(__xludf.DUMMYFUNCTION("""COMPUTED_VALUE"""),0.007093554398148148)</f>
        <v>0.007093554398</v>
      </c>
      <c r="H744" s="14">
        <f>IFERROR(__xludf.DUMMYFUNCTION("""COMPUTED_VALUE"""),0.24646185185185185)</f>
        <v>0.2464618519</v>
      </c>
      <c r="I744" s="15">
        <f>IFERROR(__xludf.DUMMYFUNCTION("""COMPUTED_VALUE"""),45949.317397397666)</f>
        <v>45949.3174</v>
      </c>
      <c r="J744" s="15">
        <f>IFERROR(__xludf.DUMMYFUNCTION("""COMPUTED_VALUE"""),45949.07093554582)</f>
        <v>45949.07094</v>
      </c>
      <c r="K744" s="15">
        <f>IFERROR(__xludf.DUMMYFUNCTION("""COMPUTED_VALUE"""),45949.26041559161)</f>
        <v>45949.26042</v>
      </c>
      <c r="L744" s="15">
        <f>IFERROR(__xludf.DUMMYFUNCTION("""COMPUTED_VALUE"""),45949.30489518194)</f>
        <v>45949.3049</v>
      </c>
    </row>
    <row r="745">
      <c r="A745" s="1">
        <f>IFERROR(__xludf.DUMMYFUNCTION("""COMPUTED_VALUE"""),744.0)</f>
        <v>744</v>
      </c>
      <c r="B745" s="1">
        <f>IFERROR(__xludf.DUMMYFUNCTION("""COMPUTED_VALUE"""),10708.0)</f>
        <v>10708</v>
      </c>
      <c r="C745" s="13" t="str">
        <f>IFERROR(__xludf.DUMMYFUNCTION("""COMPUTED_VALUE"""),"Rahmat")</f>
        <v>Rahmat</v>
      </c>
      <c r="D745" s="2" t="str">
        <f>IFERROR(__xludf.DUMMYFUNCTION("""COMPUTED_VALUE"""),"10KM OVERALL M")</f>
        <v>10KM OVERALL M</v>
      </c>
      <c r="E745" s="1">
        <f>IFERROR(__xludf.DUMMYFUNCTION("""COMPUTED_VALUE"""),597.0)</f>
        <v>597</v>
      </c>
      <c r="F745" s="1" t="str">
        <f>IFERROR(__xludf.DUMMYFUNCTION("""COMPUTED_VALUE"""),"Male")</f>
        <v>Male</v>
      </c>
      <c r="G745" s="5">
        <f>IFERROR(__xludf.DUMMYFUNCTION("""COMPUTED_VALUE"""),0.00714216550925926)</f>
        <v>0.007142165509</v>
      </c>
      <c r="H745" s="14">
        <f>IFERROR(__xludf.DUMMYFUNCTION("""COMPUTED_VALUE"""),0.24646185185185185)</f>
        <v>0.2464618519</v>
      </c>
      <c r="I745" s="15">
        <f>IFERROR(__xludf.DUMMYFUNCTION("""COMPUTED_VALUE"""),45949.31788350866)</f>
        <v>45949.31788</v>
      </c>
      <c r="J745" s="15">
        <f>IFERROR(__xludf.DUMMYFUNCTION("""COMPUTED_VALUE"""),45949.07142165681)</f>
        <v>45949.07142</v>
      </c>
      <c r="K745" s="15">
        <f>IFERROR(__xludf.DUMMYFUNCTION("""COMPUTED_VALUE"""),45949.261849608505)</f>
        <v>45949.26185</v>
      </c>
      <c r="L745" s="15">
        <f>IFERROR(__xludf.DUMMYFUNCTION("""COMPUTED_VALUE"""),45949.30429188191)</f>
        <v>45949.30429</v>
      </c>
    </row>
    <row r="746">
      <c r="A746" s="1">
        <f>IFERROR(__xludf.DUMMYFUNCTION("""COMPUTED_VALUE"""),745.0)</f>
        <v>745</v>
      </c>
      <c r="B746" s="1">
        <f>IFERROR(__xludf.DUMMYFUNCTION("""COMPUTED_VALUE"""),10052.0)</f>
        <v>10052</v>
      </c>
      <c r="C746" s="13" t="str">
        <f>IFERROR(__xludf.DUMMYFUNCTION("""COMPUTED_VALUE"""),"Mery")</f>
        <v>Mery</v>
      </c>
      <c r="D746" s="2" t="str">
        <f>IFERROR(__xludf.DUMMYFUNCTION("""COMPUTED_VALUE"""),"10KM OVERALL F")</f>
        <v>10KM OVERALL F</v>
      </c>
      <c r="E746" s="1">
        <f>IFERROR(__xludf.DUMMYFUNCTION("""COMPUTED_VALUE"""),68.0)</f>
        <v>68</v>
      </c>
      <c r="F746" s="1" t="str">
        <f>IFERROR(__xludf.DUMMYFUNCTION("""COMPUTED_VALUE"""),"Female")</f>
        <v>Female</v>
      </c>
      <c r="G746" s="5">
        <f>IFERROR(__xludf.DUMMYFUNCTION("""COMPUTED_VALUE"""),0.00720327662037037)</f>
        <v>0.00720327662</v>
      </c>
      <c r="H746" s="14">
        <f>IFERROR(__xludf.DUMMYFUNCTION("""COMPUTED_VALUE"""),0.24646185185185185)</f>
        <v>0.2464618519</v>
      </c>
      <c r="I746" s="15">
        <f>IFERROR(__xludf.DUMMYFUNCTION("""COMPUTED_VALUE"""),45949.318494614636)</f>
        <v>45949.31849</v>
      </c>
      <c r="J746" s="15">
        <f>IFERROR(__xludf.DUMMYFUNCTION("""COMPUTED_VALUE"""),45949.072032762786)</f>
        <v>45949.07203</v>
      </c>
      <c r="K746" s="15">
        <f>IFERROR(__xludf.DUMMYFUNCTION("""COMPUTED_VALUE"""),45949.266703786736)</f>
        <v>45949.2667</v>
      </c>
      <c r="L746" s="15">
        <f>IFERROR(__xludf.DUMMYFUNCTION("""COMPUTED_VALUE"""),45949.30704802772)</f>
        <v>45949.30705</v>
      </c>
    </row>
    <row r="747">
      <c r="A747" s="1">
        <f>IFERROR(__xludf.DUMMYFUNCTION("""COMPUTED_VALUE"""),746.0)</f>
        <v>746</v>
      </c>
      <c r="B747" s="1">
        <f>IFERROR(__xludf.DUMMYFUNCTION("""COMPUTED_VALUE"""),10296.0)</f>
        <v>10296</v>
      </c>
      <c r="C747" s="13" t="str">
        <f>IFERROR(__xludf.DUMMYFUNCTION("""COMPUTED_VALUE"""),"MAHATIR")</f>
        <v>MAHATIR</v>
      </c>
      <c r="D747" s="2" t="str">
        <f>IFERROR(__xludf.DUMMYFUNCTION("""COMPUTED_VALUE"""),"10KM OVERALL M")</f>
        <v>10KM OVERALL M</v>
      </c>
      <c r="E747" s="1">
        <f>IFERROR(__xludf.DUMMYFUNCTION("""COMPUTED_VALUE"""),598.0)</f>
        <v>598</v>
      </c>
      <c r="F747" s="1" t="str">
        <f>IFERROR(__xludf.DUMMYFUNCTION("""COMPUTED_VALUE"""),"Male")</f>
        <v>Male</v>
      </c>
      <c r="G747" s="5">
        <f>IFERROR(__xludf.DUMMYFUNCTION("""COMPUTED_VALUE"""),0.007211256944444444)</f>
        <v>0.007211256944</v>
      </c>
      <c r="H747" s="14">
        <f>IFERROR(__xludf.DUMMYFUNCTION("""COMPUTED_VALUE"""),0.24646185185185185)</f>
        <v>0.2464618519</v>
      </c>
      <c r="I747" s="15">
        <f>IFERROR(__xludf.DUMMYFUNCTION("""COMPUTED_VALUE"""),45949.31857442542)</f>
        <v>45949.31857</v>
      </c>
      <c r="J747" s="15">
        <f>IFERROR(__xludf.DUMMYFUNCTION("""COMPUTED_VALUE"""),45949.07211257357)</f>
        <v>45949.07211</v>
      </c>
      <c r="K747" s="15">
        <f>IFERROR(__xludf.DUMMYFUNCTION("""COMPUTED_VALUE"""),45949.26270029654)</f>
        <v>45949.2627</v>
      </c>
      <c r="L747" s="15">
        <f>IFERROR(__xludf.DUMMYFUNCTION("""COMPUTED_VALUE"""),45949.306263059676)</f>
        <v>45949.30626</v>
      </c>
    </row>
    <row r="748">
      <c r="A748" s="1">
        <f>IFERROR(__xludf.DUMMYFUNCTION("""COMPUTED_VALUE"""),747.0)</f>
        <v>747</v>
      </c>
      <c r="B748" s="1">
        <f>IFERROR(__xludf.DUMMYFUNCTION("""COMPUTED_VALUE"""),10236.0)</f>
        <v>10236</v>
      </c>
      <c r="C748" s="13" t="str">
        <f>IFERROR(__xludf.DUMMYFUNCTION("""COMPUTED_VALUE"""),"HMZ Arifin")</f>
        <v>HMZ Arifin</v>
      </c>
      <c r="D748" s="2" t="str">
        <f>IFERROR(__xludf.DUMMYFUNCTION("""COMPUTED_VALUE"""),"10KM OVERALL M")</f>
        <v>10KM OVERALL M</v>
      </c>
      <c r="E748" s="1">
        <f>IFERROR(__xludf.DUMMYFUNCTION("""COMPUTED_VALUE"""),599.0)</f>
        <v>599</v>
      </c>
      <c r="F748" s="1" t="str">
        <f>IFERROR(__xludf.DUMMYFUNCTION("""COMPUTED_VALUE"""),"Male")</f>
        <v>Male</v>
      </c>
      <c r="G748" s="5">
        <f>IFERROR(__xludf.DUMMYFUNCTION("""COMPUTED_VALUE"""),0.007330394675925926)</f>
        <v>0.007330394676</v>
      </c>
      <c r="H748" s="14">
        <f>IFERROR(__xludf.DUMMYFUNCTION("""COMPUTED_VALUE"""),0.24646185185185185)</f>
        <v>0.2464618519</v>
      </c>
      <c r="I748" s="15">
        <f>IFERROR(__xludf.DUMMYFUNCTION("""COMPUTED_VALUE"""),45949.31976579574)</f>
        <v>45949.31977</v>
      </c>
      <c r="J748" s="15">
        <f>IFERROR(__xludf.DUMMYFUNCTION("""COMPUTED_VALUE"""),45949.07330394389)</f>
        <v>45949.0733</v>
      </c>
      <c r="K748" s="15">
        <f>IFERROR(__xludf.DUMMYFUNCTION("""COMPUTED_VALUE"""),45949.267617017096)</f>
        <v>45949.26762</v>
      </c>
      <c r="L748" s="15">
        <f>IFERROR(__xludf.DUMMYFUNCTION("""COMPUTED_VALUE"""),45949.30844362068)</f>
        <v>45949.30844</v>
      </c>
    </row>
    <row r="749">
      <c r="A749" s="1">
        <f>IFERROR(__xludf.DUMMYFUNCTION("""COMPUTED_VALUE"""),748.0)</f>
        <v>748</v>
      </c>
      <c r="B749" s="1">
        <f>IFERROR(__xludf.DUMMYFUNCTION("""COMPUTED_VALUE"""),10400.0)</f>
        <v>10400</v>
      </c>
      <c r="C749" s="13" t="str">
        <f>IFERROR(__xludf.DUMMYFUNCTION("""COMPUTED_VALUE"""),"ELSY F")</f>
        <v>ELSY F</v>
      </c>
      <c r="D749" s="2" t="str">
        <f>IFERROR(__xludf.DUMMYFUNCTION("""COMPUTED_VALUE"""),"10KM OVERALL M")</f>
        <v>10KM OVERALL M</v>
      </c>
      <c r="E749" s="1">
        <f>IFERROR(__xludf.DUMMYFUNCTION("""COMPUTED_VALUE"""),600.0)</f>
        <v>600</v>
      </c>
      <c r="F749" s="1" t="str">
        <f>IFERROR(__xludf.DUMMYFUNCTION("""COMPUTED_VALUE"""),"Male")</f>
        <v>Male</v>
      </c>
      <c r="G749" s="5">
        <f>IFERROR(__xludf.DUMMYFUNCTION("""COMPUTED_VALUE"""),0.007334601851851852)</f>
        <v>0.007334601852</v>
      </c>
      <c r="H749" s="14">
        <f>IFERROR(__xludf.DUMMYFUNCTION("""COMPUTED_VALUE"""),0.24646185185185185)</f>
        <v>0.2464618519</v>
      </c>
      <c r="I749" s="15">
        <f>IFERROR(__xludf.DUMMYFUNCTION("""COMPUTED_VALUE"""),45949.31980786925)</f>
        <v>45949.31981</v>
      </c>
      <c r="J749" s="15">
        <f>IFERROR(__xludf.DUMMYFUNCTION("""COMPUTED_VALUE"""),45949.0733460174)</f>
        <v>45949.07335</v>
      </c>
      <c r="K749" s="15">
        <f>IFERROR(__xludf.DUMMYFUNCTION("""COMPUTED_VALUE"""),45949.26230793769)</f>
        <v>45949.26231</v>
      </c>
      <c r="L749" s="15">
        <f>IFERROR(__xludf.DUMMYFUNCTION("""COMPUTED_VALUE"""),45949.3071519643)</f>
        <v>45949.30715</v>
      </c>
    </row>
    <row r="750">
      <c r="A750" s="1">
        <f>IFERROR(__xludf.DUMMYFUNCTION("""COMPUTED_VALUE"""),749.0)</f>
        <v>749</v>
      </c>
      <c r="B750" s="1">
        <f>IFERROR(__xludf.DUMMYFUNCTION("""COMPUTED_VALUE"""),10646.0)</f>
        <v>10646</v>
      </c>
      <c r="C750" s="13" t="str">
        <f>IFERROR(__xludf.DUMMYFUNCTION("""COMPUTED_VALUE"""),"Yuda Amrullah")</f>
        <v>Yuda Amrullah</v>
      </c>
      <c r="D750" s="2" t="str">
        <f>IFERROR(__xludf.DUMMYFUNCTION("""COMPUTED_VALUE"""),"10KM OVERALL M")</f>
        <v>10KM OVERALL M</v>
      </c>
      <c r="E750" s="1">
        <f>IFERROR(__xludf.DUMMYFUNCTION("""COMPUTED_VALUE"""),601.0)</f>
        <v>601</v>
      </c>
      <c r="F750" s="1" t="str">
        <f>IFERROR(__xludf.DUMMYFUNCTION("""COMPUTED_VALUE"""),"Male")</f>
        <v>Male</v>
      </c>
      <c r="G750" s="5">
        <f>IFERROR(__xludf.DUMMYFUNCTION("""COMPUTED_VALUE"""),0.007401187500000001)</f>
        <v>0.0074011875</v>
      </c>
      <c r="H750" s="14">
        <f>IFERROR(__xludf.DUMMYFUNCTION("""COMPUTED_VALUE"""),0.24646185185185185)</f>
        <v>0.2464618519</v>
      </c>
      <c r="I750" s="15">
        <f>IFERROR(__xludf.DUMMYFUNCTION("""COMPUTED_VALUE"""),45949.32047373147)</f>
        <v>45949.32047</v>
      </c>
      <c r="J750" s="15">
        <f>IFERROR(__xludf.DUMMYFUNCTION("""COMPUTED_VALUE"""),45949.074011879624)</f>
        <v>45949.07401</v>
      </c>
      <c r="K750" s="15">
        <f>IFERROR(__xludf.DUMMYFUNCTION("""COMPUTED_VALUE"""),45949.269526696786)</f>
        <v>45949.26953</v>
      </c>
      <c r="L750" s="15">
        <f>IFERROR(__xludf.DUMMYFUNCTION("""COMPUTED_VALUE"""),45949.30812480512)</f>
        <v>45949.30812</v>
      </c>
    </row>
    <row r="751">
      <c r="A751" s="1">
        <f>IFERROR(__xludf.DUMMYFUNCTION("""COMPUTED_VALUE"""),750.0)</f>
        <v>750</v>
      </c>
      <c r="B751" s="1">
        <f>IFERROR(__xludf.DUMMYFUNCTION("""COMPUTED_VALUE"""),10447.0)</f>
        <v>10447</v>
      </c>
      <c r="C751" s="13" t="str">
        <f>IFERROR(__xludf.DUMMYFUNCTION("""COMPUTED_VALUE"""),"Hidayat Kaperbomen")</f>
        <v>Hidayat Kaperbomen</v>
      </c>
      <c r="D751" s="2" t="str">
        <f>IFERROR(__xludf.DUMMYFUNCTION("""COMPUTED_VALUE"""),"10KM OVERALL M")</f>
        <v>10KM OVERALL M</v>
      </c>
      <c r="E751" s="1">
        <f>IFERROR(__xludf.DUMMYFUNCTION("""COMPUTED_VALUE"""),602.0)</f>
        <v>602</v>
      </c>
      <c r="F751" s="1" t="str">
        <f>IFERROR(__xludf.DUMMYFUNCTION("""COMPUTED_VALUE"""),"Male")</f>
        <v>Male</v>
      </c>
      <c r="G751" s="5">
        <f>IFERROR(__xludf.DUMMYFUNCTION("""COMPUTED_VALUE"""),0.007412356481481482)</f>
        <v>0.007412356481</v>
      </c>
      <c r="H751" s="14">
        <f>IFERROR(__xludf.DUMMYFUNCTION("""COMPUTED_VALUE"""),0.24646185185185185)</f>
        <v>0.2464618519</v>
      </c>
      <c r="I751" s="15">
        <f>IFERROR(__xludf.DUMMYFUNCTION("""COMPUTED_VALUE"""),45949.32058541182)</f>
        <v>45949.32059</v>
      </c>
      <c r="J751" s="15">
        <f>IFERROR(__xludf.DUMMYFUNCTION("""COMPUTED_VALUE"""),45949.07412355997)</f>
        <v>45949.07412</v>
      </c>
      <c r="K751" s="15">
        <f>IFERROR(__xludf.DUMMYFUNCTION("""COMPUTED_VALUE"""),45949.26954410328)</f>
        <v>45949.26954</v>
      </c>
      <c r="L751" s="15">
        <f>IFERROR(__xludf.DUMMYFUNCTION("""COMPUTED_VALUE"""),45949.30812758729)</f>
        <v>45949.30813</v>
      </c>
    </row>
    <row r="752">
      <c r="A752" s="1">
        <f>IFERROR(__xludf.DUMMYFUNCTION("""COMPUTED_VALUE"""),751.0)</f>
        <v>751</v>
      </c>
      <c r="B752" s="1">
        <f>IFERROR(__xludf.DUMMYFUNCTION("""COMPUTED_VALUE"""),10149.0)</f>
        <v>10149</v>
      </c>
      <c r="C752" s="13" t="str">
        <f>IFERROR(__xludf.DUMMYFUNCTION("""COMPUTED_VALUE"""),"Ahmad Abdul Aziz")</f>
        <v>Ahmad Abdul Aziz</v>
      </c>
      <c r="D752" s="2" t="str">
        <f>IFERROR(__xludf.DUMMYFUNCTION("""COMPUTED_VALUE"""),"10KM OVERALL M")</f>
        <v>10KM OVERALL M</v>
      </c>
      <c r="E752" s="1">
        <f>IFERROR(__xludf.DUMMYFUNCTION("""COMPUTED_VALUE"""),603.0)</f>
        <v>603</v>
      </c>
      <c r="F752" s="1" t="str">
        <f>IFERROR(__xludf.DUMMYFUNCTION("""COMPUTED_VALUE"""),"Male")</f>
        <v>Male</v>
      </c>
      <c r="G752" s="5">
        <f>IFERROR(__xludf.DUMMYFUNCTION("""COMPUTED_VALUE"""),0.00742063773148148)</f>
        <v>0.007420637731</v>
      </c>
      <c r="H752" s="14">
        <f>IFERROR(__xludf.DUMMYFUNCTION("""COMPUTED_VALUE"""),0.24646185185185185)</f>
        <v>0.2464618519</v>
      </c>
      <c r="I752" s="15">
        <f>IFERROR(__xludf.DUMMYFUNCTION("""COMPUTED_VALUE"""),45949.320668224515)</f>
        <v>45949.32067</v>
      </c>
      <c r="J752" s="15">
        <f>IFERROR(__xludf.DUMMYFUNCTION("""COMPUTED_VALUE"""),45949.074206372665)</f>
        <v>45949.07421</v>
      </c>
      <c r="K752" s="15">
        <f>IFERROR(__xludf.DUMMYFUNCTION("""COMPUTED_VALUE"""),45949.26454404765)</f>
        <v>45949.26454</v>
      </c>
      <c r="L752" s="15">
        <f>IFERROR(__xludf.DUMMYFUNCTION("""COMPUTED_VALUE"""),45949.30937065931)</f>
        <v>45949.30937</v>
      </c>
    </row>
    <row r="753">
      <c r="A753" s="1">
        <f>IFERROR(__xludf.DUMMYFUNCTION("""COMPUTED_VALUE"""),752.0)</f>
        <v>752</v>
      </c>
      <c r="B753" s="1">
        <f>IFERROR(__xludf.DUMMYFUNCTION("""COMPUTED_VALUE"""),10113.0)</f>
        <v>10113</v>
      </c>
      <c r="C753" s="13" t="str">
        <f>IFERROR(__xludf.DUMMYFUNCTION("""COMPUTED_VALUE"""),"CAHYA KAMILA")</f>
        <v>CAHYA KAMILA</v>
      </c>
      <c r="D753" s="2" t="str">
        <f>IFERROR(__xludf.DUMMYFUNCTION("""COMPUTED_VALUE"""),"10KM OVERALL F")</f>
        <v>10KM OVERALL F</v>
      </c>
      <c r="E753" s="1">
        <f>IFERROR(__xludf.DUMMYFUNCTION("""COMPUTED_VALUE"""),69.0)</f>
        <v>69</v>
      </c>
      <c r="F753" s="1" t="str">
        <f>IFERROR(__xludf.DUMMYFUNCTION("""COMPUTED_VALUE"""),"Female")</f>
        <v>Female</v>
      </c>
      <c r="G753" s="5">
        <f>IFERROR(__xludf.DUMMYFUNCTION("""COMPUTED_VALUE"""),0.007445284722222221)</f>
        <v>0.007445284722</v>
      </c>
      <c r="H753" s="14">
        <f>IFERROR(__xludf.DUMMYFUNCTION("""COMPUTED_VALUE"""),0.24646185185185185)</f>
        <v>0.2464618519</v>
      </c>
      <c r="I753" s="15">
        <f>IFERROR(__xludf.DUMMYFUNCTION("""COMPUTED_VALUE"""),45949.32091470399)</f>
        <v>45949.32091</v>
      </c>
      <c r="J753" s="15">
        <f>IFERROR(__xludf.DUMMYFUNCTION("""COMPUTED_VALUE"""),45949.07445285214)</f>
        <v>45949.07445</v>
      </c>
      <c r="K753" s="15">
        <f>IFERROR(__xludf.DUMMYFUNCTION("""COMPUTED_VALUE"""),45949.262169046815)</f>
        <v>45949.26217</v>
      </c>
      <c r="L753" s="15">
        <f>IFERROR(__xludf.DUMMYFUNCTION("""COMPUTED_VALUE"""),45949.308301660276)</f>
        <v>45949.3083</v>
      </c>
    </row>
    <row r="754">
      <c r="A754" s="1">
        <f>IFERROR(__xludf.DUMMYFUNCTION("""COMPUTED_VALUE"""),753.0)</f>
        <v>753</v>
      </c>
      <c r="B754" s="1">
        <f>IFERROR(__xludf.DUMMYFUNCTION("""COMPUTED_VALUE"""),10470.0)</f>
        <v>10470</v>
      </c>
      <c r="C754" s="13" t="str">
        <f>IFERROR(__xludf.DUMMYFUNCTION("""COMPUTED_VALUE"""),"MARJUNI")</f>
        <v>MARJUNI</v>
      </c>
      <c r="D754" s="2" t="str">
        <f>IFERROR(__xludf.DUMMYFUNCTION("""COMPUTED_VALUE"""),"10KM OVERALL M")</f>
        <v>10KM OVERALL M</v>
      </c>
      <c r="E754" s="1">
        <f>IFERROR(__xludf.DUMMYFUNCTION("""COMPUTED_VALUE"""),604.0)</f>
        <v>604</v>
      </c>
      <c r="F754" s="1" t="str">
        <f>IFERROR(__xludf.DUMMYFUNCTION("""COMPUTED_VALUE"""),"Male")</f>
        <v>Male</v>
      </c>
      <c r="G754" s="5">
        <f>IFERROR(__xludf.DUMMYFUNCTION("""COMPUTED_VALUE"""),0.007486957175925926)</f>
        <v>0.007486957176</v>
      </c>
      <c r="H754" s="14">
        <f>IFERROR(__xludf.DUMMYFUNCTION("""COMPUTED_VALUE"""),0.24646185185185185)</f>
        <v>0.2464618519</v>
      </c>
      <c r="I754" s="15">
        <f>IFERROR(__xludf.DUMMYFUNCTION("""COMPUTED_VALUE"""),45949.321331419815)</f>
        <v>45949.32133</v>
      </c>
      <c r="J754" s="15">
        <f>IFERROR(__xludf.DUMMYFUNCTION("""COMPUTED_VALUE"""),45949.074869567965)</f>
        <v>45949.07487</v>
      </c>
      <c r="K754" s="15">
        <f>IFERROR(__xludf.DUMMYFUNCTION("""COMPUTED_VALUE"""),45949.261950466076)</f>
        <v>45949.26195</v>
      </c>
      <c r="L754" s="15">
        <f>IFERROR(__xludf.DUMMYFUNCTION("""COMPUTED_VALUE"""),45949.30811369451)</f>
        <v>45949.30811</v>
      </c>
    </row>
    <row r="755">
      <c r="A755" s="1">
        <f>IFERROR(__xludf.DUMMYFUNCTION("""COMPUTED_VALUE"""),754.0)</f>
        <v>754</v>
      </c>
      <c r="B755" s="1">
        <f>IFERROR(__xludf.DUMMYFUNCTION("""COMPUTED_VALUE"""),10262.0)</f>
        <v>10262</v>
      </c>
      <c r="C755" s="13" t="str">
        <f>IFERROR(__xludf.DUMMYFUNCTION("""COMPUTED_VALUE"""),"Doni Martien Laksono")</f>
        <v>Doni Martien Laksono</v>
      </c>
      <c r="D755" s="2" t="str">
        <f>IFERROR(__xludf.DUMMYFUNCTION("""COMPUTED_VALUE"""),"10KM OVERALL M")</f>
        <v>10KM OVERALL M</v>
      </c>
      <c r="E755" s="1">
        <f>IFERROR(__xludf.DUMMYFUNCTION("""COMPUTED_VALUE"""),605.0)</f>
        <v>605</v>
      </c>
      <c r="F755" s="1" t="str">
        <f>IFERROR(__xludf.DUMMYFUNCTION("""COMPUTED_VALUE"""),"Male")</f>
        <v>Male</v>
      </c>
      <c r="G755" s="5">
        <f>IFERROR(__xludf.DUMMYFUNCTION("""COMPUTED_VALUE"""),0.007819943287037038)</f>
        <v>0.007819943287</v>
      </c>
      <c r="H755" s="14">
        <f>IFERROR(__xludf.DUMMYFUNCTION("""COMPUTED_VALUE"""),0.24646185185185185)</f>
        <v>0.2464618519</v>
      </c>
      <c r="I755" s="15">
        <f>IFERROR(__xludf.DUMMYFUNCTION("""COMPUTED_VALUE"""),45949.32466128128)</f>
        <v>45949.32466</v>
      </c>
      <c r="J755" s="15">
        <f>IFERROR(__xludf.DUMMYFUNCTION("""COMPUTED_VALUE"""),45949.07819942943)</f>
        <v>45949.0782</v>
      </c>
      <c r="K755" s="15">
        <f>IFERROR(__xludf.DUMMYFUNCTION("""COMPUTED_VALUE"""),45949.26335655929)</f>
        <v>45949.26336</v>
      </c>
      <c r="L755" s="15">
        <f>IFERROR(__xludf.DUMMYFUNCTION("""COMPUTED_VALUE"""),45949.31112765098)</f>
        <v>45949.31113</v>
      </c>
    </row>
    <row r="756">
      <c r="A756" s="1">
        <f>IFERROR(__xludf.DUMMYFUNCTION("""COMPUTED_VALUE"""),755.0)</f>
        <v>755</v>
      </c>
      <c r="B756" s="1">
        <f>IFERROR(__xludf.DUMMYFUNCTION("""COMPUTED_VALUE"""),10221.0)</f>
        <v>10221</v>
      </c>
      <c r="C756" s="13" t="str">
        <f>IFERROR(__xludf.DUMMYFUNCTION("""COMPUTED_VALUE"""),"Joo")</f>
        <v>Joo</v>
      </c>
      <c r="D756" s="2" t="str">
        <f>IFERROR(__xludf.DUMMYFUNCTION("""COMPUTED_VALUE"""),"10KM OVERALL M")</f>
        <v>10KM OVERALL M</v>
      </c>
      <c r="E756" s="1">
        <f>IFERROR(__xludf.DUMMYFUNCTION("""COMPUTED_VALUE"""),606.0)</f>
        <v>606</v>
      </c>
      <c r="F756" s="1" t="str">
        <f>IFERROR(__xludf.DUMMYFUNCTION("""COMPUTED_VALUE"""),"Male")</f>
        <v>Male</v>
      </c>
      <c r="G756" s="5">
        <f>IFERROR(__xludf.DUMMYFUNCTION("""COMPUTED_VALUE"""),0.007820678240740741)</f>
        <v>0.007820678241</v>
      </c>
      <c r="H756" s="14">
        <f>IFERROR(__xludf.DUMMYFUNCTION("""COMPUTED_VALUE"""),0.24646185185185185)</f>
        <v>0.2464618519</v>
      </c>
      <c r="I756" s="15">
        <f>IFERROR(__xludf.DUMMYFUNCTION("""COMPUTED_VALUE"""),45949.324668629124)</f>
        <v>45949.32467</v>
      </c>
      <c r="J756" s="15">
        <f>IFERROR(__xludf.DUMMYFUNCTION("""COMPUTED_VALUE"""),45949.078206777274)</f>
        <v>45949.07821</v>
      </c>
      <c r="K756" s="15">
        <f>IFERROR(__xludf.DUMMYFUNCTION("""COMPUTED_VALUE"""),45949.2633392404)</f>
        <v>45949.26334</v>
      </c>
      <c r="L756" s="15">
        <f>IFERROR(__xludf.DUMMYFUNCTION("""COMPUTED_VALUE"""),45949.311114154676)</f>
        <v>45949.31111</v>
      </c>
    </row>
    <row r="757">
      <c r="A757" s="1">
        <f>IFERROR(__xludf.DUMMYFUNCTION("""COMPUTED_VALUE"""),756.0)</f>
        <v>756</v>
      </c>
      <c r="B757" s="1">
        <f>IFERROR(__xludf.DUMMYFUNCTION("""COMPUTED_VALUE"""),10303.0)</f>
        <v>10303</v>
      </c>
      <c r="C757" s="13" t="str">
        <f>IFERROR(__xludf.DUMMYFUNCTION("""COMPUTED_VALUE"""),"Sari")</f>
        <v>Sari</v>
      </c>
      <c r="D757" s="2" t="str">
        <f>IFERROR(__xludf.DUMMYFUNCTION("""COMPUTED_VALUE"""),"10KM OVERALL F")</f>
        <v>10KM OVERALL F</v>
      </c>
      <c r="E757" s="1">
        <f>IFERROR(__xludf.DUMMYFUNCTION("""COMPUTED_VALUE"""),70.0)</f>
        <v>70</v>
      </c>
      <c r="F757" s="1" t="str">
        <f>IFERROR(__xludf.DUMMYFUNCTION("""COMPUTED_VALUE"""),"Female")</f>
        <v>Female</v>
      </c>
      <c r="G757" s="5">
        <f>IFERROR(__xludf.DUMMYFUNCTION("""COMPUTED_VALUE"""),0.007897732638888887)</f>
        <v>0.007897732639</v>
      </c>
      <c r="H757" s="14">
        <f>IFERROR(__xludf.DUMMYFUNCTION("""COMPUTED_VALUE"""),0.24646185185185185)</f>
        <v>0.2464618519</v>
      </c>
      <c r="I757" s="15">
        <f>IFERROR(__xludf.DUMMYFUNCTION("""COMPUTED_VALUE"""),45949.32543918358)</f>
        <v>45949.32544</v>
      </c>
      <c r="J757" s="15">
        <f>IFERROR(__xludf.DUMMYFUNCTION("""COMPUTED_VALUE"""),45949.07897733173)</f>
        <v>45949.07898</v>
      </c>
      <c r="K757" s="15">
        <f>IFERROR(__xludf.DUMMYFUNCTION("""COMPUTED_VALUE"""),45949.26561002493)</f>
        <v>45949.26561</v>
      </c>
      <c r="L757" s="15">
        <f>IFERROR(__xludf.DUMMYFUNCTION("""COMPUTED_VALUE"""),45949.31237759382)</f>
        <v>45949.31238</v>
      </c>
    </row>
    <row r="758">
      <c r="A758" s="1">
        <f>IFERROR(__xludf.DUMMYFUNCTION("""COMPUTED_VALUE"""),757.0)</f>
        <v>757</v>
      </c>
      <c r="B758" s="1">
        <f>IFERROR(__xludf.DUMMYFUNCTION("""COMPUTED_VALUE"""),10112.0)</f>
        <v>10112</v>
      </c>
      <c r="C758" s="13" t="str">
        <f>IFERROR(__xludf.DUMMYFUNCTION("""COMPUTED_VALUE"""),"ELSA KEMALA")</f>
        <v>ELSA KEMALA</v>
      </c>
      <c r="D758" s="2" t="str">
        <f>IFERROR(__xludf.DUMMYFUNCTION("""COMPUTED_VALUE"""),"10KM OVERALL F")</f>
        <v>10KM OVERALL F</v>
      </c>
      <c r="E758" s="1">
        <f>IFERROR(__xludf.DUMMYFUNCTION("""COMPUTED_VALUE"""),71.0)</f>
        <v>71</v>
      </c>
      <c r="F758" s="1" t="str">
        <f>IFERROR(__xludf.DUMMYFUNCTION("""COMPUTED_VALUE"""),"Female")</f>
        <v>Female</v>
      </c>
      <c r="G758" s="5">
        <f>IFERROR(__xludf.DUMMYFUNCTION("""COMPUTED_VALUE"""),0.007907444444444444)</f>
        <v>0.007907444444</v>
      </c>
      <c r="H758" s="14">
        <f>IFERROR(__xludf.DUMMYFUNCTION("""COMPUTED_VALUE"""),0.24646185185185185)</f>
        <v>0.2464618519</v>
      </c>
      <c r="I758" s="15">
        <f>IFERROR(__xludf.DUMMYFUNCTION("""COMPUTED_VALUE"""),45949.325536293865)</f>
        <v>45949.32554</v>
      </c>
      <c r="J758" s="15">
        <f>IFERROR(__xludf.DUMMYFUNCTION("""COMPUTED_VALUE"""),45949.079074442016)</f>
        <v>45949.07907</v>
      </c>
      <c r="K758" s="15">
        <f>IFERROR(__xludf.DUMMYFUNCTION("""COMPUTED_VALUE"""),45949.2622594374)</f>
        <v>45949.26226</v>
      </c>
      <c r="L758" s="15">
        <f>IFERROR(__xludf.DUMMYFUNCTION("""COMPUTED_VALUE"""),45949.31166932389)</f>
        <v>45949.31167</v>
      </c>
    </row>
    <row r="759">
      <c r="A759" s="1">
        <f>IFERROR(__xludf.DUMMYFUNCTION("""COMPUTED_VALUE"""),758.0)</f>
        <v>758</v>
      </c>
      <c r="B759" s="1">
        <f>IFERROR(__xludf.DUMMYFUNCTION("""COMPUTED_VALUE"""),10274.0)</f>
        <v>10274</v>
      </c>
      <c r="C759" s="13" t="str">
        <f>IFERROR(__xludf.DUMMYFUNCTION("""COMPUTED_VALUE"""),"Momo")</f>
        <v>Momo</v>
      </c>
      <c r="D759" s="2" t="str">
        <f>IFERROR(__xludf.DUMMYFUNCTION("""COMPUTED_VALUE"""),"10KM OVERALL M")</f>
        <v>10KM OVERALL M</v>
      </c>
      <c r="E759" s="1">
        <f>IFERROR(__xludf.DUMMYFUNCTION("""COMPUTED_VALUE"""),607.0)</f>
        <v>607</v>
      </c>
      <c r="F759" s="1" t="str">
        <f>IFERROR(__xludf.DUMMYFUNCTION("""COMPUTED_VALUE"""),"Male")</f>
        <v>Male</v>
      </c>
      <c r="G759" s="5">
        <f>IFERROR(__xludf.DUMMYFUNCTION("""COMPUTED_VALUE"""),0.008228814814814816)</f>
        <v>0.008228814815</v>
      </c>
      <c r="H759" s="14">
        <f>IFERROR(__xludf.DUMMYFUNCTION("""COMPUTED_VALUE"""),0.24646185185185185)</f>
        <v>0.2464618519</v>
      </c>
      <c r="I759" s="15">
        <f>IFERROR(__xludf.DUMMYFUNCTION("""COMPUTED_VALUE"""),45949.32875)</f>
        <v>45949.32875</v>
      </c>
      <c r="J759" s="15">
        <f>IFERROR(__xludf.DUMMYFUNCTION("""COMPUTED_VALUE"""),45949.08228814815)</f>
        <v>45949.08229</v>
      </c>
      <c r="K759" s="15">
        <f>IFERROR(__xludf.DUMMYFUNCTION("""COMPUTED_VALUE"""),45949.257262930085)</f>
        <v>45949.25726</v>
      </c>
      <c r="L759" s="15">
        <f>IFERROR(__xludf.DUMMYFUNCTION("""COMPUTED_VALUE"""),45949.28078019145)</f>
        <v>45949.28078</v>
      </c>
    </row>
    <row r="760">
      <c r="A760" s="1">
        <f>IFERROR(__xludf.DUMMYFUNCTION("""COMPUTED_VALUE"""),759.0)</f>
        <v>759</v>
      </c>
      <c r="B760" s="1">
        <f>IFERROR(__xludf.DUMMYFUNCTION("""COMPUTED_VALUE"""),10004.0)</f>
        <v>10004</v>
      </c>
      <c r="C760" s="13" t="str">
        <f>IFERROR(__xludf.DUMMYFUNCTION("""COMPUTED_VALUE"""),"Sulistiyana")</f>
        <v>Sulistiyana</v>
      </c>
      <c r="D760" s="2" t="str">
        <f>IFERROR(__xludf.DUMMYFUNCTION("""COMPUTED_VALUE"""),"10KM OVERALL F")</f>
        <v>10KM OVERALL F</v>
      </c>
      <c r="E760" s="1">
        <f>IFERROR(__xludf.DUMMYFUNCTION("""COMPUTED_VALUE"""),72.0)</f>
        <v>72</v>
      </c>
      <c r="F760" s="1" t="str">
        <f>IFERROR(__xludf.DUMMYFUNCTION("""COMPUTED_VALUE"""),"Female")</f>
        <v>Female</v>
      </c>
      <c r="G760" s="5">
        <f>IFERROR(__xludf.DUMMYFUNCTION("""COMPUTED_VALUE"""),0.00919977199074074)</f>
        <v>0.009199771991</v>
      </c>
      <c r="H760" s="14">
        <f>IFERROR(__xludf.DUMMYFUNCTION("""COMPUTED_VALUE"""),0.24646185185185185)</f>
        <v>0.2464618519</v>
      </c>
      <c r="I760" s="15">
        <f>IFERROR(__xludf.DUMMYFUNCTION("""COMPUTED_VALUE"""),45949.3384595691)</f>
        <v>45949.33846</v>
      </c>
      <c r="J760" s="15">
        <f>IFERROR(__xludf.DUMMYFUNCTION("""COMPUTED_VALUE"""),45949.09199771725)</f>
        <v>45949.092</v>
      </c>
      <c r="K760" s="15">
        <f>IFERROR(__xludf.DUMMYFUNCTION("""COMPUTED_VALUE"""),45949.2796933506)</f>
        <v>45949.27969</v>
      </c>
      <c r="L760" s="15">
        <f>IFERROR(__xludf.DUMMYFUNCTION("""COMPUTED_VALUE"""),45949.32506166909)</f>
        <v>45949.32506</v>
      </c>
    </row>
    <row r="761">
      <c r="A761" s="1" t="str">
        <f>IFERROR(__xludf.DUMMYFUNCTION("""COMPUTED_VALUE"""),"DNF")</f>
        <v>DNF</v>
      </c>
      <c r="B761" s="1">
        <f>IFERROR(__xludf.DUMMYFUNCTION("""COMPUTED_VALUE"""),12082.0)</f>
        <v>12082</v>
      </c>
      <c r="C761" s="13" t="str">
        <f>IFERROR(__xludf.DUMMYFUNCTION("""COMPUTED_VALUE"""),"Andifa Alaydrus")</f>
        <v>Andifa Alaydrus</v>
      </c>
      <c r="D761" s="2" t="str">
        <f>IFERROR(__xludf.DUMMYFUNCTION("""COMPUTED_VALUE"""),"10KM MASTER F")</f>
        <v>10KM MASTER F</v>
      </c>
      <c r="E761" s="1" t="str">
        <f>IFERROR(__xludf.DUMMYFUNCTION("""COMPUTED_VALUE"""),"DNF")</f>
        <v>DNF</v>
      </c>
      <c r="F761" s="1" t="str">
        <f>IFERROR(__xludf.DUMMYFUNCTION("""COMPUTED_VALUE"""),"Female")</f>
        <v>Female</v>
      </c>
      <c r="G761" s="5" t="str">
        <f>IFERROR(__xludf.DUMMYFUNCTION("""COMPUTED_VALUE"""),"")</f>
        <v/>
      </c>
      <c r="H761" s="14">
        <f>IFERROR(__xludf.DUMMYFUNCTION("""COMPUTED_VALUE"""),0.24646185185185185)</f>
        <v>0.2464618519</v>
      </c>
      <c r="I761" s="15" t="str">
        <f>IFERROR(__xludf.DUMMYFUNCTION("""COMPUTED_VALUE"""),"")</f>
        <v/>
      </c>
      <c r="J761" s="15" t="str">
        <f>IFERROR(__xludf.DUMMYFUNCTION("""COMPUTED_VALUE"""),"")</f>
        <v/>
      </c>
      <c r="K761" s="15">
        <f>IFERROR(__xludf.DUMMYFUNCTION("""COMPUTED_VALUE"""),45949.25571076695)</f>
        <v>45949.25571</v>
      </c>
      <c r="L761" s="15" t="str">
        <f>IFERROR(__xludf.DUMMYFUNCTION("""COMPUTED_VALUE"""),"")</f>
        <v/>
      </c>
    </row>
    <row r="762">
      <c r="A762" s="1" t="str">
        <f>IFERROR(__xludf.DUMMYFUNCTION("""COMPUTED_VALUE"""),"DNF")</f>
        <v>DNF</v>
      </c>
      <c r="B762" s="1">
        <f>IFERROR(__xludf.DUMMYFUNCTION("""COMPUTED_VALUE"""),10365.0)</f>
        <v>10365</v>
      </c>
      <c r="C762" s="13" t="str">
        <f>IFERROR(__xludf.DUMMYFUNCTION("""COMPUTED_VALUE"""),"Eka F R")</f>
        <v>Eka F R</v>
      </c>
      <c r="D762" s="2" t="str">
        <f>IFERROR(__xludf.DUMMYFUNCTION("""COMPUTED_VALUE"""),"10KM OVERALL F")</f>
        <v>10KM OVERALL F</v>
      </c>
      <c r="E762" s="1" t="str">
        <f>IFERROR(__xludf.DUMMYFUNCTION("""COMPUTED_VALUE"""),"DNF")</f>
        <v>DNF</v>
      </c>
      <c r="F762" s="1" t="str">
        <f>IFERROR(__xludf.DUMMYFUNCTION("""COMPUTED_VALUE"""),"Female")</f>
        <v>Female</v>
      </c>
      <c r="G762" s="5" t="str">
        <f>IFERROR(__xludf.DUMMYFUNCTION("""COMPUTED_VALUE"""),"")</f>
        <v/>
      </c>
      <c r="H762" s="14">
        <f>IFERROR(__xludf.DUMMYFUNCTION("""COMPUTED_VALUE"""),0.24646185185185185)</f>
        <v>0.2464618519</v>
      </c>
      <c r="I762" s="15" t="str">
        <f>IFERROR(__xludf.DUMMYFUNCTION("""COMPUTED_VALUE"""),"")</f>
        <v/>
      </c>
      <c r="J762" s="15" t="str">
        <f>IFERROR(__xludf.DUMMYFUNCTION("""COMPUTED_VALUE"""),"")</f>
        <v/>
      </c>
      <c r="K762" s="15">
        <f>IFERROR(__xludf.DUMMYFUNCTION("""COMPUTED_VALUE"""),45949.27089128208)</f>
        <v>45949.27089</v>
      </c>
      <c r="L762" s="15">
        <f>IFERROR(__xludf.DUMMYFUNCTION("""COMPUTED_VALUE"""),45949.31122136472)</f>
        <v>45949.31122</v>
      </c>
    </row>
    <row r="763">
      <c r="A763" s="1" t="str">
        <f>IFERROR(__xludf.DUMMYFUNCTION("""COMPUTED_VALUE"""),"DNF")</f>
        <v>DNF</v>
      </c>
      <c r="B763" s="1">
        <f>IFERROR(__xludf.DUMMYFUNCTION("""COMPUTED_VALUE"""),10092.0)</f>
        <v>10092</v>
      </c>
      <c r="C763" s="13" t="str">
        <f>IFERROR(__xludf.DUMMYFUNCTION("""COMPUTED_VALUE"""),"Mas As")</f>
        <v>Mas As</v>
      </c>
      <c r="D763" s="2" t="str">
        <f>IFERROR(__xludf.DUMMYFUNCTION("""COMPUTED_VALUE"""),"10KM OVERALL M")</f>
        <v>10KM OVERALL M</v>
      </c>
      <c r="E763" s="1" t="str">
        <f>IFERROR(__xludf.DUMMYFUNCTION("""COMPUTED_VALUE"""),"DNF")</f>
        <v>DNF</v>
      </c>
      <c r="F763" s="1" t="str">
        <f>IFERROR(__xludf.DUMMYFUNCTION("""COMPUTED_VALUE"""),"Male")</f>
        <v>Male</v>
      </c>
      <c r="G763" s="5" t="str">
        <f>IFERROR(__xludf.DUMMYFUNCTION("""COMPUTED_VALUE"""),"")</f>
        <v/>
      </c>
      <c r="H763" s="14">
        <f>IFERROR(__xludf.DUMMYFUNCTION("""COMPUTED_VALUE"""),0.24646185185185185)</f>
        <v>0.2464618519</v>
      </c>
      <c r="I763" s="15" t="str">
        <f>IFERROR(__xludf.DUMMYFUNCTION("""COMPUTED_VALUE"""),"")</f>
        <v/>
      </c>
      <c r="J763" s="15" t="str">
        <f>IFERROR(__xludf.DUMMYFUNCTION("""COMPUTED_VALUE"""),"")</f>
        <v/>
      </c>
      <c r="K763" s="15">
        <f>IFERROR(__xludf.DUMMYFUNCTION("""COMPUTED_VALUE"""),45949.256724602776)</f>
        <v>45949.25672</v>
      </c>
      <c r="L763" s="15">
        <f>IFERROR(__xludf.DUMMYFUNCTION("""COMPUTED_VALUE"""),45949.28290521017)</f>
        <v>45949.28291</v>
      </c>
    </row>
    <row r="764">
      <c r="A764" s="1" t="str">
        <f>IFERROR(__xludf.DUMMYFUNCTION("""COMPUTED_VALUE"""),"DNF")</f>
        <v>DNF</v>
      </c>
      <c r="B764" s="1">
        <f>IFERROR(__xludf.DUMMYFUNCTION("""COMPUTED_VALUE"""),10171.0)</f>
        <v>10171</v>
      </c>
      <c r="C764" s="13" t="str">
        <f>IFERROR(__xludf.DUMMYFUNCTION("""COMPUTED_VALUE"""),"IKHSAN SURYA ILHAM")</f>
        <v>IKHSAN SURYA ILHAM</v>
      </c>
      <c r="D764" s="2" t="str">
        <f>IFERROR(__xludf.DUMMYFUNCTION("""COMPUTED_VALUE"""),"10KM OVERALL M")</f>
        <v>10KM OVERALL M</v>
      </c>
      <c r="E764" s="1" t="str">
        <f>IFERROR(__xludf.DUMMYFUNCTION("""COMPUTED_VALUE"""),"DNF")</f>
        <v>DNF</v>
      </c>
      <c r="F764" s="1" t="str">
        <f>IFERROR(__xludf.DUMMYFUNCTION("""COMPUTED_VALUE"""),"Male")</f>
        <v>Male</v>
      </c>
      <c r="G764" s="5" t="str">
        <f>IFERROR(__xludf.DUMMYFUNCTION("""COMPUTED_VALUE"""),"")</f>
        <v/>
      </c>
      <c r="H764" s="14">
        <f>IFERROR(__xludf.DUMMYFUNCTION("""COMPUTED_VALUE"""),0.24646185185185185)</f>
        <v>0.2464618519</v>
      </c>
      <c r="I764" s="15" t="str">
        <f>IFERROR(__xludf.DUMMYFUNCTION("""COMPUTED_VALUE"""),"")</f>
        <v/>
      </c>
      <c r="J764" s="15" t="str">
        <f>IFERROR(__xludf.DUMMYFUNCTION("""COMPUTED_VALUE"""),"")</f>
        <v/>
      </c>
      <c r="K764" s="15">
        <f>IFERROR(__xludf.DUMMYFUNCTION("""COMPUTED_VALUE"""),45949.25598848824)</f>
        <v>45949.25599</v>
      </c>
      <c r="L764" s="15" t="str">
        <f>IFERROR(__xludf.DUMMYFUNCTION("""COMPUTED_VALUE"""),"")</f>
        <v/>
      </c>
    </row>
    <row r="765">
      <c r="A765" s="1" t="str">
        <f>IFERROR(__xludf.DUMMYFUNCTION("""COMPUTED_VALUE"""),"DNF")</f>
        <v>DNF</v>
      </c>
      <c r="B765" s="1">
        <f>IFERROR(__xludf.DUMMYFUNCTION("""COMPUTED_VALUE"""),10320.0)</f>
        <v>10320</v>
      </c>
      <c r="C765" s="13" t="str">
        <f>IFERROR(__xludf.DUMMYFUNCTION("""COMPUTED_VALUE"""),"NICOLLLL")</f>
        <v>NICOLLLL</v>
      </c>
      <c r="D765" s="2" t="str">
        <f>IFERROR(__xludf.DUMMYFUNCTION("""COMPUTED_VALUE"""),"10KM OVERALL M")</f>
        <v>10KM OVERALL M</v>
      </c>
      <c r="E765" s="1" t="str">
        <f>IFERROR(__xludf.DUMMYFUNCTION("""COMPUTED_VALUE"""),"DNF")</f>
        <v>DNF</v>
      </c>
      <c r="F765" s="1" t="str">
        <f>IFERROR(__xludf.DUMMYFUNCTION("""COMPUTED_VALUE"""),"Male")</f>
        <v>Male</v>
      </c>
      <c r="G765" s="5" t="str">
        <f>IFERROR(__xludf.DUMMYFUNCTION("""COMPUTED_VALUE"""),"")</f>
        <v/>
      </c>
      <c r="H765" s="14">
        <f>IFERROR(__xludf.DUMMYFUNCTION("""COMPUTED_VALUE"""),0.24646185185185185)</f>
        <v>0.2464618519</v>
      </c>
      <c r="I765" s="15" t="str">
        <f>IFERROR(__xludf.DUMMYFUNCTION("""COMPUTED_VALUE"""),"")</f>
        <v/>
      </c>
      <c r="J765" s="15" t="str">
        <f>IFERROR(__xludf.DUMMYFUNCTION("""COMPUTED_VALUE"""),"")</f>
        <v/>
      </c>
      <c r="K765" s="15">
        <f>IFERROR(__xludf.DUMMYFUNCTION("""COMPUTED_VALUE"""),45949.259384397024)</f>
        <v>45949.25938</v>
      </c>
      <c r="L765" s="15">
        <f>IFERROR(__xludf.DUMMYFUNCTION("""COMPUTED_VALUE"""),45949.291686617726)</f>
        <v>45949.29169</v>
      </c>
    </row>
    <row r="766">
      <c r="A766" s="1" t="str">
        <f>IFERROR(__xludf.DUMMYFUNCTION("""COMPUTED_VALUE"""),"DNF")</f>
        <v>DNF</v>
      </c>
      <c r="B766" s="1">
        <f>IFERROR(__xludf.DUMMYFUNCTION("""COMPUTED_VALUE"""),10658.0)</f>
        <v>10658</v>
      </c>
      <c r="C766" s="13" t="str">
        <f>IFERROR(__xludf.DUMMYFUNCTION("""COMPUTED_VALUE"""),"Juvanda")</f>
        <v>Juvanda</v>
      </c>
      <c r="D766" s="2" t="str">
        <f>IFERROR(__xludf.DUMMYFUNCTION("""COMPUTED_VALUE"""),"10KM OVERALL M")</f>
        <v>10KM OVERALL M</v>
      </c>
      <c r="E766" s="1" t="str">
        <f>IFERROR(__xludf.DUMMYFUNCTION("""COMPUTED_VALUE"""),"DNF")</f>
        <v>DNF</v>
      </c>
      <c r="F766" s="1" t="str">
        <f>IFERROR(__xludf.DUMMYFUNCTION("""COMPUTED_VALUE"""),"Male")</f>
        <v>Male</v>
      </c>
      <c r="G766" s="5" t="str">
        <f>IFERROR(__xludf.DUMMYFUNCTION("""COMPUTED_VALUE"""),"")</f>
        <v/>
      </c>
      <c r="H766" s="14">
        <f>IFERROR(__xludf.DUMMYFUNCTION("""COMPUTED_VALUE"""),0.24646185185185185)</f>
        <v>0.2464618519</v>
      </c>
      <c r="I766" s="15" t="str">
        <f>IFERROR(__xludf.DUMMYFUNCTION("""COMPUTED_VALUE"""),"")</f>
        <v/>
      </c>
      <c r="J766" s="15" t="str">
        <f>IFERROR(__xludf.DUMMYFUNCTION("""COMPUTED_VALUE"""),"")</f>
        <v/>
      </c>
      <c r="K766" s="15">
        <f>IFERROR(__xludf.DUMMYFUNCTION("""COMPUTED_VALUE"""),45949.26118293626)</f>
        <v>45949.26118</v>
      </c>
      <c r="L766" s="15">
        <f>IFERROR(__xludf.DUMMYFUNCTION("""COMPUTED_VALUE"""),45949.2940686892)</f>
        <v>45949.29407</v>
      </c>
    </row>
    <row r="767">
      <c r="A767" s="1" t="str">
        <f>IFERROR(__xludf.DUMMYFUNCTION("""COMPUTED_VALUE"""),"DNF")</f>
        <v>DNF</v>
      </c>
      <c r="B767" s="1">
        <f>IFERROR(__xludf.DUMMYFUNCTION("""COMPUTED_VALUE"""),10762.0)</f>
        <v>10762</v>
      </c>
      <c r="C767" s="13" t="str">
        <f>IFERROR(__xludf.DUMMYFUNCTION("""COMPUTED_VALUE"""),"KA SPN")</f>
        <v>KA SPN</v>
      </c>
      <c r="D767" s="2" t="str">
        <f>IFERROR(__xludf.DUMMYFUNCTION("""COMPUTED_VALUE"""),"10KM OVERALL M")</f>
        <v>10KM OVERALL M</v>
      </c>
      <c r="E767" s="1" t="str">
        <f>IFERROR(__xludf.DUMMYFUNCTION("""COMPUTED_VALUE"""),"DNF")</f>
        <v>DNF</v>
      </c>
      <c r="F767" s="1" t="str">
        <f>IFERROR(__xludf.DUMMYFUNCTION("""COMPUTED_VALUE"""),"Female")</f>
        <v>Female</v>
      </c>
      <c r="G767" s="5" t="str">
        <f>IFERROR(__xludf.DUMMYFUNCTION("""COMPUTED_VALUE"""),"")</f>
        <v/>
      </c>
      <c r="H767" s="14">
        <f>IFERROR(__xludf.DUMMYFUNCTION("""COMPUTED_VALUE"""),0.24646185185185185)</f>
        <v>0.2464618519</v>
      </c>
      <c r="I767" s="15" t="str">
        <f>IFERROR(__xludf.DUMMYFUNCTION("""COMPUTED_VALUE"""),"")</f>
        <v/>
      </c>
      <c r="J767" s="15" t="str">
        <f>IFERROR(__xludf.DUMMYFUNCTION("""COMPUTED_VALUE"""),"")</f>
        <v/>
      </c>
      <c r="K767" s="15">
        <f>IFERROR(__xludf.DUMMYFUNCTION("""COMPUTED_VALUE"""),45949.27210655404)</f>
        <v>45949.27211</v>
      </c>
      <c r="L767" s="15" t="str">
        <f>IFERROR(__xludf.DUMMYFUNCTION("""COMPUTED_VALUE"""),"")</f>
        <v/>
      </c>
    </row>
    <row r="768">
      <c r="A768" s="1" t="str">
        <f>IFERROR(__xludf.DUMMYFUNCTION("""COMPUTED_VALUE"""),"DSQ")</f>
        <v>DSQ</v>
      </c>
      <c r="B768" s="1">
        <f>IFERROR(__xludf.DUMMYFUNCTION("""COMPUTED_VALUE"""),12029.0)</f>
        <v>12029</v>
      </c>
      <c r="C768" s="13" t="str">
        <f>IFERROR(__xludf.DUMMYFUNCTION("""COMPUTED_VALUE"""),"renaannida")</f>
        <v>renaannida</v>
      </c>
      <c r="D768" s="2" t="str">
        <f>IFERROR(__xludf.DUMMYFUNCTION("""COMPUTED_VALUE"""),"10KM MASTER F")</f>
        <v>10KM MASTER F</v>
      </c>
      <c r="E768" s="1" t="str">
        <f>IFERROR(__xludf.DUMMYFUNCTION("""COMPUTED_VALUE"""),"DSQ")</f>
        <v>DSQ</v>
      </c>
      <c r="F768" s="1" t="str">
        <f>IFERROR(__xludf.DUMMYFUNCTION("""COMPUTED_VALUE"""),"Female")</f>
        <v>Female</v>
      </c>
      <c r="G768" s="5">
        <f>IFERROR(__xludf.DUMMYFUNCTION("""COMPUTED_VALUE"""),0.004297813657407407)</f>
        <v>0.004297813657</v>
      </c>
      <c r="H768" s="14">
        <f>IFERROR(__xludf.DUMMYFUNCTION("""COMPUTED_VALUE"""),0.24646185185185185)</f>
        <v>0.2464618519</v>
      </c>
      <c r="I768" s="15">
        <f>IFERROR(__xludf.DUMMYFUNCTION("""COMPUTED_VALUE"""),45949.2894399896)</f>
        <v>45949.28944</v>
      </c>
      <c r="J768" s="15">
        <f>IFERROR(__xludf.DUMMYFUNCTION("""COMPUTED_VALUE"""),45949.04297813775)</f>
        <v>45949.04298</v>
      </c>
      <c r="K768" s="15">
        <f>IFERROR(__xludf.DUMMYFUNCTION("""COMPUTED_VALUE"""),45949.25560655685)</f>
        <v>45949.25561</v>
      </c>
      <c r="L768" s="15">
        <f>IFERROR(__xludf.DUMMYFUNCTION("""COMPUTED_VALUE"""),45949.281603101954)</f>
        <v>45949.2816</v>
      </c>
    </row>
    <row r="769">
      <c r="A769" s="1" t="str">
        <f>IFERROR(__xludf.DUMMYFUNCTION("""COMPUTED_VALUE"""),"DSQ")</f>
        <v>DSQ</v>
      </c>
      <c r="B769" s="1">
        <f>IFERROR(__xludf.DUMMYFUNCTION("""COMPUTED_VALUE"""),12068.0)</f>
        <v>12068</v>
      </c>
      <c r="C769" s="13" t="str">
        <f>IFERROR(__xludf.DUMMYFUNCTION("""COMPUTED_VALUE"""),"sinta")</f>
        <v>sinta</v>
      </c>
      <c r="D769" s="2" t="str">
        <f>IFERROR(__xludf.DUMMYFUNCTION("""COMPUTED_VALUE"""),"10KM MASTER F")</f>
        <v>10KM MASTER F</v>
      </c>
      <c r="E769" s="1" t="str">
        <f>IFERROR(__xludf.DUMMYFUNCTION("""COMPUTED_VALUE"""),"DSQ")</f>
        <v>DSQ</v>
      </c>
      <c r="F769" s="1" t="str">
        <f>IFERROR(__xludf.DUMMYFUNCTION("""COMPUTED_VALUE"""),"Female")</f>
        <v>Female</v>
      </c>
      <c r="G769" s="5" t="str">
        <f>IFERROR(__xludf.DUMMYFUNCTION("""COMPUTED_VALUE"""),"")</f>
        <v/>
      </c>
      <c r="H769" s="14">
        <f>IFERROR(__xludf.DUMMYFUNCTION("""COMPUTED_VALUE"""),0.24646185185185185)</f>
        <v>0.2464618519</v>
      </c>
      <c r="I769" s="15" t="str">
        <f>IFERROR(__xludf.DUMMYFUNCTION("""COMPUTED_VALUE"""),"")</f>
        <v/>
      </c>
      <c r="J769" s="15" t="str">
        <f>IFERROR(__xludf.DUMMYFUNCTION("""COMPUTED_VALUE"""),"")</f>
        <v/>
      </c>
      <c r="K769" s="15" t="str">
        <f>IFERROR(__xludf.DUMMYFUNCTION("""COMPUTED_VALUE"""),"")</f>
        <v/>
      </c>
      <c r="L769" s="15" t="str">
        <f>IFERROR(__xludf.DUMMYFUNCTION("""COMPUTED_VALUE"""),"")</f>
        <v/>
      </c>
    </row>
    <row r="770">
      <c r="A770" s="1" t="str">
        <f>IFERROR(__xludf.DUMMYFUNCTION("""COMPUTED_VALUE"""),"DSQ")</f>
        <v>DSQ</v>
      </c>
      <c r="B770" s="1">
        <f>IFERROR(__xludf.DUMMYFUNCTION("""COMPUTED_VALUE"""),12088.0)</f>
        <v>12088</v>
      </c>
      <c r="C770" s="13" t="str">
        <f>IFERROR(__xludf.DUMMYFUNCTION("""COMPUTED_VALUE"""),"Yuni alfa")</f>
        <v>Yuni alfa</v>
      </c>
      <c r="D770" s="2" t="str">
        <f>IFERROR(__xludf.DUMMYFUNCTION("""COMPUTED_VALUE"""),"10KM MASTER F")</f>
        <v>10KM MASTER F</v>
      </c>
      <c r="E770" s="1" t="str">
        <f>IFERROR(__xludf.DUMMYFUNCTION("""COMPUTED_VALUE"""),"DSQ")</f>
        <v>DSQ</v>
      </c>
      <c r="F770" s="1" t="str">
        <f>IFERROR(__xludf.DUMMYFUNCTION("""COMPUTED_VALUE"""),"Female")</f>
        <v>Female</v>
      </c>
      <c r="G770" s="5" t="str">
        <f>IFERROR(__xludf.DUMMYFUNCTION("""COMPUTED_VALUE"""),"")</f>
        <v/>
      </c>
      <c r="H770" s="14">
        <f>IFERROR(__xludf.DUMMYFUNCTION("""COMPUTED_VALUE"""),0.24646185185185185)</f>
        <v>0.2464618519</v>
      </c>
      <c r="I770" s="15" t="str">
        <f>IFERROR(__xludf.DUMMYFUNCTION("""COMPUTED_VALUE"""),"")</f>
        <v/>
      </c>
      <c r="J770" s="15" t="str">
        <f>IFERROR(__xludf.DUMMYFUNCTION("""COMPUTED_VALUE"""),"")</f>
        <v/>
      </c>
      <c r="K770" s="15" t="str">
        <f>IFERROR(__xludf.DUMMYFUNCTION("""COMPUTED_VALUE"""),"")</f>
        <v/>
      </c>
      <c r="L770" s="15" t="str">
        <f>IFERROR(__xludf.DUMMYFUNCTION("""COMPUTED_VALUE"""),"")</f>
        <v/>
      </c>
    </row>
    <row r="771">
      <c r="A771" s="1" t="str">
        <f>IFERROR(__xludf.DUMMYFUNCTION("""COMPUTED_VALUE"""),"DSQ")</f>
        <v>DSQ</v>
      </c>
      <c r="B771" s="1">
        <f>IFERROR(__xludf.DUMMYFUNCTION("""COMPUTED_VALUE"""),12007.0)</f>
        <v>12007</v>
      </c>
      <c r="C771" s="13" t="str">
        <f>IFERROR(__xludf.DUMMYFUNCTION("""COMPUTED_VALUE"""),"arrayyan")</f>
        <v>arrayyan</v>
      </c>
      <c r="D771" s="2" t="str">
        <f>IFERROR(__xludf.DUMMYFUNCTION("""COMPUTED_VALUE"""),"10KM MASTER M")</f>
        <v>10KM MASTER M</v>
      </c>
      <c r="E771" s="1" t="str">
        <f>IFERROR(__xludf.DUMMYFUNCTION("""COMPUTED_VALUE"""),"DSQ")</f>
        <v>DSQ</v>
      </c>
      <c r="F771" s="1" t="str">
        <f>IFERROR(__xludf.DUMMYFUNCTION("""COMPUTED_VALUE"""),"Male")</f>
        <v>Male</v>
      </c>
      <c r="G771" s="5" t="str">
        <f>IFERROR(__xludf.DUMMYFUNCTION("""COMPUTED_VALUE"""),"")</f>
        <v/>
      </c>
      <c r="H771" s="14">
        <f>IFERROR(__xludf.DUMMYFUNCTION("""COMPUTED_VALUE"""),0.24646185185185185)</f>
        <v>0.2464618519</v>
      </c>
      <c r="I771" s="15" t="str">
        <f>IFERROR(__xludf.DUMMYFUNCTION("""COMPUTED_VALUE"""),"")</f>
        <v/>
      </c>
      <c r="J771" s="15" t="str">
        <f>IFERROR(__xludf.DUMMYFUNCTION("""COMPUTED_VALUE"""),"")</f>
        <v/>
      </c>
      <c r="K771" s="15" t="str">
        <f>IFERROR(__xludf.DUMMYFUNCTION("""COMPUTED_VALUE"""),"")</f>
        <v/>
      </c>
      <c r="L771" s="15" t="str">
        <f>IFERROR(__xludf.DUMMYFUNCTION("""COMPUTED_VALUE"""),"")</f>
        <v/>
      </c>
    </row>
    <row r="772">
      <c r="A772" s="1" t="str">
        <f>IFERROR(__xludf.DUMMYFUNCTION("""COMPUTED_VALUE"""),"DSQ")</f>
        <v>DSQ</v>
      </c>
      <c r="B772" s="1">
        <f>IFERROR(__xludf.DUMMYFUNCTION("""COMPUTED_VALUE"""),12020.0)</f>
        <v>12020</v>
      </c>
      <c r="C772" s="13" t="str">
        <f>IFERROR(__xludf.DUMMYFUNCTION("""COMPUTED_VALUE"""),"Kainan Rasendria")</f>
        <v>Kainan Rasendria</v>
      </c>
      <c r="D772" s="2" t="str">
        <f>IFERROR(__xludf.DUMMYFUNCTION("""COMPUTED_VALUE"""),"10KM MASTER M")</f>
        <v>10KM MASTER M</v>
      </c>
      <c r="E772" s="1" t="str">
        <f>IFERROR(__xludf.DUMMYFUNCTION("""COMPUTED_VALUE"""),"DSQ")</f>
        <v>DSQ</v>
      </c>
      <c r="F772" s="1" t="str">
        <f>IFERROR(__xludf.DUMMYFUNCTION("""COMPUTED_VALUE"""),"Male")</f>
        <v>Male</v>
      </c>
      <c r="G772" s="5">
        <f>IFERROR(__xludf.DUMMYFUNCTION("""COMPUTED_VALUE"""),0.005393265046296296)</f>
        <v>0.005393265046</v>
      </c>
      <c r="H772" s="14">
        <f>IFERROR(__xludf.DUMMYFUNCTION("""COMPUTED_VALUE"""),0.24646185185185185)</f>
        <v>0.2464618519</v>
      </c>
      <c r="I772" s="15">
        <f>IFERROR(__xludf.DUMMYFUNCTION("""COMPUTED_VALUE"""),45949.30039450389)</f>
        <v>45949.30039</v>
      </c>
      <c r="J772" s="15">
        <f>IFERROR(__xludf.DUMMYFUNCTION("""COMPUTED_VALUE"""),45949.05393265204)</f>
        <v>45949.05393</v>
      </c>
      <c r="K772" s="15" t="str">
        <f>IFERROR(__xludf.DUMMYFUNCTION("""COMPUTED_VALUE"""),"")</f>
        <v/>
      </c>
      <c r="L772" s="15" t="str">
        <f>IFERROR(__xludf.DUMMYFUNCTION("""COMPUTED_VALUE"""),"")</f>
        <v/>
      </c>
    </row>
    <row r="773">
      <c r="A773" s="1" t="str">
        <f>IFERROR(__xludf.DUMMYFUNCTION("""COMPUTED_VALUE"""),"DSQ")</f>
        <v>DSQ</v>
      </c>
      <c r="B773" s="1">
        <f>IFERROR(__xludf.DUMMYFUNCTION("""COMPUTED_VALUE"""),12036.0)</f>
        <v>12036</v>
      </c>
      <c r="C773" s="13" t="str">
        <f>IFERROR(__xludf.DUMMYFUNCTION("""COMPUTED_VALUE"""),"Hadi")</f>
        <v>Hadi</v>
      </c>
      <c r="D773" s="2" t="str">
        <f>IFERROR(__xludf.DUMMYFUNCTION("""COMPUTED_VALUE"""),"10KM MASTER M")</f>
        <v>10KM MASTER M</v>
      </c>
      <c r="E773" s="1" t="str">
        <f>IFERROR(__xludf.DUMMYFUNCTION("""COMPUTED_VALUE"""),"DSQ")</f>
        <v>DSQ</v>
      </c>
      <c r="F773" s="1" t="str">
        <f>IFERROR(__xludf.DUMMYFUNCTION("""COMPUTED_VALUE"""),"Male")</f>
        <v>Male</v>
      </c>
      <c r="G773" s="5" t="str">
        <f>IFERROR(__xludf.DUMMYFUNCTION("""COMPUTED_VALUE"""),"")</f>
        <v/>
      </c>
      <c r="H773" s="14">
        <f>IFERROR(__xludf.DUMMYFUNCTION("""COMPUTED_VALUE"""),0.24646185185185185)</f>
        <v>0.2464618519</v>
      </c>
      <c r="I773" s="15" t="str">
        <f>IFERROR(__xludf.DUMMYFUNCTION("""COMPUTED_VALUE"""),"")</f>
        <v/>
      </c>
      <c r="J773" s="15" t="str">
        <f>IFERROR(__xludf.DUMMYFUNCTION("""COMPUTED_VALUE"""),"")</f>
        <v/>
      </c>
      <c r="K773" s="15" t="str">
        <f>IFERROR(__xludf.DUMMYFUNCTION("""COMPUTED_VALUE"""),"")</f>
        <v/>
      </c>
      <c r="L773" s="15" t="str">
        <f>IFERROR(__xludf.DUMMYFUNCTION("""COMPUTED_VALUE"""),"")</f>
        <v/>
      </c>
    </row>
    <row r="774">
      <c r="A774" s="1" t="str">
        <f>IFERROR(__xludf.DUMMYFUNCTION("""COMPUTED_VALUE"""),"DSQ")</f>
        <v>DSQ</v>
      </c>
      <c r="B774" s="1">
        <f>IFERROR(__xludf.DUMMYFUNCTION("""COMPUTED_VALUE"""),12050.0)</f>
        <v>12050</v>
      </c>
      <c r="C774" s="13" t="str">
        <f>IFERROR(__xludf.DUMMYFUNCTION("""COMPUTED_VALUE"""),"DWAN")</f>
        <v>DWAN</v>
      </c>
      <c r="D774" s="2" t="str">
        <f>IFERROR(__xludf.DUMMYFUNCTION("""COMPUTED_VALUE"""),"10KM MASTER M")</f>
        <v>10KM MASTER M</v>
      </c>
      <c r="E774" s="1" t="str">
        <f>IFERROR(__xludf.DUMMYFUNCTION("""COMPUTED_VALUE"""),"DSQ")</f>
        <v>DSQ</v>
      </c>
      <c r="F774" s="1" t="str">
        <f>IFERROR(__xludf.DUMMYFUNCTION("""COMPUTED_VALUE"""),"Male")</f>
        <v>Male</v>
      </c>
      <c r="G774" s="5" t="str">
        <f>IFERROR(__xludf.DUMMYFUNCTION("""COMPUTED_VALUE"""),"")</f>
        <v/>
      </c>
      <c r="H774" s="14">
        <f>IFERROR(__xludf.DUMMYFUNCTION("""COMPUTED_VALUE"""),0.24646185185185185)</f>
        <v>0.2464618519</v>
      </c>
      <c r="I774" s="15" t="str">
        <f>IFERROR(__xludf.DUMMYFUNCTION("""COMPUTED_VALUE"""),"")</f>
        <v/>
      </c>
      <c r="J774" s="15" t="str">
        <f>IFERROR(__xludf.DUMMYFUNCTION("""COMPUTED_VALUE"""),"")</f>
        <v/>
      </c>
      <c r="K774" s="15" t="str">
        <f>IFERROR(__xludf.DUMMYFUNCTION("""COMPUTED_VALUE"""),"")</f>
        <v/>
      </c>
      <c r="L774" s="15" t="str">
        <f>IFERROR(__xludf.DUMMYFUNCTION("""COMPUTED_VALUE"""),"")</f>
        <v/>
      </c>
    </row>
    <row r="775">
      <c r="A775" s="1" t="str">
        <f>IFERROR(__xludf.DUMMYFUNCTION("""COMPUTED_VALUE"""),"DSQ")</f>
        <v>DSQ</v>
      </c>
      <c r="B775" s="1">
        <f>IFERROR(__xludf.DUMMYFUNCTION("""COMPUTED_VALUE"""),12051.0)</f>
        <v>12051</v>
      </c>
      <c r="C775" s="13" t="str">
        <f>IFERROR(__xludf.DUMMYFUNCTION("""COMPUTED_VALUE"""),"rton")</f>
        <v>rton</v>
      </c>
      <c r="D775" s="2" t="str">
        <f>IFERROR(__xludf.DUMMYFUNCTION("""COMPUTED_VALUE"""),"10KM MASTER M")</f>
        <v>10KM MASTER M</v>
      </c>
      <c r="E775" s="1" t="str">
        <f>IFERROR(__xludf.DUMMYFUNCTION("""COMPUTED_VALUE"""),"DSQ")</f>
        <v>DSQ</v>
      </c>
      <c r="F775" s="1" t="str">
        <f>IFERROR(__xludf.DUMMYFUNCTION("""COMPUTED_VALUE"""),"Male")</f>
        <v>Male</v>
      </c>
      <c r="G775" s="5" t="str">
        <f>IFERROR(__xludf.DUMMYFUNCTION("""COMPUTED_VALUE"""),"")</f>
        <v/>
      </c>
      <c r="H775" s="14">
        <f>IFERROR(__xludf.DUMMYFUNCTION("""COMPUTED_VALUE"""),0.24646185185185185)</f>
        <v>0.2464618519</v>
      </c>
      <c r="I775" s="15" t="str">
        <f>IFERROR(__xludf.DUMMYFUNCTION("""COMPUTED_VALUE"""),"")</f>
        <v/>
      </c>
      <c r="J775" s="15" t="str">
        <f>IFERROR(__xludf.DUMMYFUNCTION("""COMPUTED_VALUE"""),"")</f>
        <v/>
      </c>
      <c r="K775" s="15" t="str">
        <f>IFERROR(__xludf.DUMMYFUNCTION("""COMPUTED_VALUE"""),"")</f>
        <v/>
      </c>
      <c r="L775" s="15" t="str">
        <f>IFERROR(__xludf.DUMMYFUNCTION("""COMPUTED_VALUE"""),"")</f>
        <v/>
      </c>
    </row>
    <row r="776">
      <c r="A776" s="1" t="str">
        <f>IFERROR(__xludf.DUMMYFUNCTION("""COMPUTED_VALUE"""),"DSQ")</f>
        <v>DSQ</v>
      </c>
      <c r="B776" s="1">
        <f>IFERROR(__xludf.DUMMYFUNCTION("""COMPUTED_VALUE"""),12083.0)</f>
        <v>12083</v>
      </c>
      <c r="C776" s="13" t="str">
        <f>IFERROR(__xludf.DUMMYFUNCTION("""COMPUTED_VALUE"""),"Diansyah Rasyidi")</f>
        <v>Diansyah Rasyidi</v>
      </c>
      <c r="D776" s="2" t="str">
        <f>IFERROR(__xludf.DUMMYFUNCTION("""COMPUTED_VALUE"""),"10KM MASTER M")</f>
        <v>10KM MASTER M</v>
      </c>
      <c r="E776" s="1" t="str">
        <f>IFERROR(__xludf.DUMMYFUNCTION("""COMPUTED_VALUE"""),"DSQ")</f>
        <v>DSQ</v>
      </c>
      <c r="F776" s="1" t="str">
        <f>IFERROR(__xludf.DUMMYFUNCTION("""COMPUTED_VALUE"""),"Male")</f>
        <v>Male</v>
      </c>
      <c r="G776" s="5" t="str">
        <f>IFERROR(__xludf.DUMMYFUNCTION("""COMPUTED_VALUE"""),"")</f>
        <v/>
      </c>
      <c r="H776" s="14">
        <f>IFERROR(__xludf.DUMMYFUNCTION("""COMPUTED_VALUE"""),0.24646185185185185)</f>
        <v>0.2464618519</v>
      </c>
      <c r="I776" s="15" t="str">
        <f>IFERROR(__xludf.DUMMYFUNCTION("""COMPUTED_VALUE"""),"")</f>
        <v/>
      </c>
      <c r="J776" s="15" t="str">
        <f>IFERROR(__xludf.DUMMYFUNCTION("""COMPUTED_VALUE"""),"")</f>
        <v/>
      </c>
      <c r="K776" s="15" t="str">
        <f>IFERROR(__xludf.DUMMYFUNCTION("""COMPUTED_VALUE"""),"")</f>
        <v/>
      </c>
      <c r="L776" s="15" t="str">
        <f>IFERROR(__xludf.DUMMYFUNCTION("""COMPUTED_VALUE"""),"")</f>
        <v/>
      </c>
    </row>
    <row r="777">
      <c r="A777" s="1" t="str">
        <f>IFERROR(__xludf.DUMMYFUNCTION("""COMPUTED_VALUE"""),"DSQ")</f>
        <v>DSQ</v>
      </c>
      <c r="B777" s="1">
        <f>IFERROR(__xludf.DUMMYFUNCTION("""COMPUTED_VALUE"""),12089.0)</f>
        <v>12089</v>
      </c>
      <c r="C777" s="13" t="str">
        <f>IFERROR(__xludf.DUMMYFUNCTION("""COMPUTED_VALUE"""),"hasnul")</f>
        <v>hasnul</v>
      </c>
      <c r="D777" s="2" t="str">
        <f>IFERROR(__xludf.DUMMYFUNCTION("""COMPUTED_VALUE"""),"10KM MASTER M")</f>
        <v>10KM MASTER M</v>
      </c>
      <c r="E777" s="1" t="str">
        <f>IFERROR(__xludf.DUMMYFUNCTION("""COMPUTED_VALUE"""),"DSQ")</f>
        <v>DSQ</v>
      </c>
      <c r="F777" s="1" t="str">
        <f>IFERROR(__xludf.DUMMYFUNCTION("""COMPUTED_VALUE"""),"Male")</f>
        <v>Male</v>
      </c>
      <c r="G777" s="5" t="str">
        <f>IFERROR(__xludf.DUMMYFUNCTION("""COMPUTED_VALUE"""),"")</f>
        <v/>
      </c>
      <c r="H777" s="14">
        <f>IFERROR(__xludf.DUMMYFUNCTION("""COMPUTED_VALUE"""),0.24646185185185185)</f>
        <v>0.2464618519</v>
      </c>
      <c r="I777" s="15" t="str">
        <f>IFERROR(__xludf.DUMMYFUNCTION("""COMPUTED_VALUE"""),"")</f>
        <v/>
      </c>
      <c r="J777" s="15" t="str">
        <f>IFERROR(__xludf.DUMMYFUNCTION("""COMPUTED_VALUE"""),"")</f>
        <v/>
      </c>
      <c r="K777" s="15" t="str">
        <f>IFERROR(__xludf.DUMMYFUNCTION("""COMPUTED_VALUE"""),"")</f>
        <v/>
      </c>
      <c r="L777" s="15" t="str">
        <f>IFERROR(__xludf.DUMMYFUNCTION("""COMPUTED_VALUE"""),"")</f>
        <v/>
      </c>
    </row>
    <row r="778">
      <c r="A778" s="1" t="str">
        <f>IFERROR(__xludf.DUMMYFUNCTION("""COMPUTED_VALUE"""),"DSQ")</f>
        <v>DSQ</v>
      </c>
      <c r="B778" s="1">
        <f>IFERROR(__xludf.DUMMYFUNCTION("""COMPUTED_VALUE"""),10243.0)</f>
        <v>10243</v>
      </c>
      <c r="C778" s="13" t="str">
        <f>IFERROR(__xludf.DUMMYFUNCTION("""COMPUTED_VALUE"""),"Nita")</f>
        <v>Nita</v>
      </c>
      <c r="D778" s="2" t="str">
        <f>IFERROR(__xludf.DUMMYFUNCTION("""COMPUTED_VALUE"""),"10KM OVERALL F")</f>
        <v>10KM OVERALL F</v>
      </c>
      <c r="E778" s="1" t="str">
        <f>IFERROR(__xludf.DUMMYFUNCTION("""COMPUTED_VALUE"""),"DSQ")</f>
        <v>DSQ</v>
      </c>
      <c r="F778" s="1" t="str">
        <f>IFERROR(__xludf.DUMMYFUNCTION("""COMPUTED_VALUE"""),"Female")</f>
        <v>Female</v>
      </c>
      <c r="G778" s="5">
        <f>IFERROR(__xludf.DUMMYFUNCTION("""COMPUTED_VALUE"""),0.003646680555555556)</f>
        <v>0.003646680556</v>
      </c>
      <c r="H778" s="14">
        <f>IFERROR(__xludf.DUMMYFUNCTION("""COMPUTED_VALUE"""),0.24646185185185185)</f>
        <v>0.2464618519</v>
      </c>
      <c r="I778" s="15">
        <f>IFERROR(__xludf.DUMMYFUNCTION("""COMPUTED_VALUE"""),45949.28292865581)</f>
        <v>45949.28293</v>
      </c>
      <c r="J778" s="15">
        <f>IFERROR(__xludf.DUMMYFUNCTION("""COMPUTED_VALUE"""),45949.03646680396)</f>
        <v>45949.03647</v>
      </c>
      <c r="K778" s="15">
        <f>IFERROR(__xludf.DUMMYFUNCTION("""COMPUTED_VALUE"""),45949.29324897189)</f>
        <v>45949.29325</v>
      </c>
      <c r="L778" s="15">
        <f>IFERROR(__xludf.DUMMYFUNCTION("""COMPUTED_VALUE"""),45949.32452035547)</f>
        <v>45949.32452</v>
      </c>
    </row>
    <row r="779">
      <c r="A779" s="1" t="str">
        <f>IFERROR(__xludf.DUMMYFUNCTION("""COMPUTED_VALUE"""),"DSQ")</f>
        <v>DSQ</v>
      </c>
      <c r="B779" s="1">
        <f>IFERROR(__xludf.DUMMYFUNCTION("""COMPUTED_VALUE"""),10391.0)</f>
        <v>10391</v>
      </c>
      <c r="C779" s="13" t="str">
        <f>IFERROR(__xludf.DUMMYFUNCTION("""COMPUTED_VALUE"""),"dian ayu")</f>
        <v>dian ayu</v>
      </c>
      <c r="D779" s="2" t="str">
        <f>IFERROR(__xludf.DUMMYFUNCTION("""COMPUTED_VALUE"""),"10KM OVERALL F")</f>
        <v>10KM OVERALL F</v>
      </c>
      <c r="E779" s="1" t="str">
        <f>IFERROR(__xludf.DUMMYFUNCTION("""COMPUTED_VALUE"""),"DSQ")</f>
        <v>DSQ</v>
      </c>
      <c r="F779" s="1" t="str">
        <f>IFERROR(__xludf.DUMMYFUNCTION("""COMPUTED_VALUE"""),"Female")</f>
        <v>Female</v>
      </c>
      <c r="G779" s="5" t="str">
        <f>IFERROR(__xludf.DUMMYFUNCTION("""COMPUTED_VALUE"""),"")</f>
        <v/>
      </c>
      <c r="H779" s="14">
        <f>IFERROR(__xludf.DUMMYFUNCTION("""COMPUTED_VALUE"""),0.24646185185185185)</f>
        <v>0.2464618519</v>
      </c>
      <c r="I779" s="15" t="str">
        <f>IFERROR(__xludf.DUMMYFUNCTION("""COMPUTED_VALUE"""),"")</f>
        <v/>
      </c>
      <c r="J779" s="15" t="str">
        <f>IFERROR(__xludf.DUMMYFUNCTION("""COMPUTED_VALUE"""),"")</f>
        <v/>
      </c>
      <c r="K779" s="15" t="str">
        <f>IFERROR(__xludf.DUMMYFUNCTION("""COMPUTED_VALUE"""),"")</f>
        <v/>
      </c>
      <c r="L779" s="15" t="str">
        <f>IFERROR(__xludf.DUMMYFUNCTION("""COMPUTED_VALUE"""),"")</f>
        <v/>
      </c>
    </row>
    <row r="780">
      <c r="A780" s="1" t="str">
        <f>IFERROR(__xludf.DUMMYFUNCTION("""COMPUTED_VALUE"""),"DSQ")</f>
        <v>DSQ</v>
      </c>
      <c r="B780" s="1">
        <f>IFERROR(__xludf.DUMMYFUNCTION("""COMPUTED_VALUE"""),10425.0)</f>
        <v>10425</v>
      </c>
      <c r="C780" s="13" t="str">
        <f>IFERROR(__xludf.DUMMYFUNCTION("""COMPUTED_VALUE"""),"W I W I")</f>
        <v>W I W I</v>
      </c>
      <c r="D780" s="2" t="str">
        <f>IFERROR(__xludf.DUMMYFUNCTION("""COMPUTED_VALUE"""),"10KM OVERALL F")</f>
        <v>10KM OVERALL F</v>
      </c>
      <c r="E780" s="1" t="str">
        <f>IFERROR(__xludf.DUMMYFUNCTION("""COMPUTED_VALUE"""),"DSQ")</f>
        <v>DSQ</v>
      </c>
      <c r="F780" s="1" t="str">
        <f>IFERROR(__xludf.DUMMYFUNCTION("""COMPUTED_VALUE"""),"Female")</f>
        <v>Female</v>
      </c>
      <c r="G780" s="5" t="str">
        <f>IFERROR(__xludf.DUMMYFUNCTION("""COMPUTED_VALUE"""),"")</f>
        <v/>
      </c>
      <c r="H780" s="14">
        <f>IFERROR(__xludf.DUMMYFUNCTION("""COMPUTED_VALUE"""),0.24646185185185185)</f>
        <v>0.2464618519</v>
      </c>
      <c r="I780" s="15" t="str">
        <f>IFERROR(__xludf.DUMMYFUNCTION("""COMPUTED_VALUE"""),"")</f>
        <v/>
      </c>
      <c r="J780" s="15" t="str">
        <f>IFERROR(__xludf.DUMMYFUNCTION("""COMPUTED_VALUE"""),"")</f>
        <v/>
      </c>
      <c r="K780" s="15" t="str">
        <f>IFERROR(__xludf.DUMMYFUNCTION("""COMPUTED_VALUE"""),"")</f>
        <v/>
      </c>
      <c r="L780" s="15" t="str">
        <f>IFERROR(__xludf.DUMMYFUNCTION("""COMPUTED_VALUE"""),"")</f>
        <v/>
      </c>
    </row>
    <row r="781">
      <c r="A781" s="1" t="str">
        <f>IFERROR(__xludf.DUMMYFUNCTION("""COMPUTED_VALUE"""),"DSQ")</f>
        <v>DSQ</v>
      </c>
      <c r="B781" s="1">
        <f>IFERROR(__xludf.DUMMYFUNCTION("""COMPUTED_VALUE"""),10577.0)</f>
        <v>10577</v>
      </c>
      <c r="C781" s="13" t="str">
        <f>IFERROR(__xludf.DUMMYFUNCTION("""COMPUTED_VALUE"""),"PUTRIOKTIPRATIWI")</f>
        <v>PUTRIOKTIPRATIWI</v>
      </c>
      <c r="D781" s="2" t="str">
        <f>IFERROR(__xludf.DUMMYFUNCTION("""COMPUTED_VALUE"""),"10KM OVERALL F")</f>
        <v>10KM OVERALL F</v>
      </c>
      <c r="E781" s="1" t="str">
        <f>IFERROR(__xludf.DUMMYFUNCTION("""COMPUTED_VALUE"""),"DSQ")</f>
        <v>DSQ</v>
      </c>
      <c r="F781" s="1" t="str">
        <f>IFERROR(__xludf.DUMMYFUNCTION("""COMPUTED_VALUE"""),"Female")</f>
        <v>Female</v>
      </c>
      <c r="G781" s="5" t="str">
        <f>IFERROR(__xludf.DUMMYFUNCTION("""COMPUTED_VALUE"""),"")</f>
        <v/>
      </c>
      <c r="H781" s="14">
        <f>IFERROR(__xludf.DUMMYFUNCTION("""COMPUTED_VALUE"""),0.24646185185185185)</f>
        <v>0.2464618519</v>
      </c>
      <c r="I781" s="15" t="str">
        <f>IFERROR(__xludf.DUMMYFUNCTION("""COMPUTED_VALUE"""),"")</f>
        <v/>
      </c>
      <c r="J781" s="15" t="str">
        <f>IFERROR(__xludf.DUMMYFUNCTION("""COMPUTED_VALUE"""),"")</f>
        <v/>
      </c>
      <c r="K781" s="15" t="str">
        <f>IFERROR(__xludf.DUMMYFUNCTION("""COMPUTED_VALUE"""),"")</f>
        <v/>
      </c>
      <c r="L781" s="15" t="str">
        <f>IFERROR(__xludf.DUMMYFUNCTION("""COMPUTED_VALUE"""),"")</f>
        <v/>
      </c>
    </row>
    <row r="782">
      <c r="A782" s="1" t="str">
        <f>IFERROR(__xludf.DUMMYFUNCTION("""COMPUTED_VALUE"""),"DSQ")</f>
        <v>DSQ</v>
      </c>
      <c r="B782" s="1">
        <f>IFERROR(__xludf.DUMMYFUNCTION("""COMPUTED_VALUE"""),10676.0)</f>
        <v>10676</v>
      </c>
      <c r="C782" s="13" t="str">
        <f>IFERROR(__xludf.DUMMYFUNCTION("""COMPUTED_VALUE"""),"TOKO KOPI MELAYU")</f>
        <v>TOKO KOPI MELAYU</v>
      </c>
      <c r="D782" s="2" t="str">
        <f>IFERROR(__xludf.DUMMYFUNCTION("""COMPUTED_VALUE"""),"10KM OVERALL F")</f>
        <v>10KM OVERALL F</v>
      </c>
      <c r="E782" s="1" t="str">
        <f>IFERROR(__xludf.DUMMYFUNCTION("""COMPUTED_VALUE"""),"DSQ")</f>
        <v>DSQ</v>
      </c>
      <c r="F782" s="1" t="str">
        <f>IFERROR(__xludf.DUMMYFUNCTION("""COMPUTED_VALUE"""),"Female")</f>
        <v>Female</v>
      </c>
      <c r="G782" s="5" t="str">
        <f>IFERROR(__xludf.DUMMYFUNCTION("""COMPUTED_VALUE"""),"")</f>
        <v/>
      </c>
      <c r="H782" s="14">
        <f>IFERROR(__xludf.DUMMYFUNCTION("""COMPUTED_VALUE"""),0.24646185185185185)</f>
        <v>0.2464618519</v>
      </c>
      <c r="I782" s="15" t="str">
        <f>IFERROR(__xludf.DUMMYFUNCTION("""COMPUTED_VALUE"""),"")</f>
        <v/>
      </c>
      <c r="J782" s="15" t="str">
        <f>IFERROR(__xludf.DUMMYFUNCTION("""COMPUTED_VALUE"""),"")</f>
        <v/>
      </c>
      <c r="K782" s="15" t="str">
        <f>IFERROR(__xludf.DUMMYFUNCTION("""COMPUTED_VALUE"""),"")</f>
        <v/>
      </c>
      <c r="L782" s="15" t="str">
        <f>IFERROR(__xludf.DUMMYFUNCTION("""COMPUTED_VALUE"""),"")</f>
        <v/>
      </c>
    </row>
    <row r="783">
      <c r="A783" s="1" t="str">
        <f>IFERROR(__xludf.DUMMYFUNCTION("""COMPUTED_VALUE"""),"DSQ")</f>
        <v>DSQ</v>
      </c>
      <c r="B783" s="1">
        <f>IFERROR(__xludf.DUMMYFUNCTION("""COMPUTED_VALUE"""),10701.0)</f>
        <v>10701</v>
      </c>
      <c r="C783" s="13" t="str">
        <f>IFERROR(__xludf.DUMMYFUNCTION("""COMPUTED_VALUE"""),"Icha")</f>
        <v>Icha</v>
      </c>
      <c r="D783" s="2" t="str">
        <f>IFERROR(__xludf.DUMMYFUNCTION("""COMPUTED_VALUE"""),"10KM OVERALL F")</f>
        <v>10KM OVERALL F</v>
      </c>
      <c r="E783" s="1" t="str">
        <f>IFERROR(__xludf.DUMMYFUNCTION("""COMPUTED_VALUE"""),"DSQ")</f>
        <v>DSQ</v>
      </c>
      <c r="F783" s="1" t="str">
        <f>IFERROR(__xludf.DUMMYFUNCTION("""COMPUTED_VALUE"""),"Female")</f>
        <v>Female</v>
      </c>
      <c r="G783" s="5" t="str">
        <f>IFERROR(__xludf.DUMMYFUNCTION("""COMPUTED_VALUE"""),"")</f>
        <v/>
      </c>
      <c r="H783" s="14">
        <f>IFERROR(__xludf.DUMMYFUNCTION("""COMPUTED_VALUE"""),0.24646185185185185)</f>
        <v>0.2464618519</v>
      </c>
      <c r="I783" s="15" t="str">
        <f>IFERROR(__xludf.DUMMYFUNCTION("""COMPUTED_VALUE"""),"")</f>
        <v/>
      </c>
      <c r="J783" s="15" t="str">
        <f>IFERROR(__xludf.DUMMYFUNCTION("""COMPUTED_VALUE"""),"")</f>
        <v/>
      </c>
      <c r="K783" s="15" t="str">
        <f>IFERROR(__xludf.DUMMYFUNCTION("""COMPUTED_VALUE"""),"")</f>
        <v/>
      </c>
      <c r="L783" s="15" t="str">
        <f>IFERROR(__xludf.DUMMYFUNCTION("""COMPUTED_VALUE"""),"")</f>
        <v/>
      </c>
    </row>
    <row r="784">
      <c r="A784" s="1" t="str">
        <f>IFERROR(__xludf.DUMMYFUNCTION("""COMPUTED_VALUE"""),"DSQ")</f>
        <v>DSQ</v>
      </c>
      <c r="B784" s="1">
        <f>IFERROR(__xludf.DUMMYFUNCTION("""COMPUTED_VALUE"""),10702.0)</f>
        <v>10702</v>
      </c>
      <c r="C784" s="13" t="str">
        <f>IFERROR(__xludf.DUMMYFUNCTION("""COMPUTED_VALUE"""),"TOKO KOPI MELAYU")</f>
        <v>TOKO KOPI MELAYU</v>
      </c>
      <c r="D784" s="2" t="str">
        <f>IFERROR(__xludf.DUMMYFUNCTION("""COMPUTED_VALUE"""),"10KM OVERALL F")</f>
        <v>10KM OVERALL F</v>
      </c>
      <c r="E784" s="1" t="str">
        <f>IFERROR(__xludf.DUMMYFUNCTION("""COMPUTED_VALUE"""),"DSQ")</f>
        <v>DSQ</v>
      </c>
      <c r="F784" s="1" t="str">
        <f>IFERROR(__xludf.DUMMYFUNCTION("""COMPUTED_VALUE"""),"Female")</f>
        <v>Female</v>
      </c>
      <c r="G784" s="5" t="str">
        <f>IFERROR(__xludf.DUMMYFUNCTION("""COMPUTED_VALUE"""),"")</f>
        <v/>
      </c>
      <c r="H784" s="14">
        <f>IFERROR(__xludf.DUMMYFUNCTION("""COMPUTED_VALUE"""),0.24646185185185185)</f>
        <v>0.2464618519</v>
      </c>
      <c r="I784" s="15" t="str">
        <f>IFERROR(__xludf.DUMMYFUNCTION("""COMPUTED_VALUE"""),"")</f>
        <v/>
      </c>
      <c r="J784" s="15" t="str">
        <f>IFERROR(__xludf.DUMMYFUNCTION("""COMPUTED_VALUE"""),"")</f>
        <v/>
      </c>
      <c r="K784" s="15" t="str">
        <f>IFERROR(__xludf.DUMMYFUNCTION("""COMPUTED_VALUE"""),"")</f>
        <v/>
      </c>
      <c r="L784" s="15" t="str">
        <f>IFERROR(__xludf.DUMMYFUNCTION("""COMPUTED_VALUE"""),"")</f>
        <v/>
      </c>
    </row>
    <row r="785">
      <c r="A785" s="1" t="str">
        <f>IFERROR(__xludf.DUMMYFUNCTION("""COMPUTED_VALUE"""),"DSQ")</f>
        <v>DSQ</v>
      </c>
      <c r="B785" s="1">
        <f>IFERROR(__xludf.DUMMYFUNCTION("""COMPUTED_VALUE"""),10704.0)</f>
        <v>10704</v>
      </c>
      <c r="C785" s="13" t="str">
        <f>IFERROR(__xludf.DUMMYFUNCTION("""COMPUTED_VALUE"""),"POLRES")</f>
        <v>POLRES</v>
      </c>
      <c r="D785" s="2" t="str">
        <f>IFERROR(__xludf.DUMMYFUNCTION("""COMPUTED_VALUE"""),"10KM OVERALL F")</f>
        <v>10KM OVERALL F</v>
      </c>
      <c r="E785" s="1" t="str">
        <f>IFERROR(__xludf.DUMMYFUNCTION("""COMPUTED_VALUE"""),"DSQ")</f>
        <v>DSQ</v>
      </c>
      <c r="F785" s="1" t="str">
        <f>IFERROR(__xludf.DUMMYFUNCTION("""COMPUTED_VALUE"""),"Female")</f>
        <v>Female</v>
      </c>
      <c r="G785" s="5" t="str">
        <f>IFERROR(__xludf.DUMMYFUNCTION("""COMPUTED_VALUE"""),"")</f>
        <v/>
      </c>
      <c r="H785" s="14">
        <f>IFERROR(__xludf.DUMMYFUNCTION("""COMPUTED_VALUE"""),0.24646185185185185)</f>
        <v>0.2464618519</v>
      </c>
      <c r="I785" s="15" t="str">
        <f>IFERROR(__xludf.DUMMYFUNCTION("""COMPUTED_VALUE"""),"")</f>
        <v/>
      </c>
      <c r="J785" s="15" t="str">
        <f>IFERROR(__xludf.DUMMYFUNCTION("""COMPUTED_VALUE"""),"")</f>
        <v/>
      </c>
      <c r="K785" s="15" t="str">
        <f>IFERROR(__xludf.DUMMYFUNCTION("""COMPUTED_VALUE"""),"")</f>
        <v/>
      </c>
      <c r="L785" s="15" t="str">
        <f>IFERROR(__xludf.DUMMYFUNCTION("""COMPUTED_VALUE"""),"")</f>
        <v/>
      </c>
    </row>
    <row r="786">
      <c r="A786" s="1" t="str">
        <f>IFERROR(__xludf.DUMMYFUNCTION("""COMPUTED_VALUE"""),"DSQ")</f>
        <v>DSQ</v>
      </c>
      <c r="B786" s="1">
        <f>IFERROR(__xludf.DUMMYFUNCTION("""COMPUTED_VALUE"""),10705.0)</f>
        <v>10705</v>
      </c>
      <c r="C786" s="13" t="str">
        <f>IFERROR(__xludf.DUMMYFUNCTION("""COMPUTED_VALUE"""),"POLRES")</f>
        <v>POLRES</v>
      </c>
      <c r="D786" s="2" t="str">
        <f>IFERROR(__xludf.DUMMYFUNCTION("""COMPUTED_VALUE"""),"10KM OVERALL F")</f>
        <v>10KM OVERALL F</v>
      </c>
      <c r="E786" s="1" t="str">
        <f>IFERROR(__xludf.DUMMYFUNCTION("""COMPUTED_VALUE"""),"DSQ")</f>
        <v>DSQ</v>
      </c>
      <c r="F786" s="1" t="str">
        <f>IFERROR(__xludf.DUMMYFUNCTION("""COMPUTED_VALUE"""),"Female")</f>
        <v>Female</v>
      </c>
      <c r="G786" s="5" t="str">
        <f>IFERROR(__xludf.DUMMYFUNCTION("""COMPUTED_VALUE"""),"")</f>
        <v/>
      </c>
      <c r="H786" s="14">
        <f>IFERROR(__xludf.DUMMYFUNCTION("""COMPUTED_VALUE"""),0.24646185185185185)</f>
        <v>0.2464618519</v>
      </c>
      <c r="I786" s="15" t="str">
        <f>IFERROR(__xludf.DUMMYFUNCTION("""COMPUTED_VALUE"""),"")</f>
        <v/>
      </c>
      <c r="J786" s="15" t="str">
        <f>IFERROR(__xludf.DUMMYFUNCTION("""COMPUTED_VALUE"""),"")</f>
        <v/>
      </c>
      <c r="K786" s="15" t="str">
        <f>IFERROR(__xludf.DUMMYFUNCTION("""COMPUTED_VALUE"""),"")</f>
        <v/>
      </c>
      <c r="L786" s="15" t="str">
        <f>IFERROR(__xludf.DUMMYFUNCTION("""COMPUTED_VALUE"""),"")</f>
        <v/>
      </c>
    </row>
    <row r="787">
      <c r="A787" s="1" t="str">
        <f>IFERROR(__xludf.DUMMYFUNCTION("""COMPUTED_VALUE"""),"DSQ")</f>
        <v>DSQ</v>
      </c>
      <c r="B787" s="1">
        <f>IFERROR(__xludf.DUMMYFUNCTION("""COMPUTED_VALUE"""),10706.0)</f>
        <v>10706</v>
      </c>
      <c r="C787" s="13" t="str">
        <f>IFERROR(__xludf.DUMMYFUNCTION("""COMPUTED_VALUE"""),"POLRES")</f>
        <v>POLRES</v>
      </c>
      <c r="D787" s="2" t="str">
        <f>IFERROR(__xludf.DUMMYFUNCTION("""COMPUTED_VALUE"""),"10KM OVERALL F")</f>
        <v>10KM OVERALL F</v>
      </c>
      <c r="E787" s="1" t="str">
        <f>IFERROR(__xludf.DUMMYFUNCTION("""COMPUTED_VALUE"""),"DSQ")</f>
        <v>DSQ</v>
      </c>
      <c r="F787" s="1" t="str">
        <f>IFERROR(__xludf.DUMMYFUNCTION("""COMPUTED_VALUE"""),"Female")</f>
        <v>Female</v>
      </c>
      <c r="G787" s="5" t="str">
        <f>IFERROR(__xludf.DUMMYFUNCTION("""COMPUTED_VALUE"""),"")</f>
        <v/>
      </c>
      <c r="H787" s="14">
        <f>IFERROR(__xludf.DUMMYFUNCTION("""COMPUTED_VALUE"""),0.24646185185185185)</f>
        <v>0.2464618519</v>
      </c>
      <c r="I787" s="15" t="str">
        <f>IFERROR(__xludf.DUMMYFUNCTION("""COMPUTED_VALUE"""),"")</f>
        <v/>
      </c>
      <c r="J787" s="15" t="str">
        <f>IFERROR(__xludf.DUMMYFUNCTION("""COMPUTED_VALUE"""),"")</f>
        <v/>
      </c>
      <c r="K787" s="15" t="str">
        <f>IFERROR(__xludf.DUMMYFUNCTION("""COMPUTED_VALUE"""),"")</f>
        <v/>
      </c>
      <c r="L787" s="15" t="str">
        <f>IFERROR(__xludf.DUMMYFUNCTION("""COMPUTED_VALUE"""),"")</f>
        <v/>
      </c>
    </row>
    <row r="788">
      <c r="A788" s="1" t="str">
        <f>IFERROR(__xludf.DUMMYFUNCTION("""COMPUTED_VALUE"""),"DSQ")</f>
        <v>DSQ</v>
      </c>
      <c r="B788" s="1">
        <f>IFERROR(__xludf.DUMMYFUNCTION("""COMPUTED_VALUE"""),10707.0)</f>
        <v>10707</v>
      </c>
      <c r="C788" s="13" t="str">
        <f>IFERROR(__xludf.DUMMYFUNCTION("""COMPUTED_VALUE"""),"POLRES")</f>
        <v>POLRES</v>
      </c>
      <c r="D788" s="2" t="str">
        <f>IFERROR(__xludf.DUMMYFUNCTION("""COMPUTED_VALUE"""),"10KM OVERALL F")</f>
        <v>10KM OVERALL F</v>
      </c>
      <c r="E788" s="1" t="str">
        <f>IFERROR(__xludf.DUMMYFUNCTION("""COMPUTED_VALUE"""),"DSQ")</f>
        <v>DSQ</v>
      </c>
      <c r="F788" s="1" t="str">
        <f>IFERROR(__xludf.DUMMYFUNCTION("""COMPUTED_VALUE"""),"Female")</f>
        <v>Female</v>
      </c>
      <c r="G788" s="5" t="str">
        <f>IFERROR(__xludf.DUMMYFUNCTION("""COMPUTED_VALUE"""),"")</f>
        <v/>
      </c>
      <c r="H788" s="14">
        <f>IFERROR(__xludf.DUMMYFUNCTION("""COMPUTED_VALUE"""),0.24646185185185185)</f>
        <v>0.2464618519</v>
      </c>
      <c r="I788" s="15" t="str">
        <f>IFERROR(__xludf.DUMMYFUNCTION("""COMPUTED_VALUE"""),"")</f>
        <v/>
      </c>
      <c r="J788" s="15" t="str">
        <f>IFERROR(__xludf.DUMMYFUNCTION("""COMPUTED_VALUE"""),"")</f>
        <v/>
      </c>
      <c r="K788" s="15" t="str">
        <f>IFERROR(__xludf.DUMMYFUNCTION("""COMPUTED_VALUE"""),"")</f>
        <v/>
      </c>
      <c r="L788" s="15" t="str">
        <f>IFERROR(__xludf.DUMMYFUNCTION("""COMPUTED_VALUE"""),"")</f>
        <v/>
      </c>
    </row>
    <row r="789">
      <c r="A789" s="1" t="str">
        <f>IFERROR(__xludf.DUMMYFUNCTION("""COMPUTED_VALUE"""),"DSQ")</f>
        <v>DSQ</v>
      </c>
      <c r="B789" s="1">
        <f>IFERROR(__xludf.DUMMYFUNCTION("""COMPUTED_VALUE"""),10709.0)</f>
        <v>10709</v>
      </c>
      <c r="C789" s="13" t="str">
        <f>IFERROR(__xludf.DUMMYFUNCTION("""COMPUTED_VALUE"""),"POLRES")</f>
        <v>POLRES</v>
      </c>
      <c r="D789" s="2" t="str">
        <f>IFERROR(__xludf.DUMMYFUNCTION("""COMPUTED_VALUE"""),"10KM OVERALL F")</f>
        <v>10KM OVERALL F</v>
      </c>
      <c r="E789" s="1" t="str">
        <f>IFERROR(__xludf.DUMMYFUNCTION("""COMPUTED_VALUE"""),"DSQ")</f>
        <v>DSQ</v>
      </c>
      <c r="F789" s="1" t="str">
        <f>IFERROR(__xludf.DUMMYFUNCTION("""COMPUTED_VALUE"""),"Female")</f>
        <v>Female</v>
      </c>
      <c r="G789" s="5" t="str">
        <f>IFERROR(__xludf.DUMMYFUNCTION("""COMPUTED_VALUE"""),"")</f>
        <v/>
      </c>
      <c r="H789" s="14">
        <f>IFERROR(__xludf.DUMMYFUNCTION("""COMPUTED_VALUE"""),0.24646185185185185)</f>
        <v>0.2464618519</v>
      </c>
      <c r="I789" s="15" t="str">
        <f>IFERROR(__xludf.DUMMYFUNCTION("""COMPUTED_VALUE"""),"")</f>
        <v/>
      </c>
      <c r="J789" s="15" t="str">
        <f>IFERROR(__xludf.DUMMYFUNCTION("""COMPUTED_VALUE"""),"")</f>
        <v/>
      </c>
      <c r="K789" s="15" t="str">
        <f>IFERROR(__xludf.DUMMYFUNCTION("""COMPUTED_VALUE"""),"")</f>
        <v/>
      </c>
      <c r="L789" s="15" t="str">
        <f>IFERROR(__xludf.DUMMYFUNCTION("""COMPUTED_VALUE"""),"")</f>
        <v/>
      </c>
    </row>
    <row r="790">
      <c r="A790" s="1" t="str">
        <f>IFERROR(__xludf.DUMMYFUNCTION("""COMPUTED_VALUE"""),"DSQ")</f>
        <v>DSQ</v>
      </c>
      <c r="B790" s="1">
        <f>IFERROR(__xludf.DUMMYFUNCTION("""COMPUTED_VALUE"""),10006.0)</f>
        <v>10006</v>
      </c>
      <c r="C790" s="13" t="str">
        <f>IFERROR(__xludf.DUMMYFUNCTION("""COMPUTED_VALUE"""),"DEJAY")</f>
        <v>DEJAY</v>
      </c>
      <c r="D790" s="2" t="str">
        <f>IFERROR(__xludf.DUMMYFUNCTION("""COMPUTED_VALUE"""),"10KM OVERALL M")</f>
        <v>10KM OVERALL M</v>
      </c>
      <c r="E790" s="1" t="str">
        <f>IFERROR(__xludf.DUMMYFUNCTION("""COMPUTED_VALUE"""),"DSQ")</f>
        <v>DSQ</v>
      </c>
      <c r="F790" s="1" t="str">
        <f>IFERROR(__xludf.DUMMYFUNCTION("""COMPUTED_VALUE"""),"Male")</f>
        <v>Male</v>
      </c>
      <c r="G790" s="5">
        <f>IFERROR(__xludf.DUMMYFUNCTION("""COMPUTED_VALUE"""),0.0024119560185185186)</f>
        <v>0.002411956019</v>
      </c>
      <c r="H790" s="14">
        <f>IFERROR(__xludf.DUMMYFUNCTION("""COMPUTED_VALUE"""),0.24646185185185185)</f>
        <v>0.2464618519</v>
      </c>
      <c r="I790" s="15">
        <f>IFERROR(__xludf.DUMMYFUNCTION("""COMPUTED_VALUE"""),45949.27058141706)</f>
        <v>45949.27058</v>
      </c>
      <c r="J790" s="15">
        <f>IFERROR(__xludf.DUMMYFUNCTION("""COMPUTED_VALUE"""),45949.02411956521)</f>
        <v>45949.02412</v>
      </c>
      <c r="K790" s="15">
        <f>IFERROR(__xludf.DUMMYFUNCTION("""COMPUTED_VALUE"""),45949.28298849946)</f>
        <v>45949.28299</v>
      </c>
      <c r="L790" s="15">
        <f>IFERROR(__xludf.DUMMYFUNCTION("""COMPUTED_VALUE"""),45949.31744710307)</f>
        <v>45949.31745</v>
      </c>
    </row>
    <row r="791">
      <c r="A791" s="1" t="str">
        <f>IFERROR(__xludf.DUMMYFUNCTION("""COMPUTED_VALUE"""),"DSQ")</f>
        <v>DSQ</v>
      </c>
      <c r="B791" s="1">
        <f>IFERROR(__xludf.DUMMYFUNCTION("""COMPUTED_VALUE"""),10016.0)</f>
        <v>10016</v>
      </c>
      <c r="C791" s="13" t="str">
        <f>IFERROR(__xludf.DUMMYFUNCTION("""COMPUTED_VALUE"""),"ranggadrecht")</f>
        <v>ranggadrecht</v>
      </c>
      <c r="D791" s="2" t="str">
        <f>IFERROR(__xludf.DUMMYFUNCTION("""COMPUTED_VALUE"""),"10KM OVERALL M")</f>
        <v>10KM OVERALL M</v>
      </c>
      <c r="E791" s="1" t="str">
        <f>IFERROR(__xludf.DUMMYFUNCTION("""COMPUTED_VALUE"""),"DSQ")</f>
        <v>DSQ</v>
      </c>
      <c r="F791" s="1" t="str">
        <f>IFERROR(__xludf.DUMMYFUNCTION("""COMPUTED_VALUE"""),"Male")</f>
        <v>Male</v>
      </c>
      <c r="G791" s="5" t="str">
        <f>IFERROR(__xludf.DUMMYFUNCTION("""COMPUTED_VALUE"""),"")</f>
        <v/>
      </c>
      <c r="H791" s="14">
        <f>IFERROR(__xludf.DUMMYFUNCTION("""COMPUTED_VALUE"""),0.24646185185185185)</f>
        <v>0.2464618519</v>
      </c>
      <c r="I791" s="15" t="str">
        <f>IFERROR(__xludf.DUMMYFUNCTION("""COMPUTED_VALUE"""),"")</f>
        <v/>
      </c>
      <c r="J791" s="15" t="str">
        <f>IFERROR(__xludf.DUMMYFUNCTION("""COMPUTED_VALUE"""),"")</f>
        <v/>
      </c>
      <c r="K791" s="15" t="str">
        <f>IFERROR(__xludf.DUMMYFUNCTION("""COMPUTED_VALUE"""),"")</f>
        <v/>
      </c>
      <c r="L791" s="15" t="str">
        <f>IFERROR(__xludf.DUMMYFUNCTION("""COMPUTED_VALUE"""),"")</f>
        <v/>
      </c>
    </row>
    <row r="792">
      <c r="A792" s="1" t="str">
        <f>IFERROR(__xludf.DUMMYFUNCTION("""COMPUTED_VALUE"""),"DSQ")</f>
        <v>DSQ</v>
      </c>
      <c r="B792" s="1">
        <f>IFERROR(__xludf.DUMMYFUNCTION("""COMPUTED_VALUE"""),10038.0)</f>
        <v>10038</v>
      </c>
      <c r="C792" s="13" t="str">
        <f>IFERROR(__xludf.DUMMYFUNCTION("""COMPUTED_VALUE"""),"Shobar N.A.A")</f>
        <v>Shobar N.A.A</v>
      </c>
      <c r="D792" s="2" t="str">
        <f>IFERROR(__xludf.DUMMYFUNCTION("""COMPUTED_VALUE"""),"10KM OVERALL M")</f>
        <v>10KM OVERALL M</v>
      </c>
      <c r="E792" s="1" t="str">
        <f>IFERROR(__xludf.DUMMYFUNCTION("""COMPUTED_VALUE"""),"DSQ")</f>
        <v>DSQ</v>
      </c>
      <c r="F792" s="1" t="str">
        <f>IFERROR(__xludf.DUMMYFUNCTION("""COMPUTED_VALUE"""),"Male")</f>
        <v>Male</v>
      </c>
      <c r="G792" s="5" t="str">
        <f>IFERROR(__xludf.DUMMYFUNCTION("""COMPUTED_VALUE"""),"")</f>
        <v/>
      </c>
      <c r="H792" s="14">
        <f>IFERROR(__xludf.DUMMYFUNCTION("""COMPUTED_VALUE"""),0.24646185185185185)</f>
        <v>0.2464618519</v>
      </c>
      <c r="I792" s="15" t="str">
        <f>IFERROR(__xludf.DUMMYFUNCTION("""COMPUTED_VALUE"""),"")</f>
        <v/>
      </c>
      <c r="J792" s="15" t="str">
        <f>IFERROR(__xludf.DUMMYFUNCTION("""COMPUTED_VALUE"""),"")</f>
        <v/>
      </c>
      <c r="K792" s="15" t="str">
        <f>IFERROR(__xludf.DUMMYFUNCTION("""COMPUTED_VALUE"""),"")</f>
        <v/>
      </c>
      <c r="L792" s="15" t="str">
        <f>IFERROR(__xludf.DUMMYFUNCTION("""COMPUTED_VALUE"""),"")</f>
        <v/>
      </c>
    </row>
    <row r="793">
      <c r="A793" s="1" t="str">
        <f>IFERROR(__xludf.DUMMYFUNCTION("""COMPUTED_VALUE"""),"DSQ")</f>
        <v>DSQ</v>
      </c>
      <c r="B793" s="1">
        <f>IFERROR(__xludf.DUMMYFUNCTION("""COMPUTED_VALUE"""),10054.0)</f>
        <v>10054</v>
      </c>
      <c r="C793" s="13" t="str">
        <f>IFERROR(__xludf.DUMMYFUNCTION("""COMPUTED_VALUE"""),"F.R SIHOMBING")</f>
        <v>F.R SIHOMBING</v>
      </c>
      <c r="D793" s="2" t="str">
        <f>IFERROR(__xludf.DUMMYFUNCTION("""COMPUTED_VALUE"""),"10KM OVERALL M")</f>
        <v>10KM OVERALL M</v>
      </c>
      <c r="E793" s="1" t="str">
        <f>IFERROR(__xludf.DUMMYFUNCTION("""COMPUTED_VALUE"""),"DSQ")</f>
        <v>DSQ</v>
      </c>
      <c r="F793" s="1" t="str">
        <f>IFERROR(__xludf.DUMMYFUNCTION("""COMPUTED_VALUE"""),"Male")</f>
        <v>Male</v>
      </c>
      <c r="G793" s="5" t="str">
        <f>IFERROR(__xludf.DUMMYFUNCTION("""COMPUTED_VALUE"""),"")</f>
        <v/>
      </c>
      <c r="H793" s="14">
        <f>IFERROR(__xludf.DUMMYFUNCTION("""COMPUTED_VALUE"""),0.24646185185185185)</f>
        <v>0.2464618519</v>
      </c>
      <c r="I793" s="15" t="str">
        <f>IFERROR(__xludf.DUMMYFUNCTION("""COMPUTED_VALUE"""),"")</f>
        <v/>
      </c>
      <c r="J793" s="15" t="str">
        <f>IFERROR(__xludf.DUMMYFUNCTION("""COMPUTED_VALUE"""),"")</f>
        <v/>
      </c>
      <c r="K793" s="15" t="str">
        <f>IFERROR(__xludf.DUMMYFUNCTION("""COMPUTED_VALUE"""),"")</f>
        <v/>
      </c>
      <c r="L793" s="15" t="str">
        <f>IFERROR(__xludf.DUMMYFUNCTION("""COMPUTED_VALUE"""),"")</f>
        <v/>
      </c>
    </row>
    <row r="794">
      <c r="A794" s="1" t="str">
        <f>IFERROR(__xludf.DUMMYFUNCTION("""COMPUTED_VALUE"""),"DSQ")</f>
        <v>DSQ</v>
      </c>
      <c r="B794" s="1">
        <f>IFERROR(__xludf.DUMMYFUNCTION("""COMPUTED_VALUE"""),10074.0)</f>
        <v>10074</v>
      </c>
      <c r="C794" s="13" t="str">
        <f>IFERROR(__xludf.DUMMYFUNCTION("""COMPUTED_VALUE"""),"Antasena")</f>
        <v>Antasena</v>
      </c>
      <c r="D794" s="2" t="str">
        <f>IFERROR(__xludf.DUMMYFUNCTION("""COMPUTED_VALUE"""),"10KM OVERALL M")</f>
        <v>10KM OVERALL M</v>
      </c>
      <c r="E794" s="1" t="str">
        <f>IFERROR(__xludf.DUMMYFUNCTION("""COMPUTED_VALUE"""),"DSQ")</f>
        <v>DSQ</v>
      </c>
      <c r="F794" s="1" t="str">
        <f>IFERROR(__xludf.DUMMYFUNCTION("""COMPUTED_VALUE"""),"Male")</f>
        <v>Male</v>
      </c>
      <c r="G794" s="5" t="str">
        <f>IFERROR(__xludf.DUMMYFUNCTION("""COMPUTED_VALUE"""),"")</f>
        <v/>
      </c>
      <c r="H794" s="14">
        <f>IFERROR(__xludf.DUMMYFUNCTION("""COMPUTED_VALUE"""),0.24646185185185185)</f>
        <v>0.2464618519</v>
      </c>
      <c r="I794" s="15" t="str">
        <f>IFERROR(__xludf.DUMMYFUNCTION("""COMPUTED_VALUE"""),"")</f>
        <v/>
      </c>
      <c r="J794" s="15" t="str">
        <f>IFERROR(__xludf.DUMMYFUNCTION("""COMPUTED_VALUE"""),"")</f>
        <v/>
      </c>
      <c r="K794" s="15" t="str">
        <f>IFERROR(__xludf.DUMMYFUNCTION("""COMPUTED_VALUE"""),"")</f>
        <v/>
      </c>
      <c r="L794" s="15" t="str">
        <f>IFERROR(__xludf.DUMMYFUNCTION("""COMPUTED_VALUE"""),"")</f>
        <v/>
      </c>
    </row>
    <row r="795">
      <c r="A795" s="1" t="str">
        <f>IFERROR(__xludf.DUMMYFUNCTION("""COMPUTED_VALUE"""),"DSQ")</f>
        <v>DSQ</v>
      </c>
      <c r="B795" s="1">
        <f>IFERROR(__xludf.DUMMYFUNCTION("""COMPUTED_VALUE"""),10123.0)</f>
        <v>10123</v>
      </c>
      <c r="C795" s="13" t="str">
        <f>IFERROR(__xludf.DUMMYFUNCTION("""COMPUTED_VALUE"""),"Sambadeny")</f>
        <v>Sambadeny</v>
      </c>
      <c r="D795" s="2" t="str">
        <f>IFERROR(__xludf.DUMMYFUNCTION("""COMPUTED_VALUE"""),"10KM OVERALL M")</f>
        <v>10KM OVERALL M</v>
      </c>
      <c r="E795" s="1" t="str">
        <f>IFERROR(__xludf.DUMMYFUNCTION("""COMPUTED_VALUE"""),"DSQ")</f>
        <v>DSQ</v>
      </c>
      <c r="F795" s="1" t="str">
        <f>IFERROR(__xludf.DUMMYFUNCTION("""COMPUTED_VALUE"""),"Male")</f>
        <v>Male</v>
      </c>
      <c r="G795" s="5" t="str">
        <f>IFERROR(__xludf.DUMMYFUNCTION("""COMPUTED_VALUE"""),"")</f>
        <v/>
      </c>
      <c r="H795" s="14">
        <f>IFERROR(__xludf.DUMMYFUNCTION("""COMPUTED_VALUE"""),0.24646185185185185)</f>
        <v>0.2464618519</v>
      </c>
      <c r="I795" s="15" t="str">
        <f>IFERROR(__xludf.DUMMYFUNCTION("""COMPUTED_VALUE"""),"")</f>
        <v/>
      </c>
      <c r="J795" s="15" t="str">
        <f>IFERROR(__xludf.DUMMYFUNCTION("""COMPUTED_VALUE"""),"")</f>
        <v/>
      </c>
      <c r="K795" s="15" t="str">
        <f>IFERROR(__xludf.DUMMYFUNCTION("""COMPUTED_VALUE"""),"")</f>
        <v/>
      </c>
      <c r="L795" s="15" t="str">
        <f>IFERROR(__xludf.DUMMYFUNCTION("""COMPUTED_VALUE"""),"")</f>
        <v/>
      </c>
    </row>
    <row r="796">
      <c r="A796" s="1" t="str">
        <f>IFERROR(__xludf.DUMMYFUNCTION("""COMPUTED_VALUE"""),"DSQ")</f>
        <v>DSQ</v>
      </c>
      <c r="B796" s="1">
        <f>IFERROR(__xludf.DUMMYFUNCTION("""COMPUTED_VALUE"""),10130.0)</f>
        <v>10130</v>
      </c>
      <c r="C796" s="13" t="str">
        <f>IFERROR(__xludf.DUMMYFUNCTION("""COMPUTED_VALUE"""),"Althaf")</f>
        <v>Althaf</v>
      </c>
      <c r="D796" s="2" t="str">
        <f>IFERROR(__xludf.DUMMYFUNCTION("""COMPUTED_VALUE"""),"10KM OVERALL M")</f>
        <v>10KM OVERALL M</v>
      </c>
      <c r="E796" s="1" t="str">
        <f>IFERROR(__xludf.DUMMYFUNCTION("""COMPUTED_VALUE"""),"DSQ")</f>
        <v>DSQ</v>
      </c>
      <c r="F796" s="1" t="str">
        <f>IFERROR(__xludf.DUMMYFUNCTION("""COMPUTED_VALUE"""),"Male")</f>
        <v>Male</v>
      </c>
      <c r="G796" s="5" t="str">
        <f>IFERROR(__xludf.DUMMYFUNCTION("""COMPUTED_VALUE"""),"")</f>
        <v/>
      </c>
      <c r="H796" s="14">
        <f>IFERROR(__xludf.DUMMYFUNCTION("""COMPUTED_VALUE"""),0.24646185185185185)</f>
        <v>0.2464618519</v>
      </c>
      <c r="I796" s="15" t="str">
        <f>IFERROR(__xludf.DUMMYFUNCTION("""COMPUTED_VALUE"""),"")</f>
        <v/>
      </c>
      <c r="J796" s="15" t="str">
        <f>IFERROR(__xludf.DUMMYFUNCTION("""COMPUTED_VALUE"""),"")</f>
        <v/>
      </c>
      <c r="K796" s="15" t="str">
        <f>IFERROR(__xludf.DUMMYFUNCTION("""COMPUTED_VALUE"""),"")</f>
        <v/>
      </c>
      <c r="L796" s="15" t="str">
        <f>IFERROR(__xludf.DUMMYFUNCTION("""COMPUTED_VALUE"""),"")</f>
        <v/>
      </c>
    </row>
    <row r="797">
      <c r="A797" s="1" t="str">
        <f>IFERROR(__xludf.DUMMYFUNCTION("""COMPUTED_VALUE"""),"DSQ")</f>
        <v>DSQ</v>
      </c>
      <c r="B797" s="1">
        <f>IFERROR(__xludf.DUMMYFUNCTION("""COMPUTED_VALUE"""),10177.0)</f>
        <v>10177</v>
      </c>
      <c r="C797" s="13" t="str">
        <f>IFERROR(__xludf.DUMMYFUNCTION("""COMPUTED_VALUE"""),"Rizki")</f>
        <v>Rizki</v>
      </c>
      <c r="D797" s="2" t="str">
        <f>IFERROR(__xludf.DUMMYFUNCTION("""COMPUTED_VALUE"""),"10KM OVERALL M")</f>
        <v>10KM OVERALL M</v>
      </c>
      <c r="E797" s="1" t="str">
        <f>IFERROR(__xludf.DUMMYFUNCTION("""COMPUTED_VALUE"""),"DSQ")</f>
        <v>DSQ</v>
      </c>
      <c r="F797" s="1" t="str">
        <f>IFERROR(__xludf.DUMMYFUNCTION("""COMPUTED_VALUE"""),"Male")</f>
        <v>Male</v>
      </c>
      <c r="G797" s="5" t="str">
        <f>IFERROR(__xludf.DUMMYFUNCTION("""COMPUTED_VALUE"""),"")</f>
        <v/>
      </c>
      <c r="H797" s="14">
        <f>IFERROR(__xludf.DUMMYFUNCTION("""COMPUTED_VALUE"""),0.24646185185185185)</f>
        <v>0.2464618519</v>
      </c>
      <c r="I797" s="15" t="str">
        <f>IFERROR(__xludf.DUMMYFUNCTION("""COMPUTED_VALUE"""),"")</f>
        <v/>
      </c>
      <c r="J797" s="15" t="str">
        <f>IFERROR(__xludf.DUMMYFUNCTION("""COMPUTED_VALUE"""),"")</f>
        <v/>
      </c>
      <c r="K797" s="15" t="str">
        <f>IFERROR(__xludf.DUMMYFUNCTION("""COMPUTED_VALUE"""),"")</f>
        <v/>
      </c>
      <c r="L797" s="15" t="str">
        <f>IFERROR(__xludf.DUMMYFUNCTION("""COMPUTED_VALUE"""),"")</f>
        <v/>
      </c>
    </row>
    <row r="798">
      <c r="A798" s="1" t="str">
        <f>IFERROR(__xludf.DUMMYFUNCTION("""COMPUTED_VALUE"""),"DSQ")</f>
        <v>DSQ</v>
      </c>
      <c r="B798" s="1">
        <f>IFERROR(__xludf.DUMMYFUNCTION("""COMPUTED_VALUE"""),10186.0)</f>
        <v>10186</v>
      </c>
      <c r="C798" s="13" t="str">
        <f>IFERROR(__xludf.DUMMYFUNCTION("""COMPUTED_VALUE"""),"MIFTAH HADI")</f>
        <v>MIFTAH HADI</v>
      </c>
      <c r="D798" s="2" t="str">
        <f>IFERROR(__xludf.DUMMYFUNCTION("""COMPUTED_VALUE"""),"10KM OVERALL M")</f>
        <v>10KM OVERALL M</v>
      </c>
      <c r="E798" s="1" t="str">
        <f>IFERROR(__xludf.DUMMYFUNCTION("""COMPUTED_VALUE"""),"DSQ")</f>
        <v>DSQ</v>
      </c>
      <c r="F798" s="1" t="str">
        <f>IFERROR(__xludf.DUMMYFUNCTION("""COMPUTED_VALUE"""),"Male")</f>
        <v>Male</v>
      </c>
      <c r="G798" s="5" t="str">
        <f>IFERROR(__xludf.DUMMYFUNCTION("""COMPUTED_VALUE"""),"")</f>
        <v/>
      </c>
      <c r="H798" s="14">
        <f>IFERROR(__xludf.DUMMYFUNCTION("""COMPUTED_VALUE"""),0.24646185185185185)</f>
        <v>0.2464618519</v>
      </c>
      <c r="I798" s="15" t="str">
        <f>IFERROR(__xludf.DUMMYFUNCTION("""COMPUTED_VALUE"""),"")</f>
        <v/>
      </c>
      <c r="J798" s="15" t="str">
        <f>IFERROR(__xludf.DUMMYFUNCTION("""COMPUTED_VALUE"""),"")</f>
        <v/>
      </c>
      <c r="K798" s="15" t="str">
        <f>IFERROR(__xludf.DUMMYFUNCTION("""COMPUTED_VALUE"""),"")</f>
        <v/>
      </c>
      <c r="L798" s="15" t="str">
        <f>IFERROR(__xludf.DUMMYFUNCTION("""COMPUTED_VALUE"""),"")</f>
        <v/>
      </c>
    </row>
    <row r="799">
      <c r="A799" s="1" t="str">
        <f>IFERROR(__xludf.DUMMYFUNCTION("""COMPUTED_VALUE"""),"DSQ")</f>
        <v>DSQ</v>
      </c>
      <c r="B799" s="1">
        <f>IFERROR(__xludf.DUMMYFUNCTION("""COMPUTED_VALUE"""),10210.0)</f>
        <v>10210</v>
      </c>
      <c r="C799" s="13" t="str">
        <f>IFERROR(__xludf.DUMMYFUNCTION("""COMPUTED_VALUE"""),"Ihsan")</f>
        <v>Ihsan</v>
      </c>
      <c r="D799" s="2" t="str">
        <f>IFERROR(__xludf.DUMMYFUNCTION("""COMPUTED_VALUE"""),"10KM OVERALL M")</f>
        <v>10KM OVERALL M</v>
      </c>
      <c r="E799" s="1" t="str">
        <f>IFERROR(__xludf.DUMMYFUNCTION("""COMPUTED_VALUE"""),"DSQ")</f>
        <v>DSQ</v>
      </c>
      <c r="F799" s="1" t="str">
        <f>IFERROR(__xludf.DUMMYFUNCTION("""COMPUTED_VALUE"""),"Male")</f>
        <v>Male</v>
      </c>
      <c r="G799" s="5" t="str">
        <f>IFERROR(__xludf.DUMMYFUNCTION("""COMPUTED_VALUE"""),"")</f>
        <v/>
      </c>
      <c r="H799" s="14">
        <f>IFERROR(__xludf.DUMMYFUNCTION("""COMPUTED_VALUE"""),0.24646185185185185)</f>
        <v>0.2464618519</v>
      </c>
      <c r="I799" s="15" t="str">
        <f>IFERROR(__xludf.DUMMYFUNCTION("""COMPUTED_VALUE"""),"")</f>
        <v/>
      </c>
      <c r="J799" s="15" t="str">
        <f>IFERROR(__xludf.DUMMYFUNCTION("""COMPUTED_VALUE"""),"")</f>
        <v/>
      </c>
      <c r="K799" s="15" t="str">
        <f>IFERROR(__xludf.DUMMYFUNCTION("""COMPUTED_VALUE"""),"")</f>
        <v/>
      </c>
      <c r="L799" s="15" t="str">
        <f>IFERROR(__xludf.DUMMYFUNCTION("""COMPUTED_VALUE"""),"")</f>
        <v/>
      </c>
    </row>
    <row r="800">
      <c r="A800" s="1" t="str">
        <f>IFERROR(__xludf.DUMMYFUNCTION("""COMPUTED_VALUE"""),"DSQ")</f>
        <v>DSQ</v>
      </c>
      <c r="B800" s="1">
        <f>IFERROR(__xludf.DUMMYFUNCTION("""COMPUTED_VALUE"""),10213.0)</f>
        <v>10213</v>
      </c>
      <c r="C800" s="13" t="str">
        <f>IFERROR(__xludf.DUMMYFUNCTION("""COMPUTED_VALUE"""),"ade")</f>
        <v>ade</v>
      </c>
      <c r="D800" s="2" t="str">
        <f>IFERROR(__xludf.DUMMYFUNCTION("""COMPUTED_VALUE"""),"10KM OVERALL M")</f>
        <v>10KM OVERALL M</v>
      </c>
      <c r="E800" s="1" t="str">
        <f>IFERROR(__xludf.DUMMYFUNCTION("""COMPUTED_VALUE"""),"DSQ")</f>
        <v>DSQ</v>
      </c>
      <c r="F800" s="1" t="str">
        <f>IFERROR(__xludf.DUMMYFUNCTION("""COMPUTED_VALUE"""),"Male")</f>
        <v>Male</v>
      </c>
      <c r="G800" s="5" t="str">
        <f>IFERROR(__xludf.DUMMYFUNCTION("""COMPUTED_VALUE"""),"")</f>
        <v/>
      </c>
      <c r="H800" s="14">
        <f>IFERROR(__xludf.DUMMYFUNCTION("""COMPUTED_VALUE"""),0.24646185185185185)</f>
        <v>0.2464618519</v>
      </c>
      <c r="I800" s="15" t="str">
        <f>IFERROR(__xludf.DUMMYFUNCTION("""COMPUTED_VALUE"""),"")</f>
        <v/>
      </c>
      <c r="J800" s="15" t="str">
        <f>IFERROR(__xludf.DUMMYFUNCTION("""COMPUTED_VALUE"""),"")</f>
        <v/>
      </c>
      <c r="K800" s="15" t="str">
        <f>IFERROR(__xludf.DUMMYFUNCTION("""COMPUTED_VALUE"""),"")</f>
        <v/>
      </c>
      <c r="L800" s="15" t="str">
        <f>IFERROR(__xludf.DUMMYFUNCTION("""COMPUTED_VALUE"""),"")</f>
        <v/>
      </c>
    </row>
    <row r="801">
      <c r="A801" s="1" t="str">
        <f>IFERROR(__xludf.DUMMYFUNCTION("""COMPUTED_VALUE"""),"DSQ")</f>
        <v>DSQ</v>
      </c>
      <c r="B801" s="1">
        <f>IFERROR(__xludf.DUMMYFUNCTION("""COMPUTED_VALUE"""),10245.0)</f>
        <v>10245</v>
      </c>
      <c r="C801" s="13" t="str">
        <f>IFERROR(__xludf.DUMMYFUNCTION("""COMPUTED_VALUE"""),"AMI")</f>
        <v>AMI</v>
      </c>
      <c r="D801" s="2" t="str">
        <f>IFERROR(__xludf.DUMMYFUNCTION("""COMPUTED_VALUE"""),"10KM OVERALL M")</f>
        <v>10KM OVERALL M</v>
      </c>
      <c r="E801" s="1" t="str">
        <f>IFERROR(__xludf.DUMMYFUNCTION("""COMPUTED_VALUE"""),"DSQ")</f>
        <v>DSQ</v>
      </c>
      <c r="F801" s="1" t="str">
        <f>IFERROR(__xludf.DUMMYFUNCTION("""COMPUTED_VALUE"""),"Male")</f>
        <v>Male</v>
      </c>
      <c r="G801" s="5" t="str">
        <f>IFERROR(__xludf.DUMMYFUNCTION("""COMPUTED_VALUE"""),"")</f>
        <v/>
      </c>
      <c r="H801" s="14">
        <f>IFERROR(__xludf.DUMMYFUNCTION("""COMPUTED_VALUE"""),0.24646185185185185)</f>
        <v>0.2464618519</v>
      </c>
      <c r="I801" s="15" t="str">
        <f>IFERROR(__xludf.DUMMYFUNCTION("""COMPUTED_VALUE"""),"")</f>
        <v/>
      </c>
      <c r="J801" s="15" t="str">
        <f>IFERROR(__xludf.DUMMYFUNCTION("""COMPUTED_VALUE"""),"")</f>
        <v/>
      </c>
      <c r="K801" s="15" t="str">
        <f>IFERROR(__xludf.DUMMYFUNCTION("""COMPUTED_VALUE"""),"")</f>
        <v/>
      </c>
      <c r="L801" s="15" t="str">
        <f>IFERROR(__xludf.DUMMYFUNCTION("""COMPUTED_VALUE"""),"")</f>
        <v/>
      </c>
    </row>
    <row r="802">
      <c r="A802" s="1" t="str">
        <f>IFERROR(__xludf.DUMMYFUNCTION("""COMPUTED_VALUE"""),"DSQ")</f>
        <v>DSQ</v>
      </c>
      <c r="B802" s="1">
        <f>IFERROR(__xludf.DUMMYFUNCTION("""COMPUTED_VALUE"""),10255.0)</f>
        <v>10255</v>
      </c>
      <c r="C802" s="13" t="str">
        <f>IFERROR(__xludf.DUMMYFUNCTION("""COMPUTED_VALUE"""),"Doctor")</f>
        <v>Doctor</v>
      </c>
      <c r="D802" s="2" t="str">
        <f>IFERROR(__xludf.DUMMYFUNCTION("""COMPUTED_VALUE"""),"10KM OVERALL M")</f>
        <v>10KM OVERALL M</v>
      </c>
      <c r="E802" s="1" t="str">
        <f>IFERROR(__xludf.DUMMYFUNCTION("""COMPUTED_VALUE"""),"DSQ")</f>
        <v>DSQ</v>
      </c>
      <c r="F802" s="1" t="str">
        <f>IFERROR(__xludf.DUMMYFUNCTION("""COMPUTED_VALUE"""),"Male")</f>
        <v>Male</v>
      </c>
      <c r="G802" s="5" t="str">
        <f>IFERROR(__xludf.DUMMYFUNCTION("""COMPUTED_VALUE"""),"")</f>
        <v/>
      </c>
      <c r="H802" s="14">
        <f>IFERROR(__xludf.DUMMYFUNCTION("""COMPUTED_VALUE"""),0.24646185185185185)</f>
        <v>0.2464618519</v>
      </c>
      <c r="I802" s="15" t="str">
        <f>IFERROR(__xludf.DUMMYFUNCTION("""COMPUTED_VALUE"""),"")</f>
        <v/>
      </c>
      <c r="J802" s="15" t="str">
        <f>IFERROR(__xludf.DUMMYFUNCTION("""COMPUTED_VALUE"""),"")</f>
        <v/>
      </c>
      <c r="K802" s="15" t="str">
        <f>IFERROR(__xludf.DUMMYFUNCTION("""COMPUTED_VALUE"""),"")</f>
        <v/>
      </c>
      <c r="L802" s="15" t="str">
        <f>IFERROR(__xludf.DUMMYFUNCTION("""COMPUTED_VALUE"""),"")</f>
        <v/>
      </c>
    </row>
    <row r="803">
      <c r="A803" s="1" t="str">
        <f>IFERROR(__xludf.DUMMYFUNCTION("""COMPUTED_VALUE"""),"DSQ")</f>
        <v>DSQ</v>
      </c>
      <c r="B803" s="1">
        <f>IFERROR(__xludf.DUMMYFUNCTION("""COMPUTED_VALUE"""),10256.0)</f>
        <v>10256</v>
      </c>
      <c r="C803" s="13" t="str">
        <f>IFERROR(__xludf.DUMMYFUNCTION("""COMPUTED_VALUE"""),"Bapak Aris")</f>
        <v>Bapak Aris</v>
      </c>
      <c r="D803" s="2" t="str">
        <f>IFERROR(__xludf.DUMMYFUNCTION("""COMPUTED_VALUE"""),"10KM OVERALL M")</f>
        <v>10KM OVERALL M</v>
      </c>
      <c r="E803" s="1" t="str">
        <f>IFERROR(__xludf.DUMMYFUNCTION("""COMPUTED_VALUE"""),"DSQ")</f>
        <v>DSQ</v>
      </c>
      <c r="F803" s="1" t="str">
        <f>IFERROR(__xludf.DUMMYFUNCTION("""COMPUTED_VALUE"""),"Male")</f>
        <v>Male</v>
      </c>
      <c r="G803" s="5" t="str">
        <f>IFERROR(__xludf.DUMMYFUNCTION("""COMPUTED_VALUE"""),"")</f>
        <v/>
      </c>
      <c r="H803" s="14">
        <f>IFERROR(__xludf.DUMMYFUNCTION("""COMPUTED_VALUE"""),0.24646185185185185)</f>
        <v>0.2464618519</v>
      </c>
      <c r="I803" s="15" t="str">
        <f>IFERROR(__xludf.DUMMYFUNCTION("""COMPUTED_VALUE"""),"")</f>
        <v/>
      </c>
      <c r="J803" s="15" t="str">
        <f>IFERROR(__xludf.DUMMYFUNCTION("""COMPUTED_VALUE"""),"")</f>
        <v/>
      </c>
      <c r="K803" s="15" t="str">
        <f>IFERROR(__xludf.DUMMYFUNCTION("""COMPUTED_VALUE"""),"")</f>
        <v/>
      </c>
      <c r="L803" s="15" t="str">
        <f>IFERROR(__xludf.DUMMYFUNCTION("""COMPUTED_VALUE"""),"")</f>
        <v/>
      </c>
    </row>
    <row r="804">
      <c r="A804" s="1" t="str">
        <f>IFERROR(__xludf.DUMMYFUNCTION("""COMPUTED_VALUE"""),"DSQ")</f>
        <v>DSQ</v>
      </c>
      <c r="B804" s="1">
        <f>IFERROR(__xludf.DUMMYFUNCTION("""COMPUTED_VALUE"""),10260.0)</f>
        <v>10260</v>
      </c>
      <c r="C804" s="13" t="str">
        <f>IFERROR(__xludf.DUMMYFUNCTION("""COMPUTED_VALUE"""),"Uncle Joe")</f>
        <v>Uncle Joe</v>
      </c>
      <c r="D804" s="2" t="str">
        <f>IFERROR(__xludf.DUMMYFUNCTION("""COMPUTED_VALUE"""),"10KM OVERALL M")</f>
        <v>10KM OVERALL M</v>
      </c>
      <c r="E804" s="1" t="str">
        <f>IFERROR(__xludf.DUMMYFUNCTION("""COMPUTED_VALUE"""),"DSQ")</f>
        <v>DSQ</v>
      </c>
      <c r="F804" s="1" t="str">
        <f>IFERROR(__xludf.DUMMYFUNCTION("""COMPUTED_VALUE"""),"Male")</f>
        <v>Male</v>
      </c>
      <c r="G804" s="5" t="str">
        <f>IFERROR(__xludf.DUMMYFUNCTION("""COMPUTED_VALUE"""),"")</f>
        <v/>
      </c>
      <c r="H804" s="14">
        <f>IFERROR(__xludf.DUMMYFUNCTION("""COMPUTED_VALUE"""),0.24646185185185185)</f>
        <v>0.2464618519</v>
      </c>
      <c r="I804" s="15" t="str">
        <f>IFERROR(__xludf.DUMMYFUNCTION("""COMPUTED_VALUE"""),"")</f>
        <v/>
      </c>
      <c r="J804" s="15" t="str">
        <f>IFERROR(__xludf.DUMMYFUNCTION("""COMPUTED_VALUE"""),"")</f>
        <v/>
      </c>
      <c r="K804" s="15" t="str">
        <f>IFERROR(__xludf.DUMMYFUNCTION("""COMPUTED_VALUE"""),"")</f>
        <v/>
      </c>
      <c r="L804" s="15" t="str">
        <f>IFERROR(__xludf.DUMMYFUNCTION("""COMPUTED_VALUE"""),"")</f>
        <v/>
      </c>
    </row>
    <row r="805">
      <c r="A805" s="1" t="str">
        <f>IFERROR(__xludf.DUMMYFUNCTION("""COMPUTED_VALUE"""),"DSQ")</f>
        <v>DSQ</v>
      </c>
      <c r="B805" s="1">
        <f>IFERROR(__xludf.DUMMYFUNCTION("""COMPUTED_VALUE"""),10269.0)</f>
        <v>10269</v>
      </c>
      <c r="C805" s="13" t="str">
        <f>IFERROR(__xludf.DUMMYFUNCTION("""COMPUTED_VALUE"""),"HENDRA")</f>
        <v>HENDRA</v>
      </c>
      <c r="D805" s="2" t="str">
        <f>IFERROR(__xludf.DUMMYFUNCTION("""COMPUTED_VALUE"""),"10KM OVERALL M")</f>
        <v>10KM OVERALL M</v>
      </c>
      <c r="E805" s="1" t="str">
        <f>IFERROR(__xludf.DUMMYFUNCTION("""COMPUTED_VALUE"""),"DSQ")</f>
        <v>DSQ</v>
      </c>
      <c r="F805" s="1" t="str">
        <f>IFERROR(__xludf.DUMMYFUNCTION("""COMPUTED_VALUE"""),"Male")</f>
        <v>Male</v>
      </c>
      <c r="G805" s="5" t="str">
        <f>IFERROR(__xludf.DUMMYFUNCTION("""COMPUTED_VALUE"""),"")</f>
        <v/>
      </c>
      <c r="H805" s="14">
        <f>IFERROR(__xludf.DUMMYFUNCTION("""COMPUTED_VALUE"""),0.24646185185185185)</f>
        <v>0.2464618519</v>
      </c>
      <c r="I805" s="15" t="str">
        <f>IFERROR(__xludf.DUMMYFUNCTION("""COMPUTED_VALUE"""),"")</f>
        <v/>
      </c>
      <c r="J805" s="15" t="str">
        <f>IFERROR(__xludf.DUMMYFUNCTION("""COMPUTED_VALUE"""),"")</f>
        <v/>
      </c>
      <c r="K805" s="15" t="str">
        <f>IFERROR(__xludf.DUMMYFUNCTION("""COMPUTED_VALUE"""),"")</f>
        <v/>
      </c>
      <c r="L805" s="15" t="str">
        <f>IFERROR(__xludf.DUMMYFUNCTION("""COMPUTED_VALUE"""),"")</f>
        <v/>
      </c>
    </row>
    <row r="806">
      <c r="A806" s="1" t="str">
        <f>IFERROR(__xludf.DUMMYFUNCTION("""COMPUTED_VALUE"""),"DSQ")</f>
        <v>DSQ</v>
      </c>
      <c r="B806" s="1">
        <f>IFERROR(__xludf.DUMMYFUNCTION("""COMPUTED_VALUE"""),10276.0)</f>
        <v>10276</v>
      </c>
      <c r="C806" s="13" t="str">
        <f>IFERROR(__xludf.DUMMYFUNCTION("""COMPUTED_VALUE"""),"Zai")</f>
        <v>Zai</v>
      </c>
      <c r="D806" s="2" t="str">
        <f>IFERROR(__xludf.DUMMYFUNCTION("""COMPUTED_VALUE"""),"10KM OVERALL M")</f>
        <v>10KM OVERALL M</v>
      </c>
      <c r="E806" s="1" t="str">
        <f>IFERROR(__xludf.DUMMYFUNCTION("""COMPUTED_VALUE"""),"DSQ")</f>
        <v>DSQ</v>
      </c>
      <c r="F806" s="1" t="str">
        <f>IFERROR(__xludf.DUMMYFUNCTION("""COMPUTED_VALUE"""),"Male")</f>
        <v>Male</v>
      </c>
      <c r="G806" s="5" t="str">
        <f>IFERROR(__xludf.DUMMYFUNCTION("""COMPUTED_VALUE"""),"")</f>
        <v/>
      </c>
      <c r="H806" s="14">
        <f>IFERROR(__xludf.DUMMYFUNCTION("""COMPUTED_VALUE"""),0.24646185185185185)</f>
        <v>0.2464618519</v>
      </c>
      <c r="I806" s="15" t="str">
        <f>IFERROR(__xludf.DUMMYFUNCTION("""COMPUTED_VALUE"""),"")</f>
        <v/>
      </c>
      <c r="J806" s="15" t="str">
        <f>IFERROR(__xludf.DUMMYFUNCTION("""COMPUTED_VALUE"""),"")</f>
        <v/>
      </c>
      <c r="K806" s="15" t="str">
        <f>IFERROR(__xludf.DUMMYFUNCTION("""COMPUTED_VALUE"""),"")</f>
        <v/>
      </c>
      <c r="L806" s="15" t="str">
        <f>IFERROR(__xludf.DUMMYFUNCTION("""COMPUTED_VALUE"""),"")</f>
        <v/>
      </c>
    </row>
    <row r="807">
      <c r="A807" s="1" t="str">
        <f>IFERROR(__xludf.DUMMYFUNCTION("""COMPUTED_VALUE"""),"DSQ")</f>
        <v>DSQ</v>
      </c>
      <c r="B807" s="1">
        <f>IFERROR(__xludf.DUMMYFUNCTION("""COMPUTED_VALUE"""),10278.0)</f>
        <v>10278</v>
      </c>
      <c r="C807" s="13" t="str">
        <f>IFERROR(__xludf.DUMMYFUNCTION("""COMPUTED_VALUE"""),"Bagas PS")</f>
        <v>Bagas PS</v>
      </c>
      <c r="D807" s="2" t="str">
        <f>IFERROR(__xludf.DUMMYFUNCTION("""COMPUTED_VALUE"""),"10KM OVERALL M")</f>
        <v>10KM OVERALL M</v>
      </c>
      <c r="E807" s="1" t="str">
        <f>IFERROR(__xludf.DUMMYFUNCTION("""COMPUTED_VALUE"""),"DSQ")</f>
        <v>DSQ</v>
      </c>
      <c r="F807" s="1" t="str">
        <f>IFERROR(__xludf.DUMMYFUNCTION("""COMPUTED_VALUE"""),"Male")</f>
        <v>Male</v>
      </c>
      <c r="G807" s="5" t="str">
        <f>IFERROR(__xludf.DUMMYFUNCTION("""COMPUTED_VALUE"""),"")</f>
        <v/>
      </c>
      <c r="H807" s="14">
        <f>IFERROR(__xludf.DUMMYFUNCTION("""COMPUTED_VALUE"""),0.24646185185185185)</f>
        <v>0.2464618519</v>
      </c>
      <c r="I807" s="15" t="str">
        <f>IFERROR(__xludf.DUMMYFUNCTION("""COMPUTED_VALUE"""),"")</f>
        <v/>
      </c>
      <c r="J807" s="15" t="str">
        <f>IFERROR(__xludf.DUMMYFUNCTION("""COMPUTED_VALUE"""),"")</f>
        <v/>
      </c>
      <c r="K807" s="15" t="str">
        <f>IFERROR(__xludf.DUMMYFUNCTION("""COMPUTED_VALUE"""),"")</f>
        <v/>
      </c>
      <c r="L807" s="15" t="str">
        <f>IFERROR(__xludf.DUMMYFUNCTION("""COMPUTED_VALUE"""),"")</f>
        <v/>
      </c>
    </row>
    <row r="808">
      <c r="A808" s="1" t="str">
        <f>IFERROR(__xludf.DUMMYFUNCTION("""COMPUTED_VALUE"""),"DSQ")</f>
        <v>DSQ</v>
      </c>
      <c r="B808" s="1">
        <f>IFERROR(__xludf.DUMMYFUNCTION("""COMPUTED_VALUE"""),10281.0)</f>
        <v>10281</v>
      </c>
      <c r="C808" s="13" t="str">
        <f>IFERROR(__xludf.DUMMYFUNCTION("""COMPUTED_VALUE"""),"YOGI")</f>
        <v>YOGI</v>
      </c>
      <c r="D808" s="2" t="str">
        <f>IFERROR(__xludf.DUMMYFUNCTION("""COMPUTED_VALUE"""),"10KM OVERALL M")</f>
        <v>10KM OVERALL M</v>
      </c>
      <c r="E808" s="1" t="str">
        <f>IFERROR(__xludf.DUMMYFUNCTION("""COMPUTED_VALUE"""),"DSQ")</f>
        <v>DSQ</v>
      </c>
      <c r="F808" s="1" t="str">
        <f>IFERROR(__xludf.DUMMYFUNCTION("""COMPUTED_VALUE"""),"Male")</f>
        <v>Male</v>
      </c>
      <c r="G808" s="5" t="str">
        <f>IFERROR(__xludf.DUMMYFUNCTION("""COMPUTED_VALUE"""),"")</f>
        <v/>
      </c>
      <c r="H808" s="14">
        <f>IFERROR(__xludf.DUMMYFUNCTION("""COMPUTED_VALUE"""),0.24646185185185185)</f>
        <v>0.2464618519</v>
      </c>
      <c r="I808" s="15" t="str">
        <f>IFERROR(__xludf.DUMMYFUNCTION("""COMPUTED_VALUE"""),"")</f>
        <v/>
      </c>
      <c r="J808" s="15" t="str">
        <f>IFERROR(__xludf.DUMMYFUNCTION("""COMPUTED_VALUE"""),"")</f>
        <v/>
      </c>
      <c r="K808" s="15" t="str">
        <f>IFERROR(__xludf.DUMMYFUNCTION("""COMPUTED_VALUE"""),"")</f>
        <v/>
      </c>
      <c r="L808" s="15" t="str">
        <f>IFERROR(__xludf.DUMMYFUNCTION("""COMPUTED_VALUE"""),"")</f>
        <v/>
      </c>
    </row>
    <row r="809">
      <c r="A809" s="1" t="str">
        <f>IFERROR(__xludf.DUMMYFUNCTION("""COMPUTED_VALUE"""),"DSQ")</f>
        <v>DSQ</v>
      </c>
      <c r="B809" s="1">
        <f>IFERROR(__xludf.DUMMYFUNCTION("""COMPUTED_VALUE"""),10285.0)</f>
        <v>10285</v>
      </c>
      <c r="C809" s="13" t="str">
        <f>IFERROR(__xludf.DUMMYFUNCTION("""COMPUTED_VALUE"""),"Afdhal")</f>
        <v>Afdhal</v>
      </c>
      <c r="D809" s="2" t="str">
        <f>IFERROR(__xludf.DUMMYFUNCTION("""COMPUTED_VALUE"""),"10KM OVERALL M")</f>
        <v>10KM OVERALL M</v>
      </c>
      <c r="E809" s="1" t="str">
        <f>IFERROR(__xludf.DUMMYFUNCTION("""COMPUTED_VALUE"""),"DSQ")</f>
        <v>DSQ</v>
      </c>
      <c r="F809" s="1" t="str">
        <f>IFERROR(__xludf.DUMMYFUNCTION("""COMPUTED_VALUE"""),"Male")</f>
        <v>Male</v>
      </c>
      <c r="G809" s="5">
        <f>IFERROR(__xludf.DUMMYFUNCTION("""COMPUTED_VALUE"""),0.006098415509259259)</f>
        <v>0.006098415509</v>
      </c>
      <c r="H809" s="14">
        <f>IFERROR(__xludf.DUMMYFUNCTION("""COMPUTED_VALUE"""),0.24646185185185185)</f>
        <v>0.2464618519</v>
      </c>
      <c r="I809" s="15">
        <f>IFERROR(__xludf.DUMMYFUNCTION("""COMPUTED_VALUE"""),45949.30744600466)</f>
        <v>45949.30745</v>
      </c>
      <c r="J809" s="15">
        <f>IFERROR(__xludf.DUMMYFUNCTION("""COMPUTED_VALUE"""),45949.06098415281)</f>
        <v>45949.06098</v>
      </c>
      <c r="K809" s="15" t="str">
        <f>IFERROR(__xludf.DUMMYFUNCTION("""COMPUTED_VALUE"""),"")</f>
        <v/>
      </c>
      <c r="L809" s="15" t="str">
        <f>IFERROR(__xludf.DUMMYFUNCTION("""COMPUTED_VALUE"""),"")</f>
        <v/>
      </c>
    </row>
    <row r="810">
      <c r="A810" s="1" t="str">
        <f>IFERROR(__xludf.DUMMYFUNCTION("""COMPUTED_VALUE"""),"DSQ")</f>
        <v>DSQ</v>
      </c>
      <c r="B810" s="1">
        <f>IFERROR(__xludf.DUMMYFUNCTION("""COMPUTED_VALUE"""),10289.0)</f>
        <v>10289</v>
      </c>
      <c r="C810" s="13" t="str">
        <f>IFERROR(__xludf.DUMMYFUNCTION("""COMPUTED_VALUE"""),"AaGin")</f>
        <v>AaGin</v>
      </c>
      <c r="D810" s="2" t="str">
        <f>IFERROR(__xludf.DUMMYFUNCTION("""COMPUTED_VALUE"""),"10KM OVERALL M")</f>
        <v>10KM OVERALL M</v>
      </c>
      <c r="E810" s="1" t="str">
        <f>IFERROR(__xludf.DUMMYFUNCTION("""COMPUTED_VALUE"""),"DSQ")</f>
        <v>DSQ</v>
      </c>
      <c r="F810" s="1" t="str">
        <f>IFERROR(__xludf.DUMMYFUNCTION("""COMPUTED_VALUE"""),"Male")</f>
        <v>Male</v>
      </c>
      <c r="G810" s="5" t="str">
        <f>IFERROR(__xludf.DUMMYFUNCTION("""COMPUTED_VALUE"""),"")</f>
        <v/>
      </c>
      <c r="H810" s="14">
        <f>IFERROR(__xludf.DUMMYFUNCTION("""COMPUTED_VALUE"""),0.24646185185185185)</f>
        <v>0.2464618519</v>
      </c>
      <c r="I810" s="15" t="str">
        <f>IFERROR(__xludf.DUMMYFUNCTION("""COMPUTED_VALUE"""),"")</f>
        <v/>
      </c>
      <c r="J810" s="15" t="str">
        <f>IFERROR(__xludf.DUMMYFUNCTION("""COMPUTED_VALUE"""),"")</f>
        <v/>
      </c>
      <c r="K810" s="15" t="str">
        <f>IFERROR(__xludf.DUMMYFUNCTION("""COMPUTED_VALUE"""),"")</f>
        <v/>
      </c>
      <c r="L810" s="15" t="str">
        <f>IFERROR(__xludf.DUMMYFUNCTION("""COMPUTED_VALUE"""),"")</f>
        <v/>
      </c>
    </row>
    <row r="811">
      <c r="A811" s="1" t="str">
        <f>IFERROR(__xludf.DUMMYFUNCTION("""COMPUTED_VALUE"""),"DSQ")</f>
        <v>DSQ</v>
      </c>
      <c r="B811" s="1">
        <f>IFERROR(__xludf.DUMMYFUNCTION("""COMPUTED_VALUE"""),10290.0)</f>
        <v>10290</v>
      </c>
      <c r="C811" s="13" t="str">
        <f>IFERROR(__xludf.DUMMYFUNCTION("""COMPUTED_VALUE"""),"MEANK")</f>
        <v>MEANK</v>
      </c>
      <c r="D811" s="2" t="str">
        <f>IFERROR(__xludf.DUMMYFUNCTION("""COMPUTED_VALUE"""),"10KM OVERALL M")</f>
        <v>10KM OVERALL M</v>
      </c>
      <c r="E811" s="1" t="str">
        <f>IFERROR(__xludf.DUMMYFUNCTION("""COMPUTED_VALUE"""),"DSQ")</f>
        <v>DSQ</v>
      </c>
      <c r="F811" s="1" t="str">
        <f>IFERROR(__xludf.DUMMYFUNCTION("""COMPUTED_VALUE"""),"Male")</f>
        <v>Male</v>
      </c>
      <c r="G811" s="5" t="str">
        <f>IFERROR(__xludf.DUMMYFUNCTION("""COMPUTED_VALUE"""),"")</f>
        <v/>
      </c>
      <c r="H811" s="14">
        <f>IFERROR(__xludf.DUMMYFUNCTION("""COMPUTED_VALUE"""),0.24646185185185185)</f>
        <v>0.2464618519</v>
      </c>
      <c r="I811" s="15" t="str">
        <f>IFERROR(__xludf.DUMMYFUNCTION("""COMPUTED_VALUE"""),"")</f>
        <v/>
      </c>
      <c r="J811" s="15" t="str">
        <f>IFERROR(__xludf.DUMMYFUNCTION("""COMPUTED_VALUE"""),"")</f>
        <v/>
      </c>
      <c r="K811" s="15" t="str">
        <f>IFERROR(__xludf.DUMMYFUNCTION("""COMPUTED_VALUE"""),"")</f>
        <v/>
      </c>
      <c r="L811" s="15" t="str">
        <f>IFERROR(__xludf.DUMMYFUNCTION("""COMPUTED_VALUE"""),"")</f>
        <v/>
      </c>
    </row>
    <row r="812">
      <c r="A812" s="1" t="str">
        <f>IFERROR(__xludf.DUMMYFUNCTION("""COMPUTED_VALUE"""),"DSQ")</f>
        <v>DSQ</v>
      </c>
      <c r="B812" s="1">
        <f>IFERROR(__xludf.DUMMYFUNCTION("""COMPUTED_VALUE"""),10298.0)</f>
        <v>10298</v>
      </c>
      <c r="C812" s="13" t="str">
        <f>IFERROR(__xludf.DUMMYFUNCTION("""COMPUTED_VALUE"""),"Noel Pakpahan")</f>
        <v>Noel Pakpahan</v>
      </c>
      <c r="D812" s="2" t="str">
        <f>IFERROR(__xludf.DUMMYFUNCTION("""COMPUTED_VALUE"""),"10KM OVERALL M")</f>
        <v>10KM OVERALL M</v>
      </c>
      <c r="E812" s="1" t="str">
        <f>IFERROR(__xludf.DUMMYFUNCTION("""COMPUTED_VALUE"""),"DSQ")</f>
        <v>DSQ</v>
      </c>
      <c r="F812" s="1" t="str">
        <f>IFERROR(__xludf.DUMMYFUNCTION("""COMPUTED_VALUE"""),"Male")</f>
        <v>Male</v>
      </c>
      <c r="G812" s="5" t="str">
        <f>IFERROR(__xludf.DUMMYFUNCTION("""COMPUTED_VALUE"""),"")</f>
        <v/>
      </c>
      <c r="H812" s="14">
        <f>IFERROR(__xludf.DUMMYFUNCTION("""COMPUTED_VALUE"""),0.24646185185185185)</f>
        <v>0.2464618519</v>
      </c>
      <c r="I812" s="15" t="str">
        <f>IFERROR(__xludf.DUMMYFUNCTION("""COMPUTED_VALUE"""),"")</f>
        <v/>
      </c>
      <c r="J812" s="15" t="str">
        <f>IFERROR(__xludf.DUMMYFUNCTION("""COMPUTED_VALUE"""),"")</f>
        <v/>
      </c>
      <c r="K812" s="15" t="str">
        <f>IFERROR(__xludf.DUMMYFUNCTION("""COMPUTED_VALUE"""),"")</f>
        <v/>
      </c>
      <c r="L812" s="15" t="str">
        <f>IFERROR(__xludf.DUMMYFUNCTION("""COMPUTED_VALUE"""),"")</f>
        <v/>
      </c>
    </row>
    <row r="813">
      <c r="A813" s="1" t="str">
        <f>IFERROR(__xludf.DUMMYFUNCTION("""COMPUTED_VALUE"""),"DSQ")</f>
        <v>DSQ</v>
      </c>
      <c r="B813" s="1">
        <f>IFERROR(__xludf.DUMMYFUNCTION("""COMPUTED_VALUE"""),10304.0)</f>
        <v>10304</v>
      </c>
      <c r="C813" s="13" t="str">
        <f>IFERROR(__xludf.DUMMYFUNCTION("""COMPUTED_VALUE"""),"Adi M")</f>
        <v>Adi M</v>
      </c>
      <c r="D813" s="2" t="str">
        <f>IFERROR(__xludf.DUMMYFUNCTION("""COMPUTED_VALUE"""),"10KM OVERALL M")</f>
        <v>10KM OVERALL M</v>
      </c>
      <c r="E813" s="1" t="str">
        <f>IFERROR(__xludf.DUMMYFUNCTION("""COMPUTED_VALUE"""),"DSQ")</f>
        <v>DSQ</v>
      </c>
      <c r="F813" s="1" t="str">
        <f>IFERROR(__xludf.DUMMYFUNCTION("""COMPUTED_VALUE"""),"Male")</f>
        <v>Male</v>
      </c>
      <c r="G813" s="5" t="str">
        <f>IFERROR(__xludf.DUMMYFUNCTION("""COMPUTED_VALUE"""),"")</f>
        <v/>
      </c>
      <c r="H813" s="14">
        <f>IFERROR(__xludf.DUMMYFUNCTION("""COMPUTED_VALUE"""),0.24646185185185185)</f>
        <v>0.2464618519</v>
      </c>
      <c r="I813" s="15" t="str">
        <f>IFERROR(__xludf.DUMMYFUNCTION("""COMPUTED_VALUE"""),"")</f>
        <v/>
      </c>
      <c r="J813" s="15" t="str">
        <f>IFERROR(__xludf.DUMMYFUNCTION("""COMPUTED_VALUE"""),"")</f>
        <v/>
      </c>
      <c r="K813" s="15" t="str">
        <f>IFERROR(__xludf.DUMMYFUNCTION("""COMPUTED_VALUE"""),"")</f>
        <v/>
      </c>
      <c r="L813" s="15" t="str">
        <f>IFERROR(__xludf.DUMMYFUNCTION("""COMPUTED_VALUE"""),"")</f>
        <v/>
      </c>
    </row>
    <row r="814">
      <c r="A814" s="1" t="str">
        <f>IFERROR(__xludf.DUMMYFUNCTION("""COMPUTED_VALUE"""),"DSQ")</f>
        <v>DSQ</v>
      </c>
      <c r="B814" s="1">
        <f>IFERROR(__xludf.DUMMYFUNCTION("""COMPUTED_VALUE"""),10331.0)</f>
        <v>10331</v>
      </c>
      <c r="C814" s="13" t="str">
        <f>IFERROR(__xludf.DUMMYFUNCTION("""COMPUTED_VALUE"""),"MEKAS")</f>
        <v>MEKAS</v>
      </c>
      <c r="D814" s="2" t="str">
        <f>IFERROR(__xludf.DUMMYFUNCTION("""COMPUTED_VALUE"""),"10KM OVERALL M")</f>
        <v>10KM OVERALL M</v>
      </c>
      <c r="E814" s="1" t="str">
        <f>IFERROR(__xludf.DUMMYFUNCTION("""COMPUTED_VALUE"""),"DSQ")</f>
        <v>DSQ</v>
      </c>
      <c r="F814" s="1" t="str">
        <f>IFERROR(__xludf.DUMMYFUNCTION("""COMPUTED_VALUE"""),"Male")</f>
        <v>Male</v>
      </c>
      <c r="G814" s="5" t="str">
        <f>IFERROR(__xludf.DUMMYFUNCTION("""COMPUTED_VALUE"""),"")</f>
        <v/>
      </c>
      <c r="H814" s="14">
        <f>IFERROR(__xludf.DUMMYFUNCTION("""COMPUTED_VALUE"""),0.24646185185185185)</f>
        <v>0.2464618519</v>
      </c>
      <c r="I814" s="15" t="str">
        <f>IFERROR(__xludf.DUMMYFUNCTION("""COMPUTED_VALUE"""),"")</f>
        <v/>
      </c>
      <c r="J814" s="15" t="str">
        <f>IFERROR(__xludf.DUMMYFUNCTION("""COMPUTED_VALUE"""),"")</f>
        <v/>
      </c>
      <c r="K814" s="15" t="str">
        <f>IFERROR(__xludf.DUMMYFUNCTION("""COMPUTED_VALUE"""),"")</f>
        <v/>
      </c>
      <c r="L814" s="15" t="str">
        <f>IFERROR(__xludf.DUMMYFUNCTION("""COMPUTED_VALUE"""),"")</f>
        <v/>
      </c>
    </row>
    <row r="815">
      <c r="A815" s="1" t="str">
        <f>IFERROR(__xludf.DUMMYFUNCTION("""COMPUTED_VALUE"""),"DSQ")</f>
        <v>DSQ</v>
      </c>
      <c r="B815" s="1">
        <f>IFERROR(__xludf.DUMMYFUNCTION("""COMPUTED_VALUE"""),10352.0)</f>
        <v>10352</v>
      </c>
      <c r="C815" s="13" t="str">
        <f>IFERROR(__xludf.DUMMYFUNCTION("""COMPUTED_VALUE"""),"Hulaifi")</f>
        <v>Hulaifi</v>
      </c>
      <c r="D815" s="2" t="str">
        <f>IFERROR(__xludf.DUMMYFUNCTION("""COMPUTED_VALUE"""),"10KM OVERALL M")</f>
        <v>10KM OVERALL M</v>
      </c>
      <c r="E815" s="1" t="str">
        <f>IFERROR(__xludf.DUMMYFUNCTION("""COMPUTED_VALUE"""),"DSQ")</f>
        <v>DSQ</v>
      </c>
      <c r="F815" s="1" t="str">
        <f>IFERROR(__xludf.DUMMYFUNCTION("""COMPUTED_VALUE"""),"Male")</f>
        <v>Male</v>
      </c>
      <c r="G815" s="5" t="str">
        <f>IFERROR(__xludf.DUMMYFUNCTION("""COMPUTED_VALUE"""),"")</f>
        <v/>
      </c>
      <c r="H815" s="14">
        <f>IFERROR(__xludf.DUMMYFUNCTION("""COMPUTED_VALUE"""),0.24646185185185185)</f>
        <v>0.2464618519</v>
      </c>
      <c r="I815" s="15" t="str">
        <f>IFERROR(__xludf.DUMMYFUNCTION("""COMPUTED_VALUE"""),"")</f>
        <v/>
      </c>
      <c r="J815" s="15" t="str">
        <f>IFERROR(__xludf.DUMMYFUNCTION("""COMPUTED_VALUE"""),"")</f>
        <v/>
      </c>
      <c r="K815" s="15" t="str">
        <f>IFERROR(__xludf.DUMMYFUNCTION("""COMPUTED_VALUE"""),"")</f>
        <v/>
      </c>
      <c r="L815" s="15" t="str">
        <f>IFERROR(__xludf.DUMMYFUNCTION("""COMPUTED_VALUE"""),"")</f>
        <v/>
      </c>
    </row>
    <row r="816">
      <c r="A816" s="1" t="str">
        <f>IFERROR(__xludf.DUMMYFUNCTION("""COMPUTED_VALUE"""),"DSQ")</f>
        <v>DSQ</v>
      </c>
      <c r="B816" s="1">
        <f>IFERROR(__xludf.DUMMYFUNCTION("""COMPUTED_VALUE"""),10393.0)</f>
        <v>10393</v>
      </c>
      <c r="C816" s="13" t="str">
        <f>IFERROR(__xludf.DUMMYFUNCTION("""COMPUTED_VALUE"""),"irfan")</f>
        <v>irfan</v>
      </c>
      <c r="D816" s="2" t="str">
        <f>IFERROR(__xludf.DUMMYFUNCTION("""COMPUTED_VALUE"""),"10KM OVERALL M")</f>
        <v>10KM OVERALL M</v>
      </c>
      <c r="E816" s="1" t="str">
        <f>IFERROR(__xludf.DUMMYFUNCTION("""COMPUTED_VALUE"""),"DSQ")</f>
        <v>DSQ</v>
      </c>
      <c r="F816" s="1" t="str">
        <f>IFERROR(__xludf.DUMMYFUNCTION("""COMPUTED_VALUE"""),"Male")</f>
        <v>Male</v>
      </c>
      <c r="G816" s="5" t="str">
        <f>IFERROR(__xludf.DUMMYFUNCTION("""COMPUTED_VALUE"""),"")</f>
        <v/>
      </c>
      <c r="H816" s="14">
        <f>IFERROR(__xludf.DUMMYFUNCTION("""COMPUTED_VALUE"""),0.24646185185185185)</f>
        <v>0.2464618519</v>
      </c>
      <c r="I816" s="15" t="str">
        <f>IFERROR(__xludf.DUMMYFUNCTION("""COMPUTED_VALUE"""),"")</f>
        <v/>
      </c>
      <c r="J816" s="15" t="str">
        <f>IFERROR(__xludf.DUMMYFUNCTION("""COMPUTED_VALUE"""),"")</f>
        <v/>
      </c>
      <c r="K816" s="15" t="str">
        <f>IFERROR(__xludf.DUMMYFUNCTION("""COMPUTED_VALUE"""),"")</f>
        <v/>
      </c>
      <c r="L816" s="15" t="str">
        <f>IFERROR(__xludf.DUMMYFUNCTION("""COMPUTED_VALUE"""),"")</f>
        <v/>
      </c>
    </row>
    <row r="817">
      <c r="A817" s="1" t="str">
        <f>IFERROR(__xludf.DUMMYFUNCTION("""COMPUTED_VALUE"""),"DSQ")</f>
        <v>DSQ</v>
      </c>
      <c r="B817" s="1">
        <f>IFERROR(__xludf.DUMMYFUNCTION("""COMPUTED_VALUE"""),10409.0)</f>
        <v>10409</v>
      </c>
      <c r="C817" s="13" t="str">
        <f>IFERROR(__xludf.DUMMYFUNCTION("""COMPUTED_VALUE"""),"ARIEF SETYONO")</f>
        <v>ARIEF SETYONO</v>
      </c>
      <c r="D817" s="2" t="str">
        <f>IFERROR(__xludf.DUMMYFUNCTION("""COMPUTED_VALUE"""),"10KM OVERALL M")</f>
        <v>10KM OVERALL M</v>
      </c>
      <c r="E817" s="1" t="str">
        <f>IFERROR(__xludf.DUMMYFUNCTION("""COMPUTED_VALUE"""),"DSQ")</f>
        <v>DSQ</v>
      </c>
      <c r="F817" s="1" t="str">
        <f>IFERROR(__xludf.DUMMYFUNCTION("""COMPUTED_VALUE"""),"Male")</f>
        <v>Male</v>
      </c>
      <c r="G817" s="5" t="str">
        <f>IFERROR(__xludf.DUMMYFUNCTION("""COMPUTED_VALUE"""),"")</f>
        <v/>
      </c>
      <c r="H817" s="14">
        <f>IFERROR(__xludf.DUMMYFUNCTION("""COMPUTED_VALUE"""),0.24646185185185185)</f>
        <v>0.2464618519</v>
      </c>
      <c r="I817" s="15" t="str">
        <f>IFERROR(__xludf.DUMMYFUNCTION("""COMPUTED_VALUE"""),"")</f>
        <v/>
      </c>
      <c r="J817" s="15" t="str">
        <f>IFERROR(__xludf.DUMMYFUNCTION("""COMPUTED_VALUE"""),"")</f>
        <v/>
      </c>
      <c r="K817" s="15" t="str">
        <f>IFERROR(__xludf.DUMMYFUNCTION("""COMPUTED_VALUE"""),"")</f>
        <v/>
      </c>
      <c r="L817" s="15" t="str">
        <f>IFERROR(__xludf.DUMMYFUNCTION("""COMPUTED_VALUE"""),"")</f>
        <v/>
      </c>
    </row>
    <row r="818">
      <c r="A818" s="1" t="str">
        <f>IFERROR(__xludf.DUMMYFUNCTION("""COMPUTED_VALUE"""),"DSQ")</f>
        <v>DSQ</v>
      </c>
      <c r="B818" s="1">
        <f>IFERROR(__xludf.DUMMYFUNCTION("""COMPUTED_VALUE"""),10424.0)</f>
        <v>10424</v>
      </c>
      <c r="C818" s="13" t="str">
        <f>IFERROR(__xludf.DUMMYFUNCTION("""COMPUTED_VALUE"""),"HasanThalieb")</f>
        <v>HasanThalieb</v>
      </c>
      <c r="D818" s="2" t="str">
        <f>IFERROR(__xludf.DUMMYFUNCTION("""COMPUTED_VALUE"""),"10KM OVERALL M")</f>
        <v>10KM OVERALL M</v>
      </c>
      <c r="E818" s="1" t="str">
        <f>IFERROR(__xludf.DUMMYFUNCTION("""COMPUTED_VALUE"""),"DSQ")</f>
        <v>DSQ</v>
      </c>
      <c r="F818" s="1" t="str">
        <f>IFERROR(__xludf.DUMMYFUNCTION("""COMPUTED_VALUE"""),"Male")</f>
        <v>Male</v>
      </c>
      <c r="G818" s="5" t="str">
        <f>IFERROR(__xludf.DUMMYFUNCTION("""COMPUTED_VALUE"""),"")</f>
        <v/>
      </c>
      <c r="H818" s="14">
        <f>IFERROR(__xludf.DUMMYFUNCTION("""COMPUTED_VALUE"""),0.24646185185185185)</f>
        <v>0.2464618519</v>
      </c>
      <c r="I818" s="15" t="str">
        <f>IFERROR(__xludf.DUMMYFUNCTION("""COMPUTED_VALUE"""),"")</f>
        <v/>
      </c>
      <c r="J818" s="15" t="str">
        <f>IFERROR(__xludf.DUMMYFUNCTION("""COMPUTED_VALUE"""),"")</f>
        <v/>
      </c>
      <c r="K818" s="15" t="str">
        <f>IFERROR(__xludf.DUMMYFUNCTION("""COMPUTED_VALUE"""),"")</f>
        <v/>
      </c>
      <c r="L818" s="15" t="str">
        <f>IFERROR(__xludf.DUMMYFUNCTION("""COMPUTED_VALUE"""),"")</f>
        <v/>
      </c>
    </row>
    <row r="819">
      <c r="A819" s="1" t="str">
        <f>IFERROR(__xludf.DUMMYFUNCTION("""COMPUTED_VALUE"""),"DSQ")</f>
        <v>DSQ</v>
      </c>
      <c r="B819" s="1">
        <f>IFERROR(__xludf.DUMMYFUNCTION("""COMPUTED_VALUE"""),10428.0)</f>
        <v>10428</v>
      </c>
      <c r="C819" s="13" t="str">
        <f>IFERROR(__xludf.DUMMYFUNCTION("""COMPUTED_VALUE"""),"VIGOR")</f>
        <v>VIGOR</v>
      </c>
      <c r="D819" s="2" t="str">
        <f>IFERROR(__xludf.DUMMYFUNCTION("""COMPUTED_VALUE"""),"10KM OVERALL M")</f>
        <v>10KM OVERALL M</v>
      </c>
      <c r="E819" s="1" t="str">
        <f>IFERROR(__xludf.DUMMYFUNCTION("""COMPUTED_VALUE"""),"DSQ")</f>
        <v>DSQ</v>
      </c>
      <c r="F819" s="1" t="str">
        <f>IFERROR(__xludf.DUMMYFUNCTION("""COMPUTED_VALUE"""),"Male")</f>
        <v>Male</v>
      </c>
      <c r="G819" s="5" t="str">
        <f>IFERROR(__xludf.DUMMYFUNCTION("""COMPUTED_VALUE"""),"")</f>
        <v/>
      </c>
      <c r="H819" s="14">
        <f>IFERROR(__xludf.DUMMYFUNCTION("""COMPUTED_VALUE"""),0.24646185185185185)</f>
        <v>0.2464618519</v>
      </c>
      <c r="I819" s="15" t="str">
        <f>IFERROR(__xludf.DUMMYFUNCTION("""COMPUTED_VALUE"""),"")</f>
        <v/>
      </c>
      <c r="J819" s="15" t="str">
        <f>IFERROR(__xludf.DUMMYFUNCTION("""COMPUTED_VALUE"""),"")</f>
        <v/>
      </c>
      <c r="K819" s="15" t="str">
        <f>IFERROR(__xludf.DUMMYFUNCTION("""COMPUTED_VALUE"""),"")</f>
        <v/>
      </c>
      <c r="L819" s="15" t="str">
        <f>IFERROR(__xludf.DUMMYFUNCTION("""COMPUTED_VALUE"""),"")</f>
        <v/>
      </c>
    </row>
    <row r="820">
      <c r="A820" s="1" t="str">
        <f>IFERROR(__xludf.DUMMYFUNCTION("""COMPUTED_VALUE"""),"DSQ")</f>
        <v>DSQ</v>
      </c>
      <c r="B820" s="1">
        <f>IFERROR(__xludf.DUMMYFUNCTION("""COMPUTED_VALUE"""),10448.0)</f>
        <v>10448</v>
      </c>
      <c r="C820" s="13" t="str">
        <f>IFERROR(__xludf.DUMMYFUNCTION("""COMPUTED_VALUE"""),"BAGUS")</f>
        <v>BAGUS</v>
      </c>
      <c r="D820" s="2" t="str">
        <f>IFERROR(__xludf.DUMMYFUNCTION("""COMPUTED_VALUE"""),"10KM OVERALL M")</f>
        <v>10KM OVERALL M</v>
      </c>
      <c r="E820" s="1" t="str">
        <f>IFERROR(__xludf.DUMMYFUNCTION("""COMPUTED_VALUE"""),"DSQ")</f>
        <v>DSQ</v>
      </c>
      <c r="F820" s="1" t="str">
        <f>IFERROR(__xludf.DUMMYFUNCTION("""COMPUTED_VALUE"""),"Male")</f>
        <v>Male</v>
      </c>
      <c r="G820" s="5" t="str">
        <f>IFERROR(__xludf.DUMMYFUNCTION("""COMPUTED_VALUE"""),"")</f>
        <v/>
      </c>
      <c r="H820" s="14">
        <f>IFERROR(__xludf.DUMMYFUNCTION("""COMPUTED_VALUE"""),0.24646185185185185)</f>
        <v>0.2464618519</v>
      </c>
      <c r="I820" s="15" t="str">
        <f>IFERROR(__xludf.DUMMYFUNCTION("""COMPUTED_VALUE"""),"")</f>
        <v/>
      </c>
      <c r="J820" s="15" t="str">
        <f>IFERROR(__xludf.DUMMYFUNCTION("""COMPUTED_VALUE"""),"")</f>
        <v/>
      </c>
      <c r="K820" s="15" t="str">
        <f>IFERROR(__xludf.DUMMYFUNCTION("""COMPUTED_VALUE"""),"")</f>
        <v/>
      </c>
      <c r="L820" s="15" t="str">
        <f>IFERROR(__xludf.DUMMYFUNCTION("""COMPUTED_VALUE"""),"")</f>
        <v/>
      </c>
    </row>
    <row r="821">
      <c r="A821" s="1" t="str">
        <f>IFERROR(__xludf.DUMMYFUNCTION("""COMPUTED_VALUE"""),"DSQ")</f>
        <v>DSQ</v>
      </c>
      <c r="B821" s="1">
        <f>IFERROR(__xludf.DUMMYFUNCTION("""COMPUTED_VALUE"""),10449.0)</f>
        <v>10449</v>
      </c>
      <c r="C821" s="13" t="str">
        <f>IFERROR(__xludf.DUMMYFUNCTION("""COMPUTED_VALUE"""),"FAIZ")</f>
        <v>FAIZ</v>
      </c>
      <c r="D821" s="2" t="str">
        <f>IFERROR(__xludf.DUMMYFUNCTION("""COMPUTED_VALUE"""),"10KM OVERALL M")</f>
        <v>10KM OVERALL M</v>
      </c>
      <c r="E821" s="1" t="str">
        <f>IFERROR(__xludf.DUMMYFUNCTION("""COMPUTED_VALUE"""),"DSQ")</f>
        <v>DSQ</v>
      </c>
      <c r="F821" s="1" t="str">
        <f>IFERROR(__xludf.DUMMYFUNCTION("""COMPUTED_VALUE"""),"Male")</f>
        <v>Male</v>
      </c>
      <c r="G821" s="5" t="str">
        <f>IFERROR(__xludf.DUMMYFUNCTION("""COMPUTED_VALUE"""),"")</f>
        <v/>
      </c>
      <c r="H821" s="14">
        <f>IFERROR(__xludf.DUMMYFUNCTION("""COMPUTED_VALUE"""),0.24646185185185185)</f>
        <v>0.2464618519</v>
      </c>
      <c r="I821" s="15" t="str">
        <f>IFERROR(__xludf.DUMMYFUNCTION("""COMPUTED_VALUE"""),"")</f>
        <v/>
      </c>
      <c r="J821" s="15" t="str">
        <f>IFERROR(__xludf.DUMMYFUNCTION("""COMPUTED_VALUE"""),"")</f>
        <v/>
      </c>
      <c r="K821" s="15" t="str">
        <f>IFERROR(__xludf.DUMMYFUNCTION("""COMPUTED_VALUE"""),"")</f>
        <v/>
      </c>
      <c r="L821" s="15" t="str">
        <f>IFERROR(__xludf.DUMMYFUNCTION("""COMPUTED_VALUE"""),"")</f>
        <v/>
      </c>
    </row>
    <row r="822">
      <c r="A822" s="1" t="str">
        <f>IFERROR(__xludf.DUMMYFUNCTION("""COMPUTED_VALUE"""),"DSQ")</f>
        <v>DSQ</v>
      </c>
      <c r="B822" s="1">
        <f>IFERROR(__xludf.DUMMYFUNCTION("""COMPUTED_VALUE"""),10456.0)</f>
        <v>10456</v>
      </c>
      <c r="C822" s="13" t="str">
        <f>IFERROR(__xludf.DUMMYFUNCTION("""COMPUTED_VALUE"""),"Afendy Chandra Kurnia")</f>
        <v>Afendy Chandra Kurnia</v>
      </c>
      <c r="D822" s="2" t="str">
        <f>IFERROR(__xludf.DUMMYFUNCTION("""COMPUTED_VALUE"""),"10KM OVERALL M")</f>
        <v>10KM OVERALL M</v>
      </c>
      <c r="E822" s="1" t="str">
        <f>IFERROR(__xludf.DUMMYFUNCTION("""COMPUTED_VALUE"""),"DSQ")</f>
        <v>DSQ</v>
      </c>
      <c r="F822" s="1" t="str">
        <f>IFERROR(__xludf.DUMMYFUNCTION("""COMPUTED_VALUE"""),"Male")</f>
        <v>Male</v>
      </c>
      <c r="G822" s="5" t="str">
        <f>IFERROR(__xludf.DUMMYFUNCTION("""COMPUTED_VALUE"""),"")</f>
        <v/>
      </c>
      <c r="H822" s="14">
        <f>IFERROR(__xludf.DUMMYFUNCTION("""COMPUTED_VALUE"""),0.24646185185185185)</f>
        <v>0.2464618519</v>
      </c>
      <c r="I822" s="15" t="str">
        <f>IFERROR(__xludf.DUMMYFUNCTION("""COMPUTED_VALUE"""),"")</f>
        <v/>
      </c>
      <c r="J822" s="15" t="str">
        <f>IFERROR(__xludf.DUMMYFUNCTION("""COMPUTED_VALUE"""),"")</f>
        <v/>
      </c>
      <c r="K822" s="15" t="str">
        <f>IFERROR(__xludf.DUMMYFUNCTION("""COMPUTED_VALUE"""),"")</f>
        <v/>
      </c>
      <c r="L822" s="15" t="str">
        <f>IFERROR(__xludf.DUMMYFUNCTION("""COMPUTED_VALUE"""),"")</f>
        <v/>
      </c>
    </row>
    <row r="823">
      <c r="A823" s="1" t="str">
        <f>IFERROR(__xludf.DUMMYFUNCTION("""COMPUTED_VALUE"""),"DSQ")</f>
        <v>DSQ</v>
      </c>
      <c r="B823" s="1">
        <f>IFERROR(__xludf.DUMMYFUNCTION("""COMPUTED_VALUE"""),10478.0)</f>
        <v>10478</v>
      </c>
      <c r="C823" s="13" t="str">
        <f>IFERROR(__xludf.DUMMYFUNCTION("""COMPUTED_VALUE"""),"usman")</f>
        <v>usman</v>
      </c>
      <c r="D823" s="2" t="str">
        <f>IFERROR(__xludf.DUMMYFUNCTION("""COMPUTED_VALUE"""),"10KM OVERALL M")</f>
        <v>10KM OVERALL M</v>
      </c>
      <c r="E823" s="1" t="str">
        <f>IFERROR(__xludf.DUMMYFUNCTION("""COMPUTED_VALUE"""),"DSQ")</f>
        <v>DSQ</v>
      </c>
      <c r="F823" s="1" t="str">
        <f>IFERROR(__xludf.DUMMYFUNCTION("""COMPUTED_VALUE"""),"Male")</f>
        <v>Male</v>
      </c>
      <c r="G823" s="5" t="str">
        <f>IFERROR(__xludf.DUMMYFUNCTION("""COMPUTED_VALUE"""),"")</f>
        <v/>
      </c>
      <c r="H823" s="14">
        <f>IFERROR(__xludf.DUMMYFUNCTION("""COMPUTED_VALUE"""),0.24646185185185185)</f>
        <v>0.2464618519</v>
      </c>
      <c r="I823" s="15" t="str">
        <f>IFERROR(__xludf.DUMMYFUNCTION("""COMPUTED_VALUE"""),"")</f>
        <v/>
      </c>
      <c r="J823" s="15" t="str">
        <f>IFERROR(__xludf.DUMMYFUNCTION("""COMPUTED_VALUE"""),"")</f>
        <v/>
      </c>
      <c r="K823" s="15" t="str">
        <f>IFERROR(__xludf.DUMMYFUNCTION("""COMPUTED_VALUE"""),"")</f>
        <v/>
      </c>
      <c r="L823" s="15" t="str">
        <f>IFERROR(__xludf.DUMMYFUNCTION("""COMPUTED_VALUE"""),"")</f>
        <v/>
      </c>
    </row>
    <row r="824">
      <c r="A824" s="1" t="str">
        <f>IFERROR(__xludf.DUMMYFUNCTION("""COMPUTED_VALUE"""),"DSQ")</f>
        <v>DSQ</v>
      </c>
      <c r="B824" s="1">
        <f>IFERROR(__xludf.DUMMYFUNCTION("""COMPUTED_VALUE"""),10523.0)</f>
        <v>10523</v>
      </c>
      <c r="C824" s="13" t="str">
        <f>IFERROR(__xludf.DUMMYFUNCTION("""COMPUTED_VALUE"""),"rahmanLNear")</f>
        <v>rahmanLNear</v>
      </c>
      <c r="D824" s="2" t="str">
        <f>IFERROR(__xludf.DUMMYFUNCTION("""COMPUTED_VALUE"""),"10KM OVERALL M")</f>
        <v>10KM OVERALL M</v>
      </c>
      <c r="E824" s="1" t="str">
        <f>IFERROR(__xludf.DUMMYFUNCTION("""COMPUTED_VALUE"""),"DSQ")</f>
        <v>DSQ</v>
      </c>
      <c r="F824" s="1" t="str">
        <f>IFERROR(__xludf.DUMMYFUNCTION("""COMPUTED_VALUE"""),"Male")</f>
        <v>Male</v>
      </c>
      <c r="G824" s="5" t="str">
        <f>IFERROR(__xludf.DUMMYFUNCTION("""COMPUTED_VALUE"""),"")</f>
        <v/>
      </c>
      <c r="H824" s="14">
        <f>IFERROR(__xludf.DUMMYFUNCTION("""COMPUTED_VALUE"""),0.24646185185185185)</f>
        <v>0.2464618519</v>
      </c>
      <c r="I824" s="15" t="str">
        <f>IFERROR(__xludf.DUMMYFUNCTION("""COMPUTED_VALUE"""),"")</f>
        <v/>
      </c>
      <c r="J824" s="15" t="str">
        <f>IFERROR(__xludf.DUMMYFUNCTION("""COMPUTED_VALUE"""),"")</f>
        <v/>
      </c>
      <c r="K824" s="15" t="str">
        <f>IFERROR(__xludf.DUMMYFUNCTION("""COMPUTED_VALUE"""),"")</f>
        <v/>
      </c>
      <c r="L824" s="15" t="str">
        <f>IFERROR(__xludf.DUMMYFUNCTION("""COMPUTED_VALUE"""),"")</f>
        <v/>
      </c>
    </row>
    <row r="825">
      <c r="A825" s="1" t="str">
        <f>IFERROR(__xludf.DUMMYFUNCTION("""COMPUTED_VALUE"""),"DSQ")</f>
        <v>DSQ</v>
      </c>
      <c r="B825" s="1">
        <f>IFERROR(__xludf.DUMMYFUNCTION("""COMPUTED_VALUE"""),10524.0)</f>
        <v>10524</v>
      </c>
      <c r="C825" s="13" t="str">
        <f>IFERROR(__xludf.DUMMYFUNCTION("""COMPUTED_VALUE"""),"INDRAGIRI")</f>
        <v>INDRAGIRI</v>
      </c>
      <c r="D825" s="2" t="str">
        <f>IFERROR(__xludf.DUMMYFUNCTION("""COMPUTED_VALUE"""),"10KM OVERALL M")</f>
        <v>10KM OVERALL M</v>
      </c>
      <c r="E825" s="1" t="str">
        <f>IFERROR(__xludf.DUMMYFUNCTION("""COMPUTED_VALUE"""),"DSQ")</f>
        <v>DSQ</v>
      </c>
      <c r="F825" s="1" t="str">
        <f>IFERROR(__xludf.DUMMYFUNCTION("""COMPUTED_VALUE"""),"Male")</f>
        <v>Male</v>
      </c>
      <c r="G825" s="5" t="str">
        <f>IFERROR(__xludf.DUMMYFUNCTION("""COMPUTED_VALUE"""),"")</f>
        <v/>
      </c>
      <c r="H825" s="14">
        <f>IFERROR(__xludf.DUMMYFUNCTION("""COMPUTED_VALUE"""),0.24646185185185185)</f>
        <v>0.2464618519</v>
      </c>
      <c r="I825" s="15" t="str">
        <f>IFERROR(__xludf.DUMMYFUNCTION("""COMPUTED_VALUE"""),"")</f>
        <v/>
      </c>
      <c r="J825" s="15" t="str">
        <f>IFERROR(__xludf.DUMMYFUNCTION("""COMPUTED_VALUE"""),"")</f>
        <v/>
      </c>
      <c r="K825" s="15" t="str">
        <f>IFERROR(__xludf.DUMMYFUNCTION("""COMPUTED_VALUE"""),"")</f>
        <v/>
      </c>
      <c r="L825" s="15" t="str">
        <f>IFERROR(__xludf.DUMMYFUNCTION("""COMPUTED_VALUE"""),"")</f>
        <v/>
      </c>
    </row>
    <row r="826">
      <c r="A826" s="1" t="str">
        <f>IFERROR(__xludf.DUMMYFUNCTION("""COMPUTED_VALUE"""),"DSQ")</f>
        <v>DSQ</v>
      </c>
      <c r="B826" s="1">
        <f>IFERROR(__xludf.DUMMYFUNCTION("""COMPUTED_VALUE"""),10538.0)</f>
        <v>10538</v>
      </c>
      <c r="C826" s="13" t="str">
        <f>IFERROR(__xludf.DUMMYFUNCTION("""COMPUTED_VALUE"""),"ROHIT RAMADANI")</f>
        <v>ROHIT RAMADANI</v>
      </c>
      <c r="D826" s="2" t="str">
        <f>IFERROR(__xludf.DUMMYFUNCTION("""COMPUTED_VALUE"""),"10KM OVERALL M")</f>
        <v>10KM OVERALL M</v>
      </c>
      <c r="E826" s="1" t="str">
        <f>IFERROR(__xludf.DUMMYFUNCTION("""COMPUTED_VALUE"""),"DSQ")</f>
        <v>DSQ</v>
      </c>
      <c r="F826" s="1" t="str">
        <f>IFERROR(__xludf.DUMMYFUNCTION("""COMPUTED_VALUE"""),"Male")</f>
        <v>Male</v>
      </c>
      <c r="G826" s="5" t="str">
        <f>IFERROR(__xludf.DUMMYFUNCTION("""COMPUTED_VALUE"""),"")</f>
        <v/>
      </c>
      <c r="H826" s="14">
        <f>IFERROR(__xludf.DUMMYFUNCTION("""COMPUTED_VALUE"""),0.24646185185185185)</f>
        <v>0.2464618519</v>
      </c>
      <c r="I826" s="15" t="str">
        <f>IFERROR(__xludf.DUMMYFUNCTION("""COMPUTED_VALUE"""),"")</f>
        <v/>
      </c>
      <c r="J826" s="15" t="str">
        <f>IFERROR(__xludf.DUMMYFUNCTION("""COMPUTED_VALUE"""),"")</f>
        <v/>
      </c>
      <c r="K826" s="15" t="str">
        <f>IFERROR(__xludf.DUMMYFUNCTION("""COMPUTED_VALUE"""),"")</f>
        <v/>
      </c>
      <c r="L826" s="15" t="str">
        <f>IFERROR(__xludf.DUMMYFUNCTION("""COMPUTED_VALUE"""),"")</f>
        <v/>
      </c>
    </row>
    <row r="827">
      <c r="A827" s="1" t="str">
        <f>IFERROR(__xludf.DUMMYFUNCTION("""COMPUTED_VALUE"""),"DSQ")</f>
        <v>DSQ</v>
      </c>
      <c r="B827" s="1">
        <f>IFERROR(__xludf.DUMMYFUNCTION("""COMPUTED_VALUE"""),10603.0)</f>
        <v>10603</v>
      </c>
      <c r="C827" s="13" t="str">
        <f>IFERROR(__xludf.DUMMYFUNCTION("""COMPUTED_VALUE"""),"fadli")</f>
        <v>fadli</v>
      </c>
      <c r="D827" s="2" t="str">
        <f>IFERROR(__xludf.DUMMYFUNCTION("""COMPUTED_VALUE"""),"10KM OVERALL M")</f>
        <v>10KM OVERALL M</v>
      </c>
      <c r="E827" s="1" t="str">
        <f>IFERROR(__xludf.DUMMYFUNCTION("""COMPUTED_VALUE"""),"DSQ")</f>
        <v>DSQ</v>
      </c>
      <c r="F827" s="1" t="str">
        <f>IFERROR(__xludf.DUMMYFUNCTION("""COMPUTED_VALUE"""),"Male")</f>
        <v>Male</v>
      </c>
      <c r="G827" s="5" t="str">
        <f>IFERROR(__xludf.DUMMYFUNCTION("""COMPUTED_VALUE"""),"")</f>
        <v/>
      </c>
      <c r="H827" s="14">
        <f>IFERROR(__xludf.DUMMYFUNCTION("""COMPUTED_VALUE"""),0.24646185185185185)</f>
        <v>0.2464618519</v>
      </c>
      <c r="I827" s="15" t="str">
        <f>IFERROR(__xludf.DUMMYFUNCTION("""COMPUTED_VALUE"""),"")</f>
        <v/>
      </c>
      <c r="J827" s="15" t="str">
        <f>IFERROR(__xludf.DUMMYFUNCTION("""COMPUTED_VALUE"""),"")</f>
        <v/>
      </c>
      <c r="K827" s="15" t="str">
        <f>IFERROR(__xludf.DUMMYFUNCTION("""COMPUTED_VALUE"""),"")</f>
        <v/>
      </c>
      <c r="L827" s="15" t="str">
        <f>IFERROR(__xludf.DUMMYFUNCTION("""COMPUTED_VALUE"""),"")</f>
        <v/>
      </c>
    </row>
    <row r="828">
      <c r="A828" s="1" t="str">
        <f>IFERROR(__xludf.DUMMYFUNCTION("""COMPUTED_VALUE"""),"DSQ")</f>
        <v>DSQ</v>
      </c>
      <c r="B828" s="1">
        <f>IFERROR(__xludf.DUMMYFUNCTION("""COMPUTED_VALUE"""),10620.0)</f>
        <v>10620</v>
      </c>
      <c r="C828" s="13" t="str">
        <f>IFERROR(__xludf.DUMMYFUNCTION("""COMPUTED_VALUE"""),"Irfan Nor")</f>
        <v>Irfan Nor</v>
      </c>
      <c r="D828" s="2" t="str">
        <f>IFERROR(__xludf.DUMMYFUNCTION("""COMPUTED_VALUE"""),"10KM OVERALL M")</f>
        <v>10KM OVERALL M</v>
      </c>
      <c r="E828" s="1" t="str">
        <f>IFERROR(__xludf.DUMMYFUNCTION("""COMPUTED_VALUE"""),"DSQ")</f>
        <v>DSQ</v>
      </c>
      <c r="F828" s="1" t="str">
        <f>IFERROR(__xludf.DUMMYFUNCTION("""COMPUTED_VALUE"""),"Male")</f>
        <v>Male</v>
      </c>
      <c r="G828" s="5" t="str">
        <f>IFERROR(__xludf.DUMMYFUNCTION("""COMPUTED_VALUE"""),"")</f>
        <v/>
      </c>
      <c r="H828" s="14">
        <f>IFERROR(__xludf.DUMMYFUNCTION("""COMPUTED_VALUE"""),0.24646185185185185)</f>
        <v>0.2464618519</v>
      </c>
      <c r="I828" s="15" t="str">
        <f>IFERROR(__xludf.DUMMYFUNCTION("""COMPUTED_VALUE"""),"")</f>
        <v/>
      </c>
      <c r="J828" s="15" t="str">
        <f>IFERROR(__xludf.DUMMYFUNCTION("""COMPUTED_VALUE"""),"")</f>
        <v/>
      </c>
      <c r="K828" s="15" t="str">
        <f>IFERROR(__xludf.DUMMYFUNCTION("""COMPUTED_VALUE"""),"")</f>
        <v/>
      </c>
      <c r="L828" s="15" t="str">
        <f>IFERROR(__xludf.DUMMYFUNCTION("""COMPUTED_VALUE"""),"")</f>
        <v/>
      </c>
    </row>
    <row r="829">
      <c r="A829" s="1" t="str">
        <f>IFERROR(__xludf.DUMMYFUNCTION("""COMPUTED_VALUE"""),"DSQ")</f>
        <v>DSQ</v>
      </c>
      <c r="B829" s="1">
        <f>IFERROR(__xludf.DUMMYFUNCTION("""COMPUTED_VALUE"""),10629.0)</f>
        <v>10629</v>
      </c>
      <c r="C829" s="13" t="str">
        <f>IFERROR(__xludf.DUMMYFUNCTION("""COMPUTED_VALUE"""),"Darlius")</f>
        <v>Darlius</v>
      </c>
      <c r="D829" s="2" t="str">
        <f>IFERROR(__xludf.DUMMYFUNCTION("""COMPUTED_VALUE"""),"10KM OVERALL M")</f>
        <v>10KM OVERALL M</v>
      </c>
      <c r="E829" s="1" t="str">
        <f>IFERROR(__xludf.DUMMYFUNCTION("""COMPUTED_VALUE"""),"DSQ")</f>
        <v>DSQ</v>
      </c>
      <c r="F829" s="1" t="str">
        <f>IFERROR(__xludf.DUMMYFUNCTION("""COMPUTED_VALUE"""),"Male")</f>
        <v>Male</v>
      </c>
      <c r="G829" s="5" t="str">
        <f>IFERROR(__xludf.DUMMYFUNCTION("""COMPUTED_VALUE"""),"")</f>
        <v/>
      </c>
      <c r="H829" s="14">
        <f>IFERROR(__xludf.DUMMYFUNCTION("""COMPUTED_VALUE"""),0.24646185185185185)</f>
        <v>0.2464618519</v>
      </c>
      <c r="I829" s="15" t="str">
        <f>IFERROR(__xludf.DUMMYFUNCTION("""COMPUTED_VALUE"""),"")</f>
        <v/>
      </c>
      <c r="J829" s="15" t="str">
        <f>IFERROR(__xludf.DUMMYFUNCTION("""COMPUTED_VALUE"""),"")</f>
        <v/>
      </c>
      <c r="K829" s="15" t="str">
        <f>IFERROR(__xludf.DUMMYFUNCTION("""COMPUTED_VALUE"""),"")</f>
        <v/>
      </c>
      <c r="L829" s="15" t="str">
        <f>IFERROR(__xludf.DUMMYFUNCTION("""COMPUTED_VALUE"""),"")</f>
        <v/>
      </c>
    </row>
    <row r="830">
      <c r="A830" s="1" t="str">
        <f>IFERROR(__xludf.DUMMYFUNCTION("""COMPUTED_VALUE"""),"DSQ")</f>
        <v>DSQ</v>
      </c>
      <c r="B830" s="1">
        <f>IFERROR(__xludf.DUMMYFUNCTION("""COMPUTED_VALUE"""),10630.0)</f>
        <v>10630</v>
      </c>
      <c r="C830" s="13" t="str">
        <f>IFERROR(__xludf.DUMMYFUNCTION("""COMPUTED_VALUE"""),"Firman Oktafiandi")</f>
        <v>Firman Oktafiandi</v>
      </c>
      <c r="D830" s="2" t="str">
        <f>IFERROR(__xludf.DUMMYFUNCTION("""COMPUTED_VALUE"""),"10KM OVERALL M")</f>
        <v>10KM OVERALL M</v>
      </c>
      <c r="E830" s="1" t="str">
        <f>IFERROR(__xludf.DUMMYFUNCTION("""COMPUTED_VALUE"""),"DSQ")</f>
        <v>DSQ</v>
      </c>
      <c r="F830" s="1" t="str">
        <f>IFERROR(__xludf.DUMMYFUNCTION("""COMPUTED_VALUE"""),"Male")</f>
        <v>Male</v>
      </c>
      <c r="G830" s="5" t="str">
        <f>IFERROR(__xludf.DUMMYFUNCTION("""COMPUTED_VALUE"""),"")</f>
        <v/>
      </c>
      <c r="H830" s="14">
        <f>IFERROR(__xludf.DUMMYFUNCTION("""COMPUTED_VALUE"""),0.24646185185185185)</f>
        <v>0.2464618519</v>
      </c>
      <c r="I830" s="15" t="str">
        <f>IFERROR(__xludf.DUMMYFUNCTION("""COMPUTED_VALUE"""),"")</f>
        <v/>
      </c>
      <c r="J830" s="15" t="str">
        <f>IFERROR(__xludf.DUMMYFUNCTION("""COMPUTED_VALUE"""),"")</f>
        <v/>
      </c>
      <c r="K830" s="15" t="str">
        <f>IFERROR(__xludf.DUMMYFUNCTION("""COMPUTED_VALUE"""),"")</f>
        <v/>
      </c>
      <c r="L830" s="15" t="str">
        <f>IFERROR(__xludf.DUMMYFUNCTION("""COMPUTED_VALUE"""),"")</f>
        <v/>
      </c>
    </row>
    <row r="831">
      <c r="A831" s="1" t="str">
        <f>IFERROR(__xludf.DUMMYFUNCTION("""COMPUTED_VALUE"""),"DSQ")</f>
        <v>DSQ</v>
      </c>
      <c r="B831" s="1">
        <f>IFERROR(__xludf.DUMMYFUNCTION("""COMPUTED_VALUE"""),10638.0)</f>
        <v>10638</v>
      </c>
      <c r="C831" s="13" t="str">
        <f>IFERROR(__xludf.DUMMYFUNCTION("""COMPUTED_VALUE"""),"ZUNED")</f>
        <v>ZUNED</v>
      </c>
      <c r="D831" s="2" t="str">
        <f>IFERROR(__xludf.DUMMYFUNCTION("""COMPUTED_VALUE"""),"10KM OVERALL M")</f>
        <v>10KM OVERALL M</v>
      </c>
      <c r="E831" s="1" t="str">
        <f>IFERROR(__xludf.DUMMYFUNCTION("""COMPUTED_VALUE"""),"DSQ")</f>
        <v>DSQ</v>
      </c>
      <c r="F831" s="1" t="str">
        <f>IFERROR(__xludf.DUMMYFUNCTION("""COMPUTED_VALUE"""),"Male")</f>
        <v>Male</v>
      </c>
      <c r="G831" s="5" t="str">
        <f>IFERROR(__xludf.DUMMYFUNCTION("""COMPUTED_VALUE"""),"")</f>
        <v/>
      </c>
      <c r="H831" s="14">
        <f>IFERROR(__xludf.DUMMYFUNCTION("""COMPUTED_VALUE"""),0.24646185185185185)</f>
        <v>0.2464618519</v>
      </c>
      <c r="I831" s="15" t="str">
        <f>IFERROR(__xludf.DUMMYFUNCTION("""COMPUTED_VALUE"""),"")</f>
        <v/>
      </c>
      <c r="J831" s="15" t="str">
        <f>IFERROR(__xludf.DUMMYFUNCTION("""COMPUTED_VALUE"""),"")</f>
        <v/>
      </c>
      <c r="K831" s="15" t="str">
        <f>IFERROR(__xludf.DUMMYFUNCTION("""COMPUTED_VALUE"""),"")</f>
        <v/>
      </c>
      <c r="L831" s="15" t="str">
        <f>IFERROR(__xludf.DUMMYFUNCTION("""COMPUTED_VALUE"""),"")</f>
        <v/>
      </c>
    </row>
    <row r="832">
      <c r="A832" s="1" t="str">
        <f>IFERROR(__xludf.DUMMYFUNCTION("""COMPUTED_VALUE"""),"DSQ")</f>
        <v>DSQ</v>
      </c>
      <c r="B832" s="1">
        <f>IFERROR(__xludf.DUMMYFUNCTION("""COMPUTED_VALUE"""),10642.0)</f>
        <v>10642</v>
      </c>
      <c r="C832" s="13" t="str">
        <f>IFERROR(__xludf.DUMMYFUNCTION("""COMPUTED_VALUE"""),"Wira")</f>
        <v>Wira</v>
      </c>
      <c r="D832" s="2" t="str">
        <f>IFERROR(__xludf.DUMMYFUNCTION("""COMPUTED_VALUE"""),"10KM OVERALL M")</f>
        <v>10KM OVERALL M</v>
      </c>
      <c r="E832" s="1" t="str">
        <f>IFERROR(__xludf.DUMMYFUNCTION("""COMPUTED_VALUE"""),"DSQ")</f>
        <v>DSQ</v>
      </c>
      <c r="F832" s="1" t="str">
        <f>IFERROR(__xludf.DUMMYFUNCTION("""COMPUTED_VALUE"""),"Male")</f>
        <v>Male</v>
      </c>
      <c r="G832" s="5" t="str">
        <f>IFERROR(__xludf.DUMMYFUNCTION("""COMPUTED_VALUE"""),"")</f>
        <v/>
      </c>
      <c r="H832" s="14">
        <f>IFERROR(__xludf.DUMMYFUNCTION("""COMPUTED_VALUE"""),0.24646185185185185)</f>
        <v>0.2464618519</v>
      </c>
      <c r="I832" s="15" t="str">
        <f>IFERROR(__xludf.DUMMYFUNCTION("""COMPUTED_VALUE"""),"")</f>
        <v/>
      </c>
      <c r="J832" s="15" t="str">
        <f>IFERROR(__xludf.DUMMYFUNCTION("""COMPUTED_VALUE"""),"")</f>
        <v/>
      </c>
      <c r="K832" s="15" t="str">
        <f>IFERROR(__xludf.DUMMYFUNCTION("""COMPUTED_VALUE"""),"")</f>
        <v/>
      </c>
      <c r="L832" s="15" t="str">
        <f>IFERROR(__xludf.DUMMYFUNCTION("""COMPUTED_VALUE"""),"")</f>
        <v/>
      </c>
    </row>
    <row r="833">
      <c r="A833" s="1" t="str">
        <f>IFERROR(__xludf.DUMMYFUNCTION("""COMPUTED_VALUE"""),"DSQ")</f>
        <v>DSQ</v>
      </c>
      <c r="B833" s="1">
        <f>IFERROR(__xludf.DUMMYFUNCTION("""COMPUTED_VALUE"""),10644.0)</f>
        <v>10644</v>
      </c>
      <c r="C833" s="13" t="str">
        <f>IFERROR(__xludf.DUMMYFUNCTION("""COMPUTED_VALUE"""),"ATIFTAYO")</f>
        <v>ATIFTAYO</v>
      </c>
      <c r="D833" s="2" t="str">
        <f>IFERROR(__xludf.DUMMYFUNCTION("""COMPUTED_VALUE"""),"10KM OVERALL M")</f>
        <v>10KM OVERALL M</v>
      </c>
      <c r="E833" s="1" t="str">
        <f>IFERROR(__xludf.DUMMYFUNCTION("""COMPUTED_VALUE"""),"DSQ")</f>
        <v>DSQ</v>
      </c>
      <c r="F833" s="1" t="str">
        <f>IFERROR(__xludf.DUMMYFUNCTION("""COMPUTED_VALUE"""),"Male")</f>
        <v>Male</v>
      </c>
      <c r="G833" s="5" t="str">
        <f>IFERROR(__xludf.DUMMYFUNCTION("""COMPUTED_VALUE"""),"")</f>
        <v/>
      </c>
      <c r="H833" s="14">
        <f>IFERROR(__xludf.DUMMYFUNCTION("""COMPUTED_VALUE"""),0.24646185185185185)</f>
        <v>0.2464618519</v>
      </c>
      <c r="I833" s="15" t="str">
        <f>IFERROR(__xludf.DUMMYFUNCTION("""COMPUTED_VALUE"""),"")</f>
        <v/>
      </c>
      <c r="J833" s="15" t="str">
        <f>IFERROR(__xludf.DUMMYFUNCTION("""COMPUTED_VALUE"""),"")</f>
        <v/>
      </c>
      <c r="K833" s="15" t="str">
        <f>IFERROR(__xludf.DUMMYFUNCTION("""COMPUTED_VALUE"""),"")</f>
        <v/>
      </c>
      <c r="L833" s="15" t="str">
        <f>IFERROR(__xludf.DUMMYFUNCTION("""COMPUTED_VALUE"""),"")</f>
        <v/>
      </c>
    </row>
    <row r="834">
      <c r="A834" s="1" t="str">
        <f>IFERROR(__xludf.DUMMYFUNCTION("""COMPUTED_VALUE"""),"DSQ")</f>
        <v>DSQ</v>
      </c>
      <c r="B834" s="1">
        <f>IFERROR(__xludf.DUMMYFUNCTION("""COMPUTED_VALUE"""),10659.0)</f>
        <v>10659</v>
      </c>
      <c r="C834" s="13" t="str">
        <f>IFERROR(__xludf.DUMMYFUNCTION("""COMPUTED_VALUE"""),"Rizal")</f>
        <v>Rizal</v>
      </c>
      <c r="D834" s="2" t="str">
        <f>IFERROR(__xludf.DUMMYFUNCTION("""COMPUTED_VALUE"""),"10KM OVERALL M")</f>
        <v>10KM OVERALL M</v>
      </c>
      <c r="E834" s="1" t="str">
        <f>IFERROR(__xludf.DUMMYFUNCTION("""COMPUTED_VALUE"""),"DSQ")</f>
        <v>DSQ</v>
      </c>
      <c r="F834" s="1" t="str">
        <f>IFERROR(__xludf.DUMMYFUNCTION("""COMPUTED_VALUE"""),"Male")</f>
        <v>Male</v>
      </c>
      <c r="G834" s="5">
        <f>IFERROR(__xludf.DUMMYFUNCTION("""COMPUTED_VALUE"""),0.002235488425925926)</f>
        <v>0.002235488426</v>
      </c>
      <c r="H834" s="14">
        <f>IFERROR(__xludf.DUMMYFUNCTION("""COMPUTED_VALUE"""),0.24646185185185185)</f>
        <v>0.2464618519</v>
      </c>
      <c r="I834" s="15">
        <f>IFERROR(__xludf.DUMMYFUNCTION("""COMPUTED_VALUE"""),45949.268816736396)</f>
        <v>45949.26882</v>
      </c>
      <c r="J834" s="15">
        <f>IFERROR(__xludf.DUMMYFUNCTION("""COMPUTED_VALUE"""),45949.022354884546)</f>
        <v>45949.02235</v>
      </c>
      <c r="K834" s="15">
        <f>IFERROR(__xludf.DUMMYFUNCTION("""COMPUTED_VALUE"""),45949.26197112844)</f>
        <v>45949.26197</v>
      </c>
      <c r="L834" s="15" t="str">
        <f>IFERROR(__xludf.DUMMYFUNCTION("""COMPUTED_VALUE"""),"")</f>
        <v/>
      </c>
    </row>
    <row r="835">
      <c r="A835" s="1" t="str">
        <f>IFERROR(__xludf.DUMMYFUNCTION("""COMPUTED_VALUE"""),"DSQ")</f>
        <v>DSQ</v>
      </c>
      <c r="B835" s="1">
        <f>IFERROR(__xludf.DUMMYFUNCTION("""COMPUTED_VALUE"""),10662.0)</f>
        <v>10662</v>
      </c>
      <c r="C835" s="13" t="str">
        <f>IFERROR(__xludf.DUMMYFUNCTION("""COMPUTED_VALUE"""),"Naparin")</f>
        <v>Naparin</v>
      </c>
      <c r="D835" s="2" t="str">
        <f>IFERROR(__xludf.DUMMYFUNCTION("""COMPUTED_VALUE"""),"10KM OVERALL M")</f>
        <v>10KM OVERALL M</v>
      </c>
      <c r="E835" s="1" t="str">
        <f>IFERROR(__xludf.DUMMYFUNCTION("""COMPUTED_VALUE"""),"DSQ")</f>
        <v>DSQ</v>
      </c>
      <c r="F835" s="1" t="str">
        <f>IFERROR(__xludf.DUMMYFUNCTION("""COMPUTED_VALUE"""),"Male")</f>
        <v>Male</v>
      </c>
      <c r="G835" s="5" t="str">
        <f>IFERROR(__xludf.DUMMYFUNCTION("""COMPUTED_VALUE"""),"")</f>
        <v/>
      </c>
      <c r="H835" s="14">
        <f>IFERROR(__xludf.DUMMYFUNCTION("""COMPUTED_VALUE"""),0.24646185185185185)</f>
        <v>0.2464618519</v>
      </c>
      <c r="I835" s="15" t="str">
        <f>IFERROR(__xludf.DUMMYFUNCTION("""COMPUTED_VALUE"""),"")</f>
        <v/>
      </c>
      <c r="J835" s="15" t="str">
        <f>IFERROR(__xludf.DUMMYFUNCTION("""COMPUTED_VALUE"""),"")</f>
        <v/>
      </c>
      <c r="K835" s="15" t="str">
        <f>IFERROR(__xludf.DUMMYFUNCTION("""COMPUTED_VALUE"""),"")</f>
        <v/>
      </c>
      <c r="L835" s="15" t="str">
        <f>IFERROR(__xludf.DUMMYFUNCTION("""COMPUTED_VALUE"""),"")</f>
        <v/>
      </c>
    </row>
    <row r="836">
      <c r="A836" s="1" t="str">
        <f>IFERROR(__xludf.DUMMYFUNCTION("""COMPUTED_VALUE"""),"DSQ")</f>
        <v>DSQ</v>
      </c>
      <c r="B836" s="1">
        <f>IFERROR(__xludf.DUMMYFUNCTION("""COMPUTED_VALUE"""),10663.0)</f>
        <v>10663</v>
      </c>
      <c r="C836" s="13" t="str">
        <f>IFERROR(__xludf.DUMMYFUNCTION("""COMPUTED_VALUE"""),"Gonjeng no limit")</f>
        <v>Gonjeng no limit</v>
      </c>
      <c r="D836" s="2" t="str">
        <f>IFERROR(__xludf.DUMMYFUNCTION("""COMPUTED_VALUE"""),"10KM OVERALL M")</f>
        <v>10KM OVERALL M</v>
      </c>
      <c r="E836" s="1" t="str">
        <f>IFERROR(__xludf.DUMMYFUNCTION("""COMPUTED_VALUE"""),"DSQ")</f>
        <v>DSQ</v>
      </c>
      <c r="F836" s="1" t="str">
        <f>IFERROR(__xludf.DUMMYFUNCTION("""COMPUTED_VALUE"""),"Male")</f>
        <v>Male</v>
      </c>
      <c r="G836" s="5" t="str">
        <f>IFERROR(__xludf.DUMMYFUNCTION("""COMPUTED_VALUE"""),"")</f>
        <v/>
      </c>
      <c r="H836" s="14">
        <f>IFERROR(__xludf.DUMMYFUNCTION("""COMPUTED_VALUE"""),0.24646185185185185)</f>
        <v>0.2464618519</v>
      </c>
      <c r="I836" s="15" t="str">
        <f>IFERROR(__xludf.DUMMYFUNCTION("""COMPUTED_VALUE"""),"")</f>
        <v/>
      </c>
      <c r="J836" s="15" t="str">
        <f>IFERROR(__xludf.DUMMYFUNCTION("""COMPUTED_VALUE"""),"")</f>
        <v/>
      </c>
      <c r="K836" s="15" t="str">
        <f>IFERROR(__xludf.DUMMYFUNCTION("""COMPUTED_VALUE"""),"")</f>
        <v/>
      </c>
      <c r="L836" s="15" t="str">
        <f>IFERROR(__xludf.DUMMYFUNCTION("""COMPUTED_VALUE"""),"")</f>
        <v/>
      </c>
    </row>
    <row r="837">
      <c r="A837" s="1" t="str">
        <f>IFERROR(__xludf.DUMMYFUNCTION("""COMPUTED_VALUE"""),"DSQ")</f>
        <v>DSQ</v>
      </c>
      <c r="B837" s="1">
        <f>IFERROR(__xludf.DUMMYFUNCTION("""COMPUTED_VALUE"""),10667.0)</f>
        <v>10667</v>
      </c>
      <c r="C837" s="13" t="str">
        <f>IFERROR(__xludf.DUMMYFUNCTION("""COMPUTED_VALUE"""),"SPONSORSHIP")</f>
        <v>SPONSORSHIP</v>
      </c>
      <c r="D837" s="2" t="str">
        <f>IFERROR(__xludf.DUMMYFUNCTION("""COMPUTED_VALUE"""),"10KM OVERALL M")</f>
        <v>10KM OVERALL M</v>
      </c>
      <c r="E837" s="1" t="str">
        <f>IFERROR(__xludf.DUMMYFUNCTION("""COMPUTED_VALUE"""),"DSQ")</f>
        <v>DSQ</v>
      </c>
      <c r="F837" s="1" t="str">
        <f>IFERROR(__xludf.DUMMYFUNCTION("""COMPUTED_VALUE"""),"Male")</f>
        <v>Male</v>
      </c>
      <c r="G837" s="5" t="str">
        <f>IFERROR(__xludf.DUMMYFUNCTION("""COMPUTED_VALUE"""),"")</f>
        <v/>
      </c>
      <c r="H837" s="14">
        <f>IFERROR(__xludf.DUMMYFUNCTION("""COMPUTED_VALUE"""),0.24646185185185185)</f>
        <v>0.2464618519</v>
      </c>
      <c r="I837" s="15" t="str">
        <f>IFERROR(__xludf.DUMMYFUNCTION("""COMPUTED_VALUE"""),"")</f>
        <v/>
      </c>
      <c r="J837" s="15" t="str">
        <f>IFERROR(__xludf.DUMMYFUNCTION("""COMPUTED_VALUE"""),"")</f>
        <v/>
      </c>
      <c r="K837" s="15" t="str">
        <f>IFERROR(__xludf.DUMMYFUNCTION("""COMPUTED_VALUE"""),"")</f>
        <v/>
      </c>
      <c r="L837" s="15" t="str">
        <f>IFERROR(__xludf.DUMMYFUNCTION("""COMPUTED_VALUE"""),"")</f>
        <v/>
      </c>
    </row>
    <row r="838">
      <c r="A838" s="1" t="str">
        <f>IFERROR(__xludf.DUMMYFUNCTION("""COMPUTED_VALUE"""),"DSQ")</f>
        <v>DSQ</v>
      </c>
      <c r="B838" s="1">
        <f>IFERROR(__xludf.DUMMYFUNCTION("""COMPUTED_VALUE"""),10668.0)</f>
        <v>10668</v>
      </c>
      <c r="C838" s="13" t="str">
        <f>IFERROR(__xludf.DUMMYFUNCTION("""COMPUTED_VALUE"""),"SPONSORSHIP")</f>
        <v>SPONSORSHIP</v>
      </c>
      <c r="D838" s="2" t="str">
        <f>IFERROR(__xludf.DUMMYFUNCTION("""COMPUTED_VALUE"""),"10KM OVERALL M")</f>
        <v>10KM OVERALL M</v>
      </c>
      <c r="E838" s="1" t="str">
        <f>IFERROR(__xludf.DUMMYFUNCTION("""COMPUTED_VALUE"""),"DSQ")</f>
        <v>DSQ</v>
      </c>
      <c r="F838" s="1" t="str">
        <f>IFERROR(__xludf.DUMMYFUNCTION("""COMPUTED_VALUE"""),"Male")</f>
        <v>Male</v>
      </c>
      <c r="G838" s="5" t="str">
        <f>IFERROR(__xludf.DUMMYFUNCTION("""COMPUTED_VALUE"""),"")</f>
        <v/>
      </c>
      <c r="H838" s="14">
        <f>IFERROR(__xludf.DUMMYFUNCTION("""COMPUTED_VALUE"""),0.24646185185185185)</f>
        <v>0.2464618519</v>
      </c>
      <c r="I838" s="15" t="str">
        <f>IFERROR(__xludf.DUMMYFUNCTION("""COMPUTED_VALUE"""),"")</f>
        <v/>
      </c>
      <c r="J838" s="15" t="str">
        <f>IFERROR(__xludf.DUMMYFUNCTION("""COMPUTED_VALUE"""),"")</f>
        <v/>
      </c>
      <c r="K838" s="15" t="str">
        <f>IFERROR(__xludf.DUMMYFUNCTION("""COMPUTED_VALUE"""),"")</f>
        <v/>
      </c>
      <c r="L838" s="15" t="str">
        <f>IFERROR(__xludf.DUMMYFUNCTION("""COMPUTED_VALUE"""),"")</f>
        <v/>
      </c>
    </row>
    <row r="839">
      <c r="A839" s="1" t="str">
        <f>IFERROR(__xludf.DUMMYFUNCTION("""COMPUTED_VALUE"""),"DSQ")</f>
        <v>DSQ</v>
      </c>
      <c r="B839" s="1">
        <f>IFERROR(__xludf.DUMMYFUNCTION("""COMPUTED_VALUE"""),10669.0)</f>
        <v>10669</v>
      </c>
      <c r="C839" s="13" t="str">
        <f>IFERROR(__xludf.DUMMYFUNCTION("""COMPUTED_VALUE"""),"SPONSORSHIP")</f>
        <v>SPONSORSHIP</v>
      </c>
      <c r="D839" s="2" t="str">
        <f>IFERROR(__xludf.DUMMYFUNCTION("""COMPUTED_VALUE"""),"10KM OVERALL M")</f>
        <v>10KM OVERALL M</v>
      </c>
      <c r="E839" s="1" t="str">
        <f>IFERROR(__xludf.DUMMYFUNCTION("""COMPUTED_VALUE"""),"DSQ")</f>
        <v>DSQ</v>
      </c>
      <c r="F839" s="1" t="str">
        <f>IFERROR(__xludf.DUMMYFUNCTION("""COMPUTED_VALUE"""),"Male")</f>
        <v>Male</v>
      </c>
      <c r="G839" s="5" t="str">
        <f>IFERROR(__xludf.DUMMYFUNCTION("""COMPUTED_VALUE"""),"")</f>
        <v/>
      </c>
      <c r="H839" s="14">
        <f>IFERROR(__xludf.DUMMYFUNCTION("""COMPUTED_VALUE"""),0.24646185185185185)</f>
        <v>0.2464618519</v>
      </c>
      <c r="I839" s="15" t="str">
        <f>IFERROR(__xludf.DUMMYFUNCTION("""COMPUTED_VALUE"""),"")</f>
        <v/>
      </c>
      <c r="J839" s="15" t="str">
        <f>IFERROR(__xludf.DUMMYFUNCTION("""COMPUTED_VALUE"""),"")</f>
        <v/>
      </c>
      <c r="K839" s="15" t="str">
        <f>IFERROR(__xludf.DUMMYFUNCTION("""COMPUTED_VALUE"""),"")</f>
        <v/>
      </c>
      <c r="L839" s="15" t="str">
        <f>IFERROR(__xludf.DUMMYFUNCTION("""COMPUTED_VALUE"""),"")</f>
        <v/>
      </c>
    </row>
    <row r="840">
      <c r="A840" s="1" t="str">
        <f>IFERROR(__xludf.DUMMYFUNCTION("""COMPUTED_VALUE"""),"DSQ")</f>
        <v>DSQ</v>
      </c>
      <c r="B840" s="1">
        <f>IFERROR(__xludf.DUMMYFUNCTION("""COMPUTED_VALUE"""),10670.0)</f>
        <v>10670</v>
      </c>
      <c r="C840" s="13" t="str">
        <f>IFERROR(__xludf.DUMMYFUNCTION("""COMPUTED_VALUE"""),"SPONSORSHIP")</f>
        <v>SPONSORSHIP</v>
      </c>
      <c r="D840" s="2" t="str">
        <f>IFERROR(__xludf.DUMMYFUNCTION("""COMPUTED_VALUE"""),"10KM OVERALL M")</f>
        <v>10KM OVERALL M</v>
      </c>
      <c r="E840" s="1" t="str">
        <f>IFERROR(__xludf.DUMMYFUNCTION("""COMPUTED_VALUE"""),"DSQ")</f>
        <v>DSQ</v>
      </c>
      <c r="F840" s="1" t="str">
        <f>IFERROR(__xludf.DUMMYFUNCTION("""COMPUTED_VALUE"""),"Male")</f>
        <v>Male</v>
      </c>
      <c r="G840" s="5" t="str">
        <f>IFERROR(__xludf.DUMMYFUNCTION("""COMPUTED_VALUE"""),"")</f>
        <v/>
      </c>
      <c r="H840" s="14">
        <f>IFERROR(__xludf.DUMMYFUNCTION("""COMPUTED_VALUE"""),0.24646185185185185)</f>
        <v>0.2464618519</v>
      </c>
      <c r="I840" s="15" t="str">
        <f>IFERROR(__xludf.DUMMYFUNCTION("""COMPUTED_VALUE"""),"")</f>
        <v/>
      </c>
      <c r="J840" s="15" t="str">
        <f>IFERROR(__xludf.DUMMYFUNCTION("""COMPUTED_VALUE"""),"")</f>
        <v/>
      </c>
      <c r="K840" s="15" t="str">
        <f>IFERROR(__xludf.DUMMYFUNCTION("""COMPUTED_VALUE"""),"")</f>
        <v/>
      </c>
      <c r="L840" s="15" t="str">
        <f>IFERROR(__xludf.DUMMYFUNCTION("""COMPUTED_VALUE"""),"")</f>
        <v/>
      </c>
    </row>
    <row r="841">
      <c r="A841" s="1" t="str">
        <f>IFERROR(__xludf.DUMMYFUNCTION("""COMPUTED_VALUE"""),"DSQ")</f>
        <v>DSQ</v>
      </c>
      <c r="B841" s="1">
        <f>IFERROR(__xludf.DUMMYFUNCTION("""COMPUTED_VALUE"""),10671.0)</f>
        <v>10671</v>
      </c>
      <c r="C841" s="13" t="str">
        <f>IFERROR(__xludf.DUMMYFUNCTION("""COMPUTED_VALUE"""),"SPONSORSHIP")</f>
        <v>SPONSORSHIP</v>
      </c>
      <c r="D841" s="2" t="str">
        <f>IFERROR(__xludf.DUMMYFUNCTION("""COMPUTED_VALUE"""),"10KM OVERALL M")</f>
        <v>10KM OVERALL M</v>
      </c>
      <c r="E841" s="1" t="str">
        <f>IFERROR(__xludf.DUMMYFUNCTION("""COMPUTED_VALUE"""),"DSQ")</f>
        <v>DSQ</v>
      </c>
      <c r="F841" s="1" t="str">
        <f>IFERROR(__xludf.DUMMYFUNCTION("""COMPUTED_VALUE"""),"Male")</f>
        <v>Male</v>
      </c>
      <c r="G841" s="5" t="str">
        <f>IFERROR(__xludf.DUMMYFUNCTION("""COMPUTED_VALUE"""),"")</f>
        <v/>
      </c>
      <c r="H841" s="14">
        <f>IFERROR(__xludf.DUMMYFUNCTION("""COMPUTED_VALUE"""),0.24646185185185185)</f>
        <v>0.2464618519</v>
      </c>
      <c r="I841" s="15" t="str">
        <f>IFERROR(__xludf.DUMMYFUNCTION("""COMPUTED_VALUE"""),"")</f>
        <v/>
      </c>
      <c r="J841" s="15" t="str">
        <f>IFERROR(__xludf.DUMMYFUNCTION("""COMPUTED_VALUE"""),"")</f>
        <v/>
      </c>
      <c r="K841" s="15" t="str">
        <f>IFERROR(__xludf.DUMMYFUNCTION("""COMPUTED_VALUE"""),"")</f>
        <v/>
      </c>
      <c r="L841" s="15" t="str">
        <f>IFERROR(__xludf.DUMMYFUNCTION("""COMPUTED_VALUE"""),"")</f>
        <v/>
      </c>
    </row>
    <row r="842">
      <c r="A842" s="1" t="str">
        <f>IFERROR(__xludf.DUMMYFUNCTION("""COMPUTED_VALUE"""),"DSQ")</f>
        <v>DSQ</v>
      </c>
      <c r="B842" s="1">
        <f>IFERROR(__xludf.DUMMYFUNCTION("""COMPUTED_VALUE"""),10675.0)</f>
        <v>10675</v>
      </c>
      <c r="C842" s="13" t="str">
        <f>IFERROR(__xludf.DUMMYFUNCTION("""COMPUTED_VALUE"""),"SPONSORSHIP")</f>
        <v>SPONSORSHIP</v>
      </c>
      <c r="D842" s="2" t="str">
        <f>IFERROR(__xludf.DUMMYFUNCTION("""COMPUTED_VALUE"""),"10KM OVERALL M")</f>
        <v>10KM OVERALL M</v>
      </c>
      <c r="E842" s="1" t="str">
        <f>IFERROR(__xludf.DUMMYFUNCTION("""COMPUTED_VALUE"""),"DSQ")</f>
        <v>DSQ</v>
      </c>
      <c r="F842" s="1" t="str">
        <f>IFERROR(__xludf.DUMMYFUNCTION("""COMPUTED_VALUE"""),"Male")</f>
        <v>Male</v>
      </c>
      <c r="G842" s="5" t="str">
        <f>IFERROR(__xludf.DUMMYFUNCTION("""COMPUTED_VALUE"""),"")</f>
        <v/>
      </c>
      <c r="H842" s="14">
        <f>IFERROR(__xludf.DUMMYFUNCTION("""COMPUTED_VALUE"""),0.24646185185185185)</f>
        <v>0.2464618519</v>
      </c>
      <c r="I842" s="15" t="str">
        <f>IFERROR(__xludf.DUMMYFUNCTION("""COMPUTED_VALUE"""),"")</f>
        <v/>
      </c>
      <c r="J842" s="15" t="str">
        <f>IFERROR(__xludf.DUMMYFUNCTION("""COMPUTED_VALUE"""),"")</f>
        <v/>
      </c>
      <c r="K842" s="15" t="str">
        <f>IFERROR(__xludf.DUMMYFUNCTION("""COMPUTED_VALUE"""),"")</f>
        <v/>
      </c>
      <c r="L842" s="15" t="str">
        <f>IFERROR(__xludf.DUMMYFUNCTION("""COMPUTED_VALUE"""),"")</f>
        <v/>
      </c>
    </row>
    <row r="843">
      <c r="A843" s="1" t="str">
        <f>IFERROR(__xludf.DUMMYFUNCTION("""COMPUTED_VALUE"""),"DSQ")</f>
        <v>DSQ</v>
      </c>
      <c r="B843" s="1">
        <f>IFERROR(__xludf.DUMMYFUNCTION("""COMPUTED_VALUE"""),10677.0)</f>
        <v>10677</v>
      </c>
      <c r="C843" s="13" t="str">
        <f>IFERROR(__xludf.DUMMYFUNCTION("""COMPUTED_VALUE"""),"TOKO KOPI MELAYU")</f>
        <v>TOKO KOPI MELAYU</v>
      </c>
      <c r="D843" s="2" t="str">
        <f>IFERROR(__xludf.DUMMYFUNCTION("""COMPUTED_VALUE"""),"10KM OVERALL M")</f>
        <v>10KM OVERALL M</v>
      </c>
      <c r="E843" s="1" t="str">
        <f>IFERROR(__xludf.DUMMYFUNCTION("""COMPUTED_VALUE"""),"DSQ")</f>
        <v>DSQ</v>
      </c>
      <c r="F843" s="1" t="str">
        <f>IFERROR(__xludf.DUMMYFUNCTION("""COMPUTED_VALUE"""),"Male")</f>
        <v>Male</v>
      </c>
      <c r="G843" s="5" t="str">
        <f>IFERROR(__xludf.DUMMYFUNCTION("""COMPUTED_VALUE"""),"")</f>
        <v/>
      </c>
      <c r="H843" s="14">
        <f>IFERROR(__xludf.DUMMYFUNCTION("""COMPUTED_VALUE"""),0.24646185185185185)</f>
        <v>0.2464618519</v>
      </c>
      <c r="I843" s="15" t="str">
        <f>IFERROR(__xludf.DUMMYFUNCTION("""COMPUTED_VALUE"""),"")</f>
        <v/>
      </c>
      <c r="J843" s="15" t="str">
        <f>IFERROR(__xludf.DUMMYFUNCTION("""COMPUTED_VALUE"""),"")</f>
        <v/>
      </c>
      <c r="K843" s="15" t="str">
        <f>IFERROR(__xludf.DUMMYFUNCTION("""COMPUTED_VALUE"""),"")</f>
        <v/>
      </c>
      <c r="L843" s="15" t="str">
        <f>IFERROR(__xludf.DUMMYFUNCTION("""COMPUTED_VALUE"""),"")</f>
        <v/>
      </c>
    </row>
    <row r="844">
      <c r="A844" s="1" t="str">
        <f>IFERROR(__xludf.DUMMYFUNCTION("""COMPUTED_VALUE"""),"DSQ")</f>
        <v>DSQ</v>
      </c>
      <c r="B844" s="1">
        <f>IFERROR(__xludf.DUMMYFUNCTION("""COMPUTED_VALUE"""),10678.0)</f>
        <v>10678</v>
      </c>
      <c r="C844" s="13" t="str">
        <f>IFERROR(__xludf.DUMMYFUNCTION("""COMPUTED_VALUE"""),"TOKO KOPI MELAYU")</f>
        <v>TOKO KOPI MELAYU</v>
      </c>
      <c r="D844" s="2" t="str">
        <f>IFERROR(__xludf.DUMMYFUNCTION("""COMPUTED_VALUE"""),"10KM OVERALL M")</f>
        <v>10KM OVERALL M</v>
      </c>
      <c r="E844" s="1" t="str">
        <f>IFERROR(__xludf.DUMMYFUNCTION("""COMPUTED_VALUE"""),"DSQ")</f>
        <v>DSQ</v>
      </c>
      <c r="F844" s="1" t="str">
        <f>IFERROR(__xludf.DUMMYFUNCTION("""COMPUTED_VALUE"""),"Male")</f>
        <v>Male</v>
      </c>
      <c r="G844" s="5" t="str">
        <f>IFERROR(__xludf.DUMMYFUNCTION("""COMPUTED_VALUE"""),"")</f>
        <v/>
      </c>
      <c r="H844" s="14">
        <f>IFERROR(__xludf.DUMMYFUNCTION("""COMPUTED_VALUE"""),0.24646185185185185)</f>
        <v>0.2464618519</v>
      </c>
      <c r="I844" s="15" t="str">
        <f>IFERROR(__xludf.DUMMYFUNCTION("""COMPUTED_VALUE"""),"")</f>
        <v/>
      </c>
      <c r="J844" s="15" t="str">
        <f>IFERROR(__xludf.DUMMYFUNCTION("""COMPUTED_VALUE"""),"")</f>
        <v/>
      </c>
      <c r="K844" s="15" t="str">
        <f>IFERROR(__xludf.DUMMYFUNCTION("""COMPUTED_VALUE"""),"")</f>
        <v/>
      </c>
      <c r="L844" s="15" t="str">
        <f>IFERROR(__xludf.DUMMYFUNCTION("""COMPUTED_VALUE"""),"")</f>
        <v/>
      </c>
    </row>
    <row r="845">
      <c r="A845" s="1" t="str">
        <f>IFERROR(__xludf.DUMMYFUNCTION("""COMPUTED_VALUE"""),"DSQ")</f>
        <v>DSQ</v>
      </c>
      <c r="B845" s="1">
        <f>IFERROR(__xludf.DUMMYFUNCTION("""COMPUTED_VALUE"""),10679.0)</f>
        <v>10679</v>
      </c>
      <c r="C845" s="13" t="str">
        <f>IFERROR(__xludf.DUMMYFUNCTION("""COMPUTED_VALUE"""),"TOKO KOPI MELAYU")</f>
        <v>TOKO KOPI MELAYU</v>
      </c>
      <c r="D845" s="2" t="str">
        <f>IFERROR(__xludf.DUMMYFUNCTION("""COMPUTED_VALUE"""),"10KM OVERALL M")</f>
        <v>10KM OVERALL M</v>
      </c>
      <c r="E845" s="1" t="str">
        <f>IFERROR(__xludf.DUMMYFUNCTION("""COMPUTED_VALUE"""),"DSQ")</f>
        <v>DSQ</v>
      </c>
      <c r="F845" s="1" t="str">
        <f>IFERROR(__xludf.DUMMYFUNCTION("""COMPUTED_VALUE"""),"Male")</f>
        <v>Male</v>
      </c>
      <c r="G845" s="5" t="str">
        <f>IFERROR(__xludf.DUMMYFUNCTION("""COMPUTED_VALUE"""),"")</f>
        <v/>
      </c>
      <c r="H845" s="14">
        <f>IFERROR(__xludf.DUMMYFUNCTION("""COMPUTED_VALUE"""),0.24646185185185185)</f>
        <v>0.2464618519</v>
      </c>
      <c r="I845" s="15" t="str">
        <f>IFERROR(__xludf.DUMMYFUNCTION("""COMPUTED_VALUE"""),"")</f>
        <v/>
      </c>
      <c r="J845" s="15" t="str">
        <f>IFERROR(__xludf.DUMMYFUNCTION("""COMPUTED_VALUE"""),"")</f>
        <v/>
      </c>
      <c r="K845" s="15" t="str">
        <f>IFERROR(__xludf.DUMMYFUNCTION("""COMPUTED_VALUE"""),"")</f>
        <v/>
      </c>
      <c r="L845" s="15" t="str">
        <f>IFERROR(__xludf.DUMMYFUNCTION("""COMPUTED_VALUE"""),"")</f>
        <v/>
      </c>
    </row>
    <row r="846">
      <c r="A846" s="1" t="str">
        <f>IFERROR(__xludf.DUMMYFUNCTION("""COMPUTED_VALUE"""),"DSQ")</f>
        <v>DSQ</v>
      </c>
      <c r="B846" s="1">
        <f>IFERROR(__xludf.DUMMYFUNCTION("""COMPUTED_VALUE"""),10681.0)</f>
        <v>10681</v>
      </c>
      <c r="C846" s="13" t="str">
        <f>IFERROR(__xludf.DUMMYFUNCTION("""COMPUTED_VALUE"""),"TOKO KOPI MELAYU")</f>
        <v>TOKO KOPI MELAYU</v>
      </c>
      <c r="D846" s="2" t="str">
        <f>IFERROR(__xludf.DUMMYFUNCTION("""COMPUTED_VALUE"""),"10KM OVERALL M")</f>
        <v>10KM OVERALL M</v>
      </c>
      <c r="E846" s="1" t="str">
        <f>IFERROR(__xludf.DUMMYFUNCTION("""COMPUTED_VALUE"""),"DSQ")</f>
        <v>DSQ</v>
      </c>
      <c r="F846" s="1" t="str">
        <f>IFERROR(__xludf.DUMMYFUNCTION("""COMPUTED_VALUE"""),"Male")</f>
        <v>Male</v>
      </c>
      <c r="G846" s="5" t="str">
        <f>IFERROR(__xludf.DUMMYFUNCTION("""COMPUTED_VALUE"""),"")</f>
        <v/>
      </c>
      <c r="H846" s="14">
        <f>IFERROR(__xludf.DUMMYFUNCTION("""COMPUTED_VALUE"""),0.24646185185185185)</f>
        <v>0.2464618519</v>
      </c>
      <c r="I846" s="15" t="str">
        <f>IFERROR(__xludf.DUMMYFUNCTION("""COMPUTED_VALUE"""),"")</f>
        <v/>
      </c>
      <c r="J846" s="15" t="str">
        <f>IFERROR(__xludf.DUMMYFUNCTION("""COMPUTED_VALUE"""),"")</f>
        <v/>
      </c>
      <c r="K846" s="15" t="str">
        <f>IFERROR(__xludf.DUMMYFUNCTION("""COMPUTED_VALUE"""),"")</f>
        <v/>
      </c>
      <c r="L846" s="15" t="str">
        <f>IFERROR(__xludf.DUMMYFUNCTION("""COMPUTED_VALUE"""),"")</f>
        <v/>
      </c>
    </row>
    <row r="847">
      <c r="A847" s="1" t="str">
        <f>IFERROR(__xludf.DUMMYFUNCTION("""COMPUTED_VALUE"""),"DSQ")</f>
        <v>DSQ</v>
      </c>
      <c r="B847" s="1">
        <f>IFERROR(__xludf.DUMMYFUNCTION("""COMPUTED_VALUE"""),10682.0)</f>
        <v>10682</v>
      </c>
      <c r="C847" s="13" t="str">
        <f>IFERROR(__xludf.DUMMYFUNCTION("""COMPUTED_VALUE"""),"TOKO KOPI MELAYU")</f>
        <v>TOKO KOPI MELAYU</v>
      </c>
      <c r="D847" s="2" t="str">
        <f>IFERROR(__xludf.DUMMYFUNCTION("""COMPUTED_VALUE"""),"10KM OVERALL M")</f>
        <v>10KM OVERALL M</v>
      </c>
      <c r="E847" s="1" t="str">
        <f>IFERROR(__xludf.DUMMYFUNCTION("""COMPUTED_VALUE"""),"DSQ")</f>
        <v>DSQ</v>
      </c>
      <c r="F847" s="1" t="str">
        <f>IFERROR(__xludf.DUMMYFUNCTION("""COMPUTED_VALUE"""),"Male")</f>
        <v>Male</v>
      </c>
      <c r="G847" s="5" t="str">
        <f>IFERROR(__xludf.DUMMYFUNCTION("""COMPUTED_VALUE"""),"")</f>
        <v/>
      </c>
      <c r="H847" s="14">
        <f>IFERROR(__xludf.DUMMYFUNCTION("""COMPUTED_VALUE"""),0.24646185185185185)</f>
        <v>0.2464618519</v>
      </c>
      <c r="I847" s="15" t="str">
        <f>IFERROR(__xludf.DUMMYFUNCTION("""COMPUTED_VALUE"""),"")</f>
        <v/>
      </c>
      <c r="J847" s="15" t="str">
        <f>IFERROR(__xludf.DUMMYFUNCTION("""COMPUTED_VALUE"""),"")</f>
        <v/>
      </c>
      <c r="K847" s="15" t="str">
        <f>IFERROR(__xludf.DUMMYFUNCTION("""COMPUTED_VALUE"""),"")</f>
        <v/>
      </c>
      <c r="L847" s="15" t="str">
        <f>IFERROR(__xludf.DUMMYFUNCTION("""COMPUTED_VALUE"""),"")</f>
        <v/>
      </c>
    </row>
    <row r="848">
      <c r="A848" s="1" t="str">
        <f>IFERROR(__xludf.DUMMYFUNCTION("""COMPUTED_VALUE"""),"DSQ")</f>
        <v>DSQ</v>
      </c>
      <c r="B848" s="1">
        <f>IFERROR(__xludf.DUMMYFUNCTION("""COMPUTED_VALUE"""),10683.0)</f>
        <v>10683</v>
      </c>
      <c r="C848" s="13" t="str">
        <f>IFERROR(__xludf.DUMMYFUNCTION("""COMPUTED_VALUE"""),"TOKO KOPI MELAYU")</f>
        <v>TOKO KOPI MELAYU</v>
      </c>
      <c r="D848" s="2" t="str">
        <f>IFERROR(__xludf.DUMMYFUNCTION("""COMPUTED_VALUE"""),"10KM OVERALL M")</f>
        <v>10KM OVERALL M</v>
      </c>
      <c r="E848" s="1" t="str">
        <f>IFERROR(__xludf.DUMMYFUNCTION("""COMPUTED_VALUE"""),"DSQ")</f>
        <v>DSQ</v>
      </c>
      <c r="F848" s="1" t="str">
        <f>IFERROR(__xludf.DUMMYFUNCTION("""COMPUTED_VALUE"""),"Male")</f>
        <v>Male</v>
      </c>
      <c r="G848" s="5" t="str">
        <f>IFERROR(__xludf.DUMMYFUNCTION("""COMPUTED_VALUE"""),"")</f>
        <v/>
      </c>
      <c r="H848" s="14">
        <f>IFERROR(__xludf.DUMMYFUNCTION("""COMPUTED_VALUE"""),0.24646185185185185)</f>
        <v>0.2464618519</v>
      </c>
      <c r="I848" s="15" t="str">
        <f>IFERROR(__xludf.DUMMYFUNCTION("""COMPUTED_VALUE"""),"")</f>
        <v/>
      </c>
      <c r="J848" s="15" t="str">
        <f>IFERROR(__xludf.DUMMYFUNCTION("""COMPUTED_VALUE"""),"")</f>
        <v/>
      </c>
      <c r="K848" s="15" t="str">
        <f>IFERROR(__xludf.DUMMYFUNCTION("""COMPUTED_VALUE"""),"")</f>
        <v/>
      </c>
      <c r="L848" s="15" t="str">
        <f>IFERROR(__xludf.DUMMYFUNCTION("""COMPUTED_VALUE"""),"")</f>
        <v/>
      </c>
    </row>
    <row r="849">
      <c r="A849" s="1" t="str">
        <f>IFERROR(__xludf.DUMMYFUNCTION("""COMPUTED_VALUE"""),"DSQ")</f>
        <v>DSQ</v>
      </c>
      <c r="B849" s="1">
        <f>IFERROR(__xludf.DUMMYFUNCTION("""COMPUTED_VALUE"""),10684.0)</f>
        <v>10684</v>
      </c>
      <c r="C849" s="13" t="str">
        <f>IFERROR(__xludf.DUMMYFUNCTION("""COMPUTED_VALUE"""),"TOKO KOPI MELAYU")</f>
        <v>TOKO KOPI MELAYU</v>
      </c>
      <c r="D849" s="2" t="str">
        <f>IFERROR(__xludf.DUMMYFUNCTION("""COMPUTED_VALUE"""),"10KM OVERALL M")</f>
        <v>10KM OVERALL M</v>
      </c>
      <c r="E849" s="1" t="str">
        <f>IFERROR(__xludf.DUMMYFUNCTION("""COMPUTED_VALUE"""),"DSQ")</f>
        <v>DSQ</v>
      </c>
      <c r="F849" s="1" t="str">
        <f>IFERROR(__xludf.DUMMYFUNCTION("""COMPUTED_VALUE"""),"Male")</f>
        <v>Male</v>
      </c>
      <c r="G849" s="5" t="str">
        <f>IFERROR(__xludf.DUMMYFUNCTION("""COMPUTED_VALUE"""),"")</f>
        <v/>
      </c>
      <c r="H849" s="14">
        <f>IFERROR(__xludf.DUMMYFUNCTION("""COMPUTED_VALUE"""),0.24646185185185185)</f>
        <v>0.2464618519</v>
      </c>
      <c r="I849" s="15" t="str">
        <f>IFERROR(__xludf.DUMMYFUNCTION("""COMPUTED_VALUE"""),"")</f>
        <v/>
      </c>
      <c r="J849" s="15" t="str">
        <f>IFERROR(__xludf.DUMMYFUNCTION("""COMPUTED_VALUE"""),"")</f>
        <v/>
      </c>
      <c r="K849" s="15" t="str">
        <f>IFERROR(__xludf.DUMMYFUNCTION("""COMPUTED_VALUE"""),"")</f>
        <v/>
      </c>
      <c r="L849" s="15" t="str">
        <f>IFERROR(__xludf.DUMMYFUNCTION("""COMPUTED_VALUE"""),"")</f>
        <v/>
      </c>
    </row>
    <row r="850">
      <c r="A850" s="1" t="str">
        <f>IFERROR(__xludf.DUMMYFUNCTION("""COMPUTED_VALUE"""),"DSQ")</f>
        <v>DSQ</v>
      </c>
      <c r="B850" s="1">
        <f>IFERROR(__xludf.DUMMYFUNCTION("""COMPUTED_VALUE"""),10685.0)</f>
        <v>10685</v>
      </c>
      <c r="C850" s="13" t="str">
        <f>IFERROR(__xludf.DUMMYFUNCTION("""COMPUTED_VALUE"""),"TOKO KOPI MELAYU")</f>
        <v>TOKO KOPI MELAYU</v>
      </c>
      <c r="D850" s="2" t="str">
        <f>IFERROR(__xludf.DUMMYFUNCTION("""COMPUTED_VALUE"""),"10KM OVERALL M")</f>
        <v>10KM OVERALL M</v>
      </c>
      <c r="E850" s="1" t="str">
        <f>IFERROR(__xludf.DUMMYFUNCTION("""COMPUTED_VALUE"""),"DSQ")</f>
        <v>DSQ</v>
      </c>
      <c r="F850" s="1" t="str">
        <f>IFERROR(__xludf.DUMMYFUNCTION("""COMPUTED_VALUE"""),"Male")</f>
        <v>Male</v>
      </c>
      <c r="G850" s="5" t="str">
        <f>IFERROR(__xludf.DUMMYFUNCTION("""COMPUTED_VALUE"""),"")</f>
        <v/>
      </c>
      <c r="H850" s="14">
        <f>IFERROR(__xludf.DUMMYFUNCTION("""COMPUTED_VALUE"""),0.24646185185185185)</f>
        <v>0.2464618519</v>
      </c>
      <c r="I850" s="15" t="str">
        <f>IFERROR(__xludf.DUMMYFUNCTION("""COMPUTED_VALUE"""),"")</f>
        <v/>
      </c>
      <c r="J850" s="15" t="str">
        <f>IFERROR(__xludf.DUMMYFUNCTION("""COMPUTED_VALUE"""),"")</f>
        <v/>
      </c>
      <c r="K850" s="15" t="str">
        <f>IFERROR(__xludf.DUMMYFUNCTION("""COMPUTED_VALUE"""),"")</f>
        <v/>
      </c>
      <c r="L850" s="15" t="str">
        <f>IFERROR(__xludf.DUMMYFUNCTION("""COMPUTED_VALUE"""),"")</f>
        <v/>
      </c>
    </row>
    <row r="851">
      <c r="A851" s="1" t="str">
        <f>IFERROR(__xludf.DUMMYFUNCTION("""COMPUTED_VALUE"""),"DSQ")</f>
        <v>DSQ</v>
      </c>
      <c r="B851" s="1">
        <f>IFERROR(__xludf.DUMMYFUNCTION("""COMPUTED_VALUE"""),10696.0)</f>
        <v>10696</v>
      </c>
      <c r="C851" s="13" t="str">
        <f>IFERROR(__xludf.DUMMYFUNCTION("""COMPUTED_VALUE"""),"BRIAN FP")</f>
        <v>BRIAN FP</v>
      </c>
      <c r="D851" s="2" t="str">
        <f>IFERROR(__xludf.DUMMYFUNCTION("""COMPUTED_VALUE"""),"10KM OVERALL M")</f>
        <v>10KM OVERALL M</v>
      </c>
      <c r="E851" s="1" t="str">
        <f>IFERROR(__xludf.DUMMYFUNCTION("""COMPUTED_VALUE"""),"DSQ")</f>
        <v>DSQ</v>
      </c>
      <c r="F851" s="1" t="str">
        <f>IFERROR(__xludf.DUMMYFUNCTION("""COMPUTED_VALUE"""),"Male")</f>
        <v>Male</v>
      </c>
      <c r="G851" s="5" t="str">
        <f>IFERROR(__xludf.DUMMYFUNCTION("""COMPUTED_VALUE"""),"")</f>
        <v/>
      </c>
      <c r="H851" s="14">
        <f>IFERROR(__xludf.DUMMYFUNCTION("""COMPUTED_VALUE"""),0.24646185185185185)</f>
        <v>0.2464618519</v>
      </c>
      <c r="I851" s="15" t="str">
        <f>IFERROR(__xludf.DUMMYFUNCTION("""COMPUTED_VALUE"""),"")</f>
        <v/>
      </c>
      <c r="J851" s="15" t="str">
        <f>IFERROR(__xludf.DUMMYFUNCTION("""COMPUTED_VALUE"""),"")</f>
        <v/>
      </c>
      <c r="K851" s="15" t="str">
        <f>IFERROR(__xludf.DUMMYFUNCTION("""COMPUTED_VALUE"""),"")</f>
        <v/>
      </c>
      <c r="L851" s="15" t="str">
        <f>IFERROR(__xludf.DUMMYFUNCTION("""COMPUTED_VALUE"""),"")</f>
        <v/>
      </c>
    </row>
    <row r="852">
      <c r="A852" s="1" t="str">
        <f>IFERROR(__xludf.DUMMYFUNCTION("""COMPUTED_VALUE"""),"DSQ")</f>
        <v>DSQ</v>
      </c>
      <c r="B852" s="1">
        <f>IFERROR(__xludf.DUMMYFUNCTION("""COMPUTED_VALUE"""),10703.0)</f>
        <v>10703</v>
      </c>
      <c r="C852" s="13" t="str">
        <f>IFERROR(__xludf.DUMMYFUNCTION("""COMPUTED_VALUE"""),"Angga Agung")</f>
        <v>Angga Agung</v>
      </c>
      <c r="D852" s="2" t="str">
        <f>IFERROR(__xludf.DUMMYFUNCTION("""COMPUTED_VALUE"""),"10KM OVERALL M")</f>
        <v>10KM OVERALL M</v>
      </c>
      <c r="E852" s="1" t="str">
        <f>IFERROR(__xludf.DUMMYFUNCTION("""COMPUTED_VALUE"""),"DSQ")</f>
        <v>DSQ</v>
      </c>
      <c r="F852" s="1" t="str">
        <f>IFERROR(__xludf.DUMMYFUNCTION("""COMPUTED_VALUE"""),"Male")</f>
        <v>Male</v>
      </c>
      <c r="G852" s="5" t="str">
        <f>IFERROR(__xludf.DUMMYFUNCTION("""COMPUTED_VALUE"""),"")</f>
        <v/>
      </c>
      <c r="H852" s="14">
        <f>IFERROR(__xludf.DUMMYFUNCTION("""COMPUTED_VALUE"""),0.24646185185185185)</f>
        <v>0.2464618519</v>
      </c>
      <c r="I852" s="15" t="str">
        <f>IFERROR(__xludf.DUMMYFUNCTION("""COMPUTED_VALUE"""),"")</f>
        <v/>
      </c>
      <c r="J852" s="15" t="str">
        <f>IFERROR(__xludf.DUMMYFUNCTION("""COMPUTED_VALUE"""),"")</f>
        <v/>
      </c>
      <c r="K852" s="15" t="str">
        <f>IFERROR(__xludf.DUMMYFUNCTION("""COMPUTED_VALUE"""),"")</f>
        <v/>
      </c>
      <c r="L852" s="15" t="str">
        <f>IFERROR(__xludf.DUMMYFUNCTION("""COMPUTED_VALUE"""),"")</f>
        <v/>
      </c>
    </row>
    <row r="853">
      <c r="A853" s="1" t="str">
        <f>IFERROR(__xludf.DUMMYFUNCTION("""COMPUTED_VALUE"""),"DSQ")</f>
        <v>DSQ</v>
      </c>
      <c r="B853" s="1">
        <f>IFERROR(__xludf.DUMMYFUNCTION("""COMPUTED_VALUE"""),10710.0)</f>
        <v>10710</v>
      </c>
      <c r="C853" s="13" t="str">
        <f>IFERROR(__xludf.DUMMYFUNCTION("""COMPUTED_VALUE"""),"POLRES")</f>
        <v>POLRES</v>
      </c>
      <c r="D853" s="2" t="str">
        <f>IFERROR(__xludf.DUMMYFUNCTION("""COMPUTED_VALUE"""),"10KM OVERALL M")</f>
        <v>10KM OVERALL M</v>
      </c>
      <c r="E853" s="1" t="str">
        <f>IFERROR(__xludf.DUMMYFUNCTION("""COMPUTED_VALUE"""),"DSQ")</f>
        <v>DSQ</v>
      </c>
      <c r="F853" s="1" t="str">
        <f>IFERROR(__xludf.DUMMYFUNCTION("""COMPUTED_VALUE"""),"Male")</f>
        <v>Male</v>
      </c>
      <c r="G853" s="5" t="str">
        <f>IFERROR(__xludf.DUMMYFUNCTION("""COMPUTED_VALUE"""),"")</f>
        <v/>
      </c>
      <c r="H853" s="14">
        <f>IFERROR(__xludf.DUMMYFUNCTION("""COMPUTED_VALUE"""),0.24646185185185185)</f>
        <v>0.2464618519</v>
      </c>
      <c r="I853" s="15" t="str">
        <f>IFERROR(__xludf.DUMMYFUNCTION("""COMPUTED_VALUE"""),"")</f>
        <v/>
      </c>
      <c r="J853" s="15" t="str">
        <f>IFERROR(__xludf.DUMMYFUNCTION("""COMPUTED_VALUE"""),"")</f>
        <v/>
      </c>
      <c r="K853" s="15" t="str">
        <f>IFERROR(__xludf.DUMMYFUNCTION("""COMPUTED_VALUE"""),"")</f>
        <v/>
      </c>
      <c r="L853" s="15" t="str">
        <f>IFERROR(__xludf.DUMMYFUNCTION("""COMPUTED_VALUE"""),"")</f>
        <v/>
      </c>
    </row>
    <row r="854">
      <c r="A854" s="1" t="str">
        <f>IFERROR(__xludf.DUMMYFUNCTION("""COMPUTED_VALUE"""),"DSQ")</f>
        <v>DSQ</v>
      </c>
      <c r="B854" s="1">
        <f>IFERROR(__xludf.DUMMYFUNCTION("""COMPUTED_VALUE"""),10711.0)</f>
        <v>10711</v>
      </c>
      <c r="C854" s="13" t="str">
        <f>IFERROR(__xludf.DUMMYFUNCTION("""COMPUTED_VALUE"""),"DIRINTELKAM")</f>
        <v>DIRINTELKAM</v>
      </c>
      <c r="D854" s="2" t="str">
        <f>IFERROR(__xludf.DUMMYFUNCTION("""COMPUTED_VALUE"""),"10KM OVERALL M")</f>
        <v>10KM OVERALL M</v>
      </c>
      <c r="E854" s="1" t="str">
        <f>IFERROR(__xludf.DUMMYFUNCTION("""COMPUTED_VALUE"""),"DSQ")</f>
        <v>DSQ</v>
      </c>
      <c r="F854" s="1" t="str">
        <f>IFERROR(__xludf.DUMMYFUNCTION("""COMPUTED_VALUE"""),"Male")</f>
        <v>Male</v>
      </c>
      <c r="G854" s="5" t="str">
        <f>IFERROR(__xludf.DUMMYFUNCTION("""COMPUTED_VALUE"""),"")</f>
        <v/>
      </c>
      <c r="H854" s="14">
        <f>IFERROR(__xludf.DUMMYFUNCTION("""COMPUTED_VALUE"""),0.24646185185185185)</f>
        <v>0.2464618519</v>
      </c>
      <c r="I854" s="15" t="str">
        <f>IFERROR(__xludf.DUMMYFUNCTION("""COMPUTED_VALUE"""),"")</f>
        <v/>
      </c>
      <c r="J854" s="15" t="str">
        <f>IFERROR(__xludf.DUMMYFUNCTION("""COMPUTED_VALUE"""),"")</f>
        <v/>
      </c>
      <c r="K854" s="15" t="str">
        <f>IFERROR(__xludf.DUMMYFUNCTION("""COMPUTED_VALUE"""),"")</f>
        <v/>
      </c>
      <c r="L854" s="15" t="str">
        <f>IFERROR(__xludf.DUMMYFUNCTION("""COMPUTED_VALUE"""),"")</f>
        <v/>
      </c>
    </row>
    <row r="855">
      <c r="A855" s="1" t="str">
        <f>IFERROR(__xludf.DUMMYFUNCTION("""COMPUTED_VALUE"""),"DSQ")</f>
        <v>DSQ</v>
      </c>
      <c r="B855" s="1">
        <f>IFERROR(__xludf.DUMMYFUNCTION("""COMPUTED_VALUE"""),10712.0)</f>
        <v>10712</v>
      </c>
      <c r="C855" s="13" t="str">
        <f>IFERROR(__xludf.DUMMYFUNCTION("""COMPUTED_VALUE"""),"DIRINTELKAM")</f>
        <v>DIRINTELKAM</v>
      </c>
      <c r="D855" s="2" t="str">
        <f>IFERROR(__xludf.DUMMYFUNCTION("""COMPUTED_VALUE"""),"10KM OVERALL M")</f>
        <v>10KM OVERALL M</v>
      </c>
      <c r="E855" s="1" t="str">
        <f>IFERROR(__xludf.DUMMYFUNCTION("""COMPUTED_VALUE"""),"DSQ")</f>
        <v>DSQ</v>
      </c>
      <c r="F855" s="1" t="str">
        <f>IFERROR(__xludf.DUMMYFUNCTION("""COMPUTED_VALUE"""),"Male")</f>
        <v>Male</v>
      </c>
      <c r="G855" s="5" t="str">
        <f>IFERROR(__xludf.DUMMYFUNCTION("""COMPUTED_VALUE"""),"")</f>
        <v/>
      </c>
      <c r="H855" s="14">
        <f>IFERROR(__xludf.DUMMYFUNCTION("""COMPUTED_VALUE"""),0.24646185185185185)</f>
        <v>0.2464618519</v>
      </c>
      <c r="I855" s="15" t="str">
        <f>IFERROR(__xludf.DUMMYFUNCTION("""COMPUTED_VALUE"""),"")</f>
        <v/>
      </c>
      <c r="J855" s="15" t="str">
        <f>IFERROR(__xludf.DUMMYFUNCTION("""COMPUTED_VALUE"""),"")</f>
        <v/>
      </c>
      <c r="K855" s="15" t="str">
        <f>IFERROR(__xludf.DUMMYFUNCTION("""COMPUTED_VALUE"""),"")</f>
        <v/>
      </c>
      <c r="L855" s="15" t="str">
        <f>IFERROR(__xludf.DUMMYFUNCTION("""COMPUTED_VALUE"""),"")</f>
        <v/>
      </c>
    </row>
    <row r="856">
      <c r="A856" s="1" t="str">
        <f>IFERROR(__xludf.DUMMYFUNCTION("""COMPUTED_VALUE"""),"DSQ")</f>
        <v>DSQ</v>
      </c>
      <c r="B856" s="1">
        <f>IFERROR(__xludf.DUMMYFUNCTION("""COMPUTED_VALUE"""),10713.0)</f>
        <v>10713</v>
      </c>
      <c r="C856" s="13" t="str">
        <f>IFERROR(__xludf.DUMMYFUNCTION("""COMPUTED_VALUE"""),"DIRINTELKAM")</f>
        <v>DIRINTELKAM</v>
      </c>
      <c r="D856" s="2" t="str">
        <f>IFERROR(__xludf.DUMMYFUNCTION("""COMPUTED_VALUE"""),"10KM OVERALL M")</f>
        <v>10KM OVERALL M</v>
      </c>
      <c r="E856" s="1" t="str">
        <f>IFERROR(__xludf.DUMMYFUNCTION("""COMPUTED_VALUE"""),"DSQ")</f>
        <v>DSQ</v>
      </c>
      <c r="F856" s="1" t="str">
        <f>IFERROR(__xludf.DUMMYFUNCTION("""COMPUTED_VALUE"""),"Male")</f>
        <v>Male</v>
      </c>
      <c r="G856" s="5" t="str">
        <f>IFERROR(__xludf.DUMMYFUNCTION("""COMPUTED_VALUE"""),"")</f>
        <v/>
      </c>
      <c r="H856" s="14">
        <f>IFERROR(__xludf.DUMMYFUNCTION("""COMPUTED_VALUE"""),0.24646185185185185)</f>
        <v>0.2464618519</v>
      </c>
      <c r="I856" s="15" t="str">
        <f>IFERROR(__xludf.DUMMYFUNCTION("""COMPUTED_VALUE"""),"")</f>
        <v/>
      </c>
      <c r="J856" s="15" t="str">
        <f>IFERROR(__xludf.DUMMYFUNCTION("""COMPUTED_VALUE"""),"")</f>
        <v/>
      </c>
      <c r="K856" s="15" t="str">
        <f>IFERROR(__xludf.DUMMYFUNCTION("""COMPUTED_VALUE"""),"")</f>
        <v/>
      </c>
      <c r="L856" s="15" t="str">
        <f>IFERROR(__xludf.DUMMYFUNCTION("""COMPUTED_VALUE"""),"")</f>
        <v/>
      </c>
    </row>
    <row r="857">
      <c r="A857" s="1" t="str">
        <f>IFERROR(__xludf.DUMMYFUNCTION("""COMPUTED_VALUE"""),"DSQ")</f>
        <v>DSQ</v>
      </c>
      <c r="B857" s="1">
        <f>IFERROR(__xludf.DUMMYFUNCTION("""COMPUTED_VALUE"""),10714.0)</f>
        <v>10714</v>
      </c>
      <c r="C857" s="13" t="str">
        <f>IFERROR(__xludf.DUMMYFUNCTION("""COMPUTED_VALUE"""),"DIRINTELKAM")</f>
        <v>DIRINTELKAM</v>
      </c>
      <c r="D857" s="2" t="str">
        <f>IFERROR(__xludf.DUMMYFUNCTION("""COMPUTED_VALUE"""),"10KM OVERALL M")</f>
        <v>10KM OVERALL M</v>
      </c>
      <c r="E857" s="1" t="str">
        <f>IFERROR(__xludf.DUMMYFUNCTION("""COMPUTED_VALUE"""),"DSQ")</f>
        <v>DSQ</v>
      </c>
      <c r="F857" s="1" t="str">
        <f>IFERROR(__xludf.DUMMYFUNCTION("""COMPUTED_VALUE"""),"Male")</f>
        <v>Male</v>
      </c>
      <c r="G857" s="5" t="str">
        <f>IFERROR(__xludf.DUMMYFUNCTION("""COMPUTED_VALUE"""),"")</f>
        <v/>
      </c>
      <c r="H857" s="14">
        <f>IFERROR(__xludf.DUMMYFUNCTION("""COMPUTED_VALUE"""),0.24646185185185185)</f>
        <v>0.2464618519</v>
      </c>
      <c r="I857" s="15" t="str">
        <f>IFERROR(__xludf.DUMMYFUNCTION("""COMPUTED_VALUE"""),"")</f>
        <v/>
      </c>
      <c r="J857" s="15" t="str">
        <f>IFERROR(__xludf.DUMMYFUNCTION("""COMPUTED_VALUE"""),"")</f>
        <v/>
      </c>
      <c r="K857" s="15" t="str">
        <f>IFERROR(__xludf.DUMMYFUNCTION("""COMPUTED_VALUE"""),"")</f>
        <v/>
      </c>
      <c r="L857" s="15" t="str">
        <f>IFERROR(__xludf.DUMMYFUNCTION("""COMPUTED_VALUE"""),"")</f>
        <v/>
      </c>
    </row>
    <row r="858">
      <c r="A858" s="1" t="str">
        <f>IFERROR(__xludf.DUMMYFUNCTION("""COMPUTED_VALUE"""),"DSQ")</f>
        <v>DSQ</v>
      </c>
      <c r="B858" s="1">
        <f>IFERROR(__xludf.DUMMYFUNCTION("""COMPUTED_VALUE"""),10715.0)</f>
        <v>10715</v>
      </c>
      <c r="C858" s="13" t="str">
        <f>IFERROR(__xludf.DUMMYFUNCTION("""COMPUTED_VALUE"""),"DIRINTELKAM")</f>
        <v>DIRINTELKAM</v>
      </c>
      <c r="D858" s="2" t="str">
        <f>IFERROR(__xludf.DUMMYFUNCTION("""COMPUTED_VALUE"""),"10KM OVERALL M")</f>
        <v>10KM OVERALL M</v>
      </c>
      <c r="E858" s="1" t="str">
        <f>IFERROR(__xludf.DUMMYFUNCTION("""COMPUTED_VALUE"""),"DSQ")</f>
        <v>DSQ</v>
      </c>
      <c r="F858" s="1" t="str">
        <f>IFERROR(__xludf.DUMMYFUNCTION("""COMPUTED_VALUE"""),"Male")</f>
        <v>Male</v>
      </c>
      <c r="G858" s="5" t="str">
        <f>IFERROR(__xludf.DUMMYFUNCTION("""COMPUTED_VALUE"""),"")</f>
        <v/>
      </c>
      <c r="H858" s="14">
        <f>IFERROR(__xludf.DUMMYFUNCTION("""COMPUTED_VALUE"""),0.24646185185185185)</f>
        <v>0.2464618519</v>
      </c>
      <c r="I858" s="15" t="str">
        <f>IFERROR(__xludf.DUMMYFUNCTION("""COMPUTED_VALUE"""),"")</f>
        <v/>
      </c>
      <c r="J858" s="15" t="str">
        <f>IFERROR(__xludf.DUMMYFUNCTION("""COMPUTED_VALUE"""),"")</f>
        <v/>
      </c>
      <c r="K858" s="15" t="str">
        <f>IFERROR(__xludf.DUMMYFUNCTION("""COMPUTED_VALUE"""),"")</f>
        <v/>
      </c>
      <c r="L858" s="15" t="str">
        <f>IFERROR(__xludf.DUMMYFUNCTION("""COMPUTED_VALUE"""),"")</f>
        <v/>
      </c>
    </row>
    <row r="859">
      <c r="A859" s="1" t="str">
        <f>IFERROR(__xludf.DUMMYFUNCTION("""COMPUTED_VALUE"""),"DSQ")</f>
        <v>DSQ</v>
      </c>
      <c r="B859" s="1">
        <f>IFERROR(__xludf.DUMMYFUNCTION("""COMPUTED_VALUE"""),10716.0)</f>
        <v>10716</v>
      </c>
      <c r="C859" s="13" t="str">
        <f>IFERROR(__xludf.DUMMYFUNCTION("""COMPUTED_VALUE"""),"DIRLANTAS")</f>
        <v>DIRLANTAS</v>
      </c>
      <c r="D859" s="2" t="str">
        <f>IFERROR(__xludf.DUMMYFUNCTION("""COMPUTED_VALUE"""),"10KM OVERALL M")</f>
        <v>10KM OVERALL M</v>
      </c>
      <c r="E859" s="1" t="str">
        <f>IFERROR(__xludf.DUMMYFUNCTION("""COMPUTED_VALUE"""),"DSQ")</f>
        <v>DSQ</v>
      </c>
      <c r="F859" s="1" t="str">
        <f>IFERROR(__xludf.DUMMYFUNCTION("""COMPUTED_VALUE"""),"Male")</f>
        <v>Male</v>
      </c>
      <c r="G859" s="5" t="str">
        <f>IFERROR(__xludf.DUMMYFUNCTION("""COMPUTED_VALUE"""),"")</f>
        <v/>
      </c>
      <c r="H859" s="14">
        <f>IFERROR(__xludf.DUMMYFUNCTION("""COMPUTED_VALUE"""),0.24646185185185185)</f>
        <v>0.2464618519</v>
      </c>
      <c r="I859" s="15" t="str">
        <f>IFERROR(__xludf.DUMMYFUNCTION("""COMPUTED_VALUE"""),"")</f>
        <v/>
      </c>
      <c r="J859" s="15" t="str">
        <f>IFERROR(__xludf.DUMMYFUNCTION("""COMPUTED_VALUE"""),"")</f>
        <v/>
      </c>
      <c r="K859" s="15" t="str">
        <f>IFERROR(__xludf.DUMMYFUNCTION("""COMPUTED_VALUE"""),"")</f>
        <v/>
      </c>
      <c r="L859" s="15" t="str">
        <f>IFERROR(__xludf.DUMMYFUNCTION("""COMPUTED_VALUE"""),"")</f>
        <v/>
      </c>
    </row>
    <row r="860">
      <c r="A860" s="1" t="str">
        <f>IFERROR(__xludf.DUMMYFUNCTION("""COMPUTED_VALUE"""),"DSQ")</f>
        <v>DSQ</v>
      </c>
      <c r="B860" s="1">
        <f>IFERROR(__xludf.DUMMYFUNCTION("""COMPUTED_VALUE"""),10717.0)</f>
        <v>10717</v>
      </c>
      <c r="C860" s="13" t="str">
        <f>IFERROR(__xludf.DUMMYFUNCTION("""COMPUTED_VALUE"""),"DIRLANTAS")</f>
        <v>DIRLANTAS</v>
      </c>
      <c r="D860" s="2" t="str">
        <f>IFERROR(__xludf.DUMMYFUNCTION("""COMPUTED_VALUE"""),"10KM OVERALL M")</f>
        <v>10KM OVERALL M</v>
      </c>
      <c r="E860" s="1" t="str">
        <f>IFERROR(__xludf.DUMMYFUNCTION("""COMPUTED_VALUE"""),"DSQ")</f>
        <v>DSQ</v>
      </c>
      <c r="F860" s="1" t="str">
        <f>IFERROR(__xludf.DUMMYFUNCTION("""COMPUTED_VALUE"""),"Male")</f>
        <v>Male</v>
      </c>
      <c r="G860" s="5" t="str">
        <f>IFERROR(__xludf.DUMMYFUNCTION("""COMPUTED_VALUE"""),"")</f>
        <v/>
      </c>
      <c r="H860" s="14">
        <f>IFERROR(__xludf.DUMMYFUNCTION("""COMPUTED_VALUE"""),0.24646185185185185)</f>
        <v>0.2464618519</v>
      </c>
      <c r="I860" s="15" t="str">
        <f>IFERROR(__xludf.DUMMYFUNCTION("""COMPUTED_VALUE"""),"")</f>
        <v/>
      </c>
      <c r="J860" s="15" t="str">
        <f>IFERROR(__xludf.DUMMYFUNCTION("""COMPUTED_VALUE"""),"")</f>
        <v/>
      </c>
      <c r="K860" s="15" t="str">
        <f>IFERROR(__xludf.DUMMYFUNCTION("""COMPUTED_VALUE"""),"")</f>
        <v/>
      </c>
      <c r="L860" s="15" t="str">
        <f>IFERROR(__xludf.DUMMYFUNCTION("""COMPUTED_VALUE"""),"")</f>
        <v/>
      </c>
    </row>
    <row r="861">
      <c r="A861" s="1" t="str">
        <f>IFERROR(__xludf.DUMMYFUNCTION("""COMPUTED_VALUE"""),"DSQ")</f>
        <v>DSQ</v>
      </c>
      <c r="B861" s="1">
        <f>IFERROR(__xludf.DUMMYFUNCTION("""COMPUTED_VALUE"""),10718.0)</f>
        <v>10718</v>
      </c>
      <c r="C861" s="13" t="str">
        <f>IFERROR(__xludf.DUMMYFUNCTION("""COMPUTED_VALUE"""),"DIRLANTAS")</f>
        <v>DIRLANTAS</v>
      </c>
      <c r="D861" s="2" t="str">
        <f>IFERROR(__xludf.DUMMYFUNCTION("""COMPUTED_VALUE"""),"10KM OVERALL M")</f>
        <v>10KM OVERALL M</v>
      </c>
      <c r="E861" s="1" t="str">
        <f>IFERROR(__xludf.DUMMYFUNCTION("""COMPUTED_VALUE"""),"DSQ")</f>
        <v>DSQ</v>
      </c>
      <c r="F861" s="1" t="str">
        <f>IFERROR(__xludf.DUMMYFUNCTION("""COMPUTED_VALUE"""),"Male")</f>
        <v>Male</v>
      </c>
      <c r="G861" s="5" t="str">
        <f>IFERROR(__xludf.DUMMYFUNCTION("""COMPUTED_VALUE"""),"")</f>
        <v/>
      </c>
      <c r="H861" s="14">
        <f>IFERROR(__xludf.DUMMYFUNCTION("""COMPUTED_VALUE"""),0.24646185185185185)</f>
        <v>0.2464618519</v>
      </c>
      <c r="I861" s="15" t="str">
        <f>IFERROR(__xludf.DUMMYFUNCTION("""COMPUTED_VALUE"""),"")</f>
        <v/>
      </c>
      <c r="J861" s="15" t="str">
        <f>IFERROR(__xludf.DUMMYFUNCTION("""COMPUTED_VALUE"""),"")</f>
        <v/>
      </c>
      <c r="K861" s="15" t="str">
        <f>IFERROR(__xludf.DUMMYFUNCTION("""COMPUTED_VALUE"""),"")</f>
        <v/>
      </c>
      <c r="L861" s="15" t="str">
        <f>IFERROR(__xludf.DUMMYFUNCTION("""COMPUTED_VALUE"""),"")</f>
        <v/>
      </c>
    </row>
    <row r="862">
      <c r="A862" s="1" t="str">
        <f>IFERROR(__xludf.DUMMYFUNCTION("""COMPUTED_VALUE"""),"DSQ")</f>
        <v>DSQ</v>
      </c>
      <c r="B862" s="1">
        <f>IFERROR(__xludf.DUMMYFUNCTION("""COMPUTED_VALUE"""),10719.0)</f>
        <v>10719</v>
      </c>
      <c r="C862" s="13" t="str">
        <f>IFERROR(__xludf.DUMMYFUNCTION("""COMPUTED_VALUE"""),"DIRLANTAS")</f>
        <v>DIRLANTAS</v>
      </c>
      <c r="D862" s="2" t="str">
        <f>IFERROR(__xludf.DUMMYFUNCTION("""COMPUTED_VALUE"""),"10KM OVERALL M")</f>
        <v>10KM OVERALL M</v>
      </c>
      <c r="E862" s="1" t="str">
        <f>IFERROR(__xludf.DUMMYFUNCTION("""COMPUTED_VALUE"""),"DSQ")</f>
        <v>DSQ</v>
      </c>
      <c r="F862" s="1" t="str">
        <f>IFERROR(__xludf.DUMMYFUNCTION("""COMPUTED_VALUE"""),"Male")</f>
        <v>Male</v>
      </c>
      <c r="G862" s="5" t="str">
        <f>IFERROR(__xludf.DUMMYFUNCTION("""COMPUTED_VALUE"""),"")</f>
        <v/>
      </c>
      <c r="H862" s="14">
        <f>IFERROR(__xludf.DUMMYFUNCTION("""COMPUTED_VALUE"""),0.24646185185185185)</f>
        <v>0.2464618519</v>
      </c>
      <c r="I862" s="15" t="str">
        <f>IFERROR(__xludf.DUMMYFUNCTION("""COMPUTED_VALUE"""),"")</f>
        <v/>
      </c>
      <c r="J862" s="15" t="str">
        <f>IFERROR(__xludf.DUMMYFUNCTION("""COMPUTED_VALUE"""),"")</f>
        <v/>
      </c>
      <c r="K862" s="15" t="str">
        <f>IFERROR(__xludf.DUMMYFUNCTION("""COMPUTED_VALUE"""),"")</f>
        <v/>
      </c>
      <c r="L862" s="15" t="str">
        <f>IFERROR(__xludf.DUMMYFUNCTION("""COMPUTED_VALUE"""),"")</f>
        <v/>
      </c>
    </row>
    <row r="863">
      <c r="A863" s="1" t="str">
        <f>IFERROR(__xludf.DUMMYFUNCTION("""COMPUTED_VALUE"""),"DSQ")</f>
        <v>DSQ</v>
      </c>
      <c r="B863" s="1">
        <f>IFERROR(__xludf.DUMMYFUNCTION("""COMPUTED_VALUE"""),10720.0)</f>
        <v>10720</v>
      </c>
      <c r="C863" s="13" t="str">
        <f>IFERROR(__xludf.DUMMYFUNCTION("""COMPUTED_VALUE"""),"KAROSDM")</f>
        <v>KAROSDM</v>
      </c>
      <c r="D863" s="2" t="str">
        <f>IFERROR(__xludf.DUMMYFUNCTION("""COMPUTED_VALUE"""),"10KM OVERALL M")</f>
        <v>10KM OVERALL M</v>
      </c>
      <c r="E863" s="1" t="str">
        <f>IFERROR(__xludf.DUMMYFUNCTION("""COMPUTED_VALUE"""),"DSQ")</f>
        <v>DSQ</v>
      </c>
      <c r="F863" s="1" t="str">
        <f>IFERROR(__xludf.DUMMYFUNCTION("""COMPUTED_VALUE"""),"Male")</f>
        <v>Male</v>
      </c>
      <c r="G863" s="5" t="str">
        <f>IFERROR(__xludf.DUMMYFUNCTION("""COMPUTED_VALUE"""),"")</f>
        <v/>
      </c>
      <c r="H863" s="14">
        <f>IFERROR(__xludf.DUMMYFUNCTION("""COMPUTED_VALUE"""),0.24646185185185185)</f>
        <v>0.2464618519</v>
      </c>
      <c r="I863" s="15" t="str">
        <f>IFERROR(__xludf.DUMMYFUNCTION("""COMPUTED_VALUE"""),"")</f>
        <v/>
      </c>
      <c r="J863" s="15" t="str">
        <f>IFERROR(__xludf.DUMMYFUNCTION("""COMPUTED_VALUE"""),"")</f>
        <v/>
      </c>
      <c r="K863" s="15" t="str">
        <f>IFERROR(__xludf.DUMMYFUNCTION("""COMPUTED_VALUE"""),"")</f>
        <v/>
      </c>
      <c r="L863" s="15" t="str">
        <f>IFERROR(__xludf.DUMMYFUNCTION("""COMPUTED_VALUE"""),"")</f>
        <v/>
      </c>
    </row>
    <row r="864">
      <c r="A864" s="1" t="str">
        <f>IFERROR(__xludf.DUMMYFUNCTION("""COMPUTED_VALUE"""),"DSQ")</f>
        <v>DSQ</v>
      </c>
      <c r="B864" s="1">
        <f>IFERROR(__xludf.DUMMYFUNCTION("""COMPUTED_VALUE"""),10721.0)</f>
        <v>10721</v>
      </c>
      <c r="C864" s="13" t="str">
        <f>IFERROR(__xludf.DUMMYFUNCTION("""COMPUTED_VALUE"""),"KAROSDM")</f>
        <v>KAROSDM</v>
      </c>
      <c r="D864" s="2" t="str">
        <f>IFERROR(__xludf.DUMMYFUNCTION("""COMPUTED_VALUE"""),"10KM OVERALL M")</f>
        <v>10KM OVERALL M</v>
      </c>
      <c r="E864" s="1" t="str">
        <f>IFERROR(__xludf.DUMMYFUNCTION("""COMPUTED_VALUE"""),"DSQ")</f>
        <v>DSQ</v>
      </c>
      <c r="F864" s="1" t="str">
        <f>IFERROR(__xludf.DUMMYFUNCTION("""COMPUTED_VALUE"""),"Male")</f>
        <v>Male</v>
      </c>
      <c r="G864" s="5" t="str">
        <f>IFERROR(__xludf.DUMMYFUNCTION("""COMPUTED_VALUE"""),"")</f>
        <v/>
      </c>
      <c r="H864" s="14">
        <f>IFERROR(__xludf.DUMMYFUNCTION("""COMPUTED_VALUE"""),0.24646185185185185)</f>
        <v>0.2464618519</v>
      </c>
      <c r="I864" s="15" t="str">
        <f>IFERROR(__xludf.DUMMYFUNCTION("""COMPUTED_VALUE"""),"")</f>
        <v/>
      </c>
      <c r="J864" s="15" t="str">
        <f>IFERROR(__xludf.DUMMYFUNCTION("""COMPUTED_VALUE"""),"")</f>
        <v/>
      </c>
      <c r="K864" s="15" t="str">
        <f>IFERROR(__xludf.DUMMYFUNCTION("""COMPUTED_VALUE"""),"")</f>
        <v/>
      </c>
      <c r="L864" s="15" t="str">
        <f>IFERROR(__xludf.DUMMYFUNCTION("""COMPUTED_VALUE"""),"")</f>
        <v/>
      </c>
    </row>
    <row r="865">
      <c r="A865" s="1" t="str">
        <f>IFERROR(__xludf.DUMMYFUNCTION("""COMPUTED_VALUE"""),"DSQ")</f>
        <v>DSQ</v>
      </c>
      <c r="B865" s="1">
        <f>IFERROR(__xludf.DUMMYFUNCTION("""COMPUTED_VALUE"""),10723.0)</f>
        <v>10723</v>
      </c>
      <c r="C865" s="13" t="str">
        <f>IFERROR(__xludf.DUMMYFUNCTION("""COMPUTED_VALUE"""),"KAROSDM")</f>
        <v>KAROSDM</v>
      </c>
      <c r="D865" s="2" t="str">
        <f>IFERROR(__xludf.DUMMYFUNCTION("""COMPUTED_VALUE"""),"10KM OVERALL M")</f>
        <v>10KM OVERALL M</v>
      </c>
      <c r="E865" s="1" t="str">
        <f>IFERROR(__xludf.DUMMYFUNCTION("""COMPUTED_VALUE"""),"DSQ")</f>
        <v>DSQ</v>
      </c>
      <c r="F865" s="1" t="str">
        <f>IFERROR(__xludf.DUMMYFUNCTION("""COMPUTED_VALUE"""),"Male")</f>
        <v>Male</v>
      </c>
      <c r="G865" s="5" t="str">
        <f>IFERROR(__xludf.DUMMYFUNCTION("""COMPUTED_VALUE"""),"")</f>
        <v/>
      </c>
      <c r="H865" s="14">
        <f>IFERROR(__xludf.DUMMYFUNCTION("""COMPUTED_VALUE"""),0.24646185185185185)</f>
        <v>0.2464618519</v>
      </c>
      <c r="I865" s="15" t="str">
        <f>IFERROR(__xludf.DUMMYFUNCTION("""COMPUTED_VALUE"""),"")</f>
        <v/>
      </c>
      <c r="J865" s="15" t="str">
        <f>IFERROR(__xludf.DUMMYFUNCTION("""COMPUTED_VALUE"""),"")</f>
        <v/>
      </c>
      <c r="K865" s="15" t="str">
        <f>IFERROR(__xludf.DUMMYFUNCTION("""COMPUTED_VALUE"""),"")</f>
        <v/>
      </c>
      <c r="L865" s="15" t="str">
        <f>IFERROR(__xludf.DUMMYFUNCTION("""COMPUTED_VALUE"""),"")</f>
        <v/>
      </c>
    </row>
    <row r="866">
      <c r="A866" s="1" t="str">
        <f>IFERROR(__xludf.DUMMYFUNCTION("""COMPUTED_VALUE"""),"DSQ")</f>
        <v>DSQ</v>
      </c>
      <c r="B866" s="1">
        <f>IFERROR(__xludf.DUMMYFUNCTION("""COMPUTED_VALUE"""),10728.0)</f>
        <v>10728</v>
      </c>
      <c r="C866" s="13" t="str">
        <f>IFERROR(__xludf.DUMMYFUNCTION("""COMPUTED_VALUE"""),"YOKO")</f>
        <v>YOKO</v>
      </c>
      <c r="D866" s="2" t="str">
        <f>IFERROR(__xludf.DUMMYFUNCTION("""COMPUTED_VALUE"""),"10KM OVERALL M")</f>
        <v>10KM OVERALL M</v>
      </c>
      <c r="E866" s="1" t="str">
        <f>IFERROR(__xludf.DUMMYFUNCTION("""COMPUTED_VALUE"""),"DSQ")</f>
        <v>DSQ</v>
      </c>
      <c r="F866" s="1" t="str">
        <f>IFERROR(__xludf.DUMMYFUNCTION("""COMPUTED_VALUE"""),"Male")</f>
        <v>Male</v>
      </c>
      <c r="G866" s="5" t="str">
        <f>IFERROR(__xludf.DUMMYFUNCTION("""COMPUTED_VALUE"""),"")</f>
        <v/>
      </c>
      <c r="H866" s="14">
        <f>IFERROR(__xludf.DUMMYFUNCTION("""COMPUTED_VALUE"""),0.24646185185185185)</f>
        <v>0.2464618519</v>
      </c>
      <c r="I866" s="15" t="str">
        <f>IFERROR(__xludf.DUMMYFUNCTION("""COMPUTED_VALUE"""),"")</f>
        <v/>
      </c>
      <c r="J866" s="15" t="str">
        <f>IFERROR(__xludf.DUMMYFUNCTION("""COMPUTED_VALUE"""),"")</f>
        <v/>
      </c>
      <c r="K866" s="15" t="str">
        <f>IFERROR(__xludf.DUMMYFUNCTION("""COMPUTED_VALUE"""),"")</f>
        <v/>
      </c>
      <c r="L866" s="15" t="str">
        <f>IFERROR(__xludf.DUMMYFUNCTION("""COMPUTED_VALUE"""),"")</f>
        <v/>
      </c>
    </row>
    <row r="867">
      <c r="A867" s="1" t="str">
        <f>IFERROR(__xludf.DUMMYFUNCTION("""COMPUTED_VALUE"""),"DSQ")</f>
        <v>DSQ</v>
      </c>
      <c r="B867" s="1">
        <f>IFERROR(__xludf.DUMMYFUNCTION("""COMPUTED_VALUE"""),10747.0)</f>
        <v>10747</v>
      </c>
      <c r="C867" s="13" t="str">
        <f>IFERROR(__xludf.DUMMYFUNCTION("""COMPUTED_VALUE"""),"AZWAR HADI")</f>
        <v>AZWAR HADI</v>
      </c>
      <c r="D867" s="2" t="str">
        <f>IFERROR(__xludf.DUMMYFUNCTION("""COMPUTED_VALUE"""),"10KM OVERALL M")</f>
        <v>10KM OVERALL M</v>
      </c>
      <c r="E867" s="1" t="str">
        <f>IFERROR(__xludf.DUMMYFUNCTION("""COMPUTED_VALUE"""),"DSQ")</f>
        <v>DSQ</v>
      </c>
      <c r="F867" s="1" t="str">
        <f>IFERROR(__xludf.DUMMYFUNCTION("""COMPUTED_VALUE"""),"Male")</f>
        <v>Male</v>
      </c>
      <c r="G867" s="5" t="str">
        <f>IFERROR(__xludf.DUMMYFUNCTION("""COMPUTED_VALUE"""),"")</f>
        <v/>
      </c>
      <c r="H867" s="14">
        <f>IFERROR(__xludf.DUMMYFUNCTION("""COMPUTED_VALUE"""),0.24646185185185185)</f>
        <v>0.2464618519</v>
      </c>
      <c r="I867" s="15" t="str">
        <f>IFERROR(__xludf.DUMMYFUNCTION("""COMPUTED_VALUE"""),"")</f>
        <v/>
      </c>
      <c r="J867" s="15" t="str">
        <f>IFERROR(__xludf.DUMMYFUNCTION("""COMPUTED_VALUE"""),"")</f>
        <v/>
      </c>
      <c r="K867" s="15" t="str">
        <f>IFERROR(__xludf.DUMMYFUNCTION("""COMPUTED_VALUE"""),"")</f>
        <v/>
      </c>
      <c r="L867" s="15" t="str">
        <f>IFERROR(__xludf.DUMMYFUNCTION("""COMPUTED_VALUE"""),"")</f>
        <v/>
      </c>
    </row>
    <row r="868">
      <c r="A868" s="1" t="str">
        <f>IFERROR(__xludf.DUMMYFUNCTION("""COMPUTED_VALUE"""),"DSQ")</f>
        <v>DSQ</v>
      </c>
      <c r="B868" s="1">
        <f>IFERROR(__xludf.DUMMYFUNCTION("""COMPUTED_VALUE"""),10750.0)</f>
        <v>10750</v>
      </c>
      <c r="C868" s="13" t="str">
        <f>IFERROR(__xludf.DUMMYFUNCTION("""COMPUTED_VALUE"""),"HERU SETIAWAN")</f>
        <v>HERU SETIAWAN</v>
      </c>
      <c r="D868" s="2" t="str">
        <f>IFERROR(__xludf.DUMMYFUNCTION("""COMPUTED_VALUE"""),"10KM OVERALL M")</f>
        <v>10KM OVERALL M</v>
      </c>
      <c r="E868" s="1" t="str">
        <f>IFERROR(__xludf.DUMMYFUNCTION("""COMPUTED_VALUE"""),"DSQ")</f>
        <v>DSQ</v>
      </c>
      <c r="F868" s="1" t="str">
        <f>IFERROR(__xludf.DUMMYFUNCTION("""COMPUTED_VALUE"""),"Male")</f>
        <v>Male</v>
      </c>
      <c r="G868" s="5" t="str">
        <f>IFERROR(__xludf.DUMMYFUNCTION("""COMPUTED_VALUE"""),"")</f>
        <v/>
      </c>
      <c r="H868" s="14">
        <f>IFERROR(__xludf.DUMMYFUNCTION("""COMPUTED_VALUE"""),0.24646185185185185)</f>
        <v>0.2464618519</v>
      </c>
      <c r="I868" s="15" t="str">
        <f>IFERROR(__xludf.DUMMYFUNCTION("""COMPUTED_VALUE"""),"")</f>
        <v/>
      </c>
      <c r="J868" s="15" t="str">
        <f>IFERROR(__xludf.DUMMYFUNCTION("""COMPUTED_VALUE"""),"")</f>
        <v/>
      </c>
      <c r="K868" s="15" t="str">
        <f>IFERROR(__xludf.DUMMYFUNCTION("""COMPUTED_VALUE"""),"")</f>
        <v/>
      </c>
      <c r="L868" s="15" t="str">
        <f>IFERROR(__xludf.DUMMYFUNCTION("""COMPUTED_VALUE"""),"")</f>
        <v/>
      </c>
    </row>
    <row r="869">
      <c r="A869" s="1" t="str">
        <f>IFERROR(__xludf.DUMMYFUNCTION("""COMPUTED_VALUE"""),"DSQ")</f>
        <v>DSQ</v>
      </c>
      <c r="B869" s="1">
        <f>IFERROR(__xludf.DUMMYFUNCTION("""COMPUTED_VALUE"""),10755.0)</f>
        <v>10755</v>
      </c>
      <c r="C869" s="13" t="str">
        <f>IFERROR(__xludf.DUMMYFUNCTION("""COMPUTED_VALUE"""),"VRESTY")</f>
        <v>VRESTY</v>
      </c>
      <c r="D869" s="2" t="str">
        <f>IFERROR(__xludf.DUMMYFUNCTION("""COMPUTED_VALUE"""),"10KM OVERALL M")</f>
        <v>10KM OVERALL M</v>
      </c>
      <c r="E869" s="1" t="str">
        <f>IFERROR(__xludf.DUMMYFUNCTION("""COMPUTED_VALUE"""),"DSQ")</f>
        <v>DSQ</v>
      </c>
      <c r="F869" s="1" t="str">
        <f>IFERROR(__xludf.DUMMYFUNCTION("""COMPUTED_VALUE"""),"Female")</f>
        <v>Female</v>
      </c>
      <c r="G869" s="5" t="str">
        <f>IFERROR(__xludf.DUMMYFUNCTION("""COMPUTED_VALUE"""),"")</f>
        <v/>
      </c>
      <c r="H869" s="14">
        <f>IFERROR(__xludf.DUMMYFUNCTION("""COMPUTED_VALUE"""),0.24646185185185185)</f>
        <v>0.2464618519</v>
      </c>
      <c r="I869" s="15" t="str">
        <f>IFERROR(__xludf.DUMMYFUNCTION("""COMPUTED_VALUE"""),"")</f>
        <v/>
      </c>
      <c r="J869" s="15" t="str">
        <f>IFERROR(__xludf.DUMMYFUNCTION("""COMPUTED_VALUE"""),"")</f>
        <v/>
      </c>
      <c r="K869" s="15" t="str">
        <f>IFERROR(__xludf.DUMMYFUNCTION("""COMPUTED_VALUE"""),"")</f>
        <v/>
      </c>
      <c r="L869" s="15" t="str">
        <f>IFERROR(__xludf.DUMMYFUNCTION("""COMPUTED_VALUE"""),"")</f>
        <v/>
      </c>
    </row>
    <row r="870">
      <c r="A870" s="1" t="str">
        <f>IFERROR(__xludf.DUMMYFUNCTION("""COMPUTED_VALUE"""),"DSQ")</f>
        <v>DSQ</v>
      </c>
      <c r="B870" s="1">
        <f>IFERROR(__xludf.DUMMYFUNCTION("""COMPUTED_VALUE"""),10759.0)</f>
        <v>10759</v>
      </c>
      <c r="C870" s="13" t="str">
        <f>IFERROR(__xludf.DUMMYFUNCTION("""COMPUTED_VALUE"""),"POLRES BJB")</f>
        <v>POLRES BJB</v>
      </c>
      <c r="D870" s="2" t="str">
        <f>IFERROR(__xludf.DUMMYFUNCTION("""COMPUTED_VALUE"""),"10KM OVERALL M")</f>
        <v>10KM OVERALL M</v>
      </c>
      <c r="E870" s="1" t="str">
        <f>IFERROR(__xludf.DUMMYFUNCTION("""COMPUTED_VALUE"""),"DSQ")</f>
        <v>DSQ</v>
      </c>
      <c r="F870" s="1" t="str">
        <f>IFERROR(__xludf.DUMMYFUNCTION("""COMPUTED_VALUE"""),"Male")</f>
        <v>Male</v>
      </c>
      <c r="G870" s="5" t="str">
        <f>IFERROR(__xludf.DUMMYFUNCTION("""COMPUTED_VALUE"""),"")</f>
        <v/>
      </c>
      <c r="H870" s="14">
        <f>IFERROR(__xludf.DUMMYFUNCTION("""COMPUTED_VALUE"""),0.24646185185185185)</f>
        <v>0.2464618519</v>
      </c>
      <c r="I870" s="15" t="str">
        <f>IFERROR(__xludf.DUMMYFUNCTION("""COMPUTED_VALUE"""),"")</f>
        <v/>
      </c>
      <c r="J870" s="15" t="str">
        <f>IFERROR(__xludf.DUMMYFUNCTION("""COMPUTED_VALUE"""),"")</f>
        <v/>
      </c>
      <c r="K870" s="15" t="str">
        <f>IFERROR(__xludf.DUMMYFUNCTION("""COMPUTED_VALUE"""),"")</f>
        <v/>
      </c>
      <c r="L870" s="15" t="str">
        <f>IFERROR(__xludf.DUMMYFUNCTION("""COMPUTED_VALUE"""),"")</f>
        <v/>
      </c>
    </row>
    <row r="871">
      <c r="A871" s="1" t="str">
        <f>IFERROR(__xludf.DUMMYFUNCTION("""COMPUTED_VALUE"""),"DSQ")</f>
        <v>DSQ</v>
      </c>
      <c r="B871" s="1">
        <f>IFERROR(__xludf.DUMMYFUNCTION("""COMPUTED_VALUE"""),10760.0)</f>
        <v>10760</v>
      </c>
      <c r="C871" s="13" t="str">
        <f>IFERROR(__xludf.DUMMYFUNCTION("""COMPUTED_VALUE"""),"POLRES BJB")</f>
        <v>POLRES BJB</v>
      </c>
      <c r="D871" s="2" t="str">
        <f>IFERROR(__xludf.DUMMYFUNCTION("""COMPUTED_VALUE"""),"10KM OVERALL M")</f>
        <v>10KM OVERALL M</v>
      </c>
      <c r="E871" s="1" t="str">
        <f>IFERROR(__xludf.DUMMYFUNCTION("""COMPUTED_VALUE"""),"DSQ")</f>
        <v>DSQ</v>
      </c>
      <c r="F871" s="1" t="str">
        <f>IFERROR(__xludf.DUMMYFUNCTION("""COMPUTED_VALUE"""),"Male")</f>
        <v>Male</v>
      </c>
      <c r="G871" s="5" t="str">
        <f>IFERROR(__xludf.DUMMYFUNCTION("""COMPUTED_VALUE"""),"")</f>
        <v/>
      </c>
      <c r="H871" s="14">
        <f>IFERROR(__xludf.DUMMYFUNCTION("""COMPUTED_VALUE"""),0.24646185185185185)</f>
        <v>0.2464618519</v>
      </c>
      <c r="I871" s="15" t="str">
        <f>IFERROR(__xludf.DUMMYFUNCTION("""COMPUTED_VALUE"""),"")</f>
        <v/>
      </c>
      <c r="J871" s="15" t="str">
        <f>IFERROR(__xludf.DUMMYFUNCTION("""COMPUTED_VALUE"""),"")</f>
        <v/>
      </c>
      <c r="K871" s="15" t="str">
        <f>IFERROR(__xludf.DUMMYFUNCTION("""COMPUTED_VALUE"""),"")</f>
        <v/>
      </c>
      <c r="L871" s="15" t="str">
        <f>IFERROR(__xludf.DUMMYFUNCTION("""COMPUTED_VALUE"""),"")</f>
        <v/>
      </c>
    </row>
    <row r="872">
      <c r="A872" s="1" t="str">
        <f>IFERROR(__xludf.DUMMYFUNCTION("""COMPUTED_VALUE"""),"DSQ")</f>
        <v>DSQ</v>
      </c>
      <c r="B872" s="1">
        <f>IFERROR(__xludf.DUMMYFUNCTION("""COMPUTED_VALUE"""),10761.0)</f>
        <v>10761</v>
      </c>
      <c r="C872" s="13" t="str">
        <f>IFERROR(__xludf.DUMMYFUNCTION("""COMPUTED_VALUE"""),"DIR INTEL")</f>
        <v>DIR INTEL</v>
      </c>
      <c r="D872" s="2" t="str">
        <f>IFERROR(__xludf.DUMMYFUNCTION("""COMPUTED_VALUE"""),"10KM OVERALL M")</f>
        <v>10KM OVERALL M</v>
      </c>
      <c r="E872" s="1" t="str">
        <f>IFERROR(__xludf.DUMMYFUNCTION("""COMPUTED_VALUE"""),"DSQ")</f>
        <v>DSQ</v>
      </c>
      <c r="F872" s="1" t="str">
        <f>IFERROR(__xludf.DUMMYFUNCTION("""COMPUTED_VALUE"""),"Female")</f>
        <v>Female</v>
      </c>
      <c r="G872" s="5" t="str">
        <f>IFERROR(__xludf.DUMMYFUNCTION("""COMPUTED_VALUE"""),"")</f>
        <v/>
      </c>
      <c r="H872" s="14">
        <f>IFERROR(__xludf.DUMMYFUNCTION("""COMPUTED_VALUE"""),0.24646185185185185)</f>
        <v>0.2464618519</v>
      </c>
      <c r="I872" s="15" t="str">
        <f>IFERROR(__xludf.DUMMYFUNCTION("""COMPUTED_VALUE"""),"")</f>
        <v/>
      </c>
      <c r="J872" s="15" t="str">
        <f>IFERROR(__xludf.DUMMYFUNCTION("""COMPUTED_VALUE"""),"")</f>
        <v/>
      </c>
      <c r="K872" s="15" t="str">
        <f>IFERROR(__xludf.DUMMYFUNCTION("""COMPUTED_VALUE"""),"")</f>
        <v/>
      </c>
      <c r="L872" s="15" t="str">
        <f>IFERROR(__xludf.DUMMYFUNCTION("""COMPUTED_VALUE"""),"")</f>
        <v/>
      </c>
    </row>
    <row r="873">
      <c r="A873" s="1" t="str">
        <f>IFERROR(__xludf.DUMMYFUNCTION("""COMPUTED_VALUE"""),"DSQ")</f>
        <v>DSQ</v>
      </c>
      <c r="B873" s="1">
        <f>IFERROR(__xludf.DUMMYFUNCTION("""COMPUTED_VALUE"""),10765.0)</f>
        <v>10765</v>
      </c>
      <c r="C873" s="13" t="str">
        <f>IFERROR(__xludf.DUMMYFUNCTION("""COMPUTED_VALUE"""),"RANA")</f>
        <v>RANA</v>
      </c>
      <c r="D873" s="2" t="str">
        <f>IFERROR(__xludf.DUMMYFUNCTION("""COMPUTED_VALUE"""),"10KM OVERALL M")</f>
        <v>10KM OVERALL M</v>
      </c>
      <c r="E873" s="1" t="str">
        <f>IFERROR(__xludf.DUMMYFUNCTION("""COMPUTED_VALUE"""),"DSQ")</f>
        <v>DSQ</v>
      </c>
      <c r="F873" s="1" t="str">
        <f>IFERROR(__xludf.DUMMYFUNCTION("""COMPUTED_VALUE"""),"Female")</f>
        <v>Female</v>
      </c>
      <c r="G873" s="5" t="str">
        <f>IFERROR(__xludf.DUMMYFUNCTION("""COMPUTED_VALUE"""),"")</f>
        <v/>
      </c>
      <c r="H873" s="14">
        <f>IFERROR(__xludf.DUMMYFUNCTION("""COMPUTED_VALUE"""),0.24646185185185185)</f>
        <v>0.2464618519</v>
      </c>
      <c r="I873" s="15" t="str">
        <f>IFERROR(__xludf.DUMMYFUNCTION("""COMPUTED_VALUE"""),"")</f>
        <v/>
      </c>
      <c r="J873" s="15" t="str">
        <f>IFERROR(__xludf.DUMMYFUNCTION("""COMPUTED_VALUE"""),"")</f>
        <v/>
      </c>
      <c r="K873" s="15" t="str">
        <f>IFERROR(__xludf.DUMMYFUNCTION("""COMPUTED_VALUE"""),"")</f>
        <v/>
      </c>
      <c r="L873" s="15" t="str">
        <f>IFERROR(__xludf.DUMMYFUNCTION("""COMPUTED_VALUE"""),"")</f>
        <v/>
      </c>
    </row>
    <row r="874">
      <c r="A874" s="1" t="str">
        <f>IFERROR(__xludf.DUMMYFUNCTION("""COMPUTED_VALUE"""),"DSQ")</f>
        <v>DSQ</v>
      </c>
      <c r="B874" s="1">
        <f>IFERROR(__xludf.DUMMYFUNCTION("""COMPUTED_VALUE"""),10767.0)</f>
        <v>10767</v>
      </c>
      <c r="C874" s="13" t="str">
        <f>IFERROR(__xludf.DUMMYFUNCTION("""COMPUTED_VALUE"""),"DEDI GUNAWAN")</f>
        <v>DEDI GUNAWAN</v>
      </c>
      <c r="D874" s="2" t="str">
        <f>IFERROR(__xludf.DUMMYFUNCTION("""COMPUTED_VALUE"""),"10KM OVERALL M")</f>
        <v>10KM OVERALL M</v>
      </c>
      <c r="E874" s="1" t="str">
        <f>IFERROR(__xludf.DUMMYFUNCTION("""COMPUTED_VALUE"""),"DSQ")</f>
        <v>DSQ</v>
      </c>
      <c r="F874" s="1" t="str">
        <f>IFERROR(__xludf.DUMMYFUNCTION("""COMPUTED_VALUE"""),"Female")</f>
        <v>Female</v>
      </c>
      <c r="G874" s="5" t="str">
        <f>IFERROR(__xludf.DUMMYFUNCTION("""COMPUTED_VALUE"""),"")</f>
        <v/>
      </c>
      <c r="H874" s="14">
        <f>IFERROR(__xludf.DUMMYFUNCTION("""COMPUTED_VALUE"""),0.24646185185185185)</f>
        <v>0.2464618519</v>
      </c>
      <c r="I874" s="15" t="str">
        <f>IFERROR(__xludf.DUMMYFUNCTION("""COMPUTED_VALUE"""),"")</f>
        <v/>
      </c>
      <c r="J874" s="15" t="str">
        <f>IFERROR(__xludf.DUMMYFUNCTION("""COMPUTED_VALUE"""),"")</f>
        <v/>
      </c>
      <c r="K874" s="15" t="str">
        <f>IFERROR(__xludf.DUMMYFUNCTION("""COMPUTED_VALUE"""),"")</f>
        <v/>
      </c>
      <c r="L874" s="15" t="str">
        <f>IFERROR(__xludf.DUMMYFUNCTION("""COMPUTED_VALUE"""),"")</f>
        <v/>
      </c>
    </row>
    <row r="875">
      <c r="A875" s="1" t="str">
        <f>IFERROR(__xludf.DUMMYFUNCTION("""COMPUTED_VALUE"""),"DSQ")</f>
        <v>DSQ</v>
      </c>
      <c r="B875" s="1">
        <f>IFERROR(__xludf.DUMMYFUNCTION("""COMPUTED_VALUE"""),10768.0)</f>
        <v>10768</v>
      </c>
      <c r="C875" s="13" t="str">
        <f>IFERROR(__xludf.DUMMYFUNCTION("""COMPUTED_VALUE"""),"ADI SARMA")</f>
        <v>ADI SARMA</v>
      </c>
      <c r="D875" s="2" t="str">
        <f>IFERROR(__xludf.DUMMYFUNCTION("""COMPUTED_VALUE"""),"10KM OVERALL M")</f>
        <v>10KM OVERALL M</v>
      </c>
      <c r="E875" s="1" t="str">
        <f>IFERROR(__xludf.DUMMYFUNCTION("""COMPUTED_VALUE"""),"DSQ")</f>
        <v>DSQ</v>
      </c>
      <c r="F875" s="1" t="str">
        <f>IFERROR(__xludf.DUMMYFUNCTION("""COMPUTED_VALUE"""),"Female")</f>
        <v>Female</v>
      </c>
      <c r="G875" s="5" t="str">
        <f>IFERROR(__xludf.DUMMYFUNCTION("""COMPUTED_VALUE"""),"")</f>
        <v/>
      </c>
      <c r="H875" s="14">
        <f>IFERROR(__xludf.DUMMYFUNCTION("""COMPUTED_VALUE"""),0.24646185185185185)</f>
        <v>0.2464618519</v>
      </c>
      <c r="I875" s="15" t="str">
        <f>IFERROR(__xludf.DUMMYFUNCTION("""COMPUTED_VALUE"""),"")</f>
        <v/>
      </c>
      <c r="J875" s="15" t="str">
        <f>IFERROR(__xludf.DUMMYFUNCTION("""COMPUTED_VALUE"""),"")</f>
        <v/>
      </c>
      <c r="K875" s="15" t="str">
        <f>IFERROR(__xludf.DUMMYFUNCTION("""COMPUTED_VALUE"""),"")</f>
        <v/>
      </c>
      <c r="L875" s="15" t="str">
        <f>IFERROR(__xludf.DUMMYFUNCTION("""COMPUTED_VALUE"""),"")</f>
        <v/>
      </c>
    </row>
    <row r="876">
      <c r="A876" s="1" t="str">
        <f>IFERROR(__xludf.DUMMYFUNCTION("""COMPUTED_VALUE"""),"DSQ")</f>
        <v>DSQ</v>
      </c>
      <c r="B876" s="1">
        <f>IFERROR(__xludf.DUMMYFUNCTION("""COMPUTED_VALUE"""),10772.0)</f>
        <v>10772</v>
      </c>
      <c r="C876" s="13" t="str">
        <f>IFERROR(__xludf.DUMMYFUNCTION("""COMPUTED_VALUE"""),"NANIK")</f>
        <v>NANIK</v>
      </c>
      <c r="D876" s="2" t="str">
        <f>IFERROR(__xludf.DUMMYFUNCTION("""COMPUTED_VALUE"""),"10KM OVERALL M")</f>
        <v>10KM OVERALL M</v>
      </c>
      <c r="E876" s="1" t="str">
        <f>IFERROR(__xludf.DUMMYFUNCTION("""COMPUTED_VALUE"""),"DSQ")</f>
        <v>DSQ</v>
      </c>
      <c r="F876" s="1" t="str">
        <f>IFERROR(__xludf.DUMMYFUNCTION("""COMPUTED_VALUE"""),"Female")</f>
        <v>Female</v>
      </c>
      <c r="G876" s="5" t="str">
        <f>IFERROR(__xludf.DUMMYFUNCTION("""COMPUTED_VALUE"""),"")</f>
        <v/>
      </c>
      <c r="H876" s="14">
        <f>IFERROR(__xludf.DUMMYFUNCTION("""COMPUTED_VALUE"""),0.24646185185185185)</f>
        <v>0.2464618519</v>
      </c>
      <c r="I876" s="15" t="str">
        <f>IFERROR(__xludf.DUMMYFUNCTION("""COMPUTED_VALUE"""),"")</f>
        <v/>
      </c>
      <c r="J876" s="15" t="str">
        <f>IFERROR(__xludf.DUMMYFUNCTION("""COMPUTED_VALUE"""),"")</f>
        <v/>
      </c>
      <c r="K876" s="15" t="str">
        <f>IFERROR(__xludf.DUMMYFUNCTION("""COMPUTED_VALUE"""),"")</f>
        <v/>
      </c>
      <c r="L876" s="15" t="str">
        <f>IFERROR(__xludf.DUMMYFUNCTION("""COMPUTED_VALUE"""),"")</f>
        <v/>
      </c>
    </row>
    <row r="877">
      <c r="A877" s="1" t="str">
        <f>IFERROR(__xludf.DUMMYFUNCTION("""COMPUTED_VALUE"""),"DSQ")</f>
        <v>DSQ</v>
      </c>
      <c r="B877" s="1">
        <f>IFERROR(__xludf.DUMMYFUNCTION("""COMPUTED_VALUE"""),10774.0)</f>
        <v>10774</v>
      </c>
      <c r="C877" s="13" t="str">
        <f>IFERROR(__xludf.DUMMYFUNCTION("""COMPUTED_VALUE"""),"ROFHAL")</f>
        <v>ROFHAL</v>
      </c>
      <c r="D877" s="2" t="str">
        <f>IFERROR(__xludf.DUMMYFUNCTION("""COMPUTED_VALUE"""),"10KM OVERALL M")</f>
        <v>10KM OVERALL M</v>
      </c>
      <c r="E877" s="1" t="str">
        <f>IFERROR(__xludf.DUMMYFUNCTION("""COMPUTED_VALUE"""),"DSQ")</f>
        <v>DSQ</v>
      </c>
      <c r="F877" s="1" t="str">
        <f>IFERROR(__xludf.DUMMYFUNCTION("""COMPUTED_VALUE"""),"Female")</f>
        <v>Female</v>
      </c>
      <c r="G877" s="5" t="str">
        <f>IFERROR(__xludf.DUMMYFUNCTION("""COMPUTED_VALUE"""),"")</f>
        <v/>
      </c>
      <c r="H877" s="14">
        <f>IFERROR(__xludf.DUMMYFUNCTION("""COMPUTED_VALUE"""),0.24646185185185185)</f>
        <v>0.2464618519</v>
      </c>
      <c r="I877" s="15" t="str">
        <f>IFERROR(__xludf.DUMMYFUNCTION("""COMPUTED_VALUE"""),"")</f>
        <v/>
      </c>
      <c r="J877" s="15" t="str">
        <f>IFERROR(__xludf.DUMMYFUNCTION("""COMPUTED_VALUE"""),"")</f>
        <v/>
      </c>
      <c r="K877" s="15" t="str">
        <f>IFERROR(__xludf.DUMMYFUNCTION("""COMPUTED_VALUE"""),"")</f>
        <v/>
      </c>
      <c r="L877" s="15" t="str">
        <f>IFERROR(__xludf.DUMMYFUNCTION("""COMPUTED_VALUE"""),"")</f>
        <v/>
      </c>
    </row>
    <row r="878">
      <c r="A878" s="1" t="str">
        <f>IFERROR(__xludf.DUMMYFUNCTION("""COMPUTED_VALUE"""),"DSQ")</f>
        <v>DSQ</v>
      </c>
      <c r="B878" s="1">
        <f>IFERROR(__xludf.DUMMYFUNCTION("""COMPUTED_VALUE"""),10775.0)</f>
        <v>10775</v>
      </c>
      <c r="C878" s="13" t="str">
        <f>IFERROR(__xludf.DUMMYFUNCTION("""COMPUTED_VALUE"""),"BEBEN")</f>
        <v>BEBEN</v>
      </c>
      <c r="D878" s="2" t="str">
        <f>IFERROR(__xludf.DUMMYFUNCTION("""COMPUTED_VALUE"""),"10KM OVERALL M")</f>
        <v>10KM OVERALL M</v>
      </c>
      <c r="E878" s="1" t="str">
        <f>IFERROR(__xludf.DUMMYFUNCTION("""COMPUTED_VALUE"""),"DSQ")</f>
        <v>DSQ</v>
      </c>
      <c r="F878" s="1" t="str">
        <f>IFERROR(__xludf.DUMMYFUNCTION("""COMPUTED_VALUE"""),"Female")</f>
        <v>Female</v>
      </c>
      <c r="G878" s="5" t="str">
        <f>IFERROR(__xludf.DUMMYFUNCTION("""COMPUTED_VALUE"""),"")</f>
        <v/>
      </c>
      <c r="H878" s="14">
        <f>IFERROR(__xludf.DUMMYFUNCTION("""COMPUTED_VALUE"""),0.24646185185185185)</f>
        <v>0.2464618519</v>
      </c>
      <c r="I878" s="15" t="str">
        <f>IFERROR(__xludf.DUMMYFUNCTION("""COMPUTED_VALUE"""),"")</f>
        <v/>
      </c>
      <c r="J878" s="15" t="str">
        <f>IFERROR(__xludf.DUMMYFUNCTION("""COMPUTED_VALUE"""),"")</f>
        <v/>
      </c>
      <c r="K878" s="15" t="str">
        <f>IFERROR(__xludf.DUMMYFUNCTION("""COMPUTED_VALUE"""),"")</f>
        <v/>
      </c>
      <c r="L878" s="15" t="str">
        <f>IFERROR(__xludf.DUMMYFUNCTION("""COMPUTED_VALUE"""),"")</f>
        <v/>
      </c>
    </row>
    <row r="879">
      <c r="A879" s="1" t="str">
        <f>IFERROR(__xludf.DUMMYFUNCTION("""COMPUTED_VALUE"""),"DSQ")</f>
        <v>DSQ</v>
      </c>
      <c r="B879" s="1">
        <f>IFERROR(__xludf.DUMMYFUNCTION("""COMPUTED_VALUE"""),10779.0)</f>
        <v>10779</v>
      </c>
      <c r="C879" s="13" t="str">
        <f>IFERROR(__xludf.DUMMYFUNCTION("""COMPUTED_VALUE"""),"WAKAPOLDA")</f>
        <v>WAKAPOLDA</v>
      </c>
      <c r="D879" s="2" t="str">
        <f>IFERROR(__xludf.DUMMYFUNCTION("""COMPUTED_VALUE"""),"10KM OVERALL M")</f>
        <v>10KM OVERALL M</v>
      </c>
      <c r="E879" s="1" t="str">
        <f>IFERROR(__xludf.DUMMYFUNCTION("""COMPUTED_VALUE"""),"DSQ")</f>
        <v>DSQ</v>
      </c>
      <c r="F879" s="1" t="str">
        <f>IFERROR(__xludf.DUMMYFUNCTION("""COMPUTED_VALUE"""),"Male")</f>
        <v>Male</v>
      </c>
      <c r="G879" s="5" t="str">
        <f>IFERROR(__xludf.DUMMYFUNCTION("""COMPUTED_VALUE"""),"")</f>
        <v/>
      </c>
      <c r="H879" s="14">
        <f>IFERROR(__xludf.DUMMYFUNCTION("""COMPUTED_VALUE"""),0.24646185185185185)</f>
        <v>0.2464618519</v>
      </c>
      <c r="I879" s="15" t="str">
        <f>IFERROR(__xludf.DUMMYFUNCTION("""COMPUTED_VALUE"""),"")</f>
        <v/>
      </c>
      <c r="J879" s="15" t="str">
        <f>IFERROR(__xludf.DUMMYFUNCTION("""COMPUTED_VALUE"""),"")</f>
        <v/>
      </c>
      <c r="K879" s="15" t="str">
        <f>IFERROR(__xludf.DUMMYFUNCTION("""COMPUTED_VALUE"""),"")</f>
        <v/>
      </c>
      <c r="L879" s="15" t="str">
        <f>IFERROR(__xludf.DUMMYFUNCTION("""COMPUTED_VALUE"""),"")</f>
        <v/>
      </c>
    </row>
    <row r="880">
      <c r="A880" s="1" t="str">
        <f>IFERROR(__xludf.DUMMYFUNCTION("""COMPUTED_VALUE"""),"DSQ")</f>
        <v>DSQ</v>
      </c>
      <c r="B880" s="1">
        <f>IFERROR(__xludf.DUMMYFUNCTION("""COMPUTED_VALUE"""),10784.0)</f>
        <v>10784</v>
      </c>
      <c r="C880" s="13" t="str">
        <f>IFERROR(__xludf.DUMMYFUNCTION("""COMPUTED_VALUE"""),"DIRRESNARKOBA")</f>
        <v>DIRRESNARKOBA</v>
      </c>
      <c r="D880" s="2" t="str">
        <f>IFERROR(__xludf.DUMMYFUNCTION("""COMPUTED_VALUE"""),"10KM OVERALL M")</f>
        <v>10KM OVERALL M</v>
      </c>
      <c r="E880" s="1" t="str">
        <f>IFERROR(__xludf.DUMMYFUNCTION("""COMPUTED_VALUE"""),"DSQ")</f>
        <v>DSQ</v>
      </c>
      <c r="F880" s="1" t="str">
        <f>IFERROR(__xludf.DUMMYFUNCTION("""COMPUTED_VALUE"""),"Male")</f>
        <v>Male</v>
      </c>
      <c r="G880" s="5" t="str">
        <f>IFERROR(__xludf.DUMMYFUNCTION("""COMPUTED_VALUE"""),"")</f>
        <v/>
      </c>
      <c r="H880" s="14">
        <f>IFERROR(__xludf.DUMMYFUNCTION("""COMPUTED_VALUE"""),0.24646185185185185)</f>
        <v>0.2464618519</v>
      </c>
      <c r="I880" s="15" t="str">
        <f>IFERROR(__xludf.DUMMYFUNCTION("""COMPUTED_VALUE"""),"")</f>
        <v/>
      </c>
      <c r="J880" s="15" t="str">
        <f>IFERROR(__xludf.DUMMYFUNCTION("""COMPUTED_VALUE"""),"")</f>
        <v/>
      </c>
      <c r="K880" s="15" t="str">
        <f>IFERROR(__xludf.DUMMYFUNCTION("""COMPUTED_VALUE"""),"")</f>
        <v/>
      </c>
      <c r="L880" s="15" t="str">
        <f>IFERROR(__xludf.DUMMYFUNCTION("""COMPUTED_VALUE"""),"")</f>
        <v/>
      </c>
    </row>
    <row r="881">
      <c r="A881" s="1" t="str">
        <f>IFERROR(__xludf.DUMMYFUNCTION("""COMPUTED_VALUE"""),"DSQ")</f>
        <v>DSQ</v>
      </c>
      <c r="B881" s="1">
        <f>IFERROR(__xludf.DUMMYFUNCTION("""COMPUTED_VALUE"""),10785.0)</f>
        <v>10785</v>
      </c>
      <c r="C881" s="13" t="str">
        <f>IFERROR(__xludf.DUMMYFUNCTION("""COMPUTED_VALUE"""),"DIRRESNARKOBA")</f>
        <v>DIRRESNARKOBA</v>
      </c>
      <c r="D881" s="2" t="str">
        <f>IFERROR(__xludf.DUMMYFUNCTION("""COMPUTED_VALUE"""),"10KM OVERALL M")</f>
        <v>10KM OVERALL M</v>
      </c>
      <c r="E881" s="1" t="str">
        <f>IFERROR(__xludf.DUMMYFUNCTION("""COMPUTED_VALUE"""),"DSQ")</f>
        <v>DSQ</v>
      </c>
      <c r="F881" s="1" t="str">
        <f>IFERROR(__xludf.DUMMYFUNCTION("""COMPUTED_VALUE"""),"Male")</f>
        <v>Male</v>
      </c>
      <c r="G881" s="5" t="str">
        <f>IFERROR(__xludf.DUMMYFUNCTION("""COMPUTED_VALUE"""),"")</f>
        <v/>
      </c>
      <c r="H881" s="14">
        <f>IFERROR(__xludf.DUMMYFUNCTION("""COMPUTED_VALUE"""),0.24646185185185185)</f>
        <v>0.2464618519</v>
      </c>
      <c r="I881" s="15" t="str">
        <f>IFERROR(__xludf.DUMMYFUNCTION("""COMPUTED_VALUE"""),"")</f>
        <v/>
      </c>
      <c r="J881" s="15" t="str">
        <f>IFERROR(__xludf.DUMMYFUNCTION("""COMPUTED_VALUE"""),"")</f>
        <v/>
      </c>
      <c r="K881" s="15" t="str">
        <f>IFERROR(__xludf.DUMMYFUNCTION("""COMPUTED_VALUE"""),"")</f>
        <v/>
      </c>
      <c r="L881" s="15" t="str">
        <f>IFERROR(__xludf.DUMMYFUNCTION("""COMPUTED_VALUE"""),"")</f>
        <v/>
      </c>
    </row>
    <row r="882">
      <c r="A882" s="1" t="str">
        <f>IFERROR(__xludf.DUMMYFUNCTION("""COMPUTED_VALUE"""),"DSQ")</f>
        <v>DSQ</v>
      </c>
      <c r="B882" s="1">
        <f>IFERROR(__xludf.DUMMYFUNCTION("""COMPUTED_VALUE"""),10786.0)</f>
        <v>10786</v>
      </c>
      <c r="C882" s="13" t="str">
        <f>IFERROR(__xludf.DUMMYFUNCTION("""COMPUTED_VALUE"""),"DIRRESNARKOBA")</f>
        <v>DIRRESNARKOBA</v>
      </c>
      <c r="D882" s="2" t="str">
        <f>IFERROR(__xludf.DUMMYFUNCTION("""COMPUTED_VALUE"""),"10KM OVERALL M")</f>
        <v>10KM OVERALL M</v>
      </c>
      <c r="E882" s="1" t="str">
        <f>IFERROR(__xludf.DUMMYFUNCTION("""COMPUTED_VALUE"""),"DSQ")</f>
        <v>DSQ</v>
      </c>
      <c r="F882" s="1" t="str">
        <f>IFERROR(__xludf.DUMMYFUNCTION("""COMPUTED_VALUE"""),"Male")</f>
        <v>Male</v>
      </c>
      <c r="G882" s="5">
        <f>IFERROR(__xludf.DUMMYFUNCTION("""COMPUTED_VALUE"""),0.005460915509259259)</f>
        <v>0.005460915509</v>
      </c>
      <c r="H882" s="14">
        <f>IFERROR(__xludf.DUMMYFUNCTION("""COMPUTED_VALUE"""),0.24646185185185185)</f>
        <v>0.2464618519</v>
      </c>
      <c r="I882" s="15">
        <f>IFERROR(__xludf.DUMMYFUNCTION("""COMPUTED_VALUE"""),45949.30107100924)</f>
        <v>45949.30107</v>
      </c>
      <c r="J882" s="15">
        <f>IFERROR(__xludf.DUMMYFUNCTION("""COMPUTED_VALUE"""),45949.05460915739)</f>
        <v>45949.05461</v>
      </c>
      <c r="K882" s="15" t="str">
        <f>IFERROR(__xludf.DUMMYFUNCTION("""COMPUTED_VALUE"""),"")</f>
        <v/>
      </c>
      <c r="L882" s="15" t="str">
        <f>IFERROR(__xludf.DUMMYFUNCTION("""COMPUTED_VALUE"""),"")</f>
        <v/>
      </c>
    </row>
    <row r="883">
      <c r="A883" s="1"/>
      <c r="B883" s="1"/>
      <c r="C883" s="13"/>
      <c r="E883" s="1"/>
      <c r="F883" s="1"/>
      <c r="G883" s="1"/>
      <c r="H883" s="1"/>
      <c r="I883" s="1"/>
      <c r="J883" s="1"/>
      <c r="K883" s="1"/>
      <c r="L883" s="1"/>
    </row>
    <row r="884">
      <c r="A884" s="1"/>
      <c r="B884" s="1"/>
      <c r="C884" s="13"/>
      <c r="E884" s="1"/>
      <c r="F884" s="1"/>
      <c r="G884" s="1"/>
      <c r="H884" s="1"/>
      <c r="I884" s="1"/>
      <c r="J884" s="1"/>
      <c r="K884" s="1"/>
      <c r="L884" s="1"/>
    </row>
    <row r="885">
      <c r="A885" s="1"/>
      <c r="B885" s="1"/>
      <c r="C885" s="13"/>
      <c r="E885" s="1"/>
      <c r="F885" s="1"/>
      <c r="G885" s="1"/>
      <c r="H885" s="1"/>
      <c r="I885" s="1"/>
      <c r="J885" s="1"/>
      <c r="K885" s="1"/>
      <c r="L885" s="1"/>
    </row>
    <row r="886">
      <c r="A886" s="1"/>
      <c r="B886" s="1"/>
      <c r="C886" s="13"/>
      <c r="E886" s="1"/>
      <c r="F886" s="1"/>
      <c r="G886" s="1"/>
      <c r="H886" s="1"/>
      <c r="I886" s="1"/>
      <c r="J886" s="1"/>
      <c r="K886" s="1"/>
      <c r="L886" s="1"/>
    </row>
    <row r="887">
      <c r="A887" s="1"/>
      <c r="B887" s="1"/>
      <c r="C887" s="13"/>
      <c r="E887" s="1"/>
      <c r="F887" s="1"/>
      <c r="G887" s="1"/>
      <c r="H887" s="1"/>
      <c r="I887" s="1"/>
      <c r="J887" s="1"/>
      <c r="K887" s="1"/>
      <c r="L887" s="1"/>
    </row>
    <row r="888">
      <c r="A888" s="1"/>
      <c r="B888" s="1"/>
      <c r="C888" s="13"/>
      <c r="E888" s="1"/>
      <c r="F888" s="1"/>
      <c r="G888" s="1"/>
      <c r="H888" s="1"/>
      <c r="I888" s="1"/>
      <c r="J888" s="1"/>
      <c r="K888" s="1"/>
      <c r="L888" s="1"/>
    </row>
    <row r="889">
      <c r="A889" s="1"/>
      <c r="B889" s="1"/>
      <c r="C889" s="13"/>
      <c r="E889" s="1"/>
      <c r="F889" s="1"/>
      <c r="G889" s="1"/>
      <c r="H889" s="1"/>
      <c r="I889" s="1"/>
      <c r="J889" s="1"/>
      <c r="K889" s="1"/>
      <c r="L889" s="1"/>
    </row>
    <row r="890">
      <c r="A890" s="1"/>
      <c r="B890" s="1"/>
      <c r="C890" s="13"/>
      <c r="E890" s="1"/>
      <c r="F890" s="1"/>
      <c r="G890" s="1"/>
      <c r="H890" s="1"/>
      <c r="I890" s="1"/>
      <c r="J890" s="1"/>
      <c r="K890" s="1"/>
      <c r="L890" s="1"/>
    </row>
    <row r="891">
      <c r="A891" s="1"/>
      <c r="B891" s="1"/>
      <c r="C891" s="13"/>
      <c r="E891" s="1"/>
      <c r="F891" s="1"/>
      <c r="G891" s="1"/>
      <c r="H891" s="1"/>
      <c r="I891" s="1"/>
      <c r="J891" s="1"/>
      <c r="K891" s="1"/>
      <c r="L891" s="1"/>
    </row>
    <row r="892">
      <c r="A892" s="1"/>
      <c r="B892" s="1"/>
      <c r="C892" s="13"/>
      <c r="E892" s="1"/>
      <c r="F892" s="1"/>
      <c r="G892" s="1"/>
      <c r="H892" s="1"/>
      <c r="I892" s="1"/>
      <c r="J892" s="1"/>
      <c r="K892" s="1"/>
      <c r="L892" s="1"/>
    </row>
    <row r="893">
      <c r="A893" s="1"/>
      <c r="B893" s="1"/>
      <c r="C893" s="13"/>
      <c r="E893" s="1"/>
      <c r="F893" s="1"/>
      <c r="G893" s="1"/>
      <c r="H893" s="1"/>
      <c r="I893" s="1"/>
      <c r="J893" s="1"/>
      <c r="K893" s="1"/>
      <c r="L893" s="1"/>
    </row>
    <row r="894">
      <c r="A894" s="1"/>
      <c r="B894" s="1"/>
      <c r="C894" s="13"/>
      <c r="E894" s="1"/>
      <c r="F894" s="1"/>
      <c r="G894" s="1"/>
      <c r="H894" s="1"/>
      <c r="I894" s="1"/>
      <c r="J894" s="1"/>
      <c r="K894" s="1"/>
      <c r="L894" s="1"/>
    </row>
    <row r="895">
      <c r="A895" s="1"/>
      <c r="B895" s="1"/>
      <c r="C895" s="13"/>
      <c r="E895" s="1"/>
      <c r="F895" s="1"/>
      <c r="G895" s="1"/>
      <c r="H895" s="1"/>
      <c r="I895" s="1"/>
      <c r="J895" s="1"/>
      <c r="K895" s="1"/>
      <c r="L895" s="1"/>
    </row>
    <row r="896">
      <c r="A896" s="1"/>
      <c r="B896" s="1"/>
      <c r="C896" s="13"/>
      <c r="E896" s="1"/>
      <c r="F896" s="1"/>
      <c r="G896" s="1"/>
      <c r="H896" s="1"/>
      <c r="I896" s="1"/>
      <c r="J896" s="1"/>
      <c r="K896" s="1"/>
      <c r="L896" s="1"/>
    </row>
    <row r="897">
      <c r="A897" s="1"/>
      <c r="B897" s="1"/>
      <c r="C897" s="13"/>
      <c r="E897" s="1"/>
      <c r="F897" s="1"/>
      <c r="G897" s="1"/>
      <c r="H897" s="1"/>
      <c r="I897" s="1"/>
      <c r="J897" s="1"/>
      <c r="K897" s="1"/>
      <c r="L897" s="1"/>
    </row>
    <row r="898">
      <c r="A898" s="1"/>
      <c r="B898" s="1"/>
      <c r="C898" s="13"/>
      <c r="E898" s="1"/>
      <c r="F898" s="1"/>
      <c r="G898" s="1"/>
      <c r="H898" s="1"/>
      <c r="I898" s="1"/>
      <c r="J898" s="1"/>
      <c r="K898" s="1"/>
      <c r="L898" s="1"/>
    </row>
    <row r="899">
      <c r="A899" s="1"/>
      <c r="B899" s="1"/>
      <c r="C899" s="13"/>
      <c r="E899" s="1"/>
      <c r="F899" s="1"/>
      <c r="G899" s="1"/>
      <c r="H899" s="1"/>
      <c r="I899" s="1"/>
      <c r="J899" s="1"/>
      <c r="K899" s="1"/>
      <c r="L899" s="1"/>
    </row>
    <row r="900">
      <c r="A900" s="1"/>
      <c r="B900" s="1"/>
      <c r="C900" s="13"/>
      <c r="E900" s="1"/>
      <c r="F900" s="1"/>
      <c r="G900" s="1"/>
      <c r="H900" s="1"/>
      <c r="I900" s="1"/>
      <c r="J900" s="1"/>
      <c r="K900" s="1"/>
      <c r="L900" s="1"/>
    </row>
    <row r="901">
      <c r="A901" s="1"/>
      <c r="B901" s="1"/>
      <c r="C901" s="13"/>
      <c r="E901" s="1"/>
      <c r="F901" s="1"/>
      <c r="G901" s="1"/>
      <c r="H901" s="1"/>
      <c r="I901" s="1"/>
      <c r="J901" s="1"/>
      <c r="K901" s="1"/>
      <c r="L901" s="1"/>
    </row>
    <row r="902">
      <c r="A902" s="1"/>
      <c r="B902" s="1"/>
      <c r="C902" s="13"/>
      <c r="E902" s="1"/>
      <c r="F902" s="1"/>
      <c r="G902" s="1"/>
      <c r="H902" s="1"/>
      <c r="I902" s="1"/>
      <c r="J902" s="1"/>
      <c r="K902" s="1"/>
      <c r="L902" s="1"/>
    </row>
    <row r="903">
      <c r="A903" s="1"/>
      <c r="B903" s="1"/>
      <c r="C903" s="13"/>
      <c r="E903" s="1"/>
      <c r="F903" s="1"/>
      <c r="G903" s="1"/>
      <c r="H903" s="1"/>
      <c r="I903" s="1"/>
      <c r="J903" s="1"/>
      <c r="K903" s="1"/>
      <c r="L903" s="1"/>
    </row>
    <row r="904">
      <c r="A904" s="1"/>
      <c r="B904" s="1"/>
      <c r="C904" s="13"/>
      <c r="E904" s="1"/>
      <c r="F904" s="1"/>
      <c r="G904" s="1"/>
      <c r="H904" s="1"/>
      <c r="I904" s="1"/>
      <c r="J904" s="1"/>
      <c r="K904" s="1"/>
      <c r="L904" s="1"/>
    </row>
    <row r="905">
      <c r="A905" s="1"/>
      <c r="B905" s="1"/>
      <c r="C905" s="13"/>
      <c r="E905" s="1"/>
      <c r="F905" s="1"/>
      <c r="G905" s="1"/>
      <c r="H905" s="1"/>
      <c r="I905" s="1"/>
      <c r="J905" s="1"/>
      <c r="K905" s="1"/>
      <c r="L905" s="1"/>
    </row>
    <row r="906">
      <c r="A906" s="1"/>
      <c r="B906" s="1"/>
      <c r="C906" s="13"/>
      <c r="E906" s="1"/>
      <c r="F906" s="1"/>
      <c r="G906" s="1"/>
      <c r="H906" s="1"/>
      <c r="I906" s="1"/>
      <c r="J906" s="1"/>
      <c r="K906" s="1"/>
      <c r="L906" s="1"/>
    </row>
    <row r="907">
      <c r="A907" s="1"/>
      <c r="B907" s="1"/>
      <c r="C907" s="13"/>
      <c r="E907" s="1"/>
      <c r="F907" s="1"/>
      <c r="G907" s="1"/>
      <c r="H907" s="1"/>
      <c r="I907" s="1"/>
      <c r="J907" s="1"/>
      <c r="K907" s="1"/>
      <c r="L907" s="1"/>
    </row>
    <row r="908">
      <c r="A908" s="1"/>
      <c r="B908" s="1"/>
      <c r="C908" s="13"/>
      <c r="E908" s="1"/>
      <c r="F908" s="1"/>
      <c r="G908" s="1"/>
      <c r="H908" s="1"/>
      <c r="I908" s="1"/>
      <c r="J908" s="1"/>
      <c r="K908" s="1"/>
      <c r="L908" s="1"/>
    </row>
    <row r="909">
      <c r="A909" s="1"/>
      <c r="B909" s="1"/>
      <c r="C909" s="13"/>
      <c r="E909" s="1"/>
      <c r="F909" s="1"/>
      <c r="G909" s="1"/>
      <c r="H909" s="1"/>
      <c r="I909" s="1"/>
      <c r="J909" s="1"/>
      <c r="K909" s="1"/>
      <c r="L909" s="1"/>
    </row>
    <row r="910">
      <c r="A910" s="1"/>
      <c r="B910" s="1"/>
      <c r="C910" s="13"/>
      <c r="E910" s="1"/>
      <c r="F910" s="1"/>
      <c r="G910" s="1"/>
      <c r="H910" s="1"/>
      <c r="I910" s="1"/>
      <c r="J910" s="1"/>
      <c r="K910" s="1"/>
      <c r="L910" s="1"/>
    </row>
    <row r="911">
      <c r="A911" s="1"/>
      <c r="B911" s="1"/>
      <c r="C911" s="13"/>
      <c r="E911" s="1"/>
      <c r="F911" s="1"/>
      <c r="G911" s="1"/>
      <c r="H911" s="1"/>
      <c r="I911" s="1"/>
      <c r="J911" s="1"/>
      <c r="K911" s="1"/>
      <c r="L911" s="1"/>
    </row>
    <row r="912">
      <c r="A912" s="1"/>
      <c r="B912" s="1"/>
      <c r="C912" s="13"/>
      <c r="E912" s="1"/>
      <c r="F912" s="1"/>
      <c r="G912" s="1"/>
      <c r="H912" s="1"/>
      <c r="I912" s="1"/>
      <c r="J912" s="1"/>
      <c r="K912" s="1"/>
      <c r="L912" s="1"/>
    </row>
    <row r="913">
      <c r="A913" s="1"/>
      <c r="B913" s="1"/>
      <c r="C913" s="13"/>
      <c r="E913" s="1"/>
      <c r="F913" s="1"/>
      <c r="G913" s="1"/>
      <c r="H913" s="1"/>
      <c r="I913" s="1"/>
      <c r="J913" s="1"/>
      <c r="K913" s="1"/>
      <c r="L913" s="1"/>
    </row>
    <row r="914">
      <c r="A914" s="1"/>
      <c r="B914" s="1"/>
      <c r="C914" s="13"/>
      <c r="E914" s="1"/>
      <c r="F914" s="1"/>
      <c r="G914" s="1"/>
      <c r="H914" s="1"/>
      <c r="I914" s="1"/>
      <c r="J914" s="1"/>
      <c r="K914" s="1"/>
      <c r="L914" s="1"/>
    </row>
    <row r="915">
      <c r="A915" s="1"/>
      <c r="B915" s="1"/>
      <c r="C915" s="13"/>
      <c r="E915" s="1"/>
      <c r="F915" s="1"/>
      <c r="G915" s="1"/>
      <c r="H915" s="1"/>
      <c r="I915" s="1"/>
      <c r="J915" s="1"/>
      <c r="K915" s="1"/>
      <c r="L915" s="1"/>
    </row>
    <row r="916">
      <c r="A916" s="1"/>
      <c r="B916" s="1"/>
      <c r="C916" s="13"/>
      <c r="E916" s="1"/>
      <c r="F916" s="1"/>
      <c r="G916" s="1"/>
      <c r="H916" s="1"/>
      <c r="I916" s="1"/>
      <c r="J916" s="1"/>
      <c r="K916" s="1"/>
      <c r="L916" s="1"/>
    </row>
    <row r="917">
      <c r="A917" s="1"/>
      <c r="B917" s="1"/>
      <c r="C917" s="13"/>
      <c r="E917" s="1"/>
      <c r="F917" s="1"/>
      <c r="G917" s="1"/>
      <c r="H917" s="1"/>
      <c r="I917" s="1"/>
      <c r="J917" s="1"/>
      <c r="K917" s="1"/>
      <c r="L917" s="1"/>
    </row>
    <row r="918">
      <c r="A918" s="1"/>
      <c r="B918" s="1"/>
      <c r="C918" s="13"/>
      <c r="E918" s="1"/>
      <c r="F918" s="1"/>
      <c r="G918" s="1"/>
      <c r="H918" s="1"/>
      <c r="I918" s="1"/>
      <c r="J918" s="1"/>
      <c r="K918" s="1"/>
      <c r="L918" s="1"/>
    </row>
    <row r="919">
      <c r="A919" s="1"/>
      <c r="B919" s="1"/>
      <c r="C919" s="13"/>
      <c r="E919" s="1"/>
      <c r="F919" s="1"/>
      <c r="G919" s="1"/>
      <c r="H919" s="1"/>
      <c r="I919" s="1"/>
      <c r="J919" s="1"/>
      <c r="K919" s="1"/>
      <c r="L919" s="1"/>
    </row>
    <row r="920">
      <c r="A920" s="1"/>
      <c r="B920" s="1"/>
      <c r="C920" s="13"/>
      <c r="E920" s="1"/>
      <c r="F920" s="1"/>
      <c r="G920" s="1"/>
      <c r="H920" s="1"/>
      <c r="I920" s="1"/>
      <c r="J920" s="1"/>
      <c r="K920" s="1"/>
      <c r="L920" s="1"/>
    </row>
    <row r="921">
      <c r="A921" s="1"/>
      <c r="B921" s="1"/>
      <c r="C921" s="13"/>
      <c r="E921" s="1"/>
      <c r="F921" s="1"/>
      <c r="G921" s="1"/>
      <c r="H921" s="1"/>
      <c r="I921" s="1"/>
      <c r="J921" s="1"/>
      <c r="K921" s="1"/>
      <c r="L921" s="1"/>
    </row>
    <row r="922">
      <c r="A922" s="1"/>
      <c r="B922" s="1"/>
      <c r="C922" s="13"/>
      <c r="E922" s="1"/>
      <c r="F922" s="1"/>
      <c r="G922" s="1"/>
      <c r="H922" s="1"/>
      <c r="I922" s="1"/>
      <c r="J922" s="1"/>
      <c r="K922" s="1"/>
      <c r="L922" s="1"/>
    </row>
    <row r="923">
      <c r="A923" s="1"/>
      <c r="B923" s="1"/>
      <c r="C923" s="13"/>
      <c r="E923" s="1"/>
      <c r="F923" s="1"/>
      <c r="G923" s="1"/>
      <c r="H923" s="1"/>
      <c r="I923" s="1"/>
      <c r="J923" s="1"/>
      <c r="K923" s="1"/>
      <c r="L923" s="1"/>
    </row>
    <row r="924">
      <c r="A924" s="1"/>
      <c r="B924" s="1"/>
      <c r="C924" s="13"/>
      <c r="E924" s="1"/>
      <c r="F924" s="1"/>
      <c r="G924" s="1"/>
      <c r="H924" s="1"/>
      <c r="I924" s="1"/>
      <c r="J924" s="1"/>
      <c r="K924" s="1"/>
      <c r="L924" s="1"/>
    </row>
    <row r="925">
      <c r="A925" s="1"/>
      <c r="B925" s="1"/>
      <c r="C925" s="13"/>
      <c r="E925" s="1"/>
      <c r="F925" s="1"/>
      <c r="G925" s="1"/>
      <c r="H925" s="1"/>
      <c r="I925" s="1"/>
      <c r="J925" s="1"/>
      <c r="K925" s="1"/>
      <c r="L925" s="1"/>
    </row>
    <row r="926">
      <c r="A926" s="1"/>
      <c r="B926" s="1"/>
      <c r="C926" s="13"/>
      <c r="E926" s="1"/>
      <c r="F926" s="1"/>
      <c r="G926" s="1"/>
      <c r="H926" s="1"/>
      <c r="I926" s="1"/>
      <c r="J926" s="1"/>
      <c r="K926" s="1"/>
      <c r="L926" s="1"/>
    </row>
    <row r="927">
      <c r="A927" s="1"/>
      <c r="B927" s="1"/>
      <c r="C927" s="13"/>
      <c r="E927" s="1"/>
      <c r="F927" s="1"/>
      <c r="G927" s="1"/>
      <c r="H927" s="1"/>
      <c r="I927" s="1"/>
      <c r="J927" s="1"/>
      <c r="K927" s="1"/>
      <c r="L927" s="1"/>
    </row>
    <row r="928">
      <c r="A928" s="1"/>
      <c r="B928" s="1"/>
      <c r="C928" s="13"/>
      <c r="E928" s="1"/>
      <c r="F928" s="1"/>
      <c r="G928" s="1"/>
      <c r="H928" s="1"/>
      <c r="I928" s="1"/>
      <c r="J928" s="1"/>
      <c r="K928" s="1"/>
      <c r="L928" s="1"/>
    </row>
    <row r="929">
      <c r="A929" s="1"/>
      <c r="B929" s="1"/>
      <c r="C929" s="13"/>
      <c r="E929" s="1"/>
      <c r="F929" s="1"/>
      <c r="G929" s="1"/>
      <c r="H929" s="1"/>
      <c r="I929" s="1"/>
      <c r="J929" s="1"/>
      <c r="K929" s="1"/>
      <c r="L929" s="1"/>
    </row>
    <row r="930">
      <c r="A930" s="1"/>
      <c r="B930" s="1"/>
      <c r="C930" s="13"/>
      <c r="E930" s="1"/>
      <c r="F930" s="1"/>
      <c r="G930" s="1"/>
      <c r="H930" s="1"/>
      <c r="I930" s="1"/>
      <c r="J930" s="1"/>
      <c r="K930" s="1"/>
      <c r="L930" s="1"/>
    </row>
    <row r="931">
      <c r="A931" s="1"/>
      <c r="B931" s="1"/>
      <c r="C931" s="13"/>
      <c r="E931" s="1"/>
      <c r="F931" s="1"/>
      <c r="G931" s="1"/>
      <c r="H931" s="1"/>
      <c r="I931" s="1"/>
      <c r="J931" s="1"/>
      <c r="K931" s="1"/>
      <c r="L931" s="1"/>
    </row>
    <row r="932">
      <c r="A932" s="1"/>
      <c r="B932" s="1"/>
      <c r="C932" s="13"/>
      <c r="E932" s="1"/>
      <c r="F932" s="1"/>
      <c r="G932" s="1"/>
      <c r="H932" s="1"/>
      <c r="I932" s="1"/>
      <c r="J932" s="1"/>
      <c r="K932" s="1"/>
      <c r="L932" s="1"/>
    </row>
    <row r="933">
      <c r="A933" s="1"/>
      <c r="B933" s="1"/>
      <c r="C933" s="13"/>
      <c r="E933" s="1"/>
      <c r="F933" s="1"/>
      <c r="G933" s="1"/>
      <c r="H933" s="1"/>
      <c r="I933" s="1"/>
      <c r="J933" s="1"/>
      <c r="K933" s="1"/>
      <c r="L933" s="1"/>
    </row>
    <row r="934">
      <c r="A934" s="1"/>
      <c r="B934" s="1"/>
      <c r="C934" s="13"/>
      <c r="E934" s="1"/>
      <c r="F934" s="1"/>
      <c r="G934" s="1"/>
      <c r="H934" s="1"/>
      <c r="I934" s="1"/>
      <c r="J934" s="1"/>
      <c r="K934" s="1"/>
      <c r="L934" s="1"/>
    </row>
    <row r="935">
      <c r="A935" s="1"/>
      <c r="B935" s="1"/>
      <c r="C935" s="13"/>
      <c r="E935" s="1"/>
      <c r="F935" s="1"/>
      <c r="G935" s="1"/>
      <c r="H935" s="1"/>
      <c r="I935" s="1"/>
      <c r="J935" s="1"/>
      <c r="K935" s="1"/>
      <c r="L935" s="1"/>
    </row>
    <row r="936">
      <c r="A936" s="1"/>
      <c r="B936" s="1"/>
      <c r="C936" s="13"/>
      <c r="E936" s="1"/>
      <c r="F936" s="1"/>
      <c r="G936" s="1"/>
      <c r="H936" s="1"/>
      <c r="I936" s="1"/>
      <c r="J936" s="1"/>
      <c r="K936" s="1"/>
      <c r="L936" s="1"/>
    </row>
    <row r="937">
      <c r="A937" s="1"/>
      <c r="B937" s="1"/>
      <c r="C937" s="13"/>
      <c r="E937" s="1"/>
      <c r="F937" s="1"/>
      <c r="G937" s="1"/>
      <c r="H937" s="1"/>
      <c r="I937" s="1"/>
      <c r="J937" s="1"/>
      <c r="K937" s="1"/>
      <c r="L937" s="1"/>
    </row>
    <row r="938">
      <c r="A938" s="1"/>
      <c r="B938" s="1"/>
      <c r="C938" s="13"/>
      <c r="E938" s="1"/>
      <c r="F938" s="1"/>
      <c r="G938" s="1"/>
      <c r="H938" s="1"/>
      <c r="I938" s="1"/>
      <c r="J938" s="1"/>
      <c r="K938" s="1"/>
      <c r="L938" s="1"/>
    </row>
    <row r="939">
      <c r="A939" s="1"/>
      <c r="B939" s="1"/>
      <c r="C939" s="13"/>
      <c r="E939" s="1"/>
      <c r="F939" s="1"/>
      <c r="G939" s="1"/>
      <c r="H939" s="1"/>
      <c r="I939" s="1"/>
      <c r="J939" s="1"/>
      <c r="K939" s="1"/>
      <c r="L939" s="1"/>
    </row>
    <row r="940">
      <c r="A940" s="1"/>
      <c r="B940" s="1"/>
      <c r="C940" s="13"/>
      <c r="E940" s="1"/>
      <c r="F940" s="1"/>
      <c r="G940" s="1"/>
      <c r="H940" s="1"/>
      <c r="I940" s="1"/>
      <c r="J940" s="1"/>
      <c r="K940" s="1"/>
      <c r="L940" s="1"/>
    </row>
    <row r="941">
      <c r="A941" s="1"/>
      <c r="B941" s="1"/>
      <c r="C941" s="13"/>
      <c r="E941" s="1"/>
      <c r="F941" s="1"/>
      <c r="G941" s="1"/>
      <c r="H941" s="1"/>
      <c r="I941" s="1"/>
      <c r="J941" s="1"/>
      <c r="K941" s="1"/>
      <c r="L941" s="1"/>
    </row>
    <row r="942">
      <c r="A942" s="1"/>
      <c r="B942" s="1"/>
      <c r="C942" s="13"/>
      <c r="E942" s="1"/>
      <c r="F942" s="1"/>
      <c r="G942" s="1"/>
      <c r="H942" s="1"/>
      <c r="I942" s="1"/>
      <c r="J942" s="1"/>
      <c r="K942" s="1"/>
      <c r="L942" s="1"/>
    </row>
    <row r="943">
      <c r="A943" s="1"/>
      <c r="B943" s="1"/>
      <c r="C943" s="13"/>
      <c r="E943" s="1"/>
      <c r="F943" s="1"/>
      <c r="G943" s="1"/>
      <c r="H943" s="1"/>
      <c r="I943" s="1"/>
      <c r="J943" s="1"/>
      <c r="K943" s="1"/>
      <c r="L943" s="1"/>
    </row>
    <row r="944">
      <c r="A944" s="1"/>
      <c r="B944" s="1"/>
      <c r="C944" s="13"/>
      <c r="E944" s="1"/>
      <c r="F944" s="1"/>
      <c r="G944" s="1"/>
      <c r="H944" s="1"/>
      <c r="I944" s="1"/>
      <c r="J944" s="1"/>
      <c r="K944" s="1"/>
      <c r="L944" s="1"/>
    </row>
    <row r="945">
      <c r="A945" s="1"/>
      <c r="B945" s="1"/>
      <c r="C945" s="13"/>
      <c r="E945" s="1"/>
      <c r="F945" s="1"/>
      <c r="G945" s="1"/>
      <c r="H945" s="1"/>
      <c r="I945" s="1"/>
      <c r="J945" s="1"/>
      <c r="K945" s="1"/>
      <c r="L945" s="1"/>
    </row>
    <row r="946">
      <c r="A946" s="1"/>
      <c r="B946" s="1"/>
      <c r="C946" s="13"/>
      <c r="E946" s="1"/>
      <c r="F946" s="1"/>
      <c r="G946" s="1"/>
      <c r="H946" s="1"/>
      <c r="I946" s="1"/>
      <c r="J946" s="1"/>
      <c r="K946" s="1"/>
      <c r="L946" s="1"/>
    </row>
    <row r="947">
      <c r="A947" s="1"/>
      <c r="B947" s="1"/>
      <c r="C947" s="13"/>
      <c r="E947" s="1"/>
      <c r="F947" s="1"/>
      <c r="G947" s="1"/>
      <c r="H947" s="1"/>
      <c r="I947" s="1"/>
      <c r="J947" s="1"/>
      <c r="K947" s="1"/>
      <c r="L947" s="1"/>
    </row>
    <row r="948">
      <c r="A948" s="1"/>
      <c r="B948" s="1"/>
      <c r="C948" s="13"/>
      <c r="E948" s="1"/>
      <c r="F948" s="1"/>
      <c r="G948" s="1"/>
      <c r="H948" s="1"/>
      <c r="I948" s="1"/>
      <c r="J948" s="1"/>
      <c r="K948" s="1"/>
      <c r="L948" s="1"/>
    </row>
    <row r="949">
      <c r="A949" s="1"/>
      <c r="B949" s="1"/>
      <c r="C949" s="13"/>
      <c r="E949" s="1"/>
      <c r="F949" s="1"/>
      <c r="G949" s="1"/>
      <c r="H949" s="1"/>
      <c r="I949" s="1"/>
      <c r="J949" s="1"/>
      <c r="K949" s="1"/>
      <c r="L949" s="1"/>
    </row>
    <row r="950">
      <c r="A950" s="1"/>
      <c r="B950" s="1"/>
      <c r="C950" s="13"/>
      <c r="E950" s="1"/>
      <c r="F950" s="1"/>
      <c r="G950" s="1"/>
      <c r="H950" s="1"/>
      <c r="I950" s="1"/>
      <c r="J950" s="1"/>
      <c r="K950" s="1"/>
      <c r="L950" s="1"/>
    </row>
    <row r="951">
      <c r="A951" s="1"/>
      <c r="B951" s="1"/>
      <c r="C951" s="13"/>
      <c r="E951" s="1"/>
      <c r="F951" s="1"/>
      <c r="G951" s="1"/>
      <c r="H951" s="1"/>
      <c r="I951" s="1"/>
      <c r="J951" s="1"/>
      <c r="K951" s="1"/>
      <c r="L951" s="1"/>
    </row>
    <row r="952">
      <c r="A952" s="1"/>
      <c r="B952" s="1"/>
      <c r="C952" s="13"/>
      <c r="E952" s="1"/>
      <c r="F952" s="1"/>
      <c r="G952" s="1"/>
      <c r="H952" s="1"/>
      <c r="I952" s="1"/>
      <c r="J952" s="1"/>
      <c r="K952" s="1"/>
      <c r="L952" s="1"/>
    </row>
    <row r="953">
      <c r="A953" s="1"/>
      <c r="B953" s="1"/>
      <c r="C953" s="13"/>
      <c r="E953" s="1"/>
      <c r="F953" s="1"/>
      <c r="G953" s="1"/>
      <c r="H953" s="1"/>
      <c r="I953" s="1"/>
      <c r="J953" s="1"/>
      <c r="K953" s="1"/>
      <c r="L953" s="1"/>
    </row>
    <row r="954">
      <c r="A954" s="1"/>
      <c r="B954" s="1"/>
      <c r="C954" s="13"/>
      <c r="E954" s="1"/>
      <c r="F954" s="1"/>
      <c r="G954" s="1"/>
      <c r="H954" s="1"/>
      <c r="I954" s="1"/>
      <c r="J954" s="1"/>
      <c r="K954" s="1"/>
      <c r="L954" s="1"/>
    </row>
    <row r="955">
      <c r="A955" s="1"/>
      <c r="B955" s="1"/>
      <c r="C955" s="13"/>
      <c r="E955" s="1"/>
      <c r="F955" s="1"/>
      <c r="G955" s="1"/>
      <c r="H955" s="1"/>
      <c r="I955" s="1"/>
      <c r="J955" s="1"/>
      <c r="K955" s="1"/>
      <c r="L955" s="1"/>
    </row>
    <row r="956">
      <c r="A956" s="1"/>
      <c r="B956" s="1"/>
      <c r="C956" s="13"/>
      <c r="E956" s="1"/>
      <c r="F956" s="1"/>
      <c r="G956" s="1"/>
      <c r="H956" s="1"/>
      <c r="I956" s="1"/>
      <c r="J956" s="1"/>
      <c r="K956" s="1"/>
      <c r="L956" s="1"/>
    </row>
    <row r="957">
      <c r="A957" s="1"/>
      <c r="B957" s="1"/>
      <c r="C957" s="13"/>
      <c r="E957" s="1"/>
      <c r="F957" s="1"/>
      <c r="G957" s="1"/>
      <c r="H957" s="1"/>
      <c r="I957" s="1"/>
      <c r="J957" s="1"/>
      <c r="K957" s="1"/>
      <c r="L957" s="1"/>
    </row>
    <row r="958">
      <c r="A958" s="1"/>
      <c r="B958" s="1"/>
      <c r="C958" s="13"/>
      <c r="E958" s="1"/>
      <c r="F958" s="1"/>
      <c r="G958" s="1"/>
      <c r="H958" s="1"/>
      <c r="I958" s="1"/>
      <c r="J958" s="1"/>
      <c r="K958" s="1"/>
      <c r="L958" s="1"/>
    </row>
    <row r="959">
      <c r="A959" s="1"/>
      <c r="B959" s="1"/>
      <c r="C959" s="13"/>
      <c r="E959" s="1"/>
      <c r="F959" s="1"/>
      <c r="G959" s="1"/>
      <c r="H959" s="1"/>
      <c r="I959" s="1"/>
      <c r="J959" s="1"/>
      <c r="K959" s="1"/>
      <c r="L959" s="1"/>
    </row>
    <row r="960">
      <c r="A960" s="1"/>
      <c r="B960" s="1"/>
      <c r="C960" s="13"/>
      <c r="E960" s="1"/>
      <c r="F960" s="1"/>
      <c r="G960" s="1"/>
      <c r="H960" s="1"/>
      <c r="I960" s="1"/>
      <c r="J960" s="1"/>
      <c r="K960" s="1"/>
      <c r="L960" s="1"/>
    </row>
    <row r="961">
      <c r="A961" s="1"/>
      <c r="B961" s="1"/>
      <c r="C961" s="13"/>
      <c r="E961" s="1"/>
      <c r="F961" s="1"/>
      <c r="G961" s="1"/>
      <c r="H961" s="1"/>
      <c r="I961" s="1"/>
      <c r="J961" s="1"/>
      <c r="K961" s="1"/>
      <c r="L961" s="1"/>
    </row>
    <row r="962">
      <c r="A962" s="1"/>
      <c r="B962" s="1"/>
      <c r="C962" s="13"/>
      <c r="E962" s="1"/>
      <c r="F962" s="1"/>
      <c r="G962" s="1"/>
      <c r="H962" s="1"/>
      <c r="I962" s="1"/>
      <c r="J962" s="1"/>
      <c r="K962" s="1"/>
      <c r="L962" s="1"/>
    </row>
    <row r="963">
      <c r="A963" s="1"/>
      <c r="B963" s="1"/>
      <c r="C963" s="13"/>
      <c r="E963" s="1"/>
      <c r="F963" s="1"/>
      <c r="G963" s="1"/>
      <c r="H963" s="1"/>
      <c r="I963" s="1"/>
      <c r="J963" s="1"/>
      <c r="K963" s="1"/>
      <c r="L963" s="1"/>
    </row>
    <row r="964">
      <c r="A964" s="1"/>
      <c r="B964" s="1"/>
      <c r="C964" s="13"/>
      <c r="E964" s="1"/>
      <c r="F964" s="1"/>
      <c r="G964" s="1"/>
      <c r="H964" s="1"/>
      <c r="I964" s="1"/>
      <c r="J964" s="1"/>
      <c r="K964" s="1"/>
      <c r="L964" s="1"/>
    </row>
    <row r="965">
      <c r="A965" s="1"/>
      <c r="B965" s="1"/>
      <c r="C965" s="13"/>
      <c r="E965" s="1"/>
      <c r="F965" s="1"/>
      <c r="G965" s="1"/>
      <c r="H965" s="1"/>
      <c r="I965" s="1"/>
      <c r="J965" s="1"/>
      <c r="K965" s="1"/>
      <c r="L965" s="1"/>
    </row>
    <row r="966">
      <c r="A966" s="1"/>
      <c r="B966" s="1"/>
      <c r="C966" s="13"/>
      <c r="E966" s="1"/>
      <c r="F966" s="1"/>
      <c r="G966" s="1"/>
      <c r="H966" s="1"/>
      <c r="I966" s="1"/>
      <c r="J966" s="1"/>
      <c r="K966" s="1"/>
      <c r="L966" s="1"/>
    </row>
    <row r="967">
      <c r="A967" s="1"/>
      <c r="B967" s="1"/>
      <c r="C967" s="13"/>
      <c r="E967" s="1"/>
      <c r="F967" s="1"/>
      <c r="G967" s="1"/>
      <c r="H967" s="1"/>
      <c r="I967" s="1"/>
      <c r="J967" s="1"/>
      <c r="K967" s="1"/>
      <c r="L967" s="1"/>
    </row>
    <row r="968">
      <c r="A968" s="1"/>
      <c r="B968" s="1"/>
      <c r="C968" s="13"/>
      <c r="E968" s="1"/>
      <c r="F968" s="1"/>
      <c r="G968" s="1"/>
      <c r="H968" s="1"/>
      <c r="I968" s="1"/>
      <c r="J968" s="1"/>
      <c r="K968" s="1"/>
      <c r="L968" s="1"/>
    </row>
    <row r="969">
      <c r="A969" s="1"/>
      <c r="B969" s="1"/>
      <c r="C969" s="13"/>
      <c r="E969" s="1"/>
      <c r="F969" s="1"/>
      <c r="G969" s="1"/>
      <c r="H969" s="1"/>
      <c r="I969" s="1"/>
      <c r="J969" s="1"/>
      <c r="K969" s="1"/>
      <c r="L969" s="1"/>
    </row>
    <row r="970">
      <c r="A970" s="1"/>
      <c r="B970" s="1"/>
      <c r="C970" s="13"/>
      <c r="E970" s="1"/>
      <c r="F970" s="1"/>
      <c r="G970" s="1"/>
      <c r="H970" s="1"/>
      <c r="I970" s="1"/>
      <c r="J970" s="1"/>
      <c r="K970" s="1"/>
      <c r="L970" s="1"/>
    </row>
    <row r="971">
      <c r="A971" s="1"/>
      <c r="B971" s="1"/>
      <c r="C971" s="13"/>
      <c r="E971" s="1"/>
      <c r="F971" s="1"/>
      <c r="G971" s="1"/>
      <c r="H971" s="1"/>
      <c r="I971" s="1"/>
      <c r="J971" s="1"/>
      <c r="K971" s="1"/>
      <c r="L971" s="1"/>
    </row>
    <row r="972">
      <c r="A972" s="1"/>
      <c r="B972" s="1"/>
      <c r="C972" s="13"/>
      <c r="E972" s="1"/>
      <c r="F972" s="1"/>
      <c r="G972" s="1"/>
      <c r="H972" s="1"/>
      <c r="I972" s="1"/>
      <c r="J972" s="1"/>
      <c r="K972" s="1"/>
      <c r="L972" s="1"/>
    </row>
    <row r="973">
      <c r="A973" s="1"/>
      <c r="B973" s="1"/>
      <c r="C973" s="13"/>
      <c r="E973" s="1"/>
      <c r="F973" s="1"/>
      <c r="G973" s="1"/>
      <c r="H973" s="1"/>
      <c r="I973" s="1"/>
      <c r="J973" s="1"/>
      <c r="K973" s="1"/>
      <c r="L973" s="1"/>
    </row>
    <row r="974">
      <c r="A974" s="1"/>
      <c r="B974" s="1"/>
      <c r="C974" s="13"/>
      <c r="E974" s="1"/>
      <c r="F974" s="1"/>
      <c r="G974" s="1"/>
      <c r="H974" s="1"/>
      <c r="I974" s="1"/>
      <c r="J974" s="1"/>
      <c r="K974" s="1"/>
      <c r="L974" s="1"/>
    </row>
    <row r="975">
      <c r="A975" s="1"/>
      <c r="B975" s="1"/>
      <c r="C975" s="13"/>
      <c r="E975" s="1"/>
      <c r="F975" s="1"/>
      <c r="G975" s="1"/>
      <c r="H975" s="1"/>
      <c r="I975" s="1"/>
      <c r="J975" s="1"/>
      <c r="K975" s="1"/>
      <c r="L975" s="1"/>
    </row>
    <row r="976">
      <c r="A976" s="1"/>
      <c r="B976" s="1"/>
      <c r="C976" s="13"/>
      <c r="E976" s="1"/>
      <c r="F976" s="1"/>
      <c r="G976" s="1"/>
      <c r="H976" s="1"/>
      <c r="I976" s="1"/>
      <c r="J976" s="1"/>
      <c r="K976" s="1"/>
      <c r="L976" s="1"/>
    </row>
    <row r="977">
      <c r="A977" s="1"/>
      <c r="B977" s="1"/>
      <c r="C977" s="13"/>
      <c r="E977" s="1"/>
      <c r="F977" s="1"/>
      <c r="G977" s="1"/>
      <c r="H977" s="1"/>
      <c r="I977" s="1"/>
      <c r="J977" s="1"/>
      <c r="K977" s="1"/>
      <c r="L977" s="1"/>
    </row>
    <row r="978">
      <c r="A978" s="1"/>
      <c r="B978" s="1"/>
      <c r="C978" s="13"/>
      <c r="E978" s="1"/>
      <c r="F978" s="1"/>
      <c r="G978" s="1"/>
      <c r="H978" s="1"/>
      <c r="I978" s="1"/>
      <c r="J978" s="1"/>
      <c r="K978" s="1"/>
      <c r="L978" s="1"/>
    </row>
    <row r="979">
      <c r="A979" s="1"/>
      <c r="B979" s="1"/>
      <c r="C979" s="13"/>
      <c r="E979" s="1"/>
      <c r="F979" s="1"/>
      <c r="G979" s="1"/>
      <c r="H979" s="1"/>
      <c r="I979" s="1"/>
      <c r="J979" s="1"/>
      <c r="K979" s="1"/>
      <c r="L979" s="1"/>
    </row>
    <row r="980">
      <c r="A980" s="1"/>
      <c r="B980" s="1"/>
      <c r="C980" s="13"/>
      <c r="E980" s="1"/>
      <c r="F980" s="1"/>
      <c r="G980" s="1"/>
      <c r="H980" s="1"/>
      <c r="I980" s="1"/>
      <c r="J980" s="1"/>
      <c r="K980" s="1"/>
      <c r="L980" s="1"/>
    </row>
    <row r="981">
      <c r="A981" s="1"/>
      <c r="B981" s="1"/>
      <c r="C981" s="13"/>
      <c r="E981" s="1"/>
      <c r="F981" s="1"/>
      <c r="G981" s="1"/>
      <c r="H981" s="1"/>
      <c r="I981" s="1"/>
      <c r="J981" s="1"/>
      <c r="K981" s="1"/>
      <c r="L981" s="1"/>
    </row>
    <row r="982">
      <c r="A982" s="1"/>
      <c r="B982" s="1"/>
      <c r="C982" s="13"/>
      <c r="E982" s="1"/>
      <c r="F982" s="1"/>
      <c r="G982" s="1"/>
      <c r="H982" s="1"/>
      <c r="I982" s="1"/>
      <c r="J982" s="1"/>
      <c r="K982" s="1"/>
      <c r="L982" s="1"/>
    </row>
    <row r="983">
      <c r="A983" s="1"/>
      <c r="B983" s="1"/>
      <c r="C983" s="13"/>
      <c r="E983" s="1"/>
      <c r="F983" s="1"/>
      <c r="G983" s="1"/>
      <c r="H983" s="1"/>
      <c r="I983" s="1"/>
      <c r="J983" s="1"/>
      <c r="K983" s="1"/>
      <c r="L983" s="1"/>
    </row>
    <row r="984">
      <c r="A984" s="1"/>
      <c r="B984" s="1"/>
      <c r="C984" s="13"/>
      <c r="E984" s="1"/>
      <c r="F984" s="1"/>
      <c r="G984" s="1"/>
      <c r="H984" s="1"/>
      <c r="I984" s="1"/>
      <c r="J984" s="1"/>
      <c r="K984" s="1"/>
      <c r="L984" s="1"/>
    </row>
    <row r="985">
      <c r="A985" s="1"/>
      <c r="B985" s="1"/>
      <c r="C985" s="13"/>
      <c r="E985" s="1"/>
      <c r="F985" s="1"/>
      <c r="G985" s="1"/>
      <c r="H985" s="1"/>
      <c r="I985" s="1"/>
      <c r="J985" s="1"/>
      <c r="K985" s="1"/>
      <c r="L985" s="1"/>
    </row>
    <row r="986">
      <c r="A986" s="1"/>
      <c r="B986" s="1"/>
      <c r="C986" s="13"/>
      <c r="E986" s="1"/>
      <c r="F986" s="1"/>
      <c r="G986" s="1"/>
      <c r="H986" s="1"/>
      <c r="I986" s="1"/>
      <c r="J986" s="1"/>
      <c r="K986" s="1"/>
      <c r="L986" s="1"/>
    </row>
    <row r="987">
      <c r="A987" s="1"/>
      <c r="B987" s="1"/>
      <c r="C987" s="13"/>
      <c r="E987" s="1"/>
      <c r="F987" s="1"/>
      <c r="G987" s="1"/>
      <c r="H987" s="1"/>
      <c r="I987" s="1"/>
      <c r="J987" s="1"/>
      <c r="K987" s="1"/>
      <c r="L987" s="1"/>
    </row>
    <row r="988">
      <c r="A988" s="1"/>
      <c r="B988" s="1"/>
      <c r="C988" s="13"/>
      <c r="E988" s="1"/>
      <c r="F988" s="1"/>
      <c r="G988" s="1"/>
      <c r="H988" s="1"/>
      <c r="I988" s="1"/>
      <c r="J988" s="1"/>
      <c r="K988" s="1"/>
      <c r="L988" s="1"/>
    </row>
    <row r="989">
      <c r="A989" s="1"/>
      <c r="B989" s="1"/>
      <c r="C989" s="13"/>
      <c r="E989" s="1"/>
      <c r="F989" s="1"/>
      <c r="G989" s="1"/>
      <c r="H989" s="1"/>
      <c r="I989" s="1"/>
      <c r="J989" s="1"/>
      <c r="K989" s="1"/>
      <c r="L989" s="1"/>
    </row>
    <row r="990">
      <c r="A990" s="1"/>
      <c r="B990" s="1"/>
      <c r="C990" s="13"/>
      <c r="E990" s="1"/>
      <c r="F990" s="1"/>
      <c r="G990" s="1"/>
      <c r="H990" s="1"/>
      <c r="I990" s="1"/>
      <c r="J990" s="1"/>
      <c r="K990" s="1"/>
      <c r="L990" s="1"/>
    </row>
    <row r="991">
      <c r="A991" s="1"/>
      <c r="B991" s="1"/>
      <c r="C991" s="13"/>
      <c r="E991" s="1"/>
      <c r="F991" s="1"/>
      <c r="G991" s="1"/>
      <c r="H991" s="1"/>
      <c r="I991" s="1"/>
      <c r="J991" s="1"/>
      <c r="K991" s="1"/>
      <c r="L991" s="1"/>
    </row>
    <row r="992">
      <c r="A992" s="1"/>
      <c r="B992" s="1"/>
      <c r="C992" s="13"/>
      <c r="E992" s="1"/>
      <c r="F992" s="1"/>
      <c r="G992" s="1"/>
      <c r="H992" s="1"/>
      <c r="I992" s="1"/>
      <c r="J992" s="1"/>
      <c r="K992" s="1"/>
      <c r="L992" s="1"/>
    </row>
    <row r="993">
      <c r="A993" s="1"/>
      <c r="B993" s="1"/>
      <c r="C993" s="13"/>
      <c r="E993" s="1"/>
      <c r="F993" s="1"/>
      <c r="G993" s="1"/>
      <c r="H993" s="1"/>
      <c r="I993" s="1"/>
      <c r="J993" s="1"/>
      <c r="K993" s="1"/>
      <c r="L993" s="1"/>
    </row>
    <row r="994">
      <c r="A994" s="1"/>
      <c r="B994" s="1"/>
      <c r="C994" s="13"/>
      <c r="E994" s="1"/>
      <c r="F994" s="1"/>
      <c r="G994" s="1"/>
      <c r="H994" s="1"/>
      <c r="I994" s="1"/>
      <c r="J994" s="1"/>
      <c r="K994" s="1"/>
      <c r="L994" s="1"/>
    </row>
    <row r="995">
      <c r="A995" s="1"/>
      <c r="B995" s="1"/>
      <c r="C995" s="13"/>
      <c r="E995" s="1"/>
      <c r="F995" s="1"/>
      <c r="G995" s="1"/>
      <c r="H995" s="1"/>
      <c r="I995" s="1"/>
      <c r="J995" s="1"/>
      <c r="K995" s="1"/>
      <c r="L995" s="1"/>
    </row>
    <row r="996">
      <c r="A996" s="1"/>
      <c r="B996" s="1"/>
      <c r="C996" s="13"/>
      <c r="E996" s="1"/>
      <c r="F996" s="1"/>
      <c r="G996" s="1"/>
      <c r="H996" s="1"/>
      <c r="I996" s="1"/>
      <c r="J996" s="1"/>
      <c r="K996" s="1"/>
      <c r="L996" s="1"/>
    </row>
    <row r="997">
      <c r="A997" s="1"/>
      <c r="B997" s="1"/>
      <c r="C997" s="13"/>
      <c r="E997" s="1"/>
      <c r="F997" s="1"/>
      <c r="G997" s="1"/>
      <c r="H997" s="1"/>
      <c r="I997" s="1"/>
      <c r="J997" s="1"/>
      <c r="K997" s="1"/>
      <c r="L997" s="1"/>
    </row>
    <row r="998">
      <c r="A998" s="1"/>
      <c r="B998" s="1"/>
      <c r="C998" s="13"/>
      <c r="E998" s="1"/>
      <c r="F998" s="1"/>
      <c r="G998" s="1"/>
      <c r="H998" s="1"/>
      <c r="I998" s="1"/>
      <c r="J998" s="1"/>
      <c r="K998" s="1"/>
      <c r="L998" s="1"/>
    </row>
    <row r="999">
      <c r="A999" s="1"/>
      <c r="B999" s="1"/>
      <c r="C999" s="13"/>
      <c r="E999" s="1"/>
      <c r="F999" s="1"/>
      <c r="G999" s="1"/>
      <c r="H999" s="1"/>
      <c r="I999" s="1"/>
      <c r="J999" s="1"/>
      <c r="K999" s="1"/>
      <c r="L999" s="1"/>
    </row>
    <row r="1000">
      <c r="A1000" s="1"/>
      <c r="B1000" s="1"/>
      <c r="C1000" s="13"/>
      <c r="E1000" s="1"/>
      <c r="F1000" s="1"/>
      <c r="G1000" s="1"/>
      <c r="H1000" s="1"/>
      <c r="I1000" s="1"/>
      <c r="J1000" s="1"/>
      <c r="K1000" s="1"/>
      <c r="L1000" s="1"/>
    </row>
    <row r="1001">
      <c r="A1001" s="1"/>
      <c r="B1001" s="1"/>
      <c r="C1001" s="13"/>
      <c r="E1001" s="1"/>
      <c r="F1001" s="1"/>
      <c r="G1001" s="1"/>
      <c r="H1001" s="1"/>
      <c r="I1001" s="1"/>
      <c r="J1001" s="1"/>
      <c r="K1001" s="1"/>
      <c r="L1001" s="1"/>
    </row>
  </sheetData>
  <hyperlinks>
    <hyperlink r:id="rId1" ref="C254"/>
  </hyperlin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cols>
    <col customWidth="1" min="2" max="2" width="13.38"/>
    <col customWidth="1" min="3" max="3" width="35.38"/>
    <col customWidth="1" min="4" max="4" width="15.38"/>
    <col customWidth="1" min="11" max="11" width="17.75"/>
    <col customWidth="1" hidden="1" min="12" max="12" width="17.75"/>
    <col hidden="1" min="13" max="28" width="12.63"/>
  </cols>
  <sheetData>
    <row r="1">
      <c r="A1" s="9" t="s">
        <v>0</v>
      </c>
      <c r="B1" s="9" t="s">
        <v>1</v>
      </c>
      <c r="C1" s="11" t="s">
        <v>2</v>
      </c>
      <c r="D1" s="11" t="s">
        <v>12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9" t="s">
        <v>10</v>
      </c>
      <c r="L1" s="9"/>
      <c r="M1" s="12"/>
      <c r="N1" s="12"/>
      <c r="O1" s="12"/>
      <c r="P1" s="12"/>
      <c r="Q1" s="12"/>
      <c r="R1" s="12"/>
      <c r="S1" s="12"/>
      <c r="T1" s="12"/>
      <c r="U1" s="12"/>
      <c r="V1" s="12"/>
      <c r="W1" s="12"/>
      <c r="X1" s="12"/>
      <c r="Y1" s="12"/>
      <c r="Z1" s="12"/>
      <c r="AA1" s="12"/>
      <c r="AB1" s="12"/>
    </row>
    <row r="2">
      <c r="A2" s="1">
        <f>IFERROR(__xludf.DUMMYFUNCTION("SORT(FILTER({RESULT!$W$2:$W2377,RESULT!$B$2:$B2377,RESULT!$C$2:$C2377,RESULT!$D$2:$D2377,RESULT!$V$2:$V2377,RESULT!$F$2:$F2377,RESULT!$Q$2:$Q2377,RESULT!$I$2:$I2377,RESULT!$L$2:$L2377,RESULT!$R$2:$R2377,RESULT!$J$2:$J2377,RESULT!$Z$2:$Z2377},RESULT!$B$2:$"&amp;"B2377&lt;&gt;"""",RESULT!$E$2:$E2377=2),1,TRUE)"),1.0)</f>
        <v>1</v>
      </c>
      <c r="B2" s="1">
        <f>IFERROR(__xludf.DUMMYFUNCTION("""COMPUTED_VALUE"""),5049.0)</f>
        <v>5049</v>
      </c>
      <c r="C2" s="2" t="str">
        <f>IFERROR(__xludf.DUMMYFUNCTION("""COMPUTED_VALUE"""),"ari")</f>
        <v>ari</v>
      </c>
      <c r="D2" s="2" t="str">
        <f>IFERROR(__xludf.DUMMYFUNCTION("""COMPUTED_VALUE"""),"5KM OVERALL M")</f>
        <v>5KM OVERALL M</v>
      </c>
      <c r="E2" s="1">
        <f>IFERROR(__xludf.DUMMYFUNCTION("""COMPUTED_VALUE"""),1.0)</f>
        <v>1</v>
      </c>
      <c r="F2" s="1" t="str">
        <f>IFERROR(__xludf.DUMMYFUNCTION("""COMPUTED_VALUE"""),"Male")</f>
        <v>Male</v>
      </c>
      <c r="G2" s="5">
        <f>IFERROR(__xludf.DUMMYFUNCTION("""COMPUTED_VALUE"""),0.002473150462962963)</f>
        <v>0.002473150463</v>
      </c>
      <c r="H2" s="15">
        <f>IFERROR(__xludf.DUMMYFUNCTION("""COMPUTED_VALUE"""),0.2549440625)</f>
        <v>0.2549440625</v>
      </c>
      <c r="I2" s="15">
        <f>IFERROR(__xludf.DUMMYFUNCTION("""COMPUTED_VALUE"""),45949.26730981341)</f>
        <v>45949.26731</v>
      </c>
      <c r="J2" s="15">
        <f>IFERROR(__xludf.DUMMYFUNCTION("""COMPUTED_VALUE"""),45949.01236575091)</f>
        <v>45949.01237</v>
      </c>
      <c r="K2" s="15">
        <f>IFERROR(__xludf.DUMMYFUNCTION("""COMPUTED_VALUE"""),45949.26190972222)</f>
        <v>45949.26191</v>
      </c>
      <c r="L2" s="4"/>
    </row>
    <row r="3">
      <c r="A3" s="1">
        <f>IFERROR(__xludf.DUMMYFUNCTION("""COMPUTED_VALUE"""),2.0)</f>
        <v>2</v>
      </c>
      <c r="B3" s="1">
        <f>IFERROR(__xludf.DUMMYFUNCTION("""COMPUTED_VALUE"""),6238.0)</f>
        <v>6238</v>
      </c>
      <c r="C3" s="2" t="str">
        <f>IFERROR(__xludf.DUMMYFUNCTION("""COMPUTED_VALUE"""),"Doni Rahman")</f>
        <v>Doni Rahman</v>
      </c>
      <c r="D3" s="2" t="str">
        <f>IFERROR(__xludf.DUMMYFUNCTION("""COMPUTED_VALUE"""),"5KM OVERALL M")</f>
        <v>5KM OVERALL M</v>
      </c>
      <c r="E3" s="1">
        <f>IFERROR(__xludf.DUMMYFUNCTION("""COMPUTED_VALUE"""),2.0)</f>
        <v>2</v>
      </c>
      <c r="F3" s="1" t="str">
        <f>IFERROR(__xludf.DUMMYFUNCTION("""COMPUTED_VALUE"""),"Male")</f>
        <v>Male</v>
      </c>
      <c r="G3" s="5">
        <f>IFERROR(__xludf.DUMMYFUNCTION("""COMPUTED_VALUE"""),0.002491201388888889)</f>
        <v>0.002491201389</v>
      </c>
      <c r="H3" s="15">
        <f>IFERROR(__xludf.DUMMYFUNCTION("""COMPUTED_VALUE"""),0.2549440625)</f>
        <v>0.2549440625</v>
      </c>
      <c r="I3" s="15">
        <f>IFERROR(__xludf.DUMMYFUNCTION("""COMPUTED_VALUE"""),45949.26740007228)</f>
        <v>45949.2674</v>
      </c>
      <c r="J3" s="15">
        <f>IFERROR(__xludf.DUMMYFUNCTION("""COMPUTED_VALUE"""),45949.01245600978)</f>
        <v>45949.01246</v>
      </c>
      <c r="K3" s="15">
        <f>IFERROR(__xludf.DUMMYFUNCTION("""COMPUTED_VALUE"""),45949.261998922004)</f>
        <v>45949.262</v>
      </c>
      <c r="L3" s="4"/>
    </row>
    <row r="4">
      <c r="A4" s="1">
        <f>IFERROR(__xludf.DUMMYFUNCTION("""COMPUTED_VALUE"""),3.0)</f>
        <v>3</v>
      </c>
      <c r="B4" s="1">
        <f>IFERROR(__xludf.DUMMYFUNCTION("""COMPUTED_VALUE"""),5874.0)</f>
        <v>5874</v>
      </c>
      <c r="C4" s="2" t="str">
        <f>IFERROR(__xludf.DUMMYFUNCTION("""COMPUTED_VALUE"""),"Bagus Legowo")</f>
        <v>Bagus Legowo</v>
      </c>
      <c r="D4" s="2" t="str">
        <f>IFERROR(__xludf.DUMMYFUNCTION("""COMPUTED_VALUE"""),"5KM OVERALL M")</f>
        <v>5KM OVERALL M</v>
      </c>
      <c r="E4" s="1">
        <f>IFERROR(__xludf.DUMMYFUNCTION("""COMPUTED_VALUE"""),3.0)</f>
        <v>3</v>
      </c>
      <c r="F4" s="1" t="str">
        <f>IFERROR(__xludf.DUMMYFUNCTION("""COMPUTED_VALUE"""),"Male")</f>
        <v>Male</v>
      </c>
      <c r="G4" s="5">
        <f>IFERROR(__xludf.DUMMYFUNCTION("""COMPUTED_VALUE"""),0.0024949837962962964)</f>
        <v>0.002494983796</v>
      </c>
      <c r="H4" s="15">
        <f>IFERROR(__xludf.DUMMYFUNCTION("""COMPUTED_VALUE"""),0.2549440625)</f>
        <v>0.2549440625</v>
      </c>
      <c r="I4" s="15">
        <f>IFERROR(__xludf.DUMMYFUNCTION("""COMPUTED_VALUE"""),45949.26741898148)</f>
        <v>45949.26742</v>
      </c>
      <c r="J4" s="15">
        <f>IFERROR(__xludf.DUMMYFUNCTION("""COMPUTED_VALUE"""),45949.01247491898)</f>
        <v>45949.01247</v>
      </c>
      <c r="K4" s="15">
        <f>IFERROR(__xludf.DUMMYFUNCTION("""COMPUTED_VALUE"""),45949.2619954386)</f>
        <v>45949.262</v>
      </c>
      <c r="L4" s="4"/>
    </row>
    <row r="5">
      <c r="A5" s="1">
        <f>IFERROR(__xludf.DUMMYFUNCTION("""COMPUTED_VALUE"""),4.0)</f>
        <v>4</v>
      </c>
      <c r="B5" s="1">
        <f>IFERROR(__xludf.DUMMYFUNCTION("""COMPUTED_VALUE"""),5500.0)</f>
        <v>5500</v>
      </c>
      <c r="C5" s="2" t="str">
        <f>IFERROR(__xludf.DUMMYFUNCTION("""COMPUTED_VALUE"""),"Habibie Kilat")</f>
        <v>Habibie Kilat</v>
      </c>
      <c r="D5" s="2" t="str">
        <f>IFERROR(__xludf.DUMMYFUNCTION("""COMPUTED_VALUE"""),"5KM OVERALL M")</f>
        <v>5KM OVERALL M</v>
      </c>
      <c r="E5" s="1">
        <f>IFERROR(__xludf.DUMMYFUNCTION("""COMPUTED_VALUE"""),4.0)</f>
        <v>4</v>
      </c>
      <c r="F5" s="1" t="str">
        <f>IFERROR(__xludf.DUMMYFUNCTION("""COMPUTED_VALUE"""),"Male")</f>
        <v>Male</v>
      </c>
      <c r="G5" s="5">
        <f>IFERROR(__xludf.DUMMYFUNCTION("""COMPUTED_VALUE"""),0.0025217615740740743)</f>
        <v>0.002521761574</v>
      </c>
      <c r="H5" s="15">
        <f>IFERROR(__xludf.DUMMYFUNCTION("""COMPUTED_VALUE"""),0.2549440625)</f>
        <v>0.2549440625</v>
      </c>
      <c r="I5" s="15">
        <f>IFERROR(__xludf.DUMMYFUNCTION("""COMPUTED_VALUE"""),45949.26755287329)</f>
        <v>45949.26755</v>
      </c>
      <c r="J5" s="15">
        <f>IFERROR(__xludf.DUMMYFUNCTION("""COMPUTED_VALUE"""),45949.012608810786)</f>
        <v>45949.01261</v>
      </c>
      <c r="K5" s="15">
        <f>IFERROR(__xludf.DUMMYFUNCTION("""COMPUTED_VALUE"""),45949.26199890932)</f>
        <v>45949.262</v>
      </c>
      <c r="L5" s="4"/>
    </row>
    <row r="6">
      <c r="A6" s="1">
        <f>IFERROR(__xludf.DUMMYFUNCTION("""COMPUTED_VALUE"""),5.0)</f>
        <v>5</v>
      </c>
      <c r="B6" s="1">
        <f>IFERROR(__xludf.DUMMYFUNCTION("""COMPUTED_VALUE"""),5079.0)</f>
        <v>5079</v>
      </c>
      <c r="C6" s="2" t="str">
        <f>IFERROR(__xludf.DUMMYFUNCTION("""COMPUTED_VALUE"""),"RABBANI")</f>
        <v>RABBANI</v>
      </c>
      <c r="D6" s="2" t="str">
        <f>IFERROR(__xludf.DUMMYFUNCTION("""COMPUTED_VALUE"""),"5KM OVERALL M")</f>
        <v>5KM OVERALL M</v>
      </c>
      <c r="E6" s="1">
        <f>IFERROR(__xludf.DUMMYFUNCTION("""COMPUTED_VALUE"""),5.0)</f>
        <v>5</v>
      </c>
      <c r="F6" s="1" t="str">
        <f>IFERROR(__xludf.DUMMYFUNCTION("""COMPUTED_VALUE"""),"Male")</f>
        <v>Male</v>
      </c>
      <c r="G6" s="5">
        <f>IFERROR(__xludf.DUMMYFUNCTION("""COMPUTED_VALUE"""),0.002522525462962963)</f>
        <v>0.002522525463</v>
      </c>
      <c r="H6" s="15">
        <f>IFERROR(__xludf.DUMMYFUNCTION("""COMPUTED_VALUE"""),0.2549440625)</f>
        <v>0.2549440625</v>
      </c>
      <c r="I6" s="15">
        <f>IFERROR(__xludf.DUMMYFUNCTION("""COMPUTED_VALUE"""),45949.26755668982)</f>
        <v>45949.26756</v>
      </c>
      <c r="J6" s="15">
        <f>IFERROR(__xludf.DUMMYFUNCTION("""COMPUTED_VALUE"""),45949.01261262732)</f>
        <v>45949.01261</v>
      </c>
      <c r="K6" s="15">
        <f>IFERROR(__xludf.DUMMYFUNCTION("""COMPUTED_VALUE"""),45949.262040575406)</f>
        <v>45949.26204</v>
      </c>
      <c r="L6" s="4"/>
    </row>
    <row r="7">
      <c r="A7" s="1">
        <f>IFERROR(__xludf.DUMMYFUNCTION("""COMPUTED_VALUE"""),6.0)</f>
        <v>6</v>
      </c>
      <c r="B7" s="1">
        <f>IFERROR(__xludf.DUMMYFUNCTION("""COMPUTED_VALUE"""),5224.0)</f>
        <v>5224</v>
      </c>
      <c r="C7" s="2" t="str">
        <f>IFERROR(__xludf.DUMMYFUNCTION("""COMPUTED_VALUE"""),"rachman")</f>
        <v>rachman</v>
      </c>
      <c r="D7" s="2" t="str">
        <f>IFERROR(__xludf.DUMMYFUNCTION("""COMPUTED_VALUE"""),"5KM OVERALL M")</f>
        <v>5KM OVERALL M</v>
      </c>
      <c r="E7" s="1">
        <f>IFERROR(__xludf.DUMMYFUNCTION("""COMPUTED_VALUE"""),6.0)</f>
        <v>6</v>
      </c>
      <c r="F7" s="1" t="str">
        <f>IFERROR(__xludf.DUMMYFUNCTION("""COMPUTED_VALUE"""),"Male")</f>
        <v>Male</v>
      </c>
      <c r="G7" s="5">
        <f>IFERROR(__xludf.DUMMYFUNCTION("""COMPUTED_VALUE"""),0.002550925925925926)</f>
        <v>0.002550925926</v>
      </c>
      <c r="H7" s="15">
        <f>IFERROR(__xludf.DUMMYFUNCTION("""COMPUTED_VALUE"""),0.2549440625)</f>
        <v>0.2549440625</v>
      </c>
      <c r="I7" s="15">
        <f>IFERROR(__xludf.DUMMYFUNCTION("""COMPUTED_VALUE"""),45949.267698697375)</f>
        <v>45949.2677</v>
      </c>
      <c r="J7" s="15">
        <f>IFERROR(__xludf.DUMMYFUNCTION("""COMPUTED_VALUE"""),45949.012754634874)</f>
        <v>45949.01275</v>
      </c>
      <c r="K7" s="15">
        <f>IFERROR(__xludf.DUMMYFUNCTION("""COMPUTED_VALUE"""),45949.26200237787)</f>
        <v>45949.262</v>
      </c>
      <c r="L7" s="4"/>
    </row>
    <row r="8">
      <c r="A8" s="1">
        <f>IFERROR(__xludf.DUMMYFUNCTION("""COMPUTED_VALUE"""),7.0)</f>
        <v>7</v>
      </c>
      <c r="B8" s="1">
        <f>IFERROR(__xludf.DUMMYFUNCTION("""COMPUTED_VALUE"""),5919.0)</f>
        <v>5919</v>
      </c>
      <c r="C8" s="2" t="str">
        <f>IFERROR(__xludf.DUMMYFUNCTION("""COMPUTED_VALUE"""),"Muhammad Anwarur Ridhwan")</f>
        <v>Muhammad Anwarur Ridhwan</v>
      </c>
      <c r="D8" s="2" t="str">
        <f>IFERROR(__xludf.DUMMYFUNCTION("""COMPUTED_VALUE"""),"5KM OVERALL M")</f>
        <v>5KM OVERALL M</v>
      </c>
      <c r="E8" s="1">
        <f>IFERROR(__xludf.DUMMYFUNCTION("""COMPUTED_VALUE"""),7.0)</f>
        <v>7</v>
      </c>
      <c r="F8" s="1" t="str">
        <f>IFERROR(__xludf.DUMMYFUNCTION("""COMPUTED_VALUE"""),"Male")</f>
        <v>Male</v>
      </c>
      <c r="G8" s="5">
        <f>IFERROR(__xludf.DUMMYFUNCTION("""COMPUTED_VALUE"""),0.0026378819444444444)</f>
        <v>0.002637881944</v>
      </c>
      <c r="H8" s="15">
        <f>IFERROR(__xludf.DUMMYFUNCTION("""COMPUTED_VALUE"""),0.2549440625)</f>
        <v>0.2549440625</v>
      </c>
      <c r="I8" s="15">
        <f>IFERROR(__xludf.DUMMYFUNCTION("""COMPUTED_VALUE"""),45949.26813346708)</f>
        <v>45949.26813</v>
      </c>
      <c r="J8" s="15">
        <f>IFERROR(__xludf.DUMMYFUNCTION("""COMPUTED_VALUE"""),45949.01318940458)</f>
        <v>45949.01319</v>
      </c>
      <c r="K8" s="15">
        <f>IFERROR(__xludf.DUMMYFUNCTION("""COMPUTED_VALUE"""),45949.262127389964)</f>
        <v>45949.26213</v>
      </c>
      <c r="L8" s="4"/>
    </row>
    <row r="9">
      <c r="A9" s="1">
        <f>IFERROR(__xludf.DUMMYFUNCTION("""COMPUTED_VALUE"""),8.0)</f>
        <v>8</v>
      </c>
      <c r="B9" s="7" t="str">
        <f>IFERROR(__xludf.DUMMYFUNCTION("""COMPUTED_VALUE"""),"9086")</f>
        <v>9086</v>
      </c>
      <c r="C9" s="8" t="str">
        <f>IFERROR(__xludf.DUMMYFUNCTION("""COMPUTED_VALUE"""),"malik")</f>
        <v>malik</v>
      </c>
      <c r="D9" s="2" t="str">
        <f>IFERROR(__xludf.DUMMYFUNCTION("""COMPUTED_VALUE"""),"5KM STUDENT M")</f>
        <v>5KM STUDENT M</v>
      </c>
      <c r="E9" s="1">
        <f>IFERROR(__xludf.DUMMYFUNCTION("""COMPUTED_VALUE"""),1.0)</f>
        <v>1</v>
      </c>
      <c r="F9" s="1" t="str">
        <f>IFERROR(__xludf.DUMMYFUNCTION("""COMPUTED_VALUE"""),"Male")</f>
        <v>Male</v>
      </c>
      <c r="G9" s="5">
        <f>IFERROR(__xludf.DUMMYFUNCTION("""COMPUTED_VALUE"""),0.002805784722222222)</f>
        <v>0.002805784722</v>
      </c>
      <c r="H9" s="15">
        <f>IFERROR(__xludf.DUMMYFUNCTION("""COMPUTED_VALUE"""),0.2549440625)</f>
        <v>0.2549440625</v>
      </c>
      <c r="I9" s="15">
        <f>IFERROR(__xludf.DUMMYFUNCTION("""COMPUTED_VALUE"""),45949.2689729874)</f>
        <v>45949.26897</v>
      </c>
      <c r="J9" s="15">
        <f>IFERROR(__xludf.DUMMYFUNCTION("""COMPUTED_VALUE"""),45949.014028924896)</f>
        <v>45949.01403</v>
      </c>
      <c r="K9" s="15">
        <f>IFERROR(__xludf.DUMMYFUNCTION("""COMPUTED_VALUE"""),45949.26284722222)</f>
        <v>45949.26285</v>
      </c>
      <c r="L9" s="4"/>
    </row>
    <row r="10">
      <c r="A10" s="1">
        <f>IFERROR(__xludf.DUMMYFUNCTION("""COMPUTED_VALUE"""),9.0)</f>
        <v>9</v>
      </c>
      <c r="B10" s="1">
        <f>IFERROR(__xludf.DUMMYFUNCTION("""COMPUTED_VALUE"""),5020.0)</f>
        <v>5020</v>
      </c>
      <c r="C10" s="2" t="str">
        <f>IFERROR(__xludf.DUMMYFUNCTION("""COMPUTED_VALUE"""),"Riky G.")</f>
        <v>Riky G.</v>
      </c>
      <c r="D10" s="2" t="str">
        <f>IFERROR(__xludf.DUMMYFUNCTION("""COMPUTED_VALUE"""),"5KM OVERALL M")</f>
        <v>5KM OVERALL M</v>
      </c>
      <c r="E10" s="1">
        <f>IFERROR(__xludf.DUMMYFUNCTION("""COMPUTED_VALUE"""),8.0)</f>
        <v>8</v>
      </c>
      <c r="F10" s="1" t="str">
        <f>IFERROR(__xludf.DUMMYFUNCTION("""COMPUTED_VALUE"""),"Male")</f>
        <v>Male</v>
      </c>
      <c r="G10" s="5">
        <f>IFERROR(__xludf.DUMMYFUNCTION("""COMPUTED_VALUE"""),0.0029005624999999995)</f>
        <v>0.0029005625</v>
      </c>
      <c r="H10" s="15">
        <f>IFERROR(__xludf.DUMMYFUNCTION("""COMPUTED_VALUE"""),0.2549440625)</f>
        <v>0.2549440625</v>
      </c>
      <c r="I10" s="15">
        <f>IFERROR(__xludf.DUMMYFUNCTION("""COMPUTED_VALUE"""),45949.26944687208)</f>
        <v>45949.26945</v>
      </c>
      <c r="J10" s="15">
        <f>IFERROR(__xludf.DUMMYFUNCTION("""COMPUTED_VALUE"""),45949.01450280958)</f>
        <v>45949.0145</v>
      </c>
      <c r="K10" s="15">
        <f>IFERROR(__xludf.DUMMYFUNCTION("""COMPUTED_VALUE"""),45949.262773230614)</f>
        <v>45949.26277</v>
      </c>
      <c r="L10" s="4"/>
    </row>
    <row r="11">
      <c r="A11" s="1">
        <f>IFERROR(__xludf.DUMMYFUNCTION("""COMPUTED_VALUE"""),10.0)</f>
        <v>10</v>
      </c>
      <c r="B11" s="1">
        <f>IFERROR(__xludf.DUMMYFUNCTION("""COMPUTED_VALUE"""),6191.0)</f>
        <v>6191</v>
      </c>
      <c r="C11" s="2" t="str">
        <f>IFERROR(__xludf.DUMMYFUNCTION("""COMPUTED_VALUE"""),"Muhammad Seman")</f>
        <v>Muhammad Seman</v>
      </c>
      <c r="D11" s="2" t="str">
        <f>IFERROR(__xludf.DUMMYFUNCTION("""COMPUTED_VALUE"""),"5KM OVERALL M")</f>
        <v>5KM OVERALL M</v>
      </c>
      <c r="E11" s="1">
        <f>IFERROR(__xludf.DUMMYFUNCTION("""COMPUTED_VALUE"""),9.0)</f>
        <v>9</v>
      </c>
      <c r="F11" s="1" t="str">
        <f>IFERROR(__xludf.DUMMYFUNCTION("""COMPUTED_VALUE"""),"Male")</f>
        <v>Male</v>
      </c>
      <c r="G11" s="5">
        <f>IFERROR(__xludf.DUMMYFUNCTION("""COMPUTED_VALUE"""),0.0029045555555555556)</f>
        <v>0.002904555556</v>
      </c>
      <c r="H11" s="15">
        <f>IFERROR(__xludf.DUMMYFUNCTION("""COMPUTED_VALUE"""),0.2549440625)</f>
        <v>0.2549440625</v>
      </c>
      <c r="I11" s="15">
        <f>IFERROR(__xludf.DUMMYFUNCTION("""COMPUTED_VALUE"""),45949.26946684089)</f>
        <v>45949.26947</v>
      </c>
      <c r="J11" s="15">
        <f>IFERROR(__xludf.DUMMYFUNCTION("""COMPUTED_VALUE"""),45949.01452277839)</f>
        <v>45949.01452</v>
      </c>
      <c r="K11" s="15">
        <f>IFERROR(__xludf.DUMMYFUNCTION("""COMPUTED_VALUE"""),45949.26303710561)</f>
        <v>45949.26304</v>
      </c>
      <c r="L11" s="4"/>
    </row>
    <row r="12">
      <c r="A12" s="1">
        <f>IFERROR(__xludf.DUMMYFUNCTION("""COMPUTED_VALUE"""),11.0)</f>
        <v>11</v>
      </c>
      <c r="B12" s="7" t="str">
        <f>IFERROR(__xludf.DUMMYFUNCTION("""COMPUTED_VALUE"""),"9084")</f>
        <v>9084</v>
      </c>
      <c r="C12" s="8" t="str">
        <f>IFERROR(__xludf.DUMMYFUNCTION("""COMPUTED_VALUE"""),"ANWAR")</f>
        <v>ANWAR</v>
      </c>
      <c r="D12" s="2" t="str">
        <f>IFERROR(__xludf.DUMMYFUNCTION("""COMPUTED_VALUE"""),"5KM STUDENT M")</f>
        <v>5KM STUDENT M</v>
      </c>
      <c r="E12" s="1">
        <f>IFERROR(__xludf.DUMMYFUNCTION("""COMPUTED_VALUE"""),2.0)</f>
        <v>2</v>
      </c>
      <c r="F12" s="1" t="str">
        <f>IFERROR(__xludf.DUMMYFUNCTION("""COMPUTED_VALUE"""),"Male")</f>
        <v>Male</v>
      </c>
      <c r="G12" s="5">
        <f>IFERROR(__xludf.DUMMYFUNCTION("""COMPUTED_VALUE"""),0.002953861111111111)</f>
        <v>0.002953861111</v>
      </c>
      <c r="H12" s="15">
        <f>IFERROR(__xludf.DUMMYFUNCTION("""COMPUTED_VALUE"""),0.2549440625)</f>
        <v>0.2549440625</v>
      </c>
      <c r="I12" s="15">
        <f>IFERROR(__xludf.DUMMYFUNCTION("""COMPUTED_VALUE"""),45949.26971337129)</f>
        <v>45949.26971</v>
      </c>
      <c r="J12" s="15">
        <f>IFERROR(__xludf.DUMMYFUNCTION("""COMPUTED_VALUE"""),45949.01476930879)</f>
        <v>45949.01477</v>
      </c>
      <c r="K12" s="15">
        <f>IFERROR(__xludf.DUMMYFUNCTION("""COMPUTED_VALUE"""),45949.2630996186)</f>
        <v>45949.2631</v>
      </c>
      <c r="L12" s="4"/>
    </row>
    <row r="13">
      <c r="A13" s="1">
        <f>IFERROR(__xludf.DUMMYFUNCTION("""COMPUTED_VALUE"""),12.0)</f>
        <v>12</v>
      </c>
      <c r="B13" s="1">
        <f>IFERROR(__xludf.DUMMYFUNCTION("""COMPUTED_VALUE"""),6454.0)</f>
        <v>6454</v>
      </c>
      <c r="C13" s="2" t="str">
        <f>IFERROR(__xludf.DUMMYFUNCTION("""COMPUTED_VALUE"""),"-")</f>
        <v>-</v>
      </c>
      <c r="D13" s="2" t="str">
        <f>IFERROR(__xludf.DUMMYFUNCTION("""COMPUTED_VALUE"""),"5KM OVERALL M")</f>
        <v>5KM OVERALL M</v>
      </c>
      <c r="E13" s="1">
        <f>IFERROR(__xludf.DUMMYFUNCTION("""COMPUTED_VALUE"""),10.0)</f>
        <v>10</v>
      </c>
      <c r="F13" s="1" t="str">
        <f>IFERROR(__xludf.DUMMYFUNCTION("""COMPUTED_VALUE"""),"Male")</f>
        <v>Male</v>
      </c>
      <c r="G13" s="5">
        <f>IFERROR(__xludf.DUMMYFUNCTION("""COMPUTED_VALUE"""),0.002967740740740741)</f>
        <v>0.002967740741</v>
      </c>
      <c r="H13" s="15">
        <f>IFERROR(__xludf.DUMMYFUNCTION("""COMPUTED_VALUE"""),0.2549440625)</f>
        <v>0.2549440625</v>
      </c>
      <c r="I13" s="15">
        <f>IFERROR(__xludf.DUMMYFUNCTION("""COMPUTED_VALUE"""),45949.26978276107)</f>
        <v>45949.26978</v>
      </c>
      <c r="J13" s="15">
        <f>IFERROR(__xludf.DUMMYFUNCTION("""COMPUTED_VALUE"""),45949.01483869857)</f>
        <v>45949.01484</v>
      </c>
      <c r="K13" s="15">
        <f>IFERROR(__xludf.DUMMYFUNCTION("""COMPUTED_VALUE"""),45949.26309964174)</f>
        <v>45949.2631</v>
      </c>
      <c r="L13" s="4"/>
    </row>
    <row r="14">
      <c r="A14" s="1">
        <f>IFERROR(__xludf.DUMMYFUNCTION("""COMPUTED_VALUE"""),13.0)</f>
        <v>13</v>
      </c>
      <c r="B14" s="1">
        <f>IFERROR(__xludf.DUMMYFUNCTION("""COMPUTED_VALUE"""),5398.0)</f>
        <v>5398</v>
      </c>
      <c r="C14" s="2" t="str">
        <f>IFERROR(__xludf.DUMMYFUNCTION("""COMPUTED_VALUE"""),"Fauzan")</f>
        <v>Fauzan</v>
      </c>
      <c r="D14" s="2" t="str">
        <f>IFERROR(__xludf.DUMMYFUNCTION("""COMPUTED_VALUE"""),"5KM OVERALL M")</f>
        <v>5KM OVERALL M</v>
      </c>
      <c r="E14" s="1">
        <f>IFERROR(__xludf.DUMMYFUNCTION("""COMPUTED_VALUE"""),11.0)</f>
        <v>11</v>
      </c>
      <c r="F14" s="1" t="str">
        <f>IFERROR(__xludf.DUMMYFUNCTION("""COMPUTED_VALUE"""),"Male")</f>
        <v>Male</v>
      </c>
      <c r="G14" s="5">
        <f>IFERROR(__xludf.DUMMYFUNCTION("""COMPUTED_VALUE"""),0.002976777777777778)</f>
        <v>0.002976777778</v>
      </c>
      <c r="H14" s="15">
        <f>IFERROR(__xludf.DUMMYFUNCTION("""COMPUTED_VALUE"""),0.2549440625)</f>
        <v>0.2549440625</v>
      </c>
      <c r="I14" s="15">
        <f>IFERROR(__xludf.DUMMYFUNCTION("""COMPUTED_VALUE"""),45949.269827950644)</f>
        <v>45949.26983</v>
      </c>
      <c r="J14" s="15">
        <f>IFERROR(__xludf.DUMMYFUNCTION("""COMPUTED_VALUE"""),45949.01488388814)</f>
        <v>45949.01488</v>
      </c>
      <c r="K14" s="15">
        <f>IFERROR(__xludf.DUMMYFUNCTION("""COMPUTED_VALUE"""),45949.26314474477)</f>
        <v>45949.26314</v>
      </c>
      <c r="L14" s="4"/>
    </row>
    <row r="15">
      <c r="A15" s="1">
        <f>IFERROR(__xludf.DUMMYFUNCTION("""COMPUTED_VALUE"""),14.0)</f>
        <v>14</v>
      </c>
      <c r="B15" s="1">
        <f>IFERROR(__xludf.DUMMYFUNCTION("""COMPUTED_VALUE"""),5185.0)</f>
        <v>5185</v>
      </c>
      <c r="C15" s="2" t="str">
        <f>IFERROR(__xludf.DUMMYFUNCTION("""COMPUTED_VALUE"""),"Dawi")</f>
        <v>Dawi</v>
      </c>
      <c r="D15" s="2" t="str">
        <f>IFERROR(__xludf.DUMMYFUNCTION("""COMPUTED_VALUE"""),"5KM OVERALL M")</f>
        <v>5KM OVERALL M</v>
      </c>
      <c r="E15" s="1">
        <f>IFERROR(__xludf.DUMMYFUNCTION("""COMPUTED_VALUE"""),12.0)</f>
        <v>12</v>
      </c>
      <c r="F15" s="1" t="str">
        <f>IFERROR(__xludf.DUMMYFUNCTION("""COMPUTED_VALUE"""),"Male")</f>
        <v>Male</v>
      </c>
      <c r="G15" s="5">
        <f>IFERROR(__xludf.DUMMYFUNCTION("""COMPUTED_VALUE"""),0.0029906666666666666)</f>
        <v>0.002990666667</v>
      </c>
      <c r="H15" s="15">
        <f>IFERROR(__xludf.DUMMYFUNCTION("""COMPUTED_VALUE"""),0.2549440625)</f>
        <v>0.2549440625</v>
      </c>
      <c r="I15" s="15">
        <f>IFERROR(__xludf.DUMMYFUNCTION("""COMPUTED_VALUE"""),45949.26989739114)</f>
        <v>45949.2699</v>
      </c>
      <c r="J15" s="15">
        <f>IFERROR(__xludf.DUMMYFUNCTION("""COMPUTED_VALUE"""),45949.01495332864)</f>
        <v>45949.01495</v>
      </c>
      <c r="K15" s="15">
        <f>IFERROR(__xludf.DUMMYFUNCTION("""COMPUTED_VALUE"""),45949.26314822922)</f>
        <v>45949.26315</v>
      </c>
      <c r="L15" s="4"/>
    </row>
    <row r="16">
      <c r="A16" s="1">
        <f>IFERROR(__xludf.DUMMYFUNCTION("""COMPUTED_VALUE"""),15.0)</f>
        <v>15</v>
      </c>
      <c r="B16" s="7" t="str">
        <f>IFERROR(__xludf.DUMMYFUNCTION("""COMPUTED_VALUE"""),"9096")</f>
        <v>9096</v>
      </c>
      <c r="C16" s="8" t="str">
        <f>IFERROR(__xludf.DUMMYFUNCTION("""COMPUTED_VALUE"""),"Mas AGENG")</f>
        <v>Mas AGENG</v>
      </c>
      <c r="D16" s="2" t="str">
        <f>IFERROR(__xludf.DUMMYFUNCTION("""COMPUTED_VALUE"""),"5KM STUDENT M")</f>
        <v>5KM STUDENT M</v>
      </c>
      <c r="E16" s="1">
        <f>IFERROR(__xludf.DUMMYFUNCTION("""COMPUTED_VALUE"""),3.0)</f>
        <v>3</v>
      </c>
      <c r="F16" s="1" t="str">
        <f>IFERROR(__xludf.DUMMYFUNCTION("""COMPUTED_VALUE"""),"Male")</f>
        <v>Male</v>
      </c>
      <c r="G16" s="5">
        <f>IFERROR(__xludf.DUMMYFUNCTION("""COMPUTED_VALUE"""),0.0030101134259259256)</f>
        <v>0.003010113426</v>
      </c>
      <c r="H16" s="15">
        <f>IFERROR(__xludf.DUMMYFUNCTION("""COMPUTED_VALUE"""),0.2549440625)</f>
        <v>0.2549440625</v>
      </c>
      <c r="I16" s="15">
        <f>IFERROR(__xludf.DUMMYFUNCTION("""COMPUTED_VALUE"""),45949.26999463526)</f>
        <v>45949.26999</v>
      </c>
      <c r="J16" s="15">
        <f>IFERROR(__xludf.DUMMYFUNCTION("""COMPUTED_VALUE"""),45949.01505057276)</f>
        <v>45949.01505</v>
      </c>
      <c r="K16" s="15">
        <f>IFERROR(__xludf.DUMMYFUNCTION("""COMPUTED_VALUE"""),45949.263464189884)</f>
        <v>45949.26346</v>
      </c>
      <c r="L16" s="4"/>
    </row>
    <row r="17">
      <c r="A17" s="1">
        <f>IFERROR(__xludf.DUMMYFUNCTION("""COMPUTED_VALUE"""),16.0)</f>
        <v>16</v>
      </c>
      <c r="B17" s="1">
        <f>IFERROR(__xludf.DUMMYFUNCTION("""COMPUTED_VALUE"""),5999.0)</f>
        <v>5999</v>
      </c>
      <c r="C17" s="2" t="str">
        <f>IFERROR(__xludf.DUMMYFUNCTION("""COMPUTED_VALUE"""),"Rahmat k.s")</f>
        <v>Rahmat k.s</v>
      </c>
      <c r="D17" s="2" t="str">
        <f>IFERROR(__xludf.DUMMYFUNCTION("""COMPUTED_VALUE"""),"5KM OVERALL M")</f>
        <v>5KM OVERALL M</v>
      </c>
      <c r="E17" s="1">
        <f>IFERROR(__xludf.DUMMYFUNCTION("""COMPUTED_VALUE"""),13.0)</f>
        <v>13</v>
      </c>
      <c r="F17" s="1" t="str">
        <f>IFERROR(__xludf.DUMMYFUNCTION("""COMPUTED_VALUE"""),"Male")</f>
        <v>Male</v>
      </c>
      <c r="G17" s="5">
        <f>IFERROR(__xludf.DUMMYFUNCTION("""COMPUTED_VALUE"""),0.0030496944444444443)</f>
        <v>0.003049694444</v>
      </c>
      <c r="H17" s="15">
        <f>IFERROR(__xludf.DUMMYFUNCTION("""COMPUTED_VALUE"""),0.2549440625)</f>
        <v>0.2549440625</v>
      </c>
      <c r="I17" s="15">
        <f>IFERROR(__xludf.DUMMYFUNCTION("""COMPUTED_VALUE"""),45949.27019253179)</f>
        <v>45949.27019</v>
      </c>
      <c r="J17" s="15">
        <f>IFERROR(__xludf.DUMMYFUNCTION("""COMPUTED_VALUE"""),45949.01524846929)</f>
        <v>45949.01525</v>
      </c>
      <c r="K17" s="15">
        <f>IFERROR(__xludf.DUMMYFUNCTION("""COMPUTED_VALUE"""),45949.263141267715)</f>
        <v>45949.26314</v>
      </c>
      <c r="L17" s="4"/>
    </row>
    <row r="18">
      <c r="A18" s="1">
        <f>IFERROR(__xludf.DUMMYFUNCTION("""COMPUTED_VALUE"""),17.0)</f>
        <v>17</v>
      </c>
      <c r="B18" s="1">
        <f>IFERROR(__xludf.DUMMYFUNCTION("""COMPUTED_VALUE"""),7113.0)</f>
        <v>7113</v>
      </c>
      <c r="C18" s="2" t="str">
        <f>IFERROR(__xludf.DUMMYFUNCTION("""COMPUTED_VALUE"""),"Suhari14")</f>
        <v>Suhari14</v>
      </c>
      <c r="D18" s="2" t="str">
        <f>IFERROR(__xludf.DUMMYFUNCTION("""COMPUTED_VALUE"""),"5KM MASTER M")</f>
        <v>5KM MASTER M</v>
      </c>
      <c r="E18" s="1">
        <f>IFERROR(__xludf.DUMMYFUNCTION("""COMPUTED_VALUE"""),1.0)</f>
        <v>1</v>
      </c>
      <c r="F18" s="1" t="str">
        <f>IFERROR(__xludf.DUMMYFUNCTION("""COMPUTED_VALUE"""),"Male")</f>
        <v>Male</v>
      </c>
      <c r="G18" s="5">
        <f>IFERROR(__xludf.DUMMYFUNCTION("""COMPUTED_VALUE"""),0.003053168981481482)</f>
        <v>0.003053168981</v>
      </c>
      <c r="H18" s="15">
        <f>IFERROR(__xludf.DUMMYFUNCTION("""COMPUTED_VALUE"""),0.2549440625)</f>
        <v>0.2549440625</v>
      </c>
      <c r="I18" s="15">
        <f>IFERROR(__xludf.DUMMYFUNCTION("""COMPUTED_VALUE"""),45949.270209906)</f>
        <v>45949.27021</v>
      </c>
      <c r="J18" s="15">
        <f>IFERROR(__xludf.DUMMYFUNCTION("""COMPUTED_VALUE"""),45949.015265843496)</f>
        <v>45949.01527</v>
      </c>
      <c r="K18" s="15">
        <f>IFERROR(__xludf.DUMMYFUNCTION("""COMPUTED_VALUE"""),45949.263509336924)</f>
        <v>45949.26351</v>
      </c>
      <c r="L18" s="4"/>
    </row>
    <row r="19">
      <c r="A19" s="1">
        <f>IFERROR(__xludf.DUMMYFUNCTION("""COMPUTED_VALUE"""),18.0)</f>
        <v>18</v>
      </c>
      <c r="B19" s="7" t="str">
        <f>IFERROR(__xludf.DUMMYFUNCTION("""COMPUTED_VALUE"""),"9037")</f>
        <v>9037</v>
      </c>
      <c r="C19" s="8" t="str">
        <f>IFERROR(__xludf.DUMMYFUNCTION("""COMPUTED_VALUE"""),"M Hafi Rosidi")</f>
        <v>M Hafi Rosidi</v>
      </c>
      <c r="D19" s="2" t="str">
        <f>IFERROR(__xludf.DUMMYFUNCTION("""COMPUTED_VALUE"""),"5KM STUDENT M")</f>
        <v>5KM STUDENT M</v>
      </c>
      <c r="E19" s="1">
        <f>IFERROR(__xludf.DUMMYFUNCTION("""COMPUTED_VALUE"""),4.0)</f>
        <v>4</v>
      </c>
      <c r="F19" s="1" t="str">
        <f>IFERROR(__xludf.DUMMYFUNCTION("""COMPUTED_VALUE"""),"Male")</f>
        <v>Male</v>
      </c>
      <c r="G19" s="5">
        <f>IFERROR(__xludf.DUMMYFUNCTION("""COMPUTED_VALUE"""),0.0030691388888888886)</f>
        <v>0.003069138889</v>
      </c>
      <c r="H19" s="15">
        <f>IFERROR(__xludf.DUMMYFUNCTION("""COMPUTED_VALUE"""),0.2549440625)</f>
        <v>0.2549440625</v>
      </c>
      <c r="I19" s="15">
        <f>IFERROR(__xludf.DUMMYFUNCTION("""COMPUTED_VALUE"""),45949.27028975195)</f>
        <v>45949.27029</v>
      </c>
      <c r="J19" s="15">
        <f>IFERROR(__xludf.DUMMYFUNCTION("""COMPUTED_VALUE"""),45949.01534568945)</f>
        <v>45949.01535</v>
      </c>
      <c r="K19" s="15">
        <f>IFERROR(__xludf.DUMMYFUNCTION("""COMPUTED_VALUE"""),45949.26354166667)</f>
        <v>45949.26354</v>
      </c>
      <c r="L19" s="4"/>
    </row>
    <row r="20">
      <c r="A20" s="1">
        <f>IFERROR(__xludf.DUMMYFUNCTION("""COMPUTED_VALUE"""),19.0)</f>
        <v>19</v>
      </c>
      <c r="B20" s="7" t="str">
        <f>IFERROR(__xludf.DUMMYFUNCTION("""COMPUTED_VALUE"""),"9080")</f>
        <v>9080</v>
      </c>
      <c r="C20" s="8" t="str">
        <f>IFERROR(__xludf.DUMMYFUNCTION("""COMPUTED_VALUE"""),"RAFFI")</f>
        <v>RAFFI</v>
      </c>
      <c r="D20" s="2" t="str">
        <f>IFERROR(__xludf.DUMMYFUNCTION("""COMPUTED_VALUE"""),"5KM STUDENT M")</f>
        <v>5KM STUDENT M</v>
      </c>
      <c r="E20" s="1">
        <f>IFERROR(__xludf.DUMMYFUNCTION("""COMPUTED_VALUE"""),5.0)</f>
        <v>5</v>
      </c>
      <c r="F20" s="1" t="str">
        <f>IFERROR(__xludf.DUMMYFUNCTION("""COMPUTED_VALUE"""),"Male")</f>
        <v>Male</v>
      </c>
      <c r="G20" s="5">
        <f>IFERROR(__xludf.DUMMYFUNCTION("""COMPUTED_VALUE"""),0.0030830277777777774)</f>
        <v>0.003083027778</v>
      </c>
      <c r="H20" s="15">
        <f>IFERROR(__xludf.DUMMYFUNCTION("""COMPUTED_VALUE"""),0.2549440625)</f>
        <v>0.2549440625</v>
      </c>
      <c r="I20" s="15">
        <f>IFERROR(__xludf.DUMMYFUNCTION("""COMPUTED_VALUE"""),45949.27035920052)</f>
        <v>45949.27036</v>
      </c>
      <c r="J20" s="15">
        <f>IFERROR(__xludf.DUMMYFUNCTION("""COMPUTED_VALUE"""),45949.01541513802)</f>
        <v>45949.01542</v>
      </c>
      <c r="K20" s="15">
        <f>IFERROR(__xludf.DUMMYFUNCTION("""COMPUTED_VALUE"""),45949.26351851852)</f>
        <v>45949.26352</v>
      </c>
      <c r="L20" s="4"/>
    </row>
    <row r="21">
      <c r="A21" s="1">
        <f>IFERROR(__xludf.DUMMYFUNCTION("""COMPUTED_VALUE"""),20.0)</f>
        <v>20</v>
      </c>
      <c r="B21" s="7" t="str">
        <f>IFERROR(__xludf.DUMMYFUNCTION("""COMPUTED_VALUE"""),"9087")</f>
        <v>9087</v>
      </c>
      <c r="C21" s="8" t="str">
        <f>IFERROR(__xludf.DUMMYFUNCTION("""COMPUTED_VALUE"""),"Toni")</f>
        <v>Toni</v>
      </c>
      <c r="D21" s="2" t="str">
        <f>IFERROR(__xludf.DUMMYFUNCTION("""COMPUTED_VALUE"""),"5KM STUDENT M")</f>
        <v>5KM STUDENT M</v>
      </c>
      <c r="E21" s="1">
        <f>IFERROR(__xludf.DUMMYFUNCTION("""COMPUTED_VALUE"""),6.0)</f>
        <v>6</v>
      </c>
      <c r="F21" s="1" t="str">
        <f>IFERROR(__xludf.DUMMYFUNCTION("""COMPUTED_VALUE"""),"Male")</f>
        <v>Male</v>
      </c>
      <c r="G21" s="5">
        <f>IFERROR(__xludf.DUMMYFUNCTION("""COMPUTED_VALUE"""),0.003152622685185185)</f>
        <v>0.003152622685</v>
      </c>
      <c r="H21" s="15">
        <f>IFERROR(__xludf.DUMMYFUNCTION("""COMPUTED_VALUE"""),0.2549440625)</f>
        <v>0.2549440625</v>
      </c>
      <c r="I21" s="15">
        <f>IFERROR(__xludf.DUMMYFUNCTION("""COMPUTED_VALUE"""),45949.27070717331)</f>
        <v>45949.27071</v>
      </c>
      <c r="J21" s="15">
        <f>IFERROR(__xludf.DUMMYFUNCTION("""COMPUTED_VALUE"""),45949.01576311081)</f>
        <v>45949.01576</v>
      </c>
      <c r="K21" s="15">
        <f>IFERROR(__xludf.DUMMYFUNCTION("""COMPUTED_VALUE"""),45949.26325239725)</f>
        <v>45949.26325</v>
      </c>
      <c r="L21" s="4"/>
    </row>
    <row r="22">
      <c r="A22" s="1">
        <f>IFERROR(__xludf.DUMMYFUNCTION("""COMPUTED_VALUE"""),21.0)</f>
        <v>21</v>
      </c>
      <c r="B22" s="7" t="str">
        <f>IFERROR(__xludf.DUMMYFUNCTION("""COMPUTED_VALUE"""),"9010")</f>
        <v>9010</v>
      </c>
      <c r="C22" s="8" t="str">
        <f>IFERROR(__xludf.DUMMYFUNCTION("""COMPUTED_VALUE"""),"fico")</f>
        <v>fico</v>
      </c>
      <c r="D22" s="2" t="str">
        <f>IFERROR(__xludf.DUMMYFUNCTION("""COMPUTED_VALUE"""),"5KM STUDENT M")</f>
        <v>5KM STUDENT M</v>
      </c>
      <c r="E22" s="1">
        <f>IFERROR(__xludf.DUMMYFUNCTION("""COMPUTED_VALUE"""),7.0)</f>
        <v>7</v>
      </c>
      <c r="F22" s="1" t="str">
        <f>IFERROR(__xludf.DUMMYFUNCTION("""COMPUTED_VALUE"""),"Male")</f>
        <v>Male</v>
      </c>
      <c r="G22" s="5">
        <f>IFERROR(__xludf.DUMMYFUNCTION("""COMPUTED_VALUE"""),0.0031545555555555554)</f>
        <v>0.003154555556</v>
      </c>
      <c r="H22" s="15">
        <f>IFERROR(__xludf.DUMMYFUNCTION("""COMPUTED_VALUE"""),0.2549440625)</f>
        <v>0.2549440625</v>
      </c>
      <c r="I22" s="15">
        <f>IFERROR(__xludf.DUMMYFUNCTION("""COMPUTED_VALUE"""),45949.27071684201)</f>
        <v>45949.27072</v>
      </c>
      <c r="J22" s="15">
        <f>IFERROR(__xludf.DUMMYFUNCTION("""COMPUTED_VALUE"""),45949.01577277951)</f>
        <v>45949.01577</v>
      </c>
      <c r="K22" s="15">
        <f>IFERROR(__xludf.DUMMYFUNCTION("""COMPUTED_VALUE"""),45949.26353009259)</f>
        <v>45949.26353</v>
      </c>
      <c r="L22" s="4"/>
    </row>
    <row r="23">
      <c r="A23" s="1">
        <f>IFERROR(__xludf.DUMMYFUNCTION("""COMPUTED_VALUE"""),22.0)</f>
        <v>22</v>
      </c>
      <c r="B23" s="1">
        <f>IFERROR(__xludf.DUMMYFUNCTION("""COMPUTED_VALUE"""),5562.0)</f>
        <v>5562</v>
      </c>
      <c r="C23" s="2" t="str">
        <f>IFERROR(__xludf.DUMMYFUNCTION("""COMPUTED_VALUE"""),"yuni")</f>
        <v>yuni</v>
      </c>
      <c r="D23" s="2" t="str">
        <f>IFERROR(__xludf.DUMMYFUNCTION("""COMPUTED_VALUE"""),"5KM OVERALL M")</f>
        <v>5KM OVERALL M</v>
      </c>
      <c r="E23" s="1">
        <f>IFERROR(__xludf.DUMMYFUNCTION("""COMPUTED_VALUE"""),14.0)</f>
        <v>14</v>
      </c>
      <c r="F23" s="1" t="str">
        <f>IFERROR(__xludf.DUMMYFUNCTION("""COMPUTED_VALUE"""),"Male")</f>
        <v>Male</v>
      </c>
      <c r="G23" s="5">
        <f>IFERROR(__xludf.DUMMYFUNCTION("""COMPUTED_VALUE"""),0.003161604166666667)</f>
        <v>0.003161604167</v>
      </c>
      <c r="H23" s="15">
        <f>IFERROR(__xludf.DUMMYFUNCTION("""COMPUTED_VALUE"""),0.2549440625)</f>
        <v>0.2549440625</v>
      </c>
      <c r="I23" s="15">
        <f>IFERROR(__xludf.DUMMYFUNCTION("""COMPUTED_VALUE"""),45949.27075208138)</f>
        <v>45949.27075</v>
      </c>
      <c r="J23" s="15">
        <f>IFERROR(__xludf.DUMMYFUNCTION("""COMPUTED_VALUE"""),45949.01580801888)</f>
        <v>45949.01581</v>
      </c>
      <c r="K23" s="15">
        <f>IFERROR(__xludf.DUMMYFUNCTION("""COMPUTED_VALUE"""),45949.26357182494)</f>
        <v>45949.26357</v>
      </c>
      <c r="L23" s="4"/>
    </row>
    <row r="24">
      <c r="A24" s="1">
        <f>IFERROR(__xludf.DUMMYFUNCTION("""COMPUTED_VALUE"""),23.0)</f>
        <v>23</v>
      </c>
      <c r="B24" s="1">
        <f>IFERROR(__xludf.DUMMYFUNCTION("""COMPUTED_VALUE"""),6262.0)</f>
        <v>6262</v>
      </c>
      <c r="C24" s="2" t="str">
        <f>IFERROR(__xludf.DUMMYFUNCTION("""COMPUTED_VALUE"""),"Hafis")</f>
        <v>Hafis</v>
      </c>
      <c r="D24" s="2" t="str">
        <f>IFERROR(__xludf.DUMMYFUNCTION("""COMPUTED_VALUE"""),"5KM OVERALL M")</f>
        <v>5KM OVERALL M</v>
      </c>
      <c r="E24" s="1">
        <f>IFERROR(__xludf.DUMMYFUNCTION("""COMPUTED_VALUE"""),15.0)</f>
        <v>15</v>
      </c>
      <c r="F24" s="1" t="str">
        <f>IFERROR(__xludf.DUMMYFUNCTION("""COMPUTED_VALUE"""),"Male")</f>
        <v>Male</v>
      </c>
      <c r="G24" s="5">
        <f>IFERROR(__xludf.DUMMYFUNCTION("""COMPUTED_VALUE"""),0.0031684444444444446)</f>
        <v>0.003168444444</v>
      </c>
      <c r="H24" s="15">
        <f>IFERROR(__xludf.DUMMYFUNCTION("""COMPUTED_VALUE"""),0.2549440625)</f>
        <v>0.2549440625</v>
      </c>
      <c r="I24" s="15">
        <f>IFERROR(__xludf.DUMMYFUNCTION("""COMPUTED_VALUE"""),45949.27078628045)</f>
        <v>45949.27079</v>
      </c>
      <c r="J24" s="15">
        <f>IFERROR(__xludf.DUMMYFUNCTION("""COMPUTED_VALUE"""),45949.01584221795)</f>
        <v>45949.01584</v>
      </c>
      <c r="K24" s="15">
        <f>IFERROR(__xludf.DUMMYFUNCTION("""COMPUTED_VALUE"""),45949.26348501907)</f>
        <v>45949.26349</v>
      </c>
      <c r="L24" s="4"/>
    </row>
    <row r="25">
      <c r="A25" s="1">
        <f>IFERROR(__xludf.DUMMYFUNCTION("""COMPUTED_VALUE"""),24.0)</f>
        <v>24</v>
      </c>
      <c r="B25" s="1">
        <f>IFERROR(__xludf.DUMMYFUNCTION("""COMPUTED_VALUE"""),5912.0)</f>
        <v>5912</v>
      </c>
      <c r="C25" s="2" t="str">
        <f>IFERROR(__xludf.DUMMYFUNCTION("""COMPUTED_VALUE"""),"Allahumma sholli ala sayyidina Muhammad")</f>
        <v>Allahumma sholli ala sayyidina Muhammad</v>
      </c>
      <c r="D25" s="2" t="str">
        <f>IFERROR(__xludf.DUMMYFUNCTION("""COMPUTED_VALUE"""),"5KM OVERALL M")</f>
        <v>5KM OVERALL M</v>
      </c>
      <c r="E25" s="1">
        <f>IFERROR(__xludf.DUMMYFUNCTION("""COMPUTED_VALUE"""),16.0)</f>
        <v>16</v>
      </c>
      <c r="F25" s="1" t="str">
        <f>IFERROR(__xludf.DUMMYFUNCTION("""COMPUTED_VALUE"""),"Male")</f>
        <v>Male</v>
      </c>
      <c r="G25" s="5">
        <f>IFERROR(__xludf.DUMMYFUNCTION("""COMPUTED_VALUE"""),0.003226087962962963)</f>
        <v>0.003226087963</v>
      </c>
      <c r="H25" s="15">
        <f>IFERROR(__xludf.DUMMYFUNCTION("""COMPUTED_VALUE"""),0.2549440625)</f>
        <v>0.2549440625</v>
      </c>
      <c r="I25" s="15">
        <f>IFERROR(__xludf.DUMMYFUNCTION("""COMPUTED_VALUE"""),45949.27107449837)</f>
        <v>45949.27107</v>
      </c>
      <c r="J25" s="15">
        <f>IFERROR(__xludf.DUMMYFUNCTION("""COMPUTED_VALUE"""),45949.01613043587)</f>
        <v>45949.01613</v>
      </c>
      <c r="K25" s="15">
        <f>IFERROR(__xludf.DUMMYFUNCTION("""COMPUTED_VALUE"""),45949.26369340509)</f>
        <v>45949.26369</v>
      </c>
      <c r="L25" s="4"/>
    </row>
    <row r="26">
      <c r="A26" s="1">
        <f>IFERROR(__xludf.DUMMYFUNCTION("""COMPUTED_VALUE"""),25.0)</f>
        <v>25</v>
      </c>
      <c r="B26" s="1">
        <f>IFERROR(__xludf.DUMMYFUNCTION("""COMPUTED_VALUE"""),5530.0)</f>
        <v>5530</v>
      </c>
      <c r="C26" s="2" t="str">
        <f>IFERROR(__xludf.DUMMYFUNCTION("""COMPUTED_VALUE"""),"Muhammad Balya")</f>
        <v>Muhammad Balya</v>
      </c>
      <c r="D26" s="2" t="str">
        <f>IFERROR(__xludf.DUMMYFUNCTION("""COMPUTED_VALUE"""),"5KM OVERALL M")</f>
        <v>5KM OVERALL M</v>
      </c>
      <c r="E26" s="1">
        <f>IFERROR(__xludf.DUMMYFUNCTION("""COMPUTED_VALUE"""),17.0)</f>
        <v>17</v>
      </c>
      <c r="F26" s="1" t="str">
        <f>IFERROR(__xludf.DUMMYFUNCTION("""COMPUTED_VALUE"""),"Male")</f>
        <v>Male</v>
      </c>
      <c r="G26" s="5">
        <f>IFERROR(__xludf.DUMMYFUNCTION("""COMPUTED_VALUE"""),0.0032309467592592594)</f>
        <v>0.003230946759</v>
      </c>
      <c r="H26" s="15">
        <f>IFERROR(__xludf.DUMMYFUNCTION("""COMPUTED_VALUE"""),0.2549440625)</f>
        <v>0.2549440625</v>
      </c>
      <c r="I26" s="15">
        <f>IFERROR(__xludf.DUMMYFUNCTION("""COMPUTED_VALUE"""),45949.271098790516)</f>
        <v>45949.2711</v>
      </c>
      <c r="J26" s="15">
        <f>IFERROR(__xludf.DUMMYFUNCTION("""COMPUTED_VALUE"""),45949.016154728015)</f>
        <v>45949.01615</v>
      </c>
      <c r="K26" s="15">
        <f>IFERROR(__xludf.DUMMYFUNCTION("""COMPUTED_VALUE"""),45949.263599601276)</f>
        <v>45949.2636</v>
      </c>
      <c r="L26" s="4"/>
    </row>
    <row r="27">
      <c r="A27" s="1">
        <f>IFERROR(__xludf.DUMMYFUNCTION("""COMPUTED_VALUE"""),26.0)</f>
        <v>26</v>
      </c>
      <c r="B27" s="1">
        <f>IFERROR(__xludf.DUMMYFUNCTION("""COMPUTED_VALUE"""),6093.0)</f>
        <v>6093</v>
      </c>
      <c r="C27" s="2" t="str">
        <f>IFERROR(__xludf.DUMMYFUNCTION("""COMPUTED_VALUE"""),"MUHAMMAD ALFIAN NOOR")</f>
        <v>MUHAMMAD ALFIAN NOOR</v>
      </c>
      <c r="D27" s="2" t="str">
        <f>IFERROR(__xludf.DUMMYFUNCTION("""COMPUTED_VALUE"""),"5KM OVERALL M")</f>
        <v>5KM OVERALL M</v>
      </c>
      <c r="E27" s="1">
        <f>IFERROR(__xludf.DUMMYFUNCTION("""COMPUTED_VALUE"""),18.0)</f>
        <v>18</v>
      </c>
      <c r="F27" s="1" t="str">
        <f>IFERROR(__xludf.DUMMYFUNCTION("""COMPUTED_VALUE"""),"Male")</f>
        <v>Male</v>
      </c>
      <c r="G27" s="5">
        <f>IFERROR(__xludf.DUMMYFUNCTION("""COMPUTED_VALUE"""),0.0032378888888888887)</f>
        <v>0.003237888889</v>
      </c>
      <c r="H27" s="15">
        <f>IFERROR(__xludf.DUMMYFUNCTION("""COMPUTED_VALUE"""),0.2549440625)</f>
        <v>0.2549440625</v>
      </c>
      <c r="I27" s="15">
        <f>IFERROR(__xludf.DUMMYFUNCTION("""COMPUTED_VALUE"""),45949.27113350931)</f>
        <v>45949.27113</v>
      </c>
      <c r="J27" s="15">
        <f>IFERROR(__xludf.DUMMYFUNCTION("""COMPUTED_VALUE"""),45949.01618944681)</f>
        <v>45949.01619</v>
      </c>
      <c r="K27" s="15">
        <f>IFERROR(__xludf.DUMMYFUNCTION("""COMPUTED_VALUE"""),45949.2637801667)</f>
        <v>45949.26378</v>
      </c>
      <c r="L27" s="4"/>
    </row>
    <row r="28">
      <c r="A28" s="1">
        <f>IFERROR(__xludf.DUMMYFUNCTION("""COMPUTED_VALUE"""),27.0)</f>
        <v>27</v>
      </c>
      <c r="B28" s="1">
        <f>IFERROR(__xludf.DUMMYFUNCTION("""COMPUTED_VALUE"""),5309.0)</f>
        <v>5309</v>
      </c>
      <c r="C28" s="2" t="str">
        <f>IFERROR(__xludf.DUMMYFUNCTION("""COMPUTED_VALUE"""),"Zikri")</f>
        <v>Zikri</v>
      </c>
      <c r="D28" s="2" t="str">
        <f>IFERROR(__xludf.DUMMYFUNCTION("""COMPUTED_VALUE"""),"5KM OVERALL M")</f>
        <v>5KM OVERALL M</v>
      </c>
      <c r="E28" s="1">
        <f>IFERROR(__xludf.DUMMYFUNCTION("""COMPUTED_VALUE"""),19.0)</f>
        <v>19</v>
      </c>
      <c r="F28" s="1" t="str">
        <f>IFERROR(__xludf.DUMMYFUNCTION("""COMPUTED_VALUE"""),"Male")</f>
        <v>Male</v>
      </c>
      <c r="G28" s="5">
        <f>IFERROR(__xludf.DUMMYFUNCTION("""COMPUTED_VALUE"""),0.0032399722222222218)</f>
        <v>0.003239972222</v>
      </c>
      <c r="H28" s="15">
        <f>IFERROR(__xludf.DUMMYFUNCTION("""COMPUTED_VALUE"""),0.2549440625)</f>
        <v>0.2549440625</v>
      </c>
      <c r="I28" s="15">
        <f>IFERROR(__xludf.DUMMYFUNCTION("""COMPUTED_VALUE"""),45949.27114392264)</f>
        <v>45949.27114</v>
      </c>
      <c r="J28" s="15">
        <f>IFERROR(__xludf.DUMMYFUNCTION("""COMPUTED_VALUE"""),45949.01619986014)</f>
        <v>45949.0162</v>
      </c>
      <c r="K28" s="15">
        <f>IFERROR(__xludf.DUMMYFUNCTION("""COMPUTED_VALUE"""),45949.263957316834)</f>
        <v>45949.26396</v>
      </c>
      <c r="L28" s="4"/>
    </row>
    <row r="29">
      <c r="A29" s="1">
        <f>IFERROR(__xludf.DUMMYFUNCTION("""COMPUTED_VALUE"""),28.0)</f>
        <v>28</v>
      </c>
      <c r="B29" s="1">
        <f>IFERROR(__xludf.DUMMYFUNCTION("""COMPUTED_VALUE"""),5026.0)</f>
        <v>5026</v>
      </c>
      <c r="C29" s="2" t="str">
        <f>IFERROR(__xludf.DUMMYFUNCTION("""COMPUTED_VALUE"""),"nike")</f>
        <v>nike</v>
      </c>
      <c r="D29" s="2" t="str">
        <f>IFERROR(__xludf.DUMMYFUNCTION("""COMPUTED_VALUE"""),"5KM OVERALL F")</f>
        <v>5KM OVERALL F</v>
      </c>
      <c r="E29" s="1">
        <f>IFERROR(__xludf.DUMMYFUNCTION("""COMPUTED_VALUE"""),1.0)</f>
        <v>1</v>
      </c>
      <c r="F29" s="1" t="str">
        <f>IFERROR(__xludf.DUMMYFUNCTION("""COMPUTED_VALUE"""),"Female")</f>
        <v>Female</v>
      </c>
      <c r="G29" s="5">
        <f>IFERROR(__xludf.DUMMYFUNCTION("""COMPUTED_VALUE"""),0.003258872685185185)</f>
        <v>0.003258872685</v>
      </c>
      <c r="H29" s="15">
        <f>IFERROR(__xludf.DUMMYFUNCTION("""COMPUTED_VALUE"""),0.2549440625)</f>
        <v>0.2549440625</v>
      </c>
      <c r="I29" s="15">
        <f>IFERROR(__xludf.DUMMYFUNCTION("""COMPUTED_VALUE"""),45949.27123842692)</f>
        <v>45949.27124</v>
      </c>
      <c r="J29" s="15">
        <f>IFERROR(__xludf.DUMMYFUNCTION("""COMPUTED_VALUE"""),45949.01629436442)</f>
        <v>45949.01629</v>
      </c>
      <c r="K29" s="15">
        <f>IFERROR(__xludf.DUMMYFUNCTION("""COMPUTED_VALUE"""),45949.263881157756)</f>
        <v>45949.26388</v>
      </c>
      <c r="L29" s="4"/>
    </row>
    <row r="30">
      <c r="A30" s="1">
        <f>IFERROR(__xludf.DUMMYFUNCTION("""COMPUTED_VALUE"""),29.0)</f>
        <v>29</v>
      </c>
      <c r="B30" s="1">
        <f>IFERROR(__xludf.DUMMYFUNCTION("""COMPUTED_VALUE"""),5166.0)</f>
        <v>5166</v>
      </c>
      <c r="C30" s="2" t="str">
        <f>IFERROR(__xludf.DUMMYFUNCTION("""COMPUTED_VALUE"""),"MARS")</f>
        <v>MARS</v>
      </c>
      <c r="D30" s="2" t="str">
        <f>IFERROR(__xludf.DUMMYFUNCTION("""COMPUTED_VALUE"""),"5KM OVERALL M")</f>
        <v>5KM OVERALL M</v>
      </c>
      <c r="E30" s="1">
        <f>IFERROR(__xludf.DUMMYFUNCTION("""COMPUTED_VALUE"""),20.0)</f>
        <v>20</v>
      </c>
      <c r="F30" s="1" t="str">
        <f>IFERROR(__xludf.DUMMYFUNCTION("""COMPUTED_VALUE"""),"Male")</f>
        <v>Male</v>
      </c>
      <c r="G30" s="5">
        <f>IFERROR(__xludf.DUMMYFUNCTION("""COMPUTED_VALUE"""),0.003295527777777778)</f>
        <v>0.003295527778</v>
      </c>
      <c r="H30" s="15">
        <f>IFERROR(__xludf.DUMMYFUNCTION("""COMPUTED_VALUE"""),0.2549440625)</f>
        <v>0.2549440625</v>
      </c>
      <c r="I30" s="15">
        <f>IFERROR(__xludf.DUMMYFUNCTION("""COMPUTED_VALUE"""),45949.271421696925)</f>
        <v>45949.27142</v>
      </c>
      <c r="J30" s="15">
        <f>IFERROR(__xludf.DUMMYFUNCTION("""COMPUTED_VALUE"""),45949.016477634425)</f>
        <v>45949.01648</v>
      </c>
      <c r="K30" s="15">
        <f>IFERROR(__xludf.DUMMYFUNCTION("""COMPUTED_VALUE"""),45949.263982528646)</f>
        <v>45949.26398</v>
      </c>
      <c r="L30" s="4"/>
    </row>
    <row r="31">
      <c r="A31" s="1">
        <f>IFERROR(__xludf.DUMMYFUNCTION("""COMPUTED_VALUE"""),30.0)</f>
        <v>30</v>
      </c>
      <c r="B31" s="7" t="str">
        <f>IFERROR(__xludf.DUMMYFUNCTION("""COMPUTED_VALUE"""),"9015")</f>
        <v>9015</v>
      </c>
      <c r="C31" s="8" t="str">
        <f>IFERROR(__xludf.DUMMYFUNCTION("""COMPUTED_VALUE"""),"M.FADHIL AKBAR")</f>
        <v>M.FADHIL AKBAR</v>
      </c>
      <c r="D31" s="2" t="str">
        <f>IFERROR(__xludf.DUMMYFUNCTION("""COMPUTED_VALUE"""),"5KM STUDENT M")</f>
        <v>5KM STUDENT M</v>
      </c>
      <c r="E31" s="1">
        <f>IFERROR(__xludf.DUMMYFUNCTION("""COMPUTED_VALUE"""),8.0)</f>
        <v>8</v>
      </c>
      <c r="F31" s="1" t="str">
        <f>IFERROR(__xludf.DUMMYFUNCTION("""COMPUTED_VALUE"""),"Male")</f>
        <v>Male</v>
      </c>
      <c r="G31" s="5">
        <f>IFERROR(__xludf.DUMMYFUNCTION("""COMPUTED_VALUE"""),0.0033080208333333334)</f>
        <v>0.003308020833</v>
      </c>
      <c r="H31" s="15">
        <f>IFERROR(__xludf.DUMMYFUNCTION("""COMPUTED_VALUE"""),0.2549440625)</f>
        <v>0.2549440625</v>
      </c>
      <c r="I31" s="15">
        <f>IFERROR(__xludf.DUMMYFUNCTION("""COMPUTED_VALUE"""),45949.271484172175)</f>
        <v>45949.27148</v>
      </c>
      <c r="J31" s="15">
        <f>IFERROR(__xludf.DUMMYFUNCTION("""COMPUTED_VALUE"""),45949.016540109675)</f>
        <v>45949.01654</v>
      </c>
      <c r="K31" s="15">
        <f>IFERROR(__xludf.DUMMYFUNCTION("""COMPUTED_VALUE"""),45949.263919466306)</f>
        <v>45949.26392</v>
      </c>
      <c r="L31" s="4"/>
    </row>
    <row r="32">
      <c r="A32" s="1">
        <f>IFERROR(__xludf.DUMMYFUNCTION("""COMPUTED_VALUE"""),31.0)</f>
        <v>31</v>
      </c>
      <c r="B32" s="1">
        <f>IFERROR(__xludf.DUMMYFUNCTION("""COMPUTED_VALUE"""),5045.0)</f>
        <v>5045</v>
      </c>
      <c r="C32" s="2" t="str">
        <f>IFERROR(__xludf.DUMMYFUNCTION("""COMPUTED_VALUE"""),"Edyarkan")</f>
        <v>Edyarkan</v>
      </c>
      <c r="D32" s="2" t="str">
        <f>IFERROR(__xludf.DUMMYFUNCTION("""COMPUTED_VALUE"""),"5KM OVERALL M")</f>
        <v>5KM OVERALL M</v>
      </c>
      <c r="E32" s="1">
        <f>IFERROR(__xludf.DUMMYFUNCTION("""COMPUTED_VALUE"""),21.0)</f>
        <v>21</v>
      </c>
      <c r="F32" s="1" t="str">
        <f>IFERROR(__xludf.DUMMYFUNCTION("""COMPUTED_VALUE"""),"Male")</f>
        <v>Male</v>
      </c>
      <c r="G32" s="5">
        <f>IFERROR(__xludf.DUMMYFUNCTION("""COMPUTED_VALUE"""),0.0033545462962962964)</f>
        <v>0.003354546296</v>
      </c>
      <c r="H32" s="15">
        <f>IFERROR(__xludf.DUMMYFUNCTION("""COMPUTED_VALUE"""),0.2549440625)</f>
        <v>0.2549440625</v>
      </c>
      <c r="I32" s="15">
        <f>IFERROR(__xludf.DUMMYFUNCTION("""COMPUTED_VALUE"""),45949.27171679764)</f>
        <v>45949.27172</v>
      </c>
      <c r="J32" s="15">
        <f>IFERROR(__xludf.DUMMYFUNCTION("""COMPUTED_VALUE"""),45949.016772735136)</f>
        <v>45949.01677</v>
      </c>
      <c r="K32" s="15">
        <f>IFERROR(__xludf.DUMMYFUNCTION("""COMPUTED_VALUE"""),45949.26421071831)</f>
        <v>45949.26421</v>
      </c>
      <c r="L32" s="4"/>
    </row>
    <row r="33">
      <c r="A33" s="1">
        <f>IFERROR(__xludf.DUMMYFUNCTION("""COMPUTED_VALUE"""),32.0)</f>
        <v>32</v>
      </c>
      <c r="B33" s="1">
        <f>IFERROR(__xludf.DUMMYFUNCTION("""COMPUTED_VALUE"""),5052.0)</f>
        <v>5052</v>
      </c>
      <c r="C33" s="2" t="str">
        <f>IFERROR(__xludf.DUMMYFUNCTION("""COMPUTED_VALUE"""),"Taherr")</f>
        <v>Taherr</v>
      </c>
      <c r="D33" s="2" t="str">
        <f>IFERROR(__xludf.DUMMYFUNCTION("""COMPUTED_VALUE"""),"5KM OVERALL M")</f>
        <v>5KM OVERALL M</v>
      </c>
      <c r="E33" s="1">
        <f>IFERROR(__xludf.DUMMYFUNCTION("""COMPUTED_VALUE"""),22.0)</f>
        <v>22</v>
      </c>
      <c r="F33" s="1" t="str">
        <f>IFERROR(__xludf.DUMMYFUNCTION("""COMPUTED_VALUE"""),"Male")</f>
        <v>Male</v>
      </c>
      <c r="G33" s="5">
        <f>IFERROR(__xludf.DUMMYFUNCTION("""COMPUTED_VALUE"""),0.0033559699074074073)</f>
        <v>0.003355969907</v>
      </c>
      <c r="H33" s="15">
        <f>IFERROR(__xludf.DUMMYFUNCTION("""COMPUTED_VALUE"""),0.2549440625)</f>
        <v>0.2549440625</v>
      </c>
      <c r="I33" s="15">
        <f>IFERROR(__xludf.DUMMYFUNCTION("""COMPUTED_VALUE"""),45949.27172391443)</f>
        <v>45949.27172</v>
      </c>
      <c r="J33" s="15">
        <f>IFERROR(__xludf.DUMMYFUNCTION("""COMPUTED_VALUE"""),45949.01677985193)</f>
        <v>45949.01678</v>
      </c>
      <c r="K33" s="15">
        <f>IFERROR(__xludf.DUMMYFUNCTION("""COMPUTED_VALUE"""),45949.26388434015)</f>
        <v>45949.26388</v>
      </c>
      <c r="L33" s="4"/>
    </row>
    <row r="34">
      <c r="A34" s="1">
        <f>IFERROR(__xludf.DUMMYFUNCTION("""COMPUTED_VALUE"""),33.0)</f>
        <v>33</v>
      </c>
      <c r="B34" s="7" t="str">
        <f>IFERROR(__xludf.DUMMYFUNCTION("""COMPUTED_VALUE"""),"7174")</f>
        <v>7174</v>
      </c>
      <c r="C34" s="8" t="str">
        <f>IFERROR(__xludf.DUMMYFUNCTION("""COMPUTED_VALUE"""),"zikri")</f>
        <v>zikri</v>
      </c>
      <c r="D34" s="2" t="str">
        <f>IFERROR(__xludf.DUMMYFUNCTION("""COMPUTED_VALUE"""),"5KM MASTER M")</f>
        <v>5KM MASTER M</v>
      </c>
      <c r="E34" s="1">
        <f>IFERROR(__xludf.DUMMYFUNCTION("""COMPUTED_VALUE"""),2.0)</f>
        <v>2</v>
      </c>
      <c r="F34" s="1" t="str">
        <f>IFERROR(__xludf.DUMMYFUNCTION("""COMPUTED_VALUE"""),"Male")</f>
        <v>Male</v>
      </c>
      <c r="G34" s="5">
        <f>IFERROR(__xludf.DUMMYFUNCTION("""COMPUTED_VALUE"""),0.0033615)</f>
        <v>0.0033615</v>
      </c>
      <c r="H34" s="15">
        <f>IFERROR(__xludf.DUMMYFUNCTION("""COMPUTED_VALUE"""),0.2549440625)</f>
        <v>0.2549440625</v>
      </c>
      <c r="I34" s="15">
        <f>IFERROR(__xludf.DUMMYFUNCTION("""COMPUTED_VALUE"""),45949.27175156787)</f>
        <v>45949.27175</v>
      </c>
      <c r="J34" s="15">
        <f>IFERROR(__xludf.DUMMYFUNCTION("""COMPUTED_VALUE"""),45949.016807505366)</f>
        <v>45949.01681</v>
      </c>
      <c r="K34" s="15">
        <f>IFERROR(__xludf.DUMMYFUNCTION("""COMPUTED_VALUE"""),45949.26400585738)</f>
        <v>45949.26401</v>
      </c>
      <c r="L34" s="4"/>
    </row>
    <row r="35">
      <c r="A35" s="1">
        <f>IFERROR(__xludf.DUMMYFUNCTION("""COMPUTED_VALUE"""),34.0)</f>
        <v>34</v>
      </c>
      <c r="B35" s="1">
        <f>IFERROR(__xludf.DUMMYFUNCTION("""COMPUTED_VALUE"""),5472.0)</f>
        <v>5472</v>
      </c>
      <c r="C35" s="2" t="str">
        <f>IFERROR(__xludf.DUMMYFUNCTION("""COMPUTED_VALUE"""),"Abdi Hariadi")</f>
        <v>Abdi Hariadi</v>
      </c>
      <c r="D35" s="2" t="str">
        <f>IFERROR(__xludf.DUMMYFUNCTION("""COMPUTED_VALUE"""),"5KM OVERALL M")</f>
        <v>5KM OVERALL M</v>
      </c>
      <c r="E35" s="1">
        <f>IFERROR(__xludf.DUMMYFUNCTION("""COMPUTED_VALUE"""),23.0)</f>
        <v>23</v>
      </c>
      <c r="F35" s="1" t="str">
        <f>IFERROR(__xludf.DUMMYFUNCTION("""COMPUTED_VALUE"""),"Male")</f>
        <v>Male</v>
      </c>
      <c r="G35" s="5">
        <f>IFERROR(__xludf.DUMMYFUNCTION("""COMPUTED_VALUE"""),0.0033635856481481477)</f>
        <v>0.003363585648</v>
      </c>
      <c r="H35" s="15">
        <f>IFERROR(__xludf.DUMMYFUNCTION("""COMPUTED_VALUE"""),0.2549440625)</f>
        <v>0.2549440625</v>
      </c>
      <c r="I35" s="15">
        <f>IFERROR(__xludf.DUMMYFUNCTION("""COMPUTED_VALUE"""),45949.27176199181)</f>
        <v>45949.27176</v>
      </c>
      <c r="J35" s="15">
        <f>IFERROR(__xludf.DUMMYFUNCTION("""COMPUTED_VALUE"""),45949.01681792931)</f>
        <v>45949.01682</v>
      </c>
      <c r="K35" s="15">
        <f>IFERROR(__xludf.DUMMYFUNCTION("""COMPUTED_VALUE"""),45949.2639954518)</f>
        <v>45949.264</v>
      </c>
      <c r="L35" s="4"/>
    </row>
    <row r="36">
      <c r="A36" s="1">
        <f>IFERROR(__xludf.DUMMYFUNCTION("""COMPUTED_VALUE"""),35.0)</f>
        <v>35</v>
      </c>
      <c r="B36" s="7" t="str">
        <f>IFERROR(__xludf.DUMMYFUNCTION("""COMPUTED_VALUE"""),"7121")</f>
        <v>7121</v>
      </c>
      <c r="C36" s="8" t="str">
        <f>IFERROR(__xludf.DUMMYFUNCTION("""COMPUTED_VALUE"""),"FERDY")</f>
        <v>FERDY</v>
      </c>
      <c r="D36" s="2" t="str">
        <f>IFERROR(__xludf.DUMMYFUNCTION("""COMPUTED_VALUE"""),"5KM MASTER M")</f>
        <v>5KM MASTER M</v>
      </c>
      <c r="E36" s="1">
        <f>IFERROR(__xludf.DUMMYFUNCTION("""COMPUTED_VALUE"""),3.0)</f>
        <v>3</v>
      </c>
      <c r="F36" s="1" t="str">
        <f>IFERROR(__xludf.DUMMYFUNCTION("""COMPUTED_VALUE"""),"Male")</f>
        <v>Male</v>
      </c>
      <c r="G36" s="5">
        <f>IFERROR(__xludf.DUMMYFUNCTION("""COMPUTED_VALUE"""),0.003397611111111111)</f>
        <v>0.003397611111</v>
      </c>
      <c r="H36" s="15">
        <f>IFERROR(__xludf.DUMMYFUNCTION("""COMPUTED_VALUE"""),0.2549440625)</f>
        <v>0.2549440625</v>
      </c>
      <c r="I36" s="15">
        <f>IFERROR(__xludf.DUMMYFUNCTION("""COMPUTED_VALUE"""),45949.27193211678)</f>
        <v>45949.27193</v>
      </c>
      <c r="J36" s="15">
        <f>IFERROR(__xludf.DUMMYFUNCTION("""COMPUTED_VALUE"""),45949.01698805428)</f>
        <v>45949.01699</v>
      </c>
      <c r="K36" s="15">
        <f>IFERROR(__xludf.DUMMYFUNCTION("""COMPUTED_VALUE"""),45949.26455100718)</f>
        <v>45949.26455</v>
      </c>
      <c r="L36" s="4"/>
    </row>
    <row r="37">
      <c r="A37" s="1">
        <f>IFERROR(__xludf.DUMMYFUNCTION("""COMPUTED_VALUE"""),36.0)</f>
        <v>36</v>
      </c>
      <c r="B37" s="1">
        <f>IFERROR(__xludf.DUMMYFUNCTION("""COMPUTED_VALUE"""),5840.0)</f>
        <v>5840</v>
      </c>
      <c r="C37" s="2" t="str">
        <f>IFERROR(__xludf.DUMMYFUNCTION("""COMPUTED_VALUE"""),"rama")</f>
        <v>rama</v>
      </c>
      <c r="D37" s="2" t="str">
        <f>IFERROR(__xludf.DUMMYFUNCTION("""COMPUTED_VALUE"""),"5KM OVERALL M")</f>
        <v>5KM OVERALL M</v>
      </c>
      <c r="E37" s="1">
        <f>IFERROR(__xludf.DUMMYFUNCTION("""COMPUTED_VALUE"""),24.0)</f>
        <v>24</v>
      </c>
      <c r="F37" s="1" t="str">
        <f>IFERROR(__xludf.DUMMYFUNCTION("""COMPUTED_VALUE"""),"Male")</f>
        <v>Male</v>
      </c>
      <c r="G37" s="5">
        <f>IFERROR(__xludf.DUMMYFUNCTION("""COMPUTED_VALUE"""),0.003414972222222222)</f>
        <v>0.003414972222</v>
      </c>
      <c r="H37" s="15">
        <f>IFERROR(__xludf.DUMMYFUNCTION("""COMPUTED_VALUE"""),0.2549440625)</f>
        <v>0.2549440625</v>
      </c>
      <c r="I37" s="15">
        <f>IFERROR(__xludf.DUMMYFUNCTION("""COMPUTED_VALUE"""),45949.2720189211)</f>
        <v>45949.27202</v>
      </c>
      <c r="J37" s="15">
        <f>IFERROR(__xludf.DUMMYFUNCTION("""COMPUTED_VALUE"""),45949.0170748586)</f>
        <v>45949.01707</v>
      </c>
      <c r="K37" s="15">
        <f>IFERROR(__xludf.DUMMYFUNCTION("""COMPUTED_VALUE"""),45949.264221145735)</f>
        <v>45949.26422</v>
      </c>
      <c r="L37" s="4"/>
    </row>
    <row r="38">
      <c r="A38" s="1">
        <f>IFERROR(__xludf.DUMMYFUNCTION("""COMPUTED_VALUE"""),37.0)</f>
        <v>37</v>
      </c>
      <c r="B38" s="7" t="str">
        <f>IFERROR(__xludf.DUMMYFUNCTION("""COMPUTED_VALUE"""),"9013")</f>
        <v>9013</v>
      </c>
      <c r="C38" s="8" t="str">
        <f>IFERROR(__xludf.DUMMYFUNCTION("""COMPUTED_VALUE"""),"Muhammad Hafiz Ihsani")</f>
        <v>Muhammad Hafiz Ihsani</v>
      </c>
      <c r="D38" s="2" t="str">
        <f>IFERROR(__xludf.DUMMYFUNCTION("""COMPUTED_VALUE"""),"5KM STUDENT M")</f>
        <v>5KM STUDENT M</v>
      </c>
      <c r="E38" s="1">
        <f>IFERROR(__xludf.DUMMYFUNCTION("""COMPUTED_VALUE"""),9.0)</f>
        <v>9</v>
      </c>
      <c r="F38" s="1" t="str">
        <f>IFERROR(__xludf.DUMMYFUNCTION("""COMPUTED_VALUE"""),"Male")</f>
        <v>Male</v>
      </c>
      <c r="G38" s="5">
        <f>IFERROR(__xludf.DUMMYFUNCTION("""COMPUTED_VALUE"""),0.003440668981481481)</f>
        <v>0.003440668981</v>
      </c>
      <c r="H38" s="15">
        <f>IFERROR(__xludf.DUMMYFUNCTION("""COMPUTED_VALUE"""),0.2549440625)</f>
        <v>0.2549440625</v>
      </c>
      <c r="I38" s="15">
        <f>IFERROR(__xludf.DUMMYFUNCTION("""COMPUTED_VALUE"""),45949.27214741107)</f>
        <v>45949.27215</v>
      </c>
      <c r="J38" s="15">
        <f>IFERROR(__xludf.DUMMYFUNCTION("""COMPUTED_VALUE"""),45949.01720334857)</f>
        <v>45949.0172</v>
      </c>
      <c r="K38" s="15">
        <f>IFERROR(__xludf.DUMMYFUNCTION("""COMPUTED_VALUE"""),45949.26356481481)</f>
        <v>45949.26356</v>
      </c>
      <c r="L38" s="4"/>
    </row>
    <row r="39">
      <c r="A39" s="1">
        <f>IFERROR(__xludf.DUMMYFUNCTION("""COMPUTED_VALUE"""),38.0)</f>
        <v>38</v>
      </c>
      <c r="B39" s="1">
        <f>IFERROR(__xludf.DUMMYFUNCTION("""COMPUTED_VALUE"""),6027.0)</f>
        <v>6027</v>
      </c>
      <c r="C39" s="2" t="str">
        <f>IFERROR(__xludf.DUMMYFUNCTION("""COMPUTED_VALUE"""),"MUHAMMAD NABIL")</f>
        <v>MUHAMMAD NABIL</v>
      </c>
      <c r="D39" s="2" t="str">
        <f>IFERROR(__xludf.DUMMYFUNCTION("""COMPUTED_VALUE"""),"5KM OVERALL M")</f>
        <v>5KM OVERALL M</v>
      </c>
      <c r="E39" s="1">
        <f>IFERROR(__xludf.DUMMYFUNCTION("""COMPUTED_VALUE"""),25.0)</f>
        <v>25</v>
      </c>
      <c r="F39" s="1" t="str">
        <f>IFERROR(__xludf.DUMMYFUNCTION("""COMPUTED_VALUE"""),"Male")</f>
        <v>Male</v>
      </c>
      <c r="G39" s="5">
        <f>IFERROR(__xludf.DUMMYFUNCTION("""COMPUTED_VALUE"""),0.003460111111111111)</f>
        <v>0.003460111111</v>
      </c>
      <c r="H39" s="15">
        <f>IFERROR(__xludf.DUMMYFUNCTION("""COMPUTED_VALUE"""),0.2549440625)</f>
        <v>0.2549440625</v>
      </c>
      <c r="I39" s="15">
        <f>IFERROR(__xludf.DUMMYFUNCTION("""COMPUTED_VALUE"""),45949.27224462219)</f>
        <v>45949.27224</v>
      </c>
      <c r="J39" s="15">
        <f>IFERROR(__xludf.DUMMYFUNCTION("""COMPUTED_VALUE"""),45949.01730055969)</f>
        <v>45949.0173</v>
      </c>
      <c r="K39" s="15">
        <f>IFERROR(__xludf.DUMMYFUNCTION("""COMPUTED_VALUE"""),45949.26448501686)</f>
        <v>45949.26449</v>
      </c>
      <c r="L39" s="4"/>
    </row>
    <row r="40">
      <c r="A40" s="1">
        <f>IFERROR(__xludf.DUMMYFUNCTION("""COMPUTED_VALUE"""),39.0)</f>
        <v>39</v>
      </c>
      <c r="B40" s="1">
        <f>IFERROR(__xludf.DUMMYFUNCTION("""COMPUTED_VALUE"""),5455.0)</f>
        <v>5455</v>
      </c>
      <c r="C40" s="2" t="str">
        <f>IFERROR(__xludf.DUMMYFUNCTION("""COMPUTED_VALUE"""),"riva'i")</f>
        <v>riva'i</v>
      </c>
      <c r="D40" s="2" t="str">
        <f>IFERROR(__xludf.DUMMYFUNCTION("""COMPUTED_VALUE"""),"5KM OVERALL M")</f>
        <v>5KM OVERALL M</v>
      </c>
      <c r="E40" s="1">
        <f>IFERROR(__xludf.DUMMYFUNCTION("""COMPUTED_VALUE"""),26.0)</f>
        <v>26</v>
      </c>
      <c r="F40" s="1" t="str">
        <f>IFERROR(__xludf.DUMMYFUNCTION("""COMPUTED_VALUE"""),"Male")</f>
        <v>Male</v>
      </c>
      <c r="G40" s="5">
        <f>IFERROR(__xludf.DUMMYFUNCTION("""COMPUTED_VALUE"""),0.003464972222222222)</f>
        <v>0.003464972222</v>
      </c>
      <c r="H40" s="15">
        <f>IFERROR(__xludf.DUMMYFUNCTION("""COMPUTED_VALUE"""),0.2549440625)</f>
        <v>0.2549440625</v>
      </c>
      <c r="I40" s="15">
        <f>IFERROR(__xludf.DUMMYFUNCTION("""COMPUTED_VALUE"""),45949.27226892239)</f>
        <v>45949.27227</v>
      </c>
      <c r="J40" s="15">
        <f>IFERROR(__xludf.DUMMYFUNCTION("""COMPUTED_VALUE"""),45949.01732485989)</f>
        <v>45949.01732</v>
      </c>
      <c r="K40" s="15">
        <f>IFERROR(__xludf.DUMMYFUNCTION("""COMPUTED_VALUE"""),45949.26500239186)</f>
        <v>45949.265</v>
      </c>
      <c r="L40" s="4"/>
    </row>
    <row r="41">
      <c r="A41" s="1">
        <f>IFERROR(__xludf.DUMMYFUNCTION("""COMPUTED_VALUE"""),40.0)</f>
        <v>40</v>
      </c>
      <c r="B41" s="1">
        <f>IFERROR(__xludf.DUMMYFUNCTION("""COMPUTED_VALUE"""),5253.0)</f>
        <v>5253</v>
      </c>
      <c r="C41" s="2" t="str">
        <f>IFERROR(__xludf.DUMMYFUNCTION("""COMPUTED_VALUE"""),"Fadli H")</f>
        <v>Fadli H</v>
      </c>
      <c r="D41" s="2" t="str">
        <f>IFERROR(__xludf.DUMMYFUNCTION("""COMPUTED_VALUE"""),"5KM OVERALL M")</f>
        <v>5KM OVERALL M</v>
      </c>
      <c r="E41" s="1">
        <f>IFERROR(__xludf.DUMMYFUNCTION("""COMPUTED_VALUE"""),27.0)</f>
        <v>27</v>
      </c>
      <c r="F41" s="1" t="str">
        <f>IFERROR(__xludf.DUMMYFUNCTION("""COMPUTED_VALUE"""),"Male")</f>
        <v>Male</v>
      </c>
      <c r="G41" s="5">
        <f>IFERROR(__xludf.DUMMYFUNCTION("""COMPUTED_VALUE"""),0.003465668981481482)</f>
        <v>0.003465668981</v>
      </c>
      <c r="H41" s="15">
        <f>IFERROR(__xludf.DUMMYFUNCTION("""COMPUTED_VALUE"""),0.2549440625)</f>
        <v>0.2549440625</v>
      </c>
      <c r="I41" s="15">
        <f>IFERROR(__xludf.DUMMYFUNCTION("""COMPUTED_VALUE"""),45949.27227240829)</f>
        <v>45949.27227</v>
      </c>
      <c r="J41" s="15">
        <f>IFERROR(__xludf.DUMMYFUNCTION("""COMPUTED_VALUE"""),45949.01732834579)</f>
        <v>45949.01733</v>
      </c>
      <c r="K41" s="15">
        <f>IFERROR(__xludf.DUMMYFUNCTION("""COMPUTED_VALUE"""),45949.26459271343)</f>
        <v>45949.26459</v>
      </c>
      <c r="L41" s="4"/>
    </row>
    <row r="42">
      <c r="A42" s="1">
        <f>IFERROR(__xludf.DUMMYFUNCTION("""COMPUTED_VALUE"""),41.0)</f>
        <v>41</v>
      </c>
      <c r="B42" s="1">
        <f>IFERROR(__xludf.DUMMYFUNCTION("""COMPUTED_VALUE"""),7086.0)</f>
        <v>7086</v>
      </c>
      <c r="C42" s="2" t="str">
        <f>IFERROR(__xludf.DUMMYFUNCTION("""COMPUTED_VALUE"""),"barok")</f>
        <v>barok</v>
      </c>
      <c r="D42" s="2" t="str">
        <f>IFERROR(__xludf.DUMMYFUNCTION("""COMPUTED_VALUE"""),"5KM MASTER M")</f>
        <v>5KM MASTER M</v>
      </c>
      <c r="E42" s="1">
        <f>IFERROR(__xludf.DUMMYFUNCTION("""COMPUTED_VALUE"""),4.0)</f>
        <v>4</v>
      </c>
      <c r="F42" s="1" t="str">
        <f>IFERROR(__xludf.DUMMYFUNCTION("""COMPUTED_VALUE"""),"Male")</f>
        <v>Male</v>
      </c>
      <c r="G42" s="5">
        <f>IFERROR(__xludf.DUMMYFUNCTION("""COMPUTED_VALUE"""),0.0034790115740740745)</f>
        <v>0.003479011574</v>
      </c>
      <c r="H42" s="15">
        <f>IFERROR(__xludf.DUMMYFUNCTION("""COMPUTED_VALUE"""),0.2549440625)</f>
        <v>0.2549440625</v>
      </c>
      <c r="I42" s="15">
        <f>IFERROR(__xludf.DUMMYFUNCTION("""COMPUTED_VALUE"""),45949.27233912194)</f>
        <v>45949.27234</v>
      </c>
      <c r="J42" s="15">
        <f>IFERROR(__xludf.DUMMYFUNCTION("""COMPUTED_VALUE"""),45949.01739505944)</f>
        <v>45949.0174</v>
      </c>
      <c r="K42" s="15">
        <f>IFERROR(__xludf.DUMMYFUNCTION("""COMPUTED_VALUE"""),45949.26573854744)</f>
        <v>45949.26574</v>
      </c>
      <c r="L42" s="4"/>
    </row>
    <row r="43">
      <c r="A43" s="1">
        <f>IFERROR(__xludf.DUMMYFUNCTION("""COMPUTED_VALUE"""),42.0)</f>
        <v>42</v>
      </c>
      <c r="B43" s="7" t="str">
        <f>IFERROR(__xludf.DUMMYFUNCTION("""COMPUTED_VALUE"""),"9004")</f>
        <v>9004</v>
      </c>
      <c r="C43" s="8" t="str">
        <f>IFERROR(__xludf.DUMMYFUNCTION("""COMPUTED_VALUE"""),"alesha")</f>
        <v>alesha</v>
      </c>
      <c r="D43" s="2" t="str">
        <f>IFERROR(__xludf.DUMMYFUNCTION("""COMPUTED_VALUE"""),"5KM STUDENT F")</f>
        <v>5KM STUDENT F</v>
      </c>
      <c r="E43" s="1">
        <f>IFERROR(__xludf.DUMMYFUNCTION("""COMPUTED_VALUE"""),1.0)</f>
        <v>1</v>
      </c>
      <c r="F43" s="1" t="str">
        <f>IFERROR(__xludf.DUMMYFUNCTION("""COMPUTED_VALUE"""),"Female")</f>
        <v>Female</v>
      </c>
      <c r="G43" s="5">
        <f>IFERROR(__xludf.DUMMYFUNCTION("""COMPUTED_VALUE"""),0.003484416666666667)</f>
        <v>0.003484416667</v>
      </c>
      <c r="H43" s="15">
        <f>IFERROR(__xludf.DUMMYFUNCTION("""COMPUTED_VALUE"""),0.2549440625)</f>
        <v>0.2549440625</v>
      </c>
      <c r="I43" s="15">
        <f>IFERROR(__xludf.DUMMYFUNCTION("""COMPUTED_VALUE"""),45949.27236615082)</f>
        <v>45949.27237</v>
      </c>
      <c r="J43" s="15">
        <f>IFERROR(__xludf.DUMMYFUNCTION("""COMPUTED_VALUE"""),45949.01742208832)</f>
        <v>45949.01742</v>
      </c>
      <c r="K43" s="15">
        <f>IFERROR(__xludf.DUMMYFUNCTION("""COMPUTED_VALUE"""),45949.264766852706)</f>
        <v>45949.26477</v>
      </c>
      <c r="L43" s="4"/>
    </row>
    <row r="44">
      <c r="A44" s="1">
        <f>IFERROR(__xludf.DUMMYFUNCTION("""COMPUTED_VALUE"""),43.0)</f>
        <v>43</v>
      </c>
      <c r="B44" s="1">
        <f>IFERROR(__xludf.DUMMYFUNCTION("""COMPUTED_VALUE"""),5354.0)</f>
        <v>5354</v>
      </c>
      <c r="C44" s="2" t="str">
        <f>IFERROR(__xludf.DUMMYFUNCTION("""COMPUTED_VALUE"""),"BANGKUY")</f>
        <v>BANGKUY</v>
      </c>
      <c r="D44" s="2" t="str">
        <f>IFERROR(__xludf.DUMMYFUNCTION("""COMPUTED_VALUE"""),"5KM OVERALL M")</f>
        <v>5KM OVERALL M</v>
      </c>
      <c r="E44" s="1">
        <f>IFERROR(__xludf.DUMMYFUNCTION("""COMPUTED_VALUE"""),28.0)</f>
        <v>28</v>
      </c>
      <c r="F44" s="1" t="str">
        <f>IFERROR(__xludf.DUMMYFUNCTION("""COMPUTED_VALUE"""),"Male")</f>
        <v>Male</v>
      </c>
      <c r="G44" s="5">
        <f>IFERROR(__xludf.DUMMYFUNCTION("""COMPUTED_VALUE"""),0.003489974537037037)</f>
        <v>0.003489974537</v>
      </c>
      <c r="H44" s="15">
        <f>IFERROR(__xludf.DUMMYFUNCTION("""COMPUTED_VALUE"""),0.2549440625)</f>
        <v>0.2549440625</v>
      </c>
      <c r="I44" s="15">
        <f>IFERROR(__xludf.DUMMYFUNCTION("""COMPUTED_VALUE"""),45949.27239393979)</f>
        <v>45949.27239</v>
      </c>
      <c r="J44" s="15">
        <f>IFERROR(__xludf.DUMMYFUNCTION("""COMPUTED_VALUE"""),45949.01744987729)</f>
        <v>45949.01745</v>
      </c>
      <c r="K44" s="15">
        <f>IFERROR(__xludf.DUMMYFUNCTION("""COMPUTED_VALUE"""),45949.26473501967)</f>
        <v>45949.26474</v>
      </c>
      <c r="L44" s="4"/>
    </row>
    <row r="45">
      <c r="A45" s="1">
        <f>IFERROR(__xludf.DUMMYFUNCTION("""COMPUTED_VALUE"""),44.0)</f>
        <v>44</v>
      </c>
      <c r="B45" s="1">
        <f>IFERROR(__xludf.DUMMYFUNCTION("""COMPUTED_VALUE"""),5764.0)</f>
        <v>5764</v>
      </c>
      <c r="C45" s="2" t="str">
        <f>IFERROR(__xludf.DUMMYFUNCTION("""COMPUTED_VALUE"""),"Eza")</f>
        <v>Eza</v>
      </c>
      <c r="D45" s="2" t="str">
        <f>IFERROR(__xludf.DUMMYFUNCTION("""COMPUTED_VALUE"""),"5KM OVERALL M")</f>
        <v>5KM OVERALL M</v>
      </c>
      <c r="E45" s="1">
        <f>IFERROR(__xludf.DUMMYFUNCTION("""COMPUTED_VALUE"""),29.0)</f>
        <v>29</v>
      </c>
      <c r="F45" s="1" t="str">
        <f>IFERROR(__xludf.DUMMYFUNCTION("""COMPUTED_VALUE"""),"Male")</f>
        <v>Male</v>
      </c>
      <c r="G45" s="5">
        <f>IFERROR(__xludf.DUMMYFUNCTION("""COMPUTED_VALUE"""),0.00349275)</f>
        <v>0.00349275</v>
      </c>
      <c r="H45" s="15">
        <f>IFERROR(__xludf.DUMMYFUNCTION("""COMPUTED_VALUE"""),0.2549440625)</f>
        <v>0.2549440625</v>
      </c>
      <c r="I45" s="15">
        <f>IFERROR(__xludf.DUMMYFUNCTION("""COMPUTED_VALUE"""),45949.27240781555)</f>
        <v>45949.27241</v>
      </c>
      <c r="J45" s="15">
        <f>IFERROR(__xludf.DUMMYFUNCTION("""COMPUTED_VALUE"""),45949.01746375305)</f>
        <v>45949.01746</v>
      </c>
      <c r="K45" s="15">
        <f>IFERROR(__xludf.DUMMYFUNCTION("""COMPUTED_VALUE"""),45949.26403711287)</f>
        <v>45949.26404</v>
      </c>
      <c r="L45" s="4"/>
    </row>
    <row r="46">
      <c r="A46" s="1">
        <f>IFERROR(__xludf.DUMMYFUNCTION("""COMPUTED_VALUE"""),45.0)</f>
        <v>45</v>
      </c>
      <c r="B46" s="1">
        <f>IFERROR(__xludf.DUMMYFUNCTION("""COMPUTED_VALUE"""),5526.0)</f>
        <v>5526</v>
      </c>
      <c r="C46" s="2" t="str">
        <f>IFERROR(__xludf.DUMMYFUNCTION("""COMPUTED_VALUE"""),"Dandi.P")</f>
        <v>Dandi.P</v>
      </c>
      <c r="D46" s="2" t="str">
        <f>IFERROR(__xludf.DUMMYFUNCTION("""COMPUTED_VALUE"""),"5KM OVERALL M")</f>
        <v>5KM OVERALL M</v>
      </c>
      <c r="E46" s="1">
        <f>IFERROR(__xludf.DUMMYFUNCTION("""COMPUTED_VALUE"""),30.0)</f>
        <v>30</v>
      </c>
      <c r="F46" s="1" t="str">
        <f>IFERROR(__xludf.DUMMYFUNCTION("""COMPUTED_VALUE"""),"Male")</f>
        <v>Male</v>
      </c>
      <c r="G46" s="5">
        <f>IFERROR(__xludf.DUMMYFUNCTION("""COMPUTED_VALUE"""),0.0035012106481481483)</f>
        <v>0.003501210648</v>
      </c>
      <c r="H46" s="15">
        <f>IFERROR(__xludf.DUMMYFUNCTION("""COMPUTED_VALUE"""),0.2549440625)</f>
        <v>0.2549440625</v>
      </c>
      <c r="I46" s="15">
        <f>IFERROR(__xludf.DUMMYFUNCTION("""COMPUTED_VALUE"""),45949.27245011921)</f>
        <v>45949.27245</v>
      </c>
      <c r="J46" s="15">
        <f>IFERROR(__xludf.DUMMYFUNCTION("""COMPUTED_VALUE"""),45949.01750605671)</f>
        <v>45949.01751</v>
      </c>
      <c r="K46" s="15">
        <f>IFERROR(__xludf.DUMMYFUNCTION("""COMPUTED_VALUE"""),45949.26438438753)</f>
        <v>45949.26438</v>
      </c>
      <c r="L46" s="4"/>
    </row>
    <row r="47">
      <c r="A47" s="1">
        <f>IFERROR(__xludf.DUMMYFUNCTION("""COMPUTED_VALUE"""),46.0)</f>
        <v>46</v>
      </c>
      <c r="B47" s="1">
        <f>IFERROR(__xludf.DUMMYFUNCTION("""COMPUTED_VALUE"""),6257.0)</f>
        <v>6257</v>
      </c>
      <c r="C47" s="2" t="str">
        <f>IFERROR(__xludf.DUMMYFUNCTION("""COMPUTED_VALUE"""),"ahmad sufi")</f>
        <v>ahmad sufi</v>
      </c>
      <c r="D47" s="2" t="str">
        <f>IFERROR(__xludf.DUMMYFUNCTION("""COMPUTED_VALUE"""),"5KM OVERALL M")</f>
        <v>5KM OVERALL M</v>
      </c>
      <c r="E47" s="1">
        <f>IFERROR(__xludf.DUMMYFUNCTION("""COMPUTED_VALUE"""),31.0)</f>
        <v>31</v>
      </c>
      <c r="F47" s="1" t="str">
        <f>IFERROR(__xludf.DUMMYFUNCTION("""COMPUTED_VALUE"""),"Male")</f>
        <v>Male</v>
      </c>
      <c r="G47" s="5">
        <f>IFERROR(__xludf.DUMMYFUNCTION("""COMPUTED_VALUE"""),0.003510101851851852)</f>
        <v>0.003510101852</v>
      </c>
      <c r="H47" s="15">
        <f>IFERROR(__xludf.DUMMYFUNCTION("""COMPUTED_VALUE"""),0.2549440625)</f>
        <v>0.2549440625</v>
      </c>
      <c r="I47" s="15">
        <f>IFERROR(__xludf.DUMMYFUNCTION("""COMPUTED_VALUE"""),45949.27249457062)</f>
        <v>45949.27249</v>
      </c>
      <c r="J47" s="15">
        <f>IFERROR(__xludf.DUMMYFUNCTION("""COMPUTED_VALUE"""),45949.01755050812)</f>
        <v>45949.01755</v>
      </c>
      <c r="K47" s="15">
        <f>IFERROR(__xludf.DUMMYFUNCTION("""COMPUTED_VALUE"""),45949.26485326401)</f>
        <v>45949.26485</v>
      </c>
      <c r="L47" s="4"/>
    </row>
    <row r="48">
      <c r="A48" s="1">
        <f>IFERROR(__xludf.DUMMYFUNCTION("""COMPUTED_VALUE"""),47.0)</f>
        <v>47</v>
      </c>
      <c r="B48" s="7" t="str">
        <f>IFERROR(__xludf.DUMMYFUNCTION("""COMPUTED_VALUE"""),"9046")</f>
        <v>9046</v>
      </c>
      <c r="C48" s="8" t="str">
        <f>IFERROR(__xludf.DUMMYFUNCTION("""COMPUTED_VALUE"""),"NIZAM GUMILAR")</f>
        <v>NIZAM GUMILAR</v>
      </c>
      <c r="D48" s="2" t="str">
        <f>IFERROR(__xludf.DUMMYFUNCTION("""COMPUTED_VALUE"""),"5KM STUDENT M")</f>
        <v>5KM STUDENT M</v>
      </c>
      <c r="E48" s="1">
        <f>IFERROR(__xludf.DUMMYFUNCTION("""COMPUTED_VALUE"""),10.0)</f>
        <v>10</v>
      </c>
      <c r="F48" s="1" t="str">
        <f>IFERROR(__xludf.DUMMYFUNCTION("""COMPUTED_VALUE"""),"Male")</f>
        <v>Male</v>
      </c>
      <c r="G48" s="5">
        <f>IFERROR(__xludf.DUMMYFUNCTION("""COMPUTED_VALUE"""),0.0035101041666666666)</f>
        <v>0.003510104167</v>
      </c>
      <c r="H48" s="15">
        <f>IFERROR(__xludf.DUMMYFUNCTION("""COMPUTED_VALUE"""),0.2549440625)</f>
        <v>0.2549440625</v>
      </c>
      <c r="I48" s="15">
        <f>IFERROR(__xludf.DUMMYFUNCTION("""COMPUTED_VALUE"""),45949.2724945849)</f>
        <v>45949.27249</v>
      </c>
      <c r="J48" s="15">
        <f>IFERROR(__xludf.DUMMYFUNCTION("""COMPUTED_VALUE"""),45949.017550522396)</f>
        <v>45949.01755</v>
      </c>
      <c r="K48" s="15">
        <f>IFERROR(__xludf.DUMMYFUNCTION("""COMPUTED_VALUE"""),45949.26357638889)</f>
        <v>45949.26358</v>
      </c>
      <c r="L48" s="4"/>
    </row>
    <row r="49">
      <c r="A49" s="1">
        <f>IFERROR(__xludf.DUMMYFUNCTION("""COMPUTED_VALUE"""),48.0)</f>
        <v>48</v>
      </c>
      <c r="B49" s="7" t="str">
        <f>IFERROR(__xludf.DUMMYFUNCTION("""COMPUTED_VALUE"""),"9065")</f>
        <v>9065</v>
      </c>
      <c r="C49" s="8" t="str">
        <f>IFERROR(__xludf.DUMMYFUNCTION("""COMPUTED_VALUE"""),"Bunayya")</f>
        <v>Bunayya</v>
      </c>
      <c r="D49" s="2" t="str">
        <f>IFERROR(__xludf.DUMMYFUNCTION("""COMPUTED_VALUE"""),"5KM STUDENT M")</f>
        <v>5KM STUDENT M</v>
      </c>
      <c r="E49" s="1">
        <f>IFERROR(__xludf.DUMMYFUNCTION("""COMPUTED_VALUE"""),11.0)</f>
        <v>11</v>
      </c>
      <c r="F49" s="1" t="str">
        <f>IFERROR(__xludf.DUMMYFUNCTION("""COMPUTED_VALUE"""),"Male")</f>
        <v>Male</v>
      </c>
      <c r="G49" s="5">
        <f>IFERROR(__xludf.DUMMYFUNCTION("""COMPUTED_VALUE"""),0.0035260833333333333)</f>
        <v>0.003526083333</v>
      </c>
      <c r="H49" s="15">
        <f>IFERROR(__xludf.DUMMYFUNCTION("""COMPUTED_VALUE"""),0.2549440625)</f>
        <v>0.2549440625</v>
      </c>
      <c r="I49" s="15">
        <f>IFERROR(__xludf.DUMMYFUNCTION("""COMPUTED_VALUE"""),45949.2725744741)</f>
        <v>45949.27257</v>
      </c>
      <c r="J49" s="15">
        <f>IFERROR(__xludf.DUMMYFUNCTION("""COMPUTED_VALUE"""),45949.017630411596)</f>
        <v>45949.01763</v>
      </c>
      <c r="K49" s="15">
        <f>IFERROR(__xludf.DUMMYFUNCTION("""COMPUTED_VALUE"""),45949.26462396164)</f>
        <v>45949.26462</v>
      </c>
      <c r="L49" s="4"/>
    </row>
    <row r="50">
      <c r="A50" s="1">
        <f>IFERROR(__xludf.DUMMYFUNCTION("""COMPUTED_VALUE"""),49.0)</f>
        <v>49</v>
      </c>
      <c r="B50" s="1">
        <f>IFERROR(__xludf.DUMMYFUNCTION("""COMPUTED_VALUE"""),6584.0)</f>
        <v>6584</v>
      </c>
      <c r="C50" s="2" t="str">
        <f>IFERROR(__xludf.DUMMYFUNCTION("""COMPUTED_VALUE"""),"Np Kalselteng")</f>
        <v>Np Kalselteng</v>
      </c>
      <c r="D50" s="2" t="str">
        <f>IFERROR(__xludf.DUMMYFUNCTION("""COMPUTED_VALUE"""),"5KM OVERALL M")</f>
        <v>5KM OVERALL M</v>
      </c>
      <c r="E50" s="1">
        <f>IFERROR(__xludf.DUMMYFUNCTION("""COMPUTED_VALUE"""),32.0)</f>
        <v>32</v>
      </c>
      <c r="F50" s="1" t="str">
        <f>IFERROR(__xludf.DUMMYFUNCTION("""COMPUTED_VALUE"""),"Male")</f>
        <v>Male</v>
      </c>
      <c r="G50" s="5">
        <f>IFERROR(__xludf.DUMMYFUNCTION("""COMPUTED_VALUE"""),0.003551085648148148)</f>
        <v>0.003551085648</v>
      </c>
      <c r="H50" s="15">
        <f>IFERROR(__xludf.DUMMYFUNCTION("""COMPUTED_VALUE"""),0.2549440625)</f>
        <v>0.2549440625</v>
      </c>
      <c r="I50" s="15">
        <f>IFERROR(__xludf.DUMMYFUNCTION("""COMPUTED_VALUE"""),45949.27269948532)</f>
        <v>45949.2727</v>
      </c>
      <c r="J50" s="15">
        <f>IFERROR(__xludf.DUMMYFUNCTION("""COMPUTED_VALUE"""),45949.01775542282)</f>
        <v>45949.01776</v>
      </c>
      <c r="K50" s="15">
        <f>IFERROR(__xludf.DUMMYFUNCTION("""COMPUTED_VALUE"""),45950.265601851854)</f>
        <v>45950.2656</v>
      </c>
      <c r="L50" s="4" t="str">
        <f>IFERROR(__xludf.DUMMYFUNCTION("""COMPUTED_VALUE"""),"C")</f>
        <v>C</v>
      </c>
    </row>
    <row r="51">
      <c r="A51" s="1">
        <f>IFERROR(__xludf.DUMMYFUNCTION("""COMPUTED_VALUE"""),50.0)</f>
        <v>50</v>
      </c>
      <c r="B51" s="1">
        <f>IFERROR(__xludf.DUMMYFUNCTION("""COMPUTED_VALUE"""),5916.0)</f>
        <v>5916</v>
      </c>
      <c r="C51" s="2" t="str">
        <f>IFERROR(__xludf.DUMMYFUNCTION("""COMPUTED_VALUE"""),"Abi Al-Fatih")</f>
        <v>Abi Al-Fatih</v>
      </c>
      <c r="D51" s="2" t="str">
        <f>IFERROR(__xludf.DUMMYFUNCTION("""COMPUTED_VALUE"""),"5KM OVERALL M")</f>
        <v>5KM OVERALL M</v>
      </c>
      <c r="E51" s="1">
        <f>IFERROR(__xludf.DUMMYFUNCTION("""COMPUTED_VALUE"""),33.0)</f>
        <v>33</v>
      </c>
      <c r="F51" s="1" t="str">
        <f>IFERROR(__xludf.DUMMYFUNCTION("""COMPUTED_VALUE"""),"Male")</f>
        <v>Male</v>
      </c>
      <c r="G51" s="5">
        <f>IFERROR(__xludf.DUMMYFUNCTION("""COMPUTED_VALUE"""),0.003551780092592592)</f>
        <v>0.003551780093</v>
      </c>
      <c r="H51" s="15">
        <f>IFERROR(__xludf.DUMMYFUNCTION("""COMPUTED_VALUE"""),0.2549440625)</f>
        <v>0.2549440625</v>
      </c>
      <c r="I51" s="15">
        <f>IFERROR(__xludf.DUMMYFUNCTION("""COMPUTED_VALUE"""),45949.272702967435)</f>
        <v>45949.2727</v>
      </c>
      <c r="J51" s="15">
        <f>IFERROR(__xludf.DUMMYFUNCTION("""COMPUTED_VALUE"""),45949.017758904934)</f>
        <v>45949.01776</v>
      </c>
      <c r="K51" s="15">
        <f>IFERROR(__xludf.DUMMYFUNCTION("""COMPUTED_VALUE"""),45949.26446767297)</f>
        <v>45949.26447</v>
      </c>
      <c r="L51" s="4"/>
    </row>
    <row r="52">
      <c r="A52" s="1">
        <f>IFERROR(__xludf.DUMMYFUNCTION("""COMPUTED_VALUE"""),51.0)</f>
        <v>51</v>
      </c>
      <c r="B52" s="7" t="str">
        <f>IFERROR(__xludf.DUMMYFUNCTION("""COMPUTED_VALUE"""),"7139")</f>
        <v>7139</v>
      </c>
      <c r="C52" s="8" t="str">
        <f>IFERROR(__xludf.DUMMYFUNCTION("""COMPUTED_VALUE"""),"AMI FAISOL")</f>
        <v>AMI FAISOL</v>
      </c>
      <c r="D52" s="2" t="str">
        <f>IFERROR(__xludf.DUMMYFUNCTION("""COMPUTED_VALUE"""),"5KM MASTER M")</f>
        <v>5KM MASTER M</v>
      </c>
      <c r="E52" s="1">
        <f>IFERROR(__xludf.DUMMYFUNCTION("""COMPUTED_VALUE"""),5.0)</f>
        <v>5</v>
      </c>
      <c r="F52" s="1" t="str">
        <f>IFERROR(__xludf.DUMMYFUNCTION("""COMPUTED_VALUE"""),"Male")</f>
        <v>Male</v>
      </c>
      <c r="G52" s="5">
        <f>IFERROR(__xludf.DUMMYFUNCTION("""COMPUTED_VALUE"""),0.003571222222222222)</f>
        <v>0.003571222222</v>
      </c>
      <c r="H52" s="15">
        <f>IFERROR(__xludf.DUMMYFUNCTION("""COMPUTED_VALUE"""),0.2549440625)</f>
        <v>0.2549440625</v>
      </c>
      <c r="I52" s="15">
        <f>IFERROR(__xludf.DUMMYFUNCTION("""COMPUTED_VALUE"""),45949.272800174695)</f>
        <v>45949.2728</v>
      </c>
      <c r="J52" s="15">
        <f>IFERROR(__xludf.DUMMYFUNCTION("""COMPUTED_VALUE"""),45949.017856112194)</f>
        <v>45949.01786</v>
      </c>
      <c r="K52" s="15">
        <f>IFERROR(__xludf.DUMMYFUNCTION("""COMPUTED_VALUE"""),45949.26495725129)</f>
        <v>45949.26496</v>
      </c>
      <c r="L52" s="4"/>
    </row>
    <row r="53">
      <c r="A53" s="1">
        <f>IFERROR(__xludf.DUMMYFUNCTION("""COMPUTED_VALUE"""),52.0)</f>
        <v>52</v>
      </c>
      <c r="B53" s="1">
        <f>IFERROR(__xludf.DUMMYFUNCTION("""COMPUTED_VALUE"""),5463.0)</f>
        <v>5463</v>
      </c>
      <c r="C53" s="2" t="str">
        <f>IFERROR(__xludf.DUMMYFUNCTION("""COMPUTED_VALUE"""),"NCLR")</f>
        <v>NCLR</v>
      </c>
      <c r="D53" s="2" t="str">
        <f>IFERROR(__xludf.DUMMYFUNCTION("""COMPUTED_VALUE"""),"5KM OVERALL M")</f>
        <v>5KM OVERALL M</v>
      </c>
      <c r="E53" s="1">
        <f>IFERROR(__xludf.DUMMYFUNCTION("""COMPUTED_VALUE"""),34.0)</f>
        <v>34</v>
      </c>
      <c r="F53" s="1" t="str">
        <f>IFERROR(__xludf.DUMMYFUNCTION("""COMPUTED_VALUE"""),"Male")</f>
        <v>Male</v>
      </c>
      <c r="G53" s="5">
        <f>IFERROR(__xludf.DUMMYFUNCTION("""COMPUTED_VALUE"""),0.003584418981481482)</f>
        <v>0.003584418981</v>
      </c>
      <c r="H53" s="15">
        <f>IFERROR(__xludf.DUMMYFUNCTION("""COMPUTED_VALUE"""),0.2549440625)</f>
        <v>0.2549440625</v>
      </c>
      <c r="I53" s="15">
        <f>IFERROR(__xludf.DUMMYFUNCTION("""COMPUTED_VALUE"""),45949.27286615601)</f>
        <v>45949.27287</v>
      </c>
      <c r="J53" s="15">
        <f>IFERROR(__xludf.DUMMYFUNCTION("""COMPUTED_VALUE"""),45949.01792209351)</f>
        <v>45949.01792</v>
      </c>
      <c r="K53" s="15">
        <f>IFERROR(__xludf.DUMMYFUNCTION("""COMPUTED_VALUE"""),45949.26440515906)</f>
        <v>45949.26441</v>
      </c>
      <c r="L53" s="4"/>
    </row>
    <row r="54">
      <c r="A54" s="1">
        <f>IFERROR(__xludf.DUMMYFUNCTION("""COMPUTED_VALUE"""),53.0)</f>
        <v>53</v>
      </c>
      <c r="B54" s="1">
        <f>IFERROR(__xludf.DUMMYFUNCTION("""COMPUTED_VALUE"""),5171.0)</f>
        <v>5171</v>
      </c>
      <c r="C54" s="2" t="str">
        <f>IFERROR(__xludf.DUMMYFUNCTION("""COMPUTED_VALUE"""),"angelpuw")</f>
        <v>angelpuw</v>
      </c>
      <c r="D54" s="2" t="str">
        <f>IFERROR(__xludf.DUMMYFUNCTION("""COMPUTED_VALUE"""),"5KM OVERALL F")</f>
        <v>5KM OVERALL F</v>
      </c>
      <c r="E54" s="1">
        <f>IFERROR(__xludf.DUMMYFUNCTION("""COMPUTED_VALUE"""),2.0)</f>
        <v>2</v>
      </c>
      <c r="F54" s="1" t="str">
        <f>IFERROR(__xludf.DUMMYFUNCTION("""COMPUTED_VALUE"""),"Female")</f>
        <v>Female</v>
      </c>
      <c r="G54" s="5">
        <f>IFERROR(__xludf.DUMMYFUNCTION("""COMPUTED_VALUE"""),0.0035991504629629633)</f>
        <v>0.003599150463</v>
      </c>
      <c r="H54" s="15">
        <f>IFERROR(__xludf.DUMMYFUNCTION("""COMPUTED_VALUE"""),0.2549440625)</f>
        <v>0.2549440625</v>
      </c>
      <c r="I54" s="15">
        <f>IFERROR(__xludf.DUMMYFUNCTION("""COMPUTED_VALUE"""),45949.272939814815)</f>
        <v>45949.27294</v>
      </c>
      <c r="J54" s="15">
        <f>IFERROR(__xludf.DUMMYFUNCTION("""COMPUTED_VALUE"""),45949.017995752314)</f>
        <v>45949.018</v>
      </c>
      <c r="K54" s="15">
        <f>IFERROR(__xludf.DUMMYFUNCTION("""COMPUTED_VALUE"""),45949.26462397312)</f>
        <v>45949.26462</v>
      </c>
      <c r="L54" s="4"/>
    </row>
    <row r="55">
      <c r="A55" s="1">
        <f>IFERROR(__xludf.DUMMYFUNCTION("""COMPUTED_VALUE"""),54.0)</f>
        <v>54</v>
      </c>
      <c r="B55" s="1">
        <f>IFERROR(__xludf.DUMMYFUNCTION("""COMPUTED_VALUE"""),5353.0)</f>
        <v>5353</v>
      </c>
      <c r="C55" s="2" t="str">
        <f>IFERROR(__xludf.DUMMYFUNCTION("""COMPUTED_VALUE"""),"Farkhan")</f>
        <v>Farkhan</v>
      </c>
      <c r="D55" s="2" t="str">
        <f>IFERROR(__xludf.DUMMYFUNCTION("""COMPUTED_VALUE"""),"5KM OVERALL M")</f>
        <v>5KM OVERALL M</v>
      </c>
      <c r="E55" s="1">
        <f>IFERROR(__xludf.DUMMYFUNCTION("""COMPUTED_VALUE"""),35.0)</f>
        <v>35</v>
      </c>
      <c r="F55" s="1" t="str">
        <f>IFERROR(__xludf.DUMMYFUNCTION("""COMPUTED_VALUE"""),"Male")</f>
        <v>Male</v>
      </c>
      <c r="G55" s="5">
        <f>IFERROR(__xludf.DUMMYFUNCTION("""COMPUTED_VALUE"""),0.003601777777777778)</f>
        <v>0.003601777778</v>
      </c>
      <c r="H55" s="15">
        <f>IFERROR(__xludf.DUMMYFUNCTION("""COMPUTED_VALUE"""),0.2549440625)</f>
        <v>0.2549440625</v>
      </c>
      <c r="I55" s="15">
        <f>IFERROR(__xludf.DUMMYFUNCTION("""COMPUTED_VALUE"""),45949.27295295646)</f>
        <v>45949.27295</v>
      </c>
      <c r="J55" s="15">
        <f>IFERROR(__xludf.DUMMYFUNCTION("""COMPUTED_VALUE"""),45949.01800889396)</f>
        <v>45949.01801</v>
      </c>
      <c r="K55" s="15">
        <f>IFERROR(__xludf.DUMMYFUNCTION("""COMPUTED_VALUE"""),45949.28899896533)</f>
        <v>45949.289</v>
      </c>
      <c r="L55" s="4"/>
    </row>
    <row r="56">
      <c r="A56" s="1">
        <f>IFERROR(__xludf.DUMMYFUNCTION("""COMPUTED_VALUE"""),55.0)</f>
        <v>55</v>
      </c>
      <c r="B56" s="7" t="str">
        <f>IFERROR(__xludf.DUMMYFUNCTION("""COMPUTED_VALUE"""),"7155")</f>
        <v>7155</v>
      </c>
      <c r="C56" s="8" t="str">
        <f>IFERROR(__xludf.DUMMYFUNCTION("""COMPUTED_VALUE"""),"Amri")</f>
        <v>Amri</v>
      </c>
      <c r="D56" s="2" t="str">
        <f>IFERROR(__xludf.DUMMYFUNCTION("""COMPUTED_VALUE"""),"5KM MASTER M")</f>
        <v>5KM MASTER M</v>
      </c>
      <c r="E56" s="1">
        <f>IFERROR(__xludf.DUMMYFUNCTION("""COMPUTED_VALUE"""),6.0)</f>
        <v>6</v>
      </c>
      <c r="F56" s="1" t="str">
        <f>IFERROR(__xludf.DUMMYFUNCTION("""COMPUTED_VALUE"""),"Male")</f>
        <v>Male</v>
      </c>
      <c r="G56" s="5">
        <f>IFERROR(__xludf.DUMMYFUNCTION("""COMPUTED_VALUE"""),0.003612194444444445)</f>
        <v>0.003612194444</v>
      </c>
      <c r="H56" s="15">
        <f>IFERROR(__xludf.DUMMYFUNCTION("""COMPUTED_VALUE"""),0.2549440625)</f>
        <v>0.2549440625</v>
      </c>
      <c r="I56" s="15">
        <f>IFERROR(__xludf.DUMMYFUNCTION("""COMPUTED_VALUE"""),45949.2730050319)</f>
        <v>45949.27301</v>
      </c>
      <c r="J56" s="15">
        <f>IFERROR(__xludf.DUMMYFUNCTION("""COMPUTED_VALUE"""),45949.0180609694)</f>
        <v>45949.01806</v>
      </c>
      <c r="K56" s="15">
        <f>IFERROR(__xludf.DUMMYFUNCTION("""COMPUTED_VALUE"""),45949.26547460276)</f>
        <v>45949.26547</v>
      </c>
      <c r="L56" s="4"/>
    </row>
    <row r="57">
      <c r="A57" s="1">
        <f>IFERROR(__xludf.DUMMYFUNCTION("""COMPUTED_VALUE"""),56.0)</f>
        <v>56</v>
      </c>
      <c r="B57" s="1">
        <f>IFERROR(__xludf.DUMMYFUNCTION("""COMPUTED_VALUE"""),5164.0)</f>
        <v>5164</v>
      </c>
      <c r="C57" s="2" t="str">
        <f>IFERROR(__xludf.DUMMYFUNCTION("""COMPUTED_VALUE"""),"Bakhtiar")</f>
        <v>Bakhtiar</v>
      </c>
      <c r="D57" s="2" t="str">
        <f>IFERROR(__xludf.DUMMYFUNCTION("""COMPUTED_VALUE"""),"5KM OVERALL M")</f>
        <v>5KM OVERALL M</v>
      </c>
      <c r="E57" s="1">
        <f>IFERROR(__xludf.DUMMYFUNCTION("""COMPUTED_VALUE"""),36.0)</f>
        <v>36</v>
      </c>
      <c r="F57" s="1" t="str">
        <f>IFERROR(__xludf.DUMMYFUNCTION("""COMPUTED_VALUE"""),"Male")</f>
        <v>Male</v>
      </c>
      <c r="G57" s="5">
        <f>IFERROR(__xludf.DUMMYFUNCTION("""COMPUTED_VALUE"""),0.0036253888888888885)</f>
        <v>0.003625388889</v>
      </c>
      <c r="H57" s="15">
        <f>IFERROR(__xludf.DUMMYFUNCTION("""COMPUTED_VALUE"""),0.2549440625)</f>
        <v>0.2549440625</v>
      </c>
      <c r="I57" s="15">
        <f>IFERROR(__xludf.DUMMYFUNCTION("""COMPUTED_VALUE"""),45949.27307100984)</f>
        <v>45949.27307</v>
      </c>
      <c r="J57" s="15">
        <f>IFERROR(__xludf.DUMMYFUNCTION("""COMPUTED_VALUE"""),45949.01812694734)</f>
        <v>45949.01813</v>
      </c>
      <c r="K57" s="15">
        <f>IFERROR(__xludf.DUMMYFUNCTION("""COMPUTED_VALUE"""),45949.264356558524)</f>
        <v>45949.26436</v>
      </c>
      <c r="L57" s="4"/>
    </row>
    <row r="58">
      <c r="A58" s="1">
        <f>IFERROR(__xludf.DUMMYFUNCTION("""COMPUTED_VALUE"""),57.0)</f>
        <v>57</v>
      </c>
      <c r="B58" s="1">
        <f>IFERROR(__xludf.DUMMYFUNCTION("""COMPUTED_VALUE"""),5144.0)</f>
        <v>5144</v>
      </c>
      <c r="C58" s="2" t="str">
        <f>IFERROR(__xludf.DUMMYFUNCTION("""COMPUTED_VALUE"""),"SATRIA")</f>
        <v>SATRIA</v>
      </c>
      <c r="D58" s="2" t="str">
        <f>IFERROR(__xludf.DUMMYFUNCTION("""COMPUTED_VALUE"""),"5KM OVERALL M")</f>
        <v>5KM OVERALL M</v>
      </c>
      <c r="E58" s="1">
        <f>IFERROR(__xludf.DUMMYFUNCTION("""COMPUTED_VALUE"""),37.0)</f>
        <v>37</v>
      </c>
      <c r="F58" s="1" t="str">
        <f>IFERROR(__xludf.DUMMYFUNCTION("""COMPUTED_VALUE"""),"Male")</f>
        <v>Male</v>
      </c>
      <c r="G58" s="5">
        <f>IFERROR(__xludf.DUMMYFUNCTION("""COMPUTED_VALUE"""),0.0036302500000000002)</f>
        <v>0.00363025</v>
      </c>
      <c r="H58" s="15">
        <f>IFERROR(__xludf.DUMMYFUNCTION("""COMPUTED_VALUE"""),0.2549440625)</f>
        <v>0.2549440625</v>
      </c>
      <c r="I58" s="15">
        <f>IFERROR(__xludf.DUMMYFUNCTION("""COMPUTED_VALUE"""),45949.27309530847)</f>
        <v>45949.2731</v>
      </c>
      <c r="J58" s="15">
        <f>IFERROR(__xludf.DUMMYFUNCTION("""COMPUTED_VALUE"""),45949.01815124597)</f>
        <v>45949.01815</v>
      </c>
      <c r="K58" s="15">
        <f>IFERROR(__xludf.DUMMYFUNCTION("""COMPUTED_VALUE"""),45949.26500591294)</f>
        <v>45949.26501</v>
      </c>
      <c r="L58" s="4"/>
    </row>
    <row r="59">
      <c r="A59" s="1">
        <f>IFERROR(__xludf.DUMMYFUNCTION("""COMPUTED_VALUE"""),58.0)</f>
        <v>58</v>
      </c>
      <c r="B59" s="1">
        <f>IFERROR(__xludf.DUMMYFUNCTION("""COMPUTED_VALUE"""),6414.0)</f>
        <v>6414</v>
      </c>
      <c r="C59" s="2" t="str">
        <f>IFERROR(__xludf.DUMMYFUNCTION("""COMPUTED_VALUE"""),"Ridho Kurnia")</f>
        <v>Ridho Kurnia</v>
      </c>
      <c r="D59" s="2" t="str">
        <f>IFERROR(__xludf.DUMMYFUNCTION("""COMPUTED_VALUE"""),"5KM OVERALL M")</f>
        <v>5KM OVERALL M</v>
      </c>
      <c r="E59" s="1">
        <f>IFERROR(__xludf.DUMMYFUNCTION("""COMPUTED_VALUE"""),38.0)</f>
        <v>38</v>
      </c>
      <c r="F59" s="1" t="str">
        <f>IFERROR(__xludf.DUMMYFUNCTION("""COMPUTED_VALUE"""),"Male")</f>
        <v>Male</v>
      </c>
      <c r="G59" s="5">
        <f>IFERROR(__xludf.DUMMYFUNCTION("""COMPUTED_VALUE"""),0.003635101851851852)</f>
        <v>0.003635101852</v>
      </c>
      <c r="H59" s="15">
        <f>IFERROR(__xludf.DUMMYFUNCTION("""COMPUTED_VALUE"""),0.2549440625)</f>
        <v>0.2549440625</v>
      </c>
      <c r="I59" s="15">
        <f>IFERROR(__xludf.DUMMYFUNCTION("""COMPUTED_VALUE"""),45949.27311956651)</f>
        <v>45949.27312</v>
      </c>
      <c r="J59" s="15">
        <f>IFERROR(__xludf.DUMMYFUNCTION("""COMPUTED_VALUE"""),45949.01817550401)</f>
        <v>45949.01818</v>
      </c>
      <c r="K59" s="15">
        <f>IFERROR(__xludf.DUMMYFUNCTION("""COMPUTED_VALUE"""),45949.26540171277)</f>
        <v>45949.2654</v>
      </c>
      <c r="L59" s="4"/>
    </row>
    <row r="60">
      <c r="A60" s="1">
        <f>IFERROR(__xludf.DUMMYFUNCTION("""COMPUTED_VALUE"""),59.0)</f>
        <v>59</v>
      </c>
      <c r="B60" s="1">
        <f>IFERROR(__xludf.DUMMYFUNCTION("""COMPUTED_VALUE"""),5150.0)</f>
        <v>5150</v>
      </c>
      <c r="C60" s="2" t="str">
        <f>IFERROR(__xludf.DUMMYFUNCTION("""COMPUTED_VALUE"""),"Sakdilah")</f>
        <v>Sakdilah</v>
      </c>
      <c r="D60" s="2" t="str">
        <f>IFERROR(__xludf.DUMMYFUNCTION("""COMPUTED_VALUE"""),"5KM OVERALL M")</f>
        <v>5KM OVERALL M</v>
      </c>
      <c r="E60" s="1">
        <f>IFERROR(__xludf.DUMMYFUNCTION("""COMPUTED_VALUE"""),39.0)</f>
        <v>39</v>
      </c>
      <c r="F60" s="1" t="str">
        <f>IFERROR(__xludf.DUMMYFUNCTION("""COMPUTED_VALUE"""),"Male")</f>
        <v>Male</v>
      </c>
      <c r="G60" s="5">
        <f>IFERROR(__xludf.DUMMYFUNCTION("""COMPUTED_VALUE"""),0.003637194444444444)</f>
        <v>0.003637194444</v>
      </c>
      <c r="H60" s="15">
        <f>IFERROR(__xludf.DUMMYFUNCTION("""COMPUTED_VALUE"""),0.2549440625)</f>
        <v>0.2549440625</v>
      </c>
      <c r="I60" s="15">
        <f>IFERROR(__xludf.DUMMYFUNCTION("""COMPUTED_VALUE"""),45949.273130030495)</f>
        <v>45949.27313</v>
      </c>
      <c r="J60" s="15">
        <f>IFERROR(__xludf.DUMMYFUNCTION("""COMPUTED_VALUE"""),45949.018185967994)</f>
        <v>45949.01819</v>
      </c>
      <c r="K60" s="15">
        <f>IFERROR(__xludf.DUMMYFUNCTION("""COMPUTED_VALUE"""),45949.26540173593)</f>
        <v>45949.2654</v>
      </c>
      <c r="L60" s="4"/>
    </row>
    <row r="61">
      <c r="A61" s="1">
        <f>IFERROR(__xludf.DUMMYFUNCTION("""COMPUTED_VALUE"""),60.0)</f>
        <v>60</v>
      </c>
      <c r="B61" s="1">
        <f>IFERROR(__xludf.DUMMYFUNCTION("""COMPUTED_VALUE"""),5145.0)</f>
        <v>5145</v>
      </c>
      <c r="C61" s="2" t="str">
        <f>IFERROR(__xludf.DUMMYFUNCTION("""COMPUTED_VALUE"""),"Hasan")</f>
        <v>Hasan</v>
      </c>
      <c r="D61" s="2" t="str">
        <f>IFERROR(__xludf.DUMMYFUNCTION("""COMPUTED_VALUE"""),"5KM OVERALL M")</f>
        <v>5KM OVERALL M</v>
      </c>
      <c r="E61" s="1">
        <f>IFERROR(__xludf.DUMMYFUNCTION("""COMPUTED_VALUE"""),40.0)</f>
        <v>40</v>
      </c>
      <c r="F61" s="1" t="str">
        <f>IFERROR(__xludf.DUMMYFUNCTION("""COMPUTED_VALUE"""),"Male")</f>
        <v>Male</v>
      </c>
      <c r="G61" s="5">
        <f>IFERROR(__xludf.DUMMYFUNCTION("""COMPUTED_VALUE"""),0.003642775462962963)</f>
        <v>0.003642775463</v>
      </c>
      <c r="H61" s="15">
        <f>IFERROR(__xludf.DUMMYFUNCTION("""COMPUTED_VALUE"""),0.2549440625)</f>
        <v>0.2549440625</v>
      </c>
      <c r="I61" s="15">
        <f>IFERROR(__xludf.DUMMYFUNCTION("""COMPUTED_VALUE"""),45949.273157938565)</f>
        <v>45949.27316</v>
      </c>
      <c r="J61" s="15">
        <f>IFERROR(__xludf.DUMMYFUNCTION("""COMPUTED_VALUE"""),45949.018213876065)</f>
        <v>45949.01821</v>
      </c>
      <c r="K61" s="15">
        <f>IFERROR(__xludf.DUMMYFUNCTION("""COMPUTED_VALUE"""),45949.265444000805)</f>
        <v>45949.26544</v>
      </c>
      <c r="L61" s="4"/>
    </row>
    <row r="62">
      <c r="A62" s="1">
        <f>IFERROR(__xludf.DUMMYFUNCTION("""COMPUTED_VALUE"""),61.0)</f>
        <v>61</v>
      </c>
      <c r="B62" s="1">
        <f>IFERROR(__xludf.DUMMYFUNCTION("""COMPUTED_VALUE"""),5350.0)</f>
        <v>5350</v>
      </c>
      <c r="C62" s="2" t="str">
        <f>IFERROR(__xludf.DUMMYFUNCTION("""COMPUTED_VALUE"""),"Dwi purnamawati")</f>
        <v>Dwi purnamawati</v>
      </c>
      <c r="D62" s="2" t="str">
        <f>IFERROR(__xludf.DUMMYFUNCTION("""COMPUTED_VALUE"""),"5KM OVERALL F")</f>
        <v>5KM OVERALL F</v>
      </c>
      <c r="E62" s="1">
        <f>IFERROR(__xludf.DUMMYFUNCTION("""COMPUTED_VALUE"""),3.0)</f>
        <v>3</v>
      </c>
      <c r="F62" s="1" t="str">
        <f>IFERROR(__xludf.DUMMYFUNCTION("""COMPUTED_VALUE"""),"Female")</f>
        <v>Female</v>
      </c>
      <c r="G62" s="5">
        <f>IFERROR(__xludf.DUMMYFUNCTION("""COMPUTED_VALUE"""),0.003644141203703704)</f>
        <v>0.003644141204</v>
      </c>
      <c r="H62" s="15">
        <f>IFERROR(__xludf.DUMMYFUNCTION("""COMPUTED_VALUE"""),0.2549440625)</f>
        <v>0.2549440625</v>
      </c>
      <c r="I62" s="15">
        <f>IFERROR(__xludf.DUMMYFUNCTION("""COMPUTED_VALUE"""),45949.27316476678)</f>
        <v>45949.27316</v>
      </c>
      <c r="J62" s="15">
        <f>IFERROR(__xludf.DUMMYFUNCTION("""COMPUTED_VALUE"""),45949.01822070428)</f>
        <v>45949.01822</v>
      </c>
      <c r="K62" s="15">
        <f>IFERROR(__xludf.DUMMYFUNCTION("""COMPUTED_VALUE"""),45949.26499548924)</f>
        <v>45949.265</v>
      </c>
      <c r="L62" s="4"/>
    </row>
    <row r="63">
      <c r="A63" s="1">
        <f>IFERROR(__xludf.DUMMYFUNCTION("""COMPUTED_VALUE"""),62.0)</f>
        <v>62</v>
      </c>
      <c r="B63" s="1">
        <f>IFERROR(__xludf.DUMMYFUNCTION("""COMPUTED_VALUE"""),7004.0)</f>
        <v>7004</v>
      </c>
      <c r="C63" s="2" t="str">
        <f>IFERROR(__xludf.DUMMYFUNCTION("""COMPUTED_VALUE"""),"ERIKA")</f>
        <v>ERIKA</v>
      </c>
      <c r="D63" s="2" t="str">
        <f>IFERROR(__xludf.DUMMYFUNCTION("""COMPUTED_VALUE"""),"5KM MASTER F")</f>
        <v>5KM MASTER F</v>
      </c>
      <c r="E63" s="1">
        <f>IFERROR(__xludf.DUMMYFUNCTION("""COMPUTED_VALUE"""),1.0)</f>
        <v>1</v>
      </c>
      <c r="F63" s="1" t="str">
        <f>IFERROR(__xludf.DUMMYFUNCTION("""COMPUTED_VALUE"""),"Female")</f>
        <v>Female</v>
      </c>
      <c r="G63" s="5">
        <f>IFERROR(__xludf.DUMMYFUNCTION("""COMPUTED_VALUE"""),0.0036545555555555554)</f>
        <v>0.003654555556</v>
      </c>
      <c r="H63" s="15">
        <f>IFERROR(__xludf.DUMMYFUNCTION("""COMPUTED_VALUE"""),0.2549440625)</f>
        <v>0.2549440625</v>
      </c>
      <c r="I63" s="15">
        <f>IFERROR(__xludf.DUMMYFUNCTION("""COMPUTED_VALUE"""),45949.2732168442)</f>
        <v>45949.27322</v>
      </c>
      <c r="J63" s="15">
        <f>IFERROR(__xludf.DUMMYFUNCTION("""COMPUTED_VALUE"""),45949.0182727817)</f>
        <v>45949.01827</v>
      </c>
      <c r="K63" s="15">
        <f>IFERROR(__xludf.DUMMYFUNCTION("""COMPUTED_VALUE"""),45949.265033685115)</f>
        <v>45949.26503</v>
      </c>
      <c r="L63" s="4"/>
    </row>
    <row r="64">
      <c r="A64" s="1">
        <f>IFERROR(__xludf.DUMMYFUNCTION("""COMPUTED_VALUE"""),63.0)</f>
        <v>63</v>
      </c>
      <c r="B64" s="1">
        <f>IFERROR(__xludf.DUMMYFUNCTION("""COMPUTED_VALUE"""),5252.0)</f>
        <v>5252</v>
      </c>
      <c r="C64" s="2" t="str">
        <f>IFERROR(__xludf.DUMMYFUNCTION("""COMPUTED_VALUE"""),"Riswanda Imawan")</f>
        <v>Riswanda Imawan</v>
      </c>
      <c r="D64" s="2" t="str">
        <f>IFERROR(__xludf.DUMMYFUNCTION("""COMPUTED_VALUE"""),"5KM OVERALL M")</f>
        <v>5KM OVERALL M</v>
      </c>
      <c r="E64" s="1">
        <f>IFERROR(__xludf.DUMMYFUNCTION("""COMPUTED_VALUE"""),41.0)</f>
        <v>41</v>
      </c>
      <c r="F64" s="1" t="str">
        <f>IFERROR(__xludf.DUMMYFUNCTION("""COMPUTED_VALUE"""),"Male")</f>
        <v>Male</v>
      </c>
      <c r="G64" s="5">
        <f>IFERROR(__xludf.DUMMYFUNCTION("""COMPUTED_VALUE"""),0.003658724537037037)</f>
        <v>0.003658724537</v>
      </c>
      <c r="H64" s="15">
        <f>IFERROR(__xludf.DUMMYFUNCTION("""COMPUTED_VALUE"""),0.2549440625)</f>
        <v>0.2549440625</v>
      </c>
      <c r="I64" s="15">
        <f>IFERROR(__xludf.DUMMYFUNCTION("""COMPUTED_VALUE"""),45949.273237680725)</f>
        <v>45949.27324</v>
      </c>
      <c r="J64" s="15">
        <f>IFERROR(__xludf.DUMMYFUNCTION("""COMPUTED_VALUE"""),45949.018293618225)</f>
        <v>45949.01829</v>
      </c>
      <c r="K64" s="15">
        <f>IFERROR(__xludf.DUMMYFUNCTION("""COMPUTED_VALUE"""),45949.26385017772)</f>
        <v>45949.26385</v>
      </c>
      <c r="L64" s="4"/>
    </row>
    <row r="65">
      <c r="A65" s="1">
        <f>IFERROR(__xludf.DUMMYFUNCTION("""COMPUTED_VALUE"""),64.0)</f>
        <v>64</v>
      </c>
      <c r="B65" s="1">
        <f>IFERROR(__xludf.DUMMYFUNCTION("""COMPUTED_VALUE"""),5631.0)</f>
        <v>5631</v>
      </c>
      <c r="C65" s="2" t="str">
        <f>IFERROR(__xludf.DUMMYFUNCTION("""COMPUTED_VALUE"""),"Rizki Fadlian")</f>
        <v>Rizki Fadlian</v>
      </c>
      <c r="D65" s="2" t="str">
        <f>IFERROR(__xludf.DUMMYFUNCTION("""COMPUTED_VALUE"""),"5KM OVERALL M")</f>
        <v>5KM OVERALL M</v>
      </c>
      <c r="E65" s="1">
        <f>IFERROR(__xludf.DUMMYFUNCTION("""COMPUTED_VALUE"""),42.0)</f>
        <v>42</v>
      </c>
      <c r="F65" s="1" t="str">
        <f>IFERROR(__xludf.DUMMYFUNCTION("""COMPUTED_VALUE"""),"Male")</f>
        <v>Male</v>
      </c>
      <c r="G65" s="5">
        <f>IFERROR(__xludf.DUMMYFUNCTION("""COMPUTED_VALUE"""),0.0036601111111111114)</f>
        <v>0.003660111111</v>
      </c>
      <c r="H65" s="15">
        <f>IFERROR(__xludf.DUMMYFUNCTION("""COMPUTED_VALUE"""),0.2549440625)</f>
        <v>0.2549440625</v>
      </c>
      <c r="I65" s="15">
        <f>IFERROR(__xludf.DUMMYFUNCTION("""COMPUTED_VALUE"""),45949.2732446205)</f>
        <v>45949.27324</v>
      </c>
      <c r="J65" s="15">
        <f>IFERROR(__xludf.DUMMYFUNCTION("""COMPUTED_VALUE"""),45949.018300558)</f>
        <v>45949.0183</v>
      </c>
      <c r="K65" s="15">
        <f>IFERROR(__xludf.DUMMYFUNCTION("""COMPUTED_VALUE"""),45949.26540170119)</f>
        <v>45949.2654</v>
      </c>
      <c r="L65" s="4"/>
    </row>
    <row r="66">
      <c r="A66" s="1">
        <f>IFERROR(__xludf.DUMMYFUNCTION("""COMPUTED_VALUE"""),65.0)</f>
        <v>65</v>
      </c>
      <c r="B66" s="1">
        <f>IFERROR(__xludf.DUMMYFUNCTION("""COMPUTED_VALUE"""),5202.0)</f>
        <v>5202</v>
      </c>
      <c r="C66" s="2" t="str">
        <f>IFERROR(__xludf.DUMMYFUNCTION("""COMPUTED_VALUE"""),"M. WISNU MAULANA D.S.P.S")</f>
        <v>M. WISNU MAULANA D.S.P.S</v>
      </c>
      <c r="D66" s="2" t="str">
        <f>IFERROR(__xludf.DUMMYFUNCTION("""COMPUTED_VALUE"""),"5KM OVERALL M")</f>
        <v>5KM OVERALL M</v>
      </c>
      <c r="E66" s="1">
        <f>IFERROR(__xludf.DUMMYFUNCTION("""COMPUTED_VALUE"""),43.0)</f>
        <v>43</v>
      </c>
      <c r="F66" s="1" t="str">
        <f>IFERROR(__xludf.DUMMYFUNCTION("""COMPUTED_VALUE"""),"Male")</f>
        <v>Male</v>
      </c>
      <c r="G66" s="5">
        <f>IFERROR(__xludf.DUMMYFUNCTION("""COMPUTED_VALUE"""),0.00366162962962963)</f>
        <v>0.00366162963</v>
      </c>
      <c r="H66" s="15">
        <f>IFERROR(__xludf.DUMMYFUNCTION("""COMPUTED_VALUE"""),0.2549440625)</f>
        <v>0.2549440625</v>
      </c>
      <c r="I66" s="15">
        <f>IFERROR(__xludf.DUMMYFUNCTION("""COMPUTED_VALUE"""),45949.27325220583)</f>
        <v>45949.27325</v>
      </c>
      <c r="J66" s="15">
        <f>IFERROR(__xludf.DUMMYFUNCTION("""COMPUTED_VALUE"""),45949.01830814333)</f>
        <v>45949.01831</v>
      </c>
      <c r="K66" s="15">
        <f>IFERROR(__xludf.DUMMYFUNCTION("""COMPUTED_VALUE"""),45949.264596196605)</f>
        <v>45949.2646</v>
      </c>
      <c r="L66" s="4"/>
    </row>
    <row r="67">
      <c r="A67" s="1">
        <f>IFERROR(__xludf.DUMMYFUNCTION("""COMPUTED_VALUE"""),66.0)</f>
        <v>66</v>
      </c>
      <c r="B67" s="1">
        <f>IFERROR(__xludf.DUMMYFUNCTION("""COMPUTED_VALUE"""),5581.0)</f>
        <v>5581</v>
      </c>
      <c r="C67" s="2" t="str">
        <f>IFERROR(__xludf.DUMMYFUNCTION("""COMPUTED_VALUE"""),"Fla")</f>
        <v>Fla</v>
      </c>
      <c r="D67" s="2" t="str">
        <f>IFERROR(__xludf.DUMMYFUNCTION("""COMPUTED_VALUE"""),"5KM OVERALL M")</f>
        <v>5KM OVERALL M</v>
      </c>
      <c r="E67" s="1">
        <f>IFERROR(__xludf.DUMMYFUNCTION("""COMPUTED_VALUE"""),44.0)</f>
        <v>44</v>
      </c>
      <c r="F67" s="1" t="str">
        <f>IFERROR(__xludf.DUMMYFUNCTION("""COMPUTED_VALUE"""),"Male")</f>
        <v>Male</v>
      </c>
      <c r="G67" s="5">
        <f>IFERROR(__xludf.DUMMYFUNCTION("""COMPUTED_VALUE"""),0.0036635833333333334)</f>
        <v>0.003663583333</v>
      </c>
      <c r="H67" s="15">
        <f>IFERROR(__xludf.DUMMYFUNCTION("""COMPUTED_VALUE"""),0.2549440625)</f>
        <v>0.2549440625</v>
      </c>
      <c r="I67" s="15">
        <f>IFERROR(__xludf.DUMMYFUNCTION("""COMPUTED_VALUE"""),45949.27326197975)</f>
        <v>45949.27326</v>
      </c>
      <c r="J67" s="15">
        <f>IFERROR(__xludf.DUMMYFUNCTION("""COMPUTED_VALUE"""),45949.01831791725)</f>
        <v>45949.01832</v>
      </c>
      <c r="K67" s="15">
        <f>IFERROR(__xludf.DUMMYFUNCTION("""COMPUTED_VALUE"""),45950.2659375)</f>
        <v>45950.26594</v>
      </c>
      <c r="L67" s="4" t="str">
        <f>IFERROR(__xludf.DUMMYFUNCTION("""COMPUTED_VALUE"""),"C")</f>
        <v>C</v>
      </c>
    </row>
    <row r="68">
      <c r="A68" s="1">
        <f>IFERROR(__xludf.DUMMYFUNCTION("""COMPUTED_VALUE"""),67.0)</f>
        <v>67</v>
      </c>
      <c r="B68" s="1">
        <f>IFERROR(__xludf.DUMMYFUNCTION("""COMPUTED_VALUE"""),5572.0)</f>
        <v>5572</v>
      </c>
      <c r="C68" s="2" t="str">
        <f>IFERROR(__xludf.DUMMYFUNCTION("""COMPUTED_VALUE"""),"KeongbalapðŸŒ")</f>
        <v>KeongbalapðŸ_x0090_Œ</v>
      </c>
      <c r="D68" s="2" t="str">
        <f>IFERROR(__xludf.DUMMYFUNCTION("""COMPUTED_VALUE"""),"5KM OVERALL M")</f>
        <v>5KM OVERALL M</v>
      </c>
      <c r="E68" s="1">
        <f>IFERROR(__xludf.DUMMYFUNCTION("""COMPUTED_VALUE"""),45.0)</f>
        <v>45</v>
      </c>
      <c r="F68" s="1" t="str">
        <f>IFERROR(__xludf.DUMMYFUNCTION("""COMPUTED_VALUE"""),"Male")</f>
        <v>Male</v>
      </c>
      <c r="G68" s="5">
        <f>IFERROR(__xludf.DUMMYFUNCTION("""COMPUTED_VALUE"""),0.003665657407407408)</f>
        <v>0.003665657407</v>
      </c>
      <c r="H68" s="15">
        <f>IFERROR(__xludf.DUMMYFUNCTION("""COMPUTED_VALUE"""),0.2549440625)</f>
        <v>0.2549440625</v>
      </c>
      <c r="I68" s="15">
        <f>IFERROR(__xludf.DUMMYFUNCTION("""COMPUTED_VALUE"""),45949.27327234835)</f>
        <v>45949.27327</v>
      </c>
      <c r="J68" s="15">
        <f>IFERROR(__xludf.DUMMYFUNCTION("""COMPUTED_VALUE"""),45949.01832828585)</f>
        <v>45949.01833</v>
      </c>
      <c r="K68" s="15">
        <f>IFERROR(__xludf.DUMMYFUNCTION("""COMPUTED_VALUE"""),45949.26481564736)</f>
        <v>45949.26482</v>
      </c>
      <c r="L68" s="4"/>
    </row>
    <row r="69">
      <c r="A69" s="1">
        <f>IFERROR(__xludf.DUMMYFUNCTION("""COMPUTED_VALUE"""),68.0)</f>
        <v>68</v>
      </c>
      <c r="B69" s="1">
        <f>IFERROR(__xludf.DUMMYFUNCTION("""COMPUTED_VALUE"""),7083.0)</f>
        <v>7083</v>
      </c>
      <c r="C69" s="2" t="str">
        <f>IFERROR(__xludf.DUMMYFUNCTION("""COMPUTED_VALUE"""),"FIRMAN")</f>
        <v>FIRMAN</v>
      </c>
      <c r="D69" s="2" t="str">
        <f>IFERROR(__xludf.DUMMYFUNCTION("""COMPUTED_VALUE"""),"5KM MASTER M")</f>
        <v>5KM MASTER M</v>
      </c>
      <c r="E69" s="1">
        <f>IFERROR(__xludf.DUMMYFUNCTION("""COMPUTED_VALUE"""),7.0)</f>
        <v>7</v>
      </c>
      <c r="F69" s="1" t="str">
        <f>IFERROR(__xludf.DUMMYFUNCTION("""COMPUTED_VALUE"""),"Male")</f>
        <v>Male</v>
      </c>
      <c r="G69" s="5">
        <f>IFERROR(__xludf.DUMMYFUNCTION("""COMPUTED_VALUE"""),0.0036712106481481483)</f>
        <v>0.003671210648</v>
      </c>
      <c r="H69" s="15">
        <f>IFERROR(__xludf.DUMMYFUNCTION("""COMPUTED_VALUE"""),0.2549440625)</f>
        <v>0.2549440625</v>
      </c>
      <c r="I69" s="15">
        <f>IFERROR(__xludf.DUMMYFUNCTION("""COMPUTED_VALUE"""),45949.27330011833)</f>
        <v>45949.2733</v>
      </c>
      <c r="J69" s="15">
        <f>IFERROR(__xludf.DUMMYFUNCTION("""COMPUTED_VALUE"""),45949.01835605583)</f>
        <v>45949.01836</v>
      </c>
      <c r="K69" s="15">
        <f>IFERROR(__xludf.DUMMYFUNCTION("""COMPUTED_VALUE"""),45949.26543646683)</f>
        <v>45949.26544</v>
      </c>
      <c r="L69" s="4"/>
    </row>
    <row r="70">
      <c r="A70" s="1">
        <f>IFERROR(__xludf.DUMMYFUNCTION("""COMPUTED_VALUE"""),69.0)</f>
        <v>69</v>
      </c>
      <c r="B70" s="1">
        <f>IFERROR(__xludf.DUMMYFUNCTION("""COMPUTED_VALUE"""),6174.0)</f>
        <v>6174</v>
      </c>
      <c r="C70" s="2" t="str">
        <f>IFERROR(__xludf.DUMMYFUNCTION("""COMPUTED_VALUE"""),"zain")</f>
        <v>zain</v>
      </c>
      <c r="D70" s="2" t="str">
        <f>IFERROR(__xludf.DUMMYFUNCTION("""COMPUTED_VALUE"""),"5KM OVERALL M")</f>
        <v>5KM OVERALL M</v>
      </c>
      <c r="E70" s="1">
        <f>IFERROR(__xludf.DUMMYFUNCTION("""COMPUTED_VALUE"""),46.0)</f>
        <v>46</v>
      </c>
      <c r="F70" s="1" t="str">
        <f>IFERROR(__xludf.DUMMYFUNCTION("""COMPUTED_VALUE"""),"Male")</f>
        <v>Male</v>
      </c>
      <c r="G70" s="5">
        <f>IFERROR(__xludf.DUMMYFUNCTION("""COMPUTED_VALUE"""),0.0036767777777777775)</f>
        <v>0.003676777778</v>
      </c>
      <c r="H70" s="15">
        <f>IFERROR(__xludf.DUMMYFUNCTION("""COMPUTED_VALUE"""),0.2549440625)</f>
        <v>0.2549440625</v>
      </c>
      <c r="I70" s="15">
        <f>IFERROR(__xludf.DUMMYFUNCTION("""COMPUTED_VALUE"""),45949.273327956835)</f>
        <v>45949.27333</v>
      </c>
      <c r="J70" s="15">
        <f>IFERROR(__xludf.DUMMYFUNCTION("""COMPUTED_VALUE"""),45949.018383894334)</f>
        <v>45949.01838</v>
      </c>
      <c r="K70" s="15">
        <f>IFERROR(__xludf.DUMMYFUNCTION("""COMPUTED_VALUE"""),45949.26562398924)</f>
        <v>45949.26562</v>
      </c>
      <c r="L70" s="4"/>
    </row>
    <row r="71">
      <c r="A71" s="1">
        <f>IFERROR(__xludf.DUMMYFUNCTION("""COMPUTED_VALUE"""),70.0)</f>
        <v>70</v>
      </c>
      <c r="B71" s="1">
        <f>IFERROR(__xludf.DUMMYFUNCTION("""COMPUTED_VALUE"""),5998.0)</f>
        <v>5998</v>
      </c>
      <c r="C71" s="2" t="str">
        <f>IFERROR(__xludf.DUMMYFUNCTION("""COMPUTED_VALUE"""),"Achmadi Nur")</f>
        <v>Achmadi Nur</v>
      </c>
      <c r="D71" s="2" t="str">
        <f>IFERROR(__xludf.DUMMYFUNCTION("""COMPUTED_VALUE"""),"5KM OVERALL M")</f>
        <v>5KM OVERALL M</v>
      </c>
      <c r="E71" s="1">
        <f>IFERROR(__xludf.DUMMYFUNCTION("""COMPUTED_VALUE"""),47.0)</f>
        <v>47</v>
      </c>
      <c r="F71" s="1" t="str">
        <f>IFERROR(__xludf.DUMMYFUNCTION("""COMPUTED_VALUE"""),"Male")</f>
        <v>Male</v>
      </c>
      <c r="G71" s="5">
        <f>IFERROR(__xludf.DUMMYFUNCTION("""COMPUTED_VALUE"""),0.0037073333333333333)</f>
        <v>0.003707333333</v>
      </c>
      <c r="H71" s="15">
        <f>IFERROR(__xludf.DUMMYFUNCTION("""COMPUTED_VALUE"""),0.2549440625)</f>
        <v>0.2549440625</v>
      </c>
      <c r="I71" s="15">
        <f>IFERROR(__xludf.DUMMYFUNCTION("""COMPUTED_VALUE"""),45949.27348072522)</f>
        <v>45949.27348</v>
      </c>
      <c r="J71" s="15">
        <f>IFERROR(__xludf.DUMMYFUNCTION("""COMPUTED_VALUE"""),45949.01853666272)</f>
        <v>45949.01854</v>
      </c>
      <c r="K71" s="15">
        <f>IFERROR(__xludf.DUMMYFUNCTION("""COMPUTED_VALUE"""),45949.26623197821)</f>
        <v>45949.26623</v>
      </c>
      <c r="L71" s="4"/>
    </row>
    <row r="72">
      <c r="A72" s="1">
        <f>IFERROR(__xludf.DUMMYFUNCTION("""COMPUTED_VALUE"""),71.0)</f>
        <v>71</v>
      </c>
      <c r="B72" s="1">
        <f>IFERROR(__xludf.DUMMYFUNCTION("""COMPUTED_VALUE"""),5127.0)</f>
        <v>5127</v>
      </c>
      <c r="C72" s="2" t="str">
        <f>IFERROR(__xludf.DUMMYFUNCTION("""COMPUTED_VALUE"""),"Said")</f>
        <v>Said</v>
      </c>
      <c r="D72" s="2" t="str">
        <f>IFERROR(__xludf.DUMMYFUNCTION("""COMPUTED_VALUE"""),"5KM OVERALL M")</f>
        <v>5KM OVERALL M</v>
      </c>
      <c r="E72" s="1">
        <f>IFERROR(__xludf.DUMMYFUNCTION("""COMPUTED_VALUE"""),48.0)</f>
        <v>48</v>
      </c>
      <c r="F72" s="1" t="str">
        <f>IFERROR(__xludf.DUMMYFUNCTION("""COMPUTED_VALUE"""),"Male")</f>
        <v>Male</v>
      </c>
      <c r="G72" s="5">
        <f>IFERROR(__xludf.DUMMYFUNCTION("""COMPUTED_VALUE"""),0.003708710648148148)</f>
        <v>0.003708710648</v>
      </c>
      <c r="H72" s="15">
        <f>IFERROR(__xludf.DUMMYFUNCTION("""COMPUTED_VALUE"""),0.2549440625)</f>
        <v>0.2549440625</v>
      </c>
      <c r="I72" s="15">
        <f>IFERROR(__xludf.DUMMYFUNCTION("""COMPUTED_VALUE"""),45949.27348761751)</f>
        <v>45949.27349</v>
      </c>
      <c r="J72" s="15">
        <f>IFERROR(__xludf.DUMMYFUNCTION("""COMPUTED_VALUE"""),45949.01854355501)</f>
        <v>45949.01854</v>
      </c>
      <c r="K72" s="15">
        <f>IFERROR(__xludf.DUMMYFUNCTION("""COMPUTED_VALUE"""),45949.265801682894)</f>
        <v>45949.2658</v>
      </c>
      <c r="L72" s="4"/>
    </row>
    <row r="73">
      <c r="A73" s="1">
        <f>IFERROR(__xludf.DUMMYFUNCTION("""COMPUTED_VALUE"""),72.0)</f>
        <v>72</v>
      </c>
      <c r="B73" s="1">
        <f>IFERROR(__xludf.DUMMYFUNCTION("""COMPUTED_VALUE"""),6355.0)</f>
        <v>6355</v>
      </c>
      <c r="C73" s="2" t="str">
        <f>IFERROR(__xludf.DUMMYFUNCTION("""COMPUTED_VALUE"""),"Irham")</f>
        <v>Irham</v>
      </c>
      <c r="D73" s="2" t="str">
        <f>IFERROR(__xludf.DUMMYFUNCTION("""COMPUTED_VALUE"""),"5KM OVERALL M")</f>
        <v>5KM OVERALL M</v>
      </c>
      <c r="E73" s="1">
        <f>IFERROR(__xludf.DUMMYFUNCTION("""COMPUTED_VALUE"""),49.0)</f>
        <v>49</v>
      </c>
      <c r="F73" s="1" t="str">
        <f>IFERROR(__xludf.DUMMYFUNCTION("""COMPUTED_VALUE"""),"Male")</f>
        <v>Male</v>
      </c>
      <c r="G73" s="5">
        <f>IFERROR(__xludf.DUMMYFUNCTION("""COMPUTED_VALUE"""),0.003708712962962963)</f>
        <v>0.003708712963</v>
      </c>
      <c r="H73" s="15">
        <f>IFERROR(__xludf.DUMMYFUNCTION("""COMPUTED_VALUE"""),0.2549440625)</f>
        <v>0.2549440625</v>
      </c>
      <c r="I73" s="15">
        <f>IFERROR(__xludf.DUMMYFUNCTION("""COMPUTED_VALUE"""),45949.2734876296)</f>
        <v>45949.27349</v>
      </c>
      <c r="J73" s="15">
        <f>IFERROR(__xludf.DUMMYFUNCTION("""COMPUTED_VALUE"""),45949.0185435671)</f>
        <v>45949.01854</v>
      </c>
      <c r="K73" s="15">
        <f>IFERROR(__xludf.DUMMYFUNCTION("""COMPUTED_VALUE"""),45949.26623196664)</f>
        <v>45949.26623</v>
      </c>
      <c r="L73" s="4"/>
    </row>
    <row r="74">
      <c r="A74" s="1">
        <f>IFERROR(__xludf.DUMMYFUNCTION("""COMPUTED_VALUE"""),73.0)</f>
        <v>73</v>
      </c>
      <c r="B74" s="1">
        <f>IFERROR(__xludf.DUMMYFUNCTION("""COMPUTED_VALUE"""),5227.0)</f>
        <v>5227</v>
      </c>
      <c r="C74" s="2" t="str">
        <f>IFERROR(__xludf.DUMMYFUNCTION("""COMPUTED_VALUE"""),"Yada")</f>
        <v>Yada</v>
      </c>
      <c r="D74" s="2" t="str">
        <f>IFERROR(__xludf.DUMMYFUNCTION("""COMPUTED_VALUE"""),"5KM OVERALL F")</f>
        <v>5KM OVERALL F</v>
      </c>
      <c r="E74" s="1">
        <f>IFERROR(__xludf.DUMMYFUNCTION("""COMPUTED_VALUE"""),4.0)</f>
        <v>4</v>
      </c>
      <c r="F74" s="1" t="str">
        <f>IFERROR(__xludf.DUMMYFUNCTION("""COMPUTED_VALUE"""),"Female")</f>
        <v>Female</v>
      </c>
      <c r="G74" s="5">
        <f>IFERROR(__xludf.DUMMYFUNCTION("""COMPUTED_VALUE"""),0.0037108078703703704)</f>
        <v>0.00371080787</v>
      </c>
      <c r="H74" s="15">
        <f>IFERROR(__xludf.DUMMYFUNCTION("""COMPUTED_VALUE"""),0.2549440625)</f>
        <v>0.2549440625</v>
      </c>
      <c r="I74" s="15">
        <f>IFERROR(__xludf.DUMMYFUNCTION("""COMPUTED_VALUE"""),45949.273498104005)</f>
        <v>45949.2735</v>
      </c>
      <c r="J74" s="15">
        <f>IFERROR(__xludf.DUMMYFUNCTION("""COMPUTED_VALUE"""),45949.018554041504)</f>
        <v>45949.01855</v>
      </c>
      <c r="K74" s="15">
        <f>IFERROR(__xludf.DUMMYFUNCTION("""COMPUTED_VALUE"""),45949.26516564652)</f>
        <v>45949.26517</v>
      </c>
      <c r="L74" s="4"/>
    </row>
    <row r="75">
      <c r="A75" s="1">
        <f>IFERROR(__xludf.DUMMYFUNCTION("""COMPUTED_VALUE"""),74.0)</f>
        <v>74</v>
      </c>
      <c r="B75" s="1">
        <f>IFERROR(__xludf.DUMMYFUNCTION("""COMPUTED_VALUE"""),5762.0)</f>
        <v>5762</v>
      </c>
      <c r="C75" s="2" t="str">
        <f>IFERROR(__xludf.DUMMYFUNCTION("""COMPUTED_VALUE"""),"Riduan")</f>
        <v>Riduan</v>
      </c>
      <c r="D75" s="2" t="str">
        <f>IFERROR(__xludf.DUMMYFUNCTION("""COMPUTED_VALUE"""),"5KM OVERALL M")</f>
        <v>5KM OVERALL M</v>
      </c>
      <c r="E75" s="1">
        <f>IFERROR(__xludf.DUMMYFUNCTION("""COMPUTED_VALUE"""),50.0)</f>
        <v>50</v>
      </c>
      <c r="F75" s="1" t="str">
        <f>IFERROR(__xludf.DUMMYFUNCTION("""COMPUTED_VALUE"""),"Male")</f>
        <v>Male</v>
      </c>
      <c r="G75" s="5">
        <f>IFERROR(__xludf.DUMMYFUNCTION("""COMPUTED_VALUE"""),0.00373025)</f>
        <v>0.00373025</v>
      </c>
      <c r="H75" s="15">
        <f>IFERROR(__xludf.DUMMYFUNCTION("""COMPUTED_VALUE"""),0.2549440625)</f>
        <v>0.2549440625</v>
      </c>
      <c r="I75" s="15">
        <f>IFERROR(__xludf.DUMMYFUNCTION("""COMPUTED_VALUE"""),45949.273595315026)</f>
        <v>45949.2736</v>
      </c>
      <c r="J75" s="15">
        <f>IFERROR(__xludf.DUMMYFUNCTION("""COMPUTED_VALUE"""),45949.018651252525)</f>
        <v>45949.01865</v>
      </c>
      <c r="K75" s="15">
        <f>IFERROR(__xludf.DUMMYFUNCTION("""COMPUTED_VALUE"""),45949.26596420298)</f>
        <v>45949.26596</v>
      </c>
      <c r="L75" s="4"/>
    </row>
    <row r="76">
      <c r="A76" s="1">
        <f>IFERROR(__xludf.DUMMYFUNCTION("""COMPUTED_VALUE"""),75.0)</f>
        <v>75</v>
      </c>
      <c r="B76" s="1">
        <f>IFERROR(__xludf.DUMMYFUNCTION("""COMPUTED_VALUE"""),5336.0)</f>
        <v>5336</v>
      </c>
      <c r="C76" s="2" t="str">
        <f>IFERROR(__xludf.DUMMYFUNCTION("""COMPUTED_VALUE"""),"Hafizh Fuady")</f>
        <v>Hafizh Fuady</v>
      </c>
      <c r="D76" s="2" t="str">
        <f>IFERROR(__xludf.DUMMYFUNCTION("""COMPUTED_VALUE"""),"5KM OVERALL M")</f>
        <v>5KM OVERALL M</v>
      </c>
      <c r="E76" s="1">
        <f>IFERROR(__xludf.DUMMYFUNCTION("""COMPUTED_VALUE"""),51.0)</f>
        <v>51</v>
      </c>
      <c r="F76" s="1" t="str">
        <f>IFERROR(__xludf.DUMMYFUNCTION("""COMPUTED_VALUE"""),"Male")</f>
        <v>Male</v>
      </c>
      <c r="G76" s="5">
        <f>IFERROR(__xludf.DUMMYFUNCTION("""COMPUTED_VALUE"""),0.003737196759259259)</f>
        <v>0.003737196759</v>
      </c>
      <c r="H76" s="15">
        <f>IFERROR(__xludf.DUMMYFUNCTION("""COMPUTED_VALUE"""),0.2549440625)</f>
        <v>0.2549440625</v>
      </c>
      <c r="I76" s="15">
        <f>IFERROR(__xludf.DUMMYFUNCTION("""COMPUTED_VALUE"""),45949.2736300415)</f>
        <v>45949.27363</v>
      </c>
      <c r="J76" s="15">
        <f>IFERROR(__xludf.DUMMYFUNCTION("""COMPUTED_VALUE"""),45949.018685979)</f>
        <v>45949.01869</v>
      </c>
      <c r="K76" s="15">
        <f>IFERROR(__xludf.DUMMYFUNCTION("""COMPUTED_VALUE"""),45949.265689920816)</f>
        <v>45949.26569</v>
      </c>
      <c r="L76" s="4"/>
    </row>
    <row r="77">
      <c r="A77" s="1">
        <f>IFERROR(__xludf.DUMMYFUNCTION("""COMPUTED_VALUE"""),76.0)</f>
        <v>76</v>
      </c>
      <c r="B77" s="1">
        <f>IFERROR(__xludf.DUMMYFUNCTION("""COMPUTED_VALUE"""),5016.0)</f>
        <v>5016</v>
      </c>
      <c r="C77" s="2" t="str">
        <f>IFERROR(__xludf.DUMMYFUNCTION("""COMPUTED_VALUE"""),"Hilmy")</f>
        <v>Hilmy</v>
      </c>
      <c r="D77" s="2" t="str">
        <f>IFERROR(__xludf.DUMMYFUNCTION("""COMPUTED_VALUE"""),"5KM OVERALL M")</f>
        <v>5KM OVERALL M</v>
      </c>
      <c r="E77" s="1">
        <f>IFERROR(__xludf.DUMMYFUNCTION("""COMPUTED_VALUE"""),52.0)</f>
        <v>52</v>
      </c>
      <c r="F77" s="1" t="str">
        <f>IFERROR(__xludf.DUMMYFUNCTION("""COMPUTED_VALUE"""),"Male")</f>
        <v>Male</v>
      </c>
      <c r="G77" s="5">
        <f>IFERROR(__xludf.DUMMYFUNCTION("""COMPUTED_VALUE"""),0.003737196759259259)</f>
        <v>0.003737196759</v>
      </c>
      <c r="H77" s="15">
        <f>IFERROR(__xludf.DUMMYFUNCTION("""COMPUTED_VALUE"""),0.2549440625)</f>
        <v>0.2549440625</v>
      </c>
      <c r="I77" s="15">
        <f>IFERROR(__xludf.DUMMYFUNCTION("""COMPUTED_VALUE"""),45949.2736300415)</f>
        <v>45949.27363</v>
      </c>
      <c r="J77" s="15">
        <f>IFERROR(__xludf.DUMMYFUNCTION("""COMPUTED_VALUE"""),45949.018685979)</f>
        <v>45949.01869</v>
      </c>
      <c r="K77" s="15">
        <f>IFERROR(__xludf.DUMMYFUNCTION("""COMPUTED_VALUE"""),45949.26534267212)</f>
        <v>45949.26534</v>
      </c>
      <c r="L77" s="4"/>
    </row>
    <row r="78">
      <c r="A78" s="1">
        <f>IFERROR(__xludf.DUMMYFUNCTION("""COMPUTED_VALUE"""),77.0)</f>
        <v>77</v>
      </c>
      <c r="B78" s="1">
        <f>IFERROR(__xludf.DUMMYFUNCTION("""COMPUTED_VALUE"""),6548.0)</f>
        <v>6548</v>
      </c>
      <c r="C78" s="2" t="str">
        <f>IFERROR(__xludf.DUMMYFUNCTION("""COMPUTED_VALUE"""),"ALYA RAHMAH")</f>
        <v>ALYA RAHMAH</v>
      </c>
      <c r="D78" s="2" t="str">
        <f>IFERROR(__xludf.DUMMYFUNCTION("""COMPUTED_VALUE"""),"5KM OVERALL F")</f>
        <v>5KM OVERALL F</v>
      </c>
      <c r="E78" s="1">
        <f>IFERROR(__xludf.DUMMYFUNCTION("""COMPUTED_VALUE"""),5.0)</f>
        <v>5</v>
      </c>
      <c r="F78" s="1" t="str">
        <f>IFERROR(__xludf.DUMMYFUNCTION("""COMPUTED_VALUE"""),"Female")</f>
        <v>Female</v>
      </c>
      <c r="G78" s="5">
        <f>IFERROR(__xludf.DUMMYFUNCTION("""COMPUTED_VALUE"""),0.003740053240740741)</f>
        <v>0.003740053241</v>
      </c>
      <c r="H78" s="15">
        <f>IFERROR(__xludf.DUMMYFUNCTION("""COMPUTED_VALUE"""),0.2549440625)</f>
        <v>0.2549440625</v>
      </c>
      <c r="I78" s="15">
        <f>IFERROR(__xludf.DUMMYFUNCTION("""COMPUTED_VALUE"""),45949.27364432547)</f>
        <v>45949.27364</v>
      </c>
      <c r="J78" s="15">
        <f>IFERROR(__xludf.DUMMYFUNCTION("""COMPUTED_VALUE"""),45949.01870026297)</f>
        <v>45949.0187</v>
      </c>
      <c r="K78" s="15">
        <f>IFERROR(__xludf.DUMMYFUNCTION("""COMPUTED_VALUE"""),45949.265523271424)</f>
        <v>45949.26552</v>
      </c>
      <c r="L78" s="4"/>
    </row>
    <row r="79">
      <c r="A79" s="1">
        <f>IFERROR(__xludf.DUMMYFUNCTION("""COMPUTED_VALUE"""),78.0)</f>
        <v>78</v>
      </c>
      <c r="B79" s="1">
        <f>IFERROR(__xludf.DUMMYFUNCTION("""COMPUTED_VALUE"""),6065.0)</f>
        <v>6065</v>
      </c>
      <c r="C79" s="2" t="str">
        <f>IFERROR(__xludf.DUMMYFUNCTION("""COMPUTED_VALUE"""),"inas")</f>
        <v>inas</v>
      </c>
      <c r="D79" s="2" t="str">
        <f>IFERROR(__xludf.DUMMYFUNCTION("""COMPUTED_VALUE"""),"5KM OVERALL M")</f>
        <v>5KM OVERALL M</v>
      </c>
      <c r="E79" s="1">
        <f>IFERROR(__xludf.DUMMYFUNCTION("""COMPUTED_VALUE"""),53.0)</f>
        <v>53</v>
      </c>
      <c r="F79" s="1" t="str">
        <f>IFERROR(__xludf.DUMMYFUNCTION("""COMPUTED_VALUE"""),"Male")</f>
        <v>Male</v>
      </c>
      <c r="G79" s="5">
        <f>IFERROR(__xludf.DUMMYFUNCTION("""COMPUTED_VALUE"""),0.0037615)</f>
        <v>0.0037615</v>
      </c>
      <c r="H79" s="15">
        <f>IFERROR(__xludf.DUMMYFUNCTION("""COMPUTED_VALUE"""),0.2549440625)</f>
        <v>0.2549440625</v>
      </c>
      <c r="I79" s="15">
        <f>IFERROR(__xludf.DUMMYFUNCTION("""COMPUTED_VALUE"""),45949.27375156623)</f>
        <v>45949.27375</v>
      </c>
      <c r="J79" s="15">
        <f>IFERROR(__xludf.DUMMYFUNCTION("""COMPUTED_VALUE"""),45949.01880750373)</f>
        <v>45949.01881</v>
      </c>
      <c r="K79" s="15">
        <f>IFERROR(__xludf.DUMMYFUNCTION("""COMPUTED_VALUE"""),45949.265446878206)</f>
        <v>45949.26545</v>
      </c>
      <c r="L79" s="4"/>
    </row>
    <row r="80">
      <c r="A80" s="1">
        <f>IFERROR(__xludf.DUMMYFUNCTION("""COMPUTED_VALUE"""),79.0)</f>
        <v>79</v>
      </c>
      <c r="B80" s="1">
        <f>IFERROR(__xludf.DUMMYFUNCTION("""COMPUTED_VALUE"""),5474.0)</f>
        <v>5474</v>
      </c>
      <c r="C80" s="2" t="str">
        <f>IFERROR(__xludf.DUMMYFUNCTION("""COMPUTED_VALUE"""),"MIN")</f>
        <v>MIN</v>
      </c>
      <c r="D80" s="2" t="str">
        <f>IFERROR(__xludf.DUMMYFUNCTION("""COMPUTED_VALUE"""),"5KM OVERALL M")</f>
        <v>5KM OVERALL M</v>
      </c>
      <c r="E80" s="1">
        <f>IFERROR(__xludf.DUMMYFUNCTION("""COMPUTED_VALUE"""),54.0)</f>
        <v>54</v>
      </c>
      <c r="F80" s="1" t="str">
        <f>IFERROR(__xludf.DUMMYFUNCTION("""COMPUTED_VALUE"""),"Male")</f>
        <v>Male</v>
      </c>
      <c r="G80" s="5">
        <f>IFERROR(__xludf.DUMMYFUNCTION("""COMPUTED_VALUE"""),0.0037679375)</f>
        <v>0.0037679375</v>
      </c>
      <c r="H80" s="15">
        <f>IFERROR(__xludf.DUMMYFUNCTION("""COMPUTED_VALUE"""),0.2549440625)</f>
        <v>0.2549440625</v>
      </c>
      <c r="I80" s="15">
        <f>IFERROR(__xludf.DUMMYFUNCTION("""COMPUTED_VALUE"""),45949.27378375121)</f>
        <v>45949.27378</v>
      </c>
      <c r="J80" s="15">
        <f>IFERROR(__xludf.DUMMYFUNCTION("""COMPUTED_VALUE"""),45949.01883968871)</f>
        <v>45949.01884</v>
      </c>
      <c r="K80" s="15">
        <f>IFERROR(__xludf.DUMMYFUNCTION("""COMPUTED_VALUE"""),45949.2652767025)</f>
        <v>45949.26528</v>
      </c>
      <c r="L80" s="4"/>
    </row>
    <row r="81">
      <c r="A81" s="1">
        <f>IFERROR(__xludf.DUMMYFUNCTION("""COMPUTED_VALUE"""),80.0)</f>
        <v>80</v>
      </c>
      <c r="B81" s="1">
        <f>IFERROR(__xludf.DUMMYFUNCTION("""COMPUTED_VALUE"""),7064.0)</f>
        <v>7064</v>
      </c>
      <c r="C81" s="2" t="str">
        <f>IFERROR(__xludf.DUMMYFUNCTION("""COMPUTED_VALUE"""),"pran")</f>
        <v>pran</v>
      </c>
      <c r="D81" s="2" t="str">
        <f>IFERROR(__xludf.DUMMYFUNCTION("""COMPUTED_VALUE"""),"5KM MASTER M")</f>
        <v>5KM MASTER M</v>
      </c>
      <c r="E81" s="1">
        <f>IFERROR(__xludf.DUMMYFUNCTION("""COMPUTED_VALUE"""),8.0)</f>
        <v>8</v>
      </c>
      <c r="F81" s="1" t="str">
        <f>IFERROR(__xludf.DUMMYFUNCTION("""COMPUTED_VALUE"""),"Male")</f>
        <v>Male</v>
      </c>
      <c r="G81" s="5">
        <f>IFERROR(__xludf.DUMMYFUNCTION("""COMPUTED_VALUE"""),0.003770053240740741)</f>
        <v>0.003770053241</v>
      </c>
      <c r="H81" s="15">
        <f>IFERROR(__xludf.DUMMYFUNCTION("""COMPUTED_VALUE"""),0.2549440625)</f>
        <v>0.2549440625</v>
      </c>
      <c r="I81" s="15">
        <f>IFERROR(__xludf.DUMMYFUNCTION("""COMPUTED_VALUE"""),45949.27379433308)</f>
        <v>45949.27379</v>
      </c>
      <c r="J81" s="15">
        <f>IFERROR(__xludf.DUMMYFUNCTION("""COMPUTED_VALUE"""),45949.01885027058)</f>
        <v>45949.01885</v>
      </c>
      <c r="K81" s="15">
        <f>IFERROR(__xludf.DUMMYFUNCTION("""COMPUTED_VALUE"""),45949.26639477423)</f>
        <v>45949.26639</v>
      </c>
      <c r="L81" s="4"/>
    </row>
    <row r="82">
      <c r="A82" s="1">
        <f>IFERROR(__xludf.DUMMYFUNCTION("""COMPUTED_VALUE"""),81.0)</f>
        <v>81</v>
      </c>
      <c r="B82" s="1">
        <f>IFERROR(__xludf.DUMMYFUNCTION("""COMPUTED_VALUE"""),5939.0)</f>
        <v>5939</v>
      </c>
      <c r="C82" s="2" t="str">
        <f>IFERROR(__xludf.DUMMYFUNCTION("""COMPUTED_VALUE"""),"Fazzeri")</f>
        <v>Fazzeri</v>
      </c>
      <c r="D82" s="2" t="str">
        <f>IFERROR(__xludf.DUMMYFUNCTION("""COMPUTED_VALUE"""),"5KM OVERALL M")</f>
        <v>5KM OVERALL M</v>
      </c>
      <c r="E82" s="1">
        <f>IFERROR(__xludf.DUMMYFUNCTION("""COMPUTED_VALUE"""),55.0)</f>
        <v>55</v>
      </c>
      <c r="F82" s="1" t="str">
        <f>IFERROR(__xludf.DUMMYFUNCTION("""COMPUTED_VALUE"""),"Male")</f>
        <v>Male</v>
      </c>
      <c r="G82" s="5">
        <f>IFERROR(__xludf.DUMMYFUNCTION("""COMPUTED_VALUE"""),0.003771918981481481)</f>
        <v>0.003771918981</v>
      </c>
      <c r="H82" s="15">
        <f>IFERROR(__xludf.DUMMYFUNCTION("""COMPUTED_VALUE"""),0.2549440625)</f>
        <v>0.2549440625</v>
      </c>
      <c r="I82" s="15">
        <f>IFERROR(__xludf.DUMMYFUNCTION("""COMPUTED_VALUE"""),45949.27380365341)</f>
        <v>45949.2738</v>
      </c>
      <c r="J82" s="15">
        <f>IFERROR(__xludf.DUMMYFUNCTION("""COMPUTED_VALUE"""),45949.018859590906)</f>
        <v>45949.01886</v>
      </c>
      <c r="K82" s="15">
        <f>IFERROR(__xludf.DUMMYFUNCTION("""COMPUTED_VALUE"""),45949.266165572386)</f>
        <v>45949.26617</v>
      </c>
      <c r="L82" s="4"/>
    </row>
    <row r="83">
      <c r="A83" s="1">
        <f>IFERROR(__xludf.DUMMYFUNCTION("""COMPUTED_VALUE"""),82.0)</f>
        <v>82</v>
      </c>
      <c r="B83" s="1">
        <f>IFERROR(__xludf.DUMMYFUNCTION("""COMPUTED_VALUE"""),7050.0)</f>
        <v>7050</v>
      </c>
      <c r="C83" s="2" t="str">
        <f>IFERROR(__xludf.DUMMYFUNCTION("""COMPUTED_VALUE"""),"Fifit")</f>
        <v>Fifit</v>
      </c>
      <c r="D83" s="2" t="str">
        <f>IFERROR(__xludf.DUMMYFUNCTION("""COMPUTED_VALUE"""),"5KM MASTER F")</f>
        <v>5KM MASTER F</v>
      </c>
      <c r="E83" s="1">
        <f>IFERROR(__xludf.DUMMYFUNCTION("""COMPUTED_VALUE"""),2.0)</f>
        <v>2</v>
      </c>
      <c r="F83" s="1" t="str">
        <f>IFERROR(__xludf.DUMMYFUNCTION("""COMPUTED_VALUE"""),"Female")</f>
        <v>Female</v>
      </c>
      <c r="G83" s="5">
        <f>IFERROR(__xludf.DUMMYFUNCTION("""COMPUTED_VALUE"""),0.0037788611111111113)</f>
        <v>0.003778861111</v>
      </c>
      <c r="H83" s="15">
        <f>IFERROR(__xludf.DUMMYFUNCTION("""COMPUTED_VALUE"""),0.2549440625)</f>
        <v>0.2549440625</v>
      </c>
      <c r="I83" s="15">
        <f>IFERROR(__xludf.DUMMYFUNCTION("""COMPUTED_VALUE"""),45949.273838367466)</f>
        <v>45949.27384</v>
      </c>
      <c r="J83" s="15">
        <f>IFERROR(__xludf.DUMMYFUNCTION("""COMPUTED_VALUE"""),45949.018894304965)</f>
        <v>45949.01889</v>
      </c>
      <c r="K83" s="15">
        <f>IFERROR(__xludf.DUMMYFUNCTION("""COMPUTED_VALUE"""),45949.265422518285)</f>
        <v>45949.26542</v>
      </c>
      <c r="L83" s="4"/>
    </row>
    <row r="84">
      <c r="A84" s="1">
        <f>IFERROR(__xludf.DUMMYFUNCTION("""COMPUTED_VALUE"""),83.0)</f>
        <v>83</v>
      </c>
      <c r="B84" s="1">
        <f>IFERROR(__xludf.DUMMYFUNCTION("""COMPUTED_VALUE"""),5880.0)</f>
        <v>5880</v>
      </c>
      <c r="C84" s="2" t="str">
        <f>IFERROR(__xludf.DUMMYFUNCTION("""COMPUTED_VALUE"""),"rizkiya")</f>
        <v>rizkiya</v>
      </c>
      <c r="D84" s="2" t="str">
        <f>IFERROR(__xludf.DUMMYFUNCTION("""COMPUTED_VALUE"""),"5KM OVERALL F")</f>
        <v>5KM OVERALL F</v>
      </c>
      <c r="E84" s="1">
        <f>IFERROR(__xludf.DUMMYFUNCTION("""COMPUTED_VALUE"""),6.0)</f>
        <v>6</v>
      </c>
      <c r="F84" s="1" t="str">
        <f>IFERROR(__xludf.DUMMYFUNCTION("""COMPUTED_VALUE"""),"Female")</f>
        <v>Female</v>
      </c>
      <c r="G84" s="5">
        <f>IFERROR(__xludf.DUMMYFUNCTION("""COMPUTED_VALUE"""),0.003783710648148148)</f>
        <v>0.003783710648</v>
      </c>
      <c r="H84" s="15">
        <f>IFERROR(__xludf.DUMMYFUNCTION("""COMPUTED_VALUE"""),0.2549440625)</f>
        <v>0.2549440625</v>
      </c>
      <c r="I84" s="15">
        <f>IFERROR(__xludf.DUMMYFUNCTION("""COMPUTED_VALUE"""),45949.27386261952)</f>
        <v>45949.27386</v>
      </c>
      <c r="J84" s="15">
        <f>IFERROR(__xludf.DUMMYFUNCTION("""COMPUTED_VALUE"""),45949.01891855702)</f>
        <v>45949.01892</v>
      </c>
      <c r="K84" s="15">
        <f>IFERROR(__xludf.DUMMYFUNCTION("""COMPUTED_VALUE"""),45949.265235015184)</f>
        <v>45949.26524</v>
      </c>
      <c r="L84" s="4"/>
    </row>
    <row r="85">
      <c r="A85" s="1">
        <f>IFERROR(__xludf.DUMMYFUNCTION("""COMPUTED_VALUE"""),84.0)</f>
        <v>84</v>
      </c>
      <c r="B85" s="7" t="str">
        <f>IFERROR(__xludf.DUMMYFUNCTION("""COMPUTED_VALUE"""),"9033")</f>
        <v>9033</v>
      </c>
      <c r="C85" s="8" t="str">
        <f>IFERROR(__xludf.DUMMYFUNCTION("""COMPUTED_VALUE"""),"Rifa Arya Maulana")</f>
        <v>Rifa Arya Maulana</v>
      </c>
      <c r="D85" s="2" t="str">
        <f>IFERROR(__xludf.DUMMYFUNCTION("""COMPUTED_VALUE"""),"5KM STUDENT M")</f>
        <v>5KM STUDENT M</v>
      </c>
      <c r="E85" s="1">
        <f>IFERROR(__xludf.DUMMYFUNCTION("""COMPUTED_VALUE"""),12.0)</f>
        <v>12</v>
      </c>
      <c r="F85" s="1" t="str">
        <f>IFERROR(__xludf.DUMMYFUNCTION("""COMPUTED_VALUE"""),"Male")</f>
        <v>Male</v>
      </c>
      <c r="G85" s="5">
        <f>IFERROR(__xludf.DUMMYFUNCTION("""COMPUTED_VALUE"""),0.003791361111111111)</f>
        <v>0.003791361111</v>
      </c>
      <c r="H85" s="15">
        <f>IFERROR(__xludf.DUMMYFUNCTION("""COMPUTED_VALUE"""),0.2549440625)</f>
        <v>0.2549440625</v>
      </c>
      <c r="I85" s="15">
        <f>IFERROR(__xludf.DUMMYFUNCTION("""COMPUTED_VALUE"""),45949.27390086589)</f>
        <v>45949.2739</v>
      </c>
      <c r="J85" s="15">
        <f>IFERROR(__xludf.DUMMYFUNCTION("""COMPUTED_VALUE"""),45949.01895680339)</f>
        <v>45949.01896</v>
      </c>
      <c r="K85" s="15">
        <f>IFERROR(__xludf.DUMMYFUNCTION("""COMPUTED_VALUE"""),45949.26533919764)</f>
        <v>45949.26534</v>
      </c>
      <c r="L85" s="4"/>
    </row>
    <row r="86">
      <c r="A86" s="1">
        <f>IFERROR(__xludf.DUMMYFUNCTION("""COMPUTED_VALUE"""),85.0)</f>
        <v>85</v>
      </c>
      <c r="B86" s="1">
        <f>IFERROR(__xludf.DUMMYFUNCTION("""COMPUTED_VALUE"""),6081.0)</f>
        <v>6081</v>
      </c>
      <c r="C86" s="2" t="str">
        <f>IFERROR(__xludf.DUMMYFUNCTION("""COMPUTED_VALUE"""),"Ikhwan")</f>
        <v>Ikhwan</v>
      </c>
      <c r="D86" s="2" t="str">
        <f>IFERROR(__xludf.DUMMYFUNCTION("""COMPUTED_VALUE"""),"5KM OVERALL M")</f>
        <v>5KM OVERALL M</v>
      </c>
      <c r="E86" s="1">
        <f>IFERROR(__xludf.DUMMYFUNCTION("""COMPUTED_VALUE"""),56.0)</f>
        <v>56</v>
      </c>
      <c r="F86" s="1" t="str">
        <f>IFERROR(__xludf.DUMMYFUNCTION("""COMPUTED_VALUE"""),"Male")</f>
        <v>Male</v>
      </c>
      <c r="G86" s="5">
        <f>IFERROR(__xludf.DUMMYFUNCTION("""COMPUTED_VALUE"""),0.0037948356481481483)</f>
        <v>0.003794835648</v>
      </c>
      <c r="H86" s="15">
        <f>IFERROR(__xludf.DUMMYFUNCTION("""COMPUTED_VALUE"""),0.2549440625)</f>
        <v>0.2549440625</v>
      </c>
      <c r="I86" s="15">
        <f>IFERROR(__xludf.DUMMYFUNCTION("""COMPUTED_VALUE"""),45949.27391824074)</f>
        <v>45949.27392</v>
      </c>
      <c r="J86" s="15">
        <f>IFERROR(__xludf.DUMMYFUNCTION("""COMPUTED_VALUE"""),45949.01897417824)</f>
        <v>45949.01897</v>
      </c>
      <c r="K86" s="15">
        <f>IFERROR(__xludf.DUMMYFUNCTION("""COMPUTED_VALUE"""),45949.26538086089)</f>
        <v>45949.26538</v>
      </c>
      <c r="L86" s="4"/>
    </row>
    <row r="87">
      <c r="A87" s="1">
        <f>IFERROR(__xludf.DUMMYFUNCTION("""COMPUTED_VALUE"""),86.0)</f>
        <v>86</v>
      </c>
      <c r="B87" s="1">
        <f>IFERROR(__xludf.DUMMYFUNCTION("""COMPUTED_VALUE"""),5317.0)</f>
        <v>5317</v>
      </c>
      <c r="C87" s="2" t="str">
        <f>IFERROR(__xludf.DUMMYFUNCTION("""COMPUTED_VALUE"""),"yudhis")</f>
        <v>yudhis</v>
      </c>
      <c r="D87" s="2" t="str">
        <f>IFERROR(__xludf.DUMMYFUNCTION("""COMPUTED_VALUE"""),"5KM OVERALL M")</f>
        <v>5KM OVERALL M</v>
      </c>
      <c r="E87" s="1">
        <f>IFERROR(__xludf.DUMMYFUNCTION("""COMPUTED_VALUE"""),57.0)</f>
        <v>57</v>
      </c>
      <c r="F87" s="1" t="str">
        <f>IFERROR(__xludf.DUMMYFUNCTION("""COMPUTED_VALUE"""),"Male")</f>
        <v>Male</v>
      </c>
      <c r="G87" s="5">
        <f>IFERROR(__xludf.DUMMYFUNCTION("""COMPUTED_VALUE"""),0.0037983055555555556)</f>
        <v>0.003798305556</v>
      </c>
      <c r="H87" s="15">
        <f>IFERROR(__xludf.DUMMYFUNCTION("""COMPUTED_VALUE"""),0.2549440625)</f>
        <v>0.2549440625</v>
      </c>
      <c r="I87" s="15">
        <f>IFERROR(__xludf.DUMMYFUNCTION("""COMPUTED_VALUE"""),45949.2739355945)</f>
        <v>45949.27394</v>
      </c>
      <c r="J87" s="15">
        <f>IFERROR(__xludf.DUMMYFUNCTION("""COMPUTED_VALUE"""),45949.018991532)</f>
        <v>45949.01899</v>
      </c>
      <c r="K87" s="15">
        <f>IFERROR(__xludf.DUMMYFUNCTION("""COMPUTED_VALUE"""),45949.2649607203)</f>
        <v>45949.26496</v>
      </c>
      <c r="L87" s="4"/>
    </row>
    <row r="88">
      <c r="A88" s="1">
        <f>IFERROR(__xludf.DUMMYFUNCTION("""COMPUTED_VALUE"""),87.0)</f>
        <v>87</v>
      </c>
      <c r="B88" s="1">
        <f>IFERROR(__xludf.DUMMYFUNCTION("""COMPUTED_VALUE"""),5724.0)</f>
        <v>5724</v>
      </c>
      <c r="C88" s="2" t="str">
        <f>IFERROR(__xludf.DUMMYFUNCTION("""COMPUTED_VALUE"""),"Mahfudz Hidayat")</f>
        <v>Mahfudz Hidayat</v>
      </c>
      <c r="D88" s="2" t="str">
        <f>IFERROR(__xludf.DUMMYFUNCTION("""COMPUTED_VALUE"""),"5KM OVERALL M")</f>
        <v>5KM OVERALL M</v>
      </c>
      <c r="E88" s="1">
        <f>IFERROR(__xludf.DUMMYFUNCTION("""COMPUTED_VALUE"""),58.0)</f>
        <v>58</v>
      </c>
      <c r="F88" s="1" t="str">
        <f>IFERROR(__xludf.DUMMYFUNCTION("""COMPUTED_VALUE"""),"Male")</f>
        <v>Male</v>
      </c>
      <c r="G88" s="5">
        <f>IFERROR(__xludf.DUMMYFUNCTION("""COMPUTED_VALUE"""),0.0038003912037037034)</f>
        <v>0.003800391204</v>
      </c>
      <c r="H88" s="15">
        <f>IFERROR(__xludf.DUMMYFUNCTION("""COMPUTED_VALUE"""),0.2549440625)</f>
        <v>0.2549440625</v>
      </c>
      <c r="I88" s="15">
        <f>IFERROR(__xludf.DUMMYFUNCTION("""COMPUTED_VALUE"""),45949.27394601586)</f>
        <v>45949.27395</v>
      </c>
      <c r="J88" s="15">
        <f>IFERROR(__xludf.DUMMYFUNCTION("""COMPUTED_VALUE"""),45949.01900195336)</f>
        <v>45949.019</v>
      </c>
      <c r="K88" s="15">
        <f>IFERROR(__xludf.DUMMYFUNCTION("""COMPUTED_VALUE"""),45949.2659121121)</f>
        <v>45949.26591</v>
      </c>
      <c r="L88" s="4"/>
    </row>
    <row r="89">
      <c r="A89" s="1">
        <f>IFERROR(__xludf.DUMMYFUNCTION("""COMPUTED_VALUE"""),88.0)</f>
        <v>88</v>
      </c>
      <c r="B89" s="1">
        <f>IFERROR(__xludf.DUMMYFUNCTION("""COMPUTED_VALUE"""),5619.0)</f>
        <v>5619</v>
      </c>
      <c r="C89" s="2" t="str">
        <f>IFERROR(__xludf.DUMMYFUNCTION("""COMPUTED_VALUE"""),"Fauzi")</f>
        <v>Fauzi</v>
      </c>
      <c r="D89" s="2" t="str">
        <f>IFERROR(__xludf.DUMMYFUNCTION("""COMPUTED_VALUE"""),"5KM OVERALL M")</f>
        <v>5KM OVERALL M</v>
      </c>
      <c r="E89" s="1">
        <f>IFERROR(__xludf.DUMMYFUNCTION("""COMPUTED_VALUE"""),59.0)</f>
        <v>59</v>
      </c>
      <c r="F89" s="1" t="str">
        <f>IFERROR(__xludf.DUMMYFUNCTION("""COMPUTED_VALUE"""),"Male")</f>
        <v>Male</v>
      </c>
      <c r="G89" s="5">
        <f>IFERROR(__xludf.DUMMYFUNCTION("""COMPUTED_VALUE"""),0.0038017777777777776)</f>
        <v>0.003801777778</v>
      </c>
      <c r="H89" s="15">
        <f>IFERROR(__xludf.DUMMYFUNCTION("""COMPUTED_VALUE"""),0.2549440625)</f>
        <v>0.2549440625</v>
      </c>
      <c r="I89" s="15">
        <f>IFERROR(__xludf.DUMMYFUNCTION("""COMPUTED_VALUE"""),45949.273952951466)</f>
        <v>45949.27395</v>
      </c>
      <c r="J89" s="15">
        <f>IFERROR(__xludf.DUMMYFUNCTION("""COMPUTED_VALUE"""),45949.019008888965)</f>
        <v>45949.01901</v>
      </c>
      <c r="K89" s="15">
        <f>IFERROR(__xludf.DUMMYFUNCTION("""COMPUTED_VALUE"""),45949.26578363877)</f>
        <v>45949.26578</v>
      </c>
      <c r="L89" s="4"/>
    </row>
    <row r="90">
      <c r="A90" s="1">
        <f>IFERROR(__xludf.DUMMYFUNCTION("""COMPUTED_VALUE"""),89.0)</f>
        <v>89</v>
      </c>
      <c r="B90" s="1">
        <f>IFERROR(__xludf.DUMMYFUNCTION("""COMPUTED_VALUE"""),6064.0)</f>
        <v>6064</v>
      </c>
      <c r="C90" s="2" t="str">
        <f>IFERROR(__xludf.DUMMYFUNCTION("""COMPUTED_VALUE"""),"MIKA")</f>
        <v>MIKA</v>
      </c>
      <c r="D90" s="2" t="str">
        <f>IFERROR(__xludf.DUMMYFUNCTION("""COMPUTED_VALUE"""),"5KM OVERALL M")</f>
        <v>5KM OVERALL M</v>
      </c>
      <c r="E90" s="1">
        <f>IFERROR(__xludf.DUMMYFUNCTION("""COMPUTED_VALUE"""),60.0)</f>
        <v>60</v>
      </c>
      <c r="F90" s="1" t="str">
        <f>IFERROR(__xludf.DUMMYFUNCTION("""COMPUTED_VALUE"""),"Male")</f>
        <v>Male</v>
      </c>
      <c r="G90" s="5">
        <f>IFERROR(__xludf.DUMMYFUNCTION("""COMPUTED_VALUE"""),0.0038220787037037034)</f>
        <v>0.003822078704</v>
      </c>
      <c r="H90" s="15">
        <f>IFERROR(__xludf.DUMMYFUNCTION("""COMPUTED_VALUE"""),0.2549440625)</f>
        <v>0.2549440625</v>
      </c>
      <c r="I90" s="15">
        <f>IFERROR(__xludf.DUMMYFUNCTION("""COMPUTED_VALUE"""),45949.27405445801)</f>
        <v>45949.27405</v>
      </c>
      <c r="J90" s="15">
        <f>IFERROR(__xludf.DUMMYFUNCTION("""COMPUTED_VALUE"""),45949.01911039551)</f>
        <v>45949.01911</v>
      </c>
      <c r="K90" s="15">
        <f>IFERROR(__xludf.DUMMYFUNCTION("""COMPUTED_VALUE"""),45949.26568993249)</f>
        <v>45949.26569</v>
      </c>
      <c r="L90" s="4"/>
    </row>
    <row r="91">
      <c r="A91" s="1">
        <f>IFERROR(__xludf.DUMMYFUNCTION("""COMPUTED_VALUE"""),90.0)</f>
        <v>90</v>
      </c>
      <c r="B91" s="1">
        <f>IFERROR(__xludf.DUMMYFUNCTION("""COMPUTED_VALUE"""),6339.0)</f>
        <v>6339</v>
      </c>
      <c r="C91" s="2" t="str">
        <f>IFERROR(__xludf.DUMMYFUNCTION("""COMPUTED_VALUE"""),"Syahid Thalib")</f>
        <v>Syahid Thalib</v>
      </c>
      <c r="D91" s="2" t="str">
        <f>IFERROR(__xludf.DUMMYFUNCTION("""COMPUTED_VALUE"""),"5KM OVERALL M")</f>
        <v>5KM OVERALL M</v>
      </c>
      <c r="E91" s="1">
        <f>IFERROR(__xludf.DUMMYFUNCTION("""COMPUTED_VALUE"""),61.0)</f>
        <v>61</v>
      </c>
      <c r="F91" s="1" t="str">
        <f>IFERROR(__xludf.DUMMYFUNCTION("""COMPUTED_VALUE"""),"Male")</f>
        <v>Male</v>
      </c>
      <c r="G91" s="5">
        <f>IFERROR(__xludf.DUMMYFUNCTION("""COMPUTED_VALUE"""),0.0038232939814814813)</f>
        <v>0.003823293981</v>
      </c>
      <c r="H91" s="15">
        <f>IFERROR(__xludf.DUMMYFUNCTION("""COMPUTED_VALUE"""),0.2549440625)</f>
        <v>0.2549440625</v>
      </c>
      <c r="I91" s="15">
        <f>IFERROR(__xludf.DUMMYFUNCTION("""COMPUTED_VALUE"""),45949.27406053383)</f>
        <v>45949.27406</v>
      </c>
      <c r="J91" s="15">
        <f>IFERROR(__xludf.DUMMYFUNCTION("""COMPUTED_VALUE"""),45949.01911647133)</f>
        <v>45949.01912</v>
      </c>
      <c r="K91" s="15">
        <f>IFERROR(__xludf.DUMMYFUNCTION("""COMPUTED_VALUE"""),45949.26612402152)</f>
        <v>45949.26612</v>
      </c>
      <c r="L91" s="4"/>
    </row>
    <row r="92">
      <c r="A92" s="1">
        <f>IFERROR(__xludf.DUMMYFUNCTION("""COMPUTED_VALUE"""),91.0)</f>
        <v>91</v>
      </c>
      <c r="B92" s="1">
        <f>IFERROR(__xludf.DUMMYFUNCTION("""COMPUTED_VALUE"""),6342.0)</f>
        <v>6342</v>
      </c>
      <c r="C92" s="2" t="str">
        <f>IFERROR(__xludf.DUMMYFUNCTION("""COMPUTED_VALUE"""),"ISA")</f>
        <v>ISA</v>
      </c>
      <c r="D92" s="2" t="str">
        <f>IFERROR(__xludf.DUMMYFUNCTION("""COMPUTED_VALUE"""),"5KM OVERALL M")</f>
        <v>5KM OVERALL M</v>
      </c>
      <c r="E92" s="1">
        <f>IFERROR(__xludf.DUMMYFUNCTION("""COMPUTED_VALUE"""),62.0)</f>
        <v>62</v>
      </c>
      <c r="F92" s="1" t="str">
        <f>IFERROR(__xludf.DUMMYFUNCTION("""COMPUTED_VALUE"""),"Male")</f>
        <v>Male</v>
      </c>
      <c r="G92" s="5">
        <f>IFERROR(__xludf.DUMMYFUNCTION("""COMPUTED_VALUE"""),0.003831638888888889)</f>
        <v>0.003831638889</v>
      </c>
      <c r="H92" s="15">
        <f>IFERROR(__xludf.DUMMYFUNCTION("""COMPUTED_VALUE"""),0.2549440625)</f>
        <v>0.2549440625</v>
      </c>
      <c r="I92" s="15">
        <f>IFERROR(__xludf.DUMMYFUNCTION("""COMPUTED_VALUE"""),45949.274102257994)</f>
        <v>45949.2741</v>
      </c>
      <c r="J92" s="15">
        <f>IFERROR(__xludf.DUMMYFUNCTION("""COMPUTED_VALUE"""),45949.01915819549)</f>
        <v>45949.01916</v>
      </c>
      <c r="K92" s="15">
        <f>IFERROR(__xludf.DUMMYFUNCTION("""COMPUTED_VALUE"""),45949.26521777485)</f>
        <v>45949.26522</v>
      </c>
      <c r="L92" s="4"/>
    </row>
    <row r="93">
      <c r="A93" s="1">
        <f>IFERROR(__xludf.DUMMYFUNCTION("""COMPUTED_VALUE"""),92.0)</f>
        <v>92</v>
      </c>
      <c r="B93" s="7" t="str">
        <f>IFERROR(__xludf.DUMMYFUNCTION("""COMPUTED_VALUE"""),"9031")</f>
        <v>9031</v>
      </c>
      <c r="C93" s="8" t="str">
        <f>IFERROR(__xludf.DUMMYFUNCTION("""COMPUTED_VALUE"""),"Abja")</f>
        <v>Abja</v>
      </c>
      <c r="D93" s="2" t="str">
        <f>IFERROR(__xludf.DUMMYFUNCTION("""COMPUTED_VALUE"""),"5KM STUDENT M")</f>
        <v>5KM STUDENT M</v>
      </c>
      <c r="E93" s="1">
        <f>IFERROR(__xludf.DUMMYFUNCTION("""COMPUTED_VALUE"""),13.0)</f>
        <v>13</v>
      </c>
      <c r="F93" s="1" t="str">
        <f>IFERROR(__xludf.DUMMYFUNCTION("""COMPUTED_VALUE"""),"Male")</f>
        <v>Male</v>
      </c>
      <c r="G93" s="5">
        <f>IFERROR(__xludf.DUMMYFUNCTION("""COMPUTED_VALUE"""),0.0038364999999999996)</f>
        <v>0.0038365</v>
      </c>
      <c r="H93" s="15">
        <f>IFERROR(__xludf.DUMMYFUNCTION("""COMPUTED_VALUE"""),0.2549440625)</f>
        <v>0.2549440625</v>
      </c>
      <c r="I93" s="15">
        <f>IFERROR(__xludf.DUMMYFUNCTION("""COMPUTED_VALUE"""),45949.27412656408)</f>
        <v>45949.27413</v>
      </c>
      <c r="J93" s="15">
        <f>IFERROR(__xludf.DUMMYFUNCTION("""COMPUTED_VALUE"""),45949.01918250158)</f>
        <v>45949.01918</v>
      </c>
      <c r="K93" s="15">
        <f>IFERROR(__xludf.DUMMYFUNCTION("""COMPUTED_VALUE"""),45950.26645833333)</f>
        <v>45950.26646</v>
      </c>
      <c r="L93" s="4" t="str">
        <f>IFERROR(__xludf.DUMMYFUNCTION("""COMPUTED_VALUE"""),"C")</f>
        <v>C</v>
      </c>
    </row>
    <row r="94">
      <c r="A94" s="1">
        <f>IFERROR(__xludf.DUMMYFUNCTION("""COMPUTED_VALUE"""),93.0)</f>
        <v>93</v>
      </c>
      <c r="B94" s="1">
        <f>IFERROR(__xludf.DUMMYFUNCTION("""COMPUTED_VALUE"""),5507.0)</f>
        <v>5507</v>
      </c>
      <c r="C94" s="2" t="str">
        <f>IFERROR(__xludf.DUMMYFUNCTION("""COMPUTED_VALUE"""),"REZA")</f>
        <v>REZA</v>
      </c>
      <c r="D94" s="2" t="str">
        <f>IFERROR(__xludf.DUMMYFUNCTION("""COMPUTED_VALUE"""),"5KM OVERALL M")</f>
        <v>5KM OVERALL M</v>
      </c>
      <c r="E94" s="1">
        <f>IFERROR(__xludf.DUMMYFUNCTION("""COMPUTED_VALUE"""),63.0)</f>
        <v>63</v>
      </c>
      <c r="F94" s="1" t="str">
        <f>IFERROR(__xludf.DUMMYFUNCTION("""COMPUTED_VALUE"""),"Male")</f>
        <v>Male</v>
      </c>
      <c r="G94" s="5">
        <f>IFERROR(__xludf.DUMMYFUNCTION("""COMPUTED_VALUE"""),0.0038413611111111114)</f>
        <v>0.003841361111</v>
      </c>
      <c r="H94" s="15">
        <f>IFERROR(__xludf.DUMMYFUNCTION("""COMPUTED_VALUE"""),0.2549440625)</f>
        <v>0.2549440625</v>
      </c>
      <c r="I94" s="15">
        <f>IFERROR(__xludf.DUMMYFUNCTION("""COMPUTED_VALUE"""),45949.27415086344)</f>
        <v>45949.27415</v>
      </c>
      <c r="J94" s="15">
        <f>IFERROR(__xludf.DUMMYFUNCTION("""COMPUTED_VALUE"""),45949.01920680094)</f>
        <v>45949.01921</v>
      </c>
      <c r="K94" s="15">
        <f>IFERROR(__xludf.DUMMYFUNCTION("""COMPUTED_VALUE"""),45949.26571771848)</f>
        <v>45949.26572</v>
      </c>
      <c r="L94" s="4"/>
    </row>
    <row r="95">
      <c r="A95" s="1">
        <f>IFERROR(__xludf.DUMMYFUNCTION("""COMPUTED_VALUE"""),94.0)</f>
        <v>94</v>
      </c>
      <c r="B95" s="7" t="str">
        <f>IFERROR(__xludf.DUMMYFUNCTION("""COMPUTED_VALUE"""),"7140")</f>
        <v>7140</v>
      </c>
      <c r="C95" s="8" t="str">
        <f>IFERROR(__xludf.DUMMYFUNCTION("""COMPUTED_VALUE"""),"Jainah")</f>
        <v>Jainah</v>
      </c>
      <c r="D95" s="2" t="str">
        <f>IFERROR(__xludf.DUMMYFUNCTION("""COMPUTED_VALUE"""),"5KM MASTER F")</f>
        <v>5KM MASTER F</v>
      </c>
      <c r="E95" s="1">
        <f>IFERROR(__xludf.DUMMYFUNCTION("""COMPUTED_VALUE"""),3.0)</f>
        <v>3</v>
      </c>
      <c r="F95" s="1" t="str">
        <f>IFERROR(__xludf.DUMMYFUNCTION("""COMPUTED_VALUE"""),"Female")</f>
        <v>Female</v>
      </c>
      <c r="G95" s="5">
        <f>IFERROR(__xludf.DUMMYFUNCTION("""COMPUTED_VALUE"""),0.0038489884259259254)</f>
        <v>0.003848988426</v>
      </c>
      <c r="H95" s="15">
        <f>IFERROR(__xludf.DUMMYFUNCTION("""COMPUTED_VALUE"""),0.2549440625)</f>
        <v>0.2549440625</v>
      </c>
      <c r="I95" s="15">
        <f>IFERROR(__xludf.DUMMYFUNCTION("""COMPUTED_VALUE"""),45949.27418900797)</f>
        <v>45949.27419</v>
      </c>
      <c r="J95" s="15">
        <f>IFERROR(__xludf.DUMMYFUNCTION("""COMPUTED_VALUE"""),45949.01924494547)</f>
        <v>45949.01924</v>
      </c>
      <c r="K95" s="15">
        <f>IFERROR(__xludf.DUMMYFUNCTION("""COMPUTED_VALUE"""),45949.26551632568)</f>
        <v>45949.26552</v>
      </c>
      <c r="L95" s="4"/>
    </row>
    <row r="96">
      <c r="A96" s="1">
        <f>IFERROR(__xludf.DUMMYFUNCTION("""COMPUTED_VALUE"""),95.0)</f>
        <v>95</v>
      </c>
      <c r="B96" s="1">
        <f>IFERROR(__xludf.DUMMYFUNCTION("""COMPUTED_VALUE"""),6539.0)</f>
        <v>6539</v>
      </c>
      <c r="C96" s="2" t="str">
        <f>IFERROR(__xludf.DUMMYFUNCTION("""COMPUTED_VALUE"""),"M. RAMADHANI SAPUTRA")</f>
        <v>M. RAMADHANI SAPUTRA</v>
      </c>
      <c r="D96" s="2" t="str">
        <f>IFERROR(__xludf.DUMMYFUNCTION("""COMPUTED_VALUE"""),"5KM OVERALL M")</f>
        <v>5KM OVERALL M</v>
      </c>
      <c r="E96" s="1">
        <f>IFERROR(__xludf.DUMMYFUNCTION("""COMPUTED_VALUE"""),64.0)</f>
        <v>64</v>
      </c>
      <c r="F96" s="1" t="str">
        <f>IFERROR(__xludf.DUMMYFUNCTION("""COMPUTED_VALUE"""),"Male")</f>
        <v>Male</v>
      </c>
      <c r="G96" s="5">
        <f>IFERROR(__xludf.DUMMYFUNCTION("""COMPUTED_VALUE"""),0.0038503888888888884)</f>
        <v>0.003850388889</v>
      </c>
      <c r="H96" s="15">
        <f>IFERROR(__xludf.DUMMYFUNCTION("""COMPUTED_VALUE"""),0.2549440625)</f>
        <v>0.2549440625</v>
      </c>
      <c r="I96" s="15">
        <f>IFERROR(__xludf.DUMMYFUNCTION("""COMPUTED_VALUE"""),45949.274196004866)</f>
        <v>45949.2742</v>
      </c>
      <c r="J96" s="15">
        <f>IFERROR(__xludf.DUMMYFUNCTION("""COMPUTED_VALUE"""),45949.019251942365)</f>
        <v>45949.01925</v>
      </c>
      <c r="K96" s="15">
        <f>IFERROR(__xludf.DUMMYFUNCTION("""COMPUTED_VALUE"""),45950.266493055555)</f>
        <v>45950.26649</v>
      </c>
      <c r="L96" s="4" t="str">
        <f>IFERROR(__xludf.DUMMYFUNCTION("""COMPUTED_VALUE"""),"C")</f>
        <v>C</v>
      </c>
    </row>
    <row r="97">
      <c r="A97" s="1">
        <f>IFERROR(__xludf.DUMMYFUNCTION("""COMPUTED_VALUE"""),96.0)</f>
        <v>96</v>
      </c>
      <c r="B97" s="1">
        <f>IFERROR(__xludf.DUMMYFUNCTION("""COMPUTED_VALUE"""),5856.0)</f>
        <v>5856</v>
      </c>
      <c r="C97" s="2" t="str">
        <f>IFERROR(__xludf.DUMMYFUNCTION("""COMPUTED_VALUE"""),"andy satrianto")</f>
        <v>andy satrianto</v>
      </c>
      <c r="D97" s="2" t="str">
        <f>IFERROR(__xludf.DUMMYFUNCTION("""COMPUTED_VALUE"""),"5KM OVERALL M")</f>
        <v>5KM OVERALL M</v>
      </c>
      <c r="E97" s="1">
        <f>IFERROR(__xludf.DUMMYFUNCTION("""COMPUTED_VALUE"""),65.0)</f>
        <v>65</v>
      </c>
      <c r="F97" s="1" t="str">
        <f>IFERROR(__xludf.DUMMYFUNCTION("""COMPUTED_VALUE"""),"Male")</f>
        <v>Male</v>
      </c>
      <c r="G97" s="5">
        <f>IFERROR(__xludf.DUMMYFUNCTION("""COMPUTED_VALUE"""),0.0038580162037037033)</f>
        <v>0.003858016204</v>
      </c>
      <c r="H97" s="15">
        <f>IFERROR(__xludf.DUMMYFUNCTION("""COMPUTED_VALUE"""),0.2549440625)</f>
        <v>0.2549440625</v>
      </c>
      <c r="I97" s="15">
        <f>IFERROR(__xludf.DUMMYFUNCTION("""COMPUTED_VALUE"""),45949.27423414733)</f>
        <v>45949.27423</v>
      </c>
      <c r="J97" s="15">
        <f>IFERROR(__xludf.DUMMYFUNCTION("""COMPUTED_VALUE"""),45949.01929008483)</f>
        <v>45949.01929</v>
      </c>
      <c r="K97" s="15">
        <f>IFERROR(__xludf.DUMMYFUNCTION("""COMPUTED_VALUE"""),45949.26598154525)</f>
        <v>45949.26598</v>
      </c>
      <c r="L97" s="4"/>
    </row>
    <row r="98">
      <c r="A98" s="1">
        <f>IFERROR(__xludf.DUMMYFUNCTION("""COMPUTED_VALUE"""),97.0)</f>
        <v>97</v>
      </c>
      <c r="B98" s="7" t="str">
        <f>IFERROR(__xludf.DUMMYFUNCTION("""COMPUTED_VALUE"""),"7162")</f>
        <v>7162</v>
      </c>
      <c r="C98" s="8" t="str">
        <f>IFERROR(__xludf.DUMMYFUNCTION("""COMPUTED_VALUE"""),"REDIE")</f>
        <v>REDIE</v>
      </c>
      <c r="D98" s="2" t="str">
        <f>IFERROR(__xludf.DUMMYFUNCTION("""COMPUTED_VALUE"""),"5KM MASTER M")</f>
        <v>5KM MASTER M</v>
      </c>
      <c r="E98" s="1">
        <f>IFERROR(__xludf.DUMMYFUNCTION("""COMPUTED_VALUE"""),9.0)</f>
        <v>9</v>
      </c>
      <c r="F98" s="1" t="str">
        <f>IFERROR(__xludf.DUMMYFUNCTION("""COMPUTED_VALUE"""),"Male")</f>
        <v>Male</v>
      </c>
      <c r="G98" s="5">
        <f>IFERROR(__xludf.DUMMYFUNCTION("""COMPUTED_VALUE"""),0.0038767777777777776)</f>
        <v>0.003876777778</v>
      </c>
      <c r="H98" s="15">
        <f>IFERROR(__xludf.DUMMYFUNCTION("""COMPUTED_VALUE"""),0.2549440625)</f>
        <v>0.2549440625</v>
      </c>
      <c r="I98" s="15">
        <f>IFERROR(__xludf.DUMMYFUNCTION("""COMPUTED_VALUE"""),45949.27432795125)</f>
        <v>45949.27433</v>
      </c>
      <c r="J98" s="15">
        <f>IFERROR(__xludf.DUMMYFUNCTION("""COMPUTED_VALUE"""),45949.01938388875)</f>
        <v>45949.01938</v>
      </c>
      <c r="K98" s="15">
        <f>IFERROR(__xludf.DUMMYFUNCTION("""COMPUTED_VALUE"""),45949.26505099403)</f>
        <v>45949.26505</v>
      </c>
      <c r="L98" s="4"/>
    </row>
    <row r="99">
      <c r="A99" s="1">
        <f>IFERROR(__xludf.DUMMYFUNCTION("""COMPUTED_VALUE"""),98.0)</f>
        <v>98</v>
      </c>
      <c r="B99" s="1">
        <f>IFERROR(__xludf.DUMMYFUNCTION("""COMPUTED_VALUE"""),5324.0)</f>
        <v>5324</v>
      </c>
      <c r="C99" s="2" t="str">
        <f>IFERROR(__xludf.DUMMYFUNCTION("""COMPUTED_VALUE"""),"Veri BB")</f>
        <v>Veri BB</v>
      </c>
      <c r="D99" s="2" t="str">
        <f>IFERROR(__xludf.DUMMYFUNCTION("""COMPUTED_VALUE"""),"5KM OVERALL M")</f>
        <v>5KM OVERALL M</v>
      </c>
      <c r="E99" s="1">
        <f>IFERROR(__xludf.DUMMYFUNCTION("""COMPUTED_VALUE"""),66.0)</f>
        <v>66</v>
      </c>
      <c r="F99" s="1" t="str">
        <f>IFERROR(__xludf.DUMMYFUNCTION("""COMPUTED_VALUE"""),"Male")</f>
        <v>Male</v>
      </c>
      <c r="G99" s="5">
        <f>IFERROR(__xludf.DUMMYFUNCTION("""COMPUTED_VALUE"""),0.0038837222222222224)</f>
        <v>0.003883722222</v>
      </c>
      <c r="H99" s="15">
        <f>IFERROR(__xludf.DUMMYFUNCTION("""COMPUTED_VALUE"""),0.2549440625)</f>
        <v>0.2549440625</v>
      </c>
      <c r="I99" s="15">
        <f>IFERROR(__xludf.DUMMYFUNCTION("""COMPUTED_VALUE"""),45949.27436267736)</f>
        <v>45949.27436</v>
      </c>
      <c r="J99" s="15">
        <f>IFERROR(__xludf.DUMMYFUNCTION("""COMPUTED_VALUE"""),45949.01941861486)</f>
        <v>45949.01942</v>
      </c>
      <c r="K99" s="15">
        <f>IFERROR(__xludf.DUMMYFUNCTION("""COMPUTED_VALUE"""),45949.26568989768)</f>
        <v>45949.26569</v>
      </c>
      <c r="L99" s="4"/>
    </row>
    <row r="100">
      <c r="A100" s="1">
        <f>IFERROR(__xludf.DUMMYFUNCTION("""COMPUTED_VALUE"""),99.0)</f>
        <v>99</v>
      </c>
      <c r="B100" s="1">
        <f>IFERROR(__xludf.DUMMYFUNCTION("""COMPUTED_VALUE"""),6038.0)</f>
        <v>6038</v>
      </c>
      <c r="C100" s="2" t="str">
        <f>IFERROR(__xludf.DUMMYFUNCTION("""COMPUTED_VALUE"""),"IQBAL3")</f>
        <v>IQBAL3</v>
      </c>
      <c r="D100" s="2" t="str">
        <f>IFERROR(__xludf.DUMMYFUNCTION("""COMPUTED_VALUE"""),"5KM OVERALL M")</f>
        <v>5KM OVERALL M</v>
      </c>
      <c r="E100" s="1">
        <f>IFERROR(__xludf.DUMMYFUNCTION("""COMPUTED_VALUE"""),67.0)</f>
        <v>67</v>
      </c>
      <c r="F100" s="1" t="str">
        <f>IFERROR(__xludf.DUMMYFUNCTION("""COMPUTED_VALUE"""),"Male")</f>
        <v>Male</v>
      </c>
      <c r="G100" s="5">
        <f>IFERROR(__xludf.DUMMYFUNCTION("""COMPUTED_VALUE"""),0.0038878912037037033)</f>
        <v>0.003887891204</v>
      </c>
      <c r="H100" s="15">
        <f>IFERROR(__xludf.DUMMYFUNCTION("""COMPUTED_VALUE"""),0.2549440625)</f>
        <v>0.2549440625</v>
      </c>
      <c r="I100" s="15">
        <f>IFERROR(__xludf.DUMMYFUNCTION("""COMPUTED_VALUE"""),45949.274383522854)</f>
        <v>45949.27438</v>
      </c>
      <c r="J100" s="15">
        <f>IFERROR(__xludf.DUMMYFUNCTION("""COMPUTED_VALUE"""),45949.01943946035)</f>
        <v>45949.01944</v>
      </c>
      <c r="K100" s="15">
        <f>IFERROR(__xludf.DUMMYFUNCTION("""COMPUTED_VALUE"""),45949.265613545744)</f>
        <v>45949.26561</v>
      </c>
      <c r="L100" s="4"/>
    </row>
    <row r="101">
      <c r="A101" s="1">
        <f>IFERROR(__xludf.DUMMYFUNCTION("""COMPUTED_VALUE"""),100.0)</f>
        <v>100</v>
      </c>
      <c r="B101" s="7" t="str">
        <f>IFERROR(__xludf.DUMMYFUNCTION("""COMPUTED_VALUE"""),"9053")</f>
        <v>9053</v>
      </c>
      <c r="C101" s="8" t="str">
        <f>IFERROR(__xludf.DUMMYFUNCTION("""COMPUTED_VALUE"""),"Lucky")</f>
        <v>Lucky</v>
      </c>
      <c r="D101" s="2" t="str">
        <f>IFERROR(__xludf.DUMMYFUNCTION("""COMPUTED_VALUE"""),"5KM STUDENT M")</f>
        <v>5KM STUDENT M</v>
      </c>
      <c r="E101" s="1">
        <f>IFERROR(__xludf.DUMMYFUNCTION("""COMPUTED_VALUE"""),14.0)</f>
        <v>14</v>
      </c>
      <c r="F101" s="1" t="str">
        <f>IFERROR(__xludf.DUMMYFUNCTION("""COMPUTED_VALUE"""),"Male")</f>
        <v>Male</v>
      </c>
      <c r="G101" s="5">
        <f>IFERROR(__xludf.DUMMYFUNCTION("""COMPUTED_VALUE"""),0.003889280092592593)</f>
        <v>0.003889280093</v>
      </c>
      <c r="H101" s="15">
        <f>IFERROR(__xludf.DUMMYFUNCTION("""COMPUTED_VALUE"""),0.2549440625)</f>
        <v>0.2549440625</v>
      </c>
      <c r="I101" s="15">
        <f>IFERROR(__xludf.DUMMYFUNCTION("""COMPUTED_VALUE"""),45949.274390468534)</f>
        <v>45949.27439</v>
      </c>
      <c r="J101" s="15">
        <f>IFERROR(__xludf.DUMMYFUNCTION("""COMPUTED_VALUE"""),45949.01944640603)</f>
        <v>45949.01945</v>
      </c>
      <c r="K101" s="15">
        <f>IFERROR(__xludf.DUMMYFUNCTION("""COMPUTED_VALUE"""),45949.26646077087)</f>
        <v>45949.26646</v>
      </c>
      <c r="L101" s="4"/>
    </row>
    <row r="102">
      <c r="A102" s="1">
        <f>IFERROR(__xludf.DUMMYFUNCTION("""COMPUTED_VALUE"""),101.0)</f>
        <v>101</v>
      </c>
      <c r="B102" s="1">
        <f>IFERROR(__xludf.DUMMYFUNCTION("""COMPUTED_VALUE"""),5691.0)</f>
        <v>5691</v>
      </c>
      <c r="C102" s="2" t="str">
        <f>IFERROR(__xludf.DUMMYFUNCTION("""COMPUTED_VALUE"""),"weppo")</f>
        <v>weppo</v>
      </c>
      <c r="D102" s="2" t="str">
        <f>IFERROR(__xludf.DUMMYFUNCTION("""COMPUTED_VALUE"""),"5KM OVERALL M")</f>
        <v>5KM OVERALL M</v>
      </c>
      <c r="E102" s="1">
        <f>IFERROR(__xludf.DUMMYFUNCTION("""COMPUTED_VALUE"""),68.0)</f>
        <v>68</v>
      </c>
      <c r="F102" s="1" t="str">
        <f>IFERROR(__xludf.DUMMYFUNCTION("""COMPUTED_VALUE"""),"Male")</f>
        <v>Male</v>
      </c>
      <c r="G102" s="5">
        <f>IFERROR(__xludf.DUMMYFUNCTION("""COMPUTED_VALUE"""),0.003889284722222222)</f>
        <v>0.003889284722</v>
      </c>
      <c r="H102" s="15">
        <f>IFERROR(__xludf.DUMMYFUNCTION("""COMPUTED_VALUE"""),0.2549440625)</f>
        <v>0.2549440625</v>
      </c>
      <c r="I102" s="15">
        <f>IFERROR(__xludf.DUMMYFUNCTION("""COMPUTED_VALUE"""),45949.274390491795)</f>
        <v>45949.27439</v>
      </c>
      <c r="J102" s="15">
        <f>IFERROR(__xludf.DUMMYFUNCTION("""COMPUTED_VALUE"""),45949.019446429294)</f>
        <v>45949.01945</v>
      </c>
      <c r="K102" s="15">
        <f>IFERROR(__xludf.DUMMYFUNCTION("""COMPUTED_VALUE"""),45949.266547579784)</f>
        <v>45949.26655</v>
      </c>
      <c r="L102" s="4"/>
    </row>
    <row r="103">
      <c r="A103" s="1">
        <f>IFERROR(__xludf.DUMMYFUNCTION("""COMPUTED_VALUE"""),102.0)</f>
        <v>102</v>
      </c>
      <c r="B103" s="1">
        <f>IFERROR(__xludf.DUMMYFUNCTION("""COMPUTED_VALUE"""),5719.0)</f>
        <v>5719</v>
      </c>
      <c r="C103" s="2" t="str">
        <f>IFERROR(__xludf.DUMMYFUNCTION("""COMPUTED_VALUE"""),"Muhammad Rudi Yurianto")</f>
        <v>Muhammad Rudi Yurianto</v>
      </c>
      <c r="D103" s="2" t="str">
        <f>IFERROR(__xludf.DUMMYFUNCTION("""COMPUTED_VALUE"""),"5KM OVERALL M")</f>
        <v>5KM OVERALL M</v>
      </c>
      <c r="E103" s="1">
        <f>IFERROR(__xludf.DUMMYFUNCTION("""COMPUTED_VALUE"""),69.0)</f>
        <v>69</v>
      </c>
      <c r="F103" s="1" t="str">
        <f>IFERROR(__xludf.DUMMYFUNCTION("""COMPUTED_VALUE"""),"Male")</f>
        <v>Male</v>
      </c>
      <c r="G103" s="5">
        <f>IFERROR(__xludf.DUMMYFUNCTION("""COMPUTED_VALUE"""),0.003889287037037037)</f>
        <v>0.003889287037</v>
      </c>
      <c r="H103" s="15">
        <f>IFERROR(__xludf.DUMMYFUNCTION("""COMPUTED_VALUE"""),0.2549440625)</f>
        <v>0.2549440625</v>
      </c>
      <c r="I103" s="15">
        <f>IFERROR(__xludf.DUMMYFUNCTION("""COMPUTED_VALUE"""),45949.27439050337)</f>
        <v>45949.27439</v>
      </c>
      <c r="J103" s="15">
        <f>IFERROR(__xludf.DUMMYFUNCTION("""COMPUTED_VALUE"""),45949.01944644087)</f>
        <v>45949.01945</v>
      </c>
      <c r="K103" s="15">
        <f>IFERROR(__xludf.DUMMYFUNCTION("""COMPUTED_VALUE"""),45949.26576973954)</f>
        <v>45949.26577</v>
      </c>
      <c r="L103" s="4"/>
    </row>
    <row r="104">
      <c r="A104" s="1">
        <f>IFERROR(__xludf.DUMMYFUNCTION("""COMPUTED_VALUE"""),103.0)</f>
        <v>103</v>
      </c>
      <c r="B104" s="1">
        <f>IFERROR(__xludf.DUMMYFUNCTION("""COMPUTED_VALUE"""),6433.0)</f>
        <v>6433</v>
      </c>
      <c r="C104" s="2" t="str">
        <f>IFERROR(__xludf.DUMMYFUNCTION("""COMPUTED_VALUE"""),"WILDAN")</f>
        <v>WILDAN</v>
      </c>
      <c r="D104" s="2" t="str">
        <f>IFERROR(__xludf.DUMMYFUNCTION("""COMPUTED_VALUE"""),"5KM OVERALL M")</f>
        <v>5KM OVERALL M</v>
      </c>
      <c r="E104" s="1">
        <f>IFERROR(__xludf.DUMMYFUNCTION("""COMPUTED_VALUE"""),70.0)</f>
        <v>70</v>
      </c>
      <c r="F104" s="1" t="str">
        <f>IFERROR(__xludf.DUMMYFUNCTION("""COMPUTED_VALUE"""),"Male")</f>
        <v>Male</v>
      </c>
      <c r="G104" s="5">
        <f>IFERROR(__xludf.DUMMYFUNCTION("""COMPUTED_VALUE"""),0.003896222222222222)</f>
        <v>0.003896222222</v>
      </c>
      <c r="H104" s="15">
        <f>IFERROR(__xludf.DUMMYFUNCTION("""COMPUTED_VALUE"""),0.2549440625)</f>
        <v>0.2549440625</v>
      </c>
      <c r="I104" s="15">
        <f>IFERROR(__xludf.DUMMYFUNCTION("""COMPUTED_VALUE"""),45949.27442517937)</f>
        <v>45949.27443</v>
      </c>
      <c r="J104" s="15">
        <f>IFERROR(__xludf.DUMMYFUNCTION("""COMPUTED_VALUE"""),45949.01948111687)</f>
        <v>45949.01948</v>
      </c>
      <c r="K104" s="15">
        <f>IFERROR(__xludf.DUMMYFUNCTION("""COMPUTED_VALUE"""),45949.26573156113)</f>
        <v>45949.26573</v>
      </c>
      <c r="L104" s="4"/>
    </row>
    <row r="105">
      <c r="A105" s="1">
        <f>IFERROR(__xludf.DUMMYFUNCTION("""COMPUTED_VALUE"""),104.0)</f>
        <v>104</v>
      </c>
      <c r="B105" s="1">
        <f>IFERROR(__xludf.DUMMYFUNCTION("""COMPUTED_VALUE"""),6161.0)</f>
        <v>6161</v>
      </c>
      <c r="C105" s="2" t="str">
        <f>IFERROR(__xludf.DUMMYFUNCTION("""COMPUTED_VALUE"""),"EVA KARINA")</f>
        <v>EVA KARINA</v>
      </c>
      <c r="D105" s="2" t="str">
        <f>IFERROR(__xludf.DUMMYFUNCTION("""COMPUTED_VALUE"""),"5KM OVERALL F")</f>
        <v>5KM OVERALL F</v>
      </c>
      <c r="E105" s="1">
        <f>IFERROR(__xludf.DUMMYFUNCTION("""COMPUTED_VALUE"""),7.0)</f>
        <v>7</v>
      </c>
      <c r="F105" s="1" t="str">
        <f>IFERROR(__xludf.DUMMYFUNCTION("""COMPUTED_VALUE"""),"Female")</f>
        <v>Female</v>
      </c>
      <c r="G105" s="5">
        <f>IFERROR(__xludf.DUMMYFUNCTION("""COMPUTED_VALUE"""),0.0038983078703703706)</f>
        <v>0.00389830787</v>
      </c>
      <c r="H105" s="15">
        <f>IFERROR(__xludf.DUMMYFUNCTION("""COMPUTED_VALUE"""),0.2549440625)</f>
        <v>0.2549440625</v>
      </c>
      <c r="I105" s="15">
        <f>IFERROR(__xludf.DUMMYFUNCTION("""COMPUTED_VALUE"""),45949.27443559863)</f>
        <v>45949.27444</v>
      </c>
      <c r="J105" s="15">
        <f>IFERROR(__xludf.DUMMYFUNCTION("""COMPUTED_VALUE"""),45949.01949153613)</f>
        <v>45949.01949</v>
      </c>
      <c r="K105" s="15">
        <f>IFERROR(__xludf.DUMMYFUNCTION("""COMPUTED_VALUE"""),45949.26526620371)</f>
        <v>45949.26527</v>
      </c>
      <c r="L105" s="4"/>
    </row>
    <row r="106">
      <c r="A106" s="1">
        <f>IFERROR(__xludf.DUMMYFUNCTION("""COMPUTED_VALUE"""),105.0)</f>
        <v>105</v>
      </c>
      <c r="B106" s="1">
        <f>IFERROR(__xludf.DUMMYFUNCTION("""COMPUTED_VALUE"""),5914.0)</f>
        <v>5914</v>
      </c>
      <c r="C106" s="2" t="str">
        <f>IFERROR(__xludf.DUMMYFUNCTION("""COMPUTED_VALUE"""),"Paijo")</f>
        <v>Paijo</v>
      </c>
      <c r="D106" s="2" t="str">
        <f>IFERROR(__xludf.DUMMYFUNCTION("""COMPUTED_VALUE"""),"5KM OVERALL M")</f>
        <v>5KM OVERALL M</v>
      </c>
      <c r="E106" s="1">
        <f>IFERROR(__xludf.DUMMYFUNCTION("""COMPUTED_VALUE"""),71.0)</f>
        <v>71</v>
      </c>
      <c r="F106" s="1" t="str">
        <f>IFERROR(__xludf.DUMMYFUNCTION("""COMPUTED_VALUE"""),"Male")</f>
        <v>Male</v>
      </c>
      <c r="G106" s="5">
        <f>IFERROR(__xludf.DUMMYFUNCTION("""COMPUTED_VALUE"""),0.0038996944444444443)</f>
        <v>0.003899694444</v>
      </c>
      <c r="H106" s="15">
        <f>IFERROR(__xludf.DUMMYFUNCTION("""COMPUTED_VALUE"""),0.2549440625)</f>
        <v>0.2549440625</v>
      </c>
      <c r="I106" s="15">
        <f>IFERROR(__xludf.DUMMYFUNCTION("""COMPUTED_VALUE"""),45949.27444253024)</f>
        <v>45949.27444</v>
      </c>
      <c r="J106" s="15">
        <f>IFERROR(__xludf.DUMMYFUNCTION("""COMPUTED_VALUE"""),45949.01949846774)</f>
        <v>45949.0195</v>
      </c>
      <c r="K106" s="15">
        <f>IFERROR(__xludf.DUMMYFUNCTION("""COMPUTED_VALUE"""),45949.26596072723)</f>
        <v>45949.26596</v>
      </c>
      <c r="L106" s="4"/>
    </row>
    <row r="107">
      <c r="A107" s="1">
        <f>IFERROR(__xludf.DUMMYFUNCTION("""COMPUTED_VALUE"""),106.0)</f>
        <v>106</v>
      </c>
      <c r="B107" s="1">
        <f>IFERROR(__xludf.DUMMYFUNCTION("""COMPUTED_VALUE"""),7097.0)</f>
        <v>7097</v>
      </c>
      <c r="C107" s="2" t="str">
        <f>IFERROR(__xludf.DUMMYFUNCTION("""COMPUTED_VALUE"""),"RIFKI")</f>
        <v>RIFKI</v>
      </c>
      <c r="D107" s="2" t="str">
        <f>IFERROR(__xludf.DUMMYFUNCTION("""COMPUTED_VALUE"""),"5KM MASTER M")</f>
        <v>5KM MASTER M</v>
      </c>
      <c r="E107" s="1">
        <f>IFERROR(__xludf.DUMMYFUNCTION("""COMPUTED_VALUE"""),10.0)</f>
        <v>10</v>
      </c>
      <c r="F107" s="1" t="str">
        <f>IFERROR(__xludf.DUMMYFUNCTION("""COMPUTED_VALUE"""),"Male")</f>
        <v>Male</v>
      </c>
      <c r="G107" s="5">
        <f>IFERROR(__xludf.DUMMYFUNCTION("""COMPUTED_VALUE"""),0.00390525)</f>
        <v>0.00390525</v>
      </c>
      <c r="H107" s="15">
        <f>IFERROR(__xludf.DUMMYFUNCTION("""COMPUTED_VALUE"""),0.2549440625)</f>
        <v>0.2549440625</v>
      </c>
      <c r="I107" s="15">
        <f>IFERROR(__xludf.DUMMYFUNCTION("""COMPUTED_VALUE"""),45949.27447031776)</f>
        <v>45949.27447</v>
      </c>
      <c r="J107" s="15">
        <f>IFERROR(__xludf.DUMMYFUNCTION("""COMPUTED_VALUE"""),45949.01952625526)</f>
        <v>45949.01953</v>
      </c>
      <c r="K107" s="15">
        <f>IFERROR(__xludf.DUMMYFUNCTION("""COMPUTED_VALUE"""),45949.2657663275)</f>
        <v>45949.26577</v>
      </c>
      <c r="L107" s="4"/>
    </row>
    <row r="108">
      <c r="A108" s="1">
        <f>IFERROR(__xludf.DUMMYFUNCTION("""COMPUTED_VALUE"""),107.0)</f>
        <v>107</v>
      </c>
      <c r="B108" s="1">
        <f>IFERROR(__xludf.DUMMYFUNCTION("""COMPUTED_VALUE"""),5906.0)</f>
        <v>5906</v>
      </c>
      <c r="C108" s="2" t="str">
        <f>IFERROR(__xludf.DUMMYFUNCTION("""COMPUTED_VALUE"""),"Kholidi")</f>
        <v>Kholidi</v>
      </c>
      <c r="D108" s="2" t="str">
        <f>IFERROR(__xludf.DUMMYFUNCTION("""COMPUTED_VALUE"""),"5KM OVERALL M")</f>
        <v>5KM OVERALL M</v>
      </c>
      <c r="E108" s="1">
        <f>IFERROR(__xludf.DUMMYFUNCTION("""COMPUTED_VALUE"""),72.0)</f>
        <v>72</v>
      </c>
      <c r="F108" s="1" t="str">
        <f>IFERROR(__xludf.DUMMYFUNCTION("""COMPUTED_VALUE"""),"Male")</f>
        <v>Male</v>
      </c>
      <c r="G108" s="5">
        <f>IFERROR(__xludf.DUMMYFUNCTION("""COMPUTED_VALUE"""),0.003918583333333333)</f>
        <v>0.003918583333</v>
      </c>
      <c r="H108" s="15">
        <f>IFERROR(__xludf.DUMMYFUNCTION("""COMPUTED_VALUE"""),0.2549440625)</f>
        <v>0.2549440625</v>
      </c>
      <c r="I108" s="15">
        <f>IFERROR(__xludf.DUMMYFUNCTION("""COMPUTED_VALUE"""),45949.27453697391)</f>
        <v>45949.27454</v>
      </c>
      <c r="J108" s="15">
        <f>IFERROR(__xludf.DUMMYFUNCTION("""COMPUTED_VALUE"""),45949.01959291141)</f>
        <v>45949.01959</v>
      </c>
      <c r="K108" s="15">
        <f>IFERROR(__xludf.DUMMYFUNCTION("""COMPUTED_VALUE"""),45949.266294086636)</f>
        <v>45949.26629</v>
      </c>
      <c r="L108" s="4"/>
    </row>
    <row r="109">
      <c r="A109" s="1">
        <f>IFERROR(__xludf.DUMMYFUNCTION("""COMPUTED_VALUE"""),108.0)</f>
        <v>108</v>
      </c>
      <c r="B109" s="1">
        <f>IFERROR(__xludf.DUMMYFUNCTION("""COMPUTED_VALUE"""),5597.0)</f>
        <v>5597</v>
      </c>
      <c r="C109" s="2" t="str">
        <f>IFERROR(__xludf.DUMMYFUNCTION("""COMPUTED_VALUE"""),"DNIK")</f>
        <v>DNIK</v>
      </c>
      <c r="D109" s="2" t="str">
        <f>IFERROR(__xludf.DUMMYFUNCTION("""COMPUTED_VALUE"""),"5KM OVERALL M")</f>
        <v>5KM OVERALL M</v>
      </c>
      <c r="E109" s="1">
        <f>IFERROR(__xludf.DUMMYFUNCTION("""COMPUTED_VALUE"""),73.0)</f>
        <v>73</v>
      </c>
      <c r="F109" s="1" t="str">
        <f>IFERROR(__xludf.DUMMYFUNCTION("""COMPUTED_VALUE"""),"Male")</f>
        <v>Male</v>
      </c>
      <c r="G109" s="5">
        <f>IFERROR(__xludf.DUMMYFUNCTION("""COMPUTED_VALUE"""),0.003928166666666667)</f>
        <v>0.003928166667</v>
      </c>
      <c r="H109" s="15">
        <f>IFERROR(__xludf.DUMMYFUNCTION("""COMPUTED_VALUE"""),0.2549440625)</f>
        <v>0.2549440625</v>
      </c>
      <c r="I109" s="15">
        <f>IFERROR(__xludf.DUMMYFUNCTION("""COMPUTED_VALUE"""),45949.27458489453)</f>
        <v>45949.27458</v>
      </c>
      <c r="J109" s="15">
        <f>IFERROR(__xludf.DUMMYFUNCTION("""COMPUTED_VALUE"""),45949.019640832026)</f>
        <v>45949.01964</v>
      </c>
      <c r="K109" s="15">
        <f>IFERROR(__xludf.DUMMYFUNCTION("""COMPUTED_VALUE"""),45949.266321839896)</f>
        <v>45949.26632</v>
      </c>
      <c r="L109" s="4"/>
    </row>
    <row r="110">
      <c r="A110" s="1">
        <f>IFERROR(__xludf.DUMMYFUNCTION("""COMPUTED_VALUE"""),109.0)</f>
        <v>109</v>
      </c>
      <c r="B110" s="1">
        <f>IFERROR(__xludf.DUMMYFUNCTION("""COMPUTED_VALUE"""),6418.0)</f>
        <v>6418</v>
      </c>
      <c r="C110" s="2" t="str">
        <f>IFERROR(__xludf.DUMMYFUNCTION("""COMPUTED_VALUE"""),"Rozie")</f>
        <v>Rozie</v>
      </c>
      <c r="D110" s="2" t="str">
        <f>IFERROR(__xludf.DUMMYFUNCTION("""COMPUTED_VALUE"""),"5KM OVERALL M")</f>
        <v>5KM OVERALL M</v>
      </c>
      <c r="E110" s="1">
        <f>IFERROR(__xludf.DUMMYFUNCTION("""COMPUTED_VALUE"""),74.0)</f>
        <v>74</v>
      </c>
      <c r="F110" s="1" t="str">
        <f>IFERROR(__xludf.DUMMYFUNCTION("""COMPUTED_VALUE"""),"Male")</f>
        <v>Male</v>
      </c>
      <c r="G110" s="5">
        <f>IFERROR(__xludf.DUMMYFUNCTION("""COMPUTED_VALUE"""),0.003950388888888889)</f>
        <v>0.003950388889</v>
      </c>
      <c r="H110" s="15">
        <f>IFERROR(__xludf.DUMMYFUNCTION("""COMPUTED_VALUE"""),0.2549440625)</f>
        <v>0.2549440625</v>
      </c>
      <c r="I110" s="15">
        <f>IFERROR(__xludf.DUMMYFUNCTION("""COMPUTED_VALUE"""),45949.274696005836)</f>
        <v>45949.2747</v>
      </c>
      <c r="J110" s="15">
        <f>IFERROR(__xludf.DUMMYFUNCTION("""COMPUTED_VALUE"""),45949.019751943335)</f>
        <v>45949.01975</v>
      </c>
      <c r="K110" s="15">
        <f>IFERROR(__xludf.DUMMYFUNCTION("""COMPUTED_VALUE"""),45949.26562396618)</f>
        <v>45949.26562</v>
      </c>
      <c r="L110" s="4"/>
    </row>
    <row r="111">
      <c r="A111" s="1">
        <f>IFERROR(__xludf.DUMMYFUNCTION("""COMPUTED_VALUE"""),110.0)</f>
        <v>110</v>
      </c>
      <c r="B111" s="7" t="str">
        <f>IFERROR(__xludf.DUMMYFUNCTION("""COMPUTED_VALUE"""),"9074")</f>
        <v>9074</v>
      </c>
      <c r="C111" s="8" t="str">
        <f>IFERROR(__xludf.DUMMYFUNCTION("""COMPUTED_VALUE"""),"WAPI")</f>
        <v>WAPI</v>
      </c>
      <c r="D111" s="2" t="str">
        <f>IFERROR(__xludf.DUMMYFUNCTION("""COMPUTED_VALUE"""),"5KM STUDENT M")</f>
        <v>5KM STUDENT M</v>
      </c>
      <c r="E111" s="1">
        <f>IFERROR(__xludf.DUMMYFUNCTION("""COMPUTED_VALUE"""),15.0)</f>
        <v>15</v>
      </c>
      <c r="F111" s="1" t="str">
        <f>IFERROR(__xludf.DUMMYFUNCTION("""COMPUTED_VALUE"""),"Male")</f>
        <v>Male</v>
      </c>
      <c r="G111" s="5">
        <f>IFERROR(__xludf.DUMMYFUNCTION("""COMPUTED_VALUE"""),0.003953861111111111)</f>
        <v>0.003953861111</v>
      </c>
      <c r="H111" s="15">
        <f>IFERROR(__xludf.DUMMYFUNCTION("""COMPUTED_VALUE"""),0.2549440625)</f>
        <v>0.2549440625</v>
      </c>
      <c r="I111" s="15">
        <f>IFERROR(__xludf.DUMMYFUNCTION("""COMPUTED_VALUE"""),45949.27471336774)</f>
        <v>45949.27471</v>
      </c>
      <c r="J111" s="15">
        <f>IFERROR(__xludf.DUMMYFUNCTION("""COMPUTED_VALUE"""),45949.01976930524)</f>
        <v>45949.01977</v>
      </c>
      <c r="K111" s="15">
        <f>IFERROR(__xludf.DUMMYFUNCTION("""COMPUTED_VALUE"""),45950.266805555555)</f>
        <v>45950.26681</v>
      </c>
      <c r="L111" s="4" t="str">
        <f>IFERROR(__xludf.DUMMYFUNCTION("""COMPUTED_VALUE"""),"C")</f>
        <v>C</v>
      </c>
    </row>
    <row r="112">
      <c r="A112" s="1">
        <f>IFERROR(__xludf.DUMMYFUNCTION("""COMPUTED_VALUE"""),111.0)</f>
        <v>111</v>
      </c>
      <c r="B112" s="1">
        <f>IFERROR(__xludf.DUMMYFUNCTION("""COMPUTED_VALUE"""),6568.0)</f>
        <v>6568</v>
      </c>
      <c r="C112" s="2" t="str">
        <f>IFERROR(__xludf.DUMMYFUNCTION("""COMPUTED_VALUE"""),"Ganda Imanda")</f>
        <v>Ganda Imanda</v>
      </c>
      <c r="D112" s="2" t="str">
        <f>IFERROR(__xludf.DUMMYFUNCTION("""COMPUTED_VALUE"""),"5KM OVERALL M")</f>
        <v>5KM OVERALL M</v>
      </c>
      <c r="E112" s="1">
        <f>IFERROR(__xludf.DUMMYFUNCTION("""COMPUTED_VALUE"""),75.0)</f>
        <v>75</v>
      </c>
      <c r="F112" s="1" t="str">
        <f>IFERROR(__xludf.DUMMYFUNCTION("""COMPUTED_VALUE"""),"Male")</f>
        <v>Male</v>
      </c>
      <c r="G112" s="5">
        <f>IFERROR(__xludf.DUMMYFUNCTION("""COMPUTED_VALUE"""),0.003961502314814814)</f>
        <v>0.003961502315</v>
      </c>
      <c r="H112" s="15">
        <f>IFERROR(__xludf.DUMMYFUNCTION("""COMPUTED_VALUE"""),0.2549440625)</f>
        <v>0.2549440625</v>
      </c>
      <c r="I112" s="15">
        <f>IFERROR(__xludf.DUMMYFUNCTION("""COMPUTED_VALUE"""),45949.274751579294)</f>
        <v>45949.27475</v>
      </c>
      <c r="J112" s="15">
        <f>IFERROR(__xludf.DUMMYFUNCTION("""COMPUTED_VALUE"""),45949.019807516794)</f>
        <v>45949.01981</v>
      </c>
      <c r="K112" s="15">
        <f>IFERROR(__xludf.DUMMYFUNCTION("""COMPUTED_VALUE"""),45949.266606558)</f>
        <v>45949.26661</v>
      </c>
      <c r="L112" s="4"/>
    </row>
    <row r="113">
      <c r="A113" s="1">
        <f>IFERROR(__xludf.DUMMYFUNCTION("""COMPUTED_VALUE"""),112.0)</f>
        <v>112</v>
      </c>
      <c r="B113" s="7" t="str">
        <f>IFERROR(__xludf.DUMMYFUNCTION("""COMPUTED_VALUE"""),"9038")</f>
        <v>9038</v>
      </c>
      <c r="C113" s="8" t="str">
        <f>IFERROR(__xludf.DUMMYFUNCTION("""COMPUTED_VALUE"""),"Ghaisan")</f>
        <v>Ghaisan</v>
      </c>
      <c r="D113" s="2" t="str">
        <f>IFERROR(__xludf.DUMMYFUNCTION("""COMPUTED_VALUE"""),"5KM STUDENT M")</f>
        <v>5KM STUDENT M</v>
      </c>
      <c r="E113" s="1">
        <f>IFERROR(__xludf.DUMMYFUNCTION("""COMPUTED_VALUE"""),16.0)</f>
        <v>16</v>
      </c>
      <c r="F113" s="1" t="str">
        <f>IFERROR(__xludf.DUMMYFUNCTION("""COMPUTED_VALUE"""),"Male")</f>
        <v>Male</v>
      </c>
      <c r="G113" s="5">
        <f>IFERROR(__xludf.DUMMYFUNCTION("""COMPUTED_VALUE"""),0.003966363425925926)</f>
        <v>0.003966363426</v>
      </c>
      <c r="H113" s="15">
        <f>IFERROR(__xludf.DUMMYFUNCTION("""COMPUTED_VALUE"""),0.2549440625)</f>
        <v>0.2549440625</v>
      </c>
      <c r="I113" s="15">
        <f>IFERROR(__xludf.DUMMYFUNCTION("""COMPUTED_VALUE"""),45949.274775878715)</f>
        <v>45949.27478</v>
      </c>
      <c r="J113" s="15">
        <f>IFERROR(__xludf.DUMMYFUNCTION("""COMPUTED_VALUE"""),45949.019831816215)</f>
        <v>45949.01983</v>
      </c>
      <c r="K113" s="15">
        <f>IFERROR(__xludf.DUMMYFUNCTION("""COMPUTED_VALUE"""),45949.26737044926)</f>
        <v>45949.26737</v>
      </c>
      <c r="L113" s="4"/>
    </row>
    <row r="114">
      <c r="A114" s="1">
        <f>IFERROR(__xludf.DUMMYFUNCTION("""COMPUTED_VALUE"""),113.0)</f>
        <v>113</v>
      </c>
      <c r="B114" s="1">
        <f>IFERROR(__xludf.DUMMYFUNCTION("""COMPUTED_VALUE"""),7060.0)</f>
        <v>7060</v>
      </c>
      <c r="C114" s="2" t="str">
        <f>IFERROR(__xludf.DUMMYFUNCTION("""COMPUTED_VALUE"""),"pelari anomali")</f>
        <v>pelari anomali</v>
      </c>
      <c r="D114" s="2" t="str">
        <f>IFERROR(__xludf.DUMMYFUNCTION("""COMPUTED_VALUE"""),"5KM MASTER M")</f>
        <v>5KM MASTER M</v>
      </c>
      <c r="E114" s="1">
        <f>IFERROR(__xludf.DUMMYFUNCTION("""COMPUTED_VALUE"""),11.0)</f>
        <v>11</v>
      </c>
      <c r="F114" s="1" t="str">
        <f>IFERROR(__xludf.DUMMYFUNCTION("""COMPUTED_VALUE"""),"Male")</f>
        <v>Male</v>
      </c>
      <c r="G114" s="5">
        <f>IFERROR(__xludf.DUMMYFUNCTION("""COMPUTED_VALUE"""),0.003969833333333334)</f>
        <v>0.003969833333</v>
      </c>
      <c r="H114" s="15">
        <f>IFERROR(__xludf.DUMMYFUNCTION("""COMPUTED_VALUE"""),0.2549440625)</f>
        <v>0.2549440625</v>
      </c>
      <c r="I114" s="15">
        <f>IFERROR(__xludf.DUMMYFUNCTION("""COMPUTED_VALUE"""),45949.27479322752)</f>
        <v>45949.27479</v>
      </c>
      <c r="J114" s="15">
        <f>IFERROR(__xludf.DUMMYFUNCTION("""COMPUTED_VALUE"""),45949.01984916502)</f>
        <v>45949.01985</v>
      </c>
      <c r="K114" s="15">
        <f>IFERROR(__xludf.DUMMYFUNCTION("""COMPUTED_VALUE"""),45949.26582187873)</f>
        <v>45949.26582</v>
      </c>
      <c r="L114" s="4"/>
    </row>
    <row r="115">
      <c r="A115" s="1">
        <f>IFERROR(__xludf.DUMMYFUNCTION("""COMPUTED_VALUE"""),114.0)</f>
        <v>114</v>
      </c>
      <c r="B115" s="1">
        <f>IFERROR(__xludf.DUMMYFUNCTION("""COMPUTED_VALUE"""),5732.0)</f>
        <v>5732</v>
      </c>
      <c r="C115" s="2" t="str">
        <f>IFERROR(__xludf.DUMMYFUNCTION("""COMPUTED_VALUE"""),"Anto")</f>
        <v>Anto</v>
      </c>
      <c r="D115" s="2" t="str">
        <f>IFERROR(__xludf.DUMMYFUNCTION("""COMPUTED_VALUE"""),"5KM OVERALL M")</f>
        <v>5KM OVERALL M</v>
      </c>
      <c r="E115" s="1">
        <f>IFERROR(__xludf.DUMMYFUNCTION("""COMPUTED_VALUE"""),76.0)</f>
        <v>76</v>
      </c>
      <c r="F115" s="1" t="str">
        <f>IFERROR(__xludf.DUMMYFUNCTION("""COMPUTED_VALUE"""),"Male")</f>
        <v>Male</v>
      </c>
      <c r="G115" s="5">
        <f>IFERROR(__xludf.DUMMYFUNCTION("""COMPUTED_VALUE"""),0.003977462962962962)</f>
        <v>0.003977462963</v>
      </c>
      <c r="H115" s="15">
        <f>IFERROR(__xludf.DUMMYFUNCTION("""COMPUTED_VALUE"""),0.2549440625)</f>
        <v>0.2549440625</v>
      </c>
      <c r="I115" s="15">
        <f>IFERROR(__xludf.DUMMYFUNCTION("""COMPUTED_VALUE"""),45949.27483137164)</f>
        <v>45949.27483</v>
      </c>
      <c r="J115" s="15">
        <f>IFERROR(__xludf.DUMMYFUNCTION("""COMPUTED_VALUE"""),45949.019887309136)</f>
        <v>45949.01989</v>
      </c>
      <c r="K115" s="15">
        <f>IFERROR(__xludf.DUMMYFUNCTION("""COMPUTED_VALUE"""),45949.26572114123)</f>
        <v>45949.26572</v>
      </c>
      <c r="L115" s="4"/>
    </row>
    <row r="116">
      <c r="A116" s="1">
        <f>IFERROR(__xludf.DUMMYFUNCTION("""COMPUTED_VALUE"""),115.0)</f>
        <v>115</v>
      </c>
      <c r="B116" s="1">
        <f>IFERROR(__xludf.DUMMYFUNCTION("""COMPUTED_VALUE"""),5849.0)</f>
        <v>5849</v>
      </c>
      <c r="C116" s="2" t="str">
        <f>IFERROR(__xludf.DUMMYFUNCTION("""COMPUTED_VALUE"""),"Dian Cahyo")</f>
        <v>Dian Cahyo</v>
      </c>
      <c r="D116" s="2" t="str">
        <f>IFERROR(__xludf.DUMMYFUNCTION("""COMPUTED_VALUE"""),"5KM OVERALL M")</f>
        <v>5KM OVERALL M</v>
      </c>
      <c r="E116" s="1">
        <f>IFERROR(__xludf.DUMMYFUNCTION("""COMPUTED_VALUE"""),77.0)</f>
        <v>77</v>
      </c>
      <c r="F116" s="1" t="str">
        <f>IFERROR(__xludf.DUMMYFUNCTION("""COMPUTED_VALUE"""),"Male")</f>
        <v>Male</v>
      </c>
      <c r="G116" s="5">
        <f>IFERROR(__xludf.DUMMYFUNCTION("""COMPUTED_VALUE"""),0.003985805555555556)</f>
        <v>0.003985805556</v>
      </c>
      <c r="H116" s="15">
        <f>IFERROR(__xludf.DUMMYFUNCTION("""COMPUTED_VALUE"""),0.2549440625)</f>
        <v>0.2549440625</v>
      </c>
      <c r="I116" s="15">
        <f>IFERROR(__xludf.DUMMYFUNCTION("""COMPUTED_VALUE"""),45949.274873088194)</f>
        <v>45949.27487</v>
      </c>
      <c r="J116" s="15">
        <f>IFERROR(__xludf.DUMMYFUNCTION("""COMPUTED_VALUE"""),45949.01992902569)</f>
        <v>45949.01993</v>
      </c>
      <c r="K116" s="15">
        <f>IFERROR(__xludf.DUMMYFUNCTION("""COMPUTED_VALUE"""),45949.26597112814)</f>
        <v>45949.26597</v>
      </c>
      <c r="L116" s="4"/>
    </row>
    <row r="117">
      <c r="A117" s="1">
        <f>IFERROR(__xludf.DUMMYFUNCTION("""COMPUTED_VALUE"""),116.0)</f>
        <v>116</v>
      </c>
      <c r="B117" s="1">
        <f>IFERROR(__xludf.DUMMYFUNCTION("""COMPUTED_VALUE"""),7023.0)</f>
        <v>7023</v>
      </c>
      <c r="C117" s="2" t="str">
        <f>IFERROR(__xludf.DUMMYFUNCTION("""COMPUTED_VALUE"""),"untung")</f>
        <v>untung</v>
      </c>
      <c r="D117" s="2" t="str">
        <f>IFERROR(__xludf.DUMMYFUNCTION("""COMPUTED_VALUE"""),"5KM MASTER M")</f>
        <v>5KM MASTER M</v>
      </c>
      <c r="E117" s="1">
        <f>IFERROR(__xludf.DUMMYFUNCTION("""COMPUTED_VALUE"""),12.0)</f>
        <v>12</v>
      </c>
      <c r="F117" s="1" t="str">
        <f>IFERROR(__xludf.DUMMYFUNCTION("""COMPUTED_VALUE"""),"Male")</f>
        <v>Male</v>
      </c>
      <c r="G117" s="5">
        <f>IFERROR(__xludf.DUMMYFUNCTION("""COMPUTED_VALUE"""),0.003989277777777777)</f>
        <v>0.003989277778</v>
      </c>
      <c r="H117" s="15">
        <f>IFERROR(__xludf.DUMMYFUNCTION("""COMPUTED_VALUE"""),0.2549440625)</f>
        <v>0.2549440625</v>
      </c>
      <c r="I117" s="15">
        <f>IFERROR(__xludf.DUMMYFUNCTION("""COMPUTED_VALUE"""),45949.274890446664)</f>
        <v>45949.27489</v>
      </c>
      <c r="J117" s="15">
        <f>IFERROR(__xludf.DUMMYFUNCTION("""COMPUTED_VALUE"""),45949.01994638416)</f>
        <v>45949.01995</v>
      </c>
      <c r="K117" s="15">
        <f>IFERROR(__xludf.DUMMYFUNCTION("""COMPUTED_VALUE"""),45949.26617600125)</f>
        <v>45949.26618</v>
      </c>
      <c r="L117" s="4"/>
    </row>
    <row r="118">
      <c r="A118" s="1">
        <f>IFERROR(__xludf.DUMMYFUNCTION("""COMPUTED_VALUE"""),117.0)</f>
        <v>117</v>
      </c>
      <c r="B118" s="1">
        <f>IFERROR(__xludf.DUMMYFUNCTION("""COMPUTED_VALUE"""),6037.0)</f>
        <v>6037</v>
      </c>
      <c r="C118" s="2" t="str">
        <f>IFERROR(__xludf.DUMMYFUNCTION("""COMPUTED_VALUE"""),"Andra")</f>
        <v>Andra</v>
      </c>
      <c r="D118" s="2" t="str">
        <f>IFERROR(__xludf.DUMMYFUNCTION("""COMPUTED_VALUE"""),"5KM OVERALL M")</f>
        <v>5KM OVERALL M</v>
      </c>
      <c r="E118" s="1">
        <f>IFERROR(__xludf.DUMMYFUNCTION("""COMPUTED_VALUE"""),78.0)</f>
        <v>78</v>
      </c>
      <c r="F118" s="1" t="str">
        <f>IFERROR(__xludf.DUMMYFUNCTION("""COMPUTED_VALUE"""),"Male")</f>
        <v>Male</v>
      </c>
      <c r="G118" s="5">
        <f>IFERROR(__xludf.DUMMYFUNCTION("""COMPUTED_VALUE"""),0.003992763888888889)</f>
        <v>0.003992763889</v>
      </c>
      <c r="H118" s="15">
        <f>IFERROR(__xludf.DUMMYFUNCTION("""COMPUTED_VALUE"""),0.2549440625)</f>
        <v>0.2549440625</v>
      </c>
      <c r="I118" s="15">
        <f>IFERROR(__xludf.DUMMYFUNCTION("""COMPUTED_VALUE"""),45949.27490788155)</f>
        <v>45949.27491</v>
      </c>
      <c r="J118" s="15">
        <f>IFERROR(__xludf.DUMMYFUNCTION("""COMPUTED_VALUE"""),45949.019963819046)</f>
        <v>45949.01996</v>
      </c>
      <c r="K118" s="15">
        <f>IFERROR(__xludf.DUMMYFUNCTION("""COMPUTED_VALUE"""),45949.26591213525)</f>
        <v>45949.26591</v>
      </c>
      <c r="L118" s="4"/>
    </row>
    <row r="119">
      <c r="A119" s="1">
        <f>IFERROR(__xludf.DUMMYFUNCTION("""COMPUTED_VALUE"""),118.0)</f>
        <v>118</v>
      </c>
      <c r="B119" s="1">
        <f>IFERROR(__xludf.DUMMYFUNCTION("""COMPUTED_VALUE"""),6138.0)</f>
        <v>6138</v>
      </c>
      <c r="C119" s="2" t="str">
        <f>IFERROR(__xludf.DUMMYFUNCTION("""COMPUTED_VALUE"""),"M.A.R")</f>
        <v>M.A.R</v>
      </c>
      <c r="D119" s="2" t="str">
        <f>IFERROR(__xludf.DUMMYFUNCTION("""COMPUTED_VALUE"""),"5KM OVERALL M")</f>
        <v>5KM OVERALL M</v>
      </c>
      <c r="E119" s="1">
        <f>IFERROR(__xludf.DUMMYFUNCTION("""COMPUTED_VALUE"""),79.0)</f>
        <v>79</v>
      </c>
      <c r="F119" s="1" t="str">
        <f>IFERROR(__xludf.DUMMYFUNCTION("""COMPUTED_VALUE"""),"Male")</f>
        <v>Male</v>
      </c>
      <c r="G119" s="5">
        <f>IFERROR(__xludf.DUMMYFUNCTION("""COMPUTED_VALUE"""),0.0039983541666666665)</f>
        <v>0.003998354167</v>
      </c>
      <c r="H119" s="15">
        <f>IFERROR(__xludf.DUMMYFUNCTION("""COMPUTED_VALUE"""),0.2549440625)</f>
        <v>0.2549440625</v>
      </c>
      <c r="I119" s="15">
        <f>IFERROR(__xludf.DUMMYFUNCTION("""COMPUTED_VALUE"""),45949.27493583544)</f>
        <v>45949.27494</v>
      </c>
      <c r="J119" s="15">
        <f>IFERROR(__xludf.DUMMYFUNCTION("""COMPUTED_VALUE"""),45949.01999177294)</f>
        <v>45949.01999</v>
      </c>
      <c r="K119" s="15">
        <f>IFERROR(__xludf.DUMMYFUNCTION("""COMPUTED_VALUE"""),45949.266061465285)</f>
        <v>45949.26606</v>
      </c>
      <c r="L119" s="4"/>
    </row>
    <row r="120">
      <c r="A120" s="1">
        <f>IFERROR(__xludf.DUMMYFUNCTION("""COMPUTED_VALUE"""),119.0)</f>
        <v>119</v>
      </c>
      <c r="B120" s="1">
        <f>IFERROR(__xludf.DUMMYFUNCTION("""COMPUTED_VALUE"""),7028.0)</f>
        <v>7028</v>
      </c>
      <c r="C120" s="2" t="str">
        <f>IFERROR(__xludf.DUMMYFUNCTION("""COMPUTED_VALUE"""),"DMF")</f>
        <v>DMF</v>
      </c>
      <c r="D120" s="2" t="str">
        <f>IFERROR(__xludf.DUMMYFUNCTION("""COMPUTED_VALUE"""),"5KM MASTER M")</f>
        <v>5KM MASTER M</v>
      </c>
      <c r="E120" s="1">
        <f>IFERROR(__xludf.DUMMYFUNCTION("""COMPUTED_VALUE"""),13.0)</f>
        <v>13</v>
      </c>
      <c r="F120" s="1" t="str">
        <f>IFERROR(__xludf.DUMMYFUNCTION("""COMPUTED_VALUE"""),"Male")</f>
        <v>Male</v>
      </c>
      <c r="G120" s="5">
        <f>IFERROR(__xludf.DUMMYFUNCTION("""COMPUTED_VALUE"""),0.004036543981481481)</f>
        <v>0.004036543981</v>
      </c>
      <c r="H120" s="15">
        <f>IFERROR(__xludf.DUMMYFUNCTION("""COMPUTED_VALUE"""),0.2549440625)</f>
        <v>0.2549440625</v>
      </c>
      <c r="I120" s="15">
        <f>IFERROR(__xludf.DUMMYFUNCTION("""COMPUTED_VALUE"""),45949.275126784305)</f>
        <v>45949.27513</v>
      </c>
      <c r="J120" s="15">
        <f>IFERROR(__xludf.DUMMYFUNCTION("""COMPUTED_VALUE"""),45949.020182721804)</f>
        <v>45949.02018</v>
      </c>
      <c r="K120" s="15">
        <f>IFERROR(__xludf.DUMMYFUNCTION("""COMPUTED_VALUE"""),45949.26565521584)</f>
        <v>45949.26566</v>
      </c>
      <c r="L120" s="4"/>
    </row>
    <row r="121">
      <c r="A121" s="1">
        <f>IFERROR(__xludf.DUMMYFUNCTION("""COMPUTED_VALUE"""),120.0)</f>
        <v>120</v>
      </c>
      <c r="B121" s="1">
        <f>IFERROR(__xludf.DUMMYFUNCTION("""COMPUTED_VALUE"""),7058.0)</f>
        <v>7058</v>
      </c>
      <c r="C121" s="2" t="str">
        <f>IFERROR(__xludf.DUMMYFUNCTION("""COMPUTED_VALUE"""),"RIZAL")</f>
        <v>RIZAL</v>
      </c>
      <c r="D121" s="2" t="str">
        <f>IFERROR(__xludf.DUMMYFUNCTION("""COMPUTED_VALUE"""),"5KM MASTER M")</f>
        <v>5KM MASTER M</v>
      </c>
      <c r="E121" s="1">
        <f>IFERROR(__xludf.DUMMYFUNCTION("""COMPUTED_VALUE"""),14.0)</f>
        <v>14</v>
      </c>
      <c r="F121" s="1" t="str">
        <f>IFERROR(__xludf.DUMMYFUNCTION("""COMPUTED_VALUE"""),"Male")</f>
        <v>Male</v>
      </c>
      <c r="G121" s="5">
        <f>IFERROR(__xludf.DUMMYFUNCTION("""COMPUTED_VALUE"""),0.004043449074074074)</f>
        <v>0.004043449074</v>
      </c>
      <c r="H121" s="15">
        <f>IFERROR(__xludf.DUMMYFUNCTION("""COMPUTED_VALUE"""),0.2549440625)</f>
        <v>0.2549440625</v>
      </c>
      <c r="I121" s="15">
        <f>IFERROR(__xludf.DUMMYFUNCTION("""COMPUTED_VALUE"""),45949.27516130965)</f>
        <v>45949.27516</v>
      </c>
      <c r="J121" s="15">
        <f>IFERROR(__xludf.DUMMYFUNCTION("""COMPUTED_VALUE"""),45949.02021724715)</f>
        <v>45949.02022</v>
      </c>
      <c r="K121" s="15">
        <f>IFERROR(__xludf.DUMMYFUNCTION("""COMPUTED_VALUE"""),45949.26628017763)</f>
        <v>45949.26628</v>
      </c>
      <c r="L121" s="4"/>
    </row>
    <row r="122">
      <c r="A122" s="1">
        <f>IFERROR(__xludf.DUMMYFUNCTION("""COMPUTED_VALUE"""),121.0)</f>
        <v>121</v>
      </c>
      <c r="B122" s="7" t="str">
        <f>IFERROR(__xludf.DUMMYFUNCTION("""COMPUTED_VALUE"""),"9030")</f>
        <v>9030</v>
      </c>
      <c r="C122" s="8" t="str">
        <f>IFERROR(__xludf.DUMMYFUNCTION("""COMPUTED_VALUE"""),"satria")</f>
        <v>satria</v>
      </c>
      <c r="D122" s="2" t="str">
        <f>IFERROR(__xludf.DUMMYFUNCTION("""COMPUTED_VALUE"""),"5KM STUDENT M")</f>
        <v>5KM STUDENT M</v>
      </c>
      <c r="E122" s="1">
        <f>IFERROR(__xludf.DUMMYFUNCTION("""COMPUTED_VALUE"""),17.0)</f>
        <v>17</v>
      </c>
      <c r="F122" s="1" t="str">
        <f>IFERROR(__xludf.DUMMYFUNCTION("""COMPUTED_VALUE"""),"Male")</f>
        <v>Male</v>
      </c>
      <c r="G122" s="5">
        <f>IFERROR(__xludf.DUMMYFUNCTION("""COMPUTED_VALUE"""),0.0040679236111111116)</f>
        <v>0.004067923611</v>
      </c>
      <c r="H122" s="15">
        <f>IFERROR(__xludf.DUMMYFUNCTION("""COMPUTED_VALUE"""),0.2549440625)</f>
        <v>0.2549440625</v>
      </c>
      <c r="I122" s="15">
        <f>IFERROR(__xludf.DUMMYFUNCTION("""COMPUTED_VALUE"""),45949.2752836827)</f>
        <v>45949.27528</v>
      </c>
      <c r="J122" s="15">
        <f>IFERROR(__xludf.DUMMYFUNCTION("""COMPUTED_VALUE"""),45949.0203396202)</f>
        <v>45949.02034</v>
      </c>
      <c r="K122" s="15">
        <f>IFERROR(__xludf.DUMMYFUNCTION("""COMPUTED_VALUE"""),45949.266936696535)</f>
        <v>45949.26694</v>
      </c>
      <c r="L122" s="4"/>
    </row>
    <row r="123">
      <c r="A123" s="1">
        <f>IFERROR(__xludf.DUMMYFUNCTION("""COMPUTED_VALUE"""),122.0)</f>
        <v>122</v>
      </c>
      <c r="B123" s="1">
        <f>IFERROR(__xludf.DUMMYFUNCTION("""COMPUTED_VALUE"""),5043.0)</f>
        <v>5043</v>
      </c>
      <c r="C123" s="2" t="str">
        <f>IFERROR(__xludf.DUMMYFUNCTION("""COMPUTED_VALUE"""),"KURNIAWAN")</f>
        <v>KURNIAWAN</v>
      </c>
      <c r="D123" s="2" t="str">
        <f>IFERROR(__xludf.DUMMYFUNCTION("""COMPUTED_VALUE"""),"5KM OVERALL M")</f>
        <v>5KM OVERALL M</v>
      </c>
      <c r="E123" s="1">
        <f>IFERROR(__xludf.DUMMYFUNCTION("""COMPUTED_VALUE"""),80.0)</f>
        <v>80</v>
      </c>
      <c r="F123" s="1" t="str">
        <f>IFERROR(__xludf.DUMMYFUNCTION("""COMPUTED_VALUE"""),"Male")</f>
        <v>Male</v>
      </c>
      <c r="G123" s="5">
        <f>IFERROR(__xludf.DUMMYFUNCTION("""COMPUTED_VALUE"""),0.004068449074074073)</f>
        <v>0.004068449074</v>
      </c>
      <c r="H123" s="15">
        <f>IFERROR(__xludf.DUMMYFUNCTION("""COMPUTED_VALUE"""),0.2549440625)</f>
        <v>0.2549440625</v>
      </c>
      <c r="I123" s="15">
        <f>IFERROR(__xludf.DUMMYFUNCTION("""COMPUTED_VALUE"""),45949.27528630272)</f>
        <v>45949.27529</v>
      </c>
      <c r="J123" s="15">
        <f>IFERROR(__xludf.DUMMYFUNCTION("""COMPUTED_VALUE"""),45949.02034224022)</f>
        <v>45949.02034</v>
      </c>
      <c r="K123" s="15">
        <f>IFERROR(__xludf.DUMMYFUNCTION("""COMPUTED_VALUE"""),45949.26533223829)</f>
        <v>45949.26533</v>
      </c>
      <c r="L123" s="4"/>
    </row>
    <row r="124">
      <c r="A124" s="1">
        <f>IFERROR(__xludf.DUMMYFUNCTION("""COMPUTED_VALUE"""),123.0)</f>
        <v>123</v>
      </c>
      <c r="B124" s="7" t="str">
        <f>IFERROR(__xludf.DUMMYFUNCTION("""COMPUTED_VALUE"""),"9093")</f>
        <v>9093</v>
      </c>
      <c r="C124" s="8" t="str">
        <f>IFERROR(__xludf.DUMMYFUNCTION("""COMPUTED_VALUE"""),"M Rizky Ramadhani")</f>
        <v>M Rizky Ramadhani</v>
      </c>
      <c r="D124" s="2" t="str">
        <f>IFERROR(__xludf.DUMMYFUNCTION("""COMPUTED_VALUE"""),"5KM STUDENT M")</f>
        <v>5KM STUDENT M</v>
      </c>
      <c r="E124" s="1">
        <f>IFERROR(__xludf.DUMMYFUNCTION("""COMPUTED_VALUE"""),18.0)</f>
        <v>18</v>
      </c>
      <c r="F124" s="1" t="str">
        <f>IFERROR(__xludf.DUMMYFUNCTION("""COMPUTED_VALUE"""),"Male")</f>
        <v>Male</v>
      </c>
      <c r="G124" s="5">
        <f>IFERROR(__xludf.DUMMYFUNCTION("""COMPUTED_VALUE"""),0.004089277777777778)</f>
        <v>0.004089277778</v>
      </c>
      <c r="H124" s="15">
        <f>IFERROR(__xludf.DUMMYFUNCTION("""COMPUTED_VALUE"""),0.2549440625)</f>
        <v>0.2549440625</v>
      </c>
      <c r="I124" s="15">
        <f>IFERROR(__xludf.DUMMYFUNCTION("""COMPUTED_VALUE"""),45949.27539044694)</f>
        <v>45949.27539</v>
      </c>
      <c r="J124" s="15">
        <f>IFERROR(__xludf.DUMMYFUNCTION("""COMPUTED_VALUE"""),45949.02044638444)</f>
        <v>45949.02045</v>
      </c>
      <c r="K124" s="15">
        <f>IFERROR(__xludf.DUMMYFUNCTION("""COMPUTED_VALUE"""),45949.266728718714)</f>
        <v>45949.26673</v>
      </c>
      <c r="L124" s="4"/>
    </row>
    <row r="125">
      <c r="A125" s="1">
        <f>IFERROR(__xludf.DUMMYFUNCTION("""COMPUTED_VALUE"""),124.0)</f>
        <v>124</v>
      </c>
      <c r="B125" s="7" t="str">
        <f>IFERROR(__xludf.DUMMYFUNCTION("""COMPUTED_VALUE"""),"9060")</f>
        <v>9060</v>
      </c>
      <c r="C125" s="8" t="str">
        <f>IFERROR(__xludf.DUMMYFUNCTION("""COMPUTED_VALUE"""),"Dimas")</f>
        <v>Dimas</v>
      </c>
      <c r="D125" s="2" t="str">
        <f>IFERROR(__xludf.DUMMYFUNCTION("""COMPUTED_VALUE"""),"5KM STUDENT M")</f>
        <v>5KM STUDENT M</v>
      </c>
      <c r="E125" s="1">
        <f>IFERROR(__xludf.DUMMYFUNCTION("""COMPUTED_VALUE"""),19.0)</f>
        <v>19</v>
      </c>
      <c r="F125" s="1" t="str">
        <f>IFERROR(__xludf.DUMMYFUNCTION("""COMPUTED_VALUE"""),"Male")</f>
        <v>Male</v>
      </c>
      <c r="G125" s="5">
        <f>IFERROR(__xludf.DUMMYFUNCTION("""COMPUTED_VALUE"""),0.004097680555555556)</f>
        <v>0.004097680556</v>
      </c>
      <c r="H125" s="15">
        <f>IFERROR(__xludf.DUMMYFUNCTION("""COMPUTED_VALUE"""),0.2549440625)</f>
        <v>0.2549440625</v>
      </c>
      <c r="I125" s="15">
        <f>IFERROR(__xludf.DUMMYFUNCTION("""COMPUTED_VALUE"""),45949.275432467715)</f>
        <v>45949.27543</v>
      </c>
      <c r="J125" s="15">
        <f>IFERROR(__xludf.DUMMYFUNCTION("""COMPUTED_VALUE"""),45949.020488405215)</f>
        <v>45949.02049</v>
      </c>
      <c r="K125" s="15">
        <f>IFERROR(__xludf.DUMMYFUNCTION("""COMPUTED_VALUE"""),45949.26765864387)</f>
        <v>45949.26766</v>
      </c>
      <c r="L125" s="4"/>
    </row>
    <row r="126">
      <c r="A126" s="1">
        <f>IFERROR(__xludf.DUMMYFUNCTION("""COMPUTED_VALUE"""),125.0)</f>
        <v>125</v>
      </c>
      <c r="B126" s="7" t="str">
        <f>IFERROR(__xludf.DUMMYFUNCTION("""COMPUTED_VALUE"""),"9092")</f>
        <v>9092</v>
      </c>
      <c r="C126" s="8" t="str">
        <f>IFERROR(__xludf.DUMMYFUNCTION("""COMPUTED_VALUE"""),"Anshofi")</f>
        <v>Anshofi</v>
      </c>
      <c r="D126" s="2" t="str">
        <f>IFERROR(__xludf.DUMMYFUNCTION("""COMPUTED_VALUE"""),"5KM STUDENT M")</f>
        <v>5KM STUDENT M</v>
      </c>
      <c r="E126" s="1">
        <f>IFERROR(__xludf.DUMMYFUNCTION("""COMPUTED_VALUE"""),20.0)</f>
        <v>20</v>
      </c>
      <c r="F126" s="1" t="str">
        <f>IFERROR(__xludf.DUMMYFUNCTION("""COMPUTED_VALUE"""),"Male")</f>
        <v>Male</v>
      </c>
      <c r="G126" s="5">
        <f>IFERROR(__xludf.DUMMYFUNCTION("""COMPUTED_VALUE"""),0.0040983055555555556)</f>
        <v>0.004098305556</v>
      </c>
      <c r="H126" s="15">
        <f>IFERROR(__xludf.DUMMYFUNCTION("""COMPUTED_VALUE"""),0.2549440625)</f>
        <v>0.2549440625</v>
      </c>
      <c r="I126" s="15">
        <f>IFERROR(__xludf.DUMMYFUNCTION("""COMPUTED_VALUE"""),45949.27543559241)</f>
        <v>45949.27544</v>
      </c>
      <c r="J126" s="15">
        <f>IFERROR(__xludf.DUMMYFUNCTION("""COMPUTED_VALUE"""),45949.02049152991)</f>
        <v>45949.02049</v>
      </c>
      <c r="K126" s="15">
        <f>IFERROR(__xludf.DUMMYFUNCTION("""COMPUTED_VALUE"""),45949.266728707145)</f>
        <v>45949.26673</v>
      </c>
      <c r="L126" s="4"/>
    </row>
    <row r="127">
      <c r="A127" s="1">
        <f>IFERROR(__xludf.DUMMYFUNCTION("""COMPUTED_VALUE"""),126.0)</f>
        <v>126</v>
      </c>
      <c r="B127" s="1">
        <f>IFERROR(__xludf.DUMMYFUNCTION("""COMPUTED_VALUE"""),7026.0)</f>
        <v>7026</v>
      </c>
      <c r="C127" s="2" t="str">
        <f>IFERROR(__xludf.DUMMYFUNCTION("""COMPUTED_VALUE"""),"Yunneti Tuteh")</f>
        <v>Yunneti Tuteh</v>
      </c>
      <c r="D127" s="2" t="str">
        <f>IFERROR(__xludf.DUMMYFUNCTION("""COMPUTED_VALUE"""),"5KM MASTER F")</f>
        <v>5KM MASTER F</v>
      </c>
      <c r="E127" s="1">
        <f>IFERROR(__xludf.DUMMYFUNCTION("""COMPUTED_VALUE"""),4.0)</f>
        <v>4</v>
      </c>
      <c r="F127" s="1" t="str">
        <f>IFERROR(__xludf.DUMMYFUNCTION("""COMPUTED_VALUE"""),"Female")</f>
        <v>Female</v>
      </c>
      <c r="G127" s="5">
        <f>IFERROR(__xludf.DUMMYFUNCTION("""COMPUTED_VALUE"""),0.0041052499999999995)</f>
        <v>0.00410525</v>
      </c>
      <c r="H127" s="15">
        <f>IFERROR(__xludf.DUMMYFUNCTION("""COMPUTED_VALUE"""),0.2549440625)</f>
        <v>0.2549440625</v>
      </c>
      <c r="I127" s="15">
        <f>IFERROR(__xludf.DUMMYFUNCTION("""COMPUTED_VALUE"""),45949.27547031199)</f>
        <v>45949.27547</v>
      </c>
      <c r="J127" s="15">
        <f>IFERROR(__xludf.DUMMYFUNCTION("""COMPUTED_VALUE"""),45949.02052624949)</f>
        <v>45949.02053</v>
      </c>
      <c r="K127" s="15">
        <f>IFERROR(__xludf.DUMMYFUNCTION("""COMPUTED_VALUE"""),45949.26627674086)</f>
        <v>45949.26628</v>
      </c>
      <c r="L127" s="4"/>
    </row>
    <row r="128">
      <c r="A128" s="1">
        <f>IFERROR(__xludf.DUMMYFUNCTION("""COMPUTED_VALUE"""),127.0)</f>
        <v>127</v>
      </c>
      <c r="B128" s="1">
        <f>IFERROR(__xludf.DUMMYFUNCTION("""COMPUTED_VALUE"""),5359.0)</f>
        <v>5359</v>
      </c>
      <c r="C128" s="2" t="str">
        <f>IFERROR(__xludf.DUMMYFUNCTION("""COMPUTED_VALUE"""),"ikky chan")</f>
        <v>ikky chan</v>
      </c>
      <c r="D128" s="2" t="str">
        <f>IFERROR(__xludf.DUMMYFUNCTION("""COMPUTED_VALUE"""),"5KM OVERALL M")</f>
        <v>5KM OVERALL M</v>
      </c>
      <c r="E128" s="1">
        <f>IFERROR(__xludf.DUMMYFUNCTION("""COMPUTED_VALUE"""),81.0)</f>
        <v>81</v>
      </c>
      <c r="F128" s="1" t="str">
        <f>IFERROR(__xludf.DUMMYFUNCTION("""COMPUTED_VALUE"""),"Male")</f>
        <v>Male</v>
      </c>
      <c r="G128" s="5">
        <f>IFERROR(__xludf.DUMMYFUNCTION("""COMPUTED_VALUE"""),0.004106638888888889)</f>
        <v>0.004106638889</v>
      </c>
      <c r="H128" s="15">
        <f>IFERROR(__xludf.DUMMYFUNCTION("""COMPUTED_VALUE"""),0.2549440625)</f>
        <v>0.2549440625</v>
      </c>
      <c r="I128" s="15">
        <f>IFERROR(__xludf.DUMMYFUNCTION("""COMPUTED_VALUE"""),45949.275477254036)</f>
        <v>45949.27548</v>
      </c>
      <c r="J128" s="15">
        <f>IFERROR(__xludf.DUMMYFUNCTION("""COMPUTED_VALUE"""),45949.020533191535)</f>
        <v>45949.02053</v>
      </c>
      <c r="K128" s="15">
        <f>IFERROR(__xludf.DUMMYFUNCTION("""COMPUTED_VALUE"""),45949.26706140263)</f>
        <v>45949.26706</v>
      </c>
      <c r="L128" s="4"/>
    </row>
    <row r="129">
      <c r="A129" s="1">
        <f>IFERROR(__xludf.DUMMYFUNCTION("""COMPUTED_VALUE"""),128.0)</f>
        <v>128</v>
      </c>
      <c r="B129" s="1">
        <f>IFERROR(__xludf.DUMMYFUNCTION("""COMPUTED_VALUE"""),6423.0)</f>
        <v>6423</v>
      </c>
      <c r="C129" s="2" t="str">
        <f>IFERROR(__xludf.DUMMYFUNCTION("""COMPUTED_VALUE"""),"HAIDIR ALI")</f>
        <v>HAIDIR ALI</v>
      </c>
      <c r="D129" s="2" t="str">
        <f>IFERROR(__xludf.DUMMYFUNCTION("""COMPUTED_VALUE"""),"5KM OVERALL M")</f>
        <v>5KM OVERALL M</v>
      </c>
      <c r="E129" s="1">
        <f>IFERROR(__xludf.DUMMYFUNCTION("""COMPUTED_VALUE"""),82.0)</f>
        <v>82</v>
      </c>
      <c r="F129" s="1" t="str">
        <f>IFERROR(__xludf.DUMMYFUNCTION("""COMPUTED_VALUE"""),"Male")</f>
        <v>Male</v>
      </c>
      <c r="G129" s="5">
        <f>IFERROR(__xludf.DUMMYFUNCTION("""COMPUTED_VALUE"""),0.004108030092592593)</f>
        <v>0.004108030093</v>
      </c>
      <c r="H129" s="15">
        <f>IFERROR(__xludf.DUMMYFUNCTION("""COMPUTED_VALUE"""),0.2549440625)</f>
        <v>0.2549440625</v>
      </c>
      <c r="I129" s="15">
        <f>IFERROR(__xludf.DUMMYFUNCTION("""COMPUTED_VALUE"""),45949.27548421637)</f>
        <v>45949.27548</v>
      </c>
      <c r="J129" s="15">
        <f>IFERROR(__xludf.DUMMYFUNCTION("""COMPUTED_VALUE"""),45949.02054015387)</f>
        <v>45949.02054</v>
      </c>
      <c r="K129" s="15">
        <f>IFERROR(__xludf.DUMMYFUNCTION("""COMPUTED_VALUE"""),45949.26629406348)</f>
        <v>45949.26629</v>
      </c>
      <c r="L129" s="4"/>
    </row>
    <row r="130">
      <c r="A130" s="1">
        <f>IFERROR(__xludf.DUMMYFUNCTION("""COMPUTED_VALUE"""),129.0)</f>
        <v>129</v>
      </c>
      <c r="B130" s="1">
        <f>IFERROR(__xludf.DUMMYFUNCTION("""COMPUTED_VALUE"""),6431.0)</f>
        <v>6431</v>
      </c>
      <c r="C130" s="2" t="str">
        <f>IFERROR(__xludf.DUMMYFUNCTION("""COMPUTED_VALUE"""),"JAYA")</f>
        <v>JAYA</v>
      </c>
      <c r="D130" s="2" t="str">
        <f>IFERROR(__xludf.DUMMYFUNCTION("""COMPUTED_VALUE"""),"5KM OVERALL M")</f>
        <v>5KM OVERALL M</v>
      </c>
      <c r="E130" s="1">
        <f>IFERROR(__xludf.DUMMYFUNCTION("""COMPUTED_VALUE"""),83.0)</f>
        <v>83</v>
      </c>
      <c r="F130" s="1" t="str">
        <f>IFERROR(__xludf.DUMMYFUNCTION("""COMPUTED_VALUE"""),"Male")</f>
        <v>Male</v>
      </c>
      <c r="G130" s="5">
        <f>IFERROR(__xludf.DUMMYFUNCTION("""COMPUTED_VALUE"""),0.004113583333333333)</f>
        <v>0.004113583333</v>
      </c>
      <c r="H130" s="15">
        <f>IFERROR(__xludf.DUMMYFUNCTION("""COMPUTED_VALUE"""),0.2549440625)</f>
        <v>0.2549440625</v>
      </c>
      <c r="I130" s="15">
        <f>IFERROR(__xludf.DUMMYFUNCTION("""COMPUTED_VALUE"""),45949.27551197749)</f>
        <v>45949.27551</v>
      </c>
      <c r="J130" s="15">
        <f>IFERROR(__xludf.DUMMYFUNCTION("""COMPUTED_VALUE"""),45949.02056791499)</f>
        <v>45949.02057</v>
      </c>
      <c r="K130" s="15">
        <f>IFERROR(__xludf.DUMMYFUNCTION("""COMPUTED_VALUE"""),45949.26635656181)</f>
        <v>45949.26636</v>
      </c>
      <c r="L130" s="4"/>
    </row>
    <row r="131">
      <c r="A131" s="1">
        <f>IFERROR(__xludf.DUMMYFUNCTION("""COMPUTED_VALUE"""),130.0)</f>
        <v>130</v>
      </c>
      <c r="B131" s="1">
        <f>IFERROR(__xludf.DUMMYFUNCTION("""COMPUTED_VALUE"""),5620.0)</f>
        <v>5620</v>
      </c>
      <c r="C131" s="2" t="str">
        <f>IFERROR(__xludf.DUMMYFUNCTION("""COMPUTED_VALUE"""),"IYES")</f>
        <v>IYES</v>
      </c>
      <c r="D131" s="2" t="str">
        <f>IFERROR(__xludf.DUMMYFUNCTION("""COMPUTED_VALUE"""),"5KM OVERALL M")</f>
        <v>5KM OVERALL M</v>
      </c>
      <c r="E131" s="1">
        <f>IFERROR(__xludf.DUMMYFUNCTION("""COMPUTED_VALUE"""),84.0)</f>
        <v>84</v>
      </c>
      <c r="F131" s="1" t="str">
        <f>IFERROR(__xludf.DUMMYFUNCTION("""COMPUTED_VALUE"""),"Male")</f>
        <v>Male</v>
      </c>
      <c r="G131" s="5">
        <f>IFERROR(__xludf.DUMMYFUNCTION("""COMPUTED_VALUE"""),0.004118479166666666)</f>
        <v>0.004118479167</v>
      </c>
      <c r="H131" s="15">
        <f>IFERROR(__xludf.DUMMYFUNCTION("""COMPUTED_VALUE"""),0.2549440625)</f>
        <v>0.2549440625</v>
      </c>
      <c r="I131" s="15">
        <f>IFERROR(__xludf.DUMMYFUNCTION("""COMPUTED_VALUE"""),45949.27553645801)</f>
        <v>45949.27554</v>
      </c>
      <c r="J131" s="15">
        <f>IFERROR(__xludf.DUMMYFUNCTION("""COMPUTED_VALUE"""),45949.02059239551)</f>
        <v>45949.02059</v>
      </c>
      <c r="K131" s="15">
        <f>IFERROR(__xludf.DUMMYFUNCTION("""COMPUTED_VALUE"""),45949.26631841523)</f>
        <v>45949.26632</v>
      </c>
      <c r="L131" s="4"/>
    </row>
    <row r="132">
      <c r="A132" s="1">
        <f>IFERROR(__xludf.DUMMYFUNCTION("""COMPUTED_VALUE"""),131.0)</f>
        <v>131</v>
      </c>
      <c r="B132" s="1">
        <f>IFERROR(__xludf.DUMMYFUNCTION("""COMPUTED_VALUE"""),6019.0)</f>
        <v>6019</v>
      </c>
      <c r="C132" s="2" t="str">
        <f>IFERROR(__xludf.DUMMYFUNCTION("""COMPUTED_VALUE"""),"HAIDIR SAKTI")</f>
        <v>HAIDIR SAKTI</v>
      </c>
      <c r="D132" s="2" t="str">
        <f>IFERROR(__xludf.DUMMYFUNCTION("""COMPUTED_VALUE"""),"5KM OVERALL M")</f>
        <v>5KM OVERALL M</v>
      </c>
      <c r="E132" s="1">
        <f>IFERROR(__xludf.DUMMYFUNCTION("""COMPUTED_VALUE"""),85.0)</f>
        <v>85</v>
      </c>
      <c r="F132" s="1" t="str">
        <f>IFERROR(__xludf.DUMMYFUNCTION("""COMPUTED_VALUE"""),"Male")</f>
        <v>Male</v>
      </c>
      <c r="G132" s="5">
        <f>IFERROR(__xludf.DUMMYFUNCTION("""COMPUTED_VALUE"""),0.004120530092592592)</f>
        <v>0.004120530093</v>
      </c>
      <c r="H132" s="15">
        <f>IFERROR(__xludf.DUMMYFUNCTION("""COMPUTED_VALUE"""),0.2549440625)</f>
        <v>0.2549440625</v>
      </c>
      <c r="I132" s="15">
        <f>IFERROR(__xludf.DUMMYFUNCTION("""COMPUTED_VALUE"""),45949.27554670755)</f>
        <v>45949.27555</v>
      </c>
      <c r="J132" s="15">
        <f>IFERROR(__xludf.DUMMYFUNCTION("""COMPUTED_VALUE"""),45949.02060264505)</f>
        <v>45949.0206</v>
      </c>
      <c r="K132" s="15">
        <f>IFERROR(__xludf.DUMMYFUNCTION("""COMPUTED_VALUE"""),45949.26644335416)</f>
        <v>45949.26644</v>
      </c>
      <c r="L132" s="4"/>
    </row>
    <row r="133">
      <c r="A133" s="1">
        <f>IFERROR(__xludf.DUMMYFUNCTION("""COMPUTED_VALUE"""),132.0)</f>
        <v>132</v>
      </c>
      <c r="B133" s="1">
        <f>IFERROR(__xludf.DUMMYFUNCTION("""COMPUTED_VALUE"""),6422.0)</f>
        <v>6422</v>
      </c>
      <c r="C133" s="2" t="str">
        <f>IFERROR(__xludf.DUMMYFUNCTION("""COMPUTED_VALUE"""),"Tazmi Little")</f>
        <v>Tazmi Little</v>
      </c>
      <c r="D133" s="2" t="str">
        <f>IFERROR(__xludf.DUMMYFUNCTION("""COMPUTED_VALUE"""),"5KM OVERALL M")</f>
        <v>5KM OVERALL M</v>
      </c>
      <c r="E133" s="1">
        <f>IFERROR(__xludf.DUMMYFUNCTION("""COMPUTED_VALUE"""),86.0)</f>
        <v>86</v>
      </c>
      <c r="F133" s="1" t="str">
        <f>IFERROR(__xludf.DUMMYFUNCTION("""COMPUTED_VALUE"""),"Male")</f>
        <v>Male</v>
      </c>
      <c r="G133" s="5">
        <f>IFERROR(__xludf.DUMMYFUNCTION("""COMPUTED_VALUE"""),0.00412550462962963)</f>
        <v>0.00412550463</v>
      </c>
      <c r="H133" s="15">
        <f>IFERROR(__xludf.DUMMYFUNCTION("""COMPUTED_VALUE"""),0.2549440625)</f>
        <v>0.2549440625</v>
      </c>
      <c r="I133" s="15">
        <f>IFERROR(__xludf.DUMMYFUNCTION("""COMPUTED_VALUE"""),45949.275571589525)</f>
        <v>45949.27557</v>
      </c>
      <c r="J133" s="15">
        <f>IFERROR(__xludf.DUMMYFUNCTION("""COMPUTED_VALUE"""),45949.020627527025)</f>
        <v>45949.02063</v>
      </c>
      <c r="K133" s="15">
        <f>IFERROR(__xludf.DUMMYFUNCTION("""COMPUTED_VALUE"""),45949.26734647378)</f>
        <v>45949.26735</v>
      </c>
      <c r="L133" s="4"/>
    </row>
    <row r="134">
      <c r="A134" s="1">
        <f>IFERROR(__xludf.DUMMYFUNCTION("""COMPUTED_VALUE"""),133.0)</f>
        <v>133</v>
      </c>
      <c r="B134" s="1">
        <f>IFERROR(__xludf.DUMMYFUNCTION("""COMPUTED_VALUE"""),5513.0)</f>
        <v>5513</v>
      </c>
      <c r="C134" s="2" t="str">
        <f>IFERROR(__xludf.DUMMYFUNCTION("""COMPUTED_VALUE"""),"GUNS")</f>
        <v>GUNS</v>
      </c>
      <c r="D134" s="2" t="str">
        <f>IFERROR(__xludf.DUMMYFUNCTION("""COMPUTED_VALUE"""),"5KM OVERALL M")</f>
        <v>5KM OVERALL M</v>
      </c>
      <c r="E134" s="1">
        <f>IFERROR(__xludf.DUMMYFUNCTION("""COMPUTED_VALUE"""),87.0)</f>
        <v>87</v>
      </c>
      <c r="F134" s="1" t="str">
        <f>IFERROR(__xludf.DUMMYFUNCTION("""COMPUTED_VALUE"""),"Male")</f>
        <v>Male</v>
      </c>
      <c r="G134" s="5">
        <f>IFERROR(__xludf.DUMMYFUNCTION("""COMPUTED_VALUE"""),0.004142923611111111)</f>
        <v>0.004142923611</v>
      </c>
      <c r="H134" s="15">
        <f>IFERROR(__xludf.DUMMYFUNCTION("""COMPUTED_VALUE"""),0.2549440625)</f>
        <v>0.2549440625</v>
      </c>
      <c r="I134" s="15">
        <f>IFERROR(__xludf.DUMMYFUNCTION("""COMPUTED_VALUE"""),45949.2756586793)</f>
        <v>45949.27566</v>
      </c>
      <c r="J134" s="15">
        <f>IFERROR(__xludf.DUMMYFUNCTION("""COMPUTED_VALUE"""),45949.020714616796)</f>
        <v>45949.02071</v>
      </c>
      <c r="K134" s="15">
        <f>IFERROR(__xludf.DUMMYFUNCTION("""COMPUTED_VALUE"""),45949.26621082895)</f>
        <v>45949.26621</v>
      </c>
      <c r="L134" s="4"/>
    </row>
    <row r="135">
      <c r="A135" s="1">
        <f>IFERROR(__xludf.DUMMYFUNCTION("""COMPUTED_VALUE"""),134.0)</f>
        <v>134</v>
      </c>
      <c r="B135" s="1">
        <f>IFERROR(__xludf.DUMMYFUNCTION("""COMPUTED_VALUE"""),5672.0)</f>
        <v>5672</v>
      </c>
      <c r="C135" s="2" t="str">
        <f>IFERROR(__xludf.DUMMYFUNCTION("""COMPUTED_VALUE"""),"Wahhab")</f>
        <v>Wahhab</v>
      </c>
      <c r="D135" s="2" t="str">
        <f>IFERROR(__xludf.DUMMYFUNCTION("""COMPUTED_VALUE"""),"5KM OVERALL M")</f>
        <v>5KM OVERALL M</v>
      </c>
      <c r="E135" s="1">
        <f>IFERROR(__xludf.DUMMYFUNCTION("""COMPUTED_VALUE"""),88.0)</f>
        <v>88</v>
      </c>
      <c r="F135" s="1" t="str">
        <f>IFERROR(__xludf.DUMMYFUNCTION("""COMPUTED_VALUE"""),"Male")</f>
        <v>Male</v>
      </c>
      <c r="G135" s="5">
        <f>IFERROR(__xludf.DUMMYFUNCTION("""COMPUTED_VALUE"""),0.004150388888888889)</f>
        <v>0.004150388889</v>
      </c>
      <c r="H135" s="15">
        <f>IFERROR(__xludf.DUMMYFUNCTION("""COMPUTED_VALUE"""),0.2549440625)</f>
        <v>0.2549440625</v>
      </c>
      <c r="I135" s="15">
        <f>IFERROR(__xludf.DUMMYFUNCTION("""COMPUTED_VALUE"""),45949.27569600649)</f>
        <v>45949.2757</v>
      </c>
      <c r="J135" s="15">
        <f>IFERROR(__xludf.DUMMYFUNCTION("""COMPUTED_VALUE"""),45949.02075194399)</f>
        <v>45949.02075</v>
      </c>
      <c r="K135" s="15">
        <f>IFERROR(__xludf.DUMMYFUNCTION("""COMPUTED_VALUE"""),45949.26680446341)</f>
        <v>45949.2668</v>
      </c>
      <c r="L135" s="4"/>
    </row>
    <row r="136">
      <c r="A136" s="1">
        <f>IFERROR(__xludf.DUMMYFUNCTION("""COMPUTED_VALUE"""),135.0)</f>
        <v>135</v>
      </c>
      <c r="B136" s="7" t="str">
        <f>IFERROR(__xludf.DUMMYFUNCTION("""COMPUTED_VALUE"""),"9039")</f>
        <v>9039</v>
      </c>
      <c r="C136" s="8" t="str">
        <f>IFERROR(__xludf.DUMMYFUNCTION("""COMPUTED_VALUE"""),"FID")</f>
        <v>FID</v>
      </c>
      <c r="D136" s="2" t="str">
        <f>IFERROR(__xludf.DUMMYFUNCTION("""COMPUTED_VALUE"""),"5KM STUDENT M")</f>
        <v>5KM STUDENT M</v>
      </c>
      <c r="E136" s="1">
        <f>IFERROR(__xludf.DUMMYFUNCTION("""COMPUTED_VALUE"""),21.0)</f>
        <v>21</v>
      </c>
      <c r="F136" s="1" t="str">
        <f>IFERROR(__xludf.DUMMYFUNCTION("""COMPUTED_VALUE"""),"Male")</f>
        <v>Male</v>
      </c>
      <c r="G136" s="5">
        <f>IFERROR(__xludf.DUMMYFUNCTION("""COMPUTED_VALUE"""),0.0041545486111111115)</f>
        <v>0.004154548611</v>
      </c>
      <c r="H136" s="15">
        <f>IFERROR(__xludf.DUMMYFUNCTION("""COMPUTED_VALUE"""),0.2549440625)</f>
        <v>0.2549440625</v>
      </c>
      <c r="I136" s="15">
        <f>IFERROR(__xludf.DUMMYFUNCTION("""COMPUTED_VALUE"""),45949.27571680964)</f>
        <v>45949.27572</v>
      </c>
      <c r="J136" s="15">
        <f>IFERROR(__xludf.DUMMYFUNCTION("""COMPUTED_VALUE"""),45949.02077274714)</f>
        <v>45949.02077</v>
      </c>
      <c r="K136" s="15">
        <f>IFERROR(__xludf.DUMMYFUNCTION("""COMPUTED_VALUE"""),45950.26740740741)</f>
        <v>45950.26741</v>
      </c>
      <c r="L136" s="4" t="str">
        <f>IFERROR(__xludf.DUMMYFUNCTION("""COMPUTED_VALUE"""),"C")</f>
        <v>C</v>
      </c>
    </row>
    <row r="137">
      <c r="A137" s="1">
        <f>IFERROR(__xludf.DUMMYFUNCTION("""COMPUTED_VALUE"""),136.0)</f>
        <v>136</v>
      </c>
      <c r="B137" s="1">
        <f>IFERROR(__xludf.DUMMYFUNCTION("""COMPUTED_VALUE"""),5167.0)</f>
        <v>5167</v>
      </c>
      <c r="C137" s="2" t="str">
        <f>IFERROR(__xludf.DUMMYFUNCTION("""COMPUTED_VALUE"""),"fidah")</f>
        <v>fidah</v>
      </c>
      <c r="D137" s="2" t="str">
        <f>IFERROR(__xludf.DUMMYFUNCTION("""COMPUTED_VALUE"""),"5KM OVERALL F")</f>
        <v>5KM OVERALL F</v>
      </c>
      <c r="E137" s="1">
        <f>IFERROR(__xludf.DUMMYFUNCTION("""COMPUTED_VALUE"""),8.0)</f>
        <v>8</v>
      </c>
      <c r="F137" s="1" t="str">
        <f>IFERROR(__xludf.DUMMYFUNCTION("""COMPUTED_VALUE"""),"Female")</f>
        <v>Female</v>
      </c>
      <c r="G137" s="5">
        <f>IFERROR(__xludf.DUMMYFUNCTION("""COMPUTED_VALUE"""),0.004160805555555556)</f>
        <v>0.004160805556</v>
      </c>
      <c r="H137" s="15">
        <f>IFERROR(__xludf.DUMMYFUNCTION("""COMPUTED_VALUE"""),0.2549440625)</f>
        <v>0.2549440625</v>
      </c>
      <c r="I137" s="15">
        <f>IFERROR(__xludf.DUMMYFUNCTION("""COMPUTED_VALUE"""),45949.275748092354)</f>
        <v>45949.27575</v>
      </c>
      <c r="J137" s="15">
        <f>IFERROR(__xludf.DUMMYFUNCTION("""COMPUTED_VALUE"""),45949.02080402985)</f>
        <v>45949.0208</v>
      </c>
      <c r="K137" s="15">
        <f>IFERROR(__xludf.DUMMYFUNCTION("""COMPUTED_VALUE"""),45949.26686350668)</f>
        <v>45949.26686</v>
      </c>
      <c r="L137" s="4"/>
    </row>
    <row r="138">
      <c r="A138" s="1">
        <f>IFERROR(__xludf.DUMMYFUNCTION("""COMPUTED_VALUE"""),137.0)</f>
        <v>137</v>
      </c>
      <c r="B138" s="1">
        <f>IFERROR(__xludf.DUMMYFUNCTION("""COMPUTED_VALUE"""),7010.0)</f>
        <v>7010</v>
      </c>
      <c r="C138" s="2" t="str">
        <f>IFERROR(__xludf.DUMMYFUNCTION("""COMPUTED_VALUE"""),"ozod")</f>
        <v>ozod</v>
      </c>
      <c r="D138" s="2" t="str">
        <f>IFERROR(__xludf.DUMMYFUNCTION("""COMPUTED_VALUE"""),"5KM MASTER M")</f>
        <v>5KM MASTER M</v>
      </c>
      <c r="E138" s="1">
        <f>IFERROR(__xludf.DUMMYFUNCTION("""COMPUTED_VALUE"""),15.0)</f>
        <v>15</v>
      </c>
      <c r="F138" s="1" t="str">
        <f>IFERROR(__xludf.DUMMYFUNCTION("""COMPUTED_VALUE"""),"Male")</f>
        <v>Male</v>
      </c>
      <c r="G138" s="5">
        <f>IFERROR(__xludf.DUMMYFUNCTION("""COMPUTED_VALUE"""),0.004164280092592593)</f>
        <v>0.004164280093</v>
      </c>
      <c r="H138" s="15">
        <f>IFERROR(__xludf.DUMMYFUNCTION("""COMPUTED_VALUE"""),0.2549440625)</f>
        <v>0.2549440625</v>
      </c>
      <c r="I138" s="15">
        <f>IFERROR(__xludf.DUMMYFUNCTION("""COMPUTED_VALUE"""),45949.275765458064)</f>
        <v>45949.27577</v>
      </c>
      <c r="J138" s="15">
        <f>IFERROR(__xludf.DUMMYFUNCTION("""COMPUTED_VALUE"""),45949.02082139556)</f>
        <v>45949.02082</v>
      </c>
      <c r="K138" s="15">
        <f>IFERROR(__xludf.DUMMYFUNCTION("""COMPUTED_VALUE"""),45949.2668774338)</f>
        <v>45949.26688</v>
      </c>
      <c r="L138" s="4"/>
    </row>
    <row r="139">
      <c r="A139" s="1">
        <f>IFERROR(__xludf.DUMMYFUNCTION("""COMPUTED_VALUE"""),138.0)</f>
        <v>138</v>
      </c>
      <c r="B139" s="1">
        <f>IFERROR(__xludf.DUMMYFUNCTION("""COMPUTED_VALUE"""),5578.0)</f>
        <v>5578</v>
      </c>
      <c r="C139" s="2" t="str">
        <f>IFERROR(__xludf.DUMMYFUNCTION("""COMPUTED_VALUE"""),"lanaajaa")</f>
        <v>lanaajaa</v>
      </c>
      <c r="D139" s="2" t="str">
        <f>IFERROR(__xludf.DUMMYFUNCTION("""COMPUTED_VALUE"""),"5KM OVERALL M")</f>
        <v>5KM OVERALL M</v>
      </c>
      <c r="E139" s="1">
        <f>IFERROR(__xludf.DUMMYFUNCTION("""COMPUTED_VALUE"""),89.0)</f>
        <v>89</v>
      </c>
      <c r="F139" s="1" t="str">
        <f>IFERROR(__xludf.DUMMYFUNCTION("""COMPUTED_VALUE"""),"Male")</f>
        <v>Male</v>
      </c>
      <c r="G139" s="5">
        <f>IFERROR(__xludf.DUMMYFUNCTION("""COMPUTED_VALUE"""),0.00417330787037037)</f>
        <v>0.00417330787</v>
      </c>
      <c r="H139" s="15">
        <f>IFERROR(__xludf.DUMMYFUNCTION("""COMPUTED_VALUE"""),0.2549440625)</f>
        <v>0.2549440625</v>
      </c>
      <c r="I139" s="15">
        <f>IFERROR(__xludf.DUMMYFUNCTION("""COMPUTED_VALUE"""),45949.27581059638)</f>
        <v>45949.27581</v>
      </c>
      <c r="J139" s="15">
        <f>IFERROR(__xludf.DUMMYFUNCTION("""COMPUTED_VALUE"""),45949.02086653388)</f>
        <v>45949.02087</v>
      </c>
      <c r="K139" s="15">
        <f>IFERROR(__xludf.DUMMYFUNCTION("""COMPUTED_VALUE"""),45949.26719682465)</f>
        <v>45949.2672</v>
      </c>
      <c r="L139" s="4"/>
    </row>
    <row r="140">
      <c r="A140" s="1">
        <f>IFERROR(__xludf.DUMMYFUNCTION("""COMPUTED_VALUE"""),139.0)</f>
        <v>139</v>
      </c>
      <c r="B140" s="1">
        <f>IFERROR(__xludf.DUMMYFUNCTION("""COMPUTED_VALUE"""),7047.0)</f>
        <v>7047</v>
      </c>
      <c r="C140" s="2" t="str">
        <f>IFERROR(__xludf.DUMMYFUNCTION("""COMPUTED_VALUE"""),"Fifitdy")</f>
        <v>Fifitdy</v>
      </c>
      <c r="D140" s="2" t="str">
        <f>IFERROR(__xludf.DUMMYFUNCTION("""COMPUTED_VALUE"""),"5KM MASTER F")</f>
        <v>5KM MASTER F</v>
      </c>
      <c r="E140" s="1">
        <f>IFERROR(__xludf.DUMMYFUNCTION("""COMPUTED_VALUE"""),5.0)</f>
        <v>5</v>
      </c>
      <c r="F140" s="1" t="str">
        <f>IFERROR(__xludf.DUMMYFUNCTION("""COMPUTED_VALUE"""),"Female")</f>
        <v>Female</v>
      </c>
      <c r="G140" s="5">
        <f>IFERROR(__xludf.DUMMYFUNCTION("""COMPUTED_VALUE"""),0.004185111111111111)</f>
        <v>0.004185111111</v>
      </c>
      <c r="H140" s="15">
        <f>IFERROR(__xludf.DUMMYFUNCTION("""COMPUTED_VALUE"""),0.2549440625)</f>
        <v>0.2549440625</v>
      </c>
      <c r="I140" s="15">
        <f>IFERROR(__xludf.DUMMYFUNCTION("""COMPUTED_VALUE"""),45949.27586962365)</f>
        <v>45949.27587</v>
      </c>
      <c r="J140" s="15">
        <f>IFERROR(__xludf.DUMMYFUNCTION("""COMPUTED_VALUE"""),45949.02092556115)</f>
        <v>45949.02093</v>
      </c>
      <c r="K140" s="15">
        <f>IFERROR(__xludf.DUMMYFUNCTION("""COMPUTED_VALUE"""),45949.266544563136)</f>
        <v>45949.26654</v>
      </c>
      <c r="L140" s="4"/>
    </row>
    <row r="141">
      <c r="A141" s="1">
        <f>IFERROR(__xludf.DUMMYFUNCTION("""COMPUTED_VALUE"""),140.0)</f>
        <v>140</v>
      </c>
      <c r="B141" s="1">
        <f>IFERROR(__xludf.DUMMYFUNCTION("""COMPUTED_VALUE"""),5361.0)</f>
        <v>5361</v>
      </c>
      <c r="C141" s="2" t="str">
        <f>IFERROR(__xludf.DUMMYFUNCTION("""COMPUTED_VALUE"""),"ERFAN")</f>
        <v>ERFAN</v>
      </c>
      <c r="D141" s="2" t="str">
        <f>IFERROR(__xludf.DUMMYFUNCTION("""COMPUTED_VALUE"""),"5KM OVERALL M")</f>
        <v>5KM OVERALL M</v>
      </c>
      <c r="E141" s="1">
        <f>IFERROR(__xludf.DUMMYFUNCTION("""COMPUTED_VALUE"""),90.0)</f>
        <v>90</v>
      </c>
      <c r="F141" s="1" t="str">
        <f>IFERROR(__xludf.DUMMYFUNCTION("""COMPUTED_VALUE"""),"Male")</f>
        <v>Male</v>
      </c>
      <c r="G141" s="5">
        <f>IFERROR(__xludf.DUMMYFUNCTION("""COMPUTED_VALUE"""),0.004185115740740741)</f>
        <v>0.004185115741</v>
      </c>
      <c r="H141" s="15">
        <f>IFERROR(__xludf.DUMMYFUNCTION("""COMPUTED_VALUE"""),0.2549440625)</f>
        <v>0.2549440625</v>
      </c>
      <c r="I141" s="15">
        <f>IFERROR(__xludf.DUMMYFUNCTION("""COMPUTED_VALUE"""),45949.27586964017)</f>
        <v>45949.27587</v>
      </c>
      <c r="J141" s="15">
        <f>IFERROR(__xludf.DUMMYFUNCTION("""COMPUTED_VALUE"""),45949.02092557767)</f>
        <v>45949.02093</v>
      </c>
      <c r="K141" s="15">
        <f>IFERROR(__xludf.DUMMYFUNCTION("""COMPUTED_VALUE"""),45949.266884339784)</f>
        <v>45949.26688</v>
      </c>
      <c r="L141" s="4"/>
    </row>
    <row r="142">
      <c r="A142" s="1">
        <f>IFERROR(__xludf.DUMMYFUNCTION("""COMPUTED_VALUE"""),141.0)</f>
        <v>141</v>
      </c>
      <c r="B142" s="1">
        <f>IFERROR(__xludf.DUMMYFUNCTION("""COMPUTED_VALUE"""),5311.0)</f>
        <v>5311</v>
      </c>
      <c r="C142" s="2" t="str">
        <f>IFERROR(__xludf.DUMMYFUNCTION("""COMPUTED_VALUE"""),"Ramadhan AR")</f>
        <v>Ramadhan AR</v>
      </c>
      <c r="D142" s="2" t="str">
        <f>IFERROR(__xludf.DUMMYFUNCTION("""COMPUTED_VALUE"""),"5KM OVERALL M")</f>
        <v>5KM OVERALL M</v>
      </c>
      <c r="E142" s="1">
        <f>IFERROR(__xludf.DUMMYFUNCTION("""COMPUTED_VALUE"""),91.0)</f>
        <v>91</v>
      </c>
      <c r="F142" s="1" t="str">
        <f>IFERROR(__xludf.DUMMYFUNCTION("""COMPUTED_VALUE"""),"Male")</f>
        <v>Male</v>
      </c>
      <c r="G142" s="5">
        <f>IFERROR(__xludf.DUMMYFUNCTION("""COMPUTED_VALUE"""),0.0041858055555555555)</f>
        <v>0.004185805556</v>
      </c>
      <c r="H142" s="15">
        <f>IFERROR(__xludf.DUMMYFUNCTION("""COMPUTED_VALUE"""),0.2549440625)</f>
        <v>0.2549440625</v>
      </c>
      <c r="I142" s="15">
        <f>IFERROR(__xludf.DUMMYFUNCTION("""COMPUTED_VALUE"""),45949.27587309005)</f>
        <v>45949.27587</v>
      </c>
      <c r="J142" s="15">
        <f>IFERROR(__xludf.DUMMYFUNCTION("""COMPUTED_VALUE"""),45949.02092902755)</f>
        <v>45949.02093</v>
      </c>
      <c r="K142" s="15">
        <f>IFERROR(__xludf.DUMMYFUNCTION("""COMPUTED_VALUE"""),45949.266550988905)</f>
        <v>45949.26655</v>
      </c>
      <c r="L142" s="4"/>
    </row>
    <row r="143">
      <c r="A143" s="1">
        <f>IFERROR(__xludf.DUMMYFUNCTION("""COMPUTED_VALUE"""),142.0)</f>
        <v>142</v>
      </c>
      <c r="B143" s="1">
        <f>IFERROR(__xludf.DUMMYFUNCTION("""COMPUTED_VALUE"""),5462.0)</f>
        <v>5462</v>
      </c>
      <c r="C143" s="2" t="str">
        <f>IFERROR(__xludf.DUMMYFUNCTION("""COMPUTED_VALUE"""),"SAEFUL RAHMAN")</f>
        <v>SAEFUL RAHMAN</v>
      </c>
      <c r="D143" s="2" t="str">
        <f>IFERROR(__xludf.DUMMYFUNCTION("""COMPUTED_VALUE"""),"5KM OVERALL M")</f>
        <v>5KM OVERALL M</v>
      </c>
      <c r="E143" s="1">
        <f>IFERROR(__xludf.DUMMYFUNCTION("""COMPUTED_VALUE"""),92.0)</f>
        <v>92</v>
      </c>
      <c r="F143" s="1" t="str">
        <f>IFERROR(__xludf.DUMMYFUNCTION("""COMPUTED_VALUE"""),"Male")</f>
        <v>Male</v>
      </c>
      <c r="G143" s="5">
        <f>IFERROR(__xludf.DUMMYFUNCTION("""COMPUTED_VALUE"""),0.004192101851851851)</f>
        <v>0.004192101852</v>
      </c>
      <c r="H143" s="15">
        <f>IFERROR(__xludf.DUMMYFUNCTION("""COMPUTED_VALUE"""),0.2549440625)</f>
        <v>0.2549440625</v>
      </c>
      <c r="I143" s="15">
        <f>IFERROR(__xludf.DUMMYFUNCTION("""COMPUTED_VALUE"""),45949.27590457499)</f>
        <v>45949.2759</v>
      </c>
      <c r="J143" s="15">
        <f>IFERROR(__xludf.DUMMYFUNCTION("""COMPUTED_VALUE"""),45949.02096051249)</f>
        <v>45949.02096</v>
      </c>
      <c r="K143" s="15">
        <f>IFERROR(__xludf.DUMMYFUNCTION("""COMPUTED_VALUE"""),45949.26824196466)</f>
        <v>45949.26824</v>
      </c>
      <c r="L143" s="4"/>
    </row>
    <row r="144">
      <c r="A144" s="1">
        <f>IFERROR(__xludf.DUMMYFUNCTION("""COMPUTED_VALUE"""),143.0)</f>
        <v>143</v>
      </c>
      <c r="B144" s="7" t="str">
        <f>IFERROR(__xludf.DUMMYFUNCTION("""COMPUTED_VALUE"""),"9075")</f>
        <v>9075</v>
      </c>
      <c r="C144" s="8" t="str">
        <f>IFERROR(__xludf.DUMMYFUNCTION("""COMPUTED_VALUE"""),"picaaa")</f>
        <v>picaaa</v>
      </c>
      <c r="D144" s="2" t="str">
        <f>IFERROR(__xludf.DUMMYFUNCTION("""COMPUTED_VALUE"""),"5KM STUDENT F")</f>
        <v>5KM STUDENT F</v>
      </c>
      <c r="E144" s="1">
        <f>IFERROR(__xludf.DUMMYFUNCTION("""COMPUTED_VALUE"""),2.0)</f>
        <v>2</v>
      </c>
      <c r="F144" s="1" t="str">
        <f>IFERROR(__xludf.DUMMYFUNCTION("""COMPUTED_VALUE"""),"Female")</f>
        <v>Female</v>
      </c>
      <c r="G144" s="5">
        <f>IFERROR(__xludf.DUMMYFUNCTION("""COMPUTED_VALUE"""),0.004194138888888889)</f>
        <v>0.004194138889</v>
      </c>
      <c r="H144" s="15">
        <f>IFERROR(__xludf.DUMMYFUNCTION("""COMPUTED_VALUE"""),0.2549440625)</f>
        <v>0.2549440625</v>
      </c>
      <c r="I144" s="15">
        <f>IFERROR(__xludf.DUMMYFUNCTION("""COMPUTED_VALUE"""),45949.27591475684)</f>
        <v>45949.27591</v>
      </c>
      <c r="J144" s="15">
        <f>IFERROR(__xludf.DUMMYFUNCTION("""COMPUTED_VALUE"""),45949.02097069434)</f>
        <v>45949.02097</v>
      </c>
      <c r="K144" s="15">
        <f>IFERROR(__xludf.DUMMYFUNCTION("""COMPUTED_VALUE"""),45949.26761574074)</f>
        <v>45949.26762</v>
      </c>
      <c r="L144" s="4"/>
    </row>
    <row r="145">
      <c r="A145" s="1">
        <f>IFERROR(__xludf.DUMMYFUNCTION("""COMPUTED_VALUE"""),144.0)</f>
        <v>144</v>
      </c>
      <c r="B145" s="1">
        <f>IFERROR(__xludf.DUMMYFUNCTION("""COMPUTED_VALUE"""),7054.0)</f>
        <v>7054</v>
      </c>
      <c r="C145" s="2" t="str">
        <f>IFERROR(__xludf.DUMMYFUNCTION("""COMPUTED_VALUE"""),"syahruji")</f>
        <v>syahruji</v>
      </c>
      <c r="D145" s="2" t="str">
        <f>IFERROR(__xludf.DUMMYFUNCTION("""COMPUTED_VALUE"""),"5KM MASTER M")</f>
        <v>5KM MASTER M</v>
      </c>
      <c r="E145" s="1">
        <f>IFERROR(__xludf.DUMMYFUNCTION("""COMPUTED_VALUE"""),16.0)</f>
        <v>16</v>
      </c>
      <c r="F145" s="1" t="str">
        <f>IFERROR(__xludf.DUMMYFUNCTION("""COMPUTED_VALUE"""),"Male")</f>
        <v>Male</v>
      </c>
      <c r="G145" s="5">
        <f>IFERROR(__xludf.DUMMYFUNCTION("""COMPUTED_VALUE"""),0.004197127314814815)</f>
        <v>0.004197127315</v>
      </c>
      <c r="H145" s="15">
        <f>IFERROR(__xludf.DUMMYFUNCTION("""COMPUTED_VALUE"""),0.2549440625)</f>
        <v>0.2549440625</v>
      </c>
      <c r="I145" s="15">
        <f>IFERROR(__xludf.DUMMYFUNCTION("""COMPUTED_VALUE"""),45949.275929702075)</f>
        <v>45949.27593</v>
      </c>
      <c r="J145" s="15">
        <f>IFERROR(__xludf.DUMMYFUNCTION("""COMPUTED_VALUE"""),45949.020985639574)</f>
        <v>45949.02099</v>
      </c>
      <c r="K145" s="15">
        <f>IFERROR(__xludf.DUMMYFUNCTION("""COMPUTED_VALUE"""),45949.266832322915)</f>
        <v>45949.26683</v>
      </c>
      <c r="L145" s="4"/>
    </row>
    <row r="146">
      <c r="A146" s="1">
        <f>IFERROR(__xludf.DUMMYFUNCTION("""COMPUTED_VALUE"""),145.0)</f>
        <v>145</v>
      </c>
      <c r="B146" s="1">
        <f>IFERROR(__xludf.DUMMYFUNCTION("""COMPUTED_VALUE"""),5580.0)</f>
        <v>5580</v>
      </c>
      <c r="C146" s="2" t="str">
        <f>IFERROR(__xludf.DUMMYFUNCTION("""COMPUTED_VALUE"""),"Nada")</f>
        <v>Nada</v>
      </c>
      <c r="D146" s="2" t="str">
        <f>IFERROR(__xludf.DUMMYFUNCTION("""COMPUTED_VALUE"""),"5KM OVERALL F")</f>
        <v>5KM OVERALL F</v>
      </c>
      <c r="E146" s="1">
        <f>IFERROR(__xludf.DUMMYFUNCTION("""COMPUTED_VALUE"""),9.0)</f>
        <v>9</v>
      </c>
      <c r="F146" s="1" t="str">
        <f>IFERROR(__xludf.DUMMYFUNCTION("""COMPUTED_VALUE"""),"Female")</f>
        <v>Female</v>
      </c>
      <c r="G146" s="5">
        <f>IFERROR(__xludf.DUMMYFUNCTION("""COMPUTED_VALUE"""),0.004213111111111111)</f>
        <v>0.004213111111</v>
      </c>
      <c r="H146" s="15">
        <f>IFERROR(__xludf.DUMMYFUNCTION("""COMPUTED_VALUE"""),0.2549440625)</f>
        <v>0.2549440625</v>
      </c>
      <c r="I146" s="15">
        <f>IFERROR(__xludf.DUMMYFUNCTION("""COMPUTED_VALUE"""),45949.276009623114)</f>
        <v>45949.27601</v>
      </c>
      <c r="J146" s="15">
        <f>IFERROR(__xludf.DUMMYFUNCTION("""COMPUTED_VALUE"""),45949.02106556061)</f>
        <v>45949.02107</v>
      </c>
      <c r="K146" s="15">
        <f>IFERROR(__xludf.DUMMYFUNCTION("""COMPUTED_VALUE"""),45949.26634265949)</f>
        <v>45949.26634</v>
      </c>
      <c r="L146" s="4"/>
    </row>
    <row r="147">
      <c r="A147" s="1">
        <f>IFERROR(__xludf.DUMMYFUNCTION("""COMPUTED_VALUE"""),146.0)</f>
        <v>146</v>
      </c>
      <c r="B147" s="1">
        <f>IFERROR(__xludf.DUMMYFUNCTION("""COMPUTED_VALUE"""),6213.0)</f>
        <v>6213</v>
      </c>
      <c r="C147" s="2" t="str">
        <f>IFERROR(__xludf.DUMMYFUNCTION("""COMPUTED_VALUE"""),"Mahli")</f>
        <v>Mahli</v>
      </c>
      <c r="D147" s="2" t="str">
        <f>IFERROR(__xludf.DUMMYFUNCTION("""COMPUTED_VALUE"""),"5KM OVERALL M")</f>
        <v>5KM OVERALL M</v>
      </c>
      <c r="E147" s="1">
        <f>IFERROR(__xludf.DUMMYFUNCTION("""COMPUTED_VALUE"""),93.0)</f>
        <v>93</v>
      </c>
      <c r="F147" s="1" t="str">
        <f>IFERROR(__xludf.DUMMYFUNCTION("""COMPUTED_VALUE"""),"Male")</f>
        <v>Male</v>
      </c>
      <c r="G147" s="5">
        <f>IFERROR(__xludf.DUMMYFUNCTION("""COMPUTED_VALUE"""),0.004218432870370371)</f>
        <v>0.00421843287</v>
      </c>
      <c r="H147" s="15">
        <f>IFERROR(__xludf.DUMMYFUNCTION("""COMPUTED_VALUE"""),0.2549440625)</f>
        <v>0.2549440625</v>
      </c>
      <c r="I147" s="15">
        <f>IFERROR(__xludf.DUMMYFUNCTION("""COMPUTED_VALUE"""),45949.27603623131)</f>
        <v>45949.27604</v>
      </c>
      <c r="J147" s="15">
        <f>IFERROR(__xludf.DUMMYFUNCTION("""COMPUTED_VALUE"""),45949.02109216881)</f>
        <v>45949.02109</v>
      </c>
      <c r="K147" s="15">
        <f>IFERROR(__xludf.DUMMYFUNCTION("""COMPUTED_VALUE"""),45949.26690169125)</f>
        <v>45949.2669</v>
      </c>
      <c r="L147" s="4"/>
    </row>
    <row r="148">
      <c r="A148" s="1">
        <f>IFERROR(__xludf.DUMMYFUNCTION("""COMPUTED_VALUE"""),147.0)</f>
        <v>147</v>
      </c>
      <c r="B148" s="1">
        <f>IFERROR(__xludf.DUMMYFUNCTION("""COMPUTED_VALUE"""),5094.0)</f>
        <v>5094</v>
      </c>
      <c r="C148" s="2" t="str">
        <f>IFERROR(__xludf.DUMMYFUNCTION("""COMPUTED_VALUE"""),"SIGIT HANDOKO")</f>
        <v>SIGIT HANDOKO</v>
      </c>
      <c r="D148" s="2" t="str">
        <f>IFERROR(__xludf.DUMMYFUNCTION("""COMPUTED_VALUE"""),"5KM OVERALL M")</f>
        <v>5KM OVERALL M</v>
      </c>
      <c r="E148" s="1">
        <f>IFERROR(__xludf.DUMMYFUNCTION("""COMPUTED_VALUE"""),94.0)</f>
        <v>94</v>
      </c>
      <c r="F148" s="1" t="str">
        <f>IFERROR(__xludf.DUMMYFUNCTION("""COMPUTED_VALUE"""),"Male")</f>
        <v>Male</v>
      </c>
      <c r="G148" s="5">
        <f>IFERROR(__xludf.DUMMYFUNCTION("""COMPUTED_VALUE"""),0.004219914351851851)</f>
        <v>0.004219914352</v>
      </c>
      <c r="H148" s="15">
        <f>IFERROR(__xludf.DUMMYFUNCTION("""COMPUTED_VALUE"""),0.2549440625)</f>
        <v>0.2549440625</v>
      </c>
      <c r="I148" s="15">
        <f>IFERROR(__xludf.DUMMYFUNCTION("""COMPUTED_VALUE"""),45949.276043632664)</f>
        <v>45949.27604</v>
      </c>
      <c r="J148" s="15">
        <f>IFERROR(__xludf.DUMMYFUNCTION("""COMPUTED_VALUE"""),45949.021099570164)</f>
        <v>45949.0211</v>
      </c>
      <c r="K148" s="15">
        <f>IFERROR(__xludf.DUMMYFUNCTION("""COMPUTED_VALUE"""),45949.26689134496)</f>
        <v>45949.26689</v>
      </c>
      <c r="L148" s="4"/>
    </row>
    <row r="149">
      <c r="A149" s="1">
        <f>IFERROR(__xludf.DUMMYFUNCTION("""COMPUTED_VALUE"""),148.0)</f>
        <v>148</v>
      </c>
      <c r="B149" s="1">
        <f>IFERROR(__xludf.DUMMYFUNCTION("""COMPUTED_VALUE"""),5389.0)</f>
        <v>5389</v>
      </c>
      <c r="C149" s="2" t="str">
        <f>IFERROR(__xludf.DUMMYFUNCTION("""COMPUTED_VALUE"""),"Junsss")</f>
        <v>Junsss</v>
      </c>
      <c r="D149" s="2" t="str">
        <f>IFERROR(__xludf.DUMMYFUNCTION("""COMPUTED_VALUE"""),"5KM OVERALL M")</f>
        <v>5KM OVERALL M</v>
      </c>
      <c r="E149" s="1">
        <f>IFERROR(__xludf.DUMMYFUNCTION("""COMPUTED_VALUE"""),95.0)</f>
        <v>95</v>
      </c>
      <c r="F149" s="1" t="str">
        <f>IFERROR(__xludf.DUMMYFUNCTION("""COMPUTED_VALUE"""),"Male")</f>
        <v>Male</v>
      </c>
      <c r="G149" s="5">
        <f>IFERROR(__xludf.DUMMYFUNCTION("""COMPUTED_VALUE"""),0.004219916666666666)</f>
        <v>0.004219916667</v>
      </c>
      <c r="H149" s="15">
        <f>IFERROR(__xludf.DUMMYFUNCTION("""COMPUTED_VALUE"""),0.2549440625)</f>
        <v>0.2549440625</v>
      </c>
      <c r="I149" s="15">
        <f>IFERROR(__xludf.DUMMYFUNCTION("""COMPUTED_VALUE"""),45949.27604364898)</f>
        <v>45949.27604</v>
      </c>
      <c r="J149" s="15">
        <f>IFERROR(__xludf.DUMMYFUNCTION("""COMPUTED_VALUE"""),45949.021099586476)</f>
        <v>45949.0211</v>
      </c>
      <c r="K149" s="15">
        <f>IFERROR(__xludf.DUMMYFUNCTION("""COMPUTED_VALUE"""),45949.26628710056)</f>
        <v>45949.26629</v>
      </c>
      <c r="L149" s="4"/>
    </row>
    <row r="150">
      <c r="A150" s="1">
        <f>IFERROR(__xludf.DUMMYFUNCTION("""COMPUTED_VALUE"""),149.0)</f>
        <v>149</v>
      </c>
      <c r="B150" s="7" t="str">
        <f>IFERROR(__xludf.DUMMYFUNCTION("""COMPUTED_VALUE"""),"7184")</f>
        <v>7184</v>
      </c>
      <c r="C150" s="8" t="str">
        <f>IFERROR(__xludf.DUMMYFUNCTION("""COMPUTED_VALUE"""),"Eddy")</f>
        <v>Eddy</v>
      </c>
      <c r="D150" s="2" t="str">
        <f>IFERROR(__xludf.DUMMYFUNCTION("""COMPUTED_VALUE"""),"5KM MASTER M")</f>
        <v>5KM MASTER M</v>
      </c>
      <c r="E150" s="1">
        <f>IFERROR(__xludf.DUMMYFUNCTION("""COMPUTED_VALUE"""),17.0)</f>
        <v>17</v>
      </c>
      <c r="F150" s="1" t="str">
        <f>IFERROR(__xludf.DUMMYFUNCTION("""COMPUTED_VALUE"""),"Male")</f>
        <v>Male</v>
      </c>
      <c r="G150" s="5">
        <f>IFERROR(__xludf.DUMMYFUNCTION("""COMPUTED_VALUE"""),0.004221916666666666)</f>
        <v>0.004221916667</v>
      </c>
      <c r="H150" s="15">
        <f>IFERROR(__xludf.DUMMYFUNCTION("""COMPUTED_VALUE"""),0.2549440625)</f>
        <v>0.2549440625</v>
      </c>
      <c r="I150" s="15">
        <f>IFERROR(__xludf.DUMMYFUNCTION("""COMPUTED_VALUE"""),45949.27605364703)</f>
        <v>45949.27605</v>
      </c>
      <c r="J150" s="15">
        <f>IFERROR(__xludf.DUMMYFUNCTION("""COMPUTED_VALUE"""),45949.02110958453)</f>
        <v>45949.02111</v>
      </c>
      <c r="K150" s="15">
        <f>IFERROR(__xludf.DUMMYFUNCTION("""COMPUTED_VALUE"""),45949.2671239787)</f>
        <v>45949.26712</v>
      </c>
      <c r="L150" s="4"/>
    </row>
    <row r="151">
      <c r="A151" s="1">
        <f>IFERROR(__xludf.DUMMYFUNCTION("""COMPUTED_VALUE"""),150.0)</f>
        <v>150</v>
      </c>
      <c r="B151" s="1">
        <f>IFERROR(__xludf.DUMMYFUNCTION("""COMPUTED_VALUE"""),6436.0)</f>
        <v>6436</v>
      </c>
      <c r="C151" s="2" t="str">
        <f>IFERROR(__xludf.DUMMYFUNCTION("""COMPUTED_VALUE"""),"AGUS HARYANTO")</f>
        <v>AGUS HARYANTO</v>
      </c>
      <c r="D151" s="2" t="str">
        <f>IFERROR(__xludf.DUMMYFUNCTION("""COMPUTED_VALUE"""),"5KM OVERALL M")</f>
        <v>5KM OVERALL M</v>
      </c>
      <c r="E151" s="1">
        <f>IFERROR(__xludf.DUMMYFUNCTION("""COMPUTED_VALUE"""),96.0)</f>
        <v>96</v>
      </c>
      <c r="F151" s="1" t="str">
        <f>IFERROR(__xludf.DUMMYFUNCTION("""COMPUTED_VALUE"""),"Male")</f>
        <v>Male</v>
      </c>
      <c r="G151" s="5">
        <f>IFERROR(__xludf.DUMMYFUNCTION("""COMPUTED_VALUE"""),0.004246280092592593)</f>
        <v>0.004246280093</v>
      </c>
      <c r="H151" s="15">
        <f>IFERROR(__xludf.DUMMYFUNCTION("""COMPUTED_VALUE"""),0.2549440625)</f>
        <v>0.2549440625</v>
      </c>
      <c r="I151" s="15">
        <f>IFERROR(__xludf.DUMMYFUNCTION("""COMPUTED_VALUE"""),45949.27617546769)</f>
        <v>45949.27618</v>
      </c>
      <c r="J151" s="15">
        <f>IFERROR(__xludf.DUMMYFUNCTION("""COMPUTED_VALUE"""),45949.02123140519)</f>
        <v>45949.02123</v>
      </c>
      <c r="K151" s="15">
        <f>IFERROR(__xludf.DUMMYFUNCTION("""COMPUTED_VALUE"""),45949.26693994469)</f>
        <v>45949.26694</v>
      </c>
      <c r="L151" s="4"/>
    </row>
    <row r="152">
      <c r="A152" s="1">
        <f>IFERROR(__xludf.DUMMYFUNCTION("""COMPUTED_VALUE"""),151.0)</f>
        <v>151</v>
      </c>
      <c r="B152" s="1">
        <f>IFERROR(__xludf.DUMMYFUNCTION("""COMPUTED_VALUE"""),5422.0)</f>
        <v>5422</v>
      </c>
      <c r="C152" s="2" t="str">
        <f>IFERROR(__xludf.DUMMYFUNCTION("""COMPUTED_VALUE"""),"SANDI")</f>
        <v>SANDI</v>
      </c>
      <c r="D152" s="2" t="str">
        <f>IFERROR(__xludf.DUMMYFUNCTION("""COMPUTED_VALUE"""),"5KM OVERALL M")</f>
        <v>5KM OVERALL M</v>
      </c>
      <c r="E152" s="1">
        <f>IFERROR(__xludf.DUMMYFUNCTION("""COMPUTED_VALUE"""),97.0)</f>
        <v>97</v>
      </c>
      <c r="F152" s="1" t="str">
        <f>IFERROR(__xludf.DUMMYFUNCTION("""COMPUTED_VALUE"""),"Male")</f>
        <v>Male</v>
      </c>
      <c r="G152" s="5">
        <f>IFERROR(__xludf.DUMMYFUNCTION("""COMPUTED_VALUE"""),0.004248307870370371)</f>
        <v>0.00424830787</v>
      </c>
      <c r="H152" s="15">
        <f>IFERROR(__xludf.DUMMYFUNCTION("""COMPUTED_VALUE"""),0.2549440625)</f>
        <v>0.2549440625</v>
      </c>
      <c r="I152" s="15">
        <f>IFERROR(__xludf.DUMMYFUNCTION("""COMPUTED_VALUE"""),45949.276185597846)</f>
        <v>45949.27619</v>
      </c>
      <c r="J152" s="15">
        <f>IFERROR(__xludf.DUMMYFUNCTION("""COMPUTED_VALUE"""),45949.021241535345)</f>
        <v>45949.02124</v>
      </c>
      <c r="K152" s="15">
        <f>IFERROR(__xludf.DUMMYFUNCTION("""COMPUTED_VALUE"""),45949.26641216426)</f>
        <v>45949.26641</v>
      </c>
      <c r="L152" s="4"/>
    </row>
    <row r="153">
      <c r="A153" s="1">
        <f>IFERROR(__xludf.DUMMYFUNCTION("""COMPUTED_VALUE"""),152.0)</f>
        <v>152</v>
      </c>
      <c r="B153" s="1">
        <f>IFERROR(__xludf.DUMMYFUNCTION("""COMPUTED_VALUE"""),5486.0)</f>
        <v>5486</v>
      </c>
      <c r="C153" s="2" t="str">
        <f>IFERROR(__xludf.DUMMYFUNCTION("""COMPUTED_VALUE"""),"Natalisa")</f>
        <v>Natalisa</v>
      </c>
      <c r="D153" s="2" t="str">
        <f>IFERROR(__xludf.DUMMYFUNCTION("""COMPUTED_VALUE"""),"5KM OVERALL F")</f>
        <v>5KM OVERALL F</v>
      </c>
      <c r="E153" s="1">
        <f>IFERROR(__xludf.DUMMYFUNCTION("""COMPUTED_VALUE"""),10.0)</f>
        <v>10</v>
      </c>
      <c r="F153" s="1" t="str">
        <f>IFERROR(__xludf.DUMMYFUNCTION("""COMPUTED_VALUE"""),"Female")</f>
        <v>Female</v>
      </c>
      <c r="G153" s="5">
        <f>IFERROR(__xludf.DUMMYFUNCTION("""COMPUTED_VALUE"""),0.004251777777777778)</f>
        <v>0.004251777778</v>
      </c>
      <c r="H153" s="15">
        <f>IFERROR(__xludf.DUMMYFUNCTION("""COMPUTED_VALUE"""),0.2549440625)</f>
        <v>0.2549440625</v>
      </c>
      <c r="I153" s="15">
        <f>IFERROR(__xludf.DUMMYFUNCTION("""COMPUTED_VALUE"""),45949.27620295472)</f>
        <v>45949.2762</v>
      </c>
      <c r="J153" s="15">
        <f>IFERROR(__xludf.DUMMYFUNCTION("""COMPUTED_VALUE"""),45949.02125889222)</f>
        <v>45949.02126</v>
      </c>
      <c r="K153" s="15">
        <f>IFERROR(__xludf.DUMMYFUNCTION("""COMPUTED_VALUE"""),45949.26663437835)</f>
        <v>45949.26663</v>
      </c>
      <c r="L153" s="4"/>
    </row>
    <row r="154">
      <c r="A154" s="1">
        <f>IFERROR(__xludf.DUMMYFUNCTION("""COMPUTED_VALUE"""),153.0)</f>
        <v>153</v>
      </c>
      <c r="B154" s="1">
        <f>IFERROR(__xludf.DUMMYFUNCTION("""COMPUTED_VALUE"""),5711.0)</f>
        <v>5711</v>
      </c>
      <c r="C154" s="2" t="str">
        <f>IFERROR(__xludf.DUMMYFUNCTION("""COMPUTED_VALUE"""),"aisah")</f>
        <v>aisah</v>
      </c>
      <c r="D154" s="2" t="str">
        <f>IFERROR(__xludf.DUMMYFUNCTION("""COMPUTED_VALUE"""),"5KM OVERALL F")</f>
        <v>5KM OVERALL F</v>
      </c>
      <c r="E154" s="1">
        <f>IFERROR(__xludf.DUMMYFUNCTION("""COMPUTED_VALUE"""),11.0)</f>
        <v>11</v>
      </c>
      <c r="F154" s="1" t="str">
        <f>IFERROR(__xludf.DUMMYFUNCTION("""COMPUTED_VALUE"""),"Female")</f>
        <v>Female</v>
      </c>
      <c r="G154" s="5">
        <f>IFERROR(__xludf.DUMMYFUNCTION("""COMPUTED_VALUE"""),0.004255944444444444)</f>
        <v>0.004255944444</v>
      </c>
      <c r="H154" s="15">
        <f>IFERROR(__xludf.DUMMYFUNCTION("""COMPUTED_VALUE"""),0.2549440625)</f>
        <v>0.2549440625</v>
      </c>
      <c r="I154" s="15">
        <f>IFERROR(__xludf.DUMMYFUNCTION("""COMPUTED_VALUE"""),45949.27622379046)</f>
        <v>45949.27622</v>
      </c>
      <c r="J154" s="15">
        <f>IFERROR(__xludf.DUMMYFUNCTION("""COMPUTED_VALUE"""),45949.02127972796)</f>
        <v>45949.02128</v>
      </c>
      <c r="K154" s="15">
        <f>IFERROR(__xludf.DUMMYFUNCTION("""COMPUTED_VALUE"""),45949.266471139956)</f>
        <v>45949.26647</v>
      </c>
      <c r="L154" s="4"/>
    </row>
    <row r="155">
      <c r="A155" s="1">
        <f>IFERROR(__xludf.DUMMYFUNCTION("""COMPUTED_VALUE"""),154.0)</f>
        <v>154</v>
      </c>
      <c r="B155" s="1">
        <f>IFERROR(__xludf.DUMMYFUNCTION("""COMPUTED_VALUE"""),5218.0)</f>
        <v>5218</v>
      </c>
      <c r="C155" s="2" t="str">
        <f>IFERROR(__xludf.DUMMYFUNCTION("""COMPUTED_VALUE"""),"RAMLAN")</f>
        <v>RAMLAN</v>
      </c>
      <c r="D155" s="2" t="str">
        <f>IFERROR(__xludf.DUMMYFUNCTION("""COMPUTED_VALUE"""),"5KM OVERALL M")</f>
        <v>5KM OVERALL M</v>
      </c>
      <c r="E155" s="1">
        <f>IFERROR(__xludf.DUMMYFUNCTION("""COMPUTED_VALUE"""),98.0)</f>
        <v>98</v>
      </c>
      <c r="F155" s="1" t="str">
        <f>IFERROR(__xludf.DUMMYFUNCTION("""COMPUTED_VALUE"""),"Male")</f>
        <v>Male</v>
      </c>
      <c r="G155" s="5">
        <f>IFERROR(__xludf.DUMMYFUNCTION("""COMPUTED_VALUE"""),0.004264974537037037)</f>
        <v>0.004264974537</v>
      </c>
      <c r="H155" s="15">
        <f>IFERROR(__xludf.DUMMYFUNCTION("""COMPUTED_VALUE"""),0.2549440625)</f>
        <v>0.2549440625</v>
      </c>
      <c r="I155" s="15">
        <f>IFERROR(__xludf.DUMMYFUNCTION("""COMPUTED_VALUE"""),45949.276268929716)</f>
        <v>45949.27627</v>
      </c>
      <c r="J155" s="15">
        <f>IFERROR(__xludf.DUMMYFUNCTION("""COMPUTED_VALUE"""),45949.021324867215)</f>
        <v>45949.02132</v>
      </c>
      <c r="K155" s="15">
        <f>IFERROR(__xludf.DUMMYFUNCTION("""COMPUTED_VALUE"""),45949.26639475109)</f>
        <v>45949.26639</v>
      </c>
      <c r="L155" s="4"/>
    </row>
    <row r="156">
      <c r="A156" s="1">
        <f>IFERROR(__xludf.DUMMYFUNCTION("""COMPUTED_VALUE"""),155.0)</f>
        <v>155</v>
      </c>
      <c r="B156" s="1">
        <f>IFERROR(__xludf.DUMMYFUNCTION("""COMPUTED_VALUE"""),5644.0)</f>
        <v>5644</v>
      </c>
      <c r="C156" s="2" t="str">
        <f>IFERROR(__xludf.DUMMYFUNCTION("""COMPUTED_VALUE"""),"armadhani.x")</f>
        <v>armadhani.x</v>
      </c>
      <c r="D156" s="2" t="str">
        <f>IFERROR(__xludf.DUMMYFUNCTION("""COMPUTED_VALUE"""),"5KM OVERALL M")</f>
        <v>5KM OVERALL M</v>
      </c>
      <c r="E156" s="1">
        <f>IFERROR(__xludf.DUMMYFUNCTION("""COMPUTED_VALUE"""),99.0)</f>
        <v>99</v>
      </c>
      <c r="F156" s="1" t="str">
        <f>IFERROR(__xludf.DUMMYFUNCTION("""COMPUTED_VALUE"""),"Male")</f>
        <v>Male</v>
      </c>
      <c r="G156" s="5">
        <f>IFERROR(__xludf.DUMMYFUNCTION("""COMPUTED_VALUE"""),0.00426775)</f>
        <v>0.00426775</v>
      </c>
      <c r="H156" s="15">
        <f>IFERROR(__xludf.DUMMYFUNCTION("""COMPUTED_VALUE"""),0.2549440625)</f>
        <v>0.2549440625</v>
      </c>
      <c r="I156" s="15">
        <f>IFERROR(__xludf.DUMMYFUNCTION("""COMPUTED_VALUE"""),45949.27628280711)</f>
        <v>45949.27628</v>
      </c>
      <c r="J156" s="15">
        <f>IFERROR(__xludf.DUMMYFUNCTION("""COMPUTED_VALUE"""),45949.02133874461)</f>
        <v>45949.02134</v>
      </c>
      <c r="K156" s="15">
        <f>IFERROR(__xludf.DUMMYFUNCTION("""COMPUTED_VALUE"""),45949.26860327661)</f>
        <v>45949.2686</v>
      </c>
      <c r="L156" s="4"/>
    </row>
    <row r="157">
      <c r="A157" s="1">
        <f>IFERROR(__xludf.DUMMYFUNCTION("""COMPUTED_VALUE"""),156.0)</f>
        <v>156</v>
      </c>
      <c r="B157" s="1">
        <f>IFERROR(__xludf.DUMMYFUNCTION("""COMPUTED_VALUE"""),6169.0)</f>
        <v>6169</v>
      </c>
      <c r="C157" s="2" t="str">
        <f>IFERROR(__xludf.DUMMYFUNCTION("""COMPUTED_VALUE"""),"EMA KARINA")</f>
        <v>EMA KARINA</v>
      </c>
      <c r="D157" s="2" t="str">
        <f>IFERROR(__xludf.DUMMYFUNCTION("""COMPUTED_VALUE"""),"5KM OVERALL F")</f>
        <v>5KM OVERALL F</v>
      </c>
      <c r="E157" s="1">
        <f>IFERROR(__xludf.DUMMYFUNCTION("""COMPUTED_VALUE"""),12.0)</f>
        <v>12</v>
      </c>
      <c r="F157" s="1" t="str">
        <f>IFERROR(__xludf.DUMMYFUNCTION("""COMPUTED_VALUE"""),"Female")</f>
        <v>Female</v>
      </c>
      <c r="G157" s="5">
        <f>IFERROR(__xludf.DUMMYFUNCTION("""COMPUTED_VALUE"""),0.00427280787037037)</f>
        <v>0.00427280787</v>
      </c>
      <c r="H157" s="15">
        <f>IFERROR(__xludf.DUMMYFUNCTION("""COMPUTED_VALUE"""),0.2549440625)</f>
        <v>0.2549440625</v>
      </c>
      <c r="I157" s="15">
        <f>IFERROR(__xludf.DUMMYFUNCTION("""COMPUTED_VALUE"""),45949.27630810445)</f>
        <v>45949.27631</v>
      </c>
      <c r="J157" s="15">
        <f>IFERROR(__xludf.DUMMYFUNCTION("""COMPUTED_VALUE"""),45949.021364041946)</f>
        <v>45949.02136</v>
      </c>
      <c r="K157" s="15">
        <f>IFERROR(__xludf.DUMMYFUNCTION("""COMPUTED_VALUE"""),45949.26687745684)</f>
        <v>45949.26688</v>
      </c>
      <c r="L157" s="4"/>
    </row>
    <row r="158">
      <c r="A158" s="1">
        <f>IFERROR(__xludf.DUMMYFUNCTION("""COMPUTED_VALUE"""),157.0)</f>
        <v>157</v>
      </c>
      <c r="B158" s="1">
        <f>IFERROR(__xludf.DUMMYFUNCTION("""COMPUTED_VALUE"""),6271.0)</f>
        <v>6271</v>
      </c>
      <c r="C158" s="2" t="str">
        <f>IFERROR(__xludf.DUMMYFUNCTION("""COMPUTED_VALUE"""),"ALFI")</f>
        <v>ALFI</v>
      </c>
      <c r="D158" s="2" t="str">
        <f>IFERROR(__xludf.DUMMYFUNCTION("""COMPUTED_VALUE"""),"5KM OVERALL M")</f>
        <v>5KM OVERALL M</v>
      </c>
      <c r="E158" s="1">
        <f>IFERROR(__xludf.DUMMYFUNCTION("""COMPUTED_VALUE"""),100.0)</f>
        <v>100</v>
      </c>
      <c r="F158" s="1" t="str">
        <f>IFERROR(__xludf.DUMMYFUNCTION("""COMPUTED_VALUE"""),"Male")</f>
        <v>Male</v>
      </c>
      <c r="G158" s="5">
        <f>IFERROR(__xludf.DUMMYFUNCTION("""COMPUTED_VALUE"""),0.004281800925925927)</f>
        <v>0.004281800926</v>
      </c>
      <c r="H158" s="15">
        <f>IFERROR(__xludf.DUMMYFUNCTION("""COMPUTED_VALUE"""),0.2549440625)</f>
        <v>0.2549440625</v>
      </c>
      <c r="I158" s="15">
        <f>IFERROR(__xludf.DUMMYFUNCTION("""COMPUTED_VALUE"""),45949.27635306244)</f>
        <v>45949.27635</v>
      </c>
      <c r="J158" s="15">
        <f>IFERROR(__xludf.DUMMYFUNCTION("""COMPUTED_VALUE"""),45949.02140899994)</f>
        <v>45949.02141</v>
      </c>
      <c r="K158" s="15">
        <f>IFERROR(__xludf.DUMMYFUNCTION("""COMPUTED_VALUE"""),45949.26682184136)</f>
        <v>45949.26682</v>
      </c>
      <c r="L158" s="4"/>
    </row>
    <row r="159">
      <c r="A159" s="1">
        <f>IFERROR(__xludf.DUMMYFUNCTION("""COMPUTED_VALUE"""),158.0)</f>
        <v>158</v>
      </c>
      <c r="B159" s="1">
        <f>IFERROR(__xludf.DUMMYFUNCTION("""COMPUTED_VALUE"""),5170.0)</f>
        <v>5170</v>
      </c>
      <c r="C159" s="2" t="str">
        <f>IFERROR(__xludf.DUMMYFUNCTION("""COMPUTED_VALUE"""),"Athario Nuriadi")</f>
        <v>Athario Nuriadi</v>
      </c>
      <c r="D159" s="2" t="str">
        <f>IFERROR(__xludf.DUMMYFUNCTION("""COMPUTED_VALUE"""),"5KM OVERALL M")</f>
        <v>5KM OVERALL M</v>
      </c>
      <c r="E159" s="1">
        <f>IFERROR(__xludf.DUMMYFUNCTION("""COMPUTED_VALUE"""),101.0)</f>
        <v>101</v>
      </c>
      <c r="F159" s="1" t="str">
        <f>IFERROR(__xludf.DUMMYFUNCTION("""COMPUTED_VALUE"""),"Male")</f>
        <v>Male</v>
      </c>
      <c r="G159" s="5">
        <f>IFERROR(__xludf.DUMMYFUNCTION("""COMPUTED_VALUE"""),0.004282333333333334)</f>
        <v>0.004282333333</v>
      </c>
      <c r="H159" s="15">
        <f>IFERROR(__xludf.DUMMYFUNCTION("""COMPUTED_VALUE"""),0.2549440625)</f>
        <v>0.2549440625</v>
      </c>
      <c r="I159" s="15">
        <f>IFERROR(__xludf.DUMMYFUNCTION("""COMPUTED_VALUE"""),45949.27635572655)</f>
        <v>45949.27636</v>
      </c>
      <c r="J159" s="15">
        <f>IFERROR(__xludf.DUMMYFUNCTION("""COMPUTED_VALUE"""),45949.02141166405)</f>
        <v>45949.02141</v>
      </c>
      <c r="K159" s="15">
        <f>IFERROR(__xludf.DUMMYFUNCTION("""COMPUTED_VALUE"""),45949.26704404759)</f>
        <v>45949.26704</v>
      </c>
      <c r="L159" s="4"/>
    </row>
    <row r="160">
      <c r="A160" s="1">
        <f>IFERROR(__xludf.DUMMYFUNCTION("""COMPUTED_VALUE"""),159.0)</f>
        <v>159</v>
      </c>
      <c r="B160" s="1">
        <f>IFERROR(__xludf.DUMMYFUNCTION("""COMPUTED_VALUE"""),6080.0)</f>
        <v>6080</v>
      </c>
      <c r="C160" s="2" t="str">
        <f>IFERROR(__xludf.DUMMYFUNCTION("""COMPUTED_VALUE"""),"KIRANA ZEBRA 86")</f>
        <v>KIRANA ZEBRA 86</v>
      </c>
      <c r="D160" s="2" t="str">
        <f>IFERROR(__xludf.DUMMYFUNCTION("""COMPUTED_VALUE"""),"5KM OVERALL M")</f>
        <v>5KM OVERALL M</v>
      </c>
      <c r="E160" s="1">
        <f>IFERROR(__xludf.DUMMYFUNCTION("""COMPUTED_VALUE"""),102.0)</f>
        <v>102</v>
      </c>
      <c r="F160" s="1" t="str">
        <f>IFERROR(__xludf.DUMMYFUNCTION("""COMPUTED_VALUE"""),"Male")</f>
        <v>Male</v>
      </c>
      <c r="G160" s="5">
        <f>IFERROR(__xludf.DUMMYFUNCTION("""COMPUTED_VALUE"""),0.004282335648148148)</f>
        <v>0.004282335648</v>
      </c>
      <c r="H160" s="15">
        <f>IFERROR(__xludf.DUMMYFUNCTION("""COMPUTED_VALUE"""),0.2549440625)</f>
        <v>0.2549440625</v>
      </c>
      <c r="I160" s="15">
        <f>IFERROR(__xludf.DUMMYFUNCTION("""COMPUTED_VALUE"""),45949.27635573854)</f>
        <v>45949.27636</v>
      </c>
      <c r="J160" s="15">
        <f>IFERROR(__xludf.DUMMYFUNCTION("""COMPUTED_VALUE"""),45949.02141167604)</f>
        <v>45949.02141</v>
      </c>
      <c r="K160" s="15">
        <f>IFERROR(__xludf.DUMMYFUNCTION("""COMPUTED_VALUE"""),45949.266571822074)</f>
        <v>45949.26657</v>
      </c>
      <c r="L160" s="4"/>
    </row>
    <row r="161">
      <c r="A161" s="1">
        <f>IFERROR(__xludf.DUMMYFUNCTION("""COMPUTED_VALUE"""),160.0)</f>
        <v>160</v>
      </c>
      <c r="B161" s="1">
        <f>IFERROR(__xludf.DUMMYFUNCTION("""COMPUTED_VALUE"""),5051.0)</f>
        <v>5051</v>
      </c>
      <c r="C161" s="2">
        <f>IFERROR(__xludf.DUMMYFUNCTION("""COMPUTED_VALUE"""),1025.0)</f>
        <v>1025</v>
      </c>
      <c r="D161" s="2" t="str">
        <f>IFERROR(__xludf.DUMMYFUNCTION("""COMPUTED_VALUE"""),"5KM OVERALL M")</f>
        <v>5KM OVERALL M</v>
      </c>
      <c r="E161" s="1">
        <f>IFERROR(__xludf.DUMMYFUNCTION("""COMPUTED_VALUE"""),103.0)</f>
        <v>103</v>
      </c>
      <c r="F161" s="1" t="str">
        <f>IFERROR(__xludf.DUMMYFUNCTION("""COMPUTED_VALUE"""),"Male")</f>
        <v>Male</v>
      </c>
      <c r="G161" s="5">
        <f>IFERROR(__xludf.DUMMYFUNCTION("""COMPUTED_VALUE"""),0.004292752314814815)</f>
        <v>0.004292752315</v>
      </c>
      <c r="H161" s="15">
        <f>IFERROR(__xludf.DUMMYFUNCTION("""COMPUTED_VALUE"""),0.2549440625)</f>
        <v>0.2549440625</v>
      </c>
      <c r="I161" s="15">
        <f>IFERROR(__xludf.DUMMYFUNCTION("""COMPUTED_VALUE"""),45949.276407820864)</f>
        <v>45949.27641</v>
      </c>
      <c r="J161" s="15">
        <f>IFERROR(__xludf.DUMMYFUNCTION("""COMPUTED_VALUE"""),45949.02146375836)</f>
        <v>45949.02146</v>
      </c>
      <c r="K161" s="15">
        <f>IFERROR(__xludf.DUMMYFUNCTION("""COMPUTED_VALUE"""),45949.267472235195)</f>
        <v>45949.26747</v>
      </c>
      <c r="L161" s="4"/>
    </row>
    <row r="162">
      <c r="A162" s="1">
        <f>IFERROR(__xludf.DUMMYFUNCTION("""COMPUTED_VALUE"""),161.0)</f>
        <v>161</v>
      </c>
      <c r="B162" s="1">
        <f>IFERROR(__xludf.DUMMYFUNCTION("""COMPUTED_VALUE"""),6498.0)</f>
        <v>6498</v>
      </c>
      <c r="C162" s="2" t="str">
        <f>IFERROR(__xludf.DUMMYFUNCTION("""COMPUTED_VALUE"""),"KEJARI BANJARBARU")</f>
        <v>KEJARI BANJARBARU</v>
      </c>
      <c r="D162" s="2" t="str">
        <f>IFERROR(__xludf.DUMMYFUNCTION("""COMPUTED_VALUE"""),"5KM OVERALL M")</f>
        <v>5KM OVERALL M</v>
      </c>
      <c r="E162" s="1">
        <f>IFERROR(__xludf.DUMMYFUNCTION("""COMPUTED_VALUE"""),104.0)</f>
        <v>104</v>
      </c>
      <c r="F162" s="1" t="str">
        <f>IFERROR(__xludf.DUMMYFUNCTION("""COMPUTED_VALUE"""),"Male")</f>
        <v>Male</v>
      </c>
      <c r="G162" s="5">
        <f>IFERROR(__xludf.DUMMYFUNCTION("""COMPUTED_VALUE"""),0.004305168981481482)</f>
        <v>0.004305168981</v>
      </c>
      <c r="H162" s="15">
        <f>IFERROR(__xludf.DUMMYFUNCTION("""COMPUTED_VALUE"""),0.2549440625)</f>
        <v>0.2549440625</v>
      </c>
      <c r="I162" s="15">
        <f>IFERROR(__xludf.DUMMYFUNCTION("""COMPUTED_VALUE"""),45949.27646990741)</f>
        <v>45949.27647</v>
      </c>
      <c r="J162" s="15">
        <f>IFERROR(__xludf.DUMMYFUNCTION("""COMPUTED_VALUE"""),45949.02152584491)</f>
        <v>45949.02153</v>
      </c>
      <c r="K162" s="15">
        <f>IFERROR(__xludf.DUMMYFUNCTION("""COMPUTED_VALUE"""),45949.26832882853)</f>
        <v>45949.26833</v>
      </c>
      <c r="L162" s="4"/>
    </row>
    <row r="163">
      <c r="A163" s="1">
        <f>IFERROR(__xludf.DUMMYFUNCTION("""COMPUTED_VALUE"""),162.0)</f>
        <v>162</v>
      </c>
      <c r="B163" s="1">
        <f>IFERROR(__xludf.DUMMYFUNCTION("""COMPUTED_VALUE"""),5405.0)</f>
        <v>5405</v>
      </c>
      <c r="C163" s="2" t="str">
        <f>IFERROR(__xludf.DUMMYFUNCTION("""COMPUTED_VALUE"""),"Zombie Sand")</f>
        <v>Zombie Sand</v>
      </c>
      <c r="D163" s="2" t="str">
        <f>IFERROR(__xludf.DUMMYFUNCTION("""COMPUTED_VALUE"""),"5KM OVERALL M")</f>
        <v>5KM OVERALL M</v>
      </c>
      <c r="E163" s="1">
        <f>IFERROR(__xludf.DUMMYFUNCTION("""COMPUTED_VALUE"""),105.0)</f>
        <v>105</v>
      </c>
      <c r="F163" s="1" t="str">
        <f>IFERROR(__xludf.DUMMYFUNCTION("""COMPUTED_VALUE"""),"Male")</f>
        <v>Male</v>
      </c>
      <c r="G163" s="5">
        <f>IFERROR(__xludf.DUMMYFUNCTION("""COMPUTED_VALUE"""),0.0043184930555555555)</f>
        <v>0.004318493056</v>
      </c>
      <c r="H163" s="15">
        <f>IFERROR(__xludf.DUMMYFUNCTION("""COMPUTED_VALUE"""),0.2549440625)</f>
        <v>0.2549440625</v>
      </c>
      <c r="I163" s="15">
        <f>IFERROR(__xludf.DUMMYFUNCTION("""COMPUTED_VALUE"""),45949.276536522506)</f>
        <v>45949.27654</v>
      </c>
      <c r="J163" s="15">
        <f>IFERROR(__xludf.DUMMYFUNCTION("""COMPUTED_VALUE"""),45949.021592460005)</f>
        <v>45949.02159</v>
      </c>
      <c r="K163" s="15">
        <f>IFERROR(__xludf.DUMMYFUNCTION("""COMPUTED_VALUE"""),45949.268946825694)</f>
        <v>45949.26895</v>
      </c>
      <c r="L163" s="4"/>
    </row>
    <row r="164">
      <c r="A164" s="1">
        <f>IFERROR(__xludf.DUMMYFUNCTION("""COMPUTED_VALUE"""),163.0)</f>
        <v>163</v>
      </c>
      <c r="B164" s="1">
        <f>IFERROR(__xludf.DUMMYFUNCTION("""COMPUTED_VALUE"""),5893.0)</f>
        <v>5893</v>
      </c>
      <c r="C164" s="2" t="str">
        <f>IFERROR(__xludf.DUMMYFUNCTION("""COMPUTED_VALUE"""),"KAAZEE")</f>
        <v>KAAZEE</v>
      </c>
      <c r="D164" s="2" t="str">
        <f>IFERROR(__xludf.DUMMYFUNCTION("""COMPUTED_VALUE"""),"5KM OVERALL M")</f>
        <v>5KM OVERALL M</v>
      </c>
      <c r="E164" s="1">
        <f>IFERROR(__xludf.DUMMYFUNCTION("""COMPUTED_VALUE"""),106.0)</f>
        <v>106</v>
      </c>
      <c r="F164" s="1" t="str">
        <f>IFERROR(__xludf.DUMMYFUNCTION("""COMPUTED_VALUE"""),"Male")</f>
        <v>Male</v>
      </c>
      <c r="G164" s="5">
        <f>IFERROR(__xludf.DUMMYFUNCTION("""COMPUTED_VALUE"""),0.004322599537037037)</f>
        <v>0.004322599537</v>
      </c>
      <c r="H164" s="15">
        <f>IFERROR(__xludf.DUMMYFUNCTION("""COMPUTED_VALUE"""),0.2549440625)</f>
        <v>0.2549440625</v>
      </c>
      <c r="I164" s="15">
        <f>IFERROR(__xludf.DUMMYFUNCTION("""COMPUTED_VALUE"""),45949.276557064986)</f>
        <v>45949.27656</v>
      </c>
      <c r="J164" s="15">
        <f>IFERROR(__xludf.DUMMYFUNCTION("""COMPUTED_VALUE"""),45949.021613002486)</f>
        <v>45949.02161</v>
      </c>
      <c r="K164" s="15">
        <f>IFERROR(__xludf.DUMMYFUNCTION("""COMPUTED_VALUE"""),45949.26750590616)</f>
        <v>45949.26751</v>
      </c>
      <c r="L164" s="4"/>
    </row>
    <row r="165">
      <c r="A165" s="1">
        <f>IFERROR(__xludf.DUMMYFUNCTION("""COMPUTED_VALUE"""),164.0)</f>
        <v>164</v>
      </c>
      <c r="B165" s="7" t="str">
        <f>IFERROR(__xludf.DUMMYFUNCTION("""COMPUTED_VALUE"""),"7180")</f>
        <v>7180</v>
      </c>
      <c r="C165" s="8" t="str">
        <f>IFERROR(__xludf.DUMMYFUNCTION("""COMPUTED_VALUE"""),"Bastian")</f>
        <v>Bastian</v>
      </c>
      <c r="D165" s="2" t="str">
        <f>IFERROR(__xludf.DUMMYFUNCTION("""COMPUTED_VALUE"""),"5KM MASTER M")</f>
        <v>5KM MASTER M</v>
      </c>
      <c r="E165" s="1">
        <f>IFERROR(__xludf.DUMMYFUNCTION("""COMPUTED_VALUE"""),18.0)</f>
        <v>18</v>
      </c>
      <c r="F165" s="1" t="str">
        <f>IFERROR(__xludf.DUMMYFUNCTION("""COMPUTED_VALUE"""),"Male")</f>
        <v>Male</v>
      </c>
      <c r="G165" s="5">
        <f>IFERROR(__xludf.DUMMYFUNCTION("""COMPUTED_VALUE"""),0.004324)</f>
        <v>0.004324</v>
      </c>
      <c r="H165" s="15">
        <f>IFERROR(__xludf.DUMMYFUNCTION("""COMPUTED_VALUE"""),0.2549440625)</f>
        <v>0.2549440625</v>
      </c>
      <c r="I165" s="15">
        <f>IFERROR(__xludf.DUMMYFUNCTION("""COMPUTED_VALUE"""),45949.27656406219)</f>
        <v>45949.27656</v>
      </c>
      <c r="J165" s="15">
        <f>IFERROR(__xludf.DUMMYFUNCTION("""COMPUTED_VALUE"""),45949.02161999969)</f>
        <v>45949.02162</v>
      </c>
      <c r="K165" s="15">
        <f>IFERROR(__xludf.DUMMYFUNCTION("""COMPUTED_VALUE"""),45949.26684267253)</f>
        <v>45949.26684</v>
      </c>
      <c r="L165" s="4"/>
    </row>
    <row r="166">
      <c r="A166" s="1">
        <f>IFERROR(__xludf.DUMMYFUNCTION("""COMPUTED_VALUE"""),165.0)</f>
        <v>165</v>
      </c>
      <c r="B166" s="7" t="str">
        <f>IFERROR(__xludf.DUMMYFUNCTION("""COMPUTED_VALUE"""),"9040")</f>
        <v>9040</v>
      </c>
      <c r="C166" s="8" t="str">
        <f>IFERROR(__xludf.DUMMYFUNCTION("""COMPUTED_VALUE"""),"SAMM")</f>
        <v>SAMM</v>
      </c>
      <c r="D166" s="2" t="str">
        <f>IFERROR(__xludf.DUMMYFUNCTION("""COMPUTED_VALUE"""),"5KM STUDENT M")</f>
        <v>5KM STUDENT M</v>
      </c>
      <c r="E166" s="1">
        <f>IFERROR(__xludf.DUMMYFUNCTION("""COMPUTED_VALUE"""),22.0)</f>
        <v>22</v>
      </c>
      <c r="F166" s="1" t="str">
        <f>IFERROR(__xludf.DUMMYFUNCTION("""COMPUTED_VALUE"""),"Male")</f>
        <v>Male</v>
      </c>
      <c r="G166" s="5">
        <f>IFERROR(__xludf.DUMMYFUNCTION("""COMPUTED_VALUE"""),0.004327576388888889)</f>
        <v>0.004327576389</v>
      </c>
      <c r="H166" s="15">
        <f>IFERROR(__xludf.DUMMYFUNCTION("""COMPUTED_VALUE"""),0.2549440625)</f>
        <v>0.2549440625</v>
      </c>
      <c r="I166" s="15">
        <f>IFERROR(__xludf.DUMMYFUNCTION("""COMPUTED_VALUE"""),45949.27658194789)</f>
        <v>45949.27658</v>
      </c>
      <c r="J166" s="15">
        <f>IFERROR(__xludf.DUMMYFUNCTION("""COMPUTED_VALUE"""),45949.02163788539)</f>
        <v>45949.02164</v>
      </c>
      <c r="K166" s="15">
        <f>IFERROR(__xludf.DUMMYFUNCTION("""COMPUTED_VALUE"""),45949.26803368249)</f>
        <v>45949.26803</v>
      </c>
      <c r="L166" s="4"/>
    </row>
    <row r="167">
      <c r="A167" s="1">
        <f>IFERROR(__xludf.DUMMYFUNCTION("""COMPUTED_VALUE"""),166.0)</f>
        <v>166</v>
      </c>
      <c r="B167" s="7" t="str">
        <f>IFERROR(__xludf.DUMMYFUNCTION("""COMPUTED_VALUE"""),"9035")</f>
        <v>9035</v>
      </c>
      <c r="C167" s="8" t="str">
        <f>IFERROR(__xludf.DUMMYFUNCTION("""COMPUTED_VALUE"""),"khalil")</f>
        <v>khalil</v>
      </c>
      <c r="D167" s="2" t="str">
        <f>IFERROR(__xludf.DUMMYFUNCTION("""COMPUTED_VALUE"""),"5KM STUDENT M")</f>
        <v>5KM STUDENT M</v>
      </c>
      <c r="E167" s="1">
        <f>IFERROR(__xludf.DUMMYFUNCTION("""COMPUTED_VALUE"""),23.0)</f>
        <v>23</v>
      </c>
      <c r="F167" s="1" t="str">
        <f>IFERROR(__xludf.DUMMYFUNCTION("""COMPUTED_VALUE"""),"Male")</f>
        <v>Male</v>
      </c>
      <c r="G167" s="5">
        <f>IFERROR(__xludf.DUMMYFUNCTION("""COMPUTED_VALUE"""),0.0043288611111111115)</f>
        <v>0.004328861111</v>
      </c>
      <c r="H167" s="15">
        <f>IFERROR(__xludf.DUMMYFUNCTION("""COMPUTED_VALUE"""),0.2549440625)</f>
        <v>0.2549440625</v>
      </c>
      <c r="I167" s="15">
        <f>IFERROR(__xludf.DUMMYFUNCTION("""COMPUTED_VALUE"""),45949.27658837284)</f>
        <v>45949.27659</v>
      </c>
      <c r="J167" s="15">
        <f>IFERROR(__xludf.DUMMYFUNCTION("""COMPUTED_VALUE"""),45949.02164431034)</f>
        <v>45949.02164</v>
      </c>
      <c r="K167" s="15">
        <f>IFERROR(__xludf.DUMMYFUNCTION("""COMPUTED_VALUE"""),45949.267603089225)</f>
        <v>45949.2676</v>
      </c>
      <c r="L167" s="4"/>
    </row>
    <row r="168">
      <c r="A168" s="1">
        <f>IFERROR(__xludf.DUMMYFUNCTION("""COMPUTED_VALUE"""),167.0)</f>
        <v>167</v>
      </c>
      <c r="B168" s="1">
        <f>IFERROR(__xludf.DUMMYFUNCTION("""COMPUTED_VALUE"""),6095.0)</f>
        <v>6095</v>
      </c>
      <c r="C168" s="2" t="str">
        <f>IFERROR(__xludf.DUMMYFUNCTION("""COMPUTED_VALUE"""),"KOSIM")</f>
        <v>KOSIM</v>
      </c>
      <c r="D168" s="2" t="str">
        <f>IFERROR(__xludf.DUMMYFUNCTION("""COMPUTED_VALUE"""),"5KM OVERALL M")</f>
        <v>5KM OVERALL M</v>
      </c>
      <c r="E168" s="1">
        <f>IFERROR(__xludf.DUMMYFUNCTION("""COMPUTED_VALUE"""),107.0)</f>
        <v>107</v>
      </c>
      <c r="F168" s="1" t="str">
        <f>IFERROR(__xludf.DUMMYFUNCTION("""COMPUTED_VALUE"""),"Male")</f>
        <v>Male</v>
      </c>
      <c r="G168" s="5">
        <f>IFERROR(__xludf.DUMMYFUNCTION("""COMPUTED_VALUE"""),0.004351768518518519)</f>
        <v>0.004351768519</v>
      </c>
      <c r="H168" s="15">
        <f>IFERROR(__xludf.DUMMYFUNCTION("""COMPUTED_VALUE"""),0.2549440625)</f>
        <v>0.2549440625</v>
      </c>
      <c r="I168" s="15">
        <f>IFERROR(__xludf.DUMMYFUNCTION("""COMPUTED_VALUE"""),45949.276702910436)</f>
        <v>45949.2767</v>
      </c>
      <c r="J168" s="15">
        <f>IFERROR(__xludf.DUMMYFUNCTION("""COMPUTED_VALUE"""),45949.021758847935)</f>
        <v>45949.02176</v>
      </c>
      <c r="K168" s="15">
        <f>IFERROR(__xludf.DUMMYFUNCTION("""COMPUTED_VALUE"""),45949.26834265695)</f>
        <v>45949.26834</v>
      </c>
      <c r="L168" s="4"/>
    </row>
    <row r="169">
      <c r="A169" s="1">
        <f>IFERROR(__xludf.DUMMYFUNCTION("""COMPUTED_VALUE"""),168.0)</f>
        <v>168</v>
      </c>
      <c r="B169" s="1">
        <f>IFERROR(__xludf.DUMMYFUNCTION("""COMPUTED_VALUE"""),6165.0)</f>
        <v>6165</v>
      </c>
      <c r="C169" s="2" t="str">
        <f>IFERROR(__xludf.DUMMYFUNCTION("""COMPUTED_VALUE"""),"Singgih")</f>
        <v>Singgih</v>
      </c>
      <c r="D169" s="2" t="str">
        <f>IFERROR(__xludf.DUMMYFUNCTION("""COMPUTED_VALUE"""),"5KM OVERALL M")</f>
        <v>5KM OVERALL M</v>
      </c>
      <c r="E169" s="1">
        <f>IFERROR(__xludf.DUMMYFUNCTION("""COMPUTED_VALUE"""),108.0)</f>
        <v>108</v>
      </c>
      <c r="F169" s="1" t="str">
        <f>IFERROR(__xludf.DUMMYFUNCTION("""COMPUTED_VALUE"""),"Male")</f>
        <v>Male</v>
      </c>
      <c r="G169" s="5">
        <f>IFERROR(__xludf.DUMMYFUNCTION("""COMPUTED_VALUE"""),0.004362194444444445)</f>
        <v>0.004362194444</v>
      </c>
      <c r="H169" s="15">
        <f>IFERROR(__xludf.DUMMYFUNCTION("""COMPUTED_VALUE"""),0.2549440625)</f>
        <v>0.2549440625</v>
      </c>
      <c r="I169" s="15">
        <f>IFERROR(__xludf.DUMMYFUNCTION("""COMPUTED_VALUE"""),45949.27675503828)</f>
        <v>45949.27676</v>
      </c>
      <c r="J169" s="15">
        <f>IFERROR(__xludf.DUMMYFUNCTION("""COMPUTED_VALUE"""),45949.02181097578)</f>
        <v>45949.02181</v>
      </c>
      <c r="K169" s="15">
        <f>IFERROR(__xludf.DUMMYFUNCTION("""COMPUTED_VALUE"""),45949.26750591773)</f>
        <v>45949.26751</v>
      </c>
      <c r="L169" s="4"/>
    </row>
    <row r="170">
      <c r="A170" s="1">
        <f>IFERROR(__xludf.DUMMYFUNCTION("""COMPUTED_VALUE"""),169.0)</f>
        <v>169</v>
      </c>
      <c r="B170" s="1">
        <f>IFERROR(__xludf.DUMMYFUNCTION("""COMPUTED_VALUE"""),5700.0)</f>
        <v>5700</v>
      </c>
      <c r="C170" s="2" t="str">
        <f>IFERROR(__xludf.DUMMYFUNCTION("""COMPUTED_VALUE"""),"Niniek")</f>
        <v>Niniek</v>
      </c>
      <c r="D170" s="2" t="str">
        <f>IFERROR(__xludf.DUMMYFUNCTION("""COMPUTED_VALUE"""),"5KM OVERALL F")</f>
        <v>5KM OVERALL F</v>
      </c>
      <c r="E170" s="1">
        <f>IFERROR(__xludf.DUMMYFUNCTION("""COMPUTED_VALUE"""),13.0)</f>
        <v>13</v>
      </c>
      <c r="F170" s="1" t="str">
        <f>IFERROR(__xludf.DUMMYFUNCTION("""COMPUTED_VALUE"""),"Female")</f>
        <v>Female</v>
      </c>
      <c r="G170" s="5">
        <f>IFERROR(__xludf.DUMMYFUNCTION("""COMPUTED_VALUE"""),0.004363585648148148)</f>
        <v>0.004363585648</v>
      </c>
      <c r="H170" s="15">
        <f>IFERROR(__xludf.DUMMYFUNCTION("""COMPUTED_VALUE"""),0.2549440625)</f>
        <v>0.2549440625</v>
      </c>
      <c r="I170" s="15">
        <f>IFERROR(__xludf.DUMMYFUNCTION("""COMPUTED_VALUE"""),45949.27676199492)</f>
        <v>45949.27676</v>
      </c>
      <c r="J170" s="15">
        <f>IFERROR(__xludf.DUMMYFUNCTION("""COMPUTED_VALUE"""),45949.02181793242)</f>
        <v>45949.02182</v>
      </c>
      <c r="K170" s="15">
        <f>IFERROR(__xludf.DUMMYFUNCTION("""COMPUTED_VALUE"""),45949.26703363127)</f>
        <v>45949.26703</v>
      </c>
      <c r="L170" s="4"/>
    </row>
    <row r="171">
      <c r="A171" s="1">
        <f>IFERROR(__xludf.DUMMYFUNCTION("""COMPUTED_VALUE"""),170.0)</f>
        <v>170</v>
      </c>
      <c r="B171" s="1">
        <f>IFERROR(__xludf.DUMMYFUNCTION("""COMPUTED_VALUE"""),5424.0)</f>
        <v>5424</v>
      </c>
      <c r="C171" s="2" t="str">
        <f>IFERROR(__xludf.DUMMYFUNCTION("""COMPUTED_VALUE"""),"Muhammad Poespo Kunarto")</f>
        <v>Muhammad Poespo Kunarto</v>
      </c>
      <c r="D171" s="2" t="str">
        <f>IFERROR(__xludf.DUMMYFUNCTION("""COMPUTED_VALUE"""),"5KM OVERALL M")</f>
        <v>5KM OVERALL M</v>
      </c>
      <c r="E171" s="1">
        <f>IFERROR(__xludf.DUMMYFUNCTION("""COMPUTED_VALUE"""),109.0)</f>
        <v>109</v>
      </c>
      <c r="F171" s="1" t="str">
        <f>IFERROR(__xludf.DUMMYFUNCTION("""COMPUTED_VALUE"""),"Male")</f>
        <v>Male</v>
      </c>
      <c r="G171" s="5">
        <f>IFERROR(__xludf.DUMMYFUNCTION("""COMPUTED_VALUE"""),0.004364277777777778)</f>
        <v>0.004364277778</v>
      </c>
      <c r="H171" s="15">
        <f>IFERROR(__xludf.DUMMYFUNCTION("""COMPUTED_VALUE"""),0.2549440625)</f>
        <v>0.2549440625</v>
      </c>
      <c r="I171" s="15">
        <f>IFERROR(__xludf.DUMMYFUNCTION("""COMPUTED_VALUE"""),45949.2767654509)</f>
        <v>45949.27677</v>
      </c>
      <c r="J171" s="15">
        <f>IFERROR(__xludf.DUMMYFUNCTION("""COMPUTED_VALUE"""),45949.0218213884)</f>
        <v>45949.02182</v>
      </c>
      <c r="K171" s="15">
        <f>IFERROR(__xludf.DUMMYFUNCTION("""COMPUTED_VALUE"""),45949.2668913219)</f>
        <v>45949.26689</v>
      </c>
      <c r="L171" s="4"/>
    </row>
    <row r="172">
      <c r="A172" s="1">
        <f>IFERROR(__xludf.DUMMYFUNCTION("""COMPUTED_VALUE"""),171.0)</f>
        <v>171</v>
      </c>
      <c r="B172" s="1">
        <f>IFERROR(__xludf.DUMMYFUNCTION("""COMPUTED_VALUE"""),5704.0)</f>
        <v>5704</v>
      </c>
      <c r="C172" s="2" t="str">
        <f>IFERROR(__xludf.DUMMYFUNCTION("""COMPUTED_VALUE"""),"Hairi Adwan 1011-15/KH")</f>
        <v>Hairi Adwan 1011-15/KH</v>
      </c>
      <c r="D172" s="2" t="str">
        <f>IFERROR(__xludf.DUMMYFUNCTION("""COMPUTED_VALUE"""),"5KM OVERALL M")</f>
        <v>5KM OVERALL M</v>
      </c>
      <c r="E172" s="1">
        <f>IFERROR(__xludf.DUMMYFUNCTION("""COMPUTED_VALUE"""),110.0)</f>
        <v>110</v>
      </c>
      <c r="F172" s="1" t="str">
        <f>IFERROR(__xludf.DUMMYFUNCTION("""COMPUTED_VALUE"""),"Male")</f>
        <v>Male</v>
      </c>
      <c r="G172" s="5">
        <f>IFERROR(__xludf.DUMMYFUNCTION("""COMPUTED_VALUE"""),0.004369131944444445)</f>
        <v>0.004369131944</v>
      </c>
      <c r="H172" s="15">
        <f>IFERROR(__xludf.DUMMYFUNCTION("""COMPUTED_VALUE"""),0.2549440625)</f>
        <v>0.2549440625</v>
      </c>
      <c r="I172" s="15">
        <f>IFERROR(__xludf.DUMMYFUNCTION("""COMPUTED_VALUE"""),45949.2767897196)</f>
        <v>45949.27679</v>
      </c>
      <c r="J172" s="15">
        <f>IFERROR(__xludf.DUMMYFUNCTION("""COMPUTED_VALUE"""),45949.0218456571)</f>
        <v>45949.02185</v>
      </c>
      <c r="K172" s="15">
        <f>IFERROR(__xludf.DUMMYFUNCTION("""COMPUTED_VALUE"""),45949.26703067424)</f>
        <v>45949.26703</v>
      </c>
      <c r="L172" s="4"/>
    </row>
    <row r="173">
      <c r="A173" s="1">
        <f>IFERROR(__xludf.DUMMYFUNCTION("""COMPUTED_VALUE"""),172.0)</f>
        <v>172</v>
      </c>
      <c r="B173" s="1">
        <f>IFERROR(__xludf.DUMMYFUNCTION("""COMPUTED_VALUE"""),5636.0)</f>
        <v>5636</v>
      </c>
      <c r="C173" s="2" t="str">
        <f>IFERROR(__xludf.DUMMYFUNCTION("""COMPUTED_VALUE"""),"ESGER")</f>
        <v>ESGER</v>
      </c>
      <c r="D173" s="2" t="str">
        <f>IFERROR(__xludf.DUMMYFUNCTION("""COMPUTED_VALUE"""),"5KM OVERALL M")</f>
        <v>5KM OVERALL M</v>
      </c>
      <c r="E173" s="1">
        <f>IFERROR(__xludf.DUMMYFUNCTION("""COMPUTED_VALUE"""),111.0)</f>
        <v>111</v>
      </c>
      <c r="F173" s="1" t="str">
        <f>IFERROR(__xludf.DUMMYFUNCTION("""COMPUTED_VALUE"""),"Male")</f>
        <v>Male</v>
      </c>
      <c r="G173" s="5">
        <f>IFERROR(__xludf.DUMMYFUNCTION("""COMPUTED_VALUE"""),0.0043781666666666665)</f>
        <v>0.004378166667</v>
      </c>
      <c r="H173" s="15">
        <f>IFERROR(__xludf.DUMMYFUNCTION("""COMPUTED_VALUE"""),0.2549440625)</f>
        <v>0.2549440625</v>
      </c>
      <c r="I173" s="15">
        <f>IFERROR(__xludf.DUMMYFUNCTION("""COMPUTED_VALUE"""),45949.27683489589)</f>
        <v>45949.27683</v>
      </c>
      <c r="J173" s="15">
        <f>IFERROR(__xludf.DUMMYFUNCTION("""COMPUTED_VALUE"""),45949.02189083339)</f>
        <v>45949.02189</v>
      </c>
      <c r="K173" s="15">
        <f>IFERROR(__xludf.DUMMYFUNCTION("""COMPUTED_VALUE"""),45949.267998914096)</f>
        <v>45949.268</v>
      </c>
      <c r="L173" s="4"/>
    </row>
    <row r="174">
      <c r="A174" s="1">
        <f>IFERROR(__xludf.DUMMYFUNCTION("""COMPUTED_VALUE"""),173.0)</f>
        <v>173</v>
      </c>
      <c r="B174" s="1">
        <f>IFERROR(__xludf.DUMMYFUNCTION("""COMPUTED_VALUE"""),5272.0)</f>
        <v>5272</v>
      </c>
      <c r="C174" s="2" t="str">
        <f>IFERROR(__xludf.DUMMYFUNCTION("""COMPUTED_VALUE"""),"Bahrudin Noor")</f>
        <v>Bahrudin Noor</v>
      </c>
      <c r="D174" s="2" t="str">
        <f>IFERROR(__xludf.DUMMYFUNCTION("""COMPUTED_VALUE"""),"5KM OVERALL M")</f>
        <v>5KM OVERALL M</v>
      </c>
      <c r="E174" s="1">
        <f>IFERROR(__xludf.DUMMYFUNCTION("""COMPUTED_VALUE"""),112.0)</f>
        <v>112</v>
      </c>
      <c r="F174" s="1" t="str">
        <f>IFERROR(__xludf.DUMMYFUNCTION("""COMPUTED_VALUE"""),"Male")</f>
        <v>Male</v>
      </c>
      <c r="G174" s="5">
        <f>IFERROR(__xludf.DUMMYFUNCTION("""COMPUTED_VALUE"""),0.004409418981481481)</f>
        <v>0.004409418981</v>
      </c>
      <c r="H174" s="15">
        <f>IFERROR(__xludf.DUMMYFUNCTION("""COMPUTED_VALUE"""),0.2549440625)</f>
        <v>0.2549440625</v>
      </c>
      <c r="I174" s="15">
        <f>IFERROR(__xludf.DUMMYFUNCTION("""COMPUTED_VALUE"""),45949.27699115906)</f>
        <v>45949.27699</v>
      </c>
      <c r="J174" s="15">
        <f>IFERROR(__xludf.DUMMYFUNCTION("""COMPUTED_VALUE"""),45949.02204709656)</f>
        <v>45949.02205</v>
      </c>
      <c r="K174" s="15">
        <f>IFERROR(__xludf.DUMMYFUNCTION("""COMPUTED_VALUE"""),45949.26724897431)</f>
        <v>45949.26725</v>
      </c>
      <c r="L174" s="4"/>
    </row>
    <row r="175">
      <c r="A175" s="1">
        <f>IFERROR(__xludf.DUMMYFUNCTION("""COMPUTED_VALUE"""),174.0)</f>
        <v>174</v>
      </c>
      <c r="B175" s="1">
        <f>IFERROR(__xludf.DUMMYFUNCTION("""COMPUTED_VALUE"""),6288.0)</f>
        <v>6288</v>
      </c>
      <c r="C175" s="2" t="str">
        <f>IFERROR(__xludf.DUMMYFUNCTION("""COMPUTED_VALUE"""),"FITRIAH")</f>
        <v>FITRIAH</v>
      </c>
      <c r="D175" s="2" t="str">
        <f>IFERROR(__xludf.DUMMYFUNCTION("""COMPUTED_VALUE"""),"5KM OVERALL M")</f>
        <v>5KM OVERALL M</v>
      </c>
      <c r="E175" s="1">
        <f>IFERROR(__xludf.DUMMYFUNCTION("""COMPUTED_VALUE"""),113.0)</f>
        <v>113</v>
      </c>
      <c r="F175" s="1" t="str">
        <f>IFERROR(__xludf.DUMMYFUNCTION("""COMPUTED_VALUE"""),"Male")</f>
        <v>Male</v>
      </c>
      <c r="G175" s="5">
        <f>IFERROR(__xludf.DUMMYFUNCTION("""COMPUTED_VALUE"""),0.0044213148148148146)</f>
        <v>0.004421314815</v>
      </c>
      <c r="H175" s="15">
        <f>IFERROR(__xludf.DUMMYFUNCTION("""COMPUTED_VALUE"""),0.2549440625)</f>
        <v>0.2549440625</v>
      </c>
      <c r="I175" s="15">
        <f>IFERROR(__xludf.DUMMYFUNCTION("""COMPUTED_VALUE"""),45949.27705064061)</f>
        <v>45949.27705</v>
      </c>
      <c r="J175" s="15">
        <f>IFERROR(__xludf.DUMMYFUNCTION("""COMPUTED_VALUE"""),45949.02210657811)</f>
        <v>45949.02211</v>
      </c>
      <c r="K175" s="15">
        <f>IFERROR(__xludf.DUMMYFUNCTION("""COMPUTED_VALUE"""),45949.268131273566)</f>
        <v>45949.26813</v>
      </c>
      <c r="L175" s="4"/>
    </row>
    <row r="176">
      <c r="A176" s="1">
        <f>IFERROR(__xludf.DUMMYFUNCTION("""COMPUTED_VALUE"""),175.0)</f>
        <v>175</v>
      </c>
      <c r="B176" s="1">
        <f>IFERROR(__xludf.DUMMYFUNCTION("""COMPUTED_VALUE"""),5734.0)</f>
        <v>5734</v>
      </c>
      <c r="C176" s="2" t="str">
        <f>IFERROR(__xludf.DUMMYFUNCTION("""COMPUTED_VALUE"""),"FLIXZ")</f>
        <v>FLIXZ</v>
      </c>
      <c r="D176" s="2" t="str">
        <f>IFERROR(__xludf.DUMMYFUNCTION("""COMPUTED_VALUE"""),"5KM OVERALL M")</f>
        <v>5KM OVERALL M</v>
      </c>
      <c r="E176" s="1">
        <f>IFERROR(__xludf.DUMMYFUNCTION("""COMPUTED_VALUE"""),114.0)</f>
        <v>114</v>
      </c>
      <c r="F176" s="1" t="str">
        <f>IFERROR(__xludf.DUMMYFUNCTION("""COMPUTED_VALUE"""),"Male")</f>
        <v>Male</v>
      </c>
      <c r="G176" s="5">
        <f>IFERROR(__xludf.DUMMYFUNCTION("""COMPUTED_VALUE"""),0.004444138888888888)</f>
        <v>0.004444138889</v>
      </c>
      <c r="H176" s="15">
        <f>IFERROR(__xludf.DUMMYFUNCTION("""COMPUTED_VALUE"""),0.2549440625)</f>
        <v>0.2549440625</v>
      </c>
      <c r="I176" s="15">
        <f>IFERROR(__xludf.DUMMYFUNCTION("""COMPUTED_VALUE"""),45949.27716475639)</f>
        <v>45949.27716</v>
      </c>
      <c r="J176" s="15">
        <f>IFERROR(__xludf.DUMMYFUNCTION("""COMPUTED_VALUE"""),45949.02222069389)</f>
        <v>45949.02222</v>
      </c>
      <c r="K176" s="15">
        <f>IFERROR(__xludf.DUMMYFUNCTION("""COMPUTED_VALUE"""),45949.26716215623)</f>
        <v>45949.26716</v>
      </c>
      <c r="L176" s="4"/>
    </row>
    <row r="177">
      <c r="A177" s="1">
        <f>IFERROR(__xludf.DUMMYFUNCTION("""COMPUTED_VALUE"""),176.0)</f>
        <v>176</v>
      </c>
      <c r="B177" s="1">
        <f>IFERROR(__xludf.DUMMYFUNCTION("""COMPUTED_VALUE"""),5240.0)</f>
        <v>5240</v>
      </c>
      <c r="C177" s="2" t="str">
        <f>IFERROR(__xludf.DUMMYFUNCTION("""COMPUTED_VALUE"""),"Abu ZenDenQu")</f>
        <v>Abu ZenDenQu</v>
      </c>
      <c r="D177" s="2" t="str">
        <f>IFERROR(__xludf.DUMMYFUNCTION("""COMPUTED_VALUE"""),"5KM OVERALL M")</f>
        <v>5KM OVERALL M</v>
      </c>
      <c r="E177" s="1">
        <f>IFERROR(__xludf.DUMMYFUNCTION("""COMPUTED_VALUE"""),115.0)</f>
        <v>115</v>
      </c>
      <c r="F177" s="1" t="str">
        <f>IFERROR(__xludf.DUMMYFUNCTION("""COMPUTED_VALUE"""),"Male")</f>
        <v>Male</v>
      </c>
      <c r="G177" s="5">
        <f>IFERROR(__xludf.DUMMYFUNCTION("""COMPUTED_VALUE"""),0.004445527777777778)</f>
        <v>0.004445527778</v>
      </c>
      <c r="H177" s="15">
        <f>IFERROR(__xludf.DUMMYFUNCTION("""COMPUTED_VALUE"""),0.2549440625)</f>
        <v>0.2549440625</v>
      </c>
      <c r="I177" s="15">
        <f>IFERROR(__xludf.DUMMYFUNCTION("""COMPUTED_VALUE"""),45949.27717169641)</f>
        <v>45949.27717</v>
      </c>
      <c r="J177" s="15">
        <f>IFERROR(__xludf.DUMMYFUNCTION("""COMPUTED_VALUE"""),45949.02222763391)</f>
        <v>45949.02223</v>
      </c>
      <c r="K177" s="15">
        <f>IFERROR(__xludf.DUMMYFUNCTION("""COMPUTED_VALUE"""),45949.26781141053)</f>
        <v>45949.26781</v>
      </c>
      <c r="L177" s="4"/>
    </row>
    <row r="178">
      <c r="A178" s="1">
        <f>IFERROR(__xludf.DUMMYFUNCTION("""COMPUTED_VALUE"""),177.0)</f>
        <v>177</v>
      </c>
      <c r="B178" s="1">
        <f>IFERROR(__xludf.DUMMYFUNCTION("""COMPUTED_VALUE"""),6265.0)</f>
        <v>6265</v>
      </c>
      <c r="C178" s="2" t="str">
        <f>IFERROR(__xludf.DUMMYFUNCTION("""COMPUTED_VALUE"""),"DON")</f>
        <v>DON</v>
      </c>
      <c r="D178" s="2" t="str">
        <f>IFERROR(__xludf.DUMMYFUNCTION("""COMPUTED_VALUE"""),"5KM OVERALL M")</f>
        <v>5KM OVERALL M</v>
      </c>
      <c r="E178" s="1">
        <f>IFERROR(__xludf.DUMMYFUNCTION("""COMPUTED_VALUE"""),116.0)</f>
        <v>116</v>
      </c>
      <c r="F178" s="1" t="str">
        <f>IFERROR(__xludf.DUMMYFUNCTION("""COMPUTED_VALUE"""),"Male")</f>
        <v>Male</v>
      </c>
      <c r="G178" s="5">
        <f>IFERROR(__xludf.DUMMYFUNCTION("""COMPUTED_VALUE"""),0.004449002314814815)</f>
        <v>0.004449002315</v>
      </c>
      <c r="H178" s="15">
        <f>IFERROR(__xludf.DUMMYFUNCTION("""COMPUTED_VALUE"""),0.2549440625)</f>
        <v>0.2549440625</v>
      </c>
      <c r="I178" s="15">
        <f>IFERROR(__xludf.DUMMYFUNCTION("""COMPUTED_VALUE"""),45949.27718907272)</f>
        <v>45949.27719</v>
      </c>
      <c r="J178" s="15">
        <f>IFERROR(__xludf.DUMMYFUNCTION("""COMPUTED_VALUE"""),45949.02224501022)</f>
        <v>45949.02225</v>
      </c>
      <c r="K178" s="15">
        <f>IFERROR(__xludf.DUMMYFUNCTION("""COMPUTED_VALUE"""),45949.26764134191)</f>
        <v>45949.26764</v>
      </c>
      <c r="L178" s="4"/>
    </row>
    <row r="179">
      <c r="A179" s="1">
        <f>IFERROR(__xludf.DUMMYFUNCTION("""COMPUTED_VALUE"""),178.0)</f>
        <v>178</v>
      </c>
      <c r="B179" s="1">
        <f>IFERROR(__xludf.DUMMYFUNCTION("""COMPUTED_VALUE"""),6441.0)</f>
        <v>6441</v>
      </c>
      <c r="C179" s="2" t="str">
        <f>IFERROR(__xludf.DUMMYFUNCTION("""COMPUTED_VALUE"""),"IPAN")</f>
        <v>IPAN</v>
      </c>
      <c r="D179" s="2" t="str">
        <f>IFERROR(__xludf.DUMMYFUNCTION("""COMPUTED_VALUE"""),"5KM OVERALL M")</f>
        <v>5KM OVERALL M</v>
      </c>
      <c r="E179" s="1">
        <f>IFERROR(__xludf.DUMMYFUNCTION("""COMPUTED_VALUE"""),117.0)</f>
        <v>117</v>
      </c>
      <c r="F179" s="1" t="str">
        <f>IFERROR(__xludf.DUMMYFUNCTION("""COMPUTED_VALUE"""),"Male")</f>
        <v>Male</v>
      </c>
      <c r="G179" s="5">
        <f>IFERROR(__xludf.DUMMYFUNCTION("""COMPUTED_VALUE"""),0.004456638888888889)</f>
        <v>0.004456638889</v>
      </c>
      <c r="H179" s="15">
        <f>IFERROR(__xludf.DUMMYFUNCTION("""COMPUTED_VALUE"""),0.2549440625)</f>
        <v>0.2549440625</v>
      </c>
      <c r="I179" s="15">
        <f>IFERROR(__xludf.DUMMYFUNCTION("""COMPUTED_VALUE"""),45949.27722725377)</f>
        <v>45949.27723</v>
      </c>
      <c r="J179" s="15">
        <f>IFERROR(__xludf.DUMMYFUNCTION("""COMPUTED_VALUE"""),45949.02228319127)</f>
        <v>45949.02228</v>
      </c>
      <c r="K179" s="15">
        <f>IFERROR(__xludf.DUMMYFUNCTION("""COMPUTED_VALUE"""),45949.26678084706)</f>
        <v>45949.26678</v>
      </c>
      <c r="L179" s="4"/>
    </row>
    <row r="180">
      <c r="A180" s="1">
        <f>IFERROR(__xludf.DUMMYFUNCTION("""COMPUTED_VALUE"""),179.0)</f>
        <v>179</v>
      </c>
      <c r="B180" s="1">
        <f>IFERROR(__xludf.DUMMYFUNCTION("""COMPUTED_VALUE"""),5957.0)</f>
        <v>5957</v>
      </c>
      <c r="C180" s="2" t="str">
        <f>IFERROR(__xludf.DUMMYFUNCTION("""COMPUTED_VALUE"""),"BAYU GANTENG")</f>
        <v>BAYU GANTENG</v>
      </c>
      <c r="D180" s="2" t="str">
        <f>IFERROR(__xludf.DUMMYFUNCTION("""COMPUTED_VALUE"""),"5KM OVERALL M")</f>
        <v>5KM OVERALL M</v>
      </c>
      <c r="E180" s="1">
        <f>IFERROR(__xludf.DUMMYFUNCTION("""COMPUTED_VALUE"""),118.0)</f>
        <v>118</v>
      </c>
      <c r="F180" s="1" t="str">
        <f>IFERROR(__xludf.DUMMYFUNCTION("""COMPUTED_VALUE"""),"Male")</f>
        <v>Male</v>
      </c>
      <c r="G180" s="5">
        <f>IFERROR(__xludf.DUMMYFUNCTION("""COMPUTED_VALUE"""),0.004464972222222223)</f>
        <v>0.004464972222</v>
      </c>
      <c r="H180" s="15">
        <f>IFERROR(__xludf.DUMMYFUNCTION("""COMPUTED_VALUE"""),0.2549440625)</f>
        <v>0.2549440625</v>
      </c>
      <c r="I180" s="15">
        <f>IFERROR(__xludf.DUMMYFUNCTION("""COMPUTED_VALUE"""),45949.277268920036)</f>
        <v>45949.27727</v>
      </c>
      <c r="J180" s="15">
        <f>IFERROR(__xludf.DUMMYFUNCTION("""COMPUTED_VALUE"""),45949.022324857535)</f>
        <v>45949.02232</v>
      </c>
      <c r="K180" s="15">
        <f>IFERROR(__xludf.DUMMYFUNCTION("""COMPUTED_VALUE"""),45949.26691563037)</f>
        <v>45949.26692</v>
      </c>
      <c r="L180" s="4"/>
    </row>
    <row r="181">
      <c r="A181" s="1">
        <f>IFERROR(__xludf.DUMMYFUNCTION("""COMPUTED_VALUE"""),180.0)</f>
        <v>180</v>
      </c>
      <c r="B181" s="1">
        <f>IFERROR(__xludf.DUMMYFUNCTION("""COMPUTED_VALUE"""),6457.0)</f>
        <v>6457</v>
      </c>
      <c r="C181" s="2" t="str">
        <f>IFERROR(__xludf.DUMMYFUNCTION("""COMPUTED_VALUE"""),"-")</f>
        <v>-</v>
      </c>
      <c r="D181" s="2" t="str">
        <f>IFERROR(__xludf.DUMMYFUNCTION("""COMPUTED_VALUE"""),"5KM OVERALL M")</f>
        <v>5KM OVERALL M</v>
      </c>
      <c r="E181" s="1">
        <f>IFERROR(__xludf.DUMMYFUNCTION("""COMPUTED_VALUE"""),119.0)</f>
        <v>119</v>
      </c>
      <c r="F181" s="1" t="str">
        <f>IFERROR(__xludf.DUMMYFUNCTION("""COMPUTED_VALUE"""),"Male")</f>
        <v>Male</v>
      </c>
      <c r="G181" s="5">
        <f>IFERROR(__xludf.DUMMYFUNCTION("""COMPUTED_VALUE"""),0.0044698333333333335)</f>
        <v>0.004469833333</v>
      </c>
      <c r="H181" s="15">
        <f>IFERROR(__xludf.DUMMYFUNCTION("""COMPUTED_VALUE"""),0.2549440625)</f>
        <v>0.2549440625</v>
      </c>
      <c r="I181" s="15">
        <f>IFERROR(__xludf.DUMMYFUNCTION("""COMPUTED_VALUE"""),45949.277293226725)</f>
        <v>45949.27729</v>
      </c>
      <c r="J181" s="15">
        <f>IFERROR(__xludf.DUMMYFUNCTION("""COMPUTED_VALUE"""),45949.022349164225)</f>
        <v>45949.02235</v>
      </c>
      <c r="K181" s="15">
        <f>IFERROR(__xludf.DUMMYFUNCTION("""COMPUTED_VALUE"""),45949.267773212596)</f>
        <v>45949.26777</v>
      </c>
      <c r="L181" s="4"/>
    </row>
    <row r="182">
      <c r="A182" s="1">
        <f>IFERROR(__xludf.DUMMYFUNCTION("""COMPUTED_VALUE"""),181.0)</f>
        <v>181</v>
      </c>
      <c r="B182" s="7" t="str">
        <f>IFERROR(__xludf.DUMMYFUNCTION("""COMPUTED_VALUE"""),"7135")</f>
        <v>7135</v>
      </c>
      <c r="C182" s="8" t="str">
        <f>IFERROR(__xludf.DUMMYFUNCTION("""COMPUTED_VALUE"""),"SAI")</f>
        <v>SAI</v>
      </c>
      <c r="D182" s="2" t="str">
        <f>IFERROR(__xludf.DUMMYFUNCTION("""COMPUTED_VALUE"""),"5KM MASTER M")</f>
        <v>5KM MASTER M</v>
      </c>
      <c r="E182" s="1">
        <f>IFERROR(__xludf.DUMMYFUNCTION("""COMPUTED_VALUE"""),19.0)</f>
        <v>19</v>
      </c>
      <c r="F182" s="1" t="str">
        <f>IFERROR(__xludf.DUMMYFUNCTION("""COMPUTED_VALUE"""),"Male")</f>
        <v>Male</v>
      </c>
      <c r="G182" s="5">
        <f>IFERROR(__xludf.DUMMYFUNCTION("""COMPUTED_VALUE"""),0.004475388888888888)</f>
        <v>0.004475388889</v>
      </c>
      <c r="H182" s="15">
        <f>IFERROR(__xludf.DUMMYFUNCTION("""COMPUTED_VALUE"""),0.2549440625)</f>
        <v>0.2549440625</v>
      </c>
      <c r="I182" s="15">
        <f>IFERROR(__xludf.DUMMYFUNCTION("""COMPUTED_VALUE"""),45949.27732100372)</f>
        <v>45949.27732</v>
      </c>
      <c r="J182" s="15">
        <f>IFERROR(__xludf.DUMMYFUNCTION("""COMPUTED_VALUE"""),45949.02237694122)</f>
        <v>45949.02238</v>
      </c>
      <c r="K182" s="15">
        <f>IFERROR(__xludf.DUMMYFUNCTION("""COMPUTED_VALUE"""),45949.267423212455)</f>
        <v>45949.26742</v>
      </c>
      <c r="L182" s="4"/>
    </row>
    <row r="183">
      <c r="A183" s="1">
        <f>IFERROR(__xludf.DUMMYFUNCTION("""COMPUTED_VALUE"""),182.0)</f>
        <v>182</v>
      </c>
      <c r="B183" s="1">
        <f>IFERROR(__xludf.DUMMYFUNCTION("""COMPUTED_VALUE"""),6287.0)</f>
        <v>6287</v>
      </c>
      <c r="C183" s="2" t="str">
        <f>IFERROR(__xludf.DUMMYFUNCTION("""COMPUTED_VALUE"""),"hamid")</f>
        <v>hamid</v>
      </c>
      <c r="D183" s="2" t="str">
        <f>IFERROR(__xludf.DUMMYFUNCTION("""COMPUTED_VALUE"""),"5KM OVERALL M")</f>
        <v>5KM OVERALL M</v>
      </c>
      <c r="E183" s="1">
        <f>IFERROR(__xludf.DUMMYFUNCTION("""COMPUTED_VALUE"""),120.0)</f>
        <v>120</v>
      </c>
      <c r="F183" s="1" t="str">
        <f>IFERROR(__xludf.DUMMYFUNCTION("""COMPUTED_VALUE"""),"Male")</f>
        <v>Male</v>
      </c>
      <c r="G183" s="5">
        <f>IFERROR(__xludf.DUMMYFUNCTION("""COMPUTED_VALUE"""),0.004475391203703704)</f>
        <v>0.004475391204</v>
      </c>
      <c r="H183" s="15">
        <f>IFERROR(__xludf.DUMMYFUNCTION("""COMPUTED_VALUE"""),0.2549440625)</f>
        <v>0.2549440625</v>
      </c>
      <c r="I183" s="15">
        <f>IFERROR(__xludf.DUMMYFUNCTION("""COMPUTED_VALUE"""),45949.27732101529)</f>
        <v>45949.27732</v>
      </c>
      <c r="J183" s="15">
        <f>IFERROR(__xludf.DUMMYFUNCTION("""COMPUTED_VALUE"""),45949.02237695279)</f>
        <v>45949.02238</v>
      </c>
      <c r="K183" s="15">
        <f>IFERROR(__xludf.DUMMYFUNCTION("""COMPUTED_VALUE"""),45949.2684398773)</f>
        <v>45949.26844</v>
      </c>
      <c r="L183" s="4"/>
    </row>
    <row r="184">
      <c r="A184" s="1">
        <f>IFERROR(__xludf.DUMMYFUNCTION("""COMPUTED_VALUE"""),183.0)</f>
        <v>183</v>
      </c>
      <c r="B184" s="1">
        <f>IFERROR(__xludf.DUMMYFUNCTION("""COMPUTED_VALUE"""),7084.0)</f>
        <v>7084</v>
      </c>
      <c r="C184" s="2" t="str">
        <f>IFERROR(__xludf.DUMMYFUNCTION("""COMPUTED_VALUE"""),"makyan")</f>
        <v>makyan</v>
      </c>
      <c r="D184" s="2" t="str">
        <f>IFERROR(__xludf.DUMMYFUNCTION("""COMPUTED_VALUE"""),"5KM MASTER F")</f>
        <v>5KM MASTER F</v>
      </c>
      <c r="E184" s="1">
        <f>IFERROR(__xludf.DUMMYFUNCTION("""COMPUTED_VALUE"""),6.0)</f>
        <v>6</v>
      </c>
      <c r="F184" s="1" t="str">
        <f>IFERROR(__xludf.DUMMYFUNCTION("""COMPUTED_VALUE"""),"Female")</f>
        <v>Female</v>
      </c>
      <c r="G184" s="5">
        <f>IFERROR(__xludf.DUMMYFUNCTION("""COMPUTED_VALUE"""),0.004476083333333334)</f>
        <v>0.004476083333</v>
      </c>
      <c r="H184" s="15">
        <f>IFERROR(__xludf.DUMMYFUNCTION("""COMPUTED_VALUE"""),0.2549440625)</f>
        <v>0.2549440625</v>
      </c>
      <c r="I184" s="15">
        <f>IFERROR(__xludf.DUMMYFUNCTION("""COMPUTED_VALUE"""),45949.27732448271)</f>
        <v>45949.27732</v>
      </c>
      <c r="J184" s="15">
        <f>IFERROR(__xludf.DUMMYFUNCTION("""COMPUTED_VALUE"""),45949.02238042021)</f>
        <v>45949.02238</v>
      </c>
      <c r="K184" s="15">
        <f>IFERROR(__xludf.DUMMYFUNCTION("""COMPUTED_VALUE"""),45949.2678705081)</f>
        <v>45949.26787</v>
      </c>
      <c r="L184" s="4"/>
    </row>
    <row r="185">
      <c r="A185" s="1">
        <f>IFERROR(__xludf.DUMMYFUNCTION("""COMPUTED_VALUE"""),184.0)</f>
        <v>184</v>
      </c>
      <c r="B185" s="1">
        <f>IFERROR(__xludf.DUMMYFUNCTION("""COMPUTED_VALUE"""),5142.0)</f>
        <v>5142</v>
      </c>
      <c r="C185" s="2" t="str">
        <f>IFERROR(__xludf.DUMMYFUNCTION("""COMPUTED_VALUE"""),"Muhammad Ade")</f>
        <v>Muhammad Ade</v>
      </c>
      <c r="D185" s="2" t="str">
        <f>IFERROR(__xludf.DUMMYFUNCTION("""COMPUTED_VALUE"""),"5KM OVERALL M")</f>
        <v>5KM OVERALL M</v>
      </c>
      <c r="E185" s="1">
        <f>IFERROR(__xludf.DUMMYFUNCTION("""COMPUTED_VALUE"""),121.0)</f>
        <v>121</v>
      </c>
      <c r="F185" s="1" t="str">
        <f>IFERROR(__xludf.DUMMYFUNCTION("""COMPUTED_VALUE"""),"Male")</f>
        <v>Male</v>
      </c>
      <c r="G185" s="5">
        <f>IFERROR(__xludf.DUMMYFUNCTION("""COMPUTED_VALUE"""),0.004479555555555555)</f>
        <v>0.004479555556</v>
      </c>
      <c r="H185" s="15">
        <f>IFERROR(__xludf.DUMMYFUNCTION("""COMPUTED_VALUE"""),0.2549440625)</f>
        <v>0.2549440625</v>
      </c>
      <c r="I185" s="15">
        <f>IFERROR(__xludf.DUMMYFUNCTION("""COMPUTED_VALUE"""),45949.27734183552)</f>
        <v>45949.27734</v>
      </c>
      <c r="J185" s="15">
        <f>IFERROR(__xludf.DUMMYFUNCTION("""COMPUTED_VALUE"""),45949.02239777302)</f>
        <v>45949.0224</v>
      </c>
      <c r="K185" s="15">
        <f>IFERROR(__xludf.DUMMYFUNCTION("""COMPUTED_VALUE"""),45949.26716216781)</f>
        <v>45949.26716</v>
      </c>
      <c r="L185" s="4"/>
    </row>
    <row r="186">
      <c r="A186" s="1">
        <f>IFERROR(__xludf.DUMMYFUNCTION("""COMPUTED_VALUE"""),185.0)</f>
        <v>185</v>
      </c>
      <c r="B186" s="7" t="str">
        <f>IFERROR(__xludf.DUMMYFUNCTION("""COMPUTED_VALUE"""),"9057")</f>
        <v>9057</v>
      </c>
      <c r="C186" s="8" t="str">
        <f>IFERROR(__xludf.DUMMYFUNCTION("""COMPUTED_VALUE"""),"M alfian")</f>
        <v>M alfian</v>
      </c>
      <c r="D186" s="2" t="str">
        <f>IFERROR(__xludf.DUMMYFUNCTION("""COMPUTED_VALUE"""),"5KM STUDENT M")</f>
        <v>5KM STUDENT M</v>
      </c>
      <c r="E186" s="1">
        <f>IFERROR(__xludf.DUMMYFUNCTION("""COMPUTED_VALUE"""),24.0)</f>
        <v>24</v>
      </c>
      <c r="F186" s="1" t="str">
        <f>IFERROR(__xludf.DUMMYFUNCTION("""COMPUTED_VALUE"""),"Male")</f>
        <v>Male</v>
      </c>
      <c r="G186" s="5">
        <f>IFERROR(__xludf.DUMMYFUNCTION("""COMPUTED_VALUE"""),0.004487888888888889)</f>
        <v>0.004487888889</v>
      </c>
      <c r="H186" s="15">
        <f>IFERROR(__xludf.DUMMYFUNCTION("""COMPUTED_VALUE"""),0.2549440625)</f>
        <v>0.2549440625</v>
      </c>
      <c r="I186" s="15">
        <f>IFERROR(__xludf.DUMMYFUNCTION("""COMPUTED_VALUE"""),45949.27738350744)</f>
        <v>45949.27738</v>
      </c>
      <c r="J186" s="15">
        <f>IFERROR(__xludf.DUMMYFUNCTION("""COMPUTED_VALUE"""),45949.02243944494)</f>
        <v>45949.02244</v>
      </c>
      <c r="K186" s="15">
        <f>IFERROR(__xludf.DUMMYFUNCTION("""COMPUTED_VALUE"""),45949.26646079395)</f>
        <v>45949.26646</v>
      </c>
      <c r="L186" s="4"/>
    </row>
    <row r="187">
      <c r="A187" s="1">
        <f>IFERROR(__xludf.DUMMYFUNCTION("""COMPUTED_VALUE"""),186.0)</f>
        <v>186</v>
      </c>
      <c r="B187" s="1">
        <f>IFERROR(__xludf.DUMMYFUNCTION("""COMPUTED_VALUE"""),5217.0)</f>
        <v>5217</v>
      </c>
      <c r="C187" s="2" t="str">
        <f>IFERROR(__xludf.DUMMYFUNCTION("""COMPUTED_VALUE"""),"Salma")</f>
        <v>Salma</v>
      </c>
      <c r="D187" s="2" t="str">
        <f>IFERROR(__xludf.DUMMYFUNCTION("""COMPUTED_VALUE"""),"5KM OVERALL F")</f>
        <v>5KM OVERALL F</v>
      </c>
      <c r="E187" s="1">
        <f>IFERROR(__xludf.DUMMYFUNCTION("""COMPUTED_VALUE"""),14.0)</f>
        <v>14</v>
      </c>
      <c r="F187" s="1" t="str">
        <f>IFERROR(__xludf.DUMMYFUNCTION("""COMPUTED_VALUE"""),"Female")</f>
        <v>Female</v>
      </c>
      <c r="G187" s="5">
        <f>IFERROR(__xludf.DUMMYFUNCTION("""COMPUTED_VALUE"""),0.004499694444444444)</f>
        <v>0.004499694444</v>
      </c>
      <c r="H187" s="15">
        <f>IFERROR(__xludf.DUMMYFUNCTION("""COMPUTED_VALUE"""),0.2549440625)</f>
        <v>0.2549440625</v>
      </c>
      <c r="I187" s="15">
        <f>IFERROR(__xludf.DUMMYFUNCTION("""COMPUTED_VALUE"""),45949.2774425377)</f>
        <v>45949.27744</v>
      </c>
      <c r="J187" s="15">
        <f>IFERROR(__xludf.DUMMYFUNCTION("""COMPUTED_VALUE"""),45949.0224984752)</f>
        <v>45949.0225</v>
      </c>
      <c r="K187" s="15">
        <f>IFERROR(__xludf.DUMMYFUNCTION("""COMPUTED_VALUE"""),45949.26708571686)</f>
        <v>45949.26709</v>
      </c>
      <c r="L187" s="4"/>
    </row>
    <row r="188">
      <c r="A188" s="1">
        <f>IFERROR(__xludf.DUMMYFUNCTION("""COMPUTED_VALUE"""),187.0)</f>
        <v>187</v>
      </c>
      <c r="B188" s="1">
        <f>IFERROR(__xludf.DUMMYFUNCTION("""COMPUTED_VALUE"""),6407.0)</f>
        <v>6407</v>
      </c>
      <c r="C188" s="2" t="str">
        <f>IFERROR(__xludf.DUMMYFUNCTION("""COMPUTED_VALUE"""),"Erza Pratama")</f>
        <v>Erza Pratama</v>
      </c>
      <c r="D188" s="2" t="str">
        <f>IFERROR(__xludf.DUMMYFUNCTION("""COMPUTED_VALUE"""),"5KM OVERALL M")</f>
        <v>5KM OVERALL M</v>
      </c>
      <c r="E188" s="1">
        <f>IFERROR(__xludf.DUMMYFUNCTION("""COMPUTED_VALUE"""),122.0)</f>
        <v>122</v>
      </c>
      <c r="F188" s="1" t="str">
        <f>IFERROR(__xludf.DUMMYFUNCTION("""COMPUTED_VALUE"""),"Male")</f>
        <v>Male</v>
      </c>
      <c r="G188" s="5">
        <f>IFERROR(__xludf.DUMMYFUNCTION("""COMPUTED_VALUE"""),0.004499696759259259)</f>
        <v>0.004499696759</v>
      </c>
      <c r="H188" s="15">
        <f>IFERROR(__xludf.DUMMYFUNCTION("""COMPUTED_VALUE"""),0.2549440625)</f>
        <v>0.2549440625</v>
      </c>
      <c r="I188" s="15">
        <f>IFERROR(__xludf.DUMMYFUNCTION("""COMPUTED_VALUE"""),45949.277442551065)</f>
        <v>45949.27744</v>
      </c>
      <c r="J188" s="15">
        <f>IFERROR(__xludf.DUMMYFUNCTION("""COMPUTED_VALUE"""),45949.022498488564)</f>
        <v>45949.0225</v>
      </c>
      <c r="K188" s="15">
        <f>IFERROR(__xludf.DUMMYFUNCTION("""COMPUTED_VALUE"""),45949.26767252385)</f>
        <v>45949.26767</v>
      </c>
      <c r="L188" s="4"/>
    </row>
    <row r="189">
      <c r="A189" s="1">
        <f>IFERROR(__xludf.DUMMYFUNCTION("""COMPUTED_VALUE"""),188.0)</f>
        <v>188</v>
      </c>
      <c r="B189" s="1">
        <f>IFERROR(__xludf.DUMMYFUNCTION("""COMPUTED_VALUE"""),5284.0)</f>
        <v>5284</v>
      </c>
      <c r="C189" s="2" t="str">
        <f>IFERROR(__xludf.DUMMYFUNCTION("""COMPUTED_VALUE"""),"Aulia_asen")</f>
        <v>Aulia_asen</v>
      </c>
      <c r="D189" s="2" t="str">
        <f>IFERROR(__xludf.DUMMYFUNCTION("""COMPUTED_VALUE"""),"5KM OVERALL F")</f>
        <v>5KM OVERALL F</v>
      </c>
      <c r="E189" s="1">
        <f>IFERROR(__xludf.DUMMYFUNCTION("""COMPUTED_VALUE"""),15.0)</f>
        <v>15</v>
      </c>
      <c r="F189" s="1" t="str">
        <f>IFERROR(__xludf.DUMMYFUNCTION("""COMPUTED_VALUE"""),"Female")</f>
        <v>Female</v>
      </c>
      <c r="G189" s="5">
        <f>IFERROR(__xludf.DUMMYFUNCTION("""COMPUTED_VALUE"""),0.00450386111111111)</f>
        <v>0.004503861111</v>
      </c>
      <c r="H189" s="15">
        <f>IFERROR(__xludf.DUMMYFUNCTION("""COMPUTED_VALUE"""),0.2549440625)</f>
        <v>0.2549440625</v>
      </c>
      <c r="I189" s="15">
        <f>IFERROR(__xludf.DUMMYFUNCTION("""COMPUTED_VALUE"""),45949.27746337265)</f>
        <v>45949.27746</v>
      </c>
      <c r="J189" s="15">
        <f>IFERROR(__xludf.DUMMYFUNCTION("""COMPUTED_VALUE"""),45949.02251931015)</f>
        <v>45949.02252</v>
      </c>
      <c r="K189" s="15">
        <f>IFERROR(__xludf.DUMMYFUNCTION("""COMPUTED_VALUE"""),45949.26797113041)</f>
        <v>45949.26797</v>
      </c>
      <c r="L189" s="4"/>
    </row>
    <row r="190">
      <c r="A190" s="1">
        <f>IFERROR(__xludf.DUMMYFUNCTION("""COMPUTED_VALUE"""),189.0)</f>
        <v>189</v>
      </c>
      <c r="B190" s="7" t="str">
        <f>IFERROR(__xludf.DUMMYFUNCTION("""COMPUTED_VALUE"""),"9012")</f>
        <v>9012</v>
      </c>
      <c r="C190" s="8" t="str">
        <f>IFERROR(__xludf.DUMMYFUNCTION("""COMPUTED_VALUE"""),"D. Farshad. L")</f>
        <v>D. Farshad. L</v>
      </c>
      <c r="D190" s="2" t="str">
        <f>IFERROR(__xludf.DUMMYFUNCTION("""COMPUTED_VALUE"""),"5KM STUDENT M")</f>
        <v>5KM STUDENT M</v>
      </c>
      <c r="E190" s="1">
        <f>IFERROR(__xludf.DUMMYFUNCTION("""COMPUTED_VALUE"""),25.0)</f>
        <v>25</v>
      </c>
      <c r="F190" s="1" t="str">
        <f>IFERROR(__xludf.DUMMYFUNCTION("""COMPUTED_VALUE"""),"Male")</f>
        <v>Male</v>
      </c>
      <c r="G190" s="5">
        <f>IFERROR(__xludf.DUMMYFUNCTION("""COMPUTED_VALUE"""),0.0045066296296296295)</f>
        <v>0.00450662963</v>
      </c>
      <c r="H190" s="15">
        <f>IFERROR(__xludf.DUMMYFUNCTION("""COMPUTED_VALUE"""),0.2549440625)</f>
        <v>0.2549440625</v>
      </c>
      <c r="I190" s="15">
        <f>IFERROR(__xludf.DUMMYFUNCTION("""COMPUTED_VALUE"""),45949.27747720902)</f>
        <v>45949.27748</v>
      </c>
      <c r="J190" s="15">
        <f>IFERROR(__xludf.DUMMYFUNCTION("""COMPUTED_VALUE"""),45949.02253314652)</f>
        <v>45949.02253</v>
      </c>
      <c r="K190" s="15">
        <f>IFERROR(__xludf.DUMMYFUNCTION("""COMPUTED_VALUE"""),45949.268009687745)</f>
        <v>45949.26801</v>
      </c>
      <c r="L190" s="4"/>
    </row>
    <row r="191">
      <c r="A191" s="1">
        <f>IFERROR(__xludf.DUMMYFUNCTION("""COMPUTED_VALUE"""),190.0)</f>
        <v>190</v>
      </c>
      <c r="B191" s="1">
        <f>IFERROR(__xludf.DUMMYFUNCTION("""COMPUTED_VALUE"""),5702.0)</f>
        <v>5702</v>
      </c>
      <c r="C191" s="2" t="str">
        <f>IFERROR(__xludf.DUMMYFUNCTION("""COMPUTED_VALUE"""),"Rafli Bahasyim")</f>
        <v>Rafli Bahasyim</v>
      </c>
      <c r="D191" s="2" t="str">
        <f>IFERROR(__xludf.DUMMYFUNCTION("""COMPUTED_VALUE"""),"5KM OVERALL M")</f>
        <v>5KM OVERALL M</v>
      </c>
      <c r="E191" s="1">
        <f>IFERROR(__xludf.DUMMYFUNCTION("""COMPUTED_VALUE"""),123.0)</f>
        <v>123</v>
      </c>
      <c r="F191" s="1" t="str">
        <f>IFERROR(__xludf.DUMMYFUNCTION("""COMPUTED_VALUE"""),"Male")</f>
        <v>Male</v>
      </c>
      <c r="G191" s="5">
        <f>IFERROR(__xludf.DUMMYFUNCTION("""COMPUTED_VALUE"""),0.0045121944444444445)</f>
        <v>0.004512194444</v>
      </c>
      <c r="H191" s="15">
        <f>IFERROR(__xludf.DUMMYFUNCTION("""COMPUTED_VALUE"""),0.2549440625)</f>
        <v>0.2549440625</v>
      </c>
      <c r="I191" s="15">
        <f>IFERROR(__xludf.DUMMYFUNCTION("""COMPUTED_VALUE"""),45949.27750504003)</f>
        <v>45949.27751</v>
      </c>
      <c r="J191" s="15">
        <f>IFERROR(__xludf.DUMMYFUNCTION("""COMPUTED_VALUE"""),45949.02256097753)</f>
        <v>45949.02256</v>
      </c>
      <c r="K191" s="15">
        <f>IFERROR(__xludf.DUMMYFUNCTION("""COMPUTED_VALUE"""),45949.26793298888)</f>
        <v>45949.26793</v>
      </c>
      <c r="L191" s="4"/>
    </row>
    <row r="192">
      <c r="A192" s="1">
        <f>IFERROR(__xludf.DUMMYFUNCTION("""COMPUTED_VALUE"""),191.0)</f>
        <v>191</v>
      </c>
      <c r="B192" s="7" t="str">
        <f>IFERROR(__xludf.DUMMYFUNCTION("""COMPUTED_VALUE"""),"9055")</f>
        <v>9055</v>
      </c>
      <c r="C192" s="8" t="str">
        <f>IFERROR(__xludf.DUMMYFUNCTION("""COMPUTED_VALUE"""),"Khansa")</f>
        <v>Khansa</v>
      </c>
      <c r="D192" s="2" t="str">
        <f>IFERROR(__xludf.DUMMYFUNCTION("""COMPUTED_VALUE"""),"5KM STUDENT F")</f>
        <v>5KM STUDENT F</v>
      </c>
      <c r="E192" s="1">
        <f>IFERROR(__xludf.DUMMYFUNCTION("""COMPUTED_VALUE"""),3.0)</f>
        <v>3</v>
      </c>
      <c r="F192" s="1" t="str">
        <f>IFERROR(__xludf.DUMMYFUNCTION("""COMPUTED_VALUE"""),"Female")</f>
        <v>Female</v>
      </c>
      <c r="G192" s="5">
        <f>IFERROR(__xludf.DUMMYFUNCTION("""COMPUTED_VALUE"""),0.004515666666666666)</f>
        <v>0.004515666667</v>
      </c>
      <c r="H192" s="15">
        <f>IFERROR(__xludf.DUMMYFUNCTION("""COMPUTED_VALUE"""),0.2549440625)</f>
        <v>0.2549440625</v>
      </c>
      <c r="I192" s="15">
        <f>IFERROR(__xludf.DUMMYFUNCTION("""COMPUTED_VALUE"""),45949.277522390556)</f>
        <v>45949.27752</v>
      </c>
      <c r="J192" s="15">
        <f>IFERROR(__xludf.DUMMYFUNCTION("""COMPUTED_VALUE"""),45949.022578328055)</f>
        <v>45949.02258</v>
      </c>
      <c r="K192" s="15">
        <f>IFERROR(__xludf.DUMMYFUNCTION("""COMPUTED_VALUE"""),45949.267627446374)</f>
        <v>45949.26763</v>
      </c>
      <c r="L192" s="4"/>
    </row>
    <row r="193">
      <c r="A193" s="1">
        <f>IFERROR(__xludf.DUMMYFUNCTION("""COMPUTED_VALUE"""),192.0)</f>
        <v>192</v>
      </c>
      <c r="B193" s="1">
        <f>IFERROR(__xludf.DUMMYFUNCTION("""COMPUTED_VALUE"""),5703.0)</f>
        <v>5703</v>
      </c>
      <c r="C193" s="2" t="str">
        <f>IFERROR(__xludf.DUMMYFUNCTION("""COMPUTED_VALUE"""),"Lukman")</f>
        <v>Lukman</v>
      </c>
      <c r="D193" s="2" t="str">
        <f>IFERROR(__xludf.DUMMYFUNCTION("""COMPUTED_VALUE"""),"5KM OVERALL M")</f>
        <v>5KM OVERALL M</v>
      </c>
      <c r="E193" s="1">
        <f>IFERROR(__xludf.DUMMYFUNCTION("""COMPUTED_VALUE"""),124.0)</f>
        <v>124</v>
      </c>
      <c r="F193" s="1" t="str">
        <f>IFERROR(__xludf.DUMMYFUNCTION("""COMPUTED_VALUE"""),"Male")</f>
        <v>Male</v>
      </c>
      <c r="G193" s="5">
        <f>IFERROR(__xludf.DUMMYFUNCTION("""COMPUTED_VALUE"""),0.004517101851851852)</f>
        <v>0.004517101852</v>
      </c>
      <c r="H193" s="15">
        <f>IFERROR(__xludf.DUMMYFUNCTION("""COMPUTED_VALUE"""),0.2549440625)</f>
        <v>0.2549440625</v>
      </c>
      <c r="I193" s="15">
        <f>IFERROR(__xludf.DUMMYFUNCTION("""COMPUTED_VALUE"""),45949.27752957656)</f>
        <v>45949.27753</v>
      </c>
      <c r="J193" s="15">
        <f>IFERROR(__xludf.DUMMYFUNCTION("""COMPUTED_VALUE"""),45949.02258551406)</f>
        <v>45949.02259</v>
      </c>
      <c r="K193" s="15">
        <f>IFERROR(__xludf.DUMMYFUNCTION("""COMPUTED_VALUE"""),45949.26822122137)</f>
        <v>45949.26822</v>
      </c>
      <c r="L193" s="4"/>
    </row>
    <row r="194">
      <c r="A194" s="1">
        <f>IFERROR(__xludf.DUMMYFUNCTION("""COMPUTED_VALUE"""),193.0)</f>
        <v>193</v>
      </c>
      <c r="B194" s="1">
        <f>IFERROR(__xludf.DUMMYFUNCTION("""COMPUTED_VALUE"""),5534.0)</f>
        <v>5534</v>
      </c>
      <c r="C194" s="2" t="str">
        <f>IFERROR(__xludf.DUMMYFUNCTION("""COMPUTED_VALUE"""),"VINCENT")</f>
        <v>VINCENT</v>
      </c>
      <c r="D194" s="2" t="str">
        <f>IFERROR(__xludf.DUMMYFUNCTION("""COMPUTED_VALUE"""),"5KM OVERALL M")</f>
        <v>5KM OVERALL M</v>
      </c>
      <c r="E194" s="1">
        <f>IFERROR(__xludf.DUMMYFUNCTION("""COMPUTED_VALUE"""),125.0)</f>
        <v>125</v>
      </c>
      <c r="F194" s="1" t="str">
        <f>IFERROR(__xludf.DUMMYFUNCTION("""COMPUTED_VALUE"""),"Male")</f>
        <v>Male</v>
      </c>
      <c r="G194" s="5">
        <f>IFERROR(__xludf.DUMMYFUNCTION("""COMPUTED_VALUE"""),0.004523305555555556)</f>
        <v>0.004523305556</v>
      </c>
      <c r="H194" s="15">
        <f>IFERROR(__xludf.DUMMYFUNCTION("""COMPUTED_VALUE"""),0.2549440625)</f>
        <v>0.2549440625</v>
      </c>
      <c r="I194" s="15">
        <f>IFERROR(__xludf.DUMMYFUNCTION("""COMPUTED_VALUE"""),45949.27756058995)</f>
        <v>45949.27756</v>
      </c>
      <c r="J194" s="15">
        <f>IFERROR(__xludf.DUMMYFUNCTION("""COMPUTED_VALUE"""),45949.02261652745)</f>
        <v>45949.02262</v>
      </c>
      <c r="K194" s="15">
        <f>IFERROR(__xludf.DUMMYFUNCTION("""COMPUTED_VALUE"""),45949.268419064734)</f>
        <v>45949.26842</v>
      </c>
      <c r="L194" s="4"/>
    </row>
    <row r="195">
      <c r="A195" s="1">
        <f>IFERROR(__xludf.DUMMYFUNCTION("""COMPUTED_VALUE"""),194.0)</f>
        <v>194</v>
      </c>
      <c r="B195" s="1">
        <f>IFERROR(__xludf.DUMMYFUNCTION("""COMPUTED_VALUE"""),5978.0)</f>
        <v>5978</v>
      </c>
      <c r="C195" s="2" t="str">
        <f>IFERROR(__xludf.DUMMYFUNCTION("""COMPUTED_VALUE"""),"AL")</f>
        <v>AL</v>
      </c>
      <c r="D195" s="2" t="str">
        <f>IFERROR(__xludf.DUMMYFUNCTION("""COMPUTED_VALUE"""),"5KM OVERALL M")</f>
        <v>5KM OVERALL M</v>
      </c>
      <c r="E195" s="1">
        <f>IFERROR(__xludf.DUMMYFUNCTION("""COMPUTED_VALUE"""),126.0)</f>
        <v>126</v>
      </c>
      <c r="F195" s="1" t="str">
        <f>IFERROR(__xludf.DUMMYFUNCTION("""COMPUTED_VALUE"""),"Male")</f>
        <v>Male</v>
      </c>
      <c r="G195" s="5">
        <f>IFERROR(__xludf.DUMMYFUNCTION("""COMPUTED_VALUE"""),0.004533726851851852)</f>
        <v>0.004533726852</v>
      </c>
      <c r="H195" s="15">
        <f>IFERROR(__xludf.DUMMYFUNCTION("""COMPUTED_VALUE"""),0.2549440625)</f>
        <v>0.2549440625</v>
      </c>
      <c r="I195" s="15">
        <f>IFERROR(__xludf.DUMMYFUNCTION("""COMPUTED_VALUE"""),45949.27761269475)</f>
        <v>45949.27761</v>
      </c>
      <c r="J195" s="15">
        <f>IFERROR(__xludf.DUMMYFUNCTION("""COMPUTED_VALUE"""),45949.02266863225)</f>
        <v>45949.02267</v>
      </c>
      <c r="K195" s="15">
        <f>IFERROR(__xludf.DUMMYFUNCTION("""COMPUTED_VALUE"""),45949.26976287206)</f>
        <v>45949.26976</v>
      </c>
      <c r="L195" s="4"/>
    </row>
    <row r="196">
      <c r="A196" s="1">
        <f>IFERROR(__xludf.DUMMYFUNCTION("""COMPUTED_VALUE"""),195.0)</f>
        <v>195</v>
      </c>
      <c r="B196" s="1">
        <f>IFERROR(__xludf.DUMMYFUNCTION("""COMPUTED_VALUE"""),5622.0)</f>
        <v>5622</v>
      </c>
      <c r="C196" s="2" t="str">
        <f>IFERROR(__xludf.DUMMYFUNCTION("""COMPUTED_VALUE"""),"Fahrin Afdhillah")</f>
        <v>Fahrin Afdhillah</v>
      </c>
      <c r="D196" s="2" t="str">
        <f>IFERROR(__xludf.DUMMYFUNCTION("""COMPUTED_VALUE"""),"5KM OVERALL M")</f>
        <v>5KM OVERALL M</v>
      </c>
      <c r="E196" s="1">
        <f>IFERROR(__xludf.DUMMYFUNCTION("""COMPUTED_VALUE"""),127.0)</f>
        <v>127</v>
      </c>
      <c r="F196" s="1" t="str">
        <f>IFERROR(__xludf.DUMMYFUNCTION("""COMPUTED_VALUE"""),"Male")</f>
        <v>Male</v>
      </c>
      <c r="G196" s="5">
        <f>IFERROR(__xludf.DUMMYFUNCTION("""COMPUTED_VALUE"""),0.004535118055555556)</f>
        <v>0.004535118056</v>
      </c>
      <c r="H196" s="15">
        <f>IFERROR(__xludf.DUMMYFUNCTION("""COMPUTED_VALUE"""),0.2549440625)</f>
        <v>0.2549440625</v>
      </c>
      <c r="I196" s="15">
        <f>IFERROR(__xludf.DUMMYFUNCTION("""COMPUTED_VALUE"""),45949.27761965526)</f>
        <v>45949.27762</v>
      </c>
      <c r="J196" s="15">
        <f>IFERROR(__xludf.DUMMYFUNCTION("""COMPUTED_VALUE"""),45949.02267559276)</f>
        <v>45949.02268</v>
      </c>
      <c r="K196" s="15">
        <f>IFERROR(__xludf.DUMMYFUNCTION("""COMPUTED_VALUE"""),45949.26910308631)</f>
        <v>45949.2691</v>
      </c>
      <c r="L196" s="4"/>
    </row>
    <row r="197">
      <c r="A197" s="1">
        <f>IFERROR(__xludf.DUMMYFUNCTION("""COMPUTED_VALUE"""),196.0)</f>
        <v>196</v>
      </c>
      <c r="B197" s="1">
        <f>IFERROR(__xludf.DUMMYFUNCTION("""COMPUTED_VALUE"""),6544.0)</f>
        <v>6544</v>
      </c>
      <c r="C197" s="2" t="str">
        <f>IFERROR(__xludf.DUMMYFUNCTION("""COMPUTED_VALUE"""),"AHMAD RIZALI")</f>
        <v>AHMAD RIZALI</v>
      </c>
      <c r="D197" s="2" t="str">
        <f>IFERROR(__xludf.DUMMYFUNCTION("""COMPUTED_VALUE"""),"5KM OVERALL F")</f>
        <v>5KM OVERALL F</v>
      </c>
      <c r="E197" s="1">
        <f>IFERROR(__xludf.DUMMYFUNCTION("""COMPUTED_VALUE"""),16.0)</f>
        <v>16</v>
      </c>
      <c r="F197" s="1" t="str">
        <f>IFERROR(__xludf.DUMMYFUNCTION("""COMPUTED_VALUE"""),"Female")</f>
        <v>Female</v>
      </c>
      <c r="G197" s="5">
        <f>IFERROR(__xludf.DUMMYFUNCTION("""COMPUTED_VALUE"""),0.004537194444444444)</f>
        <v>0.004537194444</v>
      </c>
      <c r="H197" s="15">
        <f>IFERROR(__xludf.DUMMYFUNCTION("""COMPUTED_VALUE"""),0.2549440625)</f>
        <v>0.2549440625</v>
      </c>
      <c r="I197" s="15">
        <f>IFERROR(__xludf.DUMMYFUNCTION("""COMPUTED_VALUE"""),45949.277630030665)</f>
        <v>45949.27763</v>
      </c>
      <c r="J197" s="15">
        <f>IFERROR(__xludf.DUMMYFUNCTION("""COMPUTED_VALUE"""),45949.022685968164)</f>
        <v>45949.02269</v>
      </c>
      <c r="K197" s="15">
        <f>IFERROR(__xludf.DUMMYFUNCTION("""COMPUTED_VALUE"""),45949.26786350301)</f>
        <v>45949.26786</v>
      </c>
      <c r="L197" s="4"/>
    </row>
    <row r="198">
      <c r="A198" s="1">
        <f>IFERROR(__xludf.DUMMYFUNCTION("""COMPUTED_VALUE"""),197.0)</f>
        <v>197</v>
      </c>
      <c r="B198" s="7" t="str">
        <f>IFERROR(__xludf.DUMMYFUNCTION("""COMPUTED_VALUE"""),"9020")</f>
        <v>9020</v>
      </c>
      <c r="C198" s="8" t="str">
        <f>IFERROR(__xludf.DUMMYFUNCTION("""COMPUTED_VALUE"""),"zimiiiiii")</f>
        <v>zimiiiiii</v>
      </c>
      <c r="D198" s="2" t="str">
        <f>IFERROR(__xludf.DUMMYFUNCTION("""COMPUTED_VALUE"""),"5KM STUDENT M")</f>
        <v>5KM STUDENT M</v>
      </c>
      <c r="E198" s="1">
        <f>IFERROR(__xludf.DUMMYFUNCTION("""COMPUTED_VALUE"""),26.0)</f>
        <v>26</v>
      </c>
      <c r="F198" s="1" t="str">
        <f>IFERROR(__xludf.DUMMYFUNCTION("""COMPUTED_VALUE"""),"Male")</f>
        <v>Male</v>
      </c>
      <c r="G198" s="5">
        <f>IFERROR(__xludf.DUMMYFUNCTION("""COMPUTED_VALUE"""),0.004540657407407408)</f>
        <v>0.004540657407</v>
      </c>
      <c r="H198" s="15">
        <f>IFERROR(__xludf.DUMMYFUNCTION("""COMPUTED_VALUE"""),0.2549440625)</f>
        <v>0.2549440625</v>
      </c>
      <c r="I198" s="15">
        <f>IFERROR(__xludf.DUMMYFUNCTION("""COMPUTED_VALUE"""),45949.27764735482)</f>
        <v>45949.27765</v>
      </c>
      <c r="J198" s="15">
        <f>IFERROR(__xludf.DUMMYFUNCTION("""COMPUTED_VALUE"""),45949.02270329232)</f>
        <v>45949.0227</v>
      </c>
      <c r="K198" s="15">
        <f>IFERROR(__xludf.DUMMYFUNCTION("""COMPUTED_VALUE"""),45949.266325349985)</f>
        <v>45949.26633</v>
      </c>
      <c r="L198" s="4"/>
    </row>
    <row r="199">
      <c r="A199" s="1">
        <f>IFERROR(__xludf.DUMMYFUNCTION("""COMPUTED_VALUE"""),198.0)</f>
        <v>198</v>
      </c>
      <c r="B199" s="1">
        <f>IFERROR(__xludf.DUMMYFUNCTION("""COMPUTED_VALUE"""),5140.0)</f>
        <v>5140</v>
      </c>
      <c r="C199" s="2" t="str">
        <f>IFERROR(__xludf.DUMMYFUNCTION("""COMPUTED_VALUE"""),"ehen")</f>
        <v>ehen</v>
      </c>
      <c r="D199" s="2" t="str">
        <f>IFERROR(__xludf.DUMMYFUNCTION("""COMPUTED_VALUE"""),"5KM OVERALL M")</f>
        <v>5KM OVERALL M</v>
      </c>
      <c r="E199" s="1">
        <f>IFERROR(__xludf.DUMMYFUNCTION("""COMPUTED_VALUE"""),128.0)</f>
        <v>128</v>
      </c>
      <c r="F199" s="1" t="str">
        <f>IFERROR(__xludf.DUMMYFUNCTION("""COMPUTED_VALUE"""),"Male")</f>
        <v>Male</v>
      </c>
      <c r="G199" s="5">
        <f>IFERROR(__xludf.DUMMYFUNCTION("""COMPUTED_VALUE"""),0.004547611111111112)</f>
        <v>0.004547611111</v>
      </c>
      <c r="H199" s="15">
        <f>IFERROR(__xludf.DUMMYFUNCTION("""COMPUTED_VALUE"""),0.2549440625)</f>
        <v>0.2549440625</v>
      </c>
      <c r="I199" s="15">
        <f>IFERROR(__xludf.DUMMYFUNCTION("""COMPUTED_VALUE"""),45949.27768211595)</f>
        <v>45949.27768</v>
      </c>
      <c r="J199" s="15">
        <f>IFERROR(__xludf.DUMMYFUNCTION("""COMPUTED_VALUE"""),45949.02273805345)</f>
        <v>45949.02274</v>
      </c>
      <c r="K199" s="15">
        <f>IFERROR(__xludf.DUMMYFUNCTION("""COMPUTED_VALUE"""),45949.268221186554)</f>
        <v>45949.26822</v>
      </c>
      <c r="L199" s="4"/>
    </row>
    <row r="200">
      <c r="A200" s="1">
        <f>IFERROR(__xludf.DUMMYFUNCTION("""COMPUTED_VALUE"""),199.0)</f>
        <v>199</v>
      </c>
      <c r="B200" s="1">
        <f>IFERROR(__xludf.DUMMYFUNCTION("""COMPUTED_VALUE"""),6446.0)</f>
        <v>6446</v>
      </c>
      <c r="C200" s="2" t="str">
        <f>IFERROR(__xludf.DUMMYFUNCTION("""COMPUTED_VALUE"""),"WAKAPOLRES LETJON")</f>
        <v>WAKAPOLRES LETJON</v>
      </c>
      <c r="D200" s="2" t="str">
        <f>IFERROR(__xludf.DUMMYFUNCTION("""COMPUTED_VALUE"""),"5KM OVERALL M")</f>
        <v>5KM OVERALL M</v>
      </c>
      <c r="E200" s="1">
        <f>IFERROR(__xludf.DUMMYFUNCTION("""COMPUTED_VALUE"""),129.0)</f>
        <v>129</v>
      </c>
      <c r="F200" s="1" t="str">
        <f>IFERROR(__xludf.DUMMYFUNCTION("""COMPUTED_VALUE"""),"Male")</f>
        <v>Male</v>
      </c>
      <c r="G200" s="5">
        <f>IFERROR(__xludf.DUMMYFUNCTION("""COMPUTED_VALUE"""),0.004549694444444445)</f>
        <v>0.004549694444</v>
      </c>
      <c r="H200" s="15">
        <f>IFERROR(__xludf.DUMMYFUNCTION("""COMPUTED_VALUE"""),0.2549440625)</f>
        <v>0.2549440625</v>
      </c>
      <c r="I200" s="15">
        <f>IFERROR(__xludf.DUMMYFUNCTION("""COMPUTED_VALUE"""),45949.27769253752)</f>
        <v>45949.27769</v>
      </c>
      <c r="J200" s="15">
        <f>IFERROR(__xludf.DUMMYFUNCTION("""COMPUTED_VALUE"""),45949.02274847502)</f>
        <v>45949.02275</v>
      </c>
      <c r="K200" s="15">
        <f>IFERROR(__xludf.DUMMYFUNCTION("""COMPUTED_VALUE"""),45949.267762813724)</f>
        <v>45949.26776</v>
      </c>
      <c r="L200" s="4"/>
    </row>
    <row r="201">
      <c r="A201" s="1">
        <f>IFERROR(__xludf.DUMMYFUNCTION("""COMPUTED_VALUE"""),200.0)</f>
        <v>200</v>
      </c>
      <c r="B201" s="7" t="str">
        <f>IFERROR(__xludf.DUMMYFUNCTION("""COMPUTED_VALUE"""),"7130")</f>
        <v>7130</v>
      </c>
      <c r="C201" s="8" t="str">
        <f>IFERROR(__xludf.DUMMYFUNCTION("""COMPUTED_VALUE"""),"AWAN")</f>
        <v>AWAN</v>
      </c>
      <c r="D201" s="2" t="str">
        <f>IFERROR(__xludf.DUMMYFUNCTION("""COMPUTED_VALUE"""),"5KM MASTER M")</f>
        <v>5KM MASTER M</v>
      </c>
      <c r="E201" s="1">
        <f>IFERROR(__xludf.DUMMYFUNCTION("""COMPUTED_VALUE"""),20.0)</f>
        <v>20</v>
      </c>
      <c r="F201" s="1" t="str">
        <f>IFERROR(__xludf.DUMMYFUNCTION("""COMPUTED_VALUE"""),"Male")</f>
        <v>Male</v>
      </c>
      <c r="G201" s="5">
        <f>IFERROR(__xludf.DUMMYFUNCTION("""COMPUTED_VALUE"""),0.004551782407407407)</f>
        <v>0.004551782407</v>
      </c>
      <c r="H201" s="15">
        <f>IFERROR(__xludf.DUMMYFUNCTION("""COMPUTED_VALUE"""),0.2549440625)</f>
        <v>0.2549440625</v>
      </c>
      <c r="I201" s="15">
        <f>IFERROR(__xludf.DUMMYFUNCTION("""COMPUTED_VALUE"""),45949.27770296997)</f>
        <v>45949.2777</v>
      </c>
      <c r="J201" s="15">
        <f>IFERROR(__xludf.DUMMYFUNCTION("""COMPUTED_VALUE"""),45949.02275890747)</f>
        <v>45949.02276</v>
      </c>
      <c r="K201" s="15">
        <f>IFERROR(__xludf.DUMMYFUNCTION("""COMPUTED_VALUE"""),45949.26679405559)</f>
        <v>45949.26679</v>
      </c>
      <c r="L201" s="4"/>
    </row>
    <row r="202">
      <c r="A202" s="1">
        <f>IFERROR(__xludf.DUMMYFUNCTION("""COMPUTED_VALUE"""),201.0)</f>
        <v>201</v>
      </c>
      <c r="B202" s="1">
        <f>IFERROR(__xludf.DUMMYFUNCTION("""COMPUTED_VALUE"""),5364.0)</f>
        <v>5364</v>
      </c>
      <c r="C202" s="2" t="str">
        <f>IFERROR(__xludf.DUMMYFUNCTION("""COMPUTED_VALUE"""),"Mylee")</f>
        <v>Mylee</v>
      </c>
      <c r="D202" s="2" t="str">
        <f>IFERROR(__xludf.DUMMYFUNCTION("""COMPUTED_VALUE"""),"5KM OVERALL F")</f>
        <v>5KM OVERALL F</v>
      </c>
      <c r="E202" s="1">
        <f>IFERROR(__xludf.DUMMYFUNCTION("""COMPUTED_VALUE"""),17.0)</f>
        <v>17</v>
      </c>
      <c r="F202" s="1" t="str">
        <f>IFERROR(__xludf.DUMMYFUNCTION("""COMPUTED_VALUE"""),"Female")</f>
        <v>Female</v>
      </c>
      <c r="G202" s="5">
        <f>IFERROR(__xludf.DUMMYFUNCTION("""COMPUTED_VALUE"""),0.0045587106481481485)</f>
        <v>0.004558710648</v>
      </c>
      <c r="H202" s="15">
        <f>IFERROR(__xludf.DUMMYFUNCTION("""COMPUTED_VALUE"""),0.2549440625)</f>
        <v>0.2549440625</v>
      </c>
      <c r="I202" s="15">
        <f>IFERROR(__xludf.DUMMYFUNCTION("""COMPUTED_VALUE"""),45949.27773761917)</f>
        <v>45949.27774</v>
      </c>
      <c r="J202" s="15">
        <f>IFERROR(__xludf.DUMMYFUNCTION("""COMPUTED_VALUE"""),45949.02279355667)</f>
        <v>45949.02279</v>
      </c>
      <c r="K202" s="15">
        <f>IFERROR(__xludf.DUMMYFUNCTION("""COMPUTED_VALUE"""),45949.26759614496)</f>
        <v>45949.2676</v>
      </c>
      <c r="L202" s="4"/>
    </row>
    <row r="203">
      <c r="A203" s="1">
        <f>IFERROR(__xludf.DUMMYFUNCTION("""COMPUTED_VALUE"""),202.0)</f>
        <v>202</v>
      </c>
      <c r="B203" s="1">
        <f>IFERROR(__xludf.DUMMYFUNCTION("""COMPUTED_VALUE"""),6194.0)</f>
        <v>6194</v>
      </c>
      <c r="C203" s="2" t="str">
        <f>IFERROR(__xludf.DUMMYFUNCTION("""COMPUTED_VALUE"""),"nizar")</f>
        <v>nizar</v>
      </c>
      <c r="D203" s="2" t="str">
        <f>IFERROR(__xludf.DUMMYFUNCTION("""COMPUTED_VALUE"""),"5KM OVERALL M")</f>
        <v>5KM OVERALL M</v>
      </c>
      <c r="E203" s="1">
        <f>IFERROR(__xludf.DUMMYFUNCTION("""COMPUTED_VALUE"""),130.0)</f>
        <v>130</v>
      </c>
      <c r="F203" s="1" t="str">
        <f>IFERROR(__xludf.DUMMYFUNCTION("""COMPUTED_VALUE"""),"Male")</f>
        <v>Male</v>
      </c>
      <c r="G203" s="5">
        <f>IFERROR(__xludf.DUMMYFUNCTION("""COMPUTED_VALUE"""),0.004558715277777778)</f>
        <v>0.004558715278</v>
      </c>
      <c r="H203" s="15">
        <f>IFERROR(__xludf.DUMMYFUNCTION("""COMPUTED_VALUE"""),0.2549440625)</f>
        <v>0.2549440625</v>
      </c>
      <c r="I203" s="15">
        <f>IFERROR(__xludf.DUMMYFUNCTION("""COMPUTED_VALUE"""),45949.27773763633)</f>
        <v>45949.27774</v>
      </c>
      <c r="J203" s="15">
        <f>IFERROR(__xludf.DUMMYFUNCTION("""COMPUTED_VALUE"""),45949.02279357383)</f>
        <v>45949.02279</v>
      </c>
      <c r="K203" s="15">
        <f>IFERROR(__xludf.DUMMYFUNCTION("""COMPUTED_VALUE"""),45949.26905793483)</f>
        <v>45949.26906</v>
      </c>
      <c r="L203" s="4"/>
    </row>
    <row r="204">
      <c r="A204" s="1">
        <f>IFERROR(__xludf.DUMMYFUNCTION("""COMPUTED_VALUE"""),203.0)</f>
        <v>203</v>
      </c>
      <c r="B204" s="1">
        <f>IFERROR(__xludf.DUMMYFUNCTION("""COMPUTED_VALUE"""),5012.0)</f>
        <v>5012</v>
      </c>
      <c r="C204" s="2" t="str">
        <f>IFERROR(__xludf.DUMMYFUNCTION("""COMPUTED_VALUE"""),"Hamada")</f>
        <v>Hamada</v>
      </c>
      <c r="D204" s="2" t="str">
        <f>IFERROR(__xludf.DUMMYFUNCTION("""COMPUTED_VALUE"""),"5KM OVERALL M")</f>
        <v>5KM OVERALL M</v>
      </c>
      <c r="E204" s="1">
        <f>IFERROR(__xludf.DUMMYFUNCTION("""COMPUTED_VALUE"""),131.0)</f>
        <v>131</v>
      </c>
      <c r="F204" s="1" t="str">
        <f>IFERROR(__xludf.DUMMYFUNCTION("""COMPUTED_VALUE"""),"Male")</f>
        <v>Male</v>
      </c>
      <c r="G204" s="5">
        <f>IFERROR(__xludf.DUMMYFUNCTION("""COMPUTED_VALUE"""),0.004572613425925925)</f>
        <v>0.004572613426</v>
      </c>
      <c r="H204" s="15">
        <f>IFERROR(__xludf.DUMMYFUNCTION("""COMPUTED_VALUE"""),0.2549440625)</f>
        <v>0.2549440625</v>
      </c>
      <c r="I204" s="15">
        <f>IFERROR(__xludf.DUMMYFUNCTION("""COMPUTED_VALUE"""),45949.27780712447)</f>
        <v>45949.27781</v>
      </c>
      <c r="J204" s="15">
        <f>IFERROR(__xludf.DUMMYFUNCTION("""COMPUTED_VALUE"""),45949.02286306197)</f>
        <v>45949.02286</v>
      </c>
      <c r="K204" s="15">
        <f>IFERROR(__xludf.DUMMYFUNCTION("""COMPUTED_VALUE"""),45949.26747809157)</f>
        <v>45949.26748</v>
      </c>
      <c r="L204" s="4"/>
    </row>
    <row r="205">
      <c r="A205" s="1">
        <f>IFERROR(__xludf.DUMMYFUNCTION("""COMPUTED_VALUE"""),204.0)</f>
        <v>204</v>
      </c>
      <c r="B205" s="1">
        <f>IFERROR(__xludf.DUMMYFUNCTION("""COMPUTED_VALUE"""),5838.0)</f>
        <v>5838</v>
      </c>
      <c r="C205" s="2" t="str">
        <f>IFERROR(__xludf.DUMMYFUNCTION("""COMPUTED_VALUE"""),"DEDY")</f>
        <v>DEDY</v>
      </c>
      <c r="D205" s="2" t="str">
        <f>IFERROR(__xludf.DUMMYFUNCTION("""COMPUTED_VALUE"""),"5KM OVERALL M")</f>
        <v>5KM OVERALL M</v>
      </c>
      <c r="E205" s="1">
        <f>IFERROR(__xludf.DUMMYFUNCTION("""COMPUTED_VALUE"""),132.0)</f>
        <v>132</v>
      </c>
      <c r="F205" s="1" t="str">
        <f>IFERROR(__xludf.DUMMYFUNCTION("""COMPUTED_VALUE"""),"Male")</f>
        <v>Male</v>
      </c>
      <c r="G205" s="5">
        <f>IFERROR(__xludf.DUMMYFUNCTION("""COMPUTED_VALUE"""),0.004573988425925926)</f>
        <v>0.004573988426</v>
      </c>
      <c r="H205" s="15">
        <f>IFERROR(__xludf.DUMMYFUNCTION("""COMPUTED_VALUE"""),0.2549440625)</f>
        <v>0.2549440625</v>
      </c>
      <c r="I205" s="15">
        <f>IFERROR(__xludf.DUMMYFUNCTION("""COMPUTED_VALUE"""),45949.27781401011)</f>
        <v>45949.27781</v>
      </c>
      <c r="J205" s="15">
        <f>IFERROR(__xludf.DUMMYFUNCTION("""COMPUTED_VALUE"""),45949.02286994761)</f>
        <v>45949.02287</v>
      </c>
      <c r="K205" s="15">
        <f>IFERROR(__xludf.DUMMYFUNCTION("""COMPUTED_VALUE"""),45949.26838433994)</f>
        <v>45949.26838</v>
      </c>
      <c r="L205" s="4"/>
    </row>
    <row r="206">
      <c r="A206" s="1">
        <f>IFERROR(__xludf.DUMMYFUNCTION("""COMPUTED_VALUE"""),205.0)</f>
        <v>205</v>
      </c>
      <c r="B206" s="1">
        <f>IFERROR(__xludf.DUMMYFUNCTION("""COMPUTED_VALUE"""),6054.0)</f>
        <v>6054</v>
      </c>
      <c r="C206" s="2" t="str">
        <f>IFERROR(__xludf.DUMMYFUNCTION("""COMPUTED_VALUE"""),"ayes")</f>
        <v>ayes</v>
      </c>
      <c r="D206" s="2" t="str">
        <f>IFERROR(__xludf.DUMMYFUNCTION("""COMPUTED_VALUE"""),"5KM OVERALL M")</f>
        <v>5KM OVERALL M</v>
      </c>
      <c r="E206" s="1">
        <f>IFERROR(__xludf.DUMMYFUNCTION("""COMPUTED_VALUE"""),133.0)</f>
        <v>133</v>
      </c>
      <c r="F206" s="1" t="str">
        <f>IFERROR(__xludf.DUMMYFUNCTION("""COMPUTED_VALUE"""),"Male")</f>
        <v>Male</v>
      </c>
      <c r="G206" s="5">
        <f>IFERROR(__xludf.DUMMYFUNCTION("""COMPUTED_VALUE"""),0.004586499999999999)</f>
        <v>0.0045865</v>
      </c>
      <c r="H206" s="15">
        <f>IFERROR(__xludf.DUMMYFUNCTION("""COMPUTED_VALUE"""),0.2549440625)</f>
        <v>0.2549440625</v>
      </c>
      <c r="I206" s="15">
        <f>IFERROR(__xludf.DUMMYFUNCTION("""COMPUTED_VALUE"""),45949.27787655714)</f>
        <v>45949.27788</v>
      </c>
      <c r="J206" s="15">
        <f>IFERROR(__xludf.DUMMYFUNCTION("""COMPUTED_VALUE"""),45949.02293249464)</f>
        <v>45949.02293</v>
      </c>
      <c r="K206" s="15">
        <f>IFERROR(__xludf.DUMMYFUNCTION("""COMPUTED_VALUE"""),45949.26683229984)</f>
        <v>45949.26683</v>
      </c>
      <c r="L206" s="4"/>
    </row>
    <row r="207">
      <c r="A207" s="1">
        <f>IFERROR(__xludf.DUMMYFUNCTION("""COMPUTED_VALUE"""),206.0)</f>
        <v>206</v>
      </c>
      <c r="B207" s="1">
        <f>IFERROR(__xludf.DUMMYFUNCTION("""COMPUTED_VALUE"""),5555.0)</f>
        <v>5555</v>
      </c>
      <c r="C207" s="2" t="str">
        <f>IFERROR(__xludf.DUMMYFUNCTION("""COMPUTED_VALUE"""),"Ragil Wijaya")</f>
        <v>Ragil Wijaya</v>
      </c>
      <c r="D207" s="2" t="str">
        <f>IFERROR(__xludf.DUMMYFUNCTION("""COMPUTED_VALUE"""),"5KM OVERALL M")</f>
        <v>5KM OVERALL M</v>
      </c>
      <c r="E207" s="1">
        <f>IFERROR(__xludf.DUMMYFUNCTION("""COMPUTED_VALUE"""),134.0)</f>
        <v>134</v>
      </c>
      <c r="F207" s="1" t="str">
        <f>IFERROR(__xludf.DUMMYFUNCTION("""COMPUTED_VALUE"""),"Male")</f>
        <v>Male</v>
      </c>
      <c r="G207" s="5">
        <f>IFERROR(__xludf.DUMMYFUNCTION("""COMPUTED_VALUE"""),0.004587194444444444)</f>
        <v>0.004587194444</v>
      </c>
      <c r="H207" s="15">
        <f>IFERROR(__xludf.DUMMYFUNCTION("""COMPUTED_VALUE"""),0.2549440625)</f>
        <v>0.2549440625</v>
      </c>
      <c r="I207" s="15">
        <f>IFERROR(__xludf.DUMMYFUNCTION("""COMPUTED_VALUE"""),45949.27788003534)</f>
        <v>45949.27788</v>
      </c>
      <c r="J207" s="15">
        <f>IFERROR(__xludf.DUMMYFUNCTION("""COMPUTED_VALUE"""),45949.02293597284)</f>
        <v>45949.02294</v>
      </c>
      <c r="K207" s="15">
        <f>IFERROR(__xludf.DUMMYFUNCTION("""COMPUTED_VALUE"""),45949.26707878071)</f>
        <v>45949.26708</v>
      </c>
      <c r="L207" s="4"/>
    </row>
    <row r="208">
      <c r="A208" s="1">
        <f>IFERROR(__xludf.DUMMYFUNCTION("""COMPUTED_VALUE"""),207.0)</f>
        <v>207</v>
      </c>
      <c r="B208" s="7" t="str">
        <f>IFERROR(__xludf.DUMMYFUNCTION("""COMPUTED_VALUE"""),"7145")</f>
        <v>7145</v>
      </c>
      <c r="C208" s="8" t="str">
        <f>IFERROR(__xludf.DUMMYFUNCTION("""COMPUTED_VALUE"""),"FIRDA")</f>
        <v>FIRDA</v>
      </c>
      <c r="D208" s="2" t="str">
        <f>IFERROR(__xludf.DUMMYFUNCTION("""COMPUTED_VALUE"""),"5KM MASTER F")</f>
        <v>5KM MASTER F</v>
      </c>
      <c r="E208" s="1">
        <f>IFERROR(__xludf.DUMMYFUNCTION("""COMPUTED_VALUE"""),7.0)</f>
        <v>7</v>
      </c>
      <c r="F208" s="1" t="str">
        <f>IFERROR(__xludf.DUMMYFUNCTION("""COMPUTED_VALUE"""),"Female")</f>
        <v>Female</v>
      </c>
      <c r="G208" s="5">
        <f>IFERROR(__xludf.DUMMYFUNCTION("""COMPUTED_VALUE"""),0.004589972222222223)</f>
        <v>0.004589972222</v>
      </c>
      <c r="H208" s="15">
        <f>IFERROR(__xludf.DUMMYFUNCTION("""COMPUTED_VALUE"""),0.2549440625)</f>
        <v>0.2549440625</v>
      </c>
      <c r="I208" s="15">
        <f>IFERROR(__xludf.DUMMYFUNCTION("""COMPUTED_VALUE"""),45949.27789392369)</f>
        <v>45949.27789</v>
      </c>
      <c r="J208" s="15">
        <f>IFERROR(__xludf.DUMMYFUNCTION("""COMPUTED_VALUE"""),45949.02294986119)</f>
        <v>45949.02295</v>
      </c>
      <c r="K208" s="15">
        <f>IFERROR(__xludf.DUMMYFUNCTION("""COMPUTED_VALUE"""),45949.268544045925)</f>
        <v>45949.26854</v>
      </c>
      <c r="L208" s="4"/>
    </row>
    <row r="209">
      <c r="A209" s="1">
        <f>IFERROR(__xludf.DUMMYFUNCTION("""COMPUTED_VALUE"""),208.0)</f>
        <v>208</v>
      </c>
      <c r="B209" s="1">
        <f>IFERROR(__xludf.DUMMYFUNCTION("""COMPUTED_VALUE"""),6087.0)</f>
        <v>6087</v>
      </c>
      <c r="C209" s="2" t="str">
        <f>IFERROR(__xludf.DUMMYFUNCTION("""COMPUTED_VALUE"""),"Robby darmawan")</f>
        <v>Robby darmawan</v>
      </c>
      <c r="D209" s="2" t="str">
        <f>IFERROR(__xludf.DUMMYFUNCTION("""COMPUTED_VALUE"""),"5KM OVERALL M")</f>
        <v>5KM OVERALL M</v>
      </c>
      <c r="E209" s="1">
        <f>IFERROR(__xludf.DUMMYFUNCTION("""COMPUTED_VALUE"""),135.0)</f>
        <v>135</v>
      </c>
      <c r="F209" s="1" t="str">
        <f>IFERROR(__xludf.DUMMYFUNCTION("""COMPUTED_VALUE"""),"Male")</f>
        <v>Male</v>
      </c>
      <c r="G209" s="5">
        <f>IFERROR(__xludf.DUMMYFUNCTION("""COMPUTED_VALUE"""),0.0045899745370370365)</f>
        <v>0.004589974537</v>
      </c>
      <c r="H209" s="15">
        <f>IFERROR(__xludf.DUMMYFUNCTION("""COMPUTED_VALUE"""),0.2549440625)</f>
        <v>0.2549440625</v>
      </c>
      <c r="I209" s="15">
        <f>IFERROR(__xludf.DUMMYFUNCTION("""COMPUTED_VALUE"""),45949.27789393567)</f>
        <v>45949.27789</v>
      </c>
      <c r="J209" s="15">
        <f>IFERROR(__xludf.DUMMYFUNCTION("""COMPUTED_VALUE"""),45949.02294987317)</f>
        <v>45949.02295</v>
      </c>
      <c r="K209" s="15">
        <f>IFERROR(__xludf.DUMMYFUNCTION("""COMPUTED_VALUE"""),45949.26905448271)</f>
        <v>45949.26905</v>
      </c>
      <c r="L209" s="4"/>
    </row>
    <row r="210">
      <c r="A210" s="1">
        <f>IFERROR(__xludf.DUMMYFUNCTION("""COMPUTED_VALUE"""),209.0)</f>
        <v>209</v>
      </c>
      <c r="B210" s="1">
        <f>IFERROR(__xludf.DUMMYFUNCTION("""COMPUTED_VALUE"""),6581.0)</f>
        <v>6581</v>
      </c>
      <c r="C210" s="2" t="str">
        <f>IFERROR(__xludf.DUMMYFUNCTION("""COMPUTED_VALUE"""),"Apri")</f>
        <v>Apri</v>
      </c>
      <c r="D210" s="2" t="str">
        <f>IFERROR(__xludf.DUMMYFUNCTION("""COMPUTED_VALUE"""),"5KM OVERALL M")</f>
        <v>5KM OVERALL M</v>
      </c>
      <c r="E210" s="1">
        <f>IFERROR(__xludf.DUMMYFUNCTION("""COMPUTED_VALUE"""),136.0)</f>
        <v>136</v>
      </c>
      <c r="F210" s="1" t="str">
        <f>IFERROR(__xludf.DUMMYFUNCTION("""COMPUTED_VALUE"""),"Male")</f>
        <v>Male</v>
      </c>
      <c r="G210" s="5">
        <f>IFERROR(__xludf.DUMMYFUNCTION("""COMPUTED_VALUE"""),0.0045920578703703705)</f>
        <v>0.00459205787</v>
      </c>
      <c r="H210" s="15">
        <f>IFERROR(__xludf.DUMMYFUNCTION("""COMPUTED_VALUE"""),0.2549440625)</f>
        <v>0.2549440625</v>
      </c>
      <c r="I210" s="15">
        <f>IFERROR(__xludf.DUMMYFUNCTION("""COMPUTED_VALUE"""),45949.277904352966)</f>
        <v>45949.2779</v>
      </c>
      <c r="J210" s="15">
        <f>IFERROR(__xludf.DUMMYFUNCTION("""COMPUTED_VALUE"""),45949.022960290466)</f>
        <v>45949.02296</v>
      </c>
      <c r="K210" s="15">
        <f>IFERROR(__xludf.DUMMYFUNCTION("""COMPUTED_VALUE"""),45949.267735022455)</f>
        <v>45949.26774</v>
      </c>
      <c r="L210" s="4"/>
    </row>
    <row r="211">
      <c r="A211" s="1">
        <f>IFERROR(__xludf.DUMMYFUNCTION("""COMPUTED_VALUE"""),210.0)</f>
        <v>210</v>
      </c>
      <c r="B211" s="1">
        <f>IFERROR(__xludf.DUMMYFUNCTION("""COMPUTED_VALUE"""),5895.0)</f>
        <v>5895</v>
      </c>
      <c r="C211" s="2" t="str">
        <f>IFERROR(__xludf.DUMMYFUNCTION("""COMPUTED_VALUE"""),"Achmad Rizky Zulkarnain")</f>
        <v>Achmad Rizky Zulkarnain</v>
      </c>
      <c r="D211" s="2" t="str">
        <f>IFERROR(__xludf.DUMMYFUNCTION("""COMPUTED_VALUE"""),"5KM OVERALL M")</f>
        <v>5KM OVERALL M</v>
      </c>
      <c r="E211" s="1">
        <f>IFERROR(__xludf.DUMMYFUNCTION("""COMPUTED_VALUE"""),137.0)</f>
        <v>137</v>
      </c>
      <c r="F211" s="1" t="str">
        <f>IFERROR(__xludf.DUMMYFUNCTION("""COMPUTED_VALUE"""),"Male")</f>
        <v>Male</v>
      </c>
      <c r="G211" s="5">
        <f>IFERROR(__xludf.DUMMYFUNCTION("""COMPUTED_VALUE"""),0.00459343287037037)</f>
        <v>0.00459343287</v>
      </c>
      <c r="H211" s="15">
        <f>IFERROR(__xludf.DUMMYFUNCTION("""COMPUTED_VALUE"""),0.2549440625)</f>
        <v>0.2549440625</v>
      </c>
      <c r="I211" s="15">
        <f>IFERROR(__xludf.DUMMYFUNCTION("""COMPUTED_VALUE"""),45949.27791122582)</f>
        <v>45949.27791</v>
      </c>
      <c r="J211" s="15">
        <f>IFERROR(__xludf.DUMMYFUNCTION("""COMPUTED_VALUE"""),45949.02296716332)</f>
        <v>45949.02297</v>
      </c>
      <c r="K211" s="15">
        <f>IFERROR(__xludf.DUMMYFUNCTION("""COMPUTED_VALUE"""),45949.26749544796)</f>
        <v>45949.2675</v>
      </c>
      <c r="L211" s="4"/>
    </row>
    <row r="212">
      <c r="A212" s="1">
        <f>IFERROR(__xludf.DUMMYFUNCTION("""COMPUTED_VALUE"""),211.0)</f>
        <v>211</v>
      </c>
      <c r="B212" s="1">
        <f>IFERROR(__xludf.DUMMYFUNCTION("""COMPUTED_VALUE"""),6582.0)</f>
        <v>6582</v>
      </c>
      <c r="C212" s="2" t="str">
        <f>IFERROR(__xludf.DUMMYFUNCTION("""COMPUTED_VALUE"""),"Fathan")</f>
        <v>Fathan</v>
      </c>
      <c r="D212" s="2" t="str">
        <f>IFERROR(__xludf.DUMMYFUNCTION("""COMPUTED_VALUE"""),"5KM OVERALL M")</f>
        <v>5KM OVERALL M</v>
      </c>
      <c r="E212" s="1">
        <f>IFERROR(__xludf.DUMMYFUNCTION("""COMPUTED_VALUE"""),138.0)</f>
        <v>138</v>
      </c>
      <c r="F212" s="1" t="str">
        <f>IFERROR(__xludf.DUMMYFUNCTION("""COMPUTED_VALUE"""),"Male")</f>
        <v>Male</v>
      </c>
      <c r="G212" s="5">
        <f>IFERROR(__xludf.DUMMYFUNCTION("""COMPUTED_VALUE"""),0.0045941412037037044)</f>
        <v>0.004594141204</v>
      </c>
      <c r="H212" s="15">
        <f>IFERROR(__xludf.DUMMYFUNCTION("""COMPUTED_VALUE"""),0.2549440625)</f>
        <v>0.2549440625</v>
      </c>
      <c r="I212" s="15">
        <f>IFERROR(__xludf.DUMMYFUNCTION("""COMPUTED_VALUE"""),45949.277914764854)</f>
        <v>45949.27791</v>
      </c>
      <c r="J212" s="15">
        <f>IFERROR(__xludf.DUMMYFUNCTION("""COMPUTED_VALUE"""),45949.02297070235)</f>
        <v>45949.02297</v>
      </c>
      <c r="K212" s="15">
        <f>IFERROR(__xludf.DUMMYFUNCTION("""COMPUTED_VALUE"""),45949.26777687164)</f>
        <v>45949.26778</v>
      </c>
      <c r="L212" s="4"/>
    </row>
    <row r="213">
      <c r="A213" s="1">
        <f>IFERROR(__xludf.DUMMYFUNCTION("""COMPUTED_VALUE"""),212.0)</f>
        <v>212</v>
      </c>
      <c r="B213" s="1">
        <f>IFERROR(__xludf.DUMMYFUNCTION("""COMPUTED_VALUE"""),5017.0)</f>
        <v>5017</v>
      </c>
      <c r="C213" s="2" t="str">
        <f>IFERROR(__xludf.DUMMYFUNCTION("""COMPUTED_VALUE"""),"Dayat")</f>
        <v>Dayat</v>
      </c>
      <c r="D213" s="2" t="str">
        <f>IFERROR(__xludf.DUMMYFUNCTION("""COMPUTED_VALUE"""),"5KM OVERALL M")</f>
        <v>5KM OVERALL M</v>
      </c>
      <c r="E213" s="1">
        <f>IFERROR(__xludf.DUMMYFUNCTION("""COMPUTED_VALUE"""),139.0)</f>
        <v>139</v>
      </c>
      <c r="F213" s="1" t="str">
        <f>IFERROR(__xludf.DUMMYFUNCTION("""COMPUTED_VALUE"""),"Male")</f>
        <v>Male</v>
      </c>
      <c r="G213" s="5">
        <f>IFERROR(__xludf.DUMMYFUNCTION("""COMPUTED_VALUE"""),0.004595530092592592)</f>
        <v>0.004595530093</v>
      </c>
      <c r="H213" s="15">
        <f>IFERROR(__xludf.DUMMYFUNCTION("""COMPUTED_VALUE"""),0.2549440625)</f>
        <v>0.2549440625</v>
      </c>
      <c r="I213" s="15">
        <f>IFERROR(__xludf.DUMMYFUNCTION("""COMPUTED_VALUE"""),45949.27792171504)</f>
        <v>45949.27792</v>
      </c>
      <c r="J213" s="15">
        <f>IFERROR(__xludf.DUMMYFUNCTION("""COMPUTED_VALUE"""),45949.02297765254)</f>
        <v>45949.02298</v>
      </c>
      <c r="K213" s="15">
        <f>IFERROR(__xludf.DUMMYFUNCTION("""COMPUTED_VALUE"""),45949.2688322515)</f>
        <v>45949.26883</v>
      </c>
      <c r="L213" s="4"/>
    </row>
    <row r="214">
      <c r="A214" s="1">
        <f>IFERROR(__xludf.DUMMYFUNCTION("""COMPUTED_VALUE"""),213.0)</f>
        <v>213</v>
      </c>
      <c r="B214" s="1">
        <f>IFERROR(__xludf.DUMMYFUNCTION("""COMPUTED_VALUE"""),6128.0)</f>
        <v>6128</v>
      </c>
      <c r="C214" s="2" t="str">
        <f>IFERROR(__xludf.DUMMYFUNCTION("""COMPUTED_VALUE"""),"M taufik hidayat")</f>
        <v>M taufik hidayat</v>
      </c>
      <c r="D214" s="2" t="str">
        <f>IFERROR(__xludf.DUMMYFUNCTION("""COMPUTED_VALUE"""),"5KM OVERALL M")</f>
        <v>5KM OVERALL M</v>
      </c>
      <c r="E214" s="1">
        <f>IFERROR(__xludf.DUMMYFUNCTION("""COMPUTED_VALUE"""),140.0)</f>
        <v>140</v>
      </c>
      <c r="F214" s="1" t="str">
        <f>IFERROR(__xludf.DUMMYFUNCTION("""COMPUTED_VALUE"""),"Male")</f>
        <v>Male</v>
      </c>
      <c r="G214" s="5">
        <f>IFERROR(__xludf.DUMMYFUNCTION("""COMPUTED_VALUE"""),0.004599002314814815)</f>
        <v>0.004599002315</v>
      </c>
      <c r="H214" s="15">
        <f>IFERROR(__xludf.DUMMYFUNCTION("""COMPUTED_VALUE"""),0.2549440625)</f>
        <v>0.2549440625</v>
      </c>
      <c r="I214" s="15">
        <f>IFERROR(__xludf.DUMMYFUNCTION("""COMPUTED_VALUE"""),45949.27793907183)</f>
        <v>45949.27794</v>
      </c>
      <c r="J214" s="15">
        <f>IFERROR(__xludf.DUMMYFUNCTION("""COMPUTED_VALUE"""),45949.02299500933)</f>
        <v>45949.023</v>
      </c>
      <c r="K214" s="15">
        <f>IFERROR(__xludf.DUMMYFUNCTION("""COMPUTED_VALUE"""),45949.26885309075)</f>
        <v>45949.26885</v>
      </c>
      <c r="L214" s="4"/>
    </row>
    <row r="215">
      <c r="A215" s="1">
        <f>IFERROR(__xludf.DUMMYFUNCTION("""COMPUTED_VALUE"""),214.0)</f>
        <v>214</v>
      </c>
      <c r="B215" s="1">
        <f>IFERROR(__xludf.DUMMYFUNCTION("""COMPUTED_VALUE"""),5076.0)</f>
        <v>5076</v>
      </c>
      <c r="C215" s="2" t="str">
        <f>IFERROR(__xludf.DUMMYFUNCTION("""COMPUTED_VALUE"""),"Riyan Senpai")</f>
        <v>Riyan Senpai</v>
      </c>
      <c r="D215" s="2" t="str">
        <f>IFERROR(__xludf.DUMMYFUNCTION("""COMPUTED_VALUE"""),"5KM OVERALL M")</f>
        <v>5KM OVERALL M</v>
      </c>
      <c r="E215" s="1">
        <f>IFERROR(__xludf.DUMMYFUNCTION("""COMPUTED_VALUE"""),141.0)</f>
        <v>141</v>
      </c>
      <c r="F215" s="1" t="str">
        <f>IFERROR(__xludf.DUMMYFUNCTION("""COMPUTED_VALUE"""),"Male")</f>
        <v>Male</v>
      </c>
      <c r="G215" s="5">
        <f>IFERROR(__xludf.DUMMYFUNCTION("""COMPUTED_VALUE"""),0.004601083333333334)</f>
        <v>0.004601083333</v>
      </c>
      <c r="H215" s="15">
        <f>IFERROR(__xludf.DUMMYFUNCTION("""COMPUTED_VALUE"""),0.2549440625)</f>
        <v>0.2549440625</v>
      </c>
      <c r="I215" s="15">
        <f>IFERROR(__xludf.DUMMYFUNCTION("""COMPUTED_VALUE"""),45949.277949480456)</f>
        <v>45949.27795</v>
      </c>
      <c r="J215" s="15">
        <f>IFERROR(__xludf.DUMMYFUNCTION("""COMPUTED_VALUE"""),45949.023005417956)</f>
        <v>45949.02301</v>
      </c>
      <c r="K215" s="15">
        <f>IFERROR(__xludf.DUMMYFUNCTION("""COMPUTED_VALUE"""),45949.26810660861)</f>
        <v>45949.26811</v>
      </c>
      <c r="L215" s="4"/>
    </row>
    <row r="216">
      <c r="A216" s="1">
        <f>IFERROR(__xludf.DUMMYFUNCTION("""COMPUTED_VALUE"""),215.0)</f>
        <v>215</v>
      </c>
      <c r="B216" s="1">
        <f>IFERROR(__xludf.DUMMYFUNCTION("""COMPUTED_VALUE"""),5033.0)</f>
        <v>5033</v>
      </c>
      <c r="C216" s="2" t="str">
        <f>IFERROR(__xludf.DUMMYFUNCTION("""COMPUTED_VALUE"""),"DAYU SETIANINGSIH")</f>
        <v>DAYU SETIANINGSIH</v>
      </c>
      <c r="D216" s="2" t="str">
        <f>IFERROR(__xludf.DUMMYFUNCTION("""COMPUTED_VALUE"""),"5KM OVERALL F")</f>
        <v>5KM OVERALL F</v>
      </c>
      <c r="E216" s="1">
        <f>IFERROR(__xludf.DUMMYFUNCTION("""COMPUTED_VALUE"""),18.0)</f>
        <v>18</v>
      </c>
      <c r="F216" s="1" t="str">
        <f>IFERROR(__xludf.DUMMYFUNCTION("""COMPUTED_VALUE"""),"Female")</f>
        <v>Female</v>
      </c>
      <c r="G216" s="5">
        <f>IFERROR(__xludf.DUMMYFUNCTION("""COMPUTED_VALUE"""),0.004606643518518519)</f>
        <v>0.004606643519</v>
      </c>
      <c r="H216" s="15">
        <f>IFERROR(__xludf.DUMMYFUNCTION("""COMPUTED_VALUE"""),0.2549440625)</f>
        <v>0.2549440625</v>
      </c>
      <c r="I216" s="15">
        <f>IFERROR(__xludf.DUMMYFUNCTION("""COMPUTED_VALUE"""),45949.27797727463)</f>
        <v>45949.27798</v>
      </c>
      <c r="J216" s="15">
        <f>IFERROR(__xludf.DUMMYFUNCTION("""COMPUTED_VALUE"""),45949.02303321213)</f>
        <v>45949.02303</v>
      </c>
      <c r="K216" s="15">
        <f>IFERROR(__xludf.DUMMYFUNCTION("""COMPUTED_VALUE"""),45949.26720378423)</f>
        <v>45949.2672</v>
      </c>
      <c r="L216" s="4"/>
    </row>
    <row r="217">
      <c r="A217" s="1">
        <f>IFERROR(__xludf.DUMMYFUNCTION("""COMPUTED_VALUE"""),216.0)</f>
        <v>216</v>
      </c>
      <c r="B217" s="7" t="str">
        <f>IFERROR(__xludf.DUMMYFUNCTION("""COMPUTED_VALUE"""),"9027")</f>
        <v>9027</v>
      </c>
      <c r="C217" s="8" t="str">
        <f>IFERROR(__xludf.DUMMYFUNCTION("""COMPUTED_VALUE"""),"Arya")</f>
        <v>Arya</v>
      </c>
      <c r="D217" s="2" t="str">
        <f>IFERROR(__xludf.DUMMYFUNCTION("""COMPUTED_VALUE"""),"5KM STUDENT M")</f>
        <v>5KM STUDENT M</v>
      </c>
      <c r="E217" s="1">
        <f>IFERROR(__xludf.DUMMYFUNCTION("""COMPUTED_VALUE"""),27.0)</f>
        <v>27</v>
      </c>
      <c r="F217" s="1" t="str">
        <f>IFERROR(__xludf.DUMMYFUNCTION("""COMPUTED_VALUE"""),"Male")</f>
        <v>Male</v>
      </c>
      <c r="G217" s="5">
        <f>IFERROR(__xludf.DUMMYFUNCTION("""COMPUTED_VALUE"""),0.004615659722222222)</f>
        <v>0.004615659722</v>
      </c>
      <c r="H217" s="15">
        <f>IFERROR(__xludf.DUMMYFUNCTION("""COMPUTED_VALUE"""),0.2549440625)</f>
        <v>0.2549440625</v>
      </c>
      <c r="I217" s="15">
        <f>IFERROR(__xludf.DUMMYFUNCTION("""COMPUTED_VALUE"""),45949.27802235972)</f>
        <v>45949.27802</v>
      </c>
      <c r="J217" s="15">
        <f>IFERROR(__xludf.DUMMYFUNCTION("""COMPUTED_VALUE"""),45949.02307829722)</f>
        <v>45949.02308</v>
      </c>
      <c r="K217" s="15">
        <f>IFERROR(__xludf.DUMMYFUNCTION("""COMPUTED_VALUE"""),45949.266606546524)</f>
        <v>45949.26661</v>
      </c>
      <c r="L217" s="4"/>
    </row>
    <row r="218">
      <c r="A218" s="1">
        <f>IFERROR(__xludf.DUMMYFUNCTION("""COMPUTED_VALUE"""),217.0)</f>
        <v>217</v>
      </c>
      <c r="B218" s="1">
        <f>IFERROR(__xludf.DUMMYFUNCTION("""COMPUTED_VALUE"""),6373.0)</f>
        <v>6373</v>
      </c>
      <c r="C218" s="2" t="str">
        <f>IFERROR(__xludf.DUMMYFUNCTION("""COMPUTED_VALUE"""),"Wsl")</f>
        <v>Wsl</v>
      </c>
      <c r="D218" s="2" t="str">
        <f>IFERROR(__xludf.DUMMYFUNCTION("""COMPUTED_VALUE"""),"5KM OVERALL M")</f>
        <v>5KM OVERALL M</v>
      </c>
      <c r="E218" s="1">
        <f>IFERROR(__xludf.DUMMYFUNCTION("""COMPUTED_VALUE"""),142.0)</f>
        <v>142</v>
      </c>
      <c r="F218" s="1" t="str">
        <f>IFERROR(__xludf.DUMMYFUNCTION("""COMPUTED_VALUE"""),"Male")</f>
        <v>Male</v>
      </c>
      <c r="G218" s="5">
        <f>IFERROR(__xludf.DUMMYFUNCTION("""COMPUTED_VALUE"""),0.0046177499999999995)</f>
        <v>0.00461775</v>
      </c>
      <c r="H218" s="15">
        <f>IFERROR(__xludf.DUMMYFUNCTION("""COMPUTED_VALUE"""),0.2549440625)</f>
        <v>0.2549440625</v>
      </c>
      <c r="I218" s="15">
        <f>IFERROR(__xludf.DUMMYFUNCTION("""COMPUTED_VALUE"""),45949.27803280815)</f>
        <v>45949.27803</v>
      </c>
      <c r="J218" s="15">
        <f>IFERROR(__xludf.DUMMYFUNCTION("""COMPUTED_VALUE"""),45949.02308874565)</f>
        <v>45949.02309</v>
      </c>
      <c r="K218" s="15">
        <f>IFERROR(__xludf.DUMMYFUNCTION("""COMPUTED_VALUE"""),45949.268863495716)</f>
        <v>45949.26886</v>
      </c>
      <c r="L218" s="4"/>
    </row>
    <row r="219">
      <c r="A219" s="1">
        <f>IFERROR(__xludf.DUMMYFUNCTION("""COMPUTED_VALUE"""),218.0)</f>
        <v>218</v>
      </c>
      <c r="B219" s="1">
        <f>IFERROR(__xludf.DUMMYFUNCTION("""COMPUTED_VALUE"""),5901.0)</f>
        <v>5901</v>
      </c>
      <c r="C219" s="2" t="str">
        <f>IFERROR(__xludf.DUMMYFUNCTION("""COMPUTED_VALUE"""),"RIFQI")</f>
        <v>RIFQI</v>
      </c>
      <c r="D219" s="2" t="str">
        <f>IFERROR(__xludf.DUMMYFUNCTION("""COMPUTED_VALUE"""),"5KM OVERALL M")</f>
        <v>5KM OVERALL M</v>
      </c>
      <c r="E219" s="1">
        <f>IFERROR(__xludf.DUMMYFUNCTION("""COMPUTED_VALUE"""),143.0)</f>
        <v>143</v>
      </c>
      <c r="F219" s="1" t="str">
        <f>IFERROR(__xludf.DUMMYFUNCTION("""COMPUTED_VALUE"""),"Male")</f>
        <v>Male</v>
      </c>
      <c r="G219" s="5">
        <f>IFERROR(__xludf.DUMMYFUNCTION("""COMPUTED_VALUE"""),0.004620539351851852)</f>
        <v>0.004620539352</v>
      </c>
      <c r="H219" s="15">
        <f>IFERROR(__xludf.DUMMYFUNCTION("""COMPUTED_VALUE"""),0.2549440625)</f>
        <v>0.2549440625</v>
      </c>
      <c r="I219" s="15">
        <f>IFERROR(__xludf.DUMMYFUNCTION("""COMPUTED_VALUE"""),45949.278046764965)</f>
        <v>45949.27805</v>
      </c>
      <c r="J219" s="15">
        <f>IFERROR(__xludf.DUMMYFUNCTION("""COMPUTED_VALUE"""),45949.023102702464)</f>
        <v>45949.0231</v>
      </c>
      <c r="K219" s="15">
        <f>IFERROR(__xludf.DUMMYFUNCTION("""COMPUTED_VALUE"""),45949.26787048494)</f>
        <v>45949.26787</v>
      </c>
      <c r="L219" s="4"/>
    </row>
    <row r="220">
      <c r="A220" s="1">
        <f>IFERROR(__xludf.DUMMYFUNCTION("""COMPUTED_VALUE"""),219.0)</f>
        <v>219</v>
      </c>
      <c r="B220" s="1">
        <f>IFERROR(__xludf.DUMMYFUNCTION("""COMPUTED_VALUE"""),6325.0)</f>
        <v>6325</v>
      </c>
      <c r="C220" s="2" t="str">
        <f>IFERROR(__xludf.DUMMYFUNCTION("""COMPUTED_VALUE"""),"arbaini")</f>
        <v>arbaini</v>
      </c>
      <c r="D220" s="2" t="str">
        <f>IFERROR(__xludf.DUMMYFUNCTION("""COMPUTED_VALUE"""),"5KM OVERALL M")</f>
        <v>5KM OVERALL M</v>
      </c>
      <c r="E220" s="1">
        <f>IFERROR(__xludf.DUMMYFUNCTION("""COMPUTED_VALUE"""),144.0)</f>
        <v>144</v>
      </c>
      <c r="F220" s="1" t="str">
        <f>IFERROR(__xludf.DUMMYFUNCTION("""COMPUTED_VALUE"""),"Male")</f>
        <v>Male</v>
      </c>
      <c r="G220" s="5">
        <f>IFERROR(__xludf.DUMMYFUNCTION("""COMPUTED_VALUE"""),0.004622611111111111)</f>
        <v>0.004622611111</v>
      </c>
      <c r="H220" s="15">
        <f>IFERROR(__xludf.DUMMYFUNCTION("""COMPUTED_VALUE"""),0.2549440625)</f>
        <v>0.2549440625</v>
      </c>
      <c r="I220" s="15">
        <f>IFERROR(__xludf.DUMMYFUNCTION("""COMPUTED_VALUE"""),45949.278057120224)</f>
        <v>45949.27806</v>
      </c>
      <c r="J220" s="15">
        <f>IFERROR(__xludf.DUMMYFUNCTION("""COMPUTED_VALUE"""),45949.02311305772)</f>
        <v>45949.02311</v>
      </c>
      <c r="K220" s="15">
        <f>IFERROR(__xludf.DUMMYFUNCTION("""COMPUTED_VALUE"""),45949.26713092308)</f>
        <v>45949.26713</v>
      </c>
      <c r="L220" s="4"/>
    </row>
    <row r="221">
      <c r="A221" s="1">
        <f>IFERROR(__xludf.DUMMYFUNCTION("""COMPUTED_VALUE"""),220.0)</f>
        <v>220</v>
      </c>
      <c r="B221" s="7" t="str">
        <f>IFERROR(__xludf.DUMMYFUNCTION("""COMPUTED_VALUE"""),"9094")</f>
        <v>9094</v>
      </c>
      <c r="C221" s="8" t="str">
        <f>IFERROR(__xludf.DUMMYFUNCTION("""COMPUTED_VALUE"""),"gojell")</f>
        <v>gojell</v>
      </c>
      <c r="D221" s="2" t="str">
        <f>IFERROR(__xludf.DUMMYFUNCTION("""COMPUTED_VALUE"""),"5KM STUDENT M")</f>
        <v>5KM STUDENT M</v>
      </c>
      <c r="E221" s="1">
        <f>IFERROR(__xludf.DUMMYFUNCTION("""COMPUTED_VALUE"""),28.0)</f>
        <v>28</v>
      </c>
      <c r="F221" s="1" t="str">
        <f>IFERROR(__xludf.DUMMYFUNCTION("""COMPUTED_VALUE"""),"Male")</f>
        <v>Male</v>
      </c>
      <c r="G221" s="5">
        <f>IFERROR(__xludf.DUMMYFUNCTION("""COMPUTED_VALUE"""),0.004623310185185185)</f>
        <v>0.004623310185</v>
      </c>
      <c r="H221" s="15">
        <f>IFERROR(__xludf.DUMMYFUNCTION("""COMPUTED_VALUE"""),0.2549440625)</f>
        <v>0.2549440625</v>
      </c>
      <c r="I221" s="15">
        <f>IFERROR(__xludf.DUMMYFUNCTION("""COMPUTED_VALUE"""),45949.27806060769)</f>
        <v>45949.27806</v>
      </c>
      <c r="J221" s="15">
        <f>IFERROR(__xludf.DUMMYFUNCTION("""COMPUTED_VALUE"""),45949.02311654519)</f>
        <v>45949.02312</v>
      </c>
      <c r="K221" s="15">
        <f>IFERROR(__xludf.DUMMYFUNCTION("""COMPUTED_VALUE"""),45950.26881944444)</f>
        <v>45950.26882</v>
      </c>
      <c r="L221" s="4" t="str">
        <f>IFERROR(__xludf.DUMMYFUNCTION("""COMPUTED_VALUE"""),"C")</f>
        <v>C</v>
      </c>
    </row>
    <row r="222">
      <c r="A222" s="1">
        <f>IFERROR(__xludf.DUMMYFUNCTION("""COMPUTED_VALUE"""),221.0)</f>
        <v>221</v>
      </c>
      <c r="B222" s="1">
        <f>IFERROR(__xludf.DUMMYFUNCTION("""COMPUTED_VALUE"""),6602.0)</f>
        <v>6602</v>
      </c>
      <c r="C222" s="2" t="str">
        <f>IFERROR(__xludf.DUMMYFUNCTION("""COMPUTED_VALUE"""),"ANGGA")</f>
        <v>ANGGA</v>
      </c>
      <c r="D222" s="2" t="str">
        <f>IFERROR(__xludf.DUMMYFUNCTION("""COMPUTED_VALUE"""),"5KM OVERALL M")</f>
        <v>5KM OVERALL M</v>
      </c>
      <c r="E222" s="1">
        <f>IFERROR(__xludf.DUMMYFUNCTION("""COMPUTED_VALUE"""),145.0)</f>
        <v>145</v>
      </c>
      <c r="F222" s="1" t="str">
        <f>IFERROR(__xludf.DUMMYFUNCTION("""COMPUTED_VALUE"""),"Male")</f>
        <v>Male</v>
      </c>
      <c r="G222" s="5">
        <f>IFERROR(__xludf.DUMMYFUNCTION("""COMPUTED_VALUE"""),0.004626780092592592)</f>
        <v>0.004626780093</v>
      </c>
      <c r="H222" s="15">
        <f>IFERROR(__xludf.DUMMYFUNCTION("""COMPUTED_VALUE"""),0.2549440625)</f>
        <v>0.2549440625</v>
      </c>
      <c r="I222" s="15">
        <f>IFERROR(__xludf.DUMMYFUNCTION("""COMPUTED_VALUE"""),45949.27807796473)</f>
        <v>45949.27808</v>
      </c>
      <c r="J222" s="15">
        <f>IFERROR(__xludf.DUMMYFUNCTION("""COMPUTED_VALUE"""),45949.02313390223)</f>
        <v>45949.02313</v>
      </c>
      <c r="K222" s="15">
        <f>IFERROR(__xludf.DUMMYFUNCTION("""COMPUTED_VALUE"""),45949.26925937908)</f>
        <v>45949.26926</v>
      </c>
      <c r="L222" s="4"/>
    </row>
    <row r="223">
      <c r="A223" s="1">
        <f>IFERROR(__xludf.DUMMYFUNCTION("""COMPUTED_VALUE"""),222.0)</f>
        <v>222</v>
      </c>
      <c r="B223" s="1">
        <f>IFERROR(__xludf.DUMMYFUNCTION("""COMPUTED_VALUE"""),5645.0)</f>
        <v>5645</v>
      </c>
      <c r="C223" s="2" t="str">
        <f>IFERROR(__xludf.DUMMYFUNCTION("""COMPUTED_VALUE"""),"Ridho")</f>
        <v>Ridho</v>
      </c>
      <c r="D223" s="2" t="str">
        <f>IFERROR(__xludf.DUMMYFUNCTION("""COMPUTED_VALUE"""),"5KM OVERALL M")</f>
        <v>5KM OVERALL M</v>
      </c>
      <c r="E223" s="1">
        <f>IFERROR(__xludf.DUMMYFUNCTION("""COMPUTED_VALUE"""),146.0)</f>
        <v>146</v>
      </c>
      <c r="F223" s="1" t="str">
        <f>IFERROR(__xludf.DUMMYFUNCTION("""COMPUTED_VALUE"""),"Male")</f>
        <v>Male</v>
      </c>
      <c r="G223" s="5">
        <f>IFERROR(__xludf.DUMMYFUNCTION("""COMPUTED_VALUE"""),0.004639277777777778)</f>
        <v>0.004639277778</v>
      </c>
      <c r="H223" s="15">
        <f>IFERROR(__xludf.DUMMYFUNCTION("""COMPUTED_VALUE"""),0.2549440625)</f>
        <v>0.2549440625</v>
      </c>
      <c r="I223" s="15">
        <f>IFERROR(__xludf.DUMMYFUNCTION("""COMPUTED_VALUE"""),45949.27814045098)</f>
        <v>45949.27814</v>
      </c>
      <c r="J223" s="15">
        <f>IFERROR(__xludf.DUMMYFUNCTION("""COMPUTED_VALUE"""),45949.02319638848)</f>
        <v>45949.0232</v>
      </c>
      <c r="K223" s="15">
        <f>IFERROR(__xludf.DUMMYFUNCTION("""COMPUTED_VALUE"""),45949.26789821101)</f>
        <v>45949.2679</v>
      </c>
      <c r="L223" s="4"/>
    </row>
    <row r="224">
      <c r="A224" s="1">
        <f>IFERROR(__xludf.DUMMYFUNCTION("""COMPUTED_VALUE"""),223.0)</f>
        <v>223</v>
      </c>
      <c r="B224" s="1">
        <f>IFERROR(__xludf.DUMMYFUNCTION("""COMPUTED_VALUE"""),6394.0)</f>
        <v>6394</v>
      </c>
      <c r="C224" s="2" t="str">
        <f>IFERROR(__xludf.DUMMYFUNCTION("""COMPUTED_VALUE"""),"akbarr")</f>
        <v>akbarr</v>
      </c>
      <c r="D224" s="2" t="str">
        <f>IFERROR(__xludf.DUMMYFUNCTION("""COMPUTED_VALUE"""),"5KM OVERALL M")</f>
        <v>5KM OVERALL M</v>
      </c>
      <c r="E224" s="1">
        <f>IFERROR(__xludf.DUMMYFUNCTION("""COMPUTED_VALUE"""),147.0)</f>
        <v>147</v>
      </c>
      <c r="F224" s="1" t="str">
        <f>IFERROR(__xludf.DUMMYFUNCTION("""COMPUTED_VALUE"""),"Male")</f>
        <v>Male</v>
      </c>
      <c r="G224" s="5">
        <f>IFERROR(__xludf.DUMMYFUNCTION("""COMPUTED_VALUE"""),0.004640666666666666)</f>
        <v>0.004640666667</v>
      </c>
      <c r="H224" s="15">
        <f>IFERROR(__xludf.DUMMYFUNCTION("""COMPUTED_VALUE"""),0.2549440625)</f>
        <v>0.2549440625</v>
      </c>
      <c r="I224" s="15">
        <f>IFERROR(__xludf.DUMMYFUNCTION("""COMPUTED_VALUE"""),45949.278147393066)</f>
        <v>45949.27815</v>
      </c>
      <c r="J224" s="15">
        <f>IFERROR(__xludf.DUMMYFUNCTION("""COMPUTED_VALUE"""),45949.023203330566)</f>
        <v>45949.0232</v>
      </c>
      <c r="K224" s="15">
        <f>IFERROR(__xludf.DUMMYFUNCTION("""COMPUTED_VALUE"""),45949.26713094616)</f>
        <v>45949.26713</v>
      </c>
      <c r="L224" s="4"/>
    </row>
    <row r="225">
      <c r="A225" s="1">
        <f>IFERROR(__xludf.DUMMYFUNCTION("""COMPUTED_VALUE"""),224.0)</f>
        <v>224</v>
      </c>
      <c r="B225" s="1">
        <f>IFERROR(__xludf.DUMMYFUNCTION("""COMPUTED_VALUE"""),5967.0)</f>
        <v>5967</v>
      </c>
      <c r="C225" s="2" t="str">
        <f>IFERROR(__xludf.DUMMYFUNCTION("""COMPUTED_VALUE"""),"icank")</f>
        <v>icank</v>
      </c>
      <c r="D225" s="2" t="str">
        <f>IFERROR(__xludf.DUMMYFUNCTION("""COMPUTED_VALUE"""),"5KM OVERALL M")</f>
        <v>5KM OVERALL M</v>
      </c>
      <c r="E225" s="1">
        <f>IFERROR(__xludf.DUMMYFUNCTION("""COMPUTED_VALUE"""),148.0)</f>
        <v>148</v>
      </c>
      <c r="F225" s="1" t="str">
        <f>IFERROR(__xludf.DUMMYFUNCTION("""COMPUTED_VALUE"""),"Male")</f>
        <v>Male</v>
      </c>
      <c r="G225" s="5">
        <f>IFERROR(__xludf.DUMMYFUNCTION("""COMPUTED_VALUE"""),0.004647775462962963)</f>
        <v>0.004647775463</v>
      </c>
      <c r="H225" s="15">
        <f>IFERROR(__xludf.DUMMYFUNCTION("""COMPUTED_VALUE"""),0.2549440625)</f>
        <v>0.2549440625</v>
      </c>
      <c r="I225" s="15">
        <f>IFERROR(__xludf.DUMMYFUNCTION("""COMPUTED_VALUE"""),45949.278182934235)</f>
        <v>45949.27818</v>
      </c>
      <c r="J225" s="15">
        <f>IFERROR(__xludf.DUMMYFUNCTION("""COMPUTED_VALUE"""),45949.023238871734)</f>
        <v>45949.02324</v>
      </c>
      <c r="K225" s="15">
        <f>IFERROR(__xludf.DUMMYFUNCTION("""COMPUTED_VALUE"""),45949.267985032915)</f>
        <v>45949.26799</v>
      </c>
      <c r="L225" s="4"/>
    </row>
    <row r="226">
      <c r="A226" s="1">
        <f>IFERROR(__xludf.DUMMYFUNCTION("""COMPUTED_VALUE"""),225.0)</f>
        <v>225</v>
      </c>
      <c r="B226" s="1">
        <f>IFERROR(__xludf.DUMMYFUNCTION("""COMPUTED_VALUE"""),5600.0)</f>
        <v>5600</v>
      </c>
      <c r="C226" s="2" t="str">
        <f>IFERROR(__xludf.DUMMYFUNCTION("""COMPUTED_VALUE"""),"Valdi")</f>
        <v>Valdi</v>
      </c>
      <c r="D226" s="2" t="str">
        <f>IFERROR(__xludf.DUMMYFUNCTION("""COMPUTED_VALUE"""),"5KM OVERALL M")</f>
        <v>5KM OVERALL M</v>
      </c>
      <c r="E226" s="1">
        <f>IFERROR(__xludf.DUMMYFUNCTION("""COMPUTED_VALUE"""),149.0)</f>
        <v>149</v>
      </c>
      <c r="F226" s="1" t="str">
        <f>IFERROR(__xludf.DUMMYFUNCTION("""COMPUTED_VALUE"""),"Male")</f>
        <v>Male</v>
      </c>
      <c r="G226" s="5">
        <f>IFERROR(__xludf.DUMMYFUNCTION("""COMPUTED_VALUE"""),0.004658189814814815)</f>
        <v>0.004658189815</v>
      </c>
      <c r="H226" s="15">
        <f>IFERROR(__xludf.DUMMYFUNCTION("""COMPUTED_VALUE"""),0.2549440625)</f>
        <v>0.2549440625</v>
      </c>
      <c r="I226" s="15">
        <f>IFERROR(__xludf.DUMMYFUNCTION("""COMPUTED_VALUE"""),45949.27823501419)</f>
        <v>45949.27824</v>
      </c>
      <c r="J226" s="15">
        <f>IFERROR(__xludf.DUMMYFUNCTION("""COMPUTED_VALUE"""),45949.02329095169)</f>
        <v>45949.02329</v>
      </c>
      <c r="K226" s="15">
        <f>IFERROR(__xludf.DUMMYFUNCTION("""COMPUTED_VALUE"""),45949.269245473544)</f>
        <v>45949.26925</v>
      </c>
      <c r="L226" s="4"/>
    </row>
    <row r="227">
      <c r="A227" s="1">
        <f>IFERROR(__xludf.DUMMYFUNCTION("""COMPUTED_VALUE"""),226.0)</f>
        <v>226</v>
      </c>
      <c r="B227" s="1">
        <f>IFERROR(__xludf.DUMMYFUNCTION("""COMPUTED_VALUE"""),5113.0)</f>
        <v>5113</v>
      </c>
      <c r="C227" s="2" t="str">
        <f>IFERROR(__xludf.DUMMYFUNCTION("""COMPUTED_VALUE"""),"Sundari")</f>
        <v>Sundari</v>
      </c>
      <c r="D227" s="2" t="str">
        <f>IFERROR(__xludf.DUMMYFUNCTION("""COMPUTED_VALUE"""),"5KM OVERALL F")</f>
        <v>5KM OVERALL F</v>
      </c>
      <c r="E227" s="1">
        <f>IFERROR(__xludf.DUMMYFUNCTION("""COMPUTED_VALUE"""),19.0)</f>
        <v>19</v>
      </c>
      <c r="F227" s="1" t="str">
        <f>IFERROR(__xludf.DUMMYFUNCTION("""COMPUTED_VALUE"""),"Female")</f>
        <v>Female</v>
      </c>
      <c r="G227" s="5">
        <f>IFERROR(__xludf.DUMMYFUNCTION("""COMPUTED_VALUE"""),0.0046601111111111105)</f>
        <v>0.004660111111</v>
      </c>
      <c r="H227" s="15">
        <f>IFERROR(__xludf.DUMMYFUNCTION("""COMPUTED_VALUE"""),0.2549440625)</f>
        <v>0.2549440625</v>
      </c>
      <c r="I227" s="15">
        <f>IFERROR(__xludf.DUMMYFUNCTION("""COMPUTED_VALUE"""),45949.27824461647)</f>
        <v>45949.27824</v>
      </c>
      <c r="J227" s="15">
        <f>IFERROR(__xludf.DUMMYFUNCTION("""COMPUTED_VALUE"""),45949.02330055397)</f>
        <v>45949.0233</v>
      </c>
      <c r="K227" s="15">
        <f>IFERROR(__xludf.DUMMYFUNCTION("""COMPUTED_VALUE"""),45949.26790869326)</f>
        <v>45949.26791</v>
      </c>
      <c r="L227" s="4"/>
    </row>
    <row r="228">
      <c r="A228" s="1">
        <f>IFERROR(__xludf.DUMMYFUNCTION("""COMPUTED_VALUE"""),227.0)</f>
        <v>227</v>
      </c>
      <c r="B228" s="1">
        <f>IFERROR(__xludf.DUMMYFUNCTION("""COMPUTED_VALUE"""),5624.0)</f>
        <v>5624</v>
      </c>
      <c r="C228" s="2" t="str">
        <f>IFERROR(__xludf.DUMMYFUNCTION("""COMPUTED_VALUE"""),"Tegar prayoga putra")</f>
        <v>Tegar prayoga putra</v>
      </c>
      <c r="D228" s="2" t="str">
        <f>IFERROR(__xludf.DUMMYFUNCTION("""COMPUTED_VALUE"""),"5KM OVERALL M")</f>
        <v>5KM OVERALL M</v>
      </c>
      <c r="E228" s="1">
        <f>IFERROR(__xludf.DUMMYFUNCTION("""COMPUTED_VALUE"""),150.0)</f>
        <v>150</v>
      </c>
      <c r="F228" s="1" t="str">
        <f>IFERROR(__xludf.DUMMYFUNCTION("""COMPUTED_VALUE"""),"Male")</f>
        <v>Male</v>
      </c>
      <c r="G228" s="5">
        <f>IFERROR(__xludf.DUMMYFUNCTION("""COMPUTED_VALUE"""),0.0046677523148148155)</f>
        <v>0.004667752315</v>
      </c>
      <c r="H228" s="15">
        <f>IFERROR(__xludf.DUMMYFUNCTION("""COMPUTED_VALUE"""),0.2549440625)</f>
        <v>0.2549440625</v>
      </c>
      <c r="I228" s="15">
        <f>IFERROR(__xludf.DUMMYFUNCTION("""COMPUTED_VALUE"""),45949.278282828665)</f>
        <v>45949.27828</v>
      </c>
      <c r="J228" s="15">
        <f>IFERROR(__xludf.DUMMYFUNCTION("""COMPUTED_VALUE"""),45949.023338766165)</f>
        <v>45949.02334</v>
      </c>
      <c r="K228" s="15">
        <f>IFERROR(__xludf.DUMMYFUNCTION("""COMPUTED_VALUE"""),45949.26799893717)</f>
        <v>45949.268</v>
      </c>
      <c r="L228" s="4"/>
    </row>
    <row r="229">
      <c r="A229" s="1">
        <f>IFERROR(__xludf.DUMMYFUNCTION("""COMPUTED_VALUE"""),228.0)</f>
        <v>228</v>
      </c>
      <c r="B229" s="1">
        <f>IFERROR(__xludf.DUMMYFUNCTION("""COMPUTED_VALUE"""),5001.0)</f>
        <v>5001</v>
      </c>
      <c r="C229" s="2" t="str">
        <f>IFERROR(__xludf.DUMMYFUNCTION("""COMPUTED_VALUE"""),"xhims")</f>
        <v>xhims</v>
      </c>
      <c r="D229" s="2" t="str">
        <f>IFERROR(__xludf.DUMMYFUNCTION("""COMPUTED_VALUE"""),"5KM OVERALL M")</f>
        <v>5KM OVERALL M</v>
      </c>
      <c r="E229" s="1">
        <f>IFERROR(__xludf.DUMMYFUNCTION("""COMPUTED_VALUE"""),151.0)</f>
        <v>151</v>
      </c>
      <c r="F229" s="1" t="str">
        <f>IFERROR(__xludf.DUMMYFUNCTION("""COMPUTED_VALUE"""),"Male")</f>
        <v>Male</v>
      </c>
      <c r="G229" s="5">
        <f>IFERROR(__xludf.DUMMYFUNCTION("""COMPUTED_VALUE"""),0.0046677523148148155)</f>
        <v>0.004667752315</v>
      </c>
      <c r="H229" s="15">
        <f>IFERROR(__xludf.DUMMYFUNCTION("""COMPUTED_VALUE"""),0.2549440625)</f>
        <v>0.2549440625</v>
      </c>
      <c r="I229" s="15">
        <f>IFERROR(__xludf.DUMMYFUNCTION("""COMPUTED_VALUE"""),45949.278282828665)</f>
        <v>45949.27828</v>
      </c>
      <c r="J229" s="15">
        <f>IFERROR(__xludf.DUMMYFUNCTION("""COMPUTED_VALUE"""),45949.023338766165)</f>
        <v>45949.02334</v>
      </c>
      <c r="K229" s="15">
        <f>IFERROR(__xludf.DUMMYFUNCTION("""COMPUTED_VALUE"""),45949.267443359015)</f>
        <v>45949.26744</v>
      </c>
      <c r="L229" s="4"/>
    </row>
    <row r="230">
      <c r="A230" s="1">
        <f>IFERROR(__xludf.DUMMYFUNCTION("""COMPUTED_VALUE"""),229.0)</f>
        <v>229</v>
      </c>
      <c r="B230" s="1">
        <f>IFERROR(__xludf.DUMMYFUNCTION("""COMPUTED_VALUE"""),7088.0)</f>
        <v>7088</v>
      </c>
      <c r="C230" s="2" t="str">
        <f>IFERROR(__xludf.DUMMYFUNCTION("""COMPUTED_VALUE"""),"Dadik Soesetyo")</f>
        <v>Dadik Soesetyo</v>
      </c>
      <c r="D230" s="2" t="str">
        <f>IFERROR(__xludf.DUMMYFUNCTION("""COMPUTED_VALUE"""),"5KM MASTER M")</f>
        <v>5KM MASTER M</v>
      </c>
      <c r="E230" s="1">
        <f>IFERROR(__xludf.DUMMYFUNCTION("""COMPUTED_VALUE"""),21.0)</f>
        <v>21</v>
      </c>
      <c r="F230" s="1" t="str">
        <f>IFERROR(__xludf.DUMMYFUNCTION("""COMPUTED_VALUE"""),"Male")</f>
        <v>Male</v>
      </c>
      <c r="G230" s="5">
        <f>IFERROR(__xludf.DUMMYFUNCTION("""COMPUTED_VALUE"""),0.0046726134259259255)</f>
        <v>0.004672613426</v>
      </c>
      <c r="H230" s="15">
        <f>IFERROR(__xludf.DUMMYFUNCTION("""COMPUTED_VALUE"""),0.2549440625)</f>
        <v>0.2549440625</v>
      </c>
      <c r="I230" s="15">
        <f>IFERROR(__xludf.DUMMYFUNCTION("""COMPUTED_VALUE"""),45949.27830713123)</f>
        <v>45949.27831</v>
      </c>
      <c r="J230" s="15">
        <f>IFERROR(__xludf.DUMMYFUNCTION("""COMPUTED_VALUE"""),45949.02336306873)</f>
        <v>45949.02336</v>
      </c>
      <c r="K230" s="15">
        <f>IFERROR(__xludf.DUMMYFUNCTION("""COMPUTED_VALUE"""),45949.26957883144)</f>
        <v>45949.26958</v>
      </c>
      <c r="L230" s="4"/>
    </row>
    <row r="231">
      <c r="A231" s="1">
        <f>IFERROR(__xludf.DUMMYFUNCTION("""COMPUTED_VALUE"""),230.0)</f>
        <v>230</v>
      </c>
      <c r="B231" s="1">
        <f>IFERROR(__xludf.DUMMYFUNCTION("""COMPUTED_VALUE"""),6388.0)</f>
        <v>6388</v>
      </c>
      <c r="C231" s="2" t="str">
        <f>IFERROR(__xludf.DUMMYFUNCTION("""COMPUTED_VALUE"""),"Satria D")</f>
        <v>Satria D</v>
      </c>
      <c r="D231" s="2" t="str">
        <f>IFERROR(__xludf.DUMMYFUNCTION("""COMPUTED_VALUE"""),"5KM OVERALL M")</f>
        <v>5KM OVERALL M</v>
      </c>
      <c r="E231" s="1">
        <f>IFERROR(__xludf.DUMMYFUNCTION("""COMPUTED_VALUE"""),152.0)</f>
        <v>152</v>
      </c>
      <c r="F231" s="1" t="str">
        <f>IFERROR(__xludf.DUMMYFUNCTION("""COMPUTED_VALUE"""),"Male")</f>
        <v>Male</v>
      </c>
      <c r="G231" s="5">
        <f>IFERROR(__xludf.DUMMYFUNCTION("""COMPUTED_VALUE"""),0.004690668981481481)</f>
        <v>0.004690668981</v>
      </c>
      <c r="H231" s="15">
        <f>IFERROR(__xludf.DUMMYFUNCTION("""COMPUTED_VALUE"""),0.2549440625)</f>
        <v>0.2549440625</v>
      </c>
      <c r="I231" s="15">
        <f>IFERROR(__xludf.DUMMYFUNCTION("""COMPUTED_VALUE"""),45949.27839741025)</f>
        <v>45949.2784</v>
      </c>
      <c r="J231" s="15">
        <f>IFERROR(__xludf.DUMMYFUNCTION("""COMPUTED_VALUE"""),45949.02345334775)</f>
        <v>45949.02345</v>
      </c>
      <c r="K231" s="15">
        <f>IFERROR(__xludf.DUMMYFUNCTION("""COMPUTED_VALUE"""),45949.26868993418)</f>
        <v>45949.26869</v>
      </c>
      <c r="L231" s="4"/>
    </row>
    <row r="232">
      <c r="A232" s="1">
        <f>IFERROR(__xludf.DUMMYFUNCTION("""COMPUTED_VALUE"""),231.0)</f>
        <v>231</v>
      </c>
      <c r="B232" s="1">
        <f>IFERROR(__xludf.DUMMYFUNCTION("""COMPUTED_VALUE"""),6350.0)</f>
        <v>6350</v>
      </c>
      <c r="C232" s="2" t="str">
        <f>IFERROR(__xludf.DUMMYFUNCTION("""COMPUTED_VALUE"""),"Dhani")</f>
        <v>Dhani</v>
      </c>
      <c r="D232" s="2" t="str">
        <f>IFERROR(__xludf.DUMMYFUNCTION("""COMPUTED_VALUE"""),"5KM OVERALL M")</f>
        <v>5KM OVERALL M</v>
      </c>
      <c r="E232" s="1">
        <f>IFERROR(__xludf.DUMMYFUNCTION("""COMPUTED_VALUE"""),153.0)</f>
        <v>153</v>
      </c>
      <c r="F232" s="1" t="str">
        <f>IFERROR(__xludf.DUMMYFUNCTION("""COMPUTED_VALUE"""),"Male")</f>
        <v>Male</v>
      </c>
      <c r="G232" s="5">
        <f>IFERROR(__xludf.DUMMYFUNCTION("""COMPUTED_VALUE"""),0.004690671296296296)</f>
        <v>0.004690671296</v>
      </c>
      <c r="H232" s="15">
        <f>IFERROR(__xludf.DUMMYFUNCTION("""COMPUTED_VALUE"""),0.2549440625)</f>
        <v>0.2549440625</v>
      </c>
      <c r="I232" s="15">
        <f>IFERROR(__xludf.DUMMYFUNCTION("""COMPUTED_VALUE"""),45949.27839742181)</f>
        <v>45949.2784</v>
      </c>
      <c r="J232" s="15">
        <f>IFERROR(__xludf.DUMMYFUNCTION("""COMPUTED_VALUE"""),45949.02345335931)</f>
        <v>45949.02345</v>
      </c>
      <c r="K232" s="15">
        <f>IFERROR(__xludf.DUMMYFUNCTION("""COMPUTED_VALUE"""),45949.270665574506)</f>
        <v>45949.27067</v>
      </c>
      <c r="L232" s="4"/>
    </row>
    <row r="233">
      <c r="A233" s="1">
        <f>IFERROR(__xludf.DUMMYFUNCTION("""COMPUTED_VALUE"""),232.0)</f>
        <v>232</v>
      </c>
      <c r="B233" s="1">
        <f>IFERROR(__xludf.DUMMYFUNCTION("""COMPUTED_VALUE"""),5542.0)</f>
        <v>5542</v>
      </c>
      <c r="C233" s="2" t="str">
        <f>IFERROR(__xludf.DUMMYFUNCTION("""COMPUTED_VALUE"""),"BANG JUNE")</f>
        <v>BANG JUNE</v>
      </c>
      <c r="D233" s="2" t="str">
        <f>IFERROR(__xludf.DUMMYFUNCTION("""COMPUTED_VALUE"""),"5KM OVERALL M")</f>
        <v>5KM OVERALL M</v>
      </c>
      <c r="E233" s="1">
        <f>IFERROR(__xludf.DUMMYFUNCTION("""COMPUTED_VALUE"""),154.0)</f>
        <v>154</v>
      </c>
      <c r="F233" s="1" t="str">
        <f>IFERROR(__xludf.DUMMYFUNCTION("""COMPUTED_VALUE"""),"Male")</f>
        <v>Male</v>
      </c>
      <c r="G233" s="5">
        <f>IFERROR(__xludf.DUMMYFUNCTION("""COMPUTED_VALUE"""),0.004692060185185185)</f>
        <v>0.004692060185</v>
      </c>
      <c r="H233" s="15">
        <f>IFERROR(__xludf.DUMMYFUNCTION("""COMPUTED_VALUE"""),0.2549440625)</f>
        <v>0.2549440625</v>
      </c>
      <c r="I233" s="15">
        <f>IFERROR(__xludf.DUMMYFUNCTION("""COMPUTED_VALUE"""),45949.278404363606)</f>
        <v>45949.2784</v>
      </c>
      <c r="J233" s="15">
        <f>IFERROR(__xludf.DUMMYFUNCTION("""COMPUTED_VALUE"""),45949.023460301105)</f>
        <v>45949.02346</v>
      </c>
      <c r="K233" s="15">
        <f>IFERROR(__xludf.DUMMYFUNCTION("""COMPUTED_VALUE"""),45949.2678426584)</f>
        <v>45949.26784</v>
      </c>
      <c r="L233" s="4"/>
    </row>
    <row r="234">
      <c r="A234" s="1">
        <f>IFERROR(__xludf.DUMMYFUNCTION("""COMPUTED_VALUE"""),233.0)</f>
        <v>233</v>
      </c>
      <c r="B234" s="1">
        <f>IFERROR(__xludf.DUMMYFUNCTION("""COMPUTED_VALUE"""),5565.0)</f>
        <v>5565</v>
      </c>
      <c r="C234" s="2" t="str">
        <f>IFERROR(__xludf.DUMMYFUNCTION("""COMPUTED_VALUE"""),"YAHMAN")</f>
        <v>YAHMAN</v>
      </c>
      <c r="D234" s="2" t="str">
        <f>IFERROR(__xludf.DUMMYFUNCTION("""COMPUTED_VALUE"""),"5KM OVERALL M")</f>
        <v>5KM OVERALL M</v>
      </c>
      <c r="E234" s="1">
        <f>IFERROR(__xludf.DUMMYFUNCTION("""COMPUTED_VALUE"""),155.0)</f>
        <v>155</v>
      </c>
      <c r="F234" s="1" t="str">
        <f>IFERROR(__xludf.DUMMYFUNCTION("""COMPUTED_VALUE"""),"Male")</f>
        <v>Male</v>
      </c>
      <c r="G234" s="5">
        <f>IFERROR(__xludf.DUMMYFUNCTION("""COMPUTED_VALUE"""),0.0046941435185185185)</f>
        <v>0.004694143519</v>
      </c>
      <c r="H234" s="15">
        <f>IFERROR(__xludf.DUMMYFUNCTION("""COMPUTED_VALUE"""),0.2549440625)</f>
        <v>0.2549440625</v>
      </c>
      <c r="I234" s="15">
        <f>IFERROR(__xludf.DUMMYFUNCTION("""COMPUTED_VALUE"""),45949.27841477857)</f>
        <v>45949.27841</v>
      </c>
      <c r="J234" s="15">
        <f>IFERROR(__xludf.DUMMYFUNCTION("""COMPUTED_VALUE"""),45949.02347071607)</f>
        <v>45949.02347</v>
      </c>
      <c r="K234" s="15">
        <f>IFERROR(__xludf.DUMMYFUNCTION("""COMPUTED_VALUE"""),45949.26786349145)</f>
        <v>45949.26786</v>
      </c>
      <c r="L234" s="4"/>
    </row>
    <row r="235">
      <c r="A235" s="1">
        <f>IFERROR(__xludf.DUMMYFUNCTION("""COMPUTED_VALUE"""),234.0)</f>
        <v>234</v>
      </c>
      <c r="B235" s="1">
        <f>IFERROR(__xludf.DUMMYFUNCTION("""COMPUTED_VALUE"""),7019.0)</f>
        <v>7019</v>
      </c>
      <c r="C235" s="2" t="str">
        <f>IFERROR(__xludf.DUMMYFUNCTION("""COMPUTED_VALUE"""),"Yuliana K")</f>
        <v>Yuliana K</v>
      </c>
      <c r="D235" s="2" t="str">
        <f>IFERROR(__xludf.DUMMYFUNCTION("""COMPUTED_VALUE"""),"5KM MASTER F")</f>
        <v>5KM MASTER F</v>
      </c>
      <c r="E235" s="1">
        <f>IFERROR(__xludf.DUMMYFUNCTION("""COMPUTED_VALUE"""),8.0)</f>
        <v>8</v>
      </c>
      <c r="F235" s="1" t="str">
        <f>IFERROR(__xludf.DUMMYFUNCTION("""COMPUTED_VALUE"""),"Female")</f>
        <v>Female</v>
      </c>
      <c r="G235" s="5">
        <f>IFERROR(__xludf.DUMMYFUNCTION("""COMPUTED_VALUE"""),0.004697613425925925)</f>
        <v>0.004697613426</v>
      </c>
      <c r="H235" s="15">
        <f>IFERROR(__xludf.DUMMYFUNCTION("""COMPUTED_VALUE"""),0.2549440625)</f>
        <v>0.2549440625</v>
      </c>
      <c r="I235" s="15">
        <f>IFERROR(__xludf.DUMMYFUNCTION("""COMPUTED_VALUE"""),45949.278432134546)</f>
        <v>45949.27843</v>
      </c>
      <c r="J235" s="15">
        <f>IFERROR(__xludf.DUMMYFUNCTION("""COMPUTED_VALUE"""),45949.023488072045)</f>
        <v>45949.02349</v>
      </c>
      <c r="K235" s="15">
        <f>IFERROR(__xludf.DUMMYFUNCTION("""COMPUTED_VALUE"""),45949.267808798955)</f>
        <v>45949.26781</v>
      </c>
      <c r="L235" s="4"/>
    </row>
    <row r="236">
      <c r="A236" s="1">
        <f>IFERROR(__xludf.DUMMYFUNCTION("""COMPUTED_VALUE"""),235.0)</f>
        <v>235</v>
      </c>
      <c r="B236" s="7" t="str">
        <f>IFERROR(__xludf.DUMMYFUNCTION("""COMPUTED_VALUE"""),"7146")</f>
        <v>7146</v>
      </c>
      <c r="C236" s="8" t="str">
        <f>IFERROR(__xludf.DUMMYFUNCTION("""COMPUTED_VALUE"""),"Didiek M")</f>
        <v>Didiek M</v>
      </c>
      <c r="D236" s="2" t="str">
        <f>IFERROR(__xludf.DUMMYFUNCTION("""COMPUTED_VALUE"""),"5KM MASTER M")</f>
        <v>5KM MASTER M</v>
      </c>
      <c r="E236" s="1">
        <f>IFERROR(__xludf.DUMMYFUNCTION("""COMPUTED_VALUE"""),22.0)</f>
        <v>22</v>
      </c>
      <c r="F236" s="1" t="str">
        <f>IFERROR(__xludf.DUMMYFUNCTION("""COMPUTED_VALUE"""),"Male")</f>
        <v>Male</v>
      </c>
      <c r="G236" s="5">
        <f>IFERROR(__xludf.DUMMYFUNCTION("""COMPUTED_VALUE"""),0.004697618055555556)</f>
        <v>0.004697618056</v>
      </c>
      <c r="H236" s="15">
        <f>IFERROR(__xludf.DUMMYFUNCTION("""COMPUTED_VALUE"""),0.2549440625)</f>
        <v>0.2549440625</v>
      </c>
      <c r="I236" s="15">
        <f>IFERROR(__xludf.DUMMYFUNCTION("""COMPUTED_VALUE"""),45949.278432150146)</f>
        <v>45949.27843</v>
      </c>
      <c r="J236" s="15">
        <f>IFERROR(__xludf.DUMMYFUNCTION("""COMPUTED_VALUE"""),45949.023488087645)</f>
        <v>45949.02349</v>
      </c>
      <c r="K236" s="15">
        <f>IFERROR(__xludf.DUMMYFUNCTION("""COMPUTED_VALUE"""),45949.26781488967)</f>
        <v>45949.26781</v>
      </c>
      <c r="L236" s="4"/>
    </row>
    <row r="237">
      <c r="A237" s="1">
        <f>IFERROR(__xludf.DUMMYFUNCTION("""COMPUTED_VALUE"""),236.0)</f>
        <v>236</v>
      </c>
      <c r="B237" s="7" t="str">
        <f>IFERROR(__xludf.DUMMYFUNCTION("""COMPUTED_VALUE"""),"9029")</f>
        <v>9029</v>
      </c>
      <c r="C237" s="8" t="str">
        <f>IFERROR(__xludf.DUMMYFUNCTION("""COMPUTED_VALUE"""),"ziyad")</f>
        <v>ziyad</v>
      </c>
      <c r="D237" s="2" t="str">
        <f>IFERROR(__xludf.DUMMYFUNCTION("""COMPUTED_VALUE"""),"5KM STUDENT M")</f>
        <v>5KM STUDENT M</v>
      </c>
      <c r="E237" s="1">
        <f>IFERROR(__xludf.DUMMYFUNCTION("""COMPUTED_VALUE"""),29.0)</f>
        <v>29</v>
      </c>
      <c r="F237" s="1" t="str">
        <f>IFERROR(__xludf.DUMMYFUNCTION("""COMPUTED_VALUE"""),"Male")</f>
        <v>Male</v>
      </c>
      <c r="G237" s="5">
        <f>IFERROR(__xludf.DUMMYFUNCTION("""COMPUTED_VALUE"""),0.004699)</f>
        <v>0.004699</v>
      </c>
      <c r="H237" s="15">
        <f>IFERROR(__xludf.DUMMYFUNCTION("""COMPUTED_VALUE"""),0.2549440625)</f>
        <v>0.2549440625</v>
      </c>
      <c r="I237" s="15">
        <f>IFERROR(__xludf.DUMMYFUNCTION("""COMPUTED_VALUE"""),45949.27843906075)</f>
        <v>45949.27844</v>
      </c>
      <c r="J237" s="15">
        <f>IFERROR(__xludf.DUMMYFUNCTION("""COMPUTED_VALUE"""),45949.02349499825)</f>
        <v>45949.02349</v>
      </c>
      <c r="K237" s="15">
        <f>IFERROR(__xludf.DUMMYFUNCTION("""COMPUTED_VALUE"""),45949.26841558758)</f>
        <v>45949.26842</v>
      </c>
      <c r="L237" s="4"/>
    </row>
    <row r="238">
      <c r="A238" s="1">
        <f>IFERROR(__xludf.DUMMYFUNCTION("""COMPUTED_VALUE"""),237.0)</f>
        <v>237</v>
      </c>
      <c r="B238" s="1">
        <f>IFERROR(__xludf.DUMMYFUNCTION("""COMPUTED_VALUE"""),5660.0)</f>
        <v>5660</v>
      </c>
      <c r="C238" s="2" t="str">
        <f>IFERROR(__xludf.DUMMYFUNCTION("""COMPUTED_VALUE"""),"Icalemon")</f>
        <v>Icalemon</v>
      </c>
      <c r="D238" s="2" t="str">
        <f>IFERROR(__xludf.DUMMYFUNCTION("""COMPUTED_VALUE"""),"5KM OVERALL M")</f>
        <v>5KM OVERALL M</v>
      </c>
      <c r="E238" s="1">
        <f>IFERROR(__xludf.DUMMYFUNCTION("""COMPUTED_VALUE"""),156.0)</f>
        <v>156</v>
      </c>
      <c r="F238" s="1" t="str">
        <f>IFERROR(__xludf.DUMMYFUNCTION("""COMPUTED_VALUE"""),"Male")</f>
        <v>Male</v>
      </c>
      <c r="G238" s="5">
        <f>IFERROR(__xludf.DUMMYFUNCTION("""COMPUTED_VALUE"""),0.004709451388888889)</f>
        <v>0.004709451389</v>
      </c>
      <c r="H238" s="15">
        <f>IFERROR(__xludf.DUMMYFUNCTION("""COMPUTED_VALUE"""),0.2549440625)</f>
        <v>0.2549440625</v>
      </c>
      <c r="I238" s="15">
        <f>IFERROR(__xludf.DUMMYFUNCTION("""COMPUTED_VALUE"""),45949.27849131688)</f>
        <v>45949.27849</v>
      </c>
      <c r="J238" s="15">
        <f>IFERROR(__xludf.DUMMYFUNCTION("""COMPUTED_VALUE"""),45949.02354725438)</f>
        <v>45949.02355</v>
      </c>
      <c r="K238" s="15">
        <f>IFERROR(__xludf.DUMMYFUNCTION("""COMPUTED_VALUE"""),45949.26912739356)</f>
        <v>45949.26913</v>
      </c>
      <c r="L238" s="4"/>
    </row>
    <row r="239">
      <c r="A239" s="1">
        <f>IFERROR(__xludf.DUMMYFUNCTION("""COMPUTED_VALUE"""),238.0)</f>
        <v>238</v>
      </c>
      <c r="B239" s="7" t="str">
        <f>IFERROR(__xludf.DUMMYFUNCTION("""COMPUTED_VALUE"""),"9023")</f>
        <v>9023</v>
      </c>
      <c r="C239" s="8" t="str">
        <f>IFERROR(__xludf.DUMMYFUNCTION("""COMPUTED_VALUE"""),"Nadir")</f>
        <v>Nadir</v>
      </c>
      <c r="D239" s="2" t="str">
        <f>IFERROR(__xludf.DUMMYFUNCTION("""COMPUTED_VALUE"""),"5KM STUDENT M")</f>
        <v>5KM STUDENT M</v>
      </c>
      <c r="E239" s="1">
        <f>IFERROR(__xludf.DUMMYFUNCTION("""COMPUTED_VALUE"""),30.0)</f>
        <v>30</v>
      </c>
      <c r="F239" s="1" t="str">
        <f>IFERROR(__xludf.DUMMYFUNCTION("""COMPUTED_VALUE"""),"Male")</f>
        <v>Male</v>
      </c>
      <c r="G239" s="5">
        <f>IFERROR(__xludf.DUMMYFUNCTION("""COMPUTED_VALUE"""),0.004713574074074073)</f>
        <v>0.004713574074</v>
      </c>
      <c r="H239" s="15">
        <f>IFERROR(__xludf.DUMMYFUNCTION("""COMPUTED_VALUE"""),0.2549440625)</f>
        <v>0.2549440625</v>
      </c>
      <c r="I239" s="15">
        <f>IFERROR(__xludf.DUMMYFUNCTION("""COMPUTED_VALUE"""),45949.278511938646)</f>
        <v>45949.27851</v>
      </c>
      <c r="J239" s="15">
        <f>IFERROR(__xludf.DUMMYFUNCTION("""COMPUTED_VALUE"""),45949.023567876146)</f>
        <v>45949.02357</v>
      </c>
      <c r="K239" s="15">
        <f>IFERROR(__xludf.DUMMYFUNCTION("""COMPUTED_VALUE"""),45949.26842946433)</f>
        <v>45949.26843</v>
      </c>
      <c r="L239" s="4"/>
    </row>
    <row r="240">
      <c r="A240" s="1">
        <f>IFERROR(__xludf.DUMMYFUNCTION("""COMPUTED_VALUE"""),239.0)</f>
        <v>239</v>
      </c>
      <c r="B240" s="1">
        <f>IFERROR(__xludf.DUMMYFUNCTION("""COMPUTED_VALUE"""),7105.0)</f>
        <v>7105</v>
      </c>
      <c r="C240" s="2" t="str">
        <f>IFERROR(__xludf.DUMMYFUNCTION("""COMPUTED_VALUE"""),"Isra'")</f>
        <v>Isra'</v>
      </c>
      <c r="D240" s="2" t="str">
        <f>IFERROR(__xludf.DUMMYFUNCTION("""COMPUTED_VALUE"""),"5KM MASTER M")</f>
        <v>5KM MASTER M</v>
      </c>
      <c r="E240" s="1">
        <f>IFERROR(__xludf.DUMMYFUNCTION("""COMPUTED_VALUE"""),23.0)</f>
        <v>23</v>
      </c>
      <c r="F240" s="1" t="str">
        <f>IFERROR(__xludf.DUMMYFUNCTION("""COMPUTED_VALUE"""),"Male")</f>
        <v>Male</v>
      </c>
      <c r="G240" s="5">
        <f>IFERROR(__xludf.DUMMYFUNCTION("""COMPUTED_VALUE"""),0.004714976851851851)</f>
        <v>0.004714976852</v>
      </c>
      <c r="H240" s="15">
        <f>IFERROR(__xludf.DUMMYFUNCTION("""COMPUTED_VALUE"""),0.2549440625)</f>
        <v>0.2549440625</v>
      </c>
      <c r="I240" s="15">
        <f>IFERROR(__xludf.DUMMYFUNCTION("""COMPUTED_VALUE"""),45949.278518942716)</f>
        <v>45949.27852</v>
      </c>
      <c r="J240" s="15">
        <f>IFERROR(__xludf.DUMMYFUNCTION("""COMPUTED_VALUE"""),45949.023574880215)</f>
        <v>45949.02357</v>
      </c>
      <c r="K240" s="15">
        <f>IFERROR(__xludf.DUMMYFUNCTION("""COMPUTED_VALUE"""),45949.26820775781)</f>
        <v>45949.26821</v>
      </c>
      <c r="L240" s="4"/>
    </row>
    <row r="241">
      <c r="A241" s="1">
        <f>IFERROR(__xludf.DUMMYFUNCTION("""COMPUTED_VALUE"""),240.0)</f>
        <v>240</v>
      </c>
      <c r="B241" s="1">
        <f>IFERROR(__xludf.DUMMYFUNCTION("""COMPUTED_VALUE"""),5858.0)</f>
        <v>5858</v>
      </c>
      <c r="C241" s="2" t="str">
        <f>IFERROR(__xludf.DUMMYFUNCTION("""COMPUTED_VALUE"""),"Nico Agustian Putra")</f>
        <v>Nico Agustian Putra</v>
      </c>
      <c r="D241" s="2" t="str">
        <f>IFERROR(__xludf.DUMMYFUNCTION("""COMPUTED_VALUE"""),"5KM OVERALL M")</f>
        <v>5KM OVERALL M</v>
      </c>
      <c r="E241" s="1">
        <f>IFERROR(__xludf.DUMMYFUNCTION("""COMPUTED_VALUE"""),157.0)</f>
        <v>157</v>
      </c>
      <c r="F241" s="1" t="str">
        <f>IFERROR(__xludf.DUMMYFUNCTION("""COMPUTED_VALUE"""),"Male")</f>
        <v>Male</v>
      </c>
      <c r="G241" s="5">
        <f>IFERROR(__xludf.DUMMYFUNCTION("""COMPUTED_VALUE"""),0.004726078703703704)</f>
        <v>0.004726078704</v>
      </c>
      <c r="H241" s="15">
        <f>IFERROR(__xludf.DUMMYFUNCTION("""COMPUTED_VALUE"""),0.2549440625)</f>
        <v>0.2549440625</v>
      </c>
      <c r="I241" s="15">
        <f>IFERROR(__xludf.DUMMYFUNCTION("""COMPUTED_VALUE"""),45949.27857445026)</f>
        <v>45949.27857</v>
      </c>
      <c r="J241" s="15">
        <f>IFERROR(__xludf.DUMMYFUNCTION("""COMPUTED_VALUE"""),45949.02363038776)</f>
        <v>45949.02363</v>
      </c>
      <c r="K241" s="15">
        <f>IFERROR(__xludf.DUMMYFUNCTION("""COMPUTED_VALUE"""),45949.26926975504)</f>
        <v>45949.26927</v>
      </c>
      <c r="L241" s="4"/>
    </row>
    <row r="242">
      <c r="A242" s="1">
        <f>IFERROR(__xludf.DUMMYFUNCTION("""COMPUTED_VALUE"""),241.0)</f>
        <v>241</v>
      </c>
      <c r="B242" s="1">
        <f>IFERROR(__xludf.DUMMYFUNCTION("""COMPUTED_VALUE"""),5927.0)</f>
        <v>5927</v>
      </c>
      <c r="C242" s="2" t="str">
        <f>IFERROR(__xludf.DUMMYFUNCTION("""COMPUTED_VALUE"""),"Nanda J")</f>
        <v>Nanda J</v>
      </c>
      <c r="D242" s="2" t="str">
        <f>IFERROR(__xludf.DUMMYFUNCTION("""COMPUTED_VALUE"""),"5KM OVERALL M")</f>
        <v>5KM OVERALL M</v>
      </c>
      <c r="E242" s="1">
        <f>IFERROR(__xludf.DUMMYFUNCTION("""COMPUTED_VALUE"""),158.0)</f>
        <v>158</v>
      </c>
      <c r="F242" s="1" t="str">
        <f>IFERROR(__xludf.DUMMYFUNCTION("""COMPUTED_VALUE"""),"Male")</f>
        <v>Male</v>
      </c>
      <c r="G242" s="5">
        <f>IFERROR(__xludf.DUMMYFUNCTION("""COMPUTED_VALUE"""),0.004727472222222222)</f>
        <v>0.004727472222</v>
      </c>
      <c r="H242" s="15">
        <f>IFERROR(__xludf.DUMMYFUNCTION("""COMPUTED_VALUE"""),0.2549440625)</f>
        <v>0.2549440625</v>
      </c>
      <c r="I242" s="15">
        <f>IFERROR(__xludf.DUMMYFUNCTION("""COMPUTED_VALUE"""),45949.27858142305)</f>
        <v>45949.27858</v>
      </c>
      <c r="J242" s="15">
        <f>IFERROR(__xludf.DUMMYFUNCTION("""COMPUTED_VALUE"""),45949.02363736055)</f>
        <v>45949.02364</v>
      </c>
      <c r="K242" s="15">
        <f>IFERROR(__xludf.DUMMYFUNCTION("""COMPUTED_VALUE"""),45949.267485091186)</f>
        <v>45949.26749</v>
      </c>
      <c r="L242" s="4"/>
    </row>
    <row r="243">
      <c r="A243" s="1">
        <f>IFERROR(__xludf.DUMMYFUNCTION("""COMPUTED_VALUE"""),242.0)</f>
        <v>242</v>
      </c>
      <c r="B243" s="1">
        <f>IFERROR(__xludf.DUMMYFUNCTION("""COMPUTED_VALUE"""),6392.0)</f>
        <v>6392</v>
      </c>
      <c r="C243" s="2" t="str">
        <f>IFERROR(__xludf.DUMMYFUNCTION("""COMPUTED_VALUE"""),"MzF")</f>
        <v>MzF</v>
      </c>
      <c r="D243" s="2" t="str">
        <f>IFERROR(__xludf.DUMMYFUNCTION("""COMPUTED_VALUE"""),"5KM OVERALL M")</f>
        <v>5KM OVERALL M</v>
      </c>
      <c r="E243" s="1">
        <f>IFERROR(__xludf.DUMMYFUNCTION("""COMPUTED_VALUE"""),159.0)</f>
        <v>159</v>
      </c>
      <c r="F243" s="1" t="str">
        <f>IFERROR(__xludf.DUMMYFUNCTION("""COMPUTED_VALUE"""),"Male")</f>
        <v>Male</v>
      </c>
      <c r="G243" s="5">
        <f>IFERROR(__xludf.DUMMYFUNCTION("""COMPUTED_VALUE"""),0.004750388888888889)</f>
        <v>0.004750388889</v>
      </c>
      <c r="H243" s="15">
        <f>IFERROR(__xludf.DUMMYFUNCTION("""COMPUTED_VALUE"""),0.2549440625)</f>
        <v>0.2549440625</v>
      </c>
      <c r="I243" s="15">
        <f>IFERROR(__xludf.DUMMYFUNCTION("""COMPUTED_VALUE"""),45949.27869600412)</f>
        <v>45949.2787</v>
      </c>
      <c r="J243" s="15">
        <f>IFERROR(__xludf.DUMMYFUNCTION("""COMPUTED_VALUE"""),45949.02375194162)</f>
        <v>45949.02375</v>
      </c>
      <c r="K243" s="15">
        <f>IFERROR(__xludf.DUMMYFUNCTION("""COMPUTED_VALUE"""),45949.26793642965)</f>
        <v>45949.26794</v>
      </c>
      <c r="L243" s="4"/>
    </row>
    <row r="244">
      <c r="A244" s="1">
        <f>IFERROR(__xludf.DUMMYFUNCTION("""COMPUTED_VALUE"""),243.0)</f>
        <v>243</v>
      </c>
      <c r="B244" s="7" t="str">
        <f>IFERROR(__xludf.DUMMYFUNCTION("""COMPUTED_VALUE"""),"9014")</f>
        <v>9014</v>
      </c>
      <c r="C244" s="8" t="str">
        <f>IFERROR(__xludf.DUMMYFUNCTION("""COMPUTED_VALUE"""),"M ARUNG MEISA RAHMAN")</f>
        <v>M ARUNG MEISA RAHMAN</v>
      </c>
      <c r="D244" s="2" t="str">
        <f>IFERROR(__xludf.DUMMYFUNCTION("""COMPUTED_VALUE"""),"5KM STUDENT M")</f>
        <v>5KM STUDENT M</v>
      </c>
      <c r="E244" s="1">
        <f>IFERROR(__xludf.DUMMYFUNCTION("""COMPUTED_VALUE"""),31.0)</f>
        <v>31</v>
      </c>
      <c r="F244" s="1" t="str">
        <f>IFERROR(__xludf.DUMMYFUNCTION("""COMPUTED_VALUE"""),"Male")</f>
        <v>Male</v>
      </c>
      <c r="G244" s="5">
        <f>IFERROR(__xludf.DUMMYFUNCTION("""COMPUTED_VALUE"""),0.004757333333333334)</f>
        <v>0.004757333333</v>
      </c>
      <c r="H244" s="15">
        <f>IFERROR(__xludf.DUMMYFUNCTION("""COMPUTED_VALUE"""),0.2549440625)</f>
        <v>0.2549440625</v>
      </c>
      <c r="I244" s="15">
        <f>IFERROR(__xludf.DUMMYFUNCTION("""COMPUTED_VALUE"""),45949.27873072793)</f>
        <v>45949.27873</v>
      </c>
      <c r="J244" s="15">
        <f>IFERROR(__xludf.DUMMYFUNCTION("""COMPUTED_VALUE"""),45949.02378666543)</f>
        <v>45949.02379</v>
      </c>
      <c r="K244" s="15">
        <f>IFERROR(__xludf.DUMMYFUNCTION("""COMPUTED_VALUE"""),45949.268971147845)</f>
        <v>45949.26897</v>
      </c>
      <c r="L244" s="4"/>
    </row>
    <row r="245">
      <c r="A245" s="1">
        <f>IFERROR(__xludf.DUMMYFUNCTION("""COMPUTED_VALUE"""),244.0)</f>
        <v>244</v>
      </c>
      <c r="B245" s="1">
        <f>IFERROR(__xludf.DUMMYFUNCTION("""COMPUTED_VALUE"""),6440.0)</f>
        <v>6440</v>
      </c>
      <c r="C245" s="2" t="str">
        <f>IFERROR(__xludf.DUMMYFUNCTION("""COMPUTED_VALUE"""),"FREDDY")</f>
        <v>FREDDY</v>
      </c>
      <c r="D245" s="2" t="str">
        <f>IFERROR(__xludf.DUMMYFUNCTION("""COMPUTED_VALUE"""),"5KM OVERALL M")</f>
        <v>5KM OVERALL M</v>
      </c>
      <c r="E245" s="1">
        <f>IFERROR(__xludf.DUMMYFUNCTION("""COMPUTED_VALUE"""),160.0)</f>
        <v>160</v>
      </c>
      <c r="F245" s="1" t="str">
        <f>IFERROR(__xludf.DUMMYFUNCTION("""COMPUTED_VALUE"""),"Male")</f>
        <v>Male</v>
      </c>
      <c r="G245" s="5">
        <f>IFERROR(__xludf.DUMMYFUNCTION("""COMPUTED_VALUE"""),0.0047782824074074064)</f>
        <v>0.004778282407</v>
      </c>
      <c r="H245" s="15">
        <f>IFERROR(__xludf.DUMMYFUNCTION("""COMPUTED_VALUE"""),0.2549440625)</f>
        <v>0.2549440625</v>
      </c>
      <c r="I245" s="15">
        <f>IFERROR(__xludf.DUMMYFUNCTION("""COMPUTED_VALUE"""),45949.27883547528)</f>
        <v>45949.27884</v>
      </c>
      <c r="J245" s="15">
        <f>IFERROR(__xludf.DUMMYFUNCTION("""COMPUTED_VALUE"""),45949.02389141278)</f>
        <v>45949.02389</v>
      </c>
      <c r="K245" s="15">
        <f>IFERROR(__xludf.DUMMYFUNCTION("""COMPUTED_VALUE"""),45950.269282407404)</f>
        <v>45950.26928</v>
      </c>
      <c r="L245" s="4" t="str">
        <f>IFERROR(__xludf.DUMMYFUNCTION("""COMPUTED_VALUE"""),"C")</f>
        <v>C</v>
      </c>
    </row>
    <row r="246">
      <c r="A246" s="1">
        <f>IFERROR(__xludf.DUMMYFUNCTION("""COMPUTED_VALUE"""),245.0)</f>
        <v>245</v>
      </c>
      <c r="B246" s="7" t="str">
        <f>IFERROR(__xludf.DUMMYFUNCTION("""COMPUTED_VALUE"""),"9005")</f>
        <v>9005</v>
      </c>
      <c r="C246" s="8" t="str">
        <f>IFERROR(__xludf.DUMMYFUNCTION("""COMPUTED_VALUE"""),"Gibran")</f>
        <v>Gibran</v>
      </c>
      <c r="D246" s="2" t="str">
        <f>IFERROR(__xludf.DUMMYFUNCTION("""COMPUTED_VALUE"""),"5KM STUDENT M")</f>
        <v>5KM STUDENT M</v>
      </c>
      <c r="E246" s="1">
        <f>IFERROR(__xludf.DUMMYFUNCTION("""COMPUTED_VALUE"""),32.0)</f>
        <v>32</v>
      </c>
      <c r="F246" s="1" t="str">
        <f>IFERROR(__xludf.DUMMYFUNCTION("""COMPUTED_VALUE"""),"Male")</f>
        <v>Male</v>
      </c>
      <c r="G246" s="5">
        <f>IFERROR(__xludf.DUMMYFUNCTION("""COMPUTED_VALUE"""),0.0047851111111111115)</f>
        <v>0.004785111111</v>
      </c>
      <c r="H246" s="15">
        <f>IFERROR(__xludf.DUMMYFUNCTION("""COMPUTED_VALUE"""),0.2549440625)</f>
        <v>0.2549440625</v>
      </c>
      <c r="I246" s="15">
        <f>IFERROR(__xludf.DUMMYFUNCTION("""COMPUTED_VALUE"""),45949.2788696228)</f>
        <v>45949.27887</v>
      </c>
      <c r="J246" s="15">
        <f>IFERROR(__xludf.DUMMYFUNCTION("""COMPUTED_VALUE"""),45949.0239255603)</f>
        <v>45949.02393</v>
      </c>
      <c r="K246" s="15">
        <f>IFERROR(__xludf.DUMMYFUNCTION("""COMPUTED_VALUE"""),45949.269578854575)</f>
        <v>45949.26958</v>
      </c>
      <c r="L246" s="4"/>
    </row>
    <row r="247">
      <c r="A247" s="1">
        <f>IFERROR(__xludf.DUMMYFUNCTION("""COMPUTED_VALUE"""),246.0)</f>
        <v>246</v>
      </c>
      <c r="B247" s="1">
        <f>IFERROR(__xludf.DUMMYFUNCTION("""COMPUTED_VALUE"""),5087.0)</f>
        <v>5087</v>
      </c>
      <c r="C247" s="2" t="str">
        <f>IFERROR(__xludf.DUMMYFUNCTION("""COMPUTED_VALUE"""),"Mama AGO")</f>
        <v>Mama AGO</v>
      </c>
      <c r="D247" s="2" t="str">
        <f>IFERROR(__xludf.DUMMYFUNCTION("""COMPUTED_VALUE"""),"5KM OVERALL F")</f>
        <v>5KM OVERALL F</v>
      </c>
      <c r="E247" s="1">
        <f>IFERROR(__xludf.DUMMYFUNCTION("""COMPUTED_VALUE"""),20.0)</f>
        <v>20</v>
      </c>
      <c r="F247" s="1" t="str">
        <f>IFERROR(__xludf.DUMMYFUNCTION("""COMPUTED_VALUE"""),"Female")</f>
        <v>Female</v>
      </c>
      <c r="G247" s="5">
        <f>IFERROR(__xludf.DUMMYFUNCTION("""COMPUTED_VALUE"""),0.004789277777777778)</f>
        <v>0.004789277778</v>
      </c>
      <c r="H247" s="15">
        <f>IFERROR(__xludf.DUMMYFUNCTION("""COMPUTED_VALUE"""),0.2549440625)</f>
        <v>0.2549440625</v>
      </c>
      <c r="I247" s="15">
        <f>IFERROR(__xludf.DUMMYFUNCTION("""COMPUTED_VALUE"""),45949.2788904559)</f>
        <v>45949.27889</v>
      </c>
      <c r="J247" s="15">
        <f>IFERROR(__xludf.DUMMYFUNCTION("""COMPUTED_VALUE"""),45949.0239463934)</f>
        <v>45949.02395</v>
      </c>
      <c r="K247" s="15">
        <f>IFERROR(__xludf.DUMMYFUNCTION("""COMPUTED_VALUE"""),45949.26820776938)</f>
        <v>45949.26821</v>
      </c>
      <c r="L247" s="4"/>
    </row>
    <row r="248">
      <c r="A248" s="1">
        <f>IFERROR(__xludf.DUMMYFUNCTION("""COMPUTED_VALUE"""),247.0)</f>
        <v>247</v>
      </c>
      <c r="B248" s="1">
        <f>IFERROR(__xludf.DUMMYFUNCTION("""COMPUTED_VALUE"""),5675.0)</f>
        <v>5675</v>
      </c>
      <c r="C248" s="2" t="str">
        <f>IFERROR(__xludf.DUMMYFUNCTION("""COMPUTED_VALUE"""),"Zein Syakieb")</f>
        <v>Zein Syakieb</v>
      </c>
      <c r="D248" s="2" t="str">
        <f>IFERROR(__xludf.DUMMYFUNCTION("""COMPUTED_VALUE"""),"5KM OVERALL M")</f>
        <v>5KM OVERALL M</v>
      </c>
      <c r="E248" s="1">
        <f>IFERROR(__xludf.DUMMYFUNCTION("""COMPUTED_VALUE"""),161.0)</f>
        <v>161</v>
      </c>
      <c r="F248" s="1" t="str">
        <f>IFERROR(__xludf.DUMMYFUNCTION("""COMPUTED_VALUE"""),"Male")</f>
        <v>Male</v>
      </c>
      <c r="G248" s="5">
        <f>IFERROR(__xludf.DUMMYFUNCTION("""COMPUTED_VALUE"""),0.0047941388888888894)</f>
        <v>0.004794138889</v>
      </c>
      <c r="H248" s="15">
        <f>IFERROR(__xludf.DUMMYFUNCTION("""COMPUTED_VALUE"""),0.2549440625)</f>
        <v>0.2549440625</v>
      </c>
      <c r="I248" s="15">
        <f>IFERROR(__xludf.DUMMYFUNCTION("""COMPUTED_VALUE"""),45949.278914759336)</f>
        <v>45949.27891</v>
      </c>
      <c r="J248" s="15">
        <f>IFERROR(__xludf.DUMMYFUNCTION("""COMPUTED_VALUE"""),45949.023970696835)</f>
        <v>45949.02397</v>
      </c>
      <c r="K248" s="15">
        <f>IFERROR(__xludf.DUMMYFUNCTION("""COMPUTED_VALUE"""),45949.267023226734)</f>
        <v>45949.26702</v>
      </c>
      <c r="L248" s="4"/>
    </row>
    <row r="249">
      <c r="A249" s="1">
        <f>IFERROR(__xludf.DUMMYFUNCTION("""COMPUTED_VALUE"""),248.0)</f>
        <v>248</v>
      </c>
      <c r="B249" s="1">
        <f>IFERROR(__xludf.DUMMYFUNCTION("""COMPUTED_VALUE"""),5769.0)</f>
        <v>5769</v>
      </c>
      <c r="C249" s="2" t="str">
        <f>IFERROR(__xludf.DUMMYFUNCTION("""COMPUTED_VALUE"""),"RIZA")</f>
        <v>RIZA</v>
      </c>
      <c r="D249" s="2" t="str">
        <f>IFERROR(__xludf.DUMMYFUNCTION("""COMPUTED_VALUE"""),"5KM OVERALL M")</f>
        <v>5KM OVERALL M</v>
      </c>
      <c r="E249" s="1">
        <f>IFERROR(__xludf.DUMMYFUNCTION("""COMPUTED_VALUE"""),162.0)</f>
        <v>162</v>
      </c>
      <c r="F249" s="1" t="str">
        <f>IFERROR(__xludf.DUMMYFUNCTION("""COMPUTED_VALUE"""),"Male")</f>
        <v>Male</v>
      </c>
      <c r="G249" s="5">
        <f>IFERROR(__xludf.DUMMYFUNCTION("""COMPUTED_VALUE"""),0.004799199074074074)</f>
        <v>0.004799199074</v>
      </c>
      <c r="H249" s="15">
        <f>IFERROR(__xludf.DUMMYFUNCTION("""COMPUTED_VALUE"""),0.2549440625)</f>
        <v>0.2549440625</v>
      </c>
      <c r="I249" s="15">
        <f>IFERROR(__xludf.DUMMYFUNCTION("""COMPUTED_VALUE"""),45949.2789400568)</f>
        <v>45949.27894</v>
      </c>
      <c r="J249" s="15">
        <f>IFERROR(__xludf.DUMMYFUNCTION("""COMPUTED_VALUE"""),45949.0239959943)</f>
        <v>45949.024</v>
      </c>
      <c r="K249" s="15">
        <f>IFERROR(__xludf.DUMMYFUNCTION("""COMPUTED_VALUE"""),45949.26839479754)</f>
        <v>45949.26839</v>
      </c>
      <c r="L249" s="4"/>
    </row>
    <row r="250">
      <c r="A250" s="1">
        <f>IFERROR(__xludf.DUMMYFUNCTION("""COMPUTED_VALUE"""),249.0)</f>
        <v>249</v>
      </c>
      <c r="B250" s="7" t="str">
        <f>IFERROR(__xludf.DUMMYFUNCTION("""COMPUTED_VALUE"""),"7134")</f>
        <v>7134</v>
      </c>
      <c r="C250" s="8" t="str">
        <f>IFERROR(__xludf.DUMMYFUNCTION("""COMPUTED_VALUE"""),"Darma")</f>
        <v>Darma</v>
      </c>
      <c r="D250" s="2" t="str">
        <f>IFERROR(__xludf.DUMMYFUNCTION("""COMPUTED_VALUE"""),"5KM MASTER M")</f>
        <v>5KM MASTER M</v>
      </c>
      <c r="E250" s="1">
        <f>IFERROR(__xludf.DUMMYFUNCTION("""COMPUTED_VALUE"""),24.0)</f>
        <v>24</v>
      </c>
      <c r="F250" s="1" t="str">
        <f>IFERROR(__xludf.DUMMYFUNCTION("""COMPUTED_VALUE"""),"Male")</f>
        <v>Male</v>
      </c>
      <c r="G250" s="5">
        <f>IFERROR(__xludf.DUMMYFUNCTION("""COMPUTED_VALUE"""),0.00481655787037037)</f>
        <v>0.00481655787</v>
      </c>
      <c r="H250" s="15">
        <f>IFERROR(__xludf.DUMMYFUNCTION("""COMPUTED_VALUE"""),0.2549440625)</f>
        <v>0.2549440625</v>
      </c>
      <c r="I250" s="15">
        <f>IFERROR(__xludf.DUMMYFUNCTION("""COMPUTED_VALUE"""),45949.279026854034)</f>
        <v>45949.27903</v>
      </c>
      <c r="J250" s="15">
        <f>IFERROR(__xludf.DUMMYFUNCTION("""COMPUTED_VALUE"""),45949.02408279153)</f>
        <v>45949.02408</v>
      </c>
      <c r="K250" s="15">
        <f>IFERROR(__xludf.DUMMYFUNCTION("""COMPUTED_VALUE"""),45949.269151745946)</f>
        <v>45949.26915</v>
      </c>
      <c r="L250" s="4"/>
    </row>
    <row r="251">
      <c r="A251" s="1">
        <f>IFERROR(__xludf.DUMMYFUNCTION("""COMPUTED_VALUE"""),250.0)</f>
        <v>250</v>
      </c>
      <c r="B251" s="1">
        <f>IFERROR(__xludf.DUMMYFUNCTION("""COMPUTED_VALUE"""),7109.0)</f>
        <v>7109</v>
      </c>
      <c r="C251" s="2" t="str">
        <f>IFERROR(__xludf.DUMMYFUNCTION("""COMPUTED_VALUE"""),"Martin")</f>
        <v>Martin</v>
      </c>
      <c r="D251" s="2" t="str">
        <f>IFERROR(__xludf.DUMMYFUNCTION("""COMPUTED_VALUE"""),"5KM MASTER M")</f>
        <v>5KM MASTER M</v>
      </c>
      <c r="E251" s="1">
        <f>IFERROR(__xludf.DUMMYFUNCTION("""COMPUTED_VALUE"""),25.0)</f>
        <v>25</v>
      </c>
      <c r="F251" s="1" t="str">
        <f>IFERROR(__xludf.DUMMYFUNCTION("""COMPUTED_VALUE"""),"Male")</f>
        <v>Male</v>
      </c>
      <c r="G251" s="5">
        <f>IFERROR(__xludf.DUMMYFUNCTION("""COMPUTED_VALUE"""),0.0048233055555555555)</f>
        <v>0.004823305556</v>
      </c>
      <c r="H251" s="15">
        <f>IFERROR(__xludf.DUMMYFUNCTION("""COMPUTED_VALUE"""),0.2549440625)</f>
        <v>0.2549440625</v>
      </c>
      <c r="I251" s="15">
        <f>IFERROR(__xludf.DUMMYFUNCTION("""COMPUTED_VALUE"""),45949.27906059273)</f>
        <v>45949.27906</v>
      </c>
      <c r="J251" s="15">
        <f>IFERROR(__xludf.DUMMYFUNCTION("""COMPUTED_VALUE"""),45949.02411653023)</f>
        <v>45949.02412</v>
      </c>
      <c r="K251" s="15">
        <f>IFERROR(__xludf.DUMMYFUNCTION("""COMPUTED_VALUE"""),45950.26971064815)</f>
        <v>45950.26971</v>
      </c>
      <c r="L251" s="4"/>
    </row>
    <row r="252">
      <c r="A252" s="1">
        <f>IFERROR(__xludf.DUMMYFUNCTION("""COMPUTED_VALUE"""),251.0)</f>
        <v>251</v>
      </c>
      <c r="B252" s="1">
        <f>IFERROR(__xludf.DUMMYFUNCTION("""COMPUTED_VALUE"""),6035.0)</f>
        <v>6035</v>
      </c>
      <c r="C252" s="2" t="str">
        <f>IFERROR(__xludf.DUMMYFUNCTION("""COMPUTED_VALUE"""),"Irvan")</f>
        <v>Irvan</v>
      </c>
      <c r="D252" s="2" t="str">
        <f>IFERROR(__xludf.DUMMYFUNCTION("""COMPUTED_VALUE"""),"5KM OVERALL M")</f>
        <v>5KM OVERALL M</v>
      </c>
      <c r="E252" s="1">
        <f>IFERROR(__xludf.DUMMYFUNCTION("""COMPUTED_VALUE"""),163.0)</f>
        <v>163</v>
      </c>
      <c r="F252" s="1" t="str">
        <f>IFERROR(__xludf.DUMMYFUNCTION("""COMPUTED_VALUE"""),"Male")</f>
        <v>Male</v>
      </c>
      <c r="G252" s="5">
        <f>IFERROR(__xludf.DUMMYFUNCTION("""COMPUTED_VALUE"""),0.004826083333333333)</f>
        <v>0.004826083333</v>
      </c>
      <c r="H252" s="15">
        <f>IFERROR(__xludf.DUMMYFUNCTION("""COMPUTED_VALUE"""),0.2549440625)</f>
        <v>0.2549440625</v>
      </c>
      <c r="I252" s="15">
        <f>IFERROR(__xludf.DUMMYFUNCTION("""COMPUTED_VALUE"""),45949.27907447844)</f>
        <v>45949.27907</v>
      </c>
      <c r="J252" s="15">
        <f>IFERROR(__xludf.DUMMYFUNCTION("""COMPUTED_VALUE"""),45949.02413041594)</f>
        <v>45949.02413</v>
      </c>
      <c r="K252" s="15">
        <f>IFERROR(__xludf.DUMMYFUNCTION("""COMPUTED_VALUE"""),45949.26855098851)</f>
        <v>45949.26855</v>
      </c>
      <c r="L252" s="4"/>
    </row>
    <row r="253">
      <c r="A253" s="1">
        <f>IFERROR(__xludf.DUMMYFUNCTION("""COMPUTED_VALUE"""),252.0)</f>
        <v>252</v>
      </c>
      <c r="B253" s="1">
        <f>IFERROR(__xludf.DUMMYFUNCTION("""COMPUTED_VALUE"""),6378.0)</f>
        <v>6378</v>
      </c>
      <c r="C253" s="2" t="str">
        <f>IFERROR(__xludf.DUMMYFUNCTION("""COMPUTED_VALUE"""),"DD")</f>
        <v>DD</v>
      </c>
      <c r="D253" s="2" t="str">
        <f>IFERROR(__xludf.DUMMYFUNCTION("""COMPUTED_VALUE"""),"5KM OVERALL M")</f>
        <v>5KM OVERALL M</v>
      </c>
      <c r="E253" s="1">
        <f>IFERROR(__xludf.DUMMYFUNCTION("""COMPUTED_VALUE"""),164.0)</f>
        <v>164</v>
      </c>
      <c r="F253" s="1" t="str">
        <f>IFERROR(__xludf.DUMMYFUNCTION("""COMPUTED_VALUE"""),"Male")</f>
        <v>Male</v>
      </c>
      <c r="G253" s="5">
        <f>IFERROR(__xludf.DUMMYFUNCTION("""COMPUTED_VALUE"""),0.004828865740740741)</f>
        <v>0.004828865741</v>
      </c>
      <c r="H253" s="15">
        <f>IFERROR(__xludf.DUMMYFUNCTION("""COMPUTED_VALUE"""),0.2549440625)</f>
        <v>0.2549440625</v>
      </c>
      <c r="I253" s="15">
        <f>IFERROR(__xludf.DUMMYFUNCTION("""COMPUTED_VALUE"""),45949.27908839606)</f>
        <v>45949.27909</v>
      </c>
      <c r="J253" s="15">
        <f>IFERROR(__xludf.DUMMYFUNCTION("""COMPUTED_VALUE"""),45949.02414433356)</f>
        <v>45949.02414</v>
      </c>
      <c r="K253" s="15">
        <f>IFERROR(__xludf.DUMMYFUNCTION("""COMPUTED_VALUE"""),45949.2699745995)</f>
        <v>45949.26997</v>
      </c>
      <c r="L253" s="4"/>
    </row>
    <row r="254">
      <c r="A254" s="1">
        <f>IFERROR(__xludf.DUMMYFUNCTION("""COMPUTED_VALUE"""),253.0)</f>
        <v>253</v>
      </c>
      <c r="B254" s="1">
        <f>IFERROR(__xludf.DUMMYFUNCTION("""COMPUTED_VALUE"""),6360.0)</f>
        <v>6360</v>
      </c>
      <c r="C254" s="2" t="str">
        <f>IFERROR(__xludf.DUMMYFUNCTION("""COMPUTED_VALUE"""),"Ronnyy")</f>
        <v>Ronnyy</v>
      </c>
      <c r="D254" s="2" t="str">
        <f>IFERROR(__xludf.DUMMYFUNCTION("""COMPUTED_VALUE"""),"5KM OVERALL F")</f>
        <v>5KM OVERALL F</v>
      </c>
      <c r="E254" s="1">
        <f>IFERROR(__xludf.DUMMYFUNCTION("""COMPUTED_VALUE"""),21.0)</f>
        <v>21</v>
      </c>
      <c r="F254" s="1" t="str">
        <f>IFERROR(__xludf.DUMMYFUNCTION("""COMPUTED_VALUE"""),"Female")</f>
        <v>Female</v>
      </c>
      <c r="G254" s="5">
        <f>IFERROR(__xludf.DUMMYFUNCTION("""COMPUTED_VALUE"""),0.004839277777777778)</f>
        <v>0.004839277778</v>
      </c>
      <c r="H254" s="15">
        <f>IFERROR(__xludf.DUMMYFUNCTION("""COMPUTED_VALUE"""),0.2549440625)</f>
        <v>0.2549440625</v>
      </c>
      <c r="I254" s="15">
        <f>IFERROR(__xludf.DUMMYFUNCTION("""COMPUTED_VALUE"""),45949.27914045129)</f>
        <v>45949.27914</v>
      </c>
      <c r="J254" s="15">
        <f>IFERROR(__xludf.DUMMYFUNCTION("""COMPUTED_VALUE"""),45949.02419638879)</f>
        <v>45949.0242</v>
      </c>
      <c r="K254" s="15">
        <f>IFERROR(__xludf.DUMMYFUNCTION("""COMPUTED_VALUE"""),45949.268193408614)</f>
        <v>45949.26819</v>
      </c>
      <c r="L254" s="4"/>
    </row>
    <row r="255">
      <c r="A255" s="1">
        <f>IFERROR(__xludf.DUMMYFUNCTION("""COMPUTED_VALUE"""),254.0)</f>
        <v>254</v>
      </c>
      <c r="B255" s="1">
        <f>IFERROR(__xludf.DUMMYFUNCTION("""COMPUTED_VALUE"""),5899.0)</f>
        <v>5899</v>
      </c>
      <c r="C255" s="2" t="str">
        <f>IFERROR(__xludf.DUMMYFUNCTION("""COMPUTED_VALUE"""),"Duan")</f>
        <v>Duan</v>
      </c>
      <c r="D255" s="2" t="str">
        <f>IFERROR(__xludf.DUMMYFUNCTION("""COMPUTED_VALUE"""),"5KM OVERALL M")</f>
        <v>5KM OVERALL M</v>
      </c>
      <c r="E255" s="1">
        <f>IFERROR(__xludf.DUMMYFUNCTION("""COMPUTED_VALUE"""),165.0)</f>
        <v>165</v>
      </c>
      <c r="F255" s="1" t="str">
        <f>IFERROR(__xludf.DUMMYFUNCTION("""COMPUTED_VALUE"""),"Male")</f>
        <v>Male</v>
      </c>
      <c r="G255" s="5">
        <f>IFERROR(__xludf.DUMMYFUNCTION("""COMPUTED_VALUE"""),0.004841363425925926)</f>
        <v>0.004841363426</v>
      </c>
      <c r="H255" s="15">
        <f>IFERROR(__xludf.DUMMYFUNCTION("""COMPUTED_VALUE"""),0.2549440625)</f>
        <v>0.2549440625</v>
      </c>
      <c r="I255" s="15">
        <f>IFERROR(__xludf.DUMMYFUNCTION("""COMPUTED_VALUE"""),45949.2791508768)</f>
        <v>45949.27915</v>
      </c>
      <c r="J255" s="15">
        <f>IFERROR(__xludf.DUMMYFUNCTION("""COMPUTED_VALUE"""),45949.0242068143)</f>
        <v>45949.02421</v>
      </c>
      <c r="K255" s="15">
        <f>IFERROR(__xludf.DUMMYFUNCTION("""COMPUTED_VALUE"""),45949.26944684116)</f>
        <v>45949.26945</v>
      </c>
      <c r="L255" s="4"/>
    </row>
    <row r="256">
      <c r="A256" s="1">
        <f>IFERROR(__xludf.DUMMYFUNCTION("""COMPUTED_VALUE"""),255.0)</f>
        <v>255</v>
      </c>
      <c r="B256" s="1">
        <f>IFERROR(__xludf.DUMMYFUNCTION("""COMPUTED_VALUE"""),6371.0)</f>
        <v>6371</v>
      </c>
      <c r="C256" s="2" t="str">
        <f>IFERROR(__xludf.DUMMYFUNCTION("""COMPUTED_VALUE"""),"Toni")</f>
        <v>Toni</v>
      </c>
      <c r="D256" s="2" t="str">
        <f>IFERROR(__xludf.DUMMYFUNCTION("""COMPUTED_VALUE"""),"5KM OVERALL M")</f>
        <v>5KM OVERALL M</v>
      </c>
      <c r="E256" s="1">
        <f>IFERROR(__xludf.DUMMYFUNCTION("""COMPUTED_VALUE"""),166.0)</f>
        <v>166</v>
      </c>
      <c r="F256" s="1" t="str">
        <f>IFERROR(__xludf.DUMMYFUNCTION("""COMPUTED_VALUE"""),"Male")</f>
        <v>Male</v>
      </c>
      <c r="G256" s="5">
        <f>IFERROR(__xludf.DUMMYFUNCTION("""COMPUTED_VALUE"""),0.004848305555555555)</f>
        <v>0.004848305556</v>
      </c>
      <c r="H256" s="15">
        <f>IFERROR(__xludf.DUMMYFUNCTION("""COMPUTED_VALUE"""),0.2549440625)</f>
        <v>0.2549440625</v>
      </c>
      <c r="I256" s="15">
        <f>IFERROR(__xludf.DUMMYFUNCTION("""COMPUTED_VALUE"""),45949.279185591964)</f>
        <v>45949.27919</v>
      </c>
      <c r="J256" s="15">
        <f>IFERROR(__xludf.DUMMYFUNCTION("""COMPUTED_VALUE"""),45949.02424152946)</f>
        <v>45949.02424</v>
      </c>
      <c r="K256" s="15">
        <f>IFERROR(__xludf.DUMMYFUNCTION("""COMPUTED_VALUE"""),45949.26618386254)</f>
        <v>45949.26618</v>
      </c>
      <c r="L256" s="4"/>
    </row>
    <row r="257">
      <c r="A257" s="1">
        <f>IFERROR(__xludf.DUMMYFUNCTION("""COMPUTED_VALUE"""),256.0)</f>
        <v>256</v>
      </c>
      <c r="B257" s="1">
        <f>IFERROR(__xludf.DUMMYFUNCTION("""COMPUTED_VALUE"""),6123.0)</f>
        <v>6123</v>
      </c>
      <c r="C257" s="2" t="str">
        <f>IFERROR(__xludf.DUMMYFUNCTION("""COMPUTED_VALUE"""),"Rara")</f>
        <v>Rara</v>
      </c>
      <c r="D257" s="2" t="str">
        <f>IFERROR(__xludf.DUMMYFUNCTION("""COMPUTED_VALUE"""),"5KM OVERALL F")</f>
        <v>5KM OVERALL F</v>
      </c>
      <c r="E257" s="1">
        <f>IFERROR(__xludf.DUMMYFUNCTION("""COMPUTED_VALUE"""),22.0)</f>
        <v>22</v>
      </c>
      <c r="F257" s="1" t="str">
        <f>IFERROR(__xludf.DUMMYFUNCTION("""COMPUTED_VALUE"""),"Female")</f>
        <v>Female</v>
      </c>
      <c r="G257" s="5">
        <f>IFERROR(__xludf.DUMMYFUNCTION("""COMPUTED_VALUE"""),0.004849)</f>
        <v>0.004849</v>
      </c>
      <c r="H257" s="15">
        <f>IFERROR(__xludf.DUMMYFUNCTION("""COMPUTED_VALUE"""),0.2549440625)</f>
        <v>0.2549440625</v>
      </c>
      <c r="I257" s="15">
        <f>IFERROR(__xludf.DUMMYFUNCTION("""COMPUTED_VALUE"""),45949.27918906822)</f>
        <v>45949.27919</v>
      </c>
      <c r="J257" s="15">
        <f>IFERROR(__xludf.DUMMYFUNCTION("""COMPUTED_VALUE"""),45949.02424500572)</f>
        <v>45949.02425</v>
      </c>
      <c r="K257" s="15">
        <f>IFERROR(__xludf.DUMMYFUNCTION("""COMPUTED_VALUE"""),45949.26762390943)</f>
        <v>45949.26762</v>
      </c>
      <c r="L257" s="4"/>
    </row>
    <row r="258">
      <c r="A258" s="1">
        <f>IFERROR(__xludf.DUMMYFUNCTION("""COMPUTED_VALUE"""),257.0)</f>
        <v>257</v>
      </c>
      <c r="B258" s="7" t="str">
        <f>IFERROR(__xludf.DUMMYFUNCTION("""COMPUTED_VALUE"""),"7144")</f>
        <v>7144</v>
      </c>
      <c r="C258" s="8" t="str">
        <f>IFERROR(__xludf.DUMMYFUNCTION("""COMPUTED_VALUE"""),"NINA")</f>
        <v>NINA</v>
      </c>
      <c r="D258" s="2" t="str">
        <f>IFERROR(__xludf.DUMMYFUNCTION("""COMPUTED_VALUE"""),"5KM MASTER F")</f>
        <v>5KM MASTER F</v>
      </c>
      <c r="E258" s="1">
        <f>IFERROR(__xludf.DUMMYFUNCTION("""COMPUTED_VALUE"""),9.0)</f>
        <v>9</v>
      </c>
      <c r="F258" s="1" t="str">
        <f>IFERROR(__xludf.DUMMYFUNCTION("""COMPUTED_VALUE"""),"Female")</f>
        <v>Female</v>
      </c>
      <c r="G258" s="5">
        <f>IFERROR(__xludf.DUMMYFUNCTION("""COMPUTED_VALUE"""),0.0048503888888888885)</f>
        <v>0.004850388889</v>
      </c>
      <c r="H258" s="15">
        <f>IFERROR(__xludf.DUMMYFUNCTION("""COMPUTED_VALUE"""),0.2549440625)</f>
        <v>0.2549440625</v>
      </c>
      <c r="I258" s="15">
        <f>IFERROR(__xludf.DUMMYFUNCTION("""COMPUTED_VALUE"""),45949.27919600727)</f>
        <v>45949.2792</v>
      </c>
      <c r="J258" s="15">
        <f>IFERROR(__xludf.DUMMYFUNCTION("""COMPUTED_VALUE"""),45949.02425194477)</f>
        <v>45949.02425</v>
      </c>
      <c r="K258" s="15">
        <f>IFERROR(__xludf.DUMMYFUNCTION("""COMPUTED_VALUE"""),45949.26830447191)</f>
        <v>45949.2683</v>
      </c>
      <c r="L258" s="4"/>
    </row>
    <row r="259">
      <c r="A259" s="1">
        <f>IFERROR(__xludf.DUMMYFUNCTION("""COMPUTED_VALUE"""),258.0)</f>
        <v>258</v>
      </c>
      <c r="B259" s="1">
        <f>IFERROR(__xludf.DUMMYFUNCTION("""COMPUTED_VALUE"""),5418.0)</f>
        <v>5418</v>
      </c>
      <c r="C259" s="2" t="str">
        <f>IFERROR(__xludf.DUMMYFUNCTION("""COMPUTED_VALUE"""),"Rudi_elfikr")</f>
        <v>Rudi_elfikr</v>
      </c>
      <c r="D259" s="2" t="str">
        <f>IFERROR(__xludf.DUMMYFUNCTION("""COMPUTED_VALUE"""),"5KM OVERALL M")</f>
        <v>5KM OVERALL M</v>
      </c>
      <c r="E259" s="1">
        <f>IFERROR(__xludf.DUMMYFUNCTION("""COMPUTED_VALUE"""),167.0)</f>
        <v>167</v>
      </c>
      <c r="F259" s="1" t="str">
        <f>IFERROR(__xludf.DUMMYFUNCTION("""COMPUTED_VALUE"""),"Male")</f>
        <v>Male</v>
      </c>
      <c r="G259" s="5">
        <f>IFERROR(__xludf.DUMMYFUNCTION("""COMPUTED_VALUE"""),0.004855944444444445)</f>
        <v>0.004855944444</v>
      </c>
      <c r="H259" s="15">
        <f>IFERROR(__xludf.DUMMYFUNCTION("""COMPUTED_VALUE"""),0.2549440625)</f>
        <v>0.2549440625</v>
      </c>
      <c r="I259" s="15">
        <f>IFERROR(__xludf.DUMMYFUNCTION("""COMPUTED_VALUE"""),45949.27922378886)</f>
        <v>45949.27922</v>
      </c>
      <c r="J259" s="15">
        <f>IFERROR(__xludf.DUMMYFUNCTION("""COMPUTED_VALUE"""),45949.024279726356)</f>
        <v>45949.02428</v>
      </c>
      <c r="K259" s="15">
        <f>IFERROR(__xludf.DUMMYFUNCTION("""COMPUTED_VALUE"""),45949.26942251876)</f>
        <v>45949.26942</v>
      </c>
      <c r="L259" s="4"/>
    </row>
    <row r="260">
      <c r="A260" s="1">
        <f>IFERROR(__xludf.DUMMYFUNCTION("""COMPUTED_VALUE"""),259.0)</f>
        <v>259</v>
      </c>
      <c r="B260" s="1">
        <f>IFERROR(__xludf.DUMMYFUNCTION("""COMPUTED_VALUE"""),5710.0)</f>
        <v>5710</v>
      </c>
      <c r="C260" s="2" t="str">
        <f>IFERROR(__xludf.DUMMYFUNCTION("""COMPUTED_VALUE"""),"Denis W.")</f>
        <v>Denis W.</v>
      </c>
      <c r="D260" s="2" t="str">
        <f>IFERROR(__xludf.DUMMYFUNCTION("""COMPUTED_VALUE"""),"5KM OVERALL M")</f>
        <v>5KM OVERALL M</v>
      </c>
      <c r="E260" s="1">
        <f>IFERROR(__xludf.DUMMYFUNCTION("""COMPUTED_VALUE"""),168.0)</f>
        <v>168</v>
      </c>
      <c r="F260" s="1" t="str">
        <f>IFERROR(__xludf.DUMMYFUNCTION("""COMPUTED_VALUE"""),"Male")</f>
        <v>Male</v>
      </c>
      <c r="G260" s="5">
        <f>IFERROR(__xludf.DUMMYFUNCTION("""COMPUTED_VALUE"""),0.004873305555555556)</f>
        <v>0.004873305556</v>
      </c>
      <c r="H260" s="15">
        <f>IFERROR(__xludf.DUMMYFUNCTION("""COMPUTED_VALUE"""),0.2549440625)</f>
        <v>0.2549440625</v>
      </c>
      <c r="I260" s="15">
        <f>IFERROR(__xludf.DUMMYFUNCTION("""COMPUTED_VALUE"""),45949.27931058954)</f>
        <v>45949.27931</v>
      </c>
      <c r="J260" s="15">
        <f>IFERROR(__xludf.DUMMYFUNCTION("""COMPUTED_VALUE"""),45949.02436652704)</f>
        <v>45949.02437</v>
      </c>
      <c r="K260" s="15">
        <f>IFERROR(__xludf.DUMMYFUNCTION("""COMPUTED_VALUE"""),45949.268193420154)</f>
        <v>45949.26819</v>
      </c>
      <c r="L260" s="4"/>
    </row>
    <row r="261">
      <c r="A261" s="1">
        <f>IFERROR(__xludf.DUMMYFUNCTION("""COMPUTED_VALUE"""),260.0)</f>
        <v>260</v>
      </c>
      <c r="B261" s="1">
        <f>IFERROR(__xludf.DUMMYFUNCTION("""COMPUTED_VALUE"""),5489.0)</f>
        <v>5489</v>
      </c>
      <c r="C261" s="2" t="str">
        <f>IFERROR(__xludf.DUMMYFUNCTION("""COMPUTED_VALUE"""),"fathurr")</f>
        <v>fathurr</v>
      </c>
      <c r="D261" s="2" t="str">
        <f>IFERROR(__xludf.DUMMYFUNCTION("""COMPUTED_VALUE"""),"5KM OVERALL M")</f>
        <v>5KM OVERALL M</v>
      </c>
      <c r="E261" s="1">
        <f>IFERROR(__xludf.DUMMYFUNCTION("""COMPUTED_VALUE"""),169.0)</f>
        <v>169</v>
      </c>
      <c r="F261" s="1" t="str">
        <f>IFERROR(__xludf.DUMMYFUNCTION("""COMPUTED_VALUE"""),"Male")</f>
        <v>Male</v>
      </c>
      <c r="G261" s="5">
        <f>IFERROR(__xludf.DUMMYFUNCTION("""COMPUTED_VALUE"""),0.00487330787037037)</f>
        <v>0.00487330787</v>
      </c>
      <c r="H261" s="15">
        <f>IFERROR(__xludf.DUMMYFUNCTION("""COMPUTED_VALUE"""),0.2549440625)</f>
        <v>0.2549440625</v>
      </c>
      <c r="I261" s="15">
        <f>IFERROR(__xludf.DUMMYFUNCTION("""COMPUTED_VALUE"""),45949.279310601625)</f>
        <v>45949.27931</v>
      </c>
      <c r="J261" s="15">
        <f>IFERROR(__xludf.DUMMYFUNCTION("""COMPUTED_VALUE"""),45949.024366539124)</f>
        <v>45949.02437</v>
      </c>
      <c r="K261" s="15">
        <f>IFERROR(__xludf.DUMMYFUNCTION("""COMPUTED_VALUE"""),45949.26945030497)</f>
        <v>45949.26945</v>
      </c>
      <c r="L261" s="4"/>
    </row>
    <row r="262">
      <c r="A262" s="1">
        <f>IFERROR(__xludf.DUMMYFUNCTION("""COMPUTED_VALUE"""),261.0)</f>
        <v>261</v>
      </c>
      <c r="B262" s="1">
        <f>IFERROR(__xludf.DUMMYFUNCTION("""COMPUTED_VALUE"""),6318.0)</f>
        <v>6318</v>
      </c>
      <c r="C262" s="2" t="str">
        <f>IFERROR(__xludf.DUMMYFUNCTION("""COMPUTED_VALUE"""),"AMY")</f>
        <v>AMY</v>
      </c>
      <c r="D262" s="2" t="str">
        <f>IFERROR(__xludf.DUMMYFUNCTION("""COMPUTED_VALUE"""),"5KM OVERALL M")</f>
        <v>5KM OVERALL M</v>
      </c>
      <c r="E262" s="1">
        <f>IFERROR(__xludf.DUMMYFUNCTION("""COMPUTED_VALUE"""),170.0)</f>
        <v>170</v>
      </c>
      <c r="F262" s="1" t="str">
        <f>IFERROR(__xludf.DUMMYFUNCTION("""COMPUTED_VALUE"""),"Male")</f>
        <v>Male</v>
      </c>
      <c r="G262" s="5">
        <f>IFERROR(__xludf.DUMMYFUNCTION("""COMPUTED_VALUE"""),0.004887194444444445)</f>
        <v>0.004887194444</v>
      </c>
      <c r="H262" s="15">
        <f>IFERROR(__xludf.DUMMYFUNCTION("""COMPUTED_VALUE"""),0.2549440625)</f>
        <v>0.2549440625</v>
      </c>
      <c r="I262" s="15">
        <f>IFERROR(__xludf.DUMMYFUNCTION("""COMPUTED_VALUE"""),45949.27938003225)</f>
        <v>45949.27938</v>
      </c>
      <c r="J262" s="15">
        <f>IFERROR(__xludf.DUMMYFUNCTION("""COMPUTED_VALUE"""),45949.024435969746)</f>
        <v>45949.02444</v>
      </c>
      <c r="K262" s="15">
        <f>IFERROR(__xludf.DUMMYFUNCTION("""COMPUTED_VALUE"""),45949.26822119813)</f>
        <v>45949.26822</v>
      </c>
      <c r="L262" s="4"/>
    </row>
    <row r="263">
      <c r="A263" s="1">
        <f>IFERROR(__xludf.DUMMYFUNCTION("""COMPUTED_VALUE"""),262.0)</f>
        <v>262</v>
      </c>
      <c r="B263" s="7" t="str">
        <f>IFERROR(__xludf.DUMMYFUNCTION("""COMPUTED_VALUE"""),"9001")</f>
        <v>9001</v>
      </c>
      <c r="C263" s="8" t="str">
        <f>IFERROR(__xludf.DUMMYFUNCTION("""COMPUTED_VALUE"""),"Raditya Ahmad")</f>
        <v>Raditya Ahmad</v>
      </c>
      <c r="D263" s="2" t="str">
        <f>IFERROR(__xludf.DUMMYFUNCTION("""COMPUTED_VALUE"""),"5KM STUDENT M")</f>
        <v>5KM STUDENT M</v>
      </c>
      <c r="E263" s="1">
        <f>IFERROR(__xludf.DUMMYFUNCTION("""COMPUTED_VALUE"""),33.0)</f>
        <v>33</v>
      </c>
      <c r="F263" s="1" t="str">
        <f>IFERROR(__xludf.DUMMYFUNCTION("""COMPUTED_VALUE"""),"Male")</f>
        <v>Male</v>
      </c>
      <c r="G263" s="5">
        <f>IFERROR(__xludf.DUMMYFUNCTION("""COMPUTED_VALUE"""),0.004888675925925926)</f>
        <v>0.004888675926</v>
      </c>
      <c r="H263" s="15">
        <f>IFERROR(__xludf.DUMMYFUNCTION("""COMPUTED_VALUE"""),0.2549440625)</f>
        <v>0.2549440625</v>
      </c>
      <c r="I263" s="15">
        <f>IFERROR(__xludf.DUMMYFUNCTION("""COMPUTED_VALUE"""),45949.279387437884)</f>
        <v>45949.27939</v>
      </c>
      <c r="J263" s="15">
        <f>IFERROR(__xludf.DUMMYFUNCTION("""COMPUTED_VALUE"""),45949.02444337538)</f>
        <v>45949.02444</v>
      </c>
      <c r="K263" s="15">
        <f>IFERROR(__xludf.DUMMYFUNCTION("""COMPUTED_VALUE"""),45949.27100237986)</f>
        <v>45949.271</v>
      </c>
      <c r="L263" s="4"/>
    </row>
    <row r="264">
      <c r="A264" s="1">
        <f>IFERROR(__xludf.DUMMYFUNCTION("""COMPUTED_VALUE"""),263.0)</f>
        <v>263</v>
      </c>
      <c r="B264" s="1">
        <f>IFERROR(__xludf.DUMMYFUNCTION("""COMPUTED_VALUE"""),5291.0)</f>
        <v>5291</v>
      </c>
      <c r="C264" s="2" t="str">
        <f>IFERROR(__xludf.DUMMYFUNCTION("""COMPUTED_VALUE"""),"KHAIRUR ROZIKIN")</f>
        <v>KHAIRUR ROZIKIN</v>
      </c>
      <c r="D264" s="2" t="str">
        <f>IFERROR(__xludf.DUMMYFUNCTION("""COMPUTED_VALUE"""),"5KM OVERALL M")</f>
        <v>5KM OVERALL M</v>
      </c>
      <c r="E264" s="1">
        <f>IFERROR(__xludf.DUMMYFUNCTION("""COMPUTED_VALUE"""),171.0)</f>
        <v>171</v>
      </c>
      <c r="F264" s="1" t="str">
        <f>IFERROR(__xludf.DUMMYFUNCTION("""COMPUTED_VALUE"""),"Male")</f>
        <v>Male</v>
      </c>
      <c r="G264" s="5">
        <f>IFERROR(__xludf.DUMMYFUNCTION("""COMPUTED_VALUE"""),0.004895666666666666)</f>
        <v>0.004895666667</v>
      </c>
      <c r="H264" s="15">
        <f>IFERROR(__xludf.DUMMYFUNCTION("""COMPUTED_VALUE"""),0.2549440625)</f>
        <v>0.2549440625</v>
      </c>
      <c r="I264" s="15">
        <f>IFERROR(__xludf.DUMMYFUNCTION("""COMPUTED_VALUE"""),45949.27942239125)</f>
        <v>45949.27942</v>
      </c>
      <c r="J264" s="15">
        <f>IFERROR(__xludf.DUMMYFUNCTION("""COMPUTED_VALUE"""),45949.02447832875)</f>
        <v>45949.02448</v>
      </c>
      <c r="K264" s="15">
        <f>IFERROR(__xludf.DUMMYFUNCTION("""COMPUTED_VALUE"""),45949.26746771276)</f>
        <v>45949.26747</v>
      </c>
      <c r="L264" s="4"/>
    </row>
    <row r="265">
      <c r="A265" s="1">
        <f>IFERROR(__xludf.DUMMYFUNCTION("""COMPUTED_VALUE"""),264.0)</f>
        <v>264</v>
      </c>
      <c r="B265" s="1">
        <f>IFERROR(__xludf.DUMMYFUNCTION("""COMPUTED_VALUE"""),5527.0)</f>
        <v>5527</v>
      </c>
      <c r="C265" s="2" t="str">
        <f>IFERROR(__xludf.DUMMYFUNCTION("""COMPUTED_VALUE"""),"M. Fajar")</f>
        <v>M. Fajar</v>
      </c>
      <c r="D265" s="2" t="str">
        <f>IFERROR(__xludf.DUMMYFUNCTION("""COMPUTED_VALUE"""),"5KM OVERALL M")</f>
        <v>5KM OVERALL M</v>
      </c>
      <c r="E265" s="1">
        <f>IFERROR(__xludf.DUMMYFUNCTION("""COMPUTED_VALUE"""),172.0)</f>
        <v>172</v>
      </c>
      <c r="F265" s="1" t="str">
        <f>IFERROR(__xludf.DUMMYFUNCTION("""COMPUTED_VALUE"""),"Male")</f>
        <v>Male</v>
      </c>
      <c r="G265" s="5">
        <f>IFERROR(__xludf.DUMMYFUNCTION("""COMPUTED_VALUE"""),0.004906638888888889)</f>
        <v>0.004906638889</v>
      </c>
      <c r="H265" s="15">
        <f>IFERROR(__xludf.DUMMYFUNCTION("""COMPUTED_VALUE"""),0.2549440625)</f>
        <v>0.2549440625</v>
      </c>
      <c r="I265" s="15">
        <f>IFERROR(__xludf.DUMMYFUNCTION("""COMPUTED_VALUE"""),45949.27947725898)</f>
        <v>45949.27948</v>
      </c>
      <c r="J265" s="15">
        <f>IFERROR(__xludf.DUMMYFUNCTION("""COMPUTED_VALUE"""),45949.024533196476)</f>
        <v>45949.02453</v>
      </c>
      <c r="K265" s="15">
        <f>IFERROR(__xludf.DUMMYFUNCTION("""COMPUTED_VALUE"""),45949.26856140764)</f>
        <v>45949.26856</v>
      </c>
      <c r="L265" s="4"/>
    </row>
    <row r="266">
      <c r="A266" s="1">
        <f>IFERROR(__xludf.DUMMYFUNCTION("""COMPUTED_VALUE"""),265.0)</f>
        <v>265</v>
      </c>
      <c r="B266" s="7" t="str">
        <f>IFERROR(__xludf.DUMMYFUNCTION("""COMPUTED_VALUE"""),"7124")</f>
        <v>7124</v>
      </c>
      <c r="C266" s="8" t="str">
        <f>IFERROR(__xludf.DUMMYFUNCTION("""COMPUTED_VALUE"""),"Rezaldo")</f>
        <v>Rezaldo</v>
      </c>
      <c r="D266" s="2" t="str">
        <f>IFERROR(__xludf.DUMMYFUNCTION("""COMPUTED_VALUE"""),"5KM MASTER M")</f>
        <v>5KM MASTER M</v>
      </c>
      <c r="E266" s="1">
        <f>IFERROR(__xludf.DUMMYFUNCTION("""COMPUTED_VALUE"""),26.0)</f>
        <v>26</v>
      </c>
      <c r="F266" s="1" t="str">
        <f>IFERROR(__xludf.DUMMYFUNCTION("""COMPUTED_VALUE"""),"Male")</f>
        <v>Male</v>
      </c>
      <c r="G266" s="5">
        <f>IFERROR(__xludf.DUMMYFUNCTION("""COMPUTED_VALUE"""),0.004913590277777777)</f>
        <v>0.004913590278</v>
      </c>
      <c r="H266" s="15">
        <f>IFERROR(__xludf.DUMMYFUNCTION("""COMPUTED_VALUE"""),0.2549440625)</f>
        <v>0.2549440625</v>
      </c>
      <c r="I266" s="15">
        <f>IFERROR(__xludf.DUMMYFUNCTION("""COMPUTED_VALUE"""),45949.27951201133)</f>
        <v>45949.27951</v>
      </c>
      <c r="J266" s="15">
        <f>IFERROR(__xludf.DUMMYFUNCTION("""COMPUTED_VALUE"""),45949.02456794883)</f>
        <v>45949.02457</v>
      </c>
      <c r="K266" s="15">
        <f>IFERROR(__xludf.DUMMYFUNCTION("""COMPUTED_VALUE"""),45949.26935308501)</f>
        <v>45949.26935</v>
      </c>
      <c r="L266" s="4"/>
    </row>
    <row r="267">
      <c r="A267" s="1">
        <f>IFERROR(__xludf.DUMMYFUNCTION("""COMPUTED_VALUE"""),266.0)</f>
        <v>266</v>
      </c>
      <c r="B267" s="1">
        <f>IFERROR(__xludf.DUMMYFUNCTION("""COMPUTED_VALUE"""),5665.0)</f>
        <v>5665</v>
      </c>
      <c r="C267" s="2" t="str">
        <f>IFERROR(__xludf.DUMMYFUNCTION("""COMPUTED_VALUE"""),"Lukas")</f>
        <v>Lukas</v>
      </c>
      <c r="D267" s="2" t="str">
        <f>IFERROR(__xludf.DUMMYFUNCTION("""COMPUTED_VALUE"""),"5KM OVERALL M")</f>
        <v>5KM OVERALL M</v>
      </c>
      <c r="E267" s="1">
        <f>IFERROR(__xludf.DUMMYFUNCTION("""COMPUTED_VALUE"""),173.0)</f>
        <v>173</v>
      </c>
      <c r="F267" s="1" t="str">
        <f>IFERROR(__xludf.DUMMYFUNCTION("""COMPUTED_VALUE"""),"Male")</f>
        <v>Male</v>
      </c>
      <c r="G267" s="5">
        <f>IFERROR(__xludf.DUMMYFUNCTION("""COMPUTED_VALUE"""),0.00491705787037037)</f>
        <v>0.00491705787</v>
      </c>
      <c r="H267" s="15">
        <f>IFERROR(__xludf.DUMMYFUNCTION("""COMPUTED_VALUE"""),0.2549440625)</f>
        <v>0.2549440625</v>
      </c>
      <c r="I267" s="15">
        <f>IFERROR(__xludf.DUMMYFUNCTION("""COMPUTED_VALUE"""),45949.27952935302)</f>
        <v>45949.27953</v>
      </c>
      <c r="J267" s="15">
        <f>IFERROR(__xludf.DUMMYFUNCTION("""COMPUTED_VALUE"""),45949.02458529052)</f>
        <v>45949.02459</v>
      </c>
      <c r="K267" s="15">
        <f>IFERROR(__xludf.DUMMYFUNCTION("""COMPUTED_VALUE"""),45949.27010660455)</f>
        <v>45949.27011</v>
      </c>
      <c r="L267" s="4"/>
    </row>
    <row r="268">
      <c r="A268" s="1">
        <f>IFERROR(__xludf.DUMMYFUNCTION("""COMPUTED_VALUE"""),267.0)</f>
        <v>267</v>
      </c>
      <c r="B268" s="7" t="str">
        <f>IFERROR(__xludf.DUMMYFUNCTION("""COMPUTED_VALUE"""),"7120")</f>
        <v>7120</v>
      </c>
      <c r="C268" s="8" t="str">
        <f>IFERROR(__xludf.DUMMYFUNCTION("""COMPUTED_VALUE"""),"Eko SP")</f>
        <v>Eko SP</v>
      </c>
      <c r="D268" s="2" t="str">
        <f>IFERROR(__xludf.DUMMYFUNCTION("""COMPUTED_VALUE"""),"5KM MASTER M")</f>
        <v>5KM MASTER M</v>
      </c>
      <c r="E268" s="1">
        <f>IFERROR(__xludf.DUMMYFUNCTION("""COMPUTED_VALUE"""),27.0)</f>
        <v>27</v>
      </c>
      <c r="F268" s="1" t="str">
        <f>IFERROR(__xludf.DUMMYFUNCTION("""COMPUTED_VALUE"""),"Male")</f>
        <v>Male</v>
      </c>
      <c r="G268" s="5">
        <f>IFERROR(__xludf.DUMMYFUNCTION("""COMPUTED_VALUE"""),0.004924)</f>
        <v>0.004924</v>
      </c>
      <c r="H268" s="15">
        <f>IFERROR(__xludf.DUMMYFUNCTION("""COMPUTED_VALUE"""),0.2549440625)</f>
        <v>0.2549440625</v>
      </c>
      <c r="I268" s="15">
        <f>IFERROR(__xludf.DUMMYFUNCTION("""COMPUTED_VALUE"""),45949.2795640638)</f>
        <v>45949.27956</v>
      </c>
      <c r="J268" s="15">
        <f>IFERROR(__xludf.DUMMYFUNCTION("""COMPUTED_VALUE"""),45949.0246200013)</f>
        <v>45949.02462</v>
      </c>
      <c r="K268" s="15">
        <f>IFERROR(__xludf.DUMMYFUNCTION("""COMPUTED_VALUE"""),45949.26936778407)</f>
        <v>45949.26937</v>
      </c>
      <c r="L268" s="4"/>
    </row>
    <row r="269">
      <c r="A269" s="1">
        <f>IFERROR(__xludf.DUMMYFUNCTION("""COMPUTED_VALUE"""),268.0)</f>
        <v>268</v>
      </c>
      <c r="B269" s="1">
        <f>IFERROR(__xludf.DUMMYFUNCTION("""COMPUTED_VALUE"""),6190.0)</f>
        <v>6190</v>
      </c>
      <c r="C269" s="2" t="str">
        <f>IFERROR(__xludf.DUMMYFUNCTION("""COMPUTED_VALUE"""),"suharji")</f>
        <v>suharji</v>
      </c>
      <c r="D269" s="2" t="str">
        <f>IFERROR(__xludf.DUMMYFUNCTION("""COMPUTED_VALUE"""),"5KM OVERALL M")</f>
        <v>5KM OVERALL M</v>
      </c>
      <c r="E269" s="1">
        <f>IFERROR(__xludf.DUMMYFUNCTION("""COMPUTED_VALUE"""),174.0)</f>
        <v>174</v>
      </c>
      <c r="F269" s="1" t="str">
        <f>IFERROR(__xludf.DUMMYFUNCTION("""COMPUTED_VALUE"""),"Male")</f>
        <v>Male</v>
      </c>
      <c r="G269" s="5">
        <f>IFERROR(__xludf.DUMMYFUNCTION("""COMPUTED_VALUE"""),0.004925506944444444)</f>
        <v>0.004925506944</v>
      </c>
      <c r="H269" s="15">
        <f>IFERROR(__xludf.DUMMYFUNCTION("""COMPUTED_VALUE"""),0.2549440625)</f>
        <v>0.2549440625</v>
      </c>
      <c r="I269" s="15">
        <f>IFERROR(__xludf.DUMMYFUNCTION("""COMPUTED_VALUE"""),45949.27957159772)</f>
        <v>45949.27957</v>
      </c>
      <c r="J269" s="15">
        <f>IFERROR(__xludf.DUMMYFUNCTION("""COMPUTED_VALUE"""),45949.02462753522)</f>
        <v>45949.02463</v>
      </c>
      <c r="K269" s="15">
        <f>IFERROR(__xludf.DUMMYFUNCTION("""COMPUTED_VALUE"""),45949.2686032536)</f>
        <v>45949.2686</v>
      </c>
      <c r="L269" s="4"/>
    </row>
    <row r="270">
      <c r="A270" s="1">
        <f>IFERROR(__xludf.DUMMYFUNCTION("""COMPUTED_VALUE"""),269.0)</f>
        <v>269</v>
      </c>
      <c r="B270" s="1">
        <f>IFERROR(__xludf.DUMMYFUNCTION("""COMPUTED_VALUE"""),5540.0)</f>
        <v>5540</v>
      </c>
      <c r="C270" s="2" t="str">
        <f>IFERROR(__xludf.DUMMYFUNCTION("""COMPUTED_VALUE"""),"Upal")</f>
        <v>Upal</v>
      </c>
      <c r="D270" s="2" t="str">
        <f>IFERROR(__xludf.DUMMYFUNCTION("""COMPUTED_VALUE"""),"5KM OVERALL M")</f>
        <v>5KM OVERALL M</v>
      </c>
      <c r="E270" s="1">
        <f>IFERROR(__xludf.DUMMYFUNCTION("""COMPUTED_VALUE"""),175.0)</f>
        <v>175</v>
      </c>
      <c r="F270" s="1" t="str">
        <f>IFERROR(__xludf.DUMMYFUNCTION("""COMPUTED_VALUE"""),"Male")</f>
        <v>Male</v>
      </c>
      <c r="G270" s="5">
        <f>IFERROR(__xludf.DUMMYFUNCTION("""COMPUTED_VALUE"""),0.004930949074074075)</f>
        <v>0.004930949074</v>
      </c>
      <c r="H270" s="15">
        <f>IFERROR(__xludf.DUMMYFUNCTION("""COMPUTED_VALUE"""),0.2549440625)</f>
        <v>0.2549440625</v>
      </c>
      <c r="I270" s="15">
        <f>IFERROR(__xludf.DUMMYFUNCTION("""COMPUTED_VALUE"""),45949.27959880421)</f>
        <v>45949.2796</v>
      </c>
      <c r="J270" s="15">
        <f>IFERROR(__xludf.DUMMYFUNCTION("""COMPUTED_VALUE"""),45949.02465474171)</f>
        <v>45949.02465</v>
      </c>
      <c r="K270" s="15">
        <f>IFERROR(__xludf.DUMMYFUNCTION("""COMPUTED_VALUE"""),45949.269943365856)</f>
        <v>45949.26994</v>
      </c>
      <c r="L270" s="4"/>
    </row>
    <row r="271">
      <c r="A271" s="1">
        <f>IFERROR(__xludf.DUMMYFUNCTION("""COMPUTED_VALUE"""),270.0)</f>
        <v>270</v>
      </c>
      <c r="B271" s="1">
        <f>IFERROR(__xludf.DUMMYFUNCTION("""COMPUTED_VALUE"""),5200.0)</f>
        <v>5200</v>
      </c>
      <c r="C271" s="2" t="str">
        <f>IFERROR(__xludf.DUMMYFUNCTION("""COMPUTED_VALUE"""),"Hakim")</f>
        <v>Hakim</v>
      </c>
      <c r="D271" s="2" t="str">
        <f>IFERROR(__xludf.DUMMYFUNCTION("""COMPUTED_VALUE"""),"5KM OVERALL M")</f>
        <v>5KM OVERALL M</v>
      </c>
      <c r="E271" s="1">
        <f>IFERROR(__xludf.DUMMYFUNCTION("""COMPUTED_VALUE"""),176.0)</f>
        <v>176</v>
      </c>
      <c r="F271" s="1" t="str">
        <f>IFERROR(__xludf.DUMMYFUNCTION("""COMPUTED_VALUE"""),"Male")</f>
        <v>Male</v>
      </c>
      <c r="G271" s="5">
        <f>IFERROR(__xludf.DUMMYFUNCTION("""COMPUTED_VALUE"""),0.004930949074074075)</f>
        <v>0.004930949074</v>
      </c>
      <c r="H271" s="15">
        <f>IFERROR(__xludf.DUMMYFUNCTION("""COMPUTED_VALUE"""),0.2549440625)</f>
        <v>0.2549440625</v>
      </c>
      <c r="I271" s="15">
        <f>IFERROR(__xludf.DUMMYFUNCTION("""COMPUTED_VALUE"""),45949.27959880421)</f>
        <v>45949.2796</v>
      </c>
      <c r="J271" s="15">
        <f>IFERROR(__xludf.DUMMYFUNCTION("""COMPUTED_VALUE"""),45949.02465474171)</f>
        <v>45949.02465</v>
      </c>
      <c r="K271" s="15">
        <f>IFERROR(__xludf.DUMMYFUNCTION("""COMPUTED_VALUE"""),45949.26797807893)</f>
        <v>45949.26798</v>
      </c>
      <c r="L271" s="4"/>
    </row>
    <row r="272">
      <c r="A272" s="1">
        <f>IFERROR(__xludf.DUMMYFUNCTION("""COMPUTED_VALUE"""),271.0)</f>
        <v>271</v>
      </c>
      <c r="B272" s="1">
        <f>IFERROR(__xludf.DUMMYFUNCTION("""COMPUTED_VALUE"""),5413.0)</f>
        <v>5413</v>
      </c>
      <c r="C272" s="2" t="str">
        <f>IFERROR(__xludf.DUMMYFUNCTION("""COMPUTED_VALUE"""),"LUSI INTI R")</f>
        <v>LUSI INTI R</v>
      </c>
      <c r="D272" s="2" t="str">
        <f>IFERROR(__xludf.DUMMYFUNCTION("""COMPUTED_VALUE"""),"5KM OVERALL F")</f>
        <v>5KM OVERALL F</v>
      </c>
      <c r="E272" s="1">
        <f>IFERROR(__xludf.DUMMYFUNCTION("""COMPUTED_VALUE"""),23.0)</f>
        <v>23</v>
      </c>
      <c r="F272" s="1" t="str">
        <f>IFERROR(__xludf.DUMMYFUNCTION("""COMPUTED_VALUE"""),"Female")</f>
        <v>Female</v>
      </c>
      <c r="G272" s="5">
        <f>IFERROR(__xludf.DUMMYFUNCTION("""COMPUTED_VALUE"""),0.004932337962962963)</f>
        <v>0.004932337963</v>
      </c>
      <c r="H272" s="15">
        <f>IFERROR(__xludf.DUMMYFUNCTION("""COMPUTED_VALUE"""),0.2549440625)</f>
        <v>0.2549440625</v>
      </c>
      <c r="I272" s="15">
        <f>IFERROR(__xludf.DUMMYFUNCTION("""COMPUTED_VALUE"""),45949.27960574794)</f>
        <v>45949.27961</v>
      </c>
      <c r="J272" s="15">
        <f>IFERROR(__xludf.DUMMYFUNCTION("""COMPUTED_VALUE"""),45949.02466168544)</f>
        <v>45949.02466</v>
      </c>
      <c r="K272" s="15">
        <f>IFERROR(__xludf.DUMMYFUNCTION("""COMPUTED_VALUE"""),45949.26855446152)</f>
        <v>45949.26855</v>
      </c>
      <c r="L272" s="4"/>
    </row>
    <row r="273">
      <c r="A273" s="1">
        <f>IFERROR(__xludf.DUMMYFUNCTION("""COMPUTED_VALUE"""),272.0)</f>
        <v>272</v>
      </c>
      <c r="B273" s="1">
        <f>IFERROR(__xludf.DUMMYFUNCTION("""COMPUTED_VALUE"""),5930.0)</f>
        <v>5930</v>
      </c>
      <c r="C273" s="2" t="str">
        <f>IFERROR(__xludf.DUMMYFUNCTION("""COMPUTED_VALUE"""),"AldiFatwa")</f>
        <v>AldiFatwa</v>
      </c>
      <c r="D273" s="2" t="str">
        <f>IFERROR(__xludf.DUMMYFUNCTION("""COMPUTED_VALUE"""),"5KM OVERALL M")</f>
        <v>5KM OVERALL M</v>
      </c>
      <c r="E273" s="1">
        <f>IFERROR(__xludf.DUMMYFUNCTION("""COMPUTED_VALUE"""),177.0)</f>
        <v>177</v>
      </c>
      <c r="F273" s="1" t="str">
        <f>IFERROR(__xludf.DUMMYFUNCTION("""COMPUTED_VALUE"""),"Male")</f>
        <v>Male</v>
      </c>
      <c r="G273" s="5">
        <f>IFERROR(__xludf.DUMMYFUNCTION("""COMPUTED_VALUE"""),0.004941361111111112)</f>
        <v>0.004941361111</v>
      </c>
      <c r="H273" s="15">
        <f>IFERROR(__xludf.DUMMYFUNCTION("""COMPUTED_VALUE"""),0.2549440625)</f>
        <v>0.2549440625</v>
      </c>
      <c r="I273" s="15">
        <f>IFERROR(__xludf.DUMMYFUNCTION("""COMPUTED_VALUE"""),45949.27965087173)</f>
        <v>45949.27965</v>
      </c>
      <c r="J273" s="15">
        <f>IFERROR(__xludf.DUMMYFUNCTION("""COMPUTED_VALUE"""),45949.02470680923)</f>
        <v>45949.02471</v>
      </c>
      <c r="K273" s="15">
        <f>IFERROR(__xludf.DUMMYFUNCTION("""COMPUTED_VALUE"""),45949.26794335059)</f>
        <v>45949.26794</v>
      </c>
      <c r="L273" s="4"/>
    </row>
    <row r="274">
      <c r="A274" s="1">
        <f>IFERROR(__xludf.DUMMYFUNCTION("""COMPUTED_VALUE"""),273.0)</f>
        <v>273</v>
      </c>
      <c r="B274" s="1">
        <f>IFERROR(__xludf.DUMMYFUNCTION("""COMPUTED_VALUE"""),6419.0)</f>
        <v>6419</v>
      </c>
      <c r="C274" s="2" t="str">
        <f>IFERROR(__xludf.DUMMYFUNCTION("""COMPUTED_VALUE"""),"WAHYU DWI SISWANTO")</f>
        <v>WAHYU DWI SISWANTO</v>
      </c>
      <c r="D274" s="2" t="str">
        <f>IFERROR(__xludf.DUMMYFUNCTION("""COMPUTED_VALUE"""),"5KM OVERALL M")</f>
        <v>5KM OVERALL M</v>
      </c>
      <c r="E274" s="1">
        <f>IFERROR(__xludf.DUMMYFUNCTION("""COMPUTED_VALUE"""),178.0)</f>
        <v>178</v>
      </c>
      <c r="F274" s="1" t="str">
        <f>IFERROR(__xludf.DUMMYFUNCTION("""COMPUTED_VALUE"""),"Male")</f>
        <v>Male</v>
      </c>
      <c r="G274" s="5">
        <f>IFERROR(__xludf.DUMMYFUNCTION("""COMPUTED_VALUE"""),0.004946407407407407)</f>
        <v>0.004946407407</v>
      </c>
      <c r="H274" s="15">
        <f>IFERROR(__xludf.DUMMYFUNCTION("""COMPUTED_VALUE"""),0.2549440625)</f>
        <v>0.2549440625</v>
      </c>
      <c r="I274" s="15">
        <f>IFERROR(__xludf.DUMMYFUNCTION("""COMPUTED_VALUE"""),45949.27967610022)</f>
        <v>45949.27968</v>
      </c>
      <c r="J274" s="15">
        <f>IFERROR(__xludf.DUMMYFUNCTION("""COMPUTED_VALUE"""),45949.02473203772)</f>
        <v>45949.02473</v>
      </c>
      <c r="K274" s="15">
        <f>IFERROR(__xludf.DUMMYFUNCTION("""COMPUTED_VALUE"""),45949.26922809077)</f>
        <v>45949.26923</v>
      </c>
      <c r="L274" s="4"/>
    </row>
    <row r="275">
      <c r="A275" s="1">
        <f>IFERROR(__xludf.DUMMYFUNCTION("""COMPUTED_VALUE"""),274.0)</f>
        <v>274</v>
      </c>
      <c r="B275" s="1">
        <f>IFERROR(__xludf.DUMMYFUNCTION("""COMPUTED_VALUE"""),5677.0)</f>
        <v>5677</v>
      </c>
      <c r="C275" s="2" t="str">
        <f>IFERROR(__xludf.DUMMYFUNCTION("""COMPUTED_VALUE"""),"Ammar seff")</f>
        <v>Ammar seff</v>
      </c>
      <c r="D275" s="2" t="str">
        <f>IFERROR(__xludf.DUMMYFUNCTION("""COMPUTED_VALUE"""),"5KM OVERALL M")</f>
        <v>5KM OVERALL M</v>
      </c>
      <c r="E275" s="1">
        <f>IFERROR(__xludf.DUMMYFUNCTION("""COMPUTED_VALUE"""),179.0)</f>
        <v>179</v>
      </c>
      <c r="F275" s="1" t="str">
        <f>IFERROR(__xludf.DUMMYFUNCTION("""COMPUTED_VALUE"""),"Male")</f>
        <v>Male</v>
      </c>
      <c r="G275" s="5">
        <f>IFERROR(__xludf.DUMMYFUNCTION("""COMPUTED_VALUE"""),0.004946907407407407)</f>
        <v>0.004946907407</v>
      </c>
      <c r="H275" s="15">
        <f>IFERROR(__xludf.DUMMYFUNCTION("""COMPUTED_VALUE"""),0.2549440625)</f>
        <v>0.2549440625</v>
      </c>
      <c r="I275" s="15">
        <f>IFERROR(__xludf.DUMMYFUNCTION("""COMPUTED_VALUE"""),45949.27967860525)</f>
        <v>45949.27968</v>
      </c>
      <c r="J275" s="15">
        <f>IFERROR(__xludf.DUMMYFUNCTION("""COMPUTED_VALUE"""),45949.02473454275)</f>
        <v>45949.02473</v>
      </c>
      <c r="K275" s="15">
        <f>IFERROR(__xludf.DUMMYFUNCTION("""COMPUTED_VALUE"""),45949.267342674284)</f>
        <v>45949.26734</v>
      </c>
      <c r="L275" s="4"/>
    </row>
    <row r="276">
      <c r="A276" s="1">
        <f>IFERROR(__xludf.DUMMYFUNCTION("""COMPUTED_VALUE"""),275.0)</f>
        <v>275</v>
      </c>
      <c r="B276" s="1">
        <f>IFERROR(__xludf.DUMMYFUNCTION("""COMPUTED_VALUE"""),5325.0)</f>
        <v>5325</v>
      </c>
      <c r="C276" s="2" t="str">
        <f>IFERROR(__xludf.DUMMYFUNCTION("""COMPUTED_VALUE"""),"Furqoon02")</f>
        <v>Furqoon02</v>
      </c>
      <c r="D276" s="2" t="str">
        <f>IFERROR(__xludf.DUMMYFUNCTION("""COMPUTED_VALUE"""),"5KM OVERALL M")</f>
        <v>5KM OVERALL M</v>
      </c>
      <c r="E276" s="1">
        <f>IFERROR(__xludf.DUMMYFUNCTION("""COMPUTED_VALUE"""),180.0)</f>
        <v>180</v>
      </c>
      <c r="F276" s="1" t="str">
        <f>IFERROR(__xludf.DUMMYFUNCTION("""COMPUTED_VALUE"""),"Male")</f>
        <v>Male</v>
      </c>
      <c r="G276" s="5">
        <f>IFERROR(__xludf.DUMMYFUNCTION("""COMPUTED_VALUE"""),0.004949902777777778)</f>
        <v>0.004949902778</v>
      </c>
      <c r="H276" s="15">
        <f>IFERROR(__xludf.DUMMYFUNCTION("""COMPUTED_VALUE"""),0.2549440625)</f>
        <v>0.2549440625</v>
      </c>
      <c r="I276" s="15">
        <f>IFERROR(__xludf.DUMMYFUNCTION("""COMPUTED_VALUE"""),45949.27969357316)</f>
        <v>45949.27969</v>
      </c>
      <c r="J276" s="15">
        <f>IFERROR(__xludf.DUMMYFUNCTION("""COMPUTED_VALUE"""),45949.02474951066)</f>
        <v>45949.02475</v>
      </c>
      <c r="K276" s="15">
        <f>IFERROR(__xludf.DUMMYFUNCTION("""COMPUTED_VALUE"""),45949.26979406311)</f>
        <v>45949.26979</v>
      </c>
      <c r="L276" s="4"/>
    </row>
    <row r="277">
      <c r="A277" s="1">
        <f>IFERROR(__xludf.DUMMYFUNCTION("""COMPUTED_VALUE"""),276.0)</f>
        <v>276</v>
      </c>
      <c r="B277" s="1">
        <f>IFERROR(__xludf.DUMMYFUNCTION("""COMPUTED_VALUE"""),5709.0)</f>
        <v>5709</v>
      </c>
      <c r="C277" s="2" t="str">
        <f>IFERROR(__xludf.DUMMYFUNCTION("""COMPUTED_VALUE"""),"Dody Indrawan")</f>
        <v>Dody Indrawan</v>
      </c>
      <c r="D277" s="2" t="str">
        <f>IFERROR(__xludf.DUMMYFUNCTION("""COMPUTED_VALUE"""),"5KM OVERALL M")</f>
        <v>5KM OVERALL M</v>
      </c>
      <c r="E277" s="1">
        <f>IFERROR(__xludf.DUMMYFUNCTION("""COMPUTED_VALUE"""),181.0)</f>
        <v>181</v>
      </c>
      <c r="F277" s="1" t="str">
        <f>IFERROR(__xludf.DUMMYFUNCTION("""COMPUTED_VALUE"""),"Male")</f>
        <v>Male</v>
      </c>
      <c r="G277" s="5">
        <f>IFERROR(__xludf.DUMMYFUNCTION("""COMPUTED_VALUE"""),0.0049524745370370365)</f>
        <v>0.004952474537</v>
      </c>
      <c r="H277" s="15">
        <f>IFERROR(__xludf.DUMMYFUNCTION("""COMPUTED_VALUE"""),0.2549440625)</f>
        <v>0.2549440625</v>
      </c>
      <c r="I277" s="15">
        <f>IFERROR(__xludf.DUMMYFUNCTION("""COMPUTED_VALUE"""),45949.2797064323)</f>
        <v>45949.27971</v>
      </c>
      <c r="J277" s="15">
        <f>IFERROR(__xludf.DUMMYFUNCTION("""COMPUTED_VALUE"""),45949.0247623698)</f>
        <v>45949.02476</v>
      </c>
      <c r="K277" s="15">
        <f>IFERROR(__xludf.DUMMYFUNCTION("""COMPUTED_VALUE"""),45949.26983225248)</f>
        <v>45949.26983</v>
      </c>
      <c r="L277" s="4"/>
    </row>
    <row r="278">
      <c r="A278" s="1">
        <f>IFERROR(__xludf.DUMMYFUNCTION("""COMPUTED_VALUE"""),277.0)</f>
        <v>277</v>
      </c>
      <c r="B278" s="7" t="str">
        <f>IFERROR(__xludf.DUMMYFUNCTION("""COMPUTED_VALUE"""),"9066")</f>
        <v>9066</v>
      </c>
      <c r="C278" s="8" t="str">
        <f>IFERROR(__xludf.DUMMYFUNCTION("""COMPUTED_VALUE"""),"Djaki")</f>
        <v>Djaki</v>
      </c>
      <c r="D278" s="2" t="str">
        <f>IFERROR(__xludf.DUMMYFUNCTION("""COMPUTED_VALUE"""),"5KM STUDENT M")</f>
        <v>5KM STUDENT M</v>
      </c>
      <c r="E278" s="1">
        <f>IFERROR(__xludf.DUMMYFUNCTION("""COMPUTED_VALUE"""),34.0)</f>
        <v>34</v>
      </c>
      <c r="F278" s="1" t="str">
        <f>IFERROR(__xludf.DUMMYFUNCTION("""COMPUTED_VALUE"""),"Male")</f>
        <v>Male</v>
      </c>
      <c r="G278" s="5">
        <f>IFERROR(__xludf.DUMMYFUNCTION("""COMPUTED_VALUE"""),0.004959416666666666)</f>
        <v>0.004959416667</v>
      </c>
      <c r="H278" s="15">
        <f>IFERROR(__xludf.DUMMYFUNCTION("""COMPUTED_VALUE"""),0.2549440625)</f>
        <v>0.2549440625</v>
      </c>
      <c r="I278" s="15">
        <f>IFERROR(__xludf.DUMMYFUNCTION("""COMPUTED_VALUE"""),45949.27974114426)</f>
        <v>45949.27974</v>
      </c>
      <c r="J278" s="15">
        <f>IFERROR(__xludf.DUMMYFUNCTION("""COMPUTED_VALUE"""),45949.02479708176)</f>
        <v>45949.0248</v>
      </c>
      <c r="K278" s="15">
        <f>IFERROR(__xludf.DUMMYFUNCTION("""COMPUTED_VALUE"""),45949.2697072454)</f>
        <v>45949.26971</v>
      </c>
      <c r="L278" s="4"/>
    </row>
    <row r="279">
      <c r="A279" s="1">
        <f>IFERROR(__xludf.DUMMYFUNCTION("""COMPUTED_VALUE"""),278.0)</f>
        <v>278</v>
      </c>
      <c r="B279" s="1">
        <f>IFERROR(__xludf.DUMMYFUNCTION("""COMPUTED_VALUE"""),5355.0)</f>
        <v>5355</v>
      </c>
      <c r="C279" s="2" t="str">
        <f>IFERROR(__xludf.DUMMYFUNCTION("""COMPUTED_VALUE"""),"Amenk")</f>
        <v>Amenk</v>
      </c>
      <c r="D279" s="2" t="str">
        <f>IFERROR(__xludf.DUMMYFUNCTION("""COMPUTED_VALUE"""),"5KM OVERALL M")</f>
        <v>5KM OVERALL M</v>
      </c>
      <c r="E279" s="1">
        <f>IFERROR(__xludf.DUMMYFUNCTION("""COMPUTED_VALUE"""),182.0)</f>
        <v>182</v>
      </c>
      <c r="F279" s="1" t="str">
        <f>IFERROR(__xludf.DUMMYFUNCTION("""COMPUTED_VALUE"""),"Male")</f>
        <v>Male</v>
      </c>
      <c r="G279" s="5">
        <f>IFERROR(__xludf.DUMMYFUNCTION("""COMPUTED_VALUE"""),0.004968456018518519)</f>
        <v>0.004968456019</v>
      </c>
      <c r="H279" s="15">
        <f>IFERROR(__xludf.DUMMYFUNCTION("""COMPUTED_VALUE"""),0.2549440625)</f>
        <v>0.2549440625</v>
      </c>
      <c r="I279" s="15">
        <f>IFERROR(__xludf.DUMMYFUNCTION("""COMPUTED_VALUE"""),45949.27978633935)</f>
        <v>45949.27979</v>
      </c>
      <c r="J279" s="15">
        <f>IFERROR(__xludf.DUMMYFUNCTION("""COMPUTED_VALUE"""),45949.02484227685)</f>
        <v>45949.02484</v>
      </c>
      <c r="K279" s="15">
        <f>IFERROR(__xludf.DUMMYFUNCTION("""COMPUTED_VALUE"""),45949.269954402356)</f>
        <v>45949.26995</v>
      </c>
      <c r="L279" s="4"/>
    </row>
    <row r="280">
      <c r="A280" s="1">
        <f>IFERROR(__xludf.DUMMYFUNCTION("""COMPUTED_VALUE"""),279.0)</f>
        <v>279</v>
      </c>
      <c r="B280" s="1">
        <f>IFERROR(__xludf.DUMMYFUNCTION("""COMPUTED_VALUE"""),5441.0)</f>
        <v>5441</v>
      </c>
      <c r="C280" s="2" t="str">
        <f>IFERROR(__xludf.DUMMYFUNCTION("""COMPUTED_VALUE"""),"cipto")</f>
        <v>cipto</v>
      </c>
      <c r="D280" s="2" t="str">
        <f>IFERROR(__xludf.DUMMYFUNCTION("""COMPUTED_VALUE"""),"5KM OVERALL M")</f>
        <v>5KM OVERALL M</v>
      </c>
      <c r="E280" s="1">
        <f>IFERROR(__xludf.DUMMYFUNCTION("""COMPUTED_VALUE"""),183.0)</f>
        <v>183</v>
      </c>
      <c r="F280" s="1" t="str">
        <f>IFERROR(__xludf.DUMMYFUNCTION("""COMPUTED_VALUE"""),"Male")</f>
        <v>Male</v>
      </c>
      <c r="G280" s="5">
        <f>IFERROR(__xludf.DUMMYFUNCTION("""COMPUTED_VALUE"""),0.004970530092592592)</f>
        <v>0.004970530093</v>
      </c>
      <c r="H280" s="15">
        <f>IFERROR(__xludf.DUMMYFUNCTION("""COMPUTED_VALUE"""),0.2549440625)</f>
        <v>0.2549440625</v>
      </c>
      <c r="I280" s="15">
        <f>IFERROR(__xludf.DUMMYFUNCTION("""COMPUTED_VALUE"""),45949.27979671838)</f>
        <v>45949.2798</v>
      </c>
      <c r="J280" s="15">
        <f>IFERROR(__xludf.DUMMYFUNCTION("""COMPUTED_VALUE"""),45949.02485265588)</f>
        <v>45949.02485</v>
      </c>
      <c r="K280" s="15">
        <f>IFERROR(__xludf.DUMMYFUNCTION("""COMPUTED_VALUE"""),45949.27001633593)</f>
        <v>45949.27002</v>
      </c>
      <c r="L280" s="4"/>
    </row>
    <row r="281">
      <c r="A281" s="1">
        <f>IFERROR(__xludf.DUMMYFUNCTION("""COMPUTED_VALUE"""),280.0)</f>
        <v>280</v>
      </c>
      <c r="B281" s="1">
        <f>IFERROR(__xludf.DUMMYFUNCTION("""COMPUTED_VALUE"""),6578.0)</f>
        <v>6578</v>
      </c>
      <c r="C281" s="2" t="str">
        <f>IFERROR(__xludf.DUMMYFUNCTION("""COMPUTED_VALUE"""),"Begawan Ranu")</f>
        <v>Begawan Ranu</v>
      </c>
      <c r="D281" s="2" t="str">
        <f>IFERROR(__xludf.DUMMYFUNCTION("""COMPUTED_VALUE"""),"5KM OVERALL M")</f>
        <v>5KM OVERALL M</v>
      </c>
      <c r="E281" s="1">
        <f>IFERROR(__xludf.DUMMYFUNCTION("""COMPUTED_VALUE"""),184.0)</f>
        <v>184</v>
      </c>
      <c r="F281" s="1" t="str">
        <f>IFERROR(__xludf.DUMMYFUNCTION("""COMPUTED_VALUE"""),"Male")</f>
        <v>Male</v>
      </c>
      <c r="G281" s="5">
        <f>IFERROR(__xludf.DUMMYFUNCTION("""COMPUTED_VALUE"""),0.004978780092592593)</f>
        <v>0.004978780093</v>
      </c>
      <c r="H281" s="15">
        <f>IFERROR(__xludf.DUMMYFUNCTION("""COMPUTED_VALUE"""),0.2549440625)</f>
        <v>0.2549440625</v>
      </c>
      <c r="I281" s="15">
        <f>IFERROR(__xludf.DUMMYFUNCTION("""COMPUTED_VALUE"""),45949.27983796296)</f>
        <v>45949.27984</v>
      </c>
      <c r="J281" s="15">
        <f>IFERROR(__xludf.DUMMYFUNCTION("""COMPUTED_VALUE"""),45949.02489390046)</f>
        <v>45949.02489</v>
      </c>
      <c r="K281" s="15">
        <f>IFERROR(__xludf.DUMMYFUNCTION("""COMPUTED_VALUE"""),45949.26910310946)</f>
        <v>45949.2691</v>
      </c>
      <c r="L281" s="4"/>
    </row>
    <row r="282">
      <c r="A282" s="1">
        <f>IFERROR(__xludf.DUMMYFUNCTION("""COMPUTED_VALUE"""),281.0)</f>
        <v>281</v>
      </c>
      <c r="B282" s="1">
        <f>IFERROR(__xludf.DUMMYFUNCTION("""COMPUTED_VALUE"""),5342.0)</f>
        <v>5342</v>
      </c>
      <c r="C282" s="2" t="str">
        <f>IFERROR(__xludf.DUMMYFUNCTION("""COMPUTED_VALUE"""),"Dini Ayu")</f>
        <v>Dini Ayu</v>
      </c>
      <c r="D282" s="2" t="str">
        <f>IFERROR(__xludf.DUMMYFUNCTION("""COMPUTED_VALUE"""),"5KM OVERALL F")</f>
        <v>5KM OVERALL F</v>
      </c>
      <c r="E282" s="1">
        <f>IFERROR(__xludf.DUMMYFUNCTION("""COMPUTED_VALUE"""),24.0)</f>
        <v>24</v>
      </c>
      <c r="F282" s="1" t="str">
        <f>IFERROR(__xludf.DUMMYFUNCTION("""COMPUTED_VALUE"""),"Female")</f>
        <v>Female</v>
      </c>
      <c r="G282" s="5">
        <f>IFERROR(__xludf.DUMMYFUNCTION("""COMPUTED_VALUE"""),0.00498025)</f>
        <v>0.00498025</v>
      </c>
      <c r="H282" s="15">
        <f>IFERROR(__xludf.DUMMYFUNCTION("""COMPUTED_VALUE"""),0.2549440625)</f>
        <v>0.2549440625</v>
      </c>
      <c r="I282" s="15">
        <f>IFERROR(__xludf.DUMMYFUNCTION("""COMPUTED_VALUE"""),45949.27984530754)</f>
        <v>45949.27985</v>
      </c>
      <c r="J282" s="15">
        <f>IFERROR(__xludf.DUMMYFUNCTION("""COMPUTED_VALUE"""),45949.02490124504)</f>
        <v>45949.0249</v>
      </c>
      <c r="K282" s="15">
        <f>IFERROR(__xludf.DUMMYFUNCTION("""COMPUTED_VALUE"""),45949.26987044439)</f>
        <v>45949.26987</v>
      </c>
      <c r="L282" s="4"/>
    </row>
    <row r="283">
      <c r="A283" s="1">
        <f>IFERROR(__xludf.DUMMYFUNCTION("""COMPUTED_VALUE"""),282.0)</f>
        <v>282</v>
      </c>
      <c r="B283" s="1">
        <f>IFERROR(__xludf.DUMMYFUNCTION("""COMPUTED_VALUE"""),7081.0)</f>
        <v>7081</v>
      </c>
      <c r="C283" s="2" t="str">
        <f>IFERROR(__xludf.DUMMYFUNCTION("""COMPUTED_VALUE"""),"Matenu")</f>
        <v>Matenu</v>
      </c>
      <c r="D283" s="2" t="str">
        <f>IFERROR(__xludf.DUMMYFUNCTION("""COMPUTED_VALUE"""),"5KM MASTER M")</f>
        <v>5KM MASTER M</v>
      </c>
      <c r="E283" s="1">
        <f>IFERROR(__xludf.DUMMYFUNCTION("""COMPUTED_VALUE"""),28.0)</f>
        <v>28</v>
      </c>
      <c r="F283" s="1" t="str">
        <f>IFERROR(__xludf.DUMMYFUNCTION("""COMPUTED_VALUE"""),"Male")</f>
        <v>Male</v>
      </c>
      <c r="G283" s="5">
        <f>IFERROR(__xludf.DUMMYFUNCTION("""COMPUTED_VALUE"""),0.004985805555555555)</f>
        <v>0.004985805556</v>
      </c>
      <c r="H283" s="15">
        <f>IFERROR(__xludf.DUMMYFUNCTION("""COMPUTED_VALUE"""),0.2549440625)</f>
        <v>0.2549440625</v>
      </c>
      <c r="I283" s="15">
        <f>IFERROR(__xludf.DUMMYFUNCTION("""COMPUTED_VALUE"""),45949.2798730901)</f>
        <v>45949.27987</v>
      </c>
      <c r="J283" s="15">
        <f>IFERROR(__xludf.DUMMYFUNCTION("""COMPUTED_VALUE"""),45949.0249290276)</f>
        <v>45949.02493</v>
      </c>
      <c r="K283" s="15">
        <f>IFERROR(__xludf.DUMMYFUNCTION("""COMPUTED_VALUE"""),45949.26892946132)</f>
        <v>45949.26893</v>
      </c>
      <c r="L283" s="4"/>
    </row>
    <row r="284">
      <c r="A284" s="1">
        <f>IFERROR(__xludf.DUMMYFUNCTION("""COMPUTED_VALUE"""),283.0)</f>
        <v>283</v>
      </c>
      <c r="B284" s="7" t="str">
        <f>IFERROR(__xludf.DUMMYFUNCTION("""COMPUTED_VALUE"""),"9078")</f>
        <v>9078</v>
      </c>
      <c r="C284" s="8" t="str">
        <f>IFERROR(__xludf.DUMMYFUNCTION("""COMPUTED_VALUE"""),"Chavira")</f>
        <v>Chavira</v>
      </c>
      <c r="D284" s="2" t="str">
        <f>IFERROR(__xludf.DUMMYFUNCTION("""COMPUTED_VALUE"""),"5KM STUDENT F")</f>
        <v>5KM STUDENT F</v>
      </c>
      <c r="E284" s="1">
        <f>IFERROR(__xludf.DUMMYFUNCTION("""COMPUTED_VALUE"""),4.0)</f>
        <v>4</v>
      </c>
      <c r="F284" s="1" t="str">
        <f>IFERROR(__xludf.DUMMYFUNCTION("""COMPUTED_VALUE"""),"Female")</f>
        <v>Female</v>
      </c>
      <c r="G284" s="5">
        <f>IFERROR(__xludf.DUMMYFUNCTION("""COMPUTED_VALUE"""),0.00498719675925926)</f>
        <v>0.004987196759</v>
      </c>
      <c r="H284" s="15">
        <f>IFERROR(__xludf.DUMMYFUNCTION("""COMPUTED_VALUE"""),0.2549440625)</f>
        <v>0.2549440625</v>
      </c>
      <c r="I284" s="15">
        <f>IFERROR(__xludf.DUMMYFUNCTION("""COMPUTED_VALUE"""),45949.27988004144)</f>
        <v>45949.27988</v>
      </c>
      <c r="J284" s="15">
        <f>IFERROR(__xludf.DUMMYFUNCTION("""COMPUTED_VALUE"""),45949.02493597894)</f>
        <v>45949.02494</v>
      </c>
      <c r="K284" s="15">
        <f>IFERROR(__xludf.DUMMYFUNCTION("""COMPUTED_VALUE"""),45949.26884613531)</f>
        <v>45949.26885</v>
      </c>
      <c r="L284" s="4"/>
    </row>
    <row r="285">
      <c r="A285" s="1">
        <f>IFERROR(__xludf.DUMMYFUNCTION("""COMPUTED_VALUE"""),284.0)</f>
        <v>284</v>
      </c>
      <c r="B285" s="1">
        <f>IFERROR(__xludf.DUMMYFUNCTION("""COMPUTED_VALUE"""),6276.0)</f>
        <v>6276</v>
      </c>
      <c r="C285" s="2" t="str">
        <f>IFERROR(__xludf.DUMMYFUNCTION("""COMPUTED_VALUE"""),"zubai")</f>
        <v>zubai</v>
      </c>
      <c r="D285" s="2" t="str">
        <f>IFERROR(__xludf.DUMMYFUNCTION("""COMPUTED_VALUE"""),"5KM OVERALL M")</f>
        <v>5KM OVERALL M</v>
      </c>
      <c r="E285" s="1">
        <f>IFERROR(__xludf.DUMMYFUNCTION("""COMPUTED_VALUE"""),185.0)</f>
        <v>185</v>
      </c>
      <c r="F285" s="1" t="str">
        <f>IFERROR(__xludf.DUMMYFUNCTION("""COMPUTED_VALUE"""),"Male")</f>
        <v>Male</v>
      </c>
      <c r="G285" s="5">
        <f>IFERROR(__xludf.DUMMYFUNCTION("""COMPUTED_VALUE"""),0.004994141203703704)</f>
        <v>0.004994141204</v>
      </c>
      <c r="H285" s="15">
        <f>IFERROR(__xludf.DUMMYFUNCTION("""COMPUTED_VALUE"""),0.2549440625)</f>
        <v>0.2549440625</v>
      </c>
      <c r="I285" s="15">
        <f>IFERROR(__xludf.DUMMYFUNCTION("""COMPUTED_VALUE"""),45949.27991476972)</f>
        <v>45949.27991</v>
      </c>
      <c r="J285" s="15">
        <f>IFERROR(__xludf.DUMMYFUNCTION("""COMPUTED_VALUE"""),45949.02497070722)</f>
        <v>45949.02497</v>
      </c>
      <c r="K285" s="15">
        <f>IFERROR(__xludf.DUMMYFUNCTION("""COMPUTED_VALUE"""),45949.2693982288)</f>
        <v>45949.2694</v>
      </c>
      <c r="L285" s="4"/>
    </row>
    <row r="286">
      <c r="A286" s="1">
        <f>IFERROR(__xludf.DUMMYFUNCTION("""COMPUTED_VALUE"""),285.0)</f>
        <v>285</v>
      </c>
      <c r="B286" s="1">
        <f>IFERROR(__xludf.DUMMYFUNCTION("""COMPUTED_VALUE"""),6275.0)</f>
        <v>6275</v>
      </c>
      <c r="C286" s="2" t="str">
        <f>IFERROR(__xludf.DUMMYFUNCTION("""COMPUTED_VALUE"""),"hafizah")</f>
        <v>hafizah</v>
      </c>
      <c r="D286" s="2" t="str">
        <f>IFERROR(__xludf.DUMMYFUNCTION("""COMPUTED_VALUE"""),"5KM OVERALL F")</f>
        <v>5KM OVERALL F</v>
      </c>
      <c r="E286" s="1">
        <f>IFERROR(__xludf.DUMMYFUNCTION("""COMPUTED_VALUE"""),25.0)</f>
        <v>25</v>
      </c>
      <c r="F286" s="1" t="str">
        <f>IFERROR(__xludf.DUMMYFUNCTION("""COMPUTED_VALUE"""),"Female")</f>
        <v>Female</v>
      </c>
      <c r="G286" s="5">
        <f>IFERROR(__xludf.DUMMYFUNCTION("""COMPUTED_VALUE"""),0.004994833333333333)</f>
        <v>0.004994833333</v>
      </c>
      <c r="H286" s="15">
        <f>IFERROR(__xludf.DUMMYFUNCTION("""COMPUTED_VALUE"""),0.2549440625)</f>
        <v>0.2549440625</v>
      </c>
      <c r="I286" s="15">
        <f>IFERROR(__xludf.DUMMYFUNCTION("""COMPUTED_VALUE"""),45949.279918233)</f>
        <v>45949.27992</v>
      </c>
      <c r="J286" s="15">
        <f>IFERROR(__xludf.DUMMYFUNCTION("""COMPUTED_VALUE"""),45949.0249741705)</f>
        <v>45949.02497</v>
      </c>
      <c r="K286" s="15">
        <f>IFERROR(__xludf.DUMMYFUNCTION("""COMPUTED_VALUE"""),45949.2694095684)</f>
        <v>45949.26941</v>
      </c>
      <c r="L286" s="4"/>
    </row>
    <row r="287">
      <c r="A287" s="1">
        <f>IFERROR(__xludf.DUMMYFUNCTION("""COMPUTED_VALUE"""),286.0)</f>
        <v>286</v>
      </c>
      <c r="B287" s="1">
        <f>IFERROR(__xludf.DUMMYFUNCTION("""COMPUTED_VALUE"""),6332.0)</f>
        <v>6332</v>
      </c>
      <c r="C287" s="2" t="str">
        <f>IFERROR(__xludf.DUMMYFUNCTION("""COMPUTED_VALUE"""),"IDUWAN")</f>
        <v>IDUWAN</v>
      </c>
      <c r="D287" s="2" t="str">
        <f>IFERROR(__xludf.DUMMYFUNCTION("""COMPUTED_VALUE"""),"5KM OVERALL M")</f>
        <v>5KM OVERALL M</v>
      </c>
      <c r="E287" s="1">
        <f>IFERROR(__xludf.DUMMYFUNCTION("""COMPUTED_VALUE"""),186.0)</f>
        <v>186</v>
      </c>
      <c r="F287" s="1" t="str">
        <f>IFERROR(__xludf.DUMMYFUNCTION("""COMPUTED_VALUE"""),"Male")</f>
        <v>Male</v>
      </c>
      <c r="G287" s="5">
        <f>IFERROR(__xludf.DUMMYFUNCTION("""COMPUTED_VALUE"""),0.005000388888888889)</f>
        <v>0.005000388889</v>
      </c>
      <c r="H287" s="15">
        <f>IFERROR(__xludf.DUMMYFUNCTION("""COMPUTED_VALUE"""),0.2549440625)</f>
        <v>0.2549440625</v>
      </c>
      <c r="I287" s="15">
        <f>IFERROR(__xludf.DUMMYFUNCTION("""COMPUTED_VALUE"""),45949.2799460121)</f>
        <v>45949.27995</v>
      </c>
      <c r="J287" s="15">
        <f>IFERROR(__xludf.DUMMYFUNCTION("""COMPUTED_VALUE"""),45949.0250019496)</f>
        <v>45949.025</v>
      </c>
      <c r="K287" s="15">
        <f>IFERROR(__xludf.DUMMYFUNCTION("""COMPUTED_VALUE"""),45949.26878711682)</f>
        <v>45949.26879</v>
      </c>
      <c r="L287" s="4"/>
    </row>
    <row r="288">
      <c r="A288" s="1">
        <f>IFERROR(__xludf.DUMMYFUNCTION("""COMPUTED_VALUE"""),287.0)</f>
        <v>287</v>
      </c>
      <c r="B288" s="1">
        <f>IFERROR(__xludf.DUMMYFUNCTION("""COMPUTED_VALUE"""),6387.0)</f>
        <v>6387</v>
      </c>
      <c r="C288" s="2" t="str">
        <f>IFERROR(__xludf.DUMMYFUNCTION("""COMPUTED_VALUE"""),"muhammad sandi")</f>
        <v>muhammad sandi</v>
      </c>
      <c r="D288" s="2" t="str">
        <f>IFERROR(__xludf.DUMMYFUNCTION("""COMPUTED_VALUE"""),"5KM OVERALL M")</f>
        <v>5KM OVERALL M</v>
      </c>
      <c r="E288" s="1">
        <f>IFERROR(__xludf.DUMMYFUNCTION("""COMPUTED_VALUE"""),187.0)</f>
        <v>187</v>
      </c>
      <c r="F288" s="1" t="str">
        <f>IFERROR(__xludf.DUMMYFUNCTION("""COMPUTED_VALUE"""),"Male")</f>
        <v>Male</v>
      </c>
      <c r="G288" s="5">
        <f>IFERROR(__xludf.DUMMYFUNCTION("""COMPUTED_VALUE"""),0.005001083333333333)</f>
        <v>0.005001083333</v>
      </c>
      <c r="H288" s="15">
        <f>IFERROR(__xludf.DUMMYFUNCTION("""COMPUTED_VALUE"""),0.2549440625)</f>
        <v>0.2549440625</v>
      </c>
      <c r="I288" s="15">
        <f>IFERROR(__xludf.DUMMYFUNCTION("""COMPUTED_VALUE"""),45949.279949480406)</f>
        <v>45949.27995</v>
      </c>
      <c r="J288" s="15">
        <f>IFERROR(__xludf.DUMMYFUNCTION("""COMPUTED_VALUE"""),45949.025005417905)</f>
        <v>45949.02501</v>
      </c>
      <c r="K288" s="15">
        <f>IFERROR(__xludf.DUMMYFUNCTION("""COMPUTED_VALUE"""),45949.26933577793)</f>
        <v>45949.26934</v>
      </c>
      <c r="L288" s="4"/>
    </row>
    <row r="289">
      <c r="A289" s="1">
        <f>IFERROR(__xludf.DUMMYFUNCTION("""COMPUTED_VALUE"""),288.0)</f>
        <v>288</v>
      </c>
      <c r="B289" s="1">
        <f>IFERROR(__xludf.DUMMYFUNCTION("""COMPUTED_VALUE"""),5728.0)</f>
        <v>5728</v>
      </c>
      <c r="C289" s="2" t="str">
        <f>IFERROR(__xludf.DUMMYFUNCTION("""COMPUTED_VALUE"""),"T. Ricky")</f>
        <v>T. Ricky</v>
      </c>
      <c r="D289" s="2" t="str">
        <f>IFERROR(__xludf.DUMMYFUNCTION("""COMPUTED_VALUE"""),"5KM OVERALL M")</f>
        <v>5KM OVERALL M</v>
      </c>
      <c r="E289" s="1">
        <f>IFERROR(__xludf.DUMMYFUNCTION("""COMPUTED_VALUE"""),188.0)</f>
        <v>188</v>
      </c>
      <c r="F289" s="1" t="str">
        <f>IFERROR(__xludf.DUMMYFUNCTION("""COMPUTED_VALUE"""),"Male")</f>
        <v>Male</v>
      </c>
      <c r="G289" s="5">
        <f>IFERROR(__xludf.DUMMYFUNCTION("""COMPUTED_VALUE"""),0.00500662962962963)</f>
        <v>0.00500662963</v>
      </c>
      <c r="H289" s="15">
        <f>IFERROR(__xludf.DUMMYFUNCTION("""COMPUTED_VALUE"""),0.2549440625)</f>
        <v>0.2549440625</v>
      </c>
      <c r="I289" s="15">
        <f>IFERROR(__xludf.DUMMYFUNCTION("""COMPUTED_VALUE"""),45949.279977213715)</f>
        <v>45949.27998</v>
      </c>
      <c r="J289" s="15">
        <f>IFERROR(__xludf.DUMMYFUNCTION("""COMPUTED_VALUE"""),45949.025033151214)</f>
        <v>45949.02503</v>
      </c>
      <c r="K289" s="15">
        <f>IFERROR(__xludf.DUMMYFUNCTION("""COMPUTED_VALUE"""),45949.26849891361)</f>
        <v>45949.2685</v>
      </c>
      <c r="L289" s="4"/>
    </row>
    <row r="290">
      <c r="A290" s="1">
        <f>IFERROR(__xludf.DUMMYFUNCTION("""COMPUTED_VALUE"""),289.0)</f>
        <v>289</v>
      </c>
      <c r="B290" s="1">
        <f>IFERROR(__xludf.DUMMYFUNCTION("""COMPUTED_VALUE"""),5630.0)</f>
        <v>5630</v>
      </c>
      <c r="C290" s="2" t="str">
        <f>IFERROR(__xludf.DUMMYFUNCTION("""COMPUTED_VALUE"""),"ALFI SYAHRINA")</f>
        <v>ALFI SYAHRINA</v>
      </c>
      <c r="D290" s="2" t="str">
        <f>IFERROR(__xludf.DUMMYFUNCTION("""COMPUTED_VALUE"""),"5KM OVERALL F")</f>
        <v>5KM OVERALL F</v>
      </c>
      <c r="E290" s="1">
        <f>IFERROR(__xludf.DUMMYFUNCTION("""COMPUTED_VALUE"""),26.0)</f>
        <v>26</v>
      </c>
      <c r="F290" s="1" t="str">
        <f>IFERROR(__xludf.DUMMYFUNCTION("""COMPUTED_VALUE"""),"Female")</f>
        <v>Female</v>
      </c>
      <c r="G290" s="5">
        <f>IFERROR(__xludf.DUMMYFUNCTION("""COMPUTED_VALUE"""),0.005012194444444445)</f>
        <v>0.005012194444</v>
      </c>
      <c r="H290" s="15">
        <f>IFERROR(__xludf.DUMMYFUNCTION("""COMPUTED_VALUE"""),0.2549440625)</f>
        <v>0.2549440625</v>
      </c>
      <c r="I290" s="15">
        <f>IFERROR(__xludf.DUMMYFUNCTION("""COMPUTED_VALUE"""),45949.28000503405)</f>
        <v>45949.28001</v>
      </c>
      <c r="J290" s="15">
        <f>IFERROR(__xludf.DUMMYFUNCTION("""COMPUTED_VALUE"""),45949.02506097155)</f>
        <v>45949.02506</v>
      </c>
      <c r="K290" s="15">
        <f>IFERROR(__xludf.DUMMYFUNCTION("""COMPUTED_VALUE"""),45949.26862739471)</f>
        <v>45949.26863</v>
      </c>
      <c r="L290" s="4"/>
    </row>
    <row r="291">
      <c r="A291" s="1">
        <f>IFERROR(__xludf.DUMMYFUNCTION("""COMPUTED_VALUE"""),290.0)</f>
        <v>290</v>
      </c>
      <c r="B291" s="7" t="str">
        <f>IFERROR(__xludf.DUMMYFUNCTION("""COMPUTED_VALUE"""),"7167")</f>
        <v>7167</v>
      </c>
      <c r="C291" s="8" t="str">
        <f>IFERROR(__xludf.DUMMYFUNCTION("""COMPUTED_VALUE"""),"Bahrani")</f>
        <v>Bahrani</v>
      </c>
      <c r="D291" s="2" t="str">
        <f>IFERROR(__xludf.DUMMYFUNCTION("""COMPUTED_VALUE"""),"5KM MASTER M")</f>
        <v>5KM MASTER M</v>
      </c>
      <c r="E291" s="1">
        <f>IFERROR(__xludf.DUMMYFUNCTION("""COMPUTED_VALUE"""),29.0)</f>
        <v>29</v>
      </c>
      <c r="F291" s="1" t="str">
        <f>IFERROR(__xludf.DUMMYFUNCTION("""COMPUTED_VALUE"""),"Male")</f>
        <v>Male</v>
      </c>
      <c r="G291" s="5">
        <f>IFERROR(__xludf.DUMMYFUNCTION("""COMPUTED_VALUE"""),0.0050156666666666665)</f>
        <v>0.005015666667</v>
      </c>
      <c r="H291" s="15">
        <f>IFERROR(__xludf.DUMMYFUNCTION("""COMPUTED_VALUE"""),0.2549440625)</f>
        <v>0.2549440625</v>
      </c>
      <c r="I291" s="15">
        <f>IFERROR(__xludf.DUMMYFUNCTION("""COMPUTED_VALUE"""),45949.28002240035)</f>
        <v>45949.28002</v>
      </c>
      <c r="J291" s="15">
        <f>IFERROR(__xludf.DUMMYFUNCTION("""COMPUTED_VALUE"""),45949.02507833785)</f>
        <v>45949.02508</v>
      </c>
      <c r="K291" s="15">
        <f>IFERROR(__xludf.DUMMYFUNCTION("""COMPUTED_VALUE"""),45949.2685996554)</f>
        <v>45949.2686</v>
      </c>
      <c r="L291" s="4"/>
    </row>
    <row r="292">
      <c r="A292" s="1">
        <f>IFERROR(__xludf.DUMMYFUNCTION("""COMPUTED_VALUE"""),291.0)</f>
        <v>291</v>
      </c>
      <c r="B292" s="1">
        <f>IFERROR(__xludf.DUMMYFUNCTION("""COMPUTED_VALUE"""),5560.0)</f>
        <v>5560</v>
      </c>
      <c r="C292" s="2" t="str">
        <f>IFERROR(__xludf.DUMMYFUNCTION("""COMPUTED_VALUE"""),"Achmad Muhaimin")</f>
        <v>Achmad Muhaimin</v>
      </c>
      <c r="D292" s="2" t="str">
        <f>IFERROR(__xludf.DUMMYFUNCTION("""COMPUTED_VALUE"""),"5KM OVERALL M")</f>
        <v>5KM OVERALL M</v>
      </c>
      <c r="E292" s="1">
        <f>IFERROR(__xludf.DUMMYFUNCTION("""COMPUTED_VALUE"""),189.0)</f>
        <v>189</v>
      </c>
      <c r="F292" s="1" t="str">
        <f>IFERROR(__xludf.DUMMYFUNCTION("""COMPUTED_VALUE"""),"Male")</f>
        <v>Male</v>
      </c>
      <c r="G292" s="5">
        <f>IFERROR(__xludf.DUMMYFUNCTION("""COMPUTED_VALUE"""),0.005026777777777778)</f>
        <v>0.005026777778</v>
      </c>
      <c r="H292" s="15">
        <f>IFERROR(__xludf.DUMMYFUNCTION("""COMPUTED_VALUE"""),0.2549440625)</f>
        <v>0.2549440625</v>
      </c>
      <c r="I292" s="15">
        <f>IFERROR(__xludf.DUMMYFUNCTION("""COMPUTED_VALUE"""),45949.280077952055)</f>
        <v>45949.28008</v>
      </c>
      <c r="J292" s="15">
        <f>IFERROR(__xludf.DUMMYFUNCTION("""COMPUTED_VALUE"""),45949.025133889554)</f>
        <v>45949.02513</v>
      </c>
      <c r="K292" s="15">
        <f>IFERROR(__xludf.DUMMYFUNCTION("""COMPUTED_VALUE"""),45949.2685312699)</f>
        <v>45949.26853</v>
      </c>
      <c r="L292" s="4"/>
    </row>
    <row r="293">
      <c r="A293" s="1">
        <f>IFERROR(__xludf.DUMMYFUNCTION("""COMPUTED_VALUE"""),292.0)</f>
        <v>292</v>
      </c>
      <c r="B293" s="1">
        <f>IFERROR(__xludf.DUMMYFUNCTION("""COMPUTED_VALUE"""),5404.0)</f>
        <v>5404</v>
      </c>
      <c r="C293" s="2" t="str">
        <f>IFERROR(__xludf.DUMMYFUNCTION("""COMPUTED_VALUE"""),"Fawwazianur Ardhana")</f>
        <v>Fawwazianur Ardhana</v>
      </c>
      <c r="D293" s="2" t="str">
        <f>IFERROR(__xludf.DUMMYFUNCTION("""COMPUTED_VALUE"""),"5KM OVERALL M")</f>
        <v>5KM OVERALL M</v>
      </c>
      <c r="E293" s="1">
        <f>IFERROR(__xludf.DUMMYFUNCTION("""COMPUTED_VALUE"""),190.0)</f>
        <v>190</v>
      </c>
      <c r="F293" s="1" t="str">
        <f>IFERROR(__xludf.DUMMYFUNCTION("""COMPUTED_VALUE"""),"Male")</f>
        <v>Male</v>
      </c>
      <c r="G293" s="5">
        <f>IFERROR(__xludf.DUMMYFUNCTION("""COMPUTED_VALUE"""),0.005027472222222222)</f>
        <v>0.005027472222</v>
      </c>
      <c r="H293" s="15">
        <f>IFERROR(__xludf.DUMMYFUNCTION("""COMPUTED_VALUE"""),0.2549440625)</f>
        <v>0.2549440625</v>
      </c>
      <c r="I293" s="15">
        <f>IFERROR(__xludf.DUMMYFUNCTION("""COMPUTED_VALUE"""),45949.2800814286)</f>
        <v>45949.28008</v>
      </c>
      <c r="J293" s="15">
        <f>IFERROR(__xludf.DUMMYFUNCTION("""COMPUTED_VALUE"""),45949.0251373661)</f>
        <v>45949.02514</v>
      </c>
      <c r="K293" s="15">
        <f>IFERROR(__xludf.DUMMYFUNCTION("""COMPUTED_VALUE"""),45949.26853125828)</f>
        <v>45949.26853</v>
      </c>
      <c r="L293" s="4"/>
    </row>
    <row r="294">
      <c r="A294" s="1">
        <f>IFERROR(__xludf.DUMMYFUNCTION("""COMPUTED_VALUE"""),293.0)</f>
        <v>293</v>
      </c>
      <c r="B294" s="1">
        <f>IFERROR(__xludf.DUMMYFUNCTION("""COMPUTED_VALUE"""),6391.0)</f>
        <v>6391</v>
      </c>
      <c r="C294" s="2" t="str">
        <f>IFERROR(__xludf.DUMMYFUNCTION("""COMPUTED_VALUE"""),"Rizqy Iskandar")</f>
        <v>Rizqy Iskandar</v>
      </c>
      <c r="D294" s="2" t="str">
        <f>IFERROR(__xludf.DUMMYFUNCTION("""COMPUTED_VALUE"""),"5KM OVERALL M")</f>
        <v>5KM OVERALL M</v>
      </c>
      <c r="E294" s="1">
        <f>IFERROR(__xludf.DUMMYFUNCTION("""COMPUTED_VALUE"""),191.0)</f>
        <v>191</v>
      </c>
      <c r="F294" s="1" t="str">
        <f>IFERROR(__xludf.DUMMYFUNCTION("""COMPUTED_VALUE"""),"Male")</f>
        <v>Male</v>
      </c>
      <c r="G294" s="5">
        <f>IFERROR(__xludf.DUMMYFUNCTION("""COMPUTED_VALUE"""),0.005028861111111111)</f>
        <v>0.005028861111</v>
      </c>
      <c r="H294" s="15">
        <f>IFERROR(__xludf.DUMMYFUNCTION("""COMPUTED_VALUE"""),0.2549440625)</f>
        <v>0.2549440625</v>
      </c>
      <c r="I294" s="15">
        <f>IFERROR(__xludf.DUMMYFUNCTION("""COMPUTED_VALUE"""),45949.28008836443)</f>
        <v>45949.28009</v>
      </c>
      <c r="J294" s="15">
        <f>IFERROR(__xludf.DUMMYFUNCTION("""COMPUTED_VALUE"""),45949.02514430193)</f>
        <v>45949.02514</v>
      </c>
      <c r="K294" s="15">
        <f>IFERROR(__xludf.DUMMYFUNCTION("""COMPUTED_VALUE"""),45949.26933576648)</f>
        <v>45949.26934</v>
      </c>
      <c r="L294" s="4"/>
    </row>
    <row r="295">
      <c r="A295" s="1">
        <f>IFERROR(__xludf.DUMMYFUNCTION("""COMPUTED_VALUE"""),294.0)</f>
        <v>294</v>
      </c>
      <c r="B295" s="1">
        <f>IFERROR(__xludf.DUMMYFUNCTION("""COMPUTED_VALUE"""),7080.0)</f>
        <v>7080</v>
      </c>
      <c r="C295" s="2" t="str">
        <f>IFERROR(__xludf.DUMMYFUNCTION("""COMPUTED_VALUE"""),"HUSE")</f>
        <v>HUSE</v>
      </c>
      <c r="D295" s="2" t="str">
        <f>IFERROR(__xludf.DUMMYFUNCTION("""COMPUTED_VALUE"""),"5KM MASTER M")</f>
        <v>5KM MASTER M</v>
      </c>
      <c r="E295" s="1">
        <f>IFERROR(__xludf.DUMMYFUNCTION("""COMPUTED_VALUE"""),30.0)</f>
        <v>30</v>
      </c>
      <c r="F295" s="1" t="str">
        <f>IFERROR(__xludf.DUMMYFUNCTION("""COMPUTED_VALUE"""),"Male")</f>
        <v>Male</v>
      </c>
      <c r="G295" s="5">
        <f>IFERROR(__xludf.DUMMYFUNCTION("""COMPUTED_VALUE"""),0.005028863425925926)</f>
        <v>0.005028863426</v>
      </c>
      <c r="H295" s="15">
        <f>IFERROR(__xludf.DUMMYFUNCTION("""COMPUTED_VALUE"""),0.2549440625)</f>
        <v>0.2549440625</v>
      </c>
      <c r="I295" s="15">
        <f>IFERROR(__xludf.DUMMYFUNCTION("""COMPUTED_VALUE"""),45949.28008837601)</f>
        <v>45949.28009</v>
      </c>
      <c r="J295" s="15">
        <f>IFERROR(__xludf.DUMMYFUNCTION("""COMPUTED_VALUE"""),45949.025144313506)</f>
        <v>45949.02514</v>
      </c>
      <c r="K295" s="15">
        <f>IFERROR(__xludf.DUMMYFUNCTION("""COMPUTED_VALUE"""),45949.26882530173)</f>
        <v>45949.26883</v>
      </c>
      <c r="L295" s="4"/>
    </row>
    <row r="296">
      <c r="A296" s="1">
        <f>IFERROR(__xludf.DUMMYFUNCTION("""COMPUTED_VALUE"""),295.0)</f>
        <v>295</v>
      </c>
      <c r="B296" s="7" t="str">
        <f>IFERROR(__xludf.DUMMYFUNCTION("""COMPUTED_VALUE"""),"7118")</f>
        <v>7118</v>
      </c>
      <c r="C296" s="8" t="str">
        <f>IFERROR(__xludf.DUMMYFUNCTION("""COMPUTED_VALUE"""),"FAJRIN")</f>
        <v>FAJRIN</v>
      </c>
      <c r="D296" s="2" t="str">
        <f>IFERROR(__xludf.DUMMYFUNCTION("""COMPUTED_VALUE"""),"5KM MASTER M")</f>
        <v>5KM MASTER M</v>
      </c>
      <c r="E296" s="1">
        <f>IFERROR(__xludf.DUMMYFUNCTION("""COMPUTED_VALUE"""),31.0)</f>
        <v>31</v>
      </c>
      <c r="F296" s="1" t="str">
        <f>IFERROR(__xludf.DUMMYFUNCTION("""COMPUTED_VALUE"""),"Male")</f>
        <v>Male</v>
      </c>
      <c r="G296" s="5">
        <f>IFERROR(__xludf.DUMMYFUNCTION("""COMPUTED_VALUE"""),0.0050358055555555555)</f>
        <v>0.005035805556</v>
      </c>
      <c r="H296" s="15">
        <f>IFERROR(__xludf.DUMMYFUNCTION("""COMPUTED_VALUE"""),0.2549440625)</f>
        <v>0.2549440625</v>
      </c>
      <c r="I296" s="15">
        <f>IFERROR(__xludf.DUMMYFUNCTION("""COMPUTED_VALUE"""),45949.28012309009)</f>
        <v>45949.28012</v>
      </c>
      <c r="J296" s="15">
        <f>IFERROR(__xludf.DUMMYFUNCTION("""COMPUTED_VALUE"""),45949.02517902759)</f>
        <v>45949.02518</v>
      </c>
      <c r="K296" s="15">
        <f>IFERROR(__xludf.DUMMYFUNCTION("""COMPUTED_VALUE"""),45949.2693287817)</f>
        <v>45949.26933</v>
      </c>
      <c r="L296" s="4"/>
    </row>
    <row r="297">
      <c r="A297" s="1">
        <f>IFERROR(__xludf.DUMMYFUNCTION("""COMPUTED_VALUE"""),296.0)</f>
        <v>296</v>
      </c>
      <c r="B297" s="1">
        <f>IFERROR(__xludf.DUMMYFUNCTION("""COMPUTED_VALUE"""),6159.0)</f>
        <v>6159</v>
      </c>
      <c r="C297" s="2" t="str">
        <f>IFERROR(__xludf.DUMMYFUNCTION("""COMPUTED_VALUE"""),"Oriandeni")</f>
        <v>Oriandeni</v>
      </c>
      <c r="D297" s="2" t="str">
        <f>IFERROR(__xludf.DUMMYFUNCTION("""COMPUTED_VALUE"""),"5KM OVERALL M")</f>
        <v>5KM OVERALL M</v>
      </c>
      <c r="E297" s="1">
        <f>IFERROR(__xludf.DUMMYFUNCTION("""COMPUTED_VALUE"""),192.0)</f>
        <v>192</v>
      </c>
      <c r="F297" s="1" t="str">
        <f>IFERROR(__xludf.DUMMYFUNCTION("""COMPUTED_VALUE"""),"Male")</f>
        <v>Male</v>
      </c>
      <c r="G297" s="5">
        <f>IFERROR(__xludf.DUMMYFUNCTION("""COMPUTED_VALUE"""),0.005037194444444445)</f>
        <v>0.005037194444</v>
      </c>
      <c r="H297" s="15">
        <f>IFERROR(__xludf.DUMMYFUNCTION("""COMPUTED_VALUE"""),0.2549440625)</f>
        <v>0.2549440625</v>
      </c>
      <c r="I297" s="15">
        <f>IFERROR(__xludf.DUMMYFUNCTION("""COMPUTED_VALUE"""),45949.2801300305)</f>
        <v>45949.28013</v>
      </c>
      <c r="J297" s="15">
        <f>IFERROR(__xludf.DUMMYFUNCTION("""COMPUTED_VALUE"""),45949.025185968)</f>
        <v>45949.02519</v>
      </c>
      <c r="K297" s="15">
        <f>IFERROR(__xludf.DUMMYFUNCTION("""COMPUTED_VALUE"""),45949.26888432638)</f>
        <v>45949.26888</v>
      </c>
      <c r="L297" s="4"/>
    </row>
    <row r="298">
      <c r="A298" s="1">
        <f>IFERROR(__xludf.DUMMYFUNCTION("""COMPUTED_VALUE"""),297.0)</f>
        <v>297</v>
      </c>
      <c r="B298" s="7" t="str">
        <f>IFERROR(__xludf.DUMMYFUNCTION("""COMPUTED_VALUE"""),"9088")</f>
        <v>9088</v>
      </c>
      <c r="C298" s="8" t="str">
        <f>IFERROR(__xludf.DUMMYFUNCTION("""COMPUTED_VALUE"""),"Endra")</f>
        <v>Endra</v>
      </c>
      <c r="D298" s="2" t="str">
        <f>IFERROR(__xludf.DUMMYFUNCTION("""COMPUTED_VALUE"""),"5KM STUDENT M")</f>
        <v>5KM STUDENT M</v>
      </c>
      <c r="E298" s="1">
        <f>IFERROR(__xludf.DUMMYFUNCTION("""COMPUTED_VALUE"""),35.0)</f>
        <v>35</v>
      </c>
      <c r="F298" s="1" t="str">
        <f>IFERROR(__xludf.DUMMYFUNCTION("""COMPUTED_VALUE"""),"Male")</f>
        <v>Male</v>
      </c>
      <c r="G298" s="5">
        <f>IFERROR(__xludf.DUMMYFUNCTION("""COMPUTED_VALUE"""),0.005039280092592593)</f>
        <v>0.005039280093</v>
      </c>
      <c r="H298" s="15">
        <f>IFERROR(__xludf.DUMMYFUNCTION("""COMPUTED_VALUE"""),0.2549440625)</f>
        <v>0.2549440625</v>
      </c>
      <c r="I298" s="15">
        <f>IFERROR(__xludf.DUMMYFUNCTION("""COMPUTED_VALUE"""),45949.280140464)</f>
        <v>45949.28014</v>
      </c>
      <c r="J298" s="15">
        <f>IFERROR(__xludf.DUMMYFUNCTION("""COMPUTED_VALUE"""),45949.0251964015)</f>
        <v>45949.0252</v>
      </c>
      <c r="K298" s="15">
        <f>IFERROR(__xludf.DUMMYFUNCTION("""COMPUTED_VALUE"""),45949.26855101166)</f>
        <v>45949.26855</v>
      </c>
      <c r="L298" s="4"/>
    </row>
    <row r="299">
      <c r="A299" s="1">
        <f>IFERROR(__xludf.DUMMYFUNCTION("""COMPUTED_VALUE"""),298.0)</f>
        <v>298</v>
      </c>
      <c r="B299" s="1">
        <f>IFERROR(__xludf.DUMMYFUNCTION("""COMPUTED_VALUE"""),7048.0)</f>
        <v>7048</v>
      </c>
      <c r="C299" s="2" t="str">
        <f>IFERROR(__xludf.DUMMYFUNCTION("""COMPUTED_VALUE"""),"TOGAP FC")</f>
        <v>TOGAP FC</v>
      </c>
      <c r="D299" s="2" t="str">
        <f>IFERROR(__xludf.DUMMYFUNCTION("""COMPUTED_VALUE"""),"5KM MASTER M")</f>
        <v>5KM MASTER M</v>
      </c>
      <c r="E299" s="1">
        <f>IFERROR(__xludf.DUMMYFUNCTION("""COMPUTED_VALUE"""),32.0)</f>
        <v>32</v>
      </c>
      <c r="F299" s="1" t="str">
        <f>IFERROR(__xludf.DUMMYFUNCTION("""COMPUTED_VALUE"""),"Male")</f>
        <v>Male</v>
      </c>
      <c r="G299" s="5">
        <f>IFERROR(__xludf.DUMMYFUNCTION("""COMPUTED_VALUE"""),0.005039282407407407)</f>
        <v>0.005039282407</v>
      </c>
      <c r="H299" s="15">
        <f>IFERROR(__xludf.DUMMYFUNCTION("""COMPUTED_VALUE"""),0.2549440625)</f>
        <v>0.2549440625</v>
      </c>
      <c r="I299" s="15">
        <f>IFERROR(__xludf.DUMMYFUNCTION("""COMPUTED_VALUE"""),45949.28014047708)</f>
        <v>45949.28014</v>
      </c>
      <c r="J299" s="15">
        <f>IFERROR(__xludf.DUMMYFUNCTION("""COMPUTED_VALUE"""),45949.02519641458)</f>
        <v>45949.0252</v>
      </c>
      <c r="K299" s="15">
        <f>IFERROR(__xludf.DUMMYFUNCTION("""COMPUTED_VALUE"""),45949.27162739239)</f>
        <v>45949.27163</v>
      </c>
      <c r="L299" s="4"/>
    </row>
    <row r="300">
      <c r="A300" s="1">
        <f>IFERROR(__xludf.DUMMYFUNCTION("""COMPUTED_VALUE"""),299.0)</f>
        <v>299</v>
      </c>
      <c r="B300" s="7" t="str">
        <f>IFERROR(__xludf.DUMMYFUNCTION("""COMPUTED_VALUE"""),"9036")</f>
        <v>9036</v>
      </c>
      <c r="C300" s="8" t="str">
        <f>IFERROR(__xludf.DUMMYFUNCTION("""COMPUTED_VALUE"""),"FAUZAN")</f>
        <v>FAUZAN</v>
      </c>
      <c r="D300" s="2" t="str">
        <f>IFERROR(__xludf.DUMMYFUNCTION("""COMPUTED_VALUE"""),"5KM STUDENT M")</f>
        <v>5KM STUDENT M</v>
      </c>
      <c r="E300" s="1">
        <f>IFERROR(__xludf.DUMMYFUNCTION("""COMPUTED_VALUE"""),36.0)</f>
        <v>36</v>
      </c>
      <c r="F300" s="1" t="str">
        <f>IFERROR(__xludf.DUMMYFUNCTION("""COMPUTED_VALUE"""),"Male")</f>
        <v>Male</v>
      </c>
      <c r="G300" s="5">
        <f>IFERROR(__xludf.DUMMYFUNCTION("""COMPUTED_VALUE"""),0.005040668981481481)</f>
        <v>0.005040668981</v>
      </c>
      <c r="H300" s="15">
        <f>IFERROR(__xludf.DUMMYFUNCTION("""COMPUTED_VALUE"""),0.2549440625)</f>
        <v>0.2549440625</v>
      </c>
      <c r="I300" s="15">
        <f>IFERROR(__xludf.DUMMYFUNCTION("""COMPUTED_VALUE"""),45949.2801474034)</f>
        <v>45949.28015</v>
      </c>
      <c r="J300" s="15">
        <f>IFERROR(__xludf.DUMMYFUNCTION("""COMPUTED_VALUE"""),45949.0252033409)</f>
        <v>45949.0252</v>
      </c>
      <c r="K300" s="15">
        <f>IFERROR(__xludf.DUMMYFUNCTION("""COMPUTED_VALUE"""),45949.26924545039)</f>
        <v>45949.26925</v>
      </c>
      <c r="L300" s="4"/>
    </row>
    <row r="301">
      <c r="A301" s="1">
        <f>IFERROR(__xludf.DUMMYFUNCTION("""COMPUTED_VALUE"""),300.0)</f>
        <v>300</v>
      </c>
      <c r="B301" s="7" t="str">
        <f>IFERROR(__xludf.DUMMYFUNCTION("""COMPUTED_VALUE"""),"9025")</f>
        <v>9025</v>
      </c>
      <c r="C301" s="8" t="str">
        <f>IFERROR(__xludf.DUMMYFUNCTION("""COMPUTED_VALUE"""),"Rizky")</f>
        <v>Rizky</v>
      </c>
      <c r="D301" s="2" t="str">
        <f>IFERROR(__xludf.DUMMYFUNCTION("""COMPUTED_VALUE"""),"5KM STUDENT M")</f>
        <v>5KM STUDENT M</v>
      </c>
      <c r="E301" s="1">
        <f>IFERROR(__xludf.DUMMYFUNCTION("""COMPUTED_VALUE"""),37.0)</f>
        <v>37</v>
      </c>
      <c r="F301" s="1" t="str">
        <f>IFERROR(__xludf.DUMMYFUNCTION("""COMPUTED_VALUE"""),"Male")</f>
        <v>Male</v>
      </c>
      <c r="G301" s="5">
        <f>IFERROR(__xludf.DUMMYFUNCTION("""COMPUTED_VALUE"""),0.0050427499999999995)</f>
        <v>0.00504275</v>
      </c>
      <c r="H301" s="15">
        <f>IFERROR(__xludf.DUMMYFUNCTION("""COMPUTED_VALUE"""),0.2549440625)</f>
        <v>0.2549440625</v>
      </c>
      <c r="I301" s="15">
        <f>IFERROR(__xludf.DUMMYFUNCTION("""COMPUTED_VALUE"""),45949.280157807065)</f>
        <v>45949.28016</v>
      </c>
      <c r="J301" s="15">
        <f>IFERROR(__xludf.DUMMYFUNCTION("""COMPUTED_VALUE"""),45949.025213744564)</f>
        <v>45949.02521</v>
      </c>
      <c r="K301" s="15">
        <f>IFERROR(__xludf.DUMMYFUNCTION("""COMPUTED_VALUE"""),45949.267658667035)</f>
        <v>45949.26766</v>
      </c>
      <c r="L301" s="4"/>
    </row>
    <row r="302">
      <c r="A302" s="1">
        <f>IFERROR(__xludf.DUMMYFUNCTION("""COMPUTED_VALUE"""),301.0)</f>
        <v>301</v>
      </c>
      <c r="B302" s="1">
        <f>IFERROR(__xludf.DUMMYFUNCTION("""COMPUTED_VALUE"""),5278.0)</f>
        <v>5278</v>
      </c>
      <c r="C302" s="2" t="str">
        <f>IFERROR(__xludf.DUMMYFUNCTION("""COMPUTED_VALUE"""),"M. Dimas Sanjaya")</f>
        <v>M. Dimas Sanjaya</v>
      </c>
      <c r="D302" s="2" t="str">
        <f>IFERROR(__xludf.DUMMYFUNCTION("""COMPUTED_VALUE"""),"5KM OVERALL M")</f>
        <v>5KM OVERALL M</v>
      </c>
      <c r="E302" s="1">
        <f>IFERROR(__xludf.DUMMYFUNCTION("""COMPUTED_VALUE"""),193.0)</f>
        <v>193</v>
      </c>
      <c r="F302" s="1" t="str">
        <f>IFERROR(__xludf.DUMMYFUNCTION("""COMPUTED_VALUE"""),"Male")</f>
        <v>Male</v>
      </c>
      <c r="G302" s="5">
        <f>IFERROR(__xludf.DUMMYFUNCTION("""COMPUTED_VALUE"""),0.005046222222222222)</f>
        <v>0.005046222222</v>
      </c>
      <c r="H302" s="15">
        <f>IFERROR(__xludf.DUMMYFUNCTION("""COMPUTED_VALUE"""),0.2549440625)</f>
        <v>0.2549440625</v>
      </c>
      <c r="I302" s="15">
        <f>IFERROR(__xludf.DUMMYFUNCTION("""COMPUTED_VALUE"""),45949.280175177264)</f>
        <v>45949.28018</v>
      </c>
      <c r="J302" s="15">
        <f>IFERROR(__xludf.DUMMYFUNCTION("""COMPUTED_VALUE"""),45949.02523111476)</f>
        <v>45949.02523</v>
      </c>
      <c r="K302" s="15">
        <f>IFERROR(__xludf.DUMMYFUNCTION("""COMPUTED_VALUE"""),45949.26899891149)</f>
        <v>45949.269</v>
      </c>
      <c r="L302" s="4"/>
    </row>
    <row r="303">
      <c r="A303" s="1">
        <f>IFERROR(__xludf.DUMMYFUNCTION("""COMPUTED_VALUE"""),302.0)</f>
        <v>302</v>
      </c>
      <c r="B303" s="1">
        <f>IFERROR(__xludf.DUMMYFUNCTION("""COMPUTED_VALUE"""),5898.0)</f>
        <v>5898</v>
      </c>
      <c r="C303" s="2" t="str">
        <f>IFERROR(__xludf.DUMMYFUNCTION("""COMPUTED_VALUE"""),"ILMY")</f>
        <v>ILMY</v>
      </c>
      <c r="D303" s="2" t="str">
        <f>IFERROR(__xludf.DUMMYFUNCTION("""COMPUTED_VALUE"""),"5KM OVERALL M")</f>
        <v>5KM OVERALL M</v>
      </c>
      <c r="E303" s="1">
        <f>IFERROR(__xludf.DUMMYFUNCTION("""COMPUTED_VALUE"""),194.0)</f>
        <v>194</v>
      </c>
      <c r="F303" s="1" t="str">
        <f>IFERROR(__xludf.DUMMYFUNCTION("""COMPUTED_VALUE"""),"Male")</f>
        <v>Male</v>
      </c>
      <c r="G303" s="5">
        <f>IFERROR(__xludf.DUMMYFUNCTION("""COMPUTED_VALUE"""),0.005046226851851851)</f>
        <v>0.005046226852</v>
      </c>
      <c r="H303" s="15">
        <f>IFERROR(__xludf.DUMMYFUNCTION("""COMPUTED_VALUE"""),0.2549440625)</f>
        <v>0.2549440625</v>
      </c>
      <c r="I303" s="15">
        <f>IFERROR(__xludf.DUMMYFUNCTION("""COMPUTED_VALUE"""),45949.2801751935)</f>
        <v>45949.28018</v>
      </c>
      <c r="J303" s="15">
        <f>IFERROR(__xludf.DUMMYFUNCTION("""COMPUTED_VALUE"""),45949.025231130996)</f>
        <v>45949.02523</v>
      </c>
      <c r="K303" s="15">
        <f>IFERROR(__xludf.DUMMYFUNCTION("""COMPUTED_VALUE"""),45949.26796452871)</f>
        <v>45949.26796</v>
      </c>
      <c r="L303" s="4"/>
    </row>
    <row r="304">
      <c r="A304" s="1">
        <f>IFERROR(__xludf.DUMMYFUNCTION("""COMPUTED_VALUE"""),303.0)</f>
        <v>303</v>
      </c>
      <c r="B304" s="1">
        <f>IFERROR(__xludf.DUMMYFUNCTION("""COMPUTED_VALUE"""),5625.0)</f>
        <v>5625</v>
      </c>
      <c r="C304" s="2" t="str">
        <f>IFERROR(__xludf.DUMMYFUNCTION("""COMPUTED_VALUE"""),"ROYYAN")</f>
        <v>ROYYAN</v>
      </c>
      <c r="D304" s="2" t="str">
        <f>IFERROR(__xludf.DUMMYFUNCTION("""COMPUTED_VALUE"""),"5KM OVERALL M")</f>
        <v>5KM OVERALL M</v>
      </c>
      <c r="E304" s="1">
        <f>IFERROR(__xludf.DUMMYFUNCTION("""COMPUTED_VALUE"""),195.0)</f>
        <v>195</v>
      </c>
      <c r="F304" s="1" t="str">
        <f>IFERROR(__xludf.DUMMYFUNCTION("""COMPUTED_VALUE"""),"Male")</f>
        <v>Male</v>
      </c>
      <c r="G304" s="5">
        <f>IFERROR(__xludf.DUMMYFUNCTION("""COMPUTED_VALUE"""),0.005048305555555555)</f>
        <v>0.005048305556</v>
      </c>
      <c r="H304" s="15">
        <f>IFERROR(__xludf.DUMMYFUNCTION("""COMPUTED_VALUE"""),0.2549440625)</f>
        <v>0.2549440625</v>
      </c>
      <c r="I304" s="15">
        <f>IFERROR(__xludf.DUMMYFUNCTION("""COMPUTED_VALUE"""),45949.2801855897)</f>
        <v>45949.28019</v>
      </c>
      <c r="J304" s="15">
        <f>IFERROR(__xludf.DUMMYFUNCTION("""COMPUTED_VALUE"""),45949.0252415272)</f>
        <v>45949.02524</v>
      </c>
      <c r="K304" s="15">
        <f>IFERROR(__xludf.DUMMYFUNCTION("""COMPUTED_VALUE"""),45949.27066211648)</f>
        <v>45949.27066</v>
      </c>
      <c r="L304" s="4"/>
    </row>
    <row r="305">
      <c r="A305" s="1">
        <f>IFERROR(__xludf.DUMMYFUNCTION("""COMPUTED_VALUE"""),304.0)</f>
        <v>304</v>
      </c>
      <c r="B305" s="1">
        <f>IFERROR(__xludf.DUMMYFUNCTION("""COMPUTED_VALUE"""),5358.0)</f>
        <v>5358</v>
      </c>
      <c r="C305" s="2" t="str">
        <f>IFERROR(__xludf.DUMMYFUNCTION("""COMPUTED_VALUE"""),"Rasditya")</f>
        <v>Rasditya</v>
      </c>
      <c r="D305" s="2" t="str">
        <f>IFERROR(__xludf.DUMMYFUNCTION("""COMPUTED_VALUE"""),"5KM OVERALL M")</f>
        <v>5KM OVERALL M</v>
      </c>
      <c r="E305" s="1">
        <f>IFERROR(__xludf.DUMMYFUNCTION("""COMPUTED_VALUE"""),196.0)</f>
        <v>196</v>
      </c>
      <c r="F305" s="1" t="str">
        <f>IFERROR(__xludf.DUMMYFUNCTION("""COMPUTED_VALUE"""),"Male")</f>
        <v>Male</v>
      </c>
      <c r="G305" s="5">
        <f>IFERROR(__xludf.DUMMYFUNCTION("""COMPUTED_VALUE"""),0.00505525)</f>
        <v>0.00505525</v>
      </c>
      <c r="H305" s="15">
        <f>IFERROR(__xludf.DUMMYFUNCTION("""COMPUTED_VALUE"""),0.2549440625)</f>
        <v>0.2549440625</v>
      </c>
      <c r="I305" s="15">
        <f>IFERROR(__xludf.DUMMYFUNCTION("""COMPUTED_VALUE"""),45949.28022031595)</f>
        <v>45949.28022</v>
      </c>
      <c r="J305" s="15">
        <f>IFERROR(__xludf.DUMMYFUNCTION("""COMPUTED_VALUE"""),45949.02527625345)</f>
        <v>45949.02528</v>
      </c>
      <c r="K305" s="15">
        <f>IFERROR(__xludf.DUMMYFUNCTION("""COMPUTED_VALUE"""),45949.268981609945)</f>
        <v>45949.26898</v>
      </c>
      <c r="L305" s="4"/>
    </row>
    <row r="306">
      <c r="A306" s="1">
        <f>IFERROR(__xludf.DUMMYFUNCTION("""COMPUTED_VALUE"""),305.0)</f>
        <v>305</v>
      </c>
      <c r="B306" s="7" t="str">
        <f>IFERROR(__xludf.DUMMYFUNCTION("""COMPUTED_VALUE"""),"9067")</f>
        <v>9067</v>
      </c>
      <c r="C306" s="8" t="str">
        <f>IFERROR(__xludf.DUMMYFUNCTION("""COMPUTED_VALUE"""),"RAFFI")</f>
        <v>RAFFI</v>
      </c>
      <c r="D306" s="2" t="str">
        <f>IFERROR(__xludf.DUMMYFUNCTION("""COMPUTED_VALUE"""),"5KM STUDENT M")</f>
        <v>5KM STUDENT M</v>
      </c>
      <c r="E306" s="1">
        <f>IFERROR(__xludf.DUMMYFUNCTION("""COMPUTED_VALUE"""),38.0)</f>
        <v>38</v>
      </c>
      <c r="F306" s="1" t="str">
        <f>IFERROR(__xludf.DUMMYFUNCTION("""COMPUTED_VALUE"""),"Male")</f>
        <v>Male</v>
      </c>
      <c r="G306" s="5">
        <f>IFERROR(__xludf.DUMMYFUNCTION("""COMPUTED_VALUE"""),0.005072611111111111)</f>
        <v>0.005072611111</v>
      </c>
      <c r="H306" s="15">
        <f>IFERROR(__xludf.DUMMYFUNCTION("""COMPUTED_VALUE"""),0.2549440625)</f>
        <v>0.2549440625</v>
      </c>
      <c r="I306" s="15">
        <f>IFERROR(__xludf.DUMMYFUNCTION("""COMPUTED_VALUE"""),45949.280307123445)</f>
        <v>45949.28031</v>
      </c>
      <c r="J306" s="15">
        <f>IFERROR(__xludf.DUMMYFUNCTION("""COMPUTED_VALUE"""),45949.025363060944)</f>
        <v>45949.02536</v>
      </c>
      <c r="K306" s="15">
        <f>IFERROR(__xludf.DUMMYFUNCTION("""COMPUTED_VALUE"""),45949.26859265607)</f>
        <v>45949.26859</v>
      </c>
      <c r="L306" s="4"/>
    </row>
    <row r="307">
      <c r="A307" s="1">
        <f>IFERROR(__xludf.DUMMYFUNCTION("""COMPUTED_VALUE"""),306.0)</f>
        <v>306</v>
      </c>
      <c r="B307" s="1">
        <f>IFERROR(__xludf.DUMMYFUNCTION("""COMPUTED_VALUE"""),7006.0)</f>
        <v>7006</v>
      </c>
      <c r="C307" s="2" t="str">
        <f>IFERROR(__xludf.DUMMYFUNCTION("""COMPUTED_VALUE"""),"dyanred")</f>
        <v>dyanred</v>
      </c>
      <c r="D307" s="2" t="str">
        <f>IFERROR(__xludf.DUMMYFUNCTION("""COMPUTED_VALUE"""),"5KM MASTER M")</f>
        <v>5KM MASTER M</v>
      </c>
      <c r="E307" s="1">
        <f>IFERROR(__xludf.DUMMYFUNCTION("""COMPUTED_VALUE"""),33.0)</f>
        <v>33</v>
      </c>
      <c r="F307" s="1" t="str">
        <f>IFERROR(__xludf.DUMMYFUNCTION("""COMPUTED_VALUE"""),"Male")</f>
        <v>Male</v>
      </c>
      <c r="G307" s="5">
        <f>IFERROR(__xludf.DUMMYFUNCTION("""COMPUTED_VALUE"""),0.005074046296296296)</f>
        <v>0.005074046296</v>
      </c>
      <c r="H307" s="15">
        <f>IFERROR(__xludf.DUMMYFUNCTION("""COMPUTED_VALUE"""),0.2549440625)</f>
        <v>0.2549440625</v>
      </c>
      <c r="I307" s="15">
        <f>IFERROR(__xludf.DUMMYFUNCTION("""COMPUTED_VALUE"""),45949.280314295786)</f>
        <v>45949.28031</v>
      </c>
      <c r="J307" s="15">
        <f>IFERROR(__xludf.DUMMYFUNCTION("""COMPUTED_VALUE"""),45949.025370233285)</f>
        <v>45949.02537</v>
      </c>
      <c r="K307" s="15">
        <f>IFERROR(__xludf.DUMMYFUNCTION("""COMPUTED_VALUE"""),45949.27030105168)</f>
        <v>45949.2703</v>
      </c>
      <c r="L307" s="4"/>
    </row>
    <row r="308">
      <c r="A308" s="1">
        <f>IFERROR(__xludf.DUMMYFUNCTION("""COMPUTED_VALUE"""),307.0)</f>
        <v>307</v>
      </c>
      <c r="B308" s="1">
        <f>IFERROR(__xludf.DUMMYFUNCTION("""COMPUTED_VALUE"""),6507.0)</f>
        <v>6507</v>
      </c>
      <c r="C308" s="2" t="str">
        <f>IFERROR(__xludf.DUMMYFUNCTION("""COMPUTED_VALUE"""),"DUTA TV")</f>
        <v>DUTA TV</v>
      </c>
      <c r="D308" s="2" t="str">
        <f>IFERROR(__xludf.DUMMYFUNCTION("""COMPUTED_VALUE"""),"5KM OVERALL M")</f>
        <v>5KM OVERALL M</v>
      </c>
      <c r="E308" s="1">
        <f>IFERROR(__xludf.DUMMYFUNCTION("""COMPUTED_VALUE"""),197.0)</f>
        <v>197</v>
      </c>
      <c r="F308" s="1" t="str">
        <f>IFERROR(__xludf.DUMMYFUNCTION("""COMPUTED_VALUE"""),"Male")</f>
        <v>Male</v>
      </c>
      <c r="G308" s="5">
        <f>IFERROR(__xludf.DUMMYFUNCTION("""COMPUTED_VALUE"""),0.005077530092592592)</f>
        <v>0.005077530093</v>
      </c>
      <c r="H308" s="15">
        <f>IFERROR(__xludf.DUMMYFUNCTION("""COMPUTED_VALUE"""),0.2549440625)</f>
        <v>0.2549440625</v>
      </c>
      <c r="I308" s="15">
        <f>IFERROR(__xludf.DUMMYFUNCTION("""COMPUTED_VALUE"""),45949.28033170859)</f>
        <v>45949.28033</v>
      </c>
      <c r="J308" s="15">
        <f>IFERROR(__xludf.DUMMYFUNCTION("""COMPUTED_VALUE"""),45949.02538764609)</f>
        <v>45949.02539</v>
      </c>
      <c r="K308" s="15">
        <f>IFERROR(__xludf.DUMMYFUNCTION("""COMPUTED_VALUE"""),45949.2710266827)</f>
        <v>45949.27103</v>
      </c>
      <c r="L308" s="4"/>
    </row>
    <row r="309">
      <c r="A309" s="1">
        <f>IFERROR(__xludf.DUMMYFUNCTION("""COMPUTED_VALUE"""),308.0)</f>
        <v>308</v>
      </c>
      <c r="B309" s="1">
        <f>IFERROR(__xludf.DUMMYFUNCTION("""COMPUTED_VALUE"""),6529.0)</f>
        <v>6529</v>
      </c>
      <c r="C309" s="2" t="str">
        <f>IFERROR(__xludf.DUMMYFUNCTION("""COMPUTED_VALUE"""),"PACER - RENNY")</f>
        <v>PACER - RENNY</v>
      </c>
      <c r="D309" s="2" t="str">
        <f>IFERROR(__xludf.DUMMYFUNCTION("""COMPUTED_VALUE"""),"5KM OVERALL F")</f>
        <v>5KM OVERALL F</v>
      </c>
      <c r="E309" s="1">
        <f>IFERROR(__xludf.DUMMYFUNCTION("""COMPUTED_VALUE"""),27.0)</f>
        <v>27</v>
      </c>
      <c r="F309" s="1" t="str">
        <f>IFERROR(__xludf.DUMMYFUNCTION("""COMPUTED_VALUE"""),"Female")</f>
        <v>Female</v>
      </c>
      <c r="G309" s="5">
        <f>IFERROR(__xludf.DUMMYFUNCTION("""COMPUTED_VALUE"""),0.005087196759259259)</f>
        <v>0.005087196759</v>
      </c>
      <c r="H309" s="15">
        <f>IFERROR(__xludf.DUMMYFUNCTION("""COMPUTED_VALUE"""),0.2549440625)</f>
        <v>0.2549440625</v>
      </c>
      <c r="I309" s="15">
        <f>IFERROR(__xludf.DUMMYFUNCTION("""COMPUTED_VALUE"""),45949.28038004076)</f>
        <v>45949.28038</v>
      </c>
      <c r="J309" s="15">
        <f>IFERROR(__xludf.DUMMYFUNCTION("""COMPUTED_VALUE"""),45949.025435978256)</f>
        <v>45949.02544</v>
      </c>
      <c r="K309" s="15">
        <f>IFERROR(__xludf.DUMMYFUNCTION("""COMPUTED_VALUE"""),45949.26936342593)</f>
        <v>45949.26936</v>
      </c>
      <c r="L309" s="4"/>
    </row>
    <row r="310">
      <c r="A310" s="1">
        <f>IFERROR(__xludf.DUMMYFUNCTION("""COMPUTED_VALUE"""),309.0)</f>
        <v>309</v>
      </c>
      <c r="B310" s="1">
        <f>IFERROR(__xludf.DUMMYFUNCTION("""COMPUTED_VALUE"""),5283.0)</f>
        <v>5283</v>
      </c>
      <c r="C310" s="2" t="str">
        <f>IFERROR(__xludf.DUMMYFUNCTION("""COMPUTED_VALUE"""),"Danu")</f>
        <v>Danu</v>
      </c>
      <c r="D310" s="2" t="str">
        <f>IFERROR(__xludf.DUMMYFUNCTION("""COMPUTED_VALUE"""),"5KM OVERALL M")</f>
        <v>5KM OVERALL M</v>
      </c>
      <c r="E310" s="1">
        <f>IFERROR(__xludf.DUMMYFUNCTION("""COMPUTED_VALUE"""),198.0)</f>
        <v>198</v>
      </c>
      <c r="F310" s="1" t="str">
        <f>IFERROR(__xludf.DUMMYFUNCTION("""COMPUTED_VALUE"""),"Male")</f>
        <v>Male</v>
      </c>
      <c r="G310" s="5">
        <f>IFERROR(__xludf.DUMMYFUNCTION("""COMPUTED_VALUE"""),0.005088585648148148)</f>
        <v>0.005088585648</v>
      </c>
      <c r="H310" s="15">
        <f>IFERROR(__xludf.DUMMYFUNCTION("""COMPUTED_VALUE"""),0.2549440625)</f>
        <v>0.2549440625</v>
      </c>
      <c r="I310" s="15">
        <f>IFERROR(__xludf.DUMMYFUNCTION("""COMPUTED_VALUE"""),45949.28038698637)</f>
        <v>45949.28039</v>
      </c>
      <c r="J310" s="15">
        <f>IFERROR(__xludf.DUMMYFUNCTION("""COMPUTED_VALUE"""),45949.02544292387)</f>
        <v>45949.02544</v>
      </c>
      <c r="K310" s="15">
        <f>IFERROR(__xludf.DUMMYFUNCTION("""COMPUTED_VALUE"""),45949.2679364065)</f>
        <v>45949.26794</v>
      </c>
      <c r="L310" s="4"/>
    </row>
    <row r="311">
      <c r="A311" s="1">
        <f>IFERROR(__xludf.DUMMYFUNCTION("""COMPUTED_VALUE"""),310.0)</f>
        <v>310</v>
      </c>
      <c r="B311" s="1">
        <f>IFERROR(__xludf.DUMMYFUNCTION("""COMPUTED_VALUE"""),5135.0)</f>
        <v>5135</v>
      </c>
      <c r="C311" s="2" t="str">
        <f>IFERROR(__xludf.DUMMYFUNCTION("""COMPUTED_VALUE"""),"aci")</f>
        <v>aci</v>
      </c>
      <c r="D311" s="2" t="str">
        <f>IFERROR(__xludf.DUMMYFUNCTION("""COMPUTED_VALUE"""),"5KM OVERALL M")</f>
        <v>5KM OVERALL M</v>
      </c>
      <c r="E311" s="1">
        <f>IFERROR(__xludf.DUMMYFUNCTION("""COMPUTED_VALUE"""),199.0)</f>
        <v>199</v>
      </c>
      <c r="F311" s="1" t="str">
        <f>IFERROR(__xludf.DUMMYFUNCTION("""COMPUTED_VALUE"""),"Male")</f>
        <v>Male</v>
      </c>
      <c r="G311" s="5">
        <f>IFERROR(__xludf.DUMMYFUNCTION("""COMPUTED_VALUE"""),0.005090668981481481)</f>
        <v>0.005090668981</v>
      </c>
      <c r="H311" s="15">
        <f>IFERROR(__xludf.DUMMYFUNCTION("""COMPUTED_VALUE"""),0.2549440625)</f>
        <v>0.2549440625</v>
      </c>
      <c r="I311" s="15">
        <f>IFERROR(__xludf.DUMMYFUNCTION("""COMPUTED_VALUE"""),45949.28039740813)</f>
        <v>45949.2804</v>
      </c>
      <c r="J311" s="15">
        <f>IFERROR(__xludf.DUMMYFUNCTION("""COMPUTED_VALUE"""),45949.02545334563)</f>
        <v>45949.02545</v>
      </c>
      <c r="K311" s="15">
        <f>IFERROR(__xludf.DUMMYFUNCTION("""COMPUTED_VALUE"""),45949.268832240086)</f>
        <v>45949.26883</v>
      </c>
      <c r="L311" s="4"/>
    </row>
    <row r="312">
      <c r="A312" s="1">
        <f>IFERROR(__xludf.DUMMYFUNCTION("""COMPUTED_VALUE"""),311.0)</f>
        <v>311</v>
      </c>
      <c r="B312" s="1">
        <f>IFERROR(__xludf.DUMMYFUNCTION("""COMPUTED_VALUE"""),6540.0)</f>
        <v>6540</v>
      </c>
      <c r="C312" s="2" t="str">
        <f>IFERROR(__xludf.DUMMYFUNCTION("""COMPUTED_VALUE"""),"ZAINUDDIN")</f>
        <v>ZAINUDDIN</v>
      </c>
      <c r="D312" s="2" t="str">
        <f>IFERROR(__xludf.DUMMYFUNCTION("""COMPUTED_VALUE"""),"5KM OVERALL M")</f>
        <v>5KM OVERALL M</v>
      </c>
      <c r="E312" s="1">
        <f>IFERROR(__xludf.DUMMYFUNCTION("""COMPUTED_VALUE"""),200.0)</f>
        <v>200</v>
      </c>
      <c r="F312" s="1" t="str">
        <f>IFERROR(__xludf.DUMMYFUNCTION("""COMPUTED_VALUE"""),"Male")</f>
        <v>Male</v>
      </c>
      <c r="G312" s="5">
        <f>IFERROR(__xludf.DUMMYFUNCTION("""COMPUTED_VALUE"""),0.005091569444444445)</f>
        <v>0.005091569444</v>
      </c>
      <c r="H312" s="15">
        <f>IFERROR(__xludf.DUMMYFUNCTION("""COMPUTED_VALUE"""),0.2549440625)</f>
        <v>0.2549440625</v>
      </c>
      <c r="I312" s="15">
        <f>IFERROR(__xludf.DUMMYFUNCTION("""COMPUTED_VALUE"""),45949.28040191465)</f>
        <v>45949.2804</v>
      </c>
      <c r="J312" s="15">
        <f>IFERROR(__xludf.DUMMYFUNCTION("""COMPUTED_VALUE"""),45949.02545785215)</f>
        <v>45949.02546</v>
      </c>
      <c r="K312" s="15">
        <f>IFERROR(__xludf.DUMMYFUNCTION("""COMPUTED_VALUE"""),45949.26973502204)</f>
        <v>45949.26974</v>
      </c>
      <c r="L312" s="4"/>
    </row>
    <row r="313">
      <c r="A313" s="1">
        <f>IFERROR(__xludf.DUMMYFUNCTION("""COMPUTED_VALUE"""),312.0)</f>
        <v>312</v>
      </c>
      <c r="B313" s="1">
        <f>IFERROR(__xludf.DUMMYFUNCTION("""COMPUTED_VALUE"""),5360.0)</f>
        <v>5360</v>
      </c>
      <c r="C313" s="2" t="str">
        <f>IFERROR(__xludf.DUMMYFUNCTION("""COMPUTED_VALUE"""),"zhon")</f>
        <v>zhon</v>
      </c>
      <c r="D313" s="2" t="str">
        <f>IFERROR(__xludf.DUMMYFUNCTION("""COMPUTED_VALUE"""),"5KM OVERALL M")</f>
        <v>5KM OVERALL M</v>
      </c>
      <c r="E313" s="1">
        <f>IFERROR(__xludf.DUMMYFUNCTION("""COMPUTED_VALUE"""),201.0)</f>
        <v>201</v>
      </c>
      <c r="F313" s="1" t="str">
        <f>IFERROR(__xludf.DUMMYFUNCTION("""COMPUTED_VALUE"""),"Male")</f>
        <v>Male</v>
      </c>
      <c r="G313" s="5">
        <f>IFERROR(__xludf.DUMMYFUNCTION("""COMPUTED_VALUE"""),0.005099)</f>
        <v>0.005099</v>
      </c>
      <c r="H313" s="15">
        <f>IFERROR(__xludf.DUMMYFUNCTION("""COMPUTED_VALUE"""),0.2549440625)</f>
        <v>0.2549440625</v>
      </c>
      <c r="I313" s="15">
        <f>IFERROR(__xludf.DUMMYFUNCTION("""COMPUTED_VALUE"""),45949.28043906189)</f>
        <v>45949.28044</v>
      </c>
      <c r="J313" s="15">
        <f>IFERROR(__xludf.DUMMYFUNCTION("""COMPUTED_VALUE"""),45949.02549499939)</f>
        <v>45949.02549</v>
      </c>
      <c r="K313" s="15">
        <f>IFERROR(__xludf.DUMMYFUNCTION("""COMPUTED_VALUE"""),45949.26976974259)</f>
        <v>45949.26977</v>
      </c>
      <c r="L313" s="4"/>
    </row>
    <row r="314">
      <c r="A314" s="1">
        <f>IFERROR(__xludf.DUMMYFUNCTION("""COMPUTED_VALUE"""),313.0)</f>
        <v>313</v>
      </c>
      <c r="B314" s="1">
        <f>IFERROR(__xludf.DUMMYFUNCTION("""COMPUTED_VALUE"""),7042.0)</f>
        <v>7042</v>
      </c>
      <c r="C314" s="2" t="str">
        <f>IFERROR(__xludf.DUMMYFUNCTION("""COMPUTED_VALUE"""),"Hanan Azmie")</f>
        <v>Hanan Azmie</v>
      </c>
      <c r="D314" s="2" t="str">
        <f>IFERROR(__xludf.DUMMYFUNCTION("""COMPUTED_VALUE"""),"5KM MASTER F")</f>
        <v>5KM MASTER F</v>
      </c>
      <c r="E314" s="1">
        <f>IFERROR(__xludf.DUMMYFUNCTION("""COMPUTED_VALUE"""),10.0)</f>
        <v>10</v>
      </c>
      <c r="F314" s="1" t="str">
        <f>IFERROR(__xludf.DUMMYFUNCTION("""COMPUTED_VALUE"""),"Female")</f>
        <v>Female</v>
      </c>
      <c r="G314" s="5">
        <f>IFERROR(__xludf.DUMMYFUNCTION("""COMPUTED_VALUE"""),0.005101085648148148)</f>
        <v>0.005101085648</v>
      </c>
      <c r="H314" s="15">
        <f>IFERROR(__xludf.DUMMYFUNCTION("""COMPUTED_VALUE"""),0.2549440625)</f>
        <v>0.2549440625</v>
      </c>
      <c r="I314" s="15">
        <f>IFERROR(__xludf.DUMMYFUNCTION("""COMPUTED_VALUE"""),45949.28044948612)</f>
        <v>45949.28045</v>
      </c>
      <c r="J314" s="15">
        <f>IFERROR(__xludf.DUMMYFUNCTION("""COMPUTED_VALUE"""),45949.02550542362)</f>
        <v>45949.02551</v>
      </c>
      <c r="K314" s="15">
        <f>IFERROR(__xludf.DUMMYFUNCTION("""COMPUTED_VALUE"""),45949.26847118847)</f>
        <v>45949.26847</v>
      </c>
      <c r="L314" s="4"/>
    </row>
    <row r="315">
      <c r="A315" s="1">
        <f>IFERROR(__xludf.DUMMYFUNCTION("""COMPUTED_VALUE"""),314.0)</f>
        <v>314</v>
      </c>
      <c r="B315" s="1">
        <f>IFERROR(__xludf.DUMMYFUNCTION("""COMPUTED_VALUE"""),5609.0)</f>
        <v>5609</v>
      </c>
      <c r="C315" s="2" t="str">
        <f>IFERROR(__xludf.DUMMYFUNCTION("""COMPUTED_VALUE"""),"oceed")</f>
        <v>oceed</v>
      </c>
      <c r="D315" s="2" t="str">
        <f>IFERROR(__xludf.DUMMYFUNCTION("""COMPUTED_VALUE"""),"5KM OVERALL M")</f>
        <v>5KM OVERALL M</v>
      </c>
      <c r="E315" s="1">
        <f>IFERROR(__xludf.DUMMYFUNCTION("""COMPUTED_VALUE"""),202.0)</f>
        <v>202</v>
      </c>
      <c r="F315" s="1" t="str">
        <f>IFERROR(__xludf.DUMMYFUNCTION("""COMPUTED_VALUE"""),"Male")</f>
        <v>Male</v>
      </c>
      <c r="G315" s="5">
        <f>IFERROR(__xludf.DUMMYFUNCTION("""COMPUTED_VALUE"""),0.005102462962962963)</f>
        <v>0.005102462963</v>
      </c>
      <c r="H315" s="15">
        <f>IFERROR(__xludf.DUMMYFUNCTION("""COMPUTED_VALUE"""),0.2549440625)</f>
        <v>0.2549440625</v>
      </c>
      <c r="I315" s="15">
        <f>IFERROR(__xludf.DUMMYFUNCTION("""COMPUTED_VALUE"""),45949.28045638045)</f>
        <v>45949.28046</v>
      </c>
      <c r="J315" s="15">
        <f>IFERROR(__xludf.DUMMYFUNCTION("""COMPUTED_VALUE"""),45949.02551231795)</f>
        <v>45949.02551</v>
      </c>
      <c r="K315" s="15">
        <f>IFERROR(__xludf.DUMMYFUNCTION("""COMPUTED_VALUE"""),45949.2708183596)</f>
        <v>45949.27082</v>
      </c>
      <c r="L315" s="4"/>
    </row>
    <row r="316">
      <c r="A316" s="1">
        <f>IFERROR(__xludf.DUMMYFUNCTION("""COMPUTED_VALUE"""),315.0)</f>
        <v>315</v>
      </c>
      <c r="B316" s="7" t="str">
        <f>IFERROR(__xludf.DUMMYFUNCTION("""COMPUTED_VALUE"""),"7123")</f>
        <v>7123</v>
      </c>
      <c r="C316" s="8" t="str">
        <f>IFERROR(__xludf.DUMMYFUNCTION("""COMPUTED_VALUE"""),"LUKMAN HAKIM")</f>
        <v>LUKMAN HAKIM</v>
      </c>
      <c r="D316" s="2" t="str">
        <f>IFERROR(__xludf.DUMMYFUNCTION("""COMPUTED_VALUE"""),"5KM MASTER M")</f>
        <v>5KM MASTER M</v>
      </c>
      <c r="E316" s="1">
        <f>IFERROR(__xludf.DUMMYFUNCTION("""COMPUTED_VALUE"""),34.0)</f>
        <v>34</v>
      </c>
      <c r="F316" s="1" t="str">
        <f>IFERROR(__xludf.DUMMYFUNCTION("""COMPUTED_VALUE"""),"Male")</f>
        <v>Male</v>
      </c>
      <c r="G316" s="5">
        <f>IFERROR(__xludf.DUMMYFUNCTION("""COMPUTED_VALUE"""),0.005103166666666667)</f>
        <v>0.005103166667</v>
      </c>
      <c r="H316" s="15">
        <f>IFERROR(__xludf.DUMMYFUNCTION("""COMPUTED_VALUE"""),0.2549440625)</f>
        <v>0.2549440625</v>
      </c>
      <c r="I316" s="15">
        <f>IFERROR(__xludf.DUMMYFUNCTION("""COMPUTED_VALUE"""),45949.28045989158)</f>
        <v>45949.28046</v>
      </c>
      <c r="J316" s="15">
        <f>IFERROR(__xludf.DUMMYFUNCTION("""COMPUTED_VALUE"""),45949.02551582908)</f>
        <v>45949.02552</v>
      </c>
      <c r="K316" s="15">
        <f>IFERROR(__xludf.DUMMYFUNCTION("""COMPUTED_VALUE"""),45949.269380907994)</f>
        <v>45949.26938</v>
      </c>
      <c r="L316" s="4"/>
    </row>
    <row r="317">
      <c r="A317" s="1">
        <f>IFERROR(__xludf.DUMMYFUNCTION("""COMPUTED_VALUE"""),316.0)</f>
        <v>316</v>
      </c>
      <c r="B317" s="1">
        <f>IFERROR(__xludf.DUMMYFUNCTION("""COMPUTED_VALUE"""),6197.0)</f>
        <v>6197</v>
      </c>
      <c r="C317" s="2" t="str">
        <f>IFERROR(__xludf.DUMMYFUNCTION("""COMPUTED_VALUE"""),"Auliani")</f>
        <v>Auliani</v>
      </c>
      <c r="D317" s="2" t="str">
        <f>IFERROR(__xludf.DUMMYFUNCTION("""COMPUTED_VALUE"""),"5KM OVERALL M")</f>
        <v>5KM OVERALL M</v>
      </c>
      <c r="E317" s="1">
        <f>IFERROR(__xludf.DUMMYFUNCTION("""COMPUTED_VALUE"""),203.0)</f>
        <v>203</v>
      </c>
      <c r="F317" s="1" t="str">
        <f>IFERROR(__xludf.DUMMYFUNCTION("""COMPUTED_VALUE"""),"Male")</f>
        <v>Male</v>
      </c>
      <c r="G317" s="5">
        <f>IFERROR(__xludf.DUMMYFUNCTION("""COMPUTED_VALUE"""),0.005106002314814815)</f>
        <v>0.005106002315</v>
      </c>
      <c r="H317" s="15">
        <f>IFERROR(__xludf.DUMMYFUNCTION("""COMPUTED_VALUE"""),0.2549440625)</f>
        <v>0.2549440625</v>
      </c>
      <c r="I317" s="15">
        <f>IFERROR(__xludf.DUMMYFUNCTION("""COMPUTED_VALUE"""),45949.28047407891)</f>
        <v>45949.28047</v>
      </c>
      <c r="J317" s="15">
        <f>IFERROR(__xludf.DUMMYFUNCTION("""COMPUTED_VALUE"""),45949.025530016406)</f>
        <v>45949.02553</v>
      </c>
      <c r="K317" s="15">
        <f>IFERROR(__xludf.DUMMYFUNCTION("""COMPUTED_VALUE"""),45949.27024552253)</f>
        <v>45949.27025</v>
      </c>
      <c r="L317" s="4"/>
    </row>
    <row r="318">
      <c r="A318" s="1">
        <f>IFERROR(__xludf.DUMMYFUNCTION("""COMPUTED_VALUE"""),317.0)</f>
        <v>317</v>
      </c>
      <c r="B318" s="1">
        <f>IFERROR(__xludf.DUMMYFUNCTION("""COMPUTED_VALUE"""),6400.0)</f>
        <v>6400</v>
      </c>
      <c r="C318" s="2" t="str">
        <f>IFERROR(__xludf.DUMMYFUNCTION("""COMPUTED_VALUE"""),"I KADEK PASEK PURNAMA")</f>
        <v>I KADEK PASEK PURNAMA</v>
      </c>
      <c r="D318" s="2" t="str">
        <f>IFERROR(__xludf.DUMMYFUNCTION("""COMPUTED_VALUE"""),"5KM OVERALL M")</f>
        <v>5KM OVERALL M</v>
      </c>
      <c r="E318" s="1">
        <f>IFERROR(__xludf.DUMMYFUNCTION("""COMPUTED_VALUE"""),204.0)</f>
        <v>204</v>
      </c>
      <c r="F318" s="1" t="str">
        <f>IFERROR(__xludf.DUMMYFUNCTION("""COMPUTED_VALUE"""),"Male")</f>
        <v>Male</v>
      </c>
      <c r="G318" s="5">
        <f>IFERROR(__xludf.DUMMYFUNCTION("""COMPUTED_VALUE"""),0.005106638888888889)</f>
        <v>0.005106638889</v>
      </c>
      <c r="H318" s="15">
        <f>IFERROR(__xludf.DUMMYFUNCTION("""COMPUTED_VALUE"""),0.2549440625)</f>
        <v>0.2549440625</v>
      </c>
      <c r="I318" s="15">
        <f>IFERROR(__xludf.DUMMYFUNCTION("""COMPUTED_VALUE"""),45949.28047725218)</f>
        <v>45949.28048</v>
      </c>
      <c r="J318" s="15">
        <f>IFERROR(__xludf.DUMMYFUNCTION("""COMPUTED_VALUE"""),45949.02553318968)</f>
        <v>45949.02553</v>
      </c>
      <c r="K318" s="15">
        <f>IFERROR(__xludf.DUMMYFUNCTION("""COMPUTED_VALUE"""),45949.2692419661)</f>
        <v>45949.26924</v>
      </c>
      <c r="L318" s="4"/>
    </row>
    <row r="319">
      <c r="A319" s="1">
        <f>IFERROR(__xludf.DUMMYFUNCTION("""COMPUTED_VALUE"""),318.0)</f>
        <v>318</v>
      </c>
      <c r="B319" s="1">
        <f>IFERROR(__xludf.DUMMYFUNCTION("""COMPUTED_VALUE"""),5811.0)</f>
        <v>5811</v>
      </c>
      <c r="C319" s="2" t="str">
        <f>IFERROR(__xludf.DUMMYFUNCTION("""COMPUTED_VALUE"""),"LUTHFAN")</f>
        <v>LUTHFAN</v>
      </c>
      <c r="D319" s="2" t="str">
        <f>IFERROR(__xludf.DUMMYFUNCTION("""COMPUTED_VALUE"""),"5KM OVERALL M")</f>
        <v>5KM OVERALL M</v>
      </c>
      <c r="E319" s="1">
        <f>IFERROR(__xludf.DUMMYFUNCTION("""COMPUTED_VALUE"""),205.0)</f>
        <v>205</v>
      </c>
      <c r="F319" s="1" t="str">
        <f>IFERROR(__xludf.DUMMYFUNCTION("""COMPUTED_VALUE"""),"Male")</f>
        <v>Male</v>
      </c>
      <c r="G319" s="5">
        <f>IFERROR(__xludf.DUMMYFUNCTION("""COMPUTED_VALUE"""),0.0051066412037037035)</f>
        <v>0.005106641204</v>
      </c>
      <c r="H319" s="15">
        <f>IFERROR(__xludf.DUMMYFUNCTION("""COMPUTED_VALUE"""),0.2549440625)</f>
        <v>0.2549440625</v>
      </c>
      <c r="I319" s="15">
        <f>IFERROR(__xludf.DUMMYFUNCTION("""COMPUTED_VALUE"""),45949.28047726615)</f>
        <v>45949.28048</v>
      </c>
      <c r="J319" s="15">
        <f>IFERROR(__xludf.DUMMYFUNCTION("""COMPUTED_VALUE"""),45949.02553320365)</f>
        <v>45949.02553</v>
      </c>
      <c r="K319" s="15">
        <f>IFERROR(__xludf.DUMMYFUNCTION("""COMPUTED_VALUE"""),45949.269585760776)</f>
        <v>45949.26959</v>
      </c>
      <c r="L319" s="4"/>
    </row>
    <row r="320">
      <c r="A320" s="1">
        <f>IFERROR(__xludf.DUMMYFUNCTION("""COMPUTED_VALUE"""),319.0)</f>
        <v>319</v>
      </c>
      <c r="B320" s="1">
        <f>IFERROR(__xludf.DUMMYFUNCTION("""COMPUTED_VALUE"""),6043.0)</f>
        <v>6043</v>
      </c>
      <c r="C320" s="2" t="str">
        <f>IFERROR(__xludf.DUMMYFUNCTION("""COMPUTED_VALUE"""),"Marmut Suci")</f>
        <v>Marmut Suci</v>
      </c>
      <c r="D320" s="2" t="str">
        <f>IFERROR(__xludf.DUMMYFUNCTION("""COMPUTED_VALUE"""),"5KM OVERALL F")</f>
        <v>5KM OVERALL F</v>
      </c>
      <c r="E320" s="1">
        <f>IFERROR(__xludf.DUMMYFUNCTION("""COMPUTED_VALUE"""),28.0)</f>
        <v>28</v>
      </c>
      <c r="F320" s="1" t="str">
        <f>IFERROR(__xludf.DUMMYFUNCTION("""COMPUTED_VALUE"""),"Female")</f>
        <v>Female</v>
      </c>
      <c r="G320" s="5">
        <f>IFERROR(__xludf.DUMMYFUNCTION("""COMPUTED_VALUE"""),0.005108018518518519)</f>
        <v>0.005108018519</v>
      </c>
      <c r="H320" s="15">
        <f>IFERROR(__xludf.DUMMYFUNCTION("""COMPUTED_VALUE"""),0.2549440625)</f>
        <v>0.2549440625</v>
      </c>
      <c r="I320" s="15">
        <f>IFERROR(__xludf.DUMMYFUNCTION("""COMPUTED_VALUE"""),45949.28048414949)</f>
        <v>45949.28048</v>
      </c>
      <c r="J320" s="15">
        <f>IFERROR(__xludf.DUMMYFUNCTION("""COMPUTED_VALUE"""),45949.02554008699)</f>
        <v>45949.02554</v>
      </c>
      <c r="K320" s="15">
        <f>IFERROR(__xludf.DUMMYFUNCTION("""COMPUTED_VALUE"""),45949.270099618)</f>
        <v>45949.2701</v>
      </c>
      <c r="L320" s="4"/>
    </row>
    <row r="321">
      <c r="A321" s="1">
        <f>IFERROR(__xludf.DUMMYFUNCTION("""COMPUTED_VALUE"""),320.0)</f>
        <v>320</v>
      </c>
      <c r="B321" s="1">
        <f>IFERROR(__xludf.DUMMYFUNCTION("""COMPUTED_VALUE"""),6530.0)</f>
        <v>6530</v>
      </c>
      <c r="C321" s="2" t="str">
        <f>IFERROR(__xludf.DUMMYFUNCTION("""COMPUTED_VALUE"""),"PACER - CLAUDIA")</f>
        <v>PACER - CLAUDIA</v>
      </c>
      <c r="D321" s="2" t="str">
        <f>IFERROR(__xludf.DUMMYFUNCTION("""COMPUTED_VALUE"""),"5KM OVERALL F")</f>
        <v>5KM OVERALL F</v>
      </c>
      <c r="E321" s="1">
        <f>IFERROR(__xludf.DUMMYFUNCTION("""COMPUTED_VALUE"""),29.0)</f>
        <v>29</v>
      </c>
      <c r="F321" s="1" t="str">
        <f>IFERROR(__xludf.DUMMYFUNCTION("""COMPUTED_VALUE"""),"Female")</f>
        <v>Female</v>
      </c>
      <c r="G321" s="5">
        <f>IFERROR(__xludf.DUMMYFUNCTION("""COMPUTED_VALUE"""),0.005126777777777778)</f>
        <v>0.005126777778</v>
      </c>
      <c r="H321" s="15">
        <f>IFERROR(__xludf.DUMMYFUNCTION("""COMPUTED_VALUE"""),0.2549440625)</f>
        <v>0.2549440625</v>
      </c>
      <c r="I321" s="15">
        <f>IFERROR(__xludf.DUMMYFUNCTION("""COMPUTED_VALUE"""),45949.28057794668)</f>
        <v>45949.28058</v>
      </c>
      <c r="J321" s="15">
        <f>IFERROR(__xludf.DUMMYFUNCTION("""COMPUTED_VALUE"""),45949.02563388418)</f>
        <v>45949.02563</v>
      </c>
      <c r="K321" s="15">
        <f>IFERROR(__xludf.DUMMYFUNCTION("""COMPUTED_VALUE"""),45949.26935310816)</f>
        <v>45949.26935</v>
      </c>
      <c r="L321" s="4"/>
    </row>
    <row r="322">
      <c r="A322" s="1">
        <f>IFERROR(__xludf.DUMMYFUNCTION("""COMPUTED_VALUE"""),321.0)</f>
        <v>321</v>
      </c>
      <c r="B322" s="1">
        <f>IFERROR(__xludf.DUMMYFUNCTION("""COMPUTED_VALUE"""),6497.0)</f>
        <v>6497</v>
      </c>
      <c r="C322" s="2" t="str">
        <f>IFERROR(__xludf.DUMMYFUNCTION("""COMPUTED_VALUE"""),"KEJARI BANJARBARU")</f>
        <v>KEJARI BANJARBARU</v>
      </c>
      <c r="D322" s="2" t="str">
        <f>IFERROR(__xludf.DUMMYFUNCTION("""COMPUTED_VALUE"""),"5KM OVERALL M")</f>
        <v>5KM OVERALL M</v>
      </c>
      <c r="E322" s="1">
        <f>IFERROR(__xludf.DUMMYFUNCTION("""COMPUTED_VALUE"""),206.0)</f>
        <v>206</v>
      </c>
      <c r="F322" s="1" t="str">
        <f>IFERROR(__xludf.DUMMYFUNCTION("""COMPUTED_VALUE"""),"Male")</f>
        <v>Male</v>
      </c>
      <c r="G322" s="5">
        <f>IFERROR(__xludf.DUMMYFUNCTION("""COMPUTED_VALUE"""),0.005134416666666667)</f>
        <v>0.005134416667</v>
      </c>
      <c r="H322" s="15">
        <f>IFERROR(__xludf.DUMMYFUNCTION("""COMPUTED_VALUE"""),0.2549440625)</f>
        <v>0.2549440625</v>
      </c>
      <c r="I322" s="15">
        <f>IFERROR(__xludf.DUMMYFUNCTION("""COMPUTED_VALUE"""),45949.280616148266)</f>
        <v>45949.28062</v>
      </c>
      <c r="J322" s="15">
        <f>IFERROR(__xludf.DUMMYFUNCTION("""COMPUTED_VALUE"""),45949.025672085765)</f>
        <v>45949.02567</v>
      </c>
      <c r="K322" s="15">
        <f>IFERROR(__xludf.DUMMYFUNCTION("""COMPUTED_VALUE"""),45949.26930446758)</f>
        <v>45949.2693</v>
      </c>
      <c r="L322" s="4"/>
    </row>
    <row r="323">
      <c r="A323" s="1">
        <f>IFERROR(__xludf.DUMMYFUNCTION("""COMPUTED_VALUE"""),322.0)</f>
        <v>322</v>
      </c>
      <c r="B323" s="1">
        <f>IFERROR(__xludf.DUMMYFUNCTION("""COMPUTED_VALUE"""),5123.0)</f>
        <v>5123</v>
      </c>
      <c r="C323" s="2" t="str">
        <f>IFERROR(__xludf.DUMMYFUNCTION("""COMPUTED_VALUE"""),"Fuad Wija")</f>
        <v>Fuad Wija</v>
      </c>
      <c r="D323" s="2" t="str">
        <f>IFERROR(__xludf.DUMMYFUNCTION("""COMPUTED_VALUE"""),"5KM OVERALL M")</f>
        <v>5KM OVERALL M</v>
      </c>
      <c r="E323" s="1">
        <f>IFERROR(__xludf.DUMMYFUNCTION("""COMPUTED_VALUE"""),207.0)</f>
        <v>207</v>
      </c>
      <c r="F323" s="1" t="str">
        <f>IFERROR(__xludf.DUMMYFUNCTION("""COMPUTED_VALUE"""),"Male")</f>
        <v>Male</v>
      </c>
      <c r="G323" s="5">
        <f>IFERROR(__xludf.DUMMYFUNCTION("""COMPUTED_VALUE"""),0.005136502314814815)</f>
        <v>0.005136502315</v>
      </c>
      <c r="H323" s="15">
        <f>IFERROR(__xludf.DUMMYFUNCTION("""COMPUTED_VALUE"""),0.2549440625)</f>
        <v>0.2549440625</v>
      </c>
      <c r="I323" s="15">
        <f>IFERROR(__xludf.DUMMYFUNCTION("""COMPUTED_VALUE"""),45949.28062656859)</f>
        <v>45949.28063</v>
      </c>
      <c r="J323" s="15">
        <f>IFERROR(__xludf.DUMMYFUNCTION("""COMPUTED_VALUE"""),45949.025682506086)</f>
        <v>45949.02568</v>
      </c>
      <c r="K323" s="15">
        <f>IFERROR(__xludf.DUMMYFUNCTION("""COMPUTED_VALUE"""),45949.269694464376)</f>
        <v>45949.26969</v>
      </c>
      <c r="L323" s="4"/>
    </row>
    <row r="324">
      <c r="A324" s="1">
        <f>IFERROR(__xludf.DUMMYFUNCTION("""COMPUTED_VALUE"""),323.0)</f>
        <v>323</v>
      </c>
      <c r="B324" s="1">
        <f>IFERROR(__xludf.DUMMYFUNCTION("""COMPUTED_VALUE"""),5307.0)</f>
        <v>5307</v>
      </c>
      <c r="C324" s="2" t="str">
        <f>IFERROR(__xludf.DUMMYFUNCTION("""COMPUTED_VALUE"""),"Apandi")</f>
        <v>Apandi</v>
      </c>
      <c r="D324" s="2" t="str">
        <f>IFERROR(__xludf.DUMMYFUNCTION("""COMPUTED_VALUE"""),"5KM OVERALL M")</f>
        <v>5KM OVERALL M</v>
      </c>
      <c r="E324" s="1">
        <f>IFERROR(__xludf.DUMMYFUNCTION("""COMPUTED_VALUE"""),208.0)</f>
        <v>208</v>
      </c>
      <c r="F324" s="1" t="str">
        <f>IFERROR(__xludf.DUMMYFUNCTION("""COMPUTED_VALUE"""),"Male")</f>
        <v>Male</v>
      </c>
      <c r="G324" s="5">
        <f>IFERROR(__xludf.DUMMYFUNCTION("""COMPUTED_VALUE"""),0.005149002314814815)</f>
        <v>0.005149002315</v>
      </c>
      <c r="H324" s="15">
        <f>IFERROR(__xludf.DUMMYFUNCTION("""COMPUTED_VALUE"""),0.2549440625)</f>
        <v>0.2549440625</v>
      </c>
      <c r="I324" s="15">
        <f>IFERROR(__xludf.DUMMYFUNCTION("""COMPUTED_VALUE"""),45949.280689071944)</f>
        <v>45949.28069</v>
      </c>
      <c r="J324" s="15">
        <f>IFERROR(__xludf.DUMMYFUNCTION("""COMPUTED_VALUE"""),45949.02574500944)</f>
        <v>45949.02575</v>
      </c>
      <c r="K324" s="15">
        <f>IFERROR(__xludf.DUMMYFUNCTION("""COMPUTED_VALUE"""),45949.26858919707)</f>
        <v>45949.26859</v>
      </c>
      <c r="L324" s="4"/>
    </row>
    <row r="325">
      <c r="A325" s="1">
        <f>IFERROR(__xludf.DUMMYFUNCTION("""COMPUTED_VALUE"""),324.0)</f>
        <v>324</v>
      </c>
      <c r="B325" s="1">
        <f>IFERROR(__xludf.DUMMYFUNCTION("""COMPUTED_VALUE"""),6236.0)</f>
        <v>6236</v>
      </c>
      <c r="C325" s="2" t="str">
        <f>IFERROR(__xludf.DUMMYFUNCTION("""COMPUTED_VALUE"""),"rian huthut")</f>
        <v>rian huthut</v>
      </c>
      <c r="D325" s="2" t="str">
        <f>IFERROR(__xludf.DUMMYFUNCTION("""COMPUTED_VALUE"""),"5KM OVERALL M")</f>
        <v>5KM OVERALL M</v>
      </c>
      <c r="E325" s="1">
        <f>IFERROR(__xludf.DUMMYFUNCTION("""COMPUTED_VALUE"""),209.0)</f>
        <v>209</v>
      </c>
      <c r="F325" s="1" t="str">
        <f>IFERROR(__xludf.DUMMYFUNCTION("""COMPUTED_VALUE"""),"Male")</f>
        <v>Male</v>
      </c>
      <c r="G325" s="5">
        <f>IFERROR(__xludf.DUMMYFUNCTION("""COMPUTED_VALUE"""),0.005150388888888888)</f>
        <v>0.005150388889</v>
      </c>
      <c r="H325" s="15">
        <f>IFERROR(__xludf.DUMMYFUNCTION("""COMPUTED_VALUE"""),0.2549440625)</f>
        <v>0.2549440625</v>
      </c>
      <c r="I325" s="15">
        <f>IFERROR(__xludf.DUMMYFUNCTION("""COMPUTED_VALUE"""),45949.28069600453)</f>
        <v>45949.2807</v>
      </c>
      <c r="J325" s="15">
        <f>IFERROR(__xludf.DUMMYFUNCTION("""COMPUTED_VALUE"""),45949.02575194203)</f>
        <v>45949.02575</v>
      </c>
      <c r="K325" s="15">
        <f>IFERROR(__xludf.DUMMYFUNCTION("""COMPUTED_VALUE"""),45949.269689945075)</f>
        <v>45949.26969</v>
      </c>
      <c r="L325" s="4"/>
    </row>
    <row r="326">
      <c r="A326" s="1">
        <f>IFERROR(__xludf.DUMMYFUNCTION("""COMPUTED_VALUE"""),325.0)</f>
        <v>325</v>
      </c>
      <c r="B326" s="7" t="str">
        <f>IFERROR(__xludf.DUMMYFUNCTION("""COMPUTED_VALUE"""),"9006")</f>
        <v>9006</v>
      </c>
      <c r="C326" s="8" t="str">
        <f>IFERROR(__xludf.DUMMYFUNCTION("""COMPUTED_VALUE"""),"yumna")</f>
        <v>yumna</v>
      </c>
      <c r="D326" s="2" t="str">
        <f>IFERROR(__xludf.DUMMYFUNCTION("""COMPUTED_VALUE"""),"5KM STUDENT F")</f>
        <v>5KM STUDENT F</v>
      </c>
      <c r="E326" s="1">
        <f>IFERROR(__xludf.DUMMYFUNCTION("""COMPUTED_VALUE"""),5.0)</f>
        <v>5</v>
      </c>
      <c r="F326" s="1" t="str">
        <f>IFERROR(__xludf.DUMMYFUNCTION("""COMPUTED_VALUE"""),"Female")</f>
        <v>Female</v>
      </c>
      <c r="G326" s="5">
        <f>IFERROR(__xludf.DUMMYFUNCTION("""COMPUTED_VALUE"""),0.005151083333333333)</f>
        <v>0.005151083333</v>
      </c>
      <c r="H326" s="15">
        <f>IFERROR(__xludf.DUMMYFUNCTION("""COMPUTED_VALUE"""),0.2549440625)</f>
        <v>0.2549440625</v>
      </c>
      <c r="I326" s="15">
        <f>IFERROR(__xludf.DUMMYFUNCTION("""COMPUTED_VALUE"""),45949.28069947684)</f>
        <v>45949.2807</v>
      </c>
      <c r="J326" s="15">
        <f>IFERROR(__xludf.DUMMYFUNCTION("""COMPUTED_VALUE"""),45949.02575541434)</f>
        <v>45949.02576</v>
      </c>
      <c r="K326" s="15">
        <f>IFERROR(__xludf.DUMMYFUNCTION("""COMPUTED_VALUE"""),45949.2702875128)</f>
        <v>45949.27029</v>
      </c>
      <c r="L326" s="4"/>
    </row>
    <row r="327">
      <c r="A327" s="1">
        <f>IFERROR(__xludf.DUMMYFUNCTION("""COMPUTED_VALUE"""),326.0)</f>
        <v>326</v>
      </c>
      <c r="B327" s="1">
        <f>IFERROR(__xludf.DUMMYFUNCTION("""COMPUTED_VALUE"""),5134.0)</f>
        <v>5134</v>
      </c>
      <c r="C327" s="2" t="str">
        <f>IFERROR(__xludf.DUMMYFUNCTION("""COMPUTED_VALUE"""),"ranggadrecht")</f>
        <v>ranggadrecht</v>
      </c>
      <c r="D327" s="2" t="str">
        <f>IFERROR(__xludf.DUMMYFUNCTION("""COMPUTED_VALUE"""),"5KM OVERALL M")</f>
        <v>5KM OVERALL M</v>
      </c>
      <c r="E327" s="1">
        <f>IFERROR(__xludf.DUMMYFUNCTION("""COMPUTED_VALUE"""),210.0)</f>
        <v>210</v>
      </c>
      <c r="F327" s="1" t="str">
        <f>IFERROR(__xludf.DUMMYFUNCTION("""COMPUTED_VALUE"""),"Male")</f>
        <v>Male</v>
      </c>
      <c r="G327" s="5">
        <f>IFERROR(__xludf.DUMMYFUNCTION("""COMPUTED_VALUE"""),0.005152474537037038)</f>
        <v>0.005152474537</v>
      </c>
      <c r="H327" s="15">
        <f>IFERROR(__xludf.DUMMYFUNCTION("""COMPUTED_VALUE"""),0.2549440625)</f>
        <v>0.2549440625</v>
      </c>
      <c r="I327" s="15">
        <f>IFERROR(__xludf.DUMMYFUNCTION("""COMPUTED_VALUE"""),45949.28070643146)</f>
        <v>45949.28071</v>
      </c>
      <c r="J327" s="15">
        <f>IFERROR(__xludf.DUMMYFUNCTION("""COMPUTED_VALUE"""),45949.02576236896)</f>
        <v>45949.02576</v>
      </c>
      <c r="K327" s="15">
        <f>IFERROR(__xludf.DUMMYFUNCTION("""COMPUTED_VALUE"""),45949.27032184178)</f>
        <v>45949.27032</v>
      </c>
      <c r="L327" s="4"/>
    </row>
    <row r="328">
      <c r="A328" s="1">
        <f>IFERROR(__xludf.DUMMYFUNCTION("""COMPUTED_VALUE"""),327.0)</f>
        <v>327</v>
      </c>
      <c r="B328" s="1">
        <f>IFERROR(__xludf.DUMMYFUNCTION("""COMPUTED_VALUE"""),5605.0)</f>
        <v>5605</v>
      </c>
      <c r="C328" s="2" t="str">
        <f>IFERROR(__xludf.DUMMYFUNCTION("""COMPUTED_VALUE"""),"APRIZAL")</f>
        <v>APRIZAL</v>
      </c>
      <c r="D328" s="2" t="str">
        <f>IFERROR(__xludf.DUMMYFUNCTION("""COMPUTED_VALUE"""),"5KM OVERALL M")</f>
        <v>5KM OVERALL M</v>
      </c>
      <c r="E328" s="1">
        <f>IFERROR(__xludf.DUMMYFUNCTION("""COMPUTED_VALUE"""),211.0)</f>
        <v>211</v>
      </c>
      <c r="F328" s="1" t="str">
        <f>IFERROR(__xludf.DUMMYFUNCTION("""COMPUTED_VALUE"""),"Male")</f>
        <v>Male</v>
      </c>
      <c r="G328" s="5">
        <f>IFERROR(__xludf.DUMMYFUNCTION("""COMPUTED_VALUE"""),0.005159416666666666)</f>
        <v>0.005159416667</v>
      </c>
      <c r="H328" s="15">
        <f>IFERROR(__xludf.DUMMYFUNCTION("""COMPUTED_VALUE"""),0.2549440625)</f>
        <v>0.2549440625</v>
      </c>
      <c r="I328" s="15">
        <f>IFERROR(__xludf.DUMMYFUNCTION("""COMPUTED_VALUE"""),45949.28074115051)</f>
        <v>45949.28074</v>
      </c>
      <c r="J328" s="15">
        <f>IFERROR(__xludf.DUMMYFUNCTION("""COMPUTED_VALUE"""),45949.02579708801)</f>
        <v>45949.0258</v>
      </c>
      <c r="K328" s="15">
        <f>IFERROR(__xludf.DUMMYFUNCTION("""COMPUTED_VALUE"""),45949.27022460862)</f>
        <v>45949.27022</v>
      </c>
      <c r="L328" s="4"/>
    </row>
    <row r="329">
      <c r="A329" s="1">
        <f>IFERROR(__xludf.DUMMYFUNCTION("""COMPUTED_VALUE"""),328.0)</f>
        <v>328</v>
      </c>
      <c r="B329" s="1">
        <f>IFERROR(__xludf.DUMMYFUNCTION("""COMPUTED_VALUE"""),5688.0)</f>
        <v>5688</v>
      </c>
      <c r="C329" s="2" t="str">
        <f>IFERROR(__xludf.DUMMYFUNCTION("""COMPUTED_VALUE"""),"Firdaus")</f>
        <v>Firdaus</v>
      </c>
      <c r="D329" s="2" t="str">
        <f>IFERROR(__xludf.DUMMYFUNCTION("""COMPUTED_VALUE"""),"5KM OVERALL M")</f>
        <v>5KM OVERALL M</v>
      </c>
      <c r="E329" s="1">
        <f>IFERROR(__xludf.DUMMYFUNCTION("""COMPUTED_VALUE"""),212.0)</f>
        <v>212</v>
      </c>
      <c r="F329" s="1" t="str">
        <f>IFERROR(__xludf.DUMMYFUNCTION("""COMPUTED_VALUE"""),"Male")</f>
        <v>Male</v>
      </c>
      <c r="G329" s="5">
        <f>IFERROR(__xludf.DUMMYFUNCTION("""COMPUTED_VALUE"""),0.005160104166666667)</f>
        <v>0.005160104167</v>
      </c>
      <c r="H329" s="15">
        <f>IFERROR(__xludf.DUMMYFUNCTION("""COMPUTED_VALUE"""),0.2549440625)</f>
        <v>0.2549440625</v>
      </c>
      <c r="I329" s="15">
        <f>IFERROR(__xludf.DUMMYFUNCTION("""COMPUTED_VALUE"""),45949.28074457755)</f>
        <v>45949.28074</v>
      </c>
      <c r="J329" s="15">
        <f>IFERROR(__xludf.DUMMYFUNCTION("""COMPUTED_VALUE"""),45949.025800515046)</f>
        <v>45949.0258</v>
      </c>
      <c r="K329" s="15">
        <f>IFERROR(__xludf.DUMMYFUNCTION("""COMPUTED_VALUE"""),45949.27020376597)</f>
        <v>45949.2702</v>
      </c>
      <c r="L329" s="4"/>
    </row>
    <row r="330">
      <c r="A330" s="1">
        <f>IFERROR(__xludf.DUMMYFUNCTION("""COMPUTED_VALUE"""),329.0)</f>
        <v>329</v>
      </c>
      <c r="B330" s="1">
        <f>IFERROR(__xludf.DUMMYFUNCTION("""COMPUTED_VALUE"""),7073.0)</f>
        <v>7073</v>
      </c>
      <c r="C330" s="2" t="str">
        <f>IFERROR(__xludf.DUMMYFUNCTION("""COMPUTED_VALUE"""),"Andy Wahyu")</f>
        <v>Andy Wahyu</v>
      </c>
      <c r="D330" s="2" t="str">
        <f>IFERROR(__xludf.DUMMYFUNCTION("""COMPUTED_VALUE"""),"5KM MASTER M")</f>
        <v>5KM MASTER M</v>
      </c>
      <c r="E330" s="1">
        <f>IFERROR(__xludf.DUMMYFUNCTION("""COMPUTED_VALUE"""),35.0)</f>
        <v>35</v>
      </c>
      <c r="F330" s="1" t="str">
        <f>IFERROR(__xludf.DUMMYFUNCTION("""COMPUTED_VALUE"""),"Male")</f>
        <v>Male</v>
      </c>
      <c r="G330" s="5">
        <f>IFERROR(__xludf.DUMMYFUNCTION("""COMPUTED_VALUE"""),0.005161493055555555)</f>
        <v>0.005161493056</v>
      </c>
      <c r="H330" s="15">
        <f>IFERROR(__xludf.DUMMYFUNCTION("""COMPUTED_VALUE"""),0.2549440625)</f>
        <v>0.2549440625</v>
      </c>
      <c r="I330" s="15">
        <f>IFERROR(__xludf.DUMMYFUNCTION("""COMPUTED_VALUE"""),45949.2807515241)</f>
        <v>45949.28075</v>
      </c>
      <c r="J330" s="15">
        <f>IFERROR(__xludf.DUMMYFUNCTION("""COMPUTED_VALUE"""),45949.0258074616)</f>
        <v>45949.02581</v>
      </c>
      <c r="K330" s="15">
        <f>IFERROR(__xludf.DUMMYFUNCTION("""COMPUTED_VALUE"""),45949.2699676953)</f>
        <v>45949.26997</v>
      </c>
      <c r="L330" s="4"/>
    </row>
    <row r="331">
      <c r="A331" s="1">
        <f>IFERROR(__xludf.DUMMYFUNCTION("""COMPUTED_VALUE"""),330.0)</f>
        <v>330</v>
      </c>
      <c r="B331" s="1">
        <f>IFERROR(__xludf.DUMMYFUNCTION("""COMPUTED_VALUE"""),5386.0)</f>
        <v>5386</v>
      </c>
      <c r="C331" s="2" t="str">
        <f>IFERROR(__xludf.DUMMYFUNCTION("""COMPUTED_VALUE"""),"Ardy Prayogo")</f>
        <v>Ardy Prayogo</v>
      </c>
      <c r="D331" s="2" t="str">
        <f>IFERROR(__xludf.DUMMYFUNCTION("""COMPUTED_VALUE"""),"5KM OVERALL M")</f>
        <v>5KM OVERALL M</v>
      </c>
      <c r="E331" s="1">
        <f>IFERROR(__xludf.DUMMYFUNCTION("""COMPUTED_VALUE"""),213.0)</f>
        <v>213</v>
      </c>
      <c r="F331" s="1" t="str">
        <f>IFERROR(__xludf.DUMMYFUNCTION("""COMPUTED_VALUE"""),"Male")</f>
        <v>Male</v>
      </c>
      <c r="G331" s="5">
        <f>IFERROR(__xludf.DUMMYFUNCTION("""COMPUTED_VALUE"""),0.005162888888888889)</f>
        <v>0.005162888889</v>
      </c>
      <c r="H331" s="15">
        <f>IFERROR(__xludf.DUMMYFUNCTION("""COMPUTED_VALUE"""),0.2549440625)</f>
        <v>0.2549440625</v>
      </c>
      <c r="I331" s="15">
        <f>IFERROR(__xludf.DUMMYFUNCTION("""COMPUTED_VALUE"""),45949.28075850156)</f>
        <v>45949.28076</v>
      </c>
      <c r="J331" s="15">
        <f>IFERROR(__xludf.DUMMYFUNCTION("""COMPUTED_VALUE"""),45949.02581443906)</f>
        <v>45949.02581</v>
      </c>
      <c r="K331" s="15">
        <f>IFERROR(__xludf.DUMMYFUNCTION("""COMPUTED_VALUE"""),45949.26831841162)</f>
        <v>45949.26832</v>
      </c>
      <c r="L331" s="4"/>
    </row>
    <row r="332">
      <c r="A332" s="1">
        <f>IFERROR(__xludf.DUMMYFUNCTION("""COMPUTED_VALUE"""),331.0)</f>
        <v>331</v>
      </c>
      <c r="B332" s="1">
        <f>IFERROR(__xludf.DUMMYFUNCTION("""COMPUTED_VALUE"""),5498.0)</f>
        <v>5498</v>
      </c>
      <c r="C332" s="2" t="str">
        <f>IFERROR(__xludf.DUMMYFUNCTION("""COMPUTED_VALUE"""),"Human_error")</f>
        <v>Human_error</v>
      </c>
      <c r="D332" s="2" t="str">
        <f>IFERROR(__xludf.DUMMYFUNCTION("""COMPUTED_VALUE"""),"5KM OVERALL M")</f>
        <v>5KM OVERALL M</v>
      </c>
      <c r="E332" s="1">
        <f>IFERROR(__xludf.DUMMYFUNCTION("""COMPUTED_VALUE"""),214.0)</f>
        <v>214</v>
      </c>
      <c r="F332" s="1" t="str">
        <f>IFERROR(__xludf.DUMMYFUNCTION("""COMPUTED_VALUE"""),"Male")</f>
        <v>Male</v>
      </c>
      <c r="G332" s="5">
        <f>IFERROR(__xludf.DUMMYFUNCTION("""COMPUTED_VALUE"""),0.005162891203703704)</f>
        <v>0.005162891204</v>
      </c>
      <c r="H332" s="15">
        <f>IFERROR(__xludf.DUMMYFUNCTION("""COMPUTED_VALUE"""),0.2549440625)</f>
        <v>0.2549440625</v>
      </c>
      <c r="I332" s="15">
        <f>IFERROR(__xludf.DUMMYFUNCTION("""COMPUTED_VALUE"""),45949.28075851339)</f>
        <v>45949.28076</v>
      </c>
      <c r="J332" s="15">
        <f>IFERROR(__xludf.DUMMYFUNCTION("""COMPUTED_VALUE"""),45949.02581445089)</f>
        <v>45949.02581</v>
      </c>
      <c r="K332" s="15">
        <f>IFERROR(__xludf.DUMMYFUNCTION("""COMPUTED_VALUE"""),45949.27022814995)</f>
        <v>45949.27023</v>
      </c>
      <c r="L332" s="4"/>
    </row>
    <row r="333">
      <c r="A333" s="1">
        <f>IFERROR(__xludf.DUMMYFUNCTION("""COMPUTED_VALUE"""),332.0)</f>
        <v>332</v>
      </c>
      <c r="B333" s="1">
        <f>IFERROR(__xludf.DUMMYFUNCTION("""COMPUTED_VALUE"""),5792.0)</f>
        <v>5792</v>
      </c>
      <c r="C333" s="2" t="str">
        <f>IFERROR(__xludf.DUMMYFUNCTION("""COMPUTED_VALUE"""),"DEVA WIRATAMA")</f>
        <v>DEVA WIRATAMA</v>
      </c>
      <c r="D333" s="2" t="str">
        <f>IFERROR(__xludf.DUMMYFUNCTION("""COMPUTED_VALUE"""),"5KM OVERALL M")</f>
        <v>5KM OVERALL M</v>
      </c>
      <c r="E333" s="1">
        <f>IFERROR(__xludf.DUMMYFUNCTION("""COMPUTED_VALUE"""),215.0)</f>
        <v>215</v>
      </c>
      <c r="F333" s="1" t="str">
        <f>IFERROR(__xludf.DUMMYFUNCTION("""COMPUTED_VALUE"""),"Male")</f>
        <v>Male</v>
      </c>
      <c r="G333" s="5">
        <f>IFERROR(__xludf.DUMMYFUNCTION("""COMPUTED_VALUE"""),0.005167055555555556)</f>
        <v>0.005167055556</v>
      </c>
      <c r="H333" s="15">
        <f>IFERROR(__xludf.DUMMYFUNCTION("""COMPUTED_VALUE"""),0.2549440625)</f>
        <v>0.2549440625</v>
      </c>
      <c r="I333" s="15">
        <f>IFERROR(__xludf.DUMMYFUNCTION("""COMPUTED_VALUE"""),45949.28077934432)</f>
        <v>45949.28078</v>
      </c>
      <c r="J333" s="15">
        <f>IFERROR(__xludf.DUMMYFUNCTION("""COMPUTED_VALUE"""),45949.02583528182)</f>
        <v>45949.02584</v>
      </c>
      <c r="K333" s="15">
        <f>IFERROR(__xludf.DUMMYFUNCTION("""COMPUTED_VALUE"""),45949.26931487783)</f>
        <v>45949.26931</v>
      </c>
      <c r="L333" s="4"/>
    </row>
    <row r="334">
      <c r="A334" s="1">
        <f>IFERROR(__xludf.DUMMYFUNCTION("""COMPUTED_VALUE"""),333.0)</f>
        <v>333</v>
      </c>
      <c r="B334" s="1">
        <f>IFERROR(__xludf.DUMMYFUNCTION("""COMPUTED_VALUE"""),5395.0)</f>
        <v>5395</v>
      </c>
      <c r="C334" s="2" t="str">
        <f>IFERROR(__xludf.DUMMYFUNCTION("""COMPUTED_VALUE"""),"Akma")</f>
        <v>Akma</v>
      </c>
      <c r="D334" s="2" t="str">
        <f>IFERROR(__xludf.DUMMYFUNCTION("""COMPUTED_VALUE"""),"5KM OVERALL M")</f>
        <v>5KM OVERALL M</v>
      </c>
      <c r="E334" s="1">
        <f>IFERROR(__xludf.DUMMYFUNCTION("""COMPUTED_VALUE"""),216.0)</f>
        <v>216</v>
      </c>
      <c r="F334" s="1" t="str">
        <f>IFERROR(__xludf.DUMMYFUNCTION("""COMPUTED_VALUE"""),"Male")</f>
        <v>Male</v>
      </c>
      <c r="G334" s="5">
        <f>IFERROR(__xludf.DUMMYFUNCTION("""COMPUTED_VALUE"""),0.005184418981481481)</f>
        <v>0.005184418981</v>
      </c>
      <c r="H334" s="15">
        <f>IFERROR(__xludf.DUMMYFUNCTION("""COMPUTED_VALUE"""),0.2549440625)</f>
        <v>0.2549440625</v>
      </c>
      <c r="I334" s="15">
        <f>IFERROR(__xludf.DUMMYFUNCTION("""COMPUTED_VALUE"""),45949.280866153254)</f>
        <v>45949.28087</v>
      </c>
      <c r="J334" s="15">
        <f>IFERROR(__xludf.DUMMYFUNCTION("""COMPUTED_VALUE"""),45949.025922090754)</f>
        <v>45949.02592</v>
      </c>
      <c r="K334" s="15">
        <f>IFERROR(__xludf.DUMMYFUNCTION("""COMPUTED_VALUE"""),45949.271537099485)</f>
        <v>45949.27154</v>
      </c>
      <c r="L334" s="4"/>
    </row>
    <row r="335">
      <c r="A335" s="1">
        <f>IFERROR(__xludf.DUMMYFUNCTION("""COMPUTED_VALUE"""),334.0)</f>
        <v>334</v>
      </c>
      <c r="B335" s="1">
        <f>IFERROR(__xludf.DUMMYFUNCTION("""COMPUTED_VALUE"""),5296.0)</f>
        <v>5296</v>
      </c>
      <c r="C335" s="2" t="str">
        <f>IFERROR(__xludf.DUMMYFUNCTION("""COMPUTED_VALUE"""),"Madii")</f>
        <v>Madii</v>
      </c>
      <c r="D335" s="2" t="str">
        <f>IFERROR(__xludf.DUMMYFUNCTION("""COMPUTED_VALUE"""),"5KM OVERALL M")</f>
        <v>5KM OVERALL M</v>
      </c>
      <c r="E335" s="1">
        <f>IFERROR(__xludf.DUMMYFUNCTION("""COMPUTED_VALUE"""),217.0)</f>
        <v>217</v>
      </c>
      <c r="F335" s="1" t="str">
        <f>IFERROR(__xludf.DUMMYFUNCTION("""COMPUTED_VALUE"""),"Male")</f>
        <v>Male</v>
      </c>
      <c r="G335" s="5">
        <f>IFERROR(__xludf.DUMMYFUNCTION("""COMPUTED_VALUE"""),0.005188583333333333)</f>
        <v>0.005188583333</v>
      </c>
      <c r="H335" s="15">
        <f>IFERROR(__xludf.DUMMYFUNCTION("""COMPUTED_VALUE"""),0.2549440625)</f>
        <v>0.2549440625</v>
      </c>
      <c r="I335" s="15">
        <f>IFERROR(__xludf.DUMMYFUNCTION("""COMPUTED_VALUE"""),45949.28088697424)</f>
        <v>45949.28089</v>
      </c>
      <c r="J335" s="15">
        <f>IFERROR(__xludf.DUMMYFUNCTION("""COMPUTED_VALUE"""),45949.025942911736)</f>
        <v>45949.02594</v>
      </c>
      <c r="K335" s="15">
        <f>IFERROR(__xludf.DUMMYFUNCTION("""COMPUTED_VALUE"""),45949.27029057287)</f>
        <v>45949.27029</v>
      </c>
      <c r="L335" s="4"/>
    </row>
    <row r="336">
      <c r="A336" s="1">
        <f>IFERROR(__xludf.DUMMYFUNCTION("""COMPUTED_VALUE"""),335.0)</f>
        <v>335</v>
      </c>
      <c r="B336" s="1">
        <f>IFERROR(__xludf.DUMMYFUNCTION("""COMPUTED_VALUE"""),6570.0)</f>
        <v>6570</v>
      </c>
      <c r="C336" s="2" t="str">
        <f>IFERROR(__xludf.DUMMYFUNCTION("""COMPUTED_VALUE"""),"Ibnu Atoillah")</f>
        <v>Ibnu Atoillah</v>
      </c>
      <c r="D336" s="2" t="str">
        <f>IFERROR(__xludf.DUMMYFUNCTION("""COMPUTED_VALUE"""),"5KM OVERALL M")</f>
        <v>5KM OVERALL M</v>
      </c>
      <c r="E336" s="1">
        <f>IFERROR(__xludf.DUMMYFUNCTION("""COMPUTED_VALUE"""),218.0)</f>
        <v>218</v>
      </c>
      <c r="F336" s="1" t="str">
        <f>IFERROR(__xludf.DUMMYFUNCTION("""COMPUTED_VALUE"""),"Male")</f>
        <v>Male</v>
      </c>
      <c r="G336" s="5">
        <f>IFERROR(__xludf.DUMMYFUNCTION("""COMPUTED_VALUE"""),0.005194833333333334)</f>
        <v>0.005194833333</v>
      </c>
      <c r="H336" s="15">
        <f>IFERROR(__xludf.DUMMYFUNCTION("""COMPUTED_VALUE"""),0.2549440625)</f>
        <v>0.2549440625</v>
      </c>
      <c r="I336" s="15">
        <f>IFERROR(__xludf.DUMMYFUNCTION("""COMPUTED_VALUE"""),45949.28091822841)</f>
        <v>45949.28092</v>
      </c>
      <c r="J336" s="15">
        <f>IFERROR(__xludf.DUMMYFUNCTION("""COMPUTED_VALUE"""),45949.02597416591)</f>
        <v>45949.02597</v>
      </c>
      <c r="K336" s="15">
        <f>IFERROR(__xludf.DUMMYFUNCTION("""COMPUTED_VALUE"""),45949.27163160133)</f>
        <v>45949.27163</v>
      </c>
      <c r="L336" s="4"/>
    </row>
    <row r="337">
      <c r="A337" s="1">
        <f>IFERROR(__xludf.DUMMYFUNCTION("""COMPUTED_VALUE"""),336.0)</f>
        <v>336</v>
      </c>
      <c r="B337" s="1">
        <f>IFERROR(__xludf.DUMMYFUNCTION("""COMPUTED_VALUE"""),5847.0)</f>
        <v>5847</v>
      </c>
      <c r="C337" s="2" t="str">
        <f>IFERROR(__xludf.DUMMYFUNCTION("""COMPUTED_VALUE"""),"Ahmad Zayn")</f>
        <v>Ahmad Zayn</v>
      </c>
      <c r="D337" s="2" t="str">
        <f>IFERROR(__xludf.DUMMYFUNCTION("""COMPUTED_VALUE"""),"5KM OVERALL M")</f>
        <v>5KM OVERALL M</v>
      </c>
      <c r="E337" s="1">
        <f>IFERROR(__xludf.DUMMYFUNCTION("""COMPUTED_VALUE"""),219.0)</f>
        <v>219</v>
      </c>
      <c r="F337" s="1" t="str">
        <f>IFERROR(__xludf.DUMMYFUNCTION("""COMPUTED_VALUE"""),"Male")</f>
        <v>Male</v>
      </c>
      <c r="G337" s="5">
        <f>IFERROR(__xludf.DUMMYFUNCTION("""COMPUTED_VALUE"""),0.005201835648148149)</f>
        <v>0.005201835648</v>
      </c>
      <c r="H337" s="15">
        <f>IFERROR(__xludf.DUMMYFUNCTION("""COMPUTED_VALUE"""),0.2549440625)</f>
        <v>0.2549440625</v>
      </c>
      <c r="I337" s="15">
        <f>IFERROR(__xludf.DUMMYFUNCTION("""COMPUTED_VALUE"""),45949.28095324476)</f>
        <v>45949.28095</v>
      </c>
      <c r="J337" s="15">
        <f>IFERROR(__xludf.DUMMYFUNCTION("""COMPUTED_VALUE"""),45949.02600918226)</f>
        <v>45949.02601</v>
      </c>
      <c r="K337" s="15">
        <f>IFERROR(__xludf.DUMMYFUNCTION("""COMPUTED_VALUE"""),45949.26969448761)</f>
        <v>45949.26969</v>
      </c>
      <c r="L337" s="4"/>
    </row>
    <row r="338">
      <c r="A338" s="1">
        <f>IFERROR(__xludf.DUMMYFUNCTION("""COMPUTED_VALUE"""),337.0)</f>
        <v>337</v>
      </c>
      <c r="B338" s="1">
        <f>IFERROR(__xludf.DUMMYFUNCTION("""COMPUTED_VALUE"""),7114.0)</f>
        <v>7114</v>
      </c>
      <c r="C338" s="2" t="str">
        <f>IFERROR(__xludf.DUMMYFUNCTION("""COMPUTED_VALUE"""),"Jamal")</f>
        <v>Jamal</v>
      </c>
      <c r="D338" s="2" t="str">
        <f>IFERROR(__xludf.DUMMYFUNCTION("""COMPUTED_VALUE"""),"5KM MASTER M")</f>
        <v>5KM MASTER M</v>
      </c>
      <c r="E338" s="1">
        <f>IFERROR(__xludf.DUMMYFUNCTION("""COMPUTED_VALUE"""),36.0)</f>
        <v>36</v>
      </c>
      <c r="F338" s="1" t="str">
        <f>IFERROR(__xludf.DUMMYFUNCTION("""COMPUTED_VALUE"""),"Male")</f>
        <v>Male</v>
      </c>
      <c r="G338" s="5">
        <f>IFERROR(__xludf.DUMMYFUNCTION("""COMPUTED_VALUE"""),0.005211502314814815)</f>
        <v>0.005211502315</v>
      </c>
      <c r="H338" s="15">
        <f>IFERROR(__xludf.DUMMYFUNCTION("""COMPUTED_VALUE"""),0.2549440625)</f>
        <v>0.2549440625</v>
      </c>
      <c r="I338" s="15">
        <f>IFERROR(__xludf.DUMMYFUNCTION("""COMPUTED_VALUE"""),45949.281001570955)</f>
        <v>45949.281</v>
      </c>
      <c r="J338" s="15">
        <f>IFERROR(__xludf.DUMMYFUNCTION("""COMPUTED_VALUE"""),45949.026057508454)</f>
        <v>45949.02606</v>
      </c>
      <c r="K338" s="15">
        <f>IFERROR(__xludf.DUMMYFUNCTION("""COMPUTED_VALUE"""),45949.27031522209)</f>
        <v>45949.27032</v>
      </c>
      <c r="L338" s="4"/>
    </row>
    <row r="339">
      <c r="A339" s="1">
        <f>IFERROR(__xludf.DUMMYFUNCTION("""COMPUTED_VALUE"""),338.0)</f>
        <v>338</v>
      </c>
      <c r="B339" s="1">
        <f>IFERROR(__xludf.DUMMYFUNCTION("""COMPUTED_VALUE"""),5643.0)</f>
        <v>5643</v>
      </c>
      <c r="C339" s="2" t="str">
        <f>IFERROR(__xludf.DUMMYFUNCTION("""COMPUTED_VALUE"""),"BANG HOTANG")</f>
        <v>BANG HOTANG</v>
      </c>
      <c r="D339" s="2" t="str">
        <f>IFERROR(__xludf.DUMMYFUNCTION("""COMPUTED_VALUE"""),"5KM OVERALL F")</f>
        <v>5KM OVERALL F</v>
      </c>
      <c r="E339" s="1">
        <f>IFERROR(__xludf.DUMMYFUNCTION("""COMPUTED_VALUE"""),30.0)</f>
        <v>30</v>
      </c>
      <c r="F339" s="1" t="str">
        <f>IFERROR(__xludf.DUMMYFUNCTION("""COMPUTED_VALUE"""),"Female")</f>
        <v>Female</v>
      </c>
      <c r="G339" s="5">
        <f>IFERROR(__xludf.DUMMYFUNCTION("""COMPUTED_VALUE"""),0.005218444444444444)</f>
        <v>0.005218444444</v>
      </c>
      <c r="H339" s="15">
        <f>IFERROR(__xludf.DUMMYFUNCTION("""COMPUTED_VALUE"""),0.2549440625)</f>
        <v>0.2549440625</v>
      </c>
      <c r="I339" s="15">
        <f>IFERROR(__xludf.DUMMYFUNCTION("""COMPUTED_VALUE"""),45949.28103628589)</f>
        <v>45949.28104</v>
      </c>
      <c r="J339" s="15">
        <f>IFERROR(__xludf.DUMMYFUNCTION("""COMPUTED_VALUE"""),45949.02609222339)</f>
        <v>45949.02609</v>
      </c>
      <c r="K339" s="15">
        <f>IFERROR(__xludf.DUMMYFUNCTION("""COMPUTED_VALUE"""),45949.26822460405)</f>
        <v>45949.26822</v>
      </c>
      <c r="L339" s="4"/>
    </row>
    <row r="340">
      <c r="A340" s="1">
        <f>IFERROR(__xludf.DUMMYFUNCTION("""COMPUTED_VALUE"""),339.0)</f>
        <v>339</v>
      </c>
      <c r="B340" s="1">
        <f>IFERROR(__xludf.DUMMYFUNCTION("""COMPUTED_VALUE"""),5344.0)</f>
        <v>5344</v>
      </c>
      <c r="C340" s="2" t="str">
        <f>IFERROR(__xludf.DUMMYFUNCTION("""COMPUTED_VALUE"""),"AHMAD SYARIF FIRGIAWAN")</f>
        <v>AHMAD SYARIF FIRGIAWAN</v>
      </c>
      <c r="D340" s="2" t="str">
        <f>IFERROR(__xludf.DUMMYFUNCTION("""COMPUTED_VALUE"""),"5KM OVERALL M")</f>
        <v>5KM OVERALL M</v>
      </c>
      <c r="E340" s="1">
        <f>IFERROR(__xludf.DUMMYFUNCTION("""COMPUTED_VALUE"""),220.0)</f>
        <v>220</v>
      </c>
      <c r="F340" s="1" t="str">
        <f>IFERROR(__xludf.DUMMYFUNCTION("""COMPUTED_VALUE"""),"Male")</f>
        <v>Male</v>
      </c>
      <c r="G340" s="5">
        <f>IFERROR(__xludf.DUMMYFUNCTION("""COMPUTED_VALUE"""),0.005219833333333333)</f>
        <v>0.005219833333</v>
      </c>
      <c r="H340" s="15">
        <f>IFERROR(__xludf.DUMMYFUNCTION("""COMPUTED_VALUE"""),0.2549440625)</f>
        <v>0.2549440625</v>
      </c>
      <c r="I340" s="15">
        <f>IFERROR(__xludf.DUMMYFUNCTION("""COMPUTED_VALUE"""),45949.28104322508)</f>
        <v>45949.28104</v>
      </c>
      <c r="J340" s="15">
        <f>IFERROR(__xludf.DUMMYFUNCTION("""COMPUTED_VALUE"""),45949.02609916258)</f>
        <v>45949.0261</v>
      </c>
      <c r="K340" s="15">
        <f>IFERROR(__xludf.DUMMYFUNCTION("""COMPUTED_VALUE"""),45949.27117949603)</f>
        <v>45949.27118</v>
      </c>
      <c r="L340" s="4"/>
    </row>
    <row r="341">
      <c r="A341" s="1">
        <f>IFERROR(__xludf.DUMMYFUNCTION("""COMPUTED_VALUE"""),340.0)</f>
        <v>340</v>
      </c>
      <c r="B341" s="1">
        <f>IFERROR(__xludf.DUMMYFUNCTION("""COMPUTED_VALUE"""),5063.0)</f>
        <v>5063</v>
      </c>
      <c r="C341" s="2" t="str">
        <f>IFERROR(__xludf.DUMMYFUNCTION("""COMPUTED_VALUE"""),"YASIN FIRDAUS")</f>
        <v>YASIN FIRDAUS</v>
      </c>
      <c r="D341" s="2" t="str">
        <f>IFERROR(__xludf.DUMMYFUNCTION("""COMPUTED_VALUE"""),"5KM OVERALL M")</f>
        <v>5KM OVERALL M</v>
      </c>
      <c r="E341" s="1">
        <f>IFERROR(__xludf.DUMMYFUNCTION("""COMPUTED_VALUE"""),221.0)</f>
        <v>221</v>
      </c>
      <c r="F341" s="1" t="str">
        <f>IFERROR(__xludf.DUMMYFUNCTION("""COMPUTED_VALUE"""),"Male")</f>
        <v>Male</v>
      </c>
      <c r="G341" s="5">
        <f>IFERROR(__xludf.DUMMYFUNCTION("""COMPUTED_VALUE"""),0.005221916666666666)</f>
        <v>0.005221916667</v>
      </c>
      <c r="H341" s="15">
        <f>IFERROR(__xludf.DUMMYFUNCTION("""COMPUTED_VALUE"""),0.2549440625)</f>
        <v>0.2549440625</v>
      </c>
      <c r="I341" s="15">
        <f>IFERROR(__xludf.DUMMYFUNCTION("""COMPUTED_VALUE"""),45949.28105364405)</f>
        <v>45949.28105</v>
      </c>
      <c r="J341" s="15">
        <f>IFERROR(__xludf.DUMMYFUNCTION("""COMPUTED_VALUE"""),45949.02610958155)</f>
        <v>45949.02611</v>
      </c>
      <c r="K341" s="15">
        <f>IFERROR(__xludf.DUMMYFUNCTION("""COMPUTED_VALUE"""),45949.271207257276)</f>
        <v>45949.27121</v>
      </c>
      <c r="L341" s="4"/>
    </row>
    <row r="342">
      <c r="A342" s="1">
        <f>IFERROR(__xludf.DUMMYFUNCTION("""COMPUTED_VALUE"""),341.0)</f>
        <v>341</v>
      </c>
      <c r="B342" s="1">
        <f>IFERROR(__xludf.DUMMYFUNCTION("""COMPUTED_VALUE"""),5726.0)</f>
        <v>5726</v>
      </c>
      <c r="C342" s="2" t="str">
        <f>IFERROR(__xludf.DUMMYFUNCTION("""COMPUTED_VALUE"""),"Utam")</f>
        <v>Utam</v>
      </c>
      <c r="D342" s="2" t="str">
        <f>IFERROR(__xludf.DUMMYFUNCTION("""COMPUTED_VALUE"""),"5KM OVERALL M")</f>
        <v>5KM OVERALL M</v>
      </c>
      <c r="E342" s="1">
        <f>IFERROR(__xludf.DUMMYFUNCTION("""COMPUTED_VALUE"""),222.0)</f>
        <v>222</v>
      </c>
      <c r="F342" s="1" t="str">
        <f>IFERROR(__xludf.DUMMYFUNCTION("""COMPUTED_VALUE"""),"Male")</f>
        <v>Male</v>
      </c>
      <c r="G342" s="5">
        <f>IFERROR(__xludf.DUMMYFUNCTION("""COMPUTED_VALUE"""),0.005224002314814814)</f>
        <v>0.005224002315</v>
      </c>
      <c r="H342" s="15">
        <f>IFERROR(__xludf.DUMMYFUNCTION("""COMPUTED_VALUE"""),0.2549440625)</f>
        <v>0.2549440625</v>
      </c>
      <c r="I342" s="15">
        <f>IFERROR(__xludf.DUMMYFUNCTION("""COMPUTED_VALUE"""),45949.281064069255)</f>
        <v>45949.28106</v>
      </c>
      <c r="J342" s="15">
        <f>IFERROR(__xludf.DUMMYFUNCTION("""COMPUTED_VALUE"""),45949.026120006754)</f>
        <v>45949.02612</v>
      </c>
      <c r="K342" s="15">
        <f>IFERROR(__xludf.DUMMYFUNCTION("""COMPUTED_VALUE"""),45949.271155230024)</f>
        <v>45949.27116</v>
      </c>
      <c r="L342" s="4"/>
    </row>
    <row r="343">
      <c r="A343" s="1">
        <f>IFERROR(__xludf.DUMMYFUNCTION("""COMPUTED_VALUE"""),342.0)</f>
        <v>342</v>
      </c>
      <c r="B343" s="1">
        <f>IFERROR(__xludf.DUMMYFUNCTION("""COMPUTED_VALUE"""),5533.0)</f>
        <v>5533</v>
      </c>
      <c r="C343" s="2" t="str">
        <f>IFERROR(__xludf.DUMMYFUNCTION("""COMPUTED_VALUE"""),"Mamasa")</f>
        <v>Mamasa</v>
      </c>
      <c r="D343" s="2" t="str">
        <f>IFERROR(__xludf.DUMMYFUNCTION("""COMPUTED_VALUE"""),"5KM OVERALL M")</f>
        <v>5KM OVERALL M</v>
      </c>
      <c r="E343" s="1">
        <f>IFERROR(__xludf.DUMMYFUNCTION("""COMPUTED_VALUE"""),223.0)</f>
        <v>223</v>
      </c>
      <c r="F343" s="1" t="str">
        <f>IFERROR(__xludf.DUMMYFUNCTION("""COMPUTED_VALUE"""),"Male")</f>
        <v>Male</v>
      </c>
      <c r="G343" s="5">
        <f>IFERROR(__xludf.DUMMYFUNCTION("""COMPUTED_VALUE"""),0.0052288657407407405)</f>
        <v>0.005228865741</v>
      </c>
      <c r="H343" s="15">
        <f>IFERROR(__xludf.DUMMYFUNCTION("""COMPUTED_VALUE"""),0.2549440625)</f>
        <v>0.2549440625</v>
      </c>
      <c r="I343" s="15">
        <f>IFERROR(__xludf.DUMMYFUNCTION("""COMPUTED_VALUE"""),45949.28108838717)</f>
        <v>45949.28109</v>
      </c>
      <c r="J343" s="15">
        <f>IFERROR(__xludf.DUMMYFUNCTION("""COMPUTED_VALUE"""),45949.02614432467)</f>
        <v>45949.02614</v>
      </c>
      <c r="K343" s="15">
        <f>IFERROR(__xludf.DUMMYFUNCTION("""COMPUTED_VALUE"""),45949.26920378479)</f>
        <v>45949.2692</v>
      </c>
      <c r="L343" s="4"/>
    </row>
    <row r="344">
      <c r="A344" s="1">
        <f>IFERROR(__xludf.DUMMYFUNCTION("""COMPUTED_VALUE"""),343.0)</f>
        <v>343</v>
      </c>
      <c r="B344" s="1">
        <f>IFERROR(__xludf.DUMMYFUNCTION("""COMPUTED_VALUE"""),7033.0)</f>
        <v>7033</v>
      </c>
      <c r="C344" s="2" t="str">
        <f>IFERROR(__xludf.DUMMYFUNCTION("""COMPUTED_VALUE"""),"Emmy")</f>
        <v>Emmy</v>
      </c>
      <c r="D344" s="2" t="str">
        <f>IFERROR(__xludf.DUMMYFUNCTION("""COMPUTED_VALUE"""),"5KM MASTER F")</f>
        <v>5KM MASTER F</v>
      </c>
      <c r="E344" s="1">
        <f>IFERROR(__xludf.DUMMYFUNCTION("""COMPUTED_VALUE"""),11.0)</f>
        <v>11</v>
      </c>
      <c r="F344" s="1" t="str">
        <f>IFERROR(__xludf.DUMMYFUNCTION("""COMPUTED_VALUE"""),"Female")</f>
        <v>Female</v>
      </c>
      <c r="G344" s="5">
        <f>IFERROR(__xludf.DUMMYFUNCTION("""COMPUTED_VALUE"""),0.00523025)</f>
        <v>0.00523025</v>
      </c>
      <c r="H344" s="15">
        <f>IFERROR(__xludf.DUMMYFUNCTION("""COMPUTED_VALUE"""),0.2549440625)</f>
        <v>0.2549440625</v>
      </c>
      <c r="I344" s="15">
        <f>IFERROR(__xludf.DUMMYFUNCTION("""COMPUTED_VALUE"""),45949.28109531538)</f>
        <v>45949.2811</v>
      </c>
      <c r="J344" s="15">
        <f>IFERROR(__xludf.DUMMYFUNCTION("""COMPUTED_VALUE"""),45949.02615125288)</f>
        <v>45949.02615</v>
      </c>
      <c r="K344" s="15">
        <f>IFERROR(__xludf.DUMMYFUNCTION("""COMPUTED_VALUE"""),45949.27005100295)</f>
        <v>45949.27005</v>
      </c>
      <c r="L344" s="4"/>
    </row>
    <row r="345">
      <c r="A345" s="1">
        <f>IFERROR(__xludf.DUMMYFUNCTION("""COMPUTED_VALUE"""),344.0)</f>
        <v>344</v>
      </c>
      <c r="B345" s="1">
        <f>IFERROR(__xludf.DUMMYFUNCTION("""COMPUTED_VALUE"""),5693.0)</f>
        <v>5693</v>
      </c>
      <c r="C345" s="2" t="str">
        <f>IFERROR(__xludf.DUMMYFUNCTION("""COMPUTED_VALUE"""),"Hamam Dwi Hermawan")</f>
        <v>Hamam Dwi Hermawan</v>
      </c>
      <c r="D345" s="2" t="str">
        <f>IFERROR(__xludf.DUMMYFUNCTION("""COMPUTED_VALUE"""),"5KM OVERALL M")</f>
        <v>5KM OVERALL M</v>
      </c>
      <c r="E345" s="1">
        <f>IFERROR(__xludf.DUMMYFUNCTION("""COMPUTED_VALUE"""),224.0)</f>
        <v>224</v>
      </c>
      <c r="F345" s="1" t="str">
        <f>IFERROR(__xludf.DUMMYFUNCTION("""COMPUTED_VALUE"""),"Male")</f>
        <v>Male</v>
      </c>
      <c r="G345" s="5">
        <f>IFERROR(__xludf.DUMMYFUNCTION("""COMPUTED_VALUE"""),0.005233027777777778)</f>
        <v>0.005233027778</v>
      </c>
      <c r="H345" s="15">
        <f>IFERROR(__xludf.DUMMYFUNCTION("""COMPUTED_VALUE"""),0.2549440625)</f>
        <v>0.2549440625</v>
      </c>
      <c r="I345" s="15">
        <f>IFERROR(__xludf.DUMMYFUNCTION("""COMPUTED_VALUE"""),45949.281109205134)</f>
        <v>45949.28111</v>
      </c>
      <c r="J345" s="15">
        <f>IFERROR(__xludf.DUMMYFUNCTION("""COMPUTED_VALUE"""),45949.02616514263)</f>
        <v>45949.02617</v>
      </c>
      <c r="K345" s="15">
        <f>IFERROR(__xludf.DUMMYFUNCTION("""COMPUTED_VALUE"""),45949.27091213935)</f>
        <v>45949.27091</v>
      </c>
      <c r="L345" s="4"/>
    </row>
    <row r="346">
      <c r="A346" s="1">
        <f>IFERROR(__xludf.DUMMYFUNCTION("""COMPUTED_VALUE"""),345.0)</f>
        <v>345</v>
      </c>
      <c r="B346" s="1">
        <f>IFERROR(__xludf.DUMMYFUNCTION("""COMPUTED_VALUE"""),5050.0)</f>
        <v>5050</v>
      </c>
      <c r="C346" s="2" t="str">
        <f>IFERROR(__xludf.DUMMYFUNCTION("""COMPUTED_VALUE"""),"Raffy")</f>
        <v>Raffy</v>
      </c>
      <c r="D346" s="2" t="str">
        <f>IFERROR(__xludf.DUMMYFUNCTION("""COMPUTED_VALUE"""),"5KM OVERALL M")</f>
        <v>5KM OVERALL M</v>
      </c>
      <c r="E346" s="1">
        <f>IFERROR(__xludf.DUMMYFUNCTION("""COMPUTED_VALUE"""),225.0)</f>
        <v>225</v>
      </c>
      <c r="F346" s="1" t="str">
        <f>IFERROR(__xludf.DUMMYFUNCTION("""COMPUTED_VALUE"""),"Male")</f>
        <v>Male</v>
      </c>
      <c r="G346" s="5">
        <f>IFERROR(__xludf.DUMMYFUNCTION("""COMPUTED_VALUE"""),0.005235803240740741)</f>
        <v>0.005235803241</v>
      </c>
      <c r="H346" s="15">
        <f>IFERROR(__xludf.DUMMYFUNCTION("""COMPUTED_VALUE"""),0.2549440625)</f>
        <v>0.2549440625</v>
      </c>
      <c r="I346" s="15">
        <f>IFERROR(__xludf.DUMMYFUNCTION("""COMPUTED_VALUE"""),45949.28112307308)</f>
        <v>45949.28112</v>
      </c>
      <c r="J346" s="15">
        <f>IFERROR(__xludf.DUMMYFUNCTION("""COMPUTED_VALUE"""),45949.02617901058)</f>
        <v>45949.02618</v>
      </c>
      <c r="K346" s="15">
        <f>IFERROR(__xludf.DUMMYFUNCTION("""COMPUTED_VALUE"""),45949.27064128093)</f>
        <v>45949.27064</v>
      </c>
      <c r="L346" s="4"/>
    </row>
    <row r="347">
      <c r="A347" s="1">
        <f>IFERROR(__xludf.DUMMYFUNCTION("""COMPUTED_VALUE"""),346.0)</f>
        <v>346</v>
      </c>
      <c r="B347" s="1">
        <f>IFERROR(__xludf.DUMMYFUNCTION("""COMPUTED_VALUE"""),5151.0)</f>
        <v>5151</v>
      </c>
      <c r="C347" s="2" t="str">
        <f>IFERROR(__xludf.DUMMYFUNCTION("""COMPUTED_VALUE"""),"Muhammad Lutfi")</f>
        <v>Muhammad Lutfi</v>
      </c>
      <c r="D347" s="2" t="str">
        <f>IFERROR(__xludf.DUMMYFUNCTION("""COMPUTED_VALUE"""),"5KM OVERALL M")</f>
        <v>5KM OVERALL M</v>
      </c>
      <c r="E347" s="1">
        <f>IFERROR(__xludf.DUMMYFUNCTION("""COMPUTED_VALUE"""),226.0)</f>
        <v>226</v>
      </c>
      <c r="F347" s="1" t="str">
        <f>IFERROR(__xludf.DUMMYFUNCTION("""COMPUTED_VALUE"""),"Male")</f>
        <v>Male</v>
      </c>
      <c r="G347" s="5">
        <f>IFERROR(__xludf.DUMMYFUNCTION("""COMPUTED_VALUE"""),0.005241361111111112)</f>
        <v>0.005241361111</v>
      </c>
      <c r="H347" s="15">
        <f>IFERROR(__xludf.DUMMYFUNCTION("""COMPUTED_VALUE"""),0.2549440625)</f>
        <v>0.2549440625</v>
      </c>
      <c r="I347" s="15">
        <f>IFERROR(__xludf.DUMMYFUNCTION("""COMPUTED_VALUE"""),45949.28115087066)</f>
        <v>45949.28115</v>
      </c>
      <c r="J347" s="15">
        <f>IFERROR(__xludf.DUMMYFUNCTION("""COMPUTED_VALUE"""),45949.02620680816)</f>
        <v>45949.02621</v>
      </c>
      <c r="K347" s="15">
        <f>IFERROR(__xludf.DUMMYFUNCTION("""COMPUTED_VALUE"""),45949.27018015493)</f>
        <v>45949.27018</v>
      </c>
      <c r="L347" s="4"/>
    </row>
    <row r="348">
      <c r="A348" s="1">
        <f>IFERROR(__xludf.DUMMYFUNCTION("""COMPUTED_VALUE"""),347.0)</f>
        <v>347</v>
      </c>
      <c r="B348" s="1">
        <f>IFERROR(__xludf.DUMMYFUNCTION("""COMPUTED_VALUE"""),6180.0)</f>
        <v>6180</v>
      </c>
      <c r="C348" s="2" t="str">
        <f>IFERROR(__xludf.DUMMYFUNCTION("""COMPUTED_VALUE"""),"Ahmad Winarto Saputra")</f>
        <v>Ahmad Winarto Saputra</v>
      </c>
      <c r="D348" s="2" t="str">
        <f>IFERROR(__xludf.DUMMYFUNCTION("""COMPUTED_VALUE"""),"5KM OVERALL M")</f>
        <v>5KM OVERALL M</v>
      </c>
      <c r="E348" s="1">
        <f>IFERROR(__xludf.DUMMYFUNCTION("""COMPUTED_VALUE"""),227.0)</f>
        <v>227</v>
      </c>
      <c r="F348" s="1" t="str">
        <f>IFERROR(__xludf.DUMMYFUNCTION("""COMPUTED_VALUE"""),"Male")</f>
        <v>Male</v>
      </c>
      <c r="G348" s="5">
        <f>IFERROR(__xludf.DUMMYFUNCTION("""COMPUTED_VALUE"""),0.005248439814814815)</f>
        <v>0.005248439815</v>
      </c>
      <c r="H348" s="15">
        <f>IFERROR(__xludf.DUMMYFUNCTION("""COMPUTED_VALUE"""),0.2549440625)</f>
        <v>0.2549440625</v>
      </c>
      <c r="I348" s="15">
        <f>IFERROR(__xludf.DUMMYFUNCTION("""COMPUTED_VALUE"""),45949.281186257074)</f>
        <v>45949.28119</v>
      </c>
      <c r="J348" s="15">
        <f>IFERROR(__xludf.DUMMYFUNCTION("""COMPUTED_VALUE"""),45949.02624219457)</f>
        <v>45949.02624</v>
      </c>
      <c r="K348" s="15">
        <f>IFERROR(__xludf.DUMMYFUNCTION("""COMPUTED_VALUE"""),45949.26958573765)</f>
        <v>45949.26959</v>
      </c>
      <c r="L348" s="4"/>
    </row>
    <row r="349">
      <c r="A349" s="1">
        <f>IFERROR(__xludf.DUMMYFUNCTION("""COMPUTED_VALUE"""),348.0)</f>
        <v>348</v>
      </c>
      <c r="B349" s="7" t="str">
        <f>IFERROR(__xludf.DUMMYFUNCTION("""COMPUTED_VALUE"""),"9003")</f>
        <v>9003</v>
      </c>
      <c r="C349" s="8" t="str">
        <f>IFERROR(__xludf.DUMMYFUNCTION("""COMPUTED_VALUE"""),"yumna")</f>
        <v>yumna</v>
      </c>
      <c r="D349" s="2" t="str">
        <f>IFERROR(__xludf.DUMMYFUNCTION("""COMPUTED_VALUE"""),"5KM STUDENT F")</f>
        <v>5KM STUDENT F</v>
      </c>
      <c r="E349" s="1">
        <f>IFERROR(__xludf.DUMMYFUNCTION("""COMPUTED_VALUE"""),6.0)</f>
        <v>6</v>
      </c>
      <c r="F349" s="1" t="str">
        <f>IFERROR(__xludf.DUMMYFUNCTION("""COMPUTED_VALUE"""),"Female")</f>
        <v>Female</v>
      </c>
      <c r="G349" s="5">
        <f>IFERROR(__xludf.DUMMYFUNCTION("""COMPUTED_VALUE"""),0.005269138888888889)</f>
        <v>0.005269138889</v>
      </c>
      <c r="H349" s="15">
        <f>IFERROR(__xludf.DUMMYFUNCTION("""COMPUTED_VALUE"""),0.2549440625)</f>
        <v>0.2549440625</v>
      </c>
      <c r="I349" s="15">
        <f>IFERROR(__xludf.DUMMYFUNCTION("""COMPUTED_VALUE"""),45949.281289757186)</f>
        <v>45949.28129</v>
      </c>
      <c r="J349" s="15">
        <f>IFERROR(__xludf.DUMMYFUNCTION("""COMPUTED_VALUE"""),45949.026345694685)</f>
        <v>45949.02635</v>
      </c>
      <c r="K349" s="15">
        <f>IFERROR(__xludf.DUMMYFUNCTION("""COMPUTED_VALUE"""),45949.269148223706)</f>
        <v>45949.26915</v>
      </c>
      <c r="L349" s="4"/>
    </row>
    <row r="350">
      <c r="A350" s="1">
        <f>IFERROR(__xludf.DUMMYFUNCTION("""COMPUTED_VALUE"""),349.0)</f>
        <v>349</v>
      </c>
      <c r="B350" s="1">
        <f>IFERROR(__xludf.DUMMYFUNCTION("""COMPUTED_VALUE"""),5548.0)</f>
        <v>5548</v>
      </c>
      <c r="C350" s="2" t="str">
        <f>IFERROR(__xludf.DUMMYFUNCTION("""COMPUTED_VALUE"""),"MOEKTI")</f>
        <v>MOEKTI</v>
      </c>
      <c r="D350" s="2" t="str">
        <f>IFERROR(__xludf.DUMMYFUNCTION("""COMPUTED_VALUE"""),"5KM OVERALL M")</f>
        <v>5KM OVERALL M</v>
      </c>
      <c r="E350" s="1">
        <f>IFERROR(__xludf.DUMMYFUNCTION("""COMPUTED_VALUE"""),228.0)</f>
        <v>228</v>
      </c>
      <c r="F350" s="1" t="str">
        <f>IFERROR(__xludf.DUMMYFUNCTION("""COMPUTED_VALUE"""),"Male")</f>
        <v>Male</v>
      </c>
      <c r="G350" s="5">
        <f>IFERROR(__xludf.DUMMYFUNCTION("""COMPUTED_VALUE"""),0.0052698356481481485)</f>
        <v>0.005269835648</v>
      </c>
      <c r="H350" s="15">
        <f>IFERROR(__xludf.DUMMYFUNCTION("""COMPUTED_VALUE"""),0.2549440625)</f>
        <v>0.2549440625</v>
      </c>
      <c r="I350" s="15">
        <f>IFERROR(__xludf.DUMMYFUNCTION("""COMPUTED_VALUE"""),45949.2812932456)</f>
        <v>45949.28129</v>
      </c>
      <c r="J350" s="15">
        <f>IFERROR(__xludf.DUMMYFUNCTION("""COMPUTED_VALUE"""),45949.0263491831)</f>
        <v>45949.02635</v>
      </c>
      <c r="K350" s="15">
        <f>IFERROR(__xludf.DUMMYFUNCTION("""COMPUTED_VALUE"""),45949.269533653984)</f>
        <v>45949.26953</v>
      </c>
      <c r="L350" s="4"/>
    </row>
    <row r="351">
      <c r="A351" s="1">
        <f>IFERROR(__xludf.DUMMYFUNCTION("""COMPUTED_VALUE"""),350.0)</f>
        <v>350</v>
      </c>
      <c r="B351" s="1">
        <f>IFERROR(__xludf.DUMMYFUNCTION("""COMPUTED_VALUE"""),7091.0)</f>
        <v>7091</v>
      </c>
      <c r="C351" s="2" t="str">
        <f>IFERROR(__xludf.DUMMYFUNCTION("""COMPUTED_VALUE"""),"Nani")</f>
        <v>Nani</v>
      </c>
      <c r="D351" s="2" t="str">
        <f>IFERROR(__xludf.DUMMYFUNCTION("""COMPUTED_VALUE"""),"5KM MASTER F")</f>
        <v>5KM MASTER F</v>
      </c>
      <c r="E351" s="1">
        <f>IFERROR(__xludf.DUMMYFUNCTION("""COMPUTED_VALUE"""),12.0)</f>
        <v>12</v>
      </c>
      <c r="F351" s="1" t="str">
        <f>IFERROR(__xludf.DUMMYFUNCTION("""COMPUTED_VALUE"""),"Female")</f>
        <v>Female</v>
      </c>
      <c r="G351" s="5">
        <f>IFERROR(__xludf.DUMMYFUNCTION("""COMPUTED_VALUE"""),0.00527330787037037)</f>
        <v>0.00527330787</v>
      </c>
      <c r="H351" s="15">
        <f>IFERROR(__xludf.DUMMYFUNCTION("""COMPUTED_VALUE"""),0.2549440625)</f>
        <v>0.2549440625</v>
      </c>
      <c r="I351" s="15">
        <f>IFERROR(__xludf.DUMMYFUNCTION("""COMPUTED_VALUE"""),45949.28131060757)</f>
        <v>45949.28131</v>
      </c>
      <c r="J351" s="15">
        <f>IFERROR(__xludf.DUMMYFUNCTION("""COMPUTED_VALUE"""),45949.02636654507)</f>
        <v>45949.02637</v>
      </c>
      <c r="K351" s="15">
        <f>IFERROR(__xludf.DUMMYFUNCTION("""COMPUTED_VALUE"""),45949.26972461999)</f>
        <v>45949.26972</v>
      </c>
      <c r="L351" s="4"/>
    </row>
    <row r="352">
      <c r="A352" s="1">
        <f>IFERROR(__xludf.DUMMYFUNCTION("""COMPUTED_VALUE"""),351.0)</f>
        <v>351</v>
      </c>
      <c r="B352" s="1">
        <f>IFERROR(__xludf.DUMMYFUNCTION("""COMPUTED_VALUE"""),5872.0)</f>
        <v>5872</v>
      </c>
      <c r="C352" s="2" t="str">
        <f>IFERROR(__xludf.DUMMYFUNCTION("""COMPUTED_VALUE"""),"Kinasih")</f>
        <v>Kinasih</v>
      </c>
      <c r="D352" s="2" t="str">
        <f>IFERROR(__xludf.DUMMYFUNCTION("""COMPUTED_VALUE"""),"5KM OVERALL F")</f>
        <v>5KM OVERALL F</v>
      </c>
      <c r="E352" s="1">
        <f>IFERROR(__xludf.DUMMYFUNCTION("""COMPUTED_VALUE"""),31.0)</f>
        <v>31</v>
      </c>
      <c r="F352" s="1" t="str">
        <f>IFERROR(__xludf.DUMMYFUNCTION("""COMPUTED_VALUE"""),"Female")</f>
        <v>Female</v>
      </c>
      <c r="G352" s="5">
        <f>IFERROR(__xludf.DUMMYFUNCTION("""COMPUTED_VALUE"""),0.005274150462962963)</f>
        <v>0.005274150463</v>
      </c>
      <c r="H352" s="15">
        <f>IFERROR(__xludf.DUMMYFUNCTION("""COMPUTED_VALUE"""),0.2549440625)</f>
        <v>0.2549440625</v>
      </c>
      <c r="I352" s="15">
        <f>IFERROR(__xludf.DUMMYFUNCTION("""COMPUTED_VALUE"""),45949.28131481248)</f>
        <v>45949.28131</v>
      </c>
      <c r="J352" s="15">
        <f>IFERROR(__xludf.DUMMYFUNCTION("""COMPUTED_VALUE"""),45949.026370749976)</f>
        <v>45949.02637</v>
      </c>
      <c r="K352" s="15">
        <f>IFERROR(__xludf.DUMMYFUNCTION("""COMPUTED_VALUE"""),45949.271106561195)</f>
        <v>45949.27111</v>
      </c>
      <c r="L352" s="4"/>
    </row>
    <row r="353">
      <c r="A353" s="1">
        <f>IFERROR(__xludf.DUMMYFUNCTION("""COMPUTED_VALUE"""),352.0)</f>
        <v>352</v>
      </c>
      <c r="B353" s="1">
        <f>IFERROR(__xludf.DUMMYFUNCTION("""COMPUTED_VALUE"""),5816.0)</f>
        <v>5816</v>
      </c>
      <c r="C353" s="2" t="str">
        <f>IFERROR(__xludf.DUMMYFUNCTION("""COMPUTED_VALUE"""),"TAQWA PENJURU")</f>
        <v>TAQWA PENJURU</v>
      </c>
      <c r="D353" s="2" t="str">
        <f>IFERROR(__xludf.DUMMYFUNCTION("""COMPUTED_VALUE"""),"5KM OVERALL M")</f>
        <v>5KM OVERALL M</v>
      </c>
      <c r="E353" s="1">
        <f>IFERROR(__xludf.DUMMYFUNCTION("""COMPUTED_VALUE"""),229.0)</f>
        <v>229</v>
      </c>
      <c r="F353" s="1" t="str">
        <f>IFERROR(__xludf.DUMMYFUNCTION("""COMPUTED_VALUE"""),"Male")</f>
        <v>Male</v>
      </c>
      <c r="G353" s="5">
        <f>IFERROR(__xludf.DUMMYFUNCTION("""COMPUTED_VALUE"""),0.005274694444444445)</f>
        <v>0.005274694444</v>
      </c>
      <c r="H353" s="15">
        <f>IFERROR(__xludf.DUMMYFUNCTION("""COMPUTED_VALUE"""),0.2549440625)</f>
        <v>0.2549440625</v>
      </c>
      <c r="I353" s="15">
        <f>IFERROR(__xludf.DUMMYFUNCTION("""COMPUTED_VALUE"""),45949.281317534376)</f>
        <v>45949.28132</v>
      </c>
      <c r="J353" s="15">
        <f>IFERROR(__xludf.DUMMYFUNCTION("""COMPUTED_VALUE"""),45949.026373471876)</f>
        <v>45949.02637</v>
      </c>
      <c r="K353" s="15">
        <f>IFERROR(__xludf.DUMMYFUNCTION("""COMPUTED_VALUE"""),45949.2710649351)</f>
        <v>45949.27106</v>
      </c>
      <c r="L353" s="4"/>
    </row>
    <row r="354">
      <c r="A354" s="1">
        <f>IFERROR(__xludf.DUMMYFUNCTION("""COMPUTED_VALUE"""),353.0)</f>
        <v>353</v>
      </c>
      <c r="B354" s="1">
        <f>IFERROR(__xludf.DUMMYFUNCTION("""COMPUTED_VALUE"""),5029.0)</f>
        <v>5029</v>
      </c>
      <c r="C354" s="2" t="str">
        <f>IFERROR(__xludf.DUMMYFUNCTION("""COMPUTED_VALUE"""),"Hendra A.S")</f>
        <v>Hendra A.S</v>
      </c>
      <c r="D354" s="2" t="str">
        <f>IFERROR(__xludf.DUMMYFUNCTION("""COMPUTED_VALUE"""),"5KM OVERALL M")</f>
        <v>5KM OVERALL M</v>
      </c>
      <c r="E354" s="1">
        <f>IFERROR(__xludf.DUMMYFUNCTION("""COMPUTED_VALUE"""),230.0)</f>
        <v>230</v>
      </c>
      <c r="F354" s="1" t="str">
        <f>IFERROR(__xludf.DUMMYFUNCTION("""COMPUTED_VALUE"""),"Male")</f>
        <v>Male</v>
      </c>
      <c r="G354" s="5">
        <f>IFERROR(__xludf.DUMMYFUNCTION("""COMPUTED_VALUE"""),0.005278168981481481)</f>
        <v>0.005278168981</v>
      </c>
      <c r="H354" s="15">
        <f>IFERROR(__xludf.DUMMYFUNCTION("""COMPUTED_VALUE"""),0.2549440625)</f>
        <v>0.2549440625</v>
      </c>
      <c r="I354" s="15">
        <f>IFERROR(__xludf.DUMMYFUNCTION("""COMPUTED_VALUE"""),45949.28133490723)</f>
        <v>45949.28133</v>
      </c>
      <c r="J354" s="15">
        <f>IFERROR(__xludf.DUMMYFUNCTION("""COMPUTED_VALUE"""),45949.02639084473)</f>
        <v>45949.02639</v>
      </c>
      <c r="K354" s="15">
        <f>IFERROR(__xludf.DUMMYFUNCTION("""COMPUTED_VALUE"""),45949.26986007232)</f>
        <v>45949.26986</v>
      </c>
      <c r="L354" s="4"/>
    </row>
    <row r="355">
      <c r="A355" s="1">
        <f>IFERROR(__xludf.DUMMYFUNCTION("""COMPUTED_VALUE"""),354.0)</f>
        <v>354</v>
      </c>
      <c r="B355" s="1">
        <f>IFERROR(__xludf.DUMMYFUNCTION("""COMPUTED_VALUE"""),7098.0)</f>
        <v>7098</v>
      </c>
      <c r="C355" s="2" t="str">
        <f>IFERROR(__xludf.DUMMYFUNCTION("""COMPUTED_VALUE"""),"ahwan FD")</f>
        <v>ahwan FD</v>
      </c>
      <c r="D355" s="2" t="str">
        <f>IFERROR(__xludf.DUMMYFUNCTION("""COMPUTED_VALUE"""),"5KM MASTER M")</f>
        <v>5KM MASTER M</v>
      </c>
      <c r="E355" s="1">
        <f>IFERROR(__xludf.DUMMYFUNCTION("""COMPUTED_VALUE"""),37.0)</f>
        <v>37</v>
      </c>
      <c r="F355" s="1" t="str">
        <f>IFERROR(__xludf.DUMMYFUNCTION("""COMPUTED_VALUE"""),"Male")</f>
        <v>Male</v>
      </c>
      <c r="G355" s="5">
        <f>IFERROR(__xludf.DUMMYFUNCTION("""COMPUTED_VALUE"""),0.0052816388888888895)</f>
        <v>0.005281638889</v>
      </c>
      <c r="H355" s="15">
        <f>IFERROR(__xludf.DUMMYFUNCTION("""COMPUTED_VALUE"""),0.2549440625)</f>
        <v>0.2549440625</v>
      </c>
      <c r="I355" s="15">
        <f>IFERROR(__xludf.DUMMYFUNCTION("""COMPUTED_VALUE"""),45949.28135225822)</f>
        <v>45949.28135</v>
      </c>
      <c r="J355" s="15">
        <f>IFERROR(__xludf.DUMMYFUNCTION("""COMPUTED_VALUE"""),45949.02640819572)</f>
        <v>45949.02641</v>
      </c>
      <c r="K355" s="15">
        <f>IFERROR(__xludf.DUMMYFUNCTION("""COMPUTED_VALUE"""),45949.270339202965)</f>
        <v>45949.27034</v>
      </c>
      <c r="L355" s="4"/>
    </row>
    <row r="356">
      <c r="A356" s="1">
        <f>IFERROR(__xludf.DUMMYFUNCTION("""COMPUTED_VALUE"""),355.0)</f>
        <v>355</v>
      </c>
      <c r="B356" s="1">
        <f>IFERROR(__xludf.DUMMYFUNCTION("""COMPUTED_VALUE"""),6018.0)</f>
        <v>6018</v>
      </c>
      <c r="C356" s="2" t="str">
        <f>IFERROR(__xludf.DUMMYFUNCTION("""COMPUTED_VALUE"""),"AMRUL")</f>
        <v>AMRUL</v>
      </c>
      <c r="D356" s="2" t="str">
        <f>IFERROR(__xludf.DUMMYFUNCTION("""COMPUTED_VALUE"""),"5KM OVERALL M")</f>
        <v>5KM OVERALL M</v>
      </c>
      <c r="E356" s="1">
        <f>IFERROR(__xludf.DUMMYFUNCTION("""COMPUTED_VALUE"""),231.0)</f>
        <v>231</v>
      </c>
      <c r="F356" s="1" t="str">
        <f>IFERROR(__xludf.DUMMYFUNCTION("""COMPUTED_VALUE"""),"Male")</f>
        <v>Male</v>
      </c>
      <c r="G356" s="5">
        <f>IFERROR(__xludf.DUMMYFUNCTION("""COMPUTED_VALUE"""),0.005285111111111111)</f>
        <v>0.005285111111</v>
      </c>
      <c r="H356" s="15">
        <f>IFERROR(__xludf.DUMMYFUNCTION("""COMPUTED_VALUE"""),0.2549440625)</f>
        <v>0.2549440625</v>
      </c>
      <c r="I356" s="15">
        <f>IFERROR(__xludf.DUMMYFUNCTION("""COMPUTED_VALUE"""),45949.28136961972)</f>
        <v>45949.28137</v>
      </c>
      <c r="J356" s="15">
        <f>IFERROR(__xludf.DUMMYFUNCTION("""COMPUTED_VALUE"""),45949.02642555722)</f>
        <v>45949.02643</v>
      </c>
      <c r="K356" s="15">
        <f>IFERROR(__xludf.DUMMYFUNCTION("""COMPUTED_VALUE"""),45949.27015866904)</f>
        <v>45949.27016</v>
      </c>
      <c r="L356" s="4"/>
    </row>
    <row r="357">
      <c r="A357" s="1">
        <f>IFERROR(__xludf.DUMMYFUNCTION("""COMPUTED_VALUE"""),356.0)</f>
        <v>356</v>
      </c>
      <c r="B357" s="1">
        <f>IFERROR(__xludf.DUMMYFUNCTION("""COMPUTED_VALUE"""),6420.0)</f>
        <v>6420</v>
      </c>
      <c r="C357" s="2" t="str">
        <f>IFERROR(__xludf.DUMMYFUNCTION("""COMPUTED_VALUE"""),"JAHIF")</f>
        <v>JAHIF</v>
      </c>
      <c r="D357" s="2" t="str">
        <f>IFERROR(__xludf.DUMMYFUNCTION("""COMPUTED_VALUE"""),"5KM OVERALL M")</f>
        <v>5KM OVERALL M</v>
      </c>
      <c r="E357" s="1">
        <f>IFERROR(__xludf.DUMMYFUNCTION("""COMPUTED_VALUE"""),232.0)</f>
        <v>232</v>
      </c>
      <c r="F357" s="1" t="str">
        <f>IFERROR(__xludf.DUMMYFUNCTION("""COMPUTED_VALUE"""),"Male")</f>
        <v>Male</v>
      </c>
      <c r="G357" s="5">
        <f>IFERROR(__xludf.DUMMYFUNCTION("""COMPUTED_VALUE"""),0.005285793981481482)</f>
        <v>0.005285793981</v>
      </c>
      <c r="H357" s="15">
        <f>IFERROR(__xludf.DUMMYFUNCTION("""COMPUTED_VALUE"""),0.2549440625)</f>
        <v>0.2549440625</v>
      </c>
      <c r="I357" s="15">
        <f>IFERROR(__xludf.DUMMYFUNCTION("""COMPUTED_VALUE"""),45949.28137303614)</f>
        <v>45949.28137</v>
      </c>
      <c r="J357" s="15">
        <f>IFERROR(__xludf.DUMMYFUNCTION("""COMPUTED_VALUE"""),45949.02642897364)</f>
        <v>45949.02643</v>
      </c>
      <c r="K357" s="15">
        <f>IFERROR(__xludf.DUMMYFUNCTION("""COMPUTED_VALUE"""),45949.270235086005)</f>
        <v>45949.27024</v>
      </c>
      <c r="L357" s="4"/>
    </row>
    <row r="358">
      <c r="A358" s="1">
        <f>IFERROR(__xludf.DUMMYFUNCTION("""COMPUTED_VALUE"""),357.0)</f>
        <v>357</v>
      </c>
      <c r="B358" s="1">
        <f>IFERROR(__xludf.DUMMYFUNCTION("""COMPUTED_VALUE"""),6253.0)</f>
        <v>6253</v>
      </c>
      <c r="C358" s="2" t="str">
        <f>IFERROR(__xludf.DUMMYFUNCTION("""COMPUTED_VALUE"""),"SULTAN")</f>
        <v>SULTAN</v>
      </c>
      <c r="D358" s="2" t="str">
        <f>IFERROR(__xludf.DUMMYFUNCTION("""COMPUTED_VALUE"""),"5KM OVERALL M")</f>
        <v>5KM OVERALL M</v>
      </c>
      <c r="E358" s="1">
        <f>IFERROR(__xludf.DUMMYFUNCTION("""COMPUTED_VALUE"""),233.0)</f>
        <v>233</v>
      </c>
      <c r="F358" s="1" t="str">
        <f>IFERROR(__xludf.DUMMYFUNCTION("""COMPUTED_VALUE"""),"Male")</f>
        <v>Male</v>
      </c>
      <c r="G358" s="5">
        <f>IFERROR(__xludf.DUMMYFUNCTION("""COMPUTED_VALUE"""),0.005285796296296296)</f>
        <v>0.005285796296</v>
      </c>
      <c r="H358" s="15">
        <f>IFERROR(__xludf.DUMMYFUNCTION("""COMPUTED_VALUE"""),0.2549440625)</f>
        <v>0.2549440625</v>
      </c>
      <c r="I358" s="15">
        <f>IFERROR(__xludf.DUMMYFUNCTION("""COMPUTED_VALUE"""),45949.281373048696)</f>
        <v>45949.28137</v>
      </c>
      <c r="J358" s="15">
        <f>IFERROR(__xludf.DUMMYFUNCTION("""COMPUTED_VALUE"""),45949.026428986195)</f>
        <v>45949.02643</v>
      </c>
      <c r="K358" s="15">
        <f>IFERROR(__xludf.DUMMYFUNCTION("""COMPUTED_VALUE"""),45949.27202332909)</f>
        <v>45949.27202</v>
      </c>
      <c r="L358" s="4"/>
    </row>
    <row r="359">
      <c r="A359" s="1">
        <f>IFERROR(__xludf.DUMMYFUNCTION("""COMPUTED_VALUE"""),358.0)</f>
        <v>358</v>
      </c>
      <c r="B359" s="1">
        <f>IFERROR(__xludf.DUMMYFUNCTION("""COMPUTED_VALUE"""),7032.0)</f>
        <v>7032</v>
      </c>
      <c r="C359" s="2" t="str">
        <f>IFERROR(__xludf.DUMMYFUNCTION("""COMPUTED_VALUE"""),"DHOHIR")</f>
        <v>DHOHIR</v>
      </c>
      <c r="D359" s="2" t="str">
        <f>IFERROR(__xludf.DUMMYFUNCTION("""COMPUTED_VALUE"""),"5KM MASTER M")</f>
        <v>5KM MASTER M</v>
      </c>
      <c r="E359" s="1">
        <f>IFERROR(__xludf.DUMMYFUNCTION("""COMPUTED_VALUE"""),38.0)</f>
        <v>38</v>
      </c>
      <c r="F359" s="1" t="str">
        <f>IFERROR(__xludf.DUMMYFUNCTION("""COMPUTED_VALUE"""),"Male")</f>
        <v>Male</v>
      </c>
      <c r="G359" s="5">
        <f>IFERROR(__xludf.DUMMYFUNCTION("""COMPUTED_VALUE"""),0.005287196759259259)</f>
        <v>0.005287196759</v>
      </c>
      <c r="H359" s="15">
        <f>IFERROR(__xludf.DUMMYFUNCTION("""COMPUTED_VALUE"""),0.2549440625)</f>
        <v>0.2549440625</v>
      </c>
      <c r="I359" s="15">
        <f>IFERROR(__xludf.DUMMYFUNCTION("""COMPUTED_VALUE"""),45949.2813800472)</f>
        <v>45949.28138</v>
      </c>
      <c r="J359" s="15">
        <f>IFERROR(__xludf.DUMMYFUNCTION("""COMPUTED_VALUE"""),45949.0264359847)</f>
        <v>45949.02644</v>
      </c>
      <c r="K359" s="15">
        <f>IFERROR(__xludf.DUMMYFUNCTION("""COMPUTED_VALUE"""),45949.27068989082)</f>
        <v>45949.27069</v>
      </c>
      <c r="L359" s="4"/>
    </row>
    <row r="360">
      <c r="A360" s="1">
        <f>IFERROR(__xludf.DUMMYFUNCTION("""COMPUTED_VALUE"""),359.0)</f>
        <v>359</v>
      </c>
      <c r="B360" s="7" t="str">
        <f>IFERROR(__xludf.DUMMYFUNCTION("""COMPUTED_VALUE"""),"9024")</f>
        <v>9024</v>
      </c>
      <c r="C360" s="8" t="str">
        <f>IFERROR(__xludf.DUMMYFUNCTION("""COMPUTED_VALUE"""),"Marcellino")</f>
        <v>Marcellino</v>
      </c>
      <c r="D360" s="2" t="str">
        <f>IFERROR(__xludf.DUMMYFUNCTION("""COMPUTED_VALUE"""),"5KM STUDENT M")</f>
        <v>5KM STUDENT M</v>
      </c>
      <c r="E360" s="1">
        <f>IFERROR(__xludf.DUMMYFUNCTION("""COMPUTED_VALUE"""),39.0)</f>
        <v>39</v>
      </c>
      <c r="F360" s="1" t="str">
        <f>IFERROR(__xludf.DUMMYFUNCTION("""COMPUTED_VALUE"""),"Male")</f>
        <v>Male</v>
      </c>
      <c r="G360" s="5">
        <f>IFERROR(__xludf.DUMMYFUNCTION("""COMPUTED_VALUE"""),0.00529275)</f>
        <v>0.00529275</v>
      </c>
      <c r="H360" s="15">
        <f>IFERROR(__xludf.DUMMYFUNCTION("""COMPUTED_VALUE"""),0.2549440625)</f>
        <v>0.2549440625</v>
      </c>
      <c r="I360" s="15">
        <f>IFERROR(__xludf.DUMMYFUNCTION("""COMPUTED_VALUE"""),45949.28140781502)</f>
        <v>45949.28141</v>
      </c>
      <c r="J360" s="15">
        <f>IFERROR(__xludf.DUMMYFUNCTION("""COMPUTED_VALUE"""),45949.02646375252)</f>
        <v>45949.02646</v>
      </c>
      <c r="K360" s="15">
        <f>IFERROR(__xludf.DUMMYFUNCTION("""COMPUTED_VALUE"""),45949.26929061069)</f>
        <v>45949.26929</v>
      </c>
      <c r="L360" s="4"/>
    </row>
    <row r="361">
      <c r="A361" s="1">
        <f>IFERROR(__xludf.DUMMYFUNCTION("""COMPUTED_VALUE"""),360.0)</f>
        <v>360</v>
      </c>
      <c r="B361" s="1">
        <f>IFERROR(__xludf.DUMMYFUNCTION("""COMPUTED_VALUE"""),6574.0)</f>
        <v>6574</v>
      </c>
      <c r="C361" s="2" t="str">
        <f>IFERROR(__xludf.DUMMYFUNCTION("""COMPUTED_VALUE"""),"Atilla Nomka")</f>
        <v>Atilla Nomka</v>
      </c>
      <c r="D361" s="2" t="str">
        <f>IFERROR(__xludf.DUMMYFUNCTION("""COMPUTED_VALUE"""),"5KM OVERALL F")</f>
        <v>5KM OVERALL F</v>
      </c>
      <c r="E361" s="1">
        <f>IFERROR(__xludf.DUMMYFUNCTION("""COMPUTED_VALUE"""),32.0)</f>
        <v>32</v>
      </c>
      <c r="F361" s="1" t="str">
        <f>IFERROR(__xludf.DUMMYFUNCTION("""COMPUTED_VALUE"""),"Female")</f>
        <v>Female</v>
      </c>
      <c r="G361" s="5">
        <f>IFERROR(__xludf.DUMMYFUNCTION("""COMPUTED_VALUE"""),0.005296222222222221)</f>
        <v>0.005296222222</v>
      </c>
      <c r="H361" s="15">
        <f>IFERROR(__xludf.DUMMYFUNCTION("""COMPUTED_VALUE"""),0.2549440625)</f>
        <v>0.2549440625</v>
      </c>
      <c r="I361" s="15">
        <f>IFERROR(__xludf.DUMMYFUNCTION("""COMPUTED_VALUE"""),45949.281425172674)</f>
        <v>45949.28143</v>
      </c>
      <c r="J361" s="15">
        <f>IFERROR(__xludf.DUMMYFUNCTION("""COMPUTED_VALUE"""),45949.02648111017)</f>
        <v>45949.02648</v>
      </c>
      <c r="K361" s="15">
        <f>IFERROR(__xludf.DUMMYFUNCTION("""COMPUTED_VALUE"""),45949.27108919837)</f>
        <v>45949.27109</v>
      </c>
      <c r="L361" s="4"/>
    </row>
    <row r="362">
      <c r="A362" s="1">
        <f>IFERROR(__xludf.DUMMYFUNCTION("""COMPUTED_VALUE"""),361.0)</f>
        <v>361</v>
      </c>
      <c r="B362" s="1">
        <f>IFERROR(__xludf.DUMMYFUNCTION("""COMPUTED_VALUE"""),6295.0)</f>
        <v>6295</v>
      </c>
      <c r="C362" s="2" t="str">
        <f>IFERROR(__xludf.DUMMYFUNCTION("""COMPUTED_VALUE"""),"Tatang")</f>
        <v>Tatang</v>
      </c>
      <c r="D362" s="2" t="str">
        <f>IFERROR(__xludf.DUMMYFUNCTION("""COMPUTED_VALUE"""),"5KM OVERALL M")</f>
        <v>5KM OVERALL M</v>
      </c>
      <c r="E362" s="1">
        <f>IFERROR(__xludf.DUMMYFUNCTION("""COMPUTED_VALUE"""),234.0)</f>
        <v>234</v>
      </c>
      <c r="F362" s="1" t="str">
        <f>IFERROR(__xludf.DUMMYFUNCTION("""COMPUTED_VALUE"""),"Male")</f>
        <v>Male</v>
      </c>
      <c r="G362" s="5">
        <f>IFERROR(__xludf.DUMMYFUNCTION("""COMPUTED_VALUE"""),0.0052996944444444445)</f>
        <v>0.005299694444</v>
      </c>
      <c r="H362" s="15">
        <f>IFERROR(__xludf.DUMMYFUNCTION("""COMPUTED_VALUE"""),0.2549440625)</f>
        <v>0.2549440625</v>
      </c>
      <c r="I362" s="15">
        <f>IFERROR(__xludf.DUMMYFUNCTION("""COMPUTED_VALUE"""),45949.28144253021)</f>
        <v>45949.28144</v>
      </c>
      <c r="J362" s="15">
        <f>IFERROR(__xludf.DUMMYFUNCTION("""COMPUTED_VALUE"""),45949.02649846771)</f>
        <v>45949.0265</v>
      </c>
      <c r="K362" s="15">
        <f>IFERROR(__xludf.DUMMYFUNCTION("""COMPUTED_VALUE"""),45949.27187045129)</f>
        <v>45949.27187</v>
      </c>
      <c r="L362" s="4"/>
    </row>
    <row r="363">
      <c r="A363" s="1">
        <f>IFERROR(__xludf.DUMMYFUNCTION("""COMPUTED_VALUE"""),362.0)</f>
        <v>362</v>
      </c>
      <c r="B363" s="1">
        <f>IFERROR(__xludf.DUMMYFUNCTION("""COMPUTED_VALUE"""),6435.0)</f>
        <v>6435</v>
      </c>
      <c r="C363" s="2" t="str">
        <f>IFERROR(__xludf.DUMMYFUNCTION("""COMPUTED_VALUE"""),"SATRIO")</f>
        <v>SATRIO</v>
      </c>
      <c r="D363" s="2" t="str">
        <f>IFERROR(__xludf.DUMMYFUNCTION("""COMPUTED_VALUE"""),"5KM OVERALL M")</f>
        <v>5KM OVERALL M</v>
      </c>
      <c r="E363" s="1">
        <f>IFERROR(__xludf.DUMMYFUNCTION("""COMPUTED_VALUE"""),235.0)</f>
        <v>235</v>
      </c>
      <c r="F363" s="1" t="str">
        <f>IFERROR(__xludf.DUMMYFUNCTION("""COMPUTED_VALUE"""),"Male")</f>
        <v>Male</v>
      </c>
      <c r="G363" s="5">
        <f>IFERROR(__xludf.DUMMYFUNCTION("""COMPUTED_VALUE"""),0.005305249999999999)</f>
        <v>0.00530525</v>
      </c>
      <c r="H363" s="15">
        <f>IFERROR(__xludf.DUMMYFUNCTION("""COMPUTED_VALUE"""),0.2549440625)</f>
        <v>0.2549440625</v>
      </c>
      <c r="I363" s="15">
        <f>IFERROR(__xludf.DUMMYFUNCTION("""COMPUTED_VALUE"""),45949.28147030929)</f>
        <v>45949.28147</v>
      </c>
      <c r="J363" s="15">
        <f>IFERROR(__xludf.DUMMYFUNCTION("""COMPUTED_VALUE"""),45949.02652624679)</f>
        <v>45949.02653</v>
      </c>
      <c r="K363" s="15">
        <f>IFERROR(__xludf.DUMMYFUNCTION("""COMPUTED_VALUE"""),45949.27209265561)</f>
        <v>45949.27209</v>
      </c>
      <c r="L363" s="4"/>
    </row>
    <row r="364">
      <c r="A364" s="1">
        <f>IFERROR(__xludf.DUMMYFUNCTION("""COMPUTED_VALUE"""),363.0)</f>
        <v>363</v>
      </c>
      <c r="B364" s="1">
        <f>IFERROR(__xludf.DUMMYFUNCTION("""COMPUTED_VALUE"""),5288.0)</f>
        <v>5288</v>
      </c>
      <c r="C364" s="2" t="str">
        <f>IFERROR(__xludf.DUMMYFUNCTION("""COMPUTED_VALUE"""),"Ghina")</f>
        <v>Ghina</v>
      </c>
      <c r="D364" s="2" t="str">
        <f>IFERROR(__xludf.DUMMYFUNCTION("""COMPUTED_VALUE"""),"5KM OVERALL F")</f>
        <v>5KM OVERALL F</v>
      </c>
      <c r="E364" s="1">
        <f>IFERROR(__xludf.DUMMYFUNCTION("""COMPUTED_VALUE"""),33.0)</f>
        <v>33</v>
      </c>
      <c r="F364" s="1" t="str">
        <f>IFERROR(__xludf.DUMMYFUNCTION("""COMPUTED_VALUE"""),"Female")</f>
        <v>Female</v>
      </c>
      <c r="G364" s="5">
        <f>IFERROR(__xludf.DUMMYFUNCTION("""COMPUTED_VALUE"""),0.0053066388888888885)</f>
        <v>0.005306638889</v>
      </c>
      <c r="H364" s="15">
        <f>IFERROR(__xludf.DUMMYFUNCTION("""COMPUTED_VALUE"""),0.2549440625)</f>
        <v>0.2549440625</v>
      </c>
      <c r="I364" s="15">
        <f>IFERROR(__xludf.DUMMYFUNCTION("""COMPUTED_VALUE"""),45949.28147725291)</f>
        <v>45949.28148</v>
      </c>
      <c r="J364" s="15">
        <f>IFERROR(__xludf.DUMMYFUNCTION("""COMPUTED_VALUE"""),45949.02653319041)</f>
        <v>45949.02653</v>
      </c>
      <c r="K364" s="15">
        <f>IFERROR(__xludf.DUMMYFUNCTION("""COMPUTED_VALUE"""),45949.27015864577)</f>
        <v>45949.27016</v>
      </c>
      <c r="L364" s="4"/>
    </row>
    <row r="365">
      <c r="A365" s="1">
        <f>IFERROR(__xludf.DUMMYFUNCTION("""COMPUTED_VALUE"""),364.0)</f>
        <v>364</v>
      </c>
      <c r="B365" s="1">
        <f>IFERROR(__xludf.DUMMYFUNCTION("""COMPUTED_VALUE"""),6179.0)</f>
        <v>6179</v>
      </c>
      <c r="C365" s="2" t="str">
        <f>IFERROR(__xludf.DUMMYFUNCTION("""COMPUTED_VALUE"""),"Indri")</f>
        <v>Indri</v>
      </c>
      <c r="D365" s="2" t="str">
        <f>IFERROR(__xludf.DUMMYFUNCTION("""COMPUTED_VALUE"""),"5KM OVERALL F")</f>
        <v>5KM OVERALL F</v>
      </c>
      <c r="E365" s="1">
        <f>IFERROR(__xludf.DUMMYFUNCTION("""COMPUTED_VALUE"""),34.0)</f>
        <v>34</v>
      </c>
      <c r="F365" s="1" t="str">
        <f>IFERROR(__xludf.DUMMYFUNCTION("""COMPUTED_VALUE"""),"Female")</f>
        <v>Female</v>
      </c>
      <c r="G365" s="5">
        <f>IFERROR(__xludf.DUMMYFUNCTION("""COMPUTED_VALUE"""),0.005307333333333333)</f>
        <v>0.005307333333</v>
      </c>
      <c r="H365" s="15">
        <f>IFERROR(__xludf.DUMMYFUNCTION("""COMPUTED_VALUE"""),0.2549440625)</f>
        <v>0.2549440625</v>
      </c>
      <c r="I365" s="15">
        <f>IFERROR(__xludf.DUMMYFUNCTION("""COMPUTED_VALUE"""),45949.281480726626)</f>
        <v>45949.28148</v>
      </c>
      <c r="J365" s="15">
        <f>IFERROR(__xludf.DUMMYFUNCTION("""COMPUTED_VALUE"""),45949.026536664125)</f>
        <v>45949.02654</v>
      </c>
      <c r="K365" s="15">
        <f>IFERROR(__xludf.DUMMYFUNCTION("""COMPUTED_VALUE"""),45949.26861697052)</f>
        <v>45949.26862</v>
      </c>
      <c r="L365" s="4"/>
    </row>
    <row r="366">
      <c r="A366" s="1">
        <f>IFERROR(__xludf.DUMMYFUNCTION("""COMPUTED_VALUE"""),365.0)</f>
        <v>365</v>
      </c>
      <c r="B366" s="1">
        <f>IFERROR(__xludf.DUMMYFUNCTION("""COMPUTED_VALUE"""),5626.0)</f>
        <v>5626</v>
      </c>
      <c r="C366" s="2" t="str">
        <f>IFERROR(__xludf.DUMMYFUNCTION("""COMPUTED_VALUE"""),"Fryan Dy")</f>
        <v>Fryan Dy</v>
      </c>
      <c r="D366" s="2" t="str">
        <f>IFERROR(__xludf.DUMMYFUNCTION("""COMPUTED_VALUE"""),"5KM OVERALL M")</f>
        <v>5KM OVERALL M</v>
      </c>
      <c r="E366" s="1">
        <f>IFERROR(__xludf.DUMMYFUNCTION("""COMPUTED_VALUE"""),236.0)</f>
        <v>236</v>
      </c>
      <c r="F366" s="1" t="str">
        <f>IFERROR(__xludf.DUMMYFUNCTION("""COMPUTED_VALUE"""),"Male")</f>
        <v>Male</v>
      </c>
      <c r="G366" s="5">
        <f>IFERROR(__xludf.DUMMYFUNCTION("""COMPUTED_VALUE"""),0.0053101134259259265)</f>
        <v>0.005310113426</v>
      </c>
      <c r="H366" s="15">
        <f>IFERROR(__xludf.DUMMYFUNCTION("""COMPUTED_VALUE"""),0.2549440625)</f>
        <v>0.2549440625</v>
      </c>
      <c r="I366" s="15">
        <f>IFERROR(__xludf.DUMMYFUNCTION("""COMPUTED_VALUE"""),45949.281494623974)</f>
        <v>45949.28149</v>
      </c>
      <c r="J366" s="15">
        <f>IFERROR(__xludf.DUMMYFUNCTION("""COMPUTED_VALUE"""),45949.02655056147)</f>
        <v>45949.02655</v>
      </c>
      <c r="K366" s="15">
        <f>IFERROR(__xludf.DUMMYFUNCTION("""COMPUTED_VALUE"""),45949.26995725263)</f>
        <v>45949.26996</v>
      </c>
      <c r="L366" s="4"/>
    </row>
    <row r="367">
      <c r="A367" s="1">
        <f>IFERROR(__xludf.DUMMYFUNCTION("""COMPUTED_VALUE"""),366.0)</f>
        <v>366</v>
      </c>
      <c r="B367" s="1">
        <f>IFERROR(__xludf.DUMMYFUNCTION("""COMPUTED_VALUE"""),5508.0)</f>
        <v>5508</v>
      </c>
      <c r="C367" s="2" t="str">
        <f>IFERROR(__xludf.DUMMYFUNCTION("""COMPUTED_VALUE"""),"YOGAV")</f>
        <v>YOGAV</v>
      </c>
      <c r="D367" s="2" t="str">
        <f>IFERROR(__xludf.DUMMYFUNCTION("""COMPUTED_VALUE"""),"5KM OVERALL M")</f>
        <v>5KM OVERALL M</v>
      </c>
      <c r="E367" s="1">
        <f>IFERROR(__xludf.DUMMYFUNCTION("""COMPUTED_VALUE"""),237.0)</f>
        <v>237</v>
      </c>
      <c r="F367" s="1" t="str">
        <f>IFERROR(__xludf.DUMMYFUNCTION("""COMPUTED_VALUE"""),"Male")</f>
        <v>Male</v>
      </c>
      <c r="G367" s="5">
        <f>IFERROR(__xludf.DUMMYFUNCTION("""COMPUTED_VALUE"""),0.005312877314814815)</f>
        <v>0.005312877315</v>
      </c>
      <c r="H367" s="15">
        <f>IFERROR(__xludf.DUMMYFUNCTION("""COMPUTED_VALUE"""),0.2549440625)</f>
        <v>0.2549440625</v>
      </c>
      <c r="I367" s="15">
        <f>IFERROR(__xludf.DUMMYFUNCTION("""COMPUTED_VALUE"""),45949.28150845415)</f>
        <v>45949.28151</v>
      </c>
      <c r="J367" s="15">
        <f>IFERROR(__xludf.DUMMYFUNCTION("""COMPUTED_VALUE"""),45949.02656439165)</f>
        <v>45949.02656</v>
      </c>
      <c r="K367" s="15">
        <f>IFERROR(__xludf.DUMMYFUNCTION("""COMPUTED_VALUE"""),45949.26987738734)</f>
        <v>45949.26988</v>
      </c>
      <c r="L367" s="4"/>
    </row>
    <row r="368">
      <c r="A368" s="1">
        <f>IFERROR(__xludf.DUMMYFUNCTION("""COMPUTED_VALUE"""),367.0)</f>
        <v>367</v>
      </c>
      <c r="B368" s="1">
        <f>IFERROR(__xludf.DUMMYFUNCTION("""COMPUTED_VALUE"""),5686.0)</f>
        <v>5686</v>
      </c>
      <c r="C368" s="2" t="str">
        <f>IFERROR(__xludf.DUMMYFUNCTION("""COMPUTED_VALUE"""),"Fajar")</f>
        <v>Fajar</v>
      </c>
      <c r="D368" s="2" t="str">
        <f>IFERROR(__xludf.DUMMYFUNCTION("""COMPUTED_VALUE"""),"5KM OVERALL M")</f>
        <v>5KM OVERALL M</v>
      </c>
      <c r="E368" s="1">
        <f>IFERROR(__xludf.DUMMYFUNCTION("""COMPUTED_VALUE"""),238.0)</f>
        <v>238</v>
      </c>
      <c r="F368" s="1" t="str">
        <f>IFERROR(__xludf.DUMMYFUNCTION("""COMPUTED_VALUE"""),"Male")</f>
        <v>Male</v>
      </c>
      <c r="G368" s="5">
        <f>IFERROR(__xludf.DUMMYFUNCTION("""COMPUTED_VALUE"""),0.0053142685185185185)</f>
        <v>0.005314268519</v>
      </c>
      <c r="H368" s="15">
        <f>IFERROR(__xludf.DUMMYFUNCTION("""COMPUTED_VALUE"""),0.2549440625)</f>
        <v>0.2549440625</v>
      </c>
      <c r="I368" s="15">
        <f>IFERROR(__xludf.DUMMYFUNCTION("""COMPUTED_VALUE"""),45949.28151540372)</f>
        <v>45949.28152</v>
      </c>
      <c r="J368" s="15">
        <f>IFERROR(__xludf.DUMMYFUNCTION("""COMPUTED_VALUE"""),45949.02657134122)</f>
        <v>45949.02657</v>
      </c>
      <c r="K368" s="15">
        <f>IFERROR(__xludf.DUMMYFUNCTION("""COMPUTED_VALUE"""),45949.27193294674)</f>
        <v>45949.27193</v>
      </c>
      <c r="L368" s="4"/>
    </row>
    <row r="369">
      <c r="A369" s="1">
        <f>IFERROR(__xludf.DUMMYFUNCTION("""COMPUTED_VALUE"""),368.0)</f>
        <v>368</v>
      </c>
      <c r="B369" s="1">
        <f>IFERROR(__xludf.DUMMYFUNCTION("""COMPUTED_VALUE"""),6437.0)</f>
        <v>6437</v>
      </c>
      <c r="C369" s="2" t="str">
        <f>IFERROR(__xludf.DUMMYFUNCTION("""COMPUTED_VALUE"""),"SUMARSONO")</f>
        <v>SUMARSONO</v>
      </c>
      <c r="D369" s="2" t="str">
        <f>IFERROR(__xludf.DUMMYFUNCTION("""COMPUTED_VALUE"""),"5KM OVERALL M")</f>
        <v>5KM OVERALL M</v>
      </c>
      <c r="E369" s="1">
        <f>IFERROR(__xludf.DUMMYFUNCTION("""COMPUTED_VALUE"""),239.0)</f>
        <v>239</v>
      </c>
      <c r="F369" s="1" t="str">
        <f>IFERROR(__xludf.DUMMYFUNCTION("""COMPUTED_VALUE"""),"Male")</f>
        <v>Male</v>
      </c>
      <c r="G369" s="5">
        <f>IFERROR(__xludf.DUMMYFUNCTION("""COMPUTED_VALUE"""),0.005314965277777778)</f>
        <v>0.005314965278</v>
      </c>
      <c r="H369" s="15">
        <f>IFERROR(__xludf.DUMMYFUNCTION("""COMPUTED_VALUE"""),0.2549440625)</f>
        <v>0.2549440625</v>
      </c>
      <c r="I369" s="15">
        <f>IFERROR(__xludf.DUMMYFUNCTION("""COMPUTED_VALUE"""),45949.28151888599)</f>
        <v>45949.28152</v>
      </c>
      <c r="J369" s="15">
        <f>IFERROR(__xludf.DUMMYFUNCTION("""COMPUTED_VALUE"""),45949.02657482349)</f>
        <v>45949.02657</v>
      </c>
      <c r="K369" s="15">
        <f>IFERROR(__xludf.DUMMYFUNCTION("""COMPUTED_VALUE"""),45949.269120439414)</f>
        <v>45949.26912</v>
      </c>
      <c r="L369" s="4"/>
    </row>
    <row r="370">
      <c r="A370" s="1">
        <f>IFERROR(__xludf.DUMMYFUNCTION("""COMPUTED_VALUE"""),369.0)</f>
        <v>369</v>
      </c>
      <c r="B370" s="1">
        <f>IFERROR(__xludf.DUMMYFUNCTION("""COMPUTED_VALUE"""),6077.0)</f>
        <v>6077</v>
      </c>
      <c r="C370" s="2" t="str">
        <f>IFERROR(__xludf.DUMMYFUNCTION("""COMPUTED_VALUE"""),"TONDI")</f>
        <v>TONDI</v>
      </c>
      <c r="D370" s="2" t="str">
        <f>IFERROR(__xludf.DUMMYFUNCTION("""COMPUTED_VALUE"""),"5KM OVERALL M")</f>
        <v>5KM OVERALL M</v>
      </c>
      <c r="E370" s="1">
        <f>IFERROR(__xludf.DUMMYFUNCTION("""COMPUTED_VALUE"""),240.0)</f>
        <v>240</v>
      </c>
      <c r="F370" s="1" t="str">
        <f>IFERROR(__xludf.DUMMYFUNCTION("""COMPUTED_VALUE"""),"Male")</f>
        <v>Male</v>
      </c>
      <c r="G370" s="5">
        <f>IFERROR(__xludf.DUMMYFUNCTION("""COMPUTED_VALUE"""),0.0053219166666666675)</f>
        <v>0.005321916667</v>
      </c>
      <c r="H370" s="15">
        <f>IFERROR(__xludf.DUMMYFUNCTION("""COMPUTED_VALUE"""),0.2549440625)</f>
        <v>0.2549440625</v>
      </c>
      <c r="I370" s="15">
        <f>IFERROR(__xludf.DUMMYFUNCTION("""COMPUTED_VALUE"""),45949.281553648674)</f>
        <v>45949.28155</v>
      </c>
      <c r="J370" s="15">
        <f>IFERROR(__xludf.DUMMYFUNCTION("""COMPUTED_VALUE"""),45949.02660958617)</f>
        <v>45949.02661</v>
      </c>
      <c r="K370" s="15">
        <f>IFERROR(__xludf.DUMMYFUNCTION("""COMPUTED_VALUE"""),45949.269054459575)</f>
        <v>45949.26905</v>
      </c>
      <c r="L370" s="4"/>
    </row>
    <row r="371">
      <c r="A371" s="1">
        <f>IFERROR(__xludf.DUMMYFUNCTION("""COMPUTED_VALUE"""),370.0)</f>
        <v>370</v>
      </c>
      <c r="B371" s="1">
        <f>IFERROR(__xludf.DUMMYFUNCTION("""COMPUTED_VALUE"""),7063.0)</f>
        <v>7063</v>
      </c>
      <c r="C371" s="2" t="str">
        <f>IFERROR(__xludf.DUMMYFUNCTION("""COMPUTED_VALUE"""),"Fatma Dee")</f>
        <v>Fatma Dee</v>
      </c>
      <c r="D371" s="2" t="str">
        <f>IFERROR(__xludf.DUMMYFUNCTION("""COMPUTED_VALUE"""),"5KM MASTER F")</f>
        <v>5KM MASTER F</v>
      </c>
      <c r="E371" s="1">
        <f>IFERROR(__xludf.DUMMYFUNCTION("""COMPUTED_VALUE"""),13.0)</f>
        <v>13</v>
      </c>
      <c r="F371" s="1" t="str">
        <f>IFERROR(__xludf.DUMMYFUNCTION("""COMPUTED_VALUE"""),"Female")</f>
        <v>Female</v>
      </c>
      <c r="G371" s="5">
        <f>IFERROR(__xludf.DUMMYFUNCTION("""COMPUTED_VALUE"""),0.005321918981481481)</f>
        <v>0.005321918981</v>
      </c>
      <c r="H371" s="15">
        <f>IFERROR(__xludf.DUMMYFUNCTION("""COMPUTED_VALUE"""),0.2549440625)</f>
        <v>0.2549440625</v>
      </c>
      <c r="I371" s="15">
        <f>IFERROR(__xludf.DUMMYFUNCTION("""COMPUTED_VALUE"""),45949.28155366039)</f>
        <v>45949.28155</v>
      </c>
      <c r="J371" s="15">
        <f>IFERROR(__xludf.DUMMYFUNCTION("""COMPUTED_VALUE"""),45949.02660959789)</f>
        <v>45949.02661</v>
      </c>
      <c r="K371" s="15">
        <f>IFERROR(__xludf.DUMMYFUNCTION("""COMPUTED_VALUE"""),45949.2696308583)</f>
        <v>45949.26963</v>
      </c>
      <c r="L371" s="4"/>
    </row>
    <row r="372">
      <c r="A372" s="1">
        <f>IFERROR(__xludf.DUMMYFUNCTION("""COMPUTED_VALUE"""),371.0)</f>
        <v>371</v>
      </c>
      <c r="B372" s="1">
        <f>IFERROR(__xludf.DUMMYFUNCTION("""COMPUTED_VALUE"""),6003.0)</f>
        <v>6003</v>
      </c>
      <c r="C372" s="2" t="str">
        <f>IFERROR(__xludf.DUMMYFUNCTION("""COMPUTED_VALUE"""),"kuricikbihi")</f>
        <v>kuricikbihi</v>
      </c>
      <c r="D372" s="2" t="str">
        <f>IFERROR(__xludf.DUMMYFUNCTION("""COMPUTED_VALUE"""),"5KM OVERALL M")</f>
        <v>5KM OVERALL M</v>
      </c>
      <c r="E372" s="1">
        <f>IFERROR(__xludf.DUMMYFUNCTION("""COMPUTED_VALUE"""),241.0)</f>
        <v>241</v>
      </c>
      <c r="F372" s="1" t="str">
        <f>IFERROR(__xludf.DUMMYFUNCTION("""COMPUTED_VALUE"""),"Male")</f>
        <v>Male</v>
      </c>
      <c r="G372" s="5">
        <f>IFERROR(__xludf.DUMMYFUNCTION("""COMPUTED_VALUE"""),0.005327474537037037)</f>
        <v>0.005327474537</v>
      </c>
      <c r="H372" s="15">
        <f>IFERROR(__xludf.DUMMYFUNCTION("""COMPUTED_VALUE"""),0.2549440625)</f>
        <v>0.2549440625</v>
      </c>
      <c r="I372" s="15">
        <f>IFERROR(__xludf.DUMMYFUNCTION("""COMPUTED_VALUE"""),45949.28158143802)</f>
        <v>45949.28158</v>
      </c>
      <c r="J372" s="15">
        <f>IFERROR(__xludf.DUMMYFUNCTION("""COMPUTED_VALUE"""),45949.02663737552)</f>
        <v>45949.02664</v>
      </c>
      <c r="K372" s="15">
        <f>IFERROR(__xludf.DUMMYFUNCTION("""COMPUTED_VALUE"""),45949.27091212777)</f>
        <v>45949.27091</v>
      </c>
      <c r="L372" s="4"/>
    </row>
    <row r="373">
      <c r="A373" s="1">
        <f>IFERROR(__xludf.DUMMYFUNCTION("""COMPUTED_VALUE"""),372.0)</f>
        <v>372</v>
      </c>
      <c r="B373" s="1">
        <f>IFERROR(__xludf.DUMMYFUNCTION("""COMPUTED_VALUE"""),5209.0)</f>
        <v>5209</v>
      </c>
      <c r="C373" s="2" t="str">
        <f>IFERROR(__xludf.DUMMYFUNCTION("""COMPUTED_VALUE"""),"Nur Izzatul Fahmah")</f>
        <v>Nur Izzatul Fahmah</v>
      </c>
      <c r="D373" s="2" t="str">
        <f>IFERROR(__xludf.DUMMYFUNCTION("""COMPUTED_VALUE"""),"5KM OVERALL F")</f>
        <v>5KM OVERALL F</v>
      </c>
      <c r="E373" s="1">
        <f>IFERROR(__xludf.DUMMYFUNCTION("""COMPUTED_VALUE"""),35.0)</f>
        <v>35</v>
      </c>
      <c r="F373" s="1" t="str">
        <f>IFERROR(__xludf.DUMMYFUNCTION("""COMPUTED_VALUE"""),"Female")</f>
        <v>Female</v>
      </c>
      <c r="G373" s="5">
        <f>IFERROR(__xludf.DUMMYFUNCTION("""COMPUTED_VALUE"""),0.005331638888888889)</f>
        <v>0.005331638889</v>
      </c>
      <c r="H373" s="15">
        <f>IFERROR(__xludf.DUMMYFUNCTION("""COMPUTED_VALUE"""),0.2549440625)</f>
        <v>0.2549440625</v>
      </c>
      <c r="I373" s="15">
        <f>IFERROR(__xludf.DUMMYFUNCTION("""COMPUTED_VALUE"""),45949.281602255265)</f>
        <v>45949.2816</v>
      </c>
      <c r="J373" s="15">
        <f>IFERROR(__xludf.DUMMYFUNCTION("""COMPUTED_VALUE"""),45949.026658192764)</f>
        <v>45949.02666</v>
      </c>
      <c r="K373" s="15">
        <f>IFERROR(__xludf.DUMMYFUNCTION("""COMPUTED_VALUE"""),45949.26993301157)</f>
        <v>45949.26993</v>
      </c>
      <c r="L373" s="4"/>
    </row>
    <row r="374">
      <c r="A374" s="1">
        <f>IFERROR(__xludf.DUMMYFUNCTION("""COMPUTED_VALUE"""),373.0)</f>
        <v>373</v>
      </c>
      <c r="B374" s="1">
        <f>IFERROR(__xludf.DUMMYFUNCTION("""COMPUTED_VALUE"""),7076.0)</f>
        <v>7076</v>
      </c>
      <c r="C374" s="2" t="str">
        <f>IFERROR(__xludf.DUMMYFUNCTION("""COMPUTED_VALUE"""),"JUNIE")</f>
        <v>JUNIE</v>
      </c>
      <c r="D374" s="2" t="str">
        <f>IFERROR(__xludf.DUMMYFUNCTION("""COMPUTED_VALUE"""),"5KM MASTER M")</f>
        <v>5KM MASTER M</v>
      </c>
      <c r="E374" s="1">
        <f>IFERROR(__xludf.DUMMYFUNCTION("""COMPUTED_VALUE"""),39.0)</f>
        <v>39</v>
      </c>
      <c r="F374" s="1" t="str">
        <f>IFERROR(__xludf.DUMMYFUNCTION("""COMPUTED_VALUE"""),"Male")</f>
        <v>Male</v>
      </c>
      <c r="G374" s="5">
        <f>IFERROR(__xludf.DUMMYFUNCTION("""COMPUTED_VALUE"""),0.005334416666666666)</f>
        <v>0.005334416667</v>
      </c>
      <c r="H374" s="15">
        <f>IFERROR(__xludf.DUMMYFUNCTION("""COMPUTED_VALUE"""),0.2549440625)</f>
        <v>0.2549440625</v>
      </c>
      <c r="I374" s="15">
        <f>IFERROR(__xludf.DUMMYFUNCTION("""COMPUTED_VALUE"""),45949.28161614331)</f>
        <v>45949.28162</v>
      </c>
      <c r="J374" s="15">
        <f>IFERROR(__xludf.DUMMYFUNCTION("""COMPUTED_VALUE"""),45949.02667208081)</f>
        <v>45949.02667</v>
      </c>
      <c r="K374" s="15">
        <f>IFERROR(__xludf.DUMMYFUNCTION("""COMPUTED_VALUE"""),45949.26929058754)</f>
        <v>45949.26929</v>
      </c>
      <c r="L374" s="4"/>
    </row>
    <row r="375">
      <c r="A375" s="1">
        <f>IFERROR(__xludf.DUMMYFUNCTION("""COMPUTED_VALUE"""),374.0)</f>
        <v>374</v>
      </c>
      <c r="B375" s="1">
        <f>IFERROR(__xludf.DUMMYFUNCTION("""COMPUTED_VALUE"""),5860.0)</f>
        <v>5860</v>
      </c>
      <c r="C375" s="2" t="str">
        <f>IFERROR(__xludf.DUMMYFUNCTION("""COMPUTED_VALUE"""),"Seno Wijayanto")</f>
        <v>Seno Wijayanto</v>
      </c>
      <c r="D375" s="2" t="str">
        <f>IFERROR(__xludf.DUMMYFUNCTION("""COMPUTED_VALUE"""),"5KM OVERALL M")</f>
        <v>5KM OVERALL M</v>
      </c>
      <c r="E375" s="1">
        <f>IFERROR(__xludf.DUMMYFUNCTION("""COMPUTED_VALUE"""),242.0)</f>
        <v>242</v>
      </c>
      <c r="F375" s="1" t="str">
        <f>IFERROR(__xludf.DUMMYFUNCTION("""COMPUTED_VALUE"""),"Male")</f>
        <v>Male</v>
      </c>
      <c r="G375" s="5">
        <f>IFERROR(__xludf.DUMMYFUNCTION("""COMPUTED_VALUE"""),0.005342055555555556)</f>
        <v>0.005342055556</v>
      </c>
      <c r="H375" s="15">
        <f>IFERROR(__xludf.DUMMYFUNCTION("""COMPUTED_VALUE"""),0.2549440625)</f>
        <v>0.2549440625</v>
      </c>
      <c r="I375" s="15">
        <f>IFERROR(__xludf.DUMMYFUNCTION("""COMPUTED_VALUE"""),45949.281654339415)</f>
        <v>45949.28165</v>
      </c>
      <c r="J375" s="15">
        <f>IFERROR(__xludf.DUMMYFUNCTION("""COMPUTED_VALUE"""),45949.026710276914)</f>
        <v>45949.02671</v>
      </c>
      <c r="K375" s="15">
        <f>IFERROR(__xludf.DUMMYFUNCTION("""COMPUTED_VALUE"""),45949.26985308669)</f>
        <v>45949.26985</v>
      </c>
      <c r="L375" s="4"/>
    </row>
    <row r="376">
      <c r="A376" s="1">
        <f>IFERROR(__xludf.DUMMYFUNCTION("""COMPUTED_VALUE"""),375.0)</f>
        <v>375</v>
      </c>
      <c r="B376" s="1">
        <f>IFERROR(__xludf.DUMMYFUNCTION("""COMPUTED_VALUE"""),5055.0)</f>
        <v>5055</v>
      </c>
      <c r="C376" s="2" t="str">
        <f>IFERROR(__xludf.DUMMYFUNCTION("""COMPUTED_VALUE"""),"Nana")</f>
        <v>Nana</v>
      </c>
      <c r="D376" s="2" t="str">
        <f>IFERROR(__xludf.DUMMYFUNCTION("""COMPUTED_VALUE"""),"5KM OVERALL F")</f>
        <v>5KM OVERALL F</v>
      </c>
      <c r="E376" s="1">
        <f>IFERROR(__xludf.DUMMYFUNCTION("""COMPUTED_VALUE"""),36.0)</f>
        <v>36</v>
      </c>
      <c r="F376" s="1" t="str">
        <f>IFERROR(__xludf.DUMMYFUNCTION("""COMPUTED_VALUE"""),"Female")</f>
        <v>Female</v>
      </c>
      <c r="G376" s="5">
        <f>IFERROR(__xludf.DUMMYFUNCTION("""COMPUTED_VALUE"""),0.005346921296296296)</f>
        <v>0.005346921296</v>
      </c>
      <c r="H376" s="15">
        <f>IFERROR(__xludf.DUMMYFUNCTION("""COMPUTED_VALUE"""),0.2549440625)</f>
        <v>0.2549440625</v>
      </c>
      <c r="I376" s="15">
        <f>IFERROR(__xludf.DUMMYFUNCTION("""COMPUTED_VALUE"""),45949.281678664986)</f>
        <v>45949.28168</v>
      </c>
      <c r="J376" s="15">
        <f>IFERROR(__xludf.DUMMYFUNCTION("""COMPUTED_VALUE"""),45949.026734602485)</f>
        <v>45949.02673</v>
      </c>
      <c r="K376" s="15">
        <f>IFERROR(__xludf.DUMMYFUNCTION("""COMPUTED_VALUE"""),45949.26948848852)</f>
        <v>45949.26949</v>
      </c>
      <c r="L376" s="4"/>
    </row>
    <row r="377">
      <c r="A377" s="1">
        <f>IFERROR(__xludf.DUMMYFUNCTION("""COMPUTED_VALUE"""),376.0)</f>
        <v>376</v>
      </c>
      <c r="B377" s="1">
        <f>IFERROR(__xludf.DUMMYFUNCTION("""COMPUTED_VALUE"""),6556.0)</f>
        <v>6556</v>
      </c>
      <c r="C377" s="2" t="str">
        <f>IFERROR(__xludf.DUMMYFUNCTION("""COMPUTED_VALUE"""),"M. SYARIF SHIDDIQ")</f>
        <v>M. SYARIF SHIDDIQ</v>
      </c>
      <c r="D377" s="2" t="str">
        <f>IFERROR(__xludf.DUMMYFUNCTION("""COMPUTED_VALUE"""),"5KM OVERALL M")</f>
        <v>5KM OVERALL M</v>
      </c>
      <c r="E377" s="1">
        <f>IFERROR(__xludf.DUMMYFUNCTION("""COMPUTED_VALUE"""),243.0)</f>
        <v>243</v>
      </c>
      <c r="F377" s="1" t="str">
        <f>IFERROR(__xludf.DUMMYFUNCTION("""COMPUTED_VALUE"""),"Male")</f>
        <v>Male</v>
      </c>
      <c r="G377" s="5">
        <f>IFERROR(__xludf.DUMMYFUNCTION("""COMPUTED_VALUE"""),0.005347611111111111)</f>
        <v>0.005347611111</v>
      </c>
      <c r="H377" s="15">
        <f>IFERROR(__xludf.DUMMYFUNCTION("""COMPUTED_VALUE"""),0.2549440625)</f>
        <v>0.2549440625</v>
      </c>
      <c r="I377" s="15">
        <f>IFERROR(__xludf.DUMMYFUNCTION("""COMPUTED_VALUE"""),45949.28168212343)</f>
        <v>45949.28168</v>
      </c>
      <c r="J377" s="15">
        <f>IFERROR(__xludf.DUMMYFUNCTION("""COMPUTED_VALUE"""),45949.02673806093)</f>
        <v>45949.02674</v>
      </c>
      <c r="K377" s="15">
        <f>IFERROR(__xludf.DUMMYFUNCTION("""COMPUTED_VALUE"""),45949.270825372856)</f>
        <v>45949.27083</v>
      </c>
      <c r="L377" s="4"/>
    </row>
    <row r="378">
      <c r="A378" s="1">
        <f>IFERROR(__xludf.DUMMYFUNCTION("""COMPUTED_VALUE"""),377.0)</f>
        <v>377</v>
      </c>
      <c r="B378" s="7" t="str">
        <f>IFERROR(__xludf.DUMMYFUNCTION("""COMPUTED_VALUE"""),"9062")</f>
        <v>9062</v>
      </c>
      <c r="C378" s="8" t="str">
        <f>IFERROR(__xludf.DUMMYFUNCTION("""COMPUTED_VALUE"""),"799")</f>
        <v>799</v>
      </c>
      <c r="D378" s="2" t="str">
        <f>IFERROR(__xludf.DUMMYFUNCTION("""COMPUTED_VALUE"""),"5KM STUDENT M")</f>
        <v>5KM STUDENT M</v>
      </c>
      <c r="E378" s="1">
        <f>IFERROR(__xludf.DUMMYFUNCTION("""COMPUTED_VALUE"""),40.0)</f>
        <v>40</v>
      </c>
      <c r="F378" s="1" t="str">
        <f>IFERROR(__xludf.DUMMYFUNCTION("""COMPUTED_VALUE"""),"Male")</f>
        <v>Male</v>
      </c>
      <c r="G378" s="5">
        <f>IFERROR(__xludf.DUMMYFUNCTION("""COMPUTED_VALUE"""),0.005359416666666667)</f>
        <v>0.005359416667</v>
      </c>
      <c r="H378" s="15">
        <f>IFERROR(__xludf.DUMMYFUNCTION("""COMPUTED_VALUE"""),0.2549440625)</f>
        <v>0.2549440625</v>
      </c>
      <c r="I378" s="15">
        <f>IFERROR(__xludf.DUMMYFUNCTION("""COMPUTED_VALUE"""),45949.28174114747)</f>
        <v>45949.28174</v>
      </c>
      <c r="J378" s="15">
        <f>IFERROR(__xludf.DUMMYFUNCTION("""COMPUTED_VALUE"""),45949.02679708497)</f>
        <v>45949.0268</v>
      </c>
      <c r="K378" s="15">
        <f>IFERROR(__xludf.DUMMYFUNCTION("""COMPUTED_VALUE"""),45949.270078764595)</f>
        <v>45949.27008</v>
      </c>
      <c r="L378" s="4"/>
    </row>
    <row r="379">
      <c r="A379" s="1">
        <f>IFERROR(__xludf.DUMMYFUNCTION("""COMPUTED_VALUE"""),378.0)</f>
        <v>378</v>
      </c>
      <c r="B379" s="1">
        <f>IFERROR(__xludf.DUMMYFUNCTION("""COMPUTED_VALUE"""),5004.0)</f>
        <v>5004</v>
      </c>
      <c r="C379" s="2" t="str">
        <f>IFERROR(__xludf.DUMMYFUNCTION("""COMPUTED_VALUE"""),"Ridha")</f>
        <v>Ridha</v>
      </c>
      <c r="D379" s="2" t="str">
        <f>IFERROR(__xludf.DUMMYFUNCTION("""COMPUTED_VALUE"""),"5KM OVERALL F")</f>
        <v>5KM OVERALL F</v>
      </c>
      <c r="E379" s="1">
        <f>IFERROR(__xludf.DUMMYFUNCTION("""COMPUTED_VALUE"""),37.0)</f>
        <v>37</v>
      </c>
      <c r="F379" s="1" t="str">
        <f>IFERROR(__xludf.DUMMYFUNCTION("""COMPUTED_VALUE"""),"Female")</f>
        <v>Female</v>
      </c>
      <c r="G379" s="5">
        <f>IFERROR(__xludf.DUMMYFUNCTION("""COMPUTED_VALUE"""),0.005372611111111111)</f>
        <v>0.005372611111</v>
      </c>
      <c r="H379" s="15">
        <f>IFERROR(__xludf.DUMMYFUNCTION("""COMPUTED_VALUE"""),0.2549440625)</f>
        <v>0.2549440625</v>
      </c>
      <c r="I379" s="15">
        <f>IFERROR(__xludf.DUMMYFUNCTION("""COMPUTED_VALUE"""),45949.28180711296)</f>
        <v>45949.28181</v>
      </c>
      <c r="J379" s="15">
        <f>IFERROR(__xludf.DUMMYFUNCTION("""COMPUTED_VALUE"""),45949.02686305046)</f>
        <v>45949.02686</v>
      </c>
      <c r="K379" s="15">
        <f>IFERROR(__xludf.DUMMYFUNCTION("""COMPUTED_VALUE"""),45949.26987737567)</f>
        <v>45949.26988</v>
      </c>
      <c r="L379" s="4"/>
    </row>
    <row r="380">
      <c r="A380" s="1">
        <f>IFERROR(__xludf.DUMMYFUNCTION("""COMPUTED_VALUE"""),379.0)</f>
        <v>379</v>
      </c>
      <c r="B380" s="1">
        <f>IFERROR(__xludf.DUMMYFUNCTION("""COMPUTED_VALUE"""),6118.0)</f>
        <v>6118</v>
      </c>
      <c r="C380" s="2" t="str">
        <f>IFERROR(__xludf.DUMMYFUNCTION("""COMPUTED_VALUE"""),"FA")</f>
        <v>FA</v>
      </c>
      <c r="D380" s="2" t="str">
        <f>IFERROR(__xludf.DUMMYFUNCTION("""COMPUTED_VALUE"""),"5KM OVERALL M")</f>
        <v>5KM OVERALL M</v>
      </c>
      <c r="E380" s="1">
        <f>IFERROR(__xludf.DUMMYFUNCTION("""COMPUTED_VALUE"""),244.0)</f>
        <v>244</v>
      </c>
      <c r="F380" s="1" t="str">
        <f>IFERROR(__xludf.DUMMYFUNCTION("""COMPUTED_VALUE"""),"Male")</f>
        <v>Male</v>
      </c>
      <c r="G380" s="5">
        <f>IFERROR(__xludf.DUMMYFUNCTION("""COMPUTED_VALUE"""),0.005374891203703704)</f>
        <v>0.005374891204</v>
      </c>
      <c r="H380" s="15">
        <f>IFERROR(__xludf.DUMMYFUNCTION("""COMPUTED_VALUE"""),0.2549440625)</f>
        <v>0.2549440625</v>
      </c>
      <c r="I380" s="15">
        <f>IFERROR(__xludf.DUMMYFUNCTION("""COMPUTED_VALUE"""),45949.28181852281)</f>
        <v>45949.28182</v>
      </c>
      <c r="J380" s="15">
        <f>IFERROR(__xludf.DUMMYFUNCTION("""COMPUTED_VALUE"""),45949.02687446031)</f>
        <v>45949.02687</v>
      </c>
      <c r="K380" s="15">
        <f>IFERROR(__xludf.DUMMYFUNCTION("""COMPUTED_VALUE"""),45949.26919687675)</f>
        <v>45949.2692</v>
      </c>
      <c r="L380" s="4"/>
    </row>
    <row r="381">
      <c r="A381" s="1">
        <f>IFERROR(__xludf.DUMMYFUNCTION("""COMPUTED_VALUE"""),380.0)</f>
        <v>380</v>
      </c>
      <c r="B381" s="1">
        <f>IFERROR(__xludf.DUMMYFUNCTION("""COMPUTED_VALUE"""),5544.0)</f>
        <v>5544</v>
      </c>
      <c r="C381" s="2" t="str">
        <f>IFERROR(__xludf.DUMMYFUNCTION("""COMPUTED_VALUE"""),"Roby Wahyudi")</f>
        <v>Roby Wahyudi</v>
      </c>
      <c r="D381" s="2" t="str">
        <f>IFERROR(__xludf.DUMMYFUNCTION("""COMPUTED_VALUE"""),"5KM OVERALL M")</f>
        <v>5KM OVERALL M</v>
      </c>
      <c r="E381" s="1">
        <f>IFERROR(__xludf.DUMMYFUNCTION("""COMPUTED_VALUE"""),245.0)</f>
        <v>245</v>
      </c>
      <c r="F381" s="1" t="str">
        <f>IFERROR(__xludf.DUMMYFUNCTION("""COMPUTED_VALUE"""),"Male")</f>
        <v>Male</v>
      </c>
      <c r="G381" s="5">
        <f>IFERROR(__xludf.DUMMYFUNCTION("""COMPUTED_VALUE"""),0.005379555555555556)</f>
        <v>0.005379555556</v>
      </c>
      <c r="H381" s="15">
        <f>IFERROR(__xludf.DUMMYFUNCTION("""COMPUTED_VALUE"""),0.2549440625)</f>
        <v>0.2549440625</v>
      </c>
      <c r="I381" s="15">
        <f>IFERROR(__xludf.DUMMYFUNCTION("""COMPUTED_VALUE"""),45949.281841838165)</f>
        <v>45949.28184</v>
      </c>
      <c r="J381" s="15">
        <f>IFERROR(__xludf.DUMMYFUNCTION("""COMPUTED_VALUE"""),45949.026897775664)</f>
        <v>45949.0269</v>
      </c>
      <c r="K381" s="15">
        <f>IFERROR(__xludf.DUMMYFUNCTION("""COMPUTED_VALUE"""),45949.26978021241)</f>
        <v>45949.26978</v>
      </c>
      <c r="L381" s="4"/>
    </row>
    <row r="382">
      <c r="A382" s="1">
        <f>IFERROR(__xludf.DUMMYFUNCTION("""COMPUTED_VALUE"""),381.0)</f>
        <v>381</v>
      </c>
      <c r="B382" s="1">
        <f>IFERROR(__xludf.DUMMYFUNCTION("""COMPUTED_VALUE"""),6151.0)</f>
        <v>6151</v>
      </c>
      <c r="C382" s="2" t="str">
        <f>IFERROR(__xludf.DUMMYFUNCTION("""COMPUTED_VALUE"""),"RiyadiNabilAzzam")</f>
        <v>RiyadiNabilAzzam</v>
      </c>
      <c r="D382" s="2" t="str">
        <f>IFERROR(__xludf.DUMMYFUNCTION("""COMPUTED_VALUE"""),"5KM OVERALL M")</f>
        <v>5KM OVERALL M</v>
      </c>
      <c r="E382" s="1">
        <f>IFERROR(__xludf.DUMMYFUNCTION("""COMPUTED_VALUE"""),246.0)</f>
        <v>246</v>
      </c>
      <c r="F382" s="1" t="str">
        <f>IFERROR(__xludf.DUMMYFUNCTION("""COMPUTED_VALUE"""),"Male")</f>
        <v>Male</v>
      </c>
      <c r="G382" s="5">
        <f>IFERROR(__xludf.DUMMYFUNCTION("""COMPUTED_VALUE"""),0.0053838379629629635)</f>
        <v>0.005383837963</v>
      </c>
      <c r="H382" s="15">
        <f>IFERROR(__xludf.DUMMYFUNCTION("""COMPUTED_VALUE"""),0.2549440625)</f>
        <v>0.2549440625</v>
      </c>
      <c r="I382" s="15">
        <f>IFERROR(__xludf.DUMMYFUNCTION("""COMPUTED_VALUE"""),45949.28186324691)</f>
        <v>45949.28186</v>
      </c>
      <c r="J382" s="15">
        <f>IFERROR(__xludf.DUMMYFUNCTION("""COMPUTED_VALUE"""),45949.02691918441)</f>
        <v>45949.02692</v>
      </c>
      <c r="K382" s="15">
        <f>IFERROR(__xludf.DUMMYFUNCTION("""COMPUTED_VALUE"""),45949.271835739484)</f>
        <v>45949.27184</v>
      </c>
      <c r="L382" s="4"/>
    </row>
    <row r="383">
      <c r="A383" s="1">
        <f>IFERROR(__xludf.DUMMYFUNCTION("""COMPUTED_VALUE"""),382.0)</f>
        <v>382</v>
      </c>
      <c r="B383" s="7" t="str">
        <f>IFERROR(__xludf.DUMMYFUNCTION("""COMPUTED_VALUE"""),"7151")</f>
        <v>7151</v>
      </c>
      <c r="C383" s="8" t="str">
        <f>IFERROR(__xludf.DUMMYFUNCTION("""COMPUTED_VALUE"""),"Juli71")</f>
        <v>Juli71</v>
      </c>
      <c r="D383" s="2" t="str">
        <f>IFERROR(__xludf.DUMMYFUNCTION("""COMPUTED_VALUE"""),"5KM MASTER M")</f>
        <v>5KM MASTER M</v>
      </c>
      <c r="E383" s="1">
        <f>IFERROR(__xludf.DUMMYFUNCTION("""COMPUTED_VALUE"""),40.0)</f>
        <v>40</v>
      </c>
      <c r="F383" s="1" t="str">
        <f>IFERROR(__xludf.DUMMYFUNCTION("""COMPUTED_VALUE"""),"Male")</f>
        <v>Male</v>
      </c>
      <c r="G383" s="5">
        <f>IFERROR(__xludf.DUMMYFUNCTION("""COMPUTED_VALUE"""),0.005392865740740741)</f>
        <v>0.005392865741</v>
      </c>
      <c r="H383" s="15">
        <f>IFERROR(__xludf.DUMMYFUNCTION("""COMPUTED_VALUE"""),0.2549440625)</f>
        <v>0.2549440625</v>
      </c>
      <c r="I383" s="15">
        <f>IFERROR(__xludf.DUMMYFUNCTION("""COMPUTED_VALUE"""),45949.28190839533)</f>
        <v>45949.28191</v>
      </c>
      <c r="J383" s="15">
        <f>IFERROR(__xludf.DUMMYFUNCTION("""COMPUTED_VALUE"""),45949.02696433283)</f>
        <v>45949.02696</v>
      </c>
      <c r="K383" s="15">
        <f>IFERROR(__xludf.DUMMYFUNCTION("""COMPUTED_VALUE"""),45950.27112268518)</f>
        <v>45950.27112</v>
      </c>
      <c r="L383" s="4" t="str">
        <f>IFERROR(__xludf.DUMMYFUNCTION("""COMPUTED_VALUE"""),"C")</f>
        <v>C</v>
      </c>
    </row>
    <row r="384">
      <c r="A384" s="1">
        <f>IFERROR(__xludf.DUMMYFUNCTION("""COMPUTED_VALUE"""),383.0)</f>
        <v>383</v>
      </c>
      <c r="B384" s="1">
        <f>IFERROR(__xludf.DUMMYFUNCTION("""COMPUTED_VALUE"""),6047.0)</f>
        <v>6047</v>
      </c>
      <c r="C384" s="2" t="str">
        <f>IFERROR(__xludf.DUMMYFUNCTION("""COMPUTED_VALUE"""),"Rezki")</f>
        <v>Rezki</v>
      </c>
      <c r="D384" s="2" t="str">
        <f>IFERROR(__xludf.DUMMYFUNCTION("""COMPUTED_VALUE"""),"5KM OVERALL M")</f>
        <v>5KM OVERALL M</v>
      </c>
      <c r="E384" s="1">
        <f>IFERROR(__xludf.DUMMYFUNCTION("""COMPUTED_VALUE"""),247.0)</f>
        <v>247</v>
      </c>
      <c r="F384" s="1" t="str">
        <f>IFERROR(__xludf.DUMMYFUNCTION("""COMPUTED_VALUE"""),"Male")</f>
        <v>Male</v>
      </c>
      <c r="G384" s="5">
        <f>IFERROR(__xludf.DUMMYFUNCTION("""COMPUTED_VALUE"""),0.005397611111111112)</f>
        <v>0.005397611111</v>
      </c>
      <c r="H384" s="15">
        <f>IFERROR(__xludf.DUMMYFUNCTION("""COMPUTED_VALUE"""),0.2549440625)</f>
        <v>0.2549440625</v>
      </c>
      <c r="I384" s="15">
        <f>IFERROR(__xludf.DUMMYFUNCTION("""COMPUTED_VALUE"""),45949.28193211429)</f>
        <v>45949.28193</v>
      </c>
      <c r="J384" s="15">
        <f>IFERROR(__xludf.DUMMYFUNCTION("""COMPUTED_VALUE"""),45949.02698805179)</f>
        <v>45949.02699</v>
      </c>
      <c r="K384" s="15">
        <f>IFERROR(__xludf.DUMMYFUNCTION("""COMPUTED_VALUE"""),45949.272231561816)</f>
        <v>45949.27223</v>
      </c>
      <c r="L384" s="4"/>
    </row>
    <row r="385">
      <c r="A385" s="1">
        <f>IFERROR(__xludf.DUMMYFUNCTION("""COMPUTED_VALUE"""),384.0)</f>
        <v>384</v>
      </c>
      <c r="B385" s="1">
        <f>IFERROR(__xludf.DUMMYFUNCTION("""COMPUTED_VALUE"""),6411.0)</f>
        <v>6411</v>
      </c>
      <c r="C385" s="2" t="str">
        <f>IFERROR(__xludf.DUMMYFUNCTION("""COMPUTED_VALUE"""),"jufry_dy")</f>
        <v>jufry_dy</v>
      </c>
      <c r="D385" s="2" t="str">
        <f>IFERROR(__xludf.DUMMYFUNCTION("""COMPUTED_VALUE"""),"5KM OVERALL M")</f>
        <v>5KM OVERALL M</v>
      </c>
      <c r="E385" s="1">
        <f>IFERROR(__xludf.DUMMYFUNCTION("""COMPUTED_VALUE"""),248.0)</f>
        <v>248</v>
      </c>
      <c r="F385" s="1" t="str">
        <f>IFERROR(__xludf.DUMMYFUNCTION("""COMPUTED_VALUE"""),"Male")</f>
        <v>Male</v>
      </c>
      <c r="G385" s="5">
        <f>IFERROR(__xludf.DUMMYFUNCTION("""COMPUTED_VALUE"""),0.005401076388888889)</f>
        <v>0.005401076389</v>
      </c>
      <c r="H385" s="15">
        <f>IFERROR(__xludf.DUMMYFUNCTION("""COMPUTED_VALUE"""),0.2549440625)</f>
        <v>0.2549440625</v>
      </c>
      <c r="I385" s="15">
        <f>IFERROR(__xludf.DUMMYFUNCTION("""COMPUTED_VALUE"""),45949.28194944786)</f>
        <v>45949.28195</v>
      </c>
      <c r="J385" s="15">
        <f>IFERROR(__xludf.DUMMYFUNCTION("""COMPUTED_VALUE"""),45949.02700538536)</f>
        <v>45949.02701</v>
      </c>
      <c r="K385" s="15">
        <f>IFERROR(__xludf.DUMMYFUNCTION("""COMPUTED_VALUE"""),45949.270547605665)</f>
        <v>45949.27055</v>
      </c>
      <c r="L385" s="4"/>
    </row>
    <row r="386">
      <c r="A386" s="1">
        <f>IFERROR(__xludf.DUMMYFUNCTION("""COMPUTED_VALUE"""),385.0)</f>
        <v>385</v>
      </c>
      <c r="B386" s="1">
        <f>IFERROR(__xludf.DUMMYFUNCTION("""COMPUTED_VALUE"""),5519.0)</f>
        <v>5519</v>
      </c>
      <c r="C386" s="2" t="str">
        <f>IFERROR(__xludf.DUMMYFUNCTION("""COMPUTED_VALUE"""),"KK Alex")</f>
        <v>KK Alex</v>
      </c>
      <c r="D386" s="2" t="str">
        <f>IFERROR(__xludf.DUMMYFUNCTION("""COMPUTED_VALUE"""),"5KM OVERALL M")</f>
        <v>5KM OVERALL M</v>
      </c>
      <c r="E386" s="1">
        <f>IFERROR(__xludf.DUMMYFUNCTION("""COMPUTED_VALUE"""),249.0)</f>
        <v>249</v>
      </c>
      <c r="F386" s="1" t="str">
        <f>IFERROR(__xludf.DUMMYFUNCTION("""COMPUTED_VALUE"""),"Male")</f>
        <v>Male</v>
      </c>
      <c r="G386" s="5">
        <f>IFERROR(__xludf.DUMMYFUNCTION("""COMPUTED_VALUE"""),0.005404546296296297)</f>
        <v>0.005404546296</v>
      </c>
      <c r="H386" s="15">
        <f>IFERROR(__xludf.DUMMYFUNCTION("""COMPUTED_VALUE"""),0.2549440625)</f>
        <v>0.2549440625</v>
      </c>
      <c r="I386" s="15">
        <f>IFERROR(__xludf.DUMMYFUNCTION("""COMPUTED_VALUE"""),45949.28196679768)</f>
        <v>45949.28197</v>
      </c>
      <c r="J386" s="15">
        <f>IFERROR(__xludf.DUMMYFUNCTION("""COMPUTED_VALUE"""),45949.02702273518)</f>
        <v>45949.02702</v>
      </c>
      <c r="K386" s="15">
        <f>IFERROR(__xludf.DUMMYFUNCTION("""COMPUTED_VALUE"""),45949.26993302315)</f>
        <v>45949.26993</v>
      </c>
      <c r="L386" s="4"/>
    </row>
    <row r="387">
      <c r="A387" s="1">
        <f>IFERROR(__xludf.DUMMYFUNCTION("""COMPUTED_VALUE"""),386.0)</f>
        <v>386</v>
      </c>
      <c r="B387" s="1">
        <f>IFERROR(__xludf.DUMMYFUNCTION("""COMPUTED_VALUE"""),6205.0)</f>
        <v>6205</v>
      </c>
      <c r="C387" s="2" t="str">
        <f>IFERROR(__xludf.DUMMYFUNCTION("""COMPUTED_VALUE"""),"MUHAMMAD FURQON")</f>
        <v>MUHAMMAD FURQON</v>
      </c>
      <c r="D387" s="2" t="str">
        <f>IFERROR(__xludf.DUMMYFUNCTION("""COMPUTED_VALUE"""),"5KM OVERALL M")</f>
        <v>5KM OVERALL M</v>
      </c>
      <c r="E387" s="1">
        <f>IFERROR(__xludf.DUMMYFUNCTION("""COMPUTED_VALUE"""),250.0)</f>
        <v>250</v>
      </c>
      <c r="F387" s="1" t="str">
        <f>IFERROR(__xludf.DUMMYFUNCTION("""COMPUTED_VALUE"""),"Male")</f>
        <v>Male</v>
      </c>
      <c r="G387" s="5">
        <f>IFERROR(__xludf.DUMMYFUNCTION("""COMPUTED_VALUE"""),0.005405944444444444)</f>
        <v>0.005405944444</v>
      </c>
      <c r="H387" s="15">
        <f>IFERROR(__xludf.DUMMYFUNCTION("""COMPUTED_VALUE"""),0.2549440625)</f>
        <v>0.2549440625</v>
      </c>
      <c r="I387" s="15">
        <f>IFERROR(__xludf.DUMMYFUNCTION("""COMPUTED_VALUE"""),45949.28197378775)</f>
        <v>45949.28197</v>
      </c>
      <c r="J387" s="15">
        <f>IFERROR(__xludf.DUMMYFUNCTION("""COMPUTED_VALUE"""),45949.02702972525)</f>
        <v>45949.02703</v>
      </c>
      <c r="K387" s="15">
        <f>IFERROR(__xludf.DUMMYFUNCTION("""COMPUTED_VALUE"""),45949.272384326425)</f>
        <v>45949.27238</v>
      </c>
      <c r="L387" s="4"/>
    </row>
    <row r="388">
      <c r="A388" s="1">
        <f>IFERROR(__xludf.DUMMYFUNCTION("""COMPUTED_VALUE"""),387.0)</f>
        <v>387</v>
      </c>
      <c r="B388" s="1">
        <f>IFERROR(__xludf.DUMMYFUNCTION("""COMPUTED_VALUE"""),6432.0)</f>
        <v>6432</v>
      </c>
      <c r="C388" s="2" t="str">
        <f>IFERROR(__xludf.DUMMYFUNCTION("""COMPUTED_VALUE"""),"JAKA")</f>
        <v>JAKA</v>
      </c>
      <c r="D388" s="2" t="str">
        <f>IFERROR(__xludf.DUMMYFUNCTION("""COMPUTED_VALUE"""),"5KM OVERALL M")</f>
        <v>5KM OVERALL M</v>
      </c>
      <c r="E388" s="1">
        <f>IFERROR(__xludf.DUMMYFUNCTION("""COMPUTED_VALUE"""),251.0)</f>
        <v>251</v>
      </c>
      <c r="F388" s="1" t="str">
        <f>IFERROR(__xludf.DUMMYFUNCTION("""COMPUTED_VALUE"""),"Male")</f>
        <v>Male</v>
      </c>
      <c r="G388" s="5">
        <f>IFERROR(__xludf.DUMMYFUNCTION("""COMPUTED_VALUE"""),0.005412888888888889)</f>
        <v>0.005412888889</v>
      </c>
      <c r="H388" s="15">
        <f>IFERROR(__xludf.DUMMYFUNCTION("""COMPUTED_VALUE"""),0.2549440625)</f>
        <v>0.2549440625</v>
      </c>
      <c r="I388" s="15">
        <f>IFERROR(__xludf.DUMMYFUNCTION("""COMPUTED_VALUE"""),45949.282008507806)</f>
        <v>45949.28201</v>
      </c>
      <c r="J388" s="15">
        <f>IFERROR(__xludf.DUMMYFUNCTION("""COMPUTED_VALUE"""),45949.027064445305)</f>
        <v>45949.02706</v>
      </c>
      <c r="K388" s="15">
        <f>IFERROR(__xludf.DUMMYFUNCTION("""COMPUTED_VALUE"""),45950.27118055556)</f>
        <v>45950.27118</v>
      </c>
      <c r="L388" s="4" t="str">
        <f>IFERROR(__xludf.DUMMYFUNCTION("""COMPUTED_VALUE"""),"C")</f>
        <v>C</v>
      </c>
    </row>
    <row r="389">
      <c r="A389" s="1">
        <f>IFERROR(__xludf.DUMMYFUNCTION("""COMPUTED_VALUE"""),388.0)</f>
        <v>388</v>
      </c>
      <c r="B389" s="1">
        <f>IFERROR(__xludf.DUMMYFUNCTION("""COMPUTED_VALUE"""),5351.0)</f>
        <v>5351</v>
      </c>
      <c r="C389" s="2" t="str">
        <f>IFERROR(__xludf.DUMMYFUNCTION("""COMPUTED_VALUE"""),"MEILLANO")</f>
        <v>MEILLANO</v>
      </c>
      <c r="D389" s="2" t="str">
        <f>IFERROR(__xludf.DUMMYFUNCTION("""COMPUTED_VALUE"""),"5KM OVERALL M")</f>
        <v>5KM OVERALL M</v>
      </c>
      <c r="E389" s="1">
        <f>IFERROR(__xludf.DUMMYFUNCTION("""COMPUTED_VALUE"""),252.0)</f>
        <v>252</v>
      </c>
      <c r="F389" s="1" t="str">
        <f>IFERROR(__xludf.DUMMYFUNCTION("""COMPUTED_VALUE"""),"Male")</f>
        <v>Male</v>
      </c>
      <c r="G389" s="5">
        <f>IFERROR(__xludf.DUMMYFUNCTION("""COMPUTED_VALUE"""),0.0054135717592592595)</f>
        <v>0.005413571759</v>
      </c>
      <c r="H389" s="15">
        <f>IFERROR(__xludf.DUMMYFUNCTION("""COMPUTED_VALUE"""),0.2549440625)</f>
        <v>0.2549440625</v>
      </c>
      <c r="I389" s="15">
        <f>IFERROR(__xludf.DUMMYFUNCTION("""COMPUTED_VALUE"""),45949.28201192677)</f>
        <v>45949.28201</v>
      </c>
      <c r="J389" s="15">
        <f>IFERROR(__xludf.DUMMYFUNCTION("""COMPUTED_VALUE"""),45949.02706786427)</f>
        <v>45949.02707</v>
      </c>
      <c r="K389" s="15">
        <f>IFERROR(__xludf.DUMMYFUNCTION("""COMPUTED_VALUE"""),45949.27139128486)</f>
        <v>45949.27139</v>
      </c>
      <c r="L389" s="4"/>
    </row>
    <row r="390">
      <c r="A390" s="1">
        <f>IFERROR(__xludf.DUMMYFUNCTION("""COMPUTED_VALUE"""),389.0)</f>
        <v>389</v>
      </c>
      <c r="B390" s="1">
        <f>IFERROR(__xludf.DUMMYFUNCTION("""COMPUTED_VALUE"""),6293.0)</f>
        <v>6293</v>
      </c>
      <c r="C390" s="2" t="str">
        <f>IFERROR(__xludf.DUMMYFUNCTION("""COMPUTED_VALUE"""),"hamdanthalib")</f>
        <v>hamdanthalib</v>
      </c>
      <c r="D390" s="2" t="str">
        <f>IFERROR(__xludf.DUMMYFUNCTION("""COMPUTED_VALUE"""),"5KM OVERALL M")</f>
        <v>5KM OVERALL M</v>
      </c>
      <c r="E390" s="1">
        <f>IFERROR(__xludf.DUMMYFUNCTION("""COMPUTED_VALUE"""),253.0)</f>
        <v>253</v>
      </c>
      <c r="F390" s="1" t="str">
        <f>IFERROR(__xludf.DUMMYFUNCTION("""COMPUTED_VALUE"""),"Male")</f>
        <v>Male</v>
      </c>
      <c r="G390" s="5">
        <f>IFERROR(__xludf.DUMMYFUNCTION("""COMPUTED_VALUE"""),0.005413576388888889)</f>
        <v>0.005413576389</v>
      </c>
      <c r="H390" s="15">
        <f>IFERROR(__xludf.DUMMYFUNCTION("""COMPUTED_VALUE"""),0.2549440625)</f>
        <v>0.2549440625</v>
      </c>
      <c r="I390" s="15">
        <f>IFERROR(__xludf.DUMMYFUNCTION("""COMPUTED_VALUE"""),45949.28201194419)</f>
        <v>45949.28201</v>
      </c>
      <c r="J390" s="15">
        <f>IFERROR(__xludf.DUMMYFUNCTION("""COMPUTED_VALUE"""),45949.02706788169)</f>
        <v>45949.02707</v>
      </c>
      <c r="K390" s="15">
        <f>IFERROR(__xludf.DUMMYFUNCTION("""COMPUTED_VALUE"""),45949.270301074816)</f>
        <v>45949.2703</v>
      </c>
      <c r="L390" s="4"/>
    </row>
    <row r="391">
      <c r="A391" s="1">
        <f>IFERROR(__xludf.DUMMYFUNCTION("""COMPUTED_VALUE"""),390.0)</f>
        <v>390</v>
      </c>
      <c r="B391" s="1">
        <f>IFERROR(__xludf.DUMMYFUNCTION("""COMPUTED_VALUE"""),5259.0)</f>
        <v>5259</v>
      </c>
      <c r="C391" s="2" t="str">
        <f>IFERROR(__xludf.DUMMYFUNCTION("""COMPUTED_VALUE"""),"Baihaqi")</f>
        <v>Baihaqi</v>
      </c>
      <c r="D391" s="2" t="str">
        <f>IFERROR(__xludf.DUMMYFUNCTION("""COMPUTED_VALUE"""),"5KM OVERALL M")</f>
        <v>5KM OVERALL M</v>
      </c>
      <c r="E391" s="1">
        <f>IFERROR(__xludf.DUMMYFUNCTION("""COMPUTED_VALUE"""),254.0)</f>
        <v>254</v>
      </c>
      <c r="F391" s="1" t="str">
        <f>IFERROR(__xludf.DUMMYFUNCTION("""COMPUTED_VALUE"""),"Male")</f>
        <v>Male</v>
      </c>
      <c r="G391" s="5">
        <f>IFERROR(__xludf.DUMMYFUNCTION("""COMPUTED_VALUE"""),0.0054184444444444445)</f>
        <v>0.005418444444</v>
      </c>
      <c r="H391" s="15">
        <f>IFERROR(__xludf.DUMMYFUNCTION("""COMPUTED_VALUE"""),0.2549440625)</f>
        <v>0.2549440625</v>
      </c>
      <c r="I391" s="15">
        <f>IFERROR(__xludf.DUMMYFUNCTION("""COMPUTED_VALUE"""),45949.2820362872)</f>
        <v>45949.28204</v>
      </c>
      <c r="J391" s="15">
        <f>IFERROR(__xludf.DUMMYFUNCTION("""COMPUTED_VALUE"""),45949.0270922247)</f>
        <v>45949.02709</v>
      </c>
      <c r="K391" s="15">
        <f>IFERROR(__xludf.DUMMYFUNCTION("""COMPUTED_VALUE"""),45949.271547533004)</f>
        <v>45949.27155</v>
      </c>
      <c r="L391" s="4"/>
    </row>
    <row r="392">
      <c r="A392" s="1">
        <f>IFERROR(__xludf.DUMMYFUNCTION("""COMPUTED_VALUE"""),391.0)</f>
        <v>391</v>
      </c>
      <c r="B392" s="1">
        <f>IFERROR(__xludf.DUMMYFUNCTION("""COMPUTED_VALUE"""),5692.0)</f>
        <v>5692</v>
      </c>
      <c r="C392" s="2" t="str">
        <f>IFERROR(__xludf.DUMMYFUNCTION("""COMPUTED_VALUE"""),"Firdaus")</f>
        <v>Firdaus</v>
      </c>
      <c r="D392" s="2" t="str">
        <f>IFERROR(__xludf.DUMMYFUNCTION("""COMPUTED_VALUE"""),"5KM OVERALL M")</f>
        <v>5KM OVERALL M</v>
      </c>
      <c r="E392" s="1">
        <f>IFERROR(__xludf.DUMMYFUNCTION("""COMPUTED_VALUE"""),255.0)</f>
        <v>255</v>
      </c>
      <c r="F392" s="1" t="str">
        <f>IFERROR(__xludf.DUMMYFUNCTION("""COMPUTED_VALUE"""),"Male")</f>
        <v>Male</v>
      </c>
      <c r="G392" s="5">
        <f>IFERROR(__xludf.DUMMYFUNCTION("""COMPUTED_VALUE"""),0.005432333333333333)</f>
        <v>0.005432333333</v>
      </c>
      <c r="H392" s="15">
        <f>IFERROR(__xludf.DUMMYFUNCTION("""COMPUTED_VALUE"""),0.2549440625)</f>
        <v>0.2549440625</v>
      </c>
      <c r="I392" s="15">
        <f>IFERROR(__xludf.DUMMYFUNCTION("""COMPUTED_VALUE"""),45949.28210573158)</f>
        <v>45949.28211</v>
      </c>
      <c r="J392" s="15">
        <f>IFERROR(__xludf.DUMMYFUNCTION("""COMPUTED_VALUE"""),45949.02716166908)</f>
        <v>45949.02716</v>
      </c>
      <c r="K392" s="15">
        <f>IFERROR(__xludf.DUMMYFUNCTION("""COMPUTED_VALUE"""),45949.27099204162)</f>
        <v>45949.27099</v>
      </c>
      <c r="L392" s="4"/>
    </row>
    <row r="393">
      <c r="A393" s="1">
        <f>IFERROR(__xludf.DUMMYFUNCTION("""COMPUTED_VALUE"""),392.0)</f>
        <v>392</v>
      </c>
      <c r="B393" s="1">
        <f>IFERROR(__xludf.DUMMYFUNCTION("""COMPUTED_VALUE"""),6511.0)</f>
        <v>6511</v>
      </c>
      <c r="C393" s="2" t="str">
        <f>IFERROR(__xludf.DUMMYFUNCTION("""COMPUTED_VALUE"""),"MAN UPDL BANJARBARU")</f>
        <v>MAN UPDL BANJARBARU</v>
      </c>
      <c r="D393" s="2" t="str">
        <f>IFERROR(__xludf.DUMMYFUNCTION("""COMPUTED_VALUE"""),"5KM OVERALL M")</f>
        <v>5KM OVERALL M</v>
      </c>
      <c r="E393" s="1">
        <f>IFERROR(__xludf.DUMMYFUNCTION("""COMPUTED_VALUE"""),256.0)</f>
        <v>256</v>
      </c>
      <c r="F393" s="1" t="str">
        <f>IFERROR(__xludf.DUMMYFUNCTION("""COMPUTED_VALUE"""),"Male")</f>
        <v>Male</v>
      </c>
      <c r="G393" s="5">
        <f>IFERROR(__xludf.DUMMYFUNCTION("""COMPUTED_VALUE"""),0.005450388888888889)</f>
        <v>0.005450388889</v>
      </c>
      <c r="H393" s="15">
        <f>IFERROR(__xludf.DUMMYFUNCTION("""COMPUTED_VALUE"""),0.2549440625)</f>
        <v>0.2549440625</v>
      </c>
      <c r="I393" s="15">
        <f>IFERROR(__xludf.DUMMYFUNCTION("""COMPUTED_VALUE"""),45949.28219600826)</f>
        <v>45949.2822</v>
      </c>
      <c r="J393" s="15">
        <f>IFERROR(__xludf.DUMMYFUNCTION("""COMPUTED_VALUE"""),45949.02725194576)</f>
        <v>45949.02725</v>
      </c>
      <c r="K393" s="15">
        <f>IFERROR(__xludf.DUMMYFUNCTION("""COMPUTED_VALUE"""),45949.27082536129)</f>
        <v>45949.27083</v>
      </c>
      <c r="L393" s="4"/>
    </row>
    <row r="394">
      <c r="A394" s="1">
        <f>IFERROR(__xludf.DUMMYFUNCTION("""COMPUTED_VALUE"""),393.0)</f>
        <v>393</v>
      </c>
      <c r="B394" s="1">
        <f>IFERROR(__xludf.DUMMYFUNCTION("""COMPUTED_VALUE"""),5071.0)</f>
        <v>5071</v>
      </c>
      <c r="C394" s="2" t="str">
        <f>IFERROR(__xludf.DUMMYFUNCTION("""COMPUTED_VALUE"""),"Dicky")</f>
        <v>Dicky</v>
      </c>
      <c r="D394" s="2" t="str">
        <f>IFERROR(__xludf.DUMMYFUNCTION("""COMPUTED_VALUE"""),"5KM OVERALL M")</f>
        <v>5KM OVERALL M</v>
      </c>
      <c r="E394" s="1">
        <f>IFERROR(__xludf.DUMMYFUNCTION("""COMPUTED_VALUE"""),257.0)</f>
        <v>257</v>
      </c>
      <c r="F394" s="1" t="str">
        <f>IFERROR(__xludf.DUMMYFUNCTION("""COMPUTED_VALUE"""),"Male")</f>
        <v>Male</v>
      </c>
      <c r="G394" s="5">
        <f>IFERROR(__xludf.DUMMYFUNCTION("""COMPUTED_VALUE"""),0.005456083333333333)</f>
        <v>0.005456083333</v>
      </c>
      <c r="H394" s="15">
        <f>IFERROR(__xludf.DUMMYFUNCTION("""COMPUTED_VALUE"""),0.2549440625)</f>
        <v>0.2549440625</v>
      </c>
      <c r="I394" s="15">
        <f>IFERROR(__xludf.DUMMYFUNCTION("""COMPUTED_VALUE"""),45949.28222447668)</f>
        <v>45949.28222</v>
      </c>
      <c r="J394" s="15">
        <f>IFERROR(__xludf.DUMMYFUNCTION("""COMPUTED_VALUE"""),45949.02728041418)</f>
        <v>45949.02728</v>
      </c>
      <c r="K394" s="15">
        <f>IFERROR(__xludf.DUMMYFUNCTION("""COMPUTED_VALUE"""),45949.26996767212)</f>
        <v>45949.26997</v>
      </c>
      <c r="L394" s="4"/>
    </row>
    <row r="395">
      <c r="A395" s="1">
        <f>IFERROR(__xludf.DUMMYFUNCTION("""COMPUTED_VALUE"""),394.0)</f>
        <v>394</v>
      </c>
      <c r="B395" s="1">
        <f>IFERROR(__xludf.DUMMYFUNCTION("""COMPUTED_VALUE"""),5862.0)</f>
        <v>5862</v>
      </c>
      <c r="C395" s="2" t="str">
        <f>IFERROR(__xludf.DUMMYFUNCTION("""COMPUTED_VALUE"""),"Desyna")</f>
        <v>Desyna</v>
      </c>
      <c r="D395" s="2" t="str">
        <f>IFERROR(__xludf.DUMMYFUNCTION("""COMPUTED_VALUE"""),"5KM OVERALL F")</f>
        <v>5KM OVERALL F</v>
      </c>
      <c r="E395" s="1">
        <f>IFERROR(__xludf.DUMMYFUNCTION("""COMPUTED_VALUE"""),38.0)</f>
        <v>38</v>
      </c>
      <c r="F395" s="1" t="str">
        <f>IFERROR(__xludf.DUMMYFUNCTION("""COMPUTED_VALUE"""),"Female")</f>
        <v>Female</v>
      </c>
      <c r="G395" s="5">
        <f>IFERROR(__xludf.DUMMYFUNCTION("""COMPUTED_VALUE"""),0.005458020833333333)</f>
        <v>0.005458020833</v>
      </c>
      <c r="H395" s="15">
        <f>IFERROR(__xludf.DUMMYFUNCTION("""COMPUTED_VALUE"""),0.2549440625)</f>
        <v>0.2549440625</v>
      </c>
      <c r="I395" s="15">
        <f>IFERROR(__xludf.DUMMYFUNCTION("""COMPUTED_VALUE"""),45949.282234168495)</f>
        <v>45949.28223</v>
      </c>
      <c r="J395" s="15">
        <f>IFERROR(__xludf.DUMMYFUNCTION("""COMPUTED_VALUE"""),45949.027290105994)</f>
        <v>45949.02729</v>
      </c>
      <c r="K395" s="15">
        <f>IFERROR(__xludf.DUMMYFUNCTION("""COMPUTED_VALUE"""),45949.27055100402)</f>
        <v>45949.27055</v>
      </c>
      <c r="L395" s="4"/>
    </row>
    <row r="396">
      <c r="A396" s="1">
        <f>IFERROR(__xludf.DUMMYFUNCTION("""COMPUTED_VALUE"""),395.0)</f>
        <v>395</v>
      </c>
      <c r="B396" s="1">
        <f>IFERROR(__xludf.DUMMYFUNCTION("""COMPUTED_VALUE"""),6517.0)</f>
        <v>6517</v>
      </c>
      <c r="C396" s="2" t="str">
        <f>IFERROR(__xludf.DUMMYFUNCTION("""COMPUTED_VALUE"""),"MAN NP UP PULANG PISAU")</f>
        <v>MAN NP UP PULANG PISAU</v>
      </c>
      <c r="D396" s="2" t="str">
        <f>IFERROR(__xludf.DUMMYFUNCTION("""COMPUTED_VALUE"""),"5KM OVERALL M")</f>
        <v>5KM OVERALL M</v>
      </c>
      <c r="E396" s="1">
        <f>IFERROR(__xludf.DUMMYFUNCTION("""COMPUTED_VALUE"""),258.0)</f>
        <v>258</v>
      </c>
      <c r="F396" s="1" t="str">
        <f>IFERROR(__xludf.DUMMYFUNCTION("""COMPUTED_VALUE"""),"Male")</f>
        <v>Male</v>
      </c>
      <c r="G396" s="5">
        <f>IFERROR(__xludf.DUMMYFUNCTION("""COMPUTED_VALUE"""),0.005470527777777777)</f>
        <v>0.005470527778</v>
      </c>
      <c r="H396" s="15">
        <f>IFERROR(__xludf.DUMMYFUNCTION("""COMPUTED_VALUE"""),0.2549440625)</f>
        <v>0.2549440625</v>
      </c>
      <c r="I396" s="15">
        <f>IFERROR(__xludf.DUMMYFUNCTION("""COMPUTED_VALUE"""),45949.28229670397)</f>
        <v>45949.2823</v>
      </c>
      <c r="J396" s="15">
        <f>IFERROR(__xludf.DUMMYFUNCTION("""COMPUTED_VALUE"""),45949.02735264147)</f>
        <v>45949.02735</v>
      </c>
      <c r="K396" s="15">
        <f>IFERROR(__xludf.DUMMYFUNCTION("""COMPUTED_VALUE"""),45949.271224666925)</f>
        <v>45949.27122</v>
      </c>
      <c r="L396" s="4"/>
    </row>
    <row r="397">
      <c r="A397" s="1">
        <f>IFERROR(__xludf.DUMMYFUNCTION("""COMPUTED_VALUE"""),396.0)</f>
        <v>396</v>
      </c>
      <c r="B397" s="1">
        <f>IFERROR(__xludf.DUMMYFUNCTION("""COMPUTED_VALUE"""),5388.0)</f>
        <v>5388</v>
      </c>
      <c r="C397" s="2" t="str">
        <f>IFERROR(__xludf.DUMMYFUNCTION("""COMPUTED_VALUE"""),"Farid")</f>
        <v>Farid</v>
      </c>
      <c r="D397" s="2" t="str">
        <f>IFERROR(__xludf.DUMMYFUNCTION("""COMPUTED_VALUE"""),"5KM OVERALL M")</f>
        <v>5KM OVERALL M</v>
      </c>
      <c r="E397" s="1">
        <f>IFERROR(__xludf.DUMMYFUNCTION("""COMPUTED_VALUE"""),259.0)</f>
        <v>259</v>
      </c>
      <c r="F397" s="1" t="str">
        <f>IFERROR(__xludf.DUMMYFUNCTION("""COMPUTED_VALUE"""),"Male")</f>
        <v>Male</v>
      </c>
      <c r="G397" s="5">
        <f>IFERROR(__xludf.DUMMYFUNCTION("""COMPUTED_VALUE"""),0.0054719050925925924)</f>
        <v>0.005471905093</v>
      </c>
      <c r="H397" s="15">
        <f>IFERROR(__xludf.DUMMYFUNCTION("""COMPUTED_VALUE"""),0.2549440625)</f>
        <v>0.2549440625</v>
      </c>
      <c r="I397" s="15">
        <f>IFERROR(__xludf.DUMMYFUNCTION("""COMPUTED_VALUE"""),45949.28230359302)</f>
        <v>45949.2823</v>
      </c>
      <c r="J397" s="15">
        <f>IFERROR(__xludf.DUMMYFUNCTION("""COMPUTED_VALUE"""),45949.02735953052)</f>
        <v>45949.02736</v>
      </c>
      <c r="K397" s="15">
        <f>IFERROR(__xludf.DUMMYFUNCTION("""COMPUTED_VALUE"""),45949.27076285926)</f>
        <v>45949.27076</v>
      </c>
      <c r="L397" s="4"/>
    </row>
    <row r="398">
      <c r="A398" s="1">
        <f>IFERROR(__xludf.DUMMYFUNCTION("""COMPUTED_VALUE"""),397.0)</f>
        <v>397</v>
      </c>
      <c r="B398" s="1">
        <f>IFERROR(__xludf.DUMMYFUNCTION("""COMPUTED_VALUE"""),6153.0)</f>
        <v>6153</v>
      </c>
      <c r="C398" s="2" t="str">
        <f>IFERROR(__xludf.DUMMYFUNCTION("""COMPUTED_VALUE"""),"Achmad Rusyandhy")</f>
        <v>Achmad Rusyandhy</v>
      </c>
      <c r="D398" s="2" t="str">
        <f>IFERROR(__xludf.DUMMYFUNCTION("""COMPUTED_VALUE"""),"5KM OVERALL M")</f>
        <v>5KM OVERALL M</v>
      </c>
      <c r="E398" s="1">
        <f>IFERROR(__xludf.DUMMYFUNCTION("""COMPUTED_VALUE"""),260.0)</f>
        <v>260</v>
      </c>
      <c r="F398" s="1" t="str">
        <f>IFERROR(__xludf.DUMMYFUNCTION("""COMPUTED_VALUE"""),"Male")</f>
        <v>Male</v>
      </c>
      <c r="G398" s="5">
        <f>IFERROR(__xludf.DUMMYFUNCTION("""COMPUTED_VALUE"""),0.005476083333333334)</f>
        <v>0.005476083333</v>
      </c>
      <c r="H398" s="15">
        <f>IFERROR(__xludf.DUMMYFUNCTION("""COMPUTED_VALUE"""),0.2549440625)</f>
        <v>0.2549440625</v>
      </c>
      <c r="I398" s="15">
        <f>IFERROR(__xludf.DUMMYFUNCTION("""COMPUTED_VALUE"""),45949.28232448104)</f>
        <v>45949.28232</v>
      </c>
      <c r="J398" s="15">
        <f>IFERROR(__xludf.DUMMYFUNCTION("""COMPUTED_VALUE"""),45949.02738041854)</f>
        <v>45949.02738</v>
      </c>
      <c r="K398" s="15">
        <f>IFERROR(__xludf.DUMMYFUNCTION("""COMPUTED_VALUE"""),45949.271044063054)</f>
        <v>45949.27104</v>
      </c>
      <c r="L398" s="4"/>
    </row>
    <row r="399">
      <c r="A399" s="1">
        <f>IFERROR(__xludf.DUMMYFUNCTION("""COMPUTED_VALUE"""),398.0)</f>
        <v>398</v>
      </c>
      <c r="B399" s="1">
        <f>IFERROR(__xludf.DUMMYFUNCTION("""COMPUTED_VALUE"""),5036.0)</f>
        <v>5036</v>
      </c>
      <c r="C399" s="2" t="str">
        <f>IFERROR(__xludf.DUMMYFUNCTION("""COMPUTED_VALUE"""),"alfian")</f>
        <v>alfian</v>
      </c>
      <c r="D399" s="2" t="str">
        <f>IFERROR(__xludf.DUMMYFUNCTION("""COMPUTED_VALUE"""),"5KM OVERALL M")</f>
        <v>5KM OVERALL M</v>
      </c>
      <c r="E399" s="1">
        <f>IFERROR(__xludf.DUMMYFUNCTION("""COMPUTED_VALUE"""),261.0)</f>
        <v>261</v>
      </c>
      <c r="F399" s="1" t="str">
        <f>IFERROR(__xludf.DUMMYFUNCTION("""COMPUTED_VALUE"""),"Male")</f>
        <v>Male</v>
      </c>
      <c r="G399" s="5">
        <f>IFERROR(__xludf.DUMMYFUNCTION("""COMPUTED_VALUE"""),0.005481641203703704)</f>
        <v>0.005481641204</v>
      </c>
      <c r="H399" s="15">
        <f>IFERROR(__xludf.DUMMYFUNCTION("""COMPUTED_VALUE"""),0.2549440625)</f>
        <v>0.2549440625</v>
      </c>
      <c r="I399" s="15">
        <f>IFERROR(__xludf.DUMMYFUNCTION("""COMPUTED_VALUE"""),45949.282352266586)</f>
        <v>45949.28235</v>
      </c>
      <c r="J399" s="15">
        <f>IFERROR(__xludf.DUMMYFUNCTION("""COMPUTED_VALUE"""),45949.027408204085)</f>
        <v>45949.02741</v>
      </c>
      <c r="K399" s="15">
        <f>IFERROR(__xludf.DUMMYFUNCTION("""COMPUTED_VALUE"""),45949.27054758252)</f>
        <v>45949.27055</v>
      </c>
      <c r="L399" s="4"/>
    </row>
    <row r="400">
      <c r="A400" s="1">
        <f>IFERROR(__xludf.DUMMYFUNCTION("""COMPUTED_VALUE"""),399.0)</f>
        <v>399</v>
      </c>
      <c r="B400" s="1">
        <f>IFERROR(__xludf.DUMMYFUNCTION("""COMPUTED_VALUE"""),5409.0)</f>
        <v>5409</v>
      </c>
      <c r="C400" s="2" t="str">
        <f>IFERROR(__xludf.DUMMYFUNCTION("""COMPUTED_VALUE"""),"Bal")</f>
        <v>Bal</v>
      </c>
      <c r="D400" s="2" t="str">
        <f>IFERROR(__xludf.DUMMYFUNCTION("""COMPUTED_VALUE"""),"5KM OVERALL F")</f>
        <v>5KM OVERALL F</v>
      </c>
      <c r="E400" s="1">
        <f>IFERROR(__xludf.DUMMYFUNCTION("""COMPUTED_VALUE"""),39.0)</f>
        <v>39</v>
      </c>
      <c r="F400" s="1" t="str">
        <f>IFERROR(__xludf.DUMMYFUNCTION("""COMPUTED_VALUE"""),"Female")</f>
        <v>Female</v>
      </c>
      <c r="G400" s="5">
        <f>IFERROR(__xludf.DUMMYFUNCTION("""COMPUTED_VALUE"""),0.005481643518518519)</f>
        <v>0.005481643519</v>
      </c>
      <c r="H400" s="15">
        <f>IFERROR(__xludf.DUMMYFUNCTION("""COMPUTED_VALUE"""),0.2549440625)</f>
        <v>0.2549440625</v>
      </c>
      <c r="I400" s="15">
        <f>IFERROR(__xludf.DUMMYFUNCTION("""COMPUTED_VALUE"""),45949.28235227819)</f>
        <v>45949.28235</v>
      </c>
      <c r="J400" s="15">
        <f>IFERROR(__xludf.DUMMYFUNCTION("""COMPUTED_VALUE"""),45949.02740821569)</f>
        <v>45949.02741</v>
      </c>
      <c r="K400" s="15">
        <f>IFERROR(__xludf.DUMMYFUNCTION("""COMPUTED_VALUE"""),45949.27093995485)</f>
        <v>45949.27094</v>
      </c>
      <c r="L400" s="4"/>
    </row>
    <row r="401">
      <c r="A401" s="1">
        <f>IFERROR(__xludf.DUMMYFUNCTION("""COMPUTED_VALUE"""),400.0)</f>
        <v>400</v>
      </c>
      <c r="B401" s="1">
        <f>IFERROR(__xludf.DUMMYFUNCTION("""COMPUTED_VALUE"""),5737.0)</f>
        <v>5737</v>
      </c>
      <c r="C401" s="2" t="str">
        <f>IFERROR(__xludf.DUMMYFUNCTION("""COMPUTED_VALUE"""),"OBYKISWAN")</f>
        <v>OBYKISWAN</v>
      </c>
      <c r="D401" s="2" t="str">
        <f>IFERROR(__xludf.DUMMYFUNCTION("""COMPUTED_VALUE"""),"5KM OVERALL M")</f>
        <v>5KM OVERALL M</v>
      </c>
      <c r="E401" s="1">
        <f>IFERROR(__xludf.DUMMYFUNCTION("""COMPUTED_VALUE"""),262.0)</f>
        <v>262</v>
      </c>
      <c r="F401" s="1" t="str">
        <f>IFERROR(__xludf.DUMMYFUNCTION("""COMPUTED_VALUE"""),"Male")</f>
        <v>Male</v>
      </c>
      <c r="G401" s="5">
        <f>IFERROR(__xludf.DUMMYFUNCTION("""COMPUTED_VALUE"""),0.005481645833333333)</f>
        <v>0.005481645833</v>
      </c>
      <c r="H401" s="15">
        <f>IFERROR(__xludf.DUMMYFUNCTION("""COMPUTED_VALUE"""),0.2549440625)</f>
        <v>0.2549440625</v>
      </c>
      <c r="I401" s="15">
        <f>IFERROR(__xludf.DUMMYFUNCTION("""COMPUTED_VALUE"""),45949.28235228978)</f>
        <v>45949.28235</v>
      </c>
      <c r="J401" s="15">
        <f>IFERROR(__xludf.DUMMYFUNCTION("""COMPUTED_VALUE"""),45949.02740822728)</f>
        <v>45949.02741</v>
      </c>
      <c r="K401" s="15">
        <f>IFERROR(__xludf.DUMMYFUNCTION("""COMPUTED_VALUE"""),45949.27004409923)</f>
        <v>45949.27004</v>
      </c>
      <c r="L401" s="4"/>
    </row>
    <row r="402">
      <c r="A402" s="1">
        <f>IFERROR(__xludf.DUMMYFUNCTION("""COMPUTED_VALUE"""),401.0)</f>
        <v>401</v>
      </c>
      <c r="B402" s="1">
        <f>IFERROR(__xludf.DUMMYFUNCTION("""COMPUTED_VALUE"""),7030.0)</f>
        <v>7030</v>
      </c>
      <c r="C402" s="2" t="str">
        <f>IFERROR(__xludf.DUMMYFUNCTION("""COMPUTED_VALUE"""),"OM SADI 46")</f>
        <v>OM SADI 46</v>
      </c>
      <c r="D402" s="2" t="str">
        <f>IFERROR(__xludf.DUMMYFUNCTION("""COMPUTED_VALUE"""),"5KM MASTER M")</f>
        <v>5KM MASTER M</v>
      </c>
      <c r="E402" s="1">
        <f>IFERROR(__xludf.DUMMYFUNCTION("""COMPUTED_VALUE"""),41.0)</f>
        <v>41</v>
      </c>
      <c r="F402" s="1" t="str">
        <f>IFERROR(__xludf.DUMMYFUNCTION("""COMPUTED_VALUE"""),"Male")</f>
        <v>Male</v>
      </c>
      <c r="G402" s="5">
        <f>IFERROR(__xludf.DUMMYFUNCTION("""COMPUTED_VALUE"""),0.00548650462962963)</f>
        <v>0.00548650463</v>
      </c>
      <c r="H402" s="15">
        <f>IFERROR(__xludf.DUMMYFUNCTION("""COMPUTED_VALUE"""),0.2549440625)</f>
        <v>0.2549440625</v>
      </c>
      <c r="I402" s="15">
        <f>IFERROR(__xludf.DUMMYFUNCTION("""COMPUTED_VALUE"""),45949.28237658148)</f>
        <v>45949.28238</v>
      </c>
      <c r="J402" s="15">
        <f>IFERROR(__xludf.DUMMYFUNCTION("""COMPUTED_VALUE"""),45949.02743251898)</f>
        <v>45949.02743</v>
      </c>
      <c r="K402" s="15">
        <f>IFERROR(__xludf.DUMMYFUNCTION("""COMPUTED_VALUE"""),45949.270249263405)</f>
        <v>45949.27025</v>
      </c>
      <c r="L402" s="4"/>
    </row>
    <row r="403">
      <c r="A403" s="1">
        <f>IFERROR(__xludf.DUMMYFUNCTION("""COMPUTED_VALUE"""),402.0)</f>
        <v>402</v>
      </c>
      <c r="B403" s="1">
        <f>IFERROR(__xludf.DUMMYFUNCTION("""COMPUTED_VALUE"""),5415.0)</f>
        <v>5415</v>
      </c>
      <c r="C403" s="2" t="str">
        <f>IFERROR(__xludf.DUMMYFUNCTION("""COMPUTED_VALUE"""),"dikanuge")</f>
        <v>dikanuge</v>
      </c>
      <c r="D403" s="2" t="str">
        <f>IFERROR(__xludf.DUMMYFUNCTION("""COMPUTED_VALUE"""),"5KM OVERALL M")</f>
        <v>5KM OVERALL M</v>
      </c>
      <c r="E403" s="1">
        <f>IFERROR(__xludf.DUMMYFUNCTION("""COMPUTED_VALUE"""),263.0)</f>
        <v>263</v>
      </c>
      <c r="F403" s="1" t="str">
        <f>IFERROR(__xludf.DUMMYFUNCTION("""COMPUTED_VALUE"""),"Male")</f>
        <v>Male</v>
      </c>
      <c r="G403" s="5">
        <f>IFERROR(__xludf.DUMMYFUNCTION("""COMPUTED_VALUE"""),0.005487912037037036)</f>
        <v>0.005487912037</v>
      </c>
      <c r="H403" s="15">
        <f>IFERROR(__xludf.DUMMYFUNCTION("""COMPUTED_VALUE"""),0.2549440625)</f>
        <v>0.2549440625</v>
      </c>
      <c r="I403" s="15">
        <f>IFERROR(__xludf.DUMMYFUNCTION("""COMPUTED_VALUE"""),45949.28238362455)</f>
        <v>45949.28238</v>
      </c>
      <c r="J403" s="15">
        <f>IFERROR(__xludf.DUMMYFUNCTION("""COMPUTED_VALUE"""),45949.02743956205)</f>
        <v>45949.02744</v>
      </c>
      <c r="K403" s="15">
        <f>IFERROR(__xludf.DUMMYFUNCTION("""COMPUTED_VALUE"""),45949.27092947525)</f>
        <v>45949.27093</v>
      </c>
      <c r="L403" s="4"/>
    </row>
    <row r="404">
      <c r="A404" s="1">
        <f>IFERROR(__xludf.DUMMYFUNCTION("""COMPUTED_VALUE"""),403.0)</f>
        <v>403</v>
      </c>
      <c r="B404" s="1">
        <f>IFERROR(__xludf.DUMMYFUNCTION("""COMPUTED_VALUE"""),5887.0)</f>
        <v>5887</v>
      </c>
      <c r="C404" s="2" t="str">
        <f>IFERROR(__xludf.DUMMYFUNCTION("""COMPUTED_VALUE"""),"Rabtinta")</f>
        <v>Rabtinta</v>
      </c>
      <c r="D404" s="2" t="str">
        <f>IFERROR(__xludf.DUMMYFUNCTION("""COMPUTED_VALUE"""),"5KM OVERALL M")</f>
        <v>5KM OVERALL M</v>
      </c>
      <c r="E404" s="1">
        <f>IFERROR(__xludf.DUMMYFUNCTION("""COMPUTED_VALUE"""),264.0)</f>
        <v>264</v>
      </c>
      <c r="F404" s="1" t="str">
        <f>IFERROR(__xludf.DUMMYFUNCTION("""COMPUTED_VALUE"""),"Male")</f>
        <v>Male</v>
      </c>
      <c r="G404" s="5">
        <f>IFERROR(__xludf.DUMMYFUNCTION("""COMPUTED_VALUE"""),0.005495701388888889)</f>
        <v>0.005495701389</v>
      </c>
      <c r="H404" s="15">
        <f>IFERROR(__xludf.DUMMYFUNCTION("""COMPUTED_VALUE"""),0.2549440625)</f>
        <v>0.2549440625</v>
      </c>
      <c r="I404" s="15">
        <f>IFERROR(__xludf.DUMMYFUNCTION("""COMPUTED_VALUE"""),45949.28242256591)</f>
        <v>45949.28242</v>
      </c>
      <c r="J404" s="15">
        <f>IFERROR(__xludf.DUMMYFUNCTION("""COMPUTED_VALUE"""),45949.02747850341)</f>
        <v>45949.02748</v>
      </c>
      <c r="K404" s="15">
        <f>IFERROR(__xludf.DUMMYFUNCTION("""COMPUTED_VALUE"""),45949.27156488268)</f>
        <v>45949.27156</v>
      </c>
      <c r="L404" s="4"/>
    </row>
    <row r="405">
      <c r="A405" s="1">
        <f>IFERROR(__xludf.DUMMYFUNCTION("""COMPUTED_VALUE"""),404.0)</f>
        <v>404</v>
      </c>
      <c r="B405" s="1">
        <f>IFERROR(__xludf.DUMMYFUNCTION("""COMPUTED_VALUE"""),6330.0)</f>
        <v>6330</v>
      </c>
      <c r="C405" s="2" t="str">
        <f>IFERROR(__xludf.DUMMYFUNCTION("""COMPUTED_VALUE"""),"Kelly Kherwanto")</f>
        <v>Kelly Kherwanto</v>
      </c>
      <c r="D405" s="2" t="str">
        <f>IFERROR(__xludf.DUMMYFUNCTION("""COMPUTED_VALUE"""),"5KM OVERALL M")</f>
        <v>5KM OVERALL M</v>
      </c>
      <c r="E405" s="1">
        <f>IFERROR(__xludf.DUMMYFUNCTION("""COMPUTED_VALUE"""),265.0)</f>
        <v>265</v>
      </c>
      <c r="F405" s="1" t="str">
        <f>IFERROR(__xludf.DUMMYFUNCTION("""COMPUTED_VALUE"""),"Male")</f>
        <v>Male</v>
      </c>
      <c r="G405" s="5">
        <f>IFERROR(__xludf.DUMMYFUNCTION("""COMPUTED_VALUE"""),0.005496224537037037)</f>
        <v>0.005496224537</v>
      </c>
      <c r="H405" s="15">
        <f>IFERROR(__xludf.DUMMYFUNCTION("""COMPUTED_VALUE"""),0.2549440625)</f>
        <v>0.2549440625</v>
      </c>
      <c r="I405" s="15">
        <f>IFERROR(__xludf.DUMMYFUNCTION("""COMPUTED_VALUE"""),45949.282425181176)</f>
        <v>45949.28243</v>
      </c>
      <c r="J405" s="15">
        <f>IFERROR(__xludf.DUMMYFUNCTION("""COMPUTED_VALUE"""),45949.027481118675)</f>
        <v>45949.02748</v>
      </c>
      <c r="K405" s="15">
        <f>IFERROR(__xludf.DUMMYFUNCTION("""COMPUTED_VALUE"""),45949.26985309828)</f>
        <v>45949.26985</v>
      </c>
      <c r="L405" s="4"/>
    </row>
    <row r="406">
      <c r="A406" s="1">
        <f>IFERROR(__xludf.DUMMYFUNCTION("""COMPUTED_VALUE"""),405.0)</f>
        <v>405</v>
      </c>
      <c r="B406" s="1">
        <f>IFERROR(__xludf.DUMMYFUNCTION("""COMPUTED_VALUE"""),7031.0)</f>
        <v>7031</v>
      </c>
      <c r="C406" s="2" t="str">
        <f>IFERROR(__xludf.DUMMYFUNCTION("""COMPUTED_VALUE"""),"Rusmini Sadi")</f>
        <v>Rusmini Sadi</v>
      </c>
      <c r="D406" s="2" t="str">
        <f>IFERROR(__xludf.DUMMYFUNCTION("""COMPUTED_VALUE"""),"5KM MASTER F")</f>
        <v>5KM MASTER F</v>
      </c>
      <c r="E406" s="1">
        <f>IFERROR(__xludf.DUMMYFUNCTION("""COMPUTED_VALUE"""),14.0)</f>
        <v>14</v>
      </c>
      <c r="F406" s="1" t="str">
        <f>IFERROR(__xludf.DUMMYFUNCTION("""COMPUTED_VALUE"""),"Female")</f>
        <v>Female</v>
      </c>
      <c r="G406" s="5">
        <f>IFERROR(__xludf.DUMMYFUNCTION("""COMPUTED_VALUE"""),0.0055115)</f>
        <v>0.0055115</v>
      </c>
      <c r="H406" s="15">
        <f>IFERROR(__xludf.DUMMYFUNCTION("""COMPUTED_VALUE"""),0.2549440625)</f>
        <v>0.2549440625</v>
      </c>
      <c r="I406" s="15">
        <f>IFERROR(__xludf.DUMMYFUNCTION("""COMPUTED_VALUE"""),45949.2825015641)</f>
        <v>45949.2825</v>
      </c>
      <c r="J406" s="15">
        <f>IFERROR(__xludf.DUMMYFUNCTION("""COMPUTED_VALUE"""),45949.0275575016)</f>
        <v>45949.02756</v>
      </c>
      <c r="K406" s="15">
        <f>IFERROR(__xludf.DUMMYFUNCTION("""COMPUTED_VALUE"""),45950.27148148148)</f>
        <v>45950.27148</v>
      </c>
      <c r="L406" s="4" t="str">
        <f>IFERROR(__xludf.DUMMYFUNCTION("""COMPUTED_VALUE"""),"C")</f>
        <v>C</v>
      </c>
    </row>
    <row r="407">
      <c r="A407" s="1">
        <f>IFERROR(__xludf.DUMMYFUNCTION("""COMPUTED_VALUE"""),406.0)</f>
        <v>406</v>
      </c>
      <c r="B407" s="1">
        <f>IFERROR(__xludf.DUMMYFUNCTION("""COMPUTED_VALUE"""),5633.0)</f>
        <v>5633</v>
      </c>
      <c r="C407" s="2" t="str">
        <f>IFERROR(__xludf.DUMMYFUNCTION("""COMPUTED_VALUE"""),"Angga")</f>
        <v>Angga</v>
      </c>
      <c r="D407" s="2" t="str">
        <f>IFERROR(__xludf.DUMMYFUNCTION("""COMPUTED_VALUE"""),"5KM OVERALL M")</f>
        <v>5KM OVERALL M</v>
      </c>
      <c r="E407" s="1">
        <f>IFERROR(__xludf.DUMMYFUNCTION("""COMPUTED_VALUE"""),266.0)</f>
        <v>266</v>
      </c>
      <c r="F407" s="1" t="str">
        <f>IFERROR(__xludf.DUMMYFUNCTION("""COMPUTED_VALUE"""),"Male")</f>
        <v>Male</v>
      </c>
      <c r="G407" s="5">
        <f>IFERROR(__xludf.DUMMYFUNCTION("""COMPUTED_VALUE"""),0.005513583333333334)</f>
        <v>0.005513583333</v>
      </c>
      <c r="H407" s="15">
        <f>IFERROR(__xludf.DUMMYFUNCTION("""COMPUTED_VALUE"""),0.2549440625)</f>
        <v>0.2549440625</v>
      </c>
      <c r="I407" s="15">
        <f>IFERROR(__xludf.DUMMYFUNCTION("""COMPUTED_VALUE"""),45949.28251198316)</f>
        <v>45949.28251</v>
      </c>
      <c r="J407" s="15">
        <f>IFERROR(__xludf.DUMMYFUNCTION("""COMPUTED_VALUE"""),45949.02756792066)</f>
        <v>45949.02757</v>
      </c>
      <c r="K407" s="15">
        <f>IFERROR(__xludf.DUMMYFUNCTION("""COMPUTED_VALUE"""),45949.27240535081)</f>
        <v>45949.27241</v>
      </c>
      <c r="L407" s="4"/>
    </row>
    <row r="408">
      <c r="A408" s="1">
        <f>IFERROR(__xludf.DUMMYFUNCTION("""COMPUTED_VALUE"""),407.0)</f>
        <v>407</v>
      </c>
      <c r="B408" s="1">
        <f>IFERROR(__xludf.DUMMYFUNCTION("""COMPUTED_VALUE"""),5206.0)</f>
        <v>5206</v>
      </c>
      <c r="C408" s="2" t="str">
        <f>IFERROR(__xludf.DUMMYFUNCTION("""COMPUTED_VALUE"""),"adisiswn")</f>
        <v>adisiswn</v>
      </c>
      <c r="D408" s="2" t="str">
        <f>IFERROR(__xludf.DUMMYFUNCTION("""COMPUTED_VALUE"""),"5KM OVERALL M")</f>
        <v>5KM OVERALL M</v>
      </c>
      <c r="E408" s="1">
        <f>IFERROR(__xludf.DUMMYFUNCTION("""COMPUTED_VALUE"""),267.0)</f>
        <v>267</v>
      </c>
      <c r="F408" s="1" t="str">
        <f>IFERROR(__xludf.DUMMYFUNCTION("""COMPUTED_VALUE"""),"Male")</f>
        <v>Male</v>
      </c>
      <c r="G408" s="5">
        <f>IFERROR(__xludf.DUMMYFUNCTION("""COMPUTED_VALUE"""),0.005516384259259259)</f>
        <v>0.005516384259</v>
      </c>
      <c r="H408" s="15">
        <f>IFERROR(__xludf.DUMMYFUNCTION("""COMPUTED_VALUE"""),0.2549440625)</f>
        <v>0.2549440625</v>
      </c>
      <c r="I408" s="15">
        <f>IFERROR(__xludf.DUMMYFUNCTION("""COMPUTED_VALUE"""),45949.28252598541)</f>
        <v>45949.28253</v>
      </c>
      <c r="J408" s="15">
        <f>IFERROR(__xludf.DUMMYFUNCTION("""COMPUTED_VALUE"""),45949.02758192291)</f>
        <v>45949.02758</v>
      </c>
      <c r="K408" s="15">
        <f>IFERROR(__xludf.DUMMYFUNCTION("""COMPUTED_VALUE"""),45949.27076981115)</f>
        <v>45949.27077</v>
      </c>
      <c r="L408" s="4"/>
    </row>
    <row r="409">
      <c r="A409" s="1">
        <f>IFERROR(__xludf.DUMMYFUNCTION("""COMPUTED_VALUE"""),408.0)</f>
        <v>408</v>
      </c>
      <c r="B409" s="1">
        <f>IFERROR(__xludf.DUMMYFUNCTION("""COMPUTED_VALUE"""),6117.0)</f>
        <v>6117</v>
      </c>
      <c r="C409" s="2" t="str">
        <f>IFERROR(__xludf.DUMMYFUNCTION("""COMPUTED_VALUE"""),"Rizky")</f>
        <v>Rizky</v>
      </c>
      <c r="D409" s="2" t="str">
        <f>IFERROR(__xludf.DUMMYFUNCTION("""COMPUTED_VALUE"""),"5KM OVERALL M")</f>
        <v>5KM OVERALL M</v>
      </c>
      <c r="E409" s="1">
        <f>IFERROR(__xludf.DUMMYFUNCTION("""COMPUTED_VALUE"""),268.0)</f>
        <v>268</v>
      </c>
      <c r="F409" s="1" t="str">
        <f>IFERROR(__xludf.DUMMYFUNCTION("""COMPUTED_VALUE"""),"Male")</f>
        <v>Male</v>
      </c>
      <c r="G409" s="5">
        <f>IFERROR(__xludf.DUMMYFUNCTION("""COMPUTED_VALUE"""),0.005521916666666666)</f>
        <v>0.005521916667</v>
      </c>
      <c r="H409" s="15">
        <f>IFERROR(__xludf.DUMMYFUNCTION("""COMPUTED_VALUE"""),0.2549440625)</f>
        <v>0.2549440625</v>
      </c>
      <c r="I409" s="15">
        <f>IFERROR(__xludf.DUMMYFUNCTION("""COMPUTED_VALUE"""),45949.28255364055)</f>
        <v>45949.28255</v>
      </c>
      <c r="J409" s="15">
        <f>IFERROR(__xludf.DUMMYFUNCTION("""COMPUTED_VALUE"""),45949.02760957805)</f>
        <v>45949.02761</v>
      </c>
      <c r="K409" s="15">
        <f>IFERROR(__xludf.DUMMYFUNCTION("""COMPUTED_VALUE"""),45949.271738551826)</f>
        <v>45949.27174</v>
      </c>
      <c r="L409" s="4"/>
    </row>
    <row r="410">
      <c r="A410" s="1">
        <f>IFERROR(__xludf.DUMMYFUNCTION("""COMPUTED_VALUE"""),409.0)</f>
        <v>409</v>
      </c>
      <c r="B410" s="1">
        <f>IFERROR(__xludf.DUMMYFUNCTION("""COMPUTED_VALUE"""),5267.0)</f>
        <v>5267</v>
      </c>
      <c r="C410" s="2" t="str">
        <f>IFERROR(__xludf.DUMMYFUNCTION("""COMPUTED_VALUE"""),"Nikolas")</f>
        <v>Nikolas</v>
      </c>
      <c r="D410" s="2" t="str">
        <f>IFERROR(__xludf.DUMMYFUNCTION("""COMPUTED_VALUE"""),"5KM OVERALL M")</f>
        <v>5KM OVERALL M</v>
      </c>
      <c r="E410" s="1">
        <f>IFERROR(__xludf.DUMMYFUNCTION("""COMPUTED_VALUE"""),269.0)</f>
        <v>269</v>
      </c>
      <c r="F410" s="1" t="str">
        <f>IFERROR(__xludf.DUMMYFUNCTION("""COMPUTED_VALUE"""),"Male")</f>
        <v>Male</v>
      </c>
      <c r="G410" s="5">
        <f>IFERROR(__xludf.DUMMYFUNCTION("""COMPUTED_VALUE"""),0.005522761574074074)</f>
        <v>0.005522761574</v>
      </c>
      <c r="H410" s="15">
        <f>IFERROR(__xludf.DUMMYFUNCTION("""COMPUTED_VALUE"""),0.2549440625)</f>
        <v>0.2549440625</v>
      </c>
      <c r="I410" s="15">
        <f>IFERROR(__xludf.DUMMYFUNCTION("""COMPUTED_VALUE"""),45949.28255787037)</f>
        <v>45949.28256</v>
      </c>
      <c r="J410" s="15">
        <f>IFERROR(__xludf.DUMMYFUNCTION("""COMPUTED_VALUE"""),45949.02761380787)</f>
        <v>45949.02761</v>
      </c>
      <c r="K410" s="15">
        <f>IFERROR(__xludf.DUMMYFUNCTION("""COMPUTED_VALUE"""),45949.26953363082)</f>
        <v>45949.26953</v>
      </c>
      <c r="L410" s="4"/>
    </row>
    <row r="411">
      <c r="A411" s="1">
        <f>IFERROR(__xludf.DUMMYFUNCTION("""COMPUTED_VALUE"""),410.0)</f>
        <v>410</v>
      </c>
      <c r="B411" s="1">
        <f>IFERROR(__xludf.DUMMYFUNCTION("""COMPUTED_VALUE"""),5720.0)</f>
        <v>5720</v>
      </c>
      <c r="C411" s="2" t="str">
        <f>IFERROR(__xludf.DUMMYFUNCTION("""COMPUTED_VALUE"""),"ARIA")</f>
        <v>ARIA</v>
      </c>
      <c r="D411" s="2" t="str">
        <f>IFERROR(__xludf.DUMMYFUNCTION("""COMPUTED_VALUE"""),"5KM OVERALL M")</f>
        <v>5KM OVERALL M</v>
      </c>
      <c r="E411" s="1">
        <f>IFERROR(__xludf.DUMMYFUNCTION("""COMPUTED_VALUE"""),270.0)</f>
        <v>270</v>
      </c>
      <c r="F411" s="1" t="str">
        <f>IFERROR(__xludf.DUMMYFUNCTION("""COMPUTED_VALUE"""),"Male")</f>
        <v>Male</v>
      </c>
      <c r="G411" s="5">
        <f>IFERROR(__xludf.DUMMYFUNCTION("""COMPUTED_VALUE"""),0.005529555555555556)</f>
        <v>0.005529555556</v>
      </c>
      <c r="H411" s="15">
        <f>IFERROR(__xludf.DUMMYFUNCTION("""COMPUTED_VALUE"""),0.2549440625)</f>
        <v>0.2549440625</v>
      </c>
      <c r="I411" s="15">
        <f>IFERROR(__xludf.DUMMYFUNCTION("""COMPUTED_VALUE"""),45949.28259184311)</f>
        <v>45949.28259</v>
      </c>
      <c r="J411" s="15">
        <f>IFERROR(__xludf.DUMMYFUNCTION("""COMPUTED_VALUE"""),45949.02764778061)</f>
        <v>45949.02765</v>
      </c>
      <c r="K411" s="15">
        <f>IFERROR(__xludf.DUMMYFUNCTION("""COMPUTED_VALUE"""),45949.26940517088)</f>
        <v>45949.26941</v>
      </c>
      <c r="L411" s="4"/>
    </row>
    <row r="412">
      <c r="A412" s="1">
        <f>IFERROR(__xludf.DUMMYFUNCTION("""COMPUTED_VALUE"""),411.0)</f>
        <v>411</v>
      </c>
      <c r="B412" s="1">
        <f>IFERROR(__xludf.DUMMYFUNCTION("""COMPUTED_VALUE"""),6023.0)</f>
        <v>6023</v>
      </c>
      <c r="C412" s="2" t="str">
        <f>IFERROR(__xludf.DUMMYFUNCTION("""COMPUTED_VALUE"""),"Rahmah")</f>
        <v>Rahmah</v>
      </c>
      <c r="D412" s="2" t="str">
        <f>IFERROR(__xludf.DUMMYFUNCTION("""COMPUTED_VALUE"""),"5KM OVERALL F")</f>
        <v>5KM OVERALL F</v>
      </c>
      <c r="E412" s="1">
        <f>IFERROR(__xludf.DUMMYFUNCTION("""COMPUTED_VALUE"""),40.0)</f>
        <v>40</v>
      </c>
      <c r="F412" s="1" t="str">
        <f>IFERROR(__xludf.DUMMYFUNCTION("""COMPUTED_VALUE"""),"Female")</f>
        <v>Female</v>
      </c>
      <c r="G412" s="5">
        <f>IFERROR(__xludf.DUMMYFUNCTION("""COMPUTED_VALUE"""),0.005530944444444444)</f>
        <v>0.005530944444</v>
      </c>
      <c r="H412" s="15">
        <f>IFERROR(__xludf.DUMMYFUNCTION("""COMPUTED_VALUE"""),0.2549440625)</f>
        <v>0.2549440625</v>
      </c>
      <c r="I412" s="15">
        <f>IFERROR(__xludf.DUMMYFUNCTION("""COMPUTED_VALUE"""),45949.28259878852)</f>
        <v>45949.2826</v>
      </c>
      <c r="J412" s="15">
        <f>IFERROR(__xludf.DUMMYFUNCTION("""COMPUTED_VALUE"""),45949.02765472602)</f>
        <v>45949.02765</v>
      </c>
      <c r="K412" s="15">
        <f>IFERROR(__xludf.DUMMYFUNCTION("""COMPUTED_VALUE"""),45949.269585726055)</f>
        <v>45949.26959</v>
      </c>
      <c r="L412" s="4"/>
    </row>
    <row r="413">
      <c r="A413" s="1">
        <f>IFERROR(__xludf.DUMMYFUNCTION("""COMPUTED_VALUE"""),412.0)</f>
        <v>412</v>
      </c>
      <c r="B413" s="1">
        <f>IFERROR(__xludf.DUMMYFUNCTION("""COMPUTED_VALUE"""),6083.0)</f>
        <v>6083</v>
      </c>
      <c r="C413" s="2" t="str">
        <f>IFERROR(__xludf.DUMMYFUNCTION("""COMPUTED_VALUE"""),"Yukka Dinara")</f>
        <v>Yukka Dinara</v>
      </c>
      <c r="D413" s="2" t="str">
        <f>IFERROR(__xludf.DUMMYFUNCTION("""COMPUTED_VALUE"""),"5KM OVERALL F")</f>
        <v>5KM OVERALL F</v>
      </c>
      <c r="E413" s="1">
        <f>IFERROR(__xludf.DUMMYFUNCTION("""COMPUTED_VALUE"""),41.0)</f>
        <v>41</v>
      </c>
      <c r="F413" s="1" t="str">
        <f>IFERROR(__xludf.DUMMYFUNCTION("""COMPUTED_VALUE"""),"Female")</f>
        <v>Female</v>
      </c>
      <c r="G413" s="5">
        <f>IFERROR(__xludf.DUMMYFUNCTION("""COMPUTED_VALUE"""),0.005534416666666667)</f>
        <v>0.005534416667</v>
      </c>
      <c r="H413" s="15">
        <f>IFERROR(__xludf.DUMMYFUNCTION("""COMPUTED_VALUE"""),0.2549440625)</f>
        <v>0.2549440625</v>
      </c>
      <c r="I413" s="15">
        <f>IFERROR(__xludf.DUMMYFUNCTION("""COMPUTED_VALUE"""),45949.28261614709)</f>
        <v>45949.28262</v>
      </c>
      <c r="J413" s="15">
        <f>IFERROR(__xludf.DUMMYFUNCTION("""COMPUTED_VALUE"""),45949.02767208459)</f>
        <v>45949.02767</v>
      </c>
      <c r="K413" s="15">
        <f>IFERROR(__xludf.DUMMYFUNCTION("""COMPUTED_VALUE"""),45949.27073953879)</f>
        <v>45949.27074</v>
      </c>
      <c r="L413" s="4"/>
    </row>
    <row r="414">
      <c r="A414" s="1">
        <f>IFERROR(__xludf.DUMMYFUNCTION("""COMPUTED_VALUE"""),413.0)</f>
        <v>413</v>
      </c>
      <c r="B414" s="1">
        <f>IFERROR(__xludf.DUMMYFUNCTION("""COMPUTED_VALUE"""),6348.0)</f>
        <v>6348</v>
      </c>
      <c r="C414" s="2" t="str">
        <f>IFERROR(__xludf.DUMMYFUNCTION("""COMPUTED_VALUE"""),"faza")</f>
        <v>faza</v>
      </c>
      <c r="D414" s="2" t="str">
        <f>IFERROR(__xludf.DUMMYFUNCTION("""COMPUTED_VALUE"""),"5KM OVERALL M")</f>
        <v>5KM OVERALL M</v>
      </c>
      <c r="E414" s="1">
        <f>IFERROR(__xludf.DUMMYFUNCTION("""COMPUTED_VALUE"""),271.0)</f>
        <v>271</v>
      </c>
      <c r="F414" s="1" t="str">
        <f>IFERROR(__xludf.DUMMYFUNCTION("""COMPUTED_VALUE"""),"Male")</f>
        <v>Male</v>
      </c>
      <c r="G414" s="5">
        <f>IFERROR(__xludf.DUMMYFUNCTION("""COMPUTED_VALUE"""),0.005534421296296296)</f>
        <v>0.005534421296</v>
      </c>
      <c r="H414" s="15">
        <f>IFERROR(__xludf.DUMMYFUNCTION("""COMPUTED_VALUE"""),0.2549440625)</f>
        <v>0.2549440625</v>
      </c>
      <c r="I414" s="15">
        <f>IFERROR(__xludf.DUMMYFUNCTION("""COMPUTED_VALUE"""),45949.28261616404)</f>
        <v>45949.28262</v>
      </c>
      <c r="J414" s="15">
        <f>IFERROR(__xludf.DUMMYFUNCTION("""COMPUTED_VALUE"""),45949.02767210154)</f>
        <v>45949.02767</v>
      </c>
      <c r="K414" s="15">
        <f>IFERROR(__xludf.DUMMYFUNCTION("""COMPUTED_VALUE"""),45949.27209267874)</f>
        <v>45949.27209</v>
      </c>
      <c r="L414" s="4"/>
    </row>
    <row r="415">
      <c r="A415" s="1">
        <f>IFERROR(__xludf.DUMMYFUNCTION("""COMPUTED_VALUE"""),414.0)</f>
        <v>414</v>
      </c>
      <c r="B415" s="1">
        <f>IFERROR(__xludf.DUMMYFUNCTION("""COMPUTED_VALUE"""),5962.0)</f>
        <v>5962</v>
      </c>
      <c r="C415" s="2" t="str">
        <f>IFERROR(__xludf.DUMMYFUNCTION("""COMPUTED_VALUE"""),"Aril Latados")</f>
        <v>Aril Latados</v>
      </c>
      <c r="D415" s="2" t="str">
        <f>IFERROR(__xludf.DUMMYFUNCTION("""COMPUTED_VALUE"""),"5KM OVERALL M")</f>
        <v>5KM OVERALL M</v>
      </c>
      <c r="E415" s="1">
        <f>IFERROR(__xludf.DUMMYFUNCTION("""COMPUTED_VALUE"""),272.0)</f>
        <v>272</v>
      </c>
      <c r="F415" s="1" t="str">
        <f>IFERROR(__xludf.DUMMYFUNCTION("""COMPUTED_VALUE"""),"Male")</f>
        <v>Male</v>
      </c>
      <c r="G415" s="5">
        <f>IFERROR(__xludf.DUMMYFUNCTION("""COMPUTED_VALUE"""),0.005534421296296296)</f>
        <v>0.005534421296</v>
      </c>
      <c r="H415" s="15">
        <f>IFERROR(__xludf.DUMMYFUNCTION("""COMPUTED_VALUE"""),0.2549440625)</f>
        <v>0.2549440625</v>
      </c>
      <c r="I415" s="15">
        <f>IFERROR(__xludf.DUMMYFUNCTION("""COMPUTED_VALUE"""),45949.28261616404)</f>
        <v>45949.28262</v>
      </c>
      <c r="J415" s="15">
        <f>IFERROR(__xludf.DUMMYFUNCTION("""COMPUTED_VALUE"""),45949.02767210154)</f>
        <v>45949.02767</v>
      </c>
      <c r="K415" s="15">
        <f>IFERROR(__xludf.DUMMYFUNCTION("""COMPUTED_VALUE"""),45949.272769747724)</f>
        <v>45949.27277</v>
      </c>
      <c r="L415" s="4"/>
    </row>
    <row r="416">
      <c r="A416" s="1">
        <f>IFERROR(__xludf.DUMMYFUNCTION("""COMPUTED_VALUE"""),415.0)</f>
        <v>415</v>
      </c>
      <c r="B416" s="1">
        <f>IFERROR(__xludf.DUMMYFUNCTION("""COMPUTED_VALUE"""),5082.0)</f>
        <v>5082</v>
      </c>
      <c r="C416" s="2" t="str">
        <f>IFERROR(__xludf.DUMMYFUNCTION("""COMPUTED_VALUE"""),"AGUSTIAN")</f>
        <v>AGUSTIAN</v>
      </c>
      <c r="D416" s="2" t="str">
        <f>IFERROR(__xludf.DUMMYFUNCTION("""COMPUTED_VALUE"""),"5KM OVERALL M")</f>
        <v>5KM OVERALL M</v>
      </c>
      <c r="E416" s="1">
        <f>IFERROR(__xludf.DUMMYFUNCTION("""COMPUTED_VALUE"""),273.0)</f>
        <v>273</v>
      </c>
      <c r="F416" s="1" t="str">
        <f>IFERROR(__xludf.DUMMYFUNCTION("""COMPUTED_VALUE"""),"Male")</f>
        <v>Male</v>
      </c>
      <c r="G416" s="5">
        <f>IFERROR(__xludf.DUMMYFUNCTION("""COMPUTED_VALUE"""),0.005538583333333334)</f>
        <v>0.005538583333</v>
      </c>
      <c r="H416" s="15">
        <f>IFERROR(__xludf.DUMMYFUNCTION("""COMPUTED_VALUE"""),0.2549440625)</f>
        <v>0.2549440625</v>
      </c>
      <c r="I416" s="15">
        <f>IFERROR(__xludf.DUMMYFUNCTION("""COMPUTED_VALUE"""),45949.28263698447)</f>
        <v>45949.28264</v>
      </c>
      <c r="J416" s="15">
        <f>IFERROR(__xludf.DUMMYFUNCTION("""COMPUTED_VALUE"""),45949.02769292197)</f>
        <v>45949.02769</v>
      </c>
      <c r="K416" s="15">
        <f>IFERROR(__xludf.DUMMYFUNCTION("""COMPUTED_VALUE"""),45949.27072830156)</f>
        <v>45949.27073</v>
      </c>
      <c r="L416" s="4"/>
    </row>
    <row r="417">
      <c r="A417" s="1">
        <f>IFERROR(__xludf.DUMMYFUNCTION("""COMPUTED_VALUE"""),416.0)</f>
        <v>416</v>
      </c>
      <c r="B417" s="1">
        <f>IFERROR(__xludf.DUMMYFUNCTION("""COMPUTED_VALUE"""),5431.0)</f>
        <v>5431</v>
      </c>
      <c r="C417" s="2" t="str">
        <f>IFERROR(__xludf.DUMMYFUNCTION("""COMPUTED_VALUE"""),"DIAZ")</f>
        <v>DIAZ</v>
      </c>
      <c r="D417" s="2" t="str">
        <f>IFERROR(__xludf.DUMMYFUNCTION("""COMPUTED_VALUE"""),"5KM OVERALL M")</f>
        <v>5KM OVERALL M</v>
      </c>
      <c r="E417" s="1">
        <f>IFERROR(__xludf.DUMMYFUNCTION("""COMPUTED_VALUE"""),274.0)</f>
        <v>274</v>
      </c>
      <c r="F417" s="1" t="str">
        <f>IFERROR(__xludf.DUMMYFUNCTION("""COMPUTED_VALUE"""),"Male")</f>
        <v>Male</v>
      </c>
      <c r="G417" s="5">
        <f>IFERROR(__xludf.DUMMYFUNCTION("""COMPUTED_VALUE"""),0.005544162037037037)</f>
        <v>0.005544162037</v>
      </c>
      <c r="H417" s="15">
        <f>IFERROR(__xludf.DUMMYFUNCTION("""COMPUTED_VALUE"""),0.2549440625)</f>
        <v>0.2549440625</v>
      </c>
      <c r="I417" s="15">
        <f>IFERROR(__xludf.DUMMYFUNCTION("""COMPUTED_VALUE"""),45949.28266487122)</f>
        <v>45949.28266</v>
      </c>
      <c r="J417" s="15">
        <f>IFERROR(__xludf.DUMMYFUNCTION("""COMPUTED_VALUE"""),45949.02772080872)</f>
        <v>45949.02772</v>
      </c>
      <c r="K417" s="15">
        <f>IFERROR(__xludf.DUMMYFUNCTION("""COMPUTED_VALUE"""),45949.27090870993)</f>
        <v>45949.27091</v>
      </c>
      <c r="L417" s="4"/>
    </row>
    <row r="418">
      <c r="A418" s="1">
        <f>IFERROR(__xludf.DUMMYFUNCTION("""COMPUTED_VALUE"""),417.0)</f>
        <v>417</v>
      </c>
      <c r="B418" s="1">
        <f>IFERROR(__xludf.DUMMYFUNCTION("""COMPUTED_VALUE"""),5039.0)</f>
        <v>5039</v>
      </c>
      <c r="C418" s="2" t="str">
        <f>IFERROR(__xludf.DUMMYFUNCTION("""COMPUTED_VALUE"""),"Ahim")</f>
        <v>Ahim</v>
      </c>
      <c r="D418" s="2" t="str">
        <f>IFERROR(__xludf.DUMMYFUNCTION("""COMPUTED_VALUE"""),"5KM OVERALL M")</f>
        <v>5KM OVERALL M</v>
      </c>
      <c r="E418" s="1">
        <f>IFERROR(__xludf.DUMMYFUNCTION("""COMPUTED_VALUE"""),275.0)</f>
        <v>275</v>
      </c>
      <c r="F418" s="1" t="str">
        <f>IFERROR(__xludf.DUMMYFUNCTION("""COMPUTED_VALUE"""),"Male")</f>
        <v>Male</v>
      </c>
      <c r="G418" s="5">
        <f>IFERROR(__xludf.DUMMYFUNCTION("""COMPUTED_VALUE"""),0.005553166666666666)</f>
        <v>0.005553166667</v>
      </c>
      <c r="H418" s="15">
        <f>IFERROR(__xludf.DUMMYFUNCTION("""COMPUTED_VALUE"""),0.2549440625)</f>
        <v>0.2549440625</v>
      </c>
      <c r="I418" s="15">
        <f>IFERROR(__xludf.DUMMYFUNCTION("""COMPUTED_VALUE"""),45949.282709893785)</f>
        <v>45949.28271</v>
      </c>
      <c r="J418" s="15">
        <f>IFERROR(__xludf.DUMMYFUNCTION("""COMPUTED_VALUE"""),45949.027765831284)</f>
        <v>45949.02777</v>
      </c>
      <c r="K418" s="15">
        <f>IFERROR(__xludf.DUMMYFUNCTION("""COMPUTED_VALUE"""),45949.27263787328)</f>
        <v>45949.27264</v>
      </c>
      <c r="L418" s="4"/>
    </row>
    <row r="419">
      <c r="A419" s="1">
        <f>IFERROR(__xludf.DUMMYFUNCTION("""COMPUTED_VALUE"""),418.0)</f>
        <v>418</v>
      </c>
      <c r="B419" s="1">
        <f>IFERROR(__xludf.DUMMYFUNCTION("""COMPUTED_VALUE"""),5255.0)</f>
        <v>5255</v>
      </c>
      <c r="C419" s="2" t="str">
        <f>IFERROR(__xludf.DUMMYFUNCTION("""COMPUTED_VALUE"""),"rhl")</f>
        <v>rhl</v>
      </c>
      <c r="D419" s="2" t="str">
        <f>IFERROR(__xludf.DUMMYFUNCTION("""COMPUTED_VALUE"""),"5KM OVERALL M")</f>
        <v>5KM OVERALL M</v>
      </c>
      <c r="E419" s="1">
        <f>IFERROR(__xludf.DUMMYFUNCTION("""COMPUTED_VALUE"""),276.0)</f>
        <v>276</v>
      </c>
      <c r="F419" s="1" t="str">
        <f>IFERROR(__xludf.DUMMYFUNCTION("""COMPUTED_VALUE"""),"Male")</f>
        <v>Male</v>
      </c>
      <c r="G419" s="5">
        <f>IFERROR(__xludf.DUMMYFUNCTION("""COMPUTED_VALUE"""),0.0055545555555555565)</f>
        <v>0.005554555556</v>
      </c>
      <c r="H419" s="15">
        <f>IFERROR(__xludf.DUMMYFUNCTION("""COMPUTED_VALUE"""),0.2549440625)</f>
        <v>0.2549440625</v>
      </c>
      <c r="I419" s="15">
        <f>IFERROR(__xludf.DUMMYFUNCTION("""COMPUTED_VALUE"""),45949.2827168353)</f>
        <v>45949.28272</v>
      </c>
      <c r="J419" s="15">
        <f>IFERROR(__xludf.DUMMYFUNCTION("""COMPUTED_VALUE"""),45949.0277727728)</f>
        <v>45949.02777</v>
      </c>
      <c r="K419" s="15">
        <f>IFERROR(__xludf.DUMMYFUNCTION("""COMPUTED_VALUE"""),45949.27223154844)</f>
        <v>45949.27223</v>
      </c>
      <c r="L419" s="4"/>
    </row>
    <row r="420">
      <c r="A420" s="1">
        <f>IFERROR(__xludf.DUMMYFUNCTION("""COMPUTED_VALUE"""),419.0)</f>
        <v>419</v>
      </c>
      <c r="B420" s="7" t="str">
        <f>IFERROR(__xludf.DUMMYFUNCTION("""COMPUTED_VALUE"""),"7119")</f>
        <v>7119</v>
      </c>
      <c r="C420" s="8" t="str">
        <f>IFERROR(__xludf.DUMMYFUNCTION("""COMPUTED_VALUE"""),"suwarno")</f>
        <v>suwarno</v>
      </c>
      <c r="D420" s="2" t="str">
        <f>IFERROR(__xludf.DUMMYFUNCTION("""COMPUTED_VALUE"""),"5KM MASTER M")</f>
        <v>5KM MASTER M</v>
      </c>
      <c r="E420" s="1">
        <f>IFERROR(__xludf.DUMMYFUNCTION("""COMPUTED_VALUE"""),42.0)</f>
        <v>42</v>
      </c>
      <c r="F420" s="1" t="str">
        <f>IFERROR(__xludf.DUMMYFUNCTION("""COMPUTED_VALUE"""),"Male")</f>
        <v>Male</v>
      </c>
      <c r="G420" s="5">
        <f>IFERROR(__xludf.DUMMYFUNCTION("""COMPUTED_VALUE"""),0.005556641203703703)</f>
        <v>0.005556641204</v>
      </c>
      <c r="H420" s="15">
        <f>IFERROR(__xludf.DUMMYFUNCTION("""COMPUTED_VALUE"""),0.2549440625)</f>
        <v>0.2549440625</v>
      </c>
      <c r="I420" s="15">
        <f>IFERROR(__xludf.DUMMYFUNCTION("""COMPUTED_VALUE"""),45949.28272726344)</f>
        <v>45949.28273</v>
      </c>
      <c r="J420" s="15">
        <f>IFERROR(__xludf.DUMMYFUNCTION("""COMPUTED_VALUE"""),45949.02778320094)</f>
        <v>45949.02778</v>
      </c>
      <c r="K420" s="15">
        <f>IFERROR(__xludf.DUMMYFUNCTION("""COMPUTED_VALUE"""),45949.27132878109)</f>
        <v>45949.27133</v>
      </c>
      <c r="L420" s="4"/>
    </row>
    <row r="421">
      <c r="A421" s="1">
        <f>IFERROR(__xludf.DUMMYFUNCTION("""COMPUTED_VALUE"""),420.0)</f>
        <v>420</v>
      </c>
      <c r="B421" s="1">
        <f>IFERROR(__xludf.DUMMYFUNCTION("""COMPUTED_VALUE"""),6346.0)</f>
        <v>6346</v>
      </c>
      <c r="C421" s="2" t="str">
        <f>IFERROR(__xludf.DUMMYFUNCTION("""COMPUTED_VALUE"""),"zainal js")</f>
        <v>zainal js</v>
      </c>
      <c r="D421" s="2" t="str">
        <f>IFERROR(__xludf.DUMMYFUNCTION("""COMPUTED_VALUE"""),"5KM OVERALL M")</f>
        <v>5KM OVERALL M</v>
      </c>
      <c r="E421" s="1">
        <f>IFERROR(__xludf.DUMMYFUNCTION("""COMPUTED_VALUE"""),277.0)</f>
        <v>277</v>
      </c>
      <c r="F421" s="1" t="str">
        <f>IFERROR(__xludf.DUMMYFUNCTION("""COMPUTED_VALUE"""),"Male")</f>
        <v>Male</v>
      </c>
      <c r="G421" s="5">
        <f>IFERROR(__xludf.DUMMYFUNCTION("""COMPUTED_VALUE"""),0.005556643518518518)</f>
        <v>0.005556643519</v>
      </c>
      <c r="H421" s="15">
        <f>IFERROR(__xludf.DUMMYFUNCTION("""COMPUTED_VALUE"""),0.2549440625)</f>
        <v>0.2549440625</v>
      </c>
      <c r="I421" s="15">
        <f>IFERROR(__xludf.DUMMYFUNCTION("""COMPUTED_VALUE"""),45949.28272727726)</f>
        <v>45949.28273</v>
      </c>
      <c r="J421" s="15">
        <f>IFERROR(__xludf.DUMMYFUNCTION("""COMPUTED_VALUE"""),45949.02778321476)</f>
        <v>45949.02778</v>
      </c>
      <c r="K421" s="15">
        <f>IFERROR(__xludf.DUMMYFUNCTION("""COMPUTED_VALUE"""),45949.26969445281)</f>
        <v>45949.26969</v>
      </c>
      <c r="L421" s="4"/>
    </row>
    <row r="422">
      <c r="A422" s="1">
        <f>IFERROR(__xludf.DUMMYFUNCTION("""COMPUTED_VALUE"""),421.0)</f>
        <v>421</v>
      </c>
      <c r="B422" s="1">
        <f>IFERROR(__xludf.DUMMYFUNCTION("""COMPUTED_VALUE"""),6046.0)</f>
        <v>6046</v>
      </c>
      <c r="C422" s="2" t="str">
        <f>IFERROR(__xludf.DUMMYFUNCTION("""COMPUTED_VALUE"""),"Daru Dwi Utomo")</f>
        <v>Daru Dwi Utomo</v>
      </c>
      <c r="D422" s="2" t="str">
        <f>IFERROR(__xludf.DUMMYFUNCTION("""COMPUTED_VALUE"""),"5KM OVERALL M")</f>
        <v>5KM OVERALL M</v>
      </c>
      <c r="E422" s="1">
        <f>IFERROR(__xludf.DUMMYFUNCTION("""COMPUTED_VALUE"""),278.0)</f>
        <v>278</v>
      </c>
      <c r="F422" s="1" t="str">
        <f>IFERROR(__xludf.DUMMYFUNCTION("""COMPUTED_VALUE"""),"Male")</f>
        <v>Male</v>
      </c>
      <c r="G422" s="5">
        <f>IFERROR(__xludf.DUMMYFUNCTION("""COMPUTED_VALUE"""),0.005556643518518518)</f>
        <v>0.005556643519</v>
      </c>
      <c r="H422" s="15">
        <f>IFERROR(__xludf.DUMMYFUNCTION("""COMPUTED_VALUE"""),0.2549440625)</f>
        <v>0.2549440625</v>
      </c>
      <c r="I422" s="15">
        <f>IFERROR(__xludf.DUMMYFUNCTION("""COMPUTED_VALUE"""),45949.28272727726)</f>
        <v>45949.28273</v>
      </c>
      <c r="J422" s="15">
        <f>IFERROR(__xludf.DUMMYFUNCTION("""COMPUTED_VALUE"""),45949.02778321476)</f>
        <v>45949.02778</v>
      </c>
      <c r="K422" s="15">
        <f>IFERROR(__xludf.DUMMYFUNCTION("""COMPUTED_VALUE"""),45949.27207188888)</f>
        <v>45949.27207</v>
      </c>
      <c r="L422" s="4"/>
    </row>
    <row r="423">
      <c r="A423" s="1">
        <f>IFERROR(__xludf.DUMMYFUNCTION("""COMPUTED_VALUE"""),422.0)</f>
        <v>422</v>
      </c>
      <c r="B423" s="1">
        <f>IFERROR(__xludf.DUMMYFUNCTION("""COMPUTED_VALUE"""),5084.0)</f>
        <v>5084</v>
      </c>
      <c r="C423" s="2" t="str">
        <f>IFERROR(__xludf.DUMMYFUNCTION("""COMPUTED_VALUE"""),"FitriCahya_")</f>
        <v>FitriCahya_</v>
      </c>
      <c r="D423" s="2" t="str">
        <f>IFERROR(__xludf.DUMMYFUNCTION("""COMPUTED_VALUE"""),"5KM OVERALL F")</f>
        <v>5KM OVERALL F</v>
      </c>
      <c r="E423" s="1">
        <f>IFERROR(__xludf.DUMMYFUNCTION("""COMPUTED_VALUE"""),42.0)</f>
        <v>42</v>
      </c>
      <c r="F423" s="1" t="str">
        <f>IFERROR(__xludf.DUMMYFUNCTION("""COMPUTED_VALUE"""),"Female")</f>
        <v>Female</v>
      </c>
      <c r="G423" s="5">
        <f>IFERROR(__xludf.DUMMYFUNCTION("""COMPUTED_VALUE"""),0.005559418981481481)</f>
        <v>0.005559418981</v>
      </c>
      <c r="H423" s="15">
        <f>IFERROR(__xludf.DUMMYFUNCTION("""COMPUTED_VALUE"""),0.2549440625)</f>
        <v>0.2549440625</v>
      </c>
      <c r="I423" s="15">
        <f>IFERROR(__xludf.DUMMYFUNCTION("""COMPUTED_VALUE"""),45949.282741156894)</f>
        <v>45949.28274</v>
      </c>
      <c r="J423" s="15">
        <f>IFERROR(__xludf.DUMMYFUNCTION("""COMPUTED_VALUE"""),45949.02779709439)</f>
        <v>45949.0278</v>
      </c>
      <c r="K423" s="15">
        <f>IFERROR(__xludf.DUMMYFUNCTION("""COMPUTED_VALUE"""),45949.269335801095)</f>
        <v>45949.26934</v>
      </c>
      <c r="L423" s="4"/>
    </row>
    <row r="424">
      <c r="A424" s="1">
        <f>IFERROR(__xludf.DUMMYFUNCTION("""COMPUTED_VALUE"""),423.0)</f>
        <v>423</v>
      </c>
      <c r="B424" s="1">
        <f>IFERROR(__xludf.DUMMYFUNCTION("""COMPUTED_VALUE"""),5013.0)</f>
        <v>5013</v>
      </c>
      <c r="C424" s="2" t="str">
        <f>IFERROR(__xludf.DUMMYFUNCTION("""COMPUTED_VALUE"""),"Edo")</f>
        <v>Edo</v>
      </c>
      <c r="D424" s="2" t="str">
        <f>IFERROR(__xludf.DUMMYFUNCTION("""COMPUTED_VALUE"""),"5KM OVERALL M")</f>
        <v>5KM OVERALL M</v>
      </c>
      <c r="E424" s="1">
        <f>IFERROR(__xludf.DUMMYFUNCTION("""COMPUTED_VALUE"""),279.0)</f>
        <v>279</v>
      </c>
      <c r="F424" s="1" t="str">
        <f>IFERROR(__xludf.DUMMYFUNCTION("""COMPUTED_VALUE"""),"Male")</f>
        <v>Male</v>
      </c>
      <c r="G424" s="5">
        <f>IFERROR(__xludf.DUMMYFUNCTION("""COMPUTED_VALUE"""),0.005562194444444444)</f>
        <v>0.005562194444</v>
      </c>
      <c r="H424" s="15">
        <f>IFERROR(__xludf.DUMMYFUNCTION("""COMPUTED_VALUE"""),0.2549440625)</f>
        <v>0.2549440625</v>
      </c>
      <c r="I424" s="15">
        <f>IFERROR(__xludf.DUMMYFUNCTION("""COMPUTED_VALUE"""),45949.282755037115)</f>
        <v>45949.28276</v>
      </c>
      <c r="J424" s="15">
        <f>IFERROR(__xludf.DUMMYFUNCTION("""COMPUTED_VALUE"""),45949.027810974614)</f>
        <v>45949.02781</v>
      </c>
      <c r="K424" s="15">
        <f>IFERROR(__xludf.DUMMYFUNCTION("""COMPUTED_VALUE"""),45949.26935311973)</f>
        <v>45949.26935</v>
      </c>
      <c r="L424" s="4"/>
    </row>
    <row r="425">
      <c r="A425" s="1">
        <f>IFERROR(__xludf.DUMMYFUNCTION("""COMPUTED_VALUE"""),424.0)</f>
        <v>424</v>
      </c>
      <c r="B425" s="1">
        <f>IFERROR(__xludf.DUMMYFUNCTION("""COMPUTED_VALUE"""),5368.0)</f>
        <v>5368</v>
      </c>
      <c r="C425" s="2" t="str">
        <f>IFERROR(__xludf.DUMMYFUNCTION("""COMPUTED_VALUE"""),"Fahriza")</f>
        <v>Fahriza</v>
      </c>
      <c r="D425" s="2" t="str">
        <f>IFERROR(__xludf.DUMMYFUNCTION("""COMPUTED_VALUE"""),"5KM OVERALL M")</f>
        <v>5KM OVERALL M</v>
      </c>
      <c r="E425" s="1">
        <f>IFERROR(__xludf.DUMMYFUNCTION("""COMPUTED_VALUE"""),280.0)</f>
        <v>280</v>
      </c>
      <c r="F425" s="1" t="str">
        <f>IFERROR(__xludf.DUMMYFUNCTION("""COMPUTED_VALUE"""),"Male")</f>
        <v>Male</v>
      </c>
      <c r="G425" s="5">
        <f>IFERROR(__xludf.DUMMYFUNCTION("""COMPUTED_VALUE"""),0.005571986111111111)</f>
        <v>0.005571986111</v>
      </c>
      <c r="H425" s="15">
        <f>IFERROR(__xludf.DUMMYFUNCTION("""COMPUTED_VALUE"""),0.2549440625)</f>
        <v>0.2549440625</v>
      </c>
      <c r="I425" s="15">
        <f>IFERROR(__xludf.DUMMYFUNCTION("""COMPUTED_VALUE"""),45949.28280399669)</f>
        <v>45949.2828</v>
      </c>
      <c r="J425" s="15">
        <f>IFERROR(__xludf.DUMMYFUNCTION("""COMPUTED_VALUE"""),45949.02785993419)</f>
        <v>45949.02786</v>
      </c>
      <c r="K425" s="15">
        <f>IFERROR(__xludf.DUMMYFUNCTION("""COMPUTED_VALUE"""),45949.272196842074)</f>
        <v>45949.2722</v>
      </c>
      <c r="L425" s="4"/>
    </row>
    <row r="426">
      <c r="A426" s="1">
        <f>IFERROR(__xludf.DUMMYFUNCTION("""COMPUTED_VALUE"""),425.0)</f>
        <v>425</v>
      </c>
      <c r="B426" s="1">
        <f>IFERROR(__xludf.DUMMYFUNCTION("""COMPUTED_VALUE"""),5068.0)</f>
        <v>5068</v>
      </c>
      <c r="C426" s="2" t="str">
        <f>IFERROR(__xludf.DUMMYFUNCTION("""COMPUTED_VALUE"""),"MUHAMMAD RIZAL NABAWI")</f>
        <v>MUHAMMAD RIZAL NABAWI</v>
      </c>
      <c r="D426" s="2" t="str">
        <f>IFERROR(__xludf.DUMMYFUNCTION("""COMPUTED_VALUE"""),"5KM OVERALL M")</f>
        <v>5KM OVERALL M</v>
      </c>
      <c r="E426" s="1">
        <f>IFERROR(__xludf.DUMMYFUNCTION("""COMPUTED_VALUE"""),281.0)</f>
        <v>281</v>
      </c>
      <c r="F426" s="1" t="str">
        <f>IFERROR(__xludf.DUMMYFUNCTION("""COMPUTED_VALUE"""),"Male")</f>
        <v>Male</v>
      </c>
      <c r="G426" s="5">
        <f>IFERROR(__xludf.DUMMYFUNCTION("""COMPUTED_VALUE"""),0.005572604166666667)</f>
        <v>0.005572604167</v>
      </c>
      <c r="H426" s="15">
        <f>IFERROR(__xludf.DUMMYFUNCTION("""COMPUTED_VALUE"""),0.2549440625)</f>
        <v>0.2549440625</v>
      </c>
      <c r="I426" s="15">
        <f>IFERROR(__xludf.DUMMYFUNCTION("""COMPUTED_VALUE"""),45949.282807079224)</f>
        <v>45949.28281</v>
      </c>
      <c r="J426" s="15">
        <f>IFERROR(__xludf.DUMMYFUNCTION("""COMPUTED_VALUE"""),45949.02786301672)</f>
        <v>45949.02786</v>
      </c>
      <c r="K426" s="15">
        <f>IFERROR(__xludf.DUMMYFUNCTION("""COMPUTED_VALUE"""),45949.27050238816)</f>
        <v>45949.2705</v>
      </c>
      <c r="L426" s="4"/>
    </row>
    <row r="427">
      <c r="A427" s="1">
        <f>IFERROR(__xludf.DUMMYFUNCTION("""COMPUTED_VALUE"""),426.0)</f>
        <v>426</v>
      </c>
      <c r="B427" s="1">
        <f>IFERROR(__xludf.DUMMYFUNCTION("""COMPUTED_VALUE"""),6444.0)</f>
        <v>6444</v>
      </c>
      <c r="C427" s="2" t="str">
        <f>IFERROR(__xludf.DUMMYFUNCTION("""COMPUTED_VALUE"""),"HERU KAPOLSEK BANJARBARU UTARA")</f>
        <v>HERU KAPOLSEK BANJARBARU UTARA</v>
      </c>
      <c r="D427" s="2" t="str">
        <f>IFERROR(__xludf.DUMMYFUNCTION("""COMPUTED_VALUE"""),"5KM OVERALL M")</f>
        <v>5KM OVERALL M</v>
      </c>
      <c r="E427" s="1">
        <f>IFERROR(__xludf.DUMMYFUNCTION("""COMPUTED_VALUE"""),282.0)</f>
        <v>282</v>
      </c>
      <c r="F427" s="1" t="str">
        <f>IFERROR(__xludf.DUMMYFUNCTION("""COMPUTED_VALUE"""),"Male")</f>
        <v>Male</v>
      </c>
      <c r="G427" s="5">
        <f>IFERROR(__xludf.DUMMYFUNCTION("""COMPUTED_VALUE"""),0.005576087962962962)</f>
        <v>0.005576087963</v>
      </c>
      <c r="H427" s="15">
        <f>IFERROR(__xludf.DUMMYFUNCTION("""COMPUTED_VALUE"""),0.2549440625)</f>
        <v>0.2549440625</v>
      </c>
      <c r="I427" s="15">
        <f>IFERROR(__xludf.DUMMYFUNCTION("""COMPUTED_VALUE"""),45949.28282449819)</f>
        <v>45949.28282</v>
      </c>
      <c r="J427" s="15">
        <f>IFERROR(__xludf.DUMMYFUNCTION("""COMPUTED_VALUE"""),45949.027880435686)</f>
        <v>45949.02788</v>
      </c>
      <c r="K427" s="15">
        <f>IFERROR(__xludf.DUMMYFUNCTION("""COMPUTED_VALUE"""),45949.27136348947)</f>
        <v>45949.27136</v>
      </c>
      <c r="L427" s="4"/>
    </row>
    <row r="428">
      <c r="A428" s="1">
        <f>IFERROR(__xludf.DUMMYFUNCTION("""COMPUTED_VALUE"""),427.0)</f>
        <v>427</v>
      </c>
      <c r="B428" s="1">
        <f>IFERROR(__xludf.DUMMYFUNCTION("""COMPUTED_VALUE"""),6508.0)</f>
        <v>6508</v>
      </c>
      <c r="C428" s="2" t="str">
        <f>IFERROR(__xludf.DUMMYFUNCTION("""COMPUTED_VALUE"""),"BIRO ANTARA KALSEL")</f>
        <v>BIRO ANTARA KALSEL</v>
      </c>
      <c r="D428" s="2" t="str">
        <f>IFERROR(__xludf.DUMMYFUNCTION("""COMPUTED_VALUE"""),"5KM OVERALL M")</f>
        <v>5KM OVERALL M</v>
      </c>
      <c r="E428" s="1">
        <f>IFERROR(__xludf.DUMMYFUNCTION("""COMPUTED_VALUE"""),283.0)</f>
        <v>283</v>
      </c>
      <c r="F428" s="1" t="str">
        <f>IFERROR(__xludf.DUMMYFUNCTION("""COMPUTED_VALUE"""),"Male")</f>
        <v>Male</v>
      </c>
      <c r="G428" s="5">
        <f>IFERROR(__xludf.DUMMYFUNCTION("""COMPUTED_VALUE"""),0.005579546296296296)</f>
        <v>0.005579546296</v>
      </c>
      <c r="H428" s="15">
        <f>IFERROR(__xludf.DUMMYFUNCTION("""COMPUTED_VALUE"""),0.2549440625)</f>
        <v>0.2549440625</v>
      </c>
      <c r="I428" s="15">
        <f>IFERROR(__xludf.DUMMYFUNCTION("""COMPUTED_VALUE"""),45949.2828417898)</f>
        <v>45949.28284</v>
      </c>
      <c r="J428" s="15">
        <f>IFERROR(__xludf.DUMMYFUNCTION("""COMPUTED_VALUE"""),45949.0278977273)</f>
        <v>45949.0279</v>
      </c>
      <c r="K428" s="15">
        <f>IFERROR(__xludf.DUMMYFUNCTION("""COMPUTED_VALUE"""),45949.27012392398)</f>
        <v>45949.27012</v>
      </c>
      <c r="L428" s="4"/>
    </row>
    <row r="429">
      <c r="A429" s="1">
        <f>IFERROR(__xludf.DUMMYFUNCTION("""COMPUTED_VALUE"""),428.0)</f>
        <v>428</v>
      </c>
      <c r="B429" s="1">
        <f>IFERROR(__xludf.DUMMYFUNCTION("""COMPUTED_VALUE"""),6157.0)</f>
        <v>6157</v>
      </c>
      <c r="C429" s="2" t="str">
        <f>IFERROR(__xludf.DUMMYFUNCTION("""COMPUTED_VALUE"""),"Dayat")</f>
        <v>Dayat</v>
      </c>
      <c r="D429" s="2" t="str">
        <f>IFERROR(__xludf.DUMMYFUNCTION("""COMPUTED_VALUE"""),"5KM OVERALL M")</f>
        <v>5KM OVERALL M</v>
      </c>
      <c r="E429" s="1">
        <f>IFERROR(__xludf.DUMMYFUNCTION("""COMPUTED_VALUE"""),284.0)</f>
        <v>284</v>
      </c>
      <c r="F429" s="1" t="str">
        <f>IFERROR(__xludf.DUMMYFUNCTION("""COMPUTED_VALUE"""),"Male")</f>
        <v>Male</v>
      </c>
      <c r="G429" s="5">
        <f>IFERROR(__xludf.DUMMYFUNCTION("""COMPUTED_VALUE"""),0.005583030092592593)</f>
        <v>0.005583030093</v>
      </c>
      <c r="H429" s="15">
        <f>IFERROR(__xludf.DUMMYFUNCTION("""COMPUTED_VALUE"""),0.2549440625)</f>
        <v>0.2549440625</v>
      </c>
      <c r="I429" s="15">
        <f>IFERROR(__xludf.DUMMYFUNCTION("""COMPUTED_VALUE"""),45949.28285921546)</f>
        <v>45949.28286</v>
      </c>
      <c r="J429" s="15">
        <f>IFERROR(__xludf.DUMMYFUNCTION("""COMPUTED_VALUE"""),45949.02791515296)</f>
        <v>45949.02792</v>
      </c>
      <c r="K429" s="15">
        <f>IFERROR(__xludf.DUMMYFUNCTION("""COMPUTED_VALUE"""),45949.270245510954)</f>
        <v>45949.27025</v>
      </c>
      <c r="L429" s="4"/>
    </row>
    <row r="430">
      <c r="A430" s="1">
        <f>IFERROR(__xludf.DUMMYFUNCTION("""COMPUTED_VALUE"""),429.0)</f>
        <v>429</v>
      </c>
      <c r="B430" s="1">
        <f>IFERROR(__xludf.DUMMYFUNCTION("""COMPUTED_VALUE"""),6250.0)</f>
        <v>6250</v>
      </c>
      <c r="C430" s="2" t="str">
        <f>IFERROR(__xludf.DUMMYFUNCTION("""COMPUTED_VALUE"""),"caca")</f>
        <v>caca</v>
      </c>
      <c r="D430" s="2" t="str">
        <f>IFERROR(__xludf.DUMMYFUNCTION("""COMPUTED_VALUE"""),"5KM OVERALL F")</f>
        <v>5KM OVERALL F</v>
      </c>
      <c r="E430" s="1">
        <f>IFERROR(__xludf.DUMMYFUNCTION("""COMPUTED_VALUE"""),43.0)</f>
        <v>43</v>
      </c>
      <c r="F430" s="1" t="str">
        <f>IFERROR(__xludf.DUMMYFUNCTION("""COMPUTED_VALUE"""),"Female")</f>
        <v>Female</v>
      </c>
      <c r="G430" s="5">
        <f>IFERROR(__xludf.DUMMYFUNCTION("""COMPUTED_VALUE"""),0.005583710648148148)</f>
        <v>0.005583710648</v>
      </c>
      <c r="H430" s="15">
        <f>IFERROR(__xludf.DUMMYFUNCTION("""COMPUTED_VALUE"""),0.2549440625)</f>
        <v>0.2549440625</v>
      </c>
      <c r="I430" s="15">
        <f>IFERROR(__xludf.DUMMYFUNCTION("""COMPUTED_VALUE"""),45949.28286261782)</f>
        <v>45949.28286</v>
      </c>
      <c r="J430" s="15">
        <f>IFERROR(__xludf.DUMMYFUNCTION("""COMPUTED_VALUE"""),45949.02791855532)</f>
        <v>45949.02792</v>
      </c>
      <c r="K430" s="15">
        <f>IFERROR(__xludf.DUMMYFUNCTION("""COMPUTED_VALUE"""),45949.27173503405)</f>
        <v>45949.27174</v>
      </c>
      <c r="L430" s="4"/>
    </row>
    <row r="431">
      <c r="A431" s="1">
        <f>IFERROR(__xludf.DUMMYFUNCTION("""COMPUTED_VALUE"""),430.0)</f>
        <v>430</v>
      </c>
      <c r="B431" s="1">
        <f>IFERROR(__xludf.DUMMYFUNCTION("""COMPUTED_VALUE"""),5661.0)</f>
        <v>5661</v>
      </c>
      <c r="C431" s="2" t="str">
        <f>IFERROR(__xludf.DUMMYFUNCTION("""COMPUTED_VALUE"""),"PAU")</f>
        <v>PAU</v>
      </c>
      <c r="D431" s="2" t="str">
        <f>IFERROR(__xludf.DUMMYFUNCTION("""COMPUTED_VALUE"""),"5KM OVERALL M")</f>
        <v>5KM OVERALL M</v>
      </c>
      <c r="E431" s="1">
        <f>IFERROR(__xludf.DUMMYFUNCTION("""COMPUTED_VALUE"""),285.0)</f>
        <v>285</v>
      </c>
      <c r="F431" s="1" t="str">
        <f>IFERROR(__xludf.DUMMYFUNCTION("""COMPUTED_VALUE"""),"Male")</f>
        <v>Male</v>
      </c>
      <c r="G431" s="5">
        <f>IFERROR(__xludf.DUMMYFUNCTION("""COMPUTED_VALUE"""),0.005592055555555556)</f>
        <v>0.005592055556</v>
      </c>
      <c r="H431" s="15">
        <f>IFERROR(__xludf.DUMMYFUNCTION("""COMPUTED_VALUE"""),0.2549440625)</f>
        <v>0.2549440625</v>
      </c>
      <c r="I431" s="15">
        <f>IFERROR(__xludf.DUMMYFUNCTION("""COMPUTED_VALUE"""),45949.28290434606)</f>
        <v>45949.2829</v>
      </c>
      <c r="J431" s="15">
        <f>IFERROR(__xludf.DUMMYFUNCTION("""COMPUTED_VALUE"""),45949.02796028356)</f>
        <v>45949.02796</v>
      </c>
      <c r="K431" s="15">
        <f>IFERROR(__xludf.DUMMYFUNCTION("""COMPUTED_VALUE"""),45949.27037739146)</f>
        <v>45949.27038</v>
      </c>
      <c r="L431" s="4"/>
    </row>
    <row r="432">
      <c r="A432" s="1">
        <f>IFERROR(__xludf.DUMMYFUNCTION("""COMPUTED_VALUE"""),431.0)</f>
        <v>431</v>
      </c>
      <c r="B432" s="1">
        <f>IFERROR(__xludf.DUMMYFUNCTION("""COMPUTED_VALUE"""),5512.0)</f>
        <v>5512</v>
      </c>
      <c r="C432" s="2" t="str">
        <f>IFERROR(__xludf.DUMMYFUNCTION("""COMPUTED_VALUE"""),"Aldo Utama Putra")</f>
        <v>Aldo Utama Putra</v>
      </c>
      <c r="D432" s="2" t="str">
        <f>IFERROR(__xludf.DUMMYFUNCTION("""COMPUTED_VALUE"""),"5KM OVERALL M")</f>
        <v>5KM OVERALL M</v>
      </c>
      <c r="E432" s="1">
        <f>IFERROR(__xludf.DUMMYFUNCTION("""COMPUTED_VALUE"""),286.0)</f>
        <v>286</v>
      </c>
      <c r="F432" s="1" t="str">
        <f>IFERROR(__xludf.DUMMYFUNCTION("""COMPUTED_VALUE"""),"Male")</f>
        <v>Male</v>
      </c>
      <c r="G432" s="5">
        <f>IFERROR(__xludf.DUMMYFUNCTION("""COMPUTED_VALUE"""),0.005593664351851852)</f>
        <v>0.005593664352</v>
      </c>
      <c r="H432" s="15">
        <f>IFERROR(__xludf.DUMMYFUNCTION("""COMPUTED_VALUE"""),0.2549440625)</f>
        <v>0.2549440625</v>
      </c>
      <c r="I432" s="15">
        <f>IFERROR(__xludf.DUMMYFUNCTION("""COMPUTED_VALUE"""),45949.282912379815)</f>
        <v>45949.28291</v>
      </c>
      <c r="J432" s="15">
        <f>IFERROR(__xludf.DUMMYFUNCTION("""COMPUTED_VALUE"""),45949.027968317314)</f>
        <v>45949.02797</v>
      </c>
      <c r="K432" s="15">
        <f>IFERROR(__xludf.DUMMYFUNCTION("""COMPUTED_VALUE"""),45949.27099896048)</f>
        <v>45949.271</v>
      </c>
      <c r="L432" s="4"/>
    </row>
    <row r="433">
      <c r="A433" s="1">
        <f>IFERROR(__xludf.DUMMYFUNCTION("""COMPUTED_VALUE"""),432.0)</f>
        <v>432</v>
      </c>
      <c r="B433" s="1">
        <f>IFERROR(__xludf.DUMMYFUNCTION("""COMPUTED_VALUE"""),5875.0)</f>
        <v>5875</v>
      </c>
      <c r="C433" s="2" t="str">
        <f>IFERROR(__xludf.DUMMYFUNCTION("""COMPUTED_VALUE"""),"Mail")</f>
        <v>Mail</v>
      </c>
      <c r="D433" s="2" t="str">
        <f>IFERROR(__xludf.DUMMYFUNCTION("""COMPUTED_VALUE"""),"5KM OVERALL M")</f>
        <v>5KM OVERALL M</v>
      </c>
      <c r="E433" s="1">
        <f>IFERROR(__xludf.DUMMYFUNCTION("""COMPUTED_VALUE"""),287.0)</f>
        <v>287</v>
      </c>
      <c r="F433" s="1" t="str">
        <f>IFERROR(__xludf.DUMMYFUNCTION("""COMPUTED_VALUE"""),"Male")</f>
        <v>Male</v>
      </c>
      <c r="G433" s="5">
        <f>IFERROR(__xludf.DUMMYFUNCTION("""COMPUTED_VALUE"""),0.005593666666666666)</f>
        <v>0.005593666667</v>
      </c>
      <c r="H433" s="15">
        <f>IFERROR(__xludf.DUMMYFUNCTION("""COMPUTED_VALUE"""),0.2549440625)</f>
        <v>0.2549440625</v>
      </c>
      <c r="I433" s="15">
        <f>IFERROR(__xludf.DUMMYFUNCTION("""COMPUTED_VALUE"""),45949.28291239172)</f>
        <v>45949.28291</v>
      </c>
      <c r="J433" s="15">
        <f>IFERROR(__xludf.DUMMYFUNCTION("""COMPUTED_VALUE"""),45949.02796832922)</f>
        <v>45949.02797</v>
      </c>
      <c r="K433" s="15">
        <f>IFERROR(__xludf.DUMMYFUNCTION("""COMPUTED_VALUE"""),45949.270193366494)</f>
        <v>45949.27019</v>
      </c>
      <c r="L433" s="4"/>
    </row>
    <row r="434">
      <c r="A434" s="1">
        <f>IFERROR(__xludf.DUMMYFUNCTION("""COMPUTED_VALUE"""),433.0)</f>
        <v>433</v>
      </c>
      <c r="B434" s="7" t="str">
        <f>IFERROR(__xludf.DUMMYFUNCTION("""COMPUTED_VALUE"""),"7128")</f>
        <v>7128</v>
      </c>
      <c r="C434" s="8" t="str">
        <f>IFERROR(__xludf.DUMMYFUNCTION("""COMPUTED_VALUE"""),"Khairunnisa")</f>
        <v>Khairunnisa</v>
      </c>
      <c r="D434" s="2" t="str">
        <f>IFERROR(__xludf.DUMMYFUNCTION("""COMPUTED_VALUE"""),"5KM MASTER F")</f>
        <v>5KM MASTER F</v>
      </c>
      <c r="E434" s="1">
        <f>IFERROR(__xludf.DUMMYFUNCTION("""COMPUTED_VALUE"""),15.0)</f>
        <v>15</v>
      </c>
      <c r="F434" s="1" t="str">
        <f>IFERROR(__xludf.DUMMYFUNCTION("""COMPUTED_VALUE"""),"Female")</f>
        <v>Female</v>
      </c>
      <c r="G434" s="5">
        <f>IFERROR(__xludf.DUMMYFUNCTION("""COMPUTED_VALUE"""),0.005596226851851852)</f>
        <v>0.005596226852</v>
      </c>
      <c r="H434" s="15">
        <f>IFERROR(__xludf.DUMMYFUNCTION("""COMPUTED_VALUE"""),0.2549440625)</f>
        <v>0.2549440625</v>
      </c>
      <c r="I434" s="15">
        <f>IFERROR(__xludf.DUMMYFUNCTION("""COMPUTED_VALUE"""),45949.28292519631)</f>
        <v>45949.28293</v>
      </c>
      <c r="J434" s="15">
        <f>IFERROR(__xludf.DUMMYFUNCTION("""COMPUTED_VALUE"""),45949.02798113381)</f>
        <v>45949.02798</v>
      </c>
      <c r="K434" s="15">
        <f>IFERROR(__xludf.DUMMYFUNCTION("""COMPUTED_VALUE"""),45949.27012043337)</f>
        <v>45949.27012</v>
      </c>
      <c r="L434" s="4"/>
    </row>
    <row r="435">
      <c r="A435" s="1">
        <f>IFERROR(__xludf.DUMMYFUNCTION("""COMPUTED_VALUE"""),434.0)</f>
        <v>434</v>
      </c>
      <c r="B435" s="1">
        <f>IFERROR(__xludf.DUMMYFUNCTION("""COMPUTED_VALUE"""),6005.0)</f>
        <v>6005</v>
      </c>
      <c r="C435" s="2" t="str">
        <f>IFERROR(__xludf.DUMMYFUNCTION("""COMPUTED_VALUE"""),"Dadan")</f>
        <v>Dadan</v>
      </c>
      <c r="D435" s="2" t="str">
        <f>IFERROR(__xludf.DUMMYFUNCTION("""COMPUTED_VALUE"""),"5KM OVERALL M")</f>
        <v>5KM OVERALL M</v>
      </c>
      <c r="E435" s="1">
        <f>IFERROR(__xludf.DUMMYFUNCTION("""COMPUTED_VALUE"""),288.0)</f>
        <v>288</v>
      </c>
      <c r="F435" s="1" t="str">
        <f>IFERROR(__xludf.DUMMYFUNCTION("""COMPUTED_VALUE"""),"Male")</f>
        <v>Male</v>
      </c>
      <c r="G435" s="5">
        <f>IFERROR(__xludf.DUMMYFUNCTION("""COMPUTED_VALUE"""),0.005604555555555555)</f>
        <v>0.005604555556</v>
      </c>
      <c r="H435" s="15">
        <f>IFERROR(__xludf.DUMMYFUNCTION("""COMPUTED_VALUE"""),0.2549440625)</f>
        <v>0.2549440625</v>
      </c>
      <c r="I435" s="15">
        <f>IFERROR(__xludf.DUMMYFUNCTION("""COMPUTED_VALUE"""),45949.2829668359)</f>
        <v>45949.28297</v>
      </c>
      <c r="J435" s="15">
        <f>IFERROR(__xludf.DUMMYFUNCTION("""COMPUTED_VALUE"""),45949.0280227734)</f>
        <v>45949.02802</v>
      </c>
      <c r="K435" s="15">
        <f>IFERROR(__xludf.DUMMYFUNCTION("""COMPUTED_VALUE"""),45949.2703600247)</f>
        <v>45949.27036</v>
      </c>
      <c r="L435" s="4"/>
    </row>
    <row r="436">
      <c r="A436" s="1">
        <f>IFERROR(__xludf.DUMMYFUNCTION("""COMPUTED_VALUE"""),435.0)</f>
        <v>435</v>
      </c>
      <c r="B436" s="1">
        <f>IFERROR(__xludf.DUMMYFUNCTION("""COMPUTED_VALUE"""),7092.0)</f>
        <v>7092</v>
      </c>
      <c r="C436" s="2" t="str">
        <f>IFERROR(__xludf.DUMMYFUNCTION("""COMPUTED_VALUE"""),"Rusdy")</f>
        <v>Rusdy</v>
      </c>
      <c r="D436" s="2" t="str">
        <f>IFERROR(__xludf.DUMMYFUNCTION("""COMPUTED_VALUE"""),"5KM MASTER M")</f>
        <v>5KM MASTER M</v>
      </c>
      <c r="E436" s="1">
        <f>IFERROR(__xludf.DUMMYFUNCTION("""COMPUTED_VALUE"""),43.0)</f>
        <v>43</v>
      </c>
      <c r="F436" s="1" t="str">
        <f>IFERROR(__xludf.DUMMYFUNCTION("""COMPUTED_VALUE"""),"Male")</f>
        <v>Male</v>
      </c>
      <c r="G436" s="5">
        <f>IFERROR(__xludf.DUMMYFUNCTION("""COMPUTED_VALUE"""),0.0056087222222222215)</f>
        <v>0.005608722222</v>
      </c>
      <c r="H436" s="15">
        <f>IFERROR(__xludf.DUMMYFUNCTION("""COMPUTED_VALUE"""),0.2549440625)</f>
        <v>0.2549440625</v>
      </c>
      <c r="I436" s="15">
        <f>IFERROR(__xludf.DUMMYFUNCTION("""COMPUTED_VALUE"""),45949.282987679115)</f>
        <v>45949.28299</v>
      </c>
      <c r="J436" s="15">
        <f>IFERROR(__xludf.DUMMYFUNCTION("""COMPUTED_VALUE"""),45949.028043616614)</f>
        <v>45949.02804</v>
      </c>
      <c r="K436" s="15">
        <f>IFERROR(__xludf.DUMMYFUNCTION("""COMPUTED_VALUE"""),45949.27203714277)</f>
        <v>45949.27204</v>
      </c>
      <c r="L436" s="4"/>
    </row>
    <row r="437">
      <c r="A437" s="1">
        <f>IFERROR(__xludf.DUMMYFUNCTION("""COMPUTED_VALUE"""),436.0)</f>
        <v>436</v>
      </c>
      <c r="B437" s="1">
        <f>IFERROR(__xludf.DUMMYFUNCTION("""COMPUTED_VALUE"""),6209.0)</f>
        <v>6209</v>
      </c>
      <c r="C437" s="2" t="str">
        <f>IFERROR(__xludf.DUMMYFUNCTION("""COMPUTED_VALUE"""),"Hazi Qudsyia")</f>
        <v>Hazi Qudsyia</v>
      </c>
      <c r="D437" s="2" t="str">
        <f>IFERROR(__xludf.DUMMYFUNCTION("""COMPUTED_VALUE"""),"5KM OVERALL M")</f>
        <v>5KM OVERALL M</v>
      </c>
      <c r="E437" s="1">
        <f>IFERROR(__xludf.DUMMYFUNCTION("""COMPUTED_VALUE"""),289.0)</f>
        <v>289</v>
      </c>
      <c r="F437" s="1" t="str">
        <f>IFERROR(__xludf.DUMMYFUNCTION("""COMPUTED_VALUE"""),"Male")</f>
        <v>Male</v>
      </c>
      <c r="G437" s="5">
        <f>IFERROR(__xludf.DUMMYFUNCTION("""COMPUTED_VALUE"""),0.005614282407407407)</f>
        <v>0.005614282407</v>
      </c>
      <c r="H437" s="15">
        <f>IFERROR(__xludf.DUMMYFUNCTION("""COMPUTED_VALUE"""),0.2549440625)</f>
        <v>0.2549440625</v>
      </c>
      <c r="I437" s="15">
        <f>IFERROR(__xludf.DUMMYFUNCTION("""COMPUTED_VALUE"""),45949.283015472094)</f>
        <v>45949.28302</v>
      </c>
      <c r="J437" s="15">
        <f>IFERROR(__xludf.DUMMYFUNCTION("""COMPUTED_VALUE"""),45949.02807140959)</f>
        <v>45949.02807</v>
      </c>
      <c r="K437" s="15">
        <f>IFERROR(__xludf.DUMMYFUNCTION("""COMPUTED_VALUE"""),45949.273290577396)</f>
        <v>45949.27329</v>
      </c>
      <c r="L437" s="4"/>
    </row>
    <row r="438">
      <c r="A438" s="1">
        <f>IFERROR(__xludf.DUMMYFUNCTION("""COMPUTED_VALUE"""),437.0)</f>
        <v>437</v>
      </c>
      <c r="B438" s="1">
        <f>IFERROR(__xludf.DUMMYFUNCTION("""COMPUTED_VALUE"""),7074.0)</f>
        <v>7074</v>
      </c>
      <c r="C438" s="2" t="str">
        <f>IFERROR(__xludf.DUMMYFUNCTION("""COMPUTED_VALUE"""),"TRI MARGONO")</f>
        <v>TRI MARGONO</v>
      </c>
      <c r="D438" s="2" t="str">
        <f>IFERROR(__xludf.DUMMYFUNCTION("""COMPUTED_VALUE"""),"5KM MASTER M")</f>
        <v>5KM MASTER M</v>
      </c>
      <c r="E438" s="1">
        <f>IFERROR(__xludf.DUMMYFUNCTION("""COMPUTED_VALUE"""),44.0)</f>
        <v>44</v>
      </c>
      <c r="F438" s="1" t="str">
        <f>IFERROR(__xludf.DUMMYFUNCTION("""COMPUTED_VALUE"""),"Male")</f>
        <v>Male</v>
      </c>
      <c r="G438" s="5">
        <f>IFERROR(__xludf.DUMMYFUNCTION("""COMPUTED_VALUE"""),0.005623305555555556)</f>
        <v>0.005623305556</v>
      </c>
      <c r="H438" s="15">
        <f>IFERROR(__xludf.DUMMYFUNCTION("""COMPUTED_VALUE"""),0.2549440625)</f>
        <v>0.2549440625</v>
      </c>
      <c r="I438" s="15">
        <f>IFERROR(__xludf.DUMMYFUNCTION("""COMPUTED_VALUE"""),45949.28306059344)</f>
        <v>45949.28306</v>
      </c>
      <c r="J438" s="15">
        <f>IFERROR(__xludf.DUMMYFUNCTION("""COMPUTED_VALUE"""),45949.02811653094)</f>
        <v>45949.02812</v>
      </c>
      <c r="K438" s="15">
        <f>IFERROR(__xludf.DUMMYFUNCTION("""COMPUTED_VALUE"""),45949.27190517471)</f>
        <v>45949.27191</v>
      </c>
      <c r="L438" s="4"/>
    </row>
    <row r="439">
      <c r="A439" s="1">
        <f>IFERROR(__xludf.DUMMYFUNCTION("""COMPUTED_VALUE"""),438.0)</f>
        <v>438</v>
      </c>
      <c r="B439" s="1">
        <f>IFERROR(__xludf.DUMMYFUNCTION("""COMPUTED_VALUE"""),5426.0)</f>
        <v>5426</v>
      </c>
      <c r="C439" s="2" t="str">
        <f>IFERROR(__xludf.DUMMYFUNCTION("""COMPUTED_VALUE"""),"YudhaMex")</f>
        <v>YudhaMex</v>
      </c>
      <c r="D439" s="2" t="str">
        <f>IFERROR(__xludf.DUMMYFUNCTION("""COMPUTED_VALUE"""),"5KM OVERALL M")</f>
        <v>5KM OVERALL M</v>
      </c>
      <c r="E439" s="1">
        <f>IFERROR(__xludf.DUMMYFUNCTION("""COMPUTED_VALUE"""),290.0)</f>
        <v>290</v>
      </c>
      <c r="F439" s="1" t="str">
        <f>IFERROR(__xludf.DUMMYFUNCTION("""COMPUTED_VALUE"""),"Male")</f>
        <v>Male</v>
      </c>
      <c r="G439" s="5">
        <f>IFERROR(__xludf.DUMMYFUNCTION("""COMPUTED_VALUE"""),0.005636699074074074)</f>
        <v>0.005636699074</v>
      </c>
      <c r="H439" s="15">
        <f>IFERROR(__xludf.DUMMYFUNCTION("""COMPUTED_VALUE"""),0.2549440625)</f>
        <v>0.2549440625</v>
      </c>
      <c r="I439" s="15">
        <f>IFERROR(__xludf.DUMMYFUNCTION("""COMPUTED_VALUE"""),45949.283127552706)</f>
        <v>45949.28313</v>
      </c>
      <c r="J439" s="15">
        <f>IFERROR(__xludf.DUMMYFUNCTION("""COMPUTED_VALUE"""),45949.028183490205)</f>
        <v>45949.02818</v>
      </c>
      <c r="K439" s="15">
        <f>IFERROR(__xludf.DUMMYFUNCTION("""COMPUTED_VALUE"""),45949.272842740334)</f>
        <v>45949.27284</v>
      </c>
      <c r="L439" s="4"/>
    </row>
    <row r="440">
      <c r="A440" s="1">
        <f>IFERROR(__xludf.DUMMYFUNCTION("""COMPUTED_VALUE"""),439.0)</f>
        <v>439</v>
      </c>
      <c r="B440" s="1">
        <f>IFERROR(__xludf.DUMMYFUNCTION("""COMPUTED_VALUE"""),6352.0)</f>
        <v>6352</v>
      </c>
      <c r="C440" s="2" t="str">
        <f>IFERROR(__xludf.DUMMYFUNCTION("""COMPUTED_VALUE"""),"Priska")</f>
        <v>Priska</v>
      </c>
      <c r="D440" s="2" t="str">
        <f>IFERROR(__xludf.DUMMYFUNCTION("""COMPUTED_VALUE"""),"5KM OVERALL F")</f>
        <v>5KM OVERALL F</v>
      </c>
      <c r="E440" s="1">
        <f>IFERROR(__xludf.DUMMYFUNCTION("""COMPUTED_VALUE"""),44.0)</f>
        <v>44</v>
      </c>
      <c r="F440" s="1" t="str">
        <f>IFERROR(__xludf.DUMMYFUNCTION("""COMPUTED_VALUE"""),"Female")</f>
        <v>Female</v>
      </c>
      <c r="G440" s="5">
        <f>IFERROR(__xludf.DUMMYFUNCTION("""COMPUTED_VALUE"""),0.005637194444444445)</f>
        <v>0.005637194444</v>
      </c>
      <c r="H440" s="15">
        <f>IFERROR(__xludf.DUMMYFUNCTION("""COMPUTED_VALUE"""),0.2549440625)</f>
        <v>0.2549440625</v>
      </c>
      <c r="I440" s="15">
        <f>IFERROR(__xludf.DUMMYFUNCTION("""COMPUTED_VALUE"""),45949.28313003349)</f>
        <v>45949.28313</v>
      </c>
      <c r="J440" s="15">
        <f>IFERROR(__xludf.DUMMYFUNCTION("""COMPUTED_VALUE"""),45949.02818597099)</f>
        <v>45949.02819</v>
      </c>
      <c r="K440" s="15">
        <f>IFERROR(__xludf.DUMMYFUNCTION("""COMPUTED_VALUE"""),45949.27090522684)</f>
        <v>45949.27091</v>
      </c>
      <c r="L440" s="4"/>
    </row>
    <row r="441">
      <c r="A441" s="1">
        <f>IFERROR(__xludf.DUMMYFUNCTION("""COMPUTED_VALUE"""),440.0)</f>
        <v>440</v>
      </c>
      <c r="B441" s="1">
        <f>IFERROR(__xludf.DUMMYFUNCTION("""COMPUTED_VALUE"""),5891.0)</f>
        <v>5891</v>
      </c>
      <c r="C441" s="2" t="str">
        <f>IFERROR(__xludf.DUMMYFUNCTION("""COMPUTED_VALUE"""),"Sanak.Motret")</f>
        <v>Sanak.Motret</v>
      </c>
      <c r="D441" s="2" t="str">
        <f>IFERROR(__xludf.DUMMYFUNCTION("""COMPUTED_VALUE"""),"5KM OVERALL M")</f>
        <v>5KM OVERALL M</v>
      </c>
      <c r="E441" s="1">
        <f>IFERROR(__xludf.DUMMYFUNCTION("""COMPUTED_VALUE"""),291.0)</f>
        <v>291</v>
      </c>
      <c r="F441" s="1" t="str">
        <f>IFERROR(__xludf.DUMMYFUNCTION("""COMPUTED_VALUE"""),"Male")</f>
        <v>Male</v>
      </c>
      <c r="G441" s="5">
        <f>IFERROR(__xludf.DUMMYFUNCTION("""COMPUTED_VALUE"""),0.005639277777777778)</f>
        <v>0.005639277778</v>
      </c>
      <c r="H441" s="15">
        <f>IFERROR(__xludf.DUMMYFUNCTION("""COMPUTED_VALUE"""),0.2549440625)</f>
        <v>0.2549440625</v>
      </c>
      <c r="I441" s="15">
        <f>IFERROR(__xludf.DUMMYFUNCTION("""COMPUTED_VALUE"""),45949.28314045048)</f>
        <v>45949.28314</v>
      </c>
      <c r="J441" s="15">
        <f>IFERROR(__xludf.DUMMYFUNCTION("""COMPUTED_VALUE"""),45949.02819638798)</f>
        <v>45949.0282</v>
      </c>
      <c r="K441" s="15">
        <f>IFERROR(__xludf.DUMMYFUNCTION("""COMPUTED_VALUE"""),45949.271127381944)</f>
        <v>45949.27113</v>
      </c>
      <c r="L441" s="4"/>
    </row>
    <row r="442">
      <c r="A442" s="1">
        <f>IFERROR(__xludf.DUMMYFUNCTION("""COMPUTED_VALUE"""),441.0)</f>
        <v>441</v>
      </c>
      <c r="B442" s="1">
        <f>IFERROR(__xludf.DUMMYFUNCTION("""COMPUTED_VALUE"""),5099.0)</f>
        <v>5099</v>
      </c>
      <c r="C442" s="2" t="str">
        <f>IFERROR(__xludf.DUMMYFUNCTION("""COMPUTED_VALUE"""),"Faisal")</f>
        <v>Faisal</v>
      </c>
      <c r="D442" s="2" t="str">
        <f>IFERROR(__xludf.DUMMYFUNCTION("""COMPUTED_VALUE"""),"5KM OVERALL M")</f>
        <v>5KM OVERALL M</v>
      </c>
      <c r="E442" s="1">
        <f>IFERROR(__xludf.DUMMYFUNCTION("""COMPUTED_VALUE"""),292.0)</f>
        <v>292</v>
      </c>
      <c r="F442" s="1" t="str">
        <f>IFERROR(__xludf.DUMMYFUNCTION("""COMPUTED_VALUE"""),"Male")</f>
        <v>Male</v>
      </c>
      <c r="G442" s="5">
        <f>IFERROR(__xludf.DUMMYFUNCTION("""COMPUTED_VALUE"""),0.005639277777777778)</f>
        <v>0.005639277778</v>
      </c>
      <c r="H442" s="15">
        <f>IFERROR(__xludf.DUMMYFUNCTION("""COMPUTED_VALUE"""),0.2549440625)</f>
        <v>0.2549440625</v>
      </c>
      <c r="I442" s="15">
        <f>IFERROR(__xludf.DUMMYFUNCTION("""COMPUTED_VALUE"""),45949.28314045048)</f>
        <v>45949.28314</v>
      </c>
      <c r="J442" s="15">
        <f>IFERROR(__xludf.DUMMYFUNCTION("""COMPUTED_VALUE"""),45949.02819638798)</f>
        <v>45949.0282</v>
      </c>
      <c r="K442" s="15">
        <f>IFERROR(__xludf.DUMMYFUNCTION("""COMPUTED_VALUE"""),45949.27144410087)</f>
        <v>45949.27144</v>
      </c>
      <c r="L442" s="4"/>
    </row>
    <row r="443">
      <c r="A443" s="1">
        <f>IFERROR(__xludf.DUMMYFUNCTION("""COMPUTED_VALUE"""),442.0)</f>
        <v>442</v>
      </c>
      <c r="B443" s="1">
        <f>IFERROR(__xludf.DUMMYFUNCTION("""COMPUTED_VALUE"""),5863.0)</f>
        <v>5863</v>
      </c>
      <c r="C443" s="2" t="str">
        <f>IFERROR(__xludf.DUMMYFUNCTION("""COMPUTED_VALUE"""),"MUHAMMAD DENNY FALAH")</f>
        <v>MUHAMMAD DENNY FALAH</v>
      </c>
      <c r="D443" s="2" t="str">
        <f>IFERROR(__xludf.DUMMYFUNCTION("""COMPUTED_VALUE"""),"5KM OVERALL M")</f>
        <v>5KM OVERALL M</v>
      </c>
      <c r="E443" s="1">
        <f>IFERROR(__xludf.DUMMYFUNCTION("""COMPUTED_VALUE"""),293.0)</f>
        <v>293</v>
      </c>
      <c r="F443" s="1" t="str">
        <f>IFERROR(__xludf.DUMMYFUNCTION("""COMPUTED_VALUE"""),"Male")</f>
        <v>Male</v>
      </c>
      <c r="G443" s="5">
        <f>IFERROR(__xludf.DUMMYFUNCTION("""COMPUTED_VALUE"""),0.005640657407407408)</f>
        <v>0.005640657407</v>
      </c>
      <c r="H443" s="15">
        <f>IFERROR(__xludf.DUMMYFUNCTION("""COMPUTED_VALUE"""),0.2549440625)</f>
        <v>0.2549440625</v>
      </c>
      <c r="I443" s="15">
        <f>IFERROR(__xludf.DUMMYFUNCTION("""COMPUTED_VALUE"""),45949.2831473516)</f>
        <v>45949.28315</v>
      </c>
      <c r="J443" s="15">
        <f>IFERROR(__xludf.DUMMYFUNCTION("""COMPUTED_VALUE"""),45949.0282032891)</f>
        <v>45949.0282</v>
      </c>
      <c r="K443" s="15">
        <f>IFERROR(__xludf.DUMMYFUNCTION("""COMPUTED_VALUE"""),45949.271328804236)</f>
        <v>45949.27133</v>
      </c>
      <c r="L443" s="4"/>
    </row>
    <row r="444">
      <c r="A444" s="1">
        <f>IFERROR(__xludf.DUMMYFUNCTION("""COMPUTED_VALUE"""),443.0)</f>
        <v>443</v>
      </c>
      <c r="B444" s="1">
        <f>IFERROR(__xludf.DUMMYFUNCTION("""COMPUTED_VALUE"""),5339.0)</f>
        <v>5339</v>
      </c>
      <c r="C444" s="2" t="str">
        <f>IFERROR(__xludf.DUMMYFUNCTION("""COMPUTED_VALUE"""),"PRAYUDA")</f>
        <v>PRAYUDA</v>
      </c>
      <c r="D444" s="2" t="str">
        <f>IFERROR(__xludf.DUMMYFUNCTION("""COMPUTED_VALUE"""),"5KM OVERALL M")</f>
        <v>5KM OVERALL M</v>
      </c>
      <c r="E444" s="1">
        <f>IFERROR(__xludf.DUMMYFUNCTION("""COMPUTED_VALUE"""),294.0)</f>
        <v>294</v>
      </c>
      <c r="F444" s="1" t="str">
        <f>IFERROR(__xludf.DUMMYFUNCTION("""COMPUTED_VALUE"""),"Male")</f>
        <v>Male</v>
      </c>
      <c r="G444" s="5">
        <f>IFERROR(__xludf.DUMMYFUNCTION("""COMPUTED_VALUE"""),0.005642752314814815)</f>
        <v>0.005642752315</v>
      </c>
      <c r="H444" s="15">
        <f>IFERROR(__xludf.DUMMYFUNCTION("""COMPUTED_VALUE"""),0.2549440625)</f>
        <v>0.2549440625</v>
      </c>
      <c r="I444" s="15">
        <f>IFERROR(__xludf.DUMMYFUNCTION("""COMPUTED_VALUE"""),45949.28315781991)</f>
        <v>45949.28316</v>
      </c>
      <c r="J444" s="15">
        <f>IFERROR(__xludf.DUMMYFUNCTION("""COMPUTED_VALUE"""),45949.02821375741)</f>
        <v>45949.02821</v>
      </c>
      <c r="K444" s="15">
        <f>IFERROR(__xludf.DUMMYFUNCTION("""COMPUTED_VALUE"""),45949.2723948073)</f>
        <v>45949.27239</v>
      </c>
      <c r="L444" s="4"/>
    </row>
    <row r="445">
      <c r="A445" s="1">
        <f>IFERROR(__xludf.DUMMYFUNCTION("""COMPUTED_VALUE"""),444.0)</f>
        <v>444</v>
      </c>
      <c r="B445" s="1">
        <f>IFERROR(__xludf.DUMMYFUNCTION("""COMPUTED_VALUE"""),5830.0)</f>
        <v>5830</v>
      </c>
      <c r="C445" s="2" t="str">
        <f>IFERROR(__xludf.DUMMYFUNCTION("""COMPUTED_VALUE"""),"RICKYHIM")</f>
        <v>RICKYHIM</v>
      </c>
      <c r="D445" s="2" t="str">
        <f>IFERROR(__xludf.DUMMYFUNCTION("""COMPUTED_VALUE"""),"5KM OVERALL M")</f>
        <v>5KM OVERALL M</v>
      </c>
      <c r="E445" s="1">
        <f>IFERROR(__xludf.DUMMYFUNCTION("""COMPUTED_VALUE"""),295.0)</f>
        <v>295</v>
      </c>
      <c r="F445" s="1" t="str">
        <f>IFERROR(__xludf.DUMMYFUNCTION("""COMPUTED_VALUE"""),"Male")</f>
        <v>Male</v>
      </c>
      <c r="G445" s="5">
        <f>IFERROR(__xludf.DUMMYFUNCTION("""COMPUTED_VALUE"""),0.005644833333333333)</f>
        <v>0.005644833333</v>
      </c>
      <c r="H445" s="15">
        <f>IFERROR(__xludf.DUMMYFUNCTION("""COMPUTED_VALUE"""),0.2549440625)</f>
        <v>0.2549440625</v>
      </c>
      <c r="I445" s="15">
        <f>IFERROR(__xludf.DUMMYFUNCTION("""COMPUTED_VALUE"""),45949.28316822482)</f>
        <v>45949.28317</v>
      </c>
      <c r="J445" s="15">
        <f>IFERROR(__xludf.DUMMYFUNCTION("""COMPUTED_VALUE"""),45949.02822416232)</f>
        <v>45949.02822</v>
      </c>
      <c r="K445" s="15">
        <f>IFERROR(__xludf.DUMMYFUNCTION("""COMPUTED_VALUE"""),45949.26991562779)</f>
        <v>45949.26992</v>
      </c>
      <c r="L445" s="4"/>
    </row>
    <row r="446">
      <c r="A446" s="1">
        <f>IFERROR(__xludf.DUMMYFUNCTION("""COMPUTED_VALUE"""),445.0)</f>
        <v>445</v>
      </c>
      <c r="B446" s="1">
        <f>IFERROR(__xludf.DUMMYFUNCTION("""COMPUTED_VALUE"""),5445.0)</f>
        <v>5445</v>
      </c>
      <c r="C446" s="2" t="str">
        <f>IFERROR(__xludf.DUMMYFUNCTION("""COMPUTED_VALUE"""),"Muhammad Zainuddin")</f>
        <v>Muhammad Zainuddin</v>
      </c>
      <c r="D446" s="2" t="str">
        <f>IFERROR(__xludf.DUMMYFUNCTION("""COMPUTED_VALUE"""),"5KM OVERALL M")</f>
        <v>5KM OVERALL M</v>
      </c>
      <c r="E446" s="1">
        <f>IFERROR(__xludf.DUMMYFUNCTION("""COMPUTED_VALUE"""),296.0)</f>
        <v>296</v>
      </c>
      <c r="F446" s="1" t="str">
        <f>IFERROR(__xludf.DUMMYFUNCTION("""COMPUTED_VALUE"""),"Male")</f>
        <v>Male</v>
      </c>
      <c r="G446" s="5">
        <f>IFERROR(__xludf.DUMMYFUNCTION("""COMPUTED_VALUE"""),0.005652472222222222)</f>
        <v>0.005652472222</v>
      </c>
      <c r="H446" s="15">
        <f>IFERROR(__xludf.DUMMYFUNCTION("""COMPUTED_VALUE"""),0.2549440625)</f>
        <v>0.2549440625</v>
      </c>
      <c r="I446" s="15">
        <f>IFERROR(__xludf.DUMMYFUNCTION("""COMPUTED_VALUE"""),45949.28320642405)</f>
        <v>45949.28321</v>
      </c>
      <c r="J446" s="15">
        <f>IFERROR(__xludf.DUMMYFUNCTION("""COMPUTED_VALUE"""),45949.02826236155)</f>
        <v>45949.02826</v>
      </c>
      <c r="K446" s="15">
        <f>IFERROR(__xludf.DUMMYFUNCTION("""COMPUTED_VALUE"""),45949.27023507444)</f>
        <v>45949.27024</v>
      </c>
      <c r="L446" s="4"/>
    </row>
    <row r="447">
      <c r="A447" s="1">
        <f>IFERROR(__xludf.DUMMYFUNCTION("""COMPUTED_VALUE"""),446.0)</f>
        <v>446</v>
      </c>
      <c r="B447" s="1">
        <f>IFERROR(__xludf.DUMMYFUNCTION("""COMPUTED_VALUE"""),5067.0)</f>
        <v>5067</v>
      </c>
      <c r="C447" s="2" t="str">
        <f>IFERROR(__xludf.DUMMYFUNCTION("""COMPUTED_VALUE"""),"Dewi SN")</f>
        <v>Dewi SN</v>
      </c>
      <c r="D447" s="2" t="str">
        <f>IFERROR(__xludf.DUMMYFUNCTION("""COMPUTED_VALUE"""),"5KM OVERALL F")</f>
        <v>5KM OVERALL F</v>
      </c>
      <c r="E447" s="1">
        <f>IFERROR(__xludf.DUMMYFUNCTION("""COMPUTED_VALUE"""),45.0)</f>
        <v>45</v>
      </c>
      <c r="F447" s="1" t="str">
        <f>IFERROR(__xludf.DUMMYFUNCTION("""COMPUTED_VALUE"""),"Female")</f>
        <v>Female</v>
      </c>
      <c r="G447" s="5">
        <f>IFERROR(__xludf.DUMMYFUNCTION("""COMPUTED_VALUE"""),0.005656060185185186)</f>
        <v>0.005656060185</v>
      </c>
      <c r="H447" s="15">
        <f>IFERROR(__xludf.DUMMYFUNCTION("""COMPUTED_VALUE"""),0.2549440625)</f>
        <v>0.2549440625</v>
      </c>
      <c r="I447" s="15">
        <f>IFERROR(__xludf.DUMMYFUNCTION("""COMPUTED_VALUE"""),45949.28322435993)</f>
        <v>45949.28322</v>
      </c>
      <c r="J447" s="15">
        <f>IFERROR(__xludf.DUMMYFUNCTION("""COMPUTED_VALUE"""),45949.02828029743)</f>
        <v>45949.02828</v>
      </c>
      <c r="K447" s="15">
        <f>IFERROR(__xludf.DUMMYFUNCTION("""COMPUTED_VALUE"""),45949.27097461406)</f>
        <v>45949.27097</v>
      </c>
      <c r="L447" s="4"/>
    </row>
    <row r="448">
      <c r="A448" s="1">
        <f>IFERROR(__xludf.DUMMYFUNCTION("""COMPUTED_VALUE"""),447.0)</f>
        <v>447</v>
      </c>
      <c r="B448" s="1">
        <f>IFERROR(__xludf.DUMMYFUNCTION("""COMPUTED_VALUE"""),5038.0)</f>
        <v>5038</v>
      </c>
      <c r="C448" s="2" t="str">
        <f>IFERROR(__xludf.DUMMYFUNCTION("""COMPUTED_VALUE"""),"HFZADE")</f>
        <v>HFZADE</v>
      </c>
      <c r="D448" s="2" t="str">
        <f>IFERROR(__xludf.DUMMYFUNCTION("""COMPUTED_VALUE"""),"5KM OVERALL M")</f>
        <v>5KM OVERALL M</v>
      </c>
      <c r="E448" s="1">
        <f>IFERROR(__xludf.DUMMYFUNCTION("""COMPUTED_VALUE"""),297.0)</f>
        <v>297</v>
      </c>
      <c r="F448" s="1" t="str">
        <f>IFERROR(__xludf.DUMMYFUNCTION("""COMPUTED_VALUE"""),"Male")</f>
        <v>Male</v>
      </c>
      <c r="G448" s="5">
        <f>IFERROR(__xludf.DUMMYFUNCTION("""COMPUTED_VALUE"""),0.0056560625)</f>
        <v>0.0056560625</v>
      </c>
      <c r="H448" s="15">
        <f>IFERROR(__xludf.DUMMYFUNCTION("""COMPUTED_VALUE"""),0.2549440625)</f>
        <v>0.2549440625</v>
      </c>
      <c r="I448" s="15">
        <f>IFERROR(__xludf.DUMMYFUNCTION("""COMPUTED_VALUE"""),45949.28322437201)</f>
        <v>45949.28322</v>
      </c>
      <c r="J448" s="15">
        <f>IFERROR(__xludf.DUMMYFUNCTION("""COMPUTED_VALUE"""),45949.02828030951)</f>
        <v>45949.02828</v>
      </c>
      <c r="K448" s="15">
        <f>IFERROR(__xludf.DUMMYFUNCTION("""COMPUTED_VALUE"""),45949.271307945586)</f>
        <v>45949.27131</v>
      </c>
      <c r="L448" s="4"/>
    </row>
    <row r="449">
      <c r="A449" s="1">
        <f>IFERROR(__xludf.DUMMYFUNCTION("""COMPUTED_VALUE"""),448.0)</f>
        <v>448</v>
      </c>
      <c r="B449" s="1">
        <f>IFERROR(__xludf.DUMMYFUNCTION("""COMPUTED_VALUE"""),5915.0)</f>
        <v>5915</v>
      </c>
      <c r="C449" s="2" t="str">
        <f>IFERROR(__xludf.DUMMYFUNCTION("""COMPUTED_VALUE"""),"MAULANA")</f>
        <v>MAULANA</v>
      </c>
      <c r="D449" s="2" t="str">
        <f>IFERROR(__xludf.DUMMYFUNCTION("""COMPUTED_VALUE"""),"5KM OVERALL M")</f>
        <v>5KM OVERALL M</v>
      </c>
      <c r="E449" s="1">
        <f>IFERROR(__xludf.DUMMYFUNCTION("""COMPUTED_VALUE"""),298.0)</f>
        <v>298</v>
      </c>
      <c r="F449" s="1" t="str">
        <f>IFERROR(__xludf.DUMMYFUNCTION("""COMPUTED_VALUE"""),"Male")</f>
        <v>Male</v>
      </c>
      <c r="G449" s="5">
        <f>IFERROR(__xludf.DUMMYFUNCTION("""COMPUTED_VALUE"""),0.005656638888888889)</f>
        <v>0.005656638889</v>
      </c>
      <c r="H449" s="15">
        <f>IFERROR(__xludf.DUMMYFUNCTION("""COMPUTED_VALUE"""),0.2549440625)</f>
        <v>0.2549440625</v>
      </c>
      <c r="I449" s="15">
        <f>IFERROR(__xludf.DUMMYFUNCTION("""COMPUTED_VALUE"""),45949.283227256936)</f>
        <v>45949.28323</v>
      </c>
      <c r="J449" s="15">
        <f>IFERROR(__xludf.DUMMYFUNCTION("""COMPUTED_VALUE"""),45949.028283194435)</f>
        <v>45949.02828</v>
      </c>
      <c r="K449" s="15">
        <f>IFERROR(__xludf.DUMMYFUNCTION("""COMPUTED_VALUE"""),45949.27128833377)</f>
        <v>45949.27129</v>
      </c>
      <c r="L449" s="4"/>
    </row>
    <row r="450">
      <c r="A450" s="1">
        <f>IFERROR(__xludf.DUMMYFUNCTION("""COMPUTED_VALUE"""),449.0)</f>
        <v>449</v>
      </c>
      <c r="B450" s="1">
        <f>IFERROR(__xludf.DUMMYFUNCTION("""COMPUTED_VALUE"""),6375.0)</f>
        <v>6375</v>
      </c>
      <c r="C450" s="2" t="str">
        <f>IFERROR(__xludf.DUMMYFUNCTION("""COMPUTED_VALUE"""),"ALDI")</f>
        <v>ALDI</v>
      </c>
      <c r="D450" s="2" t="str">
        <f>IFERROR(__xludf.DUMMYFUNCTION("""COMPUTED_VALUE"""),"5KM OVERALL M")</f>
        <v>5KM OVERALL M</v>
      </c>
      <c r="E450" s="1">
        <f>IFERROR(__xludf.DUMMYFUNCTION("""COMPUTED_VALUE"""),299.0)</f>
        <v>299</v>
      </c>
      <c r="F450" s="1" t="str">
        <f>IFERROR(__xludf.DUMMYFUNCTION("""COMPUTED_VALUE"""),"Male")</f>
        <v>Male</v>
      </c>
      <c r="G450" s="5">
        <f>IFERROR(__xludf.DUMMYFUNCTION("""COMPUTED_VALUE"""),0.0056580277777777774)</f>
        <v>0.005658027778</v>
      </c>
      <c r="H450" s="15">
        <f>IFERROR(__xludf.DUMMYFUNCTION("""COMPUTED_VALUE"""),0.2549440625)</f>
        <v>0.2549440625</v>
      </c>
      <c r="I450" s="15">
        <f>IFERROR(__xludf.DUMMYFUNCTION("""COMPUTED_VALUE"""),45949.28323420284)</f>
        <v>45949.28323</v>
      </c>
      <c r="J450" s="15">
        <f>IFERROR(__xludf.DUMMYFUNCTION("""COMPUTED_VALUE"""),45949.02829014034)</f>
        <v>45949.02829</v>
      </c>
      <c r="K450" s="15">
        <f>IFERROR(__xludf.DUMMYFUNCTION("""COMPUTED_VALUE"""),45949.26993298848)</f>
        <v>45949.26993</v>
      </c>
      <c r="L450" s="4"/>
    </row>
    <row r="451">
      <c r="A451" s="1">
        <f>IFERROR(__xludf.DUMMYFUNCTION("""COMPUTED_VALUE"""),450.0)</f>
        <v>450</v>
      </c>
      <c r="B451" s="1">
        <f>IFERROR(__xludf.DUMMYFUNCTION("""COMPUTED_VALUE"""),5980.0)</f>
        <v>5980</v>
      </c>
      <c r="C451" s="2" t="str">
        <f>IFERROR(__xludf.DUMMYFUNCTION("""COMPUTED_VALUE"""),"Heri")</f>
        <v>Heri</v>
      </c>
      <c r="D451" s="2" t="str">
        <f>IFERROR(__xludf.DUMMYFUNCTION("""COMPUTED_VALUE"""),"5KM OVERALL M")</f>
        <v>5KM OVERALL M</v>
      </c>
      <c r="E451" s="1">
        <f>IFERROR(__xludf.DUMMYFUNCTION("""COMPUTED_VALUE"""),300.0)</f>
        <v>300</v>
      </c>
      <c r="F451" s="1" t="str">
        <f>IFERROR(__xludf.DUMMYFUNCTION("""COMPUTED_VALUE"""),"Male")</f>
        <v>Male</v>
      </c>
      <c r="G451" s="5">
        <f>IFERROR(__xludf.DUMMYFUNCTION("""COMPUTED_VALUE"""),0.005658722222222223)</f>
        <v>0.005658722222</v>
      </c>
      <c r="H451" s="15">
        <f>IFERROR(__xludf.DUMMYFUNCTION("""COMPUTED_VALUE"""),0.2549440625)</f>
        <v>0.2549440625</v>
      </c>
      <c r="I451" s="15">
        <f>IFERROR(__xludf.DUMMYFUNCTION("""COMPUTED_VALUE"""),45949.28323767431)</f>
        <v>45949.28324</v>
      </c>
      <c r="J451" s="15">
        <f>IFERROR(__xludf.DUMMYFUNCTION("""COMPUTED_VALUE"""),45949.02829361181)</f>
        <v>45949.02829</v>
      </c>
      <c r="K451" s="15">
        <f>IFERROR(__xludf.DUMMYFUNCTION("""COMPUTED_VALUE"""),45949.27161697798)</f>
        <v>45949.27162</v>
      </c>
      <c r="L451" s="4"/>
    </row>
    <row r="452">
      <c r="A452" s="1">
        <f>IFERROR(__xludf.DUMMYFUNCTION("""COMPUTED_VALUE"""),451.0)</f>
        <v>451</v>
      </c>
      <c r="B452" s="1">
        <f>IFERROR(__xludf.DUMMYFUNCTION("""COMPUTED_VALUE"""),5248.0)</f>
        <v>5248</v>
      </c>
      <c r="C452" s="2" t="str">
        <f>IFERROR(__xludf.DUMMYFUNCTION("""COMPUTED_VALUE"""),"Edo A C")</f>
        <v>Edo A C</v>
      </c>
      <c r="D452" s="2" t="str">
        <f>IFERROR(__xludf.DUMMYFUNCTION("""COMPUTED_VALUE"""),"5KM OVERALL M")</f>
        <v>5KM OVERALL M</v>
      </c>
      <c r="E452" s="1">
        <f>IFERROR(__xludf.DUMMYFUNCTION("""COMPUTED_VALUE"""),301.0)</f>
        <v>301</v>
      </c>
      <c r="F452" s="1" t="str">
        <f>IFERROR(__xludf.DUMMYFUNCTION("""COMPUTED_VALUE"""),"Male")</f>
        <v>Male</v>
      </c>
      <c r="G452" s="5">
        <f>IFERROR(__xludf.DUMMYFUNCTION("""COMPUTED_VALUE"""),0.005667055555555555)</f>
        <v>0.005667055556</v>
      </c>
      <c r="H452" s="15">
        <f>IFERROR(__xludf.DUMMYFUNCTION("""COMPUTED_VALUE"""),0.2549440625)</f>
        <v>0.2549440625</v>
      </c>
      <c r="I452" s="15">
        <f>IFERROR(__xludf.DUMMYFUNCTION("""COMPUTED_VALUE"""),45949.28327933785)</f>
        <v>45949.28328</v>
      </c>
      <c r="J452" s="15">
        <f>IFERROR(__xludf.DUMMYFUNCTION("""COMPUTED_VALUE"""),45949.02833527535)</f>
        <v>45949.02834</v>
      </c>
      <c r="K452" s="15">
        <f>IFERROR(__xludf.DUMMYFUNCTION("""COMPUTED_VALUE"""),45949.270047583035)</f>
        <v>45949.27005</v>
      </c>
      <c r="L452" s="4"/>
    </row>
    <row r="453">
      <c r="A453" s="1">
        <f>IFERROR(__xludf.DUMMYFUNCTION("""COMPUTED_VALUE"""),452.0)</f>
        <v>452</v>
      </c>
      <c r="B453" s="1">
        <f>IFERROR(__xludf.DUMMYFUNCTION("""COMPUTED_VALUE"""),6356.0)</f>
        <v>6356</v>
      </c>
      <c r="C453" s="2" t="str">
        <f>IFERROR(__xludf.DUMMYFUNCTION("""COMPUTED_VALUE"""),"ALMA")</f>
        <v>ALMA</v>
      </c>
      <c r="D453" s="2" t="str">
        <f>IFERROR(__xludf.DUMMYFUNCTION("""COMPUTED_VALUE"""),"5KM OVERALL F")</f>
        <v>5KM OVERALL F</v>
      </c>
      <c r="E453" s="1">
        <f>IFERROR(__xludf.DUMMYFUNCTION("""COMPUTED_VALUE"""),46.0)</f>
        <v>46</v>
      </c>
      <c r="F453" s="1" t="str">
        <f>IFERROR(__xludf.DUMMYFUNCTION("""COMPUTED_VALUE"""),"Female")</f>
        <v>Female</v>
      </c>
      <c r="G453" s="5">
        <f>IFERROR(__xludf.DUMMYFUNCTION("""COMPUTED_VALUE"""),0.0056712152777777785)</f>
        <v>0.005671215278</v>
      </c>
      <c r="H453" s="15">
        <f>IFERROR(__xludf.DUMMYFUNCTION("""COMPUTED_VALUE"""),0.2549440625)</f>
        <v>0.2549440625</v>
      </c>
      <c r="I453" s="15">
        <f>IFERROR(__xludf.DUMMYFUNCTION("""COMPUTED_VALUE"""),45949.2833001382)</f>
        <v>45949.2833</v>
      </c>
      <c r="J453" s="15">
        <f>IFERROR(__xludf.DUMMYFUNCTION("""COMPUTED_VALUE"""),45949.0283560757)</f>
        <v>45949.02836</v>
      </c>
      <c r="K453" s="15">
        <f>IFERROR(__xludf.DUMMYFUNCTION("""COMPUTED_VALUE"""),45949.27141210101)</f>
        <v>45949.27141</v>
      </c>
      <c r="L453" s="4"/>
    </row>
    <row r="454">
      <c r="A454" s="1">
        <f>IFERROR(__xludf.DUMMYFUNCTION("""COMPUTED_VALUE"""),453.0)</f>
        <v>453</v>
      </c>
      <c r="B454" s="1">
        <f>IFERROR(__xludf.DUMMYFUNCTION("""COMPUTED_VALUE"""),6438.0)</f>
        <v>6438</v>
      </c>
      <c r="C454" s="2" t="str">
        <f>IFERROR(__xludf.DUMMYFUNCTION("""COMPUTED_VALUE"""),"TEGUH KAMNEG")</f>
        <v>TEGUH KAMNEG</v>
      </c>
      <c r="D454" s="2" t="str">
        <f>IFERROR(__xludf.DUMMYFUNCTION("""COMPUTED_VALUE"""),"5KM OVERALL M")</f>
        <v>5KM OVERALL M</v>
      </c>
      <c r="E454" s="1">
        <f>IFERROR(__xludf.DUMMYFUNCTION("""COMPUTED_VALUE"""),302.0)</f>
        <v>302</v>
      </c>
      <c r="F454" s="1" t="str">
        <f>IFERROR(__xludf.DUMMYFUNCTION("""COMPUTED_VALUE"""),"Male")</f>
        <v>Male</v>
      </c>
      <c r="G454" s="5">
        <f>IFERROR(__xludf.DUMMYFUNCTION("""COMPUTED_VALUE"""),0.005674694444444444)</f>
        <v>0.005674694444</v>
      </c>
      <c r="H454" s="15">
        <f>IFERROR(__xludf.DUMMYFUNCTION("""COMPUTED_VALUE"""),0.2549440625)</f>
        <v>0.2549440625</v>
      </c>
      <c r="I454" s="15">
        <f>IFERROR(__xludf.DUMMYFUNCTION("""COMPUTED_VALUE"""),45949.28331752981)</f>
        <v>45949.28332</v>
      </c>
      <c r="J454" s="15">
        <f>IFERROR(__xludf.DUMMYFUNCTION("""COMPUTED_VALUE"""),45949.02837346731)</f>
        <v>45949.02837</v>
      </c>
      <c r="K454" s="15">
        <f>IFERROR(__xludf.DUMMYFUNCTION("""COMPUTED_VALUE"""),45949.27056835457)</f>
        <v>45949.27057</v>
      </c>
      <c r="L454" s="4"/>
    </row>
    <row r="455">
      <c r="A455" s="1">
        <f>IFERROR(__xludf.DUMMYFUNCTION("""COMPUTED_VALUE"""),454.0)</f>
        <v>454</v>
      </c>
      <c r="B455" s="1">
        <f>IFERROR(__xludf.DUMMYFUNCTION("""COMPUTED_VALUE"""),6207.0)</f>
        <v>6207</v>
      </c>
      <c r="C455" s="2" t="str">
        <f>IFERROR(__xludf.DUMMYFUNCTION("""COMPUTED_VALUE"""),"MaUl")</f>
        <v>MaUl</v>
      </c>
      <c r="D455" s="2" t="str">
        <f>IFERROR(__xludf.DUMMYFUNCTION("""COMPUTED_VALUE"""),"5KM OVERALL M")</f>
        <v>5KM OVERALL M</v>
      </c>
      <c r="E455" s="1">
        <f>IFERROR(__xludf.DUMMYFUNCTION("""COMPUTED_VALUE"""),303.0)</f>
        <v>303</v>
      </c>
      <c r="F455" s="1" t="str">
        <f>IFERROR(__xludf.DUMMYFUNCTION("""COMPUTED_VALUE"""),"Male")</f>
        <v>Male</v>
      </c>
      <c r="G455" s="5">
        <f>IFERROR(__xludf.DUMMYFUNCTION("""COMPUTED_VALUE"""),0.0056746967592592595)</f>
        <v>0.005674696759</v>
      </c>
      <c r="H455" s="15">
        <f>IFERROR(__xludf.DUMMYFUNCTION("""COMPUTED_VALUE"""),0.2549440625)</f>
        <v>0.2549440625</v>
      </c>
      <c r="I455" s="15">
        <f>IFERROR(__xludf.DUMMYFUNCTION("""COMPUTED_VALUE"""),45949.283317541966)</f>
        <v>45949.28332</v>
      </c>
      <c r="J455" s="15">
        <f>IFERROR(__xludf.DUMMYFUNCTION("""COMPUTED_VALUE"""),45949.028373479465)</f>
        <v>45949.02837</v>
      </c>
      <c r="K455" s="15">
        <f>IFERROR(__xludf.DUMMYFUNCTION("""COMPUTED_VALUE"""),45949.271950296024)</f>
        <v>45949.27195</v>
      </c>
      <c r="L455" s="4"/>
    </row>
    <row r="456">
      <c r="A456" s="1">
        <f>IFERROR(__xludf.DUMMYFUNCTION("""COMPUTED_VALUE"""),455.0)</f>
        <v>455</v>
      </c>
      <c r="B456" s="1">
        <f>IFERROR(__xludf.DUMMYFUNCTION("""COMPUTED_VALUE"""),5653.0)</f>
        <v>5653</v>
      </c>
      <c r="C456" s="2" t="str">
        <f>IFERROR(__xludf.DUMMYFUNCTION("""COMPUTED_VALUE"""),"R1ZQAN114")</f>
        <v>R1ZQAN114</v>
      </c>
      <c r="D456" s="2" t="str">
        <f>IFERROR(__xludf.DUMMYFUNCTION("""COMPUTED_VALUE"""),"5KM OVERALL M")</f>
        <v>5KM OVERALL M</v>
      </c>
      <c r="E456" s="1">
        <f>IFERROR(__xludf.DUMMYFUNCTION("""COMPUTED_VALUE"""),304.0)</f>
        <v>304</v>
      </c>
      <c r="F456" s="1" t="str">
        <f>IFERROR(__xludf.DUMMYFUNCTION("""COMPUTED_VALUE"""),"Male")</f>
        <v>Male</v>
      </c>
      <c r="G456" s="5">
        <f>IFERROR(__xludf.DUMMYFUNCTION("""COMPUTED_VALUE"""),0.005677694444444445)</f>
        <v>0.005677694444</v>
      </c>
      <c r="H456" s="15">
        <f>IFERROR(__xludf.DUMMYFUNCTION("""COMPUTED_VALUE"""),0.2549440625)</f>
        <v>0.2549440625</v>
      </c>
      <c r="I456" s="15">
        <f>IFERROR(__xludf.DUMMYFUNCTION("""COMPUTED_VALUE"""),45949.28333253876)</f>
        <v>45949.28333</v>
      </c>
      <c r="J456" s="15">
        <f>IFERROR(__xludf.DUMMYFUNCTION("""COMPUTED_VALUE"""),45949.02838847626)</f>
        <v>45949.02839</v>
      </c>
      <c r="K456" s="15">
        <f>IFERROR(__xludf.DUMMYFUNCTION("""COMPUTED_VALUE"""),45949.27115525318)</f>
        <v>45949.27116</v>
      </c>
      <c r="L456" s="4"/>
    </row>
    <row r="457">
      <c r="A457" s="1">
        <f>IFERROR(__xludf.DUMMYFUNCTION("""COMPUTED_VALUE"""),456.0)</f>
        <v>456</v>
      </c>
      <c r="B457" s="1">
        <f>IFERROR(__xludf.DUMMYFUNCTION("""COMPUTED_VALUE"""),5095.0)</f>
        <v>5095</v>
      </c>
      <c r="C457" s="2" t="str">
        <f>IFERROR(__xludf.DUMMYFUNCTION("""COMPUTED_VALUE"""),"Muadz")</f>
        <v>Muadz</v>
      </c>
      <c r="D457" s="2" t="str">
        <f>IFERROR(__xludf.DUMMYFUNCTION("""COMPUTED_VALUE"""),"5KM OVERALL M")</f>
        <v>5KM OVERALL M</v>
      </c>
      <c r="E457" s="1">
        <f>IFERROR(__xludf.DUMMYFUNCTION("""COMPUTED_VALUE"""),305.0)</f>
        <v>305</v>
      </c>
      <c r="F457" s="1" t="str">
        <f>IFERROR(__xludf.DUMMYFUNCTION("""COMPUTED_VALUE"""),"Male")</f>
        <v>Male</v>
      </c>
      <c r="G457" s="5">
        <f>IFERROR(__xludf.DUMMYFUNCTION("""COMPUTED_VALUE"""),0.005678166666666666)</f>
        <v>0.005678166667</v>
      </c>
      <c r="H457" s="15">
        <f>IFERROR(__xludf.DUMMYFUNCTION("""COMPUTED_VALUE"""),0.2549440625)</f>
        <v>0.2549440625</v>
      </c>
      <c r="I457" s="15">
        <f>IFERROR(__xludf.DUMMYFUNCTION("""COMPUTED_VALUE"""),45949.28333490144)</f>
        <v>45949.28333</v>
      </c>
      <c r="J457" s="15">
        <f>IFERROR(__xludf.DUMMYFUNCTION("""COMPUTED_VALUE"""),45949.02839083894)</f>
        <v>45949.02839</v>
      </c>
      <c r="K457" s="15">
        <f>IFERROR(__xludf.DUMMYFUNCTION("""COMPUTED_VALUE"""),45949.27268642508)</f>
        <v>45949.27269</v>
      </c>
      <c r="L457" s="4"/>
    </row>
    <row r="458">
      <c r="A458" s="1">
        <f>IFERROR(__xludf.DUMMYFUNCTION("""COMPUTED_VALUE"""),457.0)</f>
        <v>457</v>
      </c>
      <c r="B458" s="1">
        <f>IFERROR(__xludf.DUMMYFUNCTION("""COMPUTED_VALUE"""),6227.0)</f>
        <v>6227</v>
      </c>
      <c r="C458" s="2" t="str">
        <f>IFERROR(__xludf.DUMMYFUNCTION("""COMPUTED_VALUE"""),"Johan")</f>
        <v>Johan</v>
      </c>
      <c r="D458" s="2" t="str">
        <f>IFERROR(__xludf.DUMMYFUNCTION("""COMPUTED_VALUE"""),"5KM OVERALL M")</f>
        <v>5KM OVERALL M</v>
      </c>
      <c r="E458" s="1">
        <f>IFERROR(__xludf.DUMMYFUNCTION("""COMPUTED_VALUE"""),306.0)</f>
        <v>306</v>
      </c>
      <c r="F458" s="1" t="str">
        <f>IFERROR(__xludf.DUMMYFUNCTION("""COMPUTED_VALUE"""),"Male")</f>
        <v>Male</v>
      </c>
      <c r="G458" s="5">
        <f>IFERROR(__xludf.DUMMYFUNCTION("""COMPUTED_VALUE"""),0.005681638888888889)</f>
        <v>0.005681638889</v>
      </c>
      <c r="H458" s="15">
        <f>IFERROR(__xludf.DUMMYFUNCTION("""COMPUTED_VALUE"""),0.2549440625)</f>
        <v>0.2549440625</v>
      </c>
      <c r="I458" s="15">
        <f>IFERROR(__xludf.DUMMYFUNCTION("""COMPUTED_VALUE"""),45949.28335226122)</f>
        <v>45949.28335</v>
      </c>
      <c r="J458" s="15">
        <f>IFERROR(__xludf.DUMMYFUNCTION("""COMPUTED_VALUE"""),45949.02840819872)</f>
        <v>45949.02841</v>
      </c>
      <c r="K458" s="15">
        <f>IFERROR(__xludf.DUMMYFUNCTION("""COMPUTED_VALUE"""),45949.27263086777)</f>
        <v>45949.27263</v>
      </c>
      <c r="L458" s="4"/>
    </row>
    <row r="459">
      <c r="A459" s="1">
        <f>IFERROR(__xludf.DUMMYFUNCTION("""COMPUTED_VALUE"""),458.0)</f>
        <v>458</v>
      </c>
      <c r="B459" s="1">
        <f>IFERROR(__xludf.DUMMYFUNCTION("""COMPUTED_VALUE"""),5107.0)</f>
        <v>5107</v>
      </c>
      <c r="C459" s="2" t="str">
        <f>IFERROR(__xludf.DUMMYFUNCTION("""COMPUTED_VALUE"""),"Herli")</f>
        <v>Herli</v>
      </c>
      <c r="D459" s="2" t="str">
        <f>IFERROR(__xludf.DUMMYFUNCTION("""COMPUTED_VALUE"""),"5KM OVERALL M")</f>
        <v>5KM OVERALL M</v>
      </c>
      <c r="E459" s="1">
        <f>IFERROR(__xludf.DUMMYFUNCTION("""COMPUTED_VALUE"""),307.0)</f>
        <v>307</v>
      </c>
      <c r="F459" s="1" t="str">
        <f>IFERROR(__xludf.DUMMYFUNCTION("""COMPUTED_VALUE"""),"Male")</f>
        <v>Male</v>
      </c>
      <c r="G459" s="5">
        <f>IFERROR(__xludf.DUMMYFUNCTION("""COMPUTED_VALUE"""),0.005682483796296297)</f>
        <v>0.005682483796</v>
      </c>
      <c r="H459" s="15">
        <f>IFERROR(__xludf.DUMMYFUNCTION("""COMPUTED_VALUE"""),0.2549440625)</f>
        <v>0.2549440625</v>
      </c>
      <c r="I459" s="15">
        <f>IFERROR(__xludf.DUMMYFUNCTION("""COMPUTED_VALUE"""),45949.28335648148)</f>
        <v>45949.28336</v>
      </c>
      <c r="J459" s="15">
        <f>IFERROR(__xludf.DUMMYFUNCTION("""COMPUTED_VALUE"""),45949.02841241898)</f>
        <v>45949.02841</v>
      </c>
      <c r="K459" s="15">
        <f>IFERROR(__xludf.DUMMYFUNCTION("""COMPUTED_VALUE"""),45949.27038160215)</f>
        <v>45949.27038</v>
      </c>
      <c r="L459" s="4"/>
    </row>
    <row r="460">
      <c r="A460" s="1">
        <f>IFERROR(__xludf.DUMMYFUNCTION("""COMPUTED_VALUE"""),459.0)</f>
        <v>459</v>
      </c>
      <c r="B460" s="1">
        <f>IFERROR(__xludf.DUMMYFUNCTION("""COMPUTED_VALUE"""),5085.0)</f>
        <v>5085</v>
      </c>
      <c r="C460" s="2" t="str">
        <f>IFERROR(__xludf.DUMMYFUNCTION("""COMPUTED_VALUE"""),"Lhatif")</f>
        <v>Lhatif</v>
      </c>
      <c r="D460" s="2" t="str">
        <f>IFERROR(__xludf.DUMMYFUNCTION("""COMPUTED_VALUE"""),"5KM OVERALL M")</f>
        <v>5KM OVERALL M</v>
      </c>
      <c r="E460" s="1">
        <f>IFERROR(__xludf.DUMMYFUNCTION("""COMPUTED_VALUE"""),308.0)</f>
        <v>308</v>
      </c>
      <c r="F460" s="1" t="str">
        <f>IFERROR(__xludf.DUMMYFUNCTION("""COMPUTED_VALUE"""),"Male")</f>
        <v>Male</v>
      </c>
      <c r="G460" s="5">
        <f>IFERROR(__xludf.DUMMYFUNCTION("""COMPUTED_VALUE"""),0.005683738425925925)</f>
        <v>0.005683738426</v>
      </c>
      <c r="H460" s="15">
        <f>IFERROR(__xludf.DUMMYFUNCTION("""COMPUTED_VALUE"""),0.2549440625)</f>
        <v>0.2549440625</v>
      </c>
      <c r="I460" s="15">
        <f>IFERROR(__xludf.DUMMYFUNCTION("""COMPUTED_VALUE"""),45949.28336275597)</f>
        <v>45949.28336</v>
      </c>
      <c r="J460" s="15">
        <f>IFERROR(__xludf.DUMMYFUNCTION("""COMPUTED_VALUE"""),45949.028418693466)</f>
        <v>45949.02842</v>
      </c>
      <c r="K460" s="15">
        <f>IFERROR(__xludf.DUMMYFUNCTION("""COMPUTED_VALUE"""),45949.26992598767)</f>
        <v>45949.26993</v>
      </c>
      <c r="L460" s="4"/>
    </row>
    <row r="461">
      <c r="A461" s="1">
        <f>IFERROR(__xludf.DUMMYFUNCTION("""COMPUTED_VALUE"""),460.0)</f>
        <v>460</v>
      </c>
      <c r="B461" s="1">
        <f>IFERROR(__xludf.DUMMYFUNCTION("""COMPUTED_VALUE"""),6442.0)</f>
        <v>6442</v>
      </c>
      <c r="C461" s="2" t="str">
        <f>IFERROR(__xludf.DUMMYFUNCTION("""COMPUTED_VALUE"""),"KAMDARI")</f>
        <v>KAMDARI</v>
      </c>
      <c r="D461" s="2" t="str">
        <f>IFERROR(__xludf.DUMMYFUNCTION("""COMPUTED_VALUE"""),"5KM OVERALL M")</f>
        <v>5KM OVERALL M</v>
      </c>
      <c r="E461" s="1">
        <f>IFERROR(__xludf.DUMMYFUNCTION("""COMPUTED_VALUE"""),309.0)</f>
        <v>309</v>
      </c>
      <c r="F461" s="1" t="str">
        <f>IFERROR(__xludf.DUMMYFUNCTION("""COMPUTED_VALUE"""),"Male")</f>
        <v>Male</v>
      </c>
      <c r="G461" s="5">
        <f>IFERROR(__xludf.DUMMYFUNCTION("""COMPUTED_VALUE"""),0.00568580787037037)</f>
        <v>0.00568580787</v>
      </c>
      <c r="H461" s="15">
        <f>IFERROR(__xludf.DUMMYFUNCTION("""COMPUTED_VALUE"""),0.2549440625)</f>
        <v>0.2549440625</v>
      </c>
      <c r="I461" s="15">
        <f>IFERROR(__xludf.DUMMYFUNCTION("""COMPUTED_VALUE"""),45949.28337309799)</f>
        <v>45949.28337</v>
      </c>
      <c r="J461" s="15">
        <f>IFERROR(__xludf.DUMMYFUNCTION("""COMPUTED_VALUE"""),45949.02842903549)</f>
        <v>45949.02843</v>
      </c>
      <c r="K461" s="15">
        <f>IFERROR(__xludf.DUMMYFUNCTION("""COMPUTED_VALUE"""),45949.27073502464)</f>
        <v>45949.27074</v>
      </c>
      <c r="L461" s="4"/>
    </row>
    <row r="462">
      <c r="A462" s="1">
        <f>IFERROR(__xludf.DUMMYFUNCTION("""COMPUTED_VALUE"""),461.0)</f>
        <v>461</v>
      </c>
      <c r="B462" s="1">
        <f>IFERROR(__xludf.DUMMYFUNCTION("""COMPUTED_VALUE"""),5298.0)</f>
        <v>5298</v>
      </c>
      <c r="C462" s="2" t="str">
        <f>IFERROR(__xludf.DUMMYFUNCTION("""COMPUTED_VALUE"""),"Rizky Pratama")</f>
        <v>Rizky Pratama</v>
      </c>
      <c r="D462" s="2" t="str">
        <f>IFERROR(__xludf.DUMMYFUNCTION("""COMPUTED_VALUE"""),"5KM OVERALL M")</f>
        <v>5KM OVERALL M</v>
      </c>
      <c r="E462" s="1">
        <f>IFERROR(__xludf.DUMMYFUNCTION("""COMPUTED_VALUE"""),310.0)</f>
        <v>310</v>
      </c>
      <c r="F462" s="1" t="str">
        <f>IFERROR(__xludf.DUMMYFUNCTION("""COMPUTED_VALUE"""),"Male")</f>
        <v>Male</v>
      </c>
      <c r="G462" s="5">
        <f>IFERROR(__xludf.DUMMYFUNCTION("""COMPUTED_VALUE"""),0.0056977384259259255)</f>
        <v>0.005697738426</v>
      </c>
      <c r="H462" s="15">
        <f>IFERROR(__xludf.DUMMYFUNCTION("""COMPUTED_VALUE"""),0.2549440625)</f>
        <v>0.2549440625</v>
      </c>
      <c r="I462" s="15">
        <f>IFERROR(__xludf.DUMMYFUNCTION("""COMPUTED_VALUE"""),45949.28343275856)</f>
        <v>45949.28343</v>
      </c>
      <c r="J462" s="15">
        <f>IFERROR(__xludf.DUMMYFUNCTION("""COMPUTED_VALUE"""),45949.02848869606)</f>
        <v>45949.02849</v>
      </c>
      <c r="K462" s="15">
        <f>IFERROR(__xludf.DUMMYFUNCTION("""COMPUTED_VALUE"""),45949.2707072956)</f>
        <v>45949.27071</v>
      </c>
      <c r="L462" s="4"/>
    </row>
    <row r="463">
      <c r="A463" s="1">
        <f>IFERROR(__xludf.DUMMYFUNCTION("""COMPUTED_VALUE"""),462.0)</f>
        <v>462</v>
      </c>
      <c r="B463" s="1">
        <f>IFERROR(__xludf.DUMMYFUNCTION("""COMPUTED_VALUE"""),7045.0)</f>
        <v>7045</v>
      </c>
      <c r="C463" s="2" t="str">
        <f>IFERROR(__xludf.DUMMYFUNCTION("""COMPUTED_VALUE"""),"zaki")</f>
        <v>zaki</v>
      </c>
      <c r="D463" s="2" t="str">
        <f>IFERROR(__xludf.DUMMYFUNCTION("""COMPUTED_VALUE"""),"5KM MASTER M")</f>
        <v>5KM MASTER M</v>
      </c>
      <c r="E463" s="1">
        <f>IFERROR(__xludf.DUMMYFUNCTION("""COMPUTED_VALUE"""),45.0)</f>
        <v>45</v>
      </c>
      <c r="F463" s="1" t="str">
        <f>IFERROR(__xludf.DUMMYFUNCTION("""COMPUTED_VALUE"""),"Male")</f>
        <v>Male</v>
      </c>
      <c r="G463" s="5">
        <f>IFERROR(__xludf.DUMMYFUNCTION("""COMPUTED_VALUE"""),0.005704555555555555)</f>
        <v>0.005704555556</v>
      </c>
      <c r="H463" s="15">
        <f>IFERROR(__xludf.DUMMYFUNCTION("""COMPUTED_VALUE"""),0.2549440625)</f>
        <v>0.2549440625</v>
      </c>
      <c r="I463" s="15">
        <f>IFERROR(__xludf.DUMMYFUNCTION("""COMPUTED_VALUE"""),45949.28346683757)</f>
        <v>45949.28347</v>
      </c>
      <c r="J463" s="15">
        <f>IFERROR(__xludf.DUMMYFUNCTION("""COMPUTED_VALUE"""),45949.02852277507)</f>
        <v>45949.02852</v>
      </c>
      <c r="K463" s="15">
        <f>IFERROR(__xludf.DUMMYFUNCTION("""COMPUTED_VALUE"""),45949.27188102616)</f>
        <v>45949.27188</v>
      </c>
      <c r="L463" s="4"/>
    </row>
    <row r="464">
      <c r="A464" s="1">
        <f>IFERROR(__xludf.DUMMYFUNCTION("""COMPUTED_VALUE"""),463.0)</f>
        <v>463</v>
      </c>
      <c r="B464" s="1">
        <f>IFERROR(__xludf.DUMMYFUNCTION("""COMPUTED_VALUE"""),5229.0)</f>
        <v>5229</v>
      </c>
      <c r="C464" s="2" t="str">
        <f>IFERROR(__xludf.DUMMYFUNCTION("""COMPUTED_VALUE"""),"Dale")</f>
        <v>Dale</v>
      </c>
      <c r="D464" s="2" t="str">
        <f>IFERROR(__xludf.DUMMYFUNCTION("""COMPUTED_VALUE"""),"5KM OVERALL M")</f>
        <v>5KM OVERALL M</v>
      </c>
      <c r="E464" s="1">
        <f>IFERROR(__xludf.DUMMYFUNCTION("""COMPUTED_VALUE"""),311.0)</f>
        <v>311</v>
      </c>
      <c r="F464" s="1" t="str">
        <f>IFERROR(__xludf.DUMMYFUNCTION("""COMPUTED_VALUE"""),"Male")</f>
        <v>Male</v>
      </c>
      <c r="G464" s="5">
        <f>IFERROR(__xludf.DUMMYFUNCTION("""COMPUTED_VALUE"""),0.0057135833333333335)</f>
        <v>0.005713583333</v>
      </c>
      <c r="H464" s="15">
        <f>IFERROR(__xludf.DUMMYFUNCTION("""COMPUTED_VALUE"""),0.2549440625)</f>
        <v>0.2549440625</v>
      </c>
      <c r="I464" s="15">
        <f>IFERROR(__xludf.DUMMYFUNCTION("""COMPUTED_VALUE"""),45949.28351198027)</f>
        <v>45949.28351</v>
      </c>
      <c r="J464" s="15">
        <f>IFERROR(__xludf.DUMMYFUNCTION("""COMPUTED_VALUE"""),45949.02856791777)</f>
        <v>45949.02857</v>
      </c>
      <c r="K464" s="15">
        <f>IFERROR(__xludf.DUMMYFUNCTION("""COMPUTED_VALUE"""),45949.27287393294)</f>
        <v>45949.27287</v>
      </c>
      <c r="L464" s="4"/>
    </row>
    <row r="465">
      <c r="A465" s="1">
        <f>IFERROR(__xludf.DUMMYFUNCTION("""COMPUTED_VALUE"""),464.0)</f>
        <v>464</v>
      </c>
      <c r="B465" s="1">
        <f>IFERROR(__xludf.DUMMYFUNCTION("""COMPUTED_VALUE"""),5796.0)</f>
        <v>5796</v>
      </c>
      <c r="C465" s="2" t="str">
        <f>IFERROR(__xludf.DUMMYFUNCTION("""COMPUTED_VALUE"""),"Syafalia Mentayanti")</f>
        <v>Syafalia Mentayanti</v>
      </c>
      <c r="D465" s="2" t="str">
        <f>IFERROR(__xludf.DUMMYFUNCTION("""COMPUTED_VALUE"""),"5KM OVERALL F")</f>
        <v>5KM OVERALL F</v>
      </c>
      <c r="E465" s="1">
        <f>IFERROR(__xludf.DUMMYFUNCTION("""COMPUTED_VALUE"""),47.0)</f>
        <v>47</v>
      </c>
      <c r="F465" s="1" t="str">
        <f>IFERROR(__xludf.DUMMYFUNCTION("""COMPUTED_VALUE"""),"Female")</f>
        <v>Female</v>
      </c>
      <c r="G465" s="5">
        <f>IFERROR(__xludf.DUMMYFUNCTION("""COMPUTED_VALUE"""),0.005713585648148148)</f>
        <v>0.005713585648</v>
      </c>
      <c r="H465" s="15">
        <f>IFERROR(__xludf.DUMMYFUNCTION("""COMPUTED_VALUE"""),0.2549440625)</f>
        <v>0.2549440625</v>
      </c>
      <c r="I465" s="15">
        <f>IFERROR(__xludf.DUMMYFUNCTION("""COMPUTED_VALUE"""),45949.28351199227)</f>
        <v>45949.28351</v>
      </c>
      <c r="J465" s="15">
        <f>IFERROR(__xludf.DUMMYFUNCTION("""COMPUTED_VALUE"""),45949.02856792977)</f>
        <v>45949.02857</v>
      </c>
      <c r="K465" s="15">
        <f>IFERROR(__xludf.DUMMYFUNCTION("""COMPUTED_VALUE"""),45949.270974625644)</f>
        <v>45949.27097</v>
      </c>
      <c r="L465" s="4"/>
    </row>
    <row r="466">
      <c r="A466" s="1">
        <f>IFERROR(__xludf.DUMMYFUNCTION("""COMPUTED_VALUE"""),465.0)</f>
        <v>465</v>
      </c>
      <c r="B466" s="1">
        <f>IFERROR(__xludf.DUMMYFUNCTION("""COMPUTED_VALUE"""),5115.0)</f>
        <v>5115</v>
      </c>
      <c r="C466" s="2" t="str">
        <f>IFERROR(__xludf.DUMMYFUNCTION("""COMPUTED_VALUE"""),"lusdina")</f>
        <v>lusdina</v>
      </c>
      <c r="D466" s="2" t="str">
        <f>IFERROR(__xludf.DUMMYFUNCTION("""COMPUTED_VALUE"""),"5KM OVERALL F")</f>
        <v>5KM OVERALL F</v>
      </c>
      <c r="E466" s="1">
        <f>IFERROR(__xludf.DUMMYFUNCTION("""COMPUTED_VALUE"""),48.0)</f>
        <v>48</v>
      </c>
      <c r="F466" s="1" t="str">
        <f>IFERROR(__xludf.DUMMYFUNCTION("""COMPUTED_VALUE"""),"Female")</f>
        <v>Female</v>
      </c>
      <c r="G466" s="5">
        <f>IFERROR(__xludf.DUMMYFUNCTION("""COMPUTED_VALUE"""),0.005719127314814815)</f>
        <v>0.005719127315</v>
      </c>
      <c r="H466" s="15">
        <f>IFERROR(__xludf.DUMMYFUNCTION("""COMPUTED_VALUE"""),0.2549440625)</f>
        <v>0.2549440625</v>
      </c>
      <c r="I466" s="15">
        <f>IFERROR(__xludf.DUMMYFUNCTION("""COMPUTED_VALUE"""),45949.28353970326)</f>
        <v>45949.28354</v>
      </c>
      <c r="J466" s="15">
        <f>IFERROR(__xludf.DUMMYFUNCTION("""COMPUTED_VALUE"""),45949.02859564076)</f>
        <v>45949.0286</v>
      </c>
      <c r="K466" s="15">
        <f>IFERROR(__xludf.DUMMYFUNCTION("""COMPUTED_VALUE"""),45949.27159968594)</f>
        <v>45949.2716</v>
      </c>
      <c r="L466" s="4"/>
    </row>
    <row r="467">
      <c r="A467" s="1">
        <f>IFERROR(__xludf.DUMMYFUNCTION("""COMPUTED_VALUE"""),466.0)</f>
        <v>466</v>
      </c>
      <c r="B467" s="1">
        <f>IFERROR(__xludf.DUMMYFUNCTION("""COMPUTED_VALUE"""),5199.0)</f>
        <v>5199</v>
      </c>
      <c r="C467" s="2" t="str">
        <f>IFERROR(__xludf.DUMMYFUNCTION("""COMPUTED_VALUE"""),"enal")</f>
        <v>enal</v>
      </c>
      <c r="D467" s="2" t="str">
        <f>IFERROR(__xludf.DUMMYFUNCTION("""COMPUTED_VALUE"""),"5KM OVERALL M")</f>
        <v>5KM OVERALL M</v>
      </c>
      <c r="E467" s="1">
        <f>IFERROR(__xludf.DUMMYFUNCTION("""COMPUTED_VALUE"""),312.0)</f>
        <v>312</v>
      </c>
      <c r="F467" s="1" t="str">
        <f>IFERROR(__xludf.DUMMYFUNCTION("""COMPUTED_VALUE"""),"Male")</f>
        <v>Male</v>
      </c>
      <c r="G467" s="5">
        <f>IFERROR(__xludf.DUMMYFUNCTION("""COMPUTED_VALUE"""),0.00571912962962963)</f>
        <v>0.00571912963</v>
      </c>
      <c r="H467" s="15">
        <f>IFERROR(__xludf.DUMMYFUNCTION("""COMPUTED_VALUE"""),0.2549440625)</f>
        <v>0.2549440625</v>
      </c>
      <c r="I467" s="15">
        <f>IFERROR(__xludf.DUMMYFUNCTION("""COMPUTED_VALUE"""),45949.28353971498)</f>
        <v>45949.28354</v>
      </c>
      <c r="J467" s="15">
        <f>IFERROR(__xludf.DUMMYFUNCTION("""COMPUTED_VALUE"""),45949.02859565248)</f>
        <v>45949.0286</v>
      </c>
      <c r="K467" s="15">
        <f>IFERROR(__xludf.DUMMYFUNCTION("""COMPUTED_VALUE"""),45949.269714253205)</f>
        <v>45949.26971</v>
      </c>
      <c r="L467" s="4"/>
    </row>
    <row r="468">
      <c r="A468" s="1">
        <f>IFERROR(__xludf.DUMMYFUNCTION("""COMPUTED_VALUE"""),467.0)</f>
        <v>467</v>
      </c>
      <c r="B468" s="1">
        <f>IFERROR(__xludf.DUMMYFUNCTION("""COMPUTED_VALUE"""),5687.0)</f>
        <v>5687</v>
      </c>
      <c r="C468" s="2" t="str">
        <f>IFERROR(__xludf.DUMMYFUNCTION("""COMPUTED_VALUE"""),"GPD")</f>
        <v>GPD</v>
      </c>
      <c r="D468" s="2" t="str">
        <f>IFERROR(__xludf.DUMMYFUNCTION("""COMPUTED_VALUE"""),"5KM OVERALL M")</f>
        <v>5KM OVERALL M</v>
      </c>
      <c r="E468" s="1">
        <f>IFERROR(__xludf.DUMMYFUNCTION("""COMPUTED_VALUE"""),313.0)</f>
        <v>313</v>
      </c>
      <c r="F468" s="1" t="str">
        <f>IFERROR(__xludf.DUMMYFUNCTION("""COMPUTED_VALUE"""),"Male")</f>
        <v>Male</v>
      </c>
      <c r="G468" s="5">
        <f>IFERROR(__xludf.DUMMYFUNCTION("""COMPUTED_VALUE"""),0.005721222222222223)</f>
        <v>0.005721222222</v>
      </c>
      <c r="H468" s="15">
        <f>IFERROR(__xludf.DUMMYFUNCTION("""COMPUTED_VALUE"""),0.2549440625)</f>
        <v>0.2549440625</v>
      </c>
      <c r="I468" s="15">
        <f>IFERROR(__xludf.DUMMYFUNCTION("""COMPUTED_VALUE"""),45949.28355017042)</f>
        <v>45949.28355</v>
      </c>
      <c r="J468" s="15">
        <f>IFERROR(__xludf.DUMMYFUNCTION("""COMPUTED_VALUE"""),45949.02860610792)</f>
        <v>45949.02861</v>
      </c>
      <c r="K468" s="15">
        <f>IFERROR(__xludf.DUMMYFUNCTION("""COMPUTED_VALUE"""),45949.27152344424)</f>
        <v>45949.27152</v>
      </c>
      <c r="L468" s="4"/>
    </row>
    <row r="469">
      <c r="A469" s="1">
        <f>IFERROR(__xludf.DUMMYFUNCTION("""COMPUTED_VALUE"""),468.0)</f>
        <v>468</v>
      </c>
      <c r="B469" s="1">
        <f>IFERROR(__xludf.DUMMYFUNCTION("""COMPUTED_VALUE"""),5374.0)</f>
        <v>5374</v>
      </c>
      <c r="C469" s="2" t="str">
        <f>IFERROR(__xludf.DUMMYFUNCTION("""COMPUTED_VALUE"""),"Andre Senobua'")</f>
        <v>Andre Senobua'</v>
      </c>
      <c r="D469" s="2" t="str">
        <f>IFERROR(__xludf.DUMMYFUNCTION("""COMPUTED_VALUE"""),"5KM OVERALL M")</f>
        <v>5KM OVERALL M</v>
      </c>
      <c r="E469" s="1">
        <f>IFERROR(__xludf.DUMMYFUNCTION("""COMPUTED_VALUE"""),314.0)</f>
        <v>314</v>
      </c>
      <c r="F469" s="1" t="str">
        <f>IFERROR(__xludf.DUMMYFUNCTION("""COMPUTED_VALUE"""),"Male")</f>
        <v>Male</v>
      </c>
      <c r="G469" s="5">
        <f>IFERROR(__xludf.DUMMYFUNCTION("""COMPUTED_VALUE"""),0.005726085648148148)</f>
        <v>0.005726085648</v>
      </c>
      <c r="H469" s="15">
        <f>IFERROR(__xludf.DUMMYFUNCTION("""COMPUTED_VALUE"""),0.2549440625)</f>
        <v>0.2549440625</v>
      </c>
      <c r="I469" s="15">
        <f>IFERROR(__xludf.DUMMYFUNCTION("""COMPUTED_VALUE"""),45949.28357449211)</f>
        <v>45949.28357</v>
      </c>
      <c r="J469" s="15">
        <f>IFERROR(__xludf.DUMMYFUNCTION("""COMPUTED_VALUE"""),45949.02863042961)</f>
        <v>45949.02863</v>
      </c>
      <c r="K469" s="15">
        <f>IFERROR(__xludf.DUMMYFUNCTION("""COMPUTED_VALUE"""),45949.27119682994)</f>
        <v>45949.2712</v>
      </c>
      <c r="L469" s="4"/>
    </row>
    <row r="470">
      <c r="A470" s="1">
        <f>IFERROR(__xludf.DUMMYFUNCTION("""COMPUTED_VALUE"""),469.0)</f>
        <v>469</v>
      </c>
      <c r="B470" s="1">
        <f>IFERROR(__xludf.DUMMYFUNCTION("""COMPUTED_VALUE"""),5966.0)</f>
        <v>5966</v>
      </c>
      <c r="C470" s="2" t="str">
        <f>IFERROR(__xludf.DUMMYFUNCTION("""COMPUTED_VALUE"""),"Muhammad Ari")</f>
        <v>Muhammad Ari</v>
      </c>
      <c r="D470" s="2" t="str">
        <f>IFERROR(__xludf.DUMMYFUNCTION("""COMPUTED_VALUE"""),"5KM OVERALL M")</f>
        <v>5KM OVERALL M</v>
      </c>
      <c r="E470" s="1">
        <f>IFERROR(__xludf.DUMMYFUNCTION("""COMPUTED_VALUE"""),315.0)</f>
        <v>315</v>
      </c>
      <c r="F470" s="1" t="str">
        <f>IFERROR(__xludf.DUMMYFUNCTION("""COMPUTED_VALUE"""),"Male")</f>
        <v>Male</v>
      </c>
      <c r="G470" s="5">
        <f>IFERROR(__xludf.DUMMYFUNCTION("""COMPUTED_VALUE"""),0.005726090277777778)</f>
        <v>0.005726090278</v>
      </c>
      <c r="H470" s="15">
        <f>IFERROR(__xludf.DUMMYFUNCTION("""COMPUTED_VALUE"""),0.2549440625)</f>
        <v>0.2549440625</v>
      </c>
      <c r="I470" s="15">
        <f>IFERROR(__xludf.DUMMYFUNCTION("""COMPUTED_VALUE"""),45949.28357450848)</f>
        <v>45949.28357</v>
      </c>
      <c r="J470" s="15">
        <f>IFERROR(__xludf.DUMMYFUNCTION("""COMPUTED_VALUE"""),45949.02863044598)</f>
        <v>45949.02863</v>
      </c>
      <c r="K470" s="15">
        <f>IFERROR(__xludf.DUMMYFUNCTION("""COMPUTED_VALUE"""),45949.27108223952)</f>
        <v>45949.27108</v>
      </c>
      <c r="L470" s="4"/>
    </row>
    <row r="471">
      <c r="A471" s="1">
        <f>IFERROR(__xludf.DUMMYFUNCTION("""COMPUTED_VALUE"""),470.0)</f>
        <v>470</v>
      </c>
      <c r="B471" s="1">
        <f>IFERROR(__xludf.DUMMYFUNCTION("""COMPUTED_VALUE"""),5592.0)</f>
        <v>5592</v>
      </c>
      <c r="C471" s="2" t="str">
        <f>IFERROR(__xludf.DUMMYFUNCTION("""COMPUTED_VALUE"""),"YUDHIS")</f>
        <v>YUDHIS</v>
      </c>
      <c r="D471" s="2" t="str">
        <f>IFERROR(__xludf.DUMMYFUNCTION("""COMPUTED_VALUE"""),"5KM OVERALL M")</f>
        <v>5KM OVERALL M</v>
      </c>
      <c r="E471" s="1">
        <f>IFERROR(__xludf.DUMMYFUNCTION("""COMPUTED_VALUE"""),316.0)</f>
        <v>316</v>
      </c>
      <c r="F471" s="1" t="str">
        <f>IFERROR(__xludf.DUMMYFUNCTION("""COMPUTED_VALUE"""),"Male")</f>
        <v>Male</v>
      </c>
      <c r="G471" s="5">
        <f>IFERROR(__xludf.DUMMYFUNCTION("""COMPUTED_VALUE"""),0.005731638888888889)</f>
        <v>0.005731638889</v>
      </c>
      <c r="H471" s="15">
        <f>IFERROR(__xludf.DUMMYFUNCTION("""COMPUTED_VALUE"""),0.2549440625)</f>
        <v>0.2549440625</v>
      </c>
      <c r="I471" s="15">
        <f>IFERROR(__xludf.DUMMYFUNCTION("""COMPUTED_VALUE"""),45949.28360226059)</f>
        <v>45949.2836</v>
      </c>
      <c r="J471" s="15">
        <f>IFERROR(__xludf.DUMMYFUNCTION("""COMPUTED_VALUE"""),45949.02865819809)</f>
        <v>45949.02866</v>
      </c>
      <c r="K471" s="15">
        <f>IFERROR(__xludf.DUMMYFUNCTION("""COMPUTED_VALUE"""),45949.27052321079)</f>
        <v>45949.27052</v>
      </c>
      <c r="L471" s="4"/>
    </row>
    <row r="472">
      <c r="A472" s="1">
        <f>IFERROR(__xludf.DUMMYFUNCTION("""COMPUTED_VALUE"""),471.0)</f>
        <v>471</v>
      </c>
      <c r="B472" s="1">
        <f>IFERROR(__xludf.DUMMYFUNCTION("""COMPUTED_VALUE"""),5621.0)</f>
        <v>5621</v>
      </c>
      <c r="C472" s="2" t="str">
        <f>IFERROR(__xludf.DUMMYFUNCTION("""COMPUTED_VALUE"""),"Ranggeh Pambudi")</f>
        <v>Ranggeh Pambudi</v>
      </c>
      <c r="D472" s="2" t="str">
        <f>IFERROR(__xludf.DUMMYFUNCTION("""COMPUTED_VALUE"""),"5KM OVERALL M")</f>
        <v>5KM OVERALL M</v>
      </c>
      <c r="E472" s="1">
        <f>IFERROR(__xludf.DUMMYFUNCTION("""COMPUTED_VALUE"""),317.0)</f>
        <v>317</v>
      </c>
      <c r="F472" s="1" t="str">
        <f>IFERROR(__xludf.DUMMYFUNCTION("""COMPUTED_VALUE"""),"Male")</f>
        <v>Male</v>
      </c>
      <c r="G472" s="5">
        <f>IFERROR(__xludf.DUMMYFUNCTION("""COMPUTED_VALUE"""),0.005742740740740741)</f>
        <v>0.005742740741</v>
      </c>
      <c r="H472" s="15">
        <f>IFERROR(__xludf.DUMMYFUNCTION("""COMPUTED_VALUE"""),0.2549440625)</f>
        <v>0.2549440625</v>
      </c>
      <c r="I472" s="15">
        <f>IFERROR(__xludf.DUMMYFUNCTION("""COMPUTED_VALUE"""),45949.2836577687)</f>
        <v>45949.28366</v>
      </c>
      <c r="J472" s="15">
        <f>IFERROR(__xludf.DUMMYFUNCTION("""COMPUTED_VALUE"""),45949.0287137062)</f>
        <v>45949.02871</v>
      </c>
      <c r="K472" s="15">
        <f>IFERROR(__xludf.DUMMYFUNCTION("""COMPUTED_VALUE"""),45949.27131841749)</f>
        <v>45949.27132</v>
      </c>
      <c r="L472" s="4"/>
    </row>
    <row r="473">
      <c r="A473" s="1">
        <f>IFERROR(__xludf.DUMMYFUNCTION("""COMPUTED_VALUE"""),472.0)</f>
        <v>472</v>
      </c>
      <c r="B473" s="1">
        <f>IFERROR(__xludf.DUMMYFUNCTION("""COMPUTED_VALUE"""),5587.0)</f>
        <v>5587</v>
      </c>
      <c r="C473" s="2" t="str">
        <f>IFERROR(__xludf.DUMMYFUNCTION("""COMPUTED_VALUE"""),"Chindy")</f>
        <v>Chindy</v>
      </c>
      <c r="D473" s="2" t="str">
        <f>IFERROR(__xludf.DUMMYFUNCTION("""COMPUTED_VALUE"""),"5KM OVERALL F")</f>
        <v>5KM OVERALL F</v>
      </c>
      <c r="E473" s="1">
        <f>IFERROR(__xludf.DUMMYFUNCTION("""COMPUTED_VALUE"""),49.0)</f>
        <v>49</v>
      </c>
      <c r="F473" s="1" t="str">
        <f>IFERROR(__xludf.DUMMYFUNCTION("""COMPUTED_VALUE"""),"Female")</f>
        <v>Female</v>
      </c>
      <c r="G473" s="5">
        <f>IFERROR(__xludf.DUMMYFUNCTION("""COMPUTED_VALUE"""),0.005745597222222222)</f>
        <v>0.005745597222</v>
      </c>
      <c r="H473" s="15">
        <f>IFERROR(__xludf.DUMMYFUNCTION("""COMPUTED_VALUE"""),0.2549440625)</f>
        <v>0.2549440625</v>
      </c>
      <c r="I473" s="15">
        <f>IFERROR(__xludf.DUMMYFUNCTION("""COMPUTED_VALUE"""),45949.283672044614)</f>
        <v>45949.28367</v>
      </c>
      <c r="J473" s="15">
        <f>IFERROR(__xludf.DUMMYFUNCTION("""COMPUTED_VALUE"""),45949.02872798211)</f>
        <v>45949.02873</v>
      </c>
      <c r="K473" s="15">
        <f>IFERROR(__xludf.DUMMYFUNCTION("""COMPUTED_VALUE"""),45949.27165523302)</f>
        <v>45949.27166</v>
      </c>
      <c r="L473" s="4"/>
    </row>
    <row r="474">
      <c r="A474" s="1">
        <f>IFERROR(__xludf.DUMMYFUNCTION("""COMPUTED_VALUE"""),473.0)</f>
        <v>473</v>
      </c>
      <c r="B474" s="1">
        <f>IFERROR(__xludf.DUMMYFUNCTION("""COMPUTED_VALUE"""),5617.0)</f>
        <v>5617</v>
      </c>
      <c r="C474" s="2" t="str">
        <f>IFERROR(__xludf.DUMMYFUNCTION("""COMPUTED_VALUE"""),"8BALL")</f>
        <v>8BALL</v>
      </c>
      <c r="D474" s="2" t="str">
        <f>IFERROR(__xludf.DUMMYFUNCTION("""COMPUTED_VALUE"""),"5KM OVERALL M")</f>
        <v>5KM OVERALL M</v>
      </c>
      <c r="E474" s="1">
        <f>IFERROR(__xludf.DUMMYFUNCTION("""COMPUTED_VALUE"""),318.0)</f>
        <v>318</v>
      </c>
      <c r="F474" s="1" t="str">
        <f>IFERROR(__xludf.DUMMYFUNCTION("""COMPUTED_VALUE"""),"Male")</f>
        <v>Male</v>
      </c>
      <c r="G474" s="5">
        <f>IFERROR(__xludf.DUMMYFUNCTION("""COMPUTED_VALUE"""),0.005747611111111111)</f>
        <v>0.005747611111</v>
      </c>
      <c r="H474" s="15">
        <f>IFERROR(__xludf.DUMMYFUNCTION("""COMPUTED_VALUE"""),0.2549440625)</f>
        <v>0.2549440625</v>
      </c>
      <c r="I474" s="15">
        <f>IFERROR(__xludf.DUMMYFUNCTION("""COMPUTED_VALUE"""),45949.283682115376)</f>
        <v>45949.28368</v>
      </c>
      <c r="J474" s="15">
        <f>IFERROR(__xludf.DUMMYFUNCTION("""COMPUTED_VALUE"""),45949.028738052875)</f>
        <v>45949.02874</v>
      </c>
      <c r="K474" s="15">
        <f>IFERROR(__xludf.DUMMYFUNCTION("""COMPUTED_VALUE"""),45949.27102323041)</f>
        <v>45949.27102</v>
      </c>
      <c r="L474" s="4"/>
    </row>
    <row r="475">
      <c r="A475" s="1">
        <f>IFERROR(__xludf.DUMMYFUNCTION("""COMPUTED_VALUE"""),474.0)</f>
        <v>474</v>
      </c>
      <c r="B475" s="1">
        <f>IFERROR(__xludf.DUMMYFUNCTION("""COMPUTED_VALUE"""),5900.0)</f>
        <v>5900</v>
      </c>
      <c r="C475" s="2" t="str">
        <f>IFERROR(__xludf.DUMMYFUNCTION("""COMPUTED_VALUE"""),"farah")</f>
        <v>farah</v>
      </c>
      <c r="D475" s="2" t="str">
        <f>IFERROR(__xludf.DUMMYFUNCTION("""COMPUTED_VALUE"""),"5KM OVERALL F")</f>
        <v>5KM OVERALL F</v>
      </c>
      <c r="E475" s="1">
        <f>IFERROR(__xludf.DUMMYFUNCTION("""COMPUTED_VALUE"""),50.0)</f>
        <v>50</v>
      </c>
      <c r="F475" s="1" t="str">
        <f>IFERROR(__xludf.DUMMYFUNCTION("""COMPUTED_VALUE"""),"Female")</f>
        <v>Female</v>
      </c>
      <c r="G475" s="5">
        <f>IFERROR(__xludf.DUMMYFUNCTION("""COMPUTED_VALUE"""),0.005754557870370371)</f>
        <v>0.00575455787</v>
      </c>
      <c r="H475" s="15">
        <f>IFERROR(__xludf.DUMMYFUNCTION("""COMPUTED_VALUE"""),0.2549440625)</f>
        <v>0.2549440625</v>
      </c>
      <c r="I475" s="15">
        <f>IFERROR(__xludf.DUMMYFUNCTION("""COMPUTED_VALUE"""),45949.2837168522)</f>
        <v>45949.28372</v>
      </c>
      <c r="J475" s="15">
        <f>IFERROR(__xludf.DUMMYFUNCTION("""COMPUTED_VALUE"""),45949.0287727897)</f>
        <v>45949.02877</v>
      </c>
      <c r="K475" s="15">
        <f>IFERROR(__xludf.DUMMYFUNCTION("""COMPUTED_VALUE"""),45949.27086349322)</f>
        <v>45949.27086</v>
      </c>
      <c r="L475" s="4"/>
    </row>
    <row r="476">
      <c r="A476" s="1">
        <f>IFERROR(__xludf.DUMMYFUNCTION("""COMPUTED_VALUE"""),475.0)</f>
        <v>475</v>
      </c>
      <c r="B476" s="1">
        <f>IFERROR(__xludf.DUMMYFUNCTION("""COMPUTED_VALUE"""),6182.0)</f>
        <v>6182</v>
      </c>
      <c r="C476" s="2" t="str">
        <f>IFERROR(__xludf.DUMMYFUNCTION("""COMPUTED_VALUE"""),"MATSUL")</f>
        <v>MATSUL</v>
      </c>
      <c r="D476" s="2" t="str">
        <f>IFERROR(__xludf.DUMMYFUNCTION("""COMPUTED_VALUE"""),"5KM OVERALL M")</f>
        <v>5KM OVERALL M</v>
      </c>
      <c r="E476" s="1">
        <f>IFERROR(__xludf.DUMMYFUNCTION("""COMPUTED_VALUE"""),319.0)</f>
        <v>319</v>
      </c>
      <c r="F476" s="1" t="str">
        <f>IFERROR(__xludf.DUMMYFUNCTION("""COMPUTED_VALUE"""),"Male")</f>
        <v>Male</v>
      </c>
      <c r="G476" s="5">
        <f>IFERROR(__xludf.DUMMYFUNCTION("""COMPUTED_VALUE"""),0.005758724537037037)</f>
        <v>0.005758724537</v>
      </c>
      <c r="H476" s="15">
        <f>IFERROR(__xludf.DUMMYFUNCTION("""COMPUTED_VALUE"""),0.2549440625)</f>
        <v>0.2549440625</v>
      </c>
      <c r="I476" s="15">
        <f>IFERROR(__xludf.DUMMYFUNCTION("""COMPUTED_VALUE"""),45949.283737684986)</f>
        <v>45949.28374</v>
      </c>
      <c r="J476" s="15">
        <f>IFERROR(__xludf.DUMMYFUNCTION("""COMPUTED_VALUE"""),45949.028793622485)</f>
        <v>45949.02879</v>
      </c>
      <c r="K476" s="15">
        <f>IFERROR(__xludf.DUMMYFUNCTION("""COMPUTED_VALUE"""),45949.27082906611)</f>
        <v>45949.27083</v>
      </c>
      <c r="L476" s="4"/>
    </row>
    <row r="477">
      <c r="A477" s="1">
        <f>IFERROR(__xludf.DUMMYFUNCTION("""COMPUTED_VALUE"""),476.0)</f>
        <v>476</v>
      </c>
      <c r="B477" s="7" t="str">
        <f>IFERROR(__xludf.DUMMYFUNCTION("""COMPUTED_VALUE"""),"9069")</f>
        <v>9069</v>
      </c>
      <c r="C477" s="8" t="str">
        <f>IFERROR(__xludf.DUMMYFUNCTION("""COMPUTED_VALUE"""),"Faris")</f>
        <v>Faris</v>
      </c>
      <c r="D477" s="2" t="str">
        <f>IFERROR(__xludf.DUMMYFUNCTION("""COMPUTED_VALUE"""),"5KM STUDENT M")</f>
        <v>5KM STUDENT M</v>
      </c>
      <c r="E477" s="1">
        <f>IFERROR(__xludf.DUMMYFUNCTION("""COMPUTED_VALUE"""),41.0)</f>
        <v>41</v>
      </c>
      <c r="F477" s="1" t="str">
        <f>IFERROR(__xludf.DUMMYFUNCTION("""COMPUTED_VALUE"""),"Male")</f>
        <v>Male</v>
      </c>
      <c r="G477" s="5">
        <f>IFERROR(__xludf.DUMMYFUNCTION("""COMPUTED_VALUE"""),0.005760113425925926)</f>
        <v>0.005760113426</v>
      </c>
      <c r="H477" s="15">
        <f>IFERROR(__xludf.DUMMYFUNCTION("""COMPUTED_VALUE"""),0.2549440625)</f>
        <v>0.2549440625</v>
      </c>
      <c r="I477" s="15">
        <f>IFERROR(__xludf.DUMMYFUNCTION("""COMPUTED_VALUE"""),45949.283744631386)</f>
        <v>45949.28374</v>
      </c>
      <c r="J477" s="15">
        <f>IFERROR(__xludf.DUMMYFUNCTION("""COMPUTED_VALUE"""),45949.028800568885)</f>
        <v>45949.0288</v>
      </c>
      <c r="K477" s="15">
        <f>IFERROR(__xludf.DUMMYFUNCTION("""COMPUTED_VALUE"""),45949.2704373325)</f>
        <v>45949.27044</v>
      </c>
      <c r="L477" s="4"/>
    </row>
    <row r="478">
      <c r="A478" s="1">
        <f>IFERROR(__xludf.DUMMYFUNCTION("""COMPUTED_VALUE"""),477.0)</f>
        <v>477</v>
      </c>
      <c r="B478" s="1">
        <f>IFERROR(__xludf.DUMMYFUNCTION("""COMPUTED_VALUE"""),5886.0)</f>
        <v>5886</v>
      </c>
      <c r="C478" s="2" t="str">
        <f>IFERROR(__xludf.DUMMYFUNCTION("""COMPUTED_VALUE"""),"Arif")</f>
        <v>Arif</v>
      </c>
      <c r="D478" s="2" t="str">
        <f>IFERROR(__xludf.DUMMYFUNCTION("""COMPUTED_VALUE"""),"5KM OVERALL M")</f>
        <v>5KM OVERALL M</v>
      </c>
      <c r="E478" s="1">
        <f>IFERROR(__xludf.DUMMYFUNCTION("""COMPUTED_VALUE"""),320.0)</f>
        <v>320</v>
      </c>
      <c r="F478" s="1" t="str">
        <f>IFERROR(__xludf.DUMMYFUNCTION("""COMPUTED_VALUE"""),"Male")</f>
        <v>Male</v>
      </c>
      <c r="G478" s="5">
        <f>IFERROR(__xludf.DUMMYFUNCTION("""COMPUTED_VALUE"""),0.00576220138888889)</f>
        <v>0.005762201389</v>
      </c>
      <c r="H478" s="15">
        <f>IFERROR(__xludf.DUMMYFUNCTION("""COMPUTED_VALUE"""),0.2549440625)</f>
        <v>0.2549440625</v>
      </c>
      <c r="I478" s="15">
        <f>IFERROR(__xludf.DUMMYFUNCTION("""COMPUTED_VALUE"""),45949.283755066455)</f>
        <v>45949.28376</v>
      </c>
      <c r="J478" s="15">
        <f>IFERROR(__xludf.DUMMYFUNCTION("""COMPUTED_VALUE"""),45949.028811003955)</f>
        <v>45949.02881</v>
      </c>
      <c r="K478" s="15">
        <f>IFERROR(__xludf.DUMMYFUNCTION("""COMPUTED_VALUE"""),45949.26950239378)</f>
        <v>45949.2695</v>
      </c>
      <c r="L478" s="4"/>
    </row>
    <row r="479">
      <c r="A479" s="1">
        <f>IFERROR(__xludf.DUMMYFUNCTION("""COMPUTED_VALUE"""),478.0)</f>
        <v>478</v>
      </c>
      <c r="B479" s="1">
        <f>IFERROR(__xludf.DUMMYFUNCTION("""COMPUTED_VALUE"""),5754.0)</f>
        <v>5754</v>
      </c>
      <c r="C479" s="2" t="str">
        <f>IFERROR(__xludf.DUMMYFUNCTION("""COMPUTED_VALUE"""),"victor pardosi")</f>
        <v>victor pardosi</v>
      </c>
      <c r="D479" s="2" t="str">
        <f>IFERROR(__xludf.DUMMYFUNCTION("""COMPUTED_VALUE"""),"5KM OVERALL M")</f>
        <v>5KM OVERALL M</v>
      </c>
      <c r="E479" s="1">
        <f>IFERROR(__xludf.DUMMYFUNCTION("""COMPUTED_VALUE"""),321.0)</f>
        <v>321</v>
      </c>
      <c r="F479" s="1" t="str">
        <f>IFERROR(__xludf.DUMMYFUNCTION("""COMPUTED_VALUE"""),"Male")</f>
        <v>Male</v>
      </c>
      <c r="G479" s="5">
        <f>IFERROR(__xludf.DUMMYFUNCTION("""COMPUTED_VALUE"""),0.00576220138888889)</f>
        <v>0.005762201389</v>
      </c>
      <c r="H479" s="15">
        <f>IFERROR(__xludf.DUMMYFUNCTION("""COMPUTED_VALUE"""),0.2549440625)</f>
        <v>0.2549440625</v>
      </c>
      <c r="I479" s="15">
        <f>IFERROR(__xludf.DUMMYFUNCTION("""COMPUTED_VALUE"""),45949.283755066455)</f>
        <v>45949.28376</v>
      </c>
      <c r="J479" s="15">
        <f>IFERROR(__xludf.DUMMYFUNCTION("""COMPUTED_VALUE"""),45949.028811003955)</f>
        <v>45949.02881</v>
      </c>
      <c r="K479" s="15">
        <f>IFERROR(__xludf.DUMMYFUNCTION("""COMPUTED_VALUE"""),45949.27222807468)</f>
        <v>45949.27223</v>
      </c>
      <c r="L479" s="4"/>
    </row>
    <row r="480">
      <c r="A480" s="1">
        <f>IFERROR(__xludf.DUMMYFUNCTION("""COMPUTED_VALUE"""),479.0)</f>
        <v>479</v>
      </c>
      <c r="B480" s="1">
        <f>IFERROR(__xludf.DUMMYFUNCTION("""COMPUTED_VALUE"""),5614.0)</f>
        <v>5614</v>
      </c>
      <c r="C480" s="2" t="str">
        <f>IFERROR(__xludf.DUMMYFUNCTION("""COMPUTED_VALUE"""),"rian")</f>
        <v>rian</v>
      </c>
      <c r="D480" s="2" t="str">
        <f>IFERROR(__xludf.DUMMYFUNCTION("""COMPUTED_VALUE"""),"5KM OVERALL M")</f>
        <v>5KM OVERALL M</v>
      </c>
      <c r="E480" s="1">
        <f>IFERROR(__xludf.DUMMYFUNCTION("""COMPUTED_VALUE"""),322.0)</f>
        <v>322</v>
      </c>
      <c r="F480" s="1" t="str">
        <f>IFERROR(__xludf.DUMMYFUNCTION("""COMPUTED_VALUE"""),"Male")</f>
        <v>Male</v>
      </c>
      <c r="G480" s="5">
        <f>IFERROR(__xludf.DUMMYFUNCTION("""COMPUTED_VALUE"""),0.00576220138888889)</f>
        <v>0.005762201389</v>
      </c>
      <c r="H480" s="15">
        <f>IFERROR(__xludf.DUMMYFUNCTION("""COMPUTED_VALUE"""),0.2549440625)</f>
        <v>0.2549440625</v>
      </c>
      <c r="I480" s="15">
        <f>IFERROR(__xludf.DUMMYFUNCTION("""COMPUTED_VALUE"""),45949.283755066455)</f>
        <v>45949.28376</v>
      </c>
      <c r="J480" s="15">
        <f>IFERROR(__xludf.DUMMYFUNCTION("""COMPUTED_VALUE"""),45949.028811003955)</f>
        <v>45949.02881</v>
      </c>
      <c r="K480" s="15">
        <f>IFERROR(__xludf.DUMMYFUNCTION("""COMPUTED_VALUE"""),45949.27256211325)</f>
        <v>45949.27256</v>
      </c>
      <c r="L480" s="4"/>
    </row>
    <row r="481">
      <c r="A481" s="1">
        <f>IFERROR(__xludf.DUMMYFUNCTION("""COMPUTED_VALUE"""),480.0)</f>
        <v>480</v>
      </c>
      <c r="B481" s="1">
        <f>IFERROR(__xludf.DUMMYFUNCTION("""COMPUTED_VALUE"""),6304.0)</f>
        <v>6304</v>
      </c>
      <c r="C481" s="2" t="str">
        <f>IFERROR(__xludf.DUMMYFUNCTION("""COMPUTED_VALUE"""),"Afri Abu Zaid")</f>
        <v>Afri Abu Zaid</v>
      </c>
      <c r="D481" s="2" t="str">
        <f>IFERROR(__xludf.DUMMYFUNCTION("""COMPUTED_VALUE"""),"5KM OVERALL M")</f>
        <v>5KM OVERALL M</v>
      </c>
      <c r="E481" s="1">
        <f>IFERROR(__xludf.DUMMYFUNCTION("""COMPUTED_VALUE"""),323.0)</f>
        <v>323</v>
      </c>
      <c r="F481" s="1" t="str">
        <f>IFERROR(__xludf.DUMMYFUNCTION("""COMPUTED_VALUE"""),"Male")</f>
        <v>Male</v>
      </c>
      <c r="G481" s="5">
        <f>IFERROR(__xludf.DUMMYFUNCTION("""COMPUTED_VALUE"""),0.005765666666666667)</f>
        <v>0.005765666667</v>
      </c>
      <c r="H481" s="15">
        <f>IFERROR(__xludf.DUMMYFUNCTION("""COMPUTED_VALUE"""),0.2549440625)</f>
        <v>0.2549440625</v>
      </c>
      <c r="I481" s="15">
        <f>IFERROR(__xludf.DUMMYFUNCTION("""COMPUTED_VALUE"""),45949.28377239275)</f>
        <v>45949.28377</v>
      </c>
      <c r="J481" s="15">
        <f>IFERROR(__xludf.DUMMYFUNCTION("""COMPUTED_VALUE"""),45949.02882833025)</f>
        <v>45949.02883</v>
      </c>
      <c r="K481" s="15">
        <f>IFERROR(__xludf.DUMMYFUNCTION("""COMPUTED_VALUE"""),45949.27324202554)</f>
        <v>45949.27324</v>
      </c>
      <c r="L481" s="4"/>
    </row>
    <row r="482">
      <c r="A482" s="1">
        <f>IFERROR(__xludf.DUMMYFUNCTION("""COMPUTED_VALUE"""),481.0)</f>
        <v>481</v>
      </c>
      <c r="B482" s="7" t="str">
        <f>IFERROR(__xludf.DUMMYFUNCTION("""COMPUTED_VALUE"""),"9058")</f>
        <v>9058</v>
      </c>
      <c r="C482" s="8" t="str">
        <f>IFERROR(__xludf.DUMMYFUNCTION("""COMPUTED_VALUE"""),"dikss")</f>
        <v>dikss</v>
      </c>
      <c r="D482" s="2" t="str">
        <f>IFERROR(__xludf.DUMMYFUNCTION("""COMPUTED_VALUE"""),"5KM STUDENT M")</f>
        <v>5KM STUDENT M</v>
      </c>
      <c r="E482" s="1">
        <f>IFERROR(__xludf.DUMMYFUNCTION("""COMPUTED_VALUE"""),42.0)</f>
        <v>42</v>
      </c>
      <c r="F482" s="1" t="str">
        <f>IFERROR(__xludf.DUMMYFUNCTION("""COMPUTED_VALUE"""),"Male")</f>
        <v>Male</v>
      </c>
      <c r="G482" s="5">
        <f>IFERROR(__xludf.DUMMYFUNCTION("""COMPUTED_VALUE"""),0.005767738425925926)</f>
        <v>0.005767738426</v>
      </c>
      <c r="H482" s="15">
        <f>IFERROR(__xludf.DUMMYFUNCTION("""COMPUTED_VALUE"""),0.2549440625)</f>
        <v>0.2549440625</v>
      </c>
      <c r="I482" s="15">
        <f>IFERROR(__xludf.DUMMYFUNCTION("""COMPUTED_VALUE"""),45949.283782759594)</f>
        <v>45949.28378</v>
      </c>
      <c r="J482" s="15">
        <f>IFERROR(__xludf.DUMMYFUNCTION("""COMPUTED_VALUE"""),45949.02883869709)</f>
        <v>45949.02884</v>
      </c>
      <c r="K482" s="15">
        <f>IFERROR(__xludf.DUMMYFUNCTION("""COMPUTED_VALUE"""),45949.272405327036)</f>
        <v>45949.27241</v>
      </c>
      <c r="L482" s="4"/>
    </row>
    <row r="483">
      <c r="A483" s="1">
        <f>IFERROR(__xludf.DUMMYFUNCTION("""COMPUTED_VALUE"""),482.0)</f>
        <v>482</v>
      </c>
      <c r="B483" s="1">
        <f>IFERROR(__xludf.DUMMYFUNCTION("""COMPUTED_VALUE"""),6237.0)</f>
        <v>6237</v>
      </c>
      <c r="C483" s="2" t="str">
        <f>IFERROR(__xludf.DUMMYFUNCTION("""COMPUTED_VALUE"""),"nanda")</f>
        <v>nanda</v>
      </c>
      <c r="D483" s="2" t="str">
        <f>IFERROR(__xludf.DUMMYFUNCTION("""COMPUTED_VALUE"""),"5KM OVERALL M")</f>
        <v>5KM OVERALL M</v>
      </c>
      <c r="E483" s="1">
        <f>IFERROR(__xludf.DUMMYFUNCTION("""COMPUTED_VALUE"""),324.0)</f>
        <v>324</v>
      </c>
      <c r="F483" s="1" t="str">
        <f>IFERROR(__xludf.DUMMYFUNCTION("""COMPUTED_VALUE"""),"Male")</f>
        <v>Male</v>
      </c>
      <c r="G483" s="5">
        <f>IFERROR(__xludf.DUMMYFUNCTION("""COMPUTED_VALUE"""),0.005770530092592593)</f>
        <v>0.005770530093</v>
      </c>
      <c r="H483" s="15">
        <f>IFERROR(__xludf.DUMMYFUNCTION("""COMPUTED_VALUE"""),0.2549440625)</f>
        <v>0.2549440625</v>
      </c>
      <c r="I483" s="15">
        <f>IFERROR(__xludf.DUMMYFUNCTION("""COMPUTED_VALUE"""),45949.283796709766)</f>
        <v>45949.2838</v>
      </c>
      <c r="J483" s="15">
        <f>IFERROR(__xludf.DUMMYFUNCTION("""COMPUTED_VALUE"""),45949.028852647265)</f>
        <v>45949.02885</v>
      </c>
      <c r="K483" s="15">
        <f>IFERROR(__xludf.DUMMYFUNCTION("""COMPUTED_VALUE"""),45949.27105448113)</f>
        <v>45949.27105</v>
      </c>
      <c r="L483" s="4"/>
    </row>
    <row r="484">
      <c r="A484" s="1">
        <f>IFERROR(__xludf.DUMMYFUNCTION("""COMPUTED_VALUE"""),483.0)</f>
        <v>483</v>
      </c>
      <c r="B484" s="7" t="str">
        <f>IFERROR(__xludf.DUMMYFUNCTION("""COMPUTED_VALUE"""),"7172")</f>
        <v>7172</v>
      </c>
      <c r="C484" s="8" t="str">
        <f>IFERROR(__xludf.DUMMYFUNCTION("""COMPUTED_VALUE"""),"Riri H2C")</f>
        <v>Riri H2C</v>
      </c>
      <c r="D484" s="2" t="str">
        <f>IFERROR(__xludf.DUMMYFUNCTION("""COMPUTED_VALUE"""),"5KM MASTER M")</f>
        <v>5KM MASTER M</v>
      </c>
      <c r="E484" s="1">
        <f>IFERROR(__xludf.DUMMYFUNCTION("""COMPUTED_VALUE"""),46.0)</f>
        <v>46</v>
      </c>
      <c r="F484" s="1" t="str">
        <f>IFERROR(__xludf.DUMMYFUNCTION("""COMPUTED_VALUE"""),"Male")</f>
        <v>Male</v>
      </c>
      <c r="G484" s="5">
        <f>IFERROR(__xludf.DUMMYFUNCTION("""COMPUTED_VALUE"""),0.005771210648148148)</f>
        <v>0.005771210648</v>
      </c>
      <c r="H484" s="15">
        <f>IFERROR(__xludf.DUMMYFUNCTION("""COMPUTED_VALUE"""),0.2549440625)</f>
        <v>0.2549440625</v>
      </c>
      <c r="I484" s="15">
        <f>IFERROR(__xludf.DUMMYFUNCTION("""COMPUTED_VALUE"""),45949.28380011834)</f>
        <v>45949.2838</v>
      </c>
      <c r="J484" s="15">
        <f>IFERROR(__xludf.DUMMYFUNCTION("""COMPUTED_VALUE"""),45949.02885605584)</f>
        <v>45949.02886</v>
      </c>
      <c r="K484" s="15">
        <f>IFERROR(__xludf.DUMMYFUNCTION("""COMPUTED_VALUE"""),45949.271241963026)</f>
        <v>45949.27124</v>
      </c>
      <c r="L484" s="4"/>
    </row>
    <row r="485">
      <c r="A485" s="1">
        <f>IFERROR(__xludf.DUMMYFUNCTION("""COMPUTED_VALUE"""),484.0)</f>
        <v>484</v>
      </c>
      <c r="B485" s="1">
        <f>IFERROR(__xludf.DUMMYFUNCTION("""COMPUTED_VALUE"""),6052.0)</f>
        <v>6052</v>
      </c>
      <c r="C485" s="2" t="str">
        <f>IFERROR(__xludf.DUMMYFUNCTION("""COMPUTED_VALUE"""),"Nabila")</f>
        <v>Nabila</v>
      </c>
      <c r="D485" s="2" t="str">
        <f>IFERROR(__xludf.DUMMYFUNCTION("""COMPUTED_VALUE"""),"5KM OVERALL F")</f>
        <v>5KM OVERALL F</v>
      </c>
      <c r="E485" s="1">
        <f>IFERROR(__xludf.DUMMYFUNCTION("""COMPUTED_VALUE"""),51.0)</f>
        <v>51</v>
      </c>
      <c r="F485" s="1" t="str">
        <f>IFERROR(__xludf.DUMMYFUNCTION("""COMPUTED_VALUE"""),"Female")</f>
        <v>Female</v>
      </c>
      <c r="G485" s="5">
        <f>IFERROR(__xludf.DUMMYFUNCTION("""COMPUTED_VALUE"""),0.005776777777777778)</f>
        <v>0.005776777778</v>
      </c>
      <c r="H485" s="15">
        <f>IFERROR(__xludf.DUMMYFUNCTION("""COMPUTED_VALUE"""),0.2549440625)</f>
        <v>0.2549440625</v>
      </c>
      <c r="I485" s="15">
        <f>IFERROR(__xludf.DUMMYFUNCTION("""COMPUTED_VALUE"""),45949.28382795618)</f>
        <v>45949.28383</v>
      </c>
      <c r="J485" s="15">
        <f>IFERROR(__xludf.DUMMYFUNCTION("""COMPUTED_VALUE"""),45949.028883893676)</f>
        <v>45949.02888</v>
      </c>
      <c r="K485" s="15">
        <f>IFERROR(__xludf.DUMMYFUNCTION("""COMPUTED_VALUE"""),45949.271721374214)</f>
        <v>45949.27172</v>
      </c>
      <c r="L485" s="4"/>
    </row>
    <row r="486">
      <c r="A486" s="1">
        <f>IFERROR(__xludf.DUMMYFUNCTION("""COMPUTED_VALUE"""),485.0)</f>
        <v>485</v>
      </c>
      <c r="B486" s="1">
        <f>IFERROR(__xludf.DUMMYFUNCTION("""COMPUTED_VALUE"""),6451.0)</f>
        <v>6451</v>
      </c>
      <c r="C486" s="2" t="str">
        <f>IFERROR(__xludf.DUMMYFUNCTION("""COMPUTED_VALUE"""),"HERMAN INDRA SAKTI")</f>
        <v>HERMAN INDRA SAKTI</v>
      </c>
      <c r="D486" s="2" t="str">
        <f>IFERROR(__xludf.DUMMYFUNCTION("""COMPUTED_VALUE"""),"5KM OVERALL M")</f>
        <v>5KM OVERALL M</v>
      </c>
      <c r="E486" s="1">
        <f>IFERROR(__xludf.DUMMYFUNCTION("""COMPUTED_VALUE"""),325.0)</f>
        <v>325</v>
      </c>
      <c r="F486" s="1" t="str">
        <f>IFERROR(__xludf.DUMMYFUNCTION("""COMPUTED_VALUE"""),"Male")</f>
        <v>Male</v>
      </c>
      <c r="G486" s="5">
        <f>IFERROR(__xludf.DUMMYFUNCTION("""COMPUTED_VALUE"""),0.005778166666666667)</f>
        <v>0.005778166667</v>
      </c>
      <c r="H486" s="15">
        <f>IFERROR(__xludf.DUMMYFUNCTION("""COMPUTED_VALUE"""),0.2549440625)</f>
        <v>0.2549440625</v>
      </c>
      <c r="I486" s="15">
        <f>IFERROR(__xludf.DUMMYFUNCTION("""COMPUTED_VALUE"""),45949.28383489934)</f>
        <v>45949.28383</v>
      </c>
      <c r="J486" s="15">
        <f>IFERROR(__xludf.DUMMYFUNCTION("""COMPUTED_VALUE"""),45949.02889083684)</f>
        <v>45949.02889</v>
      </c>
      <c r="K486" s="15">
        <f>IFERROR(__xludf.DUMMYFUNCTION("""COMPUTED_VALUE"""),45949.271339185216)</f>
        <v>45949.27134</v>
      </c>
      <c r="L486" s="4"/>
    </row>
    <row r="487">
      <c r="A487" s="1">
        <f>IFERROR(__xludf.DUMMYFUNCTION("""COMPUTED_VALUE"""),486.0)</f>
        <v>486</v>
      </c>
      <c r="B487" s="1">
        <f>IFERROR(__xludf.DUMMYFUNCTION("""COMPUTED_VALUE"""),7041.0)</f>
        <v>7041</v>
      </c>
      <c r="C487" s="2" t="str">
        <f>IFERROR(__xludf.DUMMYFUNCTION("""COMPUTED_VALUE"""),"JYusua")</f>
        <v>JYusua</v>
      </c>
      <c r="D487" s="2" t="str">
        <f>IFERROR(__xludf.DUMMYFUNCTION("""COMPUTED_VALUE"""),"5KM MASTER M")</f>
        <v>5KM MASTER M</v>
      </c>
      <c r="E487" s="1">
        <f>IFERROR(__xludf.DUMMYFUNCTION("""COMPUTED_VALUE"""),47.0)</f>
        <v>47</v>
      </c>
      <c r="F487" s="1" t="str">
        <f>IFERROR(__xludf.DUMMYFUNCTION("""COMPUTED_VALUE"""),"Male")</f>
        <v>Male</v>
      </c>
      <c r="G487" s="5">
        <f>IFERROR(__xludf.DUMMYFUNCTION("""COMPUTED_VALUE"""),0.005778851851851852)</f>
        <v>0.005778851852</v>
      </c>
      <c r="H487" s="15">
        <f>IFERROR(__xludf.DUMMYFUNCTION("""COMPUTED_VALUE"""),0.2549440625)</f>
        <v>0.2549440625</v>
      </c>
      <c r="I487" s="15">
        <f>IFERROR(__xludf.DUMMYFUNCTION("""COMPUTED_VALUE"""),45949.283838316944)</f>
        <v>45949.28384</v>
      </c>
      <c r="J487" s="15">
        <f>IFERROR(__xludf.DUMMYFUNCTION("""COMPUTED_VALUE"""),45949.02889425444)</f>
        <v>45949.02889</v>
      </c>
      <c r="K487" s="15">
        <f>IFERROR(__xludf.DUMMYFUNCTION("""COMPUTED_VALUE"""),45949.27053362913)</f>
        <v>45949.27053</v>
      </c>
      <c r="L487" s="4"/>
    </row>
    <row r="488">
      <c r="A488" s="1">
        <f>IFERROR(__xludf.DUMMYFUNCTION("""COMPUTED_VALUE"""),487.0)</f>
        <v>487</v>
      </c>
      <c r="B488" s="1">
        <f>IFERROR(__xludf.DUMMYFUNCTION("""COMPUTED_VALUE"""),5096.0)</f>
        <v>5096</v>
      </c>
      <c r="C488" s="2" t="str">
        <f>IFERROR(__xludf.DUMMYFUNCTION("""COMPUTED_VALUE"""),"Bobon phm")</f>
        <v>Bobon phm</v>
      </c>
      <c r="D488" s="2" t="str">
        <f>IFERROR(__xludf.DUMMYFUNCTION("""COMPUTED_VALUE"""),"5KM OVERALL M")</f>
        <v>5KM OVERALL M</v>
      </c>
      <c r="E488" s="1">
        <f>IFERROR(__xludf.DUMMYFUNCTION("""COMPUTED_VALUE"""),326.0)</f>
        <v>326</v>
      </c>
      <c r="F488" s="1" t="str">
        <f>IFERROR(__xludf.DUMMYFUNCTION("""COMPUTED_VALUE"""),"Male")</f>
        <v>Male</v>
      </c>
      <c r="G488" s="5">
        <f>IFERROR(__xludf.DUMMYFUNCTION("""COMPUTED_VALUE"""),0.005778854166666667)</f>
        <v>0.005778854167</v>
      </c>
      <c r="H488" s="15">
        <f>IFERROR(__xludf.DUMMYFUNCTION("""COMPUTED_VALUE"""),0.2549440625)</f>
        <v>0.2549440625</v>
      </c>
      <c r="I488" s="15">
        <f>IFERROR(__xludf.DUMMYFUNCTION("""COMPUTED_VALUE"""),45949.28383832871)</f>
        <v>45949.28384</v>
      </c>
      <c r="J488" s="15">
        <f>IFERROR(__xludf.DUMMYFUNCTION("""COMPUTED_VALUE"""),45949.02889426621)</f>
        <v>45949.02889</v>
      </c>
      <c r="K488" s="15">
        <f>IFERROR(__xludf.DUMMYFUNCTION("""COMPUTED_VALUE"""),45949.270089182784)</f>
        <v>45949.27009</v>
      </c>
      <c r="L488" s="4"/>
    </row>
    <row r="489">
      <c r="A489" s="1">
        <f>IFERROR(__xludf.DUMMYFUNCTION("""COMPUTED_VALUE"""),488.0)</f>
        <v>488</v>
      </c>
      <c r="B489" s="1">
        <f>IFERROR(__xludf.DUMMYFUNCTION("""COMPUTED_VALUE"""),6239.0)</f>
        <v>6239</v>
      </c>
      <c r="C489" s="2" t="str">
        <f>IFERROR(__xludf.DUMMYFUNCTION("""COMPUTED_VALUE"""),"ragilsabekti")</f>
        <v>ragilsabekti</v>
      </c>
      <c r="D489" s="2" t="str">
        <f>IFERROR(__xludf.DUMMYFUNCTION("""COMPUTED_VALUE"""),"5KM OVERALL M")</f>
        <v>5KM OVERALL M</v>
      </c>
      <c r="E489" s="1">
        <f>IFERROR(__xludf.DUMMYFUNCTION("""COMPUTED_VALUE"""),327.0)</f>
        <v>327</v>
      </c>
      <c r="F489" s="1" t="str">
        <f>IFERROR(__xludf.DUMMYFUNCTION("""COMPUTED_VALUE"""),"Male")</f>
        <v>Male</v>
      </c>
      <c r="G489" s="5">
        <f>IFERROR(__xludf.DUMMYFUNCTION("""COMPUTED_VALUE"""),0.0057809444444444445)</f>
        <v>0.005780944444</v>
      </c>
      <c r="H489" s="15">
        <f>IFERROR(__xludf.DUMMYFUNCTION("""COMPUTED_VALUE"""),0.2549440625)</f>
        <v>0.2549440625</v>
      </c>
      <c r="I489" s="15">
        <f>IFERROR(__xludf.DUMMYFUNCTION("""COMPUTED_VALUE"""),45949.28384878535)</f>
        <v>45949.28385</v>
      </c>
      <c r="J489" s="15">
        <f>IFERROR(__xludf.DUMMYFUNCTION("""COMPUTED_VALUE"""),45949.02890472285)</f>
        <v>45949.0289</v>
      </c>
      <c r="K489" s="15">
        <f>IFERROR(__xludf.DUMMYFUNCTION("""COMPUTED_VALUE"""),45949.27282880106)</f>
        <v>45949.27283</v>
      </c>
      <c r="L489" s="4"/>
    </row>
    <row r="490">
      <c r="A490" s="1">
        <f>IFERROR(__xludf.DUMMYFUNCTION("""COMPUTED_VALUE"""),489.0)</f>
        <v>489</v>
      </c>
      <c r="B490" s="1">
        <f>IFERROR(__xludf.DUMMYFUNCTION("""COMPUTED_VALUE"""),7017.0)</f>
        <v>7017</v>
      </c>
      <c r="C490" s="2" t="str">
        <f>IFERROR(__xludf.DUMMYFUNCTION("""COMPUTED_VALUE"""),"Younai")</f>
        <v>Younai</v>
      </c>
      <c r="D490" s="2" t="str">
        <f>IFERROR(__xludf.DUMMYFUNCTION("""COMPUTED_VALUE"""),"5KM MASTER M")</f>
        <v>5KM MASTER M</v>
      </c>
      <c r="E490" s="1">
        <f>IFERROR(__xludf.DUMMYFUNCTION("""COMPUTED_VALUE"""),48.0)</f>
        <v>48</v>
      </c>
      <c r="F490" s="1" t="str">
        <f>IFERROR(__xludf.DUMMYFUNCTION("""COMPUTED_VALUE"""),"Male")</f>
        <v>Male</v>
      </c>
      <c r="G490" s="5">
        <f>IFERROR(__xludf.DUMMYFUNCTION("""COMPUTED_VALUE"""),0.005781641203703703)</f>
        <v>0.005781641204</v>
      </c>
      <c r="H490" s="15">
        <f>IFERROR(__xludf.DUMMYFUNCTION("""COMPUTED_VALUE"""),0.2549440625)</f>
        <v>0.2549440625</v>
      </c>
      <c r="I490" s="15">
        <f>IFERROR(__xludf.DUMMYFUNCTION("""COMPUTED_VALUE"""),45949.28385226982)</f>
        <v>45949.28385</v>
      </c>
      <c r="J490" s="15">
        <f>IFERROR(__xludf.DUMMYFUNCTION("""COMPUTED_VALUE"""),45949.02890820732)</f>
        <v>45949.02891</v>
      </c>
      <c r="K490" s="15">
        <f>IFERROR(__xludf.DUMMYFUNCTION("""COMPUTED_VALUE"""),45949.271662167004)</f>
        <v>45949.27166</v>
      </c>
      <c r="L490" s="4"/>
    </row>
    <row r="491">
      <c r="A491" s="1">
        <f>IFERROR(__xludf.DUMMYFUNCTION("""COMPUTED_VALUE"""),490.0)</f>
        <v>490</v>
      </c>
      <c r="B491" s="1">
        <f>IFERROR(__xludf.DUMMYFUNCTION("""COMPUTED_VALUE"""),6389.0)</f>
        <v>6389</v>
      </c>
      <c r="C491" s="2" t="str">
        <f>IFERROR(__xludf.DUMMYFUNCTION("""COMPUTED_VALUE"""),"catuy")</f>
        <v>catuy</v>
      </c>
      <c r="D491" s="2" t="str">
        <f>IFERROR(__xludf.DUMMYFUNCTION("""COMPUTED_VALUE"""),"5KM OVERALL M")</f>
        <v>5KM OVERALL M</v>
      </c>
      <c r="E491" s="1">
        <f>IFERROR(__xludf.DUMMYFUNCTION("""COMPUTED_VALUE"""),328.0)</f>
        <v>328</v>
      </c>
      <c r="F491" s="1" t="str">
        <f>IFERROR(__xludf.DUMMYFUNCTION("""COMPUTED_VALUE"""),"Male")</f>
        <v>Male</v>
      </c>
      <c r="G491" s="5">
        <f>IFERROR(__xludf.DUMMYFUNCTION("""COMPUTED_VALUE"""),0.005782337962962963)</f>
        <v>0.005782337963</v>
      </c>
      <c r="H491" s="15">
        <f>IFERROR(__xludf.DUMMYFUNCTION("""COMPUTED_VALUE"""),0.2549440625)</f>
        <v>0.2549440625</v>
      </c>
      <c r="I491" s="15">
        <f>IFERROR(__xludf.DUMMYFUNCTION("""COMPUTED_VALUE"""),45949.283855747024)</f>
        <v>45949.28386</v>
      </c>
      <c r="J491" s="15">
        <f>IFERROR(__xludf.DUMMYFUNCTION("""COMPUTED_VALUE"""),45949.02891168452)</f>
        <v>45949.02891</v>
      </c>
      <c r="K491" s="15">
        <f>IFERROR(__xludf.DUMMYFUNCTION("""COMPUTED_VALUE"""),45949.271519806)</f>
        <v>45949.27152</v>
      </c>
      <c r="L491" s="4"/>
    </row>
    <row r="492">
      <c r="A492" s="1">
        <f>IFERROR(__xludf.DUMMYFUNCTION("""COMPUTED_VALUE"""),491.0)</f>
        <v>491</v>
      </c>
      <c r="B492" s="1">
        <f>IFERROR(__xludf.DUMMYFUNCTION("""COMPUTED_VALUE"""),7046.0)</f>
        <v>7046</v>
      </c>
      <c r="C492" s="2" t="str">
        <f>IFERROR(__xludf.DUMMYFUNCTION("""COMPUTED_VALUE"""),"iman")</f>
        <v>iman</v>
      </c>
      <c r="D492" s="2" t="str">
        <f>IFERROR(__xludf.DUMMYFUNCTION("""COMPUTED_VALUE"""),"5KM MASTER M")</f>
        <v>5KM MASTER M</v>
      </c>
      <c r="E492" s="1">
        <f>IFERROR(__xludf.DUMMYFUNCTION("""COMPUTED_VALUE"""),49.0)</f>
        <v>49</v>
      </c>
      <c r="F492" s="1" t="str">
        <f>IFERROR(__xludf.DUMMYFUNCTION("""COMPUTED_VALUE"""),"Male")</f>
        <v>Male</v>
      </c>
      <c r="G492" s="5">
        <f>IFERROR(__xludf.DUMMYFUNCTION("""COMPUTED_VALUE"""),0.005784416666666666)</f>
        <v>0.005784416667</v>
      </c>
      <c r="H492" s="15">
        <f>IFERROR(__xludf.DUMMYFUNCTION("""COMPUTED_VALUE"""),0.2549440625)</f>
        <v>0.2549440625</v>
      </c>
      <c r="I492" s="15">
        <f>IFERROR(__xludf.DUMMYFUNCTION("""COMPUTED_VALUE"""),45949.28386614586)</f>
        <v>45949.28387</v>
      </c>
      <c r="J492" s="15">
        <f>IFERROR(__xludf.DUMMYFUNCTION("""COMPUTED_VALUE"""),45949.02892208336)</f>
        <v>45949.02892</v>
      </c>
      <c r="K492" s="15">
        <f>IFERROR(__xludf.DUMMYFUNCTION("""COMPUTED_VALUE"""),45949.27259616738)</f>
        <v>45949.2726</v>
      </c>
      <c r="L492" s="4"/>
    </row>
    <row r="493">
      <c r="A493" s="1">
        <f>IFERROR(__xludf.DUMMYFUNCTION("""COMPUTED_VALUE"""),492.0)</f>
        <v>492</v>
      </c>
      <c r="B493" s="1">
        <f>IFERROR(__xludf.DUMMYFUNCTION("""COMPUTED_VALUE"""),5829.0)</f>
        <v>5829</v>
      </c>
      <c r="C493" s="2" t="str">
        <f>IFERROR(__xludf.DUMMYFUNCTION("""COMPUTED_VALUE"""),"aspan ahmad")</f>
        <v>aspan ahmad</v>
      </c>
      <c r="D493" s="2" t="str">
        <f>IFERROR(__xludf.DUMMYFUNCTION("""COMPUTED_VALUE"""),"5KM OVERALL M")</f>
        <v>5KM OVERALL M</v>
      </c>
      <c r="E493" s="1">
        <f>IFERROR(__xludf.DUMMYFUNCTION("""COMPUTED_VALUE"""),329.0)</f>
        <v>329</v>
      </c>
      <c r="F493" s="1" t="str">
        <f>IFERROR(__xludf.DUMMYFUNCTION("""COMPUTED_VALUE"""),"Male")</f>
        <v>Male</v>
      </c>
      <c r="G493" s="5">
        <f>IFERROR(__xludf.DUMMYFUNCTION("""COMPUTED_VALUE"""),0.005787196759259259)</f>
        <v>0.005787196759</v>
      </c>
      <c r="H493" s="15">
        <f>IFERROR(__xludf.DUMMYFUNCTION("""COMPUTED_VALUE"""),0.2549440625)</f>
        <v>0.2549440625</v>
      </c>
      <c r="I493" s="15">
        <f>IFERROR(__xludf.DUMMYFUNCTION("""COMPUTED_VALUE"""),45949.28388005205)</f>
        <v>45949.28388</v>
      </c>
      <c r="J493" s="15">
        <f>IFERROR(__xludf.DUMMYFUNCTION("""COMPUTED_VALUE"""),45949.02893598955)</f>
        <v>45949.02894</v>
      </c>
      <c r="K493" s="15">
        <f>IFERROR(__xludf.DUMMYFUNCTION("""COMPUTED_VALUE"""),45949.27195730883)</f>
        <v>45949.27196</v>
      </c>
      <c r="L493" s="4"/>
    </row>
    <row r="494">
      <c r="A494" s="1">
        <f>IFERROR(__xludf.DUMMYFUNCTION("""COMPUTED_VALUE"""),493.0)</f>
        <v>493</v>
      </c>
      <c r="B494" s="1">
        <f>IFERROR(__xludf.DUMMYFUNCTION("""COMPUTED_VALUE"""),5983.0)</f>
        <v>5983</v>
      </c>
      <c r="C494" s="2" t="str">
        <f>IFERROR(__xludf.DUMMYFUNCTION("""COMPUTED_VALUE"""),"Safri YR")</f>
        <v>Safri YR</v>
      </c>
      <c r="D494" s="2" t="str">
        <f>IFERROR(__xludf.DUMMYFUNCTION("""COMPUTED_VALUE"""),"5KM OVERALL M")</f>
        <v>5KM OVERALL M</v>
      </c>
      <c r="E494" s="1">
        <f>IFERROR(__xludf.DUMMYFUNCTION("""COMPUTED_VALUE"""),330.0)</f>
        <v>330</v>
      </c>
      <c r="F494" s="1" t="str">
        <f>IFERROR(__xludf.DUMMYFUNCTION("""COMPUTED_VALUE"""),"Male")</f>
        <v>Male</v>
      </c>
      <c r="G494" s="5">
        <f>IFERROR(__xludf.DUMMYFUNCTION("""COMPUTED_VALUE"""),0.005787891203703704)</f>
        <v>0.005787891204</v>
      </c>
      <c r="H494" s="15">
        <f>IFERROR(__xludf.DUMMYFUNCTION("""COMPUTED_VALUE"""),0.2549440625)</f>
        <v>0.2549440625</v>
      </c>
      <c r="I494" s="15">
        <f>IFERROR(__xludf.DUMMYFUNCTION("""COMPUTED_VALUE"""),45949.28388352221)</f>
        <v>45949.28388</v>
      </c>
      <c r="J494" s="15">
        <f>IFERROR(__xludf.DUMMYFUNCTION("""COMPUTED_VALUE"""),45949.028939459706)</f>
        <v>45949.02894</v>
      </c>
      <c r="K494" s="15">
        <f>IFERROR(__xludf.DUMMYFUNCTION("""COMPUTED_VALUE"""),45949.27094689528)</f>
        <v>45949.27095</v>
      </c>
      <c r="L494" s="4"/>
    </row>
    <row r="495">
      <c r="A495" s="1">
        <f>IFERROR(__xludf.DUMMYFUNCTION("""COMPUTED_VALUE"""),494.0)</f>
        <v>494</v>
      </c>
      <c r="B495" s="1">
        <f>IFERROR(__xludf.DUMMYFUNCTION("""COMPUTED_VALUE"""),5349.0)</f>
        <v>5349</v>
      </c>
      <c r="C495" s="2" t="str">
        <f>IFERROR(__xludf.DUMMYFUNCTION("""COMPUTED_VALUE"""),"Yusuf AP")</f>
        <v>Yusuf AP</v>
      </c>
      <c r="D495" s="2" t="str">
        <f>IFERROR(__xludf.DUMMYFUNCTION("""COMPUTED_VALUE"""),"5KM OVERALL M")</f>
        <v>5KM OVERALL M</v>
      </c>
      <c r="E495" s="1">
        <f>IFERROR(__xludf.DUMMYFUNCTION("""COMPUTED_VALUE"""),331.0)</f>
        <v>331</v>
      </c>
      <c r="F495" s="1" t="str">
        <f>IFERROR(__xludf.DUMMYFUNCTION("""COMPUTED_VALUE"""),"Male")</f>
        <v>Male</v>
      </c>
      <c r="G495" s="5">
        <f>IFERROR(__xludf.DUMMYFUNCTION("""COMPUTED_VALUE"""),0.005787891203703704)</f>
        <v>0.005787891204</v>
      </c>
      <c r="H495" s="15">
        <f>IFERROR(__xludf.DUMMYFUNCTION("""COMPUTED_VALUE"""),0.2549440625)</f>
        <v>0.2549440625</v>
      </c>
      <c r="I495" s="15">
        <f>IFERROR(__xludf.DUMMYFUNCTION("""COMPUTED_VALUE"""),45949.28388352221)</f>
        <v>45949.28388</v>
      </c>
      <c r="J495" s="15">
        <f>IFERROR(__xludf.DUMMYFUNCTION("""COMPUTED_VALUE"""),45949.028939459706)</f>
        <v>45949.02894</v>
      </c>
      <c r="K495" s="15">
        <f>IFERROR(__xludf.DUMMYFUNCTION("""COMPUTED_VALUE"""),45949.27325955877)</f>
        <v>45949.27326</v>
      </c>
      <c r="L495" s="4"/>
    </row>
    <row r="496">
      <c r="A496" s="1">
        <f>IFERROR(__xludf.DUMMYFUNCTION("""COMPUTED_VALUE"""),495.0)</f>
        <v>495</v>
      </c>
      <c r="B496" s="1">
        <f>IFERROR(__xludf.DUMMYFUNCTION("""COMPUTED_VALUE"""),6488.0)</f>
        <v>6488</v>
      </c>
      <c r="C496" s="2" t="str">
        <f>IFERROR(__xludf.DUMMYFUNCTION("""COMPUTED_VALUE"""),"WALIKOTA BANJARBARU")</f>
        <v>WALIKOTA BANJARBARU</v>
      </c>
      <c r="D496" s="2" t="str">
        <f>IFERROR(__xludf.DUMMYFUNCTION("""COMPUTED_VALUE"""),"5KM OVERALL M")</f>
        <v>5KM OVERALL M</v>
      </c>
      <c r="E496" s="1">
        <f>IFERROR(__xludf.DUMMYFUNCTION("""COMPUTED_VALUE"""),332.0)</f>
        <v>332</v>
      </c>
      <c r="F496" s="1" t="str">
        <f>IFERROR(__xludf.DUMMYFUNCTION("""COMPUTED_VALUE"""),"Male")</f>
        <v>Male</v>
      </c>
      <c r="G496" s="5">
        <f>IFERROR(__xludf.DUMMYFUNCTION("""COMPUTED_VALUE"""),0.005789972222222222)</f>
        <v>0.005789972222</v>
      </c>
      <c r="H496" s="15">
        <f>IFERROR(__xludf.DUMMYFUNCTION("""COMPUTED_VALUE"""),0.2549440625)</f>
        <v>0.2549440625</v>
      </c>
      <c r="I496" s="15">
        <f>IFERROR(__xludf.DUMMYFUNCTION("""COMPUTED_VALUE"""),45949.28389392154)</f>
        <v>45949.28389</v>
      </c>
      <c r="J496" s="15">
        <f>IFERROR(__xludf.DUMMYFUNCTION("""COMPUTED_VALUE"""),45949.02894985904)</f>
        <v>45949.02895</v>
      </c>
      <c r="K496" s="15">
        <f>IFERROR(__xludf.DUMMYFUNCTION("""COMPUTED_VALUE"""),45950.272314814814)</f>
        <v>45950.27231</v>
      </c>
      <c r="L496" s="4" t="str">
        <f>IFERROR(__xludf.DUMMYFUNCTION("""COMPUTED_VALUE"""),"C")</f>
        <v>C</v>
      </c>
    </row>
    <row r="497">
      <c r="A497" s="1">
        <f>IFERROR(__xludf.DUMMYFUNCTION("""COMPUTED_VALUE"""),496.0)</f>
        <v>496</v>
      </c>
      <c r="B497" s="1">
        <f>IFERROR(__xludf.DUMMYFUNCTION("""COMPUTED_VALUE"""),6335.0)</f>
        <v>6335</v>
      </c>
      <c r="C497" s="2" t="str">
        <f>IFERROR(__xludf.DUMMYFUNCTION("""COMPUTED_VALUE"""),"Cak Adhi")</f>
        <v>Cak Adhi</v>
      </c>
      <c r="D497" s="2" t="str">
        <f>IFERROR(__xludf.DUMMYFUNCTION("""COMPUTED_VALUE"""),"5KM OVERALL M")</f>
        <v>5KM OVERALL M</v>
      </c>
      <c r="E497" s="1">
        <f>IFERROR(__xludf.DUMMYFUNCTION("""COMPUTED_VALUE"""),333.0)</f>
        <v>333</v>
      </c>
      <c r="F497" s="1" t="str">
        <f>IFERROR(__xludf.DUMMYFUNCTION("""COMPUTED_VALUE"""),"Male")</f>
        <v>Male</v>
      </c>
      <c r="G497" s="5">
        <f>IFERROR(__xludf.DUMMYFUNCTION("""COMPUTED_VALUE"""),0.005789974537037036)</f>
        <v>0.005789974537</v>
      </c>
      <c r="H497" s="15">
        <f>IFERROR(__xludf.DUMMYFUNCTION("""COMPUTED_VALUE"""),0.2549440625)</f>
        <v>0.2549440625</v>
      </c>
      <c r="I497" s="15">
        <f>IFERROR(__xludf.DUMMYFUNCTION("""COMPUTED_VALUE"""),45949.28389393362)</f>
        <v>45949.28389</v>
      </c>
      <c r="J497" s="15">
        <f>IFERROR(__xludf.DUMMYFUNCTION("""COMPUTED_VALUE"""),45949.02894987112)</f>
        <v>45949.02895</v>
      </c>
      <c r="K497" s="15">
        <f>IFERROR(__xludf.DUMMYFUNCTION("""COMPUTED_VALUE"""),45949.27327703763)</f>
        <v>45949.27328</v>
      </c>
      <c r="L497" s="4"/>
    </row>
    <row r="498">
      <c r="A498" s="1">
        <f>IFERROR(__xludf.DUMMYFUNCTION("""COMPUTED_VALUE"""),497.0)</f>
        <v>497</v>
      </c>
      <c r="B498" s="1">
        <f>IFERROR(__xludf.DUMMYFUNCTION("""COMPUTED_VALUE"""),6246.0)</f>
        <v>6246</v>
      </c>
      <c r="C498" s="2" t="str">
        <f>IFERROR(__xludf.DUMMYFUNCTION("""COMPUTED_VALUE"""),"Rafi")</f>
        <v>Rafi</v>
      </c>
      <c r="D498" s="2" t="str">
        <f>IFERROR(__xludf.DUMMYFUNCTION("""COMPUTED_VALUE"""),"5KM OVERALL M")</f>
        <v>5KM OVERALL M</v>
      </c>
      <c r="E498" s="1">
        <f>IFERROR(__xludf.DUMMYFUNCTION("""COMPUTED_VALUE"""),334.0)</f>
        <v>334</v>
      </c>
      <c r="F498" s="1" t="str">
        <f>IFERROR(__xludf.DUMMYFUNCTION("""COMPUTED_VALUE"""),"Male")</f>
        <v>Male</v>
      </c>
      <c r="G498" s="5">
        <f>IFERROR(__xludf.DUMMYFUNCTION("""COMPUTED_VALUE"""),0.005789974537037036)</f>
        <v>0.005789974537</v>
      </c>
      <c r="H498" s="15">
        <f>IFERROR(__xludf.DUMMYFUNCTION("""COMPUTED_VALUE"""),0.2549440625)</f>
        <v>0.2549440625</v>
      </c>
      <c r="I498" s="15">
        <f>IFERROR(__xludf.DUMMYFUNCTION("""COMPUTED_VALUE"""),45949.28389393362)</f>
        <v>45949.28389</v>
      </c>
      <c r="J498" s="15">
        <f>IFERROR(__xludf.DUMMYFUNCTION("""COMPUTED_VALUE"""),45949.02894987112)</f>
        <v>45949.02895</v>
      </c>
      <c r="K498" s="15">
        <f>IFERROR(__xludf.DUMMYFUNCTION("""COMPUTED_VALUE"""),45949.271894745776)</f>
        <v>45949.27189</v>
      </c>
      <c r="L498" s="4"/>
    </row>
    <row r="499">
      <c r="A499" s="1">
        <f>IFERROR(__xludf.DUMMYFUNCTION("""COMPUTED_VALUE"""),498.0)</f>
        <v>498</v>
      </c>
      <c r="B499" s="1">
        <f>IFERROR(__xludf.DUMMYFUNCTION("""COMPUTED_VALUE"""),5169.0)</f>
        <v>5169</v>
      </c>
      <c r="C499" s="2" t="str">
        <f>IFERROR(__xludf.DUMMYFUNCTION("""COMPUTED_VALUE"""),"Celcius")</f>
        <v>Celcius</v>
      </c>
      <c r="D499" s="2" t="str">
        <f>IFERROR(__xludf.DUMMYFUNCTION("""COMPUTED_VALUE"""),"5KM OVERALL M")</f>
        <v>5KM OVERALL M</v>
      </c>
      <c r="E499" s="1">
        <f>IFERROR(__xludf.DUMMYFUNCTION("""COMPUTED_VALUE"""),335.0)</f>
        <v>335</v>
      </c>
      <c r="F499" s="1" t="str">
        <f>IFERROR(__xludf.DUMMYFUNCTION("""COMPUTED_VALUE"""),"Male")</f>
        <v>Male</v>
      </c>
      <c r="G499" s="5">
        <f>IFERROR(__xludf.DUMMYFUNCTION("""COMPUTED_VALUE"""),0.005791363425925926)</f>
        <v>0.005791363426</v>
      </c>
      <c r="H499" s="15">
        <f>IFERROR(__xludf.DUMMYFUNCTION("""COMPUTED_VALUE"""),0.2549440625)</f>
        <v>0.2549440625</v>
      </c>
      <c r="I499" s="15">
        <f>IFERROR(__xludf.DUMMYFUNCTION("""COMPUTED_VALUE"""),45949.28390088492)</f>
        <v>45949.2839</v>
      </c>
      <c r="J499" s="15">
        <f>IFERROR(__xludf.DUMMYFUNCTION("""COMPUTED_VALUE"""),45949.02895682242)</f>
        <v>45949.02896</v>
      </c>
      <c r="K499" s="15">
        <f>IFERROR(__xludf.DUMMYFUNCTION("""COMPUTED_VALUE"""),45949.270842660175)</f>
        <v>45949.27084</v>
      </c>
      <c r="L499" s="4"/>
    </row>
    <row r="500">
      <c r="A500" s="1">
        <f>IFERROR(__xludf.DUMMYFUNCTION("""COMPUTED_VALUE"""),499.0)</f>
        <v>499</v>
      </c>
      <c r="B500" s="1">
        <f>IFERROR(__xludf.DUMMYFUNCTION("""COMPUTED_VALUE"""),6503.0)</f>
        <v>6503</v>
      </c>
      <c r="C500" s="2" t="str">
        <f>IFERROR(__xludf.DUMMYFUNCTION("""COMPUTED_VALUE"""),"ANGKASA PURA")</f>
        <v>ANGKASA PURA</v>
      </c>
      <c r="D500" s="2" t="str">
        <f>IFERROR(__xludf.DUMMYFUNCTION("""COMPUTED_VALUE"""),"5KM OVERALL M")</f>
        <v>5KM OVERALL M</v>
      </c>
      <c r="E500" s="1">
        <f>IFERROR(__xludf.DUMMYFUNCTION("""COMPUTED_VALUE"""),336.0)</f>
        <v>336</v>
      </c>
      <c r="F500" s="1" t="str">
        <f>IFERROR(__xludf.DUMMYFUNCTION("""COMPUTED_VALUE"""),"Male")</f>
        <v>Male</v>
      </c>
      <c r="G500" s="5">
        <f>IFERROR(__xludf.DUMMYFUNCTION("""COMPUTED_VALUE"""),0.005802472222222223)</f>
        <v>0.005802472222</v>
      </c>
      <c r="H500" s="15">
        <f>IFERROR(__xludf.DUMMYFUNCTION("""COMPUTED_VALUE"""),0.2549440625)</f>
        <v>0.2549440625</v>
      </c>
      <c r="I500" s="15">
        <f>IFERROR(__xludf.DUMMYFUNCTION("""COMPUTED_VALUE"""),45949.28395642155)</f>
        <v>45949.28396</v>
      </c>
      <c r="J500" s="15">
        <f>IFERROR(__xludf.DUMMYFUNCTION("""COMPUTED_VALUE"""),45949.029012359046)</f>
        <v>45949.02901</v>
      </c>
      <c r="K500" s="15">
        <f>IFERROR(__xludf.DUMMYFUNCTION("""COMPUTED_VALUE"""),45950.27234953704)</f>
        <v>45950.27235</v>
      </c>
      <c r="L500" s="4" t="str">
        <f>IFERROR(__xludf.DUMMYFUNCTION("""COMPUTED_VALUE"""),"C")</f>
        <v>C</v>
      </c>
    </row>
    <row r="501">
      <c r="A501" s="1">
        <f>IFERROR(__xludf.DUMMYFUNCTION("""COMPUTED_VALUE"""),500.0)</f>
        <v>500</v>
      </c>
      <c r="B501" s="1">
        <f>IFERROR(__xludf.DUMMYFUNCTION("""COMPUTED_VALUE"""),5588.0)</f>
        <v>5588</v>
      </c>
      <c r="C501" s="2" t="str">
        <f>IFERROR(__xludf.DUMMYFUNCTION("""COMPUTED_VALUE"""),"iwan shinoda")</f>
        <v>iwan shinoda</v>
      </c>
      <c r="D501" s="2" t="str">
        <f>IFERROR(__xludf.DUMMYFUNCTION("""COMPUTED_VALUE"""),"5KM OVERALL M")</f>
        <v>5KM OVERALL M</v>
      </c>
      <c r="E501" s="1">
        <f>IFERROR(__xludf.DUMMYFUNCTION("""COMPUTED_VALUE"""),337.0)</f>
        <v>337</v>
      </c>
      <c r="F501" s="1" t="str">
        <f>IFERROR(__xludf.DUMMYFUNCTION("""COMPUTED_VALUE"""),"Male")</f>
        <v>Male</v>
      </c>
      <c r="G501" s="5">
        <f>IFERROR(__xludf.DUMMYFUNCTION("""COMPUTED_VALUE"""),0.005811500000000001)</f>
        <v>0.0058115</v>
      </c>
      <c r="H501" s="15">
        <f>IFERROR(__xludf.DUMMYFUNCTION("""COMPUTED_VALUE"""),0.2549440625)</f>
        <v>0.2549440625</v>
      </c>
      <c r="I501" s="15">
        <f>IFERROR(__xludf.DUMMYFUNCTION("""COMPUTED_VALUE"""),45949.28400156008)</f>
        <v>45949.284</v>
      </c>
      <c r="J501" s="15">
        <f>IFERROR(__xludf.DUMMYFUNCTION("""COMPUTED_VALUE"""),45949.02905749758)</f>
        <v>45949.02906</v>
      </c>
      <c r="K501" s="15">
        <f>IFERROR(__xludf.DUMMYFUNCTION("""COMPUTED_VALUE"""),45949.27146108534)</f>
        <v>45949.27146</v>
      </c>
      <c r="L501" s="4"/>
    </row>
    <row r="502">
      <c r="A502" s="1">
        <f>IFERROR(__xludf.DUMMYFUNCTION("""COMPUTED_VALUE"""),501.0)</f>
        <v>501</v>
      </c>
      <c r="B502" s="1">
        <f>IFERROR(__xludf.DUMMYFUNCTION("""COMPUTED_VALUE"""),5715.0)</f>
        <v>5715</v>
      </c>
      <c r="C502" s="2" t="str">
        <f>IFERROR(__xludf.DUMMYFUNCTION("""COMPUTED_VALUE"""),"Annisa Apriliyanti")</f>
        <v>Annisa Apriliyanti</v>
      </c>
      <c r="D502" s="2" t="str">
        <f>IFERROR(__xludf.DUMMYFUNCTION("""COMPUTED_VALUE"""),"5KM OVERALL F")</f>
        <v>5KM OVERALL F</v>
      </c>
      <c r="E502" s="1">
        <f>IFERROR(__xludf.DUMMYFUNCTION("""COMPUTED_VALUE"""),52.0)</f>
        <v>52</v>
      </c>
      <c r="F502" s="1" t="str">
        <f>IFERROR(__xludf.DUMMYFUNCTION("""COMPUTED_VALUE"""),"Female")</f>
        <v>Female</v>
      </c>
      <c r="G502" s="5">
        <f>IFERROR(__xludf.DUMMYFUNCTION("""COMPUTED_VALUE"""),0.005819833333333334)</f>
        <v>0.005819833333</v>
      </c>
      <c r="H502" s="15">
        <f>IFERROR(__xludf.DUMMYFUNCTION("""COMPUTED_VALUE"""),0.2549440625)</f>
        <v>0.2549440625</v>
      </c>
      <c r="I502" s="15">
        <f>IFERROR(__xludf.DUMMYFUNCTION("""COMPUTED_VALUE"""),45949.284043228174)</f>
        <v>45949.28404</v>
      </c>
      <c r="J502" s="15">
        <f>IFERROR(__xludf.DUMMYFUNCTION("""COMPUTED_VALUE"""),45949.02909916567)</f>
        <v>45949.0291</v>
      </c>
      <c r="K502" s="15">
        <f>IFERROR(__xludf.DUMMYFUNCTION("""COMPUTED_VALUE"""),45949.272856554715)</f>
        <v>45949.27286</v>
      </c>
      <c r="L502" s="4"/>
    </row>
    <row r="503">
      <c r="A503" s="1">
        <f>IFERROR(__xludf.DUMMYFUNCTION("""COMPUTED_VALUE"""),502.0)</f>
        <v>502</v>
      </c>
      <c r="B503" s="1">
        <f>IFERROR(__xludf.DUMMYFUNCTION("""COMPUTED_VALUE"""),5923.0)</f>
        <v>5923</v>
      </c>
      <c r="C503" s="2" t="str">
        <f>IFERROR(__xludf.DUMMYFUNCTION("""COMPUTED_VALUE"""),"M. Faris Hermawan")</f>
        <v>M. Faris Hermawan</v>
      </c>
      <c r="D503" s="2" t="str">
        <f>IFERROR(__xludf.DUMMYFUNCTION("""COMPUTED_VALUE"""),"5KM OVERALL M")</f>
        <v>5KM OVERALL M</v>
      </c>
      <c r="E503" s="1">
        <f>IFERROR(__xludf.DUMMYFUNCTION("""COMPUTED_VALUE"""),338.0)</f>
        <v>338</v>
      </c>
      <c r="F503" s="1" t="str">
        <f>IFERROR(__xludf.DUMMYFUNCTION("""COMPUTED_VALUE"""),"Male")</f>
        <v>Male</v>
      </c>
      <c r="G503" s="5">
        <f>IFERROR(__xludf.DUMMYFUNCTION("""COMPUTED_VALUE"""),0.00582330787037037)</f>
        <v>0.00582330787</v>
      </c>
      <c r="H503" s="15">
        <f>IFERROR(__xludf.DUMMYFUNCTION("""COMPUTED_VALUE"""),0.2549440625)</f>
        <v>0.2549440625</v>
      </c>
      <c r="I503" s="15">
        <f>IFERROR(__xludf.DUMMYFUNCTION("""COMPUTED_VALUE"""),45949.28406060693)</f>
        <v>45949.28406</v>
      </c>
      <c r="J503" s="15">
        <f>IFERROR(__xludf.DUMMYFUNCTION("""COMPUTED_VALUE"""),45949.02911654443)</f>
        <v>45949.02912</v>
      </c>
      <c r="K503" s="15">
        <f>IFERROR(__xludf.DUMMYFUNCTION("""COMPUTED_VALUE"""),45949.2715996629)</f>
        <v>45949.2716</v>
      </c>
      <c r="L503" s="4"/>
    </row>
    <row r="504">
      <c r="A504" s="1">
        <f>IFERROR(__xludf.DUMMYFUNCTION("""COMPUTED_VALUE"""),503.0)</f>
        <v>503</v>
      </c>
      <c r="B504" s="1">
        <f>IFERROR(__xludf.DUMMYFUNCTION("""COMPUTED_VALUE"""),5176.0)</f>
        <v>5176</v>
      </c>
      <c r="C504" s="2" t="str">
        <f>IFERROR(__xludf.DUMMYFUNCTION("""COMPUTED_VALUE"""),"satrio bagus")</f>
        <v>satrio bagus</v>
      </c>
      <c r="D504" s="2" t="str">
        <f>IFERROR(__xludf.DUMMYFUNCTION("""COMPUTED_VALUE"""),"5KM OVERALL M")</f>
        <v>5KM OVERALL M</v>
      </c>
      <c r="E504" s="1">
        <f>IFERROR(__xludf.DUMMYFUNCTION("""COMPUTED_VALUE"""),339.0)</f>
        <v>339</v>
      </c>
      <c r="F504" s="1" t="str">
        <f>IFERROR(__xludf.DUMMYFUNCTION("""COMPUTED_VALUE"""),"Male")</f>
        <v>Male</v>
      </c>
      <c r="G504" s="5">
        <f>IFERROR(__xludf.DUMMYFUNCTION("""COMPUTED_VALUE"""),0.005826777777777778)</f>
        <v>0.005826777778</v>
      </c>
      <c r="H504" s="15">
        <f>IFERROR(__xludf.DUMMYFUNCTION("""COMPUTED_VALUE"""),0.2549440625)</f>
        <v>0.2549440625</v>
      </c>
      <c r="I504" s="15">
        <f>IFERROR(__xludf.DUMMYFUNCTION("""COMPUTED_VALUE"""),45949.2840779529)</f>
        <v>45949.28408</v>
      </c>
      <c r="J504" s="15">
        <f>IFERROR(__xludf.DUMMYFUNCTION("""COMPUTED_VALUE"""),45949.0291338904)</f>
        <v>45949.02913</v>
      </c>
      <c r="K504" s="15">
        <f>IFERROR(__xludf.DUMMYFUNCTION("""COMPUTED_VALUE"""),45949.27360371998)</f>
        <v>45949.2736</v>
      </c>
      <c r="L504" s="4"/>
    </row>
    <row r="505">
      <c r="A505" s="1">
        <f>IFERROR(__xludf.DUMMYFUNCTION("""COMPUTED_VALUE"""),504.0)</f>
        <v>504</v>
      </c>
      <c r="B505" s="1">
        <f>IFERROR(__xludf.DUMMYFUNCTION("""COMPUTED_VALUE"""),5438.0)</f>
        <v>5438</v>
      </c>
      <c r="C505" s="2" t="str">
        <f>IFERROR(__xludf.DUMMYFUNCTION("""COMPUTED_VALUE"""),"Abdul Rahman As Sambasi")</f>
        <v>Abdul Rahman As Sambasi</v>
      </c>
      <c r="D505" s="2" t="str">
        <f>IFERROR(__xludf.DUMMYFUNCTION("""COMPUTED_VALUE"""),"5KM OVERALL M")</f>
        <v>5KM OVERALL M</v>
      </c>
      <c r="E505" s="1">
        <f>IFERROR(__xludf.DUMMYFUNCTION("""COMPUTED_VALUE"""),340.0)</f>
        <v>340</v>
      </c>
      <c r="F505" s="1" t="str">
        <f>IFERROR(__xludf.DUMMYFUNCTION("""COMPUTED_VALUE"""),"Male")</f>
        <v>Male</v>
      </c>
      <c r="G505" s="5">
        <f>IFERROR(__xludf.DUMMYFUNCTION("""COMPUTED_VALUE"""),0.005826782407407407)</f>
        <v>0.005826782407</v>
      </c>
      <c r="H505" s="15">
        <f>IFERROR(__xludf.DUMMYFUNCTION("""COMPUTED_VALUE"""),0.2549440625)</f>
        <v>0.2549440625</v>
      </c>
      <c r="I505" s="15">
        <f>IFERROR(__xludf.DUMMYFUNCTION("""COMPUTED_VALUE"""),45949.28407797653)</f>
        <v>45949.28408</v>
      </c>
      <c r="J505" s="15">
        <f>IFERROR(__xludf.DUMMYFUNCTION("""COMPUTED_VALUE"""),45949.02913391403)</f>
        <v>45949.02913</v>
      </c>
      <c r="K505" s="15">
        <f>IFERROR(__xludf.DUMMYFUNCTION("""COMPUTED_VALUE"""),45949.270439887674)</f>
        <v>45949.27044</v>
      </c>
      <c r="L505" s="4"/>
    </row>
    <row r="506">
      <c r="A506" s="1">
        <f>IFERROR(__xludf.DUMMYFUNCTION("""COMPUTED_VALUE"""),505.0)</f>
        <v>505</v>
      </c>
      <c r="B506" s="1">
        <f>IFERROR(__xludf.DUMMYFUNCTION("""COMPUTED_VALUE"""),5514.0)</f>
        <v>5514</v>
      </c>
      <c r="C506" s="2" t="str">
        <f>IFERROR(__xludf.DUMMYFUNCTION("""COMPUTED_VALUE"""),"fajar")</f>
        <v>fajar</v>
      </c>
      <c r="D506" s="2" t="str">
        <f>IFERROR(__xludf.DUMMYFUNCTION("""COMPUTED_VALUE"""),"5KM OVERALL M")</f>
        <v>5KM OVERALL M</v>
      </c>
      <c r="E506" s="1">
        <f>IFERROR(__xludf.DUMMYFUNCTION("""COMPUTED_VALUE"""),341.0)</f>
        <v>341</v>
      </c>
      <c r="F506" s="1" t="str">
        <f>IFERROR(__xludf.DUMMYFUNCTION("""COMPUTED_VALUE"""),"Male")</f>
        <v>Male</v>
      </c>
      <c r="G506" s="5">
        <f>IFERROR(__xludf.DUMMYFUNCTION("""COMPUTED_VALUE"""),0.005835261574074074)</f>
        <v>0.005835261574</v>
      </c>
      <c r="H506" s="15">
        <f>IFERROR(__xludf.DUMMYFUNCTION("""COMPUTED_VALUE"""),0.2549440625)</f>
        <v>0.2549440625</v>
      </c>
      <c r="I506" s="15">
        <f>IFERROR(__xludf.DUMMYFUNCTION("""COMPUTED_VALUE"""),45949.28412037037)</f>
        <v>45949.28412</v>
      </c>
      <c r="J506" s="15">
        <f>IFERROR(__xludf.DUMMYFUNCTION("""COMPUTED_VALUE"""),45949.02917630787)</f>
        <v>45949.02918</v>
      </c>
      <c r="K506" s="15">
        <f>IFERROR(__xludf.DUMMYFUNCTION("""COMPUTED_VALUE"""),45949.271169116066)</f>
        <v>45949.27117</v>
      </c>
      <c r="L506" s="4"/>
    </row>
    <row r="507">
      <c r="A507" s="1">
        <f>IFERROR(__xludf.DUMMYFUNCTION("""COMPUTED_VALUE"""),506.0)</f>
        <v>506</v>
      </c>
      <c r="B507" s="1">
        <f>IFERROR(__xludf.DUMMYFUNCTION("""COMPUTED_VALUE"""),5268.0)</f>
        <v>5268</v>
      </c>
      <c r="C507" s="2" t="str">
        <f>IFERROR(__xludf.DUMMYFUNCTION("""COMPUTED_VALUE"""),"Fatkhan Nazhif Thafhan")</f>
        <v>Fatkhan Nazhif Thafhan</v>
      </c>
      <c r="D507" s="2" t="str">
        <f>IFERROR(__xludf.DUMMYFUNCTION("""COMPUTED_VALUE"""),"5KM OVERALL M")</f>
        <v>5KM OVERALL M</v>
      </c>
      <c r="E507" s="1">
        <f>IFERROR(__xludf.DUMMYFUNCTION("""COMPUTED_VALUE"""),342.0)</f>
        <v>342</v>
      </c>
      <c r="F507" s="1" t="str">
        <f>IFERROR(__xludf.DUMMYFUNCTION("""COMPUTED_VALUE"""),"Male")</f>
        <v>Male</v>
      </c>
      <c r="G507" s="5">
        <f>IFERROR(__xludf.DUMMYFUNCTION("""COMPUTED_VALUE"""),0.005835805555555556)</f>
        <v>0.005835805556</v>
      </c>
      <c r="H507" s="15">
        <f>IFERROR(__xludf.DUMMYFUNCTION("""COMPUTED_VALUE"""),0.2549440625)</f>
        <v>0.2549440625</v>
      </c>
      <c r="I507" s="15">
        <f>IFERROR(__xludf.DUMMYFUNCTION("""COMPUTED_VALUE"""),45949.28412308682)</f>
        <v>45949.28412</v>
      </c>
      <c r="J507" s="15">
        <f>IFERROR(__xludf.DUMMYFUNCTION("""COMPUTED_VALUE"""),45949.02917902432)</f>
        <v>45949.02918</v>
      </c>
      <c r="K507" s="15">
        <f>IFERROR(__xludf.DUMMYFUNCTION("""COMPUTED_VALUE"""),45949.27130796873)</f>
        <v>45949.27131</v>
      </c>
      <c r="L507" s="4"/>
    </row>
    <row r="508">
      <c r="A508" s="1">
        <f>IFERROR(__xludf.DUMMYFUNCTION("""COMPUTED_VALUE"""),507.0)</f>
        <v>507</v>
      </c>
      <c r="B508" s="1">
        <f>IFERROR(__xludf.DUMMYFUNCTION("""COMPUTED_VALUE"""),5419.0)</f>
        <v>5419</v>
      </c>
      <c r="C508" s="2" t="str">
        <f>IFERROR(__xludf.DUMMYFUNCTION("""COMPUTED_VALUE"""),"Setiadi")</f>
        <v>Setiadi</v>
      </c>
      <c r="D508" s="2" t="str">
        <f>IFERROR(__xludf.DUMMYFUNCTION("""COMPUTED_VALUE"""),"5KM OVERALL M")</f>
        <v>5KM OVERALL M</v>
      </c>
      <c r="E508" s="1">
        <f>IFERROR(__xludf.DUMMYFUNCTION("""COMPUTED_VALUE"""),343.0)</f>
        <v>343</v>
      </c>
      <c r="F508" s="1" t="str">
        <f>IFERROR(__xludf.DUMMYFUNCTION("""COMPUTED_VALUE"""),"Male")</f>
        <v>Male</v>
      </c>
      <c r="G508" s="5">
        <f>IFERROR(__xludf.DUMMYFUNCTION("""COMPUTED_VALUE"""),0.005844141203703703)</f>
        <v>0.005844141204</v>
      </c>
      <c r="H508" s="15">
        <f>IFERROR(__xludf.DUMMYFUNCTION("""COMPUTED_VALUE"""),0.2549440625)</f>
        <v>0.2549440625</v>
      </c>
      <c r="I508" s="15">
        <f>IFERROR(__xludf.DUMMYFUNCTION("""COMPUTED_VALUE"""),45949.28416476603)</f>
        <v>45949.28416</v>
      </c>
      <c r="J508" s="15">
        <f>IFERROR(__xludf.DUMMYFUNCTION("""COMPUTED_VALUE"""),45949.02922070353)</f>
        <v>45949.02922</v>
      </c>
      <c r="K508" s="15">
        <f>IFERROR(__xludf.DUMMYFUNCTION("""COMPUTED_VALUE"""),45949.27349545444)</f>
        <v>45949.2735</v>
      </c>
      <c r="L508" s="4"/>
    </row>
    <row r="509">
      <c r="A509" s="1">
        <f>IFERROR(__xludf.DUMMYFUNCTION("""COMPUTED_VALUE"""),508.0)</f>
        <v>508</v>
      </c>
      <c r="B509" s="1">
        <f>IFERROR(__xludf.DUMMYFUNCTION("""COMPUTED_VALUE"""),5372.0)</f>
        <v>5372</v>
      </c>
      <c r="C509" s="2" t="str">
        <f>IFERROR(__xludf.DUMMYFUNCTION("""COMPUTED_VALUE"""),"MIFTAH")</f>
        <v>MIFTAH</v>
      </c>
      <c r="D509" s="2" t="str">
        <f>IFERROR(__xludf.DUMMYFUNCTION("""COMPUTED_VALUE"""),"5KM OVERALL F")</f>
        <v>5KM OVERALL F</v>
      </c>
      <c r="E509" s="1">
        <f>IFERROR(__xludf.DUMMYFUNCTION("""COMPUTED_VALUE"""),53.0)</f>
        <v>53</v>
      </c>
      <c r="F509" s="1" t="str">
        <f>IFERROR(__xludf.DUMMYFUNCTION("""COMPUTED_VALUE"""),"Female")</f>
        <v>Female</v>
      </c>
      <c r="G509" s="5">
        <f>IFERROR(__xludf.DUMMYFUNCTION("""COMPUTED_VALUE"""),0.005844835648148148)</f>
        <v>0.005844835648</v>
      </c>
      <c r="H509" s="15">
        <f>IFERROR(__xludf.DUMMYFUNCTION("""COMPUTED_VALUE"""),0.2549440625)</f>
        <v>0.2549440625</v>
      </c>
      <c r="I509" s="15">
        <f>IFERROR(__xludf.DUMMYFUNCTION("""COMPUTED_VALUE"""),45949.2841682352)</f>
        <v>45949.28417</v>
      </c>
      <c r="J509" s="15">
        <f>IFERROR(__xludf.DUMMYFUNCTION("""COMPUTED_VALUE"""),45949.0292241727)</f>
        <v>45949.02922</v>
      </c>
      <c r="K509" s="15">
        <f>IFERROR(__xludf.DUMMYFUNCTION("""COMPUTED_VALUE"""),45949.271353078795)</f>
        <v>45949.27135</v>
      </c>
      <c r="L509" s="4"/>
    </row>
    <row r="510">
      <c r="A510" s="1">
        <f>IFERROR(__xludf.DUMMYFUNCTION("""COMPUTED_VALUE"""),509.0)</f>
        <v>509</v>
      </c>
      <c r="B510" s="1">
        <f>IFERROR(__xludf.DUMMYFUNCTION("""COMPUTED_VALUE"""),6036.0)</f>
        <v>6036</v>
      </c>
      <c r="C510" s="2" t="str">
        <f>IFERROR(__xludf.DUMMYFUNCTION("""COMPUTED_VALUE"""),"Pak Wo")</f>
        <v>Pak Wo</v>
      </c>
      <c r="D510" s="2" t="str">
        <f>IFERROR(__xludf.DUMMYFUNCTION("""COMPUTED_VALUE"""),"5KM OVERALL M")</f>
        <v>5KM OVERALL M</v>
      </c>
      <c r="E510" s="1">
        <f>IFERROR(__xludf.DUMMYFUNCTION("""COMPUTED_VALUE"""),344.0)</f>
        <v>344</v>
      </c>
      <c r="F510" s="1" t="str">
        <f>IFERROR(__xludf.DUMMYFUNCTION("""COMPUTED_VALUE"""),"Male")</f>
        <v>Male</v>
      </c>
      <c r="G510" s="5">
        <f>IFERROR(__xludf.DUMMYFUNCTION("""COMPUTED_VALUE"""),0.005846222222222223)</f>
        <v>0.005846222222</v>
      </c>
      <c r="H510" s="15">
        <f>IFERROR(__xludf.DUMMYFUNCTION("""COMPUTED_VALUE"""),0.2549440625)</f>
        <v>0.2549440625</v>
      </c>
      <c r="I510" s="15">
        <f>IFERROR(__xludf.DUMMYFUNCTION("""COMPUTED_VALUE"""),45949.28417517501)</f>
        <v>45949.28418</v>
      </c>
      <c r="J510" s="15">
        <f>IFERROR(__xludf.DUMMYFUNCTION("""COMPUTED_VALUE"""),45949.02923111251)</f>
        <v>45949.02923</v>
      </c>
      <c r="K510" s="15">
        <f>IFERROR(__xludf.DUMMYFUNCTION("""COMPUTED_VALUE"""),45949.27203711961)</f>
        <v>45949.27204</v>
      </c>
      <c r="L510" s="4"/>
    </row>
    <row r="511">
      <c r="A511" s="1">
        <f>IFERROR(__xludf.DUMMYFUNCTION("""COMPUTED_VALUE"""),510.0)</f>
        <v>510</v>
      </c>
      <c r="B511" s="1">
        <f>IFERROR(__xludf.DUMMYFUNCTION("""COMPUTED_VALUE"""),7087.0)</f>
        <v>7087</v>
      </c>
      <c r="C511" s="2" t="str">
        <f>IFERROR(__xludf.DUMMYFUNCTION("""COMPUTED_VALUE"""),"Lilik Prihatining Penggalih")</f>
        <v>Lilik Prihatining Penggalih</v>
      </c>
      <c r="D511" s="2" t="str">
        <f>IFERROR(__xludf.DUMMYFUNCTION("""COMPUTED_VALUE"""),"5KM MASTER F")</f>
        <v>5KM MASTER F</v>
      </c>
      <c r="E511" s="1">
        <f>IFERROR(__xludf.DUMMYFUNCTION("""COMPUTED_VALUE"""),16.0)</f>
        <v>16</v>
      </c>
      <c r="F511" s="1" t="str">
        <f>IFERROR(__xludf.DUMMYFUNCTION("""COMPUTED_VALUE"""),"Female")</f>
        <v>Female</v>
      </c>
      <c r="G511" s="5">
        <f>IFERROR(__xludf.DUMMYFUNCTION("""COMPUTED_VALUE"""),0.005846916666666666)</f>
        <v>0.005846916667</v>
      </c>
      <c r="H511" s="15">
        <f>IFERROR(__xludf.DUMMYFUNCTION("""COMPUTED_VALUE"""),0.2549440625)</f>
        <v>0.2549440625</v>
      </c>
      <c r="I511" s="15">
        <f>IFERROR(__xludf.DUMMYFUNCTION("""COMPUTED_VALUE"""),45949.28417864834)</f>
        <v>45949.28418</v>
      </c>
      <c r="J511" s="15">
        <f>IFERROR(__xludf.DUMMYFUNCTION("""COMPUTED_VALUE"""),45949.02923458584)</f>
        <v>45949.02923</v>
      </c>
      <c r="K511" s="15">
        <f>IFERROR(__xludf.DUMMYFUNCTION("""COMPUTED_VALUE"""),45949.271290591234)</f>
        <v>45949.27129</v>
      </c>
      <c r="L511" s="4"/>
    </row>
    <row r="512">
      <c r="A512" s="1">
        <f>IFERROR(__xludf.DUMMYFUNCTION("""COMPUTED_VALUE"""),511.0)</f>
        <v>511</v>
      </c>
      <c r="B512" s="1">
        <f>IFERROR(__xludf.DUMMYFUNCTION("""COMPUTED_VALUE"""),5629.0)</f>
        <v>5629</v>
      </c>
      <c r="C512" s="2" t="str">
        <f>IFERROR(__xludf.DUMMYFUNCTION("""COMPUTED_VALUE"""),"Rahma")</f>
        <v>Rahma</v>
      </c>
      <c r="D512" s="2" t="str">
        <f>IFERROR(__xludf.DUMMYFUNCTION("""COMPUTED_VALUE"""),"5KM OVERALL F")</f>
        <v>5KM OVERALL F</v>
      </c>
      <c r="E512" s="1">
        <f>IFERROR(__xludf.DUMMYFUNCTION("""COMPUTED_VALUE"""),54.0)</f>
        <v>54</v>
      </c>
      <c r="F512" s="1" t="str">
        <f>IFERROR(__xludf.DUMMYFUNCTION("""COMPUTED_VALUE"""),"Female")</f>
        <v>Female</v>
      </c>
      <c r="G512" s="5">
        <f>IFERROR(__xludf.DUMMYFUNCTION("""COMPUTED_VALUE"""),0.005846916666666666)</f>
        <v>0.005846916667</v>
      </c>
      <c r="H512" s="15">
        <f>IFERROR(__xludf.DUMMYFUNCTION("""COMPUTED_VALUE"""),0.2549440625)</f>
        <v>0.2549440625</v>
      </c>
      <c r="I512" s="15">
        <f>IFERROR(__xludf.DUMMYFUNCTION("""COMPUTED_VALUE"""),45949.28417864834)</f>
        <v>45949.28418</v>
      </c>
      <c r="J512" s="15">
        <f>IFERROR(__xludf.DUMMYFUNCTION("""COMPUTED_VALUE"""),45949.02923458584)</f>
        <v>45949.02923</v>
      </c>
      <c r="K512" s="15">
        <f>IFERROR(__xludf.DUMMYFUNCTION("""COMPUTED_VALUE"""),45949.27082538443)</f>
        <v>45949.27083</v>
      </c>
      <c r="L512" s="4"/>
    </row>
    <row r="513">
      <c r="A513" s="1">
        <f>IFERROR(__xludf.DUMMYFUNCTION("""COMPUTED_VALUE"""),512.0)</f>
        <v>512</v>
      </c>
      <c r="B513" s="7" t="str">
        <f>IFERROR(__xludf.DUMMYFUNCTION("""COMPUTED_VALUE"""),"9032")</f>
        <v>9032</v>
      </c>
      <c r="C513" s="8" t="str">
        <f>IFERROR(__xludf.DUMMYFUNCTION("""COMPUTED_VALUE"""),"Nurill")</f>
        <v>Nurill</v>
      </c>
      <c r="D513" s="2" t="str">
        <f>IFERROR(__xludf.DUMMYFUNCTION("""COMPUTED_VALUE"""),"5KM STUDENT M")</f>
        <v>5KM STUDENT M</v>
      </c>
      <c r="E513" s="1">
        <f>IFERROR(__xludf.DUMMYFUNCTION("""COMPUTED_VALUE"""),43.0)</f>
        <v>43</v>
      </c>
      <c r="F513" s="1" t="str">
        <f>IFERROR(__xludf.DUMMYFUNCTION("""COMPUTED_VALUE"""),"Male")</f>
        <v>Male</v>
      </c>
      <c r="G513" s="5">
        <f>IFERROR(__xludf.DUMMYFUNCTION("""COMPUTED_VALUE"""),0.005849694444444445)</f>
        <v>0.005849694444</v>
      </c>
      <c r="H513" s="15">
        <f>IFERROR(__xludf.DUMMYFUNCTION("""COMPUTED_VALUE"""),0.2549440625)</f>
        <v>0.2549440625</v>
      </c>
      <c r="I513" s="15">
        <f>IFERROR(__xludf.DUMMYFUNCTION("""COMPUTED_VALUE"""),45949.284192537954)</f>
        <v>45949.28419</v>
      </c>
      <c r="J513" s="15">
        <f>IFERROR(__xludf.DUMMYFUNCTION("""COMPUTED_VALUE"""),45949.029248475454)</f>
        <v>45949.02925</v>
      </c>
      <c r="K513" s="15">
        <f>IFERROR(__xludf.DUMMYFUNCTION("""COMPUTED_VALUE"""),45949.27117947288)</f>
        <v>45949.27118</v>
      </c>
      <c r="L513" s="4"/>
    </row>
    <row r="514">
      <c r="A514" s="1">
        <f>IFERROR(__xludf.DUMMYFUNCTION("""COMPUTED_VALUE"""),513.0)</f>
        <v>513</v>
      </c>
      <c r="B514" s="1">
        <f>IFERROR(__xludf.DUMMYFUNCTION("""COMPUTED_VALUE"""),6557.0)</f>
        <v>6557</v>
      </c>
      <c r="C514" s="2" t="str">
        <f>IFERROR(__xludf.DUMMYFUNCTION("""COMPUTED_VALUE"""),"Yoga Pranata")</f>
        <v>Yoga Pranata</v>
      </c>
      <c r="D514" s="2" t="str">
        <f>IFERROR(__xludf.DUMMYFUNCTION("""COMPUTED_VALUE"""),"5KM OVERALL M")</f>
        <v>5KM OVERALL M</v>
      </c>
      <c r="E514" s="1">
        <f>IFERROR(__xludf.DUMMYFUNCTION("""COMPUTED_VALUE"""),345.0)</f>
        <v>345</v>
      </c>
      <c r="F514" s="1" t="str">
        <f>IFERROR(__xludf.DUMMYFUNCTION("""COMPUTED_VALUE"""),"Male")</f>
        <v>Male</v>
      </c>
      <c r="G514" s="5">
        <f>IFERROR(__xludf.DUMMYFUNCTION("""COMPUTED_VALUE"""),0.005850388888888889)</f>
        <v>0.005850388889</v>
      </c>
      <c r="H514" s="15">
        <f>IFERROR(__xludf.DUMMYFUNCTION("""COMPUTED_VALUE"""),0.2549440625)</f>
        <v>0.2549440625</v>
      </c>
      <c r="I514" s="15">
        <f>IFERROR(__xludf.DUMMYFUNCTION("""COMPUTED_VALUE"""),45949.28419600172)</f>
        <v>45949.2842</v>
      </c>
      <c r="J514" s="15">
        <f>IFERROR(__xludf.DUMMYFUNCTION("""COMPUTED_VALUE"""),45949.02925193922)</f>
        <v>45949.02925</v>
      </c>
      <c r="K514" s="15">
        <f>IFERROR(__xludf.DUMMYFUNCTION("""COMPUTED_VALUE"""),45950.2725)</f>
        <v>45950.2725</v>
      </c>
      <c r="L514" s="4" t="str">
        <f>IFERROR(__xludf.DUMMYFUNCTION("""COMPUTED_VALUE"""),"C")</f>
        <v>C</v>
      </c>
    </row>
    <row r="515">
      <c r="A515" s="1">
        <f>IFERROR(__xludf.DUMMYFUNCTION("""COMPUTED_VALUE"""),514.0)</f>
        <v>514</v>
      </c>
      <c r="B515" s="1">
        <f>IFERROR(__xludf.DUMMYFUNCTION("""COMPUTED_VALUE"""),6317.0)</f>
        <v>6317</v>
      </c>
      <c r="C515" s="2" t="str">
        <f>IFERROR(__xludf.DUMMYFUNCTION("""COMPUTED_VALUE"""),"AKHMAD FADHILLAH")</f>
        <v>AKHMAD FADHILLAH</v>
      </c>
      <c r="D515" s="2" t="str">
        <f>IFERROR(__xludf.DUMMYFUNCTION("""COMPUTED_VALUE"""),"5KM OVERALL M")</f>
        <v>5KM OVERALL M</v>
      </c>
      <c r="E515" s="1">
        <f>IFERROR(__xludf.DUMMYFUNCTION("""COMPUTED_VALUE"""),346.0)</f>
        <v>346</v>
      </c>
      <c r="F515" s="1" t="str">
        <f>IFERROR(__xludf.DUMMYFUNCTION("""COMPUTED_VALUE"""),"Male")</f>
        <v>Male</v>
      </c>
      <c r="G515" s="5">
        <f>IFERROR(__xludf.DUMMYFUNCTION("""COMPUTED_VALUE"""),0.005855944444444444)</f>
        <v>0.005855944444</v>
      </c>
      <c r="H515" s="15">
        <f>IFERROR(__xludf.DUMMYFUNCTION("""COMPUTED_VALUE"""),0.2549440625)</f>
        <v>0.2549440625</v>
      </c>
      <c r="I515" s="15">
        <f>IFERROR(__xludf.DUMMYFUNCTION("""COMPUTED_VALUE"""),45949.28422378068)</f>
        <v>45949.28422</v>
      </c>
      <c r="J515" s="15">
        <f>IFERROR(__xludf.DUMMYFUNCTION("""COMPUTED_VALUE"""),45949.02927971818)</f>
        <v>45949.02928</v>
      </c>
      <c r="K515" s="15">
        <f>IFERROR(__xludf.DUMMYFUNCTION("""COMPUTED_VALUE"""),45949.271471144486)</f>
        <v>45949.27147</v>
      </c>
      <c r="L515" s="4"/>
    </row>
    <row r="516">
      <c r="A516" s="1">
        <f>IFERROR(__xludf.DUMMYFUNCTION("""COMPUTED_VALUE"""),515.0)</f>
        <v>515</v>
      </c>
      <c r="B516" s="1">
        <f>IFERROR(__xludf.DUMMYFUNCTION("""COMPUTED_VALUE"""),6305.0)</f>
        <v>6305</v>
      </c>
      <c r="C516" s="2" t="str">
        <f>IFERROR(__xludf.DUMMYFUNCTION("""COMPUTED_VALUE"""),"fiziakhmad")</f>
        <v>fiziakhmad</v>
      </c>
      <c r="D516" s="2" t="str">
        <f>IFERROR(__xludf.DUMMYFUNCTION("""COMPUTED_VALUE"""),"5KM OVERALL M")</f>
        <v>5KM OVERALL M</v>
      </c>
      <c r="E516" s="1">
        <f>IFERROR(__xludf.DUMMYFUNCTION("""COMPUTED_VALUE"""),347.0)</f>
        <v>347</v>
      </c>
      <c r="F516" s="1" t="str">
        <f>IFERROR(__xludf.DUMMYFUNCTION("""COMPUTED_VALUE"""),"Male")</f>
        <v>Male</v>
      </c>
      <c r="G516" s="5">
        <f>IFERROR(__xludf.DUMMYFUNCTION("""COMPUTED_VALUE"""),0.005855944444444444)</f>
        <v>0.005855944444</v>
      </c>
      <c r="H516" s="15">
        <f>IFERROR(__xludf.DUMMYFUNCTION("""COMPUTED_VALUE"""),0.2549440625)</f>
        <v>0.2549440625</v>
      </c>
      <c r="I516" s="15">
        <f>IFERROR(__xludf.DUMMYFUNCTION("""COMPUTED_VALUE"""),45949.28422378068)</f>
        <v>45949.28422</v>
      </c>
      <c r="J516" s="15">
        <f>IFERROR(__xludf.DUMMYFUNCTION("""COMPUTED_VALUE"""),45949.02927971818)</f>
        <v>45949.02928</v>
      </c>
      <c r="K516" s="15">
        <f>IFERROR(__xludf.DUMMYFUNCTION("""COMPUTED_VALUE"""),45949.27140869613)</f>
        <v>45949.27141</v>
      </c>
      <c r="L516" s="4"/>
    </row>
    <row r="517">
      <c r="A517" s="1">
        <f>IFERROR(__xludf.DUMMYFUNCTION("""COMPUTED_VALUE"""),516.0)</f>
        <v>516</v>
      </c>
      <c r="B517" s="1">
        <f>IFERROR(__xludf.DUMMYFUNCTION("""COMPUTED_VALUE"""),5658.0)</f>
        <v>5658</v>
      </c>
      <c r="C517" s="2" t="str">
        <f>IFERROR(__xludf.DUMMYFUNCTION("""COMPUTED_VALUE"""),"Ramadhan")</f>
        <v>Ramadhan</v>
      </c>
      <c r="D517" s="2" t="str">
        <f>IFERROR(__xludf.DUMMYFUNCTION("""COMPUTED_VALUE"""),"5KM OVERALL M")</f>
        <v>5KM OVERALL M</v>
      </c>
      <c r="E517" s="1">
        <f>IFERROR(__xludf.DUMMYFUNCTION("""COMPUTED_VALUE"""),348.0)</f>
        <v>348</v>
      </c>
      <c r="F517" s="1" t="str">
        <f>IFERROR(__xludf.DUMMYFUNCTION("""COMPUTED_VALUE"""),"Male")</f>
        <v>Male</v>
      </c>
      <c r="G517" s="5">
        <f>IFERROR(__xludf.DUMMYFUNCTION("""COMPUTED_VALUE"""),0.005856826388888889)</f>
        <v>0.005856826389</v>
      </c>
      <c r="H517" s="15">
        <f>IFERROR(__xludf.DUMMYFUNCTION("""COMPUTED_VALUE"""),0.2549440625)</f>
        <v>0.2549440625</v>
      </c>
      <c r="I517" s="15">
        <f>IFERROR(__xludf.DUMMYFUNCTION("""COMPUTED_VALUE"""),45949.284228194236)</f>
        <v>45949.28423</v>
      </c>
      <c r="J517" s="15">
        <f>IFERROR(__xludf.DUMMYFUNCTION("""COMPUTED_VALUE"""),45949.029284131735)</f>
        <v>45949.02928</v>
      </c>
      <c r="K517" s="15">
        <f>IFERROR(__xludf.DUMMYFUNCTION("""COMPUTED_VALUE"""),45949.270880866046)</f>
        <v>45949.27088</v>
      </c>
      <c r="L517" s="4"/>
    </row>
    <row r="518">
      <c r="A518" s="1">
        <f>IFERROR(__xludf.DUMMYFUNCTION("""COMPUTED_VALUE"""),517.0)</f>
        <v>517</v>
      </c>
      <c r="B518" s="1">
        <f>IFERROR(__xludf.DUMMYFUNCTION("""COMPUTED_VALUE"""),6254.0)</f>
        <v>6254</v>
      </c>
      <c r="C518" s="2" t="str">
        <f>IFERROR(__xludf.DUMMYFUNCTION("""COMPUTED_VALUE"""),"muhammad ramli")</f>
        <v>muhammad ramli</v>
      </c>
      <c r="D518" s="2" t="str">
        <f>IFERROR(__xludf.DUMMYFUNCTION("""COMPUTED_VALUE"""),"5KM OVERALL M")</f>
        <v>5KM OVERALL M</v>
      </c>
      <c r="E518" s="1">
        <f>IFERROR(__xludf.DUMMYFUNCTION("""COMPUTED_VALUE"""),349.0)</f>
        <v>349</v>
      </c>
      <c r="F518" s="1" t="str">
        <f>IFERROR(__xludf.DUMMYFUNCTION("""COMPUTED_VALUE"""),"Male")</f>
        <v>Male</v>
      </c>
      <c r="G518" s="5">
        <f>IFERROR(__xludf.DUMMYFUNCTION("""COMPUTED_VALUE"""),0.005860814814814814)</f>
        <v>0.005860814815</v>
      </c>
      <c r="H518" s="15">
        <f>IFERROR(__xludf.DUMMYFUNCTION("""COMPUTED_VALUE"""),0.2549440625)</f>
        <v>0.2549440625</v>
      </c>
      <c r="I518" s="15">
        <f>IFERROR(__xludf.DUMMYFUNCTION("""COMPUTED_VALUE"""),45949.28424813268)</f>
        <v>45949.28425</v>
      </c>
      <c r="J518" s="15">
        <f>IFERROR(__xludf.DUMMYFUNCTION("""COMPUTED_VALUE"""),45949.02930407018)</f>
        <v>45949.0293</v>
      </c>
      <c r="K518" s="15">
        <f>IFERROR(__xludf.DUMMYFUNCTION("""COMPUTED_VALUE"""),45949.27142947577)</f>
        <v>45949.27143</v>
      </c>
      <c r="L518" s="4"/>
    </row>
    <row r="519">
      <c r="A519" s="1">
        <f>IFERROR(__xludf.DUMMYFUNCTION("""COMPUTED_VALUE"""),518.0)</f>
        <v>518</v>
      </c>
      <c r="B519" s="1">
        <f>IFERROR(__xludf.DUMMYFUNCTION("""COMPUTED_VALUE"""),5367.0)</f>
        <v>5367</v>
      </c>
      <c r="C519" s="2" t="str">
        <f>IFERROR(__xludf.DUMMYFUNCTION("""COMPUTED_VALUE"""),"PuTRi..")</f>
        <v>PuTRi..</v>
      </c>
      <c r="D519" s="2" t="str">
        <f>IFERROR(__xludf.DUMMYFUNCTION("""COMPUTED_VALUE"""),"5KM OVERALL F")</f>
        <v>5KM OVERALL F</v>
      </c>
      <c r="E519" s="1">
        <f>IFERROR(__xludf.DUMMYFUNCTION("""COMPUTED_VALUE"""),55.0)</f>
        <v>55</v>
      </c>
      <c r="F519" s="1" t="str">
        <f>IFERROR(__xludf.DUMMYFUNCTION("""COMPUTED_VALUE"""),"Female")</f>
        <v>Female</v>
      </c>
      <c r="G519" s="5">
        <f>IFERROR(__xludf.DUMMYFUNCTION("""COMPUTED_VALUE"""),0.005862893518518519)</f>
        <v>0.005862893519</v>
      </c>
      <c r="H519" s="15">
        <f>IFERROR(__xludf.DUMMYFUNCTION("""COMPUTED_VALUE"""),0.2549440625)</f>
        <v>0.2549440625</v>
      </c>
      <c r="I519" s="15">
        <f>IFERROR(__xludf.DUMMYFUNCTION("""COMPUTED_VALUE"""),45949.284258525164)</f>
        <v>45949.28426</v>
      </c>
      <c r="J519" s="15">
        <f>IFERROR(__xludf.DUMMYFUNCTION("""COMPUTED_VALUE"""),45949.02931446266)</f>
        <v>45949.02931</v>
      </c>
      <c r="K519" s="15">
        <f>IFERROR(__xludf.DUMMYFUNCTION("""COMPUTED_VALUE"""),45949.271523467374)</f>
        <v>45949.27152</v>
      </c>
      <c r="L519" s="4"/>
    </row>
    <row r="520">
      <c r="A520" s="1">
        <f>IFERROR(__xludf.DUMMYFUNCTION("""COMPUTED_VALUE"""),519.0)</f>
        <v>519</v>
      </c>
      <c r="B520" s="1">
        <f>IFERROR(__xludf.DUMMYFUNCTION("""COMPUTED_VALUE"""),5509.0)</f>
        <v>5509</v>
      </c>
      <c r="C520" s="2" t="str">
        <f>IFERROR(__xludf.DUMMYFUNCTION("""COMPUTED_VALUE"""),"Wumbo")</f>
        <v>Wumbo</v>
      </c>
      <c r="D520" s="2" t="str">
        <f>IFERROR(__xludf.DUMMYFUNCTION("""COMPUTED_VALUE"""),"5KM OVERALL M")</f>
        <v>5KM OVERALL M</v>
      </c>
      <c r="E520" s="1">
        <f>IFERROR(__xludf.DUMMYFUNCTION("""COMPUTED_VALUE"""),350.0)</f>
        <v>350</v>
      </c>
      <c r="F520" s="1" t="str">
        <f>IFERROR(__xludf.DUMMYFUNCTION("""COMPUTED_VALUE"""),"Male")</f>
        <v>Male</v>
      </c>
      <c r="G520" s="5">
        <f>IFERROR(__xludf.DUMMYFUNCTION("""COMPUTED_VALUE"""),0.005864979166666666)</f>
        <v>0.005864979167</v>
      </c>
      <c r="H520" s="15">
        <f>IFERROR(__xludf.DUMMYFUNCTION("""COMPUTED_VALUE"""),0.2549440625)</f>
        <v>0.2549440625</v>
      </c>
      <c r="I520" s="15">
        <f>IFERROR(__xludf.DUMMYFUNCTION("""COMPUTED_VALUE"""),45949.28426895875)</f>
        <v>45949.28427</v>
      </c>
      <c r="J520" s="15">
        <f>IFERROR(__xludf.DUMMYFUNCTION("""COMPUTED_VALUE"""),45949.02932489625)</f>
        <v>45949.02932</v>
      </c>
      <c r="K520" s="15">
        <f>IFERROR(__xludf.DUMMYFUNCTION("""COMPUTED_VALUE"""),45949.272019754586)</f>
        <v>45949.27202</v>
      </c>
      <c r="L520" s="4"/>
    </row>
    <row r="521">
      <c r="A521" s="1">
        <f>IFERROR(__xludf.DUMMYFUNCTION("""COMPUTED_VALUE"""),520.0)</f>
        <v>520</v>
      </c>
      <c r="B521" s="1">
        <f>IFERROR(__xludf.DUMMYFUNCTION("""COMPUTED_VALUE"""),5191.0)</f>
        <v>5191</v>
      </c>
      <c r="C521" s="2" t="str">
        <f>IFERROR(__xludf.DUMMYFUNCTION("""COMPUTED_VALUE"""),"Caca")</f>
        <v>Caca</v>
      </c>
      <c r="D521" s="2" t="str">
        <f>IFERROR(__xludf.DUMMYFUNCTION("""COMPUTED_VALUE"""),"5KM OVERALL F")</f>
        <v>5KM OVERALL F</v>
      </c>
      <c r="E521" s="1">
        <f>IFERROR(__xludf.DUMMYFUNCTION("""COMPUTED_VALUE"""),56.0)</f>
        <v>56</v>
      </c>
      <c r="F521" s="1" t="str">
        <f>IFERROR(__xludf.DUMMYFUNCTION("""COMPUTED_VALUE"""),"Female")</f>
        <v>Female</v>
      </c>
      <c r="G521" s="5">
        <f>IFERROR(__xludf.DUMMYFUNCTION("""COMPUTED_VALUE"""),0.005864979166666666)</f>
        <v>0.005864979167</v>
      </c>
      <c r="H521" s="15">
        <f>IFERROR(__xludf.DUMMYFUNCTION("""COMPUTED_VALUE"""),0.2549440625)</f>
        <v>0.2549440625</v>
      </c>
      <c r="I521" s="15">
        <f>IFERROR(__xludf.DUMMYFUNCTION("""COMPUTED_VALUE"""),45949.28426895875)</f>
        <v>45949.28427</v>
      </c>
      <c r="J521" s="15">
        <f>IFERROR(__xludf.DUMMYFUNCTION("""COMPUTED_VALUE"""),45949.02932489625)</f>
        <v>45949.02932</v>
      </c>
      <c r="K521" s="15">
        <f>IFERROR(__xludf.DUMMYFUNCTION("""COMPUTED_VALUE"""),45949.27146107387)</f>
        <v>45949.27146</v>
      </c>
      <c r="L521" s="4"/>
    </row>
    <row r="522">
      <c r="A522" s="1">
        <f>IFERROR(__xludf.DUMMYFUNCTION("""COMPUTED_VALUE"""),521.0)</f>
        <v>521</v>
      </c>
      <c r="B522" s="1">
        <f>IFERROR(__xludf.DUMMYFUNCTION("""COMPUTED_VALUE"""),5159.0)</f>
        <v>5159</v>
      </c>
      <c r="C522" s="2" t="str">
        <f>IFERROR(__xludf.DUMMYFUNCTION("""COMPUTED_VALUE"""),"Aa Lana")</f>
        <v>Aa Lana</v>
      </c>
      <c r="D522" s="2" t="str">
        <f>IFERROR(__xludf.DUMMYFUNCTION("""COMPUTED_VALUE"""),"5KM OVERALL M")</f>
        <v>5KM OVERALL M</v>
      </c>
      <c r="E522" s="1">
        <f>IFERROR(__xludf.DUMMYFUNCTION("""COMPUTED_VALUE"""),351.0)</f>
        <v>351</v>
      </c>
      <c r="F522" s="1" t="str">
        <f>IFERROR(__xludf.DUMMYFUNCTION("""COMPUTED_VALUE"""),"Male")</f>
        <v>Male</v>
      </c>
      <c r="G522" s="5">
        <f>IFERROR(__xludf.DUMMYFUNCTION("""COMPUTED_VALUE"""),0.005870530092592593)</f>
        <v>0.005870530093</v>
      </c>
      <c r="H522" s="15">
        <f>IFERROR(__xludf.DUMMYFUNCTION("""COMPUTED_VALUE"""),0.2549440625)</f>
        <v>0.2549440625</v>
      </c>
      <c r="I522" s="15">
        <f>IFERROR(__xludf.DUMMYFUNCTION("""COMPUTED_VALUE"""),45949.284296718324)</f>
        <v>45949.2843</v>
      </c>
      <c r="J522" s="15">
        <f>IFERROR(__xludf.DUMMYFUNCTION("""COMPUTED_VALUE"""),45949.02935265582)</f>
        <v>45949.02935</v>
      </c>
      <c r="K522" s="15">
        <f>IFERROR(__xludf.DUMMYFUNCTION("""COMPUTED_VALUE"""),45949.27195729735)</f>
        <v>45949.27196</v>
      </c>
      <c r="L522" s="4"/>
    </row>
    <row r="523">
      <c r="A523" s="1">
        <f>IFERROR(__xludf.DUMMYFUNCTION("""COMPUTED_VALUE"""),522.0)</f>
        <v>522</v>
      </c>
      <c r="B523" s="1">
        <f>IFERROR(__xludf.DUMMYFUNCTION("""COMPUTED_VALUE"""),7078.0)</f>
        <v>7078</v>
      </c>
      <c r="C523" s="2" t="str">
        <f>IFERROR(__xludf.DUMMYFUNCTION("""COMPUTED_VALUE"""),"haryono")</f>
        <v>haryono</v>
      </c>
      <c r="D523" s="2" t="str">
        <f>IFERROR(__xludf.DUMMYFUNCTION("""COMPUTED_VALUE"""),"5KM MASTER M")</f>
        <v>5KM MASTER M</v>
      </c>
      <c r="E523" s="1">
        <f>IFERROR(__xludf.DUMMYFUNCTION("""COMPUTED_VALUE"""),50.0)</f>
        <v>50</v>
      </c>
      <c r="F523" s="1" t="str">
        <f>IFERROR(__xludf.DUMMYFUNCTION("""COMPUTED_VALUE"""),"Male")</f>
        <v>Male</v>
      </c>
      <c r="G523" s="5">
        <f>IFERROR(__xludf.DUMMYFUNCTION("""COMPUTED_VALUE"""),0.005871909722222223)</f>
        <v>0.005871909722</v>
      </c>
      <c r="H523" s="15">
        <f>IFERROR(__xludf.DUMMYFUNCTION("""COMPUTED_VALUE"""),0.2549440625)</f>
        <v>0.2549440625</v>
      </c>
      <c r="I523" s="15">
        <f>IFERROR(__xludf.DUMMYFUNCTION("""COMPUTED_VALUE"""),45949.284303607565)</f>
        <v>45949.2843</v>
      </c>
      <c r="J523" s="15">
        <f>IFERROR(__xludf.DUMMYFUNCTION("""COMPUTED_VALUE"""),45949.029359545064)</f>
        <v>45949.02936</v>
      </c>
      <c r="K523" s="15">
        <f>IFERROR(__xludf.DUMMYFUNCTION("""COMPUTED_VALUE"""),45949.27166905355)</f>
        <v>45949.27167</v>
      </c>
      <c r="L523" s="4"/>
    </row>
    <row r="524">
      <c r="A524" s="1">
        <f>IFERROR(__xludf.DUMMYFUNCTION("""COMPUTED_VALUE"""),523.0)</f>
        <v>523</v>
      </c>
      <c r="B524" s="1">
        <f>IFERROR(__xludf.DUMMYFUNCTION("""COMPUTED_VALUE"""),5499.0)</f>
        <v>5499</v>
      </c>
      <c r="C524" s="2" t="str">
        <f>IFERROR(__xludf.DUMMYFUNCTION("""COMPUTED_VALUE"""),"mumud")</f>
        <v>mumud</v>
      </c>
      <c r="D524" s="2" t="str">
        <f>IFERROR(__xludf.DUMMYFUNCTION("""COMPUTED_VALUE"""),"5KM OVERALL F")</f>
        <v>5KM OVERALL F</v>
      </c>
      <c r="E524" s="1">
        <f>IFERROR(__xludf.DUMMYFUNCTION("""COMPUTED_VALUE"""),57.0)</f>
        <v>57</v>
      </c>
      <c r="F524" s="1" t="str">
        <f>IFERROR(__xludf.DUMMYFUNCTION("""COMPUTED_VALUE"""),"Female")</f>
        <v>Female</v>
      </c>
      <c r="G524" s="5">
        <f>IFERROR(__xludf.DUMMYFUNCTION("""COMPUTED_VALUE"""),0.0058746944444444445)</f>
        <v>0.005874694444</v>
      </c>
      <c r="H524" s="15">
        <f>IFERROR(__xludf.DUMMYFUNCTION("""COMPUTED_VALUE"""),0.2549440625)</f>
        <v>0.2549440625</v>
      </c>
      <c r="I524" s="15">
        <f>IFERROR(__xludf.DUMMYFUNCTION("""COMPUTED_VALUE"""),45949.28431754027)</f>
        <v>45949.28432</v>
      </c>
      <c r="J524" s="15">
        <f>IFERROR(__xludf.DUMMYFUNCTION("""COMPUTED_VALUE"""),45949.029373477766)</f>
        <v>45949.02937</v>
      </c>
      <c r="K524" s="15">
        <f>IFERROR(__xludf.DUMMYFUNCTION("""COMPUTED_VALUE"""),45949.27084968432)</f>
        <v>45949.27085</v>
      </c>
      <c r="L524" s="4"/>
    </row>
    <row r="525">
      <c r="A525" s="1">
        <f>IFERROR(__xludf.DUMMYFUNCTION("""COMPUTED_VALUE"""),524.0)</f>
        <v>524</v>
      </c>
      <c r="B525" s="1">
        <f>IFERROR(__xludf.DUMMYFUNCTION("""COMPUTED_VALUE"""),6417.0)</f>
        <v>6417</v>
      </c>
      <c r="C525" s="2" t="str">
        <f>IFERROR(__xludf.DUMMYFUNCTION("""COMPUTED_VALUE"""),"Muhammad Ferdy Wardhana")</f>
        <v>Muhammad Ferdy Wardhana</v>
      </c>
      <c r="D525" s="2" t="str">
        <f>IFERROR(__xludf.DUMMYFUNCTION("""COMPUTED_VALUE"""),"5KM OVERALL M")</f>
        <v>5KM OVERALL M</v>
      </c>
      <c r="E525" s="1">
        <f>IFERROR(__xludf.DUMMYFUNCTION("""COMPUTED_VALUE"""),352.0)</f>
        <v>352</v>
      </c>
      <c r="F525" s="1" t="str">
        <f>IFERROR(__xludf.DUMMYFUNCTION("""COMPUTED_VALUE"""),"Male")</f>
        <v>Male</v>
      </c>
      <c r="G525" s="5">
        <f>IFERROR(__xludf.DUMMYFUNCTION("""COMPUTED_VALUE"""),0.005878168981481482)</f>
        <v>0.005878168981</v>
      </c>
      <c r="H525" s="15">
        <f>IFERROR(__xludf.DUMMYFUNCTION("""COMPUTED_VALUE"""),0.2549440625)</f>
        <v>0.2549440625</v>
      </c>
      <c r="I525" s="15">
        <f>IFERROR(__xludf.DUMMYFUNCTION("""COMPUTED_VALUE"""),45949.28433490417)</f>
        <v>45949.28433</v>
      </c>
      <c r="J525" s="15">
        <f>IFERROR(__xludf.DUMMYFUNCTION("""COMPUTED_VALUE"""),45949.02939084167)</f>
        <v>45949.02939</v>
      </c>
      <c r="K525" s="15">
        <f>IFERROR(__xludf.DUMMYFUNCTION("""COMPUTED_VALUE"""),45949.27081489229)</f>
        <v>45949.27081</v>
      </c>
      <c r="L525" s="4"/>
    </row>
    <row r="526">
      <c r="A526" s="1">
        <f>IFERROR(__xludf.DUMMYFUNCTION("""COMPUTED_VALUE"""),525.0)</f>
        <v>525</v>
      </c>
      <c r="B526" s="1">
        <f>IFERROR(__xludf.DUMMYFUNCTION("""COMPUTED_VALUE"""),6303.0)</f>
        <v>6303</v>
      </c>
      <c r="C526" s="2" t="str">
        <f>IFERROR(__xludf.DUMMYFUNCTION("""COMPUTED_VALUE"""),"RENJANA")</f>
        <v>RENJANA</v>
      </c>
      <c r="D526" s="2" t="str">
        <f>IFERROR(__xludf.DUMMYFUNCTION("""COMPUTED_VALUE"""),"5KM OVERALL M")</f>
        <v>5KM OVERALL M</v>
      </c>
      <c r="E526" s="1">
        <f>IFERROR(__xludf.DUMMYFUNCTION("""COMPUTED_VALUE"""),353.0)</f>
        <v>353</v>
      </c>
      <c r="F526" s="1" t="str">
        <f>IFERROR(__xludf.DUMMYFUNCTION("""COMPUTED_VALUE"""),"Male")</f>
        <v>Male</v>
      </c>
      <c r="G526" s="5">
        <f>IFERROR(__xludf.DUMMYFUNCTION("""COMPUTED_VALUE"""),0.005878171296296296)</f>
        <v>0.005878171296</v>
      </c>
      <c r="H526" s="15">
        <f>IFERROR(__xludf.DUMMYFUNCTION("""COMPUTED_VALUE"""),0.2549440625)</f>
        <v>0.2549440625</v>
      </c>
      <c r="I526" s="15">
        <f>IFERROR(__xludf.DUMMYFUNCTION("""COMPUTED_VALUE"""),45949.28433491572)</f>
        <v>45949.28433</v>
      </c>
      <c r="J526" s="15">
        <f>IFERROR(__xludf.DUMMYFUNCTION("""COMPUTED_VALUE"""),45949.02939085322)</f>
        <v>45949.02939</v>
      </c>
      <c r="K526" s="15">
        <f>IFERROR(__xludf.DUMMYFUNCTION("""COMPUTED_VALUE"""),45949.272033636036)</f>
        <v>45949.27203</v>
      </c>
      <c r="L526" s="4"/>
    </row>
    <row r="527">
      <c r="A527" s="1">
        <f>IFERROR(__xludf.DUMMYFUNCTION("""COMPUTED_VALUE"""),526.0)</f>
        <v>526</v>
      </c>
      <c r="B527" s="1">
        <f>IFERROR(__xludf.DUMMYFUNCTION("""COMPUTED_VALUE"""),6249.0)</f>
        <v>6249</v>
      </c>
      <c r="C527" s="2" t="str">
        <f>IFERROR(__xludf.DUMMYFUNCTION("""COMPUTED_VALUE"""),"WITRI")</f>
        <v>WITRI</v>
      </c>
      <c r="D527" s="2" t="str">
        <f>IFERROR(__xludf.DUMMYFUNCTION("""COMPUTED_VALUE"""),"5KM OVERALL F")</f>
        <v>5KM OVERALL F</v>
      </c>
      <c r="E527" s="1">
        <f>IFERROR(__xludf.DUMMYFUNCTION("""COMPUTED_VALUE"""),58.0)</f>
        <v>58</v>
      </c>
      <c r="F527" s="1" t="str">
        <f>IFERROR(__xludf.DUMMYFUNCTION("""COMPUTED_VALUE"""),"Female")</f>
        <v>Female</v>
      </c>
      <c r="G527" s="5">
        <f>IFERROR(__xludf.DUMMYFUNCTION("""COMPUTED_VALUE"""),0.005879543981481482)</f>
        <v>0.005879543981</v>
      </c>
      <c r="H527" s="15">
        <f>IFERROR(__xludf.DUMMYFUNCTION("""COMPUTED_VALUE"""),0.2549440625)</f>
        <v>0.2549440625</v>
      </c>
      <c r="I527" s="15">
        <f>IFERROR(__xludf.DUMMYFUNCTION("""COMPUTED_VALUE"""),45949.28434178214)</f>
        <v>45949.28434</v>
      </c>
      <c r="J527" s="15">
        <f>IFERROR(__xludf.DUMMYFUNCTION("""COMPUTED_VALUE"""),45949.02939771964)</f>
        <v>45949.0294</v>
      </c>
      <c r="K527" s="15">
        <f>IFERROR(__xludf.DUMMYFUNCTION("""COMPUTED_VALUE"""),45949.27189828986)</f>
        <v>45949.2719</v>
      </c>
      <c r="L527" s="4"/>
    </row>
    <row r="528">
      <c r="A528" s="1">
        <f>IFERROR(__xludf.DUMMYFUNCTION("""COMPUTED_VALUE"""),527.0)</f>
        <v>527</v>
      </c>
      <c r="B528" s="1">
        <f>IFERROR(__xludf.DUMMYFUNCTION("""COMPUTED_VALUE"""),6051.0)</f>
        <v>6051</v>
      </c>
      <c r="C528" s="2" t="str">
        <f>IFERROR(__xludf.DUMMYFUNCTION("""COMPUTED_VALUE"""),"orel")</f>
        <v>orel</v>
      </c>
      <c r="D528" s="2" t="str">
        <f>IFERROR(__xludf.DUMMYFUNCTION("""COMPUTED_VALUE"""),"5KM OVERALL F")</f>
        <v>5KM OVERALL F</v>
      </c>
      <c r="E528" s="1">
        <f>IFERROR(__xludf.DUMMYFUNCTION("""COMPUTED_VALUE"""),59.0)</f>
        <v>59</v>
      </c>
      <c r="F528" s="1" t="str">
        <f>IFERROR(__xludf.DUMMYFUNCTION("""COMPUTED_VALUE"""),"Female")</f>
        <v>Female</v>
      </c>
      <c r="G528" s="5">
        <f>IFERROR(__xludf.DUMMYFUNCTION("""COMPUTED_VALUE"""),0.005883027777777777)</f>
        <v>0.005883027778</v>
      </c>
      <c r="H528" s="15">
        <f>IFERROR(__xludf.DUMMYFUNCTION("""COMPUTED_VALUE"""),0.2549440625)</f>
        <v>0.2549440625</v>
      </c>
      <c r="I528" s="15">
        <f>IFERROR(__xludf.DUMMYFUNCTION("""COMPUTED_VALUE"""),45949.28435919711)</f>
        <v>45949.28436</v>
      </c>
      <c r="J528" s="15">
        <f>IFERROR(__xludf.DUMMYFUNCTION("""COMPUTED_VALUE"""),45949.02941513461)</f>
        <v>45949.02942</v>
      </c>
      <c r="K528" s="15">
        <f>IFERROR(__xludf.DUMMYFUNCTION("""COMPUTED_VALUE"""),45949.27172808142)</f>
        <v>45949.27173</v>
      </c>
      <c r="L528" s="4"/>
    </row>
    <row r="529">
      <c r="A529" s="1">
        <f>IFERROR(__xludf.DUMMYFUNCTION("""COMPUTED_VALUE"""),528.0)</f>
        <v>528</v>
      </c>
      <c r="B529" s="1">
        <f>IFERROR(__xludf.DUMMYFUNCTION("""COMPUTED_VALUE"""),7055.0)</f>
        <v>7055</v>
      </c>
      <c r="C529" s="2" t="str">
        <f>IFERROR(__xludf.DUMMYFUNCTION("""COMPUTED_VALUE"""),"Achiyar")</f>
        <v>Achiyar</v>
      </c>
      <c r="D529" s="2" t="str">
        <f>IFERROR(__xludf.DUMMYFUNCTION("""COMPUTED_VALUE"""),"5KM MASTER M")</f>
        <v>5KM MASTER M</v>
      </c>
      <c r="E529" s="1">
        <f>IFERROR(__xludf.DUMMYFUNCTION("""COMPUTED_VALUE"""),51.0)</f>
        <v>51</v>
      </c>
      <c r="F529" s="1" t="str">
        <f>IFERROR(__xludf.DUMMYFUNCTION("""COMPUTED_VALUE"""),"Male")</f>
        <v>Male</v>
      </c>
      <c r="G529" s="5">
        <f>IFERROR(__xludf.DUMMYFUNCTION("""COMPUTED_VALUE"""),0.005883724537037036)</f>
        <v>0.005883724537</v>
      </c>
      <c r="H529" s="15">
        <f>IFERROR(__xludf.DUMMYFUNCTION("""COMPUTED_VALUE"""),0.2549440625)</f>
        <v>0.2549440625</v>
      </c>
      <c r="I529" s="15">
        <f>IFERROR(__xludf.DUMMYFUNCTION("""COMPUTED_VALUE"""),45949.284362679406)</f>
        <v>45949.28436</v>
      </c>
      <c r="J529" s="15">
        <f>IFERROR(__xludf.DUMMYFUNCTION("""COMPUTED_VALUE"""),45949.029418616905)</f>
        <v>45949.02942</v>
      </c>
      <c r="K529" s="15">
        <f>IFERROR(__xludf.DUMMYFUNCTION("""COMPUTED_VALUE"""),45949.27193297)</f>
        <v>45949.27193</v>
      </c>
      <c r="L529" s="4"/>
    </row>
    <row r="530">
      <c r="A530" s="1">
        <f>IFERROR(__xludf.DUMMYFUNCTION("""COMPUTED_VALUE"""),529.0)</f>
        <v>529</v>
      </c>
      <c r="B530" s="1">
        <f>IFERROR(__xludf.DUMMYFUNCTION("""COMPUTED_VALUE"""),5086.0)</f>
        <v>5086</v>
      </c>
      <c r="C530" s="2" t="str">
        <f>IFERROR(__xludf.DUMMYFUNCTION("""COMPUTED_VALUE"""),"Andam")</f>
        <v>Andam</v>
      </c>
      <c r="D530" s="2" t="str">
        <f>IFERROR(__xludf.DUMMYFUNCTION("""COMPUTED_VALUE"""),"5KM OVERALL M")</f>
        <v>5KM OVERALL M</v>
      </c>
      <c r="E530" s="1">
        <f>IFERROR(__xludf.DUMMYFUNCTION("""COMPUTED_VALUE"""),354.0)</f>
        <v>354</v>
      </c>
      <c r="F530" s="1" t="str">
        <f>IFERROR(__xludf.DUMMYFUNCTION("""COMPUTED_VALUE"""),"Male")</f>
        <v>Male</v>
      </c>
      <c r="G530" s="5">
        <f>IFERROR(__xludf.DUMMYFUNCTION("""COMPUTED_VALUE"""),0.005886499999999999)</f>
        <v>0.0058865</v>
      </c>
      <c r="H530" s="15">
        <f>IFERROR(__xludf.DUMMYFUNCTION("""COMPUTED_VALUE"""),0.2549440625)</f>
        <v>0.2549440625</v>
      </c>
      <c r="I530" s="15">
        <f>IFERROR(__xludf.DUMMYFUNCTION("""COMPUTED_VALUE"""),45949.28437656492)</f>
        <v>45949.28438</v>
      </c>
      <c r="J530" s="15">
        <f>IFERROR(__xludf.DUMMYFUNCTION("""COMPUTED_VALUE"""),45949.02943250242)</f>
        <v>45949.02943</v>
      </c>
      <c r="K530" s="15">
        <f>IFERROR(__xludf.DUMMYFUNCTION("""COMPUTED_VALUE"""),45949.2720093936)</f>
        <v>45949.27201</v>
      </c>
      <c r="L530" s="4"/>
    </row>
    <row r="531">
      <c r="A531" s="1">
        <f>IFERROR(__xludf.DUMMYFUNCTION("""COMPUTED_VALUE"""),530.0)</f>
        <v>530</v>
      </c>
      <c r="B531" s="1">
        <f>IFERROR(__xludf.DUMMYFUNCTION("""COMPUTED_VALUE"""),6069.0)</f>
        <v>6069</v>
      </c>
      <c r="C531" s="2" t="str">
        <f>IFERROR(__xludf.DUMMYFUNCTION("""COMPUTED_VALUE"""),"Ria Nitasari")</f>
        <v>Ria Nitasari</v>
      </c>
      <c r="D531" s="2" t="str">
        <f>IFERROR(__xludf.DUMMYFUNCTION("""COMPUTED_VALUE"""),"5KM OVERALL F")</f>
        <v>5KM OVERALL F</v>
      </c>
      <c r="E531" s="1">
        <f>IFERROR(__xludf.DUMMYFUNCTION("""COMPUTED_VALUE"""),60.0)</f>
        <v>60</v>
      </c>
      <c r="F531" s="1" t="str">
        <f>IFERROR(__xludf.DUMMYFUNCTION("""COMPUTED_VALUE"""),"Female")</f>
        <v>Female</v>
      </c>
      <c r="G531" s="5">
        <f>IFERROR(__xludf.DUMMYFUNCTION("""COMPUTED_VALUE"""),0.005887194444444444)</f>
        <v>0.005887194444</v>
      </c>
      <c r="H531" s="15">
        <f>IFERROR(__xludf.DUMMYFUNCTION("""COMPUTED_VALUE"""),0.2549440625)</f>
        <v>0.2549440625</v>
      </c>
      <c r="I531" s="15">
        <f>IFERROR(__xludf.DUMMYFUNCTION("""COMPUTED_VALUE"""),45949.28438003952)</f>
        <v>45949.28438</v>
      </c>
      <c r="J531" s="15">
        <f>IFERROR(__xludf.DUMMYFUNCTION("""COMPUTED_VALUE"""),45949.02943597702)</f>
        <v>45949.02944</v>
      </c>
      <c r="K531" s="15">
        <f>IFERROR(__xludf.DUMMYFUNCTION("""COMPUTED_VALUE"""),45949.27154754457)</f>
        <v>45949.27155</v>
      </c>
      <c r="L531" s="4"/>
    </row>
    <row r="532">
      <c r="A532" s="1">
        <f>IFERROR(__xludf.DUMMYFUNCTION("""COMPUTED_VALUE"""),531.0)</f>
        <v>531</v>
      </c>
      <c r="B532" s="1">
        <f>IFERROR(__xludf.DUMMYFUNCTION("""COMPUTED_VALUE"""),5594.0)</f>
        <v>5594</v>
      </c>
      <c r="C532" s="2" t="str">
        <f>IFERROR(__xludf.DUMMYFUNCTION("""COMPUTED_VALUE"""),"Nadila Satifa")</f>
        <v>Nadila Satifa</v>
      </c>
      <c r="D532" s="2" t="str">
        <f>IFERROR(__xludf.DUMMYFUNCTION("""COMPUTED_VALUE"""),"5KM OVERALL F")</f>
        <v>5KM OVERALL F</v>
      </c>
      <c r="E532" s="1">
        <f>IFERROR(__xludf.DUMMYFUNCTION("""COMPUTED_VALUE"""),61.0)</f>
        <v>61</v>
      </c>
      <c r="F532" s="1" t="str">
        <f>IFERROR(__xludf.DUMMYFUNCTION("""COMPUTED_VALUE"""),"Female")</f>
        <v>Female</v>
      </c>
      <c r="G532" s="5">
        <f>IFERROR(__xludf.DUMMYFUNCTION("""COMPUTED_VALUE"""),0.005887194444444444)</f>
        <v>0.005887194444</v>
      </c>
      <c r="H532" s="15">
        <f>IFERROR(__xludf.DUMMYFUNCTION("""COMPUTED_VALUE"""),0.2549440625)</f>
        <v>0.2549440625</v>
      </c>
      <c r="I532" s="15">
        <f>IFERROR(__xludf.DUMMYFUNCTION("""COMPUTED_VALUE"""),45949.28438003952)</f>
        <v>45949.28438</v>
      </c>
      <c r="J532" s="15">
        <f>IFERROR(__xludf.DUMMYFUNCTION("""COMPUTED_VALUE"""),45949.02943597702)</f>
        <v>45949.02944</v>
      </c>
      <c r="K532" s="15">
        <f>IFERROR(__xludf.DUMMYFUNCTION("""COMPUTED_VALUE"""),45949.27084966102)</f>
        <v>45949.27085</v>
      </c>
      <c r="L532" s="4"/>
    </row>
    <row r="533">
      <c r="A533" s="1">
        <f>IFERROR(__xludf.DUMMYFUNCTION("""COMPUTED_VALUE"""),532.0)</f>
        <v>532</v>
      </c>
      <c r="B533" s="1">
        <f>IFERROR(__xludf.DUMMYFUNCTION("""COMPUTED_VALUE"""),5215.0)</f>
        <v>5215</v>
      </c>
      <c r="C533" s="2" t="str">
        <f>IFERROR(__xludf.DUMMYFUNCTION("""COMPUTED_VALUE"""),"Martin G P Manik")</f>
        <v>Martin G P Manik</v>
      </c>
      <c r="D533" s="2" t="str">
        <f>IFERROR(__xludf.DUMMYFUNCTION("""COMPUTED_VALUE"""),"5KM OVERALL M")</f>
        <v>5KM OVERALL M</v>
      </c>
      <c r="E533" s="1">
        <f>IFERROR(__xludf.DUMMYFUNCTION("""COMPUTED_VALUE"""),355.0)</f>
        <v>355</v>
      </c>
      <c r="F533" s="1" t="str">
        <f>IFERROR(__xludf.DUMMYFUNCTION("""COMPUTED_VALUE"""),"Male")</f>
        <v>Male</v>
      </c>
      <c r="G533" s="5">
        <f>IFERROR(__xludf.DUMMYFUNCTION("""COMPUTED_VALUE"""),0.005887194444444444)</f>
        <v>0.005887194444</v>
      </c>
      <c r="H533" s="15">
        <f>IFERROR(__xludf.DUMMYFUNCTION("""COMPUTED_VALUE"""),0.2549440625)</f>
        <v>0.2549440625</v>
      </c>
      <c r="I533" s="15">
        <f>IFERROR(__xludf.DUMMYFUNCTION("""COMPUTED_VALUE"""),45949.28438003952)</f>
        <v>45949.28438</v>
      </c>
      <c r="J533" s="15">
        <f>IFERROR(__xludf.DUMMYFUNCTION("""COMPUTED_VALUE"""),45949.02943597702)</f>
        <v>45949.02944</v>
      </c>
      <c r="K533" s="15">
        <f>IFERROR(__xludf.DUMMYFUNCTION("""COMPUTED_VALUE"""),45949.27238434957)</f>
        <v>45949.27238</v>
      </c>
      <c r="L533" s="4"/>
    </row>
    <row r="534">
      <c r="A534" s="1">
        <f>IFERROR(__xludf.DUMMYFUNCTION("""COMPUTED_VALUE"""),533.0)</f>
        <v>533</v>
      </c>
      <c r="B534" s="1">
        <f>IFERROR(__xludf.DUMMYFUNCTION("""COMPUTED_VALUE"""),6039.0)</f>
        <v>6039</v>
      </c>
      <c r="C534" s="2" t="str">
        <f>IFERROR(__xludf.DUMMYFUNCTION("""COMPUTED_VALUE"""),"Yuniar Novitasari")</f>
        <v>Yuniar Novitasari</v>
      </c>
      <c r="D534" s="2" t="str">
        <f>IFERROR(__xludf.DUMMYFUNCTION("""COMPUTED_VALUE"""),"5KM OVERALL F")</f>
        <v>5KM OVERALL F</v>
      </c>
      <c r="E534" s="1">
        <f>IFERROR(__xludf.DUMMYFUNCTION("""COMPUTED_VALUE"""),62.0)</f>
        <v>62</v>
      </c>
      <c r="F534" s="1" t="str">
        <f>IFERROR(__xludf.DUMMYFUNCTION("""COMPUTED_VALUE"""),"Female")</f>
        <v>Female</v>
      </c>
      <c r="G534" s="5">
        <f>IFERROR(__xludf.DUMMYFUNCTION("""COMPUTED_VALUE"""),0.005889280092592592)</f>
        <v>0.005889280093</v>
      </c>
      <c r="H534" s="15">
        <f>IFERROR(__xludf.DUMMYFUNCTION("""COMPUTED_VALUE"""),0.2549440625)</f>
        <v>0.2549440625</v>
      </c>
      <c r="I534" s="15">
        <f>IFERROR(__xludf.DUMMYFUNCTION("""COMPUTED_VALUE"""),45949.28439046097)</f>
        <v>45949.28439</v>
      </c>
      <c r="J534" s="15">
        <f>IFERROR(__xludf.DUMMYFUNCTION("""COMPUTED_VALUE"""),45949.02944639847)</f>
        <v>45949.02945</v>
      </c>
      <c r="K534" s="15">
        <f>IFERROR(__xludf.DUMMYFUNCTION("""COMPUTED_VALUE"""),45949.271564905735)</f>
        <v>45949.27156</v>
      </c>
      <c r="L534" s="4"/>
    </row>
    <row r="535">
      <c r="A535" s="1">
        <f>IFERROR(__xludf.DUMMYFUNCTION("""COMPUTED_VALUE"""),534.0)</f>
        <v>534</v>
      </c>
      <c r="B535" s="1">
        <f>IFERROR(__xludf.DUMMYFUNCTION("""COMPUTED_VALUE"""),5903.0)</f>
        <v>5903</v>
      </c>
      <c r="C535" s="2" t="str">
        <f>IFERROR(__xludf.DUMMYFUNCTION("""COMPUTED_VALUE"""),"Friska Julia Evita")</f>
        <v>Friska Julia Evita</v>
      </c>
      <c r="D535" s="2" t="str">
        <f>IFERROR(__xludf.DUMMYFUNCTION("""COMPUTED_VALUE"""),"5KM OVERALL F")</f>
        <v>5KM OVERALL F</v>
      </c>
      <c r="E535" s="1">
        <f>IFERROR(__xludf.DUMMYFUNCTION("""COMPUTED_VALUE"""),63.0)</f>
        <v>63</v>
      </c>
      <c r="F535" s="1" t="str">
        <f>IFERROR(__xludf.DUMMYFUNCTION("""COMPUTED_VALUE"""),"Female")</f>
        <v>Female</v>
      </c>
      <c r="G535" s="5">
        <f>IFERROR(__xludf.DUMMYFUNCTION("""COMPUTED_VALUE"""),0.005890666666666667)</f>
        <v>0.005890666667</v>
      </c>
      <c r="H535" s="15">
        <f>IFERROR(__xludf.DUMMYFUNCTION("""COMPUTED_VALUE"""),0.2549440625)</f>
        <v>0.2549440625</v>
      </c>
      <c r="I535" s="15">
        <f>IFERROR(__xludf.DUMMYFUNCTION("""COMPUTED_VALUE"""),45949.28439739976)</f>
        <v>45949.2844</v>
      </c>
      <c r="J535" s="15">
        <f>IFERROR(__xludf.DUMMYFUNCTION("""COMPUTED_VALUE"""),45949.02945333726)</f>
        <v>45949.02945</v>
      </c>
      <c r="K535" s="15">
        <f>IFERROR(__xludf.DUMMYFUNCTION("""COMPUTED_VALUE"""),45949.271450306376)</f>
        <v>45949.27145</v>
      </c>
      <c r="L535" s="4"/>
    </row>
    <row r="536">
      <c r="A536" s="1">
        <f>IFERROR(__xludf.DUMMYFUNCTION("""COMPUTED_VALUE"""),535.0)</f>
        <v>535</v>
      </c>
      <c r="B536" s="1">
        <f>IFERROR(__xludf.DUMMYFUNCTION("""COMPUTED_VALUE"""),6494.0)</f>
        <v>6494</v>
      </c>
      <c r="C536" s="2" t="str">
        <f>IFERROR(__xludf.DUMMYFUNCTION("""COMPUTED_VALUE"""),"BPBD PROVINSI KALSEL")</f>
        <v>BPBD PROVINSI KALSEL</v>
      </c>
      <c r="D536" s="2" t="str">
        <f>IFERROR(__xludf.DUMMYFUNCTION("""COMPUTED_VALUE"""),"5KM OVERALL M")</f>
        <v>5KM OVERALL M</v>
      </c>
      <c r="E536" s="1">
        <f>IFERROR(__xludf.DUMMYFUNCTION("""COMPUTED_VALUE"""),356.0)</f>
        <v>356</v>
      </c>
      <c r="F536" s="1" t="str">
        <f>IFERROR(__xludf.DUMMYFUNCTION("""COMPUTED_VALUE"""),"Male")</f>
        <v>Male</v>
      </c>
      <c r="G536" s="5">
        <f>IFERROR(__xludf.DUMMYFUNCTION("""COMPUTED_VALUE"""),0.005892752314814814)</f>
        <v>0.005892752315</v>
      </c>
      <c r="H536" s="15">
        <f>IFERROR(__xludf.DUMMYFUNCTION("""COMPUTED_VALUE"""),0.2549440625)</f>
        <v>0.2549440625</v>
      </c>
      <c r="I536" s="15">
        <f>IFERROR(__xludf.DUMMYFUNCTION("""COMPUTED_VALUE"""),45949.2844078211)</f>
        <v>45949.28441</v>
      </c>
      <c r="J536" s="15">
        <f>IFERROR(__xludf.DUMMYFUNCTION("""COMPUTED_VALUE"""),45949.0294637586)</f>
        <v>45949.02946</v>
      </c>
      <c r="K536" s="15">
        <f>IFERROR(__xludf.DUMMYFUNCTION("""COMPUTED_VALUE"""),45949.270689913974)</f>
        <v>45949.27069</v>
      </c>
      <c r="L536" s="4"/>
    </row>
    <row r="537">
      <c r="A537" s="1">
        <f>IFERROR(__xludf.DUMMYFUNCTION("""COMPUTED_VALUE"""),536.0)</f>
        <v>536</v>
      </c>
      <c r="B537" s="1">
        <f>IFERROR(__xludf.DUMMYFUNCTION("""COMPUTED_VALUE"""),5683.0)</f>
        <v>5683</v>
      </c>
      <c r="C537" s="2" t="str">
        <f>IFERROR(__xludf.DUMMYFUNCTION("""COMPUTED_VALUE"""),"BANI")</f>
        <v>BANI</v>
      </c>
      <c r="D537" s="2" t="str">
        <f>IFERROR(__xludf.DUMMYFUNCTION("""COMPUTED_VALUE"""),"5KM OVERALL M")</f>
        <v>5KM OVERALL M</v>
      </c>
      <c r="E537" s="1">
        <f>IFERROR(__xludf.DUMMYFUNCTION("""COMPUTED_VALUE"""),357.0)</f>
        <v>357</v>
      </c>
      <c r="F537" s="1" t="str">
        <f>IFERROR(__xludf.DUMMYFUNCTION("""COMPUTED_VALUE"""),"Male")</f>
        <v>Male</v>
      </c>
      <c r="G537" s="5">
        <f>IFERROR(__xludf.DUMMYFUNCTION("""COMPUTED_VALUE"""),0.005894131944444444)</f>
        <v>0.005894131944</v>
      </c>
      <c r="H537" s="15">
        <f>IFERROR(__xludf.DUMMYFUNCTION("""COMPUTED_VALUE"""),0.2549440625)</f>
        <v>0.2549440625</v>
      </c>
      <c r="I537" s="15">
        <f>IFERROR(__xludf.DUMMYFUNCTION("""COMPUTED_VALUE"""),45949.28441471895)</f>
        <v>45949.28441</v>
      </c>
      <c r="J537" s="15">
        <f>IFERROR(__xludf.DUMMYFUNCTION("""COMPUTED_VALUE"""),45949.02947065645)</f>
        <v>45949.02947</v>
      </c>
      <c r="K537" s="15">
        <f>IFERROR(__xludf.DUMMYFUNCTION("""COMPUTED_VALUE"""),45949.270623917946)</f>
        <v>45949.27062</v>
      </c>
      <c r="L537" s="4"/>
    </row>
    <row r="538">
      <c r="A538" s="1">
        <f>IFERROR(__xludf.DUMMYFUNCTION("""COMPUTED_VALUE"""),537.0)</f>
        <v>537</v>
      </c>
      <c r="B538" s="1">
        <f>IFERROR(__xludf.DUMMYFUNCTION("""COMPUTED_VALUE"""),6592.0)</f>
        <v>6592</v>
      </c>
      <c r="C538" s="2" t="str">
        <f>IFERROR(__xludf.DUMMYFUNCTION("""COMPUTED_VALUE"""),"PACER - ANWAR")</f>
        <v>PACER - ANWAR</v>
      </c>
      <c r="D538" s="2" t="str">
        <f>IFERROR(__xludf.DUMMYFUNCTION("""COMPUTED_VALUE"""),"5KM OVERALL M")</f>
        <v>5KM OVERALL M</v>
      </c>
      <c r="E538" s="1">
        <f>IFERROR(__xludf.DUMMYFUNCTION("""COMPUTED_VALUE"""),358.0)</f>
        <v>358</v>
      </c>
      <c r="F538" s="1" t="str">
        <f>IFERROR(__xludf.DUMMYFUNCTION("""COMPUTED_VALUE"""),"Male")</f>
        <v>Male</v>
      </c>
      <c r="G538" s="5">
        <f>IFERROR(__xludf.DUMMYFUNCTION("""COMPUTED_VALUE"""),0.005898310185185185)</f>
        <v>0.005898310185</v>
      </c>
      <c r="H538" s="15">
        <f>IFERROR(__xludf.DUMMYFUNCTION("""COMPUTED_VALUE"""),0.2549440625)</f>
        <v>0.2549440625</v>
      </c>
      <c r="I538" s="15">
        <f>IFERROR(__xludf.DUMMYFUNCTION("""COMPUTED_VALUE"""),45949.28443560846)</f>
        <v>45949.28444</v>
      </c>
      <c r="J538" s="15">
        <f>IFERROR(__xludf.DUMMYFUNCTION("""COMPUTED_VALUE"""),45949.02949154596)</f>
        <v>45949.02949</v>
      </c>
      <c r="K538" s="15">
        <f>IFERROR(__xludf.DUMMYFUNCTION("""COMPUTED_VALUE"""),45949.27191558998)</f>
        <v>45949.27192</v>
      </c>
      <c r="L538" s="4"/>
    </row>
    <row r="539">
      <c r="A539" s="1">
        <f>IFERROR(__xludf.DUMMYFUNCTION("""COMPUTED_VALUE"""),538.0)</f>
        <v>538</v>
      </c>
      <c r="B539" s="1">
        <f>IFERROR(__xludf.DUMMYFUNCTION("""COMPUTED_VALUE"""),6126.0)</f>
        <v>6126</v>
      </c>
      <c r="C539" s="2" t="str">
        <f>IFERROR(__xludf.DUMMYFUNCTION("""COMPUTED_VALUE"""),"Reza")</f>
        <v>Reza</v>
      </c>
      <c r="D539" s="2" t="str">
        <f>IFERROR(__xludf.DUMMYFUNCTION("""COMPUTED_VALUE"""),"5KM OVERALL M")</f>
        <v>5KM OVERALL M</v>
      </c>
      <c r="E539" s="1">
        <f>IFERROR(__xludf.DUMMYFUNCTION("""COMPUTED_VALUE"""),359.0)</f>
        <v>359</v>
      </c>
      <c r="F539" s="1" t="str">
        <f>IFERROR(__xludf.DUMMYFUNCTION("""COMPUTED_VALUE"""),"Male")</f>
        <v>Male</v>
      </c>
      <c r="G539" s="5">
        <f>IFERROR(__xludf.DUMMYFUNCTION("""COMPUTED_VALUE"""),0.005900388888888888)</f>
        <v>0.005900388889</v>
      </c>
      <c r="H539" s="15">
        <f>IFERROR(__xludf.DUMMYFUNCTION("""COMPUTED_VALUE"""),0.2549440625)</f>
        <v>0.2549440625</v>
      </c>
      <c r="I539" s="15">
        <f>IFERROR(__xludf.DUMMYFUNCTION("""COMPUTED_VALUE"""),45949.28444601043)</f>
        <v>45949.28445</v>
      </c>
      <c r="J539" s="15">
        <f>IFERROR(__xludf.DUMMYFUNCTION("""COMPUTED_VALUE"""),45949.02950194793)</f>
        <v>45949.0295</v>
      </c>
      <c r="K539" s="15">
        <f>IFERROR(__xludf.DUMMYFUNCTION("""COMPUTED_VALUE"""),45949.27186348882)</f>
        <v>45949.27186</v>
      </c>
      <c r="L539" s="4"/>
    </row>
    <row r="540">
      <c r="A540" s="1">
        <f>IFERROR(__xludf.DUMMYFUNCTION("""COMPUTED_VALUE"""),539.0)</f>
        <v>539</v>
      </c>
      <c r="B540" s="1">
        <f>IFERROR(__xludf.DUMMYFUNCTION("""COMPUTED_VALUE"""),5608.0)</f>
        <v>5608</v>
      </c>
      <c r="C540" s="2" t="str">
        <f>IFERROR(__xludf.DUMMYFUNCTION("""COMPUTED_VALUE"""),"H. SUHENDI 86")</f>
        <v>H. SUHENDI 86</v>
      </c>
      <c r="D540" s="2" t="str">
        <f>IFERROR(__xludf.DUMMYFUNCTION("""COMPUTED_VALUE"""),"5KM OVERALL M")</f>
        <v>5KM OVERALL M</v>
      </c>
      <c r="E540" s="1">
        <f>IFERROR(__xludf.DUMMYFUNCTION("""COMPUTED_VALUE"""),360.0)</f>
        <v>360</v>
      </c>
      <c r="F540" s="1" t="str">
        <f>IFERROR(__xludf.DUMMYFUNCTION("""COMPUTED_VALUE"""),"Male")</f>
        <v>Male</v>
      </c>
      <c r="G540" s="5">
        <f>IFERROR(__xludf.DUMMYFUNCTION("""COMPUTED_VALUE"""),0.005903861111111111)</f>
        <v>0.005903861111</v>
      </c>
      <c r="H540" s="15">
        <f>IFERROR(__xludf.DUMMYFUNCTION("""COMPUTED_VALUE"""),0.2549440625)</f>
        <v>0.2549440625</v>
      </c>
      <c r="I540" s="15">
        <f>IFERROR(__xludf.DUMMYFUNCTION("""COMPUTED_VALUE"""),45949.284463368924)</f>
        <v>45949.28446</v>
      </c>
      <c r="J540" s="15">
        <f>IFERROR(__xludf.DUMMYFUNCTION("""COMPUTED_VALUE"""),45949.02951930642)</f>
        <v>45949.02952</v>
      </c>
      <c r="K540" s="15">
        <f>IFERROR(__xludf.DUMMYFUNCTION("""COMPUTED_VALUE"""),45949.2713114151)</f>
        <v>45949.27131</v>
      </c>
      <c r="L540" s="4"/>
    </row>
    <row r="541">
      <c r="A541" s="1">
        <f>IFERROR(__xludf.DUMMYFUNCTION("""COMPUTED_VALUE"""),540.0)</f>
        <v>540</v>
      </c>
      <c r="B541" s="1">
        <f>IFERROR(__xludf.DUMMYFUNCTION("""COMPUTED_VALUE"""),6591.0)</f>
        <v>6591</v>
      </c>
      <c r="C541" s="2" t="str">
        <f>IFERROR(__xludf.DUMMYFUNCTION("""COMPUTED_VALUE"""),"PACER - INTAN")</f>
        <v>PACER - INTAN</v>
      </c>
      <c r="D541" s="2" t="str">
        <f>IFERROR(__xludf.DUMMYFUNCTION("""COMPUTED_VALUE"""),"5KM OVERALL F")</f>
        <v>5KM OVERALL F</v>
      </c>
      <c r="E541" s="1">
        <f>IFERROR(__xludf.DUMMYFUNCTION("""COMPUTED_VALUE"""),64.0)</f>
        <v>64</v>
      </c>
      <c r="F541" s="1" t="str">
        <f>IFERROR(__xludf.DUMMYFUNCTION("""COMPUTED_VALUE"""),"Female")</f>
        <v>Female</v>
      </c>
      <c r="G541" s="5">
        <f>IFERROR(__xludf.DUMMYFUNCTION("""COMPUTED_VALUE"""),0.005905250000000001)</f>
        <v>0.00590525</v>
      </c>
      <c r="H541" s="15">
        <f>IFERROR(__xludf.DUMMYFUNCTION("""COMPUTED_VALUE"""),0.2549440625)</f>
        <v>0.2549440625</v>
      </c>
      <c r="I541" s="15">
        <f>IFERROR(__xludf.DUMMYFUNCTION("""COMPUTED_VALUE"""),45949.28447030909)</f>
        <v>45949.28447</v>
      </c>
      <c r="J541" s="15">
        <f>IFERROR(__xludf.DUMMYFUNCTION("""COMPUTED_VALUE"""),45949.02952624659)</f>
        <v>45949.02953</v>
      </c>
      <c r="K541" s="15">
        <f>IFERROR(__xludf.DUMMYFUNCTION("""COMPUTED_VALUE"""),45949.27187739542)</f>
        <v>45949.27188</v>
      </c>
      <c r="L541" s="4"/>
    </row>
    <row r="542">
      <c r="A542" s="1">
        <f>IFERROR(__xludf.DUMMYFUNCTION("""COMPUTED_VALUE"""),541.0)</f>
        <v>541</v>
      </c>
      <c r="B542" s="1">
        <f>IFERROR(__xludf.DUMMYFUNCTION("""COMPUTED_VALUE"""),6531.0)</f>
        <v>6531</v>
      </c>
      <c r="C542" s="2" t="str">
        <f>IFERROR(__xludf.DUMMYFUNCTION("""COMPUTED_VALUE"""),"PACER - KAHFI")</f>
        <v>PACER - KAHFI</v>
      </c>
      <c r="D542" s="2" t="str">
        <f>IFERROR(__xludf.DUMMYFUNCTION("""COMPUTED_VALUE"""),"5KM OVERALL M")</f>
        <v>5KM OVERALL M</v>
      </c>
      <c r="E542" s="1">
        <f>IFERROR(__xludf.DUMMYFUNCTION("""COMPUTED_VALUE"""),361.0)</f>
        <v>361</v>
      </c>
      <c r="F542" s="1" t="str">
        <f>IFERROR(__xludf.DUMMYFUNCTION("""COMPUTED_VALUE"""),"Male")</f>
        <v>Male</v>
      </c>
      <c r="G542" s="5">
        <f>IFERROR(__xludf.DUMMYFUNCTION("""COMPUTED_VALUE"""),0.0059052523148148146)</f>
        <v>0.005905252315</v>
      </c>
      <c r="H542" s="15">
        <f>IFERROR(__xludf.DUMMYFUNCTION("""COMPUTED_VALUE"""),0.2549440625)</f>
        <v>0.2549440625</v>
      </c>
      <c r="I542" s="15">
        <f>IFERROR(__xludf.DUMMYFUNCTION("""COMPUTED_VALUE"""),45949.284470321196)</f>
        <v>45949.28447</v>
      </c>
      <c r="J542" s="15">
        <f>IFERROR(__xludf.DUMMYFUNCTION("""COMPUTED_VALUE"""),45949.029526258695)</f>
        <v>45949.02953</v>
      </c>
      <c r="K542" s="15">
        <f>IFERROR(__xludf.DUMMYFUNCTION("""COMPUTED_VALUE"""),45949.271853092025)</f>
        <v>45949.27185</v>
      </c>
      <c r="L542" s="4"/>
    </row>
    <row r="543">
      <c r="A543" s="1">
        <f>IFERROR(__xludf.DUMMYFUNCTION("""COMPUTED_VALUE"""),542.0)</f>
        <v>542</v>
      </c>
      <c r="B543" s="1">
        <f>IFERROR(__xludf.DUMMYFUNCTION("""COMPUTED_VALUE"""),7003.0)</f>
        <v>7003</v>
      </c>
      <c r="C543" s="2" t="str">
        <f>IFERROR(__xludf.DUMMYFUNCTION("""COMPUTED_VALUE"""),"El Hakim")</f>
        <v>El Hakim</v>
      </c>
      <c r="D543" s="2" t="str">
        <f>IFERROR(__xludf.DUMMYFUNCTION("""COMPUTED_VALUE"""),"5KM MASTER M")</f>
        <v>5KM MASTER M</v>
      </c>
      <c r="E543" s="1">
        <f>IFERROR(__xludf.DUMMYFUNCTION("""COMPUTED_VALUE"""),52.0)</f>
        <v>52</v>
      </c>
      <c r="F543" s="1" t="str">
        <f>IFERROR(__xludf.DUMMYFUNCTION("""COMPUTED_VALUE"""),"Male")</f>
        <v>Male</v>
      </c>
      <c r="G543" s="5">
        <f>IFERROR(__xludf.DUMMYFUNCTION("""COMPUTED_VALUE"""),0.005909416666666666)</f>
        <v>0.005909416667</v>
      </c>
      <c r="H543" s="15">
        <f>IFERROR(__xludf.DUMMYFUNCTION("""COMPUTED_VALUE"""),0.2549440625)</f>
        <v>0.2549440625</v>
      </c>
      <c r="I543" s="15">
        <f>IFERROR(__xludf.DUMMYFUNCTION("""COMPUTED_VALUE"""),45949.284491140665)</f>
        <v>45949.28449</v>
      </c>
      <c r="J543" s="15">
        <f>IFERROR(__xludf.DUMMYFUNCTION("""COMPUTED_VALUE"""),45949.029547078164)</f>
        <v>45949.02955</v>
      </c>
      <c r="K543" s="15">
        <f>IFERROR(__xludf.DUMMYFUNCTION("""COMPUTED_VALUE"""),45949.27180101403)</f>
        <v>45949.2718</v>
      </c>
      <c r="L543" s="4"/>
    </row>
    <row r="544">
      <c r="A544" s="1">
        <f>IFERROR(__xludf.DUMMYFUNCTION("""COMPUTED_VALUE"""),543.0)</f>
        <v>543</v>
      </c>
      <c r="B544" s="1">
        <f>IFERROR(__xludf.DUMMYFUNCTION("""COMPUTED_VALUE"""),6399.0)</f>
        <v>6399</v>
      </c>
      <c r="C544" s="2" t="str">
        <f>IFERROR(__xludf.DUMMYFUNCTION("""COMPUTED_VALUE"""),"Efy Apriati")</f>
        <v>Efy Apriati</v>
      </c>
      <c r="D544" s="2" t="str">
        <f>IFERROR(__xludf.DUMMYFUNCTION("""COMPUTED_VALUE"""),"5KM OVERALL F")</f>
        <v>5KM OVERALL F</v>
      </c>
      <c r="E544" s="1">
        <f>IFERROR(__xludf.DUMMYFUNCTION("""COMPUTED_VALUE"""),65.0)</f>
        <v>65</v>
      </c>
      <c r="F544" s="1" t="str">
        <f>IFERROR(__xludf.DUMMYFUNCTION("""COMPUTED_VALUE"""),"Female")</f>
        <v>Female</v>
      </c>
      <c r="G544" s="5">
        <f>IFERROR(__xludf.DUMMYFUNCTION("""COMPUTED_VALUE"""),0.0059115)</f>
        <v>0.0059115</v>
      </c>
      <c r="H544" s="15">
        <f>IFERROR(__xludf.DUMMYFUNCTION("""COMPUTED_VALUE"""),0.2549440625)</f>
        <v>0.2549440625</v>
      </c>
      <c r="I544" s="15">
        <f>IFERROR(__xludf.DUMMYFUNCTION("""COMPUTED_VALUE"""),45949.284501560454)</f>
        <v>45949.2845</v>
      </c>
      <c r="J544" s="15">
        <f>IFERROR(__xludf.DUMMYFUNCTION("""COMPUTED_VALUE"""),45949.029557497954)</f>
        <v>45949.02956</v>
      </c>
      <c r="K544" s="15">
        <f>IFERROR(__xludf.DUMMYFUNCTION("""COMPUTED_VALUE"""),45949.272134378734)</f>
        <v>45949.27213</v>
      </c>
      <c r="L544" s="4"/>
    </row>
    <row r="545">
      <c r="A545" s="1">
        <f>IFERROR(__xludf.DUMMYFUNCTION("""COMPUTED_VALUE"""),544.0)</f>
        <v>544</v>
      </c>
      <c r="B545" s="1">
        <f>IFERROR(__xludf.DUMMYFUNCTION("""COMPUTED_VALUE"""),6291.0)</f>
        <v>6291</v>
      </c>
      <c r="C545" s="2" t="str">
        <f>IFERROR(__xludf.DUMMYFUNCTION("""COMPUTED_VALUE"""),"Gombal Amoh")</f>
        <v>Gombal Amoh</v>
      </c>
      <c r="D545" s="2" t="str">
        <f>IFERROR(__xludf.DUMMYFUNCTION("""COMPUTED_VALUE"""),"5KM OVERALL M")</f>
        <v>5KM OVERALL M</v>
      </c>
      <c r="E545" s="1">
        <f>IFERROR(__xludf.DUMMYFUNCTION("""COMPUTED_VALUE"""),362.0)</f>
        <v>362</v>
      </c>
      <c r="F545" s="1" t="str">
        <f>IFERROR(__xludf.DUMMYFUNCTION("""COMPUTED_VALUE"""),"Male")</f>
        <v>Male</v>
      </c>
      <c r="G545" s="5">
        <f>IFERROR(__xludf.DUMMYFUNCTION("""COMPUTED_VALUE"""),0.005914277777777777)</f>
        <v>0.005914277778</v>
      </c>
      <c r="H545" s="15">
        <f>IFERROR(__xludf.DUMMYFUNCTION("""COMPUTED_VALUE"""),0.2549440625)</f>
        <v>0.2549440625</v>
      </c>
      <c r="I545" s="15">
        <f>IFERROR(__xludf.DUMMYFUNCTION("""COMPUTED_VALUE"""),45949.28451544764)</f>
        <v>45949.28452</v>
      </c>
      <c r="J545" s="15">
        <f>IFERROR(__xludf.DUMMYFUNCTION("""COMPUTED_VALUE"""),45949.02957138514)</f>
        <v>45949.02957</v>
      </c>
      <c r="K545" s="15">
        <f>IFERROR(__xludf.DUMMYFUNCTION("""COMPUTED_VALUE"""),45949.27101285266)</f>
        <v>45949.27101</v>
      </c>
      <c r="L545" s="4"/>
    </row>
    <row r="546">
      <c r="A546" s="1">
        <f>IFERROR(__xludf.DUMMYFUNCTION("""COMPUTED_VALUE"""),545.0)</f>
        <v>545</v>
      </c>
      <c r="B546" s="1">
        <f>IFERROR(__xludf.DUMMYFUNCTION("""COMPUTED_VALUE"""),5122.0)</f>
        <v>5122</v>
      </c>
      <c r="C546" s="2" t="str">
        <f>IFERROR(__xludf.DUMMYFUNCTION("""COMPUTED_VALUE"""),"RAYNALDY")</f>
        <v>RAYNALDY</v>
      </c>
      <c r="D546" s="2" t="str">
        <f>IFERROR(__xludf.DUMMYFUNCTION("""COMPUTED_VALUE"""),"5KM OVERALL M")</f>
        <v>5KM OVERALL M</v>
      </c>
      <c r="E546" s="1">
        <f>IFERROR(__xludf.DUMMYFUNCTION("""COMPUTED_VALUE"""),363.0)</f>
        <v>363</v>
      </c>
      <c r="F546" s="1" t="str">
        <f>IFERROR(__xludf.DUMMYFUNCTION("""COMPUTED_VALUE"""),"Male")</f>
        <v>Male</v>
      </c>
      <c r="G546" s="5">
        <f>IFERROR(__xludf.DUMMYFUNCTION("""COMPUTED_VALUE"""),0.005916363425925926)</f>
        <v>0.005916363426</v>
      </c>
      <c r="H546" s="15">
        <f>IFERROR(__xludf.DUMMYFUNCTION("""COMPUTED_VALUE"""),0.2549440625)</f>
        <v>0.2549440625</v>
      </c>
      <c r="I546" s="15">
        <f>IFERROR(__xludf.DUMMYFUNCTION("""COMPUTED_VALUE"""),45949.284525877454)</f>
        <v>45949.28453</v>
      </c>
      <c r="J546" s="15">
        <f>IFERROR(__xludf.DUMMYFUNCTION("""COMPUTED_VALUE"""),45949.02958181495)</f>
        <v>45949.02958</v>
      </c>
      <c r="K546" s="15">
        <f>IFERROR(__xludf.DUMMYFUNCTION("""COMPUTED_VALUE"""),45949.271738574855)</f>
        <v>45949.27174</v>
      </c>
      <c r="L546" s="4"/>
    </row>
    <row r="547">
      <c r="A547" s="1">
        <f>IFERROR(__xludf.DUMMYFUNCTION("""COMPUTED_VALUE"""),546.0)</f>
        <v>546</v>
      </c>
      <c r="B547" s="1">
        <f>IFERROR(__xludf.DUMMYFUNCTION("""COMPUTED_VALUE"""),6297.0)</f>
        <v>6297</v>
      </c>
      <c r="C547" s="2" t="str">
        <f>IFERROR(__xludf.DUMMYFUNCTION("""COMPUTED_VALUE"""),"rizkyikhsaan")</f>
        <v>rizkyikhsaan</v>
      </c>
      <c r="D547" s="2" t="str">
        <f>IFERROR(__xludf.DUMMYFUNCTION("""COMPUTED_VALUE"""),"5KM OVERALL M")</f>
        <v>5KM OVERALL M</v>
      </c>
      <c r="E547" s="1">
        <f>IFERROR(__xludf.DUMMYFUNCTION("""COMPUTED_VALUE"""),364.0)</f>
        <v>364</v>
      </c>
      <c r="F547" s="1" t="str">
        <f>IFERROR(__xludf.DUMMYFUNCTION("""COMPUTED_VALUE"""),"Male")</f>
        <v>Male</v>
      </c>
      <c r="G547" s="5">
        <f>IFERROR(__xludf.DUMMYFUNCTION("""COMPUTED_VALUE"""),0.005918446759259259)</f>
        <v>0.005918446759</v>
      </c>
      <c r="H547" s="15">
        <f>IFERROR(__xludf.DUMMYFUNCTION("""COMPUTED_VALUE"""),0.2549440625)</f>
        <v>0.2549440625</v>
      </c>
      <c r="I547" s="15">
        <f>IFERROR(__xludf.DUMMYFUNCTION("""COMPUTED_VALUE"""),45949.28453629287)</f>
        <v>45949.28454</v>
      </c>
      <c r="J547" s="15">
        <f>IFERROR(__xludf.DUMMYFUNCTION("""COMPUTED_VALUE"""),45949.02959223037)</f>
        <v>45949.02959</v>
      </c>
      <c r="K547" s="15">
        <f>IFERROR(__xludf.DUMMYFUNCTION("""COMPUTED_VALUE"""),45949.27496765644)</f>
        <v>45949.27497</v>
      </c>
      <c r="L547" s="4"/>
    </row>
    <row r="548">
      <c r="A548" s="1">
        <f>IFERROR(__xludf.DUMMYFUNCTION("""COMPUTED_VALUE"""),547.0)</f>
        <v>547</v>
      </c>
      <c r="B548" s="1">
        <f>IFERROR(__xludf.DUMMYFUNCTION("""COMPUTED_VALUE"""),5103.0)</f>
        <v>5103</v>
      </c>
      <c r="C548" s="2" t="str">
        <f>IFERROR(__xludf.DUMMYFUNCTION("""COMPUTED_VALUE"""),"Iqbalee")</f>
        <v>Iqbalee</v>
      </c>
      <c r="D548" s="2" t="str">
        <f>IFERROR(__xludf.DUMMYFUNCTION("""COMPUTED_VALUE"""),"5KM OVERALL M")</f>
        <v>5KM OVERALL M</v>
      </c>
      <c r="E548" s="1">
        <f>IFERROR(__xludf.DUMMYFUNCTION("""COMPUTED_VALUE"""),365.0)</f>
        <v>365</v>
      </c>
      <c r="F548" s="1" t="str">
        <f>IFERROR(__xludf.DUMMYFUNCTION("""COMPUTED_VALUE"""),"Male")</f>
        <v>Male</v>
      </c>
      <c r="G548" s="5">
        <f>IFERROR(__xludf.DUMMYFUNCTION("""COMPUTED_VALUE"""),0.005921916666666667)</f>
        <v>0.005921916667</v>
      </c>
      <c r="H548" s="15">
        <f>IFERROR(__xludf.DUMMYFUNCTION("""COMPUTED_VALUE"""),0.2549440625)</f>
        <v>0.2549440625</v>
      </c>
      <c r="I548" s="15">
        <f>IFERROR(__xludf.DUMMYFUNCTION("""COMPUTED_VALUE"""),45949.28455364114)</f>
        <v>45949.28455</v>
      </c>
      <c r="J548" s="15">
        <f>IFERROR(__xludf.DUMMYFUNCTION("""COMPUTED_VALUE"""),45949.02960957864)</f>
        <v>45949.02961</v>
      </c>
      <c r="K548" s="15">
        <f>IFERROR(__xludf.DUMMYFUNCTION("""COMPUTED_VALUE"""),45949.272482410015)</f>
        <v>45949.27248</v>
      </c>
      <c r="L548" s="4"/>
    </row>
    <row r="549">
      <c r="A549" s="1">
        <f>IFERROR(__xludf.DUMMYFUNCTION("""COMPUTED_VALUE"""),548.0)</f>
        <v>548</v>
      </c>
      <c r="B549" s="1">
        <f>IFERROR(__xludf.DUMMYFUNCTION("""COMPUTED_VALUE"""),5443.0)</f>
        <v>5443</v>
      </c>
      <c r="C549" s="2" t="str">
        <f>IFERROR(__xludf.DUMMYFUNCTION("""COMPUTED_VALUE"""),"Fajar")</f>
        <v>Fajar</v>
      </c>
      <c r="D549" s="2" t="str">
        <f>IFERROR(__xludf.DUMMYFUNCTION("""COMPUTED_VALUE"""),"5KM OVERALL M")</f>
        <v>5KM OVERALL M</v>
      </c>
      <c r="E549" s="1">
        <f>IFERROR(__xludf.DUMMYFUNCTION("""COMPUTED_VALUE"""),366.0)</f>
        <v>366</v>
      </c>
      <c r="F549" s="1" t="str">
        <f>IFERROR(__xludf.DUMMYFUNCTION("""COMPUTED_VALUE"""),"Male")</f>
        <v>Male</v>
      </c>
      <c r="G549" s="5">
        <f>IFERROR(__xludf.DUMMYFUNCTION("""COMPUTED_VALUE"""),0.005925388888888889)</f>
        <v>0.005925388889</v>
      </c>
      <c r="H549" s="15">
        <f>IFERROR(__xludf.DUMMYFUNCTION("""COMPUTED_VALUE"""),0.2549440625)</f>
        <v>0.2549440625</v>
      </c>
      <c r="I549" s="15">
        <f>IFERROR(__xludf.DUMMYFUNCTION("""COMPUTED_VALUE"""),45949.28457101121)</f>
        <v>45949.28457</v>
      </c>
      <c r="J549" s="15">
        <f>IFERROR(__xludf.DUMMYFUNCTION("""COMPUTED_VALUE"""),45949.02962694871)</f>
        <v>45949.02963</v>
      </c>
      <c r="K549" s="15">
        <f>IFERROR(__xludf.DUMMYFUNCTION("""COMPUTED_VALUE"""),45949.27251281014)</f>
        <v>45949.27251</v>
      </c>
      <c r="L549" s="4"/>
    </row>
    <row r="550">
      <c r="A550" s="1">
        <f>IFERROR(__xludf.DUMMYFUNCTION("""COMPUTED_VALUE"""),549.0)</f>
        <v>549</v>
      </c>
      <c r="B550" s="1">
        <f>IFERROR(__xludf.DUMMYFUNCTION("""COMPUTED_VALUE"""),5848.0)</f>
        <v>5848</v>
      </c>
      <c r="C550" s="2" t="str">
        <f>IFERROR(__xludf.DUMMYFUNCTION("""COMPUTED_VALUE"""),"MUHAMMAD NOR ATMA RIDHONI")</f>
        <v>MUHAMMAD NOR ATMA RIDHONI</v>
      </c>
      <c r="D550" s="2" t="str">
        <f>IFERROR(__xludf.DUMMYFUNCTION("""COMPUTED_VALUE"""),"5KM OVERALL M")</f>
        <v>5KM OVERALL M</v>
      </c>
      <c r="E550" s="1">
        <f>IFERROR(__xludf.DUMMYFUNCTION("""COMPUTED_VALUE"""),367.0)</f>
        <v>367</v>
      </c>
      <c r="F550" s="1" t="str">
        <f>IFERROR(__xludf.DUMMYFUNCTION("""COMPUTED_VALUE"""),"Male")</f>
        <v>Male</v>
      </c>
      <c r="G550" s="5">
        <f>IFERROR(__xludf.DUMMYFUNCTION("""COMPUTED_VALUE"""),0.005929555555555556)</f>
        <v>0.005929555556</v>
      </c>
      <c r="H550" s="15">
        <f>IFERROR(__xludf.DUMMYFUNCTION("""COMPUTED_VALUE"""),0.2549440625)</f>
        <v>0.2549440625</v>
      </c>
      <c r="I550" s="15">
        <f>IFERROR(__xludf.DUMMYFUNCTION("""COMPUTED_VALUE"""),45949.28459184573)</f>
        <v>45949.28459</v>
      </c>
      <c r="J550" s="15">
        <f>IFERROR(__xludf.DUMMYFUNCTION("""COMPUTED_VALUE"""),45949.02964778323)</f>
        <v>45949.02965</v>
      </c>
      <c r="K550" s="15">
        <f>IFERROR(__xludf.DUMMYFUNCTION("""COMPUTED_VALUE"""),45949.27229063305)</f>
        <v>45949.27229</v>
      </c>
      <c r="L550" s="4"/>
    </row>
    <row r="551">
      <c r="A551" s="1">
        <f>IFERROR(__xludf.DUMMYFUNCTION("""COMPUTED_VALUE"""),550.0)</f>
        <v>550</v>
      </c>
      <c r="B551" s="1">
        <f>IFERROR(__xludf.DUMMYFUNCTION("""COMPUTED_VALUE"""),6368.0)</f>
        <v>6368</v>
      </c>
      <c r="C551" s="2" t="str">
        <f>IFERROR(__xludf.DUMMYFUNCTION("""COMPUTED_VALUE"""),"Nurul Aulia Hasanah")</f>
        <v>Nurul Aulia Hasanah</v>
      </c>
      <c r="D551" s="2" t="str">
        <f>IFERROR(__xludf.DUMMYFUNCTION("""COMPUTED_VALUE"""),"5KM OVERALL F")</f>
        <v>5KM OVERALL F</v>
      </c>
      <c r="E551" s="1">
        <f>IFERROR(__xludf.DUMMYFUNCTION("""COMPUTED_VALUE"""),66.0)</f>
        <v>66</v>
      </c>
      <c r="F551" s="1" t="str">
        <f>IFERROR(__xludf.DUMMYFUNCTION("""COMPUTED_VALUE"""),"Female")</f>
        <v>Female</v>
      </c>
      <c r="G551" s="5">
        <f>IFERROR(__xludf.DUMMYFUNCTION("""COMPUTED_VALUE"""),0.005929560185185185)</f>
        <v>0.005929560185</v>
      </c>
      <c r="H551" s="15">
        <f>IFERROR(__xludf.DUMMYFUNCTION("""COMPUTED_VALUE"""),0.2549440625)</f>
        <v>0.2549440625</v>
      </c>
      <c r="I551" s="15">
        <f>IFERROR(__xludf.DUMMYFUNCTION("""COMPUTED_VALUE"""),45949.284591858326)</f>
        <v>45949.28459</v>
      </c>
      <c r="J551" s="15">
        <f>IFERROR(__xludf.DUMMYFUNCTION("""COMPUTED_VALUE"""),45949.029647795825)</f>
        <v>45949.02965</v>
      </c>
      <c r="K551" s="15">
        <f>IFERROR(__xludf.DUMMYFUNCTION("""COMPUTED_VALUE"""),45949.27357903849)</f>
        <v>45949.27358</v>
      </c>
      <c r="L551" s="4"/>
    </row>
    <row r="552">
      <c r="A552" s="1">
        <f>IFERROR(__xludf.DUMMYFUNCTION("""COMPUTED_VALUE"""),551.0)</f>
        <v>551</v>
      </c>
      <c r="B552" s="1">
        <f>IFERROR(__xludf.DUMMYFUNCTION("""COMPUTED_VALUE"""),5794.0)</f>
        <v>5794</v>
      </c>
      <c r="C552" s="2" t="str">
        <f>IFERROR(__xludf.DUMMYFUNCTION("""COMPUTED_VALUE"""),"Anindita Wikanti N")</f>
        <v>Anindita Wikanti N</v>
      </c>
      <c r="D552" s="2" t="str">
        <f>IFERROR(__xludf.DUMMYFUNCTION("""COMPUTED_VALUE"""),"5KM OVERALL F")</f>
        <v>5KM OVERALL F</v>
      </c>
      <c r="E552" s="1">
        <f>IFERROR(__xludf.DUMMYFUNCTION("""COMPUTED_VALUE"""),67.0)</f>
        <v>67</v>
      </c>
      <c r="F552" s="1" t="str">
        <f>IFERROR(__xludf.DUMMYFUNCTION("""COMPUTED_VALUE"""),"Female")</f>
        <v>Female</v>
      </c>
      <c r="G552" s="5">
        <f>IFERROR(__xludf.DUMMYFUNCTION("""COMPUTED_VALUE"""),0.005934416666666667)</f>
        <v>0.005934416667</v>
      </c>
      <c r="H552" s="15">
        <f>IFERROR(__xludf.DUMMYFUNCTION("""COMPUTED_VALUE"""),0.2549440625)</f>
        <v>0.2549440625</v>
      </c>
      <c r="I552" s="15">
        <f>IFERROR(__xludf.DUMMYFUNCTION("""COMPUTED_VALUE"""),45949.28461614705)</f>
        <v>45949.28462</v>
      </c>
      <c r="J552" s="15">
        <f>IFERROR(__xludf.DUMMYFUNCTION("""COMPUTED_VALUE"""),45949.02967208455)</f>
        <v>45949.02967</v>
      </c>
      <c r="K552" s="15">
        <f>IFERROR(__xludf.DUMMYFUNCTION("""COMPUTED_VALUE"""),45949.27178016905)</f>
        <v>45949.27178</v>
      </c>
      <c r="L552" s="4"/>
    </row>
    <row r="553">
      <c r="A553" s="1">
        <f>IFERROR(__xludf.DUMMYFUNCTION("""COMPUTED_VALUE"""),552.0)</f>
        <v>552</v>
      </c>
      <c r="B553" s="1">
        <f>IFERROR(__xludf.DUMMYFUNCTION("""COMPUTED_VALUE"""),5222.0)</f>
        <v>5222</v>
      </c>
      <c r="C553" s="2" t="str">
        <f>IFERROR(__xludf.DUMMYFUNCTION("""COMPUTED_VALUE"""),"Sanah")</f>
        <v>Sanah</v>
      </c>
      <c r="D553" s="2" t="str">
        <f>IFERROR(__xludf.DUMMYFUNCTION("""COMPUTED_VALUE"""),"5KM OVERALL F")</f>
        <v>5KM OVERALL F</v>
      </c>
      <c r="E553" s="1">
        <f>IFERROR(__xludf.DUMMYFUNCTION("""COMPUTED_VALUE"""),68.0)</f>
        <v>68</v>
      </c>
      <c r="F553" s="1" t="str">
        <f>IFERROR(__xludf.DUMMYFUNCTION("""COMPUTED_VALUE"""),"Female")</f>
        <v>Female</v>
      </c>
      <c r="G553" s="5">
        <f>IFERROR(__xludf.DUMMYFUNCTION("""COMPUTED_VALUE"""),0.005935111111111111)</f>
        <v>0.005935111111</v>
      </c>
      <c r="H553" s="15">
        <f>IFERROR(__xludf.DUMMYFUNCTION("""COMPUTED_VALUE"""),0.2549440625)</f>
        <v>0.2549440625</v>
      </c>
      <c r="I553" s="15">
        <f>IFERROR(__xludf.DUMMYFUNCTION("""COMPUTED_VALUE"""),45949.284619620936)</f>
        <v>45949.28462</v>
      </c>
      <c r="J553" s="15">
        <f>IFERROR(__xludf.DUMMYFUNCTION("""COMPUTED_VALUE"""),45949.029675558435)</f>
        <v>45949.02968</v>
      </c>
      <c r="K553" s="15">
        <f>IFERROR(__xludf.DUMMYFUNCTION("""COMPUTED_VALUE"""),45949.27364897821)</f>
        <v>45949.27365</v>
      </c>
      <c r="L553" s="4"/>
    </row>
    <row r="554">
      <c r="A554" s="1">
        <f>IFERROR(__xludf.DUMMYFUNCTION("""COMPUTED_VALUE"""),553.0)</f>
        <v>553</v>
      </c>
      <c r="B554" s="1">
        <f>IFERROR(__xludf.DUMMYFUNCTION("""COMPUTED_VALUE"""),5546.0)</f>
        <v>5546</v>
      </c>
      <c r="C554" s="2" t="str">
        <f>IFERROR(__xludf.DUMMYFUNCTION("""COMPUTED_VALUE"""),"wahyu")</f>
        <v>wahyu</v>
      </c>
      <c r="D554" s="2" t="str">
        <f>IFERROR(__xludf.DUMMYFUNCTION("""COMPUTED_VALUE"""),"5KM OVERALL M")</f>
        <v>5KM OVERALL M</v>
      </c>
      <c r="E554" s="1">
        <f>IFERROR(__xludf.DUMMYFUNCTION("""COMPUTED_VALUE"""),368.0)</f>
        <v>368</v>
      </c>
      <c r="F554" s="1" t="str">
        <f>IFERROR(__xludf.DUMMYFUNCTION("""COMPUTED_VALUE"""),"Male")</f>
        <v>Male</v>
      </c>
      <c r="G554" s="5">
        <f>IFERROR(__xludf.DUMMYFUNCTION("""COMPUTED_VALUE"""),0.00594405787037037)</f>
        <v>0.00594405787</v>
      </c>
      <c r="H554" s="15">
        <f>IFERROR(__xludf.DUMMYFUNCTION("""COMPUTED_VALUE"""),0.2549440625)</f>
        <v>0.2549440625</v>
      </c>
      <c r="I554" s="15">
        <f>IFERROR(__xludf.DUMMYFUNCTION("""COMPUTED_VALUE"""),45949.28466435185)</f>
        <v>45949.28466</v>
      </c>
      <c r="J554" s="15">
        <f>IFERROR(__xludf.DUMMYFUNCTION("""COMPUTED_VALUE"""),45949.02972028935)</f>
        <v>45949.02972</v>
      </c>
      <c r="K554" s="15">
        <f>IFERROR(__xludf.DUMMYFUNCTION("""COMPUTED_VALUE"""),45949.27145725021)</f>
        <v>45949.27146</v>
      </c>
      <c r="L554" s="4"/>
    </row>
    <row r="555">
      <c r="A555" s="1">
        <f>IFERROR(__xludf.DUMMYFUNCTION("""COMPUTED_VALUE"""),554.0)</f>
        <v>554</v>
      </c>
      <c r="B555" s="1">
        <f>IFERROR(__xludf.DUMMYFUNCTION("""COMPUTED_VALUE"""),5673.0)</f>
        <v>5673</v>
      </c>
      <c r="C555" s="2" t="str">
        <f>IFERROR(__xludf.DUMMYFUNCTION("""COMPUTED_VALUE"""),"Wahyuu!!")</f>
        <v>Wahyuu!!</v>
      </c>
      <c r="D555" s="2" t="str">
        <f>IFERROR(__xludf.DUMMYFUNCTION("""COMPUTED_VALUE"""),"5KM OVERALL M")</f>
        <v>5KM OVERALL M</v>
      </c>
      <c r="E555" s="1">
        <f>IFERROR(__xludf.DUMMYFUNCTION("""COMPUTED_VALUE"""),369.0)</f>
        <v>369</v>
      </c>
      <c r="F555" s="1" t="str">
        <f>IFERROR(__xludf.DUMMYFUNCTION("""COMPUTED_VALUE"""),"Male")</f>
        <v>Male</v>
      </c>
      <c r="G555" s="5">
        <f>IFERROR(__xludf.DUMMYFUNCTION("""COMPUTED_VALUE"""),0.005944138888888889)</f>
        <v>0.005944138889</v>
      </c>
      <c r="H555" s="15">
        <f>IFERROR(__xludf.DUMMYFUNCTION("""COMPUTED_VALUE"""),0.2549440625)</f>
        <v>0.2549440625</v>
      </c>
      <c r="I555" s="15">
        <f>IFERROR(__xludf.DUMMYFUNCTION("""COMPUTED_VALUE"""),45949.28466475173)</f>
        <v>45949.28466</v>
      </c>
      <c r="J555" s="15">
        <f>IFERROR(__xludf.DUMMYFUNCTION("""COMPUTED_VALUE"""),45949.02972068923)</f>
        <v>45949.02972</v>
      </c>
      <c r="K555" s="15">
        <f>IFERROR(__xludf.DUMMYFUNCTION("""COMPUTED_VALUE"""),45949.27289526251)</f>
        <v>45949.2729</v>
      </c>
      <c r="L555" s="4"/>
    </row>
    <row r="556">
      <c r="A556" s="1">
        <f>IFERROR(__xludf.DUMMYFUNCTION("""COMPUTED_VALUE"""),555.0)</f>
        <v>555</v>
      </c>
      <c r="B556" s="1">
        <f>IFERROR(__xludf.DUMMYFUNCTION("""COMPUTED_VALUE"""),6088.0)</f>
        <v>6088</v>
      </c>
      <c r="C556" s="2" t="str">
        <f>IFERROR(__xludf.DUMMYFUNCTION("""COMPUTED_VALUE"""),"EDO")</f>
        <v>EDO</v>
      </c>
      <c r="D556" s="2" t="str">
        <f>IFERROR(__xludf.DUMMYFUNCTION("""COMPUTED_VALUE"""),"5KM OVERALL M")</f>
        <v>5KM OVERALL M</v>
      </c>
      <c r="E556" s="1">
        <f>IFERROR(__xludf.DUMMYFUNCTION("""COMPUTED_VALUE"""),370.0)</f>
        <v>370</v>
      </c>
      <c r="F556" s="1" t="str">
        <f>IFERROR(__xludf.DUMMYFUNCTION("""COMPUTED_VALUE"""),"Male")</f>
        <v>Male</v>
      </c>
      <c r="G556" s="5">
        <f>IFERROR(__xludf.DUMMYFUNCTION("""COMPUTED_VALUE"""),0.005946212962962964)</f>
        <v>0.005946212963</v>
      </c>
      <c r="H556" s="15">
        <f>IFERROR(__xludf.DUMMYFUNCTION("""COMPUTED_VALUE"""),0.2549440625)</f>
        <v>0.2549440625</v>
      </c>
      <c r="I556" s="15">
        <f>IFERROR(__xludf.DUMMYFUNCTION("""COMPUTED_VALUE"""),45949.28467512156)</f>
        <v>45949.28468</v>
      </c>
      <c r="J556" s="15">
        <f>IFERROR(__xludf.DUMMYFUNCTION("""COMPUTED_VALUE"""),45949.02973105906)</f>
        <v>45949.02973</v>
      </c>
      <c r="K556" s="15">
        <f>IFERROR(__xludf.DUMMYFUNCTION("""COMPUTED_VALUE"""),45949.2727627997)</f>
        <v>45949.27276</v>
      </c>
      <c r="L556" s="4"/>
    </row>
    <row r="557">
      <c r="A557" s="1">
        <f>IFERROR(__xludf.DUMMYFUNCTION("""COMPUTED_VALUE"""),556.0)</f>
        <v>556</v>
      </c>
      <c r="B557" s="1">
        <f>IFERROR(__xludf.DUMMYFUNCTION("""COMPUTED_VALUE"""),5976.0)</f>
        <v>5976</v>
      </c>
      <c r="C557" s="2" t="str">
        <f>IFERROR(__xludf.DUMMYFUNCTION("""COMPUTED_VALUE"""),"Ahmanu Rija")</f>
        <v>Ahmanu Rija</v>
      </c>
      <c r="D557" s="2" t="str">
        <f>IFERROR(__xludf.DUMMYFUNCTION("""COMPUTED_VALUE"""),"5KM OVERALL M")</f>
        <v>5KM OVERALL M</v>
      </c>
      <c r="E557" s="1">
        <f>IFERROR(__xludf.DUMMYFUNCTION("""COMPUTED_VALUE"""),371.0)</f>
        <v>371</v>
      </c>
      <c r="F557" s="1" t="str">
        <f>IFERROR(__xludf.DUMMYFUNCTION("""COMPUTED_VALUE"""),"Male")</f>
        <v>Male</v>
      </c>
      <c r="G557" s="5">
        <f>IFERROR(__xludf.DUMMYFUNCTION("""COMPUTED_VALUE"""),0.005947613425925926)</f>
        <v>0.005947613426</v>
      </c>
      <c r="H557" s="15">
        <f>IFERROR(__xludf.DUMMYFUNCTION("""COMPUTED_VALUE"""),0.2549440625)</f>
        <v>0.2549440625</v>
      </c>
      <c r="I557" s="15">
        <f>IFERROR(__xludf.DUMMYFUNCTION("""COMPUTED_VALUE"""),45949.284682128906)</f>
        <v>45949.28468</v>
      </c>
      <c r="J557" s="15">
        <f>IFERROR(__xludf.DUMMYFUNCTION("""COMPUTED_VALUE"""),45949.029738066405)</f>
        <v>45949.02974</v>
      </c>
      <c r="K557" s="15">
        <f>IFERROR(__xludf.DUMMYFUNCTION("""COMPUTED_VALUE"""),45949.27130099002)</f>
        <v>45949.2713</v>
      </c>
      <c r="L557" s="4"/>
    </row>
    <row r="558">
      <c r="A558" s="1">
        <f>IFERROR(__xludf.DUMMYFUNCTION("""COMPUTED_VALUE"""),557.0)</f>
        <v>557</v>
      </c>
      <c r="B558" s="1">
        <f>IFERROR(__xludf.DUMMYFUNCTION("""COMPUTED_VALUE"""),6162.0)</f>
        <v>6162</v>
      </c>
      <c r="C558" s="2" t="str">
        <f>IFERROR(__xludf.DUMMYFUNCTION("""COMPUTED_VALUE"""),"Putri")</f>
        <v>Putri</v>
      </c>
      <c r="D558" s="2" t="str">
        <f>IFERROR(__xludf.DUMMYFUNCTION("""COMPUTED_VALUE"""),"5KM OVERALL F")</f>
        <v>5KM OVERALL F</v>
      </c>
      <c r="E558" s="1">
        <f>IFERROR(__xludf.DUMMYFUNCTION("""COMPUTED_VALUE"""),69.0)</f>
        <v>69</v>
      </c>
      <c r="F558" s="1" t="str">
        <f>IFERROR(__xludf.DUMMYFUNCTION("""COMPUTED_VALUE"""),"Female")</f>
        <v>Female</v>
      </c>
      <c r="G558" s="5">
        <f>IFERROR(__xludf.DUMMYFUNCTION("""COMPUTED_VALUE"""),0.005951085648148149)</f>
        <v>0.005951085648</v>
      </c>
      <c r="H558" s="15">
        <f>IFERROR(__xludf.DUMMYFUNCTION("""COMPUTED_VALUE"""),0.2549440625)</f>
        <v>0.2549440625</v>
      </c>
      <c r="I558" s="15">
        <f>IFERROR(__xludf.DUMMYFUNCTION("""COMPUTED_VALUE"""),45949.28469949424)</f>
        <v>45949.2847</v>
      </c>
      <c r="J558" s="15">
        <f>IFERROR(__xludf.DUMMYFUNCTION("""COMPUTED_VALUE"""),45949.02975543174)</f>
        <v>45949.02976</v>
      </c>
      <c r="K558" s="15">
        <f>IFERROR(__xludf.DUMMYFUNCTION("""COMPUTED_VALUE"""),45949.2731733677)</f>
        <v>45949.27317</v>
      </c>
      <c r="L558" s="4"/>
    </row>
    <row r="559">
      <c r="A559" s="1">
        <f>IFERROR(__xludf.DUMMYFUNCTION("""COMPUTED_VALUE"""),558.0)</f>
        <v>558</v>
      </c>
      <c r="B559" s="1">
        <f>IFERROR(__xludf.DUMMYFUNCTION("""COMPUTED_VALUE"""),6173.0)</f>
        <v>6173</v>
      </c>
      <c r="C559" s="2" t="str">
        <f>IFERROR(__xludf.DUMMYFUNCTION("""COMPUTED_VALUE"""),"aming")</f>
        <v>aming</v>
      </c>
      <c r="D559" s="2" t="str">
        <f>IFERROR(__xludf.DUMMYFUNCTION("""COMPUTED_VALUE"""),"5KM OVERALL F")</f>
        <v>5KM OVERALL F</v>
      </c>
      <c r="E559" s="1">
        <f>IFERROR(__xludf.DUMMYFUNCTION("""COMPUTED_VALUE"""),70.0)</f>
        <v>70</v>
      </c>
      <c r="F559" s="1" t="str">
        <f>IFERROR(__xludf.DUMMYFUNCTION("""COMPUTED_VALUE"""),"Female")</f>
        <v>Female</v>
      </c>
      <c r="G559" s="5">
        <f>IFERROR(__xludf.DUMMYFUNCTION("""COMPUTED_VALUE"""),0.005954555555555555)</f>
        <v>0.005954555556</v>
      </c>
      <c r="H559" s="15">
        <f>IFERROR(__xludf.DUMMYFUNCTION("""COMPUTED_VALUE"""),0.2549440625)</f>
        <v>0.2549440625</v>
      </c>
      <c r="I559" s="15">
        <f>IFERROR(__xludf.DUMMYFUNCTION("""COMPUTED_VALUE"""),45949.2847168367)</f>
        <v>45949.28472</v>
      </c>
      <c r="J559" s="15">
        <f>IFERROR(__xludf.DUMMYFUNCTION("""COMPUTED_VALUE"""),45949.0297727742)</f>
        <v>45949.02977</v>
      </c>
      <c r="K559" s="15">
        <f>IFERROR(__xludf.DUMMYFUNCTION("""COMPUTED_VALUE"""),45949.273173333124)</f>
        <v>45949.27317</v>
      </c>
      <c r="L559" s="4"/>
    </row>
    <row r="560">
      <c r="A560" s="1">
        <f>IFERROR(__xludf.DUMMYFUNCTION("""COMPUTED_VALUE"""),559.0)</f>
        <v>559</v>
      </c>
      <c r="B560" s="1">
        <f>IFERROR(__xludf.DUMMYFUNCTION("""COMPUTED_VALUE"""),7075.0)</f>
        <v>7075</v>
      </c>
      <c r="C560" s="2" t="str">
        <f>IFERROR(__xludf.DUMMYFUNCTION("""COMPUTED_VALUE"""),"RBD")</f>
        <v>RBD</v>
      </c>
      <c r="D560" s="2" t="str">
        <f>IFERROR(__xludf.DUMMYFUNCTION("""COMPUTED_VALUE"""),"5KM MASTER M")</f>
        <v>5KM MASTER M</v>
      </c>
      <c r="E560" s="1">
        <f>IFERROR(__xludf.DUMMYFUNCTION("""COMPUTED_VALUE"""),53.0)</f>
        <v>53</v>
      </c>
      <c r="F560" s="1" t="str">
        <f>IFERROR(__xludf.DUMMYFUNCTION("""COMPUTED_VALUE"""),"Male")</f>
        <v>Male</v>
      </c>
      <c r="G560" s="5">
        <f>IFERROR(__xludf.DUMMYFUNCTION("""COMPUTED_VALUE"""),0.005958724537037037)</f>
        <v>0.005958724537</v>
      </c>
      <c r="H560" s="15">
        <f>IFERROR(__xludf.DUMMYFUNCTION("""COMPUTED_VALUE"""),0.2549440625)</f>
        <v>0.2549440625</v>
      </c>
      <c r="I560" s="15">
        <f>IFERROR(__xludf.DUMMYFUNCTION("""COMPUTED_VALUE"""),45949.284737679794)</f>
        <v>45949.28474</v>
      </c>
      <c r="J560" s="15">
        <f>IFERROR(__xludf.DUMMYFUNCTION("""COMPUTED_VALUE"""),45949.029793617294)</f>
        <v>45949.02979</v>
      </c>
      <c r="K560" s="15">
        <f>IFERROR(__xludf.DUMMYFUNCTION("""COMPUTED_VALUE"""),45949.27153455739)</f>
        <v>45949.27153</v>
      </c>
      <c r="L560" s="4"/>
    </row>
    <row r="561">
      <c r="A561" s="1">
        <f>IFERROR(__xludf.DUMMYFUNCTION("""COMPUTED_VALUE"""),560.0)</f>
        <v>560</v>
      </c>
      <c r="B561" s="1">
        <f>IFERROR(__xludf.DUMMYFUNCTION("""COMPUTED_VALUE"""),5495.0)</f>
        <v>5495</v>
      </c>
      <c r="C561" s="2" t="str">
        <f>IFERROR(__xludf.DUMMYFUNCTION("""COMPUTED_VALUE"""),"Rina")</f>
        <v>Rina</v>
      </c>
      <c r="D561" s="2" t="str">
        <f>IFERROR(__xludf.DUMMYFUNCTION("""COMPUTED_VALUE"""),"5KM OVERALL F")</f>
        <v>5KM OVERALL F</v>
      </c>
      <c r="E561" s="1">
        <f>IFERROR(__xludf.DUMMYFUNCTION("""COMPUTED_VALUE"""),71.0)</f>
        <v>71</v>
      </c>
      <c r="F561" s="1" t="str">
        <f>IFERROR(__xludf.DUMMYFUNCTION("""COMPUTED_VALUE"""),"Female")</f>
        <v>Female</v>
      </c>
      <c r="G561" s="5">
        <f>IFERROR(__xludf.DUMMYFUNCTION("""COMPUTED_VALUE"""),0.005964972222222222)</f>
        <v>0.005964972222</v>
      </c>
      <c r="H561" s="15">
        <f>IFERROR(__xludf.DUMMYFUNCTION("""COMPUTED_VALUE"""),0.2549440625)</f>
        <v>0.2549440625</v>
      </c>
      <c r="I561" s="15">
        <f>IFERROR(__xludf.DUMMYFUNCTION("""COMPUTED_VALUE"""),45949.28476891867)</f>
        <v>45949.28477</v>
      </c>
      <c r="J561" s="15">
        <f>IFERROR(__xludf.DUMMYFUNCTION("""COMPUTED_VALUE"""),45949.02982485617)</f>
        <v>45949.02982</v>
      </c>
      <c r="K561" s="15">
        <f>IFERROR(__xludf.DUMMYFUNCTION("""COMPUTED_VALUE"""),45949.27212738315)</f>
        <v>45949.27213</v>
      </c>
      <c r="L561" s="4"/>
    </row>
    <row r="562">
      <c r="A562" s="1">
        <f>IFERROR(__xludf.DUMMYFUNCTION("""COMPUTED_VALUE"""),561.0)</f>
        <v>561</v>
      </c>
      <c r="B562" s="1">
        <f>IFERROR(__xludf.DUMMYFUNCTION("""COMPUTED_VALUE"""),5506.0)</f>
        <v>5506</v>
      </c>
      <c r="C562" s="2" t="str">
        <f>IFERROR(__xludf.DUMMYFUNCTION("""COMPUTED_VALUE"""),"Donny")</f>
        <v>Donny</v>
      </c>
      <c r="D562" s="2" t="str">
        <f>IFERROR(__xludf.DUMMYFUNCTION("""COMPUTED_VALUE"""),"5KM OVERALL M")</f>
        <v>5KM OVERALL M</v>
      </c>
      <c r="E562" s="1">
        <f>IFERROR(__xludf.DUMMYFUNCTION("""COMPUTED_VALUE"""),372.0)</f>
        <v>372</v>
      </c>
      <c r="F562" s="1" t="str">
        <f>IFERROR(__xludf.DUMMYFUNCTION("""COMPUTED_VALUE"""),"Male")</f>
        <v>Male</v>
      </c>
      <c r="G562" s="5">
        <f>IFERROR(__xludf.DUMMYFUNCTION("""COMPUTED_VALUE"""),0.0059691319444444444)</f>
        <v>0.005969131944</v>
      </c>
      <c r="H562" s="15">
        <f>IFERROR(__xludf.DUMMYFUNCTION("""COMPUTED_VALUE"""),0.2549440625)</f>
        <v>0.2549440625</v>
      </c>
      <c r="I562" s="15">
        <f>IFERROR(__xludf.DUMMYFUNCTION("""COMPUTED_VALUE"""),45949.28478972104)</f>
        <v>45949.28479</v>
      </c>
      <c r="J562" s="15">
        <f>IFERROR(__xludf.DUMMYFUNCTION("""COMPUTED_VALUE"""),45949.02984565854)</f>
        <v>45949.02985</v>
      </c>
      <c r="K562" s="15">
        <f>IFERROR(__xludf.DUMMYFUNCTION("""COMPUTED_VALUE"""),45949.27221427356)</f>
        <v>45949.27221</v>
      </c>
      <c r="L562" s="4"/>
    </row>
    <row r="563">
      <c r="A563" s="1">
        <f>IFERROR(__xludf.DUMMYFUNCTION("""COMPUTED_VALUE"""),562.0)</f>
        <v>562</v>
      </c>
      <c r="B563" s="1">
        <f>IFERROR(__xludf.DUMMYFUNCTION("""COMPUTED_VALUE"""),5775.0)</f>
        <v>5775</v>
      </c>
      <c r="C563" s="2" t="str">
        <f>IFERROR(__xludf.DUMMYFUNCTION("""COMPUTED_VALUE"""),"ARSYLA")</f>
        <v>ARSYLA</v>
      </c>
      <c r="D563" s="2" t="str">
        <f>IFERROR(__xludf.DUMMYFUNCTION("""COMPUTED_VALUE"""),"5KM OVERALL M")</f>
        <v>5KM OVERALL M</v>
      </c>
      <c r="E563" s="1">
        <f>IFERROR(__xludf.DUMMYFUNCTION("""COMPUTED_VALUE"""),373.0)</f>
        <v>373</v>
      </c>
      <c r="F563" s="1" t="str">
        <f>IFERROR(__xludf.DUMMYFUNCTION("""COMPUTED_VALUE"""),"Male")</f>
        <v>Male</v>
      </c>
      <c r="G563" s="5">
        <f>IFERROR(__xludf.DUMMYFUNCTION("""COMPUTED_VALUE"""),0.005970527777777778)</f>
        <v>0.005970527778</v>
      </c>
      <c r="H563" s="15">
        <f>IFERROR(__xludf.DUMMYFUNCTION("""COMPUTED_VALUE"""),0.2549440625)</f>
        <v>0.2549440625</v>
      </c>
      <c r="I563" s="15">
        <f>IFERROR(__xludf.DUMMYFUNCTION("""COMPUTED_VALUE"""),45949.284796698084)</f>
        <v>45949.2848</v>
      </c>
      <c r="J563" s="15">
        <f>IFERROR(__xludf.DUMMYFUNCTION("""COMPUTED_VALUE"""),45949.029852635584)</f>
        <v>45949.02985</v>
      </c>
      <c r="K563" s="15">
        <f>IFERROR(__xludf.DUMMYFUNCTION("""COMPUTED_VALUE"""),45949.27043294935)</f>
        <v>45949.27043</v>
      </c>
      <c r="L563" s="4"/>
    </row>
    <row r="564">
      <c r="A564" s="1">
        <f>IFERROR(__xludf.DUMMYFUNCTION("""COMPUTED_VALUE"""),563.0)</f>
        <v>563</v>
      </c>
      <c r="B564" s="1">
        <f>IFERROR(__xludf.DUMMYFUNCTION("""COMPUTED_VALUE"""),5521.0)</f>
        <v>5521</v>
      </c>
      <c r="C564" s="2" t="str">
        <f>IFERROR(__xludf.DUMMYFUNCTION("""COMPUTED_VALUE"""),"DARMA")</f>
        <v>DARMA</v>
      </c>
      <c r="D564" s="2" t="str">
        <f>IFERROR(__xludf.DUMMYFUNCTION("""COMPUTED_VALUE"""),"5KM OVERALL M")</f>
        <v>5KM OVERALL M</v>
      </c>
      <c r="E564" s="1">
        <f>IFERROR(__xludf.DUMMYFUNCTION("""COMPUTED_VALUE"""),374.0)</f>
        <v>374</v>
      </c>
      <c r="F564" s="1" t="str">
        <f>IFERROR(__xludf.DUMMYFUNCTION("""COMPUTED_VALUE"""),"Male")</f>
        <v>Male</v>
      </c>
      <c r="G564" s="5">
        <f>IFERROR(__xludf.DUMMYFUNCTION("""COMPUTED_VALUE"""),0.005971222222222223)</f>
        <v>0.005971222222</v>
      </c>
      <c r="H564" s="15">
        <f>IFERROR(__xludf.DUMMYFUNCTION("""COMPUTED_VALUE"""),0.2549440625)</f>
        <v>0.2549440625</v>
      </c>
      <c r="I564" s="15">
        <f>IFERROR(__xludf.DUMMYFUNCTION("""COMPUTED_VALUE"""),45949.28480017039)</f>
        <v>45949.2848</v>
      </c>
      <c r="J564" s="15">
        <f>IFERROR(__xludf.DUMMYFUNCTION("""COMPUTED_VALUE"""),45949.02985610789)</f>
        <v>45949.02986</v>
      </c>
      <c r="K564" s="15">
        <f>IFERROR(__xludf.DUMMYFUNCTION("""COMPUTED_VALUE"""),45949.272818364414)</f>
        <v>45949.27282</v>
      </c>
      <c r="L564" s="4"/>
    </row>
    <row r="565">
      <c r="A565" s="1">
        <f>IFERROR(__xludf.DUMMYFUNCTION("""COMPUTED_VALUE"""),564.0)</f>
        <v>564</v>
      </c>
      <c r="B565" s="1">
        <f>IFERROR(__xludf.DUMMYFUNCTION("""COMPUTED_VALUE"""),6063.0)</f>
        <v>6063</v>
      </c>
      <c r="C565" s="2" t="str">
        <f>IFERROR(__xludf.DUMMYFUNCTION("""COMPUTED_VALUE"""),"malfii.nn")</f>
        <v>malfii.nn</v>
      </c>
      <c r="D565" s="2" t="str">
        <f>IFERROR(__xludf.DUMMYFUNCTION("""COMPUTED_VALUE"""),"5KM OVERALL M")</f>
        <v>5KM OVERALL M</v>
      </c>
      <c r="E565" s="1">
        <f>IFERROR(__xludf.DUMMYFUNCTION("""COMPUTED_VALUE"""),375.0)</f>
        <v>375</v>
      </c>
      <c r="F565" s="1" t="str">
        <f>IFERROR(__xludf.DUMMYFUNCTION("""COMPUTED_VALUE"""),"Male")</f>
        <v>Male</v>
      </c>
      <c r="G565" s="5">
        <f>IFERROR(__xludf.DUMMYFUNCTION("""COMPUTED_VALUE"""),0.0059746967592592595)</f>
        <v>0.005974696759</v>
      </c>
      <c r="H565" s="15">
        <f>IFERROR(__xludf.DUMMYFUNCTION("""COMPUTED_VALUE"""),0.2549440625)</f>
        <v>0.2549440625</v>
      </c>
      <c r="I565" s="15">
        <f>IFERROR(__xludf.DUMMYFUNCTION("""COMPUTED_VALUE"""),45949.28481754641)</f>
        <v>45949.28482</v>
      </c>
      <c r="J565" s="15">
        <f>IFERROR(__xludf.DUMMYFUNCTION("""COMPUTED_VALUE"""),45949.02987348391)</f>
        <v>45949.02987</v>
      </c>
      <c r="K565" s="15">
        <f>IFERROR(__xludf.DUMMYFUNCTION("""COMPUTED_VALUE"""),45949.272673500236)</f>
        <v>45949.27267</v>
      </c>
      <c r="L565" s="4"/>
    </row>
    <row r="566">
      <c r="A566" s="1">
        <f>IFERROR(__xludf.DUMMYFUNCTION("""COMPUTED_VALUE"""),565.0)</f>
        <v>565</v>
      </c>
      <c r="B566" s="1">
        <f>IFERROR(__xludf.DUMMYFUNCTION("""COMPUTED_VALUE"""),6369.0)</f>
        <v>6369</v>
      </c>
      <c r="C566" s="2" t="str">
        <f>IFERROR(__xludf.DUMMYFUNCTION("""COMPUTED_VALUE"""),"Gt ajie")</f>
        <v>Gt ajie</v>
      </c>
      <c r="D566" s="2" t="str">
        <f>IFERROR(__xludf.DUMMYFUNCTION("""COMPUTED_VALUE"""),"5KM OVERALL M")</f>
        <v>5KM OVERALL M</v>
      </c>
      <c r="E566" s="1">
        <f>IFERROR(__xludf.DUMMYFUNCTION("""COMPUTED_VALUE"""),376.0)</f>
        <v>376</v>
      </c>
      <c r="F566" s="1" t="str">
        <f>IFERROR(__xludf.DUMMYFUNCTION("""COMPUTED_VALUE"""),"Male")</f>
        <v>Male</v>
      </c>
      <c r="G566" s="5">
        <f>IFERROR(__xludf.DUMMYFUNCTION("""COMPUTED_VALUE"""),0.005977648148148149)</f>
        <v>0.005977648148</v>
      </c>
      <c r="H566" s="15">
        <f>IFERROR(__xludf.DUMMYFUNCTION("""COMPUTED_VALUE"""),0.2549440625)</f>
        <v>0.2549440625</v>
      </c>
      <c r="I566" s="15">
        <f>IFERROR(__xludf.DUMMYFUNCTION("""COMPUTED_VALUE"""),45949.284832298414)</f>
        <v>45949.28483</v>
      </c>
      <c r="J566" s="15">
        <f>IFERROR(__xludf.DUMMYFUNCTION("""COMPUTED_VALUE"""),45949.02988823591)</f>
        <v>45949.02989</v>
      </c>
      <c r="K566" s="15">
        <f>IFERROR(__xludf.DUMMYFUNCTION("""COMPUTED_VALUE"""),45950.272881944446)</f>
        <v>45950.27288</v>
      </c>
      <c r="L566" s="4" t="str">
        <f>IFERROR(__xludf.DUMMYFUNCTION("""COMPUTED_VALUE"""),"C")</f>
        <v>C</v>
      </c>
    </row>
    <row r="567">
      <c r="A567" s="1">
        <f>IFERROR(__xludf.DUMMYFUNCTION("""COMPUTED_VALUE"""),566.0)</f>
        <v>566</v>
      </c>
      <c r="B567" s="1">
        <f>IFERROR(__xludf.DUMMYFUNCTION("""COMPUTED_VALUE"""),5974.0)</f>
        <v>5974</v>
      </c>
      <c r="C567" s="2" t="str">
        <f>IFERROR(__xludf.DUMMYFUNCTION("""COMPUTED_VALUE"""),"SUGIANTO")</f>
        <v>SUGIANTO</v>
      </c>
      <c r="D567" s="2" t="str">
        <f>IFERROR(__xludf.DUMMYFUNCTION("""COMPUTED_VALUE"""),"5KM OVERALL M")</f>
        <v>5KM OVERALL M</v>
      </c>
      <c r="E567" s="1">
        <f>IFERROR(__xludf.DUMMYFUNCTION("""COMPUTED_VALUE"""),377.0)</f>
        <v>377</v>
      </c>
      <c r="F567" s="1" t="str">
        <f>IFERROR(__xludf.DUMMYFUNCTION("""COMPUTED_VALUE"""),"Male")</f>
        <v>Male</v>
      </c>
      <c r="G567" s="5">
        <f>IFERROR(__xludf.DUMMYFUNCTION("""COMPUTED_VALUE"""),0.005978159722222222)</f>
        <v>0.005978159722</v>
      </c>
      <c r="H567" s="15">
        <f>IFERROR(__xludf.DUMMYFUNCTION("""COMPUTED_VALUE"""),0.2549440625)</f>
        <v>0.2549440625</v>
      </c>
      <c r="I567" s="15">
        <f>IFERROR(__xludf.DUMMYFUNCTION("""COMPUTED_VALUE"""),45949.28483485763)</f>
        <v>45949.28483</v>
      </c>
      <c r="J567" s="15">
        <f>IFERROR(__xludf.DUMMYFUNCTION("""COMPUTED_VALUE"""),45949.02989079513)</f>
        <v>45949.02989</v>
      </c>
      <c r="K567" s="15">
        <f>IFERROR(__xludf.DUMMYFUNCTION("""COMPUTED_VALUE"""),45949.271474614565)</f>
        <v>45949.27147</v>
      </c>
      <c r="L567" s="4"/>
    </row>
    <row r="568">
      <c r="A568" s="1">
        <f>IFERROR(__xludf.DUMMYFUNCTION("""COMPUTED_VALUE"""),567.0)</f>
        <v>567</v>
      </c>
      <c r="B568" s="1">
        <f>IFERROR(__xludf.DUMMYFUNCTION("""COMPUTED_VALUE"""),5118.0)</f>
        <v>5118</v>
      </c>
      <c r="C568" s="2" t="str">
        <f>IFERROR(__xludf.DUMMYFUNCTION("""COMPUTED_VALUE"""),"Eben Haezer")</f>
        <v>Eben Haezer</v>
      </c>
      <c r="D568" s="2" t="str">
        <f>IFERROR(__xludf.DUMMYFUNCTION("""COMPUTED_VALUE"""),"5KM OVERALL F")</f>
        <v>5KM OVERALL F</v>
      </c>
      <c r="E568" s="1">
        <f>IFERROR(__xludf.DUMMYFUNCTION("""COMPUTED_VALUE"""),72.0)</f>
        <v>72</v>
      </c>
      <c r="F568" s="1" t="str">
        <f>IFERROR(__xludf.DUMMYFUNCTION("""COMPUTED_VALUE"""),"Female")</f>
        <v>Female</v>
      </c>
      <c r="G568" s="5">
        <f>IFERROR(__xludf.DUMMYFUNCTION("""COMPUTED_VALUE"""),0.005985796296296296)</f>
        <v>0.005985796296</v>
      </c>
      <c r="H568" s="15">
        <f>IFERROR(__xludf.DUMMYFUNCTION("""COMPUTED_VALUE"""),0.2549440625)</f>
        <v>0.2549440625</v>
      </c>
      <c r="I568" s="15">
        <f>IFERROR(__xludf.DUMMYFUNCTION("""COMPUTED_VALUE"""),45949.28487304117)</f>
        <v>45949.28487</v>
      </c>
      <c r="J568" s="15">
        <f>IFERROR(__xludf.DUMMYFUNCTION("""COMPUTED_VALUE"""),45949.02992897867)</f>
        <v>45949.02993</v>
      </c>
      <c r="K568" s="15">
        <f>IFERROR(__xludf.DUMMYFUNCTION("""COMPUTED_VALUE"""),45949.27188104931)</f>
        <v>45949.27188</v>
      </c>
      <c r="L568" s="4"/>
    </row>
    <row r="569">
      <c r="A569" s="1">
        <f>IFERROR(__xludf.DUMMYFUNCTION("""COMPUTED_VALUE"""),568.0)</f>
        <v>568</v>
      </c>
      <c r="B569" s="1">
        <f>IFERROR(__xludf.DUMMYFUNCTION("""COMPUTED_VALUE"""),5101.0)</f>
        <v>5101</v>
      </c>
      <c r="C569" s="2" t="str">
        <f>IFERROR(__xludf.DUMMYFUNCTION("""COMPUTED_VALUE"""),"Riky")</f>
        <v>Riky</v>
      </c>
      <c r="D569" s="2" t="str">
        <f>IFERROR(__xludf.DUMMYFUNCTION("""COMPUTED_VALUE"""),"5KM OVERALL M")</f>
        <v>5KM OVERALL M</v>
      </c>
      <c r="E569" s="1">
        <f>IFERROR(__xludf.DUMMYFUNCTION("""COMPUTED_VALUE"""),378.0)</f>
        <v>378</v>
      </c>
      <c r="F569" s="1" t="str">
        <f>IFERROR(__xludf.DUMMYFUNCTION("""COMPUTED_VALUE"""),"Male")</f>
        <v>Male</v>
      </c>
      <c r="G569" s="5">
        <f>IFERROR(__xludf.DUMMYFUNCTION("""COMPUTED_VALUE"""),0.005997613425925926)</f>
        <v>0.005997613426</v>
      </c>
      <c r="H569" s="15">
        <f>IFERROR(__xludf.DUMMYFUNCTION("""COMPUTED_VALUE"""),0.2549440625)</f>
        <v>0.2549440625</v>
      </c>
      <c r="I569" s="15">
        <f>IFERROR(__xludf.DUMMYFUNCTION("""COMPUTED_VALUE"""),45949.28493213013)</f>
        <v>45949.28493</v>
      </c>
      <c r="J569" s="15">
        <f>IFERROR(__xludf.DUMMYFUNCTION("""COMPUTED_VALUE"""),45949.02998806763)</f>
        <v>45949.02999</v>
      </c>
      <c r="K569" s="15">
        <f>IFERROR(__xludf.DUMMYFUNCTION("""COMPUTED_VALUE"""),45949.27236073071)</f>
        <v>45949.27236</v>
      </c>
      <c r="L569" s="4"/>
    </row>
    <row r="570">
      <c r="A570" s="1">
        <f>IFERROR(__xludf.DUMMYFUNCTION("""COMPUTED_VALUE"""),569.0)</f>
        <v>569</v>
      </c>
      <c r="B570" s="1">
        <f>IFERROR(__xludf.DUMMYFUNCTION("""COMPUTED_VALUE"""),5855.0)</f>
        <v>5855</v>
      </c>
      <c r="C570" s="2" t="str">
        <f>IFERROR(__xludf.DUMMYFUNCTION("""COMPUTED_VALUE"""),"Anis Marsella")</f>
        <v>Anis Marsella</v>
      </c>
      <c r="D570" s="2" t="str">
        <f>IFERROR(__xludf.DUMMYFUNCTION("""COMPUTED_VALUE"""),"5KM OVERALL F")</f>
        <v>5KM OVERALL F</v>
      </c>
      <c r="E570" s="1">
        <f>IFERROR(__xludf.DUMMYFUNCTION("""COMPUTED_VALUE"""),73.0)</f>
        <v>73</v>
      </c>
      <c r="F570" s="1" t="str">
        <f>IFERROR(__xludf.DUMMYFUNCTION("""COMPUTED_VALUE"""),"Female")</f>
        <v>Female</v>
      </c>
      <c r="G570" s="5">
        <f>IFERROR(__xludf.DUMMYFUNCTION("""COMPUTED_VALUE"""),0.005999685185185185)</f>
        <v>0.005999685185</v>
      </c>
      <c r="H570" s="15">
        <f>IFERROR(__xludf.DUMMYFUNCTION("""COMPUTED_VALUE"""),0.2549440625)</f>
        <v>0.2549440625</v>
      </c>
      <c r="I570" s="15">
        <f>IFERROR(__xludf.DUMMYFUNCTION("""COMPUTED_VALUE"""),45949.28494249121)</f>
        <v>45949.28494</v>
      </c>
      <c r="J570" s="15">
        <f>IFERROR(__xludf.DUMMYFUNCTION("""COMPUTED_VALUE"""),45949.02999842871)</f>
        <v>45949.03</v>
      </c>
      <c r="K570" s="15">
        <f>IFERROR(__xludf.DUMMYFUNCTION("""COMPUTED_VALUE"""),45949.2728322435)</f>
        <v>45949.27283</v>
      </c>
      <c r="L570" s="4"/>
    </row>
    <row r="571">
      <c r="A571" s="1">
        <f>IFERROR(__xludf.DUMMYFUNCTION("""COMPUTED_VALUE"""),570.0)</f>
        <v>570</v>
      </c>
      <c r="B571" s="1">
        <f>IFERROR(__xludf.DUMMYFUNCTION("""COMPUTED_VALUE"""),5854.0)</f>
        <v>5854</v>
      </c>
      <c r="C571" s="2" t="str">
        <f>IFERROR(__xludf.DUMMYFUNCTION("""COMPUTED_VALUE"""),"MIA")</f>
        <v>MIA</v>
      </c>
      <c r="D571" s="2" t="str">
        <f>IFERROR(__xludf.DUMMYFUNCTION("""COMPUTED_VALUE"""),"5KM OVERALL F")</f>
        <v>5KM OVERALL F</v>
      </c>
      <c r="E571" s="1">
        <f>IFERROR(__xludf.DUMMYFUNCTION("""COMPUTED_VALUE"""),74.0)</f>
        <v>74</v>
      </c>
      <c r="F571" s="1" t="str">
        <f>IFERROR(__xludf.DUMMYFUNCTION("""COMPUTED_VALUE"""),"Female")</f>
        <v>Female</v>
      </c>
      <c r="G571" s="5">
        <f>IFERROR(__xludf.DUMMYFUNCTION("""COMPUTED_VALUE"""),0.006001083333333333)</f>
        <v>0.006001083333</v>
      </c>
      <c r="H571" s="15">
        <f>IFERROR(__xludf.DUMMYFUNCTION("""COMPUTED_VALUE"""),0.2549440625)</f>
        <v>0.2549440625</v>
      </c>
      <c r="I571" s="15">
        <f>IFERROR(__xludf.DUMMYFUNCTION("""COMPUTED_VALUE"""),45949.28494948364)</f>
        <v>45949.28495</v>
      </c>
      <c r="J571" s="15">
        <f>IFERROR(__xludf.DUMMYFUNCTION("""COMPUTED_VALUE"""),45949.03000542114)</f>
        <v>45949.03001</v>
      </c>
      <c r="K571" s="15">
        <f>IFERROR(__xludf.DUMMYFUNCTION("""COMPUTED_VALUE"""),45949.27282877792)</f>
        <v>45949.27283</v>
      </c>
      <c r="L571" s="4"/>
    </row>
    <row r="572">
      <c r="A572" s="1">
        <f>IFERROR(__xludf.DUMMYFUNCTION("""COMPUTED_VALUE"""),571.0)</f>
        <v>571</v>
      </c>
      <c r="B572" s="1">
        <f>IFERROR(__xludf.DUMMYFUNCTION("""COMPUTED_VALUE"""),6277.0)</f>
        <v>6277</v>
      </c>
      <c r="C572" s="2" t="str">
        <f>IFERROR(__xludf.DUMMYFUNCTION("""COMPUTED_VALUE"""),"Yehezkiel")</f>
        <v>Yehezkiel</v>
      </c>
      <c r="D572" s="2" t="str">
        <f>IFERROR(__xludf.DUMMYFUNCTION("""COMPUTED_VALUE"""),"5KM OVERALL M")</f>
        <v>5KM OVERALL M</v>
      </c>
      <c r="E572" s="1">
        <f>IFERROR(__xludf.DUMMYFUNCTION("""COMPUTED_VALUE"""),379.0)</f>
        <v>379</v>
      </c>
      <c r="F572" s="1" t="str">
        <f>IFERROR(__xludf.DUMMYFUNCTION("""COMPUTED_VALUE"""),"Male")</f>
        <v>Male</v>
      </c>
      <c r="G572" s="5">
        <f>IFERROR(__xludf.DUMMYFUNCTION("""COMPUTED_VALUE"""),0.00600525)</f>
        <v>0.00600525</v>
      </c>
      <c r="H572" s="15">
        <f>IFERROR(__xludf.DUMMYFUNCTION("""COMPUTED_VALUE"""),0.2549440625)</f>
        <v>0.2549440625</v>
      </c>
      <c r="I572" s="15">
        <f>IFERROR(__xludf.DUMMYFUNCTION("""COMPUTED_VALUE"""),45949.28497031032)</f>
        <v>45949.28497</v>
      </c>
      <c r="J572" s="15">
        <f>IFERROR(__xludf.DUMMYFUNCTION("""COMPUTED_VALUE"""),45949.03002624782)</f>
        <v>45949.03003</v>
      </c>
      <c r="K572" s="15">
        <f>IFERROR(__xludf.DUMMYFUNCTION("""COMPUTED_VALUE"""),45949.272398217654)</f>
        <v>45949.2724</v>
      </c>
      <c r="L572" s="4"/>
    </row>
    <row r="573">
      <c r="A573" s="1">
        <f>IFERROR(__xludf.DUMMYFUNCTION("""COMPUTED_VALUE"""),572.0)</f>
        <v>572</v>
      </c>
      <c r="B573" s="7" t="str">
        <f>IFERROR(__xludf.DUMMYFUNCTION("""COMPUTED_VALUE"""),"9070")</f>
        <v>9070</v>
      </c>
      <c r="C573" s="8" t="str">
        <f>IFERROR(__xludf.DUMMYFUNCTION("""COMPUTED_VALUE"""),"M.HAFIIDZ APRILIANTO")</f>
        <v>M.HAFIIDZ APRILIANTO</v>
      </c>
      <c r="D573" s="2" t="str">
        <f>IFERROR(__xludf.DUMMYFUNCTION("""COMPUTED_VALUE"""),"5KM STUDENT M")</f>
        <v>5KM STUDENT M</v>
      </c>
      <c r="E573" s="1">
        <f>IFERROR(__xludf.DUMMYFUNCTION("""COMPUTED_VALUE"""),44.0)</f>
        <v>44</v>
      </c>
      <c r="F573" s="1" t="str">
        <f>IFERROR(__xludf.DUMMYFUNCTION("""COMPUTED_VALUE"""),"Male")</f>
        <v>Male</v>
      </c>
      <c r="G573" s="5">
        <f>IFERROR(__xludf.DUMMYFUNCTION("""COMPUTED_VALUE"""),0.006005252314814814)</f>
        <v>0.006005252315</v>
      </c>
      <c r="H573" s="15">
        <f>IFERROR(__xludf.DUMMYFUNCTION("""COMPUTED_VALUE"""),0.2549440625)</f>
        <v>0.2549440625</v>
      </c>
      <c r="I573" s="15">
        <f>IFERROR(__xludf.DUMMYFUNCTION("""COMPUTED_VALUE"""),45949.28497032246)</f>
        <v>45949.28497</v>
      </c>
      <c r="J573" s="15">
        <f>IFERROR(__xludf.DUMMYFUNCTION("""COMPUTED_VALUE"""),45949.030026259956)</f>
        <v>45949.03003</v>
      </c>
      <c r="K573" s="15">
        <f>IFERROR(__xludf.DUMMYFUNCTION("""COMPUTED_VALUE"""),45949.27264824583)</f>
        <v>45949.27265</v>
      </c>
      <c r="L573" s="4"/>
    </row>
    <row r="574">
      <c r="A574" s="1">
        <f>IFERROR(__xludf.DUMMYFUNCTION("""COMPUTED_VALUE"""),573.0)</f>
        <v>573</v>
      </c>
      <c r="B574" s="7" t="str">
        <f>IFERROR(__xludf.DUMMYFUNCTION("""COMPUTED_VALUE"""),"9011")</f>
        <v>9011</v>
      </c>
      <c r="C574" s="8" t="str">
        <f>IFERROR(__xludf.DUMMYFUNCTION("""COMPUTED_VALUE"""),"Fatih")</f>
        <v>Fatih</v>
      </c>
      <c r="D574" s="2" t="str">
        <f>IFERROR(__xludf.DUMMYFUNCTION("""COMPUTED_VALUE"""),"5KM STUDENT M")</f>
        <v>5KM STUDENT M</v>
      </c>
      <c r="E574" s="1">
        <f>IFERROR(__xludf.DUMMYFUNCTION("""COMPUTED_VALUE"""),45.0)</f>
        <v>45</v>
      </c>
      <c r="F574" s="1" t="str">
        <f>IFERROR(__xludf.DUMMYFUNCTION("""COMPUTED_VALUE"""),"Male")</f>
        <v>Male</v>
      </c>
      <c r="G574" s="5">
        <f>IFERROR(__xludf.DUMMYFUNCTION("""COMPUTED_VALUE"""),0.006006638888888889)</f>
        <v>0.006006638889</v>
      </c>
      <c r="H574" s="15">
        <f>IFERROR(__xludf.DUMMYFUNCTION("""COMPUTED_VALUE"""),0.2549440625)</f>
        <v>0.2549440625</v>
      </c>
      <c r="I574" s="15">
        <f>IFERROR(__xludf.DUMMYFUNCTION("""COMPUTED_VALUE"""),45949.284977255906)</f>
        <v>45949.28498</v>
      </c>
      <c r="J574" s="15">
        <f>IFERROR(__xludf.DUMMYFUNCTION("""COMPUTED_VALUE"""),45949.030033193405)</f>
        <v>45949.03003</v>
      </c>
      <c r="K574" s="15">
        <f>IFERROR(__xludf.DUMMYFUNCTION("""COMPUTED_VALUE"""),45949.27176280891)</f>
        <v>45949.27176</v>
      </c>
      <c r="L574" s="4"/>
    </row>
    <row r="575">
      <c r="A575" s="1">
        <f>IFERROR(__xludf.DUMMYFUNCTION("""COMPUTED_VALUE"""),574.0)</f>
        <v>574</v>
      </c>
      <c r="B575" s="1">
        <f>IFERROR(__xludf.DUMMYFUNCTION("""COMPUTED_VALUE"""),6398.0)</f>
        <v>6398</v>
      </c>
      <c r="C575" s="2" t="str">
        <f>IFERROR(__xludf.DUMMYFUNCTION("""COMPUTED_VALUE"""),"MzF")</f>
        <v>MzF</v>
      </c>
      <c r="D575" s="2" t="str">
        <f>IFERROR(__xludf.DUMMYFUNCTION("""COMPUTED_VALUE"""),"5KM OVERALL F")</f>
        <v>5KM OVERALL F</v>
      </c>
      <c r="E575" s="1">
        <f>IFERROR(__xludf.DUMMYFUNCTION("""COMPUTED_VALUE"""),75.0)</f>
        <v>75</v>
      </c>
      <c r="F575" s="1" t="str">
        <f>IFERROR(__xludf.DUMMYFUNCTION("""COMPUTED_VALUE"""),"Female")</f>
        <v>Female</v>
      </c>
      <c r="G575" s="5">
        <f>IFERROR(__xludf.DUMMYFUNCTION("""COMPUTED_VALUE"""),0.006007333333333333)</f>
        <v>0.006007333333</v>
      </c>
      <c r="H575" s="15">
        <f>IFERROR(__xludf.DUMMYFUNCTION("""COMPUTED_VALUE"""),0.2549440625)</f>
        <v>0.2549440625</v>
      </c>
      <c r="I575" s="15">
        <f>IFERROR(__xludf.DUMMYFUNCTION("""COMPUTED_VALUE"""),45949.28498072657)</f>
        <v>45949.28498</v>
      </c>
      <c r="J575" s="15">
        <f>IFERROR(__xludf.DUMMYFUNCTION("""COMPUTED_VALUE"""),45949.030036664066)</f>
        <v>45949.03004</v>
      </c>
      <c r="K575" s="15">
        <f>IFERROR(__xludf.DUMMYFUNCTION("""COMPUTED_VALUE"""),45949.27064827141)</f>
        <v>45949.27065</v>
      </c>
      <c r="L575" s="4"/>
    </row>
    <row r="576">
      <c r="A576" s="1">
        <f>IFERROR(__xludf.DUMMYFUNCTION("""COMPUTED_VALUE"""),575.0)</f>
        <v>575</v>
      </c>
      <c r="B576" s="1">
        <f>IFERROR(__xludf.DUMMYFUNCTION("""COMPUTED_VALUE"""),5826.0)</f>
        <v>5826</v>
      </c>
      <c r="C576" s="2" t="str">
        <f>IFERROR(__xludf.DUMMYFUNCTION("""COMPUTED_VALUE"""),"Gerry")</f>
        <v>Gerry</v>
      </c>
      <c r="D576" s="2" t="str">
        <f>IFERROR(__xludf.DUMMYFUNCTION("""COMPUTED_VALUE"""),"5KM OVERALL M")</f>
        <v>5KM OVERALL M</v>
      </c>
      <c r="E576" s="1">
        <f>IFERROR(__xludf.DUMMYFUNCTION("""COMPUTED_VALUE"""),380.0)</f>
        <v>380</v>
      </c>
      <c r="F576" s="1" t="str">
        <f>IFERROR(__xludf.DUMMYFUNCTION("""COMPUTED_VALUE"""),"Male")</f>
        <v>Male</v>
      </c>
      <c r="G576" s="5">
        <f>IFERROR(__xludf.DUMMYFUNCTION("""COMPUTED_VALUE"""),0.006022703703703704)</f>
        <v>0.006022703704</v>
      </c>
      <c r="H576" s="15">
        <f>IFERROR(__xludf.DUMMYFUNCTION("""COMPUTED_VALUE"""),0.2549440625)</f>
        <v>0.2549440625</v>
      </c>
      <c r="I576" s="15">
        <f>IFERROR(__xludf.DUMMYFUNCTION("""COMPUTED_VALUE"""),45949.28505758292)</f>
        <v>45949.28506</v>
      </c>
      <c r="J576" s="15">
        <f>IFERROR(__xludf.DUMMYFUNCTION("""COMPUTED_VALUE"""),45949.03011352042)</f>
        <v>45949.03011</v>
      </c>
      <c r="K576" s="15">
        <f>IFERROR(__xludf.DUMMYFUNCTION("""COMPUTED_VALUE"""),45949.273800988565)</f>
        <v>45949.2738</v>
      </c>
      <c r="L576" s="4"/>
    </row>
    <row r="577">
      <c r="A577" s="1">
        <f>IFERROR(__xludf.DUMMYFUNCTION("""COMPUTED_VALUE"""),576.0)</f>
        <v>576</v>
      </c>
      <c r="B577" s="1">
        <f>IFERROR(__xludf.DUMMYFUNCTION("""COMPUTED_VALUE"""),5287.0)</f>
        <v>5287</v>
      </c>
      <c r="C577" s="2" t="str">
        <f>IFERROR(__xludf.DUMMYFUNCTION("""COMPUTED_VALUE"""),"Jaya Riadi Nor")</f>
        <v>Jaya Riadi Nor</v>
      </c>
      <c r="D577" s="2" t="str">
        <f>IFERROR(__xludf.DUMMYFUNCTION("""COMPUTED_VALUE"""),"5KM OVERALL M")</f>
        <v>5KM OVERALL M</v>
      </c>
      <c r="E577" s="1">
        <f>IFERROR(__xludf.DUMMYFUNCTION("""COMPUTED_VALUE"""),381.0)</f>
        <v>381</v>
      </c>
      <c r="F577" s="1" t="str">
        <f>IFERROR(__xludf.DUMMYFUNCTION("""COMPUTED_VALUE"""),"Male")</f>
        <v>Male</v>
      </c>
      <c r="G577" s="5">
        <f>IFERROR(__xludf.DUMMYFUNCTION("""COMPUTED_VALUE"""),0.006026083333333333)</f>
        <v>0.006026083333</v>
      </c>
      <c r="H577" s="15">
        <f>IFERROR(__xludf.DUMMYFUNCTION("""COMPUTED_VALUE"""),0.2549440625)</f>
        <v>0.2549440625</v>
      </c>
      <c r="I577" s="15">
        <f>IFERROR(__xludf.DUMMYFUNCTION("""COMPUTED_VALUE"""),45949.285074474894)</f>
        <v>45949.28507</v>
      </c>
      <c r="J577" s="15">
        <f>IFERROR(__xludf.DUMMYFUNCTION("""COMPUTED_VALUE"""),45949.03013041239)</f>
        <v>45949.03013</v>
      </c>
      <c r="K577" s="15">
        <f>IFERROR(__xludf.DUMMYFUNCTION("""COMPUTED_VALUE"""),45949.274912166926)</f>
        <v>45949.27491</v>
      </c>
      <c r="L577" s="4"/>
    </row>
    <row r="578">
      <c r="A578" s="1">
        <f>IFERROR(__xludf.DUMMYFUNCTION("""COMPUTED_VALUE"""),577.0)</f>
        <v>577</v>
      </c>
      <c r="B578" s="1">
        <f>IFERROR(__xludf.DUMMYFUNCTION("""COMPUTED_VALUE"""),5230.0)</f>
        <v>5230</v>
      </c>
      <c r="C578" s="2" t="str">
        <f>IFERROR(__xludf.DUMMYFUNCTION("""COMPUTED_VALUE"""),"ADECK A K")</f>
        <v>ADECK A K</v>
      </c>
      <c r="D578" s="2" t="str">
        <f>IFERROR(__xludf.DUMMYFUNCTION("""COMPUTED_VALUE"""),"5KM OVERALL M")</f>
        <v>5KM OVERALL M</v>
      </c>
      <c r="E578" s="1">
        <f>IFERROR(__xludf.DUMMYFUNCTION("""COMPUTED_VALUE"""),382.0)</f>
        <v>382</v>
      </c>
      <c r="F578" s="1" t="str">
        <f>IFERROR(__xludf.DUMMYFUNCTION("""COMPUTED_VALUE"""),"Male")</f>
        <v>Male</v>
      </c>
      <c r="G578" s="5">
        <f>IFERROR(__xludf.DUMMYFUNCTION("""COMPUTED_VALUE"""),0.0060330856481481485)</f>
        <v>0.006033085648</v>
      </c>
      <c r="H578" s="15">
        <f>IFERROR(__xludf.DUMMYFUNCTION("""COMPUTED_VALUE"""),0.2549440625)</f>
        <v>0.2549440625</v>
      </c>
      <c r="I578" s="15">
        <f>IFERROR(__xludf.DUMMYFUNCTION("""COMPUTED_VALUE"""),45949.28510949433)</f>
        <v>45949.28511</v>
      </c>
      <c r="J578" s="15">
        <f>IFERROR(__xludf.DUMMYFUNCTION("""COMPUTED_VALUE"""),45949.03016543183)</f>
        <v>45949.03017</v>
      </c>
      <c r="K578" s="15">
        <f>IFERROR(__xludf.DUMMYFUNCTION("""COMPUTED_VALUE"""),45949.27407877902)</f>
        <v>45949.27408</v>
      </c>
      <c r="L578" s="4"/>
    </row>
    <row r="579">
      <c r="A579" s="1">
        <f>IFERROR(__xludf.DUMMYFUNCTION("""COMPUTED_VALUE"""),578.0)</f>
        <v>578</v>
      </c>
      <c r="B579" s="1">
        <f>IFERROR(__xludf.DUMMYFUNCTION("""COMPUTED_VALUE"""),6073.0)</f>
        <v>6073</v>
      </c>
      <c r="C579" s="2" t="str">
        <f>IFERROR(__xludf.DUMMYFUNCTION("""COMPUTED_VALUE"""),"gusti eddy mulya marwizy")</f>
        <v>gusti eddy mulya marwizy</v>
      </c>
      <c r="D579" s="2" t="str">
        <f>IFERROR(__xludf.DUMMYFUNCTION("""COMPUTED_VALUE"""),"5KM OVERALL M")</f>
        <v>5KM OVERALL M</v>
      </c>
      <c r="E579" s="1">
        <f>IFERROR(__xludf.DUMMYFUNCTION("""COMPUTED_VALUE"""),383.0)</f>
        <v>383</v>
      </c>
      <c r="F579" s="1" t="str">
        <f>IFERROR(__xludf.DUMMYFUNCTION("""COMPUTED_VALUE"""),"Male")</f>
        <v>Male</v>
      </c>
      <c r="G579" s="5">
        <f>IFERROR(__xludf.DUMMYFUNCTION("""COMPUTED_VALUE"""),0.006037194444444445)</f>
        <v>0.006037194444</v>
      </c>
      <c r="H579" s="15">
        <f>IFERROR(__xludf.DUMMYFUNCTION("""COMPUTED_VALUE"""),0.2549440625)</f>
        <v>0.2549440625</v>
      </c>
      <c r="I579" s="15">
        <f>IFERROR(__xludf.DUMMYFUNCTION("""COMPUTED_VALUE"""),45949.28513003837)</f>
        <v>45949.28513</v>
      </c>
      <c r="J579" s="15">
        <f>IFERROR(__xludf.DUMMYFUNCTION("""COMPUTED_VALUE"""),45949.03018597587)</f>
        <v>45949.03019</v>
      </c>
      <c r="K579" s="15">
        <f>IFERROR(__xludf.DUMMYFUNCTION("""COMPUTED_VALUE"""),45949.27227374354)</f>
        <v>45949.27227</v>
      </c>
      <c r="L579" s="4"/>
    </row>
    <row r="580">
      <c r="A580" s="1">
        <f>IFERROR(__xludf.DUMMYFUNCTION("""COMPUTED_VALUE"""),579.0)</f>
        <v>579</v>
      </c>
      <c r="B580" s="1">
        <f>IFERROR(__xludf.DUMMYFUNCTION("""COMPUTED_VALUE"""),5391.0)</f>
        <v>5391</v>
      </c>
      <c r="C580" s="2" t="str">
        <f>IFERROR(__xludf.DUMMYFUNCTION("""COMPUTED_VALUE"""),"Risfian Faizi")</f>
        <v>Risfian Faizi</v>
      </c>
      <c r="D580" s="2" t="str">
        <f>IFERROR(__xludf.DUMMYFUNCTION("""COMPUTED_VALUE"""),"5KM OVERALL M")</f>
        <v>5KM OVERALL M</v>
      </c>
      <c r="E580" s="1">
        <f>IFERROR(__xludf.DUMMYFUNCTION("""COMPUTED_VALUE"""),384.0)</f>
        <v>384</v>
      </c>
      <c r="F580" s="1" t="str">
        <f>IFERROR(__xludf.DUMMYFUNCTION("""COMPUTED_VALUE"""),"Male")</f>
        <v>Male</v>
      </c>
      <c r="G580" s="5">
        <f>IFERROR(__xludf.DUMMYFUNCTION("""COMPUTED_VALUE"""),0.006037194444444445)</f>
        <v>0.006037194444</v>
      </c>
      <c r="H580" s="15">
        <f>IFERROR(__xludf.DUMMYFUNCTION("""COMPUTED_VALUE"""),0.2549440625)</f>
        <v>0.2549440625</v>
      </c>
      <c r="I580" s="15">
        <f>IFERROR(__xludf.DUMMYFUNCTION("""COMPUTED_VALUE"""),45949.28513003837)</f>
        <v>45949.28513</v>
      </c>
      <c r="J580" s="15">
        <f>IFERROR(__xludf.DUMMYFUNCTION("""COMPUTED_VALUE"""),45949.03018597587)</f>
        <v>45949.03019</v>
      </c>
      <c r="K580" s="15">
        <f>IFERROR(__xludf.DUMMYFUNCTION("""COMPUTED_VALUE"""),45949.271478650735)</f>
        <v>45949.27148</v>
      </c>
      <c r="L580" s="4"/>
    </row>
    <row r="581">
      <c r="A581" s="1">
        <f>IFERROR(__xludf.DUMMYFUNCTION("""COMPUTED_VALUE"""),580.0)</f>
        <v>580</v>
      </c>
      <c r="B581" s="1">
        <f>IFERROR(__xludf.DUMMYFUNCTION("""COMPUTED_VALUE"""),7094.0)</f>
        <v>7094</v>
      </c>
      <c r="C581" s="2" t="str">
        <f>IFERROR(__xludf.DUMMYFUNCTION("""COMPUTED_VALUE"""),"Putri Marini")</f>
        <v>Putri Marini</v>
      </c>
      <c r="D581" s="2" t="str">
        <f>IFERROR(__xludf.DUMMYFUNCTION("""COMPUTED_VALUE"""),"5KM MASTER F")</f>
        <v>5KM MASTER F</v>
      </c>
      <c r="E581" s="1">
        <f>IFERROR(__xludf.DUMMYFUNCTION("""COMPUTED_VALUE"""),17.0)</f>
        <v>17</v>
      </c>
      <c r="F581" s="1" t="str">
        <f>IFERROR(__xludf.DUMMYFUNCTION("""COMPUTED_VALUE"""),"Female")</f>
        <v>Female</v>
      </c>
      <c r="G581" s="5">
        <f>IFERROR(__xludf.DUMMYFUNCTION("""COMPUTED_VALUE"""),0.006037199074074075)</f>
        <v>0.006037199074</v>
      </c>
      <c r="H581" s="15">
        <f>IFERROR(__xludf.DUMMYFUNCTION("""COMPUTED_VALUE"""),0.2549440625)</f>
        <v>0.2549440625</v>
      </c>
      <c r="I581" s="15">
        <f>IFERROR(__xludf.DUMMYFUNCTION("""COMPUTED_VALUE"""),45949.28513005428)</f>
        <v>45949.28513</v>
      </c>
      <c r="J581" s="15">
        <f>IFERROR(__xludf.DUMMYFUNCTION("""COMPUTED_VALUE"""),45949.03018599178)</f>
        <v>45949.03019</v>
      </c>
      <c r="K581" s="15">
        <f>IFERROR(__xludf.DUMMYFUNCTION("""COMPUTED_VALUE"""),45949.272030225824)</f>
        <v>45949.27203</v>
      </c>
      <c r="L581" s="4"/>
    </row>
    <row r="582">
      <c r="A582" s="1">
        <f>IFERROR(__xludf.DUMMYFUNCTION("""COMPUTED_VALUE"""),581.0)</f>
        <v>581</v>
      </c>
      <c r="B582" s="1">
        <f>IFERROR(__xludf.DUMMYFUNCTION("""COMPUTED_VALUE"""),5186.0)</f>
        <v>5186</v>
      </c>
      <c r="C582" s="2" t="str">
        <f>IFERROR(__xludf.DUMMYFUNCTION("""COMPUTED_VALUE"""),"Amelia Safitri")</f>
        <v>Amelia Safitri</v>
      </c>
      <c r="D582" s="2" t="str">
        <f>IFERROR(__xludf.DUMMYFUNCTION("""COMPUTED_VALUE"""),"5KM OVERALL F")</f>
        <v>5KM OVERALL F</v>
      </c>
      <c r="E582" s="1">
        <f>IFERROR(__xludf.DUMMYFUNCTION("""COMPUTED_VALUE"""),76.0)</f>
        <v>76</v>
      </c>
      <c r="F582" s="1" t="str">
        <f>IFERROR(__xludf.DUMMYFUNCTION("""COMPUTED_VALUE"""),"Female")</f>
        <v>Female</v>
      </c>
      <c r="G582" s="5">
        <f>IFERROR(__xludf.DUMMYFUNCTION("""COMPUTED_VALUE"""),0.006042046296296297)</f>
        <v>0.006042046296</v>
      </c>
      <c r="H582" s="15">
        <f>IFERROR(__xludf.DUMMYFUNCTION("""COMPUTED_VALUE"""),0.2549440625)</f>
        <v>0.2549440625</v>
      </c>
      <c r="I582" s="15">
        <f>IFERROR(__xludf.DUMMYFUNCTION("""COMPUTED_VALUE"""),45949.2851542888)</f>
        <v>45949.28515</v>
      </c>
      <c r="J582" s="15">
        <f>IFERROR(__xludf.DUMMYFUNCTION("""COMPUTED_VALUE"""),45949.0302102263)</f>
        <v>45949.03021</v>
      </c>
      <c r="K582" s="15">
        <f>IFERROR(__xludf.DUMMYFUNCTION("""COMPUTED_VALUE"""),45949.27221768398)</f>
        <v>45949.27222</v>
      </c>
      <c r="L582" s="4"/>
    </row>
    <row r="583">
      <c r="A583" s="1">
        <f>IFERROR(__xludf.DUMMYFUNCTION("""COMPUTED_VALUE"""),582.0)</f>
        <v>582</v>
      </c>
      <c r="B583" s="1">
        <f>IFERROR(__xludf.DUMMYFUNCTION("""COMPUTED_VALUE"""),5484.0)</f>
        <v>5484</v>
      </c>
      <c r="C583" s="2" t="str">
        <f>IFERROR(__xludf.DUMMYFUNCTION("""COMPUTED_VALUE"""),"NanettaFP")</f>
        <v>NanettaFP</v>
      </c>
      <c r="D583" s="2" t="str">
        <f>IFERROR(__xludf.DUMMYFUNCTION("""COMPUTED_VALUE"""),"5KM OVERALL F")</f>
        <v>5KM OVERALL F</v>
      </c>
      <c r="E583" s="1">
        <f>IFERROR(__xludf.DUMMYFUNCTION("""COMPUTED_VALUE"""),77.0)</f>
        <v>77</v>
      </c>
      <c r="F583" s="1" t="str">
        <f>IFERROR(__xludf.DUMMYFUNCTION("""COMPUTED_VALUE"""),"Female")</f>
        <v>Female</v>
      </c>
      <c r="G583" s="5">
        <f>IFERROR(__xludf.DUMMYFUNCTION("""COMPUTED_VALUE"""),0.006046212962962963)</f>
        <v>0.006046212963</v>
      </c>
      <c r="H583" s="15">
        <f>IFERROR(__xludf.DUMMYFUNCTION("""COMPUTED_VALUE"""),0.2549440625)</f>
        <v>0.2549440625</v>
      </c>
      <c r="I583" s="15">
        <f>IFERROR(__xludf.DUMMYFUNCTION("""COMPUTED_VALUE"""),45949.2851751238)</f>
        <v>45949.28518</v>
      </c>
      <c r="J583" s="15">
        <f>IFERROR(__xludf.DUMMYFUNCTION("""COMPUTED_VALUE"""),45949.0302310613)</f>
        <v>45949.03023</v>
      </c>
      <c r="K583" s="15">
        <f>IFERROR(__xludf.DUMMYFUNCTION("""COMPUTED_VALUE"""),45949.27218640358)</f>
        <v>45949.27219</v>
      </c>
      <c r="L583" s="4"/>
    </row>
    <row r="584">
      <c r="A584" s="1">
        <f>IFERROR(__xludf.DUMMYFUNCTION("""COMPUTED_VALUE"""),583.0)</f>
        <v>583</v>
      </c>
      <c r="B584" s="1">
        <f>IFERROR(__xludf.DUMMYFUNCTION("""COMPUTED_VALUE"""),6143.0)</f>
        <v>6143</v>
      </c>
      <c r="C584" s="2" t="str">
        <f>IFERROR(__xludf.DUMMYFUNCTION("""COMPUTED_VALUE"""),"ALDI AFREZA")</f>
        <v>ALDI AFREZA</v>
      </c>
      <c r="D584" s="2" t="str">
        <f>IFERROR(__xludf.DUMMYFUNCTION("""COMPUTED_VALUE"""),"5KM OVERALL M")</f>
        <v>5KM OVERALL M</v>
      </c>
      <c r="E584" s="1">
        <f>IFERROR(__xludf.DUMMYFUNCTION("""COMPUTED_VALUE"""),385.0)</f>
        <v>385</v>
      </c>
      <c r="F584" s="1" t="str">
        <f>IFERROR(__xludf.DUMMYFUNCTION("""COMPUTED_VALUE"""),"Male")</f>
        <v>Male</v>
      </c>
      <c r="G584" s="5">
        <f>IFERROR(__xludf.DUMMYFUNCTION("""COMPUTED_VALUE"""),0.006047613425925926)</f>
        <v>0.006047613426</v>
      </c>
      <c r="H584" s="15">
        <f>IFERROR(__xludf.DUMMYFUNCTION("""COMPUTED_VALUE"""),0.2549440625)</f>
        <v>0.2549440625</v>
      </c>
      <c r="I584" s="15">
        <f>IFERROR(__xludf.DUMMYFUNCTION("""COMPUTED_VALUE"""),45949.28518212986)</f>
        <v>45949.28518</v>
      </c>
      <c r="J584" s="15">
        <f>IFERROR(__xludf.DUMMYFUNCTION("""COMPUTED_VALUE"""),45949.03023806736)</f>
        <v>45949.03024</v>
      </c>
      <c r="K584" s="15">
        <f>IFERROR(__xludf.DUMMYFUNCTION("""COMPUTED_VALUE"""),45949.27354062915)</f>
        <v>45949.27354</v>
      </c>
      <c r="L584" s="4"/>
    </row>
    <row r="585">
      <c r="A585" s="1">
        <f>IFERROR(__xludf.DUMMYFUNCTION("""COMPUTED_VALUE"""),584.0)</f>
        <v>584</v>
      </c>
      <c r="B585" s="7" t="str">
        <f>IFERROR(__xludf.DUMMYFUNCTION("""COMPUTED_VALUE"""),"7147")</f>
        <v>7147</v>
      </c>
      <c r="C585" s="8" t="str">
        <f>IFERROR(__xludf.DUMMYFUNCTION("""COMPUTED_VALUE"""),"AGUSAN")</f>
        <v>AGUSAN</v>
      </c>
      <c r="D585" s="2" t="str">
        <f>IFERROR(__xludf.DUMMYFUNCTION("""COMPUTED_VALUE"""),"5KM MASTER M")</f>
        <v>5KM MASTER M</v>
      </c>
      <c r="E585" s="1">
        <f>IFERROR(__xludf.DUMMYFUNCTION("""COMPUTED_VALUE"""),54.0)</f>
        <v>54</v>
      </c>
      <c r="F585" s="1" t="str">
        <f>IFERROR(__xludf.DUMMYFUNCTION("""COMPUTED_VALUE"""),"Male")</f>
        <v>Male</v>
      </c>
      <c r="G585" s="5">
        <f>IFERROR(__xludf.DUMMYFUNCTION("""COMPUTED_VALUE"""),0.0060490000000000006)</f>
        <v>0.006049</v>
      </c>
      <c r="H585" s="15">
        <f>IFERROR(__xludf.DUMMYFUNCTION("""COMPUTED_VALUE"""),0.2549440625)</f>
        <v>0.2549440625</v>
      </c>
      <c r="I585" s="15">
        <f>IFERROR(__xludf.DUMMYFUNCTION("""COMPUTED_VALUE"""),45949.285189067625)</f>
        <v>45949.28519</v>
      </c>
      <c r="J585" s="15">
        <f>IFERROR(__xludf.DUMMYFUNCTION("""COMPUTED_VALUE"""),45949.030245005124)</f>
        <v>45949.03025</v>
      </c>
      <c r="K585" s="15">
        <f>IFERROR(__xludf.DUMMYFUNCTION("""COMPUTED_VALUE"""),45949.27264134339)</f>
        <v>45949.27264</v>
      </c>
      <c r="L585" s="4"/>
    </row>
    <row r="586">
      <c r="A586" s="1">
        <f>IFERROR(__xludf.DUMMYFUNCTION("""COMPUTED_VALUE"""),585.0)</f>
        <v>585</v>
      </c>
      <c r="B586" s="1">
        <f>IFERROR(__xludf.DUMMYFUNCTION("""COMPUTED_VALUE"""),6224.0)</f>
        <v>6224</v>
      </c>
      <c r="C586" s="2" t="str">
        <f>IFERROR(__xludf.DUMMYFUNCTION("""COMPUTED_VALUE"""),"SayTama")</f>
        <v>SayTama</v>
      </c>
      <c r="D586" s="2" t="str">
        <f>IFERROR(__xludf.DUMMYFUNCTION("""COMPUTED_VALUE"""),"5KM OVERALL M")</f>
        <v>5KM OVERALL M</v>
      </c>
      <c r="E586" s="1">
        <f>IFERROR(__xludf.DUMMYFUNCTION("""COMPUTED_VALUE"""),386.0)</f>
        <v>386</v>
      </c>
      <c r="F586" s="1" t="str">
        <f>IFERROR(__xludf.DUMMYFUNCTION("""COMPUTED_VALUE"""),"Male")</f>
        <v>Male</v>
      </c>
      <c r="G586" s="5">
        <f>IFERROR(__xludf.DUMMYFUNCTION("""COMPUTED_VALUE"""),0.006051085648148148)</f>
        <v>0.006051085648</v>
      </c>
      <c r="H586" s="15">
        <f>IFERROR(__xludf.DUMMYFUNCTION("""COMPUTED_VALUE"""),0.2549440625)</f>
        <v>0.2549440625</v>
      </c>
      <c r="I586" s="15">
        <f>IFERROR(__xludf.DUMMYFUNCTION("""COMPUTED_VALUE"""),45949.28519948528)</f>
        <v>45949.2852</v>
      </c>
      <c r="J586" s="15">
        <f>IFERROR(__xludf.DUMMYFUNCTION("""COMPUTED_VALUE"""),45949.03025542278)</f>
        <v>45949.03026</v>
      </c>
      <c r="K586" s="15">
        <f>IFERROR(__xludf.DUMMYFUNCTION("""COMPUTED_VALUE"""),45949.27383227415)</f>
        <v>45949.27383</v>
      </c>
      <c r="L586" s="4"/>
    </row>
    <row r="587">
      <c r="A587" s="1">
        <f>IFERROR(__xludf.DUMMYFUNCTION("""COMPUTED_VALUE"""),586.0)</f>
        <v>586</v>
      </c>
      <c r="B587" s="1">
        <f>IFERROR(__xludf.DUMMYFUNCTION("""COMPUTED_VALUE"""),5889.0)</f>
        <v>5889</v>
      </c>
      <c r="C587" s="2" t="str">
        <f>IFERROR(__xludf.DUMMYFUNCTION("""COMPUTED_VALUE"""),"Atrofan Azmi")</f>
        <v>Atrofan Azmi</v>
      </c>
      <c r="D587" s="2" t="str">
        <f>IFERROR(__xludf.DUMMYFUNCTION("""COMPUTED_VALUE"""),"5KM OVERALL M")</f>
        <v>5KM OVERALL M</v>
      </c>
      <c r="E587" s="1">
        <f>IFERROR(__xludf.DUMMYFUNCTION("""COMPUTED_VALUE"""),387.0)</f>
        <v>387</v>
      </c>
      <c r="F587" s="1" t="str">
        <f>IFERROR(__xludf.DUMMYFUNCTION("""COMPUTED_VALUE"""),"Male")</f>
        <v>Male</v>
      </c>
      <c r="G587" s="5">
        <f>IFERROR(__xludf.DUMMYFUNCTION("""COMPUTED_VALUE"""),0.006051087962962964)</f>
        <v>0.006051087963</v>
      </c>
      <c r="H587" s="15">
        <f>IFERROR(__xludf.DUMMYFUNCTION("""COMPUTED_VALUE"""),0.2549440625)</f>
        <v>0.2549440625</v>
      </c>
      <c r="I587" s="15">
        <f>IFERROR(__xludf.DUMMYFUNCTION("""COMPUTED_VALUE"""),45949.28519950178)</f>
        <v>45949.2852</v>
      </c>
      <c r="J587" s="15">
        <f>IFERROR(__xludf.DUMMYFUNCTION("""COMPUTED_VALUE"""),45949.03025543928)</f>
        <v>45949.03026</v>
      </c>
      <c r="K587" s="15">
        <f>IFERROR(__xludf.DUMMYFUNCTION("""COMPUTED_VALUE"""),45949.27211007374)</f>
        <v>45949.27211</v>
      </c>
      <c r="L587" s="4"/>
    </row>
    <row r="588">
      <c r="A588" s="1">
        <f>IFERROR(__xludf.DUMMYFUNCTION("""COMPUTED_VALUE"""),587.0)</f>
        <v>587</v>
      </c>
      <c r="B588" s="1">
        <f>IFERROR(__xludf.DUMMYFUNCTION("""COMPUTED_VALUE"""),6144.0)</f>
        <v>6144</v>
      </c>
      <c r="C588" s="2" t="str">
        <f>IFERROR(__xludf.DUMMYFUNCTION("""COMPUTED_VALUE"""),"ALFABA21")</f>
        <v>ALFABA21</v>
      </c>
      <c r="D588" s="2" t="str">
        <f>IFERROR(__xludf.DUMMYFUNCTION("""COMPUTED_VALUE"""),"5KM OVERALL M")</f>
        <v>5KM OVERALL M</v>
      </c>
      <c r="E588" s="1">
        <f>IFERROR(__xludf.DUMMYFUNCTION("""COMPUTED_VALUE"""),388.0)</f>
        <v>388</v>
      </c>
      <c r="F588" s="1" t="str">
        <f>IFERROR(__xludf.DUMMYFUNCTION("""COMPUTED_VALUE"""),"Male")</f>
        <v>Male</v>
      </c>
      <c r="G588" s="5">
        <f>IFERROR(__xludf.DUMMYFUNCTION("""COMPUTED_VALUE"""),0.006053168981481482)</f>
        <v>0.006053168981</v>
      </c>
      <c r="H588" s="15">
        <f>IFERROR(__xludf.DUMMYFUNCTION("""COMPUTED_VALUE"""),0.2549440625)</f>
        <v>0.2549440625</v>
      </c>
      <c r="I588" s="15">
        <f>IFERROR(__xludf.DUMMYFUNCTION("""COMPUTED_VALUE"""),45949.28520990864)</f>
        <v>45949.28521</v>
      </c>
      <c r="J588" s="15">
        <f>IFERROR(__xludf.DUMMYFUNCTION("""COMPUTED_VALUE"""),45949.03026584614)</f>
        <v>45949.03027</v>
      </c>
      <c r="K588" s="15">
        <f>IFERROR(__xludf.DUMMYFUNCTION("""COMPUTED_VALUE"""),45949.273214262335)</f>
        <v>45949.27321</v>
      </c>
      <c r="L588" s="4"/>
    </row>
    <row r="589">
      <c r="A589" s="1">
        <f>IFERROR(__xludf.DUMMYFUNCTION("""COMPUTED_VALUE"""),588.0)</f>
        <v>588</v>
      </c>
      <c r="B589" s="1">
        <f>IFERROR(__xludf.DUMMYFUNCTION("""COMPUTED_VALUE"""),6033.0)</f>
        <v>6033</v>
      </c>
      <c r="C589" s="2" t="str">
        <f>IFERROR(__xludf.DUMMYFUNCTION("""COMPUTED_VALUE"""),"Arif")</f>
        <v>Arif</v>
      </c>
      <c r="D589" s="2" t="str">
        <f>IFERROR(__xludf.DUMMYFUNCTION("""COMPUTED_VALUE"""),"5KM OVERALL M")</f>
        <v>5KM OVERALL M</v>
      </c>
      <c r="E589" s="1">
        <f>IFERROR(__xludf.DUMMYFUNCTION("""COMPUTED_VALUE"""),389.0)</f>
        <v>389</v>
      </c>
      <c r="F589" s="1" t="str">
        <f>IFERROR(__xludf.DUMMYFUNCTION("""COMPUTED_VALUE"""),"Male")</f>
        <v>Male</v>
      </c>
      <c r="G589" s="5">
        <f>IFERROR(__xludf.DUMMYFUNCTION("""COMPUTED_VALUE"""),0.006053168981481482)</f>
        <v>0.006053168981</v>
      </c>
      <c r="H589" s="15">
        <f>IFERROR(__xludf.DUMMYFUNCTION("""COMPUTED_VALUE"""),0.2549440625)</f>
        <v>0.2549440625</v>
      </c>
      <c r="I589" s="15">
        <f>IFERROR(__xludf.DUMMYFUNCTION("""COMPUTED_VALUE"""),45949.28520990864)</f>
        <v>45949.28521</v>
      </c>
      <c r="J589" s="15">
        <f>IFERROR(__xludf.DUMMYFUNCTION("""COMPUTED_VALUE"""),45949.03026584614)</f>
        <v>45949.03027</v>
      </c>
      <c r="K589" s="15">
        <f>IFERROR(__xludf.DUMMYFUNCTION("""COMPUTED_VALUE"""),45949.27397807793)</f>
        <v>45949.27398</v>
      </c>
      <c r="L589" s="4"/>
    </row>
    <row r="590">
      <c r="A590" s="1">
        <f>IFERROR(__xludf.DUMMYFUNCTION("""COMPUTED_VALUE"""),589.0)</f>
        <v>589</v>
      </c>
      <c r="B590" s="1">
        <f>IFERROR(__xludf.DUMMYFUNCTION("""COMPUTED_VALUE"""),5795.0)</f>
        <v>5795</v>
      </c>
      <c r="C590" s="2" t="str">
        <f>IFERROR(__xludf.DUMMYFUNCTION("""COMPUTED_VALUE"""),"BARRY, ABDUL HALIM")</f>
        <v>BARRY, ABDUL HALIM</v>
      </c>
      <c r="D590" s="2" t="str">
        <f>IFERROR(__xludf.DUMMYFUNCTION("""COMPUTED_VALUE"""),"5KM OVERALL M")</f>
        <v>5KM OVERALL M</v>
      </c>
      <c r="E590" s="1">
        <f>IFERROR(__xludf.DUMMYFUNCTION("""COMPUTED_VALUE"""),390.0)</f>
        <v>390</v>
      </c>
      <c r="F590" s="1" t="str">
        <f>IFERROR(__xludf.DUMMYFUNCTION("""COMPUTED_VALUE"""),"Male")</f>
        <v>Male</v>
      </c>
      <c r="G590" s="5">
        <f>IFERROR(__xludf.DUMMYFUNCTION("""COMPUTED_VALUE"""),0.006055254629629629)</f>
        <v>0.00605525463</v>
      </c>
      <c r="H590" s="15">
        <f>IFERROR(__xludf.DUMMYFUNCTION("""COMPUTED_VALUE"""),0.2549440625)</f>
        <v>0.2549440625</v>
      </c>
      <c r="I590" s="15">
        <f>IFERROR(__xludf.DUMMYFUNCTION("""COMPUTED_VALUE"""),45949.285220337755)</f>
        <v>45949.28522</v>
      </c>
      <c r="J590" s="15">
        <f>IFERROR(__xludf.DUMMYFUNCTION("""COMPUTED_VALUE"""),45949.030276275254)</f>
        <v>45949.03028</v>
      </c>
      <c r="K590" s="15">
        <f>IFERROR(__xludf.DUMMYFUNCTION("""COMPUTED_VALUE"""),45949.27190932719)</f>
        <v>45949.27191</v>
      </c>
      <c r="L590" s="4"/>
    </row>
    <row r="591">
      <c r="A591" s="1">
        <f>IFERROR(__xludf.DUMMYFUNCTION("""COMPUTED_VALUE"""),590.0)</f>
        <v>590</v>
      </c>
      <c r="B591" s="1">
        <f>IFERROR(__xludf.DUMMYFUNCTION("""COMPUTED_VALUE"""),5972.0)</f>
        <v>5972</v>
      </c>
      <c r="C591" s="2" t="str">
        <f>IFERROR(__xludf.DUMMYFUNCTION("""COMPUTED_VALUE"""),"Yusfian Abdillah")</f>
        <v>Yusfian Abdillah</v>
      </c>
      <c r="D591" s="2" t="str">
        <f>IFERROR(__xludf.DUMMYFUNCTION("""COMPUTED_VALUE"""),"5KM OVERALL M")</f>
        <v>5KM OVERALL M</v>
      </c>
      <c r="E591" s="1">
        <f>IFERROR(__xludf.DUMMYFUNCTION("""COMPUTED_VALUE"""),391.0)</f>
        <v>391</v>
      </c>
      <c r="F591" s="1" t="str">
        <f>IFERROR(__xludf.DUMMYFUNCTION("""COMPUTED_VALUE"""),"Male")</f>
        <v>Male</v>
      </c>
      <c r="G591" s="5">
        <f>IFERROR(__xludf.DUMMYFUNCTION("""COMPUTED_VALUE"""),0.006058724537037037)</f>
        <v>0.006058724537</v>
      </c>
      <c r="H591" s="15">
        <f>IFERROR(__xludf.DUMMYFUNCTION("""COMPUTED_VALUE"""),0.2549440625)</f>
        <v>0.2549440625</v>
      </c>
      <c r="I591" s="15">
        <f>IFERROR(__xludf.DUMMYFUNCTION("""COMPUTED_VALUE"""),45949.28523768977)</f>
        <v>45949.28524</v>
      </c>
      <c r="J591" s="15">
        <f>IFERROR(__xludf.DUMMYFUNCTION("""COMPUTED_VALUE"""),45949.03029362727)</f>
        <v>45949.03029</v>
      </c>
      <c r="K591" s="15">
        <f>IFERROR(__xludf.DUMMYFUNCTION("""COMPUTED_VALUE"""),45949.27438432153)</f>
        <v>45949.27438</v>
      </c>
      <c r="L591" s="4"/>
    </row>
    <row r="592">
      <c r="A592" s="1">
        <f>IFERROR(__xludf.DUMMYFUNCTION("""COMPUTED_VALUE"""),591.0)</f>
        <v>591</v>
      </c>
      <c r="B592" s="1">
        <f>IFERROR(__xludf.DUMMYFUNCTION("""COMPUTED_VALUE"""),9101.0)</f>
        <v>9101</v>
      </c>
      <c r="C592" s="2" t="str">
        <f>IFERROR(__xludf.DUMMYFUNCTION("""COMPUTED_VALUE"""),"Firas")</f>
        <v>Firas</v>
      </c>
      <c r="D592" s="2" t="str">
        <f>IFERROR(__xludf.DUMMYFUNCTION("""COMPUTED_VALUE"""),"5KM STUDENT M")</f>
        <v>5KM STUDENT M</v>
      </c>
      <c r="E592" s="1">
        <f>IFERROR(__xludf.DUMMYFUNCTION("""COMPUTED_VALUE"""),46.0)</f>
        <v>46</v>
      </c>
      <c r="F592" s="1" t="str">
        <f>IFERROR(__xludf.DUMMYFUNCTION("""COMPUTED_VALUE"""),"Male")</f>
        <v>Male</v>
      </c>
      <c r="G592" s="5">
        <f>IFERROR(__xludf.DUMMYFUNCTION("""COMPUTED_VALUE"""),0.006062891203703703)</f>
        <v>0.006062891204</v>
      </c>
      <c r="H592" s="15">
        <f>IFERROR(__xludf.DUMMYFUNCTION("""COMPUTED_VALUE"""),0.2549440625)</f>
        <v>0.2549440625</v>
      </c>
      <c r="I592" s="15">
        <f>IFERROR(__xludf.DUMMYFUNCTION("""COMPUTED_VALUE"""),45949.285258513955)</f>
        <v>45949.28526</v>
      </c>
      <c r="J592" s="15">
        <f>IFERROR(__xludf.DUMMYFUNCTION("""COMPUTED_VALUE"""),45949.030314451455)</f>
        <v>45949.03031</v>
      </c>
      <c r="K592" s="15">
        <f>IFERROR(__xludf.DUMMYFUNCTION("""COMPUTED_VALUE"""),45950.27313657408)</f>
        <v>45950.27314</v>
      </c>
      <c r="L592" s="4" t="str">
        <f>IFERROR(__xludf.DUMMYFUNCTION("""COMPUTED_VALUE"""),"C")</f>
        <v>C</v>
      </c>
    </row>
    <row r="593">
      <c r="A593" s="1">
        <f>IFERROR(__xludf.DUMMYFUNCTION("""COMPUTED_VALUE"""),592.0)</f>
        <v>592</v>
      </c>
      <c r="B593" s="7" t="str">
        <f>IFERROR(__xludf.DUMMYFUNCTION("""COMPUTED_VALUE"""),"9043")</f>
        <v>9043</v>
      </c>
      <c r="C593" s="8" t="str">
        <f>IFERROR(__xludf.DUMMYFUNCTION("""COMPUTED_VALUE"""),"Arjunn")</f>
        <v>Arjunn</v>
      </c>
      <c r="D593" s="2" t="str">
        <f>IFERROR(__xludf.DUMMYFUNCTION("""COMPUTED_VALUE"""),"5KM STUDENT M")</f>
        <v>5KM STUDENT M</v>
      </c>
      <c r="E593" s="1">
        <f>IFERROR(__xludf.DUMMYFUNCTION("""COMPUTED_VALUE"""),47.0)</f>
        <v>47</v>
      </c>
      <c r="F593" s="1" t="str">
        <f>IFERROR(__xludf.DUMMYFUNCTION("""COMPUTED_VALUE"""),"Male")</f>
        <v>Male</v>
      </c>
      <c r="G593" s="5">
        <f>IFERROR(__xludf.DUMMYFUNCTION("""COMPUTED_VALUE"""),0.0060642800925925925)</f>
        <v>0.006064280093</v>
      </c>
      <c r="H593" s="15">
        <f>IFERROR(__xludf.DUMMYFUNCTION("""COMPUTED_VALUE"""),0.2549440625)</f>
        <v>0.2549440625</v>
      </c>
      <c r="I593" s="15">
        <f>IFERROR(__xludf.DUMMYFUNCTION("""COMPUTED_VALUE"""),45949.285265457576)</f>
        <v>45949.28527</v>
      </c>
      <c r="J593" s="15">
        <f>IFERROR(__xludf.DUMMYFUNCTION("""COMPUTED_VALUE"""),45949.030321395076)</f>
        <v>45949.03032</v>
      </c>
      <c r="K593" s="15">
        <f>IFERROR(__xludf.DUMMYFUNCTION("""COMPUTED_VALUE"""),45949.27315175007)</f>
        <v>45949.27315</v>
      </c>
      <c r="L593" s="4"/>
    </row>
    <row r="594">
      <c r="A594" s="1">
        <f>IFERROR(__xludf.DUMMYFUNCTION("""COMPUTED_VALUE"""),593.0)</f>
        <v>593</v>
      </c>
      <c r="B594" s="1">
        <f>IFERROR(__xludf.DUMMYFUNCTION("""COMPUTED_VALUE"""),6349.0)</f>
        <v>6349</v>
      </c>
      <c r="C594" s="2" t="str">
        <f>IFERROR(__xludf.DUMMYFUNCTION("""COMPUTED_VALUE"""),"Sepupunya Zola")</f>
        <v>Sepupunya Zola</v>
      </c>
      <c r="D594" s="2" t="str">
        <f>IFERROR(__xludf.DUMMYFUNCTION("""COMPUTED_VALUE"""),"5KM OVERALL M")</f>
        <v>5KM OVERALL M</v>
      </c>
      <c r="E594" s="1">
        <f>IFERROR(__xludf.DUMMYFUNCTION("""COMPUTED_VALUE"""),392.0)</f>
        <v>392</v>
      </c>
      <c r="F594" s="1" t="str">
        <f>IFERROR(__xludf.DUMMYFUNCTION("""COMPUTED_VALUE"""),"Male")</f>
        <v>Male</v>
      </c>
      <c r="G594" s="5">
        <f>IFERROR(__xludf.DUMMYFUNCTION("""COMPUTED_VALUE"""),0.006079555555555555)</f>
        <v>0.006079555556</v>
      </c>
      <c r="H594" s="15">
        <f>IFERROR(__xludf.DUMMYFUNCTION("""COMPUTED_VALUE"""),0.2549440625)</f>
        <v>0.2549440625</v>
      </c>
      <c r="I594" s="15">
        <f>IFERROR(__xludf.DUMMYFUNCTION("""COMPUTED_VALUE"""),45949.2853418408)</f>
        <v>45949.28534</v>
      </c>
      <c r="J594" s="15">
        <f>IFERROR(__xludf.DUMMYFUNCTION("""COMPUTED_VALUE"""),45949.0303977783)</f>
        <v>45949.0304</v>
      </c>
      <c r="K594" s="15">
        <f>IFERROR(__xludf.DUMMYFUNCTION("""COMPUTED_VALUE"""),45949.27439873738)</f>
        <v>45949.2744</v>
      </c>
      <c r="L594" s="4"/>
    </row>
    <row r="595">
      <c r="A595" s="1">
        <f>IFERROR(__xludf.DUMMYFUNCTION("""COMPUTED_VALUE"""),594.0)</f>
        <v>594</v>
      </c>
      <c r="B595" s="1">
        <f>IFERROR(__xludf.DUMMYFUNCTION("""COMPUTED_VALUE"""),5606.0)</f>
        <v>5606</v>
      </c>
      <c r="C595" s="2" t="str">
        <f>IFERROR(__xludf.DUMMYFUNCTION("""COMPUTED_VALUE"""),"cici lyna")</f>
        <v>cici lyna</v>
      </c>
      <c r="D595" s="2" t="str">
        <f>IFERROR(__xludf.DUMMYFUNCTION("""COMPUTED_VALUE"""),"5KM OVERALL F")</f>
        <v>5KM OVERALL F</v>
      </c>
      <c r="E595" s="1">
        <f>IFERROR(__xludf.DUMMYFUNCTION("""COMPUTED_VALUE"""),78.0)</f>
        <v>78</v>
      </c>
      <c r="F595" s="1" t="str">
        <f>IFERROR(__xludf.DUMMYFUNCTION("""COMPUTED_VALUE"""),"Female")</f>
        <v>Female</v>
      </c>
      <c r="G595" s="5">
        <f>IFERROR(__xludf.DUMMYFUNCTION("""COMPUTED_VALUE"""),0.006081638888888889)</f>
        <v>0.006081638889</v>
      </c>
      <c r="H595" s="15">
        <f>IFERROR(__xludf.DUMMYFUNCTION("""COMPUTED_VALUE"""),0.2549440625)</f>
        <v>0.2549440625</v>
      </c>
      <c r="I595" s="15">
        <f>IFERROR(__xludf.DUMMYFUNCTION("""COMPUTED_VALUE"""),45949.28535225958)</f>
        <v>45949.28535</v>
      </c>
      <c r="J595" s="15">
        <f>IFERROR(__xludf.DUMMYFUNCTION("""COMPUTED_VALUE"""),45949.03040819708)</f>
        <v>45949.03041</v>
      </c>
      <c r="K595" s="15">
        <f>IFERROR(__xludf.DUMMYFUNCTION("""COMPUTED_VALUE"""),45949.271752375826)</f>
        <v>45949.27175</v>
      </c>
      <c r="L595" s="4"/>
    </row>
    <row r="596">
      <c r="A596" s="1">
        <f>IFERROR(__xludf.DUMMYFUNCTION("""COMPUTED_VALUE"""),595.0)</f>
        <v>595</v>
      </c>
      <c r="B596" s="1">
        <f>IFERROR(__xludf.DUMMYFUNCTION("""COMPUTED_VALUE"""),6357.0)</f>
        <v>6357</v>
      </c>
      <c r="C596" s="2" t="str">
        <f>IFERROR(__xludf.DUMMYFUNCTION("""COMPUTED_VALUE"""),"amangikam_")</f>
        <v>amangikam_</v>
      </c>
      <c r="D596" s="2" t="str">
        <f>IFERROR(__xludf.DUMMYFUNCTION("""COMPUTED_VALUE"""),"5KM OVERALL M")</f>
        <v>5KM OVERALL M</v>
      </c>
      <c r="E596" s="1">
        <f>IFERROR(__xludf.DUMMYFUNCTION("""COMPUTED_VALUE"""),393.0)</f>
        <v>393</v>
      </c>
      <c r="F596" s="1" t="str">
        <f>IFERROR(__xludf.DUMMYFUNCTION("""COMPUTED_VALUE"""),"Male")</f>
        <v>Male</v>
      </c>
      <c r="G596" s="5">
        <f>IFERROR(__xludf.DUMMYFUNCTION("""COMPUTED_VALUE"""),0.006091585648148148)</f>
        <v>0.006091585648</v>
      </c>
      <c r="H596" s="15">
        <f>IFERROR(__xludf.DUMMYFUNCTION("""COMPUTED_VALUE"""),0.2549440625)</f>
        <v>0.2549440625</v>
      </c>
      <c r="I596" s="15">
        <f>IFERROR(__xludf.DUMMYFUNCTION("""COMPUTED_VALUE"""),45949.28540198912)</f>
        <v>45949.2854</v>
      </c>
      <c r="J596" s="15">
        <f>IFERROR(__xludf.DUMMYFUNCTION("""COMPUTED_VALUE"""),45949.030457926616)</f>
        <v>45949.03046</v>
      </c>
      <c r="K596" s="15">
        <f>IFERROR(__xludf.DUMMYFUNCTION("""COMPUTED_VALUE"""),45949.2739190595)</f>
        <v>45949.27392</v>
      </c>
      <c r="L596" s="4"/>
    </row>
    <row r="597">
      <c r="A597" s="1">
        <f>IFERROR(__xludf.DUMMYFUNCTION("""COMPUTED_VALUE"""),596.0)</f>
        <v>596</v>
      </c>
      <c r="B597" s="1">
        <f>IFERROR(__xludf.DUMMYFUNCTION("""COMPUTED_VALUE"""),6353.0)</f>
        <v>6353</v>
      </c>
      <c r="C597" s="2" t="str">
        <f>IFERROR(__xludf.DUMMYFUNCTION("""COMPUTED_VALUE"""),"Altitah Hadsari Senja")</f>
        <v>Altitah Hadsari Senja</v>
      </c>
      <c r="D597" s="2" t="str">
        <f>IFERROR(__xludf.DUMMYFUNCTION("""COMPUTED_VALUE"""),"5KM OVERALL F")</f>
        <v>5KM OVERALL F</v>
      </c>
      <c r="E597" s="1">
        <f>IFERROR(__xludf.DUMMYFUNCTION("""COMPUTED_VALUE"""),79.0)</f>
        <v>79</v>
      </c>
      <c r="F597" s="1" t="str">
        <f>IFERROR(__xludf.DUMMYFUNCTION("""COMPUTED_VALUE"""),"Female")</f>
        <v>Female</v>
      </c>
      <c r="G597" s="5">
        <f>IFERROR(__xludf.DUMMYFUNCTION("""COMPUTED_VALUE"""),0.006091585648148148)</f>
        <v>0.006091585648</v>
      </c>
      <c r="H597" s="15">
        <f>IFERROR(__xludf.DUMMYFUNCTION("""COMPUTED_VALUE"""),0.2549440625)</f>
        <v>0.2549440625</v>
      </c>
      <c r="I597" s="15">
        <f>IFERROR(__xludf.DUMMYFUNCTION("""COMPUTED_VALUE"""),45949.28540198912)</f>
        <v>45949.2854</v>
      </c>
      <c r="J597" s="15">
        <f>IFERROR(__xludf.DUMMYFUNCTION("""COMPUTED_VALUE"""),45949.030457926616)</f>
        <v>45949.03046</v>
      </c>
      <c r="K597" s="15">
        <f>IFERROR(__xludf.DUMMYFUNCTION("""COMPUTED_VALUE"""),45949.27396425236)</f>
        <v>45949.27396</v>
      </c>
      <c r="L597" s="4"/>
    </row>
    <row r="598">
      <c r="A598" s="1">
        <f>IFERROR(__xludf.DUMMYFUNCTION("""COMPUTED_VALUE"""),597.0)</f>
        <v>597</v>
      </c>
      <c r="B598" s="1">
        <f>IFERROR(__xludf.DUMMYFUNCTION("""COMPUTED_VALUE"""),5510.0)</f>
        <v>5510</v>
      </c>
      <c r="C598" s="2" t="str">
        <f>IFERROR(__xludf.DUMMYFUNCTION("""COMPUTED_VALUE"""),"Yoyo")</f>
        <v>Yoyo</v>
      </c>
      <c r="D598" s="2" t="str">
        <f>IFERROR(__xludf.DUMMYFUNCTION("""COMPUTED_VALUE"""),"5KM OVERALL F")</f>
        <v>5KM OVERALL F</v>
      </c>
      <c r="E598" s="1">
        <f>IFERROR(__xludf.DUMMYFUNCTION("""COMPUTED_VALUE"""),80.0)</f>
        <v>80</v>
      </c>
      <c r="F598" s="1" t="str">
        <f>IFERROR(__xludf.DUMMYFUNCTION("""COMPUTED_VALUE"""),"Female")</f>
        <v>Female</v>
      </c>
      <c r="G598" s="5">
        <f>IFERROR(__xludf.DUMMYFUNCTION("""COMPUTED_VALUE"""),0.006092752314814815)</f>
        <v>0.006092752315</v>
      </c>
      <c r="H598" s="15">
        <f>IFERROR(__xludf.DUMMYFUNCTION("""COMPUTED_VALUE"""),0.2549440625)</f>
        <v>0.2549440625</v>
      </c>
      <c r="I598" s="15">
        <f>IFERROR(__xludf.DUMMYFUNCTION("""COMPUTED_VALUE"""),45949.28540782644)</f>
        <v>45949.28541</v>
      </c>
      <c r="J598" s="15">
        <f>IFERROR(__xludf.DUMMYFUNCTION("""COMPUTED_VALUE"""),45949.03046376394)</f>
        <v>45949.03046</v>
      </c>
      <c r="K598" s="15">
        <f>IFERROR(__xludf.DUMMYFUNCTION("""COMPUTED_VALUE"""),45949.272648222686)</f>
        <v>45949.27265</v>
      </c>
      <c r="L598" s="4"/>
    </row>
    <row r="599">
      <c r="A599" s="1">
        <f>IFERROR(__xludf.DUMMYFUNCTION("""COMPUTED_VALUE"""),598.0)</f>
        <v>598</v>
      </c>
      <c r="B599" s="1">
        <f>IFERROR(__xludf.DUMMYFUNCTION("""COMPUTED_VALUE"""),5883.0)</f>
        <v>5883</v>
      </c>
      <c r="C599" s="2" t="str">
        <f>IFERROR(__xludf.DUMMYFUNCTION("""COMPUTED_VALUE"""),"Bukadaco")</f>
        <v>Bukadaco</v>
      </c>
      <c r="D599" s="2" t="str">
        <f>IFERROR(__xludf.DUMMYFUNCTION("""COMPUTED_VALUE"""),"5KM OVERALL F")</f>
        <v>5KM OVERALL F</v>
      </c>
      <c r="E599" s="1">
        <f>IFERROR(__xludf.DUMMYFUNCTION("""COMPUTED_VALUE"""),81.0)</f>
        <v>81</v>
      </c>
      <c r="F599" s="1" t="str">
        <f>IFERROR(__xludf.DUMMYFUNCTION("""COMPUTED_VALUE"""),"Female")</f>
        <v>Female</v>
      </c>
      <c r="G599" s="5">
        <f>IFERROR(__xludf.DUMMYFUNCTION("""COMPUTED_VALUE"""),0.006094141203703703)</f>
        <v>0.006094141204</v>
      </c>
      <c r="H599" s="15">
        <f>IFERROR(__xludf.DUMMYFUNCTION("""COMPUTED_VALUE"""),0.2549440625)</f>
        <v>0.2549440625</v>
      </c>
      <c r="I599" s="15">
        <f>IFERROR(__xludf.DUMMYFUNCTION("""COMPUTED_VALUE"""),45949.28541476889)</f>
        <v>45949.28541</v>
      </c>
      <c r="J599" s="15">
        <f>IFERROR(__xludf.DUMMYFUNCTION("""COMPUTED_VALUE"""),45949.03047070639)</f>
        <v>45949.03047</v>
      </c>
      <c r="K599" s="15">
        <f>IFERROR(__xludf.DUMMYFUNCTION("""COMPUTED_VALUE"""),45949.272596190414)</f>
        <v>45949.2726</v>
      </c>
      <c r="L599" s="4"/>
    </row>
    <row r="600">
      <c r="A600" s="1">
        <f>IFERROR(__xludf.DUMMYFUNCTION("""COMPUTED_VALUE"""),599.0)</f>
        <v>599</v>
      </c>
      <c r="B600" s="1">
        <f>IFERROR(__xludf.DUMMYFUNCTION("""COMPUTED_VALUE"""),6282.0)</f>
        <v>6282</v>
      </c>
      <c r="C600" s="2" t="str">
        <f>IFERROR(__xludf.DUMMYFUNCTION("""COMPUTED_VALUE"""),"Anisa Rurie")</f>
        <v>Anisa Rurie</v>
      </c>
      <c r="D600" s="2" t="str">
        <f>IFERROR(__xludf.DUMMYFUNCTION("""COMPUTED_VALUE"""),"5KM OVERALL F")</f>
        <v>5KM OVERALL F</v>
      </c>
      <c r="E600" s="1">
        <f>IFERROR(__xludf.DUMMYFUNCTION("""COMPUTED_VALUE"""),82.0)</f>
        <v>82</v>
      </c>
      <c r="F600" s="1" t="str">
        <f>IFERROR(__xludf.DUMMYFUNCTION("""COMPUTED_VALUE"""),"Female")</f>
        <v>Female</v>
      </c>
      <c r="G600" s="5">
        <f>IFERROR(__xludf.DUMMYFUNCTION("""COMPUTED_VALUE"""),0.0060955300925925925)</f>
        <v>0.006095530093</v>
      </c>
      <c r="H600" s="15">
        <f>IFERROR(__xludf.DUMMYFUNCTION("""COMPUTED_VALUE"""),0.2549440625)</f>
        <v>0.2549440625</v>
      </c>
      <c r="I600" s="15">
        <f>IFERROR(__xludf.DUMMYFUNCTION("""COMPUTED_VALUE"""),45949.28542170821)</f>
        <v>45949.28542</v>
      </c>
      <c r="J600" s="15">
        <f>IFERROR(__xludf.DUMMYFUNCTION("""COMPUTED_VALUE"""),45949.03047764571)</f>
        <v>45949.03048</v>
      </c>
      <c r="K600" s="15">
        <f>IFERROR(__xludf.DUMMYFUNCTION("""COMPUTED_VALUE"""),45949.27203021424)</f>
        <v>45949.27203</v>
      </c>
      <c r="L600" s="4"/>
    </row>
    <row r="601">
      <c r="A601" s="1">
        <f>IFERROR(__xludf.DUMMYFUNCTION("""COMPUTED_VALUE"""),600.0)</f>
        <v>600</v>
      </c>
      <c r="B601" s="1">
        <f>IFERROR(__xludf.DUMMYFUNCTION("""COMPUTED_VALUE"""),5481.0)</f>
        <v>5481</v>
      </c>
      <c r="C601" s="2" t="str">
        <f>IFERROR(__xludf.DUMMYFUNCTION("""COMPUTED_VALUE"""),"windaekaliya")</f>
        <v>windaekaliya</v>
      </c>
      <c r="D601" s="2" t="str">
        <f>IFERROR(__xludf.DUMMYFUNCTION("""COMPUTED_VALUE"""),"5KM OVERALL F")</f>
        <v>5KM OVERALL F</v>
      </c>
      <c r="E601" s="1">
        <f>IFERROR(__xludf.DUMMYFUNCTION("""COMPUTED_VALUE"""),83.0)</f>
        <v>83</v>
      </c>
      <c r="F601" s="1" t="str">
        <f>IFERROR(__xludf.DUMMYFUNCTION("""COMPUTED_VALUE"""),"Female")</f>
        <v>Female</v>
      </c>
      <c r="G601" s="5">
        <f>IFERROR(__xludf.DUMMYFUNCTION("""COMPUTED_VALUE"""),0.006099694444444445)</f>
        <v>0.006099694444</v>
      </c>
      <c r="H601" s="15">
        <f>IFERROR(__xludf.DUMMYFUNCTION("""COMPUTED_VALUE"""),0.2549440625)</f>
        <v>0.2549440625</v>
      </c>
      <c r="I601" s="15">
        <f>IFERROR(__xludf.DUMMYFUNCTION("""COMPUTED_VALUE"""),45949.285442537664)</f>
        <v>45949.28544</v>
      </c>
      <c r="J601" s="15">
        <f>IFERROR(__xludf.DUMMYFUNCTION("""COMPUTED_VALUE"""),45949.030498475164)</f>
        <v>45949.0305</v>
      </c>
      <c r="K601" s="15">
        <f>IFERROR(__xludf.DUMMYFUNCTION("""COMPUTED_VALUE"""),45949.272214250406)</f>
        <v>45949.27221</v>
      </c>
      <c r="L601" s="4"/>
    </row>
    <row r="602">
      <c r="A602" s="1">
        <f>IFERROR(__xludf.DUMMYFUNCTION("""COMPUTED_VALUE"""),601.0)</f>
        <v>601</v>
      </c>
      <c r="B602" s="1">
        <f>IFERROR(__xludf.DUMMYFUNCTION("""COMPUTED_VALUE"""),5161.0)</f>
        <v>5161</v>
      </c>
      <c r="C602" s="2" t="str">
        <f>IFERROR(__xludf.DUMMYFUNCTION("""COMPUTED_VALUE"""),"Denny")</f>
        <v>Denny</v>
      </c>
      <c r="D602" s="2" t="str">
        <f>IFERROR(__xludf.DUMMYFUNCTION("""COMPUTED_VALUE"""),"5KM OVERALL M")</f>
        <v>5KM OVERALL M</v>
      </c>
      <c r="E602" s="1">
        <f>IFERROR(__xludf.DUMMYFUNCTION("""COMPUTED_VALUE"""),394.0)</f>
        <v>394</v>
      </c>
      <c r="F602" s="1" t="str">
        <f>IFERROR(__xludf.DUMMYFUNCTION("""COMPUTED_VALUE"""),"Male")</f>
        <v>Male</v>
      </c>
      <c r="G602" s="5">
        <f>IFERROR(__xludf.DUMMYFUNCTION("""COMPUTED_VALUE"""),0.006101071759259259)</f>
        <v>0.006101071759</v>
      </c>
      <c r="H602" s="15">
        <f>IFERROR(__xludf.DUMMYFUNCTION("""COMPUTED_VALUE"""),0.2549440625)</f>
        <v>0.2549440625</v>
      </c>
      <c r="I602" s="15">
        <f>IFERROR(__xludf.DUMMYFUNCTION("""COMPUTED_VALUE"""),45949.285449426934)</f>
        <v>45949.28545</v>
      </c>
      <c r="J602" s="15">
        <f>IFERROR(__xludf.DUMMYFUNCTION("""COMPUTED_VALUE"""),45949.03050536443)</f>
        <v>45949.03051</v>
      </c>
      <c r="K602" s="15">
        <f>IFERROR(__xludf.DUMMYFUNCTION("""COMPUTED_VALUE"""),45949.27215174023)</f>
        <v>45949.27215</v>
      </c>
      <c r="L602" s="4"/>
    </row>
    <row r="603">
      <c r="A603" s="1">
        <f>IFERROR(__xludf.DUMMYFUNCTION("""COMPUTED_VALUE"""),602.0)</f>
        <v>602</v>
      </c>
      <c r="B603" s="1">
        <f>IFERROR(__xludf.DUMMYFUNCTION("""COMPUTED_VALUE"""),6042.0)</f>
        <v>6042</v>
      </c>
      <c r="C603" s="2" t="str">
        <f>IFERROR(__xludf.DUMMYFUNCTION("""COMPUTED_VALUE"""),"Rizal.Aprido")</f>
        <v>Rizal.Aprido</v>
      </c>
      <c r="D603" s="2" t="str">
        <f>IFERROR(__xludf.DUMMYFUNCTION("""COMPUTED_VALUE"""),"5KM OVERALL M")</f>
        <v>5KM OVERALL M</v>
      </c>
      <c r="E603" s="1">
        <f>IFERROR(__xludf.DUMMYFUNCTION("""COMPUTED_VALUE"""),395.0)</f>
        <v>395</v>
      </c>
      <c r="F603" s="1" t="str">
        <f>IFERROR(__xludf.DUMMYFUNCTION("""COMPUTED_VALUE"""),"Male")</f>
        <v>Male</v>
      </c>
      <c r="G603" s="5">
        <f>IFERROR(__xludf.DUMMYFUNCTION("""COMPUTED_VALUE"""),0.006103168981481481)</f>
        <v>0.006103168981</v>
      </c>
      <c r="H603" s="15">
        <f>IFERROR(__xludf.DUMMYFUNCTION("""COMPUTED_VALUE"""),0.2549440625)</f>
        <v>0.2549440625</v>
      </c>
      <c r="I603" s="15">
        <f>IFERROR(__xludf.DUMMYFUNCTION("""COMPUTED_VALUE"""),45949.285459911356)</f>
        <v>45949.28546</v>
      </c>
      <c r="J603" s="15">
        <f>IFERROR(__xludf.DUMMYFUNCTION("""COMPUTED_VALUE"""),45949.030515848855)</f>
        <v>45949.03052</v>
      </c>
      <c r="K603" s="15">
        <f>IFERROR(__xludf.DUMMYFUNCTION("""COMPUTED_VALUE"""),45949.27165174576)</f>
        <v>45949.27165</v>
      </c>
      <c r="L603" s="4"/>
    </row>
    <row r="604">
      <c r="A604" s="1">
        <f>IFERROR(__xludf.DUMMYFUNCTION("""COMPUTED_VALUE"""),603.0)</f>
        <v>603</v>
      </c>
      <c r="B604" s="1">
        <f>IFERROR(__xludf.DUMMYFUNCTION("""COMPUTED_VALUE"""),5465.0)</f>
        <v>5465</v>
      </c>
      <c r="C604" s="2" t="str">
        <f>IFERROR(__xludf.DUMMYFUNCTION("""COMPUTED_VALUE"""),"hakam")</f>
        <v>hakam</v>
      </c>
      <c r="D604" s="2" t="str">
        <f>IFERROR(__xludf.DUMMYFUNCTION("""COMPUTED_VALUE"""),"5KM OVERALL M")</f>
        <v>5KM OVERALL M</v>
      </c>
      <c r="E604" s="1">
        <f>IFERROR(__xludf.DUMMYFUNCTION("""COMPUTED_VALUE"""),396.0)</f>
        <v>396</v>
      </c>
      <c r="F604" s="1" t="str">
        <f>IFERROR(__xludf.DUMMYFUNCTION("""COMPUTED_VALUE"""),"Male")</f>
        <v>Male</v>
      </c>
      <c r="G604" s="5">
        <f>IFERROR(__xludf.DUMMYFUNCTION("""COMPUTED_VALUE"""),0.006111500000000001)</f>
        <v>0.0061115</v>
      </c>
      <c r="H604" s="15">
        <f>IFERROR(__xludf.DUMMYFUNCTION("""COMPUTED_VALUE"""),0.2549440625)</f>
        <v>0.2549440625</v>
      </c>
      <c r="I604" s="15">
        <f>IFERROR(__xludf.DUMMYFUNCTION("""COMPUTED_VALUE"""),45949.28550155707)</f>
        <v>45949.2855</v>
      </c>
      <c r="J604" s="15">
        <f>IFERROR(__xludf.DUMMYFUNCTION("""COMPUTED_VALUE"""),45949.03055749457)</f>
        <v>45949.03056</v>
      </c>
      <c r="K604" s="15">
        <f>IFERROR(__xludf.DUMMYFUNCTION("""COMPUTED_VALUE"""),45949.27228369437)</f>
        <v>45949.27228</v>
      </c>
      <c r="L604" s="4"/>
    </row>
    <row r="605">
      <c r="A605" s="1">
        <f>IFERROR(__xludf.DUMMYFUNCTION("""COMPUTED_VALUE"""),604.0)</f>
        <v>604</v>
      </c>
      <c r="B605" s="1">
        <f>IFERROR(__xludf.DUMMYFUNCTION("""COMPUTED_VALUE"""),6256.0)</f>
        <v>6256</v>
      </c>
      <c r="C605" s="2" t="str">
        <f>IFERROR(__xludf.DUMMYFUNCTION("""COMPUTED_VALUE"""),"Abdul Karim")</f>
        <v>Abdul Karim</v>
      </c>
      <c r="D605" s="2" t="str">
        <f>IFERROR(__xludf.DUMMYFUNCTION("""COMPUTED_VALUE"""),"5KM OVERALL M")</f>
        <v>5KM OVERALL M</v>
      </c>
      <c r="E605" s="1">
        <f>IFERROR(__xludf.DUMMYFUNCTION("""COMPUTED_VALUE"""),397.0)</f>
        <v>397</v>
      </c>
      <c r="F605" s="1" t="str">
        <f>IFERROR(__xludf.DUMMYFUNCTION("""COMPUTED_VALUE"""),"Male")</f>
        <v>Male</v>
      </c>
      <c r="G605" s="5">
        <f>IFERROR(__xludf.DUMMYFUNCTION("""COMPUTED_VALUE"""),0.006113585648148148)</f>
        <v>0.006113585648</v>
      </c>
      <c r="H605" s="15">
        <f>IFERROR(__xludf.DUMMYFUNCTION("""COMPUTED_VALUE"""),0.2549440625)</f>
        <v>0.2549440625</v>
      </c>
      <c r="I605" s="15">
        <f>IFERROR(__xludf.DUMMYFUNCTION("""COMPUTED_VALUE"""),45949.28551198819)</f>
        <v>45949.28551</v>
      </c>
      <c r="J605" s="15">
        <f>IFERROR(__xludf.DUMMYFUNCTION("""COMPUTED_VALUE"""),45949.03056792569)</f>
        <v>45949.03057</v>
      </c>
      <c r="K605" s="15">
        <f>IFERROR(__xludf.DUMMYFUNCTION("""COMPUTED_VALUE"""),45949.2720544658)</f>
        <v>45949.27205</v>
      </c>
      <c r="L605" s="4"/>
    </row>
    <row r="606">
      <c r="A606" s="1">
        <f>IFERROR(__xludf.DUMMYFUNCTION("""COMPUTED_VALUE"""),605.0)</f>
        <v>605</v>
      </c>
      <c r="B606" s="1">
        <f>IFERROR(__xludf.DUMMYFUNCTION("""COMPUTED_VALUE"""),6010.0)</f>
        <v>6010</v>
      </c>
      <c r="C606" s="2" t="str">
        <f>IFERROR(__xludf.DUMMYFUNCTION("""COMPUTED_VALUE"""),"ANCHORLADY")</f>
        <v>ANCHORLADY</v>
      </c>
      <c r="D606" s="2" t="str">
        <f>IFERROR(__xludf.DUMMYFUNCTION("""COMPUTED_VALUE"""),"5KM OVERALL F")</f>
        <v>5KM OVERALL F</v>
      </c>
      <c r="E606" s="1">
        <f>IFERROR(__xludf.DUMMYFUNCTION("""COMPUTED_VALUE"""),84.0)</f>
        <v>84</v>
      </c>
      <c r="F606" s="1" t="str">
        <f>IFERROR(__xludf.DUMMYFUNCTION("""COMPUTED_VALUE"""),"Female")</f>
        <v>Female</v>
      </c>
      <c r="G606" s="5">
        <f>IFERROR(__xludf.DUMMYFUNCTION("""COMPUTED_VALUE"""),0.006116488425925925)</f>
        <v>0.006116488426</v>
      </c>
      <c r="H606" s="15">
        <f>IFERROR(__xludf.DUMMYFUNCTION("""COMPUTED_VALUE"""),0.2549440625)</f>
        <v>0.2549440625</v>
      </c>
      <c r="I606" s="15">
        <f>IFERROR(__xludf.DUMMYFUNCTION("""COMPUTED_VALUE"""),45949.28552650839)</f>
        <v>45949.28553</v>
      </c>
      <c r="J606" s="15">
        <f>IFERROR(__xludf.DUMMYFUNCTION("""COMPUTED_VALUE"""),45949.03058244589)</f>
        <v>45949.03058</v>
      </c>
      <c r="K606" s="15">
        <f>IFERROR(__xludf.DUMMYFUNCTION("""COMPUTED_VALUE"""),45949.27192629035)</f>
        <v>45949.27193</v>
      </c>
      <c r="L606" s="4"/>
    </row>
    <row r="607">
      <c r="A607" s="1">
        <f>IFERROR(__xludf.DUMMYFUNCTION("""COMPUTED_VALUE"""),606.0)</f>
        <v>606</v>
      </c>
      <c r="B607" s="1">
        <f>IFERROR(__xludf.DUMMYFUNCTION("""COMPUTED_VALUE"""),7034.0)</f>
        <v>7034</v>
      </c>
      <c r="C607" s="2" t="str">
        <f>IFERROR(__xludf.DUMMYFUNCTION("""COMPUTED_VALUE"""),"Fatma")</f>
        <v>Fatma</v>
      </c>
      <c r="D607" s="2" t="str">
        <f>IFERROR(__xludf.DUMMYFUNCTION("""COMPUTED_VALUE"""),"5KM MASTER F")</f>
        <v>5KM MASTER F</v>
      </c>
      <c r="E607" s="1">
        <f>IFERROR(__xludf.DUMMYFUNCTION("""COMPUTED_VALUE"""),18.0)</f>
        <v>18</v>
      </c>
      <c r="F607" s="1" t="str">
        <f>IFERROR(__xludf.DUMMYFUNCTION("""COMPUTED_VALUE"""),"Female")</f>
        <v>Female</v>
      </c>
      <c r="G607" s="5">
        <f>IFERROR(__xludf.DUMMYFUNCTION("""COMPUTED_VALUE"""),0.006118444444444445)</f>
        <v>0.006118444444</v>
      </c>
      <c r="H607" s="15">
        <f>IFERROR(__xludf.DUMMYFUNCTION("""COMPUTED_VALUE"""),0.2549440625)</f>
        <v>0.2549440625</v>
      </c>
      <c r="I607" s="15">
        <f>IFERROR(__xludf.DUMMYFUNCTION("""COMPUTED_VALUE"""),45949.28553628855)</f>
        <v>45949.28554</v>
      </c>
      <c r="J607" s="15">
        <f>IFERROR(__xludf.DUMMYFUNCTION("""COMPUTED_VALUE"""),45949.03059222605)</f>
        <v>45949.03059</v>
      </c>
      <c r="K607" s="15">
        <f>IFERROR(__xludf.DUMMYFUNCTION("""COMPUTED_VALUE"""),45949.273353077515)</f>
        <v>45949.27335</v>
      </c>
      <c r="L607" s="4"/>
    </row>
    <row r="608">
      <c r="A608" s="1">
        <f>IFERROR(__xludf.DUMMYFUNCTION("""COMPUTED_VALUE"""),607.0)</f>
        <v>607</v>
      </c>
      <c r="B608" s="1">
        <f>IFERROR(__xludf.DUMMYFUNCTION("""COMPUTED_VALUE"""),6009.0)</f>
        <v>6009</v>
      </c>
      <c r="C608" s="2" t="str">
        <f>IFERROR(__xludf.DUMMYFUNCTION("""COMPUTED_VALUE"""),"KAD")</f>
        <v>KAD</v>
      </c>
      <c r="D608" s="2" t="str">
        <f>IFERROR(__xludf.DUMMYFUNCTION("""COMPUTED_VALUE"""),"5KM OVERALL M")</f>
        <v>5KM OVERALL M</v>
      </c>
      <c r="E608" s="1">
        <f>IFERROR(__xludf.DUMMYFUNCTION("""COMPUTED_VALUE"""),398.0)</f>
        <v>398</v>
      </c>
      <c r="F608" s="1" t="str">
        <f>IFERROR(__xludf.DUMMYFUNCTION("""COMPUTED_VALUE"""),"Male")</f>
        <v>Male</v>
      </c>
      <c r="G608" s="5">
        <f>IFERROR(__xludf.DUMMYFUNCTION("""COMPUTED_VALUE"""),0.006119138888888888)</f>
        <v>0.006119138889</v>
      </c>
      <c r="H608" s="15">
        <f>IFERROR(__xludf.DUMMYFUNCTION("""COMPUTED_VALUE"""),0.2549440625)</f>
        <v>0.2549440625</v>
      </c>
      <c r="I608" s="15">
        <f>IFERROR(__xludf.DUMMYFUNCTION("""COMPUTED_VALUE"""),45949.28553975572)</f>
        <v>45949.28554</v>
      </c>
      <c r="J608" s="15">
        <f>IFERROR(__xludf.DUMMYFUNCTION("""COMPUTED_VALUE"""),45949.03059569322)</f>
        <v>45949.0306</v>
      </c>
      <c r="K608" s="15">
        <f>IFERROR(__xludf.DUMMYFUNCTION("""COMPUTED_VALUE"""),45949.272019743)</f>
        <v>45949.27202</v>
      </c>
      <c r="L608" s="4"/>
    </row>
    <row r="609">
      <c r="A609" s="1">
        <f>IFERROR(__xludf.DUMMYFUNCTION("""COMPUTED_VALUE"""),608.0)</f>
        <v>608</v>
      </c>
      <c r="B609" s="1">
        <f>IFERROR(__xludf.DUMMYFUNCTION("""COMPUTED_VALUE"""),5722.0)</f>
        <v>5722</v>
      </c>
      <c r="C609" s="2" t="str">
        <f>IFERROR(__xludf.DUMMYFUNCTION("""COMPUTED_VALUE"""),"docmon")</f>
        <v>docmon</v>
      </c>
      <c r="D609" s="2" t="str">
        <f>IFERROR(__xludf.DUMMYFUNCTION("""COMPUTED_VALUE"""),"5KM OVERALL F")</f>
        <v>5KM OVERALL F</v>
      </c>
      <c r="E609" s="1">
        <f>IFERROR(__xludf.DUMMYFUNCTION("""COMPUTED_VALUE"""),85.0)</f>
        <v>85</v>
      </c>
      <c r="F609" s="1" t="str">
        <f>IFERROR(__xludf.DUMMYFUNCTION("""COMPUTED_VALUE"""),"Female")</f>
        <v>Female</v>
      </c>
      <c r="G609" s="5">
        <f>IFERROR(__xludf.DUMMYFUNCTION("""COMPUTED_VALUE"""),0.006122611111111111)</f>
        <v>0.006122611111</v>
      </c>
      <c r="H609" s="15">
        <f>IFERROR(__xludf.DUMMYFUNCTION("""COMPUTED_VALUE"""),0.2549440625)</f>
        <v>0.2549440625</v>
      </c>
      <c r="I609" s="15">
        <f>IFERROR(__xludf.DUMMYFUNCTION("""COMPUTED_VALUE"""),45949.28555711479)</f>
        <v>45949.28556</v>
      </c>
      <c r="J609" s="15">
        <f>IFERROR(__xludf.DUMMYFUNCTION("""COMPUTED_VALUE"""),45949.03061305229)</f>
        <v>45949.03061</v>
      </c>
      <c r="K609" s="15">
        <f>IFERROR(__xludf.DUMMYFUNCTION("""COMPUTED_VALUE"""),45949.27291906156)</f>
        <v>45949.27292</v>
      </c>
      <c r="L609" s="4"/>
    </row>
    <row r="610">
      <c r="A610" s="1">
        <f>IFERROR(__xludf.DUMMYFUNCTION("""COMPUTED_VALUE"""),609.0)</f>
        <v>609</v>
      </c>
      <c r="B610" s="1">
        <f>IFERROR(__xludf.DUMMYFUNCTION("""COMPUTED_VALUE"""),5104.0)</f>
        <v>5104</v>
      </c>
      <c r="C610" s="2" t="str">
        <f>IFERROR(__xludf.DUMMYFUNCTION("""COMPUTED_VALUE"""),"Yenski")</f>
        <v>Yenski</v>
      </c>
      <c r="D610" s="2" t="str">
        <f>IFERROR(__xludf.DUMMYFUNCTION("""COMPUTED_VALUE"""),"5KM OVERALL F")</f>
        <v>5KM OVERALL F</v>
      </c>
      <c r="E610" s="1">
        <f>IFERROR(__xludf.DUMMYFUNCTION("""COMPUTED_VALUE"""),86.0)</f>
        <v>86</v>
      </c>
      <c r="F610" s="1" t="str">
        <f>IFERROR(__xludf.DUMMYFUNCTION("""COMPUTED_VALUE"""),"Female")</f>
        <v>Female</v>
      </c>
      <c r="G610" s="5">
        <f>IFERROR(__xludf.DUMMYFUNCTION("""COMPUTED_VALUE"""),0.006124162037037037)</f>
        <v>0.006124162037</v>
      </c>
      <c r="H610" s="15">
        <f>IFERROR(__xludf.DUMMYFUNCTION("""COMPUTED_VALUE"""),0.2549440625)</f>
        <v>0.2549440625</v>
      </c>
      <c r="I610" s="15">
        <f>IFERROR(__xludf.DUMMYFUNCTION("""COMPUTED_VALUE"""),45949.28556487172)</f>
        <v>45949.28556</v>
      </c>
      <c r="J610" s="15">
        <f>IFERROR(__xludf.DUMMYFUNCTION("""COMPUTED_VALUE"""),45949.03062080922)</f>
        <v>45949.03062</v>
      </c>
      <c r="K610" s="15">
        <f>IFERROR(__xludf.DUMMYFUNCTION("""COMPUTED_VALUE"""),45949.27296420052)</f>
        <v>45949.27296</v>
      </c>
      <c r="L610" s="4"/>
    </row>
    <row r="611">
      <c r="A611" s="1">
        <f>IFERROR(__xludf.DUMMYFUNCTION("""COMPUTED_VALUE"""),610.0)</f>
        <v>610</v>
      </c>
      <c r="B611" s="1">
        <f>IFERROR(__xludf.DUMMYFUNCTION("""COMPUTED_VALUE"""),6320.0)</f>
        <v>6320</v>
      </c>
      <c r="C611" s="2" t="str">
        <f>IFERROR(__xludf.DUMMYFUNCTION("""COMPUTED_VALUE"""),"SETIAWAN PUTRA")</f>
        <v>SETIAWAN PUTRA</v>
      </c>
      <c r="D611" s="2" t="str">
        <f>IFERROR(__xludf.DUMMYFUNCTION("""COMPUTED_VALUE"""),"5KM OVERALL M")</f>
        <v>5KM OVERALL M</v>
      </c>
      <c r="E611" s="1">
        <f>IFERROR(__xludf.DUMMYFUNCTION("""COMPUTED_VALUE"""),399.0)</f>
        <v>399</v>
      </c>
      <c r="F611" s="1" t="str">
        <f>IFERROR(__xludf.DUMMYFUNCTION("""COMPUTED_VALUE"""),"Male")</f>
        <v>Male</v>
      </c>
      <c r="G611" s="5">
        <f>IFERROR(__xludf.DUMMYFUNCTION("""COMPUTED_VALUE"""),0.006126083333333332)</f>
        <v>0.006126083333</v>
      </c>
      <c r="H611" s="15">
        <f>IFERROR(__xludf.DUMMYFUNCTION("""COMPUTED_VALUE"""),0.2549440625)</f>
        <v>0.2549440625</v>
      </c>
      <c r="I611" s="15">
        <f>IFERROR(__xludf.DUMMYFUNCTION("""COMPUTED_VALUE"""),45949.28557448147)</f>
        <v>45949.28557</v>
      </c>
      <c r="J611" s="15">
        <f>IFERROR(__xludf.DUMMYFUNCTION("""COMPUTED_VALUE"""),45949.03063041897)</f>
        <v>45949.03063</v>
      </c>
      <c r="K611" s="15">
        <f>IFERROR(__xludf.DUMMYFUNCTION("""COMPUTED_VALUE"""),45949.27091210465)</f>
        <v>45949.27091</v>
      </c>
      <c r="L611" s="4"/>
    </row>
    <row r="612">
      <c r="A612" s="1">
        <f>IFERROR(__xludf.DUMMYFUNCTION("""COMPUTED_VALUE"""),611.0)</f>
        <v>611</v>
      </c>
      <c r="B612" s="7" t="str">
        <f>IFERROR(__xludf.DUMMYFUNCTION("""COMPUTED_VALUE"""),"7166")</f>
        <v>7166</v>
      </c>
      <c r="C612" s="8" t="str">
        <f>IFERROR(__xludf.DUMMYFUNCTION("""COMPUTED_VALUE"""),"Andry Yustian")</f>
        <v>Andry Yustian</v>
      </c>
      <c r="D612" s="2" t="str">
        <f>IFERROR(__xludf.DUMMYFUNCTION("""COMPUTED_VALUE"""),"5KM MASTER M")</f>
        <v>5KM MASTER M</v>
      </c>
      <c r="E612" s="1">
        <f>IFERROR(__xludf.DUMMYFUNCTION("""COMPUTED_VALUE"""),55.0)</f>
        <v>55</v>
      </c>
      <c r="F612" s="1" t="str">
        <f>IFERROR(__xludf.DUMMYFUNCTION("""COMPUTED_VALUE"""),"Male")</f>
        <v>Male</v>
      </c>
      <c r="G612" s="5">
        <f>IFERROR(__xludf.DUMMYFUNCTION("""COMPUTED_VALUE"""),0.006131638888888889)</f>
        <v>0.006131638889</v>
      </c>
      <c r="H612" s="15">
        <f>IFERROR(__xludf.DUMMYFUNCTION("""COMPUTED_VALUE"""),0.2549440625)</f>
        <v>0.2549440625</v>
      </c>
      <c r="I612" s="15">
        <f>IFERROR(__xludf.DUMMYFUNCTION("""COMPUTED_VALUE"""),45949.285602258235)</f>
        <v>45949.2856</v>
      </c>
      <c r="J612" s="15">
        <f>IFERROR(__xludf.DUMMYFUNCTION("""COMPUTED_VALUE"""),45949.030658195734)</f>
        <v>45949.03066</v>
      </c>
      <c r="K612" s="15">
        <f>IFERROR(__xludf.DUMMYFUNCTION("""COMPUTED_VALUE"""),45949.271523455805)</f>
        <v>45949.27152</v>
      </c>
      <c r="L612" s="4"/>
    </row>
    <row r="613">
      <c r="A613" s="1">
        <f>IFERROR(__xludf.DUMMYFUNCTION("""COMPUTED_VALUE"""),612.0)</f>
        <v>612</v>
      </c>
      <c r="B613" s="1">
        <f>IFERROR(__xludf.DUMMYFUNCTION("""COMPUTED_VALUE"""),5363.0)</f>
        <v>5363</v>
      </c>
      <c r="C613" s="2" t="str">
        <f>IFERROR(__xludf.DUMMYFUNCTION("""COMPUTED_VALUE"""),"swandaru")</f>
        <v>swandaru</v>
      </c>
      <c r="D613" s="2" t="str">
        <f>IFERROR(__xludf.DUMMYFUNCTION("""COMPUTED_VALUE"""),"5KM OVERALL M")</f>
        <v>5KM OVERALL M</v>
      </c>
      <c r="E613" s="1">
        <f>IFERROR(__xludf.DUMMYFUNCTION("""COMPUTED_VALUE"""),400.0)</f>
        <v>400</v>
      </c>
      <c r="F613" s="1" t="str">
        <f>IFERROR(__xludf.DUMMYFUNCTION("""COMPUTED_VALUE"""),"Male")</f>
        <v>Male</v>
      </c>
      <c r="G613" s="5">
        <f>IFERROR(__xludf.DUMMYFUNCTION("""COMPUTED_VALUE"""),0.00613511111111111)</f>
        <v>0.006135111111</v>
      </c>
      <c r="H613" s="15">
        <f>IFERROR(__xludf.DUMMYFUNCTION("""COMPUTED_VALUE"""),0.2549440625)</f>
        <v>0.2549440625</v>
      </c>
      <c r="I613" s="15">
        <f>IFERROR(__xludf.DUMMYFUNCTION("""COMPUTED_VALUE"""),45949.28561961411)</f>
        <v>45949.28562</v>
      </c>
      <c r="J613" s="15">
        <f>IFERROR(__xludf.DUMMYFUNCTION("""COMPUTED_VALUE"""),45949.03067555161)</f>
        <v>45949.03068</v>
      </c>
      <c r="K613" s="15">
        <f>IFERROR(__xludf.DUMMYFUNCTION("""COMPUTED_VALUE"""),45949.273123923806)</f>
        <v>45949.27312</v>
      </c>
      <c r="L613" s="4"/>
    </row>
    <row r="614">
      <c r="A614" s="1">
        <f>IFERROR(__xludf.DUMMYFUNCTION("""COMPUTED_VALUE"""),613.0)</f>
        <v>613</v>
      </c>
      <c r="B614" s="1">
        <f>IFERROR(__xludf.DUMMYFUNCTION("""COMPUTED_VALUE"""),6345.0)</f>
        <v>6345</v>
      </c>
      <c r="C614" s="2" t="str">
        <f>IFERROR(__xludf.DUMMYFUNCTION("""COMPUTED_VALUE"""),"NONO")</f>
        <v>NONO</v>
      </c>
      <c r="D614" s="2" t="str">
        <f>IFERROR(__xludf.DUMMYFUNCTION("""COMPUTED_VALUE"""),"5KM OVERALL F")</f>
        <v>5KM OVERALL F</v>
      </c>
      <c r="E614" s="1">
        <f>IFERROR(__xludf.DUMMYFUNCTION("""COMPUTED_VALUE"""),87.0)</f>
        <v>87</v>
      </c>
      <c r="F614" s="1" t="str">
        <f>IFERROR(__xludf.DUMMYFUNCTION("""COMPUTED_VALUE"""),"Female")</f>
        <v>Female</v>
      </c>
      <c r="G614" s="5">
        <f>IFERROR(__xludf.DUMMYFUNCTION("""COMPUTED_VALUE"""),0.006135805555555556)</f>
        <v>0.006135805556</v>
      </c>
      <c r="H614" s="15">
        <f>IFERROR(__xludf.DUMMYFUNCTION("""COMPUTED_VALUE"""),0.2549440625)</f>
        <v>0.2549440625</v>
      </c>
      <c r="I614" s="15">
        <f>IFERROR(__xludf.DUMMYFUNCTION("""COMPUTED_VALUE"""),45949.285623085125)</f>
        <v>45949.28562</v>
      </c>
      <c r="J614" s="15">
        <f>IFERROR(__xludf.DUMMYFUNCTION("""COMPUTED_VALUE"""),45949.030679022624)</f>
        <v>45949.03068</v>
      </c>
      <c r="K614" s="15">
        <f>IFERROR(__xludf.DUMMYFUNCTION("""COMPUTED_VALUE"""),45949.27210309117)</f>
        <v>45949.2721</v>
      </c>
      <c r="L614" s="4"/>
    </row>
    <row r="615">
      <c r="A615" s="1">
        <f>IFERROR(__xludf.DUMMYFUNCTION("""COMPUTED_VALUE"""),614.0)</f>
        <v>614</v>
      </c>
      <c r="B615" s="1">
        <f>IFERROR(__xludf.DUMMYFUNCTION("""COMPUTED_VALUE"""),5750.0)</f>
        <v>5750</v>
      </c>
      <c r="C615" s="2" t="str">
        <f>IFERROR(__xludf.DUMMYFUNCTION("""COMPUTED_VALUE"""),"Muhammad Faisal")</f>
        <v>Muhammad Faisal</v>
      </c>
      <c r="D615" s="2" t="str">
        <f>IFERROR(__xludf.DUMMYFUNCTION("""COMPUTED_VALUE"""),"5KM OVERALL M")</f>
        <v>5KM OVERALL M</v>
      </c>
      <c r="E615" s="1">
        <f>IFERROR(__xludf.DUMMYFUNCTION("""COMPUTED_VALUE"""),401.0)</f>
        <v>401</v>
      </c>
      <c r="F615" s="1" t="str">
        <f>IFERROR(__xludf.DUMMYFUNCTION("""COMPUTED_VALUE"""),"Male")</f>
        <v>Male</v>
      </c>
      <c r="G615" s="5">
        <f>IFERROR(__xludf.DUMMYFUNCTION("""COMPUTED_VALUE"""),0.006136650462962963)</f>
        <v>0.006136650463</v>
      </c>
      <c r="H615" s="15">
        <f>IFERROR(__xludf.DUMMYFUNCTION("""COMPUTED_VALUE"""),0.2549440625)</f>
        <v>0.2549440625</v>
      </c>
      <c r="I615" s="15">
        <f>IFERROR(__xludf.DUMMYFUNCTION("""COMPUTED_VALUE"""),45949.28562730963)</f>
        <v>45949.28563</v>
      </c>
      <c r="J615" s="15">
        <f>IFERROR(__xludf.DUMMYFUNCTION("""COMPUTED_VALUE"""),45949.03068324713)</f>
        <v>45949.03068</v>
      </c>
      <c r="K615" s="15">
        <f>IFERROR(__xludf.DUMMYFUNCTION("""COMPUTED_VALUE"""),45949.2733184219)</f>
        <v>45949.27332</v>
      </c>
      <c r="L615" s="4"/>
    </row>
    <row r="616">
      <c r="A616" s="1">
        <f>IFERROR(__xludf.DUMMYFUNCTION("""COMPUTED_VALUE"""),615.0)</f>
        <v>615</v>
      </c>
      <c r="B616" s="1">
        <f>IFERROR(__xludf.DUMMYFUNCTION("""COMPUTED_VALUE"""),6509.0)</f>
        <v>6509</v>
      </c>
      <c r="C616" s="2" t="str">
        <f>IFERROR(__xludf.DUMMYFUNCTION("""COMPUTED_VALUE"""),"GM PLN UIP3B KALIMANTAN")</f>
        <v>GM PLN UIP3B KALIMANTAN</v>
      </c>
      <c r="D616" s="2" t="str">
        <f>IFERROR(__xludf.DUMMYFUNCTION("""COMPUTED_VALUE"""),"5KM OVERALL M")</f>
        <v>5KM OVERALL M</v>
      </c>
      <c r="E616" s="1">
        <f>IFERROR(__xludf.DUMMYFUNCTION("""COMPUTED_VALUE"""),402.0)</f>
        <v>402</v>
      </c>
      <c r="F616" s="1" t="str">
        <f>IFERROR(__xludf.DUMMYFUNCTION("""COMPUTED_VALUE"""),"Male")</f>
        <v>Male</v>
      </c>
      <c r="G616" s="5">
        <f>IFERROR(__xludf.DUMMYFUNCTION("""COMPUTED_VALUE"""),0.006137194444444444)</f>
        <v>0.006137194444</v>
      </c>
      <c r="H616" s="15">
        <f>IFERROR(__xludf.DUMMYFUNCTION("""COMPUTED_VALUE"""),0.2549440625)</f>
        <v>0.2549440625</v>
      </c>
      <c r="I616" s="15">
        <f>IFERROR(__xludf.DUMMYFUNCTION("""COMPUTED_VALUE"""),45949.28563003303)</f>
        <v>45949.28563</v>
      </c>
      <c r="J616" s="15">
        <f>IFERROR(__xludf.DUMMYFUNCTION("""COMPUTED_VALUE"""),45949.03068597053)</f>
        <v>45949.03069</v>
      </c>
      <c r="K616" s="15">
        <f>IFERROR(__xludf.DUMMYFUNCTION("""COMPUTED_VALUE"""),45949.27525239391)</f>
        <v>45949.27525</v>
      </c>
      <c r="L616" s="4"/>
    </row>
    <row r="617">
      <c r="A617" s="1">
        <f>IFERROR(__xludf.DUMMYFUNCTION("""COMPUTED_VALUE"""),616.0)</f>
        <v>616</v>
      </c>
      <c r="B617" s="1">
        <f>IFERROR(__xludf.DUMMYFUNCTION("""COMPUTED_VALUE"""),6523.0)</f>
        <v>6523</v>
      </c>
      <c r="C617" s="2" t="str">
        <f>IFERROR(__xludf.DUMMYFUNCTION("""COMPUTED_VALUE"""),"MAN UP2B KALSELTENG")</f>
        <v>MAN UP2B KALSELTENG</v>
      </c>
      <c r="D617" s="2" t="str">
        <f>IFERROR(__xludf.DUMMYFUNCTION("""COMPUTED_VALUE"""),"5KM OVERALL M")</f>
        <v>5KM OVERALL M</v>
      </c>
      <c r="E617" s="1">
        <f>IFERROR(__xludf.DUMMYFUNCTION("""COMPUTED_VALUE"""),403.0)</f>
        <v>403</v>
      </c>
      <c r="F617" s="1" t="str">
        <f>IFERROR(__xludf.DUMMYFUNCTION("""COMPUTED_VALUE"""),"Male")</f>
        <v>Male</v>
      </c>
      <c r="G617" s="5">
        <f>IFERROR(__xludf.DUMMYFUNCTION("""COMPUTED_VALUE"""),0.006142750000000001)</f>
        <v>0.00614275</v>
      </c>
      <c r="H617" s="15">
        <f>IFERROR(__xludf.DUMMYFUNCTION("""COMPUTED_VALUE"""),0.2549440625)</f>
        <v>0.2549440625</v>
      </c>
      <c r="I617" s="15">
        <f>IFERROR(__xludf.DUMMYFUNCTION("""COMPUTED_VALUE"""),45949.285657815584)</f>
        <v>45949.28566</v>
      </c>
      <c r="J617" s="15">
        <f>IFERROR(__xludf.DUMMYFUNCTION("""COMPUTED_VALUE"""),45949.03071375308)</f>
        <v>45949.03071</v>
      </c>
      <c r="K617" s="15">
        <f>IFERROR(__xludf.DUMMYFUNCTION("""COMPUTED_VALUE"""),45950.273368055554)</f>
        <v>45950.27337</v>
      </c>
      <c r="L617" s="4" t="str">
        <f>IFERROR(__xludf.DUMMYFUNCTION("""COMPUTED_VALUE"""),"C")</f>
        <v>C</v>
      </c>
    </row>
    <row r="618">
      <c r="A618" s="1">
        <f>IFERROR(__xludf.DUMMYFUNCTION("""COMPUTED_VALUE"""),617.0)</f>
        <v>617</v>
      </c>
      <c r="B618" s="1">
        <f>IFERROR(__xludf.DUMMYFUNCTION("""COMPUTED_VALUE"""),5174.0)</f>
        <v>5174</v>
      </c>
      <c r="C618" s="2" t="str">
        <f>IFERROR(__xludf.DUMMYFUNCTION("""COMPUTED_VALUE"""),"Naufa Hafizha")</f>
        <v>Naufa Hafizha</v>
      </c>
      <c r="D618" s="2" t="str">
        <f>IFERROR(__xludf.DUMMYFUNCTION("""COMPUTED_VALUE"""),"5KM OVERALL F")</f>
        <v>5KM OVERALL F</v>
      </c>
      <c r="E618" s="1">
        <f>IFERROR(__xludf.DUMMYFUNCTION("""COMPUTED_VALUE"""),88.0)</f>
        <v>88</v>
      </c>
      <c r="F618" s="1" t="str">
        <f>IFERROR(__xludf.DUMMYFUNCTION("""COMPUTED_VALUE"""),"Female")</f>
        <v>Female</v>
      </c>
      <c r="G618" s="5">
        <f>IFERROR(__xludf.DUMMYFUNCTION("""COMPUTED_VALUE"""),0.006153166666666667)</f>
        <v>0.006153166667</v>
      </c>
      <c r="H618" s="15">
        <f>IFERROR(__xludf.DUMMYFUNCTION("""COMPUTED_VALUE"""),0.2549440625)</f>
        <v>0.2549440625</v>
      </c>
      <c r="I618" s="15">
        <f>IFERROR(__xludf.DUMMYFUNCTION("""COMPUTED_VALUE"""),45949.285709898)</f>
        <v>45949.28571</v>
      </c>
      <c r="J618" s="15">
        <f>IFERROR(__xludf.DUMMYFUNCTION("""COMPUTED_VALUE"""),45949.0307658355)</f>
        <v>45949.03077</v>
      </c>
      <c r="K618" s="15">
        <f>IFERROR(__xludf.DUMMYFUNCTION("""COMPUTED_VALUE"""),45949.27268644811)</f>
        <v>45949.27269</v>
      </c>
      <c r="L618" s="4"/>
    </row>
    <row r="619">
      <c r="A619" s="1">
        <f>IFERROR(__xludf.DUMMYFUNCTION("""COMPUTED_VALUE"""),618.0)</f>
        <v>618</v>
      </c>
      <c r="B619" s="1">
        <f>IFERROR(__xludf.DUMMYFUNCTION("""COMPUTED_VALUE"""),7102.0)</f>
        <v>7102</v>
      </c>
      <c r="C619" s="2" t="str">
        <f>IFERROR(__xludf.DUMMYFUNCTION("""COMPUTED_VALUE"""),"masfal")</f>
        <v>masfal</v>
      </c>
      <c r="D619" s="2" t="str">
        <f>IFERROR(__xludf.DUMMYFUNCTION("""COMPUTED_VALUE"""),"5KM MASTER M")</f>
        <v>5KM MASTER M</v>
      </c>
      <c r="E619" s="1">
        <f>IFERROR(__xludf.DUMMYFUNCTION("""COMPUTED_VALUE"""),56.0)</f>
        <v>56</v>
      </c>
      <c r="F619" s="1" t="str">
        <f>IFERROR(__xludf.DUMMYFUNCTION("""COMPUTED_VALUE"""),"Male")</f>
        <v>Male</v>
      </c>
      <c r="G619" s="5">
        <f>IFERROR(__xludf.DUMMYFUNCTION("""COMPUTED_VALUE"""),0.006160134259259259)</f>
        <v>0.006160134259</v>
      </c>
      <c r="H619" s="15">
        <f>IFERROR(__xludf.DUMMYFUNCTION("""COMPUTED_VALUE"""),0.2549440625)</f>
        <v>0.2549440625</v>
      </c>
      <c r="I619" s="15">
        <f>IFERROR(__xludf.DUMMYFUNCTION("""COMPUTED_VALUE"""),45949.28574473324)</f>
        <v>45949.28574</v>
      </c>
      <c r="J619" s="15">
        <f>IFERROR(__xludf.DUMMYFUNCTION("""COMPUTED_VALUE"""),45949.03080067074)</f>
        <v>45949.0308</v>
      </c>
      <c r="K619" s="15">
        <f>IFERROR(__xludf.DUMMYFUNCTION("""COMPUTED_VALUE"""),45949.27247113914)</f>
        <v>45949.27247</v>
      </c>
      <c r="L619" s="4"/>
    </row>
    <row r="620">
      <c r="A620" s="1">
        <f>IFERROR(__xludf.DUMMYFUNCTION("""COMPUTED_VALUE"""),619.0)</f>
        <v>619</v>
      </c>
      <c r="B620" s="1">
        <f>IFERROR(__xludf.DUMMYFUNCTION("""COMPUTED_VALUE"""),5062.0)</f>
        <v>5062</v>
      </c>
      <c r="C620" s="2" t="str">
        <f>IFERROR(__xludf.DUMMYFUNCTION("""COMPUTED_VALUE"""),"RIFANI")</f>
        <v>RIFANI</v>
      </c>
      <c r="D620" s="2" t="str">
        <f>IFERROR(__xludf.DUMMYFUNCTION("""COMPUTED_VALUE"""),"5KM OVERALL M")</f>
        <v>5KM OVERALL M</v>
      </c>
      <c r="E620" s="1">
        <f>IFERROR(__xludf.DUMMYFUNCTION("""COMPUTED_VALUE"""),404.0)</f>
        <v>404</v>
      </c>
      <c r="F620" s="1" t="str">
        <f>IFERROR(__xludf.DUMMYFUNCTION("""COMPUTED_VALUE"""),"Male")</f>
        <v>Male</v>
      </c>
      <c r="G620" s="5">
        <f>IFERROR(__xludf.DUMMYFUNCTION("""COMPUTED_VALUE"""),0.006160141203703704)</f>
        <v>0.006160141204</v>
      </c>
      <c r="H620" s="15">
        <f>IFERROR(__xludf.DUMMYFUNCTION("""COMPUTED_VALUE"""),0.2549440625)</f>
        <v>0.2549440625</v>
      </c>
      <c r="I620" s="15">
        <f>IFERROR(__xludf.DUMMYFUNCTION("""COMPUTED_VALUE"""),45949.28574476794)</f>
        <v>45949.28574</v>
      </c>
      <c r="J620" s="15">
        <f>IFERROR(__xludf.DUMMYFUNCTION("""COMPUTED_VALUE"""),45949.03080070544)</f>
        <v>45949.0308</v>
      </c>
      <c r="K620" s="15">
        <f>IFERROR(__xludf.DUMMYFUNCTION("""COMPUTED_VALUE"""),45949.27357532581)</f>
        <v>45949.27358</v>
      </c>
      <c r="L620" s="4"/>
    </row>
    <row r="621">
      <c r="A621" s="1">
        <f>IFERROR(__xludf.DUMMYFUNCTION("""COMPUTED_VALUE"""),620.0)</f>
        <v>620</v>
      </c>
      <c r="B621" s="1">
        <f>IFERROR(__xludf.DUMMYFUNCTION("""COMPUTED_VALUE"""),5753.0)</f>
        <v>5753</v>
      </c>
      <c r="C621" s="2" t="str">
        <f>IFERROR(__xludf.DUMMYFUNCTION("""COMPUTED_VALUE"""),"HANDA")</f>
        <v>HANDA</v>
      </c>
      <c r="D621" s="2" t="str">
        <f>IFERROR(__xludf.DUMMYFUNCTION("""COMPUTED_VALUE"""),"5KM OVERALL M")</f>
        <v>5KM OVERALL M</v>
      </c>
      <c r="E621" s="1">
        <f>IFERROR(__xludf.DUMMYFUNCTION("""COMPUTED_VALUE"""),405.0)</f>
        <v>405</v>
      </c>
      <c r="F621" s="1" t="str">
        <f>IFERROR(__xludf.DUMMYFUNCTION("""COMPUTED_VALUE"""),"Male")</f>
        <v>Male</v>
      </c>
      <c r="G621" s="5">
        <f>IFERROR(__xludf.DUMMYFUNCTION("""COMPUTED_VALUE"""),0.006163583333333333)</f>
        <v>0.006163583333</v>
      </c>
      <c r="H621" s="15">
        <f>IFERROR(__xludf.DUMMYFUNCTION("""COMPUTED_VALUE"""),0.2549440625)</f>
        <v>0.2549440625</v>
      </c>
      <c r="I621" s="15">
        <f>IFERROR(__xludf.DUMMYFUNCTION("""COMPUTED_VALUE"""),45949.28576198492)</f>
        <v>45949.28576</v>
      </c>
      <c r="J621" s="15">
        <f>IFERROR(__xludf.DUMMYFUNCTION("""COMPUTED_VALUE"""),45949.030817922416)</f>
        <v>45949.03082</v>
      </c>
      <c r="K621" s="15">
        <f>IFERROR(__xludf.DUMMYFUNCTION("""COMPUTED_VALUE"""),45950.2734375)</f>
        <v>45950.27344</v>
      </c>
      <c r="L621" s="4" t="str">
        <f>IFERROR(__xludf.DUMMYFUNCTION("""COMPUTED_VALUE"""),"C")</f>
        <v>C</v>
      </c>
    </row>
    <row r="622">
      <c r="A622" s="1">
        <f>IFERROR(__xludf.DUMMYFUNCTION("""COMPUTED_VALUE"""),621.0)</f>
        <v>621</v>
      </c>
      <c r="B622" s="1">
        <f>IFERROR(__xludf.DUMMYFUNCTION("""COMPUTED_VALUE"""),5054.0)</f>
        <v>5054</v>
      </c>
      <c r="C622" s="2" t="str">
        <f>IFERROR(__xludf.DUMMYFUNCTION("""COMPUTED_VALUE"""),"MM. Pangestu")</f>
        <v>MM. Pangestu</v>
      </c>
      <c r="D622" s="2" t="str">
        <f>IFERROR(__xludf.DUMMYFUNCTION("""COMPUTED_VALUE"""),"5KM OVERALL M")</f>
        <v>5KM OVERALL M</v>
      </c>
      <c r="E622" s="1">
        <f>IFERROR(__xludf.DUMMYFUNCTION("""COMPUTED_VALUE"""),406.0)</f>
        <v>406</v>
      </c>
      <c r="F622" s="1" t="str">
        <f>IFERROR(__xludf.DUMMYFUNCTION("""COMPUTED_VALUE"""),"Male")</f>
        <v>Male</v>
      </c>
      <c r="G622" s="5">
        <f>IFERROR(__xludf.DUMMYFUNCTION("""COMPUTED_VALUE"""),0.006168444444444444)</f>
        <v>0.006168444444</v>
      </c>
      <c r="H622" s="15">
        <f>IFERROR(__xludf.DUMMYFUNCTION("""COMPUTED_VALUE"""),0.2549440625)</f>
        <v>0.2549440625</v>
      </c>
      <c r="I622" s="15">
        <f>IFERROR(__xludf.DUMMYFUNCTION("""COMPUTED_VALUE"""),45949.285786281835)</f>
        <v>45949.28579</v>
      </c>
      <c r="J622" s="15">
        <f>IFERROR(__xludf.DUMMYFUNCTION("""COMPUTED_VALUE"""),45949.030842219334)</f>
        <v>45949.03084</v>
      </c>
      <c r="K622" s="15">
        <f>IFERROR(__xludf.DUMMYFUNCTION("""COMPUTED_VALUE"""),45949.27315177301)</f>
        <v>45949.27315</v>
      </c>
      <c r="L622" s="4"/>
    </row>
    <row r="623">
      <c r="A623" s="1">
        <f>IFERROR(__xludf.DUMMYFUNCTION("""COMPUTED_VALUE"""),622.0)</f>
        <v>622</v>
      </c>
      <c r="B623" s="1">
        <f>IFERROR(__xludf.DUMMYFUNCTION("""COMPUTED_VALUE"""),5559.0)</f>
        <v>5559</v>
      </c>
      <c r="C623" s="2" t="str">
        <f>IFERROR(__xludf.DUMMYFUNCTION("""COMPUTED_VALUE"""),"Ratna")</f>
        <v>Ratna</v>
      </c>
      <c r="D623" s="2" t="str">
        <f>IFERROR(__xludf.DUMMYFUNCTION("""COMPUTED_VALUE"""),"5KM OVERALL F")</f>
        <v>5KM OVERALL F</v>
      </c>
      <c r="E623" s="1">
        <f>IFERROR(__xludf.DUMMYFUNCTION("""COMPUTED_VALUE"""),89.0)</f>
        <v>89</v>
      </c>
      <c r="F623" s="1" t="str">
        <f>IFERROR(__xludf.DUMMYFUNCTION("""COMPUTED_VALUE"""),"Female")</f>
        <v>Female</v>
      </c>
      <c r="G623" s="5">
        <f>IFERROR(__xludf.DUMMYFUNCTION("""COMPUTED_VALUE"""),0.006169141203703704)</f>
        <v>0.006169141204</v>
      </c>
      <c r="H623" s="15">
        <f>IFERROR(__xludf.DUMMYFUNCTION("""COMPUTED_VALUE"""),0.2549440625)</f>
        <v>0.2549440625</v>
      </c>
      <c r="I623" s="15">
        <f>IFERROR(__xludf.DUMMYFUNCTION("""COMPUTED_VALUE"""),45949.28578977125)</f>
        <v>45949.28579</v>
      </c>
      <c r="J623" s="15">
        <f>IFERROR(__xludf.DUMMYFUNCTION("""COMPUTED_VALUE"""),45949.03084570875)</f>
        <v>45949.03085</v>
      </c>
      <c r="K623" s="15">
        <f>IFERROR(__xludf.DUMMYFUNCTION("""COMPUTED_VALUE"""),45950.272673611114)</f>
        <v>45950.27267</v>
      </c>
      <c r="L623" s="4"/>
    </row>
    <row r="624">
      <c r="A624" s="1">
        <f>IFERROR(__xludf.DUMMYFUNCTION("""COMPUTED_VALUE"""),623.0)</f>
        <v>623</v>
      </c>
      <c r="B624" s="1">
        <f>IFERROR(__xludf.DUMMYFUNCTION("""COMPUTED_VALUE"""),5571.0)</f>
        <v>5571</v>
      </c>
      <c r="C624" s="2" t="str">
        <f>IFERROR(__xludf.DUMMYFUNCTION("""COMPUTED_VALUE"""),"herman")</f>
        <v>herman</v>
      </c>
      <c r="D624" s="2" t="str">
        <f>IFERROR(__xludf.DUMMYFUNCTION("""COMPUTED_VALUE"""),"5KM OVERALL M")</f>
        <v>5KM OVERALL M</v>
      </c>
      <c r="E624" s="1">
        <f>IFERROR(__xludf.DUMMYFUNCTION("""COMPUTED_VALUE"""),407.0)</f>
        <v>407</v>
      </c>
      <c r="F624" s="1" t="str">
        <f>IFERROR(__xludf.DUMMYFUNCTION("""COMPUTED_VALUE"""),"Male")</f>
        <v>Male</v>
      </c>
      <c r="G624" s="5">
        <f>IFERROR(__xludf.DUMMYFUNCTION("""COMPUTED_VALUE"""),0.0061705324074074076)</f>
        <v>0.006170532407</v>
      </c>
      <c r="H624" s="15">
        <f>IFERROR(__xludf.DUMMYFUNCTION("""COMPUTED_VALUE"""),0.2549440625)</f>
        <v>0.2549440625</v>
      </c>
      <c r="I624" s="15">
        <f>IFERROR(__xludf.DUMMYFUNCTION("""COMPUTED_VALUE"""),45949.28579672004)</f>
        <v>45949.2858</v>
      </c>
      <c r="J624" s="15">
        <f>IFERROR(__xludf.DUMMYFUNCTION("""COMPUTED_VALUE"""),45949.03085265754)</f>
        <v>45949.03085</v>
      </c>
      <c r="K624" s="15">
        <f>IFERROR(__xludf.DUMMYFUNCTION("""COMPUTED_VALUE"""),45950.273460648146)</f>
        <v>45950.27346</v>
      </c>
      <c r="L624" s="4" t="str">
        <f>IFERROR(__xludf.DUMMYFUNCTION("""COMPUTED_VALUE"""),"C")</f>
        <v>C</v>
      </c>
    </row>
    <row r="625">
      <c r="A625" s="1">
        <f>IFERROR(__xludf.DUMMYFUNCTION("""COMPUTED_VALUE"""),624.0)</f>
        <v>624</v>
      </c>
      <c r="B625" s="1">
        <f>IFERROR(__xludf.DUMMYFUNCTION("""COMPUTED_VALUE"""),5590.0)</f>
        <v>5590</v>
      </c>
      <c r="C625" s="2" t="str">
        <f>IFERROR(__xludf.DUMMYFUNCTION("""COMPUTED_VALUE"""),"Fariza")</f>
        <v>Fariza</v>
      </c>
      <c r="D625" s="2" t="str">
        <f>IFERROR(__xludf.DUMMYFUNCTION("""COMPUTED_VALUE"""),"5KM OVERALL M")</f>
        <v>5KM OVERALL M</v>
      </c>
      <c r="E625" s="1">
        <f>IFERROR(__xludf.DUMMYFUNCTION("""COMPUTED_VALUE"""),408.0)</f>
        <v>408</v>
      </c>
      <c r="F625" s="1" t="str">
        <f>IFERROR(__xludf.DUMMYFUNCTION("""COMPUTED_VALUE"""),"Male")</f>
        <v>Male</v>
      </c>
      <c r="G625" s="5">
        <f>IFERROR(__xludf.DUMMYFUNCTION("""COMPUTED_VALUE"""),0.006172613425925925)</f>
        <v>0.006172613426</v>
      </c>
      <c r="H625" s="15">
        <f>IFERROR(__xludf.DUMMYFUNCTION("""COMPUTED_VALUE"""),0.2549440625)</f>
        <v>0.2549440625</v>
      </c>
      <c r="I625" s="15">
        <f>IFERROR(__xludf.DUMMYFUNCTION("""COMPUTED_VALUE"""),45949.285807134635)</f>
        <v>45949.28581</v>
      </c>
      <c r="J625" s="15">
        <f>IFERROR(__xludf.DUMMYFUNCTION("""COMPUTED_VALUE"""),45949.030863072134)</f>
        <v>45949.03086</v>
      </c>
      <c r="K625" s="15">
        <f>IFERROR(__xludf.DUMMYFUNCTION("""COMPUTED_VALUE"""),45949.27432529465)</f>
        <v>45949.27433</v>
      </c>
      <c r="L625" s="4"/>
    </row>
    <row r="626">
      <c r="A626" s="1">
        <f>IFERROR(__xludf.DUMMYFUNCTION("""COMPUTED_VALUE"""),625.0)</f>
        <v>625</v>
      </c>
      <c r="B626" s="1">
        <f>IFERROR(__xludf.DUMMYFUNCTION("""COMPUTED_VALUE"""),5783.0)</f>
        <v>5783</v>
      </c>
      <c r="C626" s="2" t="str">
        <f>IFERROR(__xludf.DUMMYFUNCTION("""COMPUTED_VALUE"""),"RAPPI")</f>
        <v>RAPPI</v>
      </c>
      <c r="D626" s="2" t="str">
        <f>IFERROR(__xludf.DUMMYFUNCTION("""COMPUTED_VALUE"""),"5KM OVERALL M")</f>
        <v>5KM OVERALL M</v>
      </c>
      <c r="E626" s="1">
        <f>IFERROR(__xludf.DUMMYFUNCTION("""COMPUTED_VALUE"""),409.0)</f>
        <v>409</v>
      </c>
      <c r="F626" s="1" t="str">
        <f>IFERROR(__xludf.DUMMYFUNCTION("""COMPUTED_VALUE"""),"Male")</f>
        <v>Male</v>
      </c>
      <c r="G626" s="5">
        <f>IFERROR(__xludf.DUMMYFUNCTION("""COMPUTED_VALUE"""),0.006174685185185185)</f>
        <v>0.006174685185</v>
      </c>
      <c r="H626" s="15">
        <f>IFERROR(__xludf.DUMMYFUNCTION("""COMPUTED_VALUE"""),0.2549440625)</f>
        <v>0.2549440625</v>
      </c>
      <c r="I626" s="15">
        <f>IFERROR(__xludf.DUMMYFUNCTION("""COMPUTED_VALUE"""),45949.28581748302)</f>
        <v>45949.28582</v>
      </c>
      <c r="J626" s="15">
        <f>IFERROR(__xludf.DUMMYFUNCTION("""COMPUTED_VALUE"""),45949.03087342052)</f>
        <v>45949.03087</v>
      </c>
      <c r="K626" s="15">
        <f>IFERROR(__xludf.DUMMYFUNCTION("""COMPUTED_VALUE"""),45949.27318642444)</f>
        <v>45949.27319</v>
      </c>
      <c r="L626" s="4"/>
    </row>
    <row r="627">
      <c r="A627" s="1">
        <f>IFERROR(__xludf.DUMMYFUNCTION("""COMPUTED_VALUE"""),626.0)</f>
        <v>626</v>
      </c>
      <c r="B627" s="1">
        <f>IFERROR(__xludf.DUMMYFUNCTION("""COMPUTED_VALUE"""),6416.0)</f>
        <v>6416</v>
      </c>
      <c r="C627" s="2" t="str">
        <f>IFERROR(__xludf.DUMMYFUNCTION("""COMPUTED_VALUE"""),"Febry")</f>
        <v>Febry</v>
      </c>
      <c r="D627" s="2" t="str">
        <f>IFERROR(__xludf.DUMMYFUNCTION("""COMPUTED_VALUE"""),"5KM OVERALL M")</f>
        <v>5KM OVERALL M</v>
      </c>
      <c r="E627" s="1">
        <f>IFERROR(__xludf.DUMMYFUNCTION("""COMPUTED_VALUE"""),410.0)</f>
        <v>410</v>
      </c>
      <c r="F627" s="1" t="str">
        <f>IFERROR(__xludf.DUMMYFUNCTION("""COMPUTED_VALUE"""),"Male")</f>
        <v>Male</v>
      </c>
      <c r="G627" s="5">
        <f>IFERROR(__xludf.DUMMYFUNCTION("""COMPUTED_VALUE"""),0.006176085648148148)</f>
        <v>0.006176085648</v>
      </c>
      <c r="H627" s="15">
        <f>IFERROR(__xludf.DUMMYFUNCTION("""COMPUTED_VALUE"""),0.2549440625)</f>
        <v>0.2549440625</v>
      </c>
      <c r="I627" s="15">
        <f>IFERROR(__xludf.DUMMYFUNCTION("""COMPUTED_VALUE"""),45949.28582449134)</f>
        <v>45949.28582</v>
      </c>
      <c r="J627" s="15">
        <f>IFERROR(__xludf.DUMMYFUNCTION("""COMPUTED_VALUE"""),45949.030880428836)</f>
        <v>45949.03088</v>
      </c>
      <c r="K627" s="15">
        <f>IFERROR(__xludf.DUMMYFUNCTION("""COMPUTED_VALUE"""),45949.27351287287)</f>
        <v>45949.27351</v>
      </c>
      <c r="L627" s="4"/>
    </row>
    <row r="628">
      <c r="A628" s="1">
        <f>IFERROR(__xludf.DUMMYFUNCTION("""COMPUTED_VALUE"""),627.0)</f>
        <v>627</v>
      </c>
      <c r="B628" s="1">
        <f>IFERROR(__xludf.DUMMYFUNCTION("""COMPUTED_VALUE"""),6329.0)</f>
        <v>6329</v>
      </c>
      <c r="C628" s="2" t="str">
        <f>IFERROR(__xludf.DUMMYFUNCTION("""COMPUTED_VALUE"""),"AnisaF")</f>
        <v>AnisaF</v>
      </c>
      <c r="D628" s="2" t="str">
        <f>IFERROR(__xludf.DUMMYFUNCTION("""COMPUTED_VALUE"""),"5KM OVERALL F")</f>
        <v>5KM OVERALL F</v>
      </c>
      <c r="E628" s="1">
        <f>IFERROR(__xludf.DUMMYFUNCTION("""COMPUTED_VALUE"""),90.0)</f>
        <v>90</v>
      </c>
      <c r="F628" s="1" t="str">
        <f>IFERROR(__xludf.DUMMYFUNCTION("""COMPUTED_VALUE"""),"Female")</f>
        <v>Female</v>
      </c>
      <c r="G628" s="5">
        <f>IFERROR(__xludf.DUMMYFUNCTION("""COMPUTED_VALUE"""),0.006176087962962963)</f>
        <v>0.006176087963</v>
      </c>
      <c r="H628" s="15">
        <f>IFERROR(__xludf.DUMMYFUNCTION("""COMPUTED_VALUE"""),0.2549440625)</f>
        <v>0.2549440625</v>
      </c>
      <c r="I628" s="15">
        <f>IFERROR(__xludf.DUMMYFUNCTION("""COMPUTED_VALUE"""),45949.28582450339)</f>
        <v>45949.28582</v>
      </c>
      <c r="J628" s="15">
        <f>IFERROR(__xludf.DUMMYFUNCTION("""COMPUTED_VALUE"""),45949.03088044089)</f>
        <v>45949.03088</v>
      </c>
      <c r="K628" s="15">
        <f>IFERROR(__xludf.DUMMYFUNCTION("""COMPUTED_VALUE"""),45949.27183223928)</f>
        <v>45949.27183</v>
      </c>
      <c r="L628" s="4"/>
    </row>
    <row r="629">
      <c r="A629" s="1">
        <f>IFERROR(__xludf.DUMMYFUNCTION("""COMPUTED_VALUE"""),628.0)</f>
        <v>628</v>
      </c>
      <c r="B629" s="1">
        <f>IFERROR(__xludf.DUMMYFUNCTION("""COMPUTED_VALUE"""),6251.0)</f>
        <v>6251</v>
      </c>
      <c r="C629" s="2" t="str">
        <f>IFERROR(__xludf.DUMMYFUNCTION("""COMPUTED_VALUE"""),"bellaaa")</f>
        <v>bellaaa</v>
      </c>
      <c r="D629" s="2" t="str">
        <f>IFERROR(__xludf.DUMMYFUNCTION("""COMPUTED_VALUE"""),"5KM OVERALL F")</f>
        <v>5KM OVERALL F</v>
      </c>
      <c r="E629" s="1">
        <f>IFERROR(__xludf.DUMMYFUNCTION("""COMPUTED_VALUE"""),91.0)</f>
        <v>91</v>
      </c>
      <c r="F629" s="1" t="str">
        <f>IFERROR(__xludf.DUMMYFUNCTION("""COMPUTED_VALUE"""),"Female")</f>
        <v>Female</v>
      </c>
      <c r="G629" s="5">
        <f>IFERROR(__xludf.DUMMYFUNCTION("""COMPUTED_VALUE"""),0.00617955787037037)</f>
        <v>0.00617955787</v>
      </c>
      <c r="H629" s="15">
        <f>IFERROR(__xludf.DUMMYFUNCTION("""COMPUTED_VALUE"""),0.2549440625)</f>
        <v>0.2549440625</v>
      </c>
      <c r="I629" s="15">
        <f>IFERROR(__xludf.DUMMYFUNCTION("""COMPUTED_VALUE"""),45949.285841848105)</f>
        <v>45949.28584</v>
      </c>
      <c r="J629" s="15">
        <f>IFERROR(__xludf.DUMMYFUNCTION("""COMPUTED_VALUE"""),45949.030897785604)</f>
        <v>45949.0309</v>
      </c>
      <c r="K629" s="15">
        <f>IFERROR(__xludf.DUMMYFUNCTION("""COMPUTED_VALUE"""),45949.27181836936)</f>
        <v>45949.27182</v>
      </c>
      <c r="L629" s="4"/>
    </row>
    <row r="630">
      <c r="A630" s="1">
        <f>IFERROR(__xludf.DUMMYFUNCTION("""COMPUTED_VALUE"""),629.0)</f>
        <v>629</v>
      </c>
      <c r="B630" s="1">
        <f>IFERROR(__xludf.DUMMYFUNCTION("""COMPUTED_VALUE"""),6141.0)</f>
        <v>6141</v>
      </c>
      <c r="C630" s="2" t="str">
        <f>IFERROR(__xludf.DUMMYFUNCTION("""COMPUTED_VALUE"""),"KANG HARRY")</f>
        <v>KANG HARRY</v>
      </c>
      <c r="D630" s="2" t="str">
        <f>IFERROR(__xludf.DUMMYFUNCTION("""COMPUTED_VALUE"""),"5KM OVERALL M")</f>
        <v>5KM OVERALL M</v>
      </c>
      <c r="E630" s="1">
        <f>IFERROR(__xludf.DUMMYFUNCTION("""COMPUTED_VALUE"""),411.0)</f>
        <v>411</v>
      </c>
      <c r="F630" s="1" t="str">
        <f>IFERROR(__xludf.DUMMYFUNCTION("""COMPUTED_VALUE"""),"Male")</f>
        <v>Male</v>
      </c>
      <c r="G630" s="5">
        <f>IFERROR(__xludf.DUMMYFUNCTION("""COMPUTED_VALUE"""),0.00618025)</f>
        <v>0.00618025</v>
      </c>
      <c r="H630" s="15">
        <f>IFERROR(__xludf.DUMMYFUNCTION("""COMPUTED_VALUE"""),0.2549440625)</f>
        <v>0.2549440625</v>
      </c>
      <c r="I630" s="15">
        <f>IFERROR(__xludf.DUMMYFUNCTION("""COMPUTED_VALUE"""),45949.28584531014)</f>
        <v>45949.28585</v>
      </c>
      <c r="J630" s="15">
        <f>IFERROR(__xludf.DUMMYFUNCTION("""COMPUTED_VALUE"""),45949.03090124764)</f>
        <v>45949.0309</v>
      </c>
      <c r="K630" s="15">
        <f>IFERROR(__xludf.DUMMYFUNCTION("""COMPUTED_VALUE"""),45949.271960729464)</f>
        <v>45949.27196</v>
      </c>
      <c r="L630" s="4"/>
    </row>
    <row r="631">
      <c r="A631" s="1">
        <f>IFERROR(__xludf.DUMMYFUNCTION("""COMPUTED_VALUE"""),630.0)</f>
        <v>630</v>
      </c>
      <c r="B631" s="1">
        <f>IFERROR(__xludf.DUMMYFUNCTION("""COMPUTED_VALUE"""),6217.0)</f>
        <v>6217</v>
      </c>
      <c r="C631" s="2" t="str">
        <f>IFERROR(__xludf.DUMMYFUNCTION("""COMPUTED_VALUE"""),"maolana")</f>
        <v>maolana</v>
      </c>
      <c r="D631" s="2" t="str">
        <f>IFERROR(__xludf.DUMMYFUNCTION("""COMPUTED_VALUE"""),"5KM OVERALL M")</f>
        <v>5KM OVERALL M</v>
      </c>
      <c r="E631" s="1">
        <f>IFERROR(__xludf.DUMMYFUNCTION("""COMPUTED_VALUE"""),412.0)</f>
        <v>412</v>
      </c>
      <c r="F631" s="1" t="str">
        <f>IFERROR(__xludf.DUMMYFUNCTION("""COMPUTED_VALUE"""),"Male")</f>
        <v>Male</v>
      </c>
      <c r="G631" s="5">
        <f>IFERROR(__xludf.DUMMYFUNCTION("""COMPUTED_VALUE"""),0.0061802523148148155)</f>
        <v>0.006180252315</v>
      </c>
      <c r="H631" s="15">
        <f>IFERROR(__xludf.DUMMYFUNCTION("""COMPUTED_VALUE"""),0.2549440625)</f>
        <v>0.2549440625</v>
      </c>
      <c r="I631" s="15">
        <f>IFERROR(__xludf.DUMMYFUNCTION("""COMPUTED_VALUE"""),45949.285845322185)</f>
        <v>45949.28585</v>
      </c>
      <c r="J631" s="15">
        <f>IFERROR(__xludf.DUMMYFUNCTION("""COMPUTED_VALUE"""),45949.030901259684)</f>
        <v>45949.0309</v>
      </c>
      <c r="K631" s="15">
        <f>IFERROR(__xludf.DUMMYFUNCTION("""COMPUTED_VALUE"""),45949.27345378334)</f>
        <v>45949.27345</v>
      </c>
      <c r="L631" s="4"/>
    </row>
    <row r="632">
      <c r="A632" s="1">
        <f>IFERROR(__xludf.DUMMYFUNCTION("""COMPUTED_VALUE"""),631.0)</f>
        <v>631</v>
      </c>
      <c r="B632" s="1">
        <f>IFERROR(__xludf.DUMMYFUNCTION("""COMPUTED_VALUE"""),5112.0)</f>
        <v>5112</v>
      </c>
      <c r="C632" s="2" t="str">
        <f>IFERROR(__xludf.DUMMYFUNCTION("""COMPUTED_VALUE"""),"Emo Moy")</f>
        <v>Emo Moy</v>
      </c>
      <c r="D632" s="2" t="str">
        <f>IFERROR(__xludf.DUMMYFUNCTION("""COMPUTED_VALUE"""),"5KM OVERALL F")</f>
        <v>5KM OVERALL F</v>
      </c>
      <c r="E632" s="1">
        <f>IFERROR(__xludf.DUMMYFUNCTION("""COMPUTED_VALUE"""),92.0)</f>
        <v>92</v>
      </c>
      <c r="F632" s="1" t="str">
        <f>IFERROR(__xludf.DUMMYFUNCTION("""COMPUTED_VALUE"""),"Female")</f>
        <v>Female</v>
      </c>
      <c r="G632" s="5">
        <f>IFERROR(__xludf.DUMMYFUNCTION("""COMPUTED_VALUE"""),0.006185111111111111)</f>
        <v>0.006185111111</v>
      </c>
      <c r="H632" s="15">
        <f>IFERROR(__xludf.DUMMYFUNCTION("""COMPUTED_VALUE"""),0.2549440625)</f>
        <v>0.2549440625</v>
      </c>
      <c r="I632" s="15">
        <f>IFERROR(__xludf.DUMMYFUNCTION("""COMPUTED_VALUE"""),45949.28586961749)</f>
        <v>45949.28587</v>
      </c>
      <c r="J632" s="15">
        <f>IFERROR(__xludf.DUMMYFUNCTION("""COMPUTED_VALUE"""),45949.03092555499)</f>
        <v>45949.03093</v>
      </c>
      <c r="K632" s="15">
        <f>IFERROR(__xludf.DUMMYFUNCTION("""COMPUTED_VALUE"""),45949.2732948558)</f>
        <v>45949.27329</v>
      </c>
      <c r="L632" s="4"/>
    </row>
    <row r="633">
      <c r="A633" s="1">
        <f>IFERROR(__xludf.DUMMYFUNCTION("""COMPUTED_VALUE"""),632.0)</f>
        <v>632</v>
      </c>
      <c r="B633" s="1">
        <f>IFERROR(__xludf.DUMMYFUNCTION("""COMPUTED_VALUE"""),5292.0)</f>
        <v>5292</v>
      </c>
      <c r="C633" s="2" t="str">
        <f>IFERROR(__xludf.DUMMYFUNCTION("""COMPUTED_VALUE"""),"Dita Kurniawan")</f>
        <v>Dita Kurniawan</v>
      </c>
      <c r="D633" s="2" t="str">
        <f>IFERROR(__xludf.DUMMYFUNCTION("""COMPUTED_VALUE"""),"5KM OVERALL M")</f>
        <v>5KM OVERALL M</v>
      </c>
      <c r="E633" s="1">
        <f>IFERROR(__xludf.DUMMYFUNCTION("""COMPUTED_VALUE"""),413.0)</f>
        <v>413</v>
      </c>
      <c r="F633" s="1" t="str">
        <f>IFERROR(__xludf.DUMMYFUNCTION("""COMPUTED_VALUE"""),"Male")</f>
        <v>Male</v>
      </c>
      <c r="G633" s="5">
        <f>IFERROR(__xludf.DUMMYFUNCTION("""COMPUTED_VALUE"""),0.006188583333333332)</f>
        <v>0.006188583333</v>
      </c>
      <c r="H633" s="15">
        <f>IFERROR(__xludf.DUMMYFUNCTION("""COMPUTED_VALUE"""),0.2549440625)</f>
        <v>0.2549440625</v>
      </c>
      <c r="I633" s="15">
        <f>IFERROR(__xludf.DUMMYFUNCTION("""COMPUTED_VALUE"""),45949.28588697798)</f>
        <v>45949.28589</v>
      </c>
      <c r="J633" s="15">
        <f>IFERROR(__xludf.DUMMYFUNCTION("""COMPUTED_VALUE"""),45949.03094291548)</f>
        <v>45949.03094</v>
      </c>
      <c r="K633" s="15">
        <f>IFERROR(__xludf.DUMMYFUNCTION("""COMPUTED_VALUE"""),45949.27308925877)</f>
        <v>45949.27309</v>
      </c>
      <c r="L633" s="4"/>
    </row>
    <row r="634">
      <c r="A634" s="1">
        <f>IFERROR(__xludf.DUMMYFUNCTION("""COMPUTED_VALUE"""),633.0)</f>
        <v>633</v>
      </c>
      <c r="B634" s="1">
        <f>IFERROR(__xludf.DUMMYFUNCTION("""COMPUTED_VALUE"""),5800.0)</f>
        <v>5800</v>
      </c>
      <c r="C634" s="2" t="str">
        <f>IFERROR(__xludf.DUMMYFUNCTION("""COMPUTED_VALUE"""),"Imah")</f>
        <v>Imah</v>
      </c>
      <c r="D634" s="2" t="str">
        <f>IFERROR(__xludf.DUMMYFUNCTION("""COMPUTED_VALUE"""),"5KM OVERALL F")</f>
        <v>5KM OVERALL F</v>
      </c>
      <c r="E634" s="1">
        <f>IFERROR(__xludf.DUMMYFUNCTION("""COMPUTED_VALUE"""),93.0)</f>
        <v>93</v>
      </c>
      <c r="F634" s="1" t="str">
        <f>IFERROR(__xludf.DUMMYFUNCTION("""COMPUTED_VALUE"""),"Female")</f>
        <v>Female</v>
      </c>
      <c r="G634" s="5">
        <f>IFERROR(__xludf.DUMMYFUNCTION("""COMPUTED_VALUE"""),0.006199)</f>
        <v>0.006199</v>
      </c>
      <c r="H634" s="15">
        <f>IFERROR(__xludf.DUMMYFUNCTION("""COMPUTED_VALUE"""),0.2549440625)</f>
        <v>0.2549440625</v>
      </c>
      <c r="I634" s="15">
        <f>IFERROR(__xludf.DUMMYFUNCTION("""COMPUTED_VALUE"""),45949.28593905898)</f>
        <v>45949.28594</v>
      </c>
      <c r="J634" s="15">
        <f>IFERROR(__xludf.DUMMYFUNCTION("""COMPUTED_VALUE"""),45949.03099499648)</f>
        <v>45949.03099</v>
      </c>
      <c r="K634" s="15">
        <f>IFERROR(__xludf.DUMMYFUNCTION("""COMPUTED_VALUE"""),45949.27274544661)</f>
        <v>45949.27275</v>
      </c>
      <c r="L634" s="4"/>
    </row>
    <row r="635">
      <c r="A635" s="1">
        <f>IFERROR(__xludf.DUMMYFUNCTION("""COMPUTED_VALUE"""),634.0)</f>
        <v>634</v>
      </c>
      <c r="B635" s="1">
        <f>IFERROR(__xludf.DUMMYFUNCTION("""COMPUTED_VALUE"""),5910.0)</f>
        <v>5910</v>
      </c>
      <c r="C635" s="2" t="str">
        <f>IFERROR(__xludf.DUMMYFUNCTION("""COMPUTED_VALUE"""),"Rahimah")</f>
        <v>Rahimah</v>
      </c>
      <c r="D635" s="2" t="str">
        <f>IFERROR(__xludf.DUMMYFUNCTION("""COMPUTED_VALUE"""),"5KM OVERALL F")</f>
        <v>5KM OVERALL F</v>
      </c>
      <c r="E635" s="1">
        <f>IFERROR(__xludf.DUMMYFUNCTION("""COMPUTED_VALUE"""),94.0)</f>
        <v>94</v>
      </c>
      <c r="F635" s="1" t="str">
        <f>IFERROR(__xludf.DUMMYFUNCTION("""COMPUTED_VALUE"""),"Female")</f>
        <v>Female</v>
      </c>
      <c r="G635" s="5">
        <f>IFERROR(__xludf.DUMMYFUNCTION("""COMPUTED_VALUE"""),0.006203166666666667)</f>
        <v>0.006203166667</v>
      </c>
      <c r="H635" s="15">
        <f>IFERROR(__xludf.DUMMYFUNCTION("""COMPUTED_VALUE"""),0.2549440625)</f>
        <v>0.2549440625</v>
      </c>
      <c r="I635" s="15">
        <f>IFERROR(__xludf.DUMMYFUNCTION("""COMPUTED_VALUE"""),45949.28595989677)</f>
        <v>45949.28596</v>
      </c>
      <c r="J635" s="15">
        <f>IFERROR(__xludf.DUMMYFUNCTION("""COMPUTED_VALUE"""),45949.03101583427)</f>
        <v>45949.03102</v>
      </c>
      <c r="K635" s="15">
        <f>IFERROR(__xludf.DUMMYFUNCTION("""COMPUTED_VALUE"""),45949.273853084094)</f>
        <v>45949.27385</v>
      </c>
      <c r="L635" s="4"/>
    </row>
    <row r="636">
      <c r="A636" s="1">
        <f>IFERROR(__xludf.DUMMYFUNCTION("""COMPUTED_VALUE"""),635.0)</f>
        <v>635</v>
      </c>
      <c r="B636" s="7" t="str">
        <f>IFERROR(__xludf.DUMMYFUNCTION("""COMPUTED_VALUE"""),"7161")</f>
        <v>7161</v>
      </c>
      <c r="C636" s="8" t="str">
        <f>IFERROR(__xludf.DUMMYFUNCTION("""COMPUTED_VALUE"""),"MAHRUP")</f>
        <v>MAHRUP</v>
      </c>
      <c r="D636" s="2" t="str">
        <f>IFERROR(__xludf.DUMMYFUNCTION("""COMPUTED_VALUE"""),"5KM MASTER M")</f>
        <v>5KM MASTER M</v>
      </c>
      <c r="E636" s="1">
        <f>IFERROR(__xludf.DUMMYFUNCTION("""COMPUTED_VALUE"""),57.0)</f>
        <v>57</v>
      </c>
      <c r="F636" s="1" t="str">
        <f>IFERROR(__xludf.DUMMYFUNCTION("""COMPUTED_VALUE"""),"Male")</f>
        <v>Male</v>
      </c>
      <c r="G636" s="5">
        <f>IFERROR(__xludf.DUMMYFUNCTION("""COMPUTED_VALUE"""),0.006204557870370371)</f>
        <v>0.00620455787</v>
      </c>
      <c r="H636" s="15">
        <f>IFERROR(__xludf.DUMMYFUNCTION("""COMPUTED_VALUE"""),0.2549440625)</f>
        <v>0.2549440625</v>
      </c>
      <c r="I636" s="15">
        <f>IFERROR(__xludf.DUMMYFUNCTION("""COMPUTED_VALUE"""),45949.28596685269)</f>
        <v>45949.28597</v>
      </c>
      <c r="J636" s="15">
        <f>IFERROR(__xludf.DUMMYFUNCTION("""COMPUTED_VALUE"""),45949.03102279019)</f>
        <v>45949.03102</v>
      </c>
      <c r="K636" s="15">
        <f>IFERROR(__xludf.DUMMYFUNCTION("""COMPUTED_VALUE"""),45949.273342696)</f>
        <v>45949.27334</v>
      </c>
      <c r="L636" s="4"/>
    </row>
    <row r="637">
      <c r="A637" s="1">
        <f>IFERROR(__xludf.DUMMYFUNCTION("""COMPUTED_VALUE"""),635.0)</f>
        <v>635</v>
      </c>
      <c r="B637" s="1">
        <f>IFERROR(__xludf.DUMMYFUNCTION("""COMPUTED_VALUE"""),5539.0)</f>
        <v>5539</v>
      </c>
      <c r="C637" s="2" t="str">
        <f>IFERROR(__xludf.DUMMYFUNCTION("""COMPUTED_VALUE"""),"M.Hafiz A.P")</f>
        <v>M.Hafiz A.P</v>
      </c>
      <c r="D637" s="2" t="str">
        <f>IFERROR(__xludf.DUMMYFUNCTION("""COMPUTED_VALUE"""),"5KM OVERALL M")</f>
        <v>5KM OVERALL M</v>
      </c>
      <c r="E637" s="1">
        <f>IFERROR(__xludf.DUMMYFUNCTION("""COMPUTED_VALUE"""),414.0)</f>
        <v>414</v>
      </c>
      <c r="F637" s="1" t="str">
        <f>IFERROR(__xludf.DUMMYFUNCTION("""COMPUTED_VALUE"""),"Male")</f>
        <v>Male</v>
      </c>
      <c r="G637" s="5">
        <f>IFERROR(__xludf.DUMMYFUNCTION("""COMPUTED_VALUE"""),0.006204557870370371)</f>
        <v>0.00620455787</v>
      </c>
      <c r="H637" s="15">
        <f>IFERROR(__xludf.DUMMYFUNCTION("""COMPUTED_VALUE"""),0.2549440625)</f>
        <v>0.2549440625</v>
      </c>
      <c r="I637" s="15">
        <f>IFERROR(__xludf.DUMMYFUNCTION("""COMPUTED_VALUE"""),45949.28596685269)</f>
        <v>45949.28597</v>
      </c>
      <c r="J637" s="15">
        <f>IFERROR(__xludf.DUMMYFUNCTION("""COMPUTED_VALUE"""),45949.03102279019)</f>
        <v>45949.03102</v>
      </c>
      <c r="K637" s="15">
        <f>IFERROR(__xludf.DUMMYFUNCTION("""COMPUTED_VALUE"""),45949.27434614284)</f>
        <v>45949.27435</v>
      </c>
      <c r="L637" s="4"/>
    </row>
    <row r="638">
      <c r="A638" s="1">
        <f>IFERROR(__xludf.DUMMYFUNCTION("""COMPUTED_VALUE"""),637.0)</f>
        <v>637</v>
      </c>
      <c r="B638" s="1">
        <f>IFERROR(__xludf.DUMMYFUNCTION("""COMPUTED_VALUE"""),7071.0)</f>
        <v>7071</v>
      </c>
      <c r="C638" s="2" t="str">
        <f>IFERROR(__xludf.DUMMYFUNCTION("""COMPUTED_VALUE"""),"Nuryanto")</f>
        <v>Nuryanto</v>
      </c>
      <c r="D638" s="2" t="str">
        <f>IFERROR(__xludf.DUMMYFUNCTION("""COMPUTED_VALUE"""),"5KM MASTER M")</f>
        <v>5KM MASTER M</v>
      </c>
      <c r="E638" s="1">
        <f>IFERROR(__xludf.DUMMYFUNCTION("""COMPUTED_VALUE"""),58.0)</f>
        <v>58</v>
      </c>
      <c r="F638" s="1" t="str">
        <f>IFERROR(__xludf.DUMMYFUNCTION("""COMPUTED_VALUE"""),"Male")</f>
        <v>Male</v>
      </c>
      <c r="G638" s="5">
        <f>IFERROR(__xludf.DUMMYFUNCTION("""COMPUTED_VALUE"""),0.006211523148148148)</f>
        <v>0.006211523148</v>
      </c>
      <c r="H638" s="15">
        <f>IFERROR(__xludf.DUMMYFUNCTION("""COMPUTED_VALUE"""),0.2549440625)</f>
        <v>0.2549440625</v>
      </c>
      <c r="I638" s="15">
        <f>IFERROR(__xludf.DUMMYFUNCTION("""COMPUTED_VALUE"""),45949.2860016738)</f>
        <v>45949.286</v>
      </c>
      <c r="J638" s="15">
        <f>IFERROR(__xludf.DUMMYFUNCTION("""COMPUTED_VALUE"""),45949.0310576113)</f>
        <v>45949.03106</v>
      </c>
      <c r="K638" s="15">
        <f>IFERROR(__xludf.DUMMYFUNCTION("""COMPUTED_VALUE"""),45949.27352328683)</f>
        <v>45949.27352</v>
      </c>
      <c r="L638" s="4"/>
    </row>
    <row r="639">
      <c r="A639" s="1">
        <f>IFERROR(__xludf.DUMMYFUNCTION("""COMPUTED_VALUE"""),638.0)</f>
        <v>638</v>
      </c>
      <c r="B639" s="1">
        <f>IFERROR(__xludf.DUMMYFUNCTION("""COMPUTED_VALUE"""),5414.0)</f>
        <v>5414</v>
      </c>
      <c r="C639" s="2" t="str">
        <f>IFERROR(__xludf.DUMMYFUNCTION("""COMPUTED_VALUE"""),"Iqbalz")</f>
        <v>Iqbalz</v>
      </c>
      <c r="D639" s="2" t="str">
        <f>IFERROR(__xludf.DUMMYFUNCTION("""COMPUTED_VALUE"""),"5KM OVERALL M")</f>
        <v>5KM OVERALL M</v>
      </c>
      <c r="E639" s="1">
        <f>IFERROR(__xludf.DUMMYFUNCTION("""COMPUTED_VALUE"""),415.0)</f>
        <v>415</v>
      </c>
      <c r="F639" s="1" t="str">
        <f>IFERROR(__xludf.DUMMYFUNCTION("""COMPUTED_VALUE"""),"Male")</f>
        <v>Male</v>
      </c>
      <c r="G639" s="5">
        <f>IFERROR(__xludf.DUMMYFUNCTION("""COMPUTED_VALUE"""),0.006233027777777778)</f>
        <v>0.006233027778</v>
      </c>
      <c r="H639" s="15">
        <f>IFERROR(__xludf.DUMMYFUNCTION("""COMPUTED_VALUE"""),0.2549440625)</f>
        <v>0.2549440625</v>
      </c>
      <c r="I639" s="15">
        <f>IFERROR(__xludf.DUMMYFUNCTION("""COMPUTED_VALUE"""),45949.28610920221)</f>
        <v>45949.28611</v>
      </c>
      <c r="J639" s="15">
        <f>IFERROR(__xludf.DUMMYFUNCTION("""COMPUTED_VALUE"""),45949.031165139706)</f>
        <v>45949.03117</v>
      </c>
      <c r="K639" s="15">
        <f>IFERROR(__xludf.DUMMYFUNCTION("""COMPUTED_VALUE"""),45949.273498905284)</f>
        <v>45949.2735</v>
      </c>
      <c r="L639" s="4"/>
    </row>
    <row r="640">
      <c r="A640" s="1">
        <f>IFERROR(__xludf.DUMMYFUNCTION("""COMPUTED_VALUE"""),639.0)</f>
        <v>639</v>
      </c>
      <c r="B640" s="1">
        <f>IFERROR(__xludf.DUMMYFUNCTION("""COMPUTED_VALUE"""),7101.0)</f>
        <v>7101</v>
      </c>
      <c r="C640" s="2" t="str">
        <f>IFERROR(__xludf.DUMMYFUNCTION("""COMPUTED_VALUE"""),"Lea@")</f>
        <v>Lea@</v>
      </c>
      <c r="D640" s="2" t="str">
        <f>IFERROR(__xludf.DUMMYFUNCTION("""COMPUTED_VALUE"""),"5KM MASTER F")</f>
        <v>5KM MASTER F</v>
      </c>
      <c r="E640" s="1">
        <f>IFERROR(__xludf.DUMMYFUNCTION("""COMPUTED_VALUE"""),19.0)</f>
        <v>19</v>
      </c>
      <c r="F640" s="1" t="str">
        <f>IFERROR(__xludf.DUMMYFUNCTION("""COMPUTED_VALUE"""),"Female")</f>
        <v>Female</v>
      </c>
      <c r="G640" s="5">
        <f>IFERROR(__xludf.DUMMYFUNCTION("""COMPUTED_VALUE"""),0.006233724537037038)</f>
        <v>0.006233724537</v>
      </c>
      <c r="H640" s="15">
        <f>IFERROR(__xludf.DUMMYFUNCTION("""COMPUTED_VALUE"""),0.2549440625)</f>
        <v>0.2549440625</v>
      </c>
      <c r="I640" s="15">
        <f>IFERROR(__xludf.DUMMYFUNCTION("""COMPUTED_VALUE"""),45949.2861126839)</f>
        <v>45949.28611</v>
      </c>
      <c r="J640" s="15">
        <f>IFERROR(__xludf.DUMMYFUNCTION("""COMPUTED_VALUE"""),45949.0311686214)</f>
        <v>45949.03117</v>
      </c>
      <c r="K640" s="15">
        <f>IFERROR(__xludf.DUMMYFUNCTION("""COMPUTED_VALUE"""),45949.27245426417)</f>
        <v>45949.27245</v>
      </c>
      <c r="L640" s="4"/>
    </row>
    <row r="641">
      <c r="A641" s="1">
        <f>IFERROR(__xludf.DUMMYFUNCTION("""COMPUTED_VALUE"""),640.0)</f>
        <v>640</v>
      </c>
      <c r="B641" s="1">
        <f>IFERROR(__xludf.DUMMYFUNCTION("""COMPUTED_VALUE"""),6012.0)</f>
        <v>6012</v>
      </c>
      <c r="C641" s="2" t="str">
        <f>IFERROR(__xludf.DUMMYFUNCTION("""COMPUTED_VALUE"""),"alfi")</f>
        <v>alfi</v>
      </c>
      <c r="D641" s="2" t="str">
        <f>IFERROR(__xludf.DUMMYFUNCTION("""COMPUTED_VALUE"""),"5KM OVERALL M")</f>
        <v>5KM OVERALL M</v>
      </c>
      <c r="E641" s="1">
        <f>IFERROR(__xludf.DUMMYFUNCTION("""COMPUTED_VALUE"""),416.0)</f>
        <v>416</v>
      </c>
      <c r="F641" s="1" t="str">
        <f>IFERROR(__xludf.DUMMYFUNCTION("""COMPUTED_VALUE"""),"Male")</f>
        <v>Male</v>
      </c>
      <c r="G641" s="5">
        <f>IFERROR(__xludf.DUMMYFUNCTION("""COMPUTED_VALUE"""),0.006233724537037038)</f>
        <v>0.006233724537</v>
      </c>
      <c r="H641" s="15">
        <f>IFERROR(__xludf.DUMMYFUNCTION("""COMPUTED_VALUE"""),0.2549440625)</f>
        <v>0.2549440625</v>
      </c>
      <c r="I641" s="15">
        <f>IFERROR(__xludf.DUMMYFUNCTION("""COMPUTED_VALUE"""),45949.2861126839)</f>
        <v>45949.28611</v>
      </c>
      <c r="J641" s="15">
        <f>IFERROR(__xludf.DUMMYFUNCTION("""COMPUTED_VALUE"""),45949.0311686214)</f>
        <v>45949.03117</v>
      </c>
      <c r="K641" s="15">
        <f>IFERROR(__xludf.DUMMYFUNCTION("""COMPUTED_VALUE"""),45949.273575302665)</f>
        <v>45949.27358</v>
      </c>
      <c r="L641" s="4"/>
    </row>
    <row r="642">
      <c r="A642" s="1">
        <f>IFERROR(__xludf.DUMMYFUNCTION("""COMPUTED_VALUE"""),641.0)</f>
        <v>641</v>
      </c>
      <c r="B642" s="1">
        <f>IFERROR(__xludf.DUMMYFUNCTION("""COMPUTED_VALUE"""),5517.0)</f>
        <v>5517</v>
      </c>
      <c r="C642" s="2" t="str">
        <f>IFERROR(__xludf.DUMMYFUNCTION("""COMPUTED_VALUE"""),"Hambali")</f>
        <v>Hambali</v>
      </c>
      <c r="D642" s="2" t="str">
        <f>IFERROR(__xludf.DUMMYFUNCTION("""COMPUTED_VALUE"""),"5KM OVERALL M")</f>
        <v>5KM OVERALL M</v>
      </c>
      <c r="E642" s="1">
        <f>IFERROR(__xludf.DUMMYFUNCTION("""COMPUTED_VALUE"""),417.0)</f>
        <v>417</v>
      </c>
      <c r="F642" s="1" t="str">
        <f>IFERROR(__xludf.DUMMYFUNCTION("""COMPUTED_VALUE"""),"Male")</f>
        <v>Male</v>
      </c>
      <c r="G642" s="5">
        <f>IFERROR(__xludf.DUMMYFUNCTION("""COMPUTED_VALUE"""),0.006237196759259259)</f>
        <v>0.006237196759</v>
      </c>
      <c r="H642" s="15">
        <f>IFERROR(__xludf.DUMMYFUNCTION("""COMPUTED_VALUE"""),0.2549440625)</f>
        <v>0.2549440625</v>
      </c>
      <c r="I642" s="15">
        <f>IFERROR(__xludf.DUMMYFUNCTION("""COMPUTED_VALUE"""),45949.286130047825)</f>
        <v>45949.28613</v>
      </c>
      <c r="J642" s="15">
        <f>IFERROR(__xludf.DUMMYFUNCTION("""COMPUTED_VALUE"""),45949.031185985325)</f>
        <v>45949.03119</v>
      </c>
      <c r="K642" s="15">
        <f>IFERROR(__xludf.DUMMYFUNCTION("""COMPUTED_VALUE"""),45949.27276281128)</f>
        <v>45949.27276</v>
      </c>
      <c r="L642" s="4"/>
    </row>
    <row r="643">
      <c r="A643" s="1">
        <f>IFERROR(__xludf.DUMMYFUNCTION("""COMPUTED_VALUE"""),642.0)</f>
        <v>642</v>
      </c>
      <c r="B643" s="1">
        <f>IFERROR(__xludf.DUMMYFUNCTION("""COMPUTED_VALUE"""),6102.0)</f>
        <v>6102</v>
      </c>
      <c r="C643" s="2" t="str">
        <f>IFERROR(__xludf.DUMMYFUNCTION("""COMPUTED_VALUE"""),"Hah.")</f>
        <v>Hah.</v>
      </c>
      <c r="D643" s="2" t="str">
        <f>IFERROR(__xludf.DUMMYFUNCTION("""COMPUTED_VALUE"""),"5KM OVERALL M")</f>
        <v>5KM OVERALL M</v>
      </c>
      <c r="E643" s="1">
        <f>IFERROR(__xludf.DUMMYFUNCTION("""COMPUTED_VALUE"""),418.0)</f>
        <v>418</v>
      </c>
      <c r="F643" s="1" t="str">
        <f>IFERROR(__xludf.DUMMYFUNCTION("""COMPUTED_VALUE"""),"Male")</f>
        <v>Male</v>
      </c>
      <c r="G643" s="5">
        <f>IFERROR(__xludf.DUMMYFUNCTION("""COMPUTED_VALUE"""),0.006239280092592593)</f>
        <v>0.006239280093</v>
      </c>
      <c r="H643" s="15">
        <f>IFERROR(__xludf.DUMMYFUNCTION("""COMPUTED_VALUE"""),0.2549440625)</f>
        <v>0.2549440625</v>
      </c>
      <c r="I643" s="15">
        <f>IFERROR(__xludf.DUMMYFUNCTION("""COMPUTED_VALUE"""),45949.2861404666)</f>
        <v>45949.28614</v>
      </c>
      <c r="J643" s="15">
        <f>IFERROR(__xludf.DUMMYFUNCTION("""COMPUTED_VALUE"""),45949.031196404096)</f>
        <v>45949.0312</v>
      </c>
      <c r="K643" s="15">
        <f>IFERROR(__xludf.DUMMYFUNCTION("""COMPUTED_VALUE"""),45949.27491219008)</f>
        <v>45949.27491</v>
      </c>
      <c r="L643" s="4"/>
    </row>
    <row r="644">
      <c r="A644" s="1">
        <f>IFERROR(__xludf.DUMMYFUNCTION("""COMPUTED_VALUE"""),643.0)</f>
        <v>643</v>
      </c>
      <c r="B644" s="1">
        <f>IFERROR(__xludf.DUMMYFUNCTION("""COMPUTED_VALUE"""),6296.0)</f>
        <v>6296</v>
      </c>
      <c r="C644" s="2" t="str">
        <f>IFERROR(__xludf.DUMMYFUNCTION("""COMPUTED_VALUE"""),"Bagus Chandra M")</f>
        <v>Bagus Chandra M</v>
      </c>
      <c r="D644" s="2" t="str">
        <f>IFERROR(__xludf.DUMMYFUNCTION("""COMPUTED_VALUE"""),"5KM OVERALL M")</f>
        <v>5KM OVERALL M</v>
      </c>
      <c r="E644" s="1">
        <f>IFERROR(__xludf.DUMMYFUNCTION("""COMPUTED_VALUE"""),419.0)</f>
        <v>419</v>
      </c>
      <c r="F644" s="1" t="str">
        <f>IFERROR(__xludf.DUMMYFUNCTION("""COMPUTED_VALUE"""),"Male")</f>
        <v>Male</v>
      </c>
      <c r="G644" s="5">
        <f>IFERROR(__xludf.DUMMYFUNCTION("""COMPUTED_VALUE"""),0.006240666666666667)</f>
        <v>0.006240666667</v>
      </c>
      <c r="H644" s="15">
        <f>IFERROR(__xludf.DUMMYFUNCTION("""COMPUTED_VALUE"""),0.2549440625)</f>
        <v>0.2549440625</v>
      </c>
      <c r="I644" s="15">
        <f>IFERROR(__xludf.DUMMYFUNCTION("""COMPUTED_VALUE"""),45949.28614739115)</f>
        <v>45949.28615</v>
      </c>
      <c r="J644" s="15">
        <f>IFERROR(__xludf.DUMMYFUNCTION("""COMPUTED_VALUE"""),45949.03120332865)</f>
        <v>45949.0312</v>
      </c>
      <c r="K644" s="15">
        <f>IFERROR(__xludf.DUMMYFUNCTION("""COMPUTED_VALUE"""),45949.27252322753)</f>
        <v>45949.27252</v>
      </c>
      <c r="L644" s="4"/>
    </row>
    <row r="645">
      <c r="A645" s="1">
        <f>IFERROR(__xludf.DUMMYFUNCTION("""COMPUTED_VALUE"""),644.0)</f>
        <v>644</v>
      </c>
      <c r="B645" s="7" t="str">
        <f>IFERROR(__xludf.DUMMYFUNCTION("""COMPUTED_VALUE"""),"7157")</f>
        <v>7157</v>
      </c>
      <c r="C645" s="8" t="str">
        <f>IFERROR(__xludf.DUMMYFUNCTION("""COMPUTED_VALUE"""),"Farisna")</f>
        <v>Farisna</v>
      </c>
      <c r="D645" s="2" t="str">
        <f>IFERROR(__xludf.DUMMYFUNCTION("""COMPUTED_VALUE"""),"5KM MASTER F")</f>
        <v>5KM MASTER F</v>
      </c>
      <c r="E645" s="1">
        <f>IFERROR(__xludf.DUMMYFUNCTION("""COMPUTED_VALUE"""),20.0)</f>
        <v>20</v>
      </c>
      <c r="F645" s="1" t="str">
        <f>IFERROR(__xludf.DUMMYFUNCTION("""COMPUTED_VALUE"""),"Female")</f>
        <v>Female</v>
      </c>
      <c r="G645" s="5">
        <f>IFERROR(__xludf.DUMMYFUNCTION("""COMPUTED_VALUE"""),0.006241361111111112)</f>
        <v>0.006241361111</v>
      </c>
      <c r="H645" s="15">
        <f>IFERROR(__xludf.DUMMYFUNCTION("""COMPUTED_VALUE"""),0.2549440625)</f>
        <v>0.2549440625</v>
      </c>
      <c r="I645" s="15">
        <f>IFERROR(__xludf.DUMMYFUNCTION("""COMPUTED_VALUE"""),45949.2861508671)</f>
        <v>45949.28615</v>
      </c>
      <c r="J645" s="15">
        <f>IFERROR(__xludf.DUMMYFUNCTION("""COMPUTED_VALUE"""),45949.0312068046)</f>
        <v>45949.03121</v>
      </c>
      <c r="K645" s="15">
        <f>IFERROR(__xludf.DUMMYFUNCTION("""COMPUTED_VALUE"""),45949.27345029334)</f>
        <v>45949.27345</v>
      </c>
      <c r="L645" s="4"/>
    </row>
    <row r="646">
      <c r="A646" s="1">
        <f>IFERROR(__xludf.DUMMYFUNCTION("""COMPUTED_VALUE"""),645.0)</f>
        <v>645</v>
      </c>
      <c r="B646" s="1">
        <f>IFERROR(__xludf.DUMMYFUNCTION("""COMPUTED_VALUE"""),5261.0)</f>
        <v>5261</v>
      </c>
      <c r="C646" s="2" t="str">
        <f>IFERROR(__xludf.DUMMYFUNCTION("""COMPUTED_VALUE"""),"ANSYAR")</f>
        <v>ANSYAR</v>
      </c>
      <c r="D646" s="2" t="str">
        <f>IFERROR(__xludf.DUMMYFUNCTION("""COMPUTED_VALUE"""),"5KM OVERALL M")</f>
        <v>5KM OVERALL M</v>
      </c>
      <c r="E646" s="1">
        <f>IFERROR(__xludf.DUMMYFUNCTION("""COMPUTED_VALUE"""),420.0)</f>
        <v>420</v>
      </c>
      <c r="F646" s="1" t="str">
        <f>IFERROR(__xludf.DUMMYFUNCTION("""COMPUTED_VALUE"""),"Male")</f>
        <v>Male</v>
      </c>
      <c r="G646" s="5">
        <f>IFERROR(__xludf.DUMMYFUNCTION("""COMPUTED_VALUE"""),0.006241363425925925)</f>
        <v>0.006241363426</v>
      </c>
      <c r="H646" s="15">
        <f>IFERROR(__xludf.DUMMYFUNCTION("""COMPUTED_VALUE"""),0.2549440625)</f>
        <v>0.2549440625</v>
      </c>
      <c r="I646" s="15">
        <f>IFERROR(__xludf.DUMMYFUNCTION("""COMPUTED_VALUE"""),45949.286150879234)</f>
        <v>45949.28615</v>
      </c>
      <c r="J646" s="15">
        <f>IFERROR(__xludf.DUMMYFUNCTION("""COMPUTED_VALUE"""),45949.03120681673)</f>
        <v>45949.03121</v>
      </c>
      <c r="K646" s="15">
        <f>IFERROR(__xludf.DUMMYFUNCTION("""COMPUTED_VALUE"""),45949.272815464574)</f>
        <v>45949.27282</v>
      </c>
      <c r="L646" s="4"/>
    </row>
    <row r="647">
      <c r="A647" s="1">
        <f>IFERROR(__xludf.DUMMYFUNCTION("""COMPUTED_VALUE"""),646.0)</f>
        <v>646</v>
      </c>
      <c r="B647" s="1">
        <f>IFERROR(__xludf.DUMMYFUNCTION("""COMPUTED_VALUE"""),5321.0)</f>
        <v>5321</v>
      </c>
      <c r="C647" s="2" t="str">
        <f>IFERROR(__xludf.DUMMYFUNCTION("""COMPUTED_VALUE"""),"shofii")</f>
        <v>shofii</v>
      </c>
      <c r="D647" s="2" t="str">
        <f>IFERROR(__xludf.DUMMYFUNCTION("""COMPUTED_VALUE"""),"5KM OVERALL M")</f>
        <v>5KM OVERALL M</v>
      </c>
      <c r="E647" s="1">
        <f>IFERROR(__xludf.DUMMYFUNCTION("""COMPUTED_VALUE"""),421.0)</f>
        <v>421</v>
      </c>
      <c r="F647" s="1" t="str">
        <f>IFERROR(__xludf.DUMMYFUNCTION("""COMPUTED_VALUE"""),"Male")</f>
        <v>Male</v>
      </c>
      <c r="G647" s="5">
        <f>IFERROR(__xludf.DUMMYFUNCTION("""COMPUTED_VALUE"""),0.006244837962962963)</f>
        <v>0.006244837963</v>
      </c>
      <c r="H647" s="15">
        <f>IFERROR(__xludf.DUMMYFUNCTION("""COMPUTED_VALUE"""),0.2549440625)</f>
        <v>0.2549440625</v>
      </c>
      <c r="I647" s="15">
        <f>IFERROR(__xludf.DUMMYFUNCTION("""COMPUTED_VALUE"""),45949.28616824717)</f>
        <v>45949.28617</v>
      </c>
      <c r="J647" s="15">
        <f>IFERROR(__xludf.DUMMYFUNCTION("""COMPUTED_VALUE"""),45949.03122418467)</f>
        <v>45949.03122</v>
      </c>
      <c r="K647" s="15">
        <f>IFERROR(__xludf.DUMMYFUNCTION("""COMPUTED_VALUE"""),45949.273915573816)</f>
        <v>45949.27392</v>
      </c>
      <c r="L647" s="4"/>
    </row>
    <row r="648">
      <c r="A648" s="1">
        <f>IFERROR(__xludf.DUMMYFUNCTION("""COMPUTED_VALUE"""),647.0)</f>
        <v>647</v>
      </c>
      <c r="B648" s="1">
        <f>IFERROR(__xludf.DUMMYFUNCTION("""COMPUTED_VALUE"""),5968.0)</f>
        <v>5968</v>
      </c>
      <c r="C648" s="2" t="str">
        <f>IFERROR(__xludf.DUMMYFUNCTION("""COMPUTED_VALUE"""),"AKHMAD SOLIHIN")</f>
        <v>AKHMAD SOLIHIN</v>
      </c>
      <c r="D648" s="2" t="str">
        <f>IFERROR(__xludf.DUMMYFUNCTION("""COMPUTED_VALUE"""),"5KM OVERALL M")</f>
        <v>5KM OVERALL M</v>
      </c>
      <c r="E648" s="1">
        <f>IFERROR(__xludf.DUMMYFUNCTION("""COMPUTED_VALUE"""),422.0)</f>
        <v>422</v>
      </c>
      <c r="F648" s="1" t="str">
        <f>IFERROR(__xludf.DUMMYFUNCTION("""COMPUTED_VALUE"""),"Male")</f>
        <v>Male</v>
      </c>
      <c r="G648" s="5">
        <f>IFERROR(__xludf.DUMMYFUNCTION("""COMPUTED_VALUE"""),0.006253861111111111)</f>
        <v>0.006253861111</v>
      </c>
      <c r="H648" s="15">
        <f>IFERROR(__xludf.DUMMYFUNCTION("""COMPUTED_VALUE"""),0.2549440625)</f>
        <v>0.2549440625</v>
      </c>
      <c r="I648" s="15">
        <f>IFERROR(__xludf.DUMMYFUNCTION("""COMPUTED_VALUE"""),45949.28621336717)</f>
        <v>45949.28621</v>
      </c>
      <c r="J648" s="15">
        <f>IFERROR(__xludf.DUMMYFUNCTION("""COMPUTED_VALUE"""),45949.03126930467)</f>
        <v>45949.03127</v>
      </c>
      <c r="K648" s="15">
        <f>IFERROR(__xludf.DUMMYFUNCTION("""COMPUTED_VALUE"""),45949.27316905987)</f>
        <v>45949.27317</v>
      </c>
      <c r="L648" s="4"/>
    </row>
    <row r="649">
      <c r="A649" s="1">
        <f>IFERROR(__xludf.DUMMYFUNCTION("""COMPUTED_VALUE"""),648.0)</f>
        <v>648</v>
      </c>
      <c r="B649" s="1">
        <f>IFERROR(__xludf.DUMMYFUNCTION("""COMPUTED_VALUE"""),6269.0)</f>
        <v>6269</v>
      </c>
      <c r="C649" s="2" t="str">
        <f>IFERROR(__xludf.DUMMYFUNCTION("""COMPUTED_VALUE"""),"Mita")</f>
        <v>Mita</v>
      </c>
      <c r="D649" s="2" t="str">
        <f>IFERROR(__xludf.DUMMYFUNCTION("""COMPUTED_VALUE"""),"5KM OVERALL F")</f>
        <v>5KM OVERALL F</v>
      </c>
      <c r="E649" s="1">
        <f>IFERROR(__xludf.DUMMYFUNCTION("""COMPUTED_VALUE"""),95.0)</f>
        <v>95</v>
      </c>
      <c r="F649" s="1" t="str">
        <f>IFERROR(__xludf.DUMMYFUNCTION("""COMPUTED_VALUE"""),"Female")</f>
        <v>Female</v>
      </c>
      <c r="G649" s="5">
        <f>IFERROR(__xludf.DUMMYFUNCTION("""COMPUTED_VALUE"""),0.006260805555555556)</f>
        <v>0.006260805556</v>
      </c>
      <c r="H649" s="15">
        <f>IFERROR(__xludf.DUMMYFUNCTION("""COMPUTED_VALUE"""),0.2549440625)</f>
        <v>0.2549440625</v>
      </c>
      <c r="I649" s="15">
        <f>IFERROR(__xludf.DUMMYFUNCTION("""COMPUTED_VALUE"""),45949.28624809588)</f>
        <v>45949.28625</v>
      </c>
      <c r="J649" s="15">
        <f>IFERROR(__xludf.DUMMYFUNCTION("""COMPUTED_VALUE"""),45949.03130403338)</f>
        <v>45949.0313</v>
      </c>
      <c r="K649" s="15">
        <f>IFERROR(__xludf.DUMMYFUNCTION("""COMPUTED_VALUE"""),45949.273092723924)</f>
        <v>45949.27309</v>
      </c>
      <c r="L649" s="4"/>
    </row>
    <row r="650">
      <c r="A650" s="1">
        <f>IFERROR(__xludf.DUMMYFUNCTION("""COMPUTED_VALUE"""),649.0)</f>
        <v>649</v>
      </c>
      <c r="B650" s="1">
        <f>IFERROR(__xludf.DUMMYFUNCTION("""COMPUTED_VALUE"""),5401.0)</f>
        <v>5401</v>
      </c>
      <c r="C650" s="2" t="str">
        <f>IFERROR(__xludf.DUMMYFUNCTION("""COMPUTED_VALUE"""),"Dewana")</f>
        <v>Dewana</v>
      </c>
      <c r="D650" s="2" t="str">
        <f>IFERROR(__xludf.DUMMYFUNCTION("""COMPUTED_VALUE"""),"5KM OVERALL M")</f>
        <v>5KM OVERALL M</v>
      </c>
      <c r="E650" s="1">
        <f>IFERROR(__xludf.DUMMYFUNCTION("""COMPUTED_VALUE"""),423.0)</f>
        <v>423</v>
      </c>
      <c r="F650" s="1" t="str">
        <f>IFERROR(__xludf.DUMMYFUNCTION("""COMPUTED_VALUE"""),"Male")</f>
        <v>Male</v>
      </c>
      <c r="G650" s="5">
        <f>IFERROR(__xludf.DUMMYFUNCTION("""COMPUTED_VALUE"""),0.006264277777777778)</f>
        <v>0.006264277778</v>
      </c>
      <c r="H650" s="15">
        <f>IFERROR(__xludf.DUMMYFUNCTION("""COMPUTED_VALUE"""),0.2549440625)</f>
        <v>0.2549440625</v>
      </c>
      <c r="I650" s="15">
        <f>IFERROR(__xludf.DUMMYFUNCTION("""COMPUTED_VALUE"""),45949.2862654471)</f>
        <v>45949.28627</v>
      </c>
      <c r="J650" s="15">
        <f>IFERROR(__xludf.DUMMYFUNCTION("""COMPUTED_VALUE"""),45949.0313213846)</f>
        <v>45949.03132</v>
      </c>
      <c r="K650" s="15">
        <f>IFERROR(__xludf.DUMMYFUNCTION("""COMPUTED_VALUE"""),45949.275596132815)</f>
        <v>45949.2756</v>
      </c>
      <c r="L650" s="4"/>
    </row>
    <row r="651">
      <c r="A651" s="1">
        <f>IFERROR(__xludf.DUMMYFUNCTION("""COMPUTED_VALUE"""),650.0)</f>
        <v>650</v>
      </c>
      <c r="B651" s="1">
        <f>IFERROR(__xludf.DUMMYFUNCTION("""COMPUTED_VALUE"""),6565.0)</f>
        <v>6565</v>
      </c>
      <c r="C651" s="2" t="str">
        <f>IFERROR(__xludf.DUMMYFUNCTION("""COMPUTED_VALUE"""),"Aristanti Yunita SY")</f>
        <v>Aristanti Yunita SY</v>
      </c>
      <c r="D651" s="2" t="str">
        <f>IFERROR(__xludf.DUMMYFUNCTION("""COMPUTED_VALUE"""),"5KM OVERALL F")</f>
        <v>5KM OVERALL F</v>
      </c>
      <c r="E651" s="1">
        <f>IFERROR(__xludf.DUMMYFUNCTION("""COMPUTED_VALUE"""),96.0)</f>
        <v>96</v>
      </c>
      <c r="F651" s="1" t="str">
        <f>IFERROR(__xludf.DUMMYFUNCTION("""COMPUTED_VALUE"""),"Female")</f>
        <v>Female</v>
      </c>
      <c r="G651" s="5">
        <f>IFERROR(__xludf.DUMMYFUNCTION("""COMPUTED_VALUE"""),0.006266349537037037)</f>
        <v>0.006266349537</v>
      </c>
      <c r="H651" s="15">
        <f>IFERROR(__xludf.DUMMYFUNCTION("""COMPUTED_VALUE"""),0.2549440625)</f>
        <v>0.2549440625</v>
      </c>
      <c r="I651" s="15">
        <f>IFERROR(__xludf.DUMMYFUNCTION("""COMPUTED_VALUE"""),45949.286275814964)</f>
        <v>45949.28628</v>
      </c>
      <c r="J651" s="15">
        <f>IFERROR(__xludf.DUMMYFUNCTION("""COMPUTED_VALUE"""),45949.03133175246)</f>
        <v>45949.03133</v>
      </c>
      <c r="K651" s="15">
        <f>IFERROR(__xludf.DUMMYFUNCTION("""COMPUTED_VALUE"""),45949.27317334456)</f>
        <v>45949.27317</v>
      </c>
      <c r="L651" s="4"/>
    </row>
    <row r="652">
      <c r="A652" s="1">
        <f>IFERROR(__xludf.DUMMYFUNCTION("""COMPUTED_VALUE"""),651.0)</f>
        <v>651</v>
      </c>
      <c r="B652" s="1">
        <f>IFERROR(__xludf.DUMMYFUNCTION("""COMPUTED_VALUE"""),5241.0)</f>
        <v>5241</v>
      </c>
      <c r="C652" s="2" t="str">
        <f>IFERROR(__xludf.DUMMYFUNCTION("""COMPUTED_VALUE"""),"FaTuR")</f>
        <v>FaTuR</v>
      </c>
      <c r="D652" s="2" t="str">
        <f>IFERROR(__xludf.DUMMYFUNCTION("""COMPUTED_VALUE"""),"5KM OVERALL M")</f>
        <v>5KM OVERALL M</v>
      </c>
      <c r="E652" s="1">
        <f>IFERROR(__xludf.DUMMYFUNCTION("""COMPUTED_VALUE"""),424.0)</f>
        <v>424</v>
      </c>
      <c r="F652" s="1" t="str">
        <f>IFERROR(__xludf.DUMMYFUNCTION("""COMPUTED_VALUE"""),"Male")</f>
        <v>Male</v>
      </c>
      <c r="G652" s="5">
        <f>IFERROR(__xludf.DUMMYFUNCTION("""COMPUTED_VALUE"""),0.006275395833333333)</f>
        <v>0.006275395833</v>
      </c>
      <c r="H652" s="15">
        <f>IFERROR(__xludf.DUMMYFUNCTION("""COMPUTED_VALUE"""),0.2549440625)</f>
        <v>0.2549440625</v>
      </c>
      <c r="I652" s="15">
        <f>IFERROR(__xludf.DUMMYFUNCTION("""COMPUTED_VALUE"""),45949.286321040876)</f>
        <v>45949.28632</v>
      </c>
      <c r="J652" s="15">
        <f>IFERROR(__xludf.DUMMYFUNCTION("""COMPUTED_VALUE"""),45949.031376978375)</f>
        <v>45949.03138</v>
      </c>
      <c r="K652" s="15">
        <f>IFERROR(__xludf.DUMMYFUNCTION("""COMPUTED_VALUE"""),45949.27356490043)</f>
        <v>45949.27356</v>
      </c>
      <c r="L652" s="4"/>
    </row>
    <row r="653">
      <c r="A653" s="1">
        <f>IFERROR(__xludf.DUMMYFUNCTION("""COMPUTED_VALUE"""),652.0)</f>
        <v>652</v>
      </c>
      <c r="B653" s="1">
        <f>IFERROR(__xludf.DUMMYFUNCTION("""COMPUTED_VALUE"""),5563.0)</f>
        <v>5563</v>
      </c>
      <c r="C653" s="2" t="str">
        <f>IFERROR(__xludf.DUMMYFUNCTION("""COMPUTED_VALUE"""),"FIA DESTI KASIH")</f>
        <v>FIA DESTI KASIH</v>
      </c>
      <c r="D653" s="2" t="str">
        <f>IFERROR(__xludf.DUMMYFUNCTION("""COMPUTED_VALUE"""),"5KM OVERALL F")</f>
        <v>5KM OVERALL F</v>
      </c>
      <c r="E653" s="1">
        <f>IFERROR(__xludf.DUMMYFUNCTION("""COMPUTED_VALUE"""),97.0)</f>
        <v>97</v>
      </c>
      <c r="F653" s="1" t="str">
        <f>IFERROR(__xludf.DUMMYFUNCTION("""COMPUTED_VALUE"""),"Female")</f>
        <v>Female</v>
      </c>
      <c r="G653" s="5">
        <f>IFERROR(__xludf.DUMMYFUNCTION("""COMPUTED_VALUE"""),0.006282324074074074)</f>
        <v>0.006282324074</v>
      </c>
      <c r="H653" s="15">
        <f>IFERROR(__xludf.DUMMYFUNCTION("""COMPUTED_VALUE"""),0.2549440625)</f>
        <v>0.2549440625</v>
      </c>
      <c r="I653" s="15">
        <f>IFERROR(__xludf.DUMMYFUNCTION("""COMPUTED_VALUE"""),45949.28635568086)</f>
        <v>45949.28636</v>
      </c>
      <c r="J653" s="15">
        <f>IFERROR(__xludf.DUMMYFUNCTION("""COMPUTED_VALUE"""),45949.03141161836)</f>
        <v>45949.03141</v>
      </c>
      <c r="K653" s="15">
        <f>IFERROR(__xludf.DUMMYFUNCTION("""COMPUTED_VALUE"""),45949.27221767242)</f>
        <v>45949.27222</v>
      </c>
      <c r="L653" s="4"/>
    </row>
    <row r="654">
      <c r="A654" s="1">
        <f>IFERROR(__xludf.DUMMYFUNCTION("""COMPUTED_VALUE"""),653.0)</f>
        <v>653</v>
      </c>
      <c r="B654" s="1">
        <f>IFERROR(__xludf.DUMMYFUNCTION("""COMPUTED_VALUE"""),5011.0)</f>
        <v>5011</v>
      </c>
      <c r="C654" s="2" t="str">
        <f>IFERROR(__xludf.DUMMYFUNCTION("""COMPUTED_VALUE"""),"mas ahmad")</f>
        <v>mas ahmad</v>
      </c>
      <c r="D654" s="2" t="str">
        <f>IFERROR(__xludf.DUMMYFUNCTION("""COMPUTED_VALUE"""),"5KM OVERALL M")</f>
        <v>5KM OVERALL M</v>
      </c>
      <c r="E654" s="1">
        <f>IFERROR(__xludf.DUMMYFUNCTION("""COMPUTED_VALUE"""),425.0)</f>
        <v>425</v>
      </c>
      <c r="F654" s="1" t="str">
        <f>IFERROR(__xludf.DUMMYFUNCTION("""COMPUTED_VALUE"""),"Male")</f>
        <v>Male</v>
      </c>
      <c r="G654" s="5">
        <f>IFERROR(__xludf.DUMMYFUNCTION("""COMPUTED_VALUE"""),0.006283722222222223)</f>
        <v>0.006283722222</v>
      </c>
      <c r="H654" s="15">
        <f>IFERROR(__xludf.DUMMYFUNCTION("""COMPUTED_VALUE"""),0.2549440625)</f>
        <v>0.2549440625</v>
      </c>
      <c r="I654" s="15">
        <f>IFERROR(__xludf.DUMMYFUNCTION("""COMPUTED_VALUE"""),45949.28636267244)</f>
        <v>45949.28636</v>
      </c>
      <c r="J654" s="15">
        <f>IFERROR(__xludf.DUMMYFUNCTION("""COMPUTED_VALUE"""),45949.03141860994)</f>
        <v>45949.03142</v>
      </c>
      <c r="K654" s="15">
        <f>IFERROR(__xludf.DUMMYFUNCTION("""COMPUTED_VALUE"""),45949.27372465772)</f>
        <v>45949.27372</v>
      </c>
      <c r="L654" s="4"/>
    </row>
    <row r="655">
      <c r="A655" s="1">
        <f>IFERROR(__xludf.DUMMYFUNCTION("""COMPUTED_VALUE"""),654.0)</f>
        <v>654</v>
      </c>
      <c r="B655" s="1">
        <f>IFERROR(__xludf.DUMMYFUNCTION("""COMPUTED_VALUE"""),5705.0)</f>
        <v>5705</v>
      </c>
      <c r="C655" s="2" t="str">
        <f>IFERROR(__xludf.DUMMYFUNCTION("""COMPUTED_VALUE"""),"fauziah.nst91@gmail.com")</f>
        <v>fauziah.nst91@gmail.com</v>
      </c>
      <c r="D655" s="2" t="str">
        <f>IFERROR(__xludf.DUMMYFUNCTION("""COMPUTED_VALUE"""),"5KM OVERALL F")</f>
        <v>5KM OVERALL F</v>
      </c>
      <c r="E655" s="1">
        <f>IFERROR(__xludf.DUMMYFUNCTION("""COMPUTED_VALUE"""),98.0)</f>
        <v>98</v>
      </c>
      <c r="F655" s="1" t="str">
        <f>IFERROR(__xludf.DUMMYFUNCTION("""COMPUTED_VALUE"""),"Female")</f>
        <v>Female</v>
      </c>
      <c r="G655" s="5">
        <f>IFERROR(__xludf.DUMMYFUNCTION("""COMPUTED_VALUE"""),0.006285805555555556)</f>
        <v>0.006285805556</v>
      </c>
      <c r="H655" s="15">
        <f>IFERROR(__xludf.DUMMYFUNCTION("""COMPUTED_VALUE"""),0.2549440625)</f>
        <v>0.2549440625</v>
      </c>
      <c r="I655" s="15">
        <f>IFERROR(__xludf.DUMMYFUNCTION("""COMPUTED_VALUE"""),45949.28637308645)</f>
        <v>45949.28637</v>
      </c>
      <c r="J655" s="15">
        <f>IFERROR(__xludf.DUMMYFUNCTION("""COMPUTED_VALUE"""),45949.03142902395)</f>
        <v>45949.03143</v>
      </c>
      <c r="K655" s="15">
        <f>IFERROR(__xludf.DUMMYFUNCTION("""COMPUTED_VALUE"""),45949.2724781065)</f>
        <v>45949.27248</v>
      </c>
      <c r="L655" s="4"/>
    </row>
    <row r="656">
      <c r="A656" s="1">
        <f>IFERROR(__xludf.DUMMYFUNCTION("""COMPUTED_VALUE"""),655.0)</f>
        <v>655</v>
      </c>
      <c r="B656" s="1">
        <f>IFERROR(__xludf.DUMMYFUNCTION("""COMPUTED_VALUE"""),6486.0)</f>
        <v>6486</v>
      </c>
      <c r="C656" s="2" t="str">
        <f>IFERROR(__xludf.DUMMYFUNCTION("""COMPUTED_VALUE"""),"BKSDA PROVINSI KALSEL")</f>
        <v>BKSDA PROVINSI KALSEL</v>
      </c>
      <c r="D656" s="2" t="str">
        <f>IFERROR(__xludf.DUMMYFUNCTION("""COMPUTED_VALUE"""),"5KM OVERALL M")</f>
        <v>5KM OVERALL M</v>
      </c>
      <c r="E656" s="1">
        <f>IFERROR(__xludf.DUMMYFUNCTION("""COMPUTED_VALUE"""),426.0)</f>
        <v>426</v>
      </c>
      <c r="F656" s="1" t="str">
        <f>IFERROR(__xludf.DUMMYFUNCTION("""COMPUTED_VALUE"""),"Male")</f>
        <v>Male</v>
      </c>
      <c r="G656" s="5">
        <f>IFERROR(__xludf.DUMMYFUNCTION("""COMPUTED_VALUE"""),0.006289277777777777)</f>
        <v>0.006289277778</v>
      </c>
      <c r="H656" s="15">
        <f>IFERROR(__xludf.DUMMYFUNCTION("""COMPUTED_VALUE"""),0.2549440625)</f>
        <v>0.2549440625</v>
      </c>
      <c r="I656" s="15">
        <f>IFERROR(__xludf.DUMMYFUNCTION("""COMPUTED_VALUE"""),45949.28639045321)</f>
        <v>45949.28639</v>
      </c>
      <c r="J656" s="15">
        <f>IFERROR(__xludf.DUMMYFUNCTION("""COMPUTED_VALUE"""),45949.03144639071)</f>
        <v>45949.03145</v>
      </c>
      <c r="K656" s="15">
        <f>IFERROR(__xludf.DUMMYFUNCTION("""COMPUTED_VALUE"""),45949.273832250874)</f>
        <v>45949.27383</v>
      </c>
      <c r="L656" s="4"/>
    </row>
    <row r="657">
      <c r="A657" s="1">
        <f>IFERROR(__xludf.DUMMYFUNCTION("""COMPUTED_VALUE"""),656.0)</f>
        <v>656</v>
      </c>
      <c r="B657" s="1">
        <f>IFERROR(__xludf.DUMMYFUNCTION("""COMPUTED_VALUE"""),6590.0)</f>
        <v>6590</v>
      </c>
      <c r="C657" s="2" t="str">
        <f>IFERROR(__xludf.DUMMYFUNCTION("""COMPUTED_VALUE"""),"Icon")</f>
        <v>Icon</v>
      </c>
      <c r="D657" s="2" t="str">
        <f>IFERROR(__xludf.DUMMYFUNCTION("""COMPUTED_VALUE"""),"5KM OVERALL M")</f>
        <v>5KM OVERALL M</v>
      </c>
      <c r="E657" s="1">
        <f>IFERROR(__xludf.DUMMYFUNCTION("""COMPUTED_VALUE"""),427.0)</f>
        <v>427</v>
      </c>
      <c r="F657" s="1" t="str">
        <f>IFERROR(__xludf.DUMMYFUNCTION("""COMPUTED_VALUE"""),"Male")</f>
        <v>Male</v>
      </c>
      <c r="G657" s="5">
        <f>IFERROR(__xludf.DUMMYFUNCTION("""COMPUTED_VALUE"""),0.006289280092592593)</f>
        <v>0.006289280093</v>
      </c>
      <c r="H657" s="15">
        <f>IFERROR(__xludf.DUMMYFUNCTION("""COMPUTED_VALUE"""),0.2549440625)</f>
        <v>0.2549440625</v>
      </c>
      <c r="I657" s="15">
        <f>IFERROR(__xludf.DUMMYFUNCTION("""COMPUTED_VALUE"""),45949.286390465226)</f>
        <v>45949.28639</v>
      </c>
      <c r="J657" s="15">
        <f>IFERROR(__xludf.DUMMYFUNCTION("""COMPUTED_VALUE"""),45949.031446402725)</f>
        <v>45949.03145</v>
      </c>
      <c r="K657" s="15">
        <f>IFERROR(__xludf.DUMMYFUNCTION("""COMPUTED_VALUE"""),45949.27235655026)</f>
        <v>45949.27236</v>
      </c>
      <c r="L657" s="4"/>
    </row>
    <row r="658">
      <c r="A658" s="1">
        <f>IFERROR(__xludf.DUMMYFUNCTION("""COMPUTED_VALUE"""),657.0)</f>
        <v>657</v>
      </c>
      <c r="B658" s="1">
        <f>IFERROR(__xludf.DUMMYFUNCTION("""COMPUTED_VALUE"""),6386.0)</f>
        <v>6386</v>
      </c>
      <c r="C658" s="2" t="str">
        <f>IFERROR(__xludf.DUMMYFUNCTION("""COMPUTED_VALUE"""),"Putri")</f>
        <v>Putri</v>
      </c>
      <c r="D658" s="2" t="str">
        <f>IFERROR(__xludf.DUMMYFUNCTION("""COMPUTED_VALUE"""),"5KM OVERALL F")</f>
        <v>5KM OVERALL F</v>
      </c>
      <c r="E658" s="1">
        <f>IFERROR(__xludf.DUMMYFUNCTION("""COMPUTED_VALUE"""),99.0)</f>
        <v>99</v>
      </c>
      <c r="F658" s="1" t="str">
        <f>IFERROR(__xludf.DUMMYFUNCTION("""COMPUTED_VALUE"""),"Female")</f>
        <v>Female</v>
      </c>
      <c r="G658" s="5">
        <f>IFERROR(__xludf.DUMMYFUNCTION("""COMPUTED_VALUE"""),0.006289280092592593)</f>
        <v>0.006289280093</v>
      </c>
      <c r="H658" s="15">
        <f>IFERROR(__xludf.DUMMYFUNCTION("""COMPUTED_VALUE"""),0.2549440625)</f>
        <v>0.2549440625</v>
      </c>
      <c r="I658" s="15">
        <f>IFERROR(__xludf.DUMMYFUNCTION("""COMPUTED_VALUE"""),45949.286390465226)</f>
        <v>45949.28639</v>
      </c>
      <c r="J658" s="15">
        <f>IFERROR(__xludf.DUMMYFUNCTION("""COMPUTED_VALUE"""),45949.031446402725)</f>
        <v>45949.03145</v>
      </c>
      <c r="K658" s="15">
        <f>IFERROR(__xludf.DUMMYFUNCTION("""COMPUTED_VALUE"""),45949.27308572481)</f>
        <v>45949.27309</v>
      </c>
      <c r="L658" s="4"/>
    </row>
    <row r="659">
      <c r="A659" s="1">
        <f>IFERROR(__xludf.DUMMYFUNCTION("""COMPUTED_VALUE"""),658.0)</f>
        <v>658</v>
      </c>
      <c r="B659" s="1">
        <f>IFERROR(__xludf.DUMMYFUNCTION("""COMPUTED_VALUE"""),6383.0)</f>
        <v>6383</v>
      </c>
      <c r="C659" s="2" t="str">
        <f>IFERROR(__xludf.DUMMYFUNCTION("""COMPUTED_VALUE"""),"Indra harianto")</f>
        <v>Indra harianto</v>
      </c>
      <c r="D659" s="2" t="str">
        <f>IFERROR(__xludf.DUMMYFUNCTION("""COMPUTED_VALUE"""),"5KM OVERALL M")</f>
        <v>5KM OVERALL M</v>
      </c>
      <c r="E659" s="1">
        <f>IFERROR(__xludf.DUMMYFUNCTION("""COMPUTED_VALUE"""),428.0)</f>
        <v>428</v>
      </c>
      <c r="F659" s="1" t="str">
        <f>IFERROR(__xludf.DUMMYFUNCTION("""COMPUTED_VALUE"""),"Male")</f>
        <v>Male</v>
      </c>
      <c r="G659" s="5">
        <f>IFERROR(__xludf.DUMMYFUNCTION("""COMPUTED_VALUE"""),0.006289282407407407)</f>
        <v>0.006289282407</v>
      </c>
      <c r="H659" s="15">
        <f>IFERROR(__xludf.DUMMYFUNCTION("""COMPUTED_VALUE"""),0.2549440625)</f>
        <v>0.2549440625</v>
      </c>
      <c r="I659" s="15">
        <f>IFERROR(__xludf.DUMMYFUNCTION("""COMPUTED_VALUE"""),45949.286390477086)</f>
        <v>45949.28639</v>
      </c>
      <c r="J659" s="15">
        <f>IFERROR(__xludf.DUMMYFUNCTION("""COMPUTED_VALUE"""),45949.031446414585)</f>
        <v>45949.03145</v>
      </c>
      <c r="K659" s="15">
        <f>IFERROR(__xludf.DUMMYFUNCTION("""COMPUTED_VALUE"""),45949.27310661366)</f>
        <v>45949.27311</v>
      </c>
      <c r="L659" s="4"/>
    </row>
    <row r="660">
      <c r="A660" s="1">
        <f>IFERROR(__xludf.DUMMYFUNCTION("""COMPUTED_VALUE"""),659.0)</f>
        <v>659</v>
      </c>
      <c r="B660" s="1">
        <f>IFERROR(__xludf.DUMMYFUNCTION("""COMPUTED_VALUE"""),5745.0)</f>
        <v>5745</v>
      </c>
      <c r="C660" s="2" t="str">
        <f>IFERROR(__xludf.DUMMYFUNCTION("""COMPUTED_VALUE"""),"M Ripky Adelani")</f>
        <v>M Ripky Adelani</v>
      </c>
      <c r="D660" s="2" t="str">
        <f>IFERROR(__xludf.DUMMYFUNCTION("""COMPUTED_VALUE"""),"5KM OVERALL M")</f>
        <v>5KM OVERALL M</v>
      </c>
      <c r="E660" s="1">
        <f>IFERROR(__xludf.DUMMYFUNCTION("""COMPUTED_VALUE"""),429.0)</f>
        <v>429</v>
      </c>
      <c r="F660" s="1" t="str">
        <f>IFERROR(__xludf.DUMMYFUNCTION("""COMPUTED_VALUE"""),"Male")</f>
        <v>Male</v>
      </c>
      <c r="G660" s="5">
        <f>IFERROR(__xludf.DUMMYFUNCTION("""COMPUTED_VALUE"""),0.006289282407407407)</f>
        <v>0.006289282407</v>
      </c>
      <c r="H660" s="15">
        <f>IFERROR(__xludf.DUMMYFUNCTION("""COMPUTED_VALUE"""),0.2549440625)</f>
        <v>0.2549440625</v>
      </c>
      <c r="I660" s="15">
        <f>IFERROR(__xludf.DUMMYFUNCTION("""COMPUTED_VALUE"""),45949.286390477086)</f>
        <v>45949.28639</v>
      </c>
      <c r="J660" s="15">
        <f>IFERROR(__xludf.DUMMYFUNCTION("""COMPUTED_VALUE"""),45949.031446414585)</f>
        <v>45949.03145</v>
      </c>
      <c r="K660" s="15">
        <f>IFERROR(__xludf.DUMMYFUNCTION("""COMPUTED_VALUE"""),45949.27439474056)</f>
        <v>45949.27439</v>
      </c>
      <c r="L660" s="4"/>
    </row>
    <row r="661">
      <c r="A661" s="1">
        <f>IFERROR(__xludf.DUMMYFUNCTION("""COMPUTED_VALUE"""),660.0)</f>
        <v>660</v>
      </c>
      <c r="B661" s="1">
        <f>IFERROR(__xludf.DUMMYFUNCTION("""COMPUTED_VALUE"""),5638.0)</f>
        <v>5638</v>
      </c>
      <c r="C661" s="2" t="str">
        <f>IFERROR(__xludf.DUMMYFUNCTION("""COMPUTED_VALUE"""),"Cah Mblitar")</f>
        <v>Cah Mblitar</v>
      </c>
      <c r="D661" s="2" t="str">
        <f>IFERROR(__xludf.DUMMYFUNCTION("""COMPUTED_VALUE"""),"5KM OVERALL M")</f>
        <v>5KM OVERALL M</v>
      </c>
      <c r="E661" s="1">
        <f>IFERROR(__xludf.DUMMYFUNCTION("""COMPUTED_VALUE"""),430.0)</f>
        <v>430</v>
      </c>
      <c r="F661" s="1" t="str">
        <f>IFERROR(__xludf.DUMMYFUNCTION("""COMPUTED_VALUE"""),"Male")</f>
        <v>Male</v>
      </c>
      <c r="G661" s="5">
        <f>IFERROR(__xludf.DUMMYFUNCTION("""COMPUTED_VALUE"""),0.0062913657407407415)</f>
        <v>0.006291365741</v>
      </c>
      <c r="H661" s="15">
        <f>IFERROR(__xludf.DUMMYFUNCTION("""COMPUTED_VALUE"""),0.2549440625)</f>
        <v>0.2549440625</v>
      </c>
      <c r="I661" s="15">
        <f>IFERROR(__xludf.DUMMYFUNCTION("""COMPUTED_VALUE"""),45949.28640089481)</f>
        <v>45949.2864</v>
      </c>
      <c r="J661" s="15">
        <f>IFERROR(__xludf.DUMMYFUNCTION("""COMPUTED_VALUE"""),45949.03145683231)</f>
        <v>45949.03146</v>
      </c>
      <c r="K661" s="15">
        <f>IFERROR(__xludf.DUMMYFUNCTION("""COMPUTED_VALUE"""),45949.273568363846)</f>
        <v>45949.27357</v>
      </c>
      <c r="L661" s="4"/>
    </row>
    <row r="662">
      <c r="A662" s="1">
        <f>IFERROR(__xludf.DUMMYFUNCTION("""COMPUTED_VALUE"""),661.0)</f>
        <v>661</v>
      </c>
      <c r="B662" s="1">
        <f>IFERROR(__xludf.DUMMYFUNCTION("""COMPUTED_VALUE"""),5551.0)</f>
        <v>5551</v>
      </c>
      <c r="C662" s="2" t="str">
        <f>IFERROR(__xludf.DUMMYFUNCTION("""COMPUTED_VALUE"""),"Surya")</f>
        <v>Surya</v>
      </c>
      <c r="D662" s="2" t="str">
        <f>IFERROR(__xludf.DUMMYFUNCTION("""COMPUTED_VALUE"""),"5KM OVERALL M")</f>
        <v>5KM OVERALL M</v>
      </c>
      <c r="E662" s="1">
        <f>IFERROR(__xludf.DUMMYFUNCTION("""COMPUTED_VALUE"""),431.0)</f>
        <v>431</v>
      </c>
      <c r="F662" s="1" t="str">
        <f>IFERROR(__xludf.DUMMYFUNCTION("""COMPUTED_VALUE"""),"Male")</f>
        <v>Male</v>
      </c>
      <c r="G662" s="5">
        <f>IFERROR(__xludf.DUMMYFUNCTION("""COMPUTED_VALUE"""),0.006292752314814814)</f>
        <v>0.006292752315</v>
      </c>
      <c r="H662" s="15">
        <f>IFERROR(__xludf.DUMMYFUNCTION("""COMPUTED_VALUE"""),0.2549440625)</f>
        <v>0.2549440625</v>
      </c>
      <c r="I662" s="15">
        <f>IFERROR(__xludf.DUMMYFUNCTION("""COMPUTED_VALUE"""),45949.28640781862)</f>
        <v>45949.28641</v>
      </c>
      <c r="J662" s="15">
        <f>IFERROR(__xludf.DUMMYFUNCTION("""COMPUTED_VALUE"""),45949.03146375612)</f>
        <v>45949.03146</v>
      </c>
      <c r="K662" s="15">
        <f>IFERROR(__xludf.DUMMYFUNCTION("""COMPUTED_VALUE"""),45949.27289820952)</f>
        <v>45949.2729</v>
      </c>
      <c r="L662" s="4"/>
    </row>
    <row r="663">
      <c r="A663" s="1">
        <f>IFERROR(__xludf.DUMMYFUNCTION("""COMPUTED_VALUE"""),662.0)</f>
        <v>662</v>
      </c>
      <c r="B663" s="1">
        <f>IFERROR(__xludf.DUMMYFUNCTION("""COMPUTED_VALUE"""),6381.0)</f>
        <v>6381</v>
      </c>
      <c r="C663" s="2" t="str">
        <f>IFERROR(__xludf.DUMMYFUNCTION("""COMPUTED_VALUE"""),"Nadia Pratiwi")</f>
        <v>Nadia Pratiwi</v>
      </c>
      <c r="D663" s="2" t="str">
        <f>IFERROR(__xludf.DUMMYFUNCTION("""COMPUTED_VALUE"""),"5KM OVERALL F")</f>
        <v>5KM OVERALL F</v>
      </c>
      <c r="E663" s="1">
        <f>IFERROR(__xludf.DUMMYFUNCTION("""COMPUTED_VALUE"""),100.0)</f>
        <v>100</v>
      </c>
      <c r="F663" s="1" t="str">
        <f>IFERROR(__xludf.DUMMYFUNCTION("""COMPUTED_VALUE"""),"Female")</f>
        <v>Female</v>
      </c>
      <c r="G663" s="5">
        <f>IFERROR(__xludf.DUMMYFUNCTION("""COMPUTED_VALUE"""),0.006292754629629629)</f>
        <v>0.00629275463</v>
      </c>
      <c r="H663" s="15">
        <f>IFERROR(__xludf.DUMMYFUNCTION("""COMPUTED_VALUE"""),0.2549440625)</f>
        <v>0.2549440625</v>
      </c>
      <c r="I663" s="15">
        <f>IFERROR(__xludf.DUMMYFUNCTION("""COMPUTED_VALUE"""),45949.28640783098)</f>
        <v>45949.28641</v>
      </c>
      <c r="J663" s="15">
        <f>IFERROR(__xludf.DUMMYFUNCTION("""COMPUTED_VALUE"""),45949.03146376848)</f>
        <v>45949.03146</v>
      </c>
      <c r="K663" s="15">
        <f>IFERROR(__xludf.DUMMYFUNCTION("""COMPUTED_VALUE"""),45949.27183572791)</f>
        <v>45949.27184</v>
      </c>
      <c r="L663" s="4"/>
    </row>
    <row r="664">
      <c r="A664" s="1">
        <f>IFERROR(__xludf.DUMMYFUNCTION("""COMPUTED_VALUE"""),663.0)</f>
        <v>663</v>
      </c>
      <c r="B664" s="7" t="str">
        <f>IFERROR(__xludf.DUMMYFUNCTION("""COMPUTED_VALUE"""),"7143")</f>
        <v>7143</v>
      </c>
      <c r="C664" s="8" t="str">
        <f>IFERROR(__xludf.DUMMYFUNCTION("""COMPUTED_VALUE"""),"NUGIE")</f>
        <v>NUGIE</v>
      </c>
      <c r="D664" s="2" t="str">
        <f>IFERROR(__xludf.DUMMYFUNCTION("""COMPUTED_VALUE"""),"5KM MASTER M")</f>
        <v>5KM MASTER M</v>
      </c>
      <c r="E664" s="1">
        <f>IFERROR(__xludf.DUMMYFUNCTION("""COMPUTED_VALUE"""),59.0)</f>
        <v>59</v>
      </c>
      <c r="F664" s="1" t="str">
        <f>IFERROR(__xludf.DUMMYFUNCTION("""COMPUTED_VALUE"""),"Male")</f>
        <v>Male</v>
      </c>
      <c r="G664" s="5">
        <f>IFERROR(__xludf.DUMMYFUNCTION("""COMPUTED_VALUE"""),0.006293444444444444)</f>
        <v>0.006293444444</v>
      </c>
      <c r="H664" s="15">
        <f>IFERROR(__xludf.DUMMYFUNCTION("""COMPUTED_VALUE"""),0.2549440625)</f>
        <v>0.2549440625</v>
      </c>
      <c r="I664" s="15">
        <f>IFERROR(__xludf.DUMMYFUNCTION("""COMPUTED_VALUE"""),45949.28641128559)</f>
        <v>45949.28641</v>
      </c>
      <c r="J664" s="15">
        <f>IFERROR(__xludf.DUMMYFUNCTION("""COMPUTED_VALUE"""),45949.03146722309)</f>
        <v>45949.03147</v>
      </c>
      <c r="K664" s="15">
        <f>IFERROR(__xludf.DUMMYFUNCTION("""COMPUTED_VALUE"""),45949.27288092664)</f>
        <v>45949.27288</v>
      </c>
      <c r="L664" s="4"/>
    </row>
    <row r="665">
      <c r="A665" s="1">
        <f>IFERROR(__xludf.DUMMYFUNCTION("""COMPUTED_VALUE"""),664.0)</f>
        <v>664</v>
      </c>
      <c r="B665" s="1">
        <f>IFERROR(__xludf.DUMMYFUNCTION("""COMPUTED_VALUE"""),7106.0)</f>
        <v>7106</v>
      </c>
      <c r="C665" s="2" t="str">
        <f>IFERROR(__xludf.DUMMYFUNCTION("""COMPUTED_VALUE"""),"SOFYAN")</f>
        <v>SOFYAN</v>
      </c>
      <c r="D665" s="2" t="str">
        <f>IFERROR(__xludf.DUMMYFUNCTION("""COMPUTED_VALUE"""),"5KM MASTER M")</f>
        <v>5KM MASTER M</v>
      </c>
      <c r="E665" s="1">
        <f>IFERROR(__xludf.DUMMYFUNCTION("""COMPUTED_VALUE"""),60.0)</f>
        <v>60</v>
      </c>
      <c r="F665" s="1" t="str">
        <f>IFERROR(__xludf.DUMMYFUNCTION("""COMPUTED_VALUE"""),"Male")</f>
        <v>Male</v>
      </c>
      <c r="G665" s="5">
        <f>IFERROR(__xludf.DUMMYFUNCTION("""COMPUTED_VALUE"""),0.0063024722222222215)</f>
        <v>0.006302472222</v>
      </c>
      <c r="H665" s="15">
        <f>IFERROR(__xludf.DUMMYFUNCTION("""COMPUTED_VALUE"""),0.2549440625)</f>
        <v>0.2549440625</v>
      </c>
      <c r="I665" s="15">
        <f>IFERROR(__xludf.DUMMYFUNCTION("""COMPUTED_VALUE"""),45949.28645642393)</f>
        <v>45949.28646</v>
      </c>
      <c r="J665" s="15">
        <f>IFERROR(__xludf.DUMMYFUNCTION("""COMPUTED_VALUE"""),45949.03151236143)</f>
        <v>45949.03151</v>
      </c>
      <c r="K665" s="15">
        <f>IFERROR(__xludf.DUMMYFUNCTION("""COMPUTED_VALUE"""),45949.27214474134)</f>
        <v>45949.27214</v>
      </c>
      <c r="L665" s="4"/>
    </row>
    <row r="666">
      <c r="A666" s="1">
        <f>IFERROR(__xludf.DUMMYFUNCTION("""COMPUTED_VALUE"""),665.0)</f>
        <v>665</v>
      </c>
      <c r="B666" s="1">
        <f>IFERROR(__xludf.DUMMYFUNCTION("""COMPUTED_VALUE"""),6000.0)</f>
        <v>6000</v>
      </c>
      <c r="C666" s="2" t="str">
        <f>IFERROR(__xludf.DUMMYFUNCTION("""COMPUTED_VALUE"""),"Dinda Vika")</f>
        <v>Dinda Vika</v>
      </c>
      <c r="D666" s="2" t="str">
        <f>IFERROR(__xludf.DUMMYFUNCTION("""COMPUTED_VALUE"""),"5KM OVERALL F")</f>
        <v>5KM OVERALL F</v>
      </c>
      <c r="E666" s="1">
        <f>IFERROR(__xludf.DUMMYFUNCTION("""COMPUTED_VALUE"""),101.0)</f>
        <v>101</v>
      </c>
      <c r="F666" s="1" t="str">
        <f>IFERROR(__xludf.DUMMYFUNCTION("""COMPUTED_VALUE"""),"Female")</f>
        <v>Female</v>
      </c>
      <c r="G666" s="5">
        <f>IFERROR(__xludf.DUMMYFUNCTION("""COMPUTED_VALUE"""),0.0063038634259259246)</f>
        <v>0.006303863426</v>
      </c>
      <c r="H666" s="15">
        <f>IFERROR(__xludf.DUMMYFUNCTION("""COMPUTED_VALUE"""),0.2549440625)</f>
        <v>0.2549440625</v>
      </c>
      <c r="I666" s="15">
        <f>IFERROR(__xludf.DUMMYFUNCTION("""COMPUTED_VALUE"""),45949.28646337852)</f>
        <v>45949.28646</v>
      </c>
      <c r="J666" s="15">
        <f>IFERROR(__xludf.DUMMYFUNCTION("""COMPUTED_VALUE"""),45949.03151931602)</f>
        <v>45949.03152</v>
      </c>
      <c r="K666" s="15">
        <f>IFERROR(__xludf.DUMMYFUNCTION("""COMPUTED_VALUE"""),45949.27323155729)</f>
        <v>45949.27323</v>
      </c>
      <c r="L666" s="4"/>
    </row>
    <row r="667">
      <c r="A667" s="1">
        <f>IFERROR(__xludf.DUMMYFUNCTION("""COMPUTED_VALUE"""),666.0)</f>
        <v>666</v>
      </c>
      <c r="B667" s="7" t="str">
        <f>IFERROR(__xludf.DUMMYFUNCTION("""COMPUTED_VALUE"""),"9028")</f>
        <v>9028</v>
      </c>
      <c r="C667" s="8" t="str">
        <f>IFERROR(__xludf.DUMMYFUNCTION("""COMPUTED_VALUE"""),"Dimas")</f>
        <v>Dimas</v>
      </c>
      <c r="D667" s="2" t="str">
        <f>IFERROR(__xludf.DUMMYFUNCTION("""COMPUTED_VALUE"""),"5KM STUDENT M")</f>
        <v>5KM STUDENT M</v>
      </c>
      <c r="E667" s="1">
        <f>IFERROR(__xludf.DUMMYFUNCTION("""COMPUTED_VALUE"""),48.0)</f>
        <v>48</v>
      </c>
      <c r="F667" s="1" t="str">
        <f>IFERROR(__xludf.DUMMYFUNCTION("""COMPUTED_VALUE"""),"Male")</f>
        <v>Male</v>
      </c>
      <c r="G667" s="5">
        <f>IFERROR(__xludf.DUMMYFUNCTION("""COMPUTED_VALUE"""),0.0063059375)</f>
        <v>0.0063059375</v>
      </c>
      <c r="H667" s="15">
        <f>IFERROR(__xludf.DUMMYFUNCTION("""COMPUTED_VALUE"""),0.2549440625)</f>
        <v>0.2549440625</v>
      </c>
      <c r="I667" s="15">
        <f>IFERROR(__xludf.DUMMYFUNCTION("""COMPUTED_VALUE"""),45949.2864737452)</f>
        <v>45949.28647</v>
      </c>
      <c r="J667" s="15">
        <f>IFERROR(__xludf.DUMMYFUNCTION("""COMPUTED_VALUE"""),45949.031529682696)</f>
        <v>45949.03153</v>
      </c>
      <c r="K667" s="15">
        <f>IFERROR(__xludf.DUMMYFUNCTION("""COMPUTED_VALUE"""),45949.27201281218)</f>
        <v>45949.27201</v>
      </c>
      <c r="L667" s="4"/>
    </row>
    <row r="668">
      <c r="A668" s="1">
        <f>IFERROR(__xludf.DUMMYFUNCTION("""COMPUTED_VALUE"""),667.0)</f>
        <v>667</v>
      </c>
      <c r="B668" s="1">
        <f>IFERROR(__xludf.DUMMYFUNCTION("""COMPUTED_VALUE"""),5550.0)</f>
        <v>5550</v>
      </c>
      <c r="C668" s="2" t="str">
        <f>IFERROR(__xludf.DUMMYFUNCTION("""COMPUTED_VALUE"""),"Iwan YS")</f>
        <v>Iwan YS</v>
      </c>
      <c r="D668" s="2" t="str">
        <f>IFERROR(__xludf.DUMMYFUNCTION("""COMPUTED_VALUE"""),"5KM OVERALL M")</f>
        <v>5KM OVERALL M</v>
      </c>
      <c r="E668" s="1">
        <f>IFERROR(__xludf.DUMMYFUNCTION("""COMPUTED_VALUE"""),432.0)</f>
        <v>432</v>
      </c>
      <c r="F668" s="1" t="str">
        <f>IFERROR(__xludf.DUMMYFUNCTION("""COMPUTED_VALUE"""),"Male")</f>
        <v>Male</v>
      </c>
      <c r="G668" s="5">
        <f>IFERROR(__xludf.DUMMYFUNCTION("""COMPUTED_VALUE"""),0.006309416666666667)</f>
        <v>0.006309416667</v>
      </c>
      <c r="H668" s="15">
        <f>IFERROR(__xludf.DUMMYFUNCTION("""COMPUTED_VALUE"""),0.2549440625)</f>
        <v>0.2549440625</v>
      </c>
      <c r="I668" s="15">
        <f>IFERROR(__xludf.DUMMYFUNCTION("""COMPUTED_VALUE"""),45949.28649114596)</f>
        <v>45949.28649</v>
      </c>
      <c r="J668" s="15">
        <f>IFERROR(__xludf.DUMMYFUNCTION("""COMPUTED_VALUE"""),45949.03154708346)</f>
        <v>45949.03155</v>
      </c>
      <c r="K668" s="15">
        <f>IFERROR(__xludf.DUMMYFUNCTION("""COMPUTED_VALUE"""),45949.274457278305)</f>
        <v>45949.27446</v>
      </c>
      <c r="L668" s="4"/>
    </row>
    <row r="669">
      <c r="A669" s="1">
        <f>IFERROR(__xludf.DUMMYFUNCTION("""COMPUTED_VALUE"""),668.0)</f>
        <v>668</v>
      </c>
      <c r="B669" s="1">
        <f>IFERROR(__xludf.DUMMYFUNCTION("""COMPUTED_VALUE"""),5394.0)</f>
        <v>5394</v>
      </c>
      <c r="C669" s="2" t="str">
        <f>IFERROR(__xludf.DUMMYFUNCTION("""COMPUTED_VALUE"""),"Dualapannn")</f>
        <v>Dualapannn</v>
      </c>
      <c r="D669" s="2" t="str">
        <f>IFERROR(__xludf.DUMMYFUNCTION("""COMPUTED_VALUE"""),"5KM OVERALL M")</f>
        <v>5KM OVERALL M</v>
      </c>
      <c r="E669" s="1">
        <f>IFERROR(__xludf.DUMMYFUNCTION("""COMPUTED_VALUE"""),433.0)</f>
        <v>433</v>
      </c>
      <c r="F669" s="1" t="str">
        <f>IFERROR(__xludf.DUMMYFUNCTION("""COMPUTED_VALUE"""),"Male")</f>
        <v>Male</v>
      </c>
      <c r="G669" s="5">
        <f>IFERROR(__xludf.DUMMYFUNCTION("""COMPUTED_VALUE"""),0.0063115)</f>
        <v>0.0063115</v>
      </c>
      <c r="H669" s="15">
        <f>IFERROR(__xludf.DUMMYFUNCTION("""COMPUTED_VALUE"""),0.2549440625)</f>
        <v>0.2549440625</v>
      </c>
      <c r="I669" s="15">
        <f>IFERROR(__xludf.DUMMYFUNCTION("""COMPUTED_VALUE"""),45949.28650156635)</f>
        <v>45949.2865</v>
      </c>
      <c r="J669" s="15">
        <f>IFERROR(__xludf.DUMMYFUNCTION("""COMPUTED_VALUE"""),45949.03155750385)</f>
        <v>45949.03156</v>
      </c>
      <c r="K669" s="15">
        <f>IFERROR(__xludf.DUMMYFUNCTION("""COMPUTED_VALUE"""),45949.27290515453)</f>
        <v>45949.27291</v>
      </c>
      <c r="L669" s="4"/>
    </row>
    <row r="670">
      <c r="A670" s="1">
        <f>IFERROR(__xludf.DUMMYFUNCTION("""COMPUTED_VALUE"""),669.0)</f>
        <v>669</v>
      </c>
      <c r="B670" s="1">
        <f>IFERROR(__xludf.DUMMYFUNCTION("""COMPUTED_VALUE"""),5334.0)</f>
        <v>5334</v>
      </c>
      <c r="C670" s="2" t="str">
        <f>IFERROR(__xludf.DUMMYFUNCTION("""COMPUTED_VALUE"""),"Ahmad Solikin")</f>
        <v>Ahmad Solikin</v>
      </c>
      <c r="D670" s="2" t="str">
        <f>IFERROR(__xludf.DUMMYFUNCTION("""COMPUTED_VALUE"""),"5KM OVERALL M")</f>
        <v>5KM OVERALL M</v>
      </c>
      <c r="E670" s="1">
        <f>IFERROR(__xludf.DUMMYFUNCTION("""COMPUTED_VALUE"""),434.0)</f>
        <v>434</v>
      </c>
      <c r="F670" s="1" t="str">
        <f>IFERROR(__xludf.DUMMYFUNCTION("""COMPUTED_VALUE"""),"Male")</f>
        <v>Male</v>
      </c>
      <c r="G670" s="5">
        <f>IFERROR(__xludf.DUMMYFUNCTION("""COMPUTED_VALUE"""),0.006312888888888889)</f>
        <v>0.006312888889</v>
      </c>
      <c r="H670" s="15">
        <f>IFERROR(__xludf.DUMMYFUNCTION("""COMPUTED_VALUE"""),0.2549440625)</f>
        <v>0.2549440625</v>
      </c>
      <c r="I670" s="15">
        <f>IFERROR(__xludf.DUMMYFUNCTION("""COMPUTED_VALUE"""),45949.28650851012)</f>
        <v>45949.28651</v>
      </c>
      <c r="J670" s="15">
        <f>IFERROR(__xludf.DUMMYFUNCTION("""COMPUTED_VALUE"""),45949.03156444762)</f>
        <v>45949.03156</v>
      </c>
      <c r="K670" s="15">
        <f>IFERROR(__xludf.DUMMYFUNCTION("""COMPUTED_VALUE"""),45949.274908681815)</f>
        <v>45949.27491</v>
      </c>
      <c r="L670" s="4"/>
    </row>
    <row r="671">
      <c r="A671" s="1">
        <f>IFERROR(__xludf.DUMMYFUNCTION("""COMPUTED_VALUE"""),670.0)</f>
        <v>670</v>
      </c>
      <c r="B671" s="1">
        <f>IFERROR(__xludf.DUMMYFUNCTION("""COMPUTED_VALUE"""),5126.0)</f>
        <v>5126</v>
      </c>
      <c r="C671" s="2" t="str">
        <f>IFERROR(__xludf.DUMMYFUNCTION("""COMPUTED_VALUE"""),"Saly")</f>
        <v>Saly</v>
      </c>
      <c r="D671" s="2" t="str">
        <f>IFERROR(__xludf.DUMMYFUNCTION("""COMPUTED_VALUE"""),"5KM OVERALL F")</f>
        <v>5KM OVERALL F</v>
      </c>
      <c r="E671" s="1">
        <f>IFERROR(__xludf.DUMMYFUNCTION("""COMPUTED_VALUE"""),102.0)</f>
        <v>102</v>
      </c>
      <c r="F671" s="1" t="str">
        <f>IFERROR(__xludf.DUMMYFUNCTION("""COMPUTED_VALUE"""),"Female")</f>
        <v>Female</v>
      </c>
      <c r="G671" s="5">
        <f>IFERROR(__xludf.DUMMYFUNCTION("""COMPUTED_VALUE"""),0.006313583333333333)</f>
        <v>0.006313583333</v>
      </c>
      <c r="H671" s="15">
        <f>IFERROR(__xludf.DUMMYFUNCTION("""COMPUTED_VALUE"""),0.2549440625)</f>
        <v>0.2549440625</v>
      </c>
      <c r="I671" s="15">
        <f>IFERROR(__xludf.DUMMYFUNCTION("""COMPUTED_VALUE"""),45949.28651197488)</f>
        <v>45949.28651</v>
      </c>
      <c r="J671" s="15">
        <f>IFERROR(__xludf.DUMMYFUNCTION("""COMPUTED_VALUE"""),45949.03156791238)</f>
        <v>45949.03157</v>
      </c>
      <c r="K671" s="15">
        <f>IFERROR(__xludf.DUMMYFUNCTION("""COMPUTED_VALUE"""),45949.27226285544)</f>
        <v>45949.27226</v>
      </c>
      <c r="L671" s="4"/>
    </row>
    <row r="672">
      <c r="A672" s="1">
        <f>IFERROR(__xludf.DUMMYFUNCTION("""COMPUTED_VALUE"""),671.0)</f>
        <v>671</v>
      </c>
      <c r="B672" s="1">
        <f>IFERROR(__xludf.DUMMYFUNCTION("""COMPUTED_VALUE"""),5356.0)</f>
        <v>5356</v>
      </c>
      <c r="C672" s="2" t="str">
        <f>IFERROR(__xludf.DUMMYFUNCTION("""COMPUTED_VALUE"""),"Alfarisi")</f>
        <v>Alfarisi</v>
      </c>
      <c r="D672" s="2" t="str">
        <f>IFERROR(__xludf.DUMMYFUNCTION("""COMPUTED_VALUE"""),"5KM OVERALL M")</f>
        <v>5KM OVERALL M</v>
      </c>
      <c r="E672" s="1">
        <f>IFERROR(__xludf.DUMMYFUNCTION("""COMPUTED_VALUE"""),435.0)</f>
        <v>435</v>
      </c>
      <c r="F672" s="1" t="str">
        <f>IFERROR(__xludf.DUMMYFUNCTION("""COMPUTED_VALUE"""),"Male")</f>
        <v>Male</v>
      </c>
      <c r="G672" s="5">
        <f>IFERROR(__xludf.DUMMYFUNCTION("""COMPUTED_VALUE"""),0.0063149745370370365)</f>
        <v>0.006314974537</v>
      </c>
      <c r="H672" s="15">
        <f>IFERROR(__xludf.DUMMYFUNCTION("""COMPUTED_VALUE"""),0.2549440625)</f>
        <v>0.2549440625</v>
      </c>
      <c r="I672" s="15">
        <f>IFERROR(__xludf.DUMMYFUNCTION("""COMPUTED_VALUE"""),45949.28651893553)</f>
        <v>45949.28652</v>
      </c>
      <c r="J672" s="15">
        <f>IFERROR(__xludf.DUMMYFUNCTION("""COMPUTED_VALUE"""),45949.03157487303)</f>
        <v>45949.03157</v>
      </c>
      <c r="K672" s="15">
        <f>IFERROR(__xludf.DUMMYFUNCTION("""COMPUTED_VALUE"""),45949.27564821674)</f>
        <v>45949.27565</v>
      </c>
      <c r="L672" s="4"/>
    </row>
    <row r="673">
      <c r="A673" s="1">
        <f>IFERROR(__xludf.DUMMYFUNCTION("""COMPUTED_VALUE"""),672.0)</f>
        <v>672</v>
      </c>
      <c r="B673" s="1">
        <f>IFERROR(__xludf.DUMMYFUNCTION("""COMPUTED_VALUE"""),5713.0)</f>
        <v>5713</v>
      </c>
      <c r="C673" s="2" t="str">
        <f>IFERROR(__xludf.DUMMYFUNCTION("""COMPUTED_VALUE"""),"Dimas Hira")</f>
        <v>Dimas Hira</v>
      </c>
      <c r="D673" s="2" t="str">
        <f>IFERROR(__xludf.DUMMYFUNCTION("""COMPUTED_VALUE"""),"5KM OVERALL M")</f>
        <v>5KM OVERALL M</v>
      </c>
      <c r="E673" s="1">
        <f>IFERROR(__xludf.DUMMYFUNCTION("""COMPUTED_VALUE"""),436.0)</f>
        <v>436</v>
      </c>
      <c r="F673" s="1" t="str">
        <f>IFERROR(__xludf.DUMMYFUNCTION("""COMPUTED_VALUE"""),"Male")</f>
        <v>Male</v>
      </c>
      <c r="G673" s="5">
        <f>IFERROR(__xludf.DUMMYFUNCTION("""COMPUTED_VALUE"""),0.006316363425925927)</f>
        <v>0.006316363426</v>
      </c>
      <c r="H673" s="15">
        <f>IFERROR(__xludf.DUMMYFUNCTION("""COMPUTED_VALUE"""),0.2549440625)</f>
        <v>0.2549440625</v>
      </c>
      <c r="I673" s="15">
        <f>IFERROR(__xludf.DUMMYFUNCTION("""COMPUTED_VALUE"""),45949.28652587963)</f>
        <v>45949.28653</v>
      </c>
      <c r="J673" s="15">
        <f>IFERROR(__xludf.DUMMYFUNCTION("""COMPUTED_VALUE"""),45949.03158181713)</f>
        <v>45949.03158</v>
      </c>
      <c r="K673" s="15">
        <f>IFERROR(__xludf.DUMMYFUNCTION("""COMPUTED_VALUE"""),45949.27222114398)</f>
        <v>45949.27222</v>
      </c>
      <c r="L673" s="4"/>
    </row>
    <row r="674">
      <c r="A674" s="1">
        <f>IFERROR(__xludf.DUMMYFUNCTION("""COMPUTED_VALUE"""),673.0)</f>
        <v>673</v>
      </c>
      <c r="B674" s="1">
        <f>IFERROR(__xludf.DUMMYFUNCTION("""COMPUTED_VALUE"""),5293.0)</f>
        <v>5293</v>
      </c>
      <c r="C674" s="2" t="str">
        <f>IFERROR(__xludf.DUMMYFUNCTION("""COMPUTED_VALUE"""),"Fatimah")</f>
        <v>Fatimah</v>
      </c>
      <c r="D674" s="2" t="str">
        <f>IFERROR(__xludf.DUMMYFUNCTION("""COMPUTED_VALUE"""),"5KM OVERALL F")</f>
        <v>5KM OVERALL F</v>
      </c>
      <c r="E674" s="1">
        <f>IFERROR(__xludf.DUMMYFUNCTION("""COMPUTED_VALUE"""),103.0)</f>
        <v>103</v>
      </c>
      <c r="F674" s="1" t="str">
        <f>IFERROR(__xludf.DUMMYFUNCTION("""COMPUTED_VALUE"""),"Female")</f>
        <v>Female</v>
      </c>
      <c r="G674" s="5">
        <f>IFERROR(__xludf.DUMMYFUNCTION("""COMPUTED_VALUE"""),0.006317048611111112)</f>
        <v>0.006317048611</v>
      </c>
      <c r="H674" s="15">
        <f>IFERROR(__xludf.DUMMYFUNCTION("""COMPUTED_VALUE"""),0.2549440625)</f>
        <v>0.2549440625</v>
      </c>
      <c r="I674" s="15">
        <f>IFERROR(__xludf.DUMMYFUNCTION("""COMPUTED_VALUE"""),45949.28652930079)</f>
        <v>45949.28653</v>
      </c>
      <c r="J674" s="15">
        <f>IFERROR(__xludf.DUMMYFUNCTION("""COMPUTED_VALUE"""),45949.03158523829)</f>
        <v>45949.03159</v>
      </c>
      <c r="K674" s="15">
        <f>IFERROR(__xludf.DUMMYFUNCTION("""COMPUTED_VALUE"""),45949.27246072919)</f>
        <v>45949.27246</v>
      </c>
      <c r="L674" s="4"/>
    </row>
    <row r="675">
      <c r="A675" s="1">
        <f>IFERROR(__xludf.DUMMYFUNCTION("""COMPUTED_VALUE"""),674.0)</f>
        <v>674</v>
      </c>
      <c r="B675" s="1">
        <f>IFERROR(__xludf.DUMMYFUNCTION("""COMPUTED_VALUE"""),6569.0)</f>
        <v>6569</v>
      </c>
      <c r="C675" s="2" t="str">
        <f>IFERROR(__xludf.DUMMYFUNCTION("""COMPUTED_VALUE"""),"Marini Indah Sari")</f>
        <v>Marini Indah Sari</v>
      </c>
      <c r="D675" s="2" t="str">
        <f>IFERROR(__xludf.DUMMYFUNCTION("""COMPUTED_VALUE"""),"5KM OVERALL F")</f>
        <v>5KM OVERALL F</v>
      </c>
      <c r="E675" s="1">
        <f>IFERROR(__xludf.DUMMYFUNCTION("""COMPUTED_VALUE"""),104.0)</f>
        <v>104</v>
      </c>
      <c r="F675" s="1" t="str">
        <f>IFERROR(__xludf.DUMMYFUNCTION("""COMPUTED_VALUE"""),"Female")</f>
        <v>Female</v>
      </c>
      <c r="G675" s="5">
        <f>IFERROR(__xludf.DUMMYFUNCTION("""COMPUTED_VALUE"""),0.006323999999999999)</f>
        <v>0.006324</v>
      </c>
      <c r="H675" s="15">
        <f>IFERROR(__xludf.DUMMYFUNCTION("""COMPUTED_VALUE"""),0.2549440625)</f>
        <v>0.2549440625</v>
      </c>
      <c r="I675" s="15">
        <f>IFERROR(__xludf.DUMMYFUNCTION("""COMPUTED_VALUE"""),45949.2865640597)</f>
        <v>45949.28656</v>
      </c>
      <c r="J675" s="15">
        <f>IFERROR(__xludf.DUMMYFUNCTION("""COMPUTED_VALUE"""),45949.0316199972)</f>
        <v>45949.03162</v>
      </c>
      <c r="K675" s="15">
        <f>IFERROR(__xludf.DUMMYFUNCTION("""COMPUTED_VALUE"""),45949.27387043557)</f>
        <v>45949.27387</v>
      </c>
      <c r="L675" s="4"/>
    </row>
    <row r="676">
      <c r="A676" s="1">
        <f>IFERROR(__xludf.DUMMYFUNCTION("""COMPUTED_VALUE"""),675.0)</f>
        <v>675</v>
      </c>
      <c r="B676" s="1">
        <f>IFERROR(__xludf.DUMMYFUNCTION("""COMPUTED_VALUE"""),5735.0)</f>
        <v>5735</v>
      </c>
      <c r="C676" s="2" t="str">
        <f>IFERROR(__xludf.DUMMYFUNCTION("""COMPUTED_VALUE"""),"ARUM")</f>
        <v>ARUM</v>
      </c>
      <c r="D676" s="2" t="str">
        <f>IFERROR(__xludf.DUMMYFUNCTION("""COMPUTED_VALUE"""),"5KM OVERALL F")</f>
        <v>5KM OVERALL F</v>
      </c>
      <c r="E676" s="1">
        <f>IFERROR(__xludf.DUMMYFUNCTION("""COMPUTED_VALUE"""),105.0)</f>
        <v>105</v>
      </c>
      <c r="F676" s="1" t="str">
        <f>IFERROR(__xludf.DUMMYFUNCTION("""COMPUTED_VALUE"""),"Female")</f>
        <v>Female</v>
      </c>
      <c r="G676" s="5">
        <f>IFERROR(__xludf.DUMMYFUNCTION("""COMPUTED_VALUE"""),0.0063281689814814815)</f>
        <v>0.006328168981</v>
      </c>
      <c r="H676" s="15">
        <f>IFERROR(__xludf.DUMMYFUNCTION("""COMPUTED_VALUE"""),0.2549440625)</f>
        <v>0.2549440625</v>
      </c>
      <c r="I676" s="15">
        <f>IFERROR(__xludf.DUMMYFUNCTION("""COMPUTED_VALUE"""),45949.28658490815)</f>
        <v>45949.28658</v>
      </c>
      <c r="J676" s="15">
        <f>IFERROR(__xludf.DUMMYFUNCTION("""COMPUTED_VALUE"""),45949.03164084565)</f>
        <v>45949.03164</v>
      </c>
      <c r="K676" s="15">
        <f>IFERROR(__xludf.DUMMYFUNCTION("""COMPUTED_VALUE"""),45949.27184613944)</f>
        <v>45949.27185</v>
      </c>
      <c r="L676" s="4"/>
    </row>
    <row r="677">
      <c r="A677" s="1">
        <f>IFERROR(__xludf.DUMMYFUNCTION("""COMPUTED_VALUE"""),676.0)</f>
        <v>676</v>
      </c>
      <c r="B677" s="1">
        <f>IFERROR(__xludf.DUMMYFUNCTION("""COMPUTED_VALUE"""),6041.0)</f>
        <v>6041</v>
      </c>
      <c r="C677" s="2" t="str">
        <f>IFERROR(__xludf.DUMMYFUNCTION("""COMPUTED_VALUE"""),"Eta SS")</f>
        <v>Eta SS</v>
      </c>
      <c r="D677" s="2" t="str">
        <f>IFERROR(__xludf.DUMMYFUNCTION("""COMPUTED_VALUE"""),"5KM OVERALL M")</f>
        <v>5KM OVERALL M</v>
      </c>
      <c r="E677" s="1">
        <f>IFERROR(__xludf.DUMMYFUNCTION("""COMPUTED_VALUE"""),437.0)</f>
        <v>437</v>
      </c>
      <c r="F677" s="1" t="str">
        <f>IFERROR(__xludf.DUMMYFUNCTION("""COMPUTED_VALUE"""),"Male")</f>
        <v>Male</v>
      </c>
      <c r="G677" s="5">
        <f>IFERROR(__xludf.DUMMYFUNCTION("""COMPUTED_VALUE"""),0.006331638888888889)</f>
        <v>0.006331638889</v>
      </c>
      <c r="H677" s="15">
        <f>IFERROR(__xludf.DUMMYFUNCTION("""COMPUTED_VALUE"""),0.2549440625)</f>
        <v>0.2549440625</v>
      </c>
      <c r="I677" s="15">
        <f>IFERROR(__xludf.DUMMYFUNCTION("""COMPUTED_VALUE"""),45949.28660225194)</f>
        <v>45949.2866</v>
      </c>
      <c r="J677" s="15">
        <f>IFERROR(__xludf.DUMMYFUNCTION("""COMPUTED_VALUE"""),45949.03165818944)</f>
        <v>45949.03166</v>
      </c>
      <c r="K677" s="15">
        <f>IFERROR(__xludf.DUMMYFUNCTION("""COMPUTED_VALUE"""),45949.27343311348)</f>
        <v>45949.27343</v>
      </c>
      <c r="L677" s="4"/>
    </row>
    <row r="678">
      <c r="A678" s="1">
        <f>IFERROR(__xludf.DUMMYFUNCTION("""COMPUTED_VALUE"""),677.0)</f>
        <v>677</v>
      </c>
      <c r="B678" s="1">
        <f>IFERROR(__xludf.DUMMYFUNCTION("""COMPUTED_VALUE"""),5670.0)</f>
        <v>5670</v>
      </c>
      <c r="C678" s="2" t="str">
        <f>IFERROR(__xludf.DUMMYFUNCTION("""COMPUTED_VALUE"""),"Om Wawan")</f>
        <v>Om Wawan</v>
      </c>
      <c r="D678" s="2" t="str">
        <f>IFERROR(__xludf.DUMMYFUNCTION("""COMPUTED_VALUE"""),"5KM OVERALL M")</f>
        <v>5KM OVERALL M</v>
      </c>
      <c r="E678" s="1">
        <f>IFERROR(__xludf.DUMMYFUNCTION("""COMPUTED_VALUE"""),438.0)</f>
        <v>438</v>
      </c>
      <c r="F678" s="1" t="str">
        <f>IFERROR(__xludf.DUMMYFUNCTION("""COMPUTED_VALUE"""),"Male")</f>
        <v>Male</v>
      </c>
      <c r="G678" s="5">
        <f>IFERROR(__xludf.DUMMYFUNCTION("""COMPUTED_VALUE"""),0.006335111111111111)</f>
        <v>0.006335111111</v>
      </c>
      <c r="H678" s="15">
        <f>IFERROR(__xludf.DUMMYFUNCTION("""COMPUTED_VALUE"""),0.2549440625)</f>
        <v>0.2549440625</v>
      </c>
      <c r="I678" s="15">
        <f>IFERROR(__xludf.DUMMYFUNCTION("""COMPUTED_VALUE"""),45949.286619617786)</f>
        <v>45949.28662</v>
      </c>
      <c r="J678" s="15">
        <f>IFERROR(__xludf.DUMMYFUNCTION("""COMPUTED_VALUE"""),45949.031675555285)</f>
        <v>45949.03168</v>
      </c>
      <c r="K678" s="15">
        <f>IFERROR(__xludf.DUMMYFUNCTION("""COMPUTED_VALUE"""),45949.27197467245)</f>
        <v>45949.27197</v>
      </c>
      <c r="L678" s="4"/>
    </row>
    <row r="679">
      <c r="A679" s="1">
        <f>IFERROR(__xludf.DUMMYFUNCTION("""COMPUTED_VALUE"""),678.0)</f>
        <v>678</v>
      </c>
      <c r="B679" s="1">
        <f>IFERROR(__xludf.DUMMYFUNCTION("""COMPUTED_VALUE"""),6060.0)</f>
        <v>6060</v>
      </c>
      <c r="C679" s="2" t="str">
        <f>IFERROR(__xludf.DUMMYFUNCTION("""COMPUTED_VALUE"""),"herukun")</f>
        <v>herukun</v>
      </c>
      <c r="D679" s="2" t="str">
        <f>IFERROR(__xludf.DUMMYFUNCTION("""COMPUTED_VALUE"""),"5KM OVERALL M")</f>
        <v>5KM OVERALL M</v>
      </c>
      <c r="E679" s="1">
        <f>IFERROR(__xludf.DUMMYFUNCTION("""COMPUTED_VALUE"""),439.0)</f>
        <v>439</v>
      </c>
      <c r="F679" s="1" t="str">
        <f>IFERROR(__xludf.DUMMYFUNCTION("""COMPUTED_VALUE"""),"Male")</f>
        <v>Male</v>
      </c>
      <c r="G679" s="5">
        <f>IFERROR(__xludf.DUMMYFUNCTION("""COMPUTED_VALUE"""),0.0063351134259259255)</f>
        <v>0.006335113426</v>
      </c>
      <c r="H679" s="15">
        <f>IFERROR(__xludf.DUMMYFUNCTION("""COMPUTED_VALUE"""),0.2549440625)</f>
        <v>0.2549440625</v>
      </c>
      <c r="I679" s="15">
        <f>IFERROR(__xludf.DUMMYFUNCTION("""COMPUTED_VALUE"""),45949.28661962978)</f>
        <v>45949.28662</v>
      </c>
      <c r="J679" s="15">
        <f>IFERROR(__xludf.DUMMYFUNCTION("""COMPUTED_VALUE"""),45949.031675567276)</f>
        <v>45949.03168</v>
      </c>
      <c r="K679" s="15">
        <f>IFERROR(__xludf.DUMMYFUNCTION("""COMPUTED_VALUE"""),45949.27344690486)</f>
        <v>45949.27345</v>
      </c>
      <c r="L679" s="4"/>
    </row>
    <row r="680">
      <c r="A680" s="1">
        <f>IFERROR(__xludf.DUMMYFUNCTION("""COMPUTED_VALUE"""),679.0)</f>
        <v>679</v>
      </c>
      <c r="B680" s="1">
        <f>IFERROR(__xludf.DUMMYFUNCTION("""COMPUTED_VALUE"""),5132.0)</f>
        <v>5132</v>
      </c>
      <c r="C680" s="2" t="str">
        <f>IFERROR(__xludf.DUMMYFUNCTION("""COMPUTED_VALUE"""),"Akmal")</f>
        <v>Akmal</v>
      </c>
      <c r="D680" s="2" t="str">
        <f>IFERROR(__xludf.DUMMYFUNCTION("""COMPUTED_VALUE"""),"5KM OVERALL M")</f>
        <v>5KM OVERALL M</v>
      </c>
      <c r="E680" s="1">
        <f>IFERROR(__xludf.DUMMYFUNCTION("""COMPUTED_VALUE"""),440.0)</f>
        <v>440</v>
      </c>
      <c r="F680" s="1" t="str">
        <f>IFERROR(__xludf.DUMMYFUNCTION("""COMPUTED_VALUE"""),"Male")</f>
        <v>Male</v>
      </c>
      <c r="G680" s="5">
        <f>IFERROR(__xludf.DUMMYFUNCTION("""COMPUTED_VALUE"""),0.006340666666666666)</f>
        <v>0.006340666667</v>
      </c>
      <c r="H680" s="15">
        <f>IFERROR(__xludf.DUMMYFUNCTION("""COMPUTED_VALUE"""),0.2549440625)</f>
        <v>0.2549440625</v>
      </c>
      <c r="I680" s="15">
        <f>IFERROR(__xludf.DUMMYFUNCTION("""COMPUTED_VALUE"""),45949.28664739882)</f>
        <v>45949.28665</v>
      </c>
      <c r="J680" s="15">
        <f>IFERROR(__xludf.DUMMYFUNCTION("""COMPUTED_VALUE"""),45949.03170333632)</f>
        <v>45949.0317</v>
      </c>
      <c r="K680" s="15">
        <f>IFERROR(__xludf.DUMMYFUNCTION("""COMPUTED_VALUE"""),45949.27453716939)</f>
        <v>45949.27454</v>
      </c>
      <c r="L680" s="4"/>
    </row>
    <row r="681">
      <c r="A681" s="1">
        <f>IFERROR(__xludf.DUMMYFUNCTION("""COMPUTED_VALUE"""),680.0)</f>
        <v>680</v>
      </c>
      <c r="B681" s="1">
        <f>IFERROR(__xludf.DUMMYFUNCTION("""COMPUTED_VALUE"""),6226.0)</f>
        <v>6226</v>
      </c>
      <c r="C681" s="2" t="str">
        <f>IFERROR(__xludf.DUMMYFUNCTION("""COMPUTED_VALUE"""),"Maulana Firmansyah")</f>
        <v>Maulana Firmansyah</v>
      </c>
      <c r="D681" s="2" t="str">
        <f>IFERROR(__xludf.DUMMYFUNCTION("""COMPUTED_VALUE"""),"5KM OVERALL M")</f>
        <v>5KM OVERALL M</v>
      </c>
      <c r="E681" s="1">
        <f>IFERROR(__xludf.DUMMYFUNCTION("""COMPUTED_VALUE"""),441.0)</f>
        <v>441</v>
      </c>
      <c r="F681" s="1" t="str">
        <f>IFERROR(__xludf.DUMMYFUNCTION("""COMPUTED_VALUE"""),"Male")</f>
        <v>Male</v>
      </c>
      <c r="G681" s="5">
        <f>IFERROR(__xludf.DUMMYFUNCTION("""COMPUTED_VALUE"""),0.006340668981481482)</f>
        <v>0.006340668981</v>
      </c>
      <c r="H681" s="15">
        <f>IFERROR(__xludf.DUMMYFUNCTION("""COMPUTED_VALUE"""),0.2549440625)</f>
        <v>0.2549440625</v>
      </c>
      <c r="I681" s="15">
        <f>IFERROR(__xludf.DUMMYFUNCTION("""COMPUTED_VALUE"""),45949.286647410896)</f>
        <v>45949.28665</v>
      </c>
      <c r="J681" s="15">
        <f>IFERROR(__xludf.DUMMYFUNCTION("""COMPUTED_VALUE"""),45949.031703348395)</f>
        <v>45949.0317</v>
      </c>
      <c r="K681" s="15">
        <f>IFERROR(__xludf.DUMMYFUNCTION("""COMPUTED_VALUE"""),45949.273828822)</f>
        <v>45949.27383</v>
      </c>
      <c r="L681" s="4"/>
    </row>
    <row r="682">
      <c r="A682" s="1">
        <f>IFERROR(__xludf.DUMMYFUNCTION("""COMPUTED_VALUE"""),681.0)</f>
        <v>681</v>
      </c>
      <c r="B682" s="1">
        <f>IFERROR(__xludf.DUMMYFUNCTION("""COMPUTED_VALUE"""),5269.0)</f>
        <v>5269</v>
      </c>
      <c r="C682" s="2" t="str">
        <f>IFERROR(__xludf.DUMMYFUNCTION("""COMPUTED_VALUE"""),"nvlz")</f>
        <v>nvlz</v>
      </c>
      <c r="D682" s="2" t="str">
        <f>IFERROR(__xludf.DUMMYFUNCTION("""COMPUTED_VALUE"""),"5KM OVERALL M")</f>
        <v>5KM OVERALL M</v>
      </c>
      <c r="E682" s="1">
        <f>IFERROR(__xludf.DUMMYFUNCTION("""COMPUTED_VALUE"""),442.0)</f>
        <v>442</v>
      </c>
      <c r="F682" s="1" t="str">
        <f>IFERROR(__xludf.DUMMYFUNCTION("""COMPUTED_VALUE"""),"Male")</f>
        <v>Male</v>
      </c>
      <c r="G682" s="5">
        <f>IFERROR(__xludf.DUMMYFUNCTION("""COMPUTED_VALUE"""),0.006340668981481482)</f>
        <v>0.006340668981</v>
      </c>
      <c r="H682" s="15">
        <f>IFERROR(__xludf.DUMMYFUNCTION("""COMPUTED_VALUE"""),0.2549440625)</f>
        <v>0.2549440625</v>
      </c>
      <c r="I682" s="15">
        <f>IFERROR(__xludf.DUMMYFUNCTION("""COMPUTED_VALUE"""),45949.286647410896)</f>
        <v>45949.28665</v>
      </c>
      <c r="J682" s="15">
        <f>IFERROR(__xludf.DUMMYFUNCTION("""COMPUTED_VALUE"""),45949.031703348395)</f>
        <v>45949.0317</v>
      </c>
      <c r="K682" s="15">
        <f>IFERROR(__xludf.DUMMYFUNCTION("""COMPUTED_VALUE"""),45949.27351284971)</f>
        <v>45949.27351</v>
      </c>
      <c r="L682" s="4"/>
    </row>
    <row r="683">
      <c r="A683" s="1">
        <f>IFERROR(__xludf.DUMMYFUNCTION("""COMPUTED_VALUE"""),682.0)</f>
        <v>682</v>
      </c>
      <c r="B683" s="1">
        <f>IFERROR(__xludf.DUMMYFUNCTION("""COMPUTED_VALUE"""),5820.0)</f>
        <v>5820</v>
      </c>
      <c r="C683" s="2" t="str">
        <f>IFERROR(__xludf.DUMMYFUNCTION("""COMPUTED_VALUE"""),"Rizky Riovani Aditya")</f>
        <v>Rizky Riovani Aditya</v>
      </c>
      <c r="D683" s="2" t="str">
        <f>IFERROR(__xludf.DUMMYFUNCTION("""COMPUTED_VALUE"""),"5KM OVERALL M")</f>
        <v>5KM OVERALL M</v>
      </c>
      <c r="E683" s="1">
        <f>IFERROR(__xludf.DUMMYFUNCTION("""COMPUTED_VALUE"""),443.0)</f>
        <v>443</v>
      </c>
      <c r="F683" s="1" t="str">
        <f>IFERROR(__xludf.DUMMYFUNCTION("""COMPUTED_VALUE"""),"Male")</f>
        <v>Male</v>
      </c>
      <c r="G683" s="5">
        <f>IFERROR(__xludf.DUMMYFUNCTION("""COMPUTED_VALUE"""),0.006342738425925925)</f>
        <v>0.006342738426</v>
      </c>
      <c r="H683" s="15">
        <f>IFERROR(__xludf.DUMMYFUNCTION("""COMPUTED_VALUE"""),0.2549440625)</f>
        <v>0.2549440625</v>
      </c>
      <c r="I683" s="15">
        <f>IFERROR(__xludf.DUMMYFUNCTION("""COMPUTED_VALUE"""),45949.28665775981)</f>
        <v>45949.28666</v>
      </c>
      <c r="J683" s="15">
        <f>IFERROR(__xludf.DUMMYFUNCTION("""COMPUTED_VALUE"""),45949.03171369731)</f>
        <v>45949.03171</v>
      </c>
      <c r="K683" s="15">
        <f>IFERROR(__xludf.DUMMYFUNCTION("""COMPUTED_VALUE"""),45949.27266221345)</f>
        <v>45949.27266</v>
      </c>
      <c r="L683" s="4"/>
    </row>
    <row r="684">
      <c r="A684" s="1">
        <f>IFERROR(__xludf.DUMMYFUNCTION("""COMPUTED_VALUE"""),683.0)</f>
        <v>683</v>
      </c>
      <c r="B684" s="1">
        <f>IFERROR(__xludf.DUMMYFUNCTION("""COMPUTED_VALUE"""),5812.0)</f>
        <v>5812</v>
      </c>
      <c r="C684" s="2" t="str">
        <f>IFERROR(__xludf.DUMMYFUNCTION("""COMPUTED_VALUE"""),"Nurreee")</f>
        <v>Nurreee</v>
      </c>
      <c r="D684" s="2" t="str">
        <f>IFERROR(__xludf.DUMMYFUNCTION("""COMPUTED_VALUE"""),"5KM OVERALL F")</f>
        <v>5KM OVERALL F</v>
      </c>
      <c r="E684" s="1">
        <f>IFERROR(__xludf.DUMMYFUNCTION("""COMPUTED_VALUE"""),106.0)</f>
        <v>106</v>
      </c>
      <c r="F684" s="1" t="str">
        <f>IFERROR(__xludf.DUMMYFUNCTION("""COMPUTED_VALUE"""),"Female")</f>
        <v>Female</v>
      </c>
      <c r="G684" s="5">
        <f>IFERROR(__xludf.DUMMYFUNCTION("""COMPUTED_VALUE"""),0.006346222222222223)</f>
        <v>0.006346222222</v>
      </c>
      <c r="H684" s="15">
        <f>IFERROR(__xludf.DUMMYFUNCTION("""COMPUTED_VALUE"""),0.2549440625)</f>
        <v>0.2549440625</v>
      </c>
      <c r="I684" s="15">
        <f>IFERROR(__xludf.DUMMYFUNCTION("""COMPUTED_VALUE"""),45949.286675173615)</f>
        <v>45949.28668</v>
      </c>
      <c r="J684" s="15">
        <f>IFERROR(__xludf.DUMMYFUNCTION("""COMPUTED_VALUE"""),45949.031731111114)</f>
        <v>45949.03173</v>
      </c>
      <c r="K684" s="15">
        <f>IFERROR(__xludf.DUMMYFUNCTION("""COMPUTED_VALUE"""),45949.27309274708)</f>
        <v>45949.27309</v>
      </c>
      <c r="L684" s="4"/>
    </row>
    <row r="685">
      <c r="A685" s="1">
        <f>IFERROR(__xludf.DUMMYFUNCTION("""COMPUTED_VALUE"""),684.0)</f>
        <v>684</v>
      </c>
      <c r="B685" s="1">
        <f>IFERROR(__xludf.DUMMYFUNCTION("""COMPUTED_VALUE"""),5233.0)</f>
        <v>5233</v>
      </c>
      <c r="C685" s="2" t="str">
        <f>IFERROR(__xludf.DUMMYFUNCTION("""COMPUTED_VALUE"""),"Arthur")</f>
        <v>Arthur</v>
      </c>
      <c r="D685" s="2" t="str">
        <f>IFERROR(__xludf.DUMMYFUNCTION("""COMPUTED_VALUE"""),"5KM OVERALL M")</f>
        <v>5KM OVERALL M</v>
      </c>
      <c r="E685" s="1">
        <f>IFERROR(__xludf.DUMMYFUNCTION("""COMPUTED_VALUE"""),444.0)</f>
        <v>444</v>
      </c>
      <c r="F685" s="1" t="str">
        <f>IFERROR(__xludf.DUMMYFUNCTION("""COMPUTED_VALUE"""),"Male")</f>
        <v>Male</v>
      </c>
      <c r="G685" s="5">
        <f>IFERROR(__xludf.DUMMYFUNCTION("""COMPUTED_VALUE"""),0.006348310185185185)</f>
        <v>0.006348310185</v>
      </c>
      <c r="H685" s="15">
        <f>IFERROR(__xludf.DUMMYFUNCTION("""COMPUTED_VALUE"""),0.2549440625)</f>
        <v>0.2549440625</v>
      </c>
      <c r="I685" s="15">
        <f>IFERROR(__xludf.DUMMYFUNCTION("""COMPUTED_VALUE"""),45949.2866856096)</f>
        <v>45949.28669</v>
      </c>
      <c r="J685" s="15">
        <f>IFERROR(__xludf.DUMMYFUNCTION("""COMPUTED_VALUE"""),45949.0317415471)</f>
        <v>45949.03174</v>
      </c>
      <c r="K685" s="15">
        <f>IFERROR(__xludf.DUMMYFUNCTION("""COMPUTED_VALUE"""),45949.27344688182)</f>
        <v>45949.27345</v>
      </c>
      <c r="L685" s="4"/>
    </row>
    <row r="686">
      <c r="A686" s="1">
        <f>IFERROR(__xludf.DUMMYFUNCTION("""COMPUTED_VALUE"""),685.0)</f>
        <v>685</v>
      </c>
      <c r="B686" s="1">
        <f>IFERROR(__xludf.DUMMYFUNCTION("""COMPUTED_VALUE"""),5727.0)</f>
        <v>5727</v>
      </c>
      <c r="C686" s="2" t="str">
        <f>IFERROR(__xludf.DUMMYFUNCTION("""COMPUTED_VALUE"""),"IKI AHAM")</f>
        <v>IKI AHAM</v>
      </c>
      <c r="D686" s="2" t="str">
        <f>IFERROR(__xludf.DUMMYFUNCTION("""COMPUTED_VALUE"""),"5KM OVERALL M")</f>
        <v>5KM OVERALL M</v>
      </c>
      <c r="E686" s="1">
        <f>IFERROR(__xludf.DUMMYFUNCTION("""COMPUTED_VALUE"""),445.0)</f>
        <v>445</v>
      </c>
      <c r="F686" s="1" t="str">
        <f>IFERROR(__xludf.DUMMYFUNCTION("""COMPUTED_VALUE"""),"Male")</f>
        <v>Male</v>
      </c>
      <c r="G686" s="5">
        <f>IFERROR(__xludf.DUMMYFUNCTION("""COMPUTED_VALUE"""),0.006349696759259259)</f>
        <v>0.006349696759</v>
      </c>
      <c r="H686" s="15">
        <f>IFERROR(__xludf.DUMMYFUNCTION("""COMPUTED_VALUE"""),0.2549440625)</f>
        <v>0.2549440625</v>
      </c>
      <c r="I686" s="15">
        <f>IFERROR(__xludf.DUMMYFUNCTION("""COMPUTED_VALUE"""),45949.28669255051)</f>
        <v>45949.28669</v>
      </c>
      <c r="J686" s="15">
        <f>IFERROR(__xludf.DUMMYFUNCTION("""COMPUTED_VALUE"""),45949.03174848801)</f>
        <v>45949.03175</v>
      </c>
      <c r="K686" s="15">
        <f>IFERROR(__xludf.DUMMYFUNCTION("""COMPUTED_VALUE"""),45949.27368646156)</f>
        <v>45949.27369</v>
      </c>
      <c r="L686" s="4"/>
    </row>
    <row r="687">
      <c r="A687" s="1">
        <f>IFERROR(__xludf.DUMMYFUNCTION("""COMPUTED_VALUE"""),686.0)</f>
        <v>686</v>
      </c>
      <c r="B687" s="1">
        <f>IFERROR(__xludf.DUMMYFUNCTION("""COMPUTED_VALUE"""),5488.0)</f>
        <v>5488</v>
      </c>
      <c r="C687" s="2" t="str">
        <f>IFERROR(__xludf.DUMMYFUNCTION("""COMPUTED_VALUE"""),"Aulia")</f>
        <v>Aulia</v>
      </c>
      <c r="D687" s="2" t="str">
        <f>IFERROR(__xludf.DUMMYFUNCTION("""COMPUTED_VALUE"""),"5KM OVERALL F")</f>
        <v>5KM OVERALL F</v>
      </c>
      <c r="E687" s="1">
        <f>IFERROR(__xludf.DUMMYFUNCTION("""COMPUTED_VALUE"""),107.0)</f>
        <v>107</v>
      </c>
      <c r="F687" s="1" t="str">
        <f>IFERROR(__xludf.DUMMYFUNCTION("""COMPUTED_VALUE"""),"Female")</f>
        <v>Female</v>
      </c>
      <c r="G687" s="5">
        <f>IFERROR(__xludf.DUMMYFUNCTION("""COMPUTED_VALUE"""),0.006357324074074073)</f>
        <v>0.006357324074</v>
      </c>
      <c r="H687" s="15">
        <f>IFERROR(__xludf.DUMMYFUNCTION("""COMPUTED_VALUE"""),0.2549440625)</f>
        <v>0.2549440625</v>
      </c>
      <c r="I687" s="15">
        <f>IFERROR(__xludf.DUMMYFUNCTION("""COMPUTED_VALUE"""),45949.286730677304)</f>
        <v>45949.28673</v>
      </c>
      <c r="J687" s="15">
        <f>IFERROR(__xludf.DUMMYFUNCTION("""COMPUTED_VALUE"""),45949.0317866148)</f>
        <v>45949.03179</v>
      </c>
      <c r="K687" s="15">
        <f>IFERROR(__xludf.DUMMYFUNCTION("""COMPUTED_VALUE"""),45949.274319050244)</f>
        <v>45949.27432</v>
      </c>
      <c r="L687" s="4"/>
    </row>
    <row r="688">
      <c r="A688" s="1">
        <f>IFERROR(__xludf.DUMMYFUNCTION("""COMPUTED_VALUE"""),687.0)</f>
        <v>687</v>
      </c>
      <c r="B688" s="1">
        <f>IFERROR(__xludf.DUMMYFUNCTION("""COMPUTED_VALUE"""),5482.0)</f>
        <v>5482</v>
      </c>
      <c r="C688" s="2" t="str">
        <f>IFERROR(__xludf.DUMMYFUNCTION("""COMPUTED_VALUE"""),"ozhan")</f>
        <v>ozhan</v>
      </c>
      <c r="D688" s="2" t="str">
        <f>IFERROR(__xludf.DUMMYFUNCTION("""COMPUTED_VALUE"""),"5KM OVERALL M")</f>
        <v>5KM OVERALL M</v>
      </c>
      <c r="E688" s="1">
        <f>IFERROR(__xludf.DUMMYFUNCTION("""COMPUTED_VALUE"""),446.0)</f>
        <v>446</v>
      </c>
      <c r="F688" s="1" t="str">
        <f>IFERROR(__xludf.DUMMYFUNCTION("""COMPUTED_VALUE"""),"Male")</f>
        <v>Male</v>
      </c>
      <c r="G688" s="5">
        <f>IFERROR(__xludf.DUMMYFUNCTION("""COMPUTED_VALUE"""),0.006358722222222222)</f>
        <v>0.006358722222</v>
      </c>
      <c r="H688" s="15">
        <f>IFERROR(__xludf.DUMMYFUNCTION("""COMPUTED_VALUE"""),0.2549440625)</f>
        <v>0.2549440625</v>
      </c>
      <c r="I688" s="15">
        <f>IFERROR(__xludf.DUMMYFUNCTION("""COMPUTED_VALUE"""),45949.28673767545)</f>
        <v>45949.28674</v>
      </c>
      <c r="J688" s="15">
        <f>IFERROR(__xludf.DUMMYFUNCTION("""COMPUTED_VALUE"""),45949.03179361295)</f>
        <v>45949.03179</v>
      </c>
      <c r="K688" s="15">
        <f>IFERROR(__xludf.DUMMYFUNCTION("""COMPUTED_VALUE"""),45949.27425937819)</f>
        <v>45949.27426</v>
      </c>
      <c r="L688" s="4"/>
    </row>
    <row r="689">
      <c r="A689" s="1">
        <f>IFERROR(__xludf.DUMMYFUNCTION("""COMPUTED_VALUE"""),688.0)</f>
        <v>688</v>
      </c>
      <c r="B689" s="1">
        <f>IFERROR(__xludf.DUMMYFUNCTION("""COMPUTED_VALUE"""),5651.0)</f>
        <v>5651</v>
      </c>
      <c r="C689" s="2" t="str">
        <f>IFERROR(__xludf.DUMMYFUNCTION("""COMPUTED_VALUE"""),"Purnadi")</f>
        <v>Purnadi</v>
      </c>
      <c r="D689" s="2" t="str">
        <f>IFERROR(__xludf.DUMMYFUNCTION("""COMPUTED_VALUE"""),"5KM OVERALL M")</f>
        <v>5KM OVERALL M</v>
      </c>
      <c r="E689" s="1">
        <f>IFERROR(__xludf.DUMMYFUNCTION("""COMPUTED_VALUE"""),447.0)</f>
        <v>447</v>
      </c>
      <c r="F689" s="1" t="str">
        <f>IFERROR(__xludf.DUMMYFUNCTION("""COMPUTED_VALUE"""),"Male")</f>
        <v>Male</v>
      </c>
      <c r="G689" s="5">
        <f>IFERROR(__xludf.DUMMYFUNCTION("""COMPUTED_VALUE"""),0.006359416666666668)</f>
        <v>0.006359416667</v>
      </c>
      <c r="H689" s="15">
        <f>IFERROR(__xludf.DUMMYFUNCTION("""COMPUTED_VALUE"""),0.2549440625)</f>
        <v>0.2549440625</v>
      </c>
      <c r="I689" s="15">
        <f>IFERROR(__xludf.DUMMYFUNCTION("""COMPUTED_VALUE"""),45949.28674115145)</f>
        <v>45949.28674</v>
      </c>
      <c r="J689" s="15">
        <f>IFERROR(__xludf.DUMMYFUNCTION("""COMPUTED_VALUE"""),45949.03179708895)</f>
        <v>45949.0318</v>
      </c>
      <c r="K689" s="15">
        <f>IFERROR(__xludf.DUMMYFUNCTION("""COMPUTED_VALUE"""),45949.27245424106)</f>
        <v>45949.27245</v>
      </c>
      <c r="L689" s="4"/>
    </row>
    <row r="690">
      <c r="A690" s="1">
        <f>IFERROR(__xludf.DUMMYFUNCTION("""COMPUTED_VALUE"""),689.0)</f>
        <v>689</v>
      </c>
      <c r="B690" s="1">
        <f>IFERROR(__xludf.DUMMYFUNCTION("""COMPUTED_VALUE"""),6379.0)</f>
        <v>6379</v>
      </c>
      <c r="C690" s="2" t="str">
        <f>IFERROR(__xludf.DUMMYFUNCTION("""COMPUTED_VALUE"""),"Choni Nurlita")</f>
        <v>Choni Nurlita</v>
      </c>
      <c r="D690" s="2" t="str">
        <f>IFERROR(__xludf.DUMMYFUNCTION("""COMPUTED_VALUE"""),"5KM OVERALL F")</f>
        <v>5KM OVERALL F</v>
      </c>
      <c r="E690" s="1">
        <f>IFERROR(__xludf.DUMMYFUNCTION("""COMPUTED_VALUE"""),108.0)</f>
        <v>108</v>
      </c>
      <c r="F690" s="1" t="str">
        <f>IFERROR(__xludf.DUMMYFUNCTION("""COMPUTED_VALUE"""),"Female")</f>
        <v>Female</v>
      </c>
      <c r="G690" s="5">
        <f>IFERROR(__xludf.DUMMYFUNCTION("""COMPUTED_VALUE"""),0.006360796296296297)</f>
        <v>0.006360796296</v>
      </c>
      <c r="H690" s="15">
        <f>IFERROR(__xludf.DUMMYFUNCTION("""COMPUTED_VALUE"""),0.2549440625)</f>
        <v>0.2549440625</v>
      </c>
      <c r="I690" s="15">
        <f>IFERROR(__xludf.DUMMYFUNCTION("""COMPUTED_VALUE"""),45949.28674804874)</f>
        <v>45949.28675</v>
      </c>
      <c r="J690" s="15">
        <f>IFERROR(__xludf.DUMMYFUNCTION("""COMPUTED_VALUE"""),45949.03180398624)</f>
        <v>45949.0318</v>
      </c>
      <c r="K690" s="15">
        <f>IFERROR(__xludf.DUMMYFUNCTION("""COMPUTED_VALUE"""),45949.272957481095)</f>
        <v>45949.27296</v>
      </c>
      <c r="L690" s="4"/>
    </row>
    <row r="691">
      <c r="A691" s="1">
        <f>IFERROR(__xludf.DUMMYFUNCTION("""COMPUTED_VALUE"""),690.0)</f>
        <v>690</v>
      </c>
      <c r="B691" s="1">
        <f>IFERROR(__xludf.DUMMYFUNCTION("""COMPUTED_VALUE"""),6164.0)</f>
        <v>6164</v>
      </c>
      <c r="C691" s="2" t="str">
        <f>IFERROR(__xludf.DUMMYFUNCTION("""COMPUTED_VALUE"""),"ALDI")</f>
        <v>ALDI</v>
      </c>
      <c r="D691" s="2" t="str">
        <f>IFERROR(__xludf.DUMMYFUNCTION("""COMPUTED_VALUE"""),"5KM OVERALL M")</f>
        <v>5KM OVERALL M</v>
      </c>
      <c r="E691" s="1">
        <f>IFERROR(__xludf.DUMMYFUNCTION("""COMPUTED_VALUE"""),448.0)</f>
        <v>448</v>
      </c>
      <c r="F691" s="1" t="str">
        <f>IFERROR(__xludf.DUMMYFUNCTION("""COMPUTED_VALUE"""),"Male")</f>
        <v>Male</v>
      </c>
      <c r="G691" s="5">
        <f>IFERROR(__xludf.DUMMYFUNCTION("""COMPUTED_VALUE"""),0.006366361111111112)</f>
        <v>0.006366361111</v>
      </c>
      <c r="H691" s="15">
        <f>IFERROR(__xludf.DUMMYFUNCTION("""COMPUTED_VALUE"""),0.2549440625)</f>
        <v>0.2549440625</v>
      </c>
      <c r="I691" s="15">
        <f>IFERROR(__xludf.DUMMYFUNCTION("""COMPUTED_VALUE"""),45949.286775862696)</f>
        <v>45949.28678</v>
      </c>
      <c r="J691" s="15">
        <f>IFERROR(__xludf.DUMMYFUNCTION("""COMPUTED_VALUE"""),45949.031831800196)</f>
        <v>45949.03183</v>
      </c>
      <c r="K691" s="15">
        <f>IFERROR(__xludf.DUMMYFUNCTION("""COMPUTED_VALUE"""),45949.27526287773)</f>
        <v>45949.27526</v>
      </c>
      <c r="L691" s="4"/>
    </row>
    <row r="692">
      <c r="A692" s="1">
        <f>IFERROR(__xludf.DUMMYFUNCTION("""COMPUTED_VALUE"""),691.0)</f>
        <v>691</v>
      </c>
      <c r="B692" s="1">
        <f>IFERROR(__xludf.DUMMYFUNCTION("""COMPUTED_VALUE"""),5545.0)</f>
        <v>5545</v>
      </c>
      <c r="C692" s="2" t="str">
        <f>IFERROR(__xludf.DUMMYFUNCTION("""COMPUTED_VALUE"""),"imaduddin")</f>
        <v>imaduddin</v>
      </c>
      <c r="D692" s="2" t="str">
        <f>IFERROR(__xludf.DUMMYFUNCTION("""COMPUTED_VALUE"""),"5KM OVERALL M")</f>
        <v>5KM OVERALL M</v>
      </c>
      <c r="E692" s="1">
        <f>IFERROR(__xludf.DUMMYFUNCTION("""COMPUTED_VALUE"""),449.0)</f>
        <v>449</v>
      </c>
      <c r="F692" s="1" t="str">
        <f>IFERROR(__xludf.DUMMYFUNCTION("""COMPUTED_VALUE"""),"Male")</f>
        <v>Male</v>
      </c>
      <c r="G692" s="5">
        <f>IFERROR(__xludf.DUMMYFUNCTION("""COMPUTED_VALUE"""),0.00638175462962963)</f>
        <v>0.00638175463</v>
      </c>
      <c r="H692" s="15">
        <f>IFERROR(__xludf.DUMMYFUNCTION("""COMPUTED_VALUE"""),0.2549440625)</f>
        <v>0.2549440625</v>
      </c>
      <c r="I692" s="15">
        <f>IFERROR(__xludf.DUMMYFUNCTION("""COMPUTED_VALUE"""),45949.28685283457)</f>
        <v>45949.28685</v>
      </c>
      <c r="J692" s="15">
        <f>IFERROR(__xludf.DUMMYFUNCTION("""COMPUTED_VALUE"""),45949.03190877207)</f>
        <v>45949.03191</v>
      </c>
      <c r="K692" s="15">
        <f>IFERROR(__xludf.DUMMYFUNCTION("""COMPUTED_VALUE"""),45949.27421071821)</f>
        <v>45949.27421</v>
      </c>
      <c r="L692" s="4"/>
    </row>
    <row r="693">
      <c r="A693" s="1">
        <f>IFERROR(__xludf.DUMMYFUNCTION("""COMPUTED_VALUE"""),692.0)</f>
        <v>692</v>
      </c>
      <c r="B693" s="1">
        <f>IFERROR(__xludf.DUMMYFUNCTION("""COMPUTED_VALUE"""),6308.0)</f>
        <v>6308</v>
      </c>
      <c r="C693" s="2" t="str">
        <f>IFERROR(__xludf.DUMMYFUNCTION("""COMPUTED_VALUE"""),"Raflie")</f>
        <v>Raflie</v>
      </c>
      <c r="D693" s="2" t="str">
        <f>IFERROR(__xludf.DUMMYFUNCTION("""COMPUTED_VALUE"""),"5KM OVERALL M")</f>
        <v>5KM OVERALL M</v>
      </c>
      <c r="E693" s="1">
        <f>IFERROR(__xludf.DUMMYFUNCTION("""COMPUTED_VALUE"""),450.0)</f>
        <v>450</v>
      </c>
      <c r="F693" s="1" t="str">
        <f>IFERROR(__xludf.DUMMYFUNCTION("""COMPUTED_VALUE"""),"Male")</f>
        <v>Male</v>
      </c>
      <c r="G693" s="5">
        <f>IFERROR(__xludf.DUMMYFUNCTION("""COMPUTED_VALUE"""),0.0063823333333333345)</f>
        <v>0.006382333333</v>
      </c>
      <c r="H693" s="15">
        <f>IFERROR(__xludf.DUMMYFUNCTION("""COMPUTED_VALUE"""),0.2549440625)</f>
        <v>0.2549440625</v>
      </c>
      <c r="I693" s="15">
        <f>IFERROR(__xludf.DUMMYFUNCTION("""COMPUTED_VALUE"""),45949.28685572548)</f>
        <v>45949.28686</v>
      </c>
      <c r="J693" s="15">
        <f>IFERROR(__xludf.DUMMYFUNCTION("""COMPUTED_VALUE"""),45949.031911662976)</f>
        <v>45949.03191</v>
      </c>
      <c r="K693" s="15">
        <f>IFERROR(__xludf.DUMMYFUNCTION("""COMPUTED_VALUE"""),45949.274971136074)</f>
        <v>45949.27497</v>
      </c>
      <c r="L693" s="4"/>
    </row>
    <row r="694">
      <c r="A694" s="1">
        <f>IFERROR(__xludf.DUMMYFUNCTION("""COMPUTED_VALUE"""),693.0)</f>
        <v>693</v>
      </c>
      <c r="B694" s="1">
        <f>IFERROR(__xludf.DUMMYFUNCTION("""COMPUTED_VALUE"""),6258.0)</f>
        <v>6258</v>
      </c>
      <c r="C694" s="2" t="str">
        <f>IFERROR(__xludf.DUMMYFUNCTION("""COMPUTED_VALUE"""),"M. Akbar Y")</f>
        <v>M. Akbar Y</v>
      </c>
      <c r="D694" s="2" t="str">
        <f>IFERROR(__xludf.DUMMYFUNCTION("""COMPUTED_VALUE"""),"5KM OVERALL M")</f>
        <v>5KM OVERALL M</v>
      </c>
      <c r="E694" s="1">
        <f>IFERROR(__xludf.DUMMYFUNCTION("""COMPUTED_VALUE"""),451.0)</f>
        <v>451</v>
      </c>
      <c r="F694" s="1" t="str">
        <f>IFERROR(__xludf.DUMMYFUNCTION("""COMPUTED_VALUE"""),"Male")</f>
        <v>Male</v>
      </c>
      <c r="G694" s="5">
        <f>IFERROR(__xludf.DUMMYFUNCTION("""COMPUTED_VALUE"""),0.006386499999999999)</f>
        <v>0.0063865</v>
      </c>
      <c r="H694" s="15">
        <f>IFERROR(__xludf.DUMMYFUNCTION("""COMPUTED_VALUE"""),0.2549440625)</f>
        <v>0.2549440625</v>
      </c>
      <c r="I694" s="15">
        <f>IFERROR(__xludf.DUMMYFUNCTION("""COMPUTED_VALUE"""),45949.286876565915)</f>
        <v>45949.28688</v>
      </c>
      <c r="J694" s="15">
        <f>IFERROR(__xludf.DUMMYFUNCTION("""COMPUTED_VALUE"""),45949.031932503414)</f>
        <v>45949.03193</v>
      </c>
      <c r="K694" s="15">
        <f>IFERROR(__xludf.DUMMYFUNCTION("""COMPUTED_VALUE"""),45949.27370724011)</f>
        <v>45949.27371</v>
      </c>
      <c r="L694" s="4"/>
    </row>
    <row r="695">
      <c r="A695" s="1">
        <f>IFERROR(__xludf.DUMMYFUNCTION("""COMPUTED_VALUE"""),694.0)</f>
        <v>694</v>
      </c>
      <c r="B695" s="1">
        <f>IFERROR(__xludf.DUMMYFUNCTION("""COMPUTED_VALUE"""),5155.0)</f>
        <v>5155</v>
      </c>
      <c r="C695" s="2" t="str">
        <f>IFERROR(__xludf.DUMMYFUNCTION("""COMPUTED_VALUE"""),"Harry Hidayat")</f>
        <v>Harry Hidayat</v>
      </c>
      <c r="D695" s="2" t="str">
        <f>IFERROR(__xludf.DUMMYFUNCTION("""COMPUTED_VALUE"""),"5KM OVERALL M")</f>
        <v>5KM OVERALL M</v>
      </c>
      <c r="E695" s="1">
        <f>IFERROR(__xludf.DUMMYFUNCTION("""COMPUTED_VALUE"""),452.0)</f>
        <v>452</v>
      </c>
      <c r="F695" s="1" t="str">
        <f>IFERROR(__xludf.DUMMYFUNCTION("""COMPUTED_VALUE"""),"Male")</f>
        <v>Male</v>
      </c>
      <c r="G695" s="5">
        <f>IFERROR(__xludf.DUMMYFUNCTION("""COMPUTED_VALUE"""),0.006386499999999999)</f>
        <v>0.0063865</v>
      </c>
      <c r="H695" s="15">
        <f>IFERROR(__xludf.DUMMYFUNCTION("""COMPUTED_VALUE"""),0.2549440625)</f>
        <v>0.2549440625</v>
      </c>
      <c r="I695" s="15">
        <f>IFERROR(__xludf.DUMMYFUNCTION("""COMPUTED_VALUE"""),45949.286876565915)</f>
        <v>45949.28688</v>
      </c>
      <c r="J695" s="15">
        <f>IFERROR(__xludf.DUMMYFUNCTION("""COMPUTED_VALUE"""),45949.031932503414)</f>
        <v>45949.03193</v>
      </c>
      <c r="K695" s="15">
        <f>IFERROR(__xludf.DUMMYFUNCTION("""COMPUTED_VALUE"""),45949.27568297623)</f>
        <v>45949.27568</v>
      </c>
      <c r="L695" s="4"/>
    </row>
    <row r="696">
      <c r="A696" s="1">
        <f>IFERROR(__xludf.DUMMYFUNCTION("""COMPUTED_VALUE"""),695.0)</f>
        <v>695</v>
      </c>
      <c r="B696" s="1">
        <f>IFERROR(__xludf.DUMMYFUNCTION("""COMPUTED_VALUE"""),6567.0)</f>
        <v>6567</v>
      </c>
      <c r="C696" s="2" t="str">
        <f>IFERROR(__xludf.DUMMYFUNCTION("""COMPUTED_VALUE"""),"M. Ghozi")</f>
        <v>M. Ghozi</v>
      </c>
      <c r="D696" s="2" t="str">
        <f>IFERROR(__xludf.DUMMYFUNCTION("""COMPUTED_VALUE"""),"5KM OVERALL M")</f>
        <v>5KM OVERALL M</v>
      </c>
      <c r="E696" s="1">
        <f>IFERROR(__xludf.DUMMYFUNCTION("""COMPUTED_VALUE"""),453.0)</f>
        <v>453</v>
      </c>
      <c r="F696" s="1" t="str">
        <f>IFERROR(__xludf.DUMMYFUNCTION("""COMPUTED_VALUE"""),"Male")</f>
        <v>Male</v>
      </c>
      <c r="G696" s="5">
        <f>IFERROR(__xludf.DUMMYFUNCTION("""COMPUTED_VALUE"""),0.006391349537037037)</f>
        <v>0.006391349537</v>
      </c>
      <c r="H696" s="15">
        <f>IFERROR(__xludf.DUMMYFUNCTION("""COMPUTED_VALUE"""),0.2549440625)</f>
        <v>0.2549440625</v>
      </c>
      <c r="I696" s="15">
        <f>IFERROR(__xludf.DUMMYFUNCTION("""COMPUTED_VALUE"""),45949.28690081241)</f>
        <v>45949.2869</v>
      </c>
      <c r="J696" s="15">
        <f>IFERROR(__xludf.DUMMYFUNCTION("""COMPUTED_VALUE"""),45949.03195674991)</f>
        <v>45949.03196</v>
      </c>
      <c r="K696" s="15">
        <f>IFERROR(__xludf.DUMMYFUNCTION("""COMPUTED_VALUE"""),45949.27596420925)</f>
        <v>45949.27596</v>
      </c>
      <c r="L696" s="4"/>
    </row>
    <row r="697">
      <c r="A697" s="1">
        <f>IFERROR(__xludf.DUMMYFUNCTION("""COMPUTED_VALUE"""),696.0)</f>
        <v>696</v>
      </c>
      <c r="B697" s="1">
        <f>IFERROR(__xludf.DUMMYFUNCTION("""COMPUTED_VALUE"""),7115.0)</f>
        <v>7115</v>
      </c>
      <c r="C697" s="2" t="str">
        <f>IFERROR(__xludf.DUMMYFUNCTION("""COMPUTED_VALUE"""),"atmaja")</f>
        <v>atmaja</v>
      </c>
      <c r="D697" s="2" t="str">
        <f>IFERROR(__xludf.DUMMYFUNCTION("""COMPUTED_VALUE"""),"5KM MASTER M")</f>
        <v>5KM MASTER M</v>
      </c>
      <c r="E697" s="1">
        <f>IFERROR(__xludf.DUMMYFUNCTION("""COMPUTED_VALUE"""),61.0)</f>
        <v>61</v>
      </c>
      <c r="F697" s="1" t="str">
        <f>IFERROR(__xludf.DUMMYFUNCTION("""COMPUTED_VALUE"""),"Male")</f>
        <v>Male</v>
      </c>
      <c r="G697" s="5">
        <f>IFERROR(__xludf.DUMMYFUNCTION("""COMPUTED_VALUE"""),0.0063941435185185195)</f>
        <v>0.006394143519</v>
      </c>
      <c r="H697" s="15">
        <f>IFERROR(__xludf.DUMMYFUNCTION("""COMPUTED_VALUE"""),0.2549440625)</f>
        <v>0.2549440625</v>
      </c>
      <c r="I697" s="15">
        <f>IFERROR(__xludf.DUMMYFUNCTION("""COMPUTED_VALUE"""),45949.286914779106)</f>
        <v>45949.28691</v>
      </c>
      <c r="J697" s="15">
        <f>IFERROR(__xludf.DUMMYFUNCTION("""COMPUTED_VALUE"""),45949.031970716605)</f>
        <v>45949.03197</v>
      </c>
      <c r="K697" s="15">
        <f>IFERROR(__xludf.DUMMYFUNCTION("""COMPUTED_VALUE"""),45949.27220730032)</f>
        <v>45949.27221</v>
      </c>
      <c r="L697" s="4"/>
    </row>
    <row r="698">
      <c r="A698" s="1">
        <f>IFERROR(__xludf.DUMMYFUNCTION("""COMPUTED_VALUE"""),697.0)</f>
        <v>697</v>
      </c>
      <c r="B698" s="7" t="str">
        <f>IFERROR(__xludf.DUMMYFUNCTION("""COMPUTED_VALUE"""),"9022")</f>
        <v>9022</v>
      </c>
      <c r="C698" s="8" t="str">
        <f>IFERROR(__xludf.DUMMYFUNCTION("""COMPUTED_VALUE"""),"sajid alkatiri")</f>
        <v>sajid alkatiri</v>
      </c>
      <c r="D698" s="2" t="str">
        <f>IFERROR(__xludf.DUMMYFUNCTION("""COMPUTED_VALUE"""),"5KM STUDENT M")</f>
        <v>5KM STUDENT M</v>
      </c>
      <c r="E698" s="1">
        <f>IFERROR(__xludf.DUMMYFUNCTION("""COMPUTED_VALUE"""),49.0)</f>
        <v>49</v>
      </c>
      <c r="F698" s="1" t="str">
        <f>IFERROR(__xludf.DUMMYFUNCTION("""COMPUTED_VALUE"""),"Male")</f>
        <v>Male</v>
      </c>
      <c r="G698" s="5">
        <f>IFERROR(__xludf.DUMMYFUNCTION("""COMPUTED_VALUE"""),0.006398300925925926)</f>
        <v>0.006398300926</v>
      </c>
      <c r="H698" s="15">
        <f>IFERROR(__xludf.DUMMYFUNCTION("""COMPUTED_VALUE"""),0.2549440625)</f>
        <v>0.2549440625</v>
      </c>
      <c r="I698" s="15">
        <f>IFERROR(__xludf.DUMMYFUNCTION("""COMPUTED_VALUE"""),45949.28693556718)</f>
        <v>45949.28694</v>
      </c>
      <c r="J698" s="15">
        <f>IFERROR(__xludf.DUMMYFUNCTION("""COMPUTED_VALUE"""),45949.03199150468)</f>
        <v>45949.03199</v>
      </c>
      <c r="K698" s="15">
        <f>IFERROR(__xludf.DUMMYFUNCTION("""COMPUTED_VALUE"""),45949.27284272876)</f>
        <v>45949.27284</v>
      </c>
      <c r="L698" s="4"/>
    </row>
    <row r="699">
      <c r="A699" s="1">
        <f>IFERROR(__xludf.DUMMYFUNCTION("""COMPUTED_VALUE"""),698.0)</f>
        <v>698</v>
      </c>
      <c r="B699" s="7" t="str">
        <f>IFERROR(__xludf.DUMMYFUNCTION("""COMPUTED_VALUE"""),"9091")</f>
        <v>9091</v>
      </c>
      <c r="C699" s="8" t="str">
        <f>IFERROR(__xludf.DUMMYFUNCTION("""COMPUTED_VALUE"""),"DIMITRI")</f>
        <v>DIMITRI</v>
      </c>
      <c r="D699" s="2" t="str">
        <f>IFERROR(__xludf.DUMMYFUNCTION("""COMPUTED_VALUE"""),"5KM STUDENT M")</f>
        <v>5KM STUDENT M</v>
      </c>
      <c r="E699" s="1">
        <f>IFERROR(__xludf.DUMMYFUNCTION("""COMPUTED_VALUE"""),50.0)</f>
        <v>50</v>
      </c>
      <c r="F699" s="1" t="str">
        <f>IFERROR(__xludf.DUMMYFUNCTION("""COMPUTED_VALUE"""),"Male")</f>
        <v>Male</v>
      </c>
      <c r="G699" s="5">
        <f>IFERROR(__xludf.DUMMYFUNCTION("""COMPUTED_VALUE"""),0.006398303240740741)</f>
        <v>0.006398303241</v>
      </c>
      <c r="H699" s="15">
        <f>IFERROR(__xludf.DUMMYFUNCTION("""COMPUTED_VALUE"""),0.2549440625)</f>
        <v>0.2549440625</v>
      </c>
      <c r="I699" s="15">
        <f>IFERROR(__xludf.DUMMYFUNCTION("""COMPUTED_VALUE"""),45949.28693557872)</f>
        <v>45949.28694</v>
      </c>
      <c r="J699" s="15">
        <f>IFERROR(__xludf.DUMMYFUNCTION("""COMPUTED_VALUE"""),45949.03199151622)</f>
        <v>45949.03199</v>
      </c>
      <c r="K699" s="15">
        <f>IFERROR(__xludf.DUMMYFUNCTION("""COMPUTED_VALUE"""),45949.273679498285)</f>
        <v>45949.27368</v>
      </c>
      <c r="L699" s="4"/>
    </row>
    <row r="700">
      <c r="A700" s="1">
        <f>IFERROR(__xludf.DUMMYFUNCTION("""COMPUTED_VALUE"""),699.0)</f>
        <v>699</v>
      </c>
      <c r="B700" s="1">
        <f>IFERROR(__xludf.DUMMYFUNCTION("""COMPUTED_VALUE"""),5053.0)</f>
        <v>5053</v>
      </c>
      <c r="C700" s="2" t="str">
        <f>IFERROR(__xludf.DUMMYFUNCTION("""COMPUTED_VALUE"""),"Arifin")</f>
        <v>Arifin</v>
      </c>
      <c r="D700" s="2" t="str">
        <f>IFERROR(__xludf.DUMMYFUNCTION("""COMPUTED_VALUE"""),"5KM OVERALL M")</f>
        <v>5KM OVERALL M</v>
      </c>
      <c r="E700" s="1">
        <f>IFERROR(__xludf.DUMMYFUNCTION("""COMPUTED_VALUE"""),454.0)</f>
        <v>454</v>
      </c>
      <c r="F700" s="1" t="str">
        <f>IFERROR(__xludf.DUMMYFUNCTION("""COMPUTED_VALUE"""),"Male")</f>
        <v>Male</v>
      </c>
      <c r="G700" s="5">
        <f>IFERROR(__xludf.DUMMYFUNCTION("""COMPUTED_VALUE"""),0.006400391203703703)</f>
        <v>0.006400391204</v>
      </c>
      <c r="H700" s="15">
        <f>IFERROR(__xludf.DUMMYFUNCTION("""COMPUTED_VALUE"""),0.2549440625)</f>
        <v>0.2549440625</v>
      </c>
      <c r="I700" s="15">
        <f>IFERROR(__xludf.DUMMYFUNCTION("""COMPUTED_VALUE"""),45949.28694601542)</f>
        <v>45949.28695</v>
      </c>
      <c r="J700" s="15">
        <f>IFERROR(__xludf.DUMMYFUNCTION("""COMPUTED_VALUE"""),45949.03200195292)</f>
        <v>45949.032</v>
      </c>
      <c r="K700" s="15">
        <f>IFERROR(__xludf.DUMMYFUNCTION("""COMPUTED_VALUE"""),45949.273561589456)</f>
        <v>45949.27356</v>
      </c>
      <c r="L700" s="4"/>
    </row>
    <row r="701">
      <c r="A701" s="1">
        <f>IFERROR(__xludf.DUMMYFUNCTION("""COMPUTED_VALUE"""),700.0)</f>
        <v>700</v>
      </c>
      <c r="B701" s="1">
        <f>IFERROR(__xludf.DUMMYFUNCTION("""COMPUTED_VALUE"""),5618.0)</f>
        <v>5618</v>
      </c>
      <c r="C701" s="2" t="str">
        <f>IFERROR(__xludf.DUMMYFUNCTION("""COMPUTED_VALUE"""),"Zein Aluminium")</f>
        <v>Zein Aluminium</v>
      </c>
      <c r="D701" s="2" t="str">
        <f>IFERROR(__xludf.DUMMYFUNCTION("""COMPUTED_VALUE"""),"5KM OVERALL M")</f>
        <v>5KM OVERALL M</v>
      </c>
      <c r="E701" s="1">
        <f>IFERROR(__xludf.DUMMYFUNCTION("""COMPUTED_VALUE"""),455.0)</f>
        <v>455</v>
      </c>
      <c r="F701" s="1" t="str">
        <f>IFERROR(__xludf.DUMMYFUNCTION("""COMPUTED_VALUE"""),"Male")</f>
        <v>Male</v>
      </c>
      <c r="G701" s="5">
        <f>IFERROR(__xludf.DUMMYFUNCTION("""COMPUTED_VALUE"""),0.00640386111111111)</f>
        <v>0.006403861111</v>
      </c>
      <c r="H701" s="15">
        <f>IFERROR(__xludf.DUMMYFUNCTION("""COMPUTED_VALUE"""),0.2549440625)</f>
        <v>0.2549440625</v>
      </c>
      <c r="I701" s="15">
        <f>IFERROR(__xludf.DUMMYFUNCTION("""COMPUTED_VALUE"""),45949.28696336626)</f>
        <v>45949.28696</v>
      </c>
      <c r="J701" s="15">
        <f>IFERROR(__xludf.DUMMYFUNCTION("""COMPUTED_VALUE"""),45949.03201930376)</f>
        <v>45949.03202</v>
      </c>
      <c r="K701" s="15">
        <f>IFERROR(__xludf.DUMMYFUNCTION("""COMPUTED_VALUE"""),45949.27332530708)</f>
        <v>45949.27333</v>
      </c>
      <c r="L701" s="4"/>
    </row>
    <row r="702">
      <c r="A702" s="1">
        <f>IFERROR(__xludf.DUMMYFUNCTION("""COMPUTED_VALUE"""),701.0)</f>
        <v>701</v>
      </c>
      <c r="B702" s="1">
        <f>IFERROR(__xludf.DUMMYFUNCTION("""COMPUTED_VALUE"""),7038.0)</f>
        <v>7038</v>
      </c>
      <c r="C702" s="2" t="str">
        <f>IFERROR(__xludf.DUMMYFUNCTION("""COMPUTED_VALUE"""),"jaya")</f>
        <v>jaya</v>
      </c>
      <c r="D702" s="2" t="str">
        <f>IFERROR(__xludf.DUMMYFUNCTION("""COMPUTED_VALUE"""),"5KM MASTER M")</f>
        <v>5KM MASTER M</v>
      </c>
      <c r="E702" s="1">
        <f>IFERROR(__xludf.DUMMYFUNCTION("""COMPUTED_VALUE"""),62.0)</f>
        <v>62</v>
      </c>
      <c r="F702" s="1" t="str">
        <f>IFERROR(__xludf.DUMMYFUNCTION("""COMPUTED_VALUE"""),"Male")</f>
        <v>Male</v>
      </c>
      <c r="G702" s="5">
        <f>IFERROR(__xludf.DUMMYFUNCTION("""COMPUTED_VALUE"""),0.0064038634259259266)</f>
        <v>0.006403863426</v>
      </c>
      <c r="H702" s="15">
        <f>IFERROR(__xludf.DUMMYFUNCTION("""COMPUTED_VALUE"""),0.2549440625)</f>
        <v>0.2549440625</v>
      </c>
      <c r="I702" s="15">
        <f>IFERROR(__xludf.DUMMYFUNCTION("""COMPUTED_VALUE"""),45949.28696337817)</f>
        <v>45949.28696</v>
      </c>
      <c r="J702" s="15">
        <f>IFERROR(__xludf.DUMMYFUNCTION("""COMPUTED_VALUE"""),45949.032019315666)</f>
        <v>45949.03202</v>
      </c>
      <c r="K702" s="15">
        <f>IFERROR(__xludf.DUMMYFUNCTION("""COMPUTED_VALUE"""),45949.27671077838)</f>
        <v>45949.27671</v>
      </c>
      <c r="L702" s="4"/>
    </row>
    <row r="703">
      <c r="A703" s="1">
        <f>IFERROR(__xludf.DUMMYFUNCTION("""COMPUTED_VALUE"""),702.0)</f>
        <v>702</v>
      </c>
      <c r="B703" s="1">
        <f>IFERROR(__xludf.DUMMYFUNCTION("""COMPUTED_VALUE"""),5057.0)</f>
        <v>5057</v>
      </c>
      <c r="C703" s="2" t="str">
        <f>IFERROR(__xludf.DUMMYFUNCTION("""COMPUTED_VALUE"""),"ARIFIN KTN")</f>
        <v>ARIFIN KTN</v>
      </c>
      <c r="D703" s="2" t="str">
        <f>IFERROR(__xludf.DUMMYFUNCTION("""COMPUTED_VALUE"""),"5KM OVERALL M")</f>
        <v>5KM OVERALL M</v>
      </c>
      <c r="E703" s="1">
        <f>IFERROR(__xludf.DUMMYFUNCTION("""COMPUTED_VALUE"""),456.0)</f>
        <v>456</v>
      </c>
      <c r="F703" s="1" t="str">
        <f>IFERROR(__xludf.DUMMYFUNCTION("""COMPUTED_VALUE"""),"Male")</f>
        <v>Male</v>
      </c>
      <c r="G703" s="5">
        <f>IFERROR(__xludf.DUMMYFUNCTION("""COMPUTED_VALUE"""),0.006407335648148148)</f>
        <v>0.006407335648</v>
      </c>
      <c r="H703" s="15">
        <f>IFERROR(__xludf.DUMMYFUNCTION("""COMPUTED_VALUE"""),0.2549440625)</f>
        <v>0.2549440625</v>
      </c>
      <c r="I703" s="15">
        <f>IFERROR(__xludf.DUMMYFUNCTION("""COMPUTED_VALUE"""),45949.286980740435)</f>
        <v>45949.28698</v>
      </c>
      <c r="J703" s="15">
        <f>IFERROR(__xludf.DUMMYFUNCTION("""COMPUTED_VALUE"""),45949.032036677934)</f>
        <v>45949.03204</v>
      </c>
      <c r="K703" s="15">
        <f>IFERROR(__xludf.DUMMYFUNCTION("""COMPUTED_VALUE"""),45949.27453719254)</f>
        <v>45949.27454</v>
      </c>
      <c r="L703" s="4"/>
    </row>
    <row r="704">
      <c r="A704" s="1">
        <f>IFERROR(__xludf.DUMMYFUNCTION("""COMPUTED_VALUE"""),703.0)</f>
        <v>703</v>
      </c>
      <c r="B704" s="1">
        <f>IFERROR(__xludf.DUMMYFUNCTION("""COMPUTED_VALUE"""),6555.0)</f>
        <v>6555</v>
      </c>
      <c r="C704" s="2" t="str">
        <f>IFERROR(__xludf.DUMMYFUNCTION("""COMPUTED_VALUE"""),"AHMAD MAULANA")</f>
        <v>AHMAD MAULANA</v>
      </c>
      <c r="D704" s="2" t="str">
        <f>IFERROR(__xludf.DUMMYFUNCTION("""COMPUTED_VALUE"""),"5KM OVERALL M")</f>
        <v>5KM OVERALL M</v>
      </c>
      <c r="E704" s="1">
        <f>IFERROR(__xludf.DUMMYFUNCTION("""COMPUTED_VALUE"""),457.0)</f>
        <v>457</v>
      </c>
      <c r="F704" s="1" t="str">
        <f>IFERROR(__xludf.DUMMYFUNCTION("""COMPUTED_VALUE"""),"Male")</f>
        <v>Male</v>
      </c>
      <c r="G704" s="5">
        <f>IFERROR(__xludf.DUMMYFUNCTION("""COMPUTED_VALUE"""),0.006412888888888889)</f>
        <v>0.006412888889</v>
      </c>
      <c r="H704" s="15">
        <f>IFERROR(__xludf.DUMMYFUNCTION("""COMPUTED_VALUE"""),0.2549440625)</f>
        <v>0.2549440625</v>
      </c>
      <c r="I704" s="15">
        <f>IFERROR(__xludf.DUMMYFUNCTION("""COMPUTED_VALUE"""),45949.28700850452)</f>
        <v>45949.28701</v>
      </c>
      <c r="J704" s="15">
        <f>IFERROR(__xludf.DUMMYFUNCTION("""COMPUTED_VALUE"""),45949.03206444202)</f>
        <v>45949.03206</v>
      </c>
      <c r="K704" s="15">
        <f>IFERROR(__xludf.DUMMYFUNCTION("""COMPUTED_VALUE"""),45949.27253021156)</f>
        <v>45949.27253</v>
      </c>
      <c r="L704" s="4"/>
    </row>
    <row r="705">
      <c r="A705" s="1">
        <f>IFERROR(__xludf.DUMMYFUNCTION("""COMPUTED_VALUE"""),704.0)</f>
        <v>704</v>
      </c>
      <c r="B705" s="1">
        <f>IFERROR(__xludf.DUMMYFUNCTION("""COMPUTED_VALUE"""),7085.0)</f>
        <v>7085</v>
      </c>
      <c r="C705" s="2" t="str">
        <f>IFERROR(__xludf.DUMMYFUNCTION("""COMPUTED_VALUE"""),"sofie")</f>
        <v>sofie</v>
      </c>
      <c r="D705" s="2" t="str">
        <f>IFERROR(__xludf.DUMMYFUNCTION("""COMPUTED_VALUE"""),"5KM MASTER F")</f>
        <v>5KM MASTER F</v>
      </c>
      <c r="E705" s="1">
        <f>IFERROR(__xludf.DUMMYFUNCTION("""COMPUTED_VALUE"""),21.0)</f>
        <v>21</v>
      </c>
      <c r="F705" s="1" t="str">
        <f>IFERROR(__xludf.DUMMYFUNCTION("""COMPUTED_VALUE"""),"Female")</f>
        <v>Female</v>
      </c>
      <c r="G705" s="5">
        <f>IFERROR(__xludf.DUMMYFUNCTION("""COMPUTED_VALUE"""),0.006414972222222222)</f>
        <v>0.006414972222</v>
      </c>
      <c r="H705" s="15">
        <f>IFERROR(__xludf.DUMMYFUNCTION("""COMPUTED_VALUE"""),0.2549440625)</f>
        <v>0.2549440625</v>
      </c>
      <c r="I705" s="15">
        <f>IFERROR(__xludf.DUMMYFUNCTION("""COMPUTED_VALUE"""),45949.28701892842)</f>
        <v>45949.28702</v>
      </c>
      <c r="J705" s="15">
        <f>IFERROR(__xludf.DUMMYFUNCTION("""COMPUTED_VALUE"""),45949.03207486592)</f>
        <v>45949.03207</v>
      </c>
      <c r="K705" s="15">
        <f>IFERROR(__xludf.DUMMYFUNCTION("""COMPUTED_VALUE"""),45949.274394775384)</f>
        <v>45949.27439</v>
      </c>
      <c r="L705" s="4"/>
    </row>
    <row r="706">
      <c r="A706" s="1">
        <f>IFERROR(__xludf.DUMMYFUNCTION("""COMPUTED_VALUE"""),705.0)</f>
        <v>705</v>
      </c>
      <c r="B706" s="7" t="str">
        <f>IFERROR(__xludf.DUMMYFUNCTION("""COMPUTED_VALUE"""),"9051")</f>
        <v>9051</v>
      </c>
      <c r="C706" s="8" t="str">
        <f>IFERROR(__xludf.DUMMYFUNCTION("""COMPUTED_VALUE"""),"Muhammad Zaeni Salman")</f>
        <v>Muhammad Zaeni Salman</v>
      </c>
      <c r="D706" s="2" t="str">
        <f>IFERROR(__xludf.DUMMYFUNCTION("""COMPUTED_VALUE"""),"5KM STUDENT M")</f>
        <v>5KM STUDENT M</v>
      </c>
      <c r="E706" s="1">
        <f>IFERROR(__xludf.DUMMYFUNCTION("""COMPUTED_VALUE"""),51.0)</f>
        <v>51</v>
      </c>
      <c r="F706" s="1" t="str">
        <f>IFERROR(__xludf.DUMMYFUNCTION("""COMPUTED_VALUE"""),"Male")</f>
        <v>Male</v>
      </c>
      <c r="G706" s="5">
        <f>IFERROR(__xludf.DUMMYFUNCTION("""COMPUTED_VALUE"""),0.00641775)</f>
        <v>0.00641775</v>
      </c>
      <c r="H706" s="15">
        <f>IFERROR(__xludf.DUMMYFUNCTION("""COMPUTED_VALUE"""),0.2549440625)</f>
        <v>0.2549440625</v>
      </c>
      <c r="I706" s="15">
        <f>IFERROR(__xludf.DUMMYFUNCTION("""COMPUTED_VALUE"""),45949.28703280807)</f>
        <v>45949.28703</v>
      </c>
      <c r="J706" s="15">
        <f>IFERROR(__xludf.DUMMYFUNCTION("""COMPUTED_VALUE"""),45949.03208874557)</f>
        <v>45949.03209</v>
      </c>
      <c r="K706" s="15">
        <f>IFERROR(__xludf.DUMMYFUNCTION("""COMPUTED_VALUE"""),45949.27350933313)</f>
        <v>45949.27351</v>
      </c>
      <c r="L706" s="4"/>
    </row>
    <row r="707">
      <c r="A707" s="1">
        <f>IFERROR(__xludf.DUMMYFUNCTION("""COMPUTED_VALUE"""),706.0)</f>
        <v>706</v>
      </c>
      <c r="B707" s="1">
        <f>IFERROR(__xludf.DUMMYFUNCTION("""COMPUTED_VALUE"""),5373.0)</f>
        <v>5373</v>
      </c>
      <c r="C707" s="2" t="str">
        <f>IFERROR(__xludf.DUMMYFUNCTION("""COMPUTED_VALUE"""),"Moh Zainudin")</f>
        <v>Moh Zainudin</v>
      </c>
      <c r="D707" s="2" t="str">
        <f>IFERROR(__xludf.DUMMYFUNCTION("""COMPUTED_VALUE"""),"5KM OVERALL M")</f>
        <v>5KM OVERALL M</v>
      </c>
      <c r="E707" s="1">
        <f>IFERROR(__xludf.DUMMYFUNCTION("""COMPUTED_VALUE"""),458.0)</f>
        <v>458</v>
      </c>
      <c r="F707" s="1" t="str">
        <f>IFERROR(__xludf.DUMMYFUNCTION("""COMPUTED_VALUE"""),"Male")</f>
        <v>Male</v>
      </c>
      <c r="G707" s="5">
        <f>IFERROR(__xludf.DUMMYFUNCTION("""COMPUTED_VALUE"""),0.0064184444444444445)</f>
        <v>0.006418444444</v>
      </c>
      <c r="H707" s="15">
        <f>IFERROR(__xludf.DUMMYFUNCTION("""COMPUTED_VALUE"""),0.2549440625)</f>
        <v>0.2549440625</v>
      </c>
      <c r="I707" s="15">
        <f>IFERROR(__xludf.DUMMYFUNCTION("""COMPUTED_VALUE"""),45949.28703628156)</f>
        <v>45949.28704</v>
      </c>
      <c r="J707" s="15">
        <f>IFERROR(__xludf.DUMMYFUNCTION("""COMPUTED_VALUE"""),45949.03209221906)</f>
        <v>45949.03209</v>
      </c>
      <c r="K707" s="15">
        <f>IFERROR(__xludf.DUMMYFUNCTION("""COMPUTED_VALUE"""),45949.27334613962)</f>
        <v>45949.27335</v>
      </c>
      <c r="L707" s="4"/>
    </row>
    <row r="708">
      <c r="A708" s="1">
        <f>IFERROR(__xludf.DUMMYFUNCTION("""COMPUTED_VALUE"""),706.0)</f>
        <v>706</v>
      </c>
      <c r="B708" s="7" t="str">
        <f>IFERROR(__xludf.DUMMYFUNCTION("""COMPUTED_VALUE"""),"9044")</f>
        <v>9044</v>
      </c>
      <c r="C708" s="8" t="str">
        <f>IFERROR(__xludf.DUMMYFUNCTION("""COMPUTED_VALUE"""),"Muhammad Naufal")</f>
        <v>Muhammad Naufal</v>
      </c>
      <c r="D708" s="2" t="str">
        <f>IFERROR(__xludf.DUMMYFUNCTION("""COMPUTED_VALUE"""),"5KM STUDENT M")</f>
        <v>5KM STUDENT M</v>
      </c>
      <c r="E708" s="1">
        <f>IFERROR(__xludf.DUMMYFUNCTION("""COMPUTED_VALUE"""),52.0)</f>
        <v>52</v>
      </c>
      <c r="F708" s="1" t="str">
        <f>IFERROR(__xludf.DUMMYFUNCTION("""COMPUTED_VALUE"""),"Male")</f>
        <v>Male</v>
      </c>
      <c r="G708" s="5">
        <f>IFERROR(__xludf.DUMMYFUNCTION("""COMPUTED_VALUE"""),0.0064184444444444445)</f>
        <v>0.006418444444</v>
      </c>
      <c r="H708" s="15">
        <f>IFERROR(__xludf.DUMMYFUNCTION("""COMPUTED_VALUE"""),0.2549440625)</f>
        <v>0.2549440625</v>
      </c>
      <c r="I708" s="15">
        <f>IFERROR(__xludf.DUMMYFUNCTION("""COMPUTED_VALUE"""),45949.28703628156)</f>
        <v>45949.28704</v>
      </c>
      <c r="J708" s="15">
        <f>IFERROR(__xludf.DUMMYFUNCTION("""COMPUTED_VALUE"""),45949.03209221906)</f>
        <v>45949.03209</v>
      </c>
      <c r="K708" s="15">
        <f>IFERROR(__xludf.DUMMYFUNCTION("""COMPUTED_VALUE"""),45950.274201388886)</f>
        <v>45950.2742</v>
      </c>
      <c r="L708" s="4" t="str">
        <f>IFERROR(__xludf.DUMMYFUNCTION("""COMPUTED_VALUE"""),"C")</f>
        <v>C</v>
      </c>
    </row>
    <row r="709">
      <c r="A709" s="1">
        <f>IFERROR(__xludf.DUMMYFUNCTION("""COMPUTED_VALUE"""),708.0)</f>
        <v>708</v>
      </c>
      <c r="B709" s="1">
        <f>IFERROR(__xludf.DUMMYFUNCTION("""COMPUTED_VALUE"""),5876.0)</f>
        <v>5876</v>
      </c>
      <c r="C709" s="2" t="str">
        <f>IFERROR(__xludf.DUMMYFUNCTION("""COMPUTED_VALUE"""),"Muhammad Aripin")</f>
        <v>Muhammad Aripin</v>
      </c>
      <c r="D709" s="2" t="str">
        <f>IFERROR(__xludf.DUMMYFUNCTION("""COMPUTED_VALUE"""),"5KM OVERALL M")</f>
        <v>5KM OVERALL M</v>
      </c>
      <c r="E709" s="1">
        <f>IFERROR(__xludf.DUMMYFUNCTION("""COMPUTED_VALUE"""),459.0)</f>
        <v>459</v>
      </c>
      <c r="F709" s="1" t="str">
        <f>IFERROR(__xludf.DUMMYFUNCTION("""COMPUTED_VALUE"""),"Male")</f>
        <v>Male</v>
      </c>
      <c r="G709" s="5">
        <f>IFERROR(__xludf.DUMMYFUNCTION("""COMPUTED_VALUE"""),0.006421907407407408)</f>
        <v>0.006421907407</v>
      </c>
      <c r="H709" s="15">
        <f>IFERROR(__xludf.DUMMYFUNCTION("""COMPUTED_VALUE"""),0.2549440625)</f>
        <v>0.2549440625</v>
      </c>
      <c r="I709" s="15">
        <f>IFERROR(__xludf.DUMMYFUNCTION("""COMPUTED_VALUE"""),45949.2870536048)</f>
        <v>45949.28705</v>
      </c>
      <c r="J709" s="15">
        <f>IFERROR(__xludf.DUMMYFUNCTION("""COMPUTED_VALUE"""),45949.0321095423)</f>
        <v>45949.03211</v>
      </c>
      <c r="K709" s="15">
        <f>IFERROR(__xludf.DUMMYFUNCTION("""COMPUTED_VALUE"""),45949.2731794761)</f>
        <v>45949.27318</v>
      </c>
      <c r="L709" s="4"/>
    </row>
    <row r="710">
      <c r="A710" s="1">
        <f>IFERROR(__xludf.DUMMYFUNCTION("""COMPUTED_VALUE"""),709.0)</f>
        <v>709</v>
      </c>
      <c r="B710" s="1">
        <f>IFERROR(__xludf.DUMMYFUNCTION("""COMPUTED_VALUE"""),5869.0)</f>
        <v>5869</v>
      </c>
      <c r="C710" s="2" t="str">
        <f>IFERROR(__xludf.DUMMYFUNCTION("""COMPUTED_VALUE"""),"Rania")</f>
        <v>Rania</v>
      </c>
      <c r="D710" s="2" t="str">
        <f>IFERROR(__xludf.DUMMYFUNCTION("""COMPUTED_VALUE"""),"5KM OVERALL F")</f>
        <v>5KM OVERALL F</v>
      </c>
      <c r="E710" s="1">
        <f>IFERROR(__xludf.DUMMYFUNCTION("""COMPUTED_VALUE"""),109.0)</f>
        <v>109</v>
      </c>
      <c r="F710" s="1" t="str">
        <f>IFERROR(__xludf.DUMMYFUNCTION("""COMPUTED_VALUE"""),"Female")</f>
        <v>Female</v>
      </c>
      <c r="G710" s="5">
        <f>IFERROR(__xludf.DUMMYFUNCTION("""COMPUTED_VALUE"""),0.006421907407407408)</f>
        <v>0.006421907407</v>
      </c>
      <c r="H710" s="15">
        <f>IFERROR(__xludf.DUMMYFUNCTION("""COMPUTED_VALUE"""),0.2549440625)</f>
        <v>0.2549440625</v>
      </c>
      <c r="I710" s="15">
        <f>IFERROR(__xludf.DUMMYFUNCTION("""COMPUTED_VALUE"""),45949.2870536048)</f>
        <v>45949.28705</v>
      </c>
      <c r="J710" s="15">
        <f>IFERROR(__xludf.DUMMYFUNCTION("""COMPUTED_VALUE"""),45949.0321095423)</f>
        <v>45949.03211</v>
      </c>
      <c r="K710" s="15">
        <f>IFERROR(__xludf.DUMMYFUNCTION("""COMPUTED_VALUE"""),45949.274880906196)</f>
        <v>45949.27488</v>
      </c>
      <c r="L710" s="4"/>
    </row>
    <row r="711">
      <c r="A711" s="1">
        <f>IFERROR(__xludf.DUMMYFUNCTION("""COMPUTED_VALUE"""),710.0)</f>
        <v>710</v>
      </c>
      <c r="B711" s="7" t="str">
        <f>IFERROR(__xludf.DUMMYFUNCTION("""COMPUTED_VALUE"""),"7138")</f>
        <v>7138</v>
      </c>
      <c r="C711" s="8" t="str">
        <f>IFERROR(__xludf.DUMMYFUNCTION("""COMPUTED_VALUE"""),"Abah Fatih")</f>
        <v>Abah Fatih</v>
      </c>
      <c r="D711" s="2" t="str">
        <f>IFERROR(__xludf.DUMMYFUNCTION("""COMPUTED_VALUE"""),"5KM MASTER M")</f>
        <v>5KM MASTER M</v>
      </c>
      <c r="E711" s="1">
        <f>IFERROR(__xludf.DUMMYFUNCTION("""COMPUTED_VALUE"""),63.0)</f>
        <v>63</v>
      </c>
      <c r="F711" s="1" t="str">
        <f>IFERROR(__xludf.DUMMYFUNCTION("""COMPUTED_VALUE"""),"Male")</f>
        <v>Male</v>
      </c>
      <c r="G711" s="5">
        <f>IFERROR(__xludf.DUMMYFUNCTION("""COMPUTED_VALUE"""),0.006426083333333334)</f>
        <v>0.006426083333</v>
      </c>
      <c r="H711" s="15">
        <f>IFERROR(__xludf.DUMMYFUNCTION("""COMPUTED_VALUE"""),0.2549440625)</f>
        <v>0.2549440625</v>
      </c>
      <c r="I711" s="15">
        <f>IFERROR(__xludf.DUMMYFUNCTION("""COMPUTED_VALUE"""),45949.287074474705)</f>
        <v>45949.28707</v>
      </c>
      <c r="J711" s="15">
        <f>IFERROR(__xludf.DUMMYFUNCTION("""COMPUTED_VALUE"""),45949.032130412204)</f>
        <v>45949.03213</v>
      </c>
      <c r="K711" s="15">
        <f>IFERROR(__xludf.DUMMYFUNCTION("""COMPUTED_VALUE"""),45949.274599636214)</f>
        <v>45949.2746</v>
      </c>
      <c r="L711" s="4"/>
    </row>
    <row r="712">
      <c r="A712" s="1">
        <f>IFERROR(__xludf.DUMMYFUNCTION("""COMPUTED_VALUE"""),711.0)</f>
        <v>711</v>
      </c>
      <c r="B712" s="7" t="str">
        <f>IFERROR(__xludf.DUMMYFUNCTION("""COMPUTED_VALUE"""),"9026")</f>
        <v>9026</v>
      </c>
      <c r="C712" s="8" t="str">
        <f>IFERROR(__xludf.DUMMYFUNCTION("""COMPUTED_VALUE"""),"Fadhil")</f>
        <v>Fadhil</v>
      </c>
      <c r="D712" s="2" t="str">
        <f>IFERROR(__xludf.DUMMYFUNCTION("""COMPUTED_VALUE"""),"5KM STUDENT M")</f>
        <v>5KM STUDENT M</v>
      </c>
      <c r="E712" s="1">
        <f>IFERROR(__xludf.DUMMYFUNCTION("""COMPUTED_VALUE"""),53.0)</f>
        <v>53</v>
      </c>
      <c r="F712" s="1" t="str">
        <f>IFERROR(__xludf.DUMMYFUNCTION("""COMPUTED_VALUE"""),"Male")</f>
        <v>Male</v>
      </c>
      <c r="G712" s="5">
        <f>IFERROR(__xludf.DUMMYFUNCTION("""COMPUTED_VALUE"""),0.006427472222222222)</f>
        <v>0.006427472222</v>
      </c>
      <c r="H712" s="15">
        <f>IFERROR(__xludf.DUMMYFUNCTION("""COMPUTED_VALUE"""),0.2549440625)</f>
        <v>0.2549440625</v>
      </c>
      <c r="I712" s="15">
        <f>IFERROR(__xludf.DUMMYFUNCTION("""COMPUTED_VALUE"""),45949.28708141871)</f>
        <v>45949.28708</v>
      </c>
      <c r="J712" s="15">
        <f>IFERROR(__xludf.DUMMYFUNCTION("""COMPUTED_VALUE"""),45949.03213735621)</f>
        <v>45949.03214</v>
      </c>
      <c r="K712" s="15">
        <f>IFERROR(__xludf.DUMMYFUNCTION("""COMPUTED_VALUE"""),45949.27469340573)</f>
        <v>45949.27469</v>
      </c>
      <c r="L712" s="4"/>
    </row>
    <row r="713">
      <c r="A713" s="1">
        <f>IFERROR(__xludf.DUMMYFUNCTION("""COMPUTED_VALUE"""),712.0)</f>
        <v>712</v>
      </c>
      <c r="B713" s="1">
        <f>IFERROR(__xludf.DUMMYFUNCTION("""COMPUTED_VALUE"""),5589.0)</f>
        <v>5589</v>
      </c>
      <c r="C713" s="2" t="str">
        <f>IFERROR(__xludf.DUMMYFUNCTION("""COMPUTED_VALUE"""),"Fathur R")</f>
        <v>Fathur R</v>
      </c>
      <c r="D713" s="2" t="str">
        <f>IFERROR(__xludf.DUMMYFUNCTION("""COMPUTED_VALUE"""),"5KM OVERALL M")</f>
        <v>5KM OVERALL M</v>
      </c>
      <c r="E713" s="1">
        <f>IFERROR(__xludf.DUMMYFUNCTION("""COMPUTED_VALUE"""),460.0)</f>
        <v>460</v>
      </c>
      <c r="F713" s="1" t="str">
        <f>IFERROR(__xludf.DUMMYFUNCTION("""COMPUTED_VALUE"""),"Male")</f>
        <v>Male</v>
      </c>
      <c r="G713" s="5">
        <f>IFERROR(__xludf.DUMMYFUNCTION("""COMPUTED_VALUE"""),0.006428173611111111)</f>
        <v>0.006428173611</v>
      </c>
      <c r="H713" s="15">
        <f>IFERROR(__xludf.DUMMYFUNCTION("""COMPUTED_VALUE"""),0.2549440625)</f>
        <v>0.2549440625</v>
      </c>
      <c r="I713" s="15">
        <f>IFERROR(__xludf.DUMMYFUNCTION("""COMPUTED_VALUE"""),45949.2870849251)</f>
        <v>45949.28708</v>
      </c>
      <c r="J713" s="15">
        <f>IFERROR(__xludf.DUMMYFUNCTION("""COMPUTED_VALUE"""),45949.0321408626)</f>
        <v>45949.03214</v>
      </c>
      <c r="K713" s="15">
        <f>IFERROR(__xludf.DUMMYFUNCTION("""COMPUTED_VALUE"""),45949.273912164885)</f>
        <v>45949.27391</v>
      </c>
      <c r="L713" s="4"/>
    </row>
    <row r="714">
      <c r="A714" s="1">
        <f>IFERROR(__xludf.DUMMYFUNCTION("""COMPUTED_VALUE"""),713.0)</f>
        <v>713</v>
      </c>
      <c r="B714" s="1">
        <f>IFERROR(__xludf.DUMMYFUNCTION("""COMPUTED_VALUE"""),5864.0)</f>
        <v>5864</v>
      </c>
      <c r="C714" s="2" t="str">
        <f>IFERROR(__xludf.DUMMYFUNCTION("""COMPUTED_VALUE"""),"RIHAN")</f>
        <v>RIHAN</v>
      </c>
      <c r="D714" s="2" t="str">
        <f>IFERROR(__xludf.DUMMYFUNCTION("""COMPUTED_VALUE"""),"5KM OVERALL M")</f>
        <v>5KM OVERALL M</v>
      </c>
      <c r="E714" s="1">
        <f>IFERROR(__xludf.DUMMYFUNCTION("""COMPUTED_VALUE"""),461.0)</f>
        <v>461</v>
      </c>
      <c r="F714" s="1" t="str">
        <f>IFERROR(__xludf.DUMMYFUNCTION("""COMPUTED_VALUE"""),"Male")</f>
        <v>Male</v>
      </c>
      <c r="G714" s="5">
        <f>IFERROR(__xludf.DUMMYFUNCTION("""COMPUTED_VALUE"""),0.006432483796296297)</f>
        <v>0.006432483796</v>
      </c>
      <c r="H714" s="15">
        <f>IFERROR(__xludf.DUMMYFUNCTION("""COMPUTED_VALUE"""),0.2549440625)</f>
        <v>0.2549440625</v>
      </c>
      <c r="I714" s="15">
        <f>IFERROR(__xludf.DUMMYFUNCTION("""COMPUTED_VALUE"""),45949.28710648148)</f>
        <v>45949.28711</v>
      </c>
      <c r="J714" s="15">
        <f>IFERROR(__xludf.DUMMYFUNCTION("""COMPUTED_VALUE"""),45949.03216241898)</f>
        <v>45949.03216</v>
      </c>
      <c r="K714" s="15">
        <f>IFERROR(__xludf.DUMMYFUNCTION("""COMPUTED_VALUE"""),45949.27384275617)</f>
        <v>45949.27384</v>
      </c>
      <c r="L714" s="4"/>
    </row>
    <row r="715">
      <c r="A715" s="1">
        <f>IFERROR(__xludf.DUMMYFUNCTION("""COMPUTED_VALUE"""),714.0)</f>
        <v>714</v>
      </c>
      <c r="B715" s="1">
        <f>IFERROR(__xludf.DUMMYFUNCTION("""COMPUTED_VALUE"""),5299.0)</f>
        <v>5299</v>
      </c>
      <c r="C715" s="2" t="str">
        <f>IFERROR(__xludf.DUMMYFUNCTION("""COMPUTED_VALUE"""),"NANANG SAIFUL ANWAR")</f>
        <v>NANANG SAIFUL ANWAR</v>
      </c>
      <c r="D715" s="2" t="str">
        <f>IFERROR(__xludf.DUMMYFUNCTION("""COMPUTED_VALUE"""),"5KM OVERALL M")</f>
        <v>5KM OVERALL M</v>
      </c>
      <c r="E715" s="1">
        <f>IFERROR(__xludf.DUMMYFUNCTION("""COMPUTED_VALUE"""),462.0)</f>
        <v>462</v>
      </c>
      <c r="F715" s="1" t="str">
        <f>IFERROR(__xludf.DUMMYFUNCTION("""COMPUTED_VALUE"""),"Male")</f>
        <v>Male</v>
      </c>
      <c r="G715" s="5">
        <f>IFERROR(__xludf.DUMMYFUNCTION("""COMPUTED_VALUE"""),0.006437113425925926)</f>
        <v>0.006437113426</v>
      </c>
      <c r="H715" s="15">
        <f>IFERROR(__xludf.DUMMYFUNCTION("""COMPUTED_VALUE"""),0.2549440625)</f>
        <v>0.2549440625</v>
      </c>
      <c r="I715" s="15">
        <f>IFERROR(__xludf.DUMMYFUNCTION("""COMPUTED_VALUE"""),45949.28712962963)</f>
        <v>45949.28713</v>
      </c>
      <c r="J715" s="15">
        <f>IFERROR(__xludf.DUMMYFUNCTION("""COMPUTED_VALUE"""),45949.03218556713)</f>
        <v>45949.03219</v>
      </c>
      <c r="K715" s="15">
        <f>IFERROR(__xludf.DUMMYFUNCTION("""COMPUTED_VALUE"""),45949.2738322856)</f>
        <v>45949.27383</v>
      </c>
      <c r="L715" s="4"/>
    </row>
    <row r="716">
      <c r="A716" s="1">
        <f>IFERROR(__xludf.DUMMYFUNCTION("""COMPUTED_VALUE"""),715.0)</f>
        <v>715</v>
      </c>
      <c r="B716" s="7" t="str">
        <f>IFERROR(__xludf.DUMMYFUNCTION("""COMPUTED_VALUE"""),"7163")</f>
        <v>7163</v>
      </c>
      <c r="C716" s="8" t="str">
        <f>IFERROR(__xludf.DUMMYFUNCTION("""COMPUTED_VALUE"""),"lidya")</f>
        <v>lidya</v>
      </c>
      <c r="D716" s="2" t="str">
        <f>IFERROR(__xludf.DUMMYFUNCTION("""COMPUTED_VALUE"""),"5KM MASTER F")</f>
        <v>5KM MASTER F</v>
      </c>
      <c r="E716" s="1">
        <f>IFERROR(__xludf.DUMMYFUNCTION("""COMPUTED_VALUE"""),22.0)</f>
        <v>22</v>
      </c>
      <c r="F716" s="1" t="str">
        <f>IFERROR(__xludf.DUMMYFUNCTION("""COMPUTED_VALUE"""),"Female")</f>
        <v>Female</v>
      </c>
      <c r="G716" s="5">
        <f>IFERROR(__xludf.DUMMYFUNCTION("""COMPUTED_VALUE"""),0.006444138888888888)</f>
        <v>0.006444138889</v>
      </c>
      <c r="H716" s="15">
        <f>IFERROR(__xludf.DUMMYFUNCTION("""COMPUTED_VALUE"""),0.2549440625)</f>
        <v>0.2549440625</v>
      </c>
      <c r="I716" s="15">
        <f>IFERROR(__xludf.DUMMYFUNCTION("""COMPUTED_VALUE"""),45949.28716475506)</f>
        <v>45949.28716</v>
      </c>
      <c r="J716" s="15">
        <f>IFERROR(__xludf.DUMMYFUNCTION("""COMPUTED_VALUE"""),45949.032220692556)</f>
        <v>45949.03222</v>
      </c>
      <c r="K716" s="15">
        <f>IFERROR(__xludf.DUMMYFUNCTION("""COMPUTED_VALUE"""),45949.27240863871)</f>
        <v>45949.27241</v>
      </c>
      <c r="L716" s="4"/>
    </row>
    <row r="717">
      <c r="A717" s="1">
        <f>IFERROR(__xludf.DUMMYFUNCTION("""COMPUTED_VALUE"""),716.0)</f>
        <v>716</v>
      </c>
      <c r="B717" s="1">
        <f>IFERROR(__xludf.DUMMYFUNCTION("""COMPUTED_VALUE"""),5759.0)</f>
        <v>5759</v>
      </c>
      <c r="C717" s="2" t="str">
        <f>IFERROR(__xludf.DUMMYFUNCTION("""COMPUTED_VALUE"""),"Daeng21")</f>
        <v>Daeng21</v>
      </c>
      <c r="D717" s="2" t="str">
        <f>IFERROR(__xludf.DUMMYFUNCTION("""COMPUTED_VALUE"""),"5KM OVERALL M")</f>
        <v>5KM OVERALL M</v>
      </c>
      <c r="E717" s="1">
        <f>IFERROR(__xludf.DUMMYFUNCTION("""COMPUTED_VALUE"""),463.0)</f>
        <v>463</v>
      </c>
      <c r="F717" s="1" t="str">
        <f>IFERROR(__xludf.DUMMYFUNCTION("""COMPUTED_VALUE"""),"Male")</f>
        <v>Male</v>
      </c>
      <c r="G717" s="5">
        <f>IFERROR(__xludf.DUMMYFUNCTION("""COMPUTED_VALUE"""),0.006446916666666668)</f>
        <v>0.006446916667</v>
      </c>
      <c r="H717" s="15">
        <f>IFERROR(__xludf.DUMMYFUNCTION("""COMPUTED_VALUE"""),0.2549440625)</f>
        <v>0.2549440625</v>
      </c>
      <c r="I717" s="15">
        <f>IFERROR(__xludf.DUMMYFUNCTION("""COMPUTED_VALUE"""),45949.28717864391)</f>
        <v>45949.28718</v>
      </c>
      <c r="J717" s="15">
        <f>IFERROR(__xludf.DUMMYFUNCTION("""COMPUTED_VALUE"""),45949.032234581406)</f>
        <v>45949.03223</v>
      </c>
      <c r="K717" s="15">
        <f>IFERROR(__xludf.DUMMYFUNCTION("""COMPUTED_VALUE"""),45949.273655164274)</f>
        <v>45949.27366</v>
      </c>
      <c r="L717" s="4"/>
    </row>
    <row r="718">
      <c r="A718" s="1">
        <f>IFERROR(__xludf.DUMMYFUNCTION("""COMPUTED_VALUE"""),717.0)</f>
        <v>717</v>
      </c>
      <c r="B718" s="1">
        <f>IFERROR(__xludf.DUMMYFUNCTION("""COMPUTED_VALUE"""),6526.0)</f>
        <v>6526</v>
      </c>
      <c r="C718" s="2" t="str">
        <f>IFERROR(__xludf.DUMMYFUNCTION("""COMPUTED_VALUE"""),"MEDIA")</f>
        <v>MEDIA</v>
      </c>
      <c r="D718" s="2" t="str">
        <f>IFERROR(__xludf.DUMMYFUNCTION("""COMPUTED_VALUE"""),"5KM OVERALL M")</f>
        <v>5KM OVERALL M</v>
      </c>
      <c r="E718" s="1">
        <f>IFERROR(__xludf.DUMMYFUNCTION("""COMPUTED_VALUE"""),464.0)</f>
        <v>464</v>
      </c>
      <c r="F718" s="1" t="str">
        <f>IFERROR(__xludf.DUMMYFUNCTION("""COMPUTED_VALUE"""),"Male")</f>
        <v>Male</v>
      </c>
      <c r="G718" s="5">
        <f>IFERROR(__xludf.DUMMYFUNCTION("""COMPUTED_VALUE"""),0.0064476111111111106)</f>
        <v>0.006447611111</v>
      </c>
      <c r="H718" s="15">
        <f>IFERROR(__xludf.DUMMYFUNCTION("""COMPUTED_VALUE"""),0.2549440625)</f>
        <v>0.2549440625</v>
      </c>
      <c r="I718" s="15">
        <f>IFERROR(__xludf.DUMMYFUNCTION("""COMPUTED_VALUE"""),45949.28718211753)</f>
        <v>45949.28718</v>
      </c>
      <c r="J718" s="15">
        <f>IFERROR(__xludf.DUMMYFUNCTION("""COMPUTED_VALUE"""),45949.03223805503)</f>
        <v>45949.03224</v>
      </c>
      <c r="K718" s="15">
        <f>IFERROR(__xludf.DUMMYFUNCTION("""COMPUTED_VALUE"""),45949.27436697726)</f>
        <v>45949.27437</v>
      </c>
      <c r="L718" s="4"/>
    </row>
    <row r="719">
      <c r="A719" s="1">
        <f>IFERROR(__xludf.DUMMYFUNCTION("""COMPUTED_VALUE"""),718.0)</f>
        <v>718</v>
      </c>
      <c r="B719" s="1">
        <f>IFERROR(__xludf.DUMMYFUNCTION("""COMPUTED_VALUE"""),5627.0)</f>
        <v>5627</v>
      </c>
      <c r="C719" s="2" t="str">
        <f>IFERROR(__xludf.DUMMYFUNCTION("""COMPUTED_VALUE"""),"MUHAMMAD SYAUQIE")</f>
        <v>MUHAMMAD SYAUQIE</v>
      </c>
      <c r="D719" s="2" t="str">
        <f>IFERROR(__xludf.DUMMYFUNCTION("""COMPUTED_VALUE"""),"5KM OVERALL M")</f>
        <v>5KM OVERALL M</v>
      </c>
      <c r="E719" s="1">
        <f>IFERROR(__xludf.DUMMYFUNCTION("""COMPUTED_VALUE"""),465.0)</f>
        <v>465</v>
      </c>
      <c r="F719" s="1" t="str">
        <f>IFERROR(__xludf.DUMMYFUNCTION("""COMPUTED_VALUE"""),"Male")</f>
        <v>Male</v>
      </c>
      <c r="G719" s="5">
        <f>IFERROR(__xludf.DUMMYFUNCTION("""COMPUTED_VALUE"""),0.0064476111111111106)</f>
        <v>0.006447611111</v>
      </c>
      <c r="H719" s="15">
        <f>IFERROR(__xludf.DUMMYFUNCTION("""COMPUTED_VALUE"""),0.2549440625)</f>
        <v>0.2549440625</v>
      </c>
      <c r="I719" s="15">
        <f>IFERROR(__xludf.DUMMYFUNCTION("""COMPUTED_VALUE"""),45949.28718211753)</f>
        <v>45949.28718</v>
      </c>
      <c r="J719" s="15">
        <f>IFERROR(__xludf.DUMMYFUNCTION("""COMPUTED_VALUE"""),45949.03223805503)</f>
        <v>45949.03224</v>
      </c>
      <c r="K719" s="15">
        <f>IFERROR(__xludf.DUMMYFUNCTION("""COMPUTED_VALUE"""),45949.27442947265)</f>
        <v>45949.27443</v>
      </c>
      <c r="L719" s="4"/>
    </row>
    <row r="720">
      <c r="A720" s="1">
        <f>IFERROR(__xludf.DUMMYFUNCTION("""COMPUTED_VALUE"""),719.0)</f>
        <v>719</v>
      </c>
      <c r="B720" s="1">
        <f>IFERROR(__xludf.DUMMYFUNCTION("""COMPUTED_VALUE"""),5706.0)</f>
        <v>5706</v>
      </c>
      <c r="C720" s="2" t="str">
        <f>IFERROR(__xludf.DUMMYFUNCTION("""COMPUTED_VALUE"""),"Firdaus")</f>
        <v>Firdaus</v>
      </c>
      <c r="D720" s="2" t="str">
        <f>IFERROR(__xludf.DUMMYFUNCTION("""COMPUTED_VALUE"""),"5KM OVERALL M")</f>
        <v>5KM OVERALL M</v>
      </c>
      <c r="E720" s="1">
        <f>IFERROR(__xludf.DUMMYFUNCTION("""COMPUTED_VALUE"""),466.0)</f>
        <v>466</v>
      </c>
      <c r="F720" s="1" t="str">
        <f>IFERROR(__xludf.DUMMYFUNCTION("""COMPUTED_VALUE"""),"Male")</f>
        <v>Male</v>
      </c>
      <c r="G720" s="5">
        <f>IFERROR(__xludf.DUMMYFUNCTION("""COMPUTED_VALUE"""),0.006450388888888889)</f>
        <v>0.006450388889</v>
      </c>
      <c r="H720" s="15">
        <f>IFERROR(__xludf.DUMMYFUNCTION("""COMPUTED_VALUE"""),0.2549440625)</f>
        <v>0.2549440625</v>
      </c>
      <c r="I720" s="15">
        <f>IFERROR(__xludf.DUMMYFUNCTION("""COMPUTED_VALUE"""),45949.287196004065)</f>
        <v>45949.2872</v>
      </c>
      <c r="J720" s="15">
        <f>IFERROR(__xludf.DUMMYFUNCTION("""COMPUTED_VALUE"""),45949.032251941564)</f>
        <v>45949.03225</v>
      </c>
      <c r="K720" s="15">
        <f>IFERROR(__xludf.DUMMYFUNCTION("""COMPUTED_VALUE"""),45949.27399196804)</f>
        <v>45949.27399</v>
      </c>
      <c r="L720" s="4"/>
    </row>
    <row r="721">
      <c r="A721" s="1">
        <f>IFERROR(__xludf.DUMMYFUNCTION("""COMPUTED_VALUE"""),720.0)</f>
        <v>720</v>
      </c>
      <c r="B721" s="1">
        <f>IFERROR(__xludf.DUMMYFUNCTION("""COMPUTED_VALUE"""),5109.0)</f>
        <v>5109</v>
      </c>
      <c r="C721" s="2" t="str">
        <f>IFERROR(__xludf.DUMMYFUNCTION("""COMPUTED_VALUE"""),"muhammad rafa")</f>
        <v>muhammad rafa</v>
      </c>
      <c r="D721" s="2" t="str">
        <f>IFERROR(__xludf.DUMMYFUNCTION("""COMPUTED_VALUE"""),"5KM OVERALL M")</f>
        <v>5KM OVERALL M</v>
      </c>
      <c r="E721" s="1">
        <f>IFERROR(__xludf.DUMMYFUNCTION("""COMPUTED_VALUE"""),467.0)</f>
        <v>467</v>
      </c>
      <c r="F721" s="1" t="str">
        <f>IFERROR(__xludf.DUMMYFUNCTION("""COMPUTED_VALUE"""),"Male")</f>
        <v>Male</v>
      </c>
      <c r="G721" s="5">
        <f>IFERROR(__xludf.DUMMYFUNCTION("""COMPUTED_VALUE"""),0.006451083333333334)</f>
        <v>0.006451083333</v>
      </c>
      <c r="H721" s="15">
        <f>IFERROR(__xludf.DUMMYFUNCTION("""COMPUTED_VALUE"""),0.2549440625)</f>
        <v>0.2549440625</v>
      </c>
      <c r="I721" s="15">
        <f>IFERROR(__xludf.DUMMYFUNCTION("""COMPUTED_VALUE"""),45949.2871994836)</f>
        <v>45949.2872</v>
      </c>
      <c r="J721" s="15">
        <f>IFERROR(__xludf.DUMMYFUNCTION("""COMPUTED_VALUE"""),45949.0322554211)</f>
        <v>45949.03226</v>
      </c>
      <c r="K721" s="15">
        <f>IFERROR(__xludf.DUMMYFUNCTION("""COMPUTED_VALUE"""),45949.2740034842)</f>
        <v>45949.274</v>
      </c>
      <c r="L721" s="4"/>
    </row>
    <row r="722">
      <c r="A722" s="1">
        <f>IFERROR(__xludf.DUMMYFUNCTION("""COMPUTED_VALUE"""),721.0)</f>
        <v>721</v>
      </c>
      <c r="B722" s="1">
        <f>IFERROR(__xludf.DUMMYFUNCTION("""COMPUTED_VALUE"""),6382.0)</f>
        <v>6382</v>
      </c>
      <c r="C722" s="2" t="str">
        <f>IFERROR(__xludf.DUMMYFUNCTION("""COMPUTED_VALUE"""),"REYNALDI HAKIM")</f>
        <v>REYNALDI HAKIM</v>
      </c>
      <c r="D722" s="2" t="str">
        <f>IFERROR(__xludf.DUMMYFUNCTION("""COMPUTED_VALUE"""),"5KM OVERALL M")</f>
        <v>5KM OVERALL M</v>
      </c>
      <c r="E722" s="1">
        <f>IFERROR(__xludf.DUMMYFUNCTION("""COMPUTED_VALUE"""),468.0)</f>
        <v>468</v>
      </c>
      <c r="F722" s="1" t="str">
        <f>IFERROR(__xludf.DUMMYFUNCTION("""COMPUTED_VALUE"""),"Male")</f>
        <v>Male</v>
      </c>
      <c r="G722" s="5">
        <f>IFERROR(__xludf.DUMMYFUNCTION("""COMPUTED_VALUE"""),0.006452474537037037)</f>
        <v>0.006452474537</v>
      </c>
      <c r="H722" s="15">
        <f>IFERROR(__xludf.DUMMYFUNCTION("""COMPUTED_VALUE"""),0.2549440625)</f>
        <v>0.2549440625</v>
      </c>
      <c r="I722" s="15">
        <f>IFERROR(__xludf.DUMMYFUNCTION("""COMPUTED_VALUE"""),45949.28720643799)</f>
        <v>45949.28721</v>
      </c>
      <c r="J722" s="15">
        <f>IFERROR(__xludf.DUMMYFUNCTION("""COMPUTED_VALUE"""),45949.03226237549)</f>
        <v>45949.03226</v>
      </c>
      <c r="K722" s="15">
        <f>IFERROR(__xludf.DUMMYFUNCTION("""COMPUTED_VALUE"""),45949.27271766883)</f>
        <v>45949.27272</v>
      </c>
      <c r="L722" s="4"/>
    </row>
    <row r="723">
      <c r="A723" s="1">
        <f>IFERROR(__xludf.DUMMYFUNCTION("""COMPUTED_VALUE"""),722.0)</f>
        <v>722</v>
      </c>
      <c r="B723" s="1">
        <f>IFERROR(__xludf.DUMMYFUNCTION("""COMPUTED_VALUE"""),6424.0)</f>
        <v>6424</v>
      </c>
      <c r="C723" s="2" t="str">
        <f>IFERROR(__xludf.DUMMYFUNCTION("""COMPUTED_VALUE"""),"RATNA")</f>
        <v>RATNA</v>
      </c>
      <c r="D723" s="2" t="str">
        <f>IFERROR(__xludf.DUMMYFUNCTION("""COMPUTED_VALUE"""),"5KM OVERALL F")</f>
        <v>5KM OVERALL F</v>
      </c>
      <c r="E723" s="1">
        <f>IFERROR(__xludf.DUMMYFUNCTION("""COMPUTED_VALUE"""),110.0)</f>
        <v>110</v>
      </c>
      <c r="F723" s="1" t="str">
        <f>IFERROR(__xludf.DUMMYFUNCTION("""COMPUTED_VALUE"""),"Female")</f>
        <v>Female</v>
      </c>
      <c r="G723" s="5">
        <f>IFERROR(__xludf.DUMMYFUNCTION("""COMPUTED_VALUE"""),0.0064587222222222225)</f>
        <v>0.006458722222</v>
      </c>
      <c r="H723" s="15">
        <f>IFERROR(__xludf.DUMMYFUNCTION("""COMPUTED_VALUE"""),0.2549440625)</f>
        <v>0.2549440625</v>
      </c>
      <c r="I723" s="15">
        <f>IFERROR(__xludf.DUMMYFUNCTION("""COMPUTED_VALUE"""),45949.28723767748)</f>
        <v>45949.28724</v>
      </c>
      <c r="J723" s="15">
        <f>IFERROR(__xludf.DUMMYFUNCTION("""COMPUTED_VALUE"""),45949.03229361498)</f>
        <v>45949.03229</v>
      </c>
      <c r="K723" s="15">
        <f>IFERROR(__xludf.DUMMYFUNCTION("""COMPUTED_VALUE"""),45949.273078888684)</f>
        <v>45949.27308</v>
      </c>
      <c r="L723" s="4"/>
    </row>
    <row r="724">
      <c r="A724" s="1">
        <f>IFERROR(__xludf.DUMMYFUNCTION("""COMPUTED_VALUE"""),723.0)</f>
        <v>723</v>
      </c>
      <c r="B724" s="1">
        <f>IFERROR(__xludf.DUMMYFUNCTION("""COMPUTED_VALUE"""),6469.0)</f>
        <v>6469</v>
      </c>
      <c r="C724" s="2" t="str">
        <f>IFERROR(__xludf.DUMMYFUNCTION("""COMPUTED_VALUE"""),"M. FATIH ")</f>
        <v>M. FATIH </v>
      </c>
      <c r="D724" s="2" t="str">
        <f>IFERROR(__xludf.DUMMYFUNCTION("""COMPUTED_VALUE"""),"5KM OVERALL M")</f>
        <v>5KM OVERALL M</v>
      </c>
      <c r="E724" s="1">
        <f>IFERROR(__xludf.DUMMYFUNCTION("""COMPUTED_VALUE"""),469.0)</f>
        <v>469</v>
      </c>
      <c r="F724" s="1" t="str">
        <f>IFERROR(__xludf.DUMMYFUNCTION("""COMPUTED_VALUE"""),"Male")</f>
        <v>Male</v>
      </c>
      <c r="G724" s="5">
        <f>IFERROR(__xludf.DUMMYFUNCTION("""COMPUTED_VALUE"""),0.006467043981481481)</f>
        <v>0.006467043981</v>
      </c>
      <c r="H724" s="15">
        <f>IFERROR(__xludf.DUMMYFUNCTION("""COMPUTED_VALUE"""),0.2549440625)</f>
        <v>0.2549440625</v>
      </c>
      <c r="I724" s="15">
        <f>IFERROR(__xludf.DUMMYFUNCTION("""COMPUTED_VALUE"""),45949.28727928732)</f>
        <v>45949.28728</v>
      </c>
      <c r="J724" s="15">
        <f>IFERROR(__xludf.DUMMYFUNCTION("""COMPUTED_VALUE"""),45949.032335224816)</f>
        <v>45949.03234</v>
      </c>
      <c r="K724" s="15">
        <f>IFERROR(__xludf.DUMMYFUNCTION("""COMPUTED_VALUE"""),45949.27203715435)</f>
        <v>45949.27204</v>
      </c>
      <c r="L724" s="4"/>
    </row>
    <row r="725">
      <c r="A725" s="1">
        <f>IFERROR(__xludf.DUMMYFUNCTION("""COMPUTED_VALUE"""),724.0)</f>
        <v>724</v>
      </c>
      <c r="B725" s="1">
        <f>IFERROR(__xludf.DUMMYFUNCTION("""COMPUTED_VALUE"""),6333.0)</f>
        <v>6333</v>
      </c>
      <c r="C725" s="2" t="str">
        <f>IFERROR(__xludf.DUMMYFUNCTION("""COMPUTED_VALUE"""),"Kakaknya Zola")</f>
        <v>Kakaknya Zola</v>
      </c>
      <c r="D725" s="2" t="str">
        <f>IFERROR(__xludf.DUMMYFUNCTION("""COMPUTED_VALUE"""),"5KM OVERALL F")</f>
        <v>5KM OVERALL F</v>
      </c>
      <c r="E725" s="1">
        <f>IFERROR(__xludf.DUMMYFUNCTION("""COMPUTED_VALUE"""),111.0)</f>
        <v>111</v>
      </c>
      <c r="F725" s="1" t="str">
        <f>IFERROR(__xludf.DUMMYFUNCTION("""COMPUTED_VALUE"""),"Female")</f>
        <v>Female</v>
      </c>
      <c r="G725" s="5">
        <f>IFERROR(__xludf.DUMMYFUNCTION("""COMPUTED_VALUE"""),0.006479636574074074)</f>
        <v>0.006479636574</v>
      </c>
      <c r="H725" s="15">
        <f>IFERROR(__xludf.DUMMYFUNCTION("""COMPUTED_VALUE"""),0.2549440625)</f>
        <v>0.2549440625</v>
      </c>
      <c r="I725" s="15">
        <f>IFERROR(__xludf.DUMMYFUNCTION("""COMPUTED_VALUE"""),45949.28734224476)</f>
        <v>45949.28734</v>
      </c>
      <c r="J725" s="15">
        <f>IFERROR(__xludf.DUMMYFUNCTION("""COMPUTED_VALUE"""),45949.03239818226)</f>
        <v>45949.0324</v>
      </c>
      <c r="K725" s="15">
        <f>IFERROR(__xludf.DUMMYFUNCTION("""COMPUTED_VALUE"""),45949.27441567265)</f>
        <v>45949.27442</v>
      </c>
      <c r="L725" s="4"/>
    </row>
    <row r="726">
      <c r="A726" s="1">
        <f>IFERROR(__xludf.DUMMYFUNCTION("""COMPUTED_VALUE"""),725.0)</f>
        <v>725</v>
      </c>
      <c r="B726" s="1">
        <f>IFERROR(__xludf.DUMMYFUNCTION("""COMPUTED_VALUE"""),5885.0)</f>
        <v>5885</v>
      </c>
      <c r="C726" s="2" t="str">
        <f>IFERROR(__xludf.DUMMYFUNCTION("""COMPUTED_VALUE"""),"Nanad")</f>
        <v>Nanad</v>
      </c>
      <c r="D726" s="2" t="str">
        <f>IFERROR(__xludf.DUMMYFUNCTION("""COMPUTED_VALUE"""),"5KM OVERALL F")</f>
        <v>5KM OVERALL F</v>
      </c>
      <c r="E726" s="1">
        <f>IFERROR(__xludf.DUMMYFUNCTION("""COMPUTED_VALUE"""),112.0)</f>
        <v>112</v>
      </c>
      <c r="F726" s="1" t="str">
        <f>IFERROR(__xludf.DUMMYFUNCTION("""COMPUTED_VALUE"""),"Female")</f>
        <v>Female</v>
      </c>
      <c r="G726" s="5">
        <f>IFERROR(__xludf.DUMMYFUNCTION("""COMPUTED_VALUE"""),0.006485113425925925)</f>
        <v>0.006485113426</v>
      </c>
      <c r="H726" s="15">
        <f>IFERROR(__xludf.DUMMYFUNCTION("""COMPUTED_VALUE"""),0.2549440625)</f>
        <v>0.2549440625</v>
      </c>
      <c r="I726" s="15">
        <f>IFERROR(__xludf.DUMMYFUNCTION("""COMPUTED_VALUE"""),45949.28736963294)</f>
        <v>45949.28737</v>
      </c>
      <c r="J726" s="15">
        <f>IFERROR(__xludf.DUMMYFUNCTION("""COMPUTED_VALUE"""),45949.03242557044)</f>
        <v>45949.03243</v>
      </c>
      <c r="K726" s="15">
        <f>IFERROR(__xludf.DUMMYFUNCTION("""COMPUTED_VALUE"""),45949.27420724117)</f>
        <v>45949.27421</v>
      </c>
      <c r="L726" s="4"/>
    </row>
    <row r="727">
      <c r="A727" s="1">
        <f>IFERROR(__xludf.DUMMYFUNCTION("""COMPUTED_VALUE"""),726.0)</f>
        <v>726</v>
      </c>
      <c r="B727" s="1">
        <f>IFERROR(__xludf.DUMMYFUNCTION("""COMPUTED_VALUE"""),5803.0)</f>
        <v>5803</v>
      </c>
      <c r="C727" s="2" t="str">
        <f>IFERROR(__xludf.DUMMYFUNCTION("""COMPUTED_VALUE"""),"Hanafi")</f>
        <v>Hanafi</v>
      </c>
      <c r="D727" s="2" t="str">
        <f>IFERROR(__xludf.DUMMYFUNCTION("""COMPUTED_VALUE"""),"5KM OVERALL M")</f>
        <v>5KM OVERALL M</v>
      </c>
      <c r="E727" s="1">
        <f>IFERROR(__xludf.DUMMYFUNCTION("""COMPUTED_VALUE"""),470.0)</f>
        <v>470</v>
      </c>
      <c r="F727" s="1" t="str">
        <f>IFERROR(__xludf.DUMMYFUNCTION("""COMPUTED_VALUE"""),"Male")</f>
        <v>Male</v>
      </c>
      <c r="G727" s="5">
        <f>IFERROR(__xludf.DUMMYFUNCTION("""COMPUTED_VALUE"""),0.006487194444444444)</f>
        <v>0.006487194444</v>
      </c>
      <c r="H727" s="15">
        <f>IFERROR(__xludf.DUMMYFUNCTION("""COMPUTED_VALUE"""),0.2549440625)</f>
        <v>0.2549440625</v>
      </c>
      <c r="I727" s="15">
        <f>IFERROR(__xludf.DUMMYFUNCTION("""COMPUTED_VALUE"""),45949.287380038935)</f>
        <v>45949.28738</v>
      </c>
      <c r="J727" s="15">
        <f>IFERROR(__xludf.DUMMYFUNCTION("""COMPUTED_VALUE"""),45949.032435976434)</f>
        <v>45949.03244</v>
      </c>
      <c r="K727" s="15">
        <f>IFERROR(__xludf.DUMMYFUNCTION("""COMPUTED_VALUE"""),45949.2743427318)</f>
        <v>45949.27434</v>
      </c>
      <c r="L727" s="4"/>
    </row>
    <row r="728">
      <c r="A728" s="1">
        <f>IFERROR(__xludf.DUMMYFUNCTION("""COMPUTED_VALUE"""),727.0)</f>
        <v>727</v>
      </c>
      <c r="B728" s="1">
        <f>IFERROR(__xludf.DUMMYFUNCTION("""COMPUTED_VALUE"""),5456.0)</f>
        <v>5456</v>
      </c>
      <c r="C728" s="2" t="str">
        <f>IFERROR(__xludf.DUMMYFUNCTION("""COMPUTED_VALUE"""),"Abdi Sustiawan")</f>
        <v>Abdi Sustiawan</v>
      </c>
      <c r="D728" s="2" t="str">
        <f>IFERROR(__xludf.DUMMYFUNCTION("""COMPUTED_VALUE"""),"5KM OVERALL F")</f>
        <v>5KM OVERALL F</v>
      </c>
      <c r="E728" s="1">
        <f>IFERROR(__xludf.DUMMYFUNCTION("""COMPUTED_VALUE"""),113.0)</f>
        <v>113</v>
      </c>
      <c r="F728" s="1" t="str">
        <f>IFERROR(__xludf.DUMMYFUNCTION("""COMPUTED_VALUE"""),"Female")</f>
        <v>Female</v>
      </c>
      <c r="G728" s="5">
        <f>IFERROR(__xludf.DUMMYFUNCTION("""COMPUTED_VALUE"""),0.0064885740740740746)</f>
        <v>0.006488574074</v>
      </c>
      <c r="H728" s="15">
        <f>IFERROR(__xludf.DUMMYFUNCTION("""COMPUTED_VALUE"""),0.2549440625)</f>
        <v>0.2549440625</v>
      </c>
      <c r="I728" s="15">
        <f>IFERROR(__xludf.DUMMYFUNCTION("""COMPUTED_VALUE"""),45949.287386938515)</f>
        <v>45949.28739</v>
      </c>
      <c r="J728" s="15">
        <f>IFERROR(__xludf.DUMMYFUNCTION("""COMPUTED_VALUE"""),45949.032442876014)</f>
        <v>45949.03244</v>
      </c>
      <c r="K728" s="15">
        <f>IFERROR(__xludf.DUMMYFUNCTION("""COMPUTED_VALUE"""),45949.27462050931)</f>
        <v>45949.27462</v>
      </c>
      <c r="L728" s="4"/>
    </row>
    <row r="729">
      <c r="A729" s="1">
        <f>IFERROR(__xludf.DUMMYFUNCTION("""COMPUTED_VALUE"""),728.0)</f>
        <v>728</v>
      </c>
      <c r="B729" s="1">
        <f>IFERROR(__xludf.DUMMYFUNCTION("""COMPUTED_VALUE"""),5015.0)</f>
        <v>5015</v>
      </c>
      <c r="C729" s="2" t="str">
        <f>IFERROR(__xludf.DUMMYFUNCTION("""COMPUTED_VALUE"""),"sari")</f>
        <v>sari</v>
      </c>
      <c r="D729" s="2" t="str">
        <f>IFERROR(__xludf.DUMMYFUNCTION("""COMPUTED_VALUE"""),"5KM OVERALL F")</f>
        <v>5KM OVERALL F</v>
      </c>
      <c r="E729" s="1">
        <f>IFERROR(__xludf.DUMMYFUNCTION("""COMPUTED_VALUE"""),114.0)</f>
        <v>114</v>
      </c>
      <c r="F729" s="1" t="str">
        <f>IFERROR(__xludf.DUMMYFUNCTION("""COMPUTED_VALUE"""),"Female")</f>
        <v>Female</v>
      </c>
      <c r="G729" s="5">
        <f>IFERROR(__xludf.DUMMYFUNCTION("""COMPUTED_VALUE"""),0.006490668981481482)</f>
        <v>0.006490668981</v>
      </c>
      <c r="H729" s="15">
        <f>IFERROR(__xludf.DUMMYFUNCTION("""COMPUTED_VALUE"""),0.2549440625)</f>
        <v>0.2549440625</v>
      </c>
      <c r="I729" s="15">
        <f>IFERROR(__xludf.DUMMYFUNCTION("""COMPUTED_VALUE"""),45949.28739741115)</f>
        <v>45949.2874</v>
      </c>
      <c r="J729" s="15">
        <f>IFERROR(__xludf.DUMMYFUNCTION("""COMPUTED_VALUE"""),45949.03245334865)</f>
        <v>45949.03245</v>
      </c>
      <c r="K729" s="15">
        <f>IFERROR(__xludf.DUMMYFUNCTION("""COMPUTED_VALUE"""),45949.274210729745)</f>
        <v>45949.27421</v>
      </c>
      <c r="L729" s="4"/>
    </row>
    <row r="730">
      <c r="A730" s="1">
        <f>IFERROR(__xludf.DUMMYFUNCTION("""COMPUTED_VALUE"""),729.0)</f>
        <v>729</v>
      </c>
      <c r="B730" s="1">
        <f>IFERROR(__xludf.DUMMYFUNCTION("""COMPUTED_VALUE"""),5524.0)</f>
        <v>5524</v>
      </c>
      <c r="C730" s="2" t="str">
        <f>IFERROR(__xludf.DUMMYFUNCTION("""COMPUTED_VALUE"""),"Nor Azizah")</f>
        <v>Nor Azizah</v>
      </c>
      <c r="D730" s="2" t="str">
        <f>IFERROR(__xludf.DUMMYFUNCTION("""COMPUTED_VALUE"""),"5KM OVERALL F")</f>
        <v>5KM OVERALL F</v>
      </c>
      <c r="E730" s="1">
        <f>IFERROR(__xludf.DUMMYFUNCTION("""COMPUTED_VALUE"""),115.0)</f>
        <v>115</v>
      </c>
      <c r="F730" s="1" t="str">
        <f>IFERROR(__xludf.DUMMYFUNCTION("""COMPUTED_VALUE"""),"Female")</f>
        <v>Female</v>
      </c>
      <c r="G730" s="5">
        <f>IFERROR(__xludf.DUMMYFUNCTION("""COMPUTED_VALUE"""),0.0064920555555555565)</f>
        <v>0.006492055556</v>
      </c>
      <c r="H730" s="15">
        <f>IFERROR(__xludf.DUMMYFUNCTION("""COMPUTED_VALUE"""),0.2549440625)</f>
        <v>0.2549440625</v>
      </c>
      <c r="I730" s="15">
        <f>IFERROR(__xludf.DUMMYFUNCTION("""COMPUTED_VALUE"""),45949.28740434409)</f>
        <v>45949.2874</v>
      </c>
      <c r="J730" s="15">
        <f>IFERROR(__xludf.DUMMYFUNCTION("""COMPUTED_VALUE"""),45949.03246028159)</f>
        <v>45949.03246</v>
      </c>
      <c r="K730" s="15">
        <f>IFERROR(__xludf.DUMMYFUNCTION("""COMPUTED_VALUE"""),45950.27442129629)</f>
        <v>45950.27442</v>
      </c>
      <c r="L730" s="4" t="str">
        <f>IFERROR(__xludf.DUMMYFUNCTION("""COMPUTED_VALUE"""),"C")</f>
        <v>C</v>
      </c>
    </row>
    <row r="731">
      <c r="A731" s="1">
        <f>IFERROR(__xludf.DUMMYFUNCTION("""COMPUTED_VALUE"""),730.0)</f>
        <v>730</v>
      </c>
      <c r="B731" s="7" t="str">
        <f>IFERROR(__xludf.DUMMYFUNCTION("""COMPUTED_VALUE"""),"7185")</f>
        <v>7185</v>
      </c>
      <c r="C731" s="8" t="str">
        <f>IFERROR(__xludf.DUMMYFUNCTION("""COMPUTED_VALUE"""),"Aan")</f>
        <v>Aan</v>
      </c>
      <c r="D731" s="2" t="str">
        <f>IFERROR(__xludf.DUMMYFUNCTION("""COMPUTED_VALUE"""),"5KM MASTER M")</f>
        <v>5KM MASTER M</v>
      </c>
      <c r="E731" s="1">
        <f>IFERROR(__xludf.DUMMYFUNCTION("""COMPUTED_VALUE"""),64.0)</f>
        <v>64</v>
      </c>
      <c r="F731" s="1" t="str">
        <f>IFERROR(__xludf.DUMMYFUNCTION("""COMPUTED_VALUE"""),"Male")</f>
        <v>Male</v>
      </c>
      <c r="G731" s="5">
        <f>IFERROR(__xludf.DUMMYFUNCTION("""COMPUTED_VALUE"""),0.006494138888888888)</f>
        <v>0.006494138889</v>
      </c>
      <c r="H731" s="15">
        <f>IFERROR(__xludf.DUMMYFUNCTION("""COMPUTED_VALUE"""),0.2549440625)</f>
        <v>0.2549440625</v>
      </c>
      <c r="I731" s="15">
        <f>IFERROR(__xludf.DUMMYFUNCTION("""COMPUTED_VALUE"""),45949.28741475202)</f>
        <v>45949.28741</v>
      </c>
      <c r="J731" s="15">
        <f>IFERROR(__xludf.DUMMYFUNCTION("""COMPUTED_VALUE"""),45949.03247068952)</f>
        <v>45949.03247</v>
      </c>
      <c r="K731" s="15">
        <f>IFERROR(__xludf.DUMMYFUNCTION("""COMPUTED_VALUE"""),45949.27258572668)</f>
        <v>45949.27259</v>
      </c>
      <c r="L731" s="4"/>
    </row>
    <row r="732">
      <c r="A732" s="1">
        <f>IFERROR(__xludf.DUMMYFUNCTION("""COMPUTED_VALUE"""),731.0)</f>
        <v>731</v>
      </c>
      <c r="B732" s="1">
        <f>IFERROR(__xludf.DUMMYFUNCTION("""COMPUTED_VALUE"""),5453.0)</f>
        <v>5453</v>
      </c>
      <c r="C732" s="2" t="str">
        <f>IFERROR(__xludf.DUMMYFUNCTION("""COMPUTED_VALUE"""),"Andri")</f>
        <v>Andri</v>
      </c>
      <c r="D732" s="2" t="str">
        <f>IFERROR(__xludf.DUMMYFUNCTION("""COMPUTED_VALUE"""),"5KM OVERALL M")</f>
        <v>5KM OVERALL M</v>
      </c>
      <c r="E732" s="1">
        <f>IFERROR(__xludf.DUMMYFUNCTION("""COMPUTED_VALUE"""),471.0)</f>
        <v>471</v>
      </c>
      <c r="F732" s="1" t="str">
        <f>IFERROR(__xludf.DUMMYFUNCTION("""COMPUTED_VALUE"""),"Male")</f>
        <v>Male</v>
      </c>
      <c r="G732" s="5">
        <f>IFERROR(__xludf.DUMMYFUNCTION("""COMPUTED_VALUE"""),0.006497611111111111)</f>
        <v>0.006497611111</v>
      </c>
      <c r="H732" s="15">
        <f>IFERROR(__xludf.DUMMYFUNCTION("""COMPUTED_VALUE"""),0.2549440625)</f>
        <v>0.2549440625</v>
      </c>
      <c r="I732" s="15">
        <f>IFERROR(__xludf.DUMMYFUNCTION("""COMPUTED_VALUE"""),45949.287432117344)</f>
        <v>45949.28743</v>
      </c>
      <c r="J732" s="15">
        <f>IFERROR(__xludf.DUMMYFUNCTION("""COMPUTED_VALUE"""),45949.03248805484)</f>
        <v>45949.03249</v>
      </c>
      <c r="K732" s="15">
        <f>IFERROR(__xludf.DUMMYFUNCTION("""COMPUTED_VALUE"""),45949.277179473254)</f>
        <v>45949.27718</v>
      </c>
      <c r="L732" s="4"/>
    </row>
    <row r="733">
      <c r="A733" s="1">
        <f>IFERROR(__xludf.DUMMYFUNCTION("""COMPUTED_VALUE"""),732.0)</f>
        <v>732</v>
      </c>
      <c r="B733" s="1">
        <f>IFERROR(__xludf.DUMMYFUNCTION("""COMPUTED_VALUE"""),7013.0)</f>
        <v>7013</v>
      </c>
      <c r="C733" s="2" t="str">
        <f>IFERROR(__xludf.DUMMYFUNCTION("""COMPUTED_VALUE"""),"Purwanti")</f>
        <v>Purwanti</v>
      </c>
      <c r="D733" s="2" t="str">
        <f>IFERROR(__xludf.DUMMYFUNCTION("""COMPUTED_VALUE"""),"5KM MASTER F")</f>
        <v>5KM MASTER F</v>
      </c>
      <c r="E733" s="1">
        <f>IFERROR(__xludf.DUMMYFUNCTION("""COMPUTED_VALUE"""),23.0)</f>
        <v>23</v>
      </c>
      <c r="F733" s="1" t="str">
        <f>IFERROR(__xludf.DUMMYFUNCTION("""COMPUTED_VALUE"""),"Female")</f>
        <v>Female</v>
      </c>
      <c r="G733" s="5">
        <f>IFERROR(__xludf.DUMMYFUNCTION("""COMPUTED_VALUE"""),0.006497613425925926)</f>
        <v>0.006497613426</v>
      </c>
      <c r="H733" s="15">
        <f>IFERROR(__xludf.DUMMYFUNCTION("""COMPUTED_VALUE"""),0.2549440625)</f>
        <v>0.2549440625</v>
      </c>
      <c r="I733" s="15">
        <f>IFERROR(__xludf.DUMMYFUNCTION("""COMPUTED_VALUE"""),45949.287432129655)</f>
        <v>45949.28743</v>
      </c>
      <c r="J733" s="15">
        <f>IFERROR(__xludf.DUMMYFUNCTION("""COMPUTED_VALUE"""),45949.032488067154)</f>
        <v>45949.03249</v>
      </c>
      <c r="K733" s="15">
        <f>IFERROR(__xludf.DUMMYFUNCTION("""COMPUTED_VALUE"""),45949.27357638889)</f>
        <v>45949.27358</v>
      </c>
      <c r="L733" s="4"/>
    </row>
    <row r="734">
      <c r="A734" s="1">
        <f>IFERROR(__xludf.DUMMYFUNCTION("""COMPUTED_VALUE"""),733.0)</f>
        <v>733</v>
      </c>
      <c r="B734" s="1">
        <f>IFERROR(__xludf.DUMMYFUNCTION("""COMPUTED_VALUE"""),5487.0)</f>
        <v>5487</v>
      </c>
      <c r="C734" s="2" t="str">
        <f>IFERROR(__xludf.DUMMYFUNCTION("""COMPUTED_VALUE"""),"KIM")</f>
        <v>KIM</v>
      </c>
      <c r="D734" s="2" t="str">
        <f>IFERROR(__xludf.DUMMYFUNCTION("""COMPUTED_VALUE"""),"5KM OVERALL F")</f>
        <v>5KM OVERALL F</v>
      </c>
      <c r="E734" s="1">
        <f>IFERROR(__xludf.DUMMYFUNCTION("""COMPUTED_VALUE"""),116.0)</f>
        <v>116</v>
      </c>
      <c r="F734" s="1" t="str">
        <f>IFERROR(__xludf.DUMMYFUNCTION("""COMPUTED_VALUE"""),"Female")</f>
        <v>Female</v>
      </c>
      <c r="G734" s="5">
        <f>IFERROR(__xludf.DUMMYFUNCTION("""COMPUTED_VALUE"""),0.006499694444444444)</f>
        <v>0.006499694444</v>
      </c>
      <c r="H734" s="15">
        <f>IFERROR(__xludf.DUMMYFUNCTION("""COMPUTED_VALUE"""),0.2549440625)</f>
        <v>0.2549440625</v>
      </c>
      <c r="I734" s="15">
        <f>IFERROR(__xludf.DUMMYFUNCTION("""COMPUTED_VALUE"""),45949.28744253201)</f>
        <v>45949.28744</v>
      </c>
      <c r="J734" s="15">
        <f>IFERROR(__xludf.DUMMYFUNCTION("""COMPUTED_VALUE"""),45949.03249846951)</f>
        <v>45949.0325</v>
      </c>
      <c r="K734" s="15">
        <f>IFERROR(__xludf.DUMMYFUNCTION("""COMPUTED_VALUE"""),45949.274242445936)</f>
        <v>45949.27424</v>
      </c>
      <c r="L734" s="4"/>
    </row>
    <row r="735">
      <c r="A735" s="1">
        <f>IFERROR(__xludf.DUMMYFUNCTION("""COMPUTED_VALUE"""),734.0)</f>
        <v>734</v>
      </c>
      <c r="B735" s="1">
        <f>IFERROR(__xludf.DUMMYFUNCTION("""COMPUTED_VALUE"""),6344.0)</f>
        <v>6344</v>
      </c>
      <c r="C735" s="2" t="str">
        <f>IFERROR(__xludf.DUMMYFUNCTION("""COMPUTED_VALUE"""),"IBRHM")</f>
        <v>IBRHM</v>
      </c>
      <c r="D735" s="2" t="str">
        <f>IFERROR(__xludf.DUMMYFUNCTION("""COMPUTED_VALUE"""),"5KM OVERALL M")</f>
        <v>5KM OVERALL M</v>
      </c>
      <c r="E735" s="1">
        <f>IFERROR(__xludf.DUMMYFUNCTION("""COMPUTED_VALUE"""),472.0)</f>
        <v>472</v>
      </c>
      <c r="F735" s="1" t="str">
        <f>IFERROR(__xludf.DUMMYFUNCTION("""COMPUTED_VALUE"""),"Male")</f>
        <v>Male</v>
      </c>
      <c r="G735" s="5">
        <f>IFERROR(__xludf.DUMMYFUNCTION("""COMPUTED_VALUE"""),0.006503166666666667)</f>
        <v>0.006503166667</v>
      </c>
      <c r="H735" s="15">
        <f>IFERROR(__xludf.DUMMYFUNCTION("""COMPUTED_VALUE"""),0.2549440625)</f>
        <v>0.2549440625</v>
      </c>
      <c r="I735" s="15">
        <f>IFERROR(__xludf.DUMMYFUNCTION("""COMPUTED_VALUE"""),45949.28745990046)</f>
        <v>45949.28746</v>
      </c>
      <c r="J735" s="15">
        <f>IFERROR(__xludf.DUMMYFUNCTION("""COMPUTED_VALUE"""),45949.03251583796)</f>
        <v>45949.03252</v>
      </c>
      <c r="K735" s="15">
        <f>IFERROR(__xludf.DUMMYFUNCTION("""COMPUTED_VALUE"""),45950.27445601852)</f>
        <v>45950.27446</v>
      </c>
      <c r="L735" s="4" t="str">
        <f>IFERROR(__xludf.DUMMYFUNCTION("""COMPUTED_VALUE"""),"C")</f>
        <v>C</v>
      </c>
    </row>
    <row r="736">
      <c r="A736" s="1">
        <f>IFERROR(__xludf.DUMMYFUNCTION("""COMPUTED_VALUE"""),735.0)</f>
        <v>735</v>
      </c>
      <c r="B736" s="1">
        <f>IFERROR(__xludf.DUMMYFUNCTION("""COMPUTED_VALUE"""),5647.0)</f>
        <v>5647</v>
      </c>
      <c r="C736" s="2" t="str">
        <f>IFERROR(__xludf.DUMMYFUNCTION("""COMPUTED_VALUE"""),"DAP")</f>
        <v>DAP</v>
      </c>
      <c r="D736" s="2" t="str">
        <f>IFERROR(__xludf.DUMMYFUNCTION("""COMPUTED_VALUE"""),"5KM OVERALL M")</f>
        <v>5KM OVERALL M</v>
      </c>
      <c r="E736" s="1">
        <f>IFERROR(__xludf.DUMMYFUNCTION("""COMPUTED_VALUE"""),473.0)</f>
        <v>473</v>
      </c>
      <c r="F736" s="1" t="str">
        <f>IFERROR(__xludf.DUMMYFUNCTION("""COMPUTED_VALUE"""),"Male")</f>
        <v>Male</v>
      </c>
      <c r="G736" s="5">
        <f>IFERROR(__xludf.DUMMYFUNCTION("""COMPUTED_VALUE"""),0.006503171296296297)</f>
        <v>0.006503171296</v>
      </c>
      <c r="H736" s="15">
        <f>IFERROR(__xludf.DUMMYFUNCTION("""COMPUTED_VALUE"""),0.2549440625)</f>
        <v>0.2549440625</v>
      </c>
      <c r="I736" s="15">
        <f>IFERROR(__xludf.DUMMYFUNCTION("""COMPUTED_VALUE"""),45949.28745991671)</f>
        <v>45949.28746</v>
      </c>
      <c r="J736" s="15">
        <f>IFERROR(__xludf.DUMMYFUNCTION("""COMPUTED_VALUE"""),45949.03251585421)</f>
        <v>45949.03252</v>
      </c>
      <c r="K736" s="15">
        <f>IFERROR(__xludf.DUMMYFUNCTION("""COMPUTED_VALUE"""),45949.27407876744)</f>
        <v>45949.27408</v>
      </c>
      <c r="L736" s="4"/>
    </row>
    <row r="737">
      <c r="A737" s="1">
        <f>IFERROR(__xludf.DUMMYFUNCTION("""COMPUTED_VALUE"""),736.0)</f>
        <v>736</v>
      </c>
      <c r="B737" s="1">
        <f>IFERROR(__xludf.DUMMYFUNCTION("""COMPUTED_VALUE"""),5586.0)</f>
        <v>5586</v>
      </c>
      <c r="C737" s="2" t="str">
        <f>IFERROR(__xludf.DUMMYFUNCTION("""COMPUTED_VALUE"""),"HENI")</f>
        <v>HENI</v>
      </c>
      <c r="D737" s="2" t="str">
        <f>IFERROR(__xludf.DUMMYFUNCTION("""COMPUTED_VALUE"""),"5KM OVERALL F")</f>
        <v>5KM OVERALL F</v>
      </c>
      <c r="E737" s="1">
        <f>IFERROR(__xludf.DUMMYFUNCTION("""COMPUTED_VALUE"""),117.0)</f>
        <v>117</v>
      </c>
      <c r="F737" s="1" t="str">
        <f>IFERROR(__xludf.DUMMYFUNCTION("""COMPUTED_VALUE"""),"Female")</f>
        <v>Female</v>
      </c>
      <c r="G737" s="5">
        <f>IFERROR(__xludf.DUMMYFUNCTION("""COMPUTED_VALUE"""),0.0065142777777777786)</f>
        <v>0.006514277778</v>
      </c>
      <c r="H737" s="15">
        <f>IFERROR(__xludf.DUMMYFUNCTION("""COMPUTED_VALUE"""),0.2549440625)</f>
        <v>0.2549440625</v>
      </c>
      <c r="I737" s="15">
        <f>IFERROR(__xludf.DUMMYFUNCTION("""COMPUTED_VALUE"""),45949.28751545223)</f>
        <v>45949.28752</v>
      </c>
      <c r="J737" s="15">
        <f>IFERROR(__xludf.DUMMYFUNCTION("""COMPUTED_VALUE"""),45949.03257138973)</f>
        <v>45949.03257</v>
      </c>
      <c r="K737" s="15">
        <f>IFERROR(__xludf.DUMMYFUNCTION("""COMPUTED_VALUE"""),45949.27275240855)</f>
        <v>45949.27275</v>
      </c>
      <c r="L737" s="4"/>
    </row>
    <row r="738">
      <c r="A738" s="1">
        <f>IFERROR(__xludf.DUMMYFUNCTION("""COMPUTED_VALUE"""),737.0)</f>
        <v>737</v>
      </c>
      <c r="B738" s="1">
        <f>IFERROR(__xludf.DUMMYFUNCTION("""COMPUTED_VALUE"""),6294.0)</f>
        <v>6294</v>
      </c>
      <c r="C738" s="2" t="str">
        <f>IFERROR(__xludf.DUMMYFUNCTION("""COMPUTED_VALUE"""),"Putra")</f>
        <v>Putra</v>
      </c>
      <c r="D738" s="2" t="str">
        <f>IFERROR(__xludf.DUMMYFUNCTION("""COMPUTED_VALUE"""),"5KM OVERALL M")</f>
        <v>5KM OVERALL M</v>
      </c>
      <c r="E738" s="1">
        <f>IFERROR(__xludf.DUMMYFUNCTION("""COMPUTED_VALUE"""),474.0)</f>
        <v>474</v>
      </c>
      <c r="F738" s="1" t="str">
        <f>IFERROR(__xludf.DUMMYFUNCTION("""COMPUTED_VALUE"""),"Male")</f>
        <v>Male</v>
      </c>
      <c r="G738" s="5">
        <f>IFERROR(__xludf.DUMMYFUNCTION("""COMPUTED_VALUE"""),0.006515689814814814)</f>
        <v>0.006515689815</v>
      </c>
      <c r="H738" s="15">
        <f>IFERROR(__xludf.DUMMYFUNCTION("""COMPUTED_VALUE"""),0.2549440625)</f>
        <v>0.2549440625</v>
      </c>
      <c r="I738" s="15">
        <f>IFERROR(__xludf.DUMMYFUNCTION("""COMPUTED_VALUE"""),45949.287522515566)</f>
        <v>45949.28752</v>
      </c>
      <c r="J738" s="15">
        <f>IFERROR(__xludf.DUMMYFUNCTION("""COMPUTED_VALUE"""),45949.032578453065)</f>
        <v>45949.03258</v>
      </c>
      <c r="K738" s="15">
        <f>IFERROR(__xludf.DUMMYFUNCTION("""COMPUTED_VALUE"""),45949.27470382724)</f>
        <v>45949.2747</v>
      </c>
      <c r="L738" s="4"/>
    </row>
    <row r="739">
      <c r="A739" s="1">
        <f>IFERROR(__xludf.DUMMYFUNCTION("""COMPUTED_VALUE"""),738.0)</f>
        <v>738</v>
      </c>
      <c r="B739" s="1">
        <f>IFERROR(__xludf.DUMMYFUNCTION("""COMPUTED_VALUE"""),6290.0)</f>
        <v>6290</v>
      </c>
      <c r="C739" s="2" t="str">
        <f>IFERROR(__xludf.DUMMYFUNCTION("""COMPUTED_VALUE"""),"YSL")</f>
        <v>YSL</v>
      </c>
      <c r="D739" s="2" t="str">
        <f>IFERROR(__xludf.DUMMYFUNCTION("""COMPUTED_VALUE"""),"5KM OVERALL F")</f>
        <v>5KM OVERALL F</v>
      </c>
      <c r="E739" s="1">
        <f>IFERROR(__xludf.DUMMYFUNCTION("""COMPUTED_VALUE"""),118.0)</f>
        <v>118</v>
      </c>
      <c r="F739" s="1" t="str">
        <f>IFERROR(__xludf.DUMMYFUNCTION("""COMPUTED_VALUE"""),"Female")</f>
        <v>Female</v>
      </c>
      <c r="G739" s="5">
        <f>IFERROR(__xludf.DUMMYFUNCTION("""COMPUTED_VALUE"""),0.006516363425925926)</f>
        <v>0.006516363426</v>
      </c>
      <c r="H739" s="15">
        <f>IFERROR(__xludf.DUMMYFUNCTION("""COMPUTED_VALUE"""),0.2549440625)</f>
        <v>0.2549440625</v>
      </c>
      <c r="I739" s="15">
        <f>IFERROR(__xludf.DUMMYFUNCTION("""COMPUTED_VALUE"""),45949.28752587956)</f>
        <v>45949.28753</v>
      </c>
      <c r="J739" s="15">
        <f>IFERROR(__xludf.DUMMYFUNCTION("""COMPUTED_VALUE"""),45949.03258181706)</f>
        <v>45949.03258</v>
      </c>
      <c r="K739" s="15">
        <f>IFERROR(__xludf.DUMMYFUNCTION("""COMPUTED_VALUE"""),45949.27470035091)</f>
        <v>45949.2747</v>
      </c>
      <c r="L739" s="4"/>
    </row>
    <row r="740">
      <c r="A740" s="1">
        <f>IFERROR(__xludf.DUMMYFUNCTION("""COMPUTED_VALUE"""),739.0)</f>
        <v>739</v>
      </c>
      <c r="B740" s="1">
        <f>IFERROR(__xludf.DUMMYFUNCTION("""COMPUTED_VALUE"""),5579.0)</f>
        <v>5579</v>
      </c>
      <c r="C740" s="2" t="str">
        <f>IFERROR(__xludf.DUMMYFUNCTION("""COMPUTED_VALUE"""),"DIPTA")</f>
        <v>DIPTA</v>
      </c>
      <c r="D740" s="2" t="str">
        <f>IFERROR(__xludf.DUMMYFUNCTION("""COMPUTED_VALUE"""),"5KM OVERALL M")</f>
        <v>5KM OVERALL M</v>
      </c>
      <c r="E740" s="1">
        <f>IFERROR(__xludf.DUMMYFUNCTION("""COMPUTED_VALUE"""),475.0)</f>
        <v>475</v>
      </c>
      <c r="F740" s="1" t="str">
        <f>IFERROR(__xludf.DUMMYFUNCTION("""COMPUTED_VALUE"""),"Male")</f>
        <v>Male</v>
      </c>
      <c r="G740" s="5">
        <f>IFERROR(__xludf.DUMMYFUNCTION("""COMPUTED_VALUE"""),0.006522604166666666)</f>
        <v>0.006522604167</v>
      </c>
      <c r="H740" s="15">
        <f>IFERROR(__xludf.DUMMYFUNCTION("""COMPUTED_VALUE"""),0.2549440625)</f>
        <v>0.2549440625</v>
      </c>
      <c r="I740" s="15">
        <f>IFERROR(__xludf.DUMMYFUNCTION("""COMPUTED_VALUE"""),45949.28755707864)</f>
        <v>45949.28756</v>
      </c>
      <c r="J740" s="15">
        <f>IFERROR(__xludf.DUMMYFUNCTION("""COMPUTED_VALUE"""),45949.03261301614)</f>
        <v>45949.03261</v>
      </c>
      <c r="K740" s="15">
        <f>IFERROR(__xludf.DUMMYFUNCTION("""COMPUTED_VALUE"""),45949.272825308064)</f>
        <v>45949.27283</v>
      </c>
      <c r="L740" s="4"/>
    </row>
    <row r="741">
      <c r="A741" s="1">
        <f>IFERROR(__xludf.DUMMYFUNCTION("""COMPUTED_VALUE"""),740.0)</f>
        <v>740</v>
      </c>
      <c r="B741" s="7" t="str">
        <f>IFERROR(__xludf.DUMMYFUNCTION("""COMPUTED_VALUE"""),"7164")</f>
        <v>7164</v>
      </c>
      <c r="C741" s="8" t="str">
        <f>IFERROR(__xludf.DUMMYFUNCTION("""COMPUTED_VALUE"""),"Yie")</f>
        <v>Yie</v>
      </c>
      <c r="D741" s="2" t="str">
        <f>IFERROR(__xludf.DUMMYFUNCTION("""COMPUTED_VALUE"""),"5KM MASTER F")</f>
        <v>5KM MASTER F</v>
      </c>
      <c r="E741" s="1">
        <f>IFERROR(__xludf.DUMMYFUNCTION("""COMPUTED_VALUE"""),24.0)</f>
        <v>24</v>
      </c>
      <c r="F741" s="1" t="str">
        <f>IFERROR(__xludf.DUMMYFUNCTION("""COMPUTED_VALUE"""),"Female")</f>
        <v>Female</v>
      </c>
      <c r="G741" s="5">
        <f>IFERROR(__xludf.DUMMYFUNCTION("""COMPUTED_VALUE"""),0.006523305555555556)</f>
        <v>0.006523305556</v>
      </c>
      <c r="H741" s="15">
        <f>IFERROR(__xludf.DUMMYFUNCTION("""COMPUTED_VALUE"""),0.2549440625)</f>
        <v>0.2549440625</v>
      </c>
      <c r="I741" s="15">
        <f>IFERROR(__xludf.DUMMYFUNCTION("""COMPUTED_VALUE"""),45949.28756059387)</f>
        <v>45949.28756</v>
      </c>
      <c r="J741" s="15">
        <f>IFERROR(__xludf.DUMMYFUNCTION("""COMPUTED_VALUE"""),45949.03261653137)</f>
        <v>45949.03262</v>
      </c>
      <c r="K741" s="15">
        <f>IFERROR(__xludf.DUMMYFUNCTION("""COMPUTED_VALUE"""),45949.27625245497)</f>
        <v>45949.27625</v>
      </c>
      <c r="L741" s="4"/>
    </row>
    <row r="742">
      <c r="A742" s="1">
        <f>IFERROR(__xludf.DUMMYFUNCTION("""COMPUTED_VALUE"""),741.0)</f>
        <v>741</v>
      </c>
      <c r="B742" s="1">
        <f>IFERROR(__xludf.DUMMYFUNCTION("""COMPUTED_VALUE"""),6203.0)</f>
        <v>6203</v>
      </c>
      <c r="C742" s="2" t="str">
        <f>IFERROR(__xludf.DUMMYFUNCTION("""COMPUTED_VALUE"""),"MAULANA")</f>
        <v>MAULANA</v>
      </c>
      <c r="D742" s="2" t="str">
        <f>IFERROR(__xludf.DUMMYFUNCTION("""COMPUTED_VALUE"""),"5KM OVERALL M")</f>
        <v>5KM OVERALL M</v>
      </c>
      <c r="E742" s="1">
        <f>IFERROR(__xludf.DUMMYFUNCTION("""COMPUTED_VALUE"""),476.0)</f>
        <v>476</v>
      </c>
      <c r="F742" s="1" t="str">
        <f>IFERROR(__xludf.DUMMYFUNCTION("""COMPUTED_VALUE"""),"Male")</f>
        <v>Male</v>
      </c>
      <c r="G742" s="5">
        <f>IFERROR(__xludf.DUMMYFUNCTION("""COMPUTED_VALUE"""),0.006524696759259259)</f>
        <v>0.006524696759</v>
      </c>
      <c r="H742" s="15">
        <f>IFERROR(__xludf.DUMMYFUNCTION("""COMPUTED_VALUE"""),0.2549440625)</f>
        <v>0.2549440625</v>
      </c>
      <c r="I742" s="15">
        <f>IFERROR(__xludf.DUMMYFUNCTION("""COMPUTED_VALUE"""),45949.28756754449)</f>
        <v>45949.28757</v>
      </c>
      <c r="J742" s="15">
        <f>IFERROR(__xludf.DUMMYFUNCTION("""COMPUTED_VALUE"""),45949.03262348199)</f>
        <v>45949.03262</v>
      </c>
      <c r="K742" s="15">
        <f>IFERROR(__xludf.DUMMYFUNCTION("""COMPUTED_VALUE"""),45949.273214239285)</f>
        <v>45949.27321</v>
      </c>
      <c r="L742" s="4"/>
    </row>
    <row r="743">
      <c r="A743" s="1">
        <f>IFERROR(__xludf.DUMMYFUNCTION("""COMPUTED_VALUE"""),742.0)</f>
        <v>742</v>
      </c>
      <c r="B743" s="1">
        <f>IFERROR(__xludf.DUMMYFUNCTION("""COMPUTED_VALUE"""),6385.0)</f>
        <v>6385</v>
      </c>
      <c r="C743" s="2" t="str">
        <f>IFERROR(__xludf.DUMMYFUNCTION("""COMPUTED_VALUE"""),"ADIB")</f>
        <v>ADIB</v>
      </c>
      <c r="D743" s="2" t="str">
        <f>IFERROR(__xludf.DUMMYFUNCTION("""COMPUTED_VALUE"""),"5KM OVERALL M")</f>
        <v>5KM OVERALL M</v>
      </c>
      <c r="E743" s="1">
        <f>IFERROR(__xludf.DUMMYFUNCTION("""COMPUTED_VALUE"""),477.0)</f>
        <v>477</v>
      </c>
      <c r="F743" s="1" t="str">
        <f>IFERROR(__xludf.DUMMYFUNCTION("""COMPUTED_VALUE"""),"Male")</f>
        <v>Male</v>
      </c>
      <c r="G743" s="5">
        <f>IFERROR(__xludf.DUMMYFUNCTION("""COMPUTED_VALUE"""),0.0065281597222222225)</f>
        <v>0.006528159722</v>
      </c>
      <c r="H743" s="15">
        <f>IFERROR(__xludf.DUMMYFUNCTION("""COMPUTED_VALUE"""),0.2549440625)</f>
        <v>0.2549440625</v>
      </c>
      <c r="I743" s="15">
        <f>IFERROR(__xludf.DUMMYFUNCTION("""COMPUTED_VALUE"""),45949.28758486205)</f>
        <v>45949.28758</v>
      </c>
      <c r="J743" s="15">
        <f>IFERROR(__xludf.DUMMYFUNCTION("""COMPUTED_VALUE"""),45949.03264079955)</f>
        <v>45949.03264</v>
      </c>
      <c r="K743" s="15">
        <f>IFERROR(__xludf.DUMMYFUNCTION("""COMPUTED_VALUE"""),45949.275682953084)</f>
        <v>45949.27568</v>
      </c>
      <c r="L743" s="4"/>
    </row>
    <row r="744">
      <c r="A744" s="1">
        <f>IFERROR(__xludf.DUMMYFUNCTION("""COMPUTED_VALUE"""),743.0)</f>
        <v>743</v>
      </c>
      <c r="B744" s="1">
        <f>IFERROR(__xludf.DUMMYFUNCTION("""COMPUTED_VALUE"""),5304.0)</f>
        <v>5304</v>
      </c>
      <c r="C744" s="2" t="str">
        <f>IFERROR(__xludf.DUMMYFUNCTION("""COMPUTED_VALUE"""),"Dhafa Dimas")</f>
        <v>Dhafa Dimas</v>
      </c>
      <c r="D744" s="2" t="str">
        <f>IFERROR(__xludf.DUMMYFUNCTION("""COMPUTED_VALUE"""),"5KM OVERALL M")</f>
        <v>5KM OVERALL M</v>
      </c>
      <c r="E744" s="1">
        <f>IFERROR(__xludf.DUMMYFUNCTION("""COMPUTED_VALUE"""),478.0)</f>
        <v>478</v>
      </c>
      <c r="F744" s="1" t="str">
        <f>IFERROR(__xludf.DUMMYFUNCTION("""COMPUTED_VALUE"""),"Male")</f>
        <v>Male</v>
      </c>
      <c r="G744" s="5">
        <f>IFERROR(__xludf.DUMMYFUNCTION("""COMPUTED_VALUE"""),0.0065281597222222225)</f>
        <v>0.006528159722</v>
      </c>
      <c r="H744" s="15">
        <f>IFERROR(__xludf.DUMMYFUNCTION("""COMPUTED_VALUE"""),0.2549440625)</f>
        <v>0.2549440625</v>
      </c>
      <c r="I744" s="15">
        <f>IFERROR(__xludf.DUMMYFUNCTION("""COMPUTED_VALUE"""),45949.28758486205)</f>
        <v>45949.28758</v>
      </c>
      <c r="J744" s="15">
        <f>IFERROR(__xludf.DUMMYFUNCTION("""COMPUTED_VALUE"""),45949.03264079955)</f>
        <v>45949.03264</v>
      </c>
      <c r="K744" s="15">
        <f>IFERROR(__xludf.DUMMYFUNCTION("""COMPUTED_VALUE"""),45949.27564133435)</f>
        <v>45949.27564</v>
      </c>
      <c r="L744" s="4"/>
    </row>
    <row r="745">
      <c r="A745" s="1">
        <f>IFERROR(__xludf.DUMMYFUNCTION("""COMPUTED_VALUE"""),744.0)</f>
        <v>744</v>
      </c>
      <c r="B745" s="7" t="str">
        <f>IFERROR(__xludf.DUMMYFUNCTION("""COMPUTED_VALUE"""),"7152")</f>
        <v>7152</v>
      </c>
      <c r="C745" s="8" t="str">
        <f>IFERROR(__xludf.DUMMYFUNCTION("""COMPUTED_VALUE"""),"kuncoro")</f>
        <v>kuncoro</v>
      </c>
      <c r="D745" s="2" t="str">
        <f>IFERROR(__xludf.DUMMYFUNCTION("""COMPUTED_VALUE"""),"5KM MASTER M")</f>
        <v>5KM MASTER M</v>
      </c>
      <c r="E745" s="1">
        <f>IFERROR(__xludf.DUMMYFUNCTION("""COMPUTED_VALUE"""),65.0)</f>
        <v>65</v>
      </c>
      <c r="F745" s="1" t="str">
        <f>IFERROR(__xludf.DUMMYFUNCTION("""COMPUTED_VALUE"""),"Male")</f>
        <v>Male</v>
      </c>
      <c r="G745" s="5">
        <f>IFERROR(__xludf.DUMMYFUNCTION("""COMPUTED_VALUE"""),0.00653025)</f>
        <v>0.00653025</v>
      </c>
      <c r="H745" s="15">
        <f>IFERROR(__xludf.DUMMYFUNCTION("""COMPUTED_VALUE"""),0.2549440625)</f>
        <v>0.2549440625</v>
      </c>
      <c r="I745" s="15">
        <f>IFERROR(__xludf.DUMMYFUNCTION("""COMPUTED_VALUE"""),45949.28759530705)</f>
        <v>45949.2876</v>
      </c>
      <c r="J745" s="15">
        <f>IFERROR(__xludf.DUMMYFUNCTION("""COMPUTED_VALUE"""),45949.032651244546)</f>
        <v>45949.03265</v>
      </c>
      <c r="K745" s="15">
        <f>IFERROR(__xludf.DUMMYFUNCTION("""COMPUTED_VALUE"""),45950.27453703704)</f>
        <v>45950.27454</v>
      </c>
      <c r="L745" s="4" t="str">
        <f>IFERROR(__xludf.DUMMYFUNCTION("""COMPUTED_VALUE"""),"C")</f>
        <v>C</v>
      </c>
    </row>
    <row r="746">
      <c r="A746" s="1">
        <f>IFERROR(__xludf.DUMMYFUNCTION("""COMPUTED_VALUE"""),745.0)</f>
        <v>745</v>
      </c>
      <c r="B746" s="1">
        <f>IFERROR(__xludf.DUMMYFUNCTION("""COMPUTED_VALUE"""),5430.0)</f>
        <v>5430</v>
      </c>
      <c r="C746" s="2" t="str">
        <f>IFERROR(__xludf.DUMMYFUNCTION("""COMPUTED_VALUE"""),"Etis")</f>
        <v>Etis</v>
      </c>
      <c r="D746" s="2" t="str">
        <f>IFERROR(__xludf.DUMMYFUNCTION("""COMPUTED_VALUE"""),"5KM OVERALL M")</f>
        <v>5KM OVERALL M</v>
      </c>
      <c r="E746" s="1">
        <f>IFERROR(__xludf.DUMMYFUNCTION("""COMPUTED_VALUE"""),479.0)</f>
        <v>479</v>
      </c>
      <c r="F746" s="1" t="str">
        <f>IFERROR(__xludf.DUMMYFUNCTION("""COMPUTED_VALUE"""),"Male")</f>
        <v>Male</v>
      </c>
      <c r="G746" s="5">
        <f>IFERROR(__xludf.DUMMYFUNCTION("""COMPUTED_VALUE"""),0.006533722222222223)</f>
        <v>0.006533722222</v>
      </c>
      <c r="H746" s="15">
        <f>IFERROR(__xludf.DUMMYFUNCTION("""COMPUTED_VALUE"""),0.2549440625)</f>
        <v>0.2549440625</v>
      </c>
      <c r="I746" s="15">
        <f>IFERROR(__xludf.DUMMYFUNCTION("""COMPUTED_VALUE"""),45949.28761266808)</f>
        <v>45949.28761</v>
      </c>
      <c r="J746" s="15">
        <f>IFERROR(__xludf.DUMMYFUNCTION("""COMPUTED_VALUE"""),45949.03266860558)</f>
        <v>45949.03267</v>
      </c>
      <c r="K746" s="15">
        <f>IFERROR(__xludf.DUMMYFUNCTION("""COMPUTED_VALUE"""),45949.27319682006)</f>
        <v>45949.2732</v>
      </c>
      <c r="L746" s="4"/>
    </row>
    <row r="747">
      <c r="A747" s="1">
        <f>IFERROR(__xludf.DUMMYFUNCTION("""COMPUTED_VALUE"""),746.0)</f>
        <v>746</v>
      </c>
      <c r="B747" s="1">
        <f>IFERROR(__xludf.DUMMYFUNCTION("""COMPUTED_VALUE"""),5009.0)</f>
        <v>5009</v>
      </c>
      <c r="C747" s="2" t="str">
        <f>IFERROR(__xludf.DUMMYFUNCTION("""COMPUTED_VALUE"""),"Muhammad Fajar Maulana")</f>
        <v>Muhammad Fajar Maulana</v>
      </c>
      <c r="D747" s="2" t="str">
        <f>IFERROR(__xludf.DUMMYFUNCTION("""COMPUTED_VALUE"""),"5KM OVERALL M")</f>
        <v>5KM OVERALL M</v>
      </c>
      <c r="E747" s="1">
        <f>IFERROR(__xludf.DUMMYFUNCTION("""COMPUTED_VALUE"""),480.0)</f>
        <v>480</v>
      </c>
      <c r="F747" s="1" t="str">
        <f>IFERROR(__xludf.DUMMYFUNCTION("""COMPUTED_VALUE"""),"Male")</f>
        <v>Male</v>
      </c>
      <c r="G747" s="5">
        <f>IFERROR(__xludf.DUMMYFUNCTION("""COMPUTED_VALUE"""),0.006534407407407407)</f>
        <v>0.006534407407</v>
      </c>
      <c r="H747" s="15">
        <f>IFERROR(__xludf.DUMMYFUNCTION("""COMPUTED_VALUE"""),0.2549440625)</f>
        <v>0.2549440625</v>
      </c>
      <c r="I747" s="15">
        <f>IFERROR(__xludf.DUMMYFUNCTION("""COMPUTED_VALUE"""),45949.287616094625)</f>
        <v>45949.28762</v>
      </c>
      <c r="J747" s="15">
        <f>IFERROR(__xludf.DUMMYFUNCTION("""COMPUTED_VALUE"""),45949.032672032125)</f>
        <v>45949.03267</v>
      </c>
      <c r="K747" s="15">
        <f>IFERROR(__xludf.DUMMYFUNCTION("""COMPUTED_VALUE"""),45949.272953782696)</f>
        <v>45949.27295</v>
      </c>
      <c r="L747" s="4"/>
    </row>
    <row r="748">
      <c r="A748" s="1">
        <f>IFERROR(__xludf.DUMMYFUNCTION("""COMPUTED_VALUE"""),747.0)</f>
        <v>747</v>
      </c>
      <c r="B748" s="1">
        <f>IFERROR(__xludf.DUMMYFUNCTION("""COMPUTED_VALUE"""),5203.0)</f>
        <v>5203</v>
      </c>
      <c r="C748" s="2" t="str">
        <f>IFERROR(__xludf.DUMMYFUNCTION("""COMPUTED_VALUE"""),"DRIVOLTRA")</f>
        <v>DRIVOLTRA</v>
      </c>
      <c r="D748" s="2" t="str">
        <f>IFERROR(__xludf.DUMMYFUNCTION("""COMPUTED_VALUE"""),"5KM OVERALL M")</f>
        <v>5KM OVERALL M</v>
      </c>
      <c r="E748" s="1">
        <f>IFERROR(__xludf.DUMMYFUNCTION("""COMPUTED_VALUE"""),481.0)</f>
        <v>481</v>
      </c>
      <c r="F748" s="1" t="str">
        <f>IFERROR(__xludf.DUMMYFUNCTION("""COMPUTED_VALUE"""),"Male")</f>
        <v>Male</v>
      </c>
      <c r="G748" s="5">
        <f>IFERROR(__xludf.DUMMYFUNCTION("""COMPUTED_VALUE"""),0.006535805555555556)</f>
        <v>0.006535805556</v>
      </c>
      <c r="H748" s="15">
        <f>IFERROR(__xludf.DUMMYFUNCTION("""COMPUTED_VALUE"""),0.2549440625)</f>
        <v>0.2549440625</v>
      </c>
      <c r="I748" s="15">
        <f>IFERROR(__xludf.DUMMYFUNCTION("""COMPUTED_VALUE"""),45949.28762309052)</f>
        <v>45949.28762</v>
      </c>
      <c r="J748" s="15">
        <f>IFERROR(__xludf.DUMMYFUNCTION("""COMPUTED_VALUE"""),45949.032679028016)</f>
        <v>45949.03268</v>
      </c>
      <c r="K748" s="15">
        <f>IFERROR(__xludf.DUMMYFUNCTION("""COMPUTED_VALUE"""),45949.27449545064)</f>
        <v>45949.2745</v>
      </c>
      <c r="L748" s="4"/>
    </row>
    <row r="749">
      <c r="A749" s="1">
        <f>IFERROR(__xludf.DUMMYFUNCTION("""COMPUTED_VALUE"""),748.0)</f>
        <v>748</v>
      </c>
      <c r="B749" s="1">
        <f>IFERROR(__xludf.DUMMYFUNCTION("""COMPUTED_VALUE"""),5390.0)</f>
        <v>5390</v>
      </c>
      <c r="C749" s="2" t="str">
        <f>IFERROR(__xludf.DUMMYFUNCTION("""COMPUTED_VALUE"""),"Ratih Puspa")</f>
        <v>Ratih Puspa</v>
      </c>
      <c r="D749" s="2" t="str">
        <f>IFERROR(__xludf.DUMMYFUNCTION("""COMPUTED_VALUE"""),"5KM OVERALL F")</f>
        <v>5KM OVERALL F</v>
      </c>
      <c r="E749" s="1">
        <f>IFERROR(__xludf.DUMMYFUNCTION("""COMPUTED_VALUE"""),119.0)</f>
        <v>119</v>
      </c>
      <c r="F749" s="1" t="str">
        <f>IFERROR(__xludf.DUMMYFUNCTION("""COMPUTED_VALUE"""),"Female")</f>
        <v>Female</v>
      </c>
      <c r="G749" s="5">
        <f>IFERROR(__xludf.DUMMYFUNCTION("""COMPUTED_VALUE"""),0.006541363425925926)</f>
        <v>0.006541363426</v>
      </c>
      <c r="H749" s="15">
        <f>IFERROR(__xludf.DUMMYFUNCTION("""COMPUTED_VALUE"""),0.2549440625)</f>
        <v>0.2549440625</v>
      </c>
      <c r="I749" s="15">
        <f>IFERROR(__xludf.DUMMYFUNCTION("""COMPUTED_VALUE"""),45949.28765087807)</f>
        <v>45949.28765</v>
      </c>
      <c r="J749" s="15">
        <f>IFERROR(__xludf.DUMMYFUNCTION("""COMPUTED_VALUE"""),45949.03270681557)</f>
        <v>45949.03271</v>
      </c>
      <c r="K749" s="15">
        <f>IFERROR(__xludf.DUMMYFUNCTION("""COMPUTED_VALUE"""),45949.27356838709)</f>
        <v>45949.27357</v>
      </c>
      <c r="L749" s="4"/>
    </row>
    <row r="750">
      <c r="A750" s="1">
        <f>IFERROR(__xludf.DUMMYFUNCTION("""COMPUTED_VALUE"""),749.0)</f>
        <v>749</v>
      </c>
      <c r="B750" s="1">
        <f>IFERROR(__xludf.DUMMYFUNCTION("""COMPUTED_VALUE"""),5892.0)</f>
        <v>5892</v>
      </c>
      <c r="C750" s="2" t="str">
        <f>IFERROR(__xludf.DUMMYFUNCTION("""COMPUTED_VALUE"""),"IMAM SAFI'I")</f>
        <v>IMAM SAFI'I</v>
      </c>
      <c r="D750" s="2" t="str">
        <f>IFERROR(__xludf.DUMMYFUNCTION("""COMPUTED_VALUE"""),"5KM OVERALL M")</f>
        <v>5KM OVERALL M</v>
      </c>
      <c r="E750" s="1">
        <f>IFERROR(__xludf.DUMMYFUNCTION("""COMPUTED_VALUE"""),482.0)</f>
        <v>482</v>
      </c>
      <c r="F750" s="1" t="str">
        <f>IFERROR(__xludf.DUMMYFUNCTION("""COMPUTED_VALUE"""),"Male")</f>
        <v>Male</v>
      </c>
      <c r="G750" s="5">
        <f>IFERROR(__xludf.DUMMYFUNCTION("""COMPUTED_VALUE"""),0.0065483055555555555)</f>
        <v>0.006548305556</v>
      </c>
      <c r="H750" s="15">
        <f>IFERROR(__xludf.DUMMYFUNCTION("""COMPUTED_VALUE"""),0.2549440625)</f>
        <v>0.2549440625</v>
      </c>
      <c r="I750" s="15">
        <f>IFERROR(__xludf.DUMMYFUNCTION("""COMPUTED_VALUE"""),45949.28768559229)</f>
        <v>45949.28769</v>
      </c>
      <c r="J750" s="15">
        <f>IFERROR(__xludf.DUMMYFUNCTION("""COMPUTED_VALUE"""),45949.03274152979)</f>
        <v>45949.03274</v>
      </c>
      <c r="K750" s="15">
        <f>IFERROR(__xludf.DUMMYFUNCTION("""COMPUTED_VALUE"""),45949.274360264084)</f>
        <v>45949.27436</v>
      </c>
      <c r="L750" s="4"/>
    </row>
    <row r="751">
      <c r="A751" s="1">
        <f>IFERROR(__xludf.DUMMYFUNCTION("""COMPUTED_VALUE"""),750.0)</f>
        <v>750</v>
      </c>
      <c r="B751" s="1">
        <f>IFERROR(__xludf.DUMMYFUNCTION("""COMPUTED_VALUE"""),5989.0)</f>
        <v>5989</v>
      </c>
      <c r="C751" s="2" t="str">
        <f>IFERROR(__xludf.DUMMYFUNCTION("""COMPUTED_VALUE"""),"Rinda Odelia")</f>
        <v>Rinda Odelia</v>
      </c>
      <c r="D751" s="2" t="str">
        <f>IFERROR(__xludf.DUMMYFUNCTION("""COMPUTED_VALUE"""),"5KM OVERALL F")</f>
        <v>5KM OVERALL F</v>
      </c>
      <c r="E751" s="1">
        <f>IFERROR(__xludf.DUMMYFUNCTION("""COMPUTED_VALUE"""),120.0)</f>
        <v>120</v>
      </c>
      <c r="F751" s="1" t="str">
        <f>IFERROR(__xludf.DUMMYFUNCTION("""COMPUTED_VALUE"""),"Female")</f>
        <v>Female</v>
      </c>
      <c r="G751" s="5">
        <f>IFERROR(__xludf.DUMMYFUNCTION("""COMPUTED_VALUE"""),0.006550381944444445)</f>
        <v>0.006550381944</v>
      </c>
      <c r="H751" s="15">
        <f>IFERROR(__xludf.DUMMYFUNCTION("""COMPUTED_VALUE"""),0.2549440625)</f>
        <v>0.2549440625</v>
      </c>
      <c r="I751" s="15">
        <f>IFERROR(__xludf.DUMMYFUNCTION("""COMPUTED_VALUE"""),45949.28769597222)</f>
        <v>45949.2877</v>
      </c>
      <c r="J751" s="15">
        <f>IFERROR(__xludf.DUMMYFUNCTION("""COMPUTED_VALUE"""),45949.03275190972)</f>
        <v>45949.03275</v>
      </c>
      <c r="K751" s="15">
        <f>IFERROR(__xludf.DUMMYFUNCTION("""COMPUTED_VALUE"""),45949.2740371382)</f>
        <v>45949.27404</v>
      </c>
      <c r="L751" s="4"/>
    </row>
    <row r="752">
      <c r="A752" s="1">
        <f>IFERROR(__xludf.DUMMYFUNCTION("""COMPUTED_VALUE"""),751.0)</f>
        <v>751</v>
      </c>
      <c r="B752" s="1">
        <f>IFERROR(__xludf.DUMMYFUNCTION("""COMPUTED_VALUE"""),5987.0)</f>
        <v>5987</v>
      </c>
      <c r="C752" s="2" t="str">
        <f>IFERROR(__xludf.DUMMYFUNCTION("""COMPUTED_VALUE"""),"Justitia")</f>
        <v>Justitia</v>
      </c>
      <c r="D752" s="2" t="str">
        <f>IFERROR(__xludf.DUMMYFUNCTION("""COMPUTED_VALUE"""),"5KM OVERALL F")</f>
        <v>5KM OVERALL F</v>
      </c>
      <c r="E752" s="1">
        <f>IFERROR(__xludf.DUMMYFUNCTION("""COMPUTED_VALUE"""),121.0)</f>
        <v>121</v>
      </c>
      <c r="F752" s="1" t="str">
        <f>IFERROR(__xludf.DUMMYFUNCTION("""COMPUTED_VALUE"""),"Female")</f>
        <v>Female</v>
      </c>
      <c r="G752" s="5">
        <f>IFERROR(__xludf.DUMMYFUNCTION("""COMPUTED_VALUE"""),0.006550384259259259)</f>
        <v>0.006550384259</v>
      </c>
      <c r="H752" s="15">
        <f>IFERROR(__xludf.DUMMYFUNCTION("""COMPUTED_VALUE"""),0.2549440625)</f>
        <v>0.2549440625</v>
      </c>
      <c r="I752" s="15">
        <f>IFERROR(__xludf.DUMMYFUNCTION("""COMPUTED_VALUE"""),45949.28769598381)</f>
        <v>45949.2877</v>
      </c>
      <c r="J752" s="15">
        <f>IFERROR(__xludf.DUMMYFUNCTION("""COMPUTED_VALUE"""),45949.03275192131)</f>
        <v>45949.03275</v>
      </c>
      <c r="K752" s="15">
        <f>IFERROR(__xludf.DUMMYFUNCTION("""COMPUTED_VALUE"""),45949.27404815224)</f>
        <v>45949.27405</v>
      </c>
      <c r="L752" s="4"/>
    </row>
    <row r="753">
      <c r="A753" s="1">
        <f>IFERROR(__xludf.DUMMYFUNCTION("""COMPUTED_VALUE"""),752.0)</f>
        <v>752</v>
      </c>
      <c r="B753" s="1">
        <f>IFERROR(__xludf.DUMMYFUNCTION("""COMPUTED_VALUE"""),5208.0)</f>
        <v>5208</v>
      </c>
      <c r="C753" s="2" t="str">
        <f>IFERROR(__xludf.DUMMYFUNCTION("""COMPUTED_VALUE"""),"Refdy")</f>
        <v>Refdy</v>
      </c>
      <c r="D753" s="2" t="str">
        <f>IFERROR(__xludf.DUMMYFUNCTION("""COMPUTED_VALUE"""),"5KM OVERALL M")</f>
        <v>5KM OVERALL M</v>
      </c>
      <c r="E753" s="1">
        <f>IFERROR(__xludf.DUMMYFUNCTION("""COMPUTED_VALUE"""),483.0)</f>
        <v>483</v>
      </c>
      <c r="F753" s="1" t="str">
        <f>IFERROR(__xludf.DUMMYFUNCTION("""COMPUTED_VALUE"""),"Male")</f>
        <v>Male</v>
      </c>
      <c r="G753" s="5">
        <f>IFERROR(__xludf.DUMMYFUNCTION("""COMPUTED_VALUE"""),0.006551777777777777)</f>
        <v>0.006551777778</v>
      </c>
      <c r="H753" s="15">
        <f>IFERROR(__xludf.DUMMYFUNCTION("""COMPUTED_VALUE"""),0.2549440625)</f>
        <v>0.2549440625</v>
      </c>
      <c r="I753" s="15">
        <f>IFERROR(__xludf.DUMMYFUNCTION("""COMPUTED_VALUE"""),45949.28770294804)</f>
        <v>45949.2877</v>
      </c>
      <c r="J753" s="15">
        <f>IFERROR(__xludf.DUMMYFUNCTION("""COMPUTED_VALUE"""),45949.032758885536)</f>
        <v>45949.03276</v>
      </c>
      <c r="K753" s="15">
        <f>IFERROR(__xludf.DUMMYFUNCTION("""COMPUTED_VALUE"""),45949.27384272145)</f>
        <v>45949.27384</v>
      </c>
      <c r="L753" s="4"/>
    </row>
    <row r="754">
      <c r="A754" s="1">
        <f>IFERROR(__xludf.DUMMYFUNCTION("""COMPUTED_VALUE"""),753.0)</f>
        <v>753</v>
      </c>
      <c r="B754" s="1">
        <f>IFERROR(__xludf.DUMMYFUNCTION("""COMPUTED_VALUE"""),5964.0)</f>
        <v>5964</v>
      </c>
      <c r="C754" s="2" t="str">
        <f>IFERROR(__xludf.DUMMYFUNCTION("""COMPUTED_VALUE"""),"Ida")</f>
        <v>Ida</v>
      </c>
      <c r="D754" s="2" t="str">
        <f>IFERROR(__xludf.DUMMYFUNCTION("""COMPUTED_VALUE"""),"5KM OVERALL F")</f>
        <v>5KM OVERALL F</v>
      </c>
      <c r="E754" s="1">
        <f>IFERROR(__xludf.DUMMYFUNCTION("""COMPUTED_VALUE"""),122.0)</f>
        <v>122</v>
      </c>
      <c r="F754" s="1" t="str">
        <f>IFERROR(__xludf.DUMMYFUNCTION("""COMPUTED_VALUE"""),"Female")</f>
        <v>Female</v>
      </c>
      <c r="G754" s="5">
        <f>IFERROR(__xludf.DUMMYFUNCTION("""COMPUTED_VALUE"""),0.006557321759259259)</f>
        <v>0.006557321759</v>
      </c>
      <c r="H754" s="15">
        <f>IFERROR(__xludf.DUMMYFUNCTION("""COMPUTED_VALUE"""),0.2549440625)</f>
        <v>0.2549440625</v>
      </c>
      <c r="I754" s="15">
        <f>IFERROR(__xludf.DUMMYFUNCTION("""COMPUTED_VALUE"""),45949.287730674885)</f>
        <v>45949.28773</v>
      </c>
      <c r="J754" s="15">
        <f>IFERROR(__xludf.DUMMYFUNCTION("""COMPUTED_VALUE"""),45949.032786612384)</f>
        <v>45949.03279</v>
      </c>
      <c r="K754" s="15">
        <f>IFERROR(__xludf.DUMMYFUNCTION("""COMPUTED_VALUE"""),45949.2741204343)</f>
        <v>45949.27412</v>
      </c>
      <c r="L754" s="4"/>
    </row>
    <row r="755">
      <c r="A755" s="1">
        <f>IFERROR(__xludf.DUMMYFUNCTION("""COMPUTED_VALUE"""),754.0)</f>
        <v>754</v>
      </c>
      <c r="B755" s="1">
        <f>IFERROR(__xludf.DUMMYFUNCTION("""COMPUTED_VALUE"""),6241.0)</f>
        <v>6241</v>
      </c>
      <c r="C755" s="2" t="str">
        <f>IFERROR(__xludf.DUMMYFUNCTION("""COMPUTED_VALUE"""),"Nizar")</f>
        <v>Nizar</v>
      </c>
      <c r="D755" s="2" t="str">
        <f>IFERROR(__xludf.DUMMYFUNCTION("""COMPUTED_VALUE"""),"5KM OVERALL M")</f>
        <v>5KM OVERALL M</v>
      </c>
      <c r="E755" s="1">
        <f>IFERROR(__xludf.DUMMYFUNCTION("""COMPUTED_VALUE"""),484.0)</f>
        <v>484</v>
      </c>
      <c r="F755" s="1" t="str">
        <f>IFERROR(__xludf.DUMMYFUNCTION("""COMPUTED_VALUE"""),"Male")</f>
        <v>Male</v>
      </c>
      <c r="G755" s="5">
        <f>IFERROR(__xludf.DUMMYFUNCTION("""COMPUTED_VALUE"""),0.006558722222222223)</f>
        <v>0.006558722222</v>
      </c>
      <c r="H755" s="15">
        <f>IFERROR(__xludf.DUMMYFUNCTION("""COMPUTED_VALUE"""),0.2549440625)</f>
        <v>0.2549440625</v>
      </c>
      <c r="I755" s="15">
        <f>IFERROR(__xludf.DUMMYFUNCTION("""COMPUTED_VALUE"""),45949.2877376766)</f>
        <v>45949.28774</v>
      </c>
      <c r="J755" s="15">
        <f>IFERROR(__xludf.DUMMYFUNCTION("""COMPUTED_VALUE"""),45949.0327936141)</f>
        <v>45949.03279</v>
      </c>
      <c r="K755" s="15">
        <f>IFERROR(__xludf.DUMMYFUNCTION("""COMPUTED_VALUE"""),45949.27543988983)</f>
        <v>45949.27544</v>
      </c>
      <c r="L755" s="4"/>
    </row>
    <row r="756">
      <c r="A756" s="1">
        <f>IFERROR(__xludf.DUMMYFUNCTION("""COMPUTED_VALUE"""),755.0)</f>
        <v>755</v>
      </c>
      <c r="B756" s="1">
        <f>IFERROR(__xludf.DUMMYFUNCTION("""COMPUTED_VALUE"""),7068.0)</f>
        <v>7068</v>
      </c>
      <c r="C756" s="2" t="str">
        <f>IFERROR(__xludf.DUMMYFUNCTION("""COMPUTED_VALUE"""),"Thomas")</f>
        <v>Thomas</v>
      </c>
      <c r="D756" s="2" t="str">
        <f>IFERROR(__xludf.DUMMYFUNCTION("""COMPUTED_VALUE"""),"5KM MASTER M")</f>
        <v>5KM MASTER M</v>
      </c>
      <c r="E756" s="1">
        <f>IFERROR(__xludf.DUMMYFUNCTION("""COMPUTED_VALUE"""),66.0)</f>
        <v>66</v>
      </c>
      <c r="F756" s="1" t="str">
        <f>IFERROR(__xludf.DUMMYFUNCTION("""COMPUTED_VALUE"""),"Male")</f>
        <v>Male</v>
      </c>
      <c r="G756" s="5">
        <f>IFERROR(__xludf.DUMMYFUNCTION("""COMPUTED_VALUE"""),0.006562877314814815)</f>
        <v>0.006562877315</v>
      </c>
      <c r="H756" s="15">
        <f>IFERROR(__xludf.DUMMYFUNCTION("""COMPUTED_VALUE"""),0.2549440625)</f>
        <v>0.2549440625</v>
      </c>
      <c r="I756" s="15">
        <f>IFERROR(__xludf.DUMMYFUNCTION("""COMPUTED_VALUE"""),45949.287758451705)</f>
        <v>45949.28776</v>
      </c>
      <c r="J756" s="15">
        <f>IFERROR(__xludf.DUMMYFUNCTION("""COMPUTED_VALUE"""),45949.032814389204)</f>
        <v>45949.03281</v>
      </c>
      <c r="K756" s="15">
        <f>IFERROR(__xludf.DUMMYFUNCTION("""COMPUTED_VALUE"""),45949.27383571544)</f>
        <v>45949.27384</v>
      </c>
      <c r="L756" s="4"/>
    </row>
    <row r="757">
      <c r="A757" s="1">
        <f>IFERROR(__xludf.DUMMYFUNCTION("""COMPUTED_VALUE"""),756.0)</f>
        <v>756</v>
      </c>
      <c r="B757" s="1">
        <f>IFERROR(__xludf.DUMMYFUNCTION("""COMPUTED_VALUE"""),6376.0)</f>
        <v>6376</v>
      </c>
      <c r="C757" s="2" t="str">
        <f>IFERROR(__xludf.DUMMYFUNCTION("""COMPUTED_VALUE"""),"Nasher")</f>
        <v>Nasher</v>
      </c>
      <c r="D757" s="2" t="str">
        <f>IFERROR(__xludf.DUMMYFUNCTION("""COMPUTED_VALUE"""),"5KM OVERALL M")</f>
        <v>5KM OVERALL M</v>
      </c>
      <c r="E757" s="1">
        <f>IFERROR(__xludf.DUMMYFUNCTION("""COMPUTED_VALUE"""),485.0)</f>
        <v>485</v>
      </c>
      <c r="F757" s="1" t="str">
        <f>IFERROR(__xludf.DUMMYFUNCTION("""COMPUTED_VALUE"""),"Male")</f>
        <v>Male</v>
      </c>
      <c r="G757" s="5">
        <f>IFERROR(__xludf.DUMMYFUNCTION("""COMPUTED_VALUE"""),0.006562881944444444)</f>
        <v>0.006562881944</v>
      </c>
      <c r="H757" s="15">
        <f>IFERROR(__xludf.DUMMYFUNCTION("""COMPUTED_VALUE"""),0.2549440625)</f>
        <v>0.2549440625</v>
      </c>
      <c r="I757" s="15">
        <f>IFERROR(__xludf.DUMMYFUNCTION("""COMPUTED_VALUE"""),45949.287758466475)</f>
        <v>45949.28776</v>
      </c>
      <c r="J757" s="15">
        <f>IFERROR(__xludf.DUMMYFUNCTION("""COMPUTED_VALUE"""),45949.032814403974)</f>
        <v>45949.03281</v>
      </c>
      <c r="K757" s="15">
        <f>IFERROR(__xludf.DUMMYFUNCTION("""COMPUTED_VALUE"""),45950.27462962963)</f>
        <v>45950.27463</v>
      </c>
      <c r="L757" s="4" t="str">
        <f>IFERROR(__xludf.DUMMYFUNCTION("""COMPUTED_VALUE"""),"C")</f>
        <v>C</v>
      </c>
    </row>
    <row r="758">
      <c r="A758" s="1">
        <f>IFERROR(__xludf.DUMMYFUNCTION("""COMPUTED_VALUE"""),757.0)</f>
        <v>757</v>
      </c>
      <c r="B758" s="1">
        <f>IFERROR(__xludf.DUMMYFUNCTION("""COMPUTED_VALUE"""),5920.0)</f>
        <v>5920</v>
      </c>
      <c r="C758" s="2" t="str">
        <f>IFERROR(__xludf.DUMMYFUNCTION("""COMPUTED_VALUE"""),"dewidsy")</f>
        <v>dewidsy</v>
      </c>
      <c r="D758" s="2" t="str">
        <f>IFERROR(__xludf.DUMMYFUNCTION("""COMPUTED_VALUE"""),"5KM OVERALL F")</f>
        <v>5KM OVERALL F</v>
      </c>
      <c r="E758" s="1">
        <f>IFERROR(__xludf.DUMMYFUNCTION("""COMPUTED_VALUE"""),123.0)</f>
        <v>123</v>
      </c>
      <c r="F758" s="1" t="str">
        <f>IFERROR(__xludf.DUMMYFUNCTION("""COMPUTED_VALUE"""),"Female")</f>
        <v>Female</v>
      </c>
      <c r="G758" s="5">
        <f>IFERROR(__xludf.DUMMYFUNCTION("""COMPUTED_VALUE"""),0.006562881944444444)</f>
        <v>0.006562881944</v>
      </c>
      <c r="H758" s="15">
        <f>IFERROR(__xludf.DUMMYFUNCTION("""COMPUTED_VALUE"""),0.2549440625)</f>
        <v>0.2549440625</v>
      </c>
      <c r="I758" s="15">
        <f>IFERROR(__xludf.DUMMYFUNCTION("""COMPUTED_VALUE"""),45949.287758466475)</f>
        <v>45949.28776</v>
      </c>
      <c r="J758" s="15">
        <f>IFERROR(__xludf.DUMMYFUNCTION("""COMPUTED_VALUE"""),45949.032814403974)</f>
        <v>45949.03281</v>
      </c>
      <c r="K758" s="15">
        <f>IFERROR(__xludf.DUMMYFUNCTION("""COMPUTED_VALUE"""),45949.27328366229)</f>
        <v>45949.27328</v>
      </c>
      <c r="L758" s="4"/>
    </row>
    <row r="759">
      <c r="A759" s="1">
        <f>IFERROR(__xludf.DUMMYFUNCTION("""COMPUTED_VALUE"""),758.0)</f>
        <v>758</v>
      </c>
      <c r="B759" s="1">
        <f>IFERROR(__xludf.DUMMYFUNCTION("""COMPUTED_VALUE"""),6201.0)</f>
        <v>6201</v>
      </c>
      <c r="C759" s="2" t="str">
        <f>IFERROR(__xludf.DUMMYFUNCTION("""COMPUTED_VALUE"""),"Iskandar")</f>
        <v>Iskandar</v>
      </c>
      <c r="D759" s="2" t="str">
        <f>IFERROR(__xludf.DUMMYFUNCTION("""COMPUTED_VALUE"""),"5KM OVERALL M")</f>
        <v>5KM OVERALL M</v>
      </c>
      <c r="E759" s="1">
        <f>IFERROR(__xludf.DUMMYFUNCTION("""COMPUTED_VALUE"""),486.0)</f>
        <v>486</v>
      </c>
      <c r="F759" s="1" t="str">
        <f>IFERROR(__xludf.DUMMYFUNCTION("""COMPUTED_VALUE"""),"Male")</f>
        <v>Male</v>
      </c>
      <c r="G759" s="5">
        <f>IFERROR(__xludf.DUMMYFUNCTION("""COMPUTED_VALUE"""),0.006564277777777777)</f>
        <v>0.006564277778</v>
      </c>
      <c r="H759" s="15">
        <f>IFERROR(__xludf.DUMMYFUNCTION("""COMPUTED_VALUE"""),0.2549440625)</f>
        <v>0.2549440625</v>
      </c>
      <c r="I759" s="15">
        <f>IFERROR(__xludf.DUMMYFUNCTION("""COMPUTED_VALUE"""),45949.287765453875)</f>
        <v>45949.28777</v>
      </c>
      <c r="J759" s="15">
        <f>IFERROR(__xludf.DUMMYFUNCTION("""COMPUTED_VALUE"""),45949.032821391374)</f>
        <v>45949.03282</v>
      </c>
      <c r="K759" s="15">
        <f>IFERROR(__xludf.DUMMYFUNCTION("""COMPUTED_VALUE"""),45949.27358572601)</f>
        <v>45949.27359</v>
      </c>
      <c r="L759" s="4"/>
    </row>
    <row r="760">
      <c r="A760" s="1">
        <f>IFERROR(__xludf.DUMMYFUNCTION("""COMPUTED_VALUE"""),759.0)</f>
        <v>759</v>
      </c>
      <c r="B760" s="1">
        <f>IFERROR(__xludf.DUMMYFUNCTION("""COMPUTED_VALUE"""),6084.0)</f>
        <v>6084</v>
      </c>
      <c r="C760" s="2" t="str">
        <f>IFERROR(__xludf.DUMMYFUNCTION("""COMPUTED_VALUE"""),"Rana")</f>
        <v>Rana</v>
      </c>
      <c r="D760" s="2" t="str">
        <f>IFERROR(__xludf.DUMMYFUNCTION("""COMPUTED_VALUE"""),"5KM OVERALL F")</f>
        <v>5KM OVERALL F</v>
      </c>
      <c r="E760" s="1">
        <f>IFERROR(__xludf.DUMMYFUNCTION("""COMPUTED_VALUE"""),124.0)</f>
        <v>124</v>
      </c>
      <c r="F760" s="1" t="str">
        <f>IFERROR(__xludf.DUMMYFUNCTION("""COMPUTED_VALUE"""),"Female")</f>
        <v>Female</v>
      </c>
      <c r="G760" s="5">
        <f>IFERROR(__xludf.DUMMYFUNCTION("""COMPUTED_VALUE"""),0.006564972222222222)</f>
        <v>0.006564972222</v>
      </c>
      <c r="H760" s="15">
        <f>IFERROR(__xludf.DUMMYFUNCTION("""COMPUTED_VALUE"""),0.2549440625)</f>
        <v>0.2549440625</v>
      </c>
      <c r="I760" s="15">
        <f>IFERROR(__xludf.DUMMYFUNCTION("""COMPUTED_VALUE"""),45949.287768929375)</f>
        <v>45949.28777</v>
      </c>
      <c r="J760" s="15">
        <f>IFERROR(__xludf.DUMMYFUNCTION("""COMPUTED_VALUE"""),45949.032824866874)</f>
        <v>45949.03282</v>
      </c>
      <c r="K760" s="15">
        <f>IFERROR(__xludf.DUMMYFUNCTION("""COMPUTED_VALUE"""),45949.267054476535)</f>
        <v>45949.26705</v>
      </c>
      <c r="L760" s="4"/>
    </row>
    <row r="761">
      <c r="A761" s="1">
        <f>IFERROR(__xludf.DUMMYFUNCTION("""COMPUTED_VALUE"""),760.0)</f>
        <v>760</v>
      </c>
      <c r="B761" s="1">
        <f>IFERROR(__xludf.DUMMYFUNCTION("""COMPUTED_VALUE"""),5396.0)</f>
        <v>5396</v>
      </c>
      <c r="C761" s="2" t="str">
        <f>IFERROR(__xludf.DUMMYFUNCTION("""COMPUTED_VALUE"""),"ALDHO")</f>
        <v>ALDHO</v>
      </c>
      <c r="D761" s="2" t="str">
        <f>IFERROR(__xludf.DUMMYFUNCTION("""COMPUTED_VALUE"""),"5KM OVERALL M")</f>
        <v>5KM OVERALL M</v>
      </c>
      <c r="E761" s="1">
        <f>IFERROR(__xludf.DUMMYFUNCTION("""COMPUTED_VALUE"""),487.0)</f>
        <v>487</v>
      </c>
      <c r="F761" s="1" t="str">
        <f>IFERROR(__xludf.DUMMYFUNCTION("""COMPUTED_VALUE"""),"Male")</f>
        <v>Male</v>
      </c>
      <c r="G761" s="5">
        <f>IFERROR(__xludf.DUMMYFUNCTION("""COMPUTED_VALUE"""),0.006564972222222222)</f>
        <v>0.006564972222</v>
      </c>
      <c r="H761" s="15">
        <f>IFERROR(__xludf.DUMMYFUNCTION("""COMPUTED_VALUE"""),0.2549440625)</f>
        <v>0.2549440625</v>
      </c>
      <c r="I761" s="15">
        <f>IFERROR(__xludf.DUMMYFUNCTION("""COMPUTED_VALUE"""),45949.287768929375)</f>
        <v>45949.28777</v>
      </c>
      <c r="J761" s="15">
        <f>IFERROR(__xludf.DUMMYFUNCTION("""COMPUTED_VALUE"""),45949.032824866874)</f>
        <v>45949.03282</v>
      </c>
      <c r="K761" s="15">
        <f>IFERROR(__xludf.DUMMYFUNCTION("""COMPUTED_VALUE"""),45949.272724611044)</f>
        <v>45949.27272</v>
      </c>
      <c r="L761" s="4"/>
    </row>
    <row r="762">
      <c r="A762" s="1">
        <f>IFERROR(__xludf.DUMMYFUNCTION("""COMPUTED_VALUE"""),761.0)</f>
        <v>761</v>
      </c>
      <c r="B762" s="1">
        <f>IFERROR(__xludf.DUMMYFUNCTION("""COMPUTED_VALUE"""),6421.0)</f>
        <v>6421</v>
      </c>
      <c r="C762" s="2" t="str">
        <f>IFERROR(__xludf.DUMMYFUNCTION("""COMPUTED_VALUE"""),"Gals")</f>
        <v>Gals</v>
      </c>
      <c r="D762" s="2" t="str">
        <f>IFERROR(__xludf.DUMMYFUNCTION("""COMPUTED_VALUE"""),"5KM OVERALL F")</f>
        <v>5KM OVERALL F</v>
      </c>
      <c r="E762" s="1">
        <f>IFERROR(__xludf.DUMMYFUNCTION("""COMPUTED_VALUE"""),125.0)</f>
        <v>125</v>
      </c>
      <c r="F762" s="1" t="str">
        <f>IFERROR(__xludf.DUMMYFUNCTION("""COMPUTED_VALUE"""),"Female")</f>
        <v>Female</v>
      </c>
      <c r="G762" s="5">
        <f>IFERROR(__xludf.DUMMYFUNCTION("""COMPUTED_VALUE"""),0.0065684444444444445)</f>
        <v>0.006568444444</v>
      </c>
      <c r="H762" s="15">
        <f>IFERROR(__xludf.DUMMYFUNCTION("""COMPUTED_VALUE"""),0.2549440625)</f>
        <v>0.2549440625</v>
      </c>
      <c r="I762" s="15">
        <f>IFERROR(__xludf.DUMMYFUNCTION("""COMPUTED_VALUE"""),45949.28778628243)</f>
        <v>45949.28779</v>
      </c>
      <c r="J762" s="15">
        <f>IFERROR(__xludf.DUMMYFUNCTION("""COMPUTED_VALUE"""),45949.03284221993)</f>
        <v>45949.03284</v>
      </c>
      <c r="K762" s="15">
        <f>IFERROR(__xludf.DUMMYFUNCTION("""COMPUTED_VALUE"""),45949.273221146104)</f>
        <v>45949.27322</v>
      </c>
      <c r="L762" s="4"/>
    </row>
    <row r="763">
      <c r="A763" s="1">
        <f>IFERROR(__xludf.DUMMYFUNCTION("""COMPUTED_VALUE"""),762.0)</f>
        <v>762</v>
      </c>
      <c r="B763" s="1">
        <f>IFERROR(__xludf.DUMMYFUNCTION("""COMPUTED_VALUE"""),7057.0)</f>
        <v>7057</v>
      </c>
      <c r="C763" s="2" t="str">
        <f>IFERROR(__xludf.DUMMYFUNCTION("""COMPUTED_VALUE"""),"RETNO")</f>
        <v>RETNO</v>
      </c>
      <c r="D763" s="2" t="str">
        <f>IFERROR(__xludf.DUMMYFUNCTION("""COMPUTED_VALUE"""),"5KM MASTER F")</f>
        <v>5KM MASTER F</v>
      </c>
      <c r="E763" s="1">
        <f>IFERROR(__xludf.DUMMYFUNCTION("""COMPUTED_VALUE"""),25.0)</f>
        <v>25</v>
      </c>
      <c r="F763" s="1" t="str">
        <f>IFERROR(__xludf.DUMMYFUNCTION("""COMPUTED_VALUE"""),"Female")</f>
        <v>Female</v>
      </c>
      <c r="G763" s="5">
        <f>IFERROR(__xludf.DUMMYFUNCTION("""COMPUTED_VALUE"""),0.006569821759259259)</f>
        <v>0.006569821759</v>
      </c>
      <c r="H763" s="15">
        <f>IFERROR(__xludf.DUMMYFUNCTION("""COMPUTED_VALUE"""),0.2549440625)</f>
        <v>0.2549440625</v>
      </c>
      <c r="I763" s="15">
        <f>IFERROR(__xludf.DUMMYFUNCTION("""COMPUTED_VALUE"""),45949.287793174)</f>
        <v>45949.28779</v>
      </c>
      <c r="J763" s="15">
        <f>IFERROR(__xludf.DUMMYFUNCTION("""COMPUTED_VALUE"""),45949.0328491115)</f>
        <v>45949.03285</v>
      </c>
      <c r="K763" s="15">
        <f>IFERROR(__xludf.DUMMYFUNCTION("""COMPUTED_VALUE"""),45949.273203782854)</f>
        <v>45949.2732</v>
      </c>
      <c r="L763" s="4"/>
    </row>
    <row r="764">
      <c r="A764" s="1">
        <f>IFERROR(__xludf.DUMMYFUNCTION("""COMPUTED_VALUE"""),763.0)</f>
        <v>763</v>
      </c>
      <c r="B764" s="1">
        <f>IFERROR(__xludf.DUMMYFUNCTION("""COMPUTED_VALUE"""),5697.0)</f>
        <v>5697</v>
      </c>
      <c r="C764" s="2" t="str">
        <f>IFERROR(__xludf.DUMMYFUNCTION("""COMPUTED_VALUE"""),"Khair")</f>
        <v>Khair</v>
      </c>
      <c r="D764" s="2" t="str">
        <f>IFERROR(__xludf.DUMMYFUNCTION("""COMPUTED_VALUE"""),"5KM OVERALL M")</f>
        <v>5KM OVERALL M</v>
      </c>
      <c r="E764" s="1">
        <f>IFERROR(__xludf.DUMMYFUNCTION("""COMPUTED_VALUE"""),488.0)</f>
        <v>488</v>
      </c>
      <c r="F764" s="1" t="str">
        <f>IFERROR(__xludf.DUMMYFUNCTION("""COMPUTED_VALUE"""),"Male")</f>
        <v>Male</v>
      </c>
      <c r="G764" s="5">
        <f>IFERROR(__xludf.DUMMYFUNCTION("""COMPUTED_VALUE"""),0.006570530092592593)</f>
        <v>0.006570530093</v>
      </c>
      <c r="H764" s="15">
        <f>IFERROR(__xludf.DUMMYFUNCTION("""COMPUTED_VALUE"""),0.2549440625)</f>
        <v>0.2549440625</v>
      </c>
      <c r="I764" s="15">
        <f>IFERROR(__xludf.DUMMYFUNCTION("""COMPUTED_VALUE"""),45949.28779670721)</f>
        <v>45949.2878</v>
      </c>
      <c r="J764" s="15">
        <f>IFERROR(__xludf.DUMMYFUNCTION("""COMPUTED_VALUE"""),45949.03285264471)</f>
        <v>45949.03285</v>
      </c>
      <c r="K764" s="15">
        <f>IFERROR(__xludf.DUMMYFUNCTION("""COMPUTED_VALUE"""),45949.272388737736)</f>
        <v>45949.27239</v>
      </c>
      <c r="L764" s="4"/>
    </row>
    <row r="765">
      <c r="A765" s="1">
        <f>IFERROR(__xludf.DUMMYFUNCTION("""COMPUTED_VALUE"""),764.0)</f>
        <v>764</v>
      </c>
      <c r="B765" s="1">
        <f>IFERROR(__xludf.DUMMYFUNCTION("""COMPUTED_VALUE"""),5314.0)</f>
        <v>5314</v>
      </c>
      <c r="C765" s="2" t="str">
        <f>IFERROR(__xludf.DUMMYFUNCTION("""COMPUTED_VALUE"""),"Mina")</f>
        <v>Mina</v>
      </c>
      <c r="D765" s="2" t="str">
        <f>IFERROR(__xludf.DUMMYFUNCTION("""COMPUTED_VALUE"""),"5KM OVERALL F")</f>
        <v>5KM OVERALL F</v>
      </c>
      <c r="E765" s="1">
        <f>IFERROR(__xludf.DUMMYFUNCTION("""COMPUTED_VALUE"""),126.0)</f>
        <v>126</v>
      </c>
      <c r="F765" s="1" t="str">
        <f>IFERROR(__xludf.DUMMYFUNCTION("""COMPUTED_VALUE"""),"Female")</f>
        <v>Female</v>
      </c>
      <c r="G765" s="5">
        <f>IFERROR(__xludf.DUMMYFUNCTION("""COMPUTED_VALUE"""),0.006570530092592593)</f>
        <v>0.006570530093</v>
      </c>
      <c r="H765" s="15">
        <f>IFERROR(__xludf.DUMMYFUNCTION("""COMPUTED_VALUE"""),0.2549440625)</f>
        <v>0.2549440625</v>
      </c>
      <c r="I765" s="15">
        <f>IFERROR(__xludf.DUMMYFUNCTION("""COMPUTED_VALUE"""),45949.28779670721)</f>
        <v>45949.2878</v>
      </c>
      <c r="J765" s="15">
        <f>IFERROR(__xludf.DUMMYFUNCTION("""COMPUTED_VALUE"""),45949.03285264471)</f>
        <v>45949.03285</v>
      </c>
      <c r="K765" s="15">
        <f>IFERROR(__xludf.DUMMYFUNCTION("""COMPUTED_VALUE"""),45949.274242422805)</f>
        <v>45949.27424</v>
      </c>
      <c r="L765" s="4"/>
    </row>
    <row r="766">
      <c r="A766" s="1">
        <f>IFERROR(__xludf.DUMMYFUNCTION("""COMPUTED_VALUE"""),765.0)</f>
        <v>765</v>
      </c>
      <c r="B766" s="1">
        <f>IFERROR(__xludf.DUMMYFUNCTION("""COMPUTED_VALUE"""),5640.0)</f>
        <v>5640</v>
      </c>
      <c r="C766" s="2" t="str">
        <f>IFERROR(__xludf.DUMMYFUNCTION("""COMPUTED_VALUE"""),"AVSAT")</f>
        <v>AVSAT</v>
      </c>
      <c r="D766" s="2" t="str">
        <f>IFERROR(__xludf.DUMMYFUNCTION("""COMPUTED_VALUE"""),"5KM OVERALL M")</f>
        <v>5KM OVERALL M</v>
      </c>
      <c r="E766" s="1">
        <f>IFERROR(__xludf.DUMMYFUNCTION("""COMPUTED_VALUE"""),489.0)</f>
        <v>489</v>
      </c>
      <c r="F766" s="1" t="str">
        <f>IFERROR(__xludf.DUMMYFUNCTION("""COMPUTED_VALUE"""),"Male")</f>
        <v>Male</v>
      </c>
      <c r="G766" s="5">
        <f>IFERROR(__xludf.DUMMYFUNCTION("""COMPUTED_VALUE"""),0.006571916666666668)</f>
        <v>0.006571916667</v>
      </c>
      <c r="H766" s="15">
        <f>IFERROR(__xludf.DUMMYFUNCTION("""COMPUTED_VALUE"""),0.2549440625)</f>
        <v>0.2549440625</v>
      </c>
      <c r="I766" s="15">
        <f>IFERROR(__xludf.DUMMYFUNCTION("""COMPUTED_VALUE"""),45949.28780365034)</f>
        <v>45949.2878</v>
      </c>
      <c r="J766" s="15">
        <f>IFERROR(__xludf.DUMMYFUNCTION("""COMPUTED_VALUE"""),45949.03285958784)</f>
        <v>45949.03286</v>
      </c>
      <c r="K766" s="15">
        <f>IFERROR(__xludf.DUMMYFUNCTION("""COMPUTED_VALUE"""),45949.27403015374)</f>
        <v>45949.27403</v>
      </c>
      <c r="L766" s="4"/>
    </row>
    <row r="767">
      <c r="A767" s="1">
        <f>IFERROR(__xludf.DUMMYFUNCTION("""COMPUTED_VALUE"""),766.0)</f>
        <v>766</v>
      </c>
      <c r="B767" s="7" t="str">
        <f>IFERROR(__xludf.DUMMYFUNCTION("""COMPUTED_VALUE"""),"7117")</f>
        <v>7117</v>
      </c>
      <c r="C767" s="8" t="str">
        <f>IFERROR(__xludf.DUMMYFUNCTION("""COMPUTED_VALUE"""),"Mastok")</f>
        <v>Mastok</v>
      </c>
      <c r="D767" s="2" t="str">
        <f>IFERROR(__xludf.DUMMYFUNCTION("""COMPUTED_VALUE"""),"5KM MASTER M")</f>
        <v>5KM MASTER M</v>
      </c>
      <c r="E767" s="1">
        <f>IFERROR(__xludf.DUMMYFUNCTION("""COMPUTED_VALUE"""),67.0)</f>
        <v>67</v>
      </c>
      <c r="F767" s="1" t="str">
        <f>IFERROR(__xludf.DUMMYFUNCTION("""COMPUTED_VALUE"""),"Male")</f>
        <v>Male</v>
      </c>
      <c r="G767" s="5">
        <f>IFERROR(__xludf.DUMMYFUNCTION("""COMPUTED_VALUE"""),0.006577472222222222)</f>
        <v>0.006577472222</v>
      </c>
      <c r="H767" s="15">
        <f>IFERROR(__xludf.DUMMYFUNCTION("""COMPUTED_VALUE"""),0.2549440625)</f>
        <v>0.2549440625</v>
      </c>
      <c r="I767" s="15">
        <f>IFERROR(__xludf.DUMMYFUNCTION("""COMPUTED_VALUE"""),45949.28783142803)</f>
        <v>45949.28783</v>
      </c>
      <c r="J767" s="15">
        <f>IFERROR(__xludf.DUMMYFUNCTION("""COMPUTED_VALUE"""),45949.03288736553)</f>
        <v>45949.03289</v>
      </c>
      <c r="K767" s="15">
        <f>IFERROR(__xludf.DUMMYFUNCTION("""COMPUTED_VALUE"""),45949.27324203712)</f>
        <v>45949.27324</v>
      </c>
      <c r="L767" s="4"/>
    </row>
    <row r="768">
      <c r="A768" s="1">
        <f>IFERROR(__xludf.DUMMYFUNCTION("""COMPUTED_VALUE"""),767.0)</f>
        <v>767</v>
      </c>
      <c r="B768" s="1">
        <f>IFERROR(__xludf.DUMMYFUNCTION("""COMPUTED_VALUE"""),5757.0)</f>
        <v>5757</v>
      </c>
      <c r="C768" s="2" t="str">
        <f>IFERROR(__xludf.DUMMYFUNCTION("""COMPUTED_VALUE"""),"Yupi")</f>
        <v>Yupi</v>
      </c>
      <c r="D768" s="2" t="str">
        <f>IFERROR(__xludf.DUMMYFUNCTION("""COMPUTED_VALUE"""),"5KM OVERALL M")</f>
        <v>5KM OVERALL M</v>
      </c>
      <c r="E768" s="1">
        <f>IFERROR(__xludf.DUMMYFUNCTION("""COMPUTED_VALUE"""),490.0)</f>
        <v>490</v>
      </c>
      <c r="F768" s="1" t="str">
        <f>IFERROR(__xludf.DUMMYFUNCTION("""COMPUTED_VALUE"""),"Male")</f>
        <v>Male</v>
      </c>
      <c r="G768" s="5">
        <f>IFERROR(__xludf.DUMMYFUNCTION("""COMPUTED_VALUE"""),0.0065795555555555555)</f>
        <v>0.006579555556</v>
      </c>
      <c r="H768" s="15">
        <f>IFERROR(__xludf.DUMMYFUNCTION("""COMPUTED_VALUE"""),0.2549440625)</f>
        <v>0.2549440625</v>
      </c>
      <c r="I768" s="15">
        <f>IFERROR(__xludf.DUMMYFUNCTION("""COMPUTED_VALUE"""),45949.28784184464)</f>
        <v>45949.28784</v>
      </c>
      <c r="J768" s="15">
        <f>IFERROR(__xludf.DUMMYFUNCTION("""COMPUTED_VALUE"""),45949.03289778214)</f>
        <v>45949.0329</v>
      </c>
      <c r="K768" s="15">
        <f>IFERROR(__xludf.DUMMYFUNCTION("""COMPUTED_VALUE"""),45949.27318641294)</f>
        <v>45949.27319</v>
      </c>
      <c r="L768" s="4"/>
    </row>
    <row r="769">
      <c r="A769" s="1">
        <f>IFERROR(__xludf.DUMMYFUNCTION("""COMPUTED_VALUE"""),768.0)</f>
        <v>768</v>
      </c>
      <c r="B769" s="1">
        <f>IFERROR(__xludf.DUMMYFUNCTION("""COMPUTED_VALUE"""),5515.0)</f>
        <v>5515</v>
      </c>
      <c r="C769" s="2" t="str">
        <f>IFERROR(__xludf.DUMMYFUNCTION("""COMPUTED_VALUE"""),"Ucit")</f>
        <v>Ucit</v>
      </c>
      <c r="D769" s="2" t="str">
        <f>IFERROR(__xludf.DUMMYFUNCTION("""COMPUTED_VALUE"""),"5KM OVERALL F")</f>
        <v>5KM OVERALL F</v>
      </c>
      <c r="E769" s="1">
        <f>IFERROR(__xludf.DUMMYFUNCTION("""COMPUTED_VALUE"""),127.0)</f>
        <v>127</v>
      </c>
      <c r="F769" s="1" t="str">
        <f>IFERROR(__xludf.DUMMYFUNCTION("""COMPUTED_VALUE"""),"Female")</f>
        <v>Female</v>
      </c>
      <c r="G769" s="5">
        <f>IFERROR(__xludf.DUMMYFUNCTION("""COMPUTED_VALUE"""),0.006585111111111111)</f>
        <v>0.006585111111</v>
      </c>
      <c r="H769" s="15">
        <f>IFERROR(__xludf.DUMMYFUNCTION("""COMPUTED_VALUE"""),0.2549440625)</f>
        <v>0.2549440625</v>
      </c>
      <c r="I769" s="15">
        <f>IFERROR(__xludf.DUMMYFUNCTION("""COMPUTED_VALUE"""),45949.28786962378)</f>
        <v>45949.28787</v>
      </c>
      <c r="J769" s="15">
        <f>IFERROR(__xludf.DUMMYFUNCTION("""COMPUTED_VALUE"""),45949.03292556128)</f>
        <v>45949.03293</v>
      </c>
      <c r="K769" s="15">
        <f>IFERROR(__xludf.DUMMYFUNCTION("""COMPUTED_VALUE"""),45949.27433227041)</f>
        <v>45949.27433</v>
      </c>
      <c r="L769" s="4"/>
    </row>
    <row r="770">
      <c r="A770" s="1">
        <f>IFERROR(__xludf.DUMMYFUNCTION("""COMPUTED_VALUE"""),769.0)</f>
        <v>769</v>
      </c>
      <c r="B770" s="1">
        <f>IFERROR(__xludf.DUMMYFUNCTION("""COMPUTED_VALUE"""),5595.0)</f>
        <v>5595</v>
      </c>
      <c r="C770" s="2" t="str">
        <f>IFERROR(__xludf.DUMMYFUNCTION("""COMPUTED_VALUE"""),"Renaldy Andriannoor")</f>
        <v>Renaldy Andriannoor</v>
      </c>
      <c r="D770" s="2" t="str">
        <f>IFERROR(__xludf.DUMMYFUNCTION("""COMPUTED_VALUE"""),"5KM OVERALL M")</f>
        <v>5KM OVERALL M</v>
      </c>
      <c r="E770" s="1">
        <f>IFERROR(__xludf.DUMMYFUNCTION("""COMPUTED_VALUE"""),491.0)</f>
        <v>491</v>
      </c>
      <c r="F770" s="1" t="str">
        <f>IFERROR(__xludf.DUMMYFUNCTION("""COMPUTED_VALUE"""),"Male")</f>
        <v>Male</v>
      </c>
      <c r="G770" s="5">
        <f>IFERROR(__xludf.DUMMYFUNCTION("""COMPUTED_VALUE"""),0.00658511574074074)</f>
        <v>0.006585115741</v>
      </c>
      <c r="H770" s="15">
        <f>IFERROR(__xludf.DUMMYFUNCTION("""COMPUTED_VALUE"""),0.2549440625)</f>
        <v>0.2549440625</v>
      </c>
      <c r="I770" s="15">
        <f>IFERROR(__xludf.DUMMYFUNCTION("""COMPUTED_VALUE"""),45949.287869636326)</f>
        <v>45949.28787</v>
      </c>
      <c r="J770" s="15">
        <f>IFERROR(__xludf.DUMMYFUNCTION("""COMPUTED_VALUE"""),45949.032925573825)</f>
        <v>45949.03293</v>
      </c>
      <c r="K770" s="15">
        <f>IFERROR(__xludf.DUMMYFUNCTION("""COMPUTED_VALUE"""),45949.27534265766)</f>
        <v>45949.27534</v>
      </c>
      <c r="L770" s="4"/>
    </row>
    <row r="771">
      <c r="A771" s="1">
        <f>IFERROR(__xludf.DUMMYFUNCTION("""COMPUTED_VALUE"""),770.0)</f>
        <v>770</v>
      </c>
      <c r="B771" s="1">
        <f>IFERROR(__xludf.DUMMYFUNCTION("""COMPUTED_VALUE"""),5780.0)</f>
        <v>5780</v>
      </c>
      <c r="C771" s="2" t="str">
        <f>IFERROR(__xludf.DUMMYFUNCTION("""COMPUTED_VALUE"""),"Danang CD")</f>
        <v>Danang CD</v>
      </c>
      <c r="D771" s="2" t="str">
        <f>IFERROR(__xludf.DUMMYFUNCTION("""COMPUTED_VALUE"""),"5KM OVERALL M")</f>
        <v>5KM OVERALL M</v>
      </c>
      <c r="E771" s="1">
        <f>IFERROR(__xludf.DUMMYFUNCTION("""COMPUTED_VALUE"""),492.0)</f>
        <v>492</v>
      </c>
      <c r="F771" s="1" t="str">
        <f>IFERROR(__xludf.DUMMYFUNCTION("""COMPUTED_VALUE"""),"Male")</f>
        <v>Male</v>
      </c>
      <c r="G771" s="5">
        <f>IFERROR(__xludf.DUMMYFUNCTION("""COMPUTED_VALUE"""),0.006587194444444444)</f>
        <v>0.006587194444</v>
      </c>
      <c r="H771" s="15">
        <f>IFERROR(__xludf.DUMMYFUNCTION("""COMPUTED_VALUE"""),0.2549440625)</f>
        <v>0.2549440625</v>
      </c>
      <c r="I771" s="15">
        <f>IFERROR(__xludf.DUMMYFUNCTION("""COMPUTED_VALUE"""),45949.28788003315)</f>
        <v>45949.28788</v>
      </c>
      <c r="J771" s="15">
        <f>IFERROR(__xludf.DUMMYFUNCTION("""COMPUTED_VALUE"""),45949.03293597065)</f>
        <v>45949.03294</v>
      </c>
      <c r="K771" s="15">
        <f>IFERROR(__xludf.DUMMYFUNCTION("""COMPUTED_VALUE"""),45949.27334267295)</f>
        <v>45949.27334</v>
      </c>
      <c r="L771" s="4"/>
    </row>
    <row r="772">
      <c r="A772" s="1">
        <f>IFERROR(__xludf.DUMMYFUNCTION("""COMPUTED_VALUE"""),771.0)</f>
        <v>771</v>
      </c>
      <c r="B772" s="1">
        <f>IFERROR(__xludf.DUMMYFUNCTION("""COMPUTED_VALUE"""),6167.0)</f>
        <v>6167</v>
      </c>
      <c r="C772" s="2" t="str">
        <f>IFERROR(__xludf.DUMMYFUNCTION("""COMPUTED_VALUE"""),"Bahrani")</f>
        <v>Bahrani</v>
      </c>
      <c r="D772" s="2" t="str">
        <f>IFERROR(__xludf.DUMMYFUNCTION("""COMPUTED_VALUE"""),"5KM OVERALL M")</f>
        <v>5KM OVERALL M</v>
      </c>
      <c r="E772" s="1">
        <f>IFERROR(__xludf.DUMMYFUNCTION("""COMPUTED_VALUE"""),493.0)</f>
        <v>493</v>
      </c>
      <c r="F772" s="1" t="str">
        <f>IFERROR(__xludf.DUMMYFUNCTION("""COMPUTED_VALUE"""),"Male")</f>
        <v>Male</v>
      </c>
      <c r="G772" s="5">
        <f>IFERROR(__xludf.DUMMYFUNCTION("""COMPUTED_VALUE"""),0.006589277777777779)</f>
        <v>0.006589277778</v>
      </c>
      <c r="H772" s="15">
        <f>IFERROR(__xludf.DUMMYFUNCTION("""COMPUTED_VALUE"""),0.2549440625)</f>
        <v>0.2549440625</v>
      </c>
      <c r="I772" s="15">
        <f>IFERROR(__xludf.DUMMYFUNCTION("""COMPUTED_VALUE"""),45949.28789044822)</f>
        <v>45949.28789</v>
      </c>
      <c r="J772" s="15">
        <f>IFERROR(__xludf.DUMMYFUNCTION("""COMPUTED_VALUE"""),45949.03294638572)</f>
        <v>45949.03295</v>
      </c>
      <c r="K772" s="15">
        <f>IFERROR(__xludf.DUMMYFUNCTION("""COMPUTED_VALUE"""),45950.27471064815)</f>
        <v>45950.27471</v>
      </c>
      <c r="L772" s="4" t="str">
        <f>IFERROR(__xludf.DUMMYFUNCTION("""COMPUTED_VALUE"""),"C")</f>
        <v>C</v>
      </c>
    </row>
    <row r="773">
      <c r="A773" s="1">
        <f>IFERROR(__xludf.DUMMYFUNCTION("""COMPUTED_VALUE"""),772.0)</f>
        <v>772</v>
      </c>
      <c r="B773" s="1">
        <f>IFERROR(__xludf.DUMMYFUNCTION("""COMPUTED_VALUE"""),5798.0)</f>
        <v>5798</v>
      </c>
      <c r="C773" s="2" t="str">
        <f>IFERROR(__xludf.DUMMYFUNCTION("""COMPUTED_VALUE"""),"Faradita Safitri")</f>
        <v>Faradita Safitri</v>
      </c>
      <c r="D773" s="2" t="str">
        <f>IFERROR(__xludf.DUMMYFUNCTION("""COMPUTED_VALUE"""),"5KM OVERALL F")</f>
        <v>5KM OVERALL F</v>
      </c>
      <c r="E773" s="1">
        <f>IFERROR(__xludf.DUMMYFUNCTION("""COMPUTED_VALUE"""),128.0)</f>
        <v>128</v>
      </c>
      <c r="F773" s="1" t="str">
        <f>IFERROR(__xludf.DUMMYFUNCTION("""COMPUTED_VALUE"""),"Female")</f>
        <v>Female</v>
      </c>
      <c r="G773" s="5">
        <f>IFERROR(__xludf.DUMMYFUNCTION("""COMPUTED_VALUE"""),0.0065906666666666665)</f>
        <v>0.006590666667</v>
      </c>
      <c r="H773" s="15">
        <f>IFERROR(__xludf.DUMMYFUNCTION("""COMPUTED_VALUE"""),0.2549440625)</f>
        <v>0.2549440625</v>
      </c>
      <c r="I773" s="15">
        <f>IFERROR(__xludf.DUMMYFUNCTION("""COMPUTED_VALUE"""),45949.28789739612)</f>
        <v>45949.2879</v>
      </c>
      <c r="J773" s="15">
        <f>IFERROR(__xludf.DUMMYFUNCTION("""COMPUTED_VALUE"""),45949.03295333362)</f>
        <v>45949.03295</v>
      </c>
      <c r="K773" s="15">
        <f>IFERROR(__xludf.DUMMYFUNCTION("""COMPUTED_VALUE"""),45949.27332923183)</f>
        <v>45949.27333</v>
      </c>
      <c r="L773" s="4"/>
    </row>
    <row r="774">
      <c r="A774" s="1">
        <f>IFERROR(__xludf.DUMMYFUNCTION("""COMPUTED_VALUE"""),773.0)</f>
        <v>773</v>
      </c>
      <c r="B774" s="1">
        <f>IFERROR(__xludf.DUMMYFUNCTION("""COMPUTED_VALUE"""),7059.0)</f>
        <v>7059</v>
      </c>
      <c r="C774" s="2" t="str">
        <f>IFERROR(__xludf.DUMMYFUNCTION("""COMPUTED_VALUE"""),"JUNRANTAU")</f>
        <v>JUNRANTAU</v>
      </c>
      <c r="D774" s="2" t="str">
        <f>IFERROR(__xludf.DUMMYFUNCTION("""COMPUTED_VALUE"""),"5KM MASTER M")</f>
        <v>5KM MASTER M</v>
      </c>
      <c r="E774" s="1">
        <f>IFERROR(__xludf.DUMMYFUNCTION("""COMPUTED_VALUE"""),68.0)</f>
        <v>68</v>
      </c>
      <c r="F774" s="1" t="str">
        <f>IFERROR(__xludf.DUMMYFUNCTION("""COMPUTED_VALUE"""),"Male")</f>
        <v>Male</v>
      </c>
      <c r="G774" s="5">
        <f>IFERROR(__xludf.DUMMYFUNCTION("""COMPUTED_VALUE"""),0.006594141203703703)</f>
        <v>0.006594141204</v>
      </c>
      <c r="H774" s="15">
        <f>IFERROR(__xludf.DUMMYFUNCTION("""COMPUTED_VALUE"""),0.2549440625)</f>
        <v>0.2549440625</v>
      </c>
      <c r="I774" s="15">
        <f>IFERROR(__xludf.DUMMYFUNCTION("""COMPUTED_VALUE"""),45949.28791477371)</f>
        <v>45949.28791</v>
      </c>
      <c r="J774" s="15">
        <f>IFERROR(__xludf.DUMMYFUNCTION("""COMPUTED_VALUE"""),45949.03297071121)</f>
        <v>45949.03297</v>
      </c>
      <c r="K774" s="15">
        <f>IFERROR(__xludf.DUMMYFUNCTION("""COMPUTED_VALUE"""),45949.272478083236)</f>
        <v>45949.27248</v>
      </c>
      <c r="L774" s="4"/>
    </row>
    <row r="775">
      <c r="A775" s="1">
        <f>IFERROR(__xludf.DUMMYFUNCTION("""COMPUTED_VALUE"""),774.0)</f>
        <v>774</v>
      </c>
      <c r="B775" s="1">
        <f>IFERROR(__xludf.DUMMYFUNCTION("""COMPUTED_VALUE"""),6139.0)</f>
        <v>6139</v>
      </c>
      <c r="C775" s="2" t="str">
        <f>IFERROR(__xludf.DUMMYFUNCTION("""COMPUTED_VALUE"""),"irwan")</f>
        <v>irwan</v>
      </c>
      <c r="D775" s="2" t="str">
        <f>IFERROR(__xludf.DUMMYFUNCTION("""COMPUTED_VALUE"""),"5KM OVERALL M")</f>
        <v>5KM OVERALL M</v>
      </c>
      <c r="E775" s="1">
        <f>IFERROR(__xludf.DUMMYFUNCTION("""COMPUTED_VALUE"""),494.0)</f>
        <v>494</v>
      </c>
      <c r="F775" s="1" t="str">
        <f>IFERROR(__xludf.DUMMYFUNCTION("""COMPUTED_VALUE"""),"Male")</f>
        <v>Male</v>
      </c>
      <c r="G775" s="5">
        <f>IFERROR(__xludf.DUMMYFUNCTION("""COMPUTED_VALUE"""),0.006597599537037037)</f>
        <v>0.006597599537</v>
      </c>
      <c r="H775" s="15">
        <f>IFERROR(__xludf.DUMMYFUNCTION("""COMPUTED_VALUE"""),0.2549440625)</f>
        <v>0.2549440625</v>
      </c>
      <c r="I775" s="15">
        <f>IFERROR(__xludf.DUMMYFUNCTION("""COMPUTED_VALUE"""),45949.287932059175)</f>
        <v>45949.28793</v>
      </c>
      <c r="J775" s="15">
        <f>IFERROR(__xludf.DUMMYFUNCTION("""COMPUTED_VALUE"""),45949.032987996674)</f>
        <v>45949.03299</v>
      </c>
      <c r="K775" s="15">
        <f>IFERROR(__xludf.DUMMYFUNCTION("""COMPUTED_VALUE"""),45949.275248923106)</f>
        <v>45949.27525</v>
      </c>
      <c r="L775" s="4"/>
    </row>
    <row r="776">
      <c r="A776" s="1">
        <f>IFERROR(__xludf.DUMMYFUNCTION("""COMPUTED_VALUE"""),775.0)</f>
        <v>775</v>
      </c>
      <c r="B776" s="1">
        <f>IFERROR(__xludf.DUMMYFUNCTION("""COMPUTED_VALUE"""),5699.0)</f>
        <v>5699</v>
      </c>
      <c r="C776" s="2" t="str">
        <f>IFERROR(__xludf.DUMMYFUNCTION("""COMPUTED_VALUE"""),"SHIDQI")</f>
        <v>SHIDQI</v>
      </c>
      <c r="D776" s="2" t="str">
        <f>IFERROR(__xludf.DUMMYFUNCTION("""COMPUTED_VALUE"""),"5KM OVERALL M")</f>
        <v>5KM OVERALL M</v>
      </c>
      <c r="E776" s="1">
        <f>IFERROR(__xludf.DUMMYFUNCTION("""COMPUTED_VALUE"""),495.0)</f>
        <v>495</v>
      </c>
      <c r="F776" s="1" t="str">
        <f>IFERROR(__xludf.DUMMYFUNCTION("""COMPUTED_VALUE"""),"Male")</f>
        <v>Male</v>
      </c>
      <c r="G776" s="5">
        <f>IFERROR(__xludf.DUMMYFUNCTION("""COMPUTED_VALUE"""),0.006597601851851852)</f>
        <v>0.006597601852</v>
      </c>
      <c r="H776" s="15">
        <f>IFERROR(__xludf.DUMMYFUNCTION("""COMPUTED_VALUE"""),0.2549440625)</f>
        <v>0.2549440625</v>
      </c>
      <c r="I776" s="15">
        <f>IFERROR(__xludf.DUMMYFUNCTION("""COMPUTED_VALUE"""),45949.287932071544)</f>
        <v>45949.28793</v>
      </c>
      <c r="J776" s="15">
        <f>IFERROR(__xludf.DUMMYFUNCTION("""COMPUTED_VALUE"""),45949.03298800904)</f>
        <v>45949.03299</v>
      </c>
      <c r="K776" s="15">
        <f>IFERROR(__xludf.DUMMYFUNCTION("""COMPUTED_VALUE"""),45949.27335673415)</f>
        <v>45949.27336</v>
      </c>
      <c r="L776" s="4"/>
    </row>
    <row r="777">
      <c r="A777" s="1">
        <f>IFERROR(__xludf.DUMMYFUNCTION("""COMPUTED_VALUE"""),776.0)</f>
        <v>776</v>
      </c>
      <c r="B777" s="7" t="str">
        <f>IFERROR(__xludf.DUMMYFUNCTION("""COMPUTED_VALUE"""),"9056")</f>
        <v>9056</v>
      </c>
      <c r="C777" s="8" t="str">
        <f>IFERROR(__xludf.DUMMYFUNCTION("""COMPUTED_VALUE"""),"Fatir")</f>
        <v>Fatir</v>
      </c>
      <c r="D777" s="2" t="str">
        <f>IFERROR(__xludf.DUMMYFUNCTION("""COMPUTED_VALUE"""),"5KM STUDENT M")</f>
        <v>5KM STUDENT M</v>
      </c>
      <c r="E777" s="1">
        <f>IFERROR(__xludf.DUMMYFUNCTION("""COMPUTED_VALUE"""),54.0)</f>
        <v>54</v>
      </c>
      <c r="F777" s="1" t="str">
        <f>IFERROR(__xludf.DUMMYFUNCTION("""COMPUTED_VALUE"""),"Male")</f>
        <v>Male</v>
      </c>
      <c r="G777" s="5">
        <f>IFERROR(__xludf.DUMMYFUNCTION("""COMPUTED_VALUE"""),0.006599696759259259)</f>
        <v>0.006599696759</v>
      </c>
      <c r="H777" s="15">
        <f>IFERROR(__xludf.DUMMYFUNCTION("""COMPUTED_VALUE"""),0.2549440625)</f>
        <v>0.2549440625</v>
      </c>
      <c r="I777" s="15">
        <f>IFERROR(__xludf.DUMMYFUNCTION("""COMPUTED_VALUE"""),45949.28794254164)</f>
        <v>45949.28794</v>
      </c>
      <c r="J777" s="15">
        <f>IFERROR(__xludf.DUMMYFUNCTION("""COMPUTED_VALUE"""),45949.03299847914)</f>
        <v>45949.033</v>
      </c>
      <c r="K777" s="15">
        <f>IFERROR(__xludf.DUMMYFUNCTION("""COMPUTED_VALUE"""),45949.27262391983)</f>
        <v>45949.27262</v>
      </c>
      <c r="L777" s="4"/>
    </row>
    <row r="778">
      <c r="A778" s="1">
        <f>IFERROR(__xludf.DUMMYFUNCTION("""COMPUTED_VALUE"""),777.0)</f>
        <v>777</v>
      </c>
      <c r="B778" s="1">
        <f>IFERROR(__xludf.DUMMYFUNCTION("""COMPUTED_VALUE"""),6448.0)</f>
        <v>6448</v>
      </c>
      <c r="C778" s="2" t="str">
        <f>IFERROR(__xludf.DUMMYFUNCTION("""COMPUTED_VALUE"""),"SONY F. L. GAOL")</f>
        <v>SONY F. L. GAOL</v>
      </c>
      <c r="D778" s="2" t="str">
        <f>IFERROR(__xludf.DUMMYFUNCTION("""COMPUTED_VALUE"""),"5KM OVERALL M")</f>
        <v>5KM OVERALL M</v>
      </c>
      <c r="E778" s="1">
        <f>IFERROR(__xludf.DUMMYFUNCTION("""COMPUTED_VALUE"""),496.0)</f>
        <v>496</v>
      </c>
      <c r="F778" s="1" t="str">
        <f>IFERROR(__xludf.DUMMYFUNCTION("""COMPUTED_VALUE"""),"Male")</f>
        <v>Male</v>
      </c>
      <c r="G778" s="5">
        <f>IFERROR(__xludf.DUMMYFUNCTION("""COMPUTED_VALUE"""),0.0066031689814814816)</f>
        <v>0.006603168981</v>
      </c>
      <c r="H778" s="15">
        <f>IFERROR(__xludf.DUMMYFUNCTION("""COMPUTED_VALUE"""),0.2549440625)</f>
        <v>0.2549440625</v>
      </c>
      <c r="I778" s="15">
        <f>IFERROR(__xludf.DUMMYFUNCTION("""COMPUTED_VALUE"""),45949.28795990215)</f>
        <v>45949.28796</v>
      </c>
      <c r="J778" s="15">
        <f>IFERROR(__xludf.DUMMYFUNCTION("""COMPUTED_VALUE"""),45949.03301583965)</f>
        <v>45949.03302</v>
      </c>
      <c r="K778" s="15">
        <f>IFERROR(__xludf.DUMMYFUNCTION("""COMPUTED_VALUE"""),45949.27302322311)</f>
        <v>45949.27302</v>
      </c>
      <c r="L778" s="4"/>
    </row>
    <row r="779">
      <c r="A779" s="1">
        <f>IFERROR(__xludf.DUMMYFUNCTION("""COMPUTED_VALUE"""),778.0)</f>
        <v>778</v>
      </c>
      <c r="B779" s="1">
        <f>IFERROR(__xludf.DUMMYFUNCTION("""COMPUTED_VALUE"""),6214.0)</f>
        <v>6214</v>
      </c>
      <c r="C779" s="2" t="str">
        <f>IFERROR(__xludf.DUMMYFUNCTION("""COMPUTED_VALUE"""),"Ma'ruful Fahri")</f>
        <v>Ma'ruful Fahri</v>
      </c>
      <c r="D779" s="2" t="str">
        <f>IFERROR(__xludf.DUMMYFUNCTION("""COMPUTED_VALUE"""),"5KM OVERALL M")</f>
        <v>5KM OVERALL M</v>
      </c>
      <c r="E779" s="1">
        <f>IFERROR(__xludf.DUMMYFUNCTION("""COMPUTED_VALUE"""),497.0)</f>
        <v>497</v>
      </c>
      <c r="F779" s="1" t="str">
        <f>IFERROR(__xludf.DUMMYFUNCTION("""COMPUTED_VALUE"""),"Male")</f>
        <v>Male</v>
      </c>
      <c r="G779" s="5">
        <f>IFERROR(__xludf.DUMMYFUNCTION("""COMPUTED_VALUE"""),0.006606638888888889)</f>
        <v>0.006606638889</v>
      </c>
      <c r="H779" s="15">
        <f>IFERROR(__xludf.DUMMYFUNCTION("""COMPUTED_VALUE"""),0.2549440625)</f>
        <v>0.2549440625</v>
      </c>
      <c r="I779" s="15">
        <f>IFERROR(__xludf.DUMMYFUNCTION("""COMPUTED_VALUE"""),45949.28797725226)</f>
        <v>45949.28798</v>
      </c>
      <c r="J779" s="15">
        <f>IFERROR(__xludf.DUMMYFUNCTION("""COMPUTED_VALUE"""),45949.03303318976)</f>
        <v>45949.03303</v>
      </c>
      <c r="K779" s="15">
        <f>IFERROR(__xludf.DUMMYFUNCTION("""COMPUTED_VALUE"""),45949.27472114234)</f>
        <v>45949.27472</v>
      </c>
      <c r="L779" s="4"/>
    </row>
    <row r="780">
      <c r="A780" s="1">
        <f>IFERROR(__xludf.DUMMYFUNCTION("""COMPUTED_VALUE"""),779.0)</f>
        <v>779</v>
      </c>
      <c r="B780" s="1">
        <f>IFERROR(__xludf.DUMMYFUNCTION("""COMPUTED_VALUE"""),6199.0)</f>
        <v>6199</v>
      </c>
      <c r="C780" s="2" t="str">
        <f>IFERROR(__xludf.DUMMYFUNCTION("""COMPUTED_VALUE"""),"iqbal rizkyawan")</f>
        <v>iqbal rizkyawan</v>
      </c>
      <c r="D780" s="2" t="str">
        <f>IFERROR(__xludf.DUMMYFUNCTION("""COMPUTED_VALUE"""),"5KM OVERALL M")</f>
        <v>5KM OVERALL M</v>
      </c>
      <c r="E780" s="1">
        <f>IFERROR(__xludf.DUMMYFUNCTION("""COMPUTED_VALUE"""),498.0)</f>
        <v>498</v>
      </c>
      <c r="F780" s="1" t="str">
        <f>IFERROR(__xludf.DUMMYFUNCTION("""COMPUTED_VALUE"""),"Male")</f>
        <v>Male</v>
      </c>
      <c r="G780" s="5">
        <f>IFERROR(__xludf.DUMMYFUNCTION("""COMPUTED_VALUE"""),0.006606641203703703)</f>
        <v>0.006606641204</v>
      </c>
      <c r="H780" s="15">
        <f>IFERROR(__xludf.DUMMYFUNCTION("""COMPUTED_VALUE"""),0.2549440625)</f>
        <v>0.2549440625</v>
      </c>
      <c r="I780" s="15">
        <f>IFERROR(__xludf.DUMMYFUNCTION("""COMPUTED_VALUE"""),45949.28797726424)</f>
        <v>45949.28798</v>
      </c>
      <c r="J780" s="15">
        <f>IFERROR(__xludf.DUMMYFUNCTION("""COMPUTED_VALUE"""),45949.03303320174)</f>
        <v>45949.03303</v>
      </c>
      <c r="K780" s="15">
        <f>IFERROR(__xludf.DUMMYFUNCTION("""COMPUTED_VALUE"""),45949.273822816736)</f>
        <v>45949.27382</v>
      </c>
      <c r="L780" s="4"/>
    </row>
    <row r="781">
      <c r="A781" s="1">
        <f>IFERROR(__xludf.DUMMYFUNCTION("""COMPUTED_VALUE"""),780.0)</f>
        <v>780</v>
      </c>
      <c r="B781" s="1">
        <f>IFERROR(__xludf.DUMMYFUNCTION("""COMPUTED_VALUE"""),5607.0)</f>
        <v>5607</v>
      </c>
      <c r="C781" s="2" t="str">
        <f>IFERROR(__xludf.DUMMYFUNCTION("""COMPUTED_VALUE"""),"Dimas Bendol")</f>
        <v>Dimas Bendol</v>
      </c>
      <c r="D781" s="2" t="str">
        <f>IFERROR(__xludf.DUMMYFUNCTION("""COMPUTED_VALUE"""),"5KM OVERALL M")</f>
        <v>5KM OVERALL M</v>
      </c>
      <c r="E781" s="1">
        <f>IFERROR(__xludf.DUMMYFUNCTION("""COMPUTED_VALUE"""),499.0)</f>
        <v>499</v>
      </c>
      <c r="F781" s="1" t="str">
        <f>IFERROR(__xludf.DUMMYFUNCTION("""COMPUTED_VALUE"""),"Male")</f>
        <v>Male</v>
      </c>
      <c r="G781" s="5">
        <f>IFERROR(__xludf.DUMMYFUNCTION("""COMPUTED_VALUE"""),0.006606641203703703)</f>
        <v>0.006606641204</v>
      </c>
      <c r="H781" s="15">
        <f>IFERROR(__xludf.DUMMYFUNCTION("""COMPUTED_VALUE"""),0.2549440625)</f>
        <v>0.2549440625</v>
      </c>
      <c r="I781" s="15">
        <f>IFERROR(__xludf.DUMMYFUNCTION("""COMPUTED_VALUE"""),45949.28797726424)</f>
        <v>45949.28798</v>
      </c>
      <c r="J781" s="15">
        <f>IFERROR(__xludf.DUMMYFUNCTION("""COMPUTED_VALUE"""),45949.03303320174)</f>
        <v>45949.03303</v>
      </c>
      <c r="K781" s="15">
        <f>IFERROR(__xludf.DUMMYFUNCTION("""COMPUTED_VALUE"""),45949.27345725327)</f>
        <v>45949.27346</v>
      </c>
      <c r="L781" s="4"/>
    </row>
    <row r="782">
      <c r="A782" s="1">
        <f>IFERROR(__xludf.DUMMYFUNCTION("""COMPUTED_VALUE"""),781.0)</f>
        <v>781</v>
      </c>
      <c r="B782" s="1">
        <f>IFERROR(__xludf.DUMMYFUNCTION("""COMPUTED_VALUE"""),6261.0)</f>
        <v>6261</v>
      </c>
      <c r="C782" s="2" t="str">
        <f>IFERROR(__xludf.DUMMYFUNCTION("""COMPUTED_VALUE"""),"Gadisnm")</f>
        <v>Gadisnm</v>
      </c>
      <c r="D782" s="2" t="str">
        <f>IFERROR(__xludf.DUMMYFUNCTION("""COMPUTED_VALUE"""),"5KM OVERALL F")</f>
        <v>5KM OVERALL F</v>
      </c>
      <c r="E782" s="1">
        <f>IFERROR(__xludf.DUMMYFUNCTION("""COMPUTED_VALUE"""),129.0)</f>
        <v>129</v>
      </c>
      <c r="F782" s="1" t="str">
        <f>IFERROR(__xludf.DUMMYFUNCTION("""COMPUTED_VALUE"""),"Female")</f>
        <v>Female</v>
      </c>
      <c r="G782" s="5">
        <f>IFERROR(__xludf.DUMMYFUNCTION("""COMPUTED_VALUE"""),0.006622599537037037)</f>
        <v>0.006622599537</v>
      </c>
      <c r="H782" s="15">
        <f>IFERROR(__xludf.DUMMYFUNCTION("""COMPUTED_VALUE"""),0.2549440625)</f>
        <v>0.2549440625</v>
      </c>
      <c r="I782" s="15">
        <f>IFERROR(__xludf.DUMMYFUNCTION("""COMPUTED_VALUE"""),45949.288057061436)</f>
        <v>45949.28806</v>
      </c>
      <c r="J782" s="15">
        <f>IFERROR(__xludf.DUMMYFUNCTION("""COMPUTED_VALUE"""),45949.033112998935)</f>
        <v>45949.03311</v>
      </c>
      <c r="K782" s="15">
        <f>IFERROR(__xludf.DUMMYFUNCTION("""COMPUTED_VALUE"""),45949.275196900846)</f>
        <v>45949.2752</v>
      </c>
      <c r="L782" s="4"/>
    </row>
    <row r="783">
      <c r="A783" s="1">
        <f>IFERROR(__xludf.DUMMYFUNCTION("""COMPUTED_VALUE"""),782.0)</f>
        <v>782</v>
      </c>
      <c r="B783" s="1">
        <f>IFERROR(__xludf.DUMMYFUNCTION("""COMPUTED_VALUE"""),6101.0)</f>
        <v>6101</v>
      </c>
      <c r="C783" s="2" t="str">
        <f>IFERROR(__xludf.DUMMYFUNCTION("""COMPUTED_VALUE"""),"rizaldi")</f>
        <v>rizaldi</v>
      </c>
      <c r="D783" s="2" t="str">
        <f>IFERROR(__xludf.DUMMYFUNCTION("""COMPUTED_VALUE"""),"5KM OVERALL M")</f>
        <v>5KM OVERALL M</v>
      </c>
      <c r="E783" s="1">
        <f>IFERROR(__xludf.DUMMYFUNCTION("""COMPUTED_VALUE"""),500.0)</f>
        <v>500</v>
      </c>
      <c r="F783" s="1" t="str">
        <f>IFERROR(__xludf.DUMMYFUNCTION("""COMPUTED_VALUE"""),"Male")</f>
        <v>Male</v>
      </c>
      <c r="G783" s="5">
        <f>IFERROR(__xludf.DUMMYFUNCTION("""COMPUTED_VALUE"""),0.006624696759259259)</f>
        <v>0.006624696759</v>
      </c>
      <c r="H783" s="15">
        <f>IFERROR(__xludf.DUMMYFUNCTION("""COMPUTED_VALUE"""),0.2549440625)</f>
        <v>0.2549440625</v>
      </c>
      <c r="I783" s="15">
        <f>IFERROR(__xludf.DUMMYFUNCTION("""COMPUTED_VALUE"""),45949.28806755089)</f>
        <v>45949.28807</v>
      </c>
      <c r="J783" s="15">
        <f>IFERROR(__xludf.DUMMYFUNCTION("""COMPUTED_VALUE"""),45949.03312348839)</f>
        <v>45949.03312</v>
      </c>
      <c r="K783" s="15">
        <f>IFERROR(__xludf.DUMMYFUNCTION("""COMPUTED_VALUE"""),45949.27325591747)</f>
        <v>45949.27326</v>
      </c>
      <c r="L783" s="4"/>
    </row>
    <row r="784">
      <c r="A784" s="1">
        <f>IFERROR(__xludf.DUMMYFUNCTION("""COMPUTED_VALUE"""),783.0)</f>
        <v>783</v>
      </c>
      <c r="B784" s="1">
        <f>IFERROR(__xludf.DUMMYFUNCTION("""COMPUTED_VALUE"""),6193.0)</f>
        <v>6193</v>
      </c>
      <c r="C784" s="2" t="str">
        <f>IFERROR(__xludf.DUMMYFUNCTION("""COMPUTED_VALUE"""),"Wahyu Ch")</f>
        <v>Wahyu Ch</v>
      </c>
      <c r="D784" s="2" t="str">
        <f>IFERROR(__xludf.DUMMYFUNCTION("""COMPUTED_VALUE"""),"5KM OVERALL M")</f>
        <v>5KM OVERALL M</v>
      </c>
      <c r="E784" s="1">
        <f>IFERROR(__xludf.DUMMYFUNCTION("""COMPUTED_VALUE"""),501.0)</f>
        <v>501</v>
      </c>
      <c r="F784" s="1" t="str">
        <f>IFERROR(__xludf.DUMMYFUNCTION("""COMPUTED_VALUE"""),"Male")</f>
        <v>Male</v>
      </c>
      <c r="G784" s="5">
        <f>IFERROR(__xludf.DUMMYFUNCTION("""COMPUTED_VALUE"""),0.0066337268518518525)</f>
        <v>0.006633726852</v>
      </c>
      <c r="H784" s="15">
        <f>IFERROR(__xludf.DUMMYFUNCTION("""COMPUTED_VALUE"""),0.2549440625)</f>
        <v>0.2549440625</v>
      </c>
      <c r="I784" s="15">
        <f>IFERROR(__xludf.DUMMYFUNCTION("""COMPUTED_VALUE"""),45949.28811269498)</f>
        <v>45949.28811</v>
      </c>
      <c r="J784" s="15">
        <f>IFERROR(__xludf.DUMMYFUNCTION("""COMPUTED_VALUE"""),45949.03316863248)</f>
        <v>45949.03317</v>
      </c>
      <c r="K784" s="15">
        <f>IFERROR(__xludf.DUMMYFUNCTION("""COMPUTED_VALUE"""),45949.275294102394)</f>
        <v>45949.27529</v>
      </c>
      <c r="L784" s="4"/>
    </row>
    <row r="785">
      <c r="A785" s="1">
        <f>IFERROR(__xludf.DUMMYFUNCTION("""COMPUTED_VALUE"""),784.0)</f>
        <v>784</v>
      </c>
      <c r="B785" s="1">
        <f>IFERROR(__xludf.DUMMYFUNCTION("""COMPUTED_VALUE"""),5721.0)</f>
        <v>5721</v>
      </c>
      <c r="C785" s="2" t="str">
        <f>IFERROR(__xludf.DUMMYFUNCTION("""COMPUTED_VALUE"""),"yamani")</f>
        <v>yamani</v>
      </c>
      <c r="D785" s="2" t="str">
        <f>IFERROR(__xludf.DUMMYFUNCTION("""COMPUTED_VALUE"""),"5KM OVERALL M")</f>
        <v>5KM OVERALL M</v>
      </c>
      <c r="E785" s="1">
        <f>IFERROR(__xludf.DUMMYFUNCTION("""COMPUTED_VALUE"""),502.0)</f>
        <v>502</v>
      </c>
      <c r="F785" s="1" t="str">
        <f>IFERROR(__xludf.DUMMYFUNCTION("""COMPUTED_VALUE"""),"Male")</f>
        <v>Male</v>
      </c>
      <c r="G785" s="5">
        <f>IFERROR(__xludf.DUMMYFUNCTION("""COMPUTED_VALUE"""),0.006635805555555556)</f>
        <v>0.006635805556</v>
      </c>
      <c r="H785" s="15">
        <f>IFERROR(__xludf.DUMMYFUNCTION("""COMPUTED_VALUE"""),0.2549440625)</f>
        <v>0.2549440625</v>
      </c>
      <c r="I785" s="15">
        <f>IFERROR(__xludf.DUMMYFUNCTION("""COMPUTED_VALUE"""),45949.2881230944)</f>
        <v>45949.28812</v>
      </c>
      <c r="J785" s="15">
        <f>IFERROR(__xludf.DUMMYFUNCTION("""COMPUTED_VALUE"""),45949.033179031896)</f>
        <v>45949.03318</v>
      </c>
      <c r="K785" s="15">
        <f>IFERROR(__xludf.DUMMYFUNCTION("""COMPUTED_VALUE"""),45949.271898266794)</f>
        <v>45949.2719</v>
      </c>
      <c r="L785" s="4"/>
    </row>
    <row r="786">
      <c r="A786" s="1">
        <f>IFERROR(__xludf.DUMMYFUNCTION("""COMPUTED_VALUE"""),785.0)</f>
        <v>785</v>
      </c>
      <c r="B786" s="1">
        <f>IFERROR(__xludf.DUMMYFUNCTION("""COMPUTED_VALUE"""),5266.0)</f>
        <v>5266</v>
      </c>
      <c r="C786" s="2" t="str">
        <f>IFERROR(__xludf.DUMMYFUNCTION("""COMPUTED_VALUE"""),"Sakti")</f>
        <v>Sakti</v>
      </c>
      <c r="D786" s="2" t="str">
        <f>IFERROR(__xludf.DUMMYFUNCTION("""COMPUTED_VALUE"""),"5KM OVERALL M")</f>
        <v>5KM OVERALL M</v>
      </c>
      <c r="E786" s="1">
        <f>IFERROR(__xludf.DUMMYFUNCTION("""COMPUTED_VALUE"""),503.0)</f>
        <v>503</v>
      </c>
      <c r="F786" s="1" t="str">
        <f>IFERROR(__xludf.DUMMYFUNCTION("""COMPUTED_VALUE"""),"Male")</f>
        <v>Male</v>
      </c>
      <c r="G786" s="5">
        <f>IFERROR(__xludf.DUMMYFUNCTION("""COMPUTED_VALUE"""),0.006636534722222223)</f>
        <v>0.006636534722</v>
      </c>
      <c r="H786" s="15">
        <f>IFERROR(__xludf.DUMMYFUNCTION("""COMPUTED_VALUE"""),0.2549440625)</f>
        <v>0.2549440625</v>
      </c>
      <c r="I786" s="15">
        <f>IFERROR(__xludf.DUMMYFUNCTION("""COMPUTED_VALUE"""),45949.288126733474)</f>
        <v>45949.28813</v>
      </c>
      <c r="J786" s="15">
        <f>IFERROR(__xludf.DUMMYFUNCTION("""COMPUTED_VALUE"""),45949.03318267097)</f>
        <v>45949.03318</v>
      </c>
      <c r="K786" s="15">
        <f>IFERROR(__xludf.DUMMYFUNCTION("""COMPUTED_VALUE"""),45949.27385666661)</f>
        <v>45949.27386</v>
      </c>
      <c r="L786" s="4"/>
    </row>
    <row r="787">
      <c r="A787" s="1">
        <f>IFERROR(__xludf.DUMMYFUNCTION("""COMPUTED_VALUE"""),786.0)</f>
        <v>786</v>
      </c>
      <c r="B787" s="1">
        <f>IFERROR(__xludf.DUMMYFUNCTION("""COMPUTED_VALUE"""),5650.0)</f>
        <v>5650</v>
      </c>
      <c r="C787" s="2" t="str">
        <f>IFERROR(__xludf.DUMMYFUNCTION("""COMPUTED_VALUE"""),"EMA")</f>
        <v>EMA</v>
      </c>
      <c r="D787" s="2" t="str">
        <f>IFERROR(__xludf.DUMMYFUNCTION("""COMPUTED_VALUE"""),"5KM OVERALL F")</f>
        <v>5KM OVERALL F</v>
      </c>
      <c r="E787" s="1">
        <f>IFERROR(__xludf.DUMMYFUNCTION("""COMPUTED_VALUE"""),130.0)</f>
        <v>130</v>
      </c>
      <c r="F787" s="1" t="str">
        <f>IFERROR(__xludf.DUMMYFUNCTION("""COMPUTED_VALUE"""),"Female")</f>
        <v>Female</v>
      </c>
      <c r="G787" s="5">
        <f>IFERROR(__xludf.DUMMYFUNCTION("""COMPUTED_VALUE"""),0.00664275)</f>
        <v>0.00664275</v>
      </c>
      <c r="H787" s="15">
        <f>IFERROR(__xludf.DUMMYFUNCTION("""COMPUTED_VALUE"""),0.2549440625)</f>
        <v>0.2549440625</v>
      </c>
      <c r="I787" s="15">
        <f>IFERROR(__xludf.DUMMYFUNCTION("""COMPUTED_VALUE"""),45949.28815781722)</f>
        <v>45949.28816</v>
      </c>
      <c r="J787" s="15">
        <f>IFERROR(__xludf.DUMMYFUNCTION("""COMPUTED_VALUE"""),45949.033213754716)</f>
        <v>45949.03321</v>
      </c>
      <c r="K787" s="15">
        <f>IFERROR(__xludf.DUMMYFUNCTION("""COMPUTED_VALUE"""),45949.27328363912)</f>
        <v>45949.27328</v>
      </c>
      <c r="L787" s="4"/>
    </row>
    <row r="788">
      <c r="A788" s="1">
        <f>IFERROR(__xludf.DUMMYFUNCTION("""COMPUTED_VALUE"""),787.0)</f>
        <v>787</v>
      </c>
      <c r="B788" s="1">
        <f>IFERROR(__xludf.DUMMYFUNCTION("""COMPUTED_VALUE"""),6367.0)</f>
        <v>6367</v>
      </c>
      <c r="C788" s="2" t="str">
        <f>IFERROR(__xludf.DUMMYFUNCTION("""COMPUTED_VALUE"""),"Boy Mardani")</f>
        <v>Boy Mardani</v>
      </c>
      <c r="D788" s="2" t="str">
        <f>IFERROR(__xludf.DUMMYFUNCTION("""COMPUTED_VALUE"""),"5KM OVERALL M")</f>
        <v>5KM OVERALL M</v>
      </c>
      <c r="E788" s="1">
        <f>IFERROR(__xludf.DUMMYFUNCTION("""COMPUTED_VALUE"""),504.0)</f>
        <v>504</v>
      </c>
      <c r="F788" s="1" t="str">
        <f>IFERROR(__xludf.DUMMYFUNCTION("""COMPUTED_VALUE"""),"Male")</f>
        <v>Male</v>
      </c>
      <c r="G788" s="5">
        <f>IFERROR(__xludf.DUMMYFUNCTION("""COMPUTED_VALUE"""),0.0066427546296296295)</f>
        <v>0.00664275463</v>
      </c>
      <c r="H788" s="15">
        <f>IFERROR(__xludf.DUMMYFUNCTION("""COMPUTED_VALUE"""),0.2549440625)</f>
        <v>0.2549440625</v>
      </c>
      <c r="I788" s="15">
        <f>IFERROR(__xludf.DUMMYFUNCTION("""COMPUTED_VALUE"""),45949.28815783035)</f>
        <v>45949.28816</v>
      </c>
      <c r="J788" s="15">
        <f>IFERROR(__xludf.DUMMYFUNCTION("""COMPUTED_VALUE"""),45949.03321376785)</f>
        <v>45949.03321</v>
      </c>
      <c r="K788" s="15">
        <f>IFERROR(__xludf.DUMMYFUNCTION("""COMPUTED_VALUE"""),45949.27667950739)</f>
        <v>45949.27668</v>
      </c>
      <c r="L788" s="4"/>
    </row>
    <row r="789">
      <c r="A789" s="1">
        <f>IFERROR(__xludf.DUMMYFUNCTION("""COMPUTED_VALUE"""),788.0)</f>
        <v>788</v>
      </c>
      <c r="B789" s="1">
        <f>IFERROR(__xludf.DUMMYFUNCTION("""COMPUTED_VALUE"""),5213.0)</f>
        <v>5213</v>
      </c>
      <c r="C789" s="2" t="str">
        <f>IFERROR(__xludf.DUMMYFUNCTION("""COMPUTED_VALUE"""),"Andri NP")</f>
        <v>Andri NP</v>
      </c>
      <c r="D789" s="2" t="str">
        <f>IFERROR(__xludf.DUMMYFUNCTION("""COMPUTED_VALUE"""),"5KM OVERALL M")</f>
        <v>5KM OVERALL M</v>
      </c>
      <c r="E789" s="1">
        <f>IFERROR(__xludf.DUMMYFUNCTION("""COMPUTED_VALUE"""),505.0)</f>
        <v>505</v>
      </c>
      <c r="F789" s="1" t="str">
        <f>IFERROR(__xludf.DUMMYFUNCTION("""COMPUTED_VALUE"""),"Male")</f>
        <v>Male</v>
      </c>
      <c r="G789" s="5">
        <f>IFERROR(__xludf.DUMMYFUNCTION("""COMPUTED_VALUE"""),0.006644837962962963)</f>
        <v>0.006644837963</v>
      </c>
      <c r="H789" s="15">
        <f>IFERROR(__xludf.DUMMYFUNCTION("""COMPUTED_VALUE"""),0.2549440625)</f>
        <v>0.2549440625</v>
      </c>
      <c r="I789" s="15">
        <f>IFERROR(__xludf.DUMMYFUNCTION("""COMPUTED_VALUE"""),45949.2881682475)</f>
        <v>45949.28817</v>
      </c>
      <c r="J789" s="15">
        <f>IFERROR(__xludf.DUMMYFUNCTION("""COMPUTED_VALUE"""),45949.033224185)</f>
        <v>45949.03322</v>
      </c>
      <c r="K789" s="15">
        <f>IFERROR(__xludf.DUMMYFUNCTION("""COMPUTED_VALUE"""),45949.27404406267)</f>
        <v>45949.27404</v>
      </c>
      <c r="L789" s="4"/>
    </row>
    <row r="790">
      <c r="A790" s="1">
        <f>IFERROR(__xludf.DUMMYFUNCTION("""COMPUTED_VALUE"""),789.0)</f>
        <v>789</v>
      </c>
      <c r="B790" s="1">
        <f>IFERROR(__xludf.DUMMYFUNCTION("""COMPUTED_VALUE"""),5031.0)</f>
        <v>5031</v>
      </c>
      <c r="C790" s="2" t="str">
        <f>IFERROR(__xludf.DUMMYFUNCTION("""COMPUTED_VALUE"""),"yusfrita")</f>
        <v>yusfrita</v>
      </c>
      <c r="D790" s="2" t="str">
        <f>IFERROR(__xludf.DUMMYFUNCTION("""COMPUTED_VALUE"""),"5KM OVERALL F")</f>
        <v>5KM OVERALL F</v>
      </c>
      <c r="E790" s="1">
        <f>IFERROR(__xludf.DUMMYFUNCTION("""COMPUTED_VALUE"""),131.0)</f>
        <v>131</v>
      </c>
      <c r="F790" s="1" t="str">
        <f>IFERROR(__xludf.DUMMYFUNCTION("""COMPUTED_VALUE"""),"Female")</f>
        <v>Female</v>
      </c>
      <c r="G790" s="5">
        <f>IFERROR(__xludf.DUMMYFUNCTION("""COMPUTED_VALUE"""),0.00664830787037037)</f>
        <v>0.00664830787</v>
      </c>
      <c r="H790" s="15">
        <f>IFERROR(__xludf.DUMMYFUNCTION("""COMPUTED_VALUE"""),0.2549440625)</f>
        <v>0.2549440625</v>
      </c>
      <c r="I790" s="15">
        <f>IFERROR(__xludf.DUMMYFUNCTION("""COMPUTED_VALUE"""),45949.28818560114)</f>
        <v>45949.28819</v>
      </c>
      <c r="J790" s="15">
        <f>IFERROR(__xludf.DUMMYFUNCTION("""COMPUTED_VALUE"""),45949.03324153864)</f>
        <v>45949.03324</v>
      </c>
      <c r="K790" s="15">
        <f>IFERROR(__xludf.DUMMYFUNCTION("""COMPUTED_VALUE"""),45949.274853999)</f>
        <v>45949.27485</v>
      </c>
      <c r="L790" s="4"/>
    </row>
    <row r="791">
      <c r="A791" s="1">
        <f>IFERROR(__xludf.DUMMYFUNCTION("""COMPUTED_VALUE"""),790.0)</f>
        <v>790</v>
      </c>
      <c r="B791" s="1">
        <f>IFERROR(__xludf.DUMMYFUNCTION("""COMPUTED_VALUE"""),6072.0)</f>
        <v>6072</v>
      </c>
      <c r="C791" s="2" t="str">
        <f>IFERROR(__xludf.DUMMYFUNCTION("""COMPUTED_VALUE"""),"Aryati Wandari")</f>
        <v>Aryati Wandari</v>
      </c>
      <c r="D791" s="2" t="str">
        <f>IFERROR(__xludf.DUMMYFUNCTION("""COMPUTED_VALUE"""),"5KM OVERALL F")</f>
        <v>5KM OVERALL F</v>
      </c>
      <c r="E791" s="1">
        <f>IFERROR(__xludf.DUMMYFUNCTION("""COMPUTED_VALUE"""),132.0)</f>
        <v>132</v>
      </c>
      <c r="F791" s="1" t="str">
        <f>IFERROR(__xludf.DUMMYFUNCTION("""COMPUTED_VALUE"""),"Female")</f>
        <v>Female</v>
      </c>
      <c r="G791" s="5">
        <f>IFERROR(__xludf.DUMMYFUNCTION("""COMPUTED_VALUE"""),0.0066496990740740735)</f>
        <v>0.006649699074</v>
      </c>
      <c r="H791" s="15">
        <f>IFERROR(__xludf.DUMMYFUNCTION("""COMPUTED_VALUE"""),0.2549440625)</f>
        <v>0.2549440625</v>
      </c>
      <c r="I791" s="15">
        <f>IFERROR(__xludf.DUMMYFUNCTION("""COMPUTED_VALUE"""),45949.28819255222)</f>
        <v>45949.28819</v>
      </c>
      <c r="J791" s="15">
        <f>IFERROR(__xludf.DUMMYFUNCTION("""COMPUTED_VALUE"""),45949.03324848972)</f>
        <v>45949.03325</v>
      </c>
      <c r="K791" s="15">
        <f>IFERROR(__xludf.DUMMYFUNCTION("""COMPUTED_VALUE"""),45949.27366904937)</f>
        <v>45949.27367</v>
      </c>
      <c r="L791" s="4"/>
    </row>
    <row r="792">
      <c r="A792" s="1">
        <f>IFERROR(__xludf.DUMMYFUNCTION("""COMPUTED_VALUE"""),791.0)</f>
        <v>791</v>
      </c>
      <c r="B792" s="1">
        <f>IFERROR(__xludf.DUMMYFUNCTION("""COMPUTED_VALUE"""),5928.0)</f>
        <v>5928</v>
      </c>
      <c r="C792" s="2" t="str">
        <f>IFERROR(__xludf.DUMMYFUNCTION("""COMPUTED_VALUE"""),"Doni Jongka")</f>
        <v>Doni Jongka</v>
      </c>
      <c r="D792" s="2" t="str">
        <f>IFERROR(__xludf.DUMMYFUNCTION("""COMPUTED_VALUE"""),"5KM OVERALL M")</f>
        <v>5KM OVERALL M</v>
      </c>
      <c r="E792" s="1">
        <f>IFERROR(__xludf.DUMMYFUNCTION("""COMPUTED_VALUE"""),506.0)</f>
        <v>506</v>
      </c>
      <c r="F792" s="1" t="str">
        <f>IFERROR(__xludf.DUMMYFUNCTION("""COMPUTED_VALUE"""),"Male")</f>
        <v>Male</v>
      </c>
      <c r="G792" s="5">
        <f>IFERROR(__xludf.DUMMYFUNCTION("""COMPUTED_VALUE"""),0.006653851851851851)</f>
        <v>0.006653851852</v>
      </c>
      <c r="H792" s="15">
        <f>IFERROR(__xludf.DUMMYFUNCTION("""COMPUTED_VALUE"""),0.2549440625)</f>
        <v>0.2549440625</v>
      </c>
      <c r="I792" s="15">
        <f>IFERROR(__xludf.DUMMYFUNCTION("""COMPUTED_VALUE"""),45949.28821332656)</f>
        <v>45949.28821</v>
      </c>
      <c r="J792" s="15">
        <f>IFERROR(__xludf.DUMMYFUNCTION("""COMPUTED_VALUE"""),45949.03326926406)</f>
        <v>45949.03327</v>
      </c>
      <c r="K792" s="15">
        <f>IFERROR(__xludf.DUMMYFUNCTION("""COMPUTED_VALUE"""),45949.27415863791)</f>
        <v>45949.27416</v>
      </c>
      <c r="L792" s="4"/>
    </row>
    <row r="793">
      <c r="A793" s="1">
        <f>IFERROR(__xludf.DUMMYFUNCTION("""COMPUTED_VALUE"""),792.0)</f>
        <v>792</v>
      </c>
      <c r="B793" s="1">
        <f>IFERROR(__xludf.DUMMYFUNCTION("""COMPUTED_VALUE"""),5154.0)</f>
        <v>5154</v>
      </c>
      <c r="C793" s="2" t="str">
        <f>IFERROR(__xludf.DUMMYFUNCTION("""COMPUTED_VALUE"""),"ombibip")</f>
        <v>ombibip</v>
      </c>
      <c r="D793" s="2" t="str">
        <f>IFERROR(__xludf.DUMMYFUNCTION("""COMPUTED_VALUE"""),"5KM OVERALL M")</f>
        <v>5KM OVERALL M</v>
      </c>
      <c r="E793" s="1">
        <f>IFERROR(__xludf.DUMMYFUNCTION("""COMPUTED_VALUE"""),507.0)</f>
        <v>507</v>
      </c>
      <c r="F793" s="1" t="str">
        <f>IFERROR(__xludf.DUMMYFUNCTION("""COMPUTED_VALUE"""),"Male")</f>
        <v>Male</v>
      </c>
      <c r="G793" s="5">
        <f>IFERROR(__xludf.DUMMYFUNCTION("""COMPUTED_VALUE"""),0.006657335648148148)</f>
        <v>0.006657335648</v>
      </c>
      <c r="H793" s="15">
        <f>IFERROR(__xludf.DUMMYFUNCTION("""COMPUTED_VALUE"""),0.2549440625)</f>
        <v>0.2549440625</v>
      </c>
      <c r="I793" s="15">
        <f>IFERROR(__xludf.DUMMYFUNCTION("""COMPUTED_VALUE"""),45949.28823073543)</f>
        <v>45949.28823</v>
      </c>
      <c r="J793" s="15">
        <f>IFERROR(__xludf.DUMMYFUNCTION("""COMPUTED_VALUE"""),45949.03328667293)</f>
        <v>45949.03329</v>
      </c>
      <c r="K793" s="15">
        <f>IFERROR(__xludf.DUMMYFUNCTION("""COMPUTED_VALUE"""),45949.274926006496)</f>
        <v>45949.27493</v>
      </c>
      <c r="L793" s="4"/>
    </row>
    <row r="794">
      <c r="A794" s="1">
        <f>IFERROR(__xludf.DUMMYFUNCTION("""COMPUTED_VALUE"""),793.0)</f>
        <v>793</v>
      </c>
      <c r="B794" s="1">
        <f>IFERROR(__xludf.DUMMYFUNCTION("""COMPUTED_VALUE"""),5021.0)</f>
        <v>5021</v>
      </c>
      <c r="C794" s="2" t="str">
        <f>IFERROR(__xludf.DUMMYFUNCTION("""COMPUTED_VALUE"""),"FAUZAN")</f>
        <v>FAUZAN</v>
      </c>
      <c r="D794" s="2" t="str">
        <f>IFERROR(__xludf.DUMMYFUNCTION("""COMPUTED_VALUE"""),"5KM OVERALL M")</f>
        <v>5KM OVERALL M</v>
      </c>
      <c r="E794" s="1">
        <f>IFERROR(__xludf.DUMMYFUNCTION("""COMPUTED_VALUE"""),508.0)</f>
        <v>508</v>
      </c>
      <c r="F794" s="1" t="str">
        <f>IFERROR(__xludf.DUMMYFUNCTION("""COMPUTED_VALUE"""),"Male")</f>
        <v>Male</v>
      </c>
      <c r="G794" s="5">
        <f>IFERROR(__xludf.DUMMYFUNCTION("""COMPUTED_VALUE"""),0.006657337962962963)</f>
        <v>0.006657337963</v>
      </c>
      <c r="H794" s="15">
        <f>IFERROR(__xludf.DUMMYFUNCTION("""COMPUTED_VALUE"""),0.2549440625)</f>
        <v>0.2549440625</v>
      </c>
      <c r="I794" s="15">
        <f>IFERROR(__xludf.DUMMYFUNCTION("""COMPUTED_VALUE"""),45949.288230747574)</f>
        <v>45949.28823</v>
      </c>
      <c r="J794" s="15">
        <f>IFERROR(__xludf.DUMMYFUNCTION("""COMPUTED_VALUE"""),45949.03328668507)</f>
        <v>45949.03329</v>
      </c>
      <c r="K794" s="15">
        <f>IFERROR(__xludf.DUMMYFUNCTION("""COMPUTED_VALUE"""),45949.27408919469)</f>
        <v>45949.27409</v>
      </c>
      <c r="L794" s="4"/>
    </row>
    <row r="795">
      <c r="A795" s="1">
        <f>IFERROR(__xludf.DUMMYFUNCTION("""COMPUTED_VALUE"""),794.0)</f>
        <v>794</v>
      </c>
      <c r="B795" s="1">
        <f>IFERROR(__xludf.DUMMYFUNCTION("""COMPUTED_VALUE"""),7007.0)</f>
        <v>7007</v>
      </c>
      <c r="C795" s="2" t="str">
        <f>IFERROR(__xludf.DUMMYFUNCTION("""COMPUTED_VALUE"""),"Rayi")</f>
        <v>Rayi</v>
      </c>
      <c r="D795" s="2" t="str">
        <f>IFERROR(__xludf.DUMMYFUNCTION("""COMPUTED_VALUE"""),"5KM MASTER F")</f>
        <v>5KM MASTER F</v>
      </c>
      <c r="E795" s="1">
        <f>IFERROR(__xludf.DUMMYFUNCTION("""COMPUTED_VALUE"""),26.0)</f>
        <v>26</v>
      </c>
      <c r="F795" s="1" t="str">
        <f>IFERROR(__xludf.DUMMYFUNCTION("""COMPUTED_VALUE"""),"Female")</f>
        <v>Female</v>
      </c>
      <c r="G795" s="5">
        <f>IFERROR(__xludf.DUMMYFUNCTION("""COMPUTED_VALUE"""),0.006661500000000001)</f>
        <v>0.0066615</v>
      </c>
      <c r="H795" s="15">
        <f>IFERROR(__xludf.DUMMYFUNCTION("""COMPUTED_VALUE"""),0.2549440625)</f>
        <v>0.2549440625</v>
      </c>
      <c r="I795" s="15">
        <f>IFERROR(__xludf.DUMMYFUNCTION("""COMPUTED_VALUE"""),45949.288251565245)</f>
        <v>45949.28825</v>
      </c>
      <c r="J795" s="15">
        <f>IFERROR(__xludf.DUMMYFUNCTION("""COMPUTED_VALUE"""),45949.033307502745)</f>
        <v>45949.03331</v>
      </c>
      <c r="K795" s="15">
        <f>IFERROR(__xludf.DUMMYFUNCTION("""COMPUTED_VALUE"""),45949.27354451174)</f>
        <v>45949.27354</v>
      </c>
      <c r="L795" s="4"/>
    </row>
    <row r="796">
      <c r="A796" s="1">
        <f>IFERROR(__xludf.DUMMYFUNCTION("""COMPUTED_VALUE"""),795.0)</f>
        <v>795</v>
      </c>
      <c r="B796" s="1">
        <f>IFERROR(__xludf.DUMMYFUNCTION("""COMPUTED_VALUE"""),5836.0)</f>
        <v>5836</v>
      </c>
      <c r="C796" s="2">
        <f>IFERROR(__xludf.DUMMYFUNCTION("""COMPUTED_VALUE"""),211320.0)</f>
        <v>211320</v>
      </c>
      <c r="D796" s="2" t="str">
        <f>IFERROR(__xludf.DUMMYFUNCTION("""COMPUTED_VALUE"""),"5KM OVERALL M")</f>
        <v>5KM OVERALL M</v>
      </c>
      <c r="E796" s="1">
        <f>IFERROR(__xludf.DUMMYFUNCTION("""COMPUTED_VALUE"""),509.0)</f>
        <v>509</v>
      </c>
      <c r="F796" s="1" t="str">
        <f>IFERROR(__xludf.DUMMYFUNCTION("""COMPUTED_VALUE"""),"Male")</f>
        <v>Male</v>
      </c>
      <c r="G796" s="5">
        <f>IFERROR(__xludf.DUMMYFUNCTION("""COMPUTED_VALUE"""),0.00666287962962963)</f>
        <v>0.00666287963</v>
      </c>
      <c r="H796" s="15">
        <f>IFERROR(__xludf.DUMMYFUNCTION("""COMPUTED_VALUE"""),0.2549440625)</f>
        <v>0.2549440625</v>
      </c>
      <c r="I796" s="15">
        <f>IFERROR(__xludf.DUMMYFUNCTION("""COMPUTED_VALUE"""),45949.28825845512)</f>
        <v>45949.28826</v>
      </c>
      <c r="J796" s="15">
        <f>IFERROR(__xludf.DUMMYFUNCTION("""COMPUTED_VALUE"""),45949.03331439262)</f>
        <v>45949.03331</v>
      </c>
      <c r="K796" s="15">
        <f>IFERROR(__xludf.DUMMYFUNCTION("""COMPUTED_VALUE"""),45949.27508919646)</f>
        <v>45949.27509</v>
      </c>
      <c r="L796" s="4"/>
    </row>
    <row r="797">
      <c r="A797" s="1">
        <f>IFERROR(__xludf.DUMMYFUNCTION("""COMPUTED_VALUE"""),796.0)</f>
        <v>796</v>
      </c>
      <c r="B797" s="1">
        <f>IFERROR(__xludf.DUMMYFUNCTION("""COMPUTED_VALUE"""),5801.0)</f>
        <v>5801</v>
      </c>
      <c r="C797" s="2" t="str">
        <f>IFERROR(__xludf.DUMMYFUNCTION("""COMPUTED_VALUE"""),"GUGUN")</f>
        <v>GUGUN</v>
      </c>
      <c r="D797" s="2" t="str">
        <f>IFERROR(__xludf.DUMMYFUNCTION("""COMPUTED_VALUE"""),"5KM OVERALL M")</f>
        <v>5KM OVERALL M</v>
      </c>
      <c r="E797" s="1">
        <f>IFERROR(__xludf.DUMMYFUNCTION("""COMPUTED_VALUE"""),510.0)</f>
        <v>510</v>
      </c>
      <c r="F797" s="1" t="str">
        <f>IFERROR(__xludf.DUMMYFUNCTION("""COMPUTED_VALUE"""),"Male")</f>
        <v>Male</v>
      </c>
      <c r="G797" s="5">
        <f>IFERROR(__xludf.DUMMYFUNCTION("""COMPUTED_VALUE"""),0.006666361111111111)</f>
        <v>0.006666361111</v>
      </c>
      <c r="H797" s="15">
        <f>IFERROR(__xludf.DUMMYFUNCTION("""COMPUTED_VALUE"""),0.2549440625)</f>
        <v>0.2549440625</v>
      </c>
      <c r="I797" s="15">
        <f>IFERROR(__xludf.DUMMYFUNCTION("""COMPUTED_VALUE"""),45949.28827586705)</f>
        <v>45949.28828</v>
      </c>
      <c r="J797" s="15">
        <f>IFERROR(__xludf.DUMMYFUNCTION("""COMPUTED_VALUE"""),45949.03333180455)</f>
        <v>45949.03333</v>
      </c>
      <c r="K797" s="15">
        <f>IFERROR(__xludf.DUMMYFUNCTION("""COMPUTED_VALUE"""),45949.27574890796)</f>
        <v>45949.27575</v>
      </c>
      <c r="L797" s="4"/>
    </row>
    <row r="798">
      <c r="A798" s="1">
        <f>IFERROR(__xludf.DUMMYFUNCTION("""COMPUTED_VALUE"""),797.0)</f>
        <v>797</v>
      </c>
      <c r="B798" s="1">
        <f>IFERROR(__xludf.DUMMYFUNCTION("""COMPUTED_VALUE"""),5612.0)</f>
        <v>5612</v>
      </c>
      <c r="C798" s="2" t="str">
        <f>IFERROR(__xludf.DUMMYFUNCTION("""COMPUTED_VALUE"""),"Rahimah")</f>
        <v>Rahimah</v>
      </c>
      <c r="D798" s="2" t="str">
        <f>IFERROR(__xludf.DUMMYFUNCTION("""COMPUTED_VALUE"""),"5KM OVERALL F")</f>
        <v>5KM OVERALL F</v>
      </c>
      <c r="E798" s="1">
        <f>IFERROR(__xludf.DUMMYFUNCTION("""COMPUTED_VALUE"""),133.0)</f>
        <v>133</v>
      </c>
      <c r="F798" s="1" t="str">
        <f>IFERROR(__xludf.DUMMYFUNCTION("""COMPUTED_VALUE"""),"Female")</f>
        <v>Female</v>
      </c>
      <c r="G798" s="5">
        <f>IFERROR(__xludf.DUMMYFUNCTION("""COMPUTED_VALUE"""),0.0066705300925925925)</f>
        <v>0.006670530093</v>
      </c>
      <c r="H798" s="15">
        <f>IFERROR(__xludf.DUMMYFUNCTION("""COMPUTED_VALUE"""),0.2549440625)</f>
        <v>0.2549440625</v>
      </c>
      <c r="I798" s="15">
        <f>IFERROR(__xludf.DUMMYFUNCTION("""COMPUTED_VALUE"""),45949.28829671863)</f>
        <v>45949.2883</v>
      </c>
      <c r="J798" s="15">
        <f>IFERROR(__xludf.DUMMYFUNCTION("""COMPUTED_VALUE"""),45949.03335265613)</f>
        <v>45949.03335</v>
      </c>
      <c r="K798" s="15">
        <f>IFERROR(__xludf.DUMMYFUNCTION("""COMPUTED_VALUE"""),45949.27388779588)</f>
        <v>45949.27389</v>
      </c>
      <c r="L798" s="4"/>
    </row>
    <row r="799">
      <c r="A799" s="1">
        <f>IFERROR(__xludf.DUMMYFUNCTION("""COMPUTED_VALUE"""),798.0)</f>
        <v>798</v>
      </c>
      <c r="B799" s="1">
        <f>IFERROR(__xludf.DUMMYFUNCTION("""COMPUTED_VALUE"""),6313.0)</f>
        <v>6313</v>
      </c>
      <c r="C799" s="2" t="str">
        <f>IFERROR(__xludf.DUMMYFUNCTION("""COMPUTED_VALUE"""),"Burhani")</f>
        <v>Burhani</v>
      </c>
      <c r="D799" s="2" t="str">
        <f>IFERROR(__xludf.DUMMYFUNCTION("""COMPUTED_VALUE"""),"5KM OVERALL M")</f>
        <v>5KM OVERALL M</v>
      </c>
      <c r="E799" s="1">
        <f>IFERROR(__xludf.DUMMYFUNCTION("""COMPUTED_VALUE"""),511.0)</f>
        <v>511</v>
      </c>
      <c r="F799" s="1" t="str">
        <f>IFERROR(__xludf.DUMMYFUNCTION("""COMPUTED_VALUE"""),"Male")</f>
        <v>Male</v>
      </c>
      <c r="G799" s="5">
        <f>IFERROR(__xludf.DUMMYFUNCTION("""COMPUTED_VALUE"""),0.006673340277777777)</f>
        <v>0.006673340278</v>
      </c>
      <c r="H799" s="15">
        <f>IFERROR(__xludf.DUMMYFUNCTION("""COMPUTED_VALUE"""),0.2549440625)</f>
        <v>0.2549440625</v>
      </c>
      <c r="I799" s="15">
        <f>IFERROR(__xludf.DUMMYFUNCTION("""COMPUTED_VALUE"""),45949.28831076666)</f>
        <v>45949.28831</v>
      </c>
      <c r="J799" s="15">
        <f>IFERROR(__xludf.DUMMYFUNCTION("""COMPUTED_VALUE"""),45949.033366704156)</f>
        <v>45949.03337</v>
      </c>
      <c r="K799" s="15">
        <f>IFERROR(__xludf.DUMMYFUNCTION("""COMPUTED_VALUE"""),45949.273610071985)</f>
        <v>45949.27361</v>
      </c>
      <c r="L799" s="4"/>
    </row>
    <row r="800">
      <c r="A800" s="1">
        <f>IFERROR(__xludf.DUMMYFUNCTION("""COMPUTED_VALUE"""),799.0)</f>
        <v>799</v>
      </c>
      <c r="B800" s="1">
        <f>IFERROR(__xludf.DUMMYFUNCTION("""COMPUTED_VALUE"""),5014.0)</f>
        <v>5014</v>
      </c>
      <c r="C800" s="2" t="str">
        <f>IFERROR(__xludf.DUMMYFUNCTION("""COMPUTED_VALUE"""),"Onietha")</f>
        <v>Onietha</v>
      </c>
      <c r="D800" s="2" t="str">
        <f>IFERROR(__xludf.DUMMYFUNCTION("""COMPUTED_VALUE"""),"5KM OVERALL F")</f>
        <v>5KM OVERALL F</v>
      </c>
      <c r="E800" s="1">
        <f>IFERROR(__xludf.DUMMYFUNCTION("""COMPUTED_VALUE"""),134.0)</f>
        <v>134</v>
      </c>
      <c r="F800" s="1" t="str">
        <f>IFERROR(__xludf.DUMMYFUNCTION("""COMPUTED_VALUE"""),"Female")</f>
        <v>Female</v>
      </c>
      <c r="G800" s="5">
        <f>IFERROR(__xludf.DUMMYFUNCTION("""COMPUTED_VALUE"""),0.006679555555555557)</f>
        <v>0.006679555556</v>
      </c>
      <c r="H800" s="15">
        <f>IFERROR(__xludf.DUMMYFUNCTION("""COMPUTED_VALUE"""),0.2549440625)</f>
        <v>0.2549440625</v>
      </c>
      <c r="I800" s="15">
        <f>IFERROR(__xludf.DUMMYFUNCTION("""COMPUTED_VALUE"""),45949.288341838124)</f>
        <v>45949.28834</v>
      </c>
      <c r="J800" s="15">
        <f>IFERROR(__xludf.DUMMYFUNCTION("""COMPUTED_VALUE"""),45949.03339777562)</f>
        <v>45949.0334</v>
      </c>
      <c r="K800" s="15">
        <f>IFERROR(__xludf.DUMMYFUNCTION("""COMPUTED_VALUE"""),45949.27456489588)</f>
        <v>45949.27456</v>
      </c>
      <c r="L800" s="4"/>
    </row>
    <row r="801">
      <c r="A801" s="1">
        <f>IFERROR(__xludf.DUMMYFUNCTION("""COMPUTED_VALUE"""),800.0)</f>
        <v>800</v>
      </c>
      <c r="B801" s="1">
        <f>IFERROR(__xludf.DUMMYFUNCTION("""COMPUTED_VALUE"""),5741.0)</f>
        <v>5741</v>
      </c>
      <c r="C801" s="2" t="str">
        <f>IFERROR(__xludf.DUMMYFUNCTION("""COMPUTED_VALUE"""),"RICO")</f>
        <v>RICO</v>
      </c>
      <c r="D801" s="2" t="str">
        <f>IFERROR(__xludf.DUMMYFUNCTION("""COMPUTED_VALUE"""),"5KM OVERALL F")</f>
        <v>5KM OVERALL F</v>
      </c>
      <c r="E801" s="1">
        <f>IFERROR(__xludf.DUMMYFUNCTION("""COMPUTED_VALUE"""),135.0)</f>
        <v>135</v>
      </c>
      <c r="F801" s="1" t="str">
        <f>IFERROR(__xludf.DUMMYFUNCTION("""COMPUTED_VALUE"""),"Female")</f>
        <v>Female</v>
      </c>
      <c r="G801" s="5">
        <f>IFERROR(__xludf.DUMMYFUNCTION("""COMPUTED_VALUE"""),0.006680944444444445)</f>
        <v>0.006680944444</v>
      </c>
      <c r="H801" s="15">
        <f>IFERROR(__xludf.DUMMYFUNCTION("""COMPUTED_VALUE"""),0.2549440625)</f>
        <v>0.2549440625</v>
      </c>
      <c r="I801" s="15">
        <f>IFERROR(__xludf.DUMMYFUNCTION("""COMPUTED_VALUE"""),45949.28834878629)</f>
        <v>45949.28835</v>
      </c>
      <c r="J801" s="15">
        <f>IFERROR(__xludf.DUMMYFUNCTION("""COMPUTED_VALUE"""),45949.03340472379)</f>
        <v>45949.0334</v>
      </c>
      <c r="K801" s="15">
        <f>IFERROR(__xludf.DUMMYFUNCTION("""COMPUTED_VALUE"""),45949.275502391436)</f>
        <v>45949.2755</v>
      </c>
      <c r="L801" s="4"/>
    </row>
    <row r="802">
      <c r="A802" s="1">
        <f>IFERROR(__xludf.DUMMYFUNCTION("""COMPUTED_VALUE"""),801.0)</f>
        <v>801</v>
      </c>
      <c r="B802" s="1">
        <f>IFERROR(__xludf.DUMMYFUNCTION("""COMPUTED_VALUE"""),6536.0)</f>
        <v>6536</v>
      </c>
      <c r="C802" s="2" t="str">
        <f>IFERROR(__xludf.DUMMYFUNCTION("""COMPUTED_VALUE"""),"AZIZAH")</f>
        <v>AZIZAH</v>
      </c>
      <c r="D802" s="2" t="str">
        <f>IFERROR(__xludf.DUMMYFUNCTION("""COMPUTED_VALUE"""),"5KM OVERALL F")</f>
        <v>5KM OVERALL F</v>
      </c>
      <c r="E802" s="1">
        <f>IFERROR(__xludf.DUMMYFUNCTION("""COMPUTED_VALUE"""),136.0)</f>
        <v>136</v>
      </c>
      <c r="F802" s="1" t="str">
        <f>IFERROR(__xludf.DUMMYFUNCTION("""COMPUTED_VALUE"""),"Female")</f>
        <v>Female</v>
      </c>
      <c r="G802" s="5">
        <f>IFERROR(__xludf.DUMMYFUNCTION("""COMPUTED_VALUE"""),0.006684416666666667)</f>
        <v>0.006684416667</v>
      </c>
      <c r="H802" s="15">
        <f>IFERROR(__xludf.DUMMYFUNCTION("""COMPUTED_VALUE"""),0.2549440625)</f>
        <v>0.2549440625</v>
      </c>
      <c r="I802" s="15">
        <f>IFERROR(__xludf.DUMMYFUNCTION("""COMPUTED_VALUE"""),45949.28836614404)</f>
        <v>45949.28837</v>
      </c>
      <c r="J802" s="15">
        <f>IFERROR(__xludf.DUMMYFUNCTION("""COMPUTED_VALUE"""),45949.03342208154)</f>
        <v>45949.03342</v>
      </c>
      <c r="K802" s="15">
        <f>IFERROR(__xludf.DUMMYFUNCTION("""COMPUTED_VALUE"""),45949.27467680128)</f>
        <v>45949.27468</v>
      </c>
      <c r="L802" s="4"/>
    </row>
    <row r="803">
      <c r="A803" s="1">
        <f>IFERROR(__xludf.DUMMYFUNCTION("""COMPUTED_VALUE"""),802.0)</f>
        <v>802</v>
      </c>
      <c r="B803" s="1">
        <f>IFERROR(__xludf.DUMMYFUNCTION("""COMPUTED_VALUE"""),6564.0)</f>
        <v>6564</v>
      </c>
      <c r="C803" s="2" t="str">
        <f>IFERROR(__xludf.DUMMYFUNCTION("""COMPUTED_VALUE"""),"Naritha Yolanda")</f>
        <v>Naritha Yolanda</v>
      </c>
      <c r="D803" s="2" t="str">
        <f>IFERROR(__xludf.DUMMYFUNCTION("""COMPUTED_VALUE"""),"5KM OVERALL F")</f>
        <v>5KM OVERALL F</v>
      </c>
      <c r="E803" s="1">
        <f>IFERROR(__xludf.DUMMYFUNCTION("""COMPUTED_VALUE"""),137.0)</f>
        <v>137</v>
      </c>
      <c r="F803" s="1" t="str">
        <f>IFERROR(__xludf.DUMMYFUNCTION("""COMPUTED_VALUE"""),"Female")</f>
        <v>Female</v>
      </c>
      <c r="G803" s="5">
        <f>IFERROR(__xludf.DUMMYFUNCTION("""COMPUTED_VALUE"""),0.006685111111111111)</f>
        <v>0.006685111111</v>
      </c>
      <c r="H803" s="15">
        <f>IFERROR(__xludf.DUMMYFUNCTION("""COMPUTED_VALUE"""),0.2549440625)</f>
        <v>0.2549440625</v>
      </c>
      <c r="I803" s="15">
        <f>IFERROR(__xludf.DUMMYFUNCTION("""COMPUTED_VALUE"""),45949.288369613045)</f>
        <v>45949.28837</v>
      </c>
      <c r="J803" s="15">
        <f>IFERROR(__xludf.DUMMYFUNCTION("""COMPUTED_VALUE"""),45949.033425550544)</f>
        <v>45949.03343</v>
      </c>
      <c r="K803" s="15">
        <f>IFERROR(__xludf.DUMMYFUNCTION("""COMPUTED_VALUE"""),45949.27272865801)</f>
        <v>45949.27273</v>
      </c>
      <c r="L803" s="4"/>
    </row>
    <row r="804">
      <c r="A804" s="1">
        <f>IFERROR(__xludf.DUMMYFUNCTION("""COMPUTED_VALUE"""),803.0)</f>
        <v>803</v>
      </c>
      <c r="B804" s="1">
        <f>IFERROR(__xludf.DUMMYFUNCTION("""COMPUTED_VALUE"""),6112.0)</f>
        <v>6112</v>
      </c>
      <c r="C804" s="2" t="str">
        <f>IFERROR(__xludf.DUMMYFUNCTION("""COMPUTED_VALUE"""),"Imam Utomo Police Runners Tala")</f>
        <v>Imam Utomo Police Runners Tala</v>
      </c>
      <c r="D804" s="2" t="str">
        <f>IFERROR(__xludf.DUMMYFUNCTION("""COMPUTED_VALUE"""),"5KM OVERALL M")</f>
        <v>5KM OVERALL M</v>
      </c>
      <c r="E804" s="1">
        <f>IFERROR(__xludf.DUMMYFUNCTION("""COMPUTED_VALUE"""),512.0)</f>
        <v>512</v>
      </c>
      <c r="F804" s="1" t="str">
        <f>IFERROR(__xludf.DUMMYFUNCTION("""COMPUTED_VALUE"""),"Male")</f>
        <v>Male</v>
      </c>
      <c r="G804" s="5">
        <f>IFERROR(__xludf.DUMMYFUNCTION("""COMPUTED_VALUE"""),0.006686500000000001)</f>
        <v>0.0066865</v>
      </c>
      <c r="H804" s="15">
        <f>IFERROR(__xludf.DUMMYFUNCTION("""COMPUTED_VALUE"""),0.2549440625)</f>
        <v>0.2549440625</v>
      </c>
      <c r="I804" s="15">
        <f>IFERROR(__xludf.DUMMYFUNCTION("""COMPUTED_VALUE"""),45949.28837656221)</f>
        <v>45949.28838</v>
      </c>
      <c r="J804" s="15">
        <f>IFERROR(__xludf.DUMMYFUNCTION("""COMPUTED_VALUE"""),45949.03343249971)</f>
        <v>45949.03343</v>
      </c>
      <c r="K804" s="15">
        <f>IFERROR(__xludf.DUMMYFUNCTION("""COMPUTED_VALUE"""),45949.27439133611)</f>
        <v>45949.27439</v>
      </c>
      <c r="L804" s="4"/>
    </row>
    <row r="805">
      <c r="A805" s="1">
        <f>IFERROR(__xludf.DUMMYFUNCTION("""COMPUTED_VALUE"""),804.0)</f>
        <v>804</v>
      </c>
      <c r="B805" s="1">
        <f>IFERROR(__xludf.DUMMYFUNCTION("""COMPUTED_VALUE"""),6130.0)</f>
        <v>6130</v>
      </c>
      <c r="C805" s="2" t="str">
        <f>IFERROR(__xludf.DUMMYFUNCTION("""COMPUTED_VALUE"""),"NINA MARTA SINTIA")</f>
        <v>NINA MARTA SINTIA</v>
      </c>
      <c r="D805" s="2" t="str">
        <f>IFERROR(__xludf.DUMMYFUNCTION("""COMPUTED_VALUE"""),"5KM OVERALL F")</f>
        <v>5KM OVERALL F</v>
      </c>
      <c r="E805" s="1">
        <f>IFERROR(__xludf.DUMMYFUNCTION("""COMPUTED_VALUE"""),138.0)</f>
        <v>138</v>
      </c>
      <c r="F805" s="1" t="str">
        <f>IFERROR(__xludf.DUMMYFUNCTION("""COMPUTED_VALUE"""),"Female")</f>
        <v>Female</v>
      </c>
      <c r="G805" s="5">
        <f>IFERROR(__xludf.DUMMYFUNCTION("""COMPUTED_VALUE"""),0.006687888888888889)</f>
        <v>0.006687888889</v>
      </c>
      <c r="H805" s="15">
        <f>IFERROR(__xludf.DUMMYFUNCTION("""COMPUTED_VALUE"""),0.2549440625)</f>
        <v>0.2549440625</v>
      </c>
      <c r="I805" s="15">
        <f>IFERROR(__xludf.DUMMYFUNCTION("""COMPUTED_VALUE"""),45949.28838350732)</f>
        <v>45949.28838</v>
      </c>
      <c r="J805" s="15">
        <f>IFERROR(__xludf.DUMMYFUNCTION("""COMPUTED_VALUE"""),45949.03343944482)</f>
        <v>45949.03344</v>
      </c>
      <c r="K805" s="15">
        <f>IFERROR(__xludf.DUMMYFUNCTION("""COMPUTED_VALUE"""),45949.27433630021)</f>
        <v>45949.27434</v>
      </c>
      <c r="L805" s="4"/>
    </row>
    <row r="806">
      <c r="A806" s="1">
        <f>IFERROR(__xludf.DUMMYFUNCTION("""COMPUTED_VALUE"""),805.0)</f>
        <v>805</v>
      </c>
      <c r="B806" s="1">
        <f>IFERROR(__xludf.DUMMYFUNCTION("""COMPUTED_VALUE"""),6135.0)</f>
        <v>6135</v>
      </c>
      <c r="C806" s="2" t="str">
        <f>IFERROR(__xludf.DUMMYFUNCTION("""COMPUTED_VALUE"""),"tiwi")</f>
        <v>tiwi</v>
      </c>
      <c r="D806" s="2" t="str">
        <f>IFERROR(__xludf.DUMMYFUNCTION("""COMPUTED_VALUE"""),"5KM OVERALL F")</f>
        <v>5KM OVERALL F</v>
      </c>
      <c r="E806" s="1">
        <f>IFERROR(__xludf.DUMMYFUNCTION("""COMPUTED_VALUE"""),139.0)</f>
        <v>139</v>
      </c>
      <c r="F806" s="1" t="str">
        <f>IFERROR(__xludf.DUMMYFUNCTION("""COMPUTED_VALUE"""),"Female")</f>
        <v>Female</v>
      </c>
      <c r="G806" s="5">
        <f>IFERROR(__xludf.DUMMYFUNCTION("""COMPUTED_VALUE"""),0.006689974537037037)</f>
        <v>0.006689974537</v>
      </c>
      <c r="H806" s="15">
        <f>IFERROR(__xludf.DUMMYFUNCTION("""COMPUTED_VALUE"""),0.2549440625)</f>
        <v>0.2549440625</v>
      </c>
      <c r="I806" s="15">
        <f>IFERROR(__xludf.DUMMYFUNCTION("""COMPUTED_VALUE"""),45949.288393930234)</f>
        <v>45949.28839</v>
      </c>
      <c r="J806" s="15">
        <f>IFERROR(__xludf.DUMMYFUNCTION("""COMPUTED_VALUE"""),45949.03344986773)</f>
        <v>45949.03345</v>
      </c>
      <c r="K806" s="15">
        <f>IFERROR(__xludf.DUMMYFUNCTION("""COMPUTED_VALUE"""),45949.2752003521)</f>
        <v>45949.2752</v>
      </c>
      <c r="L806" s="4"/>
    </row>
    <row r="807">
      <c r="A807" s="1">
        <f>IFERROR(__xludf.DUMMYFUNCTION("""COMPUTED_VALUE"""),806.0)</f>
        <v>806</v>
      </c>
      <c r="B807" s="1">
        <f>IFERROR(__xludf.DUMMYFUNCTION("""COMPUTED_VALUE"""),5387.0)</f>
        <v>5387</v>
      </c>
      <c r="C807" s="2" t="str">
        <f>IFERROR(__xludf.DUMMYFUNCTION("""COMPUTED_VALUE"""),"DWI")</f>
        <v>DWI</v>
      </c>
      <c r="D807" s="2" t="str">
        <f>IFERROR(__xludf.DUMMYFUNCTION("""COMPUTED_VALUE"""),"5KM OVERALL M")</f>
        <v>5KM OVERALL M</v>
      </c>
      <c r="E807" s="1">
        <f>IFERROR(__xludf.DUMMYFUNCTION("""COMPUTED_VALUE"""),513.0)</f>
        <v>513</v>
      </c>
      <c r="F807" s="1" t="str">
        <f>IFERROR(__xludf.DUMMYFUNCTION("""COMPUTED_VALUE"""),"Male")</f>
        <v>Male</v>
      </c>
      <c r="G807" s="5">
        <f>IFERROR(__xludf.DUMMYFUNCTION("""COMPUTED_VALUE"""),0.006691349537037037)</f>
        <v>0.006691349537</v>
      </c>
      <c r="H807" s="15">
        <f>IFERROR(__xludf.DUMMYFUNCTION("""COMPUTED_VALUE"""),0.2549440625)</f>
        <v>0.2549440625</v>
      </c>
      <c r="I807" s="15">
        <f>IFERROR(__xludf.DUMMYFUNCTION("""COMPUTED_VALUE"""),45949.288400814134)</f>
        <v>45949.2884</v>
      </c>
      <c r="J807" s="15">
        <f>IFERROR(__xludf.DUMMYFUNCTION("""COMPUTED_VALUE"""),45949.03345675163)</f>
        <v>45949.03346</v>
      </c>
      <c r="K807" s="15">
        <f>IFERROR(__xludf.DUMMYFUNCTION("""COMPUTED_VALUE"""),45949.274819505445)</f>
        <v>45949.27482</v>
      </c>
      <c r="L807" s="4"/>
    </row>
    <row r="808">
      <c r="A808" s="1">
        <f>IFERROR(__xludf.DUMMYFUNCTION("""COMPUTED_VALUE"""),807.0)</f>
        <v>807</v>
      </c>
      <c r="B808" s="1">
        <f>IFERROR(__xludf.DUMMYFUNCTION("""COMPUTED_VALUE"""),7052.0)</f>
        <v>7052</v>
      </c>
      <c r="C808" s="2" t="str">
        <f>IFERROR(__xludf.DUMMYFUNCTION("""COMPUTED_VALUE"""),"hwiharto")</f>
        <v>hwiharto</v>
      </c>
      <c r="D808" s="2" t="str">
        <f>IFERROR(__xludf.DUMMYFUNCTION("""COMPUTED_VALUE"""),"5KM MASTER M")</f>
        <v>5KM MASTER M</v>
      </c>
      <c r="E808" s="1">
        <f>IFERROR(__xludf.DUMMYFUNCTION("""COMPUTED_VALUE"""),69.0)</f>
        <v>69</v>
      </c>
      <c r="F808" s="1" t="str">
        <f>IFERROR(__xludf.DUMMYFUNCTION("""COMPUTED_VALUE"""),"Male")</f>
        <v>Male</v>
      </c>
      <c r="G808" s="5">
        <f>IFERROR(__xludf.DUMMYFUNCTION("""COMPUTED_VALUE"""),0.006693444444444445)</f>
        <v>0.006693444444</v>
      </c>
      <c r="H808" s="15">
        <f>IFERROR(__xludf.DUMMYFUNCTION("""COMPUTED_VALUE"""),0.2549440625)</f>
        <v>0.2549440625</v>
      </c>
      <c r="I808" s="15">
        <f>IFERROR(__xludf.DUMMYFUNCTION("""COMPUTED_VALUE"""),45949.288411288704)</f>
        <v>45949.28841</v>
      </c>
      <c r="J808" s="15">
        <f>IFERROR(__xludf.DUMMYFUNCTION("""COMPUTED_VALUE"""),45949.0334672262)</f>
        <v>45949.03347</v>
      </c>
      <c r="K808" s="15">
        <f>IFERROR(__xludf.DUMMYFUNCTION("""COMPUTED_VALUE"""),45949.274415649495)</f>
        <v>45949.27442</v>
      </c>
      <c r="L808" s="4"/>
    </row>
    <row r="809">
      <c r="A809" s="1">
        <f>IFERROR(__xludf.DUMMYFUNCTION("""COMPUTED_VALUE"""),808.0)</f>
        <v>808</v>
      </c>
      <c r="B809" s="1">
        <f>IFERROR(__xludf.DUMMYFUNCTION("""COMPUTED_VALUE"""),5410.0)</f>
        <v>5410</v>
      </c>
      <c r="C809" s="2" t="str">
        <f>IFERROR(__xludf.DUMMYFUNCTION("""COMPUTED_VALUE"""),"Alon Alon")</f>
        <v>Alon Alon</v>
      </c>
      <c r="D809" s="2" t="str">
        <f>IFERROR(__xludf.DUMMYFUNCTION("""COMPUTED_VALUE"""),"5KM OVERALL M")</f>
        <v>5KM OVERALL M</v>
      </c>
      <c r="E809" s="1">
        <f>IFERROR(__xludf.DUMMYFUNCTION("""COMPUTED_VALUE"""),514.0)</f>
        <v>514</v>
      </c>
      <c r="F809" s="1" t="str">
        <f>IFERROR(__xludf.DUMMYFUNCTION("""COMPUTED_VALUE"""),"Male")</f>
        <v>Male</v>
      </c>
      <c r="G809" s="5">
        <f>IFERROR(__xludf.DUMMYFUNCTION("""COMPUTED_VALUE"""),0.0066986875)</f>
        <v>0.0066986875</v>
      </c>
      <c r="H809" s="15">
        <f>IFERROR(__xludf.DUMMYFUNCTION("""COMPUTED_VALUE"""),0.2549440625)</f>
        <v>0.2549440625</v>
      </c>
      <c r="I809" s="15">
        <f>IFERROR(__xludf.DUMMYFUNCTION("""COMPUTED_VALUE"""),45949.2884375)</f>
        <v>45949.28844</v>
      </c>
      <c r="J809" s="15">
        <f>IFERROR(__xludf.DUMMYFUNCTION("""COMPUTED_VALUE"""),45949.0334934375)</f>
        <v>45949.03349</v>
      </c>
      <c r="K809" s="15">
        <f>IFERROR(__xludf.DUMMYFUNCTION("""COMPUTED_VALUE"""),45949.274283637016)</f>
        <v>45949.27428</v>
      </c>
      <c r="L809" s="4"/>
    </row>
    <row r="810">
      <c r="A810" s="1">
        <f>IFERROR(__xludf.DUMMYFUNCTION("""COMPUTED_VALUE"""),809.0)</f>
        <v>809</v>
      </c>
      <c r="B810" s="1">
        <f>IFERROR(__xludf.DUMMYFUNCTION("""COMPUTED_VALUE"""),6340.0)</f>
        <v>6340</v>
      </c>
      <c r="C810" s="2" t="str">
        <f>IFERROR(__xludf.DUMMYFUNCTION("""COMPUTED_VALUE"""),"Hannia")</f>
        <v>Hannia</v>
      </c>
      <c r="D810" s="2" t="str">
        <f>IFERROR(__xludf.DUMMYFUNCTION("""COMPUTED_VALUE"""),"5KM OVERALL F")</f>
        <v>5KM OVERALL F</v>
      </c>
      <c r="E810" s="1">
        <f>IFERROR(__xludf.DUMMYFUNCTION("""COMPUTED_VALUE"""),140.0)</f>
        <v>140</v>
      </c>
      <c r="F810" s="1" t="str">
        <f>IFERROR(__xludf.DUMMYFUNCTION("""COMPUTED_VALUE"""),"Female")</f>
        <v>Female</v>
      </c>
      <c r="G810" s="5">
        <f>IFERROR(__xludf.DUMMYFUNCTION("""COMPUTED_VALUE"""),0.006701083333333332)</f>
        <v>0.006701083333</v>
      </c>
      <c r="H810" s="15">
        <f>IFERROR(__xludf.DUMMYFUNCTION("""COMPUTED_VALUE"""),0.2549440625)</f>
        <v>0.2549440625</v>
      </c>
      <c r="I810" s="15">
        <f>IFERROR(__xludf.DUMMYFUNCTION("""COMPUTED_VALUE"""),45949.28844947624)</f>
        <v>45949.28845</v>
      </c>
      <c r="J810" s="15">
        <f>IFERROR(__xludf.DUMMYFUNCTION("""COMPUTED_VALUE"""),45949.03350541374)</f>
        <v>45949.03351</v>
      </c>
      <c r="K810" s="15">
        <f>IFERROR(__xludf.DUMMYFUNCTION("""COMPUTED_VALUE"""),45949.273564877374)</f>
        <v>45949.27356</v>
      </c>
      <c r="L810" s="4"/>
    </row>
    <row r="811">
      <c r="A811" s="1">
        <f>IFERROR(__xludf.DUMMYFUNCTION("""COMPUTED_VALUE"""),810.0)</f>
        <v>810</v>
      </c>
      <c r="B811" s="1">
        <f>IFERROR(__xludf.DUMMYFUNCTION("""COMPUTED_VALUE"""),6502.0)</f>
        <v>6502</v>
      </c>
      <c r="C811" s="2" t="str">
        <f>IFERROR(__xludf.DUMMYFUNCTION("""COMPUTED_VALUE"""),"POLISI MILITER")</f>
        <v>POLISI MILITER</v>
      </c>
      <c r="D811" s="2" t="str">
        <f>IFERROR(__xludf.DUMMYFUNCTION("""COMPUTED_VALUE"""),"5KM OVERALL M")</f>
        <v>5KM OVERALL M</v>
      </c>
      <c r="E811" s="1">
        <f>IFERROR(__xludf.DUMMYFUNCTION("""COMPUTED_VALUE"""),515.0)</f>
        <v>515</v>
      </c>
      <c r="F811" s="1" t="str">
        <f>IFERROR(__xludf.DUMMYFUNCTION("""COMPUTED_VALUE"""),"Male")</f>
        <v>Male</v>
      </c>
      <c r="G811" s="5">
        <f>IFERROR(__xludf.DUMMYFUNCTION("""COMPUTED_VALUE"""),0.006705252314814815)</f>
        <v>0.006705252315</v>
      </c>
      <c r="H811" s="15">
        <f>IFERROR(__xludf.DUMMYFUNCTION("""COMPUTED_VALUE"""),0.2549440625)</f>
        <v>0.2549440625</v>
      </c>
      <c r="I811" s="15">
        <f>IFERROR(__xludf.DUMMYFUNCTION("""COMPUTED_VALUE"""),45949.28847031864)</f>
        <v>45949.28847</v>
      </c>
      <c r="J811" s="15">
        <f>IFERROR(__xludf.DUMMYFUNCTION("""COMPUTED_VALUE"""),45949.03352625614)</f>
        <v>45949.03353</v>
      </c>
      <c r="K811" s="15">
        <f>IFERROR(__xludf.DUMMYFUNCTION("""COMPUTED_VALUE"""),45949.27246075234)</f>
        <v>45949.27246</v>
      </c>
      <c r="L811" s="4"/>
    </row>
    <row r="812">
      <c r="A812" s="1">
        <f>IFERROR(__xludf.DUMMYFUNCTION("""COMPUTED_VALUE"""),811.0)</f>
        <v>811</v>
      </c>
      <c r="B812" s="1">
        <f>IFERROR(__xludf.DUMMYFUNCTION("""COMPUTED_VALUE"""),6105.0)</f>
        <v>6105</v>
      </c>
      <c r="C812" s="2" t="str">
        <f>IFERROR(__xludf.DUMMYFUNCTION("""COMPUTED_VALUE"""),"Hakim")</f>
        <v>Hakim</v>
      </c>
      <c r="D812" s="2" t="str">
        <f>IFERROR(__xludf.DUMMYFUNCTION("""COMPUTED_VALUE"""),"5KM OVERALL M")</f>
        <v>5KM OVERALL M</v>
      </c>
      <c r="E812" s="1">
        <f>IFERROR(__xludf.DUMMYFUNCTION("""COMPUTED_VALUE"""),516.0)</f>
        <v>516</v>
      </c>
      <c r="F812" s="1" t="str">
        <f>IFERROR(__xludf.DUMMYFUNCTION("""COMPUTED_VALUE"""),"Male")</f>
        <v>Male</v>
      </c>
      <c r="G812" s="5">
        <f>IFERROR(__xludf.DUMMYFUNCTION("""COMPUTED_VALUE"""),0.006706641203703703)</f>
        <v>0.006706641204</v>
      </c>
      <c r="H812" s="15">
        <f>IFERROR(__xludf.DUMMYFUNCTION("""COMPUTED_VALUE"""),0.2549440625)</f>
        <v>0.2549440625</v>
      </c>
      <c r="I812" s="15">
        <f>IFERROR(__xludf.DUMMYFUNCTION("""COMPUTED_VALUE"""),45949.28847727391)</f>
        <v>45949.28848</v>
      </c>
      <c r="J812" s="15">
        <f>IFERROR(__xludf.DUMMYFUNCTION("""COMPUTED_VALUE"""),45949.03353321141)</f>
        <v>45949.03353</v>
      </c>
      <c r="K812" s="15">
        <f>IFERROR(__xludf.DUMMYFUNCTION("""COMPUTED_VALUE"""),45949.27349543125)</f>
        <v>45949.2735</v>
      </c>
      <c r="L812" s="4"/>
    </row>
    <row r="813">
      <c r="A813" s="1">
        <f>IFERROR(__xludf.DUMMYFUNCTION("""COMPUTED_VALUE"""),812.0)</f>
        <v>812</v>
      </c>
      <c r="B813" s="1">
        <f>IFERROR(__xludf.DUMMYFUNCTION("""COMPUTED_VALUE"""),5853.0)</f>
        <v>5853</v>
      </c>
      <c r="C813" s="2" t="str">
        <f>IFERROR(__xludf.DUMMYFUNCTION("""COMPUTED_VALUE"""),"Albaiq")</f>
        <v>Albaiq</v>
      </c>
      <c r="D813" s="2" t="str">
        <f>IFERROR(__xludf.DUMMYFUNCTION("""COMPUTED_VALUE"""),"5KM OVERALL M")</f>
        <v>5KM OVERALL M</v>
      </c>
      <c r="E813" s="1">
        <f>IFERROR(__xludf.DUMMYFUNCTION("""COMPUTED_VALUE"""),517.0)</f>
        <v>517</v>
      </c>
      <c r="F813" s="1" t="str">
        <f>IFERROR(__xludf.DUMMYFUNCTION("""COMPUTED_VALUE"""),"Male")</f>
        <v>Male</v>
      </c>
      <c r="G813" s="5">
        <f>IFERROR(__xludf.DUMMYFUNCTION("""COMPUTED_VALUE"""),0.006713574074074075)</f>
        <v>0.006713574074</v>
      </c>
      <c r="H813" s="15">
        <f>IFERROR(__xludf.DUMMYFUNCTION("""COMPUTED_VALUE"""),0.2549440625)</f>
        <v>0.2549440625</v>
      </c>
      <c r="I813" s="15">
        <f>IFERROR(__xludf.DUMMYFUNCTION("""COMPUTED_VALUE"""),45949.28851192771)</f>
        <v>45949.28851</v>
      </c>
      <c r="J813" s="15">
        <f>IFERROR(__xludf.DUMMYFUNCTION("""COMPUTED_VALUE"""),45949.03356786521)</f>
        <v>45949.03357</v>
      </c>
      <c r="K813" s="15">
        <f>IFERROR(__xludf.DUMMYFUNCTION("""COMPUTED_VALUE"""),45949.27641216837)</f>
        <v>45949.27641</v>
      </c>
      <c r="L813" s="4"/>
    </row>
    <row r="814">
      <c r="A814" s="1">
        <f>IFERROR(__xludf.DUMMYFUNCTION("""COMPUTED_VALUE"""),813.0)</f>
        <v>813</v>
      </c>
      <c r="B814" s="1">
        <f>IFERROR(__xludf.DUMMYFUNCTION("""COMPUTED_VALUE"""),6370.0)</f>
        <v>6370</v>
      </c>
      <c r="C814" s="2" t="str">
        <f>IFERROR(__xludf.DUMMYFUNCTION("""COMPUTED_VALUE"""),"Anita Purwandari")</f>
        <v>Anita Purwandari</v>
      </c>
      <c r="D814" s="2" t="str">
        <f>IFERROR(__xludf.DUMMYFUNCTION("""COMPUTED_VALUE"""),"5KM OVERALL F")</f>
        <v>5KM OVERALL F</v>
      </c>
      <c r="E814" s="1">
        <f>IFERROR(__xludf.DUMMYFUNCTION("""COMPUTED_VALUE"""),141.0)</f>
        <v>141</v>
      </c>
      <c r="F814" s="1" t="str">
        <f>IFERROR(__xludf.DUMMYFUNCTION("""COMPUTED_VALUE"""),"Female")</f>
        <v>Female</v>
      </c>
      <c r="G814" s="5">
        <f>IFERROR(__xludf.DUMMYFUNCTION("""COMPUTED_VALUE"""),0.006714280092592592)</f>
        <v>0.006714280093</v>
      </c>
      <c r="H814" s="15">
        <f>IFERROR(__xludf.DUMMYFUNCTION("""COMPUTED_VALUE"""),0.2549440625)</f>
        <v>0.2549440625</v>
      </c>
      <c r="I814" s="15">
        <f>IFERROR(__xludf.DUMMYFUNCTION("""COMPUTED_VALUE"""),45949.288515458145)</f>
        <v>45949.28852</v>
      </c>
      <c r="J814" s="15">
        <f>IFERROR(__xludf.DUMMYFUNCTION("""COMPUTED_VALUE"""),45949.033571395645)</f>
        <v>45949.03357</v>
      </c>
      <c r="K814" s="15">
        <f>IFERROR(__xludf.DUMMYFUNCTION("""COMPUTED_VALUE"""),45949.27363196351)</f>
        <v>45949.27363</v>
      </c>
      <c r="L814" s="4"/>
    </row>
    <row r="815">
      <c r="A815" s="1">
        <f>IFERROR(__xludf.DUMMYFUNCTION("""COMPUTED_VALUE"""),814.0)</f>
        <v>814</v>
      </c>
      <c r="B815" s="1">
        <f>IFERROR(__xludf.DUMMYFUNCTION("""COMPUTED_VALUE"""),5148.0)</f>
        <v>5148</v>
      </c>
      <c r="C815" s="2" t="str">
        <f>IFERROR(__xludf.DUMMYFUNCTION("""COMPUTED_VALUE"""),"Rujaida")</f>
        <v>Rujaida</v>
      </c>
      <c r="D815" s="2" t="str">
        <f>IFERROR(__xludf.DUMMYFUNCTION("""COMPUTED_VALUE"""),"5KM OVERALL F")</f>
        <v>5KM OVERALL F</v>
      </c>
      <c r="E815" s="1">
        <f>IFERROR(__xludf.DUMMYFUNCTION("""COMPUTED_VALUE"""),142.0)</f>
        <v>142</v>
      </c>
      <c r="F815" s="1" t="str">
        <f>IFERROR(__xludf.DUMMYFUNCTION("""COMPUTED_VALUE"""),"Female")</f>
        <v>Female</v>
      </c>
      <c r="G815" s="5">
        <f>IFERROR(__xludf.DUMMYFUNCTION("""COMPUTED_VALUE"""),0.00671775)</f>
        <v>0.00671775</v>
      </c>
      <c r="H815" s="15">
        <f>IFERROR(__xludf.DUMMYFUNCTION("""COMPUTED_VALUE"""),0.2549440625)</f>
        <v>0.2549440625</v>
      </c>
      <c r="I815" s="15">
        <f>IFERROR(__xludf.DUMMYFUNCTION("""COMPUTED_VALUE"""),45949.28853281106)</f>
        <v>45949.28853</v>
      </c>
      <c r="J815" s="15">
        <f>IFERROR(__xludf.DUMMYFUNCTION("""COMPUTED_VALUE"""),45949.033588748556)</f>
        <v>45949.03359</v>
      </c>
      <c r="K815" s="15">
        <f>IFERROR(__xludf.DUMMYFUNCTION("""COMPUTED_VALUE"""),45949.27413781304)</f>
        <v>45949.27414</v>
      </c>
      <c r="L815" s="4"/>
    </row>
    <row r="816">
      <c r="A816" s="1">
        <f>IFERROR(__xludf.DUMMYFUNCTION("""COMPUTED_VALUE"""),815.0)</f>
        <v>815</v>
      </c>
      <c r="B816" s="1">
        <f>IFERROR(__xludf.DUMMYFUNCTION("""COMPUTED_VALUE"""),5044.0)</f>
        <v>5044</v>
      </c>
      <c r="C816" s="2" t="str">
        <f>IFERROR(__xludf.DUMMYFUNCTION("""COMPUTED_VALUE"""),"Rizal")</f>
        <v>Rizal</v>
      </c>
      <c r="D816" s="2" t="str">
        <f>IFERROR(__xludf.DUMMYFUNCTION("""COMPUTED_VALUE"""),"5KM OVERALL M")</f>
        <v>5KM OVERALL M</v>
      </c>
      <c r="E816" s="1">
        <f>IFERROR(__xludf.DUMMYFUNCTION("""COMPUTED_VALUE"""),518.0)</f>
        <v>518</v>
      </c>
      <c r="F816" s="1" t="str">
        <f>IFERROR(__xludf.DUMMYFUNCTION("""COMPUTED_VALUE"""),"Male")</f>
        <v>Male</v>
      </c>
      <c r="G816" s="5">
        <f>IFERROR(__xludf.DUMMYFUNCTION("""COMPUTED_VALUE"""),0.006721921296296296)</f>
        <v>0.006721921296</v>
      </c>
      <c r="H816" s="15">
        <f>IFERROR(__xludf.DUMMYFUNCTION("""COMPUTED_VALUE"""),0.2549440625)</f>
        <v>0.2549440625</v>
      </c>
      <c r="I816" s="15">
        <f>IFERROR(__xludf.DUMMYFUNCTION("""COMPUTED_VALUE"""),45949.28855366939)</f>
        <v>45949.28855</v>
      </c>
      <c r="J816" s="15">
        <f>IFERROR(__xludf.DUMMYFUNCTION("""COMPUTED_VALUE"""),45949.033609606886)</f>
        <v>45949.03361</v>
      </c>
      <c r="K816" s="15">
        <f>IFERROR(__xludf.DUMMYFUNCTION("""COMPUTED_VALUE"""),45949.274175997576)</f>
        <v>45949.27418</v>
      </c>
      <c r="L816" s="4"/>
    </row>
    <row r="817">
      <c r="A817" s="1">
        <f>IFERROR(__xludf.DUMMYFUNCTION("""COMPUTED_VALUE"""),816.0)</f>
        <v>816</v>
      </c>
      <c r="B817" s="1">
        <f>IFERROR(__xludf.DUMMYFUNCTION("""COMPUTED_VALUE"""),5679.0)</f>
        <v>5679</v>
      </c>
      <c r="C817" s="2" t="str">
        <f>IFERROR(__xludf.DUMMYFUNCTION("""COMPUTED_VALUE"""),"Muhammad Khalid")</f>
        <v>Muhammad Khalid</v>
      </c>
      <c r="D817" s="2" t="str">
        <f>IFERROR(__xludf.DUMMYFUNCTION("""COMPUTED_VALUE"""),"5KM OVERALL M")</f>
        <v>5KM OVERALL M</v>
      </c>
      <c r="E817" s="1">
        <f>IFERROR(__xludf.DUMMYFUNCTION("""COMPUTED_VALUE"""),519.0)</f>
        <v>519</v>
      </c>
      <c r="F817" s="1" t="str">
        <f>IFERROR(__xludf.DUMMYFUNCTION("""COMPUTED_VALUE"""),"Male")</f>
        <v>Male</v>
      </c>
      <c r="G817" s="5">
        <f>IFERROR(__xludf.DUMMYFUNCTION("""COMPUTED_VALUE"""),0.006724696759259259)</f>
        <v>0.006724696759</v>
      </c>
      <c r="H817" s="15">
        <f>IFERROR(__xludf.DUMMYFUNCTION("""COMPUTED_VALUE"""),0.2549440625)</f>
        <v>0.2549440625</v>
      </c>
      <c r="I817" s="15">
        <f>IFERROR(__xludf.DUMMYFUNCTION("""COMPUTED_VALUE"""),45949.288567546755)</f>
        <v>45949.28857</v>
      </c>
      <c r="J817" s="15">
        <f>IFERROR(__xludf.DUMMYFUNCTION("""COMPUTED_VALUE"""),45949.033623484254)</f>
        <v>45949.03362</v>
      </c>
      <c r="K817" s="15">
        <f>IFERROR(__xludf.DUMMYFUNCTION("""COMPUTED_VALUE"""),45949.27452674176)</f>
        <v>45949.27453</v>
      </c>
      <c r="L817" s="4"/>
    </row>
    <row r="818">
      <c r="A818" s="1">
        <f>IFERROR(__xludf.DUMMYFUNCTION("""COMPUTED_VALUE"""),817.0)</f>
        <v>817</v>
      </c>
      <c r="B818" s="1">
        <f>IFERROR(__xludf.DUMMYFUNCTION("""COMPUTED_VALUE"""),5276.0)</f>
        <v>5276</v>
      </c>
      <c r="C818" s="2" t="str">
        <f>IFERROR(__xludf.DUMMYFUNCTION("""COMPUTED_VALUE"""),"Dewi")</f>
        <v>Dewi</v>
      </c>
      <c r="D818" s="2" t="str">
        <f>IFERROR(__xludf.DUMMYFUNCTION("""COMPUTED_VALUE"""),"5KM OVERALL F")</f>
        <v>5KM OVERALL F</v>
      </c>
      <c r="E818" s="1">
        <f>IFERROR(__xludf.DUMMYFUNCTION("""COMPUTED_VALUE"""),143.0)</f>
        <v>143</v>
      </c>
      <c r="F818" s="1" t="str">
        <f>IFERROR(__xludf.DUMMYFUNCTION("""COMPUTED_VALUE"""),"Female")</f>
        <v>Female</v>
      </c>
      <c r="G818" s="5">
        <f>IFERROR(__xludf.DUMMYFUNCTION("""COMPUTED_VALUE"""),0.006725388888888889)</f>
        <v>0.006725388889</v>
      </c>
      <c r="H818" s="15">
        <f>IFERROR(__xludf.DUMMYFUNCTION("""COMPUTED_VALUE"""),0.2549440625)</f>
        <v>0.2549440625</v>
      </c>
      <c r="I818" s="15">
        <f>IFERROR(__xludf.DUMMYFUNCTION("""COMPUTED_VALUE"""),45949.28857100198)</f>
        <v>45949.28857</v>
      </c>
      <c r="J818" s="15">
        <f>IFERROR(__xludf.DUMMYFUNCTION("""COMPUTED_VALUE"""),45949.033626939476)</f>
        <v>45949.03363</v>
      </c>
      <c r="K818" s="15">
        <f>IFERROR(__xludf.DUMMYFUNCTION("""COMPUTED_VALUE"""),45949.27353022315)</f>
        <v>45949.27353</v>
      </c>
      <c r="L818" s="4"/>
    </row>
    <row r="819">
      <c r="A819" s="1">
        <f>IFERROR(__xludf.DUMMYFUNCTION("""COMPUTED_VALUE"""),818.0)</f>
        <v>818</v>
      </c>
      <c r="B819" s="1">
        <f>IFERROR(__xludf.DUMMYFUNCTION("""COMPUTED_VALUE"""),6361.0)</f>
        <v>6361</v>
      </c>
      <c r="C819" s="2" t="str">
        <f>IFERROR(__xludf.DUMMYFUNCTION("""COMPUTED_VALUE"""),"Angga Saputra")</f>
        <v>Angga Saputra</v>
      </c>
      <c r="D819" s="2" t="str">
        <f>IFERROR(__xludf.DUMMYFUNCTION("""COMPUTED_VALUE"""),"5KM OVERALL M")</f>
        <v>5KM OVERALL M</v>
      </c>
      <c r="E819" s="1">
        <f>IFERROR(__xludf.DUMMYFUNCTION("""COMPUTED_VALUE"""),520.0)</f>
        <v>520</v>
      </c>
      <c r="F819" s="1" t="str">
        <f>IFERROR(__xludf.DUMMYFUNCTION("""COMPUTED_VALUE"""),"Male")</f>
        <v>Male</v>
      </c>
      <c r="G819" s="5">
        <f>IFERROR(__xludf.DUMMYFUNCTION("""COMPUTED_VALUE"""),0.006734421296296296)</f>
        <v>0.006734421296</v>
      </c>
      <c r="H819" s="15">
        <f>IFERROR(__xludf.DUMMYFUNCTION("""COMPUTED_VALUE"""),0.2549440625)</f>
        <v>0.2549440625</v>
      </c>
      <c r="I819" s="15">
        <f>IFERROR(__xludf.DUMMYFUNCTION("""COMPUTED_VALUE"""),45949.288616164224)</f>
        <v>45949.28862</v>
      </c>
      <c r="J819" s="15">
        <f>IFERROR(__xludf.DUMMYFUNCTION("""COMPUTED_VALUE"""),45949.03367210172)</f>
        <v>45949.03367</v>
      </c>
      <c r="K819" s="15">
        <f>IFERROR(__xludf.DUMMYFUNCTION("""COMPUTED_VALUE"""),45949.265978127405)</f>
        <v>45949.26598</v>
      </c>
      <c r="L819" s="4"/>
    </row>
    <row r="820">
      <c r="A820" s="1">
        <f>IFERROR(__xludf.DUMMYFUNCTION("""COMPUTED_VALUE"""),819.0)</f>
        <v>819</v>
      </c>
      <c r="B820" s="7" t="str">
        <f>IFERROR(__xludf.DUMMYFUNCTION("""COMPUTED_VALUE"""),"9082")</f>
        <v>9082</v>
      </c>
      <c r="C820" s="8" t="str">
        <f>IFERROR(__xludf.DUMMYFUNCTION("""COMPUTED_VALUE"""),"Hylmi")</f>
        <v>Hylmi</v>
      </c>
      <c r="D820" s="2" t="str">
        <f>IFERROR(__xludf.DUMMYFUNCTION("""COMPUTED_VALUE"""),"5KM STUDENT M")</f>
        <v>5KM STUDENT M</v>
      </c>
      <c r="E820" s="1">
        <f>IFERROR(__xludf.DUMMYFUNCTION("""COMPUTED_VALUE"""),55.0)</f>
        <v>55</v>
      </c>
      <c r="F820" s="1" t="str">
        <f>IFERROR(__xludf.DUMMYFUNCTION("""COMPUTED_VALUE"""),"Male")</f>
        <v>Male</v>
      </c>
      <c r="G820" s="5">
        <f>IFERROR(__xludf.DUMMYFUNCTION("""COMPUTED_VALUE"""),0.006744835648148148)</f>
        <v>0.006744835648</v>
      </c>
      <c r="H820" s="15">
        <f>IFERROR(__xludf.DUMMYFUNCTION("""COMPUTED_VALUE"""),0.2549440625)</f>
        <v>0.2549440625</v>
      </c>
      <c r="I820" s="15">
        <f>IFERROR(__xludf.DUMMYFUNCTION("""COMPUTED_VALUE"""),45949.28866824385)</f>
        <v>45949.28867</v>
      </c>
      <c r="J820" s="15">
        <f>IFERROR(__xludf.DUMMYFUNCTION("""COMPUTED_VALUE"""),45949.03372418135)</f>
        <v>45949.03372</v>
      </c>
      <c r="K820" s="15">
        <f>IFERROR(__xludf.DUMMYFUNCTION("""COMPUTED_VALUE"""),45949.27378438167)</f>
        <v>45949.27378</v>
      </c>
      <c r="L820" s="4"/>
    </row>
    <row r="821">
      <c r="A821" s="1">
        <f>IFERROR(__xludf.DUMMYFUNCTION("""COMPUTED_VALUE"""),820.0)</f>
        <v>820</v>
      </c>
      <c r="B821" s="1">
        <f>IFERROR(__xludf.DUMMYFUNCTION("""COMPUTED_VALUE"""),5226.0)</f>
        <v>5226</v>
      </c>
      <c r="C821" s="2" t="str">
        <f>IFERROR(__xludf.DUMMYFUNCTION("""COMPUTED_VALUE"""),"intan")</f>
        <v>intan</v>
      </c>
      <c r="D821" s="2" t="str">
        <f>IFERROR(__xludf.DUMMYFUNCTION("""COMPUTED_VALUE"""),"5KM OVERALL F")</f>
        <v>5KM OVERALL F</v>
      </c>
      <c r="E821" s="1">
        <f>IFERROR(__xludf.DUMMYFUNCTION("""COMPUTED_VALUE"""),144.0)</f>
        <v>144</v>
      </c>
      <c r="F821" s="1" t="str">
        <f>IFERROR(__xludf.DUMMYFUNCTION("""COMPUTED_VALUE"""),"Female")</f>
        <v>Female</v>
      </c>
      <c r="G821" s="5">
        <f>IFERROR(__xludf.DUMMYFUNCTION("""COMPUTED_VALUE"""),0.006744837962962963)</f>
        <v>0.006744837963</v>
      </c>
      <c r="H821" s="15">
        <f>IFERROR(__xludf.DUMMYFUNCTION("""COMPUTED_VALUE"""),0.2549440625)</f>
        <v>0.2549440625</v>
      </c>
      <c r="I821" s="15">
        <f>IFERROR(__xludf.DUMMYFUNCTION("""COMPUTED_VALUE"""),45949.28866825542)</f>
        <v>45949.28867</v>
      </c>
      <c r="J821" s="15">
        <f>IFERROR(__xludf.DUMMYFUNCTION("""COMPUTED_VALUE"""),45949.03372419292)</f>
        <v>45949.03372</v>
      </c>
      <c r="K821" s="15">
        <f>IFERROR(__xludf.DUMMYFUNCTION("""COMPUTED_VALUE"""),45949.27475586597)</f>
        <v>45949.27476</v>
      </c>
      <c r="L821" s="4"/>
    </row>
    <row r="822">
      <c r="A822" s="1">
        <f>IFERROR(__xludf.DUMMYFUNCTION("""COMPUTED_VALUE"""),821.0)</f>
        <v>821</v>
      </c>
      <c r="B822" s="1">
        <f>IFERROR(__xludf.DUMMYFUNCTION("""COMPUTED_VALUE"""),6061.0)</f>
        <v>6061</v>
      </c>
      <c r="C822" s="2" t="str">
        <f>IFERROR(__xludf.DUMMYFUNCTION("""COMPUTED_VALUE"""),"srihan")</f>
        <v>srihan</v>
      </c>
      <c r="D822" s="2" t="str">
        <f>IFERROR(__xludf.DUMMYFUNCTION("""COMPUTED_VALUE"""),"5KM OVERALL F")</f>
        <v>5KM OVERALL F</v>
      </c>
      <c r="E822" s="1">
        <f>IFERROR(__xludf.DUMMYFUNCTION("""COMPUTED_VALUE"""),145.0)</f>
        <v>145</v>
      </c>
      <c r="F822" s="1" t="str">
        <f>IFERROR(__xludf.DUMMYFUNCTION("""COMPUTED_VALUE"""),"Female")</f>
        <v>Female</v>
      </c>
      <c r="G822" s="5">
        <f>IFERROR(__xludf.DUMMYFUNCTION("""COMPUTED_VALUE"""),0.006746916666666667)</f>
        <v>0.006746916667</v>
      </c>
      <c r="H822" s="15">
        <f>IFERROR(__xludf.DUMMYFUNCTION("""COMPUTED_VALUE"""),0.2549440625)</f>
        <v>0.2549440625</v>
      </c>
      <c r="I822" s="15">
        <f>IFERROR(__xludf.DUMMYFUNCTION("""COMPUTED_VALUE"""),45949.28867865114)</f>
        <v>45949.28868</v>
      </c>
      <c r="J822" s="15">
        <f>IFERROR(__xludf.DUMMYFUNCTION("""COMPUTED_VALUE"""),45949.03373458864)</f>
        <v>45949.03373</v>
      </c>
      <c r="K822" s="15">
        <f>IFERROR(__xludf.DUMMYFUNCTION("""COMPUTED_VALUE"""),45949.274832285606)</f>
        <v>45949.27483</v>
      </c>
      <c r="L822" s="4"/>
    </row>
    <row r="823">
      <c r="A823" s="1">
        <f>IFERROR(__xludf.DUMMYFUNCTION("""COMPUTED_VALUE"""),822.0)</f>
        <v>822</v>
      </c>
      <c r="B823" s="1">
        <f>IFERROR(__xludf.DUMMYFUNCTION("""COMPUTED_VALUE"""),5946.0)</f>
        <v>5946</v>
      </c>
      <c r="C823" s="2" t="str">
        <f>IFERROR(__xludf.DUMMYFUNCTION("""COMPUTED_VALUE"""),"SINUNG")</f>
        <v>SINUNG</v>
      </c>
      <c r="D823" s="2" t="str">
        <f>IFERROR(__xludf.DUMMYFUNCTION("""COMPUTED_VALUE"""),"5KM OVERALL M")</f>
        <v>5KM OVERALL M</v>
      </c>
      <c r="E823" s="1">
        <f>IFERROR(__xludf.DUMMYFUNCTION("""COMPUTED_VALUE"""),521.0)</f>
        <v>521</v>
      </c>
      <c r="F823" s="1" t="str">
        <f>IFERROR(__xludf.DUMMYFUNCTION("""COMPUTED_VALUE"""),"Male")</f>
        <v>Male</v>
      </c>
      <c r="G823" s="5">
        <f>IFERROR(__xludf.DUMMYFUNCTION("""COMPUTED_VALUE"""),0.006749000000000001)</f>
        <v>0.006749</v>
      </c>
      <c r="H823" s="15">
        <f>IFERROR(__xludf.DUMMYFUNCTION("""COMPUTED_VALUE"""),0.2549440625)</f>
        <v>0.2549440625</v>
      </c>
      <c r="I823" s="15">
        <f>IFERROR(__xludf.DUMMYFUNCTION("""COMPUTED_VALUE"""),45949.288689060995)</f>
        <v>45949.28869</v>
      </c>
      <c r="J823" s="15">
        <f>IFERROR(__xludf.DUMMYFUNCTION("""COMPUTED_VALUE"""),45949.033744998495)</f>
        <v>45949.03374</v>
      </c>
      <c r="K823" s="15">
        <f>IFERROR(__xludf.DUMMYFUNCTION("""COMPUTED_VALUE"""),45949.27613090637)</f>
        <v>45949.27613</v>
      </c>
      <c r="L823" s="4"/>
    </row>
    <row r="824">
      <c r="A824" s="1">
        <f>IFERROR(__xludf.DUMMYFUNCTION("""COMPUTED_VALUE"""),823.0)</f>
        <v>823</v>
      </c>
      <c r="B824" s="1">
        <f>IFERROR(__xludf.DUMMYFUNCTION("""COMPUTED_VALUE"""),6405.0)</f>
        <v>6405</v>
      </c>
      <c r="C824" s="2" t="str">
        <f>IFERROR(__xludf.DUMMYFUNCTION("""COMPUTED_VALUE"""),"Muhammad Zaki Nuri, S.T., M.T.")</f>
        <v>Muhammad Zaki Nuri, S.T., M.T.</v>
      </c>
      <c r="D824" s="2" t="str">
        <f>IFERROR(__xludf.DUMMYFUNCTION("""COMPUTED_VALUE"""),"5KM OVERALL M")</f>
        <v>5KM OVERALL M</v>
      </c>
      <c r="E824" s="1">
        <f>IFERROR(__xludf.DUMMYFUNCTION("""COMPUTED_VALUE"""),522.0)</f>
        <v>522</v>
      </c>
      <c r="F824" s="1" t="str">
        <f>IFERROR(__xludf.DUMMYFUNCTION("""COMPUTED_VALUE"""),"Male")</f>
        <v>Male</v>
      </c>
      <c r="G824" s="5">
        <f>IFERROR(__xludf.DUMMYFUNCTION("""COMPUTED_VALUE"""),0.0067496944444444444)</f>
        <v>0.006749694444</v>
      </c>
      <c r="H824" s="15">
        <f>IFERROR(__xludf.DUMMYFUNCTION("""COMPUTED_VALUE"""),0.2549440625)</f>
        <v>0.2549440625</v>
      </c>
      <c r="I824" s="15">
        <f>IFERROR(__xludf.DUMMYFUNCTION("""COMPUTED_VALUE"""),45949.288692530376)</f>
        <v>45949.28869</v>
      </c>
      <c r="J824" s="15">
        <f>IFERROR(__xludf.DUMMYFUNCTION("""COMPUTED_VALUE"""),45949.033748467875)</f>
        <v>45949.03375</v>
      </c>
      <c r="K824" s="15">
        <f>IFERROR(__xludf.DUMMYFUNCTION("""COMPUTED_VALUE"""),45949.274644745194)</f>
        <v>45949.27464</v>
      </c>
      <c r="L824" s="4"/>
    </row>
    <row r="825">
      <c r="A825" s="1">
        <f>IFERROR(__xludf.DUMMYFUNCTION("""COMPUTED_VALUE"""),824.0)</f>
        <v>824</v>
      </c>
      <c r="B825" s="1">
        <f>IFERROR(__xludf.DUMMYFUNCTION("""COMPUTED_VALUE"""),7029.0)</f>
        <v>7029</v>
      </c>
      <c r="C825" s="2" t="str">
        <f>IFERROR(__xludf.DUMMYFUNCTION("""COMPUTED_VALUE"""),"Gt Amalia Nur Indah M")</f>
        <v>Gt Amalia Nur Indah M</v>
      </c>
      <c r="D825" s="2" t="str">
        <f>IFERROR(__xludf.DUMMYFUNCTION("""COMPUTED_VALUE"""),"5KM MASTER F")</f>
        <v>5KM MASTER F</v>
      </c>
      <c r="E825" s="1">
        <f>IFERROR(__xludf.DUMMYFUNCTION("""COMPUTED_VALUE"""),27.0)</f>
        <v>27</v>
      </c>
      <c r="F825" s="1" t="str">
        <f>IFERROR(__xludf.DUMMYFUNCTION("""COMPUTED_VALUE"""),"Female")</f>
        <v>Female</v>
      </c>
      <c r="G825" s="5">
        <f>IFERROR(__xludf.DUMMYFUNCTION("""COMPUTED_VALUE"""),0.006750388888888889)</f>
        <v>0.006750388889</v>
      </c>
      <c r="H825" s="15">
        <f>IFERROR(__xludf.DUMMYFUNCTION("""COMPUTED_VALUE"""),0.2549440625)</f>
        <v>0.2549440625</v>
      </c>
      <c r="I825" s="15">
        <f>IFERROR(__xludf.DUMMYFUNCTION("""COMPUTED_VALUE"""),45949.28869600369)</f>
        <v>45949.2887</v>
      </c>
      <c r="J825" s="15">
        <f>IFERROR(__xludf.DUMMYFUNCTION("""COMPUTED_VALUE"""),45949.03375194119)</f>
        <v>45949.03375</v>
      </c>
      <c r="K825" s="15">
        <f>IFERROR(__xludf.DUMMYFUNCTION("""COMPUTED_VALUE"""),45949.274498917955)</f>
        <v>45949.2745</v>
      </c>
      <c r="L825" s="4"/>
    </row>
    <row r="826">
      <c r="A826" s="1">
        <f>IFERROR(__xludf.DUMMYFUNCTION("""COMPUTED_VALUE"""),825.0)</f>
        <v>825</v>
      </c>
      <c r="B826" s="1">
        <f>IFERROR(__xludf.DUMMYFUNCTION("""COMPUTED_VALUE"""),5694.0)</f>
        <v>5694</v>
      </c>
      <c r="C826" s="2" t="str">
        <f>IFERROR(__xludf.DUMMYFUNCTION("""COMPUTED_VALUE"""),"Yogi")</f>
        <v>Yogi</v>
      </c>
      <c r="D826" s="2" t="str">
        <f>IFERROR(__xludf.DUMMYFUNCTION("""COMPUTED_VALUE"""),"5KM OVERALL M")</f>
        <v>5KM OVERALL M</v>
      </c>
      <c r="E826" s="1">
        <f>IFERROR(__xludf.DUMMYFUNCTION("""COMPUTED_VALUE"""),523.0)</f>
        <v>523</v>
      </c>
      <c r="F826" s="1" t="str">
        <f>IFERROR(__xludf.DUMMYFUNCTION("""COMPUTED_VALUE"""),"Male")</f>
        <v>Male</v>
      </c>
      <c r="G826" s="5">
        <f>IFERROR(__xludf.DUMMYFUNCTION("""COMPUTED_VALUE"""),0.0067517777777777776)</f>
        <v>0.006751777778</v>
      </c>
      <c r="H826" s="15">
        <f>IFERROR(__xludf.DUMMYFUNCTION("""COMPUTED_VALUE"""),0.2549440625)</f>
        <v>0.2549440625</v>
      </c>
      <c r="I826" s="15">
        <f>IFERROR(__xludf.DUMMYFUNCTION("""COMPUTED_VALUE"""),45949.28870294644)</f>
        <v>45949.2887</v>
      </c>
      <c r="J826" s="15">
        <f>IFERROR(__xludf.DUMMYFUNCTION("""COMPUTED_VALUE"""),45949.03375888394)</f>
        <v>45949.03376</v>
      </c>
      <c r="K826" s="15">
        <f>IFERROR(__xludf.DUMMYFUNCTION("""COMPUTED_VALUE"""),45949.276443363284)</f>
        <v>45949.27644</v>
      </c>
      <c r="L826" s="4"/>
    </row>
    <row r="827">
      <c r="A827" s="1">
        <f>IFERROR(__xludf.DUMMYFUNCTION("""COMPUTED_VALUE"""),826.0)</f>
        <v>826</v>
      </c>
      <c r="B827" s="1">
        <f>IFERROR(__xludf.DUMMYFUNCTION("""COMPUTED_VALUE"""),5201.0)</f>
        <v>5201</v>
      </c>
      <c r="C827" s="2" t="str">
        <f>IFERROR(__xludf.DUMMYFUNCTION("""COMPUTED_VALUE"""),"Zainal Ilmi")</f>
        <v>Zainal Ilmi</v>
      </c>
      <c r="D827" s="2" t="str">
        <f>IFERROR(__xludf.DUMMYFUNCTION("""COMPUTED_VALUE"""),"5KM OVERALL M")</f>
        <v>5KM OVERALL M</v>
      </c>
      <c r="E827" s="1">
        <f>IFERROR(__xludf.DUMMYFUNCTION("""COMPUTED_VALUE"""),524.0)</f>
        <v>524</v>
      </c>
      <c r="F827" s="1" t="str">
        <f>IFERROR(__xludf.DUMMYFUNCTION("""COMPUTED_VALUE"""),"Male")</f>
        <v>Male</v>
      </c>
      <c r="G827" s="5">
        <f>IFERROR(__xludf.DUMMYFUNCTION("""COMPUTED_VALUE"""),0.0067538611111111115)</f>
        <v>0.006753861111</v>
      </c>
      <c r="H827" s="15">
        <f>IFERROR(__xludf.DUMMYFUNCTION("""COMPUTED_VALUE"""),0.2549440625)</f>
        <v>0.2549440625</v>
      </c>
      <c r="I827" s="15">
        <f>IFERROR(__xludf.DUMMYFUNCTION("""COMPUTED_VALUE"""),45949.288713373826)</f>
        <v>45949.28871</v>
      </c>
      <c r="J827" s="15">
        <f>IFERROR(__xludf.DUMMYFUNCTION("""COMPUTED_VALUE"""),45949.033769311325)</f>
        <v>45949.03377</v>
      </c>
      <c r="K827" s="15">
        <f>IFERROR(__xludf.DUMMYFUNCTION("""COMPUTED_VALUE"""),45949.27484613133)</f>
        <v>45949.27485</v>
      </c>
      <c r="L827" s="4"/>
    </row>
    <row r="828">
      <c r="A828" s="1">
        <f>IFERROR(__xludf.DUMMYFUNCTION("""COMPUTED_VALUE"""),827.0)</f>
        <v>827</v>
      </c>
      <c r="B828" s="1">
        <f>IFERROR(__xludf.DUMMYFUNCTION("""COMPUTED_VALUE"""),5904.0)</f>
        <v>5904</v>
      </c>
      <c r="C828" s="2" t="str">
        <f>IFERROR(__xludf.DUMMYFUNCTION("""COMPUTED_VALUE"""),"WAHH")</f>
        <v>WAHH</v>
      </c>
      <c r="D828" s="2" t="str">
        <f>IFERROR(__xludf.DUMMYFUNCTION("""COMPUTED_VALUE"""),"5KM OVERALL M")</f>
        <v>5KM OVERALL M</v>
      </c>
      <c r="E828" s="1">
        <f>IFERROR(__xludf.DUMMYFUNCTION("""COMPUTED_VALUE"""),525.0)</f>
        <v>525</v>
      </c>
      <c r="F828" s="1" t="str">
        <f>IFERROR(__xludf.DUMMYFUNCTION("""COMPUTED_VALUE"""),"Male")</f>
        <v>Male</v>
      </c>
      <c r="G828" s="5">
        <f>IFERROR(__xludf.DUMMYFUNCTION("""COMPUTED_VALUE"""),0.00675525)</f>
        <v>0.00675525</v>
      </c>
      <c r="H828" s="15">
        <f>IFERROR(__xludf.DUMMYFUNCTION("""COMPUTED_VALUE"""),0.2549440625)</f>
        <v>0.2549440625</v>
      </c>
      <c r="I828" s="15">
        <f>IFERROR(__xludf.DUMMYFUNCTION("""COMPUTED_VALUE"""),45949.28872031828)</f>
        <v>45949.28872</v>
      </c>
      <c r="J828" s="15">
        <f>IFERROR(__xludf.DUMMYFUNCTION("""COMPUTED_VALUE"""),45949.03377625578)</f>
        <v>45949.03378</v>
      </c>
      <c r="K828" s="15">
        <f>IFERROR(__xludf.DUMMYFUNCTION("""COMPUTED_VALUE"""),45949.27483225088)</f>
        <v>45949.27483</v>
      </c>
      <c r="L828" s="4"/>
    </row>
    <row r="829">
      <c r="A829" s="1">
        <f>IFERROR(__xludf.DUMMYFUNCTION("""COMPUTED_VALUE"""),828.0)</f>
        <v>828</v>
      </c>
      <c r="B829" s="1">
        <f>IFERROR(__xludf.DUMMYFUNCTION("""COMPUTED_VALUE"""),6359.0)</f>
        <v>6359</v>
      </c>
      <c r="C829" s="2" t="str">
        <f>IFERROR(__xludf.DUMMYFUNCTION("""COMPUTED_VALUE"""),"Nazala")</f>
        <v>Nazala</v>
      </c>
      <c r="D829" s="2" t="str">
        <f>IFERROR(__xludf.DUMMYFUNCTION("""COMPUTED_VALUE"""),"5KM OVERALL M")</f>
        <v>5KM OVERALL M</v>
      </c>
      <c r="E829" s="1">
        <f>IFERROR(__xludf.DUMMYFUNCTION("""COMPUTED_VALUE"""),526.0)</f>
        <v>526</v>
      </c>
      <c r="F829" s="1" t="str">
        <f>IFERROR(__xludf.DUMMYFUNCTION("""COMPUTED_VALUE"""),"Male")</f>
        <v>Male</v>
      </c>
      <c r="G829" s="5">
        <f>IFERROR(__xludf.DUMMYFUNCTION("""COMPUTED_VALUE"""),0.006755944444444445)</f>
        <v>0.006755944444</v>
      </c>
      <c r="H829" s="15">
        <f>IFERROR(__xludf.DUMMYFUNCTION("""COMPUTED_VALUE"""),0.2549440625)</f>
        <v>0.2549440625</v>
      </c>
      <c r="I829" s="15">
        <f>IFERROR(__xludf.DUMMYFUNCTION("""COMPUTED_VALUE"""),45949.28872378358)</f>
        <v>45949.28872</v>
      </c>
      <c r="J829" s="15">
        <f>IFERROR(__xludf.DUMMYFUNCTION("""COMPUTED_VALUE"""),45949.03377972108)</f>
        <v>45949.03378</v>
      </c>
      <c r="K829" s="15">
        <f>IFERROR(__xludf.DUMMYFUNCTION("""COMPUTED_VALUE"""),45949.2745649189)</f>
        <v>45949.27456</v>
      </c>
      <c r="L829" s="4"/>
    </row>
    <row r="830">
      <c r="A830" s="1">
        <f>IFERROR(__xludf.DUMMYFUNCTION("""COMPUTED_VALUE"""),829.0)</f>
        <v>829</v>
      </c>
      <c r="B830" s="1">
        <f>IFERROR(__xludf.DUMMYFUNCTION("""COMPUTED_VALUE"""),6252.0)</f>
        <v>6252</v>
      </c>
      <c r="C830" s="2" t="str">
        <f>IFERROR(__xludf.DUMMYFUNCTION("""COMPUTED_VALUE"""),"RidhaMS")</f>
        <v>RidhaMS</v>
      </c>
      <c r="D830" s="2" t="str">
        <f>IFERROR(__xludf.DUMMYFUNCTION("""COMPUTED_VALUE"""),"5KM OVERALL M")</f>
        <v>5KM OVERALL M</v>
      </c>
      <c r="E830" s="1">
        <f>IFERROR(__xludf.DUMMYFUNCTION("""COMPUTED_VALUE"""),527.0)</f>
        <v>527</v>
      </c>
      <c r="F830" s="1" t="str">
        <f>IFERROR(__xludf.DUMMYFUNCTION("""COMPUTED_VALUE"""),"Male")</f>
        <v>Male</v>
      </c>
      <c r="G830" s="5">
        <f>IFERROR(__xludf.DUMMYFUNCTION("""COMPUTED_VALUE"""),0.006759416666666668)</f>
        <v>0.006759416667</v>
      </c>
      <c r="H830" s="15">
        <f>IFERROR(__xludf.DUMMYFUNCTION("""COMPUTED_VALUE"""),0.2549440625)</f>
        <v>0.2549440625</v>
      </c>
      <c r="I830" s="15">
        <f>IFERROR(__xludf.DUMMYFUNCTION("""COMPUTED_VALUE"""),45949.28874115082)</f>
        <v>45949.28874</v>
      </c>
      <c r="J830" s="15">
        <f>IFERROR(__xludf.DUMMYFUNCTION("""COMPUTED_VALUE"""),45949.03379708832)</f>
        <v>45949.0338</v>
      </c>
      <c r="K830" s="15">
        <f>IFERROR(__xludf.DUMMYFUNCTION("""COMPUTED_VALUE"""),45949.27551281317)</f>
        <v>45949.27551</v>
      </c>
      <c r="L830" s="4"/>
    </row>
    <row r="831">
      <c r="A831" s="1">
        <f>IFERROR(__xludf.DUMMYFUNCTION("""COMPUTED_VALUE"""),830.0)</f>
        <v>830</v>
      </c>
      <c r="B831" s="1">
        <f>IFERROR(__xludf.DUMMYFUNCTION("""COMPUTED_VALUE"""),6364.0)</f>
        <v>6364</v>
      </c>
      <c r="C831" s="2" t="str">
        <f>IFERROR(__xludf.DUMMYFUNCTION("""COMPUTED_VALUE"""),"Muhammad Zaini")</f>
        <v>Muhammad Zaini</v>
      </c>
      <c r="D831" s="2" t="str">
        <f>IFERROR(__xludf.DUMMYFUNCTION("""COMPUTED_VALUE"""),"5KM OVERALL M")</f>
        <v>5KM OVERALL M</v>
      </c>
      <c r="E831" s="1">
        <f>IFERROR(__xludf.DUMMYFUNCTION("""COMPUTED_VALUE"""),528.0)</f>
        <v>528</v>
      </c>
      <c r="F831" s="1" t="str">
        <f>IFERROR(__xludf.DUMMYFUNCTION("""COMPUTED_VALUE"""),"Male")</f>
        <v>Male</v>
      </c>
      <c r="G831" s="5">
        <f>IFERROR(__xludf.DUMMYFUNCTION("""COMPUTED_VALUE"""),0.006759423611111111)</f>
        <v>0.006759423611</v>
      </c>
      <c r="H831" s="15">
        <f>IFERROR(__xludf.DUMMYFUNCTION("""COMPUTED_VALUE"""),0.2549440625)</f>
        <v>0.2549440625</v>
      </c>
      <c r="I831" s="15">
        <f>IFERROR(__xludf.DUMMYFUNCTION("""COMPUTED_VALUE"""),45949.2887411759)</f>
        <v>45949.28874</v>
      </c>
      <c r="J831" s="15">
        <f>IFERROR(__xludf.DUMMYFUNCTION("""COMPUTED_VALUE"""),45949.0337971134)</f>
        <v>45949.0338</v>
      </c>
      <c r="K831" s="15">
        <f>IFERROR(__xludf.DUMMYFUNCTION("""COMPUTED_VALUE"""),45949.27434274344)</f>
        <v>45949.27434</v>
      </c>
      <c r="L831" s="4"/>
    </row>
    <row r="832">
      <c r="A832" s="1">
        <f>IFERROR(__xludf.DUMMYFUNCTION("""COMPUTED_VALUE"""),831.0)</f>
        <v>831</v>
      </c>
      <c r="B832" s="1">
        <f>IFERROR(__xludf.DUMMYFUNCTION("""COMPUTED_VALUE"""),6415.0)</f>
        <v>6415</v>
      </c>
      <c r="C832" s="2" t="str">
        <f>IFERROR(__xludf.DUMMYFUNCTION("""COMPUTED_VALUE"""),"Ireland")</f>
        <v>Ireland</v>
      </c>
      <c r="D832" s="2" t="str">
        <f>IFERROR(__xludf.DUMMYFUNCTION("""COMPUTED_VALUE"""),"5KM OVERALL M")</f>
        <v>5KM OVERALL M</v>
      </c>
      <c r="E832" s="1">
        <f>IFERROR(__xludf.DUMMYFUNCTION("""COMPUTED_VALUE"""),529.0)</f>
        <v>529</v>
      </c>
      <c r="F832" s="1" t="str">
        <f>IFERROR(__xludf.DUMMYFUNCTION("""COMPUTED_VALUE"""),"Male")</f>
        <v>Male</v>
      </c>
      <c r="G832" s="5">
        <f>IFERROR(__xludf.DUMMYFUNCTION("""COMPUTED_VALUE"""),0.006765666666666667)</f>
        <v>0.006765666667</v>
      </c>
      <c r="H832" s="15">
        <f>IFERROR(__xludf.DUMMYFUNCTION("""COMPUTED_VALUE"""),0.2549440625)</f>
        <v>0.2549440625</v>
      </c>
      <c r="I832" s="15">
        <f>IFERROR(__xludf.DUMMYFUNCTION("""COMPUTED_VALUE"""),45949.288772397886)</f>
        <v>45949.28877</v>
      </c>
      <c r="J832" s="15">
        <f>IFERROR(__xludf.DUMMYFUNCTION("""COMPUTED_VALUE"""),45949.033828335385)</f>
        <v>45949.03383</v>
      </c>
      <c r="K832" s="15">
        <f>IFERROR(__xludf.DUMMYFUNCTION("""COMPUTED_VALUE"""),45949.27651633955)</f>
        <v>45949.27652</v>
      </c>
      <c r="L832" s="4"/>
    </row>
    <row r="833">
      <c r="A833" s="1">
        <f>IFERROR(__xludf.DUMMYFUNCTION("""COMPUTED_VALUE"""),832.0)</f>
        <v>832</v>
      </c>
      <c r="B833" s="1">
        <f>IFERROR(__xludf.DUMMYFUNCTION("""COMPUTED_VALUE"""),6166.0)</f>
        <v>6166</v>
      </c>
      <c r="C833" s="2" t="str">
        <f>IFERROR(__xludf.DUMMYFUNCTION("""COMPUTED_VALUE"""),"Nia Puspa")</f>
        <v>Nia Puspa</v>
      </c>
      <c r="D833" s="2" t="str">
        <f>IFERROR(__xludf.DUMMYFUNCTION("""COMPUTED_VALUE"""),"5KM OVERALL F")</f>
        <v>5KM OVERALL F</v>
      </c>
      <c r="E833" s="1">
        <f>IFERROR(__xludf.DUMMYFUNCTION("""COMPUTED_VALUE"""),146.0)</f>
        <v>146</v>
      </c>
      <c r="F833" s="1" t="str">
        <f>IFERROR(__xludf.DUMMYFUNCTION("""COMPUTED_VALUE"""),"Female")</f>
        <v>Female</v>
      </c>
      <c r="G833" s="5">
        <f>IFERROR(__xludf.DUMMYFUNCTION("""COMPUTED_VALUE"""),0.006769138888888889)</f>
        <v>0.006769138889</v>
      </c>
      <c r="H833" s="15">
        <f>IFERROR(__xludf.DUMMYFUNCTION("""COMPUTED_VALUE"""),0.2549440625)</f>
        <v>0.2549440625</v>
      </c>
      <c r="I833" s="15">
        <f>IFERROR(__xludf.DUMMYFUNCTION("""COMPUTED_VALUE"""),45949.28878975326)</f>
        <v>45949.28879</v>
      </c>
      <c r="J833" s="15">
        <f>IFERROR(__xludf.DUMMYFUNCTION("""COMPUTED_VALUE"""),45949.033845690756)</f>
        <v>45949.03385</v>
      </c>
      <c r="K833" s="15">
        <f>IFERROR(__xludf.DUMMYFUNCTION("""COMPUTED_VALUE"""),45949.27367947515)</f>
        <v>45949.27368</v>
      </c>
      <c r="L833" s="4"/>
    </row>
    <row r="834">
      <c r="A834" s="1">
        <f>IFERROR(__xludf.DUMMYFUNCTION("""COMPUTED_VALUE"""),833.0)</f>
        <v>833</v>
      </c>
      <c r="B834" s="1">
        <f>IFERROR(__xludf.DUMMYFUNCTION("""COMPUTED_VALUE"""),5807.0)</f>
        <v>5807</v>
      </c>
      <c r="C834" s="2" t="str">
        <f>IFERROR(__xludf.DUMMYFUNCTION("""COMPUTED_VALUE"""),"Melva")</f>
        <v>Melva</v>
      </c>
      <c r="D834" s="2" t="str">
        <f>IFERROR(__xludf.DUMMYFUNCTION("""COMPUTED_VALUE"""),"5KM OVERALL F")</f>
        <v>5KM OVERALL F</v>
      </c>
      <c r="E834" s="1">
        <f>IFERROR(__xludf.DUMMYFUNCTION("""COMPUTED_VALUE"""),147.0)</f>
        <v>147</v>
      </c>
      <c r="F834" s="1" t="str">
        <f>IFERROR(__xludf.DUMMYFUNCTION("""COMPUTED_VALUE"""),"Female")</f>
        <v>Female</v>
      </c>
      <c r="G834" s="5">
        <f>IFERROR(__xludf.DUMMYFUNCTION("""COMPUTED_VALUE"""),0.006772599537037037)</f>
        <v>0.006772599537</v>
      </c>
      <c r="H834" s="15">
        <f>IFERROR(__xludf.DUMMYFUNCTION("""COMPUTED_VALUE"""),0.2549440625)</f>
        <v>0.2549440625</v>
      </c>
      <c r="I834" s="15">
        <f>IFERROR(__xludf.DUMMYFUNCTION("""COMPUTED_VALUE"""),45949.28880706271)</f>
        <v>45949.28881</v>
      </c>
      <c r="J834" s="15">
        <f>IFERROR(__xludf.DUMMYFUNCTION("""COMPUTED_VALUE"""),45949.03386300021)</f>
        <v>45949.03386</v>
      </c>
      <c r="K834" s="15">
        <f>IFERROR(__xludf.DUMMYFUNCTION("""COMPUTED_VALUE"""),45949.273696893346)</f>
        <v>45949.2737</v>
      </c>
      <c r="L834" s="4"/>
    </row>
    <row r="835">
      <c r="A835" s="1">
        <f>IFERROR(__xludf.DUMMYFUNCTION("""COMPUTED_VALUE"""),834.0)</f>
        <v>834</v>
      </c>
      <c r="B835" s="1">
        <f>IFERROR(__xludf.DUMMYFUNCTION("""COMPUTED_VALUE"""),5340.0)</f>
        <v>5340</v>
      </c>
      <c r="C835" s="2" t="str">
        <f>IFERROR(__xludf.DUMMYFUNCTION("""COMPUTED_VALUE"""),"ramaalya")</f>
        <v>ramaalya</v>
      </c>
      <c r="D835" s="2" t="str">
        <f>IFERROR(__xludf.DUMMYFUNCTION("""COMPUTED_VALUE"""),"5KM OVERALL M")</f>
        <v>5KM OVERALL M</v>
      </c>
      <c r="E835" s="1">
        <f>IFERROR(__xludf.DUMMYFUNCTION("""COMPUTED_VALUE"""),530.0)</f>
        <v>530</v>
      </c>
      <c r="F835" s="1" t="str">
        <f>IFERROR(__xludf.DUMMYFUNCTION("""COMPUTED_VALUE"""),"Male")</f>
        <v>Male</v>
      </c>
      <c r="G835" s="5">
        <f>IFERROR(__xludf.DUMMYFUNCTION("""COMPUTED_VALUE"""),0.006776085648148147)</f>
        <v>0.006776085648</v>
      </c>
      <c r="H835" s="15">
        <f>IFERROR(__xludf.DUMMYFUNCTION("""COMPUTED_VALUE"""),0.2549440625)</f>
        <v>0.2549440625</v>
      </c>
      <c r="I835" s="15">
        <f>IFERROR(__xludf.DUMMYFUNCTION("""COMPUTED_VALUE"""),45949.288824490024)</f>
        <v>45949.28882</v>
      </c>
      <c r="J835" s="15">
        <f>IFERROR(__xludf.DUMMYFUNCTION("""COMPUTED_VALUE"""),45949.03388042752)</f>
        <v>45949.03388</v>
      </c>
      <c r="K835" s="15">
        <f>IFERROR(__xludf.DUMMYFUNCTION("""COMPUTED_VALUE"""),45949.275974607655)</f>
        <v>45949.27597</v>
      </c>
      <c r="L835" s="4"/>
    </row>
    <row r="836">
      <c r="A836" s="1">
        <f>IFERROR(__xludf.DUMMYFUNCTION("""COMPUTED_VALUE"""),835.0)</f>
        <v>835</v>
      </c>
      <c r="B836" s="1">
        <f>IFERROR(__xludf.DUMMYFUNCTION("""COMPUTED_VALUE"""),5599.0)</f>
        <v>5599</v>
      </c>
      <c r="C836" s="2" t="str">
        <f>IFERROR(__xludf.DUMMYFUNCTION("""COMPUTED_VALUE"""),"Bella")</f>
        <v>Bella</v>
      </c>
      <c r="D836" s="2" t="str">
        <f>IFERROR(__xludf.DUMMYFUNCTION("""COMPUTED_VALUE"""),"5KM OVERALL F")</f>
        <v>5KM OVERALL F</v>
      </c>
      <c r="E836" s="1">
        <f>IFERROR(__xludf.DUMMYFUNCTION("""COMPUTED_VALUE"""),148.0)</f>
        <v>148</v>
      </c>
      <c r="F836" s="1" t="str">
        <f>IFERROR(__xludf.DUMMYFUNCTION("""COMPUTED_VALUE"""),"Female")</f>
        <v>Female</v>
      </c>
      <c r="G836" s="5">
        <f>IFERROR(__xludf.DUMMYFUNCTION("""COMPUTED_VALUE"""),0.006779555555555555)</f>
        <v>0.006779555556</v>
      </c>
      <c r="H836" s="15">
        <f>IFERROR(__xludf.DUMMYFUNCTION("""COMPUTED_VALUE"""),0.2549440625)</f>
        <v>0.2549440625</v>
      </c>
      <c r="I836" s="15">
        <f>IFERROR(__xludf.DUMMYFUNCTION("""COMPUTED_VALUE"""),45949.28884184588)</f>
        <v>45949.28884</v>
      </c>
      <c r="J836" s="15">
        <f>IFERROR(__xludf.DUMMYFUNCTION("""COMPUTED_VALUE"""),45949.03389778338)</f>
        <v>45949.0339</v>
      </c>
      <c r="K836" s="15">
        <f>IFERROR(__xludf.DUMMYFUNCTION("""COMPUTED_VALUE"""),45949.274854022144)</f>
        <v>45949.27485</v>
      </c>
      <c r="L836" s="4"/>
    </row>
    <row r="837">
      <c r="A837" s="1">
        <f>IFERROR(__xludf.DUMMYFUNCTION("""COMPUTED_VALUE"""),836.0)</f>
        <v>836</v>
      </c>
      <c r="B837" s="1">
        <f>IFERROR(__xludf.DUMMYFUNCTION("""COMPUTED_VALUE"""),6561.0)</f>
        <v>6561</v>
      </c>
      <c r="C837" s="2" t="str">
        <f>IFERROR(__xludf.DUMMYFUNCTION("""COMPUTED_VALUE"""),"Rieka Damayanti")</f>
        <v>Rieka Damayanti</v>
      </c>
      <c r="D837" s="2" t="str">
        <f>IFERROR(__xludf.DUMMYFUNCTION("""COMPUTED_VALUE"""),"5KM OVERALL F")</f>
        <v>5KM OVERALL F</v>
      </c>
      <c r="E837" s="1">
        <f>IFERROR(__xludf.DUMMYFUNCTION("""COMPUTED_VALUE"""),149.0)</f>
        <v>149</v>
      </c>
      <c r="F837" s="1" t="str">
        <f>IFERROR(__xludf.DUMMYFUNCTION("""COMPUTED_VALUE"""),"Female")</f>
        <v>Female</v>
      </c>
      <c r="G837" s="5">
        <f>IFERROR(__xludf.DUMMYFUNCTION("""COMPUTED_VALUE"""),0.006781641203703703)</f>
        <v>0.006781641204</v>
      </c>
      <c r="H837" s="15">
        <f>IFERROR(__xludf.DUMMYFUNCTION("""COMPUTED_VALUE"""),0.2549440625)</f>
        <v>0.2549440625</v>
      </c>
      <c r="I837" s="15">
        <f>IFERROR(__xludf.DUMMYFUNCTION("""COMPUTED_VALUE"""),45949.28885226721)</f>
        <v>45949.28885</v>
      </c>
      <c r="J837" s="15">
        <f>IFERROR(__xludf.DUMMYFUNCTION("""COMPUTED_VALUE"""),45949.03390820471)</f>
        <v>45949.03391</v>
      </c>
      <c r="K837" s="15">
        <f>IFERROR(__xludf.DUMMYFUNCTION("""COMPUTED_VALUE"""),45949.27440517201)</f>
        <v>45949.27441</v>
      </c>
      <c r="L837" s="4"/>
    </row>
    <row r="838">
      <c r="A838" s="1">
        <f>IFERROR(__xludf.DUMMYFUNCTION("""COMPUTED_VALUE"""),837.0)</f>
        <v>837</v>
      </c>
      <c r="B838" s="1">
        <f>IFERROR(__xludf.DUMMYFUNCTION("""COMPUTED_VALUE"""),5970.0)</f>
        <v>5970</v>
      </c>
      <c r="C838" s="2" t="str">
        <f>IFERROR(__xludf.DUMMYFUNCTION("""COMPUTED_VALUE"""),"WINARDI")</f>
        <v>WINARDI</v>
      </c>
      <c r="D838" s="2" t="str">
        <f>IFERROR(__xludf.DUMMYFUNCTION("""COMPUTED_VALUE"""),"5KM OVERALL M")</f>
        <v>5KM OVERALL M</v>
      </c>
      <c r="E838" s="1">
        <f>IFERROR(__xludf.DUMMYFUNCTION("""COMPUTED_VALUE"""),531.0)</f>
        <v>531</v>
      </c>
      <c r="F838" s="1" t="str">
        <f>IFERROR(__xludf.DUMMYFUNCTION("""COMPUTED_VALUE"""),"Male")</f>
        <v>Male</v>
      </c>
      <c r="G838" s="5">
        <f>IFERROR(__xludf.DUMMYFUNCTION("""COMPUTED_VALUE"""),0.0067851111111111116)</f>
        <v>0.006785111111</v>
      </c>
      <c r="H838" s="15">
        <f>IFERROR(__xludf.DUMMYFUNCTION("""COMPUTED_VALUE"""),0.2549440625)</f>
        <v>0.2549440625</v>
      </c>
      <c r="I838" s="15">
        <f>IFERROR(__xludf.DUMMYFUNCTION("""COMPUTED_VALUE"""),45949.288869622906)</f>
        <v>45949.28887</v>
      </c>
      <c r="J838" s="15">
        <f>IFERROR(__xludf.DUMMYFUNCTION("""COMPUTED_VALUE"""),45949.033925560405)</f>
        <v>45949.03393</v>
      </c>
      <c r="K838" s="15">
        <f>IFERROR(__xludf.DUMMYFUNCTION("""COMPUTED_VALUE"""),45949.274832262454)</f>
        <v>45949.27483</v>
      </c>
      <c r="L838" s="4"/>
    </row>
    <row r="839">
      <c r="A839" s="1">
        <f>IFERROR(__xludf.DUMMYFUNCTION("""COMPUTED_VALUE"""),838.0)</f>
        <v>838</v>
      </c>
      <c r="B839" s="1">
        <f>IFERROR(__xludf.DUMMYFUNCTION("""COMPUTED_VALUE"""),5239.0)</f>
        <v>5239</v>
      </c>
      <c r="C839" s="2" t="str">
        <f>IFERROR(__xludf.DUMMYFUNCTION("""COMPUTED_VALUE"""),"Venus Septa")</f>
        <v>Venus Septa</v>
      </c>
      <c r="D839" s="2" t="str">
        <f>IFERROR(__xludf.DUMMYFUNCTION("""COMPUTED_VALUE"""),"5KM OVERALL M")</f>
        <v>5KM OVERALL M</v>
      </c>
      <c r="E839" s="1">
        <f>IFERROR(__xludf.DUMMYFUNCTION("""COMPUTED_VALUE"""),532.0)</f>
        <v>532</v>
      </c>
      <c r="F839" s="1" t="str">
        <f>IFERROR(__xludf.DUMMYFUNCTION("""COMPUTED_VALUE"""),"Male")</f>
        <v>Male</v>
      </c>
      <c r="G839" s="5">
        <f>IFERROR(__xludf.DUMMYFUNCTION("""COMPUTED_VALUE"""),0.006786499999999999)</f>
        <v>0.0067865</v>
      </c>
      <c r="H839" s="15">
        <f>IFERROR(__xludf.DUMMYFUNCTION("""COMPUTED_VALUE"""),0.2549440625)</f>
        <v>0.2549440625</v>
      </c>
      <c r="I839" s="15">
        <f>IFERROR(__xludf.DUMMYFUNCTION("""COMPUTED_VALUE"""),45949.28887656607)</f>
        <v>45949.28888</v>
      </c>
      <c r="J839" s="15">
        <f>IFERROR(__xludf.DUMMYFUNCTION("""COMPUTED_VALUE"""),45949.03393250357)</f>
        <v>45949.03393</v>
      </c>
      <c r="K839" s="15">
        <f>IFERROR(__xludf.DUMMYFUNCTION("""COMPUTED_VALUE"""),45949.276425995035)</f>
        <v>45949.27643</v>
      </c>
      <c r="L839" s="4"/>
    </row>
    <row r="840">
      <c r="A840" s="1">
        <f>IFERROR(__xludf.DUMMYFUNCTION("""COMPUTED_VALUE"""),839.0)</f>
        <v>839</v>
      </c>
      <c r="B840" s="1">
        <f>IFERROR(__xludf.DUMMYFUNCTION("""COMPUTED_VALUE"""),5060.0)</f>
        <v>5060</v>
      </c>
      <c r="C840" s="2" t="str">
        <f>IFERROR(__xludf.DUMMYFUNCTION("""COMPUTED_VALUE"""),"Rauf")</f>
        <v>Rauf</v>
      </c>
      <c r="D840" s="2" t="str">
        <f>IFERROR(__xludf.DUMMYFUNCTION("""COMPUTED_VALUE"""),"5KM OVERALL M")</f>
        <v>5KM OVERALL M</v>
      </c>
      <c r="E840" s="1">
        <f>IFERROR(__xludf.DUMMYFUNCTION("""COMPUTED_VALUE"""),533.0)</f>
        <v>533</v>
      </c>
      <c r="F840" s="1" t="str">
        <f>IFERROR(__xludf.DUMMYFUNCTION("""COMPUTED_VALUE"""),"Male")</f>
        <v>Male</v>
      </c>
      <c r="G840" s="5">
        <f>IFERROR(__xludf.DUMMYFUNCTION("""COMPUTED_VALUE"""),0.006787194444444445)</f>
        <v>0.006787194444</v>
      </c>
      <c r="H840" s="15">
        <f>IFERROR(__xludf.DUMMYFUNCTION("""COMPUTED_VALUE"""),0.2549440625)</f>
        <v>0.2549440625</v>
      </c>
      <c r="I840" s="15">
        <f>IFERROR(__xludf.DUMMYFUNCTION("""COMPUTED_VALUE"""),45949.288880037304)</f>
        <v>45949.28888</v>
      </c>
      <c r="J840" s="15">
        <f>IFERROR(__xludf.DUMMYFUNCTION("""COMPUTED_VALUE"""),45949.0339359748)</f>
        <v>45949.03394</v>
      </c>
      <c r="K840" s="15">
        <f>IFERROR(__xludf.DUMMYFUNCTION("""COMPUTED_VALUE"""),45949.274439877416)</f>
        <v>45949.27444</v>
      </c>
      <c r="L840" s="4"/>
    </row>
    <row r="841">
      <c r="A841" s="1">
        <f>IFERROR(__xludf.DUMMYFUNCTION("""COMPUTED_VALUE"""),840.0)</f>
        <v>840</v>
      </c>
      <c r="B841" s="1">
        <f>IFERROR(__xludf.DUMMYFUNCTION("""COMPUTED_VALUE"""),5435.0)</f>
        <v>5435</v>
      </c>
      <c r="C841" s="2" t="str">
        <f>IFERROR(__xludf.DUMMYFUNCTION("""COMPUTED_VALUE"""),"Lufi")</f>
        <v>Lufi</v>
      </c>
      <c r="D841" s="2" t="str">
        <f>IFERROR(__xludf.DUMMYFUNCTION("""COMPUTED_VALUE"""),"5KM OVERALL M")</f>
        <v>5KM OVERALL M</v>
      </c>
      <c r="E841" s="1">
        <f>IFERROR(__xludf.DUMMYFUNCTION("""COMPUTED_VALUE"""),534.0)</f>
        <v>534</v>
      </c>
      <c r="F841" s="1" t="str">
        <f>IFERROR(__xludf.DUMMYFUNCTION("""COMPUTED_VALUE"""),"Male")</f>
        <v>Male</v>
      </c>
      <c r="G841" s="5">
        <f>IFERROR(__xludf.DUMMYFUNCTION("""COMPUTED_VALUE"""),0.00679275)</f>
        <v>0.00679275</v>
      </c>
      <c r="H841" s="15">
        <f>IFERROR(__xludf.DUMMYFUNCTION("""COMPUTED_VALUE"""),0.2549440625)</f>
        <v>0.2549440625</v>
      </c>
      <c r="I841" s="15">
        <f>IFERROR(__xludf.DUMMYFUNCTION("""COMPUTED_VALUE"""),45949.28890780796)</f>
        <v>45949.28891</v>
      </c>
      <c r="J841" s="15">
        <f>IFERROR(__xludf.DUMMYFUNCTION("""COMPUTED_VALUE"""),45949.03396374546)</f>
        <v>45949.03396</v>
      </c>
      <c r="K841" s="15">
        <f>IFERROR(__xludf.DUMMYFUNCTION("""COMPUTED_VALUE"""),45949.27436700033)</f>
        <v>45949.27437</v>
      </c>
      <c r="L841" s="4"/>
    </row>
    <row r="842">
      <c r="A842" s="1">
        <f>IFERROR(__xludf.DUMMYFUNCTION("""COMPUTED_VALUE"""),841.0)</f>
        <v>841</v>
      </c>
      <c r="B842" s="1">
        <f>IFERROR(__xludf.DUMMYFUNCTION("""COMPUTED_VALUE"""),6189.0)</f>
        <v>6189</v>
      </c>
      <c r="C842" s="2" t="str">
        <f>IFERROR(__xludf.DUMMYFUNCTION("""COMPUTED_VALUE"""),"mas uden")</f>
        <v>mas uden</v>
      </c>
      <c r="D842" s="2" t="str">
        <f>IFERROR(__xludf.DUMMYFUNCTION("""COMPUTED_VALUE"""),"5KM OVERALL M")</f>
        <v>5KM OVERALL M</v>
      </c>
      <c r="E842" s="1">
        <f>IFERROR(__xludf.DUMMYFUNCTION("""COMPUTED_VALUE"""),535.0)</f>
        <v>535</v>
      </c>
      <c r="F842" s="1" t="str">
        <f>IFERROR(__xludf.DUMMYFUNCTION("""COMPUTED_VALUE"""),"Male")</f>
        <v>Male</v>
      </c>
      <c r="G842" s="5">
        <f>IFERROR(__xludf.DUMMYFUNCTION("""COMPUTED_VALUE"""),0.006794131944444444)</f>
        <v>0.006794131944</v>
      </c>
      <c r="H842" s="15">
        <f>IFERROR(__xludf.DUMMYFUNCTION("""COMPUTED_VALUE"""),0.2549440625)</f>
        <v>0.2549440625</v>
      </c>
      <c r="I842" s="15">
        <f>IFERROR(__xludf.DUMMYFUNCTION("""COMPUTED_VALUE"""),45949.28891471757)</f>
        <v>45949.28891</v>
      </c>
      <c r="J842" s="15">
        <f>IFERROR(__xludf.DUMMYFUNCTION("""COMPUTED_VALUE"""),45949.033970655066)</f>
        <v>45949.03397</v>
      </c>
      <c r="K842" s="15">
        <f>IFERROR(__xludf.DUMMYFUNCTION("""COMPUTED_VALUE"""),45949.27399897404)</f>
        <v>45949.274</v>
      </c>
      <c r="L842" s="4"/>
    </row>
    <row r="843">
      <c r="A843" s="1">
        <f>IFERROR(__xludf.DUMMYFUNCTION("""COMPUTED_VALUE"""),842.0)</f>
        <v>842</v>
      </c>
      <c r="B843" s="1">
        <f>IFERROR(__xludf.DUMMYFUNCTION("""COMPUTED_VALUE"""),6571.0)</f>
        <v>6571</v>
      </c>
      <c r="C843" s="2" t="str">
        <f>IFERROR(__xludf.DUMMYFUNCTION("""COMPUTED_VALUE"""),"Samsul Bahri")</f>
        <v>Samsul Bahri</v>
      </c>
      <c r="D843" s="2" t="str">
        <f>IFERROR(__xludf.DUMMYFUNCTION("""COMPUTED_VALUE"""),"5KM OVERALL M")</f>
        <v>5KM OVERALL M</v>
      </c>
      <c r="E843" s="1">
        <f>IFERROR(__xludf.DUMMYFUNCTION("""COMPUTED_VALUE"""),536.0)</f>
        <v>536</v>
      </c>
      <c r="F843" s="1" t="str">
        <f>IFERROR(__xludf.DUMMYFUNCTION("""COMPUTED_VALUE"""),"Male")</f>
        <v>Male</v>
      </c>
      <c r="G843" s="5">
        <f>IFERROR(__xludf.DUMMYFUNCTION("""COMPUTED_VALUE"""),0.006799000000000001)</f>
        <v>0.006799</v>
      </c>
      <c r="H843" s="15">
        <f>IFERROR(__xludf.DUMMYFUNCTION("""COMPUTED_VALUE"""),0.2549440625)</f>
        <v>0.2549440625</v>
      </c>
      <c r="I843" s="15">
        <f>IFERROR(__xludf.DUMMYFUNCTION("""COMPUTED_VALUE"""),45949.28893906103)</f>
        <v>45949.28894</v>
      </c>
      <c r="J843" s="15">
        <f>IFERROR(__xludf.DUMMYFUNCTION("""COMPUTED_VALUE"""),45949.03399499853)</f>
        <v>45949.03399</v>
      </c>
      <c r="K843" s="15">
        <f>IFERROR(__xludf.DUMMYFUNCTION("""COMPUTED_VALUE"""),45950.27533564815)</f>
        <v>45950.27534</v>
      </c>
      <c r="L843" s="4" t="str">
        <f>IFERROR(__xludf.DUMMYFUNCTION("""COMPUTED_VALUE"""),"C")</f>
        <v>C</v>
      </c>
    </row>
    <row r="844">
      <c r="A844" s="1">
        <f>IFERROR(__xludf.DUMMYFUNCTION("""COMPUTED_VALUE"""),843.0)</f>
        <v>843</v>
      </c>
      <c r="B844" s="1">
        <f>IFERROR(__xludf.DUMMYFUNCTION("""COMPUTED_VALUE"""),5180.0)</f>
        <v>5180</v>
      </c>
      <c r="C844" s="2" t="str">
        <f>IFERROR(__xludf.DUMMYFUNCTION("""COMPUTED_VALUE"""),"Meridha")</f>
        <v>Meridha</v>
      </c>
      <c r="D844" s="2" t="str">
        <f>IFERROR(__xludf.DUMMYFUNCTION("""COMPUTED_VALUE"""),"5KM OVERALL F")</f>
        <v>5KM OVERALL F</v>
      </c>
      <c r="E844" s="1">
        <f>IFERROR(__xludf.DUMMYFUNCTION("""COMPUTED_VALUE"""),150.0)</f>
        <v>150</v>
      </c>
      <c r="F844" s="1" t="str">
        <f>IFERROR(__xludf.DUMMYFUNCTION("""COMPUTED_VALUE"""),"Female")</f>
        <v>Female</v>
      </c>
      <c r="G844" s="5">
        <f>IFERROR(__xludf.DUMMYFUNCTION("""COMPUTED_VALUE"""),0.006799694444444444)</f>
        <v>0.006799694444</v>
      </c>
      <c r="H844" s="15">
        <f>IFERROR(__xludf.DUMMYFUNCTION("""COMPUTED_VALUE"""),0.2549440625)</f>
        <v>0.2549440625</v>
      </c>
      <c r="I844" s="15">
        <f>IFERROR(__xludf.DUMMYFUNCTION("""COMPUTED_VALUE"""),45949.28894253956)</f>
        <v>45949.28894</v>
      </c>
      <c r="J844" s="15">
        <f>IFERROR(__xludf.DUMMYFUNCTION("""COMPUTED_VALUE"""),45949.03399847706)</f>
        <v>45949.034</v>
      </c>
      <c r="K844" s="15">
        <f>IFERROR(__xludf.DUMMYFUNCTION("""COMPUTED_VALUE"""),45949.274693417334)</f>
        <v>45949.27469</v>
      </c>
      <c r="L844" s="4"/>
    </row>
    <row r="845">
      <c r="A845" s="1">
        <f>IFERROR(__xludf.DUMMYFUNCTION("""COMPUTED_VALUE"""),844.0)</f>
        <v>844</v>
      </c>
      <c r="B845" s="1">
        <f>IFERROR(__xludf.DUMMYFUNCTION("""COMPUTED_VALUE"""),7011.0)</f>
        <v>7011</v>
      </c>
      <c r="C845" s="2" t="str">
        <f>IFERROR(__xludf.DUMMYFUNCTION("""COMPUTED_VALUE"""),"Agus Setiawan")</f>
        <v>Agus Setiawan</v>
      </c>
      <c r="D845" s="2" t="str">
        <f>IFERROR(__xludf.DUMMYFUNCTION("""COMPUTED_VALUE"""),"5KM MASTER M")</f>
        <v>5KM MASTER M</v>
      </c>
      <c r="E845" s="1">
        <f>IFERROR(__xludf.DUMMYFUNCTION("""COMPUTED_VALUE"""),70.0)</f>
        <v>70</v>
      </c>
      <c r="F845" s="1" t="str">
        <f>IFERROR(__xludf.DUMMYFUNCTION("""COMPUTED_VALUE"""),"Male")</f>
        <v>Male</v>
      </c>
      <c r="G845" s="5">
        <f>IFERROR(__xludf.DUMMYFUNCTION("""COMPUTED_VALUE"""),0.0068052500000000005)</f>
        <v>0.00680525</v>
      </c>
      <c r="H845" s="15">
        <f>IFERROR(__xludf.DUMMYFUNCTION("""COMPUTED_VALUE"""),0.2549440625)</f>
        <v>0.2549440625</v>
      </c>
      <c r="I845" s="15">
        <f>IFERROR(__xludf.DUMMYFUNCTION("""COMPUTED_VALUE"""),45949.288970309586)</f>
        <v>45949.28897</v>
      </c>
      <c r="J845" s="15">
        <f>IFERROR(__xludf.DUMMYFUNCTION("""COMPUTED_VALUE"""),45949.034026247085)</f>
        <v>45949.03403</v>
      </c>
      <c r="K845" s="15">
        <f>IFERROR(__xludf.DUMMYFUNCTION("""COMPUTED_VALUE"""),45949.27593989796)</f>
        <v>45949.27594</v>
      </c>
      <c r="L845" s="4"/>
    </row>
    <row r="846">
      <c r="A846" s="1">
        <f>IFERROR(__xludf.DUMMYFUNCTION("""COMPUTED_VALUE"""),845.0)</f>
        <v>845</v>
      </c>
      <c r="B846" s="1">
        <f>IFERROR(__xludf.DUMMYFUNCTION("""COMPUTED_VALUE"""),5496.0)</f>
        <v>5496</v>
      </c>
      <c r="C846" s="2" t="str">
        <f>IFERROR(__xludf.DUMMYFUNCTION("""COMPUTED_VALUE"""),"Deby Putra Irinanda")</f>
        <v>Deby Putra Irinanda</v>
      </c>
      <c r="D846" s="2" t="str">
        <f>IFERROR(__xludf.DUMMYFUNCTION("""COMPUTED_VALUE"""),"5KM OVERALL M")</f>
        <v>5KM OVERALL M</v>
      </c>
      <c r="E846" s="1">
        <f>IFERROR(__xludf.DUMMYFUNCTION("""COMPUTED_VALUE"""),537.0)</f>
        <v>537</v>
      </c>
      <c r="F846" s="1" t="str">
        <f>IFERROR(__xludf.DUMMYFUNCTION("""COMPUTED_VALUE"""),"Male")</f>
        <v>Male</v>
      </c>
      <c r="G846" s="5">
        <f>IFERROR(__xludf.DUMMYFUNCTION("""COMPUTED_VALUE"""),0.006817738425925926)</f>
        <v>0.006817738426</v>
      </c>
      <c r="H846" s="15">
        <f>IFERROR(__xludf.DUMMYFUNCTION("""COMPUTED_VALUE"""),0.2549440625)</f>
        <v>0.2549440625</v>
      </c>
      <c r="I846" s="15">
        <f>IFERROR(__xludf.DUMMYFUNCTION("""COMPUTED_VALUE"""),45949.28903275691)</f>
        <v>45949.28903</v>
      </c>
      <c r="J846" s="15">
        <f>IFERROR(__xludf.DUMMYFUNCTION("""COMPUTED_VALUE"""),45949.03408869441)</f>
        <v>45949.03409</v>
      </c>
      <c r="K846" s="15">
        <f>IFERROR(__xludf.DUMMYFUNCTION("""COMPUTED_VALUE"""),45949.274991964856)</f>
        <v>45949.27499</v>
      </c>
      <c r="L846" s="4"/>
    </row>
    <row r="847">
      <c r="A847" s="1">
        <f>IFERROR(__xludf.DUMMYFUNCTION("""COMPUTED_VALUE"""),846.0)</f>
        <v>846</v>
      </c>
      <c r="B847" s="1">
        <f>IFERROR(__xludf.DUMMYFUNCTION("""COMPUTED_VALUE"""),5810.0)</f>
        <v>5810</v>
      </c>
      <c r="C847" s="2" t="str">
        <f>IFERROR(__xludf.DUMMYFUNCTION("""COMPUTED_VALUE"""),"Eightball")</f>
        <v>Eightball</v>
      </c>
      <c r="D847" s="2" t="str">
        <f>IFERROR(__xludf.DUMMYFUNCTION("""COMPUTED_VALUE"""),"5KM OVERALL M")</f>
        <v>5KM OVERALL M</v>
      </c>
      <c r="E847" s="1">
        <f>IFERROR(__xludf.DUMMYFUNCTION("""COMPUTED_VALUE"""),538.0)</f>
        <v>538</v>
      </c>
      <c r="F847" s="1" t="str">
        <f>IFERROR(__xludf.DUMMYFUNCTION("""COMPUTED_VALUE"""),"Male")</f>
        <v>Male</v>
      </c>
      <c r="G847" s="5">
        <f>IFERROR(__xludf.DUMMYFUNCTION("""COMPUTED_VALUE"""),0.006818560185185185)</f>
        <v>0.006818560185</v>
      </c>
      <c r="H847" s="15">
        <f>IFERROR(__xludf.DUMMYFUNCTION("""COMPUTED_VALUE"""),0.2549440625)</f>
        <v>0.2549440625</v>
      </c>
      <c r="I847" s="15">
        <f>IFERROR(__xludf.DUMMYFUNCTION("""COMPUTED_VALUE"""),45949.28903686228)</f>
        <v>45949.28904</v>
      </c>
      <c r="J847" s="15">
        <f>IFERROR(__xludf.DUMMYFUNCTION("""COMPUTED_VALUE"""),45949.03409279978)</f>
        <v>45949.03409</v>
      </c>
      <c r="K847" s="15">
        <f>IFERROR(__xludf.DUMMYFUNCTION("""COMPUTED_VALUE"""),45949.2730371037)</f>
        <v>45949.27304</v>
      </c>
      <c r="L847" s="4"/>
    </row>
    <row r="848">
      <c r="A848" s="1">
        <f>IFERROR(__xludf.DUMMYFUNCTION("""COMPUTED_VALUE"""),847.0)</f>
        <v>847</v>
      </c>
      <c r="B848" s="1">
        <f>IFERROR(__xludf.DUMMYFUNCTION("""COMPUTED_VALUE"""),5809.0)</f>
        <v>5809</v>
      </c>
      <c r="C848" s="2" t="str">
        <f>IFERROR(__xludf.DUMMYFUNCTION("""COMPUTED_VALUE"""),"Nida")</f>
        <v>Nida</v>
      </c>
      <c r="D848" s="2" t="str">
        <f>IFERROR(__xludf.DUMMYFUNCTION("""COMPUTED_VALUE"""),"5KM OVERALL F")</f>
        <v>5KM OVERALL F</v>
      </c>
      <c r="E848" s="1">
        <f>IFERROR(__xludf.DUMMYFUNCTION("""COMPUTED_VALUE"""),151.0)</f>
        <v>151</v>
      </c>
      <c r="F848" s="1" t="str">
        <f>IFERROR(__xludf.DUMMYFUNCTION("""COMPUTED_VALUE"""),"Female")</f>
        <v>Female</v>
      </c>
      <c r="G848" s="5">
        <f>IFERROR(__xludf.DUMMYFUNCTION("""COMPUTED_VALUE"""),0.006819129629629629)</f>
        <v>0.00681912963</v>
      </c>
      <c r="H848" s="15">
        <f>IFERROR(__xludf.DUMMYFUNCTION("""COMPUTED_VALUE"""),0.2549440625)</f>
        <v>0.2549440625</v>
      </c>
      <c r="I848" s="15">
        <f>IFERROR(__xludf.DUMMYFUNCTION("""COMPUTED_VALUE"""),45949.28903970504)</f>
        <v>45949.28904</v>
      </c>
      <c r="J848" s="15">
        <f>IFERROR(__xludf.DUMMYFUNCTION("""COMPUTED_VALUE"""),45949.03409564254)</f>
        <v>45949.0341</v>
      </c>
      <c r="K848" s="15">
        <f>IFERROR(__xludf.DUMMYFUNCTION("""COMPUTED_VALUE"""),45949.27301974275)</f>
        <v>45949.27302</v>
      </c>
      <c r="L848" s="4"/>
    </row>
    <row r="849">
      <c r="A849" s="1">
        <f>IFERROR(__xludf.DUMMYFUNCTION("""COMPUTED_VALUE"""),848.0)</f>
        <v>848</v>
      </c>
      <c r="B849" s="1">
        <f>IFERROR(__xludf.DUMMYFUNCTION("""COMPUTED_VALUE"""),5902.0)</f>
        <v>5902</v>
      </c>
      <c r="C849" s="2" t="str">
        <f>IFERROR(__xludf.DUMMYFUNCTION("""COMPUTED_VALUE"""),"Edo Chandra")</f>
        <v>Edo Chandra</v>
      </c>
      <c r="D849" s="2" t="str">
        <f>IFERROR(__xludf.DUMMYFUNCTION("""COMPUTED_VALUE"""),"5KM OVERALL M")</f>
        <v>5KM OVERALL M</v>
      </c>
      <c r="E849" s="1">
        <f>IFERROR(__xludf.DUMMYFUNCTION("""COMPUTED_VALUE"""),539.0)</f>
        <v>539</v>
      </c>
      <c r="F849" s="1" t="str">
        <f>IFERROR(__xludf.DUMMYFUNCTION("""COMPUTED_VALUE"""),"Male")</f>
        <v>Male</v>
      </c>
      <c r="G849" s="5">
        <f>IFERROR(__xludf.DUMMYFUNCTION("""COMPUTED_VALUE"""),0.006822081018518519)</f>
        <v>0.006822081019</v>
      </c>
      <c r="H849" s="15">
        <f>IFERROR(__xludf.DUMMYFUNCTION("""COMPUTED_VALUE"""),0.2549440625)</f>
        <v>0.2549440625</v>
      </c>
      <c r="I849" s="15">
        <f>IFERROR(__xludf.DUMMYFUNCTION("""COMPUTED_VALUE"""),45949.28905446777)</f>
        <v>45949.28905</v>
      </c>
      <c r="J849" s="15">
        <f>IFERROR(__xludf.DUMMYFUNCTION("""COMPUTED_VALUE"""),45949.03411040527)</f>
        <v>45949.03411</v>
      </c>
      <c r="K849" s="15">
        <f>IFERROR(__xludf.DUMMYFUNCTION("""COMPUTED_VALUE"""),45949.276516362734)</f>
        <v>45949.27652</v>
      </c>
      <c r="L849" s="4"/>
    </row>
    <row r="850">
      <c r="A850" s="1">
        <f>IFERROR(__xludf.DUMMYFUNCTION("""COMPUTED_VALUE"""),849.0)</f>
        <v>849</v>
      </c>
      <c r="B850" s="1">
        <f>IFERROR(__xludf.DUMMYFUNCTION("""COMPUTED_VALUE"""),5075.0)</f>
        <v>5075</v>
      </c>
      <c r="C850" s="2" t="str">
        <f>IFERROR(__xludf.DUMMYFUNCTION("""COMPUTED_VALUE"""),"atkia")</f>
        <v>atkia</v>
      </c>
      <c r="D850" s="2" t="str">
        <f>IFERROR(__xludf.DUMMYFUNCTION("""COMPUTED_VALUE"""),"5KM OVERALL F")</f>
        <v>5KM OVERALL F</v>
      </c>
      <c r="E850" s="1">
        <f>IFERROR(__xludf.DUMMYFUNCTION("""COMPUTED_VALUE"""),152.0)</f>
        <v>152</v>
      </c>
      <c r="F850" s="1" t="str">
        <f>IFERROR(__xludf.DUMMYFUNCTION("""COMPUTED_VALUE"""),"Female")</f>
        <v>Female</v>
      </c>
      <c r="G850" s="5">
        <f>IFERROR(__xludf.DUMMYFUNCTION("""COMPUTED_VALUE"""),0.006823988425925927)</f>
        <v>0.006823988426</v>
      </c>
      <c r="H850" s="15">
        <f>IFERROR(__xludf.DUMMYFUNCTION("""COMPUTED_VALUE"""),0.2549440625)</f>
        <v>0.2549440625</v>
      </c>
      <c r="I850" s="15">
        <f>IFERROR(__xludf.DUMMYFUNCTION("""COMPUTED_VALUE"""),45949.28906401012)</f>
        <v>45949.28906</v>
      </c>
      <c r="J850" s="15">
        <f>IFERROR(__xludf.DUMMYFUNCTION("""COMPUTED_VALUE"""),45949.03411994762)</f>
        <v>45949.03412</v>
      </c>
      <c r="K850" s="15">
        <f>IFERROR(__xludf.DUMMYFUNCTION("""COMPUTED_VALUE"""),45949.27527675285)</f>
        <v>45949.27528</v>
      </c>
      <c r="L850" s="4"/>
    </row>
    <row r="851">
      <c r="A851" s="1">
        <f>IFERROR(__xludf.DUMMYFUNCTION("""COMPUTED_VALUE"""),850.0)</f>
        <v>850</v>
      </c>
      <c r="B851" s="1">
        <f>IFERROR(__xludf.DUMMYFUNCTION("""COMPUTED_VALUE"""),6456.0)</f>
        <v>6456</v>
      </c>
      <c r="C851" s="2" t="str">
        <f>IFERROR(__xludf.DUMMYFUNCTION("""COMPUTED_VALUE"""),"-")</f>
        <v>-</v>
      </c>
      <c r="D851" s="2" t="str">
        <f>IFERROR(__xludf.DUMMYFUNCTION("""COMPUTED_VALUE"""),"5KM OVERALL M")</f>
        <v>5KM OVERALL M</v>
      </c>
      <c r="E851" s="1">
        <f>IFERROR(__xludf.DUMMYFUNCTION("""COMPUTED_VALUE"""),540.0)</f>
        <v>540</v>
      </c>
      <c r="F851" s="1" t="str">
        <f>IFERROR(__xludf.DUMMYFUNCTION("""COMPUTED_VALUE"""),"Male")</f>
        <v>Male</v>
      </c>
      <c r="G851" s="5">
        <f>IFERROR(__xludf.DUMMYFUNCTION("""COMPUTED_VALUE"""),0.006835805555555556)</f>
        <v>0.006835805556</v>
      </c>
      <c r="H851" s="15">
        <f>IFERROR(__xludf.DUMMYFUNCTION("""COMPUTED_VALUE"""),0.2549440625)</f>
        <v>0.2549440625</v>
      </c>
      <c r="I851" s="15">
        <f>IFERROR(__xludf.DUMMYFUNCTION("""COMPUTED_VALUE"""),45949.28912309443)</f>
        <v>45949.28912</v>
      </c>
      <c r="J851" s="15">
        <f>IFERROR(__xludf.DUMMYFUNCTION("""COMPUTED_VALUE"""),45949.03417903193)</f>
        <v>45949.03418</v>
      </c>
      <c r="K851" s="15">
        <f>IFERROR(__xludf.DUMMYFUNCTION("""COMPUTED_VALUE"""),45950.27545138889)</f>
        <v>45950.27545</v>
      </c>
      <c r="L851" s="4" t="str">
        <f>IFERROR(__xludf.DUMMYFUNCTION("""COMPUTED_VALUE"""),"C")</f>
        <v>C</v>
      </c>
    </row>
    <row r="852">
      <c r="A852" s="1">
        <f>IFERROR(__xludf.DUMMYFUNCTION("""COMPUTED_VALUE"""),851.0)</f>
        <v>851</v>
      </c>
      <c r="B852" s="7" t="str">
        <f>IFERROR(__xludf.DUMMYFUNCTION("""COMPUTED_VALUE"""),"7171")</f>
        <v>7171</v>
      </c>
      <c r="C852" s="8" t="str">
        <f>IFERROR(__xludf.DUMMYFUNCTION("""COMPUTED_VALUE"""),"Eka A")</f>
        <v>Eka A</v>
      </c>
      <c r="D852" s="2" t="str">
        <f>IFERROR(__xludf.DUMMYFUNCTION("""COMPUTED_VALUE"""),"5KM MASTER M")</f>
        <v>5KM MASTER M</v>
      </c>
      <c r="E852" s="1">
        <f>IFERROR(__xludf.DUMMYFUNCTION("""COMPUTED_VALUE"""),71.0)</f>
        <v>71</v>
      </c>
      <c r="F852" s="1" t="str">
        <f>IFERROR(__xludf.DUMMYFUNCTION("""COMPUTED_VALUE"""),"Male")</f>
        <v>Male</v>
      </c>
      <c r="G852" s="5">
        <f>IFERROR(__xludf.DUMMYFUNCTION("""COMPUTED_VALUE"""),0.006840666666666667)</f>
        <v>0.006840666667</v>
      </c>
      <c r="H852" s="15">
        <f>IFERROR(__xludf.DUMMYFUNCTION("""COMPUTED_VALUE"""),0.2549440625)</f>
        <v>0.2549440625</v>
      </c>
      <c r="I852" s="15">
        <f>IFERROR(__xludf.DUMMYFUNCTION("""COMPUTED_VALUE"""),45949.28914739687)</f>
        <v>45949.28915</v>
      </c>
      <c r="J852" s="15">
        <f>IFERROR(__xludf.DUMMYFUNCTION("""COMPUTED_VALUE"""),45949.03420333437)</f>
        <v>45949.0342</v>
      </c>
      <c r="K852" s="15">
        <f>IFERROR(__xludf.DUMMYFUNCTION("""COMPUTED_VALUE"""),45949.274342755045)</f>
        <v>45949.27434</v>
      </c>
      <c r="L852" s="4"/>
    </row>
    <row r="853">
      <c r="A853" s="1">
        <f>IFERROR(__xludf.DUMMYFUNCTION("""COMPUTED_VALUE"""),852.0)</f>
        <v>852</v>
      </c>
      <c r="B853" s="1">
        <f>IFERROR(__xludf.DUMMYFUNCTION("""COMPUTED_VALUE"""),5238.0)</f>
        <v>5238</v>
      </c>
      <c r="C853" s="2" t="str">
        <f>IFERROR(__xludf.DUMMYFUNCTION("""COMPUTED_VALUE"""),"INTAN S.P.D")</f>
        <v>INTAN S.P.D</v>
      </c>
      <c r="D853" s="2" t="str">
        <f>IFERROR(__xludf.DUMMYFUNCTION("""COMPUTED_VALUE"""),"5KM OVERALL F")</f>
        <v>5KM OVERALL F</v>
      </c>
      <c r="E853" s="1">
        <f>IFERROR(__xludf.DUMMYFUNCTION("""COMPUTED_VALUE"""),153.0)</f>
        <v>153</v>
      </c>
      <c r="F853" s="1" t="str">
        <f>IFERROR(__xludf.DUMMYFUNCTION("""COMPUTED_VALUE"""),"Female")</f>
        <v>Female</v>
      </c>
      <c r="G853" s="5">
        <f>IFERROR(__xludf.DUMMYFUNCTION("""COMPUTED_VALUE"""),0.006842055555555555)</f>
        <v>0.006842055556</v>
      </c>
      <c r="H853" s="15">
        <f>IFERROR(__xludf.DUMMYFUNCTION("""COMPUTED_VALUE"""),0.2549440625)</f>
        <v>0.2549440625</v>
      </c>
      <c r="I853" s="15">
        <f>IFERROR(__xludf.DUMMYFUNCTION("""COMPUTED_VALUE"""),45949.28915434336)</f>
        <v>45949.28915</v>
      </c>
      <c r="J853" s="15">
        <f>IFERROR(__xludf.DUMMYFUNCTION("""COMPUTED_VALUE"""),45949.03421028086)</f>
        <v>45949.03421</v>
      </c>
      <c r="K853" s="15">
        <f>IFERROR(__xludf.DUMMYFUNCTION("""COMPUTED_VALUE"""),45949.274281155456)</f>
        <v>45949.27428</v>
      </c>
      <c r="L853" s="4"/>
    </row>
    <row r="854">
      <c r="A854" s="1">
        <f>IFERROR(__xludf.DUMMYFUNCTION("""COMPUTED_VALUE"""),853.0)</f>
        <v>853</v>
      </c>
      <c r="B854" s="1">
        <f>IFERROR(__xludf.DUMMYFUNCTION("""COMPUTED_VALUE"""),7039.0)</f>
        <v>7039</v>
      </c>
      <c r="C854" s="2" t="str">
        <f>IFERROR(__xludf.DUMMYFUNCTION("""COMPUTED_VALUE"""),"EKA")</f>
        <v>EKA</v>
      </c>
      <c r="D854" s="2" t="str">
        <f>IFERROR(__xludf.DUMMYFUNCTION("""COMPUTED_VALUE"""),"5KM MASTER F")</f>
        <v>5KM MASTER F</v>
      </c>
      <c r="E854" s="1">
        <f>IFERROR(__xludf.DUMMYFUNCTION("""COMPUTED_VALUE"""),28.0)</f>
        <v>28</v>
      </c>
      <c r="F854" s="1" t="str">
        <f>IFERROR(__xludf.DUMMYFUNCTION("""COMPUTED_VALUE"""),"Female")</f>
        <v>Female</v>
      </c>
      <c r="G854" s="5">
        <f>IFERROR(__xludf.DUMMYFUNCTION("""COMPUTED_VALUE"""),0.0068524722222222225)</f>
        <v>0.006852472222</v>
      </c>
      <c r="H854" s="15">
        <f>IFERROR(__xludf.DUMMYFUNCTION("""COMPUTED_VALUE"""),0.2549440625)</f>
        <v>0.2549440625</v>
      </c>
      <c r="I854" s="15">
        <f>IFERROR(__xludf.DUMMYFUNCTION("""COMPUTED_VALUE"""),45949.28920642177)</f>
        <v>45949.28921</v>
      </c>
      <c r="J854" s="15">
        <f>IFERROR(__xludf.DUMMYFUNCTION("""COMPUTED_VALUE"""),45949.034262359266)</f>
        <v>45949.03426</v>
      </c>
      <c r="K854" s="15">
        <f>IFERROR(__xludf.DUMMYFUNCTION("""COMPUTED_VALUE"""),45949.274826243985)</f>
        <v>45949.27483</v>
      </c>
      <c r="L854" s="4"/>
    </row>
    <row r="855">
      <c r="A855" s="1">
        <f>IFERROR(__xludf.DUMMYFUNCTION("""COMPUTED_VALUE"""),854.0)</f>
        <v>854</v>
      </c>
      <c r="B855" s="1">
        <f>IFERROR(__xludf.DUMMYFUNCTION("""COMPUTED_VALUE"""),5774.0)</f>
        <v>5774</v>
      </c>
      <c r="C855" s="2" t="str">
        <f>IFERROR(__xludf.DUMMYFUNCTION("""COMPUTED_VALUE"""),"teguh")</f>
        <v>teguh</v>
      </c>
      <c r="D855" s="2" t="str">
        <f>IFERROR(__xludf.DUMMYFUNCTION("""COMPUTED_VALUE"""),"5KM OVERALL M")</f>
        <v>5KM OVERALL M</v>
      </c>
      <c r="E855" s="1">
        <f>IFERROR(__xludf.DUMMYFUNCTION("""COMPUTED_VALUE"""),541.0)</f>
        <v>541</v>
      </c>
      <c r="F855" s="1" t="str">
        <f>IFERROR(__xludf.DUMMYFUNCTION("""COMPUTED_VALUE"""),"Male")</f>
        <v>Male</v>
      </c>
      <c r="G855" s="5">
        <f>IFERROR(__xludf.DUMMYFUNCTION("""COMPUTED_VALUE"""),0.006853168981481482)</f>
        <v>0.006853168981</v>
      </c>
      <c r="H855" s="15">
        <f>IFERROR(__xludf.DUMMYFUNCTION("""COMPUTED_VALUE"""),0.2549440625)</f>
        <v>0.2549440625</v>
      </c>
      <c r="I855" s="15">
        <f>IFERROR(__xludf.DUMMYFUNCTION("""COMPUTED_VALUE"""),45949.28920990933)</f>
        <v>45949.28921</v>
      </c>
      <c r="J855" s="15">
        <f>IFERROR(__xludf.DUMMYFUNCTION("""COMPUTED_VALUE"""),45949.03426584683)</f>
        <v>45949.03427</v>
      </c>
      <c r="K855" s="15">
        <f>IFERROR(__xludf.DUMMYFUNCTION("""COMPUTED_VALUE"""),45949.27413085933)</f>
        <v>45949.27413</v>
      </c>
      <c r="L855" s="4"/>
    </row>
    <row r="856">
      <c r="A856" s="1">
        <f>IFERROR(__xludf.DUMMYFUNCTION("""COMPUTED_VALUE"""),855.0)</f>
        <v>855</v>
      </c>
      <c r="B856" s="1">
        <f>IFERROR(__xludf.DUMMYFUNCTION("""COMPUTED_VALUE"""),5846.0)</f>
        <v>5846</v>
      </c>
      <c r="C856" s="2" t="str">
        <f>IFERROR(__xludf.DUMMYFUNCTION("""COMPUTED_VALUE"""),"Rapii Hamdi")</f>
        <v>Rapii Hamdi</v>
      </c>
      <c r="D856" s="2" t="str">
        <f>IFERROR(__xludf.DUMMYFUNCTION("""COMPUTED_VALUE"""),"5KM OVERALL M")</f>
        <v>5KM OVERALL M</v>
      </c>
      <c r="E856" s="1">
        <f>IFERROR(__xludf.DUMMYFUNCTION("""COMPUTED_VALUE"""),542.0)</f>
        <v>542</v>
      </c>
      <c r="F856" s="1" t="str">
        <f>IFERROR(__xludf.DUMMYFUNCTION("""COMPUTED_VALUE"""),"Male")</f>
        <v>Male</v>
      </c>
      <c r="G856" s="5">
        <f>IFERROR(__xludf.DUMMYFUNCTION("""COMPUTED_VALUE"""),0.006855238425925926)</f>
        <v>0.006855238426</v>
      </c>
      <c r="H856" s="15">
        <f>IFERROR(__xludf.DUMMYFUNCTION("""COMPUTED_VALUE"""),0.2549440625)</f>
        <v>0.2549440625</v>
      </c>
      <c r="I856" s="15">
        <f>IFERROR(__xludf.DUMMYFUNCTION("""COMPUTED_VALUE"""),45949.28922025721)</f>
        <v>45949.28922</v>
      </c>
      <c r="J856" s="15">
        <f>IFERROR(__xludf.DUMMYFUNCTION("""COMPUTED_VALUE"""),45949.03427619471)</f>
        <v>45949.03428</v>
      </c>
      <c r="K856" s="15">
        <f>IFERROR(__xludf.DUMMYFUNCTION("""COMPUTED_VALUE"""),45949.27411355164)</f>
        <v>45949.27411</v>
      </c>
      <c r="L856" s="4"/>
    </row>
    <row r="857">
      <c r="A857" s="1">
        <f>IFERROR(__xludf.DUMMYFUNCTION("""COMPUTED_VALUE"""),856.0)</f>
        <v>856</v>
      </c>
      <c r="B857" s="1">
        <f>IFERROR(__xludf.DUMMYFUNCTION("""COMPUTED_VALUE"""),5770.0)</f>
        <v>5770</v>
      </c>
      <c r="C857" s="2" t="str">
        <f>IFERROR(__xludf.DUMMYFUNCTION("""COMPUTED_VALUE"""),"Depy")</f>
        <v>Depy</v>
      </c>
      <c r="D857" s="2" t="str">
        <f>IFERROR(__xludf.DUMMYFUNCTION("""COMPUTED_VALUE"""),"5KM OVERALL M")</f>
        <v>5KM OVERALL M</v>
      </c>
      <c r="E857" s="1">
        <f>IFERROR(__xludf.DUMMYFUNCTION("""COMPUTED_VALUE"""),543.0)</f>
        <v>543</v>
      </c>
      <c r="F857" s="1" t="str">
        <f>IFERROR(__xludf.DUMMYFUNCTION("""COMPUTED_VALUE"""),"Male")</f>
        <v>Male</v>
      </c>
      <c r="G857" s="5">
        <f>IFERROR(__xludf.DUMMYFUNCTION("""COMPUTED_VALUE"""),0.006860113425925926)</f>
        <v>0.006860113426</v>
      </c>
      <c r="H857" s="15">
        <f>IFERROR(__xludf.DUMMYFUNCTION("""COMPUTED_VALUE"""),0.2549440625)</f>
        <v>0.2549440625</v>
      </c>
      <c r="I857" s="15">
        <f>IFERROR(__xludf.DUMMYFUNCTION("""COMPUTED_VALUE"""),45949.28924462481)</f>
        <v>45949.28924</v>
      </c>
      <c r="J857" s="15">
        <f>IFERROR(__xludf.DUMMYFUNCTION("""COMPUTED_VALUE"""),45949.03430056231)</f>
        <v>45949.0343</v>
      </c>
      <c r="K857" s="15">
        <f>IFERROR(__xludf.DUMMYFUNCTION("""COMPUTED_VALUE"""),45949.27551974283)</f>
        <v>45949.27552</v>
      </c>
      <c r="L857" s="4"/>
    </row>
    <row r="858">
      <c r="A858" s="1">
        <f>IFERROR(__xludf.DUMMYFUNCTION("""COMPUTED_VALUE"""),857.0)</f>
        <v>857</v>
      </c>
      <c r="B858" s="1">
        <f>IFERROR(__xludf.DUMMYFUNCTION("""COMPUTED_VALUE"""),5102.0)</f>
        <v>5102</v>
      </c>
      <c r="C858" s="2" t="str">
        <f>IFERROR(__xludf.DUMMYFUNCTION("""COMPUTED_VALUE"""),"Baba Fathan")</f>
        <v>Baba Fathan</v>
      </c>
      <c r="D858" s="2" t="str">
        <f>IFERROR(__xludf.DUMMYFUNCTION("""COMPUTED_VALUE"""),"5KM OVERALL M")</f>
        <v>5KM OVERALL M</v>
      </c>
      <c r="E858" s="1">
        <f>IFERROR(__xludf.DUMMYFUNCTION("""COMPUTED_VALUE"""),544.0)</f>
        <v>544</v>
      </c>
      <c r="F858" s="1" t="str">
        <f>IFERROR(__xludf.DUMMYFUNCTION("""COMPUTED_VALUE"""),"Male")</f>
        <v>Male</v>
      </c>
      <c r="G858" s="5">
        <f>IFERROR(__xludf.DUMMYFUNCTION("""COMPUTED_VALUE"""),0.006862194444444444)</f>
        <v>0.006862194444</v>
      </c>
      <c r="H858" s="15">
        <f>IFERROR(__xludf.DUMMYFUNCTION("""COMPUTED_VALUE"""),0.2549440625)</f>
        <v>0.2549440625</v>
      </c>
      <c r="I858" s="15">
        <f>IFERROR(__xludf.DUMMYFUNCTION("""COMPUTED_VALUE"""),45949.2892550382)</f>
        <v>45949.28926</v>
      </c>
      <c r="J858" s="15">
        <f>IFERROR(__xludf.DUMMYFUNCTION("""COMPUTED_VALUE"""),45949.0343109757)</f>
        <v>45949.03431</v>
      </c>
      <c r="K858" s="15">
        <f>IFERROR(__xludf.DUMMYFUNCTION("""COMPUTED_VALUE"""),45949.27357900365)</f>
        <v>45949.27358</v>
      </c>
      <c r="L858" s="4"/>
    </row>
    <row r="859">
      <c r="A859" s="1">
        <f>IFERROR(__xludf.DUMMYFUNCTION("""COMPUTED_VALUE"""),858.0)</f>
        <v>858</v>
      </c>
      <c r="B859" s="1">
        <f>IFERROR(__xludf.DUMMYFUNCTION("""COMPUTED_VALUE"""),7043.0)</f>
        <v>7043</v>
      </c>
      <c r="C859" s="2" t="str">
        <f>IFERROR(__xludf.DUMMYFUNCTION("""COMPUTED_VALUE"""),"Adhis")</f>
        <v>Adhis</v>
      </c>
      <c r="D859" s="2" t="str">
        <f>IFERROR(__xludf.DUMMYFUNCTION("""COMPUTED_VALUE"""),"5KM MASTER F")</f>
        <v>5KM MASTER F</v>
      </c>
      <c r="E859" s="1">
        <f>IFERROR(__xludf.DUMMYFUNCTION("""COMPUTED_VALUE"""),29.0)</f>
        <v>29</v>
      </c>
      <c r="F859" s="1" t="str">
        <f>IFERROR(__xludf.DUMMYFUNCTION("""COMPUTED_VALUE"""),"Female")</f>
        <v>Female</v>
      </c>
      <c r="G859" s="5">
        <f>IFERROR(__xludf.DUMMYFUNCTION("""COMPUTED_VALUE"""),0.00686357175925926)</f>
        <v>0.006863571759</v>
      </c>
      <c r="H859" s="15">
        <f>IFERROR(__xludf.DUMMYFUNCTION("""COMPUTED_VALUE"""),0.2549440625)</f>
        <v>0.2549440625</v>
      </c>
      <c r="I859" s="15">
        <f>IFERROR(__xludf.DUMMYFUNCTION("""COMPUTED_VALUE"""),45949.28926192344)</f>
        <v>45949.28926</v>
      </c>
      <c r="J859" s="15">
        <f>IFERROR(__xludf.DUMMYFUNCTION("""COMPUTED_VALUE"""),45949.03431786094)</f>
        <v>45949.03432</v>
      </c>
      <c r="K859" s="15">
        <f>IFERROR(__xludf.DUMMYFUNCTION("""COMPUTED_VALUE"""),45949.27465277778)</f>
        <v>45949.27465</v>
      </c>
      <c r="L859" s="4"/>
    </row>
    <row r="860">
      <c r="A860" s="1">
        <f>IFERROR(__xludf.DUMMYFUNCTION("""COMPUTED_VALUE"""),859.0)</f>
        <v>859</v>
      </c>
      <c r="B860" s="1">
        <f>IFERROR(__xludf.DUMMYFUNCTION("""COMPUTED_VALUE"""),5981.0)</f>
        <v>5981</v>
      </c>
      <c r="C860" s="2" t="str">
        <f>IFERROR(__xludf.DUMMYFUNCTION("""COMPUTED_VALUE"""),"IKY")</f>
        <v>IKY</v>
      </c>
      <c r="D860" s="2" t="str">
        <f>IFERROR(__xludf.DUMMYFUNCTION("""COMPUTED_VALUE"""),"5KM OVERALL M")</f>
        <v>5KM OVERALL M</v>
      </c>
      <c r="E860" s="1">
        <f>IFERROR(__xludf.DUMMYFUNCTION("""COMPUTED_VALUE"""),545.0)</f>
        <v>545</v>
      </c>
      <c r="F860" s="1" t="str">
        <f>IFERROR(__xludf.DUMMYFUNCTION("""COMPUTED_VALUE"""),"Male")</f>
        <v>Male</v>
      </c>
      <c r="G860" s="5">
        <f>IFERROR(__xludf.DUMMYFUNCTION("""COMPUTED_VALUE"""),0.006864962962962963)</f>
        <v>0.006864962963</v>
      </c>
      <c r="H860" s="15">
        <f>IFERROR(__xludf.DUMMYFUNCTION("""COMPUTED_VALUE"""),0.2549440625)</f>
        <v>0.2549440625</v>
      </c>
      <c r="I860" s="15">
        <f>IFERROR(__xludf.DUMMYFUNCTION("""COMPUTED_VALUE"""),45949.289268877445)</f>
        <v>45949.28927</v>
      </c>
      <c r="J860" s="15">
        <f>IFERROR(__xludf.DUMMYFUNCTION("""COMPUTED_VALUE"""),45949.034324814944)</f>
        <v>45949.03432</v>
      </c>
      <c r="K860" s="15">
        <f>IFERROR(__xludf.DUMMYFUNCTION("""COMPUTED_VALUE"""),45949.27478756317)</f>
        <v>45949.27479</v>
      </c>
      <c r="L860" s="4"/>
    </row>
    <row r="861">
      <c r="A861" s="1">
        <f>IFERROR(__xludf.DUMMYFUNCTION("""COMPUTED_VALUE"""),860.0)</f>
        <v>860</v>
      </c>
      <c r="B861" s="1">
        <f>IFERROR(__xludf.DUMMYFUNCTION("""COMPUTED_VALUE"""),5716.0)</f>
        <v>5716</v>
      </c>
      <c r="C861" s="2" t="str">
        <f>IFERROR(__xludf.DUMMYFUNCTION("""COMPUTED_VALUE"""),"Saputra R")</f>
        <v>Saputra R</v>
      </c>
      <c r="D861" s="2" t="str">
        <f>IFERROR(__xludf.DUMMYFUNCTION("""COMPUTED_VALUE"""),"5KM OVERALL M")</f>
        <v>5KM OVERALL M</v>
      </c>
      <c r="E861" s="1">
        <f>IFERROR(__xludf.DUMMYFUNCTION("""COMPUTED_VALUE"""),546.0)</f>
        <v>546</v>
      </c>
      <c r="F861" s="1" t="str">
        <f>IFERROR(__xludf.DUMMYFUNCTION("""COMPUTED_VALUE"""),"Male")</f>
        <v>Male</v>
      </c>
      <c r="G861" s="5">
        <f>IFERROR(__xludf.DUMMYFUNCTION("""COMPUTED_VALUE"""),0.006867055555555555)</f>
        <v>0.006867055556</v>
      </c>
      <c r="H861" s="15">
        <f>IFERROR(__xludf.DUMMYFUNCTION("""COMPUTED_VALUE"""),0.2549440625)</f>
        <v>0.2549440625</v>
      </c>
      <c r="I861" s="15">
        <f>IFERROR(__xludf.DUMMYFUNCTION("""COMPUTED_VALUE"""),45949.289279338176)</f>
        <v>45949.28928</v>
      </c>
      <c r="J861" s="15">
        <f>IFERROR(__xludf.DUMMYFUNCTION("""COMPUTED_VALUE"""),45949.034335275675)</f>
        <v>45949.03434</v>
      </c>
      <c r="K861" s="15">
        <f>IFERROR(__xludf.DUMMYFUNCTION("""COMPUTED_VALUE"""),45949.2739676704)</f>
        <v>45949.27397</v>
      </c>
      <c r="L861" s="4"/>
    </row>
    <row r="862">
      <c r="A862" s="1">
        <f>IFERROR(__xludf.DUMMYFUNCTION("""COMPUTED_VALUE"""),861.0)</f>
        <v>861</v>
      </c>
      <c r="B862" s="1">
        <f>IFERROR(__xludf.DUMMYFUNCTION("""COMPUTED_VALUE"""),5451.0)</f>
        <v>5451</v>
      </c>
      <c r="C862" s="2" t="str">
        <f>IFERROR(__xludf.DUMMYFUNCTION("""COMPUTED_VALUE"""),"Regina Dwi")</f>
        <v>Regina Dwi</v>
      </c>
      <c r="D862" s="2" t="str">
        <f>IFERROR(__xludf.DUMMYFUNCTION("""COMPUTED_VALUE"""),"5KM OVERALL F")</f>
        <v>5KM OVERALL F</v>
      </c>
      <c r="E862" s="1">
        <f>IFERROR(__xludf.DUMMYFUNCTION("""COMPUTED_VALUE"""),154.0)</f>
        <v>154</v>
      </c>
      <c r="F862" s="1" t="str">
        <f>IFERROR(__xludf.DUMMYFUNCTION("""COMPUTED_VALUE"""),"Female")</f>
        <v>Female</v>
      </c>
      <c r="G862" s="5">
        <f>IFERROR(__xludf.DUMMYFUNCTION("""COMPUTED_VALUE"""),0.006871222222222221)</f>
        <v>0.006871222222</v>
      </c>
      <c r="H862" s="15">
        <f>IFERROR(__xludf.DUMMYFUNCTION("""COMPUTED_VALUE"""),0.2549440625)</f>
        <v>0.2549440625</v>
      </c>
      <c r="I862" s="15">
        <f>IFERROR(__xludf.DUMMYFUNCTION("""COMPUTED_VALUE"""),45949.28930017728)</f>
        <v>45949.2893</v>
      </c>
      <c r="J862" s="15">
        <f>IFERROR(__xludf.DUMMYFUNCTION("""COMPUTED_VALUE"""),45949.03435611478)</f>
        <v>45949.03436</v>
      </c>
      <c r="K862" s="15">
        <f>IFERROR(__xludf.DUMMYFUNCTION("""COMPUTED_VALUE"""),45949.2744850345)</f>
        <v>45949.27449</v>
      </c>
      <c r="L862" s="4"/>
    </row>
    <row r="863">
      <c r="A863" s="1">
        <f>IFERROR(__xludf.DUMMYFUNCTION("""COMPUTED_VALUE"""),862.0)</f>
        <v>862</v>
      </c>
      <c r="B863" s="1">
        <f>IFERROR(__xludf.DUMMYFUNCTION("""COMPUTED_VALUE"""),5295.0)</f>
        <v>5295</v>
      </c>
      <c r="C863" s="2" t="str">
        <f>IFERROR(__xludf.DUMMYFUNCTION("""COMPUTED_VALUE"""),"Putra Wiguna")</f>
        <v>Putra Wiguna</v>
      </c>
      <c r="D863" s="2" t="str">
        <f>IFERROR(__xludf.DUMMYFUNCTION("""COMPUTED_VALUE"""),"5KM OVERALL M")</f>
        <v>5KM OVERALL M</v>
      </c>
      <c r="E863" s="1">
        <f>IFERROR(__xludf.DUMMYFUNCTION("""COMPUTED_VALUE"""),547.0)</f>
        <v>547</v>
      </c>
      <c r="F863" s="1" t="str">
        <f>IFERROR(__xludf.DUMMYFUNCTION("""COMPUTED_VALUE"""),"Male")</f>
        <v>Male</v>
      </c>
      <c r="G863" s="5">
        <f>IFERROR(__xludf.DUMMYFUNCTION("""COMPUTED_VALUE"""),0.006877472222222222)</f>
        <v>0.006877472222</v>
      </c>
      <c r="H863" s="15">
        <f>IFERROR(__xludf.DUMMYFUNCTION("""COMPUTED_VALUE"""),0.2549440625)</f>
        <v>0.2549440625</v>
      </c>
      <c r="I863" s="15">
        <f>IFERROR(__xludf.DUMMYFUNCTION("""COMPUTED_VALUE"""),45949.28933142287)</f>
        <v>45949.28933</v>
      </c>
      <c r="J863" s="15">
        <f>IFERROR(__xludf.DUMMYFUNCTION("""COMPUTED_VALUE"""),45949.03438736037)</f>
        <v>45949.03439</v>
      </c>
      <c r="K863" s="15">
        <f>IFERROR(__xludf.DUMMYFUNCTION("""COMPUTED_VALUE"""),45949.274821862164)</f>
        <v>45949.27482</v>
      </c>
      <c r="L863" s="4"/>
    </row>
    <row r="864">
      <c r="A864" s="1">
        <f>IFERROR(__xludf.DUMMYFUNCTION("""COMPUTED_VALUE"""),863.0)</f>
        <v>863</v>
      </c>
      <c r="B864" s="7" t="str">
        <f>IFERROR(__xludf.DUMMYFUNCTION("""COMPUTED_VALUE"""),"9019")</f>
        <v>9019</v>
      </c>
      <c r="C864" s="8" t="str">
        <f>IFERROR(__xludf.DUMMYFUNCTION("""COMPUTED_VALUE"""),"Faris Algareza")</f>
        <v>Faris Algareza</v>
      </c>
      <c r="D864" s="2" t="str">
        <f>IFERROR(__xludf.DUMMYFUNCTION("""COMPUTED_VALUE"""),"5KM STUDENT M")</f>
        <v>5KM STUDENT M</v>
      </c>
      <c r="E864" s="1">
        <f>IFERROR(__xludf.DUMMYFUNCTION("""COMPUTED_VALUE"""),56.0)</f>
        <v>56</v>
      </c>
      <c r="F864" s="1" t="str">
        <f>IFERROR(__xludf.DUMMYFUNCTION("""COMPUTED_VALUE"""),"Male")</f>
        <v>Male</v>
      </c>
      <c r="G864" s="5">
        <f>IFERROR(__xludf.DUMMYFUNCTION("""COMPUTED_VALUE"""),0.006878979166666667)</f>
        <v>0.006878979167</v>
      </c>
      <c r="H864" s="15">
        <f>IFERROR(__xludf.DUMMYFUNCTION("""COMPUTED_VALUE"""),0.2549440625)</f>
        <v>0.2549440625</v>
      </c>
      <c r="I864" s="15">
        <f>IFERROR(__xludf.DUMMYFUNCTION("""COMPUTED_VALUE"""),45949.289338953036)</f>
        <v>45949.28934</v>
      </c>
      <c r="J864" s="15">
        <f>IFERROR(__xludf.DUMMYFUNCTION("""COMPUTED_VALUE"""),45949.034394890536)</f>
        <v>45949.03439</v>
      </c>
      <c r="K864" s="15">
        <f>IFERROR(__xludf.DUMMYFUNCTION("""COMPUTED_VALUE"""),45949.273599613814)</f>
        <v>45949.2736</v>
      </c>
      <c r="L864" s="4"/>
    </row>
    <row r="865">
      <c r="A865" s="1">
        <f>IFERROR(__xludf.DUMMYFUNCTION("""COMPUTED_VALUE"""),864.0)</f>
        <v>864</v>
      </c>
      <c r="B865" s="1">
        <f>IFERROR(__xludf.DUMMYFUNCTION("""COMPUTED_VALUE"""),7001.0)</f>
        <v>7001</v>
      </c>
      <c r="C865" s="2" t="str">
        <f>IFERROR(__xludf.DUMMYFUNCTION("""COMPUTED_VALUE"""),"Sisyl")</f>
        <v>Sisyl</v>
      </c>
      <c r="D865" s="2" t="str">
        <f>IFERROR(__xludf.DUMMYFUNCTION("""COMPUTED_VALUE"""),"5KM MASTER F")</f>
        <v>5KM MASTER F</v>
      </c>
      <c r="E865" s="1">
        <f>IFERROR(__xludf.DUMMYFUNCTION("""COMPUTED_VALUE"""),30.0)</f>
        <v>30</v>
      </c>
      <c r="F865" s="1" t="str">
        <f>IFERROR(__xludf.DUMMYFUNCTION("""COMPUTED_VALUE"""),"Female")</f>
        <v>Female</v>
      </c>
      <c r="G865" s="5">
        <f>IFERROR(__xludf.DUMMYFUNCTION("""COMPUTED_VALUE"""),0.006881668981481482)</f>
        <v>0.006881668981</v>
      </c>
      <c r="H865" s="15">
        <f>IFERROR(__xludf.DUMMYFUNCTION("""COMPUTED_VALUE"""),0.2549440625)</f>
        <v>0.2549440625</v>
      </c>
      <c r="I865" s="15">
        <f>IFERROR(__xludf.DUMMYFUNCTION("""COMPUTED_VALUE"""),45949.28935241293)</f>
        <v>45949.28935</v>
      </c>
      <c r="J865" s="15">
        <f>IFERROR(__xludf.DUMMYFUNCTION("""COMPUTED_VALUE"""),45949.03440835043)</f>
        <v>45949.03441</v>
      </c>
      <c r="K865" s="15">
        <f>IFERROR(__xludf.DUMMYFUNCTION("""COMPUTED_VALUE"""),45949.274037115065)</f>
        <v>45949.27404</v>
      </c>
      <c r="L865" s="4"/>
    </row>
    <row r="866">
      <c r="A866" s="1">
        <f>IFERROR(__xludf.DUMMYFUNCTION("""COMPUTED_VALUE"""),865.0)</f>
        <v>865</v>
      </c>
      <c r="B866" s="1">
        <f>IFERROR(__xludf.DUMMYFUNCTION("""COMPUTED_VALUE"""),6434.0)</f>
        <v>6434</v>
      </c>
      <c r="C866" s="2" t="str">
        <f>IFERROR(__xludf.DUMMYFUNCTION("""COMPUTED_VALUE"""),"RICKY")</f>
        <v>RICKY</v>
      </c>
      <c r="D866" s="2" t="str">
        <f>IFERROR(__xludf.DUMMYFUNCTION("""COMPUTED_VALUE"""),"5KM OVERALL M")</f>
        <v>5KM OVERALL M</v>
      </c>
      <c r="E866" s="1">
        <f>IFERROR(__xludf.DUMMYFUNCTION("""COMPUTED_VALUE"""),548.0)</f>
        <v>548</v>
      </c>
      <c r="F866" s="1" t="str">
        <f>IFERROR(__xludf.DUMMYFUNCTION("""COMPUTED_VALUE"""),"Male")</f>
        <v>Male</v>
      </c>
      <c r="G866" s="5">
        <f>IFERROR(__xludf.DUMMYFUNCTION("""COMPUTED_VALUE"""),0.00689968287037037)</f>
        <v>0.00689968287</v>
      </c>
      <c r="H866" s="15">
        <f>IFERROR(__xludf.DUMMYFUNCTION("""COMPUTED_VALUE"""),0.2549440625)</f>
        <v>0.2549440625</v>
      </c>
      <c r="I866" s="15">
        <f>IFERROR(__xludf.DUMMYFUNCTION("""COMPUTED_VALUE"""),45949.28944248103)</f>
        <v>45949.28944</v>
      </c>
      <c r="J866" s="15">
        <f>IFERROR(__xludf.DUMMYFUNCTION("""COMPUTED_VALUE"""),45949.03449841853)</f>
        <v>45949.0345</v>
      </c>
      <c r="K866" s="15">
        <f>IFERROR(__xludf.DUMMYFUNCTION("""COMPUTED_VALUE"""),45949.2736969165)</f>
        <v>45949.2737</v>
      </c>
      <c r="L866" s="4"/>
    </row>
    <row r="867">
      <c r="A867" s="1">
        <f>IFERROR(__xludf.DUMMYFUNCTION("""COMPUTED_VALUE"""),866.0)</f>
        <v>866</v>
      </c>
      <c r="B867" s="1">
        <f>IFERROR(__xludf.DUMMYFUNCTION("""COMPUTED_VALUE"""),5593.0)</f>
        <v>5593</v>
      </c>
      <c r="C867" s="2" t="str">
        <f>IFERROR(__xludf.DUMMYFUNCTION("""COMPUTED_VALUE"""),"Sazz99")</f>
        <v>Sazz99</v>
      </c>
      <c r="D867" s="2" t="str">
        <f>IFERROR(__xludf.DUMMYFUNCTION("""COMPUTED_VALUE"""),"5KM OVERALL M")</f>
        <v>5KM OVERALL M</v>
      </c>
      <c r="E867" s="1">
        <f>IFERROR(__xludf.DUMMYFUNCTION("""COMPUTED_VALUE"""),549.0)</f>
        <v>549</v>
      </c>
      <c r="F867" s="1" t="str">
        <f>IFERROR(__xludf.DUMMYFUNCTION("""COMPUTED_VALUE"""),"Male")</f>
        <v>Male</v>
      </c>
      <c r="G867" s="5">
        <f>IFERROR(__xludf.DUMMYFUNCTION("""COMPUTED_VALUE"""),0.0069107986111111115)</f>
        <v>0.006910798611</v>
      </c>
      <c r="H867" s="15">
        <f>IFERROR(__xludf.DUMMYFUNCTION("""COMPUTED_VALUE"""),0.2549440625)</f>
        <v>0.2549440625</v>
      </c>
      <c r="I867" s="15">
        <f>IFERROR(__xludf.DUMMYFUNCTION("""COMPUTED_VALUE"""),45949.28949805613)</f>
        <v>45949.2895</v>
      </c>
      <c r="J867" s="15">
        <f>IFERROR(__xludf.DUMMYFUNCTION("""COMPUTED_VALUE"""),45949.03455399363)</f>
        <v>45949.03455</v>
      </c>
      <c r="K867" s="15">
        <f>IFERROR(__xludf.DUMMYFUNCTION("""COMPUTED_VALUE"""),45950.275671296295)</f>
        <v>45950.27567</v>
      </c>
      <c r="L867" s="4" t="str">
        <f>IFERROR(__xludf.DUMMYFUNCTION("""COMPUTED_VALUE"""),"C")</f>
        <v>C</v>
      </c>
    </row>
    <row r="868">
      <c r="A868" s="1">
        <f>IFERROR(__xludf.DUMMYFUNCTION("""COMPUTED_VALUE"""),867.0)</f>
        <v>867</v>
      </c>
      <c r="B868" s="7" t="str">
        <f>IFERROR(__xludf.DUMMYFUNCTION("""COMPUTED_VALUE"""),"7160")</f>
        <v>7160</v>
      </c>
      <c r="C868" s="8" t="str">
        <f>IFERROR(__xludf.DUMMYFUNCTION("""COMPUTED_VALUE"""),"EKA HELDA")</f>
        <v>EKA HELDA</v>
      </c>
      <c r="D868" s="2" t="str">
        <f>IFERROR(__xludf.DUMMYFUNCTION("""COMPUTED_VALUE"""),"5KM MASTER F")</f>
        <v>5KM MASTER F</v>
      </c>
      <c r="E868" s="1">
        <f>IFERROR(__xludf.DUMMYFUNCTION("""COMPUTED_VALUE"""),31.0)</f>
        <v>31</v>
      </c>
      <c r="F868" s="1" t="str">
        <f>IFERROR(__xludf.DUMMYFUNCTION("""COMPUTED_VALUE"""),"Female")</f>
        <v>Female</v>
      </c>
      <c r="G868" s="5">
        <f>IFERROR(__xludf.DUMMYFUNCTION("""COMPUTED_VALUE"""),0.006912888888888889)</f>
        <v>0.006912888889</v>
      </c>
      <c r="H868" s="15">
        <f>IFERROR(__xludf.DUMMYFUNCTION("""COMPUTED_VALUE"""),0.2549440625)</f>
        <v>0.2549440625</v>
      </c>
      <c r="I868" s="15">
        <f>IFERROR(__xludf.DUMMYFUNCTION("""COMPUTED_VALUE"""),45949.28950850166)</f>
        <v>45949.28951</v>
      </c>
      <c r="J868" s="15">
        <f>IFERROR(__xludf.DUMMYFUNCTION("""COMPUTED_VALUE"""),45949.03456443916)</f>
        <v>45949.03456</v>
      </c>
      <c r="K868" s="15">
        <f>IFERROR(__xludf.DUMMYFUNCTION("""COMPUTED_VALUE"""),45949.27431907324)</f>
        <v>45949.27432</v>
      </c>
      <c r="L868" s="4"/>
    </row>
    <row r="869">
      <c r="A869" s="1">
        <f>IFERROR(__xludf.DUMMYFUNCTION("""COMPUTED_VALUE"""),868.0)</f>
        <v>868</v>
      </c>
      <c r="B869" s="1">
        <f>IFERROR(__xludf.DUMMYFUNCTION("""COMPUTED_VALUE"""),5742.0)</f>
        <v>5742</v>
      </c>
      <c r="C869" s="2" t="str">
        <f>IFERROR(__xludf.DUMMYFUNCTION("""COMPUTED_VALUE"""),"AYU")</f>
        <v>AYU</v>
      </c>
      <c r="D869" s="2" t="str">
        <f>IFERROR(__xludf.DUMMYFUNCTION("""COMPUTED_VALUE"""),"5KM OVERALL F")</f>
        <v>5KM OVERALL F</v>
      </c>
      <c r="E869" s="1">
        <f>IFERROR(__xludf.DUMMYFUNCTION("""COMPUTED_VALUE"""),155.0)</f>
        <v>155</v>
      </c>
      <c r="F869" s="1" t="str">
        <f>IFERROR(__xludf.DUMMYFUNCTION("""COMPUTED_VALUE"""),"Female")</f>
        <v>Female</v>
      </c>
      <c r="G869" s="5">
        <f>IFERROR(__xludf.DUMMYFUNCTION("""COMPUTED_VALUE"""),0.006914277777777778)</f>
        <v>0.006914277778</v>
      </c>
      <c r="H869" s="15">
        <f>IFERROR(__xludf.DUMMYFUNCTION("""COMPUTED_VALUE"""),0.2549440625)</f>
        <v>0.2549440625</v>
      </c>
      <c r="I869" s="15">
        <f>IFERROR(__xludf.DUMMYFUNCTION("""COMPUTED_VALUE"""),45949.289515448945)</f>
        <v>45949.28952</v>
      </c>
      <c r="J869" s="15">
        <f>IFERROR(__xludf.DUMMYFUNCTION("""COMPUTED_VALUE"""),45949.034571386444)</f>
        <v>45949.03457</v>
      </c>
      <c r="K869" s="15">
        <f>IFERROR(__xludf.DUMMYFUNCTION("""COMPUTED_VALUE"""),45949.27547113365)</f>
        <v>45949.27547</v>
      </c>
      <c r="L869" s="4"/>
    </row>
    <row r="870">
      <c r="A870" s="1">
        <f>IFERROR(__xludf.DUMMYFUNCTION("""COMPUTED_VALUE"""),869.0)</f>
        <v>869</v>
      </c>
      <c r="B870" s="1">
        <f>IFERROR(__xludf.DUMMYFUNCTION("""COMPUTED_VALUE"""),5378.0)</f>
        <v>5378</v>
      </c>
      <c r="C870" s="2" t="str">
        <f>IFERROR(__xludf.DUMMYFUNCTION("""COMPUTED_VALUE"""),"Mah Y.A.E.")</f>
        <v>Mah Y.A.E.</v>
      </c>
      <c r="D870" s="2" t="str">
        <f>IFERROR(__xludf.DUMMYFUNCTION("""COMPUTED_VALUE"""),"5KM OVERALL F")</f>
        <v>5KM OVERALL F</v>
      </c>
      <c r="E870" s="1">
        <f>IFERROR(__xludf.DUMMYFUNCTION("""COMPUTED_VALUE"""),156.0)</f>
        <v>156</v>
      </c>
      <c r="F870" s="1" t="str">
        <f>IFERROR(__xludf.DUMMYFUNCTION("""COMPUTED_VALUE"""),"Female")</f>
        <v>Female</v>
      </c>
      <c r="G870" s="5">
        <f>IFERROR(__xludf.DUMMYFUNCTION("""COMPUTED_VALUE"""),0.006916361111111111)</f>
        <v>0.006916361111</v>
      </c>
      <c r="H870" s="15">
        <f>IFERROR(__xludf.DUMMYFUNCTION("""COMPUTED_VALUE"""),0.2549440625)</f>
        <v>0.2549440625</v>
      </c>
      <c r="I870" s="15">
        <f>IFERROR(__xludf.DUMMYFUNCTION("""COMPUTED_VALUE"""),45949.28952586561)</f>
        <v>45949.28953</v>
      </c>
      <c r="J870" s="15">
        <f>IFERROR(__xludf.DUMMYFUNCTION("""COMPUTED_VALUE"""),45949.03458180311)</f>
        <v>45949.03458</v>
      </c>
      <c r="K870" s="15">
        <f>IFERROR(__xludf.DUMMYFUNCTION("""COMPUTED_VALUE"""),45949.27491904829)</f>
        <v>45949.27492</v>
      </c>
      <c r="L870" s="4"/>
    </row>
    <row r="871">
      <c r="A871" s="1">
        <f>IFERROR(__xludf.DUMMYFUNCTION("""COMPUTED_VALUE"""),870.0)</f>
        <v>870</v>
      </c>
      <c r="B871" s="1">
        <f>IFERROR(__xludf.DUMMYFUNCTION("""COMPUTED_VALUE"""),6403.0)</f>
        <v>6403</v>
      </c>
      <c r="C871" s="2" t="str">
        <f>IFERROR(__xludf.DUMMYFUNCTION("""COMPUTED_VALUE"""),"Hery")</f>
        <v>Hery</v>
      </c>
      <c r="D871" s="2" t="str">
        <f>IFERROR(__xludf.DUMMYFUNCTION("""COMPUTED_VALUE"""),"5KM OVERALL M")</f>
        <v>5KM OVERALL M</v>
      </c>
      <c r="E871" s="1">
        <f>IFERROR(__xludf.DUMMYFUNCTION("""COMPUTED_VALUE"""),550.0)</f>
        <v>550</v>
      </c>
      <c r="F871" s="1" t="str">
        <f>IFERROR(__xludf.DUMMYFUNCTION("""COMPUTED_VALUE"""),"Male")</f>
        <v>Male</v>
      </c>
      <c r="G871" s="5">
        <f>IFERROR(__xludf.DUMMYFUNCTION("""COMPUTED_VALUE"""),0.006920643518518519)</f>
        <v>0.006920643519</v>
      </c>
      <c r="H871" s="15">
        <f>IFERROR(__xludf.DUMMYFUNCTION("""COMPUTED_VALUE"""),0.2549440625)</f>
        <v>0.2549440625</v>
      </c>
      <c r="I871" s="15">
        <f>IFERROR(__xludf.DUMMYFUNCTION("""COMPUTED_VALUE"""),45949.289547279564)</f>
        <v>45949.28955</v>
      </c>
      <c r="J871" s="15">
        <f>IFERROR(__xludf.DUMMYFUNCTION("""COMPUTED_VALUE"""),45949.034603217064)</f>
        <v>45949.0346</v>
      </c>
      <c r="K871" s="15">
        <f>IFERROR(__xludf.DUMMYFUNCTION("""COMPUTED_VALUE"""),45949.27539822717)</f>
        <v>45949.2754</v>
      </c>
      <c r="L871" s="4"/>
    </row>
    <row r="872">
      <c r="A872" s="1">
        <f>IFERROR(__xludf.DUMMYFUNCTION("""COMPUTED_VALUE"""),871.0)</f>
        <v>871</v>
      </c>
      <c r="B872" s="1">
        <f>IFERROR(__xludf.DUMMYFUNCTION("""COMPUTED_VALUE"""),5879.0)</f>
        <v>5879</v>
      </c>
      <c r="C872" s="2" t="str">
        <f>IFERROR(__xludf.DUMMYFUNCTION("""COMPUTED_VALUE"""),"Zaki")</f>
        <v>Zaki</v>
      </c>
      <c r="D872" s="2" t="str">
        <f>IFERROR(__xludf.DUMMYFUNCTION("""COMPUTED_VALUE"""),"5KM OVERALL M")</f>
        <v>5KM OVERALL M</v>
      </c>
      <c r="E872" s="1">
        <f>IFERROR(__xludf.DUMMYFUNCTION("""COMPUTED_VALUE"""),551.0)</f>
        <v>551</v>
      </c>
      <c r="F872" s="1" t="str">
        <f>IFERROR(__xludf.DUMMYFUNCTION("""COMPUTED_VALUE"""),"Male")</f>
        <v>Male</v>
      </c>
      <c r="G872" s="5">
        <f>IFERROR(__xludf.DUMMYFUNCTION("""COMPUTED_VALUE"""),0.006923307870370371)</f>
        <v>0.00692330787</v>
      </c>
      <c r="H872" s="15">
        <f>IFERROR(__xludf.DUMMYFUNCTION("""COMPUTED_VALUE"""),0.2549440625)</f>
        <v>0.2549440625</v>
      </c>
      <c r="I872" s="15">
        <f>IFERROR(__xludf.DUMMYFUNCTION("""COMPUTED_VALUE"""),45949.28956060184)</f>
        <v>45949.28956</v>
      </c>
      <c r="J872" s="15">
        <f>IFERROR(__xludf.DUMMYFUNCTION("""COMPUTED_VALUE"""),45949.03461653934)</f>
        <v>45949.03462</v>
      </c>
      <c r="K872" s="15">
        <f>IFERROR(__xludf.DUMMYFUNCTION("""COMPUTED_VALUE"""),45949.275380924926)</f>
        <v>45949.27538</v>
      </c>
      <c r="L872" s="4"/>
    </row>
    <row r="873">
      <c r="A873" s="1">
        <f>IFERROR(__xludf.DUMMYFUNCTION("""COMPUTED_VALUE"""),872.0)</f>
        <v>872</v>
      </c>
      <c r="B873" s="1">
        <f>IFERROR(__xludf.DUMMYFUNCTION("""COMPUTED_VALUE"""),6372.0)</f>
        <v>6372</v>
      </c>
      <c r="C873" s="2" t="str">
        <f>IFERROR(__xludf.DUMMYFUNCTION("""COMPUTED_VALUE"""),"MAKIAH")</f>
        <v>MAKIAH</v>
      </c>
      <c r="D873" s="2" t="str">
        <f>IFERROR(__xludf.DUMMYFUNCTION("""COMPUTED_VALUE"""),"5KM OVERALL F")</f>
        <v>5KM OVERALL F</v>
      </c>
      <c r="E873" s="1">
        <f>IFERROR(__xludf.DUMMYFUNCTION("""COMPUTED_VALUE"""),157.0)</f>
        <v>157</v>
      </c>
      <c r="F873" s="1" t="str">
        <f>IFERROR(__xludf.DUMMYFUNCTION("""COMPUTED_VALUE"""),"Female")</f>
        <v>Female</v>
      </c>
      <c r="G873" s="5">
        <f>IFERROR(__xludf.DUMMYFUNCTION("""COMPUTED_VALUE"""),0.006928849537037036)</f>
        <v>0.006928849537</v>
      </c>
      <c r="H873" s="15">
        <f>IFERROR(__xludf.DUMMYFUNCTION("""COMPUTED_VALUE"""),0.2549440625)</f>
        <v>0.2549440625</v>
      </c>
      <c r="I873" s="15">
        <f>IFERROR(__xludf.DUMMYFUNCTION("""COMPUTED_VALUE"""),45949.289588310916)</f>
        <v>45949.28959</v>
      </c>
      <c r="J873" s="15">
        <f>IFERROR(__xludf.DUMMYFUNCTION("""COMPUTED_VALUE"""),45949.034644248415)</f>
        <v>45949.03464</v>
      </c>
      <c r="K873" s="15">
        <f>IFERROR(__xludf.DUMMYFUNCTION("""COMPUTED_VALUE"""),45949.27373156029)</f>
        <v>45949.27373</v>
      </c>
      <c r="L873" s="4"/>
    </row>
    <row r="874">
      <c r="A874" s="1">
        <f>IFERROR(__xludf.DUMMYFUNCTION("""COMPUTED_VALUE"""),873.0)</f>
        <v>873</v>
      </c>
      <c r="B874" s="1">
        <f>IFERROR(__xludf.DUMMYFUNCTION("""COMPUTED_VALUE"""),7036.0)</f>
        <v>7036</v>
      </c>
      <c r="C874" s="2" t="str">
        <f>IFERROR(__xludf.DUMMYFUNCTION("""COMPUTED_VALUE"""),"Bagus")</f>
        <v>Bagus</v>
      </c>
      <c r="D874" s="2" t="str">
        <f>IFERROR(__xludf.DUMMYFUNCTION("""COMPUTED_VALUE"""),"5KM MASTER M")</f>
        <v>5KM MASTER M</v>
      </c>
      <c r="E874" s="1">
        <f>IFERROR(__xludf.DUMMYFUNCTION("""COMPUTED_VALUE"""),72.0)</f>
        <v>72</v>
      </c>
      <c r="F874" s="1" t="str">
        <f>IFERROR(__xludf.DUMMYFUNCTION("""COMPUTED_VALUE"""),"Male")</f>
        <v>Male</v>
      </c>
      <c r="G874" s="5">
        <f>IFERROR(__xludf.DUMMYFUNCTION("""COMPUTED_VALUE"""),0.0069344189814814815)</f>
        <v>0.006934418981</v>
      </c>
      <c r="H874" s="15">
        <f>IFERROR(__xludf.DUMMYFUNCTION("""COMPUTED_VALUE"""),0.2549440625)</f>
        <v>0.2549440625</v>
      </c>
      <c r="I874" s="15">
        <f>IFERROR(__xludf.DUMMYFUNCTION("""COMPUTED_VALUE"""),45949.289616157825)</f>
        <v>45949.28962</v>
      </c>
      <c r="J874" s="15">
        <f>IFERROR(__xludf.DUMMYFUNCTION("""COMPUTED_VALUE"""),45949.034672095324)</f>
        <v>45949.03467</v>
      </c>
      <c r="K874" s="15">
        <f>IFERROR(__xludf.DUMMYFUNCTION("""COMPUTED_VALUE"""),45949.275193350615)</f>
        <v>45949.27519</v>
      </c>
      <c r="L874" s="4"/>
    </row>
    <row r="875">
      <c r="A875" s="1">
        <f>IFERROR(__xludf.DUMMYFUNCTION("""COMPUTED_VALUE"""),874.0)</f>
        <v>874</v>
      </c>
      <c r="B875" s="1">
        <f>IFERROR(__xludf.DUMMYFUNCTION("""COMPUTED_VALUE"""),7009.0)</f>
        <v>7009</v>
      </c>
      <c r="C875" s="2" t="str">
        <f>IFERROR(__xludf.DUMMYFUNCTION("""COMPUTED_VALUE"""),"mulyadi")</f>
        <v>mulyadi</v>
      </c>
      <c r="D875" s="2" t="str">
        <f>IFERROR(__xludf.DUMMYFUNCTION("""COMPUTED_VALUE"""),"5KM MASTER M")</f>
        <v>5KM MASTER M</v>
      </c>
      <c r="E875" s="1">
        <f>IFERROR(__xludf.DUMMYFUNCTION("""COMPUTED_VALUE"""),73.0)</f>
        <v>73</v>
      </c>
      <c r="F875" s="1" t="str">
        <f>IFERROR(__xludf.DUMMYFUNCTION("""COMPUTED_VALUE"""),"Male")</f>
        <v>Male</v>
      </c>
      <c r="G875" s="5">
        <f>IFERROR(__xludf.DUMMYFUNCTION("""COMPUTED_VALUE"""),0.006944138888888889)</f>
        <v>0.006944138889</v>
      </c>
      <c r="H875" s="15">
        <f>IFERROR(__xludf.DUMMYFUNCTION("""COMPUTED_VALUE"""),0.2549440625)</f>
        <v>0.2549440625</v>
      </c>
      <c r="I875" s="15">
        <f>IFERROR(__xludf.DUMMYFUNCTION("""COMPUTED_VALUE"""),45949.28966475433)</f>
        <v>45949.28966</v>
      </c>
      <c r="J875" s="15">
        <f>IFERROR(__xludf.DUMMYFUNCTION("""COMPUTED_VALUE"""),45949.03472069183)</f>
        <v>45949.03472</v>
      </c>
      <c r="K875" s="15">
        <f>IFERROR(__xludf.DUMMYFUNCTION("""COMPUTED_VALUE"""),45949.2748322972)</f>
        <v>45949.27483</v>
      </c>
      <c r="L875" s="4"/>
    </row>
    <row r="876">
      <c r="A876" s="1">
        <f>IFERROR(__xludf.DUMMYFUNCTION("""COMPUTED_VALUE"""),875.0)</f>
        <v>875</v>
      </c>
      <c r="B876" s="1">
        <f>IFERROR(__xludf.DUMMYFUNCTION("""COMPUTED_VALUE"""),5090.0)</f>
        <v>5090</v>
      </c>
      <c r="C876" s="2" t="str">
        <f>IFERROR(__xludf.DUMMYFUNCTION("""COMPUTED_VALUE"""),"Marini")</f>
        <v>Marini</v>
      </c>
      <c r="D876" s="2" t="str">
        <f>IFERROR(__xludf.DUMMYFUNCTION("""COMPUTED_VALUE"""),"5KM OVERALL F")</f>
        <v>5KM OVERALL F</v>
      </c>
      <c r="E876" s="1">
        <f>IFERROR(__xludf.DUMMYFUNCTION("""COMPUTED_VALUE"""),158.0)</f>
        <v>158</v>
      </c>
      <c r="F876" s="1" t="str">
        <f>IFERROR(__xludf.DUMMYFUNCTION("""COMPUTED_VALUE"""),"Female")</f>
        <v>Female</v>
      </c>
      <c r="G876" s="5">
        <f>IFERROR(__xludf.DUMMYFUNCTION("""COMPUTED_VALUE"""),0.0069510833333333326)</f>
        <v>0.006951083333</v>
      </c>
      <c r="H876" s="15">
        <f>IFERROR(__xludf.DUMMYFUNCTION("""COMPUTED_VALUE"""),0.2549440625)</f>
        <v>0.2549440625</v>
      </c>
      <c r="I876" s="15">
        <f>IFERROR(__xludf.DUMMYFUNCTION("""COMPUTED_VALUE"""),45949.28969947385)</f>
        <v>45949.2897</v>
      </c>
      <c r="J876" s="15">
        <f>IFERROR(__xludf.DUMMYFUNCTION("""COMPUTED_VALUE"""),45949.03475541135)</f>
        <v>45949.03476</v>
      </c>
      <c r="K876" s="15">
        <f>IFERROR(__xludf.DUMMYFUNCTION("""COMPUTED_VALUE"""),45949.274759561486)</f>
        <v>45949.27476</v>
      </c>
      <c r="L876" s="4"/>
    </row>
    <row r="877">
      <c r="A877" s="1">
        <f>IFERROR(__xludf.DUMMYFUNCTION("""COMPUTED_VALUE"""),876.0)</f>
        <v>876</v>
      </c>
      <c r="B877" s="1">
        <f>IFERROR(__xludf.DUMMYFUNCTION("""COMPUTED_VALUE"""),5025.0)</f>
        <v>5025</v>
      </c>
      <c r="C877" s="2" t="str">
        <f>IFERROR(__xludf.DUMMYFUNCTION("""COMPUTED_VALUE"""),"Fita")</f>
        <v>Fita</v>
      </c>
      <c r="D877" s="2" t="str">
        <f>IFERROR(__xludf.DUMMYFUNCTION("""COMPUTED_VALUE"""),"5KM OVERALL F")</f>
        <v>5KM OVERALL F</v>
      </c>
      <c r="E877" s="1">
        <f>IFERROR(__xludf.DUMMYFUNCTION("""COMPUTED_VALUE"""),159.0)</f>
        <v>159</v>
      </c>
      <c r="F877" s="1" t="str">
        <f>IFERROR(__xludf.DUMMYFUNCTION("""COMPUTED_VALUE"""),"Female")</f>
        <v>Female</v>
      </c>
      <c r="G877" s="5">
        <f>IFERROR(__xludf.DUMMYFUNCTION("""COMPUTED_VALUE"""),0.0069615)</f>
        <v>0.0069615</v>
      </c>
      <c r="H877" s="15">
        <f>IFERROR(__xludf.DUMMYFUNCTION("""COMPUTED_VALUE"""),0.2549440625)</f>
        <v>0.2549440625</v>
      </c>
      <c r="I877" s="15">
        <f>IFERROR(__xludf.DUMMYFUNCTION("""COMPUTED_VALUE"""),45949.2897515659)</f>
        <v>45949.28975</v>
      </c>
      <c r="J877" s="15">
        <f>IFERROR(__xludf.DUMMYFUNCTION("""COMPUTED_VALUE"""),45949.0348075034)</f>
        <v>45949.03481</v>
      </c>
      <c r="K877" s="15">
        <f>IFERROR(__xludf.DUMMYFUNCTION("""COMPUTED_VALUE"""),45949.27536356498)</f>
        <v>45949.27536</v>
      </c>
      <c r="L877" s="4"/>
    </row>
    <row r="878">
      <c r="A878" s="1">
        <f>IFERROR(__xludf.DUMMYFUNCTION("""COMPUTED_VALUE"""),877.0)</f>
        <v>877</v>
      </c>
      <c r="B878" s="1">
        <f>IFERROR(__xludf.DUMMYFUNCTION("""COMPUTED_VALUE"""),6393.0)</f>
        <v>6393</v>
      </c>
      <c r="C878" s="2" t="str">
        <f>IFERROR(__xludf.DUMMYFUNCTION("""COMPUTED_VALUE"""),"Rifqi Mubarok")</f>
        <v>Rifqi Mubarok</v>
      </c>
      <c r="D878" s="2" t="str">
        <f>IFERROR(__xludf.DUMMYFUNCTION("""COMPUTED_VALUE"""),"5KM OVERALL M")</f>
        <v>5KM OVERALL M</v>
      </c>
      <c r="E878" s="1">
        <f>IFERROR(__xludf.DUMMYFUNCTION("""COMPUTED_VALUE"""),552.0)</f>
        <v>552</v>
      </c>
      <c r="F878" s="1" t="str">
        <f>IFERROR(__xludf.DUMMYFUNCTION("""COMPUTED_VALUE"""),"Male")</f>
        <v>Male</v>
      </c>
      <c r="G878" s="5">
        <f>IFERROR(__xludf.DUMMYFUNCTION("""COMPUTED_VALUE"""),0.006961504629629629)</f>
        <v>0.00696150463</v>
      </c>
      <c r="H878" s="15">
        <f>IFERROR(__xludf.DUMMYFUNCTION("""COMPUTED_VALUE"""),0.2549440625)</f>
        <v>0.2549440625</v>
      </c>
      <c r="I878" s="15">
        <f>IFERROR(__xludf.DUMMYFUNCTION("""COMPUTED_VALUE"""),45949.28975158123)</f>
        <v>45949.28975</v>
      </c>
      <c r="J878" s="15">
        <f>IFERROR(__xludf.DUMMYFUNCTION("""COMPUTED_VALUE"""),45949.03480751873)</f>
        <v>45949.03481</v>
      </c>
      <c r="K878" s="15">
        <f>IFERROR(__xludf.DUMMYFUNCTION("""COMPUTED_VALUE"""),45949.27538782573)</f>
        <v>45949.27539</v>
      </c>
      <c r="L878" s="4"/>
    </row>
    <row r="879">
      <c r="A879" s="1">
        <f>IFERROR(__xludf.DUMMYFUNCTION("""COMPUTED_VALUE"""),878.0)</f>
        <v>878</v>
      </c>
      <c r="B879" s="1">
        <f>IFERROR(__xludf.DUMMYFUNCTION("""COMPUTED_VALUE"""),5752.0)</f>
        <v>5752</v>
      </c>
      <c r="C879" s="2" t="str">
        <f>IFERROR(__xludf.DUMMYFUNCTION("""COMPUTED_VALUE"""),"udin")</f>
        <v>udin</v>
      </c>
      <c r="D879" s="2" t="str">
        <f>IFERROR(__xludf.DUMMYFUNCTION("""COMPUTED_VALUE"""),"5KM OVERALL M")</f>
        <v>5KM OVERALL M</v>
      </c>
      <c r="E879" s="1">
        <f>IFERROR(__xludf.DUMMYFUNCTION("""COMPUTED_VALUE"""),553.0)</f>
        <v>553</v>
      </c>
      <c r="F879" s="1" t="str">
        <f>IFERROR(__xludf.DUMMYFUNCTION("""COMPUTED_VALUE"""),"Male")</f>
        <v>Male</v>
      </c>
      <c r="G879" s="5">
        <f>IFERROR(__xludf.DUMMYFUNCTION("""COMPUTED_VALUE"""),0.006963585648148148)</f>
        <v>0.006963585648</v>
      </c>
      <c r="H879" s="15">
        <f>IFERROR(__xludf.DUMMYFUNCTION("""COMPUTED_VALUE"""),0.2549440625)</f>
        <v>0.2549440625</v>
      </c>
      <c r="I879" s="15">
        <f>IFERROR(__xludf.DUMMYFUNCTION("""COMPUTED_VALUE"""),45949.28976198952)</f>
        <v>45949.28976</v>
      </c>
      <c r="J879" s="15">
        <f>IFERROR(__xludf.DUMMYFUNCTION("""COMPUTED_VALUE"""),45949.03481792702)</f>
        <v>45949.03482</v>
      </c>
      <c r="K879" s="15">
        <f>IFERROR(__xludf.DUMMYFUNCTION("""COMPUTED_VALUE"""),45949.27495377846)</f>
        <v>45949.27495</v>
      </c>
      <c r="L879" s="4"/>
    </row>
    <row r="880">
      <c r="A880" s="1">
        <f>IFERROR(__xludf.DUMMYFUNCTION("""COMPUTED_VALUE"""),879.0)</f>
        <v>879</v>
      </c>
      <c r="B880" s="1">
        <f>IFERROR(__xludf.DUMMYFUNCTION("""COMPUTED_VALUE"""),5210.0)</f>
        <v>5210</v>
      </c>
      <c r="C880" s="2" t="str">
        <f>IFERROR(__xludf.DUMMYFUNCTION("""COMPUTED_VALUE"""),"Afif")</f>
        <v>Afif</v>
      </c>
      <c r="D880" s="2" t="str">
        <f>IFERROR(__xludf.DUMMYFUNCTION("""COMPUTED_VALUE"""),"5KM OVERALL M")</f>
        <v>5KM OVERALL M</v>
      </c>
      <c r="E880" s="1">
        <f>IFERROR(__xludf.DUMMYFUNCTION("""COMPUTED_VALUE"""),554.0)</f>
        <v>554</v>
      </c>
      <c r="F880" s="1" t="str">
        <f>IFERROR(__xludf.DUMMYFUNCTION("""COMPUTED_VALUE"""),"Male")</f>
        <v>Male</v>
      </c>
      <c r="G880" s="5">
        <f>IFERROR(__xludf.DUMMYFUNCTION("""COMPUTED_VALUE"""),0.006967055555555555)</f>
        <v>0.006967055556</v>
      </c>
      <c r="H880" s="15">
        <f>IFERROR(__xludf.DUMMYFUNCTION("""COMPUTED_VALUE"""),0.2549440625)</f>
        <v>0.2549440625</v>
      </c>
      <c r="I880" s="15">
        <f>IFERROR(__xludf.DUMMYFUNCTION("""COMPUTED_VALUE"""),45949.28977934441)</f>
        <v>45949.28978</v>
      </c>
      <c r="J880" s="15">
        <f>IFERROR(__xludf.DUMMYFUNCTION("""COMPUTED_VALUE"""),45949.03483528191)</f>
        <v>45949.03484</v>
      </c>
      <c r="K880" s="15">
        <f>IFERROR(__xludf.DUMMYFUNCTION("""COMPUTED_VALUE"""),45949.276245439476)</f>
        <v>45949.27625</v>
      </c>
      <c r="L880" s="4"/>
    </row>
    <row r="881">
      <c r="A881" s="1">
        <f>IFERROR(__xludf.DUMMYFUNCTION("""COMPUTED_VALUE"""),880.0)</f>
        <v>880</v>
      </c>
      <c r="B881" s="1">
        <f>IFERROR(__xludf.DUMMYFUNCTION("""COMPUTED_VALUE"""),5247.0)</f>
        <v>5247</v>
      </c>
      <c r="C881" s="2" t="str">
        <f>IFERROR(__xludf.DUMMYFUNCTION("""COMPUTED_VALUE"""),"Fitrizal SnB")</f>
        <v>Fitrizal SnB</v>
      </c>
      <c r="D881" s="2" t="str">
        <f>IFERROR(__xludf.DUMMYFUNCTION("""COMPUTED_VALUE"""),"5KM OVERALL M")</f>
        <v>5KM OVERALL M</v>
      </c>
      <c r="E881" s="1">
        <f>IFERROR(__xludf.DUMMYFUNCTION("""COMPUTED_VALUE"""),555.0)</f>
        <v>555</v>
      </c>
      <c r="F881" s="1" t="str">
        <f>IFERROR(__xludf.DUMMYFUNCTION("""COMPUTED_VALUE"""),"Male")</f>
        <v>Male</v>
      </c>
      <c r="G881" s="5">
        <f>IFERROR(__xludf.DUMMYFUNCTION("""COMPUTED_VALUE"""),0.006969143518518519)</f>
        <v>0.006969143519</v>
      </c>
      <c r="H881" s="15">
        <f>IFERROR(__xludf.DUMMYFUNCTION("""COMPUTED_VALUE"""),0.2549440625)</f>
        <v>0.2549440625</v>
      </c>
      <c r="I881" s="15">
        <f>IFERROR(__xludf.DUMMYFUNCTION("""COMPUTED_VALUE"""),45949.289789774564)</f>
        <v>45949.28979</v>
      </c>
      <c r="J881" s="15">
        <f>IFERROR(__xludf.DUMMYFUNCTION("""COMPUTED_VALUE"""),45949.03484571206)</f>
        <v>45949.03485</v>
      </c>
      <c r="K881" s="15">
        <f>IFERROR(__xludf.DUMMYFUNCTION("""COMPUTED_VALUE"""),45949.276269755195)</f>
        <v>45949.27627</v>
      </c>
      <c r="L881" s="4"/>
    </row>
    <row r="882">
      <c r="A882" s="1">
        <f>IFERROR(__xludf.DUMMYFUNCTION("""COMPUTED_VALUE"""),881.0)</f>
        <v>881</v>
      </c>
      <c r="B882" s="1">
        <f>IFERROR(__xludf.DUMMYFUNCTION("""COMPUTED_VALUE"""),5279.0)</f>
        <v>5279</v>
      </c>
      <c r="C882" s="2" t="str">
        <f>IFERROR(__xludf.DUMMYFUNCTION("""COMPUTED_VALUE"""),"Dwi")</f>
        <v>Dwi</v>
      </c>
      <c r="D882" s="2" t="str">
        <f>IFERROR(__xludf.DUMMYFUNCTION("""COMPUTED_VALUE"""),"5KM OVERALL M")</f>
        <v>5KM OVERALL M</v>
      </c>
      <c r="E882" s="1">
        <f>IFERROR(__xludf.DUMMYFUNCTION("""COMPUTED_VALUE"""),556.0)</f>
        <v>556</v>
      </c>
      <c r="F882" s="1" t="str">
        <f>IFERROR(__xludf.DUMMYFUNCTION("""COMPUTED_VALUE"""),"Male")</f>
        <v>Male</v>
      </c>
      <c r="G882" s="5">
        <f>IFERROR(__xludf.DUMMYFUNCTION("""COMPUTED_VALUE"""),0.006973999999999999)</f>
        <v>0.006974</v>
      </c>
      <c r="H882" s="15">
        <f>IFERROR(__xludf.DUMMYFUNCTION("""COMPUTED_VALUE"""),0.2549440625)</f>
        <v>0.2549440625</v>
      </c>
      <c r="I882" s="15">
        <f>IFERROR(__xludf.DUMMYFUNCTION("""COMPUTED_VALUE"""),45949.289814067204)</f>
        <v>45949.28981</v>
      </c>
      <c r="J882" s="15">
        <f>IFERROR(__xludf.DUMMYFUNCTION("""COMPUTED_VALUE"""),45949.0348700047)</f>
        <v>45949.03487</v>
      </c>
      <c r="K882" s="15">
        <f>IFERROR(__xludf.DUMMYFUNCTION("""COMPUTED_VALUE"""),45949.27630100105)</f>
        <v>45949.2763</v>
      </c>
      <c r="L882" s="4"/>
    </row>
    <row r="883">
      <c r="A883" s="1">
        <f>IFERROR(__xludf.DUMMYFUNCTION("""COMPUTED_VALUE"""),882.0)</f>
        <v>882</v>
      </c>
      <c r="B883" s="1">
        <f>IFERROR(__xludf.DUMMYFUNCTION("""COMPUTED_VALUE"""),7090.0)</f>
        <v>7090</v>
      </c>
      <c r="C883" s="2" t="str">
        <f>IFERROR(__xludf.DUMMYFUNCTION("""COMPUTED_VALUE"""),"HESTI")</f>
        <v>HESTI</v>
      </c>
      <c r="D883" s="2" t="str">
        <f>IFERROR(__xludf.DUMMYFUNCTION("""COMPUTED_VALUE"""),"5KM MASTER F")</f>
        <v>5KM MASTER F</v>
      </c>
      <c r="E883" s="1">
        <f>IFERROR(__xludf.DUMMYFUNCTION("""COMPUTED_VALUE"""),32.0)</f>
        <v>32</v>
      </c>
      <c r="F883" s="1" t="str">
        <f>IFERROR(__xludf.DUMMYFUNCTION("""COMPUTED_VALUE"""),"Female")</f>
        <v>Female</v>
      </c>
      <c r="G883" s="5">
        <f>IFERROR(__xludf.DUMMYFUNCTION("""COMPUTED_VALUE"""),0.0069746967592592595)</f>
        <v>0.006974696759</v>
      </c>
      <c r="H883" s="15">
        <f>IFERROR(__xludf.DUMMYFUNCTION("""COMPUTED_VALUE"""),0.2549440625)</f>
        <v>0.2549440625</v>
      </c>
      <c r="I883" s="15">
        <f>IFERROR(__xludf.DUMMYFUNCTION("""COMPUTED_VALUE"""),45949.289817548735)</f>
        <v>45949.28982</v>
      </c>
      <c r="J883" s="15">
        <f>IFERROR(__xludf.DUMMYFUNCTION("""COMPUTED_VALUE"""),45949.034873486235)</f>
        <v>45949.03487</v>
      </c>
      <c r="K883" s="15">
        <f>IFERROR(__xludf.DUMMYFUNCTION("""COMPUTED_VALUE"""),45949.27467252699)</f>
        <v>45949.27467</v>
      </c>
      <c r="L883" s="4"/>
    </row>
    <row r="884">
      <c r="A884" s="1">
        <f>IFERROR(__xludf.DUMMYFUNCTION("""COMPUTED_VALUE"""),883.0)</f>
        <v>883</v>
      </c>
      <c r="B884" s="1">
        <f>IFERROR(__xludf.DUMMYFUNCTION("""COMPUTED_VALUE"""),5220.0)</f>
        <v>5220</v>
      </c>
      <c r="C884" s="2" t="str">
        <f>IFERROR(__xludf.DUMMYFUNCTION("""COMPUTED_VALUE"""),"FERRY")</f>
        <v>FERRY</v>
      </c>
      <c r="D884" s="2" t="str">
        <f>IFERROR(__xludf.DUMMYFUNCTION("""COMPUTED_VALUE"""),"5KM OVERALL M")</f>
        <v>5KM OVERALL M</v>
      </c>
      <c r="E884" s="1">
        <f>IFERROR(__xludf.DUMMYFUNCTION("""COMPUTED_VALUE"""),557.0)</f>
        <v>557</v>
      </c>
      <c r="F884" s="1" t="str">
        <f>IFERROR(__xludf.DUMMYFUNCTION("""COMPUTED_VALUE"""),"Male")</f>
        <v>Male</v>
      </c>
      <c r="G884" s="5">
        <f>IFERROR(__xludf.DUMMYFUNCTION("""COMPUTED_VALUE"""),0.0069746967592592595)</f>
        <v>0.006974696759</v>
      </c>
      <c r="H884" s="15">
        <f>IFERROR(__xludf.DUMMYFUNCTION("""COMPUTED_VALUE"""),0.2549440625)</f>
        <v>0.2549440625</v>
      </c>
      <c r="I884" s="15">
        <f>IFERROR(__xludf.DUMMYFUNCTION("""COMPUTED_VALUE"""),45949.289817548735)</f>
        <v>45949.28982</v>
      </c>
      <c r="J884" s="15">
        <f>IFERROR(__xludf.DUMMYFUNCTION("""COMPUTED_VALUE"""),45949.034873486235)</f>
        <v>45949.03487</v>
      </c>
      <c r="K884" s="15">
        <f>IFERROR(__xludf.DUMMYFUNCTION("""COMPUTED_VALUE"""),45949.27630796519)</f>
        <v>45949.27631</v>
      </c>
      <c r="L884" s="4"/>
    </row>
    <row r="885">
      <c r="A885" s="1">
        <f>IFERROR(__xludf.DUMMYFUNCTION("""COMPUTED_VALUE"""),884.0)</f>
        <v>884</v>
      </c>
      <c r="B885" s="1">
        <f>IFERROR(__xludf.DUMMYFUNCTION("""COMPUTED_VALUE"""),5411.0)</f>
        <v>5411</v>
      </c>
      <c r="C885" s="2" t="str">
        <f>IFERROR(__xludf.DUMMYFUNCTION("""COMPUTED_VALUE"""),"Sonya")</f>
        <v>Sonya</v>
      </c>
      <c r="D885" s="2" t="str">
        <f>IFERROR(__xludf.DUMMYFUNCTION("""COMPUTED_VALUE"""),"5KM OVERALL F")</f>
        <v>5KM OVERALL F</v>
      </c>
      <c r="E885" s="1">
        <f>IFERROR(__xludf.DUMMYFUNCTION("""COMPUTED_VALUE"""),160.0)</f>
        <v>160</v>
      </c>
      <c r="F885" s="1" t="str">
        <f>IFERROR(__xludf.DUMMYFUNCTION("""COMPUTED_VALUE"""),"Female")</f>
        <v>Female</v>
      </c>
      <c r="G885" s="5">
        <f>IFERROR(__xludf.DUMMYFUNCTION("""COMPUTED_VALUE"""),0.006980252314814815)</f>
        <v>0.006980252315</v>
      </c>
      <c r="H885" s="15">
        <f>IFERROR(__xludf.DUMMYFUNCTION("""COMPUTED_VALUE"""),0.2549440625)</f>
        <v>0.2549440625</v>
      </c>
      <c r="I885" s="15">
        <f>IFERROR(__xludf.DUMMYFUNCTION("""COMPUTED_VALUE"""),45949.28984532677)</f>
        <v>45949.28985</v>
      </c>
      <c r="J885" s="15">
        <f>IFERROR(__xludf.DUMMYFUNCTION("""COMPUTED_VALUE"""),45949.03490126427)</f>
        <v>45949.0349</v>
      </c>
      <c r="K885" s="15">
        <f>IFERROR(__xludf.DUMMYFUNCTION("""COMPUTED_VALUE"""),45949.274752387)</f>
        <v>45949.27475</v>
      </c>
      <c r="L885" s="4"/>
    </row>
    <row r="886">
      <c r="A886" s="1">
        <f>IFERROR(__xludf.DUMMYFUNCTION("""COMPUTED_VALUE"""),885.0)</f>
        <v>885</v>
      </c>
      <c r="B886" s="1">
        <f>IFERROR(__xludf.DUMMYFUNCTION("""COMPUTED_VALUE"""),5070.0)</f>
        <v>5070</v>
      </c>
      <c r="C886" s="2" t="str">
        <f>IFERROR(__xludf.DUMMYFUNCTION("""COMPUTED_VALUE"""),"Syamsul")</f>
        <v>Syamsul</v>
      </c>
      <c r="D886" s="2" t="str">
        <f>IFERROR(__xludf.DUMMYFUNCTION("""COMPUTED_VALUE"""),"5KM OVERALL M")</f>
        <v>5KM OVERALL M</v>
      </c>
      <c r="E886" s="1">
        <f>IFERROR(__xludf.DUMMYFUNCTION("""COMPUTED_VALUE"""),558.0)</f>
        <v>558</v>
      </c>
      <c r="F886" s="1" t="str">
        <f>IFERROR(__xludf.DUMMYFUNCTION("""COMPUTED_VALUE"""),"Male")</f>
        <v>Male</v>
      </c>
      <c r="G886" s="5">
        <f>IFERROR(__xludf.DUMMYFUNCTION("""COMPUTED_VALUE"""),0.0069871990740740745)</f>
        <v>0.006987199074</v>
      </c>
      <c r="H886" s="15">
        <f>IFERROR(__xludf.DUMMYFUNCTION("""COMPUTED_VALUE"""),0.2549440625)</f>
        <v>0.2549440625</v>
      </c>
      <c r="I886" s="15">
        <f>IFERROR(__xludf.DUMMYFUNCTION("""COMPUTED_VALUE"""),45949.289880052456)</f>
        <v>45949.28988</v>
      </c>
      <c r="J886" s="15">
        <f>IFERROR(__xludf.DUMMYFUNCTION("""COMPUTED_VALUE"""),45949.034935989956)</f>
        <v>45949.03494</v>
      </c>
      <c r="K886" s="15">
        <f>IFERROR(__xludf.DUMMYFUNCTION("""COMPUTED_VALUE"""),45949.27445725516)</f>
        <v>45949.27446</v>
      </c>
      <c r="L886" s="4"/>
    </row>
    <row r="887">
      <c r="A887" s="1">
        <f>IFERROR(__xludf.DUMMYFUNCTION("""COMPUTED_VALUE"""),886.0)</f>
        <v>886</v>
      </c>
      <c r="B887" s="1">
        <f>IFERROR(__xludf.DUMMYFUNCTION("""COMPUTED_VALUE"""),6545.0)</f>
        <v>6545</v>
      </c>
      <c r="C887" s="2" t="str">
        <f>IFERROR(__xludf.DUMMYFUNCTION("""COMPUTED_VALUE"""),"EMA TIAS ARUMSARI")</f>
        <v>EMA TIAS ARUMSARI</v>
      </c>
      <c r="D887" s="2" t="str">
        <f>IFERROR(__xludf.DUMMYFUNCTION("""COMPUTED_VALUE"""),"5KM OVERALL F")</f>
        <v>5KM OVERALL F</v>
      </c>
      <c r="E887" s="1">
        <f>IFERROR(__xludf.DUMMYFUNCTION("""COMPUTED_VALUE"""),161.0)</f>
        <v>161</v>
      </c>
      <c r="F887" s="1" t="str">
        <f>IFERROR(__xludf.DUMMYFUNCTION("""COMPUTED_VALUE"""),"Female")</f>
        <v>Female</v>
      </c>
      <c r="G887" s="5">
        <f>IFERROR(__xludf.DUMMYFUNCTION("""COMPUTED_VALUE"""),0.0069982986111111105)</f>
        <v>0.006998298611</v>
      </c>
      <c r="H887" s="15">
        <f>IFERROR(__xludf.DUMMYFUNCTION("""COMPUTED_VALUE"""),0.2549440625)</f>
        <v>0.2549440625</v>
      </c>
      <c r="I887" s="15">
        <f>IFERROR(__xludf.DUMMYFUNCTION("""COMPUTED_VALUE"""),45949.2899355562)</f>
        <v>45949.28994</v>
      </c>
      <c r="J887" s="15">
        <f>IFERROR(__xludf.DUMMYFUNCTION("""COMPUTED_VALUE"""),45949.034991493696)</f>
        <v>45949.03499</v>
      </c>
      <c r="K887" s="15">
        <f>IFERROR(__xludf.DUMMYFUNCTION("""COMPUTED_VALUE"""),45950.27601851852)</f>
        <v>45950.27602</v>
      </c>
      <c r="L887" s="4"/>
    </row>
    <row r="888">
      <c r="A888" s="1">
        <f>IFERROR(__xludf.DUMMYFUNCTION("""COMPUTED_VALUE"""),887.0)</f>
        <v>887</v>
      </c>
      <c r="B888" s="1">
        <f>IFERROR(__xludf.DUMMYFUNCTION("""COMPUTED_VALUE"""),5393.0)</f>
        <v>5393</v>
      </c>
      <c r="C888" s="2" t="str">
        <f>IFERROR(__xludf.DUMMYFUNCTION("""COMPUTED_VALUE"""),"Putera")</f>
        <v>Putera</v>
      </c>
      <c r="D888" s="2" t="str">
        <f>IFERROR(__xludf.DUMMYFUNCTION("""COMPUTED_VALUE"""),"5KM OVERALL M")</f>
        <v>5KM OVERALL M</v>
      </c>
      <c r="E888" s="1">
        <f>IFERROR(__xludf.DUMMYFUNCTION("""COMPUTED_VALUE"""),559.0)</f>
        <v>559</v>
      </c>
      <c r="F888" s="1" t="str">
        <f>IFERROR(__xludf.DUMMYFUNCTION("""COMPUTED_VALUE"""),"Male")</f>
        <v>Male</v>
      </c>
      <c r="G888" s="5">
        <f>IFERROR(__xludf.DUMMYFUNCTION("""COMPUTED_VALUE"""),0.007001777777777778)</f>
        <v>0.007001777778</v>
      </c>
      <c r="H888" s="15">
        <f>IFERROR(__xludf.DUMMYFUNCTION("""COMPUTED_VALUE"""),0.2549440625)</f>
        <v>0.2549440625</v>
      </c>
      <c r="I888" s="15">
        <f>IFERROR(__xludf.DUMMYFUNCTION("""COMPUTED_VALUE"""),45949.28995294902)</f>
        <v>45949.28995</v>
      </c>
      <c r="J888" s="15">
        <f>IFERROR(__xludf.DUMMYFUNCTION("""COMPUTED_VALUE"""),45949.035008886516)</f>
        <v>45949.03501</v>
      </c>
      <c r="K888" s="15">
        <f>IFERROR(__xludf.DUMMYFUNCTION("""COMPUTED_VALUE"""),45949.27497114765)</f>
        <v>45949.27497</v>
      </c>
      <c r="L888" s="4"/>
    </row>
    <row r="889">
      <c r="A889" s="1">
        <f>IFERROR(__xludf.DUMMYFUNCTION("""COMPUTED_VALUE"""),888.0)</f>
        <v>888</v>
      </c>
      <c r="B889" s="1">
        <f>IFERROR(__xludf.DUMMYFUNCTION("""COMPUTED_VALUE"""),5035.0)</f>
        <v>5035</v>
      </c>
      <c r="C889" s="2" t="str">
        <f>IFERROR(__xludf.DUMMYFUNCTION("""COMPUTED_VALUE"""),"Abdul Latif")</f>
        <v>Abdul Latif</v>
      </c>
      <c r="D889" s="2" t="str">
        <f>IFERROR(__xludf.DUMMYFUNCTION("""COMPUTED_VALUE"""),"5KM OVERALL M")</f>
        <v>5KM OVERALL M</v>
      </c>
      <c r="E889" s="1">
        <f>IFERROR(__xludf.DUMMYFUNCTION("""COMPUTED_VALUE"""),560.0)</f>
        <v>560</v>
      </c>
      <c r="F889" s="1" t="str">
        <f>IFERROR(__xludf.DUMMYFUNCTION("""COMPUTED_VALUE"""),"Male")</f>
        <v>Male</v>
      </c>
      <c r="G889" s="5">
        <f>IFERROR(__xludf.DUMMYFUNCTION("""COMPUTED_VALUE"""),0.007003166666666666)</f>
        <v>0.007003166667</v>
      </c>
      <c r="H889" s="15">
        <f>IFERROR(__xludf.DUMMYFUNCTION("""COMPUTED_VALUE"""),0.2549440625)</f>
        <v>0.2549440625</v>
      </c>
      <c r="I889" s="15">
        <f>IFERROR(__xludf.DUMMYFUNCTION("""COMPUTED_VALUE"""),45949.289959896625)</f>
        <v>45949.28996</v>
      </c>
      <c r="J889" s="15">
        <f>IFERROR(__xludf.DUMMYFUNCTION("""COMPUTED_VALUE"""),45949.035015834124)</f>
        <v>45949.03502</v>
      </c>
      <c r="K889" s="15">
        <f>IFERROR(__xludf.DUMMYFUNCTION("""COMPUTED_VALUE"""),45949.27631144444)</f>
        <v>45949.27631</v>
      </c>
      <c r="L889" s="4"/>
    </row>
    <row r="890">
      <c r="A890" s="1">
        <f>IFERROR(__xludf.DUMMYFUNCTION("""COMPUTED_VALUE"""),889.0)</f>
        <v>889</v>
      </c>
      <c r="B890" s="1">
        <f>IFERROR(__xludf.DUMMYFUNCTION("""COMPUTED_VALUE"""),5952.0)</f>
        <v>5952</v>
      </c>
      <c r="C890" s="2" t="str">
        <f>IFERROR(__xludf.DUMMYFUNCTION("""COMPUTED_VALUE"""),"DFL")</f>
        <v>DFL</v>
      </c>
      <c r="D890" s="2" t="str">
        <f>IFERROR(__xludf.DUMMYFUNCTION("""COMPUTED_VALUE"""),"5KM OVERALL F")</f>
        <v>5KM OVERALL F</v>
      </c>
      <c r="E890" s="1">
        <f>IFERROR(__xludf.DUMMYFUNCTION("""COMPUTED_VALUE"""),162.0)</f>
        <v>162</v>
      </c>
      <c r="F890" s="1" t="str">
        <f>IFERROR(__xludf.DUMMYFUNCTION("""COMPUTED_VALUE"""),"Female")</f>
        <v>Female</v>
      </c>
      <c r="G890" s="5">
        <f>IFERROR(__xludf.DUMMYFUNCTION("""COMPUTED_VALUE"""),0.007003861111111111)</f>
        <v>0.007003861111</v>
      </c>
      <c r="H890" s="15">
        <f>IFERROR(__xludf.DUMMYFUNCTION("""COMPUTED_VALUE"""),0.2549440625)</f>
        <v>0.2549440625</v>
      </c>
      <c r="I890" s="15">
        <f>IFERROR(__xludf.DUMMYFUNCTION("""COMPUTED_VALUE"""),45949.28996336419)</f>
        <v>45949.28996</v>
      </c>
      <c r="J890" s="15">
        <f>IFERROR(__xludf.DUMMYFUNCTION("""COMPUTED_VALUE"""),45949.035019301686)</f>
        <v>45949.03502</v>
      </c>
      <c r="K890" s="15">
        <f>IFERROR(__xludf.DUMMYFUNCTION("""COMPUTED_VALUE"""),45949.27671081309)</f>
        <v>45949.27671</v>
      </c>
      <c r="L890" s="4"/>
    </row>
    <row r="891">
      <c r="A891" s="1">
        <f>IFERROR(__xludf.DUMMYFUNCTION("""COMPUTED_VALUE"""),890.0)</f>
        <v>890</v>
      </c>
      <c r="B891" s="7" t="str">
        <f>IFERROR(__xludf.DUMMYFUNCTION("""COMPUTED_VALUE"""),"9052")</f>
        <v>9052</v>
      </c>
      <c r="C891" s="8" t="str">
        <f>IFERROR(__xludf.DUMMYFUNCTION("""COMPUTED_VALUE"""),"Berryl Chalvino")</f>
        <v>Berryl Chalvino</v>
      </c>
      <c r="D891" s="2" t="str">
        <f>IFERROR(__xludf.DUMMYFUNCTION("""COMPUTED_VALUE"""),"5KM STUDENT M")</f>
        <v>5KM STUDENT M</v>
      </c>
      <c r="E891" s="1">
        <f>IFERROR(__xludf.DUMMYFUNCTION("""COMPUTED_VALUE"""),57.0)</f>
        <v>57</v>
      </c>
      <c r="F891" s="1" t="str">
        <f>IFERROR(__xludf.DUMMYFUNCTION("""COMPUTED_VALUE"""),"Male")</f>
        <v>Male</v>
      </c>
      <c r="G891" s="5">
        <f>IFERROR(__xludf.DUMMYFUNCTION("""COMPUTED_VALUE"""),0.007006638888888889)</f>
        <v>0.007006638889</v>
      </c>
      <c r="H891" s="15">
        <f>IFERROR(__xludf.DUMMYFUNCTION("""COMPUTED_VALUE"""),0.2549440625)</f>
        <v>0.2549440625</v>
      </c>
      <c r="I891" s="15">
        <f>IFERROR(__xludf.DUMMYFUNCTION("""COMPUTED_VALUE"""),45949.28997725495)</f>
        <v>45949.28998</v>
      </c>
      <c r="J891" s="15">
        <f>IFERROR(__xludf.DUMMYFUNCTION("""COMPUTED_VALUE"""),45949.03503319245)</f>
        <v>45949.03503</v>
      </c>
      <c r="K891" s="15">
        <f>IFERROR(__xludf.DUMMYFUNCTION("""COMPUTED_VALUE"""),45949.275825375524)</f>
        <v>45949.27583</v>
      </c>
      <c r="L891" s="4"/>
    </row>
    <row r="892">
      <c r="A892" s="1">
        <f>IFERROR(__xludf.DUMMYFUNCTION("""COMPUTED_VALUE"""),891.0)</f>
        <v>891</v>
      </c>
      <c r="B892" s="1">
        <f>IFERROR(__xludf.DUMMYFUNCTION("""COMPUTED_VALUE"""),5027.0)</f>
        <v>5027</v>
      </c>
      <c r="C892" s="2" t="str">
        <f>IFERROR(__xludf.DUMMYFUNCTION("""COMPUTED_VALUE"""),"Devinaa")</f>
        <v>Devinaa</v>
      </c>
      <c r="D892" s="2" t="str">
        <f>IFERROR(__xludf.DUMMYFUNCTION("""COMPUTED_VALUE"""),"5KM OVERALL F")</f>
        <v>5KM OVERALL F</v>
      </c>
      <c r="E892" s="1">
        <f>IFERROR(__xludf.DUMMYFUNCTION("""COMPUTED_VALUE"""),163.0)</f>
        <v>163</v>
      </c>
      <c r="F892" s="1" t="str">
        <f>IFERROR(__xludf.DUMMYFUNCTION("""COMPUTED_VALUE"""),"Female")</f>
        <v>Female</v>
      </c>
      <c r="G892" s="5">
        <f>IFERROR(__xludf.DUMMYFUNCTION("""COMPUTED_VALUE"""),0.007008722222222222)</f>
        <v>0.007008722222</v>
      </c>
      <c r="H892" s="15">
        <f>IFERROR(__xludf.DUMMYFUNCTION("""COMPUTED_VALUE"""),0.2549440625)</f>
        <v>0.2549440625</v>
      </c>
      <c r="I892" s="15">
        <f>IFERROR(__xludf.DUMMYFUNCTION("""COMPUTED_VALUE"""),45949.28998767472)</f>
        <v>45949.28999</v>
      </c>
      <c r="J892" s="15">
        <f>IFERROR(__xludf.DUMMYFUNCTION("""COMPUTED_VALUE"""),45949.03504361222)</f>
        <v>45949.03504</v>
      </c>
      <c r="K892" s="15">
        <f>IFERROR(__xludf.DUMMYFUNCTION("""COMPUTED_VALUE"""),45949.27445377373)</f>
        <v>45949.27445</v>
      </c>
      <c r="L892" s="4"/>
    </row>
    <row r="893">
      <c r="A893" s="1">
        <f>IFERROR(__xludf.DUMMYFUNCTION("""COMPUTED_VALUE"""),892.0)</f>
        <v>892</v>
      </c>
      <c r="B893" s="1">
        <f>IFERROR(__xludf.DUMMYFUNCTION("""COMPUTED_VALUE"""),6114.0)</f>
        <v>6114</v>
      </c>
      <c r="C893" s="2" t="str">
        <f>IFERROR(__xludf.DUMMYFUNCTION("""COMPUTED_VALUE"""),"Mita")</f>
        <v>Mita</v>
      </c>
      <c r="D893" s="2" t="str">
        <f>IFERROR(__xludf.DUMMYFUNCTION("""COMPUTED_VALUE"""),"5KM OVERALL F")</f>
        <v>5KM OVERALL F</v>
      </c>
      <c r="E893" s="1">
        <f>IFERROR(__xludf.DUMMYFUNCTION("""COMPUTED_VALUE"""),164.0)</f>
        <v>164</v>
      </c>
      <c r="F893" s="1" t="str">
        <f>IFERROR(__xludf.DUMMYFUNCTION("""COMPUTED_VALUE"""),"Female")</f>
        <v>Female</v>
      </c>
      <c r="G893" s="5">
        <f>IFERROR(__xludf.DUMMYFUNCTION("""COMPUTED_VALUE"""),0.007014277777777777)</f>
        <v>0.007014277778</v>
      </c>
      <c r="H893" s="15">
        <f>IFERROR(__xludf.DUMMYFUNCTION("""COMPUTED_VALUE"""),0.2549440625)</f>
        <v>0.2549440625</v>
      </c>
      <c r="I893" s="15">
        <f>IFERROR(__xludf.DUMMYFUNCTION("""COMPUTED_VALUE"""),45949.2900154515)</f>
        <v>45949.29002</v>
      </c>
      <c r="J893" s="15">
        <f>IFERROR(__xludf.DUMMYFUNCTION("""COMPUTED_VALUE"""),45949.035071389)</f>
        <v>45949.03507</v>
      </c>
      <c r="K893" s="15">
        <f>IFERROR(__xludf.DUMMYFUNCTION("""COMPUTED_VALUE"""),45949.275294125364)</f>
        <v>45949.27529</v>
      </c>
      <c r="L893" s="4"/>
    </row>
    <row r="894">
      <c r="A894" s="1">
        <f>IFERROR(__xludf.DUMMYFUNCTION("""COMPUTED_VALUE"""),893.0)</f>
        <v>893</v>
      </c>
      <c r="B894" s="1">
        <f>IFERROR(__xludf.DUMMYFUNCTION("""COMPUTED_VALUE"""),5538.0)</f>
        <v>5538</v>
      </c>
      <c r="C894" s="2" t="str">
        <f>IFERROR(__xludf.DUMMYFUNCTION("""COMPUTED_VALUE"""),"fikraaa")</f>
        <v>fikraaa</v>
      </c>
      <c r="D894" s="2" t="str">
        <f>IFERROR(__xludf.DUMMYFUNCTION("""COMPUTED_VALUE"""),"5KM OVERALL M")</f>
        <v>5KM OVERALL M</v>
      </c>
      <c r="E894" s="1">
        <f>IFERROR(__xludf.DUMMYFUNCTION("""COMPUTED_VALUE"""),561.0)</f>
        <v>561</v>
      </c>
      <c r="F894" s="1" t="str">
        <f>IFERROR(__xludf.DUMMYFUNCTION("""COMPUTED_VALUE"""),"Male")</f>
        <v>Male</v>
      </c>
      <c r="G894" s="5">
        <f>IFERROR(__xludf.DUMMYFUNCTION("""COMPUTED_VALUE"""),0.007019141203703704)</f>
        <v>0.007019141204</v>
      </c>
      <c r="H894" s="15">
        <f>IFERROR(__xludf.DUMMYFUNCTION("""COMPUTED_VALUE"""),0.2549440625)</f>
        <v>0.2549440625</v>
      </c>
      <c r="I894" s="15">
        <f>IFERROR(__xludf.DUMMYFUNCTION("""COMPUTED_VALUE"""),45949.290039771186)</f>
        <v>45949.29004</v>
      </c>
      <c r="J894" s="15">
        <f>IFERROR(__xludf.DUMMYFUNCTION("""COMPUTED_VALUE"""),45949.035095708685)</f>
        <v>45949.0351</v>
      </c>
      <c r="K894" s="15">
        <f>IFERROR(__xludf.DUMMYFUNCTION("""COMPUTED_VALUE"""),45949.276412203115)</f>
        <v>45949.27641</v>
      </c>
      <c r="L894" s="4"/>
    </row>
    <row r="895">
      <c r="A895" s="1">
        <f>IFERROR(__xludf.DUMMYFUNCTION("""COMPUTED_VALUE"""),894.0)</f>
        <v>894</v>
      </c>
      <c r="B895" s="1">
        <f>IFERROR(__xludf.DUMMYFUNCTION("""COMPUTED_VALUE"""),6284.0)</f>
        <v>6284</v>
      </c>
      <c r="C895" s="2" t="str">
        <f>IFERROR(__xludf.DUMMYFUNCTION("""COMPUTED_VALUE"""),"Nur Latifah")</f>
        <v>Nur Latifah</v>
      </c>
      <c r="D895" s="2" t="str">
        <f>IFERROR(__xludf.DUMMYFUNCTION("""COMPUTED_VALUE"""),"5KM OVERALL F")</f>
        <v>5KM OVERALL F</v>
      </c>
      <c r="E895" s="1">
        <f>IFERROR(__xludf.DUMMYFUNCTION("""COMPUTED_VALUE"""),165.0)</f>
        <v>165</v>
      </c>
      <c r="F895" s="1" t="str">
        <f>IFERROR(__xludf.DUMMYFUNCTION("""COMPUTED_VALUE"""),"Female")</f>
        <v>Female</v>
      </c>
      <c r="G895" s="5">
        <f>IFERROR(__xludf.DUMMYFUNCTION("""COMPUTED_VALUE"""),0.007023310185185186)</f>
        <v>0.007023310185</v>
      </c>
      <c r="H895" s="15">
        <f>IFERROR(__xludf.DUMMYFUNCTION("""COMPUTED_VALUE"""),0.2549440625)</f>
        <v>0.2549440625</v>
      </c>
      <c r="I895" s="15">
        <f>IFERROR(__xludf.DUMMYFUNCTION("""COMPUTED_VALUE"""),45949.290060613144)</f>
        <v>45949.29006</v>
      </c>
      <c r="J895" s="15">
        <f>IFERROR(__xludf.DUMMYFUNCTION("""COMPUTED_VALUE"""),45949.03511655064)</f>
        <v>45949.03512</v>
      </c>
      <c r="K895" s="15">
        <f>IFERROR(__xludf.DUMMYFUNCTION("""COMPUTED_VALUE"""),45949.27409616017)</f>
        <v>45949.2741</v>
      </c>
      <c r="L895" s="4"/>
    </row>
    <row r="896">
      <c r="A896" s="1">
        <f>IFERROR(__xludf.DUMMYFUNCTION("""COMPUTED_VALUE"""),895.0)</f>
        <v>895</v>
      </c>
      <c r="B896" s="1">
        <f>IFERROR(__xludf.DUMMYFUNCTION("""COMPUTED_VALUE"""),5246.0)</f>
        <v>5246</v>
      </c>
      <c r="C896" s="2" t="str">
        <f>IFERROR(__xludf.DUMMYFUNCTION("""COMPUTED_VALUE"""),"Maulidi Hasbiya Putra DK")</f>
        <v>Maulidi Hasbiya Putra DK</v>
      </c>
      <c r="D896" s="2" t="str">
        <f>IFERROR(__xludf.DUMMYFUNCTION("""COMPUTED_VALUE"""),"5KM OVERALL M")</f>
        <v>5KM OVERALL M</v>
      </c>
      <c r="E896" s="1">
        <f>IFERROR(__xludf.DUMMYFUNCTION("""COMPUTED_VALUE"""),562.0)</f>
        <v>562</v>
      </c>
      <c r="F896" s="1" t="str">
        <f>IFERROR(__xludf.DUMMYFUNCTION("""COMPUTED_VALUE"""),"Male")</f>
        <v>Male</v>
      </c>
      <c r="G896" s="5">
        <f>IFERROR(__xludf.DUMMYFUNCTION("""COMPUTED_VALUE"""),0.007025391203703704)</f>
        <v>0.007025391204</v>
      </c>
      <c r="H896" s="15">
        <f>IFERROR(__xludf.DUMMYFUNCTION("""COMPUTED_VALUE"""),0.2549440625)</f>
        <v>0.2549440625</v>
      </c>
      <c r="I896" s="15">
        <f>IFERROR(__xludf.DUMMYFUNCTION("""COMPUTED_VALUE"""),45949.29007102139)</f>
        <v>45949.29007</v>
      </c>
      <c r="J896" s="15">
        <f>IFERROR(__xludf.DUMMYFUNCTION("""COMPUTED_VALUE"""),45949.03512695889)</f>
        <v>45949.03513</v>
      </c>
      <c r="K896" s="15">
        <f>IFERROR(__xludf.DUMMYFUNCTION("""COMPUTED_VALUE"""),45949.276224600544)</f>
        <v>45949.27622</v>
      </c>
      <c r="L896" s="4"/>
    </row>
    <row r="897">
      <c r="A897" s="1">
        <f>IFERROR(__xludf.DUMMYFUNCTION("""COMPUTED_VALUE"""),896.0)</f>
        <v>896</v>
      </c>
      <c r="B897" s="1">
        <f>IFERROR(__xludf.DUMMYFUNCTION("""COMPUTED_VALUE"""),6109.0)</f>
        <v>6109</v>
      </c>
      <c r="C897" s="2" t="str">
        <f>IFERROR(__xludf.DUMMYFUNCTION("""COMPUTED_VALUE"""),"YOLAN")</f>
        <v>YOLAN</v>
      </c>
      <c r="D897" s="2" t="str">
        <f>IFERROR(__xludf.DUMMYFUNCTION("""COMPUTED_VALUE"""),"5KM OVERALL F")</f>
        <v>5KM OVERALL F</v>
      </c>
      <c r="E897" s="1">
        <f>IFERROR(__xludf.DUMMYFUNCTION("""COMPUTED_VALUE"""),166.0)</f>
        <v>166</v>
      </c>
      <c r="F897" s="1" t="str">
        <f>IFERROR(__xludf.DUMMYFUNCTION("""COMPUTED_VALUE"""),"Female")</f>
        <v>Female</v>
      </c>
      <c r="G897" s="5">
        <f>IFERROR(__xludf.DUMMYFUNCTION("""COMPUTED_VALUE"""),0.007028863425925925)</f>
        <v>0.007028863426</v>
      </c>
      <c r="H897" s="15">
        <f>IFERROR(__xludf.DUMMYFUNCTION("""COMPUTED_VALUE"""),0.2549440625)</f>
        <v>0.2549440625</v>
      </c>
      <c r="I897" s="15">
        <f>IFERROR(__xludf.DUMMYFUNCTION("""COMPUTED_VALUE"""),45949.29008837473)</f>
        <v>45949.29009</v>
      </c>
      <c r="J897" s="15">
        <f>IFERROR(__xludf.DUMMYFUNCTION("""COMPUTED_VALUE"""),45949.03514431223)</f>
        <v>45949.03514</v>
      </c>
      <c r="K897" s="15">
        <f>IFERROR(__xludf.DUMMYFUNCTION("""COMPUTED_VALUE"""),45949.275311403384)</f>
        <v>45949.27531</v>
      </c>
      <c r="L897" s="4"/>
    </row>
    <row r="898">
      <c r="A898" s="1">
        <f>IFERROR(__xludf.DUMMYFUNCTION("""COMPUTED_VALUE"""),897.0)</f>
        <v>897</v>
      </c>
      <c r="B898" s="1">
        <f>IFERROR(__xludf.DUMMYFUNCTION("""COMPUTED_VALUE"""),5318.0)</f>
        <v>5318</v>
      </c>
      <c r="C898" s="2" t="str">
        <f>IFERROR(__xludf.DUMMYFUNCTION("""COMPUTED_VALUE"""),"Isau Bakumpai")</f>
        <v>Isau Bakumpai</v>
      </c>
      <c r="D898" s="2" t="str">
        <f>IFERROR(__xludf.DUMMYFUNCTION("""COMPUTED_VALUE"""),"5KM OVERALL M")</f>
        <v>5KM OVERALL M</v>
      </c>
      <c r="E898" s="1">
        <f>IFERROR(__xludf.DUMMYFUNCTION("""COMPUTED_VALUE"""),563.0)</f>
        <v>563</v>
      </c>
      <c r="F898" s="1" t="str">
        <f>IFERROR(__xludf.DUMMYFUNCTION("""COMPUTED_VALUE"""),"Male")</f>
        <v>Male</v>
      </c>
      <c r="G898" s="5">
        <f>IFERROR(__xludf.DUMMYFUNCTION("""COMPUTED_VALUE"""),0.007033027777777779)</f>
        <v>0.007033027778</v>
      </c>
      <c r="H898" s="15">
        <f>IFERROR(__xludf.DUMMYFUNCTION("""COMPUTED_VALUE"""),0.2549440625)</f>
        <v>0.2549440625</v>
      </c>
      <c r="I898" s="15">
        <f>IFERROR(__xludf.DUMMYFUNCTION("""COMPUTED_VALUE"""),45949.290109206646)</f>
        <v>45949.29011</v>
      </c>
      <c r="J898" s="15">
        <f>IFERROR(__xludf.DUMMYFUNCTION("""COMPUTED_VALUE"""),45949.035165144145)</f>
        <v>45949.03517</v>
      </c>
      <c r="K898" s="15">
        <f>IFERROR(__xludf.DUMMYFUNCTION("""COMPUTED_VALUE"""),45949.274946889804)</f>
        <v>45949.27495</v>
      </c>
      <c r="L898" s="4"/>
    </row>
    <row r="899">
      <c r="A899" s="1">
        <f>IFERROR(__xludf.DUMMYFUNCTION("""COMPUTED_VALUE"""),898.0)</f>
        <v>898</v>
      </c>
      <c r="B899" s="1">
        <f>IFERROR(__xludf.DUMMYFUNCTION("""COMPUTED_VALUE"""),5452.0)</f>
        <v>5452</v>
      </c>
      <c r="C899" s="2" t="str">
        <f>IFERROR(__xludf.DUMMYFUNCTION("""COMPUTED_VALUE"""),"Lina")</f>
        <v>Lina</v>
      </c>
      <c r="D899" s="2" t="str">
        <f>IFERROR(__xludf.DUMMYFUNCTION("""COMPUTED_VALUE"""),"5KM OVERALL F")</f>
        <v>5KM OVERALL F</v>
      </c>
      <c r="E899" s="1">
        <f>IFERROR(__xludf.DUMMYFUNCTION("""COMPUTED_VALUE"""),167.0)</f>
        <v>167</v>
      </c>
      <c r="F899" s="1" t="str">
        <f>IFERROR(__xludf.DUMMYFUNCTION("""COMPUTED_VALUE"""),"Female")</f>
        <v>Female</v>
      </c>
      <c r="G899" s="5">
        <f>IFERROR(__xludf.DUMMYFUNCTION("""COMPUTED_VALUE"""),0.007042763888888889)</f>
        <v>0.007042763889</v>
      </c>
      <c r="H899" s="15">
        <f>IFERROR(__xludf.DUMMYFUNCTION("""COMPUTED_VALUE"""),0.2549440625)</f>
        <v>0.2549440625</v>
      </c>
      <c r="I899" s="15">
        <f>IFERROR(__xludf.DUMMYFUNCTION("""COMPUTED_VALUE"""),45949.290157876196)</f>
        <v>45949.29016</v>
      </c>
      <c r="J899" s="15">
        <f>IFERROR(__xludf.DUMMYFUNCTION("""COMPUTED_VALUE"""),45949.035213813695)</f>
        <v>45949.03521</v>
      </c>
      <c r="K899" s="15">
        <f>IFERROR(__xludf.DUMMYFUNCTION("""COMPUTED_VALUE"""),45949.27451975343)</f>
        <v>45949.27452</v>
      </c>
      <c r="L899" s="4"/>
    </row>
    <row r="900">
      <c r="A900" s="1">
        <f>IFERROR(__xludf.DUMMYFUNCTION("""COMPUTED_VALUE"""),899.0)</f>
        <v>899</v>
      </c>
      <c r="B900" s="1">
        <f>IFERROR(__xludf.DUMMYFUNCTION("""COMPUTED_VALUE"""),6079.0)</f>
        <v>6079</v>
      </c>
      <c r="C900" s="2" t="str">
        <f>IFERROR(__xludf.DUMMYFUNCTION("""COMPUTED_VALUE"""),"prio")</f>
        <v>prio</v>
      </c>
      <c r="D900" s="2" t="str">
        <f>IFERROR(__xludf.DUMMYFUNCTION("""COMPUTED_VALUE"""),"5KM OVERALL M")</f>
        <v>5KM OVERALL M</v>
      </c>
      <c r="E900" s="1">
        <f>IFERROR(__xludf.DUMMYFUNCTION("""COMPUTED_VALUE"""),564.0)</f>
        <v>564</v>
      </c>
      <c r="F900" s="1" t="str">
        <f>IFERROR(__xludf.DUMMYFUNCTION("""COMPUTED_VALUE"""),"Male")</f>
        <v>Male</v>
      </c>
      <c r="G900" s="5">
        <f>IFERROR(__xludf.DUMMYFUNCTION("""COMPUTED_VALUE"""),0.007046222222222222)</f>
        <v>0.007046222222</v>
      </c>
      <c r="H900" s="15">
        <f>IFERROR(__xludf.DUMMYFUNCTION("""COMPUTED_VALUE"""),0.2549440625)</f>
        <v>0.2549440625</v>
      </c>
      <c r="I900" s="15">
        <f>IFERROR(__xludf.DUMMYFUNCTION("""COMPUTED_VALUE"""),45949.290175174836)</f>
        <v>45949.29018</v>
      </c>
      <c r="J900" s="15">
        <f>IFERROR(__xludf.DUMMYFUNCTION("""COMPUTED_VALUE"""),45949.035231112335)</f>
        <v>45949.03523</v>
      </c>
      <c r="K900" s="15">
        <f>IFERROR(__xludf.DUMMYFUNCTION("""COMPUTED_VALUE"""),45949.27492948035)</f>
        <v>45949.27493</v>
      </c>
      <c r="L900" s="4"/>
    </row>
    <row r="901">
      <c r="A901" s="1">
        <f>IFERROR(__xludf.DUMMYFUNCTION("""COMPUTED_VALUE"""),900.0)</f>
        <v>900</v>
      </c>
      <c r="B901" s="1">
        <f>IFERROR(__xludf.DUMMYFUNCTION("""COMPUTED_VALUE"""),6096.0)</f>
        <v>6096</v>
      </c>
      <c r="C901" s="2" t="str">
        <f>IFERROR(__xludf.DUMMYFUNCTION("""COMPUTED_VALUE"""),"Jonson")</f>
        <v>Jonson</v>
      </c>
      <c r="D901" s="2" t="str">
        <f>IFERROR(__xludf.DUMMYFUNCTION("""COMPUTED_VALUE"""),"5KM OVERALL M")</f>
        <v>5KM OVERALL M</v>
      </c>
      <c r="E901" s="1">
        <f>IFERROR(__xludf.DUMMYFUNCTION("""COMPUTED_VALUE"""),565.0)</f>
        <v>565</v>
      </c>
      <c r="F901" s="1" t="str">
        <f>IFERROR(__xludf.DUMMYFUNCTION("""COMPUTED_VALUE"""),"Male")</f>
        <v>Male</v>
      </c>
      <c r="G901" s="5">
        <f>IFERROR(__xludf.DUMMYFUNCTION("""COMPUTED_VALUE"""),0.007048305555555555)</f>
        <v>0.007048305556</v>
      </c>
      <c r="H901" s="15">
        <f>IFERROR(__xludf.DUMMYFUNCTION("""COMPUTED_VALUE"""),0.2549440625)</f>
        <v>0.2549440625</v>
      </c>
      <c r="I901" s="15">
        <f>IFERROR(__xludf.DUMMYFUNCTION("""COMPUTED_VALUE"""),45949.29018559093)</f>
        <v>45949.29019</v>
      </c>
      <c r="J901" s="15">
        <f>IFERROR(__xludf.DUMMYFUNCTION("""COMPUTED_VALUE"""),45949.03524152843)</f>
        <v>45949.03524</v>
      </c>
      <c r="K901" s="15">
        <f>IFERROR(__xludf.DUMMYFUNCTION("""COMPUTED_VALUE"""),45949.2735926735)</f>
        <v>45949.27359</v>
      </c>
      <c r="L901" s="4"/>
    </row>
    <row r="902">
      <c r="A902" s="1">
        <f>IFERROR(__xludf.DUMMYFUNCTION("""COMPUTED_VALUE"""),901.0)</f>
        <v>901</v>
      </c>
      <c r="B902" s="1">
        <f>IFERROR(__xludf.DUMMYFUNCTION("""COMPUTED_VALUE"""),5825.0)</f>
        <v>5825</v>
      </c>
      <c r="C902" s="2" t="str">
        <f>IFERROR(__xludf.DUMMYFUNCTION("""COMPUTED_VALUE"""),"Fadel")</f>
        <v>Fadel</v>
      </c>
      <c r="D902" s="2" t="str">
        <f>IFERROR(__xludf.DUMMYFUNCTION("""COMPUTED_VALUE"""),"5KM OVERALL M")</f>
        <v>5KM OVERALL M</v>
      </c>
      <c r="E902" s="1">
        <f>IFERROR(__xludf.DUMMYFUNCTION("""COMPUTED_VALUE"""),566.0)</f>
        <v>566</v>
      </c>
      <c r="F902" s="1" t="str">
        <f>IFERROR(__xludf.DUMMYFUNCTION("""COMPUTED_VALUE"""),"Male")</f>
        <v>Male</v>
      </c>
      <c r="G902" s="5">
        <f>IFERROR(__xludf.DUMMYFUNCTION("""COMPUTED_VALUE"""),0.007052460648148148)</f>
        <v>0.007052460648</v>
      </c>
      <c r="H902" s="15">
        <f>IFERROR(__xludf.DUMMYFUNCTION("""COMPUTED_VALUE"""),0.2549440625)</f>
        <v>0.2549440625</v>
      </c>
      <c r="I902" s="15">
        <f>IFERROR(__xludf.DUMMYFUNCTION("""COMPUTED_VALUE"""),45949.29020636743)</f>
        <v>45949.29021</v>
      </c>
      <c r="J902" s="15">
        <f>IFERROR(__xludf.DUMMYFUNCTION("""COMPUTED_VALUE"""),45949.035262304926)</f>
        <v>45949.03526</v>
      </c>
      <c r="K902" s="15">
        <f>IFERROR(__xludf.DUMMYFUNCTION("""COMPUTED_VALUE"""),45949.276478085616)</f>
        <v>45949.27648</v>
      </c>
      <c r="L902" s="4"/>
    </row>
    <row r="903">
      <c r="A903" s="1">
        <f>IFERROR(__xludf.DUMMYFUNCTION("""COMPUTED_VALUE"""),902.0)</f>
        <v>902</v>
      </c>
      <c r="B903" s="1">
        <f>IFERROR(__xludf.DUMMYFUNCTION("""COMPUTED_VALUE"""),7096.0)</f>
        <v>7096</v>
      </c>
      <c r="C903" s="2" t="str">
        <f>IFERROR(__xludf.DUMMYFUNCTION("""COMPUTED_VALUE"""),"Vieyaaa")</f>
        <v>Vieyaaa</v>
      </c>
      <c r="D903" s="2" t="str">
        <f>IFERROR(__xludf.DUMMYFUNCTION("""COMPUTED_VALUE"""),"5KM MASTER F")</f>
        <v>5KM MASTER F</v>
      </c>
      <c r="E903" s="1">
        <f>IFERROR(__xludf.DUMMYFUNCTION("""COMPUTED_VALUE"""),33.0)</f>
        <v>33</v>
      </c>
      <c r="F903" s="1" t="str">
        <f>IFERROR(__xludf.DUMMYFUNCTION("""COMPUTED_VALUE"""),"Female")</f>
        <v>Female</v>
      </c>
      <c r="G903" s="5">
        <f>IFERROR(__xludf.DUMMYFUNCTION("""COMPUTED_VALUE"""),0.007057335648148147)</f>
        <v>0.007057335648</v>
      </c>
      <c r="H903" s="15">
        <f>IFERROR(__xludf.DUMMYFUNCTION("""COMPUTED_VALUE"""),0.2549440625)</f>
        <v>0.2549440625</v>
      </c>
      <c r="I903" s="15">
        <f>IFERROR(__xludf.DUMMYFUNCTION("""COMPUTED_VALUE"""),45949.29023074409)</f>
        <v>45949.29023</v>
      </c>
      <c r="J903" s="15">
        <f>IFERROR(__xludf.DUMMYFUNCTION("""COMPUTED_VALUE"""),45949.03528668159)</f>
        <v>45949.03529</v>
      </c>
      <c r="K903" s="15">
        <f>IFERROR(__xludf.DUMMYFUNCTION("""COMPUTED_VALUE"""),45949.27573509333)</f>
        <v>45949.27574</v>
      </c>
      <c r="L903" s="4"/>
    </row>
    <row r="904">
      <c r="A904" s="1">
        <f>IFERROR(__xludf.DUMMYFUNCTION("""COMPUTED_VALUE"""),903.0)</f>
        <v>903</v>
      </c>
      <c r="B904" s="1">
        <f>IFERROR(__xludf.DUMMYFUNCTION("""COMPUTED_VALUE"""),5492.0)</f>
        <v>5492</v>
      </c>
      <c r="C904" s="2" t="str">
        <f>IFERROR(__xludf.DUMMYFUNCTION("""COMPUTED_VALUE"""),"Edo")</f>
        <v>Edo</v>
      </c>
      <c r="D904" s="2" t="str">
        <f>IFERROR(__xludf.DUMMYFUNCTION("""COMPUTED_VALUE"""),"5KM OVERALL M")</f>
        <v>5KM OVERALL M</v>
      </c>
      <c r="E904" s="1">
        <f>IFERROR(__xludf.DUMMYFUNCTION("""COMPUTED_VALUE"""),567.0)</f>
        <v>567</v>
      </c>
      <c r="F904" s="1" t="str">
        <f>IFERROR(__xludf.DUMMYFUNCTION("""COMPUTED_VALUE"""),"Male")</f>
        <v>Male</v>
      </c>
      <c r="G904" s="5">
        <f>IFERROR(__xludf.DUMMYFUNCTION("""COMPUTED_VALUE"""),0.00706080787037037)</f>
        <v>0.00706080787</v>
      </c>
      <c r="H904" s="15">
        <f>IFERROR(__xludf.DUMMYFUNCTION("""COMPUTED_VALUE"""),0.2549440625)</f>
        <v>0.2549440625</v>
      </c>
      <c r="I904" s="15">
        <f>IFERROR(__xludf.DUMMYFUNCTION("""COMPUTED_VALUE"""),45949.290248096164)</f>
        <v>45949.29025</v>
      </c>
      <c r="J904" s="15">
        <f>IFERROR(__xludf.DUMMYFUNCTION("""COMPUTED_VALUE"""),45949.03530403366)</f>
        <v>45949.0353</v>
      </c>
      <c r="K904" s="15">
        <f>IFERROR(__xludf.DUMMYFUNCTION("""COMPUTED_VALUE"""),45949.27396424064)</f>
        <v>45949.27396</v>
      </c>
      <c r="L904" s="4"/>
    </row>
    <row r="905">
      <c r="A905" s="1">
        <f>IFERROR(__xludf.DUMMYFUNCTION("""COMPUTED_VALUE"""),904.0)</f>
        <v>904</v>
      </c>
      <c r="B905" s="1">
        <f>IFERROR(__xludf.DUMMYFUNCTION("""COMPUTED_VALUE"""),6171.0)</f>
        <v>6171</v>
      </c>
      <c r="C905" s="2" t="str">
        <f>IFERROR(__xludf.DUMMYFUNCTION("""COMPUTED_VALUE"""),"Rio Wahyu")</f>
        <v>Rio Wahyu</v>
      </c>
      <c r="D905" s="2" t="str">
        <f>IFERROR(__xludf.DUMMYFUNCTION("""COMPUTED_VALUE"""),"5KM OVERALL M")</f>
        <v>5KM OVERALL M</v>
      </c>
      <c r="E905" s="1">
        <f>IFERROR(__xludf.DUMMYFUNCTION("""COMPUTED_VALUE"""),568.0)</f>
        <v>568</v>
      </c>
      <c r="F905" s="1" t="str">
        <f>IFERROR(__xludf.DUMMYFUNCTION("""COMPUTED_VALUE"""),"Male")</f>
        <v>Male</v>
      </c>
      <c r="G905" s="5">
        <f>IFERROR(__xludf.DUMMYFUNCTION("""COMPUTED_VALUE"""),0.007061500000000001)</f>
        <v>0.0070615</v>
      </c>
      <c r="H905" s="15">
        <f>IFERROR(__xludf.DUMMYFUNCTION("""COMPUTED_VALUE"""),0.2549440625)</f>
        <v>0.2549440625</v>
      </c>
      <c r="I905" s="15">
        <f>IFERROR(__xludf.DUMMYFUNCTION("""COMPUTED_VALUE"""),45949.29025156335)</f>
        <v>45949.29025</v>
      </c>
      <c r="J905" s="15">
        <f>IFERROR(__xludf.DUMMYFUNCTION("""COMPUTED_VALUE"""),45949.035307500846)</f>
        <v>45949.03531</v>
      </c>
      <c r="K905" s="15">
        <f>IFERROR(__xludf.DUMMYFUNCTION("""COMPUTED_VALUE"""),45949.27579759446)</f>
        <v>45949.2758</v>
      </c>
      <c r="L905" s="4"/>
    </row>
    <row r="906">
      <c r="A906" s="1">
        <f>IFERROR(__xludf.DUMMYFUNCTION("""COMPUTED_VALUE"""),905.0)</f>
        <v>905</v>
      </c>
      <c r="B906" s="7" t="str">
        <f>IFERROR(__xludf.DUMMYFUNCTION("""COMPUTED_VALUE"""),"9071")</f>
        <v>9071</v>
      </c>
      <c r="C906" s="8" t="str">
        <f>IFERROR(__xludf.DUMMYFUNCTION("""COMPUTED_VALUE"""),"RAFFAN")</f>
        <v>RAFFAN</v>
      </c>
      <c r="D906" s="2" t="str">
        <f>IFERROR(__xludf.DUMMYFUNCTION("""COMPUTED_VALUE"""),"5KM STUDENT M")</f>
        <v>5KM STUDENT M</v>
      </c>
      <c r="E906" s="1">
        <f>IFERROR(__xludf.DUMMYFUNCTION("""COMPUTED_VALUE"""),58.0)</f>
        <v>58</v>
      </c>
      <c r="F906" s="1" t="str">
        <f>IFERROR(__xludf.DUMMYFUNCTION("""COMPUTED_VALUE"""),"Male")</f>
        <v>Male</v>
      </c>
      <c r="G906" s="5">
        <f>IFERROR(__xludf.DUMMYFUNCTION("""COMPUTED_VALUE"""),0.007069833333333333)</f>
        <v>0.007069833333</v>
      </c>
      <c r="H906" s="15">
        <f>IFERROR(__xludf.DUMMYFUNCTION("""COMPUTED_VALUE"""),0.2549440625)</f>
        <v>0.2549440625</v>
      </c>
      <c r="I906" s="15">
        <f>IFERROR(__xludf.DUMMYFUNCTION("""COMPUTED_VALUE"""),45949.290293231534)</f>
        <v>45949.29029</v>
      </c>
      <c r="J906" s="15">
        <f>IFERROR(__xludf.DUMMYFUNCTION("""COMPUTED_VALUE"""),45949.03534916903)</f>
        <v>45949.03535</v>
      </c>
      <c r="K906" s="15">
        <f>IFERROR(__xludf.DUMMYFUNCTION("""COMPUTED_VALUE"""),45949.275946840135)</f>
        <v>45949.27595</v>
      </c>
      <c r="L906" s="4"/>
    </row>
    <row r="907">
      <c r="A907" s="1">
        <f>IFERROR(__xludf.DUMMYFUNCTION("""COMPUTED_VALUE"""),906.0)</f>
        <v>906</v>
      </c>
      <c r="B907" s="1">
        <f>IFERROR(__xludf.DUMMYFUNCTION("""COMPUTED_VALUE"""),7002.0)</f>
        <v>7002</v>
      </c>
      <c r="C907" s="2" t="str">
        <f>IFERROR(__xludf.DUMMYFUNCTION("""COMPUTED_VALUE"""),"Anik marwati")</f>
        <v>Anik marwati</v>
      </c>
      <c r="D907" s="2" t="str">
        <f>IFERROR(__xludf.DUMMYFUNCTION("""COMPUTED_VALUE"""),"5KM MASTER F")</f>
        <v>5KM MASTER F</v>
      </c>
      <c r="E907" s="1">
        <f>IFERROR(__xludf.DUMMYFUNCTION("""COMPUTED_VALUE"""),34.0)</f>
        <v>34</v>
      </c>
      <c r="F907" s="1" t="str">
        <f>IFERROR(__xludf.DUMMYFUNCTION("""COMPUTED_VALUE"""),"Female")</f>
        <v>Female</v>
      </c>
      <c r="G907" s="5">
        <f>IFERROR(__xludf.DUMMYFUNCTION("""COMPUTED_VALUE"""),0.007072613425925927)</f>
        <v>0.007072613426</v>
      </c>
      <c r="H907" s="15">
        <f>IFERROR(__xludf.DUMMYFUNCTION("""COMPUTED_VALUE"""),0.2549440625)</f>
        <v>0.2549440625</v>
      </c>
      <c r="I907" s="15">
        <f>IFERROR(__xludf.DUMMYFUNCTION("""COMPUTED_VALUE"""),45949.29030712539)</f>
        <v>45949.29031</v>
      </c>
      <c r="J907" s="15">
        <f>IFERROR(__xludf.DUMMYFUNCTION("""COMPUTED_VALUE"""),45949.03536306289)</f>
        <v>45949.03536</v>
      </c>
      <c r="K907" s="15">
        <f>IFERROR(__xludf.DUMMYFUNCTION("""COMPUTED_VALUE"""),45949.274492018674)</f>
        <v>45949.27449</v>
      </c>
      <c r="L907" s="4"/>
    </row>
    <row r="908">
      <c r="A908" s="1">
        <f>IFERROR(__xludf.DUMMYFUNCTION("""COMPUTED_VALUE"""),907.0)</f>
        <v>907</v>
      </c>
      <c r="B908" s="1">
        <f>IFERROR(__xludf.DUMMYFUNCTION("""COMPUTED_VALUE"""),6573.0)</f>
        <v>6573</v>
      </c>
      <c r="C908" s="2" t="str">
        <f>IFERROR(__xludf.DUMMYFUNCTION("""COMPUTED_VALUE"""),"Salsa")</f>
        <v>Salsa</v>
      </c>
      <c r="D908" s="2" t="str">
        <f>IFERROR(__xludf.DUMMYFUNCTION("""COMPUTED_VALUE"""),"5KM OVERALL F")</f>
        <v>5KM OVERALL F</v>
      </c>
      <c r="E908" s="1">
        <f>IFERROR(__xludf.DUMMYFUNCTION("""COMPUTED_VALUE"""),168.0)</f>
        <v>168</v>
      </c>
      <c r="F908" s="1" t="str">
        <f>IFERROR(__xludf.DUMMYFUNCTION("""COMPUTED_VALUE"""),"Female")</f>
        <v>Female</v>
      </c>
      <c r="G908" s="5">
        <f>IFERROR(__xludf.DUMMYFUNCTION("""COMPUTED_VALUE"""),0.007074002314814814)</f>
        <v>0.007074002315</v>
      </c>
      <c r="H908" s="15">
        <f>IFERROR(__xludf.DUMMYFUNCTION("""COMPUTED_VALUE"""),0.2549440625)</f>
        <v>0.2549440625</v>
      </c>
      <c r="I908" s="15">
        <f>IFERROR(__xludf.DUMMYFUNCTION("""COMPUTED_VALUE"""),45949.29031406994)</f>
        <v>45949.29031</v>
      </c>
      <c r="J908" s="15">
        <f>IFERROR(__xludf.DUMMYFUNCTION("""COMPUTED_VALUE"""),45949.03537000744)</f>
        <v>45949.03537</v>
      </c>
      <c r="K908" s="15">
        <f>IFERROR(__xludf.DUMMYFUNCTION("""COMPUTED_VALUE"""),45949.27625932684)</f>
        <v>45949.27626</v>
      </c>
      <c r="L908" s="4"/>
    </row>
    <row r="909">
      <c r="A909" s="1">
        <f>IFERROR(__xludf.DUMMYFUNCTION("""COMPUTED_VALUE"""),908.0)</f>
        <v>908</v>
      </c>
      <c r="B909" s="1">
        <f>IFERROR(__xludf.DUMMYFUNCTION("""COMPUTED_VALUE"""),5788.0)</f>
        <v>5788</v>
      </c>
      <c r="C909" s="2" t="str">
        <f>IFERROR(__xludf.DUMMYFUNCTION("""COMPUTED_VALUE"""),"Nilda")</f>
        <v>Nilda</v>
      </c>
      <c r="D909" s="2" t="str">
        <f>IFERROR(__xludf.DUMMYFUNCTION("""COMPUTED_VALUE"""),"5KM OVERALL F")</f>
        <v>5KM OVERALL F</v>
      </c>
      <c r="E909" s="1">
        <f>IFERROR(__xludf.DUMMYFUNCTION("""COMPUTED_VALUE"""),169.0)</f>
        <v>169</v>
      </c>
      <c r="F909" s="1" t="str">
        <f>IFERROR(__xludf.DUMMYFUNCTION("""COMPUTED_VALUE"""),"Female")</f>
        <v>Female</v>
      </c>
      <c r="G909" s="5">
        <f>IFERROR(__xludf.DUMMYFUNCTION("""COMPUTED_VALUE"""),0.007074006944444444)</f>
        <v>0.007074006944</v>
      </c>
      <c r="H909" s="15">
        <f>IFERROR(__xludf.DUMMYFUNCTION("""COMPUTED_VALUE"""),0.2549440625)</f>
        <v>0.2549440625</v>
      </c>
      <c r="I909" s="15">
        <f>IFERROR(__xludf.DUMMYFUNCTION("""COMPUTED_VALUE"""),45949.29031409999)</f>
        <v>45949.29031</v>
      </c>
      <c r="J909" s="15">
        <f>IFERROR(__xludf.DUMMYFUNCTION("""COMPUTED_VALUE"""),45949.03537003749)</f>
        <v>45949.03537</v>
      </c>
      <c r="K909" s="15">
        <f>IFERROR(__xludf.DUMMYFUNCTION("""COMPUTED_VALUE"""),45949.2751898948)</f>
        <v>45949.27519</v>
      </c>
      <c r="L909" s="4"/>
    </row>
    <row r="910">
      <c r="A910" s="1">
        <f>IFERROR(__xludf.DUMMYFUNCTION("""COMPUTED_VALUE"""),909.0)</f>
        <v>909</v>
      </c>
      <c r="B910" s="1">
        <f>IFERROR(__xludf.DUMMYFUNCTION("""COMPUTED_VALUE"""),5566.0)</f>
        <v>5566</v>
      </c>
      <c r="C910" s="2" t="str">
        <f>IFERROR(__xludf.DUMMYFUNCTION("""COMPUTED_VALUE"""),"KAHF21")</f>
        <v>KAHF21</v>
      </c>
      <c r="D910" s="2" t="str">
        <f>IFERROR(__xludf.DUMMYFUNCTION("""COMPUTED_VALUE"""),"5KM OVERALL M")</f>
        <v>5KM OVERALL M</v>
      </c>
      <c r="E910" s="1">
        <f>IFERROR(__xludf.DUMMYFUNCTION("""COMPUTED_VALUE"""),569.0)</f>
        <v>569</v>
      </c>
      <c r="F910" s="1" t="str">
        <f>IFERROR(__xludf.DUMMYFUNCTION("""COMPUTED_VALUE"""),"Male")</f>
        <v>Male</v>
      </c>
      <c r="G910" s="5">
        <f>IFERROR(__xludf.DUMMYFUNCTION("""COMPUTED_VALUE"""),0.007076085648148149)</f>
        <v>0.007076085648</v>
      </c>
      <c r="H910" s="15">
        <f>IFERROR(__xludf.DUMMYFUNCTION("""COMPUTED_VALUE"""),0.2549440625)</f>
        <v>0.2549440625</v>
      </c>
      <c r="I910" s="15">
        <f>IFERROR(__xludf.DUMMYFUNCTION("""COMPUTED_VALUE"""),45949.29032449285)</f>
        <v>45949.29032</v>
      </c>
      <c r="J910" s="15">
        <f>IFERROR(__xludf.DUMMYFUNCTION("""COMPUTED_VALUE"""),45949.03538043035)</f>
        <v>45949.03538</v>
      </c>
      <c r="K910" s="15">
        <f>IFERROR(__xludf.DUMMYFUNCTION("""COMPUTED_VALUE"""),45949.276516374295)</f>
        <v>45949.27652</v>
      </c>
      <c r="L910" s="4"/>
    </row>
    <row r="911">
      <c r="A911" s="1">
        <f>IFERROR(__xludf.DUMMYFUNCTION("""COMPUTED_VALUE"""),910.0)</f>
        <v>910</v>
      </c>
      <c r="B911" s="1">
        <f>IFERROR(__xludf.DUMMYFUNCTION("""COMPUTED_VALUE"""),5908.0)</f>
        <v>5908</v>
      </c>
      <c r="C911" s="2" t="str">
        <f>IFERROR(__xludf.DUMMYFUNCTION("""COMPUTED_VALUE"""),"Ferry Agung Nugroho")</f>
        <v>Ferry Agung Nugroho</v>
      </c>
      <c r="D911" s="2" t="str">
        <f>IFERROR(__xludf.DUMMYFUNCTION("""COMPUTED_VALUE"""),"5KM OVERALL M")</f>
        <v>5KM OVERALL M</v>
      </c>
      <c r="E911" s="1">
        <f>IFERROR(__xludf.DUMMYFUNCTION("""COMPUTED_VALUE"""),570.0)</f>
        <v>570</v>
      </c>
      <c r="F911" s="1" t="str">
        <f>IFERROR(__xludf.DUMMYFUNCTION("""COMPUTED_VALUE"""),"Male")</f>
        <v>Male</v>
      </c>
      <c r="G911" s="5">
        <f>IFERROR(__xludf.DUMMYFUNCTION("""COMPUTED_VALUE"""),0.007076953703703703)</f>
        <v>0.007076953704</v>
      </c>
      <c r="H911" s="15">
        <f>IFERROR(__xludf.DUMMYFUNCTION("""COMPUTED_VALUE"""),0.2549440625)</f>
        <v>0.2549440625</v>
      </c>
      <c r="I911" s="15">
        <f>IFERROR(__xludf.DUMMYFUNCTION("""COMPUTED_VALUE"""),45949.29032883246)</f>
        <v>45949.29033</v>
      </c>
      <c r="J911" s="15">
        <f>IFERROR(__xludf.DUMMYFUNCTION("""COMPUTED_VALUE"""),45949.03538476996)</f>
        <v>45949.03538</v>
      </c>
      <c r="K911" s="15">
        <f>IFERROR(__xludf.DUMMYFUNCTION("""COMPUTED_VALUE"""),45949.274821885345)</f>
        <v>45949.27482</v>
      </c>
      <c r="L911" s="4"/>
    </row>
    <row r="912">
      <c r="A912" s="1">
        <f>IFERROR(__xludf.DUMMYFUNCTION("""COMPUTED_VALUE"""),911.0)</f>
        <v>911</v>
      </c>
      <c r="B912" s="7" t="str">
        <f>IFERROR(__xludf.DUMMYFUNCTION("""COMPUTED_VALUE"""),"9072")</f>
        <v>9072</v>
      </c>
      <c r="C912" s="8" t="str">
        <f>IFERROR(__xludf.DUMMYFUNCTION("""COMPUTED_VALUE"""),"dyas irawan")</f>
        <v>dyas irawan</v>
      </c>
      <c r="D912" s="2" t="str">
        <f>IFERROR(__xludf.DUMMYFUNCTION("""COMPUTED_VALUE"""),"5KM STUDENT M")</f>
        <v>5KM STUDENT M</v>
      </c>
      <c r="E912" s="1">
        <f>IFERROR(__xludf.DUMMYFUNCTION("""COMPUTED_VALUE"""),59.0)</f>
        <v>59</v>
      </c>
      <c r="F912" s="1" t="str">
        <f>IFERROR(__xludf.DUMMYFUNCTION("""COMPUTED_VALUE"""),"Male")</f>
        <v>Male</v>
      </c>
      <c r="G912" s="5">
        <f>IFERROR(__xludf.DUMMYFUNCTION("""COMPUTED_VALUE"""),0.007078865740740741)</f>
        <v>0.007078865741</v>
      </c>
      <c r="H912" s="15">
        <f>IFERROR(__xludf.DUMMYFUNCTION("""COMPUTED_VALUE"""),0.2549440625)</f>
        <v>0.2549440625</v>
      </c>
      <c r="I912" s="15">
        <f>IFERROR(__xludf.DUMMYFUNCTION("""COMPUTED_VALUE"""),45949.29033838952)</f>
        <v>45949.29034</v>
      </c>
      <c r="J912" s="15">
        <f>IFERROR(__xludf.DUMMYFUNCTION("""COMPUTED_VALUE"""),45949.03539432702)</f>
        <v>45949.03539</v>
      </c>
      <c r="K912" s="15">
        <f>IFERROR(__xludf.DUMMYFUNCTION("""COMPUTED_VALUE"""),45949.275946828544)</f>
        <v>45949.27595</v>
      </c>
      <c r="L912" s="4"/>
    </row>
    <row r="913">
      <c r="A913" s="1">
        <f>IFERROR(__xludf.DUMMYFUNCTION("""COMPUTED_VALUE"""),912.0)</f>
        <v>912</v>
      </c>
      <c r="B913" s="7" t="str">
        <f>IFERROR(__xludf.DUMMYFUNCTION("""COMPUTED_VALUE"""),"9085")</f>
        <v>9085</v>
      </c>
      <c r="C913" s="8" t="str">
        <f>IFERROR(__xludf.DUMMYFUNCTION("""COMPUTED_VALUE"""),"Rafif")</f>
        <v>Rafif</v>
      </c>
      <c r="D913" s="2" t="str">
        <f>IFERROR(__xludf.DUMMYFUNCTION("""COMPUTED_VALUE"""),"5KM STUDENT M")</f>
        <v>5KM STUDENT M</v>
      </c>
      <c r="E913" s="1">
        <f>IFERROR(__xludf.DUMMYFUNCTION("""COMPUTED_VALUE"""),60.0)</f>
        <v>60</v>
      </c>
      <c r="F913" s="1" t="str">
        <f>IFERROR(__xludf.DUMMYFUNCTION("""COMPUTED_VALUE"""),"Male")</f>
        <v>Male</v>
      </c>
      <c r="G913" s="5">
        <f>IFERROR(__xludf.DUMMYFUNCTION("""COMPUTED_VALUE"""),0.0070830162037037025)</f>
        <v>0.007083016204</v>
      </c>
      <c r="H913" s="15">
        <f>IFERROR(__xludf.DUMMYFUNCTION("""COMPUTED_VALUE"""),0.2549440625)</f>
        <v>0.2549440625</v>
      </c>
      <c r="I913" s="15">
        <f>IFERROR(__xludf.DUMMYFUNCTION("""COMPUTED_VALUE"""),45949.290359149156)</f>
        <v>45949.29036</v>
      </c>
      <c r="J913" s="15">
        <f>IFERROR(__xludf.DUMMYFUNCTION("""COMPUTED_VALUE"""),45949.035415086655)</f>
        <v>45949.03542</v>
      </c>
      <c r="K913" s="15">
        <f>IFERROR(__xludf.DUMMYFUNCTION("""COMPUTED_VALUE"""),45949.27596423239)</f>
        <v>45949.27596</v>
      </c>
      <c r="L913" s="4"/>
    </row>
    <row r="914">
      <c r="A914" s="1">
        <f>IFERROR(__xludf.DUMMYFUNCTION("""COMPUTED_VALUE"""),913.0)</f>
        <v>913</v>
      </c>
      <c r="B914" s="1">
        <f>IFERROR(__xludf.DUMMYFUNCTION("""COMPUTED_VALUE"""),6492.0)</f>
        <v>6492</v>
      </c>
      <c r="C914" s="2" t="str">
        <f>IFERROR(__xludf.DUMMYFUNCTION("""COMPUTED_VALUE"""),"WALIKOTA BANJARBARU")</f>
        <v>WALIKOTA BANJARBARU</v>
      </c>
      <c r="D914" s="2" t="str">
        <f>IFERROR(__xludf.DUMMYFUNCTION("""COMPUTED_VALUE"""),"5KM OVERALL M")</f>
        <v>5KM OVERALL M</v>
      </c>
      <c r="E914" s="1">
        <f>IFERROR(__xludf.DUMMYFUNCTION("""COMPUTED_VALUE"""),571.0)</f>
        <v>571</v>
      </c>
      <c r="F914" s="1" t="str">
        <f>IFERROR(__xludf.DUMMYFUNCTION("""COMPUTED_VALUE"""),"Male")</f>
        <v>Male</v>
      </c>
      <c r="G914" s="5">
        <f>IFERROR(__xludf.DUMMYFUNCTION("""COMPUTED_VALUE"""),0.0070865)</f>
        <v>0.0070865</v>
      </c>
      <c r="H914" s="15">
        <f>IFERROR(__xludf.DUMMYFUNCTION("""COMPUTED_VALUE"""),0.2549440625)</f>
        <v>0.2549440625</v>
      </c>
      <c r="I914" s="15">
        <f>IFERROR(__xludf.DUMMYFUNCTION("""COMPUTED_VALUE"""),45949.29037656084)</f>
        <v>45949.29038</v>
      </c>
      <c r="J914" s="15">
        <f>IFERROR(__xludf.DUMMYFUNCTION("""COMPUTED_VALUE"""),45949.03543249834)</f>
        <v>45949.03543</v>
      </c>
      <c r="K914" s="15">
        <f>IFERROR(__xludf.DUMMYFUNCTION("""COMPUTED_VALUE"""),45950.2762037037)</f>
        <v>45950.2762</v>
      </c>
      <c r="L914" s="4" t="str">
        <f>IFERROR(__xludf.DUMMYFUNCTION("""COMPUTED_VALUE"""),"C")</f>
        <v>C</v>
      </c>
    </row>
    <row r="915">
      <c r="A915" s="1">
        <f>IFERROR(__xludf.DUMMYFUNCTION("""COMPUTED_VALUE"""),914.0)</f>
        <v>914</v>
      </c>
      <c r="B915" s="1">
        <f>IFERROR(__xludf.DUMMYFUNCTION("""COMPUTED_VALUE"""),6489.0)</f>
        <v>6489</v>
      </c>
      <c r="C915" s="2" t="str">
        <f>IFERROR(__xludf.DUMMYFUNCTION("""COMPUTED_VALUE"""),"WALIKOTA BANJARBARU")</f>
        <v>WALIKOTA BANJARBARU</v>
      </c>
      <c r="D915" s="2" t="str">
        <f>IFERROR(__xludf.DUMMYFUNCTION("""COMPUTED_VALUE"""),"5KM OVERALL M")</f>
        <v>5KM OVERALL M</v>
      </c>
      <c r="E915" s="1">
        <f>IFERROR(__xludf.DUMMYFUNCTION("""COMPUTED_VALUE"""),572.0)</f>
        <v>572</v>
      </c>
      <c r="F915" s="1" t="str">
        <f>IFERROR(__xludf.DUMMYFUNCTION("""COMPUTED_VALUE"""),"Male")</f>
        <v>Male</v>
      </c>
      <c r="G915" s="5">
        <f>IFERROR(__xludf.DUMMYFUNCTION("""COMPUTED_VALUE"""),0.007088585648148148)</f>
        <v>0.007088585648</v>
      </c>
      <c r="H915" s="15">
        <f>IFERROR(__xludf.DUMMYFUNCTION("""COMPUTED_VALUE"""),0.2549440625)</f>
        <v>0.2549440625</v>
      </c>
      <c r="I915" s="15">
        <f>IFERROR(__xludf.DUMMYFUNCTION("""COMPUTED_VALUE"""),45949.29038698496)</f>
        <v>45949.29039</v>
      </c>
      <c r="J915" s="15">
        <f>IFERROR(__xludf.DUMMYFUNCTION("""COMPUTED_VALUE"""),45949.03544292246)</f>
        <v>45949.03544</v>
      </c>
      <c r="K915" s="15">
        <f>IFERROR(__xludf.DUMMYFUNCTION("""COMPUTED_VALUE"""),45950.27621527778)</f>
        <v>45950.27622</v>
      </c>
      <c r="L915" s="4" t="str">
        <f>IFERROR(__xludf.DUMMYFUNCTION("""COMPUTED_VALUE"""),"C")</f>
        <v>C</v>
      </c>
    </row>
    <row r="916">
      <c r="A916" s="1">
        <f>IFERROR(__xludf.DUMMYFUNCTION("""COMPUTED_VALUE"""),915.0)</f>
        <v>915</v>
      </c>
      <c r="B916" s="1">
        <f>IFERROR(__xludf.DUMMYFUNCTION("""COMPUTED_VALUE"""),5131.0)</f>
        <v>5131</v>
      </c>
      <c r="C916" s="2" t="str">
        <f>IFERROR(__xludf.DUMMYFUNCTION("""COMPUTED_VALUE"""),"Sweety")</f>
        <v>Sweety</v>
      </c>
      <c r="D916" s="2" t="str">
        <f>IFERROR(__xludf.DUMMYFUNCTION("""COMPUTED_VALUE"""),"5KM OVERALL F")</f>
        <v>5KM OVERALL F</v>
      </c>
      <c r="E916" s="1">
        <f>IFERROR(__xludf.DUMMYFUNCTION("""COMPUTED_VALUE"""),170.0)</f>
        <v>170</v>
      </c>
      <c r="F916" s="1" t="str">
        <f>IFERROR(__xludf.DUMMYFUNCTION("""COMPUTED_VALUE"""),"Female")</f>
        <v>Female</v>
      </c>
      <c r="G916" s="5">
        <f>IFERROR(__xludf.DUMMYFUNCTION("""COMPUTED_VALUE"""),0.007092738425925926)</f>
        <v>0.007092738426</v>
      </c>
      <c r="H916" s="15">
        <f>IFERROR(__xludf.DUMMYFUNCTION("""COMPUTED_VALUE"""),0.2549440625)</f>
        <v>0.2549440625</v>
      </c>
      <c r="I916" s="15">
        <f>IFERROR(__xludf.DUMMYFUNCTION("""COMPUTED_VALUE"""),45949.29040775823)</f>
        <v>45949.29041</v>
      </c>
      <c r="J916" s="15">
        <f>IFERROR(__xludf.DUMMYFUNCTION("""COMPUTED_VALUE"""),45949.03546369573)</f>
        <v>45949.03546</v>
      </c>
      <c r="K916" s="15">
        <f>IFERROR(__xludf.DUMMYFUNCTION("""COMPUTED_VALUE"""),45949.27622809029)</f>
        <v>45949.27623</v>
      </c>
      <c r="L916" s="4"/>
    </row>
    <row r="917">
      <c r="A917" s="1">
        <f>IFERROR(__xludf.DUMMYFUNCTION("""COMPUTED_VALUE"""),916.0)</f>
        <v>916</v>
      </c>
      <c r="B917" s="1">
        <f>IFERROR(__xludf.DUMMYFUNCTION("""COMPUTED_VALUE"""),5323.0)</f>
        <v>5323</v>
      </c>
      <c r="C917" s="2" t="str">
        <f>IFERROR(__xludf.DUMMYFUNCTION("""COMPUTED_VALUE"""),"SUSAN MUSDALIFAH")</f>
        <v>SUSAN MUSDALIFAH</v>
      </c>
      <c r="D917" s="2" t="str">
        <f>IFERROR(__xludf.DUMMYFUNCTION("""COMPUTED_VALUE"""),"5KM OVERALL F")</f>
        <v>5KM OVERALL F</v>
      </c>
      <c r="E917" s="1">
        <f>IFERROR(__xludf.DUMMYFUNCTION("""COMPUTED_VALUE"""),171.0)</f>
        <v>171</v>
      </c>
      <c r="F917" s="1" t="str">
        <f>IFERROR(__xludf.DUMMYFUNCTION("""COMPUTED_VALUE"""),"Female")</f>
        <v>Female</v>
      </c>
      <c r="G917" s="5">
        <f>IFERROR(__xludf.DUMMYFUNCTION("""COMPUTED_VALUE"""),0.007095527777777779)</f>
        <v>0.007095527778</v>
      </c>
      <c r="H917" s="15">
        <f>IFERROR(__xludf.DUMMYFUNCTION("""COMPUTED_VALUE"""),0.2549440625)</f>
        <v>0.2549440625</v>
      </c>
      <c r="I917" s="15">
        <f>IFERROR(__xludf.DUMMYFUNCTION("""COMPUTED_VALUE"""),45949.29042169955)</f>
        <v>45949.29042</v>
      </c>
      <c r="J917" s="15">
        <f>IFERROR(__xludf.DUMMYFUNCTION("""COMPUTED_VALUE"""),45949.03547763705)</f>
        <v>45949.03548</v>
      </c>
      <c r="K917" s="15">
        <f>IFERROR(__xludf.DUMMYFUNCTION("""COMPUTED_VALUE"""),45949.27550932487)</f>
        <v>45949.27551</v>
      </c>
      <c r="L917" s="4"/>
    </row>
    <row r="918">
      <c r="A918" s="1">
        <f>IFERROR(__xludf.DUMMYFUNCTION("""COMPUTED_VALUE"""),917.0)</f>
        <v>917</v>
      </c>
      <c r="B918" s="1">
        <f>IFERROR(__xludf.DUMMYFUNCTION("""COMPUTED_VALUE"""),5655.0)</f>
        <v>5655</v>
      </c>
      <c r="C918" s="2" t="str">
        <f>IFERROR(__xludf.DUMMYFUNCTION("""COMPUTED_VALUE"""),"nnan")</f>
        <v>nnan</v>
      </c>
      <c r="D918" s="2" t="str">
        <f>IFERROR(__xludf.DUMMYFUNCTION("""COMPUTED_VALUE"""),"5KM OVERALL M")</f>
        <v>5KM OVERALL M</v>
      </c>
      <c r="E918" s="1">
        <f>IFERROR(__xludf.DUMMYFUNCTION("""COMPUTED_VALUE"""),573.0)</f>
        <v>573</v>
      </c>
      <c r="F918" s="1" t="str">
        <f>IFERROR(__xludf.DUMMYFUNCTION("""COMPUTED_VALUE"""),"Male")</f>
        <v>Male</v>
      </c>
      <c r="G918" s="5">
        <f>IFERROR(__xludf.DUMMYFUNCTION("""COMPUTED_VALUE"""),0.007096222222222223)</f>
        <v>0.007096222222</v>
      </c>
      <c r="H918" s="15">
        <f>IFERROR(__xludf.DUMMYFUNCTION("""COMPUTED_VALUE"""),0.2549440625)</f>
        <v>0.2549440625</v>
      </c>
      <c r="I918" s="15">
        <f>IFERROR(__xludf.DUMMYFUNCTION("""COMPUTED_VALUE"""),45949.29042516889)</f>
        <v>45949.29043</v>
      </c>
      <c r="J918" s="15">
        <f>IFERROR(__xludf.DUMMYFUNCTION("""COMPUTED_VALUE"""),45949.03548110639)</f>
        <v>45949.03548</v>
      </c>
      <c r="K918" s="15">
        <f>IFERROR(__xludf.DUMMYFUNCTION("""COMPUTED_VALUE"""),45949.275089219605)</f>
        <v>45949.27509</v>
      </c>
      <c r="L918" s="4"/>
    </row>
    <row r="919">
      <c r="A919" s="1">
        <f>IFERROR(__xludf.DUMMYFUNCTION("""COMPUTED_VALUE"""),918.0)</f>
        <v>918</v>
      </c>
      <c r="B919" s="7" t="str">
        <f>IFERROR(__xludf.DUMMYFUNCTION("""COMPUTED_VALUE"""),"7154")</f>
        <v>7154</v>
      </c>
      <c r="C919" s="8" t="str">
        <f>IFERROR(__xludf.DUMMYFUNCTION("""COMPUTED_VALUE"""),"Lusi")</f>
        <v>Lusi</v>
      </c>
      <c r="D919" s="2" t="str">
        <f>IFERROR(__xludf.DUMMYFUNCTION("""COMPUTED_VALUE"""),"5KM MASTER F")</f>
        <v>5KM MASTER F</v>
      </c>
      <c r="E919" s="1">
        <f>IFERROR(__xludf.DUMMYFUNCTION("""COMPUTED_VALUE"""),35.0)</f>
        <v>35</v>
      </c>
      <c r="F919" s="1" t="str">
        <f>IFERROR(__xludf.DUMMYFUNCTION("""COMPUTED_VALUE"""),"Female")</f>
        <v>Female</v>
      </c>
      <c r="G919" s="5">
        <f>IFERROR(__xludf.DUMMYFUNCTION("""COMPUTED_VALUE"""),0.007097115740740741)</f>
        <v>0.007097115741</v>
      </c>
      <c r="H919" s="15">
        <f>IFERROR(__xludf.DUMMYFUNCTION("""COMPUTED_VALUE"""),0.2549440625)</f>
        <v>0.2549440625</v>
      </c>
      <c r="I919" s="15">
        <f>IFERROR(__xludf.DUMMYFUNCTION("""COMPUTED_VALUE"""),45949.290429636065)</f>
        <v>45949.29043</v>
      </c>
      <c r="J919" s="15">
        <f>IFERROR(__xludf.DUMMYFUNCTION("""COMPUTED_VALUE"""),45949.035485573564)</f>
        <v>45949.03549</v>
      </c>
      <c r="K919" s="15">
        <f>IFERROR(__xludf.DUMMYFUNCTION("""COMPUTED_VALUE"""),45949.27459961306)</f>
        <v>45949.2746</v>
      </c>
      <c r="L919" s="4"/>
    </row>
    <row r="920">
      <c r="A920" s="1">
        <f>IFERROR(__xludf.DUMMYFUNCTION("""COMPUTED_VALUE"""),918.0)</f>
        <v>918</v>
      </c>
      <c r="B920" s="1">
        <f>IFERROR(__xludf.DUMMYFUNCTION("""COMPUTED_VALUE"""),5074.0)</f>
        <v>5074</v>
      </c>
      <c r="C920" s="2" t="str">
        <f>IFERROR(__xludf.DUMMYFUNCTION("""COMPUTED_VALUE"""),"Adi")</f>
        <v>Adi</v>
      </c>
      <c r="D920" s="2" t="str">
        <f>IFERROR(__xludf.DUMMYFUNCTION("""COMPUTED_VALUE"""),"5KM OVERALL M")</f>
        <v>5KM OVERALL M</v>
      </c>
      <c r="E920" s="1">
        <f>IFERROR(__xludf.DUMMYFUNCTION("""COMPUTED_VALUE"""),574.0)</f>
        <v>574</v>
      </c>
      <c r="F920" s="1" t="str">
        <f>IFERROR(__xludf.DUMMYFUNCTION("""COMPUTED_VALUE"""),"Male")</f>
        <v>Male</v>
      </c>
      <c r="G920" s="5">
        <f>IFERROR(__xludf.DUMMYFUNCTION("""COMPUTED_VALUE"""),0.007097115740740741)</f>
        <v>0.007097115741</v>
      </c>
      <c r="H920" s="15">
        <f>IFERROR(__xludf.DUMMYFUNCTION("""COMPUTED_VALUE"""),0.2549440625)</f>
        <v>0.2549440625</v>
      </c>
      <c r="I920" s="15">
        <f>IFERROR(__xludf.DUMMYFUNCTION("""COMPUTED_VALUE"""),45949.290429636065)</f>
        <v>45949.29043</v>
      </c>
      <c r="J920" s="15">
        <f>IFERROR(__xludf.DUMMYFUNCTION("""COMPUTED_VALUE"""),45949.035485573564)</f>
        <v>45949.03549</v>
      </c>
      <c r="K920" s="15">
        <f>IFERROR(__xludf.DUMMYFUNCTION("""COMPUTED_VALUE"""),45950.27622685185)</f>
        <v>45950.27623</v>
      </c>
      <c r="L920" s="4"/>
    </row>
    <row r="921">
      <c r="A921" s="1">
        <f>IFERROR(__xludf.DUMMYFUNCTION("""COMPUTED_VALUE"""),920.0)</f>
        <v>920</v>
      </c>
      <c r="B921" s="1">
        <f>IFERROR(__xludf.DUMMYFUNCTION("""COMPUTED_VALUE"""),5671.0)</f>
        <v>5671</v>
      </c>
      <c r="C921" s="2" t="str">
        <f>IFERROR(__xludf.DUMMYFUNCTION("""COMPUTED_VALUE"""),"Angello")</f>
        <v>Angello</v>
      </c>
      <c r="D921" s="2" t="str">
        <f>IFERROR(__xludf.DUMMYFUNCTION("""COMPUTED_VALUE"""),"5KM OVERALL M")</f>
        <v>5KM OVERALL M</v>
      </c>
      <c r="E921" s="1">
        <f>IFERROR(__xludf.DUMMYFUNCTION("""COMPUTED_VALUE"""),575.0)</f>
        <v>575</v>
      </c>
      <c r="F921" s="1" t="str">
        <f>IFERROR(__xludf.DUMMYFUNCTION("""COMPUTED_VALUE"""),"Male")</f>
        <v>Male</v>
      </c>
      <c r="G921" s="5">
        <f>IFERROR(__xludf.DUMMYFUNCTION("""COMPUTED_VALUE"""),0.007105240740740741)</f>
        <v>0.007105240741</v>
      </c>
      <c r="H921" s="15">
        <f>IFERROR(__xludf.DUMMYFUNCTION("""COMPUTED_VALUE"""),0.2549440625)</f>
        <v>0.2549440625</v>
      </c>
      <c r="I921" s="15">
        <f>IFERROR(__xludf.DUMMYFUNCTION("""COMPUTED_VALUE"""),45949.29047026877)</f>
        <v>45949.29047</v>
      </c>
      <c r="J921" s="15">
        <f>IFERROR(__xludf.DUMMYFUNCTION("""COMPUTED_VALUE"""),45949.035526206266)</f>
        <v>45949.03553</v>
      </c>
      <c r="K921" s="15">
        <f>IFERROR(__xludf.DUMMYFUNCTION("""COMPUTED_VALUE"""),45949.275151700014)</f>
        <v>45949.27515</v>
      </c>
      <c r="L921" s="4"/>
    </row>
    <row r="922">
      <c r="A922" s="1">
        <f>IFERROR(__xludf.DUMMYFUNCTION("""COMPUTED_VALUE"""),921.0)</f>
        <v>921</v>
      </c>
      <c r="B922" s="1">
        <f>IFERROR(__xludf.DUMMYFUNCTION("""COMPUTED_VALUE"""),6120.0)</f>
        <v>6120</v>
      </c>
      <c r="C922" s="2" t="str">
        <f>IFERROR(__xludf.DUMMYFUNCTION("""COMPUTED_VALUE"""),"@Kodogk2")</f>
        <v>@Kodogk2</v>
      </c>
      <c r="D922" s="2" t="str">
        <f>IFERROR(__xludf.DUMMYFUNCTION("""COMPUTED_VALUE"""),"5KM OVERALL M")</f>
        <v>5KM OVERALL M</v>
      </c>
      <c r="E922" s="1">
        <f>IFERROR(__xludf.DUMMYFUNCTION("""COMPUTED_VALUE"""),576.0)</f>
        <v>576</v>
      </c>
      <c r="F922" s="1" t="str">
        <f>IFERROR(__xludf.DUMMYFUNCTION("""COMPUTED_VALUE"""),"Male")</f>
        <v>Male</v>
      </c>
      <c r="G922" s="5">
        <f>IFERROR(__xludf.DUMMYFUNCTION("""COMPUTED_VALUE"""),0.007106638888888889)</f>
        <v>0.007106638889</v>
      </c>
      <c r="H922" s="15">
        <f>IFERROR(__xludf.DUMMYFUNCTION("""COMPUTED_VALUE"""),0.2549440625)</f>
        <v>0.2549440625</v>
      </c>
      <c r="I922" s="15">
        <f>IFERROR(__xludf.DUMMYFUNCTION("""COMPUTED_VALUE"""),45949.29047726026)</f>
        <v>45949.29048</v>
      </c>
      <c r="J922" s="15">
        <f>IFERROR(__xludf.DUMMYFUNCTION("""COMPUTED_VALUE"""),45949.03553319776)</f>
        <v>45949.03553</v>
      </c>
      <c r="K922" s="15">
        <f>IFERROR(__xludf.DUMMYFUNCTION("""COMPUTED_VALUE"""),45949.275057936065)</f>
        <v>45949.27506</v>
      </c>
      <c r="L922" s="4"/>
    </row>
    <row r="923">
      <c r="A923" s="1">
        <f>IFERROR(__xludf.DUMMYFUNCTION("""COMPUTED_VALUE"""),922.0)</f>
        <v>922</v>
      </c>
      <c r="B923" s="1">
        <f>IFERROR(__xludf.DUMMYFUNCTION("""COMPUTED_VALUE"""),6032.0)</f>
        <v>6032</v>
      </c>
      <c r="C923" s="2" t="str">
        <f>IFERROR(__xludf.DUMMYFUNCTION("""COMPUTED_VALUE"""),"EGY")</f>
        <v>EGY</v>
      </c>
      <c r="D923" s="2" t="str">
        <f>IFERROR(__xludf.DUMMYFUNCTION("""COMPUTED_VALUE"""),"5KM OVERALL F")</f>
        <v>5KM OVERALL F</v>
      </c>
      <c r="E923" s="1">
        <f>IFERROR(__xludf.DUMMYFUNCTION("""COMPUTED_VALUE"""),172.0)</f>
        <v>172</v>
      </c>
      <c r="F923" s="1" t="str">
        <f>IFERROR(__xludf.DUMMYFUNCTION("""COMPUTED_VALUE"""),"Female")</f>
        <v>Female</v>
      </c>
      <c r="G923" s="5">
        <f>IFERROR(__xludf.DUMMYFUNCTION("""COMPUTED_VALUE"""),0.007106638888888889)</f>
        <v>0.007106638889</v>
      </c>
      <c r="H923" s="15">
        <f>IFERROR(__xludf.DUMMYFUNCTION("""COMPUTED_VALUE"""),0.2549440625)</f>
        <v>0.2549440625</v>
      </c>
      <c r="I923" s="15">
        <f>IFERROR(__xludf.DUMMYFUNCTION("""COMPUTED_VALUE"""),45949.29047726026)</f>
        <v>45949.29048</v>
      </c>
      <c r="J923" s="15">
        <f>IFERROR(__xludf.DUMMYFUNCTION("""COMPUTED_VALUE"""),45949.03553319776)</f>
        <v>45949.03553</v>
      </c>
      <c r="K923" s="15">
        <f>IFERROR(__xludf.DUMMYFUNCTION("""COMPUTED_VALUE"""),45949.274929468775)</f>
        <v>45949.27493</v>
      </c>
      <c r="L923" s="4"/>
    </row>
    <row r="924">
      <c r="A924" s="1">
        <f>IFERROR(__xludf.DUMMYFUNCTION("""COMPUTED_VALUE"""),923.0)</f>
        <v>923</v>
      </c>
      <c r="B924" s="1">
        <f>IFERROR(__xludf.DUMMYFUNCTION("""COMPUTED_VALUE"""),5022.0)</f>
        <v>5022</v>
      </c>
      <c r="C924" s="2" t="str">
        <f>IFERROR(__xludf.DUMMYFUNCTION("""COMPUTED_VALUE"""),"Dhimas Rizkyawan")</f>
        <v>Dhimas Rizkyawan</v>
      </c>
      <c r="D924" s="2" t="str">
        <f>IFERROR(__xludf.DUMMYFUNCTION("""COMPUTED_VALUE"""),"5KM OVERALL M")</f>
        <v>5KM OVERALL M</v>
      </c>
      <c r="E924" s="1">
        <f>IFERROR(__xludf.DUMMYFUNCTION("""COMPUTED_VALUE"""),577.0)</f>
        <v>577</v>
      </c>
      <c r="F924" s="1" t="str">
        <f>IFERROR(__xludf.DUMMYFUNCTION("""COMPUTED_VALUE"""),"Male")</f>
        <v>Male</v>
      </c>
      <c r="G924" s="5">
        <f>IFERROR(__xludf.DUMMYFUNCTION("""COMPUTED_VALUE"""),0.00712261111111111)</f>
        <v>0.007122611111</v>
      </c>
      <c r="H924" s="15">
        <f>IFERROR(__xludf.DUMMYFUNCTION("""COMPUTED_VALUE"""),0.2549440625)</f>
        <v>0.2549440625</v>
      </c>
      <c r="I924" s="15">
        <f>IFERROR(__xludf.DUMMYFUNCTION("""COMPUTED_VALUE"""),45949.290557114706)</f>
        <v>45949.29056</v>
      </c>
      <c r="J924" s="15">
        <f>IFERROR(__xludf.DUMMYFUNCTION("""COMPUTED_VALUE"""),45949.035613052205)</f>
        <v>45949.03561</v>
      </c>
      <c r="K924" s="15">
        <f>IFERROR(__xludf.DUMMYFUNCTION("""COMPUTED_VALUE"""),45949.27622810177)</f>
        <v>45949.27623</v>
      </c>
      <c r="L924" s="4"/>
    </row>
    <row r="925">
      <c r="A925" s="1">
        <f>IFERROR(__xludf.DUMMYFUNCTION("""COMPUTED_VALUE"""),924.0)</f>
        <v>924</v>
      </c>
      <c r="B925" s="1">
        <f>IFERROR(__xludf.DUMMYFUNCTION("""COMPUTED_VALUE"""),5243.0)</f>
        <v>5243</v>
      </c>
      <c r="C925" s="2" t="str">
        <f>IFERROR(__xludf.DUMMYFUNCTION("""COMPUTED_VALUE"""),"Indra Budiman")</f>
        <v>Indra Budiman</v>
      </c>
      <c r="D925" s="2" t="str">
        <f>IFERROR(__xludf.DUMMYFUNCTION("""COMPUTED_VALUE"""),"5KM OVERALL M")</f>
        <v>5KM OVERALL M</v>
      </c>
      <c r="E925" s="1">
        <f>IFERROR(__xludf.DUMMYFUNCTION("""COMPUTED_VALUE"""),578.0)</f>
        <v>578</v>
      </c>
      <c r="F925" s="1" t="str">
        <f>IFERROR(__xludf.DUMMYFUNCTION("""COMPUTED_VALUE"""),"Male")</f>
        <v>Male</v>
      </c>
      <c r="G925" s="5">
        <f>IFERROR(__xludf.DUMMYFUNCTION("""COMPUTED_VALUE"""),0.007123305555555555)</f>
        <v>0.007123305556</v>
      </c>
      <c r="H925" s="15">
        <f>IFERROR(__xludf.DUMMYFUNCTION("""COMPUTED_VALUE"""),0.2549440625)</f>
        <v>0.2549440625</v>
      </c>
      <c r="I925" s="15">
        <f>IFERROR(__xludf.DUMMYFUNCTION("""COMPUTED_VALUE"""),45949.29056059513)</f>
        <v>45949.29056</v>
      </c>
      <c r="J925" s="15">
        <f>IFERROR(__xludf.DUMMYFUNCTION("""COMPUTED_VALUE"""),45949.03561653263)</f>
        <v>45949.03562</v>
      </c>
      <c r="K925" s="15">
        <f>IFERROR(__xludf.DUMMYFUNCTION("""COMPUTED_VALUE"""),45949.27598161221)</f>
        <v>45949.27598</v>
      </c>
      <c r="L925" s="4"/>
    </row>
    <row r="926">
      <c r="A926" s="1">
        <f>IFERROR(__xludf.DUMMYFUNCTION("""COMPUTED_VALUE"""),925.0)</f>
        <v>925</v>
      </c>
      <c r="B926" s="1">
        <f>IFERROR(__xludf.DUMMYFUNCTION("""COMPUTED_VALUE"""),5234.0)</f>
        <v>5234</v>
      </c>
      <c r="C926" s="2" t="str">
        <f>IFERROR(__xludf.DUMMYFUNCTION("""COMPUTED_VALUE"""),"Dicky Giok")</f>
        <v>Dicky Giok</v>
      </c>
      <c r="D926" s="2" t="str">
        <f>IFERROR(__xludf.DUMMYFUNCTION("""COMPUTED_VALUE"""),"5KM OVERALL M")</f>
        <v>5KM OVERALL M</v>
      </c>
      <c r="E926" s="1">
        <f>IFERROR(__xludf.DUMMYFUNCTION("""COMPUTED_VALUE"""),579.0)</f>
        <v>579</v>
      </c>
      <c r="F926" s="1" t="str">
        <f>IFERROR(__xludf.DUMMYFUNCTION("""COMPUTED_VALUE"""),"Male")</f>
        <v>Male</v>
      </c>
      <c r="G926" s="5">
        <f>IFERROR(__xludf.DUMMYFUNCTION("""COMPUTED_VALUE"""),0.007123305555555555)</f>
        <v>0.007123305556</v>
      </c>
      <c r="H926" s="15">
        <f>IFERROR(__xludf.DUMMYFUNCTION("""COMPUTED_VALUE"""),0.2549440625)</f>
        <v>0.2549440625</v>
      </c>
      <c r="I926" s="15">
        <f>IFERROR(__xludf.DUMMYFUNCTION("""COMPUTED_VALUE"""),45949.29056059513)</f>
        <v>45949.29056</v>
      </c>
      <c r="J926" s="15">
        <f>IFERROR(__xludf.DUMMYFUNCTION("""COMPUTED_VALUE"""),45949.03561653263)</f>
        <v>45949.03562</v>
      </c>
      <c r="K926" s="15">
        <f>IFERROR(__xludf.DUMMYFUNCTION("""COMPUTED_VALUE"""),45949.27536697274)</f>
        <v>45949.27537</v>
      </c>
      <c r="L926" s="4"/>
    </row>
    <row r="927">
      <c r="A927" s="1">
        <f>IFERROR(__xludf.DUMMYFUNCTION("""COMPUTED_VALUE"""),926.0)</f>
        <v>926</v>
      </c>
      <c r="B927" s="1">
        <f>IFERROR(__xludf.DUMMYFUNCTION("""COMPUTED_VALUE"""),6380.0)</f>
        <v>6380</v>
      </c>
      <c r="C927" s="2" t="str">
        <f>IFERROR(__xludf.DUMMYFUNCTION("""COMPUTED_VALUE"""),"Joy")</f>
        <v>Joy</v>
      </c>
      <c r="D927" s="2" t="str">
        <f>IFERROR(__xludf.DUMMYFUNCTION("""COMPUTED_VALUE"""),"5KM OVERALL F")</f>
        <v>5KM OVERALL F</v>
      </c>
      <c r="E927" s="1">
        <f>IFERROR(__xludf.DUMMYFUNCTION("""COMPUTED_VALUE"""),173.0)</f>
        <v>173</v>
      </c>
      <c r="F927" s="1" t="str">
        <f>IFERROR(__xludf.DUMMYFUNCTION("""COMPUTED_VALUE"""),"Female")</f>
        <v>Female</v>
      </c>
      <c r="G927" s="5">
        <f>IFERROR(__xludf.DUMMYFUNCTION("""COMPUTED_VALUE"""),0.00712607638888889)</f>
        <v>0.007126076389</v>
      </c>
      <c r="H927" s="15">
        <f>IFERROR(__xludf.DUMMYFUNCTION("""COMPUTED_VALUE"""),0.2549440625)</f>
        <v>0.2549440625</v>
      </c>
      <c r="I927" s="15">
        <f>IFERROR(__xludf.DUMMYFUNCTION("""COMPUTED_VALUE"""),45949.29057443949)</f>
        <v>45949.29057</v>
      </c>
      <c r="J927" s="15">
        <f>IFERROR(__xludf.DUMMYFUNCTION("""COMPUTED_VALUE"""),45949.03563037699)</f>
        <v>45949.03563</v>
      </c>
      <c r="K927" s="15">
        <f>IFERROR(__xludf.DUMMYFUNCTION("""COMPUTED_VALUE"""),45949.2735166788)</f>
        <v>45949.27352</v>
      </c>
      <c r="L927" s="4"/>
    </row>
    <row r="928">
      <c r="A928" s="1">
        <f>IFERROR(__xludf.DUMMYFUNCTION("""COMPUTED_VALUE"""),927.0)</f>
        <v>927</v>
      </c>
      <c r="B928" s="1">
        <f>IFERROR(__xludf.DUMMYFUNCTION("""COMPUTED_VALUE"""),6299.0)</f>
        <v>6299</v>
      </c>
      <c r="C928" s="2" t="str">
        <f>IFERROR(__xludf.DUMMYFUNCTION("""COMPUTED_VALUE"""),"Rifai")</f>
        <v>Rifai</v>
      </c>
      <c r="D928" s="2" t="str">
        <f>IFERROR(__xludf.DUMMYFUNCTION("""COMPUTED_VALUE"""),"5KM OVERALL M")</f>
        <v>5KM OVERALL M</v>
      </c>
      <c r="E928" s="1">
        <f>IFERROR(__xludf.DUMMYFUNCTION("""COMPUTED_VALUE"""),580.0)</f>
        <v>580</v>
      </c>
      <c r="F928" s="1" t="str">
        <f>IFERROR(__xludf.DUMMYFUNCTION("""COMPUTED_VALUE"""),"Male")</f>
        <v>Male</v>
      </c>
      <c r="G928" s="5">
        <f>IFERROR(__xludf.DUMMYFUNCTION("""COMPUTED_VALUE"""),0.007128166666666666)</f>
        <v>0.007128166667</v>
      </c>
      <c r="H928" s="15">
        <f>IFERROR(__xludf.DUMMYFUNCTION("""COMPUTED_VALUE"""),0.2549440625)</f>
        <v>0.2549440625</v>
      </c>
      <c r="I928" s="15">
        <f>IFERROR(__xludf.DUMMYFUNCTION("""COMPUTED_VALUE"""),45949.29058489434)</f>
        <v>45949.29058</v>
      </c>
      <c r="J928" s="15">
        <f>IFERROR(__xludf.DUMMYFUNCTION("""COMPUTED_VALUE"""),45949.03564083184)</f>
        <v>45949.03564</v>
      </c>
      <c r="K928" s="15">
        <f>IFERROR(__xludf.DUMMYFUNCTION("""COMPUTED_VALUE"""),45949.27625933842)</f>
        <v>45949.27626</v>
      </c>
      <c r="L928" s="4"/>
    </row>
    <row r="929">
      <c r="A929" s="1">
        <f>IFERROR(__xludf.DUMMYFUNCTION("""COMPUTED_VALUE"""),928.0)</f>
        <v>928</v>
      </c>
      <c r="B929" s="1">
        <f>IFERROR(__xludf.DUMMYFUNCTION("""COMPUTED_VALUE"""),5205.0)</f>
        <v>5205</v>
      </c>
      <c r="C929" s="2" t="str">
        <f>IFERROR(__xludf.DUMMYFUNCTION("""COMPUTED_VALUE"""),"Muhammad Dicky Ramadhan")</f>
        <v>Muhammad Dicky Ramadhan</v>
      </c>
      <c r="D929" s="2" t="str">
        <f>IFERROR(__xludf.DUMMYFUNCTION("""COMPUTED_VALUE"""),"5KM OVERALL M")</f>
        <v>5KM OVERALL M</v>
      </c>
      <c r="E929" s="1">
        <f>IFERROR(__xludf.DUMMYFUNCTION("""COMPUTED_VALUE"""),581.0)</f>
        <v>581</v>
      </c>
      <c r="F929" s="1" t="str">
        <f>IFERROR(__xludf.DUMMYFUNCTION("""COMPUTED_VALUE"""),"Male")</f>
        <v>Male</v>
      </c>
      <c r="G929" s="5">
        <f>IFERROR(__xludf.DUMMYFUNCTION("""COMPUTED_VALUE"""),0.007128168981481482)</f>
        <v>0.007128168981</v>
      </c>
      <c r="H929" s="15">
        <f>IFERROR(__xludf.DUMMYFUNCTION("""COMPUTED_VALUE"""),0.2549440625)</f>
        <v>0.2549440625</v>
      </c>
      <c r="I929" s="15">
        <f>IFERROR(__xludf.DUMMYFUNCTION("""COMPUTED_VALUE"""),45949.290584908376)</f>
        <v>45949.29058</v>
      </c>
      <c r="J929" s="15">
        <f>IFERROR(__xludf.DUMMYFUNCTION("""COMPUTED_VALUE"""),45949.035640845876)</f>
        <v>45949.03564</v>
      </c>
      <c r="K929" s="15">
        <f>IFERROR(__xludf.DUMMYFUNCTION("""COMPUTED_VALUE"""),45949.27625935)</f>
        <v>45949.27626</v>
      </c>
      <c r="L929" s="4"/>
    </row>
    <row r="930">
      <c r="A930" s="1">
        <f>IFERROR(__xludf.DUMMYFUNCTION("""COMPUTED_VALUE"""),929.0)</f>
        <v>929</v>
      </c>
      <c r="B930" s="1">
        <f>IFERROR(__xludf.DUMMYFUNCTION("""COMPUTED_VALUE"""),7014.0)</f>
        <v>7014</v>
      </c>
      <c r="C930" s="2" t="str">
        <f>IFERROR(__xludf.DUMMYFUNCTION("""COMPUTED_VALUE"""),"Merry Hutagaol")</f>
        <v>Merry Hutagaol</v>
      </c>
      <c r="D930" s="2" t="str">
        <f>IFERROR(__xludf.DUMMYFUNCTION("""COMPUTED_VALUE"""),"5KM MASTER F")</f>
        <v>5KM MASTER F</v>
      </c>
      <c r="E930" s="1">
        <f>IFERROR(__xludf.DUMMYFUNCTION("""COMPUTED_VALUE"""),36.0)</f>
        <v>36</v>
      </c>
      <c r="F930" s="1" t="str">
        <f>IFERROR(__xludf.DUMMYFUNCTION("""COMPUTED_VALUE"""),"Female")</f>
        <v>Female</v>
      </c>
      <c r="G930" s="5">
        <f>IFERROR(__xludf.DUMMYFUNCTION("""COMPUTED_VALUE"""),0.007131638888888889)</f>
        <v>0.007131638889</v>
      </c>
      <c r="H930" s="15">
        <f>IFERROR(__xludf.DUMMYFUNCTION("""COMPUTED_VALUE"""),0.2549440625)</f>
        <v>0.2549440625</v>
      </c>
      <c r="I930" s="15">
        <f>IFERROR(__xludf.DUMMYFUNCTION("""COMPUTED_VALUE"""),45949.29060225884)</f>
        <v>45949.2906</v>
      </c>
      <c r="J930" s="15">
        <f>IFERROR(__xludf.DUMMYFUNCTION("""COMPUTED_VALUE"""),45949.03565819634)</f>
        <v>45949.03566</v>
      </c>
      <c r="K930" s="15">
        <f>IFERROR(__xludf.DUMMYFUNCTION("""COMPUTED_VALUE"""),45949.27482622083)</f>
        <v>45949.27483</v>
      </c>
      <c r="L930" s="4"/>
    </row>
    <row r="931">
      <c r="A931" s="1">
        <f>IFERROR(__xludf.DUMMYFUNCTION("""COMPUTED_VALUE"""),930.0)</f>
        <v>930</v>
      </c>
      <c r="B931" s="1">
        <f>IFERROR(__xludf.DUMMYFUNCTION("""COMPUTED_VALUE"""),6588.0)</f>
        <v>6588</v>
      </c>
      <c r="C931" s="2" t="str">
        <f>IFERROR(__xludf.DUMMYFUNCTION("""COMPUTED_VALUE"""),"Icon")</f>
        <v>Icon</v>
      </c>
      <c r="D931" s="2" t="str">
        <f>IFERROR(__xludf.DUMMYFUNCTION("""COMPUTED_VALUE"""),"5KM OVERALL M")</f>
        <v>5KM OVERALL M</v>
      </c>
      <c r="E931" s="1">
        <f>IFERROR(__xludf.DUMMYFUNCTION("""COMPUTED_VALUE"""),582.0)</f>
        <v>582</v>
      </c>
      <c r="F931" s="1" t="str">
        <f>IFERROR(__xludf.DUMMYFUNCTION("""COMPUTED_VALUE"""),"Male")</f>
        <v>Male</v>
      </c>
      <c r="G931" s="5">
        <f>IFERROR(__xludf.DUMMYFUNCTION("""COMPUTED_VALUE"""),0.007135810185185186)</f>
        <v>0.007135810185</v>
      </c>
      <c r="H931" s="15">
        <f>IFERROR(__xludf.DUMMYFUNCTION("""COMPUTED_VALUE"""),0.2549440625)</f>
        <v>0.2549440625</v>
      </c>
      <c r="I931" s="15">
        <f>IFERROR(__xludf.DUMMYFUNCTION("""COMPUTED_VALUE"""),45949.29062310969)</f>
        <v>45949.29062</v>
      </c>
      <c r="J931" s="15">
        <f>IFERROR(__xludf.DUMMYFUNCTION("""COMPUTED_VALUE"""),45949.03567904719)</f>
        <v>45949.03568</v>
      </c>
      <c r="K931" s="15">
        <f>IFERROR(__xludf.DUMMYFUNCTION("""COMPUTED_VALUE"""),45949.27492251545)</f>
        <v>45949.27492</v>
      </c>
      <c r="L931" s="4"/>
    </row>
    <row r="932">
      <c r="A932" s="1">
        <f>IFERROR(__xludf.DUMMYFUNCTION("""COMPUTED_VALUE"""),931.0)</f>
        <v>931</v>
      </c>
      <c r="B932" s="1">
        <f>IFERROR(__xludf.DUMMYFUNCTION("""COMPUTED_VALUE"""),6244.0)</f>
        <v>6244</v>
      </c>
      <c r="C932" s="2" t="str">
        <f>IFERROR(__xludf.DUMMYFUNCTION("""COMPUTED_VALUE"""),"Arsyil")</f>
        <v>Arsyil</v>
      </c>
      <c r="D932" s="2" t="str">
        <f>IFERROR(__xludf.DUMMYFUNCTION("""COMPUTED_VALUE"""),"5KM OVERALL M")</f>
        <v>5KM OVERALL M</v>
      </c>
      <c r="E932" s="1">
        <f>IFERROR(__xludf.DUMMYFUNCTION("""COMPUTED_VALUE"""),583.0)</f>
        <v>583</v>
      </c>
      <c r="F932" s="1" t="str">
        <f>IFERROR(__xludf.DUMMYFUNCTION("""COMPUTED_VALUE"""),"Male")</f>
        <v>Male</v>
      </c>
      <c r="G932" s="5">
        <f>IFERROR(__xludf.DUMMYFUNCTION("""COMPUTED_VALUE"""),0.00713788888888889)</f>
        <v>0.007137888889</v>
      </c>
      <c r="H932" s="15">
        <f>IFERROR(__xludf.DUMMYFUNCTION("""COMPUTED_VALUE"""),0.2549440625)</f>
        <v>0.2549440625</v>
      </c>
      <c r="I932" s="15">
        <f>IFERROR(__xludf.DUMMYFUNCTION("""COMPUTED_VALUE"""),45949.29063350301)</f>
        <v>45949.29063</v>
      </c>
      <c r="J932" s="15">
        <f>IFERROR(__xludf.DUMMYFUNCTION("""COMPUTED_VALUE"""),45949.03568944051)</f>
        <v>45949.03569</v>
      </c>
      <c r="K932" s="15">
        <f>IFERROR(__xludf.DUMMYFUNCTION("""COMPUTED_VALUE"""),45949.276040644596)</f>
        <v>45949.27604</v>
      </c>
      <c r="L932" s="4"/>
    </row>
    <row r="933">
      <c r="A933" s="1">
        <f>IFERROR(__xludf.DUMMYFUNCTION("""COMPUTED_VALUE"""),932.0)</f>
        <v>932</v>
      </c>
      <c r="B933" s="1">
        <f>IFERROR(__xludf.DUMMYFUNCTION("""COMPUTED_VALUE"""),6247.0)</f>
        <v>6247</v>
      </c>
      <c r="C933" s="2" t="str">
        <f>IFERROR(__xludf.DUMMYFUNCTION("""COMPUTED_VALUE"""),"Azril")</f>
        <v>Azril</v>
      </c>
      <c r="D933" s="2" t="str">
        <f>IFERROR(__xludf.DUMMYFUNCTION("""COMPUTED_VALUE"""),"5KM OVERALL F")</f>
        <v>5KM OVERALL F</v>
      </c>
      <c r="E933" s="1">
        <f>IFERROR(__xludf.DUMMYFUNCTION("""COMPUTED_VALUE"""),174.0)</f>
        <v>174</v>
      </c>
      <c r="F933" s="1" t="str">
        <f>IFERROR(__xludf.DUMMYFUNCTION("""COMPUTED_VALUE"""),"Female")</f>
        <v>Female</v>
      </c>
      <c r="G933" s="5">
        <f>IFERROR(__xludf.DUMMYFUNCTION("""COMPUTED_VALUE"""),0.007139277777777777)</f>
        <v>0.007139277778</v>
      </c>
      <c r="H933" s="15">
        <f>IFERROR(__xludf.DUMMYFUNCTION("""COMPUTED_VALUE"""),0.2549440625)</f>
        <v>0.2549440625</v>
      </c>
      <c r="I933" s="15">
        <f>IFERROR(__xludf.DUMMYFUNCTION("""COMPUTED_VALUE"""),45949.290640446394)</f>
        <v>45949.29064</v>
      </c>
      <c r="J933" s="15">
        <f>IFERROR(__xludf.DUMMYFUNCTION("""COMPUTED_VALUE"""),45949.03569638389)</f>
        <v>45949.0357</v>
      </c>
      <c r="K933" s="15">
        <f>IFERROR(__xludf.DUMMYFUNCTION("""COMPUTED_VALUE"""),45949.27600594033)</f>
        <v>45949.27601</v>
      </c>
      <c r="L933" s="4"/>
    </row>
    <row r="934">
      <c r="A934" s="1">
        <f>IFERROR(__xludf.DUMMYFUNCTION("""COMPUTED_VALUE"""),933.0)</f>
        <v>933</v>
      </c>
      <c r="B934" s="1">
        <f>IFERROR(__xludf.DUMMYFUNCTION("""COMPUTED_VALUE"""),5865.0)</f>
        <v>5865</v>
      </c>
      <c r="C934" s="2" t="str">
        <f>IFERROR(__xludf.DUMMYFUNCTION("""COMPUTED_VALUE"""),"SYAMLAWI")</f>
        <v>SYAMLAWI</v>
      </c>
      <c r="D934" s="2" t="str">
        <f>IFERROR(__xludf.DUMMYFUNCTION("""COMPUTED_VALUE"""),"5KM OVERALL M")</f>
        <v>5KM OVERALL M</v>
      </c>
      <c r="E934" s="1">
        <f>IFERROR(__xludf.DUMMYFUNCTION("""COMPUTED_VALUE"""),584.0)</f>
        <v>584</v>
      </c>
      <c r="F934" s="1" t="str">
        <f>IFERROR(__xludf.DUMMYFUNCTION("""COMPUTED_VALUE"""),"Male")</f>
        <v>Male</v>
      </c>
      <c r="G934" s="5">
        <f>IFERROR(__xludf.DUMMYFUNCTION("""COMPUTED_VALUE"""),0.007139280092592593)</f>
        <v>0.007139280093</v>
      </c>
      <c r="H934" s="15">
        <f>IFERROR(__xludf.DUMMYFUNCTION("""COMPUTED_VALUE"""),0.2549440625)</f>
        <v>0.2549440625</v>
      </c>
      <c r="I934" s="15">
        <f>IFERROR(__xludf.DUMMYFUNCTION("""COMPUTED_VALUE"""),45949.29064046373)</f>
        <v>45949.29064</v>
      </c>
      <c r="J934" s="15">
        <f>IFERROR(__xludf.DUMMYFUNCTION("""COMPUTED_VALUE"""),45949.03569640123)</f>
        <v>45949.0357</v>
      </c>
      <c r="K934" s="15">
        <f>IFERROR(__xludf.DUMMYFUNCTION("""COMPUTED_VALUE"""),45949.277800993215)</f>
        <v>45949.2778</v>
      </c>
      <c r="L934" s="4"/>
    </row>
    <row r="935">
      <c r="A935" s="1">
        <f>IFERROR(__xludf.DUMMYFUNCTION("""COMPUTED_VALUE"""),934.0)</f>
        <v>934</v>
      </c>
      <c r="B935" s="1">
        <f>IFERROR(__xludf.DUMMYFUNCTION("""COMPUTED_VALUE"""),5504.0)</f>
        <v>5504</v>
      </c>
      <c r="C935" s="2" t="str">
        <f>IFERROR(__xludf.DUMMYFUNCTION("""COMPUTED_VALUE"""),"MAHA")</f>
        <v>MAHA</v>
      </c>
      <c r="D935" s="2" t="str">
        <f>IFERROR(__xludf.DUMMYFUNCTION("""COMPUTED_VALUE"""),"5KM OVERALL F")</f>
        <v>5KM OVERALL F</v>
      </c>
      <c r="E935" s="1">
        <f>IFERROR(__xludf.DUMMYFUNCTION("""COMPUTED_VALUE"""),175.0)</f>
        <v>175</v>
      </c>
      <c r="F935" s="1" t="str">
        <f>IFERROR(__xludf.DUMMYFUNCTION("""COMPUTED_VALUE"""),"Female")</f>
        <v>Female</v>
      </c>
      <c r="G935" s="5">
        <f>IFERROR(__xludf.DUMMYFUNCTION("""COMPUTED_VALUE"""),0.007141361111111112)</f>
        <v>0.007141361111</v>
      </c>
      <c r="H935" s="15">
        <f>IFERROR(__xludf.DUMMYFUNCTION("""COMPUTED_VALUE"""),0.2549440625)</f>
        <v>0.2549440625</v>
      </c>
      <c r="I935" s="15">
        <f>IFERROR(__xludf.DUMMYFUNCTION("""COMPUTED_VALUE"""),45949.29065086924)</f>
        <v>45949.29065</v>
      </c>
      <c r="J935" s="15">
        <f>IFERROR(__xludf.DUMMYFUNCTION("""COMPUTED_VALUE"""),45949.03570680674)</f>
        <v>45949.03571</v>
      </c>
      <c r="K935" s="15">
        <f>IFERROR(__xludf.DUMMYFUNCTION("""COMPUTED_VALUE"""),45949.27471449205)</f>
        <v>45949.27471</v>
      </c>
      <c r="L935" s="4"/>
    </row>
    <row r="936">
      <c r="A936" s="1">
        <f>IFERROR(__xludf.DUMMYFUNCTION("""COMPUTED_VALUE"""),935.0)</f>
        <v>935</v>
      </c>
      <c r="B936" s="1">
        <f>IFERROR(__xludf.DUMMYFUNCTION("""COMPUTED_VALUE"""),5867.0)</f>
        <v>5867</v>
      </c>
      <c r="C936" s="2" t="str">
        <f>IFERROR(__xludf.DUMMYFUNCTION("""COMPUTED_VALUE"""),"ahmad rifa'i")</f>
        <v>ahmad rifa'i</v>
      </c>
      <c r="D936" s="2" t="str">
        <f>IFERROR(__xludf.DUMMYFUNCTION("""COMPUTED_VALUE"""),"5KM OVERALL M")</f>
        <v>5KM OVERALL M</v>
      </c>
      <c r="E936" s="1">
        <f>IFERROR(__xludf.DUMMYFUNCTION("""COMPUTED_VALUE"""),585.0)</f>
        <v>585</v>
      </c>
      <c r="F936" s="1" t="str">
        <f>IFERROR(__xludf.DUMMYFUNCTION("""COMPUTED_VALUE"""),"Male")</f>
        <v>Male</v>
      </c>
      <c r="G936" s="5">
        <f>IFERROR(__xludf.DUMMYFUNCTION("""COMPUTED_VALUE"""),0.007141363425925926)</f>
        <v>0.007141363426</v>
      </c>
      <c r="H936" s="15">
        <f>IFERROR(__xludf.DUMMYFUNCTION("""COMPUTED_VALUE"""),0.2549440625)</f>
        <v>0.2549440625</v>
      </c>
      <c r="I936" s="15">
        <f>IFERROR(__xludf.DUMMYFUNCTION("""COMPUTED_VALUE"""),45949.29065088114)</f>
        <v>45949.29065</v>
      </c>
      <c r="J936" s="15">
        <f>IFERROR(__xludf.DUMMYFUNCTION("""COMPUTED_VALUE"""),45949.03570681864)</f>
        <v>45949.03571</v>
      </c>
      <c r="K936" s="15">
        <f>IFERROR(__xludf.DUMMYFUNCTION("""COMPUTED_VALUE"""),45949.27778018433)</f>
        <v>45949.27778</v>
      </c>
      <c r="L936" s="4"/>
    </row>
    <row r="937">
      <c r="A937" s="1">
        <f>IFERROR(__xludf.DUMMYFUNCTION("""COMPUTED_VALUE"""),936.0)</f>
        <v>936</v>
      </c>
      <c r="B937" s="1">
        <f>IFERROR(__xludf.DUMMYFUNCTION("""COMPUTED_VALUE"""),5877.0)</f>
        <v>5877</v>
      </c>
      <c r="C937" s="2" t="str">
        <f>IFERROR(__xludf.DUMMYFUNCTION("""COMPUTED_VALUE"""),"Shorea")</f>
        <v>Shorea</v>
      </c>
      <c r="D937" s="2" t="str">
        <f>IFERROR(__xludf.DUMMYFUNCTION("""COMPUTED_VALUE"""),"5KM OVERALL M")</f>
        <v>5KM OVERALL M</v>
      </c>
      <c r="E937" s="1">
        <f>IFERROR(__xludf.DUMMYFUNCTION("""COMPUTED_VALUE"""),586.0)</f>
        <v>586</v>
      </c>
      <c r="F937" s="1" t="str">
        <f>IFERROR(__xludf.DUMMYFUNCTION("""COMPUTED_VALUE"""),"Male")</f>
        <v>Male</v>
      </c>
      <c r="G937" s="5">
        <f>IFERROR(__xludf.DUMMYFUNCTION("""COMPUTED_VALUE"""),0.007143444444444444)</f>
        <v>0.007143444444</v>
      </c>
      <c r="H937" s="15">
        <f>IFERROR(__xludf.DUMMYFUNCTION("""COMPUTED_VALUE"""),0.2549440625)</f>
        <v>0.2549440625</v>
      </c>
      <c r="I937" s="15">
        <f>IFERROR(__xludf.DUMMYFUNCTION("""COMPUTED_VALUE"""),45949.290661281826)</f>
        <v>45949.29066</v>
      </c>
      <c r="J937" s="15">
        <f>IFERROR(__xludf.DUMMYFUNCTION("""COMPUTED_VALUE"""),45949.035717219325)</f>
        <v>45949.03572</v>
      </c>
      <c r="K937" s="15">
        <f>IFERROR(__xludf.DUMMYFUNCTION("""COMPUTED_VALUE"""),45949.27783925728)</f>
        <v>45949.27784</v>
      </c>
      <c r="L937" s="4"/>
    </row>
    <row r="938">
      <c r="A938" s="1">
        <f>IFERROR(__xludf.DUMMYFUNCTION("""COMPUTED_VALUE"""),937.0)</f>
        <v>937</v>
      </c>
      <c r="B938" s="1">
        <f>IFERROR(__xludf.DUMMYFUNCTION("""COMPUTED_VALUE"""),5667.0)</f>
        <v>5667</v>
      </c>
      <c r="C938" s="2" t="str">
        <f>IFERROR(__xludf.DUMMYFUNCTION("""COMPUTED_VALUE"""),"nikenss")</f>
        <v>nikenss</v>
      </c>
      <c r="D938" s="2" t="str">
        <f>IFERROR(__xludf.DUMMYFUNCTION("""COMPUTED_VALUE"""),"5KM OVERALL F")</f>
        <v>5KM OVERALL F</v>
      </c>
      <c r="E938" s="1">
        <f>IFERROR(__xludf.DUMMYFUNCTION("""COMPUTED_VALUE"""),176.0)</f>
        <v>176</v>
      </c>
      <c r="F938" s="1" t="str">
        <f>IFERROR(__xludf.DUMMYFUNCTION("""COMPUTED_VALUE"""),"Female")</f>
        <v>Female</v>
      </c>
      <c r="G938" s="5">
        <f>IFERROR(__xludf.DUMMYFUNCTION("""COMPUTED_VALUE"""),0.007146909722222222)</f>
        <v>0.007146909722</v>
      </c>
      <c r="H938" s="15">
        <f>IFERROR(__xludf.DUMMYFUNCTION("""COMPUTED_VALUE"""),0.2549440625)</f>
        <v>0.2549440625</v>
      </c>
      <c r="I938" s="15">
        <f>IFERROR(__xludf.DUMMYFUNCTION("""COMPUTED_VALUE"""),45949.29067860684)</f>
        <v>45949.29068</v>
      </c>
      <c r="J938" s="15">
        <f>IFERROR(__xludf.DUMMYFUNCTION("""COMPUTED_VALUE"""),45949.03573454434)</f>
        <v>45949.03573</v>
      </c>
      <c r="K938" s="15">
        <f>IFERROR(__xludf.DUMMYFUNCTION("""COMPUTED_VALUE"""),45949.276130917846)</f>
        <v>45949.27613</v>
      </c>
      <c r="L938" s="4"/>
    </row>
    <row r="939">
      <c r="A939" s="1">
        <f>IFERROR(__xludf.DUMMYFUNCTION("""COMPUTED_VALUE"""),938.0)</f>
        <v>938</v>
      </c>
      <c r="B939" s="1">
        <f>IFERROR(__xludf.DUMMYFUNCTION("""COMPUTED_VALUE"""),5078.0)</f>
        <v>5078</v>
      </c>
      <c r="C939" s="2" t="str">
        <f>IFERROR(__xludf.DUMMYFUNCTION("""COMPUTED_VALUE"""),"Fachri")</f>
        <v>Fachri</v>
      </c>
      <c r="D939" s="2" t="str">
        <f>IFERROR(__xludf.DUMMYFUNCTION("""COMPUTED_VALUE"""),"5KM OVERALL M")</f>
        <v>5KM OVERALL M</v>
      </c>
      <c r="E939" s="1">
        <f>IFERROR(__xludf.DUMMYFUNCTION("""COMPUTED_VALUE"""),587.0)</f>
        <v>587</v>
      </c>
      <c r="F939" s="1" t="str">
        <f>IFERROR(__xludf.DUMMYFUNCTION("""COMPUTED_VALUE"""),"Male")</f>
        <v>Male</v>
      </c>
      <c r="G939" s="5">
        <f>IFERROR(__xludf.DUMMYFUNCTION("""COMPUTED_VALUE"""),0.007149002314814815)</f>
        <v>0.007149002315</v>
      </c>
      <c r="H939" s="15">
        <f>IFERROR(__xludf.DUMMYFUNCTION("""COMPUTED_VALUE"""),0.2549440625)</f>
        <v>0.2549440625</v>
      </c>
      <c r="I939" s="15">
        <f>IFERROR(__xludf.DUMMYFUNCTION("""COMPUTED_VALUE"""),45949.29068906985)</f>
        <v>45949.29069</v>
      </c>
      <c r="J939" s="15">
        <f>IFERROR(__xludf.DUMMYFUNCTION("""COMPUTED_VALUE"""),45949.03574500735)</f>
        <v>45949.03575</v>
      </c>
      <c r="K939" s="15">
        <f>IFERROR(__xludf.DUMMYFUNCTION("""COMPUTED_VALUE"""),45949.276842722895)</f>
        <v>45949.27684</v>
      </c>
      <c r="L939" s="4"/>
    </row>
    <row r="940">
      <c r="A940" s="1">
        <f>IFERROR(__xludf.DUMMYFUNCTION("""COMPUTED_VALUE"""),939.0)</f>
        <v>939</v>
      </c>
      <c r="B940" s="1">
        <f>IFERROR(__xludf.DUMMYFUNCTION("""COMPUTED_VALUE"""),5859.0)</f>
        <v>5859</v>
      </c>
      <c r="C940" s="2" t="str">
        <f>IFERROR(__xludf.DUMMYFUNCTION("""COMPUTED_VALUE"""),"M.Effendi")</f>
        <v>M.Effendi</v>
      </c>
      <c r="D940" s="2" t="str">
        <f>IFERROR(__xludf.DUMMYFUNCTION("""COMPUTED_VALUE"""),"5KM OVERALL M")</f>
        <v>5KM OVERALL M</v>
      </c>
      <c r="E940" s="1">
        <f>IFERROR(__xludf.DUMMYFUNCTION("""COMPUTED_VALUE"""),588.0)</f>
        <v>588</v>
      </c>
      <c r="F940" s="1" t="str">
        <f>IFERROR(__xludf.DUMMYFUNCTION("""COMPUTED_VALUE"""),"Male")</f>
        <v>Male</v>
      </c>
      <c r="G940" s="5">
        <f>IFERROR(__xludf.DUMMYFUNCTION("""COMPUTED_VALUE"""),0.007150391203703704)</f>
        <v>0.007150391204</v>
      </c>
      <c r="H940" s="15">
        <f>IFERROR(__xludf.DUMMYFUNCTION("""COMPUTED_VALUE"""),0.2549440625)</f>
        <v>0.2549440625</v>
      </c>
      <c r="I940" s="15">
        <f>IFERROR(__xludf.DUMMYFUNCTION("""COMPUTED_VALUE"""),45949.290696024)</f>
        <v>45949.2907</v>
      </c>
      <c r="J940" s="15">
        <f>IFERROR(__xludf.DUMMYFUNCTION("""COMPUTED_VALUE"""),45949.0357519615)</f>
        <v>45949.03575</v>
      </c>
      <c r="K940" s="15">
        <f>IFERROR(__xludf.DUMMYFUNCTION("""COMPUTED_VALUE"""),45949.27784265588)</f>
        <v>45949.27784</v>
      </c>
      <c r="L940" s="4"/>
    </row>
    <row r="941">
      <c r="A941" s="1">
        <f>IFERROR(__xludf.DUMMYFUNCTION("""COMPUTED_VALUE"""),940.0)</f>
        <v>940</v>
      </c>
      <c r="B941" s="1">
        <f>IFERROR(__xludf.DUMMYFUNCTION("""COMPUTED_VALUE"""),5337.0)</f>
        <v>5337</v>
      </c>
      <c r="C941" s="2" t="str">
        <f>IFERROR(__xludf.DUMMYFUNCTION("""COMPUTED_VALUE"""),"INTAN INDAH")</f>
        <v>INTAN INDAH</v>
      </c>
      <c r="D941" s="2" t="str">
        <f>IFERROR(__xludf.DUMMYFUNCTION("""COMPUTED_VALUE"""),"5KM OVERALL F")</f>
        <v>5KM OVERALL F</v>
      </c>
      <c r="E941" s="1">
        <f>IFERROR(__xludf.DUMMYFUNCTION("""COMPUTED_VALUE"""),177.0)</f>
        <v>177</v>
      </c>
      <c r="F941" s="1" t="str">
        <f>IFERROR(__xludf.DUMMYFUNCTION("""COMPUTED_VALUE"""),"Female")</f>
        <v>Female</v>
      </c>
      <c r="G941" s="5">
        <f>IFERROR(__xludf.DUMMYFUNCTION("""COMPUTED_VALUE"""),0.007152472222222222)</f>
        <v>0.007152472222</v>
      </c>
      <c r="H941" s="15">
        <f>IFERROR(__xludf.DUMMYFUNCTION("""COMPUTED_VALUE"""),0.2549440625)</f>
        <v>0.2549440625</v>
      </c>
      <c r="I941" s="15">
        <f>IFERROR(__xludf.DUMMYFUNCTION("""COMPUTED_VALUE"""),45949.290706427506)</f>
        <v>45949.29071</v>
      </c>
      <c r="J941" s="15">
        <f>IFERROR(__xludf.DUMMYFUNCTION("""COMPUTED_VALUE"""),45949.035762365005)</f>
        <v>45949.03576</v>
      </c>
      <c r="K941" s="15">
        <f>IFERROR(__xludf.DUMMYFUNCTION("""COMPUTED_VALUE"""),45949.27580101078)</f>
        <v>45949.2758</v>
      </c>
      <c r="L941" s="4"/>
    </row>
    <row r="942">
      <c r="A942" s="1">
        <f>IFERROR(__xludf.DUMMYFUNCTION("""COMPUTED_VALUE"""),941.0)</f>
        <v>941</v>
      </c>
      <c r="B942" s="1">
        <f>IFERROR(__xludf.DUMMYFUNCTION("""COMPUTED_VALUE"""),5723.0)</f>
        <v>5723</v>
      </c>
      <c r="C942" s="2" t="str">
        <f>IFERROR(__xludf.DUMMYFUNCTION("""COMPUTED_VALUE"""),"Gisel Gabriel")</f>
        <v>Gisel Gabriel</v>
      </c>
      <c r="D942" s="2" t="str">
        <f>IFERROR(__xludf.DUMMYFUNCTION("""COMPUTED_VALUE"""),"5KM OVERALL F")</f>
        <v>5KM OVERALL F</v>
      </c>
      <c r="E942" s="1">
        <f>IFERROR(__xludf.DUMMYFUNCTION("""COMPUTED_VALUE"""),178.0)</f>
        <v>178</v>
      </c>
      <c r="F942" s="1" t="str">
        <f>IFERROR(__xludf.DUMMYFUNCTION("""COMPUTED_VALUE"""),"Female")</f>
        <v>Female</v>
      </c>
      <c r="G942" s="5">
        <f>IFERROR(__xludf.DUMMYFUNCTION("""COMPUTED_VALUE"""),0.007152474537037037)</f>
        <v>0.007152474537</v>
      </c>
      <c r="H942" s="15">
        <f>IFERROR(__xludf.DUMMYFUNCTION("""COMPUTED_VALUE"""),0.2549440625)</f>
        <v>0.2549440625</v>
      </c>
      <c r="I942" s="15">
        <f>IFERROR(__xludf.DUMMYFUNCTION("""COMPUTED_VALUE"""),45949.2907064392)</f>
        <v>45949.29071</v>
      </c>
      <c r="J942" s="15">
        <f>IFERROR(__xludf.DUMMYFUNCTION("""COMPUTED_VALUE"""),45949.0357623767)</f>
        <v>45949.03576</v>
      </c>
      <c r="K942" s="15">
        <f>IFERROR(__xludf.DUMMYFUNCTION("""COMPUTED_VALUE"""),45949.275797617585)</f>
        <v>45949.2758</v>
      </c>
      <c r="L942" s="4"/>
    </row>
    <row r="943">
      <c r="A943" s="1">
        <f>IFERROR(__xludf.DUMMYFUNCTION("""COMPUTED_VALUE"""),942.0)</f>
        <v>942</v>
      </c>
      <c r="B943" s="1">
        <f>IFERROR(__xludf.DUMMYFUNCTION("""COMPUTED_VALUE"""),6575.0)</f>
        <v>6575</v>
      </c>
      <c r="C943" s="2" t="str">
        <f>IFERROR(__xludf.DUMMYFUNCTION("""COMPUTED_VALUE"""),"Akhmad Nouval")</f>
        <v>Akhmad Nouval</v>
      </c>
      <c r="D943" s="2" t="str">
        <f>IFERROR(__xludf.DUMMYFUNCTION("""COMPUTED_VALUE"""),"5KM OVERALL M")</f>
        <v>5KM OVERALL M</v>
      </c>
      <c r="E943" s="1">
        <f>IFERROR(__xludf.DUMMYFUNCTION("""COMPUTED_VALUE"""),589.0)</f>
        <v>589</v>
      </c>
      <c r="F943" s="1" t="str">
        <f>IFERROR(__xludf.DUMMYFUNCTION("""COMPUTED_VALUE"""),"Male")</f>
        <v>Male</v>
      </c>
      <c r="G943" s="5">
        <f>IFERROR(__xludf.DUMMYFUNCTION("""COMPUTED_VALUE"""),0.0071545555555555555)</f>
        <v>0.007154555556</v>
      </c>
      <c r="H943" s="15">
        <f>IFERROR(__xludf.DUMMYFUNCTION("""COMPUTED_VALUE"""),0.2549440625)</f>
        <v>0.2549440625</v>
      </c>
      <c r="I943" s="15">
        <f>IFERROR(__xludf.DUMMYFUNCTION("""COMPUTED_VALUE"""),45949.290716843556)</f>
        <v>45949.29072</v>
      </c>
      <c r="J943" s="15">
        <f>IFERROR(__xludf.DUMMYFUNCTION("""COMPUTED_VALUE"""),45949.035772781055)</f>
        <v>45949.03577</v>
      </c>
      <c r="K943" s="15">
        <f>IFERROR(__xludf.DUMMYFUNCTION("""COMPUTED_VALUE"""),45950.276412037034)</f>
        <v>45950.27641</v>
      </c>
      <c r="L943" s="4" t="str">
        <f>IFERROR(__xludf.DUMMYFUNCTION("""COMPUTED_VALUE"""),"C")</f>
        <v>C</v>
      </c>
    </row>
    <row r="944">
      <c r="A944" s="1">
        <f>IFERROR(__xludf.DUMMYFUNCTION("""COMPUTED_VALUE"""),943.0)</f>
        <v>943</v>
      </c>
      <c r="B944" s="1">
        <f>IFERROR(__xludf.DUMMYFUNCTION("""COMPUTED_VALUE"""),6045.0)</f>
        <v>6045</v>
      </c>
      <c r="C944" s="2" t="str">
        <f>IFERROR(__xludf.DUMMYFUNCTION("""COMPUTED_VALUE"""),"ANITA QURROTA")</f>
        <v>ANITA QURROTA</v>
      </c>
      <c r="D944" s="2" t="str">
        <f>IFERROR(__xludf.DUMMYFUNCTION("""COMPUTED_VALUE"""),"5KM OVERALL F")</f>
        <v>5KM OVERALL F</v>
      </c>
      <c r="E944" s="1">
        <f>IFERROR(__xludf.DUMMYFUNCTION("""COMPUTED_VALUE"""),179.0)</f>
        <v>179</v>
      </c>
      <c r="F944" s="1" t="str">
        <f>IFERROR(__xludf.DUMMYFUNCTION("""COMPUTED_VALUE"""),"Female")</f>
        <v>Female</v>
      </c>
      <c r="G944" s="5">
        <f>IFERROR(__xludf.DUMMYFUNCTION("""COMPUTED_VALUE"""),0.007155944444444444)</f>
        <v>0.007155944444</v>
      </c>
      <c r="H944" s="15">
        <f>IFERROR(__xludf.DUMMYFUNCTION("""COMPUTED_VALUE"""),0.2549440625)</f>
        <v>0.2549440625</v>
      </c>
      <c r="I944" s="15">
        <f>IFERROR(__xludf.DUMMYFUNCTION("""COMPUTED_VALUE"""),45949.29072378945)</f>
        <v>45949.29072</v>
      </c>
      <c r="J944" s="15">
        <f>IFERROR(__xludf.DUMMYFUNCTION("""COMPUTED_VALUE"""),45949.035779726946)</f>
        <v>45949.03578</v>
      </c>
      <c r="K944" s="15">
        <f>IFERROR(__xludf.DUMMYFUNCTION("""COMPUTED_VALUE"""),45949.27484614291)</f>
        <v>45949.27485</v>
      </c>
      <c r="L944" s="4"/>
    </row>
    <row r="945">
      <c r="A945" s="1">
        <f>IFERROR(__xludf.DUMMYFUNCTION("""COMPUTED_VALUE"""),944.0)</f>
        <v>944</v>
      </c>
      <c r="B945" s="1">
        <f>IFERROR(__xludf.DUMMYFUNCTION("""COMPUTED_VALUE"""),7082.0)</f>
        <v>7082</v>
      </c>
      <c r="C945" s="2" t="str">
        <f>IFERROR(__xludf.DUMMYFUNCTION("""COMPUTED_VALUE"""),"AGUS FACHRUROZI")</f>
        <v>AGUS FACHRUROZI</v>
      </c>
      <c r="D945" s="2" t="str">
        <f>IFERROR(__xludf.DUMMYFUNCTION("""COMPUTED_VALUE"""),"5KM MASTER M")</f>
        <v>5KM MASTER M</v>
      </c>
      <c r="E945" s="1">
        <f>IFERROR(__xludf.DUMMYFUNCTION("""COMPUTED_VALUE"""),74.0)</f>
        <v>74</v>
      </c>
      <c r="F945" s="1" t="str">
        <f>IFERROR(__xludf.DUMMYFUNCTION("""COMPUTED_VALUE"""),"Male")</f>
        <v>Male</v>
      </c>
      <c r="G945" s="5">
        <f>IFERROR(__xludf.DUMMYFUNCTION("""COMPUTED_VALUE"""),0.007156638888888889)</f>
        <v>0.007156638889</v>
      </c>
      <c r="H945" s="15">
        <f>IFERROR(__xludf.DUMMYFUNCTION("""COMPUTED_VALUE"""),0.2549440625)</f>
        <v>0.2549440625</v>
      </c>
      <c r="I945" s="15">
        <f>IFERROR(__xludf.DUMMYFUNCTION("""COMPUTED_VALUE"""),45949.290727259424)</f>
        <v>45949.29073</v>
      </c>
      <c r="J945" s="15">
        <f>IFERROR(__xludf.DUMMYFUNCTION("""COMPUTED_VALUE"""),45949.03578319692)</f>
        <v>45949.03578</v>
      </c>
      <c r="K945" s="15">
        <f>IFERROR(__xludf.DUMMYFUNCTION("""COMPUTED_VALUE"""),45949.27482183896)</f>
        <v>45949.27482</v>
      </c>
      <c r="L945" s="4"/>
    </row>
    <row r="946">
      <c r="A946" s="1">
        <f>IFERROR(__xludf.DUMMYFUNCTION("""COMPUTED_VALUE"""),945.0)</f>
        <v>945</v>
      </c>
      <c r="B946" s="1">
        <f>IFERROR(__xludf.DUMMYFUNCTION("""COMPUTED_VALUE"""),5040.0)</f>
        <v>5040</v>
      </c>
      <c r="C946" s="2" t="str">
        <f>IFERROR(__xludf.DUMMYFUNCTION("""COMPUTED_VALUE"""),"Zainuri")</f>
        <v>Zainuri</v>
      </c>
      <c r="D946" s="2" t="str">
        <f>IFERROR(__xludf.DUMMYFUNCTION("""COMPUTED_VALUE"""),"5KM OVERALL M")</f>
        <v>5KM OVERALL M</v>
      </c>
      <c r="E946" s="1">
        <f>IFERROR(__xludf.DUMMYFUNCTION("""COMPUTED_VALUE"""),590.0)</f>
        <v>590</v>
      </c>
      <c r="F946" s="1" t="str">
        <f>IFERROR(__xludf.DUMMYFUNCTION("""COMPUTED_VALUE"""),"Male")</f>
        <v>Male</v>
      </c>
      <c r="G946" s="5">
        <f>IFERROR(__xludf.DUMMYFUNCTION("""COMPUTED_VALUE"""),0.0071587222222222234)</f>
        <v>0.007158722222</v>
      </c>
      <c r="H946" s="15">
        <f>IFERROR(__xludf.DUMMYFUNCTION("""COMPUTED_VALUE"""),0.2549440625)</f>
        <v>0.2549440625</v>
      </c>
      <c r="I946" s="15">
        <f>IFERROR(__xludf.DUMMYFUNCTION("""COMPUTED_VALUE"""),45949.29073767366)</f>
        <v>45949.29074</v>
      </c>
      <c r="J946" s="15">
        <f>IFERROR(__xludf.DUMMYFUNCTION("""COMPUTED_VALUE"""),45949.03579361116)</f>
        <v>45949.03579</v>
      </c>
      <c r="K946" s="15">
        <f>IFERROR(__xludf.DUMMYFUNCTION("""COMPUTED_VALUE"""),45949.27566905758)</f>
        <v>45949.27567</v>
      </c>
      <c r="L946" s="4"/>
    </row>
    <row r="947">
      <c r="A947" s="1">
        <f>IFERROR(__xludf.DUMMYFUNCTION("""COMPUTED_VALUE"""),946.0)</f>
        <v>946</v>
      </c>
      <c r="B947" s="1">
        <f>IFERROR(__xludf.DUMMYFUNCTION("""COMPUTED_VALUE"""),7066.0)</f>
        <v>7066</v>
      </c>
      <c r="C947" s="2" t="str">
        <f>IFERROR(__xludf.DUMMYFUNCTION("""COMPUTED_VALUE"""),"EMY ASTUTI")</f>
        <v>EMY ASTUTI</v>
      </c>
      <c r="D947" s="2" t="str">
        <f>IFERROR(__xludf.DUMMYFUNCTION("""COMPUTED_VALUE"""),"5KM MASTER F")</f>
        <v>5KM MASTER F</v>
      </c>
      <c r="E947" s="1">
        <f>IFERROR(__xludf.DUMMYFUNCTION("""COMPUTED_VALUE"""),37.0)</f>
        <v>37</v>
      </c>
      <c r="F947" s="1" t="str">
        <f>IFERROR(__xludf.DUMMYFUNCTION("""COMPUTED_VALUE"""),"Female")</f>
        <v>Female</v>
      </c>
      <c r="G947" s="5">
        <f>IFERROR(__xludf.DUMMYFUNCTION("""COMPUTED_VALUE"""),0.007160111111111112)</f>
        <v>0.007160111111</v>
      </c>
      <c r="H947" s="15">
        <f>IFERROR(__xludf.DUMMYFUNCTION("""COMPUTED_VALUE"""),0.2549440625)</f>
        <v>0.2549440625</v>
      </c>
      <c r="I947" s="15">
        <f>IFERROR(__xludf.DUMMYFUNCTION("""COMPUTED_VALUE"""),45949.2907446225)</f>
        <v>45949.29074</v>
      </c>
      <c r="J947" s="15">
        <f>IFERROR(__xludf.DUMMYFUNCTION("""COMPUTED_VALUE"""),45949.03580056)</f>
        <v>45949.0358</v>
      </c>
      <c r="K947" s="15">
        <f>IFERROR(__xludf.DUMMYFUNCTION("""COMPUTED_VALUE"""),45949.274748905016)</f>
        <v>45949.27475</v>
      </c>
      <c r="L947" s="4"/>
    </row>
    <row r="948">
      <c r="A948" s="1">
        <f>IFERROR(__xludf.DUMMYFUNCTION("""COMPUTED_VALUE"""),947.0)</f>
        <v>947</v>
      </c>
      <c r="B948" s="1">
        <f>IFERROR(__xludf.DUMMYFUNCTION("""COMPUTED_VALUE"""),6243.0)</f>
        <v>6243</v>
      </c>
      <c r="C948" s="2" t="str">
        <f>IFERROR(__xludf.DUMMYFUNCTION("""COMPUTED_VALUE"""),"hdynova")</f>
        <v>hdynova</v>
      </c>
      <c r="D948" s="2" t="str">
        <f>IFERROR(__xludf.DUMMYFUNCTION("""COMPUTED_VALUE"""),"5KM OVERALL F")</f>
        <v>5KM OVERALL F</v>
      </c>
      <c r="E948" s="1">
        <f>IFERROR(__xludf.DUMMYFUNCTION("""COMPUTED_VALUE"""),180.0)</f>
        <v>180</v>
      </c>
      <c r="F948" s="1" t="str">
        <f>IFERROR(__xludf.DUMMYFUNCTION("""COMPUTED_VALUE"""),"Female")</f>
        <v>Female</v>
      </c>
      <c r="G948" s="5">
        <f>IFERROR(__xludf.DUMMYFUNCTION("""COMPUTED_VALUE"""),0.007160113425925925)</f>
        <v>0.007160113426</v>
      </c>
      <c r="H948" s="15">
        <f>IFERROR(__xludf.DUMMYFUNCTION("""COMPUTED_VALUE"""),0.2549440625)</f>
        <v>0.2549440625</v>
      </c>
      <c r="I948" s="15">
        <f>IFERROR(__xludf.DUMMYFUNCTION("""COMPUTED_VALUE"""),45949.29074463455)</f>
        <v>45949.29074</v>
      </c>
      <c r="J948" s="15">
        <f>IFERROR(__xludf.DUMMYFUNCTION("""COMPUTED_VALUE"""),45949.03580057205)</f>
        <v>45949.0358</v>
      </c>
      <c r="K948" s="15">
        <f>IFERROR(__xludf.DUMMYFUNCTION("""COMPUTED_VALUE"""),45949.276686507306)</f>
        <v>45949.27669</v>
      </c>
      <c r="L948" s="4"/>
    </row>
    <row r="949">
      <c r="A949" s="1">
        <f>IFERROR(__xludf.DUMMYFUNCTION("""COMPUTED_VALUE"""),948.0)</f>
        <v>948</v>
      </c>
      <c r="B949" s="1">
        <f>IFERROR(__xludf.DUMMYFUNCTION("""COMPUTED_VALUE"""),5663.0)</f>
        <v>5663</v>
      </c>
      <c r="C949" s="2" t="str">
        <f>IFERROR(__xludf.DUMMYFUNCTION("""COMPUTED_VALUE"""),"Shanah")</f>
        <v>Shanah</v>
      </c>
      <c r="D949" s="2" t="str">
        <f>IFERROR(__xludf.DUMMYFUNCTION("""COMPUTED_VALUE"""),"5KM OVERALL F")</f>
        <v>5KM OVERALL F</v>
      </c>
      <c r="E949" s="1">
        <f>IFERROR(__xludf.DUMMYFUNCTION("""COMPUTED_VALUE"""),181.0)</f>
        <v>181</v>
      </c>
      <c r="F949" s="1" t="str">
        <f>IFERROR(__xludf.DUMMYFUNCTION("""COMPUTED_VALUE"""),"Female")</f>
        <v>Female</v>
      </c>
      <c r="G949" s="5">
        <f>IFERROR(__xludf.DUMMYFUNCTION("""COMPUTED_VALUE"""),0.007169824074074074)</f>
        <v>0.007169824074</v>
      </c>
      <c r="H949" s="15">
        <f>IFERROR(__xludf.DUMMYFUNCTION("""COMPUTED_VALUE"""),0.2549440625)</f>
        <v>0.2549440625</v>
      </c>
      <c r="I949" s="15">
        <f>IFERROR(__xludf.DUMMYFUNCTION("""COMPUTED_VALUE"""),45949.29079318812)</f>
        <v>45949.29079</v>
      </c>
      <c r="J949" s="15">
        <f>IFERROR(__xludf.DUMMYFUNCTION("""COMPUTED_VALUE"""),45949.03584912562)</f>
        <v>45949.03585</v>
      </c>
      <c r="K949" s="15">
        <f>IFERROR(__xludf.DUMMYFUNCTION("""COMPUTED_VALUE"""),45949.27539474071)</f>
        <v>45949.27539</v>
      </c>
      <c r="L949" s="4"/>
    </row>
    <row r="950">
      <c r="A950" s="1">
        <f>IFERROR(__xludf.DUMMYFUNCTION("""COMPUTED_VALUE"""),949.0)</f>
        <v>949</v>
      </c>
      <c r="B950" s="1">
        <f>IFERROR(__xludf.DUMMYFUNCTION("""COMPUTED_VALUE"""),5642.0)</f>
        <v>5642</v>
      </c>
      <c r="C950" s="2" t="str">
        <f>IFERROR(__xludf.DUMMYFUNCTION("""COMPUTED_VALUE"""),"ANNIE")</f>
        <v>ANNIE</v>
      </c>
      <c r="D950" s="2" t="str">
        <f>IFERROR(__xludf.DUMMYFUNCTION("""COMPUTED_VALUE"""),"5KM OVERALL F")</f>
        <v>5KM OVERALL F</v>
      </c>
      <c r="E950" s="1">
        <f>IFERROR(__xludf.DUMMYFUNCTION("""COMPUTED_VALUE"""),182.0)</f>
        <v>182</v>
      </c>
      <c r="F950" s="1" t="str">
        <f>IFERROR(__xludf.DUMMYFUNCTION("""COMPUTED_VALUE"""),"Female")</f>
        <v>Female</v>
      </c>
      <c r="G950" s="5">
        <f>IFERROR(__xludf.DUMMYFUNCTION("""COMPUTED_VALUE"""),0.007172599537037037)</f>
        <v>0.007172599537</v>
      </c>
      <c r="H950" s="15">
        <f>IFERROR(__xludf.DUMMYFUNCTION("""COMPUTED_VALUE"""),0.2549440625)</f>
        <v>0.2549440625</v>
      </c>
      <c r="I950" s="15">
        <f>IFERROR(__xludf.DUMMYFUNCTION("""COMPUTED_VALUE"""),45949.29080706391)</f>
        <v>45949.29081</v>
      </c>
      <c r="J950" s="15">
        <f>IFERROR(__xludf.DUMMYFUNCTION("""COMPUTED_VALUE"""),45949.03586300141)</f>
        <v>45949.03586</v>
      </c>
      <c r="K950" s="15">
        <f>IFERROR(__xludf.DUMMYFUNCTION("""COMPUTED_VALUE"""),45949.27540516836)</f>
        <v>45949.27541</v>
      </c>
      <c r="L950" s="4"/>
    </row>
    <row r="951">
      <c r="A951" s="1">
        <f>IFERROR(__xludf.DUMMYFUNCTION("""COMPUTED_VALUE"""),950.0)</f>
        <v>950</v>
      </c>
      <c r="B951" s="1">
        <f>IFERROR(__xludf.DUMMYFUNCTION("""COMPUTED_VALUE"""),5251.0)</f>
        <v>5251</v>
      </c>
      <c r="C951" s="2" t="str">
        <f>IFERROR(__xludf.DUMMYFUNCTION("""COMPUTED_VALUE"""),"RESKHI")</f>
        <v>RESKHI</v>
      </c>
      <c r="D951" s="2" t="str">
        <f>IFERROR(__xludf.DUMMYFUNCTION("""COMPUTED_VALUE"""),"5KM OVERALL M")</f>
        <v>5KM OVERALL M</v>
      </c>
      <c r="E951" s="1">
        <f>IFERROR(__xludf.DUMMYFUNCTION("""COMPUTED_VALUE"""),591.0)</f>
        <v>591</v>
      </c>
      <c r="F951" s="1" t="str">
        <f>IFERROR(__xludf.DUMMYFUNCTION("""COMPUTED_VALUE"""),"Male")</f>
        <v>Male</v>
      </c>
      <c r="G951" s="5">
        <f>IFERROR(__xludf.DUMMYFUNCTION("""COMPUTED_VALUE"""),0.007173305555555555)</f>
        <v>0.007173305556</v>
      </c>
      <c r="H951" s="15">
        <f>IFERROR(__xludf.DUMMYFUNCTION("""COMPUTED_VALUE"""),0.2549440625)</f>
        <v>0.2549440625</v>
      </c>
      <c r="I951" s="15">
        <f>IFERROR(__xludf.DUMMYFUNCTION("""COMPUTED_VALUE"""),45949.290810587)</f>
        <v>45949.29081</v>
      </c>
      <c r="J951" s="15">
        <f>IFERROR(__xludf.DUMMYFUNCTION("""COMPUTED_VALUE"""),45949.0358665245)</f>
        <v>45949.03587</v>
      </c>
      <c r="K951" s="15">
        <f>IFERROR(__xludf.DUMMYFUNCTION("""COMPUTED_VALUE"""),45949.27668648415)</f>
        <v>45949.27669</v>
      </c>
      <c r="L951" s="4"/>
    </row>
    <row r="952">
      <c r="A952" s="1">
        <f>IFERROR(__xludf.DUMMYFUNCTION("""COMPUTED_VALUE"""),951.0)</f>
        <v>951</v>
      </c>
      <c r="B952" s="1">
        <f>IFERROR(__xludf.DUMMYFUNCTION("""COMPUTED_VALUE"""),5827.0)</f>
        <v>5827</v>
      </c>
      <c r="C952" s="2" t="str">
        <f>IFERROR(__xludf.DUMMYFUNCTION("""COMPUTED_VALUE"""),"Eka")</f>
        <v>Eka</v>
      </c>
      <c r="D952" s="2" t="str">
        <f>IFERROR(__xludf.DUMMYFUNCTION("""COMPUTED_VALUE"""),"5KM OVERALL F")</f>
        <v>5KM OVERALL F</v>
      </c>
      <c r="E952" s="1">
        <f>IFERROR(__xludf.DUMMYFUNCTION("""COMPUTED_VALUE"""),183.0)</f>
        <v>183</v>
      </c>
      <c r="F952" s="1" t="str">
        <f>IFERROR(__xludf.DUMMYFUNCTION("""COMPUTED_VALUE"""),"Female")</f>
        <v>Female</v>
      </c>
      <c r="G952" s="5">
        <f>IFERROR(__xludf.DUMMYFUNCTION("""COMPUTED_VALUE"""),0.007178168981481482)</f>
        <v>0.007178168981</v>
      </c>
      <c r="H952" s="15">
        <f>IFERROR(__xludf.DUMMYFUNCTION("""COMPUTED_VALUE"""),0.2549440625)</f>
        <v>0.2549440625</v>
      </c>
      <c r="I952" s="15">
        <f>IFERROR(__xludf.DUMMYFUNCTION("""COMPUTED_VALUE"""),45949.29083491223)</f>
        <v>45949.29083</v>
      </c>
      <c r="J952" s="15">
        <f>IFERROR(__xludf.DUMMYFUNCTION("""COMPUTED_VALUE"""),45949.03589084973)</f>
        <v>45949.03589</v>
      </c>
      <c r="K952" s="15">
        <f>IFERROR(__xludf.DUMMYFUNCTION("""COMPUTED_VALUE"""),45949.27447459846)</f>
        <v>45949.27447</v>
      </c>
      <c r="L952" s="4"/>
    </row>
    <row r="953">
      <c r="A953" s="1">
        <f>IFERROR(__xludf.DUMMYFUNCTION("""COMPUTED_VALUE"""),952.0)</f>
        <v>952</v>
      </c>
      <c r="B953" s="1">
        <f>IFERROR(__xludf.DUMMYFUNCTION("""COMPUTED_VALUE"""),5448.0)</f>
        <v>5448</v>
      </c>
      <c r="C953" s="2" t="str">
        <f>IFERROR(__xludf.DUMMYFUNCTION("""COMPUTED_VALUE"""),"Putrinrhzyh")</f>
        <v>Putrinrhzyh</v>
      </c>
      <c r="D953" s="2" t="str">
        <f>IFERROR(__xludf.DUMMYFUNCTION("""COMPUTED_VALUE"""),"5KM OVERALL F")</f>
        <v>5KM OVERALL F</v>
      </c>
      <c r="E953" s="1">
        <f>IFERROR(__xludf.DUMMYFUNCTION("""COMPUTED_VALUE"""),184.0)</f>
        <v>184</v>
      </c>
      <c r="F953" s="1" t="str">
        <f>IFERROR(__xludf.DUMMYFUNCTION("""COMPUTED_VALUE"""),"Female")</f>
        <v>Female</v>
      </c>
      <c r="G953" s="5">
        <f>IFERROR(__xludf.DUMMYFUNCTION("""COMPUTED_VALUE"""),0.0071809444444444455)</f>
        <v>0.007180944444</v>
      </c>
      <c r="H953" s="15">
        <f>IFERROR(__xludf.DUMMYFUNCTION("""COMPUTED_VALUE"""),0.2549440625)</f>
        <v>0.2549440625</v>
      </c>
      <c r="I953" s="15">
        <f>IFERROR(__xludf.DUMMYFUNCTION("""COMPUTED_VALUE"""),45949.29084878845)</f>
        <v>45949.29085</v>
      </c>
      <c r="J953" s="15">
        <f>IFERROR(__xludf.DUMMYFUNCTION("""COMPUTED_VALUE"""),45949.03590472595)</f>
        <v>45949.0359</v>
      </c>
      <c r="K953" s="15">
        <f>IFERROR(__xludf.DUMMYFUNCTION("""COMPUTED_VALUE"""),45949.275814884015)</f>
        <v>45949.27581</v>
      </c>
      <c r="L953" s="4"/>
    </row>
    <row r="954">
      <c r="A954" s="1">
        <f>IFERROR(__xludf.DUMMYFUNCTION("""COMPUTED_VALUE"""),953.0)</f>
        <v>953</v>
      </c>
      <c r="B954" s="1">
        <f>IFERROR(__xludf.DUMMYFUNCTION("""COMPUTED_VALUE"""),6283.0)</f>
        <v>6283</v>
      </c>
      <c r="C954" s="2" t="str">
        <f>IFERROR(__xludf.DUMMYFUNCTION("""COMPUTED_VALUE"""),"MARTA")</f>
        <v>MARTA</v>
      </c>
      <c r="D954" s="2" t="str">
        <f>IFERROR(__xludf.DUMMYFUNCTION("""COMPUTED_VALUE"""),"5KM OVERALL F")</f>
        <v>5KM OVERALL F</v>
      </c>
      <c r="E954" s="1">
        <f>IFERROR(__xludf.DUMMYFUNCTION("""COMPUTED_VALUE"""),185.0)</f>
        <v>185</v>
      </c>
      <c r="F954" s="1" t="str">
        <f>IFERROR(__xludf.DUMMYFUNCTION("""COMPUTED_VALUE"""),"Female")</f>
        <v>Female</v>
      </c>
      <c r="G954" s="5">
        <f>IFERROR(__xludf.DUMMYFUNCTION("""COMPUTED_VALUE"""),0.007182337962962963)</f>
        <v>0.007182337963</v>
      </c>
      <c r="H954" s="15">
        <f>IFERROR(__xludf.DUMMYFUNCTION("""COMPUTED_VALUE"""),0.2549440625)</f>
        <v>0.2549440625</v>
      </c>
      <c r="I954" s="15">
        <f>IFERROR(__xludf.DUMMYFUNCTION("""COMPUTED_VALUE"""),45949.29085575316)</f>
        <v>45949.29086</v>
      </c>
      <c r="J954" s="15">
        <f>IFERROR(__xludf.DUMMYFUNCTION("""COMPUTED_VALUE"""),45949.03591169066)</f>
        <v>45949.03591</v>
      </c>
      <c r="K954" s="15">
        <f>IFERROR(__xludf.DUMMYFUNCTION("""COMPUTED_VALUE"""),45949.2752141827)</f>
        <v>45949.27521</v>
      </c>
      <c r="L954" s="4"/>
    </row>
    <row r="955">
      <c r="A955" s="1">
        <f>IFERROR(__xludf.DUMMYFUNCTION("""COMPUTED_VALUE"""),954.0)</f>
        <v>954</v>
      </c>
      <c r="B955" s="1">
        <f>IFERROR(__xludf.DUMMYFUNCTION("""COMPUTED_VALUE"""),6397.0)</f>
        <v>6397</v>
      </c>
      <c r="C955" s="2" t="str">
        <f>IFERROR(__xludf.DUMMYFUNCTION("""COMPUTED_VALUE"""),"ShantyDanti")</f>
        <v>ShantyDanti</v>
      </c>
      <c r="D955" s="2" t="str">
        <f>IFERROR(__xludf.DUMMYFUNCTION("""COMPUTED_VALUE"""),"5KM OVERALL F")</f>
        <v>5KM OVERALL F</v>
      </c>
      <c r="E955" s="1">
        <f>IFERROR(__xludf.DUMMYFUNCTION("""COMPUTED_VALUE"""),186.0)</f>
        <v>186</v>
      </c>
      <c r="F955" s="1" t="str">
        <f>IFERROR(__xludf.DUMMYFUNCTION("""COMPUTED_VALUE"""),"Female")</f>
        <v>Female</v>
      </c>
      <c r="G955" s="5">
        <f>IFERROR(__xludf.DUMMYFUNCTION("""COMPUTED_VALUE"""),0.0071865046296296295)</f>
        <v>0.00718650463</v>
      </c>
      <c r="H955" s="15">
        <f>IFERROR(__xludf.DUMMYFUNCTION("""COMPUTED_VALUE"""),0.2549440625)</f>
        <v>0.2549440625</v>
      </c>
      <c r="I955" s="15">
        <f>IFERROR(__xludf.DUMMYFUNCTION("""COMPUTED_VALUE"""),45949.29087657993)</f>
        <v>45949.29088</v>
      </c>
      <c r="J955" s="15">
        <f>IFERROR(__xludf.DUMMYFUNCTION("""COMPUTED_VALUE"""),45949.03593251743)</f>
        <v>45949.03593</v>
      </c>
      <c r="K955" s="15">
        <f>IFERROR(__xludf.DUMMYFUNCTION("""COMPUTED_VALUE"""),45949.27558571824)</f>
        <v>45949.27559</v>
      </c>
      <c r="L955" s="4"/>
    </row>
    <row r="956">
      <c r="A956" s="1">
        <f>IFERROR(__xludf.DUMMYFUNCTION("""COMPUTED_VALUE"""),955.0)</f>
        <v>955</v>
      </c>
      <c r="B956" s="1">
        <f>IFERROR(__xludf.DUMMYFUNCTION("""COMPUTED_VALUE"""),6285.0)</f>
        <v>6285</v>
      </c>
      <c r="C956" s="2" t="str">
        <f>IFERROR(__xludf.DUMMYFUNCTION("""COMPUTED_VALUE"""),"Ozan")</f>
        <v>Ozan</v>
      </c>
      <c r="D956" s="2" t="str">
        <f>IFERROR(__xludf.DUMMYFUNCTION("""COMPUTED_VALUE"""),"5KM OVERALL M")</f>
        <v>5KM OVERALL M</v>
      </c>
      <c r="E956" s="1">
        <f>IFERROR(__xludf.DUMMYFUNCTION("""COMPUTED_VALUE"""),592.0)</f>
        <v>592</v>
      </c>
      <c r="F956" s="1" t="str">
        <f>IFERROR(__xludf.DUMMYFUNCTION("""COMPUTED_VALUE"""),"Male")</f>
        <v>Male</v>
      </c>
      <c r="G956" s="5">
        <f>IFERROR(__xludf.DUMMYFUNCTION("""COMPUTED_VALUE"""),0.007189282407407407)</f>
        <v>0.007189282407</v>
      </c>
      <c r="H956" s="15">
        <f>IFERROR(__xludf.DUMMYFUNCTION("""COMPUTED_VALUE"""),0.2549440625)</f>
        <v>0.2549440625</v>
      </c>
      <c r="I956" s="15">
        <f>IFERROR(__xludf.DUMMYFUNCTION("""COMPUTED_VALUE"""),45949.29089047164)</f>
        <v>45949.29089</v>
      </c>
      <c r="J956" s="15">
        <f>IFERROR(__xludf.DUMMYFUNCTION("""COMPUTED_VALUE"""),45949.03594640914)</f>
        <v>45949.03595</v>
      </c>
      <c r="K956" s="15">
        <f>IFERROR(__xludf.DUMMYFUNCTION("""COMPUTED_VALUE"""),45949.2752593346)</f>
        <v>45949.27526</v>
      </c>
      <c r="L956" s="4"/>
    </row>
    <row r="957">
      <c r="A957" s="1">
        <f>IFERROR(__xludf.DUMMYFUNCTION("""COMPUTED_VALUE"""),956.0)</f>
        <v>956</v>
      </c>
      <c r="B957" s="1">
        <f>IFERROR(__xludf.DUMMYFUNCTION("""COMPUTED_VALUE"""),5381.0)</f>
        <v>5381</v>
      </c>
      <c r="C957" s="2" t="str">
        <f>IFERROR(__xludf.DUMMYFUNCTION("""COMPUTED_VALUE"""),"SARTIKA")</f>
        <v>SARTIKA</v>
      </c>
      <c r="D957" s="2" t="str">
        <f>IFERROR(__xludf.DUMMYFUNCTION("""COMPUTED_VALUE"""),"5KM OVERALL F")</f>
        <v>5KM OVERALL F</v>
      </c>
      <c r="E957" s="1">
        <f>IFERROR(__xludf.DUMMYFUNCTION("""COMPUTED_VALUE"""),187.0)</f>
        <v>187</v>
      </c>
      <c r="F957" s="1" t="str">
        <f>IFERROR(__xludf.DUMMYFUNCTION("""COMPUTED_VALUE"""),"Female")</f>
        <v>Female</v>
      </c>
      <c r="G957" s="5">
        <f>IFERROR(__xludf.DUMMYFUNCTION("""COMPUTED_VALUE"""),0.007189284722222222)</f>
        <v>0.007189284722</v>
      </c>
      <c r="H957" s="15">
        <f>IFERROR(__xludf.DUMMYFUNCTION("""COMPUTED_VALUE"""),0.2549440625)</f>
        <v>0.2549440625</v>
      </c>
      <c r="I957" s="15">
        <f>IFERROR(__xludf.DUMMYFUNCTION("""COMPUTED_VALUE"""),45949.290890484655)</f>
        <v>45949.29089</v>
      </c>
      <c r="J957" s="15">
        <f>IFERROR(__xludf.DUMMYFUNCTION("""COMPUTED_VALUE"""),45949.035946422155)</f>
        <v>45949.03595</v>
      </c>
      <c r="K957" s="15">
        <f>IFERROR(__xludf.DUMMYFUNCTION("""COMPUTED_VALUE"""),45949.27600591717)</f>
        <v>45949.27601</v>
      </c>
      <c r="L957" s="4"/>
    </row>
    <row r="958">
      <c r="A958" s="1">
        <f>IFERROR(__xludf.DUMMYFUNCTION("""COMPUTED_VALUE"""),957.0)</f>
        <v>957</v>
      </c>
      <c r="B958" s="1">
        <f>IFERROR(__xludf.DUMMYFUNCTION("""COMPUTED_VALUE"""),6142.0)</f>
        <v>6142</v>
      </c>
      <c r="C958" s="2" t="str">
        <f>IFERROR(__xludf.DUMMYFUNCTION("""COMPUTED_VALUE"""),"Rizki Budiman")</f>
        <v>Rizki Budiman</v>
      </c>
      <c r="D958" s="2" t="str">
        <f>IFERROR(__xludf.DUMMYFUNCTION("""COMPUTED_VALUE"""),"5KM OVERALL M")</f>
        <v>5KM OVERALL M</v>
      </c>
      <c r="E958" s="1">
        <f>IFERROR(__xludf.DUMMYFUNCTION("""COMPUTED_VALUE"""),593.0)</f>
        <v>593</v>
      </c>
      <c r="F958" s="1" t="str">
        <f>IFERROR(__xludf.DUMMYFUNCTION("""COMPUTED_VALUE"""),"Male")</f>
        <v>Male</v>
      </c>
      <c r="G958" s="5">
        <f>IFERROR(__xludf.DUMMYFUNCTION("""COMPUTED_VALUE"""),0.007189972222222223)</f>
        <v>0.007189972222</v>
      </c>
      <c r="H958" s="15">
        <f>IFERROR(__xludf.DUMMYFUNCTION("""COMPUTED_VALUE"""),0.2549440625)</f>
        <v>0.2549440625</v>
      </c>
      <c r="I958" s="15">
        <f>IFERROR(__xludf.DUMMYFUNCTION("""COMPUTED_VALUE"""),45949.290893928635)</f>
        <v>45949.29089</v>
      </c>
      <c r="J958" s="15">
        <f>IFERROR(__xludf.DUMMYFUNCTION("""COMPUTED_VALUE"""),45949.035949866135)</f>
        <v>45949.03595</v>
      </c>
      <c r="K958" s="15">
        <f>IFERROR(__xludf.DUMMYFUNCTION("""COMPUTED_VALUE"""),45949.276985042074)</f>
        <v>45949.27699</v>
      </c>
      <c r="L958" s="4"/>
    </row>
    <row r="959">
      <c r="A959" s="1">
        <f>IFERROR(__xludf.DUMMYFUNCTION("""COMPUTED_VALUE"""),958.0)</f>
        <v>958</v>
      </c>
      <c r="B959" s="1">
        <f>IFERROR(__xludf.DUMMYFUNCTION("""COMPUTED_VALUE"""),6408.0)</f>
        <v>6408</v>
      </c>
      <c r="C959" s="2" t="str">
        <f>IFERROR(__xludf.DUMMYFUNCTION("""COMPUTED_VALUE"""),"Bulan")</f>
        <v>Bulan</v>
      </c>
      <c r="D959" s="2" t="str">
        <f>IFERROR(__xludf.DUMMYFUNCTION("""COMPUTED_VALUE"""),"5KM OVERALL F")</f>
        <v>5KM OVERALL F</v>
      </c>
      <c r="E959" s="1">
        <f>IFERROR(__xludf.DUMMYFUNCTION("""COMPUTED_VALUE"""),188.0)</f>
        <v>188</v>
      </c>
      <c r="F959" s="1" t="str">
        <f>IFERROR(__xludf.DUMMYFUNCTION("""COMPUTED_VALUE"""),"Female")</f>
        <v>Female</v>
      </c>
      <c r="G959" s="5">
        <f>IFERROR(__xludf.DUMMYFUNCTION("""COMPUTED_VALUE"""),0.007189974537037037)</f>
        <v>0.007189974537</v>
      </c>
      <c r="H959" s="15">
        <f>IFERROR(__xludf.DUMMYFUNCTION("""COMPUTED_VALUE"""),0.2549440625)</f>
        <v>0.2549440625</v>
      </c>
      <c r="I959" s="15">
        <f>IFERROR(__xludf.DUMMYFUNCTION("""COMPUTED_VALUE"""),45949.29089394054)</f>
        <v>45949.29089</v>
      </c>
      <c r="J959" s="15">
        <f>IFERROR(__xludf.DUMMYFUNCTION("""COMPUTED_VALUE"""),45949.03594987804)</f>
        <v>45949.03595</v>
      </c>
      <c r="K959" s="15">
        <f>IFERROR(__xludf.DUMMYFUNCTION("""COMPUTED_VALUE"""),45949.276759334025)</f>
        <v>45949.27676</v>
      </c>
      <c r="L959" s="4"/>
    </row>
    <row r="960">
      <c r="A960" s="1">
        <f>IFERROR(__xludf.DUMMYFUNCTION("""COMPUTED_VALUE"""),959.0)</f>
        <v>959</v>
      </c>
      <c r="B960" s="1">
        <f>IFERROR(__xludf.DUMMYFUNCTION("""COMPUTED_VALUE"""),5420.0)</f>
        <v>5420</v>
      </c>
      <c r="C960" s="2" t="str">
        <f>IFERROR(__xludf.DUMMYFUNCTION("""COMPUTED_VALUE"""),"kesra ahmad")</f>
        <v>kesra ahmad</v>
      </c>
      <c r="D960" s="2" t="str">
        <f>IFERROR(__xludf.DUMMYFUNCTION("""COMPUTED_VALUE"""),"5KM OVERALL M")</f>
        <v>5KM OVERALL M</v>
      </c>
      <c r="E960" s="1">
        <f>IFERROR(__xludf.DUMMYFUNCTION("""COMPUTED_VALUE"""),594.0)</f>
        <v>594</v>
      </c>
      <c r="F960" s="1" t="str">
        <f>IFERROR(__xludf.DUMMYFUNCTION("""COMPUTED_VALUE"""),"Male")</f>
        <v>Male</v>
      </c>
      <c r="G960" s="5">
        <f>IFERROR(__xludf.DUMMYFUNCTION("""COMPUTED_VALUE"""),0.007191363425925926)</f>
        <v>0.007191363426</v>
      </c>
      <c r="H960" s="15">
        <f>IFERROR(__xludf.DUMMYFUNCTION("""COMPUTED_VALUE"""),0.2549440625)</f>
        <v>0.2549440625</v>
      </c>
      <c r="I960" s="15">
        <f>IFERROR(__xludf.DUMMYFUNCTION("""COMPUTED_VALUE"""),45949.290900881046)</f>
        <v>45949.2909</v>
      </c>
      <c r="J960" s="15">
        <f>IFERROR(__xludf.DUMMYFUNCTION("""COMPUTED_VALUE"""),45949.035956818545)</f>
        <v>45949.03596</v>
      </c>
      <c r="K960" s="15">
        <f>IFERROR(__xludf.DUMMYFUNCTION("""COMPUTED_VALUE"""),45949.27602322317)</f>
        <v>45949.27602</v>
      </c>
      <c r="L960" s="4"/>
    </row>
    <row r="961">
      <c r="A961" s="1">
        <f>IFERROR(__xludf.DUMMYFUNCTION("""COMPUTED_VALUE"""),960.0)</f>
        <v>960</v>
      </c>
      <c r="B961" s="1">
        <f>IFERROR(__xludf.DUMMYFUNCTION("""COMPUTED_VALUE"""),7021.0)</f>
        <v>7021</v>
      </c>
      <c r="C961" s="2" t="str">
        <f>IFERROR(__xludf.DUMMYFUNCTION("""COMPUTED_VALUE"""),"Yuli")</f>
        <v>Yuli</v>
      </c>
      <c r="D961" s="2" t="str">
        <f>IFERROR(__xludf.DUMMYFUNCTION("""COMPUTED_VALUE"""),"5KM MASTER F")</f>
        <v>5KM MASTER F</v>
      </c>
      <c r="E961" s="1">
        <f>IFERROR(__xludf.DUMMYFUNCTION("""COMPUTED_VALUE"""),38.0)</f>
        <v>38</v>
      </c>
      <c r="F961" s="1" t="str">
        <f>IFERROR(__xludf.DUMMYFUNCTION("""COMPUTED_VALUE"""),"Female")</f>
        <v>Female</v>
      </c>
      <c r="G961" s="5">
        <f>IFERROR(__xludf.DUMMYFUNCTION("""COMPUTED_VALUE"""),0.007204555555555556)</f>
        <v>0.007204555556</v>
      </c>
      <c r="H961" s="15">
        <f>IFERROR(__xludf.DUMMYFUNCTION("""COMPUTED_VALUE"""),0.2549440625)</f>
        <v>0.2549440625</v>
      </c>
      <c r="I961" s="15">
        <f>IFERROR(__xludf.DUMMYFUNCTION("""COMPUTED_VALUE"""),45949.29096684071)</f>
        <v>45949.29097</v>
      </c>
      <c r="J961" s="15">
        <f>IFERROR(__xludf.DUMMYFUNCTION("""COMPUTED_VALUE"""),45949.03602277821)</f>
        <v>45949.03602</v>
      </c>
      <c r="K961" s="15">
        <f>IFERROR(__xludf.DUMMYFUNCTION("""COMPUTED_VALUE"""),45949.27583225059)</f>
        <v>45949.27583</v>
      </c>
      <c r="L961" s="4"/>
    </row>
    <row r="962">
      <c r="A962" s="1">
        <f>IFERROR(__xludf.DUMMYFUNCTION("""COMPUTED_VALUE"""),961.0)</f>
        <v>961</v>
      </c>
      <c r="B962" s="1">
        <f>IFERROR(__xludf.DUMMYFUNCTION("""COMPUTED_VALUE"""),5458.0)</f>
        <v>5458</v>
      </c>
      <c r="C962" s="2" t="str">
        <f>IFERROR(__xludf.DUMMYFUNCTION("""COMPUTED_VALUE"""),"RANI")</f>
        <v>RANI</v>
      </c>
      <c r="D962" s="2" t="str">
        <f>IFERROR(__xludf.DUMMYFUNCTION("""COMPUTED_VALUE"""),"5KM OVERALL F")</f>
        <v>5KM OVERALL F</v>
      </c>
      <c r="E962" s="1">
        <f>IFERROR(__xludf.DUMMYFUNCTION("""COMPUTED_VALUE"""),189.0)</f>
        <v>189</v>
      </c>
      <c r="F962" s="1" t="str">
        <f>IFERROR(__xludf.DUMMYFUNCTION("""COMPUTED_VALUE"""),"Female")</f>
        <v>Female</v>
      </c>
      <c r="G962" s="5">
        <f>IFERROR(__xludf.DUMMYFUNCTION("""COMPUTED_VALUE"""),0.007205250000000001)</f>
        <v>0.00720525</v>
      </c>
      <c r="H962" s="15">
        <f>IFERROR(__xludf.DUMMYFUNCTION("""COMPUTED_VALUE"""),0.2549440625)</f>
        <v>0.2549440625</v>
      </c>
      <c r="I962" s="15">
        <f>IFERROR(__xludf.DUMMYFUNCTION("""COMPUTED_VALUE"""),45949.29097031717)</f>
        <v>45949.29097</v>
      </c>
      <c r="J962" s="15">
        <f>IFERROR(__xludf.DUMMYFUNCTION("""COMPUTED_VALUE"""),45949.03602625467)</f>
        <v>45949.03603</v>
      </c>
      <c r="K962" s="15">
        <f>IFERROR(__xludf.DUMMYFUNCTION("""COMPUTED_VALUE"""),45949.275717672164)</f>
        <v>45949.27572</v>
      </c>
      <c r="L962" s="4"/>
    </row>
    <row r="963">
      <c r="A963" s="1">
        <f>IFERROR(__xludf.DUMMYFUNCTION("""COMPUTED_VALUE"""),962.0)</f>
        <v>962</v>
      </c>
      <c r="B963" s="1">
        <f>IFERROR(__xludf.DUMMYFUNCTION("""COMPUTED_VALUE"""),5348.0)</f>
        <v>5348</v>
      </c>
      <c r="C963" s="2" t="str">
        <f>IFERROR(__xludf.DUMMYFUNCTION("""COMPUTED_VALUE"""),"sugixsp")</f>
        <v>sugixsp</v>
      </c>
      <c r="D963" s="2" t="str">
        <f>IFERROR(__xludf.DUMMYFUNCTION("""COMPUTED_VALUE"""),"5KM OVERALL M")</f>
        <v>5KM OVERALL M</v>
      </c>
      <c r="E963" s="1">
        <f>IFERROR(__xludf.DUMMYFUNCTION("""COMPUTED_VALUE"""),595.0)</f>
        <v>595</v>
      </c>
      <c r="F963" s="1" t="str">
        <f>IFERROR(__xludf.DUMMYFUNCTION("""COMPUTED_VALUE"""),"Male")</f>
        <v>Male</v>
      </c>
      <c r="G963" s="5">
        <f>IFERROR(__xludf.DUMMYFUNCTION("""COMPUTED_VALUE"""),0.00721775)</f>
        <v>0.00721775</v>
      </c>
      <c r="H963" s="15">
        <f>IFERROR(__xludf.DUMMYFUNCTION("""COMPUTED_VALUE"""),0.2549440625)</f>
        <v>0.2549440625</v>
      </c>
      <c r="I963" s="15">
        <f>IFERROR(__xludf.DUMMYFUNCTION("""COMPUTED_VALUE"""),45949.29103281269)</f>
        <v>45949.29103</v>
      </c>
      <c r="J963" s="15">
        <f>IFERROR(__xludf.DUMMYFUNCTION("""COMPUTED_VALUE"""),45949.03608875019)</f>
        <v>45949.03609</v>
      </c>
      <c r="K963" s="15">
        <f>IFERROR(__xludf.DUMMYFUNCTION("""COMPUTED_VALUE"""),45949.27500243497)</f>
        <v>45949.275</v>
      </c>
      <c r="L963" s="4"/>
    </row>
    <row r="964">
      <c r="A964" s="1">
        <f>IFERROR(__xludf.DUMMYFUNCTION("""COMPUTED_VALUE"""),963.0)</f>
        <v>963</v>
      </c>
      <c r="B964" s="1">
        <f>IFERROR(__xludf.DUMMYFUNCTION("""COMPUTED_VALUE"""),7008.0)</f>
        <v>7008</v>
      </c>
      <c r="C964" s="2" t="str">
        <f>IFERROR(__xludf.DUMMYFUNCTION("""COMPUTED_VALUE"""),"ESRA SIRAIT")</f>
        <v>ESRA SIRAIT</v>
      </c>
      <c r="D964" s="2" t="str">
        <f>IFERROR(__xludf.DUMMYFUNCTION("""COMPUTED_VALUE"""),"5KM MASTER M")</f>
        <v>5KM MASTER M</v>
      </c>
      <c r="E964" s="1">
        <f>IFERROR(__xludf.DUMMYFUNCTION("""COMPUTED_VALUE"""),75.0)</f>
        <v>75</v>
      </c>
      <c r="F964" s="1" t="str">
        <f>IFERROR(__xludf.DUMMYFUNCTION("""COMPUTED_VALUE"""),"Male")</f>
        <v>Male</v>
      </c>
      <c r="G964" s="5">
        <f>IFERROR(__xludf.DUMMYFUNCTION("""COMPUTED_VALUE"""),0.007218437499999999)</f>
        <v>0.0072184375</v>
      </c>
      <c r="H964" s="15">
        <f>IFERROR(__xludf.DUMMYFUNCTION("""COMPUTED_VALUE"""),0.2549440625)</f>
        <v>0.2549440625</v>
      </c>
      <c r="I964" s="15">
        <f>IFERROR(__xludf.DUMMYFUNCTION("""COMPUTED_VALUE"""),45949.29103624755)</f>
        <v>45949.29104</v>
      </c>
      <c r="J964" s="15">
        <f>IFERROR(__xludf.DUMMYFUNCTION("""COMPUTED_VALUE"""),45949.03609218505)</f>
        <v>45949.03609</v>
      </c>
      <c r="K964" s="15">
        <f>IFERROR(__xludf.DUMMYFUNCTION("""COMPUTED_VALUE"""),45949.27532529483)</f>
        <v>45949.27533</v>
      </c>
      <c r="L964" s="4"/>
    </row>
    <row r="965">
      <c r="A965" s="1">
        <f>IFERROR(__xludf.DUMMYFUNCTION("""COMPUTED_VALUE"""),964.0)</f>
        <v>964</v>
      </c>
      <c r="B965" s="1">
        <f>IFERROR(__xludf.DUMMYFUNCTION("""COMPUTED_VALUE"""),5319.0)</f>
        <v>5319</v>
      </c>
      <c r="C965" s="2" t="str">
        <f>IFERROR(__xludf.DUMMYFUNCTION("""COMPUTED_VALUE"""),"Nur Khaalish H")</f>
        <v>Nur Khaalish H</v>
      </c>
      <c r="D965" s="2" t="str">
        <f>IFERROR(__xludf.DUMMYFUNCTION("""COMPUTED_VALUE"""),"5KM OVERALL M")</f>
        <v>5KM OVERALL M</v>
      </c>
      <c r="E965" s="1">
        <f>IFERROR(__xludf.DUMMYFUNCTION("""COMPUTED_VALUE"""),596.0)</f>
        <v>596</v>
      </c>
      <c r="F965" s="1" t="str">
        <f>IFERROR(__xludf.DUMMYFUNCTION("""COMPUTED_VALUE"""),"Male")</f>
        <v>Male</v>
      </c>
      <c r="G965" s="5">
        <f>IFERROR(__xludf.DUMMYFUNCTION("""COMPUTED_VALUE"""),0.00722469675925926)</f>
        <v>0.007224696759</v>
      </c>
      <c r="H965" s="15">
        <f>IFERROR(__xludf.DUMMYFUNCTION("""COMPUTED_VALUE"""),0.2549440625)</f>
        <v>0.2549440625</v>
      </c>
      <c r="I965" s="15">
        <f>IFERROR(__xludf.DUMMYFUNCTION("""COMPUTED_VALUE"""),45949.29106754264)</f>
        <v>45949.29107</v>
      </c>
      <c r="J965" s="15">
        <f>IFERROR(__xludf.DUMMYFUNCTION("""COMPUTED_VALUE"""),45949.03612348014)</f>
        <v>45949.03612</v>
      </c>
      <c r="K965" s="15">
        <f>IFERROR(__xludf.DUMMYFUNCTION("""COMPUTED_VALUE"""),45949.2754468374)</f>
        <v>45949.27545</v>
      </c>
      <c r="L965" s="4"/>
    </row>
    <row r="966">
      <c r="A966" s="1">
        <f>IFERROR(__xludf.DUMMYFUNCTION("""COMPUTED_VALUE"""),964.0)</f>
        <v>964</v>
      </c>
      <c r="B966" s="7" t="str">
        <f>IFERROR(__xludf.DUMMYFUNCTION("""COMPUTED_VALUE"""),"9002")</f>
        <v>9002</v>
      </c>
      <c r="C966" s="8" t="str">
        <f>IFERROR(__xludf.DUMMYFUNCTION("""COMPUTED_VALUE"""),"Aqila")</f>
        <v>Aqila</v>
      </c>
      <c r="D966" s="2" t="str">
        <f>IFERROR(__xludf.DUMMYFUNCTION("""COMPUTED_VALUE"""),"5KM STUDENT F")</f>
        <v>5KM STUDENT F</v>
      </c>
      <c r="E966" s="1">
        <f>IFERROR(__xludf.DUMMYFUNCTION("""COMPUTED_VALUE"""),7.0)</f>
        <v>7</v>
      </c>
      <c r="F966" s="1" t="str">
        <f>IFERROR(__xludf.DUMMYFUNCTION("""COMPUTED_VALUE"""),"Female")</f>
        <v>Female</v>
      </c>
      <c r="G966" s="5">
        <f>IFERROR(__xludf.DUMMYFUNCTION("""COMPUTED_VALUE"""),0.00722469675925926)</f>
        <v>0.007224696759</v>
      </c>
      <c r="H966" s="15">
        <f>IFERROR(__xludf.DUMMYFUNCTION("""COMPUTED_VALUE"""),0.2549440625)</f>
        <v>0.2549440625</v>
      </c>
      <c r="I966" s="15">
        <f>IFERROR(__xludf.DUMMYFUNCTION("""COMPUTED_VALUE"""),45949.29106754264)</f>
        <v>45949.29107</v>
      </c>
      <c r="J966" s="15">
        <f>IFERROR(__xludf.DUMMYFUNCTION("""COMPUTED_VALUE"""),45949.03612348014)</f>
        <v>45949.03612</v>
      </c>
      <c r="K966" s="15">
        <f>IFERROR(__xludf.DUMMYFUNCTION("""COMPUTED_VALUE"""),45949.27705798904)</f>
        <v>45949.27706</v>
      </c>
      <c r="L966" s="4"/>
    </row>
    <row r="967">
      <c r="A967" s="1">
        <f>IFERROR(__xludf.DUMMYFUNCTION("""COMPUTED_VALUE"""),966.0)</f>
        <v>966</v>
      </c>
      <c r="B967" s="1">
        <f>IFERROR(__xludf.DUMMYFUNCTION("""COMPUTED_VALUE"""),5598.0)</f>
        <v>5598</v>
      </c>
      <c r="C967" s="2" t="str">
        <f>IFERROR(__xludf.DUMMYFUNCTION("""COMPUTED_VALUE"""),"Ahmad S")</f>
        <v>Ahmad S</v>
      </c>
      <c r="D967" s="2" t="str">
        <f>IFERROR(__xludf.DUMMYFUNCTION("""COMPUTED_VALUE"""),"5KM OVERALL M")</f>
        <v>5KM OVERALL M</v>
      </c>
      <c r="E967" s="1">
        <f>IFERROR(__xludf.DUMMYFUNCTION("""COMPUTED_VALUE"""),597.0)</f>
        <v>597</v>
      </c>
      <c r="F967" s="1" t="str">
        <f>IFERROR(__xludf.DUMMYFUNCTION("""COMPUTED_VALUE"""),"Male")</f>
        <v>Male</v>
      </c>
      <c r="G967" s="5">
        <f>IFERROR(__xludf.DUMMYFUNCTION("""COMPUTED_VALUE"""),0.0072267824074074075)</f>
        <v>0.007226782407</v>
      </c>
      <c r="H967" s="15">
        <f>IFERROR(__xludf.DUMMYFUNCTION("""COMPUTED_VALUE"""),0.2549440625)</f>
        <v>0.2549440625</v>
      </c>
      <c r="I967" s="15">
        <f>IFERROR(__xludf.DUMMYFUNCTION("""COMPUTED_VALUE"""),45949.291077968875)</f>
        <v>45949.29108</v>
      </c>
      <c r="J967" s="15">
        <f>IFERROR(__xludf.DUMMYFUNCTION("""COMPUTED_VALUE"""),45949.036133906375)</f>
        <v>45949.03613</v>
      </c>
      <c r="K967" s="15">
        <f>IFERROR(__xludf.DUMMYFUNCTION("""COMPUTED_VALUE"""),45949.276998935246)</f>
        <v>45949.277</v>
      </c>
      <c r="L967" s="4"/>
    </row>
    <row r="968">
      <c r="A968" s="1">
        <f>IFERROR(__xludf.DUMMYFUNCTION("""COMPUTED_VALUE"""),967.0)</f>
        <v>967</v>
      </c>
      <c r="B968" s="1">
        <f>IFERROR(__xludf.DUMMYFUNCTION("""COMPUTED_VALUE"""),5659.0)</f>
        <v>5659</v>
      </c>
      <c r="C968" s="2" t="str">
        <f>IFERROR(__xludf.DUMMYFUNCTION("""COMPUTED_VALUE"""),"MIKKi")</f>
        <v>MIKKi</v>
      </c>
      <c r="D968" s="2" t="str">
        <f>IFERROR(__xludf.DUMMYFUNCTION("""COMPUTED_VALUE"""),"5KM OVERALL M")</f>
        <v>5KM OVERALL M</v>
      </c>
      <c r="E968" s="1">
        <f>IFERROR(__xludf.DUMMYFUNCTION("""COMPUTED_VALUE"""),598.0)</f>
        <v>598</v>
      </c>
      <c r="F968" s="1" t="str">
        <f>IFERROR(__xludf.DUMMYFUNCTION("""COMPUTED_VALUE"""),"Male")</f>
        <v>Male</v>
      </c>
      <c r="G968" s="5">
        <f>IFERROR(__xludf.DUMMYFUNCTION("""COMPUTED_VALUE"""),0.007228861111111111)</f>
        <v>0.007228861111</v>
      </c>
      <c r="H968" s="15">
        <f>IFERROR(__xludf.DUMMYFUNCTION("""COMPUTED_VALUE"""),0.2549440625)</f>
        <v>0.2549440625</v>
      </c>
      <c r="I968" s="15">
        <f>IFERROR(__xludf.DUMMYFUNCTION("""COMPUTED_VALUE"""),45949.291088372156)</f>
        <v>45949.29109</v>
      </c>
      <c r="J968" s="15">
        <f>IFERROR(__xludf.DUMMYFUNCTION("""COMPUTED_VALUE"""),45949.036144309655)</f>
        <v>45949.03614</v>
      </c>
      <c r="K968" s="15">
        <f>IFERROR(__xludf.DUMMYFUNCTION("""COMPUTED_VALUE"""),45949.275443369246)</f>
        <v>45949.27544</v>
      </c>
      <c r="L968" s="4"/>
    </row>
    <row r="969">
      <c r="A969" s="1">
        <f>IFERROR(__xludf.DUMMYFUNCTION("""COMPUTED_VALUE"""),968.0)</f>
        <v>968</v>
      </c>
      <c r="B969" s="1">
        <f>IFERROR(__xludf.DUMMYFUNCTION("""COMPUTED_VALUE"""),6184.0)</f>
        <v>6184</v>
      </c>
      <c r="C969" s="2" t="str">
        <f>IFERROR(__xludf.DUMMYFUNCTION("""COMPUTED_VALUE"""),"Sofyan Hartopo")</f>
        <v>Sofyan Hartopo</v>
      </c>
      <c r="D969" s="2" t="str">
        <f>IFERROR(__xludf.DUMMYFUNCTION("""COMPUTED_VALUE"""),"5KM OVERALL M")</f>
        <v>5KM OVERALL M</v>
      </c>
      <c r="E969" s="1">
        <f>IFERROR(__xludf.DUMMYFUNCTION("""COMPUTED_VALUE"""),599.0)</f>
        <v>599</v>
      </c>
      <c r="F969" s="1" t="str">
        <f>IFERROR(__xludf.DUMMYFUNCTION("""COMPUTED_VALUE"""),"Male")</f>
        <v>Male</v>
      </c>
      <c r="G969" s="5">
        <f>IFERROR(__xludf.DUMMYFUNCTION("""COMPUTED_VALUE"""),0.007230249999999999)</f>
        <v>0.00723025</v>
      </c>
      <c r="H969" s="15">
        <f>IFERROR(__xludf.DUMMYFUNCTION("""COMPUTED_VALUE"""),0.2549440625)</f>
        <v>0.2549440625</v>
      </c>
      <c r="I969" s="15">
        <f>IFERROR(__xludf.DUMMYFUNCTION("""COMPUTED_VALUE"""),45949.29109531252)</f>
        <v>45949.2911</v>
      </c>
      <c r="J969" s="15">
        <f>IFERROR(__xludf.DUMMYFUNCTION("""COMPUTED_VALUE"""),45949.03615125002)</f>
        <v>45949.03615</v>
      </c>
      <c r="K969" s="15">
        <f>IFERROR(__xludf.DUMMYFUNCTION("""COMPUTED_VALUE"""),45949.27518294635)</f>
        <v>45949.27518</v>
      </c>
      <c r="L969" s="4"/>
    </row>
    <row r="970">
      <c r="A970" s="1">
        <f>IFERROR(__xludf.DUMMYFUNCTION("""COMPUTED_VALUE"""),969.0)</f>
        <v>969</v>
      </c>
      <c r="B970" s="1">
        <f>IFERROR(__xludf.DUMMYFUNCTION("""COMPUTED_VALUE"""),7072.0)</f>
        <v>7072</v>
      </c>
      <c r="C970" s="2" t="str">
        <f>IFERROR(__xludf.DUMMYFUNCTION("""COMPUTED_VALUE"""),"Rizam Khabibi")</f>
        <v>Rizam Khabibi</v>
      </c>
      <c r="D970" s="2" t="str">
        <f>IFERROR(__xludf.DUMMYFUNCTION("""COMPUTED_VALUE"""),"5KM MASTER M")</f>
        <v>5KM MASTER M</v>
      </c>
      <c r="E970" s="1">
        <f>IFERROR(__xludf.DUMMYFUNCTION("""COMPUTED_VALUE"""),76.0)</f>
        <v>76</v>
      </c>
      <c r="F970" s="1" t="str">
        <f>IFERROR(__xludf.DUMMYFUNCTION("""COMPUTED_VALUE"""),"Male")</f>
        <v>Male</v>
      </c>
      <c r="G970" s="5">
        <f>IFERROR(__xludf.DUMMYFUNCTION("""COMPUTED_VALUE"""),0.007242055555555555)</f>
        <v>0.007242055556</v>
      </c>
      <c r="H970" s="15">
        <f>IFERROR(__xludf.DUMMYFUNCTION("""COMPUTED_VALUE"""),0.2549440625)</f>
        <v>0.2549440625</v>
      </c>
      <c r="I970" s="15">
        <f>IFERROR(__xludf.DUMMYFUNCTION("""COMPUTED_VALUE"""),45949.291154338775)</f>
        <v>45949.29115</v>
      </c>
      <c r="J970" s="15">
        <f>IFERROR(__xludf.DUMMYFUNCTION("""COMPUTED_VALUE"""),45949.036210276274)</f>
        <v>45949.03621</v>
      </c>
      <c r="K970" s="15">
        <f>IFERROR(__xludf.DUMMYFUNCTION("""COMPUTED_VALUE"""),45949.27667949582)</f>
        <v>45949.27668</v>
      </c>
      <c r="L970" s="4"/>
    </row>
    <row r="971">
      <c r="A971" s="1">
        <f>IFERROR(__xludf.DUMMYFUNCTION("""COMPUTED_VALUE"""),970.0)</f>
        <v>970</v>
      </c>
      <c r="B971" s="1">
        <f>IFERROR(__xludf.DUMMYFUNCTION("""COMPUTED_VALUE"""),6589.0)</f>
        <v>6589</v>
      </c>
      <c r="C971" s="2" t="str">
        <f>IFERROR(__xludf.DUMMYFUNCTION("""COMPUTED_VALUE"""),"Icon")</f>
        <v>Icon</v>
      </c>
      <c r="D971" s="2" t="str">
        <f>IFERROR(__xludf.DUMMYFUNCTION("""COMPUTED_VALUE"""),"5KM OVERALL M")</f>
        <v>5KM OVERALL M</v>
      </c>
      <c r="E971" s="1">
        <f>IFERROR(__xludf.DUMMYFUNCTION("""COMPUTED_VALUE"""),600.0)</f>
        <v>600</v>
      </c>
      <c r="F971" s="1" t="str">
        <f>IFERROR(__xludf.DUMMYFUNCTION("""COMPUTED_VALUE"""),"Male")</f>
        <v>Male</v>
      </c>
      <c r="G971" s="5">
        <f>IFERROR(__xludf.DUMMYFUNCTION("""COMPUTED_VALUE"""),0.0072434467592592585)</f>
        <v>0.007243446759</v>
      </c>
      <c r="H971" s="15">
        <f>IFERROR(__xludf.DUMMYFUNCTION("""COMPUTED_VALUE"""),0.2549440625)</f>
        <v>0.2549440625</v>
      </c>
      <c r="I971" s="15">
        <f>IFERROR(__xludf.DUMMYFUNCTION("""COMPUTED_VALUE"""),45949.29116129667)</f>
        <v>45949.29116</v>
      </c>
      <c r="J971" s="15">
        <f>IFERROR(__xludf.DUMMYFUNCTION("""COMPUTED_VALUE"""),45949.03621723417)</f>
        <v>45949.03622</v>
      </c>
      <c r="K971" s="15">
        <f>IFERROR(__xludf.DUMMYFUNCTION("""COMPUTED_VALUE"""),45950.27667824074)</f>
        <v>45950.27668</v>
      </c>
      <c r="L971" s="4" t="str">
        <f>IFERROR(__xludf.DUMMYFUNCTION("""COMPUTED_VALUE"""),"C")</f>
        <v>C</v>
      </c>
    </row>
    <row r="972">
      <c r="A972" s="1">
        <f>IFERROR(__xludf.DUMMYFUNCTION("""COMPUTED_VALUE"""),971.0)</f>
        <v>971</v>
      </c>
      <c r="B972" s="1">
        <f>IFERROR(__xludf.DUMMYFUNCTION("""COMPUTED_VALUE"""),5805.0)</f>
        <v>5805</v>
      </c>
      <c r="C972" s="2" t="str">
        <f>IFERROR(__xludf.DUMMYFUNCTION("""COMPUTED_VALUE"""),"zsazsabi")</f>
        <v>zsazsabi</v>
      </c>
      <c r="D972" s="2" t="str">
        <f>IFERROR(__xludf.DUMMYFUNCTION("""COMPUTED_VALUE"""),"5KM OVERALL F")</f>
        <v>5KM OVERALL F</v>
      </c>
      <c r="E972" s="1">
        <f>IFERROR(__xludf.DUMMYFUNCTION("""COMPUTED_VALUE"""),190.0)</f>
        <v>190</v>
      </c>
      <c r="F972" s="1" t="str">
        <f>IFERROR(__xludf.DUMMYFUNCTION("""COMPUTED_VALUE"""),"Female")</f>
        <v>Female</v>
      </c>
      <c r="G972" s="5">
        <f>IFERROR(__xludf.DUMMYFUNCTION("""COMPUTED_VALUE"""),0.0072434467592592585)</f>
        <v>0.007243446759</v>
      </c>
      <c r="H972" s="15">
        <f>IFERROR(__xludf.DUMMYFUNCTION("""COMPUTED_VALUE"""),0.2549440625)</f>
        <v>0.2549440625</v>
      </c>
      <c r="I972" s="15">
        <f>IFERROR(__xludf.DUMMYFUNCTION("""COMPUTED_VALUE"""),45949.29116129667)</f>
        <v>45949.29116</v>
      </c>
      <c r="J972" s="15">
        <f>IFERROR(__xludf.DUMMYFUNCTION("""COMPUTED_VALUE"""),45949.03621723417)</f>
        <v>45949.03622</v>
      </c>
      <c r="K972" s="15">
        <f>IFERROR(__xludf.DUMMYFUNCTION("""COMPUTED_VALUE"""),45949.274821873645)</f>
        <v>45949.27482</v>
      </c>
      <c r="L972" s="4"/>
    </row>
    <row r="973">
      <c r="A973" s="1">
        <f>IFERROR(__xludf.DUMMYFUNCTION("""COMPUTED_VALUE"""),972.0)</f>
        <v>972</v>
      </c>
      <c r="B973" s="1">
        <f>IFERROR(__xludf.DUMMYFUNCTION("""COMPUTED_VALUE"""),5696.0)</f>
        <v>5696</v>
      </c>
      <c r="C973" s="2" t="str">
        <f>IFERROR(__xludf.DUMMYFUNCTION("""COMPUTED_VALUE"""),"Dafong")</f>
        <v>Dafong</v>
      </c>
      <c r="D973" s="2" t="str">
        <f>IFERROR(__xludf.DUMMYFUNCTION("""COMPUTED_VALUE"""),"5KM OVERALL M")</f>
        <v>5KM OVERALL M</v>
      </c>
      <c r="E973" s="1">
        <f>IFERROR(__xludf.DUMMYFUNCTION("""COMPUTED_VALUE"""),601.0)</f>
        <v>601</v>
      </c>
      <c r="F973" s="1" t="str">
        <f>IFERROR(__xludf.DUMMYFUNCTION("""COMPUTED_VALUE"""),"Male")</f>
        <v>Male</v>
      </c>
      <c r="G973" s="5">
        <f>IFERROR(__xludf.DUMMYFUNCTION("""COMPUTED_VALUE"""),0.007249002314814815)</f>
        <v>0.007249002315</v>
      </c>
      <c r="H973" s="15">
        <f>IFERROR(__xludf.DUMMYFUNCTION("""COMPUTED_VALUE"""),0.2549440625)</f>
        <v>0.2549440625</v>
      </c>
      <c r="I973" s="15">
        <f>IFERROR(__xludf.DUMMYFUNCTION("""COMPUTED_VALUE"""),45949.2911890709)</f>
        <v>45949.29119</v>
      </c>
      <c r="J973" s="15">
        <f>IFERROR(__xludf.DUMMYFUNCTION("""COMPUTED_VALUE"""),45949.0362450084)</f>
        <v>45949.03625</v>
      </c>
      <c r="K973" s="15">
        <f>IFERROR(__xludf.DUMMYFUNCTION("""COMPUTED_VALUE"""),45949.274766266804)</f>
        <v>45949.27477</v>
      </c>
      <c r="L973" s="4"/>
    </row>
    <row r="974">
      <c r="A974" s="1">
        <f>IFERROR(__xludf.DUMMYFUNCTION("""COMPUTED_VALUE"""),973.0)</f>
        <v>973</v>
      </c>
      <c r="B974" s="1">
        <f>IFERROR(__xludf.DUMMYFUNCTION("""COMPUTED_VALUE"""),5447.0)</f>
        <v>5447</v>
      </c>
      <c r="C974" s="2" t="str">
        <f>IFERROR(__xludf.DUMMYFUNCTION("""COMPUTED_VALUE"""),"Taufiq Rahman")</f>
        <v>Taufiq Rahman</v>
      </c>
      <c r="D974" s="2" t="str">
        <f>IFERROR(__xludf.DUMMYFUNCTION("""COMPUTED_VALUE"""),"5KM OVERALL M")</f>
        <v>5KM OVERALL M</v>
      </c>
      <c r="E974" s="1">
        <f>IFERROR(__xludf.DUMMYFUNCTION("""COMPUTED_VALUE"""),602.0)</f>
        <v>602</v>
      </c>
      <c r="F974" s="1" t="str">
        <f>IFERROR(__xludf.DUMMYFUNCTION("""COMPUTED_VALUE"""),"Male")</f>
        <v>Male</v>
      </c>
      <c r="G974" s="5">
        <f>IFERROR(__xludf.DUMMYFUNCTION("""COMPUTED_VALUE"""),0.007253861111111111)</f>
        <v>0.007253861111</v>
      </c>
      <c r="H974" s="15">
        <f>IFERROR(__xludf.DUMMYFUNCTION("""COMPUTED_VALUE"""),0.2549440625)</f>
        <v>0.2549440625</v>
      </c>
      <c r="I974" s="15">
        <f>IFERROR(__xludf.DUMMYFUNCTION("""COMPUTED_VALUE"""),45949.29121336566)</f>
        <v>45949.29121</v>
      </c>
      <c r="J974" s="15">
        <f>IFERROR(__xludf.DUMMYFUNCTION("""COMPUTED_VALUE"""),45949.03626930316)</f>
        <v>45949.03627</v>
      </c>
      <c r="K974" s="15">
        <f>IFERROR(__xludf.DUMMYFUNCTION("""COMPUTED_VALUE"""),45949.27517002529)</f>
        <v>45949.27517</v>
      </c>
      <c r="L974" s="4"/>
    </row>
    <row r="975">
      <c r="A975" s="1">
        <f>IFERROR(__xludf.DUMMYFUNCTION("""COMPUTED_VALUE"""),974.0)</f>
        <v>974</v>
      </c>
      <c r="B975" s="7" t="str">
        <f>IFERROR(__xludf.DUMMYFUNCTION("""COMPUTED_VALUE"""),"9076")</f>
        <v>9076</v>
      </c>
      <c r="C975" s="8" t="str">
        <f>IFERROR(__xludf.DUMMYFUNCTION("""COMPUTED_VALUE"""),"Fadhlan")</f>
        <v>Fadhlan</v>
      </c>
      <c r="D975" s="2" t="str">
        <f>IFERROR(__xludf.DUMMYFUNCTION("""COMPUTED_VALUE"""),"5KM STUDENT M")</f>
        <v>5KM STUDENT M</v>
      </c>
      <c r="E975" s="1">
        <f>IFERROR(__xludf.DUMMYFUNCTION("""COMPUTED_VALUE"""),61.0)</f>
        <v>61</v>
      </c>
      <c r="F975" s="1" t="str">
        <f>IFERROR(__xludf.DUMMYFUNCTION("""COMPUTED_VALUE"""),"Male")</f>
        <v>Male</v>
      </c>
      <c r="G975" s="5">
        <f>IFERROR(__xludf.DUMMYFUNCTION("""COMPUTED_VALUE"""),0.007255946759259259)</f>
        <v>0.007255946759</v>
      </c>
      <c r="H975" s="15">
        <f>IFERROR(__xludf.DUMMYFUNCTION("""COMPUTED_VALUE"""),0.2549440625)</f>
        <v>0.2549440625</v>
      </c>
      <c r="I975" s="15">
        <f>IFERROR(__xludf.DUMMYFUNCTION("""COMPUTED_VALUE"""),45949.29122379176)</f>
        <v>45949.29122</v>
      </c>
      <c r="J975" s="15">
        <f>IFERROR(__xludf.DUMMYFUNCTION("""COMPUTED_VALUE"""),45949.03627972926)</f>
        <v>45949.03628</v>
      </c>
      <c r="K975" s="15">
        <f>IFERROR(__xludf.DUMMYFUNCTION("""COMPUTED_VALUE"""),45949.274096137306)</f>
        <v>45949.2741</v>
      </c>
      <c r="L975" s="4"/>
    </row>
    <row r="976">
      <c r="A976" s="1">
        <f>IFERROR(__xludf.DUMMYFUNCTION("""COMPUTED_VALUE"""),975.0)</f>
        <v>975</v>
      </c>
      <c r="B976" s="1">
        <f>IFERROR(__xludf.DUMMYFUNCTION("""COMPUTED_VALUE"""),6007.0)</f>
        <v>6007</v>
      </c>
      <c r="C976" s="2" t="str">
        <f>IFERROR(__xludf.DUMMYFUNCTION("""COMPUTED_VALUE"""),"Nurul Latifah")</f>
        <v>Nurul Latifah</v>
      </c>
      <c r="D976" s="2" t="str">
        <f>IFERROR(__xludf.DUMMYFUNCTION("""COMPUTED_VALUE"""),"5KM OVERALL F")</f>
        <v>5KM OVERALL F</v>
      </c>
      <c r="E976" s="1">
        <f>IFERROR(__xludf.DUMMYFUNCTION("""COMPUTED_VALUE"""),191.0)</f>
        <v>191</v>
      </c>
      <c r="F976" s="1" t="str">
        <f>IFERROR(__xludf.DUMMYFUNCTION("""COMPUTED_VALUE"""),"Female")</f>
        <v>Female</v>
      </c>
      <c r="G976" s="5">
        <f>IFERROR(__xludf.DUMMYFUNCTION("""COMPUTED_VALUE"""),0.007258027777777777)</f>
        <v>0.007258027778</v>
      </c>
      <c r="H976" s="15">
        <f>IFERROR(__xludf.DUMMYFUNCTION("""COMPUTED_VALUE"""),0.2549440625)</f>
        <v>0.2549440625</v>
      </c>
      <c r="I976" s="15">
        <f>IFERROR(__xludf.DUMMYFUNCTION("""COMPUTED_VALUE"""),45949.29123420462)</f>
        <v>45949.29123</v>
      </c>
      <c r="J976" s="15">
        <f>IFERROR(__xludf.DUMMYFUNCTION("""COMPUTED_VALUE"""),45949.03629014212)</f>
        <v>45949.03629</v>
      </c>
      <c r="K976" s="15">
        <f>IFERROR(__xludf.DUMMYFUNCTION("""COMPUTED_VALUE"""),45949.27513781344)</f>
        <v>45949.27514</v>
      </c>
      <c r="L976" s="4"/>
    </row>
    <row r="977">
      <c r="A977" s="1">
        <f>IFERROR(__xludf.DUMMYFUNCTION("""COMPUTED_VALUE"""),976.0)</f>
        <v>976</v>
      </c>
      <c r="B977" s="1">
        <f>IFERROR(__xludf.DUMMYFUNCTION("""COMPUTED_VALUE"""),5417.0)</f>
        <v>5417</v>
      </c>
      <c r="C977" s="2" t="str">
        <f>IFERROR(__xludf.DUMMYFUNCTION("""COMPUTED_VALUE"""),"fahmi")</f>
        <v>fahmi</v>
      </c>
      <c r="D977" s="2" t="str">
        <f>IFERROR(__xludf.DUMMYFUNCTION("""COMPUTED_VALUE"""),"5KM OVERALL M")</f>
        <v>5KM OVERALL M</v>
      </c>
      <c r="E977" s="1">
        <f>IFERROR(__xludf.DUMMYFUNCTION("""COMPUTED_VALUE"""),603.0)</f>
        <v>603</v>
      </c>
      <c r="F977" s="1" t="str">
        <f>IFERROR(__xludf.DUMMYFUNCTION("""COMPUTED_VALUE"""),"Male")</f>
        <v>Male</v>
      </c>
      <c r="G977" s="5">
        <f>IFERROR(__xludf.DUMMYFUNCTION("""COMPUTED_VALUE"""),0.007258027777777777)</f>
        <v>0.007258027778</v>
      </c>
      <c r="H977" s="15">
        <f>IFERROR(__xludf.DUMMYFUNCTION("""COMPUTED_VALUE"""),0.2549440625)</f>
        <v>0.2549440625</v>
      </c>
      <c r="I977" s="15">
        <f>IFERROR(__xludf.DUMMYFUNCTION("""COMPUTED_VALUE"""),45949.29123420462)</f>
        <v>45949.29123</v>
      </c>
      <c r="J977" s="15">
        <f>IFERROR(__xludf.DUMMYFUNCTION("""COMPUTED_VALUE"""),45949.03629014212)</f>
        <v>45949.03629</v>
      </c>
      <c r="K977" s="15">
        <f>IFERROR(__xludf.DUMMYFUNCTION("""COMPUTED_VALUE"""),45949.27524543705)</f>
        <v>45949.27525</v>
      </c>
      <c r="L977" s="4"/>
    </row>
    <row r="978">
      <c r="A978" s="1">
        <f>IFERROR(__xludf.DUMMYFUNCTION("""COMPUTED_VALUE"""),977.0)</f>
        <v>977</v>
      </c>
      <c r="B978" s="1">
        <f>IFERROR(__xludf.DUMMYFUNCTION("""COMPUTED_VALUE"""),5249.0)</f>
        <v>5249</v>
      </c>
      <c r="C978" s="2" t="str">
        <f>IFERROR(__xludf.DUMMYFUNCTION("""COMPUTED_VALUE"""),"Eka Sari Nurul Khotimah")</f>
        <v>Eka Sari Nurul Khotimah</v>
      </c>
      <c r="D978" s="2" t="str">
        <f>IFERROR(__xludf.DUMMYFUNCTION("""COMPUTED_VALUE"""),"5KM OVERALL F")</f>
        <v>5KM OVERALL F</v>
      </c>
      <c r="E978" s="1">
        <f>IFERROR(__xludf.DUMMYFUNCTION("""COMPUTED_VALUE"""),192.0)</f>
        <v>192</v>
      </c>
      <c r="F978" s="1" t="str">
        <f>IFERROR(__xludf.DUMMYFUNCTION("""COMPUTED_VALUE"""),"Female")</f>
        <v>Female</v>
      </c>
      <c r="G978" s="5">
        <f>IFERROR(__xludf.DUMMYFUNCTION("""COMPUTED_VALUE"""),0.007258030092592594)</f>
        <v>0.007258030093</v>
      </c>
      <c r="H978" s="15">
        <f>IFERROR(__xludf.DUMMYFUNCTION("""COMPUTED_VALUE"""),0.2549440625)</f>
        <v>0.2549440625</v>
      </c>
      <c r="I978" s="15">
        <f>IFERROR(__xludf.DUMMYFUNCTION("""COMPUTED_VALUE"""),45949.291234216646)</f>
        <v>45949.29123</v>
      </c>
      <c r="J978" s="15">
        <f>IFERROR(__xludf.DUMMYFUNCTION("""COMPUTED_VALUE"""),45949.036290154145)</f>
        <v>45949.03629</v>
      </c>
      <c r="K978" s="15">
        <f>IFERROR(__xludf.DUMMYFUNCTION("""COMPUTED_VALUE"""),45949.27487743283)</f>
        <v>45949.27488</v>
      </c>
      <c r="L978" s="4"/>
    </row>
    <row r="979">
      <c r="A979" s="1">
        <f>IFERROR(__xludf.DUMMYFUNCTION("""COMPUTED_VALUE"""),978.0)</f>
        <v>978</v>
      </c>
      <c r="B979" s="1">
        <f>IFERROR(__xludf.DUMMYFUNCTION("""COMPUTED_VALUE"""),5668.0)</f>
        <v>5668</v>
      </c>
      <c r="C979" s="2" t="str">
        <f>IFERROR(__xludf.DUMMYFUNCTION("""COMPUTED_VALUE"""),"Yuda Eko")</f>
        <v>Yuda Eko</v>
      </c>
      <c r="D979" s="2" t="str">
        <f>IFERROR(__xludf.DUMMYFUNCTION("""COMPUTED_VALUE"""),"5KM OVERALL M")</f>
        <v>5KM OVERALL M</v>
      </c>
      <c r="E979" s="1">
        <f>IFERROR(__xludf.DUMMYFUNCTION("""COMPUTED_VALUE"""),604.0)</f>
        <v>604</v>
      </c>
      <c r="F979" s="1" t="str">
        <f>IFERROR(__xludf.DUMMYFUNCTION("""COMPUTED_VALUE"""),"Male")</f>
        <v>Male</v>
      </c>
      <c r="G979" s="5">
        <f>IFERROR(__xludf.DUMMYFUNCTION("""COMPUTED_VALUE"""),0.007260113425925927)</f>
        <v>0.007260113426</v>
      </c>
      <c r="H979" s="15">
        <f>IFERROR(__xludf.DUMMYFUNCTION("""COMPUTED_VALUE"""),0.2549440625)</f>
        <v>0.2549440625</v>
      </c>
      <c r="I979" s="15">
        <f>IFERROR(__xludf.DUMMYFUNCTION("""COMPUTED_VALUE"""),45949.29124462742)</f>
        <v>45949.29124</v>
      </c>
      <c r="J979" s="15">
        <f>IFERROR(__xludf.DUMMYFUNCTION("""COMPUTED_VALUE"""),45949.03630056492)</f>
        <v>45949.0363</v>
      </c>
      <c r="K979" s="15">
        <f>IFERROR(__xludf.DUMMYFUNCTION("""COMPUTED_VALUE"""),45949.27595725421)</f>
        <v>45949.27596</v>
      </c>
      <c r="L979" s="4"/>
    </row>
    <row r="980">
      <c r="A980" s="1">
        <f>IFERROR(__xludf.DUMMYFUNCTION("""COMPUTED_VALUE"""),979.0)</f>
        <v>979</v>
      </c>
      <c r="B980" s="1">
        <f>IFERROR(__xludf.DUMMYFUNCTION("""COMPUTED_VALUE"""),6266.0)</f>
        <v>6266</v>
      </c>
      <c r="C980" s="2" t="str">
        <f>IFERROR(__xludf.DUMMYFUNCTION("""COMPUTED_VALUE"""),"nufus")</f>
        <v>nufus</v>
      </c>
      <c r="D980" s="2" t="str">
        <f>IFERROR(__xludf.DUMMYFUNCTION("""COMPUTED_VALUE"""),"5KM OVERALL F")</f>
        <v>5KM OVERALL F</v>
      </c>
      <c r="E980" s="1">
        <f>IFERROR(__xludf.DUMMYFUNCTION("""COMPUTED_VALUE"""),193.0)</f>
        <v>193</v>
      </c>
      <c r="F980" s="1" t="str">
        <f>IFERROR(__xludf.DUMMYFUNCTION("""COMPUTED_VALUE"""),"Female")</f>
        <v>Female</v>
      </c>
      <c r="G980" s="5">
        <f>IFERROR(__xludf.DUMMYFUNCTION("""COMPUTED_VALUE"""),0.007260956018518519)</f>
        <v>0.007260956019</v>
      </c>
      <c r="H980" s="15">
        <f>IFERROR(__xludf.DUMMYFUNCTION("""COMPUTED_VALUE"""),0.2549440625)</f>
        <v>0.2549440625</v>
      </c>
      <c r="I980" s="15">
        <f>IFERROR(__xludf.DUMMYFUNCTION("""COMPUTED_VALUE"""),45949.29124884187)</f>
        <v>45949.29125</v>
      </c>
      <c r="J980" s="15">
        <f>IFERROR(__xludf.DUMMYFUNCTION("""COMPUTED_VALUE"""),45949.03630477937)</f>
        <v>45949.0363</v>
      </c>
      <c r="K980" s="15">
        <f>IFERROR(__xludf.DUMMYFUNCTION("""COMPUTED_VALUE"""),45949.27655447412)</f>
        <v>45949.27655</v>
      </c>
      <c r="L980" s="4"/>
    </row>
    <row r="981">
      <c r="A981" s="1">
        <f>IFERROR(__xludf.DUMMYFUNCTION("""COMPUTED_VALUE"""),980.0)</f>
        <v>980</v>
      </c>
      <c r="B981" s="1">
        <f>IFERROR(__xludf.DUMMYFUNCTION("""COMPUTED_VALUE"""),6240.0)</f>
        <v>6240</v>
      </c>
      <c r="C981" s="2" t="str">
        <f>IFERROR(__xludf.DUMMYFUNCTION("""COMPUTED_VALUE"""),"fidaalyya")</f>
        <v>fidaalyya</v>
      </c>
      <c r="D981" s="2" t="str">
        <f>IFERROR(__xludf.DUMMYFUNCTION("""COMPUTED_VALUE"""),"5KM OVERALL F")</f>
        <v>5KM OVERALL F</v>
      </c>
      <c r="E981" s="1">
        <f>IFERROR(__xludf.DUMMYFUNCTION("""COMPUTED_VALUE"""),194.0)</f>
        <v>194</v>
      </c>
      <c r="F981" s="1" t="str">
        <f>IFERROR(__xludf.DUMMYFUNCTION("""COMPUTED_VALUE"""),"Female")</f>
        <v>Female</v>
      </c>
      <c r="G981" s="5">
        <f>IFERROR(__xludf.DUMMYFUNCTION("""COMPUTED_VALUE"""),0.0072615)</f>
        <v>0.0072615</v>
      </c>
      <c r="H981" s="15">
        <f>IFERROR(__xludf.DUMMYFUNCTION("""COMPUTED_VALUE"""),0.2549440625)</f>
        <v>0.2549440625</v>
      </c>
      <c r="I981" s="15">
        <f>IFERROR(__xludf.DUMMYFUNCTION("""COMPUTED_VALUE"""),45949.29125156397)</f>
        <v>45949.29125</v>
      </c>
      <c r="J981" s="15">
        <f>IFERROR(__xludf.DUMMYFUNCTION("""COMPUTED_VALUE"""),45949.03630750147)</f>
        <v>45949.03631</v>
      </c>
      <c r="K981" s="15">
        <f>IFERROR(__xludf.DUMMYFUNCTION("""COMPUTED_VALUE"""),45949.27554751613)</f>
        <v>45949.27555</v>
      </c>
      <c r="L981" s="4"/>
    </row>
    <row r="982">
      <c r="A982" s="1">
        <f>IFERROR(__xludf.DUMMYFUNCTION("""COMPUTED_VALUE"""),981.0)</f>
        <v>981</v>
      </c>
      <c r="B982" s="1">
        <f>IFERROR(__xludf.DUMMYFUNCTION("""COMPUTED_VALUE"""),5433.0)</f>
        <v>5433</v>
      </c>
      <c r="C982" s="2" t="str">
        <f>IFERROR(__xludf.DUMMYFUNCTION("""COMPUTED_VALUE"""),"Andree")</f>
        <v>Andree</v>
      </c>
      <c r="D982" s="2" t="str">
        <f>IFERROR(__xludf.DUMMYFUNCTION("""COMPUTED_VALUE"""),"5KM OVERALL F")</f>
        <v>5KM OVERALL F</v>
      </c>
      <c r="E982" s="1">
        <f>IFERROR(__xludf.DUMMYFUNCTION("""COMPUTED_VALUE"""),195.0)</f>
        <v>195</v>
      </c>
      <c r="F982" s="1" t="str">
        <f>IFERROR(__xludf.DUMMYFUNCTION("""COMPUTED_VALUE"""),"Female")</f>
        <v>Female</v>
      </c>
      <c r="G982" s="5">
        <f>IFERROR(__xludf.DUMMYFUNCTION("""COMPUTED_VALUE"""),0.007263583333333333)</f>
        <v>0.007263583333</v>
      </c>
      <c r="H982" s="15">
        <f>IFERROR(__xludf.DUMMYFUNCTION("""COMPUTED_VALUE"""),0.2549440625)</f>
        <v>0.2549440625</v>
      </c>
      <c r="I982" s="15">
        <f>IFERROR(__xludf.DUMMYFUNCTION("""COMPUTED_VALUE"""),45949.29126197424)</f>
        <v>45949.29126</v>
      </c>
      <c r="J982" s="15">
        <f>IFERROR(__xludf.DUMMYFUNCTION("""COMPUTED_VALUE"""),45949.03631791174)</f>
        <v>45949.03632</v>
      </c>
      <c r="K982" s="15">
        <f>IFERROR(__xludf.DUMMYFUNCTION("""COMPUTED_VALUE"""),45949.27523855598)</f>
        <v>45949.27524</v>
      </c>
      <c r="L982" s="4"/>
    </row>
    <row r="983">
      <c r="A983" s="1">
        <f>IFERROR(__xludf.DUMMYFUNCTION("""COMPUTED_VALUE"""),982.0)</f>
        <v>982</v>
      </c>
      <c r="B983" s="7" t="str">
        <f>IFERROR(__xludf.DUMMYFUNCTION("""COMPUTED_VALUE"""),"7169")</f>
        <v>7169</v>
      </c>
      <c r="C983" s="8" t="str">
        <f>IFERROR(__xludf.DUMMYFUNCTION("""COMPUTED_VALUE"""),"Ana")</f>
        <v>Ana</v>
      </c>
      <c r="D983" s="2" t="str">
        <f>IFERROR(__xludf.DUMMYFUNCTION("""COMPUTED_VALUE"""),"5KM MASTER F")</f>
        <v>5KM MASTER F</v>
      </c>
      <c r="E983" s="1">
        <f>IFERROR(__xludf.DUMMYFUNCTION("""COMPUTED_VALUE"""),39.0)</f>
        <v>39</v>
      </c>
      <c r="F983" s="1" t="str">
        <f>IFERROR(__xludf.DUMMYFUNCTION("""COMPUTED_VALUE"""),"Female")</f>
        <v>Female</v>
      </c>
      <c r="G983" s="5">
        <f>IFERROR(__xludf.DUMMYFUNCTION("""COMPUTED_VALUE"""),0.00726982175925926)</f>
        <v>0.007269821759</v>
      </c>
      <c r="H983" s="15">
        <f>IFERROR(__xludf.DUMMYFUNCTION("""COMPUTED_VALUE"""),0.2549440625)</f>
        <v>0.2549440625</v>
      </c>
      <c r="I983" s="15">
        <f>IFERROR(__xludf.DUMMYFUNCTION("""COMPUTED_VALUE"""),45949.29129317577)</f>
        <v>45949.29129</v>
      </c>
      <c r="J983" s="15">
        <f>IFERROR(__xludf.DUMMYFUNCTION("""COMPUTED_VALUE"""),45949.03634911327)</f>
        <v>45949.03635</v>
      </c>
      <c r="K983" s="15">
        <f>IFERROR(__xludf.DUMMYFUNCTION("""COMPUTED_VALUE"""),45949.27734273185)</f>
        <v>45949.27734</v>
      </c>
      <c r="L983" s="4"/>
    </row>
    <row r="984">
      <c r="A984" s="1">
        <f>IFERROR(__xludf.DUMMYFUNCTION("""COMPUTED_VALUE"""),982.0)</f>
        <v>982</v>
      </c>
      <c r="B984" s="1">
        <f>IFERROR(__xludf.DUMMYFUNCTION("""COMPUTED_VALUE"""),6552.0)</f>
        <v>6552</v>
      </c>
      <c r="C984" s="2" t="str">
        <f>IFERROR(__xludf.DUMMYFUNCTION("""COMPUTED_VALUE"""),"DESI")</f>
        <v>DESI</v>
      </c>
      <c r="D984" s="2" t="str">
        <f>IFERROR(__xludf.DUMMYFUNCTION("""COMPUTED_VALUE"""),"5KM OVERALL F")</f>
        <v>5KM OVERALL F</v>
      </c>
      <c r="E984" s="1">
        <f>IFERROR(__xludf.DUMMYFUNCTION("""COMPUTED_VALUE"""),196.0)</f>
        <v>196</v>
      </c>
      <c r="F984" s="1" t="str">
        <f>IFERROR(__xludf.DUMMYFUNCTION("""COMPUTED_VALUE"""),"Female")</f>
        <v>Female</v>
      </c>
      <c r="G984" s="5">
        <f>IFERROR(__xludf.DUMMYFUNCTION("""COMPUTED_VALUE"""),0.00726982175925926)</f>
        <v>0.007269821759</v>
      </c>
      <c r="H984" s="15">
        <f>IFERROR(__xludf.DUMMYFUNCTION("""COMPUTED_VALUE"""),0.2549440625)</f>
        <v>0.2549440625</v>
      </c>
      <c r="I984" s="15">
        <f>IFERROR(__xludf.DUMMYFUNCTION("""COMPUTED_VALUE"""),45949.29129317577)</f>
        <v>45949.29129</v>
      </c>
      <c r="J984" s="15">
        <f>IFERROR(__xludf.DUMMYFUNCTION("""COMPUTED_VALUE"""),45949.03634911327)</f>
        <v>45949.03635</v>
      </c>
      <c r="K984" s="15">
        <f>IFERROR(__xludf.DUMMYFUNCTION("""COMPUTED_VALUE"""),45949.275328781114)</f>
        <v>45949.27533</v>
      </c>
      <c r="L984" s="4"/>
    </row>
    <row r="985">
      <c r="A985" s="1">
        <f>IFERROR(__xludf.DUMMYFUNCTION("""COMPUTED_VALUE"""),984.0)</f>
        <v>984</v>
      </c>
      <c r="B985" s="1">
        <f>IFERROR(__xludf.DUMMYFUNCTION("""COMPUTED_VALUE"""),6366.0)</f>
        <v>6366</v>
      </c>
      <c r="C985" s="2" t="str">
        <f>IFERROR(__xludf.DUMMYFUNCTION("""COMPUTED_VALUE"""),"Hamdana")</f>
        <v>Hamdana</v>
      </c>
      <c r="D985" s="2" t="str">
        <f>IFERROR(__xludf.DUMMYFUNCTION("""COMPUTED_VALUE"""),"5KM OVERALL F")</f>
        <v>5KM OVERALL F</v>
      </c>
      <c r="E985" s="1">
        <f>IFERROR(__xludf.DUMMYFUNCTION("""COMPUTED_VALUE"""),197.0)</f>
        <v>197</v>
      </c>
      <c r="F985" s="1" t="str">
        <f>IFERROR(__xludf.DUMMYFUNCTION("""COMPUTED_VALUE"""),"Female")</f>
        <v>Female</v>
      </c>
      <c r="G985" s="5">
        <f>IFERROR(__xludf.DUMMYFUNCTION("""COMPUTED_VALUE"""),0.007271210648148148)</f>
        <v>0.007271210648</v>
      </c>
      <c r="H985" s="15">
        <f>IFERROR(__xludf.DUMMYFUNCTION("""COMPUTED_VALUE"""),0.2549440625)</f>
        <v>0.2549440625</v>
      </c>
      <c r="I985" s="15">
        <f>IFERROR(__xludf.DUMMYFUNCTION("""COMPUTED_VALUE"""),45949.291300120276)</f>
        <v>45949.2913</v>
      </c>
      <c r="J985" s="15">
        <f>IFERROR(__xludf.DUMMYFUNCTION("""COMPUTED_VALUE"""),45949.036356057775)</f>
        <v>45949.03636</v>
      </c>
      <c r="K985" s="15">
        <f>IFERROR(__xludf.DUMMYFUNCTION("""COMPUTED_VALUE"""),45949.27515521037)</f>
        <v>45949.27516</v>
      </c>
      <c r="L985" s="4"/>
    </row>
    <row r="986">
      <c r="A986" s="1">
        <f>IFERROR(__xludf.DUMMYFUNCTION("""COMPUTED_VALUE"""),985.0)</f>
        <v>985</v>
      </c>
      <c r="B986" s="1">
        <f>IFERROR(__xludf.DUMMYFUNCTION("""COMPUTED_VALUE"""),6134.0)</f>
        <v>6134</v>
      </c>
      <c r="C986" s="2" t="str">
        <f>IFERROR(__xludf.DUMMYFUNCTION("""COMPUTED_VALUE"""),"cahya")</f>
        <v>cahya</v>
      </c>
      <c r="D986" s="2" t="str">
        <f>IFERROR(__xludf.DUMMYFUNCTION("""COMPUTED_VALUE"""),"5KM OVERALL F")</f>
        <v>5KM OVERALL F</v>
      </c>
      <c r="E986" s="1">
        <f>IFERROR(__xludf.DUMMYFUNCTION("""COMPUTED_VALUE"""),198.0)</f>
        <v>198</v>
      </c>
      <c r="F986" s="1" t="str">
        <f>IFERROR(__xludf.DUMMYFUNCTION("""COMPUTED_VALUE"""),"Female")</f>
        <v>Female</v>
      </c>
      <c r="G986" s="5">
        <f>IFERROR(__xludf.DUMMYFUNCTION("""COMPUTED_VALUE"""),0.00727330787037037)</f>
        <v>0.00727330787</v>
      </c>
      <c r="H986" s="15">
        <f>IFERROR(__xludf.DUMMYFUNCTION("""COMPUTED_VALUE"""),0.2549440625)</f>
        <v>0.2549440625</v>
      </c>
      <c r="I986" s="15">
        <f>IFERROR(__xludf.DUMMYFUNCTION("""COMPUTED_VALUE"""),45949.29131060646)</f>
        <v>45949.29131</v>
      </c>
      <c r="J986" s="15">
        <f>IFERROR(__xludf.DUMMYFUNCTION("""COMPUTED_VALUE"""),45949.03636654396)</f>
        <v>45949.03637</v>
      </c>
      <c r="K986" s="15">
        <f>IFERROR(__xludf.DUMMYFUNCTION("""COMPUTED_VALUE"""),45949.27630795362)</f>
        <v>45949.27631</v>
      </c>
      <c r="L986" s="4"/>
    </row>
    <row r="987">
      <c r="A987" s="1">
        <f>IFERROR(__xludf.DUMMYFUNCTION("""COMPUTED_VALUE"""),986.0)</f>
        <v>986</v>
      </c>
      <c r="B987" s="1">
        <f>IFERROR(__xludf.DUMMYFUNCTION("""COMPUTED_VALUE"""),5343.0)</f>
        <v>5343</v>
      </c>
      <c r="C987" s="2" t="str">
        <f>IFERROR(__xludf.DUMMYFUNCTION("""COMPUTED_VALUE"""),"Trisnainha")</f>
        <v>Trisnainha</v>
      </c>
      <c r="D987" s="2" t="str">
        <f>IFERROR(__xludf.DUMMYFUNCTION("""COMPUTED_VALUE"""),"5KM OVERALL F")</f>
        <v>5KM OVERALL F</v>
      </c>
      <c r="E987" s="1">
        <f>IFERROR(__xludf.DUMMYFUNCTION("""COMPUTED_VALUE"""),199.0)</f>
        <v>199</v>
      </c>
      <c r="F987" s="1" t="str">
        <f>IFERROR(__xludf.DUMMYFUNCTION("""COMPUTED_VALUE"""),"Female")</f>
        <v>Female</v>
      </c>
      <c r="G987" s="5">
        <f>IFERROR(__xludf.DUMMYFUNCTION("""COMPUTED_VALUE"""),0.00727330787037037)</f>
        <v>0.00727330787</v>
      </c>
      <c r="H987" s="15">
        <f>IFERROR(__xludf.DUMMYFUNCTION("""COMPUTED_VALUE"""),0.2549440625)</f>
        <v>0.2549440625</v>
      </c>
      <c r="I987" s="15">
        <f>IFERROR(__xludf.DUMMYFUNCTION("""COMPUTED_VALUE"""),45949.29131060646)</f>
        <v>45949.29131</v>
      </c>
      <c r="J987" s="15">
        <f>IFERROR(__xludf.DUMMYFUNCTION("""COMPUTED_VALUE"""),45949.03636654396)</f>
        <v>45949.03637</v>
      </c>
      <c r="K987" s="15">
        <f>IFERROR(__xludf.DUMMYFUNCTION("""COMPUTED_VALUE"""),45949.27548156049)</f>
        <v>45949.27548</v>
      </c>
      <c r="L987" s="4"/>
    </row>
    <row r="988">
      <c r="A988" s="1">
        <f>IFERROR(__xludf.DUMMYFUNCTION("""COMPUTED_VALUE"""),987.0)</f>
        <v>987</v>
      </c>
      <c r="B988" s="1">
        <f>IFERROR(__xludf.DUMMYFUNCTION("""COMPUTED_VALUE"""),5327.0)</f>
        <v>5327</v>
      </c>
      <c r="C988" s="2" t="str">
        <f>IFERROR(__xludf.DUMMYFUNCTION("""COMPUTED_VALUE"""),"Khaidir Ali")</f>
        <v>Khaidir Ali</v>
      </c>
      <c r="D988" s="2" t="str">
        <f>IFERROR(__xludf.DUMMYFUNCTION("""COMPUTED_VALUE"""),"5KM OVERALL M")</f>
        <v>5KM OVERALL M</v>
      </c>
      <c r="E988" s="1">
        <f>IFERROR(__xludf.DUMMYFUNCTION("""COMPUTED_VALUE"""),605.0)</f>
        <v>605</v>
      </c>
      <c r="F988" s="1" t="str">
        <f>IFERROR(__xludf.DUMMYFUNCTION("""COMPUTED_VALUE"""),"Male")</f>
        <v>Male</v>
      </c>
      <c r="G988" s="5">
        <f>IFERROR(__xludf.DUMMYFUNCTION("""COMPUTED_VALUE"""),0.00727330787037037)</f>
        <v>0.00727330787</v>
      </c>
      <c r="H988" s="15">
        <f>IFERROR(__xludf.DUMMYFUNCTION("""COMPUTED_VALUE"""),0.2549440625)</f>
        <v>0.2549440625</v>
      </c>
      <c r="I988" s="15">
        <f>IFERROR(__xludf.DUMMYFUNCTION("""COMPUTED_VALUE"""),45949.29131060646)</f>
        <v>45949.29131</v>
      </c>
      <c r="J988" s="15">
        <f>IFERROR(__xludf.DUMMYFUNCTION("""COMPUTED_VALUE"""),45949.03636654396)</f>
        <v>45949.03637</v>
      </c>
      <c r="K988" s="15">
        <f>IFERROR(__xludf.DUMMYFUNCTION("""COMPUTED_VALUE"""),45949.2755058505)</f>
        <v>45949.27551</v>
      </c>
      <c r="L988" s="4"/>
    </row>
    <row r="989">
      <c r="A989" s="1">
        <f>IFERROR(__xludf.DUMMYFUNCTION("""COMPUTED_VALUE"""),988.0)</f>
        <v>988</v>
      </c>
      <c r="B989" s="1">
        <f>IFERROR(__xludf.DUMMYFUNCTION("""COMPUTED_VALUE"""),5133.0)</f>
        <v>5133</v>
      </c>
      <c r="C989" s="2" t="str">
        <f>IFERROR(__xludf.DUMMYFUNCTION("""COMPUTED_VALUE"""),"cynthiap")</f>
        <v>cynthiap</v>
      </c>
      <c r="D989" s="2" t="str">
        <f>IFERROR(__xludf.DUMMYFUNCTION("""COMPUTED_VALUE"""),"5KM OVERALL F")</f>
        <v>5KM OVERALL F</v>
      </c>
      <c r="E989" s="1">
        <f>IFERROR(__xludf.DUMMYFUNCTION("""COMPUTED_VALUE"""),200.0)</f>
        <v>200</v>
      </c>
      <c r="F989" s="1" t="str">
        <f>IFERROR(__xludf.DUMMYFUNCTION("""COMPUTED_VALUE"""),"Female")</f>
        <v>Female</v>
      </c>
      <c r="G989" s="5">
        <f>IFERROR(__xludf.DUMMYFUNCTION("""COMPUTED_VALUE"""),0.007278854166666666)</f>
        <v>0.007278854167</v>
      </c>
      <c r="H989" s="15">
        <f>IFERROR(__xludf.DUMMYFUNCTION("""COMPUTED_VALUE"""),0.2549440625)</f>
        <v>0.2549440625</v>
      </c>
      <c r="I989" s="15">
        <f>IFERROR(__xludf.DUMMYFUNCTION("""COMPUTED_VALUE"""),45949.29133832779)</f>
        <v>45949.29134</v>
      </c>
      <c r="J989" s="15">
        <f>IFERROR(__xludf.DUMMYFUNCTION("""COMPUTED_VALUE"""),45949.03639426529)</f>
        <v>45949.03639</v>
      </c>
      <c r="K989" s="15">
        <f>IFERROR(__xludf.DUMMYFUNCTION("""COMPUTED_VALUE"""),45949.276419108595)</f>
        <v>45949.27642</v>
      </c>
      <c r="L989" s="4"/>
    </row>
    <row r="990">
      <c r="A990" s="1">
        <f>IFERROR(__xludf.DUMMYFUNCTION("""COMPUTED_VALUE"""),989.0)</f>
        <v>989</v>
      </c>
      <c r="B990" s="1">
        <f>IFERROR(__xludf.DUMMYFUNCTION("""COMPUTED_VALUE"""),5119.0)</f>
        <v>5119</v>
      </c>
      <c r="C990" s="2" t="str">
        <f>IFERROR(__xludf.DUMMYFUNCTION("""COMPUTED_VALUE"""),"Longe Taher")</f>
        <v>Longe Taher</v>
      </c>
      <c r="D990" s="2" t="str">
        <f>IFERROR(__xludf.DUMMYFUNCTION("""COMPUTED_VALUE"""),"5KM OVERALL M")</f>
        <v>5KM OVERALL M</v>
      </c>
      <c r="E990" s="1">
        <f>IFERROR(__xludf.DUMMYFUNCTION("""COMPUTED_VALUE"""),606.0)</f>
        <v>606</v>
      </c>
      <c r="F990" s="1" t="str">
        <f>IFERROR(__xludf.DUMMYFUNCTION("""COMPUTED_VALUE"""),"Male")</f>
        <v>Male</v>
      </c>
      <c r="G990" s="5">
        <f>IFERROR(__xludf.DUMMYFUNCTION("""COMPUTED_VALUE"""),0.0072844166666666665)</f>
        <v>0.007284416667</v>
      </c>
      <c r="H990" s="15">
        <f>IFERROR(__xludf.DUMMYFUNCTION("""COMPUTED_VALUE"""),0.2549440625)</f>
        <v>0.2549440625</v>
      </c>
      <c r="I990" s="15">
        <f>IFERROR(__xludf.DUMMYFUNCTION("""COMPUTED_VALUE"""),45949.29136615152)</f>
        <v>45949.29137</v>
      </c>
      <c r="J990" s="15">
        <f>IFERROR(__xludf.DUMMYFUNCTION("""COMPUTED_VALUE"""),45949.03642208902)</f>
        <v>45949.03642</v>
      </c>
      <c r="K990" s="15">
        <f>IFERROR(__xludf.DUMMYFUNCTION("""COMPUTED_VALUE"""),45949.276453779086)</f>
        <v>45949.27645</v>
      </c>
      <c r="L990" s="4"/>
    </row>
    <row r="991">
      <c r="A991" s="1">
        <f>IFERROR(__xludf.DUMMYFUNCTION("""COMPUTED_VALUE"""),990.0)</f>
        <v>990</v>
      </c>
      <c r="B991" s="1">
        <f>IFERROR(__xludf.DUMMYFUNCTION("""COMPUTED_VALUE"""),6281.0)</f>
        <v>6281</v>
      </c>
      <c r="C991" s="2" t="str">
        <f>IFERROR(__xludf.DUMMYFUNCTION("""COMPUTED_VALUE"""),"_putriiprmtsr")</f>
        <v>_putriiprmtsr</v>
      </c>
      <c r="D991" s="2" t="str">
        <f>IFERROR(__xludf.DUMMYFUNCTION("""COMPUTED_VALUE"""),"5KM OVERALL F")</f>
        <v>5KM OVERALL F</v>
      </c>
      <c r="E991" s="1">
        <f>IFERROR(__xludf.DUMMYFUNCTION("""COMPUTED_VALUE"""),201.0)</f>
        <v>201</v>
      </c>
      <c r="F991" s="1" t="str">
        <f>IFERROR(__xludf.DUMMYFUNCTION("""COMPUTED_VALUE"""),"Female")</f>
        <v>Female</v>
      </c>
      <c r="G991" s="5">
        <f>IFERROR(__xludf.DUMMYFUNCTION("""COMPUTED_VALUE"""),0.007286502314814815)</f>
        <v>0.007286502315</v>
      </c>
      <c r="H991" s="15">
        <f>IFERROR(__xludf.DUMMYFUNCTION("""COMPUTED_VALUE"""),0.2549440625)</f>
        <v>0.2549440625</v>
      </c>
      <c r="I991" s="15">
        <f>IFERROR(__xludf.DUMMYFUNCTION("""COMPUTED_VALUE"""),45949.291376573805)</f>
        <v>45949.29138</v>
      </c>
      <c r="J991" s="15">
        <f>IFERROR(__xludf.DUMMYFUNCTION("""COMPUTED_VALUE"""),45949.036432511304)</f>
        <v>45949.03643</v>
      </c>
      <c r="K991" s="15">
        <f>IFERROR(__xludf.DUMMYFUNCTION("""COMPUTED_VALUE"""),45949.27614474146)</f>
        <v>45949.27614</v>
      </c>
      <c r="L991" s="4"/>
    </row>
    <row r="992">
      <c r="A992" s="1">
        <f>IFERROR(__xludf.DUMMYFUNCTION("""COMPUTED_VALUE"""),991.0)</f>
        <v>991</v>
      </c>
      <c r="B992" s="1">
        <f>IFERROR(__xludf.DUMMYFUNCTION("""COMPUTED_VALUE"""),5852.0)</f>
        <v>5852</v>
      </c>
      <c r="C992" s="2" t="str">
        <f>IFERROR(__xludf.DUMMYFUNCTION("""COMPUTED_VALUE"""),"Nova")</f>
        <v>Nova</v>
      </c>
      <c r="D992" s="2" t="str">
        <f>IFERROR(__xludf.DUMMYFUNCTION("""COMPUTED_VALUE"""),"5KM OVERALL F")</f>
        <v>5KM OVERALL F</v>
      </c>
      <c r="E992" s="1">
        <f>IFERROR(__xludf.DUMMYFUNCTION("""COMPUTED_VALUE"""),202.0)</f>
        <v>202</v>
      </c>
      <c r="F992" s="1" t="str">
        <f>IFERROR(__xludf.DUMMYFUNCTION("""COMPUTED_VALUE"""),"Female")</f>
        <v>Female</v>
      </c>
      <c r="G992" s="5">
        <f>IFERROR(__xludf.DUMMYFUNCTION("""COMPUTED_VALUE"""),0.007287877314814814)</f>
        <v>0.007287877315</v>
      </c>
      <c r="H992" s="15">
        <f>IFERROR(__xludf.DUMMYFUNCTION("""COMPUTED_VALUE"""),0.2549440625)</f>
        <v>0.2549440625</v>
      </c>
      <c r="I992" s="15">
        <f>IFERROR(__xludf.DUMMYFUNCTION("""COMPUTED_VALUE"""),45949.29138345422)</f>
        <v>45949.29138</v>
      </c>
      <c r="J992" s="15">
        <f>IFERROR(__xludf.DUMMYFUNCTION("""COMPUTED_VALUE"""),45949.03643939172)</f>
        <v>45949.03644</v>
      </c>
      <c r="K992" s="15">
        <f>IFERROR(__xludf.DUMMYFUNCTION("""COMPUTED_VALUE"""),45949.27705801208)</f>
        <v>45949.27706</v>
      </c>
      <c r="L992" s="4"/>
    </row>
    <row r="993">
      <c r="A993" s="1">
        <f>IFERROR(__xludf.DUMMYFUNCTION("""COMPUTED_VALUE"""),992.0)</f>
        <v>992</v>
      </c>
      <c r="B993" s="1">
        <f>IFERROR(__xludf.DUMMYFUNCTION("""COMPUTED_VALUE"""),5851.0)</f>
        <v>5851</v>
      </c>
      <c r="C993" s="2" t="str">
        <f>IFERROR(__xludf.DUMMYFUNCTION("""COMPUTED_VALUE"""),"ADIAT")</f>
        <v>ADIAT</v>
      </c>
      <c r="D993" s="2" t="str">
        <f>IFERROR(__xludf.DUMMYFUNCTION("""COMPUTED_VALUE"""),"5KM OVERALL M")</f>
        <v>5KM OVERALL M</v>
      </c>
      <c r="E993" s="1">
        <f>IFERROR(__xludf.DUMMYFUNCTION("""COMPUTED_VALUE"""),607.0)</f>
        <v>607</v>
      </c>
      <c r="F993" s="1" t="str">
        <f>IFERROR(__xludf.DUMMYFUNCTION("""COMPUTED_VALUE"""),"Male")</f>
        <v>Male</v>
      </c>
      <c r="G993" s="5">
        <f>IFERROR(__xludf.DUMMYFUNCTION("""COMPUTED_VALUE"""),0.007288583333333333)</f>
        <v>0.007288583333</v>
      </c>
      <c r="H993" s="15">
        <f>IFERROR(__xludf.DUMMYFUNCTION("""COMPUTED_VALUE"""),0.2549440625)</f>
        <v>0.2549440625</v>
      </c>
      <c r="I993" s="15">
        <f>IFERROR(__xludf.DUMMYFUNCTION("""COMPUTED_VALUE"""),45949.291386977326)</f>
        <v>45949.29139</v>
      </c>
      <c r="J993" s="15">
        <f>IFERROR(__xludf.DUMMYFUNCTION("""COMPUTED_VALUE"""),45949.036442914825)</f>
        <v>45949.03644</v>
      </c>
      <c r="K993" s="15">
        <f>IFERROR(__xludf.DUMMYFUNCTION("""COMPUTED_VALUE"""),45949.27700933544)</f>
        <v>45949.27701</v>
      </c>
      <c r="L993" s="4"/>
    </row>
    <row r="994">
      <c r="A994" s="1">
        <f>IFERROR(__xludf.DUMMYFUNCTION("""COMPUTED_VALUE"""),993.0)</f>
        <v>993</v>
      </c>
      <c r="B994" s="1">
        <f>IFERROR(__xludf.DUMMYFUNCTION("""COMPUTED_VALUE"""),6274.0)</f>
        <v>6274</v>
      </c>
      <c r="C994" s="2" t="str">
        <f>IFERROR(__xludf.DUMMYFUNCTION("""COMPUTED_VALUE"""),"Suryakamil")</f>
        <v>Suryakamil</v>
      </c>
      <c r="D994" s="2" t="str">
        <f>IFERROR(__xludf.DUMMYFUNCTION("""COMPUTED_VALUE"""),"5KM OVERALL M")</f>
        <v>5KM OVERALL M</v>
      </c>
      <c r="E994" s="1">
        <f>IFERROR(__xludf.DUMMYFUNCTION("""COMPUTED_VALUE"""),608.0)</f>
        <v>608</v>
      </c>
      <c r="F994" s="1" t="str">
        <f>IFERROR(__xludf.DUMMYFUNCTION("""COMPUTED_VALUE"""),"Male")</f>
        <v>Male</v>
      </c>
      <c r="G994" s="5">
        <f>IFERROR(__xludf.DUMMYFUNCTION("""COMPUTED_VALUE"""),0.007289972222222223)</f>
        <v>0.007289972222</v>
      </c>
      <c r="H994" s="15">
        <f>IFERROR(__xludf.DUMMYFUNCTION("""COMPUTED_VALUE"""),0.2549440625)</f>
        <v>0.2549440625</v>
      </c>
      <c r="I994" s="15">
        <f>IFERROR(__xludf.DUMMYFUNCTION("""COMPUTED_VALUE"""),45949.29139391879)</f>
        <v>45949.29139</v>
      </c>
      <c r="J994" s="15">
        <f>IFERROR(__xludf.DUMMYFUNCTION("""COMPUTED_VALUE"""),45949.03644985629)</f>
        <v>45949.03645</v>
      </c>
      <c r="K994" s="15">
        <f>IFERROR(__xludf.DUMMYFUNCTION("""COMPUTED_VALUE"""),45949.27628711241)</f>
        <v>45949.27629</v>
      </c>
      <c r="L994" s="4"/>
    </row>
    <row r="995">
      <c r="A995" s="1">
        <f>IFERROR(__xludf.DUMMYFUNCTION("""COMPUTED_VALUE"""),994.0)</f>
        <v>994</v>
      </c>
      <c r="B995" s="1">
        <f>IFERROR(__xludf.DUMMYFUNCTION("""COMPUTED_VALUE"""),5707.0)</f>
        <v>5707</v>
      </c>
      <c r="C995" s="2" t="str">
        <f>IFERROR(__xludf.DUMMYFUNCTION("""COMPUTED_VALUE"""),"MAS_ILHAM")</f>
        <v>MAS_ILHAM</v>
      </c>
      <c r="D995" s="2" t="str">
        <f>IFERROR(__xludf.DUMMYFUNCTION("""COMPUTED_VALUE"""),"5KM OVERALL M")</f>
        <v>5KM OVERALL M</v>
      </c>
      <c r="E995" s="1">
        <f>IFERROR(__xludf.DUMMYFUNCTION("""COMPUTED_VALUE"""),609.0)</f>
        <v>609</v>
      </c>
      <c r="F995" s="1" t="str">
        <f>IFERROR(__xludf.DUMMYFUNCTION("""COMPUTED_VALUE"""),"Male")</f>
        <v>Male</v>
      </c>
      <c r="G995" s="5">
        <f>IFERROR(__xludf.DUMMYFUNCTION("""COMPUTED_VALUE"""),0.007292055555555556)</f>
        <v>0.007292055556</v>
      </c>
      <c r="H995" s="15">
        <f>IFERROR(__xludf.DUMMYFUNCTION("""COMPUTED_VALUE"""),0.2549440625)</f>
        <v>0.2549440625</v>
      </c>
      <c r="I995" s="15">
        <f>IFERROR(__xludf.DUMMYFUNCTION("""COMPUTED_VALUE"""),45949.29140433595)</f>
        <v>45949.2914</v>
      </c>
      <c r="J995" s="15">
        <f>IFERROR(__xludf.DUMMYFUNCTION("""COMPUTED_VALUE"""),45949.03646027345)</f>
        <v>45949.03646</v>
      </c>
      <c r="K995" s="15">
        <f>IFERROR(__xludf.DUMMYFUNCTION("""COMPUTED_VALUE"""),45949.275405156804)</f>
        <v>45949.27541</v>
      </c>
      <c r="L995" s="4"/>
    </row>
    <row r="996">
      <c r="A996" s="1">
        <f>IFERROR(__xludf.DUMMYFUNCTION("""COMPUTED_VALUE"""),995.0)</f>
        <v>995</v>
      </c>
      <c r="B996" s="1">
        <f>IFERROR(__xludf.DUMMYFUNCTION("""COMPUTED_VALUE"""),5577.0)</f>
        <v>5577</v>
      </c>
      <c r="C996" s="2" t="str">
        <f>IFERROR(__xludf.DUMMYFUNCTION("""COMPUTED_VALUE"""),"Idi")</f>
        <v>Idi</v>
      </c>
      <c r="D996" s="2" t="str">
        <f>IFERROR(__xludf.DUMMYFUNCTION("""COMPUTED_VALUE"""),"5KM OVERALL M")</f>
        <v>5KM OVERALL M</v>
      </c>
      <c r="E996" s="1">
        <f>IFERROR(__xludf.DUMMYFUNCTION("""COMPUTED_VALUE"""),610.0)</f>
        <v>610</v>
      </c>
      <c r="F996" s="1" t="str">
        <f>IFERROR(__xludf.DUMMYFUNCTION("""COMPUTED_VALUE"""),"Male")</f>
        <v>Male</v>
      </c>
      <c r="G996" s="5">
        <f>IFERROR(__xludf.DUMMYFUNCTION("""COMPUTED_VALUE"""),0.0072989907407407404)</f>
        <v>0.007298990741</v>
      </c>
      <c r="H996" s="15">
        <f>IFERROR(__xludf.DUMMYFUNCTION("""COMPUTED_VALUE"""),0.2549440625)</f>
        <v>0.2549440625</v>
      </c>
      <c r="I996" s="15">
        <f>IFERROR(__xludf.DUMMYFUNCTION("""COMPUTED_VALUE"""),45949.29143901167)</f>
        <v>45949.29144</v>
      </c>
      <c r="J996" s="15">
        <f>IFERROR(__xludf.DUMMYFUNCTION("""COMPUTED_VALUE"""),45949.03649494917)</f>
        <v>45949.03649</v>
      </c>
      <c r="K996" s="15">
        <f>IFERROR(__xludf.DUMMYFUNCTION("""COMPUTED_VALUE"""),45949.27538781412)</f>
        <v>45949.27539</v>
      </c>
      <c r="L996" s="4"/>
    </row>
    <row r="997">
      <c r="A997" s="1">
        <f>IFERROR(__xludf.DUMMYFUNCTION("""COMPUTED_VALUE"""),996.0)</f>
        <v>996</v>
      </c>
      <c r="B997" s="1">
        <f>IFERROR(__xludf.DUMMYFUNCTION("""COMPUTED_VALUE"""),6192.0)</f>
        <v>6192</v>
      </c>
      <c r="C997" s="2" t="str">
        <f>IFERROR(__xludf.DUMMYFUNCTION("""COMPUTED_VALUE"""),"IFNU AL FIRDAUS")</f>
        <v>IFNU AL FIRDAUS</v>
      </c>
      <c r="D997" s="2" t="str">
        <f>IFERROR(__xludf.DUMMYFUNCTION("""COMPUTED_VALUE"""),"5KM OVERALL M")</f>
        <v>5KM OVERALL M</v>
      </c>
      <c r="E997" s="1">
        <f>IFERROR(__xludf.DUMMYFUNCTION("""COMPUTED_VALUE"""),611.0)</f>
        <v>611</v>
      </c>
      <c r="F997" s="1" t="str">
        <f>IFERROR(__xludf.DUMMYFUNCTION("""COMPUTED_VALUE"""),"Male")</f>
        <v>Male</v>
      </c>
      <c r="G997" s="5">
        <f>IFERROR(__xludf.DUMMYFUNCTION("""COMPUTED_VALUE"""),0.007306641203703704)</f>
        <v>0.007306641204</v>
      </c>
      <c r="H997" s="15">
        <f>IFERROR(__xludf.DUMMYFUNCTION("""COMPUTED_VALUE"""),0.2549440625)</f>
        <v>0.2549440625</v>
      </c>
      <c r="I997" s="15">
        <f>IFERROR(__xludf.DUMMYFUNCTION("""COMPUTED_VALUE"""),45949.29147726446)</f>
        <v>45949.29148</v>
      </c>
      <c r="J997" s="15">
        <f>IFERROR(__xludf.DUMMYFUNCTION("""COMPUTED_VALUE"""),45949.03653320196)</f>
        <v>45949.03653</v>
      </c>
      <c r="K997" s="15">
        <f>IFERROR(__xludf.DUMMYFUNCTION("""COMPUTED_VALUE"""),45949.27652420247)</f>
        <v>45949.27652</v>
      </c>
      <c r="L997" s="4"/>
    </row>
    <row r="998">
      <c r="A998" s="1">
        <f>IFERROR(__xludf.DUMMYFUNCTION("""COMPUTED_VALUE"""),997.0)</f>
        <v>997</v>
      </c>
      <c r="B998" s="1">
        <f>IFERROR(__xludf.DUMMYFUNCTION("""COMPUTED_VALUE"""),5531.0)</f>
        <v>5531</v>
      </c>
      <c r="C998" s="2" t="str">
        <f>IFERROR(__xludf.DUMMYFUNCTION("""COMPUTED_VALUE"""),"BUDI_S13")</f>
        <v>BUDI_S13</v>
      </c>
      <c r="D998" s="2" t="str">
        <f>IFERROR(__xludf.DUMMYFUNCTION("""COMPUTED_VALUE"""),"5KM OVERALL M")</f>
        <v>5KM OVERALL M</v>
      </c>
      <c r="E998" s="1">
        <f>IFERROR(__xludf.DUMMYFUNCTION("""COMPUTED_VALUE"""),612.0)</f>
        <v>612</v>
      </c>
      <c r="F998" s="1" t="str">
        <f>IFERROR(__xludf.DUMMYFUNCTION("""COMPUTED_VALUE"""),"Male")</f>
        <v>Male</v>
      </c>
      <c r="G998" s="5">
        <f>IFERROR(__xludf.DUMMYFUNCTION("""COMPUTED_VALUE"""),0.00731011111111111)</f>
        <v>0.007310111111</v>
      </c>
      <c r="H998" s="15">
        <f>IFERROR(__xludf.DUMMYFUNCTION("""COMPUTED_VALUE"""),0.2549440625)</f>
        <v>0.2549440625</v>
      </c>
      <c r="I998" s="15">
        <f>IFERROR(__xludf.DUMMYFUNCTION("""COMPUTED_VALUE"""),45949.29149462058)</f>
        <v>45949.29149</v>
      </c>
      <c r="J998" s="15">
        <f>IFERROR(__xludf.DUMMYFUNCTION("""COMPUTED_VALUE"""),45949.03655055808)</f>
        <v>45949.03655</v>
      </c>
      <c r="K998" s="15">
        <f>IFERROR(__xludf.DUMMYFUNCTION("""COMPUTED_VALUE"""),45949.27656141927)</f>
        <v>45949.27656</v>
      </c>
      <c r="L998" s="4"/>
    </row>
    <row r="999">
      <c r="A999" s="1">
        <f>IFERROR(__xludf.DUMMYFUNCTION("""COMPUTED_VALUE"""),998.0)</f>
        <v>998</v>
      </c>
      <c r="B999" s="1">
        <f>IFERROR(__xludf.DUMMYFUNCTION("""COMPUTED_VALUE"""),5564.0)</f>
        <v>5564</v>
      </c>
      <c r="C999" s="2" t="str">
        <f>IFERROR(__xludf.DUMMYFUNCTION("""COMPUTED_VALUE"""),"HELDA SANTI")</f>
        <v>HELDA SANTI</v>
      </c>
      <c r="D999" s="2" t="str">
        <f>IFERROR(__xludf.DUMMYFUNCTION("""COMPUTED_VALUE"""),"5KM OVERALL F")</f>
        <v>5KM OVERALL F</v>
      </c>
      <c r="E999" s="1">
        <f>IFERROR(__xludf.DUMMYFUNCTION("""COMPUTED_VALUE"""),203.0)</f>
        <v>203</v>
      </c>
      <c r="F999" s="1" t="str">
        <f>IFERROR(__xludf.DUMMYFUNCTION("""COMPUTED_VALUE"""),"Female")</f>
        <v>Female</v>
      </c>
      <c r="G999" s="5">
        <f>IFERROR(__xludf.DUMMYFUNCTION("""COMPUTED_VALUE"""),0.007312194444444445)</f>
        <v>0.007312194444</v>
      </c>
      <c r="H999" s="15">
        <f>IFERROR(__xludf.DUMMYFUNCTION("""COMPUTED_VALUE"""),0.2549440625)</f>
        <v>0.2549440625</v>
      </c>
      <c r="I999" s="15">
        <f>IFERROR(__xludf.DUMMYFUNCTION("""COMPUTED_VALUE"""),45949.291505034555)</f>
        <v>45949.29151</v>
      </c>
      <c r="J999" s="15">
        <f>IFERROR(__xludf.DUMMYFUNCTION("""COMPUTED_VALUE"""),45949.036560972054)</f>
        <v>45949.03656</v>
      </c>
      <c r="K999" s="15">
        <f>IFERROR(__xludf.DUMMYFUNCTION("""COMPUTED_VALUE"""),45949.27662392293)</f>
        <v>45949.27662</v>
      </c>
      <c r="L999" s="4"/>
    </row>
    <row r="1000">
      <c r="A1000" s="1">
        <f>IFERROR(__xludf.DUMMYFUNCTION("""COMPUTED_VALUE"""),999.0)</f>
        <v>999</v>
      </c>
      <c r="B1000" s="1">
        <f>IFERROR(__xludf.DUMMYFUNCTION("""COMPUTED_VALUE"""),6554.0)</f>
        <v>6554</v>
      </c>
      <c r="C1000" s="2" t="str">
        <f>IFERROR(__xludf.DUMMYFUNCTION("""COMPUTED_VALUE"""),"BELLA ASMARAYANTI")</f>
        <v>BELLA ASMARAYANTI</v>
      </c>
      <c r="D1000" s="2" t="str">
        <f>IFERROR(__xludf.DUMMYFUNCTION("""COMPUTED_VALUE"""),"5KM OVERALL F")</f>
        <v>5KM OVERALL F</v>
      </c>
      <c r="E1000" s="1">
        <f>IFERROR(__xludf.DUMMYFUNCTION("""COMPUTED_VALUE"""),204.0)</f>
        <v>204</v>
      </c>
      <c r="F1000" s="1" t="str">
        <f>IFERROR(__xludf.DUMMYFUNCTION("""COMPUTED_VALUE"""),"Female")</f>
        <v>Female</v>
      </c>
      <c r="G1000" s="5">
        <f>IFERROR(__xludf.DUMMYFUNCTION("""COMPUTED_VALUE"""),0.007315671296296296)</f>
        <v>0.007315671296</v>
      </c>
      <c r="H1000" s="15">
        <f>IFERROR(__xludf.DUMMYFUNCTION("""COMPUTED_VALUE"""),0.2549440625)</f>
        <v>0.2549440625</v>
      </c>
      <c r="I1000" s="15">
        <f>IFERROR(__xludf.DUMMYFUNCTION("""COMPUTED_VALUE"""),45949.29152242146)</f>
        <v>45949.29152</v>
      </c>
      <c r="J1000" s="15">
        <f>IFERROR(__xludf.DUMMYFUNCTION("""COMPUTED_VALUE"""),45949.03657835896)</f>
        <v>45949.03658</v>
      </c>
      <c r="K1000" s="15">
        <f>IFERROR(__xludf.DUMMYFUNCTION("""COMPUTED_VALUE"""),45949.275255864326)</f>
        <v>45949.27526</v>
      </c>
      <c r="L1000" s="4"/>
    </row>
    <row r="1001">
      <c r="A1001" s="1">
        <f>IFERROR(__xludf.DUMMYFUNCTION("""COMPUTED_VALUE"""),1000.0)</f>
        <v>1000</v>
      </c>
      <c r="B1001" s="1">
        <f>IFERROR(__xludf.DUMMYFUNCTION("""COMPUTED_VALUE"""),5478.0)</f>
        <v>5478</v>
      </c>
      <c r="C1001" s="2" t="str">
        <f>IFERROR(__xludf.DUMMYFUNCTION("""COMPUTED_VALUE"""),"Hestyusda")</f>
        <v>Hestyusda</v>
      </c>
      <c r="D1001" s="2" t="str">
        <f>IFERROR(__xludf.DUMMYFUNCTION("""COMPUTED_VALUE"""),"5KM OVERALL F")</f>
        <v>5KM OVERALL F</v>
      </c>
      <c r="E1001" s="1">
        <f>IFERROR(__xludf.DUMMYFUNCTION("""COMPUTED_VALUE"""),205.0)</f>
        <v>205</v>
      </c>
      <c r="F1001" s="1" t="str">
        <f>IFERROR(__xludf.DUMMYFUNCTION("""COMPUTED_VALUE"""),"Female")</f>
        <v>Female</v>
      </c>
      <c r="G1001" s="5">
        <f>IFERROR(__xludf.DUMMYFUNCTION("""COMPUTED_VALUE"""),0.007318641203703703)</f>
        <v>0.007318641204</v>
      </c>
      <c r="H1001" s="15">
        <f>IFERROR(__xludf.DUMMYFUNCTION("""COMPUTED_VALUE"""),0.2549440625)</f>
        <v>0.2549440625</v>
      </c>
      <c r="I1001" s="15">
        <f>IFERROR(__xludf.DUMMYFUNCTION("""COMPUTED_VALUE"""),45949.29153727164)</f>
        <v>45949.29154</v>
      </c>
      <c r="J1001" s="15">
        <f>IFERROR(__xludf.DUMMYFUNCTION("""COMPUTED_VALUE"""),45949.03659320914)</f>
        <v>45949.03659</v>
      </c>
      <c r="K1001" s="15">
        <f>IFERROR(__xludf.DUMMYFUNCTION("""COMPUTED_VALUE"""),45949.276082322845)</f>
        <v>45949.27608</v>
      </c>
      <c r="L1001" s="4"/>
    </row>
    <row r="1002">
      <c r="A1002" s="1">
        <f>IFERROR(__xludf.DUMMYFUNCTION("""COMPUTED_VALUE"""),1001.0)</f>
        <v>1001</v>
      </c>
      <c r="B1002" s="1">
        <f>IFERROR(__xludf.DUMMYFUNCTION("""COMPUTED_VALUE"""),6553.0)</f>
        <v>6553</v>
      </c>
      <c r="C1002" s="2" t="str">
        <f>IFERROR(__xludf.DUMMYFUNCTION("""COMPUTED_VALUE"""),"FITRI FLORENTIA SUSANA")</f>
        <v>FITRI FLORENTIA SUSANA</v>
      </c>
      <c r="D1002" s="2" t="str">
        <f>IFERROR(__xludf.DUMMYFUNCTION("""COMPUTED_VALUE"""),"5KM OVERALL F")</f>
        <v>5KM OVERALL F</v>
      </c>
      <c r="E1002" s="1">
        <f>IFERROR(__xludf.DUMMYFUNCTION("""COMPUTED_VALUE"""),206.0)</f>
        <v>206</v>
      </c>
      <c r="F1002" s="1" t="str">
        <f>IFERROR(__xludf.DUMMYFUNCTION("""COMPUTED_VALUE"""),"Female")</f>
        <v>Female</v>
      </c>
      <c r="G1002" s="5">
        <f>IFERROR(__xludf.DUMMYFUNCTION("""COMPUTED_VALUE"""),0.007319143518518518)</f>
        <v>0.007319143519</v>
      </c>
      <c r="H1002" s="15">
        <f>IFERROR(__xludf.DUMMYFUNCTION("""COMPUTED_VALUE"""),0.2549440625)</f>
        <v>0.2549440625</v>
      </c>
      <c r="I1002" s="15">
        <f>IFERROR(__xludf.DUMMYFUNCTION("""COMPUTED_VALUE"""),45949.29153978023)</f>
        <v>45949.29154</v>
      </c>
      <c r="J1002" s="15">
        <f>IFERROR(__xludf.DUMMYFUNCTION("""COMPUTED_VALUE"""),45949.03659571773)</f>
        <v>45949.0366</v>
      </c>
      <c r="K1002" s="15">
        <f>IFERROR(__xludf.DUMMYFUNCTION("""COMPUTED_VALUE"""),45949.27525240542)</f>
        <v>45949.27525</v>
      </c>
      <c r="L1002" s="4"/>
    </row>
    <row r="1003">
      <c r="A1003" s="1">
        <f>IFERROR(__xludf.DUMMYFUNCTION("""COMPUTED_VALUE"""),1002.0)</f>
        <v>1002</v>
      </c>
      <c r="B1003" s="1">
        <f>IFERROR(__xludf.DUMMYFUNCTION("""COMPUTED_VALUE"""),5768.0)</f>
        <v>5768</v>
      </c>
      <c r="C1003" s="2" t="str">
        <f>IFERROR(__xludf.DUMMYFUNCTION("""COMPUTED_VALUE"""),"Nadya")</f>
        <v>Nadya</v>
      </c>
      <c r="D1003" s="2" t="str">
        <f>IFERROR(__xludf.DUMMYFUNCTION("""COMPUTED_VALUE"""),"5KM OVERALL F")</f>
        <v>5KM OVERALL F</v>
      </c>
      <c r="E1003" s="1">
        <f>IFERROR(__xludf.DUMMYFUNCTION("""COMPUTED_VALUE"""),207.0)</f>
        <v>207</v>
      </c>
      <c r="F1003" s="1" t="str">
        <f>IFERROR(__xludf.DUMMYFUNCTION("""COMPUTED_VALUE"""),"Female")</f>
        <v>Female</v>
      </c>
      <c r="G1003" s="5">
        <f>IFERROR(__xludf.DUMMYFUNCTION("""COMPUTED_VALUE"""),0.0073246944444444444)</f>
        <v>0.007324694444</v>
      </c>
      <c r="H1003" s="15">
        <f>IFERROR(__xludf.DUMMYFUNCTION("""COMPUTED_VALUE"""),0.2549440625)</f>
        <v>0.2549440625</v>
      </c>
      <c r="I1003" s="15">
        <f>IFERROR(__xludf.DUMMYFUNCTION("""COMPUTED_VALUE"""),45949.29156753298)</f>
        <v>45949.29157</v>
      </c>
      <c r="J1003" s="15">
        <f>IFERROR(__xludf.DUMMYFUNCTION("""COMPUTED_VALUE"""),45949.03662347048)</f>
        <v>45949.03662</v>
      </c>
      <c r="K1003" s="15">
        <f>IFERROR(__xludf.DUMMYFUNCTION("""COMPUTED_VALUE"""),45949.274860033474)</f>
        <v>45949.27486</v>
      </c>
      <c r="L1003" s="4"/>
    </row>
    <row r="1004">
      <c r="A1004" s="1">
        <f>IFERROR(__xludf.DUMMYFUNCTION("""COMPUTED_VALUE"""),1003.0)</f>
        <v>1003</v>
      </c>
      <c r="B1004" s="1">
        <f>IFERROR(__xludf.DUMMYFUNCTION("""COMPUTED_VALUE"""),5072.0)</f>
        <v>5072</v>
      </c>
      <c r="C1004" s="2" t="str">
        <f>IFERROR(__xludf.DUMMYFUNCTION("""COMPUTED_VALUE"""),"YATI")</f>
        <v>YATI</v>
      </c>
      <c r="D1004" s="2" t="str">
        <f>IFERROR(__xludf.DUMMYFUNCTION("""COMPUTED_VALUE"""),"5KM OVERALL F")</f>
        <v>5KM OVERALL F</v>
      </c>
      <c r="E1004" s="1">
        <f>IFERROR(__xludf.DUMMYFUNCTION("""COMPUTED_VALUE"""),208.0)</f>
        <v>208</v>
      </c>
      <c r="F1004" s="1" t="str">
        <f>IFERROR(__xludf.DUMMYFUNCTION("""COMPUTED_VALUE"""),"Female")</f>
        <v>Female</v>
      </c>
      <c r="G1004" s="5">
        <f>IFERROR(__xludf.DUMMYFUNCTION("""COMPUTED_VALUE"""),0.007324696759259258)</f>
        <v>0.007324696759</v>
      </c>
      <c r="H1004" s="15">
        <f>IFERROR(__xludf.DUMMYFUNCTION("""COMPUTED_VALUE"""),0.2549440625)</f>
        <v>0.2549440625</v>
      </c>
      <c r="I1004" s="15">
        <f>IFERROR(__xludf.DUMMYFUNCTION("""COMPUTED_VALUE"""),45949.29156754666)</f>
        <v>45949.29157</v>
      </c>
      <c r="J1004" s="15">
        <f>IFERROR(__xludf.DUMMYFUNCTION("""COMPUTED_VALUE"""),45949.03662348416)</f>
        <v>45949.03662</v>
      </c>
      <c r="K1004" s="15">
        <f>IFERROR(__xludf.DUMMYFUNCTION("""COMPUTED_VALUE"""),45949.27583571896)</f>
        <v>45949.27584</v>
      </c>
      <c r="L1004" s="4"/>
    </row>
    <row r="1005">
      <c r="A1005" s="1">
        <f>IFERROR(__xludf.DUMMYFUNCTION("""COMPUTED_VALUE"""),1004.0)</f>
        <v>1004</v>
      </c>
      <c r="B1005" s="1">
        <f>IFERROR(__xludf.DUMMYFUNCTION("""COMPUTED_VALUE"""),5518.0)</f>
        <v>5518</v>
      </c>
      <c r="C1005" s="2" t="str">
        <f>IFERROR(__xludf.DUMMYFUNCTION("""COMPUTED_VALUE"""),"Taufiqur")</f>
        <v>Taufiqur</v>
      </c>
      <c r="D1005" s="2" t="str">
        <f>IFERROR(__xludf.DUMMYFUNCTION("""COMPUTED_VALUE"""),"5KM OVERALL M")</f>
        <v>5KM OVERALL M</v>
      </c>
      <c r="E1005" s="1">
        <f>IFERROR(__xludf.DUMMYFUNCTION("""COMPUTED_VALUE"""),613.0)</f>
        <v>613</v>
      </c>
      <c r="F1005" s="1" t="str">
        <f>IFERROR(__xludf.DUMMYFUNCTION("""COMPUTED_VALUE"""),"Male")</f>
        <v>Male</v>
      </c>
      <c r="G1005" s="5">
        <f>IFERROR(__xludf.DUMMYFUNCTION("""COMPUTED_VALUE"""),0.0073267777777777775)</f>
        <v>0.007326777778</v>
      </c>
      <c r="H1005" s="15">
        <f>IFERROR(__xludf.DUMMYFUNCTION("""COMPUTED_VALUE"""),0.2549440625)</f>
        <v>0.2549440625</v>
      </c>
      <c r="I1005" s="15">
        <f>IFERROR(__xludf.DUMMYFUNCTION("""COMPUTED_VALUE"""),45949.29157795279)</f>
        <v>45949.29158</v>
      </c>
      <c r="J1005" s="15">
        <f>IFERROR(__xludf.DUMMYFUNCTION("""COMPUTED_VALUE"""),45949.03663389029)</f>
        <v>45949.03663</v>
      </c>
      <c r="K1005" s="15">
        <f>IFERROR(__xludf.DUMMYFUNCTION("""COMPUTED_VALUE"""),45949.27607529447)</f>
        <v>45949.27608</v>
      </c>
      <c r="L1005" s="4"/>
    </row>
    <row r="1006">
      <c r="A1006" s="1">
        <f>IFERROR(__xludf.DUMMYFUNCTION("""COMPUTED_VALUE"""),1005.0)</f>
        <v>1005</v>
      </c>
      <c r="B1006" s="7" t="str">
        <f>IFERROR(__xludf.DUMMYFUNCTION("""COMPUTED_VALUE"""),"7176")</f>
        <v>7176</v>
      </c>
      <c r="C1006" s="8" t="str">
        <f>IFERROR(__xludf.DUMMYFUNCTION("""COMPUTED_VALUE"""),"Dean")</f>
        <v>Dean</v>
      </c>
      <c r="D1006" s="2" t="str">
        <f>IFERROR(__xludf.DUMMYFUNCTION("""COMPUTED_VALUE"""),"5KM MASTER F")</f>
        <v>5KM MASTER F</v>
      </c>
      <c r="E1006" s="1">
        <f>IFERROR(__xludf.DUMMYFUNCTION("""COMPUTED_VALUE"""),40.0)</f>
        <v>40</v>
      </c>
      <c r="F1006" s="1" t="str">
        <f>IFERROR(__xludf.DUMMYFUNCTION("""COMPUTED_VALUE"""),"Female")</f>
        <v>Female</v>
      </c>
      <c r="G1006" s="5">
        <f>IFERROR(__xludf.DUMMYFUNCTION("""COMPUTED_VALUE"""),0.007328155092592592)</f>
        <v>0.007328155093</v>
      </c>
      <c r="H1006" s="15">
        <f>IFERROR(__xludf.DUMMYFUNCTION("""COMPUTED_VALUE"""),0.2549440625)</f>
        <v>0.2549440625</v>
      </c>
      <c r="I1006" s="15">
        <f>IFERROR(__xludf.DUMMYFUNCTION("""COMPUTED_VALUE"""),45949.29158484148)</f>
        <v>45949.29158</v>
      </c>
      <c r="J1006" s="15">
        <f>IFERROR(__xludf.DUMMYFUNCTION("""COMPUTED_VALUE"""),45949.03664077898)</f>
        <v>45949.03664</v>
      </c>
      <c r="K1006" s="15">
        <f>IFERROR(__xludf.DUMMYFUNCTION("""COMPUTED_VALUE"""),45949.27587743298)</f>
        <v>45949.27588</v>
      </c>
      <c r="L1006" s="4"/>
    </row>
    <row r="1007">
      <c r="A1007" s="1">
        <f>IFERROR(__xludf.DUMMYFUNCTION("""COMPUTED_VALUE"""),1006.0)</f>
        <v>1006</v>
      </c>
      <c r="B1007" s="1">
        <f>IFERROR(__xludf.DUMMYFUNCTION("""COMPUTED_VALUE"""),5935.0)</f>
        <v>5935</v>
      </c>
      <c r="C1007" s="2" t="str">
        <f>IFERROR(__xludf.DUMMYFUNCTION("""COMPUTED_VALUE"""),"Suci")</f>
        <v>Suci</v>
      </c>
      <c r="D1007" s="2" t="str">
        <f>IFERROR(__xludf.DUMMYFUNCTION("""COMPUTED_VALUE"""),"5KM OVERALL F")</f>
        <v>5KM OVERALL F</v>
      </c>
      <c r="E1007" s="1">
        <f>IFERROR(__xludf.DUMMYFUNCTION("""COMPUTED_VALUE"""),209.0)</f>
        <v>209</v>
      </c>
      <c r="F1007" s="1" t="str">
        <f>IFERROR(__xludf.DUMMYFUNCTION("""COMPUTED_VALUE"""),"Female")</f>
        <v>Female</v>
      </c>
      <c r="G1007" s="5">
        <f>IFERROR(__xludf.DUMMYFUNCTION("""COMPUTED_VALUE"""),0.007331638888888889)</f>
        <v>0.007331638889</v>
      </c>
      <c r="H1007" s="15">
        <f>IFERROR(__xludf.DUMMYFUNCTION("""COMPUTED_VALUE"""),0.2549440625)</f>
        <v>0.2549440625</v>
      </c>
      <c r="I1007" s="15">
        <f>IFERROR(__xludf.DUMMYFUNCTION("""COMPUTED_VALUE"""),45949.291602253776)</f>
        <v>45949.2916</v>
      </c>
      <c r="J1007" s="15">
        <f>IFERROR(__xludf.DUMMYFUNCTION("""COMPUTED_VALUE"""),45949.036658191275)</f>
        <v>45949.03666</v>
      </c>
      <c r="K1007" s="15">
        <f>IFERROR(__xludf.DUMMYFUNCTION("""COMPUTED_VALUE"""),45949.27596419767)</f>
        <v>45949.27596</v>
      </c>
      <c r="L1007" s="4"/>
    </row>
    <row r="1008">
      <c r="A1008" s="1">
        <f>IFERROR(__xludf.DUMMYFUNCTION("""COMPUTED_VALUE"""),1007.0)</f>
        <v>1007</v>
      </c>
      <c r="B1008" s="1">
        <f>IFERROR(__xludf.DUMMYFUNCTION("""COMPUTED_VALUE"""),5467.0)</f>
        <v>5467</v>
      </c>
      <c r="C1008" s="2" t="str">
        <f>IFERROR(__xludf.DUMMYFUNCTION("""COMPUTED_VALUE"""),"Jean Ricardo")</f>
        <v>Jean Ricardo</v>
      </c>
      <c r="D1008" s="2" t="str">
        <f>IFERROR(__xludf.DUMMYFUNCTION("""COMPUTED_VALUE"""),"5KM OVERALL M")</f>
        <v>5KM OVERALL M</v>
      </c>
      <c r="E1008" s="1">
        <f>IFERROR(__xludf.DUMMYFUNCTION("""COMPUTED_VALUE"""),614.0)</f>
        <v>614</v>
      </c>
      <c r="F1008" s="1" t="str">
        <f>IFERROR(__xludf.DUMMYFUNCTION("""COMPUTED_VALUE"""),"Male")</f>
        <v>Male</v>
      </c>
      <c r="G1008" s="5">
        <f>IFERROR(__xludf.DUMMYFUNCTION("""COMPUTED_VALUE"""),0.007333710648148148)</f>
        <v>0.007333710648</v>
      </c>
      <c r="H1008" s="15">
        <f>IFERROR(__xludf.DUMMYFUNCTION("""COMPUTED_VALUE"""),0.2549440625)</f>
        <v>0.2549440625</v>
      </c>
      <c r="I1008" s="15">
        <f>IFERROR(__xludf.DUMMYFUNCTION("""COMPUTED_VALUE"""),45949.29161262068)</f>
        <v>45949.29161</v>
      </c>
      <c r="J1008" s="15">
        <f>IFERROR(__xludf.DUMMYFUNCTION("""COMPUTED_VALUE"""),45949.036668558176)</f>
        <v>45949.03667</v>
      </c>
      <c r="K1008" s="15">
        <f>IFERROR(__xludf.DUMMYFUNCTION("""COMPUTED_VALUE"""),45949.276325392806)</f>
        <v>45949.27633</v>
      </c>
      <c r="L1008" s="4"/>
    </row>
    <row r="1009">
      <c r="A1009" s="1">
        <f>IFERROR(__xludf.DUMMYFUNCTION("""COMPUTED_VALUE"""),1008.0)</f>
        <v>1008</v>
      </c>
      <c r="B1009" s="1">
        <f>IFERROR(__xludf.DUMMYFUNCTION("""COMPUTED_VALUE"""),5802.0)</f>
        <v>5802</v>
      </c>
      <c r="C1009" s="2" t="str">
        <f>IFERROR(__xludf.DUMMYFUNCTION("""COMPUTED_VALUE"""),"Hasby")</f>
        <v>Hasby</v>
      </c>
      <c r="D1009" s="2" t="str">
        <f>IFERROR(__xludf.DUMMYFUNCTION("""COMPUTED_VALUE"""),"5KM OVERALL M")</f>
        <v>5KM OVERALL M</v>
      </c>
      <c r="E1009" s="1">
        <f>IFERROR(__xludf.DUMMYFUNCTION("""COMPUTED_VALUE"""),615.0)</f>
        <v>615</v>
      </c>
      <c r="F1009" s="1" t="str">
        <f>IFERROR(__xludf.DUMMYFUNCTION("""COMPUTED_VALUE"""),"Male")</f>
        <v>Male</v>
      </c>
      <c r="G1009" s="5">
        <f>IFERROR(__xludf.DUMMYFUNCTION("""COMPUTED_VALUE"""),0.007344138888888889)</f>
        <v>0.007344138889</v>
      </c>
      <c r="H1009" s="15">
        <f>IFERROR(__xludf.DUMMYFUNCTION("""COMPUTED_VALUE"""),0.2549440625)</f>
        <v>0.2549440625</v>
      </c>
      <c r="I1009" s="15">
        <f>IFERROR(__xludf.DUMMYFUNCTION("""COMPUTED_VALUE"""),45949.29166476179)</f>
        <v>45949.29166</v>
      </c>
      <c r="J1009" s="15">
        <f>IFERROR(__xludf.DUMMYFUNCTION("""COMPUTED_VALUE"""),45949.03672069929)</f>
        <v>45949.03672</v>
      </c>
      <c r="K1009" s="15">
        <f>IFERROR(__xludf.DUMMYFUNCTION("""COMPUTED_VALUE"""),45949.277255942405)</f>
        <v>45949.27726</v>
      </c>
      <c r="L1009" s="4"/>
    </row>
    <row r="1010">
      <c r="A1010" s="1">
        <f>IFERROR(__xludf.DUMMYFUNCTION("""COMPUTED_VALUE"""),1009.0)</f>
        <v>1009</v>
      </c>
      <c r="B1010" s="1">
        <f>IFERROR(__xludf.DUMMYFUNCTION("""COMPUTED_VALUE"""),6232.0)</f>
        <v>6232</v>
      </c>
      <c r="C1010" s="2" t="str">
        <f>IFERROR(__xludf.DUMMYFUNCTION("""COMPUTED_VALUE"""),"rifan")</f>
        <v>rifan</v>
      </c>
      <c r="D1010" s="2" t="str">
        <f>IFERROR(__xludf.DUMMYFUNCTION("""COMPUTED_VALUE"""),"5KM OVERALL M")</f>
        <v>5KM OVERALL M</v>
      </c>
      <c r="E1010" s="1">
        <f>IFERROR(__xludf.DUMMYFUNCTION("""COMPUTED_VALUE"""),616.0)</f>
        <v>616</v>
      </c>
      <c r="F1010" s="1" t="str">
        <f>IFERROR(__xludf.DUMMYFUNCTION("""COMPUTED_VALUE"""),"Male")</f>
        <v>Male</v>
      </c>
      <c r="G1010" s="5">
        <f>IFERROR(__xludf.DUMMYFUNCTION("""COMPUTED_VALUE"""),0.00734830787037037)</f>
        <v>0.00734830787</v>
      </c>
      <c r="H1010" s="15">
        <f>IFERROR(__xludf.DUMMYFUNCTION("""COMPUTED_VALUE"""),0.2549440625)</f>
        <v>0.2549440625</v>
      </c>
      <c r="I1010" s="15">
        <f>IFERROR(__xludf.DUMMYFUNCTION("""COMPUTED_VALUE"""),45949.29168560479)</f>
        <v>45949.29169</v>
      </c>
      <c r="J1010" s="15">
        <f>IFERROR(__xludf.DUMMYFUNCTION("""COMPUTED_VALUE"""),45949.03674154229)</f>
        <v>45949.03674</v>
      </c>
      <c r="K1010" s="15">
        <f>IFERROR(__xludf.DUMMYFUNCTION("""COMPUTED_VALUE"""),45949.27548851304)</f>
        <v>45949.27549</v>
      </c>
      <c r="L1010" s="4"/>
    </row>
    <row r="1011">
      <c r="A1011" s="1">
        <f>IFERROR(__xludf.DUMMYFUNCTION("""COMPUTED_VALUE"""),1010.0)</f>
        <v>1010</v>
      </c>
      <c r="B1011" s="1">
        <f>IFERROR(__xludf.DUMMYFUNCTION("""COMPUTED_VALUE"""),6280.0)</f>
        <v>6280</v>
      </c>
      <c r="C1011" s="2" t="str">
        <f>IFERROR(__xludf.DUMMYFUNCTION("""COMPUTED_VALUE"""),"susela uzmah")</f>
        <v>susela uzmah</v>
      </c>
      <c r="D1011" s="2" t="str">
        <f>IFERROR(__xludf.DUMMYFUNCTION("""COMPUTED_VALUE"""),"5KM OVERALL F")</f>
        <v>5KM OVERALL F</v>
      </c>
      <c r="E1011" s="1">
        <f>IFERROR(__xludf.DUMMYFUNCTION("""COMPUTED_VALUE"""),210.0)</f>
        <v>210</v>
      </c>
      <c r="F1011" s="1" t="str">
        <f>IFERROR(__xludf.DUMMYFUNCTION("""COMPUTED_VALUE"""),"Female")</f>
        <v>Female</v>
      </c>
      <c r="G1011" s="5">
        <f>IFERROR(__xludf.DUMMYFUNCTION("""COMPUTED_VALUE"""),0.007353861111111111)</f>
        <v>0.007353861111</v>
      </c>
      <c r="H1011" s="15">
        <f>IFERROR(__xludf.DUMMYFUNCTION("""COMPUTED_VALUE"""),0.2549440625)</f>
        <v>0.2549440625</v>
      </c>
      <c r="I1011" s="15">
        <f>IFERROR(__xludf.DUMMYFUNCTION("""COMPUTED_VALUE"""),45949.29171337199)</f>
        <v>45949.29171</v>
      </c>
      <c r="J1011" s="15">
        <f>IFERROR(__xludf.DUMMYFUNCTION("""COMPUTED_VALUE"""),45949.03676930949)</f>
        <v>45949.03677</v>
      </c>
      <c r="K1011" s="15">
        <f>IFERROR(__xludf.DUMMYFUNCTION("""COMPUTED_VALUE"""),45949.274991988)</f>
        <v>45949.27499</v>
      </c>
      <c r="L1011" s="4"/>
    </row>
    <row r="1012">
      <c r="A1012" s="1">
        <f>IFERROR(__xludf.DUMMYFUNCTION("""COMPUTED_VALUE"""),1011.0)</f>
        <v>1011</v>
      </c>
      <c r="B1012" s="1">
        <f>IFERROR(__xludf.DUMMYFUNCTION("""COMPUTED_VALUE"""),5018.0)</f>
        <v>5018</v>
      </c>
      <c r="C1012" s="2" t="str">
        <f>IFERROR(__xludf.DUMMYFUNCTION("""COMPUTED_VALUE"""),"Wahyu Sufit")</f>
        <v>Wahyu Sufit</v>
      </c>
      <c r="D1012" s="2" t="str">
        <f>IFERROR(__xludf.DUMMYFUNCTION("""COMPUTED_VALUE"""),"5KM OVERALL M")</f>
        <v>5KM OVERALL M</v>
      </c>
      <c r="E1012" s="1">
        <f>IFERROR(__xludf.DUMMYFUNCTION("""COMPUTED_VALUE"""),617.0)</f>
        <v>617</v>
      </c>
      <c r="F1012" s="1" t="str">
        <f>IFERROR(__xludf.DUMMYFUNCTION("""COMPUTED_VALUE"""),"Male")</f>
        <v>Male</v>
      </c>
      <c r="G1012" s="5">
        <f>IFERROR(__xludf.DUMMYFUNCTION("""COMPUTED_VALUE"""),0.007353861111111111)</f>
        <v>0.007353861111</v>
      </c>
      <c r="H1012" s="15">
        <f>IFERROR(__xludf.DUMMYFUNCTION("""COMPUTED_VALUE"""),0.2549440625)</f>
        <v>0.2549440625</v>
      </c>
      <c r="I1012" s="15">
        <f>IFERROR(__xludf.DUMMYFUNCTION("""COMPUTED_VALUE"""),45949.29171337199)</f>
        <v>45949.29171</v>
      </c>
      <c r="J1012" s="15">
        <f>IFERROR(__xludf.DUMMYFUNCTION("""COMPUTED_VALUE"""),45949.03676930949)</f>
        <v>45949.03677</v>
      </c>
      <c r="K1012" s="15">
        <f>IFERROR(__xludf.DUMMYFUNCTION("""COMPUTED_VALUE"""),45949.27750590966)</f>
        <v>45949.27751</v>
      </c>
      <c r="L1012" s="4"/>
    </row>
    <row r="1013">
      <c r="A1013" s="1">
        <f>IFERROR(__xludf.DUMMYFUNCTION("""COMPUTED_VALUE"""),1012.0)</f>
        <v>1012</v>
      </c>
      <c r="B1013" s="1">
        <f>IFERROR(__xludf.DUMMYFUNCTION("""COMPUTED_VALUE"""),6585.0)</f>
        <v>6585</v>
      </c>
      <c r="C1013" s="2" t="str">
        <f>IFERROR(__xludf.DUMMYFUNCTION("""COMPUTED_VALUE"""),"Np Kalselteng")</f>
        <v>Np Kalselteng</v>
      </c>
      <c r="D1013" s="2" t="str">
        <f>IFERROR(__xludf.DUMMYFUNCTION("""COMPUTED_VALUE"""),"5KM OVERALL M")</f>
        <v>5KM OVERALL M</v>
      </c>
      <c r="E1013" s="1">
        <f>IFERROR(__xludf.DUMMYFUNCTION("""COMPUTED_VALUE"""),618.0)</f>
        <v>618</v>
      </c>
      <c r="F1013" s="1" t="str">
        <f>IFERROR(__xludf.DUMMYFUNCTION("""COMPUTED_VALUE"""),"Male")</f>
        <v>Male</v>
      </c>
      <c r="G1013" s="5">
        <f>IFERROR(__xludf.DUMMYFUNCTION("""COMPUTED_VALUE"""),0.007356638888888889)</f>
        <v>0.007356638889</v>
      </c>
      <c r="H1013" s="15">
        <f>IFERROR(__xludf.DUMMYFUNCTION("""COMPUTED_VALUE"""),0.2549440625)</f>
        <v>0.2549440625</v>
      </c>
      <c r="I1013" s="15">
        <f>IFERROR(__xludf.DUMMYFUNCTION("""COMPUTED_VALUE"""),45949.29172725455)</f>
        <v>45949.29173</v>
      </c>
      <c r="J1013" s="15">
        <f>IFERROR(__xludf.DUMMYFUNCTION("""COMPUTED_VALUE"""),45949.03678319205)</f>
        <v>45949.03678</v>
      </c>
      <c r="K1013" s="15">
        <f>IFERROR(__xludf.DUMMYFUNCTION("""COMPUTED_VALUE"""),45950.27701388889)</f>
        <v>45950.27701</v>
      </c>
      <c r="L1013" s="4" t="str">
        <f>IFERROR(__xludf.DUMMYFUNCTION("""COMPUTED_VALUE"""),"C")</f>
        <v>C</v>
      </c>
    </row>
    <row r="1014">
      <c r="A1014" s="1">
        <f>IFERROR(__xludf.DUMMYFUNCTION("""COMPUTED_VALUE"""),1013.0)</f>
        <v>1013</v>
      </c>
      <c r="B1014" s="1">
        <f>IFERROR(__xludf.DUMMYFUNCTION("""COMPUTED_VALUE"""),6014.0)</f>
        <v>6014</v>
      </c>
      <c r="C1014" s="2" t="str">
        <f>IFERROR(__xludf.DUMMYFUNCTION("""COMPUTED_VALUE"""),"Rama")</f>
        <v>Rama</v>
      </c>
      <c r="D1014" s="2" t="str">
        <f>IFERROR(__xludf.DUMMYFUNCTION("""COMPUTED_VALUE"""),"5KM OVERALL M")</f>
        <v>5KM OVERALL M</v>
      </c>
      <c r="E1014" s="1">
        <f>IFERROR(__xludf.DUMMYFUNCTION("""COMPUTED_VALUE"""),619.0)</f>
        <v>619</v>
      </c>
      <c r="F1014" s="1" t="str">
        <f>IFERROR(__xludf.DUMMYFUNCTION("""COMPUTED_VALUE"""),"Male")</f>
        <v>Male</v>
      </c>
      <c r="G1014" s="5">
        <f>IFERROR(__xludf.DUMMYFUNCTION("""COMPUTED_VALUE"""),0.007356638888888889)</f>
        <v>0.007356638889</v>
      </c>
      <c r="H1014" s="15">
        <f>IFERROR(__xludf.DUMMYFUNCTION("""COMPUTED_VALUE"""),0.2549440625)</f>
        <v>0.2549440625</v>
      </c>
      <c r="I1014" s="15">
        <f>IFERROR(__xludf.DUMMYFUNCTION("""COMPUTED_VALUE"""),45949.29172725455)</f>
        <v>45949.29173</v>
      </c>
      <c r="J1014" s="15">
        <f>IFERROR(__xludf.DUMMYFUNCTION("""COMPUTED_VALUE"""),45949.03678319205)</f>
        <v>45949.03678</v>
      </c>
      <c r="K1014" s="15">
        <f>IFERROR(__xludf.DUMMYFUNCTION("""COMPUTED_VALUE"""),45949.27601632372)</f>
        <v>45949.27602</v>
      </c>
      <c r="L1014" s="4"/>
    </row>
    <row r="1015">
      <c r="A1015" s="1">
        <f>IFERROR(__xludf.DUMMYFUNCTION("""COMPUTED_VALUE"""),1014.0)</f>
        <v>1014</v>
      </c>
      <c r="B1015" s="1">
        <f>IFERROR(__xludf.DUMMYFUNCTION("""COMPUTED_VALUE"""),5110.0)</f>
        <v>5110</v>
      </c>
      <c r="C1015" s="2" t="str">
        <f>IFERROR(__xludf.DUMMYFUNCTION("""COMPUTED_VALUE"""),"Guntur")</f>
        <v>Guntur</v>
      </c>
      <c r="D1015" s="2" t="str">
        <f>IFERROR(__xludf.DUMMYFUNCTION("""COMPUTED_VALUE"""),"5KM OVERALL M")</f>
        <v>5KM OVERALL M</v>
      </c>
      <c r="E1015" s="1">
        <f>IFERROR(__xludf.DUMMYFUNCTION("""COMPUTED_VALUE"""),620.0)</f>
        <v>620</v>
      </c>
      <c r="F1015" s="1" t="str">
        <f>IFERROR(__xludf.DUMMYFUNCTION("""COMPUTED_VALUE"""),"Male")</f>
        <v>Male</v>
      </c>
      <c r="G1015" s="5">
        <f>IFERROR(__xludf.DUMMYFUNCTION("""COMPUTED_VALUE"""),0.007357333333333334)</f>
        <v>0.007357333333</v>
      </c>
      <c r="H1015" s="15">
        <f>IFERROR(__xludf.DUMMYFUNCTION("""COMPUTED_VALUE"""),0.2549440625)</f>
        <v>0.2549440625</v>
      </c>
      <c r="I1015" s="15">
        <f>IFERROR(__xludf.DUMMYFUNCTION("""COMPUTED_VALUE"""),45949.291730730125)</f>
        <v>45949.29173</v>
      </c>
      <c r="J1015" s="15">
        <f>IFERROR(__xludf.DUMMYFUNCTION("""COMPUTED_VALUE"""),45949.036786667624)</f>
        <v>45949.03679</v>
      </c>
      <c r="K1015" s="15">
        <f>IFERROR(__xludf.DUMMYFUNCTION("""COMPUTED_VALUE"""),45949.27750588643)</f>
        <v>45949.27751</v>
      </c>
      <c r="L1015" s="4"/>
    </row>
    <row r="1016">
      <c r="A1016" s="1">
        <f>IFERROR(__xludf.DUMMYFUNCTION("""COMPUTED_VALUE"""),1015.0)</f>
        <v>1015</v>
      </c>
      <c r="B1016" s="1">
        <f>IFERROR(__xludf.DUMMYFUNCTION("""COMPUTED_VALUE"""),5219.0)</f>
        <v>5219</v>
      </c>
      <c r="C1016" s="2" t="str">
        <f>IFERROR(__xludf.DUMMYFUNCTION("""COMPUTED_VALUE"""),"NOFALIA")</f>
        <v>NOFALIA</v>
      </c>
      <c r="D1016" s="2" t="str">
        <f>IFERROR(__xludf.DUMMYFUNCTION("""COMPUTED_VALUE"""),"5KM OVERALL F")</f>
        <v>5KM OVERALL F</v>
      </c>
      <c r="E1016" s="1">
        <f>IFERROR(__xludf.DUMMYFUNCTION("""COMPUTED_VALUE"""),211.0)</f>
        <v>211</v>
      </c>
      <c r="F1016" s="1" t="str">
        <f>IFERROR(__xludf.DUMMYFUNCTION("""COMPUTED_VALUE"""),"Female")</f>
        <v>Female</v>
      </c>
      <c r="G1016" s="5">
        <f>IFERROR(__xludf.DUMMYFUNCTION("""COMPUTED_VALUE"""),0.007360807870370372)</f>
        <v>0.00736080787</v>
      </c>
      <c r="H1016" s="15">
        <f>IFERROR(__xludf.DUMMYFUNCTION("""COMPUTED_VALUE"""),0.2549440625)</f>
        <v>0.2549440625</v>
      </c>
      <c r="I1016" s="15">
        <f>IFERROR(__xludf.DUMMYFUNCTION("""COMPUTED_VALUE"""),45949.29174810668)</f>
        <v>45949.29175</v>
      </c>
      <c r="J1016" s="15">
        <f>IFERROR(__xludf.DUMMYFUNCTION("""COMPUTED_VALUE"""),45949.03680404418)</f>
        <v>45949.0368</v>
      </c>
      <c r="K1016" s="15">
        <f>IFERROR(__xludf.DUMMYFUNCTION("""COMPUTED_VALUE"""),45949.27433224726)</f>
        <v>45949.27433</v>
      </c>
      <c r="L1016" s="4"/>
    </row>
    <row r="1017">
      <c r="A1017" s="1">
        <f>IFERROR(__xludf.DUMMYFUNCTION("""COMPUTED_VALUE"""),1016.0)</f>
        <v>1016</v>
      </c>
      <c r="B1017" s="1">
        <f>IFERROR(__xludf.DUMMYFUNCTION("""COMPUTED_VALUE"""),5281.0)</f>
        <v>5281</v>
      </c>
      <c r="C1017" s="2" t="str">
        <f>IFERROR(__xludf.DUMMYFUNCTION("""COMPUTED_VALUE"""),"AR")</f>
        <v>AR</v>
      </c>
      <c r="D1017" s="2" t="str">
        <f>IFERROR(__xludf.DUMMYFUNCTION("""COMPUTED_VALUE"""),"5KM OVERALL M")</f>
        <v>5KM OVERALL M</v>
      </c>
      <c r="E1017" s="1">
        <f>IFERROR(__xludf.DUMMYFUNCTION("""COMPUTED_VALUE"""),621.0)</f>
        <v>621</v>
      </c>
      <c r="F1017" s="1" t="str">
        <f>IFERROR(__xludf.DUMMYFUNCTION("""COMPUTED_VALUE"""),"Male")</f>
        <v>Male</v>
      </c>
      <c r="G1017" s="5">
        <f>IFERROR(__xludf.DUMMYFUNCTION("""COMPUTED_VALUE"""),0.007361502314814815)</f>
        <v>0.007361502315</v>
      </c>
      <c r="H1017" s="15">
        <f>IFERROR(__xludf.DUMMYFUNCTION("""COMPUTED_VALUE"""),0.2549440625)</f>
        <v>0.2549440625</v>
      </c>
      <c r="I1017" s="15">
        <f>IFERROR(__xludf.DUMMYFUNCTION("""COMPUTED_VALUE"""),45949.291751570774)</f>
        <v>45949.29175</v>
      </c>
      <c r="J1017" s="15">
        <f>IFERROR(__xludf.DUMMYFUNCTION("""COMPUTED_VALUE"""),45949.03680750827)</f>
        <v>45949.03681</v>
      </c>
      <c r="K1017" s="15">
        <f>IFERROR(__xludf.DUMMYFUNCTION("""COMPUTED_VALUE"""),45949.27639822001)</f>
        <v>45949.2764</v>
      </c>
      <c r="L1017" s="4"/>
    </row>
    <row r="1018">
      <c r="A1018" s="1">
        <f>IFERROR(__xludf.DUMMYFUNCTION("""COMPUTED_VALUE"""),1017.0)</f>
        <v>1017</v>
      </c>
      <c r="B1018" s="1">
        <f>IFERROR(__xludf.DUMMYFUNCTION("""COMPUTED_VALUE"""),5289.0)</f>
        <v>5289</v>
      </c>
      <c r="C1018" s="2" t="str">
        <f>IFERROR(__xludf.DUMMYFUNCTION("""COMPUTED_VALUE"""),"Zahrasft")</f>
        <v>Zahrasft</v>
      </c>
      <c r="D1018" s="2" t="str">
        <f>IFERROR(__xludf.DUMMYFUNCTION("""COMPUTED_VALUE"""),"5KM OVERALL F")</f>
        <v>5KM OVERALL F</v>
      </c>
      <c r="E1018" s="1">
        <f>IFERROR(__xludf.DUMMYFUNCTION("""COMPUTED_VALUE"""),212.0)</f>
        <v>212</v>
      </c>
      <c r="F1018" s="1" t="str">
        <f>IFERROR(__xludf.DUMMYFUNCTION("""COMPUTED_VALUE"""),"Female")</f>
        <v>Female</v>
      </c>
      <c r="G1018" s="5">
        <f>IFERROR(__xludf.DUMMYFUNCTION("""COMPUTED_VALUE"""),0.007364277777777778)</f>
        <v>0.007364277778</v>
      </c>
      <c r="H1018" s="15">
        <f>IFERROR(__xludf.DUMMYFUNCTION("""COMPUTED_VALUE"""),0.2549440625)</f>
        <v>0.2549440625</v>
      </c>
      <c r="I1018" s="15">
        <f>IFERROR(__xludf.DUMMYFUNCTION("""COMPUTED_VALUE"""),45949.291765452865)</f>
        <v>45949.29177</v>
      </c>
      <c r="J1018" s="15">
        <f>IFERROR(__xludf.DUMMYFUNCTION("""COMPUTED_VALUE"""),45949.036821390364)</f>
        <v>45949.03682</v>
      </c>
      <c r="K1018" s="15">
        <f>IFERROR(__xludf.DUMMYFUNCTION("""COMPUTED_VALUE"""),45949.276398231465)</f>
        <v>45949.2764</v>
      </c>
      <c r="L1018" s="4"/>
    </row>
    <row r="1019">
      <c r="A1019" s="1">
        <f>IFERROR(__xludf.DUMMYFUNCTION("""COMPUTED_VALUE"""),1018.0)</f>
        <v>1018</v>
      </c>
      <c r="B1019" s="1">
        <f>IFERROR(__xludf.DUMMYFUNCTION("""COMPUTED_VALUE"""),5066.0)</f>
        <v>5066</v>
      </c>
      <c r="C1019" s="2" t="str">
        <f>IFERROR(__xludf.DUMMYFUNCTION("""COMPUTED_VALUE"""),"DINA")</f>
        <v>DINA</v>
      </c>
      <c r="D1019" s="2" t="str">
        <f>IFERROR(__xludf.DUMMYFUNCTION("""COMPUTED_VALUE"""),"5KM OVERALL F")</f>
        <v>5KM OVERALL F</v>
      </c>
      <c r="E1019" s="1">
        <f>IFERROR(__xludf.DUMMYFUNCTION("""COMPUTED_VALUE"""),213.0)</f>
        <v>213</v>
      </c>
      <c r="F1019" s="1" t="str">
        <f>IFERROR(__xludf.DUMMYFUNCTION("""COMPUTED_VALUE"""),"Female")</f>
        <v>Female</v>
      </c>
      <c r="G1019" s="5">
        <f>IFERROR(__xludf.DUMMYFUNCTION("""COMPUTED_VALUE"""),0.007367057870370371)</f>
        <v>0.00736705787</v>
      </c>
      <c r="H1019" s="15">
        <f>IFERROR(__xludf.DUMMYFUNCTION("""COMPUTED_VALUE"""),0.2549440625)</f>
        <v>0.2549440625</v>
      </c>
      <c r="I1019" s="15">
        <f>IFERROR(__xludf.DUMMYFUNCTION("""COMPUTED_VALUE"""),45949.29177934667)</f>
        <v>45949.29178</v>
      </c>
      <c r="J1019" s="15">
        <f>IFERROR(__xludf.DUMMYFUNCTION("""COMPUTED_VALUE"""),45949.03683528417)</f>
        <v>45949.03684</v>
      </c>
      <c r="K1019" s="15">
        <f>IFERROR(__xludf.DUMMYFUNCTION("""COMPUTED_VALUE"""),45949.27461696964)</f>
        <v>45949.27462</v>
      </c>
      <c r="L1019" s="4"/>
    </row>
    <row r="1020">
      <c r="A1020" s="1">
        <f>IFERROR(__xludf.DUMMYFUNCTION("""COMPUTED_VALUE"""),1019.0)</f>
        <v>1019</v>
      </c>
      <c r="B1020" s="1">
        <f>IFERROR(__xludf.DUMMYFUNCTION("""COMPUTED_VALUE"""),5497.0)</f>
        <v>5497</v>
      </c>
      <c r="C1020" s="2" t="str">
        <f>IFERROR(__xludf.DUMMYFUNCTION("""COMPUTED_VALUE"""),"Ahauda")</f>
        <v>Ahauda</v>
      </c>
      <c r="D1020" s="2" t="str">
        <f>IFERROR(__xludf.DUMMYFUNCTION("""COMPUTED_VALUE"""),"5KM OVERALL M")</f>
        <v>5KM OVERALL M</v>
      </c>
      <c r="E1020" s="1">
        <f>IFERROR(__xludf.DUMMYFUNCTION("""COMPUTED_VALUE"""),622.0)</f>
        <v>622</v>
      </c>
      <c r="F1020" s="1" t="str">
        <f>IFERROR(__xludf.DUMMYFUNCTION("""COMPUTED_VALUE"""),"Male")</f>
        <v>Male</v>
      </c>
      <c r="G1020" s="5">
        <f>IFERROR(__xludf.DUMMYFUNCTION("""COMPUTED_VALUE"""),0.007370527777777779)</f>
        <v>0.007370527778</v>
      </c>
      <c r="H1020" s="15">
        <f>IFERROR(__xludf.DUMMYFUNCTION("""COMPUTED_VALUE"""),0.2549440625)</f>
        <v>0.2549440625</v>
      </c>
      <c r="I1020" s="15">
        <f>IFERROR(__xludf.DUMMYFUNCTION("""COMPUTED_VALUE"""),45949.29179670014)</f>
        <v>45949.2918</v>
      </c>
      <c r="J1020" s="15">
        <f>IFERROR(__xludf.DUMMYFUNCTION("""COMPUTED_VALUE"""),45949.03685263764)</f>
        <v>45949.03685</v>
      </c>
      <c r="K1020" s="15">
        <f>IFERROR(__xludf.DUMMYFUNCTION("""COMPUTED_VALUE"""),45949.27830453651)</f>
        <v>45949.2783</v>
      </c>
      <c r="L1020" s="4"/>
    </row>
    <row r="1021">
      <c r="A1021" s="1">
        <f>IFERROR(__xludf.DUMMYFUNCTION("""COMPUTED_VALUE"""),1020.0)</f>
        <v>1020</v>
      </c>
      <c r="B1021" s="1">
        <f>IFERROR(__xludf.DUMMYFUNCTION("""COMPUTED_VALUE"""),6108.0)</f>
        <v>6108</v>
      </c>
      <c r="C1021" s="2" t="str">
        <f>IFERROR(__xludf.DUMMYFUNCTION("""COMPUTED_VALUE"""),"ERV")</f>
        <v>ERV</v>
      </c>
      <c r="D1021" s="2" t="str">
        <f>IFERROR(__xludf.DUMMYFUNCTION("""COMPUTED_VALUE"""),"5KM OVERALL F")</f>
        <v>5KM OVERALL F</v>
      </c>
      <c r="E1021" s="1">
        <f>IFERROR(__xludf.DUMMYFUNCTION("""COMPUTED_VALUE"""),214.0)</f>
        <v>214</v>
      </c>
      <c r="F1021" s="1" t="str">
        <f>IFERROR(__xludf.DUMMYFUNCTION("""COMPUTED_VALUE"""),"Female")</f>
        <v>Female</v>
      </c>
      <c r="G1021" s="5">
        <f>IFERROR(__xludf.DUMMYFUNCTION("""COMPUTED_VALUE"""),0.007371918981481482)</f>
        <v>0.007371918981</v>
      </c>
      <c r="H1021" s="15">
        <f>IFERROR(__xludf.DUMMYFUNCTION("""COMPUTED_VALUE"""),0.2549440625)</f>
        <v>0.2549440625</v>
      </c>
      <c r="I1021" s="15">
        <f>IFERROR(__xludf.DUMMYFUNCTION("""COMPUTED_VALUE"""),45949.291803661275)</f>
        <v>45949.2918</v>
      </c>
      <c r="J1021" s="15">
        <f>IFERROR(__xludf.DUMMYFUNCTION("""COMPUTED_VALUE"""),45949.036859598775)</f>
        <v>45949.03686</v>
      </c>
      <c r="K1021" s="15">
        <f>IFERROR(__xludf.DUMMYFUNCTION("""COMPUTED_VALUE"""),45949.276905171966)</f>
        <v>45949.27691</v>
      </c>
      <c r="L1021" s="4"/>
    </row>
    <row r="1022">
      <c r="A1022" s="1">
        <f>IFERROR(__xludf.DUMMYFUNCTION("""COMPUTED_VALUE"""),1021.0)</f>
        <v>1021</v>
      </c>
      <c r="B1022" s="1">
        <f>IFERROR(__xludf.DUMMYFUNCTION("""COMPUTED_VALUE"""),5160.0)</f>
        <v>5160</v>
      </c>
      <c r="C1022" s="2" t="str">
        <f>IFERROR(__xludf.DUMMYFUNCTION("""COMPUTED_VALUE"""),"Adimas")</f>
        <v>Adimas</v>
      </c>
      <c r="D1022" s="2" t="str">
        <f>IFERROR(__xludf.DUMMYFUNCTION("""COMPUTED_VALUE"""),"5KM OVERALL M")</f>
        <v>5KM OVERALL M</v>
      </c>
      <c r="E1022" s="1">
        <f>IFERROR(__xludf.DUMMYFUNCTION("""COMPUTED_VALUE"""),623.0)</f>
        <v>623</v>
      </c>
      <c r="F1022" s="1" t="str">
        <f>IFERROR(__xludf.DUMMYFUNCTION("""COMPUTED_VALUE"""),"Male")</f>
        <v>Male</v>
      </c>
      <c r="G1022" s="5">
        <f>IFERROR(__xludf.DUMMYFUNCTION("""COMPUTED_VALUE"""),0.007374694444444445)</f>
        <v>0.007374694444</v>
      </c>
      <c r="H1022" s="15">
        <f>IFERROR(__xludf.DUMMYFUNCTION("""COMPUTED_VALUE"""),0.2549440625)</f>
        <v>0.2549440625</v>
      </c>
      <c r="I1022" s="15">
        <f>IFERROR(__xludf.DUMMYFUNCTION("""COMPUTED_VALUE"""),45949.29181753643)</f>
        <v>45949.29182</v>
      </c>
      <c r="J1022" s="15">
        <f>IFERROR(__xludf.DUMMYFUNCTION("""COMPUTED_VALUE"""),45949.03687347393)</f>
        <v>45949.03687</v>
      </c>
      <c r="K1022" s="15">
        <f>IFERROR(__xludf.DUMMYFUNCTION("""COMPUTED_VALUE"""),45949.27840863922)</f>
        <v>45949.27841</v>
      </c>
      <c r="L1022" s="4"/>
    </row>
    <row r="1023">
      <c r="A1023" s="1">
        <f>IFERROR(__xludf.DUMMYFUNCTION("""COMPUTED_VALUE"""),1022.0)</f>
        <v>1022</v>
      </c>
      <c r="B1023" s="1">
        <f>IFERROR(__xludf.DUMMYFUNCTION("""COMPUTED_VALUE"""),5168.0)</f>
        <v>5168</v>
      </c>
      <c r="C1023" s="2" t="str">
        <f>IFERROR(__xludf.DUMMYFUNCTION("""COMPUTED_VALUE"""),"Laila Ramlan")</f>
        <v>Laila Ramlan</v>
      </c>
      <c r="D1023" s="2" t="str">
        <f>IFERROR(__xludf.DUMMYFUNCTION("""COMPUTED_VALUE"""),"5KM OVERALL F")</f>
        <v>5KM OVERALL F</v>
      </c>
      <c r="E1023" s="1">
        <f>IFERROR(__xludf.DUMMYFUNCTION("""COMPUTED_VALUE"""),215.0)</f>
        <v>215</v>
      </c>
      <c r="F1023" s="1" t="str">
        <f>IFERROR(__xludf.DUMMYFUNCTION("""COMPUTED_VALUE"""),"Female")</f>
        <v>Female</v>
      </c>
      <c r="G1023" s="5">
        <f>IFERROR(__xludf.DUMMYFUNCTION("""COMPUTED_VALUE"""),0.00737538888888889)</f>
        <v>0.007375388889</v>
      </c>
      <c r="H1023" s="15">
        <f>IFERROR(__xludf.DUMMYFUNCTION("""COMPUTED_VALUE"""),0.2549440625)</f>
        <v>0.2549440625</v>
      </c>
      <c r="I1023" s="15">
        <f>IFERROR(__xludf.DUMMYFUNCTION("""COMPUTED_VALUE"""),45949.291821010775)</f>
        <v>45949.29182</v>
      </c>
      <c r="J1023" s="15">
        <f>IFERROR(__xludf.DUMMYFUNCTION("""COMPUTED_VALUE"""),45949.036876948274)</f>
        <v>45949.03688</v>
      </c>
      <c r="K1023" s="15">
        <f>IFERROR(__xludf.DUMMYFUNCTION("""COMPUTED_VALUE"""),45949.27840169435)</f>
        <v>45949.2784</v>
      </c>
      <c r="L1023" s="4"/>
    </row>
    <row r="1024">
      <c r="A1024" s="1">
        <f>IFERROR(__xludf.DUMMYFUNCTION("""COMPUTED_VALUE"""),1023.0)</f>
        <v>1023</v>
      </c>
      <c r="B1024" s="1">
        <f>IFERROR(__xludf.DUMMYFUNCTION("""COMPUTED_VALUE"""),6185.0)</f>
        <v>6185</v>
      </c>
      <c r="C1024" s="2" t="str">
        <f>IFERROR(__xludf.DUMMYFUNCTION("""COMPUTED_VALUE"""),"Rifaldi Nurmeidian")</f>
        <v>Rifaldi Nurmeidian</v>
      </c>
      <c r="D1024" s="2" t="str">
        <f>IFERROR(__xludf.DUMMYFUNCTION("""COMPUTED_VALUE"""),"5KM OVERALL M")</f>
        <v>5KM OVERALL M</v>
      </c>
      <c r="E1024" s="1">
        <f>IFERROR(__xludf.DUMMYFUNCTION("""COMPUTED_VALUE"""),624.0)</f>
        <v>624</v>
      </c>
      <c r="F1024" s="1" t="str">
        <f>IFERROR(__xludf.DUMMYFUNCTION("""COMPUTED_VALUE"""),"Male")</f>
        <v>Male</v>
      </c>
      <c r="G1024" s="5">
        <f>IFERROR(__xludf.DUMMYFUNCTION("""COMPUTED_VALUE"""),0.0073760833333333334)</f>
        <v>0.007376083333</v>
      </c>
      <c r="H1024" s="15">
        <f>IFERROR(__xludf.DUMMYFUNCTION("""COMPUTED_VALUE"""),0.2549440625)</f>
        <v>0.2549440625</v>
      </c>
      <c r="I1024" s="15">
        <f>IFERROR(__xludf.DUMMYFUNCTION("""COMPUTED_VALUE"""),45949.29182448436)</f>
        <v>45949.29182</v>
      </c>
      <c r="J1024" s="15">
        <f>IFERROR(__xludf.DUMMYFUNCTION("""COMPUTED_VALUE"""),45949.03688042186)</f>
        <v>45949.03688</v>
      </c>
      <c r="K1024" s="15">
        <f>IFERROR(__xludf.DUMMYFUNCTION("""COMPUTED_VALUE"""),45949.27670726584)</f>
        <v>45949.27671</v>
      </c>
      <c r="L1024" s="4"/>
    </row>
    <row r="1025">
      <c r="A1025" s="1">
        <f>IFERROR(__xludf.DUMMYFUNCTION("""COMPUTED_VALUE"""),1024.0)</f>
        <v>1024</v>
      </c>
      <c r="B1025" s="1">
        <f>IFERROR(__xludf.DUMMYFUNCTION("""COMPUTED_VALUE"""),5225.0)</f>
        <v>5225</v>
      </c>
      <c r="C1025" s="2" t="str">
        <f>IFERROR(__xludf.DUMMYFUNCTION("""COMPUTED_VALUE"""),"Chairunnisa")</f>
        <v>Chairunnisa</v>
      </c>
      <c r="D1025" s="2" t="str">
        <f>IFERROR(__xludf.DUMMYFUNCTION("""COMPUTED_VALUE"""),"5KM OVERALL F")</f>
        <v>5KM OVERALL F</v>
      </c>
      <c r="E1025" s="1">
        <f>IFERROR(__xludf.DUMMYFUNCTION("""COMPUTED_VALUE"""),216.0)</f>
        <v>216</v>
      </c>
      <c r="F1025" s="1" t="str">
        <f>IFERROR(__xludf.DUMMYFUNCTION("""COMPUTED_VALUE"""),"Female")</f>
        <v>Female</v>
      </c>
      <c r="G1025" s="5">
        <f>IFERROR(__xludf.DUMMYFUNCTION("""COMPUTED_VALUE"""),0.007376777777777778)</f>
        <v>0.007376777778</v>
      </c>
      <c r="H1025" s="15">
        <f>IFERROR(__xludf.DUMMYFUNCTION("""COMPUTED_VALUE"""),0.2549440625)</f>
        <v>0.2549440625</v>
      </c>
      <c r="I1025" s="15">
        <f>IFERROR(__xludf.DUMMYFUNCTION("""COMPUTED_VALUE"""),45949.29182795256)</f>
        <v>45949.29183</v>
      </c>
      <c r="J1025" s="15">
        <f>IFERROR(__xludf.DUMMYFUNCTION("""COMPUTED_VALUE"""),45949.03688389006)</f>
        <v>45949.03688</v>
      </c>
      <c r="K1025" s="15">
        <f>IFERROR(__xludf.DUMMYFUNCTION("""COMPUTED_VALUE"""),45949.275953847435)</f>
        <v>45949.27595</v>
      </c>
      <c r="L1025" s="4"/>
    </row>
    <row r="1026">
      <c r="A1026" s="1">
        <f>IFERROR(__xludf.DUMMYFUNCTION("""COMPUTED_VALUE"""),1025.0)</f>
        <v>1025</v>
      </c>
      <c r="B1026" s="1">
        <f>IFERROR(__xludf.DUMMYFUNCTION("""COMPUTED_VALUE"""),5917.0)</f>
        <v>5917</v>
      </c>
      <c r="C1026" s="2" t="str">
        <f>IFERROR(__xludf.DUMMYFUNCTION("""COMPUTED_VALUE"""),"norma")</f>
        <v>norma</v>
      </c>
      <c r="D1026" s="2" t="str">
        <f>IFERROR(__xludf.DUMMYFUNCTION("""COMPUTED_VALUE"""),"5KM OVERALL F")</f>
        <v>5KM OVERALL F</v>
      </c>
      <c r="E1026" s="1">
        <f>IFERROR(__xludf.DUMMYFUNCTION("""COMPUTED_VALUE"""),217.0)</f>
        <v>217</v>
      </c>
      <c r="F1026" s="1" t="str">
        <f>IFERROR(__xludf.DUMMYFUNCTION("""COMPUTED_VALUE"""),"Female")</f>
        <v>Female</v>
      </c>
      <c r="G1026" s="5">
        <f>IFERROR(__xludf.DUMMYFUNCTION("""COMPUTED_VALUE"""),0.007383724537037037)</f>
        <v>0.007383724537</v>
      </c>
      <c r="H1026" s="15">
        <f>IFERROR(__xludf.DUMMYFUNCTION("""COMPUTED_VALUE"""),0.2549440625)</f>
        <v>0.2549440625</v>
      </c>
      <c r="I1026" s="15">
        <f>IFERROR(__xludf.DUMMYFUNCTION("""COMPUTED_VALUE"""),45949.29186268121)</f>
        <v>45949.29186</v>
      </c>
      <c r="J1026" s="15">
        <f>IFERROR(__xludf.DUMMYFUNCTION("""COMPUTED_VALUE"""),45949.03691861871)</f>
        <v>45949.03692</v>
      </c>
      <c r="K1026" s="15">
        <f>IFERROR(__xludf.DUMMYFUNCTION("""COMPUTED_VALUE"""),45949.27768643445)</f>
        <v>45949.27769</v>
      </c>
      <c r="L1026" s="4"/>
    </row>
    <row r="1027">
      <c r="A1027" s="1">
        <f>IFERROR(__xludf.DUMMYFUNCTION("""COMPUTED_VALUE"""),1026.0)</f>
        <v>1026</v>
      </c>
      <c r="B1027" s="1">
        <f>IFERROR(__xludf.DUMMYFUNCTION("""COMPUTED_VALUE"""),5676.0)</f>
        <v>5676</v>
      </c>
      <c r="C1027" s="2" t="str">
        <f>IFERROR(__xludf.DUMMYFUNCTION("""COMPUTED_VALUE"""),"RIGEL")</f>
        <v>RIGEL</v>
      </c>
      <c r="D1027" s="2" t="str">
        <f>IFERROR(__xludf.DUMMYFUNCTION("""COMPUTED_VALUE"""),"5KM OVERALL F")</f>
        <v>5KM OVERALL F</v>
      </c>
      <c r="E1027" s="1">
        <f>IFERROR(__xludf.DUMMYFUNCTION("""COMPUTED_VALUE"""),218.0)</f>
        <v>218</v>
      </c>
      <c r="F1027" s="1" t="str">
        <f>IFERROR(__xludf.DUMMYFUNCTION("""COMPUTED_VALUE"""),"Female")</f>
        <v>Female</v>
      </c>
      <c r="G1027" s="5">
        <f>IFERROR(__xludf.DUMMYFUNCTION("""COMPUTED_VALUE"""),0.007390666666666666)</f>
        <v>0.007390666667</v>
      </c>
      <c r="H1027" s="15">
        <f>IFERROR(__xludf.DUMMYFUNCTION("""COMPUTED_VALUE"""),0.2549440625)</f>
        <v>0.2549440625</v>
      </c>
      <c r="I1027" s="15">
        <f>IFERROR(__xludf.DUMMYFUNCTION("""COMPUTED_VALUE"""),45949.291897396906)</f>
        <v>45949.2919</v>
      </c>
      <c r="J1027" s="15">
        <f>IFERROR(__xludf.DUMMYFUNCTION("""COMPUTED_VALUE"""),45949.036953334406)</f>
        <v>45949.03695</v>
      </c>
      <c r="K1027" s="15">
        <f>IFERROR(__xludf.DUMMYFUNCTION("""COMPUTED_VALUE"""),45949.276325369494)</f>
        <v>45949.27633</v>
      </c>
      <c r="L1027" s="4"/>
    </row>
    <row r="1028">
      <c r="A1028" s="1">
        <f>IFERROR(__xludf.DUMMYFUNCTION("""COMPUTED_VALUE"""),1027.0)</f>
        <v>1027</v>
      </c>
      <c r="B1028" s="1">
        <f>IFERROR(__xludf.DUMMYFUNCTION("""COMPUTED_VALUE"""),6268.0)</f>
        <v>6268</v>
      </c>
      <c r="C1028" s="2" t="str">
        <f>IFERROR(__xludf.DUMMYFUNCTION("""COMPUTED_VALUE"""),"Syifa")</f>
        <v>Syifa</v>
      </c>
      <c r="D1028" s="2" t="str">
        <f>IFERROR(__xludf.DUMMYFUNCTION("""COMPUTED_VALUE"""),"5KM OVERALL F")</f>
        <v>5KM OVERALL F</v>
      </c>
      <c r="E1028" s="1">
        <f>IFERROR(__xludf.DUMMYFUNCTION("""COMPUTED_VALUE"""),219.0)</f>
        <v>219</v>
      </c>
      <c r="F1028" s="1" t="str">
        <f>IFERROR(__xludf.DUMMYFUNCTION("""COMPUTED_VALUE"""),"Female")</f>
        <v>Female</v>
      </c>
      <c r="G1028" s="5">
        <f>IFERROR(__xludf.DUMMYFUNCTION("""COMPUTED_VALUE"""),0.007392738425925927)</f>
        <v>0.007392738426</v>
      </c>
      <c r="H1028" s="15">
        <f>IFERROR(__xludf.DUMMYFUNCTION("""COMPUTED_VALUE"""),0.2549440625)</f>
        <v>0.2549440625</v>
      </c>
      <c r="I1028" s="15">
        <f>IFERROR(__xludf.DUMMYFUNCTION("""COMPUTED_VALUE"""),45949.29190775841)</f>
        <v>45949.29191</v>
      </c>
      <c r="J1028" s="15">
        <f>IFERROR(__xludf.DUMMYFUNCTION("""COMPUTED_VALUE"""),45949.03696369591)</f>
        <v>45949.03696</v>
      </c>
      <c r="K1028" s="15">
        <f>IFERROR(__xludf.DUMMYFUNCTION("""COMPUTED_VALUE"""),45949.276971151376)</f>
        <v>45949.27697</v>
      </c>
      <c r="L1028" s="4"/>
    </row>
    <row r="1029">
      <c r="A1029" s="1">
        <f>IFERROR(__xludf.DUMMYFUNCTION("""COMPUTED_VALUE"""),1028.0)</f>
        <v>1028</v>
      </c>
      <c r="B1029" s="1">
        <f>IFERROR(__xludf.DUMMYFUNCTION("""COMPUTED_VALUE"""),5576.0)</f>
        <v>5576</v>
      </c>
      <c r="C1029" s="2" t="str">
        <f>IFERROR(__xludf.DUMMYFUNCTION("""COMPUTED_VALUE"""),"SATRIA")</f>
        <v>SATRIA</v>
      </c>
      <c r="D1029" s="2" t="str">
        <f>IFERROR(__xludf.DUMMYFUNCTION("""COMPUTED_VALUE"""),"5KM OVERALL M")</f>
        <v>5KM OVERALL M</v>
      </c>
      <c r="E1029" s="1">
        <f>IFERROR(__xludf.DUMMYFUNCTION("""COMPUTED_VALUE"""),625.0)</f>
        <v>625</v>
      </c>
      <c r="F1029" s="1" t="str">
        <f>IFERROR(__xludf.DUMMYFUNCTION("""COMPUTED_VALUE"""),"Male")</f>
        <v>Male</v>
      </c>
      <c r="G1029" s="5">
        <f>IFERROR(__xludf.DUMMYFUNCTION("""COMPUTED_VALUE"""),0.0073941319444444445)</f>
        <v>0.007394131944</v>
      </c>
      <c r="H1029" s="15">
        <f>IFERROR(__xludf.DUMMYFUNCTION("""COMPUTED_VALUE"""),0.2549440625)</f>
        <v>0.2549440625</v>
      </c>
      <c r="I1029" s="15">
        <f>IFERROR(__xludf.DUMMYFUNCTION("""COMPUTED_VALUE"""),45949.29191471736)</f>
        <v>45949.29191</v>
      </c>
      <c r="J1029" s="15">
        <f>IFERROR(__xludf.DUMMYFUNCTION("""COMPUTED_VALUE"""),45949.03697065486)</f>
        <v>45949.03697</v>
      </c>
      <c r="K1029" s="15">
        <f>IFERROR(__xludf.DUMMYFUNCTION("""COMPUTED_VALUE"""),45949.277221182536)</f>
        <v>45949.27722</v>
      </c>
      <c r="L1029" s="4"/>
    </row>
    <row r="1030">
      <c r="A1030" s="1">
        <f>IFERROR(__xludf.DUMMYFUNCTION("""COMPUTED_VALUE"""),1029.0)</f>
        <v>1029</v>
      </c>
      <c r="B1030" s="1">
        <f>IFERROR(__xludf.DUMMYFUNCTION("""COMPUTED_VALUE"""),6467.0)</f>
        <v>6467</v>
      </c>
      <c r="C1030" s="2" t="str">
        <f>IFERROR(__xludf.DUMMYFUNCTION("""COMPUTED_VALUE"""),"DISHUB")</f>
        <v>DISHUB</v>
      </c>
      <c r="D1030" s="2" t="str">
        <f>IFERROR(__xludf.DUMMYFUNCTION("""COMPUTED_VALUE"""),"5KM OVERALL M")</f>
        <v>5KM OVERALL M</v>
      </c>
      <c r="E1030" s="1">
        <f>IFERROR(__xludf.DUMMYFUNCTION("""COMPUTED_VALUE"""),626.0)</f>
        <v>626</v>
      </c>
      <c r="F1030" s="1" t="str">
        <f>IFERROR(__xludf.DUMMYFUNCTION("""COMPUTED_VALUE"""),"Male")</f>
        <v>Male</v>
      </c>
      <c r="G1030" s="5">
        <f>IFERROR(__xludf.DUMMYFUNCTION("""COMPUTED_VALUE"""),0.007399694444444445)</f>
        <v>0.007399694444</v>
      </c>
      <c r="H1030" s="15">
        <f>IFERROR(__xludf.DUMMYFUNCTION("""COMPUTED_VALUE"""),0.2549440625)</f>
        <v>0.2549440625</v>
      </c>
      <c r="I1030" s="15">
        <f>IFERROR(__xludf.DUMMYFUNCTION("""COMPUTED_VALUE"""),45949.29194254046)</f>
        <v>45949.29194</v>
      </c>
      <c r="J1030" s="15">
        <f>IFERROR(__xludf.DUMMYFUNCTION("""COMPUTED_VALUE"""),45949.03699847796)</f>
        <v>45949.037</v>
      </c>
      <c r="K1030" s="15">
        <f>IFERROR(__xludf.DUMMYFUNCTION("""COMPUTED_VALUE"""),45950.277141203704)</f>
        <v>45950.27714</v>
      </c>
      <c r="L1030" s="4" t="str">
        <f>IFERROR(__xludf.DUMMYFUNCTION("""COMPUTED_VALUE"""),"C")</f>
        <v>C</v>
      </c>
    </row>
    <row r="1031">
      <c r="A1031" s="1">
        <f>IFERROR(__xludf.DUMMYFUNCTION("""COMPUTED_VALUE"""),1030.0)</f>
        <v>1030</v>
      </c>
      <c r="B1031" s="1">
        <f>IFERROR(__xludf.DUMMYFUNCTION("""COMPUTED_VALUE"""),5842.0)</f>
        <v>5842</v>
      </c>
      <c r="C1031" s="2" t="str">
        <f>IFERROR(__xludf.DUMMYFUNCTION("""COMPUTED_VALUE"""),"Setyo")</f>
        <v>Setyo</v>
      </c>
      <c r="D1031" s="2" t="str">
        <f>IFERROR(__xludf.DUMMYFUNCTION("""COMPUTED_VALUE"""),"5KM OVERALL M")</f>
        <v>5KM OVERALL M</v>
      </c>
      <c r="E1031" s="1">
        <f>IFERROR(__xludf.DUMMYFUNCTION("""COMPUTED_VALUE"""),627.0)</f>
        <v>627</v>
      </c>
      <c r="F1031" s="1" t="str">
        <f>IFERROR(__xludf.DUMMYFUNCTION("""COMPUTED_VALUE"""),"Male")</f>
        <v>Male</v>
      </c>
      <c r="G1031" s="5">
        <f>IFERROR(__xludf.DUMMYFUNCTION("""COMPUTED_VALUE"""),0.0074023912037037036)</f>
        <v>0.007402391204</v>
      </c>
      <c r="H1031" s="15">
        <f>IFERROR(__xludf.DUMMYFUNCTION("""COMPUTED_VALUE"""),0.2549440625)</f>
        <v>0.2549440625</v>
      </c>
      <c r="I1031" s="15">
        <f>IFERROR(__xludf.DUMMYFUNCTION("""COMPUTED_VALUE"""),45949.29195601852)</f>
        <v>45949.29196</v>
      </c>
      <c r="J1031" s="15">
        <f>IFERROR(__xludf.DUMMYFUNCTION("""COMPUTED_VALUE"""),45949.03701195602)</f>
        <v>45949.03701</v>
      </c>
      <c r="K1031" s="15">
        <f>IFERROR(__xludf.DUMMYFUNCTION("""COMPUTED_VALUE"""),45949.27732186241)</f>
        <v>45949.27732</v>
      </c>
      <c r="L1031" s="4"/>
    </row>
    <row r="1032">
      <c r="A1032" s="1">
        <f>IFERROR(__xludf.DUMMYFUNCTION("""COMPUTED_VALUE"""),1031.0)</f>
        <v>1031</v>
      </c>
      <c r="B1032" s="1">
        <f>IFERROR(__xludf.DUMMYFUNCTION("""COMPUTED_VALUE"""),6059.0)</f>
        <v>6059</v>
      </c>
      <c r="C1032" s="2" t="str">
        <f>IFERROR(__xludf.DUMMYFUNCTION("""COMPUTED_VALUE"""),"Aulia R")</f>
        <v>Aulia R</v>
      </c>
      <c r="D1032" s="2" t="str">
        <f>IFERROR(__xludf.DUMMYFUNCTION("""COMPUTED_VALUE"""),"5KM OVERALL F")</f>
        <v>5KM OVERALL F</v>
      </c>
      <c r="E1032" s="1">
        <f>IFERROR(__xludf.DUMMYFUNCTION("""COMPUTED_VALUE"""),220.0)</f>
        <v>220</v>
      </c>
      <c r="F1032" s="1" t="str">
        <f>IFERROR(__xludf.DUMMYFUNCTION("""COMPUTED_VALUE"""),"Female")</f>
        <v>Female</v>
      </c>
      <c r="G1032" s="5">
        <f>IFERROR(__xludf.DUMMYFUNCTION("""COMPUTED_VALUE"""),0.00740525)</f>
        <v>0.00740525</v>
      </c>
      <c r="H1032" s="15">
        <f>IFERROR(__xludf.DUMMYFUNCTION("""COMPUTED_VALUE"""),0.2549440625)</f>
        <v>0.2549440625</v>
      </c>
      <c r="I1032" s="15">
        <f>IFERROR(__xludf.DUMMYFUNCTION("""COMPUTED_VALUE"""),45949.29197031203)</f>
        <v>45949.29197</v>
      </c>
      <c r="J1032" s="15">
        <f>IFERROR(__xludf.DUMMYFUNCTION("""COMPUTED_VALUE"""),45949.03702624953)</f>
        <v>45949.03703</v>
      </c>
      <c r="K1032" s="15">
        <f>IFERROR(__xludf.DUMMYFUNCTION("""COMPUTED_VALUE"""),45949.2774815544)</f>
        <v>45949.27748</v>
      </c>
      <c r="L1032" s="4"/>
    </row>
    <row r="1033">
      <c r="A1033" s="1">
        <f>IFERROR(__xludf.DUMMYFUNCTION("""COMPUTED_VALUE"""),1032.0)</f>
        <v>1032</v>
      </c>
      <c r="B1033" s="1">
        <f>IFERROR(__xludf.DUMMYFUNCTION("""COMPUTED_VALUE"""),6231.0)</f>
        <v>6231</v>
      </c>
      <c r="C1033" s="2" t="str">
        <f>IFERROR(__xludf.DUMMYFUNCTION("""COMPUTED_VALUE"""),"Inridhoni")</f>
        <v>Inridhoni</v>
      </c>
      <c r="D1033" s="2" t="str">
        <f>IFERROR(__xludf.DUMMYFUNCTION("""COMPUTED_VALUE"""),"5KM OVERALL M")</f>
        <v>5KM OVERALL M</v>
      </c>
      <c r="E1033" s="1">
        <f>IFERROR(__xludf.DUMMYFUNCTION("""COMPUTED_VALUE"""),628.0)</f>
        <v>628</v>
      </c>
      <c r="F1033" s="1" t="str">
        <f>IFERROR(__xludf.DUMMYFUNCTION("""COMPUTED_VALUE"""),"Male")</f>
        <v>Male</v>
      </c>
      <c r="G1033" s="5">
        <f>IFERROR(__xludf.DUMMYFUNCTION("""COMPUTED_VALUE"""),0.007408724537037037)</f>
        <v>0.007408724537</v>
      </c>
      <c r="H1033" s="15">
        <f>IFERROR(__xludf.DUMMYFUNCTION("""COMPUTED_VALUE"""),0.2549440625)</f>
        <v>0.2549440625</v>
      </c>
      <c r="I1033" s="15">
        <f>IFERROR(__xludf.DUMMYFUNCTION("""COMPUTED_VALUE"""),45949.29198768513)</f>
        <v>45949.29199</v>
      </c>
      <c r="J1033" s="15">
        <f>IFERROR(__xludf.DUMMYFUNCTION("""COMPUTED_VALUE"""),45949.03704362263)</f>
        <v>45949.03704</v>
      </c>
      <c r="K1033" s="15">
        <f>IFERROR(__xludf.DUMMYFUNCTION("""COMPUTED_VALUE"""),45949.27751973963)</f>
        <v>45949.27752</v>
      </c>
      <c r="L1033" s="4"/>
    </row>
    <row r="1034">
      <c r="A1034" s="1">
        <f>IFERROR(__xludf.DUMMYFUNCTION("""COMPUTED_VALUE"""),1033.0)</f>
        <v>1033</v>
      </c>
      <c r="B1034" s="1">
        <f>IFERROR(__xludf.DUMMYFUNCTION("""COMPUTED_VALUE"""),5008.0)</f>
        <v>5008</v>
      </c>
      <c r="C1034" s="2" t="str">
        <f>IFERROR(__xludf.DUMMYFUNCTION("""COMPUTED_VALUE"""),"Septeria")</f>
        <v>Septeria</v>
      </c>
      <c r="D1034" s="2" t="str">
        <f>IFERROR(__xludf.DUMMYFUNCTION("""COMPUTED_VALUE"""),"5KM OVERALL F")</f>
        <v>5KM OVERALL F</v>
      </c>
      <c r="E1034" s="1">
        <f>IFERROR(__xludf.DUMMYFUNCTION("""COMPUTED_VALUE"""),221.0)</f>
        <v>221</v>
      </c>
      <c r="F1034" s="1" t="str">
        <f>IFERROR(__xludf.DUMMYFUNCTION("""COMPUTED_VALUE"""),"Female")</f>
        <v>Female</v>
      </c>
      <c r="G1034" s="5">
        <f>IFERROR(__xludf.DUMMYFUNCTION("""COMPUTED_VALUE"""),0.007410805555555555)</f>
        <v>0.007410805556</v>
      </c>
      <c r="H1034" s="15">
        <f>IFERROR(__xludf.DUMMYFUNCTION("""COMPUTED_VALUE"""),0.2549440625)</f>
        <v>0.2549440625</v>
      </c>
      <c r="I1034" s="15">
        <f>IFERROR(__xludf.DUMMYFUNCTION("""COMPUTED_VALUE"""),45949.29199808972)</f>
        <v>45949.292</v>
      </c>
      <c r="J1034" s="15">
        <f>IFERROR(__xludf.DUMMYFUNCTION("""COMPUTED_VALUE"""),45949.03705402722)</f>
        <v>45949.03705</v>
      </c>
      <c r="K1034" s="15">
        <f>IFERROR(__xludf.DUMMYFUNCTION("""COMPUTED_VALUE"""),45949.27682877619)</f>
        <v>45949.27683</v>
      </c>
      <c r="L1034" s="4"/>
    </row>
    <row r="1035">
      <c r="A1035" s="1">
        <f>IFERROR(__xludf.DUMMYFUNCTION("""COMPUTED_VALUE"""),1034.0)</f>
        <v>1034</v>
      </c>
      <c r="B1035" s="1">
        <f>IFERROR(__xludf.DUMMYFUNCTION("""COMPUTED_VALUE"""),6362.0)</f>
        <v>6362</v>
      </c>
      <c r="C1035" s="2" t="str">
        <f>IFERROR(__xludf.DUMMYFUNCTION("""COMPUTED_VALUE"""),"NURUL HIDAYAH")</f>
        <v>NURUL HIDAYAH</v>
      </c>
      <c r="D1035" s="2" t="str">
        <f>IFERROR(__xludf.DUMMYFUNCTION("""COMPUTED_VALUE"""),"5KM OVERALL F")</f>
        <v>5KM OVERALL F</v>
      </c>
      <c r="E1035" s="1">
        <f>IFERROR(__xludf.DUMMYFUNCTION("""COMPUTED_VALUE"""),222.0)</f>
        <v>222</v>
      </c>
      <c r="F1035" s="1" t="str">
        <f>IFERROR(__xludf.DUMMYFUNCTION("""COMPUTED_VALUE"""),"Female")</f>
        <v>Female</v>
      </c>
      <c r="G1035" s="5">
        <f>IFERROR(__xludf.DUMMYFUNCTION("""COMPUTED_VALUE"""),0.007416361111111111)</f>
        <v>0.007416361111</v>
      </c>
      <c r="H1035" s="15">
        <f>IFERROR(__xludf.DUMMYFUNCTION("""COMPUTED_VALUE"""),0.2549440625)</f>
        <v>0.2549440625</v>
      </c>
      <c r="I1035" s="15">
        <f>IFERROR(__xludf.DUMMYFUNCTION("""COMPUTED_VALUE"""),45949.2920258645)</f>
        <v>45949.29203</v>
      </c>
      <c r="J1035" s="15">
        <f>IFERROR(__xludf.DUMMYFUNCTION("""COMPUTED_VALUE"""),45949.037081802)</f>
        <v>45949.03708</v>
      </c>
      <c r="K1035" s="15">
        <f>IFERROR(__xludf.DUMMYFUNCTION("""COMPUTED_VALUE"""),45949.27526285467)</f>
        <v>45949.27526</v>
      </c>
      <c r="L1035" s="4"/>
    </row>
    <row r="1036">
      <c r="A1036" s="1">
        <f>IFERROR(__xludf.DUMMYFUNCTION("""COMPUTED_VALUE"""),1035.0)</f>
        <v>1035</v>
      </c>
      <c r="B1036" s="1">
        <f>IFERROR(__xludf.DUMMYFUNCTION("""COMPUTED_VALUE"""),5423.0)</f>
        <v>5423</v>
      </c>
      <c r="C1036" s="2" t="str">
        <f>IFERROR(__xludf.DUMMYFUNCTION("""COMPUTED_VALUE"""),"fiqa")</f>
        <v>fiqa</v>
      </c>
      <c r="D1036" s="2" t="str">
        <f>IFERROR(__xludf.DUMMYFUNCTION("""COMPUTED_VALUE"""),"5KM OVERALL F")</f>
        <v>5KM OVERALL F</v>
      </c>
      <c r="E1036" s="1">
        <f>IFERROR(__xludf.DUMMYFUNCTION("""COMPUTED_VALUE"""),223.0)</f>
        <v>223</v>
      </c>
      <c r="F1036" s="1" t="str">
        <f>IFERROR(__xludf.DUMMYFUNCTION("""COMPUTED_VALUE"""),"Female")</f>
        <v>Female</v>
      </c>
      <c r="G1036" s="5">
        <f>IFERROR(__xludf.DUMMYFUNCTION("""COMPUTED_VALUE"""),0.007421918981481481)</f>
        <v>0.007421918981</v>
      </c>
      <c r="H1036" s="15">
        <f>IFERROR(__xludf.DUMMYFUNCTION("""COMPUTED_VALUE"""),0.2549440625)</f>
        <v>0.2549440625</v>
      </c>
      <c r="I1036" s="15">
        <f>IFERROR(__xludf.DUMMYFUNCTION("""COMPUTED_VALUE"""),45949.29205365774)</f>
        <v>45949.29205</v>
      </c>
      <c r="J1036" s="15">
        <f>IFERROR(__xludf.DUMMYFUNCTION("""COMPUTED_VALUE"""),45949.037109595236)</f>
        <v>45949.03711</v>
      </c>
      <c r="K1036" s="15">
        <f>IFERROR(__xludf.DUMMYFUNCTION("""COMPUTED_VALUE"""),45949.27659960551)</f>
        <v>45949.2766</v>
      </c>
      <c r="L1036" s="4"/>
    </row>
    <row r="1037">
      <c r="A1037" s="1">
        <f>IFERROR(__xludf.DUMMYFUNCTION("""COMPUTED_VALUE"""),1036.0)</f>
        <v>1036</v>
      </c>
      <c r="B1037" s="1">
        <f>IFERROR(__xludf.DUMMYFUNCTION("""COMPUTED_VALUE"""),6267.0)</f>
        <v>6267</v>
      </c>
      <c r="C1037" s="2" t="str">
        <f>IFERROR(__xludf.DUMMYFUNCTION("""COMPUTED_VALUE"""),"Nur Raina")</f>
        <v>Nur Raina</v>
      </c>
      <c r="D1037" s="2" t="str">
        <f>IFERROR(__xludf.DUMMYFUNCTION("""COMPUTED_VALUE"""),"5KM OVERALL F")</f>
        <v>5KM OVERALL F</v>
      </c>
      <c r="E1037" s="1">
        <f>IFERROR(__xludf.DUMMYFUNCTION("""COMPUTED_VALUE"""),224.0)</f>
        <v>224</v>
      </c>
      <c r="F1037" s="1" t="str">
        <f>IFERROR(__xludf.DUMMYFUNCTION("""COMPUTED_VALUE"""),"Female")</f>
        <v>Female</v>
      </c>
      <c r="G1037" s="5">
        <f>IFERROR(__xludf.DUMMYFUNCTION("""COMPUTED_VALUE"""),0.00742330787037037)</f>
        <v>0.00742330787</v>
      </c>
      <c r="H1037" s="15">
        <f>IFERROR(__xludf.DUMMYFUNCTION("""COMPUTED_VALUE"""),0.2549440625)</f>
        <v>0.2549440625</v>
      </c>
      <c r="I1037" s="15">
        <f>IFERROR(__xludf.DUMMYFUNCTION("""COMPUTED_VALUE"""),45949.292060597516)</f>
        <v>45949.29206</v>
      </c>
      <c r="J1037" s="15">
        <f>IFERROR(__xludf.DUMMYFUNCTION("""COMPUTED_VALUE"""),45949.037116535015)</f>
        <v>45949.03712</v>
      </c>
      <c r="K1037" s="15">
        <f>IFERROR(__xludf.DUMMYFUNCTION("""COMPUTED_VALUE"""),45949.27697113979)</f>
        <v>45949.27697</v>
      </c>
      <c r="L1037" s="4"/>
    </row>
    <row r="1038">
      <c r="A1038" s="1">
        <f>IFERROR(__xludf.DUMMYFUNCTION("""COMPUTED_VALUE"""),1037.0)</f>
        <v>1037</v>
      </c>
      <c r="B1038" s="1">
        <f>IFERROR(__xludf.DUMMYFUNCTION("""COMPUTED_VALUE"""),7022.0)</f>
        <v>7022</v>
      </c>
      <c r="C1038" s="2" t="str">
        <f>IFERROR(__xludf.DUMMYFUNCTION("""COMPUTED_VALUE"""),"Deny Erliani")</f>
        <v>Deny Erliani</v>
      </c>
      <c r="D1038" s="2" t="str">
        <f>IFERROR(__xludf.DUMMYFUNCTION("""COMPUTED_VALUE"""),"5KM MASTER F")</f>
        <v>5KM MASTER F</v>
      </c>
      <c r="E1038" s="1">
        <f>IFERROR(__xludf.DUMMYFUNCTION("""COMPUTED_VALUE"""),41.0)</f>
        <v>41</v>
      </c>
      <c r="F1038" s="1" t="str">
        <f>IFERROR(__xludf.DUMMYFUNCTION("""COMPUTED_VALUE"""),"Female")</f>
        <v>Female</v>
      </c>
      <c r="G1038" s="5">
        <f>IFERROR(__xludf.DUMMYFUNCTION("""COMPUTED_VALUE"""),0.007424)</f>
        <v>0.007424</v>
      </c>
      <c r="H1038" s="15">
        <f>IFERROR(__xludf.DUMMYFUNCTION("""COMPUTED_VALUE"""),0.2549440625)</f>
        <v>0.2549440625</v>
      </c>
      <c r="I1038" s="15">
        <f>IFERROR(__xludf.DUMMYFUNCTION("""COMPUTED_VALUE"""),45949.29206405688)</f>
        <v>45949.29206</v>
      </c>
      <c r="J1038" s="15">
        <f>IFERROR(__xludf.DUMMYFUNCTION("""COMPUTED_VALUE"""),45949.03711999438)</f>
        <v>45949.03712</v>
      </c>
      <c r="K1038" s="15">
        <f>IFERROR(__xludf.DUMMYFUNCTION("""COMPUTED_VALUE"""),45949.276998923786)</f>
        <v>45949.277</v>
      </c>
      <c r="L1038" s="4"/>
    </row>
    <row r="1039">
      <c r="A1039" s="1">
        <f>IFERROR(__xludf.DUMMYFUNCTION("""COMPUTED_VALUE"""),1038.0)</f>
        <v>1038</v>
      </c>
      <c r="B1039" s="1">
        <f>IFERROR(__xludf.DUMMYFUNCTION("""COMPUTED_VALUE"""),6090.0)</f>
        <v>6090</v>
      </c>
      <c r="C1039" s="2" t="str">
        <f>IFERROR(__xludf.DUMMYFUNCTION("""COMPUTED_VALUE"""),"Lili Rahmawati")</f>
        <v>Lili Rahmawati</v>
      </c>
      <c r="D1039" s="2" t="str">
        <f>IFERROR(__xludf.DUMMYFUNCTION("""COMPUTED_VALUE"""),"5KM OVERALL F")</f>
        <v>5KM OVERALL F</v>
      </c>
      <c r="E1039" s="1">
        <f>IFERROR(__xludf.DUMMYFUNCTION("""COMPUTED_VALUE"""),225.0)</f>
        <v>225</v>
      </c>
      <c r="F1039" s="1" t="str">
        <f>IFERROR(__xludf.DUMMYFUNCTION("""COMPUTED_VALUE"""),"Female")</f>
        <v>Female</v>
      </c>
      <c r="G1039" s="5">
        <f>IFERROR(__xludf.DUMMYFUNCTION("""COMPUTED_VALUE"""),0.007434416666666667)</f>
        <v>0.007434416667</v>
      </c>
      <c r="H1039" s="15">
        <f>IFERROR(__xludf.DUMMYFUNCTION("""COMPUTED_VALUE"""),0.2549440625)</f>
        <v>0.2549440625</v>
      </c>
      <c r="I1039" s="15">
        <f>IFERROR(__xludf.DUMMYFUNCTION("""COMPUTED_VALUE"""),45949.29211614388)</f>
        <v>45949.29212</v>
      </c>
      <c r="J1039" s="15">
        <f>IFERROR(__xludf.DUMMYFUNCTION("""COMPUTED_VALUE"""),45949.03717208138)</f>
        <v>45949.03717</v>
      </c>
      <c r="K1039" s="15">
        <f>IFERROR(__xludf.DUMMYFUNCTION("""COMPUTED_VALUE"""),45949.27508923118)</f>
        <v>45949.27509</v>
      </c>
      <c r="L1039" s="4"/>
    </row>
    <row r="1040">
      <c r="A1040" s="1">
        <f>IFERROR(__xludf.DUMMYFUNCTION("""COMPUTED_VALUE"""),1039.0)</f>
        <v>1039</v>
      </c>
      <c r="B1040" s="1">
        <f>IFERROR(__xludf.DUMMYFUNCTION("""COMPUTED_VALUE"""),5265.0)</f>
        <v>5265</v>
      </c>
      <c r="C1040" s="2" t="str">
        <f>IFERROR(__xludf.DUMMYFUNCTION("""COMPUTED_VALUE"""),"Ahmad Buhaira Assyarief")</f>
        <v>Ahmad Buhaira Assyarief</v>
      </c>
      <c r="D1040" s="2" t="str">
        <f>IFERROR(__xludf.DUMMYFUNCTION("""COMPUTED_VALUE"""),"5KM OVERALL M")</f>
        <v>5KM OVERALL M</v>
      </c>
      <c r="E1040" s="1">
        <f>IFERROR(__xludf.DUMMYFUNCTION("""COMPUTED_VALUE"""),629.0)</f>
        <v>629</v>
      </c>
      <c r="F1040" s="1" t="str">
        <f>IFERROR(__xludf.DUMMYFUNCTION("""COMPUTED_VALUE"""),"Male")</f>
        <v>Male</v>
      </c>
      <c r="G1040" s="5">
        <f>IFERROR(__xludf.DUMMYFUNCTION("""COMPUTED_VALUE"""),0.007435805555555555)</f>
        <v>0.007435805556</v>
      </c>
      <c r="H1040" s="15">
        <f>IFERROR(__xludf.DUMMYFUNCTION("""COMPUTED_VALUE"""),0.2549440625)</f>
        <v>0.2549440625</v>
      </c>
      <c r="I1040" s="15">
        <f>IFERROR(__xludf.DUMMYFUNCTION("""COMPUTED_VALUE"""),45949.29212309188)</f>
        <v>45949.29212</v>
      </c>
      <c r="J1040" s="15">
        <f>IFERROR(__xludf.DUMMYFUNCTION("""COMPUTED_VALUE"""),45949.03717902938)</f>
        <v>45949.03718</v>
      </c>
      <c r="K1040" s="15">
        <f>IFERROR(__xludf.DUMMYFUNCTION("""COMPUTED_VALUE"""),45949.274648221784)</f>
        <v>45949.27465</v>
      </c>
      <c r="L1040" s="4"/>
    </row>
    <row r="1041">
      <c r="A1041" s="1">
        <f>IFERROR(__xludf.DUMMYFUNCTION("""COMPUTED_VALUE"""),1040.0)</f>
        <v>1040</v>
      </c>
      <c r="B1041" s="1">
        <f>IFERROR(__xludf.DUMMYFUNCTION("""COMPUTED_VALUE"""),6127.0)</f>
        <v>6127</v>
      </c>
      <c r="C1041" s="2" t="str">
        <f>IFERROR(__xludf.DUMMYFUNCTION("""COMPUTED_VALUE"""),"ENJ")</f>
        <v>ENJ</v>
      </c>
      <c r="D1041" s="2" t="str">
        <f>IFERROR(__xludf.DUMMYFUNCTION("""COMPUTED_VALUE"""),"5KM OVERALL F")</f>
        <v>5KM OVERALL F</v>
      </c>
      <c r="E1041" s="1">
        <f>IFERROR(__xludf.DUMMYFUNCTION("""COMPUTED_VALUE"""),226.0)</f>
        <v>226</v>
      </c>
      <c r="F1041" s="1" t="str">
        <f>IFERROR(__xludf.DUMMYFUNCTION("""COMPUTED_VALUE"""),"Female")</f>
        <v>Female</v>
      </c>
      <c r="G1041" s="5">
        <f>IFERROR(__xludf.DUMMYFUNCTION("""COMPUTED_VALUE"""),0.0074399629629629625)</f>
        <v>0.007439962963</v>
      </c>
      <c r="H1041" s="15">
        <f>IFERROR(__xludf.DUMMYFUNCTION("""COMPUTED_VALUE"""),0.2549440625)</f>
        <v>0.2549440625</v>
      </c>
      <c r="I1041" s="15">
        <f>IFERROR(__xludf.DUMMYFUNCTION("""COMPUTED_VALUE"""),45949.29214388296)</f>
        <v>45949.29214</v>
      </c>
      <c r="J1041" s="15">
        <f>IFERROR(__xludf.DUMMYFUNCTION("""COMPUTED_VALUE"""),45949.03719982046)</f>
        <v>45949.0372</v>
      </c>
      <c r="K1041" s="15">
        <f>IFERROR(__xludf.DUMMYFUNCTION("""COMPUTED_VALUE"""),45949.27595382428)</f>
        <v>45949.27595</v>
      </c>
      <c r="L1041" s="4"/>
    </row>
    <row r="1042">
      <c r="A1042" s="1">
        <f>IFERROR(__xludf.DUMMYFUNCTION("""COMPUTED_VALUE"""),1041.0)</f>
        <v>1041</v>
      </c>
      <c r="B1042" s="1">
        <f>IFERROR(__xludf.DUMMYFUNCTION("""COMPUTED_VALUE"""),6255.0)</f>
        <v>6255</v>
      </c>
      <c r="C1042" s="2" t="str">
        <f>IFERROR(__xludf.DUMMYFUNCTION("""COMPUTED_VALUE"""),"M.AKBAR ADZHAR")</f>
        <v>M.AKBAR ADZHAR</v>
      </c>
      <c r="D1042" s="2" t="str">
        <f>IFERROR(__xludf.DUMMYFUNCTION("""COMPUTED_VALUE"""),"5KM OVERALL M")</f>
        <v>5KM OVERALL M</v>
      </c>
      <c r="E1042" s="1">
        <f>IFERROR(__xludf.DUMMYFUNCTION("""COMPUTED_VALUE"""),630.0)</f>
        <v>630</v>
      </c>
      <c r="F1042" s="1" t="str">
        <f>IFERROR(__xludf.DUMMYFUNCTION("""COMPUTED_VALUE"""),"Male")</f>
        <v>Male</v>
      </c>
      <c r="G1042" s="5">
        <f>IFERROR(__xludf.DUMMYFUNCTION("""COMPUTED_VALUE"""),0.007449)</f>
        <v>0.007449</v>
      </c>
      <c r="H1042" s="15">
        <f>IFERROR(__xludf.DUMMYFUNCTION("""COMPUTED_VALUE"""),0.2549440625)</f>
        <v>0.2549440625</v>
      </c>
      <c r="I1042" s="15">
        <f>IFERROR(__xludf.DUMMYFUNCTION("""COMPUTED_VALUE"""),45949.29218906091)</f>
        <v>45949.29219</v>
      </c>
      <c r="J1042" s="15">
        <f>IFERROR(__xludf.DUMMYFUNCTION("""COMPUTED_VALUE"""),45949.037244998406)</f>
        <v>45949.03724</v>
      </c>
      <c r="K1042" s="15">
        <f>IFERROR(__xludf.DUMMYFUNCTION("""COMPUTED_VALUE"""),45950.277291666665)</f>
        <v>45950.27729</v>
      </c>
      <c r="L1042" s="4" t="str">
        <f>IFERROR(__xludf.DUMMYFUNCTION("""COMPUTED_VALUE"""),"C")</f>
        <v>C</v>
      </c>
    </row>
    <row r="1043">
      <c r="A1043" s="1">
        <f>IFERROR(__xludf.DUMMYFUNCTION("""COMPUTED_VALUE"""),1042.0)</f>
        <v>1042</v>
      </c>
      <c r="B1043" s="1">
        <f>IFERROR(__xludf.DUMMYFUNCTION("""COMPUTED_VALUE"""),5105.0)</f>
        <v>5105</v>
      </c>
      <c r="C1043" s="2" t="str">
        <f>IFERROR(__xludf.DUMMYFUNCTION("""COMPUTED_VALUE"""),"Danang Cahyadi")</f>
        <v>Danang Cahyadi</v>
      </c>
      <c r="D1043" s="2" t="str">
        <f>IFERROR(__xludf.DUMMYFUNCTION("""COMPUTED_VALUE"""),"5KM OVERALL M")</f>
        <v>5KM OVERALL M</v>
      </c>
      <c r="E1043" s="1">
        <f>IFERROR(__xludf.DUMMYFUNCTION("""COMPUTED_VALUE"""),631.0)</f>
        <v>631</v>
      </c>
      <c r="F1043" s="1" t="str">
        <f>IFERROR(__xludf.DUMMYFUNCTION("""COMPUTED_VALUE"""),"Male")</f>
        <v>Male</v>
      </c>
      <c r="G1043" s="5">
        <f>IFERROR(__xludf.DUMMYFUNCTION("""COMPUTED_VALUE"""),0.007449)</f>
        <v>0.007449</v>
      </c>
      <c r="H1043" s="15">
        <f>IFERROR(__xludf.DUMMYFUNCTION("""COMPUTED_VALUE"""),0.2549440625)</f>
        <v>0.2549440625</v>
      </c>
      <c r="I1043" s="15">
        <f>IFERROR(__xludf.DUMMYFUNCTION("""COMPUTED_VALUE"""),45949.29218906091)</f>
        <v>45949.29219</v>
      </c>
      <c r="J1043" s="15">
        <f>IFERROR(__xludf.DUMMYFUNCTION("""COMPUTED_VALUE"""),45949.037244998406)</f>
        <v>45949.03724</v>
      </c>
      <c r="K1043" s="15">
        <f>IFERROR(__xludf.DUMMYFUNCTION("""COMPUTED_VALUE"""),45949.27674196236)</f>
        <v>45949.27674</v>
      </c>
      <c r="L1043" s="4"/>
    </row>
    <row r="1044">
      <c r="A1044" s="1">
        <f>IFERROR(__xludf.DUMMYFUNCTION("""COMPUTED_VALUE"""),1043.0)</f>
        <v>1043</v>
      </c>
      <c r="B1044" s="1">
        <f>IFERROR(__xludf.DUMMYFUNCTION("""COMPUTED_VALUE"""),5175.0)</f>
        <v>5175</v>
      </c>
      <c r="C1044" s="2" t="str">
        <f>IFERROR(__xludf.DUMMYFUNCTION("""COMPUTED_VALUE"""),"Godam")</f>
        <v>Godam</v>
      </c>
      <c r="D1044" s="2" t="str">
        <f>IFERROR(__xludf.DUMMYFUNCTION("""COMPUTED_VALUE"""),"5KM OVERALL M")</f>
        <v>5KM OVERALL M</v>
      </c>
      <c r="E1044" s="1">
        <f>IFERROR(__xludf.DUMMYFUNCTION("""COMPUTED_VALUE"""),632.0)</f>
        <v>632</v>
      </c>
      <c r="F1044" s="1" t="str">
        <f>IFERROR(__xludf.DUMMYFUNCTION("""COMPUTED_VALUE"""),"Male")</f>
        <v>Male</v>
      </c>
      <c r="G1044" s="5">
        <f>IFERROR(__xludf.DUMMYFUNCTION("""COMPUTED_VALUE"""),0.0074490023148148145)</f>
        <v>0.007449002315</v>
      </c>
      <c r="H1044" s="15">
        <f>IFERROR(__xludf.DUMMYFUNCTION("""COMPUTED_VALUE"""),0.2549440625)</f>
        <v>0.2549440625</v>
      </c>
      <c r="I1044" s="15">
        <f>IFERROR(__xludf.DUMMYFUNCTION("""COMPUTED_VALUE"""),45949.29218907654)</f>
        <v>45949.29219</v>
      </c>
      <c r="J1044" s="15">
        <f>IFERROR(__xludf.DUMMYFUNCTION("""COMPUTED_VALUE"""),45949.03724501404)</f>
        <v>45949.03725</v>
      </c>
      <c r="K1044" s="15">
        <f>IFERROR(__xludf.DUMMYFUNCTION("""COMPUTED_VALUE"""),45949.2746065518)</f>
        <v>45949.27461</v>
      </c>
      <c r="L1044" s="4"/>
    </row>
    <row r="1045">
      <c r="A1045" s="1">
        <f>IFERROR(__xludf.DUMMYFUNCTION("""COMPUTED_VALUE"""),1044.0)</f>
        <v>1044</v>
      </c>
      <c r="B1045" s="1">
        <f>IFERROR(__xludf.DUMMYFUNCTION("""COMPUTED_VALUE"""),5273.0)</f>
        <v>5273</v>
      </c>
      <c r="C1045" s="2" t="str">
        <f>IFERROR(__xludf.DUMMYFUNCTION("""COMPUTED_VALUE"""),"atiksuryandari")</f>
        <v>atiksuryandari</v>
      </c>
      <c r="D1045" s="2" t="str">
        <f>IFERROR(__xludf.DUMMYFUNCTION("""COMPUTED_VALUE"""),"5KM OVERALL F")</f>
        <v>5KM OVERALL F</v>
      </c>
      <c r="E1045" s="1">
        <f>IFERROR(__xludf.DUMMYFUNCTION("""COMPUTED_VALUE"""),227.0)</f>
        <v>227</v>
      </c>
      <c r="F1045" s="1" t="str">
        <f>IFERROR(__xludf.DUMMYFUNCTION("""COMPUTED_VALUE"""),"Female")</f>
        <v>Female</v>
      </c>
      <c r="G1045" s="5">
        <f>IFERROR(__xludf.DUMMYFUNCTION("""COMPUTED_VALUE"""),0.007451083333333333)</f>
        <v>0.007451083333</v>
      </c>
      <c r="H1045" s="15">
        <f>IFERROR(__xludf.DUMMYFUNCTION("""COMPUTED_VALUE"""),0.2549440625)</f>
        <v>0.2549440625</v>
      </c>
      <c r="I1045" s="15">
        <f>IFERROR(__xludf.DUMMYFUNCTION("""COMPUTED_VALUE"""),45949.292199480245)</f>
        <v>45949.2922</v>
      </c>
      <c r="J1045" s="15">
        <f>IFERROR(__xludf.DUMMYFUNCTION("""COMPUTED_VALUE"""),45949.037255417745)</f>
        <v>45949.03726</v>
      </c>
      <c r="K1045" s="15">
        <f>IFERROR(__xludf.DUMMYFUNCTION("""COMPUTED_VALUE"""),45949.27668651888)</f>
        <v>45949.27669</v>
      </c>
      <c r="L1045" s="4"/>
    </row>
    <row r="1046">
      <c r="A1046" s="1">
        <f>IFERROR(__xludf.DUMMYFUNCTION("""COMPUTED_VALUE"""),1045.0)</f>
        <v>1045</v>
      </c>
      <c r="B1046" s="1">
        <f>IFERROR(__xludf.DUMMYFUNCTION("""COMPUTED_VALUE"""),5065.0)</f>
        <v>5065</v>
      </c>
      <c r="C1046" s="2" t="str">
        <f>IFERROR(__xludf.DUMMYFUNCTION("""COMPUTED_VALUE"""),"SARAH")</f>
        <v>SARAH</v>
      </c>
      <c r="D1046" s="2" t="str">
        <f>IFERROR(__xludf.DUMMYFUNCTION("""COMPUTED_VALUE"""),"5KM OVERALL F")</f>
        <v>5KM OVERALL F</v>
      </c>
      <c r="E1046" s="1">
        <f>IFERROR(__xludf.DUMMYFUNCTION("""COMPUTED_VALUE"""),228.0)</f>
        <v>228</v>
      </c>
      <c r="F1046" s="1" t="str">
        <f>IFERROR(__xludf.DUMMYFUNCTION("""COMPUTED_VALUE"""),"Female")</f>
        <v>Female</v>
      </c>
      <c r="G1046" s="5">
        <f>IFERROR(__xludf.DUMMYFUNCTION("""COMPUTED_VALUE"""),0.007451083333333333)</f>
        <v>0.007451083333</v>
      </c>
      <c r="H1046" s="15">
        <f>IFERROR(__xludf.DUMMYFUNCTION("""COMPUTED_VALUE"""),0.2549440625)</f>
        <v>0.2549440625</v>
      </c>
      <c r="I1046" s="15">
        <f>IFERROR(__xludf.DUMMYFUNCTION("""COMPUTED_VALUE"""),45949.292199480245)</f>
        <v>45949.2922</v>
      </c>
      <c r="J1046" s="15">
        <f>IFERROR(__xludf.DUMMYFUNCTION("""COMPUTED_VALUE"""),45949.037255417745)</f>
        <v>45949.03726</v>
      </c>
      <c r="K1046" s="15">
        <f>IFERROR(__xludf.DUMMYFUNCTION("""COMPUTED_VALUE"""),45949.27623156164)</f>
        <v>45949.27623</v>
      </c>
      <c r="L1046" s="4"/>
    </row>
    <row r="1047">
      <c r="A1047" s="1">
        <f>IFERROR(__xludf.DUMMYFUNCTION("""COMPUTED_VALUE"""),1046.0)</f>
        <v>1046</v>
      </c>
      <c r="B1047" s="1">
        <f>IFERROR(__xludf.DUMMYFUNCTION("""COMPUTED_VALUE"""),6078.0)</f>
        <v>6078</v>
      </c>
      <c r="C1047" s="2" t="str">
        <f>IFERROR(__xludf.DUMMYFUNCTION("""COMPUTED_VALUE"""),"Iskandar Hendro")</f>
        <v>Iskandar Hendro</v>
      </c>
      <c r="D1047" s="2" t="str">
        <f>IFERROR(__xludf.DUMMYFUNCTION("""COMPUTED_VALUE"""),"5KM OVERALL M")</f>
        <v>5KM OVERALL M</v>
      </c>
      <c r="E1047" s="1">
        <f>IFERROR(__xludf.DUMMYFUNCTION("""COMPUTED_VALUE"""),633.0)</f>
        <v>633</v>
      </c>
      <c r="F1047" s="1" t="str">
        <f>IFERROR(__xludf.DUMMYFUNCTION("""COMPUTED_VALUE"""),"Male")</f>
        <v>Male</v>
      </c>
      <c r="G1047" s="5">
        <f>IFERROR(__xludf.DUMMYFUNCTION("""COMPUTED_VALUE"""),0.007458018518518518)</f>
        <v>0.007458018519</v>
      </c>
      <c r="H1047" s="15">
        <f>IFERROR(__xludf.DUMMYFUNCTION("""COMPUTED_VALUE"""),0.2549440625)</f>
        <v>0.2549440625</v>
      </c>
      <c r="I1047" s="15">
        <f>IFERROR(__xludf.DUMMYFUNCTION("""COMPUTED_VALUE"""),45949.292234156674)</f>
        <v>45949.29223</v>
      </c>
      <c r="J1047" s="15">
        <f>IFERROR(__xludf.DUMMYFUNCTION("""COMPUTED_VALUE"""),45949.03729009417)</f>
        <v>45949.03729</v>
      </c>
      <c r="K1047" s="15">
        <f>IFERROR(__xludf.DUMMYFUNCTION("""COMPUTED_VALUE"""),45949.27628368455)</f>
        <v>45949.27628</v>
      </c>
      <c r="L1047" s="4"/>
    </row>
    <row r="1048">
      <c r="A1048" s="1">
        <f>IFERROR(__xludf.DUMMYFUNCTION("""COMPUTED_VALUE"""),1047.0)</f>
        <v>1047</v>
      </c>
      <c r="B1048" s="1">
        <f>IFERROR(__xludf.DUMMYFUNCTION("""COMPUTED_VALUE"""),5689.0)</f>
        <v>5689</v>
      </c>
      <c r="C1048" s="2" t="str">
        <f>IFERROR(__xludf.DUMMYFUNCTION("""COMPUTED_VALUE"""),"Mahfud")</f>
        <v>Mahfud</v>
      </c>
      <c r="D1048" s="2" t="str">
        <f>IFERROR(__xludf.DUMMYFUNCTION("""COMPUTED_VALUE"""),"5KM OVERALL M")</f>
        <v>5KM OVERALL M</v>
      </c>
      <c r="E1048" s="1">
        <f>IFERROR(__xludf.DUMMYFUNCTION("""COMPUTED_VALUE"""),634.0)</f>
        <v>634</v>
      </c>
      <c r="F1048" s="1" t="str">
        <f>IFERROR(__xludf.DUMMYFUNCTION("""COMPUTED_VALUE"""),"Male")</f>
        <v>Male</v>
      </c>
      <c r="G1048" s="5">
        <f>IFERROR(__xludf.DUMMYFUNCTION("""COMPUTED_VALUE"""),0.007467752314814814)</f>
        <v>0.007467752315</v>
      </c>
      <c r="H1048" s="15">
        <f>IFERROR(__xludf.DUMMYFUNCTION("""COMPUTED_VALUE"""),0.2549440625)</f>
        <v>0.2549440625</v>
      </c>
      <c r="I1048" s="15">
        <f>IFERROR(__xludf.DUMMYFUNCTION("""COMPUTED_VALUE"""),45949.29228282233)</f>
        <v>45949.29228</v>
      </c>
      <c r="J1048" s="15">
        <f>IFERROR(__xludf.DUMMYFUNCTION("""COMPUTED_VALUE"""),45949.03733875983)</f>
        <v>45949.03734</v>
      </c>
      <c r="K1048" s="15">
        <f>IFERROR(__xludf.DUMMYFUNCTION("""COMPUTED_VALUE"""),45949.27511003475)</f>
        <v>45949.27511</v>
      </c>
      <c r="L1048" s="4"/>
    </row>
    <row r="1049">
      <c r="A1049" s="1">
        <f>IFERROR(__xludf.DUMMYFUNCTION("""COMPUTED_VALUE"""),1048.0)</f>
        <v>1048</v>
      </c>
      <c r="B1049" s="1">
        <f>IFERROR(__xludf.DUMMYFUNCTION("""COMPUTED_VALUE"""),6458.0)</f>
        <v>6458</v>
      </c>
      <c r="C1049" s="2" t="str">
        <f>IFERROR(__xludf.DUMMYFUNCTION("""COMPUTED_VALUE"""),"-")</f>
        <v>-</v>
      </c>
      <c r="D1049" s="2" t="str">
        <f>IFERROR(__xludf.DUMMYFUNCTION("""COMPUTED_VALUE"""),"5KM OVERALL M")</f>
        <v>5KM OVERALL M</v>
      </c>
      <c r="E1049" s="1">
        <f>IFERROR(__xludf.DUMMYFUNCTION("""COMPUTED_VALUE"""),635.0)</f>
        <v>635</v>
      </c>
      <c r="F1049" s="1" t="str">
        <f>IFERROR(__xludf.DUMMYFUNCTION("""COMPUTED_VALUE"""),"Male")</f>
        <v>Male</v>
      </c>
      <c r="G1049" s="5">
        <f>IFERROR(__xludf.DUMMYFUNCTION("""COMPUTED_VALUE"""),0.0074691412037037035)</f>
        <v>0.007469141204</v>
      </c>
      <c r="H1049" s="15">
        <f>IFERROR(__xludf.DUMMYFUNCTION("""COMPUTED_VALUE"""),0.2549440625)</f>
        <v>0.2549440625</v>
      </c>
      <c r="I1049" s="15">
        <f>IFERROR(__xludf.DUMMYFUNCTION("""COMPUTED_VALUE"""),45949.29228976435)</f>
        <v>45949.29229</v>
      </c>
      <c r="J1049" s="15">
        <f>IFERROR(__xludf.DUMMYFUNCTION("""COMPUTED_VALUE"""),45949.03734570185)</f>
        <v>45949.03735</v>
      </c>
      <c r="K1049" s="15">
        <f>IFERROR(__xludf.DUMMYFUNCTION("""COMPUTED_VALUE"""),45949.2751968778)</f>
        <v>45949.2752</v>
      </c>
      <c r="L1049" s="4"/>
    </row>
    <row r="1050">
      <c r="A1050" s="1">
        <f>IFERROR(__xludf.DUMMYFUNCTION("""COMPUTED_VALUE"""),1049.0)</f>
        <v>1049</v>
      </c>
      <c r="B1050" s="7" t="str">
        <f>IFERROR(__xludf.DUMMYFUNCTION("""COMPUTED_VALUE"""),"7129")</f>
        <v>7129</v>
      </c>
      <c r="C1050" s="8" t="str">
        <f>IFERROR(__xludf.DUMMYFUNCTION("""COMPUTED_VALUE"""),"Zack")</f>
        <v>Zack</v>
      </c>
      <c r="D1050" s="2" t="str">
        <f>IFERROR(__xludf.DUMMYFUNCTION("""COMPUTED_VALUE"""),"5KM MASTER M")</f>
        <v>5KM MASTER M</v>
      </c>
      <c r="E1050" s="1">
        <f>IFERROR(__xludf.DUMMYFUNCTION("""COMPUTED_VALUE"""),77.0)</f>
        <v>77</v>
      </c>
      <c r="F1050" s="1" t="str">
        <f>IFERROR(__xludf.DUMMYFUNCTION("""COMPUTED_VALUE"""),"Male")</f>
        <v>Male</v>
      </c>
      <c r="G1050" s="5">
        <f>IFERROR(__xludf.DUMMYFUNCTION("""COMPUTED_VALUE"""),0.007472611111111112)</f>
        <v>0.007472611111</v>
      </c>
      <c r="H1050" s="15">
        <f>IFERROR(__xludf.DUMMYFUNCTION("""COMPUTED_VALUE"""),0.2549440625)</f>
        <v>0.2549440625</v>
      </c>
      <c r="I1050" s="15">
        <f>IFERROR(__xludf.DUMMYFUNCTION("""COMPUTED_VALUE"""),45949.292307118136)</f>
        <v>45949.29231</v>
      </c>
      <c r="J1050" s="15">
        <f>IFERROR(__xludf.DUMMYFUNCTION("""COMPUTED_VALUE"""),45949.037363055635)</f>
        <v>45949.03736</v>
      </c>
      <c r="K1050" s="15">
        <f>IFERROR(__xludf.DUMMYFUNCTION("""COMPUTED_VALUE"""),45949.27769335662)</f>
        <v>45949.27769</v>
      </c>
      <c r="L1050" s="4"/>
    </row>
    <row r="1051">
      <c r="A1051" s="1">
        <f>IFERROR(__xludf.DUMMYFUNCTION("""COMPUTED_VALUE"""),1050.0)</f>
        <v>1050</v>
      </c>
      <c r="B1051" s="1">
        <f>IFERROR(__xludf.DUMMYFUNCTION("""COMPUTED_VALUE"""),5936.0)</f>
        <v>5936</v>
      </c>
      <c r="C1051" s="2" t="str">
        <f>IFERROR(__xludf.DUMMYFUNCTION("""COMPUTED_VALUE"""),"Sultan_Ridha")</f>
        <v>Sultan_Ridha</v>
      </c>
      <c r="D1051" s="2" t="str">
        <f>IFERROR(__xludf.DUMMYFUNCTION("""COMPUTED_VALUE"""),"5KM OVERALL M")</f>
        <v>5KM OVERALL M</v>
      </c>
      <c r="E1051" s="1">
        <f>IFERROR(__xludf.DUMMYFUNCTION("""COMPUTED_VALUE"""),636.0)</f>
        <v>636</v>
      </c>
      <c r="F1051" s="1" t="str">
        <f>IFERROR(__xludf.DUMMYFUNCTION("""COMPUTED_VALUE"""),"Male")</f>
        <v>Male</v>
      </c>
      <c r="G1051" s="5">
        <f>IFERROR(__xludf.DUMMYFUNCTION("""COMPUTED_VALUE"""),0.007473305555555555)</f>
        <v>0.007473305556</v>
      </c>
      <c r="H1051" s="15">
        <f>IFERROR(__xludf.DUMMYFUNCTION("""COMPUTED_VALUE"""),0.2549440625)</f>
        <v>0.2549440625</v>
      </c>
      <c r="I1051" s="15">
        <f>IFERROR(__xludf.DUMMYFUNCTION("""COMPUTED_VALUE"""),45949.29231058989)</f>
        <v>45949.29231</v>
      </c>
      <c r="J1051" s="15">
        <f>IFERROR(__xludf.DUMMYFUNCTION("""COMPUTED_VALUE"""),45949.03736652739)</f>
        <v>45949.03737</v>
      </c>
      <c r="K1051" s="15">
        <f>IFERROR(__xludf.DUMMYFUNCTION("""COMPUTED_VALUE"""),45949.27774544465)</f>
        <v>45949.27775</v>
      </c>
      <c r="L1051" s="4"/>
    </row>
    <row r="1052">
      <c r="A1052" s="1">
        <f>IFERROR(__xludf.DUMMYFUNCTION("""COMPUTED_VALUE"""),1051.0)</f>
        <v>1051</v>
      </c>
      <c r="B1052" s="1">
        <f>IFERROR(__xludf.DUMMYFUNCTION("""COMPUTED_VALUE"""),5921.0)</f>
        <v>5921</v>
      </c>
      <c r="C1052" s="2" t="str">
        <f>IFERROR(__xludf.DUMMYFUNCTION("""COMPUTED_VALUE"""),"IRMA LESTARI")</f>
        <v>IRMA LESTARI</v>
      </c>
      <c r="D1052" s="2" t="str">
        <f>IFERROR(__xludf.DUMMYFUNCTION("""COMPUTED_VALUE"""),"5KM OVERALL F")</f>
        <v>5KM OVERALL F</v>
      </c>
      <c r="E1052" s="1">
        <f>IFERROR(__xludf.DUMMYFUNCTION("""COMPUTED_VALUE"""),229.0)</f>
        <v>229</v>
      </c>
      <c r="F1052" s="1" t="str">
        <f>IFERROR(__xludf.DUMMYFUNCTION("""COMPUTED_VALUE"""),"Female")</f>
        <v>Female</v>
      </c>
      <c r="G1052" s="5">
        <f>IFERROR(__xludf.DUMMYFUNCTION("""COMPUTED_VALUE"""),0.007473305555555555)</f>
        <v>0.007473305556</v>
      </c>
      <c r="H1052" s="15">
        <f>IFERROR(__xludf.DUMMYFUNCTION("""COMPUTED_VALUE"""),0.2549440625)</f>
        <v>0.2549440625</v>
      </c>
      <c r="I1052" s="15">
        <f>IFERROR(__xludf.DUMMYFUNCTION("""COMPUTED_VALUE"""),45949.29231058989)</f>
        <v>45949.29231</v>
      </c>
      <c r="J1052" s="15">
        <f>IFERROR(__xludf.DUMMYFUNCTION("""COMPUTED_VALUE"""),45949.03736652739)</f>
        <v>45949.03737</v>
      </c>
      <c r="K1052" s="15">
        <f>IFERROR(__xludf.DUMMYFUNCTION("""COMPUTED_VALUE"""),45949.27650934107)</f>
        <v>45949.27651</v>
      </c>
      <c r="L1052" s="4"/>
    </row>
    <row r="1053">
      <c r="A1053" s="1">
        <f>IFERROR(__xludf.DUMMYFUNCTION("""COMPUTED_VALUE"""),1052.0)</f>
        <v>1052</v>
      </c>
      <c r="B1053" s="1">
        <f>IFERROR(__xludf.DUMMYFUNCTION("""COMPUTED_VALUE"""),5041.0)</f>
        <v>5041</v>
      </c>
      <c r="C1053" s="2" t="str">
        <f>IFERROR(__xludf.DUMMYFUNCTION("""COMPUTED_VALUE"""),"SALMA")</f>
        <v>SALMA</v>
      </c>
      <c r="D1053" s="2" t="str">
        <f>IFERROR(__xludf.DUMMYFUNCTION("""COMPUTED_VALUE"""),"5KM OVERALL F")</f>
        <v>5KM OVERALL F</v>
      </c>
      <c r="E1053" s="1">
        <f>IFERROR(__xludf.DUMMYFUNCTION("""COMPUTED_VALUE"""),230.0)</f>
        <v>230</v>
      </c>
      <c r="F1053" s="1" t="str">
        <f>IFERROR(__xludf.DUMMYFUNCTION("""COMPUTED_VALUE"""),"Female")</f>
        <v>Female</v>
      </c>
      <c r="G1053" s="5">
        <f>IFERROR(__xludf.DUMMYFUNCTION("""COMPUTED_VALUE"""),0.007476777777777778)</f>
        <v>0.007476777778</v>
      </c>
      <c r="H1053" s="15">
        <f>IFERROR(__xludf.DUMMYFUNCTION("""COMPUTED_VALUE"""),0.2549440625)</f>
        <v>0.2549440625</v>
      </c>
      <c r="I1053" s="15">
        <f>IFERROR(__xludf.DUMMYFUNCTION("""COMPUTED_VALUE"""),45949.29232795345)</f>
        <v>45949.29233</v>
      </c>
      <c r="J1053" s="15">
        <f>IFERROR(__xludf.DUMMYFUNCTION("""COMPUTED_VALUE"""),45949.03738389095)</f>
        <v>45949.03738</v>
      </c>
      <c r="K1053" s="15">
        <f>IFERROR(__xludf.DUMMYFUNCTION("""COMPUTED_VALUE"""),45949.27596072961)</f>
        <v>45949.27596</v>
      </c>
      <c r="L1053" s="4"/>
    </row>
    <row r="1054">
      <c r="A1054" s="1">
        <f>IFERROR(__xludf.DUMMYFUNCTION("""COMPUTED_VALUE"""),1053.0)</f>
        <v>1053</v>
      </c>
      <c r="B1054" s="1">
        <f>IFERROR(__xludf.DUMMYFUNCTION("""COMPUTED_VALUE"""),5408.0)</f>
        <v>5408</v>
      </c>
      <c r="C1054" s="2" t="str">
        <f>IFERROR(__xludf.DUMMYFUNCTION("""COMPUTED_VALUE"""),"Edelia")</f>
        <v>Edelia</v>
      </c>
      <c r="D1054" s="2" t="str">
        <f>IFERROR(__xludf.DUMMYFUNCTION("""COMPUTED_VALUE"""),"5KM OVERALL F")</f>
        <v>5KM OVERALL F</v>
      </c>
      <c r="E1054" s="1">
        <f>IFERROR(__xludf.DUMMYFUNCTION("""COMPUTED_VALUE"""),231.0)</f>
        <v>231</v>
      </c>
      <c r="F1054" s="1" t="str">
        <f>IFERROR(__xludf.DUMMYFUNCTION("""COMPUTED_VALUE"""),"Female")</f>
        <v>Female</v>
      </c>
      <c r="G1054" s="5">
        <f>IFERROR(__xludf.DUMMYFUNCTION("""COMPUTED_VALUE"""),0.007481638888888889)</f>
        <v>0.007481638889</v>
      </c>
      <c r="H1054" s="15">
        <f>IFERROR(__xludf.DUMMYFUNCTION("""COMPUTED_VALUE"""),0.2549440625)</f>
        <v>0.2549440625</v>
      </c>
      <c r="I1054" s="15">
        <f>IFERROR(__xludf.DUMMYFUNCTION("""COMPUTED_VALUE"""),45949.292352254735)</f>
        <v>45949.29235</v>
      </c>
      <c r="J1054" s="15">
        <f>IFERROR(__xludf.DUMMYFUNCTION("""COMPUTED_VALUE"""),45949.037408192235)</f>
        <v>45949.03741</v>
      </c>
      <c r="K1054" s="15">
        <f>IFERROR(__xludf.DUMMYFUNCTION("""COMPUTED_VALUE"""),45949.27637745278)</f>
        <v>45949.27638</v>
      </c>
      <c r="L1054" s="4"/>
    </row>
    <row r="1055">
      <c r="A1055" s="1">
        <f>IFERROR(__xludf.DUMMYFUNCTION("""COMPUTED_VALUE"""),1054.0)</f>
        <v>1054</v>
      </c>
      <c r="B1055" s="1">
        <f>IFERROR(__xludf.DUMMYFUNCTION("""COMPUTED_VALUE"""),5743.0)</f>
        <v>5743</v>
      </c>
      <c r="C1055" s="2" t="str">
        <f>IFERROR(__xludf.DUMMYFUNCTION("""COMPUTED_VALUE"""),"Dinan Anggun")</f>
        <v>Dinan Anggun</v>
      </c>
      <c r="D1055" s="2" t="str">
        <f>IFERROR(__xludf.DUMMYFUNCTION("""COMPUTED_VALUE"""),"5KM OVERALL F")</f>
        <v>5KM OVERALL F</v>
      </c>
      <c r="E1055" s="1">
        <f>IFERROR(__xludf.DUMMYFUNCTION("""COMPUTED_VALUE"""),232.0)</f>
        <v>232</v>
      </c>
      <c r="F1055" s="1" t="str">
        <f>IFERROR(__xludf.DUMMYFUNCTION("""COMPUTED_VALUE"""),"Female")</f>
        <v>Female</v>
      </c>
      <c r="G1055" s="5">
        <f>IFERROR(__xludf.DUMMYFUNCTION("""COMPUTED_VALUE"""),0.007489277777777778)</f>
        <v>0.007489277778</v>
      </c>
      <c r="H1055" s="15">
        <f>IFERROR(__xludf.DUMMYFUNCTION("""COMPUTED_VALUE"""),0.2549440625)</f>
        <v>0.2549440625</v>
      </c>
      <c r="I1055" s="15">
        <f>IFERROR(__xludf.DUMMYFUNCTION("""COMPUTED_VALUE"""),45949.2923904492)</f>
        <v>45949.29239</v>
      </c>
      <c r="J1055" s="15">
        <f>IFERROR(__xludf.DUMMYFUNCTION("""COMPUTED_VALUE"""),45949.0374463867)</f>
        <v>45949.03745</v>
      </c>
      <c r="K1055" s="15">
        <f>IFERROR(__xludf.DUMMYFUNCTION("""COMPUTED_VALUE"""),45949.2770684067)</f>
        <v>45949.27707</v>
      </c>
      <c r="L1055" s="4"/>
    </row>
    <row r="1056">
      <c r="A1056" s="1">
        <f>IFERROR(__xludf.DUMMYFUNCTION("""COMPUTED_VALUE"""),1055.0)</f>
        <v>1055</v>
      </c>
      <c r="B1056" s="1">
        <f>IFERROR(__xludf.DUMMYFUNCTION("""COMPUTED_VALUE"""),5973.0)</f>
        <v>5973</v>
      </c>
      <c r="C1056" s="2" t="str">
        <f>IFERROR(__xludf.DUMMYFUNCTION("""COMPUTED_VALUE"""),"lisna Ariyanti")</f>
        <v>lisna Ariyanti</v>
      </c>
      <c r="D1056" s="2" t="str">
        <f>IFERROR(__xludf.DUMMYFUNCTION("""COMPUTED_VALUE"""),"5KM OVERALL F")</f>
        <v>5KM OVERALL F</v>
      </c>
      <c r="E1056" s="1">
        <f>IFERROR(__xludf.DUMMYFUNCTION("""COMPUTED_VALUE"""),233.0)</f>
        <v>233</v>
      </c>
      <c r="F1056" s="1" t="str">
        <f>IFERROR(__xludf.DUMMYFUNCTION("""COMPUTED_VALUE"""),"Female")</f>
        <v>Female</v>
      </c>
      <c r="G1056" s="5">
        <f>IFERROR(__xludf.DUMMYFUNCTION("""COMPUTED_VALUE"""),0.007497599537037038)</f>
        <v>0.007497599537</v>
      </c>
      <c r="H1056" s="15">
        <f>IFERROR(__xludf.DUMMYFUNCTION("""COMPUTED_VALUE"""),0.2549440625)</f>
        <v>0.2549440625</v>
      </c>
      <c r="I1056" s="15">
        <f>IFERROR(__xludf.DUMMYFUNCTION("""COMPUTED_VALUE"""),45949.29243206107)</f>
        <v>45949.29243</v>
      </c>
      <c r="J1056" s="15">
        <f>IFERROR(__xludf.DUMMYFUNCTION("""COMPUTED_VALUE"""),45949.03748799857)</f>
        <v>45949.03749</v>
      </c>
      <c r="K1056" s="15">
        <f>IFERROR(__xludf.DUMMYFUNCTION("""COMPUTED_VALUE"""),45949.27628015916)</f>
        <v>45949.27628</v>
      </c>
      <c r="L1056" s="4"/>
    </row>
    <row r="1057">
      <c r="A1057" s="1">
        <f>IFERROR(__xludf.DUMMYFUNCTION("""COMPUTED_VALUE"""),1056.0)</f>
        <v>1056</v>
      </c>
      <c r="B1057" s="1">
        <f>IFERROR(__xludf.DUMMYFUNCTION("""COMPUTED_VALUE"""),5077.0)</f>
        <v>5077</v>
      </c>
      <c r="C1057" s="2" t="str">
        <f>IFERROR(__xludf.DUMMYFUNCTION("""COMPUTED_VALUE"""),"ridha")</f>
        <v>ridha</v>
      </c>
      <c r="D1057" s="2" t="str">
        <f>IFERROR(__xludf.DUMMYFUNCTION("""COMPUTED_VALUE"""),"5KM OVERALL F")</f>
        <v>5KM OVERALL F</v>
      </c>
      <c r="E1057" s="1">
        <f>IFERROR(__xludf.DUMMYFUNCTION("""COMPUTED_VALUE"""),234.0)</f>
        <v>234</v>
      </c>
      <c r="F1057" s="1" t="str">
        <f>IFERROR(__xludf.DUMMYFUNCTION("""COMPUTED_VALUE"""),"Female")</f>
        <v>Female</v>
      </c>
      <c r="G1057" s="5">
        <f>IFERROR(__xludf.DUMMYFUNCTION("""COMPUTED_VALUE"""),0.007498305555555555)</f>
        <v>0.007498305556</v>
      </c>
      <c r="H1057" s="15">
        <f>IFERROR(__xludf.DUMMYFUNCTION("""COMPUTED_VALUE"""),0.2549440625)</f>
        <v>0.2549440625</v>
      </c>
      <c r="I1057" s="15">
        <f>IFERROR(__xludf.DUMMYFUNCTION("""COMPUTED_VALUE"""),45949.2924355925)</f>
        <v>45949.29244</v>
      </c>
      <c r="J1057" s="15">
        <f>IFERROR(__xludf.DUMMYFUNCTION("""COMPUTED_VALUE"""),45949.03749153)</f>
        <v>45949.03749</v>
      </c>
      <c r="K1057" s="15">
        <f>IFERROR(__xludf.DUMMYFUNCTION("""COMPUTED_VALUE"""),45949.277554517175)</f>
        <v>45949.27755</v>
      </c>
      <c r="L1057" s="4"/>
    </row>
    <row r="1058">
      <c r="A1058" s="1">
        <f>IFERROR(__xludf.DUMMYFUNCTION("""COMPUTED_VALUE"""),1057.0)</f>
        <v>1057</v>
      </c>
      <c r="B1058" s="1">
        <f>IFERROR(__xludf.DUMMYFUNCTION("""COMPUTED_VALUE"""),7095.0)</f>
        <v>7095</v>
      </c>
      <c r="C1058" s="2" t="str">
        <f>IFERROR(__xludf.DUMMYFUNCTION("""COMPUTED_VALUE"""),"Hosy")</f>
        <v>Hosy</v>
      </c>
      <c r="D1058" s="2" t="str">
        <f>IFERROR(__xludf.DUMMYFUNCTION("""COMPUTED_VALUE"""),"5KM MASTER M")</f>
        <v>5KM MASTER M</v>
      </c>
      <c r="E1058" s="1">
        <f>IFERROR(__xludf.DUMMYFUNCTION("""COMPUTED_VALUE"""),78.0)</f>
        <v>78</v>
      </c>
      <c r="F1058" s="1" t="str">
        <f>IFERROR(__xludf.DUMMYFUNCTION("""COMPUTED_VALUE"""),"Male")</f>
        <v>Male</v>
      </c>
      <c r="G1058" s="5">
        <f>IFERROR(__xludf.DUMMYFUNCTION("""COMPUTED_VALUE"""),0.007499694444444445)</f>
        <v>0.007499694444</v>
      </c>
      <c r="H1058" s="15">
        <f>IFERROR(__xludf.DUMMYFUNCTION("""COMPUTED_VALUE"""),0.2549440625)</f>
        <v>0.2549440625</v>
      </c>
      <c r="I1058" s="15">
        <f>IFERROR(__xludf.DUMMYFUNCTION("""COMPUTED_VALUE"""),45949.29244253565)</f>
        <v>45949.29244</v>
      </c>
      <c r="J1058" s="15">
        <f>IFERROR(__xludf.DUMMYFUNCTION("""COMPUTED_VALUE"""),45949.037498473146)</f>
        <v>45949.0375</v>
      </c>
      <c r="K1058" s="15">
        <f>IFERROR(__xludf.DUMMYFUNCTION("""COMPUTED_VALUE"""),45949.277245490484)</f>
        <v>45949.27725</v>
      </c>
      <c r="L1058" s="4"/>
    </row>
    <row r="1059">
      <c r="A1059" s="1">
        <f>IFERROR(__xludf.DUMMYFUNCTION("""COMPUTED_VALUE"""),1058.0)</f>
        <v>1058</v>
      </c>
      <c r="B1059" s="1">
        <f>IFERROR(__xludf.DUMMYFUNCTION("""COMPUTED_VALUE"""),5152.0)</f>
        <v>5152</v>
      </c>
      <c r="C1059" s="2" t="str">
        <f>IFERROR(__xludf.DUMMYFUNCTION("""COMPUTED_VALUE"""),"asmana")</f>
        <v>asmana</v>
      </c>
      <c r="D1059" s="2" t="str">
        <f>IFERROR(__xludf.DUMMYFUNCTION("""COMPUTED_VALUE"""),"5KM OVERALL M")</f>
        <v>5KM OVERALL M</v>
      </c>
      <c r="E1059" s="1">
        <f>IFERROR(__xludf.DUMMYFUNCTION("""COMPUTED_VALUE"""),637.0)</f>
        <v>637</v>
      </c>
      <c r="F1059" s="1" t="str">
        <f>IFERROR(__xludf.DUMMYFUNCTION("""COMPUTED_VALUE"""),"Male")</f>
        <v>Male</v>
      </c>
      <c r="G1059" s="5">
        <f>IFERROR(__xludf.DUMMYFUNCTION("""COMPUTED_VALUE"""),0.007503166666666667)</f>
        <v>0.007503166667</v>
      </c>
      <c r="H1059" s="15">
        <f>IFERROR(__xludf.DUMMYFUNCTION("""COMPUTED_VALUE"""),0.2549440625)</f>
        <v>0.2549440625</v>
      </c>
      <c r="I1059" s="15">
        <f>IFERROR(__xludf.DUMMYFUNCTION("""COMPUTED_VALUE"""),45949.29245989652)</f>
        <v>45949.29246</v>
      </c>
      <c r="J1059" s="15">
        <f>IFERROR(__xludf.DUMMYFUNCTION("""COMPUTED_VALUE"""),45949.03751583402)</f>
        <v>45949.03752</v>
      </c>
      <c r="K1059" s="15">
        <f>IFERROR(__xludf.DUMMYFUNCTION("""COMPUTED_VALUE"""),45949.27761007252)</f>
        <v>45949.27761</v>
      </c>
      <c r="L1059" s="4"/>
    </row>
    <row r="1060">
      <c r="A1060" s="1">
        <f>IFERROR(__xludf.DUMMYFUNCTION("""COMPUTED_VALUE"""),1059.0)</f>
        <v>1059</v>
      </c>
      <c r="B1060" s="1">
        <f>IFERROR(__xludf.DUMMYFUNCTION("""COMPUTED_VALUE"""),5475.0)</f>
        <v>5475</v>
      </c>
      <c r="C1060" s="2" t="str">
        <f>IFERROR(__xludf.DUMMYFUNCTION("""COMPUTED_VALUE"""),"Ajay")</f>
        <v>Ajay</v>
      </c>
      <c r="D1060" s="2" t="str">
        <f>IFERROR(__xludf.DUMMYFUNCTION("""COMPUTED_VALUE"""),"5KM OVERALL M")</f>
        <v>5KM OVERALL M</v>
      </c>
      <c r="E1060" s="1">
        <f>IFERROR(__xludf.DUMMYFUNCTION("""COMPUTED_VALUE"""),638.0)</f>
        <v>638</v>
      </c>
      <c r="F1060" s="1" t="str">
        <f>IFERROR(__xludf.DUMMYFUNCTION("""COMPUTED_VALUE"""),"Male")</f>
        <v>Male</v>
      </c>
      <c r="G1060" s="5">
        <f>IFERROR(__xludf.DUMMYFUNCTION("""COMPUTED_VALUE"""),0.007503168981481481)</f>
        <v>0.007503168981</v>
      </c>
      <c r="H1060" s="15">
        <f>IFERROR(__xludf.DUMMYFUNCTION("""COMPUTED_VALUE"""),0.2549440625)</f>
        <v>0.2549440625</v>
      </c>
      <c r="I1060" s="15">
        <f>IFERROR(__xludf.DUMMYFUNCTION("""COMPUTED_VALUE"""),45949.292459908145)</f>
        <v>45949.29246</v>
      </c>
      <c r="J1060" s="15">
        <f>IFERROR(__xludf.DUMMYFUNCTION("""COMPUTED_VALUE"""),45949.037515845645)</f>
        <v>45949.03752</v>
      </c>
      <c r="K1060" s="15">
        <f>IFERROR(__xludf.DUMMYFUNCTION("""COMPUTED_VALUE"""),45949.27637747601)</f>
        <v>45949.27638</v>
      </c>
      <c r="L1060" s="4"/>
    </row>
    <row r="1061">
      <c r="A1061" s="1">
        <f>IFERROR(__xludf.DUMMYFUNCTION("""COMPUTED_VALUE"""),1060.0)</f>
        <v>1060</v>
      </c>
      <c r="B1061" s="1">
        <f>IFERROR(__xludf.DUMMYFUNCTION("""COMPUTED_VALUE"""),6577.0)</f>
        <v>6577</v>
      </c>
      <c r="C1061" s="2" t="str">
        <f>IFERROR(__xludf.DUMMYFUNCTION("""COMPUTED_VALUE"""),"M. Zulkarnain")</f>
        <v>M. Zulkarnain</v>
      </c>
      <c r="D1061" s="2" t="str">
        <f>IFERROR(__xludf.DUMMYFUNCTION("""COMPUTED_VALUE"""),"5KM OVERALL M")</f>
        <v>5KM OVERALL M</v>
      </c>
      <c r="E1061" s="1">
        <f>IFERROR(__xludf.DUMMYFUNCTION("""COMPUTED_VALUE"""),639.0)</f>
        <v>639</v>
      </c>
      <c r="F1061" s="1" t="str">
        <f>IFERROR(__xludf.DUMMYFUNCTION("""COMPUTED_VALUE"""),"Male")</f>
        <v>Male</v>
      </c>
      <c r="G1061" s="5">
        <f>IFERROR(__xludf.DUMMYFUNCTION("""COMPUTED_VALUE"""),0.007508722222222222)</f>
        <v>0.007508722222</v>
      </c>
      <c r="H1061" s="15">
        <f>IFERROR(__xludf.DUMMYFUNCTION("""COMPUTED_VALUE"""),0.2549440625)</f>
        <v>0.2549440625</v>
      </c>
      <c r="I1061" s="15">
        <f>IFERROR(__xludf.DUMMYFUNCTION("""COMPUTED_VALUE"""),45949.2924876692)</f>
        <v>45949.29249</v>
      </c>
      <c r="J1061" s="15">
        <f>IFERROR(__xludf.DUMMYFUNCTION("""COMPUTED_VALUE"""),45949.0375436067)</f>
        <v>45949.03754</v>
      </c>
      <c r="K1061" s="15">
        <f>IFERROR(__xludf.DUMMYFUNCTION("""COMPUTED_VALUE"""),45949.27698501893)</f>
        <v>45949.27699</v>
      </c>
      <c r="L1061" s="4"/>
    </row>
    <row r="1062">
      <c r="A1062" s="1">
        <f>IFERROR(__xludf.DUMMYFUNCTION("""COMPUTED_VALUE"""),1061.0)</f>
        <v>1061</v>
      </c>
      <c r="B1062" s="7" t="str">
        <f>IFERROR(__xludf.DUMMYFUNCTION("""COMPUTED_VALUE"""),"7158")</f>
        <v>7158</v>
      </c>
      <c r="C1062" s="8" t="str">
        <f>IFERROR(__xludf.DUMMYFUNCTION("""COMPUTED_VALUE"""),"PIHUL")</f>
        <v>PIHUL</v>
      </c>
      <c r="D1062" s="2" t="str">
        <f>IFERROR(__xludf.DUMMYFUNCTION("""COMPUTED_VALUE"""),"5KM MASTER M")</f>
        <v>5KM MASTER M</v>
      </c>
      <c r="E1062" s="1">
        <f>IFERROR(__xludf.DUMMYFUNCTION("""COMPUTED_VALUE"""),79.0)</f>
        <v>79</v>
      </c>
      <c r="F1062" s="1" t="str">
        <f>IFERROR(__xludf.DUMMYFUNCTION("""COMPUTED_VALUE"""),"Male")</f>
        <v>Male</v>
      </c>
      <c r="G1062" s="5">
        <f>IFERROR(__xludf.DUMMYFUNCTION("""COMPUTED_VALUE"""),0.007508724537037037)</f>
        <v>0.007508724537</v>
      </c>
      <c r="H1062" s="15">
        <f>IFERROR(__xludf.DUMMYFUNCTION("""COMPUTED_VALUE"""),0.2549440625)</f>
        <v>0.2549440625</v>
      </c>
      <c r="I1062" s="15">
        <f>IFERROR(__xludf.DUMMYFUNCTION("""COMPUTED_VALUE"""),45949.29248768123)</f>
        <v>45949.29249</v>
      </c>
      <c r="J1062" s="15">
        <f>IFERROR(__xludf.DUMMYFUNCTION("""COMPUTED_VALUE"""),45949.03754361873)</f>
        <v>45949.03754</v>
      </c>
      <c r="K1062" s="15">
        <f>IFERROR(__xludf.DUMMYFUNCTION("""COMPUTED_VALUE"""),45949.276412191524)</f>
        <v>45949.27641</v>
      </c>
      <c r="L1062" s="4"/>
    </row>
    <row r="1063">
      <c r="A1063" s="1">
        <f>IFERROR(__xludf.DUMMYFUNCTION("""COMPUTED_VALUE"""),1061.0)</f>
        <v>1061</v>
      </c>
      <c r="B1063" s="1">
        <f>IFERROR(__xludf.DUMMYFUNCTION("""COMPUTED_VALUE"""),6211.0)</f>
        <v>6211</v>
      </c>
      <c r="C1063" s="2" t="str">
        <f>IFERROR(__xludf.DUMMYFUNCTION("""COMPUTED_VALUE"""),"NORDIK")</f>
        <v>NORDIK</v>
      </c>
      <c r="D1063" s="2" t="str">
        <f>IFERROR(__xludf.DUMMYFUNCTION("""COMPUTED_VALUE"""),"5KM OVERALL M")</f>
        <v>5KM OVERALL M</v>
      </c>
      <c r="E1063" s="1">
        <f>IFERROR(__xludf.DUMMYFUNCTION("""COMPUTED_VALUE"""),640.0)</f>
        <v>640</v>
      </c>
      <c r="F1063" s="1" t="str">
        <f>IFERROR(__xludf.DUMMYFUNCTION("""COMPUTED_VALUE"""),"Male")</f>
        <v>Male</v>
      </c>
      <c r="G1063" s="5">
        <f>IFERROR(__xludf.DUMMYFUNCTION("""COMPUTED_VALUE"""),0.007508724537037037)</f>
        <v>0.007508724537</v>
      </c>
      <c r="H1063" s="15">
        <f>IFERROR(__xludf.DUMMYFUNCTION("""COMPUTED_VALUE"""),0.2549440625)</f>
        <v>0.2549440625</v>
      </c>
      <c r="I1063" s="15">
        <f>IFERROR(__xludf.DUMMYFUNCTION("""COMPUTED_VALUE"""),45949.29248768123)</f>
        <v>45949.29249</v>
      </c>
      <c r="J1063" s="15">
        <f>IFERROR(__xludf.DUMMYFUNCTION("""COMPUTED_VALUE"""),45949.03754361873)</f>
        <v>45949.03754</v>
      </c>
      <c r="K1063" s="15">
        <f>IFERROR(__xludf.DUMMYFUNCTION("""COMPUTED_VALUE"""),45949.27639480753)</f>
        <v>45949.27639</v>
      </c>
      <c r="L1063" s="4"/>
    </row>
    <row r="1064">
      <c r="A1064" s="1">
        <f>IFERROR(__xludf.DUMMYFUNCTION("""COMPUTED_VALUE"""),1063.0)</f>
        <v>1063</v>
      </c>
      <c r="B1064" s="7" t="str">
        <f>IFERROR(__xludf.DUMMYFUNCTION("""COMPUTED_VALUE"""),"7150")</f>
        <v>7150</v>
      </c>
      <c r="C1064" s="8" t="str">
        <f>IFERROR(__xludf.DUMMYFUNCTION("""COMPUTED_VALUE"""),"Syaipul Rahman")</f>
        <v>Syaipul Rahman</v>
      </c>
      <c r="D1064" s="2" t="str">
        <f>IFERROR(__xludf.DUMMYFUNCTION("""COMPUTED_VALUE"""),"5KM MASTER M")</f>
        <v>5KM MASTER M</v>
      </c>
      <c r="E1064" s="1">
        <f>IFERROR(__xludf.DUMMYFUNCTION("""COMPUTED_VALUE"""),80.0)</f>
        <v>80</v>
      </c>
      <c r="F1064" s="1" t="str">
        <f>IFERROR(__xludf.DUMMYFUNCTION("""COMPUTED_VALUE"""),"Male")</f>
        <v>Male</v>
      </c>
      <c r="G1064" s="5">
        <f>IFERROR(__xludf.DUMMYFUNCTION("""COMPUTED_VALUE"""),0.007509421296296297)</f>
        <v>0.007509421296</v>
      </c>
      <c r="H1064" s="15">
        <f>IFERROR(__xludf.DUMMYFUNCTION("""COMPUTED_VALUE"""),0.2549440625)</f>
        <v>0.2549440625</v>
      </c>
      <c r="I1064" s="15">
        <f>IFERROR(__xludf.DUMMYFUNCTION("""COMPUTED_VALUE"""),45949.29249116373)</f>
        <v>45949.29249</v>
      </c>
      <c r="J1064" s="15">
        <f>IFERROR(__xludf.DUMMYFUNCTION("""COMPUTED_VALUE"""),45949.03754710123)</f>
        <v>45949.03755</v>
      </c>
      <c r="K1064" s="15">
        <f>IFERROR(__xludf.DUMMYFUNCTION("""COMPUTED_VALUE"""),45949.275752396905)</f>
        <v>45949.27575</v>
      </c>
      <c r="L1064" s="4"/>
    </row>
    <row r="1065">
      <c r="A1065" s="1">
        <f>IFERROR(__xludf.DUMMYFUNCTION("""COMPUTED_VALUE"""),1064.0)</f>
        <v>1064</v>
      </c>
      <c r="B1065" s="1">
        <f>IFERROR(__xludf.DUMMYFUNCTION("""COMPUTED_VALUE"""),7079.0)</f>
        <v>7079</v>
      </c>
      <c r="C1065" s="2" t="str">
        <f>IFERROR(__xludf.DUMMYFUNCTION("""COMPUTED_VALUE"""),"Ranty Deasy")</f>
        <v>Ranty Deasy</v>
      </c>
      <c r="D1065" s="2" t="str">
        <f>IFERROR(__xludf.DUMMYFUNCTION("""COMPUTED_VALUE"""),"5KM MASTER F")</f>
        <v>5KM MASTER F</v>
      </c>
      <c r="E1065" s="1">
        <f>IFERROR(__xludf.DUMMYFUNCTION("""COMPUTED_VALUE"""),42.0)</f>
        <v>42</v>
      </c>
      <c r="F1065" s="1" t="str">
        <f>IFERROR(__xludf.DUMMYFUNCTION("""COMPUTED_VALUE"""),"Female")</f>
        <v>Female</v>
      </c>
      <c r="G1065" s="5">
        <f>IFERROR(__xludf.DUMMYFUNCTION("""COMPUTED_VALUE"""),0.00751080787037037)</f>
        <v>0.00751080787</v>
      </c>
      <c r="H1065" s="15">
        <f>IFERROR(__xludf.DUMMYFUNCTION("""COMPUTED_VALUE"""),0.2549440625)</f>
        <v>0.2549440625</v>
      </c>
      <c r="I1065" s="15">
        <f>IFERROR(__xludf.DUMMYFUNCTION("""COMPUTED_VALUE"""),45949.292498099254)</f>
        <v>45949.2925</v>
      </c>
      <c r="J1065" s="15">
        <f>IFERROR(__xludf.DUMMYFUNCTION("""COMPUTED_VALUE"""),45949.03755403675)</f>
        <v>45949.03755</v>
      </c>
      <c r="K1065" s="15">
        <f>IFERROR(__xludf.DUMMYFUNCTION("""COMPUTED_VALUE"""),45949.27690519524)</f>
        <v>45949.27691</v>
      </c>
      <c r="L1065" s="4"/>
    </row>
    <row r="1066">
      <c r="A1066" s="1">
        <f>IFERROR(__xludf.DUMMYFUNCTION("""COMPUTED_VALUE"""),1065.0)</f>
        <v>1065</v>
      </c>
      <c r="B1066" s="1">
        <f>IFERROR(__xludf.DUMMYFUNCTION("""COMPUTED_VALUE"""),6103.0)</f>
        <v>6103</v>
      </c>
      <c r="C1066" s="2" t="str">
        <f>IFERROR(__xludf.DUMMYFUNCTION("""COMPUTED_VALUE"""),"MARCEL")</f>
        <v>MARCEL</v>
      </c>
      <c r="D1066" s="2" t="str">
        <f>IFERROR(__xludf.DUMMYFUNCTION("""COMPUTED_VALUE"""),"5KM OVERALL M")</f>
        <v>5KM OVERALL M</v>
      </c>
      <c r="E1066" s="1">
        <f>IFERROR(__xludf.DUMMYFUNCTION("""COMPUTED_VALUE"""),641.0)</f>
        <v>641</v>
      </c>
      <c r="F1066" s="1" t="str">
        <f>IFERROR(__xludf.DUMMYFUNCTION("""COMPUTED_VALUE"""),"Male")</f>
        <v>Male</v>
      </c>
      <c r="G1066" s="5">
        <f>IFERROR(__xludf.DUMMYFUNCTION("""COMPUTED_VALUE"""),0.007512891203703703)</f>
        <v>0.007512891204</v>
      </c>
      <c r="H1066" s="15">
        <f>IFERROR(__xludf.DUMMYFUNCTION("""COMPUTED_VALUE"""),0.2549440625)</f>
        <v>0.2549440625</v>
      </c>
      <c r="I1066" s="15">
        <f>IFERROR(__xludf.DUMMYFUNCTION("""COMPUTED_VALUE"""),45949.29250851379)</f>
        <v>45949.29251</v>
      </c>
      <c r="J1066" s="15">
        <f>IFERROR(__xludf.DUMMYFUNCTION("""COMPUTED_VALUE"""),45949.03756445129)</f>
        <v>45949.03756</v>
      </c>
      <c r="K1066" s="15">
        <f>IFERROR(__xludf.DUMMYFUNCTION("""COMPUTED_VALUE"""),45949.27626286986)</f>
        <v>45949.27626</v>
      </c>
      <c r="L1066" s="4"/>
    </row>
    <row r="1067">
      <c r="A1067" s="1">
        <f>IFERROR(__xludf.DUMMYFUNCTION("""COMPUTED_VALUE"""),1066.0)</f>
        <v>1066</v>
      </c>
      <c r="B1067" s="1">
        <f>IFERROR(__xludf.DUMMYFUNCTION("""COMPUTED_VALUE"""),6537.0)</f>
        <v>6537</v>
      </c>
      <c r="C1067" s="2" t="str">
        <f>IFERROR(__xludf.DUMMYFUNCTION("""COMPUTED_VALUE"""),"YULIA RAMADHANA")</f>
        <v>YULIA RAMADHANA</v>
      </c>
      <c r="D1067" s="2" t="str">
        <f>IFERROR(__xludf.DUMMYFUNCTION("""COMPUTED_VALUE"""),"5KM OVERALL F")</f>
        <v>5KM OVERALL F</v>
      </c>
      <c r="E1067" s="1">
        <f>IFERROR(__xludf.DUMMYFUNCTION("""COMPUTED_VALUE"""),235.0)</f>
        <v>235</v>
      </c>
      <c r="F1067" s="1" t="str">
        <f>IFERROR(__xludf.DUMMYFUNCTION("""COMPUTED_VALUE"""),"Female")</f>
        <v>Female</v>
      </c>
      <c r="G1067" s="5">
        <f>IFERROR(__xludf.DUMMYFUNCTION("""COMPUTED_VALUE"""),0.007517055555555556)</f>
        <v>0.007517055556</v>
      </c>
      <c r="H1067" s="15">
        <f>IFERROR(__xludf.DUMMYFUNCTION("""COMPUTED_VALUE"""),0.2549440625)</f>
        <v>0.2549440625</v>
      </c>
      <c r="I1067" s="15">
        <f>IFERROR(__xludf.DUMMYFUNCTION("""COMPUTED_VALUE"""),45949.29252934108)</f>
        <v>45949.29253</v>
      </c>
      <c r="J1067" s="15">
        <f>IFERROR(__xludf.DUMMYFUNCTION("""COMPUTED_VALUE"""),45949.03758527858)</f>
        <v>45949.03759</v>
      </c>
      <c r="K1067" s="15">
        <f>IFERROR(__xludf.DUMMYFUNCTION("""COMPUTED_VALUE"""),45949.27648508377)</f>
        <v>45949.27649</v>
      </c>
      <c r="L1067" s="4"/>
    </row>
    <row r="1068">
      <c r="A1068" s="1">
        <f>IFERROR(__xludf.DUMMYFUNCTION("""COMPUTED_VALUE"""),1067.0)</f>
        <v>1067</v>
      </c>
      <c r="B1068" s="1">
        <f>IFERROR(__xludf.DUMMYFUNCTION("""COMPUTED_VALUE"""),5069.0)</f>
        <v>5069</v>
      </c>
      <c r="C1068" s="2" t="str">
        <f>IFERROR(__xludf.DUMMYFUNCTION("""COMPUTED_VALUE"""),"Reza Ariandy")</f>
        <v>Reza Ariandy</v>
      </c>
      <c r="D1068" s="2" t="str">
        <f>IFERROR(__xludf.DUMMYFUNCTION("""COMPUTED_VALUE"""),"5KM OVERALL M")</f>
        <v>5KM OVERALL M</v>
      </c>
      <c r="E1068" s="1">
        <f>IFERROR(__xludf.DUMMYFUNCTION("""COMPUTED_VALUE"""),642.0)</f>
        <v>642</v>
      </c>
      <c r="F1068" s="1" t="str">
        <f>IFERROR(__xludf.DUMMYFUNCTION("""COMPUTED_VALUE"""),"Male")</f>
        <v>Male</v>
      </c>
      <c r="G1068" s="5">
        <f>IFERROR(__xludf.DUMMYFUNCTION("""COMPUTED_VALUE"""),0.007518444444444444)</f>
        <v>0.007518444444</v>
      </c>
      <c r="H1068" s="15">
        <f>IFERROR(__xludf.DUMMYFUNCTION("""COMPUTED_VALUE"""),0.2549440625)</f>
        <v>0.2549440625</v>
      </c>
      <c r="I1068" s="15">
        <f>IFERROR(__xludf.DUMMYFUNCTION("""COMPUTED_VALUE"""),45949.29253628797)</f>
        <v>45949.29254</v>
      </c>
      <c r="J1068" s="15">
        <f>IFERROR(__xludf.DUMMYFUNCTION("""COMPUTED_VALUE"""),45949.03759222547)</f>
        <v>45949.03759</v>
      </c>
      <c r="K1068" s="15">
        <f>IFERROR(__xludf.DUMMYFUNCTION("""COMPUTED_VALUE"""),45950.276504629626)</f>
        <v>45950.2765</v>
      </c>
      <c r="L1068" s="4"/>
    </row>
    <row r="1069">
      <c r="A1069" s="1">
        <f>IFERROR(__xludf.DUMMYFUNCTION("""COMPUTED_VALUE"""),1068.0)</f>
        <v>1068</v>
      </c>
      <c r="B1069" s="1">
        <f>IFERROR(__xludf.DUMMYFUNCTION("""COMPUTED_VALUE"""),5525.0)</f>
        <v>5525</v>
      </c>
      <c r="C1069" s="2" t="str">
        <f>IFERROR(__xludf.DUMMYFUNCTION("""COMPUTED_VALUE"""),"Nida Mufidah")</f>
        <v>Nida Mufidah</v>
      </c>
      <c r="D1069" s="2" t="str">
        <f>IFERROR(__xludf.DUMMYFUNCTION("""COMPUTED_VALUE"""),"5KM OVERALL F")</f>
        <v>5KM OVERALL F</v>
      </c>
      <c r="E1069" s="1">
        <f>IFERROR(__xludf.DUMMYFUNCTION("""COMPUTED_VALUE"""),236.0)</f>
        <v>236</v>
      </c>
      <c r="F1069" s="1" t="str">
        <f>IFERROR(__xludf.DUMMYFUNCTION("""COMPUTED_VALUE"""),"Female")</f>
        <v>Female</v>
      </c>
      <c r="G1069" s="5">
        <f>IFERROR(__xludf.DUMMYFUNCTION("""COMPUTED_VALUE"""),0.007520530092592593)</f>
        <v>0.007520530093</v>
      </c>
      <c r="H1069" s="15">
        <f>IFERROR(__xludf.DUMMYFUNCTION("""COMPUTED_VALUE"""),0.2549440625)</f>
        <v>0.2549440625</v>
      </c>
      <c r="I1069" s="15">
        <f>IFERROR(__xludf.DUMMYFUNCTION("""COMPUTED_VALUE"""),45949.29254671301)</f>
        <v>45949.29255</v>
      </c>
      <c r="J1069" s="15">
        <f>IFERROR(__xludf.DUMMYFUNCTION("""COMPUTED_VALUE"""),45949.03760265051)</f>
        <v>45949.0376</v>
      </c>
      <c r="K1069" s="15">
        <f>IFERROR(__xludf.DUMMYFUNCTION("""COMPUTED_VALUE"""),45949.27636354469)</f>
        <v>45949.27636</v>
      </c>
      <c r="L1069" s="4"/>
    </row>
    <row r="1070">
      <c r="A1070" s="1">
        <f>IFERROR(__xludf.DUMMYFUNCTION("""COMPUTED_VALUE"""),1068.0)</f>
        <v>1068</v>
      </c>
      <c r="B1070" s="7" t="str">
        <f>IFERROR(__xludf.DUMMYFUNCTION("""COMPUTED_VALUE"""),"9034")</f>
        <v>9034</v>
      </c>
      <c r="C1070" s="8" t="str">
        <f>IFERROR(__xludf.DUMMYFUNCTION("""COMPUTED_VALUE"""),"Renita Dwi Ramadina")</f>
        <v>Renita Dwi Ramadina</v>
      </c>
      <c r="D1070" s="2" t="str">
        <f>IFERROR(__xludf.DUMMYFUNCTION("""COMPUTED_VALUE"""),"5KM STUDENT F")</f>
        <v>5KM STUDENT F</v>
      </c>
      <c r="E1070" s="1">
        <f>IFERROR(__xludf.DUMMYFUNCTION("""COMPUTED_VALUE"""),8.0)</f>
        <v>8</v>
      </c>
      <c r="F1070" s="1" t="str">
        <f>IFERROR(__xludf.DUMMYFUNCTION("""COMPUTED_VALUE"""),"Female")</f>
        <v>Female</v>
      </c>
      <c r="G1070" s="5">
        <f>IFERROR(__xludf.DUMMYFUNCTION("""COMPUTED_VALUE"""),0.007520530092592593)</f>
        <v>0.007520530093</v>
      </c>
      <c r="H1070" s="15">
        <f>IFERROR(__xludf.DUMMYFUNCTION("""COMPUTED_VALUE"""),0.2549440625)</f>
        <v>0.2549440625</v>
      </c>
      <c r="I1070" s="15">
        <f>IFERROR(__xludf.DUMMYFUNCTION("""COMPUTED_VALUE"""),45949.29254671301)</f>
        <v>45949.29255</v>
      </c>
      <c r="J1070" s="15">
        <f>IFERROR(__xludf.DUMMYFUNCTION("""COMPUTED_VALUE"""),45949.03760265051)</f>
        <v>45949.0376</v>
      </c>
      <c r="K1070" s="15">
        <f>IFERROR(__xludf.DUMMYFUNCTION("""COMPUTED_VALUE"""),45949.27631140979)</f>
        <v>45949.27631</v>
      </c>
      <c r="L1070" s="4"/>
    </row>
    <row r="1071">
      <c r="A1071" s="1">
        <f>IFERROR(__xludf.DUMMYFUNCTION("""COMPUTED_VALUE"""),1070.0)</f>
        <v>1070</v>
      </c>
      <c r="B1071" s="1">
        <f>IFERROR(__xludf.DUMMYFUNCTION("""COMPUTED_VALUE"""),5333.0)</f>
        <v>5333</v>
      </c>
      <c r="C1071" s="2" t="str">
        <f>IFERROR(__xludf.DUMMYFUNCTION("""COMPUTED_VALUE"""),"Amril")</f>
        <v>Amril</v>
      </c>
      <c r="D1071" s="2" t="str">
        <f>IFERROR(__xludf.DUMMYFUNCTION("""COMPUTED_VALUE"""),"5KM OVERALL M")</f>
        <v>5KM OVERALL M</v>
      </c>
      <c r="E1071" s="1">
        <f>IFERROR(__xludf.DUMMYFUNCTION("""COMPUTED_VALUE"""),643.0)</f>
        <v>643</v>
      </c>
      <c r="F1071" s="1" t="str">
        <f>IFERROR(__xludf.DUMMYFUNCTION("""COMPUTED_VALUE"""),"Male")</f>
        <v>Male</v>
      </c>
      <c r="G1071" s="5">
        <f>IFERROR(__xludf.DUMMYFUNCTION("""COMPUTED_VALUE"""),0.007521918981481482)</f>
        <v>0.007521918981</v>
      </c>
      <c r="H1071" s="15">
        <f>IFERROR(__xludf.DUMMYFUNCTION("""COMPUTED_VALUE"""),0.2549440625)</f>
        <v>0.2549440625</v>
      </c>
      <c r="I1071" s="15">
        <f>IFERROR(__xludf.DUMMYFUNCTION("""COMPUTED_VALUE"""),45949.29255365851)</f>
        <v>45949.29255</v>
      </c>
      <c r="J1071" s="15">
        <f>IFERROR(__xludf.DUMMYFUNCTION("""COMPUTED_VALUE"""),45949.03760959601)</f>
        <v>45949.03761</v>
      </c>
      <c r="K1071" s="15">
        <f>IFERROR(__xludf.DUMMYFUNCTION("""COMPUTED_VALUE"""),45949.27665170185)</f>
        <v>45949.27665</v>
      </c>
      <c r="L1071" s="4"/>
    </row>
    <row r="1072">
      <c r="A1072" s="1">
        <f>IFERROR(__xludf.DUMMYFUNCTION("""COMPUTED_VALUE"""),1071.0)</f>
        <v>1071</v>
      </c>
      <c r="B1072" s="1">
        <f>IFERROR(__xludf.DUMMYFUNCTION("""COMPUTED_VALUE"""),5216.0)</f>
        <v>5216</v>
      </c>
      <c r="C1072" s="2" t="str">
        <f>IFERROR(__xludf.DUMMYFUNCTION("""COMPUTED_VALUE"""),"Helda")</f>
        <v>Helda</v>
      </c>
      <c r="D1072" s="2" t="str">
        <f>IFERROR(__xludf.DUMMYFUNCTION("""COMPUTED_VALUE"""),"5KM OVERALL F")</f>
        <v>5KM OVERALL F</v>
      </c>
      <c r="E1072" s="1">
        <f>IFERROR(__xludf.DUMMYFUNCTION("""COMPUTED_VALUE"""),237.0)</f>
        <v>237</v>
      </c>
      <c r="F1072" s="1" t="str">
        <f>IFERROR(__xludf.DUMMYFUNCTION("""COMPUTED_VALUE"""),"Female")</f>
        <v>Female</v>
      </c>
      <c r="G1072" s="5">
        <f>IFERROR(__xludf.DUMMYFUNCTION("""COMPUTED_VALUE"""),0.00752261574074074)</f>
        <v>0.007522615741</v>
      </c>
      <c r="H1072" s="15">
        <f>IFERROR(__xludf.DUMMYFUNCTION("""COMPUTED_VALUE"""),0.2549440625)</f>
        <v>0.2549440625</v>
      </c>
      <c r="I1072" s="15">
        <f>IFERROR(__xludf.DUMMYFUNCTION("""COMPUTED_VALUE"""),45949.29255713959)</f>
        <v>45949.29256</v>
      </c>
      <c r="J1072" s="15">
        <f>IFERROR(__xludf.DUMMYFUNCTION("""COMPUTED_VALUE"""),45949.03761307709)</f>
        <v>45949.03761</v>
      </c>
      <c r="K1072" s="15">
        <f>IFERROR(__xludf.DUMMYFUNCTION("""COMPUTED_VALUE"""),45950.27587962963)</f>
        <v>45950.27588</v>
      </c>
      <c r="L1072" s="4"/>
    </row>
    <row r="1073">
      <c r="A1073" s="1">
        <f>IFERROR(__xludf.DUMMYFUNCTION("""COMPUTED_VALUE"""),1072.0)</f>
        <v>1072</v>
      </c>
      <c r="B1073" s="1">
        <f>IFERROR(__xludf.DUMMYFUNCTION("""COMPUTED_VALUE"""),6538.0)</f>
        <v>6538</v>
      </c>
      <c r="C1073" s="2" t="str">
        <f>IFERROR(__xludf.DUMMYFUNCTION("""COMPUTED_VALUE"""),"FATIMAH KHALDA")</f>
        <v>FATIMAH KHALDA</v>
      </c>
      <c r="D1073" s="2" t="str">
        <f>IFERROR(__xludf.DUMMYFUNCTION("""COMPUTED_VALUE"""),"5KM OVERALL M")</f>
        <v>5KM OVERALL M</v>
      </c>
      <c r="E1073" s="1">
        <f>IFERROR(__xludf.DUMMYFUNCTION("""COMPUTED_VALUE"""),644.0)</f>
        <v>644</v>
      </c>
      <c r="F1073" s="1" t="str">
        <f>IFERROR(__xludf.DUMMYFUNCTION("""COMPUTED_VALUE"""),"Male")</f>
        <v>Male</v>
      </c>
      <c r="G1073" s="5">
        <f>IFERROR(__xludf.DUMMYFUNCTION("""COMPUTED_VALUE"""),0.007524694444444445)</f>
        <v>0.007524694444</v>
      </c>
      <c r="H1073" s="15">
        <f>IFERROR(__xludf.DUMMYFUNCTION("""COMPUTED_VALUE"""),0.2549440625)</f>
        <v>0.2549440625</v>
      </c>
      <c r="I1073" s="15">
        <f>IFERROR(__xludf.DUMMYFUNCTION("""COMPUTED_VALUE"""),45949.29256753183)</f>
        <v>45949.29257</v>
      </c>
      <c r="J1073" s="15">
        <f>IFERROR(__xludf.DUMMYFUNCTION("""COMPUTED_VALUE"""),45949.03762346933)</f>
        <v>45949.03762</v>
      </c>
      <c r="K1073" s="15">
        <f>IFERROR(__xludf.DUMMYFUNCTION("""COMPUTED_VALUE"""),45949.27652670036)</f>
        <v>45949.27653</v>
      </c>
      <c r="L1073" s="4"/>
    </row>
    <row r="1074">
      <c r="A1074" s="1">
        <f>IFERROR(__xludf.DUMMYFUNCTION("""COMPUTED_VALUE"""),1073.0)</f>
        <v>1073</v>
      </c>
      <c r="B1074" s="1">
        <f>IFERROR(__xludf.DUMMYFUNCTION("""COMPUTED_VALUE"""),5362.0)</f>
        <v>5362</v>
      </c>
      <c r="C1074" s="2" t="str">
        <f>IFERROR(__xludf.DUMMYFUNCTION("""COMPUTED_VALUE"""),"Aditya Bayu")</f>
        <v>Aditya Bayu</v>
      </c>
      <c r="D1074" s="2" t="str">
        <f>IFERROR(__xludf.DUMMYFUNCTION("""COMPUTED_VALUE"""),"5KM OVERALL M")</f>
        <v>5KM OVERALL M</v>
      </c>
      <c r="E1074" s="1">
        <f>IFERROR(__xludf.DUMMYFUNCTION("""COMPUTED_VALUE"""),645.0)</f>
        <v>645</v>
      </c>
      <c r="F1074" s="1" t="str">
        <f>IFERROR(__xludf.DUMMYFUNCTION("""COMPUTED_VALUE"""),"Male")</f>
        <v>Male</v>
      </c>
      <c r="G1074" s="5">
        <f>IFERROR(__xludf.DUMMYFUNCTION("""COMPUTED_VALUE"""),0.007526083333333333)</f>
        <v>0.007526083333</v>
      </c>
      <c r="H1074" s="15">
        <f>IFERROR(__xludf.DUMMYFUNCTION("""COMPUTED_VALUE"""),0.2549440625)</f>
        <v>0.2549440625</v>
      </c>
      <c r="I1074" s="15">
        <f>IFERROR(__xludf.DUMMYFUNCTION("""COMPUTED_VALUE"""),45949.29257447765)</f>
        <v>45949.29257</v>
      </c>
      <c r="J1074" s="15">
        <f>IFERROR(__xludf.DUMMYFUNCTION("""COMPUTED_VALUE"""),45949.03763041515)</f>
        <v>45949.03763</v>
      </c>
      <c r="K1074" s="15">
        <f>IFERROR(__xludf.DUMMYFUNCTION("""COMPUTED_VALUE"""),45949.27627670234)</f>
        <v>45949.27628</v>
      </c>
      <c r="L1074" s="4"/>
    </row>
    <row r="1075">
      <c r="A1075" s="1">
        <f>IFERROR(__xludf.DUMMYFUNCTION("""COMPUTED_VALUE"""),1074.0)</f>
        <v>1074</v>
      </c>
      <c r="B1075" s="1">
        <f>IFERROR(__xludf.DUMMYFUNCTION("""COMPUTED_VALUE"""),5648.0)</f>
        <v>5648</v>
      </c>
      <c r="C1075" s="2" t="str">
        <f>IFERROR(__xludf.DUMMYFUNCTION("""COMPUTED_VALUE"""),"ykziramin")</f>
        <v>ykziramin</v>
      </c>
      <c r="D1075" s="2" t="str">
        <f>IFERROR(__xludf.DUMMYFUNCTION("""COMPUTED_VALUE"""),"5KM OVERALL F")</f>
        <v>5KM OVERALL F</v>
      </c>
      <c r="E1075" s="1">
        <f>IFERROR(__xludf.DUMMYFUNCTION("""COMPUTED_VALUE"""),238.0)</f>
        <v>238</v>
      </c>
      <c r="F1075" s="1" t="str">
        <f>IFERROR(__xludf.DUMMYFUNCTION("""COMPUTED_VALUE"""),"Female")</f>
        <v>Female</v>
      </c>
      <c r="G1075" s="5">
        <f>IFERROR(__xludf.DUMMYFUNCTION("""COMPUTED_VALUE"""),0.007533724537037037)</f>
        <v>0.007533724537</v>
      </c>
      <c r="H1075" s="15">
        <f>IFERROR(__xludf.DUMMYFUNCTION("""COMPUTED_VALUE"""),0.2549440625)</f>
        <v>0.2549440625</v>
      </c>
      <c r="I1075" s="15">
        <f>IFERROR(__xludf.DUMMYFUNCTION("""COMPUTED_VALUE"""),45949.292612683)</f>
        <v>45949.29261</v>
      </c>
      <c r="J1075" s="15">
        <f>IFERROR(__xludf.DUMMYFUNCTION("""COMPUTED_VALUE"""),45949.0376686205)</f>
        <v>45949.03767</v>
      </c>
      <c r="K1075" s="15">
        <f>IFERROR(__xludf.DUMMYFUNCTION("""COMPUTED_VALUE"""),45949.277623923976)</f>
        <v>45949.27762</v>
      </c>
      <c r="L1075" s="4"/>
    </row>
    <row r="1076">
      <c r="A1076" s="1">
        <f>IFERROR(__xludf.DUMMYFUNCTION("""COMPUTED_VALUE"""),1075.0)</f>
        <v>1075</v>
      </c>
      <c r="B1076" s="1">
        <f>IFERROR(__xludf.DUMMYFUNCTION("""COMPUTED_VALUE"""),5960.0)</f>
        <v>5960</v>
      </c>
      <c r="C1076" s="2" t="str">
        <f>IFERROR(__xludf.DUMMYFUNCTION("""COMPUTED_VALUE"""),"ITA")</f>
        <v>ITA</v>
      </c>
      <c r="D1076" s="2" t="str">
        <f>IFERROR(__xludf.DUMMYFUNCTION("""COMPUTED_VALUE"""),"5KM OVERALL F")</f>
        <v>5KM OVERALL F</v>
      </c>
      <c r="E1076" s="1">
        <f>IFERROR(__xludf.DUMMYFUNCTION("""COMPUTED_VALUE"""),239.0)</f>
        <v>239</v>
      </c>
      <c r="F1076" s="1" t="str">
        <f>IFERROR(__xludf.DUMMYFUNCTION("""COMPUTED_VALUE"""),"Female")</f>
        <v>Female</v>
      </c>
      <c r="G1076" s="5">
        <f>IFERROR(__xludf.DUMMYFUNCTION("""COMPUTED_VALUE"""),0.007535263888888889)</f>
        <v>0.007535263889</v>
      </c>
      <c r="H1076" s="15">
        <f>IFERROR(__xludf.DUMMYFUNCTION("""COMPUTED_VALUE"""),0.2549440625)</f>
        <v>0.2549440625</v>
      </c>
      <c r="I1076" s="15">
        <f>IFERROR(__xludf.DUMMYFUNCTION("""COMPUTED_VALUE"""),45949.29262038698)</f>
        <v>45949.29262</v>
      </c>
      <c r="J1076" s="15">
        <f>IFERROR(__xludf.DUMMYFUNCTION("""COMPUTED_VALUE"""),45949.03767632448)</f>
        <v>45949.03768</v>
      </c>
      <c r="K1076" s="15">
        <f>IFERROR(__xludf.DUMMYFUNCTION("""COMPUTED_VALUE"""),45949.27743301057)</f>
        <v>45949.27743</v>
      </c>
      <c r="L1076" s="4"/>
    </row>
    <row r="1077">
      <c r="A1077" s="1">
        <f>IFERROR(__xludf.DUMMYFUNCTION("""COMPUTED_VALUE"""),1076.0)</f>
        <v>1076</v>
      </c>
      <c r="B1077" s="1">
        <f>IFERROR(__xludf.DUMMYFUNCTION("""COMPUTED_VALUE"""),5933.0)</f>
        <v>5933</v>
      </c>
      <c r="C1077" s="2" t="str">
        <f>IFERROR(__xludf.DUMMYFUNCTION("""COMPUTED_VALUE"""),"Ulfah Inaya")</f>
        <v>Ulfah Inaya</v>
      </c>
      <c r="D1077" s="2" t="str">
        <f>IFERROR(__xludf.DUMMYFUNCTION("""COMPUTED_VALUE"""),"5KM OVERALL F")</f>
        <v>5KM OVERALL F</v>
      </c>
      <c r="E1077" s="1">
        <f>IFERROR(__xludf.DUMMYFUNCTION("""COMPUTED_VALUE"""),240.0)</f>
        <v>240</v>
      </c>
      <c r="F1077" s="1" t="str">
        <f>IFERROR(__xludf.DUMMYFUNCTION("""COMPUTED_VALUE"""),"Female")</f>
        <v>Female</v>
      </c>
      <c r="G1077" s="5">
        <f>IFERROR(__xludf.DUMMYFUNCTION("""COMPUTED_VALUE"""),0.007537194444444445)</f>
        <v>0.007537194444</v>
      </c>
      <c r="H1077" s="15">
        <f>IFERROR(__xludf.DUMMYFUNCTION("""COMPUTED_VALUE"""),0.2549440625)</f>
        <v>0.2549440625</v>
      </c>
      <c r="I1077" s="15">
        <f>IFERROR(__xludf.DUMMYFUNCTION("""COMPUTED_VALUE"""),45949.29263003237)</f>
        <v>45949.29263</v>
      </c>
      <c r="J1077" s="15">
        <f>IFERROR(__xludf.DUMMYFUNCTION("""COMPUTED_VALUE"""),45949.037685969866)</f>
        <v>45949.03769</v>
      </c>
      <c r="K1077" s="15">
        <f>IFERROR(__xludf.DUMMYFUNCTION("""COMPUTED_VALUE"""),45949.276363556186)</f>
        <v>45949.27636</v>
      </c>
      <c r="L1077" s="4"/>
    </row>
    <row r="1078">
      <c r="A1078" s="1">
        <f>IFERROR(__xludf.DUMMYFUNCTION("""COMPUTED_VALUE"""),1077.0)</f>
        <v>1077</v>
      </c>
      <c r="B1078" s="1">
        <f>IFERROR(__xludf.DUMMYFUNCTION("""COMPUTED_VALUE"""),5873.0)</f>
        <v>5873</v>
      </c>
      <c r="C1078" s="2" t="str">
        <f>IFERROR(__xludf.DUMMYFUNCTION("""COMPUTED_VALUE"""),"Najiha Tantri Yuniati")</f>
        <v>Najiha Tantri Yuniati</v>
      </c>
      <c r="D1078" s="2" t="str">
        <f>IFERROR(__xludf.DUMMYFUNCTION("""COMPUTED_VALUE"""),"5KM OVERALL F")</f>
        <v>5KM OVERALL F</v>
      </c>
      <c r="E1078" s="1">
        <f>IFERROR(__xludf.DUMMYFUNCTION("""COMPUTED_VALUE"""),241.0)</f>
        <v>241</v>
      </c>
      <c r="F1078" s="1" t="str">
        <f>IFERROR(__xludf.DUMMYFUNCTION("""COMPUTED_VALUE"""),"Female")</f>
        <v>Female</v>
      </c>
      <c r="G1078" s="5">
        <f>IFERROR(__xludf.DUMMYFUNCTION("""COMPUTED_VALUE"""),0.00753719675925926)</f>
        <v>0.007537196759</v>
      </c>
      <c r="H1078" s="15">
        <f>IFERROR(__xludf.DUMMYFUNCTION("""COMPUTED_VALUE"""),0.2549440625)</f>
        <v>0.2549440625</v>
      </c>
      <c r="I1078" s="15">
        <f>IFERROR(__xludf.DUMMYFUNCTION("""COMPUTED_VALUE"""),45949.292630049815)</f>
        <v>45949.29263</v>
      </c>
      <c r="J1078" s="15">
        <f>IFERROR(__xludf.DUMMYFUNCTION("""COMPUTED_VALUE"""),45949.037685987314)</f>
        <v>45949.03769</v>
      </c>
      <c r="K1078" s="15">
        <f>IFERROR(__xludf.DUMMYFUNCTION("""COMPUTED_VALUE"""),45949.27708919945)</f>
        <v>45949.27709</v>
      </c>
      <c r="L1078" s="4"/>
    </row>
    <row r="1079">
      <c r="A1079" s="1">
        <f>IFERROR(__xludf.DUMMYFUNCTION("""COMPUTED_VALUE"""),1078.0)</f>
        <v>1078</v>
      </c>
      <c r="B1079" s="1">
        <f>IFERROR(__xludf.DUMMYFUNCTION("""COMPUTED_VALUE"""),5646.0)</f>
        <v>5646</v>
      </c>
      <c r="C1079" s="2" t="str">
        <f>IFERROR(__xludf.DUMMYFUNCTION("""COMPUTED_VALUE"""),"kamil")</f>
        <v>kamil</v>
      </c>
      <c r="D1079" s="2" t="str">
        <f>IFERROR(__xludf.DUMMYFUNCTION("""COMPUTED_VALUE"""),"5KM OVERALL M")</f>
        <v>5KM OVERALL M</v>
      </c>
      <c r="E1079" s="1">
        <f>IFERROR(__xludf.DUMMYFUNCTION("""COMPUTED_VALUE"""),646.0)</f>
        <v>646</v>
      </c>
      <c r="F1079" s="1" t="str">
        <f>IFERROR(__xludf.DUMMYFUNCTION("""COMPUTED_VALUE"""),"Male")</f>
        <v>Male</v>
      </c>
      <c r="G1079" s="5">
        <f>IFERROR(__xludf.DUMMYFUNCTION("""COMPUTED_VALUE"""),0.007539277777777778)</f>
        <v>0.007539277778</v>
      </c>
      <c r="H1079" s="15">
        <f>IFERROR(__xludf.DUMMYFUNCTION("""COMPUTED_VALUE"""),0.2549440625)</f>
        <v>0.2549440625</v>
      </c>
      <c r="I1079" s="15">
        <f>IFERROR(__xludf.DUMMYFUNCTION("""COMPUTED_VALUE"""),45949.292640452564)</f>
        <v>45949.29264</v>
      </c>
      <c r="J1079" s="15">
        <f>IFERROR(__xludf.DUMMYFUNCTION("""COMPUTED_VALUE"""),45949.03769639006)</f>
        <v>45949.0377</v>
      </c>
      <c r="K1079" s="15">
        <f>IFERROR(__xludf.DUMMYFUNCTION("""COMPUTED_VALUE"""),45949.27761350004)</f>
        <v>45949.27761</v>
      </c>
      <c r="L1079" s="4"/>
    </row>
    <row r="1080">
      <c r="A1080" s="1">
        <f>IFERROR(__xludf.DUMMYFUNCTION("""COMPUTED_VALUE"""),1079.0)</f>
        <v>1079</v>
      </c>
      <c r="B1080" s="1">
        <f>IFERROR(__xludf.DUMMYFUNCTION("""COMPUTED_VALUE"""),5781.0)</f>
        <v>5781</v>
      </c>
      <c r="C1080" s="2" t="str">
        <f>IFERROR(__xludf.DUMMYFUNCTION("""COMPUTED_VALUE"""),"Padang")</f>
        <v>Padang</v>
      </c>
      <c r="D1080" s="2" t="str">
        <f>IFERROR(__xludf.DUMMYFUNCTION("""COMPUTED_VALUE"""),"5KM OVERALL F")</f>
        <v>5KM OVERALL F</v>
      </c>
      <c r="E1080" s="1">
        <f>IFERROR(__xludf.DUMMYFUNCTION("""COMPUTED_VALUE"""),242.0)</f>
        <v>242</v>
      </c>
      <c r="F1080" s="1" t="str">
        <f>IFERROR(__xludf.DUMMYFUNCTION("""COMPUTED_VALUE"""),"Female")</f>
        <v>Female</v>
      </c>
      <c r="G1080" s="5">
        <f>IFERROR(__xludf.DUMMYFUNCTION("""COMPUTED_VALUE"""),0.007539280092592593)</f>
        <v>0.007539280093</v>
      </c>
      <c r="H1080" s="15">
        <f>IFERROR(__xludf.DUMMYFUNCTION("""COMPUTED_VALUE"""),0.2549440625)</f>
        <v>0.2549440625</v>
      </c>
      <c r="I1080" s="15">
        <f>IFERROR(__xludf.DUMMYFUNCTION("""COMPUTED_VALUE"""),45949.29264046467)</f>
        <v>45949.29264</v>
      </c>
      <c r="J1080" s="15">
        <f>IFERROR(__xludf.DUMMYFUNCTION("""COMPUTED_VALUE"""),45949.03769640217)</f>
        <v>45949.0377</v>
      </c>
      <c r="K1080" s="15">
        <f>IFERROR(__xludf.DUMMYFUNCTION("""COMPUTED_VALUE"""),45949.27709266128)</f>
        <v>45949.27709</v>
      </c>
      <c r="L1080" s="4"/>
    </row>
    <row r="1081">
      <c r="A1081" s="1">
        <f>IFERROR(__xludf.DUMMYFUNCTION("""COMPUTED_VALUE"""),1080.0)</f>
        <v>1080</v>
      </c>
      <c r="B1081" s="1">
        <f>IFERROR(__xludf.DUMMYFUNCTION("""COMPUTED_VALUE"""),5786.0)</f>
        <v>5786</v>
      </c>
      <c r="C1081" s="2" t="str">
        <f>IFERROR(__xludf.DUMMYFUNCTION("""COMPUTED_VALUE"""),"Marley")</f>
        <v>Marley</v>
      </c>
      <c r="D1081" s="2" t="str">
        <f>IFERROR(__xludf.DUMMYFUNCTION("""COMPUTED_VALUE"""),"5KM OVERALL F")</f>
        <v>5KM OVERALL F</v>
      </c>
      <c r="E1081" s="1">
        <f>IFERROR(__xludf.DUMMYFUNCTION("""COMPUTED_VALUE"""),243.0)</f>
        <v>243</v>
      </c>
      <c r="F1081" s="1" t="str">
        <f>IFERROR(__xludf.DUMMYFUNCTION("""COMPUTED_VALUE"""),"Female")</f>
        <v>Female</v>
      </c>
      <c r="G1081" s="5">
        <f>IFERROR(__xludf.DUMMYFUNCTION("""COMPUTED_VALUE"""),0.007540666666666668)</f>
        <v>0.007540666667</v>
      </c>
      <c r="H1081" s="15">
        <f>IFERROR(__xludf.DUMMYFUNCTION("""COMPUTED_VALUE"""),0.2549440625)</f>
        <v>0.2549440625</v>
      </c>
      <c r="I1081" s="15">
        <f>IFERROR(__xludf.DUMMYFUNCTION("""COMPUTED_VALUE"""),45949.29264739868)</f>
        <v>45949.29265</v>
      </c>
      <c r="J1081" s="15">
        <f>IFERROR(__xludf.DUMMYFUNCTION("""COMPUTED_VALUE"""),45949.03770333618)</f>
        <v>45949.0377</v>
      </c>
      <c r="K1081" s="15">
        <f>IFERROR(__xludf.DUMMYFUNCTION("""COMPUTED_VALUE"""),45949.27709961369)</f>
        <v>45949.2771</v>
      </c>
      <c r="L1081" s="4"/>
    </row>
    <row r="1082">
      <c r="A1082" s="1">
        <f>IFERROR(__xludf.DUMMYFUNCTION("""COMPUTED_VALUE"""),1081.0)</f>
        <v>1081</v>
      </c>
      <c r="B1082" s="1">
        <f>IFERROR(__xludf.DUMMYFUNCTION("""COMPUTED_VALUE"""),5285.0)</f>
        <v>5285</v>
      </c>
      <c r="C1082" s="2" t="str">
        <f>IFERROR(__xludf.DUMMYFUNCTION("""COMPUTED_VALUE"""),"Erin")</f>
        <v>Erin</v>
      </c>
      <c r="D1082" s="2" t="str">
        <f>IFERROR(__xludf.DUMMYFUNCTION("""COMPUTED_VALUE"""),"5KM OVERALL F")</f>
        <v>5KM OVERALL F</v>
      </c>
      <c r="E1082" s="1">
        <f>IFERROR(__xludf.DUMMYFUNCTION("""COMPUTED_VALUE"""),244.0)</f>
        <v>244</v>
      </c>
      <c r="F1082" s="1" t="str">
        <f>IFERROR(__xludf.DUMMYFUNCTION("""COMPUTED_VALUE"""),"Female")</f>
        <v>Female</v>
      </c>
      <c r="G1082" s="5">
        <f>IFERROR(__xludf.DUMMYFUNCTION("""COMPUTED_VALUE"""),0.007541349537037037)</f>
        <v>0.007541349537</v>
      </c>
      <c r="H1082" s="15">
        <f>IFERROR(__xludf.DUMMYFUNCTION("""COMPUTED_VALUE"""),0.2549440625)</f>
        <v>0.2549440625</v>
      </c>
      <c r="I1082" s="15">
        <f>IFERROR(__xludf.DUMMYFUNCTION("""COMPUTED_VALUE"""),45949.292650813295)</f>
        <v>45949.29265</v>
      </c>
      <c r="J1082" s="15">
        <f>IFERROR(__xludf.DUMMYFUNCTION("""COMPUTED_VALUE"""),45949.037706750794)</f>
        <v>45949.03771</v>
      </c>
      <c r="K1082" s="15">
        <f>IFERROR(__xludf.DUMMYFUNCTION("""COMPUTED_VALUE"""),45949.27637049931)</f>
        <v>45949.27637</v>
      </c>
      <c r="L1082" s="4"/>
    </row>
    <row r="1083">
      <c r="A1083" s="1">
        <f>IFERROR(__xludf.DUMMYFUNCTION("""COMPUTED_VALUE"""),1082.0)</f>
        <v>1082</v>
      </c>
      <c r="B1083" s="1">
        <f>IFERROR(__xludf.DUMMYFUNCTION("""COMPUTED_VALUE"""),5929.0)</f>
        <v>5929</v>
      </c>
      <c r="C1083" s="2" t="str">
        <f>IFERROR(__xludf.DUMMYFUNCTION("""COMPUTED_VALUE"""),"Indri01")</f>
        <v>Indri01</v>
      </c>
      <c r="D1083" s="2" t="str">
        <f>IFERROR(__xludf.DUMMYFUNCTION("""COMPUTED_VALUE"""),"5KM OVERALL M")</f>
        <v>5KM OVERALL M</v>
      </c>
      <c r="E1083" s="1">
        <f>IFERROR(__xludf.DUMMYFUNCTION("""COMPUTED_VALUE"""),647.0)</f>
        <v>647</v>
      </c>
      <c r="F1083" s="1" t="str">
        <f>IFERROR(__xludf.DUMMYFUNCTION("""COMPUTED_VALUE"""),"Male")</f>
        <v>Male</v>
      </c>
      <c r="G1083" s="5">
        <f>IFERROR(__xludf.DUMMYFUNCTION("""COMPUTED_VALUE"""),0.007544835648148149)</f>
        <v>0.007544835648</v>
      </c>
      <c r="H1083" s="15">
        <f>IFERROR(__xludf.DUMMYFUNCTION("""COMPUTED_VALUE"""),0.2549440625)</f>
        <v>0.2549440625</v>
      </c>
      <c r="I1083" s="15">
        <f>IFERROR(__xludf.DUMMYFUNCTION("""COMPUTED_VALUE"""),45949.29266823734)</f>
        <v>45949.29267</v>
      </c>
      <c r="J1083" s="15">
        <f>IFERROR(__xludf.DUMMYFUNCTION("""COMPUTED_VALUE"""),45949.03772417484)</f>
        <v>45949.03772</v>
      </c>
      <c r="K1083" s="15">
        <f>IFERROR(__xludf.DUMMYFUNCTION("""COMPUTED_VALUE"""),45949.27638085048)</f>
        <v>45949.27638</v>
      </c>
      <c r="L1083" s="4"/>
    </row>
    <row r="1084">
      <c r="A1084" s="1">
        <f>IFERROR(__xludf.DUMMYFUNCTION("""COMPUTED_VALUE"""),1083.0)</f>
        <v>1083</v>
      </c>
      <c r="B1084" s="1">
        <f>IFERROR(__xludf.DUMMYFUNCTION("""COMPUTED_VALUE"""),5958.0)</f>
        <v>5958</v>
      </c>
      <c r="C1084" s="2" t="str">
        <f>IFERROR(__xludf.DUMMYFUNCTION("""COMPUTED_VALUE"""),"Ros")</f>
        <v>Ros</v>
      </c>
      <c r="D1084" s="2" t="str">
        <f>IFERROR(__xludf.DUMMYFUNCTION("""COMPUTED_VALUE"""),"5KM OVERALL F")</f>
        <v>5KM OVERALL F</v>
      </c>
      <c r="E1084" s="1">
        <f>IFERROR(__xludf.DUMMYFUNCTION("""COMPUTED_VALUE"""),245.0)</f>
        <v>245</v>
      </c>
      <c r="F1084" s="1" t="str">
        <f>IFERROR(__xludf.DUMMYFUNCTION("""COMPUTED_VALUE"""),"Female")</f>
        <v>Female</v>
      </c>
      <c r="G1084" s="5">
        <f>IFERROR(__xludf.DUMMYFUNCTION("""COMPUTED_VALUE"""),0.007546222222222222)</f>
        <v>0.007546222222</v>
      </c>
      <c r="H1084" s="15">
        <f>IFERROR(__xludf.DUMMYFUNCTION("""COMPUTED_VALUE"""),0.2549440625)</f>
        <v>0.2549440625</v>
      </c>
      <c r="I1084" s="15">
        <f>IFERROR(__xludf.DUMMYFUNCTION("""COMPUTED_VALUE"""),45949.292675178694)</f>
        <v>45949.29268</v>
      </c>
      <c r="J1084" s="15">
        <f>IFERROR(__xludf.DUMMYFUNCTION("""COMPUTED_VALUE"""),45949.037731116194)</f>
        <v>45949.03773</v>
      </c>
      <c r="K1084" s="15">
        <f>IFERROR(__xludf.DUMMYFUNCTION("""COMPUTED_VALUE"""),45949.277446879394)</f>
        <v>45949.27745</v>
      </c>
      <c r="L1084" s="4"/>
    </row>
    <row r="1085">
      <c r="A1085" s="1">
        <f>IFERROR(__xludf.DUMMYFUNCTION("""COMPUTED_VALUE"""),1084.0)</f>
        <v>1084</v>
      </c>
      <c r="B1085" s="1">
        <f>IFERROR(__xludf.DUMMYFUNCTION("""COMPUTED_VALUE"""),5345.0)</f>
        <v>5345</v>
      </c>
      <c r="C1085" s="2" t="str">
        <f>IFERROR(__xludf.DUMMYFUNCTION("""COMPUTED_VALUE"""),"Zi")</f>
        <v>Zi</v>
      </c>
      <c r="D1085" s="2" t="str">
        <f>IFERROR(__xludf.DUMMYFUNCTION("""COMPUTED_VALUE"""),"5KM OVERALL F")</f>
        <v>5KM OVERALL F</v>
      </c>
      <c r="E1085" s="1">
        <f>IFERROR(__xludf.DUMMYFUNCTION("""COMPUTED_VALUE"""),246.0)</f>
        <v>246</v>
      </c>
      <c r="F1085" s="1" t="str">
        <f>IFERROR(__xludf.DUMMYFUNCTION("""COMPUTED_VALUE"""),"Female")</f>
        <v>Female</v>
      </c>
      <c r="G1085" s="5">
        <f>IFERROR(__xludf.DUMMYFUNCTION("""COMPUTED_VALUE"""),0.0075469074074074076)</f>
        <v>0.007546907407</v>
      </c>
      <c r="H1085" s="15">
        <f>IFERROR(__xludf.DUMMYFUNCTION("""COMPUTED_VALUE"""),0.2549440625)</f>
        <v>0.2549440625</v>
      </c>
      <c r="I1085" s="15">
        <f>IFERROR(__xludf.DUMMYFUNCTION("""COMPUTED_VALUE"""),45949.29267860128)</f>
        <v>45949.29268</v>
      </c>
      <c r="J1085" s="15">
        <f>IFERROR(__xludf.DUMMYFUNCTION("""COMPUTED_VALUE"""),45949.03773453878)</f>
        <v>45949.03773</v>
      </c>
      <c r="K1085" s="15">
        <f>IFERROR(__xludf.DUMMYFUNCTION("""COMPUTED_VALUE"""),45949.27580799091)</f>
        <v>45949.27581</v>
      </c>
      <c r="L1085" s="4"/>
    </row>
    <row r="1086">
      <c r="A1086" s="1">
        <f>IFERROR(__xludf.DUMMYFUNCTION("""COMPUTED_VALUE"""),1085.0)</f>
        <v>1085</v>
      </c>
      <c r="B1086" s="7" t="str">
        <f>IFERROR(__xludf.DUMMYFUNCTION("""COMPUTED_VALUE"""),"9050")</f>
        <v>9050</v>
      </c>
      <c r="C1086" s="8" t="str">
        <f>IFERROR(__xludf.DUMMYFUNCTION("""COMPUTED_VALUE"""),"Azzam")</f>
        <v>Azzam</v>
      </c>
      <c r="D1086" s="2" t="str">
        <f>IFERROR(__xludf.DUMMYFUNCTION("""COMPUTED_VALUE"""),"5KM STUDENT M")</f>
        <v>5KM STUDENT M</v>
      </c>
      <c r="E1086" s="1">
        <f>IFERROR(__xludf.DUMMYFUNCTION("""COMPUTED_VALUE"""),62.0)</f>
        <v>62</v>
      </c>
      <c r="F1086" s="1" t="str">
        <f>IFERROR(__xludf.DUMMYFUNCTION("""COMPUTED_VALUE"""),"Male")</f>
        <v>Male</v>
      </c>
      <c r="G1086" s="5">
        <f>IFERROR(__xludf.DUMMYFUNCTION("""COMPUTED_VALUE"""),0.007548990740740741)</f>
        <v>0.007548990741</v>
      </c>
      <c r="H1086" s="15">
        <f>IFERROR(__xludf.DUMMYFUNCTION("""COMPUTED_VALUE"""),0.2549440625)</f>
        <v>0.2549440625</v>
      </c>
      <c r="I1086" s="15">
        <f>IFERROR(__xludf.DUMMYFUNCTION("""COMPUTED_VALUE"""),45949.29268901212)</f>
        <v>45949.29269</v>
      </c>
      <c r="J1086" s="15">
        <f>IFERROR(__xludf.DUMMYFUNCTION("""COMPUTED_VALUE"""),45949.03774494962)</f>
        <v>45949.03774</v>
      </c>
      <c r="K1086" s="15">
        <f>IFERROR(__xludf.DUMMYFUNCTION("""COMPUTED_VALUE"""),45949.277745467814)</f>
        <v>45949.27775</v>
      </c>
      <c r="L1086" s="4"/>
    </row>
    <row r="1087">
      <c r="A1087" s="1">
        <f>IFERROR(__xludf.DUMMYFUNCTION("""COMPUTED_VALUE"""),1086.0)</f>
        <v>1086</v>
      </c>
      <c r="B1087" s="7" t="str">
        <f>IFERROR(__xludf.DUMMYFUNCTION("""COMPUTED_VALUE"""),"7170")</f>
        <v>7170</v>
      </c>
      <c r="C1087" s="8" t="str">
        <f>IFERROR(__xludf.DUMMYFUNCTION("""COMPUTED_VALUE"""),"Rima Saddam")</f>
        <v>Rima Saddam</v>
      </c>
      <c r="D1087" s="2" t="str">
        <f>IFERROR(__xludf.DUMMYFUNCTION("""COMPUTED_VALUE"""),"5KM MASTER F")</f>
        <v>5KM MASTER F</v>
      </c>
      <c r="E1087" s="1">
        <f>IFERROR(__xludf.DUMMYFUNCTION("""COMPUTED_VALUE"""),43.0)</f>
        <v>43</v>
      </c>
      <c r="F1087" s="1" t="str">
        <f>IFERROR(__xludf.DUMMYFUNCTION("""COMPUTED_VALUE"""),"Female")</f>
        <v>Female</v>
      </c>
      <c r="G1087" s="5">
        <f>IFERROR(__xludf.DUMMYFUNCTION("""COMPUTED_VALUE"""),0.007548993055555555)</f>
        <v>0.007548993056</v>
      </c>
      <c r="H1087" s="15">
        <f>IFERROR(__xludf.DUMMYFUNCTION("""COMPUTED_VALUE"""),0.2549440625)</f>
        <v>0.2549440625</v>
      </c>
      <c r="I1087" s="15">
        <f>IFERROR(__xludf.DUMMYFUNCTION("""COMPUTED_VALUE"""),45949.29268902625)</f>
        <v>45949.29269</v>
      </c>
      <c r="J1087" s="15">
        <f>IFERROR(__xludf.DUMMYFUNCTION("""COMPUTED_VALUE"""),45949.03774496375)</f>
        <v>45949.03774</v>
      </c>
      <c r="K1087" s="15">
        <f>IFERROR(__xludf.DUMMYFUNCTION("""COMPUTED_VALUE"""),45949.27657876876)</f>
        <v>45949.27658</v>
      </c>
      <c r="L1087" s="4"/>
    </row>
    <row r="1088">
      <c r="A1088" s="1">
        <f>IFERROR(__xludf.DUMMYFUNCTION("""COMPUTED_VALUE"""),1087.0)</f>
        <v>1087</v>
      </c>
      <c r="B1088" s="1">
        <f>IFERROR(__xludf.DUMMYFUNCTION("""COMPUTED_VALUE"""),6566.0)</f>
        <v>6566</v>
      </c>
      <c r="C1088" s="2" t="str">
        <f>IFERROR(__xludf.DUMMYFUNCTION("""COMPUTED_VALUE"""),"Agil Erbiansyah")</f>
        <v>Agil Erbiansyah</v>
      </c>
      <c r="D1088" s="2" t="str">
        <f>IFERROR(__xludf.DUMMYFUNCTION("""COMPUTED_VALUE"""),"5KM OVERALL M")</f>
        <v>5KM OVERALL M</v>
      </c>
      <c r="E1088" s="1">
        <f>IFERROR(__xludf.DUMMYFUNCTION("""COMPUTED_VALUE"""),648.0)</f>
        <v>648</v>
      </c>
      <c r="F1088" s="1" t="str">
        <f>IFERROR(__xludf.DUMMYFUNCTION("""COMPUTED_VALUE"""),"Male")</f>
        <v>Male</v>
      </c>
      <c r="G1088" s="5">
        <f>IFERROR(__xludf.DUMMYFUNCTION("""COMPUTED_VALUE"""),0.007557333333333334)</f>
        <v>0.007557333333</v>
      </c>
      <c r="H1088" s="15">
        <f>IFERROR(__xludf.DUMMYFUNCTION("""COMPUTED_VALUE"""),0.2549440625)</f>
        <v>0.2549440625</v>
      </c>
      <c r="I1088" s="15">
        <f>IFERROR(__xludf.DUMMYFUNCTION("""COMPUTED_VALUE"""),45949.29273072837)</f>
        <v>45949.29273</v>
      </c>
      <c r="J1088" s="15">
        <f>IFERROR(__xludf.DUMMYFUNCTION("""COMPUTED_VALUE"""),45949.03778666587)</f>
        <v>45949.03779</v>
      </c>
      <c r="K1088" s="15">
        <f>IFERROR(__xludf.DUMMYFUNCTION("""COMPUTED_VALUE"""),45949.2783600339)</f>
        <v>45949.27836</v>
      </c>
      <c r="L1088" s="4"/>
    </row>
    <row r="1089">
      <c r="A1089" s="1">
        <f>IFERROR(__xludf.DUMMYFUNCTION("""COMPUTED_VALUE"""),1088.0)</f>
        <v>1088</v>
      </c>
      <c r="B1089" s="7" t="str">
        <f>IFERROR(__xludf.DUMMYFUNCTION("""COMPUTED_VALUE"""),"7173")</f>
        <v>7173</v>
      </c>
      <c r="C1089" s="8" t="str">
        <f>IFERROR(__xludf.DUMMYFUNCTION("""COMPUTED_VALUE"""),"Agues")</f>
        <v>Agues</v>
      </c>
      <c r="D1089" s="2" t="str">
        <f>IFERROR(__xludf.DUMMYFUNCTION("""COMPUTED_VALUE"""),"5KM MASTER M")</f>
        <v>5KM MASTER M</v>
      </c>
      <c r="E1089" s="1">
        <f>IFERROR(__xludf.DUMMYFUNCTION("""COMPUTED_VALUE"""),81.0)</f>
        <v>81</v>
      </c>
      <c r="F1089" s="1" t="str">
        <f>IFERROR(__xludf.DUMMYFUNCTION("""COMPUTED_VALUE"""),"Male")</f>
        <v>Male</v>
      </c>
      <c r="G1089" s="5">
        <f>IFERROR(__xludf.DUMMYFUNCTION("""COMPUTED_VALUE"""),0.007558018518518518)</f>
        <v>0.007558018519</v>
      </c>
      <c r="H1089" s="15">
        <f>IFERROR(__xludf.DUMMYFUNCTION("""COMPUTED_VALUE"""),0.2549440625)</f>
        <v>0.2549440625</v>
      </c>
      <c r="I1089" s="15">
        <f>IFERROR(__xludf.DUMMYFUNCTION("""COMPUTED_VALUE"""),45949.29273414979)</f>
        <v>45949.29273</v>
      </c>
      <c r="J1089" s="15">
        <f>IFERROR(__xludf.DUMMYFUNCTION("""COMPUTED_VALUE"""),45949.03779008729)</f>
        <v>45949.03779</v>
      </c>
      <c r="K1089" s="15">
        <f>IFERROR(__xludf.DUMMYFUNCTION("""COMPUTED_VALUE"""),45949.2766482257)</f>
        <v>45949.27665</v>
      </c>
      <c r="L1089" s="4"/>
    </row>
    <row r="1090">
      <c r="A1090" s="1">
        <f>IFERROR(__xludf.DUMMYFUNCTION("""COMPUTED_VALUE"""),1089.0)</f>
        <v>1089</v>
      </c>
      <c r="B1090" s="1">
        <f>IFERROR(__xludf.DUMMYFUNCTION("""COMPUTED_VALUE"""),5611.0)</f>
        <v>5611</v>
      </c>
      <c r="C1090" s="2" t="str">
        <f>IFERROR(__xludf.DUMMYFUNCTION("""COMPUTED_VALUE"""),"nisa")</f>
        <v>nisa</v>
      </c>
      <c r="D1090" s="2" t="str">
        <f>IFERROR(__xludf.DUMMYFUNCTION("""COMPUTED_VALUE"""),"5KM OVERALL F")</f>
        <v>5KM OVERALL F</v>
      </c>
      <c r="E1090" s="1">
        <f>IFERROR(__xludf.DUMMYFUNCTION("""COMPUTED_VALUE"""),247.0)</f>
        <v>247</v>
      </c>
      <c r="F1090" s="1" t="str">
        <f>IFERROR(__xludf.DUMMYFUNCTION("""COMPUTED_VALUE"""),"Female")</f>
        <v>Female</v>
      </c>
      <c r="G1090" s="5">
        <f>IFERROR(__xludf.DUMMYFUNCTION("""COMPUTED_VALUE"""),0.007560113425925927)</f>
        <v>0.007560113426</v>
      </c>
      <c r="H1090" s="15">
        <f>IFERROR(__xludf.DUMMYFUNCTION("""COMPUTED_VALUE"""),0.2549440625)</f>
        <v>0.2549440625</v>
      </c>
      <c r="I1090" s="15">
        <f>IFERROR(__xludf.DUMMYFUNCTION("""COMPUTED_VALUE"""),45949.292744629136)</f>
        <v>45949.29274</v>
      </c>
      <c r="J1090" s="15">
        <f>IFERROR(__xludf.DUMMYFUNCTION("""COMPUTED_VALUE"""),45949.037800566635)</f>
        <v>45949.0378</v>
      </c>
      <c r="K1090" s="15">
        <f>IFERROR(__xludf.DUMMYFUNCTION("""COMPUTED_VALUE"""),45949.27674546413)</f>
        <v>45949.27675</v>
      </c>
      <c r="L1090" s="4"/>
    </row>
    <row r="1091">
      <c r="A1091" s="1">
        <f>IFERROR(__xludf.DUMMYFUNCTION("""COMPUTED_VALUE"""),1090.0)</f>
        <v>1090</v>
      </c>
      <c r="B1091" s="1">
        <f>IFERROR(__xludf.DUMMYFUNCTION("""COMPUTED_VALUE"""),6292.0)</f>
        <v>6292</v>
      </c>
      <c r="C1091" s="2" t="str">
        <f>IFERROR(__xludf.DUMMYFUNCTION("""COMPUTED_VALUE"""),"TITY RIEZKA RIANTHI")</f>
        <v>TITY RIEZKA RIANTHI</v>
      </c>
      <c r="D1091" s="2" t="str">
        <f>IFERROR(__xludf.DUMMYFUNCTION("""COMPUTED_VALUE"""),"5KM OVERALL F")</f>
        <v>5KM OVERALL F</v>
      </c>
      <c r="E1091" s="1">
        <f>IFERROR(__xludf.DUMMYFUNCTION("""COMPUTED_VALUE"""),248.0)</f>
        <v>248</v>
      </c>
      <c r="F1091" s="1" t="str">
        <f>IFERROR(__xludf.DUMMYFUNCTION("""COMPUTED_VALUE"""),"Female")</f>
        <v>Female</v>
      </c>
      <c r="G1091" s="5">
        <f>IFERROR(__xludf.DUMMYFUNCTION("""COMPUTED_VALUE"""),0.007563583333333334)</f>
        <v>0.007563583333</v>
      </c>
      <c r="H1091" s="15">
        <f>IFERROR(__xludf.DUMMYFUNCTION("""COMPUTED_VALUE"""),0.2549440625)</f>
        <v>0.2549440625</v>
      </c>
      <c r="I1091" s="15">
        <f>IFERROR(__xludf.DUMMYFUNCTION("""COMPUTED_VALUE"""),45949.2927619805)</f>
        <v>45949.29276</v>
      </c>
      <c r="J1091" s="15">
        <f>IFERROR(__xludf.DUMMYFUNCTION("""COMPUTED_VALUE"""),45949.037817918)</f>
        <v>45949.03782</v>
      </c>
      <c r="K1091" s="15">
        <f>IFERROR(__xludf.DUMMYFUNCTION("""COMPUTED_VALUE"""),45950.27753472222)</f>
        <v>45950.27753</v>
      </c>
      <c r="L1091" s="4"/>
    </row>
    <row r="1092">
      <c r="A1092" s="1">
        <f>IFERROR(__xludf.DUMMYFUNCTION("""COMPUTED_VALUE"""),1091.0)</f>
        <v>1091</v>
      </c>
      <c r="B1092" s="1">
        <f>IFERROR(__xludf.DUMMYFUNCTION("""COMPUTED_VALUE"""),6306.0)</f>
        <v>6306</v>
      </c>
      <c r="C1092" s="2" t="str">
        <f>IFERROR(__xludf.DUMMYFUNCTION("""COMPUTED_VALUE"""),"ROBI INDRAJID")</f>
        <v>ROBI INDRAJID</v>
      </c>
      <c r="D1092" s="2" t="str">
        <f>IFERROR(__xludf.DUMMYFUNCTION("""COMPUTED_VALUE"""),"5KM OVERALL M")</f>
        <v>5KM OVERALL M</v>
      </c>
      <c r="E1092" s="1">
        <f>IFERROR(__xludf.DUMMYFUNCTION("""COMPUTED_VALUE"""),649.0)</f>
        <v>649</v>
      </c>
      <c r="F1092" s="1" t="str">
        <f>IFERROR(__xludf.DUMMYFUNCTION("""COMPUTED_VALUE"""),"Male")</f>
        <v>Male</v>
      </c>
      <c r="G1092" s="5">
        <f>IFERROR(__xludf.DUMMYFUNCTION("""COMPUTED_VALUE"""),0.007564972222222223)</f>
        <v>0.007564972222</v>
      </c>
      <c r="H1092" s="15">
        <f>IFERROR(__xludf.DUMMYFUNCTION("""COMPUTED_VALUE"""),0.2549440625)</f>
        <v>0.2549440625</v>
      </c>
      <c r="I1092" s="15">
        <f>IFERROR(__xludf.DUMMYFUNCTION("""COMPUTED_VALUE"""),45949.29276892)</f>
        <v>45949.29277</v>
      </c>
      <c r="J1092" s="15">
        <f>IFERROR(__xludf.DUMMYFUNCTION("""COMPUTED_VALUE"""),45949.0378248575)</f>
        <v>45949.03782</v>
      </c>
      <c r="K1092" s="15">
        <f>IFERROR(__xludf.DUMMYFUNCTION("""COMPUTED_VALUE"""),45949.27672119408)</f>
        <v>45949.27672</v>
      </c>
      <c r="L1092" s="4"/>
    </row>
    <row r="1093">
      <c r="A1093" s="1">
        <f>IFERROR(__xludf.DUMMYFUNCTION("""COMPUTED_VALUE"""),1092.0)</f>
        <v>1092</v>
      </c>
      <c r="B1093" s="1">
        <f>IFERROR(__xludf.DUMMYFUNCTION("""COMPUTED_VALUE"""),5477.0)</f>
        <v>5477</v>
      </c>
      <c r="C1093" s="2" t="str">
        <f>IFERROR(__xludf.DUMMYFUNCTION("""COMPUTED_VALUE"""),"Siti Asphia")</f>
        <v>Siti Asphia</v>
      </c>
      <c r="D1093" s="2" t="str">
        <f>IFERROR(__xludf.DUMMYFUNCTION("""COMPUTED_VALUE"""),"5KM OVERALL F")</f>
        <v>5KM OVERALL F</v>
      </c>
      <c r="E1093" s="1">
        <f>IFERROR(__xludf.DUMMYFUNCTION("""COMPUTED_VALUE"""),249.0)</f>
        <v>249</v>
      </c>
      <c r="F1093" s="1" t="str">
        <f>IFERROR(__xludf.DUMMYFUNCTION("""COMPUTED_VALUE"""),"Female")</f>
        <v>Female</v>
      </c>
      <c r="G1093" s="5">
        <f>IFERROR(__xludf.DUMMYFUNCTION("""COMPUTED_VALUE"""),0.00756913425925926)</f>
        <v>0.007569134259</v>
      </c>
      <c r="H1093" s="15">
        <f>IFERROR(__xludf.DUMMYFUNCTION("""COMPUTED_VALUE"""),0.2549440625)</f>
        <v>0.2549440625</v>
      </c>
      <c r="I1093" s="15">
        <f>IFERROR(__xludf.DUMMYFUNCTION("""COMPUTED_VALUE"""),45949.292789735344)</f>
        <v>45949.29279</v>
      </c>
      <c r="J1093" s="15">
        <f>IFERROR(__xludf.DUMMYFUNCTION("""COMPUTED_VALUE"""),45949.03784567284)</f>
        <v>45949.03785</v>
      </c>
      <c r="K1093" s="15">
        <f>IFERROR(__xludf.DUMMYFUNCTION("""COMPUTED_VALUE"""),45949.276679518975)</f>
        <v>45949.27668</v>
      </c>
      <c r="L1093" s="4"/>
    </row>
    <row r="1094">
      <c r="A1094" s="1">
        <f>IFERROR(__xludf.DUMMYFUNCTION("""COMPUTED_VALUE"""),1093.0)</f>
        <v>1093</v>
      </c>
      <c r="B1094" s="1">
        <f>IFERROR(__xludf.DUMMYFUNCTION("""COMPUTED_VALUE"""),7070.0)</f>
        <v>7070</v>
      </c>
      <c r="C1094" s="2" t="str">
        <f>IFERROR(__xludf.DUMMYFUNCTION("""COMPUTED_VALUE"""),"I'ONE""S")</f>
        <v>I'ONE"S</v>
      </c>
      <c r="D1094" s="2" t="str">
        <f>IFERROR(__xludf.DUMMYFUNCTION("""COMPUTED_VALUE"""),"5KM MASTER M")</f>
        <v>5KM MASTER M</v>
      </c>
      <c r="E1094" s="1">
        <f>IFERROR(__xludf.DUMMYFUNCTION("""COMPUTED_VALUE"""),82.0)</f>
        <v>82</v>
      </c>
      <c r="F1094" s="1" t="str">
        <f>IFERROR(__xludf.DUMMYFUNCTION("""COMPUTED_VALUE"""),"Male")</f>
        <v>Male</v>
      </c>
      <c r="G1094" s="5">
        <f>IFERROR(__xludf.DUMMYFUNCTION("""COMPUTED_VALUE"""),0.007573293981481481)</f>
        <v>0.007573293981</v>
      </c>
      <c r="H1094" s="15">
        <f>IFERROR(__xludf.DUMMYFUNCTION("""COMPUTED_VALUE"""),0.2549440625)</f>
        <v>0.2549440625</v>
      </c>
      <c r="I1094" s="15">
        <f>IFERROR(__xludf.DUMMYFUNCTION("""COMPUTED_VALUE"""),45949.29281053528)</f>
        <v>45949.29281</v>
      </c>
      <c r="J1094" s="15">
        <f>IFERROR(__xludf.DUMMYFUNCTION("""COMPUTED_VALUE"""),45949.037866472776)</f>
        <v>45949.03787</v>
      </c>
      <c r="K1094" s="15">
        <f>IFERROR(__xludf.DUMMYFUNCTION("""COMPUTED_VALUE"""),45949.27789823761)</f>
        <v>45949.2779</v>
      </c>
      <c r="L1094" s="4"/>
    </row>
    <row r="1095">
      <c r="A1095" s="1">
        <f>IFERROR(__xludf.DUMMYFUNCTION("""COMPUTED_VALUE"""),1094.0)</f>
        <v>1094</v>
      </c>
      <c r="B1095" s="1">
        <f>IFERROR(__xludf.DUMMYFUNCTION("""COMPUTED_VALUE"""),5098.0)</f>
        <v>5098</v>
      </c>
      <c r="C1095" s="2" t="str">
        <f>IFERROR(__xludf.DUMMYFUNCTION("""COMPUTED_VALUE"""),"FityaW")</f>
        <v>FityaW</v>
      </c>
      <c r="D1095" s="2" t="str">
        <f>IFERROR(__xludf.DUMMYFUNCTION("""COMPUTED_VALUE"""),"5KM OVERALL F")</f>
        <v>5KM OVERALL F</v>
      </c>
      <c r="E1095" s="1">
        <f>IFERROR(__xludf.DUMMYFUNCTION("""COMPUTED_VALUE"""),250.0)</f>
        <v>250</v>
      </c>
      <c r="F1095" s="1" t="str">
        <f>IFERROR(__xludf.DUMMYFUNCTION("""COMPUTED_VALUE"""),"Female")</f>
        <v>Female</v>
      </c>
      <c r="G1095" s="5">
        <f>IFERROR(__xludf.DUMMYFUNCTION("""COMPUTED_VALUE"""),0.007577546296296296)</f>
        <v>0.007577546296</v>
      </c>
      <c r="H1095" s="15">
        <f>IFERROR(__xludf.DUMMYFUNCTION("""COMPUTED_VALUE"""),0.2549440625)</f>
        <v>0.2549440625</v>
      </c>
      <c r="I1095" s="15">
        <f>IFERROR(__xludf.DUMMYFUNCTION("""COMPUTED_VALUE"""),45949.29283178856)</f>
        <v>45949.29283</v>
      </c>
      <c r="J1095" s="15">
        <f>IFERROR(__xludf.DUMMYFUNCTION("""COMPUTED_VALUE"""),45949.03788772606)</f>
        <v>45949.03789</v>
      </c>
      <c r="K1095" s="15">
        <f>IFERROR(__xludf.DUMMYFUNCTION("""COMPUTED_VALUE"""),45949.27626628008)</f>
        <v>45949.27627</v>
      </c>
      <c r="L1095" s="4"/>
    </row>
    <row r="1096">
      <c r="A1096" s="1">
        <f>IFERROR(__xludf.DUMMYFUNCTION("""COMPUTED_VALUE"""),1095.0)</f>
        <v>1095</v>
      </c>
      <c r="B1096" s="7" t="str">
        <f>IFERROR(__xludf.DUMMYFUNCTION("""COMPUTED_VALUE"""),"7133")</f>
        <v>7133</v>
      </c>
      <c r="C1096" s="8" t="str">
        <f>IFERROR(__xludf.DUMMYFUNCTION("""COMPUTED_VALUE"""),"Yho")</f>
        <v>Yho</v>
      </c>
      <c r="D1096" s="2" t="str">
        <f>IFERROR(__xludf.DUMMYFUNCTION("""COMPUTED_VALUE"""),"5KM MASTER M")</f>
        <v>5KM MASTER M</v>
      </c>
      <c r="E1096" s="1">
        <f>IFERROR(__xludf.DUMMYFUNCTION("""COMPUTED_VALUE"""),83.0)</f>
        <v>83</v>
      </c>
      <c r="F1096" s="1" t="str">
        <f>IFERROR(__xludf.DUMMYFUNCTION("""COMPUTED_VALUE"""),"Male")</f>
        <v>Male</v>
      </c>
      <c r="G1096" s="5">
        <f>IFERROR(__xludf.DUMMYFUNCTION("""COMPUTED_VALUE"""),0.007578155092592592)</f>
        <v>0.007578155093</v>
      </c>
      <c r="H1096" s="15">
        <f>IFERROR(__xludf.DUMMYFUNCTION("""COMPUTED_VALUE"""),0.2549440625)</f>
        <v>0.2549440625</v>
      </c>
      <c r="I1096" s="15">
        <f>IFERROR(__xludf.DUMMYFUNCTION("""COMPUTED_VALUE"""),45949.29283484259)</f>
        <v>45949.29283</v>
      </c>
      <c r="J1096" s="15">
        <f>IFERROR(__xludf.DUMMYFUNCTION("""COMPUTED_VALUE"""),45949.03789078009)</f>
        <v>45949.03789</v>
      </c>
      <c r="K1096" s="15">
        <f>IFERROR(__xludf.DUMMYFUNCTION("""COMPUTED_VALUE"""),45950.27767361111)</f>
        <v>45950.27767</v>
      </c>
      <c r="L1096" s="4" t="str">
        <f>IFERROR(__xludf.DUMMYFUNCTION("""COMPUTED_VALUE"""),"C")</f>
        <v>C</v>
      </c>
    </row>
    <row r="1097">
      <c r="A1097" s="1">
        <f>IFERROR(__xludf.DUMMYFUNCTION("""COMPUTED_VALUE"""),1096.0)</f>
        <v>1096</v>
      </c>
      <c r="B1097" s="1">
        <f>IFERROR(__xludf.DUMMYFUNCTION("""COMPUTED_VALUE"""),5184.0)</f>
        <v>5184</v>
      </c>
      <c r="C1097" s="2" t="str">
        <f>IFERROR(__xludf.DUMMYFUNCTION("""COMPUTED_VALUE"""),"Agung Haryanto")</f>
        <v>Agung Haryanto</v>
      </c>
      <c r="D1097" s="2" t="str">
        <f>IFERROR(__xludf.DUMMYFUNCTION("""COMPUTED_VALUE"""),"5KM OVERALL M")</f>
        <v>5KM OVERALL M</v>
      </c>
      <c r="E1097" s="1">
        <f>IFERROR(__xludf.DUMMYFUNCTION("""COMPUTED_VALUE"""),650.0)</f>
        <v>650</v>
      </c>
      <c r="F1097" s="1" t="str">
        <f>IFERROR(__xludf.DUMMYFUNCTION("""COMPUTED_VALUE"""),"Male")</f>
        <v>Male</v>
      </c>
      <c r="G1097" s="5">
        <f>IFERROR(__xludf.DUMMYFUNCTION("""COMPUTED_VALUE"""),0.007582333333333334)</f>
        <v>0.007582333333</v>
      </c>
      <c r="H1097" s="15">
        <f>IFERROR(__xludf.DUMMYFUNCTION("""COMPUTED_VALUE"""),0.2549440625)</f>
        <v>0.2549440625</v>
      </c>
      <c r="I1097" s="15">
        <f>IFERROR(__xludf.DUMMYFUNCTION("""COMPUTED_VALUE"""),45949.29285572482)</f>
        <v>45949.29286</v>
      </c>
      <c r="J1097" s="15">
        <f>IFERROR(__xludf.DUMMYFUNCTION("""COMPUTED_VALUE"""),45949.03791166232)</f>
        <v>45949.03791</v>
      </c>
      <c r="K1097" s="15">
        <f>IFERROR(__xludf.DUMMYFUNCTION("""COMPUTED_VALUE"""),45949.279565293196)</f>
        <v>45949.27957</v>
      </c>
      <c r="L1097" s="4"/>
    </row>
    <row r="1098">
      <c r="A1098" s="1">
        <f>IFERROR(__xludf.DUMMYFUNCTION("""COMPUTED_VALUE"""),1097.0)</f>
        <v>1097</v>
      </c>
      <c r="B1098" s="1">
        <f>IFERROR(__xludf.DUMMYFUNCTION("""COMPUTED_VALUE"""),5300.0)</f>
        <v>5300</v>
      </c>
      <c r="C1098" s="2" t="str">
        <f>IFERROR(__xludf.DUMMYFUNCTION("""COMPUTED_VALUE"""),"Fahrul89")</f>
        <v>Fahrul89</v>
      </c>
      <c r="D1098" s="2" t="str">
        <f>IFERROR(__xludf.DUMMYFUNCTION("""COMPUTED_VALUE"""),"5KM OVERALL M")</f>
        <v>5KM OVERALL M</v>
      </c>
      <c r="E1098" s="1">
        <f>IFERROR(__xludf.DUMMYFUNCTION("""COMPUTED_VALUE"""),651.0)</f>
        <v>651</v>
      </c>
      <c r="F1098" s="1" t="str">
        <f>IFERROR(__xludf.DUMMYFUNCTION("""COMPUTED_VALUE"""),"Male")</f>
        <v>Male</v>
      </c>
      <c r="G1098" s="5">
        <f>IFERROR(__xludf.DUMMYFUNCTION("""COMPUTED_VALUE"""),0.007583050925925925)</f>
        <v>0.007583050926</v>
      </c>
      <c r="H1098" s="15">
        <f>IFERROR(__xludf.DUMMYFUNCTION("""COMPUTED_VALUE"""),0.2549440625)</f>
        <v>0.2549440625</v>
      </c>
      <c r="I1098" s="15">
        <f>IFERROR(__xludf.DUMMYFUNCTION("""COMPUTED_VALUE"""),45949.29285931509)</f>
        <v>45949.29286</v>
      </c>
      <c r="J1098" s="15">
        <f>IFERROR(__xludf.DUMMYFUNCTION("""COMPUTED_VALUE"""),45949.037915252586)</f>
        <v>45949.03792</v>
      </c>
      <c r="K1098" s="15">
        <f>IFERROR(__xludf.DUMMYFUNCTION("""COMPUTED_VALUE"""),45949.27681141164)</f>
        <v>45949.27681</v>
      </c>
      <c r="L1098" s="4"/>
    </row>
    <row r="1099">
      <c r="A1099" s="1">
        <f>IFERROR(__xludf.DUMMYFUNCTION("""COMPUTED_VALUE"""),1098.0)</f>
        <v>1098</v>
      </c>
      <c r="B1099" s="1">
        <f>IFERROR(__xludf.DUMMYFUNCTION("""COMPUTED_VALUE"""),5328.0)</f>
        <v>5328</v>
      </c>
      <c r="C1099" s="2" t="str">
        <f>IFERROR(__xludf.DUMMYFUNCTION("""COMPUTED_VALUE"""),"Ummu Sema")</f>
        <v>Ummu Sema</v>
      </c>
      <c r="D1099" s="2" t="str">
        <f>IFERROR(__xludf.DUMMYFUNCTION("""COMPUTED_VALUE"""),"5KM OVERALL F")</f>
        <v>5KM OVERALL F</v>
      </c>
      <c r="E1099" s="1">
        <f>IFERROR(__xludf.DUMMYFUNCTION("""COMPUTED_VALUE"""),251.0)</f>
        <v>251</v>
      </c>
      <c r="F1099" s="1" t="str">
        <f>IFERROR(__xludf.DUMMYFUNCTION("""COMPUTED_VALUE"""),"Female")</f>
        <v>Female</v>
      </c>
      <c r="G1099" s="5">
        <f>IFERROR(__xludf.DUMMYFUNCTION("""COMPUTED_VALUE"""),0.007592101851851852)</f>
        <v>0.007592101852</v>
      </c>
      <c r="H1099" s="15">
        <f>IFERROR(__xludf.DUMMYFUNCTION("""COMPUTED_VALUE"""),0.2549440625)</f>
        <v>0.2549440625</v>
      </c>
      <c r="I1099" s="15">
        <f>IFERROR(__xludf.DUMMYFUNCTION("""COMPUTED_VALUE"""),45949.292904568974)</f>
        <v>45949.2929</v>
      </c>
      <c r="J1099" s="15">
        <f>IFERROR(__xludf.DUMMYFUNCTION("""COMPUTED_VALUE"""),45949.03796050647)</f>
        <v>45949.03796</v>
      </c>
      <c r="K1099" s="15">
        <f>IFERROR(__xludf.DUMMYFUNCTION("""COMPUTED_VALUE"""),45949.27811701457)</f>
        <v>45949.27812</v>
      </c>
      <c r="L1099" s="4"/>
    </row>
    <row r="1100">
      <c r="A1100" s="1">
        <f>IFERROR(__xludf.DUMMYFUNCTION("""COMPUTED_VALUE"""),1099.0)</f>
        <v>1099</v>
      </c>
      <c r="B1100" s="1">
        <f>IFERROR(__xludf.DUMMYFUNCTION("""COMPUTED_VALUE"""),6145.0)</f>
        <v>6145</v>
      </c>
      <c r="C1100" s="2" t="str">
        <f>IFERROR(__xludf.DUMMYFUNCTION("""COMPUTED_VALUE"""),"Egganteng")</f>
        <v>Egganteng</v>
      </c>
      <c r="D1100" s="2" t="str">
        <f>IFERROR(__xludf.DUMMYFUNCTION("""COMPUTED_VALUE"""),"5KM OVERALL M")</f>
        <v>5KM OVERALL M</v>
      </c>
      <c r="E1100" s="1">
        <f>IFERROR(__xludf.DUMMYFUNCTION("""COMPUTED_VALUE"""),652.0)</f>
        <v>652</v>
      </c>
      <c r="F1100" s="1" t="str">
        <f>IFERROR(__xludf.DUMMYFUNCTION("""COMPUTED_VALUE"""),"Male")</f>
        <v>Male</v>
      </c>
      <c r="G1100" s="5">
        <f>IFERROR(__xludf.DUMMYFUNCTION("""COMPUTED_VALUE"""),0.007592752314814814)</f>
        <v>0.007592752315</v>
      </c>
      <c r="H1100" s="15">
        <f>IFERROR(__xludf.DUMMYFUNCTION("""COMPUTED_VALUE"""),0.2549440625)</f>
        <v>0.2549440625</v>
      </c>
      <c r="I1100" s="15">
        <f>IFERROR(__xludf.DUMMYFUNCTION("""COMPUTED_VALUE"""),45949.29290781864)</f>
        <v>45949.29291</v>
      </c>
      <c r="J1100" s="15">
        <f>IFERROR(__xludf.DUMMYFUNCTION("""COMPUTED_VALUE"""),45949.03796375614)</f>
        <v>45949.03796</v>
      </c>
      <c r="K1100" s="15">
        <f>IFERROR(__xludf.DUMMYFUNCTION("""COMPUTED_VALUE"""),45949.27751628127)</f>
        <v>45949.27752</v>
      </c>
      <c r="L1100" s="4"/>
    </row>
    <row r="1101">
      <c r="A1101" s="1">
        <f>IFERROR(__xludf.DUMMYFUNCTION("""COMPUTED_VALUE"""),1100.0)</f>
        <v>1100</v>
      </c>
      <c r="B1101" s="1">
        <f>IFERROR(__xludf.DUMMYFUNCTION("""COMPUTED_VALUE"""),5329.0)</f>
        <v>5329</v>
      </c>
      <c r="C1101" s="2" t="str">
        <f>IFERROR(__xludf.DUMMYFUNCTION("""COMPUTED_VALUE"""),"Seftian Pratama")</f>
        <v>Seftian Pratama</v>
      </c>
      <c r="D1101" s="2" t="str">
        <f>IFERROR(__xludf.DUMMYFUNCTION("""COMPUTED_VALUE"""),"5KM OVERALL M")</f>
        <v>5KM OVERALL M</v>
      </c>
      <c r="E1101" s="1">
        <f>IFERROR(__xludf.DUMMYFUNCTION("""COMPUTED_VALUE"""),653.0)</f>
        <v>653</v>
      </c>
      <c r="F1101" s="1" t="str">
        <f>IFERROR(__xludf.DUMMYFUNCTION("""COMPUTED_VALUE"""),"Male")</f>
        <v>Male</v>
      </c>
      <c r="G1101" s="5">
        <f>IFERROR(__xludf.DUMMYFUNCTION("""COMPUTED_VALUE"""),0.007594833333333333)</f>
        <v>0.007594833333</v>
      </c>
      <c r="H1101" s="15">
        <f>IFERROR(__xludf.DUMMYFUNCTION("""COMPUTED_VALUE"""),0.2549440625)</f>
        <v>0.2549440625</v>
      </c>
      <c r="I1101" s="15">
        <f>IFERROR(__xludf.DUMMYFUNCTION("""COMPUTED_VALUE"""),45949.29291822876)</f>
        <v>45949.29292</v>
      </c>
      <c r="J1101" s="15">
        <f>IFERROR(__xludf.DUMMYFUNCTION("""COMPUTED_VALUE"""),45949.03797416626)</f>
        <v>45949.03797</v>
      </c>
      <c r="K1101" s="15">
        <f>IFERROR(__xludf.DUMMYFUNCTION("""COMPUTED_VALUE"""),45949.27811700299)</f>
        <v>45949.27812</v>
      </c>
      <c r="L1101" s="4"/>
    </row>
    <row r="1102">
      <c r="A1102" s="1">
        <f>IFERROR(__xludf.DUMMYFUNCTION("""COMPUTED_VALUE"""),1101.0)</f>
        <v>1101</v>
      </c>
      <c r="B1102" s="1">
        <f>IFERROR(__xludf.DUMMYFUNCTION("""COMPUTED_VALUE"""),5129.0)</f>
        <v>5129</v>
      </c>
      <c r="C1102" s="2" t="str">
        <f>IFERROR(__xludf.DUMMYFUNCTION("""COMPUTED_VALUE"""),"Rangga M")</f>
        <v>Rangga M</v>
      </c>
      <c r="D1102" s="2" t="str">
        <f>IFERROR(__xludf.DUMMYFUNCTION("""COMPUTED_VALUE"""),"5KM OVERALL M")</f>
        <v>5KM OVERALL M</v>
      </c>
      <c r="E1102" s="1">
        <f>IFERROR(__xludf.DUMMYFUNCTION("""COMPUTED_VALUE"""),654.0)</f>
        <v>654</v>
      </c>
      <c r="F1102" s="1" t="str">
        <f>IFERROR(__xludf.DUMMYFUNCTION("""COMPUTED_VALUE"""),"Male")</f>
        <v>Male</v>
      </c>
      <c r="G1102" s="5">
        <f>IFERROR(__xludf.DUMMYFUNCTION("""COMPUTED_VALUE"""),0.007598305555555555)</f>
        <v>0.007598305556</v>
      </c>
      <c r="H1102" s="15">
        <f>IFERROR(__xludf.DUMMYFUNCTION("""COMPUTED_VALUE"""),0.2549440625)</f>
        <v>0.2549440625</v>
      </c>
      <c r="I1102" s="15">
        <f>IFERROR(__xludf.DUMMYFUNCTION("""COMPUTED_VALUE"""),45949.29293559312)</f>
        <v>45949.29294</v>
      </c>
      <c r="J1102" s="15">
        <f>IFERROR(__xludf.DUMMYFUNCTION("""COMPUTED_VALUE"""),45949.03799153062)</f>
        <v>45949.03799</v>
      </c>
      <c r="K1102" s="15">
        <f>IFERROR(__xludf.DUMMYFUNCTION("""COMPUTED_VALUE"""),45949.278221194814)</f>
        <v>45949.27822</v>
      </c>
      <c r="L1102" s="4"/>
    </row>
    <row r="1103">
      <c r="A1103" s="1">
        <f>IFERROR(__xludf.DUMMYFUNCTION("""COMPUTED_VALUE"""),1102.0)</f>
        <v>1102</v>
      </c>
      <c r="B1103" s="1">
        <f>IFERROR(__xludf.DUMMYFUNCTION("""COMPUTED_VALUE"""),5575.0)</f>
        <v>5575</v>
      </c>
      <c r="C1103" s="2" t="str">
        <f>IFERROR(__xludf.DUMMYFUNCTION("""COMPUTED_VALUE"""),"SAFARIAN RISTU W")</f>
        <v>SAFARIAN RISTU W</v>
      </c>
      <c r="D1103" s="2" t="str">
        <f>IFERROR(__xludf.DUMMYFUNCTION("""COMPUTED_VALUE"""),"5KM OVERALL M")</f>
        <v>5KM OVERALL M</v>
      </c>
      <c r="E1103" s="1">
        <f>IFERROR(__xludf.DUMMYFUNCTION("""COMPUTED_VALUE"""),655.0)</f>
        <v>655</v>
      </c>
      <c r="F1103" s="1" t="str">
        <f>IFERROR(__xludf.DUMMYFUNCTION("""COMPUTED_VALUE"""),"Male")</f>
        <v>Male</v>
      </c>
      <c r="G1103" s="5">
        <f>IFERROR(__xludf.DUMMYFUNCTION("""COMPUTED_VALUE"""),0.007603854166666667)</f>
        <v>0.007603854167</v>
      </c>
      <c r="H1103" s="15">
        <f>IFERROR(__xludf.DUMMYFUNCTION("""COMPUTED_VALUE"""),0.2549440625)</f>
        <v>0.2549440625</v>
      </c>
      <c r="I1103" s="15">
        <f>IFERROR(__xludf.DUMMYFUNCTION("""COMPUTED_VALUE"""),45949.292963338965)</f>
        <v>45949.29296</v>
      </c>
      <c r="J1103" s="15">
        <f>IFERROR(__xludf.DUMMYFUNCTION("""COMPUTED_VALUE"""),45949.038019276464)</f>
        <v>45949.03802</v>
      </c>
      <c r="K1103" s="15">
        <f>IFERROR(__xludf.DUMMYFUNCTION("""COMPUTED_VALUE"""),45949.27764826682)</f>
        <v>45949.27765</v>
      </c>
      <c r="L1103" s="4"/>
    </row>
    <row r="1104">
      <c r="A1104" s="1">
        <f>IFERROR(__xludf.DUMMYFUNCTION("""COMPUTED_VALUE"""),1103.0)</f>
        <v>1103</v>
      </c>
      <c r="B1104" s="1">
        <f>IFERROR(__xludf.DUMMYFUNCTION("""COMPUTED_VALUE"""),7005.0)</f>
        <v>7005</v>
      </c>
      <c r="C1104" s="2" t="str">
        <f>IFERROR(__xludf.DUMMYFUNCTION("""COMPUTED_VALUE"""),"44R")</f>
        <v>44R</v>
      </c>
      <c r="D1104" s="2" t="str">
        <f>IFERROR(__xludf.DUMMYFUNCTION("""COMPUTED_VALUE"""),"5KM MASTER M")</f>
        <v>5KM MASTER M</v>
      </c>
      <c r="E1104" s="1">
        <f>IFERROR(__xludf.DUMMYFUNCTION("""COMPUTED_VALUE"""),84.0)</f>
        <v>84</v>
      </c>
      <c r="F1104" s="1" t="str">
        <f>IFERROR(__xludf.DUMMYFUNCTION("""COMPUTED_VALUE"""),"Male")</f>
        <v>Male</v>
      </c>
      <c r="G1104" s="5">
        <f>IFERROR(__xludf.DUMMYFUNCTION("""COMPUTED_VALUE"""),0.007605249999999999)</f>
        <v>0.00760525</v>
      </c>
      <c r="H1104" s="15">
        <f>IFERROR(__xludf.DUMMYFUNCTION("""COMPUTED_VALUE"""),0.2549440625)</f>
        <v>0.2549440625</v>
      </c>
      <c r="I1104" s="15">
        <f>IFERROR(__xludf.DUMMYFUNCTION("""COMPUTED_VALUE"""),45949.29297030957)</f>
        <v>45949.29297</v>
      </c>
      <c r="J1104" s="15">
        <f>IFERROR(__xludf.DUMMYFUNCTION("""COMPUTED_VALUE"""),45949.03802624707)</f>
        <v>45949.03803</v>
      </c>
      <c r="K1104" s="15">
        <f>IFERROR(__xludf.DUMMYFUNCTION("""COMPUTED_VALUE"""),45949.277780161196)</f>
        <v>45949.27778</v>
      </c>
      <c r="L1104" s="4"/>
    </row>
    <row r="1105">
      <c r="A1105" s="1">
        <f>IFERROR(__xludf.DUMMYFUNCTION("""COMPUTED_VALUE"""),1104.0)</f>
        <v>1104</v>
      </c>
      <c r="B1105" s="1">
        <f>IFERROR(__xludf.DUMMYFUNCTION("""COMPUTED_VALUE"""),5632.0)</f>
        <v>5632</v>
      </c>
      <c r="C1105" s="2" t="str">
        <f>IFERROR(__xludf.DUMMYFUNCTION("""COMPUTED_VALUE"""),"Evy")</f>
        <v>Evy</v>
      </c>
      <c r="D1105" s="2" t="str">
        <f>IFERROR(__xludf.DUMMYFUNCTION("""COMPUTED_VALUE"""),"5KM OVERALL F")</f>
        <v>5KM OVERALL F</v>
      </c>
      <c r="E1105" s="1">
        <f>IFERROR(__xludf.DUMMYFUNCTION("""COMPUTED_VALUE"""),252.0)</f>
        <v>252</v>
      </c>
      <c r="F1105" s="1" t="str">
        <f>IFERROR(__xludf.DUMMYFUNCTION("""COMPUTED_VALUE"""),"Female")</f>
        <v>Female</v>
      </c>
      <c r="G1105" s="5">
        <f>IFERROR(__xludf.DUMMYFUNCTION("""COMPUTED_VALUE"""),0.007609416666666667)</f>
        <v>0.007609416667</v>
      </c>
      <c r="H1105" s="15">
        <f>IFERROR(__xludf.DUMMYFUNCTION("""COMPUTED_VALUE"""),0.2549440625)</f>
        <v>0.2549440625</v>
      </c>
      <c r="I1105" s="15">
        <f>IFERROR(__xludf.DUMMYFUNCTION("""COMPUTED_VALUE"""),45949.292991140734)</f>
        <v>45949.29299</v>
      </c>
      <c r="J1105" s="15">
        <f>IFERROR(__xludf.DUMMYFUNCTION("""COMPUTED_VALUE"""),45949.03804707823)</f>
        <v>45949.03805</v>
      </c>
      <c r="K1105" s="15">
        <f>IFERROR(__xludf.DUMMYFUNCTION("""COMPUTED_VALUE"""),45949.27772812803)</f>
        <v>45949.27773</v>
      </c>
      <c r="L1105" s="4"/>
    </row>
    <row r="1106">
      <c r="A1106" s="1">
        <f>IFERROR(__xludf.DUMMYFUNCTION("""COMPUTED_VALUE"""),1105.0)</f>
        <v>1105</v>
      </c>
      <c r="B1106" s="1">
        <f>IFERROR(__xludf.DUMMYFUNCTION("""COMPUTED_VALUE"""),5061.0)</f>
        <v>5061</v>
      </c>
      <c r="C1106" s="2" t="str">
        <f>IFERROR(__xludf.DUMMYFUNCTION("""COMPUTED_VALUE"""),"Afrian")</f>
        <v>Afrian</v>
      </c>
      <c r="D1106" s="2" t="str">
        <f>IFERROR(__xludf.DUMMYFUNCTION("""COMPUTED_VALUE"""),"5KM OVERALL M")</f>
        <v>5KM OVERALL M</v>
      </c>
      <c r="E1106" s="1">
        <f>IFERROR(__xludf.DUMMYFUNCTION("""COMPUTED_VALUE"""),656.0)</f>
        <v>656</v>
      </c>
      <c r="F1106" s="1" t="str">
        <f>IFERROR(__xludf.DUMMYFUNCTION("""COMPUTED_VALUE"""),"Male")</f>
        <v>Male</v>
      </c>
      <c r="G1106" s="5">
        <f>IFERROR(__xludf.DUMMYFUNCTION("""COMPUTED_VALUE"""),0.007611502314814815)</f>
        <v>0.007611502315</v>
      </c>
      <c r="H1106" s="15">
        <f>IFERROR(__xludf.DUMMYFUNCTION("""COMPUTED_VALUE"""),0.2549440625)</f>
        <v>0.2549440625</v>
      </c>
      <c r="I1106" s="15">
        <f>IFERROR(__xludf.DUMMYFUNCTION("""COMPUTED_VALUE"""),45949.29300157238)</f>
        <v>45949.293</v>
      </c>
      <c r="J1106" s="15">
        <f>IFERROR(__xludf.DUMMYFUNCTION("""COMPUTED_VALUE"""),45949.03805750988)</f>
        <v>45949.03806</v>
      </c>
      <c r="K1106" s="15">
        <f>IFERROR(__xludf.DUMMYFUNCTION("""COMPUTED_VALUE"""),45949.27763433058)</f>
        <v>45949.27763</v>
      </c>
      <c r="L1106" s="4"/>
    </row>
    <row r="1107">
      <c r="A1107" s="1">
        <f>IFERROR(__xludf.DUMMYFUNCTION("""COMPUTED_VALUE"""),1106.0)</f>
        <v>1106</v>
      </c>
      <c r="B1107" s="1">
        <f>IFERROR(__xludf.DUMMYFUNCTION("""COMPUTED_VALUE"""),5286.0)</f>
        <v>5286</v>
      </c>
      <c r="C1107" s="2" t="str">
        <f>IFERROR(__xludf.DUMMYFUNCTION("""COMPUTED_VALUE"""),"Lira")</f>
        <v>Lira</v>
      </c>
      <c r="D1107" s="2" t="str">
        <f>IFERROR(__xludf.DUMMYFUNCTION("""COMPUTED_VALUE"""),"5KM OVERALL F")</f>
        <v>5KM OVERALL F</v>
      </c>
      <c r="E1107" s="1">
        <f>IFERROR(__xludf.DUMMYFUNCTION("""COMPUTED_VALUE"""),253.0)</f>
        <v>253</v>
      </c>
      <c r="F1107" s="1" t="str">
        <f>IFERROR(__xludf.DUMMYFUNCTION("""COMPUTED_VALUE"""),"Female")</f>
        <v>Female</v>
      </c>
      <c r="G1107" s="5">
        <f>IFERROR(__xludf.DUMMYFUNCTION("""COMPUTED_VALUE"""),0.007618444444444444)</f>
        <v>0.007618444444</v>
      </c>
      <c r="H1107" s="15">
        <f>IFERROR(__xludf.DUMMYFUNCTION("""COMPUTED_VALUE"""),0.2549440625)</f>
        <v>0.2549440625</v>
      </c>
      <c r="I1107" s="15">
        <f>IFERROR(__xludf.DUMMYFUNCTION("""COMPUTED_VALUE"""),45949.293036288014)</f>
        <v>45949.29304</v>
      </c>
      <c r="J1107" s="15">
        <f>IFERROR(__xludf.DUMMYFUNCTION("""COMPUTED_VALUE"""),45949.03809222551)</f>
        <v>45949.03809</v>
      </c>
      <c r="K1107" s="15">
        <f>IFERROR(__xludf.DUMMYFUNCTION("""COMPUTED_VALUE"""),45949.27745728763)</f>
        <v>45949.27746</v>
      </c>
      <c r="L1107" s="4"/>
    </row>
    <row r="1108">
      <c r="A1108" s="1">
        <f>IFERROR(__xludf.DUMMYFUNCTION("""COMPUTED_VALUE"""),1107.0)</f>
        <v>1107</v>
      </c>
      <c r="B1108" s="1">
        <f>IFERROR(__xludf.DUMMYFUNCTION("""COMPUTED_VALUE"""),5301.0)</f>
        <v>5301</v>
      </c>
      <c r="C1108" s="2" t="str">
        <f>IFERROR(__xludf.DUMMYFUNCTION("""COMPUTED_VALUE"""),"EGAGNWN")</f>
        <v>EGAGNWN</v>
      </c>
      <c r="D1108" s="2" t="str">
        <f>IFERROR(__xludf.DUMMYFUNCTION("""COMPUTED_VALUE"""),"5KM OVERALL M")</f>
        <v>5KM OVERALL M</v>
      </c>
      <c r="E1108" s="1">
        <f>IFERROR(__xludf.DUMMYFUNCTION("""COMPUTED_VALUE"""),657.0)</f>
        <v>657</v>
      </c>
      <c r="F1108" s="1" t="str">
        <f>IFERROR(__xludf.DUMMYFUNCTION("""COMPUTED_VALUE"""),"Male")</f>
        <v>Male</v>
      </c>
      <c r="G1108" s="5">
        <f>IFERROR(__xludf.DUMMYFUNCTION("""COMPUTED_VALUE"""),0.007628171296296296)</f>
        <v>0.007628171296</v>
      </c>
      <c r="H1108" s="15">
        <f>IFERROR(__xludf.DUMMYFUNCTION("""COMPUTED_VALUE"""),0.2549440625)</f>
        <v>0.2549440625</v>
      </c>
      <c r="I1108" s="15">
        <f>IFERROR(__xludf.DUMMYFUNCTION("""COMPUTED_VALUE"""),45949.29308492331)</f>
        <v>45949.29308</v>
      </c>
      <c r="J1108" s="15">
        <f>IFERROR(__xludf.DUMMYFUNCTION("""COMPUTED_VALUE"""),45949.03814086081)</f>
        <v>45949.03814</v>
      </c>
      <c r="K1108" s="15">
        <f>IFERROR(__xludf.DUMMYFUNCTION("""COMPUTED_VALUE"""),45949.276092672684)</f>
        <v>45949.27609</v>
      </c>
      <c r="L1108" s="4"/>
    </row>
    <row r="1109">
      <c r="A1109" s="1">
        <f>IFERROR(__xludf.DUMMYFUNCTION("""COMPUTED_VALUE"""),1108.0)</f>
        <v>1108</v>
      </c>
      <c r="B1109" s="1">
        <f>IFERROR(__xludf.DUMMYFUNCTION("""COMPUTED_VALUE"""),6272.0)</f>
        <v>6272</v>
      </c>
      <c r="C1109" s="2" t="str">
        <f>IFERROR(__xludf.DUMMYFUNCTION("""COMPUTED_VALUE"""),"AHMAD ABDILLAH")</f>
        <v>AHMAD ABDILLAH</v>
      </c>
      <c r="D1109" s="2" t="str">
        <f>IFERROR(__xludf.DUMMYFUNCTION("""COMPUTED_VALUE"""),"5KM OVERALL M")</f>
        <v>5KM OVERALL M</v>
      </c>
      <c r="E1109" s="1">
        <f>IFERROR(__xludf.DUMMYFUNCTION("""COMPUTED_VALUE"""),658.0)</f>
        <v>658</v>
      </c>
      <c r="F1109" s="1" t="str">
        <f>IFERROR(__xludf.DUMMYFUNCTION("""COMPUTED_VALUE"""),"Male")</f>
        <v>Male</v>
      </c>
      <c r="G1109" s="5">
        <f>IFERROR(__xludf.DUMMYFUNCTION("""COMPUTED_VALUE"""),0.007628863425925926)</f>
        <v>0.007628863426</v>
      </c>
      <c r="H1109" s="15">
        <f>IFERROR(__xludf.DUMMYFUNCTION("""COMPUTED_VALUE"""),0.2549440625)</f>
        <v>0.2549440625</v>
      </c>
      <c r="I1109" s="15">
        <f>IFERROR(__xludf.DUMMYFUNCTION("""COMPUTED_VALUE"""),45949.2930883786)</f>
        <v>45949.29309</v>
      </c>
      <c r="J1109" s="15">
        <f>IFERROR(__xludf.DUMMYFUNCTION("""COMPUTED_VALUE"""),45949.0381443161)</f>
        <v>45949.03814</v>
      </c>
      <c r="K1109" s="15">
        <f>IFERROR(__xludf.DUMMYFUNCTION("""COMPUTED_VALUE"""),45949.27610308809)</f>
        <v>45949.2761</v>
      </c>
      <c r="L1109" s="4"/>
    </row>
    <row r="1110">
      <c r="A1110" s="1">
        <f>IFERROR(__xludf.DUMMYFUNCTION("""COMPUTED_VALUE"""),1109.0)</f>
        <v>1109</v>
      </c>
      <c r="B1110" s="1">
        <f>IFERROR(__xludf.DUMMYFUNCTION("""COMPUTED_VALUE"""),5189.0)</f>
        <v>5189</v>
      </c>
      <c r="C1110" s="2" t="str">
        <f>IFERROR(__xludf.DUMMYFUNCTION("""COMPUTED_VALUE"""),"Angie Afreini Hasyim")</f>
        <v>Angie Afreini Hasyim</v>
      </c>
      <c r="D1110" s="2" t="str">
        <f>IFERROR(__xludf.DUMMYFUNCTION("""COMPUTED_VALUE"""),"5KM OVERALL F")</f>
        <v>5KM OVERALL F</v>
      </c>
      <c r="E1110" s="1">
        <f>IFERROR(__xludf.DUMMYFUNCTION("""COMPUTED_VALUE"""),254.0)</f>
        <v>254</v>
      </c>
      <c r="F1110" s="1" t="str">
        <f>IFERROR(__xludf.DUMMYFUNCTION("""COMPUTED_VALUE"""),"Female")</f>
        <v>Female</v>
      </c>
      <c r="G1110" s="5">
        <f>IFERROR(__xludf.DUMMYFUNCTION("""COMPUTED_VALUE"""),0.007628865740740741)</f>
        <v>0.007628865741</v>
      </c>
      <c r="H1110" s="15">
        <f>IFERROR(__xludf.DUMMYFUNCTION("""COMPUTED_VALUE"""),0.2549440625)</f>
        <v>0.2549440625</v>
      </c>
      <c r="I1110" s="15">
        <f>IFERROR(__xludf.DUMMYFUNCTION("""COMPUTED_VALUE"""),45949.29308839041)</f>
        <v>45949.29309</v>
      </c>
      <c r="J1110" s="15">
        <f>IFERROR(__xludf.DUMMYFUNCTION("""COMPUTED_VALUE"""),45949.03814432791)</f>
        <v>45949.03814</v>
      </c>
      <c r="K1110" s="15">
        <f>IFERROR(__xludf.DUMMYFUNCTION("""COMPUTED_VALUE"""),45949.27668647258)</f>
        <v>45949.27669</v>
      </c>
      <c r="L1110" s="4"/>
    </row>
    <row r="1111">
      <c r="A1111" s="1">
        <f>IFERROR(__xludf.DUMMYFUNCTION("""COMPUTED_VALUE"""),1110.0)</f>
        <v>1110</v>
      </c>
      <c r="B1111" s="1">
        <f>IFERROR(__xludf.DUMMYFUNCTION("""COMPUTED_VALUE"""),6206.0)</f>
        <v>6206</v>
      </c>
      <c r="C1111" s="2" t="str">
        <f>IFERROR(__xludf.DUMMYFUNCTION("""COMPUTED_VALUE"""),"Eka Yunita")</f>
        <v>Eka Yunita</v>
      </c>
      <c r="D1111" s="2" t="str">
        <f>IFERROR(__xludf.DUMMYFUNCTION("""COMPUTED_VALUE"""),"5KM OVERALL F")</f>
        <v>5KM OVERALL F</v>
      </c>
      <c r="E1111" s="1">
        <f>IFERROR(__xludf.DUMMYFUNCTION("""COMPUTED_VALUE"""),255.0)</f>
        <v>255</v>
      </c>
      <c r="F1111" s="1" t="str">
        <f>IFERROR(__xludf.DUMMYFUNCTION("""COMPUTED_VALUE"""),"Female")</f>
        <v>Female</v>
      </c>
      <c r="G1111" s="5">
        <f>IFERROR(__xludf.DUMMYFUNCTION("""COMPUTED_VALUE"""),0.007632333333333334)</f>
        <v>0.007632333333</v>
      </c>
      <c r="H1111" s="15">
        <f>IFERROR(__xludf.DUMMYFUNCTION("""COMPUTED_VALUE"""),0.2549440625)</f>
        <v>0.2549440625</v>
      </c>
      <c r="I1111" s="15">
        <f>IFERROR(__xludf.DUMMYFUNCTION("""COMPUTED_VALUE"""),45949.29310572698)</f>
        <v>45949.29311</v>
      </c>
      <c r="J1111" s="15">
        <f>IFERROR(__xludf.DUMMYFUNCTION("""COMPUTED_VALUE"""),45949.03816166448)</f>
        <v>45949.03816</v>
      </c>
      <c r="K1111" s="15">
        <f>IFERROR(__xludf.DUMMYFUNCTION("""COMPUTED_VALUE"""),45949.27687737684)</f>
        <v>45949.27688</v>
      </c>
      <c r="L1111" s="4"/>
    </row>
    <row r="1112">
      <c r="A1112" s="1">
        <f>IFERROR(__xludf.DUMMYFUNCTION("""COMPUTED_VALUE"""),1111.0)</f>
        <v>1111</v>
      </c>
      <c r="B1112" s="1">
        <f>IFERROR(__xludf.DUMMYFUNCTION("""COMPUTED_VALUE"""),7116.0)</f>
        <v>7116</v>
      </c>
      <c r="C1112" s="2" t="str">
        <f>IFERROR(__xludf.DUMMYFUNCTION("""COMPUTED_VALUE"""),"FERRY")</f>
        <v>FERRY</v>
      </c>
      <c r="D1112" s="2" t="str">
        <f>IFERROR(__xludf.DUMMYFUNCTION("""COMPUTED_VALUE"""),"5KM MASTER M")</f>
        <v>5KM MASTER M</v>
      </c>
      <c r="E1112" s="1">
        <f>IFERROR(__xludf.DUMMYFUNCTION("""COMPUTED_VALUE"""),85.0)</f>
        <v>85</v>
      </c>
      <c r="F1112" s="1" t="str">
        <f>IFERROR(__xludf.DUMMYFUNCTION("""COMPUTED_VALUE"""),"Male")</f>
        <v>Male</v>
      </c>
      <c r="G1112" s="5">
        <f>IFERROR(__xludf.DUMMYFUNCTION("""COMPUTED_VALUE"""),0.00763718287037037)</f>
        <v>0.00763718287</v>
      </c>
      <c r="H1112" s="15">
        <f>IFERROR(__xludf.DUMMYFUNCTION("""COMPUTED_VALUE"""),0.2549440625)</f>
        <v>0.2549440625</v>
      </c>
      <c r="I1112" s="15">
        <f>IFERROR(__xludf.DUMMYFUNCTION("""COMPUTED_VALUE"""),45949.29312998124)</f>
        <v>45949.29313</v>
      </c>
      <c r="J1112" s="15">
        <f>IFERROR(__xludf.DUMMYFUNCTION("""COMPUTED_VALUE"""),45949.03818591874)</f>
        <v>45949.03819</v>
      </c>
      <c r="K1112" s="15">
        <f>IFERROR(__xludf.DUMMYFUNCTION("""COMPUTED_VALUE"""),45949.27742599079)</f>
        <v>45949.27743</v>
      </c>
      <c r="L1112" s="4"/>
    </row>
    <row r="1113">
      <c r="A1113" s="1">
        <f>IFERROR(__xludf.DUMMYFUNCTION("""COMPUTED_VALUE"""),1112.0)</f>
        <v>1112</v>
      </c>
      <c r="B1113" s="1">
        <f>IFERROR(__xludf.DUMMYFUNCTION("""COMPUTED_VALUE"""),6395.0)</f>
        <v>6395</v>
      </c>
      <c r="C1113" s="2" t="str">
        <f>IFERROR(__xludf.DUMMYFUNCTION("""COMPUTED_VALUE"""),"MzF")</f>
        <v>MzF</v>
      </c>
      <c r="D1113" s="2" t="str">
        <f>IFERROR(__xludf.DUMMYFUNCTION("""COMPUTED_VALUE"""),"5KM OVERALL F")</f>
        <v>5KM OVERALL F</v>
      </c>
      <c r="E1113" s="1">
        <f>IFERROR(__xludf.DUMMYFUNCTION("""COMPUTED_VALUE"""),256.0)</f>
        <v>256</v>
      </c>
      <c r="F1113" s="1" t="str">
        <f>IFERROR(__xludf.DUMMYFUNCTION("""COMPUTED_VALUE"""),"Female")</f>
        <v>Female</v>
      </c>
      <c r="G1113" s="5">
        <f>IFERROR(__xludf.DUMMYFUNCTION("""COMPUTED_VALUE"""),0.00763788888888889)</f>
        <v>0.007637888889</v>
      </c>
      <c r="H1113" s="15">
        <f>IFERROR(__xludf.DUMMYFUNCTION("""COMPUTED_VALUE"""),0.2549440625)</f>
        <v>0.2549440625</v>
      </c>
      <c r="I1113" s="15">
        <f>IFERROR(__xludf.DUMMYFUNCTION("""COMPUTED_VALUE"""),45949.29313351051)</f>
        <v>45949.29313</v>
      </c>
      <c r="J1113" s="15">
        <f>IFERROR(__xludf.DUMMYFUNCTION("""COMPUTED_VALUE"""),45949.03818944801)</f>
        <v>45949.03819</v>
      </c>
      <c r="K1113" s="15">
        <f>IFERROR(__xludf.DUMMYFUNCTION("""COMPUTED_VALUE"""),45949.276363567755)</f>
        <v>45949.27636</v>
      </c>
      <c r="L1113" s="4"/>
    </row>
    <row r="1114">
      <c r="A1114" s="1">
        <f>IFERROR(__xludf.DUMMYFUNCTION("""COMPUTED_VALUE"""),1113.0)</f>
        <v>1113</v>
      </c>
      <c r="B1114" s="1">
        <f>IFERROR(__xludf.DUMMYFUNCTION("""COMPUTED_VALUE"""),5042.0)</f>
        <v>5042</v>
      </c>
      <c r="C1114" s="2" t="str">
        <f>IFERROR(__xludf.DUMMYFUNCTION("""COMPUTED_VALUE"""),"iqbal")</f>
        <v>iqbal</v>
      </c>
      <c r="D1114" s="2" t="str">
        <f>IFERROR(__xludf.DUMMYFUNCTION("""COMPUTED_VALUE"""),"5KM OVERALL M")</f>
        <v>5KM OVERALL M</v>
      </c>
      <c r="E1114" s="1">
        <f>IFERROR(__xludf.DUMMYFUNCTION("""COMPUTED_VALUE"""),659.0)</f>
        <v>659</v>
      </c>
      <c r="F1114" s="1" t="str">
        <f>IFERROR(__xludf.DUMMYFUNCTION("""COMPUTED_VALUE"""),"Male")</f>
        <v>Male</v>
      </c>
      <c r="G1114" s="5">
        <f>IFERROR(__xludf.DUMMYFUNCTION("""COMPUTED_VALUE"""),0.0076378935185185196)</f>
        <v>0.007637893519</v>
      </c>
      <c r="H1114" s="15">
        <f>IFERROR(__xludf.DUMMYFUNCTION("""COMPUTED_VALUE"""),0.2549440625)</f>
        <v>0.2549440625</v>
      </c>
      <c r="I1114" s="15">
        <f>IFERROR(__xludf.DUMMYFUNCTION("""COMPUTED_VALUE"""),45949.29313352644)</f>
        <v>45949.29313</v>
      </c>
      <c r="J1114" s="15">
        <f>IFERROR(__xludf.DUMMYFUNCTION("""COMPUTED_VALUE"""),45949.038189463936)</f>
        <v>45949.03819</v>
      </c>
      <c r="K1114" s="15">
        <f>IFERROR(__xludf.DUMMYFUNCTION("""COMPUTED_VALUE"""),45949.27937044889)</f>
        <v>45949.27937</v>
      </c>
      <c r="L1114" s="4"/>
    </row>
    <row r="1115">
      <c r="A1115" s="1">
        <f>IFERROR(__xludf.DUMMYFUNCTION("""COMPUTED_VALUE"""),1114.0)</f>
        <v>1114</v>
      </c>
      <c r="B1115" s="1">
        <f>IFERROR(__xludf.DUMMYFUNCTION("""COMPUTED_VALUE"""),5091.0)</f>
        <v>5091</v>
      </c>
      <c r="C1115" s="2" t="str">
        <f>IFERROR(__xludf.DUMMYFUNCTION("""COMPUTED_VALUE"""),"Desy")</f>
        <v>Desy</v>
      </c>
      <c r="D1115" s="2" t="str">
        <f>IFERROR(__xludf.DUMMYFUNCTION("""COMPUTED_VALUE"""),"5KM OVERALL F")</f>
        <v>5KM OVERALL F</v>
      </c>
      <c r="E1115" s="1">
        <f>IFERROR(__xludf.DUMMYFUNCTION("""COMPUTED_VALUE"""),257.0)</f>
        <v>257</v>
      </c>
      <c r="F1115" s="1" t="str">
        <f>IFERROR(__xludf.DUMMYFUNCTION("""COMPUTED_VALUE"""),"Female")</f>
        <v>Female</v>
      </c>
      <c r="G1115" s="5">
        <f>IFERROR(__xludf.DUMMYFUNCTION("""COMPUTED_VALUE"""),0.007640668981481481)</f>
        <v>0.007640668981</v>
      </c>
      <c r="H1115" s="15">
        <f>IFERROR(__xludf.DUMMYFUNCTION("""COMPUTED_VALUE"""),0.2549440625)</f>
        <v>0.2549440625</v>
      </c>
      <c r="I1115" s="15">
        <f>IFERROR(__xludf.DUMMYFUNCTION("""COMPUTED_VALUE"""),45949.29314740997)</f>
        <v>45949.29315</v>
      </c>
      <c r="J1115" s="15">
        <f>IFERROR(__xludf.DUMMYFUNCTION("""COMPUTED_VALUE"""),45949.03820334747)</f>
        <v>45949.0382</v>
      </c>
      <c r="K1115" s="15">
        <f>IFERROR(__xludf.DUMMYFUNCTION("""COMPUTED_VALUE"""),45949.27751280938)</f>
        <v>45949.27751</v>
      </c>
      <c r="L1115" s="4"/>
    </row>
    <row r="1116">
      <c r="A1116" s="1">
        <f>IFERROR(__xludf.DUMMYFUNCTION("""COMPUTED_VALUE"""),1115.0)</f>
        <v>1115</v>
      </c>
      <c r="B1116" s="1">
        <f>IFERROR(__xludf.DUMMYFUNCTION("""COMPUTED_VALUE"""),6260.0)</f>
        <v>6260</v>
      </c>
      <c r="C1116" s="2">
        <f>IFERROR(__xludf.DUMMYFUNCTION("""COMPUTED_VALUE"""),9898.0)</f>
        <v>9898</v>
      </c>
      <c r="D1116" s="2" t="str">
        <f>IFERROR(__xludf.DUMMYFUNCTION("""COMPUTED_VALUE"""),"5KM OVERALL F")</f>
        <v>5KM OVERALL F</v>
      </c>
      <c r="E1116" s="1">
        <f>IFERROR(__xludf.DUMMYFUNCTION("""COMPUTED_VALUE"""),258.0)</f>
        <v>258</v>
      </c>
      <c r="F1116" s="1" t="str">
        <f>IFERROR(__xludf.DUMMYFUNCTION("""COMPUTED_VALUE"""),"Female")</f>
        <v>Female</v>
      </c>
      <c r="G1116" s="5">
        <f>IFERROR(__xludf.DUMMYFUNCTION("""COMPUTED_VALUE"""),0.0076413634259259264)</f>
        <v>0.007641363426</v>
      </c>
      <c r="H1116" s="15">
        <f>IFERROR(__xludf.DUMMYFUNCTION("""COMPUTED_VALUE"""),0.2549440625)</f>
        <v>0.2549440625</v>
      </c>
      <c r="I1116" s="15">
        <f>IFERROR(__xludf.DUMMYFUNCTION("""COMPUTED_VALUE"""),45949.29315088361)</f>
        <v>45949.29315</v>
      </c>
      <c r="J1116" s="15">
        <f>IFERROR(__xludf.DUMMYFUNCTION("""COMPUTED_VALUE"""),45949.03820682111)</f>
        <v>45949.03821</v>
      </c>
      <c r="K1116" s="15">
        <f>IFERROR(__xludf.DUMMYFUNCTION("""COMPUTED_VALUE"""),45949.27714128689)</f>
        <v>45949.27714</v>
      </c>
      <c r="L1116" s="4"/>
    </row>
    <row r="1117">
      <c r="A1117" s="1">
        <f>IFERROR(__xludf.DUMMYFUNCTION("""COMPUTED_VALUE"""),1116.0)</f>
        <v>1116</v>
      </c>
      <c r="B1117" s="1">
        <f>IFERROR(__xludf.DUMMYFUNCTION("""COMPUTED_VALUE"""),5116.0)</f>
        <v>5116</v>
      </c>
      <c r="C1117" s="2" t="str">
        <f>IFERROR(__xludf.DUMMYFUNCTION("""COMPUTED_VALUE"""),"Faris")</f>
        <v>Faris</v>
      </c>
      <c r="D1117" s="2" t="str">
        <f>IFERROR(__xludf.DUMMYFUNCTION("""COMPUTED_VALUE"""),"5KM OVERALL M")</f>
        <v>5KM OVERALL M</v>
      </c>
      <c r="E1117" s="1">
        <f>IFERROR(__xludf.DUMMYFUNCTION("""COMPUTED_VALUE"""),660.0)</f>
        <v>660</v>
      </c>
      <c r="F1117" s="1" t="str">
        <f>IFERROR(__xludf.DUMMYFUNCTION("""COMPUTED_VALUE"""),"Male")</f>
        <v>Male</v>
      </c>
      <c r="G1117" s="5">
        <f>IFERROR(__xludf.DUMMYFUNCTION("""COMPUTED_VALUE"""),0.007646918981481482)</f>
        <v>0.007646918981</v>
      </c>
      <c r="H1117" s="15">
        <f>IFERROR(__xludf.DUMMYFUNCTION("""COMPUTED_VALUE"""),0.2549440625)</f>
        <v>0.2549440625</v>
      </c>
      <c r="I1117" s="15">
        <f>IFERROR(__xludf.DUMMYFUNCTION("""COMPUTED_VALUE"""),45949.293178658176)</f>
        <v>45949.29318</v>
      </c>
      <c r="J1117" s="15">
        <f>IFERROR(__xludf.DUMMYFUNCTION("""COMPUTED_VALUE"""),45949.038234595675)</f>
        <v>45949.03823</v>
      </c>
      <c r="K1117" s="15">
        <f>IFERROR(__xludf.DUMMYFUNCTION("""COMPUTED_VALUE"""),45949.27746766795)</f>
        <v>45949.27747</v>
      </c>
      <c r="L1117" s="4"/>
    </row>
    <row r="1118">
      <c r="A1118" s="1">
        <f>IFERROR(__xludf.DUMMYFUNCTION("""COMPUTED_VALUE"""),1117.0)</f>
        <v>1117</v>
      </c>
      <c r="B1118" s="7" t="str">
        <f>IFERROR(__xludf.DUMMYFUNCTION("""COMPUTED_VALUE"""),"9016")</f>
        <v>9016</v>
      </c>
      <c r="C1118" s="8" t="str">
        <f>IFERROR(__xludf.DUMMYFUNCTION("""COMPUTED_VALUE"""),"M Rafa Narendra")</f>
        <v>M Rafa Narendra</v>
      </c>
      <c r="D1118" s="2" t="str">
        <f>IFERROR(__xludf.DUMMYFUNCTION("""COMPUTED_VALUE"""),"5KM STUDENT M")</f>
        <v>5KM STUDENT M</v>
      </c>
      <c r="E1118" s="1">
        <f>IFERROR(__xludf.DUMMYFUNCTION("""COMPUTED_VALUE"""),63.0)</f>
        <v>63</v>
      </c>
      <c r="F1118" s="1" t="str">
        <f>IFERROR(__xludf.DUMMYFUNCTION("""COMPUTED_VALUE"""),"Male")</f>
        <v>Male</v>
      </c>
      <c r="G1118" s="5">
        <f>IFERROR(__xludf.DUMMYFUNCTION("""COMPUTED_VALUE"""),0.007648310185185185)</f>
        <v>0.007648310185</v>
      </c>
      <c r="H1118" s="15">
        <f>IFERROR(__xludf.DUMMYFUNCTION("""COMPUTED_VALUE"""),0.2549440625)</f>
        <v>0.2549440625</v>
      </c>
      <c r="I1118" s="15">
        <f>IFERROR(__xludf.DUMMYFUNCTION("""COMPUTED_VALUE"""),45949.2931856164)</f>
        <v>45949.29319</v>
      </c>
      <c r="J1118" s="15">
        <f>IFERROR(__xludf.DUMMYFUNCTION("""COMPUTED_VALUE"""),45949.0382415539)</f>
        <v>45949.03824</v>
      </c>
      <c r="K1118" s="15">
        <f>IFERROR(__xludf.DUMMYFUNCTION("""COMPUTED_VALUE"""),45949.27724890965)</f>
        <v>45949.27725</v>
      </c>
      <c r="L1118" s="4"/>
    </row>
    <row r="1119">
      <c r="A1119" s="1">
        <f>IFERROR(__xludf.DUMMYFUNCTION("""COMPUTED_VALUE"""),1118.0)</f>
        <v>1118</v>
      </c>
      <c r="B1119" s="1">
        <f>IFERROR(__xludf.DUMMYFUNCTION("""COMPUTED_VALUE"""),5250.0)</f>
        <v>5250</v>
      </c>
      <c r="C1119" s="2" t="str">
        <f>IFERROR(__xludf.DUMMYFUNCTION("""COMPUTED_VALUE"""),"nonik")</f>
        <v>nonik</v>
      </c>
      <c r="D1119" s="2" t="str">
        <f>IFERROR(__xludf.DUMMYFUNCTION("""COMPUTED_VALUE"""),"5KM OVERALL F")</f>
        <v>5KM OVERALL F</v>
      </c>
      <c r="E1119" s="1">
        <f>IFERROR(__xludf.DUMMYFUNCTION("""COMPUTED_VALUE"""),259.0)</f>
        <v>259</v>
      </c>
      <c r="F1119" s="1" t="str">
        <f>IFERROR(__xludf.DUMMYFUNCTION("""COMPUTED_VALUE"""),"Female")</f>
        <v>Female</v>
      </c>
      <c r="G1119" s="5">
        <f>IFERROR(__xludf.DUMMYFUNCTION("""COMPUTED_VALUE"""),0.007649699074074074)</f>
        <v>0.007649699074</v>
      </c>
      <c r="H1119" s="15">
        <f>IFERROR(__xludf.DUMMYFUNCTION("""COMPUTED_VALUE"""),0.2549440625)</f>
        <v>0.2549440625</v>
      </c>
      <c r="I1119" s="15">
        <f>IFERROR(__xludf.DUMMYFUNCTION("""COMPUTED_VALUE"""),45949.293192555524)</f>
        <v>45949.29319</v>
      </c>
      <c r="J1119" s="15">
        <f>IFERROR(__xludf.DUMMYFUNCTION("""COMPUTED_VALUE"""),45949.03824849302)</f>
        <v>45949.03825</v>
      </c>
      <c r="K1119" s="15">
        <f>IFERROR(__xludf.DUMMYFUNCTION("""COMPUTED_VALUE"""),45949.27740174194)</f>
        <v>45949.2774</v>
      </c>
      <c r="L1119" s="4"/>
    </row>
    <row r="1120">
      <c r="A1120" s="1">
        <f>IFERROR(__xludf.DUMMYFUNCTION("""COMPUTED_VALUE"""),1119.0)</f>
        <v>1119</v>
      </c>
      <c r="B1120" s="1">
        <f>IFERROR(__xludf.DUMMYFUNCTION("""COMPUTED_VALUE"""),6396.0)</f>
        <v>6396</v>
      </c>
      <c r="C1120" s="2" t="str">
        <f>IFERROR(__xludf.DUMMYFUNCTION("""COMPUTED_VALUE"""),"ANJARYA WIJANARTI")</f>
        <v>ANJARYA WIJANARTI</v>
      </c>
      <c r="D1120" s="2" t="str">
        <f>IFERROR(__xludf.DUMMYFUNCTION("""COMPUTED_VALUE"""),"5KM OVERALL F")</f>
        <v>5KM OVERALL F</v>
      </c>
      <c r="E1120" s="1">
        <f>IFERROR(__xludf.DUMMYFUNCTION("""COMPUTED_VALUE"""),260.0)</f>
        <v>260</v>
      </c>
      <c r="F1120" s="1" t="str">
        <f>IFERROR(__xludf.DUMMYFUNCTION("""COMPUTED_VALUE"""),"Female")</f>
        <v>Female</v>
      </c>
      <c r="G1120" s="5">
        <f>IFERROR(__xludf.DUMMYFUNCTION("""COMPUTED_VALUE"""),0.007650388888888889)</f>
        <v>0.007650388889</v>
      </c>
      <c r="H1120" s="15">
        <f>IFERROR(__xludf.DUMMYFUNCTION("""COMPUTED_VALUE"""),0.2549440625)</f>
        <v>0.2549440625</v>
      </c>
      <c r="I1120" s="15">
        <f>IFERROR(__xludf.DUMMYFUNCTION("""COMPUTED_VALUE"""),45949.29319601054)</f>
        <v>45949.2932</v>
      </c>
      <c r="J1120" s="15">
        <f>IFERROR(__xludf.DUMMYFUNCTION("""COMPUTED_VALUE"""),45949.03825194804)</f>
        <v>45949.03825</v>
      </c>
      <c r="K1120" s="15">
        <f>IFERROR(__xludf.DUMMYFUNCTION("""COMPUTED_VALUE"""),45949.2757141975)</f>
        <v>45949.27571</v>
      </c>
      <c r="L1120" s="4"/>
    </row>
    <row r="1121">
      <c r="A1121" s="1">
        <f>IFERROR(__xludf.DUMMYFUNCTION("""COMPUTED_VALUE"""),1120.0)</f>
        <v>1120</v>
      </c>
      <c r="B1121" s="1">
        <f>IFERROR(__xludf.DUMMYFUNCTION("""COMPUTED_VALUE"""),6136.0)</f>
        <v>6136</v>
      </c>
      <c r="C1121" s="2" t="str">
        <f>IFERROR(__xludf.DUMMYFUNCTION("""COMPUTED_VALUE"""),"IWANK")</f>
        <v>IWANK</v>
      </c>
      <c r="D1121" s="2" t="str">
        <f>IFERROR(__xludf.DUMMYFUNCTION("""COMPUTED_VALUE"""),"5KM OVERALL M")</f>
        <v>5KM OVERALL M</v>
      </c>
      <c r="E1121" s="1">
        <f>IFERROR(__xludf.DUMMYFUNCTION("""COMPUTED_VALUE"""),661.0)</f>
        <v>661</v>
      </c>
      <c r="F1121" s="1" t="str">
        <f>IFERROR(__xludf.DUMMYFUNCTION("""COMPUTED_VALUE"""),"Male")</f>
        <v>Male</v>
      </c>
      <c r="G1121" s="5">
        <f>IFERROR(__xludf.DUMMYFUNCTION("""COMPUTED_VALUE"""),0.0076503912037037035)</f>
        <v>0.007650391204</v>
      </c>
      <c r="H1121" s="15">
        <f>IFERROR(__xludf.DUMMYFUNCTION("""COMPUTED_VALUE"""),0.2549440625)</f>
        <v>0.2549440625</v>
      </c>
      <c r="I1121" s="15">
        <f>IFERROR(__xludf.DUMMYFUNCTION("""COMPUTED_VALUE"""),45949.293196022525)</f>
        <v>45949.2932</v>
      </c>
      <c r="J1121" s="15">
        <f>IFERROR(__xludf.DUMMYFUNCTION("""COMPUTED_VALUE"""),45949.038251960024)</f>
        <v>45949.03825</v>
      </c>
      <c r="K1121" s="15">
        <f>IFERROR(__xludf.DUMMYFUNCTION("""COMPUTED_VALUE"""),45949.2778322491)</f>
        <v>45949.27783</v>
      </c>
      <c r="L1121" s="4"/>
    </row>
    <row r="1122">
      <c r="A1122" s="1">
        <f>IFERROR(__xludf.DUMMYFUNCTION("""COMPUTED_VALUE"""),1121.0)</f>
        <v>1121</v>
      </c>
      <c r="B1122" s="1">
        <f>IFERROR(__xludf.DUMMYFUNCTION("""COMPUTED_VALUE"""),6140.0)</f>
        <v>6140</v>
      </c>
      <c r="C1122" s="2" t="str">
        <f>IFERROR(__xludf.DUMMYFUNCTION("""COMPUTED_VALUE"""),"Dendy Perdana")</f>
        <v>Dendy Perdana</v>
      </c>
      <c r="D1122" s="2" t="str">
        <f>IFERROR(__xludf.DUMMYFUNCTION("""COMPUTED_VALUE"""),"5KM OVERALL M")</f>
        <v>5KM OVERALL M</v>
      </c>
      <c r="E1122" s="1">
        <f>IFERROR(__xludf.DUMMYFUNCTION("""COMPUTED_VALUE"""),662.0)</f>
        <v>662</v>
      </c>
      <c r="F1122" s="1" t="str">
        <f>IFERROR(__xludf.DUMMYFUNCTION("""COMPUTED_VALUE"""),"Male")</f>
        <v>Male</v>
      </c>
      <c r="G1122" s="5">
        <f>IFERROR(__xludf.DUMMYFUNCTION("""COMPUTED_VALUE"""),0.00765455787037037)</f>
        <v>0.00765455787</v>
      </c>
      <c r="H1122" s="15">
        <f>IFERROR(__xludf.DUMMYFUNCTION("""COMPUTED_VALUE"""),0.2549440625)</f>
        <v>0.2549440625</v>
      </c>
      <c r="I1122" s="15">
        <f>IFERROR(__xludf.DUMMYFUNCTION("""COMPUTED_VALUE"""),45949.29321684889)</f>
        <v>45949.29322</v>
      </c>
      <c r="J1122" s="15">
        <f>IFERROR(__xludf.DUMMYFUNCTION("""COMPUTED_VALUE"""),45949.03827278639)</f>
        <v>45949.03827</v>
      </c>
      <c r="K1122" s="15">
        <f>IFERROR(__xludf.DUMMYFUNCTION("""COMPUTED_VALUE"""),45949.27831491146)</f>
        <v>45949.27831</v>
      </c>
      <c r="L1122" s="4"/>
    </row>
    <row r="1123">
      <c r="A1123" s="1">
        <f>IFERROR(__xludf.DUMMYFUNCTION("""COMPUTED_VALUE"""),1122.0)</f>
        <v>1122</v>
      </c>
      <c r="B1123" s="1">
        <f>IFERROR(__xludf.DUMMYFUNCTION("""COMPUTED_VALUE"""),6576.0)</f>
        <v>6576</v>
      </c>
      <c r="C1123" s="2" t="str">
        <f>IFERROR(__xludf.DUMMYFUNCTION("""COMPUTED_VALUE"""),"Khusnul Khotimah")</f>
        <v>Khusnul Khotimah</v>
      </c>
      <c r="D1123" s="2" t="str">
        <f>IFERROR(__xludf.DUMMYFUNCTION("""COMPUTED_VALUE"""),"5KM OVERALL F")</f>
        <v>5KM OVERALL F</v>
      </c>
      <c r="E1123" s="1">
        <f>IFERROR(__xludf.DUMMYFUNCTION("""COMPUTED_VALUE"""),261.0)</f>
        <v>261</v>
      </c>
      <c r="F1123" s="1" t="str">
        <f>IFERROR(__xludf.DUMMYFUNCTION("""COMPUTED_VALUE"""),"Female")</f>
        <v>Female</v>
      </c>
      <c r="G1123" s="5">
        <f>IFERROR(__xludf.DUMMYFUNCTION("""COMPUTED_VALUE"""),0.007655946759259259)</f>
        <v>0.007655946759</v>
      </c>
      <c r="H1123" s="15">
        <f>IFERROR(__xludf.DUMMYFUNCTION("""COMPUTED_VALUE"""),0.2549440625)</f>
        <v>0.2549440625</v>
      </c>
      <c r="I1123" s="15">
        <f>IFERROR(__xludf.DUMMYFUNCTION("""COMPUTED_VALUE"""),45949.29322379551)</f>
        <v>45949.29322</v>
      </c>
      <c r="J1123" s="15">
        <f>IFERROR(__xludf.DUMMYFUNCTION("""COMPUTED_VALUE"""),45949.03827973301)</f>
        <v>45949.03828</v>
      </c>
      <c r="K1123" s="15">
        <f>IFERROR(__xludf.DUMMYFUNCTION("""COMPUTED_VALUE"""),45949.27728017167)</f>
        <v>45949.27728</v>
      </c>
      <c r="L1123" s="4"/>
    </row>
    <row r="1124">
      <c r="A1124" s="1">
        <f>IFERROR(__xludf.DUMMYFUNCTION("""COMPUTED_VALUE"""),1123.0)</f>
        <v>1123</v>
      </c>
      <c r="B1124" s="1">
        <f>IFERROR(__xludf.DUMMYFUNCTION("""COMPUTED_VALUE"""),5117.0)</f>
        <v>5117</v>
      </c>
      <c r="C1124" s="2" t="str">
        <f>IFERROR(__xludf.DUMMYFUNCTION("""COMPUTED_VALUE"""),"Anjar")</f>
        <v>Anjar</v>
      </c>
      <c r="D1124" s="2" t="str">
        <f>IFERROR(__xludf.DUMMYFUNCTION("""COMPUTED_VALUE"""),"5KM OVERALL M")</f>
        <v>5KM OVERALL M</v>
      </c>
      <c r="E1124" s="1">
        <f>IFERROR(__xludf.DUMMYFUNCTION("""COMPUTED_VALUE"""),663.0)</f>
        <v>663</v>
      </c>
      <c r="F1124" s="1" t="str">
        <f>IFERROR(__xludf.DUMMYFUNCTION("""COMPUTED_VALUE"""),"Male")</f>
        <v>Male</v>
      </c>
      <c r="G1124" s="5">
        <f>IFERROR(__xludf.DUMMYFUNCTION("""COMPUTED_VALUE"""),0.007672020833333333)</f>
        <v>0.007672020833</v>
      </c>
      <c r="H1124" s="15">
        <f>IFERROR(__xludf.DUMMYFUNCTION("""COMPUTED_VALUE"""),0.2549440625)</f>
        <v>0.2549440625</v>
      </c>
      <c r="I1124" s="15">
        <f>IFERROR(__xludf.DUMMYFUNCTION("""COMPUTED_VALUE"""),45949.29330416964)</f>
        <v>45949.2933</v>
      </c>
      <c r="J1124" s="15">
        <f>IFERROR(__xludf.DUMMYFUNCTION("""COMPUTED_VALUE"""),45949.03836010714)</f>
        <v>45949.03836</v>
      </c>
      <c r="K1124" s="15">
        <f>IFERROR(__xludf.DUMMYFUNCTION("""COMPUTED_VALUE"""),45949.27640522738)</f>
        <v>45949.27641</v>
      </c>
      <c r="L1124" s="4"/>
    </row>
    <row r="1125">
      <c r="A1125" s="1">
        <f>IFERROR(__xludf.DUMMYFUNCTION("""COMPUTED_VALUE"""),1124.0)</f>
        <v>1124</v>
      </c>
      <c r="B1125" s="1">
        <f>IFERROR(__xludf.DUMMYFUNCTION("""COMPUTED_VALUE"""),5568.0)</f>
        <v>5568</v>
      </c>
      <c r="C1125" s="2" t="str">
        <f>IFERROR(__xludf.DUMMYFUNCTION("""COMPUTED_VALUE"""),"RISA")</f>
        <v>RISA</v>
      </c>
      <c r="D1125" s="2" t="str">
        <f>IFERROR(__xludf.DUMMYFUNCTION("""COMPUTED_VALUE"""),"5KM OVERALL F")</f>
        <v>5KM OVERALL F</v>
      </c>
      <c r="E1125" s="1">
        <f>IFERROR(__xludf.DUMMYFUNCTION("""COMPUTED_VALUE"""),262.0)</f>
        <v>262</v>
      </c>
      <c r="F1125" s="1" t="str">
        <f>IFERROR(__xludf.DUMMYFUNCTION("""COMPUTED_VALUE"""),"Female")</f>
        <v>Female</v>
      </c>
      <c r="G1125" s="5">
        <f>IFERROR(__xludf.DUMMYFUNCTION("""COMPUTED_VALUE"""),0.007672025462962963)</f>
        <v>0.007672025463</v>
      </c>
      <c r="H1125" s="15">
        <f>IFERROR(__xludf.DUMMYFUNCTION("""COMPUTED_VALUE"""),0.2549440625)</f>
        <v>0.2549440625</v>
      </c>
      <c r="I1125" s="15">
        <f>IFERROR(__xludf.DUMMYFUNCTION("""COMPUTED_VALUE"""),45949.29330418638)</f>
        <v>45949.2933</v>
      </c>
      <c r="J1125" s="15">
        <f>IFERROR(__xludf.DUMMYFUNCTION("""COMPUTED_VALUE"""),45949.03836012388)</f>
        <v>45949.03836</v>
      </c>
      <c r="K1125" s="15">
        <f>IFERROR(__xludf.DUMMYFUNCTION("""COMPUTED_VALUE"""),45949.27779062799)</f>
        <v>45949.27779</v>
      </c>
      <c r="L1125" s="4"/>
    </row>
    <row r="1126">
      <c r="A1126" s="1">
        <f>IFERROR(__xludf.DUMMYFUNCTION("""COMPUTED_VALUE"""),1125.0)</f>
        <v>1125</v>
      </c>
      <c r="B1126" s="1">
        <f>IFERROR(__xludf.DUMMYFUNCTION("""COMPUTED_VALUE"""),5153.0)</f>
        <v>5153</v>
      </c>
      <c r="C1126" s="2" t="str">
        <f>IFERROR(__xludf.DUMMYFUNCTION("""COMPUTED_VALUE"""),"Mirna")</f>
        <v>Mirna</v>
      </c>
      <c r="D1126" s="2" t="str">
        <f>IFERROR(__xludf.DUMMYFUNCTION("""COMPUTED_VALUE"""),"5KM OVERALL F")</f>
        <v>5KM OVERALL F</v>
      </c>
      <c r="E1126" s="1">
        <f>IFERROR(__xludf.DUMMYFUNCTION("""COMPUTED_VALUE"""),263.0)</f>
        <v>263</v>
      </c>
      <c r="F1126" s="1" t="str">
        <f>IFERROR(__xludf.DUMMYFUNCTION("""COMPUTED_VALUE"""),"Female")</f>
        <v>Female</v>
      </c>
      <c r="G1126" s="5">
        <f>IFERROR(__xludf.DUMMYFUNCTION("""COMPUTED_VALUE"""),0.007672025462962963)</f>
        <v>0.007672025463</v>
      </c>
      <c r="H1126" s="15">
        <f>IFERROR(__xludf.DUMMYFUNCTION("""COMPUTED_VALUE"""),0.2549440625)</f>
        <v>0.2549440625</v>
      </c>
      <c r="I1126" s="15">
        <f>IFERROR(__xludf.DUMMYFUNCTION("""COMPUTED_VALUE"""),45949.29330418638)</f>
        <v>45949.2933</v>
      </c>
      <c r="J1126" s="15">
        <f>IFERROR(__xludf.DUMMYFUNCTION("""COMPUTED_VALUE"""),45949.03836012388)</f>
        <v>45949.03836</v>
      </c>
      <c r="K1126" s="15">
        <f>IFERROR(__xludf.DUMMYFUNCTION("""COMPUTED_VALUE"""),45949.27637391601)</f>
        <v>45949.27637</v>
      </c>
      <c r="L1126" s="4"/>
    </row>
    <row r="1127">
      <c r="A1127" s="1">
        <f>IFERROR(__xludf.DUMMYFUNCTION("""COMPUTED_VALUE"""),1126.0)</f>
        <v>1126</v>
      </c>
      <c r="B1127" s="1">
        <f>IFERROR(__xludf.DUMMYFUNCTION("""COMPUTED_VALUE"""),5080.0)</f>
        <v>5080</v>
      </c>
      <c r="C1127" s="2" t="str">
        <f>IFERROR(__xludf.DUMMYFUNCTION("""COMPUTED_VALUE"""),"Faiza")</f>
        <v>Faiza</v>
      </c>
      <c r="D1127" s="2" t="str">
        <f>IFERROR(__xludf.DUMMYFUNCTION("""COMPUTED_VALUE"""),"5KM OVERALL F")</f>
        <v>5KM OVERALL F</v>
      </c>
      <c r="E1127" s="1">
        <f>IFERROR(__xludf.DUMMYFUNCTION("""COMPUTED_VALUE"""),264.0)</f>
        <v>264</v>
      </c>
      <c r="F1127" s="1" t="str">
        <f>IFERROR(__xludf.DUMMYFUNCTION("""COMPUTED_VALUE"""),"Female")</f>
        <v>Female</v>
      </c>
      <c r="G1127" s="5">
        <f>IFERROR(__xludf.DUMMYFUNCTION("""COMPUTED_VALUE"""),0.007674002314814815)</f>
        <v>0.007674002315</v>
      </c>
      <c r="H1127" s="15">
        <f>IFERROR(__xludf.DUMMYFUNCTION("""COMPUTED_VALUE"""),0.2549440625)</f>
        <v>0.2549440625</v>
      </c>
      <c r="I1127" s="15">
        <f>IFERROR(__xludf.DUMMYFUNCTION("""COMPUTED_VALUE"""),45949.29331407412)</f>
        <v>45949.29331</v>
      </c>
      <c r="J1127" s="15">
        <f>IFERROR(__xludf.DUMMYFUNCTION("""COMPUTED_VALUE"""),45949.03837001162)</f>
        <v>45949.03837</v>
      </c>
      <c r="K1127" s="15">
        <f>IFERROR(__xludf.DUMMYFUNCTION("""COMPUTED_VALUE"""),45949.27776973761)</f>
        <v>45949.27777</v>
      </c>
      <c r="L1127" s="4"/>
    </row>
    <row r="1128">
      <c r="A1128" s="1">
        <f>IFERROR(__xludf.DUMMYFUNCTION("""COMPUTED_VALUE"""),1127.0)</f>
        <v>1127</v>
      </c>
      <c r="B1128" s="1">
        <f>IFERROR(__xludf.DUMMYFUNCTION("""COMPUTED_VALUE"""),5881.0)</f>
        <v>5881</v>
      </c>
      <c r="C1128" s="2" t="str">
        <f>IFERROR(__xludf.DUMMYFUNCTION("""COMPUTED_VALUE"""),"Silvia Sari")</f>
        <v>Silvia Sari</v>
      </c>
      <c r="D1128" s="2" t="str">
        <f>IFERROR(__xludf.DUMMYFUNCTION("""COMPUTED_VALUE"""),"5KM OVERALL F")</f>
        <v>5KM OVERALL F</v>
      </c>
      <c r="E1128" s="1">
        <f>IFERROR(__xludf.DUMMYFUNCTION("""COMPUTED_VALUE"""),265.0)</f>
        <v>265</v>
      </c>
      <c r="F1128" s="1" t="str">
        <f>IFERROR(__xludf.DUMMYFUNCTION("""COMPUTED_VALUE"""),"Female")</f>
        <v>Female</v>
      </c>
      <c r="G1128" s="5">
        <f>IFERROR(__xludf.DUMMYFUNCTION("""COMPUTED_VALUE"""),0.007683018518518518)</f>
        <v>0.007683018519</v>
      </c>
      <c r="H1128" s="15">
        <f>IFERROR(__xludf.DUMMYFUNCTION("""COMPUTED_VALUE"""),0.2549440625)</f>
        <v>0.2549440625</v>
      </c>
      <c r="I1128" s="15">
        <f>IFERROR(__xludf.DUMMYFUNCTION("""COMPUTED_VALUE"""),45949.293359160794)</f>
        <v>45949.29336</v>
      </c>
      <c r="J1128" s="15">
        <f>IFERROR(__xludf.DUMMYFUNCTION("""COMPUTED_VALUE"""),45949.03841509829)</f>
        <v>45949.03842</v>
      </c>
      <c r="K1128" s="15">
        <f>IFERROR(__xludf.DUMMYFUNCTION("""COMPUTED_VALUE"""),45949.27631143298)</f>
        <v>45949.27631</v>
      </c>
      <c r="L1128" s="4"/>
    </row>
    <row r="1129">
      <c r="A1129" s="1">
        <f>IFERROR(__xludf.DUMMYFUNCTION("""COMPUTED_VALUE"""),1128.0)</f>
        <v>1128</v>
      </c>
      <c r="B1129" s="1">
        <f>IFERROR(__xludf.DUMMYFUNCTION("""COMPUTED_VALUE"""),6091.0)</f>
        <v>6091</v>
      </c>
      <c r="C1129" s="2" t="str">
        <f>IFERROR(__xludf.DUMMYFUNCTION("""COMPUTED_VALUE"""),"Wiwid Hardiyanti")</f>
        <v>Wiwid Hardiyanti</v>
      </c>
      <c r="D1129" s="2" t="str">
        <f>IFERROR(__xludf.DUMMYFUNCTION("""COMPUTED_VALUE"""),"5KM OVERALL F")</f>
        <v>5KM OVERALL F</v>
      </c>
      <c r="E1129" s="1">
        <f>IFERROR(__xludf.DUMMYFUNCTION("""COMPUTED_VALUE"""),266.0)</f>
        <v>266</v>
      </c>
      <c r="F1129" s="1" t="str">
        <f>IFERROR(__xludf.DUMMYFUNCTION("""COMPUTED_VALUE"""),"Female")</f>
        <v>Female</v>
      </c>
      <c r="G1129" s="5">
        <f>IFERROR(__xludf.DUMMYFUNCTION("""COMPUTED_VALUE"""),0.007688574074074074)</f>
        <v>0.007688574074</v>
      </c>
      <c r="H1129" s="15">
        <f>IFERROR(__xludf.DUMMYFUNCTION("""COMPUTED_VALUE"""),0.2549440625)</f>
        <v>0.2549440625</v>
      </c>
      <c r="I1129" s="15">
        <f>IFERROR(__xludf.DUMMYFUNCTION("""COMPUTED_VALUE"""),45949.29338692749)</f>
        <v>45949.29339</v>
      </c>
      <c r="J1129" s="15">
        <f>IFERROR(__xludf.DUMMYFUNCTION("""COMPUTED_VALUE"""),45949.03844286499)</f>
        <v>45949.03844</v>
      </c>
      <c r="K1129" s="15">
        <f>IFERROR(__xludf.DUMMYFUNCTION("""COMPUTED_VALUE"""),45949.277193407324)</f>
        <v>45949.27719</v>
      </c>
      <c r="L1129" s="4"/>
    </row>
    <row r="1130">
      <c r="A1130" s="1">
        <f>IFERROR(__xludf.DUMMYFUNCTION("""COMPUTED_VALUE"""),1129.0)</f>
        <v>1129</v>
      </c>
      <c r="B1130" s="1">
        <f>IFERROR(__xludf.DUMMYFUNCTION("""COMPUTED_VALUE"""),6031.0)</f>
        <v>6031</v>
      </c>
      <c r="C1130" s="2" t="str">
        <f>IFERROR(__xludf.DUMMYFUNCTION("""COMPUTED_VALUE"""),"Dwika Fresty Dian")</f>
        <v>Dwika Fresty Dian</v>
      </c>
      <c r="D1130" s="2" t="str">
        <f>IFERROR(__xludf.DUMMYFUNCTION("""COMPUTED_VALUE"""),"5KM OVERALL F")</f>
        <v>5KM OVERALL F</v>
      </c>
      <c r="E1130" s="1">
        <f>IFERROR(__xludf.DUMMYFUNCTION("""COMPUTED_VALUE"""),267.0)</f>
        <v>267</v>
      </c>
      <c r="F1130" s="1" t="str">
        <f>IFERROR(__xludf.DUMMYFUNCTION("""COMPUTED_VALUE"""),"Female")</f>
        <v>Female</v>
      </c>
      <c r="G1130" s="5">
        <f>IFERROR(__xludf.DUMMYFUNCTION("""COMPUTED_VALUE"""),0.007688574074074074)</f>
        <v>0.007688574074</v>
      </c>
      <c r="H1130" s="15">
        <f>IFERROR(__xludf.DUMMYFUNCTION("""COMPUTED_VALUE"""),0.2549440625)</f>
        <v>0.2549440625</v>
      </c>
      <c r="I1130" s="15">
        <f>IFERROR(__xludf.DUMMYFUNCTION("""COMPUTED_VALUE"""),45949.29338692749)</f>
        <v>45949.29339</v>
      </c>
      <c r="J1130" s="15">
        <f>IFERROR(__xludf.DUMMYFUNCTION("""COMPUTED_VALUE"""),45949.03844286499)</f>
        <v>45949.03844</v>
      </c>
      <c r="K1130" s="15">
        <f>IFERROR(__xludf.DUMMYFUNCTION("""COMPUTED_VALUE"""),45949.27634961608)</f>
        <v>45949.27635</v>
      </c>
      <c r="L1130" s="4"/>
    </row>
    <row r="1131">
      <c r="A1131" s="1">
        <f>IFERROR(__xludf.DUMMYFUNCTION("""COMPUTED_VALUE"""),1130.0)</f>
        <v>1130</v>
      </c>
      <c r="B1131" s="7" t="str">
        <f>IFERROR(__xludf.DUMMYFUNCTION("""COMPUTED_VALUE"""),"7126")</f>
        <v>7126</v>
      </c>
      <c r="C1131" s="8" t="str">
        <f>IFERROR(__xludf.DUMMYFUNCTION("""COMPUTED_VALUE"""),"Jack Eko")</f>
        <v>Jack Eko</v>
      </c>
      <c r="D1131" s="2" t="str">
        <f>IFERROR(__xludf.DUMMYFUNCTION("""COMPUTED_VALUE"""),"5KM MASTER M")</f>
        <v>5KM MASTER M</v>
      </c>
      <c r="E1131" s="1">
        <f>IFERROR(__xludf.DUMMYFUNCTION("""COMPUTED_VALUE"""),86.0)</f>
        <v>86</v>
      </c>
      <c r="F1131" s="1" t="str">
        <f>IFERROR(__xludf.DUMMYFUNCTION("""COMPUTED_VALUE"""),"Male")</f>
        <v>Male</v>
      </c>
      <c r="G1131" s="5">
        <f>IFERROR(__xludf.DUMMYFUNCTION("""COMPUTED_VALUE"""),0.007689974537037037)</f>
        <v>0.007689974537</v>
      </c>
      <c r="H1131" s="15">
        <f>IFERROR(__xludf.DUMMYFUNCTION("""COMPUTED_VALUE"""),0.2549440625)</f>
        <v>0.2549440625</v>
      </c>
      <c r="I1131" s="15">
        <f>IFERROR(__xludf.DUMMYFUNCTION("""COMPUTED_VALUE"""),45949.29339393032)</f>
        <v>45949.29339</v>
      </c>
      <c r="J1131" s="15">
        <f>IFERROR(__xludf.DUMMYFUNCTION("""COMPUTED_VALUE"""),45949.03844986782)</f>
        <v>45949.03845</v>
      </c>
      <c r="K1131" s="15">
        <f>IFERROR(__xludf.DUMMYFUNCTION("""COMPUTED_VALUE"""),45949.27633225173)</f>
        <v>45949.27633</v>
      </c>
      <c r="L1131" s="4"/>
    </row>
    <row r="1132">
      <c r="A1132" s="1">
        <f>IFERROR(__xludf.DUMMYFUNCTION("""COMPUTED_VALUE"""),1131.0)</f>
        <v>1131</v>
      </c>
      <c r="B1132" s="1">
        <f>IFERROR(__xludf.DUMMYFUNCTION("""COMPUTED_VALUE"""),6094.0)</f>
        <v>6094</v>
      </c>
      <c r="C1132" s="2" t="str">
        <f>IFERROR(__xludf.DUMMYFUNCTION("""COMPUTED_VALUE"""),"Eko Agus Wahyudi")</f>
        <v>Eko Agus Wahyudi</v>
      </c>
      <c r="D1132" s="2" t="str">
        <f>IFERROR(__xludf.DUMMYFUNCTION("""COMPUTED_VALUE"""),"5KM OVERALL M")</f>
        <v>5KM OVERALL M</v>
      </c>
      <c r="E1132" s="1">
        <f>IFERROR(__xludf.DUMMYFUNCTION("""COMPUTED_VALUE"""),664.0)</f>
        <v>664</v>
      </c>
      <c r="F1132" s="1" t="str">
        <f>IFERROR(__xludf.DUMMYFUNCTION("""COMPUTED_VALUE"""),"Male")</f>
        <v>Male</v>
      </c>
      <c r="G1132" s="5">
        <f>IFERROR(__xludf.DUMMYFUNCTION("""COMPUTED_VALUE"""),0.007690666666666667)</f>
        <v>0.007690666667</v>
      </c>
      <c r="H1132" s="15">
        <f>IFERROR(__xludf.DUMMYFUNCTION("""COMPUTED_VALUE"""),0.2549440625)</f>
        <v>0.2549440625</v>
      </c>
      <c r="I1132" s="15">
        <f>IFERROR(__xludf.DUMMYFUNCTION("""COMPUTED_VALUE"""),45949.293397396985)</f>
        <v>45949.2934</v>
      </c>
      <c r="J1132" s="15">
        <f>IFERROR(__xludf.DUMMYFUNCTION("""COMPUTED_VALUE"""),45949.038453334484)</f>
        <v>45949.03845</v>
      </c>
      <c r="K1132" s="15">
        <f>IFERROR(__xludf.DUMMYFUNCTION("""COMPUTED_VALUE"""),45949.27715516185)</f>
        <v>45949.27716</v>
      </c>
      <c r="L1132" s="4"/>
    </row>
    <row r="1133">
      <c r="A1133" s="1">
        <f>IFERROR(__xludf.DUMMYFUNCTION("""COMPUTED_VALUE"""),1132.0)</f>
        <v>1132</v>
      </c>
      <c r="B1133" s="1">
        <f>IFERROR(__xludf.DUMMYFUNCTION("""COMPUTED_VALUE"""),5236.0)</f>
        <v>5236</v>
      </c>
      <c r="C1133" s="2" t="str">
        <f>IFERROR(__xludf.DUMMYFUNCTION("""COMPUTED_VALUE"""),"@fRi")</f>
        <v>@fRi</v>
      </c>
      <c r="D1133" s="2" t="str">
        <f>IFERROR(__xludf.DUMMYFUNCTION("""COMPUTED_VALUE"""),"5KM OVERALL M")</f>
        <v>5KM OVERALL M</v>
      </c>
      <c r="E1133" s="1">
        <f>IFERROR(__xludf.DUMMYFUNCTION("""COMPUTED_VALUE"""),665.0)</f>
        <v>665</v>
      </c>
      <c r="F1133" s="1" t="str">
        <f>IFERROR(__xludf.DUMMYFUNCTION("""COMPUTED_VALUE"""),"Male")</f>
        <v>Male</v>
      </c>
      <c r="G1133" s="5">
        <f>IFERROR(__xludf.DUMMYFUNCTION("""COMPUTED_VALUE"""),0.0076941435185185186)</f>
        <v>0.007694143519</v>
      </c>
      <c r="H1133" s="15">
        <f>IFERROR(__xludf.DUMMYFUNCTION("""COMPUTED_VALUE"""),0.2549440625)</f>
        <v>0.2549440625</v>
      </c>
      <c r="I1133" s="15">
        <f>IFERROR(__xludf.DUMMYFUNCTION("""COMPUTED_VALUE"""),45949.29341478572)</f>
        <v>45949.29341</v>
      </c>
      <c r="J1133" s="15">
        <f>IFERROR(__xludf.DUMMYFUNCTION("""COMPUTED_VALUE"""),45949.03847072322)</f>
        <v>45949.03847</v>
      </c>
      <c r="K1133" s="15">
        <f>IFERROR(__xludf.DUMMYFUNCTION("""COMPUTED_VALUE"""),45950.27873842593)</f>
        <v>45950.27874</v>
      </c>
      <c r="L1133" s="4"/>
    </row>
    <row r="1134">
      <c r="A1134" s="1">
        <f>IFERROR(__xludf.DUMMYFUNCTION("""COMPUTED_VALUE"""),1133.0)</f>
        <v>1133</v>
      </c>
      <c r="B1134" s="1">
        <f>IFERROR(__xludf.DUMMYFUNCTION("""COMPUTED_VALUE"""),5947.0)</f>
        <v>5947</v>
      </c>
      <c r="C1134" s="2" t="str">
        <f>IFERROR(__xludf.DUMMYFUNCTION("""COMPUTED_VALUE"""),"Bangkit Satria")</f>
        <v>Bangkit Satria</v>
      </c>
      <c r="D1134" s="2" t="str">
        <f>IFERROR(__xludf.DUMMYFUNCTION("""COMPUTED_VALUE"""),"5KM OVERALL M")</f>
        <v>5KM OVERALL M</v>
      </c>
      <c r="E1134" s="1">
        <f>IFERROR(__xludf.DUMMYFUNCTION("""COMPUTED_VALUE"""),666.0)</f>
        <v>666</v>
      </c>
      <c r="F1134" s="1" t="str">
        <f>IFERROR(__xludf.DUMMYFUNCTION("""COMPUTED_VALUE"""),"Male")</f>
        <v>Male</v>
      </c>
      <c r="G1134" s="5">
        <f>IFERROR(__xludf.DUMMYFUNCTION("""COMPUTED_VALUE"""),0.007695530092592592)</f>
        <v>0.007695530093</v>
      </c>
      <c r="H1134" s="15">
        <f>IFERROR(__xludf.DUMMYFUNCTION("""COMPUTED_VALUE"""),0.2549440625)</f>
        <v>0.2549440625</v>
      </c>
      <c r="I1134" s="15">
        <f>IFERROR(__xludf.DUMMYFUNCTION("""COMPUTED_VALUE"""),45949.29342170926)</f>
        <v>45949.29342</v>
      </c>
      <c r="J1134" s="15">
        <f>IFERROR(__xludf.DUMMYFUNCTION("""COMPUTED_VALUE"""),45949.03847764676)</f>
        <v>45949.03848</v>
      </c>
      <c r="K1134" s="15">
        <f>IFERROR(__xludf.DUMMYFUNCTION("""COMPUTED_VALUE"""),45949.27699550145)</f>
        <v>45949.277</v>
      </c>
      <c r="L1134" s="4"/>
    </row>
    <row r="1135">
      <c r="A1135" s="1">
        <f>IFERROR(__xludf.DUMMYFUNCTION("""COMPUTED_VALUE"""),1134.0)</f>
        <v>1134</v>
      </c>
      <c r="B1135" s="1">
        <f>IFERROR(__xludf.DUMMYFUNCTION("""COMPUTED_VALUE"""),6278.0)</f>
        <v>6278</v>
      </c>
      <c r="C1135" s="2" t="str">
        <f>IFERROR(__xludf.DUMMYFUNCTION("""COMPUTED_VALUE"""),"vick")</f>
        <v>vick</v>
      </c>
      <c r="D1135" s="2" t="str">
        <f>IFERROR(__xludf.DUMMYFUNCTION("""COMPUTED_VALUE"""),"5KM OVERALL M")</f>
        <v>5KM OVERALL M</v>
      </c>
      <c r="E1135" s="1">
        <f>IFERROR(__xludf.DUMMYFUNCTION("""COMPUTED_VALUE"""),667.0)</f>
        <v>667</v>
      </c>
      <c r="F1135" s="1" t="str">
        <f>IFERROR(__xludf.DUMMYFUNCTION("""COMPUTED_VALUE"""),"Male")</f>
        <v>Male</v>
      </c>
      <c r="G1135" s="5">
        <f>IFERROR(__xludf.DUMMYFUNCTION("""COMPUTED_VALUE"""),0.007701777777777778)</f>
        <v>0.007701777778</v>
      </c>
      <c r="H1135" s="15">
        <f>IFERROR(__xludf.DUMMYFUNCTION("""COMPUTED_VALUE"""),0.2549440625)</f>
        <v>0.2549440625</v>
      </c>
      <c r="I1135" s="15">
        <f>IFERROR(__xludf.DUMMYFUNCTION("""COMPUTED_VALUE"""),45949.29345294695)</f>
        <v>45949.29345</v>
      </c>
      <c r="J1135" s="15">
        <f>IFERROR(__xludf.DUMMYFUNCTION("""COMPUTED_VALUE"""),45949.03850888445)</f>
        <v>45949.03851</v>
      </c>
      <c r="K1135" s="15">
        <f>IFERROR(__xludf.DUMMYFUNCTION("""COMPUTED_VALUE"""),45949.27934961164)</f>
        <v>45949.27935</v>
      </c>
      <c r="L1135" s="4"/>
    </row>
    <row r="1136">
      <c r="A1136" s="1">
        <f>IFERROR(__xludf.DUMMYFUNCTION("""COMPUTED_VALUE"""),1135.0)</f>
        <v>1135</v>
      </c>
      <c r="B1136" s="1">
        <f>IFERROR(__xludf.DUMMYFUNCTION("""COMPUTED_VALUE"""),5366.0)</f>
        <v>5366</v>
      </c>
      <c r="C1136" s="2" t="str">
        <f>IFERROR(__xludf.DUMMYFUNCTION("""COMPUTED_VALUE"""),"Riduandjr")</f>
        <v>Riduandjr</v>
      </c>
      <c r="D1136" s="2" t="str">
        <f>IFERROR(__xludf.DUMMYFUNCTION("""COMPUTED_VALUE"""),"5KM OVERALL M")</f>
        <v>5KM OVERALL M</v>
      </c>
      <c r="E1136" s="1">
        <f>IFERROR(__xludf.DUMMYFUNCTION("""COMPUTED_VALUE"""),668.0)</f>
        <v>668</v>
      </c>
      <c r="F1136" s="1" t="str">
        <f>IFERROR(__xludf.DUMMYFUNCTION("""COMPUTED_VALUE"""),"Male")</f>
        <v>Male</v>
      </c>
      <c r="G1136" s="5">
        <f>IFERROR(__xludf.DUMMYFUNCTION("""COMPUTED_VALUE"""),0.007706025462962963)</f>
        <v>0.007706025463</v>
      </c>
      <c r="H1136" s="15">
        <f>IFERROR(__xludf.DUMMYFUNCTION("""COMPUTED_VALUE"""),0.2549440625)</f>
        <v>0.2549440625</v>
      </c>
      <c r="I1136" s="15">
        <f>IFERROR(__xludf.DUMMYFUNCTION("""COMPUTED_VALUE"""),45949.29347419104)</f>
        <v>45949.29347</v>
      </c>
      <c r="J1136" s="15">
        <f>IFERROR(__xludf.DUMMYFUNCTION("""COMPUTED_VALUE"""),45949.03853012854)</f>
        <v>45949.03853</v>
      </c>
      <c r="K1136" s="15">
        <f>IFERROR(__xludf.DUMMYFUNCTION("""COMPUTED_VALUE"""),45949.27756143566)</f>
        <v>45949.27756</v>
      </c>
      <c r="L1136" s="4"/>
    </row>
    <row r="1137">
      <c r="A1137" s="1">
        <f>IFERROR(__xludf.DUMMYFUNCTION("""COMPUTED_VALUE"""),1136.0)</f>
        <v>1136</v>
      </c>
      <c r="B1137" s="1">
        <f>IFERROR(__xludf.DUMMYFUNCTION("""COMPUTED_VALUE"""),6055.0)</f>
        <v>6055</v>
      </c>
      <c r="C1137" s="2" t="str">
        <f>IFERROR(__xludf.DUMMYFUNCTION("""COMPUTED_VALUE"""),"ELLO CK")</f>
        <v>ELLO CK</v>
      </c>
      <c r="D1137" s="2" t="str">
        <f>IFERROR(__xludf.DUMMYFUNCTION("""COMPUTED_VALUE"""),"5KM OVERALL M")</f>
        <v>5KM OVERALL M</v>
      </c>
      <c r="E1137" s="1">
        <f>IFERROR(__xludf.DUMMYFUNCTION("""COMPUTED_VALUE"""),669.0)</f>
        <v>669</v>
      </c>
      <c r="F1137" s="1" t="str">
        <f>IFERROR(__xludf.DUMMYFUNCTION("""COMPUTED_VALUE"""),"Male")</f>
        <v>Male</v>
      </c>
      <c r="G1137" s="5">
        <f>IFERROR(__xludf.DUMMYFUNCTION("""COMPUTED_VALUE"""),0.0077066412037037025)</f>
        <v>0.007706641204</v>
      </c>
      <c r="H1137" s="15">
        <f>IFERROR(__xludf.DUMMYFUNCTION("""COMPUTED_VALUE"""),0.2549440625)</f>
        <v>0.2549440625</v>
      </c>
      <c r="I1137" s="15">
        <f>IFERROR(__xludf.DUMMYFUNCTION("""COMPUTED_VALUE"""),45949.293477270076)</f>
        <v>45949.29348</v>
      </c>
      <c r="J1137" s="15">
        <f>IFERROR(__xludf.DUMMYFUNCTION("""COMPUTED_VALUE"""),45949.038533207575)</f>
        <v>45949.03853</v>
      </c>
      <c r="K1137" s="15">
        <f>IFERROR(__xludf.DUMMYFUNCTION("""COMPUTED_VALUE"""),45949.277575301094)</f>
        <v>45949.27758</v>
      </c>
      <c r="L1137" s="4"/>
    </row>
    <row r="1138">
      <c r="A1138" s="1">
        <f>IFERROR(__xludf.DUMMYFUNCTION("""COMPUTED_VALUE"""),1137.0)</f>
        <v>1137</v>
      </c>
      <c r="B1138" s="1">
        <f>IFERROR(__xludf.DUMMYFUNCTION("""COMPUTED_VALUE"""),6300.0)</f>
        <v>6300</v>
      </c>
      <c r="C1138" s="2" t="str">
        <f>IFERROR(__xludf.DUMMYFUNCTION("""COMPUTED_VALUE"""),"Istyistt")</f>
        <v>Istyistt</v>
      </c>
      <c r="D1138" s="2" t="str">
        <f>IFERROR(__xludf.DUMMYFUNCTION("""COMPUTED_VALUE"""),"5KM OVERALL F")</f>
        <v>5KM OVERALL F</v>
      </c>
      <c r="E1138" s="1">
        <f>IFERROR(__xludf.DUMMYFUNCTION("""COMPUTED_VALUE"""),268.0)</f>
        <v>268</v>
      </c>
      <c r="F1138" s="1" t="str">
        <f>IFERROR(__xludf.DUMMYFUNCTION("""COMPUTED_VALUE"""),"Female")</f>
        <v>Female</v>
      </c>
      <c r="G1138" s="5">
        <f>IFERROR(__xludf.DUMMYFUNCTION("""COMPUTED_VALUE"""),0.007708722222222223)</f>
        <v>0.007708722222</v>
      </c>
      <c r="H1138" s="15">
        <f>IFERROR(__xludf.DUMMYFUNCTION("""COMPUTED_VALUE"""),0.2549440625)</f>
        <v>0.2549440625</v>
      </c>
      <c r="I1138" s="15">
        <f>IFERROR(__xludf.DUMMYFUNCTION("""COMPUTED_VALUE"""),45949.29348767632)</f>
        <v>45949.29349</v>
      </c>
      <c r="J1138" s="15">
        <f>IFERROR(__xludf.DUMMYFUNCTION("""COMPUTED_VALUE"""),45949.03854361382)</f>
        <v>45949.03854</v>
      </c>
      <c r="K1138" s="15">
        <f>IFERROR(__xludf.DUMMYFUNCTION("""COMPUTED_VALUE"""),45949.27681143479)</f>
        <v>45949.27681</v>
      </c>
      <c r="L1138" s="4"/>
    </row>
    <row r="1139">
      <c r="A1139" s="1">
        <f>IFERROR(__xludf.DUMMYFUNCTION("""COMPUTED_VALUE"""),1138.0)</f>
        <v>1138</v>
      </c>
      <c r="B1139" s="1">
        <f>IFERROR(__xludf.DUMMYFUNCTION("""COMPUTED_VALUE"""),6017.0)</f>
        <v>6017</v>
      </c>
      <c r="C1139" s="2" t="str">
        <f>IFERROR(__xludf.DUMMYFUNCTION("""COMPUTED_VALUE"""),"Rahmat Hidayatullah")</f>
        <v>Rahmat Hidayatullah</v>
      </c>
      <c r="D1139" s="2" t="str">
        <f>IFERROR(__xludf.DUMMYFUNCTION("""COMPUTED_VALUE"""),"5KM OVERALL M")</f>
        <v>5KM OVERALL M</v>
      </c>
      <c r="E1139" s="1">
        <f>IFERROR(__xludf.DUMMYFUNCTION("""COMPUTED_VALUE"""),670.0)</f>
        <v>670</v>
      </c>
      <c r="F1139" s="1" t="str">
        <f>IFERROR(__xludf.DUMMYFUNCTION("""COMPUTED_VALUE"""),"Male")</f>
        <v>Male</v>
      </c>
      <c r="G1139" s="5">
        <f>IFERROR(__xludf.DUMMYFUNCTION("""COMPUTED_VALUE"""),0.0077205277777777775)</f>
        <v>0.007720527778</v>
      </c>
      <c r="H1139" s="15">
        <f>IFERROR(__xludf.DUMMYFUNCTION("""COMPUTED_VALUE"""),0.2549440625)</f>
        <v>0.2549440625</v>
      </c>
      <c r="I1139" s="15">
        <f>IFERROR(__xludf.DUMMYFUNCTION("""COMPUTED_VALUE"""),45949.29354669888)</f>
        <v>45949.29355</v>
      </c>
      <c r="J1139" s="15">
        <f>IFERROR(__xludf.DUMMYFUNCTION("""COMPUTED_VALUE"""),45949.03860263638)</f>
        <v>45949.0386</v>
      </c>
      <c r="K1139" s="15">
        <f>IFERROR(__xludf.DUMMYFUNCTION("""COMPUTED_VALUE"""),45949.27872808597)</f>
        <v>45949.27873</v>
      </c>
      <c r="L1139" s="4"/>
    </row>
    <row r="1140">
      <c r="A1140" s="1">
        <f>IFERROR(__xludf.DUMMYFUNCTION("""COMPUTED_VALUE"""),1139.0)</f>
        <v>1139</v>
      </c>
      <c r="B1140" s="1">
        <f>IFERROR(__xludf.DUMMYFUNCTION("""COMPUTED_VALUE"""),6050.0)</f>
        <v>6050</v>
      </c>
      <c r="C1140" s="2" t="str">
        <f>IFERROR(__xludf.DUMMYFUNCTION("""COMPUTED_VALUE"""),"Retno")</f>
        <v>Retno</v>
      </c>
      <c r="D1140" s="2" t="str">
        <f>IFERROR(__xludf.DUMMYFUNCTION("""COMPUTED_VALUE"""),"5KM OVERALL F")</f>
        <v>5KM OVERALL F</v>
      </c>
      <c r="E1140" s="1">
        <f>IFERROR(__xludf.DUMMYFUNCTION("""COMPUTED_VALUE"""),269.0)</f>
        <v>269</v>
      </c>
      <c r="F1140" s="1" t="str">
        <f>IFERROR(__xludf.DUMMYFUNCTION("""COMPUTED_VALUE"""),"Female")</f>
        <v>Female</v>
      </c>
      <c r="G1140" s="5">
        <f>IFERROR(__xludf.DUMMYFUNCTION("""COMPUTED_VALUE"""),0.007726085648148149)</f>
        <v>0.007726085648</v>
      </c>
      <c r="H1140" s="15">
        <f>IFERROR(__xludf.DUMMYFUNCTION("""COMPUTED_VALUE"""),0.2549440625)</f>
        <v>0.2549440625</v>
      </c>
      <c r="I1140" s="15">
        <f>IFERROR(__xludf.DUMMYFUNCTION("""COMPUTED_VALUE"""),45949.29357448512)</f>
        <v>45949.29357</v>
      </c>
      <c r="J1140" s="15">
        <f>IFERROR(__xludf.DUMMYFUNCTION("""COMPUTED_VALUE"""),45949.03863042262)</f>
        <v>45949.03863</v>
      </c>
      <c r="K1140" s="15">
        <f>IFERROR(__xludf.DUMMYFUNCTION("""COMPUTED_VALUE"""),45949.2771551851)</f>
        <v>45949.27716</v>
      </c>
      <c r="L1140" s="4"/>
    </row>
    <row r="1141">
      <c r="A1141" s="1">
        <f>IFERROR(__xludf.DUMMYFUNCTION("""COMPUTED_VALUE"""),1140.0)</f>
        <v>1140</v>
      </c>
      <c r="B1141" s="1">
        <f>IFERROR(__xludf.DUMMYFUNCTION("""COMPUTED_VALUE"""),6048.0)</f>
        <v>6048</v>
      </c>
      <c r="C1141" s="2" t="str">
        <f>IFERROR(__xludf.DUMMYFUNCTION("""COMPUTED_VALUE"""),"Rizqi")</f>
        <v>Rizqi</v>
      </c>
      <c r="D1141" s="2" t="str">
        <f>IFERROR(__xludf.DUMMYFUNCTION("""COMPUTED_VALUE"""),"5KM OVERALL M")</f>
        <v>5KM OVERALL M</v>
      </c>
      <c r="E1141" s="1">
        <f>IFERROR(__xludf.DUMMYFUNCTION("""COMPUTED_VALUE"""),671.0)</f>
        <v>671</v>
      </c>
      <c r="F1141" s="1" t="str">
        <f>IFERROR(__xludf.DUMMYFUNCTION("""COMPUTED_VALUE"""),"Male")</f>
        <v>Male</v>
      </c>
      <c r="G1141" s="5">
        <f>IFERROR(__xludf.DUMMYFUNCTION("""COMPUTED_VALUE"""),0.007730944444444445)</f>
        <v>0.007730944444</v>
      </c>
      <c r="H1141" s="15">
        <f>IFERROR(__xludf.DUMMYFUNCTION("""COMPUTED_VALUE"""),0.2549440625)</f>
        <v>0.2549440625</v>
      </c>
      <c r="I1141" s="15">
        <f>IFERROR(__xludf.DUMMYFUNCTION("""COMPUTED_VALUE"""),45949.293598790195)</f>
        <v>45949.2936</v>
      </c>
      <c r="J1141" s="15">
        <f>IFERROR(__xludf.DUMMYFUNCTION("""COMPUTED_VALUE"""),45949.038654727694)</f>
        <v>45949.03865</v>
      </c>
      <c r="K1141" s="15">
        <f>IFERROR(__xludf.DUMMYFUNCTION("""COMPUTED_VALUE"""),45950.278136574074)</f>
        <v>45950.27814</v>
      </c>
      <c r="L1141" s="4" t="str">
        <f>IFERROR(__xludf.DUMMYFUNCTION("""COMPUTED_VALUE"""),"C")</f>
        <v>C</v>
      </c>
    </row>
    <row r="1142">
      <c r="A1142" s="1">
        <f>IFERROR(__xludf.DUMMYFUNCTION("""COMPUTED_VALUE"""),1141.0)</f>
        <v>1141</v>
      </c>
      <c r="B1142" s="1">
        <f>IFERROR(__xludf.DUMMYFUNCTION("""COMPUTED_VALUE"""),5377.0)</f>
        <v>5377</v>
      </c>
      <c r="C1142" s="2" t="str">
        <f>IFERROR(__xludf.DUMMYFUNCTION("""COMPUTED_VALUE"""),"Wawa")</f>
        <v>Wawa</v>
      </c>
      <c r="D1142" s="2" t="str">
        <f>IFERROR(__xludf.DUMMYFUNCTION("""COMPUTED_VALUE"""),"5KM OVERALL F")</f>
        <v>5KM OVERALL F</v>
      </c>
      <c r="E1142" s="1">
        <f>IFERROR(__xludf.DUMMYFUNCTION("""COMPUTED_VALUE"""),270.0)</f>
        <v>270</v>
      </c>
      <c r="F1142" s="1" t="str">
        <f>IFERROR(__xludf.DUMMYFUNCTION("""COMPUTED_VALUE"""),"Female")</f>
        <v>Female</v>
      </c>
      <c r="G1142" s="5">
        <f>IFERROR(__xludf.DUMMYFUNCTION("""COMPUTED_VALUE"""),0.007738583333333333)</f>
        <v>0.007738583333</v>
      </c>
      <c r="H1142" s="15">
        <f>IFERROR(__xludf.DUMMYFUNCTION("""COMPUTED_VALUE"""),0.2549440625)</f>
        <v>0.2549440625</v>
      </c>
      <c r="I1142" s="15">
        <f>IFERROR(__xludf.DUMMYFUNCTION("""COMPUTED_VALUE"""),45949.29363698377)</f>
        <v>45949.29364</v>
      </c>
      <c r="J1142" s="15">
        <f>IFERROR(__xludf.DUMMYFUNCTION("""COMPUTED_VALUE"""),45949.03869292127)</f>
        <v>45949.03869</v>
      </c>
      <c r="K1142" s="15">
        <f>IFERROR(__xludf.DUMMYFUNCTION("""COMPUTED_VALUE"""),45949.27651639735)</f>
        <v>45949.27652</v>
      </c>
      <c r="L1142" s="4"/>
    </row>
    <row r="1143">
      <c r="A1143" s="1">
        <f>IFERROR(__xludf.DUMMYFUNCTION("""COMPUTED_VALUE"""),1142.0)</f>
        <v>1142</v>
      </c>
      <c r="B1143" s="1">
        <f>IFERROR(__xludf.DUMMYFUNCTION("""COMPUTED_VALUE"""),7077.0)</f>
        <v>7077</v>
      </c>
      <c r="C1143" s="2" t="str">
        <f>IFERROR(__xludf.DUMMYFUNCTION("""COMPUTED_VALUE"""),"HEROES")</f>
        <v>HEROES</v>
      </c>
      <c r="D1143" s="2" t="str">
        <f>IFERROR(__xludf.DUMMYFUNCTION("""COMPUTED_VALUE"""),"5KM MASTER M")</f>
        <v>5KM MASTER M</v>
      </c>
      <c r="E1143" s="1">
        <f>IFERROR(__xludf.DUMMYFUNCTION("""COMPUTED_VALUE"""),87.0)</f>
        <v>87</v>
      </c>
      <c r="F1143" s="1" t="str">
        <f>IFERROR(__xludf.DUMMYFUNCTION("""COMPUTED_VALUE"""),"Male")</f>
        <v>Male</v>
      </c>
      <c r="G1143" s="5">
        <f>IFERROR(__xludf.DUMMYFUNCTION("""COMPUTED_VALUE"""),0.00774205787037037)</f>
        <v>0.00774205787</v>
      </c>
      <c r="H1143" s="15">
        <f>IFERROR(__xludf.DUMMYFUNCTION("""COMPUTED_VALUE"""),0.2549440625)</f>
        <v>0.2549440625</v>
      </c>
      <c r="I1143" s="15">
        <f>IFERROR(__xludf.DUMMYFUNCTION("""COMPUTED_VALUE"""),45949.29365434613)</f>
        <v>45949.29365</v>
      </c>
      <c r="J1143" s="15">
        <f>IFERROR(__xludf.DUMMYFUNCTION("""COMPUTED_VALUE"""),45949.03871028363)</f>
        <v>45949.03871</v>
      </c>
      <c r="K1143" s="15">
        <f>IFERROR(__xludf.DUMMYFUNCTION("""COMPUTED_VALUE"""),45949.277922590154)</f>
        <v>45949.27792</v>
      </c>
      <c r="L1143" s="4"/>
    </row>
    <row r="1144">
      <c r="A1144" s="1">
        <f>IFERROR(__xludf.DUMMYFUNCTION("""COMPUTED_VALUE"""),1143.0)</f>
        <v>1143</v>
      </c>
      <c r="B1144" s="7" t="str">
        <f>IFERROR(__xludf.DUMMYFUNCTION("""COMPUTED_VALUE"""),"7149")</f>
        <v>7149</v>
      </c>
      <c r="C1144" s="8" t="str">
        <f>IFERROR(__xludf.DUMMYFUNCTION("""COMPUTED_VALUE"""),"Domo")</f>
        <v>Domo</v>
      </c>
      <c r="D1144" s="2" t="str">
        <f>IFERROR(__xludf.DUMMYFUNCTION("""COMPUTED_VALUE"""),"5KM MASTER M")</f>
        <v>5KM MASTER M</v>
      </c>
      <c r="E1144" s="1">
        <f>IFERROR(__xludf.DUMMYFUNCTION("""COMPUTED_VALUE"""),88.0)</f>
        <v>88</v>
      </c>
      <c r="F1144" s="1" t="str">
        <f>IFERROR(__xludf.DUMMYFUNCTION("""COMPUTED_VALUE"""),"Male")</f>
        <v>Male</v>
      </c>
      <c r="G1144" s="5">
        <f>IFERROR(__xludf.DUMMYFUNCTION("""COMPUTED_VALUE"""),0.007742060185185186)</f>
        <v>0.007742060185</v>
      </c>
      <c r="H1144" s="15">
        <f>IFERROR(__xludf.DUMMYFUNCTION("""COMPUTED_VALUE"""),0.2549440625)</f>
        <v>0.2549440625</v>
      </c>
      <c r="I1144" s="15">
        <f>IFERROR(__xludf.DUMMYFUNCTION("""COMPUTED_VALUE"""),45949.29365436178)</f>
        <v>45949.29365</v>
      </c>
      <c r="J1144" s="15">
        <f>IFERROR(__xludf.DUMMYFUNCTION("""COMPUTED_VALUE"""),45949.03871029928)</f>
        <v>45949.03871</v>
      </c>
      <c r="K1144" s="15">
        <f>IFERROR(__xludf.DUMMYFUNCTION("""COMPUTED_VALUE"""),45949.27789133182)</f>
        <v>45949.27789</v>
      </c>
      <c r="L1144" s="4"/>
    </row>
    <row r="1145">
      <c r="A1145" s="1">
        <f>IFERROR(__xludf.DUMMYFUNCTION("""COMPUTED_VALUE"""),1143.0)</f>
        <v>1143</v>
      </c>
      <c r="B1145" s="1">
        <f>IFERROR(__xludf.DUMMYFUNCTION("""COMPUTED_VALUE"""),5108.0)</f>
        <v>5108</v>
      </c>
      <c r="C1145" s="2" t="str">
        <f>IFERROR(__xludf.DUMMYFUNCTION("""COMPUTED_VALUE"""),"SRM")</f>
        <v>SRM</v>
      </c>
      <c r="D1145" s="2" t="str">
        <f>IFERROR(__xludf.DUMMYFUNCTION("""COMPUTED_VALUE"""),"5KM OVERALL F")</f>
        <v>5KM OVERALL F</v>
      </c>
      <c r="E1145" s="1">
        <f>IFERROR(__xludf.DUMMYFUNCTION("""COMPUTED_VALUE"""),271.0)</f>
        <v>271</v>
      </c>
      <c r="F1145" s="1" t="str">
        <f>IFERROR(__xludf.DUMMYFUNCTION("""COMPUTED_VALUE"""),"Female")</f>
        <v>Female</v>
      </c>
      <c r="G1145" s="5">
        <f>IFERROR(__xludf.DUMMYFUNCTION("""COMPUTED_VALUE"""),0.007742060185185186)</f>
        <v>0.007742060185</v>
      </c>
      <c r="H1145" s="15">
        <f>IFERROR(__xludf.DUMMYFUNCTION("""COMPUTED_VALUE"""),0.2549440625)</f>
        <v>0.2549440625</v>
      </c>
      <c r="I1145" s="15">
        <f>IFERROR(__xludf.DUMMYFUNCTION("""COMPUTED_VALUE"""),45949.29365436178)</f>
        <v>45949.29365</v>
      </c>
      <c r="J1145" s="15">
        <f>IFERROR(__xludf.DUMMYFUNCTION("""COMPUTED_VALUE"""),45949.03871029928)</f>
        <v>45949.03871</v>
      </c>
      <c r="K1145" s="15">
        <f>IFERROR(__xludf.DUMMYFUNCTION("""COMPUTED_VALUE"""),45949.27614475304)</f>
        <v>45949.27614</v>
      </c>
      <c r="L1145" s="4"/>
    </row>
    <row r="1146">
      <c r="A1146" s="1">
        <f>IFERROR(__xludf.DUMMYFUNCTION("""COMPUTED_VALUE"""),1145.0)</f>
        <v>1145</v>
      </c>
      <c r="B1146" s="1">
        <f>IFERROR(__xludf.DUMMYFUNCTION("""COMPUTED_VALUE"""),5953.0)</f>
        <v>5953</v>
      </c>
      <c r="C1146" s="2" t="str">
        <f>IFERROR(__xludf.DUMMYFUNCTION("""COMPUTED_VALUE"""),"Dena")</f>
        <v>Dena</v>
      </c>
      <c r="D1146" s="2" t="str">
        <f>IFERROR(__xludf.DUMMYFUNCTION("""COMPUTED_VALUE"""),"5KM OVERALL F")</f>
        <v>5KM OVERALL F</v>
      </c>
      <c r="E1146" s="1">
        <f>IFERROR(__xludf.DUMMYFUNCTION("""COMPUTED_VALUE"""),272.0)</f>
        <v>272</v>
      </c>
      <c r="F1146" s="1" t="str">
        <f>IFERROR(__xludf.DUMMYFUNCTION("""COMPUTED_VALUE"""),"Female")</f>
        <v>Female</v>
      </c>
      <c r="G1146" s="5">
        <f>IFERROR(__xludf.DUMMYFUNCTION("""COMPUTED_VALUE"""),0.007743444444444444)</f>
        <v>0.007743444444</v>
      </c>
      <c r="H1146" s="15">
        <f>IFERROR(__xludf.DUMMYFUNCTION("""COMPUTED_VALUE"""),0.2549440625)</f>
        <v>0.2549440625</v>
      </c>
      <c r="I1146" s="15">
        <f>IFERROR(__xludf.DUMMYFUNCTION("""COMPUTED_VALUE"""),45949.29366128218)</f>
        <v>45949.29366</v>
      </c>
      <c r="J1146" s="15">
        <f>IFERROR(__xludf.DUMMYFUNCTION("""COMPUTED_VALUE"""),45949.03871721968)</f>
        <v>45949.03872</v>
      </c>
      <c r="K1146" s="15">
        <f>IFERROR(__xludf.DUMMYFUNCTION("""COMPUTED_VALUE"""),45949.276203769325)</f>
        <v>45949.2762</v>
      </c>
      <c r="L1146" s="4"/>
    </row>
    <row r="1147">
      <c r="A1147" s="1">
        <f>IFERROR(__xludf.DUMMYFUNCTION("""COMPUTED_VALUE"""),1146.0)</f>
        <v>1146</v>
      </c>
      <c r="B1147" s="1">
        <f>IFERROR(__xludf.DUMMYFUNCTION("""COMPUTED_VALUE"""),5059.0)</f>
        <v>5059</v>
      </c>
      <c r="C1147" s="2" t="str">
        <f>IFERROR(__xludf.DUMMYFUNCTION("""COMPUTED_VALUE"""),"Nieya")</f>
        <v>Nieya</v>
      </c>
      <c r="D1147" s="2" t="str">
        <f>IFERROR(__xludf.DUMMYFUNCTION("""COMPUTED_VALUE"""),"5KM OVERALL F")</f>
        <v>5KM OVERALL F</v>
      </c>
      <c r="E1147" s="1">
        <f>IFERROR(__xludf.DUMMYFUNCTION("""COMPUTED_VALUE"""),273.0)</f>
        <v>273</v>
      </c>
      <c r="F1147" s="1" t="str">
        <f>IFERROR(__xludf.DUMMYFUNCTION("""COMPUTED_VALUE"""),"Female")</f>
        <v>Female</v>
      </c>
      <c r="G1147" s="5">
        <f>IFERROR(__xludf.DUMMYFUNCTION("""COMPUTED_VALUE"""),0.0077476111111111105)</f>
        <v>0.007747611111</v>
      </c>
      <c r="H1147" s="15">
        <f>IFERROR(__xludf.DUMMYFUNCTION("""COMPUTED_VALUE"""),0.2549440625)</f>
        <v>0.2549440625</v>
      </c>
      <c r="I1147" s="15">
        <f>IFERROR(__xludf.DUMMYFUNCTION("""COMPUTED_VALUE"""),45949.29368211976)</f>
        <v>45949.29368</v>
      </c>
      <c r="J1147" s="15">
        <f>IFERROR(__xludf.DUMMYFUNCTION("""COMPUTED_VALUE"""),45949.03873805726)</f>
        <v>45949.03874</v>
      </c>
      <c r="K1147" s="15">
        <f>IFERROR(__xludf.DUMMYFUNCTION("""COMPUTED_VALUE"""),45949.27808578849)</f>
        <v>45949.27809</v>
      </c>
      <c r="L1147" s="4"/>
    </row>
    <row r="1148">
      <c r="A1148" s="1">
        <f>IFERROR(__xludf.DUMMYFUNCTION("""COMPUTED_VALUE"""),1147.0)</f>
        <v>1147</v>
      </c>
      <c r="B1148" s="1">
        <f>IFERROR(__xludf.DUMMYFUNCTION("""COMPUTED_VALUE"""),5346.0)</f>
        <v>5346</v>
      </c>
      <c r="C1148" s="2" t="str">
        <f>IFERROR(__xludf.DUMMYFUNCTION("""COMPUTED_VALUE"""),"Aziz")</f>
        <v>Aziz</v>
      </c>
      <c r="D1148" s="2" t="str">
        <f>IFERROR(__xludf.DUMMYFUNCTION("""COMPUTED_VALUE"""),"5KM OVERALL M")</f>
        <v>5KM OVERALL M</v>
      </c>
      <c r="E1148" s="1">
        <f>IFERROR(__xludf.DUMMYFUNCTION("""COMPUTED_VALUE"""),672.0)</f>
        <v>672</v>
      </c>
      <c r="F1148" s="1" t="str">
        <f>IFERROR(__xludf.DUMMYFUNCTION("""COMPUTED_VALUE"""),"Male")</f>
        <v>Male</v>
      </c>
      <c r="G1148" s="5">
        <f>IFERROR(__xludf.DUMMYFUNCTION("""COMPUTED_VALUE"""),0.007749000000000001)</f>
        <v>0.007749</v>
      </c>
      <c r="H1148" s="15">
        <f>IFERROR(__xludf.DUMMYFUNCTION("""COMPUTED_VALUE"""),0.2549440625)</f>
        <v>0.2549440625</v>
      </c>
      <c r="I1148" s="15">
        <f>IFERROR(__xludf.DUMMYFUNCTION("""COMPUTED_VALUE"""),45949.29368906762)</f>
        <v>45949.29369</v>
      </c>
      <c r="J1148" s="15">
        <f>IFERROR(__xludf.DUMMYFUNCTION("""COMPUTED_VALUE"""),45949.03874500512)</f>
        <v>45949.03875</v>
      </c>
      <c r="K1148" s="15">
        <f>IFERROR(__xludf.DUMMYFUNCTION("""COMPUTED_VALUE"""),45949.27655799749)</f>
        <v>45949.27656</v>
      </c>
      <c r="L1148" s="4"/>
    </row>
    <row r="1149">
      <c r="A1149" s="1">
        <f>IFERROR(__xludf.DUMMYFUNCTION("""COMPUTED_VALUE"""),1148.0)</f>
        <v>1148</v>
      </c>
      <c r="B1149" s="1">
        <f>IFERROR(__xludf.DUMMYFUNCTION("""COMPUTED_VALUE"""),6070.0)</f>
        <v>6070</v>
      </c>
      <c r="C1149" s="2" t="str">
        <f>IFERROR(__xludf.DUMMYFUNCTION("""COMPUTED_VALUE"""),"Novita")</f>
        <v>Novita</v>
      </c>
      <c r="D1149" s="2" t="str">
        <f>IFERROR(__xludf.DUMMYFUNCTION("""COMPUTED_VALUE"""),"5KM OVERALL F")</f>
        <v>5KM OVERALL F</v>
      </c>
      <c r="E1149" s="1">
        <f>IFERROR(__xludf.DUMMYFUNCTION("""COMPUTED_VALUE"""),274.0)</f>
        <v>274</v>
      </c>
      <c r="F1149" s="1" t="str">
        <f>IFERROR(__xludf.DUMMYFUNCTION("""COMPUTED_VALUE"""),"Female")</f>
        <v>Female</v>
      </c>
      <c r="G1149" s="5">
        <f>IFERROR(__xludf.DUMMYFUNCTION("""COMPUTED_VALUE"""),0.00774900462962963)</f>
        <v>0.00774900463</v>
      </c>
      <c r="H1149" s="15">
        <f>IFERROR(__xludf.DUMMYFUNCTION("""COMPUTED_VALUE"""),0.2549440625)</f>
        <v>0.2549440625</v>
      </c>
      <c r="I1149" s="15">
        <f>IFERROR(__xludf.DUMMYFUNCTION("""COMPUTED_VALUE"""),45949.29368908175)</f>
        <v>45949.29369</v>
      </c>
      <c r="J1149" s="15">
        <f>IFERROR(__xludf.DUMMYFUNCTION("""COMPUTED_VALUE"""),45949.03874501925)</f>
        <v>45949.03875</v>
      </c>
      <c r="K1149" s="15">
        <f>IFERROR(__xludf.DUMMYFUNCTION("""COMPUTED_VALUE"""),45949.278620441044)</f>
        <v>45949.27862</v>
      </c>
      <c r="L1149" s="4"/>
    </row>
    <row r="1150">
      <c r="A1150" s="1">
        <f>IFERROR(__xludf.DUMMYFUNCTION("""COMPUTED_VALUE"""),1149.0)</f>
        <v>1149</v>
      </c>
      <c r="B1150" s="1">
        <f>IFERROR(__xludf.DUMMYFUNCTION("""COMPUTED_VALUE"""),5934.0)</f>
        <v>5934</v>
      </c>
      <c r="C1150" s="2" t="str">
        <f>IFERROR(__xludf.DUMMYFUNCTION("""COMPUTED_VALUE"""),"WAHYU")</f>
        <v>WAHYU</v>
      </c>
      <c r="D1150" s="2" t="str">
        <f>IFERROR(__xludf.DUMMYFUNCTION("""COMPUTED_VALUE"""),"5KM OVERALL M")</f>
        <v>5KM OVERALL M</v>
      </c>
      <c r="E1150" s="1">
        <f>IFERROR(__xludf.DUMMYFUNCTION("""COMPUTED_VALUE"""),673.0)</f>
        <v>673</v>
      </c>
      <c r="F1150" s="1" t="str">
        <f>IFERROR(__xludf.DUMMYFUNCTION("""COMPUTED_VALUE"""),"Male")</f>
        <v>Male</v>
      </c>
      <c r="G1150" s="5">
        <f>IFERROR(__xludf.DUMMYFUNCTION("""COMPUTED_VALUE"""),0.007749694444444444)</f>
        <v>0.007749694444</v>
      </c>
      <c r="H1150" s="15">
        <f>IFERROR(__xludf.DUMMYFUNCTION("""COMPUTED_VALUE"""),0.2549440625)</f>
        <v>0.2549440625</v>
      </c>
      <c r="I1150" s="15">
        <f>IFERROR(__xludf.DUMMYFUNCTION("""COMPUTED_VALUE"""),45949.29369253649)</f>
        <v>45949.29369</v>
      </c>
      <c r="J1150" s="15">
        <f>IFERROR(__xludf.DUMMYFUNCTION("""COMPUTED_VALUE"""),45949.03874847399)</f>
        <v>45949.03875</v>
      </c>
      <c r="K1150" s="15">
        <f>IFERROR(__xludf.DUMMYFUNCTION("""COMPUTED_VALUE"""),45949.27789475051)</f>
        <v>45949.27789</v>
      </c>
      <c r="L1150" s="4"/>
    </row>
    <row r="1151">
      <c r="A1151" s="1">
        <f>IFERROR(__xludf.DUMMYFUNCTION("""COMPUTED_VALUE"""),1150.0)</f>
        <v>1150</v>
      </c>
      <c r="B1151" s="1">
        <f>IFERROR(__xludf.DUMMYFUNCTION("""COMPUTED_VALUE"""),5231.0)</f>
        <v>5231</v>
      </c>
      <c r="C1151" s="2" t="str">
        <f>IFERROR(__xludf.DUMMYFUNCTION("""COMPUTED_VALUE"""),"ARFAH")</f>
        <v>ARFAH</v>
      </c>
      <c r="D1151" s="2" t="str">
        <f>IFERROR(__xludf.DUMMYFUNCTION("""COMPUTED_VALUE"""),"5KM OVERALL M")</f>
        <v>5KM OVERALL M</v>
      </c>
      <c r="E1151" s="1">
        <f>IFERROR(__xludf.DUMMYFUNCTION("""COMPUTED_VALUE"""),674.0)</f>
        <v>674</v>
      </c>
      <c r="F1151" s="1" t="str">
        <f>IFERROR(__xludf.DUMMYFUNCTION("""COMPUTED_VALUE"""),"Male")</f>
        <v>Male</v>
      </c>
      <c r="G1151" s="5">
        <f>IFERROR(__xludf.DUMMYFUNCTION("""COMPUTED_VALUE"""),0.0077510856481481484)</f>
        <v>0.007751085648</v>
      </c>
      <c r="H1151" s="15">
        <f>IFERROR(__xludf.DUMMYFUNCTION("""COMPUTED_VALUE"""),0.2549440625)</f>
        <v>0.2549440625</v>
      </c>
      <c r="I1151" s="15">
        <f>IFERROR(__xludf.DUMMYFUNCTION("""COMPUTED_VALUE"""),45949.29369949256)</f>
        <v>45949.2937</v>
      </c>
      <c r="J1151" s="15">
        <f>IFERROR(__xludf.DUMMYFUNCTION("""COMPUTED_VALUE"""),45949.03875543006)</f>
        <v>45949.03876</v>
      </c>
      <c r="K1151" s="15">
        <f>IFERROR(__xludf.DUMMYFUNCTION("""COMPUTED_VALUE"""),45949.27758926989)</f>
        <v>45949.27759</v>
      </c>
      <c r="L1151" s="4"/>
    </row>
    <row r="1152">
      <c r="A1152" s="1">
        <f>IFERROR(__xludf.DUMMYFUNCTION("""COMPUTED_VALUE"""),1151.0)</f>
        <v>1151</v>
      </c>
      <c r="B1152" s="1">
        <f>IFERROR(__xludf.DUMMYFUNCTION("""COMPUTED_VALUE"""),5480.0)</f>
        <v>5480</v>
      </c>
      <c r="C1152" s="2" t="str">
        <f>IFERROR(__xludf.DUMMYFUNCTION("""COMPUTED_VALUE"""),"ENO")</f>
        <v>ENO</v>
      </c>
      <c r="D1152" s="2" t="str">
        <f>IFERROR(__xludf.DUMMYFUNCTION("""COMPUTED_VALUE"""),"5KM OVERALL F")</f>
        <v>5KM OVERALL F</v>
      </c>
      <c r="E1152" s="1">
        <f>IFERROR(__xludf.DUMMYFUNCTION("""COMPUTED_VALUE"""),275.0)</f>
        <v>275</v>
      </c>
      <c r="F1152" s="1" t="str">
        <f>IFERROR(__xludf.DUMMYFUNCTION("""COMPUTED_VALUE"""),"Female")</f>
        <v>Female</v>
      </c>
      <c r="G1152" s="5">
        <f>IFERROR(__xludf.DUMMYFUNCTION("""COMPUTED_VALUE"""),0.007753166666666667)</f>
        <v>0.007753166667</v>
      </c>
      <c r="H1152" s="15">
        <f>IFERROR(__xludf.DUMMYFUNCTION("""COMPUTED_VALUE"""),0.2549440625)</f>
        <v>0.2549440625</v>
      </c>
      <c r="I1152" s="15">
        <f>IFERROR(__xludf.DUMMYFUNCTION("""COMPUTED_VALUE"""),45949.29370989191)</f>
        <v>45949.29371</v>
      </c>
      <c r="J1152" s="15">
        <f>IFERROR(__xludf.DUMMYFUNCTION("""COMPUTED_VALUE"""),45949.038765829406)</f>
        <v>45949.03877</v>
      </c>
      <c r="K1152" s="15">
        <f>IFERROR(__xludf.DUMMYFUNCTION("""COMPUTED_VALUE"""),45949.27717260442)</f>
        <v>45949.27717</v>
      </c>
      <c r="L1152" s="4"/>
    </row>
    <row r="1153">
      <c r="A1153" s="1">
        <f>IFERROR(__xludf.DUMMYFUNCTION("""COMPUTED_VALUE"""),1152.0)</f>
        <v>1152</v>
      </c>
      <c r="B1153" s="1">
        <f>IFERROR(__xludf.DUMMYFUNCTION("""COMPUTED_VALUE"""),5198.0)</f>
        <v>5198</v>
      </c>
      <c r="C1153" s="2" t="str">
        <f>IFERROR(__xludf.DUMMYFUNCTION("""COMPUTED_VALUE"""),"Addy")</f>
        <v>Addy</v>
      </c>
      <c r="D1153" s="2" t="str">
        <f>IFERROR(__xludf.DUMMYFUNCTION("""COMPUTED_VALUE"""),"5KM OVERALL M")</f>
        <v>5KM OVERALL M</v>
      </c>
      <c r="E1153" s="1">
        <f>IFERROR(__xludf.DUMMYFUNCTION("""COMPUTED_VALUE"""),675.0)</f>
        <v>675</v>
      </c>
      <c r="F1153" s="1" t="str">
        <f>IFERROR(__xludf.DUMMYFUNCTION("""COMPUTED_VALUE"""),"Male")</f>
        <v>Male</v>
      </c>
      <c r="G1153" s="5">
        <f>IFERROR(__xludf.DUMMYFUNCTION("""COMPUTED_VALUE"""),0.007756627314814813)</f>
        <v>0.007756627315</v>
      </c>
      <c r="H1153" s="15">
        <f>IFERROR(__xludf.DUMMYFUNCTION("""COMPUTED_VALUE"""),0.2549440625)</f>
        <v>0.2549440625</v>
      </c>
      <c r="I1153" s="15">
        <f>IFERROR(__xludf.DUMMYFUNCTION("""COMPUTED_VALUE"""),45949.293727197895)</f>
        <v>45949.29373</v>
      </c>
      <c r="J1153" s="15">
        <f>IFERROR(__xludf.DUMMYFUNCTION("""COMPUTED_VALUE"""),45949.038783135395)</f>
        <v>45949.03878</v>
      </c>
      <c r="K1153" s="15">
        <f>IFERROR(__xludf.DUMMYFUNCTION("""COMPUTED_VALUE"""),45949.27809270515)</f>
        <v>45949.27809</v>
      </c>
      <c r="L1153" s="4"/>
    </row>
    <row r="1154">
      <c r="A1154" s="1">
        <f>IFERROR(__xludf.DUMMYFUNCTION("""COMPUTED_VALUE"""),1153.0)</f>
        <v>1153</v>
      </c>
      <c r="B1154" s="1">
        <f>IFERROR(__xludf.DUMMYFUNCTION("""COMPUTED_VALUE"""),6377.0)</f>
        <v>6377</v>
      </c>
      <c r="C1154" s="2" t="str">
        <f>IFERROR(__xludf.DUMMYFUNCTION("""COMPUTED_VALUE"""),"Yekti")</f>
        <v>Yekti</v>
      </c>
      <c r="D1154" s="2" t="str">
        <f>IFERROR(__xludf.DUMMYFUNCTION("""COMPUTED_VALUE"""),"5KM OVERALL F")</f>
        <v>5KM OVERALL F</v>
      </c>
      <c r="E1154" s="1">
        <f>IFERROR(__xludf.DUMMYFUNCTION("""COMPUTED_VALUE"""),276.0)</f>
        <v>276</v>
      </c>
      <c r="F1154" s="1" t="str">
        <f>IFERROR(__xludf.DUMMYFUNCTION("""COMPUTED_VALUE"""),"Female")</f>
        <v>Female</v>
      </c>
      <c r="G1154" s="5">
        <f>IFERROR(__xludf.DUMMYFUNCTION("""COMPUTED_VALUE"""),0.007758710648148148)</f>
        <v>0.007758710648</v>
      </c>
      <c r="H1154" s="15">
        <f>IFERROR(__xludf.DUMMYFUNCTION("""COMPUTED_VALUE"""),0.2549440625)</f>
        <v>0.2549440625</v>
      </c>
      <c r="I1154" s="15">
        <f>IFERROR(__xludf.DUMMYFUNCTION("""COMPUTED_VALUE"""),45949.29373762107)</f>
        <v>45949.29374</v>
      </c>
      <c r="J1154" s="15">
        <f>IFERROR(__xludf.DUMMYFUNCTION("""COMPUTED_VALUE"""),45949.03879355857)</f>
        <v>45949.03879</v>
      </c>
      <c r="K1154" s="15">
        <f>IFERROR(__xludf.DUMMYFUNCTION("""COMPUTED_VALUE"""),45949.27828021157)</f>
        <v>45949.27828</v>
      </c>
      <c r="L1154" s="4"/>
    </row>
    <row r="1155">
      <c r="A1155" s="1">
        <f>IFERROR(__xludf.DUMMYFUNCTION("""COMPUTED_VALUE"""),1154.0)</f>
        <v>1154</v>
      </c>
      <c r="B1155" s="1">
        <f>IFERROR(__xludf.DUMMYFUNCTION("""COMPUTED_VALUE"""),6049.0)</f>
        <v>6049</v>
      </c>
      <c r="C1155" s="2" t="str">
        <f>IFERROR(__xludf.DUMMYFUNCTION("""COMPUTED_VALUE"""),"Rizki")</f>
        <v>Rizki</v>
      </c>
      <c r="D1155" s="2" t="str">
        <f>IFERROR(__xludf.DUMMYFUNCTION("""COMPUTED_VALUE"""),"5KM OVERALL M")</f>
        <v>5KM OVERALL M</v>
      </c>
      <c r="E1155" s="1">
        <f>IFERROR(__xludf.DUMMYFUNCTION("""COMPUTED_VALUE"""),676.0)</f>
        <v>676</v>
      </c>
      <c r="F1155" s="1" t="str">
        <f>IFERROR(__xludf.DUMMYFUNCTION("""COMPUTED_VALUE"""),"Male")</f>
        <v>Male</v>
      </c>
      <c r="G1155" s="5">
        <f>IFERROR(__xludf.DUMMYFUNCTION("""COMPUTED_VALUE"""),0.007760099537037037)</f>
        <v>0.007760099537</v>
      </c>
      <c r="H1155" s="15">
        <f>IFERROR(__xludf.DUMMYFUNCTION("""COMPUTED_VALUE"""),0.2549440625)</f>
        <v>0.2549440625</v>
      </c>
      <c r="I1155" s="15">
        <f>IFERROR(__xludf.DUMMYFUNCTION("""COMPUTED_VALUE"""),45949.293744563394)</f>
        <v>45949.29374</v>
      </c>
      <c r="J1155" s="15">
        <f>IFERROR(__xludf.DUMMYFUNCTION("""COMPUTED_VALUE"""),45949.03880050089)</f>
        <v>45949.0388</v>
      </c>
      <c r="K1155" s="15">
        <f>IFERROR(__xludf.DUMMYFUNCTION("""COMPUTED_VALUE"""),45949.27851974431)</f>
        <v>45949.27852</v>
      </c>
      <c r="L1155" s="4"/>
    </row>
    <row r="1156">
      <c r="A1156" s="1">
        <f>IFERROR(__xludf.DUMMYFUNCTION("""COMPUTED_VALUE"""),1155.0)</f>
        <v>1155</v>
      </c>
      <c r="B1156" s="1">
        <f>IFERROR(__xludf.DUMMYFUNCTION("""COMPUTED_VALUE"""),5280.0)</f>
        <v>5280</v>
      </c>
      <c r="C1156" s="2" t="str">
        <f>IFERROR(__xludf.DUMMYFUNCTION("""COMPUTED_VALUE"""),"I-One")</f>
        <v>I-One</v>
      </c>
      <c r="D1156" s="2" t="str">
        <f>IFERROR(__xludf.DUMMYFUNCTION("""COMPUTED_VALUE"""),"5KM OVERALL M")</f>
        <v>5KM OVERALL M</v>
      </c>
      <c r="E1156" s="1">
        <f>IFERROR(__xludf.DUMMYFUNCTION("""COMPUTED_VALUE"""),677.0)</f>
        <v>677</v>
      </c>
      <c r="F1156" s="1" t="str">
        <f>IFERROR(__xludf.DUMMYFUNCTION("""COMPUTED_VALUE"""),"Male")</f>
        <v>Male</v>
      </c>
      <c r="G1156" s="5">
        <f>IFERROR(__xludf.DUMMYFUNCTION("""COMPUTED_VALUE"""),0.00776288888888889)</f>
        <v>0.007762888889</v>
      </c>
      <c r="H1156" s="15">
        <f>IFERROR(__xludf.DUMMYFUNCTION("""COMPUTED_VALUE"""),0.2549440625)</f>
        <v>0.2549440625</v>
      </c>
      <c r="I1156" s="15">
        <f>IFERROR(__xludf.DUMMYFUNCTION("""COMPUTED_VALUE"""),45949.29375851141)</f>
        <v>45949.29376</v>
      </c>
      <c r="J1156" s="15">
        <f>IFERROR(__xludf.DUMMYFUNCTION("""COMPUTED_VALUE"""),45949.03881444891)</f>
        <v>45949.03881</v>
      </c>
      <c r="K1156" s="15">
        <f>IFERROR(__xludf.DUMMYFUNCTION("""COMPUTED_VALUE"""),45949.2784746317)</f>
        <v>45949.27847</v>
      </c>
      <c r="L1156" s="4"/>
    </row>
    <row r="1157">
      <c r="A1157" s="1">
        <f>IFERROR(__xludf.DUMMYFUNCTION("""COMPUTED_VALUE"""),1156.0)</f>
        <v>1156</v>
      </c>
      <c r="B1157" s="1">
        <f>IFERROR(__xludf.DUMMYFUNCTION("""COMPUTED_VALUE"""),5473.0)</f>
        <v>5473</v>
      </c>
      <c r="C1157" s="2" t="str">
        <f>IFERROR(__xludf.DUMMYFUNCTION("""COMPUTED_VALUE"""),"Wah You Die")</f>
        <v>Wah You Die</v>
      </c>
      <c r="D1157" s="2" t="str">
        <f>IFERROR(__xludf.DUMMYFUNCTION("""COMPUTED_VALUE"""),"5KM OVERALL M")</f>
        <v>5KM OVERALL M</v>
      </c>
      <c r="E1157" s="1">
        <f>IFERROR(__xludf.DUMMYFUNCTION("""COMPUTED_VALUE"""),678.0)</f>
        <v>678</v>
      </c>
      <c r="F1157" s="1" t="str">
        <f>IFERROR(__xludf.DUMMYFUNCTION("""COMPUTED_VALUE"""),"Male")</f>
        <v>Male</v>
      </c>
      <c r="G1157" s="5">
        <f>IFERROR(__xludf.DUMMYFUNCTION("""COMPUTED_VALUE"""),0.007764277777777778)</f>
        <v>0.007764277778</v>
      </c>
      <c r="H1157" s="15">
        <f>IFERROR(__xludf.DUMMYFUNCTION("""COMPUTED_VALUE"""),0.2549440625)</f>
        <v>0.2549440625</v>
      </c>
      <c r="I1157" s="15">
        <f>IFERROR(__xludf.DUMMYFUNCTION("""COMPUTED_VALUE"""),45949.29376545421)</f>
        <v>45949.29377</v>
      </c>
      <c r="J1157" s="15">
        <f>IFERROR(__xludf.DUMMYFUNCTION("""COMPUTED_VALUE"""),45949.03882139171)</f>
        <v>45949.03882</v>
      </c>
      <c r="K1157" s="15">
        <f>IFERROR(__xludf.DUMMYFUNCTION("""COMPUTED_VALUE"""),45950.27824074074)</f>
        <v>45950.27824</v>
      </c>
      <c r="L1157" s="4" t="str">
        <f>IFERROR(__xludf.DUMMYFUNCTION("""COMPUTED_VALUE"""),"C")</f>
        <v>C</v>
      </c>
    </row>
    <row r="1158">
      <c r="A1158" s="1">
        <f>IFERROR(__xludf.DUMMYFUNCTION("""COMPUTED_VALUE"""),1157.0)</f>
        <v>1157</v>
      </c>
      <c r="B1158" s="1">
        <f>IFERROR(__xludf.DUMMYFUNCTION("""COMPUTED_VALUE"""),6319.0)</f>
        <v>6319</v>
      </c>
      <c r="C1158" s="2" t="str">
        <f>IFERROR(__xludf.DUMMYFUNCTION("""COMPUTED_VALUE"""),"yunie m yanto")</f>
        <v>yunie m yanto</v>
      </c>
      <c r="D1158" s="2" t="str">
        <f>IFERROR(__xludf.DUMMYFUNCTION("""COMPUTED_VALUE"""),"5KM OVERALL F")</f>
        <v>5KM OVERALL F</v>
      </c>
      <c r="E1158" s="1">
        <f>IFERROR(__xludf.DUMMYFUNCTION("""COMPUTED_VALUE"""),277.0)</f>
        <v>277</v>
      </c>
      <c r="F1158" s="1" t="str">
        <f>IFERROR(__xludf.DUMMYFUNCTION("""COMPUTED_VALUE"""),"Female")</f>
        <v>Female</v>
      </c>
      <c r="G1158" s="5">
        <f>IFERROR(__xludf.DUMMYFUNCTION("""COMPUTED_VALUE"""),0.007764280092592592)</f>
        <v>0.007764280093</v>
      </c>
      <c r="H1158" s="15">
        <f>IFERROR(__xludf.DUMMYFUNCTION("""COMPUTED_VALUE"""),0.2549440625)</f>
        <v>0.2549440625</v>
      </c>
      <c r="I1158" s="15">
        <f>IFERROR(__xludf.DUMMYFUNCTION("""COMPUTED_VALUE"""),45949.29376546621)</f>
        <v>45949.29377</v>
      </c>
      <c r="J1158" s="15">
        <f>IFERROR(__xludf.DUMMYFUNCTION("""COMPUTED_VALUE"""),45949.03882140371)</f>
        <v>45949.03882</v>
      </c>
      <c r="K1158" s="15">
        <f>IFERROR(__xludf.DUMMYFUNCTION("""COMPUTED_VALUE"""),45949.27724196746)</f>
        <v>45949.27724</v>
      </c>
      <c r="L1158" s="4"/>
    </row>
    <row r="1159">
      <c r="A1159" s="1">
        <f>IFERROR(__xludf.DUMMYFUNCTION("""COMPUTED_VALUE"""),1158.0)</f>
        <v>1158</v>
      </c>
      <c r="B1159" s="1">
        <f>IFERROR(__xludf.DUMMYFUNCTION("""COMPUTED_VALUE"""),6149.0)</f>
        <v>6149</v>
      </c>
      <c r="C1159" s="2" t="str">
        <f>IFERROR(__xludf.DUMMYFUNCTION("""COMPUTED_VALUE"""),"wxnda")</f>
        <v>wxnda</v>
      </c>
      <c r="D1159" s="2" t="str">
        <f>IFERROR(__xludf.DUMMYFUNCTION("""COMPUTED_VALUE"""),"5KM OVERALL F")</f>
        <v>5KM OVERALL F</v>
      </c>
      <c r="E1159" s="1">
        <f>IFERROR(__xludf.DUMMYFUNCTION("""COMPUTED_VALUE"""),278.0)</f>
        <v>278</v>
      </c>
      <c r="F1159" s="1" t="str">
        <f>IFERROR(__xludf.DUMMYFUNCTION("""COMPUTED_VALUE"""),"Female")</f>
        <v>Female</v>
      </c>
      <c r="G1159" s="5">
        <f>IFERROR(__xludf.DUMMYFUNCTION("""COMPUTED_VALUE"""),0.007764280092592592)</f>
        <v>0.007764280093</v>
      </c>
      <c r="H1159" s="15">
        <f>IFERROR(__xludf.DUMMYFUNCTION("""COMPUTED_VALUE"""),0.2549440625)</f>
        <v>0.2549440625</v>
      </c>
      <c r="I1159" s="15">
        <f>IFERROR(__xludf.DUMMYFUNCTION("""COMPUTED_VALUE"""),45949.29376546621)</f>
        <v>45949.29377</v>
      </c>
      <c r="J1159" s="15">
        <f>IFERROR(__xludf.DUMMYFUNCTION("""COMPUTED_VALUE"""),45949.03882140371)</f>
        <v>45949.03882</v>
      </c>
      <c r="K1159" s="15">
        <f>IFERROR(__xludf.DUMMYFUNCTION("""COMPUTED_VALUE"""),45949.27829057568)</f>
        <v>45949.27829</v>
      </c>
      <c r="L1159" s="4"/>
    </row>
    <row r="1160">
      <c r="A1160" s="1">
        <f>IFERROR(__xludf.DUMMYFUNCTION("""COMPUTED_VALUE"""),1159.0)</f>
        <v>1159</v>
      </c>
      <c r="B1160" s="1">
        <f>IFERROR(__xludf.DUMMYFUNCTION("""COMPUTED_VALUE"""),5244.0)</f>
        <v>5244</v>
      </c>
      <c r="C1160" s="2" t="str">
        <f>IFERROR(__xludf.DUMMYFUNCTION("""COMPUTED_VALUE"""),"REGI")</f>
        <v>REGI</v>
      </c>
      <c r="D1160" s="2" t="str">
        <f>IFERROR(__xludf.DUMMYFUNCTION("""COMPUTED_VALUE"""),"5KM OVERALL M")</f>
        <v>5KM OVERALL M</v>
      </c>
      <c r="E1160" s="1">
        <f>IFERROR(__xludf.DUMMYFUNCTION("""COMPUTED_VALUE"""),679.0)</f>
        <v>679</v>
      </c>
      <c r="F1160" s="1" t="str">
        <f>IFERROR(__xludf.DUMMYFUNCTION("""COMPUTED_VALUE"""),"Male")</f>
        <v>Male</v>
      </c>
      <c r="G1160" s="5">
        <f>IFERROR(__xludf.DUMMYFUNCTION("""COMPUTED_VALUE"""),0.007768444444444444)</f>
        <v>0.007768444444</v>
      </c>
      <c r="H1160" s="15">
        <f>IFERROR(__xludf.DUMMYFUNCTION("""COMPUTED_VALUE"""),0.2549440625)</f>
        <v>0.2549440625</v>
      </c>
      <c r="I1160" s="15">
        <f>IFERROR(__xludf.DUMMYFUNCTION("""COMPUTED_VALUE"""),45949.29378628396)</f>
        <v>45949.29379</v>
      </c>
      <c r="J1160" s="15">
        <f>IFERROR(__xludf.DUMMYFUNCTION("""COMPUTED_VALUE"""),45949.03884222146)</f>
        <v>45949.03884</v>
      </c>
      <c r="K1160" s="15">
        <f>IFERROR(__xludf.DUMMYFUNCTION("""COMPUTED_VALUE"""),45949.277478075484)</f>
        <v>45949.27748</v>
      </c>
      <c r="L1160" s="4"/>
    </row>
    <row r="1161">
      <c r="A1161" s="1">
        <f>IFERROR(__xludf.DUMMYFUNCTION("""COMPUTED_VALUE"""),1160.0)</f>
        <v>1160</v>
      </c>
      <c r="B1161" s="1">
        <f>IFERROR(__xludf.DUMMYFUNCTION("""COMPUTED_VALUE"""),5114.0)</f>
        <v>5114</v>
      </c>
      <c r="C1161" s="2" t="str">
        <f>IFERROR(__xludf.DUMMYFUNCTION("""COMPUTED_VALUE"""),"Frenda")</f>
        <v>Frenda</v>
      </c>
      <c r="D1161" s="2" t="str">
        <f>IFERROR(__xludf.DUMMYFUNCTION("""COMPUTED_VALUE"""),"5KM OVERALL F")</f>
        <v>5KM OVERALL F</v>
      </c>
      <c r="E1161" s="1">
        <f>IFERROR(__xludf.DUMMYFUNCTION("""COMPUTED_VALUE"""),279.0)</f>
        <v>279</v>
      </c>
      <c r="F1161" s="1" t="str">
        <f>IFERROR(__xludf.DUMMYFUNCTION("""COMPUTED_VALUE"""),"Female")</f>
        <v>Female</v>
      </c>
      <c r="G1161" s="5">
        <f>IFERROR(__xludf.DUMMYFUNCTION("""COMPUTED_VALUE"""),0.00776844675925926)</f>
        <v>0.007768446759</v>
      </c>
      <c r="H1161" s="15">
        <f>IFERROR(__xludf.DUMMYFUNCTION("""COMPUTED_VALUE"""),0.2549440625)</f>
        <v>0.2549440625</v>
      </c>
      <c r="I1161" s="15">
        <f>IFERROR(__xludf.DUMMYFUNCTION("""COMPUTED_VALUE"""),45949.29378629615)</f>
        <v>45949.29379</v>
      </c>
      <c r="J1161" s="15">
        <f>IFERROR(__xludf.DUMMYFUNCTION("""COMPUTED_VALUE"""),45949.03884223365)</f>
        <v>45949.03884</v>
      </c>
      <c r="K1161" s="15">
        <f>IFERROR(__xludf.DUMMYFUNCTION("""COMPUTED_VALUE"""),45949.27750243344)</f>
        <v>45949.2775</v>
      </c>
      <c r="L1161" s="4"/>
    </row>
    <row r="1162">
      <c r="A1162" s="1">
        <f>IFERROR(__xludf.DUMMYFUNCTION("""COMPUTED_VALUE"""),1161.0)</f>
        <v>1161</v>
      </c>
      <c r="B1162" s="1">
        <f>IFERROR(__xludf.DUMMYFUNCTION("""COMPUTED_VALUE"""),5271.0)</f>
        <v>5271</v>
      </c>
      <c r="C1162" s="2" t="str">
        <f>IFERROR(__xludf.DUMMYFUNCTION("""COMPUTED_VALUE"""),"Ema")</f>
        <v>Ema</v>
      </c>
      <c r="D1162" s="2" t="str">
        <f>IFERROR(__xludf.DUMMYFUNCTION("""COMPUTED_VALUE"""),"5KM OVERALL F")</f>
        <v>5KM OVERALL F</v>
      </c>
      <c r="E1162" s="1">
        <f>IFERROR(__xludf.DUMMYFUNCTION("""COMPUTED_VALUE"""),280.0)</f>
        <v>280</v>
      </c>
      <c r="F1162" s="1" t="str">
        <f>IFERROR(__xludf.DUMMYFUNCTION("""COMPUTED_VALUE"""),"Female")</f>
        <v>Female</v>
      </c>
      <c r="G1162" s="5">
        <f>IFERROR(__xludf.DUMMYFUNCTION("""COMPUTED_VALUE"""),0.00777261111111111)</f>
        <v>0.007772611111</v>
      </c>
      <c r="H1162" s="15">
        <f>IFERROR(__xludf.DUMMYFUNCTION("""COMPUTED_VALUE"""),0.2549440625)</f>
        <v>0.2549440625</v>
      </c>
      <c r="I1162" s="15">
        <f>IFERROR(__xludf.DUMMYFUNCTION("""COMPUTED_VALUE"""),45949.29380711501)</f>
        <v>45949.29381</v>
      </c>
      <c r="J1162" s="15">
        <f>IFERROR(__xludf.DUMMYFUNCTION("""COMPUTED_VALUE"""),45949.03886305251)</f>
        <v>45949.03886</v>
      </c>
      <c r="K1162" s="15">
        <f>IFERROR(__xludf.DUMMYFUNCTION("""COMPUTED_VALUE"""),45949.277016270986)</f>
        <v>45949.27702</v>
      </c>
      <c r="L1162" s="4"/>
    </row>
    <row r="1163">
      <c r="A1163" s="1">
        <f>IFERROR(__xludf.DUMMYFUNCTION("""COMPUTED_VALUE"""),1162.0)</f>
        <v>1162</v>
      </c>
      <c r="B1163" s="1">
        <f>IFERROR(__xludf.DUMMYFUNCTION("""COMPUTED_VALUE"""),6086.0)</f>
        <v>6086</v>
      </c>
      <c r="C1163" s="2" t="str">
        <f>IFERROR(__xludf.DUMMYFUNCTION("""COMPUTED_VALUE"""),"YRY")</f>
        <v>YRY</v>
      </c>
      <c r="D1163" s="2" t="str">
        <f>IFERROR(__xludf.DUMMYFUNCTION("""COMPUTED_VALUE"""),"5KM OVERALL F")</f>
        <v>5KM OVERALL F</v>
      </c>
      <c r="E1163" s="1">
        <f>IFERROR(__xludf.DUMMYFUNCTION("""COMPUTED_VALUE"""),281.0)</f>
        <v>281</v>
      </c>
      <c r="F1163" s="1" t="str">
        <f>IFERROR(__xludf.DUMMYFUNCTION("""COMPUTED_VALUE"""),"Female")</f>
        <v>Female</v>
      </c>
      <c r="G1163" s="5">
        <f>IFERROR(__xludf.DUMMYFUNCTION("""COMPUTED_VALUE"""),0.007773988425925926)</f>
        <v>0.007773988426</v>
      </c>
      <c r="H1163" s="15">
        <f>IFERROR(__xludf.DUMMYFUNCTION("""COMPUTED_VALUE"""),0.2549440625)</f>
        <v>0.2549440625</v>
      </c>
      <c r="I1163" s="15">
        <f>IFERROR(__xludf.DUMMYFUNCTION("""COMPUTED_VALUE"""),45949.29381400793)</f>
        <v>45949.29381</v>
      </c>
      <c r="J1163" s="15">
        <f>IFERROR(__xludf.DUMMYFUNCTION("""COMPUTED_VALUE"""),45949.03886994543)</f>
        <v>45949.03887</v>
      </c>
      <c r="K1163" s="15">
        <f>IFERROR(__xludf.DUMMYFUNCTION("""COMPUTED_VALUE"""),45949.27735654295)</f>
        <v>45949.27736</v>
      </c>
      <c r="L1163" s="4"/>
    </row>
    <row r="1164">
      <c r="A1164" s="1">
        <f>IFERROR(__xludf.DUMMYFUNCTION("""COMPUTED_VALUE"""),1163.0)</f>
        <v>1163</v>
      </c>
      <c r="B1164" s="1">
        <f>IFERROR(__xludf.DUMMYFUNCTION("""COMPUTED_VALUE"""),5187.0)</f>
        <v>5187</v>
      </c>
      <c r="C1164" s="2" t="str">
        <f>IFERROR(__xludf.DUMMYFUNCTION("""COMPUTED_VALUE"""),"gina")</f>
        <v>gina</v>
      </c>
      <c r="D1164" s="2" t="str">
        <f>IFERROR(__xludf.DUMMYFUNCTION("""COMPUTED_VALUE"""),"5KM OVERALL F")</f>
        <v>5KM OVERALL F</v>
      </c>
      <c r="E1164" s="1">
        <f>IFERROR(__xludf.DUMMYFUNCTION("""COMPUTED_VALUE"""),282.0)</f>
        <v>282</v>
      </c>
      <c r="F1164" s="1" t="str">
        <f>IFERROR(__xludf.DUMMYFUNCTION("""COMPUTED_VALUE"""),"Female")</f>
        <v>Female</v>
      </c>
      <c r="G1164" s="5">
        <f>IFERROR(__xludf.DUMMYFUNCTION("""COMPUTED_VALUE"""),0.007777469907407408)</f>
        <v>0.007777469907</v>
      </c>
      <c r="H1164" s="15">
        <f>IFERROR(__xludf.DUMMYFUNCTION("""COMPUTED_VALUE"""),0.2549440625)</f>
        <v>0.2549440625</v>
      </c>
      <c r="I1164" s="15">
        <f>IFERROR(__xludf.DUMMYFUNCTION("""COMPUTED_VALUE"""),45949.293831417046)</f>
        <v>45949.29383</v>
      </c>
      <c r="J1164" s="15">
        <f>IFERROR(__xludf.DUMMYFUNCTION("""COMPUTED_VALUE"""),45949.038887354545)</f>
        <v>45949.03889</v>
      </c>
      <c r="K1164" s="15">
        <f>IFERROR(__xludf.DUMMYFUNCTION("""COMPUTED_VALUE"""),45949.278297581935)</f>
        <v>45949.2783</v>
      </c>
      <c r="L1164" s="4"/>
    </row>
    <row r="1165">
      <c r="A1165" s="1">
        <f>IFERROR(__xludf.DUMMYFUNCTION("""COMPUTED_VALUE"""),1164.0)</f>
        <v>1164</v>
      </c>
      <c r="B1165" s="1">
        <f>IFERROR(__xludf.DUMMYFUNCTION("""COMPUTED_VALUE"""),5257.0)</f>
        <v>5257</v>
      </c>
      <c r="C1165" s="2" t="str">
        <f>IFERROR(__xludf.DUMMYFUNCTION("""COMPUTED_VALUE"""),"Lia")</f>
        <v>Lia</v>
      </c>
      <c r="D1165" s="2" t="str">
        <f>IFERROR(__xludf.DUMMYFUNCTION("""COMPUTED_VALUE"""),"5KM OVERALL F")</f>
        <v>5KM OVERALL F</v>
      </c>
      <c r="E1165" s="1">
        <f>IFERROR(__xludf.DUMMYFUNCTION("""COMPUTED_VALUE"""),283.0)</f>
        <v>283</v>
      </c>
      <c r="F1165" s="1" t="str">
        <f>IFERROR(__xludf.DUMMYFUNCTION("""COMPUTED_VALUE"""),"Female")</f>
        <v>Female</v>
      </c>
      <c r="G1165" s="5">
        <f>IFERROR(__xludf.DUMMYFUNCTION("""COMPUTED_VALUE"""),0.007781638888888889)</f>
        <v>0.007781638889</v>
      </c>
      <c r="H1165" s="15">
        <f>IFERROR(__xludf.DUMMYFUNCTION("""COMPUTED_VALUE"""),0.2549440625)</f>
        <v>0.2549440625</v>
      </c>
      <c r="I1165" s="15">
        <f>IFERROR(__xludf.DUMMYFUNCTION("""COMPUTED_VALUE"""),45949.29385225517)</f>
        <v>45949.29385</v>
      </c>
      <c r="J1165" s="15">
        <f>IFERROR(__xludf.DUMMYFUNCTION("""COMPUTED_VALUE"""),45949.03890819267)</f>
        <v>45949.03891</v>
      </c>
      <c r="K1165" s="15">
        <f>IFERROR(__xludf.DUMMYFUNCTION("""COMPUTED_VALUE"""),45949.27555447993)</f>
        <v>45949.27555</v>
      </c>
      <c r="L1165" s="4"/>
    </row>
    <row r="1166">
      <c r="A1166" s="1">
        <f>IFERROR(__xludf.DUMMYFUNCTION("""COMPUTED_VALUE"""),1165.0)</f>
        <v>1165</v>
      </c>
      <c r="B1166" s="1">
        <f>IFERROR(__xludf.DUMMYFUNCTION("""COMPUTED_VALUE"""),5669.0)</f>
        <v>5669</v>
      </c>
      <c r="C1166" s="2" t="str">
        <f>IFERROR(__xludf.DUMMYFUNCTION("""COMPUTED_VALUE"""),"HADY")</f>
        <v>HADY</v>
      </c>
      <c r="D1166" s="2" t="str">
        <f>IFERROR(__xludf.DUMMYFUNCTION("""COMPUTED_VALUE"""),"5KM OVERALL M")</f>
        <v>5KM OVERALL M</v>
      </c>
      <c r="E1166" s="1">
        <f>IFERROR(__xludf.DUMMYFUNCTION("""COMPUTED_VALUE"""),680.0)</f>
        <v>680</v>
      </c>
      <c r="F1166" s="1" t="str">
        <f>IFERROR(__xludf.DUMMYFUNCTION("""COMPUTED_VALUE"""),"Male")</f>
        <v>Male</v>
      </c>
      <c r="G1166" s="5">
        <f>IFERROR(__xludf.DUMMYFUNCTION("""COMPUTED_VALUE"""),0.007785113425925925)</f>
        <v>0.007785113426</v>
      </c>
      <c r="H1166" s="15">
        <f>IFERROR(__xludf.DUMMYFUNCTION("""COMPUTED_VALUE"""),0.2549440625)</f>
        <v>0.2549440625</v>
      </c>
      <c r="I1166" s="15">
        <f>IFERROR(__xludf.DUMMYFUNCTION("""COMPUTED_VALUE"""),45949.293869631234)</f>
        <v>45949.29387</v>
      </c>
      <c r="J1166" s="15">
        <f>IFERROR(__xludf.DUMMYFUNCTION("""COMPUTED_VALUE"""),45949.03892556873)</f>
        <v>45949.03893</v>
      </c>
      <c r="K1166" s="15">
        <f>IFERROR(__xludf.DUMMYFUNCTION("""COMPUTED_VALUE"""),45949.27877668174)</f>
        <v>45949.27878</v>
      </c>
      <c r="L1166" s="4"/>
    </row>
    <row r="1167">
      <c r="A1167" s="1">
        <f>IFERROR(__xludf.DUMMYFUNCTION("""COMPUTED_VALUE"""),1166.0)</f>
        <v>1166</v>
      </c>
      <c r="B1167" s="1">
        <f>IFERROR(__xludf.DUMMYFUNCTION("""COMPUTED_VALUE"""),6085.0)</f>
        <v>6085</v>
      </c>
      <c r="C1167" s="2" t="str">
        <f>IFERROR(__xludf.DUMMYFUNCTION("""COMPUTED_VALUE"""),"RED")</f>
        <v>RED</v>
      </c>
      <c r="D1167" s="2" t="str">
        <f>IFERROR(__xludf.DUMMYFUNCTION("""COMPUTED_VALUE"""),"5KM OVERALL M")</f>
        <v>5KM OVERALL M</v>
      </c>
      <c r="E1167" s="1">
        <f>IFERROR(__xludf.DUMMYFUNCTION("""COMPUTED_VALUE"""),681.0)</f>
        <v>681</v>
      </c>
      <c r="F1167" s="1" t="str">
        <f>IFERROR(__xludf.DUMMYFUNCTION("""COMPUTED_VALUE"""),"Male")</f>
        <v>Male</v>
      </c>
      <c r="G1167" s="5">
        <f>IFERROR(__xludf.DUMMYFUNCTION("""COMPUTED_VALUE"""),0.0077871967592592585)</f>
        <v>0.007787196759</v>
      </c>
      <c r="H1167" s="15">
        <f>IFERROR(__xludf.DUMMYFUNCTION("""COMPUTED_VALUE"""),0.2549440625)</f>
        <v>0.2549440625</v>
      </c>
      <c r="I1167" s="15">
        <f>IFERROR(__xludf.DUMMYFUNCTION("""COMPUTED_VALUE"""),45949.293880042605)</f>
        <v>45949.29388</v>
      </c>
      <c r="J1167" s="15">
        <f>IFERROR(__xludf.DUMMYFUNCTION("""COMPUTED_VALUE"""),45949.038935980105)</f>
        <v>45949.03894</v>
      </c>
      <c r="K1167" s="15">
        <f>IFERROR(__xludf.DUMMYFUNCTION("""COMPUTED_VALUE"""),45949.277457241325)</f>
        <v>45949.27746</v>
      </c>
      <c r="L1167" s="4"/>
    </row>
    <row r="1168">
      <c r="A1168" s="1">
        <f>IFERROR(__xludf.DUMMYFUNCTION("""COMPUTED_VALUE"""),1167.0)</f>
        <v>1167</v>
      </c>
      <c r="B1168" s="1">
        <f>IFERROR(__xludf.DUMMYFUNCTION("""COMPUTED_VALUE"""),6156.0)</f>
        <v>6156</v>
      </c>
      <c r="C1168" s="2" t="str">
        <f>IFERROR(__xludf.DUMMYFUNCTION("""COMPUTED_VALUE"""),"GC 03")</f>
        <v>GC 03</v>
      </c>
      <c r="D1168" s="2" t="str">
        <f>IFERROR(__xludf.DUMMYFUNCTION("""COMPUTED_VALUE"""),"5KM OVERALL M")</f>
        <v>5KM OVERALL M</v>
      </c>
      <c r="E1168" s="1">
        <f>IFERROR(__xludf.DUMMYFUNCTION("""COMPUTED_VALUE"""),682.0)</f>
        <v>682</v>
      </c>
      <c r="F1168" s="1" t="str">
        <f>IFERROR(__xludf.DUMMYFUNCTION("""COMPUTED_VALUE"""),"Male")</f>
        <v>Male</v>
      </c>
      <c r="G1168" s="5">
        <f>IFERROR(__xludf.DUMMYFUNCTION("""COMPUTED_VALUE"""),0.007792749999999999)</f>
        <v>0.00779275</v>
      </c>
      <c r="H1168" s="15">
        <f>IFERROR(__xludf.DUMMYFUNCTION("""COMPUTED_VALUE"""),0.2549440625)</f>
        <v>0.2549440625</v>
      </c>
      <c r="I1168" s="15">
        <f>IFERROR(__xludf.DUMMYFUNCTION("""COMPUTED_VALUE"""),45949.29390781573)</f>
        <v>45949.29391</v>
      </c>
      <c r="J1168" s="15">
        <f>IFERROR(__xludf.DUMMYFUNCTION("""COMPUTED_VALUE"""),45949.03896375323)</f>
        <v>45949.03896</v>
      </c>
      <c r="K1168" s="15">
        <f>IFERROR(__xludf.DUMMYFUNCTION("""COMPUTED_VALUE"""),45949.27540174904)</f>
        <v>45949.2754</v>
      </c>
      <c r="L1168" s="4"/>
    </row>
    <row r="1169">
      <c r="A1169" s="1">
        <f>IFERROR(__xludf.DUMMYFUNCTION("""COMPUTED_VALUE"""),1168.0)</f>
        <v>1168</v>
      </c>
      <c r="B1169" s="1">
        <f>IFERROR(__xludf.DUMMYFUNCTION("""COMPUTED_VALUE"""),5260.0)</f>
        <v>5260</v>
      </c>
      <c r="C1169" s="2" t="str">
        <f>IFERROR(__xludf.DUMMYFUNCTION("""COMPUTED_VALUE"""),"Fajar")</f>
        <v>Fajar</v>
      </c>
      <c r="D1169" s="2" t="str">
        <f>IFERROR(__xludf.DUMMYFUNCTION("""COMPUTED_VALUE"""),"5KM OVERALL M")</f>
        <v>5KM OVERALL M</v>
      </c>
      <c r="E1169" s="1">
        <f>IFERROR(__xludf.DUMMYFUNCTION("""COMPUTED_VALUE"""),683.0)</f>
        <v>683</v>
      </c>
      <c r="F1169" s="1" t="str">
        <f>IFERROR(__xludf.DUMMYFUNCTION("""COMPUTED_VALUE"""),"Male")</f>
        <v>Male</v>
      </c>
      <c r="G1169" s="5">
        <f>IFERROR(__xludf.DUMMYFUNCTION("""COMPUTED_VALUE"""),0.007794129629629628)</f>
        <v>0.00779412963</v>
      </c>
      <c r="H1169" s="15">
        <f>IFERROR(__xludf.DUMMYFUNCTION("""COMPUTED_VALUE"""),0.2549440625)</f>
        <v>0.2549440625</v>
      </c>
      <c r="I1169" s="15">
        <f>IFERROR(__xludf.DUMMYFUNCTION("""COMPUTED_VALUE"""),45949.29391471578)</f>
        <v>45949.29391</v>
      </c>
      <c r="J1169" s="15">
        <f>IFERROR(__xludf.DUMMYFUNCTION("""COMPUTED_VALUE"""),45949.03897065328)</f>
        <v>45949.03897</v>
      </c>
      <c r="K1169" s="15">
        <f>IFERROR(__xludf.DUMMYFUNCTION("""COMPUTED_VALUE"""),45949.275620444976)</f>
        <v>45949.27562</v>
      </c>
      <c r="L1169" s="4"/>
    </row>
    <row r="1170">
      <c r="A1170" s="1">
        <f>IFERROR(__xludf.DUMMYFUNCTION("""COMPUTED_VALUE"""),1169.0)</f>
        <v>1169</v>
      </c>
      <c r="B1170" s="1">
        <f>IFERROR(__xludf.DUMMYFUNCTION("""COMPUTED_VALUE"""),5570.0)</f>
        <v>5570</v>
      </c>
      <c r="C1170" s="2" t="str">
        <f>IFERROR(__xludf.DUMMYFUNCTION("""COMPUTED_VALUE"""),"NOVOTTA")</f>
        <v>NOVOTTA</v>
      </c>
      <c r="D1170" s="2" t="str">
        <f>IFERROR(__xludf.DUMMYFUNCTION("""COMPUTED_VALUE"""),"5KM OVERALL M")</f>
        <v>5KM OVERALL M</v>
      </c>
      <c r="E1170" s="1">
        <f>IFERROR(__xludf.DUMMYFUNCTION("""COMPUTED_VALUE"""),684.0)</f>
        <v>684</v>
      </c>
      <c r="F1170" s="1" t="str">
        <f>IFERROR(__xludf.DUMMYFUNCTION("""COMPUTED_VALUE"""),"Male")</f>
        <v>Male</v>
      </c>
      <c r="G1170" s="5">
        <f>IFERROR(__xludf.DUMMYFUNCTION("""COMPUTED_VALUE"""),0.007796215277777778)</f>
        <v>0.007796215278</v>
      </c>
      <c r="H1170" s="15">
        <f>IFERROR(__xludf.DUMMYFUNCTION("""COMPUTED_VALUE"""),0.2549440625)</f>
        <v>0.2549440625</v>
      </c>
      <c r="I1170" s="15">
        <f>IFERROR(__xludf.DUMMYFUNCTION("""COMPUTED_VALUE"""),45949.29392513501)</f>
        <v>45949.29393</v>
      </c>
      <c r="J1170" s="15">
        <f>IFERROR(__xludf.DUMMYFUNCTION("""COMPUTED_VALUE"""),45949.03898107251)</f>
        <v>45949.03898</v>
      </c>
      <c r="K1170" s="15">
        <f>IFERROR(__xludf.DUMMYFUNCTION("""COMPUTED_VALUE"""),45949.27559615597)</f>
        <v>45949.2756</v>
      </c>
      <c r="L1170" s="4"/>
    </row>
    <row r="1171">
      <c r="A1171" s="1">
        <f>IFERROR(__xludf.DUMMYFUNCTION("""COMPUTED_VALUE"""),1170.0)</f>
        <v>1170</v>
      </c>
      <c r="B1171" s="1">
        <f>IFERROR(__xludf.DUMMYFUNCTION("""COMPUTED_VALUE"""),5776.0)</f>
        <v>5776</v>
      </c>
      <c r="C1171" s="2" t="str">
        <f>IFERROR(__xludf.DUMMYFUNCTION("""COMPUTED_VALUE"""),"SILVI")</f>
        <v>SILVI</v>
      </c>
      <c r="D1171" s="2" t="str">
        <f>IFERROR(__xludf.DUMMYFUNCTION("""COMPUTED_VALUE"""),"5KM OVERALL F")</f>
        <v>5KM OVERALL F</v>
      </c>
      <c r="E1171" s="1">
        <f>IFERROR(__xludf.DUMMYFUNCTION("""COMPUTED_VALUE"""),284.0)</f>
        <v>284</v>
      </c>
      <c r="F1171" s="1" t="str">
        <f>IFERROR(__xludf.DUMMYFUNCTION("""COMPUTED_VALUE"""),"Female")</f>
        <v>Female</v>
      </c>
      <c r="G1171" s="5">
        <f>IFERROR(__xludf.DUMMYFUNCTION("""COMPUTED_VALUE"""),0.007798296296296296)</f>
        <v>0.007798296296</v>
      </c>
      <c r="H1171" s="15">
        <f>IFERROR(__xludf.DUMMYFUNCTION("""COMPUTED_VALUE"""),0.2549440625)</f>
        <v>0.2549440625</v>
      </c>
      <c r="I1171" s="15">
        <f>IFERROR(__xludf.DUMMYFUNCTION("""COMPUTED_VALUE"""),45949.29393554696)</f>
        <v>45949.29394</v>
      </c>
      <c r="J1171" s="15">
        <f>IFERROR(__xludf.DUMMYFUNCTION("""COMPUTED_VALUE"""),45949.038991484456)</f>
        <v>45949.03899</v>
      </c>
      <c r="K1171" s="15">
        <f>IFERROR(__xludf.DUMMYFUNCTION("""COMPUTED_VALUE"""),45949.27673507238)</f>
        <v>45949.27674</v>
      </c>
      <c r="L1171" s="4"/>
    </row>
    <row r="1172">
      <c r="A1172" s="1">
        <f>IFERROR(__xludf.DUMMYFUNCTION("""COMPUTED_VALUE"""),1171.0)</f>
        <v>1171</v>
      </c>
      <c r="B1172" s="1">
        <f>IFERROR(__xludf.DUMMYFUNCTION("""COMPUTED_VALUE"""),5695.0)</f>
        <v>5695</v>
      </c>
      <c r="C1172" s="2" t="str">
        <f>IFERROR(__xludf.DUMMYFUNCTION("""COMPUTED_VALUE"""),"Helda Mahtuni")</f>
        <v>Helda Mahtuni</v>
      </c>
      <c r="D1172" s="2" t="str">
        <f>IFERROR(__xludf.DUMMYFUNCTION("""COMPUTED_VALUE"""),"5KM OVERALL F")</f>
        <v>5KM OVERALL F</v>
      </c>
      <c r="E1172" s="1">
        <f>IFERROR(__xludf.DUMMYFUNCTION("""COMPUTED_VALUE"""),285.0)</f>
        <v>285</v>
      </c>
      <c r="F1172" s="1" t="str">
        <f>IFERROR(__xludf.DUMMYFUNCTION("""COMPUTED_VALUE"""),"Female")</f>
        <v>Female</v>
      </c>
      <c r="G1172" s="5">
        <f>IFERROR(__xludf.DUMMYFUNCTION("""COMPUTED_VALUE"""),0.007798296296296296)</f>
        <v>0.007798296296</v>
      </c>
      <c r="H1172" s="15">
        <f>IFERROR(__xludf.DUMMYFUNCTION("""COMPUTED_VALUE"""),0.2549440625)</f>
        <v>0.2549440625</v>
      </c>
      <c r="I1172" s="15">
        <f>IFERROR(__xludf.DUMMYFUNCTION("""COMPUTED_VALUE"""),45949.29393554696)</f>
        <v>45949.29394</v>
      </c>
      <c r="J1172" s="15">
        <f>IFERROR(__xludf.DUMMYFUNCTION("""COMPUTED_VALUE"""),45949.038991484456)</f>
        <v>45949.03899</v>
      </c>
      <c r="K1172" s="15">
        <f>IFERROR(__xludf.DUMMYFUNCTION("""COMPUTED_VALUE"""),45949.277676002705)</f>
        <v>45949.27768</v>
      </c>
      <c r="L1172" s="4"/>
    </row>
    <row r="1173">
      <c r="A1173" s="1">
        <f>IFERROR(__xludf.DUMMYFUNCTION("""COMPUTED_VALUE"""),1172.0)</f>
        <v>1172</v>
      </c>
      <c r="B1173" s="1">
        <f>IFERROR(__xludf.DUMMYFUNCTION("""COMPUTED_VALUE"""),5843.0)</f>
        <v>5843</v>
      </c>
      <c r="C1173" s="2" t="str">
        <f>IFERROR(__xludf.DUMMYFUNCTION("""COMPUTED_VALUE"""),"Vio")</f>
        <v>Vio</v>
      </c>
      <c r="D1173" s="2" t="str">
        <f>IFERROR(__xludf.DUMMYFUNCTION("""COMPUTED_VALUE"""),"5KM OVERALL F")</f>
        <v>5KM OVERALL F</v>
      </c>
      <c r="E1173" s="1">
        <f>IFERROR(__xludf.DUMMYFUNCTION("""COMPUTED_VALUE"""),286.0)</f>
        <v>286</v>
      </c>
      <c r="F1173" s="1" t="str">
        <f>IFERROR(__xludf.DUMMYFUNCTION("""COMPUTED_VALUE"""),"Female")</f>
        <v>Female</v>
      </c>
      <c r="G1173" s="5">
        <f>IFERROR(__xludf.DUMMYFUNCTION("""COMPUTED_VALUE"""),0.00779969675925926)</f>
        <v>0.007799696759</v>
      </c>
      <c r="H1173" s="15">
        <f>IFERROR(__xludf.DUMMYFUNCTION("""COMPUTED_VALUE"""),0.2549440625)</f>
        <v>0.2549440625</v>
      </c>
      <c r="I1173" s="15">
        <f>IFERROR(__xludf.DUMMYFUNCTION("""COMPUTED_VALUE"""),45949.29394254103)</f>
        <v>45949.29394</v>
      </c>
      <c r="J1173" s="15">
        <f>IFERROR(__xludf.DUMMYFUNCTION("""COMPUTED_VALUE"""),45949.03899847853)</f>
        <v>45949.039</v>
      </c>
      <c r="K1173" s="15">
        <f>IFERROR(__xludf.DUMMYFUNCTION("""COMPUTED_VALUE"""),45949.27831492313)</f>
        <v>45949.27831</v>
      </c>
      <c r="L1173" s="4"/>
    </row>
    <row r="1174">
      <c r="A1174" s="1">
        <f>IFERROR(__xludf.DUMMYFUNCTION("""COMPUTED_VALUE"""),1173.0)</f>
        <v>1173</v>
      </c>
      <c r="B1174" s="1">
        <f>IFERROR(__xludf.DUMMYFUNCTION("""COMPUTED_VALUE"""),5990.0)</f>
        <v>5990</v>
      </c>
      <c r="C1174" s="2" t="str">
        <f>IFERROR(__xludf.DUMMYFUNCTION("""COMPUTED_VALUE"""),"AYAZ")</f>
        <v>AYAZ</v>
      </c>
      <c r="D1174" s="2" t="str">
        <f>IFERROR(__xludf.DUMMYFUNCTION("""COMPUTED_VALUE"""),"5KM OVERALL F")</f>
        <v>5KM OVERALL F</v>
      </c>
      <c r="E1174" s="1">
        <f>IFERROR(__xludf.DUMMYFUNCTION("""COMPUTED_VALUE"""),287.0)</f>
        <v>287</v>
      </c>
      <c r="F1174" s="1" t="str">
        <f>IFERROR(__xludf.DUMMYFUNCTION("""COMPUTED_VALUE"""),"Female")</f>
        <v>Female</v>
      </c>
      <c r="G1174" s="5">
        <f>IFERROR(__xludf.DUMMYFUNCTION("""COMPUTED_VALUE"""),0.007803168981481481)</f>
        <v>0.007803168981</v>
      </c>
      <c r="H1174" s="15">
        <f>IFERROR(__xludf.DUMMYFUNCTION("""COMPUTED_VALUE"""),0.2549440625)</f>
        <v>0.2549440625</v>
      </c>
      <c r="I1174" s="15">
        <f>IFERROR(__xludf.DUMMYFUNCTION("""COMPUTED_VALUE"""),45949.29395990593)</f>
        <v>45949.29396</v>
      </c>
      <c r="J1174" s="15">
        <f>IFERROR(__xludf.DUMMYFUNCTION("""COMPUTED_VALUE"""),45949.03901584343)</f>
        <v>45949.03902</v>
      </c>
      <c r="K1174" s="15">
        <f>IFERROR(__xludf.DUMMYFUNCTION("""COMPUTED_VALUE"""),45949.27619683715)</f>
        <v>45949.2762</v>
      </c>
      <c r="L1174" s="4"/>
    </row>
    <row r="1175">
      <c r="A1175" s="1">
        <f>IFERROR(__xludf.DUMMYFUNCTION("""COMPUTED_VALUE"""),1174.0)</f>
        <v>1174</v>
      </c>
      <c r="B1175" s="1">
        <f>IFERROR(__xludf.DUMMYFUNCTION("""COMPUTED_VALUE"""),5582.0)</f>
        <v>5582</v>
      </c>
      <c r="C1175" s="2" t="str">
        <f>IFERROR(__xludf.DUMMYFUNCTION("""COMPUTED_VALUE"""),"YUMA")</f>
        <v>YUMA</v>
      </c>
      <c r="D1175" s="2" t="str">
        <f>IFERROR(__xludf.DUMMYFUNCTION("""COMPUTED_VALUE"""),"5KM OVERALL M")</f>
        <v>5KM OVERALL M</v>
      </c>
      <c r="E1175" s="1">
        <f>IFERROR(__xludf.DUMMYFUNCTION("""COMPUTED_VALUE"""),685.0)</f>
        <v>685</v>
      </c>
      <c r="F1175" s="1" t="str">
        <f>IFERROR(__xludf.DUMMYFUNCTION("""COMPUTED_VALUE"""),"Male")</f>
        <v>Male</v>
      </c>
      <c r="G1175" s="5">
        <f>IFERROR(__xludf.DUMMYFUNCTION("""COMPUTED_VALUE"""),0.007803861111111111)</f>
        <v>0.007803861111</v>
      </c>
      <c r="H1175" s="15">
        <f>IFERROR(__xludf.DUMMYFUNCTION("""COMPUTED_VALUE"""),0.2549440625)</f>
        <v>0.2549440625</v>
      </c>
      <c r="I1175" s="15">
        <f>IFERROR(__xludf.DUMMYFUNCTION("""COMPUTED_VALUE"""),45949.29396337152)</f>
        <v>45949.29396</v>
      </c>
      <c r="J1175" s="15">
        <f>IFERROR(__xludf.DUMMYFUNCTION("""COMPUTED_VALUE"""),45949.03901930902)</f>
        <v>45949.03902</v>
      </c>
      <c r="K1175" s="15">
        <f>IFERROR(__xludf.DUMMYFUNCTION("""COMPUTED_VALUE"""),45949.27767952957)</f>
        <v>45949.27768</v>
      </c>
      <c r="L1175" s="4"/>
    </row>
    <row r="1176">
      <c r="A1176" s="1">
        <f>IFERROR(__xludf.DUMMYFUNCTION("""COMPUTED_VALUE"""),1175.0)</f>
        <v>1175</v>
      </c>
      <c r="B1176" s="1">
        <f>IFERROR(__xludf.DUMMYFUNCTION("""COMPUTED_VALUE"""),5845.0)</f>
        <v>5845</v>
      </c>
      <c r="C1176" s="2" t="str">
        <f>IFERROR(__xludf.DUMMYFUNCTION("""COMPUTED_VALUE"""),"Bay")</f>
        <v>Bay</v>
      </c>
      <c r="D1176" s="2" t="str">
        <f>IFERROR(__xludf.DUMMYFUNCTION("""COMPUTED_VALUE"""),"5KM OVERALL M")</f>
        <v>5KM OVERALL M</v>
      </c>
      <c r="E1176" s="1">
        <f>IFERROR(__xludf.DUMMYFUNCTION("""COMPUTED_VALUE"""),686.0)</f>
        <v>686</v>
      </c>
      <c r="F1176" s="1" t="str">
        <f>IFERROR(__xludf.DUMMYFUNCTION("""COMPUTED_VALUE"""),"Male")</f>
        <v>Male</v>
      </c>
      <c r="G1176" s="5">
        <f>IFERROR(__xludf.DUMMYFUNCTION("""COMPUTED_VALUE"""),0.007808722222222222)</f>
        <v>0.007808722222</v>
      </c>
      <c r="H1176" s="15">
        <f>IFERROR(__xludf.DUMMYFUNCTION("""COMPUTED_VALUE"""),0.2549440625)</f>
        <v>0.2549440625</v>
      </c>
      <c r="I1176" s="15">
        <f>IFERROR(__xludf.DUMMYFUNCTION("""COMPUTED_VALUE"""),45949.29398767312)</f>
        <v>45949.29399</v>
      </c>
      <c r="J1176" s="15">
        <f>IFERROR(__xludf.DUMMYFUNCTION("""COMPUTED_VALUE"""),45949.03904361062)</f>
        <v>45949.03904</v>
      </c>
      <c r="K1176" s="15">
        <f>IFERROR(__xludf.DUMMYFUNCTION("""COMPUTED_VALUE"""),45949.27836356637)</f>
        <v>45949.27836</v>
      </c>
      <c r="L1176" s="4"/>
    </row>
    <row r="1177">
      <c r="A1177" s="1">
        <f>IFERROR(__xludf.DUMMYFUNCTION("""COMPUTED_VALUE"""),1176.0)</f>
        <v>1176</v>
      </c>
      <c r="B1177" s="1">
        <f>IFERROR(__xludf.DUMMYFUNCTION("""COMPUTED_VALUE"""),5569.0)</f>
        <v>5569</v>
      </c>
      <c r="C1177" s="2" t="str">
        <f>IFERROR(__xludf.DUMMYFUNCTION("""COMPUTED_VALUE"""),"Agies19")</f>
        <v>Agies19</v>
      </c>
      <c r="D1177" s="2" t="str">
        <f>IFERROR(__xludf.DUMMYFUNCTION("""COMPUTED_VALUE"""),"5KM OVERALL M")</f>
        <v>5KM OVERALL M</v>
      </c>
      <c r="E1177" s="1">
        <f>IFERROR(__xludf.DUMMYFUNCTION("""COMPUTED_VALUE"""),687.0)</f>
        <v>687</v>
      </c>
      <c r="F1177" s="1" t="str">
        <f>IFERROR(__xludf.DUMMYFUNCTION("""COMPUTED_VALUE"""),"Male")</f>
        <v>Male</v>
      </c>
      <c r="G1177" s="5">
        <f>IFERROR(__xludf.DUMMYFUNCTION("""COMPUTED_VALUE"""),0.007810807870370371)</f>
        <v>0.00781080787</v>
      </c>
      <c r="H1177" s="15">
        <f>IFERROR(__xludf.DUMMYFUNCTION("""COMPUTED_VALUE"""),0.2549440625)</f>
        <v>0.2549440625</v>
      </c>
      <c r="I1177" s="15">
        <f>IFERROR(__xludf.DUMMYFUNCTION("""COMPUTED_VALUE"""),45949.29399810375)</f>
        <v>45949.294</v>
      </c>
      <c r="J1177" s="15">
        <f>IFERROR(__xludf.DUMMYFUNCTION("""COMPUTED_VALUE"""),45949.03905404125)</f>
        <v>45949.03905</v>
      </c>
      <c r="K1177" s="15">
        <f>IFERROR(__xludf.DUMMYFUNCTION("""COMPUTED_VALUE"""),45949.277255907684)</f>
        <v>45949.27726</v>
      </c>
      <c r="L1177" s="4"/>
    </row>
    <row r="1178">
      <c r="A1178" s="1">
        <f>IFERROR(__xludf.DUMMYFUNCTION("""COMPUTED_VALUE"""),1177.0)</f>
        <v>1177</v>
      </c>
      <c r="B1178" s="1">
        <f>IFERROR(__xludf.DUMMYFUNCTION("""COMPUTED_VALUE"""),5567.0)</f>
        <v>5567</v>
      </c>
      <c r="C1178" s="2" t="str">
        <f>IFERROR(__xludf.DUMMYFUNCTION("""COMPUTED_VALUE"""),"Resty16")</f>
        <v>Resty16</v>
      </c>
      <c r="D1178" s="2" t="str">
        <f>IFERROR(__xludf.DUMMYFUNCTION("""COMPUTED_VALUE"""),"5KM OVERALL F")</f>
        <v>5KM OVERALL F</v>
      </c>
      <c r="E1178" s="1">
        <f>IFERROR(__xludf.DUMMYFUNCTION("""COMPUTED_VALUE"""),288.0)</f>
        <v>288</v>
      </c>
      <c r="F1178" s="1" t="str">
        <f>IFERROR(__xludf.DUMMYFUNCTION("""COMPUTED_VALUE"""),"Female")</f>
        <v>Female</v>
      </c>
      <c r="G1178" s="5">
        <f>IFERROR(__xludf.DUMMYFUNCTION("""COMPUTED_VALUE"""),0.007814270833333333)</f>
        <v>0.007814270833</v>
      </c>
      <c r="H1178" s="15">
        <f>IFERROR(__xludf.DUMMYFUNCTION("""COMPUTED_VALUE"""),0.2549440625)</f>
        <v>0.2549440625</v>
      </c>
      <c r="I1178" s="15">
        <f>IFERROR(__xludf.DUMMYFUNCTION("""COMPUTED_VALUE"""),45949.29401541111)</f>
        <v>45949.29402</v>
      </c>
      <c r="J1178" s="15">
        <f>IFERROR(__xludf.DUMMYFUNCTION("""COMPUTED_VALUE"""),45949.03907134861)</f>
        <v>45949.03907</v>
      </c>
      <c r="K1178" s="15">
        <f>IFERROR(__xludf.DUMMYFUNCTION("""COMPUTED_VALUE"""),45949.277255930836)</f>
        <v>45949.27726</v>
      </c>
      <c r="L1178" s="4"/>
    </row>
    <row r="1179">
      <c r="A1179" s="1">
        <f>IFERROR(__xludf.DUMMYFUNCTION("""COMPUTED_VALUE"""),1178.0)</f>
        <v>1178</v>
      </c>
      <c r="B1179" s="1">
        <f>IFERROR(__xludf.DUMMYFUNCTION("""COMPUTED_VALUE"""),6462.0)</f>
        <v>6462</v>
      </c>
      <c r="C1179" s="2" t="str">
        <f>IFERROR(__xludf.DUMMYFUNCTION("""COMPUTED_VALUE"""),"DISHUB")</f>
        <v>DISHUB</v>
      </c>
      <c r="D1179" s="2" t="str">
        <f>IFERROR(__xludf.DUMMYFUNCTION("""COMPUTED_VALUE"""),"5KM OVERALL M")</f>
        <v>5KM OVERALL M</v>
      </c>
      <c r="E1179" s="1">
        <f>IFERROR(__xludf.DUMMYFUNCTION("""COMPUTED_VALUE"""),688.0)</f>
        <v>688</v>
      </c>
      <c r="F1179" s="1" t="str">
        <f>IFERROR(__xludf.DUMMYFUNCTION("""COMPUTED_VALUE"""),"Male")</f>
        <v>Male</v>
      </c>
      <c r="G1179" s="5">
        <f>IFERROR(__xludf.DUMMYFUNCTION("""COMPUTED_VALUE"""),0.00781636111111111)</f>
        <v>0.007816361111</v>
      </c>
      <c r="H1179" s="15">
        <f>IFERROR(__xludf.DUMMYFUNCTION("""COMPUTED_VALUE"""),0.2549440625)</f>
        <v>0.2549440625</v>
      </c>
      <c r="I1179" s="15">
        <f>IFERROR(__xludf.DUMMYFUNCTION("""COMPUTED_VALUE"""),45949.294025870746)</f>
        <v>45949.29403</v>
      </c>
      <c r="J1179" s="15">
        <f>IFERROR(__xludf.DUMMYFUNCTION("""COMPUTED_VALUE"""),45949.039081808245)</f>
        <v>45949.03908</v>
      </c>
      <c r="K1179" s="15">
        <f>IFERROR(__xludf.DUMMYFUNCTION("""COMPUTED_VALUE"""),45949.27830795737)</f>
        <v>45949.27831</v>
      </c>
      <c r="L1179" s="4"/>
    </row>
    <row r="1180">
      <c r="A1180" s="1">
        <f>IFERROR(__xludf.DUMMYFUNCTION("""COMPUTED_VALUE"""),1179.0)</f>
        <v>1179</v>
      </c>
      <c r="B1180" s="7" t="str">
        <f>IFERROR(__xludf.DUMMYFUNCTION("""COMPUTED_VALUE"""),"7141")</f>
        <v>7141</v>
      </c>
      <c r="C1180" s="8" t="str">
        <f>IFERROR(__xludf.DUMMYFUNCTION("""COMPUTED_VALUE"""),"Dian Anggraita")</f>
        <v>Dian Anggraita</v>
      </c>
      <c r="D1180" s="2" t="str">
        <f>IFERROR(__xludf.DUMMYFUNCTION("""COMPUTED_VALUE"""),"5KM MASTER F")</f>
        <v>5KM MASTER F</v>
      </c>
      <c r="E1180" s="1">
        <f>IFERROR(__xludf.DUMMYFUNCTION("""COMPUTED_VALUE"""),44.0)</f>
        <v>44</v>
      </c>
      <c r="F1180" s="1" t="str">
        <f>IFERROR(__xludf.DUMMYFUNCTION("""COMPUTED_VALUE"""),"Female")</f>
        <v>Female</v>
      </c>
      <c r="G1180" s="5">
        <f>IFERROR(__xludf.DUMMYFUNCTION("""COMPUTED_VALUE"""),0.007816363425925926)</f>
        <v>0.007816363426</v>
      </c>
      <c r="H1180" s="15">
        <f>IFERROR(__xludf.DUMMYFUNCTION("""COMPUTED_VALUE"""),0.2549440625)</f>
        <v>0.2549440625</v>
      </c>
      <c r="I1180" s="15">
        <f>IFERROR(__xludf.DUMMYFUNCTION("""COMPUTED_VALUE"""),45949.29402588319)</f>
        <v>45949.29403</v>
      </c>
      <c r="J1180" s="15">
        <f>IFERROR(__xludf.DUMMYFUNCTION("""COMPUTED_VALUE"""),45949.03908182069)</f>
        <v>45949.03908</v>
      </c>
      <c r="K1180" s="15">
        <f>IFERROR(__xludf.DUMMYFUNCTION("""COMPUTED_VALUE"""),45949.27830794594)</f>
        <v>45949.27831</v>
      </c>
      <c r="L1180" s="4"/>
    </row>
    <row r="1181">
      <c r="A1181" s="1">
        <f>IFERROR(__xludf.DUMMYFUNCTION("""COMPUTED_VALUE"""),1180.0)</f>
        <v>1180</v>
      </c>
      <c r="B1181" s="1">
        <f>IFERROR(__xludf.DUMMYFUNCTION("""COMPUTED_VALUE"""),6429.0)</f>
        <v>6429</v>
      </c>
      <c r="C1181" s="2" t="str">
        <f>IFERROR(__xludf.DUMMYFUNCTION("""COMPUTED_VALUE"""),"KASMAWATI")</f>
        <v>KASMAWATI</v>
      </c>
      <c r="D1181" s="2" t="str">
        <f>IFERROR(__xludf.DUMMYFUNCTION("""COMPUTED_VALUE"""),"5KM OVERALL F")</f>
        <v>5KM OVERALL F</v>
      </c>
      <c r="E1181" s="1">
        <f>IFERROR(__xludf.DUMMYFUNCTION("""COMPUTED_VALUE"""),289.0)</f>
        <v>289</v>
      </c>
      <c r="F1181" s="1" t="str">
        <f>IFERROR(__xludf.DUMMYFUNCTION("""COMPUTED_VALUE"""),"Female")</f>
        <v>Female</v>
      </c>
      <c r="G1181" s="5">
        <f>IFERROR(__xludf.DUMMYFUNCTION("""COMPUTED_VALUE"""),0.007819835648148147)</f>
        <v>0.007819835648</v>
      </c>
      <c r="H1181" s="15">
        <f>IFERROR(__xludf.DUMMYFUNCTION("""COMPUTED_VALUE"""),0.2549440625)</f>
        <v>0.2549440625</v>
      </c>
      <c r="I1181" s="15">
        <f>IFERROR(__xludf.DUMMYFUNCTION("""COMPUTED_VALUE"""),45949.29404323638)</f>
        <v>45949.29404</v>
      </c>
      <c r="J1181" s="15">
        <f>IFERROR(__xludf.DUMMYFUNCTION("""COMPUTED_VALUE"""),45949.03909917388)</f>
        <v>45949.0391</v>
      </c>
      <c r="K1181" s="15">
        <f>IFERROR(__xludf.DUMMYFUNCTION("""COMPUTED_VALUE"""),45949.27706489768)</f>
        <v>45949.27706</v>
      </c>
      <c r="L1181" s="4"/>
    </row>
    <row r="1182">
      <c r="A1182" s="1">
        <f>IFERROR(__xludf.DUMMYFUNCTION("""COMPUTED_VALUE"""),1181.0)</f>
        <v>1181</v>
      </c>
      <c r="B1182" s="1">
        <f>IFERROR(__xludf.DUMMYFUNCTION("""COMPUTED_VALUE"""),6406.0)</f>
        <v>6406</v>
      </c>
      <c r="C1182" s="2" t="str">
        <f>IFERROR(__xludf.DUMMYFUNCTION("""COMPUTED_VALUE"""),"CALU")</f>
        <v>CALU</v>
      </c>
      <c r="D1182" s="2" t="str">
        <f>IFERROR(__xludf.DUMMYFUNCTION("""COMPUTED_VALUE"""),"5KM OVERALL M")</f>
        <v>5KM OVERALL M</v>
      </c>
      <c r="E1182" s="1">
        <f>IFERROR(__xludf.DUMMYFUNCTION("""COMPUTED_VALUE"""),689.0)</f>
        <v>689</v>
      </c>
      <c r="F1182" s="1" t="str">
        <f>IFERROR(__xludf.DUMMYFUNCTION("""COMPUTED_VALUE"""),"Male")</f>
        <v>Male</v>
      </c>
      <c r="G1182" s="5">
        <f>IFERROR(__xludf.DUMMYFUNCTION("""COMPUTED_VALUE"""),0.007828217592592593)</f>
        <v>0.007828217593</v>
      </c>
      <c r="H1182" s="15">
        <f>IFERROR(__xludf.DUMMYFUNCTION("""COMPUTED_VALUE"""),0.2549440625)</f>
        <v>0.2549440625</v>
      </c>
      <c r="I1182" s="15">
        <f>IFERROR(__xludf.DUMMYFUNCTION("""COMPUTED_VALUE"""),45949.294085153604)</f>
        <v>45949.29409</v>
      </c>
      <c r="J1182" s="15">
        <f>IFERROR(__xludf.DUMMYFUNCTION("""COMPUTED_VALUE"""),45949.0391410911)</f>
        <v>45949.03914</v>
      </c>
      <c r="K1182" s="15">
        <f>IFERROR(__xludf.DUMMYFUNCTION("""COMPUTED_VALUE"""),45949.27706492084)</f>
        <v>45949.27706</v>
      </c>
      <c r="L1182" s="4"/>
    </row>
    <row r="1183">
      <c r="A1183" s="1">
        <f>IFERROR(__xludf.DUMMYFUNCTION("""COMPUTED_VALUE"""),1182.0)</f>
        <v>1182</v>
      </c>
      <c r="B1183" s="1">
        <f>IFERROR(__xludf.DUMMYFUNCTION("""COMPUTED_VALUE"""),6155.0)</f>
        <v>6155</v>
      </c>
      <c r="C1183" s="2" t="str">
        <f>IFERROR(__xludf.DUMMYFUNCTION("""COMPUTED_VALUE"""),"SUND4NESE")</f>
        <v>SUND4NESE</v>
      </c>
      <c r="D1183" s="2" t="str">
        <f>IFERROR(__xludf.DUMMYFUNCTION("""COMPUTED_VALUE"""),"5KM OVERALL M")</f>
        <v>5KM OVERALL M</v>
      </c>
      <c r="E1183" s="1">
        <f>IFERROR(__xludf.DUMMYFUNCTION("""COMPUTED_VALUE"""),690.0)</f>
        <v>690</v>
      </c>
      <c r="F1183" s="1" t="str">
        <f>IFERROR(__xludf.DUMMYFUNCTION("""COMPUTED_VALUE"""),"Male")</f>
        <v>Male</v>
      </c>
      <c r="G1183" s="5">
        <f>IFERROR(__xludf.DUMMYFUNCTION("""COMPUTED_VALUE"""),0.007830944444444444)</f>
        <v>0.007830944444</v>
      </c>
      <c r="H1183" s="15">
        <f>IFERROR(__xludf.DUMMYFUNCTION("""COMPUTED_VALUE"""),0.2549440625)</f>
        <v>0.2549440625</v>
      </c>
      <c r="I1183" s="15">
        <f>IFERROR(__xludf.DUMMYFUNCTION("""COMPUTED_VALUE"""),45949.29409878944)</f>
        <v>45949.2941</v>
      </c>
      <c r="J1183" s="15">
        <f>IFERROR(__xludf.DUMMYFUNCTION("""COMPUTED_VALUE"""),45949.03915472694)</f>
        <v>45949.03915</v>
      </c>
      <c r="K1183" s="15">
        <f>IFERROR(__xludf.DUMMYFUNCTION("""COMPUTED_VALUE"""),45949.27658224586)</f>
        <v>45949.27658</v>
      </c>
      <c r="L1183" s="4"/>
    </row>
    <row r="1184">
      <c r="A1184" s="1">
        <f>IFERROR(__xludf.DUMMYFUNCTION("""COMPUTED_VALUE"""),1183.0)</f>
        <v>1183</v>
      </c>
      <c r="B1184" s="1">
        <f>IFERROR(__xludf.DUMMYFUNCTION("""COMPUTED_VALUE"""),5708.0)</f>
        <v>5708</v>
      </c>
      <c r="C1184" s="2" t="str">
        <f>IFERROR(__xludf.DUMMYFUNCTION("""COMPUTED_VALUE"""),"KARINA")</f>
        <v>KARINA</v>
      </c>
      <c r="D1184" s="2" t="str">
        <f>IFERROR(__xludf.DUMMYFUNCTION("""COMPUTED_VALUE"""),"5KM OVERALL F")</f>
        <v>5KM OVERALL F</v>
      </c>
      <c r="E1184" s="1">
        <f>IFERROR(__xludf.DUMMYFUNCTION("""COMPUTED_VALUE"""),290.0)</f>
        <v>290</v>
      </c>
      <c r="F1184" s="1" t="str">
        <f>IFERROR(__xludf.DUMMYFUNCTION("""COMPUTED_VALUE"""),"Female")</f>
        <v>Female</v>
      </c>
      <c r="G1184" s="5">
        <f>IFERROR(__xludf.DUMMYFUNCTION("""COMPUTED_VALUE"""),0.007833027777777777)</f>
        <v>0.007833027778</v>
      </c>
      <c r="H1184" s="15">
        <f>IFERROR(__xludf.DUMMYFUNCTION("""COMPUTED_VALUE"""),0.2549440625)</f>
        <v>0.2549440625</v>
      </c>
      <c r="I1184" s="15">
        <f>IFERROR(__xludf.DUMMYFUNCTION("""COMPUTED_VALUE"""),45949.29410919609)</f>
        <v>45949.29411</v>
      </c>
      <c r="J1184" s="15">
        <f>IFERROR(__xludf.DUMMYFUNCTION("""COMPUTED_VALUE"""),45949.03916513359)</f>
        <v>45949.03917</v>
      </c>
      <c r="K1184" s="15">
        <f>IFERROR(__xludf.DUMMYFUNCTION("""COMPUTED_VALUE"""),45949.277040662404)</f>
        <v>45949.27704</v>
      </c>
      <c r="L1184" s="4"/>
    </row>
    <row r="1185">
      <c r="A1185" s="1">
        <f>IFERROR(__xludf.DUMMYFUNCTION("""COMPUTED_VALUE"""),1184.0)</f>
        <v>1184</v>
      </c>
      <c r="B1185" s="1">
        <f>IFERROR(__xludf.DUMMYFUNCTION("""COMPUTED_VALUE"""),5637.0)</f>
        <v>5637</v>
      </c>
      <c r="C1185" s="2" t="str">
        <f>IFERROR(__xludf.DUMMYFUNCTION("""COMPUTED_VALUE"""),"Adistrinade")</f>
        <v>Adistrinade</v>
      </c>
      <c r="D1185" s="2" t="str">
        <f>IFERROR(__xludf.DUMMYFUNCTION("""COMPUTED_VALUE"""),"5KM OVERALL F")</f>
        <v>5KM OVERALL F</v>
      </c>
      <c r="E1185" s="1">
        <f>IFERROR(__xludf.DUMMYFUNCTION("""COMPUTED_VALUE"""),291.0)</f>
        <v>291</v>
      </c>
      <c r="F1185" s="1" t="str">
        <f>IFERROR(__xludf.DUMMYFUNCTION("""COMPUTED_VALUE"""),"Female")</f>
        <v>Female</v>
      </c>
      <c r="G1185" s="5">
        <f>IFERROR(__xludf.DUMMYFUNCTION("""COMPUTED_VALUE"""),0.007835793981481482)</f>
        <v>0.007835793981</v>
      </c>
      <c r="H1185" s="15">
        <f>IFERROR(__xludf.DUMMYFUNCTION("""COMPUTED_VALUE"""),0.2549440625)</f>
        <v>0.2549440625</v>
      </c>
      <c r="I1185" s="15">
        <f>IFERROR(__xludf.DUMMYFUNCTION("""COMPUTED_VALUE"""),45949.29412303761)</f>
        <v>45949.29412</v>
      </c>
      <c r="J1185" s="15">
        <f>IFERROR(__xludf.DUMMYFUNCTION("""COMPUTED_VALUE"""),45949.03917897511)</f>
        <v>45949.03918</v>
      </c>
      <c r="K1185" s="15">
        <f>IFERROR(__xludf.DUMMYFUNCTION("""COMPUTED_VALUE"""),45949.27655100713)</f>
        <v>45949.27655</v>
      </c>
      <c r="L1185" s="4"/>
    </row>
    <row r="1186">
      <c r="A1186" s="1">
        <f>IFERROR(__xludf.DUMMYFUNCTION("""COMPUTED_VALUE"""),1185.0)</f>
        <v>1185</v>
      </c>
      <c r="B1186" s="1">
        <f>IFERROR(__xludf.DUMMYFUNCTION("""COMPUTED_VALUE"""),6154.0)</f>
        <v>6154</v>
      </c>
      <c r="C1186" s="2" t="str">
        <f>IFERROR(__xludf.DUMMYFUNCTION("""COMPUTED_VALUE"""),"andhika")</f>
        <v>andhika</v>
      </c>
      <c r="D1186" s="2" t="str">
        <f>IFERROR(__xludf.DUMMYFUNCTION("""COMPUTED_VALUE"""),"5KM OVERALL M")</f>
        <v>5KM OVERALL M</v>
      </c>
      <c r="E1186" s="1">
        <f>IFERROR(__xludf.DUMMYFUNCTION("""COMPUTED_VALUE"""),691.0)</f>
        <v>691</v>
      </c>
      <c r="F1186" s="1" t="str">
        <f>IFERROR(__xludf.DUMMYFUNCTION("""COMPUTED_VALUE"""),"Male")</f>
        <v>Male</v>
      </c>
      <c r="G1186" s="5">
        <f>IFERROR(__xludf.DUMMYFUNCTION("""COMPUTED_VALUE"""),0.007835796296296296)</f>
        <v>0.007835796296</v>
      </c>
      <c r="H1186" s="15">
        <f>IFERROR(__xludf.DUMMYFUNCTION("""COMPUTED_VALUE"""),0.2549440625)</f>
        <v>0.2549440625</v>
      </c>
      <c r="I1186" s="15">
        <f>IFERROR(__xludf.DUMMYFUNCTION("""COMPUTED_VALUE"""),45949.29412304944)</f>
        <v>45949.29412</v>
      </c>
      <c r="J1186" s="15">
        <f>IFERROR(__xludf.DUMMYFUNCTION("""COMPUTED_VALUE"""),45949.03917898694)</f>
        <v>45949.03918</v>
      </c>
      <c r="K1186" s="15">
        <f>IFERROR(__xludf.DUMMYFUNCTION("""COMPUTED_VALUE"""),45949.27662738634)</f>
        <v>45949.27663</v>
      </c>
      <c r="L1186" s="4"/>
    </row>
    <row r="1187">
      <c r="A1187" s="1">
        <f>IFERROR(__xludf.DUMMYFUNCTION("""COMPUTED_VALUE"""),1186.0)</f>
        <v>1186</v>
      </c>
      <c r="B1187" s="1">
        <f>IFERROR(__xludf.DUMMYFUNCTION("""COMPUTED_VALUE"""),5535.0)</f>
        <v>5535</v>
      </c>
      <c r="C1187" s="2" t="str">
        <f>IFERROR(__xludf.DUMMYFUNCTION("""COMPUTED_VALUE"""),"Aan Hasanudin")</f>
        <v>Aan Hasanudin</v>
      </c>
      <c r="D1187" s="2" t="str">
        <f>IFERROR(__xludf.DUMMYFUNCTION("""COMPUTED_VALUE"""),"5KM OVERALL M")</f>
        <v>5KM OVERALL M</v>
      </c>
      <c r="E1187" s="1">
        <f>IFERROR(__xludf.DUMMYFUNCTION("""COMPUTED_VALUE"""),692.0)</f>
        <v>692</v>
      </c>
      <c r="F1187" s="1" t="str">
        <f>IFERROR(__xludf.DUMMYFUNCTION("""COMPUTED_VALUE"""),"Male")</f>
        <v>Male</v>
      </c>
      <c r="G1187" s="5">
        <f>IFERROR(__xludf.DUMMYFUNCTION("""COMPUTED_VALUE"""),0.007835796296296296)</f>
        <v>0.007835796296</v>
      </c>
      <c r="H1187" s="15">
        <f>IFERROR(__xludf.DUMMYFUNCTION("""COMPUTED_VALUE"""),0.2549440625)</f>
        <v>0.2549440625</v>
      </c>
      <c r="I1187" s="15">
        <f>IFERROR(__xludf.DUMMYFUNCTION("""COMPUTED_VALUE"""),45949.29412304944)</f>
        <v>45949.29412</v>
      </c>
      <c r="J1187" s="15">
        <f>IFERROR(__xludf.DUMMYFUNCTION("""COMPUTED_VALUE"""),45949.03917898694)</f>
        <v>45949.03918</v>
      </c>
      <c r="K1187" s="15">
        <f>IFERROR(__xludf.DUMMYFUNCTION("""COMPUTED_VALUE"""),45949.277040639245)</f>
        <v>45949.27704</v>
      </c>
      <c r="L1187" s="4"/>
    </row>
    <row r="1188">
      <c r="A1188" s="1">
        <f>IFERROR(__xludf.DUMMYFUNCTION("""COMPUTED_VALUE"""),1187.0)</f>
        <v>1187</v>
      </c>
      <c r="B1188" s="1">
        <f>IFERROR(__xludf.DUMMYFUNCTION("""COMPUTED_VALUE"""),9100.0)</f>
        <v>9100</v>
      </c>
      <c r="C1188" s="2" t="str">
        <f>IFERROR(__xludf.DUMMYFUNCTION("""COMPUTED_VALUE"""),"Cie")</f>
        <v>Cie</v>
      </c>
      <c r="D1188" s="2" t="str">
        <f>IFERROR(__xludf.DUMMYFUNCTION("""COMPUTED_VALUE"""),"5KM STUDENT F")</f>
        <v>5KM STUDENT F</v>
      </c>
      <c r="E1188" s="1">
        <f>IFERROR(__xludf.DUMMYFUNCTION("""COMPUTED_VALUE"""),9.0)</f>
        <v>9</v>
      </c>
      <c r="F1188" s="1" t="str">
        <f>IFERROR(__xludf.DUMMYFUNCTION("""COMPUTED_VALUE"""),"Female")</f>
        <v>Female</v>
      </c>
      <c r="G1188" s="5">
        <f>IFERROR(__xludf.DUMMYFUNCTION("""COMPUTED_VALUE"""),0.0078365)</f>
        <v>0.0078365</v>
      </c>
      <c r="H1188" s="15">
        <f>IFERROR(__xludf.DUMMYFUNCTION("""COMPUTED_VALUE"""),0.2549440625)</f>
        <v>0.2549440625</v>
      </c>
      <c r="I1188" s="15">
        <f>IFERROR(__xludf.DUMMYFUNCTION("""COMPUTED_VALUE"""),45949.29412656114)</f>
        <v>45949.29413</v>
      </c>
      <c r="J1188" s="15">
        <f>IFERROR(__xludf.DUMMYFUNCTION("""COMPUTED_VALUE"""),45949.03918249864)</f>
        <v>45949.03918</v>
      </c>
      <c r="K1188" s="15">
        <f>IFERROR(__xludf.DUMMYFUNCTION("""COMPUTED_VALUE"""),45949.27671080151)</f>
        <v>45949.27671</v>
      </c>
      <c r="L1188" s="4"/>
    </row>
    <row r="1189">
      <c r="A1189" s="1">
        <f>IFERROR(__xludf.DUMMYFUNCTION("""COMPUTED_VALUE"""),1188.0)</f>
        <v>1188</v>
      </c>
      <c r="B1189" s="1">
        <f>IFERROR(__xludf.DUMMYFUNCTION("""COMPUTED_VALUE"""),5784.0)</f>
        <v>5784</v>
      </c>
      <c r="C1189" s="2" t="str">
        <f>IFERROR(__xludf.DUMMYFUNCTION("""COMPUTED_VALUE"""),"prasera")</f>
        <v>prasera</v>
      </c>
      <c r="D1189" s="2" t="str">
        <f>IFERROR(__xludf.DUMMYFUNCTION("""COMPUTED_VALUE"""),"5KM OVERALL F")</f>
        <v>5KM OVERALL F</v>
      </c>
      <c r="E1189" s="1">
        <f>IFERROR(__xludf.DUMMYFUNCTION("""COMPUTED_VALUE"""),292.0)</f>
        <v>292</v>
      </c>
      <c r="F1189" s="1" t="str">
        <f>IFERROR(__xludf.DUMMYFUNCTION("""COMPUTED_VALUE"""),"Female")</f>
        <v>Female</v>
      </c>
      <c r="G1189" s="5">
        <f>IFERROR(__xludf.DUMMYFUNCTION("""COMPUTED_VALUE"""),0.007837888888888889)</f>
        <v>0.007837888889</v>
      </c>
      <c r="H1189" s="15">
        <f>IFERROR(__xludf.DUMMYFUNCTION("""COMPUTED_VALUE"""),0.2549440625)</f>
        <v>0.2549440625</v>
      </c>
      <c r="I1189" s="15">
        <f>IFERROR(__xludf.DUMMYFUNCTION("""COMPUTED_VALUE"""),45949.294133508294)</f>
        <v>45949.29413</v>
      </c>
      <c r="J1189" s="15">
        <f>IFERROR(__xludf.DUMMYFUNCTION("""COMPUTED_VALUE"""),45949.03918944579)</f>
        <v>45949.03919</v>
      </c>
      <c r="K1189" s="15">
        <f>IFERROR(__xludf.DUMMYFUNCTION("""COMPUTED_VALUE"""),45949.27647461261)</f>
        <v>45949.27647</v>
      </c>
      <c r="L1189" s="4"/>
    </row>
    <row r="1190">
      <c r="A1190" s="1">
        <f>IFERROR(__xludf.DUMMYFUNCTION("""COMPUTED_VALUE"""),1189.0)</f>
        <v>1189</v>
      </c>
      <c r="B1190" s="1">
        <f>IFERROR(__xludf.DUMMYFUNCTION("""COMPUTED_VALUE"""),5193.0)</f>
        <v>5193</v>
      </c>
      <c r="C1190" s="2" t="str">
        <f>IFERROR(__xludf.DUMMYFUNCTION("""COMPUTED_VALUE"""),"AKA")</f>
        <v>AKA</v>
      </c>
      <c r="D1190" s="2" t="str">
        <f>IFERROR(__xludf.DUMMYFUNCTION("""COMPUTED_VALUE"""),"5KM OVERALL M")</f>
        <v>5KM OVERALL M</v>
      </c>
      <c r="E1190" s="1">
        <f>IFERROR(__xludf.DUMMYFUNCTION("""COMPUTED_VALUE"""),693.0)</f>
        <v>693</v>
      </c>
      <c r="F1190" s="1" t="str">
        <f>IFERROR(__xludf.DUMMYFUNCTION("""COMPUTED_VALUE"""),"Male")</f>
        <v>Male</v>
      </c>
      <c r="G1190" s="5">
        <f>IFERROR(__xludf.DUMMYFUNCTION("""COMPUTED_VALUE"""),0.007837891203703703)</f>
        <v>0.007837891204</v>
      </c>
      <c r="H1190" s="15">
        <f>IFERROR(__xludf.DUMMYFUNCTION("""COMPUTED_VALUE"""),0.2549440625)</f>
        <v>0.2549440625</v>
      </c>
      <c r="I1190" s="15">
        <f>IFERROR(__xludf.DUMMYFUNCTION("""COMPUTED_VALUE"""),45949.29413352035)</f>
        <v>45949.29413</v>
      </c>
      <c r="J1190" s="15">
        <f>IFERROR(__xludf.DUMMYFUNCTION("""COMPUTED_VALUE"""),45949.03918945785)</f>
        <v>45949.03919</v>
      </c>
      <c r="K1190" s="15">
        <f>IFERROR(__xludf.DUMMYFUNCTION("""COMPUTED_VALUE"""),45949.2766725185)</f>
        <v>45949.27667</v>
      </c>
      <c r="L1190" s="4"/>
    </row>
    <row r="1191">
      <c r="A1191" s="1">
        <f>IFERROR(__xludf.DUMMYFUNCTION("""COMPUTED_VALUE"""),1190.0)</f>
        <v>1190</v>
      </c>
      <c r="B1191" s="1">
        <f>IFERROR(__xludf.DUMMYFUNCTION("""COMPUTED_VALUE"""),6430.0)</f>
        <v>6430</v>
      </c>
      <c r="C1191" s="2" t="str">
        <f>IFERROR(__xludf.DUMMYFUNCTION("""COMPUTED_VALUE"""),"SUCI EKA ANNISA")</f>
        <v>SUCI EKA ANNISA</v>
      </c>
      <c r="D1191" s="2" t="str">
        <f>IFERROR(__xludf.DUMMYFUNCTION("""COMPUTED_VALUE"""),"5KM OVERALL F")</f>
        <v>5KM OVERALL F</v>
      </c>
      <c r="E1191" s="1">
        <f>IFERROR(__xludf.DUMMYFUNCTION("""COMPUTED_VALUE"""),293.0)</f>
        <v>293</v>
      </c>
      <c r="F1191" s="1" t="str">
        <f>IFERROR(__xludf.DUMMYFUNCTION("""COMPUTED_VALUE"""),"Female")</f>
        <v>Female</v>
      </c>
      <c r="G1191" s="5">
        <f>IFERROR(__xludf.DUMMYFUNCTION("""COMPUTED_VALUE"""),0.007841361111111111)</f>
        <v>0.007841361111</v>
      </c>
      <c r="H1191" s="15">
        <f>IFERROR(__xludf.DUMMYFUNCTION("""COMPUTED_VALUE"""),0.2549440625)</f>
        <v>0.2549440625</v>
      </c>
      <c r="I1191" s="15">
        <f>IFERROR(__xludf.DUMMYFUNCTION("""COMPUTED_VALUE"""),45949.29415086911)</f>
        <v>45949.29415</v>
      </c>
      <c r="J1191" s="15">
        <f>IFERROR(__xludf.DUMMYFUNCTION("""COMPUTED_VALUE"""),45949.03920680661)</f>
        <v>45949.03921</v>
      </c>
      <c r="K1191" s="15">
        <f>IFERROR(__xludf.DUMMYFUNCTION("""COMPUTED_VALUE"""),45949.276679472685)</f>
        <v>45949.27668</v>
      </c>
      <c r="L1191" s="4"/>
    </row>
    <row r="1192">
      <c r="A1192" s="1">
        <f>IFERROR(__xludf.DUMMYFUNCTION("""COMPUTED_VALUE"""),1191.0)</f>
        <v>1191</v>
      </c>
      <c r="B1192" s="1">
        <f>IFERROR(__xludf.DUMMYFUNCTION("""COMPUTED_VALUE"""),7051.0)</f>
        <v>7051</v>
      </c>
      <c r="C1192" s="2" t="str">
        <f>IFERROR(__xludf.DUMMYFUNCTION("""COMPUTED_VALUE"""),"rusmin")</f>
        <v>rusmin</v>
      </c>
      <c r="D1192" s="2" t="str">
        <f>IFERROR(__xludf.DUMMYFUNCTION("""COMPUTED_VALUE"""),"5KM MASTER M")</f>
        <v>5KM MASTER M</v>
      </c>
      <c r="E1192" s="1">
        <f>IFERROR(__xludf.DUMMYFUNCTION("""COMPUTED_VALUE"""),89.0)</f>
        <v>89</v>
      </c>
      <c r="F1192" s="1" t="str">
        <f>IFERROR(__xludf.DUMMYFUNCTION("""COMPUTED_VALUE"""),"Male")</f>
        <v>Male</v>
      </c>
      <c r="G1192" s="5">
        <f>IFERROR(__xludf.DUMMYFUNCTION("""COMPUTED_VALUE"""),0.007843444444444445)</f>
        <v>0.007843444444</v>
      </c>
      <c r="H1192" s="15">
        <f>IFERROR(__xludf.DUMMYFUNCTION("""COMPUTED_VALUE"""),0.2549440625)</f>
        <v>0.2549440625</v>
      </c>
      <c r="I1192" s="15">
        <f>IFERROR(__xludf.DUMMYFUNCTION("""COMPUTED_VALUE"""),45949.29416128012)</f>
        <v>45949.29416</v>
      </c>
      <c r="J1192" s="15">
        <f>IFERROR(__xludf.DUMMYFUNCTION("""COMPUTED_VALUE"""),45949.03921721762)</f>
        <v>45949.03922</v>
      </c>
      <c r="K1192" s="15">
        <f>IFERROR(__xludf.DUMMYFUNCTION("""COMPUTED_VALUE"""),45949.277849603146)</f>
        <v>45949.27785</v>
      </c>
      <c r="L1192" s="4"/>
    </row>
    <row r="1193">
      <c r="A1193" s="1">
        <f>IFERROR(__xludf.DUMMYFUNCTION("""COMPUTED_VALUE"""),1192.0)</f>
        <v>1192</v>
      </c>
      <c r="B1193" s="1">
        <f>IFERROR(__xludf.DUMMYFUNCTION("""COMPUTED_VALUE"""),5596.0)</f>
        <v>5596</v>
      </c>
      <c r="C1193" s="2" t="str">
        <f>IFERROR(__xludf.DUMMYFUNCTION("""COMPUTED_VALUE"""),"Apink")</f>
        <v>Apink</v>
      </c>
      <c r="D1193" s="2" t="str">
        <f>IFERROR(__xludf.DUMMYFUNCTION("""COMPUTED_VALUE"""),"5KM OVERALL F")</f>
        <v>5KM OVERALL F</v>
      </c>
      <c r="E1193" s="1">
        <f>IFERROR(__xludf.DUMMYFUNCTION("""COMPUTED_VALUE"""),294.0)</f>
        <v>294</v>
      </c>
      <c r="F1193" s="1" t="str">
        <f>IFERROR(__xludf.DUMMYFUNCTION("""COMPUTED_VALUE"""),"Female")</f>
        <v>Female</v>
      </c>
      <c r="G1193" s="5">
        <f>IFERROR(__xludf.DUMMYFUNCTION("""COMPUTED_VALUE"""),0.00784761111111111)</f>
        <v>0.007847611111</v>
      </c>
      <c r="H1193" s="15">
        <f>IFERROR(__xludf.DUMMYFUNCTION("""COMPUTED_VALUE"""),0.2549440625)</f>
        <v>0.2549440625</v>
      </c>
      <c r="I1193" s="15">
        <f>IFERROR(__xludf.DUMMYFUNCTION("""COMPUTED_VALUE"""),45949.29418212289)</f>
        <v>45949.29418</v>
      </c>
      <c r="J1193" s="15">
        <f>IFERROR(__xludf.DUMMYFUNCTION("""COMPUTED_VALUE"""),45949.03923806039)</f>
        <v>45949.03924</v>
      </c>
      <c r="K1193" s="15">
        <f>IFERROR(__xludf.DUMMYFUNCTION("""COMPUTED_VALUE"""),45949.27733231369)</f>
        <v>45949.27733</v>
      </c>
      <c r="L1193" s="4"/>
    </row>
    <row r="1194">
      <c r="A1194" s="1">
        <f>IFERROR(__xludf.DUMMYFUNCTION("""COMPUTED_VALUE"""),1193.0)</f>
        <v>1193</v>
      </c>
      <c r="B1194" s="1">
        <f>IFERROR(__xludf.DUMMYFUNCTION("""COMPUTED_VALUE"""),6230.0)</f>
        <v>6230</v>
      </c>
      <c r="C1194" s="2" t="str">
        <f>IFERROR(__xludf.DUMMYFUNCTION("""COMPUTED_VALUE"""),"Tina")</f>
        <v>Tina</v>
      </c>
      <c r="D1194" s="2" t="str">
        <f>IFERROR(__xludf.DUMMYFUNCTION("""COMPUTED_VALUE"""),"5KM OVERALL F")</f>
        <v>5KM OVERALL F</v>
      </c>
      <c r="E1194" s="1">
        <f>IFERROR(__xludf.DUMMYFUNCTION("""COMPUTED_VALUE"""),295.0)</f>
        <v>295</v>
      </c>
      <c r="F1194" s="1" t="str">
        <f>IFERROR(__xludf.DUMMYFUNCTION("""COMPUTED_VALUE"""),"Female")</f>
        <v>Female</v>
      </c>
      <c r="G1194" s="5">
        <f>IFERROR(__xludf.DUMMYFUNCTION("""COMPUTED_VALUE"""),0.007851087962962962)</f>
        <v>0.007851087963</v>
      </c>
      <c r="H1194" s="15">
        <f>IFERROR(__xludf.DUMMYFUNCTION("""COMPUTED_VALUE"""),0.2549440625)</f>
        <v>0.2549440625</v>
      </c>
      <c r="I1194" s="15">
        <f>IFERROR(__xludf.DUMMYFUNCTION("""COMPUTED_VALUE"""),45949.29419950357)</f>
        <v>45949.2942</v>
      </c>
      <c r="J1194" s="15">
        <f>IFERROR(__xludf.DUMMYFUNCTION("""COMPUTED_VALUE"""),45949.03925544107)</f>
        <v>45949.03926</v>
      </c>
      <c r="K1194" s="15">
        <f>IFERROR(__xludf.DUMMYFUNCTION("""COMPUTED_VALUE"""),45949.27935308418)</f>
        <v>45949.27935</v>
      </c>
      <c r="L1194" s="4"/>
    </row>
    <row r="1195">
      <c r="A1195" s="1">
        <f>IFERROR(__xludf.DUMMYFUNCTION("""COMPUTED_VALUE"""),1194.0)</f>
        <v>1194</v>
      </c>
      <c r="B1195" s="1">
        <f>IFERROR(__xludf.DUMMYFUNCTION("""COMPUTED_VALUE"""),6323.0)</f>
        <v>6323</v>
      </c>
      <c r="C1195" s="2" t="str">
        <f>IFERROR(__xludf.DUMMYFUNCTION("""COMPUTED_VALUE"""),"WAHAB")</f>
        <v>WAHAB</v>
      </c>
      <c r="D1195" s="2" t="str">
        <f>IFERROR(__xludf.DUMMYFUNCTION("""COMPUTED_VALUE"""),"5KM OVERALL M")</f>
        <v>5KM OVERALL M</v>
      </c>
      <c r="E1195" s="1">
        <f>IFERROR(__xludf.DUMMYFUNCTION("""COMPUTED_VALUE"""),694.0)</f>
        <v>694</v>
      </c>
      <c r="F1195" s="1" t="str">
        <f>IFERROR(__xludf.DUMMYFUNCTION("""COMPUTED_VALUE"""),"Male")</f>
        <v>Male</v>
      </c>
      <c r="G1195" s="5">
        <f>IFERROR(__xludf.DUMMYFUNCTION("""COMPUTED_VALUE"""),0.007852472222222222)</f>
        <v>0.007852472222</v>
      </c>
      <c r="H1195" s="15">
        <f>IFERROR(__xludf.DUMMYFUNCTION("""COMPUTED_VALUE"""),0.2549440625)</f>
        <v>0.2549440625</v>
      </c>
      <c r="I1195" s="15">
        <f>IFERROR(__xludf.DUMMYFUNCTION("""COMPUTED_VALUE"""),45949.29420642085)</f>
        <v>45949.29421</v>
      </c>
      <c r="J1195" s="15">
        <f>IFERROR(__xludf.DUMMYFUNCTION("""COMPUTED_VALUE"""),45949.03926235835)</f>
        <v>45949.03926</v>
      </c>
      <c r="K1195" s="15">
        <f>IFERROR(__xludf.DUMMYFUNCTION("""COMPUTED_VALUE"""),45949.27774547947)</f>
        <v>45949.27775</v>
      </c>
      <c r="L1195" s="4"/>
    </row>
    <row r="1196">
      <c r="A1196" s="1">
        <f>IFERROR(__xludf.DUMMYFUNCTION("""COMPUTED_VALUE"""),1195.0)</f>
        <v>1195</v>
      </c>
      <c r="B1196" s="7" t="str">
        <f>IFERROR(__xludf.DUMMYFUNCTION("""COMPUTED_VALUE"""),"7148")</f>
        <v>7148</v>
      </c>
      <c r="C1196" s="8" t="str">
        <f>IFERROR(__xludf.DUMMYFUNCTION("""COMPUTED_VALUE"""),"Norjanah")</f>
        <v>Norjanah</v>
      </c>
      <c r="D1196" s="2" t="str">
        <f>IFERROR(__xludf.DUMMYFUNCTION("""COMPUTED_VALUE"""),"5KM MASTER F")</f>
        <v>5KM MASTER F</v>
      </c>
      <c r="E1196" s="1">
        <f>IFERROR(__xludf.DUMMYFUNCTION("""COMPUTED_VALUE"""),45.0)</f>
        <v>45</v>
      </c>
      <c r="F1196" s="1" t="str">
        <f>IFERROR(__xludf.DUMMYFUNCTION("""COMPUTED_VALUE"""),"Female")</f>
        <v>Female</v>
      </c>
      <c r="G1196" s="5">
        <f>IFERROR(__xludf.DUMMYFUNCTION("""COMPUTED_VALUE"""),0.007860805555555555)</f>
        <v>0.007860805556</v>
      </c>
      <c r="H1196" s="15">
        <f>IFERROR(__xludf.DUMMYFUNCTION("""COMPUTED_VALUE"""),0.2549440625)</f>
        <v>0.2549440625</v>
      </c>
      <c r="I1196" s="15">
        <f>IFERROR(__xludf.DUMMYFUNCTION("""COMPUTED_VALUE"""),45949.29424809525)</f>
        <v>45949.29425</v>
      </c>
      <c r="J1196" s="15">
        <f>IFERROR(__xludf.DUMMYFUNCTION("""COMPUTED_VALUE"""),45949.03930403275)</f>
        <v>45949.0393</v>
      </c>
      <c r="K1196" s="15">
        <f>IFERROR(__xludf.DUMMYFUNCTION("""COMPUTED_VALUE"""),45949.27630102421)</f>
        <v>45949.2763</v>
      </c>
      <c r="L1196" s="4"/>
    </row>
    <row r="1197">
      <c r="A1197" s="1">
        <f>IFERROR(__xludf.DUMMYFUNCTION("""COMPUTED_VALUE"""),1196.0)</f>
        <v>1196</v>
      </c>
      <c r="B1197" s="1">
        <f>IFERROR(__xludf.DUMMYFUNCTION("""COMPUTED_VALUE"""),6107.0)</f>
        <v>6107</v>
      </c>
      <c r="C1197" s="2" t="str">
        <f>IFERROR(__xludf.DUMMYFUNCTION("""COMPUTED_VALUE"""),"Mordekai")</f>
        <v>Mordekai</v>
      </c>
      <c r="D1197" s="2" t="str">
        <f>IFERROR(__xludf.DUMMYFUNCTION("""COMPUTED_VALUE"""),"5KM OVERALL F")</f>
        <v>5KM OVERALL F</v>
      </c>
      <c r="E1197" s="1">
        <f>IFERROR(__xludf.DUMMYFUNCTION("""COMPUTED_VALUE"""),296.0)</f>
        <v>296</v>
      </c>
      <c r="F1197" s="1" t="str">
        <f>IFERROR(__xludf.DUMMYFUNCTION("""COMPUTED_VALUE"""),"Female")</f>
        <v>Female</v>
      </c>
      <c r="G1197" s="5">
        <f>IFERROR(__xludf.DUMMYFUNCTION("""COMPUTED_VALUE"""),0.007864277777777777)</f>
        <v>0.007864277778</v>
      </c>
      <c r="H1197" s="15">
        <f>IFERROR(__xludf.DUMMYFUNCTION("""COMPUTED_VALUE"""),0.2549440625)</f>
        <v>0.2549440625</v>
      </c>
      <c r="I1197" s="15">
        <f>IFERROR(__xludf.DUMMYFUNCTION("""COMPUTED_VALUE"""),45949.29426544968)</f>
        <v>45949.29427</v>
      </c>
      <c r="J1197" s="15">
        <f>IFERROR(__xludf.DUMMYFUNCTION("""COMPUTED_VALUE"""),45949.03932138718)</f>
        <v>45949.03932</v>
      </c>
      <c r="K1197" s="15">
        <f>IFERROR(__xludf.DUMMYFUNCTION("""COMPUTED_VALUE"""),45949.278356548755)</f>
        <v>45949.27836</v>
      </c>
      <c r="L1197" s="4"/>
    </row>
    <row r="1198">
      <c r="A1198" s="1">
        <f>IFERROR(__xludf.DUMMYFUNCTION("""COMPUTED_VALUE"""),1197.0)</f>
        <v>1197</v>
      </c>
      <c r="B1198" s="1">
        <f>IFERROR(__xludf.DUMMYFUNCTION("""COMPUTED_VALUE"""),5178.0)</f>
        <v>5178</v>
      </c>
      <c r="C1198" s="2">
        <f>IFERROR(__xludf.DUMMYFUNCTION("""COMPUTED_VALUE"""),565.0)</f>
        <v>565</v>
      </c>
      <c r="D1198" s="2" t="str">
        <f>IFERROR(__xludf.DUMMYFUNCTION("""COMPUTED_VALUE"""),"5KM OVERALL M")</f>
        <v>5KM OVERALL M</v>
      </c>
      <c r="E1198" s="1">
        <f>IFERROR(__xludf.DUMMYFUNCTION("""COMPUTED_VALUE"""),695.0)</f>
        <v>695</v>
      </c>
      <c r="F1198" s="1" t="str">
        <f>IFERROR(__xludf.DUMMYFUNCTION("""COMPUTED_VALUE"""),"Male")</f>
        <v>Male</v>
      </c>
      <c r="G1198" s="5">
        <f>IFERROR(__xludf.DUMMYFUNCTION("""COMPUTED_VALUE"""),0.007865671296296296)</f>
        <v>0.007865671296</v>
      </c>
      <c r="H1198" s="15">
        <f>IFERROR(__xludf.DUMMYFUNCTION("""COMPUTED_VALUE"""),0.2549440625)</f>
        <v>0.2549440625</v>
      </c>
      <c r="I1198" s="15">
        <f>IFERROR(__xludf.DUMMYFUNCTION("""COMPUTED_VALUE"""),45949.29427241442)</f>
        <v>45949.29427</v>
      </c>
      <c r="J1198" s="15">
        <f>IFERROR(__xludf.DUMMYFUNCTION("""COMPUTED_VALUE"""),45949.03932835192)</f>
        <v>45949.03933</v>
      </c>
      <c r="K1198" s="15">
        <f>IFERROR(__xludf.DUMMYFUNCTION("""COMPUTED_VALUE"""),45949.27685312909)</f>
        <v>45949.27685</v>
      </c>
      <c r="L1198" s="4"/>
    </row>
    <row r="1199">
      <c r="A1199" s="1">
        <f>IFERROR(__xludf.DUMMYFUNCTION("""COMPUTED_VALUE"""),1198.0)</f>
        <v>1198</v>
      </c>
      <c r="B1199" s="1">
        <f>IFERROR(__xludf.DUMMYFUNCTION("""COMPUTED_VALUE"""),5522.0)</f>
        <v>5522</v>
      </c>
      <c r="C1199" s="2" t="str">
        <f>IFERROR(__xludf.DUMMYFUNCTION("""COMPUTED_VALUE"""),"MAE")</f>
        <v>MAE</v>
      </c>
      <c r="D1199" s="2" t="str">
        <f>IFERROR(__xludf.DUMMYFUNCTION("""COMPUTED_VALUE"""),"5KM OVERALL F")</f>
        <v>5KM OVERALL F</v>
      </c>
      <c r="E1199" s="1">
        <f>IFERROR(__xludf.DUMMYFUNCTION("""COMPUTED_VALUE"""),297.0)</f>
        <v>297</v>
      </c>
      <c r="F1199" s="1" t="str">
        <f>IFERROR(__xludf.DUMMYFUNCTION("""COMPUTED_VALUE"""),"Female")</f>
        <v>Female</v>
      </c>
      <c r="G1199" s="5">
        <f>IFERROR(__xludf.DUMMYFUNCTION("""COMPUTED_VALUE"""),0.007869138888888887)</f>
        <v>0.007869138889</v>
      </c>
      <c r="H1199" s="15">
        <f>IFERROR(__xludf.DUMMYFUNCTION("""COMPUTED_VALUE"""),0.2549440625)</f>
        <v>0.2549440625</v>
      </c>
      <c r="I1199" s="15">
        <f>IFERROR(__xludf.DUMMYFUNCTION("""COMPUTED_VALUE"""),45949.294289751364)</f>
        <v>45949.29429</v>
      </c>
      <c r="J1199" s="15">
        <f>IFERROR(__xludf.DUMMYFUNCTION("""COMPUTED_VALUE"""),45949.03934568886)</f>
        <v>45949.03935</v>
      </c>
      <c r="K1199" s="15">
        <f>IFERROR(__xludf.DUMMYFUNCTION("""COMPUTED_VALUE"""),45949.27675934559)</f>
        <v>45949.27676</v>
      </c>
      <c r="L1199" s="4"/>
    </row>
    <row r="1200">
      <c r="A1200" s="1">
        <f>IFERROR(__xludf.DUMMYFUNCTION("""COMPUTED_VALUE"""),1199.0)</f>
        <v>1199</v>
      </c>
      <c r="B1200" s="1">
        <f>IFERROR(__xludf.DUMMYFUNCTION("""COMPUTED_VALUE"""),6218.0)</f>
        <v>6218</v>
      </c>
      <c r="C1200" s="2" t="str">
        <f>IFERROR(__xludf.DUMMYFUNCTION("""COMPUTED_VALUE"""),"Devina")</f>
        <v>Devina</v>
      </c>
      <c r="D1200" s="2" t="str">
        <f>IFERROR(__xludf.DUMMYFUNCTION("""COMPUTED_VALUE"""),"5KM OVERALL F")</f>
        <v>5KM OVERALL F</v>
      </c>
      <c r="E1200" s="1">
        <f>IFERROR(__xludf.DUMMYFUNCTION("""COMPUTED_VALUE"""),298.0)</f>
        <v>298</v>
      </c>
      <c r="F1200" s="1" t="str">
        <f>IFERROR(__xludf.DUMMYFUNCTION("""COMPUTED_VALUE"""),"Female")</f>
        <v>Female</v>
      </c>
      <c r="G1200" s="5">
        <f>IFERROR(__xludf.DUMMYFUNCTION("""COMPUTED_VALUE"""),0.007871224537037038)</f>
        <v>0.007871224537</v>
      </c>
      <c r="H1200" s="15">
        <f>IFERROR(__xludf.DUMMYFUNCTION("""COMPUTED_VALUE"""),0.2549440625)</f>
        <v>0.2549440625</v>
      </c>
      <c r="I1200" s="15">
        <f>IFERROR(__xludf.DUMMYFUNCTION("""COMPUTED_VALUE"""),45949.294300185866)</f>
        <v>45949.2943</v>
      </c>
      <c r="J1200" s="15">
        <f>IFERROR(__xludf.DUMMYFUNCTION("""COMPUTED_VALUE"""),45949.039356123365)</f>
        <v>45949.03936</v>
      </c>
      <c r="K1200" s="15">
        <f>IFERROR(__xludf.DUMMYFUNCTION("""COMPUTED_VALUE"""),45949.27849891969)</f>
        <v>45949.2785</v>
      </c>
      <c r="L1200" s="4"/>
    </row>
    <row r="1201">
      <c r="A1201" s="1">
        <f>IFERROR(__xludf.DUMMYFUNCTION("""COMPUTED_VALUE"""),1200.0)</f>
        <v>1200</v>
      </c>
      <c r="B1201" s="1">
        <f>IFERROR(__xludf.DUMMYFUNCTION("""COMPUTED_VALUE"""),5179.0)</f>
        <v>5179</v>
      </c>
      <c r="C1201" s="2" t="str">
        <f>IFERROR(__xludf.DUMMYFUNCTION("""COMPUTED_VALUE"""),"siska")</f>
        <v>siska</v>
      </c>
      <c r="D1201" s="2" t="str">
        <f>IFERROR(__xludf.DUMMYFUNCTION("""COMPUTED_VALUE"""),"5KM OVERALL F")</f>
        <v>5KM OVERALL F</v>
      </c>
      <c r="E1201" s="1">
        <f>IFERROR(__xludf.DUMMYFUNCTION("""COMPUTED_VALUE"""),299.0)</f>
        <v>299</v>
      </c>
      <c r="F1201" s="1" t="str">
        <f>IFERROR(__xludf.DUMMYFUNCTION("""COMPUTED_VALUE"""),"Female")</f>
        <v>Female</v>
      </c>
      <c r="G1201" s="5">
        <f>IFERROR(__xludf.DUMMYFUNCTION("""COMPUTED_VALUE"""),0.007872611111111111)</f>
        <v>0.007872611111</v>
      </c>
      <c r="H1201" s="15">
        <f>IFERROR(__xludf.DUMMYFUNCTION("""COMPUTED_VALUE"""),0.2549440625)</f>
        <v>0.2549440625</v>
      </c>
      <c r="I1201" s="15">
        <f>IFERROR(__xludf.DUMMYFUNCTION("""COMPUTED_VALUE"""),45949.29430711269)</f>
        <v>45949.29431</v>
      </c>
      <c r="J1201" s="15">
        <f>IFERROR(__xludf.DUMMYFUNCTION("""COMPUTED_VALUE"""),45949.039363050186)</f>
        <v>45949.03936</v>
      </c>
      <c r="K1201" s="15">
        <f>IFERROR(__xludf.DUMMYFUNCTION("""COMPUTED_VALUE"""),45949.27759266708)</f>
        <v>45949.27759</v>
      </c>
      <c r="L1201" s="4"/>
    </row>
    <row r="1202">
      <c r="A1202" s="1">
        <f>IFERROR(__xludf.DUMMYFUNCTION("""COMPUTED_VALUE"""),1201.0)</f>
        <v>1201</v>
      </c>
      <c r="B1202" s="1">
        <f>IFERROR(__xludf.DUMMYFUNCTION("""COMPUTED_VALUE"""),5190.0)</f>
        <v>5190</v>
      </c>
      <c r="C1202" s="2" t="str">
        <f>IFERROR(__xludf.DUMMYFUNCTION("""COMPUTED_VALUE"""),"Dahlia")</f>
        <v>Dahlia</v>
      </c>
      <c r="D1202" s="2" t="str">
        <f>IFERROR(__xludf.DUMMYFUNCTION("""COMPUTED_VALUE"""),"5KM OVERALL F")</f>
        <v>5KM OVERALL F</v>
      </c>
      <c r="E1202" s="1">
        <f>IFERROR(__xludf.DUMMYFUNCTION("""COMPUTED_VALUE"""),300.0)</f>
        <v>300</v>
      </c>
      <c r="F1202" s="1" t="str">
        <f>IFERROR(__xludf.DUMMYFUNCTION("""COMPUTED_VALUE"""),"Female")</f>
        <v>Female</v>
      </c>
      <c r="G1202" s="5">
        <f>IFERROR(__xludf.DUMMYFUNCTION("""COMPUTED_VALUE"""),0.007873310185185185)</f>
        <v>0.007873310185</v>
      </c>
      <c r="H1202" s="15">
        <f>IFERROR(__xludf.DUMMYFUNCTION("""COMPUTED_VALUE"""),0.2549440625)</f>
        <v>0.2549440625</v>
      </c>
      <c r="I1202" s="15">
        <f>IFERROR(__xludf.DUMMYFUNCTION("""COMPUTED_VALUE"""),45949.29431060819)</f>
        <v>45949.29431</v>
      </c>
      <c r="J1202" s="15">
        <f>IFERROR(__xludf.DUMMYFUNCTION("""COMPUTED_VALUE"""),45949.03936654569)</f>
        <v>45949.03937</v>
      </c>
      <c r="K1202" s="15">
        <f>IFERROR(__xludf.DUMMYFUNCTION("""COMPUTED_VALUE"""),45949.27756144723)</f>
        <v>45949.27756</v>
      </c>
      <c r="L1202" s="4"/>
    </row>
    <row r="1203">
      <c r="A1203" s="1">
        <f>IFERROR(__xludf.DUMMYFUNCTION("""COMPUTED_VALUE"""),1202.0)</f>
        <v>1202</v>
      </c>
      <c r="B1203" s="1">
        <f>IFERROR(__xludf.DUMMYFUNCTION("""COMPUTED_VALUE"""),5384.0)</f>
        <v>5384</v>
      </c>
      <c r="C1203" s="2" t="str">
        <f>IFERROR(__xludf.DUMMYFUNCTION("""COMPUTED_VALUE"""),"Hiel")</f>
        <v>Hiel</v>
      </c>
      <c r="D1203" s="2" t="str">
        <f>IFERROR(__xludf.DUMMYFUNCTION("""COMPUTED_VALUE"""),"5KM OVERALL F")</f>
        <v>5KM OVERALL F</v>
      </c>
      <c r="E1203" s="1">
        <f>IFERROR(__xludf.DUMMYFUNCTION("""COMPUTED_VALUE"""),301.0)</f>
        <v>301</v>
      </c>
      <c r="F1203" s="1" t="str">
        <f>IFERROR(__xludf.DUMMYFUNCTION("""COMPUTED_VALUE"""),"Female")</f>
        <v>Female</v>
      </c>
      <c r="G1203" s="5">
        <f>IFERROR(__xludf.DUMMYFUNCTION("""COMPUTED_VALUE"""),0.007875391203703704)</f>
        <v>0.007875391204</v>
      </c>
      <c r="H1203" s="15">
        <f>IFERROR(__xludf.DUMMYFUNCTION("""COMPUTED_VALUE"""),0.2549440625)</f>
        <v>0.2549440625</v>
      </c>
      <c r="I1203" s="15">
        <f>IFERROR(__xludf.DUMMYFUNCTION("""COMPUTED_VALUE"""),45949.2943210173)</f>
        <v>45949.29432</v>
      </c>
      <c r="J1203" s="15">
        <f>IFERROR(__xludf.DUMMYFUNCTION("""COMPUTED_VALUE"""),45949.0393769548)</f>
        <v>45949.03938</v>
      </c>
      <c r="K1203" s="15">
        <f>IFERROR(__xludf.DUMMYFUNCTION("""COMPUTED_VALUE"""),45949.27816564087)</f>
        <v>45949.27817</v>
      </c>
      <c r="L1203" s="4"/>
    </row>
    <row r="1204">
      <c r="A1204" s="1">
        <f>IFERROR(__xludf.DUMMYFUNCTION("""COMPUTED_VALUE"""),1203.0)</f>
        <v>1203</v>
      </c>
      <c r="B1204" s="1">
        <f>IFERROR(__xludf.DUMMYFUNCTION("""COMPUTED_VALUE"""),7107.0)</f>
        <v>7107</v>
      </c>
      <c r="C1204" s="2" t="str">
        <f>IFERROR(__xludf.DUMMYFUNCTION("""COMPUTED_VALUE"""),"wulandari_miss")</f>
        <v>wulandari_miss</v>
      </c>
      <c r="D1204" s="2" t="str">
        <f>IFERROR(__xludf.DUMMYFUNCTION("""COMPUTED_VALUE"""),"5KM MASTER F")</f>
        <v>5KM MASTER F</v>
      </c>
      <c r="E1204" s="1">
        <f>IFERROR(__xludf.DUMMYFUNCTION("""COMPUTED_VALUE"""),46.0)</f>
        <v>46</v>
      </c>
      <c r="F1204" s="1" t="str">
        <f>IFERROR(__xludf.DUMMYFUNCTION("""COMPUTED_VALUE"""),"Female")</f>
        <v>Female</v>
      </c>
      <c r="G1204" s="5">
        <f>IFERROR(__xludf.DUMMYFUNCTION("""COMPUTED_VALUE"""),0.007877474537037037)</f>
        <v>0.007877474537</v>
      </c>
      <c r="H1204" s="15">
        <f>IFERROR(__xludf.DUMMYFUNCTION("""COMPUTED_VALUE"""),0.2549440625)</f>
        <v>0.2549440625</v>
      </c>
      <c r="I1204" s="15">
        <f>IFERROR(__xludf.DUMMYFUNCTION("""COMPUTED_VALUE"""),45949.29433143097)</f>
        <v>45949.29433</v>
      </c>
      <c r="J1204" s="15">
        <f>IFERROR(__xludf.DUMMYFUNCTION("""COMPUTED_VALUE"""),45949.039387368466)</f>
        <v>45949.03939</v>
      </c>
      <c r="K1204" s="15">
        <f>IFERROR(__xludf.DUMMYFUNCTION("""COMPUTED_VALUE"""),45949.27756487968)</f>
        <v>45949.27756</v>
      </c>
      <c r="L1204" s="4"/>
    </row>
    <row r="1205">
      <c r="A1205" s="1">
        <f>IFERROR(__xludf.DUMMYFUNCTION("""COMPUTED_VALUE"""),1204.0)</f>
        <v>1204</v>
      </c>
      <c r="B1205" s="1">
        <f>IFERROR(__xludf.DUMMYFUNCTION("""COMPUTED_VALUE"""),5352.0)</f>
        <v>5352</v>
      </c>
      <c r="C1205" s="2" t="str">
        <f>IFERROR(__xludf.DUMMYFUNCTION("""COMPUTED_VALUE"""),"Maya Anjelita")</f>
        <v>Maya Anjelita</v>
      </c>
      <c r="D1205" s="2" t="str">
        <f>IFERROR(__xludf.DUMMYFUNCTION("""COMPUTED_VALUE"""),"5KM OVERALL F")</f>
        <v>5KM OVERALL F</v>
      </c>
      <c r="E1205" s="1">
        <f>IFERROR(__xludf.DUMMYFUNCTION("""COMPUTED_VALUE"""),302.0)</f>
        <v>302</v>
      </c>
      <c r="F1205" s="1" t="str">
        <f>IFERROR(__xludf.DUMMYFUNCTION("""COMPUTED_VALUE"""),"Female")</f>
        <v>Female</v>
      </c>
      <c r="G1205" s="5">
        <f>IFERROR(__xludf.DUMMYFUNCTION("""COMPUTED_VALUE"""),0.007880944444444444)</f>
        <v>0.007880944444</v>
      </c>
      <c r="H1205" s="15">
        <f>IFERROR(__xludf.DUMMYFUNCTION("""COMPUTED_VALUE"""),0.2549440625)</f>
        <v>0.2549440625</v>
      </c>
      <c r="I1205" s="15">
        <f>IFERROR(__xludf.DUMMYFUNCTION("""COMPUTED_VALUE"""),45949.29434878698)</f>
        <v>45949.29435</v>
      </c>
      <c r="J1205" s="15">
        <f>IFERROR(__xludf.DUMMYFUNCTION("""COMPUTED_VALUE"""),45949.03940472448)</f>
        <v>45949.0394</v>
      </c>
      <c r="K1205" s="15">
        <f>IFERROR(__xludf.DUMMYFUNCTION("""COMPUTED_VALUE"""),45949.277512820845)</f>
        <v>45949.27751</v>
      </c>
      <c r="L1205" s="4"/>
    </row>
    <row r="1206">
      <c r="A1206" s="1">
        <f>IFERROR(__xludf.DUMMYFUNCTION("""COMPUTED_VALUE"""),1205.0)</f>
        <v>1205</v>
      </c>
      <c r="B1206" s="1">
        <f>IFERROR(__xludf.DUMMYFUNCTION("""COMPUTED_VALUE"""),6133.0)</f>
        <v>6133</v>
      </c>
      <c r="C1206" s="2" t="str">
        <f>IFERROR(__xludf.DUMMYFUNCTION("""COMPUTED_VALUE"""),"UFIEK RASTA")</f>
        <v>UFIEK RASTA</v>
      </c>
      <c r="D1206" s="2" t="str">
        <f>IFERROR(__xludf.DUMMYFUNCTION("""COMPUTED_VALUE"""),"5KM OVERALL M")</f>
        <v>5KM OVERALL M</v>
      </c>
      <c r="E1206" s="1">
        <f>IFERROR(__xludf.DUMMYFUNCTION("""COMPUTED_VALUE"""),696.0)</f>
        <v>696</v>
      </c>
      <c r="F1206" s="1" t="str">
        <f>IFERROR(__xludf.DUMMYFUNCTION("""COMPUTED_VALUE"""),"Male")</f>
        <v>Male</v>
      </c>
      <c r="G1206" s="5">
        <f>IFERROR(__xludf.DUMMYFUNCTION("""COMPUTED_VALUE"""),0.00788094675925926)</f>
        <v>0.007880946759</v>
      </c>
      <c r="H1206" s="15">
        <f>IFERROR(__xludf.DUMMYFUNCTION("""COMPUTED_VALUE"""),0.2549440625)</f>
        <v>0.2549440625</v>
      </c>
      <c r="I1206" s="15">
        <f>IFERROR(__xludf.DUMMYFUNCTION("""COMPUTED_VALUE"""),45949.294348799034)</f>
        <v>45949.29435</v>
      </c>
      <c r="J1206" s="15">
        <f>IFERROR(__xludf.DUMMYFUNCTION("""COMPUTED_VALUE"""),45949.03940473653)</f>
        <v>45949.0394</v>
      </c>
      <c r="K1206" s="15">
        <f>IFERROR(__xludf.DUMMYFUNCTION("""COMPUTED_VALUE"""),45949.277644766014)</f>
        <v>45949.27764</v>
      </c>
      <c r="L1206" s="4"/>
    </row>
    <row r="1207">
      <c r="A1207" s="1">
        <f>IFERROR(__xludf.DUMMYFUNCTION("""COMPUTED_VALUE"""),1206.0)</f>
        <v>1206</v>
      </c>
      <c r="B1207" s="1">
        <f>IFERROR(__xludf.DUMMYFUNCTION("""COMPUTED_VALUE"""),5046.0)</f>
        <v>5046</v>
      </c>
      <c r="C1207" s="2" t="str">
        <f>IFERROR(__xludf.DUMMYFUNCTION("""COMPUTED_VALUE"""),"NABILA FAZA")</f>
        <v>NABILA FAZA</v>
      </c>
      <c r="D1207" s="2" t="str">
        <f>IFERROR(__xludf.DUMMYFUNCTION("""COMPUTED_VALUE"""),"5KM OVERALL F")</f>
        <v>5KM OVERALL F</v>
      </c>
      <c r="E1207" s="1">
        <f>IFERROR(__xludf.DUMMYFUNCTION("""COMPUTED_VALUE"""),303.0)</f>
        <v>303</v>
      </c>
      <c r="F1207" s="1" t="str">
        <f>IFERROR(__xludf.DUMMYFUNCTION("""COMPUTED_VALUE"""),"Female")</f>
        <v>Female</v>
      </c>
      <c r="G1207" s="5">
        <f>IFERROR(__xludf.DUMMYFUNCTION("""COMPUTED_VALUE"""),0.007882333333333335)</f>
        <v>0.007882333333</v>
      </c>
      <c r="H1207" s="15">
        <f>IFERROR(__xludf.DUMMYFUNCTION("""COMPUTED_VALUE"""),0.2549440625)</f>
        <v>0.2549440625</v>
      </c>
      <c r="I1207" s="15">
        <f>IFERROR(__xludf.DUMMYFUNCTION("""COMPUTED_VALUE"""),45949.29435573159)</f>
        <v>45949.29436</v>
      </c>
      <c r="J1207" s="15">
        <f>IFERROR(__xludf.DUMMYFUNCTION("""COMPUTED_VALUE"""),45949.03941166909)</f>
        <v>45949.03941</v>
      </c>
      <c r="K1207" s="15">
        <f>IFERROR(__xludf.DUMMYFUNCTION("""COMPUTED_VALUE"""),45949.27830798051)</f>
        <v>45949.27831</v>
      </c>
      <c r="L1207" s="4"/>
    </row>
    <row r="1208">
      <c r="A1208" s="1">
        <f>IFERROR(__xludf.DUMMYFUNCTION("""COMPUTED_VALUE"""),1207.0)</f>
        <v>1207</v>
      </c>
      <c r="B1208" s="1">
        <f>IFERROR(__xludf.DUMMYFUNCTION("""COMPUTED_VALUE"""),5312.0)</f>
        <v>5312</v>
      </c>
      <c r="C1208" s="2" t="str">
        <f>IFERROR(__xludf.DUMMYFUNCTION("""COMPUTED_VALUE"""),"AZIZ")</f>
        <v>AZIZ</v>
      </c>
      <c r="D1208" s="2" t="str">
        <f>IFERROR(__xludf.DUMMYFUNCTION("""COMPUTED_VALUE"""),"5KM OVERALL M")</f>
        <v>5KM OVERALL M</v>
      </c>
      <c r="E1208" s="1">
        <f>IFERROR(__xludf.DUMMYFUNCTION("""COMPUTED_VALUE"""),697.0)</f>
        <v>697</v>
      </c>
      <c r="F1208" s="1" t="str">
        <f>IFERROR(__xludf.DUMMYFUNCTION("""COMPUTED_VALUE"""),"Male")</f>
        <v>Male</v>
      </c>
      <c r="G1208" s="5">
        <f>IFERROR(__xludf.DUMMYFUNCTION("""COMPUTED_VALUE"""),0.007888583333333334)</f>
        <v>0.007888583333</v>
      </c>
      <c r="H1208" s="15">
        <f>IFERROR(__xludf.DUMMYFUNCTION("""COMPUTED_VALUE"""),0.2549440625)</f>
        <v>0.2549440625</v>
      </c>
      <c r="I1208" s="15">
        <f>IFERROR(__xludf.DUMMYFUNCTION("""COMPUTED_VALUE"""),45949.29438698218)</f>
        <v>45949.29439</v>
      </c>
      <c r="J1208" s="15">
        <f>IFERROR(__xludf.DUMMYFUNCTION("""COMPUTED_VALUE"""),45949.03944291968)</f>
        <v>45949.03944</v>
      </c>
      <c r="K1208" s="15">
        <f>IFERROR(__xludf.DUMMYFUNCTION("""COMPUTED_VALUE"""),45949.27756835015)</f>
        <v>45949.27757</v>
      </c>
      <c r="L1208" s="4"/>
    </row>
    <row r="1209">
      <c r="A1209" s="1">
        <f>IFERROR(__xludf.DUMMYFUNCTION("""COMPUTED_VALUE"""),1208.0)</f>
        <v>1208</v>
      </c>
      <c r="B1209" s="1">
        <f>IFERROR(__xludf.DUMMYFUNCTION("""COMPUTED_VALUE"""),6210.0)</f>
        <v>6210</v>
      </c>
      <c r="C1209" s="2" t="str">
        <f>IFERROR(__xludf.DUMMYFUNCTION("""COMPUTED_VALUE"""),"Dica")</f>
        <v>Dica</v>
      </c>
      <c r="D1209" s="2" t="str">
        <f>IFERROR(__xludf.DUMMYFUNCTION("""COMPUTED_VALUE"""),"5KM OVERALL F")</f>
        <v>5KM OVERALL F</v>
      </c>
      <c r="E1209" s="1">
        <f>IFERROR(__xludf.DUMMYFUNCTION("""COMPUTED_VALUE"""),304.0)</f>
        <v>304</v>
      </c>
      <c r="F1209" s="1" t="str">
        <f>IFERROR(__xludf.DUMMYFUNCTION("""COMPUTED_VALUE"""),"Female")</f>
        <v>Female</v>
      </c>
      <c r="G1209" s="5">
        <f>IFERROR(__xludf.DUMMYFUNCTION("""COMPUTED_VALUE"""),0.007889974537037037)</f>
        <v>0.007889974537</v>
      </c>
      <c r="H1209" s="15">
        <f>IFERROR(__xludf.DUMMYFUNCTION("""COMPUTED_VALUE"""),0.2549440625)</f>
        <v>0.2549440625</v>
      </c>
      <c r="I1209" s="15">
        <f>IFERROR(__xludf.DUMMYFUNCTION("""COMPUTED_VALUE"""),45949.29439393093)</f>
        <v>45949.29439</v>
      </c>
      <c r="J1209" s="15">
        <f>IFERROR(__xludf.DUMMYFUNCTION("""COMPUTED_VALUE"""),45949.03944986843)</f>
        <v>45949.03945</v>
      </c>
      <c r="K1209" s="15">
        <f>IFERROR(__xludf.DUMMYFUNCTION("""COMPUTED_VALUE"""),45949.277724620035)</f>
        <v>45949.27772</v>
      </c>
      <c r="L1209" s="4"/>
    </row>
    <row r="1210">
      <c r="A1210" s="1">
        <f>IFERROR(__xludf.DUMMYFUNCTION("""COMPUTED_VALUE"""),1209.0)</f>
        <v>1209</v>
      </c>
      <c r="B1210" s="1">
        <f>IFERROR(__xludf.DUMMYFUNCTION("""COMPUTED_VALUE"""),6347.0)</f>
        <v>6347</v>
      </c>
      <c r="C1210" s="2" t="str">
        <f>IFERROR(__xludf.DUMMYFUNCTION("""COMPUTED_VALUE"""),"ayah kay")</f>
        <v>ayah kay</v>
      </c>
      <c r="D1210" s="2" t="str">
        <f>IFERROR(__xludf.DUMMYFUNCTION("""COMPUTED_VALUE"""),"5KM OVERALL M")</f>
        <v>5KM OVERALL M</v>
      </c>
      <c r="E1210" s="1">
        <f>IFERROR(__xludf.DUMMYFUNCTION("""COMPUTED_VALUE"""),698.0)</f>
        <v>698</v>
      </c>
      <c r="F1210" s="1" t="str">
        <f>IFERROR(__xludf.DUMMYFUNCTION("""COMPUTED_VALUE"""),"Male")</f>
        <v>Male</v>
      </c>
      <c r="G1210" s="5">
        <f>IFERROR(__xludf.DUMMYFUNCTION("""COMPUTED_VALUE"""),0.007894127314814816)</f>
        <v>0.007894127315</v>
      </c>
      <c r="H1210" s="15">
        <f>IFERROR(__xludf.DUMMYFUNCTION("""COMPUTED_VALUE"""),0.2549440625)</f>
        <v>0.2549440625</v>
      </c>
      <c r="I1210" s="15">
        <f>IFERROR(__xludf.DUMMYFUNCTION("""COMPUTED_VALUE"""),45949.294414702184)</f>
        <v>45949.29441</v>
      </c>
      <c r="J1210" s="15">
        <f>IFERROR(__xludf.DUMMYFUNCTION("""COMPUTED_VALUE"""),45949.039470639684)</f>
        <v>45949.03947</v>
      </c>
      <c r="K1210" s="15">
        <f>IFERROR(__xludf.DUMMYFUNCTION("""COMPUTED_VALUE"""),45949.27678369395)</f>
        <v>45949.27678</v>
      </c>
      <c r="L1210" s="4"/>
    </row>
    <row r="1211">
      <c r="A1211" s="1">
        <f>IFERROR(__xludf.DUMMYFUNCTION("""COMPUTED_VALUE"""),1210.0)</f>
        <v>1210</v>
      </c>
      <c r="B1211" s="1">
        <f>IFERROR(__xludf.DUMMYFUNCTION("""COMPUTED_VALUE"""),5828.0)</f>
        <v>5828</v>
      </c>
      <c r="C1211" s="2" t="str">
        <f>IFERROR(__xludf.DUMMYFUNCTION("""COMPUTED_VALUE"""),"HANS")</f>
        <v>HANS</v>
      </c>
      <c r="D1211" s="2" t="str">
        <f>IFERROR(__xludf.DUMMYFUNCTION("""COMPUTED_VALUE"""),"5KM OVERALL M")</f>
        <v>5KM OVERALL M</v>
      </c>
      <c r="E1211" s="1">
        <f>IFERROR(__xludf.DUMMYFUNCTION("""COMPUTED_VALUE"""),699.0)</f>
        <v>699</v>
      </c>
      <c r="F1211" s="1" t="str">
        <f>IFERROR(__xludf.DUMMYFUNCTION("""COMPUTED_VALUE"""),"Male")</f>
        <v>Male</v>
      </c>
      <c r="G1211" s="5">
        <f>IFERROR(__xludf.DUMMYFUNCTION("""COMPUTED_VALUE"""),0.00789412962962963)</f>
        <v>0.00789412963</v>
      </c>
      <c r="H1211" s="15">
        <f>IFERROR(__xludf.DUMMYFUNCTION("""COMPUTED_VALUE"""),0.2549440625)</f>
        <v>0.2549440625</v>
      </c>
      <c r="I1211" s="15">
        <f>IFERROR(__xludf.DUMMYFUNCTION("""COMPUTED_VALUE"""),45949.29441471528)</f>
        <v>45949.29441</v>
      </c>
      <c r="J1211" s="15">
        <f>IFERROR(__xludf.DUMMYFUNCTION("""COMPUTED_VALUE"""),45949.03947065278)</f>
        <v>45949.03947</v>
      </c>
      <c r="K1211" s="15">
        <f>IFERROR(__xludf.DUMMYFUNCTION("""COMPUTED_VALUE"""),45949.27682182941)</f>
        <v>45949.27682</v>
      </c>
      <c r="L1211" s="4"/>
    </row>
    <row r="1212">
      <c r="A1212" s="1">
        <f>IFERROR(__xludf.DUMMYFUNCTION("""COMPUTED_VALUE"""),1211.0)</f>
        <v>1211</v>
      </c>
      <c r="B1212" s="1">
        <f>IFERROR(__xludf.DUMMYFUNCTION("""COMPUTED_VALUE"""),6121.0)</f>
        <v>6121</v>
      </c>
      <c r="C1212" s="2" t="str">
        <f>IFERROR(__xludf.DUMMYFUNCTION("""COMPUTED_VALUE"""),"SAHID AKBAR")</f>
        <v>SAHID AKBAR</v>
      </c>
      <c r="D1212" s="2" t="str">
        <f>IFERROR(__xludf.DUMMYFUNCTION("""COMPUTED_VALUE"""),"5KM OVERALL M")</f>
        <v>5KM OVERALL M</v>
      </c>
      <c r="E1212" s="1">
        <f>IFERROR(__xludf.DUMMYFUNCTION("""COMPUTED_VALUE"""),700.0)</f>
        <v>700</v>
      </c>
      <c r="F1212" s="1" t="str">
        <f>IFERROR(__xludf.DUMMYFUNCTION("""COMPUTED_VALUE"""),"Male")</f>
        <v>Male</v>
      </c>
      <c r="G1212" s="5">
        <f>IFERROR(__xludf.DUMMYFUNCTION("""COMPUTED_VALUE"""),0.007896226851851852)</f>
        <v>0.007896226852</v>
      </c>
      <c r="H1212" s="15">
        <f>IFERROR(__xludf.DUMMYFUNCTION("""COMPUTED_VALUE"""),0.2549440625)</f>
        <v>0.2549440625</v>
      </c>
      <c r="I1212" s="15">
        <f>IFERROR(__xludf.DUMMYFUNCTION("""COMPUTED_VALUE"""),45949.29442519202)</f>
        <v>45949.29443</v>
      </c>
      <c r="J1212" s="15">
        <f>IFERROR(__xludf.DUMMYFUNCTION("""COMPUTED_VALUE"""),45949.03948112952)</f>
        <v>45949.03948</v>
      </c>
      <c r="K1212" s="15">
        <f>IFERROR(__xludf.DUMMYFUNCTION("""COMPUTED_VALUE"""),45949.27822808669)</f>
        <v>45949.27823</v>
      </c>
      <c r="L1212" s="4"/>
    </row>
    <row r="1213">
      <c r="A1213" s="1">
        <f>IFERROR(__xludf.DUMMYFUNCTION("""COMPUTED_VALUE"""),1212.0)</f>
        <v>1212</v>
      </c>
      <c r="B1213" s="1">
        <f>IFERROR(__xludf.DUMMYFUNCTION("""COMPUTED_VALUE"""),5897.0)</f>
        <v>5897</v>
      </c>
      <c r="C1213" s="2" t="str">
        <f>IFERROR(__xludf.DUMMYFUNCTION("""COMPUTED_VALUE"""),"Stefanny")</f>
        <v>Stefanny</v>
      </c>
      <c r="D1213" s="2" t="str">
        <f>IFERROR(__xludf.DUMMYFUNCTION("""COMPUTED_VALUE"""),"5KM OVERALL M")</f>
        <v>5KM OVERALL M</v>
      </c>
      <c r="E1213" s="1">
        <f>IFERROR(__xludf.DUMMYFUNCTION("""COMPUTED_VALUE"""),701.0)</f>
        <v>701</v>
      </c>
      <c r="F1213" s="1" t="str">
        <f>IFERROR(__xludf.DUMMYFUNCTION("""COMPUTED_VALUE"""),"Male")</f>
        <v>Male</v>
      </c>
      <c r="G1213" s="5">
        <f>IFERROR(__xludf.DUMMYFUNCTION("""COMPUTED_VALUE"""),0.007896229166666666)</f>
        <v>0.007896229167</v>
      </c>
      <c r="H1213" s="15">
        <f>IFERROR(__xludf.DUMMYFUNCTION("""COMPUTED_VALUE"""),0.2549440625)</f>
        <v>0.2549440625</v>
      </c>
      <c r="I1213" s="15">
        <f>IFERROR(__xludf.DUMMYFUNCTION("""COMPUTED_VALUE"""),45949.294425208456)</f>
        <v>45949.29443</v>
      </c>
      <c r="J1213" s="15">
        <f>IFERROR(__xludf.DUMMYFUNCTION("""COMPUTED_VALUE"""),45949.039481145956)</f>
        <v>45949.03948</v>
      </c>
      <c r="K1213" s="15">
        <f>IFERROR(__xludf.DUMMYFUNCTION("""COMPUTED_VALUE"""),45949.27847460846)</f>
        <v>45949.27847</v>
      </c>
      <c r="L1213" s="4"/>
    </row>
    <row r="1214">
      <c r="A1214" s="1">
        <f>IFERROR(__xludf.DUMMYFUNCTION("""COMPUTED_VALUE"""),1213.0)</f>
        <v>1213</v>
      </c>
      <c r="B1214" s="1">
        <f>IFERROR(__xludf.DUMMYFUNCTION("""COMPUTED_VALUE"""),6020.0)</f>
        <v>6020</v>
      </c>
      <c r="C1214" s="2" t="str">
        <f>IFERROR(__xludf.DUMMYFUNCTION("""COMPUTED_VALUE"""),"Nady")</f>
        <v>Nady</v>
      </c>
      <c r="D1214" s="2" t="str">
        <f>IFERROR(__xludf.DUMMYFUNCTION("""COMPUTED_VALUE"""),"5KM OVERALL F")</f>
        <v>5KM OVERALL F</v>
      </c>
      <c r="E1214" s="1">
        <f>IFERROR(__xludf.DUMMYFUNCTION("""COMPUTED_VALUE"""),305.0)</f>
        <v>305</v>
      </c>
      <c r="F1214" s="1" t="str">
        <f>IFERROR(__xludf.DUMMYFUNCTION("""COMPUTED_VALUE"""),"Female")</f>
        <v>Female</v>
      </c>
      <c r="G1214" s="5">
        <f>IFERROR(__xludf.DUMMYFUNCTION("""COMPUTED_VALUE"""),0.00789761111111111)</f>
        <v>0.007897611111</v>
      </c>
      <c r="H1214" s="15">
        <f>IFERROR(__xludf.DUMMYFUNCTION("""COMPUTED_VALUE"""),0.2549440625)</f>
        <v>0.2549440625</v>
      </c>
      <c r="I1214" s="15">
        <f>IFERROR(__xludf.DUMMYFUNCTION("""COMPUTED_VALUE"""),45949.29443212215)</f>
        <v>45949.29443</v>
      </c>
      <c r="J1214" s="15">
        <f>IFERROR(__xludf.DUMMYFUNCTION("""COMPUTED_VALUE"""),45949.03948805965)</f>
        <v>45949.03949</v>
      </c>
      <c r="K1214" s="15">
        <f>IFERROR(__xludf.DUMMYFUNCTION("""COMPUTED_VALUE"""),45949.27712045242)</f>
        <v>45949.27712</v>
      </c>
      <c r="L1214" s="4"/>
    </row>
    <row r="1215">
      <c r="A1215" s="1">
        <f>IFERROR(__xludf.DUMMYFUNCTION("""COMPUTED_VALUE"""),1214.0)</f>
        <v>1214</v>
      </c>
      <c r="B1215" s="1">
        <f>IFERROR(__xludf.DUMMYFUNCTION("""COMPUTED_VALUE"""),6021.0)</f>
        <v>6021</v>
      </c>
      <c r="C1215" s="2" t="str">
        <f>IFERROR(__xludf.DUMMYFUNCTION("""COMPUTED_VALUE"""),"Han")</f>
        <v>Han</v>
      </c>
      <c r="D1215" s="2" t="str">
        <f>IFERROR(__xludf.DUMMYFUNCTION("""COMPUTED_VALUE"""),"5KM OVERALL M")</f>
        <v>5KM OVERALL M</v>
      </c>
      <c r="E1215" s="1">
        <f>IFERROR(__xludf.DUMMYFUNCTION("""COMPUTED_VALUE"""),702.0)</f>
        <v>702</v>
      </c>
      <c r="F1215" s="1" t="str">
        <f>IFERROR(__xludf.DUMMYFUNCTION("""COMPUTED_VALUE"""),"Male")</f>
        <v>Male</v>
      </c>
      <c r="G1215" s="5">
        <f>IFERROR(__xludf.DUMMYFUNCTION("""COMPUTED_VALUE"""),0.007897613425925926)</f>
        <v>0.007897613426</v>
      </c>
      <c r="H1215" s="15">
        <f>IFERROR(__xludf.DUMMYFUNCTION("""COMPUTED_VALUE"""),0.2549440625)</f>
        <v>0.2549440625</v>
      </c>
      <c r="I1215" s="15">
        <f>IFERROR(__xludf.DUMMYFUNCTION("""COMPUTED_VALUE"""),45949.29443213498)</f>
        <v>45949.29443</v>
      </c>
      <c r="J1215" s="15">
        <f>IFERROR(__xludf.DUMMYFUNCTION("""COMPUTED_VALUE"""),45949.03948807248)</f>
        <v>45949.03949</v>
      </c>
      <c r="K1215" s="15">
        <f>IFERROR(__xludf.DUMMYFUNCTION("""COMPUTED_VALUE"""),45949.277113560434)</f>
        <v>45949.27711</v>
      </c>
      <c r="L1215" s="4"/>
    </row>
    <row r="1216">
      <c r="A1216" s="1">
        <f>IFERROR(__xludf.DUMMYFUNCTION("""COMPUTED_VALUE"""),1215.0)</f>
        <v>1215</v>
      </c>
      <c r="B1216" s="1">
        <f>IFERROR(__xludf.DUMMYFUNCTION("""COMPUTED_VALUE"""),6004.0)</f>
        <v>6004</v>
      </c>
      <c r="C1216" s="2" t="str">
        <f>IFERROR(__xludf.DUMMYFUNCTION("""COMPUTED_VALUE"""),"Kamal")</f>
        <v>Kamal</v>
      </c>
      <c r="D1216" s="2" t="str">
        <f>IFERROR(__xludf.DUMMYFUNCTION("""COMPUTED_VALUE"""),"5KM OVERALL F")</f>
        <v>5KM OVERALL F</v>
      </c>
      <c r="E1216" s="1">
        <f>IFERROR(__xludf.DUMMYFUNCTION("""COMPUTED_VALUE"""),306.0)</f>
        <v>306</v>
      </c>
      <c r="F1216" s="1" t="str">
        <f>IFERROR(__xludf.DUMMYFUNCTION("""COMPUTED_VALUE"""),"Female")</f>
        <v>Female</v>
      </c>
      <c r="G1216" s="5">
        <f>IFERROR(__xludf.DUMMYFUNCTION("""COMPUTED_VALUE"""),0.007897613425925926)</f>
        <v>0.007897613426</v>
      </c>
      <c r="H1216" s="15">
        <f>IFERROR(__xludf.DUMMYFUNCTION("""COMPUTED_VALUE"""),0.2549440625)</f>
        <v>0.2549440625</v>
      </c>
      <c r="I1216" s="15">
        <f>IFERROR(__xludf.DUMMYFUNCTION("""COMPUTED_VALUE"""),45949.29443213498)</f>
        <v>45949.29443</v>
      </c>
      <c r="J1216" s="15">
        <f>IFERROR(__xludf.DUMMYFUNCTION("""COMPUTED_VALUE"""),45949.03948807248)</f>
        <v>45949.03949</v>
      </c>
      <c r="K1216" s="15">
        <f>IFERROR(__xludf.DUMMYFUNCTION("""COMPUTED_VALUE"""),45949.27849894283)</f>
        <v>45949.2785</v>
      </c>
      <c r="L1216" s="4"/>
    </row>
    <row r="1217">
      <c r="A1217" s="1">
        <f>IFERROR(__xludf.DUMMYFUNCTION("""COMPUTED_VALUE"""),1216.0)</f>
        <v>1216</v>
      </c>
      <c r="B1217" s="1">
        <f>IFERROR(__xludf.DUMMYFUNCTION("""COMPUTED_VALUE"""),5890.0)</f>
        <v>5890</v>
      </c>
      <c r="C1217" s="2" t="str">
        <f>IFERROR(__xludf.DUMMYFUNCTION("""COMPUTED_VALUE"""),"Yil")</f>
        <v>Yil</v>
      </c>
      <c r="D1217" s="2" t="str">
        <f>IFERROR(__xludf.DUMMYFUNCTION("""COMPUTED_VALUE"""),"5KM OVERALL M")</f>
        <v>5KM OVERALL M</v>
      </c>
      <c r="E1217" s="1">
        <f>IFERROR(__xludf.DUMMYFUNCTION("""COMPUTED_VALUE"""),703.0)</f>
        <v>703</v>
      </c>
      <c r="F1217" s="1" t="str">
        <f>IFERROR(__xludf.DUMMYFUNCTION("""COMPUTED_VALUE"""),"Male")</f>
        <v>Male</v>
      </c>
      <c r="G1217" s="5">
        <f>IFERROR(__xludf.DUMMYFUNCTION("""COMPUTED_VALUE"""),0.007903166666666666)</f>
        <v>0.007903166667</v>
      </c>
      <c r="H1217" s="15">
        <f>IFERROR(__xludf.DUMMYFUNCTION("""COMPUTED_VALUE"""),0.2549440625)</f>
        <v>0.2549440625</v>
      </c>
      <c r="I1217" s="15">
        <f>IFERROR(__xludf.DUMMYFUNCTION("""COMPUTED_VALUE"""),45949.294459894016)</f>
        <v>45949.29446</v>
      </c>
      <c r="J1217" s="15">
        <f>IFERROR(__xludf.DUMMYFUNCTION("""COMPUTED_VALUE"""),45949.039515831515)</f>
        <v>45949.03952</v>
      </c>
      <c r="K1217" s="15">
        <f>IFERROR(__xludf.DUMMYFUNCTION("""COMPUTED_VALUE"""),45949.27835657188)</f>
        <v>45949.27836</v>
      </c>
      <c r="L1217" s="4"/>
    </row>
    <row r="1218">
      <c r="A1218" s="1">
        <f>IFERROR(__xludf.DUMMYFUNCTION("""COMPUTED_VALUE"""),1217.0)</f>
        <v>1217</v>
      </c>
      <c r="B1218" s="7" t="str">
        <f>IFERROR(__xludf.DUMMYFUNCTION("""COMPUTED_VALUE"""),"9061")</f>
        <v>9061</v>
      </c>
      <c r="C1218" s="8" t="str">
        <f>IFERROR(__xludf.DUMMYFUNCTION("""COMPUTED_VALUE"""),"Aida")</f>
        <v>Aida</v>
      </c>
      <c r="D1218" s="2" t="str">
        <f>IFERROR(__xludf.DUMMYFUNCTION("""COMPUTED_VALUE"""),"5KM STUDENT F")</f>
        <v>5KM STUDENT F</v>
      </c>
      <c r="E1218" s="1">
        <f>IFERROR(__xludf.DUMMYFUNCTION("""COMPUTED_VALUE"""),10.0)</f>
        <v>10</v>
      </c>
      <c r="F1218" s="1" t="str">
        <f>IFERROR(__xludf.DUMMYFUNCTION("""COMPUTED_VALUE"""),"Female")</f>
        <v>Female</v>
      </c>
      <c r="G1218" s="5">
        <f>IFERROR(__xludf.DUMMYFUNCTION("""COMPUTED_VALUE"""),0.00790663888888889)</f>
        <v>0.007906638889</v>
      </c>
      <c r="H1218" s="15">
        <f>IFERROR(__xludf.DUMMYFUNCTION("""COMPUTED_VALUE"""),0.2549440625)</f>
        <v>0.2549440625</v>
      </c>
      <c r="I1218" s="15">
        <f>IFERROR(__xludf.DUMMYFUNCTION("""COMPUTED_VALUE"""),45949.29447725541)</f>
        <v>45949.29448</v>
      </c>
      <c r="J1218" s="15">
        <f>IFERROR(__xludf.DUMMYFUNCTION("""COMPUTED_VALUE"""),45949.03953319291)</f>
        <v>45949.03953</v>
      </c>
      <c r="K1218" s="15">
        <f>IFERROR(__xludf.DUMMYFUNCTION("""COMPUTED_VALUE"""),45949.2776239355)</f>
        <v>45949.27762</v>
      </c>
      <c r="L1218" s="4"/>
    </row>
    <row r="1219">
      <c r="A1219" s="1">
        <f>IFERROR(__xludf.DUMMYFUNCTION("""COMPUTED_VALUE"""),1218.0)</f>
        <v>1218</v>
      </c>
      <c r="B1219" s="1">
        <f>IFERROR(__xludf.DUMMYFUNCTION("""COMPUTED_VALUE"""),6363.0)</f>
        <v>6363</v>
      </c>
      <c r="C1219" s="2" t="str">
        <f>IFERROR(__xludf.DUMMYFUNCTION("""COMPUTED_VALUE"""),"Maretia")</f>
        <v>Maretia</v>
      </c>
      <c r="D1219" s="2" t="str">
        <f>IFERROR(__xludf.DUMMYFUNCTION("""COMPUTED_VALUE"""),"5KM OVERALL F")</f>
        <v>5KM OVERALL F</v>
      </c>
      <c r="E1219" s="1">
        <f>IFERROR(__xludf.DUMMYFUNCTION("""COMPUTED_VALUE"""),307.0)</f>
        <v>307</v>
      </c>
      <c r="F1219" s="1" t="str">
        <f>IFERROR(__xludf.DUMMYFUNCTION("""COMPUTED_VALUE"""),"Female")</f>
        <v>Female</v>
      </c>
      <c r="G1219" s="5">
        <f>IFERROR(__xludf.DUMMYFUNCTION("""COMPUTED_VALUE"""),0.007911511574074074)</f>
        <v>0.007911511574</v>
      </c>
      <c r="H1219" s="15">
        <f>IFERROR(__xludf.DUMMYFUNCTION("""COMPUTED_VALUE"""),0.2549440625)</f>
        <v>0.2549440625</v>
      </c>
      <c r="I1219" s="15">
        <f>IFERROR(__xludf.DUMMYFUNCTION("""COMPUTED_VALUE"""),45949.29450161724)</f>
        <v>45949.2945</v>
      </c>
      <c r="J1219" s="15">
        <f>IFERROR(__xludf.DUMMYFUNCTION("""COMPUTED_VALUE"""),45949.03955755474)</f>
        <v>45949.03956</v>
      </c>
      <c r="K1219" s="15">
        <f>IFERROR(__xludf.DUMMYFUNCTION("""COMPUTED_VALUE"""),45949.27847114501)</f>
        <v>45949.27847</v>
      </c>
      <c r="L1219" s="4"/>
    </row>
    <row r="1220">
      <c r="A1220" s="1">
        <f>IFERROR(__xludf.DUMMYFUNCTION("""COMPUTED_VALUE"""),1219.0)</f>
        <v>1219</v>
      </c>
      <c r="B1220" s="1">
        <f>IFERROR(__xludf.DUMMYFUNCTION("""COMPUTED_VALUE"""),6022.0)</f>
        <v>6022</v>
      </c>
      <c r="C1220" s="2" t="str">
        <f>IFERROR(__xludf.DUMMYFUNCTION("""COMPUTED_VALUE"""),"Dedesku")</f>
        <v>Dedesku</v>
      </c>
      <c r="D1220" s="2" t="str">
        <f>IFERROR(__xludf.DUMMYFUNCTION("""COMPUTED_VALUE"""),"5KM OVERALL M")</f>
        <v>5KM OVERALL M</v>
      </c>
      <c r="E1220" s="1">
        <f>IFERROR(__xludf.DUMMYFUNCTION("""COMPUTED_VALUE"""),704.0)</f>
        <v>704</v>
      </c>
      <c r="F1220" s="1" t="str">
        <f>IFERROR(__xludf.DUMMYFUNCTION("""COMPUTED_VALUE"""),"Male")</f>
        <v>Male</v>
      </c>
      <c r="G1220" s="5">
        <f>IFERROR(__xludf.DUMMYFUNCTION("""COMPUTED_VALUE"""),0.007914277777777777)</f>
        <v>0.007914277778</v>
      </c>
      <c r="H1220" s="15">
        <f>IFERROR(__xludf.DUMMYFUNCTION("""COMPUTED_VALUE"""),0.2549440625)</f>
        <v>0.2549440625</v>
      </c>
      <c r="I1220" s="15">
        <f>IFERROR(__xludf.DUMMYFUNCTION("""COMPUTED_VALUE"""),45949.2945154515)</f>
        <v>45949.29452</v>
      </c>
      <c r="J1220" s="15">
        <f>IFERROR(__xludf.DUMMYFUNCTION("""COMPUTED_VALUE"""),45949.039571388996)</f>
        <v>45949.03957</v>
      </c>
      <c r="K1220" s="15">
        <f>IFERROR(__xludf.DUMMYFUNCTION("""COMPUTED_VALUE"""),45949.28111700289)</f>
        <v>45949.28112</v>
      </c>
      <c r="L1220" s="4"/>
    </row>
    <row r="1221">
      <c r="A1221" s="1">
        <f>IFERROR(__xludf.DUMMYFUNCTION("""COMPUTED_VALUE"""),1220.0)</f>
        <v>1220</v>
      </c>
      <c r="B1221" s="1">
        <f>IFERROR(__xludf.DUMMYFUNCTION("""COMPUTED_VALUE"""),7089.0)</f>
        <v>7089</v>
      </c>
      <c r="C1221" s="2" t="str">
        <f>IFERROR(__xludf.DUMMYFUNCTION("""COMPUTED_VALUE"""),"Dani Indiyah")</f>
        <v>Dani Indiyah</v>
      </c>
      <c r="D1221" s="2" t="str">
        <f>IFERROR(__xludf.DUMMYFUNCTION("""COMPUTED_VALUE"""),"5KM MASTER F")</f>
        <v>5KM MASTER F</v>
      </c>
      <c r="E1221" s="1">
        <f>IFERROR(__xludf.DUMMYFUNCTION("""COMPUTED_VALUE"""),47.0)</f>
        <v>47</v>
      </c>
      <c r="F1221" s="1" t="str">
        <f>IFERROR(__xludf.DUMMYFUNCTION("""COMPUTED_VALUE"""),"Female")</f>
        <v>Female</v>
      </c>
      <c r="G1221" s="5">
        <f>IFERROR(__xludf.DUMMYFUNCTION("""COMPUTED_VALUE"""),0.007915666666666666)</f>
        <v>0.007915666667</v>
      </c>
      <c r="H1221" s="15">
        <f>IFERROR(__xludf.DUMMYFUNCTION("""COMPUTED_VALUE"""),0.2549440625)</f>
        <v>0.2549440625</v>
      </c>
      <c r="I1221" s="15">
        <f>IFERROR(__xludf.DUMMYFUNCTION("""COMPUTED_VALUE"""),45949.29452239666)</f>
        <v>45949.29452</v>
      </c>
      <c r="J1221" s="15">
        <f>IFERROR(__xludf.DUMMYFUNCTION("""COMPUTED_VALUE"""),45949.03957833416)</f>
        <v>45949.03958</v>
      </c>
      <c r="K1221" s="15">
        <f>IFERROR(__xludf.DUMMYFUNCTION("""COMPUTED_VALUE"""),45949.27809265882)</f>
        <v>45949.27809</v>
      </c>
      <c r="L1221" s="4"/>
    </row>
    <row r="1222">
      <c r="A1222" s="1">
        <f>IFERROR(__xludf.DUMMYFUNCTION("""COMPUTED_VALUE"""),1221.0)</f>
        <v>1221</v>
      </c>
      <c r="B1222" s="1">
        <f>IFERROR(__xludf.DUMMYFUNCTION("""COMPUTED_VALUE"""),5932.0)</f>
        <v>5932</v>
      </c>
      <c r="C1222" s="2" t="str">
        <f>IFERROR(__xludf.DUMMYFUNCTION("""COMPUTED_VALUE"""),"Agus Thoriq")</f>
        <v>Agus Thoriq</v>
      </c>
      <c r="D1222" s="2" t="str">
        <f>IFERROR(__xludf.DUMMYFUNCTION("""COMPUTED_VALUE"""),"5KM OVERALL M")</f>
        <v>5KM OVERALL M</v>
      </c>
      <c r="E1222" s="1">
        <f>IFERROR(__xludf.DUMMYFUNCTION("""COMPUTED_VALUE"""),705.0)</f>
        <v>705</v>
      </c>
      <c r="F1222" s="1" t="str">
        <f>IFERROR(__xludf.DUMMYFUNCTION("""COMPUTED_VALUE"""),"Male")</f>
        <v>Male</v>
      </c>
      <c r="G1222" s="5">
        <f>IFERROR(__xludf.DUMMYFUNCTION("""COMPUTED_VALUE"""),0.00791705787037037)</f>
        <v>0.00791705787</v>
      </c>
      <c r="H1222" s="15">
        <f>IFERROR(__xludf.DUMMYFUNCTION("""COMPUTED_VALUE"""),0.2549440625)</f>
        <v>0.2549440625</v>
      </c>
      <c r="I1222" s="15">
        <f>IFERROR(__xludf.DUMMYFUNCTION("""COMPUTED_VALUE"""),45949.2945293501)</f>
        <v>45949.29453</v>
      </c>
      <c r="J1222" s="15">
        <f>IFERROR(__xludf.DUMMYFUNCTION("""COMPUTED_VALUE"""),45949.0395852876)</f>
        <v>45949.03959</v>
      </c>
      <c r="K1222" s="15">
        <f>IFERROR(__xludf.DUMMYFUNCTION("""COMPUTED_VALUE"""),45949.27902327776)</f>
        <v>45949.27902</v>
      </c>
      <c r="L1222" s="4"/>
    </row>
    <row r="1223">
      <c r="A1223" s="1">
        <f>IFERROR(__xludf.DUMMYFUNCTION("""COMPUTED_VALUE"""),1222.0)</f>
        <v>1222</v>
      </c>
      <c r="B1223" s="1">
        <f>IFERROR(__xludf.DUMMYFUNCTION("""COMPUTED_VALUE"""),6547.0)</f>
        <v>6547</v>
      </c>
      <c r="C1223" s="2" t="str">
        <f>IFERROR(__xludf.DUMMYFUNCTION("""COMPUTED_VALUE"""),"AHMAD SUPIAN")</f>
        <v>AHMAD SUPIAN</v>
      </c>
      <c r="D1223" s="2" t="str">
        <f>IFERROR(__xludf.DUMMYFUNCTION("""COMPUTED_VALUE"""),"5KM OVERALL F")</f>
        <v>5KM OVERALL F</v>
      </c>
      <c r="E1223" s="1">
        <f>IFERROR(__xludf.DUMMYFUNCTION("""COMPUTED_VALUE"""),308.0)</f>
        <v>308</v>
      </c>
      <c r="F1223" s="1" t="str">
        <f>IFERROR(__xludf.DUMMYFUNCTION("""COMPUTED_VALUE"""),"Female")</f>
        <v>Female</v>
      </c>
      <c r="G1223" s="5">
        <f>IFERROR(__xludf.DUMMYFUNCTION("""COMPUTED_VALUE"""),0.007917738425925927)</f>
        <v>0.007917738426</v>
      </c>
      <c r="H1223" s="15">
        <f>IFERROR(__xludf.DUMMYFUNCTION("""COMPUTED_VALUE"""),0.2549440625)</f>
        <v>0.2549440625</v>
      </c>
      <c r="I1223" s="15">
        <f>IFERROR(__xludf.DUMMYFUNCTION("""COMPUTED_VALUE"""),45949.2945327577)</f>
        <v>45949.29453</v>
      </c>
      <c r="J1223" s="15">
        <f>IFERROR(__xludf.DUMMYFUNCTION("""COMPUTED_VALUE"""),45949.0395886952)</f>
        <v>45949.03959</v>
      </c>
      <c r="K1223" s="15">
        <f>IFERROR(__xludf.DUMMYFUNCTION("""COMPUTED_VALUE"""),45949.28111697975)</f>
        <v>45949.28112</v>
      </c>
      <c r="L1223" s="4"/>
    </row>
    <row r="1224">
      <c r="A1224" s="1">
        <f>IFERROR(__xludf.DUMMYFUNCTION("""COMPUTED_VALUE"""),1223.0)</f>
        <v>1223</v>
      </c>
      <c r="B1224" s="1">
        <f>IFERROR(__xludf.DUMMYFUNCTION("""COMPUTED_VALUE"""),5824.0)</f>
        <v>5824</v>
      </c>
      <c r="C1224" s="2" t="str">
        <f>IFERROR(__xludf.DUMMYFUNCTION("""COMPUTED_VALUE"""),"MUCHTAR")</f>
        <v>MUCHTAR</v>
      </c>
      <c r="D1224" s="2" t="str">
        <f>IFERROR(__xludf.DUMMYFUNCTION("""COMPUTED_VALUE"""),"5KM OVERALL M")</f>
        <v>5KM OVERALL M</v>
      </c>
      <c r="E1224" s="1">
        <f>IFERROR(__xludf.DUMMYFUNCTION("""COMPUTED_VALUE"""),706.0)</f>
        <v>706</v>
      </c>
      <c r="F1224" s="1" t="str">
        <f>IFERROR(__xludf.DUMMYFUNCTION("""COMPUTED_VALUE"""),"Male")</f>
        <v>Male</v>
      </c>
      <c r="G1224" s="5">
        <f>IFERROR(__xludf.DUMMYFUNCTION("""COMPUTED_VALUE"""),0.007917738425925927)</f>
        <v>0.007917738426</v>
      </c>
      <c r="H1224" s="15">
        <f>IFERROR(__xludf.DUMMYFUNCTION("""COMPUTED_VALUE"""),0.2549440625)</f>
        <v>0.2549440625</v>
      </c>
      <c r="I1224" s="15">
        <f>IFERROR(__xludf.DUMMYFUNCTION("""COMPUTED_VALUE"""),45949.2945327577)</f>
        <v>45949.29453</v>
      </c>
      <c r="J1224" s="15">
        <f>IFERROR(__xludf.DUMMYFUNCTION("""COMPUTED_VALUE"""),45949.0395886952)</f>
        <v>45949.03959</v>
      </c>
      <c r="K1224" s="15">
        <f>IFERROR(__xludf.DUMMYFUNCTION("""COMPUTED_VALUE"""),45949.27856836415)</f>
        <v>45949.27857</v>
      </c>
      <c r="L1224" s="4"/>
    </row>
    <row r="1225">
      <c r="A1225" s="1">
        <f>IFERROR(__xludf.DUMMYFUNCTION("""COMPUTED_VALUE"""),1224.0)</f>
        <v>1224</v>
      </c>
      <c r="B1225" s="1">
        <f>IFERROR(__xludf.DUMMYFUNCTION("""COMPUTED_VALUE"""),5844.0)</f>
        <v>5844</v>
      </c>
      <c r="C1225" s="2" t="str">
        <f>IFERROR(__xludf.DUMMYFUNCTION("""COMPUTED_VALUE"""),"ANTON")</f>
        <v>ANTON</v>
      </c>
      <c r="D1225" s="2" t="str">
        <f>IFERROR(__xludf.DUMMYFUNCTION("""COMPUTED_VALUE"""),"5KM OVERALL M")</f>
        <v>5KM OVERALL M</v>
      </c>
      <c r="E1225" s="1">
        <f>IFERROR(__xludf.DUMMYFUNCTION("""COMPUTED_VALUE"""),707.0)</f>
        <v>707</v>
      </c>
      <c r="F1225" s="1" t="str">
        <f>IFERROR(__xludf.DUMMYFUNCTION("""COMPUTED_VALUE"""),"Male")</f>
        <v>Male</v>
      </c>
      <c r="G1225" s="5">
        <f>IFERROR(__xludf.DUMMYFUNCTION("""COMPUTED_VALUE"""),0.007920530092592592)</f>
        <v>0.007920530093</v>
      </c>
      <c r="H1225" s="15">
        <f>IFERROR(__xludf.DUMMYFUNCTION("""COMPUTED_VALUE"""),0.2549440625)</f>
        <v>0.2549440625</v>
      </c>
      <c r="I1225" s="15">
        <f>IFERROR(__xludf.DUMMYFUNCTION("""COMPUTED_VALUE"""),45949.294546708334)</f>
        <v>45949.29455</v>
      </c>
      <c r="J1225" s="15">
        <f>IFERROR(__xludf.DUMMYFUNCTION("""COMPUTED_VALUE"""),45949.03960264583)</f>
        <v>45949.0396</v>
      </c>
      <c r="K1225" s="15">
        <f>IFERROR(__xludf.DUMMYFUNCTION("""COMPUTED_VALUE"""),45949.278516276805)</f>
        <v>45949.27852</v>
      </c>
      <c r="L1225" s="4"/>
    </row>
    <row r="1226">
      <c r="A1226" s="1">
        <f>IFERROR(__xludf.DUMMYFUNCTION("""COMPUTED_VALUE"""),1225.0)</f>
        <v>1225</v>
      </c>
      <c r="B1226" s="1">
        <f>IFERROR(__xludf.DUMMYFUNCTION("""COMPUTED_VALUE"""),5483.0)</f>
        <v>5483</v>
      </c>
      <c r="C1226" s="2" t="str">
        <f>IFERROR(__xludf.DUMMYFUNCTION("""COMPUTED_VALUE"""),"Indriani Putri")</f>
        <v>Indriani Putri</v>
      </c>
      <c r="D1226" s="2" t="str">
        <f>IFERROR(__xludf.DUMMYFUNCTION("""COMPUTED_VALUE"""),"5KM OVERALL F")</f>
        <v>5KM OVERALL F</v>
      </c>
      <c r="E1226" s="1">
        <f>IFERROR(__xludf.DUMMYFUNCTION("""COMPUTED_VALUE"""),309.0)</f>
        <v>309</v>
      </c>
      <c r="F1226" s="1" t="str">
        <f>IFERROR(__xludf.DUMMYFUNCTION("""COMPUTED_VALUE"""),"Female")</f>
        <v>Female</v>
      </c>
      <c r="G1226" s="5">
        <f>IFERROR(__xludf.DUMMYFUNCTION("""COMPUTED_VALUE"""),0.007923305555555555)</f>
        <v>0.007923305556</v>
      </c>
      <c r="H1226" s="15">
        <f>IFERROR(__xludf.DUMMYFUNCTION("""COMPUTED_VALUE"""),0.2549440625)</f>
        <v>0.2549440625</v>
      </c>
      <c r="I1226" s="15">
        <f>IFERROR(__xludf.DUMMYFUNCTION("""COMPUTED_VALUE"""),45949.29456059305)</f>
        <v>45949.29456</v>
      </c>
      <c r="J1226" s="15">
        <f>IFERROR(__xludf.DUMMYFUNCTION("""COMPUTED_VALUE"""),45949.03961653055)</f>
        <v>45949.03962</v>
      </c>
      <c r="K1226" s="15">
        <f>IFERROR(__xludf.DUMMYFUNCTION("""COMPUTED_VALUE"""),45949.276957295995)</f>
        <v>45949.27696</v>
      </c>
      <c r="L1226" s="4"/>
    </row>
    <row r="1227">
      <c r="A1227" s="1">
        <f>IFERROR(__xludf.DUMMYFUNCTION("""COMPUTED_VALUE"""),1226.0)</f>
        <v>1226</v>
      </c>
      <c r="B1227" s="1">
        <f>IFERROR(__xludf.DUMMYFUNCTION("""COMPUTED_VALUE"""),6008.0)</f>
        <v>6008</v>
      </c>
      <c r="C1227" s="2" t="str">
        <f>IFERROR(__xludf.DUMMYFUNCTION("""COMPUTED_VALUE"""),"AstriAci")</f>
        <v>AstriAci</v>
      </c>
      <c r="D1227" s="2" t="str">
        <f>IFERROR(__xludf.DUMMYFUNCTION("""COMPUTED_VALUE"""),"5KM OVERALL F")</f>
        <v>5KM OVERALL F</v>
      </c>
      <c r="E1227" s="1">
        <f>IFERROR(__xludf.DUMMYFUNCTION("""COMPUTED_VALUE"""),310.0)</f>
        <v>310</v>
      </c>
      <c r="F1227" s="1" t="str">
        <f>IFERROR(__xludf.DUMMYFUNCTION("""COMPUTED_VALUE"""),"Female")</f>
        <v>Female</v>
      </c>
      <c r="G1227" s="5">
        <f>IFERROR(__xludf.DUMMYFUNCTION("""COMPUTED_VALUE"""),0.007924699074074074)</f>
        <v>0.007924699074</v>
      </c>
      <c r="H1227" s="15">
        <f>IFERROR(__xludf.DUMMYFUNCTION("""COMPUTED_VALUE"""),0.2549440625)</f>
        <v>0.2549440625</v>
      </c>
      <c r="I1227" s="15">
        <f>IFERROR(__xludf.DUMMYFUNCTION("""COMPUTED_VALUE"""),45949.29456755241)</f>
        <v>45949.29457</v>
      </c>
      <c r="J1227" s="15">
        <f>IFERROR(__xludf.DUMMYFUNCTION("""COMPUTED_VALUE"""),45949.03962348991)</f>
        <v>45949.03962</v>
      </c>
      <c r="K1227" s="15">
        <f>IFERROR(__xludf.DUMMYFUNCTION("""COMPUTED_VALUE"""),45949.27748156602)</f>
        <v>45949.27748</v>
      </c>
      <c r="L1227" s="4"/>
    </row>
    <row r="1228">
      <c r="A1228" s="1">
        <f>IFERROR(__xludf.DUMMYFUNCTION("""COMPUTED_VALUE"""),1227.0)</f>
        <v>1227</v>
      </c>
      <c r="B1228" s="1">
        <f>IFERROR(__xludf.DUMMYFUNCTION("""COMPUTED_VALUE"""),6264.0)</f>
        <v>6264</v>
      </c>
      <c r="C1228" s="2" t="str">
        <f>IFERROR(__xludf.DUMMYFUNCTION("""COMPUTED_VALUE"""),"ATULA")</f>
        <v>ATULA</v>
      </c>
      <c r="D1228" s="2" t="str">
        <f>IFERROR(__xludf.DUMMYFUNCTION("""COMPUTED_VALUE"""),"5KM OVERALL F")</f>
        <v>5KM OVERALL F</v>
      </c>
      <c r="E1228" s="1">
        <f>IFERROR(__xludf.DUMMYFUNCTION("""COMPUTED_VALUE"""),311.0)</f>
        <v>311</v>
      </c>
      <c r="F1228" s="1" t="str">
        <f>IFERROR(__xludf.DUMMYFUNCTION("""COMPUTED_VALUE"""),"Female")</f>
        <v>Female</v>
      </c>
      <c r="G1228" s="5">
        <f>IFERROR(__xludf.DUMMYFUNCTION("""COMPUTED_VALUE"""),0.007933724537037038)</f>
        <v>0.007933724537</v>
      </c>
      <c r="H1228" s="15">
        <f>IFERROR(__xludf.DUMMYFUNCTION("""COMPUTED_VALUE"""),0.2549440625)</f>
        <v>0.2549440625</v>
      </c>
      <c r="I1228" s="15">
        <f>IFERROR(__xludf.DUMMYFUNCTION("""COMPUTED_VALUE"""),45949.294612684644)</f>
        <v>45949.29461</v>
      </c>
      <c r="J1228" s="15">
        <f>IFERROR(__xludf.DUMMYFUNCTION("""COMPUTED_VALUE"""),45949.03966862214)</f>
        <v>45949.03967</v>
      </c>
      <c r="K1228" s="15">
        <f>IFERROR(__xludf.DUMMYFUNCTION("""COMPUTED_VALUE"""),45949.27696418625)</f>
        <v>45949.27696</v>
      </c>
      <c r="L1228" s="4"/>
    </row>
    <row r="1229">
      <c r="A1229" s="1">
        <f>IFERROR(__xludf.DUMMYFUNCTION("""COMPUTED_VALUE"""),1228.0)</f>
        <v>1228</v>
      </c>
      <c r="B1229" s="1">
        <f>IFERROR(__xludf.DUMMYFUNCTION("""COMPUTED_VALUE"""),5490.0)</f>
        <v>5490</v>
      </c>
      <c r="C1229" s="2" t="str">
        <f>IFERROR(__xludf.DUMMYFUNCTION("""COMPUTED_VALUE"""),"Zulfa Hikamtiah")</f>
        <v>Zulfa Hikamtiah</v>
      </c>
      <c r="D1229" s="2" t="str">
        <f>IFERROR(__xludf.DUMMYFUNCTION("""COMPUTED_VALUE"""),"5KM OVERALL F")</f>
        <v>5KM OVERALL F</v>
      </c>
      <c r="E1229" s="1">
        <f>IFERROR(__xludf.DUMMYFUNCTION("""COMPUTED_VALUE"""),312.0)</f>
        <v>312</v>
      </c>
      <c r="F1229" s="1" t="str">
        <f>IFERROR(__xludf.DUMMYFUNCTION("""COMPUTED_VALUE"""),"Female")</f>
        <v>Female</v>
      </c>
      <c r="G1229" s="5">
        <f>IFERROR(__xludf.DUMMYFUNCTION("""COMPUTED_VALUE"""),0.00793580787037037)</f>
        <v>0.00793580787</v>
      </c>
      <c r="H1229" s="15">
        <f>IFERROR(__xludf.DUMMYFUNCTION("""COMPUTED_VALUE"""),0.2549440625)</f>
        <v>0.2549440625</v>
      </c>
      <c r="I1229" s="15">
        <f>IFERROR(__xludf.DUMMYFUNCTION("""COMPUTED_VALUE"""),45949.29462309716)</f>
        <v>45949.29462</v>
      </c>
      <c r="J1229" s="15">
        <f>IFERROR(__xludf.DUMMYFUNCTION("""COMPUTED_VALUE"""),45949.03967903466)</f>
        <v>45949.03968</v>
      </c>
      <c r="K1229" s="15">
        <f>IFERROR(__xludf.DUMMYFUNCTION("""COMPUTED_VALUE"""),45949.276974608336)</f>
        <v>45949.27697</v>
      </c>
      <c r="L1229" s="4"/>
    </row>
    <row r="1230">
      <c r="A1230" s="1">
        <f>IFERROR(__xludf.DUMMYFUNCTION("""COMPUTED_VALUE"""),1229.0)</f>
        <v>1229</v>
      </c>
      <c r="B1230" s="1">
        <f>IFERROR(__xludf.DUMMYFUNCTION("""COMPUTED_VALUE"""),6404.0)</f>
        <v>6404</v>
      </c>
      <c r="C1230" s="2" t="str">
        <f>IFERROR(__xludf.DUMMYFUNCTION("""COMPUTED_VALUE"""),"Ade Triyanto")</f>
        <v>Ade Triyanto</v>
      </c>
      <c r="D1230" s="2" t="str">
        <f>IFERROR(__xludf.DUMMYFUNCTION("""COMPUTED_VALUE"""),"5KM OVERALL M")</f>
        <v>5KM OVERALL M</v>
      </c>
      <c r="E1230" s="1">
        <f>IFERROR(__xludf.DUMMYFUNCTION("""COMPUTED_VALUE"""),708.0)</f>
        <v>708</v>
      </c>
      <c r="F1230" s="1" t="str">
        <f>IFERROR(__xludf.DUMMYFUNCTION("""COMPUTED_VALUE"""),"Male")</f>
        <v>Male</v>
      </c>
      <c r="G1230" s="5">
        <f>IFERROR(__xludf.DUMMYFUNCTION("""COMPUTED_VALUE"""),0.007941523148148149)</f>
        <v>0.007941523148</v>
      </c>
      <c r="H1230" s="15">
        <f>IFERROR(__xludf.DUMMYFUNCTION("""COMPUTED_VALUE"""),0.2549440625)</f>
        <v>0.2549440625</v>
      </c>
      <c r="I1230" s="15">
        <f>IFERROR(__xludf.DUMMYFUNCTION("""COMPUTED_VALUE"""),45949.29465167425)</f>
        <v>45949.29465</v>
      </c>
      <c r="J1230" s="15">
        <f>IFERROR(__xludf.DUMMYFUNCTION("""COMPUTED_VALUE"""),45949.03970761175)</f>
        <v>45949.03971</v>
      </c>
      <c r="K1230" s="15">
        <f>IFERROR(__xludf.DUMMYFUNCTION("""COMPUTED_VALUE"""),45949.27887746535)</f>
        <v>45949.27888</v>
      </c>
      <c r="L1230" s="4"/>
    </row>
    <row r="1231">
      <c r="A1231" s="1">
        <f>IFERROR(__xludf.DUMMYFUNCTION("""COMPUTED_VALUE"""),1230.0)</f>
        <v>1230</v>
      </c>
      <c r="B1231" s="1">
        <f>IFERROR(__xludf.DUMMYFUNCTION("""COMPUTED_VALUE"""),5760.0)</f>
        <v>5760</v>
      </c>
      <c r="C1231" s="2" t="str">
        <f>IFERROR(__xludf.DUMMYFUNCTION("""COMPUTED_VALUE"""),"Abay")</f>
        <v>Abay</v>
      </c>
      <c r="D1231" s="2" t="str">
        <f>IFERROR(__xludf.DUMMYFUNCTION("""COMPUTED_VALUE"""),"5KM OVERALL M")</f>
        <v>5KM OVERALL M</v>
      </c>
      <c r="E1231" s="1">
        <f>IFERROR(__xludf.DUMMYFUNCTION("""COMPUTED_VALUE"""),709.0)</f>
        <v>709</v>
      </c>
      <c r="F1231" s="1" t="str">
        <f>IFERROR(__xludf.DUMMYFUNCTION("""COMPUTED_VALUE"""),"Male")</f>
        <v>Male</v>
      </c>
      <c r="G1231" s="5">
        <f>IFERROR(__xludf.DUMMYFUNCTION("""COMPUTED_VALUE"""),0.007945527777777777)</f>
        <v>0.007945527778</v>
      </c>
      <c r="H1231" s="15">
        <f>IFERROR(__xludf.DUMMYFUNCTION("""COMPUTED_VALUE"""),0.2549440625)</f>
        <v>0.2549440625</v>
      </c>
      <c r="I1231" s="15">
        <f>IFERROR(__xludf.DUMMYFUNCTION("""COMPUTED_VALUE"""),45949.294671703356)</f>
        <v>45949.29467</v>
      </c>
      <c r="J1231" s="15">
        <f>IFERROR(__xludf.DUMMYFUNCTION("""COMPUTED_VALUE"""),45949.039727640855)</f>
        <v>45949.03973</v>
      </c>
      <c r="K1231" s="15">
        <f>IFERROR(__xludf.DUMMYFUNCTION("""COMPUTED_VALUE"""),45949.2789260003)</f>
        <v>45949.27893</v>
      </c>
      <c r="L1231" s="4"/>
    </row>
    <row r="1232">
      <c r="A1232" s="1">
        <f>IFERROR(__xludf.DUMMYFUNCTION("""COMPUTED_VALUE"""),1231.0)</f>
        <v>1231</v>
      </c>
      <c r="B1232" s="1">
        <f>IFERROR(__xludf.DUMMYFUNCTION("""COMPUTED_VALUE"""),5516.0)</f>
        <v>5516</v>
      </c>
      <c r="C1232" s="2" t="str">
        <f>IFERROR(__xludf.DUMMYFUNCTION("""COMPUTED_VALUE"""),"TRIANI")</f>
        <v>TRIANI</v>
      </c>
      <c r="D1232" s="2" t="str">
        <f>IFERROR(__xludf.DUMMYFUNCTION("""COMPUTED_VALUE"""),"5KM OVERALL F")</f>
        <v>5KM OVERALL F</v>
      </c>
      <c r="E1232" s="1">
        <f>IFERROR(__xludf.DUMMYFUNCTION("""COMPUTED_VALUE"""),313.0)</f>
        <v>313</v>
      </c>
      <c r="F1232" s="1" t="str">
        <f>IFERROR(__xludf.DUMMYFUNCTION("""COMPUTED_VALUE"""),"Female")</f>
        <v>Female</v>
      </c>
      <c r="G1232" s="5">
        <f>IFERROR(__xludf.DUMMYFUNCTION("""COMPUTED_VALUE"""),0.007952472222222222)</f>
        <v>0.007952472222</v>
      </c>
      <c r="H1232" s="15">
        <f>IFERROR(__xludf.DUMMYFUNCTION("""COMPUTED_VALUE"""),0.2549440625)</f>
        <v>0.2549440625</v>
      </c>
      <c r="I1232" s="15">
        <f>IFERROR(__xludf.DUMMYFUNCTION("""COMPUTED_VALUE"""),45949.29470642182)</f>
        <v>45949.29471</v>
      </c>
      <c r="J1232" s="15">
        <f>IFERROR(__xludf.DUMMYFUNCTION("""COMPUTED_VALUE"""),45949.039762359316)</f>
        <v>45949.03976</v>
      </c>
      <c r="K1232" s="15">
        <f>IFERROR(__xludf.DUMMYFUNCTION("""COMPUTED_VALUE"""),45949.27764474286)</f>
        <v>45949.27764</v>
      </c>
      <c r="L1232" s="4"/>
    </row>
    <row r="1233">
      <c r="A1233" s="1">
        <f>IFERROR(__xludf.DUMMYFUNCTION("""COMPUTED_VALUE"""),1232.0)</f>
        <v>1232</v>
      </c>
      <c r="B1233" s="1">
        <f>IFERROR(__xludf.DUMMYFUNCTION("""COMPUTED_VALUE"""),5808.0)</f>
        <v>5808</v>
      </c>
      <c r="C1233" s="2" t="str">
        <f>IFERROR(__xludf.DUMMYFUNCTION("""COMPUTED_VALUE"""),"Mas AL")</f>
        <v>Mas AL</v>
      </c>
      <c r="D1233" s="2" t="str">
        <f>IFERROR(__xludf.DUMMYFUNCTION("""COMPUTED_VALUE"""),"5KM OVERALL M")</f>
        <v>5KM OVERALL M</v>
      </c>
      <c r="E1233" s="1">
        <f>IFERROR(__xludf.DUMMYFUNCTION("""COMPUTED_VALUE"""),710.0)</f>
        <v>710</v>
      </c>
      <c r="F1233" s="1" t="str">
        <f>IFERROR(__xludf.DUMMYFUNCTION("""COMPUTED_VALUE"""),"Male")</f>
        <v>Male</v>
      </c>
      <c r="G1233" s="5">
        <f>IFERROR(__xludf.DUMMYFUNCTION("""COMPUTED_VALUE"""),0.007955944444444444)</f>
        <v>0.007955944444</v>
      </c>
      <c r="H1233" s="15">
        <f>IFERROR(__xludf.DUMMYFUNCTION("""COMPUTED_VALUE"""),0.2549440625)</f>
        <v>0.2549440625</v>
      </c>
      <c r="I1233" s="15">
        <f>IFERROR(__xludf.DUMMYFUNCTION("""COMPUTED_VALUE"""),45949.2947237894)</f>
        <v>45949.29472</v>
      </c>
      <c r="J1233" s="15">
        <f>IFERROR(__xludf.DUMMYFUNCTION("""COMPUTED_VALUE"""),45949.039779726896)</f>
        <v>45949.03978</v>
      </c>
      <c r="K1233" s="15">
        <f>IFERROR(__xludf.DUMMYFUNCTION("""COMPUTED_VALUE"""),45949.2801586939)</f>
        <v>45949.28016</v>
      </c>
      <c r="L1233" s="4"/>
    </row>
    <row r="1234">
      <c r="A1234" s="1">
        <f>IFERROR(__xludf.DUMMYFUNCTION("""COMPUTED_VALUE"""),1233.0)</f>
        <v>1233</v>
      </c>
      <c r="B1234" s="1">
        <f>IFERROR(__xludf.DUMMYFUNCTION("""COMPUTED_VALUE"""),6125.0)</f>
        <v>6125</v>
      </c>
      <c r="C1234" s="2" t="str">
        <f>IFERROR(__xludf.DUMMYFUNCTION("""COMPUTED_VALUE"""),"monica")</f>
        <v>monica</v>
      </c>
      <c r="D1234" s="2" t="str">
        <f>IFERROR(__xludf.DUMMYFUNCTION("""COMPUTED_VALUE"""),"5KM OVERALL F")</f>
        <v>5KM OVERALL F</v>
      </c>
      <c r="E1234" s="1">
        <f>IFERROR(__xludf.DUMMYFUNCTION("""COMPUTED_VALUE"""),314.0)</f>
        <v>314</v>
      </c>
      <c r="F1234" s="1" t="str">
        <f>IFERROR(__xludf.DUMMYFUNCTION("""COMPUTED_VALUE"""),"Female")</f>
        <v>Female</v>
      </c>
      <c r="G1234" s="5">
        <f>IFERROR(__xludf.DUMMYFUNCTION("""COMPUTED_VALUE"""),0.00795594675925926)</f>
        <v>0.007955946759</v>
      </c>
      <c r="H1234" s="15">
        <f>IFERROR(__xludf.DUMMYFUNCTION("""COMPUTED_VALUE"""),0.2549440625)</f>
        <v>0.2549440625</v>
      </c>
      <c r="I1234" s="15">
        <f>IFERROR(__xludf.DUMMYFUNCTION("""COMPUTED_VALUE"""),45949.29472380108)</f>
        <v>45949.29472</v>
      </c>
      <c r="J1234" s="15">
        <f>IFERROR(__xludf.DUMMYFUNCTION("""COMPUTED_VALUE"""),45949.03977973858)</f>
        <v>45949.03978</v>
      </c>
      <c r="K1234" s="15">
        <f>IFERROR(__xludf.DUMMYFUNCTION("""COMPUTED_VALUE"""),45949.277898214445)</f>
        <v>45949.2779</v>
      </c>
      <c r="L1234" s="4"/>
    </row>
    <row r="1235">
      <c r="A1235" s="1">
        <f>IFERROR(__xludf.DUMMYFUNCTION("""COMPUTED_VALUE"""),1234.0)</f>
        <v>1234</v>
      </c>
      <c r="B1235" s="1">
        <f>IFERROR(__xludf.DUMMYFUNCTION("""COMPUTED_VALUE"""),5196.0)</f>
        <v>5196</v>
      </c>
      <c r="C1235" s="2" t="str">
        <f>IFERROR(__xludf.DUMMYFUNCTION("""COMPUTED_VALUE"""),"Ika Widiya Apriliani")</f>
        <v>Ika Widiya Apriliani</v>
      </c>
      <c r="D1235" s="2" t="str">
        <f>IFERROR(__xludf.DUMMYFUNCTION("""COMPUTED_VALUE"""),"5KM OVERALL F")</f>
        <v>5KM OVERALL F</v>
      </c>
      <c r="E1235" s="1">
        <f>IFERROR(__xludf.DUMMYFUNCTION("""COMPUTED_VALUE"""),315.0)</f>
        <v>315</v>
      </c>
      <c r="F1235" s="1" t="str">
        <f>IFERROR(__xludf.DUMMYFUNCTION("""COMPUTED_VALUE"""),"Female")</f>
        <v>Female</v>
      </c>
      <c r="G1235" s="5">
        <f>IFERROR(__xludf.DUMMYFUNCTION("""COMPUTED_VALUE"""),0.007959416666666667)</f>
        <v>0.007959416667</v>
      </c>
      <c r="H1235" s="15">
        <f>IFERROR(__xludf.DUMMYFUNCTION("""COMPUTED_VALUE"""),0.2549440625)</f>
        <v>0.2549440625</v>
      </c>
      <c r="I1235" s="15">
        <f>IFERROR(__xludf.DUMMYFUNCTION("""COMPUTED_VALUE"""),45949.29474115124)</f>
        <v>45949.29474</v>
      </c>
      <c r="J1235" s="15">
        <f>IFERROR(__xludf.DUMMYFUNCTION("""COMPUTED_VALUE"""),45949.03979708874)</f>
        <v>45949.0398</v>
      </c>
      <c r="K1235" s="15">
        <f>IFERROR(__xludf.DUMMYFUNCTION("""COMPUTED_VALUE"""),45949.27838435129)</f>
        <v>45949.27838</v>
      </c>
      <c r="L1235" s="4"/>
    </row>
    <row r="1236">
      <c r="A1236" s="1">
        <f>IFERROR(__xludf.DUMMYFUNCTION("""COMPUTED_VALUE"""),1235.0)</f>
        <v>1235</v>
      </c>
      <c r="B1236" s="1">
        <f>IFERROR(__xludf.DUMMYFUNCTION("""COMPUTED_VALUE"""),5048.0)</f>
        <v>5048</v>
      </c>
      <c r="C1236" s="2" t="str">
        <f>IFERROR(__xludf.DUMMYFUNCTION("""COMPUTED_VALUE"""),"Jumiati Akbariah")</f>
        <v>Jumiati Akbariah</v>
      </c>
      <c r="D1236" s="2" t="str">
        <f>IFERROR(__xludf.DUMMYFUNCTION("""COMPUTED_VALUE"""),"5KM OVERALL F")</f>
        <v>5KM OVERALL F</v>
      </c>
      <c r="E1236" s="1">
        <f>IFERROR(__xludf.DUMMYFUNCTION("""COMPUTED_VALUE"""),316.0)</f>
        <v>316</v>
      </c>
      <c r="F1236" s="1" t="str">
        <f>IFERROR(__xludf.DUMMYFUNCTION("""COMPUTED_VALUE"""),"Female")</f>
        <v>Female</v>
      </c>
      <c r="G1236" s="5">
        <f>IFERROR(__xludf.DUMMYFUNCTION("""COMPUTED_VALUE"""),0.0079615)</f>
        <v>0.0079615</v>
      </c>
      <c r="H1236" s="15">
        <f>IFERROR(__xludf.DUMMYFUNCTION("""COMPUTED_VALUE"""),0.2549440625)</f>
        <v>0.2549440625</v>
      </c>
      <c r="I1236" s="15">
        <f>IFERROR(__xludf.DUMMYFUNCTION("""COMPUTED_VALUE"""),45949.29475156089)</f>
        <v>45949.29475</v>
      </c>
      <c r="J1236" s="15">
        <f>IFERROR(__xludf.DUMMYFUNCTION("""COMPUTED_VALUE"""),45949.03980749839)</f>
        <v>45949.03981</v>
      </c>
      <c r="K1236" s="15">
        <f>IFERROR(__xludf.DUMMYFUNCTION("""COMPUTED_VALUE"""),45949.27766216673)</f>
        <v>45949.27766</v>
      </c>
      <c r="L1236" s="4"/>
    </row>
    <row r="1237">
      <c r="A1237" s="1">
        <f>IFERROR(__xludf.DUMMYFUNCTION("""COMPUTED_VALUE"""),1236.0)</f>
        <v>1236</v>
      </c>
      <c r="B1237" s="7" t="str">
        <f>IFERROR(__xludf.DUMMYFUNCTION("""COMPUTED_VALUE"""),"7156")</f>
        <v>7156</v>
      </c>
      <c r="C1237" s="8" t="str">
        <f>IFERROR(__xludf.DUMMYFUNCTION("""COMPUTED_VALUE"""),"broeank")</f>
        <v>broeank</v>
      </c>
      <c r="D1237" s="2" t="str">
        <f>IFERROR(__xludf.DUMMYFUNCTION("""COMPUTED_VALUE"""),"5KM MASTER M")</f>
        <v>5KM MASTER M</v>
      </c>
      <c r="E1237" s="1">
        <f>IFERROR(__xludf.DUMMYFUNCTION("""COMPUTED_VALUE"""),90.0)</f>
        <v>90</v>
      </c>
      <c r="F1237" s="1" t="str">
        <f>IFERROR(__xludf.DUMMYFUNCTION("""COMPUTED_VALUE"""),"Male")</f>
        <v>Male</v>
      </c>
      <c r="G1237" s="5">
        <f>IFERROR(__xludf.DUMMYFUNCTION("""COMPUTED_VALUE"""),0.00796288888888889)</f>
        <v>0.007962888889</v>
      </c>
      <c r="H1237" s="15">
        <f>IFERROR(__xludf.DUMMYFUNCTION("""COMPUTED_VALUE"""),0.2549440625)</f>
        <v>0.2549440625</v>
      </c>
      <c r="I1237" s="15">
        <f>IFERROR(__xludf.DUMMYFUNCTION("""COMPUTED_VALUE"""),45949.29475850562)</f>
        <v>45949.29476</v>
      </c>
      <c r="J1237" s="15">
        <f>IFERROR(__xludf.DUMMYFUNCTION("""COMPUTED_VALUE"""),45949.03981444312)</f>
        <v>45949.03981</v>
      </c>
      <c r="K1237" s="15">
        <f>IFERROR(__xludf.DUMMYFUNCTION("""COMPUTED_VALUE"""),45949.278488487376)</f>
        <v>45949.27849</v>
      </c>
      <c r="L1237" s="4"/>
    </row>
    <row r="1238">
      <c r="A1238" s="1">
        <f>IFERROR(__xludf.DUMMYFUNCTION("""COMPUTED_VALUE"""),1237.0)</f>
        <v>1237</v>
      </c>
      <c r="B1238" s="1">
        <f>IFERROR(__xludf.DUMMYFUNCTION("""COMPUTED_VALUE"""),5944.0)</f>
        <v>5944</v>
      </c>
      <c r="C1238" s="2" t="str">
        <f>IFERROR(__xludf.DUMMYFUNCTION("""COMPUTED_VALUE"""),"Fikri")</f>
        <v>Fikri</v>
      </c>
      <c r="D1238" s="2" t="str">
        <f>IFERROR(__xludf.DUMMYFUNCTION("""COMPUTED_VALUE"""),"5KM OVERALL M")</f>
        <v>5KM OVERALL M</v>
      </c>
      <c r="E1238" s="1">
        <f>IFERROR(__xludf.DUMMYFUNCTION("""COMPUTED_VALUE"""),711.0)</f>
        <v>711</v>
      </c>
      <c r="F1238" s="1" t="str">
        <f>IFERROR(__xludf.DUMMYFUNCTION("""COMPUTED_VALUE"""),"Male")</f>
        <v>Male</v>
      </c>
      <c r="G1238" s="5">
        <f>IFERROR(__xludf.DUMMYFUNCTION("""COMPUTED_VALUE"""),0.007964972222222222)</f>
        <v>0.007964972222</v>
      </c>
      <c r="H1238" s="15">
        <f>IFERROR(__xludf.DUMMYFUNCTION("""COMPUTED_VALUE"""),0.2549440625)</f>
        <v>0.2549440625</v>
      </c>
      <c r="I1238" s="15">
        <f>IFERROR(__xludf.DUMMYFUNCTION("""COMPUTED_VALUE"""),45949.294768921216)</f>
        <v>45949.29477</v>
      </c>
      <c r="J1238" s="15">
        <f>IFERROR(__xludf.DUMMYFUNCTION("""COMPUTED_VALUE"""),45949.039824858715)</f>
        <v>45949.03982</v>
      </c>
      <c r="K1238" s="15">
        <f>IFERROR(__xludf.DUMMYFUNCTION("""COMPUTED_VALUE"""),45949.27878711013)</f>
        <v>45949.27879</v>
      </c>
      <c r="L1238" s="4"/>
    </row>
    <row r="1239">
      <c r="A1239" s="1">
        <f>IFERROR(__xludf.DUMMYFUNCTION("""COMPUTED_VALUE"""),1238.0)</f>
        <v>1238</v>
      </c>
      <c r="B1239" s="1">
        <f>IFERROR(__xludf.DUMMYFUNCTION("""COMPUTED_VALUE"""),5751.0)</f>
        <v>5751</v>
      </c>
      <c r="C1239" s="2" t="str">
        <f>IFERROR(__xludf.DUMMYFUNCTION("""COMPUTED_VALUE"""),"meluput")</f>
        <v>meluput</v>
      </c>
      <c r="D1239" s="2" t="str">
        <f>IFERROR(__xludf.DUMMYFUNCTION("""COMPUTED_VALUE"""),"5KM OVERALL F")</f>
        <v>5KM OVERALL F</v>
      </c>
      <c r="E1239" s="1">
        <f>IFERROR(__xludf.DUMMYFUNCTION("""COMPUTED_VALUE"""),317.0)</f>
        <v>317</v>
      </c>
      <c r="F1239" s="1" t="str">
        <f>IFERROR(__xludf.DUMMYFUNCTION("""COMPUTED_VALUE"""),"Female")</f>
        <v>Female</v>
      </c>
      <c r="G1239" s="5">
        <f>IFERROR(__xludf.DUMMYFUNCTION("""COMPUTED_VALUE"""),0.007968444444444445)</f>
        <v>0.007968444444</v>
      </c>
      <c r="H1239" s="15">
        <f>IFERROR(__xludf.DUMMYFUNCTION("""COMPUTED_VALUE"""),0.2549440625)</f>
        <v>0.2549440625</v>
      </c>
      <c r="I1239" s="15">
        <f>IFERROR(__xludf.DUMMYFUNCTION("""COMPUTED_VALUE"""),45949.294786286046)</f>
        <v>45949.29479</v>
      </c>
      <c r="J1239" s="15">
        <f>IFERROR(__xludf.DUMMYFUNCTION("""COMPUTED_VALUE"""),45949.039842223545)</f>
        <v>45949.03984</v>
      </c>
      <c r="K1239" s="15">
        <f>IFERROR(__xludf.DUMMYFUNCTION("""COMPUTED_VALUE"""),45949.27820036075)</f>
        <v>45949.2782</v>
      </c>
      <c r="L1239" s="4"/>
    </row>
    <row r="1240">
      <c r="A1240" s="1">
        <f>IFERROR(__xludf.DUMMYFUNCTION("""COMPUTED_VALUE"""),1239.0)</f>
        <v>1239</v>
      </c>
      <c r="B1240" s="1">
        <f>IFERROR(__xludf.DUMMYFUNCTION("""COMPUTED_VALUE"""),6124.0)</f>
        <v>6124</v>
      </c>
      <c r="C1240" s="2" t="str">
        <f>IFERROR(__xludf.DUMMYFUNCTION("""COMPUTED_VALUE"""),"Peny Puspa")</f>
        <v>Peny Puspa</v>
      </c>
      <c r="D1240" s="2" t="str">
        <f>IFERROR(__xludf.DUMMYFUNCTION("""COMPUTED_VALUE"""),"5KM OVERALL F")</f>
        <v>5KM OVERALL F</v>
      </c>
      <c r="E1240" s="1">
        <f>IFERROR(__xludf.DUMMYFUNCTION("""COMPUTED_VALUE"""),318.0)</f>
        <v>318</v>
      </c>
      <c r="F1240" s="1" t="str">
        <f>IFERROR(__xludf.DUMMYFUNCTION("""COMPUTED_VALUE"""),"Female")</f>
        <v>Female</v>
      </c>
      <c r="G1240" s="5">
        <f>IFERROR(__xludf.DUMMYFUNCTION("""COMPUTED_VALUE"""),0.007975504629629631)</f>
        <v>0.00797550463</v>
      </c>
      <c r="H1240" s="15">
        <f>IFERROR(__xludf.DUMMYFUNCTION("""COMPUTED_VALUE"""),0.2549440625)</f>
        <v>0.2549440625</v>
      </c>
      <c r="I1240" s="15">
        <f>IFERROR(__xludf.DUMMYFUNCTION("""COMPUTED_VALUE"""),45949.29482158413)</f>
        <v>45949.29482</v>
      </c>
      <c r="J1240" s="15">
        <f>IFERROR(__xludf.DUMMYFUNCTION("""COMPUTED_VALUE"""),45949.03987752163)</f>
        <v>45949.03988</v>
      </c>
      <c r="K1240" s="15">
        <f>IFERROR(__xludf.DUMMYFUNCTION("""COMPUTED_VALUE"""),45949.27754057352)</f>
        <v>45949.27754</v>
      </c>
      <c r="L1240" s="4"/>
    </row>
    <row r="1241">
      <c r="A1241" s="1">
        <f>IFERROR(__xludf.DUMMYFUNCTION("""COMPUTED_VALUE"""),1240.0)</f>
        <v>1240</v>
      </c>
      <c r="B1241" s="1">
        <f>IFERROR(__xludf.DUMMYFUNCTION("""COMPUTED_VALUE"""),6011.0)</f>
        <v>6011</v>
      </c>
      <c r="C1241" s="2" t="str">
        <f>IFERROR(__xludf.DUMMYFUNCTION("""COMPUTED_VALUE"""),"SANDY")</f>
        <v>SANDY</v>
      </c>
      <c r="D1241" s="2" t="str">
        <f>IFERROR(__xludf.DUMMYFUNCTION("""COMPUTED_VALUE"""),"5KM OVERALL M")</f>
        <v>5KM OVERALL M</v>
      </c>
      <c r="E1241" s="1">
        <f>IFERROR(__xludf.DUMMYFUNCTION("""COMPUTED_VALUE"""),712.0)</f>
        <v>712</v>
      </c>
      <c r="F1241" s="1" t="str">
        <f>IFERROR(__xludf.DUMMYFUNCTION("""COMPUTED_VALUE"""),"Male")</f>
        <v>Male</v>
      </c>
      <c r="G1241" s="5">
        <f>IFERROR(__xludf.DUMMYFUNCTION("""COMPUTED_VALUE"""),0.007978166666666666)</f>
        <v>0.007978166667</v>
      </c>
      <c r="H1241" s="15">
        <f>IFERROR(__xludf.DUMMYFUNCTION("""COMPUTED_VALUE"""),0.2549440625)</f>
        <v>0.2549440625</v>
      </c>
      <c r="I1241" s="15">
        <f>IFERROR(__xludf.DUMMYFUNCTION("""COMPUTED_VALUE"""),45949.294834899236)</f>
        <v>45949.29483</v>
      </c>
      <c r="J1241" s="15">
        <f>IFERROR(__xludf.DUMMYFUNCTION("""COMPUTED_VALUE"""),45949.039890836735)</f>
        <v>45949.03989</v>
      </c>
      <c r="K1241" s="15">
        <f>IFERROR(__xludf.DUMMYFUNCTION("""COMPUTED_VALUE"""),45949.279033634804)</f>
        <v>45949.27903</v>
      </c>
      <c r="L1241" s="4"/>
    </row>
    <row r="1242">
      <c r="A1242" s="1">
        <f>IFERROR(__xludf.DUMMYFUNCTION("""COMPUTED_VALUE"""),1241.0)</f>
        <v>1241</v>
      </c>
      <c r="B1242" s="1">
        <f>IFERROR(__xludf.DUMMYFUNCTION("""COMPUTED_VALUE"""),5471.0)</f>
        <v>5471</v>
      </c>
      <c r="C1242" s="2" t="str">
        <f>IFERROR(__xludf.DUMMYFUNCTION("""COMPUTED_VALUE"""),"fauzi")</f>
        <v>fauzi</v>
      </c>
      <c r="D1242" s="2" t="str">
        <f>IFERROR(__xludf.DUMMYFUNCTION("""COMPUTED_VALUE"""),"5KM OVERALL M")</f>
        <v>5KM OVERALL M</v>
      </c>
      <c r="E1242" s="1">
        <f>IFERROR(__xludf.DUMMYFUNCTION("""COMPUTED_VALUE"""),713.0)</f>
        <v>713</v>
      </c>
      <c r="F1242" s="1" t="str">
        <f>IFERROR(__xludf.DUMMYFUNCTION("""COMPUTED_VALUE"""),"Male")</f>
        <v>Male</v>
      </c>
      <c r="G1242" s="5">
        <f>IFERROR(__xludf.DUMMYFUNCTION("""COMPUTED_VALUE"""),0.007988583333333334)</f>
        <v>0.007988583333</v>
      </c>
      <c r="H1242" s="15">
        <f>IFERROR(__xludf.DUMMYFUNCTION("""COMPUTED_VALUE"""),0.2549440625)</f>
        <v>0.2549440625</v>
      </c>
      <c r="I1242" s="15">
        <f>IFERROR(__xludf.DUMMYFUNCTION("""COMPUTED_VALUE"""),45949.29488698487)</f>
        <v>45949.29489</v>
      </c>
      <c r="J1242" s="15">
        <f>IFERROR(__xludf.DUMMYFUNCTION("""COMPUTED_VALUE"""),45949.03994292237)</f>
        <v>45949.03994</v>
      </c>
      <c r="K1242" s="15">
        <f>IFERROR(__xludf.DUMMYFUNCTION("""COMPUTED_VALUE"""),45949.27750586327)</f>
        <v>45949.27751</v>
      </c>
      <c r="L1242" s="4"/>
    </row>
    <row r="1243">
      <c r="A1243" s="1">
        <f>IFERROR(__xludf.DUMMYFUNCTION("""COMPUTED_VALUE"""),1242.0)</f>
        <v>1242</v>
      </c>
      <c r="B1243" s="1">
        <f>IFERROR(__xludf.DUMMYFUNCTION("""COMPUTED_VALUE"""),5262.0)</f>
        <v>5262</v>
      </c>
      <c r="C1243" s="2" t="str">
        <f>IFERROR(__xludf.DUMMYFUNCTION("""COMPUTED_VALUE"""),"Halimah Abdul")</f>
        <v>Halimah Abdul</v>
      </c>
      <c r="D1243" s="2" t="str">
        <f>IFERROR(__xludf.DUMMYFUNCTION("""COMPUTED_VALUE"""),"5KM OVERALL F")</f>
        <v>5KM OVERALL F</v>
      </c>
      <c r="E1243" s="1">
        <f>IFERROR(__xludf.DUMMYFUNCTION("""COMPUTED_VALUE"""),319.0)</f>
        <v>319</v>
      </c>
      <c r="F1243" s="1" t="str">
        <f>IFERROR(__xludf.DUMMYFUNCTION("""COMPUTED_VALUE"""),"Female")</f>
        <v>Female</v>
      </c>
      <c r="G1243" s="5">
        <f>IFERROR(__xludf.DUMMYFUNCTION("""COMPUTED_VALUE"""),0.007988587962962963)</f>
        <v>0.007988587963</v>
      </c>
      <c r="H1243" s="15">
        <f>IFERROR(__xludf.DUMMYFUNCTION("""COMPUTED_VALUE"""),0.2549440625)</f>
        <v>0.2549440625</v>
      </c>
      <c r="I1243" s="15">
        <f>IFERROR(__xludf.DUMMYFUNCTION("""COMPUTED_VALUE"""),45949.29488699886)</f>
        <v>45949.29489</v>
      </c>
      <c r="J1243" s="15">
        <f>IFERROR(__xludf.DUMMYFUNCTION("""COMPUTED_VALUE"""),45949.03994293636)</f>
        <v>45949.03994</v>
      </c>
      <c r="K1243" s="15">
        <f>IFERROR(__xludf.DUMMYFUNCTION("""COMPUTED_VALUE"""),45949.277658688596)</f>
        <v>45949.27766</v>
      </c>
      <c r="L1243" s="4"/>
    </row>
    <row r="1244">
      <c r="A1244" s="1">
        <f>IFERROR(__xludf.DUMMYFUNCTION("""COMPUTED_VALUE"""),1243.0)</f>
        <v>1243</v>
      </c>
      <c r="B1244" s="1">
        <f>IFERROR(__xludf.DUMMYFUNCTION("""COMPUTED_VALUE"""),6216.0)</f>
        <v>6216</v>
      </c>
      <c r="C1244" s="2" t="str">
        <f>IFERROR(__xludf.DUMMYFUNCTION("""COMPUTED_VALUE"""),"H5H")</f>
        <v>H5H</v>
      </c>
      <c r="D1244" s="2" t="str">
        <f>IFERROR(__xludf.DUMMYFUNCTION("""COMPUTED_VALUE"""),"5KM OVERALL F")</f>
        <v>5KM OVERALL F</v>
      </c>
      <c r="E1244" s="1">
        <f>IFERROR(__xludf.DUMMYFUNCTION("""COMPUTED_VALUE"""),320.0)</f>
        <v>320</v>
      </c>
      <c r="F1244" s="1" t="str">
        <f>IFERROR(__xludf.DUMMYFUNCTION("""COMPUTED_VALUE"""),"Female")</f>
        <v>Female</v>
      </c>
      <c r="G1244" s="5">
        <f>IFERROR(__xludf.DUMMYFUNCTION("""COMPUTED_VALUE"""),0.007996916666666668)</f>
        <v>0.007996916667</v>
      </c>
      <c r="H1244" s="15">
        <f>IFERROR(__xludf.DUMMYFUNCTION("""COMPUTED_VALUE"""),0.2549440625)</f>
        <v>0.2549440625</v>
      </c>
      <c r="I1244" s="15">
        <f>IFERROR(__xludf.DUMMYFUNCTION("""COMPUTED_VALUE"""),45949.29492864402)</f>
        <v>45949.29493</v>
      </c>
      <c r="J1244" s="15">
        <f>IFERROR(__xludf.DUMMYFUNCTION("""COMPUTED_VALUE"""),45949.03998458152)</f>
        <v>45949.03998</v>
      </c>
      <c r="K1244" s="15">
        <f>IFERROR(__xludf.DUMMYFUNCTION("""COMPUTED_VALUE"""),45949.27758924679)</f>
        <v>45949.27759</v>
      </c>
      <c r="L1244" s="4"/>
    </row>
    <row r="1245">
      <c r="A1245" s="1">
        <f>IFERROR(__xludf.DUMMYFUNCTION("""COMPUTED_VALUE"""),1244.0)</f>
        <v>1244</v>
      </c>
      <c r="B1245" s="1">
        <f>IFERROR(__xludf.DUMMYFUNCTION("""COMPUTED_VALUE"""),6111.0)</f>
        <v>6111</v>
      </c>
      <c r="C1245" s="2" t="str">
        <f>IFERROR(__xludf.DUMMYFUNCTION("""COMPUTED_VALUE"""),"djar.forbes")</f>
        <v>djar.forbes</v>
      </c>
      <c r="D1245" s="2" t="str">
        <f>IFERROR(__xludf.DUMMYFUNCTION("""COMPUTED_VALUE"""),"5KM OVERALL M")</f>
        <v>5KM OVERALL M</v>
      </c>
      <c r="E1245" s="1">
        <f>IFERROR(__xludf.DUMMYFUNCTION("""COMPUTED_VALUE"""),714.0)</f>
        <v>714</v>
      </c>
      <c r="F1245" s="1" t="str">
        <f>IFERROR(__xludf.DUMMYFUNCTION("""COMPUTED_VALUE"""),"Male")</f>
        <v>Male</v>
      </c>
      <c r="G1245" s="5">
        <f>IFERROR(__xludf.DUMMYFUNCTION("""COMPUTED_VALUE"""),0.008001905092592593)</f>
        <v>0.008001905093</v>
      </c>
      <c r="H1245" s="15">
        <f>IFERROR(__xludf.DUMMYFUNCTION("""COMPUTED_VALUE"""),0.2549440625)</f>
        <v>0.2549440625</v>
      </c>
      <c r="I1245" s="15">
        <f>IFERROR(__xludf.DUMMYFUNCTION("""COMPUTED_VALUE"""),45949.2949535885)</f>
        <v>45949.29495</v>
      </c>
      <c r="J1245" s="15">
        <f>IFERROR(__xludf.DUMMYFUNCTION("""COMPUTED_VALUE"""),45949.040009526)</f>
        <v>45949.04001</v>
      </c>
      <c r="K1245" s="15">
        <f>IFERROR(__xludf.DUMMYFUNCTION("""COMPUTED_VALUE"""),45949.277571830535)</f>
        <v>45949.27757</v>
      </c>
      <c r="L1245" s="4"/>
    </row>
    <row r="1246">
      <c r="A1246" s="1">
        <f>IFERROR(__xludf.DUMMYFUNCTION("""COMPUTED_VALUE"""),1245.0)</f>
        <v>1245</v>
      </c>
      <c r="B1246" s="1">
        <f>IFERROR(__xludf.DUMMYFUNCTION("""COMPUTED_VALUE"""),5778.0)</f>
        <v>5778</v>
      </c>
      <c r="C1246" s="2" t="str">
        <f>IFERROR(__xludf.DUMMYFUNCTION("""COMPUTED_VALUE"""),"Vieta")</f>
        <v>Vieta</v>
      </c>
      <c r="D1246" s="2" t="str">
        <f>IFERROR(__xludf.DUMMYFUNCTION("""COMPUTED_VALUE"""),"5KM OVERALL F")</f>
        <v>5KM OVERALL F</v>
      </c>
      <c r="E1246" s="1">
        <f>IFERROR(__xludf.DUMMYFUNCTION("""COMPUTED_VALUE"""),321.0)</f>
        <v>321</v>
      </c>
      <c r="F1246" s="1" t="str">
        <f>IFERROR(__xludf.DUMMYFUNCTION("""COMPUTED_VALUE"""),"Female")</f>
        <v>Female</v>
      </c>
      <c r="G1246" s="5">
        <f>IFERROR(__xludf.DUMMYFUNCTION("""COMPUTED_VALUE"""),0.00801573611111111)</f>
        <v>0.008015736111</v>
      </c>
      <c r="H1246" s="15">
        <f>IFERROR(__xludf.DUMMYFUNCTION("""COMPUTED_VALUE"""),0.2549440625)</f>
        <v>0.2549440625</v>
      </c>
      <c r="I1246" s="15">
        <f>IFERROR(__xludf.DUMMYFUNCTION("""COMPUTED_VALUE"""),45949.295022741964)</f>
        <v>45949.29502</v>
      </c>
      <c r="J1246" s="15">
        <f>IFERROR(__xludf.DUMMYFUNCTION("""COMPUTED_VALUE"""),45949.04007867946)</f>
        <v>45949.04008</v>
      </c>
      <c r="K1246" s="15">
        <f>IFERROR(__xludf.DUMMYFUNCTION("""COMPUTED_VALUE"""),45949.27765871173)</f>
        <v>45949.27766</v>
      </c>
      <c r="L1246" s="4"/>
    </row>
    <row r="1247">
      <c r="A1247" s="1">
        <f>IFERROR(__xludf.DUMMYFUNCTION("""COMPUTED_VALUE"""),1246.0)</f>
        <v>1246</v>
      </c>
      <c r="B1247" s="1">
        <f>IFERROR(__xludf.DUMMYFUNCTION("""COMPUTED_VALUE"""),6562.0)</f>
        <v>6562</v>
      </c>
      <c r="C1247" s="2" t="str">
        <f>IFERROR(__xludf.DUMMYFUNCTION("""COMPUTED_VALUE"""),"Lusyanne Erhid Salla")</f>
        <v>Lusyanne Erhid Salla</v>
      </c>
      <c r="D1247" s="2" t="str">
        <f>IFERROR(__xludf.DUMMYFUNCTION("""COMPUTED_VALUE"""),"5KM OVERALL F")</f>
        <v>5KM OVERALL F</v>
      </c>
      <c r="E1247" s="1">
        <f>IFERROR(__xludf.DUMMYFUNCTION("""COMPUTED_VALUE"""),322.0)</f>
        <v>322</v>
      </c>
      <c r="F1247" s="1" t="str">
        <f>IFERROR(__xludf.DUMMYFUNCTION("""COMPUTED_VALUE"""),"Female")</f>
        <v>Female</v>
      </c>
      <c r="G1247" s="5">
        <f>IFERROR(__xludf.DUMMYFUNCTION("""COMPUTED_VALUE"""),0.008019208333333333)</f>
        <v>0.008019208333</v>
      </c>
      <c r="H1247" s="15">
        <f>IFERROR(__xludf.DUMMYFUNCTION("""COMPUTED_VALUE"""),0.2549440625)</f>
        <v>0.2549440625</v>
      </c>
      <c r="I1247" s="15">
        <f>IFERROR(__xludf.DUMMYFUNCTION("""COMPUTED_VALUE"""),45949.295040101286)</f>
        <v>45949.29504</v>
      </c>
      <c r="J1247" s="15">
        <f>IFERROR(__xludf.DUMMYFUNCTION("""COMPUTED_VALUE"""),45949.040096038785)</f>
        <v>45949.0401</v>
      </c>
      <c r="K1247" s="15">
        <f>IFERROR(__xludf.DUMMYFUNCTION("""COMPUTED_VALUE"""),45949.27809268205)</f>
        <v>45949.27809</v>
      </c>
      <c r="L1247" s="4"/>
    </row>
    <row r="1248">
      <c r="A1248" s="1">
        <f>IFERROR(__xludf.DUMMYFUNCTION("""COMPUTED_VALUE"""),1247.0)</f>
        <v>1247</v>
      </c>
      <c r="B1248" s="1">
        <f>IFERROR(__xludf.DUMMYFUNCTION("""COMPUTED_VALUE"""),6215.0)</f>
        <v>6215</v>
      </c>
      <c r="C1248" s="2" t="str">
        <f>IFERROR(__xludf.DUMMYFUNCTION("""COMPUTED_VALUE"""),"SATIYA")</f>
        <v>SATIYA</v>
      </c>
      <c r="D1248" s="2" t="str">
        <f>IFERROR(__xludf.DUMMYFUNCTION("""COMPUTED_VALUE"""),"5KM OVERALL F")</f>
        <v>5KM OVERALL F</v>
      </c>
      <c r="E1248" s="1">
        <f>IFERROR(__xludf.DUMMYFUNCTION("""COMPUTED_VALUE"""),323.0)</f>
        <v>323</v>
      </c>
      <c r="F1248" s="1" t="str">
        <f>IFERROR(__xludf.DUMMYFUNCTION("""COMPUTED_VALUE"""),"Female")</f>
        <v>Female</v>
      </c>
      <c r="G1248" s="5">
        <f>IFERROR(__xludf.DUMMYFUNCTION("""COMPUTED_VALUE"""),0.008023305555555556)</f>
        <v>0.008023305556</v>
      </c>
      <c r="H1248" s="15">
        <f>IFERROR(__xludf.DUMMYFUNCTION("""COMPUTED_VALUE"""),0.2549440625)</f>
        <v>0.2549440625</v>
      </c>
      <c r="I1248" s="15">
        <f>IFERROR(__xludf.DUMMYFUNCTION("""COMPUTED_VALUE"""),45949.29506058604)</f>
        <v>45949.29506</v>
      </c>
      <c r="J1248" s="15">
        <f>IFERROR(__xludf.DUMMYFUNCTION("""COMPUTED_VALUE"""),45949.04011652354)</f>
        <v>45949.04012</v>
      </c>
      <c r="K1248" s="15">
        <f>IFERROR(__xludf.DUMMYFUNCTION("""COMPUTED_VALUE"""),45949.275978091326)</f>
        <v>45949.27598</v>
      </c>
      <c r="L1248" s="4"/>
    </row>
    <row r="1249">
      <c r="A1249" s="1">
        <f>IFERROR(__xludf.DUMMYFUNCTION("""COMPUTED_VALUE"""),1248.0)</f>
        <v>1248</v>
      </c>
      <c r="B1249" s="1">
        <f>IFERROR(__xludf.DUMMYFUNCTION("""COMPUTED_VALUE"""),6302.0)</f>
        <v>6302</v>
      </c>
      <c r="C1249" s="2" t="str">
        <f>IFERROR(__xludf.DUMMYFUNCTION("""COMPUTED_VALUE"""),"Rifqi ichwanul")</f>
        <v>Rifqi ichwanul</v>
      </c>
      <c r="D1249" s="2" t="str">
        <f>IFERROR(__xludf.DUMMYFUNCTION("""COMPUTED_VALUE"""),"5KM OVERALL M")</f>
        <v>5KM OVERALL M</v>
      </c>
      <c r="E1249" s="1">
        <f>IFERROR(__xludf.DUMMYFUNCTION("""COMPUTED_VALUE"""),715.0)</f>
        <v>715</v>
      </c>
      <c r="F1249" s="1" t="str">
        <f>IFERROR(__xludf.DUMMYFUNCTION("""COMPUTED_VALUE"""),"Male")</f>
        <v>Male</v>
      </c>
      <c r="G1249" s="5">
        <f>IFERROR(__xludf.DUMMYFUNCTION("""COMPUTED_VALUE"""),0.008029694444444445)</f>
        <v>0.008029694444</v>
      </c>
      <c r="H1249" s="15">
        <f>IFERROR(__xludf.DUMMYFUNCTION("""COMPUTED_VALUE"""),0.2549440625)</f>
        <v>0.2549440625</v>
      </c>
      <c r="I1249" s="15">
        <f>IFERROR(__xludf.DUMMYFUNCTION("""COMPUTED_VALUE"""),45949.29509253485)</f>
        <v>45949.29509</v>
      </c>
      <c r="J1249" s="15">
        <f>IFERROR(__xludf.DUMMYFUNCTION("""COMPUTED_VALUE"""),45949.04014847235)</f>
        <v>45949.04015</v>
      </c>
      <c r="K1249" s="15">
        <f>IFERROR(__xludf.DUMMYFUNCTION("""COMPUTED_VALUE"""),45949.27738086722)</f>
        <v>45949.27738</v>
      </c>
      <c r="L1249" s="4"/>
    </row>
    <row r="1250">
      <c r="A1250" s="1">
        <f>IFERROR(__xludf.DUMMYFUNCTION("""COMPUTED_VALUE"""),1249.0)</f>
        <v>1249</v>
      </c>
      <c r="B1250" s="1">
        <f>IFERROR(__xludf.DUMMYFUNCTION("""COMPUTED_VALUE"""),7024.0)</f>
        <v>7024</v>
      </c>
      <c r="C1250" s="2" t="str">
        <f>IFERROR(__xludf.DUMMYFUNCTION("""COMPUTED_VALUE"""),"Juni")</f>
        <v>Juni</v>
      </c>
      <c r="D1250" s="2" t="str">
        <f>IFERROR(__xludf.DUMMYFUNCTION("""COMPUTED_VALUE"""),"5KM MASTER F")</f>
        <v>5KM MASTER F</v>
      </c>
      <c r="E1250" s="1">
        <f>IFERROR(__xludf.DUMMYFUNCTION("""COMPUTED_VALUE"""),48.0)</f>
        <v>48</v>
      </c>
      <c r="F1250" s="1" t="str">
        <f>IFERROR(__xludf.DUMMYFUNCTION("""COMPUTED_VALUE"""),"Female")</f>
        <v>Female</v>
      </c>
      <c r="G1250" s="5">
        <f>IFERROR(__xludf.DUMMYFUNCTION("""COMPUTED_VALUE"""),0.00803163888888889)</f>
        <v>0.008031638889</v>
      </c>
      <c r="H1250" s="15">
        <f>IFERROR(__xludf.DUMMYFUNCTION("""COMPUTED_VALUE"""),0.2549440625)</f>
        <v>0.2549440625</v>
      </c>
      <c r="I1250" s="15">
        <f>IFERROR(__xludf.DUMMYFUNCTION("""COMPUTED_VALUE"""),45949.295102256)</f>
        <v>45949.2951</v>
      </c>
      <c r="J1250" s="15">
        <f>IFERROR(__xludf.DUMMYFUNCTION("""COMPUTED_VALUE"""),45949.0401581935)</f>
        <v>45949.04016</v>
      </c>
      <c r="K1250" s="15">
        <f>IFERROR(__xludf.DUMMYFUNCTION("""COMPUTED_VALUE"""),45949.279731622024)</f>
        <v>45949.27973</v>
      </c>
      <c r="L1250" s="4"/>
    </row>
    <row r="1251">
      <c r="A1251" s="1">
        <f>IFERROR(__xludf.DUMMYFUNCTION("""COMPUTED_VALUE"""),1250.0)</f>
        <v>1250</v>
      </c>
      <c r="B1251" s="1">
        <f>IFERROR(__xludf.DUMMYFUNCTION("""COMPUTED_VALUE"""),5574.0)</f>
        <v>5574</v>
      </c>
      <c r="C1251" s="2" t="str">
        <f>IFERROR(__xludf.DUMMYFUNCTION("""COMPUTED_VALUE"""),"FAUZIYA")</f>
        <v>FAUZIYA</v>
      </c>
      <c r="D1251" s="2" t="str">
        <f>IFERROR(__xludf.DUMMYFUNCTION("""COMPUTED_VALUE"""),"5KM OVERALL F")</f>
        <v>5KM OVERALL F</v>
      </c>
      <c r="E1251" s="1">
        <f>IFERROR(__xludf.DUMMYFUNCTION("""COMPUTED_VALUE"""),324.0)</f>
        <v>324</v>
      </c>
      <c r="F1251" s="1" t="str">
        <f>IFERROR(__xludf.DUMMYFUNCTION("""COMPUTED_VALUE"""),"Female")</f>
        <v>Female</v>
      </c>
      <c r="G1251" s="5">
        <f>IFERROR(__xludf.DUMMYFUNCTION("""COMPUTED_VALUE"""),0.008035099537037037)</f>
        <v>0.008035099537</v>
      </c>
      <c r="H1251" s="15">
        <f>IFERROR(__xludf.DUMMYFUNCTION("""COMPUTED_VALUE"""),0.2549440625)</f>
        <v>0.2549440625</v>
      </c>
      <c r="I1251" s="15">
        <f>IFERROR(__xludf.DUMMYFUNCTION("""COMPUTED_VALUE"""),45949.295119565206)</f>
        <v>45949.29512</v>
      </c>
      <c r="J1251" s="15">
        <f>IFERROR(__xludf.DUMMYFUNCTION("""COMPUTED_VALUE"""),45949.040175502705)</f>
        <v>45949.04018</v>
      </c>
      <c r="K1251" s="15">
        <f>IFERROR(__xludf.DUMMYFUNCTION("""COMPUTED_VALUE"""),45949.27853715888)</f>
        <v>45949.27854</v>
      </c>
      <c r="L1251" s="4"/>
    </row>
    <row r="1252">
      <c r="A1252" s="1">
        <f>IFERROR(__xludf.DUMMYFUNCTION("""COMPUTED_VALUE"""),1251.0)</f>
        <v>1251</v>
      </c>
      <c r="B1252" s="1">
        <f>IFERROR(__xludf.DUMMYFUNCTION("""COMPUTED_VALUE"""),5561.0)</f>
        <v>5561</v>
      </c>
      <c r="C1252" s="2" t="str">
        <f>IFERROR(__xludf.DUMMYFUNCTION("""COMPUTED_VALUE"""),"PRADIPTHA")</f>
        <v>PRADIPTHA</v>
      </c>
      <c r="D1252" s="2" t="str">
        <f>IFERROR(__xludf.DUMMYFUNCTION("""COMPUTED_VALUE"""),"5KM OVERALL M")</f>
        <v>5KM OVERALL M</v>
      </c>
      <c r="E1252" s="1">
        <f>IFERROR(__xludf.DUMMYFUNCTION("""COMPUTED_VALUE"""),716.0)</f>
        <v>716</v>
      </c>
      <c r="F1252" s="1" t="str">
        <f>IFERROR(__xludf.DUMMYFUNCTION("""COMPUTED_VALUE"""),"Male")</f>
        <v>Male</v>
      </c>
      <c r="G1252" s="5">
        <f>IFERROR(__xludf.DUMMYFUNCTION("""COMPUTED_VALUE"""),0.008038583333333333)</f>
        <v>0.008038583333</v>
      </c>
      <c r="H1252" s="15">
        <f>IFERROR(__xludf.DUMMYFUNCTION("""COMPUTED_VALUE"""),0.2549440625)</f>
        <v>0.2549440625</v>
      </c>
      <c r="I1252" s="15">
        <f>IFERROR(__xludf.DUMMYFUNCTION("""COMPUTED_VALUE"""),45949.295136978464)</f>
        <v>45949.29514</v>
      </c>
      <c r="J1252" s="15">
        <f>IFERROR(__xludf.DUMMYFUNCTION("""COMPUTED_VALUE"""),45949.04019291596)</f>
        <v>45949.04019</v>
      </c>
      <c r="K1252" s="15">
        <f>IFERROR(__xludf.DUMMYFUNCTION("""COMPUTED_VALUE"""),45949.27873849904)</f>
        <v>45949.27874</v>
      </c>
      <c r="L1252" s="4"/>
    </row>
    <row r="1253">
      <c r="A1253" s="1">
        <f>IFERROR(__xludf.DUMMYFUNCTION("""COMPUTED_VALUE"""),1252.0)</f>
        <v>1252</v>
      </c>
      <c r="B1253" s="1">
        <f>IFERROR(__xludf.DUMMYFUNCTION("""COMPUTED_VALUE"""),5172.0)</f>
        <v>5172</v>
      </c>
      <c r="C1253" s="2" t="str">
        <f>IFERROR(__xludf.DUMMYFUNCTION("""COMPUTED_VALUE"""),"Raras")</f>
        <v>Raras</v>
      </c>
      <c r="D1253" s="2" t="str">
        <f>IFERROR(__xludf.DUMMYFUNCTION("""COMPUTED_VALUE"""),"5KM OVERALL F")</f>
        <v>5KM OVERALL F</v>
      </c>
      <c r="E1253" s="1">
        <f>IFERROR(__xludf.DUMMYFUNCTION("""COMPUTED_VALUE"""),325.0)</f>
        <v>325</v>
      </c>
      <c r="F1253" s="1" t="str">
        <f>IFERROR(__xludf.DUMMYFUNCTION("""COMPUTED_VALUE"""),"Female")</f>
        <v>Female</v>
      </c>
      <c r="G1253" s="5">
        <f>IFERROR(__xludf.DUMMYFUNCTION("""COMPUTED_VALUE"""),0.008040122685185187)</f>
        <v>0.008040122685</v>
      </c>
      <c r="H1253" s="15">
        <f>IFERROR(__xludf.DUMMYFUNCTION("""COMPUTED_VALUE"""),0.2549440625)</f>
        <v>0.2549440625</v>
      </c>
      <c r="I1253" s="15">
        <f>IFERROR(__xludf.DUMMYFUNCTION("""COMPUTED_VALUE"""),45949.295144678515)</f>
        <v>45949.29514</v>
      </c>
      <c r="J1253" s="15">
        <f>IFERROR(__xludf.DUMMYFUNCTION("""COMPUTED_VALUE"""),45949.040200616015)</f>
        <v>45949.0402</v>
      </c>
      <c r="K1253" s="15">
        <f>IFERROR(__xludf.DUMMYFUNCTION("""COMPUTED_VALUE"""),45949.27957879485)</f>
        <v>45949.27958</v>
      </c>
      <c r="L1253" s="4"/>
    </row>
    <row r="1254">
      <c r="A1254" s="1">
        <f>IFERROR(__xludf.DUMMYFUNCTION("""COMPUTED_VALUE"""),1253.0)</f>
        <v>1253</v>
      </c>
      <c r="B1254" s="1">
        <f>IFERROR(__xludf.DUMMYFUNCTION("""COMPUTED_VALUE"""),5138.0)</f>
        <v>5138</v>
      </c>
      <c r="C1254" s="2" t="str">
        <f>IFERROR(__xludf.DUMMYFUNCTION("""COMPUTED_VALUE"""),"Djokopik")</f>
        <v>Djokopik</v>
      </c>
      <c r="D1254" s="2" t="str">
        <f>IFERROR(__xludf.DUMMYFUNCTION("""COMPUTED_VALUE"""),"5KM OVERALL M")</f>
        <v>5KM OVERALL M</v>
      </c>
      <c r="E1254" s="1">
        <f>IFERROR(__xludf.DUMMYFUNCTION("""COMPUTED_VALUE"""),717.0)</f>
        <v>717</v>
      </c>
      <c r="F1254" s="1" t="str">
        <f>IFERROR(__xludf.DUMMYFUNCTION("""COMPUTED_VALUE"""),"Male")</f>
        <v>Male</v>
      </c>
      <c r="G1254" s="5">
        <f>IFERROR(__xludf.DUMMYFUNCTION("""COMPUTED_VALUE"""),0.008044138888888889)</f>
        <v>0.008044138889</v>
      </c>
      <c r="H1254" s="15">
        <f>IFERROR(__xludf.DUMMYFUNCTION("""COMPUTED_VALUE"""),0.2549440625)</f>
        <v>0.2549440625</v>
      </c>
      <c r="I1254" s="15">
        <f>IFERROR(__xludf.DUMMYFUNCTION("""COMPUTED_VALUE"""),45949.29516476133)</f>
        <v>45949.29516</v>
      </c>
      <c r="J1254" s="15">
        <f>IFERROR(__xludf.DUMMYFUNCTION("""COMPUTED_VALUE"""),45949.04022069883)</f>
        <v>45949.04022</v>
      </c>
      <c r="K1254" s="15">
        <f>IFERROR(__xludf.DUMMYFUNCTION("""COMPUTED_VALUE"""),45949.27956146719)</f>
        <v>45949.27956</v>
      </c>
      <c r="L1254" s="4"/>
    </row>
    <row r="1255">
      <c r="A1255" s="1">
        <f>IFERROR(__xludf.DUMMYFUNCTION("""COMPUTED_VALUE"""),1254.0)</f>
        <v>1254</v>
      </c>
      <c r="B1255" s="1">
        <f>IFERROR(__xludf.DUMMYFUNCTION("""COMPUTED_VALUE"""),5313.0)</f>
        <v>5313</v>
      </c>
      <c r="C1255" s="2" t="str">
        <f>IFERROR(__xludf.DUMMYFUNCTION("""COMPUTED_VALUE"""),"Mayaaa")</f>
        <v>Mayaaa</v>
      </c>
      <c r="D1255" s="2" t="str">
        <f>IFERROR(__xludf.DUMMYFUNCTION("""COMPUTED_VALUE"""),"5KM OVERALL F")</f>
        <v>5KM OVERALL F</v>
      </c>
      <c r="E1255" s="1">
        <f>IFERROR(__xludf.DUMMYFUNCTION("""COMPUTED_VALUE"""),326.0)</f>
        <v>326</v>
      </c>
      <c r="F1255" s="1" t="str">
        <f>IFERROR(__xludf.DUMMYFUNCTION("""COMPUTED_VALUE"""),"Female")</f>
        <v>Female</v>
      </c>
      <c r="G1255" s="5">
        <f>IFERROR(__xludf.DUMMYFUNCTION("""COMPUTED_VALUE"""),0.008053166666666667)</f>
        <v>0.008053166667</v>
      </c>
      <c r="H1255" s="15">
        <f>IFERROR(__xludf.DUMMYFUNCTION("""COMPUTED_VALUE"""),0.2549440625)</f>
        <v>0.2549440625</v>
      </c>
      <c r="I1255" s="15">
        <f>IFERROR(__xludf.DUMMYFUNCTION("""COMPUTED_VALUE"""),45949.29520989873)</f>
        <v>45949.29521</v>
      </c>
      <c r="J1255" s="15">
        <f>IFERROR(__xludf.DUMMYFUNCTION("""COMPUTED_VALUE"""),45949.04026583623)</f>
        <v>45949.04027</v>
      </c>
      <c r="K1255" s="15">
        <f>IFERROR(__xludf.DUMMYFUNCTION("""COMPUTED_VALUE"""),45949.27830100017)</f>
        <v>45949.2783</v>
      </c>
      <c r="L1255" s="4"/>
    </row>
    <row r="1256">
      <c r="A1256" s="1">
        <f>IFERROR(__xludf.DUMMYFUNCTION("""COMPUTED_VALUE"""),1255.0)</f>
        <v>1255</v>
      </c>
      <c r="B1256" s="1">
        <f>IFERROR(__xludf.DUMMYFUNCTION("""COMPUTED_VALUE"""),5403.0)</f>
        <v>5403</v>
      </c>
      <c r="C1256" s="2" t="str">
        <f>IFERROR(__xludf.DUMMYFUNCTION("""COMPUTED_VALUE"""),"chendess")</f>
        <v>chendess</v>
      </c>
      <c r="D1256" s="2" t="str">
        <f>IFERROR(__xludf.DUMMYFUNCTION("""COMPUTED_VALUE"""),"5KM OVERALL F")</f>
        <v>5KM OVERALL F</v>
      </c>
      <c r="E1256" s="1">
        <f>IFERROR(__xludf.DUMMYFUNCTION("""COMPUTED_VALUE"""),327.0)</f>
        <v>327</v>
      </c>
      <c r="F1256" s="1" t="str">
        <f>IFERROR(__xludf.DUMMYFUNCTION("""COMPUTED_VALUE"""),"Female")</f>
        <v>Female</v>
      </c>
      <c r="G1256" s="5">
        <f>IFERROR(__xludf.DUMMYFUNCTION("""COMPUTED_VALUE"""),0.00805603935185185)</f>
        <v>0.008056039352</v>
      </c>
      <c r="H1256" s="15">
        <f>IFERROR(__xludf.DUMMYFUNCTION("""COMPUTED_VALUE"""),0.2549440625)</f>
        <v>0.2549440625</v>
      </c>
      <c r="I1256" s="15">
        <f>IFERROR(__xludf.DUMMYFUNCTION("""COMPUTED_VALUE"""),45949.29522425995)</f>
        <v>45949.29522</v>
      </c>
      <c r="J1256" s="15">
        <f>IFERROR(__xludf.DUMMYFUNCTION("""COMPUTED_VALUE"""),45949.04028019745)</f>
        <v>45949.04028</v>
      </c>
      <c r="K1256" s="15">
        <f>IFERROR(__xludf.DUMMYFUNCTION("""COMPUTED_VALUE"""),45949.279547531194)</f>
        <v>45949.27955</v>
      </c>
      <c r="L1256" s="4"/>
    </row>
    <row r="1257">
      <c r="A1257" s="1">
        <f>IFERROR(__xludf.DUMMYFUNCTION("""COMPUTED_VALUE"""),1256.0)</f>
        <v>1256</v>
      </c>
      <c r="B1257" s="1">
        <f>IFERROR(__xludf.DUMMYFUNCTION("""COMPUTED_VALUE"""),5306.0)</f>
        <v>5306</v>
      </c>
      <c r="C1257" s="2" t="str">
        <f>IFERROR(__xludf.DUMMYFUNCTION("""COMPUTED_VALUE"""),"Adult")</f>
        <v>Adult</v>
      </c>
      <c r="D1257" s="2" t="str">
        <f>IFERROR(__xludf.DUMMYFUNCTION("""COMPUTED_VALUE"""),"5KM OVERALL M")</f>
        <v>5KM OVERALL M</v>
      </c>
      <c r="E1257" s="1">
        <f>IFERROR(__xludf.DUMMYFUNCTION("""COMPUTED_VALUE"""),718.0)</f>
        <v>718</v>
      </c>
      <c r="F1257" s="1" t="str">
        <f>IFERROR(__xludf.DUMMYFUNCTION("""COMPUTED_VALUE"""),"Male")</f>
        <v>Male</v>
      </c>
      <c r="G1257" s="5">
        <f>IFERROR(__xludf.DUMMYFUNCTION("""COMPUTED_VALUE"""),0.008058030092592592)</f>
        <v>0.008058030093</v>
      </c>
      <c r="H1257" s="15">
        <f>IFERROR(__xludf.DUMMYFUNCTION("""COMPUTED_VALUE"""),0.2549440625)</f>
        <v>0.2549440625</v>
      </c>
      <c r="I1257" s="15">
        <f>IFERROR(__xludf.DUMMYFUNCTION("""COMPUTED_VALUE"""),45949.29523420972)</f>
        <v>45949.29523</v>
      </c>
      <c r="J1257" s="15">
        <f>IFERROR(__xludf.DUMMYFUNCTION("""COMPUTED_VALUE"""),45949.04029014722)</f>
        <v>45949.04029</v>
      </c>
      <c r="K1257" s="15">
        <f>IFERROR(__xludf.DUMMYFUNCTION("""COMPUTED_VALUE"""),45949.27831488832)</f>
        <v>45949.27831</v>
      </c>
      <c r="L1257" s="4"/>
    </row>
    <row r="1258">
      <c r="A1258" s="1">
        <f>IFERROR(__xludf.DUMMYFUNCTION("""COMPUTED_VALUE"""),1257.0)</f>
        <v>1257</v>
      </c>
      <c r="B1258" s="1">
        <f>IFERROR(__xludf.DUMMYFUNCTION("""COMPUTED_VALUE"""),5032.0)</f>
        <v>5032</v>
      </c>
      <c r="C1258" s="2" t="str">
        <f>IFERROR(__xludf.DUMMYFUNCTION("""COMPUTED_VALUE"""),"Bunda Sorayya")</f>
        <v>Bunda Sorayya</v>
      </c>
      <c r="D1258" s="2" t="str">
        <f>IFERROR(__xludf.DUMMYFUNCTION("""COMPUTED_VALUE"""),"5KM OVERALL F")</f>
        <v>5KM OVERALL F</v>
      </c>
      <c r="E1258" s="1">
        <f>IFERROR(__xludf.DUMMYFUNCTION("""COMPUTED_VALUE"""),328.0)</f>
        <v>328</v>
      </c>
      <c r="F1258" s="1" t="str">
        <f>IFERROR(__xludf.DUMMYFUNCTION("""COMPUTED_VALUE"""),"Female")</f>
        <v>Female</v>
      </c>
      <c r="G1258" s="5">
        <f>IFERROR(__xludf.DUMMYFUNCTION("""COMPUTED_VALUE"""),0.008058032407407408)</f>
        <v>0.008058032407</v>
      </c>
      <c r="H1258" s="15">
        <f>IFERROR(__xludf.DUMMYFUNCTION("""COMPUTED_VALUE"""),0.2549440625)</f>
        <v>0.2549440625</v>
      </c>
      <c r="I1258" s="15">
        <f>IFERROR(__xludf.DUMMYFUNCTION("""COMPUTED_VALUE"""),45949.29523422133)</f>
        <v>45949.29523</v>
      </c>
      <c r="J1258" s="15">
        <f>IFERROR(__xludf.DUMMYFUNCTION("""COMPUTED_VALUE"""),45949.04029015883)</f>
        <v>45949.04029</v>
      </c>
      <c r="K1258" s="15">
        <f>IFERROR(__xludf.DUMMYFUNCTION("""COMPUTED_VALUE"""),45949.27862739496)</f>
        <v>45949.27863</v>
      </c>
      <c r="L1258" s="4"/>
    </row>
    <row r="1259">
      <c r="A1259" s="1">
        <f>IFERROR(__xludf.DUMMYFUNCTION("""COMPUTED_VALUE"""),1258.0)</f>
        <v>1258</v>
      </c>
      <c r="B1259" s="1">
        <f>IFERROR(__xludf.DUMMYFUNCTION("""COMPUTED_VALUE"""),5214.0)</f>
        <v>5214</v>
      </c>
      <c r="C1259" s="2" t="str">
        <f>IFERROR(__xludf.DUMMYFUNCTION("""COMPUTED_VALUE"""),"Ayah Sorayya")</f>
        <v>Ayah Sorayya</v>
      </c>
      <c r="D1259" s="2" t="str">
        <f>IFERROR(__xludf.DUMMYFUNCTION("""COMPUTED_VALUE"""),"5KM OVERALL M")</f>
        <v>5KM OVERALL M</v>
      </c>
      <c r="E1259" s="1">
        <f>IFERROR(__xludf.DUMMYFUNCTION("""COMPUTED_VALUE"""),719.0)</f>
        <v>719</v>
      </c>
      <c r="F1259" s="1" t="str">
        <f>IFERROR(__xludf.DUMMYFUNCTION("""COMPUTED_VALUE"""),"Male")</f>
        <v>Male</v>
      </c>
      <c r="G1259" s="5">
        <f>IFERROR(__xludf.DUMMYFUNCTION("""COMPUTED_VALUE"""),0.008067055555555555)</f>
        <v>0.008067055556</v>
      </c>
      <c r="H1259" s="15">
        <f>IFERROR(__xludf.DUMMYFUNCTION("""COMPUTED_VALUE"""),0.2549440625)</f>
        <v>0.2549440625</v>
      </c>
      <c r="I1259" s="15">
        <f>IFERROR(__xludf.DUMMYFUNCTION("""COMPUTED_VALUE"""),45949.29527934606)</f>
        <v>45949.29528</v>
      </c>
      <c r="J1259" s="15">
        <f>IFERROR(__xludf.DUMMYFUNCTION("""COMPUTED_VALUE"""),45949.04033528356)</f>
        <v>45949.04034</v>
      </c>
      <c r="K1259" s="15">
        <f>IFERROR(__xludf.DUMMYFUNCTION("""COMPUTED_VALUE"""),45949.27842947375)</f>
        <v>45949.27843</v>
      </c>
      <c r="L1259" s="4"/>
    </row>
    <row r="1260">
      <c r="A1260" s="1">
        <f>IFERROR(__xludf.DUMMYFUNCTION("""COMPUTED_VALUE"""),1259.0)</f>
        <v>1259</v>
      </c>
      <c r="B1260" s="1">
        <f>IFERROR(__xludf.DUMMYFUNCTION("""COMPUTED_VALUE"""),5556.0)</f>
        <v>5556</v>
      </c>
      <c r="C1260" s="2" t="str">
        <f>IFERROR(__xludf.DUMMYFUNCTION("""COMPUTED_VALUE"""),"ARNOL S. SITIO")</f>
        <v>ARNOL S. SITIO</v>
      </c>
      <c r="D1260" s="2" t="str">
        <f>IFERROR(__xludf.DUMMYFUNCTION("""COMPUTED_VALUE"""),"5KM OVERALL M")</f>
        <v>5KM OVERALL M</v>
      </c>
      <c r="E1260" s="1">
        <f>IFERROR(__xludf.DUMMYFUNCTION("""COMPUTED_VALUE"""),720.0)</f>
        <v>720</v>
      </c>
      <c r="F1260" s="1" t="str">
        <f>IFERROR(__xludf.DUMMYFUNCTION("""COMPUTED_VALUE"""),"Male")</f>
        <v>Male</v>
      </c>
      <c r="G1260" s="5">
        <f>IFERROR(__xludf.DUMMYFUNCTION("""COMPUTED_VALUE"""),0.008067060185185184)</f>
        <v>0.008067060185</v>
      </c>
      <c r="H1260" s="15">
        <f>IFERROR(__xludf.DUMMYFUNCTION("""COMPUTED_VALUE"""),0.2549440625)</f>
        <v>0.2549440625</v>
      </c>
      <c r="I1260" s="15">
        <f>IFERROR(__xludf.DUMMYFUNCTION("""COMPUTED_VALUE"""),45949.29527935855)</f>
        <v>45949.29528</v>
      </c>
      <c r="J1260" s="15">
        <f>IFERROR(__xludf.DUMMYFUNCTION("""COMPUTED_VALUE"""),45949.04033529605)</f>
        <v>45949.04034</v>
      </c>
      <c r="K1260" s="15">
        <f>IFERROR(__xludf.DUMMYFUNCTION("""COMPUTED_VALUE"""),45949.27787391047)</f>
        <v>45949.27787</v>
      </c>
      <c r="L1260" s="4"/>
    </row>
    <row r="1261">
      <c r="A1261" s="1">
        <f>IFERROR(__xludf.DUMMYFUNCTION("""COMPUTED_VALUE"""),1260.0)</f>
        <v>1260</v>
      </c>
      <c r="B1261" s="1">
        <f>IFERROR(__xludf.DUMMYFUNCTION("""COMPUTED_VALUE"""),6212.0)</f>
        <v>6212</v>
      </c>
      <c r="C1261" s="2" t="str">
        <f>IFERROR(__xludf.DUMMYFUNCTION("""COMPUTED_VALUE"""),"Haris")</f>
        <v>Haris</v>
      </c>
      <c r="D1261" s="2" t="str">
        <f>IFERROR(__xludf.DUMMYFUNCTION("""COMPUTED_VALUE"""),"5KM OVERALL M")</f>
        <v>5KM OVERALL M</v>
      </c>
      <c r="E1261" s="1">
        <f>IFERROR(__xludf.DUMMYFUNCTION("""COMPUTED_VALUE"""),721.0)</f>
        <v>721</v>
      </c>
      <c r="F1261" s="1" t="str">
        <f>IFERROR(__xludf.DUMMYFUNCTION("""COMPUTED_VALUE"""),"Male")</f>
        <v>Male</v>
      </c>
      <c r="G1261" s="5">
        <f>IFERROR(__xludf.DUMMYFUNCTION("""COMPUTED_VALUE"""),0.008070516203703703)</f>
        <v>0.008070516204</v>
      </c>
      <c r="H1261" s="15">
        <f>IFERROR(__xludf.DUMMYFUNCTION("""COMPUTED_VALUE"""),0.2549440625)</f>
        <v>0.2549440625</v>
      </c>
      <c r="I1261" s="15">
        <f>IFERROR(__xludf.DUMMYFUNCTION("""COMPUTED_VALUE"""),45949.295296644435)</f>
        <v>45949.2953</v>
      </c>
      <c r="J1261" s="15">
        <f>IFERROR(__xludf.DUMMYFUNCTION("""COMPUTED_VALUE"""),45949.040352581935)</f>
        <v>45949.04035</v>
      </c>
      <c r="K1261" s="15">
        <f>IFERROR(__xludf.DUMMYFUNCTION("""COMPUTED_VALUE"""),45949.2774989621)</f>
        <v>45949.2775</v>
      </c>
      <c r="L1261" s="4"/>
    </row>
    <row r="1262">
      <c r="A1262" s="1">
        <f>IFERROR(__xludf.DUMMYFUNCTION("""COMPUTED_VALUE"""),1261.0)</f>
        <v>1261</v>
      </c>
      <c r="B1262" s="1">
        <f>IFERROR(__xludf.DUMMYFUNCTION("""COMPUTED_VALUE"""),5773.0)</f>
        <v>5773</v>
      </c>
      <c r="C1262" s="2" t="str">
        <f>IFERROR(__xludf.DUMMYFUNCTION("""COMPUTED_VALUE"""),"M.JAMALULAIL")</f>
        <v>M.JAMALULAIL</v>
      </c>
      <c r="D1262" s="2" t="str">
        <f>IFERROR(__xludf.DUMMYFUNCTION("""COMPUTED_VALUE"""),"5KM OVERALL M")</f>
        <v>5KM OVERALL M</v>
      </c>
      <c r="E1262" s="1">
        <f>IFERROR(__xludf.DUMMYFUNCTION("""COMPUTED_VALUE"""),722.0)</f>
        <v>722</v>
      </c>
      <c r="F1262" s="1" t="str">
        <f>IFERROR(__xludf.DUMMYFUNCTION("""COMPUTED_VALUE"""),"Male")</f>
        <v>Male</v>
      </c>
      <c r="G1262" s="5">
        <f>IFERROR(__xludf.DUMMYFUNCTION("""COMPUTED_VALUE"""),0.008070518518518519)</f>
        <v>0.008070518519</v>
      </c>
      <c r="H1262" s="15">
        <f>IFERROR(__xludf.DUMMYFUNCTION("""COMPUTED_VALUE"""),0.2549440625)</f>
        <v>0.2549440625</v>
      </c>
      <c r="I1262" s="15">
        <f>IFERROR(__xludf.DUMMYFUNCTION("""COMPUTED_VALUE"""),45949.29529666038)</f>
        <v>45949.2953</v>
      </c>
      <c r="J1262" s="15">
        <f>IFERROR(__xludf.DUMMYFUNCTION("""COMPUTED_VALUE"""),45949.040352597876)</f>
        <v>45949.04035</v>
      </c>
      <c r="K1262" s="15">
        <f>IFERROR(__xludf.DUMMYFUNCTION("""COMPUTED_VALUE"""),45949.27788433802)</f>
        <v>45949.27788</v>
      </c>
      <c r="L1262" s="4"/>
    </row>
    <row r="1263">
      <c r="A1263" s="1">
        <f>IFERROR(__xludf.DUMMYFUNCTION("""COMPUTED_VALUE"""),1262.0)</f>
        <v>1262</v>
      </c>
      <c r="B1263" s="1">
        <f>IFERROR(__xludf.DUMMYFUNCTION("""COMPUTED_VALUE"""),5681.0)</f>
        <v>5681</v>
      </c>
      <c r="C1263" s="2" t="str">
        <f>IFERROR(__xludf.DUMMYFUNCTION("""COMPUTED_VALUE"""),"FARID")</f>
        <v>FARID</v>
      </c>
      <c r="D1263" s="2" t="str">
        <f>IFERROR(__xludf.DUMMYFUNCTION("""COMPUTED_VALUE"""),"5KM OVERALL M")</f>
        <v>5KM OVERALL M</v>
      </c>
      <c r="E1263" s="1">
        <f>IFERROR(__xludf.DUMMYFUNCTION("""COMPUTED_VALUE"""),723.0)</f>
        <v>723</v>
      </c>
      <c r="F1263" s="1" t="str">
        <f>IFERROR(__xludf.DUMMYFUNCTION("""COMPUTED_VALUE"""),"Male")</f>
        <v>Male</v>
      </c>
      <c r="G1263" s="5">
        <f>IFERROR(__xludf.DUMMYFUNCTION("""COMPUTED_VALUE"""),0.00807261111111111)</f>
        <v>0.008072611111</v>
      </c>
      <c r="H1263" s="15">
        <f>IFERROR(__xludf.DUMMYFUNCTION("""COMPUTED_VALUE"""),0.2549440625)</f>
        <v>0.2549440625</v>
      </c>
      <c r="I1263" s="15">
        <f>IFERROR(__xludf.DUMMYFUNCTION("""COMPUTED_VALUE"""),45949.29530711552)</f>
        <v>45949.29531</v>
      </c>
      <c r="J1263" s="15">
        <f>IFERROR(__xludf.DUMMYFUNCTION("""COMPUTED_VALUE"""),45949.04036305302)</f>
        <v>45949.04036</v>
      </c>
      <c r="K1263" s="15">
        <f>IFERROR(__xludf.DUMMYFUNCTION("""COMPUTED_VALUE"""),45949.277863498544)</f>
        <v>45949.27786</v>
      </c>
      <c r="L1263" s="4"/>
    </row>
    <row r="1264">
      <c r="A1264" s="1">
        <f>IFERROR(__xludf.DUMMYFUNCTION("""COMPUTED_VALUE"""),1263.0)</f>
        <v>1263</v>
      </c>
      <c r="B1264" s="1">
        <f>IFERROR(__xludf.DUMMYFUNCTION("""COMPUTED_VALUE"""),5585.0)</f>
        <v>5585</v>
      </c>
      <c r="C1264" s="2" t="str">
        <f>IFERROR(__xludf.DUMMYFUNCTION("""COMPUTED_VALUE"""),"Zae")</f>
        <v>Zae</v>
      </c>
      <c r="D1264" s="2" t="str">
        <f>IFERROR(__xludf.DUMMYFUNCTION("""COMPUTED_VALUE"""),"5KM OVERALL M")</f>
        <v>5KM OVERALL M</v>
      </c>
      <c r="E1264" s="1">
        <f>IFERROR(__xludf.DUMMYFUNCTION("""COMPUTED_VALUE"""),724.0)</f>
        <v>724</v>
      </c>
      <c r="F1264" s="1" t="str">
        <f>IFERROR(__xludf.DUMMYFUNCTION("""COMPUTED_VALUE"""),"Male")</f>
        <v>Male</v>
      </c>
      <c r="G1264" s="5">
        <f>IFERROR(__xludf.DUMMYFUNCTION("""COMPUTED_VALUE"""),0.008074)</f>
        <v>0.008074</v>
      </c>
      <c r="H1264" s="15">
        <f>IFERROR(__xludf.DUMMYFUNCTION("""COMPUTED_VALUE"""),0.2549440625)</f>
        <v>0.2549440625</v>
      </c>
      <c r="I1264" s="15">
        <f>IFERROR(__xludf.DUMMYFUNCTION("""COMPUTED_VALUE"""),45949.29531406423)</f>
        <v>45949.29531</v>
      </c>
      <c r="J1264" s="15">
        <f>IFERROR(__xludf.DUMMYFUNCTION("""COMPUTED_VALUE"""),45949.04037000173)</f>
        <v>45949.04037</v>
      </c>
      <c r="K1264" s="15">
        <f>IFERROR(__xludf.DUMMYFUNCTION("""COMPUTED_VALUE"""),45949.278440547576)</f>
        <v>45949.27844</v>
      </c>
      <c r="L1264" s="4"/>
    </row>
    <row r="1265">
      <c r="A1265" s="1">
        <f>IFERROR(__xludf.DUMMYFUNCTION("""COMPUTED_VALUE"""),1264.0)</f>
        <v>1264</v>
      </c>
      <c r="B1265" s="7" t="str">
        <f>IFERROR(__xludf.DUMMYFUNCTION("""COMPUTED_VALUE"""),"9049")</f>
        <v>9049</v>
      </c>
      <c r="C1265" s="8" t="str">
        <f>IFERROR(__xludf.DUMMYFUNCTION("""COMPUTED_VALUE"""),"Rizki Akbar")</f>
        <v>Rizki Akbar</v>
      </c>
      <c r="D1265" s="2" t="str">
        <f>IFERROR(__xludf.DUMMYFUNCTION("""COMPUTED_VALUE"""),"5KM STUDENT M")</f>
        <v>5KM STUDENT M</v>
      </c>
      <c r="E1265" s="1">
        <f>IFERROR(__xludf.DUMMYFUNCTION("""COMPUTED_VALUE"""),64.0)</f>
        <v>64</v>
      </c>
      <c r="F1265" s="1" t="str">
        <f>IFERROR(__xludf.DUMMYFUNCTION("""COMPUTED_VALUE"""),"Male")</f>
        <v>Male</v>
      </c>
      <c r="G1265" s="5">
        <f>IFERROR(__xludf.DUMMYFUNCTION("""COMPUTED_VALUE"""),0.008076074074074074)</f>
        <v>0.008076074074</v>
      </c>
      <c r="H1265" s="15">
        <f>IFERROR(__xludf.DUMMYFUNCTION("""COMPUTED_VALUE"""),0.2549440625)</f>
        <v>0.2549440625</v>
      </c>
      <c r="I1265" s="15">
        <f>IFERROR(__xludf.DUMMYFUNCTION("""COMPUTED_VALUE"""),45949.29532442775)</f>
        <v>45949.29532</v>
      </c>
      <c r="J1265" s="15">
        <f>IFERROR(__xludf.DUMMYFUNCTION("""COMPUTED_VALUE"""),45949.04038036525)</f>
        <v>45949.04038</v>
      </c>
      <c r="K1265" s="15">
        <f>IFERROR(__xludf.DUMMYFUNCTION("""COMPUTED_VALUE"""),45949.27732183927)</f>
        <v>45949.27732</v>
      </c>
      <c r="L1265" s="4"/>
    </row>
    <row r="1266">
      <c r="A1266" s="1">
        <f>IFERROR(__xludf.DUMMYFUNCTION("""COMPUTED_VALUE"""),1265.0)</f>
        <v>1265</v>
      </c>
      <c r="B1266" s="1">
        <f>IFERROR(__xludf.DUMMYFUNCTION("""COMPUTED_VALUE"""),5264.0)</f>
        <v>5264</v>
      </c>
      <c r="C1266" s="2" t="str">
        <f>IFERROR(__xludf.DUMMYFUNCTION("""COMPUTED_VALUE"""),"DkNa")</f>
        <v>DkNa</v>
      </c>
      <c r="D1266" s="2" t="str">
        <f>IFERROR(__xludf.DUMMYFUNCTION("""COMPUTED_VALUE"""),"5KM OVERALL M")</f>
        <v>5KM OVERALL M</v>
      </c>
      <c r="E1266" s="1">
        <f>IFERROR(__xludf.DUMMYFUNCTION("""COMPUTED_VALUE"""),725.0)</f>
        <v>725</v>
      </c>
      <c r="F1266" s="1" t="str">
        <f>IFERROR(__xludf.DUMMYFUNCTION("""COMPUTED_VALUE"""),"Male")</f>
        <v>Male</v>
      </c>
      <c r="G1266" s="5">
        <f>IFERROR(__xludf.DUMMYFUNCTION("""COMPUTED_VALUE"""),0.008078166666666668)</f>
        <v>0.008078166667</v>
      </c>
      <c r="H1266" s="15">
        <f>IFERROR(__xludf.DUMMYFUNCTION("""COMPUTED_VALUE"""),0.2549440625)</f>
        <v>0.2549440625</v>
      </c>
      <c r="I1266" s="15">
        <f>IFERROR(__xludf.DUMMYFUNCTION("""COMPUTED_VALUE"""),45949.295334891314)</f>
        <v>45949.29533</v>
      </c>
      <c r="J1266" s="15">
        <f>IFERROR(__xludf.DUMMYFUNCTION("""COMPUTED_VALUE"""),45949.04039082881)</f>
        <v>45949.04039</v>
      </c>
      <c r="K1266" s="15">
        <f>IFERROR(__xludf.DUMMYFUNCTION("""COMPUTED_VALUE"""),45949.27775586796)</f>
        <v>45949.27776</v>
      </c>
      <c r="L1266" s="4"/>
    </row>
    <row r="1267">
      <c r="A1267" s="1">
        <f>IFERROR(__xludf.DUMMYFUNCTION("""COMPUTED_VALUE"""),1266.0)</f>
        <v>1266</v>
      </c>
      <c r="B1267" s="1">
        <f>IFERROR(__xludf.DUMMYFUNCTION("""COMPUTED_VALUE"""),5992.0)</f>
        <v>5992</v>
      </c>
      <c r="C1267" s="2" t="str">
        <f>IFERROR(__xludf.DUMMYFUNCTION("""COMPUTED_VALUE"""),"Erik")</f>
        <v>Erik</v>
      </c>
      <c r="D1267" s="2" t="str">
        <f>IFERROR(__xludf.DUMMYFUNCTION("""COMPUTED_VALUE"""),"5KM OVERALL M")</f>
        <v>5KM OVERALL M</v>
      </c>
      <c r="E1267" s="1">
        <f>IFERROR(__xludf.DUMMYFUNCTION("""COMPUTED_VALUE"""),726.0)</f>
        <v>726</v>
      </c>
      <c r="F1267" s="1" t="str">
        <f>IFERROR(__xludf.DUMMYFUNCTION("""COMPUTED_VALUE"""),"Male")</f>
        <v>Male</v>
      </c>
      <c r="G1267" s="5">
        <f>IFERROR(__xludf.DUMMYFUNCTION("""COMPUTED_VALUE"""),0.00807955787037037)</f>
        <v>0.00807955787</v>
      </c>
      <c r="H1267" s="15">
        <f>IFERROR(__xludf.DUMMYFUNCTION("""COMPUTED_VALUE"""),0.2549440625)</f>
        <v>0.2549440625</v>
      </c>
      <c r="I1267" s="15">
        <f>IFERROR(__xludf.DUMMYFUNCTION("""COMPUTED_VALUE"""),45949.295341851976)</f>
        <v>45949.29534</v>
      </c>
      <c r="J1267" s="15">
        <f>IFERROR(__xludf.DUMMYFUNCTION("""COMPUTED_VALUE"""),45949.040397789475)</f>
        <v>45949.0404</v>
      </c>
      <c r="K1267" s="15">
        <f>IFERROR(__xludf.DUMMYFUNCTION("""COMPUTED_VALUE"""),45949.27727670252)</f>
        <v>45949.27728</v>
      </c>
      <c r="L1267" s="4"/>
    </row>
    <row r="1268">
      <c r="A1268" s="1">
        <f>IFERROR(__xludf.DUMMYFUNCTION("""COMPUTED_VALUE"""),1267.0)</f>
        <v>1267</v>
      </c>
      <c r="B1268" s="1">
        <f>IFERROR(__xludf.DUMMYFUNCTION("""COMPUTED_VALUE"""),5817.0)</f>
        <v>5817</v>
      </c>
      <c r="C1268" s="2" t="str">
        <f>IFERROR(__xludf.DUMMYFUNCTION("""COMPUTED_VALUE"""),"Astiana")</f>
        <v>Astiana</v>
      </c>
      <c r="D1268" s="2" t="str">
        <f>IFERROR(__xludf.DUMMYFUNCTION("""COMPUTED_VALUE"""),"5KM OVERALL M")</f>
        <v>5KM OVERALL M</v>
      </c>
      <c r="E1268" s="1">
        <f>IFERROR(__xludf.DUMMYFUNCTION("""COMPUTED_VALUE"""),727.0)</f>
        <v>727</v>
      </c>
      <c r="F1268" s="1" t="str">
        <f>IFERROR(__xludf.DUMMYFUNCTION("""COMPUTED_VALUE"""),"Male")</f>
        <v>Male</v>
      </c>
      <c r="G1268" s="5">
        <f>IFERROR(__xludf.DUMMYFUNCTION("""COMPUTED_VALUE"""),0.00807955787037037)</f>
        <v>0.00807955787</v>
      </c>
      <c r="H1268" s="15">
        <f>IFERROR(__xludf.DUMMYFUNCTION("""COMPUTED_VALUE"""),0.2549440625)</f>
        <v>0.2549440625</v>
      </c>
      <c r="I1268" s="15">
        <f>IFERROR(__xludf.DUMMYFUNCTION("""COMPUTED_VALUE"""),45949.295341851976)</f>
        <v>45949.29534</v>
      </c>
      <c r="J1268" s="15">
        <f>IFERROR(__xludf.DUMMYFUNCTION("""COMPUTED_VALUE"""),45949.040397789475)</f>
        <v>45949.0404</v>
      </c>
      <c r="K1268" s="15">
        <f>IFERROR(__xludf.DUMMYFUNCTION("""COMPUTED_VALUE"""),45949.27698155486)</f>
        <v>45949.27698</v>
      </c>
      <c r="L1268" s="4"/>
    </row>
    <row r="1269">
      <c r="A1269" s="1">
        <f>IFERROR(__xludf.DUMMYFUNCTION("""COMPUTED_VALUE"""),1268.0)</f>
        <v>1268</v>
      </c>
      <c r="B1269" s="1">
        <f>IFERROR(__xludf.DUMMYFUNCTION("""COMPUTED_VALUE"""),5543.0)</f>
        <v>5543</v>
      </c>
      <c r="C1269" s="2" t="str">
        <f>IFERROR(__xludf.DUMMYFUNCTION("""COMPUTED_VALUE"""),"kevineru")</f>
        <v>kevineru</v>
      </c>
      <c r="D1269" s="2" t="str">
        <f>IFERROR(__xludf.DUMMYFUNCTION("""COMPUTED_VALUE"""),"5KM OVERALL M")</f>
        <v>5KM OVERALL M</v>
      </c>
      <c r="E1269" s="1">
        <f>IFERROR(__xludf.DUMMYFUNCTION("""COMPUTED_VALUE"""),728.0)</f>
        <v>728</v>
      </c>
      <c r="F1269" s="1" t="str">
        <f>IFERROR(__xludf.DUMMYFUNCTION("""COMPUTED_VALUE"""),"Male")</f>
        <v>Male</v>
      </c>
      <c r="G1269" s="5">
        <f>IFERROR(__xludf.DUMMYFUNCTION("""COMPUTED_VALUE"""),0.008088583333333333)</f>
        <v>0.008088583333</v>
      </c>
      <c r="H1269" s="15">
        <f>IFERROR(__xludf.DUMMYFUNCTION("""COMPUTED_VALUE"""),0.2549440625)</f>
        <v>0.2549440625</v>
      </c>
      <c r="I1269" s="15">
        <f>IFERROR(__xludf.DUMMYFUNCTION("""COMPUTED_VALUE"""),45949.29538698322)</f>
        <v>45949.29539</v>
      </c>
      <c r="J1269" s="15">
        <f>IFERROR(__xludf.DUMMYFUNCTION("""COMPUTED_VALUE"""),45949.04044292072)</f>
        <v>45949.04044</v>
      </c>
      <c r="K1269" s="15">
        <f>IFERROR(__xludf.DUMMYFUNCTION("""COMPUTED_VALUE"""),45949.27881489306)</f>
        <v>45949.27881</v>
      </c>
      <c r="L1269" s="4"/>
    </row>
    <row r="1270">
      <c r="A1270" s="1">
        <f>IFERROR(__xludf.DUMMYFUNCTION("""COMPUTED_VALUE"""),1269.0)</f>
        <v>1269</v>
      </c>
      <c r="B1270" s="1">
        <f>IFERROR(__xludf.DUMMYFUNCTION("""COMPUTED_VALUE"""),6428.0)</f>
        <v>6428</v>
      </c>
      <c r="C1270" s="2" t="str">
        <f>IFERROR(__xludf.DUMMYFUNCTION("""COMPUTED_VALUE"""),"ALPINISIA PUTRI PIKARA")</f>
        <v>ALPINISIA PUTRI PIKARA</v>
      </c>
      <c r="D1270" s="2" t="str">
        <f>IFERROR(__xludf.DUMMYFUNCTION("""COMPUTED_VALUE"""),"5KM OVERALL F")</f>
        <v>5KM OVERALL F</v>
      </c>
      <c r="E1270" s="1">
        <f>IFERROR(__xludf.DUMMYFUNCTION("""COMPUTED_VALUE"""),329.0)</f>
        <v>329</v>
      </c>
      <c r="F1270" s="1" t="str">
        <f>IFERROR(__xludf.DUMMYFUNCTION("""COMPUTED_VALUE"""),"Female")</f>
        <v>Female</v>
      </c>
      <c r="G1270" s="5">
        <f>IFERROR(__xludf.DUMMYFUNCTION("""COMPUTED_VALUE"""),0.008088587962962964)</f>
        <v>0.008088587963</v>
      </c>
      <c r="H1270" s="15">
        <f>IFERROR(__xludf.DUMMYFUNCTION("""COMPUTED_VALUE"""),0.2549440625)</f>
        <v>0.2549440625</v>
      </c>
      <c r="I1270" s="15">
        <f>IFERROR(__xludf.DUMMYFUNCTION("""COMPUTED_VALUE"""),45949.29538699685)</f>
        <v>45949.29539</v>
      </c>
      <c r="J1270" s="15">
        <f>IFERROR(__xludf.DUMMYFUNCTION("""COMPUTED_VALUE"""),45949.04044293435)</f>
        <v>45949.04044</v>
      </c>
      <c r="K1270" s="15">
        <f>IFERROR(__xludf.DUMMYFUNCTION("""COMPUTED_VALUE"""),45949.27778711843)</f>
        <v>45949.27779</v>
      </c>
      <c r="L1270" s="4"/>
    </row>
    <row r="1271">
      <c r="A1271" s="1">
        <f>IFERROR(__xludf.DUMMYFUNCTION("""COMPUTED_VALUE"""),1270.0)</f>
        <v>1270</v>
      </c>
      <c r="B1271" s="1">
        <f>IFERROR(__xludf.DUMMYFUNCTION("""COMPUTED_VALUE"""),7108.0)</f>
        <v>7108</v>
      </c>
      <c r="C1271" s="2" t="str">
        <f>IFERROR(__xludf.DUMMYFUNCTION("""COMPUTED_VALUE"""),"Sofia24")</f>
        <v>Sofia24</v>
      </c>
      <c r="D1271" s="2" t="str">
        <f>IFERROR(__xludf.DUMMYFUNCTION("""COMPUTED_VALUE"""),"5KM MASTER F")</f>
        <v>5KM MASTER F</v>
      </c>
      <c r="E1271" s="1">
        <f>IFERROR(__xludf.DUMMYFUNCTION("""COMPUTED_VALUE"""),49.0)</f>
        <v>49</v>
      </c>
      <c r="F1271" s="1" t="str">
        <f>IFERROR(__xludf.DUMMYFUNCTION("""COMPUTED_VALUE"""),"Female")</f>
        <v>Female</v>
      </c>
      <c r="G1271" s="5">
        <f>IFERROR(__xludf.DUMMYFUNCTION("""COMPUTED_VALUE"""),0.008090668981481482)</f>
        <v>0.008090668981</v>
      </c>
      <c r="H1271" s="15">
        <f>IFERROR(__xludf.DUMMYFUNCTION("""COMPUTED_VALUE"""),0.2549440625)</f>
        <v>0.2549440625</v>
      </c>
      <c r="I1271" s="15">
        <f>IFERROR(__xludf.DUMMYFUNCTION("""COMPUTED_VALUE"""),45949.29539740752)</f>
        <v>45949.2954</v>
      </c>
      <c r="J1271" s="15">
        <f>IFERROR(__xludf.DUMMYFUNCTION("""COMPUTED_VALUE"""),45949.04045334502)</f>
        <v>45949.04045</v>
      </c>
      <c r="K1271" s="15">
        <f>IFERROR(__xludf.DUMMYFUNCTION("""COMPUTED_VALUE"""),45949.277794051115)</f>
        <v>45949.27779</v>
      </c>
      <c r="L1271" s="4"/>
    </row>
    <row r="1272">
      <c r="A1272" s="1">
        <f>IFERROR(__xludf.DUMMYFUNCTION("""COMPUTED_VALUE"""),1271.0)</f>
        <v>1271</v>
      </c>
      <c r="B1272" s="1">
        <f>IFERROR(__xludf.DUMMYFUNCTION("""COMPUTED_VALUE"""),5537.0)</f>
        <v>5537</v>
      </c>
      <c r="C1272" s="2" t="str">
        <f>IFERROR(__xludf.DUMMYFUNCTION("""COMPUTED_VALUE"""),"Fadhilla Meiliza")</f>
        <v>Fadhilla Meiliza</v>
      </c>
      <c r="D1272" s="2" t="str">
        <f>IFERROR(__xludf.DUMMYFUNCTION("""COMPUTED_VALUE"""),"5KM OVERALL F")</f>
        <v>5KM OVERALL F</v>
      </c>
      <c r="E1272" s="1">
        <f>IFERROR(__xludf.DUMMYFUNCTION("""COMPUTED_VALUE"""),330.0)</f>
        <v>330</v>
      </c>
      <c r="F1272" s="1" t="str">
        <f>IFERROR(__xludf.DUMMYFUNCTION("""COMPUTED_VALUE"""),"Female")</f>
        <v>Female</v>
      </c>
      <c r="G1272" s="5">
        <f>IFERROR(__xludf.DUMMYFUNCTION("""COMPUTED_VALUE"""),0.008096224537037037)</f>
        <v>0.008096224537</v>
      </c>
      <c r="H1272" s="15">
        <f>IFERROR(__xludf.DUMMYFUNCTION("""COMPUTED_VALUE"""),0.2549440625)</f>
        <v>0.2549440625</v>
      </c>
      <c r="I1272" s="15">
        <f>IFERROR(__xludf.DUMMYFUNCTION("""COMPUTED_VALUE"""),45949.295425188015)</f>
        <v>45949.29543</v>
      </c>
      <c r="J1272" s="15">
        <f>IFERROR(__xludf.DUMMYFUNCTION("""COMPUTED_VALUE"""),45949.040481125514)</f>
        <v>45949.04048</v>
      </c>
      <c r="K1272" s="15">
        <f>IFERROR(__xludf.DUMMYFUNCTION("""COMPUTED_VALUE"""),45949.27884961482)</f>
        <v>45949.27885</v>
      </c>
      <c r="L1272" s="4"/>
    </row>
    <row r="1273">
      <c r="A1273" s="1">
        <f>IFERROR(__xludf.DUMMYFUNCTION("""COMPUTED_VALUE"""),1272.0)</f>
        <v>1272</v>
      </c>
      <c r="B1273" s="1">
        <f>IFERROR(__xludf.DUMMYFUNCTION("""COMPUTED_VALUE"""),5256.0)</f>
        <v>5256</v>
      </c>
      <c r="C1273" s="2" t="str">
        <f>IFERROR(__xludf.DUMMYFUNCTION("""COMPUTED_VALUE"""),"Ria Puspita")</f>
        <v>Ria Puspita</v>
      </c>
      <c r="D1273" s="2" t="str">
        <f>IFERROR(__xludf.DUMMYFUNCTION("""COMPUTED_VALUE"""),"5KM OVERALL F")</f>
        <v>5KM OVERALL F</v>
      </c>
      <c r="E1273" s="1">
        <f>IFERROR(__xludf.DUMMYFUNCTION("""COMPUTED_VALUE"""),331.0)</f>
        <v>331</v>
      </c>
      <c r="F1273" s="1" t="str">
        <f>IFERROR(__xludf.DUMMYFUNCTION("""COMPUTED_VALUE"""),"Female")</f>
        <v>Female</v>
      </c>
      <c r="G1273" s="5">
        <f>IFERROR(__xludf.DUMMYFUNCTION("""COMPUTED_VALUE"""),0.008109416666666666)</f>
        <v>0.008109416667</v>
      </c>
      <c r="H1273" s="15">
        <f>IFERROR(__xludf.DUMMYFUNCTION("""COMPUTED_VALUE"""),0.2549440625)</f>
        <v>0.2549440625</v>
      </c>
      <c r="I1273" s="15">
        <f>IFERROR(__xludf.DUMMYFUNCTION("""COMPUTED_VALUE"""),45949.295491148936)</f>
        <v>45949.29549</v>
      </c>
      <c r="J1273" s="15">
        <f>IFERROR(__xludf.DUMMYFUNCTION("""COMPUTED_VALUE"""),45949.040547086435)</f>
        <v>45949.04055</v>
      </c>
      <c r="K1273" s="15">
        <f>IFERROR(__xludf.DUMMYFUNCTION("""COMPUTED_VALUE"""),45949.27821767297)</f>
        <v>45949.27822</v>
      </c>
      <c r="L1273" s="4"/>
    </row>
    <row r="1274">
      <c r="A1274" s="1">
        <f>IFERROR(__xludf.DUMMYFUNCTION("""COMPUTED_VALUE"""),1273.0)</f>
        <v>1273</v>
      </c>
      <c r="B1274" s="1">
        <f>IFERROR(__xludf.DUMMYFUNCTION("""COMPUTED_VALUE"""),5573.0)</f>
        <v>5573</v>
      </c>
      <c r="C1274" s="2" t="str">
        <f>IFERROR(__xludf.DUMMYFUNCTION("""COMPUTED_VALUE"""),"AndReaPutri")</f>
        <v>AndReaPutri</v>
      </c>
      <c r="D1274" s="2" t="str">
        <f>IFERROR(__xludf.DUMMYFUNCTION("""COMPUTED_VALUE"""),"5KM OVERALL F")</f>
        <v>5KM OVERALL F</v>
      </c>
      <c r="E1274" s="1">
        <f>IFERROR(__xludf.DUMMYFUNCTION("""COMPUTED_VALUE"""),332.0)</f>
        <v>332</v>
      </c>
      <c r="F1274" s="1" t="str">
        <f>IFERROR(__xludf.DUMMYFUNCTION("""COMPUTED_VALUE"""),"Female")</f>
        <v>Female</v>
      </c>
      <c r="G1274" s="5">
        <f>IFERROR(__xludf.DUMMYFUNCTION("""COMPUTED_VALUE"""),0.008112888888888888)</f>
        <v>0.008112888889</v>
      </c>
      <c r="H1274" s="15">
        <f>IFERROR(__xludf.DUMMYFUNCTION("""COMPUTED_VALUE"""),0.2549440625)</f>
        <v>0.2549440625</v>
      </c>
      <c r="I1274" s="15">
        <f>IFERROR(__xludf.DUMMYFUNCTION("""COMPUTED_VALUE"""),45949.29550850593)</f>
        <v>45949.29551</v>
      </c>
      <c r="J1274" s="15">
        <f>IFERROR(__xludf.DUMMYFUNCTION("""COMPUTED_VALUE"""),45949.04056444343)</f>
        <v>45949.04056</v>
      </c>
      <c r="K1274" s="15">
        <f>IFERROR(__xludf.DUMMYFUNCTION("""COMPUTED_VALUE"""),45949.27829059872)</f>
        <v>45949.27829</v>
      </c>
      <c r="L1274" s="4"/>
    </row>
    <row r="1275">
      <c r="A1275" s="1">
        <f>IFERROR(__xludf.DUMMYFUNCTION("""COMPUTED_VALUE"""),1274.0)</f>
        <v>1274</v>
      </c>
      <c r="B1275" s="1">
        <f>IFERROR(__xludf.DUMMYFUNCTION("""COMPUTED_VALUE"""),5357.0)</f>
        <v>5357</v>
      </c>
      <c r="C1275" s="2" t="str">
        <f>IFERROR(__xludf.DUMMYFUNCTION("""COMPUTED_VALUE"""),"aaajeee")</f>
        <v>aaajeee</v>
      </c>
      <c r="D1275" s="2" t="str">
        <f>IFERROR(__xludf.DUMMYFUNCTION("""COMPUTED_VALUE"""),"5KM OVERALL M")</f>
        <v>5KM OVERALL M</v>
      </c>
      <c r="E1275" s="1">
        <f>IFERROR(__xludf.DUMMYFUNCTION("""COMPUTED_VALUE"""),729.0)</f>
        <v>729</v>
      </c>
      <c r="F1275" s="1" t="str">
        <f>IFERROR(__xludf.DUMMYFUNCTION("""COMPUTED_VALUE"""),"Male")</f>
        <v>Male</v>
      </c>
      <c r="G1275" s="5">
        <f>IFERROR(__xludf.DUMMYFUNCTION("""COMPUTED_VALUE"""),0.008117752314814815)</f>
        <v>0.008117752315</v>
      </c>
      <c r="H1275" s="15">
        <f>IFERROR(__xludf.DUMMYFUNCTION("""COMPUTED_VALUE"""),0.2549440625)</f>
        <v>0.2549440625</v>
      </c>
      <c r="I1275" s="15">
        <f>IFERROR(__xludf.DUMMYFUNCTION("""COMPUTED_VALUE"""),45949.29553282629)</f>
        <v>45949.29553</v>
      </c>
      <c r="J1275" s="15">
        <f>IFERROR(__xludf.DUMMYFUNCTION("""COMPUTED_VALUE"""),45949.04058876379)</f>
        <v>45949.04059</v>
      </c>
      <c r="K1275" s="15">
        <f>IFERROR(__xludf.DUMMYFUNCTION("""COMPUTED_VALUE"""),45949.2788774423)</f>
        <v>45949.27888</v>
      </c>
      <c r="L1275" s="4"/>
    </row>
    <row r="1276">
      <c r="A1276" s="1">
        <f>IFERROR(__xludf.DUMMYFUNCTION("""COMPUTED_VALUE"""),1275.0)</f>
        <v>1275</v>
      </c>
      <c r="B1276" s="1">
        <f>IFERROR(__xludf.DUMMYFUNCTION("""COMPUTED_VALUE"""),5195.0)</f>
        <v>5195</v>
      </c>
      <c r="C1276" s="2" t="str">
        <f>IFERROR(__xludf.DUMMYFUNCTION("""COMPUTED_VALUE"""),"Andi")</f>
        <v>Andi</v>
      </c>
      <c r="D1276" s="2" t="str">
        <f>IFERROR(__xludf.DUMMYFUNCTION("""COMPUTED_VALUE"""),"5KM OVERALL M")</f>
        <v>5KM OVERALL M</v>
      </c>
      <c r="E1276" s="1">
        <f>IFERROR(__xludf.DUMMYFUNCTION("""COMPUTED_VALUE"""),730.0)</f>
        <v>730</v>
      </c>
      <c r="F1276" s="1" t="str">
        <f>IFERROR(__xludf.DUMMYFUNCTION("""COMPUTED_VALUE"""),"Male")</f>
        <v>Male</v>
      </c>
      <c r="G1276" s="5">
        <f>IFERROR(__xludf.DUMMYFUNCTION("""COMPUTED_VALUE"""),0.008124694444444445)</f>
        <v>0.008124694444</v>
      </c>
      <c r="H1276" s="15">
        <f>IFERROR(__xludf.DUMMYFUNCTION("""COMPUTED_VALUE"""),0.2549440625)</f>
        <v>0.2549440625</v>
      </c>
      <c r="I1276" s="15">
        <f>IFERROR(__xludf.DUMMYFUNCTION("""COMPUTED_VALUE"""),45949.29556753856)</f>
        <v>45949.29557</v>
      </c>
      <c r="J1276" s="15">
        <f>IFERROR(__xludf.DUMMYFUNCTION("""COMPUTED_VALUE"""),45949.04062347606)</f>
        <v>45949.04062</v>
      </c>
      <c r="K1276" s="15">
        <f>IFERROR(__xludf.DUMMYFUNCTION("""COMPUTED_VALUE"""),45949.2787628121)</f>
        <v>45949.27876</v>
      </c>
      <c r="L1276" s="4"/>
    </row>
    <row r="1277">
      <c r="A1277" s="1">
        <f>IFERROR(__xludf.DUMMYFUNCTION("""COMPUTED_VALUE"""),1276.0)</f>
        <v>1276</v>
      </c>
      <c r="B1277" s="1">
        <f>IFERROR(__xludf.DUMMYFUNCTION("""COMPUTED_VALUE"""),6150.0)</f>
        <v>6150</v>
      </c>
      <c r="C1277" s="2" t="str">
        <f>IFERROR(__xludf.DUMMYFUNCTION("""COMPUTED_VALUE"""),"Laily Aryani")</f>
        <v>Laily Aryani</v>
      </c>
      <c r="D1277" s="2" t="str">
        <f>IFERROR(__xludf.DUMMYFUNCTION("""COMPUTED_VALUE"""),"5KM OVERALL F")</f>
        <v>5KM OVERALL F</v>
      </c>
      <c r="E1277" s="1">
        <f>IFERROR(__xludf.DUMMYFUNCTION("""COMPUTED_VALUE"""),333.0)</f>
        <v>333</v>
      </c>
      <c r="F1277" s="1" t="str">
        <f>IFERROR(__xludf.DUMMYFUNCTION("""COMPUTED_VALUE"""),"Female")</f>
        <v>Female</v>
      </c>
      <c r="G1277" s="5">
        <f>IFERROR(__xludf.DUMMYFUNCTION("""COMPUTED_VALUE"""),0.008137194444444443)</f>
        <v>0.008137194444</v>
      </c>
      <c r="H1277" s="15">
        <f>IFERROR(__xludf.DUMMYFUNCTION("""COMPUTED_VALUE"""),0.2549440625)</f>
        <v>0.2549440625</v>
      </c>
      <c r="I1277" s="15">
        <f>IFERROR(__xludf.DUMMYFUNCTION("""COMPUTED_VALUE"""),45949.29563003947)</f>
        <v>45949.29563</v>
      </c>
      <c r="J1277" s="15">
        <f>IFERROR(__xludf.DUMMYFUNCTION("""COMPUTED_VALUE"""),45949.04068597697)</f>
        <v>45949.04069</v>
      </c>
      <c r="K1277" s="15">
        <f>IFERROR(__xludf.DUMMYFUNCTION("""COMPUTED_VALUE"""),45949.277842679025)</f>
        <v>45949.27784</v>
      </c>
      <c r="L1277" s="4"/>
    </row>
    <row r="1278">
      <c r="A1278" s="1">
        <f>IFERROR(__xludf.DUMMYFUNCTION("""COMPUTED_VALUE"""),1277.0)</f>
        <v>1277</v>
      </c>
      <c r="B1278" s="1">
        <f>IFERROR(__xludf.DUMMYFUNCTION("""COMPUTED_VALUE"""),5763.0)</f>
        <v>5763</v>
      </c>
      <c r="C1278" s="2" t="str">
        <f>IFERROR(__xludf.DUMMYFUNCTION("""COMPUTED_VALUE"""),"Kolfi H.")</f>
        <v>Kolfi H.</v>
      </c>
      <c r="D1278" s="2" t="str">
        <f>IFERROR(__xludf.DUMMYFUNCTION("""COMPUTED_VALUE"""),"5KM OVERALL M")</f>
        <v>5KM OVERALL M</v>
      </c>
      <c r="E1278" s="1">
        <f>IFERROR(__xludf.DUMMYFUNCTION("""COMPUTED_VALUE"""),731.0)</f>
        <v>731</v>
      </c>
      <c r="F1278" s="1" t="str">
        <f>IFERROR(__xludf.DUMMYFUNCTION("""COMPUTED_VALUE"""),"Male")</f>
        <v>Male</v>
      </c>
      <c r="G1278" s="5">
        <f>IFERROR(__xludf.DUMMYFUNCTION("""COMPUTED_VALUE"""),0.008142113425925926)</f>
        <v>0.008142113426</v>
      </c>
      <c r="H1278" s="15">
        <f>IFERROR(__xludf.DUMMYFUNCTION("""COMPUTED_VALUE"""),0.2549440625)</f>
        <v>0.2549440625</v>
      </c>
      <c r="I1278" s="15">
        <f>IFERROR(__xludf.DUMMYFUNCTION("""COMPUTED_VALUE"""),45949.295654630565)</f>
        <v>45949.29565</v>
      </c>
      <c r="J1278" s="15">
        <f>IFERROR(__xludf.DUMMYFUNCTION("""COMPUTED_VALUE"""),45949.040710568064)</f>
        <v>45949.04071</v>
      </c>
      <c r="K1278" s="15">
        <f>IFERROR(__xludf.DUMMYFUNCTION("""COMPUTED_VALUE"""),45949.27811697985)</f>
        <v>45949.27812</v>
      </c>
      <c r="L1278" s="4"/>
    </row>
    <row r="1279">
      <c r="A1279" s="1">
        <f>IFERROR(__xludf.DUMMYFUNCTION("""COMPUTED_VALUE"""),1278.0)</f>
        <v>1278</v>
      </c>
      <c r="B1279" s="1">
        <f>IFERROR(__xludf.DUMMYFUNCTION("""COMPUTED_VALUE"""),5664.0)</f>
        <v>5664</v>
      </c>
      <c r="C1279" s="2" t="str">
        <f>IFERROR(__xludf.DUMMYFUNCTION("""COMPUTED_VALUE"""),"lia")</f>
        <v>lia</v>
      </c>
      <c r="D1279" s="2" t="str">
        <f>IFERROR(__xludf.DUMMYFUNCTION("""COMPUTED_VALUE"""),"5KM OVERALL F")</f>
        <v>5KM OVERALL F</v>
      </c>
      <c r="E1279" s="1">
        <f>IFERROR(__xludf.DUMMYFUNCTION("""COMPUTED_VALUE"""),334.0)</f>
        <v>334</v>
      </c>
      <c r="F1279" s="1" t="str">
        <f>IFERROR(__xludf.DUMMYFUNCTION("""COMPUTED_VALUE"""),"Female")</f>
        <v>Female</v>
      </c>
      <c r="G1279" s="5">
        <f>IFERROR(__xludf.DUMMYFUNCTION("""COMPUTED_VALUE"""),0.008145597222222222)</f>
        <v>0.008145597222</v>
      </c>
      <c r="H1279" s="15">
        <f>IFERROR(__xludf.DUMMYFUNCTION("""COMPUTED_VALUE"""),0.2549440625)</f>
        <v>0.2549440625</v>
      </c>
      <c r="I1279" s="15">
        <f>IFERROR(__xludf.DUMMYFUNCTION("""COMPUTED_VALUE"""),45949.2956720503)</f>
        <v>45949.29567</v>
      </c>
      <c r="J1279" s="15">
        <f>IFERROR(__xludf.DUMMYFUNCTION("""COMPUTED_VALUE"""),45949.0407279878)</f>
        <v>45949.04073</v>
      </c>
      <c r="K1279" s="15">
        <f>IFERROR(__xludf.DUMMYFUNCTION("""COMPUTED_VALUE"""),45949.27817599256)</f>
        <v>45949.27818</v>
      </c>
      <c r="L1279" s="4"/>
    </row>
    <row r="1280">
      <c r="A1280" s="1">
        <f>IFERROR(__xludf.DUMMYFUNCTION("""COMPUTED_VALUE"""),1279.0)</f>
        <v>1279</v>
      </c>
      <c r="B1280" s="1">
        <f>IFERROR(__xludf.DUMMYFUNCTION("""COMPUTED_VALUE"""),6301.0)</f>
        <v>6301</v>
      </c>
      <c r="C1280" s="2" t="str">
        <f>IFERROR(__xludf.DUMMYFUNCTION("""COMPUTED_VALUE"""),"MAY")</f>
        <v>MAY</v>
      </c>
      <c r="D1280" s="2" t="str">
        <f>IFERROR(__xludf.DUMMYFUNCTION("""COMPUTED_VALUE"""),"5KM OVERALL F")</f>
        <v>5KM OVERALL F</v>
      </c>
      <c r="E1280" s="1">
        <f>IFERROR(__xludf.DUMMYFUNCTION("""COMPUTED_VALUE"""),335.0)</f>
        <v>335</v>
      </c>
      <c r="F1280" s="1" t="str">
        <f>IFERROR(__xludf.DUMMYFUNCTION("""COMPUTED_VALUE"""),"Female")</f>
        <v>Female</v>
      </c>
      <c r="G1280" s="5">
        <f>IFERROR(__xludf.DUMMYFUNCTION("""COMPUTED_VALUE"""),0.008160113425925927)</f>
        <v>0.008160113426</v>
      </c>
      <c r="H1280" s="15">
        <f>IFERROR(__xludf.DUMMYFUNCTION("""COMPUTED_VALUE"""),0.2549440625)</f>
        <v>0.2549440625</v>
      </c>
      <c r="I1280" s="15">
        <f>IFERROR(__xludf.DUMMYFUNCTION("""COMPUTED_VALUE"""),45949.29574463393)</f>
        <v>45949.29574</v>
      </c>
      <c r="J1280" s="15">
        <f>IFERROR(__xludf.DUMMYFUNCTION("""COMPUTED_VALUE"""),45949.04080057143)</f>
        <v>45949.0408</v>
      </c>
      <c r="K1280" s="15">
        <f>IFERROR(__xludf.DUMMYFUNCTION("""COMPUTED_VALUE"""),45949.27915171418)</f>
        <v>45949.27915</v>
      </c>
      <c r="L1280" s="4"/>
    </row>
    <row r="1281">
      <c r="A1281" s="1">
        <f>IFERROR(__xludf.DUMMYFUNCTION("""COMPUTED_VALUE"""),1280.0)</f>
        <v>1280</v>
      </c>
      <c r="B1281" s="1">
        <f>IFERROR(__xludf.DUMMYFUNCTION("""COMPUTED_VALUE"""),6104.0)</f>
        <v>6104</v>
      </c>
      <c r="C1281" s="2" t="str">
        <f>IFERROR(__xludf.DUMMYFUNCTION("""COMPUTED_VALUE"""),"Reny")</f>
        <v>Reny</v>
      </c>
      <c r="D1281" s="2" t="str">
        <f>IFERROR(__xludf.DUMMYFUNCTION("""COMPUTED_VALUE"""),"5KM OVERALL F")</f>
        <v>5KM OVERALL F</v>
      </c>
      <c r="E1281" s="1">
        <f>IFERROR(__xludf.DUMMYFUNCTION("""COMPUTED_VALUE"""),336.0)</f>
        <v>336</v>
      </c>
      <c r="F1281" s="1" t="str">
        <f>IFERROR(__xludf.DUMMYFUNCTION("""COMPUTED_VALUE"""),"Female")</f>
        <v>Female</v>
      </c>
      <c r="G1281" s="5">
        <f>IFERROR(__xludf.DUMMYFUNCTION("""COMPUTED_VALUE"""),0.008162194444444446)</f>
        <v>0.008162194444</v>
      </c>
      <c r="H1281" s="15">
        <f>IFERROR(__xludf.DUMMYFUNCTION("""COMPUTED_VALUE"""),0.2549440625)</f>
        <v>0.2549440625</v>
      </c>
      <c r="I1281" s="15">
        <f>IFERROR(__xludf.DUMMYFUNCTION("""COMPUTED_VALUE"""),45949.29575503605)</f>
        <v>45949.29576</v>
      </c>
      <c r="J1281" s="15">
        <f>IFERROR(__xludf.DUMMYFUNCTION("""COMPUTED_VALUE"""),45949.04081097355)</f>
        <v>45949.04081</v>
      </c>
      <c r="K1281" s="15">
        <f>IFERROR(__xludf.DUMMYFUNCTION("""COMPUTED_VALUE"""),45949.27915169114)</f>
        <v>45949.27915</v>
      </c>
      <c r="L1281" s="4"/>
    </row>
    <row r="1282">
      <c r="A1282" s="1">
        <f>IFERROR(__xludf.DUMMYFUNCTION("""COMPUTED_VALUE"""),1281.0)</f>
        <v>1281</v>
      </c>
      <c r="B1282" s="1">
        <f>IFERROR(__xludf.DUMMYFUNCTION("""COMPUTED_VALUE"""),6074.0)</f>
        <v>6074</v>
      </c>
      <c r="C1282" s="2" t="str">
        <f>IFERROR(__xludf.DUMMYFUNCTION("""COMPUTED_VALUE"""),"Viona")</f>
        <v>Viona</v>
      </c>
      <c r="D1282" s="2" t="str">
        <f>IFERROR(__xludf.DUMMYFUNCTION("""COMPUTED_VALUE"""),"5KM OVERALL F")</f>
        <v>5KM OVERALL F</v>
      </c>
      <c r="E1282" s="1">
        <f>IFERROR(__xludf.DUMMYFUNCTION("""COMPUTED_VALUE"""),337.0)</f>
        <v>337</v>
      </c>
      <c r="F1282" s="1" t="str">
        <f>IFERROR(__xludf.DUMMYFUNCTION("""COMPUTED_VALUE"""),"Female")</f>
        <v>Female</v>
      </c>
      <c r="G1282" s="5">
        <f>IFERROR(__xludf.DUMMYFUNCTION("""COMPUTED_VALUE"""),0.008165666666666667)</f>
        <v>0.008165666667</v>
      </c>
      <c r="H1282" s="15">
        <f>IFERROR(__xludf.DUMMYFUNCTION("""COMPUTED_VALUE"""),0.2549440625)</f>
        <v>0.2549440625</v>
      </c>
      <c r="I1282" s="15">
        <f>IFERROR(__xludf.DUMMYFUNCTION("""COMPUTED_VALUE"""),45949.29577239824)</f>
        <v>45949.29577</v>
      </c>
      <c r="J1282" s="15">
        <f>IFERROR(__xludf.DUMMYFUNCTION("""COMPUTED_VALUE"""),45949.04082833574)</f>
        <v>45949.04083</v>
      </c>
      <c r="K1282" s="15">
        <f>IFERROR(__xludf.DUMMYFUNCTION("""COMPUTED_VALUE"""),45949.278790650314)</f>
        <v>45949.27879</v>
      </c>
      <c r="L1282" s="4"/>
    </row>
    <row r="1283">
      <c r="A1283" s="1">
        <f>IFERROR(__xludf.DUMMYFUNCTION("""COMPUTED_VALUE"""),1282.0)</f>
        <v>1282</v>
      </c>
      <c r="B1283" s="1">
        <f>IFERROR(__xludf.DUMMYFUNCTION("""COMPUTED_VALUE"""),6075.0)</f>
        <v>6075</v>
      </c>
      <c r="C1283" s="2" t="str">
        <f>IFERROR(__xludf.DUMMYFUNCTION("""COMPUTED_VALUE"""),"gracejoula95@gmail.com")</f>
        <v>gracejoula95@gmail.com</v>
      </c>
      <c r="D1283" s="2" t="str">
        <f>IFERROR(__xludf.DUMMYFUNCTION("""COMPUTED_VALUE"""),"5KM OVERALL F")</f>
        <v>5KM OVERALL F</v>
      </c>
      <c r="E1283" s="1">
        <f>IFERROR(__xludf.DUMMYFUNCTION("""COMPUTED_VALUE"""),338.0)</f>
        <v>338</v>
      </c>
      <c r="F1283" s="1" t="str">
        <f>IFERROR(__xludf.DUMMYFUNCTION("""COMPUTED_VALUE"""),"Female")</f>
        <v>Female</v>
      </c>
      <c r="G1283" s="5">
        <f>IFERROR(__xludf.DUMMYFUNCTION("""COMPUTED_VALUE"""),0.008165668981481482)</f>
        <v>0.008165668981</v>
      </c>
      <c r="H1283" s="15">
        <f>IFERROR(__xludf.DUMMYFUNCTION("""COMPUTED_VALUE"""),0.2549440625)</f>
        <v>0.2549440625</v>
      </c>
      <c r="I1283" s="15">
        <f>IFERROR(__xludf.DUMMYFUNCTION("""COMPUTED_VALUE"""),45949.295772409976)</f>
        <v>45949.29577</v>
      </c>
      <c r="J1283" s="15">
        <f>IFERROR(__xludf.DUMMYFUNCTION("""COMPUTED_VALUE"""),45949.040828347475)</f>
        <v>45949.04083</v>
      </c>
      <c r="K1283" s="15">
        <f>IFERROR(__xludf.DUMMYFUNCTION("""COMPUTED_VALUE"""),45949.27872115643)</f>
        <v>45949.27872</v>
      </c>
      <c r="L1283" s="4"/>
    </row>
    <row r="1284">
      <c r="A1284" s="1">
        <f>IFERROR(__xludf.DUMMYFUNCTION("""COMPUTED_VALUE"""),1283.0)</f>
        <v>1283</v>
      </c>
      <c r="B1284" s="1">
        <f>IFERROR(__xludf.DUMMYFUNCTION("""COMPUTED_VALUE"""),5494.0)</f>
        <v>5494</v>
      </c>
      <c r="C1284" s="2" t="str">
        <f>IFERROR(__xludf.DUMMYFUNCTION("""COMPUTED_VALUE"""),"Resapita")</f>
        <v>Resapita</v>
      </c>
      <c r="D1284" s="2" t="str">
        <f>IFERROR(__xludf.DUMMYFUNCTION("""COMPUTED_VALUE"""),"5KM OVERALL F")</f>
        <v>5KM OVERALL F</v>
      </c>
      <c r="E1284" s="1">
        <f>IFERROR(__xludf.DUMMYFUNCTION("""COMPUTED_VALUE"""),339.0)</f>
        <v>339</v>
      </c>
      <c r="F1284" s="1" t="str">
        <f>IFERROR(__xludf.DUMMYFUNCTION("""COMPUTED_VALUE"""),"Female")</f>
        <v>Female</v>
      </c>
      <c r="G1284" s="5">
        <f>IFERROR(__xludf.DUMMYFUNCTION("""COMPUTED_VALUE"""),0.008179555555555556)</f>
        <v>0.008179555556</v>
      </c>
      <c r="H1284" s="15">
        <f>IFERROR(__xludf.DUMMYFUNCTION("""COMPUTED_VALUE"""),0.2549440625)</f>
        <v>0.2549440625</v>
      </c>
      <c r="I1284" s="15">
        <f>IFERROR(__xludf.DUMMYFUNCTION("""COMPUTED_VALUE"""),45949.29584183926)</f>
        <v>45949.29584</v>
      </c>
      <c r="J1284" s="15">
        <f>IFERROR(__xludf.DUMMYFUNCTION("""COMPUTED_VALUE"""),45949.04089777676)</f>
        <v>45949.0409</v>
      </c>
      <c r="K1284" s="15">
        <f>IFERROR(__xludf.DUMMYFUNCTION("""COMPUTED_VALUE"""),45949.2767454526)</f>
        <v>45949.27675</v>
      </c>
      <c r="L1284" s="4"/>
    </row>
    <row r="1285">
      <c r="A1285" s="1">
        <f>IFERROR(__xludf.DUMMYFUNCTION("""COMPUTED_VALUE"""),1284.0)</f>
        <v>1284</v>
      </c>
      <c r="B1285" s="1">
        <f>IFERROR(__xludf.DUMMYFUNCTION("""COMPUTED_VALUE"""),5547.0)</f>
        <v>5547</v>
      </c>
      <c r="C1285" s="2" t="str">
        <f>IFERROR(__xludf.DUMMYFUNCTION("""COMPUTED_VALUE"""),"Debbi")</f>
        <v>Debbi</v>
      </c>
      <c r="D1285" s="2" t="str">
        <f>IFERROR(__xludf.DUMMYFUNCTION("""COMPUTED_VALUE"""),"5KM OVERALL F")</f>
        <v>5KM OVERALL F</v>
      </c>
      <c r="E1285" s="1">
        <f>IFERROR(__xludf.DUMMYFUNCTION("""COMPUTED_VALUE"""),340.0)</f>
        <v>340</v>
      </c>
      <c r="F1285" s="1" t="str">
        <f>IFERROR(__xludf.DUMMYFUNCTION("""COMPUTED_VALUE"""),"Female")</f>
        <v>Female</v>
      </c>
      <c r="G1285" s="5">
        <f>IFERROR(__xludf.DUMMYFUNCTION("""COMPUTED_VALUE"""),0.008198997685185186)</f>
        <v>0.008198997685</v>
      </c>
      <c r="H1285" s="15">
        <f>IFERROR(__xludf.DUMMYFUNCTION("""COMPUTED_VALUE"""),0.2549440625)</f>
        <v>0.2549440625</v>
      </c>
      <c r="I1285" s="15">
        <f>IFERROR(__xludf.DUMMYFUNCTION("""COMPUTED_VALUE"""),45949.29593905663)</f>
        <v>45949.29594</v>
      </c>
      <c r="J1285" s="15">
        <f>IFERROR(__xludf.DUMMYFUNCTION("""COMPUTED_VALUE"""),45949.04099499413)</f>
        <v>45949.04099</v>
      </c>
      <c r="K1285" s="15">
        <f>IFERROR(__xludf.DUMMYFUNCTION("""COMPUTED_VALUE"""),45949.279731598865)</f>
        <v>45949.27973</v>
      </c>
      <c r="L1285" s="4"/>
    </row>
    <row r="1286">
      <c r="A1286" s="1">
        <f>IFERROR(__xludf.DUMMYFUNCTION("""COMPUTED_VALUE"""),1285.0)</f>
        <v>1285</v>
      </c>
      <c r="B1286" s="1">
        <f>IFERROR(__xludf.DUMMYFUNCTION("""COMPUTED_VALUE"""),5541.0)</f>
        <v>5541</v>
      </c>
      <c r="C1286" s="2" t="str">
        <f>IFERROR(__xludf.DUMMYFUNCTION("""COMPUTED_VALUE"""),"Arya")</f>
        <v>Arya</v>
      </c>
      <c r="D1286" s="2" t="str">
        <f>IFERROR(__xludf.DUMMYFUNCTION("""COMPUTED_VALUE"""),"5KM OVERALL M")</f>
        <v>5KM OVERALL M</v>
      </c>
      <c r="E1286" s="1">
        <f>IFERROR(__xludf.DUMMYFUNCTION("""COMPUTED_VALUE"""),732.0)</f>
        <v>732</v>
      </c>
      <c r="F1286" s="1" t="str">
        <f>IFERROR(__xludf.DUMMYFUNCTION("""COMPUTED_VALUE"""),"Male")</f>
        <v>Male</v>
      </c>
      <c r="G1286" s="5">
        <f>IFERROR(__xludf.DUMMYFUNCTION("""COMPUTED_VALUE"""),0.008203909722222222)</f>
        <v>0.008203909722</v>
      </c>
      <c r="H1286" s="15">
        <f>IFERROR(__xludf.DUMMYFUNCTION("""COMPUTED_VALUE"""),0.2549440625)</f>
        <v>0.2549440625</v>
      </c>
      <c r="I1286" s="15">
        <f>IFERROR(__xludf.DUMMYFUNCTION("""COMPUTED_VALUE"""),45949.29596361257)</f>
        <v>45949.29596</v>
      </c>
      <c r="J1286" s="15">
        <f>IFERROR(__xludf.DUMMYFUNCTION("""COMPUTED_VALUE"""),45949.041019550066)</f>
        <v>45949.04102</v>
      </c>
      <c r="K1286" s="15">
        <f>IFERROR(__xludf.DUMMYFUNCTION("""COMPUTED_VALUE"""),45949.2797002951)</f>
        <v>45949.2797</v>
      </c>
      <c r="L1286" s="4"/>
    </row>
    <row r="1287">
      <c r="A1287" s="1">
        <f>IFERROR(__xludf.DUMMYFUNCTION("""COMPUTED_VALUE"""),1286.0)</f>
        <v>1286</v>
      </c>
      <c r="B1287" s="1">
        <f>IFERROR(__xludf.DUMMYFUNCTION("""COMPUTED_VALUE"""),5850.0)</f>
        <v>5850</v>
      </c>
      <c r="C1287" s="2" t="str">
        <f>IFERROR(__xludf.DUMMYFUNCTION("""COMPUTED_VALUE"""),"Ade Surya")</f>
        <v>Ade Surya</v>
      </c>
      <c r="D1287" s="2" t="str">
        <f>IFERROR(__xludf.DUMMYFUNCTION("""COMPUTED_VALUE"""),"5KM OVERALL M")</f>
        <v>5KM OVERALL M</v>
      </c>
      <c r="E1287" s="1">
        <f>IFERROR(__xludf.DUMMYFUNCTION("""COMPUTED_VALUE"""),733.0)</f>
        <v>733</v>
      </c>
      <c r="F1287" s="1" t="str">
        <f>IFERROR(__xludf.DUMMYFUNCTION("""COMPUTED_VALUE"""),"Male")</f>
        <v>Male</v>
      </c>
      <c r="G1287" s="5">
        <f>IFERROR(__xludf.DUMMYFUNCTION("""COMPUTED_VALUE"""),0.008204555555555555)</f>
        <v>0.008204555556</v>
      </c>
      <c r="H1287" s="15">
        <f>IFERROR(__xludf.DUMMYFUNCTION("""COMPUTED_VALUE"""),0.2549440625)</f>
        <v>0.2549440625</v>
      </c>
      <c r="I1287" s="15">
        <f>IFERROR(__xludf.DUMMYFUNCTION("""COMPUTED_VALUE"""),45949.29596684423)</f>
        <v>45949.29597</v>
      </c>
      <c r="J1287" s="15">
        <f>IFERROR(__xludf.DUMMYFUNCTION("""COMPUTED_VALUE"""),45949.04102278173)</f>
        <v>45949.04102</v>
      </c>
      <c r="K1287" s="15">
        <f>IFERROR(__xludf.DUMMYFUNCTION("""COMPUTED_VALUE"""),45949.27883918516)</f>
        <v>45949.27884</v>
      </c>
      <c r="L1287" s="4"/>
    </row>
    <row r="1288">
      <c r="A1288" s="1">
        <f>IFERROR(__xludf.DUMMYFUNCTION("""COMPUTED_VALUE"""),1287.0)</f>
        <v>1287</v>
      </c>
      <c r="B1288" s="7" t="str">
        <f>IFERROR(__xludf.DUMMYFUNCTION("""COMPUTED_VALUE"""),"9097")</f>
        <v>9097</v>
      </c>
      <c r="C1288" s="8" t="str">
        <f>IFERROR(__xludf.DUMMYFUNCTION("""COMPUTED_VALUE"""),"wulan")</f>
        <v>wulan</v>
      </c>
      <c r="D1288" s="2" t="str">
        <f>IFERROR(__xludf.DUMMYFUNCTION("""COMPUTED_VALUE"""),"5KM STUDENT F")</f>
        <v>5KM STUDENT F</v>
      </c>
      <c r="E1288" s="1">
        <f>IFERROR(__xludf.DUMMYFUNCTION("""COMPUTED_VALUE"""),11.0)</f>
        <v>11</v>
      </c>
      <c r="F1288" s="1" t="str">
        <f>IFERROR(__xludf.DUMMYFUNCTION("""COMPUTED_VALUE"""),"Female")</f>
        <v>Female</v>
      </c>
      <c r="G1288" s="5">
        <f>IFERROR(__xludf.DUMMYFUNCTION("""COMPUTED_VALUE"""),0.008208027777777778)</f>
        <v>0.008208027778</v>
      </c>
      <c r="H1288" s="15">
        <f>IFERROR(__xludf.DUMMYFUNCTION("""COMPUTED_VALUE"""),0.2549440625)</f>
        <v>0.2549440625</v>
      </c>
      <c r="I1288" s="15">
        <f>IFERROR(__xludf.DUMMYFUNCTION("""COMPUTED_VALUE"""),45949.29598419564)</f>
        <v>45949.29598</v>
      </c>
      <c r="J1288" s="15">
        <f>IFERROR(__xludf.DUMMYFUNCTION("""COMPUTED_VALUE"""),45949.04104013314)</f>
        <v>45949.04104</v>
      </c>
      <c r="K1288" s="15">
        <f>IFERROR(__xludf.DUMMYFUNCTION("""COMPUTED_VALUE"""),45949.27786008456)</f>
        <v>45949.27786</v>
      </c>
      <c r="L1288" s="4"/>
    </row>
    <row r="1289">
      <c r="A1289" s="1">
        <f>IFERROR(__xludf.DUMMYFUNCTION("""COMPUTED_VALUE"""),1288.0)</f>
        <v>1288</v>
      </c>
      <c r="B1289" s="1">
        <f>IFERROR(__xludf.DUMMYFUNCTION("""COMPUTED_VALUE"""),5909.0)</f>
        <v>5909</v>
      </c>
      <c r="C1289" s="2" t="str">
        <f>IFERROR(__xludf.DUMMYFUNCTION("""COMPUTED_VALUE"""),"Erul Juliandy")</f>
        <v>Erul Juliandy</v>
      </c>
      <c r="D1289" s="2" t="str">
        <f>IFERROR(__xludf.DUMMYFUNCTION("""COMPUTED_VALUE"""),"5KM OVERALL M")</f>
        <v>5KM OVERALL M</v>
      </c>
      <c r="E1289" s="1">
        <f>IFERROR(__xludf.DUMMYFUNCTION("""COMPUTED_VALUE"""),734.0)</f>
        <v>734</v>
      </c>
      <c r="F1289" s="1" t="str">
        <f>IFERROR(__xludf.DUMMYFUNCTION("""COMPUTED_VALUE"""),"Male")</f>
        <v>Male</v>
      </c>
      <c r="G1289" s="5">
        <f>IFERROR(__xludf.DUMMYFUNCTION("""COMPUTED_VALUE"""),0.008208030092592593)</f>
        <v>0.008208030093</v>
      </c>
      <c r="H1289" s="15">
        <f>IFERROR(__xludf.DUMMYFUNCTION("""COMPUTED_VALUE"""),0.2549440625)</f>
        <v>0.2549440625</v>
      </c>
      <c r="I1289" s="15">
        <f>IFERROR(__xludf.DUMMYFUNCTION("""COMPUTED_VALUE"""),45949.29598420873)</f>
        <v>45949.29598</v>
      </c>
      <c r="J1289" s="15">
        <f>IFERROR(__xludf.DUMMYFUNCTION("""COMPUTED_VALUE"""),45949.04104014623)</f>
        <v>45949.04104</v>
      </c>
      <c r="K1289" s="15">
        <f>IFERROR(__xludf.DUMMYFUNCTION("""COMPUTED_VALUE"""),45949.27932188942)</f>
        <v>45949.27932</v>
      </c>
      <c r="L1289" s="4"/>
    </row>
    <row r="1290">
      <c r="A1290" s="1">
        <f>IFERROR(__xludf.DUMMYFUNCTION("""COMPUTED_VALUE"""),1289.0)</f>
        <v>1289</v>
      </c>
      <c r="B1290" s="1">
        <f>IFERROR(__xludf.DUMMYFUNCTION("""COMPUTED_VALUE"""),5922.0)</f>
        <v>5922</v>
      </c>
      <c r="C1290" s="2" t="str">
        <f>IFERROR(__xludf.DUMMYFUNCTION("""COMPUTED_VALUE"""),"TRISNAWATI SARI DEWI")</f>
        <v>TRISNAWATI SARI DEWI</v>
      </c>
      <c r="D1290" s="2" t="str">
        <f>IFERROR(__xludf.DUMMYFUNCTION("""COMPUTED_VALUE"""),"5KM OVERALL F")</f>
        <v>5KM OVERALL F</v>
      </c>
      <c r="E1290" s="1">
        <f>IFERROR(__xludf.DUMMYFUNCTION("""COMPUTED_VALUE"""),341.0)</f>
        <v>341</v>
      </c>
      <c r="F1290" s="1" t="str">
        <f>IFERROR(__xludf.DUMMYFUNCTION("""COMPUTED_VALUE"""),"Female")</f>
        <v>Female</v>
      </c>
      <c r="G1290" s="5">
        <f>IFERROR(__xludf.DUMMYFUNCTION("""COMPUTED_VALUE"""),0.00820941898148148)</f>
        <v>0.008209418981</v>
      </c>
      <c r="H1290" s="15">
        <f>IFERROR(__xludf.DUMMYFUNCTION("""COMPUTED_VALUE"""),0.2549440625)</f>
        <v>0.2549440625</v>
      </c>
      <c r="I1290" s="15">
        <f>IFERROR(__xludf.DUMMYFUNCTION("""COMPUTED_VALUE"""),45949.295991161125)</f>
        <v>45949.29599</v>
      </c>
      <c r="J1290" s="15">
        <f>IFERROR(__xludf.DUMMYFUNCTION("""COMPUTED_VALUE"""),45949.041047098624)</f>
        <v>45949.04105</v>
      </c>
      <c r="K1290" s="15">
        <f>IFERROR(__xludf.DUMMYFUNCTION("""COMPUTED_VALUE"""),45949.27745726447)</f>
        <v>45949.27746</v>
      </c>
      <c r="L1290" s="4"/>
    </row>
    <row r="1291">
      <c r="A1291" s="1">
        <f>IFERROR(__xludf.DUMMYFUNCTION("""COMPUTED_VALUE"""),1290.0)</f>
        <v>1290</v>
      </c>
      <c r="B1291" s="1">
        <f>IFERROR(__xludf.DUMMYFUNCTION("""COMPUTED_VALUE"""),5427.0)</f>
        <v>5427</v>
      </c>
      <c r="C1291" s="2" t="str">
        <f>IFERROR(__xludf.DUMMYFUNCTION("""COMPUTED_VALUE"""),"NOVA")</f>
        <v>NOVA</v>
      </c>
      <c r="D1291" s="2" t="str">
        <f>IFERROR(__xludf.DUMMYFUNCTION("""COMPUTED_VALUE"""),"5KM OVERALL F")</f>
        <v>5KM OVERALL F</v>
      </c>
      <c r="E1291" s="1">
        <f>IFERROR(__xludf.DUMMYFUNCTION("""COMPUTED_VALUE"""),342.0)</f>
        <v>342</v>
      </c>
      <c r="F1291" s="1" t="str">
        <f>IFERROR(__xludf.DUMMYFUNCTION("""COMPUTED_VALUE"""),"Female")</f>
        <v>Female</v>
      </c>
      <c r="G1291" s="5">
        <f>IFERROR(__xludf.DUMMYFUNCTION("""COMPUTED_VALUE"""),0.00821011111111111)</f>
        <v>0.008210111111</v>
      </c>
      <c r="H1291" s="15">
        <f>IFERROR(__xludf.DUMMYFUNCTION("""COMPUTED_VALUE"""),0.2549440625)</f>
        <v>0.2549440625</v>
      </c>
      <c r="I1291" s="15">
        <f>IFERROR(__xludf.DUMMYFUNCTION("""COMPUTED_VALUE"""),45949.29599461951)</f>
        <v>45949.29599</v>
      </c>
      <c r="J1291" s="15">
        <f>IFERROR(__xludf.DUMMYFUNCTION("""COMPUTED_VALUE"""),45949.04105055701)</f>
        <v>45949.04105</v>
      </c>
      <c r="K1291" s="15">
        <f>IFERROR(__xludf.DUMMYFUNCTION("""COMPUTED_VALUE"""),45949.27836005705)</f>
        <v>45949.27836</v>
      </c>
      <c r="L1291" s="4"/>
    </row>
    <row r="1292">
      <c r="A1292" s="1">
        <f>IFERROR(__xludf.DUMMYFUNCTION("""COMPUTED_VALUE"""),1291.0)</f>
        <v>1291</v>
      </c>
      <c r="B1292" s="1">
        <f>IFERROR(__xludf.DUMMYFUNCTION("""COMPUTED_VALUE"""),5092.0)</f>
        <v>5092</v>
      </c>
      <c r="C1292" s="2" t="str">
        <f>IFERROR(__xludf.DUMMYFUNCTION("""COMPUTED_VALUE"""),"Dedy Waluyp")</f>
        <v>Dedy Waluyp</v>
      </c>
      <c r="D1292" s="2" t="str">
        <f>IFERROR(__xludf.DUMMYFUNCTION("""COMPUTED_VALUE"""),"5KM OVERALL M")</f>
        <v>5KM OVERALL M</v>
      </c>
      <c r="E1292" s="1">
        <f>IFERROR(__xludf.DUMMYFUNCTION("""COMPUTED_VALUE"""),735.0)</f>
        <v>735</v>
      </c>
      <c r="F1292" s="1" t="str">
        <f>IFERROR(__xludf.DUMMYFUNCTION("""COMPUTED_VALUE"""),"Male")</f>
        <v>Male</v>
      </c>
      <c r="G1292" s="5">
        <f>IFERROR(__xludf.DUMMYFUNCTION("""COMPUTED_VALUE"""),0.008218444444444445)</f>
        <v>0.008218444444</v>
      </c>
      <c r="H1292" s="15">
        <f>IFERROR(__xludf.DUMMYFUNCTION("""COMPUTED_VALUE"""),0.2549440625)</f>
        <v>0.2549440625</v>
      </c>
      <c r="I1292" s="15">
        <f>IFERROR(__xludf.DUMMYFUNCTION("""COMPUTED_VALUE"""),45949.29603628191)</f>
        <v>45949.29604</v>
      </c>
      <c r="J1292" s="15">
        <f>IFERROR(__xludf.DUMMYFUNCTION("""COMPUTED_VALUE"""),45949.041092219406)</f>
        <v>45949.04109</v>
      </c>
      <c r="K1292" s="15">
        <f>IFERROR(__xludf.DUMMYFUNCTION("""COMPUTED_VALUE"""),45949.27843647815)</f>
        <v>45949.27844</v>
      </c>
      <c r="L1292" s="4"/>
    </row>
    <row r="1293">
      <c r="A1293" s="1">
        <f>IFERROR(__xludf.DUMMYFUNCTION("""COMPUTED_VALUE"""),1292.0)</f>
        <v>1292</v>
      </c>
      <c r="B1293" s="1">
        <f>IFERROR(__xludf.DUMMYFUNCTION("""COMPUTED_VALUE"""),7018.0)</f>
        <v>7018</v>
      </c>
      <c r="C1293" s="2" t="str">
        <f>IFERROR(__xludf.DUMMYFUNCTION("""COMPUTED_VALUE"""),"Lia Herawati")</f>
        <v>Lia Herawati</v>
      </c>
      <c r="D1293" s="2" t="str">
        <f>IFERROR(__xludf.DUMMYFUNCTION("""COMPUTED_VALUE"""),"5KM MASTER F")</f>
        <v>5KM MASTER F</v>
      </c>
      <c r="E1293" s="1">
        <f>IFERROR(__xludf.DUMMYFUNCTION("""COMPUTED_VALUE"""),50.0)</f>
        <v>50</v>
      </c>
      <c r="F1293" s="1" t="str">
        <f>IFERROR(__xludf.DUMMYFUNCTION("""COMPUTED_VALUE"""),"Female")</f>
        <v>Female</v>
      </c>
      <c r="G1293" s="5">
        <f>IFERROR(__xludf.DUMMYFUNCTION("""COMPUTED_VALUE"""),0.00821844675925926)</f>
        <v>0.008218446759</v>
      </c>
      <c r="H1293" s="15">
        <f>IFERROR(__xludf.DUMMYFUNCTION("""COMPUTED_VALUE"""),0.2549440625)</f>
        <v>0.2549440625</v>
      </c>
      <c r="I1293" s="15">
        <f>IFERROR(__xludf.DUMMYFUNCTION("""COMPUTED_VALUE"""),45949.296036293934)</f>
        <v>45949.29604</v>
      </c>
      <c r="J1293" s="15">
        <f>IFERROR(__xludf.DUMMYFUNCTION("""COMPUTED_VALUE"""),45949.04109223143)</f>
        <v>45949.04109</v>
      </c>
      <c r="K1293" s="15">
        <f>IFERROR(__xludf.DUMMYFUNCTION("""COMPUTED_VALUE"""),45949.280252377735)</f>
        <v>45949.28025</v>
      </c>
      <c r="L1293" s="4"/>
    </row>
    <row r="1294">
      <c r="A1294" s="1">
        <f>IFERROR(__xludf.DUMMYFUNCTION("""COMPUTED_VALUE"""),1293.0)</f>
        <v>1293</v>
      </c>
      <c r="B1294" s="1">
        <f>IFERROR(__xludf.DUMMYFUNCTION("""COMPUTED_VALUE"""),5913.0)</f>
        <v>5913</v>
      </c>
      <c r="C1294" s="2" t="str">
        <f>IFERROR(__xludf.DUMMYFUNCTION("""COMPUTED_VALUE"""),"Ayah zafran")</f>
        <v>Ayah zafran</v>
      </c>
      <c r="D1294" s="2" t="str">
        <f>IFERROR(__xludf.DUMMYFUNCTION("""COMPUTED_VALUE"""),"5KM OVERALL M")</f>
        <v>5KM OVERALL M</v>
      </c>
      <c r="E1294" s="1">
        <f>IFERROR(__xludf.DUMMYFUNCTION("""COMPUTED_VALUE"""),736.0)</f>
        <v>736</v>
      </c>
      <c r="F1294" s="1" t="str">
        <f>IFERROR(__xludf.DUMMYFUNCTION("""COMPUTED_VALUE"""),"Male")</f>
        <v>Male</v>
      </c>
      <c r="G1294" s="5">
        <f>IFERROR(__xludf.DUMMYFUNCTION("""COMPUTED_VALUE"""),0.008221916666666666)</f>
        <v>0.008221916667</v>
      </c>
      <c r="H1294" s="15">
        <f>IFERROR(__xludf.DUMMYFUNCTION("""COMPUTED_VALUE"""),0.2549440625)</f>
        <v>0.2549440625</v>
      </c>
      <c r="I1294" s="15">
        <f>IFERROR(__xludf.DUMMYFUNCTION("""COMPUTED_VALUE"""),45949.29605364443)</f>
        <v>45949.29605</v>
      </c>
      <c r="J1294" s="15">
        <f>IFERROR(__xludf.DUMMYFUNCTION("""COMPUTED_VALUE"""),45949.04110958193)</f>
        <v>45949.04111</v>
      </c>
      <c r="K1294" s="15">
        <f>IFERROR(__xludf.DUMMYFUNCTION("""COMPUTED_VALUE"""),45949.2779538212)</f>
        <v>45949.27795</v>
      </c>
      <c r="L1294" s="4"/>
    </row>
    <row r="1295">
      <c r="A1295" s="1">
        <f>IFERROR(__xludf.DUMMYFUNCTION("""COMPUTED_VALUE"""),1294.0)</f>
        <v>1294</v>
      </c>
      <c r="B1295" s="1">
        <f>IFERROR(__xludf.DUMMYFUNCTION("""COMPUTED_VALUE"""),5294.0)</f>
        <v>5294</v>
      </c>
      <c r="C1295" s="2" t="str">
        <f>IFERROR(__xludf.DUMMYFUNCTION("""COMPUTED_VALUE"""),"Thania Rani")</f>
        <v>Thania Rani</v>
      </c>
      <c r="D1295" s="2" t="str">
        <f>IFERROR(__xludf.DUMMYFUNCTION("""COMPUTED_VALUE"""),"5KM OVERALL F")</f>
        <v>5KM OVERALL F</v>
      </c>
      <c r="E1295" s="1">
        <f>IFERROR(__xludf.DUMMYFUNCTION("""COMPUTED_VALUE"""),343.0)</f>
        <v>343</v>
      </c>
      <c r="F1295" s="1" t="str">
        <f>IFERROR(__xludf.DUMMYFUNCTION("""COMPUTED_VALUE"""),"Female")</f>
        <v>Female</v>
      </c>
      <c r="G1295" s="5">
        <f>IFERROR(__xludf.DUMMYFUNCTION("""COMPUTED_VALUE"""),0.008235944444444445)</f>
        <v>0.008235944444</v>
      </c>
      <c r="H1295" s="15">
        <f>IFERROR(__xludf.DUMMYFUNCTION("""COMPUTED_VALUE"""),0.2549440625)</f>
        <v>0.2549440625</v>
      </c>
      <c r="I1295" s="15">
        <f>IFERROR(__xludf.DUMMYFUNCTION("""COMPUTED_VALUE"""),45949.296123782675)</f>
        <v>45949.29612</v>
      </c>
      <c r="J1295" s="15">
        <f>IFERROR(__xludf.DUMMYFUNCTION("""COMPUTED_VALUE"""),45949.041179720174)</f>
        <v>45949.04118</v>
      </c>
      <c r="K1295" s="15">
        <f>IFERROR(__xludf.DUMMYFUNCTION("""COMPUTED_VALUE"""),45949.279794101385)</f>
        <v>45949.27979</v>
      </c>
      <c r="L1295" s="4"/>
    </row>
    <row r="1296">
      <c r="A1296" s="1">
        <f>IFERROR(__xludf.DUMMYFUNCTION("""COMPUTED_VALUE"""),1295.0)</f>
        <v>1295</v>
      </c>
      <c r="B1296" s="1">
        <f>IFERROR(__xludf.DUMMYFUNCTION("""COMPUTED_VALUE"""),6082.0)</f>
        <v>6082</v>
      </c>
      <c r="C1296" s="2" t="str">
        <f>IFERROR(__xludf.DUMMYFUNCTION("""COMPUTED_VALUE"""),"Fahmi Justin")</f>
        <v>Fahmi Justin</v>
      </c>
      <c r="D1296" s="2" t="str">
        <f>IFERROR(__xludf.DUMMYFUNCTION("""COMPUTED_VALUE"""),"5KM OVERALL M")</f>
        <v>5KM OVERALL M</v>
      </c>
      <c r="E1296" s="1">
        <f>IFERROR(__xludf.DUMMYFUNCTION("""COMPUTED_VALUE"""),737.0)</f>
        <v>737</v>
      </c>
      <c r="F1296" s="1" t="str">
        <f>IFERROR(__xludf.DUMMYFUNCTION("""COMPUTED_VALUE"""),"Male")</f>
        <v>Male</v>
      </c>
      <c r="G1296" s="5">
        <f>IFERROR(__xludf.DUMMYFUNCTION("""COMPUTED_VALUE"""),0.008241363425925925)</f>
        <v>0.008241363426</v>
      </c>
      <c r="H1296" s="15">
        <f>IFERROR(__xludf.DUMMYFUNCTION("""COMPUTED_VALUE"""),0.2549440625)</f>
        <v>0.2549440625</v>
      </c>
      <c r="I1296" s="15">
        <f>IFERROR(__xludf.DUMMYFUNCTION("""COMPUTED_VALUE"""),45949.29615087696)</f>
        <v>45949.29615</v>
      </c>
      <c r="J1296" s="15">
        <f>IFERROR(__xludf.DUMMYFUNCTION("""COMPUTED_VALUE"""),45949.04120681446)</f>
        <v>45949.04121</v>
      </c>
      <c r="K1296" s="15">
        <f>IFERROR(__xludf.DUMMYFUNCTION("""COMPUTED_VALUE"""),45949.28050237904)</f>
        <v>45949.2805</v>
      </c>
      <c r="L1296" s="4"/>
    </row>
    <row r="1297">
      <c r="A1297" s="1">
        <f>IFERROR(__xludf.DUMMYFUNCTION("""COMPUTED_VALUE"""),1296.0)</f>
        <v>1296</v>
      </c>
      <c r="B1297" s="1">
        <f>IFERROR(__xludf.DUMMYFUNCTION("""COMPUTED_VALUE"""),5690.0)</f>
        <v>5690</v>
      </c>
      <c r="C1297" s="2" t="str">
        <f>IFERROR(__xludf.DUMMYFUNCTION("""COMPUTED_VALUE"""),"DIMAS A. KADARISMAN")</f>
        <v>DIMAS A. KADARISMAN</v>
      </c>
      <c r="D1297" s="2" t="str">
        <f>IFERROR(__xludf.DUMMYFUNCTION("""COMPUTED_VALUE"""),"5KM OVERALL M")</f>
        <v>5KM OVERALL M</v>
      </c>
      <c r="E1297" s="1">
        <f>IFERROR(__xludf.DUMMYFUNCTION("""COMPUTED_VALUE"""),738.0)</f>
        <v>738</v>
      </c>
      <c r="F1297" s="1" t="str">
        <f>IFERROR(__xludf.DUMMYFUNCTION("""COMPUTED_VALUE"""),"Male")</f>
        <v>Male</v>
      </c>
      <c r="G1297" s="5">
        <f>IFERROR(__xludf.DUMMYFUNCTION("""COMPUTED_VALUE"""),0.008248305555555556)</f>
        <v>0.008248305556</v>
      </c>
      <c r="H1297" s="15">
        <f>IFERROR(__xludf.DUMMYFUNCTION("""COMPUTED_VALUE"""),0.2549440625)</f>
        <v>0.2549440625</v>
      </c>
      <c r="I1297" s="15">
        <f>IFERROR(__xludf.DUMMYFUNCTION("""COMPUTED_VALUE"""),45949.29618558514)</f>
        <v>45949.29619</v>
      </c>
      <c r="J1297" s="15">
        <f>IFERROR(__xludf.DUMMYFUNCTION("""COMPUTED_VALUE"""),45949.04124152264)</f>
        <v>45949.04124</v>
      </c>
      <c r="K1297" s="15">
        <f>IFERROR(__xludf.DUMMYFUNCTION("""COMPUTED_VALUE"""),45949.27716211586)</f>
        <v>45949.27716</v>
      </c>
      <c r="L1297" s="4"/>
    </row>
    <row r="1298">
      <c r="A1298" s="1">
        <f>IFERROR(__xludf.DUMMYFUNCTION("""COMPUTED_VALUE"""),1297.0)</f>
        <v>1297</v>
      </c>
      <c r="B1298" s="1">
        <f>IFERROR(__xludf.DUMMYFUNCTION("""COMPUTED_VALUE"""),5554.0)</f>
        <v>5554</v>
      </c>
      <c r="C1298" s="2" t="str">
        <f>IFERROR(__xludf.DUMMYFUNCTION("""COMPUTED_VALUE"""),"FAHRIZA")</f>
        <v>FAHRIZA</v>
      </c>
      <c r="D1298" s="2" t="str">
        <f>IFERROR(__xludf.DUMMYFUNCTION("""COMPUTED_VALUE"""),"5KM OVERALL M")</f>
        <v>5KM OVERALL M</v>
      </c>
      <c r="E1298" s="1">
        <f>IFERROR(__xludf.DUMMYFUNCTION("""COMPUTED_VALUE"""),739.0)</f>
        <v>739</v>
      </c>
      <c r="F1298" s="1" t="str">
        <f>IFERROR(__xludf.DUMMYFUNCTION("""COMPUTED_VALUE"""),"Male")</f>
        <v>Male</v>
      </c>
      <c r="G1298" s="5">
        <f>IFERROR(__xludf.DUMMYFUNCTION("""COMPUTED_VALUE"""),0.008250388888888889)</f>
        <v>0.008250388889</v>
      </c>
      <c r="H1298" s="15">
        <f>IFERROR(__xludf.DUMMYFUNCTION("""COMPUTED_VALUE"""),0.2549440625)</f>
        <v>0.2549440625</v>
      </c>
      <c r="I1298" s="15">
        <f>IFERROR(__xludf.DUMMYFUNCTION("""COMPUTED_VALUE"""),45949.29619600967)</f>
        <v>45949.2962</v>
      </c>
      <c r="J1298" s="15">
        <f>IFERROR(__xludf.DUMMYFUNCTION("""COMPUTED_VALUE"""),45949.04125194717)</f>
        <v>45949.04125</v>
      </c>
      <c r="K1298" s="15">
        <f>IFERROR(__xludf.DUMMYFUNCTION("""COMPUTED_VALUE"""),45949.28014127218)</f>
        <v>45949.28014</v>
      </c>
      <c r="L1298" s="4"/>
    </row>
    <row r="1299">
      <c r="A1299" s="1">
        <f>IFERROR(__xludf.DUMMYFUNCTION("""COMPUTED_VALUE"""),1298.0)</f>
        <v>1298</v>
      </c>
      <c r="B1299" s="1">
        <f>IFERROR(__xludf.DUMMYFUNCTION("""COMPUTED_VALUE"""),7056.0)</f>
        <v>7056</v>
      </c>
      <c r="C1299" s="2" t="str">
        <f>IFERROR(__xludf.DUMMYFUNCTION("""COMPUTED_VALUE"""),"bramasto")</f>
        <v>bramasto</v>
      </c>
      <c r="D1299" s="2" t="str">
        <f>IFERROR(__xludf.DUMMYFUNCTION("""COMPUTED_VALUE"""),"5KM MASTER M")</f>
        <v>5KM MASTER M</v>
      </c>
      <c r="E1299" s="1">
        <f>IFERROR(__xludf.DUMMYFUNCTION("""COMPUTED_VALUE"""),91.0)</f>
        <v>91</v>
      </c>
      <c r="F1299" s="1" t="str">
        <f>IFERROR(__xludf.DUMMYFUNCTION("""COMPUTED_VALUE"""),"Male")</f>
        <v>Male</v>
      </c>
      <c r="G1299" s="5">
        <f>IFERROR(__xludf.DUMMYFUNCTION("""COMPUTED_VALUE"""),0.008252472222222222)</f>
        <v>0.008252472222</v>
      </c>
      <c r="H1299" s="15">
        <f>IFERROR(__xludf.DUMMYFUNCTION("""COMPUTED_VALUE"""),0.2549440625)</f>
        <v>0.2549440625</v>
      </c>
      <c r="I1299" s="15">
        <f>IFERROR(__xludf.DUMMYFUNCTION("""COMPUTED_VALUE"""),45949.29620642684)</f>
        <v>45949.29621</v>
      </c>
      <c r="J1299" s="15">
        <f>IFERROR(__xludf.DUMMYFUNCTION("""COMPUTED_VALUE"""),45949.04126236434)</f>
        <v>45949.04126</v>
      </c>
      <c r="K1299" s="15">
        <f>IFERROR(__xludf.DUMMYFUNCTION("""COMPUTED_VALUE"""),45950.279699074075)</f>
        <v>45950.2797</v>
      </c>
      <c r="L1299" s="4" t="str">
        <f>IFERROR(__xludf.DUMMYFUNCTION("""COMPUTED_VALUE"""),"C")</f>
        <v>C</v>
      </c>
    </row>
    <row r="1300">
      <c r="A1300" s="1">
        <f>IFERROR(__xludf.DUMMYFUNCTION("""COMPUTED_VALUE"""),1299.0)</f>
        <v>1299</v>
      </c>
      <c r="B1300" s="1">
        <f>IFERROR(__xludf.DUMMYFUNCTION("""COMPUTED_VALUE"""),5558.0)</f>
        <v>5558</v>
      </c>
      <c r="C1300" s="2" t="str">
        <f>IFERROR(__xludf.DUMMYFUNCTION("""COMPUTED_VALUE"""),"ririn")</f>
        <v>ririn</v>
      </c>
      <c r="D1300" s="2" t="str">
        <f>IFERROR(__xludf.DUMMYFUNCTION("""COMPUTED_VALUE"""),"5KM OVERALL F")</f>
        <v>5KM OVERALL F</v>
      </c>
      <c r="E1300" s="1">
        <f>IFERROR(__xludf.DUMMYFUNCTION("""COMPUTED_VALUE"""),344.0)</f>
        <v>344</v>
      </c>
      <c r="F1300" s="1" t="str">
        <f>IFERROR(__xludf.DUMMYFUNCTION("""COMPUTED_VALUE"""),"Female")</f>
        <v>Female</v>
      </c>
      <c r="G1300" s="5">
        <f>IFERROR(__xludf.DUMMYFUNCTION("""COMPUTED_VALUE"""),0.008254555555555555)</f>
        <v>0.008254555556</v>
      </c>
      <c r="H1300" s="15">
        <f>IFERROR(__xludf.DUMMYFUNCTION("""COMPUTED_VALUE"""),0.2549440625)</f>
        <v>0.2549440625</v>
      </c>
      <c r="I1300" s="15">
        <f>IFERROR(__xludf.DUMMYFUNCTION("""COMPUTED_VALUE"""),45949.29621683634)</f>
        <v>45949.29622</v>
      </c>
      <c r="J1300" s="15">
        <f>IFERROR(__xludf.DUMMYFUNCTION("""COMPUTED_VALUE"""),45949.04127277384)</f>
        <v>45949.04127</v>
      </c>
      <c r="K1300" s="15">
        <f>IFERROR(__xludf.DUMMYFUNCTION("""COMPUTED_VALUE"""),45949.2802038414)</f>
        <v>45949.2802</v>
      </c>
      <c r="L1300" s="4"/>
    </row>
    <row r="1301">
      <c r="A1301" s="1">
        <f>IFERROR(__xludf.DUMMYFUNCTION("""COMPUTED_VALUE"""),1300.0)</f>
        <v>1300</v>
      </c>
      <c r="B1301" s="1">
        <f>IFERROR(__xludf.DUMMYFUNCTION("""COMPUTED_VALUE"""),7111.0)</f>
        <v>7111</v>
      </c>
      <c r="C1301" s="2" t="str">
        <f>IFERROR(__xludf.DUMMYFUNCTION("""COMPUTED_VALUE"""),"TRYA ENGINEER BITES")</f>
        <v>TRYA ENGINEER BITES</v>
      </c>
      <c r="D1301" s="2" t="str">
        <f>IFERROR(__xludf.DUMMYFUNCTION("""COMPUTED_VALUE"""),"5KM MASTER F")</f>
        <v>5KM MASTER F</v>
      </c>
      <c r="E1301" s="1">
        <f>IFERROR(__xludf.DUMMYFUNCTION("""COMPUTED_VALUE"""),51.0)</f>
        <v>51</v>
      </c>
      <c r="F1301" s="1" t="str">
        <f>IFERROR(__xludf.DUMMYFUNCTION("""COMPUTED_VALUE"""),"Female")</f>
        <v>Female</v>
      </c>
      <c r="G1301" s="5">
        <f>IFERROR(__xludf.DUMMYFUNCTION("""COMPUTED_VALUE"""),0.008262877314814815)</f>
        <v>0.008262877315</v>
      </c>
      <c r="H1301" s="15">
        <f>IFERROR(__xludf.DUMMYFUNCTION("""COMPUTED_VALUE"""),0.2549440625)</f>
        <v>0.2549440625</v>
      </c>
      <c r="I1301" s="15">
        <f>IFERROR(__xludf.DUMMYFUNCTION("""COMPUTED_VALUE"""),45949.296258448834)</f>
        <v>45949.29626</v>
      </c>
      <c r="J1301" s="15">
        <f>IFERROR(__xludf.DUMMYFUNCTION("""COMPUTED_VALUE"""),45949.04131438633)</f>
        <v>45949.04131</v>
      </c>
      <c r="K1301" s="15">
        <f>IFERROR(__xludf.DUMMYFUNCTION("""COMPUTED_VALUE"""),45949.28068294711)</f>
        <v>45949.28068</v>
      </c>
      <c r="L1301" s="4"/>
    </row>
    <row r="1302">
      <c r="A1302" s="1">
        <f>IFERROR(__xludf.DUMMYFUNCTION("""COMPUTED_VALUE"""),1301.0)</f>
        <v>1301</v>
      </c>
      <c r="B1302" s="1">
        <f>IFERROR(__xludf.DUMMYFUNCTION("""COMPUTED_VALUE"""),6273.0)</f>
        <v>6273</v>
      </c>
      <c r="C1302" s="2" t="str">
        <f>IFERROR(__xludf.DUMMYFUNCTION("""COMPUTED_VALUE"""),"Bella")</f>
        <v>Bella</v>
      </c>
      <c r="D1302" s="2" t="str">
        <f>IFERROR(__xludf.DUMMYFUNCTION("""COMPUTED_VALUE"""),"5KM OVERALL F")</f>
        <v>5KM OVERALL F</v>
      </c>
      <c r="E1302" s="1">
        <f>IFERROR(__xludf.DUMMYFUNCTION("""COMPUTED_VALUE"""),345.0)</f>
        <v>345</v>
      </c>
      <c r="F1302" s="1" t="str">
        <f>IFERROR(__xludf.DUMMYFUNCTION("""COMPUTED_VALUE"""),"Female")</f>
        <v>Female</v>
      </c>
      <c r="G1302" s="5">
        <f>IFERROR(__xludf.DUMMYFUNCTION("""COMPUTED_VALUE"""),0.008276777777777779)</f>
        <v>0.008276777778</v>
      </c>
      <c r="H1302" s="15">
        <f>IFERROR(__xludf.DUMMYFUNCTION("""COMPUTED_VALUE"""),0.2549440625)</f>
        <v>0.2549440625</v>
      </c>
      <c r="I1302" s="15">
        <f>IFERROR(__xludf.DUMMYFUNCTION("""COMPUTED_VALUE"""),45949.29632794855)</f>
        <v>45949.29633</v>
      </c>
      <c r="J1302" s="15">
        <f>IFERROR(__xludf.DUMMYFUNCTION("""COMPUTED_VALUE"""),45949.04138388605)</f>
        <v>45949.04138</v>
      </c>
      <c r="K1302" s="15">
        <f>IFERROR(__xludf.DUMMYFUNCTION("""COMPUTED_VALUE"""),45950.27379629629)</f>
        <v>45950.2738</v>
      </c>
      <c r="L1302" s="4"/>
    </row>
    <row r="1303">
      <c r="A1303" s="1">
        <f>IFERROR(__xludf.DUMMYFUNCTION("""COMPUTED_VALUE"""),1302.0)</f>
        <v>1302</v>
      </c>
      <c r="B1303" s="1">
        <f>IFERROR(__xludf.DUMMYFUNCTION("""COMPUTED_VALUE"""),5331.0)</f>
        <v>5331</v>
      </c>
      <c r="C1303" s="2" t="str">
        <f>IFERROR(__xludf.DUMMYFUNCTION("""COMPUTED_VALUE"""),"rzl")</f>
        <v>rzl</v>
      </c>
      <c r="D1303" s="2" t="str">
        <f>IFERROR(__xludf.DUMMYFUNCTION("""COMPUTED_VALUE"""),"5KM OVERALL M")</f>
        <v>5KM OVERALL M</v>
      </c>
      <c r="E1303" s="1">
        <f>IFERROR(__xludf.DUMMYFUNCTION("""COMPUTED_VALUE"""),740.0)</f>
        <v>740</v>
      </c>
      <c r="F1303" s="1" t="str">
        <f>IFERROR(__xludf.DUMMYFUNCTION("""COMPUTED_VALUE"""),"Male")</f>
        <v>Male</v>
      </c>
      <c r="G1303" s="5">
        <f>IFERROR(__xludf.DUMMYFUNCTION("""COMPUTED_VALUE"""),0.008278328703703704)</f>
        <v>0.008278328704</v>
      </c>
      <c r="H1303" s="15">
        <f>IFERROR(__xludf.DUMMYFUNCTION("""COMPUTED_VALUE"""),0.2549440625)</f>
        <v>0.2549440625</v>
      </c>
      <c r="I1303" s="15">
        <f>IFERROR(__xludf.DUMMYFUNCTION("""COMPUTED_VALUE"""),45949.296335707586)</f>
        <v>45949.29634</v>
      </c>
      <c r="J1303" s="15">
        <f>IFERROR(__xludf.DUMMYFUNCTION("""COMPUTED_VALUE"""),45949.041391645085)</f>
        <v>45949.04139</v>
      </c>
      <c r="K1303" s="15">
        <f>IFERROR(__xludf.DUMMYFUNCTION("""COMPUTED_VALUE"""),45949.27936696615)</f>
        <v>45949.27937</v>
      </c>
      <c r="L1303" s="4"/>
    </row>
    <row r="1304">
      <c r="A1304" s="1">
        <f>IFERROR(__xludf.DUMMYFUNCTION("""COMPUTED_VALUE"""),1303.0)</f>
        <v>1303</v>
      </c>
      <c r="B1304" s="1">
        <f>IFERROR(__xludf.DUMMYFUNCTION("""COMPUTED_VALUE"""),6410.0)</f>
        <v>6410</v>
      </c>
      <c r="C1304" s="2" t="str">
        <f>IFERROR(__xludf.DUMMYFUNCTION("""COMPUTED_VALUE"""),"Alfi R")</f>
        <v>Alfi R</v>
      </c>
      <c r="D1304" s="2" t="str">
        <f>IFERROR(__xludf.DUMMYFUNCTION("""COMPUTED_VALUE"""),"5KM OVERALL M")</f>
        <v>5KM OVERALL M</v>
      </c>
      <c r="E1304" s="1">
        <f>IFERROR(__xludf.DUMMYFUNCTION("""COMPUTED_VALUE"""),741.0)</f>
        <v>741</v>
      </c>
      <c r="F1304" s="1" t="str">
        <f>IFERROR(__xludf.DUMMYFUNCTION("""COMPUTED_VALUE"""),"Male")</f>
        <v>Male</v>
      </c>
      <c r="G1304" s="5">
        <f>IFERROR(__xludf.DUMMYFUNCTION("""COMPUTED_VALUE"""),0.00827886111111111)</f>
        <v>0.008278861111</v>
      </c>
      <c r="H1304" s="15">
        <f>IFERROR(__xludf.DUMMYFUNCTION("""COMPUTED_VALUE"""),0.2549440625)</f>
        <v>0.2549440625</v>
      </c>
      <c r="I1304" s="15">
        <f>IFERROR(__xludf.DUMMYFUNCTION("""COMPUTED_VALUE"""),45949.29633836483)</f>
        <v>45949.29634</v>
      </c>
      <c r="J1304" s="15">
        <f>IFERROR(__xludf.DUMMYFUNCTION("""COMPUTED_VALUE"""),45949.04139430233)</f>
        <v>45949.04139</v>
      </c>
      <c r="K1304" s="15">
        <f>IFERROR(__xludf.DUMMYFUNCTION("""COMPUTED_VALUE"""),45949.27939473873)</f>
        <v>45949.27939</v>
      </c>
      <c r="L1304" s="4"/>
    </row>
    <row r="1305">
      <c r="A1305" s="1">
        <f>IFERROR(__xludf.DUMMYFUNCTION("""COMPUTED_VALUE"""),1304.0)</f>
        <v>1304</v>
      </c>
      <c r="B1305" s="1">
        <f>IFERROR(__xludf.DUMMYFUNCTION("""COMPUTED_VALUE"""),5918.0)</f>
        <v>5918</v>
      </c>
      <c r="C1305" s="2" t="str">
        <f>IFERROR(__xludf.DUMMYFUNCTION("""COMPUTED_VALUE"""),"PUTRA")</f>
        <v>PUTRA</v>
      </c>
      <c r="D1305" s="2" t="str">
        <f>IFERROR(__xludf.DUMMYFUNCTION("""COMPUTED_VALUE"""),"5KM OVERALL M")</f>
        <v>5KM OVERALL M</v>
      </c>
      <c r="E1305" s="1">
        <f>IFERROR(__xludf.DUMMYFUNCTION("""COMPUTED_VALUE"""),742.0)</f>
        <v>742</v>
      </c>
      <c r="F1305" s="1" t="str">
        <f>IFERROR(__xludf.DUMMYFUNCTION("""COMPUTED_VALUE"""),"Male")</f>
        <v>Male</v>
      </c>
      <c r="G1305" s="5">
        <f>IFERROR(__xludf.DUMMYFUNCTION("""COMPUTED_VALUE"""),0.008278863425925927)</f>
        <v>0.008278863426</v>
      </c>
      <c r="H1305" s="15">
        <f>IFERROR(__xludf.DUMMYFUNCTION("""COMPUTED_VALUE"""),0.2549440625)</f>
        <v>0.2549440625</v>
      </c>
      <c r="I1305" s="15">
        <f>IFERROR(__xludf.DUMMYFUNCTION("""COMPUTED_VALUE"""),45949.29633837682)</f>
        <v>45949.29634</v>
      </c>
      <c r="J1305" s="15">
        <f>IFERROR(__xludf.DUMMYFUNCTION("""COMPUTED_VALUE"""),45949.04139431432)</f>
        <v>45949.04139</v>
      </c>
      <c r="K1305" s="15">
        <f>IFERROR(__xludf.DUMMYFUNCTION("""COMPUTED_VALUE"""),45949.279189895584)</f>
        <v>45949.27919</v>
      </c>
      <c r="L1305" s="4"/>
    </row>
    <row r="1306">
      <c r="A1306" s="1">
        <f>IFERROR(__xludf.DUMMYFUNCTION("""COMPUTED_VALUE"""),1305.0)</f>
        <v>1305</v>
      </c>
      <c r="B1306" s="1">
        <f>IFERROR(__xludf.DUMMYFUNCTION("""COMPUTED_VALUE"""),6002.0)</f>
        <v>6002</v>
      </c>
      <c r="C1306" s="2" t="str">
        <f>IFERROR(__xludf.DUMMYFUNCTION("""COMPUTED_VALUE"""),"Ahmad Jumadi")</f>
        <v>Ahmad Jumadi</v>
      </c>
      <c r="D1306" s="2" t="str">
        <f>IFERROR(__xludf.DUMMYFUNCTION("""COMPUTED_VALUE"""),"5KM OVERALL M")</f>
        <v>5KM OVERALL M</v>
      </c>
      <c r="E1306" s="1">
        <f>IFERROR(__xludf.DUMMYFUNCTION("""COMPUTED_VALUE"""),743.0)</f>
        <v>743</v>
      </c>
      <c r="F1306" s="1" t="str">
        <f>IFERROR(__xludf.DUMMYFUNCTION("""COMPUTED_VALUE"""),"Male")</f>
        <v>Male</v>
      </c>
      <c r="G1306" s="5">
        <f>IFERROR(__xludf.DUMMYFUNCTION("""COMPUTED_VALUE"""),0.00828025)</f>
        <v>0.00828025</v>
      </c>
      <c r="H1306" s="15">
        <f>IFERROR(__xludf.DUMMYFUNCTION("""COMPUTED_VALUE"""),0.2549440625)</f>
        <v>0.2549440625</v>
      </c>
      <c r="I1306" s="15">
        <f>IFERROR(__xludf.DUMMYFUNCTION("""COMPUTED_VALUE"""),45949.29634531484)</f>
        <v>45949.29635</v>
      </c>
      <c r="J1306" s="15">
        <f>IFERROR(__xludf.DUMMYFUNCTION("""COMPUTED_VALUE"""),45949.04140125234)</f>
        <v>45949.0414</v>
      </c>
      <c r="K1306" s="15">
        <f>IFERROR(__xludf.DUMMYFUNCTION("""COMPUTED_VALUE"""),45949.2792419731)</f>
        <v>45949.27924</v>
      </c>
      <c r="L1306" s="4"/>
    </row>
    <row r="1307">
      <c r="A1307" s="1">
        <f>IFERROR(__xludf.DUMMYFUNCTION("""COMPUTED_VALUE"""),1306.0)</f>
        <v>1306</v>
      </c>
      <c r="B1307" s="1">
        <f>IFERROR(__xludf.DUMMYFUNCTION("""COMPUTED_VALUE"""),5141.0)</f>
        <v>5141</v>
      </c>
      <c r="C1307" s="2" t="str">
        <f>IFERROR(__xludf.DUMMYFUNCTION("""COMPUTED_VALUE"""),"Shof")</f>
        <v>Shof</v>
      </c>
      <c r="D1307" s="2" t="str">
        <f>IFERROR(__xludf.DUMMYFUNCTION("""COMPUTED_VALUE"""),"5KM OVERALL F")</f>
        <v>5KM OVERALL F</v>
      </c>
      <c r="E1307" s="1">
        <f>IFERROR(__xludf.DUMMYFUNCTION("""COMPUTED_VALUE"""),346.0)</f>
        <v>346</v>
      </c>
      <c r="F1307" s="1" t="str">
        <f>IFERROR(__xludf.DUMMYFUNCTION("""COMPUTED_VALUE"""),"Female")</f>
        <v>Female</v>
      </c>
      <c r="G1307" s="5">
        <f>IFERROR(__xludf.DUMMYFUNCTION("""COMPUTED_VALUE"""),0.008282333333333333)</f>
        <v>0.008282333333</v>
      </c>
      <c r="H1307" s="15">
        <f>IFERROR(__xludf.DUMMYFUNCTION("""COMPUTED_VALUE"""),0.2549440625)</f>
        <v>0.2549440625</v>
      </c>
      <c r="I1307" s="15">
        <f>IFERROR(__xludf.DUMMYFUNCTION("""COMPUTED_VALUE"""),45949.29635573025)</f>
        <v>45949.29636</v>
      </c>
      <c r="J1307" s="15">
        <f>IFERROR(__xludf.DUMMYFUNCTION("""COMPUTED_VALUE"""),45949.04141166775)</f>
        <v>45949.04141</v>
      </c>
      <c r="K1307" s="15">
        <f>IFERROR(__xludf.DUMMYFUNCTION("""COMPUTED_VALUE"""),45949.27820730432)</f>
        <v>45949.27821</v>
      </c>
      <c r="L1307" s="4"/>
    </row>
    <row r="1308">
      <c r="A1308" s="1">
        <f>IFERROR(__xludf.DUMMYFUNCTION("""COMPUTED_VALUE"""),1307.0)</f>
        <v>1307</v>
      </c>
      <c r="B1308" s="1">
        <f>IFERROR(__xludf.DUMMYFUNCTION("""COMPUTED_VALUE"""),5002.0)</f>
        <v>5002</v>
      </c>
      <c r="C1308" s="2" t="str">
        <f>IFERROR(__xludf.DUMMYFUNCTION("""COMPUTED_VALUE"""),"erpans")</f>
        <v>erpans</v>
      </c>
      <c r="D1308" s="2" t="str">
        <f>IFERROR(__xludf.DUMMYFUNCTION("""COMPUTED_VALUE"""),"5KM OVERALL M")</f>
        <v>5KM OVERALL M</v>
      </c>
      <c r="E1308" s="1">
        <f>IFERROR(__xludf.DUMMYFUNCTION("""COMPUTED_VALUE"""),744.0)</f>
        <v>744</v>
      </c>
      <c r="F1308" s="1" t="str">
        <f>IFERROR(__xludf.DUMMYFUNCTION("""COMPUTED_VALUE"""),"Male")</f>
        <v>Male</v>
      </c>
      <c r="G1308" s="5">
        <f>IFERROR(__xludf.DUMMYFUNCTION("""COMPUTED_VALUE"""),0.008285805555555555)</f>
        <v>0.008285805556</v>
      </c>
      <c r="H1308" s="15">
        <f>IFERROR(__xludf.DUMMYFUNCTION("""COMPUTED_VALUE"""),0.2549440625)</f>
        <v>0.2549440625</v>
      </c>
      <c r="I1308" s="15">
        <f>IFERROR(__xludf.DUMMYFUNCTION("""COMPUTED_VALUE"""),45949.29637308989)</f>
        <v>45949.29637</v>
      </c>
      <c r="J1308" s="15">
        <f>IFERROR(__xludf.DUMMYFUNCTION("""COMPUTED_VALUE"""),45949.04142902739)</f>
        <v>45949.04143</v>
      </c>
      <c r="K1308" s="15">
        <f>IFERROR(__xludf.DUMMYFUNCTION("""COMPUTED_VALUE"""),45949.279207307016)</f>
        <v>45949.27921</v>
      </c>
      <c r="L1308" s="4"/>
    </row>
    <row r="1309">
      <c r="A1309" s="1">
        <f>IFERROR(__xludf.DUMMYFUNCTION("""COMPUTED_VALUE"""),1308.0)</f>
        <v>1308</v>
      </c>
      <c r="B1309" s="1">
        <f>IFERROR(__xludf.DUMMYFUNCTION("""COMPUTED_VALUE"""),5177.0)</f>
        <v>5177</v>
      </c>
      <c r="C1309" s="2" t="str">
        <f>IFERROR(__xludf.DUMMYFUNCTION("""COMPUTED_VALUE"""),"AND")</f>
        <v>AND</v>
      </c>
      <c r="D1309" s="2" t="str">
        <f>IFERROR(__xludf.DUMMYFUNCTION("""COMPUTED_VALUE"""),"5KM OVERALL M")</f>
        <v>5KM OVERALL M</v>
      </c>
      <c r="E1309" s="1">
        <f>IFERROR(__xludf.DUMMYFUNCTION("""COMPUTED_VALUE"""),745.0)</f>
        <v>745</v>
      </c>
      <c r="F1309" s="1" t="str">
        <f>IFERROR(__xludf.DUMMYFUNCTION("""COMPUTED_VALUE"""),"Male")</f>
        <v>Male</v>
      </c>
      <c r="G1309" s="5">
        <f>IFERROR(__xludf.DUMMYFUNCTION("""COMPUTED_VALUE"""),0.00828788888888889)</f>
        <v>0.008287888889</v>
      </c>
      <c r="H1309" s="15">
        <f>IFERROR(__xludf.DUMMYFUNCTION("""COMPUTED_VALUE"""),0.2549440625)</f>
        <v>0.2549440625</v>
      </c>
      <c r="I1309" s="15">
        <f>IFERROR(__xludf.DUMMYFUNCTION("""COMPUTED_VALUE"""),45949.29638351142)</f>
        <v>45949.29638</v>
      </c>
      <c r="J1309" s="15">
        <f>IFERROR(__xludf.DUMMYFUNCTION("""COMPUTED_VALUE"""),45949.04143944892)</f>
        <v>45949.04144</v>
      </c>
      <c r="K1309" s="15">
        <f>IFERROR(__xludf.DUMMYFUNCTION("""COMPUTED_VALUE"""),45949.278200383895)</f>
        <v>45949.2782</v>
      </c>
      <c r="L1309" s="4"/>
    </row>
    <row r="1310">
      <c r="A1310" s="1">
        <f>IFERROR(__xludf.DUMMYFUNCTION("""COMPUTED_VALUE"""),1309.0)</f>
        <v>1309</v>
      </c>
      <c r="B1310" s="1">
        <f>IFERROR(__xludf.DUMMYFUNCTION("""COMPUTED_VALUE"""),5149.0)</f>
        <v>5149</v>
      </c>
      <c r="C1310" s="2" t="str">
        <f>IFERROR(__xludf.DUMMYFUNCTION("""COMPUTED_VALUE"""),"Desiagian")</f>
        <v>Desiagian</v>
      </c>
      <c r="D1310" s="2" t="str">
        <f>IFERROR(__xludf.DUMMYFUNCTION("""COMPUTED_VALUE"""),"5KM OVERALL F")</f>
        <v>5KM OVERALL F</v>
      </c>
      <c r="E1310" s="1">
        <f>IFERROR(__xludf.DUMMYFUNCTION("""COMPUTED_VALUE"""),347.0)</f>
        <v>347</v>
      </c>
      <c r="F1310" s="1" t="str">
        <f>IFERROR(__xludf.DUMMYFUNCTION("""COMPUTED_VALUE"""),"Female")</f>
        <v>Female</v>
      </c>
      <c r="G1310" s="5">
        <f>IFERROR(__xludf.DUMMYFUNCTION("""COMPUTED_VALUE"""),0.00828788888888889)</f>
        <v>0.008287888889</v>
      </c>
      <c r="H1310" s="15">
        <f>IFERROR(__xludf.DUMMYFUNCTION("""COMPUTED_VALUE"""),0.2549440625)</f>
        <v>0.2549440625</v>
      </c>
      <c r="I1310" s="15">
        <f>IFERROR(__xludf.DUMMYFUNCTION("""COMPUTED_VALUE"""),45949.29638351142)</f>
        <v>45949.29638</v>
      </c>
      <c r="J1310" s="15">
        <f>IFERROR(__xludf.DUMMYFUNCTION("""COMPUTED_VALUE"""),45949.04143944892)</f>
        <v>45949.04144</v>
      </c>
      <c r="K1310" s="15">
        <f>IFERROR(__xludf.DUMMYFUNCTION("""COMPUTED_VALUE"""),45949.27897121341)</f>
        <v>45949.27897</v>
      </c>
      <c r="L1310" s="4"/>
    </row>
    <row r="1311">
      <c r="A1311" s="1">
        <f>IFERROR(__xludf.DUMMYFUNCTION("""COMPUTED_VALUE"""),1310.0)</f>
        <v>1310</v>
      </c>
      <c r="B1311" s="1">
        <f>IFERROR(__xludf.DUMMYFUNCTION("""COMPUTED_VALUE"""),6076.0)</f>
        <v>6076</v>
      </c>
      <c r="C1311" s="2" t="str">
        <f>IFERROR(__xludf.DUMMYFUNCTION("""COMPUTED_VALUE"""),"Agnes")</f>
        <v>Agnes</v>
      </c>
      <c r="D1311" s="2" t="str">
        <f>IFERROR(__xludf.DUMMYFUNCTION("""COMPUTED_VALUE"""),"5KM OVERALL F")</f>
        <v>5KM OVERALL F</v>
      </c>
      <c r="E1311" s="1">
        <f>IFERROR(__xludf.DUMMYFUNCTION("""COMPUTED_VALUE"""),348.0)</f>
        <v>348</v>
      </c>
      <c r="F1311" s="1" t="str">
        <f>IFERROR(__xludf.DUMMYFUNCTION("""COMPUTED_VALUE"""),"Female")</f>
        <v>Female</v>
      </c>
      <c r="G1311" s="5">
        <f>IFERROR(__xludf.DUMMYFUNCTION("""COMPUTED_VALUE"""),0.008289972222222223)</f>
        <v>0.008289972222</v>
      </c>
      <c r="H1311" s="15">
        <f>IFERROR(__xludf.DUMMYFUNCTION("""COMPUTED_VALUE"""),0.2549440625)</f>
        <v>0.2549440625</v>
      </c>
      <c r="I1311" s="15">
        <f>IFERROR(__xludf.DUMMYFUNCTION("""COMPUTED_VALUE"""),45949.29639392278)</f>
        <v>45949.29639</v>
      </c>
      <c r="J1311" s="15">
        <f>IFERROR(__xludf.DUMMYFUNCTION("""COMPUTED_VALUE"""),45949.04144986028)</f>
        <v>45949.04145</v>
      </c>
      <c r="K1311" s="15">
        <f>IFERROR(__xludf.DUMMYFUNCTION("""COMPUTED_VALUE"""),45949.28030795266)</f>
        <v>45949.28031</v>
      </c>
      <c r="L1311" s="4"/>
    </row>
    <row r="1312">
      <c r="A1312" s="1">
        <f>IFERROR(__xludf.DUMMYFUNCTION("""COMPUTED_VALUE"""),1311.0)</f>
        <v>1311</v>
      </c>
      <c r="B1312" s="1">
        <f>IFERROR(__xludf.DUMMYFUNCTION("""COMPUTED_VALUE"""),5400.0)</f>
        <v>5400</v>
      </c>
      <c r="C1312" s="2" t="str">
        <f>IFERROR(__xludf.DUMMYFUNCTION("""COMPUTED_VALUE"""),"Beny")</f>
        <v>Beny</v>
      </c>
      <c r="D1312" s="2" t="str">
        <f>IFERROR(__xludf.DUMMYFUNCTION("""COMPUTED_VALUE"""),"5KM OVERALL M")</f>
        <v>5KM OVERALL M</v>
      </c>
      <c r="E1312" s="1">
        <f>IFERROR(__xludf.DUMMYFUNCTION("""COMPUTED_VALUE"""),746.0)</f>
        <v>746</v>
      </c>
      <c r="F1312" s="1" t="str">
        <f>IFERROR(__xludf.DUMMYFUNCTION("""COMPUTED_VALUE"""),"Male")</f>
        <v>Male</v>
      </c>
      <c r="G1312" s="5">
        <f>IFERROR(__xludf.DUMMYFUNCTION("""COMPUTED_VALUE"""),0.008294821759259259)</f>
        <v>0.008294821759</v>
      </c>
      <c r="H1312" s="15">
        <f>IFERROR(__xludf.DUMMYFUNCTION("""COMPUTED_VALUE"""),0.2549440625)</f>
        <v>0.2549440625</v>
      </c>
      <c r="I1312" s="15">
        <f>IFERROR(__xludf.DUMMYFUNCTION("""COMPUTED_VALUE"""),45949.29641817291)</f>
        <v>45949.29642</v>
      </c>
      <c r="J1312" s="15">
        <f>IFERROR(__xludf.DUMMYFUNCTION("""COMPUTED_VALUE"""),45949.04147411041)</f>
        <v>45949.04147</v>
      </c>
      <c r="K1312" s="15">
        <f>IFERROR(__xludf.DUMMYFUNCTION("""COMPUTED_VALUE"""),45949.27897119026)</f>
        <v>45949.27897</v>
      </c>
      <c r="L1312" s="4"/>
    </row>
    <row r="1313">
      <c r="A1313" s="1">
        <f>IFERROR(__xludf.DUMMYFUNCTION("""COMPUTED_VALUE"""),1312.0)</f>
        <v>1312</v>
      </c>
      <c r="B1313" s="1">
        <f>IFERROR(__xludf.DUMMYFUNCTION("""COMPUTED_VALUE"""),5254.0)</f>
        <v>5254</v>
      </c>
      <c r="C1313" s="2" t="str">
        <f>IFERROR(__xludf.DUMMYFUNCTION("""COMPUTED_VALUE"""),"Suci")</f>
        <v>Suci</v>
      </c>
      <c r="D1313" s="2" t="str">
        <f>IFERROR(__xludf.DUMMYFUNCTION("""COMPUTED_VALUE"""),"5KM OVERALL F")</f>
        <v>5KM OVERALL F</v>
      </c>
      <c r="E1313" s="1">
        <f>IFERROR(__xludf.DUMMYFUNCTION("""COMPUTED_VALUE"""),349.0)</f>
        <v>349</v>
      </c>
      <c r="F1313" s="1" t="str">
        <f>IFERROR(__xludf.DUMMYFUNCTION("""COMPUTED_VALUE"""),"Female")</f>
        <v>Female</v>
      </c>
      <c r="G1313" s="5">
        <f>IFERROR(__xludf.DUMMYFUNCTION("""COMPUTED_VALUE"""),0.00829830787037037)</f>
        <v>0.00829830787</v>
      </c>
      <c r="H1313" s="15">
        <f>IFERROR(__xludf.DUMMYFUNCTION("""COMPUTED_VALUE"""),0.2549440625)</f>
        <v>0.2549440625</v>
      </c>
      <c r="I1313" s="15">
        <f>IFERROR(__xludf.DUMMYFUNCTION("""COMPUTED_VALUE"""),45949.29643560402)</f>
        <v>45949.29644</v>
      </c>
      <c r="J1313" s="15">
        <f>IFERROR(__xludf.DUMMYFUNCTION("""COMPUTED_VALUE"""),45949.04149154152)</f>
        <v>45949.04149</v>
      </c>
      <c r="K1313" s="15">
        <f>IFERROR(__xludf.DUMMYFUNCTION("""COMPUTED_VALUE"""),45949.278866986904)</f>
        <v>45949.27887</v>
      </c>
      <c r="L1313" s="4"/>
    </row>
    <row r="1314">
      <c r="A1314" s="1">
        <f>IFERROR(__xludf.DUMMYFUNCTION("""COMPUTED_VALUE"""),1313.0)</f>
        <v>1313</v>
      </c>
      <c r="B1314" s="1">
        <f>IFERROR(__xludf.DUMMYFUNCTION("""COMPUTED_VALUE"""),5302.0)</f>
        <v>5302</v>
      </c>
      <c r="C1314" s="2" t="str">
        <f>IFERROR(__xludf.DUMMYFUNCTION("""COMPUTED_VALUE"""),"Annea_Sandie")</f>
        <v>Annea_Sandie</v>
      </c>
      <c r="D1314" s="2" t="str">
        <f>IFERROR(__xludf.DUMMYFUNCTION("""COMPUTED_VALUE"""),"5KM OVERALL F")</f>
        <v>5KM OVERALL F</v>
      </c>
      <c r="E1314" s="1">
        <f>IFERROR(__xludf.DUMMYFUNCTION("""COMPUTED_VALUE"""),350.0)</f>
        <v>350</v>
      </c>
      <c r="F1314" s="1" t="str">
        <f>IFERROR(__xludf.DUMMYFUNCTION("""COMPUTED_VALUE"""),"Female")</f>
        <v>Female</v>
      </c>
      <c r="G1314" s="5">
        <f>IFERROR(__xludf.DUMMYFUNCTION("""COMPUTED_VALUE"""),0.008300388888888888)</f>
        <v>0.008300388889</v>
      </c>
      <c r="H1314" s="15">
        <f>IFERROR(__xludf.DUMMYFUNCTION("""COMPUTED_VALUE"""),0.2549440625)</f>
        <v>0.2549440625</v>
      </c>
      <c r="I1314" s="15">
        <f>IFERROR(__xludf.DUMMYFUNCTION("""COMPUTED_VALUE"""),45949.29644601174)</f>
        <v>45949.29645</v>
      </c>
      <c r="J1314" s="15">
        <f>IFERROR(__xludf.DUMMYFUNCTION("""COMPUTED_VALUE"""),45949.041501949236)</f>
        <v>45949.0415</v>
      </c>
      <c r="K1314" s="15">
        <f>IFERROR(__xludf.DUMMYFUNCTION("""COMPUTED_VALUE"""),45949.278408662256)</f>
        <v>45949.27841</v>
      </c>
      <c r="L1314" s="4"/>
    </row>
    <row r="1315">
      <c r="A1315" s="1">
        <f>IFERROR(__xludf.DUMMYFUNCTION("""COMPUTED_VALUE"""),1314.0)</f>
        <v>1314</v>
      </c>
      <c r="B1315" s="1">
        <f>IFERROR(__xludf.DUMMYFUNCTION("""COMPUTED_VALUE"""),6028.0)</f>
        <v>6028</v>
      </c>
      <c r="C1315" s="2" t="str">
        <f>IFERROR(__xludf.DUMMYFUNCTION("""COMPUTED_VALUE"""),"IME")</f>
        <v>IME</v>
      </c>
      <c r="D1315" s="2" t="str">
        <f>IFERROR(__xludf.DUMMYFUNCTION("""COMPUTED_VALUE"""),"5KM OVERALL F")</f>
        <v>5KM OVERALL F</v>
      </c>
      <c r="E1315" s="1">
        <f>IFERROR(__xludf.DUMMYFUNCTION("""COMPUTED_VALUE"""),351.0)</f>
        <v>351</v>
      </c>
      <c r="F1315" s="1" t="str">
        <f>IFERROR(__xludf.DUMMYFUNCTION("""COMPUTED_VALUE"""),"Female")</f>
        <v>Female</v>
      </c>
      <c r="G1315" s="5">
        <f>IFERROR(__xludf.DUMMYFUNCTION("""COMPUTED_VALUE"""),0.008302472222222222)</f>
        <v>0.008302472222</v>
      </c>
      <c r="H1315" s="15">
        <f>IFERROR(__xludf.DUMMYFUNCTION("""COMPUTED_VALUE"""),0.2549440625)</f>
        <v>0.2549440625</v>
      </c>
      <c r="I1315" s="15">
        <f>IFERROR(__xludf.DUMMYFUNCTION("""COMPUTED_VALUE"""),45949.296456428914)</f>
        <v>45949.29646</v>
      </c>
      <c r="J1315" s="15">
        <f>IFERROR(__xludf.DUMMYFUNCTION("""COMPUTED_VALUE"""),45949.04151236641)</f>
        <v>45949.04151</v>
      </c>
      <c r="K1315" s="15">
        <f>IFERROR(__xludf.DUMMYFUNCTION("""COMPUTED_VALUE"""),45949.27879067408)</f>
        <v>45949.27879</v>
      </c>
      <c r="L1315" s="4"/>
    </row>
    <row r="1316">
      <c r="A1316" s="1">
        <f>IFERROR(__xludf.DUMMYFUNCTION("""COMPUTED_VALUE"""),1315.0)</f>
        <v>1315</v>
      </c>
      <c r="B1316" s="1">
        <f>IFERROR(__xludf.DUMMYFUNCTION("""COMPUTED_VALUE"""),5290.0)</f>
        <v>5290</v>
      </c>
      <c r="C1316" s="2" t="str">
        <f>IFERROR(__xludf.DUMMYFUNCTION("""COMPUTED_VALUE"""),"Yudistira")</f>
        <v>Yudistira</v>
      </c>
      <c r="D1316" s="2" t="str">
        <f>IFERROR(__xludf.DUMMYFUNCTION("""COMPUTED_VALUE"""),"5KM OVERALL M")</f>
        <v>5KM OVERALL M</v>
      </c>
      <c r="E1316" s="1">
        <f>IFERROR(__xludf.DUMMYFUNCTION("""COMPUTED_VALUE"""),747.0)</f>
        <v>747</v>
      </c>
      <c r="F1316" s="1" t="str">
        <f>IFERROR(__xludf.DUMMYFUNCTION("""COMPUTED_VALUE"""),"Male")</f>
        <v>Male</v>
      </c>
      <c r="G1316" s="5">
        <f>IFERROR(__xludf.DUMMYFUNCTION("""COMPUTED_VALUE"""),0.008302472222222222)</f>
        <v>0.008302472222</v>
      </c>
      <c r="H1316" s="15">
        <f>IFERROR(__xludf.DUMMYFUNCTION("""COMPUTED_VALUE"""),0.2549440625)</f>
        <v>0.2549440625</v>
      </c>
      <c r="I1316" s="15">
        <f>IFERROR(__xludf.DUMMYFUNCTION("""COMPUTED_VALUE"""),45949.296456428914)</f>
        <v>45949.29646</v>
      </c>
      <c r="J1316" s="15">
        <f>IFERROR(__xludf.DUMMYFUNCTION("""COMPUTED_VALUE"""),45949.04151236641)</f>
        <v>45949.04151</v>
      </c>
      <c r="K1316" s="15">
        <f>IFERROR(__xludf.DUMMYFUNCTION("""COMPUTED_VALUE"""),45949.27891904922)</f>
        <v>45949.27892</v>
      </c>
      <c r="L1316" s="4"/>
    </row>
    <row r="1317">
      <c r="A1317" s="1">
        <f>IFERROR(__xludf.DUMMYFUNCTION("""COMPUTED_VALUE"""),1316.0)</f>
        <v>1316</v>
      </c>
      <c r="B1317" s="1">
        <f>IFERROR(__xludf.DUMMYFUNCTION("""COMPUTED_VALUE"""),5601.0)</f>
        <v>5601</v>
      </c>
      <c r="C1317" s="2" t="str">
        <f>IFERROR(__xludf.DUMMYFUNCTION("""COMPUTED_VALUE"""),"Mass Bryy")</f>
        <v>Mass Bryy</v>
      </c>
      <c r="D1317" s="2" t="str">
        <f>IFERROR(__xludf.DUMMYFUNCTION("""COMPUTED_VALUE"""),"5KM OVERALL M")</f>
        <v>5KM OVERALL M</v>
      </c>
      <c r="E1317" s="1">
        <f>IFERROR(__xludf.DUMMYFUNCTION("""COMPUTED_VALUE"""),748.0)</f>
        <v>748</v>
      </c>
      <c r="F1317" s="1" t="str">
        <f>IFERROR(__xludf.DUMMYFUNCTION("""COMPUTED_VALUE"""),"Male")</f>
        <v>Male</v>
      </c>
      <c r="G1317" s="5">
        <f>IFERROR(__xludf.DUMMYFUNCTION("""COMPUTED_VALUE"""),0.008309416666666666)</f>
        <v>0.008309416667</v>
      </c>
      <c r="H1317" s="15">
        <f>IFERROR(__xludf.DUMMYFUNCTION("""COMPUTED_VALUE"""),0.2549440625)</f>
        <v>0.2549440625</v>
      </c>
      <c r="I1317" s="15">
        <f>IFERROR(__xludf.DUMMYFUNCTION("""COMPUTED_VALUE"""),45949.296491148634)</f>
        <v>45949.29649</v>
      </c>
      <c r="J1317" s="15">
        <f>IFERROR(__xludf.DUMMYFUNCTION("""COMPUTED_VALUE"""),45949.04154708613)</f>
        <v>45949.04155</v>
      </c>
      <c r="K1317" s="15">
        <f>IFERROR(__xludf.DUMMYFUNCTION("""COMPUTED_VALUE"""),45949.27933572148)</f>
        <v>45949.27934</v>
      </c>
      <c r="L1317" s="4"/>
    </row>
    <row r="1318">
      <c r="A1318" s="1">
        <f>IFERROR(__xludf.DUMMYFUNCTION("""COMPUTED_VALUE"""),1317.0)</f>
        <v>1317</v>
      </c>
      <c r="B1318" s="1">
        <f>IFERROR(__xludf.DUMMYFUNCTION("""COMPUTED_VALUE"""),6025.0)</f>
        <v>6025</v>
      </c>
      <c r="C1318" s="2" t="str">
        <f>IFERROR(__xludf.DUMMYFUNCTION("""COMPUTED_VALUE"""),"WIR")</f>
        <v>WIR</v>
      </c>
      <c r="D1318" s="2" t="str">
        <f>IFERROR(__xludf.DUMMYFUNCTION("""COMPUTED_VALUE"""),"5KM OVERALL M")</f>
        <v>5KM OVERALL M</v>
      </c>
      <c r="E1318" s="1">
        <f>IFERROR(__xludf.DUMMYFUNCTION("""COMPUTED_VALUE"""),749.0)</f>
        <v>749</v>
      </c>
      <c r="F1318" s="1" t="str">
        <f>IFERROR(__xludf.DUMMYFUNCTION("""COMPUTED_VALUE"""),"Male")</f>
        <v>Male</v>
      </c>
      <c r="G1318" s="5">
        <f>IFERROR(__xludf.DUMMYFUNCTION("""COMPUTED_VALUE"""),0.008312888888888889)</f>
        <v>0.008312888889</v>
      </c>
      <c r="H1318" s="15">
        <f>IFERROR(__xludf.DUMMYFUNCTION("""COMPUTED_VALUE"""),0.2549440625)</f>
        <v>0.2549440625</v>
      </c>
      <c r="I1318" s="15">
        <f>IFERROR(__xludf.DUMMYFUNCTION("""COMPUTED_VALUE"""),45949.29650850206)</f>
        <v>45949.29651</v>
      </c>
      <c r="J1318" s="15">
        <f>IFERROR(__xludf.DUMMYFUNCTION("""COMPUTED_VALUE"""),45949.04156443956)</f>
        <v>45949.04156</v>
      </c>
      <c r="K1318" s="15">
        <f>IFERROR(__xludf.DUMMYFUNCTION("""COMPUTED_VALUE"""),45949.27877670497)</f>
        <v>45949.27878</v>
      </c>
      <c r="L1318" s="4"/>
    </row>
    <row r="1319">
      <c r="A1319" s="1">
        <f>IFERROR(__xludf.DUMMYFUNCTION("""COMPUTED_VALUE"""),1318.0)</f>
        <v>1318</v>
      </c>
      <c r="B1319" s="1">
        <f>IFERROR(__xludf.DUMMYFUNCTION("""COMPUTED_VALUE"""),5523.0)</f>
        <v>5523</v>
      </c>
      <c r="C1319" s="2" t="str">
        <f>IFERROR(__xludf.DUMMYFUNCTION("""COMPUTED_VALUE"""),"Rafi NNY")</f>
        <v>Rafi NNY</v>
      </c>
      <c r="D1319" s="2" t="str">
        <f>IFERROR(__xludf.DUMMYFUNCTION("""COMPUTED_VALUE"""),"5KM OVERALL M")</f>
        <v>5KM OVERALL M</v>
      </c>
      <c r="E1319" s="1">
        <f>IFERROR(__xludf.DUMMYFUNCTION("""COMPUTED_VALUE"""),750.0)</f>
        <v>750</v>
      </c>
      <c r="F1319" s="1" t="str">
        <f>IFERROR(__xludf.DUMMYFUNCTION("""COMPUTED_VALUE"""),"Male")</f>
        <v>Male</v>
      </c>
      <c r="G1319" s="5">
        <f>IFERROR(__xludf.DUMMYFUNCTION("""COMPUTED_VALUE"""),0.008316361111111111)</f>
        <v>0.008316361111</v>
      </c>
      <c r="H1319" s="15">
        <f>IFERROR(__xludf.DUMMYFUNCTION("""COMPUTED_VALUE"""),0.2549440625)</f>
        <v>0.2549440625</v>
      </c>
      <c r="I1319" s="15">
        <f>IFERROR(__xludf.DUMMYFUNCTION("""COMPUTED_VALUE"""),45949.29652586841)</f>
        <v>45949.29653</v>
      </c>
      <c r="J1319" s="15">
        <f>IFERROR(__xludf.DUMMYFUNCTION("""COMPUTED_VALUE"""),45949.04158180591)</f>
        <v>45949.04158</v>
      </c>
      <c r="K1319" s="15">
        <f>IFERROR(__xludf.DUMMYFUNCTION("""COMPUTED_VALUE"""),45950.27989583334)</f>
        <v>45950.2799</v>
      </c>
      <c r="L1319" s="4" t="str">
        <f>IFERROR(__xludf.DUMMYFUNCTION("""COMPUTED_VALUE"""),"C")</f>
        <v>C</v>
      </c>
    </row>
    <row r="1320">
      <c r="A1320" s="1">
        <f>IFERROR(__xludf.DUMMYFUNCTION("""COMPUTED_VALUE"""),1319.0)</f>
        <v>1319</v>
      </c>
      <c r="B1320" s="1">
        <f>IFERROR(__xludf.DUMMYFUNCTION("""COMPUTED_VALUE"""),5628.0)</f>
        <v>5628</v>
      </c>
      <c r="C1320" s="2" t="str">
        <f>IFERROR(__xludf.DUMMYFUNCTION("""COMPUTED_VALUE"""),"ILA")</f>
        <v>ILA</v>
      </c>
      <c r="D1320" s="2" t="str">
        <f>IFERROR(__xludf.DUMMYFUNCTION("""COMPUTED_VALUE"""),"5KM OVERALL F")</f>
        <v>5KM OVERALL F</v>
      </c>
      <c r="E1320" s="1">
        <f>IFERROR(__xludf.DUMMYFUNCTION("""COMPUTED_VALUE"""),352.0)</f>
        <v>352</v>
      </c>
      <c r="F1320" s="1" t="str">
        <f>IFERROR(__xludf.DUMMYFUNCTION("""COMPUTED_VALUE"""),"Female")</f>
        <v>Female</v>
      </c>
      <c r="G1320" s="5">
        <f>IFERROR(__xludf.DUMMYFUNCTION("""COMPUTED_VALUE"""),0.008328863425925925)</f>
        <v>0.008328863426</v>
      </c>
      <c r="H1320" s="15">
        <f>IFERROR(__xludf.DUMMYFUNCTION("""COMPUTED_VALUE"""),0.2549440625)</f>
        <v>0.2549440625</v>
      </c>
      <c r="I1320" s="15">
        <f>IFERROR(__xludf.DUMMYFUNCTION("""COMPUTED_VALUE"""),45949.29658837647)</f>
        <v>45949.29659</v>
      </c>
      <c r="J1320" s="15">
        <f>IFERROR(__xludf.DUMMYFUNCTION("""COMPUTED_VALUE"""),45949.04164431397)</f>
        <v>45949.04164</v>
      </c>
      <c r="K1320" s="15">
        <f>IFERROR(__xludf.DUMMYFUNCTION("""COMPUTED_VALUE"""),45949.279881021524)</f>
        <v>45949.27988</v>
      </c>
      <c r="L1320" s="4"/>
    </row>
    <row r="1321">
      <c r="A1321" s="1">
        <f>IFERROR(__xludf.DUMMYFUNCTION("""COMPUTED_VALUE"""),1320.0)</f>
        <v>1320</v>
      </c>
      <c r="B1321" s="1">
        <f>IFERROR(__xludf.DUMMYFUNCTION("""COMPUTED_VALUE"""),5502.0)</f>
        <v>5502</v>
      </c>
      <c r="C1321" s="2" t="str">
        <f>IFERROR(__xludf.DUMMYFUNCTION("""COMPUTED_VALUE"""),"MILA")</f>
        <v>MILA</v>
      </c>
      <c r="D1321" s="2" t="str">
        <f>IFERROR(__xludf.DUMMYFUNCTION("""COMPUTED_VALUE"""),"5KM OVERALL F")</f>
        <v>5KM OVERALL F</v>
      </c>
      <c r="E1321" s="1">
        <f>IFERROR(__xludf.DUMMYFUNCTION("""COMPUTED_VALUE"""),353.0)</f>
        <v>353</v>
      </c>
      <c r="F1321" s="1" t="str">
        <f>IFERROR(__xludf.DUMMYFUNCTION("""COMPUTED_VALUE"""),"Female")</f>
        <v>Female</v>
      </c>
      <c r="G1321" s="5">
        <f>IFERROR(__xludf.DUMMYFUNCTION("""COMPUTED_VALUE"""),0.008337891203703703)</f>
        <v>0.008337891204</v>
      </c>
      <c r="H1321" s="15">
        <f>IFERROR(__xludf.DUMMYFUNCTION("""COMPUTED_VALUE"""),0.2549440625)</f>
        <v>0.2549440625</v>
      </c>
      <c r="I1321" s="15">
        <f>IFERROR(__xludf.DUMMYFUNCTION("""COMPUTED_VALUE"""),45949.29663351806)</f>
        <v>45949.29663</v>
      </c>
      <c r="J1321" s="15">
        <f>IFERROR(__xludf.DUMMYFUNCTION("""COMPUTED_VALUE"""),45949.04168945556)</f>
        <v>45949.04169</v>
      </c>
      <c r="K1321" s="15">
        <f>IFERROR(__xludf.DUMMYFUNCTION("""COMPUTED_VALUE"""),45949.27877326575)</f>
        <v>45949.27877</v>
      </c>
      <c r="L1321" s="4"/>
    </row>
    <row r="1322">
      <c r="A1322" s="1">
        <f>IFERROR(__xludf.DUMMYFUNCTION("""COMPUTED_VALUE"""),1321.0)</f>
        <v>1321</v>
      </c>
      <c r="B1322" s="1">
        <f>IFERROR(__xludf.DUMMYFUNCTION("""COMPUTED_VALUE"""),6259.0)</f>
        <v>6259</v>
      </c>
      <c r="C1322" s="2" t="str">
        <f>IFERROR(__xludf.DUMMYFUNCTION("""COMPUTED_VALUE"""),"ALMIRA SALWA")</f>
        <v>ALMIRA SALWA</v>
      </c>
      <c r="D1322" s="2" t="str">
        <f>IFERROR(__xludf.DUMMYFUNCTION("""COMPUTED_VALUE"""),"5KM OVERALL F")</f>
        <v>5KM OVERALL F</v>
      </c>
      <c r="E1322" s="1">
        <f>IFERROR(__xludf.DUMMYFUNCTION("""COMPUTED_VALUE"""),354.0)</f>
        <v>354</v>
      </c>
      <c r="F1322" s="1" t="str">
        <f>IFERROR(__xludf.DUMMYFUNCTION("""COMPUTED_VALUE"""),"Female")</f>
        <v>Female</v>
      </c>
      <c r="G1322" s="5">
        <f>IFERROR(__xludf.DUMMYFUNCTION("""COMPUTED_VALUE"""),0.008339972222222223)</f>
        <v>0.008339972222</v>
      </c>
      <c r="H1322" s="15">
        <f>IFERROR(__xludf.DUMMYFUNCTION("""COMPUTED_VALUE"""),0.2549440625)</f>
        <v>0.2549440625</v>
      </c>
      <c r="I1322" s="15">
        <f>IFERROR(__xludf.DUMMYFUNCTION("""COMPUTED_VALUE"""),45949.29664392597)</f>
        <v>45949.29664</v>
      </c>
      <c r="J1322" s="15">
        <f>IFERROR(__xludf.DUMMYFUNCTION("""COMPUTED_VALUE"""),45949.04169986347)</f>
        <v>45949.0417</v>
      </c>
      <c r="K1322" s="15">
        <f>IFERROR(__xludf.DUMMYFUNCTION("""COMPUTED_VALUE"""),45949.278440524446)</f>
        <v>45949.27844</v>
      </c>
      <c r="L1322" s="4"/>
    </row>
    <row r="1323">
      <c r="A1323" s="1">
        <f>IFERROR(__xludf.DUMMYFUNCTION("""COMPUTED_VALUE"""),1322.0)</f>
        <v>1322</v>
      </c>
      <c r="B1323" s="1">
        <f>IFERROR(__xludf.DUMMYFUNCTION("""COMPUTED_VALUE"""),5674.0)</f>
        <v>5674</v>
      </c>
      <c r="C1323" s="2" t="str">
        <f>IFERROR(__xludf.DUMMYFUNCTION("""COMPUTED_VALUE"""),"M Asrin")</f>
        <v>M Asrin</v>
      </c>
      <c r="D1323" s="2" t="str">
        <f>IFERROR(__xludf.DUMMYFUNCTION("""COMPUTED_VALUE"""),"5KM OVERALL M")</f>
        <v>5KM OVERALL M</v>
      </c>
      <c r="E1323" s="1">
        <f>IFERROR(__xludf.DUMMYFUNCTION("""COMPUTED_VALUE"""),751.0)</f>
        <v>751</v>
      </c>
      <c r="F1323" s="1" t="str">
        <f>IFERROR(__xludf.DUMMYFUNCTION("""COMPUTED_VALUE"""),"Male")</f>
        <v>Male</v>
      </c>
      <c r="G1323" s="5">
        <f>IFERROR(__xludf.DUMMYFUNCTION("""COMPUTED_VALUE"""),0.008343444444444443)</f>
        <v>0.008343444444</v>
      </c>
      <c r="H1323" s="15">
        <f>IFERROR(__xludf.DUMMYFUNCTION("""COMPUTED_VALUE"""),0.2549440625)</f>
        <v>0.2549440625</v>
      </c>
      <c r="I1323" s="15">
        <f>IFERROR(__xludf.DUMMYFUNCTION("""COMPUTED_VALUE"""),45949.296661283544)</f>
        <v>45949.29666</v>
      </c>
      <c r="J1323" s="15">
        <f>IFERROR(__xludf.DUMMYFUNCTION("""COMPUTED_VALUE"""),45949.041717221044)</f>
        <v>45949.04172</v>
      </c>
      <c r="K1323" s="15">
        <f>IFERROR(__xludf.DUMMYFUNCTION("""COMPUTED_VALUE"""),45949.27999893268)</f>
        <v>45949.28</v>
      </c>
      <c r="L1323" s="4"/>
    </row>
    <row r="1324">
      <c r="A1324" s="1">
        <f>IFERROR(__xludf.DUMMYFUNCTION("""COMPUTED_VALUE"""),1323.0)</f>
        <v>1323</v>
      </c>
      <c r="B1324" s="1">
        <f>IFERROR(__xludf.DUMMYFUNCTION("""COMPUTED_VALUE"""),6106.0)</f>
        <v>6106</v>
      </c>
      <c r="C1324" s="2" t="str">
        <f>IFERROR(__xludf.DUMMYFUNCTION("""COMPUTED_VALUE"""),"Alif")</f>
        <v>Alif</v>
      </c>
      <c r="D1324" s="2" t="str">
        <f>IFERROR(__xludf.DUMMYFUNCTION("""COMPUTED_VALUE"""),"5KM OVERALL M")</f>
        <v>5KM OVERALL M</v>
      </c>
      <c r="E1324" s="1">
        <f>IFERROR(__xludf.DUMMYFUNCTION("""COMPUTED_VALUE"""),752.0)</f>
        <v>752</v>
      </c>
      <c r="F1324" s="1" t="str">
        <f>IFERROR(__xludf.DUMMYFUNCTION("""COMPUTED_VALUE"""),"Male")</f>
        <v>Male</v>
      </c>
      <c r="G1324" s="5">
        <f>IFERROR(__xludf.DUMMYFUNCTION("""COMPUTED_VALUE"""),0.008344824074074074)</f>
        <v>0.008344824074</v>
      </c>
      <c r="H1324" s="15">
        <f>IFERROR(__xludf.DUMMYFUNCTION("""COMPUTED_VALUE"""),0.2549440625)</f>
        <v>0.2549440625</v>
      </c>
      <c r="I1324" s="15">
        <f>IFERROR(__xludf.DUMMYFUNCTION("""COMPUTED_VALUE"""),45949.29666818404)</f>
        <v>45949.29667</v>
      </c>
      <c r="J1324" s="15">
        <f>IFERROR(__xludf.DUMMYFUNCTION("""COMPUTED_VALUE"""),45949.04172412154)</f>
        <v>45949.04172</v>
      </c>
      <c r="K1324" s="15">
        <f>IFERROR(__xludf.DUMMYFUNCTION("""COMPUTED_VALUE"""),45949.278457323795)</f>
        <v>45949.27846</v>
      </c>
      <c r="L1324" s="4"/>
    </row>
    <row r="1325">
      <c r="A1325" s="1">
        <f>IFERROR(__xludf.DUMMYFUNCTION("""COMPUTED_VALUE"""),1324.0)</f>
        <v>1324</v>
      </c>
      <c r="B1325" s="1">
        <f>IFERROR(__xludf.DUMMYFUNCTION("""COMPUTED_VALUE"""),5073.0)</f>
        <v>5073</v>
      </c>
      <c r="C1325" s="2" t="str">
        <f>IFERROR(__xludf.DUMMYFUNCTION("""COMPUTED_VALUE"""),"Ovi")</f>
        <v>Ovi</v>
      </c>
      <c r="D1325" s="2" t="str">
        <f>IFERROR(__xludf.DUMMYFUNCTION("""COMPUTED_VALUE"""),"5KM OVERALL F")</f>
        <v>5KM OVERALL F</v>
      </c>
      <c r="E1325" s="1">
        <f>IFERROR(__xludf.DUMMYFUNCTION("""COMPUTED_VALUE"""),355.0)</f>
        <v>355</v>
      </c>
      <c r="F1325" s="1" t="str">
        <f>IFERROR(__xludf.DUMMYFUNCTION("""COMPUTED_VALUE"""),"Female")</f>
        <v>Female</v>
      </c>
      <c r="G1325" s="5">
        <f>IFERROR(__xludf.DUMMYFUNCTION("""COMPUTED_VALUE"""),0.008351777777777777)</f>
        <v>0.008351777778</v>
      </c>
      <c r="H1325" s="15">
        <f>IFERROR(__xludf.DUMMYFUNCTION("""COMPUTED_VALUE"""),0.2549440625)</f>
        <v>0.2549440625</v>
      </c>
      <c r="I1325" s="15">
        <f>IFERROR(__xludf.DUMMYFUNCTION("""COMPUTED_VALUE"""),45949.29670294594)</f>
        <v>45949.2967</v>
      </c>
      <c r="J1325" s="15">
        <f>IFERROR(__xludf.DUMMYFUNCTION("""COMPUTED_VALUE"""),45949.04175888344)</f>
        <v>45949.04176</v>
      </c>
      <c r="K1325" s="15">
        <f>IFERROR(__xludf.DUMMYFUNCTION("""COMPUTED_VALUE"""),45949.27791911236)</f>
        <v>45949.27792</v>
      </c>
      <c r="L1325" s="4"/>
    </row>
    <row r="1326">
      <c r="A1326" s="1">
        <f>IFERROR(__xludf.DUMMYFUNCTION("""COMPUTED_VALUE"""),1325.0)</f>
        <v>1325</v>
      </c>
      <c r="B1326" s="1">
        <f>IFERROR(__xludf.DUMMYFUNCTION("""COMPUTED_VALUE"""),5137.0)</f>
        <v>5137</v>
      </c>
      <c r="C1326" s="2" t="str">
        <f>IFERROR(__xludf.DUMMYFUNCTION("""COMPUTED_VALUE"""),"Yahya")</f>
        <v>Yahya</v>
      </c>
      <c r="D1326" s="2" t="str">
        <f>IFERROR(__xludf.DUMMYFUNCTION("""COMPUTED_VALUE"""),"5KM OVERALL M")</f>
        <v>5KM OVERALL M</v>
      </c>
      <c r="E1326" s="1">
        <f>IFERROR(__xludf.DUMMYFUNCTION("""COMPUTED_VALUE"""),753.0)</f>
        <v>753</v>
      </c>
      <c r="F1326" s="1" t="str">
        <f>IFERROR(__xludf.DUMMYFUNCTION("""COMPUTED_VALUE"""),"Male")</f>
        <v>Male</v>
      </c>
      <c r="G1326" s="5">
        <f>IFERROR(__xludf.DUMMYFUNCTION("""COMPUTED_VALUE"""),0.008351780092592593)</f>
        <v>0.008351780093</v>
      </c>
      <c r="H1326" s="15">
        <f>IFERROR(__xludf.DUMMYFUNCTION("""COMPUTED_VALUE"""),0.2549440625)</f>
        <v>0.2549440625</v>
      </c>
      <c r="I1326" s="15">
        <f>IFERROR(__xludf.DUMMYFUNCTION("""COMPUTED_VALUE"""),45949.29670295796)</f>
        <v>45949.2967</v>
      </c>
      <c r="J1326" s="15">
        <f>IFERROR(__xludf.DUMMYFUNCTION("""COMPUTED_VALUE"""),45949.04175889546)</f>
        <v>45949.04176</v>
      </c>
      <c r="K1326" s="15">
        <f>IFERROR(__xludf.DUMMYFUNCTION("""COMPUTED_VALUE"""),45949.27950602039)</f>
        <v>45949.27951</v>
      </c>
      <c r="L1326" s="4"/>
    </row>
    <row r="1327">
      <c r="A1327" s="1">
        <f>IFERROR(__xludf.DUMMYFUNCTION("""COMPUTED_VALUE"""),1326.0)</f>
        <v>1326</v>
      </c>
      <c r="B1327" s="1">
        <f>IFERROR(__xludf.DUMMYFUNCTION("""COMPUTED_VALUE"""),5128.0)</f>
        <v>5128</v>
      </c>
      <c r="C1327" s="2" t="str">
        <f>IFERROR(__xludf.DUMMYFUNCTION("""COMPUTED_VALUE"""),"Jun")</f>
        <v>Jun</v>
      </c>
      <c r="D1327" s="2" t="str">
        <f>IFERROR(__xludf.DUMMYFUNCTION("""COMPUTED_VALUE"""),"5KM OVERALL M")</f>
        <v>5KM OVERALL M</v>
      </c>
      <c r="E1327" s="1">
        <f>IFERROR(__xludf.DUMMYFUNCTION("""COMPUTED_VALUE"""),754.0)</f>
        <v>754</v>
      </c>
      <c r="F1327" s="1" t="str">
        <f>IFERROR(__xludf.DUMMYFUNCTION("""COMPUTED_VALUE"""),"Male")</f>
        <v>Male</v>
      </c>
      <c r="G1327" s="5">
        <f>IFERROR(__xludf.DUMMYFUNCTION("""COMPUTED_VALUE"""),0.008362888888888888)</f>
        <v>0.008362888889</v>
      </c>
      <c r="H1327" s="15">
        <f>IFERROR(__xludf.DUMMYFUNCTION("""COMPUTED_VALUE"""),0.2549440625)</f>
        <v>0.2549440625</v>
      </c>
      <c r="I1327" s="15">
        <f>IFERROR(__xludf.DUMMYFUNCTION("""COMPUTED_VALUE"""),45949.29675851096)</f>
        <v>45949.29676</v>
      </c>
      <c r="J1327" s="15">
        <f>IFERROR(__xludf.DUMMYFUNCTION("""COMPUTED_VALUE"""),45949.04181444846)</f>
        <v>45949.04181</v>
      </c>
      <c r="K1327" s="15">
        <f>IFERROR(__xludf.DUMMYFUNCTION("""COMPUTED_VALUE"""),45949.27802322212)</f>
        <v>45949.27802</v>
      </c>
      <c r="L1327" s="4"/>
    </row>
    <row r="1328">
      <c r="A1328" s="1">
        <f>IFERROR(__xludf.DUMMYFUNCTION("""COMPUTED_VALUE"""),1327.0)</f>
        <v>1327</v>
      </c>
      <c r="B1328" s="1">
        <f>IFERROR(__xludf.DUMMYFUNCTION("""COMPUTED_VALUE"""),6390.0)</f>
        <v>6390</v>
      </c>
      <c r="C1328" s="2" t="str">
        <f>IFERROR(__xludf.DUMMYFUNCTION("""COMPUTED_VALUE"""),"Naila Rizkia")</f>
        <v>Naila Rizkia</v>
      </c>
      <c r="D1328" s="2" t="str">
        <f>IFERROR(__xludf.DUMMYFUNCTION("""COMPUTED_VALUE"""),"5KM OVERALL F")</f>
        <v>5KM OVERALL F</v>
      </c>
      <c r="E1328" s="1">
        <f>IFERROR(__xludf.DUMMYFUNCTION("""COMPUTED_VALUE"""),356.0)</f>
        <v>356</v>
      </c>
      <c r="F1328" s="1" t="str">
        <f>IFERROR(__xludf.DUMMYFUNCTION("""COMPUTED_VALUE"""),"Female")</f>
        <v>Female</v>
      </c>
      <c r="G1328" s="5">
        <f>IFERROR(__xludf.DUMMYFUNCTION("""COMPUTED_VALUE"""),0.00836775)</f>
        <v>0.00836775</v>
      </c>
      <c r="H1328" s="15">
        <f>IFERROR(__xludf.DUMMYFUNCTION("""COMPUTED_VALUE"""),0.2549440625)</f>
        <v>0.2549440625</v>
      </c>
      <c r="I1328" s="15">
        <f>IFERROR(__xludf.DUMMYFUNCTION("""COMPUTED_VALUE"""),45949.296782811296)</f>
        <v>45949.29678</v>
      </c>
      <c r="J1328" s="15">
        <f>IFERROR(__xludf.DUMMYFUNCTION("""COMPUTED_VALUE"""),45949.041838748795)</f>
        <v>45949.04184</v>
      </c>
      <c r="K1328" s="15">
        <f>IFERROR(__xludf.DUMMYFUNCTION("""COMPUTED_VALUE"""),45949.27686002866)</f>
        <v>45949.27686</v>
      </c>
      <c r="L1328" s="4"/>
    </row>
    <row r="1329">
      <c r="A1329" s="1">
        <f>IFERROR(__xludf.DUMMYFUNCTION("""COMPUTED_VALUE"""),1328.0)</f>
        <v>1328</v>
      </c>
      <c r="B1329" s="1">
        <f>IFERROR(__xludf.DUMMYFUNCTION("""COMPUTED_VALUE"""),6110.0)</f>
        <v>6110</v>
      </c>
      <c r="C1329" s="2" t="str">
        <f>IFERROR(__xludf.DUMMYFUNCTION("""COMPUTED_VALUE"""),"Mimi Aca and Joy")</f>
        <v>Mimi Aca and Joy</v>
      </c>
      <c r="D1329" s="2" t="str">
        <f>IFERROR(__xludf.DUMMYFUNCTION("""COMPUTED_VALUE"""),"5KM OVERALL F")</f>
        <v>5KM OVERALL F</v>
      </c>
      <c r="E1329" s="1">
        <f>IFERROR(__xludf.DUMMYFUNCTION("""COMPUTED_VALUE"""),357.0)</f>
        <v>357</v>
      </c>
      <c r="F1329" s="1" t="str">
        <f>IFERROR(__xludf.DUMMYFUNCTION("""COMPUTED_VALUE"""),"Female")</f>
        <v>Female</v>
      </c>
      <c r="G1329" s="5">
        <f>IFERROR(__xludf.DUMMYFUNCTION("""COMPUTED_VALUE"""),0.008378236111111112)</f>
        <v>0.008378236111</v>
      </c>
      <c r="H1329" s="15">
        <f>IFERROR(__xludf.DUMMYFUNCTION("""COMPUTED_VALUE"""),0.2549440625)</f>
        <v>0.2549440625</v>
      </c>
      <c r="I1329" s="15">
        <f>IFERROR(__xludf.DUMMYFUNCTION("""COMPUTED_VALUE"""),45949.29683523983)</f>
        <v>45949.29684</v>
      </c>
      <c r="J1329" s="15">
        <f>IFERROR(__xludf.DUMMYFUNCTION("""COMPUTED_VALUE"""),45949.04189117733)</f>
        <v>45949.04189</v>
      </c>
      <c r="K1329" s="15">
        <f>IFERROR(__xludf.DUMMYFUNCTION("""COMPUTED_VALUE"""),45949.27928381077)</f>
        <v>45949.27928</v>
      </c>
      <c r="L1329" s="4"/>
    </row>
    <row r="1330">
      <c r="A1330" s="1">
        <f>IFERROR(__xludf.DUMMYFUNCTION("""COMPUTED_VALUE"""),1329.0)</f>
        <v>1329</v>
      </c>
      <c r="B1330" s="1">
        <f>IFERROR(__xludf.DUMMYFUNCTION("""COMPUTED_VALUE"""),6219.0)</f>
        <v>6219</v>
      </c>
      <c r="C1330" s="2" t="str">
        <f>IFERROR(__xludf.DUMMYFUNCTION("""COMPUTED_VALUE"""),"Ayah Aca And Joy")</f>
        <v>Ayah Aca And Joy</v>
      </c>
      <c r="D1330" s="2" t="str">
        <f>IFERROR(__xludf.DUMMYFUNCTION("""COMPUTED_VALUE"""),"5KM OVERALL M")</f>
        <v>5KM OVERALL M</v>
      </c>
      <c r="E1330" s="1">
        <f>IFERROR(__xludf.DUMMYFUNCTION("""COMPUTED_VALUE"""),755.0)</f>
        <v>755</v>
      </c>
      <c r="F1330" s="1" t="str">
        <f>IFERROR(__xludf.DUMMYFUNCTION("""COMPUTED_VALUE"""),"Male")</f>
        <v>Male</v>
      </c>
      <c r="G1330" s="5">
        <f>IFERROR(__xludf.DUMMYFUNCTION("""COMPUTED_VALUE"""),0.008383722222222223)</f>
        <v>0.008383722222</v>
      </c>
      <c r="H1330" s="15">
        <f>IFERROR(__xludf.DUMMYFUNCTION("""COMPUTED_VALUE"""),0.2549440625)</f>
        <v>0.2549440625</v>
      </c>
      <c r="I1330" s="15">
        <f>IFERROR(__xludf.DUMMYFUNCTION("""COMPUTED_VALUE"""),45949.296862678)</f>
        <v>45949.29686</v>
      </c>
      <c r="J1330" s="15">
        <f>IFERROR(__xludf.DUMMYFUNCTION("""COMPUTED_VALUE"""),45949.0419186155)</f>
        <v>45949.04192</v>
      </c>
      <c r="K1330" s="15">
        <f>IFERROR(__xludf.DUMMYFUNCTION("""COMPUTED_VALUE"""),45949.279342671514)</f>
        <v>45949.27934</v>
      </c>
      <c r="L1330" s="4"/>
    </row>
    <row r="1331">
      <c r="A1331" s="1">
        <f>IFERROR(__xludf.DUMMYFUNCTION("""COMPUTED_VALUE"""),1330.0)</f>
        <v>1330</v>
      </c>
      <c r="B1331" s="7" t="str">
        <f>IFERROR(__xludf.DUMMYFUNCTION("""COMPUTED_VALUE"""),"9041")</f>
        <v>9041</v>
      </c>
      <c r="C1331" s="8" t="str">
        <f>IFERROR(__xludf.DUMMYFUNCTION("""COMPUTED_VALUE"""),"ABERR")</f>
        <v>ABERR</v>
      </c>
      <c r="D1331" s="2" t="str">
        <f>IFERROR(__xludf.DUMMYFUNCTION("""COMPUTED_VALUE"""),"5KM STUDENT M")</f>
        <v>5KM STUDENT M</v>
      </c>
      <c r="E1331" s="1">
        <f>IFERROR(__xludf.DUMMYFUNCTION("""COMPUTED_VALUE"""),65.0)</f>
        <v>65</v>
      </c>
      <c r="F1331" s="1" t="str">
        <f>IFERROR(__xludf.DUMMYFUNCTION("""COMPUTED_VALUE"""),"Male")</f>
        <v>Male</v>
      </c>
      <c r="G1331" s="5">
        <f>IFERROR(__xludf.DUMMYFUNCTION("""COMPUTED_VALUE"""),0.008395608796296295)</f>
        <v>0.008395608796</v>
      </c>
      <c r="H1331" s="15">
        <f>IFERROR(__xludf.DUMMYFUNCTION("""COMPUTED_VALUE"""),0.2549440625)</f>
        <v>0.2549440625</v>
      </c>
      <c r="I1331" s="15">
        <f>IFERROR(__xludf.DUMMYFUNCTION("""COMPUTED_VALUE"""),45949.296922105554)</f>
        <v>45949.29692</v>
      </c>
      <c r="J1331" s="15">
        <f>IFERROR(__xludf.DUMMYFUNCTION("""COMPUTED_VALUE"""),45949.04197804305)</f>
        <v>45949.04198</v>
      </c>
      <c r="K1331" s="15">
        <f>IFERROR(__xludf.DUMMYFUNCTION("""COMPUTED_VALUE"""),45949.26365521162)</f>
        <v>45949.26366</v>
      </c>
      <c r="L1331" s="4"/>
    </row>
    <row r="1332">
      <c r="A1332" s="1">
        <f>IFERROR(__xludf.DUMMYFUNCTION("""COMPUTED_VALUE"""),1331.0)</f>
        <v>1331</v>
      </c>
      <c r="B1332" s="1">
        <f>IFERROR(__xludf.DUMMYFUNCTION("""COMPUTED_VALUE"""),7067.0)</f>
        <v>7067</v>
      </c>
      <c r="C1332" s="2" t="str">
        <f>IFERROR(__xludf.DUMMYFUNCTION("""COMPUTED_VALUE"""),"Fanty Yolanda")</f>
        <v>Fanty Yolanda</v>
      </c>
      <c r="D1332" s="2" t="str">
        <f>IFERROR(__xludf.DUMMYFUNCTION("""COMPUTED_VALUE"""),"5KM MASTER F")</f>
        <v>5KM MASTER F</v>
      </c>
      <c r="E1332" s="1">
        <f>IFERROR(__xludf.DUMMYFUNCTION("""COMPUTED_VALUE"""),52.0)</f>
        <v>52</v>
      </c>
      <c r="F1332" s="1" t="str">
        <f>IFERROR(__xludf.DUMMYFUNCTION("""COMPUTED_VALUE"""),"Female")</f>
        <v>Female</v>
      </c>
      <c r="G1332" s="5">
        <f>IFERROR(__xludf.DUMMYFUNCTION("""COMPUTED_VALUE"""),0.008408027777777778)</f>
        <v>0.008408027778</v>
      </c>
      <c r="H1332" s="15">
        <f>IFERROR(__xludf.DUMMYFUNCTION("""COMPUTED_VALUE"""),0.2549440625)</f>
        <v>0.2549440625</v>
      </c>
      <c r="I1332" s="15">
        <f>IFERROR(__xludf.DUMMYFUNCTION("""COMPUTED_VALUE"""),45949.296984197965)</f>
        <v>45949.29698</v>
      </c>
      <c r="J1332" s="15">
        <f>IFERROR(__xludf.DUMMYFUNCTION("""COMPUTED_VALUE"""),45949.042040135464)</f>
        <v>45949.04204</v>
      </c>
      <c r="K1332" s="15">
        <f>IFERROR(__xludf.DUMMYFUNCTION("""COMPUTED_VALUE"""),45949.28083923979)</f>
        <v>45949.28084</v>
      </c>
      <c r="L1332" s="4"/>
    </row>
    <row r="1333">
      <c r="A1333" s="1">
        <f>IFERROR(__xludf.DUMMYFUNCTION("""COMPUTED_VALUE"""),1332.0)</f>
        <v>1332</v>
      </c>
      <c r="B1333" s="1">
        <f>IFERROR(__xludf.DUMMYFUNCTION("""COMPUTED_VALUE"""),7061.0)</f>
        <v>7061</v>
      </c>
      <c r="C1333" s="2" t="str">
        <f>IFERROR(__xludf.DUMMYFUNCTION("""COMPUTED_VALUE"""),"Yunita Sari")</f>
        <v>Yunita Sari</v>
      </c>
      <c r="D1333" s="2" t="str">
        <f>IFERROR(__xludf.DUMMYFUNCTION("""COMPUTED_VALUE"""),"5KM MASTER F")</f>
        <v>5KM MASTER F</v>
      </c>
      <c r="E1333" s="1">
        <f>IFERROR(__xludf.DUMMYFUNCTION("""COMPUTED_VALUE"""),53.0)</f>
        <v>53</v>
      </c>
      <c r="F1333" s="1" t="str">
        <f>IFERROR(__xludf.DUMMYFUNCTION("""COMPUTED_VALUE"""),"Female")</f>
        <v>Female</v>
      </c>
      <c r="G1333" s="5">
        <f>IFERROR(__xludf.DUMMYFUNCTION("""COMPUTED_VALUE"""),0.008408722222222224)</f>
        <v>0.008408722222</v>
      </c>
      <c r="H1333" s="15">
        <f>IFERROR(__xludf.DUMMYFUNCTION("""COMPUTED_VALUE"""),0.2549440625)</f>
        <v>0.2549440625</v>
      </c>
      <c r="I1333" s="15">
        <f>IFERROR(__xludf.DUMMYFUNCTION("""COMPUTED_VALUE"""),45949.296987668116)</f>
        <v>45949.29699</v>
      </c>
      <c r="J1333" s="15">
        <f>IFERROR(__xludf.DUMMYFUNCTION("""COMPUTED_VALUE"""),45949.042043605616)</f>
        <v>45949.04204</v>
      </c>
      <c r="K1333" s="15">
        <f>IFERROR(__xludf.DUMMYFUNCTION("""COMPUTED_VALUE"""),45949.28078021243)</f>
        <v>45949.28078</v>
      </c>
      <c r="L1333" s="4"/>
    </row>
    <row r="1334">
      <c r="A1334" s="1">
        <f>IFERROR(__xludf.DUMMYFUNCTION("""COMPUTED_VALUE"""),1333.0)</f>
        <v>1333</v>
      </c>
      <c r="B1334" s="1">
        <f>IFERROR(__xludf.DUMMYFUNCTION("""COMPUTED_VALUE"""),5604.0)</f>
        <v>5604</v>
      </c>
      <c r="C1334" s="2" t="str">
        <f>IFERROR(__xludf.DUMMYFUNCTION("""COMPUTED_VALUE"""),"Veronika okta Permatasari")</f>
        <v>Veronika okta Permatasari</v>
      </c>
      <c r="D1334" s="2" t="str">
        <f>IFERROR(__xludf.DUMMYFUNCTION("""COMPUTED_VALUE"""),"5KM OVERALL F")</f>
        <v>5KM OVERALL F</v>
      </c>
      <c r="E1334" s="1">
        <f>IFERROR(__xludf.DUMMYFUNCTION("""COMPUTED_VALUE"""),358.0)</f>
        <v>358</v>
      </c>
      <c r="F1334" s="1" t="str">
        <f>IFERROR(__xludf.DUMMYFUNCTION("""COMPUTED_VALUE"""),"Female")</f>
        <v>Female</v>
      </c>
      <c r="G1334" s="5">
        <f>IFERROR(__xludf.DUMMYFUNCTION("""COMPUTED_VALUE"""),0.008426087962962963)</f>
        <v>0.008426087963</v>
      </c>
      <c r="H1334" s="15">
        <f>IFERROR(__xludf.DUMMYFUNCTION("""COMPUTED_VALUE"""),0.2549440625)</f>
        <v>0.2549440625</v>
      </c>
      <c r="I1334" s="15">
        <f>IFERROR(__xludf.DUMMYFUNCTION("""COMPUTED_VALUE"""),45949.297074499904)</f>
        <v>45949.29707</v>
      </c>
      <c r="J1334" s="15">
        <f>IFERROR(__xludf.DUMMYFUNCTION("""COMPUTED_VALUE"""),45949.0421304374)</f>
        <v>45949.04213</v>
      </c>
      <c r="K1334" s="15">
        <f>IFERROR(__xludf.DUMMYFUNCTION("""COMPUTED_VALUE"""),45949.279099612424)</f>
        <v>45949.2791</v>
      </c>
      <c r="L1334" s="4"/>
    </row>
    <row r="1335">
      <c r="A1335" s="1">
        <f>IFERROR(__xludf.DUMMYFUNCTION("""COMPUTED_VALUE"""),1334.0)</f>
        <v>1334</v>
      </c>
      <c r="B1335" s="1">
        <f>IFERROR(__xludf.DUMMYFUNCTION("""COMPUTED_VALUE"""),5064.0)</f>
        <v>5064</v>
      </c>
      <c r="C1335" s="2" t="str">
        <f>IFERROR(__xludf.DUMMYFUNCTION("""COMPUTED_VALUE"""),"Praedevy")</f>
        <v>Praedevy</v>
      </c>
      <c r="D1335" s="2" t="str">
        <f>IFERROR(__xludf.DUMMYFUNCTION("""COMPUTED_VALUE"""),"5KM OVERALL F")</f>
        <v>5KM OVERALL F</v>
      </c>
      <c r="E1335" s="1">
        <f>IFERROR(__xludf.DUMMYFUNCTION("""COMPUTED_VALUE"""),359.0)</f>
        <v>359</v>
      </c>
      <c r="F1335" s="1" t="str">
        <f>IFERROR(__xludf.DUMMYFUNCTION("""COMPUTED_VALUE"""),"Female")</f>
        <v>Female</v>
      </c>
      <c r="G1335" s="5">
        <f>IFERROR(__xludf.DUMMYFUNCTION("""COMPUTED_VALUE"""),0.008426087962962963)</f>
        <v>0.008426087963</v>
      </c>
      <c r="H1335" s="15">
        <f>IFERROR(__xludf.DUMMYFUNCTION("""COMPUTED_VALUE"""),0.2549440625)</f>
        <v>0.2549440625</v>
      </c>
      <c r="I1335" s="15">
        <f>IFERROR(__xludf.DUMMYFUNCTION("""COMPUTED_VALUE"""),45949.297074499904)</f>
        <v>45949.29707</v>
      </c>
      <c r="J1335" s="15">
        <f>IFERROR(__xludf.DUMMYFUNCTION("""COMPUTED_VALUE"""),45949.0421304374)</f>
        <v>45949.04213</v>
      </c>
      <c r="K1335" s="15">
        <f>IFERROR(__xludf.DUMMYFUNCTION("""COMPUTED_VALUE"""),45949.27916906169)</f>
        <v>45949.27917</v>
      </c>
      <c r="L1335" s="4"/>
    </row>
    <row r="1336">
      <c r="A1336" s="1">
        <f>IFERROR(__xludf.DUMMYFUNCTION("""COMPUTED_VALUE"""),1335.0)</f>
        <v>1335</v>
      </c>
      <c r="B1336" s="1">
        <f>IFERROR(__xludf.DUMMYFUNCTION("""COMPUTED_VALUE"""),5371.0)</f>
        <v>5371</v>
      </c>
      <c r="C1336" s="2" t="str">
        <f>IFERROR(__xludf.DUMMYFUNCTION("""COMPUTED_VALUE"""),"TERE")</f>
        <v>TERE</v>
      </c>
      <c r="D1336" s="2" t="str">
        <f>IFERROR(__xludf.DUMMYFUNCTION("""COMPUTED_VALUE"""),"5KM OVERALL M")</f>
        <v>5KM OVERALL M</v>
      </c>
      <c r="E1336" s="1">
        <f>IFERROR(__xludf.DUMMYFUNCTION("""COMPUTED_VALUE"""),756.0)</f>
        <v>756</v>
      </c>
      <c r="F1336" s="1" t="str">
        <f>IFERROR(__xludf.DUMMYFUNCTION("""COMPUTED_VALUE"""),"Male")</f>
        <v>Male</v>
      </c>
      <c r="G1336" s="5">
        <f>IFERROR(__xludf.DUMMYFUNCTION("""COMPUTED_VALUE"""),0.008435111111111112)</f>
        <v>0.008435111111</v>
      </c>
      <c r="H1336" s="15">
        <f>IFERROR(__xludf.DUMMYFUNCTION("""COMPUTED_VALUE"""),0.2549440625)</f>
        <v>0.2549440625</v>
      </c>
      <c r="I1336" s="15">
        <f>IFERROR(__xludf.DUMMYFUNCTION("""COMPUTED_VALUE"""),45949.297119612864)</f>
        <v>45949.29712</v>
      </c>
      <c r="J1336" s="15">
        <f>IFERROR(__xludf.DUMMYFUNCTION("""COMPUTED_VALUE"""),45949.04217555036)</f>
        <v>45949.04218</v>
      </c>
      <c r="K1336" s="15">
        <f>IFERROR(__xludf.DUMMYFUNCTION("""COMPUTED_VALUE"""),45949.2796760007)</f>
        <v>45949.27968</v>
      </c>
      <c r="L1336" s="4"/>
    </row>
    <row r="1337">
      <c r="A1337" s="1">
        <f>IFERROR(__xludf.DUMMYFUNCTION("""COMPUTED_VALUE"""),1335.0)</f>
        <v>1335</v>
      </c>
      <c r="B1337" s="7" t="str">
        <f>IFERROR(__xludf.DUMMYFUNCTION("""COMPUTED_VALUE"""),"9083")</f>
        <v>9083</v>
      </c>
      <c r="C1337" s="8" t="str">
        <f>IFERROR(__xludf.DUMMYFUNCTION("""COMPUTED_VALUE"""),"Yandha / AAN")</f>
        <v>Yandha / AAN</v>
      </c>
      <c r="D1337" s="2" t="str">
        <f>IFERROR(__xludf.DUMMYFUNCTION("""COMPUTED_VALUE"""),"5KM STUDENT M")</f>
        <v>5KM STUDENT M</v>
      </c>
      <c r="E1337" s="1">
        <f>IFERROR(__xludf.DUMMYFUNCTION("""COMPUTED_VALUE"""),66.0)</f>
        <v>66</v>
      </c>
      <c r="F1337" s="1" t="str">
        <f>IFERROR(__xludf.DUMMYFUNCTION("""COMPUTED_VALUE"""),"Male")</f>
        <v>Male</v>
      </c>
      <c r="G1337" s="5">
        <f>IFERROR(__xludf.DUMMYFUNCTION("""COMPUTED_VALUE"""),0.008435111111111112)</f>
        <v>0.008435111111</v>
      </c>
      <c r="H1337" s="15">
        <f>IFERROR(__xludf.DUMMYFUNCTION("""COMPUTED_VALUE"""),0.2549440625)</f>
        <v>0.2549440625</v>
      </c>
      <c r="I1337" s="15">
        <f>IFERROR(__xludf.DUMMYFUNCTION("""COMPUTED_VALUE"""),45949.297119612864)</f>
        <v>45949.29712</v>
      </c>
      <c r="J1337" s="15">
        <f>IFERROR(__xludf.DUMMYFUNCTION("""COMPUTED_VALUE"""),45949.04217555036)</f>
        <v>45949.04218</v>
      </c>
      <c r="K1337" s="15">
        <f>IFERROR(__xludf.DUMMYFUNCTION("""COMPUTED_VALUE"""),45949.281217735734)</f>
        <v>45949.28122</v>
      </c>
      <c r="L1337" s="4"/>
    </row>
    <row r="1338">
      <c r="A1338" s="1">
        <f>IFERROR(__xludf.DUMMYFUNCTION("""COMPUTED_VALUE"""),1337.0)</f>
        <v>1337</v>
      </c>
      <c r="B1338" s="1">
        <f>IFERROR(__xludf.DUMMYFUNCTION("""COMPUTED_VALUE"""),5436.0)</f>
        <v>5436</v>
      </c>
      <c r="C1338" s="2" t="str">
        <f>IFERROR(__xludf.DUMMYFUNCTION("""COMPUTED_VALUE"""),"Dewi")</f>
        <v>Dewi</v>
      </c>
      <c r="D1338" s="2" t="str">
        <f>IFERROR(__xludf.DUMMYFUNCTION("""COMPUTED_VALUE"""),"5KM OVERALL F")</f>
        <v>5KM OVERALL F</v>
      </c>
      <c r="E1338" s="1">
        <f>IFERROR(__xludf.DUMMYFUNCTION("""COMPUTED_VALUE"""),360.0)</f>
        <v>360</v>
      </c>
      <c r="F1338" s="1" t="str">
        <f>IFERROR(__xludf.DUMMYFUNCTION("""COMPUTED_VALUE"""),"Female")</f>
        <v>Female</v>
      </c>
      <c r="G1338" s="5">
        <f>IFERROR(__xludf.DUMMYFUNCTION("""COMPUTED_VALUE"""),0.008435113425925926)</f>
        <v>0.008435113426</v>
      </c>
      <c r="H1338" s="15">
        <f>IFERROR(__xludf.DUMMYFUNCTION("""COMPUTED_VALUE"""),0.2549440625)</f>
        <v>0.2549440625</v>
      </c>
      <c r="I1338" s="15">
        <f>IFERROR(__xludf.DUMMYFUNCTION("""COMPUTED_VALUE"""),45949.297119628274)</f>
        <v>45949.29712</v>
      </c>
      <c r="J1338" s="15">
        <f>IFERROR(__xludf.DUMMYFUNCTION("""COMPUTED_VALUE"""),45949.04217556577)</f>
        <v>45949.04218</v>
      </c>
      <c r="K1338" s="15">
        <f>IFERROR(__xludf.DUMMYFUNCTION("""COMPUTED_VALUE"""),45949.27969682729)</f>
        <v>45949.2797</v>
      </c>
      <c r="L1338" s="4"/>
    </row>
    <row r="1339">
      <c r="A1339" s="1">
        <f>IFERROR(__xludf.DUMMYFUNCTION("""COMPUTED_VALUE"""),1338.0)</f>
        <v>1338</v>
      </c>
      <c r="B1339" s="1">
        <f>IFERROR(__xludf.DUMMYFUNCTION("""COMPUTED_VALUE"""),6286.0)</f>
        <v>6286</v>
      </c>
      <c r="C1339" s="2" t="str">
        <f>IFERROR(__xludf.DUMMYFUNCTION("""COMPUTED_VALUE"""),"Atit Setiyawan")</f>
        <v>Atit Setiyawan</v>
      </c>
      <c r="D1339" s="2" t="str">
        <f>IFERROR(__xludf.DUMMYFUNCTION("""COMPUTED_VALUE"""),"5KM OVERALL F")</f>
        <v>5KM OVERALL F</v>
      </c>
      <c r="E1339" s="1">
        <f>IFERROR(__xludf.DUMMYFUNCTION("""COMPUTED_VALUE"""),361.0)</f>
        <v>361</v>
      </c>
      <c r="F1339" s="1" t="str">
        <f>IFERROR(__xludf.DUMMYFUNCTION("""COMPUTED_VALUE"""),"Female")</f>
        <v>Female</v>
      </c>
      <c r="G1339" s="5">
        <f>IFERROR(__xludf.DUMMYFUNCTION("""COMPUTED_VALUE"""),0.008439282407407407)</f>
        <v>0.008439282407</v>
      </c>
      <c r="H1339" s="15">
        <f>IFERROR(__xludf.DUMMYFUNCTION("""COMPUTED_VALUE"""),0.2549440625)</f>
        <v>0.2549440625</v>
      </c>
      <c r="I1339" s="15">
        <f>IFERROR(__xludf.DUMMYFUNCTION("""COMPUTED_VALUE"""),45949.29714046949)</f>
        <v>45949.29714</v>
      </c>
      <c r="J1339" s="15">
        <f>IFERROR(__xludf.DUMMYFUNCTION("""COMPUTED_VALUE"""),45949.04219640699)</f>
        <v>45949.0422</v>
      </c>
      <c r="K1339" s="15">
        <f>IFERROR(__xludf.DUMMYFUNCTION("""COMPUTED_VALUE"""),45949.28125932309)</f>
        <v>45949.28126</v>
      </c>
      <c r="L1339" s="4"/>
    </row>
    <row r="1340">
      <c r="A1340" s="1">
        <f>IFERROR(__xludf.DUMMYFUNCTION("""COMPUTED_VALUE"""),1339.0)</f>
        <v>1339</v>
      </c>
      <c r="B1340" s="1">
        <f>IFERROR(__xludf.DUMMYFUNCTION("""COMPUTED_VALUE"""),6558.0)</f>
        <v>6558</v>
      </c>
      <c r="C1340" s="2" t="str">
        <f>IFERROR(__xludf.DUMMYFUNCTION("""COMPUTED_VALUE"""),"Wahyu Budi Santoso")</f>
        <v>Wahyu Budi Santoso</v>
      </c>
      <c r="D1340" s="2" t="str">
        <f>IFERROR(__xludf.DUMMYFUNCTION("""COMPUTED_VALUE"""),"5KM OVERALL M")</f>
        <v>5KM OVERALL M</v>
      </c>
      <c r="E1340" s="1">
        <f>IFERROR(__xludf.DUMMYFUNCTION("""COMPUTED_VALUE"""),757.0)</f>
        <v>757</v>
      </c>
      <c r="F1340" s="1" t="str">
        <f>IFERROR(__xludf.DUMMYFUNCTION("""COMPUTED_VALUE"""),"Male")</f>
        <v>Male</v>
      </c>
      <c r="G1340" s="5">
        <f>IFERROR(__xludf.DUMMYFUNCTION("""COMPUTED_VALUE"""),0.008458724537037037)</f>
        <v>0.008458724537</v>
      </c>
      <c r="H1340" s="15">
        <f>IFERROR(__xludf.DUMMYFUNCTION("""COMPUTED_VALUE"""),0.2549440625)</f>
        <v>0.2549440625</v>
      </c>
      <c r="I1340" s="15">
        <f>IFERROR(__xludf.DUMMYFUNCTION("""COMPUTED_VALUE"""),45949.29723768011)</f>
        <v>45949.29724</v>
      </c>
      <c r="J1340" s="15">
        <f>IFERROR(__xludf.DUMMYFUNCTION("""COMPUTED_VALUE"""),45949.04229361761)</f>
        <v>45949.04229</v>
      </c>
      <c r="K1340" s="15">
        <f>IFERROR(__xludf.DUMMYFUNCTION("""COMPUTED_VALUE"""),45949.279332243874)</f>
        <v>45949.27933</v>
      </c>
      <c r="L1340" s="4"/>
    </row>
    <row r="1341">
      <c r="A1341" s="1">
        <f>IFERROR(__xludf.DUMMYFUNCTION("""COMPUTED_VALUE"""),1340.0)</f>
        <v>1340</v>
      </c>
      <c r="B1341" s="1">
        <f>IFERROR(__xludf.DUMMYFUNCTION("""COMPUTED_VALUE"""),6181.0)</f>
        <v>6181</v>
      </c>
      <c r="C1341" s="2" t="str">
        <f>IFERROR(__xludf.DUMMYFUNCTION("""COMPUTED_VALUE"""),"Kresna")</f>
        <v>Kresna</v>
      </c>
      <c r="D1341" s="2" t="str">
        <f>IFERROR(__xludf.DUMMYFUNCTION("""COMPUTED_VALUE"""),"5KM OVERALL M")</f>
        <v>5KM OVERALL M</v>
      </c>
      <c r="E1341" s="1">
        <f>IFERROR(__xludf.DUMMYFUNCTION("""COMPUTED_VALUE"""),758.0)</f>
        <v>758</v>
      </c>
      <c r="F1341" s="1" t="str">
        <f>IFERROR(__xludf.DUMMYFUNCTION("""COMPUTED_VALUE"""),"Male")</f>
        <v>Male</v>
      </c>
      <c r="G1341" s="5">
        <f>IFERROR(__xludf.DUMMYFUNCTION("""COMPUTED_VALUE"""),0.008464277777777779)</f>
        <v>0.008464277778</v>
      </c>
      <c r="H1341" s="15">
        <f>IFERROR(__xludf.DUMMYFUNCTION("""COMPUTED_VALUE"""),0.2549440625)</f>
        <v>0.2549440625</v>
      </c>
      <c r="I1341" s="15">
        <f>IFERROR(__xludf.DUMMYFUNCTION("""COMPUTED_VALUE"""),45949.297265455745)</f>
        <v>45949.29727</v>
      </c>
      <c r="J1341" s="15">
        <f>IFERROR(__xludf.DUMMYFUNCTION("""COMPUTED_VALUE"""),45949.042321393244)</f>
        <v>45949.04232</v>
      </c>
      <c r="K1341" s="15">
        <f>IFERROR(__xludf.DUMMYFUNCTION("""COMPUTED_VALUE"""),45949.27887392161)</f>
        <v>45949.27887</v>
      </c>
      <c r="L1341" s="4"/>
    </row>
    <row r="1342">
      <c r="A1342" s="1">
        <f>IFERROR(__xludf.DUMMYFUNCTION("""COMPUTED_VALUE"""),1341.0)</f>
        <v>1341</v>
      </c>
      <c r="B1342" s="1">
        <f>IFERROR(__xludf.DUMMYFUNCTION("""COMPUTED_VALUE"""),6559.0)</f>
        <v>6559</v>
      </c>
      <c r="C1342" s="2" t="str">
        <f>IFERROR(__xludf.DUMMYFUNCTION("""COMPUTED_VALUE"""),"Tatik Susianti")</f>
        <v>Tatik Susianti</v>
      </c>
      <c r="D1342" s="2" t="str">
        <f>IFERROR(__xludf.DUMMYFUNCTION("""COMPUTED_VALUE"""),"5KM OVERALL F")</f>
        <v>5KM OVERALL F</v>
      </c>
      <c r="E1342" s="1">
        <f>IFERROR(__xludf.DUMMYFUNCTION("""COMPUTED_VALUE"""),362.0)</f>
        <v>362</v>
      </c>
      <c r="F1342" s="1" t="str">
        <f>IFERROR(__xludf.DUMMYFUNCTION("""COMPUTED_VALUE"""),"Female")</f>
        <v>Female</v>
      </c>
      <c r="G1342" s="5">
        <f>IFERROR(__xludf.DUMMYFUNCTION("""COMPUTED_VALUE"""),0.00846636111111111)</f>
        <v>0.008466361111</v>
      </c>
      <c r="H1342" s="15">
        <f>IFERROR(__xludf.DUMMYFUNCTION("""COMPUTED_VALUE"""),0.2549440625)</f>
        <v>0.2549440625</v>
      </c>
      <c r="I1342" s="15">
        <f>IFERROR(__xludf.DUMMYFUNCTION("""COMPUTED_VALUE"""),45949.29727587294)</f>
        <v>45949.29728</v>
      </c>
      <c r="J1342" s="15">
        <f>IFERROR(__xludf.DUMMYFUNCTION("""COMPUTED_VALUE"""),45949.04233181044)</f>
        <v>45949.04233</v>
      </c>
      <c r="K1342" s="15">
        <f>IFERROR(__xludf.DUMMYFUNCTION("""COMPUTED_VALUE"""),45949.27913803763)</f>
        <v>45949.27914</v>
      </c>
      <c r="L1342" s="4"/>
    </row>
    <row r="1343">
      <c r="A1343" s="1">
        <f>IFERROR(__xludf.DUMMYFUNCTION("""COMPUTED_VALUE"""),1342.0)</f>
        <v>1342</v>
      </c>
      <c r="B1343" s="1">
        <f>IFERROR(__xludf.DUMMYFUNCTION("""COMPUTED_VALUE"""),6187.0)</f>
        <v>6187</v>
      </c>
      <c r="C1343" s="2" t="str">
        <f>IFERROR(__xludf.DUMMYFUNCTION("""COMPUTED_VALUE"""),"Vina")</f>
        <v>Vina</v>
      </c>
      <c r="D1343" s="2" t="str">
        <f>IFERROR(__xludf.DUMMYFUNCTION("""COMPUTED_VALUE"""),"5KM OVERALL F")</f>
        <v>5KM OVERALL F</v>
      </c>
      <c r="E1343" s="1">
        <f>IFERROR(__xludf.DUMMYFUNCTION("""COMPUTED_VALUE"""),363.0)</f>
        <v>363</v>
      </c>
      <c r="F1343" s="1" t="str">
        <f>IFERROR(__xludf.DUMMYFUNCTION("""COMPUTED_VALUE"""),"Female")</f>
        <v>Female</v>
      </c>
      <c r="G1343" s="5">
        <f>IFERROR(__xludf.DUMMYFUNCTION("""COMPUTED_VALUE"""),0.00846775)</f>
        <v>0.00846775</v>
      </c>
      <c r="H1343" s="15">
        <f>IFERROR(__xludf.DUMMYFUNCTION("""COMPUTED_VALUE"""),0.2549440625)</f>
        <v>0.2549440625</v>
      </c>
      <c r="I1343" s="15">
        <f>IFERROR(__xludf.DUMMYFUNCTION("""COMPUTED_VALUE"""),45949.29728281026)</f>
        <v>45949.29728</v>
      </c>
      <c r="J1343" s="15">
        <f>IFERROR(__xludf.DUMMYFUNCTION("""COMPUTED_VALUE"""),45949.04233874776)</f>
        <v>45949.04234</v>
      </c>
      <c r="K1343" s="15">
        <f>IFERROR(__xludf.DUMMYFUNCTION("""COMPUTED_VALUE"""),45949.27902331255)</f>
        <v>45949.27902</v>
      </c>
      <c r="L1343" s="4"/>
    </row>
    <row r="1344">
      <c r="A1344" s="1">
        <f>IFERROR(__xludf.DUMMYFUNCTION("""COMPUTED_VALUE"""),1343.0)</f>
        <v>1343</v>
      </c>
      <c r="B1344" s="1">
        <f>IFERROR(__xludf.DUMMYFUNCTION("""COMPUTED_VALUE"""),5857.0)</f>
        <v>5857</v>
      </c>
      <c r="C1344" s="2" t="str">
        <f>IFERROR(__xludf.DUMMYFUNCTION("""COMPUTED_VALUE"""),"addina")</f>
        <v>addina</v>
      </c>
      <c r="D1344" s="2" t="str">
        <f>IFERROR(__xludf.DUMMYFUNCTION("""COMPUTED_VALUE"""),"5KM OVERALL F")</f>
        <v>5KM OVERALL F</v>
      </c>
      <c r="E1344" s="1">
        <f>IFERROR(__xludf.DUMMYFUNCTION("""COMPUTED_VALUE"""),364.0)</f>
        <v>364</v>
      </c>
      <c r="F1344" s="1" t="str">
        <f>IFERROR(__xludf.DUMMYFUNCTION("""COMPUTED_VALUE"""),"Female")</f>
        <v>Female</v>
      </c>
      <c r="G1344" s="5">
        <f>IFERROR(__xludf.DUMMYFUNCTION("""COMPUTED_VALUE"""),0.008471918981481481)</f>
        <v>0.008471918981</v>
      </c>
      <c r="H1344" s="15">
        <f>IFERROR(__xludf.DUMMYFUNCTION("""COMPUTED_VALUE"""),0.2549440625)</f>
        <v>0.2549440625</v>
      </c>
      <c r="I1344" s="15">
        <f>IFERROR(__xludf.DUMMYFUNCTION("""COMPUTED_VALUE"""),45949.2973036519)</f>
        <v>45949.2973</v>
      </c>
      <c r="J1344" s="15">
        <f>IFERROR(__xludf.DUMMYFUNCTION("""COMPUTED_VALUE"""),45949.0423595894)</f>
        <v>45949.04236</v>
      </c>
      <c r="K1344" s="15">
        <f>IFERROR(__xludf.DUMMYFUNCTION("""COMPUTED_VALUE"""),45949.28052321545)</f>
        <v>45949.28052</v>
      </c>
      <c r="L1344" s="4"/>
    </row>
    <row r="1345">
      <c r="A1345" s="1">
        <f>IFERROR(__xludf.DUMMYFUNCTION("""COMPUTED_VALUE"""),1344.0)</f>
        <v>1344</v>
      </c>
      <c r="B1345" s="1">
        <f>IFERROR(__xludf.DUMMYFUNCTION("""COMPUTED_VALUE"""),5884.0)</f>
        <v>5884</v>
      </c>
      <c r="C1345" s="2" t="str">
        <f>IFERROR(__xludf.DUMMYFUNCTION("""COMPUTED_VALUE"""),"MAX")</f>
        <v>MAX</v>
      </c>
      <c r="D1345" s="2" t="str">
        <f>IFERROR(__xludf.DUMMYFUNCTION("""COMPUTED_VALUE"""),"5KM OVERALL M")</f>
        <v>5KM OVERALL M</v>
      </c>
      <c r="E1345" s="1">
        <f>IFERROR(__xludf.DUMMYFUNCTION("""COMPUTED_VALUE"""),759.0)</f>
        <v>759</v>
      </c>
      <c r="F1345" s="1" t="str">
        <f>IFERROR(__xludf.DUMMYFUNCTION("""COMPUTED_VALUE"""),"Male")</f>
        <v>Male</v>
      </c>
      <c r="G1345" s="5">
        <f>IFERROR(__xludf.DUMMYFUNCTION("""COMPUTED_VALUE"""),0.00847537962962963)</f>
        <v>0.00847537963</v>
      </c>
      <c r="H1345" s="15">
        <f>IFERROR(__xludf.DUMMYFUNCTION("""COMPUTED_VALUE"""),0.2549440625)</f>
        <v>0.2549440625</v>
      </c>
      <c r="I1345" s="15">
        <f>IFERROR(__xludf.DUMMYFUNCTION("""COMPUTED_VALUE"""),45949.297320963706)</f>
        <v>45949.29732</v>
      </c>
      <c r="J1345" s="15">
        <f>IFERROR(__xludf.DUMMYFUNCTION("""COMPUTED_VALUE"""),45949.042376901205)</f>
        <v>45949.04238</v>
      </c>
      <c r="K1345" s="15">
        <f>IFERROR(__xludf.DUMMYFUNCTION("""COMPUTED_VALUE"""),45949.265068354136)</f>
        <v>45949.26507</v>
      </c>
      <c r="L1345" s="4"/>
    </row>
    <row r="1346">
      <c r="A1346" s="1">
        <f>IFERROR(__xludf.DUMMYFUNCTION("""COMPUTED_VALUE"""),1345.0)</f>
        <v>1345</v>
      </c>
      <c r="B1346" s="1">
        <f>IFERROR(__xludf.DUMMYFUNCTION("""COMPUTED_VALUE"""),5717.0)</f>
        <v>5717</v>
      </c>
      <c r="C1346" s="2" t="str">
        <f>IFERROR(__xludf.DUMMYFUNCTION("""COMPUTED_VALUE"""),"Linda Rania")</f>
        <v>Linda Rania</v>
      </c>
      <c r="D1346" s="2" t="str">
        <f>IFERROR(__xludf.DUMMYFUNCTION("""COMPUTED_VALUE"""),"5KM OVERALL F")</f>
        <v>5KM OVERALL F</v>
      </c>
      <c r="E1346" s="1">
        <f>IFERROR(__xludf.DUMMYFUNCTION("""COMPUTED_VALUE"""),365.0)</f>
        <v>365</v>
      </c>
      <c r="F1346" s="1" t="str">
        <f>IFERROR(__xludf.DUMMYFUNCTION("""COMPUTED_VALUE"""),"Female")</f>
        <v>Female</v>
      </c>
      <c r="G1346" s="5">
        <f>IFERROR(__xludf.DUMMYFUNCTION("""COMPUTED_VALUE"""),0.008499694444444445)</f>
        <v>0.008499694444</v>
      </c>
      <c r="H1346" s="15">
        <f>IFERROR(__xludf.DUMMYFUNCTION("""COMPUTED_VALUE"""),0.2549440625)</f>
        <v>0.2549440625</v>
      </c>
      <c r="I1346" s="15">
        <f>IFERROR(__xludf.DUMMYFUNCTION("""COMPUTED_VALUE"""),45949.29744254048)</f>
        <v>45949.29744</v>
      </c>
      <c r="J1346" s="15">
        <f>IFERROR(__xludf.DUMMYFUNCTION("""COMPUTED_VALUE"""),45949.04249847798)</f>
        <v>45949.0425</v>
      </c>
      <c r="K1346" s="15">
        <f>IFERROR(__xludf.DUMMYFUNCTION("""COMPUTED_VALUE"""),45949.27896447549)</f>
        <v>45949.27896</v>
      </c>
      <c r="L1346" s="4"/>
    </row>
    <row r="1347">
      <c r="A1347" s="1">
        <f>IFERROR(__xludf.DUMMYFUNCTION("""COMPUTED_VALUE"""),1346.0)</f>
        <v>1346</v>
      </c>
      <c r="B1347" s="1">
        <f>IFERROR(__xludf.DUMMYFUNCTION("""COMPUTED_VALUE"""),5680.0)</f>
        <v>5680</v>
      </c>
      <c r="C1347" s="2" t="str">
        <f>IFERROR(__xludf.DUMMYFUNCTION("""COMPUTED_VALUE"""),"Nisa")</f>
        <v>Nisa</v>
      </c>
      <c r="D1347" s="2" t="str">
        <f>IFERROR(__xludf.DUMMYFUNCTION("""COMPUTED_VALUE"""),"5KM OVERALL F")</f>
        <v>5KM OVERALL F</v>
      </c>
      <c r="E1347" s="1">
        <f>IFERROR(__xludf.DUMMYFUNCTION("""COMPUTED_VALUE"""),366.0)</f>
        <v>366</v>
      </c>
      <c r="F1347" s="1" t="str">
        <f>IFERROR(__xludf.DUMMYFUNCTION("""COMPUTED_VALUE"""),"Female")</f>
        <v>Female</v>
      </c>
      <c r="G1347" s="5">
        <f>IFERROR(__xludf.DUMMYFUNCTION("""COMPUTED_VALUE"""),0.008501780092592592)</f>
        <v>0.008501780093</v>
      </c>
      <c r="H1347" s="15">
        <f>IFERROR(__xludf.DUMMYFUNCTION("""COMPUTED_VALUE"""),0.2549440625)</f>
        <v>0.2549440625</v>
      </c>
      <c r="I1347" s="15">
        <f>IFERROR(__xludf.DUMMYFUNCTION("""COMPUTED_VALUE"""),45949.2974529631)</f>
        <v>45949.29745</v>
      </c>
      <c r="J1347" s="15">
        <f>IFERROR(__xludf.DUMMYFUNCTION("""COMPUTED_VALUE"""),45949.0425089006)</f>
        <v>45949.04251</v>
      </c>
      <c r="K1347" s="15">
        <f>IFERROR(__xludf.DUMMYFUNCTION("""COMPUTED_VALUE"""),45949.27834267458)</f>
        <v>45949.27834</v>
      </c>
      <c r="L1347" s="4"/>
    </row>
    <row r="1348">
      <c r="A1348" s="1">
        <f>IFERROR(__xludf.DUMMYFUNCTION("""COMPUTED_VALUE"""),1347.0)</f>
        <v>1347</v>
      </c>
      <c r="B1348" s="1">
        <f>IFERROR(__xludf.DUMMYFUNCTION("""COMPUTED_VALUE"""),5977.0)</f>
        <v>5977</v>
      </c>
      <c r="C1348" s="2" t="str">
        <f>IFERROR(__xludf.DUMMYFUNCTION("""COMPUTED_VALUE"""),"Firanita Dewi")</f>
        <v>Firanita Dewi</v>
      </c>
      <c r="D1348" s="2" t="str">
        <f>IFERROR(__xludf.DUMMYFUNCTION("""COMPUTED_VALUE"""),"5KM OVERALL F")</f>
        <v>5KM OVERALL F</v>
      </c>
      <c r="E1348" s="1">
        <f>IFERROR(__xludf.DUMMYFUNCTION("""COMPUTED_VALUE"""),367.0)</f>
        <v>367</v>
      </c>
      <c r="F1348" s="1" t="str">
        <f>IFERROR(__xludf.DUMMYFUNCTION("""COMPUTED_VALUE"""),"Female")</f>
        <v>Female</v>
      </c>
      <c r="G1348" s="5">
        <f>IFERROR(__xludf.DUMMYFUNCTION("""COMPUTED_VALUE"""),0.008525574074074073)</f>
        <v>0.008525574074</v>
      </c>
      <c r="H1348" s="15">
        <f>IFERROR(__xludf.DUMMYFUNCTION("""COMPUTED_VALUE"""),0.2549440625)</f>
        <v>0.2549440625</v>
      </c>
      <c r="I1348" s="15">
        <f>IFERROR(__xludf.DUMMYFUNCTION("""COMPUTED_VALUE"""),45949.29757192828)</f>
        <v>45949.29757</v>
      </c>
      <c r="J1348" s="15">
        <f>IFERROR(__xludf.DUMMYFUNCTION("""COMPUTED_VALUE"""),45949.042627865776)</f>
        <v>45949.04263</v>
      </c>
      <c r="K1348" s="15">
        <f>IFERROR(__xludf.DUMMYFUNCTION("""COMPUTED_VALUE"""),45949.28023501998)</f>
        <v>45949.28024</v>
      </c>
      <c r="L1348" s="4"/>
    </row>
    <row r="1349">
      <c r="A1349" s="1">
        <f>IFERROR(__xludf.DUMMYFUNCTION("""COMPUTED_VALUE"""),1348.0)</f>
        <v>1348</v>
      </c>
      <c r="B1349" s="1">
        <f>IFERROR(__xludf.DUMMYFUNCTION("""COMPUTED_VALUE"""),5931.0)</f>
        <v>5931</v>
      </c>
      <c r="C1349" s="2" t="str">
        <f>IFERROR(__xludf.DUMMYFUNCTION("""COMPUTED_VALUE"""),"Asep Mohamad")</f>
        <v>Asep Mohamad</v>
      </c>
      <c r="D1349" s="2" t="str">
        <f>IFERROR(__xludf.DUMMYFUNCTION("""COMPUTED_VALUE"""),"5KM OVERALL M")</f>
        <v>5KM OVERALL M</v>
      </c>
      <c r="E1349" s="1">
        <f>IFERROR(__xludf.DUMMYFUNCTION("""COMPUTED_VALUE"""),760.0)</f>
        <v>760</v>
      </c>
      <c r="F1349" s="1" t="str">
        <f>IFERROR(__xludf.DUMMYFUNCTION("""COMPUTED_VALUE"""),"Male")</f>
        <v>Male</v>
      </c>
      <c r="G1349" s="5">
        <f>IFERROR(__xludf.DUMMYFUNCTION("""COMPUTED_VALUE"""),0.008526083333333333)</f>
        <v>0.008526083333</v>
      </c>
      <c r="H1349" s="15">
        <f>IFERROR(__xludf.DUMMYFUNCTION("""COMPUTED_VALUE"""),0.2549440625)</f>
        <v>0.2549440625</v>
      </c>
      <c r="I1349" s="15">
        <f>IFERROR(__xludf.DUMMYFUNCTION("""COMPUTED_VALUE"""),45949.297574475495)</f>
        <v>45949.29757</v>
      </c>
      <c r="J1349" s="15">
        <f>IFERROR(__xludf.DUMMYFUNCTION("""COMPUTED_VALUE"""),45949.042630412994)</f>
        <v>45949.04263</v>
      </c>
      <c r="K1349" s="15">
        <f>IFERROR(__xludf.DUMMYFUNCTION("""COMPUTED_VALUE"""),45949.280241980756)</f>
        <v>45949.28024</v>
      </c>
      <c r="L1349" s="4"/>
    </row>
    <row r="1350">
      <c r="A1350" s="1">
        <f>IFERROR(__xludf.DUMMYFUNCTION("""COMPUTED_VALUE"""),1349.0)</f>
        <v>1349</v>
      </c>
      <c r="B1350" s="1">
        <f>IFERROR(__xludf.DUMMYFUNCTION("""COMPUTED_VALUE"""),6229.0)</f>
        <v>6229</v>
      </c>
      <c r="C1350" s="2" t="str">
        <f>IFERROR(__xludf.DUMMYFUNCTION("""COMPUTED_VALUE"""),"BAGUS REFO")</f>
        <v>BAGUS REFO</v>
      </c>
      <c r="D1350" s="2" t="str">
        <f>IFERROR(__xludf.DUMMYFUNCTION("""COMPUTED_VALUE"""),"5KM OVERALL M")</f>
        <v>5KM OVERALL M</v>
      </c>
      <c r="E1350" s="1">
        <f>IFERROR(__xludf.DUMMYFUNCTION("""COMPUTED_VALUE"""),761.0)</f>
        <v>761</v>
      </c>
      <c r="F1350" s="1" t="str">
        <f>IFERROR(__xludf.DUMMYFUNCTION("""COMPUTED_VALUE"""),"Male")</f>
        <v>Male</v>
      </c>
      <c r="G1350" s="5">
        <f>IFERROR(__xludf.DUMMYFUNCTION("""COMPUTED_VALUE"""),0.008534416666666666)</f>
        <v>0.008534416667</v>
      </c>
      <c r="H1350" s="15">
        <f>IFERROR(__xludf.DUMMYFUNCTION("""COMPUTED_VALUE"""),0.2549440625)</f>
        <v>0.2549440625</v>
      </c>
      <c r="I1350" s="15">
        <f>IFERROR(__xludf.DUMMYFUNCTION("""COMPUTED_VALUE"""),45949.29761615151)</f>
        <v>45949.29762</v>
      </c>
      <c r="J1350" s="15">
        <f>IFERROR(__xludf.DUMMYFUNCTION("""COMPUTED_VALUE"""),45949.04267208901)</f>
        <v>45949.04267</v>
      </c>
      <c r="K1350" s="15">
        <f>IFERROR(__xludf.DUMMYFUNCTION("""COMPUTED_VALUE"""),45949.279057945416)</f>
        <v>45949.27906</v>
      </c>
      <c r="L1350" s="4"/>
    </row>
    <row r="1351">
      <c r="A1351" s="1">
        <f>IFERROR(__xludf.DUMMYFUNCTION("""COMPUTED_VALUE"""),1350.0)</f>
        <v>1350</v>
      </c>
      <c r="B1351" s="1">
        <f>IFERROR(__xludf.DUMMYFUNCTION("""COMPUTED_VALUE"""),5181.0)</f>
        <v>5181</v>
      </c>
      <c r="C1351" s="2" t="str">
        <f>IFERROR(__xludf.DUMMYFUNCTION("""COMPUTED_VALUE"""),"Nunik Fitriyanti")</f>
        <v>Nunik Fitriyanti</v>
      </c>
      <c r="D1351" s="2" t="str">
        <f>IFERROR(__xludf.DUMMYFUNCTION("""COMPUTED_VALUE"""),"5KM OVERALL F")</f>
        <v>5KM OVERALL F</v>
      </c>
      <c r="E1351" s="1">
        <f>IFERROR(__xludf.DUMMYFUNCTION("""COMPUTED_VALUE"""),368.0)</f>
        <v>368</v>
      </c>
      <c r="F1351" s="1" t="str">
        <f>IFERROR(__xludf.DUMMYFUNCTION("""COMPUTED_VALUE"""),"Female")</f>
        <v>Female</v>
      </c>
      <c r="G1351" s="5">
        <f>IFERROR(__xludf.DUMMYFUNCTION("""COMPUTED_VALUE"""),0.008539972222222223)</f>
        <v>0.008539972222</v>
      </c>
      <c r="H1351" s="15">
        <f>IFERROR(__xludf.DUMMYFUNCTION("""COMPUTED_VALUE"""),0.2549440625)</f>
        <v>0.2549440625</v>
      </c>
      <c r="I1351" s="15">
        <f>IFERROR(__xludf.DUMMYFUNCTION("""COMPUTED_VALUE"""),45949.2976439197)</f>
        <v>45949.29764</v>
      </c>
      <c r="J1351" s="15">
        <f>IFERROR(__xludf.DUMMYFUNCTION("""COMPUTED_VALUE"""),45949.0426998572)</f>
        <v>45949.0427</v>
      </c>
      <c r="K1351" s="15">
        <f>IFERROR(__xludf.DUMMYFUNCTION("""COMPUTED_VALUE"""),45949.279783694255)</f>
        <v>45949.27978</v>
      </c>
      <c r="L1351" s="4"/>
    </row>
    <row r="1352">
      <c r="A1352" s="1">
        <f>IFERROR(__xludf.DUMMYFUNCTION("""COMPUTED_VALUE"""),1351.0)</f>
        <v>1351</v>
      </c>
      <c r="B1352" s="1">
        <f>IFERROR(__xludf.DUMMYFUNCTION("""COMPUTED_VALUE"""),5982.0)</f>
        <v>5982</v>
      </c>
      <c r="C1352" s="2" t="str">
        <f>IFERROR(__xludf.DUMMYFUNCTION("""COMPUTED_VALUE"""),"Rani")</f>
        <v>Rani</v>
      </c>
      <c r="D1352" s="2" t="str">
        <f>IFERROR(__xludf.DUMMYFUNCTION("""COMPUTED_VALUE"""),"5KM OVERALL F")</f>
        <v>5KM OVERALL F</v>
      </c>
      <c r="E1352" s="1">
        <f>IFERROR(__xludf.DUMMYFUNCTION("""COMPUTED_VALUE"""),369.0)</f>
        <v>369</v>
      </c>
      <c r="F1352" s="1" t="str">
        <f>IFERROR(__xludf.DUMMYFUNCTION("""COMPUTED_VALUE"""),"Female")</f>
        <v>Female</v>
      </c>
      <c r="G1352" s="5">
        <f>IFERROR(__xludf.DUMMYFUNCTION("""COMPUTED_VALUE"""),0.008542773148148148)</f>
        <v>0.008542773148</v>
      </c>
      <c r="H1352" s="15">
        <f>IFERROR(__xludf.DUMMYFUNCTION("""COMPUTED_VALUE"""),0.2549440625)</f>
        <v>0.2549440625</v>
      </c>
      <c r="I1352" s="15">
        <f>IFERROR(__xludf.DUMMYFUNCTION("""COMPUTED_VALUE"""),45949.29765792542)</f>
        <v>45949.29766</v>
      </c>
      <c r="J1352" s="15">
        <f>IFERROR(__xludf.DUMMYFUNCTION("""COMPUTED_VALUE"""),45949.04271386292)</f>
        <v>45949.04271</v>
      </c>
      <c r="K1352" s="15">
        <f>IFERROR(__xludf.DUMMYFUNCTION("""COMPUTED_VALUE"""),45949.28071418467)</f>
        <v>45949.28071</v>
      </c>
      <c r="L1352" s="4"/>
    </row>
    <row r="1353">
      <c r="A1353" s="1">
        <f>IFERROR(__xludf.DUMMYFUNCTION("""COMPUTED_VALUE"""),1352.0)</f>
        <v>1352</v>
      </c>
      <c r="B1353" s="1">
        <f>IFERROR(__xludf.DUMMYFUNCTION("""COMPUTED_VALUE"""),5925.0)</f>
        <v>5925</v>
      </c>
      <c r="C1353" s="2" t="str">
        <f>IFERROR(__xludf.DUMMYFUNCTION("""COMPUTED_VALUE"""),"Melia")</f>
        <v>Melia</v>
      </c>
      <c r="D1353" s="2" t="str">
        <f>IFERROR(__xludf.DUMMYFUNCTION("""COMPUTED_VALUE"""),"5KM OVERALL F")</f>
        <v>5KM OVERALL F</v>
      </c>
      <c r="E1353" s="1">
        <f>IFERROR(__xludf.DUMMYFUNCTION("""COMPUTED_VALUE"""),370.0)</f>
        <v>370</v>
      </c>
      <c r="F1353" s="1" t="str">
        <f>IFERROR(__xludf.DUMMYFUNCTION("""COMPUTED_VALUE"""),"Female")</f>
        <v>Female</v>
      </c>
      <c r="G1353" s="5">
        <f>IFERROR(__xludf.DUMMYFUNCTION("""COMPUTED_VALUE"""),0.008546905092592592)</f>
        <v>0.008546905093</v>
      </c>
      <c r="H1353" s="15">
        <f>IFERROR(__xludf.DUMMYFUNCTION("""COMPUTED_VALUE"""),0.2549440625)</f>
        <v>0.2549440625</v>
      </c>
      <c r="I1353" s="15">
        <f>IFERROR(__xludf.DUMMYFUNCTION("""COMPUTED_VALUE"""),45949.297678588184)</f>
        <v>45949.29768</v>
      </c>
      <c r="J1353" s="15">
        <f>IFERROR(__xludf.DUMMYFUNCTION("""COMPUTED_VALUE"""),45949.04273452568)</f>
        <v>45949.04273</v>
      </c>
      <c r="K1353" s="15">
        <f>IFERROR(__xludf.DUMMYFUNCTION("""COMPUTED_VALUE"""),45949.27839127817)</f>
        <v>45949.27839</v>
      </c>
      <c r="L1353" s="4"/>
    </row>
    <row r="1354">
      <c r="A1354" s="1">
        <f>IFERROR(__xludf.DUMMYFUNCTION("""COMPUTED_VALUE"""),1353.0)</f>
        <v>1353</v>
      </c>
      <c r="B1354" s="1">
        <f>IFERROR(__xludf.DUMMYFUNCTION("""COMPUTED_VALUE"""),5942.0)</f>
        <v>5942</v>
      </c>
      <c r="C1354" s="2" t="str">
        <f>IFERROR(__xludf.DUMMYFUNCTION("""COMPUTED_VALUE"""),"NURUL HIDAYATI")</f>
        <v>NURUL HIDAYATI</v>
      </c>
      <c r="D1354" s="2" t="str">
        <f>IFERROR(__xludf.DUMMYFUNCTION("""COMPUTED_VALUE"""),"5KM OVERALL F")</f>
        <v>5KM OVERALL F</v>
      </c>
      <c r="E1354" s="1">
        <f>IFERROR(__xludf.DUMMYFUNCTION("""COMPUTED_VALUE"""),371.0)</f>
        <v>371</v>
      </c>
      <c r="F1354" s="1" t="str">
        <f>IFERROR(__xludf.DUMMYFUNCTION("""COMPUTED_VALUE"""),"Female")</f>
        <v>Female</v>
      </c>
      <c r="G1354" s="5">
        <f>IFERROR(__xludf.DUMMYFUNCTION("""COMPUTED_VALUE"""),0.00855037962962963)</f>
        <v>0.00855037963</v>
      </c>
      <c r="H1354" s="15">
        <f>IFERROR(__xludf.DUMMYFUNCTION("""COMPUTED_VALUE"""),0.2549440625)</f>
        <v>0.2549440625</v>
      </c>
      <c r="I1354" s="15">
        <f>IFERROR(__xludf.DUMMYFUNCTION("""COMPUTED_VALUE"""),45949.2976959555)</f>
        <v>45949.2977</v>
      </c>
      <c r="J1354" s="15">
        <f>IFERROR(__xludf.DUMMYFUNCTION("""COMPUTED_VALUE"""),45949.042751893)</f>
        <v>45949.04275</v>
      </c>
      <c r="K1354" s="15">
        <f>IFERROR(__xludf.DUMMYFUNCTION("""COMPUTED_VALUE"""),45949.278391289736)</f>
        <v>45949.27839</v>
      </c>
      <c r="L1354" s="4"/>
    </row>
    <row r="1355">
      <c r="A1355" s="1">
        <f>IFERROR(__xludf.DUMMYFUNCTION("""COMPUTED_VALUE"""),1354.0)</f>
        <v>1354</v>
      </c>
      <c r="B1355" s="7" t="str">
        <f>IFERROR(__xludf.DUMMYFUNCTION("""COMPUTED_VALUE"""),"7175")</f>
        <v>7175</v>
      </c>
      <c r="C1355" s="8" t="str">
        <f>IFERROR(__xludf.DUMMYFUNCTION("""COMPUTED_VALUE"""),"Mas Heri")</f>
        <v>Mas Heri</v>
      </c>
      <c r="D1355" s="2" t="str">
        <f>IFERROR(__xludf.DUMMYFUNCTION("""COMPUTED_VALUE"""),"5KM MASTER M")</f>
        <v>5KM MASTER M</v>
      </c>
      <c r="E1355" s="1">
        <f>IFERROR(__xludf.DUMMYFUNCTION("""COMPUTED_VALUE"""),92.0)</f>
        <v>92</v>
      </c>
      <c r="F1355" s="1" t="str">
        <f>IFERROR(__xludf.DUMMYFUNCTION("""COMPUTED_VALUE"""),"Male")</f>
        <v>Male</v>
      </c>
      <c r="G1355" s="5">
        <f>IFERROR(__xludf.DUMMYFUNCTION("""COMPUTED_VALUE"""),0.008555946759259258)</f>
        <v>0.008555946759</v>
      </c>
      <c r="H1355" s="15">
        <f>IFERROR(__xludf.DUMMYFUNCTION("""COMPUTED_VALUE"""),0.2549440625)</f>
        <v>0.2549440625</v>
      </c>
      <c r="I1355" s="15">
        <f>IFERROR(__xludf.DUMMYFUNCTION("""COMPUTED_VALUE"""),45949.29772379104)</f>
        <v>45949.29772</v>
      </c>
      <c r="J1355" s="15">
        <f>IFERROR(__xludf.DUMMYFUNCTION("""COMPUTED_VALUE"""),45949.04277972854)</f>
        <v>45949.04278</v>
      </c>
      <c r="K1355" s="15">
        <f>IFERROR(__xludf.DUMMYFUNCTION("""COMPUTED_VALUE"""),45949.27937391828)</f>
        <v>45949.27937</v>
      </c>
      <c r="L1355" s="4"/>
    </row>
    <row r="1356">
      <c r="A1356" s="1">
        <f>IFERROR(__xludf.DUMMYFUNCTION("""COMPUTED_VALUE"""),1355.0)</f>
        <v>1355</v>
      </c>
      <c r="B1356" s="1">
        <f>IFERROR(__xludf.DUMMYFUNCTION("""COMPUTED_VALUE"""),6327.0)</f>
        <v>6327</v>
      </c>
      <c r="C1356" s="2" t="str">
        <f>IFERROR(__xludf.DUMMYFUNCTION("""COMPUTED_VALUE"""),"Mbak Irfa")</f>
        <v>Mbak Irfa</v>
      </c>
      <c r="D1356" s="2" t="str">
        <f>IFERROR(__xludf.DUMMYFUNCTION("""COMPUTED_VALUE"""),"5KM OVERALL F")</f>
        <v>5KM OVERALL F</v>
      </c>
      <c r="E1356" s="1">
        <f>IFERROR(__xludf.DUMMYFUNCTION("""COMPUTED_VALUE"""),372.0)</f>
        <v>372</v>
      </c>
      <c r="F1356" s="1" t="str">
        <f>IFERROR(__xludf.DUMMYFUNCTION("""COMPUTED_VALUE"""),"Female")</f>
        <v>Female</v>
      </c>
      <c r="G1356" s="5">
        <f>IFERROR(__xludf.DUMMYFUNCTION("""COMPUTED_VALUE"""),0.008557335648148149)</f>
        <v>0.008557335648</v>
      </c>
      <c r="H1356" s="15">
        <f>IFERROR(__xludf.DUMMYFUNCTION("""COMPUTED_VALUE"""),0.2549440625)</f>
        <v>0.2549440625</v>
      </c>
      <c r="I1356" s="15">
        <f>IFERROR(__xludf.DUMMYFUNCTION("""COMPUTED_VALUE"""),45949.29773073916)</f>
        <v>45949.29773</v>
      </c>
      <c r="J1356" s="15">
        <f>IFERROR(__xludf.DUMMYFUNCTION("""COMPUTED_VALUE"""),45949.04278667666)</f>
        <v>45949.04279</v>
      </c>
      <c r="K1356" s="15">
        <f>IFERROR(__xludf.DUMMYFUNCTION("""COMPUTED_VALUE"""),45949.27936698929)</f>
        <v>45949.27937</v>
      </c>
      <c r="L1356" s="4"/>
    </row>
    <row r="1357">
      <c r="A1357" s="1">
        <f>IFERROR(__xludf.DUMMYFUNCTION("""COMPUTED_VALUE"""),1356.0)</f>
        <v>1356</v>
      </c>
      <c r="B1357" s="1">
        <f>IFERROR(__xludf.DUMMYFUNCTION("""COMPUTED_VALUE"""),5553.0)</f>
        <v>5553</v>
      </c>
      <c r="C1357" s="2" t="str">
        <f>IFERROR(__xludf.DUMMYFUNCTION("""COMPUTED_VALUE"""),"SYARWANI")</f>
        <v>SYARWANI</v>
      </c>
      <c r="D1357" s="2" t="str">
        <f>IFERROR(__xludf.DUMMYFUNCTION("""COMPUTED_VALUE"""),"5KM OVERALL M")</f>
        <v>5KM OVERALL M</v>
      </c>
      <c r="E1357" s="1">
        <f>IFERROR(__xludf.DUMMYFUNCTION("""COMPUTED_VALUE"""),762.0)</f>
        <v>762</v>
      </c>
      <c r="F1357" s="1" t="str">
        <f>IFERROR(__xludf.DUMMYFUNCTION("""COMPUTED_VALUE"""),"Male")</f>
        <v>Male</v>
      </c>
      <c r="G1357" s="5">
        <f>IFERROR(__xludf.DUMMYFUNCTION("""COMPUTED_VALUE"""),0.008561502314814815)</f>
        <v>0.008561502315</v>
      </c>
      <c r="H1357" s="15">
        <f>IFERROR(__xludf.DUMMYFUNCTION("""COMPUTED_VALUE"""),0.2549440625)</f>
        <v>0.2549440625</v>
      </c>
      <c r="I1357" s="15">
        <f>IFERROR(__xludf.DUMMYFUNCTION("""COMPUTED_VALUE"""),45949.29775156929)</f>
        <v>45949.29775</v>
      </c>
      <c r="J1357" s="15">
        <f>IFERROR(__xludf.DUMMYFUNCTION("""COMPUTED_VALUE"""),45949.04280750679)</f>
        <v>45949.04281</v>
      </c>
      <c r="K1357" s="15">
        <f>IFERROR(__xludf.DUMMYFUNCTION("""COMPUTED_VALUE"""),45949.2760336283)</f>
        <v>45949.27603</v>
      </c>
      <c r="L1357" s="4"/>
    </row>
    <row r="1358">
      <c r="A1358" s="1">
        <f>IFERROR(__xludf.DUMMYFUNCTION("""COMPUTED_VALUE"""),1357.0)</f>
        <v>1357</v>
      </c>
      <c r="B1358" s="1">
        <f>IFERROR(__xludf.DUMMYFUNCTION("""COMPUTED_VALUE"""),5591.0)</f>
        <v>5591</v>
      </c>
      <c r="C1358" s="2" t="str">
        <f>IFERROR(__xludf.DUMMYFUNCTION("""COMPUTED_VALUE"""),"Ryan Hidayat")</f>
        <v>Ryan Hidayat</v>
      </c>
      <c r="D1358" s="2" t="str">
        <f>IFERROR(__xludf.DUMMYFUNCTION("""COMPUTED_VALUE"""),"5KM OVERALL M")</f>
        <v>5KM OVERALL M</v>
      </c>
      <c r="E1358" s="1">
        <f>IFERROR(__xludf.DUMMYFUNCTION("""COMPUTED_VALUE"""),763.0)</f>
        <v>763</v>
      </c>
      <c r="F1358" s="1" t="str">
        <f>IFERROR(__xludf.DUMMYFUNCTION("""COMPUTED_VALUE"""),"Male")</f>
        <v>Male</v>
      </c>
      <c r="G1358" s="5">
        <f>IFERROR(__xludf.DUMMYFUNCTION("""COMPUTED_VALUE"""),0.008570527777777778)</f>
        <v>0.008570527778</v>
      </c>
      <c r="H1358" s="15">
        <f>IFERROR(__xludf.DUMMYFUNCTION("""COMPUTED_VALUE"""),0.2549440625)</f>
        <v>0.2549440625</v>
      </c>
      <c r="I1358" s="15">
        <f>IFERROR(__xludf.DUMMYFUNCTION("""COMPUTED_VALUE"""),45949.297796697814)</f>
        <v>45949.2978</v>
      </c>
      <c r="J1358" s="15">
        <f>IFERROR(__xludf.DUMMYFUNCTION("""COMPUTED_VALUE"""),45949.04285263531)</f>
        <v>45949.04285</v>
      </c>
      <c r="K1358" s="15">
        <f>IFERROR(__xludf.DUMMYFUNCTION("""COMPUTED_VALUE"""),45949.28070037209)</f>
        <v>45949.2807</v>
      </c>
      <c r="L1358" s="4"/>
    </row>
    <row r="1359">
      <c r="A1359" s="1">
        <f>IFERROR(__xludf.DUMMYFUNCTION("""COMPUTED_VALUE"""),1358.0)</f>
        <v>1358</v>
      </c>
      <c r="B1359" s="1">
        <f>IFERROR(__xludf.DUMMYFUNCTION("""COMPUTED_VALUE"""),5882.0)</f>
        <v>5882</v>
      </c>
      <c r="C1359" s="2" t="str">
        <f>IFERROR(__xludf.DUMMYFUNCTION("""COMPUTED_VALUE"""),"Lieya")</f>
        <v>Lieya</v>
      </c>
      <c r="D1359" s="2" t="str">
        <f>IFERROR(__xludf.DUMMYFUNCTION("""COMPUTED_VALUE"""),"5KM OVERALL F")</f>
        <v>5KM OVERALL F</v>
      </c>
      <c r="E1359" s="1">
        <f>IFERROR(__xludf.DUMMYFUNCTION("""COMPUTED_VALUE"""),373.0)</f>
        <v>373</v>
      </c>
      <c r="F1359" s="1" t="str">
        <f>IFERROR(__xludf.DUMMYFUNCTION("""COMPUTED_VALUE"""),"Female")</f>
        <v>Female</v>
      </c>
      <c r="G1359" s="5">
        <f>IFERROR(__xludf.DUMMYFUNCTION("""COMPUTED_VALUE"""),0.008571916666666667)</f>
        <v>0.008571916667</v>
      </c>
      <c r="H1359" s="15">
        <f>IFERROR(__xludf.DUMMYFUNCTION("""COMPUTED_VALUE"""),0.2549440625)</f>
        <v>0.2549440625</v>
      </c>
      <c r="I1359" s="15">
        <f>IFERROR(__xludf.DUMMYFUNCTION("""COMPUTED_VALUE"""),45949.29780364938)</f>
        <v>45949.2978</v>
      </c>
      <c r="J1359" s="15">
        <f>IFERROR(__xludf.DUMMYFUNCTION("""COMPUTED_VALUE"""),45949.04285958688)</f>
        <v>45949.04286</v>
      </c>
      <c r="K1359" s="15">
        <f>IFERROR(__xludf.DUMMYFUNCTION("""COMPUTED_VALUE"""),45949.27978016749)</f>
        <v>45949.27978</v>
      </c>
      <c r="L1359" s="4"/>
    </row>
    <row r="1360">
      <c r="A1360" s="1">
        <f>IFERROR(__xludf.DUMMYFUNCTION("""COMPUTED_VALUE"""),1359.0)</f>
        <v>1359</v>
      </c>
      <c r="B1360" s="1">
        <f>IFERROR(__xludf.DUMMYFUNCTION("""COMPUTED_VALUE"""),5878.0)</f>
        <v>5878</v>
      </c>
      <c r="C1360" s="2" t="str">
        <f>IFERROR(__xludf.DUMMYFUNCTION("""COMPUTED_VALUE"""),"MRizka")</f>
        <v>MRizka</v>
      </c>
      <c r="D1360" s="2" t="str">
        <f>IFERROR(__xludf.DUMMYFUNCTION("""COMPUTED_VALUE"""),"5KM OVERALL M")</f>
        <v>5KM OVERALL M</v>
      </c>
      <c r="E1360" s="1">
        <f>IFERROR(__xludf.DUMMYFUNCTION("""COMPUTED_VALUE"""),764.0)</f>
        <v>764</v>
      </c>
      <c r="F1360" s="1" t="str">
        <f>IFERROR(__xludf.DUMMYFUNCTION("""COMPUTED_VALUE"""),"Male")</f>
        <v>Male</v>
      </c>
      <c r="G1360" s="5">
        <f>IFERROR(__xludf.DUMMYFUNCTION("""COMPUTED_VALUE"""),0.008571916666666667)</f>
        <v>0.008571916667</v>
      </c>
      <c r="H1360" s="15">
        <f>IFERROR(__xludf.DUMMYFUNCTION("""COMPUTED_VALUE"""),0.2549440625)</f>
        <v>0.2549440625</v>
      </c>
      <c r="I1360" s="15">
        <f>IFERROR(__xludf.DUMMYFUNCTION("""COMPUTED_VALUE"""),45949.29780364938)</f>
        <v>45949.2978</v>
      </c>
      <c r="J1360" s="15">
        <f>IFERROR(__xludf.DUMMYFUNCTION("""COMPUTED_VALUE"""),45949.04285958688)</f>
        <v>45949.04286</v>
      </c>
      <c r="K1360" s="15">
        <f>IFERROR(__xludf.DUMMYFUNCTION("""COMPUTED_VALUE"""),45950.28065972222)</f>
        <v>45950.28066</v>
      </c>
      <c r="L1360" s="4" t="str">
        <f>IFERROR(__xludf.DUMMYFUNCTION("""COMPUTED_VALUE"""),"C")</f>
        <v>C</v>
      </c>
    </row>
    <row r="1361">
      <c r="A1361" s="1">
        <f>IFERROR(__xludf.DUMMYFUNCTION("""COMPUTED_VALUE"""),1360.0)</f>
        <v>1360</v>
      </c>
      <c r="B1361" s="1">
        <f>IFERROR(__xludf.DUMMYFUNCTION("""COMPUTED_VALUE"""),5037.0)</f>
        <v>5037</v>
      </c>
      <c r="C1361" s="2" t="str">
        <f>IFERROR(__xludf.DUMMYFUNCTION("""COMPUTED_VALUE"""),"Rizqi Liutammi")</f>
        <v>Rizqi Liutammi</v>
      </c>
      <c r="D1361" s="2" t="str">
        <f>IFERROR(__xludf.DUMMYFUNCTION("""COMPUTED_VALUE"""),"5KM OVERALL F")</f>
        <v>5KM OVERALL F</v>
      </c>
      <c r="E1361" s="1">
        <f>IFERROR(__xludf.DUMMYFUNCTION("""COMPUTED_VALUE"""),374.0)</f>
        <v>374</v>
      </c>
      <c r="F1361" s="1" t="str">
        <f>IFERROR(__xludf.DUMMYFUNCTION("""COMPUTED_VALUE"""),"Female")</f>
        <v>Female</v>
      </c>
      <c r="G1361" s="5">
        <f>IFERROR(__xludf.DUMMYFUNCTION("""COMPUTED_VALUE"""),0.008575412037037038)</f>
        <v>0.008575412037</v>
      </c>
      <c r="H1361" s="15">
        <f>IFERROR(__xludf.DUMMYFUNCTION("""COMPUTED_VALUE"""),0.2549440625)</f>
        <v>0.2549440625</v>
      </c>
      <c r="I1361" s="15">
        <f>IFERROR(__xludf.DUMMYFUNCTION("""COMPUTED_VALUE"""),45949.297821117696)</f>
        <v>45949.29782</v>
      </c>
      <c r="J1361" s="15">
        <f>IFERROR(__xludf.DUMMYFUNCTION("""COMPUTED_VALUE"""),45949.042877055195)</f>
        <v>45949.04288</v>
      </c>
      <c r="K1361" s="15">
        <f>IFERROR(__xludf.DUMMYFUNCTION("""COMPUTED_VALUE"""),45949.28035307116)</f>
        <v>45949.28035</v>
      </c>
      <c r="L1361" s="4"/>
    </row>
    <row r="1362">
      <c r="A1362" s="1">
        <f>IFERROR(__xludf.DUMMYFUNCTION("""COMPUTED_VALUE"""),1361.0)</f>
        <v>1361</v>
      </c>
      <c r="B1362" s="1">
        <f>IFERROR(__xludf.DUMMYFUNCTION("""COMPUTED_VALUE"""),6289.0)</f>
        <v>6289</v>
      </c>
      <c r="C1362" s="2" t="str">
        <f>IFERROR(__xludf.DUMMYFUNCTION("""COMPUTED_VALUE"""),"tiayul")</f>
        <v>tiayul</v>
      </c>
      <c r="D1362" s="2" t="str">
        <f>IFERROR(__xludf.DUMMYFUNCTION("""COMPUTED_VALUE"""),"5KM OVERALL F")</f>
        <v>5KM OVERALL F</v>
      </c>
      <c r="E1362" s="1">
        <f>IFERROR(__xludf.DUMMYFUNCTION("""COMPUTED_VALUE"""),375.0)</f>
        <v>375</v>
      </c>
      <c r="F1362" s="1" t="str">
        <f>IFERROR(__xludf.DUMMYFUNCTION("""COMPUTED_VALUE"""),"Female")</f>
        <v>Female</v>
      </c>
      <c r="G1362" s="5">
        <f>IFERROR(__xludf.DUMMYFUNCTION("""COMPUTED_VALUE"""),0.008583886574074075)</f>
        <v>0.008583886574</v>
      </c>
      <c r="H1362" s="15">
        <f>IFERROR(__xludf.DUMMYFUNCTION("""COMPUTED_VALUE"""),0.2549440625)</f>
        <v>0.2549440625</v>
      </c>
      <c r="I1362" s="15">
        <f>IFERROR(__xludf.DUMMYFUNCTION("""COMPUTED_VALUE"""),45949.29786349111)</f>
        <v>45949.29786</v>
      </c>
      <c r="J1362" s="15">
        <f>IFERROR(__xludf.DUMMYFUNCTION("""COMPUTED_VALUE"""),45949.04291942861)</f>
        <v>45949.04292</v>
      </c>
      <c r="K1362" s="15">
        <f>IFERROR(__xludf.DUMMYFUNCTION("""COMPUTED_VALUE"""),45949.27903365782)</f>
        <v>45949.27903</v>
      </c>
      <c r="L1362" s="4"/>
    </row>
    <row r="1363">
      <c r="A1363" s="1">
        <f>IFERROR(__xludf.DUMMYFUNCTION("""COMPUTED_VALUE"""),1362.0)</f>
        <v>1362</v>
      </c>
      <c r="B1363" s="1">
        <f>IFERROR(__xludf.DUMMYFUNCTION("""COMPUTED_VALUE"""),6307.0)</f>
        <v>6307</v>
      </c>
      <c r="C1363" s="2" t="str">
        <f>IFERROR(__xludf.DUMMYFUNCTION("""COMPUTED_VALUE"""),"sofhia")</f>
        <v>sofhia</v>
      </c>
      <c r="D1363" s="2" t="str">
        <f>IFERROR(__xludf.DUMMYFUNCTION("""COMPUTED_VALUE"""),"5KM OVERALL F")</f>
        <v>5KM OVERALL F</v>
      </c>
      <c r="E1363" s="1">
        <f>IFERROR(__xludf.DUMMYFUNCTION("""COMPUTED_VALUE"""),376.0)</f>
        <v>376</v>
      </c>
      <c r="F1363" s="1" t="str">
        <f>IFERROR(__xludf.DUMMYFUNCTION("""COMPUTED_VALUE"""),"Female")</f>
        <v>Female</v>
      </c>
      <c r="G1363" s="5">
        <f>IFERROR(__xludf.DUMMYFUNCTION("""COMPUTED_VALUE"""),0.008589277777777777)</f>
        <v>0.008589277778</v>
      </c>
      <c r="H1363" s="15">
        <f>IFERROR(__xludf.DUMMYFUNCTION("""COMPUTED_VALUE"""),0.2549440625)</f>
        <v>0.2549440625</v>
      </c>
      <c r="I1363" s="15">
        <f>IFERROR(__xludf.DUMMYFUNCTION("""COMPUTED_VALUE"""),45949.29789044719)</f>
        <v>45949.29789</v>
      </c>
      <c r="J1363" s="15">
        <f>IFERROR(__xludf.DUMMYFUNCTION("""COMPUTED_VALUE"""),45949.04294638469)</f>
        <v>45949.04295</v>
      </c>
      <c r="K1363" s="15">
        <f>IFERROR(__xludf.DUMMYFUNCTION("""COMPUTED_VALUE"""),45949.278516299906)</f>
        <v>45949.27852</v>
      </c>
      <c r="L1363" s="4"/>
    </row>
    <row r="1364">
      <c r="A1364" s="1">
        <f>IFERROR(__xludf.DUMMYFUNCTION("""COMPUTED_VALUE"""),1363.0)</f>
        <v>1363</v>
      </c>
      <c r="B1364" s="1">
        <f>IFERROR(__xludf.DUMMYFUNCTION("""COMPUTED_VALUE"""),6248.0)</f>
        <v>6248</v>
      </c>
      <c r="C1364" s="2" t="str">
        <f>IFERROR(__xludf.DUMMYFUNCTION("""COMPUTED_VALUE"""),"Nur Nisrina")</f>
        <v>Nur Nisrina</v>
      </c>
      <c r="D1364" s="2" t="str">
        <f>IFERROR(__xludf.DUMMYFUNCTION("""COMPUTED_VALUE"""),"5KM OVERALL F")</f>
        <v>5KM OVERALL F</v>
      </c>
      <c r="E1364" s="1">
        <f>IFERROR(__xludf.DUMMYFUNCTION("""COMPUTED_VALUE"""),377.0)</f>
        <v>377</v>
      </c>
      <c r="F1364" s="1" t="str">
        <f>IFERROR(__xludf.DUMMYFUNCTION("""COMPUTED_VALUE"""),"Female")</f>
        <v>Female</v>
      </c>
      <c r="G1364" s="5">
        <f>IFERROR(__xludf.DUMMYFUNCTION("""COMPUTED_VALUE"""),0.008610805555555556)</f>
        <v>0.008610805556</v>
      </c>
      <c r="H1364" s="15">
        <f>IFERROR(__xludf.DUMMYFUNCTION("""COMPUTED_VALUE"""),0.2549440625)</f>
        <v>0.2549440625</v>
      </c>
      <c r="I1364" s="15">
        <f>IFERROR(__xludf.DUMMYFUNCTION("""COMPUTED_VALUE"""),45949.29799808613)</f>
        <v>45949.298</v>
      </c>
      <c r="J1364" s="15">
        <f>IFERROR(__xludf.DUMMYFUNCTION("""COMPUTED_VALUE"""),45949.04305402363)</f>
        <v>45949.04305</v>
      </c>
      <c r="K1364" s="15">
        <f>IFERROR(__xludf.DUMMYFUNCTION("""COMPUTED_VALUE"""),45949.27873501614)</f>
        <v>45949.27874</v>
      </c>
      <c r="L1364" s="4"/>
    </row>
    <row r="1365">
      <c r="A1365" s="1">
        <f>IFERROR(__xludf.DUMMYFUNCTION("""COMPUTED_VALUE"""),1364.0)</f>
        <v>1364</v>
      </c>
      <c r="B1365" s="1">
        <f>IFERROR(__xludf.DUMMYFUNCTION("""COMPUTED_VALUE"""),6583.0)</f>
        <v>6583</v>
      </c>
      <c r="C1365" s="2" t="str">
        <f>IFERROR(__xludf.DUMMYFUNCTION("""COMPUTED_VALUE"""),"Np Kalselteng")</f>
        <v>Np Kalselteng</v>
      </c>
      <c r="D1365" s="2" t="str">
        <f>IFERROR(__xludf.DUMMYFUNCTION("""COMPUTED_VALUE"""),"5KM OVERALL M")</f>
        <v>5KM OVERALL M</v>
      </c>
      <c r="E1365" s="1">
        <f>IFERROR(__xludf.DUMMYFUNCTION("""COMPUTED_VALUE"""),765.0)</f>
        <v>765</v>
      </c>
      <c r="F1365" s="1" t="str">
        <f>IFERROR(__xludf.DUMMYFUNCTION("""COMPUTED_VALUE"""),"Male")</f>
        <v>Male</v>
      </c>
      <c r="G1365" s="5">
        <f>IFERROR(__xludf.DUMMYFUNCTION("""COMPUTED_VALUE"""),0.008621215277777778)</f>
        <v>0.008621215278</v>
      </c>
      <c r="H1365" s="15">
        <f>IFERROR(__xludf.DUMMYFUNCTION("""COMPUTED_VALUE"""),0.2549440625)</f>
        <v>0.2549440625</v>
      </c>
      <c r="I1365" s="15">
        <f>IFERROR(__xludf.DUMMYFUNCTION("""COMPUTED_VALUE"""),45949.29805013496)</f>
        <v>45949.29805</v>
      </c>
      <c r="J1365" s="15">
        <f>IFERROR(__xludf.DUMMYFUNCTION("""COMPUTED_VALUE"""),45949.04310607246)</f>
        <v>45949.04311</v>
      </c>
      <c r="K1365" s="15">
        <f>IFERROR(__xludf.DUMMYFUNCTION("""COMPUTED_VALUE"""),45949.28019336092)</f>
        <v>45949.28019</v>
      </c>
      <c r="L1365" s="4"/>
    </row>
    <row r="1366">
      <c r="A1366" s="1">
        <f>IFERROR(__xludf.DUMMYFUNCTION("""COMPUTED_VALUE"""),1365.0)</f>
        <v>1365</v>
      </c>
      <c r="B1366" s="1">
        <f>IFERROR(__xludf.DUMMYFUNCTION("""COMPUTED_VALUE"""),5814.0)</f>
        <v>5814</v>
      </c>
      <c r="C1366" s="2" t="str">
        <f>IFERROR(__xludf.DUMMYFUNCTION("""COMPUTED_VALUE"""),"KINAR")</f>
        <v>KINAR</v>
      </c>
      <c r="D1366" s="2" t="str">
        <f>IFERROR(__xludf.DUMMYFUNCTION("""COMPUTED_VALUE"""),"5KM OVERALL F")</f>
        <v>5KM OVERALL F</v>
      </c>
      <c r="E1366" s="1">
        <f>IFERROR(__xludf.DUMMYFUNCTION("""COMPUTED_VALUE"""),378.0)</f>
        <v>378</v>
      </c>
      <c r="F1366" s="1" t="str">
        <f>IFERROR(__xludf.DUMMYFUNCTION("""COMPUTED_VALUE"""),"Female")</f>
        <v>Female</v>
      </c>
      <c r="G1366" s="5">
        <f>IFERROR(__xludf.DUMMYFUNCTION("""COMPUTED_VALUE"""),0.008640666666666668)</f>
        <v>0.008640666667</v>
      </c>
      <c r="H1366" s="15">
        <f>IFERROR(__xludf.DUMMYFUNCTION("""COMPUTED_VALUE"""),0.2549440625)</f>
        <v>0.2549440625</v>
      </c>
      <c r="I1366" s="15">
        <f>IFERROR(__xludf.DUMMYFUNCTION("""COMPUTED_VALUE"""),45949.298147401605)</f>
        <v>45949.29815</v>
      </c>
      <c r="J1366" s="15">
        <f>IFERROR(__xludf.DUMMYFUNCTION("""COMPUTED_VALUE"""),45949.043203339104)</f>
        <v>45949.0432</v>
      </c>
      <c r="K1366" s="15">
        <f>IFERROR(__xludf.DUMMYFUNCTION("""COMPUTED_VALUE"""),45949.2806725563)</f>
        <v>45949.28067</v>
      </c>
      <c r="L1366" s="4"/>
    </row>
    <row r="1367">
      <c r="A1367" s="1">
        <f>IFERROR(__xludf.DUMMYFUNCTION("""COMPUTED_VALUE"""),1366.0)</f>
        <v>1366</v>
      </c>
      <c r="B1367" s="7" t="str">
        <f>IFERROR(__xludf.DUMMYFUNCTION("""COMPUTED_VALUE"""),"7177")</f>
        <v>7177</v>
      </c>
      <c r="C1367" s="8" t="str">
        <f>IFERROR(__xludf.DUMMYFUNCTION("""COMPUTED_VALUE"""),"ginzo")</f>
        <v>ginzo</v>
      </c>
      <c r="D1367" s="2" t="str">
        <f>IFERROR(__xludf.DUMMYFUNCTION("""COMPUTED_VALUE"""),"5KM MASTER M")</f>
        <v>5KM MASTER M</v>
      </c>
      <c r="E1367" s="1">
        <f>IFERROR(__xludf.DUMMYFUNCTION("""COMPUTED_VALUE"""),93.0)</f>
        <v>93</v>
      </c>
      <c r="F1367" s="1" t="str">
        <f>IFERROR(__xludf.DUMMYFUNCTION("""COMPUTED_VALUE"""),"Male")</f>
        <v>Male</v>
      </c>
      <c r="G1367" s="5">
        <f>IFERROR(__xludf.DUMMYFUNCTION("""COMPUTED_VALUE"""),0.008646222222222222)</f>
        <v>0.008646222222</v>
      </c>
      <c r="H1367" s="15">
        <f>IFERROR(__xludf.DUMMYFUNCTION("""COMPUTED_VALUE"""),0.2549440625)</f>
        <v>0.2549440625</v>
      </c>
      <c r="I1367" s="15">
        <f>IFERROR(__xludf.DUMMYFUNCTION("""COMPUTED_VALUE"""),45949.29817517543)</f>
        <v>45949.29818</v>
      </c>
      <c r="J1367" s="15">
        <f>IFERROR(__xludf.DUMMYFUNCTION("""COMPUTED_VALUE"""),45949.043231112926)</f>
        <v>45949.04323</v>
      </c>
      <c r="K1367" s="15">
        <f>IFERROR(__xludf.DUMMYFUNCTION("""COMPUTED_VALUE"""),45949.279266682075)</f>
        <v>45949.27927</v>
      </c>
      <c r="L1367" s="4"/>
    </row>
    <row r="1368">
      <c r="A1368" s="1">
        <f>IFERROR(__xludf.DUMMYFUNCTION("""COMPUTED_VALUE"""),1367.0)</f>
        <v>1367</v>
      </c>
      <c r="B1368" s="1">
        <f>IFERROR(__xludf.DUMMYFUNCTION("""COMPUTED_VALUE"""),5888.0)</f>
        <v>5888</v>
      </c>
      <c r="C1368" s="2" t="str">
        <f>IFERROR(__xludf.DUMMYFUNCTION("""COMPUTED_VALUE"""),"Enokenok")</f>
        <v>Enokenok</v>
      </c>
      <c r="D1368" s="2" t="str">
        <f>IFERROR(__xludf.DUMMYFUNCTION("""COMPUTED_VALUE"""),"5KM OVERALL F")</f>
        <v>5KM OVERALL F</v>
      </c>
      <c r="E1368" s="1">
        <f>IFERROR(__xludf.DUMMYFUNCTION("""COMPUTED_VALUE"""),379.0)</f>
        <v>379</v>
      </c>
      <c r="F1368" s="1" t="str">
        <f>IFERROR(__xludf.DUMMYFUNCTION("""COMPUTED_VALUE"""),"Female")</f>
        <v>Female</v>
      </c>
      <c r="G1368" s="5">
        <f>IFERROR(__xludf.DUMMYFUNCTION("""COMPUTED_VALUE"""),0.008648305555555557)</f>
        <v>0.008648305556</v>
      </c>
      <c r="H1368" s="15">
        <f>IFERROR(__xludf.DUMMYFUNCTION("""COMPUTED_VALUE"""),0.2549440625)</f>
        <v>0.2549440625</v>
      </c>
      <c r="I1368" s="15">
        <f>IFERROR(__xludf.DUMMYFUNCTION("""COMPUTED_VALUE"""),45949.29818559281)</f>
        <v>45949.29819</v>
      </c>
      <c r="J1368" s="15">
        <f>IFERROR(__xludf.DUMMYFUNCTION("""COMPUTED_VALUE"""),45949.04324153031)</f>
        <v>45949.04324</v>
      </c>
      <c r="K1368" s="15">
        <f>IFERROR(__xludf.DUMMYFUNCTION("""COMPUTED_VALUE"""),45949.280401722244)</f>
        <v>45949.2804</v>
      </c>
      <c r="L1368" s="4"/>
    </row>
    <row r="1369">
      <c r="A1369" s="1">
        <f>IFERROR(__xludf.DUMMYFUNCTION("""COMPUTED_VALUE"""),1368.0)</f>
        <v>1368</v>
      </c>
      <c r="B1369" s="1">
        <f>IFERROR(__xludf.DUMMYFUNCTION("""COMPUTED_VALUE"""),5712.0)</f>
        <v>5712</v>
      </c>
      <c r="C1369" s="2" t="str">
        <f>IFERROR(__xludf.DUMMYFUNCTION("""COMPUTED_VALUE"""),"ORANG DALAM")</f>
        <v>ORANG DALAM</v>
      </c>
      <c r="D1369" s="2" t="str">
        <f>IFERROR(__xludf.DUMMYFUNCTION("""COMPUTED_VALUE"""),"5KM OVERALL M")</f>
        <v>5KM OVERALL M</v>
      </c>
      <c r="E1369" s="1">
        <f>IFERROR(__xludf.DUMMYFUNCTION("""COMPUTED_VALUE"""),766.0)</f>
        <v>766</v>
      </c>
      <c r="F1369" s="1" t="str">
        <f>IFERROR(__xludf.DUMMYFUNCTION("""COMPUTED_VALUE"""),"Male")</f>
        <v>Male</v>
      </c>
      <c r="G1369" s="5">
        <f>IFERROR(__xludf.DUMMYFUNCTION("""COMPUTED_VALUE"""),0.008674694444444445)</f>
        <v>0.008674694444</v>
      </c>
      <c r="H1369" s="15">
        <f>IFERROR(__xludf.DUMMYFUNCTION("""COMPUTED_VALUE"""),0.2549440625)</f>
        <v>0.2549440625</v>
      </c>
      <c r="I1369" s="15">
        <f>IFERROR(__xludf.DUMMYFUNCTION("""COMPUTED_VALUE"""),45949.29831753397)</f>
        <v>45949.29832</v>
      </c>
      <c r="J1369" s="15">
        <f>IFERROR(__xludf.DUMMYFUNCTION("""COMPUTED_VALUE"""),45949.04337347147)</f>
        <v>45949.04337</v>
      </c>
      <c r="K1369" s="15">
        <f>IFERROR(__xludf.DUMMYFUNCTION("""COMPUTED_VALUE"""),45949.280346139)</f>
        <v>45949.28035</v>
      </c>
      <c r="L1369" s="4"/>
    </row>
    <row r="1370">
      <c r="A1370" s="1">
        <f>IFERROR(__xludf.DUMMYFUNCTION("""COMPUTED_VALUE"""),1369.0)</f>
        <v>1369</v>
      </c>
      <c r="B1370" s="1">
        <f>IFERROR(__xludf.DUMMYFUNCTION("""COMPUTED_VALUE"""),5804.0)</f>
        <v>5804</v>
      </c>
      <c r="C1370" s="2" t="str">
        <f>IFERROR(__xludf.DUMMYFUNCTION("""COMPUTED_VALUE"""),"noorijatilhasanah")</f>
        <v>noorijatilhasanah</v>
      </c>
      <c r="D1370" s="2" t="str">
        <f>IFERROR(__xludf.DUMMYFUNCTION("""COMPUTED_VALUE"""),"5KM OVERALL F")</f>
        <v>5KM OVERALL F</v>
      </c>
      <c r="E1370" s="1">
        <f>IFERROR(__xludf.DUMMYFUNCTION("""COMPUTED_VALUE"""),380.0)</f>
        <v>380</v>
      </c>
      <c r="F1370" s="1" t="str">
        <f>IFERROR(__xludf.DUMMYFUNCTION("""COMPUTED_VALUE"""),"Female")</f>
        <v>Female</v>
      </c>
      <c r="G1370" s="5">
        <f>IFERROR(__xludf.DUMMYFUNCTION("""COMPUTED_VALUE"""),0.008683030092592591)</f>
        <v>0.008683030093</v>
      </c>
      <c r="H1370" s="15">
        <f>IFERROR(__xludf.DUMMYFUNCTION("""COMPUTED_VALUE"""),0.2549440625)</f>
        <v>0.2549440625</v>
      </c>
      <c r="I1370" s="15">
        <f>IFERROR(__xludf.DUMMYFUNCTION("""COMPUTED_VALUE"""),45949.29835920856)</f>
        <v>45949.29836</v>
      </c>
      <c r="J1370" s="15">
        <f>IFERROR(__xludf.DUMMYFUNCTION("""COMPUTED_VALUE"""),45949.04341514606)</f>
        <v>45949.04342</v>
      </c>
      <c r="K1370" s="15">
        <f>IFERROR(__xludf.DUMMYFUNCTION("""COMPUTED_VALUE"""),45949.28038789015)</f>
        <v>45949.28039</v>
      </c>
      <c r="L1370" s="4"/>
    </row>
    <row r="1371">
      <c r="A1371" s="1">
        <f>IFERROR(__xludf.DUMMYFUNCTION("""COMPUTED_VALUE"""),1370.0)</f>
        <v>1370</v>
      </c>
      <c r="B1371" s="1">
        <f>IFERROR(__xludf.DUMMYFUNCTION("""COMPUTED_VALUE"""),6172.0)</f>
        <v>6172</v>
      </c>
      <c r="C1371" s="2" t="str">
        <f>IFERROR(__xludf.DUMMYFUNCTION("""COMPUTED_VALUE"""),"Riska")</f>
        <v>Riska</v>
      </c>
      <c r="D1371" s="2" t="str">
        <f>IFERROR(__xludf.DUMMYFUNCTION("""COMPUTED_VALUE"""),"5KM OVERALL F")</f>
        <v>5KM OVERALL F</v>
      </c>
      <c r="E1371" s="1">
        <f>IFERROR(__xludf.DUMMYFUNCTION("""COMPUTED_VALUE"""),381.0)</f>
        <v>381</v>
      </c>
      <c r="F1371" s="1" t="str">
        <f>IFERROR(__xludf.DUMMYFUNCTION("""COMPUTED_VALUE"""),"Female")</f>
        <v>Female</v>
      </c>
      <c r="G1371" s="5">
        <f>IFERROR(__xludf.DUMMYFUNCTION("""COMPUTED_VALUE"""),0.008699)</f>
        <v>0.008699</v>
      </c>
      <c r="H1371" s="15">
        <f>IFERROR(__xludf.DUMMYFUNCTION("""COMPUTED_VALUE"""),0.2549440625)</f>
        <v>0.2549440625</v>
      </c>
      <c r="I1371" s="15">
        <f>IFERROR(__xludf.DUMMYFUNCTION("""COMPUTED_VALUE"""),45949.29843906476)</f>
        <v>45949.29844</v>
      </c>
      <c r="J1371" s="15">
        <f>IFERROR(__xludf.DUMMYFUNCTION("""COMPUTED_VALUE"""),45949.04349500226)</f>
        <v>45949.0435</v>
      </c>
      <c r="K1371" s="15">
        <f>IFERROR(__xludf.DUMMYFUNCTION("""COMPUTED_VALUE"""),45949.27966216921)</f>
        <v>45949.27966</v>
      </c>
      <c r="L1371" s="4"/>
    </row>
    <row r="1372">
      <c r="A1372" s="1">
        <f>IFERROR(__xludf.DUMMYFUNCTION("""COMPUTED_VALUE"""),1371.0)</f>
        <v>1371</v>
      </c>
      <c r="B1372" s="1">
        <f>IFERROR(__xludf.DUMMYFUNCTION("""COMPUTED_VALUE"""),5739.0)</f>
        <v>5739</v>
      </c>
      <c r="C1372" s="2" t="str">
        <f>IFERROR(__xludf.DUMMYFUNCTION("""COMPUTED_VALUE"""),"Ilya Ikrami")</f>
        <v>Ilya Ikrami</v>
      </c>
      <c r="D1372" s="2" t="str">
        <f>IFERROR(__xludf.DUMMYFUNCTION("""COMPUTED_VALUE"""),"5KM OVERALL F")</f>
        <v>5KM OVERALL F</v>
      </c>
      <c r="E1372" s="1">
        <f>IFERROR(__xludf.DUMMYFUNCTION("""COMPUTED_VALUE"""),382.0)</f>
        <v>382</v>
      </c>
      <c r="F1372" s="1" t="str">
        <f>IFERROR(__xludf.DUMMYFUNCTION("""COMPUTED_VALUE"""),"Female")</f>
        <v>Female</v>
      </c>
      <c r="G1372" s="5">
        <f>IFERROR(__xludf.DUMMYFUNCTION("""COMPUTED_VALUE"""),0.008700527777777778)</f>
        <v>0.008700527778</v>
      </c>
      <c r="H1372" s="15">
        <f>IFERROR(__xludf.DUMMYFUNCTION("""COMPUTED_VALUE"""),0.2549440625)</f>
        <v>0.2549440625</v>
      </c>
      <c r="I1372" s="15">
        <f>IFERROR(__xludf.DUMMYFUNCTION("""COMPUTED_VALUE"""),45949.29844670164)</f>
        <v>45949.29845</v>
      </c>
      <c r="J1372" s="15">
        <f>IFERROR(__xludf.DUMMYFUNCTION("""COMPUTED_VALUE"""),45949.04350263914)</f>
        <v>45949.0435</v>
      </c>
      <c r="K1372" s="15">
        <f>IFERROR(__xludf.DUMMYFUNCTION("""COMPUTED_VALUE"""),45949.27992599455)</f>
        <v>45949.27993</v>
      </c>
      <c r="L1372" s="4"/>
    </row>
    <row r="1373">
      <c r="A1373" s="1">
        <f>IFERROR(__xludf.DUMMYFUNCTION("""COMPUTED_VALUE"""),1372.0)</f>
        <v>1372</v>
      </c>
      <c r="B1373" s="1">
        <f>IFERROR(__xludf.DUMMYFUNCTION("""COMPUTED_VALUE"""),5736.0)</f>
        <v>5736</v>
      </c>
      <c r="C1373" s="2" t="str">
        <f>IFERROR(__xludf.DUMMYFUNCTION("""COMPUTED_VALUE"""),"irham")</f>
        <v>irham</v>
      </c>
      <c r="D1373" s="2" t="str">
        <f>IFERROR(__xludf.DUMMYFUNCTION("""COMPUTED_VALUE"""),"5KM OVERALL M")</f>
        <v>5KM OVERALL M</v>
      </c>
      <c r="E1373" s="1">
        <f>IFERROR(__xludf.DUMMYFUNCTION("""COMPUTED_VALUE"""),767.0)</f>
        <v>767</v>
      </c>
      <c r="F1373" s="1" t="str">
        <f>IFERROR(__xludf.DUMMYFUNCTION("""COMPUTED_VALUE"""),"Male")</f>
        <v>Male</v>
      </c>
      <c r="G1373" s="5">
        <f>IFERROR(__xludf.DUMMYFUNCTION("""COMPUTED_VALUE"""),0.008707324074074074)</f>
        <v>0.008707324074</v>
      </c>
      <c r="H1373" s="15">
        <f>IFERROR(__xludf.DUMMYFUNCTION("""COMPUTED_VALUE"""),0.2549440625)</f>
        <v>0.2549440625</v>
      </c>
      <c r="I1373" s="15">
        <f>IFERROR(__xludf.DUMMYFUNCTION("""COMPUTED_VALUE"""),45949.29848068773)</f>
        <v>45949.29848</v>
      </c>
      <c r="J1373" s="15">
        <f>IFERROR(__xludf.DUMMYFUNCTION("""COMPUTED_VALUE"""),45949.04353662523)</f>
        <v>45949.04354</v>
      </c>
      <c r="K1373" s="15">
        <f>IFERROR(__xludf.DUMMYFUNCTION("""COMPUTED_VALUE"""),45950.281064814815)</f>
        <v>45950.28106</v>
      </c>
      <c r="L1373" s="4" t="str">
        <f>IFERROR(__xludf.DUMMYFUNCTION("""COMPUTED_VALUE"""),"C")</f>
        <v>C</v>
      </c>
    </row>
    <row r="1374">
      <c r="A1374" s="1">
        <f>IFERROR(__xludf.DUMMYFUNCTION("""COMPUTED_VALUE"""),1373.0)</f>
        <v>1373</v>
      </c>
      <c r="B1374" s="1">
        <f>IFERROR(__xludf.DUMMYFUNCTION("""COMPUTED_VALUE"""),5746.0)</f>
        <v>5746</v>
      </c>
      <c r="C1374" s="2" t="str">
        <f>IFERROR(__xludf.DUMMYFUNCTION("""COMPUTED_VALUE"""),"Omeng 01")</f>
        <v>Omeng 01</v>
      </c>
      <c r="D1374" s="2" t="str">
        <f>IFERROR(__xludf.DUMMYFUNCTION("""COMPUTED_VALUE"""),"5KM OVERALL F")</f>
        <v>5KM OVERALL F</v>
      </c>
      <c r="E1374" s="1">
        <f>IFERROR(__xludf.DUMMYFUNCTION("""COMPUTED_VALUE"""),383.0)</f>
        <v>383</v>
      </c>
      <c r="F1374" s="1" t="str">
        <f>IFERROR(__xludf.DUMMYFUNCTION("""COMPUTED_VALUE"""),"Female")</f>
        <v>Female</v>
      </c>
      <c r="G1374" s="5">
        <f>IFERROR(__xludf.DUMMYFUNCTION("""COMPUTED_VALUE"""),0.00870801851851852)</f>
        <v>0.008708018519</v>
      </c>
      <c r="H1374" s="15">
        <f>IFERROR(__xludf.DUMMYFUNCTION("""COMPUTED_VALUE"""),0.2549440625)</f>
        <v>0.2549440625</v>
      </c>
      <c r="I1374" s="15">
        <f>IFERROR(__xludf.DUMMYFUNCTION("""COMPUTED_VALUE"""),45949.29848415484)</f>
        <v>45949.29848</v>
      </c>
      <c r="J1374" s="15">
        <f>IFERROR(__xludf.DUMMYFUNCTION("""COMPUTED_VALUE"""),45949.04354009234)</f>
        <v>45949.04354</v>
      </c>
      <c r="K1374" s="15">
        <f>IFERROR(__xludf.DUMMYFUNCTION("""COMPUTED_VALUE"""),45949.28028018338)</f>
        <v>45949.28028</v>
      </c>
      <c r="L1374" s="4"/>
    </row>
    <row r="1375">
      <c r="A1375" s="1">
        <f>IFERROR(__xludf.DUMMYFUNCTION("""COMPUTED_VALUE"""),1374.0)</f>
        <v>1374</v>
      </c>
      <c r="B1375" s="1">
        <f>IFERROR(__xludf.DUMMYFUNCTION("""COMPUTED_VALUE"""),5744.0)</f>
        <v>5744</v>
      </c>
      <c r="C1375" s="2" t="str">
        <f>IFERROR(__xludf.DUMMYFUNCTION("""COMPUTED_VALUE"""),"SEPTI ULIYANI")</f>
        <v>SEPTI ULIYANI</v>
      </c>
      <c r="D1375" s="2" t="str">
        <f>IFERROR(__xludf.DUMMYFUNCTION("""COMPUTED_VALUE"""),"5KM OVERALL F")</f>
        <v>5KM OVERALL F</v>
      </c>
      <c r="E1375" s="1">
        <f>IFERROR(__xludf.DUMMYFUNCTION("""COMPUTED_VALUE"""),384.0)</f>
        <v>384</v>
      </c>
      <c r="F1375" s="1" t="str">
        <f>IFERROR(__xludf.DUMMYFUNCTION("""COMPUTED_VALUE"""),"Female")</f>
        <v>Female</v>
      </c>
      <c r="G1375" s="5">
        <f>IFERROR(__xludf.DUMMYFUNCTION("""COMPUTED_VALUE"""),0.00870801851851852)</f>
        <v>0.008708018519</v>
      </c>
      <c r="H1375" s="15">
        <f>IFERROR(__xludf.DUMMYFUNCTION("""COMPUTED_VALUE"""),0.2549440625)</f>
        <v>0.2549440625</v>
      </c>
      <c r="I1375" s="15">
        <f>IFERROR(__xludf.DUMMYFUNCTION("""COMPUTED_VALUE"""),45949.29848415484)</f>
        <v>45949.29848</v>
      </c>
      <c r="J1375" s="15">
        <f>IFERROR(__xludf.DUMMYFUNCTION("""COMPUTED_VALUE"""),45949.04354009234)</f>
        <v>45949.04354</v>
      </c>
      <c r="K1375" s="15">
        <f>IFERROR(__xludf.DUMMYFUNCTION("""COMPUTED_VALUE"""),45949.28028711059)</f>
        <v>45949.28029</v>
      </c>
      <c r="L1375" s="4"/>
    </row>
    <row r="1376">
      <c r="A1376" s="1">
        <f>IFERROR(__xludf.DUMMYFUNCTION("""COMPUTED_VALUE"""),1375.0)</f>
        <v>1375</v>
      </c>
      <c r="B1376" s="7" t="str">
        <f>IFERROR(__xludf.DUMMYFUNCTION("""COMPUTED_VALUE"""),"7178")</f>
        <v>7178</v>
      </c>
      <c r="C1376" s="8" t="str">
        <f>IFERROR(__xludf.DUMMYFUNCTION("""COMPUTED_VALUE"""),"inna")</f>
        <v>inna</v>
      </c>
      <c r="D1376" s="2" t="str">
        <f>IFERROR(__xludf.DUMMYFUNCTION("""COMPUTED_VALUE"""),"5KM MASTER F")</f>
        <v>5KM MASTER F</v>
      </c>
      <c r="E1376" s="1">
        <f>IFERROR(__xludf.DUMMYFUNCTION("""COMPUTED_VALUE"""),54.0)</f>
        <v>54</v>
      </c>
      <c r="F1376" s="1" t="str">
        <f>IFERROR(__xludf.DUMMYFUNCTION("""COMPUTED_VALUE"""),"Female")</f>
        <v>Female</v>
      </c>
      <c r="G1376" s="5">
        <f>IFERROR(__xludf.DUMMYFUNCTION("""COMPUTED_VALUE"""),0.008709418981481481)</f>
        <v>0.008709418981</v>
      </c>
      <c r="H1376" s="15">
        <f>IFERROR(__xludf.DUMMYFUNCTION("""COMPUTED_VALUE"""),0.2549440625)</f>
        <v>0.2549440625</v>
      </c>
      <c r="I1376" s="15">
        <f>IFERROR(__xludf.DUMMYFUNCTION("""COMPUTED_VALUE"""),45949.29849115621)</f>
        <v>45949.29849</v>
      </c>
      <c r="J1376" s="15">
        <f>IFERROR(__xludf.DUMMYFUNCTION("""COMPUTED_VALUE"""),45949.04354709371)</f>
        <v>45949.04355</v>
      </c>
      <c r="K1376" s="15">
        <f>IFERROR(__xludf.DUMMYFUNCTION("""COMPUTED_VALUE"""),45949.28234619109)</f>
        <v>45949.28235</v>
      </c>
      <c r="L1376" s="4"/>
    </row>
    <row r="1377">
      <c r="A1377" s="1">
        <f>IFERROR(__xludf.DUMMYFUNCTION("""COMPUTED_VALUE"""),1376.0)</f>
        <v>1376</v>
      </c>
      <c r="B1377" s="1">
        <f>IFERROR(__xludf.DUMMYFUNCTION("""COMPUTED_VALUE"""),6016.0)</f>
        <v>6016</v>
      </c>
      <c r="C1377" s="2" t="str">
        <f>IFERROR(__xludf.DUMMYFUNCTION("""COMPUTED_VALUE"""),"yolanda")</f>
        <v>yolanda</v>
      </c>
      <c r="D1377" s="2" t="str">
        <f>IFERROR(__xludf.DUMMYFUNCTION("""COMPUTED_VALUE"""),"5KM OVERALL F")</f>
        <v>5KM OVERALL F</v>
      </c>
      <c r="E1377" s="1">
        <f>IFERROR(__xludf.DUMMYFUNCTION("""COMPUTED_VALUE"""),385.0)</f>
        <v>385</v>
      </c>
      <c r="F1377" s="1" t="str">
        <f>IFERROR(__xludf.DUMMYFUNCTION("""COMPUTED_VALUE"""),"Female")</f>
        <v>Female</v>
      </c>
      <c r="G1377" s="5">
        <f>IFERROR(__xludf.DUMMYFUNCTION("""COMPUTED_VALUE"""),0.00871300462962963)</f>
        <v>0.00871300463</v>
      </c>
      <c r="H1377" s="15">
        <f>IFERROR(__xludf.DUMMYFUNCTION("""COMPUTED_VALUE"""),0.2549440625)</f>
        <v>0.2549440625</v>
      </c>
      <c r="I1377" s="15">
        <f>IFERROR(__xludf.DUMMYFUNCTION("""COMPUTED_VALUE"""),45949.29850908789)</f>
        <v>45949.29851</v>
      </c>
      <c r="J1377" s="15">
        <f>IFERROR(__xludf.DUMMYFUNCTION("""COMPUTED_VALUE"""),45949.043565025386)</f>
        <v>45949.04357</v>
      </c>
      <c r="K1377" s="15">
        <f>IFERROR(__xludf.DUMMYFUNCTION("""COMPUTED_VALUE"""),45949.278721144874)</f>
        <v>45949.27872</v>
      </c>
      <c r="L1377" s="4"/>
    </row>
    <row r="1378">
      <c r="A1378" s="1">
        <f>IFERROR(__xludf.DUMMYFUNCTION("""COMPUTED_VALUE"""),1377.0)</f>
        <v>1377</v>
      </c>
      <c r="B1378" s="1">
        <f>IFERROR(__xludf.DUMMYFUNCTION("""COMPUTED_VALUE"""),6183.0)</f>
        <v>6183</v>
      </c>
      <c r="C1378" s="2" t="str">
        <f>IFERROR(__xludf.DUMMYFUNCTION("""COMPUTED_VALUE"""),"RUJI")</f>
        <v>RUJI</v>
      </c>
      <c r="D1378" s="2" t="str">
        <f>IFERROR(__xludf.DUMMYFUNCTION("""COMPUTED_VALUE"""),"5KM OVERALL M")</f>
        <v>5KM OVERALL M</v>
      </c>
      <c r="E1378" s="1">
        <f>IFERROR(__xludf.DUMMYFUNCTION("""COMPUTED_VALUE"""),768.0)</f>
        <v>768</v>
      </c>
      <c r="F1378" s="1" t="str">
        <f>IFERROR(__xludf.DUMMYFUNCTION("""COMPUTED_VALUE"""),"Male")</f>
        <v>Male</v>
      </c>
      <c r="G1378" s="5">
        <f>IFERROR(__xludf.DUMMYFUNCTION("""COMPUTED_VALUE"""),0.008713006944444445)</f>
        <v>0.008713006944</v>
      </c>
      <c r="H1378" s="15">
        <f>IFERROR(__xludf.DUMMYFUNCTION("""COMPUTED_VALUE"""),0.2549440625)</f>
        <v>0.2549440625</v>
      </c>
      <c r="I1378" s="15">
        <f>IFERROR(__xludf.DUMMYFUNCTION("""COMPUTED_VALUE"""),45949.29850910202)</f>
        <v>45949.29851</v>
      </c>
      <c r="J1378" s="15">
        <f>IFERROR(__xludf.DUMMYFUNCTION("""COMPUTED_VALUE"""),45949.043565039516)</f>
        <v>45949.04357</v>
      </c>
      <c r="K1378" s="15">
        <f>IFERROR(__xludf.DUMMYFUNCTION("""COMPUTED_VALUE"""),45949.27940862859)</f>
        <v>45949.27941</v>
      </c>
      <c r="L1378" s="4"/>
    </row>
    <row r="1379">
      <c r="A1379" s="1">
        <f>IFERROR(__xludf.DUMMYFUNCTION("""COMPUTED_VALUE"""),1378.0)</f>
        <v>1378</v>
      </c>
      <c r="B1379" s="7" t="str">
        <f>IFERROR(__xludf.DUMMYFUNCTION("""COMPUTED_VALUE"""),"7179")</f>
        <v>7179</v>
      </c>
      <c r="C1379" s="8" t="str">
        <f>IFERROR(__xludf.DUMMYFUNCTION("""COMPUTED_VALUE"""),"ibazne")</f>
        <v>ibazne</v>
      </c>
      <c r="D1379" s="2" t="str">
        <f>IFERROR(__xludf.DUMMYFUNCTION("""COMPUTED_VALUE"""),"5KM MASTER M")</f>
        <v>5KM MASTER M</v>
      </c>
      <c r="E1379" s="1">
        <f>IFERROR(__xludf.DUMMYFUNCTION("""COMPUTED_VALUE"""),94.0)</f>
        <v>94</v>
      </c>
      <c r="F1379" s="1" t="str">
        <f>IFERROR(__xludf.DUMMYFUNCTION("""COMPUTED_VALUE"""),"Male")</f>
        <v>Male</v>
      </c>
      <c r="G1379" s="5">
        <f>IFERROR(__xludf.DUMMYFUNCTION("""COMPUTED_VALUE"""),0.008713574074074075)</f>
        <v>0.008713574074</v>
      </c>
      <c r="H1379" s="15">
        <f>IFERROR(__xludf.DUMMYFUNCTION("""COMPUTED_VALUE"""),0.2549440625)</f>
        <v>0.2549440625</v>
      </c>
      <c r="I1379" s="15">
        <f>IFERROR(__xludf.DUMMYFUNCTION("""COMPUTED_VALUE"""),45949.29851192729)</f>
        <v>45949.29851</v>
      </c>
      <c r="J1379" s="15">
        <f>IFERROR(__xludf.DUMMYFUNCTION("""COMPUTED_VALUE"""),45949.04356786479)</f>
        <v>45949.04357</v>
      </c>
      <c r="K1379" s="15">
        <f>IFERROR(__xludf.DUMMYFUNCTION("""COMPUTED_VALUE"""),45949.282301046085)</f>
        <v>45949.2823</v>
      </c>
      <c r="L1379" s="4"/>
    </row>
    <row r="1380">
      <c r="A1380" s="1">
        <f>IFERROR(__xludf.DUMMYFUNCTION("""COMPUTED_VALUE"""),1379.0)</f>
        <v>1379</v>
      </c>
      <c r="B1380" s="1">
        <f>IFERROR(__xludf.DUMMYFUNCTION("""COMPUTED_VALUE"""),5173.0)</f>
        <v>5173</v>
      </c>
      <c r="C1380" s="2" t="str">
        <f>IFERROR(__xludf.DUMMYFUNCTION("""COMPUTED_VALUE"""),"GHINA")</f>
        <v>GHINA</v>
      </c>
      <c r="D1380" s="2" t="str">
        <f>IFERROR(__xludf.DUMMYFUNCTION("""COMPUTED_VALUE"""),"5KM OVERALL F")</f>
        <v>5KM OVERALL F</v>
      </c>
      <c r="E1380" s="1">
        <f>IFERROR(__xludf.DUMMYFUNCTION("""COMPUTED_VALUE"""),386.0)</f>
        <v>386</v>
      </c>
      <c r="F1380" s="1" t="str">
        <f>IFERROR(__xludf.DUMMYFUNCTION("""COMPUTED_VALUE"""),"Female")</f>
        <v>Female</v>
      </c>
      <c r="G1380" s="5">
        <f>IFERROR(__xludf.DUMMYFUNCTION("""COMPUTED_VALUE"""),0.008717046296296296)</f>
        <v>0.008717046296</v>
      </c>
      <c r="H1380" s="15">
        <f>IFERROR(__xludf.DUMMYFUNCTION("""COMPUTED_VALUE"""),0.2549440625)</f>
        <v>0.2549440625</v>
      </c>
      <c r="I1380" s="15">
        <f>IFERROR(__xludf.DUMMYFUNCTION("""COMPUTED_VALUE"""),45949.29852929942)</f>
        <v>45949.29853</v>
      </c>
      <c r="J1380" s="15">
        <f>IFERROR(__xludf.DUMMYFUNCTION("""COMPUTED_VALUE"""),45949.04358523692)</f>
        <v>45949.04359</v>
      </c>
      <c r="K1380" s="15">
        <f>IFERROR(__xludf.DUMMYFUNCTION("""COMPUTED_VALUE"""),45949.28023855079)</f>
        <v>45949.28024</v>
      </c>
      <c r="L1380" s="4"/>
    </row>
    <row r="1381">
      <c r="A1381" s="1">
        <f>IFERROR(__xludf.DUMMYFUNCTION("""COMPUTED_VALUE"""),1380.0)</f>
        <v>1380</v>
      </c>
      <c r="B1381" s="1">
        <f>IFERROR(__xludf.DUMMYFUNCTION("""COMPUTED_VALUE"""),5905.0)</f>
        <v>5905</v>
      </c>
      <c r="C1381" s="2" t="str">
        <f>IFERROR(__xludf.DUMMYFUNCTION("""COMPUTED_VALUE"""),"Sa'duddin")</f>
        <v>Sa'duddin</v>
      </c>
      <c r="D1381" s="2" t="str">
        <f>IFERROR(__xludf.DUMMYFUNCTION("""COMPUTED_VALUE"""),"5KM OVERALL M")</f>
        <v>5KM OVERALL M</v>
      </c>
      <c r="E1381" s="1">
        <f>IFERROR(__xludf.DUMMYFUNCTION("""COMPUTED_VALUE"""),769.0)</f>
        <v>769</v>
      </c>
      <c r="F1381" s="1" t="str">
        <f>IFERROR(__xludf.DUMMYFUNCTION("""COMPUTED_VALUE"""),"Male")</f>
        <v>Male</v>
      </c>
      <c r="G1381" s="5">
        <f>IFERROR(__xludf.DUMMYFUNCTION("""COMPUTED_VALUE"""),0.008719141203703703)</f>
        <v>0.008719141204</v>
      </c>
      <c r="H1381" s="15">
        <f>IFERROR(__xludf.DUMMYFUNCTION("""COMPUTED_VALUE"""),0.2549440625)</f>
        <v>0.2549440625</v>
      </c>
      <c r="I1381" s="15">
        <f>IFERROR(__xludf.DUMMYFUNCTION("""COMPUTED_VALUE"""),45949.29853977001)</f>
        <v>45949.29854</v>
      </c>
      <c r="J1381" s="15">
        <f>IFERROR(__xludf.DUMMYFUNCTION("""COMPUTED_VALUE"""),45949.04359570751)</f>
        <v>45949.0436</v>
      </c>
      <c r="K1381" s="15">
        <f>IFERROR(__xludf.DUMMYFUNCTION("""COMPUTED_VALUE"""),45950.28109953704)</f>
        <v>45950.2811</v>
      </c>
      <c r="L1381" s="4" t="str">
        <f>IFERROR(__xludf.DUMMYFUNCTION("""COMPUTED_VALUE"""),"C")</f>
        <v>C</v>
      </c>
    </row>
    <row r="1382">
      <c r="A1382" s="1">
        <f>IFERROR(__xludf.DUMMYFUNCTION("""COMPUTED_VALUE"""),1381.0)</f>
        <v>1381</v>
      </c>
      <c r="B1382" s="1">
        <f>IFERROR(__xludf.DUMMYFUNCTION("""COMPUTED_VALUE"""),5615.0)</f>
        <v>5615</v>
      </c>
      <c r="C1382" s="2" t="str">
        <f>IFERROR(__xludf.DUMMYFUNCTION("""COMPUTED_VALUE"""),"ANSIA TIARA")</f>
        <v>ANSIA TIARA</v>
      </c>
      <c r="D1382" s="2" t="str">
        <f>IFERROR(__xludf.DUMMYFUNCTION("""COMPUTED_VALUE"""),"5KM OVERALL F")</f>
        <v>5KM OVERALL F</v>
      </c>
      <c r="E1382" s="1">
        <f>IFERROR(__xludf.DUMMYFUNCTION("""COMPUTED_VALUE"""),387.0)</f>
        <v>387</v>
      </c>
      <c r="F1382" s="1" t="str">
        <f>IFERROR(__xludf.DUMMYFUNCTION("""COMPUTED_VALUE"""),"Female")</f>
        <v>Female</v>
      </c>
      <c r="G1382" s="5">
        <f>IFERROR(__xludf.DUMMYFUNCTION("""COMPUTED_VALUE"""),0.008719141203703703)</f>
        <v>0.008719141204</v>
      </c>
      <c r="H1382" s="15">
        <f>IFERROR(__xludf.DUMMYFUNCTION("""COMPUTED_VALUE"""),0.2549440625)</f>
        <v>0.2549440625</v>
      </c>
      <c r="I1382" s="15">
        <f>IFERROR(__xludf.DUMMYFUNCTION("""COMPUTED_VALUE"""),45949.29853977001)</f>
        <v>45949.29854</v>
      </c>
      <c r="J1382" s="15">
        <f>IFERROR(__xludf.DUMMYFUNCTION("""COMPUTED_VALUE"""),45949.04359570751)</f>
        <v>45949.0436</v>
      </c>
      <c r="K1382" s="15">
        <f>IFERROR(__xludf.DUMMYFUNCTION("""COMPUTED_VALUE"""),45949.280172521554)</f>
        <v>45949.28017</v>
      </c>
      <c r="L1382" s="4"/>
    </row>
    <row r="1383">
      <c r="A1383" s="1">
        <f>IFERROR(__xludf.DUMMYFUNCTION("""COMPUTED_VALUE"""),1382.0)</f>
        <v>1382</v>
      </c>
      <c r="B1383" s="1">
        <f>IFERROR(__xludf.DUMMYFUNCTION("""COMPUTED_VALUE"""),6177.0)</f>
        <v>6177</v>
      </c>
      <c r="C1383" s="2" t="str">
        <f>IFERROR(__xludf.DUMMYFUNCTION("""COMPUTED_VALUE"""),"Kumala Sari")</f>
        <v>Kumala Sari</v>
      </c>
      <c r="D1383" s="2" t="str">
        <f>IFERROR(__xludf.DUMMYFUNCTION("""COMPUTED_VALUE"""),"5KM OVERALL F")</f>
        <v>5KM OVERALL F</v>
      </c>
      <c r="E1383" s="1">
        <f>IFERROR(__xludf.DUMMYFUNCTION("""COMPUTED_VALUE"""),388.0)</f>
        <v>388</v>
      </c>
      <c r="F1383" s="1" t="str">
        <f>IFERROR(__xludf.DUMMYFUNCTION("""COMPUTED_VALUE"""),"Female")</f>
        <v>Female</v>
      </c>
      <c r="G1383" s="5">
        <f>IFERROR(__xludf.DUMMYFUNCTION("""COMPUTED_VALUE"""),0.008722613425925925)</f>
        <v>0.008722613426</v>
      </c>
      <c r="H1383" s="15">
        <f>IFERROR(__xludf.DUMMYFUNCTION("""COMPUTED_VALUE"""),0.2549440625)</f>
        <v>0.2549440625</v>
      </c>
      <c r="I1383" s="15">
        <f>IFERROR(__xludf.DUMMYFUNCTION("""COMPUTED_VALUE"""),45949.298557128604)</f>
        <v>45949.29856</v>
      </c>
      <c r="J1383" s="15">
        <f>IFERROR(__xludf.DUMMYFUNCTION("""COMPUTED_VALUE"""),45949.043613066104)</f>
        <v>45949.04361</v>
      </c>
      <c r="K1383" s="15">
        <f>IFERROR(__xludf.DUMMYFUNCTION("""COMPUTED_VALUE"""),45949.27957878328)</f>
        <v>45949.27958</v>
      </c>
      <c r="L1383" s="4"/>
    </row>
    <row r="1384">
      <c r="A1384" s="1">
        <f>IFERROR(__xludf.DUMMYFUNCTION("""COMPUTED_VALUE"""),1383.0)</f>
        <v>1383</v>
      </c>
      <c r="B1384" s="1">
        <f>IFERROR(__xludf.DUMMYFUNCTION("""COMPUTED_VALUE"""),5529.0)</f>
        <v>5529</v>
      </c>
      <c r="C1384" s="2" t="str">
        <f>IFERROR(__xludf.DUMMYFUNCTION("""COMPUTED_VALUE"""),"Bayu yawyaw")</f>
        <v>Bayu yawyaw</v>
      </c>
      <c r="D1384" s="2" t="str">
        <f>IFERROR(__xludf.DUMMYFUNCTION("""COMPUTED_VALUE"""),"5KM OVERALL M")</f>
        <v>5KM OVERALL M</v>
      </c>
      <c r="E1384" s="1">
        <f>IFERROR(__xludf.DUMMYFUNCTION("""COMPUTED_VALUE"""),770.0)</f>
        <v>770</v>
      </c>
      <c r="F1384" s="1" t="str">
        <f>IFERROR(__xludf.DUMMYFUNCTION("""COMPUTED_VALUE"""),"Male")</f>
        <v>Male</v>
      </c>
      <c r="G1384" s="5">
        <f>IFERROR(__xludf.DUMMYFUNCTION("""COMPUTED_VALUE"""),0.008722613425925925)</f>
        <v>0.008722613426</v>
      </c>
      <c r="H1384" s="15">
        <f>IFERROR(__xludf.DUMMYFUNCTION("""COMPUTED_VALUE"""),0.2549440625)</f>
        <v>0.2549440625</v>
      </c>
      <c r="I1384" s="15">
        <f>IFERROR(__xludf.DUMMYFUNCTION("""COMPUTED_VALUE"""),45949.298557128604)</f>
        <v>45949.29856</v>
      </c>
      <c r="J1384" s="15">
        <f>IFERROR(__xludf.DUMMYFUNCTION("""COMPUTED_VALUE"""),45949.043613066104)</f>
        <v>45949.04361</v>
      </c>
      <c r="K1384" s="15">
        <f>IFERROR(__xludf.DUMMYFUNCTION("""COMPUTED_VALUE"""),45949.280231609366)</f>
        <v>45949.28023</v>
      </c>
      <c r="L1384" s="4"/>
    </row>
    <row r="1385">
      <c r="A1385" s="1">
        <f>IFERROR(__xludf.DUMMYFUNCTION("""COMPUTED_VALUE"""),1384.0)</f>
        <v>1384</v>
      </c>
      <c r="B1385" s="7" t="str">
        <f>IFERROR(__xludf.DUMMYFUNCTION("""COMPUTED_VALUE"""),"7182")</f>
        <v>7182</v>
      </c>
      <c r="C1385" s="8" t="str">
        <f>IFERROR(__xludf.DUMMYFUNCTION("""COMPUTED_VALUE"""),"Syarifuddin")</f>
        <v>Syarifuddin</v>
      </c>
      <c r="D1385" s="2" t="str">
        <f>IFERROR(__xludf.DUMMYFUNCTION("""COMPUTED_VALUE"""),"5KM MASTER M")</f>
        <v>5KM MASTER M</v>
      </c>
      <c r="E1385" s="1">
        <f>IFERROR(__xludf.DUMMYFUNCTION("""COMPUTED_VALUE"""),95.0)</f>
        <v>95</v>
      </c>
      <c r="F1385" s="1" t="str">
        <f>IFERROR(__xludf.DUMMYFUNCTION("""COMPUTED_VALUE"""),"Male")</f>
        <v>Male</v>
      </c>
      <c r="G1385" s="5">
        <f>IFERROR(__xludf.DUMMYFUNCTION("""COMPUTED_VALUE"""),0.00872261574074074)</f>
        <v>0.008722615741</v>
      </c>
      <c r="H1385" s="15">
        <f>IFERROR(__xludf.DUMMYFUNCTION("""COMPUTED_VALUE"""),0.2549440625)</f>
        <v>0.2549440625</v>
      </c>
      <c r="I1385" s="15">
        <f>IFERROR(__xludf.DUMMYFUNCTION("""COMPUTED_VALUE"""),45949.29855714064)</f>
        <v>45949.29856</v>
      </c>
      <c r="J1385" s="15">
        <f>IFERROR(__xludf.DUMMYFUNCTION("""COMPUTED_VALUE"""),45949.04361307814)</f>
        <v>45949.04361</v>
      </c>
      <c r="K1385" s="15">
        <f>IFERROR(__xludf.DUMMYFUNCTION("""COMPUTED_VALUE"""),45949.27963780804)</f>
        <v>45949.27964</v>
      </c>
      <c r="L1385" s="4"/>
    </row>
    <row r="1386">
      <c r="A1386" s="1">
        <f>IFERROR(__xludf.DUMMYFUNCTION("""COMPUTED_VALUE"""),1385.0)</f>
        <v>1385</v>
      </c>
      <c r="B1386" s="1">
        <f>IFERROR(__xludf.DUMMYFUNCTION("""COMPUTED_VALUE"""),5772.0)</f>
        <v>5772</v>
      </c>
      <c r="C1386" s="2" t="str">
        <f>IFERROR(__xludf.DUMMYFUNCTION("""COMPUTED_VALUE"""),"NILNA")</f>
        <v>NILNA</v>
      </c>
      <c r="D1386" s="2" t="str">
        <f>IFERROR(__xludf.DUMMYFUNCTION("""COMPUTED_VALUE"""),"5KM OVERALL F")</f>
        <v>5KM OVERALL F</v>
      </c>
      <c r="E1386" s="1">
        <f>IFERROR(__xludf.DUMMYFUNCTION("""COMPUTED_VALUE"""),389.0)</f>
        <v>389</v>
      </c>
      <c r="F1386" s="1" t="str">
        <f>IFERROR(__xludf.DUMMYFUNCTION("""COMPUTED_VALUE"""),"Female")</f>
        <v>Female</v>
      </c>
      <c r="G1386" s="5">
        <f>IFERROR(__xludf.DUMMYFUNCTION("""COMPUTED_VALUE"""),0.008724694444444445)</f>
        <v>0.008724694444</v>
      </c>
      <c r="H1386" s="15">
        <f>IFERROR(__xludf.DUMMYFUNCTION("""COMPUTED_VALUE"""),0.2549440625)</f>
        <v>0.2549440625</v>
      </c>
      <c r="I1386" s="15">
        <f>IFERROR(__xludf.DUMMYFUNCTION("""COMPUTED_VALUE"""),45949.298567533675)</f>
        <v>45949.29857</v>
      </c>
      <c r="J1386" s="15">
        <f>IFERROR(__xludf.DUMMYFUNCTION("""COMPUTED_VALUE"""),45949.043623471174)</f>
        <v>45949.04362</v>
      </c>
      <c r="K1386" s="15">
        <f>IFERROR(__xludf.DUMMYFUNCTION("""COMPUTED_VALUE"""),45949.27870730732)</f>
        <v>45949.27871</v>
      </c>
      <c r="L1386" s="4"/>
    </row>
    <row r="1387">
      <c r="A1387" s="1">
        <f>IFERROR(__xludf.DUMMYFUNCTION("""COMPUTED_VALUE"""),1386.0)</f>
        <v>1386</v>
      </c>
      <c r="B1387" s="1">
        <f>IFERROR(__xludf.DUMMYFUNCTION("""COMPUTED_VALUE"""),5758.0)</f>
        <v>5758</v>
      </c>
      <c r="C1387" s="2" t="str">
        <f>IFERROR(__xludf.DUMMYFUNCTION("""COMPUTED_VALUE"""),"Mirna")</f>
        <v>Mirna</v>
      </c>
      <c r="D1387" s="2" t="str">
        <f>IFERROR(__xludf.DUMMYFUNCTION("""COMPUTED_VALUE"""),"5KM OVERALL F")</f>
        <v>5KM OVERALL F</v>
      </c>
      <c r="E1387" s="1">
        <f>IFERROR(__xludf.DUMMYFUNCTION("""COMPUTED_VALUE"""),390.0)</f>
        <v>390</v>
      </c>
      <c r="F1387" s="1" t="str">
        <f>IFERROR(__xludf.DUMMYFUNCTION("""COMPUTED_VALUE"""),"Female")</f>
        <v>Female</v>
      </c>
      <c r="G1387" s="5">
        <f>IFERROR(__xludf.DUMMYFUNCTION("""COMPUTED_VALUE"""),0.008733722222222223)</f>
        <v>0.008733722222</v>
      </c>
      <c r="H1387" s="15">
        <f>IFERROR(__xludf.DUMMYFUNCTION("""COMPUTED_VALUE"""),0.2549440625)</f>
        <v>0.2549440625</v>
      </c>
      <c r="I1387" s="15">
        <f>IFERROR(__xludf.DUMMYFUNCTION("""COMPUTED_VALUE"""),45949.29861267237)</f>
        <v>45949.29861</v>
      </c>
      <c r="J1387" s="15">
        <f>IFERROR(__xludf.DUMMYFUNCTION("""COMPUTED_VALUE"""),45949.04366860987)</f>
        <v>45949.04367</v>
      </c>
      <c r="K1387" s="15">
        <f>IFERROR(__xludf.DUMMYFUNCTION("""COMPUTED_VALUE"""),45949.279960709726)</f>
        <v>45949.27996</v>
      </c>
      <c r="L1387" s="4"/>
    </row>
    <row r="1388">
      <c r="A1388" s="1">
        <f>IFERROR(__xludf.DUMMYFUNCTION("""COMPUTED_VALUE"""),1387.0)</f>
        <v>1387</v>
      </c>
      <c r="B1388" s="1">
        <f>IFERROR(__xludf.DUMMYFUNCTION("""COMPUTED_VALUE"""),5197.0)</f>
        <v>5197</v>
      </c>
      <c r="C1388" s="2" t="str">
        <f>IFERROR(__xludf.DUMMYFUNCTION("""COMPUTED_VALUE"""),"Lina")</f>
        <v>Lina</v>
      </c>
      <c r="D1388" s="2" t="str">
        <f>IFERROR(__xludf.DUMMYFUNCTION("""COMPUTED_VALUE"""),"5KM OVERALL F")</f>
        <v>5KM OVERALL F</v>
      </c>
      <c r="E1388" s="1">
        <f>IFERROR(__xludf.DUMMYFUNCTION("""COMPUTED_VALUE"""),391.0)</f>
        <v>391</v>
      </c>
      <c r="F1388" s="1" t="str">
        <f>IFERROR(__xludf.DUMMYFUNCTION("""COMPUTED_VALUE"""),"Female")</f>
        <v>Female</v>
      </c>
      <c r="G1388" s="5">
        <f>IFERROR(__xludf.DUMMYFUNCTION("""COMPUTED_VALUE"""),0.008733722222222223)</f>
        <v>0.008733722222</v>
      </c>
      <c r="H1388" s="15">
        <f>IFERROR(__xludf.DUMMYFUNCTION("""COMPUTED_VALUE"""),0.2549440625)</f>
        <v>0.2549440625</v>
      </c>
      <c r="I1388" s="15">
        <f>IFERROR(__xludf.DUMMYFUNCTION("""COMPUTED_VALUE"""),45949.29861267237)</f>
        <v>45949.29861</v>
      </c>
      <c r="J1388" s="15">
        <f>IFERROR(__xludf.DUMMYFUNCTION("""COMPUTED_VALUE"""),45949.04366860987)</f>
        <v>45949.04367</v>
      </c>
      <c r="K1388" s="15">
        <f>IFERROR(__xludf.DUMMYFUNCTION("""COMPUTED_VALUE"""),45949.28038786702)</f>
        <v>45949.28039</v>
      </c>
      <c r="L1388" s="4"/>
    </row>
    <row r="1389">
      <c r="A1389" s="1">
        <f>IFERROR(__xludf.DUMMYFUNCTION("""COMPUTED_VALUE"""),1388.0)</f>
        <v>1388</v>
      </c>
      <c r="B1389" s="1">
        <f>IFERROR(__xludf.DUMMYFUNCTION("""COMPUTED_VALUE"""),6129.0)</f>
        <v>6129</v>
      </c>
      <c r="C1389" s="2" t="str">
        <f>IFERROR(__xludf.DUMMYFUNCTION("""COMPUTED_VALUE"""),"Dhika")</f>
        <v>Dhika</v>
      </c>
      <c r="D1389" s="2" t="str">
        <f>IFERROR(__xludf.DUMMYFUNCTION("""COMPUTED_VALUE"""),"5KM OVERALL M")</f>
        <v>5KM OVERALL M</v>
      </c>
      <c r="E1389" s="1">
        <f>IFERROR(__xludf.DUMMYFUNCTION("""COMPUTED_VALUE"""),771.0)</f>
        <v>771</v>
      </c>
      <c r="F1389" s="1" t="str">
        <f>IFERROR(__xludf.DUMMYFUNCTION("""COMPUTED_VALUE"""),"Male")</f>
        <v>Male</v>
      </c>
      <c r="G1389" s="5">
        <f>IFERROR(__xludf.DUMMYFUNCTION("""COMPUTED_VALUE"""),0.008735113425925926)</f>
        <v>0.008735113426</v>
      </c>
      <c r="H1389" s="15">
        <f>IFERROR(__xludf.DUMMYFUNCTION("""COMPUTED_VALUE"""),0.2549440625)</f>
        <v>0.2549440625</v>
      </c>
      <c r="I1389" s="15">
        <f>IFERROR(__xludf.DUMMYFUNCTION("""COMPUTED_VALUE"""),45949.29861963536)</f>
        <v>45949.29862</v>
      </c>
      <c r="J1389" s="15">
        <f>IFERROR(__xludf.DUMMYFUNCTION("""COMPUTED_VALUE"""),45949.04367557286)</f>
        <v>45949.04368</v>
      </c>
      <c r="K1389" s="15">
        <f>IFERROR(__xludf.DUMMYFUNCTION("""COMPUTED_VALUE"""),45949.281148284805)</f>
        <v>45949.28115</v>
      </c>
      <c r="L1389" s="4"/>
    </row>
    <row r="1390">
      <c r="A1390" s="1">
        <f>IFERROR(__xludf.DUMMYFUNCTION("""COMPUTED_VALUE"""),1389.0)</f>
        <v>1389</v>
      </c>
      <c r="B1390" s="1">
        <f>IFERROR(__xludf.DUMMYFUNCTION("""COMPUTED_VALUE"""),5056.0)</f>
        <v>5056</v>
      </c>
      <c r="C1390" s="2" t="str">
        <f>IFERROR(__xludf.DUMMYFUNCTION("""COMPUTED_VALUE"""),"sugeng")</f>
        <v>sugeng</v>
      </c>
      <c r="D1390" s="2" t="str">
        <f>IFERROR(__xludf.DUMMYFUNCTION("""COMPUTED_VALUE"""),"5KM OVERALL M")</f>
        <v>5KM OVERALL M</v>
      </c>
      <c r="E1390" s="1">
        <f>IFERROR(__xludf.DUMMYFUNCTION("""COMPUTED_VALUE"""),772.0)</f>
        <v>772</v>
      </c>
      <c r="F1390" s="1" t="str">
        <f>IFERROR(__xludf.DUMMYFUNCTION("""COMPUTED_VALUE"""),"Male")</f>
        <v>Male</v>
      </c>
      <c r="G1390" s="5">
        <f>IFERROR(__xludf.DUMMYFUNCTION("""COMPUTED_VALUE"""),0.008737194444444445)</f>
        <v>0.008737194444</v>
      </c>
      <c r="H1390" s="15">
        <f>IFERROR(__xludf.DUMMYFUNCTION("""COMPUTED_VALUE"""),0.2549440625)</f>
        <v>0.2549440625</v>
      </c>
      <c r="I1390" s="15">
        <f>IFERROR(__xludf.DUMMYFUNCTION("""COMPUTED_VALUE"""),45949.29863004042)</f>
        <v>45949.29863</v>
      </c>
      <c r="J1390" s="15">
        <f>IFERROR(__xludf.DUMMYFUNCTION("""COMPUTED_VALUE"""),45949.04368597792)</f>
        <v>45949.04369</v>
      </c>
      <c r="K1390" s="15">
        <f>IFERROR(__xludf.DUMMYFUNCTION("""COMPUTED_VALUE"""),45949.28122113425)</f>
        <v>45949.28122</v>
      </c>
      <c r="L1390" s="4"/>
    </row>
    <row r="1391">
      <c r="A1391" s="1">
        <f>IFERROR(__xludf.DUMMYFUNCTION("""COMPUTED_VALUE"""),1390.0)</f>
        <v>1390</v>
      </c>
      <c r="B1391" s="1">
        <f>IFERROR(__xludf.DUMMYFUNCTION("""COMPUTED_VALUE"""),6586.0)</f>
        <v>6586</v>
      </c>
      <c r="C1391" s="2" t="str">
        <f>IFERROR(__xludf.DUMMYFUNCTION("""COMPUTED_VALUE"""),"Np Kalselteng")</f>
        <v>Np Kalselteng</v>
      </c>
      <c r="D1391" s="2" t="str">
        <f>IFERROR(__xludf.DUMMYFUNCTION("""COMPUTED_VALUE"""),"5KM OVERALL M")</f>
        <v>5KM OVERALL M</v>
      </c>
      <c r="E1391" s="1">
        <f>IFERROR(__xludf.DUMMYFUNCTION("""COMPUTED_VALUE"""),773.0)</f>
        <v>773</v>
      </c>
      <c r="F1391" s="1" t="str">
        <f>IFERROR(__xludf.DUMMYFUNCTION("""COMPUTED_VALUE"""),"Male")</f>
        <v>Male</v>
      </c>
      <c r="G1391" s="5">
        <f>IFERROR(__xludf.DUMMYFUNCTION("""COMPUTED_VALUE"""),0.008737199074074073)</f>
        <v>0.008737199074</v>
      </c>
      <c r="H1391" s="15">
        <f>IFERROR(__xludf.DUMMYFUNCTION("""COMPUTED_VALUE"""),0.2549440625)</f>
        <v>0.2549440625</v>
      </c>
      <c r="I1391" s="15">
        <f>IFERROR(__xludf.DUMMYFUNCTION("""COMPUTED_VALUE"""),45949.29863005246)</f>
        <v>45949.29863</v>
      </c>
      <c r="J1391" s="15">
        <f>IFERROR(__xludf.DUMMYFUNCTION("""COMPUTED_VALUE"""),45949.04368598996)</f>
        <v>45949.04369</v>
      </c>
      <c r="K1391" s="15">
        <f>IFERROR(__xludf.DUMMYFUNCTION("""COMPUTED_VALUE"""),45949.27963783109)</f>
        <v>45949.27964</v>
      </c>
      <c r="L1391" s="4"/>
    </row>
    <row r="1392">
      <c r="A1392" s="1">
        <f>IFERROR(__xludf.DUMMYFUNCTION("""COMPUTED_VALUE"""),1391.0)</f>
        <v>1391</v>
      </c>
      <c r="B1392" s="1">
        <f>IFERROR(__xludf.DUMMYFUNCTION("""COMPUTED_VALUE"""),5938.0)</f>
        <v>5938</v>
      </c>
      <c r="C1392" s="2" t="str">
        <f>IFERROR(__xludf.DUMMYFUNCTION("""COMPUTED_VALUE"""),"Dhaifan")</f>
        <v>Dhaifan</v>
      </c>
      <c r="D1392" s="2" t="str">
        <f>IFERROR(__xludf.DUMMYFUNCTION("""COMPUTED_VALUE"""),"5KM OVERALL M")</f>
        <v>5KM OVERALL M</v>
      </c>
      <c r="E1392" s="1">
        <f>IFERROR(__xludf.DUMMYFUNCTION("""COMPUTED_VALUE"""),774.0)</f>
        <v>774</v>
      </c>
      <c r="F1392" s="1" t="str">
        <f>IFERROR(__xludf.DUMMYFUNCTION("""COMPUTED_VALUE"""),"Male")</f>
        <v>Male</v>
      </c>
      <c r="G1392" s="5">
        <f>IFERROR(__xludf.DUMMYFUNCTION("""COMPUTED_VALUE"""),0.008737199074074073)</f>
        <v>0.008737199074</v>
      </c>
      <c r="H1392" s="15">
        <f>IFERROR(__xludf.DUMMYFUNCTION("""COMPUTED_VALUE"""),0.2549440625)</f>
        <v>0.2549440625</v>
      </c>
      <c r="I1392" s="15">
        <f>IFERROR(__xludf.DUMMYFUNCTION("""COMPUTED_VALUE"""),45949.29863005246)</f>
        <v>45949.29863</v>
      </c>
      <c r="J1392" s="15">
        <f>IFERROR(__xludf.DUMMYFUNCTION("""COMPUTED_VALUE"""),45949.04368598996)</f>
        <v>45949.04369</v>
      </c>
      <c r="K1392" s="15">
        <f>IFERROR(__xludf.DUMMYFUNCTION("""COMPUTED_VALUE"""),45949.280328840134)</f>
        <v>45949.28033</v>
      </c>
      <c r="L1392" s="4"/>
    </row>
    <row r="1393">
      <c r="A1393" s="1">
        <f>IFERROR(__xludf.DUMMYFUNCTION("""COMPUTED_VALUE"""),1392.0)</f>
        <v>1392</v>
      </c>
      <c r="B1393" s="1">
        <f>IFERROR(__xludf.DUMMYFUNCTION("""COMPUTED_VALUE"""),5402.0)</f>
        <v>5402</v>
      </c>
      <c r="C1393" s="2" t="str">
        <f>IFERROR(__xludf.DUMMYFUNCTION("""COMPUTED_VALUE"""),"Evytabela")</f>
        <v>Evytabela</v>
      </c>
      <c r="D1393" s="2" t="str">
        <f>IFERROR(__xludf.DUMMYFUNCTION("""COMPUTED_VALUE"""),"5KM OVERALL F")</f>
        <v>5KM OVERALL F</v>
      </c>
      <c r="E1393" s="1">
        <f>IFERROR(__xludf.DUMMYFUNCTION("""COMPUTED_VALUE"""),392.0)</f>
        <v>392</v>
      </c>
      <c r="F1393" s="1" t="str">
        <f>IFERROR(__xludf.DUMMYFUNCTION("""COMPUTED_VALUE"""),"Female")</f>
        <v>Female</v>
      </c>
      <c r="G1393" s="5">
        <f>IFERROR(__xludf.DUMMYFUNCTION("""COMPUTED_VALUE"""),0.008739268518518518)</f>
        <v>0.008739268519</v>
      </c>
      <c r="H1393" s="15">
        <f>IFERROR(__xludf.DUMMYFUNCTION("""COMPUTED_VALUE"""),0.2549440625)</f>
        <v>0.2549440625</v>
      </c>
      <c r="I1393" s="15">
        <f>IFERROR(__xludf.DUMMYFUNCTION("""COMPUTED_VALUE"""),45949.29864040215)</f>
        <v>45949.29864</v>
      </c>
      <c r="J1393" s="15">
        <f>IFERROR(__xludf.DUMMYFUNCTION("""COMPUTED_VALUE"""),45949.04369633965)</f>
        <v>45949.0437</v>
      </c>
      <c r="K1393" s="15">
        <f>IFERROR(__xludf.DUMMYFUNCTION("""COMPUTED_VALUE"""),45949.2802801718)</f>
        <v>45949.28028</v>
      </c>
      <c r="L1393" s="4"/>
    </row>
    <row r="1394">
      <c r="A1394" s="1">
        <f>IFERROR(__xludf.DUMMYFUNCTION("""COMPUTED_VALUE"""),1393.0)</f>
        <v>1393</v>
      </c>
      <c r="B1394" s="7" t="str">
        <f>IFERROR(__xludf.DUMMYFUNCTION("""COMPUTED_VALUE"""),"9048")</f>
        <v>9048</v>
      </c>
      <c r="C1394" s="8" t="str">
        <f>IFERROR(__xludf.DUMMYFUNCTION("""COMPUTED_VALUE"""),"Acacia")</f>
        <v>Acacia</v>
      </c>
      <c r="D1394" s="2" t="str">
        <f>IFERROR(__xludf.DUMMYFUNCTION("""COMPUTED_VALUE"""),"5KM STUDENT F")</f>
        <v>5KM STUDENT F</v>
      </c>
      <c r="E1394" s="1">
        <f>IFERROR(__xludf.DUMMYFUNCTION("""COMPUTED_VALUE"""),12.0)</f>
        <v>12</v>
      </c>
      <c r="F1394" s="1" t="str">
        <f>IFERROR(__xludf.DUMMYFUNCTION("""COMPUTED_VALUE"""),"Female")</f>
        <v>Female</v>
      </c>
      <c r="G1394" s="5">
        <f>IFERROR(__xludf.DUMMYFUNCTION("""COMPUTED_VALUE"""),0.008740666666666666)</f>
        <v>0.008740666667</v>
      </c>
      <c r="H1394" s="15">
        <f>IFERROR(__xludf.DUMMYFUNCTION("""COMPUTED_VALUE"""),0.2549440625)</f>
        <v>0.2549440625</v>
      </c>
      <c r="I1394" s="15">
        <f>IFERROR(__xludf.DUMMYFUNCTION("""COMPUTED_VALUE"""),45949.298647397125)</f>
        <v>45949.29865</v>
      </c>
      <c r="J1394" s="15">
        <f>IFERROR(__xludf.DUMMYFUNCTION("""COMPUTED_VALUE"""),45949.043703334624)</f>
        <v>45949.0437</v>
      </c>
      <c r="K1394" s="15">
        <f>IFERROR(__xludf.DUMMYFUNCTION("""COMPUTED_VALUE"""),45949.280672544715)</f>
        <v>45949.28067</v>
      </c>
      <c r="L1394" s="4"/>
    </row>
    <row r="1395">
      <c r="A1395" s="1">
        <f>IFERROR(__xludf.DUMMYFUNCTION("""COMPUTED_VALUE"""),1394.0)</f>
        <v>1394</v>
      </c>
      <c r="B1395" s="1">
        <f>IFERROR(__xludf.DUMMYFUNCTION("""COMPUTED_VALUE"""),5911.0)</f>
        <v>5911</v>
      </c>
      <c r="C1395" s="2" t="str">
        <f>IFERROR(__xludf.DUMMYFUNCTION("""COMPUTED_VALUE"""),"Firga")</f>
        <v>Firga</v>
      </c>
      <c r="D1395" s="2" t="str">
        <f>IFERROR(__xludf.DUMMYFUNCTION("""COMPUTED_VALUE"""),"5KM OVERALL F")</f>
        <v>5KM OVERALL F</v>
      </c>
      <c r="E1395" s="1">
        <f>IFERROR(__xludf.DUMMYFUNCTION("""COMPUTED_VALUE"""),393.0)</f>
        <v>393</v>
      </c>
      <c r="F1395" s="1" t="str">
        <f>IFERROR(__xludf.DUMMYFUNCTION("""COMPUTED_VALUE"""),"Female")</f>
        <v>Female</v>
      </c>
      <c r="G1395" s="5">
        <f>IFERROR(__xludf.DUMMYFUNCTION("""COMPUTED_VALUE"""),0.008741361111111111)</f>
        <v>0.008741361111</v>
      </c>
      <c r="H1395" s="15">
        <f>IFERROR(__xludf.DUMMYFUNCTION("""COMPUTED_VALUE"""),0.2549440625)</f>
        <v>0.2549440625</v>
      </c>
      <c r="I1395" s="15">
        <f>IFERROR(__xludf.DUMMYFUNCTION("""COMPUTED_VALUE"""),45949.29865087312)</f>
        <v>45949.29865</v>
      </c>
      <c r="J1395" s="15">
        <f>IFERROR(__xludf.DUMMYFUNCTION("""COMPUTED_VALUE"""),45949.04370681062)</f>
        <v>45949.04371</v>
      </c>
      <c r="K1395" s="15">
        <f>IFERROR(__xludf.DUMMYFUNCTION("""COMPUTED_VALUE"""),45949.28051633871)</f>
        <v>45949.28052</v>
      </c>
      <c r="L1395" s="4"/>
    </row>
    <row r="1396">
      <c r="A1396" s="1">
        <f>IFERROR(__xludf.DUMMYFUNCTION("""COMPUTED_VALUE"""),1395.0)</f>
        <v>1395</v>
      </c>
      <c r="B1396" s="1">
        <f>IFERROR(__xludf.DUMMYFUNCTION("""COMPUTED_VALUE"""),5907.0)</f>
        <v>5907</v>
      </c>
      <c r="C1396" s="2" t="str">
        <f>IFERROR(__xludf.DUMMYFUNCTION("""COMPUTED_VALUE"""),"Fauzi")</f>
        <v>Fauzi</v>
      </c>
      <c r="D1396" s="2" t="str">
        <f>IFERROR(__xludf.DUMMYFUNCTION("""COMPUTED_VALUE"""),"5KM OVERALL M")</f>
        <v>5KM OVERALL M</v>
      </c>
      <c r="E1396" s="1">
        <f>IFERROR(__xludf.DUMMYFUNCTION("""COMPUTED_VALUE"""),775.0)</f>
        <v>775</v>
      </c>
      <c r="F1396" s="1" t="str">
        <f>IFERROR(__xludf.DUMMYFUNCTION("""COMPUTED_VALUE"""),"Male")</f>
        <v>Male</v>
      </c>
      <c r="G1396" s="5">
        <f>IFERROR(__xludf.DUMMYFUNCTION("""COMPUTED_VALUE"""),0.008746916666666667)</f>
        <v>0.008746916667</v>
      </c>
      <c r="H1396" s="15">
        <f>IFERROR(__xludf.DUMMYFUNCTION("""COMPUTED_VALUE"""),0.2549440625)</f>
        <v>0.2549440625</v>
      </c>
      <c r="I1396" s="15">
        <f>IFERROR(__xludf.DUMMYFUNCTION("""COMPUTED_VALUE"""),45949.298678641535)</f>
        <v>45949.29868</v>
      </c>
      <c r="J1396" s="15">
        <f>IFERROR(__xludf.DUMMYFUNCTION("""COMPUTED_VALUE"""),45949.043734579034)</f>
        <v>45949.04373</v>
      </c>
      <c r="K1396" s="15">
        <f>IFERROR(__xludf.DUMMYFUNCTION("""COMPUTED_VALUE"""),45949.28055100565)</f>
        <v>45949.28055</v>
      </c>
      <c r="L1396" s="4"/>
    </row>
    <row r="1397">
      <c r="A1397" s="1">
        <f>IFERROR(__xludf.DUMMYFUNCTION("""COMPUTED_VALUE"""),1396.0)</f>
        <v>1396</v>
      </c>
      <c r="B1397" s="1">
        <f>IFERROR(__xludf.DUMMYFUNCTION("""COMPUTED_VALUE"""),5940.0)</f>
        <v>5940</v>
      </c>
      <c r="C1397" s="2" t="str">
        <f>IFERROR(__xludf.DUMMYFUNCTION("""COMPUTED_VALUE"""),"SIVIA CYNTHIA")</f>
        <v>SIVIA CYNTHIA</v>
      </c>
      <c r="D1397" s="2" t="str">
        <f>IFERROR(__xludf.DUMMYFUNCTION("""COMPUTED_VALUE"""),"5KM OVERALL F")</f>
        <v>5KM OVERALL F</v>
      </c>
      <c r="E1397" s="1">
        <f>IFERROR(__xludf.DUMMYFUNCTION("""COMPUTED_VALUE"""),394.0)</f>
        <v>394</v>
      </c>
      <c r="F1397" s="1" t="str">
        <f>IFERROR(__xludf.DUMMYFUNCTION("""COMPUTED_VALUE"""),"Female")</f>
        <v>Female</v>
      </c>
      <c r="G1397" s="5">
        <f>IFERROR(__xludf.DUMMYFUNCTION("""COMPUTED_VALUE"""),0.008750393518518518)</f>
        <v>0.008750393519</v>
      </c>
      <c r="H1397" s="15">
        <f>IFERROR(__xludf.DUMMYFUNCTION("""COMPUTED_VALUE"""),0.2549440625)</f>
        <v>0.2549440625</v>
      </c>
      <c r="I1397" s="15">
        <f>IFERROR(__xludf.DUMMYFUNCTION("""COMPUTED_VALUE"""),45949.2986960314)</f>
        <v>45949.2987</v>
      </c>
      <c r="J1397" s="15">
        <f>IFERROR(__xludf.DUMMYFUNCTION("""COMPUTED_VALUE"""),45949.0437519689)</f>
        <v>45949.04375</v>
      </c>
      <c r="K1397" s="15">
        <f>IFERROR(__xludf.DUMMYFUNCTION("""COMPUTED_VALUE"""),45949.28091906194)</f>
        <v>45949.28092</v>
      </c>
      <c r="L1397" s="4"/>
    </row>
    <row r="1398">
      <c r="A1398" s="1">
        <f>IFERROR(__xludf.DUMMYFUNCTION("""COMPUTED_VALUE"""),1397.0)</f>
        <v>1397</v>
      </c>
      <c r="B1398" s="1">
        <f>IFERROR(__xludf.DUMMYFUNCTION("""COMPUTED_VALUE"""),5943.0)</f>
        <v>5943</v>
      </c>
      <c r="C1398" s="2" t="str">
        <f>IFERROR(__xludf.DUMMYFUNCTION("""COMPUTED_VALUE"""),"Herlyanto Effendy")</f>
        <v>Herlyanto Effendy</v>
      </c>
      <c r="D1398" s="2" t="str">
        <f>IFERROR(__xludf.DUMMYFUNCTION("""COMPUTED_VALUE"""),"5KM OVERALL M")</f>
        <v>5KM OVERALL M</v>
      </c>
      <c r="E1398" s="1">
        <f>IFERROR(__xludf.DUMMYFUNCTION("""COMPUTED_VALUE"""),776.0)</f>
        <v>776</v>
      </c>
      <c r="F1398" s="1" t="str">
        <f>IFERROR(__xludf.DUMMYFUNCTION("""COMPUTED_VALUE"""),"Male")</f>
        <v>Male</v>
      </c>
      <c r="G1398" s="5">
        <f>IFERROR(__xludf.DUMMYFUNCTION("""COMPUTED_VALUE"""),0.008752476851851852)</f>
        <v>0.008752476852</v>
      </c>
      <c r="H1398" s="15">
        <f>IFERROR(__xludf.DUMMYFUNCTION("""COMPUTED_VALUE"""),0.2549440625)</f>
        <v>0.2549440625</v>
      </c>
      <c r="I1398" s="15">
        <f>IFERROR(__xludf.DUMMYFUNCTION("""COMPUTED_VALUE"""),45949.29870645121)</f>
        <v>45949.29871</v>
      </c>
      <c r="J1398" s="15">
        <f>IFERROR(__xludf.DUMMYFUNCTION("""COMPUTED_VALUE"""),45949.04376238871)</f>
        <v>45949.04376</v>
      </c>
      <c r="K1398" s="15">
        <f>IFERROR(__xludf.DUMMYFUNCTION("""COMPUTED_VALUE"""),45949.280870450726)</f>
        <v>45949.28087</v>
      </c>
      <c r="L1398" s="4"/>
    </row>
    <row r="1399">
      <c r="A1399" s="1">
        <f>IFERROR(__xludf.DUMMYFUNCTION("""COMPUTED_VALUE"""),1398.0)</f>
        <v>1398</v>
      </c>
      <c r="B1399" s="1">
        <f>IFERROR(__xludf.DUMMYFUNCTION("""COMPUTED_VALUE"""),5125.0)</f>
        <v>5125</v>
      </c>
      <c r="C1399" s="2" t="str">
        <f>IFERROR(__xludf.DUMMYFUNCTION("""COMPUTED_VALUE"""),"Ellen Lelian")</f>
        <v>Ellen Lelian</v>
      </c>
      <c r="D1399" s="2" t="str">
        <f>IFERROR(__xludf.DUMMYFUNCTION("""COMPUTED_VALUE"""),"5KM OVERALL F")</f>
        <v>5KM OVERALL F</v>
      </c>
      <c r="E1399" s="1">
        <f>IFERROR(__xludf.DUMMYFUNCTION("""COMPUTED_VALUE"""),395.0)</f>
        <v>395</v>
      </c>
      <c r="F1399" s="1" t="str">
        <f>IFERROR(__xludf.DUMMYFUNCTION("""COMPUTED_VALUE"""),"Female")</f>
        <v>Female</v>
      </c>
      <c r="G1399" s="5">
        <f>IFERROR(__xludf.DUMMYFUNCTION("""COMPUTED_VALUE"""),0.008755944444444445)</f>
        <v>0.008755944444</v>
      </c>
      <c r="H1399" s="15">
        <f>IFERROR(__xludf.DUMMYFUNCTION("""COMPUTED_VALUE"""),0.2549440625)</f>
        <v>0.2549440625</v>
      </c>
      <c r="I1399" s="15">
        <f>IFERROR(__xludf.DUMMYFUNCTION("""COMPUTED_VALUE"""),45949.2987237799)</f>
        <v>45949.29872</v>
      </c>
      <c r="J1399" s="15">
        <f>IFERROR(__xludf.DUMMYFUNCTION("""COMPUTED_VALUE"""),45949.0437797174)</f>
        <v>45949.04378</v>
      </c>
      <c r="K1399" s="15">
        <f>IFERROR(__xludf.DUMMYFUNCTION("""COMPUTED_VALUE"""),45949.280120501186)</f>
        <v>45949.28012</v>
      </c>
      <c r="L1399" s="4"/>
    </row>
    <row r="1400">
      <c r="A1400" s="1">
        <f>IFERROR(__xludf.DUMMYFUNCTION("""COMPUTED_VALUE"""),1399.0)</f>
        <v>1399</v>
      </c>
      <c r="B1400" s="7" t="str">
        <f>IFERROR(__xludf.DUMMYFUNCTION("""COMPUTED_VALUE"""),"7136")</f>
        <v>7136</v>
      </c>
      <c r="C1400" s="8" t="str">
        <f>IFERROR(__xludf.DUMMYFUNCTION("""COMPUTED_VALUE"""),"Abi Abas")</f>
        <v>Abi Abas</v>
      </c>
      <c r="D1400" s="2" t="str">
        <f>IFERROR(__xludf.DUMMYFUNCTION("""COMPUTED_VALUE"""),"5KM MASTER M")</f>
        <v>5KM MASTER M</v>
      </c>
      <c r="E1400" s="1">
        <f>IFERROR(__xludf.DUMMYFUNCTION("""COMPUTED_VALUE"""),96.0)</f>
        <v>96</v>
      </c>
      <c r="F1400" s="1" t="str">
        <f>IFERROR(__xludf.DUMMYFUNCTION("""COMPUTED_VALUE"""),"Male")</f>
        <v>Male</v>
      </c>
      <c r="G1400" s="5">
        <f>IFERROR(__xludf.DUMMYFUNCTION("""COMPUTED_VALUE"""),0.008765655092592592)</f>
        <v>0.008765655093</v>
      </c>
      <c r="H1400" s="15">
        <f>IFERROR(__xludf.DUMMYFUNCTION("""COMPUTED_VALUE"""),0.2549440625)</f>
        <v>0.2549440625</v>
      </c>
      <c r="I1400" s="15">
        <f>IFERROR(__xludf.DUMMYFUNCTION("""COMPUTED_VALUE"""),45949.298772340124)</f>
        <v>45949.29877</v>
      </c>
      <c r="J1400" s="15">
        <f>IFERROR(__xludf.DUMMYFUNCTION("""COMPUTED_VALUE"""),45949.04382827762)</f>
        <v>45949.04383</v>
      </c>
      <c r="K1400" s="15">
        <f>IFERROR(__xludf.DUMMYFUNCTION("""COMPUTED_VALUE"""),45949.28024200391)</f>
        <v>45949.28024</v>
      </c>
      <c r="L1400" s="4"/>
    </row>
    <row r="1401">
      <c r="A1401" s="1">
        <f>IFERROR(__xludf.DUMMYFUNCTION("""COMPUTED_VALUE"""),1400.0)</f>
        <v>1400</v>
      </c>
      <c r="B1401" s="1">
        <f>IFERROR(__xludf.DUMMYFUNCTION("""COMPUTED_VALUE"""),6468.0)</f>
        <v>6468</v>
      </c>
      <c r="C1401" s="2" t="str">
        <f>IFERROR(__xludf.DUMMYFUNCTION("""COMPUTED_VALUE"""),"DISHUB")</f>
        <v>DISHUB</v>
      </c>
      <c r="D1401" s="2" t="str">
        <f>IFERROR(__xludf.DUMMYFUNCTION("""COMPUTED_VALUE"""),"5KM OVERALL M")</f>
        <v>5KM OVERALL M</v>
      </c>
      <c r="E1401" s="1">
        <f>IFERROR(__xludf.DUMMYFUNCTION("""COMPUTED_VALUE"""),777.0)</f>
        <v>777</v>
      </c>
      <c r="F1401" s="1" t="str">
        <f>IFERROR(__xludf.DUMMYFUNCTION("""COMPUTED_VALUE"""),"Male")</f>
        <v>Male</v>
      </c>
      <c r="G1401" s="5">
        <f>IFERROR(__xludf.DUMMYFUNCTION("""COMPUTED_VALUE"""),0.008771962962962962)</f>
        <v>0.008771962963</v>
      </c>
      <c r="H1401" s="15">
        <f>IFERROR(__xludf.DUMMYFUNCTION("""COMPUTED_VALUE"""),0.2549440625)</f>
        <v>0.2549440625</v>
      </c>
      <c r="I1401" s="15">
        <f>IFERROR(__xludf.DUMMYFUNCTION("""COMPUTED_VALUE"""),45949.2988038795)</f>
        <v>45949.2988</v>
      </c>
      <c r="J1401" s="15">
        <f>IFERROR(__xludf.DUMMYFUNCTION("""COMPUTED_VALUE"""),45949.043859817)</f>
        <v>45949.04386</v>
      </c>
      <c r="K1401" s="15">
        <f>IFERROR(__xludf.DUMMYFUNCTION("""COMPUTED_VALUE"""),45949.28031487814)</f>
        <v>45949.28031</v>
      </c>
      <c r="L1401" s="4"/>
    </row>
    <row r="1402">
      <c r="A1402" s="1">
        <f>IFERROR(__xludf.DUMMYFUNCTION("""COMPUTED_VALUE"""),1401.0)</f>
        <v>1401</v>
      </c>
      <c r="B1402" s="1">
        <f>IFERROR(__xludf.DUMMYFUNCTION("""COMPUTED_VALUE"""),6334.0)</f>
        <v>6334</v>
      </c>
      <c r="C1402" s="2" t="str">
        <f>IFERROR(__xludf.DUMMYFUNCTION("""COMPUTED_VALUE"""),"Aida")</f>
        <v>Aida</v>
      </c>
      <c r="D1402" s="2" t="str">
        <f>IFERROR(__xludf.DUMMYFUNCTION("""COMPUTED_VALUE"""),"5KM OVERALL F")</f>
        <v>5KM OVERALL F</v>
      </c>
      <c r="E1402" s="1">
        <f>IFERROR(__xludf.DUMMYFUNCTION("""COMPUTED_VALUE"""),396.0)</f>
        <v>396</v>
      </c>
      <c r="F1402" s="1" t="str">
        <f>IFERROR(__xludf.DUMMYFUNCTION("""COMPUTED_VALUE"""),"Female")</f>
        <v>Female</v>
      </c>
      <c r="G1402" s="5">
        <f>IFERROR(__xludf.DUMMYFUNCTION("""COMPUTED_VALUE"""),0.008774)</f>
        <v>0.008774</v>
      </c>
      <c r="H1402" s="15">
        <f>IFERROR(__xludf.DUMMYFUNCTION("""COMPUTED_VALUE"""),0.2549440625)</f>
        <v>0.2549440625</v>
      </c>
      <c r="I1402" s="15">
        <f>IFERROR(__xludf.DUMMYFUNCTION("""COMPUTED_VALUE"""),45949.29881405799)</f>
        <v>45949.29881</v>
      </c>
      <c r="J1402" s="15">
        <f>IFERROR(__xludf.DUMMYFUNCTION("""COMPUTED_VALUE"""),45949.04386999549)</f>
        <v>45949.04387</v>
      </c>
      <c r="K1402" s="15">
        <f>IFERROR(__xludf.DUMMYFUNCTION("""COMPUTED_VALUE"""),45949.27983224066)</f>
        <v>45949.27983</v>
      </c>
      <c r="L1402" s="4"/>
    </row>
    <row r="1403">
      <c r="A1403" s="1">
        <f>IFERROR(__xludf.DUMMYFUNCTION("""COMPUTED_VALUE"""),1402.0)</f>
        <v>1402</v>
      </c>
      <c r="B1403" s="1">
        <f>IFERROR(__xludf.DUMMYFUNCTION("""COMPUTED_VALUE"""),6466.0)</f>
        <v>6466</v>
      </c>
      <c r="C1403" s="2" t="str">
        <f>IFERROR(__xludf.DUMMYFUNCTION("""COMPUTED_VALUE"""),"DISHUB")</f>
        <v>DISHUB</v>
      </c>
      <c r="D1403" s="2" t="str">
        <f>IFERROR(__xludf.DUMMYFUNCTION("""COMPUTED_VALUE"""),"5KM OVERALL M")</f>
        <v>5KM OVERALL M</v>
      </c>
      <c r="E1403" s="1">
        <f>IFERROR(__xludf.DUMMYFUNCTION("""COMPUTED_VALUE"""),778.0)</f>
        <v>778</v>
      </c>
      <c r="F1403" s="1" t="str">
        <f>IFERROR(__xludf.DUMMYFUNCTION("""COMPUTED_VALUE"""),"Male")</f>
        <v>Male</v>
      </c>
      <c r="G1403" s="5">
        <f>IFERROR(__xludf.DUMMYFUNCTION("""COMPUTED_VALUE"""),0.008777472222222223)</f>
        <v>0.008777472222</v>
      </c>
      <c r="H1403" s="15">
        <f>IFERROR(__xludf.DUMMYFUNCTION("""COMPUTED_VALUE"""),0.2549440625)</f>
        <v>0.2549440625</v>
      </c>
      <c r="I1403" s="15">
        <f>IFERROR(__xludf.DUMMYFUNCTION("""COMPUTED_VALUE"""),45949.29883142718)</f>
        <v>45949.29883</v>
      </c>
      <c r="J1403" s="15">
        <f>IFERROR(__xludf.DUMMYFUNCTION("""COMPUTED_VALUE"""),45949.04388736468)</f>
        <v>45949.04389</v>
      </c>
      <c r="K1403" s="15">
        <f>IFERROR(__xludf.DUMMYFUNCTION("""COMPUTED_VALUE"""),45950.281273148146)</f>
        <v>45950.28127</v>
      </c>
      <c r="L1403" s="4" t="str">
        <f>IFERROR(__xludf.DUMMYFUNCTION("""COMPUTED_VALUE"""),"C")</f>
        <v>C</v>
      </c>
    </row>
    <row r="1404">
      <c r="A1404" s="1">
        <f>IFERROR(__xludf.DUMMYFUNCTION("""COMPUTED_VALUE"""),1403.0)</f>
        <v>1403</v>
      </c>
      <c r="B1404" s="7" t="str">
        <f>IFERROR(__xludf.DUMMYFUNCTION("""COMPUTED_VALUE"""),"9073")</f>
        <v>9073</v>
      </c>
      <c r="C1404" s="8" t="str">
        <f>IFERROR(__xludf.DUMMYFUNCTION("""COMPUTED_VALUE"""),"Haura Anindya Mahya")</f>
        <v>Haura Anindya Mahya</v>
      </c>
      <c r="D1404" s="2" t="str">
        <f>IFERROR(__xludf.DUMMYFUNCTION("""COMPUTED_VALUE"""),"5KM STUDENT F")</f>
        <v>5KM STUDENT F</v>
      </c>
      <c r="E1404" s="1">
        <f>IFERROR(__xludf.DUMMYFUNCTION("""COMPUTED_VALUE"""),13.0)</f>
        <v>13</v>
      </c>
      <c r="F1404" s="1" t="str">
        <f>IFERROR(__xludf.DUMMYFUNCTION("""COMPUTED_VALUE"""),"Female")</f>
        <v>Female</v>
      </c>
      <c r="G1404" s="5">
        <f>IFERROR(__xludf.DUMMYFUNCTION("""COMPUTED_VALUE"""),0.008782368055555555)</f>
        <v>0.008782368056</v>
      </c>
      <c r="H1404" s="15">
        <f>IFERROR(__xludf.DUMMYFUNCTION("""COMPUTED_VALUE"""),0.2549440625)</f>
        <v>0.2549440625</v>
      </c>
      <c r="I1404" s="15">
        <f>IFERROR(__xludf.DUMMYFUNCTION("""COMPUTED_VALUE"""),45949.29885589993)</f>
        <v>45949.29886</v>
      </c>
      <c r="J1404" s="15">
        <f>IFERROR(__xludf.DUMMYFUNCTION("""COMPUTED_VALUE"""),45949.04391183743)</f>
        <v>45949.04391</v>
      </c>
      <c r="K1404" s="15">
        <f>IFERROR(__xludf.DUMMYFUNCTION("""COMPUTED_VALUE"""),45950.2812962963)</f>
        <v>45950.2813</v>
      </c>
      <c r="L1404" s="4" t="str">
        <f>IFERROR(__xludf.DUMMYFUNCTION("""COMPUTED_VALUE"""),"C")</f>
        <v>C</v>
      </c>
    </row>
    <row r="1405">
      <c r="A1405" s="1">
        <f>IFERROR(__xludf.DUMMYFUNCTION("""COMPUTED_VALUE"""),1404.0)</f>
        <v>1404</v>
      </c>
      <c r="B1405" s="1">
        <f>IFERROR(__xludf.DUMMYFUNCTION("""COMPUTED_VALUE"""),5106.0)</f>
        <v>5106</v>
      </c>
      <c r="C1405" s="2" t="str">
        <f>IFERROR(__xludf.DUMMYFUNCTION("""COMPUTED_VALUE"""),"Kharisma Putri Salsa Mukarramah")</f>
        <v>Kharisma Putri Salsa Mukarramah</v>
      </c>
      <c r="D1405" s="2" t="str">
        <f>IFERROR(__xludf.DUMMYFUNCTION("""COMPUTED_VALUE"""),"5KM OVERALL F")</f>
        <v>5KM OVERALL F</v>
      </c>
      <c r="E1405" s="1">
        <f>IFERROR(__xludf.DUMMYFUNCTION("""COMPUTED_VALUE"""),397.0)</f>
        <v>397</v>
      </c>
      <c r="F1405" s="1" t="str">
        <f>IFERROR(__xludf.DUMMYFUNCTION("""COMPUTED_VALUE"""),"Female")</f>
        <v>Female</v>
      </c>
      <c r="G1405" s="5">
        <f>IFERROR(__xludf.DUMMYFUNCTION("""COMPUTED_VALUE"""),0.008785113425925925)</f>
        <v>0.008785113426</v>
      </c>
      <c r="H1405" s="15">
        <f>IFERROR(__xludf.DUMMYFUNCTION("""COMPUTED_VALUE"""),0.2549440625)</f>
        <v>0.2549440625</v>
      </c>
      <c r="I1405" s="15">
        <f>IFERROR(__xludf.DUMMYFUNCTION("""COMPUTED_VALUE"""),45949.29886962883)</f>
        <v>45949.29887</v>
      </c>
      <c r="J1405" s="15">
        <f>IFERROR(__xludf.DUMMYFUNCTION("""COMPUTED_VALUE"""),45949.04392556633)</f>
        <v>45949.04393</v>
      </c>
      <c r="K1405" s="15">
        <f>IFERROR(__xludf.DUMMYFUNCTION("""COMPUTED_VALUE"""),45949.27999890909)</f>
        <v>45949.28</v>
      </c>
      <c r="L1405" s="4"/>
    </row>
    <row r="1406">
      <c r="A1406" s="1">
        <f>IFERROR(__xludf.DUMMYFUNCTION("""COMPUTED_VALUE"""),1405.0)</f>
        <v>1405</v>
      </c>
      <c r="B1406" s="1">
        <f>IFERROR(__xludf.DUMMYFUNCTION("""COMPUTED_VALUE"""),5143.0)</f>
        <v>5143</v>
      </c>
      <c r="C1406" s="2" t="str">
        <f>IFERROR(__xludf.DUMMYFUNCTION("""COMPUTED_VALUE"""),"Devia Gustiana Maulida")</f>
        <v>Devia Gustiana Maulida</v>
      </c>
      <c r="D1406" s="2" t="str">
        <f>IFERROR(__xludf.DUMMYFUNCTION("""COMPUTED_VALUE"""),"5KM OVERALL F")</f>
        <v>5KM OVERALL F</v>
      </c>
      <c r="E1406" s="1">
        <f>IFERROR(__xludf.DUMMYFUNCTION("""COMPUTED_VALUE"""),398.0)</f>
        <v>398</v>
      </c>
      <c r="F1406" s="1" t="str">
        <f>IFERROR(__xludf.DUMMYFUNCTION("""COMPUTED_VALUE"""),"Female")</f>
        <v>Female</v>
      </c>
      <c r="G1406" s="5">
        <f>IFERROR(__xludf.DUMMYFUNCTION("""COMPUTED_VALUE"""),0.008790666666666667)</f>
        <v>0.008790666667</v>
      </c>
      <c r="H1406" s="15">
        <f>IFERROR(__xludf.DUMMYFUNCTION("""COMPUTED_VALUE"""),0.2549440625)</f>
        <v>0.2549440625</v>
      </c>
      <c r="I1406" s="15">
        <f>IFERROR(__xludf.DUMMYFUNCTION("""COMPUTED_VALUE"""),45949.29889739605)</f>
        <v>45949.2989</v>
      </c>
      <c r="J1406" s="15">
        <f>IFERROR(__xludf.DUMMYFUNCTION("""COMPUTED_VALUE"""),45949.04395333355)</f>
        <v>45949.04395</v>
      </c>
      <c r="K1406" s="15">
        <f>IFERROR(__xludf.DUMMYFUNCTION("""COMPUTED_VALUE"""),45949.27962044627)</f>
        <v>45949.27962</v>
      </c>
      <c r="L1406" s="4"/>
    </row>
    <row r="1407">
      <c r="A1407" s="1">
        <f>IFERROR(__xludf.DUMMYFUNCTION("""COMPUTED_VALUE"""),1406.0)</f>
        <v>1406</v>
      </c>
      <c r="B1407" s="1">
        <f>IFERROR(__xludf.DUMMYFUNCTION("""COMPUTED_VALUE"""),5305.0)</f>
        <v>5305</v>
      </c>
      <c r="C1407" s="2" t="str">
        <f>IFERROR(__xludf.DUMMYFUNCTION("""COMPUTED_VALUE"""),"elsa riyanti")</f>
        <v>elsa riyanti</v>
      </c>
      <c r="D1407" s="2" t="str">
        <f>IFERROR(__xludf.DUMMYFUNCTION("""COMPUTED_VALUE"""),"5KM OVERALL F")</f>
        <v>5KM OVERALL F</v>
      </c>
      <c r="E1407" s="1">
        <f>IFERROR(__xludf.DUMMYFUNCTION("""COMPUTED_VALUE"""),399.0)</f>
        <v>399</v>
      </c>
      <c r="F1407" s="1" t="str">
        <f>IFERROR(__xludf.DUMMYFUNCTION("""COMPUTED_VALUE"""),"Female")</f>
        <v>Female</v>
      </c>
      <c r="G1407" s="5">
        <f>IFERROR(__xludf.DUMMYFUNCTION("""COMPUTED_VALUE"""),0.008792055555555556)</f>
        <v>0.008792055556</v>
      </c>
      <c r="H1407" s="15">
        <f>IFERROR(__xludf.DUMMYFUNCTION("""COMPUTED_VALUE"""),0.2549440625)</f>
        <v>0.2549440625</v>
      </c>
      <c r="I1407" s="15">
        <f>IFERROR(__xludf.DUMMYFUNCTION("""COMPUTED_VALUE"""),45949.29890433621)</f>
        <v>45949.2989</v>
      </c>
      <c r="J1407" s="15">
        <f>IFERROR(__xludf.DUMMYFUNCTION("""COMPUTED_VALUE"""),45949.04396027371)</f>
        <v>45949.04396</v>
      </c>
      <c r="K1407" s="15">
        <f>IFERROR(__xludf.DUMMYFUNCTION("""COMPUTED_VALUE"""),45949.27965869557)</f>
        <v>45949.27966</v>
      </c>
      <c r="L1407" s="4"/>
    </row>
    <row r="1408">
      <c r="A1408" s="1">
        <f>IFERROR(__xludf.DUMMYFUNCTION("""COMPUTED_VALUE"""),1407.0)</f>
        <v>1407</v>
      </c>
      <c r="B1408" s="1">
        <f>IFERROR(__xludf.DUMMYFUNCTION("""COMPUTED_VALUE"""),7016.0)</f>
        <v>7016</v>
      </c>
      <c r="C1408" s="2" t="str">
        <f>IFERROR(__xludf.DUMMYFUNCTION("""COMPUTED_VALUE"""),"Aini Istariyadi")</f>
        <v>Aini Istariyadi</v>
      </c>
      <c r="D1408" s="2" t="str">
        <f>IFERROR(__xludf.DUMMYFUNCTION("""COMPUTED_VALUE"""),"5KM MASTER M")</f>
        <v>5KM MASTER M</v>
      </c>
      <c r="E1408" s="1">
        <f>IFERROR(__xludf.DUMMYFUNCTION("""COMPUTED_VALUE"""),97.0)</f>
        <v>97</v>
      </c>
      <c r="F1408" s="1" t="str">
        <f>IFERROR(__xludf.DUMMYFUNCTION("""COMPUTED_VALUE"""),"Male")</f>
        <v>Male</v>
      </c>
      <c r="G1408" s="5">
        <f>IFERROR(__xludf.DUMMYFUNCTION("""COMPUTED_VALUE"""),0.008795518518518518)</f>
        <v>0.008795518519</v>
      </c>
      <c r="H1408" s="15">
        <f>IFERROR(__xludf.DUMMYFUNCTION("""COMPUTED_VALUE"""),0.2549440625)</f>
        <v>0.2549440625</v>
      </c>
      <c r="I1408" s="15">
        <f>IFERROR(__xludf.DUMMYFUNCTION("""COMPUTED_VALUE"""),45949.29892164934)</f>
        <v>45949.29892</v>
      </c>
      <c r="J1408" s="15">
        <f>IFERROR(__xludf.DUMMYFUNCTION("""COMPUTED_VALUE"""),45949.043977586836)</f>
        <v>45949.04398</v>
      </c>
      <c r="K1408" s="15">
        <f>IFERROR(__xludf.DUMMYFUNCTION("""COMPUTED_VALUE"""),45949.28064827645)</f>
        <v>45949.28065</v>
      </c>
      <c r="L1408" s="4"/>
    </row>
    <row r="1409">
      <c r="A1409" s="1">
        <f>IFERROR(__xludf.DUMMYFUNCTION("""COMPUTED_VALUE"""),1408.0)</f>
        <v>1408</v>
      </c>
      <c r="B1409" s="7" t="str">
        <f>IFERROR(__xludf.DUMMYFUNCTION("""COMPUTED_VALUE"""),"9008")</f>
        <v>9008</v>
      </c>
      <c r="C1409" s="8" t="str">
        <f>IFERROR(__xludf.DUMMYFUNCTION("""COMPUTED_VALUE"""),"AZZAM TSAQIB NABIL FARSYADANY")</f>
        <v>AZZAM TSAQIB NABIL FARSYADANY</v>
      </c>
      <c r="D1409" s="2" t="str">
        <f>IFERROR(__xludf.DUMMYFUNCTION("""COMPUTED_VALUE"""),"5KM STUDENT M")</f>
        <v>5KM STUDENT M</v>
      </c>
      <c r="E1409" s="1">
        <f>IFERROR(__xludf.DUMMYFUNCTION("""COMPUTED_VALUE"""),67.0)</f>
        <v>67</v>
      </c>
      <c r="F1409" s="1" t="str">
        <f>IFERROR(__xludf.DUMMYFUNCTION("""COMPUTED_VALUE"""),"Male")</f>
        <v>Male</v>
      </c>
      <c r="G1409" s="5">
        <f>IFERROR(__xludf.DUMMYFUNCTION("""COMPUTED_VALUE"""),0.008795520833333332)</f>
        <v>0.008795520833</v>
      </c>
      <c r="H1409" s="15">
        <f>IFERROR(__xludf.DUMMYFUNCTION("""COMPUTED_VALUE"""),0.2549440625)</f>
        <v>0.2549440625</v>
      </c>
      <c r="I1409" s="15">
        <f>IFERROR(__xludf.DUMMYFUNCTION("""COMPUTED_VALUE"""),45949.298921661466)</f>
        <v>45949.29892</v>
      </c>
      <c r="J1409" s="15">
        <f>IFERROR(__xludf.DUMMYFUNCTION("""COMPUTED_VALUE"""),45949.043977598965)</f>
        <v>45949.04398</v>
      </c>
      <c r="K1409" s="15">
        <f>IFERROR(__xludf.DUMMYFUNCTION("""COMPUTED_VALUE"""),45949.280731543666)</f>
        <v>45949.28073</v>
      </c>
      <c r="L1409" s="4"/>
    </row>
    <row r="1410">
      <c r="A1410" s="1">
        <f>IFERROR(__xludf.DUMMYFUNCTION("""COMPUTED_VALUE"""),1409.0)</f>
        <v>1409</v>
      </c>
      <c r="B1410" s="1">
        <f>IFERROR(__xludf.DUMMYFUNCTION("""COMPUTED_VALUE"""),6057.0)</f>
        <v>6057</v>
      </c>
      <c r="C1410" s="2" t="str">
        <f>IFERROR(__xludf.DUMMYFUNCTION("""COMPUTED_VALUE"""),"syah abdi")</f>
        <v>syah abdi</v>
      </c>
      <c r="D1410" s="2" t="str">
        <f>IFERROR(__xludf.DUMMYFUNCTION("""COMPUTED_VALUE"""),"5KM OVERALL M")</f>
        <v>5KM OVERALL M</v>
      </c>
      <c r="E1410" s="1">
        <f>IFERROR(__xludf.DUMMYFUNCTION("""COMPUTED_VALUE"""),779.0)</f>
        <v>779</v>
      </c>
      <c r="F1410" s="1" t="str">
        <f>IFERROR(__xludf.DUMMYFUNCTION("""COMPUTED_VALUE"""),"Male")</f>
        <v>Male</v>
      </c>
      <c r="G1410" s="5">
        <f>IFERROR(__xludf.DUMMYFUNCTION("""COMPUTED_VALUE"""),0.008798993055555555)</f>
        <v>0.008798993056</v>
      </c>
      <c r="H1410" s="15">
        <f>IFERROR(__xludf.DUMMYFUNCTION("""COMPUTED_VALUE"""),0.2549440625)</f>
        <v>0.2549440625</v>
      </c>
      <c r="I1410" s="15">
        <f>IFERROR(__xludf.DUMMYFUNCTION("""COMPUTED_VALUE"""),45949.29893902393)</f>
        <v>45949.29894</v>
      </c>
      <c r="J1410" s="15">
        <f>IFERROR(__xludf.DUMMYFUNCTION("""COMPUTED_VALUE"""),45949.04399496143)</f>
        <v>45949.04399</v>
      </c>
      <c r="K1410" s="15">
        <f>IFERROR(__xludf.DUMMYFUNCTION("""COMPUTED_VALUE"""),45949.28050939973)</f>
        <v>45949.28051</v>
      </c>
      <c r="L1410" s="4"/>
    </row>
    <row r="1411">
      <c r="A1411" s="1">
        <f>IFERROR(__xludf.DUMMYFUNCTION("""COMPUTED_VALUE"""),1410.0)</f>
        <v>1410</v>
      </c>
      <c r="B1411" s="1">
        <f>IFERROR(__xludf.DUMMYFUNCTION("""COMPUTED_VALUE"""),5207.0)</f>
        <v>5207</v>
      </c>
      <c r="C1411" s="2" t="str">
        <f>IFERROR(__xludf.DUMMYFUNCTION("""COMPUTED_VALUE"""),"AINOOR FACHJAR")</f>
        <v>AINOOR FACHJAR</v>
      </c>
      <c r="D1411" s="2" t="str">
        <f>IFERROR(__xludf.DUMMYFUNCTION("""COMPUTED_VALUE"""),"5KM OVERALL M")</f>
        <v>5KM OVERALL M</v>
      </c>
      <c r="E1411" s="1">
        <f>IFERROR(__xludf.DUMMYFUNCTION("""COMPUTED_VALUE"""),780.0)</f>
        <v>780</v>
      </c>
      <c r="F1411" s="1" t="str">
        <f>IFERROR(__xludf.DUMMYFUNCTION("""COMPUTED_VALUE"""),"Male")</f>
        <v>Male</v>
      </c>
      <c r="G1411" s="5">
        <f>IFERROR(__xludf.DUMMYFUNCTION("""COMPUTED_VALUE"""),0.008802472222222222)</f>
        <v>0.008802472222</v>
      </c>
      <c r="H1411" s="15">
        <f>IFERROR(__xludf.DUMMYFUNCTION("""COMPUTED_VALUE"""),0.2549440625)</f>
        <v>0.2549440625</v>
      </c>
      <c r="I1411" s="15">
        <f>IFERROR(__xludf.DUMMYFUNCTION("""COMPUTED_VALUE"""),45949.29895642491)</f>
        <v>45949.29896</v>
      </c>
      <c r="J1411" s="15">
        <f>IFERROR(__xludf.DUMMYFUNCTION("""COMPUTED_VALUE"""),45949.04401236241)</f>
        <v>45949.04401</v>
      </c>
      <c r="K1411" s="15">
        <f>IFERROR(__xludf.DUMMYFUNCTION("""COMPUTED_VALUE"""),45949.280634334405)</f>
        <v>45949.28063</v>
      </c>
      <c r="L1411" s="4"/>
    </row>
    <row r="1412">
      <c r="A1412" s="1">
        <f>IFERROR(__xludf.DUMMYFUNCTION("""COMPUTED_VALUE"""),1411.0)</f>
        <v>1411</v>
      </c>
      <c r="B1412" s="7" t="str">
        <f>IFERROR(__xludf.DUMMYFUNCTION("""COMPUTED_VALUE"""),"9059")</f>
        <v>9059</v>
      </c>
      <c r="C1412" s="8" t="str">
        <f>IFERROR(__xludf.DUMMYFUNCTION("""COMPUTED_VALUE"""),"Elfan")</f>
        <v>Elfan</v>
      </c>
      <c r="D1412" s="2" t="str">
        <f>IFERROR(__xludf.DUMMYFUNCTION("""COMPUTED_VALUE"""),"5KM STUDENT M")</f>
        <v>5KM STUDENT M</v>
      </c>
      <c r="E1412" s="1">
        <f>IFERROR(__xludf.DUMMYFUNCTION("""COMPUTED_VALUE"""),68.0)</f>
        <v>68</v>
      </c>
      <c r="F1412" s="1" t="str">
        <f>IFERROR(__xludf.DUMMYFUNCTION("""COMPUTED_VALUE"""),"Male")</f>
        <v>Male</v>
      </c>
      <c r="G1412" s="5">
        <f>IFERROR(__xludf.DUMMYFUNCTION("""COMPUTED_VALUE"""),0.00882538888888889)</f>
        <v>0.008825388889</v>
      </c>
      <c r="H1412" s="15">
        <f>IFERROR(__xludf.DUMMYFUNCTION("""COMPUTED_VALUE"""),0.2549440625)</f>
        <v>0.2549440625</v>
      </c>
      <c r="I1412" s="15">
        <f>IFERROR(__xludf.DUMMYFUNCTION("""COMPUTED_VALUE"""),45949.299071007845)</f>
        <v>45949.29907</v>
      </c>
      <c r="J1412" s="15">
        <f>IFERROR(__xludf.DUMMYFUNCTION("""COMPUTED_VALUE"""),45949.044126945344)</f>
        <v>45949.04413</v>
      </c>
      <c r="K1412" s="15">
        <f>IFERROR(__xludf.DUMMYFUNCTION("""COMPUTED_VALUE"""),45949.280023222986)</f>
        <v>45949.28002</v>
      </c>
      <c r="L1412" s="4"/>
    </row>
    <row r="1413">
      <c r="A1413" s="1">
        <f>IFERROR(__xludf.DUMMYFUNCTION("""COMPUTED_VALUE"""),1412.0)</f>
        <v>1412</v>
      </c>
      <c r="B1413" s="7" t="str">
        <f>IFERROR(__xludf.DUMMYFUNCTION("""COMPUTED_VALUE"""),"9054")</f>
        <v>9054</v>
      </c>
      <c r="C1413" s="8" t="str">
        <f>IFERROR(__xludf.DUMMYFUNCTION("""COMPUTED_VALUE"""),"hanun")</f>
        <v>hanun</v>
      </c>
      <c r="D1413" s="2" t="str">
        <f>IFERROR(__xludf.DUMMYFUNCTION("""COMPUTED_VALUE"""),"5KM STUDENT F")</f>
        <v>5KM STUDENT F</v>
      </c>
      <c r="E1413" s="1">
        <f>IFERROR(__xludf.DUMMYFUNCTION("""COMPUTED_VALUE"""),14.0)</f>
        <v>14</v>
      </c>
      <c r="F1413" s="1" t="str">
        <f>IFERROR(__xludf.DUMMYFUNCTION("""COMPUTED_VALUE"""),"Female")</f>
        <v>Female</v>
      </c>
      <c r="G1413" s="5">
        <f>IFERROR(__xludf.DUMMYFUNCTION("""COMPUTED_VALUE"""),0.0088268125)</f>
        <v>0.0088268125</v>
      </c>
      <c r="H1413" s="15">
        <f>IFERROR(__xludf.DUMMYFUNCTION("""COMPUTED_VALUE"""),0.2549440625)</f>
        <v>0.2549440625</v>
      </c>
      <c r="I1413" s="15">
        <f>IFERROR(__xludf.DUMMYFUNCTION("""COMPUTED_VALUE"""),45949.29907812714)</f>
        <v>45949.29908</v>
      </c>
      <c r="J1413" s="15">
        <f>IFERROR(__xludf.DUMMYFUNCTION("""COMPUTED_VALUE"""),45949.044134064636)</f>
        <v>45949.04413</v>
      </c>
      <c r="K1413" s="15">
        <f>IFERROR(__xludf.DUMMYFUNCTION("""COMPUTED_VALUE"""),45949.28000240142)</f>
        <v>45949.28</v>
      </c>
      <c r="L1413" s="4"/>
    </row>
    <row r="1414">
      <c r="A1414" s="1">
        <f>IFERROR(__xludf.DUMMYFUNCTION("""COMPUTED_VALUE"""),1413.0)</f>
        <v>1413</v>
      </c>
      <c r="B1414" s="1">
        <f>IFERROR(__xludf.DUMMYFUNCTION("""COMPUTED_VALUE"""),5718.0)</f>
        <v>5718</v>
      </c>
      <c r="C1414" s="2" t="str">
        <f>IFERROR(__xludf.DUMMYFUNCTION("""COMPUTED_VALUE"""),"NELLY R.A.A")</f>
        <v>NELLY R.A.A</v>
      </c>
      <c r="D1414" s="2" t="str">
        <f>IFERROR(__xludf.DUMMYFUNCTION("""COMPUTED_VALUE"""),"5KM OVERALL F")</f>
        <v>5KM OVERALL F</v>
      </c>
      <c r="E1414" s="1">
        <f>IFERROR(__xludf.DUMMYFUNCTION("""COMPUTED_VALUE"""),400.0)</f>
        <v>400</v>
      </c>
      <c r="F1414" s="1" t="str">
        <f>IFERROR(__xludf.DUMMYFUNCTION("""COMPUTED_VALUE"""),"Female")</f>
        <v>Female</v>
      </c>
      <c r="G1414" s="5">
        <f>IFERROR(__xludf.DUMMYFUNCTION("""COMPUTED_VALUE"""),0.008837888888888888)</f>
        <v>0.008837888889</v>
      </c>
      <c r="H1414" s="15">
        <f>IFERROR(__xludf.DUMMYFUNCTION("""COMPUTED_VALUE"""),0.2549440625)</f>
        <v>0.2549440625</v>
      </c>
      <c r="I1414" s="15">
        <f>IFERROR(__xludf.DUMMYFUNCTION("""COMPUTED_VALUE"""),45949.29913350972)</f>
        <v>45949.29913</v>
      </c>
      <c r="J1414" s="15">
        <f>IFERROR(__xludf.DUMMYFUNCTION("""COMPUTED_VALUE"""),45949.04418944722)</f>
        <v>45949.04419</v>
      </c>
      <c r="K1414" s="15">
        <f>IFERROR(__xludf.DUMMYFUNCTION("""COMPUTED_VALUE"""),45949.27968642178)</f>
        <v>45949.27969</v>
      </c>
      <c r="L1414" s="4"/>
    </row>
    <row r="1415">
      <c r="A1415" s="1">
        <f>IFERROR(__xludf.DUMMYFUNCTION("""COMPUTED_VALUE"""),1414.0)</f>
        <v>1414</v>
      </c>
      <c r="B1415" s="1">
        <f>IFERROR(__xludf.DUMMYFUNCTION("""COMPUTED_VALUE"""),5714.0)</f>
        <v>5714</v>
      </c>
      <c r="C1415" s="2" t="str">
        <f>IFERROR(__xludf.DUMMYFUNCTION("""COMPUTED_VALUE"""),"IKHWAN")</f>
        <v>IKHWAN</v>
      </c>
      <c r="D1415" s="2" t="str">
        <f>IFERROR(__xludf.DUMMYFUNCTION("""COMPUTED_VALUE"""),"5KM OVERALL M")</f>
        <v>5KM OVERALL M</v>
      </c>
      <c r="E1415" s="1">
        <f>IFERROR(__xludf.DUMMYFUNCTION("""COMPUTED_VALUE"""),781.0)</f>
        <v>781</v>
      </c>
      <c r="F1415" s="1" t="str">
        <f>IFERROR(__xludf.DUMMYFUNCTION("""COMPUTED_VALUE"""),"Male")</f>
        <v>Male</v>
      </c>
      <c r="G1415" s="5">
        <f>IFERROR(__xludf.DUMMYFUNCTION("""COMPUTED_VALUE"""),0.00884275)</f>
        <v>0.00884275</v>
      </c>
      <c r="H1415" s="15">
        <f>IFERROR(__xludf.DUMMYFUNCTION("""COMPUTED_VALUE"""),0.2549440625)</f>
        <v>0.2549440625</v>
      </c>
      <c r="I1415" s="15">
        <f>IFERROR(__xludf.DUMMYFUNCTION("""COMPUTED_VALUE"""),45949.29915781741)</f>
        <v>45949.29916</v>
      </c>
      <c r="J1415" s="15">
        <f>IFERROR(__xludf.DUMMYFUNCTION("""COMPUTED_VALUE"""),45949.04421375491)</f>
        <v>45949.04421</v>
      </c>
      <c r="K1415" s="15">
        <f>IFERROR(__xludf.DUMMYFUNCTION("""COMPUTED_VALUE"""),45949.279679525716)</f>
        <v>45949.27968</v>
      </c>
      <c r="L1415" s="4"/>
    </row>
    <row r="1416">
      <c r="A1416" s="1">
        <f>IFERROR(__xludf.DUMMYFUNCTION("""COMPUTED_VALUE"""),1415.0)</f>
        <v>1415</v>
      </c>
      <c r="B1416" s="1">
        <f>IFERROR(__xludf.DUMMYFUNCTION("""COMPUTED_VALUE"""),5583.0)</f>
        <v>5583</v>
      </c>
      <c r="C1416" s="2" t="str">
        <f>IFERROR(__xludf.DUMMYFUNCTION("""COMPUTED_VALUE"""),"Reza")</f>
        <v>Reza</v>
      </c>
      <c r="D1416" s="2" t="str">
        <f>IFERROR(__xludf.DUMMYFUNCTION("""COMPUTED_VALUE"""),"5KM OVERALL M")</f>
        <v>5KM OVERALL M</v>
      </c>
      <c r="E1416" s="1">
        <f>IFERROR(__xludf.DUMMYFUNCTION("""COMPUTED_VALUE"""),782.0)</f>
        <v>782</v>
      </c>
      <c r="F1416" s="1" t="str">
        <f>IFERROR(__xludf.DUMMYFUNCTION("""COMPUTED_VALUE"""),"Male")</f>
        <v>Male</v>
      </c>
      <c r="G1416" s="5">
        <f>IFERROR(__xludf.DUMMYFUNCTION("""COMPUTED_VALUE"""),0.008846909722222223)</f>
        <v>0.008846909722</v>
      </c>
      <c r="H1416" s="15">
        <f>IFERROR(__xludf.DUMMYFUNCTION("""COMPUTED_VALUE"""),0.2549440625)</f>
        <v>0.2549440625</v>
      </c>
      <c r="I1416" s="15">
        <f>IFERROR(__xludf.DUMMYFUNCTION("""COMPUTED_VALUE"""),45949.2991786075)</f>
        <v>45949.29918</v>
      </c>
      <c r="J1416" s="15">
        <f>IFERROR(__xludf.DUMMYFUNCTION("""COMPUTED_VALUE"""),45949.044234545)</f>
        <v>45949.04423</v>
      </c>
      <c r="K1416" s="15">
        <f>IFERROR(__xludf.DUMMYFUNCTION("""COMPUTED_VALUE"""),45949.2815371187)</f>
        <v>45949.28154</v>
      </c>
      <c r="L1416" s="4"/>
    </row>
    <row r="1417">
      <c r="A1417" s="1">
        <f>IFERROR(__xludf.DUMMYFUNCTION("""COMPUTED_VALUE"""),1416.0)</f>
        <v>1416</v>
      </c>
      <c r="B1417" s="1">
        <f>IFERROR(__xludf.DUMMYFUNCTION("""COMPUTED_VALUE"""),7037.0)</f>
        <v>7037</v>
      </c>
      <c r="C1417" s="2" t="str">
        <f>IFERROR(__xludf.DUMMYFUNCTION("""COMPUTED_VALUE"""),"Almannan")</f>
        <v>Almannan</v>
      </c>
      <c r="D1417" s="2" t="str">
        <f>IFERROR(__xludf.DUMMYFUNCTION("""COMPUTED_VALUE"""),"5KM MASTER M")</f>
        <v>5KM MASTER M</v>
      </c>
      <c r="E1417" s="1">
        <f>IFERROR(__xludf.DUMMYFUNCTION("""COMPUTED_VALUE"""),98.0)</f>
        <v>98</v>
      </c>
      <c r="F1417" s="1" t="str">
        <f>IFERROR(__xludf.DUMMYFUNCTION("""COMPUTED_VALUE"""),"Male")</f>
        <v>Male</v>
      </c>
      <c r="G1417" s="5">
        <f>IFERROR(__xludf.DUMMYFUNCTION("""COMPUTED_VALUE"""),0.008848305555555555)</f>
        <v>0.008848305556</v>
      </c>
      <c r="H1417" s="15">
        <f>IFERROR(__xludf.DUMMYFUNCTION("""COMPUTED_VALUE"""),0.2549440625)</f>
        <v>0.2549440625</v>
      </c>
      <c r="I1417" s="15">
        <f>IFERROR(__xludf.DUMMYFUNCTION("""COMPUTED_VALUE"""),45949.299185587995)</f>
        <v>45949.29919</v>
      </c>
      <c r="J1417" s="15">
        <f>IFERROR(__xludf.DUMMYFUNCTION("""COMPUTED_VALUE"""),45949.044241525495)</f>
        <v>45949.04424</v>
      </c>
      <c r="K1417" s="15">
        <f>IFERROR(__xludf.DUMMYFUNCTION("""COMPUTED_VALUE"""),45949.281290583465)</f>
        <v>45949.28129</v>
      </c>
      <c r="L1417" s="4"/>
    </row>
    <row r="1418">
      <c r="A1418" s="1">
        <f>IFERROR(__xludf.DUMMYFUNCTION("""COMPUTED_VALUE"""),1417.0)</f>
        <v>1417</v>
      </c>
      <c r="B1418" s="1">
        <f>IFERROR(__xludf.DUMMYFUNCTION("""COMPUTED_VALUE"""),5491.0)</f>
        <v>5491</v>
      </c>
      <c r="C1418" s="2" t="str">
        <f>IFERROR(__xludf.DUMMYFUNCTION("""COMPUTED_VALUE"""),"Sherlyneus")</f>
        <v>Sherlyneus</v>
      </c>
      <c r="D1418" s="2" t="str">
        <f>IFERROR(__xludf.DUMMYFUNCTION("""COMPUTED_VALUE"""),"5KM OVERALL F")</f>
        <v>5KM OVERALL F</v>
      </c>
      <c r="E1418" s="1">
        <f>IFERROR(__xludf.DUMMYFUNCTION("""COMPUTED_VALUE"""),401.0)</f>
        <v>401</v>
      </c>
      <c r="F1418" s="1" t="str">
        <f>IFERROR(__xludf.DUMMYFUNCTION("""COMPUTED_VALUE"""),"Female")</f>
        <v>Female</v>
      </c>
      <c r="G1418" s="5">
        <f>IFERROR(__xludf.DUMMYFUNCTION("""COMPUTED_VALUE"""),0.008855319444444443)</f>
        <v>0.008855319444</v>
      </c>
      <c r="H1418" s="15">
        <f>IFERROR(__xludf.DUMMYFUNCTION("""COMPUTED_VALUE"""),0.2549440625)</f>
        <v>0.2549440625</v>
      </c>
      <c r="I1418" s="15">
        <f>IFERROR(__xludf.DUMMYFUNCTION("""COMPUTED_VALUE"""),45949.299220655135)</f>
        <v>45949.29922</v>
      </c>
      <c r="J1418" s="15">
        <f>IFERROR(__xludf.DUMMYFUNCTION("""COMPUTED_VALUE"""),45949.044276592635)</f>
        <v>45949.04428</v>
      </c>
      <c r="K1418" s="15">
        <f>IFERROR(__xludf.DUMMYFUNCTION("""COMPUTED_VALUE"""),45949.280575295874)</f>
        <v>45949.28058</v>
      </c>
      <c r="L1418" s="4"/>
    </row>
    <row r="1419">
      <c r="A1419" s="1">
        <f>IFERROR(__xludf.DUMMYFUNCTION("""COMPUTED_VALUE"""),1418.0)</f>
        <v>1418</v>
      </c>
      <c r="B1419" s="1">
        <f>IFERROR(__xludf.DUMMYFUNCTION("""COMPUTED_VALUE"""),7065.0)</f>
        <v>7065</v>
      </c>
      <c r="C1419" s="2" t="str">
        <f>IFERROR(__xludf.DUMMYFUNCTION("""COMPUTED_VALUE"""),"Saniah")</f>
        <v>Saniah</v>
      </c>
      <c r="D1419" s="2" t="str">
        <f>IFERROR(__xludf.DUMMYFUNCTION("""COMPUTED_VALUE"""),"5KM MASTER F")</f>
        <v>5KM MASTER F</v>
      </c>
      <c r="E1419" s="1">
        <f>IFERROR(__xludf.DUMMYFUNCTION("""COMPUTED_VALUE"""),55.0)</f>
        <v>55</v>
      </c>
      <c r="F1419" s="1" t="str">
        <f>IFERROR(__xludf.DUMMYFUNCTION("""COMPUTED_VALUE"""),"Female")</f>
        <v>Female</v>
      </c>
      <c r="G1419" s="5">
        <f>IFERROR(__xludf.DUMMYFUNCTION("""COMPUTED_VALUE"""),0.008858722222222223)</f>
        <v>0.008858722222</v>
      </c>
      <c r="H1419" s="15">
        <f>IFERROR(__xludf.DUMMYFUNCTION("""COMPUTED_VALUE"""),0.2549440625)</f>
        <v>0.2549440625</v>
      </c>
      <c r="I1419" s="15">
        <f>IFERROR(__xludf.DUMMYFUNCTION("""COMPUTED_VALUE"""),45949.29923767088)</f>
        <v>45949.29924</v>
      </c>
      <c r="J1419" s="15">
        <f>IFERROR(__xludf.DUMMYFUNCTION("""COMPUTED_VALUE"""),45949.04429360838)</f>
        <v>45949.04429</v>
      </c>
      <c r="K1419" s="15">
        <f>IFERROR(__xludf.DUMMYFUNCTION("""COMPUTED_VALUE"""),45949.28136002245)</f>
        <v>45949.28136</v>
      </c>
      <c r="L1419" s="4"/>
    </row>
    <row r="1420">
      <c r="A1420" s="1">
        <f>IFERROR(__xludf.DUMMYFUNCTION("""COMPUTED_VALUE"""),1419.0)</f>
        <v>1419</v>
      </c>
      <c r="B1420" s="1">
        <f>IFERROR(__xludf.DUMMYFUNCTION("""COMPUTED_VALUE"""),5975.0)</f>
        <v>5975</v>
      </c>
      <c r="C1420" s="2" t="str">
        <f>IFERROR(__xludf.DUMMYFUNCTION("""COMPUTED_VALUE"""),"MRCHL")</f>
        <v>MRCHL</v>
      </c>
      <c r="D1420" s="2" t="str">
        <f>IFERROR(__xludf.DUMMYFUNCTION("""COMPUTED_VALUE"""),"5KM OVERALL M")</f>
        <v>5KM OVERALL M</v>
      </c>
      <c r="E1420" s="1">
        <f>IFERROR(__xludf.DUMMYFUNCTION("""COMPUTED_VALUE"""),783.0)</f>
        <v>783</v>
      </c>
      <c r="F1420" s="1" t="str">
        <f>IFERROR(__xludf.DUMMYFUNCTION("""COMPUTED_VALUE"""),"Male")</f>
        <v>Male</v>
      </c>
      <c r="G1420" s="5">
        <f>IFERROR(__xludf.DUMMYFUNCTION("""COMPUTED_VALUE"""),0.008862888888888889)</f>
        <v>0.008862888889</v>
      </c>
      <c r="H1420" s="15">
        <f>IFERROR(__xludf.DUMMYFUNCTION("""COMPUTED_VALUE"""),0.2549440625)</f>
        <v>0.2549440625</v>
      </c>
      <c r="I1420" s="15">
        <f>IFERROR(__xludf.DUMMYFUNCTION("""COMPUTED_VALUE"""),45949.299258511826)</f>
        <v>45949.29926</v>
      </c>
      <c r="J1420" s="15">
        <f>IFERROR(__xludf.DUMMYFUNCTION("""COMPUTED_VALUE"""),45949.044314449326)</f>
        <v>45949.04431</v>
      </c>
      <c r="K1420" s="15">
        <f>IFERROR(__xludf.DUMMYFUNCTION("""COMPUTED_VALUE"""),45949.281384339076)</f>
        <v>45949.28138</v>
      </c>
      <c r="L1420" s="4"/>
    </row>
    <row r="1421">
      <c r="A1421" s="1">
        <f>IFERROR(__xludf.DUMMYFUNCTION("""COMPUTED_VALUE"""),1420.0)</f>
        <v>1420</v>
      </c>
      <c r="B1421" s="1">
        <f>IFERROR(__xludf.DUMMYFUNCTION("""COMPUTED_VALUE"""),6580.0)</f>
        <v>6580</v>
      </c>
      <c r="C1421" s="2" t="str">
        <f>IFERROR(__xludf.DUMMYFUNCTION("""COMPUTED_VALUE"""),"Sri Wahyuni")</f>
        <v>Sri Wahyuni</v>
      </c>
      <c r="D1421" s="2" t="str">
        <f>IFERROR(__xludf.DUMMYFUNCTION("""COMPUTED_VALUE"""),"5KM OVERALL F")</f>
        <v>5KM OVERALL F</v>
      </c>
      <c r="E1421" s="1">
        <f>IFERROR(__xludf.DUMMYFUNCTION("""COMPUTED_VALUE"""),402.0)</f>
        <v>402</v>
      </c>
      <c r="F1421" s="1" t="str">
        <f>IFERROR(__xludf.DUMMYFUNCTION("""COMPUTED_VALUE"""),"Female")</f>
        <v>Female</v>
      </c>
      <c r="G1421" s="5">
        <f>IFERROR(__xludf.DUMMYFUNCTION("""COMPUTED_VALUE"""),0.00886581712962963)</f>
        <v>0.00886581713</v>
      </c>
      <c r="H1421" s="15">
        <f>IFERROR(__xludf.DUMMYFUNCTION("""COMPUTED_VALUE"""),0.2549440625)</f>
        <v>0.2549440625</v>
      </c>
      <c r="I1421" s="15">
        <f>IFERROR(__xludf.DUMMYFUNCTION("""COMPUTED_VALUE"""),45949.29927314574)</f>
        <v>45949.29927</v>
      </c>
      <c r="J1421" s="15">
        <f>IFERROR(__xludf.DUMMYFUNCTION("""COMPUTED_VALUE"""),45949.04432908324)</f>
        <v>45949.04433</v>
      </c>
      <c r="K1421" s="15">
        <f>IFERROR(__xludf.DUMMYFUNCTION("""COMPUTED_VALUE"""),45949.28191211873)</f>
        <v>45949.28191</v>
      </c>
      <c r="L1421" s="4"/>
    </row>
    <row r="1422">
      <c r="A1422" s="1">
        <f>IFERROR(__xludf.DUMMYFUNCTION("""COMPUTED_VALUE"""),1421.0)</f>
        <v>1421</v>
      </c>
      <c r="B1422" s="1">
        <f>IFERROR(__xludf.DUMMYFUNCTION("""COMPUTED_VALUE"""),5130.0)</f>
        <v>5130</v>
      </c>
      <c r="C1422" s="2" t="str">
        <f>IFERROR(__xludf.DUMMYFUNCTION("""COMPUTED_VALUE"""),"KIKI")</f>
        <v>KIKI</v>
      </c>
      <c r="D1422" s="2" t="str">
        <f>IFERROR(__xludf.DUMMYFUNCTION("""COMPUTED_VALUE"""),"5KM OVERALL F")</f>
        <v>5KM OVERALL F</v>
      </c>
      <c r="E1422" s="1">
        <f>IFERROR(__xludf.DUMMYFUNCTION("""COMPUTED_VALUE"""),403.0)</f>
        <v>403</v>
      </c>
      <c r="F1422" s="1" t="str">
        <f>IFERROR(__xludf.DUMMYFUNCTION("""COMPUTED_VALUE"""),"Female")</f>
        <v>Female</v>
      </c>
      <c r="G1422" s="5">
        <f>IFERROR(__xludf.DUMMYFUNCTION("""COMPUTED_VALUE"""),0.008871226851851852)</f>
        <v>0.008871226852</v>
      </c>
      <c r="H1422" s="15">
        <f>IFERROR(__xludf.DUMMYFUNCTION("""COMPUTED_VALUE"""),0.2549440625)</f>
        <v>0.2549440625</v>
      </c>
      <c r="I1422" s="15">
        <f>IFERROR(__xludf.DUMMYFUNCTION("""COMPUTED_VALUE"""),45949.29930019253)</f>
        <v>45949.2993</v>
      </c>
      <c r="J1422" s="15">
        <f>IFERROR(__xludf.DUMMYFUNCTION("""COMPUTED_VALUE"""),45949.04435613003)</f>
        <v>45949.04436</v>
      </c>
      <c r="K1422" s="15">
        <f>IFERROR(__xludf.DUMMYFUNCTION("""COMPUTED_VALUE"""),45949.279106547794)</f>
        <v>45949.27911</v>
      </c>
      <c r="L1422" s="4"/>
    </row>
    <row r="1423">
      <c r="A1423" s="1">
        <f>IFERROR(__xludf.DUMMYFUNCTION("""COMPUTED_VALUE"""),1422.0)</f>
        <v>1422</v>
      </c>
      <c r="B1423" s="1">
        <f>IFERROR(__xludf.DUMMYFUNCTION("""COMPUTED_VALUE"""),6013.0)</f>
        <v>6013</v>
      </c>
      <c r="C1423" s="2" t="str">
        <f>IFERROR(__xludf.DUMMYFUNCTION("""COMPUTED_VALUE"""),"admyy")</f>
        <v>admyy</v>
      </c>
      <c r="D1423" s="2" t="str">
        <f>IFERROR(__xludf.DUMMYFUNCTION("""COMPUTED_VALUE"""),"5KM OVERALL F")</f>
        <v>5KM OVERALL F</v>
      </c>
      <c r="E1423" s="1">
        <f>IFERROR(__xludf.DUMMYFUNCTION("""COMPUTED_VALUE"""),404.0)</f>
        <v>404</v>
      </c>
      <c r="F1423" s="1" t="str">
        <f>IFERROR(__xludf.DUMMYFUNCTION("""COMPUTED_VALUE"""),"Female")</f>
        <v>Female</v>
      </c>
      <c r="G1423" s="5">
        <f>IFERROR(__xludf.DUMMYFUNCTION("""COMPUTED_VALUE"""),0.00887538888888889)</f>
        <v>0.008875388889</v>
      </c>
      <c r="H1423" s="15">
        <f>IFERROR(__xludf.DUMMYFUNCTION("""COMPUTED_VALUE"""),0.2549440625)</f>
        <v>0.2549440625</v>
      </c>
      <c r="I1423" s="15">
        <f>IFERROR(__xludf.DUMMYFUNCTION("""COMPUTED_VALUE"""),45949.29932100695)</f>
        <v>45949.29932</v>
      </c>
      <c r="J1423" s="15">
        <f>IFERROR(__xludf.DUMMYFUNCTION("""COMPUTED_VALUE"""),45949.04437694445)</f>
        <v>45949.04438</v>
      </c>
      <c r="K1423" s="15">
        <f>IFERROR(__xludf.DUMMYFUNCTION("""COMPUTED_VALUE"""),45949.28195724494)</f>
        <v>45949.28196</v>
      </c>
      <c r="L1423" s="4"/>
    </row>
    <row r="1424">
      <c r="A1424" s="1">
        <f>IFERROR(__xludf.DUMMYFUNCTION("""COMPUTED_VALUE"""),1423.0)</f>
        <v>1423</v>
      </c>
      <c r="B1424" s="1">
        <f>IFERROR(__xludf.DUMMYFUNCTION("""COMPUTED_VALUE"""),6015.0)</f>
        <v>6015</v>
      </c>
      <c r="C1424" s="2" t="str">
        <f>IFERROR(__xludf.DUMMYFUNCTION("""COMPUTED_VALUE"""),"ErjeyAja")</f>
        <v>ErjeyAja</v>
      </c>
      <c r="D1424" s="2" t="str">
        <f>IFERROR(__xludf.DUMMYFUNCTION("""COMPUTED_VALUE"""),"5KM OVERALL M")</f>
        <v>5KM OVERALL M</v>
      </c>
      <c r="E1424" s="1">
        <f>IFERROR(__xludf.DUMMYFUNCTION("""COMPUTED_VALUE"""),784.0)</f>
        <v>784</v>
      </c>
      <c r="F1424" s="1" t="str">
        <f>IFERROR(__xludf.DUMMYFUNCTION("""COMPUTED_VALUE"""),"Male")</f>
        <v>Male</v>
      </c>
      <c r="G1424" s="5">
        <f>IFERROR(__xludf.DUMMYFUNCTION("""COMPUTED_VALUE"""),0.008876777777777779)</f>
        <v>0.008876777778</v>
      </c>
      <c r="H1424" s="15">
        <f>IFERROR(__xludf.DUMMYFUNCTION("""COMPUTED_VALUE"""),0.2549440625)</f>
        <v>0.2549440625</v>
      </c>
      <c r="I1424" s="15">
        <f>IFERROR(__xludf.DUMMYFUNCTION("""COMPUTED_VALUE"""),45949.29932795188)</f>
        <v>45949.29933</v>
      </c>
      <c r="J1424" s="15">
        <f>IFERROR(__xludf.DUMMYFUNCTION("""COMPUTED_VALUE"""),45949.04438388938)</f>
        <v>45949.04438</v>
      </c>
      <c r="K1424" s="15">
        <f>IFERROR(__xludf.DUMMYFUNCTION("""COMPUTED_VALUE"""),45949.28196071274)</f>
        <v>45949.28196</v>
      </c>
      <c r="L1424" s="4"/>
    </row>
    <row r="1425">
      <c r="A1425" s="1">
        <f>IFERROR(__xludf.DUMMYFUNCTION("""COMPUTED_VALUE"""),1424.0)</f>
        <v>1424</v>
      </c>
      <c r="B1425" s="1">
        <f>IFERROR(__xludf.DUMMYFUNCTION("""COMPUTED_VALUE"""),5003.0)</f>
        <v>5003</v>
      </c>
      <c r="C1425" s="2" t="str">
        <f>IFERROR(__xludf.DUMMYFUNCTION("""COMPUTED_VALUE"""),"ADRIFANI")</f>
        <v>ADRIFANI</v>
      </c>
      <c r="D1425" s="2" t="str">
        <f>IFERROR(__xludf.DUMMYFUNCTION("""COMPUTED_VALUE"""),"5KM OVERALL M")</f>
        <v>5KM OVERALL M</v>
      </c>
      <c r="E1425" s="1">
        <f>IFERROR(__xludf.DUMMYFUNCTION("""COMPUTED_VALUE"""),785.0)</f>
        <v>785</v>
      </c>
      <c r="F1425" s="1" t="str">
        <f>IFERROR(__xludf.DUMMYFUNCTION("""COMPUTED_VALUE"""),"Male")</f>
        <v>Male</v>
      </c>
      <c r="G1425" s="5">
        <f>IFERROR(__xludf.DUMMYFUNCTION("""COMPUTED_VALUE"""),0.008877474537037038)</f>
        <v>0.008877474537</v>
      </c>
      <c r="H1425" s="15">
        <f>IFERROR(__xludf.DUMMYFUNCTION("""COMPUTED_VALUE"""),0.2549440625)</f>
        <v>0.2549440625</v>
      </c>
      <c r="I1425" s="15">
        <f>IFERROR(__xludf.DUMMYFUNCTION("""COMPUTED_VALUE"""),45949.299331440714)</f>
        <v>45949.29933</v>
      </c>
      <c r="J1425" s="15">
        <f>IFERROR(__xludf.DUMMYFUNCTION("""COMPUTED_VALUE"""),45949.04438737821)</f>
        <v>45949.04439</v>
      </c>
      <c r="K1425" s="15">
        <f>IFERROR(__xludf.DUMMYFUNCTION("""COMPUTED_VALUE"""),45949.279186418156)</f>
        <v>45949.27919</v>
      </c>
      <c r="L1425" s="4"/>
    </row>
    <row r="1426">
      <c r="A1426" s="1">
        <f>IFERROR(__xludf.DUMMYFUNCTION("""COMPUTED_VALUE"""),1425.0)</f>
        <v>1425</v>
      </c>
      <c r="B1426" s="1">
        <f>IFERROR(__xludf.DUMMYFUNCTION("""COMPUTED_VALUE"""),5791.0)</f>
        <v>5791</v>
      </c>
      <c r="C1426" s="2" t="str">
        <f>IFERROR(__xludf.DUMMYFUNCTION("""COMPUTED_VALUE"""),"ELSA")</f>
        <v>ELSA</v>
      </c>
      <c r="D1426" s="2" t="str">
        <f>IFERROR(__xludf.DUMMYFUNCTION("""COMPUTED_VALUE"""),"5KM OVERALL F")</f>
        <v>5KM OVERALL F</v>
      </c>
      <c r="E1426" s="1">
        <f>IFERROR(__xludf.DUMMYFUNCTION("""COMPUTED_VALUE"""),405.0)</f>
        <v>405</v>
      </c>
      <c r="F1426" s="1" t="str">
        <f>IFERROR(__xludf.DUMMYFUNCTION("""COMPUTED_VALUE"""),"Female")</f>
        <v>Female</v>
      </c>
      <c r="G1426" s="5">
        <f>IFERROR(__xludf.DUMMYFUNCTION("""COMPUTED_VALUE"""),0.008883956018518518)</f>
        <v>0.008883956019</v>
      </c>
      <c r="H1426" s="15">
        <f>IFERROR(__xludf.DUMMYFUNCTION("""COMPUTED_VALUE"""),0.2549440625)</f>
        <v>0.2549440625</v>
      </c>
      <c r="I1426" s="15">
        <f>IFERROR(__xludf.DUMMYFUNCTION("""COMPUTED_VALUE"""),45949.299363838225)</f>
        <v>45949.29936</v>
      </c>
      <c r="J1426" s="15">
        <f>IFERROR(__xludf.DUMMYFUNCTION("""COMPUTED_VALUE"""),45949.044419775724)</f>
        <v>45949.04442</v>
      </c>
      <c r="K1426" s="15">
        <f>IFERROR(__xludf.DUMMYFUNCTION("""COMPUTED_VALUE"""),45949.28055795669)</f>
        <v>45949.28056</v>
      </c>
      <c r="L1426" s="4"/>
    </row>
    <row r="1427">
      <c r="A1427" s="1">
        <f>IFERROR(__xludf.DUMMYFUNCTION("""COMPUTED_VALUE"""),1426.0)</f>
        <v>1426</v>
      </c>
      <c r="B1427" s="1">
        <f>IFERROR(__xludf.DUMMYFUNCTION("""COMPUTED_VALUE"""),6228.0)</f>
        <v>6228</v>
      </c>
      <c r="C1427" s="2" t="str">
        <f>IFERROR(__xludf.DUMMYFUNCTION("""COMPUTED_VALUE"""),"Amat Pojok")</f>
        <v>Amat Pojok</v>
      </c>
      <c r="D1427" s="2" t="str">
        <f>IFERROR(__xludf.DUMMYFUNCTION("""COMPUTED_VALUE"""),"5KM OVERALL F")</f>
        <v>5KM OVERALL F</v>
      </c>
      <c r="E1427" s="1">
        <f>IFERROR(__xludf.DUMMYFUNCTION("""COMPUTED_VALUE"""),406.0)</f>
        <v>406</v>
      </c>
      <c r="F1427" s="1" t="str">
        <f>IFERROR(__xludf.DUMMYFUNCTION("""COMPUTED_VALUE"""),"Female")</f>
        <v>Female</v>
      </c>
      <c r="G1427" s="5">
        <f>IFERROR(__xludf.DUMMYFUNCTION("""COMPUTED_VALUE"""),0.008883958333333334)</f>
        <v>0.008883958333</v>
      </c>
      <c r="H1427" s="15">
        <f>IFERROR(__xludf.DUMMYFUNCTION("""COMPUTED_VALUE"""),0.2549440625)</f>
        <v>0.2549440625</v>
      </c>
      <c r="I1427" s="15">
        <f>IFERROR(__xludf.DUMMYFUNCTION("""COMPUTED_VALUE"""),45949.29936384987)</f>
        <v>45949.29936</v>
      </c>
      <c r="J1427" s="15">
        <f>IFERROR(__xludf.DUMMYFUNCTION("""COMPUTED_VALUE"""),45949.044419787366)</f>
        <v>45949.04442</v>
      </c>
      <c r="K1427" s="15">
        <f>IFERROR(__xludf.DUMMYFUNCTION("""COMPUTED_VALUE"""),45949.28210309723)</f>
        <v>45949.2821</v>
      </c>
      <c r="L1427" s="4"/>
    </row>
    <row r="1428">
      <c r="A1428" s="1">
        <f>IFERROR(__xludf.DUMMYFUNCTION("""COMPUTED_VALUE"""),1427.0)</f>
        <v>1427</v>
      </c>
      <c r="B1428" s="1">
        <f>IFERROR(__xludf.DUMMYFUNCTION("""COMPUTED_VALUE"""),6092.0)</f>
        <v>6092</v>
      </c>
      <c r="C1428" s="2" t="str">
        <f>IFERROR(__xludf.DUMMYFUNCTION("""COMPUTED_VALUE"""),"Khayubi")</f>
        <v>Khayubi</v>
      </c>
      <c r="D1428" s="2" t="str">
        <f>IFERROR(__xludf.DUMMYFUNCTION("""COMPUTED_VALUE"""),"5KM OVERALL M")</f>
        <v>5KM OVERALL M</v>
      </c>
      <c r="E1428" s="1">
        <f>IFERROR(__xludf.DUMMYFUNCTION("""COMPUTED_VALUE"""),786.0)</f>
        <v>786</v>
      </c>
      <c r="F1428" s="1" t="str">
        <f>IFERROR(__xludf.DUMMYFUNCTION("""COMPUTED_VALUE"""),"Male")</f>
        <v>Male</v>
      </c>
      <c r="G1428" s="5">
        <f>IFERROR(__xludf.DUMMYFUNCTION("""COMPUTED_VALUE"""),0.00888580787037037)</f>
        <v>0.00888580787</v>
      </c>
      <c r="H1428" s="15">
        <f>IFERROR(__xludf.DUMMYFUNCTION("""COMPUTED_VALUE"""),0.2549440625)</f>
        <v>0.2549440625</v>
      </c>
      <c r="I1428" s="15">
        <f>IFERROR(__xludf.DUMMYFUNCTION("""COMPUTED_VALUE"""),45949.29937309764)</f>
        <v>45949.29937</v>
      </c>
      <c r="J1428" s="15">
        <f>IFERROR(__xludf.DUMMYFUNCTION("""COMPUTED_VALUE"""),45949.04442903514)</f>
        <v>45949.04443</v>
      </c>
      <c r="K1428" s="15">
        <f>IFERROR(__xludf.DUMMYFUNCTION("""COMPUTED_VALUE"""),45949.28054751824)</f>
        <v>45949.28055</v>
      </c>
      <c r="L1428" s="4"/>
    </row>
    <row r="1429">
      <c r="A1429" s="1">
        <f>IFERROR(__xludf.DUMMYFUNCTION("""COMPUTED_VALUE"""),1428.0)</f>
        <v>1428</v>
      </c>
      <c r="B1429" s="1">
        <f>IFERROR(__xludf.DUMMYFUNCTION("""COMPUTED_VALUE"""),5315.0)</f>
        <v>5315</v>
      </c>
      <c r="C1429" s="2" t="str">
        <f>IFERROR(__xludf.DUMMYFUNCTION("""COMPUTED_VALUE"""),"hidayatsamieullah")</f>
        <v>hidayatsamieullah</v>
      </c>
      <c r="D1429" s="2" t="str">
        <f>IFERROR(__xludf.DUMMYFUNCTION("""COMPUTED_VALUE"""),"5KM OVERALL M")</f>
        <v>5KM OVERALL M</v>
      </c>
      <c r="E1429" s="1">
        <f>IFERROR(__xludf.DUMMYFUNCTION("""COMPUTED_VALUE"""),787.0)</f>
        <v>787</v>
      </c>
      <c r="F1429" s="1" t="str">
        <f>IFERROR(__xludf.DUMMYFUNCTION("""COMPUTED_VALUE"""),"Male")</f>
        <v>Male</v>
      </c>
      <c r="G1429" s="5">
        <f>IFERROR(__xludf.DUMMYFUNCTION("""COMPUTED_VALUE"""),0.00889830787037037)</f>
        <v>0.00889830787</v>
      </c>
      <c r="H1429" s="15">
        <f>IFERROR(__xludf.DUMMYFUNCTION("""COMPUTED_VALUE"""),0.2549440625)</f>
        <v>0.2549440625</v>
      </c>
      <c r="I1429" s="15">
        <f>IFERROR(__xludf.DUMMYFUNCTION("""COMPUTED_VALUE"""),45949.29943560021)</f>
        <v>45949.29944</v>
      </c>
      <c r="J1429" s="15">
        <f>IFERROR(__xludf.DUMMYFUNCTION("""COMPUTED_VALUE"""),45949.04449153771)</f>
        <v>45949.04449</v>
      </c>
      <c r="K1429" s="15">
        <f>IFERROR(__xludf.DUMMYFUNCTION("""COMPUTED_VALUE"""),45949.28055796827)</f>
        <v>45949.28056</v>
      </c>
      <c r="L1429" s="4"/>
    </row>
    <row r="1430">
      <c r="A1430" s="1">
        <f>IFERROR(__xludf.DUMMYFUNCTION("""COMPUTED_VALUE"""),1429.0)</f>
        <v>1429</v>
      </c>
      <c r="B1430" s="1">
        <f>IFERROR(__xludf.DUMMYFUNCTION("""COMPUTED_VALUE"""),6358.0)</f>
        <v>6358</v>
      </c>
      <c r="C1430" s="2" t="str">
        <f>IFERROR(__xludf.DUMMYFUNCTION("""COMPUTED_VALUE"""),"ABDI")</f>
        <v>ABDI</v>
      </c>
      <c r="D1430" s="2" t="str">
        <f>IFERROR(__xludf.DUMMYFUNCTION("""COMPUTED_VALUE"""),"5KM OVERALL M")</f>
        <v>5KM OVERALL M</v>
      </c>
      <c r="E1430" s="1">
        <f>IFERROR(__xludf.DUMMYFUNCTION("""COMPUTED_VALUE"""),788.0)</f>
        <v>788</v>
      </c>
      <c r="F1430" s="1" t="str">
        <f>IFERROR(__xludf.DUMMYFUNCTION("""COMPUTED_VALUE"""),"Male")</f>
        <v>Male</v>
      </c>
      <c r="G1430" s="5">
        <f>IFERROR(__xludf.DUMMYFUNCTION("""COMPUTED_VALUE"""),0.008899)</f>
        <v>0.008899</v>
      </c>
      <c r="H1430" s="15">
        <f>IFERROR(__xludf.DUMMYFUNCTION("""COMPUTED_VALUE"""),0.2549440625)</f>
        <v>0.2549440625</v>
      </c>
      <c r="I1430" s="15">
        <f>IFERROR(__xludf.DUMMYFUNCTION("""COMPUTED_VALUE"""),45949.29943906672)</f>
        <v>45949.29944</v>
      </c>
      <c r="J1430" s="15">
        <f>IFERROR(__xludf.DUMMYFUNCTION("""COMPUTED_VALUE"""),45949.04449500422)</f>
        <v>45949.0445</v>
      </c>
      <c r="K1430" s="15">
        <f>IFERROR(__xludf.DUMMYFUNCTION("""COMPUTED_VALUE"""),45949.28162044974)</f>
        <v>45949.28162</v>
      </c>
      <c r="L1430" s="4"/>
    </row>
    <row r="1431">
      <c r="A1431" s="1">
        <f>IFERROR(__xludf.DUMMYFUNCTION("""COMPUTED_VALUE"""),1430.0)</f>
        <v>1430</v>
      </c>
      <c r="B1431" s="1">
        <f>IFERROR(__xludf.DUMMYFUNCTION("""COMPUTED_VALUE"""),5081.0)</f>
        <v>5081</v>
      </c>
      <c r="C1431" s="2" t="str">
        <f>IFERROR(__xludf.DUMMYFUNCTION("""COMPUTED_VALUE"""),"Dahayanti")</f>
        <v>Dahayanti</v>
      </c>
      <c r="D1431" s="2" t="str">
        <f>IFERROR(__xludf.DUMMYFUNCTION("""COMPUTED_VALUE"""),"5KM OVERALL F")</f>
        <v>5KM OVERALL F</v>
      </c>
      <c r="E1431" s="1">
        <f>IFERROR(__xludf.DUMMYFUNCTION("""COMPUTED_VALUE"""),407.0)</f>
        <v>407</v>
      </c>
      <c r="F1431" s="1" t="str">
        <f>IFERROR(__xludf.DUMMYFUNCTION("""COMPUTED_VALUE"""),"Female")</f>
        <v>Female</v>
      </c>
      <c r="G1431" s="5">
        <f>IFERROR(__xludf.DUMMYFUNCTION("""COMPUTED_VALUE"""),0.008907333333333333)</f>
        <v>0.008907333333</v>
      </c>
      <c r="H1431" s="15">
        <f>IFERROR(__xludf.DUMMYFUNCTION("""COMPUTED_VALUE"""),0.2549440625)</f>
        <v>0.2549440625</v>
      </c>
      <c r="I1431" s="15">
        <f>IFERROR(__xludf.DUMMYFUNCTION("""COMPUTED_VALUE"""),45949.299480728434)</f>
        <v>45949.29948</v>
      </c>
      <c r="J1431" s="15">
        <f>IFERROR(__xludf.DUMMYFUNCTION("""COMPUTED_VALUE"""),45949.04453666593)</f>
        <v>45949.04454</v>
      </c>
      <c r="K1431" s="15">
        <f>IFERROR(__xludf.DUMMYFUNCTION("""COMPUTED_VALUE"""),45949.28011697988)</f>
        <v>45949.28012</v>
      </c>
      <c r="L1431" s="4"/>
    </row>
    <row r="1432">
      <c r="A1432" s="1">
        <f>IFERROR(__xludf.DUMMYFUNCTION("""COMPUTED_VALUE"""),1431.0)</f>
        <v>1431</v>
      </c>
      <c r="B1432" s="1">
        <f>IFERROR(__xludf.DUMMYFUNCTION("""COMPUTED_VALUE"""),5896.0)</f>
        <v>5896</v>
      </c>
      <c r="C1432" s="2" t="str">
        <f>IFERROR(__xludf.DUMMYFUNCTION("""COMPUTED_VALUE"""),"Imelda")</f>
        <v>Imelda</v>
      </c>
      <c r="D1432" s="2" t="str">
        <f>IFERROR(__xludf.DUMMYFUNCTION("""COMPUTED_VALUE"""),"5KM OVERALL M")</f>
        <v>5KM OVERALL M</v>
      </c>
      <c r="E1432" s="1">
        <f>IFERROR(__xludf.DUMMYFUNCTION("""COMPUTED_VALUE"""),789.0)</f>
        <v>789</v>
      </c>
      <c r="F1432" s="1" t="str">
        <f>IFERROR(__xludf.DUMMYFUNCTION("""COMPUTED_VALUE"""),"Male")</f>
        <v>Male</v>
      </c>
      <c r="G1432" s="5">
        <f>IFERROR(__xludf.DUMMYFUNCTION("""COMPUTED_VALUE"""),0.008910805555555555)</f>
        <v>0.008910805556</v>
      </c>
      <c r="H1432" s="15">
        <f>IFERROR(__xludf.DUMMYFUNCTION("""COMPUTED_VALUE"""),0.2549440625)</f>
        <v>0.2549440625</v>
      </c>
      <c r="I1432" s="15">
        <f>IFERROR(__xludf.DUMMYFUNCTION("""COMPUTED_VALUE"""),45949.29949809427)</f>
        <v>45949.2995</v>
      </c>
      <c r="J1432" s="15">
        <f>IFERROR(__xludf.DUMMYFUNCTION("""COMPUTED_VALUE"""),45949.04455403177)</f>
        <v>45949.04455</v>
      </c>
      <c r="K1432" s="15">
        <f>IFERROR(__xludf.DUMMYFUNCTION("""COMPUTED_VALUE"""),45949.28050938814)</f>
        <v>45949.28051</v>
      </c>
      <c r="L1432" s="4"/>
    </row>
    <row r="1433">
      <c r="A1433" s="1">
        <f>IFERROR(__xludf.DUMMYFUNCTION("""COMPUTED_VALUE"""),1432.0)</f>
        <v>1432</v>
      </c>
      <c r="B1433" s="1">
        <f>IFERROR(__xludf.DUMMYFUNCTION("""COMPUTED_VALUE"""),5083.0)</f>
        <v>5083</v>
      </c>
      <c r="C1433" s="2" t="str">
        <f>IFERROR(__xludf.DUMMYFUNCTION("""COMPUTED_VALUE"""),"RIZKI PPS")</f>
        <v>RIZKI PPS</v>
      </c>
      <c r="D1433" s="2" t="str">
        <f>IFERROR(__xludf.DUMMYFUNCTION("""COMPUTED_VALUE"""),"5KM OVERALL M")</f>
        <v>5KM OVERALL M</v>
      </c>
      <c r="E1433" s="1">
        <f>IFERROR(__xludf.DUMMYFUNCTION("""COMPUTED_VALUE"""),790.0)</f>
        <v>790</v>
      </c>
      <c r="F1433" s="1" t="str">
        <f>IFERROR(__xludf.DUMMYFUNCTION("""COMPUTED_VALUE"""),"Male")</f>
        <v>Male</v>
      </c>
      <c r="G1433" s="5">
        <f>IFERROR(__xludf.DUMMYFUNCTION("""COMPUTED_VALUE"""),0.008910805555555555)</f>
        <v>0.008910805556</v>
      </c>
      <c r="H1433" s="15">
        <f>IFERROR(__xludf.DUMMYFUNCTION("""COMPUTED_VALUE"""),0.2549440625)</f>
        <v>0.2549440625</v>
      </c>
      <c r="I1433" s="15">
        <f>IFERROR(__xludf.DUMMYFUNCTION("""COMPUTED_VALUE"""),45949.29949809427)</f>
        <v>45949.2995</v>
      </c>
      <c r="J1433" s="15">
        <f>IFERROR(__xludf.DUMMYFUNCTION("""COMPUTED_VALUE"""),45949.04455403177)</f>
        <v>45949.04455</v>
      </c>
      <c r="K1433" s="15">
        <f>IFERROR(__xludf.DUMMYFUNCTION("""COMPUTED_VALUE"""),45949.28009966308)</f>
        <v>45949.2801</v>
      </c>
      <c r="L1433" s="4"/>
    </row>
    <row r="1434">
      <c r="A1434" s="1">
        <f>IFERROR(__xludf.DUMMYFUNCTION("""COMPUTED_VALUE"""),1433.0)</f>
        <v>1433</v>
      </c>
      <c r="B1434" s="1">
        <f>IFERROR(__xludf.DUMMYFUNCTION("""COMPUTED_VALUE"""),5136.0)</f>
        <v>5136</v>
      </c>
      <c r="C1434" s="2" t="str">
        <f>IFERROR(__xludf.DUMMYFUNCTION("""COMPUTED_VALUE"""),"widieska maharani")</f>
        <v>widieska maharani</v>
      </c>
      <c r="D1434" s="2" t="str">
        <f>IFERROR(__xludf.DUMMYFUNCTION("""COMPUTED_VALUE"""),"5KM OVERALL F")</f>
        <v>5KM OVERALL F</v>
      </c>
      <c r="E1434" s="1">
        <f>IFERROR(__xludf.DUMMYFUNCTION("""COMPUTED_VALUE"""),408.0)</f>
        <v>408</v>
      </c>
      <c r="F1434" s="1" t="str">
        <f>IFERROR(__xludf.DUMMYFUNCTION("""COMPUTED_VALUE"""),"Female")</f>
        <v>Female</v>
      </c>
      <c r="G1434" s="5">
        <f>IFERROR(__xludf.DUMMYFUNCTION("""COMPUTED_VALUE"""),0.008914277777777778)</f>
        <v>0.008914277778</v>
      </c>
      <c r="H1434" s="15">
        <f>IFERROR(__xludf.DUMMYFUNCTION("""COMPUTED_VALUE"""),0.2549440625)</f>
        <v>0.2549440625</v>
      </c>
      <c r="I1434" s="15">
        <f>IFERROR(__xludf.DUMMYFUNCTION("""COMPUTED_VALUE"""),45949.2995154547)</f>
        <v>45949.29952</v>
      </c>
      <c r="J1434" s="15">
        <f>IFERROR(__xludf.DUMMYFUNCTION("""COMPUTED_VALUE"""),45949.0445713922)</f>
        <v>45949.04457</v>
      </c>
      <c r="K1434" s="15">
        <f>IFERROR(__xludf.DUMMYFUNCTION("""COMPUTED_VALUE"""),45949.28076629111)</f>
        <v>45949.28077</v>
      </c>
      <c r="L1434" s="4"/>
    </row>
    <row r="1435">
      <c r="A1435" s="1">
        <f>IFERROR(__xludf.DUMMYFUNCTION("""COMPUTED_VALUE"""),1434.0)</f>
        <v>1434</v>
      </c>
      <c r="B1435" s="1">
        <f>IFERROR(__xludf.DUMMYFUNCTION("""COMPUTED_VALUE"""),5028.0)</f>
        <v>5028</v>
      </c>
      <c r="C1435" s="2" t="str">
        <f>IFERROR(__xludf.DUMMYFUNCTION("""COMPUTED_VALUE"""),"saputra gilang")</f>
        <v>saputra gilang</v>
      </c>
      <c r="D1435" s="2" t="str">
        <f>IFERROR(__xludf.DUMMYFUNCTION("""COMPUTED_VALUE"""),"5KM OVERALL M")</f>
        <v>5KM OVERALL M</v>
      </c>
      <c r="E1435" s="1">
        <f>IFERROR(__xludf.DUMMYFUNCTION("""COMPUTED_VALUE"""),791.0)</f>
        <v>791</v>
      </c>
      <c r="F1435" s="1" t="str">
        <f>IFERROR(__xludf.DUMMYFUNCTION("""COMPUTED_VALUE"""),"Male")</f>
        <v>Male</v>
      </c>
      <c r="G1435" s="5">
        <f>IFERROR(__xludf.DUMMYFUNCTION("""COMPUTED_VALUE"""),0.00891705787037037)</f>
        <v>0.00891705787</v>
      </c>
      <c r="H1435" s="15">
        <f>IFERROR(__xludf.DUMMYFUNCTION("""COMPUTED_VALUE"""),0.2549440625)</f>
        <v>0.2549440625</v>
      </c>
      <c r="I1435" s="15">
        <f>IFERROR(__xludf.DUMMYFUNCTION("""COMPUTED_VALUE"""),45949.29952934747)</f>
        <v>45949.29953</v>
      </c>
      <c r="J1435" s="15">
        <f>IFERROR(__xludf.DUMMYFUNCTION("""COMPUTED_VALUE"""),45949.044585284966)</f>
        <v>45949.04459</v>
      </c>
      <c r="K1435" s="15">
        <f>IFERROR(__xludf.DUMMYFUNCTION("""COMPUTED_VALUE"""),45949.28082883334)</f>
        <v>45949.28083</v>
      </c>
      <c r="L1435" s="4"/>
    </row>
    <row r="1436">
      <c r="A1436" s="1">
        <f>IFERROR(__xludf.DUMMYFUNCTION("""COMPUTED_VALUE"""),1435.0)</f>
        <v>1435</v>
      </c>
      <c r="B1436" s="1">
        <f>IFERROR(__xludf.DUMMYFUNCTION("""COMPUTED_VALUE"""),7110.0)</f>
        <v>7110</v>
      </c>
      <c r="C1436" s="2" t="str">
        <f>IFERROR(__xludf.DUMMYFUNCTION("""COMPUTED_VALUE"""),"Roy")</f>
        <v>Roy</v>
      </c>
      <c r="D1436" s="2" t="str">
        <f>IFERROR(__xludf.DUMMYFUNCTION("""COMPUTED_VALUE"""),"5KM MASTER M")</f>
        <v>5KM MASTER M</v>
      </c>
      <c r="E1436" s="1">
        <f>IFERROR(__xludf.DUMMYFUNCTION("""COMPUTED_VALUE"""),99.0)</f>
        <v>99</v>
      </c>
      <c r="F1436" s="1" t="str">
        <f>IFERROR(__xludf.DUMMYFUNCTION("""COMPUTED_VALUE"""),"Male")</f>
        <v>Male</v>
      </c>
      <c r="G1436" s="5">
        <f>IFERROR(__xludf.DUMMYFUNCTION("""COMPUTED_VALUE"""),0.00891843287037037)</f>
        <v>0.00891843287</v>
      </c>
      <c r="H1436" s="15">
        <f>IFERROR(__xludf.DUMMYFUNCTION("""COMPUTED_VALUE"""),0.2549440625)</f>
        <v>0.2549440625</v>
      </c>
      <c r="I1436" s="15">
        <f>IFERROR(__xludf.DUMMYFUNCTION("""COMPUTED_VALUE"""),45949.299536232524)</f>
        <v>45949.29954</v>
      </c>
      <c r="J1436" s="15">
        <f>IFERROR(__xludf.DUMMYFUNCTION("""COMPUTED_VALUE"""),45949.04459217002)</f>
        <v>45949.04459</v>
      </c>
      <c r="K1436" s="15">
        <f>IFERROR(__xludf.DUMMYFUNCTION("""COMPUTED_VALUE"""),45949.28056140946)</f>
        <v>45949.28056</v>
      </c>
      <c r="L1436" s="4"/>
    </row>
    <row r="1437">
      <c r="A1437" s="1">
        <f>IFERROR(__xludf.DUMMYFUNCTION("""COMPUTED_VALUE"""),1436.0)</f>
        <v>1436</v>
      </c>
      <c r="B1437" s="1">
        <f>IFERROR(__xludf.DUMMYFUNCTION("""COMPUTED_VALUE"""),6056.0)</f>
        <v>6056</v>
      </c>
      <c r="C1437" s="2" t="str">
        <f>IFERROR(__xludf.DUMMYFUNCTION("""COMPUTED_VALUE"""),"Nayra")</f>
        <v>Nayra</v>
      </c>
      <c r="D1437" s="2" t="str">
        <f>IFERROR(__xludf.DUMMYFUNCTION("""COMPUTED_VALUE"""),"5KM OVERALL F")</f>
        <v>5KM OVERALL F</v>
      </c>
      <c r="E1437" s="1">
        <f>IFERROR(__xludf.DUMMYFUNCTION("""COMPUTED_VALUE"""),409.0)</f>
        <v>409</v>
      </c>
      <c r="F1437" s="1" t="str">
        <f>IFERROR(__xludf.DUMMYFUNCTION("""COMPUTED_VALUE"""),"Female")</f>
        <v>Female</v>
      </c>
      <c r="G1437" s="5">
        <f>IFERROR(__xludf.DUMMYFUNCTION("""COMPUTED_VALUE"""),0.008925388888888889)</f>
        <v>0.008925388889</v>
      </c>
      <c r="H1437" s="15">
        <f>IFERROR(__xludf.DUMMYFUNCTION("""COMPUTED_VALUE"""),0.2549440625)</f>
        <v>0.2549440625</v>
      </c>
      <c r="I1437" s="15">
        <f>IFERROR(__xludf.DUMMYFUNCTION("""COMPUTED_VALUE"""),45949.299571002186)</f>
        <v>45949.29957</v>
      </c>
      <c r="J1437" s="15">
        <f>IFERROR(__xludf.DUMMYFUNCTION("""COMPUTED_VALUE"""),45949.044626939685)</f>
        <v>45949.04463</v>
      </c>
      <c r="K1437" s="15">
        <f>IFERROR(__xludf.DUMMYFUNCTION("""COMPUTED_VALUE"""),45949.280325305015)</f>
        <v>45949.28033</v>
      </c>
      <c r="L1437" s="4"/>
    </row>
    <row r="1438">
      <c r="A1438" s="1">
        <f>IFERROR(__xludf.DUMMYFUNCTION("""COMPUTED_VALUE"""),1437.0)</f>
        <v>1437</v>
      </c>
      <c r="B1438" s="1">
        <f>IFERROR(__xludf.DUMMYFUNCTION("""COMPUTED_VALUE"""),6024.0)</f>
        <v>6024</v>
      </c>
      <c r="C1438" s="2" t="str">
        <f>IFERROR(__xludf.DUMMYFUNCTION("""COMPUTED_VALUE"""),"Beta")</f>
        <v>Beta</v>
      </c>
      <c r="D1438" s="2" t="str">
        <f>IFERROR(__xludf.DUMMYFUNCTION("""COMPUTED_VALUE"""),"5KM OVERALL M")</f>
        <v>5KM OVERALL M</v>
      </c>
      <c r="E1438" s="1">
        <f>IFERROR(__xludf.DUMMYFUNCTION("""COMPUTED_VALUE"""),792.0)</f>
        <v>792</v>
      </c>
      <c r="F1438" s="1" t="str">
        <f>IFERROR(__xludf.DUMMYFUNCTION("""COMPUTED_VALUE"""),"Male")</f>
        <v>Male</v>
      </c>
      <c r="G1438" s="5">
        <f>IFERROR(__xludf.DUMMYFUNCTION("""COMPUTED_VALUE"""),0.008925391203703703)</f>
        <v>0.008925391204</v>
      </c>
      <c r="H1438" s="15">
        <f>IFERROR(__xludf.DUMMYFUNCTION("""COMPUTED_VALUE"""),0.2549440625)</f>
        <v>0.2549440625</v>
      </c>
      <c r="I1438" s="15">
        <f>IFERROR(__xludf.DUMMYFUNCTION("""COMPUTED_VALUE"""),45949.29957101422)</f>
        <v>45949.29957</v>
      </c>
      <c r="J1438" s="15">
        <f>IFERROR(__xludf.DUMMYFUNCTION("""COMPUTED_VALUE"""),45949.04462695172)</f>
        <v>45949.04463</v>
      </c>
      <c r="K1438" s="15">
        <f>IFERROR(__xludf.DUMMYFUNCTION("""COMPUTED_VALUE"""),45949.280401699194)</f>
        <v>45949.2804</v>
      </c>
      <c r="L1438" s="4"/>
    </row>
    <row r="1439">
      <c r="A1439" s="1">
        <f>IFERROR(__xludf.DUMMYFUNCTION("""COMPUTED_VALUE"""),1438.0)</f>
        <v>1438</v>
      </c>
      <c r="B1439" s="1">
        <f>IFERROR(__xludf.DUMMYFUNCTION("""COMPUTED_VALUE"""),5162.0)</f>
        <v>5162</v>
      </c>
      <c r="C1439" s="2" t="str">
        <f>IFERROR(__xludf.DUMMYFUNCTION("""COMPUTED_VALUE"""),"Andini Arun")</f>
        <v>Andini Arun</v>
      </c>
      <c r="D1439" s="2" t="str">
        <f>IFERROR(__xludf.DUMMYFUNCTION("""COMPUTED_VALUE"""),"5KM OVERALL F")</f>
        <v>5KM OVERALL F</v>
      </c>
      <c r="E1439" s="1">
        <f>IFERROR(__xludf.DUMMYFUNCTION("""COMPUTED_VALUE"""),410.0)</f>
        <v>410</v>
      </c>
      <c r="F1439" s="1" t="str">
        <f>IFERROR(__xludf.DUMMYFUNCTION("""COMPUTED_VALUE"""),"Female")</f>
        <v>Female</v>
      </c>
      <c r="G1439" s="5">
        <f>IFERROR(__xludf.DUMMYFUNCTION("""COMPUTED_VALUE"""),0.008926777777777778)</f>
        <v>0.008926777778</v>
      </c>
      <c r="H1439" s="15">
        <f>IFERROR(__xludf.DUMMYFUNCTION("""COMPUTED_VALUE"""),0.2549440625)</f>
        <v>0.2549440625</v>
      </c>
      <c r="I1439" s="15">
        <f>IFERROR(__xludf.DUMMYFUNCTION("""COMPUTED_VALUE"""),45949.29957794743)</f>
        <v>45949.29958</v>
      </c>
      <c r="J1439" s="15">
        <f>IFERROR(__xludf.DUMMYFUNCTION("""COMPUTED_VALUE"""),45949.04463388493)</f>
        <v>45949.04463</v>
      </c>
      <c r="K1439" s="15">
        <f>IFERROR(__xludf.DUMMYFUNCTION("""COMPUTED_VALUE"""),45949.28391216743)</f>
        <v>45949.28391</v>
      </c>
      <c r="L1439" s="4"/>
    </row>
    <row r="1440">
      <c r="A1440" s="1">
        <f>IFERROR(__xludf.DUMMYFUNCTION("""COMPUTED_VALUE"""),1439.0)</f>
        <v>1439</v>
      </c>
      <c r="B1440" s="1">
        <f>IFERROR(__xludf.DUMMYFUNCTION("""COMPUTED_VALUE"""),5994.0)</f>
        <v>5994</v>
      </c>
      <c r="C1440" s="2" t="str">
        <f>IFERROR(__xludf.DUMMYFUNCTION("""COMPUTED_VALUE"""),"salsadinaa")</f>
        <v>salsadinaa</v>
      </c>
      <c r="D1440" s="2" t="str">
        <f>IFERROR(__xludf.DUMMYFUNCTION("""COMPUTED_VALUE"""),"5KM OVERALL F")</f>
        <v>5KM OVERALL F</v>
      </c>
      <c r="E1440" s="1">
        <f>IFERROR(__xludf.DUMMYFUNCTION("""COMPUTED_VALUE"""),411.0)</f>
        <v>411</v>
      </c>
      <c r="F1440" s="1" t="str">
        <f>IFERROR(__xludf.DUMMYFUNCTION("""COMPUTED_VALUE"""),"Female")</f>
        <v>Female</v>
      </c>
      <c r="G1440" s="5">
        <f>IFERROR(__xludf.DUMMYFUNCTION("""COMPUTED_VALUE"""),0.00892823611111111)</f>
        <v>0.008928236111</v>
      </c>
      <c r="H1440" s="15">
        <f>IFERROR(__xludf.DUMMYFUNCTION("""COMPUTED_VALUE"""),0.2549440625)</f>
        <v>0.2549440625</v>
      </c>
      <c r="I1440" s="15">
        <f>IFERROR(__xludf.DUMMYFUNCTION("""COMPUTED_VALUE"""),45949.29958524704)</f>
        <v>45949.29959</v>
      </c>
      <c r="J1440" s="15">
        <f>IFERROR(__xludf.DUMMYFUNCTION("""COMPUTED_VALUE"""),45949.04464118454)</f>
        <v>45949.04464</v>
      </c>
      <c r="K1440" s="15">
        <f>IFERROR(__xludf.DUMMYFUNCTION("""COMPUTED_VALUE"""),45949.28390516262)</f>
        <v>45949.28391</v>
      </c>
      <c r="L1440" s="4"/>
    </row>
    <row r="1441">
      <c r="A1441" s="1">
        <f>IFERROR(__xludf.DUMMYFUNCTION("""COMPUTED_VALUE"""),1440.0)</f>
        <v>1440</v>
      </c>
      <c r="B1441" s="1">
        <f>IFERROR(__xludf.DUMMYFUNCTION("""COMPUTED_VALUE"""),5338.0)</f>
        <v>5338</v>
      </c>
      <c r="C1441" s="2" t="str">
        <f>IFERROR(__xludf.DUMMYFUNCTION("""COMPUTED_VALUE"""),"GALIH")</f>
        <v>GALIH</v>
      </c>
      <c r="D1441" s="2" t="str">
        <f>IFERROR(__xludf.DUMMYFUNCTION("""COMPUTED_VALUE"""),"5KM OVERALL M")</f>
        <v>5KM OVERALL M</v>
      </c>
      <c r="E1441" s="1">
        <f>IFERROR(__xludf.DUMMYFUNCTION("""COMPUTED_VALUE"""),793.0)</f>
        <v>793</v>
      </c>
      <c r="F1441" s="1" t="str">
        <f>IFERROR(__xludf.DUMMYFUNCTION("""COMPUTED_VALUE"""),"Male")</f>
        <v>Male</v>
      </c>
      <c r="G1441" s="5">
        <f>IFERROR(__xludf.DUMMYFUNCTION("""COMPUTED_VALUE"""),0.008944833333333334)</f>
        <v>0.008944833333</v>
      </c>
      <c r="H1441" s="15">
        <f>IFERROR(__xludf.DUMMYFUNCTION("""COMPUTED_VALUE"""),0.2549440625)</f>
        <v>0.2549440625</v>
      </c>
      <c r="I1441" s="15">
        <f>IFERROR(__xludf.DUMMYFUNCTION("""COMPUTED_VALUE"""),45949.29966822775)</f>
        <v>45949.29967</v>
      </c>
      <c r="J1441" s="15">
        <f>IFERROR(__xludf.DUMMYFUNCTION("""COMPUTED_VALUE"""),45949.04472416525)</f>
        <v>45949.04472</v>
      </c>
      <c r="K1441" s="15">
        <f>IFERROR(__xludf.DUMMYFUNCTION("""COMPUTED_VALUE"""),45949.286380858444)</f>
        <v>45949.28638</v>
      </c>
      <c r="L1441" s="4"/>
    </row>
    <row r="1442">
      <c r="A1442" s="1">
        <f>IFERROR(__xludf.DUMMYFUNCTION("""COMPUTED_VALUE"""),1441.0)</f>
        <v>1441</v>
      </c>
      <c r="B1442" s="1">
        <f>IFERROR(__xludf.DUMMYFUNCTION("""COMPUTED_VALUE"""),5649.0)</f>
        <v>5649</v>
      </c>
      <c r="C1442" s="2" t="str">
        <f>IFERROR(__xludf.DUMMYFUNCTION("""COMPUTED_VALUE"""),"kiky")</f>
        <v>kiky</v>
      </c>
      <c r="D1442" s="2" t="str">
        <f>IFERROR(__xludf.DUMMYFUNCTION("""COMPUTED_VALUE"""),"5KM OVERALL F")</f>
        <v>5KM OVERALL F</v>
      </c>
      <c r="E1442" s="1">
        <f>IFERROR(__xludf.DUMMYFUNCTION("""COMPUTED_VALUE"""),412.0)</f>
        <v>412</v>
      </c>
      <c r="F1442" s="1" t="str">
        <f>IFERROR(__xludf.DUMMYFUNCTION("""COMPUTED_VALUE"""),"Female")</f>
        <v>Female</v>
      </c>
      <c r="G1442" s="5">
        <f>IFERROR(__xludf.DUMMYFUNCTION("""COMPUTED_VALUE"""),0.008949694444444444)</f>
        <v>0.008949694444</v>
      </c>
      <c r="H1442" s="15">
        <f>IFERROR(__xludf.DUMMYFUNCTION("""COMPUTED_VALUE"""),0.2549440625)</f>
        <v>0.2549440625</v>
      </c>
      <c r="I1442" s="15">
        <f>IFERROR(__xludf.DUMMYFUNCTION("""COMPUTED_VALUE"""),45949.29969253422)</f>
        <v>45949.29969</v>
      </c>
      <c r="J1442" s="15">
        <f>IFERROR(__xludf.DUMMYFUNCTION("""COMPUTED_VALUE"""),45949.04474847172)</f>
        <v>45949.04475</v>
      </c>
      <c r="K1442" s="15">
        <f>IFERROR(__xludf.DUMMYFUNCTION("""COMPUTED_VALUE"""),45949.27807188794)</f>
        <v>45949.27807</v>
      </c>
      <c r="L1442" s="4"/>
    </row>
    <row r="1443">
      <c r="A1443" s="1">
        <f>IFERROR(__xludf.DUMMYFUNCTION("""COMPUTED_VALUE"""),1442.0)</f>
        <v>1442</v>
      </c>
      <c r="B1443" s="1">
        <f>IFERROR(__xludf.DUMMYFUNCTION("""COMPUTED_VALUE"""),5678.0)</f>
        <v>5678</v>
      </c>
      <c r="C1443" s="2" t="str">
        <f>IFERROR(__xludf.DUMMYFUNCTION("""COMPUTED_VALUE"""),"Fahmi")</f>
        <v>Fahmi</v>
      </c>
      <c r="D1443" s="2" t="str">
        <f>IFERROR(__xludf.DUMMYFUNCTION("""COMPUTED_VALUE"""),"5KM OVERALL M")</f>
        <v>5KM OVERALL M</v>
      </c>
      <c r="E1443" s="1">
        <f>IFERROR(__xludf.DUMMYFUNCTION("""COMPUTED_VALUE"""),794.0)</f>
        <v>794</v>
      </c>
      <c r="F1443" s="1" t="str">
        <f>IFERROR(__xludf.DUMMYFUNCTION("""COMPUTED_VALUE"""),"Male")</f>
        <v>Male</v>
      </c>
      <c r="G1443" s="5">
        <f>IFERROR(__xludf.DUMMYFUNCTION("""COMPUTED_VALUE"""),0.00896775)</f>
        <v>0.00896775</v>
      </c>
      <c r="H1443" s="15">
        <f>IFERROR(__xludf.DUMMYFUNCTION("""COMPUTED_VALUE"""),0.2549440625)</f>
        <v>0.2549440625</v>
      </c>
      <c r="I1443" s="15">
        <f>IFERROR(__xludf.DUMMYFUNCTION("""COMPUTED_VALUE"""),45949.29978281509)</f>
        <v>45949.29978</v>
      </c>
      <c r="J1443" s="15">
        <f>IFERROR(__xludf.DUMMYFUNCTION("""COMPUTED_VALUE"""),45949.04483875259)</f>
        <v>45949.04484</v>
      </c>
      <c r="K1443" s="15">
        <f>IFERROR(__xludf.DUMMYFUNCTION("""COMPUTED_VALUE"""),45950.281851851854)</f>
        <v>45950.28185</v>
      </c>
      <c r="L1443" s="4" t="str">
        <f>IFERROR(__xludf.DUMMYFUNCTION("""COMPUTED_VALUE"""),"C")</f>
        <v>C</v>
      </c>
    </row>
    <row r="1444">
      <c r="A1444" s="1">
        <f>IFERROR(__xludf.DUMMYFUNCTION("""COMPUTED_VALUE"""),1443.0)</f>
        <v>1443</v>
      </c>
      <c r="B1444" s="1">
        <f>IFERROR(__xludf.DUMMYFUNCTION("""COMPUTED_VALUE"""),6208.0)</f>
        <v>6208</v>
      </c>
      <c r="C1444" s="2" t="str">
        <f>IFERROR(__xludf.DUMMYFUNCTION("""COMPUTED_VALUE"""),"ashvia")</f>
        <v>ashvia</v>
      </c>
      <c r="D1444" s="2" t="str">
        <f>IFERROR(__xludf.DUMMYFUNCTION("""COMPUTED_VALUE"""),"5KM OVERALL F")</f>
        <v>5KM OVERALL F</v>
      </c>
      <c r="E1444" s="1">
        <f>IFERROR(__xludf.DUMMYFUNCTION("""COMPUTED_VALUE"""),413.0)</f>
        <v>413</v>
      </c>
      <c r="F1444" s="1" t="str">
        <f>IFERROR(__xludf.DUMMYFUNCTION("""COMPUTED_VALUE"""),"Female")</f>
        <v>Female</v>
      </c>
      <c r="G1444" s="5">
        <f>IFERROR(__xludf.DUMMYFUNCTION("""COMPUTED_VALUE"""),0.008972611111111112)</f>
        <v>0.008972611111</v>
      </c>
      <c r="H1444" s="15">
        <f>IFERROR(__xludf.DUMMYFUNCTION("""COMPUTED_VALUE"""),0.2549440625)</f>
        <v>0.2549440625</v>
      </c>
      <c r="I1444" s="15">
        <f>IFERROR(__xludf.DUMMYFUNCTION("""COMPUTED_VALUE"""),45949.29980712203)</f>
        <v>45949.29981</v>
      </c>
      <c r="J1444" s="15">
        <f>IFERROR(__xludf.DUMMYFUNCTION("""COMPUTED_VALUE"""),45949.04486305953)</f>
        <v>45949.04486</v>
      </c>
      <c r="K1444" s="15">
        <f>IFERROR(__xludf.DUMMYFUNCTION("""COMPUTED_VALUE"""),45949.28172119272)</f>
        <v>45949.28172</v>
      </c>
      <c r="L1444" s="4"/>
    </row>
    <row r="1445">
      <c r="A1445" s="1">
        <f>IFERROR(__xludf.DUMMYFUNCTION("""COMPUTED_VALUE"""),1444.0)</f>
        <v>1444</v>
      </c>
      <c r="B1445" s="1">
        <f>IFERROR(__xludf.DUMMYFUNCTION("""COMPUTED_VALUE"""),5749.0)</f>
        <v>5749</v>
      </c>
      <c r="C1445" s="2" t="str">
        <f>IFERROR(__xludf.DUMMYFUNCTION("""COMPUTED_VALUE"""),"BUNGA")</f>
        <v>BUNGA</v>
      </c>
      <c r="D1445" s="2" t="str">
        <f>IFERROR(__xludf.DUMMYFUNCTION("""COMPUTED_VALUE"""),"5KM OVERALL F")</f>
        <v>5KM OVERALL F</v>
      </c>
      <c r="E1445" s="1">
        <f>IFERROR(__xludf.DUMMYFUNCTION("""COMPUTED_VALUE"""),414.0)</f>
        <v>414</v>
      </c>
      <c r="F1445" s="1" t="str">
        <f>IFERROR(__xludf.DUMMYFUNCTION("""COMPUTED_VALUE"""),"Female")</f>
        <v>Female</v>
      </c>
      <c r="G1445" s="5">
        <f>IFERROR(__xludf.DUMMYFUNCTION("""COMPUTED_VALUE"""),0.008986708333333333)</f>
        <v>0.008986708333</v>
      </c>
      <c r="H1445" s="15">
        <f>IFERROR(__xludf.DUMMYFUNCTION("""COMPUTED_VALUE"""),0.2549440625)</f>
        <v>0.2549440625</v>
      </c>
      <c r="I1445" s="15">
        <f>IFERROR(__xludf.DUMMYFUNCTION("""COMPUTED_VALUE"""),45949.29987760707)</f>
        <v>45949.29988</v>
      </c>
      <c r="J1445" s="15">
        <f>IFERROR(__xludf.DUMMYFUNCTION("""COMPUTED_VALUE"""),45949.04493354457)</f>
        <v>45949.04493</v>
      </c>
      <c r="K1445" s="15">
        <f>IFERROR(__xludf.DUMMYFUNCTION("""COMPUTED_VALUE"""),45949.281790575515)</f>
        <v>45949.28179</v>
      </c>
      <c r="L1445" s="4"/>
    </row>
    <row r="1446">
      <c r="A1446" s="1">
        <f>IFERROR(__xludf.DUMMYFUNCTION("""COMPUTED_VALUE"""),1445.0)</f>
        <v>1445</v>
      </c>
      <c r="B1446" s="1">
        <f>IFERROR(__xludf.DUMMYFUNCTION("""COMPUTED_VALUE"""),6525.0)</f>
        <v>6525</v>
      </c>
      <c r="C1446" s="2" t="str">
        <f>IFERROR(__xludf.DUMMYFUNCTION("""COMPUTED_VALUE"""),"MEDIA")</f>
        <v>MEDIA</v>
      </c>
      <c r="D1446" s="2" t="str">
        <f>IFERROR(__xludf.DUMMYFUNCTION("""COMPUTED_VALUE"""),"5KM OVERALL M")</f>
        <v>5KM OVERALL M</v>
      </c>
      <c r="E1446" s="1">
        <f>IFERROR(__xludf.DUMMYFUNCTION("""COMPUTED_VALUE"""),795.0)</f>
        <v>795</v>
      </c>
      <c r="F1446" s="1" t="str">
        <f>IFERROR(__xludf.DUMMYFUNCTION("""COMPUTED_VALUE"""),"Male")</f>
        <v>Male</v>
      </c>
      <c r="G1446" s="5">
        <f>IFERROR(__xludf.DUMMYFUNCTION("""COMPUTED_VALUE"""),0.008992738425925925)</f>
        <v>0.008992738426</v>
      </c>
      <c r="H1446" s="15">
        <f>IFERROR(__xludf.DUMMYFUNCTION("""COMPUTED_VALUE"""),0.2549440625)</f>
        <v>0.2549440625</v>
      </c>
      <c r="I1446" s="15">
        <f>IFERROR(__xludf.DUMMYFUNCTION("""COMPUTED_VALUE"""),45949.299907759225)</f>
        <v>45949.29991</v>
      </c>
      <c r="J1446" s="15">
        <f>IFERROR(__xludf.DUMMYFUNCTION("""COMPUTED_VALUE"""),45949.044963696724)</f>
        <v>45949.04496</v>
      </c>
      <c r="K1446" s="15">
        <f>IFERROR(__xludf.DUMMYFUNCTION("""COMPUTED_VALUE"""),45949.279926006246)</f>
        <v>45949.27993</v>
      </c>
      <c r="L1446" s="4"/>
    </row>
    <row r="1447">
      <c r="A1447" s="1">
        <f>IFERROR(__xludf.DUMMYFUNCTION("""COMPUTED_VALUE"""),1446.0)</f>
        <v>1446</v>
      </c>
      <c r="B1447" s="1">
        <f>IFERROR(__xludf.DUMMYFUNCTION("""COMPUTED_VALUE"""),5731.0)</f>
        <v>5731</v>
      </c>
      <c r="C1447" s="2" t="str">
        <f>IFERROR(__xludf.DUMMYFUNCTION("""COMPUTED_VALUE"""),"JUNIARDI SH")</f>
        <v>JUNIARDI SH</v>
      </c>
      <c r="D1447" s="2" t="str">
        <f>IFERROR(__xludf.DUMMYFUNCTION("""COMPUTED_VALUE"""),"5KM OVERALL M")</f>
        <v>5KM OVERALL M</v>
      </c>
      <c r="E1447" s="1">
        <f>IFERROR(__xludf.DUMMYFUNCTION("""COMPUTED_VALUE"""),796.0)</f>
        <v>796</v>
      </c>
      <c r="F1447" s="1" t="str">
        <f>IFERROR(__xludf.DUMMYFUNCTION("""COMPUTED_VALUE"""),"Male")</f>
        <v>Male</v>
      </c>
      <c r="G1447" s="5">
        <f>IFERROR(__xludf.DUMMYFUNCTION("""COMPUTED_VALUE"""),0.008992738425925925)</f>
        <v>0.008992738426</v>
      </c>
      <c r="H1447" s="15">
        <f>IFERROR(__xludf.DUMMYFUNCTION("""COMPUTED_VALUE"""),0.2549440625)</f>
        <v>0.2549440625</v>
      </c>
      <c r="I1447" s="15">
        <f>IFERROR(__xludf.DUMMYFUNCTION("""COMPUTED_VALUE"""),45949.299907759225)</f>
        <v>45949.29991</v>
      </c>
      <c r="J1447" s="15">
        <f>IFERROR(__xludf.DUMMYFUNCTION("""COMPUTED_VALUE"""),45949.044963696724)</f>
        <v>45949.04496</v>
      </c>
      <c r="K1447" s="15">
        <f>IFERROR(__xludf.DUMMYFUNCTION("""COMPUTED_VALUE"""),45950.28192129629)</f>
        <v>45950.28192</v>
      </c>
      <c r="L1447" s="4" t="str">
        <f>IFERROR(__xludf.DUMMYFUNCTION("""COMPUTED_VALUE"""),"C")</f>
        <v>C</v>
      </c>
    </row>
    <row r="1448">
      <c r="A1448" s="1">
        <f>IFERROR(__xludf.DUMMYFUNCTION("""COMPUTED_VALUE"""),1447.0)</f>
        <v>1447</v>
      </c>
      <c r="B1448" s="1">
        <f>IFERROR(__xludf.DUMMYFUNCTION("""COMPUTED_VALUE"""),5656.0)</f>
        <v>5656</v>
      </c>
      <c r="C1448" s="2" t="str">
        <f>IFERROR(__xludf.DUMMYFUNCTION("""COMPUTED_VALUE"""),"putriAyu")</f>
        <v>putriAyu</v>
      </c>
      <c r="D1448" s="2" t="str">
        <f>IFERROR(__xludf.DUMMYFUNCTION("""COMPUTED_VALUE"""),"5KM OVERALL F")</f>
        <v>5KM OVERALL F</v>
      </c>
      <c r="E1448" s="1">
        <f>IFERROR(__xludf.DUMMYFUNCTION("""COMPUTED_VALUE"""),415.0)</f>
        <v>415</v>
      </c>
      <c r="F1448" s="1" t="str">
        <f>IFERROR(__xludf.DUMMYFUNCTION("""COMPUTED_VALUE"""),"Female")</f>
        <v>Female</v>
      </c>
      <c r="G1448" s="5">
        <f>IFERROR(__xludf.DUMMYFUNCTION("""COMPUTED_VALUE"""),0.008994141203703704)</f>
        <v>0.008994141204</v>
      </c>
      <c r="H1448" s="15">
        <f>IFERROR(__xludf.DUMMYFUNCTION("""COMPUTED_VALUE"""),0.2549440625)</f>
        <v>0.2549440625</v>
      </c>
      <c r="I1448" s="15">
        <f>IFERROR(__xludf.DUMMYFUNCTION("""COMPUTED_VALUE"""),45949.29991477177)</f>
        <v>45949.29991</v>
      </c>
      <c r="J1448" s="15">
        <f>IFERROR(__xludf.DUMMYFUNCTION("""COMPUTED_VALUE"""),45949.04497070927)</f>
        <v>45949.04497</v>
      </c>
      <c r="K1448" s="15">
        <f>IFERROR(__xludf.DUMMYFUNCTION("""COMPUTED_VALUE"""),45949.28067253314)</f>
        <v>45949.28067</v>
      </c>
      <c r="L1448" s="4"/>
    </row>
    <row r="1449">
      <c r="A1449" s="1">
        <f>IFERROR(__xludf.DUMMYFUNCTION("""COMPUTED_VALUE"""),1448.0)</f>
        <v>1448</v>
      </c>
      <c r="B1449" s="1">
        <f>IFERROR(__xludf.DUMMYFUNCTION("""COMPUTED_VALUE"""),5237.0)</f>
        <v>5237</v>
      </c>
      <c r="C1449" s="2" t="str">
        <f>IFERROR(__xludf.DUMMYFUNCTION("""COMPUTED_VALUE"""),"Titis Septiana")</f>
        <v>Titis Septiana</v>
      </c>
      <c r="D1449" s="2" t="str">
        <f>IFERROR(__xludf.DUMMYFUNCTION("""COMPUTED_VALUE"""),"5KM OVERALL F")</f>
        <v>5KM OVERALL F</v>
      </c>
      <c r="E1449" s="1">
        <f>IFERROR(__xludf.DUMMYFUNCTION("""COMPUTED_VALUE"""),416.0)</f>
        <v>416</v>
      </c>
      <c r="F1449" s="1" t="str">
        <f>IFERROR(__xludf.DUMMYFUNCTION("""COMPUTED_VALUE"""),"Female")</f>
        <v>Female</v>
      </c>
      <c r="G1449" s="5">
        <f>IFERROR(__xludf.DUMMYFUNCTION("""COMPUTED_VALUE"""),0.009013583333333334)</f>
        <v>0.009013583333</v>
      </c>
      <c r="H1449" s="15">
        <f>IFERROR(__xludf.DUMMYFUNCTION("""COMPUTED_VALUE"""),0.2549440625)</f>
        <v>0.2549440625</v>
      </c>
      <c r="I1449" s="15">
        <f>IFERROR(__xludf.DUMMYFUNCTION("""COMPUTED_VALUE"""),45949.30001197585)</f>
        <v>45949.30001</v>
      </c>
      <c r="J1449" s="15">
        <f>IFERROR(__xludf.DUMMYFUNCTION("""COMPUTED_VALUE"""),45949.04506791335)</f>
        <v>45949.04507</v>
      </c>
      <c r="K1449" s="15">
        <f>IFERROR(__xludf.DUMMYFUNCTION("""COMPUTED_VALUE"""),45949.280255863836)</f>
        <v>45949.28026</v>
      </c>
      <c r="L1449" s="4"/>
    </row>
    <row r="1450">
      <c r="A1450" s="1">
        <f>IFERROR(__xludf.DUMMYFUNCTION("""COMPUTED_VALUE"""),1449.0)</f>
        <v>1449</v>
      </c>
      <c r="B1450" s="1">
        <f>IFERROR(__xludf.DUMMYFUNCTION("""COMPUTED_VALUE"""),5235.0)</f>
        <v>5235</v>
      </c>
      <c r="C1450" s="2" t="str">
        <f>IFERROR(__xludf.DUMMYFUNCTION("""COMPUTED_VALUE"""),"NURUL")</f>
        <v>NURUL</v>
      </c>
      <c r="D1450" s="2" t="str">
        <f>IFERROR(__xludf.DUMMYFUNCTION("""COMPUTED_VALUE"""),"5KM OVERALL F")</f>
        <v>5KM OVERALL F</v>
      </c>
      <c r="E1450" s="1">
        <f>IFERROR(__xludf.DUMMYFUNCTION("""COMPUTED_VALUE"""),417.0)</f>
        <v>417</v>
      </c>
      <c r="F1450" s="1" t="str">
        <f>IFERROR(__xludf.DUMMYFUNCTION("""COMPUTED_VALUE"""),"Female")</f>
        <v>Female</v>
      </c>
      <c r="G1450" s="5">
        <f>IFERROR(__xludf.DUMMYFUNCTION("""COMPUTED_VALUE"""),0.009015032407407409)</f>
        <v>0.009015032407</v>
      </c>
      <c r="H1450" s="15">
        <f>IFERROR(__xludf.DUMMYFUNCTION("""COMPUTED_VALUE"""),0.2549440625)</f>
        <v>0.2549440625</v>
      </c>
      <c r="I1450" s="15">
        <f>IFERROR(__xludf.DUMMYFUNCTION("""COMPUTED_VALUE"""),45949.30001921906)</f>
        <v>45949.30002</v>
      </c>
      <c r="J1450" s="15">
        <f>IFERROR(__xludf.DUMMYFUNCTION("""COMPUTED_VALUE"""),45949.04507515656)</f>
        <v>45949.04508</v>
      </c>
      <c r="K1450" s="15">
        <f>IFERROR(__xludf.DUMMYFUNCTION("""COMPUTED_VALUE"""),45949.28128716418)</f>
        <v>45949.28129</v>
      </c>
      <c r="L1450" s="4"/>
    </row>
    <row r="1451">
      <c r="A1451" s="1">
        <f>IFERROR(__xludf.DUMMYFUNCTION("""COMPUTED_VALUE"""),1450.0)</f>
        <v>1450</v>
      </c>
      <c r="B1451" s="1">
        <f>IFERROR(__xludf.DUMMYFUNCTION("""COMPUTED_VALUE"""),5926.0)</f>
        <v>5926</v>
      </c>
      <c r="C1451" s="2" t="str">
        <f>IFERROR(__xludf.DUMMYFUNCTION("""COMPUTED_VALUE"""),"LiZul")</f>
        <v>LiZul</v>
      </c>
      <c r="D1451" s="2" t="str">
        <f>IFERROR(__xludf.DUMMYFUNCTION("""COMPUTED_VALUE"""),"5KM OVERALL F")</f>
        <v>5KM OVERALL F</v>
      </c>
      <c r="E1451" s="1">
        <f>IFERROR(__xludf.DUMMYFUNCTION("""COMPUTED_VALUE"""),418.0)</f>
        <v>418</v>
      </c>
      <c r="F1451" s="1" t="str">
        <f>IFERROR(__xludf.DUMMYFUNCTION("""COMPUTED_VALUE"""),"Female")</f>
        <v>Female</v>
      </c>
      <c r="G1451" s="5">
        <f>IFERROR(__xludf.DUMMYFUNCTION("""COMPUTED_VALUE"""),0.009015034722222221)</f>
        <v>0.009015034722</v>
      </c>
      <c r="H1451" s="15">
        <f>IFERROR(__xludf.DUMMYFUNCTION("""COMPUTED_VALUE"""),0.2549440625)</f>
        <v>0.2549440625</v>
      </c>
      <c r="I1451" s="15">
        <f>IFERROR(__xludf.DUMMYFUNCTION("""COMPUTED_VALUE"""),45949.30001923338)</f>
        <v>45949.30002</v>
      </c>
      <c r="J1451" s="15">
        <f>IFERROR(__xludf.DUMMYFUNCTION("""COMPUTED_VALUE"""),45949.04507517088)</f>
        <v>45949.04508</v>
      </c>
      <c r="K1451" s="15">
        <f>IFERROR(__xludf.DUMMYFUNCTION("""COMPUTED_VALUE"""),45949.281318816844)</f>
        <v>45949.28132</v>
      </c>
      <c r="L1451" s="4"/>
    </row>
    <row r="1452">
      <c r="A1452" s="1">
        <f>IFERROR(__xludf.DUMMYFUNCTION("""COMPUTED_VALUE"""),1451.0)</f>
        <v>1451</v>
      </c>
      <c r="B1452" s="1">
        <f>IFERROR(__xludf.DUMMYFUNCTION("""COMPUTED_VALUE"""),6315.0)</f>
        <v>6315</v>
      </c>
      <c r="C1452" s="2" t="str">
        <f>IFERROR(__xludf.DUMMYFUNCTION("""COMPUTED_VALUE"""),"ERTE")</f>
        <v>ERTE</v>
      </c>
      <c r="D1452" s="2" t="str">
        <f>IFERROR(__xludf.DUMMYFUNCTION("""COMPUTED_VALUE"""),"5KM OVERALL M")</f>
        <v>5KM OVERALL M</v>
      </c>
      <c r="E1452" s="1">
        <f>IFERROR(__xludf.DUMMYFUNCTION("""COMPUTED_VALUE"""),797.0)</f>
        <v>797</v>
      </c>
      <c r="F1452" s="1" t="str">
        <f>IFERROR(__xludf.DUMMYFUNCTION("""COMPUTED_VALUE"""),"Male")</f>
        <v>Male</v>
      </c>
      <c r="G1452" s="5">
        <f>IFERROR(__xludf.DUMMYFUNCTION("""COMPUTED_VALUE"""),0.009021222222222222)</f>
        <v>0.009021222222</v>
      </c>
      <c r="H1452" s="15">
        <f>IFERROR(__xludf.DUMMYFUNCTION("""COMPUTED_VALUE"""),0.2549440625)</f>
        <v>0.2549440625</v>
      </c>
      <c r="I1452" s="15">
        <f>IFERROR(__xludf.DUMMYFUNCTION("""COMPUTED_VALUE"""),45949.30005017383)</f>
        <v>45949.30005</v>
      </c>
      <c r="J1452" s="15">
        <f>IFERROR(__xludf.DUMMYFUNCTION("""COMPUTED_VALUE"""),45949.04510611133)</f>
        <v>45949.04511</v>
      </c>
      <c r="K1452" s="15">
        <f>IFERROR(__xludf.DUMMYFUNCTION("""COMPUTED_VALUE"""),45949.28056487844)</f>
        <v>45949.28056</v>
      </c>
      <c r="L1452" s="4"/>
    </row>
    <row r="1453">
      <c r="A1453" s="1">
        <f>IFERROR(__xludf.DUMMYFUNCTION("""COMPUTED_VALUE"""),1452.0)</f>
        <v>1452</v>
      </c>
      <c r="B1453" s="1">
        <f>IFERROR(__xludf.DUMMYFUNCTION("""COMPUTED_VALUE"""),6322.0)</f>
        <v>6322</v>
      </c>
      <c r="C1453" s="2" t="str">
        <f>IFERROR(__xludf.DUMMYFUNCTION("""COMPUTED_VALUE"""),"NR Jastip Bdj")</f>
        <v>NR Jastip Bdj</v>
      </c>
      <c r="D1453" s="2" t="str">
        <f>IFERROR(__xludf.DUMMYFUNCTION("""COMPUTED_VALUE"""),"5KM OVERALL F")</f>
        <v>5KM OVERALL F</v>
      </c>
      <c r="E1453" s="1">
        <f>IFERROR(__xludf.DUMMYFUNCTION("""COMPUTED_VALUE"""),419.0)</f>
        <v>419</v>
      </c>
      <c r="F1453" s="1" t="str">
        <f>IFERROR(__xludf.DUMMYFUNCTION("""COMPUTED_VALUE"""),"Female")</f>
        <v>Female</v>
      </c>
      <c r="G1453" s="5">
        <f>IFERROR(__xludf.DUMMYFUNCTION("""COMPUTED_VALUE"""),0.009022611111111111)</f>
        <v>0.009022611111</v>
      </c>
      <c r="H1453" s="15">
        <f>IFERROR(__xludf.DUMMYFUNCTION("""COMPUTED_VALUE"""),0.2549440625)</f>
        <v>0.2549440625</v>
      </c>
      <c r="I1453" s="15">
        <f>IFERROR(__xludf.DUMMYFUNCTION("""COMPUTED_VALUE"""),45949.30005711239)</f>
        <v>45949.30006</v>
      </c>
      <c r="J1453" s="15">
        <f>IFERROR(__xludf.DUMMYFUNCTION("""COMPUTED_VALUE"""),45949.04511304989)</f>
        <v>45949.04511</v>
      </c>
      <c r="K1453" s="15">
        <f>IFERROR(__xludf.DUMMYFUNCTION("""COMPUTED_VALUE"""),45949.2805405788)</f>
        <v>45949.28054</v>
      </c>
      <c r="L1453" s="4"/>
    </row>
    <row r="1454">
      <c r="A1454" s="1">
        <f>IFERROR(__xludf.DUMMYFUNCTION("""COMPUTED_VALUE"""),1453.0)</f>
        <v>1453</v>
      </c>
      <c r="B1454" s="1">
        <f>IFERROR(__xludf.DUMMYFUNCTION("""COMPUTED_VALUE"""),5985.0)</f>
        <v>5985</v>
      </c>
      <c r="C1454" s="2" t="str">
        <f>IFERROR(__xludf.DUMMYFUNCTION("""COMPUTED_VALUE"""),"Mawar")</f>
        <v>Mawar</v>
      </c>
      <c r="D1454" s="2" t="str">
        <f>IFERROR(__xludf.DUMMYFUNCTION("""COMPUTED_VALUE"""),"5KM OVERALL F")</f>
        <v>5KM OVERALL F</v>
      </c>
      <c r="E1454" s="1">
        <f>IFERROR(__xludf.DUMMYFUNCTION("""COMPUTED_VALUE"""),420.0)</f>
        <v>420</v>
      </c>
      <c r="F1454" s="1" t="str">
        <f>IFERROR(__xludf.DUMMYFUNCTION("""COMPUTED_VALUE"""),"Female")</f>
        <v>Female</v>
      </c>
      <c r="G1454" s="5">
        <f>IFERROR(__xludf.DUMMYFUNCTION("""COMPUTED_VALUE"""),0.009022613425925925)</f>
        <v>0.009022613426</v>
      </c>
      <c r="H1454" s="15">
        <f>IFERROR(__xludf.DUMMYFUNCTION("""COMPUTED_VALUE"""),0.2549440625)</f>
        <v>0.2549440625</v>
      </c>
      <c r="I1454" s="15">
        <f>IFERROR(__xludf.DUMMYFUNCTION("""COMPUTED_VALUE"""),45949.30005712514)</f>
        <v>45949.30006</v>
      </c>
      <c r="J1454" s="15">
        <f>IFERROR(__xludf.DUMMYFUNCTION("""COMPUTED_VALUE"""),45949.04511306264)</f>
        <v>45949.04511</v>
      </c>
      <c r="K1454" s="15">
        <f>IFERROR(__xludf.DUMMYFUNCTION("""COMPUTED_VALUE"""),45949.28037397337)</f>
        <v>45949.28037</v>
      </c>
      <c r="L1454" s="4"/>
    </row>
    <row r="1455">
      <c r="A1455" s="1">
        <f>IFERROR(__xludf.DUMMYFUNCTION("""COMPUTED_VALUE"""),1454.0)</f>
        <v>1454</v>
      </c>
      <c r="B1455" s="1">
        <f>IFERROR(__xludf.DUMMYFUNCTION("""COMPUTED_VALUE"""),7093.0)</f>
        <v>7093</v>
      </c>
      <c r="C1455" s="2" t="str">
        <f>IFERROR(__xludf.DUMMYFUNCTION("""COMPUTED_VALUE"""),"Riana")</f>
        <v>Riana</v>
      </c>
      <c r="D1455" s="2" t="str">
        <f>IFERROR(__xludf.DUMMYFUNCTION("""COMPUTED_VALUE"""),"5KM MASTER F")</f>
        <v>5KM MASTER F</v>
      </c>
      <c r="E1455" s="1">
        <f>IFERROR(__xludf.DUMMYFUNCTION("""COMPUTED_VALUE"""),56.0)</f>
        <v>56</v>
      </c>
      <c r="F1455" s="1" t="str">
        <f>IFERROR(__xludf.DUMMYFUNCTION("""COMPUTED_VALUE"""),"Female")</f>
        <v>Female</v>
      </c>
      <c r="G1455" s="5">
        <f>IFERROR(__xludf.DUMMYFUNCTION("""COMPUTED_VALUE"""),0.009024696759259258)</f>
        <v>0.009024696759</v>
      </c>
      <c r="H1455" s="15">
        <f>IFERROR(__xludf.DUMMYFUNCTION("""COMPUTED_VALUE"""),0.2549440625)</f>
        <v>0.2549440625</v>
      </c>
      <c r="I1455" s="15">
        <f>IFERROR(__xludf.DUMMYFUNCTION("""COMPUTED_VALUE"""),45949.30006754592)</f>
        <v>45949.30007</v>
      </c>
      <c r="J1455" s="15">
        <f>IFERROR(__xludf.DUMMYFUNCTION("""COMPUTED_VALUE"""),45949.04512348342)</f>
        <v>45949.04512</v>
      </c>
      <c r="K1455" s="15">
        <f>IFERROR(__xludf.DUMMYFUNCTION("""COMPUTED_VALUE"""),45949.28037043631)</f>
        <v>45949.28037</v>
      </c>
      <c r="L1455" s="4"/>
    </row>
    <row r="1456">
      <c r="A1456" s="1">
        <f>IFERROR(__xludf.DUMMYFUNCTION("""COMPUTED_VALUE"""),1455.0)</f>
        <v>1455</v>
      </c>
      <c r="B1456" s="1">
        <f>IFERROR(__xludf.DUMMYFUNCTION("""COMPUTED_VALUE"""),6520.0)</f>
        <v>6520</v>
      </c>
      <c r="C1456" s="2" t="str">
        <f>IFERROR(__xludf.DUMMYFUNCTION("""COMPUTED_VALUE"""),"MAN ND UP KALIMANTAN 2")</f>
        <v>MAN ND UP KALIMANTAN 2</v>
      </c>
      <c r="D1456" s="2" t="str">
        <f>IFERROR(__xludf.DUMMYFUNCTION("""COMPUTED_VALUE"""),"5KM OVERALL M")</f>
        <v>5KM OVERALL M</v>
      </c>
      <c r="E1456" s="1">
        <f>IFERROR(__xludf.DUMMYFUNCTION("""COMPUTED_VALUE"""),798.0)</f>
        <v>798</v>
      </c>
      <c r="F1456" s="1" t="str">
        <f>IFERROR(__xludf.DUMMYFUNCTION("""COMPUTED_VALUE"""),"Male")</f>
        <v>Male</v>
      </c>
      <c r="G1456" s="5">
        <f>IFERROR(__xludf.DUMMYFUNCTION("""COMPUTED_VALUE"""),0.009026766203703704)</f>
        <v>0.009026766204</v>
      </c>
      <c r="H1456" s="15">
        <f>IFERROR(__xludf.DUMMYFUNCTION("""COMPUTED_VALUE"""),0.2549440625)</f>
        <v>0.2549440625</v>
      </c>
      <c r="I1456" s="15">
        <f>IFERROR(__xludf.DUMMYFUNCTION("""COMPUTED_VALUE"""),45949.30007789718)</f>
        <v>45949.30008</v>
      </c>
      <c r="J1456" s="15">
        <f>IFERROR(__xludf.DUMMYFUNCTION("""COMPUTED_VALUE"""),45949.045133834676)</f>
        <v>45949.04513</v>
      </c>
      <c r="K1456" s="15">
        <f>IFERROR(__xludf.DUMMYFUNCTION("""COMPUTED_VALUE"""),45949.28136696416)</f>
        <v>45949.28137</v>
      </c>
      <c r="L1456" s="4"/>
    </row>
    <row r="1457">
      <c r="A1457" s="1">
        <f>IFERROR(__xludf.DUMMYFUNCTION("""COMPUTED_VALUE"""),1456.0)</f>
        <v>1456</v>
      </c>
      <c r="B1457" s="1">
        <f>IFERROR(__xludf.DUMMYFUNCTION("""COMPUTED_VALUE"""),5610.0)</f>
        <v>5610</v>
      </c>
      <c r="C1457" s="2" t="str">
        <f>IFERROR(__xludf.DUMMYFUNCTION("""COMPUTED_VALUE"""),"Rissa")</f>
        <v>Rissa</v>
      </c>
      <c r="D1457" s="2" t="str">
        <f>IFERROR(__xludf.DUMMYFUNCTION("""COMPUTED_VALUE"""),"5KM OVERALL F")</f>
        <v>5KM OVERALL F</v>
      </c>
      <c r="E1457" s="1">
        <f>IFERROR(__xludf.DUMMYFUNCTION("""COMPUTED_VALUE"""),421.0)</f>
        <v>421</v>
      </c>
      <c r="F1457" s="1" t="str">
        <f>IFERROR(__xludf.DUMMYFUNCTION("""COMPUTED_VALUE"""),"Female")</f>
        <v>Female</v>
      </c>
      <c r="G1457" s="5">
        <f>IFERROR(__xludf.DUMMYFUNCTION("""COMPUTED_VALUE"""),0.00902816898148148)</f>
        <v>0.009028168981</v>
      </c>
      <c r="H1457" s="15">
        <f>IFERROR(__xludf.DUMMYFUNCTION("""COMPUTED_VALUE"""),0.2549440625)</f>
        <v>0.2549440625</v>
      </c>
      <c r="I1457" s="15">
        <f>IFERROR(__xludf.DUMMYFUNCTION("""COMPUTED_VALUE"""),45949.30008490735)</f>
        <v>45949.30008</v>
      </c>
      <c r="J1457" s="15">
        <f>IFERROR(__xludf.DUMMYFUNCTION("""COMPUTED_VALUE"""),45949.04514084485)</f>
        <v>45949.04514</v>
      </c>
      <c r="K1457" s="15">
        <f>IFERROR(__xludf.DUMMYFUNCTION("""COMPUTED_VALUE"""),45949.28239822247)</f>
        <v>45949.2824</v>
      </c>
      <c r="L1457" s="4"/>
    </row>
    <row r="1458">
      <c r="A1458" s="1">
        <f>IFERROR(__xludf.DUMMYFUNCTION("""COMPUTED_VALUE"""),1457.0)</f>
        <v>1457</v>
      </c>
      <c r="B1458" s="1">
        <f>IFERROR(__xludf.DUMMYFUNCTION("""COMPUTED_VALUE"""),5468.0)</f>
        <v>5468</v>
      </c>
      <c r="C1458" s="2" t="str">
        <f>IFERROR(__xludf.DUMMYFUNCTION("""COMPUTED_VALUE"""),"Regista Tri Puspitasari")</f>
        <v>Regista Tri Puspitasari</v>
      </c>
      <c r="D1458" s="2" t="str">
        <f>IFERROR(__xludf.DUMMYFUNCTION("""COMPUTED_VALUE"""),"5KM OVERALL F")</f>
        <v>5KM OVERALL F</v>
      </c>
      <c r="E1458" s="1">
        <f>IFERROR(__xludf.DUMMYFUNCTION("""COMPUTED_VALUE"""),422.0)</f>
        <v>422</v>
      </c>
      <c r="F1458" s="1" t="str">
        <f>IFERROR(__xludf.DUMMYFUNCTION("""COMPUTED_VALUE"""),"Female")</f>
        <v>Female</v>
      </c>
      <c r="G1458" s="5">
        <f>IFERROR(__xludf.DUMMYFUNCTION("""COMPUTED_VALUE"""),0.009046222222222223)</f>
        <v>0.009046222222</v>
      </c>
      <c r="H1458" s="15">
        <f>IFERROR(__xludf.DUMMYFUNCTION("""COMPUTED_VALUE"""),0.2549440625)</f>
        <v>0.2549440625</v>
      </c>
      <c r="I1458" s="15">
        <f>IFERROR(__xludf.DUMMYFUNCTION("""COMPUTED_VALUE"""),45949.30017517592)</f>
        <v>45949.30018</v>
      </c>
      <c r="J1458" s="15">
        <f>IFERROR(__xludf.DUMMYFUNCTION("""COMPUTED_VALUE"""),45949.04523111342)</f>
        <v>45949.04523</v>
      </c>
      <c r="K1458" s="15">
        <f>IFERROR(__xludf.DUMMYFUNCTION("""COMPUTED_VALUE"""),45949.28156492388)</f>
        <v>45949.28156</v>
      </c>
      <c r="L1458" s="4"/>
    </row>
    <row r="1459">
      <c r="A1459" s="1">
        <f>IFERROR(__xludf.DUMMYFUNCTION("""COMPUTED_VALUE"""),1458.0)</f>
        <v>1458</v>
      </c>
      <c r="B1459" s="1">
        <f>IFERROR(__xludf.DUMMYFUNCTION("""COMPUTED_VALUE"""),5399.0)</f>
        <v>5399</v>
      </c>
      <c r="C1459" s="2" t="str">
        <f>IFERROR(__xludf.DUMMYFUNCTION("""COMPUTED_VALUE"""),"Niken")</f>
        <v>Niken</v>
      </c>
      <c r="D1459" s="2" t="str">
        <f>IFERROR(__xludf.DUMMYFUNCTION("""COMPUTED_VALUE"""),"5KM OVERALL F")</f>
        <v>5KM OVERALL F</v>
      </c>
      <c r="E1459" s="1">
        <f>IFERROR(__xludf.DUMMYFUNCTION("""COMPUTED_VALUE"""),423.0)</f>
        <v>423</v>
      </c>
      <c r="F1459" s="1" t="str">
        <f>IFERROR(__xludf.DUMMYFUNCTION("""COMPUTED_VALUE"""),"Female")</f>
        <v>Female</v>
      </c>
      <c r="G1459" s="5">
        <f>IFERROR(__xludf.DUMMYFUNCTION("""COMPUTED_VALUE"""),0.009046916666666667)</f>
        <v>0.009046916667</v>
      </c>
      <c r="H1459" s="15">
        <f>IFERROR(__xludf.DUMMYFUNCTION("""COMPUTED_VALUE"""),0.2549440625)</f>
        <v>0.2549440625</v>
      </c>
      <c r="I1459" s="15">
        <f>IFERROR(__xludf.DUMMYFUNCTION("""COMPUTED_VALUE"""),45949.30017864472)</f>
        <v>45949.30018</v>
      </c>
      <c r="J1459" s="15">
        <f>IFERROR(__xludf.DUMMYFUNCTION("""COMPUTED_VALUE"""),45949.04523458222)</f>
        <v>45949.04523</v>
      </c>
      <c r="K1459" s="15">
        <f>IFERROR(__xludf.DUMMYFUNCTION("""COMPUTED_VALUE"""),45949.28034267232)</f>
        <v>45949.28034</v>
      </c>
      <c r="L1459" s="4"/>
    </row>
    <row r="1460">
      <c r="A1460" s="1">
        <f>IFERROR(__xludf.DUMMYFUNCTION("""COMPUTED_VALUE"""),1459.0)</f>
        <v>1459</v>
      </c>
      <c r="B1460" s="1">
        <f>IFERROR(__xludf.DUMMYFUNCTION("""COMPUTED_VALUE"""),5464.0)</f>
        <v>5464</v>
      </c>
      <c r="C1460" s="2" t="str">
        <f>IFERROR(__xludf.DUMMYFUNCTION("""COMPUTED_VALUE"""),"Rahmawati")</f>
        <v>Rahmawati</v>
      </c>
      <c r="D1460" s="2" t="str">
        <f>IFERROR(__xludf.DUMMYFUNCTION("""COMPUTED_VALUE"""),"5KM OVERALL F")</f>
        <v>5KM OVERALL F</v>
      </c>
      <c r="E1460" s="1">
        <f>IFERROR(__xludf.DUMMYFUNCTION("""COMPUTED_VALUE"""),424.0)</f>
        <v>424</v>
      </c>
      <c r="F1460" s="1" t="str">
        <f>IFERROR(__xludf.DUMMYFUNCTION("""COMPUTED_VALUE"""),"Female")</f>
        <v>Female</v>
      </c>
      <c r="G1460" s="5">
        <f>IFERROR(__xludf.DUMMYFUNCTION("""COMPUTED_VALUE"""),0.009051777777777778)</f>
        <v>0.009051777778</v>
      </c>
      <c r="H1460" s="15">
        <f>IFERROR(__xludf.DUMMYFUNCTION("""COMPUTED_VALUE"""),0.2549440625)</f>
        <v>0.2549440625</v>
      </c>
      <c r="I1460" s="15">
        <f>IFERROR(__xludf.DUMMYFUNCTION("""COMPUTED_VALUE"""),45949.300202951046)</f>
        <v>45949.3002</v>
      </c>
      <c r="J1460" s="15">
        <f>IFERROR(__xludf.DUMMYFUNCTION("""COMPUTED_VALUE"""),45949.045258888546)</f>
        <v>45949.04526</v>
      </c>
      <c r="K1460" s="15">
        <f>IFERROR(__xludf.DUMMYFUNCTION("""COMPUTED_VALUE"""),45949.281564889156)</f>
        <v>45949.28156</v>
      </c>
      <c r="L1460" s="4"/>
    </row>
    <row r="1461">
      <c r="A1461" s="1">
        <f>IFERROR(__xludf.DUMMYFUNCTION("""COMPUTED_VALUE"""),1460.0)</f>
        <v>1460</v>
      </c>
      <c r="B1461" s="1">
        <f>IFERROR(__xludf.DUMMYFUNCTION("""COMPUTED_VALUE"""),5385.0)</f>
        <v>5385</v>
      </c>
      <c r="C1461" s="2" t="str">
        <f>IFERROR(__xludf.DUMMYFUNCTION("""COMPUTED_VALUE"""),"Annisa")</f>
        <v>Annisa</v>
      </c>
      <c r="D1461" s="2" t="str">
        <f>IFERROR(__xludf.DUMMYFUNCTION("""COMPUTED_VALUE"""),"5KM OVERALL F")</f>
        <v>5KM OVERALL F</v>
      </c>
      <c r="E1461" s="1">
        <f>IFERROR(__xludf.DUMMYFUNCTION("""COMPUTED_VALUE"""),425.0)</f>
        <v>425</v>
      </c>
      <c r="F1461" s="1" t="str">
        <f>IFERROR(__xludf.DUMMYFUNCTION("""COMPUTED_VALUE"""),"Female")</f>
        <v>Female</v>
      </c>
      <c r="G1461" s="5">
        <f>IFERROR(__xludf.DUMMYFUNCTION("""COMPUTED_VALUE"""),0.009055944444444445)</f>
        <v>0.009055944444</v>
      </c>
      <c r="H1461" s="15">
        <f>IFERROR(__xludf.DUMMYFUNCTION("""COMPUTED_VALUE"""),0.2549440625)</f>
        <v>0.2549440625</v>
      </c>
      <c r="I1461" s="15">
        <f>IFERROR(__xludf.DUMMYFUNCTION("""COMPUTED_VALUE"""),45949.30022377967)</f>
        <v>45949.30022</v>
      </c>
      <c r="J1461" s="15">
        <f>IFERROR(__xludf.DUMMYFUNCTION("""COMPUTED_VALUE"""),45949.04527971717)</f>
        <v>45949.04528</v>
      </c>
      <c r="K1461" s="15">
        <f>IFERROR(__xludf.DUMMYFUNCTION("""COMPUTED_VALUE"""),45949.282307951864)</f>
        <v>45949.28231</v>
      </c>
      <c r="L1461" s="4"/>
    </row>
    <row r="1462">
      <c r="A1462" s="1">
        <f>IFERROR(__xludf.DUMMYFUNCTION("""COMPUTED_VALUE"""),1461.0)</f>
        <v>1461</v>
      </c>
      <c r="B1462" s="1">
        <f>IFERROR(__xludf.DUMMYFUNCTION("""COMPUTED_VALUE"""),5397.0)</f>
        <v>5397</v>
      </c>
      <c r="C1462" s="2" t="str">
        <f>IFERROR(__xludf.DUMMYFUNCTION("""COMPUTED_VALUE"""),"Hasna")</f>
        <v>Hasna</v>
      </c>
      <c r="D1462" s="2" t="str">
        <f>IFERROR(__xludf.DUMMYFUNCTION("""COMPUTED_VALUE"""),"5KM OVERALL F")</f>
        <v>5KM OVERALL F</v>
      </c>
      <c r="E1462" s="1">
        <f>IFERROR(__xludf.DUMMYFUNCTION("""COMPUTED_VALUE"""),426.0)</f>
        <v>426</v>
      </c>
      <c r="F1462" s="1" t="str">
        <f>IFERROR(__xludf.DUMMYFUNCTION("""COMPUTED_VALUE"""),"Female")</f>
        <v>Female</v>
      </c>
      <c r="G1462" s="5">
        <f>IFERROR(__xludf.DUMMYFUNCTION("""COMPUTED_VALUE"""),0.009064268518518518)</f>
        <v>0.009064268519</v>
      </c>
      <c r="H1462" s="15">
        <f>IFERROR(__xludf.DUMMYFUNCTION("""COMPUTED_VALUE"""),0.2549440625)</f>
        <v>0.2549440625</v>
      </c>
      <c r="I1462" s="15">
        <f>IFERROR(__xludf.DUMMYFUNCTION("""COMPUTED_VALUE"""),45949.300265399484)</f>
        <v>45949.30027</v>
      </c>
      <c r="J1462" s="15">
        <f>IFERROR(__xludf.DUMMYFUNCTION("""COMPUTED_VALUE"""),45949.045321336984)</f>
        <v>45949.04532</v>
      </c>
      <c r="K1462" s="15">
        <f>IFERROR(__xludf.DUMMYFUNCTION("""COMPUTED_VALUE"""),45949.28243641321)</f>
        <v>45949.28244</v>
      </c>
      <c r="L1462" s="4"/>
    </row>
    <row r="1463">
      <c r="A1463" s="1">
        <f>IFERROR(__xludf.DUMMYFUNCTION("""COMPUTED_VALUE"""),1462.0)</f>
        <v>1462</v>
      </c>
      <c r="B1463" s="1">
        <f>IFERROR(__xludf.DUMMYFUNCTION("""COMPUTED_VALUE"""),5613.0)</f>
        <v>5613</v>
      </c>
      <c r="C1463" s="2" t="str">
        <f>IFERROR(__xludf.DUMMYFUNCTION("""COMPUTED_VALUE"""),"WAMEN")</f>
        <v>WAMEN</v>
      </c>
      <c r="D1463" s="2" t="str">
        <f>IFERROR(__xludf.DUMMYFUNCTION("""COMPUTED_VALUE"""),"5KM OVERALL M")</f>
        <v>5KM OVERALL M</v>
      </c>
      <c r="E1463" s="1">
        <f>IFERROR(__xludf.DUMMYFUNCTION("""COMPUTED_VALUE"""),799.0)</f>
        <v>799</v>
      </c>
      <c r="F1463" s="1" t="str">
        <f>IFERROR(__xludf.DUMMYFUNCTION("""COMPUTED_VALUE"""),"Male")</f>
        <v>Male</v>
      </c>
      <c r="G1463" s="5">
        <f>IFERROR(__xludf.DUMMYFUNCTION("""COMPUTED_VALUE"""),0.009072819444444446)</f>
        <v>0.009072819444</v>
      </c>
      <c r="H1463" s="15">
        <f>IFERROR(__xludf.DUMMYFUNCTION("""COMPUTED_VALUE"""),0.2549440625)</f>
        <v>0.2549440625</v>
      </c>
      <c r="I1463" s="15">
        <f>IFERROR(__xludf.DUMMYFUNCTION("""COMPUTED_VALUE"""),45949.30030815401)</f>
        <v>45949.30031</v>
      </c>
      <c r="J1463" s="15">
        <f>IFERROR(__xludf.DUMMYFUNCTION("""COMPUTED_VALUE"""),45949.04536409151)</f>
        <v>45949.04536</v>
      </c>
      <c r="K1463" s="15">
        <f>IFERROR(__xludf.DUMMYFUNCTION("""COMPUTED_VALUE"""),45949.28177669762)</f>
        <v>45949.28178</v>
      </c>
      <c r="L1463" s="4"/>
    </row>
    <row r="1464">
      <c r="A1464" s="1">
        <f>IFERROR(__xludf.DUMMYFUNCTION("""COMPUTED_VALUE"""),1463.0)</f>
        <v>1463</v>
      </c>
      <c r="B1464" s="1">
        <f>IFERROR(__xludf.DUMMYFUNCTION("""COMPUTED_VALUE"""),5308.0)</f>
        <v>5308</v>
      </c>
      <c r="C1464" s="2" t="str">
        <f>IFERROR(__xludf.DUMMYFUNCTION("""COMPUTED_VALUE"""),"Novia")</f>
        <v>Novia</v>
      </c>
      <c r="D1464" s="2" t="str">
        <f>IFERROR(__xludf.DUMMYFUNCTION("""COMPUTED_VALUE"""),"5KM OVERALL F")</f>
        <v>5KM OVERALL F</v>
      </c>
      <c r="E1464" s="1">
        <f>IFERROR(__xludf.DUMMYFUNCTION("""COMPUTED_VALUE"""),427.0)</f>
        <v>427</v>
      </c>
      <c r="F1464" s="1" t="str">
        <f>IFERROR(__xludf.DUMMYFUNCTION("""COMPUTED_VALUE"""),"Female")</f>
        <v>Female</v>
      </c>
      <c r="G1464" s="5">
        <f>IFERROR(__xludf.DUMMYFUNCTION("""COMPUTED_VALUE"""),0.009091465277777776)</f>
        <v>0.009091465278</v>
      </c>
      <c r="H1464" s="15">
        <f>IFERROR(__xludf.DUMMYFUNCTION("""COMPUTED_VALUE"""),0.2549440625)</f>
        <v>0.2549440625</v>
      </c>
      <c r="I1464" s="15">
        <f>IFERROR(__xludf.DUMMYFUNCTION("""COMPUTED_VALUE"""),45949.30040138491)</f>
        <v>45949.3004</v>
      </c>
      <c r="J1464" s="15">
        <f>IFERROR(__xludf.DUMMYFUNCTION("""COMPUTED_VALUE"""),45949.04545732241)</f>
        <v>45949.04546</v>
      </c>
      <c r="K1464" s="15">
        <f>IFERROR(__xludf.DUMMYFUNCTION("""COMPUTED_VALUE"""),45949.28036355607)</f>
        <v>45949.28036</v>
      </c>
      <c r="L1464" s="4"/>
    </row>
    <row r="1465">
      <c r="A1465" s="1">
        <f>IFERROR(__xludf.DUMMYFUNCTION("""COMPUTED_VALUE"""),1464.0)</f>
        <v>1464</v>
      </c>
      <c r="B1465" s="1">
        <f>IFERROR(__xludf.DUMMYFUNCTION("""COMPUTED_VALUE"""),6331.0)</f>
        <v>6331</v>
      </c>
      <c r="C1465" s="2" t="str">
        <f>IFERROR(__xludf.DUMMYFUNCTION("""COMPUTED_VALUE"""),"Intan")</f>
        <v>Intan</v>
      </c>
      <c r="D1465" s="2" t="str">
        <f>IFERROR(__xludf.DUMMYFUNCTION("""COMPUTED_VALUE"""),"5KM OVERALL F")</f>
        <v>5KM OVERALL F</v>
      </c>
      <c r="E1465" s="1">
        <f>IFERROR(__xludf.DUMMYFUNCTION("""COMPUTED_VALUE"""),428.0)</f>
        <v>428</v>
      </c>
      <c r="F1465" s="1" t="str">
        <f>IFERROR(__xludf.DUMMYFUNCTION("""COMPUTED_VALUE"""),"Female")</f>
        <v>Female</v>
      </c>
      <c r="G1465" s="5">
        <f>IFERROR(__xludf.DUMMYFUNCTION("""COMPUTED_VALUE"""),0.00909344675925926)</f>
        <v>0.009093446759</v>
      </c>
      <c r="H1465" s="15">
        <f>IFERROR(__xludf.DUMMYFUNCTION("""COMPUTED_VALUE"""),0.2549440625)</f>
        <v>0.2549440625</v>
      </c>
      <c r="I1465" s="15">
        <f>IFERROR(__xludf.DUMMYFUNCTION("""COMPUTED_VALUE"""),45949.30041129347)</f>
        <v>45949.30041</v>
      </c>
      <c r="J1465" s="15">
        <f>IFERROR(__xludf.DUMMYFUNCTION("""COMPUTED_VALUE"""),45949.04546723097)</f>
        <v>45949.04547</v>
      </c>
      <c r="K1465" s="15">
        <f>IFERROR(__xludf.DUMMYFUNCTION("""COMPUTED_VALUE"""),45949.28133230213)</f>
        <v>45949.28133</v>
      </c>
      <c r="L1465" s="4"/>
    </row>
    <row r="1466">
      <c r="A1466" s="1">
        <f>IFERROR(__xludf.DUMMYFUNCTION("""COMPUTED_VALUE"""),1465.0)</f>
        <v>1465</v>
      </c>
      <c r="B1466" s="1">
        <f>IFERROR(__xludf.DUMMYFUNCTION("""COMPUTED_VALUE"""),5725.0)</f>
        <v>5725</v>
      </c>
      <c r="C1466" s="2" t="str">
        <f>IFERROR(__xludf.DUMMYFUNCTION("""COMPUTED_VALUE"""),"MPJ")</f>
        <v>MPJ</v>
      </c>
      <c r="D1466" s="2" t="str">
        <f>IFERROR(__xludf.DUMMYFUNCTION("""COMPUTED_VALUE"""),"5KM OVERALL M")</f>
        <v>5KM OVERALL M</v>
      </c>
      <c r="E1466" s="1">
        <f>IFERROR(__xludf.DUMMYFUNCTION("""COMPUTED_VALUE"""),800.0)</f>
        <v>800</v>
      </c>
      <c r="F1466" s="1" t="str">
        <f>IFERROR(__xludf.DUMMYFUNCTION("""COMPUTED_VALUE"""),"Male")</f>
        <v>Male</v>
      </c>
      <c r="G1466" s="5">
        <f>IFERROR(__xludf.DUMMYFUNCTION("""COMPUTED_VALUE"""),0.009099)</f>
        <v>0.009099</v>
      </c>
      <c r="H1466" s="15">
        <f>IFERROR(__xludf.DUMMYFUNCTION("""COMPUTED_VALUE"""),0.2549440625)</f>
        <v>0.2549440625</v>
      </c>
      <c r="I1466" s="15">
        <f>IFERROR(__xludf.DUMMYFUNCTION("""COMPUTED_VALUE"""),45949.30043905723)</f>
        <v>45949.30044</v>
      </c>
      <c r="J1466" s="15">
        <f>IFERROR(__xludf.DUMMYFUNCTION("""COMPUTED_VALUE"""),45949.04549499473)</f>
        <v>45949.04549</v>
      </c>
      <c r="K1466" s="15">
        <f>IFERROR(__xludf.DUMMYFUNCTION("""COMPUTED_VALUE"""),45949.2807489041)</f>
        <v>45949.28075</v>
      </c>
      <c r="L1466" s="4"/>
    </row>
    <row r="1467">
      <c r="A1467" s="1">
        <f>IFERROR(__xludf.DUMMYFUNCTION("""COMPUTED_VALUE"""),1466.0)</f>
        <v>1466</v>
      </c>
      <c r="B1467" s="1">
        <f>IFERROR(__xludf.DUMMYFUNCTION("""COMPUTED_VALUE"""),5835.0)</f>
        <v>5835</v>
      </c>
      <c r="C1467" s="2" t="str">
        <f>IFERROR(__xludf.DUMMYFUNCTION("""COMPUTED_VALUE"""),"Ikhien")</f>
        <v>Ikhien</v>
      </c>
      <c r="D1467" s="2" t="str">
        <f>IFERROR(__xludf.DUMMYFUNCTION("""COMPUTED_VALUE"""),"5KM OVERALL M")</f>
        <v>5KM OVERALL M</v>
      </c>
      <c r="E1467" s="1">
        <f>IFERROR(__xludf.DUMMYFUNCTION("""COMPUTED_VALUE"""),801.0)</f>
        <v>801</v>
      </c>
      <c r="F1467" s="1" t="str">
        <f>IFERROR(__xludf.DUMMYFUNCTION("""COMPUTED_VALUE"""),"Male")</f>
        <v>Male</v>
      </c>
      <c r="G1467" s="5">
        <f>IFERROR(__xludf.DUMMYFUNCTION("""COMPUTED_VALUE"""),0.009102462962962963)</f>
        <v>0.009102462963</v>
      </c>
      <c r="H1467" s="15">
        <f>IFERROR(__xludf.DUMMYFUNCTION("""COMPUTED_VALUE"""),0.2549440625)</f>
        <v>0.2549440625</v>
      </c>
      <c r="I1467" s="15">
        <f>IFERROR(__xludf.DUMMYFUNCTION("""COMPUTED_VALUE"""),45949.30045637159)</f>
        <v>45949.30046</v>
      </c>
      <c r="J1467" s="15">
        <f>IFERROR(__xludf.DUMMYFUNCTION("""COMPUTED_VALUE"""),45949.04551230909)</f>
        <v>45949.04551</v>
      </c>
      <c r="K1467" s="15">
        <f>IFERROR(__xludf.DUMMYFUNCTION("""COMPUTED_VALUE"""),45949.28044335537)</f>
        <v>45949.28044</v>
      </c>
      <c r="L1467" s="4"/>
    </row>
    <row r="1468">
      <c r="A1468" s="1">
        <f>IFERROR(__xludf.DUMMYFUNCTION("""COMPUTED_VALUE"""),1467.0)</f>
        <v>1467</v>
      </c>
      <c r="B1468" s="1">
        <f>IFERROR(__xludf.DUMMYFUNCTION("""COMPUTED_VALUE"""),5657.0)</f>
        <v>5657</v>
      </c>
      <c r="C1468" s="2" t="str">
        <f>IFERROR(__xludf.DUMMYFUNCTION("""COMPUTED_VALUE"""),"Mina")</f>
        <v>Mina</v>
      </c>
      <c r="D1468" s="2" t="str">
        <f>IFERROR(__xludf.DUMMYFUNCTION("""COMPUTED_VALUE"""),"5KM OVERALL F")</f>
        <v>5KM OVERALL F</v>
      </c>
      <c r="E1468" s="1">
        <f>IFERROR(__xludf.DUMMYFUNCTION("""COMPUTED_VALUE"""),429.0)</f>
        <v>429</v>
      </c>
      <c r="F1468" s="1" t="str">
        <f>IFERROR(__xludf.DUMMYFUNCTION("""COMPUTED_VALUE"""),"Female")</f>
        <v>Female</v>
      </c>
      <c r="G1468" s="5">
        <f>IFERROR(__xludf.DUMMYFUNCTION("""COMPUTED_VALUE"""),0.009108030092592593)</f>
        <v>0.009108030093</v>
      </c>
      <c r="H1468" s="15">
        <f>IFERROR(__xludf.DUMMYFUNCTION("""COMPUTED_VALUE"""),0.2549440625)</f>
        <v>0.2549440625</v>
      </c>
      <c r="I1468" s="15">
        <f>IFERROR(__xludf.DUMMYFUNCTION("""COMPUTED_VALUE"""),45949.30048421524)</f>
        <v>45949.30048</v>
      </c>
      <c r="J1468" s="15">
        <f>IFERROR(__xludf.DUMMYFUNCTION("""COMPUTED_VALUE"""),45949.045540152736)</f>
        <v>45949.04554</v>
      </c>
      <c r="K1468" s="15">
        <f>IFERROR(__xludf.DUMMYFUNCTION("""COMPUTED_VALUE"""),45949.28072114623)</f>
        <v>45949.28072</v>
      </c>
      <c r="L1468" s="4"/>
    </row>
    <row r="1469">
      <c r="A1469" s="1">
        <f>IFERROR(__xludf.DUMMYFUNCTION("""COMPUTED_VALUE"""),1468.0)</f>
        <v>1468</v>
      </c>
      <c r="B1469" s="1">
        <f>IFERROR(__xludf.DUMMYFUNCTION("""COMPUTED_VALUE"""),5603.0)</f>
        <v>5603</v>
      </c>
      <c r="C1469" s="2" t="str">
        <f>IFERROR(__xludf.DUMMYFUNCTION("""COMPUTED_VALUE"""),"Rama")</f>
        <v>Rama</v>
      </c>
      <c r="D1469" s="2" t="str">
        <f>IFERROR(__xludf.DUMMYFUNCTION("""COMPUTED_VALUE"""),"5KM OVERALL M")</f>
        <v>5KM OVERALL M</v>
      </c>
      <c r="E1469" s="1">
        <f>IFERROR(__xludf.DUMMYFUNCTION("""COMPUTED_VALUE"""),802.0)</f>
        <v>802</v>
      </c>
      <c r="F1469" s="1" t="str">
        <f>IFERROR(__xludf.DUMMYFUNCTION("""COMPUTED_VALUE"""),"Male")</f>
        <v>Male</v>
      </c>
      <c r="G1469" s="5">
        <f>IFERROR(__xludf.DUMMYFUNCTION("""COMPUTED_VALUE"""),0.009108030092592593)</f>
        <v>0.009108030093</v>
      </c>
      <c r="H1469" s="15">
        <f>IFERROR(__xludf.DUMMYFUNCTION("""COMPUTED_VALUE"""),0.2549440625)</f>
        <v>0.2549440625</v>
      </c>
      <c r="I1469" s="15">
        <f>IFERROR(__xludf.DUMMYFUNCTION("""COMPUTED_VALUE"""),45949.30048421524)</f>
        <v>45949.30048</v>
      </c>
      <c r="J1469" s="15">
        <f>IFERROR(__xludf.DUMMYFUNCTION("""COMPUTED_VALUE"""),45949.045540152736)</f>
        <v>45949.04554</v>
      </c>
      <c r="K1469" s="15">
        <f>IFERROR(__xludf.DUMMYFUNCTION("""COMPUTED_VALUE"""),45949.279280169605)</f>
        <v>45949.27928</v>
      </c>
      <c r="L1469" s="4"/>
    </row>
    <row r="1470">
      <c r="A1470" s="1">
        <f>IFERROR(__xludf.DUMMYFUNCTION("""COMPUTED_VALUE"""),1469.0)</f>
        <v>1469</v>
      </c>
      <c r="B1470" s="1">
        <f>IFERROR(__xludf.DUMMYFUNCTION("""COMPUTED_VALUE"""),6326.0)</f>
        <v>6326</v>
      </c>
      <c r="C1470" s="2" t="str">
        <f>IFERROR(__xludf.DUMMYFUNCTION("""COMPUTED_VALUE"""),"Khairuman Riswanda")</f>
        <v>Khairuman Riswanda</v>
      </c>
      <c r="D1470" s="2" t="str">
        <f>IFERROR(__xludf.DUMMYFUNCTION("""COMPUTED_VALUE"""),"5KM OVERALL M")</f>
        <v>5KM OVERALL M</v>
      </c>
      <c r="E1470" s="1">
        <f>IFERROR(__xludf.DUMMYFUNCTION("""COMPUTED_VALUE"""),803.0)</f>
        <v>803</v>
      </c>
      <c r="F1470" s="1" t="str">
        <f>IFERROR(__xludf.DUMMYFUNCTION("""COMPUTED_VALUE"""),"Male")</f>
        <v>Male</v>
      </c>
      <c r="G1470" s="5">
        <f>IFERROR(__xludf.DUMMYFUNCTION("""COMPUTED_VALUE"""),0.00911499537037037)</f>
        <v>0.00911499537</v>
      </c>
      <c r="H1470" s="15">
        <f>IFERROR(__xludf.DUMMYFUNCTION("""COMPUTED_VALUE"""),0.2549440625)</f>
        <v>0.2549440625</v>
      </c>
      <c r="I1470" s="15">
        <f>IFERROR(__xludf.DUMMYFUNCTION("""COMPUTED_VALUE"""),45949.30051903995)</f>
        <v>45949.30052</v>
      </c>
      <c r="J1470" s="15">
        <f>IFERROR(__xludf.DUMMYFUNCTION("""COMPUTED_VALUE"""),45949.04557497745)</f>
        <v>45949.04557</v>
      </c>
      <c r="K1470" s="15">
        <f>IFERROR(__xludf.DUMMYFUNCTION("""COMPUTED_VALUE"""),45949.28151286124)</f>
        <v>45949.28151</v>
      </c>
      <c r="L1470" s="4"/>
    </row>
    <row r="1471">
      <c r="A1471" s="1">
        <f>IFERROR(__xludf.DUMMYFUNCTION("""COMPUTED_VALUE"""),1470.0)</f>
        <v>1470</v>
      </c>
      <c r="B1471" s="1">
        <f>IFERROR(__xludf.DUMMYFUNCTION("""COMPUTED_VALUE"""),5623.0)</f>
        <v>5623</v>
      </c>
      <c r="C1471" s="2" t="str">
        <f>IFERROR(__xludf.DUMMYFUNCTION("""COMPUTED_VALUE"""),"Elvira Zahra Fonna")</f>
        <v>Elvira Zahra Fonna</v>
      </c>
      <c r="D1471" s="2" t="str">
        <f>IFERROR(__xludf.DUMMYFUNCTION("""COMPUTED_VALUE"""),"5KM OVERALL F")</f>
        <v>5KM OVERALL F</v>
      </c>
      <c r="E1471" s="1">
        <f>IFERROR(__xludf.DUMMYFUNCTION("""COMPUTED_VALUE"""),430.0)</f>
        <v>430</v>
      </c>
      <c r="F1471" s="1" t="str">
        <f>IFERROR(__xludf.DUMMYFUNCTION("""COMPUTED_VALUE"""),"Female")</f>
        <v>Female</v>
      </c>
      <c r="G1471" s="5">
        <f>IFERROR(__xludf.DUMMYFUNCTION("""COMPUTED_VALUE"""),0.009118560185185184)</f>
        <v>0.009118560185</v>
      </c>
      <c r="H1471" s="15">
        <f>IFERROR(__xludf.DUMMYFUNCTION("""COMPUTED_VALUE"""),0.2549440625)</f>
        <v>0.2549440625</v>
      </c>
      <c r="I1471" s="15">
        <f>IFERROR(__xludf.DUMMYFUNCTION("""COMPUTED_VALUE"""),45949.30053686453)</f>
        <v>45949.30054</v>
      </c>
      <c r="J1471" s="15">
        <f>IFERROR(__xludf.DUMMYFUNCTION("""COMPUTED_VALUE"""),45949.04559280203)</f>
        <v>45949.04559</v>
      </c>
      <c r="K1471" s="15">
        <f>IFERROR(__xludf.DUMMYFUNCTION("""COMPUTED_VALUE"""),45949.28057183643)</f>
        <v>45949.28057</v>
      </c>
      <c r="L1471" s="4"/>
    </row>
    <row r="1472">
      <c r="A1472" s="1">
        <f>IFERROR(__xludf.DUMMYFUNCTION("""COMPUTED_VALUE"""),1471.0)</f>
        <v>1471</v>
      </c>
      <c r="B1472" s="1">
        <f>IFERROR(__xludf.DUMMYFUNCTION("""COMPUTED_VALUE"""),5602.0)</f>
        <v>5602</v>
      </c>
      <c r="C1472" s="2" t="str">
        <f>IFERROR(__xludf.DUMMYFUNCTION("""COMPUTED_VALUE"""),"Tri Indah Permata")</f>
        <v>Tri Indah Permata</v>
      </c>
      <c r="D1472" s="2" t="str">
        <f>IFERROR(__xludf.DUMMYFUNCTION("""COMPUTED_VALUE"""),"5KM OVERALL F")</f>
        <v>5KM OVERALL F</v>
      </c>
      <c r="E1472" s="1">
        <f>IFERROR(__xludf.DUMMYFUNCTION("""COMPUTED_VALUE"""),431.0)</f>
        <v>431</v>
      </c>
      <c r="F1472" s="1" t="str">
        <f>IFERROR(__xludf.DUMMYFUNCTION("""COMPUTED_VALUE"""),"Female")</f>
        <v>Female</v>
      </c>
      <c r="G1472" s="5">
        <f>IFERROR(__xludf.DUMMYFUNCTION("""COMPUTED_VALUE"""),0.0091185625)</f>
        <v>0.0091185625</v>
      </c>
      <c r="H1472" s="15">
        <f>IFERROR(__xludf.DUMMYFUNCTION("""COMPUTED_VALUE"""),0.2549440625)</f>
        <v>0.2549440625</v>
      </c>
      <c r="I1472" s="15">
        <f>IFERROR(__xludf.DUMMYFUNCTION("""COMPUTED_VALUE"""),45949.30053687655)</f>
        <v>45949.30054</v>
      </c>
      <c r="J1472" s="15">
        <f>IFERROR(__xludf.DUMMYFUNCTION("""COMPUTED_VALUE"""),45949.04559281405)</f>
        <v>45949.04559</v>
      </c>
      <c r="K1472" s="15">
        <f>IFERROR(__xludf.DUMMYFUNCTION("""COMPUTED_VALUE"""),45949.280557933474)</f>
        <v>45949.28056</v>
      </c>
      <c r="L1472" s="4"/>
    </row>
    <row r="1473">
      <c r="A1473" s="1">
        <f>IFERROR(__xludf.DUMMYFUNCTION("""COMPUTED_VALUE"""),1472.0)</f>
        <v>1472</v>
      </c>
      <c r="B1473" s="1">
        <f>IFERROR(__xludf.DUMMYFUNCTION("""COMPUTED_VALUE"""),6270.0)</f>
        <v>6270</v>
      </c>
      <c r="C1473" s="2" t="str">
        <f>IFERROR(__xludf.DUMMYFUNCTION("""COMPUTED_VALUE"""),"Uyun")</f>
        <v>Uyun</v>
      </c>
      <c r="D1473" s="2" t="str">
        <f>IFERROR(__xludf.DUMMYFUNCTION("""COMPUTED_VALUE"""),"5KM OVERALL F")</f>
        <v>5KM OVERALL F</v>
      </c>
      <c r="E1473" s="1">
        <f>IFERROR(__xludf.DUMMYFUNCTION("""COMPUTED_VALUE"""),432.0)</f>
        <v>432</v>
      </c>
      <c r="F1473" s="1" t="str">
        <f>IFERROR(__xludf.DUMMYFUNCTION("""COMPUTED_VALUE"""),"Female")</f>
        <v>Female</v>
      </c>
      <c r="G1473" s="5">
        <f>IFERROR(__xludf.DUMMYFUNCTION("""COMPUTED_VALUE"""),0.009120530092592592)</f>
        <v>0.009120530093</v>
      </c>
      <c r="H1473" s="15">
        <f>IFERROR(__xludf.DUMMYFUNCTION("""COMPUTED_VALUE"""),0.2549440625)</f>
        <v>0.2549440625</v>
      </c>
      <c r="I1473" s="15">
        <f>IFERROR(__xludf.DUMMYFUNCTION("""COMPUTED_VALUE"""),45949.3005467133)</f>
        <v>45949.30055</v>
      </c>
      <c r="J1473" s="15">
        <f>IFERROR(__xludf.DUMMYFUNCTION("""COMPUTED_VALUE"""),45949.045602650796)</f>
        <v>45949.0456</v>
      </c>
      <c r="K1473" s="15">
        <f>IFERROR(__xludf.DUMMYFUNCTION("""COMPUTED_VALUE"""),45949.2819329379)</f>
        <v>45949.28193</v>
      </c>
      <c r="L1473" s="4"/>
    </row>
    <row r="1474">
      <c r="A1474" s="1">
        <f>IFERROR(__xludf.DUMMYFUNCTION("""COMPUTED_VALUE"""),1473.0)</f>
        <v>1473</v>
      </c>
      <c r="B1474" s="1">
        <f>IFERROR(__xludf.DUMMYFUNCTION("""COMPUTED_VALUE"""),6412.0)</f>
        <v>6412</v>
      </c>
      <c r="C1474" s="2" t="str">
        <f>IFERROR(__xludf.DUMMYFUNCTION("""COMPUTED_VALUE"""),"Reza")</f>
        <v>Reza</v>
      </c>
      <c r="D1474" s="2" t="str">
        <f>IFERROR(__xludf.DUMMYFUNCTION("""COMPUTED_VALUE"""),"5KM OVERALL M")</f>
        <v>5KM OVERALL M</v>
      </c>
      <c r="E1474" s="1">
        <f>IFERROR(__xludf.DUMMYFUNCTION("""COMPUTED_VALUE"""),804.0)</f>
        <v>804</v>
      </c>
      <c r="F1474" s="1" t="str">
        <f>IFERROR(__xludf.DUMMYFUNCTION("""COMPUTED_VALUE"""),"Male")</f>
        <v>Male</v>
      </c>
      <c r="G1474" s="5">
        <f>IFERROR(__xludf.DUMMYFUNCTION("""COMPUTED_VALUE"""),0.009124694444444444)</f>
        <v>0.009124694444</v>
      </c>
      <c r="H1474" s="15">
        <f>IFERROR(__xludf.DUMMYFUNCTION("""COMPUTED_VALUE"""),0.2549440625)</f>
        <v>0.2549440625</v>
      </c>
      <c r="I1474" s="15">
        <f>IFERROR(__xludf.DUMMYFUNCTION("""COMPUTED_VALUE"""),45949.30056753049)</f>
        <v>45949.30057</v>
      </c>
      <c r="J1474" s="15">
        <f>IFERROR(__xludf.DUMMYFUNCTION("""COMPUTED_VALUE"""),45949.04562346799)</f>
        <v>45949.04562</v>
      </c>
      <c r="K1474" s="15">
        <f>IFERROR(__xludf.DUMMYFUNCTION("""COMPUTED_VALUE"""),45949.28195029642)</f>
        <v>45949.28195</v>
      </c>
      <c r="L1474" s="4"/>
    </row>
    <row r="1475">
      <c r="A1475" s="1">
        <f>IFERROR(__xludf.DUMMYFUNCTION("""COMPUTED_VALUE"""),1474.0)</f>
        <v>1474</v>
      </c>
      <c r="B1475" s="1">
        <f>IFERROR(__xludf.DUMMYFUNCTION("""COMPUTED_VALUE"""),6328.0)</f>
        <v>6328</v>
      </c>
      <c r="C1475" s="2" t="str">
        <f>IFERROR(__xludf.DUMMYFUNCTION("""COMPUTED_VALUE"""),"Aisha Fitria")</f>
        <v>Aisha Fitria</v>
      </c>
      <c r="D1475" s="2" t="str">
        <f>IFERROR(__xludf.DUMMYFUNCTION("""COMPUTED_VALUE"""),"5KM OVERALL F")</f>
        <v>5KM OVERALL F</v>
      </c>
      <c r="E1475" s="1">
        <f>IFERROR(__xludf.DUMMYFUNCTION("""COMPUTED_VALUE"""),433.0)</f>
        <v>433</v>
      </c>
      <c r="F1475" s="1" t="str">
        <f>IFERROR(__xludf.DUMMYFUNCTION("""COMPUTED_VALUE"""),"Female")</f>
        <v>Female</v>
      </c>
      <c r="G1475" s="5">
        <f>IFERROR(__xludf.DUMMYFUNCTION("""COMPUTED_VALUE"""),0.009133027777777778)</f>
        <v>0.009133027778</v>
      </c>
      <c r="H1475" s="15">
        <f>IFERROR(__xludf.DUMMYFUNCTION("""COMPUTED_VALUE"""),0.2549440625)</f>
        <v>0.2549440625</v>
      </c>
      <c r="I1475" s="15">
        <f>IFERROR(__xludf.DUMMYFUNCTION("""COMPUTED_VALUE"""),45949.30060919753)</f>
        <v>45949.30061</v>
      </c>
      <c r="J1475" s="15">
        <f>IFERROR(__xludf.DUMMYFUNCTION("""COMPUTED_VALUE"""),45949.04566513503)</f>
        <v>45949.04567</v>
      </c>
      <c r="K1475" s="15">
        <f>IFERROR(__xludf.DUMMYFUNCTION("""COMPUTED_VALUE"""),45949.28150932537)</f>
        <v>45949.28151</v>
      </c>
      <c r="L1475" s="4"/>
    </row>
    <row r="1476">
      <c r="A1476" s="1">
        <f>IFERROR(__xludf.DUMMYFUNCTION("""COMPUTED_VALUE"""),1475.0)</f>
        <v>1475</v>
      </c>
      <c r="B1476" s="1">
        <f>IFERROR(__xludf.DUMMYFUNCTION("""COMPUTED_VALUE"""),5093.0)</f>
        <v>5093</v>
      </c>
      <c r="C1476" s="2" t="str">
        <f>IFERROR(__xludf.DUMMYFUNCTION("""COMPUTED_VALUE"""),"intan karunia")</f>
        <v>intan karunia</v>
      </c>
      <c r="D1476" s="2" t="str">
        <f>IFERROR(__xludf.DUMMYFUNCTION("""COMPUTED_VALUE"""),"5KM OVERALL F")</f>
        <v>5KM OVERALL F</v>
      </c>
      <c r="E1476" s="1">
        <f>IFERROR(__xludf.DUMMYFUNCTION("""COMPUTED_VALUE"""),434.0)</f>
        <v>434</v>
      </c>
      <c r="F1476" s="1" t="str">
        <f>IFERROR(__xludf.DUMMYFUNCTION("""COMPUTED_VALUE"""),"Female")</f>
        <v>Female</v>
      </c>
      <c r="G1476" s="5">
        <f>IFERROR(__xludf.DUMMYFUNCTION("""COMPUTED_VALUE"""),0.00914066898148148)</f>
        <v>0.009140668981</v>
      </c>
      <c r="H1476" s="15">
        <f>IFERROR(__xludf.DUMMYFUNCTION("""COMPUTED_VALUE"""),0.2549440625)</f>
        <v>0.2549440625</v>
      </c>
      <c r="I1476" s="15">
        <f>IFERROR(__xludf.DUMMYFUNCTION("""COMPUTED_VALUE"""),45949.300647410826)</f>
        <v>45949.30065</v>
      </c>
      <c r="J1476" s="15">
        <f>IFERROR(__xludf.DUMMYFUNCTION("""COMPUTED_VALUE"""),45949.045703348325)</f>
        <v>45949.0457</v>
      </c>
      <c r="K1476" s="15">
        <f>IFERROR(__xludf.DUMMYFUNCTION("""COMPUTED_VALUE"""),45949.28663090643)</f>
        <v>45949.28663</v>
      </c>
      <c r="L1476" s="4"/>
    </row>
    <row r="1477">
      <c r="A1477" s="1">
        <f>IFERROR(__xludf.DUMMYFUNCTION("""COMPUTED_VALUE"""),1476.0)</f>
        <v>1476</v>
      </c>
      <c r="B1477" s="1">
        <f>IFERROR(__xludf.DUMMYFUNCTION("""COMPUTED_VALUE"""),6235.0)</f>
        <v>6235</v>
      </c>
      <c r="C1477" s="2" t="str">
        <f>IFERROR(__xludf.DUMMYFUNCTION("""COMPUTED_VALUE"""),"ENDAH T.H")</f>
        <v>ENDAH T.H</v>
      </c>
      <c r="D1477" s="2" t="str">
        <f>IFERROR(__xludf.DUMMYFUNCTION("""COMPUTED_VALUE"""),"5KM OVERALL F")</f>
        <v>5KM OVERALL F</v>
      </c>
      <c r="E1477" s="1">
        <f>IFERROR(__xludf.DUMMYFUNCTION("""COMPUTED_VALUE"""),435.0)</f>
        <v>435</v>
      </c>
      <c r="F1477" s="1" t="str">
        <f>IFERROR(__xludf.DUMMYFUNCTION("""COMPUTED_VALUE"""),"Female")</f>
        <v>Female</v>
      </c>
      <c r="G1477" s="5">
        <f>IFERROR(__xludf.DUMMYFUNCTION("""COMPUTED_VALUE"""),0.009146210648148148)</f>
        <v>0.009146210648</v>
      </c>
      <c r="H1477" s="15">
        <f>IFERROR(__xludf.DUMMYFUNCTION("""COMPUTED_VALUE"""),0.2549440625)</f>
        <v>0.2549440625</v>
      </c>
      <c r="I1477" s="15">
        <f>IFERROR(__xludf.DUMMYFUNCTION("""COMPUTED_VALUE"""),45949.30067511492)</f>
        <v>45949.30068</v>
      </c>
      <c r="J1477" s="15">
        <f>IFERROR(__xludf.DUMMYFUNCTION("""COMPUTED_VALUE"""),45949.04573105242)</f>
        <v>45949.04573</v>
      </c>
      <c r="K1477" s="15">
        <f>IFERROR(__xludf.DUMMYFUNCTION("""COMPUTED_VALUE"""),45949.281155161494)</f>
        <v>45949.28116</v>
      </c>
      <c r="L1477" s="4"/>
    </row>
    <row r="1478">
      <c r="A1478" s="1">
        <f>IFERROR(__xludf.DUMMYFUNCTION("""COMPUTED_VALUE"""),1477.0)</f>
        <v>1477</v>
      </c>
      <c r="B1478" s="1">
        <f>IFERROR(__xludf.DUMMYFUNCTION("""COMPUTED_VALUE"""),5376.0)</f>
        <v>5376</v>
      </c>
      <c r="C1478" s="2" t="str">
        <f>IFERROR(__xludf.DUMMYFUNCTION("""COMPUTED_VALUE"""),"DIMAZ FL")</f>
        <v>DIMAZ FL</v>
      </c>
      <c r="D1478" s="2" t="str">
        <f>IFERROR(__xludf.DUMMYFUNCTION("""COMPUTED_VALUE"""),"5KM OVERALL F")</f>
        <v>5KM OVERALL F</v>
      </c>
      <c r="E1478" s="1">
        <f>IFERROR(__xludf.DUMMYFUNCTION("""COMPUTED_VALUE"""),436.0)</f>
        <v>436</v>
      </c>
      <c r="F1478" s="1" t="str">
        <f>IFERROR(__xludf.DUMMYFUNCTION("""COMPUTED_VALUE"""),"Female")</f>
        <v>Female</v>
      </c>
      <c r="G1478" s="5">
        <f>IFERROR(__xludf.DUMMYFUNCTION("""COMPUTED_VALUE"""),0.009159416666666666)</f>
        <v>0.009159416667</v>
      </c>
      <c r="H1478" s="15">
        <f>IFERROR(__xludf.DUMMYFUNCTION("""COMPUTED_VALUE"""),0.2549440625)</f>
        <v>0.2549440625</v>
      </c>
      <c r="I1478" s="15">
        <f>IFERROR(__xludf.DUMMYFUNCTION("""COMPUTED_VALUE"""),45949.300741144994)</f>
        <v>45949.30074</v>
      </c>
      <c r="J1478" s="15">
        <f>IFERROR(__xludf.DUMMYFUNCTION("""COMPUTED_VALUE"""),45949.045797082494)</f>
        <v>45949.0458</v>
      </c>
      <c r="K1478" s="15">
        <f>IFERROR(__xludf.DUMMYFUNCTION("""COMPUTED_VALUE"""),45949.278620464196)</f>
        <v>45949.27862</v>
      </c>
      <c r="L1478" s="4"/>
    </row>
    <row r="1479">
      <c r="A1479" s="1">
        <f>IFERROR(__xludf.DUMMYFUNCTION("""COMPUTED_VALUE"""),1478.0)</f>
        <v>1478</v>
      </c>
      <c r="B1479" s="1">
        <f>IFERROR(__xludf.DUMMYFUNCTION("""COMPUTED_VALUE"""),5421.0)</f>
        <v>5421</v>
      </c>
      <c r="C1479" s="2" t="str">
        <f>IFERROR(__xludf.DUMMYFUNCTION("""COMPUTED_VALUE"""),"AYAHNYA AZRA")</f>
        <v>AYAHNYA AZRA</v>
      </c>
      <c r="D1479" s="2" t="str">
        <f>IFERROR(__xludf.DUMMYFUNCTION("""COMPUTED_VALUE"""),"5KM OVERALL M")</f>
        <v>5KM OVERALL M</v>
      </c>
      <c r="E1479" s="1">
        <f>IFERROR(__xludf.DUMMYFUNCTION("""COMPUTED_VALUE"""),805.0)</f>
        <v>805</v>
      </c>
      <c r="F1479" s="1" t="str">
        <f>IFERROR(__xludf.DUMMYFUNCTION("""COMPUTED_VALUE"""),"Male")</f>
        <v>Male</v>
      </c>
      <c r="G1479" s="5">
        <f>IFERROR(__xludf.DUMMYFUNCTION("""COMPUTED_VALUE"""),0.009160805555555556)</f>
        <v>0.009160805556</v>
      </c>
      <c r="H1479" s="15">
        <f>IFERROR(__xludf.DUMMYFUNCTION("""COMPUTED_VALUE"""),0.2549440625)</f>
        <v>0.2549440625</v>
      </c>
      <c r="I1479" s="15">
        <f>IFERROR(__xludf.DUMMYFUNCTION("""COMPUTED_VALUE"""),45949.30074808468)</f>
        <v>45949.30075</v>
      </c>
      <c r="J1479" s="15">
        <f>IFERROR(__xludf.DUMMYFUNCTION("""COMPUTED_VALUE"""),45949.04580402218)</f>
        <v>45949.0458</v>
      </c>
      <c r="K1479" s="15">
        <f>IFERROR(__xludf.DUMMYFUNCTION("""COMPUTED_VALUE"""),45949.28289127946)</f>
        <v>45949.28289</v>
      </c>
      <c r="L1479" s="4"/>
    </row>
    <row r="1480">
      <c r="A1480" s="1">
        <f>IFERROR(__xludf.DUMMYFUNCTION("""COMPUTED_VALUE"""),1479.0)</f>
        <v>1479</v>
      </c>
      <c r="B1480" s="1">
        <f>IFERROR(__xludf.DUMMYFUNCTION("""COMPUTED_VALUE"""),5685.0)</f>
        <v>5685</v>
      </c>
      <c r="C1480" s="2" t="str">
        <f>IFERROR(__xludf.DUMMYFUNCTION("""COMPUTED_VALUE"""),"Hana Halaby")</f>
        <v>Hana Halaby</v>
      </c>
      <c r="D1480" s="2" t="str">
        <f>IFERROR(__xludf.DUMMYFUNCTION("""COMPUTED_VALUE"""),"5KM OVERALL M")</f>
        <v>5KM OVERALL M</v>
      </c>
      <c r="E1480" s="1">
        <f>IFERROR(__xludf.DUMMYFUNCTION("""COMPUTED_VALUE"""),806.0)</f>
        <v>806</v>
      </c>
      <c r="F1480" s="1" t="str">
        <f>IFERROR(__xludf.DUMMYFUNCTION("""COMPUTED_VALUE"""),"Male")</f>
        <v>Male</v>
      </c>
      <c r="G1480" s="5">
        <f>IFERROR(__xludf.DUMMYFUNCTION("""COMPUTED_VALUE"""),0.009162888888888889)</f>
        <v>0.009162888889</v>
      </c>
      <c r="H1480" s="15">
        <f>IFERROR(__xludf.DUMMYFUNCTION("""COMPUTED_VALUE"""),0.2549440625)</f>
        <v>0.2549440625</v>
      </c>
      <c r="I1480" s="15">
        <f>IFERROR(__xludf.DUMMYFUNCTION("""COMPUTED_VALUE"""),45949.30075850572)</f>
        <v>45949.30076</v>
      </c>
      <c r="J1480" s="15">
        <f>IFERROR(__xludf.DUMMYFUNCTION("""COMPUTED_VALUE"""),45949.04581444322)</f>
        <v>45949.04581</v>
      </c>
      <c r="K1480" s="15">
        <f>IFERROR(__xludf.DUMMYFUNCTION("""COMPUTED_VALUE"""),45949.28243299761)</f>
        <v>45949.28243</v>
      </c>
      <c r="L1480" s="4"/>
    </row>
    <row r="1481">
      <c r="A1481" s="1">
        <f>IFERROR(__xludf.DUMMYFUNCTION("""COMPUTED_VALUE"""),1480.0)</f>
        <v>1480</v>
      </c>
      <c r="B1481" s="1">
        <f>IFERROR(__xludf.DUMMYFUNCTION("""COMPUTED_VALUE"""),5369.0)</f>
        <v>5369</v>
      </c>
      <c r="C1481" s="2" t="str">
        <f>IFERROR(__xludf.DUMMYFUNCTION("""COMPUTED_VALUE"""),"PUNDY NANDHIRA")</f>
        <v>PUNDY NANDHIRA</v>
      </c>
      <c r="D1481" s="2" t="str">
        <f>IFERROR(__xludf.DUMMYFUNCTION("""COMPUTED_VALUE"""),"5KM OVERALL F")</f>
        <v>5KM OVERALL F</v>
      </c>
      <c r="E1481" s="1">
        <f>IFERROR(__xludf.DUMMYFUNCTION("""COMPUTED_VALUE"""),437.0)</f>
        <v>437</v>
      </c>
      <c r="F1481" s="1" t="str">
        <f>IFERROR(__xludf.DUMMYFUNCTION("""COMPUTED_VALUE"""),"Female")</f>
        <v>Female</v>
      </c>
      <c r="G1481" s="5">
        <f>IFERROR(__xludf.DUMMYFUNCTION("""COMPUTED_VALUE"""),0.009164972222222224)</f>
        <v>0.009164972222</v>
      </c>
      <c r="H1481" s="15">
        <f>IFERROR(__xludf.DUMMYFUNCTION("""COMPUTED_VALUE"""),0.2549440625)</f>
        <v>0.2549440625</v>
      </c>
      <c r="I1481" s="15">
        <f>IFERROR(__xludf.DUMMYFUNCTION("""COMPUTED_VALUE"""),45949.30076892587)</f>
        <v>45949.30077</v>
      </c>
      <c r="J1481" s="15">
        <f>IFERROR(__xludf.DUMMYFUNCTION("""COMPUTED_VALUE"""),45949.045824863366)</f>
        <v>45949.04582</v>
      </c>
      <c r="K1481" s="15">
        <f>IFERROR(__xludf.DUMMYFUNCTION("""COMPUTED_VALUE"""),45949.282877406535)</f>
        <v>45949.28288</v>
      </c>
      <c r="L1481" s="4"/>
    </row>
    <row r="1482">
      <c r="A1482" s="1">
        <f>IFERROR(__xludf.DUMMYFUNCTION("""COMPUTED_VALUE"""),1481.0)</f>
        <v>1481</v>
      </c>
      <c r="B1482" s="1">
        <f>IFERROR(__xludf.DUMMYFUNCTION("""COMPUTED_VALUE"""),5684.0)</f>
        <v>5684</v>
      </c>
      <c r="C1482" s="2" t="str">
        <f>IFERROR(__xludf.DUMMYFUNCTION("""COMPUTED_VALUE"""),"Raka Dewo")</f>
        <v>Raka Dewo</v>
      </c>
      <c r="D1482" s="2" t="str">
        <f>IFERROR(__xludf.DUMMYFUNCTION("""COMPUTED_VALUE"""),"5KM OVERALL M")</f>
        <v>5KM OVERALL M</v>
      </c>
      <c r="E1482" s="1">
        <f>IFERROR(__xludf.DUMMYFUNCTION("""COMPUTED_VALUE"""),807.0)</f>
        <v>807</v>
      </c>
      <c r="F1482" s="1" t="str">
        <f>IFERROR(__xludf.DUMMYFUNCTION("""COMPUTED_VALUE"""),"Male")</f>
        <v>Male</v>
      </c>
      <c r="G1482" s="5">
        <f>IFERROR(__xludf.DUMMYFUNCTION("""COMPUTED_VALUE"""),0.00917330787037037)</f>
        <v>0.00917330787</v>
      </c>
      <c r="H1482" s="15">
        <f>IFERROR(__xludf.DUMMYFUNCTION("""COMPUTED_VALUE"""),0.2549440625)</f>
        <v>0.2549440625</v>
      </c>
      <c r="I1482" s="15">
        <f>IFERROR(__xludf.DUMMYFUNCTION("""COMPUTED_VALUE"""),45949.300810596826)</f>
        <v>45949.30081</v>
      </c>
      <c r="J1482" s="15">
        <f>IFERROR(__xludf.DUMMYFUNCTION("""COMPUTED_VALUE"""),45949.045866534325)</f>
        <v>45949.04587</v>
      </c>
      <c r="K1482" s="15">
        <f>IFERROR(__xludf.DUMMYFUNCTION("""COMPUTED_VALUE"""),45949.28251286825)</f>
        <v>45949.28251</v>
      </c>
      <c r="L1482" s="4"/>
    </row>
    <row r="1483">
      <c r="A1483" s="1">
        <f>IFERROR(__xludf.DUMMYFUNCTION("""COMPUTED_VALUE"""),1482.0)</f>
        <v>1482</v>
      </c>
      <c r="B1483" s="1">
        <f>IFERROR(__xludf.DUMMYFUNCTION("""COMPUTED_VALUE"""),6338.0)</f>
        <v>6338</v>
      </c>
      <c r="C1483" s="2" t="str">
        <f>IFERROR(__xludf.DUMMYFUNCTION("""COMPUTED_VALUE"""),"Raesa Arrahma")</f>
        <v>Raesa Arrahma</v>
      </c>
      <c r="D1483" s="2" t="str">
        <f>IFERROR(__xludf.DUMMYFUNCTION("""COMPUTED_VALUE"""),"5KM OVERALL F")</f>
        <v>5KM OVERALL F</v>
      </c>
      <c r="E1483" s="1">
        <f>IFERROR(__xludf.DUMMYFUNCTION("""COMPUTED_VALUE"""),438.0)</f>
        <v>438</v>
      </c>
      <c r="F1483" s="1" t="str">
        <f>IFERROR(__xludf.DUMMYFUNCTION("""COMPUTED_VALUE"""),"Female")</f>
        <v>Female</v>
      </c>
      <c r="G1483" s="5">
        <f>IFERROR(__xludf.DUMMYFUNCTION("""COMPUTED_VALUE"""),0.009193444444444445)</f>
        <v>0.009193444444</v>
      </c>
      <c r="H1483" s="15">
        <f>IFERROR(__xludf.DUMMYFUNCTION("""COMPUTED_VALUE"""),0.2549440625)</f>
        <v>0.2549440625</v>
      </c>
      <c r="I1483" s="15">
        <f>IFERROR(__xludf.DUMMYFUNCTION("""COMPUTED_VALUE"""),45949.30091128215)</f>
        <v>45949.30091</v>
      </c>
      <c r="J1483" s="15">
        <f>IFERROR(__xludf.DUMMYFUNCTION("""COMPUTED_VALUE"""),45949.04596721965)</f>
        <v>45949.04597</v>
      </c>
      <c r="K1483" s="15">
        <f>IFERROR(__xludf.DUMMYFUNCTION("""COMPUTED_VALUE"""),45949.28143295225)</f>
        <v>45949.28143</v>
      </c>
      <c r="L1483" s="4"/>
    </row>
    <row r="1484">
      <c r="A1484" s="1">
        <f>IFERROR(__xludf.DUMMYFUNCTION("""COMPUTED_VALUE"""),1483.0)</f>
        <v>1483</v>
      </c>
      <c r="B1484" s="1">
        <f>IFERROR(__xludf.DUMMYFUNCTION("""COMPUTED_VALUE"""),5316.0)</f>
        <v>5316</v>
      </c>
      <c r="C1484" s="2" t="str">
        <f>IFERROR(__xludf.DUMMYFUNCTION("""COMPUTED_VALUE"""),"Emelda")</f>
        <v>Emelda</v>
      </c>
      <c r="D1484" s="2" t="str">
        <f>IFERROR(__xludf.DUMMYFUNCTION("""COMPUTED_VALUE"""),"5KM OVERALL F")</f>
        <v>5KM OVERALL F</v>
      </c>
      <c r="E1484" s="1">
        <f>IFERROR(__xludf.DUMMYFUNCTION("""COMPUTED_VALUE"""),439.0)</f>
        <v>439</v>
      </c>
      <c r="F1484" s="1" t="str">
        <f>IFERROR(__xludf.DUMMYFUNCTION("""COMPUTED_VALUE"""),"Female")</f>
        <v>Female</v>
      </c>
      <c r="G1484" s="5">
        <f>IFERROR(__xludf.DUMMYFUNCTION("""COMPUTED_VALUE"""),0.009196222222222222)</f>
        <v>0.009196222222</v>
      </c>
      <c r="H1484" s="15">
        <f>IFERROR(__xludf.DUMMYFUNCTION("""COMPUTED_VALUE"""),0.2549440625)</f>
        <v>0.2549440625</v>
      </c>
      <c r="I1484" s="15">
        <f>IFERROR(__xludf.DUMMYFUNCTION("""COMPUTED_VALUE"""),45949.30092517065)</f>
        <v>45949.30093</v>
      </c>
      <c r="J1484" s="15">
        <f>IFERROR(__xludf.DUMMYFUNCTION("""COMPUTED_VALUE"""),45949.04598110815)</f>
        <v>45949.04598</v>
      </c>
      <c r="K1484" s="15">
        <f>IFERROR(__xludf.DUMMYFUNCTION("""COMPUTED_VALUE"""),45949.28151974443)</f>
        <v>45949.28152</v>
      </c>
      <c r="L1484" s="4"/>
    </row>
    <row r="1485">
      <c r="A1485" s="1">
        <f>IFERROR(__xludf.DUMMYFUNCTION("""COMPUTED_VALUE"""),1484.0)</f>
        <v>1484</v>
      </c>
      <c r="B1485" s="1">
        <f>IFERROR(__xludf.DUMMYFUNCTION("""COMPUTED_VALUE"""),6029.0)</f>
        <v>6029</v>
      </c>
      <c r="C1485" s="2" t="str">
        <f>IFERROR(__xludf.DUMMYFUNCTION("""COMPUTED_VALUE"""),"Mama Safatireya")</f>
        <v>Mama Safatireya</v>
      </c>
      <c r="D1485" s="2" t="str">
        <f>IFERROR(__xludf.DUMMYFUNCTION("""COMPUTED_VALUE"""),"5KM OVERALL F")</f>
        <v>5KM OVERALL F</v>
      </c>
      <c r="E1485" s="1">
        <f>IFERROR(__xludf.DUMMYFUNCTION("""COMPUTED_VALUE"""),440.0)</f>
        <v>440</v>
      </c>
      <c r="F1485" s="1" t="str">
        <f>IFERROR(__xludf.DUMMYFUNCTION("""COMPUTED_VALUE"""),"Female")</f>
        <v>Female</v>
      </c>
      <c r="G1485" s="5">
        <f>IFERROR(__xludf.DUMMYFUNCTION("""COMPUTED_VALUE"""),0.00920525462962963)</f>
        <v>0.00920525463</v>
      </c>
      <c r="H1485" s="15">
        <f>IFERROR(__xludf.DUMMYFUNCTION("""COMPUTED_VALUE"""),0.2549440625)</f>
        <v>0.2549440625</v>
      </c>
      <c r="I1485" s="15">
        <f>IFERROR(__xludf.DUMMYFUNCTION("""COMPUTED_VALUE"""),45949.300970335906)</f>
        <v>45949.30097</v>
      </c>
      <c r="J1485" s="15">
        <f>IFERROR(__xludf.DUMMYFUNCTION("""COMPUTED_VALUE"""),45949.046026273405)</f>
        <v>45949.04603</v>
      </c>
      <c r="K1485" s="15">
        <f>IFERROR(__xludf.DUMMYFUNCTION("""COMPUTED_VALUE"""),45949.28221769244)</f>
        <v>45949.28222</v>
      </c>
      <c r="L1485" s="4"/>
    </row>
    <row r="1486">
      <c r="A1486" s="1">
        <f>IFERROR(__xludf.DUMMYFUNCTION("""COMPUTED_VALUE"""),1485.0)</f>
        <v>1485</v>
      </c>
      <c r="B1486" s="1">
        <f>IFERROR(__xludf.DUMMYFUNCTION("""COMPUTED_VALUE"""),6501.0)</f>
        <v>6501</v>
      </c>
      <c r="C1486" s="2" t="str">
        <f>IFERROR(__xludf.DUMMYFUNCTION("""COMPUTED_VALUE"""),"POLISI MILITER")</f>
        <v>POLISI MILITER</v>
      </c>
      <c r="D1486" s="2" t="str">
        <f>IFERROR(__xludf.DUMMYFUNCTION("""COMPUTED_VALUE"""),"5KM OVERALL M")</f>
        <v>5KM OVERALL M</v>
      </c>
      <c r="E1486" s="1">
        <f>IFERROR(__xludf.DUMMYFUNCTION("""COMPUTED_VALUE"""),808.0)</f>
        <v>808</v>
      </c>
      <c r="F1486" s="1" t="str">
        <f>IFERROR(__xludf.DUMMYFUNCTION("""COMPUTED_VALUE"""),"Male")</f>
        <v>Male</v>
      </c>
      <c r="G1486" s="5">
        <f>IFERROR(__xludf.DUMMYFUNCTION("""COMPUTED_VALUE"""),0.009207333333333335)</f>
        <v>0.009207333333</v>
      </c>
      <c r="H1486" s="15">
        <f>IFERROR(__xludf.DUMMYFUNCTION("""COMPUTED_VALUE"""),0.2549440625)</f>
        <v>0.2549440625</v>
      </c>
      <c r="I1486" s="15">
        <f>IFERROR(__xludf.DUMMYFUNCTION("""COMPUTED_VALUE"""),45949.30098072683)</f>
        <v>45949.30098</v>
      </c>
      <c r="J1486" s="15">
        <f>IFERROR(__xludf.DUMMYFUNCTION("""COMPUTED_VALUE"""),45949.04603666433)</f>
        <v>45949.04604</v>
      </c>
      <c r="K1486" s="15">
        <f>IFERROR(__xludf.DUMMYFUNCTION("""COMPUTED_VALUE"""),45949.28222461395)</f>
        <v>45949.28222</v>
      </c>
      <c r="L1486" s="4"/>
    </row>
    <row r="1487">
      <c r="A1487" s="1">
        <f>IFERROR(__xludf.DUMMYFUNCTION("""COMPUTED_VALUE"""),1486.0)</f>
        <v>1486</v>
      </c>
      <c r="B1487" s="1">
        <f>IFERROR(__xludf.DUMMYFUNCTION("""COMPUTED_VALUE"""),5282.0)</f>
        <v>5282</v>
      </c>
      <c r="C1487" s="2" t="str">
        <f>IFERROR(__xludf.DUMMYFUNCTION("""COMPUTED_VALUE"""),"Nova Ersaria")</f>
        <v>Nova Ersaria</v>
      </c>
      <c r="D1487" s="2" t="str">
        <f>IFERROR(__xludf.DUMMYFUNCTION("""COMPUTED_VALUE"""),"5KM OVERALL F")</f>
        <v>5KM OVERALL F</v>
      </c>
      <c r="E1487" s="1">
        <f>IFERROR(__xludf.DUMMYFUNCTION("""COMPUTED_VALUE"""),441.0)</f>
        <v>441</v>
      </c>
      <c r="F1487" s="1" t="str">
        <f>IFERROR(__xludf.DUMMYFUNCTION("""COMPUTED_VALUE"""),"Female")</f>
        <v>Female</v>
      </c>
      <c r="G1487" s="5">
        <f>IFERROR(__xludf.DUMMYFUNCTION("""COMPUTED_VALUE"""),0.009214280092592593)</f>
        <v>0.009214280093</v>
      </c>
      <c r="H1487" s="15">
        <f>IFERROR(__xludf.DUMMYFUNCTION("""COMPUTED_VALUE"""),0.2549440625)</f>
        <v>0.2549440625</v>
      </c>
      <c r="I1487" s="15">
        <f>IFERROR(__xludf.DUMMYFUNCTION("""COMPUTED_VALUE"""),45949.30101545988)</f>
        <v>45949.30102</v>
      </c>
      <c r="J1487" s="15">
        <f>IFERROR(__xludf.DUMMYFUNCTION("""COMPUTED_VALUE"""),45949.04607139738)</f>
        <v>45949.04607</v>
      </c>
      <c r="K1487" s="15">
        <f>IFERROR(__xludf.DUMMYFUNCTION("""COMPUTED_VALUE"""),45949.282332303585)</f>
        <v>45949.28233</v>
      </c>
      <c r="L1487" s="4"/>
    </row>
    <row r="1488">
      <c r="A1488" s="1">
        <f>IFERROR(__xludf.DUMMYFUNCTION("""COMPUTED_VALUE"""),1487.0)</f>
        <v>1487</v>
      </c>
      <c r="B1488" s="1">
        <f>IFERROR(__xludf.DUMMYFUNCTION("""COMPUTED_VALUE"""),7053.0)</f>
        <v>7053</v>
      </c>
      <c r="C1488" s="2" t="str">
        <f>IFERROR(__xludf.DUMMYFUNCTION("""COMPUTED_VALUE"""),"Rio")</f>
        <v>Rio</v>
      </c>
      <c r="D1488" s="2" t="str">
        <f>IFERROR(__xludf.DUMMYFUNCTION("""COMPUTED_VALUE"""),"5KM MASTER M")</f>
        <v>5KM MASTER M</v>
      </c>
      <c r="E1488" s="1">
        <f>IFERROR(__xludf.DUMMYFUNCTION("""COMPUTED_VALUE"""),100.0)</f>
        <v>100</v>
      </c>
      <c r="F1488" s="1" t="str">
        <f>IFERROR(__xludf.DUMMYFUNCTION("""COMPUTED_VALUE"""),"Male")</f>
        <v>Male</v>
      </c>
      <c r="G1488" s="5">
        <f>IFERROR(__xludf.DUMMYFUNCTION("""COMPUTED_VALUE"""),0.009215666666666667)</f>
        <v>0.009215666667</v>
      </c>
      <c r="H1488" s="15">
        <f>IFERROR(__xludf.DUMMYFUNCTION("""COMPUTED_VALUE"""),0.2549440625)</f>
        <v>0.2549440625</v>
      </c>
      <c r="I1488" s="15">
        <f>IFERROR(__xludf.DUMMYFUNCTION("""COMPUTED_VALUE"""),45949.301022395295)</f>
        <v>45949.30102</v>
      </c>
      <c r="J1488" s="15">
        <f>IFERROR(__xludf.DUMMYFUNCTION("""COMPUTED_VALUE"""),45949.046078332794)</f>
        <v>45949.04608</v>
      </c>
      <c r="K1488" s="15">
        <f>IFERROR(__xludf.DUMMYFUNCTION("""COMPUTED_VALUE"""),45949.281783682745)</f>
        <v>45949.28178</v>
      </c>
      <c r="L1488" s="4"/>
    </row>
    <row r="1489">
      <c r="A1489" s="1">
        <f>IFERROR(__xludf.DUMMYFUNCTION("""COMPUTED_VALUE"""),1488.0)</f>
        <v>1488</v>
      </c>
      <c r="B1489" s="1">
        <f>IFERROR(__xludf.DUMMYFUNCTION("""COMPUTED_VALUE"""),6311.0)</f>
        <v>6311</v>
      </c>
      <c r="C1489" s="2" t="str">
        <f>IFERROR(__xludf.DUMMYFUNCTION("""COMPUTED_VALUE"""),"Laili")</f>
        <v>Laili</v>
      </c>
      <c r="D1489" s="2" t="str">
        <f>IFERROR(__xludf.DUMMYFUNCTION("""COMPUTED_VALUE"""),"5KM OVERALL F")</f>
        <v>5KM OVERALL F</v>
      </c>
      <c r="E1489" s="1">
        <f>IFERROR(__xludf.DUMMYFUNCTION("""COMPUTED_VALUE"""),442.0)</f>
        <v>442</v>
      </c>
      <c r="F1489" s="1" t="str">
        <f>IFERROR(__xludf.DUMMYFUNCTION("""COMPUTED_VALUE"""),"Female")</f>
        <v>Female</v>
      </c>
      <c r="G1489" s="5">
        <f>IFERROR(__xludf.DUMMYFUNCTION("""COMPUTED_VALUE"""),0.009215666666666667)</f>
        <v>0.009215666667</v>
      </c>
      <c r="H1489" s="15">
        <f>IFERROR(__xludf.DUMMYFUNCTION("""COMPUTED_VALUE"""),0.2549440625)</f>
        <v>0.2549440625</v>
      </c>
      <c r="I1489" s="15">
        <f>IFERROR(__xludf.DUMMYFUNCTION("""COMPUTED_VALUE"""),45949.301022395295)</f>
        <v>45949.30102</v>
      </c>
      <c r="J1489" s="15">
        <f>IFERROR(__xludf.DUMMYFUNCTION("""COMPUTED_VALUE"""),45949.046078332794)</f>
        <v>45949.04608</v>
      </c>
      <c r="K1489" s="15">
        <f>IFERROR(__xludf.DUMMYFUNCTION("""COMPUTED_VALUE"""),45949.27986696571)</f>
        <v>45949.27987</v>
      </c>
      <c r="L1489" s="4"/>
    </row>
    <row r="1490">
      <c r="A1490" s="1">
        <f>IFERROR(__xludf.DUMMYFUNCTION("""COMPUTED_VALUE"""),1489.0)</f>
        <v>1489</v>
      </c>
      <c r="B1490" s="1">
        <f>IFERROR(__xludf.DUMMYFUNCTION("""COMPUTED_VALUE"""),5666.0)</f>
        <v>5666</v>
      </c>
      <c r="C1490" s="2" t="str">
        <f>IFERROR(__xludf.DUMMYFUNCTION("""COMPUTED_VALUE"""),"Astrina Karunia Marta DK")</f>
        <v>Astrina Karunia Marta DK</v>
      </c>
      <c r="D1490" s="2" t="str">
        <f>IFERROR(__xludf.DUMMYFUNCTION("""COMPUTED_VALUE"""),"5KM OVERALL F")</f>
        <v>5KM OVERALL F</v>
      </c>
      <c r="E1490" s="1">
        <f>IFERROR(__xludf.DUMMYFUNCTION("""COMPUTED_VALUE"""),443.0)</f>
        <v>443</v>
      </c>
      <c r="F1490" s="1" t="str">
        <f>IFERROR(__xludf.DUMMYFUNCTION("""COMPUTED_VALUE"""),"Female")</f>
        <v>Female</v>
      </c>
      <c r="G1490" s="5">
        <f>IFERROR(__xludf.DUMMYFUNCTION("""COMPUTED_VALUE"""),0.009217752314814814)</f>
        <v>0.009217752315</v>
      </c>
      <c r="H1490" s="15">
        <f>IFERROR(__xludf.DUMMYFUNCTION("""COMPUTED_VALUE"""),0.2549440625)</f>
        <v>0.2549440625</v>
      </c>
      <c r="I1490" s="15">
        <f>IFERROR(__xludf.DUMMYFUNCTION("""COMPUTED_VALUE"""),45949.30103282603)</f>
        <v>45949.30103</v>
      </c>
      <c r="J1490" s="15">
        <f>IFERROR(__xludf.DUMMYFUNCTION("""COMPUTED_VALUE"""),45949.04608876353)</f>
        <v>45949.04609</v>
      </c>
      <c r="K1490" s="15">
        <f>IFERROR(__xludf.DUMMYFUNCTION("""COMPUTED_VALUE"""),45949.28228016151)</f>
        <v>45949.28228</v>
      </c>
      <c r="L1490" s="4"/>
    </row>
    <row r="1491">
      <c r="A1491" s="1">
        <f>IFERROR(__xludf.DUMMYFUNCTION("""COMPUTED_VALUE"""),1490.0)</f>
        <v>1490</v>
      </c>
      <c r="B1491" s="1">
        <f>IFERROR(__xludf.DUMMYFUNCTION("""COMPUTED_VALUE"""),5380.0)</f>
        <v>5380</v>
      </c>
      <c r="C1491" s="2" t="str">
        <f>IFERROR(__xludf.DUMMYFUNCTION("""COMPUTED_VALUE"""),"Nasmil")</f>
        <v>Nasmil</v>
      </c>
      <c r="D1491" s="2" t="str">
        <f>IFERROR(__xludf.DUMMYFUNCTION("""COMPUTED_VALUE"""),"5KM OVERALL F")</f>
        <v>5KM OVERALL F</v>
      </c>
      <c r="E1491" s="1">
        <f>IFERROR(__xludf.DUMMYFUNCTION("""COMPUTED_VALUE"""),444.0)</f>
        <v>444</v>
      </c>
      <c r="F1491" s="1" t="str">
        <f>IFERROR(__xludf.DUMMYFUNCTION("""COMPUTED_VALUE"""),"Female")</f>
        <v>Female</v>
      </c>
      <c r="G1491" s="5">
        <f>IFERROR(__xludf.DUMMYFUNCTION("""COMPUTED_VALUE"""),0.009221918981481482)</f>
        <v>0.009221918981</v>
      </c>
      <c r="H1491" s="15">
        <f>IFERROR(__xludf.DUMMYFUNCTION("""COMPUTED_VALUE"""),0.2549440625)</f>
        <v>0.2549440625</v>
      </c>
      <c r="I1491" s="15">
        <f>IFERROR(__xludf.DUMMYFUNCTION("""COMPUTED_VALUE"""),45949.301053661824)</f>
        <v>45949.30105</v>
      </c>
      <c r="J1491" s="15">
        <f>IFERROR(__xludf.DUMMYFUNCTION("""COMPUTED_VALUE"""),45949.04610959932)</f>
        <v>45949.04611</v>
      </c>
      <c r="K1491" s="15">
        <f>IFERROR(__xludf.DUMMYFUNCTION("""COMPUTED_VALUE"""),45949.28180103999)</f>
        <v>45949.2818</v>
      </c>
      <c r="L1491" s="4"/>
    </row>
    <row r="1492">
      <c r="A1492" s="1">
        <f>IFERROR(__xludf.DUMMYFUNCTION("""COMPUTED_VALUE"""),1491.0)</f>
        <v>1491</v>
      </c>
      <c r="B1492" s="1">
        <f>IFERROR(__xludf.DUMMYFUNCTION("""COMPUTED_VALUE"""),6316.0)</f>
        <v>6316</v>
      </c>
      <c r="C1492" s="2" t="str">
        <f>IFERROR(__xludf.DUMMYFUNCTION("""COMPUTED_VALUE"""),"Aya")</f>
        <v>Aya</v>
      </c>
      <c r="D1492" s="2" t="str">
        <f>IFERROR(__xludf.DUMMYFUNCTION("""COMPUTED_VALUE"""),"5KM OVERALL F")</f>
        <v>5KM OVERALL F</v>
      </c>
      <c r="E1492" s="1">
        <f>IFERROR(__xludf.DUMMYFUNCTION("""COMPUTED_VALUE"""),445.0)</f>
        <v>445</v>
      </c>
      <c r="F1492" s="1" t="str">
        <f>IFERROR(__xludf.DUMMYFUNCTION("""COMPUTED_VALUE"""),"Female")</f>
        <v>Female</v>
      </c>
      <c r="G1492" s="5">
        <f>IFERROR(__xludf.DUMMYFUNCTION("""COMPUTED_VALUE"""),0.009226083333333333)</f>
        <v>0.009226083333</v>
      </c>
      <c r="H1492" s="15">
        <f>IFERROR(__xludf.DUMMYFUNCTION("""COMPUTED_VALUE"""),0.2549440625)</f>
        <v>0.2549440625</v>
      </c>
      <c r="I1492" s="15">
        <f>IFERROR(__xludf.DUMMYFUNCTION("""COMPUTED_VALUE"""),45949.30107447797)</f>
        <v>45949.30107</v>
      </c>
      <c r="J1492" s="15">
        <f>IFERROR(__xludf.DUMMYFUNCTION("""COMPUTED_VALUE"""),45949.04613041547)</f>
        <v>45949.04613</v>
      </c>
      <c r="K1492" s="15">
        <f>IFERROR(__xludf.DUMMYFUNCTION("""COMPUTED_VALUE"""),45949.27993642252)</f>
        <v>45949.27994</v>
      </c>
      <c r="L1492" s="4"/>
    </row>
    <row r="1493">
      <c r="A1493" s="1">
        <f>IFERROR(__xludf.DUMMYFUNCTION("""COMPUTED_VALUE"""),1492.0)</f>
        <v>1492</v>
      </c>
      <c r="B1493" s="1">
        <f>IFERROR(__xludf.DUMMYFUNCTION("""COMPUTED_VALUE"""),5379.0)</f>
        <v>5379</v>
      </c>
      <c r="C1493" s="2" t="str">
        <f>IFERROR(__xludf.DUMMYFUNCTION("""COMPUTED_VALUE"""),"SUAMINYA NASMIL")</f>
        <v>SUAMINYA NASMIL</v>
      </c>
      <c r="D1493" s="2" t="str">
        <f>IFERROR(__xludf.DUMMYFUNCTION("""COMPUTED_VALUE"""),"5KM OVERALL M")</f>
        <v>5KM OVERALL M</v>
      </c>
      <c r="E1493" s="1">
        <f>IFERROR(__xludf.DUMMYFUNCTION("""COMPUTED_VALUE"""),809.0)</f>
        <v>809</v>
      </c>
      <c r="F1493" s="1" t="str">
        <f>IFERROR(__xludf.DUMMYFUNCTION("""COMPUTED_VALUE"""),"Male")</f>
        <v>Male</v>
      </c>
      <c r="G1493" s="5">
        <f>IFERROR(__xludf.DUMMYFUNCTION("""COMPUTED_VALUE"""),0.009227474537037036)</f>
        <v>0.009227474537</v>
      </c>
      <c r="H1493" s="15">
        <f>IFERROR(__xludf.DUMMYFUNCTION("""COMPUTED_VALUE"""),0.2549440625)</f>
        <v>0.2549440625</v>
      </c>
      <c r="I1493" s="15">
        <f>IFERROR(__xludf.DUMMYFUNCTION("""COMPUTED_VALUE"""),45949.30108143145)</f>
        <v>45949.30108</v>
      </c>
      <c r="J1493" s="15">
        <f>IFERROR(__xludf.DUMMYFUNCTION("""COMPUTED_VALUE"""),45949.04613736895)</f>
        <v>45949.04614</v>
      </c>
      <c r="K1493" s="15">
        <f>IFERROR(__xludf.DUMMYFUNCTION("""COMPUTED_VALUE"""),45949.281839257645)</f>
        <v>45949.28184</v>
      </c>
      <c r="L1493" s="4"/>
    </row>
    <row r="1494">
      <c r="A1494" s="1">
        <f>IFERROR(__xludf.DUMMYFUNCTION("""COMPUTED_VALUE"""),1493.0)</f>
        <v>1493</v>
      </c>
      <c r="B1494" s="1">
        <f>IFERROR(__xludf.DUMMYFUNCTION("""COMPUTED_VALUE"""),6312.0)</f>
        <v>6312</v>
      </c>
      <c r="C1494" s="2" t="str">
        <f>IFERROR(__xludf.DUMMYFUNCTION("""COMPUTED_VALUE"""),"Novi")</f>
        <v>Novi</v>
      </c>
      <c r="D1494" s="2" t="str">
        <f>IFERROR(__xludf.DUMMYFUNCTION("""COMPUTED_VALUE"""),"5KM OVERALL F")</f>
        <v>5KM OVERALL F</v>
      </c>
      <c r="E1494" s="1">
        <f>IFERROR(__xludf.DUMMYFUNCTION("""COMPUTED_VALUE"""),446.0)</f>
        <v>446</v>
      </c>
      <c r="F1494" s="1" t="str">
        <f>IFERROR(__xludf.DUMMYFUNCTION("""COMPUTED_VALUE"""),"Female")</f>
        <v>Female</v>
      </c>
      <c r="G1494" s="5">
        <f>IFERROR(__xludf.DUMMYFUNCTION("""COMPUTED_VALUE"""),0.009228166666666666)</f>
        <v>0.009228166667</v>
      </c>
      <c r="H1494" s="15">
        <f>IFERROR(__xludf.DUMMYFUNCTION("""COMPUTED_VALUE"""),0.2549440625)</f>
        <v>0.2549440625</v>
      </c>
      <c r="I1494" s="15">
        <f>IFERROR(__xludf.DUMMYFUNCTION("""COMPUTED_VALUE"""),45949.30108489313)</f>
        <v>45949.30108</v>
      </c>
      <c r="J1494" s="15">
        <f>IFERROR(__xludf.DUMMYFUNCTION("""COMPUTED_VALUE"""),45949.04614083063)</f>
        <v>45949.04614</v>
      </c>
      <c r="K1494" s="15">
        <f>IFERROR(__xludf.DUMMYFUNCTION("""COMPUTED_VALUE"""),45949.27989202005)</f>
        <v>45949.27989</v>
      </c>
      <c r="L1494" s="4"/>
    </row>
    <row r="1495">
      <c r="A1495" s="1">
        <f>IFERROR(__xludf.DUMMYFUNCTION("""COMPUTED_VALUE"""),1494.0)</f>
        <v>1494</v>
      </c>
      <c r="B1495" s="1">
        <f>IFERROR(__xludf.DUMMYFUNCTION("""COMPUTED_VALUE"""),5997.0)</f>
        <v>5997</v>
      </c>
      <c r="C1495" s="2" t="str">
        <f>IFERROR(__xludf.DUMMYFUNCTION("""COMPUTED_VALUE"""),"Akhmad")</f>
        <v>Akhmad</v>
      </c>
      <c r="D1495" s="2" t="str">
        <f>IFERROR(__xludf.DUMMYFUNCTION("""COMPUTED_VALUE"""),"5KM OVERALL M")</f>
        <v>5KM OVERALL M</v>
      </c>
      <c r="E1495" s="1">
        <f>IFERROR(__xludf.DUMMYFUNCTION("""COMPUTED_VALUE"""),810.0)</f>
        <v>810</v>
      </c>
      <c r="F1495" s="1" t="str">
        <f>IFERROR(__xludf.DUMMYFUNCTION("""COMPUTED_VALUE"""),"Male")</f>
        <v>Male</v>
      </c>
      <c r="G1495" s="5">
        <f>IFERROR(__xludf.DUMMYFUNCTION("""COMPUTED_VALUE"""),0.009230249999999999)</f>
        <v>0.00923025</v>
      </c>
      <c r="H1495" s="15">
        <f>IFERROR(__xludf.DUMMYFUNCTION("""COMPUTED_VALUE"""),0.2549440625)</f>
        <v>0.2549440625</v>
      </c>
      <c r="I1495" s="15">
        <f>IFERROR(__xludf.DUMMYFUNCTION("""COMPUTED_VALUE"""),45949.30109531773)</f>
        <v>45949.3011</v>
      </c>
      <c r="J1495" s="15">
        <f>IFERROR(__xludf.DUMMYFUNCTION("""COMPUTED_VALUE"""),45949.04615125523)</f>
        <v>45949.04615</v>
      </c>
      <c r="K1495" s="15">
        <f>IFERROR(__xludf.DUMMYFUNCTION("""COMPUTED_VALUE"""),45949.282134377296)</f>
        <v>45949.28213</v>
      </c>
      <c r="L1495" s="4"/>
    </row>
    <row r="1496">
      <c r="A1496" s="1">
        <f>IFERROR(__xludf.DUMMYFUNCTION("""COMPUTED_VALUE"""),1495.0)</f>
        <v>1495</v>
      </c>
      <c r="B1496" s="1">
        <f>IFERROR(__xludf.DUMMYFUNCTION("""COMPUTED_VALUE"""),5995.0)</f>
        <v>5995</v>
      </c>
      <c r="C1496" s="2" t="str">
        <f>IFERROR(__xludf.DUMMYFUNCTION("""COMPUTED_VALUE"""),"putrielp")</f>
        <v>putrielp</v>
      </c>
      <c r="D1496" s="2" t="str">
        <f>IFERROR(__xludf.DUMMYFUNCTION("""COMPUTED_VALUE"""),"5KM OVERALL F")</f>
        <v>5KM OVERALL F</v>
      </c>
      <c r="E1496" s="1">
        <f>IFERROR(__xludf.DUMMYFUNCTION("""COMPUTED_VALUE"""),447.0)</f>
        <v>447</v>
      </c>
      <c r="F1496" s="1" t="str">
        <f>IFERROR(__xludf.DUMMYFUNCTION("""COMPUTED_VALUE"""),"Female")</f>
        <v>Female</v>
      </c>
      <c r="G1496" s="5">
        <f>IFERROR(__xludf.DUMMYFUNCTION("""COMPUTED_VALUE"""),0.009233710648148149)</f>
        <v>0.009233710648</v>
      </c>
      <c r="H1496" s="15">
        <f>IFERROR(__xludf.DUMMYFUNCTION("""COMPUTED_VALUE"""),0.2549440625)</f>
        <v>0.2549440625</v>
      </c>
      <c r="I1496" s="15">
        <f>IFERROR(__xludf.DUMMYFUNCTION("""COMPUTED_VALUE"""),45949.301112619934)</f>
        <v>45949.30111</v>
      </c>
      <c r="J1496" s="15">
        <f>IFERROR(__xludf.DUMMYFUNCTION("""COMPUTED_VALUE"""),45949.046168557434)</f>
        <v>45949.04617</v>
      </c>
      <c r="K1496" s="15">
        <f>IFERROR(__xludf.DUMMYFUNCTION("""COMPUTED_VALUE"""),45949.2822176694)</f>
        <v>45949.28222</v>
      </c>
      <c r="L1496" s="4"/>
    </row>
    <row r="1497">
      <c r="A1497" s="1">
        <f>IFERROR(__xludf.DUMMYFUNCTION("""COMPUTED_VALUE"""),1496.0)</f>
        <v>1496</v>
      </c>
      <c r="B1497" s="1">
        <f>IFERROR(__xludf.DUMMYFUNCTION("""COMPUTED_VALUE"""),5986.0)</f>
        <v>5986</v>
      </c>
      <c r="C1497" s="2" t="str">
        <f>IFERROR(__xludf.DUMMYFUNCTION("""COMPUTED_VALUE"""),"Helda")</f>
        <v>Helda</v>
      </c>
      <c r="D1497" s="2" t="str">
        <f>IFERROR(__xludf.DUMMYFUNCTION("""COMPUTED_VALUE"""),"5KM OVERALL F")</f>
        <v>5KM OVERALL F</v>
      </c>
      <c r="E1497" s="1">
        <f>IFERROR(__xludf.DUMMYFUNCTION("""COMPUTED_VALUE"""),448.0)</f>
        <v>448</v>
      </c>
      <c r="F1497" s="1" t="str">
        <f>IFERROR(__xludf.DUMMYFUNCTION("""COMPUTED_VALUE"""),"Female")</f>
        <v>Female</v>
      </c>
      <c r="G1497" s="5">
        <f>IFERROR(__xludf.DUMMYFUNCTION("""COMPUTED_VALUE"""),0.0092371875)</f>
        <v>0.0092371875</v>
      </c>
      <c r="H1497" s="15">
        <f>IFERROR(__xludf.DUMMYFUNCTION("""COMPUTED_VALUE"""),0.2549440625)</f>
        <v>0.2549440625</v>
      </c>
      <c r="I1497" s="15">
        <f>IFERROR(__xludf.DUMMYFUNCTION("""COMPUTED_VALUE"""),45949.30113000414)</f>
        <v>45949.30113</v>
      </c>
      <c r="J1497" s="15">
        <f>IFERROR(__xludf.DUMMYFUNCTION("""COMPUTED_VALUE"""),45949.04618594164)</f>
        <v>45949.04619</v>
      </c>
      <c r="K1497" s="15">
        <f>IFERROR(__xludf.DUMMYFUNCTION("""COMPUTED_VALUE"""),45949.28159265703)</f>
        <v>45949.28159</v>
      </c>
      <c r="L1497" s="4"/>
    </row>
    <row r="1498">
      <c r="A1498" s="1">
        <f>IFERROR(__xludf.DUMMYFUNCTION("""COMPUTED_VALUE"""),1497.0)</f>
        <v>1497</v>
      </c>
      <c r="B1498" s="1">
        <f>IFERROR(__xludf.DUMMYFUNCTION("""COMPUTED_VALUE"""),5146.0)</f>
        <v>5146</v>
      </c>
      <c r="C1498" s="2" t="str">
        <f>IFERROR(__xludf.DUMMYFUNCTION("""COMPUTED_VALUE"""),"mubarak")</f>
        <v>mubarak</v>
      </c>
      <c r="D1498" s="2" t="str">
        <f>IFERROR(__xludf.DUMMYFUNCTION("""COMPUTED_VALUE"""),"5KM OVERALL M")</f>
        <v>5KM OVERALL M</v>
      </c>
      <c r="E1498" s="1">
        <f>IFERROR(__xludf.DUMMYFUNCTION("""COMPUTED_VALUE"""),811.0)</f>
        <v>811</v>
      </c>
      <c r="F1498" s="1" t="str">
        <f>IFERROR(__xludf.DUMMYFUNCTION("""COMPUTED_VALUE"""),"Male")</f>
        <v>Male</v>
      </c>
      <c r="G1498" s="5">
        <f>IFERROR(__xludf.DUMMYFUNCTION("""COMPUTED_VALUE"""),0.009240666666666666)</f>
        <v>0.009240666667</v>
      </c>
      <c r="H1498" s="15">
        <f>IFERROR(__xludf.DUMMYFUNCTION("""COMPUTED_VALUE"""),0.2549440625)</f>
        <v>0.2549440625</v>
      </c>
      <c r="I1498" s="15">
        <f>IFERROR(__xludf.DUMMYFUNCTION("""COMPUTED_VALUE"""),45949.30114739383)</f>
        <v>45949.30115</v>
      </c>
      <c r="J1498" s="15">
        <f>IFERROR(__xludf.DUMMYFUNCTION("""COMPUTED_VALUE"""),45949.04620333133)</f>
        <v>45949.0462</v>
      </c>
      <c r="K1498" s="15">
        <f>IFERROR(__xludf.DUMMYFUNCTION("""COMPUTED_VALUE"""),45949.28112744022)</f>
        <v>45949.28113</v>
      </c>
      <c r="L1498" s="4"/>
    </row>
    <row r="1499">
      <c r="A1499" s="1">
        <f>IFERROR(__xludf.DUMMYFUNCTION("""COMPUTED_VALUE"""),1498.0)</f>
        <v>1498</v>
      </c>
      <c r="B1499" s="1">
        <f>IFERROR(__xludf.DUMMYFUNCTION("""COMPUTED_VALUE"""),6452.0)</f>
        <v>6452</v>
      </c>
      <c r="C1499" s="2" t="str">
        <f>IFERROR(__xludf.DUMMYFUNCTION("""COMPUTED_VALUE"""),"-")</f>
        <v>-</v>
      </c>
      <c r="D1499" s="2" t="str">
        <f>IFERROR(__xludf.DUMMYFUNCTION("""COMPUTED_VALUE"""),"5KM OVERALL M")</f>
        <v>5KM OVERALL M</v>
      </c>
      <c r="E1499" s="1">
        <f>IFERROR(__xludf.DUMMYFUNCTION("""COMPUTED_VALUE"""),812.0)</f>
        <v>812</v>
      </c>
      <c r="F1499" s="1" t="str">
        <f>IFERROR(__xludf.DUMMYFUNCTION("""COMPUTED_VALUE"""),"Male")</f>
        <v>Male</v>
      </c>
      <c r="G1499" s="5">
        <f>IFERROR(__xludf.DUMMYFUNCTION("""COMPUTED_VALUE"""),0.009245530092592592)</f>
        <v>0.009245530093</v>
      </c>
      <c r="H1499" s="15">
        <f>IFERROR(__xludf.DUMMYFUNCTION("""COMPUTED_VALUE"""),0.2549440625)</f>
        <v>0.2549440625</v>
      </c>
      <c r="I1499" s="15">
        <f>IFERROR(__xludf.DUMMYFUNCTION("""COMPUTED_VALUE"""),45949.30117170902)</f>
        <v>45949.30117</v>
      </c>
      <c r="J1499" s="15">
        <f>IFERROR(__xludf.DUMMYFUNCTION("""COMPUTED_VALUE"""),45949.04622764652)</f>
        <v>45949.04623</v>
      </c>
      <c r="K1499" s="15">
        <f>IFERROR(__xludf.DUMMYFUNCTION("""COMPUTED_VALUE"""),45949.28220724419)</f>
        <v>45949.28221</v>
      </c>
      <c r="L1499" s="4"/>
    </row>
    <row r="1500">
      <c r="A1500" s="1">
        <f>IFERROR(__xludf.DUMMYFUNCTION("""COMPUTED_VALUE"""),1499.0)</f>
        <v>1499</v>
      </c>
      <c r="B1500" s="1">
        <f>IFERROR(__xludf.DUMMYFUNCTION("""COMPUTED_VALUE"""),6001.0)</f>
        <v>6001</v>
      </c>
      <c r="C1500" s="2" t="str">
        <f>IFERROR(__xludf.DUMMYFUNCTION("""COMPUTED_VALUE"""),"Bambang")</f>
        <v>Bambang</v>
      </c>
      <c r="D1500" s="2" t="str">
        <f>IFERROR(__xludf.DUMMYFUNCTION("""COMPUTED_VALUE"""),"5KM OVERALL M")</f>
        <v>5KM OVERALL M</v>
      </c>
      <c r="E1500" s="1">
        <f>IFERROR(__xludf.DUMMYFUNCTION("""COMPUTED_VALUE"""),813.0)</f>
        <v>813</v>
      </c>
      <c r="F1500" s="1" t="str">
        <f>IFERROR(__xludf.DUMMYFUNCTION("""COMPUTED_VALUE"""),"Male")</f>
        <v>Male</v>
      </c>
      <c r="G1500" s="5">
        <f>IFERROR(__xludf.DUMMYFUNCTION("""COMPUTED_VALUE"""),0.009245530092592592)</f>
        <v>0.009245530093</v>
      </c>
      <c r="H1500" s="15">
        <f>IFERROR(__xludf.DUMMYFUNCTION("""COMPUTED_VALUE"""),0.2549440625)</f>
        <v>0.2549440625</v>
      </c>
      <c r="I1500" s="15">
        <f>IFERROR(__xludf.DUMMYFUNCTION("""COMPUTED_VALUE"""),45949.30117170902)</f>
        <v>45949.30117</v>
      </c>
      <c r="J1500" s="15">
        <f>IFERROR(__xludf.DUMMYFUNCTION("""COMPUTED_VALUE"""),45949.04622764652)</f>
        <v>45949.04623</v>
      </c>
      <c r="K1500" s="15">
        <f>IFERROR(__xludf.DUMMYFUNCTION("""COMPUTED_VALUE"""),45949.2816551702)</f>
        <v>45949.28166</v>
      </c>
      <c r="L1500" s="4"/>
    </row>
    <row r="1501">
      <c r="A1501" s="1">
        <f>IFERROR(__xludf.DUMMYFUNCTION("""COMPUTED_VALUE"""),1500.0)</f>
        <v>1500</v>
      </c>
      <c r="B1501" s="1">
        <f>IFERROR(__xludf.DUMMYFUNCTION("""COMPUTED_VALUE"""),5375.0)</f>
        <v>5375</v>
      </c>
      <c r="C1501" s="2" t="str">
        <f>IFERROR(__xludf.DUMMYFUNCTION("""COMPUTED_VALUE"""),"Theresia")</f>
        <v>Theresia</v>
      </c>
      <c r="D1501" s="2" t="str">
        <f>IFERROR(__xludf.DUMMYFUNCTION("""COMPUTED_VALUE"""),"5KM OVERALL F")</f>
        <v>5KM OVERALL F</v>
      </c>
      <c r="E1501" s="1">
        <f>IFERROR(__xludf.DUMMYFUNCTION("""COMPUTED_VALUE"""),449.0)</f>
        <v>449</v>
      </c>
      <c r="F1501" s="1" t="str">
        <f>IFERROR(__xludf.DUMMYFUNCTION("""COMPUTED_VALUE"""),"Female")</f>
        <v>Female</v>
      </c>
      <c r="G1501" s="5">
        <f>IFERROR(__xludf.DUMMYFUNCTION("""COMPUTED_VALUE"""),0.009249)</f>
        <v>0.009249</v>
      </c>
      <c r="H1501" s="15">
        <f>IFERROR(__xludf.DUMMYFUNCTION("""COMPUTED_VALUE"""),0.2549440625)</f>
        <v>0.2549440625</v>
      </c>
      <c r="I1501" s="15">
        <f>IFERROR(__xludf.DUMMYFUNCTION("""COMPUTED_VALUE"""),45949.301189060876)</f>
        <v>45949.30119</v>
      </c>
      <c r="J1501" s="15">
        <f>IFERROR(__xludf.DUMMYFUNCTION("""COMPUTED_VALUE"""),45949.046244998375)</f>
        <v>45949.04624</v>
      </c>
      <c r="K1501" s="15">
        <f>IFERROR(__xludf.DUMMYFUNCTION("""COMPUTED_VALUE"""),45949.281707294525)</f>
        <v>45949.28171</v>
      </c>
      <c r="L1501" s="4"/>
    </row>
    <row r="1502">
      <c r="A1502" s="1">
        <f>IFERROR(__xludf.DUMMYFUNCTION("""COMPUTED_VALUE"""),1501.0)</f>
        <v>1501</v>
      </c>
      <c r="B1502" s="1">
        <f>IFERROR(__xludf.DUMMYFUNCTION("""COMPUTED_VALUE"""),5275.0)</f>
        <v>5275</v>
      </c>
      <c r="C1502" s="2" t="str">
        <f>IFERROR(__xludf.DUMMYFUNCTION("""COMPUTED_VALUE"""),"Binta Rizqi")</f>
        <v>Binta Rizqi</v>
      </c>
      <c r="D1502" s="2" t="str">
        <f>IFERROR(__xludf.DUMMYFUNCTION("""COMPUTED_VALUE"""),"5KM OVERALL F")</f>
        <v>5KM OVERALL F</v>
      </c>
      <c r="E1502" s="1">
        <f>IFERROR(__xludf.DUMMYFUNCTION("""COMPUTED_VALUE"""),450.0)</f>
        <v>450</v>
      </c>
      <c r="F1502" s="1" t="str">
        <f>IFERROR(__xludf.DUMMYFUNCTION("""COMPUTED_VALUE"""),"Female")</f>
        <v>Female</v>
      </c>
      <c r="G1502" s="5">
        <f>IFERROR(__xludf.DUMMYFUNCTION("""COMPUTED_VALUE"""),0.009253173611111111)</f>
        <v>0.009253173611</v>
      </c>
      <c r="H1502" s="15">
        <f>IFERROR(__xludf.DUMMYFUNCTION("""COMPUTED_VALUE"""),0.2549440625)</f>
        <v>0.2549440625</v>
      </c>
      <c r="I1502" s="15">
        <f>IFERROR(__xludf.DUMMYFUNCTION("""COMPUTED_VALUE"""),45949.301209927435)</f>
        <v>45949.30121</v>
      </c>
      <c r="J1502" s="15">
        <f>IFERROR(__xludf.DUMMYFUNCTION("""COMPUTED_VALUE"""),45949.046265864934)</f>
        <v>45949.04627</v>
      </c>
      <c r="K1502" s="15">
        <f>IFERROR(__xludf.DUMMYFUNCTION("""COMPUTED_VALUE"""),45949.28184619364)</f>
        <v>45949.28185</v>
      </c>
      <c r="L1502" s="4"/>
    </row>
    <row r="1503">
      <c r="A1503" s="1">
        <f>IFERROR(__xludf.DUMMYFUNCTION("""COMPUTED_VALUE"""),1502.0)</f>
        <v>1502</v>
      </c>
      <c r="B1503" s="1">
        <f>IFERROR(__xludf.DUMMYFUNCTION("""COMPUTED_VALUE"""),6587.0)</f>
        <v>6587</v>
      </c>
      <c r="C1503" s="2" t="str">
        <f>IFERROR(__xludf.DUMMYFUNCTION("""COMPUTED_VALUE"""),"Np Kalselteng")</f>
        <v>Np Kalselteng</v>
      </c>
      <c r="D1503" s="2" t="str">
        <f>IFERROR(__xludf.DUMMYFUNCTION("""COMPUTED_VALUE"""),"5KM OVERALL M")</f>
        <v>5KM OVERALL M</v>
      </c>
      <c r="E1503" s="1">
        <f>IFERROR(__xludf.DUMMYFUNCTION("""COMPUTED_VALUE"""),814.0)</f>
        <v>814</v>
      </c>
      <c r="F1503" s="1" t="str">
        <f>IFERROR(__xludf.DUMMYFUNCTION("""COMPUTED_VALUE"""),"Male")</f>
        <v>Male</v>
      </c>
      <c r="G1503" s="5">
        <f>IFERROR(__xludf.DUMMYFUNCTION("""COMPUTED_VALUE"""),0.009254557870370371)</f>
        <v>0.00925455787</v>
      </c>
      <c r="H1503" s="15">
        <f>IFERROR(__xludf.DUMMYFUNCTION("""COMPUTED_VALUE"""),0.2549440625)</f>
        <v>0.2549440625</v>
      </c>
      <c r="I1503" s="15">
        <f>IFERROR(__xludf.DUMMYFUNCTION("""COMPUTED_VALUE"""),45949.30121685544)</f>
        <v>45949.30122</v>
      </c>
      <c r="J1503" s="15">
        <f>IFERROR(__xludf.DUMMYFUNCTION("""COMPUTED_VALUE"""),45949.04627279294)</f>
        <v>45949.04627</v>
      </c>
      <c r="K1503" s="15">
        <f>IFERROR(__xludf.DUMMYFUNCTION("""COMPUTED_VALUE"""),45949.28188785116)</f>
        <v>45949.28189</v>
      </c>
      <c r="L1503" s="4"/>
    </row>
    <row r="1504">
      <c r="A1504" s="1">
        <f>IFERROR(__xludf.DUMMYFUNCTION("""COMPUTED_VALUE"""),1503.0)</f>
        <v>1503</v>
      </c>
      <c r="B1504" s="1">
        <f>IFERROR(__xludf.DUMMYFUNCTION("""COMPUTED_VALUE"""),5211.0)</f>
        <v>5211</v>
      </c>
      <c r="C1504" s="2" t="str">
        <f>IFERROR(__xludf.DUMMYFUNCTION("""COMPUTED_VALUE"""),"Hariyadi Utomo")</f>
        <v>Hariyadi Utomo</v>
      </c>
      <c r="D1504" s="2" t="str">
        <f>IFERROR(__xludf.DUMMYFUNCTION("""COMPUTED_VALUE"""),"5KM OVERALL M")</f>
        <v>5KM OVERALL M</v>
      </c>
      <c r="E1504" s="1">
        <f>IFERROR(__xludf.DUMMYFUNCTION("""COMPUTED_VALUE"""),815.0)</f>
        <v>815</v>
      </c>
      <c r="F1504" s="1" t="str">
        <f>IFERROR(__xludf.DUMMYFUNCTION("""COMPUTED_VALUE"""),"Male")</f>
        <v>Male</v>
      </c>
      <c r="G1504" s="5">
        <f>IFERROR(__xludf.DUMMYFUNCTION("""COMPUTED_VALUE"""),0.009260111111111111)</f>
        <v>0.009260111111</v>
      </c>
      <c r="H1504" s="15">
        <f>IFERROR(__xludf.DUMMYFUNCTION("""COMPUTED_VALUE"""),0.2549440625)</f>
        <v>0.2549440625</v>
      </c>
      <c r="I1504" s="15">
        <f>IFERROR(__xludf.DUMMYFUNCTION("""COMPUTED_VALUE"""),45949.30124461798)</f>
        <v>45949.30124</v>
      </c>
      <c r="J1504" s="15">
        <f>IFERROR(__xludf.DUMMYFUNCTION("""COMPUTED_VALUE"""),45949.04630055548)</f>
        <v>45949.0463</v>
      </c>
      <c r="K1504" s="15">
        <f>IFERROR(__xludf.DUMMYFUNCTION("""COMPUTED_VALUE"""),45949.28153021037)</f>
        <v>45949.28153</v>
      </c>
      <c r="L1504" s="4"/>
    </row>
    <row r="1505">
      <c r="A1505" s="1">
        <f>IFERROR(__xludf.DUMMYFUNCTION("""COMPUTED_VALUE"""),1504.0)</f>
        <v>1504</v>
      </c>
      <c r="B1505" s="7" t="str">
        <f>IFERROR(__xludf.DUMMYFUNCTION("""COMPUTED_VALUE"""),"7131")</f>
        <v>7131</v>
      </c>
      <c r="C1505" s="8" t="str">
        <f>IFERROR(__xludf.DUMMYFUNCTION("""COMPUTED_VALUE"""),"ROY")</f>
        <v>ROY</v>
      </c>
      <c r="D1505" s="2" t="str">
        <f>IFERROR(__xludf.DUMMYFUNCTION("""COMPUTED_VALUE"""),"5KM MASTER M")</f>
        <v>5KM MASTER M</v>
      </c>
      <c r="E1505" s="1">
        <f>IFERROR(__xludf.DUMMYFUNCTION("""COMPUTED_VALUE"""),101.0)</f>
        <v>101</v>
      </c>
      <c r="F1505" s="1" t="str">
        <f>IFERROR(__xludf.DUMMYFUNCTION("""COMPUTED_VALUE"""),"Male")</f>
        <v>Male</v>
      </c>
      <c r="G1505" s="5">
        <f>IFERROR(__xludf.DUMMYFUNCTION("""COMPUTED_VALUE"""),0.009262194444444444)</f>
        <v>0.009262194444</v>
      </c>
      <c r="H1505" s="15">
        <f>IFERROR(__xludf.DUMMYFUNCTION("""COMPUTED_VALUE"""),0.2549440625)</f>
        <v>0.2549440625</v>
      </c>
      <c r="I1505" s="15">
        <f>IFERROR(__xludf.DUMMYFUNCTION("""COMPUTED_VALUE"""),45949.30125503816)</f>
        <v>45949.30126</v>
      </c>
      <c r="J1505" s="15">
        <f>IFERROR(__xludf.DUMMYFUNCTION("""COMPUTED_VALUE"""),45949.04631097566)</f>
        <v>45949.04631</v>
      </c>
      <c r="K1505" s="15">
        <f>IFERROR(__xludf.DUMMYFUNCTION("""COMPUTED_VALUE"""),45949.28220726736)</f>
        <v>45949.28221</v>
      </c>
      <c r="L1505" s="4"/>
    </row>
    <row r="1506">
      <c r="A1506" s="1">
        <f>IFERROR(__xludf.DUMMYFUNCTION("""COMPUTED_VALUE"""),1505.0)</f>
        <v>1505</v>
      </c>
      <c r="B1506" s="1">
        <f>IFERROR(__xludf.DUMMYFUNCTION("""COMPUTED_VALUE"""),5212.0)</f>
        <v>5212</v>
      </c>
      <c r="C1506" s="2" t="str">
        <f>IFERROR(__xludf.DUMMYFUNCTION("""COMPUTED_VALUE"""),"Tio SM Bey Tambunan")</f>
        <v>Tio SM Bey Tambunan</v>
      </c>
      <c r="D1506" s="2" t="str">
        <f>IFERROR(__xludf.DUMMYFUNCTION("""COMPUTED_VALUE"""),"5KM OVERALL F")</f>
        <v>5KM OVERALL F</v>
      </c>
      <c r="E1506" s="1">
        <f>IFERROR(__xludf.DUMMYFUNCTION("""COMPUTED_VALUE"""),451.0)</f>
        <v>451</v>
      </c>
      <c r="F1506" s="1" t="str">
        <f>IFERROR(__xludf.DUMMYFUNCTION("""COMPUTED_VALUE"""),"Female")</f>
        <v>Female</v>
      </c>
      <c r="G1506" s="5">
        <f>IFERROR(__xludf.DUMMYFUNCTION("""COMPUTED_VALUE"""),0.009265671296296296)</f>
        <v>0.009265671296</v>
      </c>
      <c r="H1506" s="15">
        <f>IFERROR(__xludf.DUMMYFUNCTION("""COMPUTED_VALUE"""),0.2549440625)</f>
        <v>0.2549440625</v>
      </c>
      <c r="I1506" s="15">
        <f>IFERROR(__xludf.DUMMYFUNCTION("""COMPUTED_VALUE"""),45949.30127241836)</f>
        <v>45949.30127</v>
      </c>
      <c r="J1506" s="15">
        <f>IFERROR(__xludf.DUMMYFUNCTION("""COMPUTED_VALUE"""),45949.04632835586)</f>
        <v>45949.04633</v>
      </c>
      <c r="K1506" s="15">
        <f>IFERROR(__xludf.DUMMYFUNCTION("""COMPUTED_VALUE"""),45949.28156491231)</f>
        <v>45949.28156</v>
      </c>
      <c r="L1506" s="4"/>
    </row>
    <row r="1507">
      <c r="A1507" s="1">
        <f>IFERROR(__xludf.DUMMYFUNCTION("""COMPUTED_VALUE"""),1506.0)</f>
        <v>1506</v>
      </c>
      <c r="B1507" s="1">
        <f>IFERROR(__xludf.DUMMYFUNCTION("""COMPUTED_VALUE"""),5320.0)</f>
        <v>5320</v>
      </c>
      <c r="C1507" s="2" t="str">
        <f>IFERROR(__xludf.DUMMYFUNCTION("""COMPUTED_VALUE"""),"ifa")</f>
        <v>ifa</v>
      </c>
      <c r="D1507" s="2" t="str">
        <f>IFERROR(__xludf.DUMMYFUNCTION("""COMPUTED_VALUE"""),"5KM OVERALL F")</f>
        <v>5KM OVERALL F</v>
      </c>
      <c r="E1507" s="1">
        <f>IFERROR(__xludf.DUMMYFUNCTION("""COMPUTED_VALUE"""),452.0)</f>
        <v>452</v>
      </c>
      <c r="F1507" s="1" t="str">
        <f>IFERROR(__xludf.DUMMYFUNCTION("""COMPUTED_VALUE"""),"Female")</f>
        <v>Female</v>
      </c>
      <c r="G1507" s="5">
        <f>IFERROR(__xludf.DUMMYFUNCTION("""COMPUTED_VALUE"""),0.009273305555555555)</f>
        <v>0.009273305556</v>
      </c>
      <c r="H1507" s="15">
        <f>IFERROR(__xludf.DUMMYFUNCTION("""COMPUTED_VALUE"""),0.2549440625)</f>
        <v>0.2549440625</v>
      </c>
      <c r="I1507" s="15">
        <f>IFERROR(__xludf.DUMMYFUNCTION("""COMPUTED_VALUE"""),45949.301310593764)</f>
        <v>45949.30131</v>
      </c>
      <c r="J1507" s="15">
        <f>IFERROR(__xludf.DUMMYFUNCTION("""COMPUTED_VALUE"""),45949.04636653126)</f>
        <v>45949.04637</v>
      </c>
      <c r="K1507" s="15">
        <f>IFERROR(__xludf.DUMMYFUNCTION("""COMPUTED_VALUE"""),45949.28121774721)</f>
        <v>45949.28122</v>
      </c>
      <c r="L1507" s="4"/>
    </row>
    <row r="1508">
      <c r="A1508" s="1">
        <f>IFERROR(__xludf.DUMMYFUNCTION("""COMPUTED_VALUE"""),1507.0)</f>
        <v>1507</v>
      </c>
      <c r="B1508" s="1">
        <f>IFERROR(__xludf.DUMMYFUNCTION("""COMPUTED_VALUE"""),5335.0)</f>
        <v>5335</v>
      </c>
      <c r="C1508" s="2" t="str">
        <f>IFERROR(__xludf.DUMMYFUNCTION("""COMPUTED_VALUE"""),"SPY")</f>
        <v>SPY</v>
      </c>
      <c r="D1508" s="2" t="str">
        <f>IFERROR(__xludf.DUMMYFUNCTION("""COMPUTED_VALUE"""),"5KM OVERALL F")</f>
        <v>5KM OVERALL F</v>
      </c>
      <c r="E1508" s="1">
        <f>IFERROR(__xludf.DUMMYFUNCTION("""COMPUTED_VALUE"""),453.0)</f>
        <v>453</v>
      </c>
      <c r="F1508" s="1" t="str">
        <f>IFERROR(__xludf.DUMMYFUNCTION("""COMPUTED_VALUE"""),"Female")</f>
        <v>Female</v>
      </c>
      <c r="G1508" s="5">
        <f>IFERROR(__xludf.DUMMYFUNCTION("""COMPUTED_VALUE"""),0.009276152777777777)</f>
        <v>0.009276152778</v>
      </c>
      <c r="H1508" s="15">
        <f>IFERROR(__xludf.DUMMYFUNCTION("""COMPUTED_VALUE"""),0.2549440625)</f>
        <v>0.2549440625</v>
      </c>
      <c r="I1508" s="15">
        <f>IFERROR(__xludf.DUMMYFUNCTION("""COMPUTED_VALUE"""),45949.30132482865)</f>
        <v>45949.30132</v>
      </c>
      <c r="J1508" s="15">
        <f>IFERROR(__xludf.DUMMYFUNCTION("""COMPUTED_VALUE"""),45949.04638076615)</f>
        <v>45949.04638</v>
      </c>
      <c r="K1508" s="15">
        <f>IFERROR(__xludf.DUMMYFUNCTION("""COMPUTED_VALUE"""),45949.28125933466)</f>
        <v>45949.28126</v>
      </c>
      <c r="L1508" s="4"/>
    </row>
    <row r="1509">
      <c r="A1509" s="1">
        <f>IFERROR(__xludf.DUMMYFUNCTION("""COMPUTED_VALUE"""),1508.0)</f>
        <v>1508</v>
      </c>
      <c r="B1509" s="1">
        <f>IFERROR(__xludf.DUMMYFUNCTION("""COMPUTED_VALUE"""),6413.0)</f>
        <v>6413</v>
      </c>
      <c r="C1509" s="2" t="str">
        <f>IFERROR(__xludf.DUMMYFUNCTION("""COMPUTED_VALUE"""),"Gyn")</f>
        <v>Gyn</v>
      </c>
      <c r="D1509" s="2" t="str">
        <f>IFERROR(__xludf.DUMMYFUNCTION("""COMPUTED_VALUE"""),"5KM OVERALL F")</f>
        <v>5KM OVERALL F</v>
      </c>
      <c r="E1509" s="1">
        <f>IFERROR(__xludf.DUMMYFUNCTION("""COMPUTED_VALUE"""),454.0)</f>
        <v>454</v>
      </c>
      <c r="F1509" s="1" t="str">
        <f>IFERROR(__xludf.DUMMYFUNCTION("""COMPUTED_VALUE"""),"Female")</f>
        <v>Female</v>
      </c>
      <c r="G1509" s="5">
        <f>IFERROR(__xludf.DUMMYFUNCTION("""COMPUTED_VALUE"""),0.009326916666666667)</f>
        <v>0.009326916667</v>
      </c>
      <c r="H1509" s="15">
        <f>IFERROR(__xludf.DUMMYFUNCTION("""COMPUTED_VALUE"""),0.2549440625)</f>
        <v>0.2549440625</v>
      </c>
      <c r="I1509" s="15">
        <f>IFERROR(__xludf.DUMMYFUNCTION("""COMPUTED_VALUE"""),45949.301578650724)</f>
        <v>45949.30158</v>
      </c>
      <c r="J1509" s="15">
        <f>IFERROR(__xludf.DUMMYFUNCTION("""COMPUTED_VALUE"""),45949.04663458822)</f>
        <v>45949.04663</v>
      </c>
      <c r="K1509" s="15">
        <f>IFERROR(__xludf.DUMMYFUNCTION("""COMPUTED_VALUE"""),45949.28191210725)</f>
        <v>45949.28191</v>
      </c>
      <c r="L1509" s="4"/>
    </row>
    <row r="1510">
      <c r="A1510" s="1">
        <f>IFERROR(__xludf.DUMMYFUNCTION("""COMPUTED_VALUE"""),1509.0)</f>
        <v>1509</v>
      </c>
      <c r="B1510" s="1">
        <f>IFERROR(__xludf.DUMMYFUNCTION("""COMPUTED_VALUE"""),6137.0)</f>
        <v>6137</v>
      </c>
      <c r="C1510" s="2" t="str">
        <f>IFERROR(__xludf.DUMMYFUNCTION("""COMPUTED_VALUE"""),"Yosephnetan")</f>
        <v>Yosephnetan</v>
      </c>
      <c r="D1510" s="2" t="str">
        <f>IFERROR(__xludf.DUMMYFUNCTION("""COMPUTED_VALUE"""),"5KM OVERALL M")</f>
        <v>5KM OVERALL M</v>
      </c>
      <c r="E1510" s="1">
        <f>IFERROR(__xludf.DUMMYFUNCTION("""COMPUTED_VALUE"""),816.0)</f>
        <v>816</v>
      </c>
      <c r="F1510" s="1" t="str">
        <f>IFERROR(__xludf.DUMMYFUNCTION("""COMPUTED_VALUE"""),"Male")</f>
        <v>Male</v>
      </c>
      <c r="G1510" s="5">
        <f>IFERROR(__xludf.DUMMYFUNCTION("""COMPUTED_VALUE"""),0.009348305555555556)</f>
        <v>0.009348305556</v>
      </c>
      <c r="H1510" s="15">
        <f>IFERROR(__xludf.DUMMYFUNCTION("""COMPUTED_VALUE"""),0.2549440625)</f>
        <v>0.2549440625</v>
      </c>
      <c r="I1510" s="15">
        <f>IFERROR(__xludf.DUMMYFUNCTION("""COMPUTED_VALUE"""),45949.30168558615)</f>
        <v>45949.30169</v>
      </c>
      <c r="J1510" s="15">
        <f>IFERROR(__xludf.DUMMYFUNCTION("""COMPUTED_VALUE"""),45949.04674152365)</f>
        <v>45949.04674</v>
      </c>
      <c r="K1510" s="15">
        <f>IFERROR(__xludf.DUMMYFUNCTION("""COMPUTED_VALUE"""),45949.28484613092)</f>
        <v>45949.28485</v>
      </c>
      <c r="L1510" s="4"/>
    </row>
    <row r="1511">
      <c r="A1511" s="1">
        <f>IFERROR(__xludf.DUMMYFUNCTION("""COMPUTED_VALUE"""),1510.0)</f>
        <v>1510</v>
      </c>
      <c r="B1511" s="1">
        <f>IFERROR(__xludf.DUMMYFUNCTION("""COMPUTED_VALUE"""),6543.0)</f>
        <v>6543</v>
      </c>
      <c r="C1511" s="2" t="str">
        <f>IFERROR(__xludf.DUMMYFUNCTION("""COMPUTED_VALUE"""),"MUSLIHAH")</f>
        <v>MUSLIHAH</v>
      </c>
      <c r="D1511" s="2" t="str">
        <f>IFERROR(__xludf.DUMMYFUNCTION("""COMPUTED_VALUE"""),"5KM OVERALL M")</f>
        <v>5KM OVERALL M</v>
      </c>
      <c r="E1511" s="1">
        <f>IFERROR(__xludf.DUMMYFUNCTION("""COMPUTED_VALUE"""),817.0)</f>
        <v>817</v>
      </c>
      <c r="F1511" s="1" t="str">
        <f>IFERROR(__xludf.DUMMYFUNCTION("""COMPUTED_VALUE"""),"Male")</f>
        <v>Male</v>
      </c>
      <c r="G1511" s="5">
        <f>IFERROR(__xludf.DUMMYFUNCTION("""COMPUTED_VALUE"""),0.009389972222222221)</f>
        <v>0.009389972222</v>
      </c>
      <c r="H1511" s="15">
        <f>IFERROR(__xludf.DUMMYFUNCTION("""COMPUTED_VALUE"""),0.2549440625)</f>
        <v>0.2549440625</v>
      </c>
      <c r="I1511" s="15">
        <f>IFERROR(__xludf.DUMMYFUNCTION("""COMPUTED_VALUE"""),45949.30189392152)</f>
        <v>45949.30189</v>
      </c>
      <c r="J1511" s="15">
        <f>IFERROR(__xludf.DUMMYFUNCTION("""COMPUTED_VALUE"""),45949.04694985902)</f>
        <v>45949.04695</v>
      </c>
      <c r="K1511" s="15">
        <f>IFERROR(__xludf.DUMMYFUNCTION("""COMPUTED_VALUE"""),45949.28073850353)</f>
        <v>45949.28074</v>
      </c>
      <c r="L1511" s="4"/>
    </row>
    <row r="1512">
      <c r="A1512" s="1">
        <f>IFERROR(__xludf.DUMMYFUNCTION("""COMPUTED_VALUE"""),1511.0)</f>
        <v>1511</v>
      </c>
      <c r="B1512" s="1">
        <f>IFERROR(__xludf.DUMMYFUNCTION("""COMPUTED_VALUE"""),5047.0)</f>
        <v>5047</v>
      </c>
      <c r="C1512" s="2" t="str">
        <f>IFERROR(__xludf.DUMMYFUNCTION("""COMPUTED_VALUE"""),"Zahraazhafiraa")</f>
        <v>Zahraazhafiraa</v>
      </c>
      <c r="D1512" s="2" t="str">
        <f>IFERROR(__xludf.DUMMYFUNCTION("""COMPUTED_VALUE"""),"5KM OVERALL F")</f>
        <v>5KM OVERALL F</v>
      </c>
      <c r="E1512" s="1">
        <f>IFERROR(__xludf.DUMMYFUNCTION("""COMPUTED_VALUE"""),455.0)</f>
        <v>455</v>
      </c>
      <c r="F1512" s="1" t="str">
        <f>IFERROR(__xludf.DUMMYFUNCTION("""COMPUTED_VALUE"""),"Female")</f>
        <v>Female</v>
      </c>
      <c r="G1512" s="5">
        <f>IFERROR(__xludf.DUMMYFUNCTION("""COMPUTED_VALUE"""),0.009392891203703704)</f>
        <v>0.009392891204</v>
      </c>
      <c r="H1512" s="15">
        <f>IFERROR(__xludf.DUMMYFUNCTION("""COMPUTED_VALUE"""),0.2549440625)</f>
        <v>0.2549440625</v>
      </c>
      <c r="I1512" s="15">
        <f>IFERROR(__xludf.DUMMYFUNCTION("""COMPUTED_VALUE"""),45949.30190851768)</f>
        <v>45949.30191</v>
      </c>
      <c r="J1512" s="15">
        <f>IFERROR(__xludf.DUMMYFUNCTION("""COMPUTED_VALUE"""),45949.04696445518)</f>
        <v>45949.04696</v>
      </c>
      <c r="K1512" s="15">
        <f>IFERROR(__xludf.DUMMYFUNCTION("""COMPUTED_VALUE"""),45949.28349891868)</f>
        <v>45949.2835</v>
      </c>
      <c r="L1512" s="4"/>
    </row>
    <row r="1513">
      <c r="A1513" s="1">
        <f>IFERROR(__xludf.DUMMYFUNCTION("""COMPUTED_VALUE"""),1512.0)</f>
        <v>1512</v>
      </c>
      <c r="B1513" s="1">
        <f>IFERROR(__xludf.DUMMYFUNCTION("""COMPUTED_VALUE"""),6427.0)</f>
        <v>6427</v>
      </c>
      <c r="C1513" s="2" t="str">
        <f>IFERROR(__xludf.DUMMYFUNCTION("""COMPUTED_VALUE"""),"SHELVIA RIASTUTI")</f>
        <v>SHELVIA RIASTUTI</v>
      </c>
      <c r="D1513" s="2" t="str">
        <f>IFERROR(__xludf.DUMMYFUNCTION("""COMPUTED_VALUE"""),"5KM OVERALL F")</f>
        <v>5KM OVERALL F</v>
      </c>
      <c r="E1513" s="1">
        <f>IFERROR(__xludf.DUMMYFUNCTION("""COMPUTED_VALUE"""),456.0)</f>
        <v>456</v>
      </c>
      <c r="F1513" s="1" t="str">
        <f>IFERROR(__xludf.DUMMYFUNCTION("""COMPUTED_VALUE"""),"Female")</f>
        <v>Female</v>
      </c>
      <c r="G1513" s="5">
        <f>IFERROR(__xludf.DUMMYFUNCTION("""COMPUTED_VALUE"""),0.009396291666666666)</f>
        <v>0.009396291667</v>
      </c>
      <c r="H1513" s="15">
        <f>IFERROR(__xludf.DUMMYFUNCTION("""COMPUTED_VALUE"""),0.2549440625)</f>
        <v>0.2549440625</v>
      </c>
      <c r="I1513" s="15">
        <f>IFERROR(__xludf.DUMMYFUNCTION("""COMPUTED_VALUE"""),45949.301925519205)</f>
        <v>45949.30193</v>
      </c>
      <c r="J1513" s="15">
        <f>IFERROR(__xludf.DUMMYFUNCTION("""COMPUTED_VALUE"""),45949.046981456704)</f>
        <v>45949.04698</v>
      </c>
      <c r="K1513" s="15">
        <f>IFERROR(__xludf.DUMMYFUNCTION("""COMPUTED_VALUE"""),45949.281287175756)</f>
        <v>45949.28129</v>
      </c>
      <c r="L1513" s="4"/>
    </row>
    <row r="1514">
      <c r="A1514" s="1">
        <f>IFERROR(__xludf.DUMMYFUNCTION("""COMPUTED_VALUE"""),1513.0)</f>
        <v>1513</v>
      </c>
      <c r="B1514" s="1">
        <f>IFERROR(__xludf.DUMMYFUNCTION("""COMPUTED_VALUE"""),6426.0)</f>
        <v>6426</v>
      </c>
      <c r="C1514" s="2" t="str">
        <f>IFERROR(__xludf.DUMMYFUNCTION("""COMPUTED_VALUE"""),"RAUDHATUL JANNAH")</f>
        <v>RAUDHATUL JANNAH</v>
      </c>
      <c r="D1514" s="2" t="str">
        <f>IFERROR(__xludf.DUMMYFUNCTION("""COMPUTED_VALUE"""),"5KM OVERALL F")</f>
        <v>5KM OVERALL F</v>
      </c>
      <c r="E1514" s="1">
        <f>IFERROR(__xludf.DUMMYFUNCTION("""COMPUTED_VALUE"""),457.0)</f>
        <v>457</v>
      </c>
      <c r="F1514" s="1" t="str">
        <f>IFERROR(__xludf.DUMMYFUNCTION("""COMPUTED_VALUE"""),"Female")</f>
        <v>Female</v>
      </c>
      <c r="G1514" s="5">
        <f>IFERROR(__xludf.DUMMYFUNCTION("""COMPUTED_VALUE"""),0.009396916666666666)</f>
        <v>0.009396916667</v>
      </c>
      <c r="H1514" s="15">
        <f>IFERROR(__xludf.DUMMYFUNCTION("""COMPUTED_VALUE"""),0.2549440625)</f>
        <v>0.2549440625</v>
      </c>
      <c r="I1514" s="15">
        <f>IFERROR(__xludf.DUMMYFUNCTION("""COMPUTED_VALUE"""),45949.30192864641)</f>
        <v>45949.30193</v>
      </c>
      <c r="J1514" s="15">
        <f>IFERROR(__xludf.DUMMYFUNCTION("""COMPUTED_VALUE"""),45949.04698458391)</f>
        <v>45949.04698</v>
      </c>
      <c r="K1514" s="15">
        <f>IFERROR(__xludf.DUMMYFUNCTION("""COMPUTED_VALUE"""),45949.2811898951)</f>
        <v>45949.28119</v>
      </c>
      <c r="L1514" s="4"/>
    </row>
    <row r="1515">
      <c r="A1515" s="1">
        <f>IFERROR(__xludf.DUMMYFUNCTION("""COMPUTED_VALUE"""),1514.0)</f>
        <v>1514</v>
      </c>
      <c r="B1515" s="1">
        <f>IFERROR(__xludf.DUMMYFUNCTION("""COMPUTED_VALUE"""),6204.0)</f>
        <v>6204</v>
      </c>
      <c r="C1515" s="2" t="str">
        <f>IFERROR(__xludf.DUMMYFUNCTION("""COMPUTED_VALUE"""),"Siti Syahrinawati")</f>
        <v>Siti Syahrinawati</v>
      </c>
      <c r="D1515" s="2" t="str">
        <f>IFERROR(__xludf.DUMMYFUNCTION("""COMPUTED_VALUE"""),"5KM OVERALL F")</f>
        <v>5KM OVERALL F</v>
      </c>
      <c r="E1515" s="1">
        <f>IFERROR(__xludf.DUMMYFUNCTION("""COMPUTED_VALUE"""),458.0)</f>
        <v>458</v>
      </c>
      <c r="F1515" s="1" t="str">
        <f>IFERROR(__xludf.DUMMYFUNCTION("""COMPUTED_VALUE"""),"Female")</f>
        <v>Female</v>
      </c>
      <c r="G1515" s="5">
        <f>IFERROR(__xludf.DUMMYFUNCTION("""COMPUTED_VALUE"""),0.009396918981481482)</f>
        <v>0.009396918981</v>
      </c>
      <c r="H1515" s="15">
        <f>IFERROR(__xludf.DUMMYFUNCTION("""COMPUTED_VALUE"""),0.2549440625)</f>
        <v>0.2549440625</v>
      </c>
      <c r="I1515" s="15">
        <f>IFERROR(__xludf.DUMMYFUNCTION("""COMPUTED_VALUE"""),45949.30192865979)</f>
        <v>45949.30193</v>
      </c>
      <c r="J1515" s="15">
        <f>IFERROR(__xludf.DUMMYFUNCTION("""COMPUTED_VALUE"""),45949.04698459729)</f>
        <v>45949.04698</v>
      </c>
      <c r="K1515" s="15">
        <f>IFERROR(__xludf.DUMMYFUNCTION("""COMPUTED_VALUE"""),45949.28270123027)</f>
        <v>45949.2827</v>
      </c>
      <c r="L1515" s="4"/>
    </row>
    <row r="1516">
      <c r="A1516" s="1">
        <f>IFERROR(__xludf.DUMMYFUNCTION("""COMPUTED_VALUE"""),1515.0)</f>
        <v>1515</v>
      </c>
      <c r="B1516" s="1">
        <f>IFERROR(__xludf.DUMMYFUNCTION("""COMPUTED_VALUE"""),6425.0)</f>
        <v>6425</v>
      </c>
      <c r="C1516" s="2" t="str">
        <f>IFERROR(__xludf.DUMMYFUNCTION("""COMPUTED_VALUE"""),"REVA TAZKIA HERWINDA")</f>
        <v>REVA TAZKIA HERWINDA</v>
      </c>
      <c r="D1516" s="2" t="str">
        <f>IFERROR(__xludf.DUMMYFUNCTION("""COMPUTED_VALUE"""),"5KM OVERALL F")</f>
        <v>5KM OVERALL F</v>
      </c>
      <c r="E1516" s="1">
        <f>IFERROR(__xludf.DUMMYFUNCTION("""COMPUTED_VALUE"""),459.0)</f>
        <v>459</v>
      </c>
      <c r="F1516" s="1" t="str">
        <f>IFERROR(__xludf.DUMMYFUNCTION("""COMPUTED_VALUE"""),"Female")</f>
        <v>Female</v>
      </c>
      <c r="G1516" s="5">
        <f>IFERROR(__xludf.DUMMYFUNCTION("""COMPUTED_VALUE"""),0.009399000000000001)</f>
        <v>0.009399</v>
      </c>
      <c r="H1516" s="15">
        <f>IFERROR(__xludf.DUMMYFUNCTION("""COMPUTED_VALUE"""),0.2549440625)</f>
        <v>0.2549440625</v>
      </c>
      <c r="I1516" s="15">
        <f>IFERROR(__xludf.DUMMYFUNCTION("""COMPUTED_VALUE"""),45949.301939065044)</f>
        <v>45949.30194</v>
      </c>
      <c r="J1516" s="15">
        <f>IFERROR(__xludf.DUMMYFUNCTION("""COMPUTED_VALUE"""),45949.04699500254)</f>
        <v>45949.047</v>
      </c>
      <c r="K1516" s="15">
        <f>IFERROR(__xludf.DUMMYFUNCTION("""COMPUTED_VALUE"""),45949.281269800456)</f>
        <v>45949.28127</v>
      </c>
      <c r="L1516" s="4"/>
    </row>
    <row r="1517">
      <c r="A1517" s="1">
        <f>IFERROR(__xludf.DUMMYFUNCTION("""COMPUTED_VALUE"""),1516.0)</f>
        <v>1516</v>
      </c>
      <c r="B1517" s="1">
        <f>IFERROR(__xludf.DUMMYFUNCTION("""COMPUTED_VALUE"""),5729.0)</f>
        <v>5729</v>
      </c>
      <c r="C1517" s="2" t="str">
        <f>IFERROR(__xludf.DUMMYFUNCTION("""COMPUTED_VALUE"""),"Fredelica")</f>
        <v>Fredelica</v>
      </c>
      <c r="D1517" s="2" t="str">
        <f>IFERROR(__xludf.DUMMYFUNCTION("""COMPUTED_VALUE"""),"5KM OVERALL F")</f>
        <v>5KM OVERALL F</v>
      </c>
      <c r="E1517" s="1">
        <f>IFERROR(__xludf.DUMMYFUNCTION("""COMPUTED_VALUE"""),460.0)</f>
        <v>460</v>
      </c>
      <c r="F1517" s="1" t="str">
        <f>IFERROR(__xludf.DUMMYFUNCTION("""COMPUTED_VALUE"""),"Female")</f>
        <v>Female</v>
      </c>
      <c r="G1517" s="5">
        <f>IFERROR(__xludf.DUMMYFUNCTION("""COMPUTED_VALUE"""),0.009400388888888889)</f>
        <v>0.009400388889</v>
      </c>
      <c r="H1517" s="15">
        <f>IFERROR(__xludf.DUMMYFUNCTION("""COMPUTED_VALUE"""),0.2549440625)</f>
        <v>0.2549440625</v>
      </c>
      <c r="I1517" s="15">
        <f>IFERROR(__xludf.DUMMYFUNCTION("""COMPUTED_VALUE"""),45949.301946002066)</f>
        <v>45949.30195</v>
      </c>
      <c r="J1517" s="15">
        <f>IFERROR(__xludf.DUMMYFUNCTION("""COMPUTED_VALUE"""),45949.047001939565)</f>
        <v>45949.047</v>
      </c>
      <c r="K1517" s="15">
        <f>IFERROR(__xludf.DUMMYFUNCTION("""COMPUTED_VALUE"""),45949.283460723396)</f>
        <v>45949.28346</v>
      </c>
      <c r="L1517" s="4"/>
    </row>
    <row r="1518">
      <c r="A1518" s="1">
        <f>IFERROR(__xludf.DUMMYFUNCTION("""COMPUTED_VALUE"""),1517.0)</f>
        <v>1517</v>
      </c>
      <c r="B1518" s="1">
        <f>IFERROR(__xludf.DUMMYFUNCTION("""COMPUTED_VALUE"""),5326.0)</f>
        <v>5326</v>
      </c>
      <c r="C1518" s="2" t="str">
        <f>IFERROR(__xludf.DUMMYFUNCTION("""COMPUTED_VALUE"""),"Noor cahya")</f>
        <v>Noor cahya</v>
      </c>
      <c r="D1518" s="2" t="str">
        <f>IFERROR(__xludf.DUMMYFUNCTION("""COMPUTED_VALUE"""),"5KM OVERALL F")</f>
        <v>5KM OVERALL F</v>
      </c>
      <c r="E1518" s="1">
        <f>IFERROR(__xludf.DUMMYFUNCTION("""COMPUTED_VALUE"""),461.0)</f>
        <v>461</v>
      </c>
      <c r="F1518" s="1" t="str">
        <f>IFERROR(__xludf.DUMMYFUNCTION("""COMPUTED_VALUE"""),"Female")</f>
        <v>Female</v>
      </c>
      <c r="G1518" s="5">
        <f>IFERROR(__xludf.DUMMYFUNCTION("""COMPUTED_VALUE"""),0.009403861111111111)</f>
        <v>0.009403861111</v>
      </c>
      <c r="H1518" s="15">
        <f>IFERROR(__xludf.DUMMYFUNCTION("""COMPUTED_VALUE"""),0.2549440625)</f>
        <v>0.2549440625</v>
      </c>
      <c r="I1518" s="15">
        <f>IFERROR(__xludf.DUMMYFUNCTION("""COMPUTED_VALUE"""),45949.301963363825)</f>
        <v>45949.30196</v>
      </c>
      <c r="J1518" s="15">
        <f>IFERROR(__xludf.DUMMYFUNCTION("""COMPUTED_VALUE"""),45949.047019301324)</f>
        <v>45949.04702</v>
      </c>
      <c r="K1518" s="15">
        <f>IFERROR(__xludf.DUMMYFUNCTION("""COMPUTED_VALUE"""),45949.283485025284)</f>
        <v>45949.28349</v>
      </c>
      <c r="L1518" s="4"/>
    </row>
    <row r="1519">
      <c r="A1519" s="1">
        <f>IFERROR(__xludf.DUMMYFUNCTION("""COMPUTED_VALUE"""),1518.0)</f>
        <v>1518</v>
      </c>
      <c r="B1519" s="7" t="str">
        <f>IFERROR(__xludf.DUMMYFUNCTION("""COMPUTED_VALUE"""),"9042")</f>
        <v>9042</v>
      </c>
      <c r="C1519" s="8" t="str">
        <f>IFERROR(__xludf.DUMMYFUNCTION("""COMPUTED_VALUE"""),"Felosofi")</f>
        <v>Felosofi</v>
      </c>
      <c r="D1519" s="2" t="str">
        <f>IFERROR(__xludf.DUMMYFUNCTION("""COMPUTED_VALUE"""),"5KM STUDENT F")</f>
        <v>5KM STUDENT F</v>
      </c>
      <c r="E1519" s="1">
        <f>IFERROR(__xludf.DUMMYFUNCTION("""COMPUTED_VALUE"""),15.0)</f>
        <v>15</v>
      </c>
      <c r="F1519" s="1" t="str">
        <f>IFERROR(__xludf.DUMMYFUNCTION("""COMPUTED_VALUE"""),"Female")</f>
        <v>Female</v>
      </c>
      <c r="G1519" s="5">
        <f>IFERROR(__xludf.DUMMYFUNCTION("""COMPUTED_VALUE"""),0.009408027777777777)</f>
        <v>0.009408027778</v>
      </c>
      <c r="H1519" s="15">
        <f>IFERROR(__xludf.DUMMYFUNCTION("""COMPUTED_VALUE"""),0.2549440625)</f>
        <v>0.2549440625</v>
      </c>
      <c r="I1519" s="15">
        <f>IFERROR(__xludf.DUMMYFUNCTION("""COMPUTED_VALUE"""),45949.301984203215)</f>
        <v>45949.30198</v>
      </c>
      <c r="J1519" s="15">
        <f>IFERROR(__xludf.DUMMYFUNCTION("""COMPUTED_VALUE"""),45949.047040140715)</f>
        <v>45949.04704</v>
      </c>
      <c r="K1519" s="15">
        <f>IFERROR(__xludf.DUMMYFUNCTION("""COMPUTED_VALUE"""),45949.28619682478)</f>
        <v>45949.2862</v>
      </c>
      <c r="L1519" s="4"/>
    </row>
    <row r="1520">
      <c r="A1520" s="1">
        <f>IFERROR(__xludf.DUMMYFUNCTION("""COMPUTED_VALUE"""),1519.0)</f>
        <v>1519</v>
      </c>
      <c r="B1520" s="1">
        <f>IFERROR(__xludf.DUMMYFUNCTION("""COMPUTED_VALUE"""),6170.0)</f>
        <v>6170</v>
      </c>
      <c r="C1520" s="2" t="str">
        <f>IFERROR(__xludf.DUMMYFUNCTION("""COMPUTED_VALUE"""),"Curzs")</f>
        <v>Curzs</v>
      </c>
      <c r="D1520" s="2" t="str">
        <f>IFERROR(__xludf.DUMMYFUNCTION("""COMPUTED_VALUE"""),"5KM OVERALL M")</f>
        <v>5KM OVERALL M</v>
      </c>
      <c r="E1520" s="1">
        <f>IFERROR(__xludf.DUMMYFUNCTION("""COMPUTED_VALUE"""),818.0)</f>
        <v>818</v>
      </c>
      <c r="F1520" s="1" t="str">
        <f>IFERROR(__xludf.DUMMYFUNCTION("""COMPUTED_VALUE"""),"Male")</f>
        <v>Male</v>
      </c>
      <c r="G1520" s="5">
        <f>IFERROR(__xludf.DUMMYFUNCTION("""COMPUTED_VALUE"""),0.009410099537037036)</f>
        <v>0.009410099537</v>
      </c>
      <c r="H1520" s="15">
        <f>IFERROR(__xludf.DUMMYFUNCTION("""COMPUTED_VALUE"""),0.2549440625)</f>
        <v>0.2549440625</v>
      </c>
      <c r="I1520" s="15">
        <f>IFERROR(__xludf.DUMMYFUNCTION("""COMPUTED_VALUE"""),45949.30199456551)</f>
        <v>45949.30199</v>
      </c>
      <c r="J1520" s="15">
        <f>IFERROR(__xludf.DUMMYFUNCTION("""COMPUTED_VALUE"""),45949.04705050301)</f>
        <v>45949.04705</v>
      </c>
      <c r="K1520" s="15">
        <f>IFERROR(__xludf.DUMMYFUNCTION("""COMPUTED_VALUE"""),45949.28284266915)</f>
        <v>45949.28284</v>
      </c>
      <c r="L1520" s="4"/>
    </row>
    <row r="1521">
      <c r="A1521" s="1">
        <f>IFERROR(__xludf.DUMMYFUNCTION("""COMPUTED_VALUE"""),1520.0)</f>
        <v>1520</v>
      </c>
      <c r="B1521" s="1">
        <f>IFERROR(__xludf.DUMMYFUNCTION("""COMPUTED_VALUE"""),6098.0)</f>
        <v>6098</v>
      </c>
      <c r="C1521" s="2" t="str">
        <f>IFERROR(__xludf.DUMMYFUNCTION("""COMPUTED_VALUE"""),"Ghina Arih")</f>
        <v>Ghina Arih</v>
      </c>
      <c r="D1521" s="2" t="str">
        <f>IFERROR(__xludf.DUMMYFUNCTION("""COMPUTED_VALUE"""),"5KM OVERALL F")</f>
        <v>5KM OVERALL F</v>
      </c>
      <c r="E1521" s="1">
        <f>IFERROR(__xludf.DUMMYFUNCTION("""COMPUTED_VALUE"""),462.0)</f>
        <v>462</v>
      </c>
      <c r="F1521" s="1" t="str">
        <f>IFERROR(__xludf.DUMMYFUNCTION("""COMPUTED_VALUE"""),"Female")</f>
        <v>Female</v>
      </c>
      <c r="G1521" s="5">
        <f>IFERROR(__xludf.DUMMYFUNCTION("""COMPUTED_VALUE"""),0.009415666666666666)</f>
        <v>0.009415666667</v>
      </c>
      <c r="H1521" s="15">
        <f>IFERROR(__xludf.DUMMYFUNCTION("""COMPUTED_VALUE"""),0.2549440625)</f>
        <v>0.2549440625</v>
      </c>
      <c r="I1521" s="15">
        <f>IFERROR(__xludf.DUMMYFUNCTION("""COMPUTED_VALUE"""),45949.30202240052)</f>
        <v>45949.30202</v>
      </c>
      <c r="J1521" s="15">
        <f>IFERROR(__xludf.DUMMYFUNCTION("""COMPUTED_VALUE"""),45949.04707833802)</f>
        <v>45949.04708</v>
      </c>
      <c r="K1521" s="15">
        <f>IFERROR(__xludf.DUMMYFUNCTION("""COMPUTED_VALUE"""),45949.28237049689)</f>
        <v>45949.28237</v>
      </c>
      <c r="L1521" s="4"/>
    </row>
    <row r="1522">
      <c r="A1522" s="1">
        <f>IFERROR(__xludf.DUMMYFUNCTION("""COMPUTED_VALUE"""),1521.0)</f>
        <v>1521</v>
      </c>
      <c r="B1522" s="1">
        <f>IFERROR(__xludf.DUMMYFUNCTION("""COMPUTED_VALUE"""),5866.0)</f>
        <v>5866</v>
      </c>
      <c r="C1522" s="2" t="str">
        <f>IFERROR(__xludf.DUMMYFUNCTION("""COMPUTED_VALUE"""),"Army CH")</f>
        <v>Army CH</v>
      </c>
      <c r="D1522" s="2" t="str">
        <f>IFERROR(__xludf.DUMMYFUNCTION("""COMPUTED_VALUE"""),"5KM OVERALL M")</f>
        <v>5KM OVERALL M</v>
      </c>
      <c r="E1522" s="1">
        <f>IFERROR(__xludf.DUMMYFUNCTION("""COMPUTED_VALUE"""),819.0)</f>
        <v>819</v>
      </c>
      <c r="F1522" s="1" t="str">
        <f>IFERROR(__xludf.DUMMYFUNCTION("""COMPUTED_VALUE"""),"Male")</f>
        <v>Male</v>
      </c>
      <c r="G1522" s="5">
        <f>IFERROR(__xludf.DUMMYFUNCTION("""COMPUTED_VALUE"""),0.009421222222222223)</f>
        <v>0.009421222222</v>
      </c>
      <c r="H1522" s="15">
        <f>IFERROR(__xludf.DUMMYFUNCTION("""COMPUTED_VALUE"""),0.2549440625)</f>
        <v>0.2549440625</v>
      </c>
      <c r="I1522" s="15">
        <f>IFERROR(__xludf.DUMMYFUNCTION("""COMPUTED_VALUE"""),45949.30205017154)</f>
        <v>45949.30205</v>
      </c>
      <c r="J1522" s="15">
        <f>IFERROR(__xludf.DUMMYFUNCTION("""COMPUTED_VALUE"""),45949.047106109036)</f>
        <v>45949.04711</v>
      </c>
      <c r="K1522" s="15">
        <f>IFERROR(__xludf.DUMMYFUNCTION("""COMPUTED_VALUE"""),45949.28612391088)</f>
        <v>45949.28612</v>
      </c>
      <c r="L1522" s="4"/>
    </row>
    <row r="1523">
      <c r="A1523" s="1">
        <f>IFERROR(__xludf.DUMMYFUNCTION("""COMPUTED_VALUE"""),1522.0)</f>
        <v>1522</v>
      </c>
      <c r="B1523" s="1">
        <f>IFERROR(__xludf.DUMMYFUNCTION("""COMPUTED_VALUE"""),6034.0)</f>
        <v>6034</v>
      </c>
      <c r="C1523" s="2" t="str">
        <f>IFERROR(__xludf.DUMMYFUNCTION("""COMPUTED_VALUE"""),"puteri")</f>
        <v>puteri</v>
      </c>
      <c r="D1523" s="2" t="str">
        <f>IFERROR(__xludf.DUMMYFUNCTION("""COMPUTED_VALUE"""),"5KM OVERALL F")</f>
        <v>5KM OVERALL F</v>
      </c>
      <c r="E1523" s="1">
        <f>IFERROR(__xludf.DUMMYFUNCTION("""COMPUTED_VALUE"""),463.0)</f>
        <v>463</v>
      </c>
      <c r="F1523" s="1" t="str">
        <f>IFERROR(__xludf.DUMMYFUNCTION("""COMPUTED_VALUE"""),"Female")</f>
        <v>Female</v>
      </c>
      <c r="G1523" s="5">
        <f>IFERROR(__xludf.DUMMYFUNCTION("""COMPUTED_VALUE"""),0.009422601851851852)</f>
        <v>0.009422601852</v>
      </c>
      <c r="H1523" s="15">
        <f>IFERROR(__xludf.DUMMYFUNCTION("""COMPUTED_VALUE"""),0.2549440625)</f>
        <v>0.2549440625</v>
      </c>
      <c r="I1523" s="15">
        <f>IFERROR(__xludf.DUMMYFUNCTION("""COMPUTED_VALUE"""),45949.30205706666)</f>
        <v>45949.30206</v>
      </c>
      <c r="J1523" s="15">
        <f>IFERROR(__xludf.DUMMYFUNCTION("""COMPUTED_VALUE"""),45949.04711300416)</f>
        <v>45949.04711</v>
      </c>
      <c r="K1523" s="15">
        <f>IFERROR(__xludf.DUMMYFUNCTION("""COMPUTED_VALUE"""),45949.281439882856)</f>
        <v>45949.28144</v>
      </c>
      <c r="L1523" s="4"/>
    </row>
    <row r="1524">
      <c r="A1524" s="1">
        <f>IFERROR(__xludf.DUMMYFUNCTION("""COMPUTED_VALUE"""),1523.0)</f>
        <v>1523</v>
      </c>
      <c r="B1524" s="1">
        <f>IFERROR(__xludf.DUMMYFUNCTION("""COMPUTED_VALUE"""),6099.0)</f>
        <v>6099</v>
      </c>
      <c r="C1524" s="2" t="str">
        <f>IFERROR(__xludf.DUMMYFUNCTION("""COMPUTED_VALUE"""),"Ade Fitria")</f>
        <v>Ade Fitria</v>
      </c>
      <c r="D1524" s="2" t="str">
        <f>IFERROR(__xludf.DUMMYFUNCTION("""COMPUTED_VALUE"""),"5KM OVERALL F")</f>
        <v>5KM OVERALL F</v>
      </c>
      <c r="E1524" s="1">
        <f>IFERROR(__xludf.DUMMYFUNCTION("""COMPUTED_VALUE"""),464.0)</f>
        <v>464</v>
      </c>
      <c r="F1524" s="1" t="str">
        <f>IFERROR(__xludf.DUMMYFUNCTION("""COMPUTED_VALUE"""),"Female")</f>
        <v>Female</v>
      </c>
      <c r="G1524" s="5">
        <f>IFERROR(__xludf.DUMMYFUNCTION("""COMPUTED_VALUE"""),0.009426071759259259)</f>
        <v>0.009426071759</v>
      </c>
      <c r="H1524" s="15">
        <f>IFERROR(__xludf.DUMMYFUNCTION("""COMPUTED_VALUE"""),0.2549440625)</f>
        <v>0.2549440625</v>
      </c>
      <c r="I1524" s="15">
        <f>IFERROR(__xludf.DUMMYFUNCTION("""COMPUTED_VALUE"""),45949.30207442667)</f>
        <v>45949.30207</v>
      </c>
      <c r="J1524" s="15">
        <f>IFERROR(__xludf.DUMMYFUNCTION("""COMPUTED_VALUE"""),45949.04713036417)</f>
        <v>45949.04713</v>
      </c>
      <c r="K1524" s="15">
        <f>IFERROR(__xludf.DUMMYFUNCTION("""COMPUTED_VALUE"""),45949.282422594784)</f>
        <v>45949.28242</v>
      </c>
      <c r="L1524" s="4"/>
    </row>
    <row r="1525">
      <c r="A1525" s="1">
        <f>IFERROR(__xludf.DUMMYFUNCTION("""COMPUTED_VALUE"""),1524.0)</f>
        <v>1524</v>
      </c>
      <c r="B1525" s="1">
        <f>IFERROR(__xludf.DUMMYFUNCTION("""COMPUTED_VALUE"""),5868.0)</f>
        <v>5868</v>
      </c>
      <c r="C1525" s="2" t="str">
        <f>IFERROR(__xludf.DUMMYFUNCTION("""COMPUTED_VALUE"""),"Aulia")</f>
        <v>Aulia</v>
      </c>
      <c r="D1525" s="2" t="str">
        <f>IFERROR(__xludf.DUMMYFUNCTION("""COMPUTED_VALUE"""),"5KM OVERALL F")</f>
        <v>5KM OVERALL F</v>
      </c>
      <c r="E1525" s="1">
        <f>IFERROR(__xludf.DUMMYFUNCTION("""COMPUTED_VALUE"""),465.0)</f>
        <v>465</v>
      </c>
      <c r="F1525" s="1" t="str">
        <f>IFERROR(__xludf.DUMMYFUNCTION("""COMPUTED_VALUE"""),"Female")</f>
        <v>Female</v>
      </c>
      <c r="G1525" s="5">
        <f>IFERROR(__xludf.DUMMYFUNCTION("""COMPUTED_VALUE"""),0.009433724537037037)</f>
        <v>0.009433724537</v>
      </c>
      <c r="H1525" s="15">
        <f>IFERROR(__xludf.DUMMYFUNCTION("""COMPUTED_VALUE"""),0.2549440625)</f>
        <v>0.2549440625</v>
      </c>
      <c r="I1525" s="15">
        <f>IFERROR(__xludf.DUMMYFUNCTION("""COMPUTED_VALUE"""),45949.30211268317)</f>
        <v>45949.30211</v>
      </c>
      <c r="J1525" s="15">
        <f>IFERROR(__xludf.DUMMYFUNCTION("""COMPUTED_VALUE"""),45949.04716862067)</f>
        <v>45949.04717</v>
      </c>
      <c r="K1525" s="15">
        <f>IFERROR(__xludf.DUMMYFUNCTION("""COMPUTED_VALUE"""),45949.28139127486)</f>
        <v>45949.28139</v>
      </c>
      <c r="L1525" s="4"/>
    </row>
    <row r="1526">
      <c r="A1526" s="1">
        <f>IFERROR(__xludf.DUMMYFUNCTION("""COMPUTED_VALUE"""),1525.0)</f>
        <v>1525</v>
      </c>
      <c r="B1526" s="1">
        <f>IFERROR(__xludf.DUMMYFUNCTION("""COMPUTED_VALUE"""),6066.0)</f>
        <v>6066</v>
      </c>
      <c r="C1526" s="2" t="str">
        <f>IFERROR(__xludf.DUMMYFUNCTION("""COMPUTED_VALUE"""),"Rizka Awaliyah R")</f>
        <v>Rizka Awaliyah R</v>
      </c>
      <c r="D1526" s="2" t="str">
        <f>IFERROR(__xludf.DUMMYFUNCTION("""COMPUTED_VALUE"""),"5KM OVERALL F")</f>
        <v>5KM OVERALL F</v>
      </c>
      <c r="E1526" s="1">
        <f>IFERROR(__xludf.DUMMYFUNCTION("""COMPUTED_VALUE"""),466.0)</f>
        <v>466</v>
      </c>
      <c r="F1526" s="1" t="str">
        <f>IFERROR(__xludf.DUMMYFUNCTION("""COMPUTED_VALUE"""),"Female")</f>
        <v>Female</v>
      </c>
      <c r="G1526" s="5">
        <f>IFERROR(__xludf.DUMMYFUNCTION("""COMPUTED_VALUE"""),0.009479555555555557)</f>
        <v>0.009479555556</v>
      </c>
      <c r="H1526" s="15">
        <f>IFERROR(__xludf.DUMMYFUNCTION("""COMPUTED_VALUE"""),0.2549440625)</f>
        <v>0.2549440625</v>
      </c>
      <c r="I1526" s="15">
        <f>IFERROR(__xludf.DUMMYFUNCTION("""COMPUTED_VALUE"""),45949.30234184433)</f>
        <v>45949.30234</v>
      </c>
      <c r="J1526" s="15">
        <f>IFERROR(__xludf.DUMMYFUNCTION("""COMPUTED_VALUE"""),45949.04739778183)</f>
        <v>45949.0474</v>
      </c>
      <c r="K1526" s="15">
        <f>IFERROR(__xludf.DUMMYFUNCTION("""COMPUTED_VALUE"""),45949.28223508057)</f>
        <v>45949.28224</v>
      </c>
      <c r="L1526" s="4"/>
    </row>
    <row r="1527">
      <c r="A1527" s="1">
        <f>IFERROR(__xludf.DUMMYFUNCTION("""COMPUTED_VALUE"""),1526.0)</f>
        <v>1526</v>
      </c>
      <c r="B1527" s="1">
        <f>IFERROR(__xludf.DUMMYFUNCTION("""COMPUTED_VALUE"""),6176.0)</f>
        <v>6176</v>
      </c>
      <c r="C1527" s="2" t="str">
        <f>IFERROR(__xludf.DUMMYFUNCTION("""COMPUTED_VALUE"""),"meiditya")</f>
        <v>meiditya</v>
      </c>
      <c r="D1527" s="2" t="str">
        <f>IFERROR(__xludf.DUMMYFUNCTION("""COMPUTED_VALUE"""),"5KM OVERALL M")</f>
        <v>5KM OVERALL M</v>
      </c>
      <c r="E1527" s="1">
        <f>IFERROR(__xludf.DUMMYFUNCTION("""COMPUTED_VALUE"""),820.0)</f>
        <v>820</v>
      </c>
      <c r="F1527" s="1" t="str">
        <f>IFERROR(__xludf.DUMMYFUNCTION("""COMPUTED_VALUE"""),"Male")</f>
        <v>Male</v>
      </c>
      <c r="G1527" s="5">
        <f>IFERROR(__xludf.DUMMYFUNCTION("""COMPUTED_VALUE"""),0.009484418981481483)</f>
        <v>0.009484418981</v>
      </c>
      <c r="H1527" s="15">
        <f>IFERROR(__xludf.DUMMYFUNCTION("""COMPUTED_VALUE"""),0.2549440625)</f>
        <v>0.2549440625</v>
      </c>
      <c r="I1527" s="15">
        <f>IFERROR(__xludf.DUMMYFUNCTION("""COMPUTED_VALUE"""),45949.302366158954)</f>
        <v>45949.30237</v>
      </c>
      <c r="J1527" s="15">
        <f>IFERROR(__xludf.DUMMYFUNCTION("""COMPUTED_VALUE"""),45949.04742209645)</f>
        <v>45949.04742</v>
      </c>
      <c r="K1527" s="15">
        <f>IFERROR(__xludf.DUMMYFUNCTION("""COMPUTED_VALUE"""),45949.284578843486)</f>
        <v>45949.28458</v>
      </c>
      <c r="L1527" s="4"/>
    </row>
    <row r="1528">
      <c r="A1528" s="1">
        <f>IFERROR(__xludf.DUMMYFUNCTION("""COMPUTED_VALUE"""),1527.0)</f>
        <v>1527</v>
      </c>
      <c r="B1528" s="7" t="str">
        <f>IFERROR(__xludf.DUMMYFUNCTION("""COMPUTED_VALUE"""),"9068")</f>
        <v>9068</v>
      </c>
      <c r="C1528" s="8" t="str">
        <f>IFERROR(__xludf.DUMMYFUNCTION("""COMPUTED_VALUE"""),"ACHA")</f>
        <v>ACHA</v>
      </c>
      <c r="D1528" s="2" t="str">
        <f>IFERROR(__xludf.DUMMYFUNCTION("""COMPUTED_VALUE"""),"5KM STUDENT F")</f>
        <v>5KM STUDENT F</v>
      </c>
      <c r="E1528" s="1">
        <f>IFERROR(__xludf.DUMMYFUNCTION("""COMPUTED_VALUE"""),16.0)</f>
        <v>16</v>
      </c>
      <c r="F1528" s="1" t="str">
        <f>IFERROR(__xludf.DUMMYFUNCTION("""COMPUTED_VALUE"""),"Female")</f>
        <v>Female</v>
      </c>
      <c r="G1528" s="5">
        <f>IFERROR(__xludf.DUMMYFUNCTION("""COMPUTED_VALUE"""),0.00948788888888889)</f>
        <v>0.009487888889</v>
      </c>
      <c r="H1528" s="15">
        <f>IFERROR(__xludf.DUMMYFUNCTION("""COMPUTED_VALUE"""),0.2549440625)</f>
        <v>0.2549440625</v>
      </c>
      <c r="I1528" s="15">
        <f>IFERROR(__xludf.DUMMYFUNCTION("""COMPUTED_VALUE"""),45949.30238350746)</f>
        <v>45949.30238</v>
      </c>
      <c r="J1528" s="15">
        <f>IFERROR(__xludf.DUMMYFUNCTION("""COMPUTED_VALUE"""),45949.047439444956)</f>
        <v>45949.04744</v>
      </c>
      <c r="K1528" s="15">
        <f>IFERROR(__xludf.DUMMYFUNCTION("""COMPUTED_VALUE"""),45949.28306489477)</f>
        <v>45949.28306</v>
      </c>
      <c r="L1528" s="4"/>
    </row>
    <row r="1529">
      <c r="A1529" s="1">
        <f>IFERROR(__xludf.DUMMYFUNCTION("""COMPUTED_VALUE"""),1528.0)</f>
        <v>1528</v>
      </c>
      <c r="B1529" s="1">
        <f>IFERROR(__xludf.DUMMYFUNCTION("""COMPUTED_VALUE"""),6178.0)</f>
        <v>6178</v>
      </c>
      <c r="C1529" s="2" t="str">
        <f>IFERROR(__xludf.DUMMYFUNCTION("""COMPUTED_VALUE"""),"Akhyat")</f>
        <v>Akhyat</v>
      </c>
      <c r="D1529" s="2" t="str">
        <f>IFERROR(__xludf.DUMMYFUNCTION("""COMPUTED_VALUE"""),"5KM OVERALL M")</f>
        <v>5KM OVERALL M</v>
      </c>
      <c r="E1529" s="1">
        <f>IFERROR(__xludf.DUMMYFUNCTION("""COMPUTED_VALUE"""),821.0)</f>
        <v>821</v>
      </c>
      <c r="F1529" s="1" t="str">
        <f>IFERROR(__xludf.DUMMYFUNCTION("""COMPUTED_VALUE"""),"Male")</f>
        <v>Male</v>
      </c>
      <c r="G1529" s="5">
        <f>IFERROR(__xludf.DUMMYFUNCTION("""COMPUTED_VALUE"""),0.009502472222222223)</f>
        <v>0.009502472222</v>
      </c>
      <c r="H1529" s="15">
        <f>IFERROR(__xludf.DUMMYFUNCTION("""COMPUTED_VALUE"""),0.2549440625)</f>
        <v>0.2549440625</v>
      </c>
      <c r="I1529" s="15">
        <f>IFERROR(__xludf.DUMMYFUNCTION("""COMPUTED_VALUE"""),45949.30245642106)</f>
        <v>45949.30246</v>
      </c>
      <c r="J1529" s="15">
        <f>IFERROR(__xludf.DUMMYFUNCTION("""COMPUTED_VALUE"""),45949.04751235856)</f>
        <v>45949.04751</v>
      </c>
      <c r="K1529" s="15">
        <f>IFERROR(__xludf.DUMMYFUNCTION("""COMPUTED_VALUE"""),45949.28189473829)</f>
        <v>45949.28189</v>
      </c>
      <c r="L1529" s="4"/>
    </row>
    <row r="1530">
      <c r="A1530" s="1">
        <f>IFERROR(__xludf.DUMMYFUNCTION("""COMPUTED_VALUE"""),1529.0)</f>
        <v>1529</v>
      </c>
      <c r="B1530" s="1">
        <f>IFERROR(__xludf.DUMMYFUNCTION("""COMPUTED_VALUE"""),5951.0)</f>
        <v>5951</v>
      </c>
      <c r="C1530" s="2" t="str">
        <f>IFERROR(__xludf.DUMMYFUNCTION("""COMPUTED_VALUE"""),"Nurhasanah")</f>
        <v>Nurhasanah</v>
      </c>
      <c r="D1530" s="2" t="str">
        <f>IFERROR(__xludf.DUMMYFUNCTION("""COMPUTED_VALUE"""),"5KM OVERALL M")</f>
        <v>5KM OVERALL M</v>
      </c>
      <c r="E1530" s="1">
        <f>IFERROR(__xludf.DUMMYFUNCTION("""COMPUTED_VALUE"""),822.0)</f>
        <v>822</v>
      </c>
      <c r="F1530" s="1" t="str">
        <f>IFERROR(__xludf.DUMMYFUNCTION("""COMPUTED_VALUE"""),"Male")</f>
        <v>Male</v>
      </c>
      <c r="G1530" s="5">
        <f>IFERROR(__xludf.DUMMYFUNCTION("""COMPUTED_VALUE"""),0.009533018518518519)</f>
        <v>0.009533018519</v>
      </c>
      <c r="H1530" s="15">
        <f>IFERROR(__xludf.DUMMYFUNCTION("""COMPUTED_VALUE"""),0.2549440625)</f>
        <v>0.2549440625</v>
      </c>
      <c r="I1530" s="15">
        <f>IFERROR(__xludf.DUMMYFUNCTION("""COMPUTED_VALUE"""),45949.30260916058)</f>
        <v>45949.30261</v>
      </c>
      <c r="J1530" s="15">
        <f>IFERROR(__xludf.DUMMYFUNCTION("""COMPUTED_VALUE"""),45949.04766509808)</f>
        <v>45949.04767</v>
      </c>
      <c r="K1530" s="15">
        <f>IFERROR(__xludf.DUMMYFUNCTION("""COMPUTED_VALUE"""),45949.281686479844)</f>
        <v>45949.28169</v>
      </c>
      <c r="L1530" s="4"/>
    </row>
    <row r="1531">
      <c r="A1531" s="1">
        <f>IFERROR(__xludf.DUMMYFUNCTION("""COMPUTED_VALUE"""),1530.0)</f>
        <v>1530</v>
      </c>
      <c r="B1531" s="1">
        <f>IFERROR(__xludf.DUMMYFUNCTION("""COMPUTED_VALUE"""),5948.0)</f>
        <v>5948</v>
      </c>
      <c r="C1531" s="2" t="str">
        <f>IFERROR(__xludf.DUMMYFUNCTION("""COMPUTED_VALUE"""),"Aulia")</f>
        <v>Aulia</v>
      </c>
      <c r="D1531" s="2" t="str">
        <f>IFERROR(__xludf.DUMMYFUNCTION("""COMPUTED_VALUE"""),"5KM OVERALL M")</f>
        <v>5KM OVERALL M</v>
      </c>
      <c r="E1531" s="1">
        <f>IFERROR(__xludf.DUMMYFUNCTION("""COMPUTED_VALUE"""),823.0)</f>
        <v>823</v>
      </c>
      <c r="F1531" s="1" t="str">
        <f>IFERROR(__xludf.DUMMYFUNCTION("""COMPUTED_VALUE"""),"Male")</f>
        <v>Male</v>
      </c>
      <c r="G1531" s="5">
        <f>IFERROR(__xludf.DUMMYFUNCTION("""COMPUTED_VALUE"""),0.009538587962962964)</f>
        <v>0.009538587963</v>
      </c>
      <c r="H1531" s="15">
        <f>IFERROR(__xludf.DUMMYFUNCTION("""COMPUTED_VALUE"""),0.2549440625)</f>
        <v>0.2549440625</v>
      </c>
      <c r="I1531" s="15">
        <f>IFERROR(__xludf.DUMMYFUNCTION("""COMPUTED_VALUE"""),45949.302636997454)</f>
        <v>45949.30264</v>
      </c>
      <c r="J1531" s="15">
        <f>IFERROR(__xludf.DUMMYFUNCTION("""COMPUTED_VALUE"""),45949.04769293495)</f>
        <v>45949.04769</v>
      </c>
      <c r="K1531" s="15">
        <f>IFERROR(__xludf.DUMMYFUNCTION("""COMPUTED_VALUE"""),45949.28165174949)</f>
        <v>45949.28165</v>
      </c>
      <c r="L1531" s="4"/>
    </row>
    <row r="1532">
      <c r="A1532" s="1">
        <f>IFERROR(__xludf.DUMMYFUNCTION("""COMPUTED_VALUE"""),1531.0)</f>
        <v>1531</v>
      </c>
      <c r="B1532" s="1">
        <f>IFERROR(__xludf.DUMMYFUNCTION("""COMPUTED_VALUE"""),5124.0)</f>
        <v>5124</v>
      </c>
      <c r="C1532" s="2" t="str">
        <f>IFERROR(__xludf.DUMMYFUNCTION("""COMPUTED_VALUE"""),"Ayu")</f>
        <v>Ayu</v>
      </c>
      <c r="D1532" s="2" t="str">
        <f>IFERROR(__xludf.DUMMYFUNCTION("""COMPUTED_VALUE"""),"5KM OVERALL F")</f>
        <v>5KM OVERALL F</v>
      </c>
      <c r="E1532" s="1">
        <f>IFERROR(__xludf.DUMMYFUNCTION("""COMPUTED_VALUE"""),467.0)</f>
        <v>467</v>
      </c>
      <c r="F1532" s="1" t="str">
        <f>IFERROR(__xludf.DUMMYFUNCTION("""COMPUTED_VALUE"""),"Female")</f>
        <v>Female</v>
      </c>
      <c r="G1532" s="5">
        <f>IFERROR(__xludf.DUMMYFUNCTION("""COMPUTED_VALUE"""),0.009541361111111112)</f>
        <v>0.009541361111</v>
      </c>
      <c r="H1532" s="15">
        <f>IFERROR(__xludf.DUMMYFUNCTION("""COMPUTED_VALUE"""),0.2549440625)</f>
        <v>0.2549440625</v>
      </c>
      <c r="I1532" s="15">
        <f>IFERROR(__xludf.DUMMYFUNCTION("""COMPUTED_VALUE"""),45949.3026508625)</f>
        <v>45949.30265</v>
      </c>
      <c r="J1532" s="15">
        <f>IFERROR(__xludf.DUMMYFUNCTION("""COMPUTED_VALUE"""),45949.0477068)</f>
        <v>45949.04771</v>
      </c>
      <c r="K1532" s="15">
        <f>IFERROR(__xludf.DUMMYFUNCTION("""COMPUTED_VALUE"""),45949.28235314879)</f>
        <v>45949.28235</v>
      </c>
      <c r="L1532" s="4"/>
    </row>
    <row r="1533">
      <c r="A1533" s="1">
        <f>IFERROR(__xludf.DUMMYFUNCTION("""COMPUTED_VALUE"""),1532.0)</f>
        <v>1532</v>
      </c>
      <c r="B1533" s="1">
        <f>IFERROR(__xludf.DUMMYFUNCTION("""COMPUTED_VALUE"""),5789.0)</f>
        <v>5789</v>
      </c>
      <c r="C1533" s="2" t="str">
        <f>IFERROR(__xludf.DUMMYFUNCTION("""COMPUTED_VALUE"""),"Lalaa")</f>
        <v>Lalaa</v>
      </c>
      <c r="D1533" s="2" t="str">
        <f>IFERROR(__xludf.DUMMYFUNCTION("""COMPUTED_VALUE"""),"5KM OVERALL F")</f>
        <v>5KM OVERALL F</v>
      </c>
      <c r="E1533" s="1">
        <f>IFERROR(__xludf.DUMMYFUNCTION("""COMPUTED_VALUE"""),468.0)</f>
        <v>468</v>
      </c>
      <c r="F1533" s="1" t="str">
        <f>IFERROR(__xludf.DUMMYFUNCTION("""COMPUTED_VALUE"""),"Female")</f>
        <v>Female</v>
      </c>
      <c r="G1533" s="5">
        <f>IFERROR(__xludf.DUMMYFUNCTION("""COMPUTED_VALUE"""),0.009548999999999998)</f>
        <v>0.009549</v>
      </c>
      <c r="H1533" s="15">
        <f>IFERROR(__xludf.DUMMYFUNCTION("""COMPUTED_VALUE"""),0.2549440625)</f>
        <v>0.2549440625</v>
      </c>
      <c r="I1533" s="15">
        <f>IFERROR(__xludf.DUMMYFUNCTION("""COMPUTED_VALUE"""),45949.30268906731)</f>
        <v>45949.30269</v>
      </c>
      <c r="J1533" s="15">
        <f>IFERROR(__xludf.DUMMYFUNCTION("""COMPUTED_VALUE"""),45949.04774500481)</f>
        <v>45949.04775</v>
      </c>
      <c r="K1533" s="15">
        <f>IFERROR(__xludf.DUMMYFUNCTION("""COMPUTED_VALUE"""),45949.2832280846)</f>
        <v>45949.28323</v>
      </c>
      <c r="L1533" s="4"/>
    </row>
    <row r="1534">
      <c r="A1534" s="1">
        <f>IFERROR(__xludf.DUMMYFUNCTION("""COMPUTED_VALUE"""),1533.0)</f>
        <v>1533</v>
      </c>
      <c r="B1534" s="1">
        <f>IFERROR(__xludf.DUMMYFUNCTION("""COMPUTED_VALUE"""),5019.0)</f>
        <v>5019</v>
      </c>
      <c r="C1534" s="2" t="str">
        <f>IFERROR(__xludf.DUMMYFUNCTION("""COMPUTED_VALUE"""),"arijani")</f>
        <v>arijani</v>
      </c>
      <c r="D1534" s="2" t="str">
        <f>IFERROR(__xludf.DUMMYFUNCTION("""COMPUTED_VALUE"""),"5KM OVERALL M")</f>
        <v>5KM OVERALL M</v>
      </c>
      <c r="E1534" s="1">
        <f>IFERROR(__xludf.DUMMYFUNCTION("""COMPUTED_VALUE"""),824.0)</f>
        <v>824</v>
      </c>
      <c r="F1534" s="1" t="str">
        <f>IFERROR(__xludf.DUMMYFUNCTION("""COMPUTED_VALUE"""),"Male")</f>
        <v>Male</v>
      </c>
      <c r="G1534" s="5">
        <f>IFERROR(__xludf.DUMMYFUNCTION("""COMPUTED_VALUE"""),0.009556627314814815)</f>
        <v>0.009556627315</v>
      </c>
      <c r="H1534" s="15">
        <f>IFERROR(__xludf.DUMMYFUNCTION("""COMPUTED_VALUE"""),0.2549440625)</f>
        <v>0.2549440625</v>
      </c>
      <c r="I1534" s="15">
        <f>IFERROR(__xludf.DUMMYFUNCTION("""COMPUTED_VALUE"""),45949.30272720184)</f>
        <v>45949.30273</v>
      </c>
      <c r="J1534" s="15">
        <f>IFERROR(__xludf.DUMMYFUNCTION("""COMPUTED_VALUE"""),45949.04778313934)</f>
        <v>45949.04778</v>
      </c>
      <c r="K1534" s="15">
        <f>IFERROR(__xludf.DUMMYFUNCTION("""COMPUTED_VALUE"""),45949.282422617835)</f>
        <v>45949.28242</v>
      </c>
      <c r="L1534" s="4"/>
    </row>
    <row r="1535">
      <c r="A1535" s="1">
        <f>IFERROR(__xludf.DUMMYFUNCTION("""COMPUTED_VALUE"""),1534.0)</f>
        <v>1534</v>
      </c>
      <c r="B1535" s="1">
        <f>IFERROR(__xludf.DUMMYFUNCTION("""COMPUTED_VALUE"""),5747.0)</f>
        <v>5747</v>
      </c>
      <c r="C1535" s="2" t="str">
        <f>IFERROR(__xludf.DUMMYFUNCTION("""COMPUTED_VALUE"""),"A.A.Yaqub")</f>
        <v>A.A.Yaqub</v>
      </c>
      <c r="D1535" s="2" t="str">
        <f>IFERROR(__xludf.DUMMYFUNCTION("""COMPUTED_VALUE"""),"5KM OVERALL M")</f>
        <v>5KM OVERALL M</v>
      </c>
      <c r="E1535" s="1">
        <f>IFERROR(__xludf.DUMMYFUNCTION("""COMPUTED_VALUE"""),825.0)</f>
        <v>825</v>
      </c>
      <c r="F1535" s="1" t="str">
        <f>IFERROR(__xludf.DUMMYFUNCTION("""COMPUTED_VALUE"""),"Male")</f>
        <v>Male</v>
      </c>
      <c r="G1535" s="5">
        <f>IFERROR(__xludf.DUMMYFUNCTION("""COMPUTED_VALUE"""),0.009558722222222222)</f>
        <v>0.009558722222</v>
      </c>
      <c r="H1535" s="15">
        <f>IFERROR(__xludf.DUMMYFUNCTION("""COMPUTED_VALUE"""),0.2549440625)</f>
        <v>0.2549440625</v>
      </c>
      <c r="I1535" s="15">
        <f>IFERROR(__xludf.DUMMYFUNCTION("""COMPUTED_VALUE"""),45949.3027376716)</f>
        <v>45949.30274</v>
      </c>
      <c r="J1535" s="15">
        <f>IFERROR(__xludf.DUMMYFUNCTION("""COMPUTED_VALUE"""),45949.0477936091)</f>
        <v>45949.04779</v>
      </c>
      <c r="K1535" s="15">
        <f>IFERROR(__xludf.DUMMYFUNCTION("""COMPUTED_VALUE"""),45949.28326279355)</f>
        <v>45949.28326</v>
      </c>
      <c r="L1535" s="4"/>
    </row>
    <row r="1536">
      <c r="A1536" s="1">
        <f>IFERROR(__xludf.DUMMYFUNCTION("""COMPUTED_VALUE"""),1535.0)</f>
        <v>1535</v>
      </c>
      <c r="B1536" s="1">
        <f>IFERROR(__xludf.DUMMYFUNCTION("""COMPUTED_VALUE"""),5097.0)</f>
        <v>5097</v>
      </c>
      <c r="C1536" s="2" t="str">
        <f>IFERROR(__xludf.DUMMYFUNCTION("""COMPUTED_VALUE"""),"hany")</f>
        <v>hany</v>
      </c>
      <c r="D1536" s="2" t="str">
        <f>IFERROR(__xludf.DUMMYFUNCTION("""COMPUTED_VALUE"""),"5KM OVERALL F")</f>
        <v>5KM OVERALL F</v>
      </c>
      <c r="E1536" s="1">
        <f>IFERROR(__xludf.DUMMYFUNCTION("""COMPUTED_VALUE"""),469.0)</f>
        <v>469</v>
      </c>
      <c r="F1536" s="1" t="str">
        <f>IFERROR(__xludf.DUMMYFUNCTION("""COMPUTED_VALUE"""),"Female")</f>
        <v>Female</v>
      </c>
      <c r="G1536" s="5">
        <f>IFERROR(__xludf.DUMMYFUNCTION("""COMPUTED_VALUE"""),0.009572807870370372)</f>
        <v>0.00957280787</v>
      </c>
      <c r="H1536" s="15">
        <f>IFERROR(__xludf.DUMMYFUNCTION("""COMPUTED_VALUE"""),0.2549440625)</f>
        <v>0.2549440625</v>
      </c>
      <c r="I1536" s="15">
        <f>IFERROR(__xludf.DUMMYFUNCTION("""COMPUTED_VALUE"""),45949.30280810357)</f>
        <v>45949.30281</v>
      </c>
      <c r="J1536" s="15">
        <f>IFERROR(__xludf.DUMMYFUNCTION("""COMPUTED_VALUE"""),45949.04786404107)</f>
        <v>45949.04786</v>
      </c>
      <c r="K1536" s="15">
        <f>IFERROR(__xludf.DUMMYFUNCTION("""COMPUTED_VALUE"""),45949.28234960063)</f>
        <v>45949.28235</v>
      </c>
      <c r="L1536" s="4"/>
    </row>
    <row r="1537">
      <c r="A1537" s="1">
        <f>IFERROR(__xludf.DUMMYFUNCTION("""COMPUTED_VALUE"""),1536.0)</f>
        <v>1536</v>
      </c>
      <c r="B1537" s="1">
        <f>IFERROR(__xludf.DUMMYFUNCTION("""COMPUTED_VALUE"""),5799.0)</f>
        <v>5799</v>
      </c>
      <c r="C1537" s="2" t="str">
        <f>IFERROR(__xludf.DUMMYFUNCTION("""COMPUTED_VALUE"""),"Annida Syahlina")</f>
        <v>Annida Syahlina</v>
      </c>
      <c r="D1537" s="2" t="str">
        <f>IFERROR(__xludf.DUMMYFUNCTION("""COMPUTED_VALUE"""),"5KM OVERALL F")</f>
        <v>5KM OVERALL F</v>
      </c>
      <c r="E1537" s="1">
        <f>IFERROR(__xludf.DUMMYFUNCTION("""COMPUTED_VALUE"""),470.0)</f>
        <v>470</v>
      </c>
      <c r="F1537" s="1" t="str">
        <f>IFERROR(__xludf.DUMMYFUNCTION("""COMPUTED_VALUE"""),"Female")</f>
        <v>Female</v>
      </c>
      <c r="G1537" s="5">
        <f>IFERROR(__xludf.DUMMYFUNCTION("""COMPUTED_VALUE"""),0.009575388888888888)</f>
        <v>0.009575388889</v>
      </c>
      <c r="H1537" s="15">
        <f>IFERROR(__xludf.DUMMYFUNCTION("""COMPUTED_VALUE"""),0.2549440625)</f>
        <v>0.2549440625</v>
      </c>
      <c r="I1537" s="15">
        <f>IFERROR(__xludf.DUMMYFUNCTION("""COMPUTED_VALUE"""),45949.30282100842)</f>
        <v>45949.30282</v>
      </c>
      <c r="J1537" s="15">
        <f>IFERROR(__xludf.DUMMYFUNCTION("""COMPUTED_VALUE"""),45949.04787694592)</f>
        <v>45949.04788</v>
      </c>
      <c r="K1537" s="15">
        <f>IFERROR(__xludf.DUMMYFUNCTION("""COMPUTED_VALUE"""),45949.283002392855)</f>
        <v>45949.283</v>
      </c>
      <c r="L1537" s="4"/>
    </row>
    <row r="1538">
      <c r="A1538" s="1">
        <f>IFERROR(__xludf.DUMMYFUNCTION("""COMPUTED_VALUE"""),1537.0)</f>
        <v>1537</v>
      </c>
      <c r="B1538" s="1">
        <f>IFERROR(__xludf.DUMMYFUNCTION("""COMPUTED_VALUE"""),5894.0)</f>
        <v>5894</v>
      </c>
      <c r="C1538" s="2" t="str">
        <f>IFERROR(__xludf.DUMMYFUNCTION("""COMPUTED_VALUE"""),"IRAWATI")</f>
        <v>IRAWATI</v>
      </c>
      <c r="D1538" s="2" t="str">
        <f>IFERROR(__xludf.DUMMYFUNCTION("""COMPUTED_VALUE"""),"5KM OVERALL F")</f>
        <v>5KM OVERALL F</v>
      </c>
      <c r="E1538" s="1">
        <f>IFERROR(__xludf.DUMMYFUNCTION("""COMPUTED_VALUE"""),471.0)</f>
        <v>471</v>
      </c>
      <c r="F1538" s="1" t="str">
        <f>IFERROR(__xludf.DUMMYFUNCTION("""COMPUTED_VALUE"""),"Female")</f>
        <v>Female</v>
      </c>
      <c r="G1538" s="5">
        <f>IFERROR(__xludf.DUMMYFUNCTION("""COMPUTED_VALUE"""),0.009578166666666667)</f>
        <v>0.009578166667</v>
      </c>
      <c r="H1538" s="15">
        <f>IFERROR(__xludf.DUMMYFUNCTION("""COMPUTED_VALUE"""),0.2549440625)</f>
        <v>0.2549440625</v>
      </c>
      <c r="I1538" s="15">
        <f>IFERROR(__xludf.DUMMYFUNCTION("""COMPUTED_VALUE"""),45949.302834897026)</f>
        <v>45949.30283</v>
      </c>
      <c r="J1538" s="15">
        <f>IFERROR(__xludf.DUMMYFUNCTION("""COMPUTED_VALUE"""),45949.047890834525)</f>
        <v>45949.04789</v>
      </c>
      <c r="K1538" s="15">
        <f>IFERROR(__xludf.DUMMYFUNCTION("""COMPUTED_VALUE"""),45949.28289822735)</f>
        <v>45949.2829</v>
      </c>
      <c r="L1538" s="4"/>
    </row>
    <row r="1539">
      <c r="A1539" s="1">
        <f>IFERROR(__xludf.DUMMYFUNCTION("""COMPUTED_VALUE"""),1538.0)</f>
        <v>1538</v>
      </c>
      <c r="B1539" s="7" t="str">
        <f>IFERROR(__xludf.DUMMYFUNCTION("""COMPUTED_VALUE"""),"9007")</f>
        <v>9007</v>
      </c>
      <c r="C1539" s="8" t="str">
        <f>IFERROR(__xludf.DUMMYFUNCTION("""COMPUTED_VALUE"""),"Ines")</f>
        <v>Ines</v>
      </c>
      <c r="D1539" s="2" t="str">
        <f>IFERROR(__xludf.DUMMYFUNCTION("""COMPUTED_VALUE"""),"5KM STUDENT F")</f>
        <v>5KM STUDENT F</v>
      </c>
      <c r="E1539" s="1">
        <f>IFERROR(__xludf.DUMMYFUNCTION("""COMPUTED_VALUE"""),17.0)</f>
        <v>17</v>
      </c>
      <c r="F1539" s="1" t="str">
        <f>IFERROR(__xludf.DUMMYFUNCTION("""COMPUTED_VALUE"""),"Female")</f>
        <v>Female</v>
      </c>
      <c r="G1539" s="5">
        <f>IFERROR(__xludf.DUMMYFUNCTION("""COMPUTED_VALUE"""),0.00958025)</f>
        <v>0.00958025</v>
      </c>
      <c r="H1539" s="15">
        <f>IFERROR(__xludf.DUMMYFUNCTION("""COMPUTED_VALUE"""),0.2549440625)</f>
        <v>0.2549440625</v>
      </c>
      <c r="I1539" s="15">
        <f>IFERROR(__xludf.DUMMYFUNCTION("""COMPUTED_VALUE"""),45949.30284531571)</f>
        <v>45949.30285</v>
      </c>
      <c r="J1539" s="15">
        <f>IFERROR(__xludf.DUMMYFUNCTION("""COMPUTED_VALUE"""),45949.04790125321)</f>
        <v>45949.0479</v>
      </c>
      <c r="K1539" s="15">
        <f>IFERROR(__xludf.DUMMYFUNCTION("""COMPUTED_VALUE"""),45949.28228717641)</f>
        <v>45949.28229</v>
      </c>
      <c r="L1539" s="4"/>
    </row>
    <row r="1540">
      <c r="A1540" s="1">
        <f>IFERROR(__xludf.DUMMYFUNCTION("""COMPUTED_VALUE"""),1539.0)</f>
        <v>1539</v>
      </c>
      <c r="B1540" s="1">
        <f>IFERROR(__xludf.DUMMYFUNCTION("""COMPUTED_VALUE"""),5963.0)</f>
        <v>5963</v>
      </c>
      <c r="C1540" s="2" t="str">
        <f>IFERROR(__xludf.DUMMYFUNCTION("""COMPUTED_VALUE"""),"Citra Fajar")</f>
        <v>Citra Fajar</v>
      </c>
      <c r="D1540" s="2" t="str">
        <f>IFERROR(__xludf.DUMMYFUNCTION("""COMPUTED_VALUE"""),"5KM OVERALL F")</f>
        <v>5KM OVERALL F</v>
      </c>
      <c r="E1540" s="1">
        <f>IFERROR(__xludf.DUMMYFUNCTION("""COMPUTED_VALUE"""),472.0)</f>
        <v>472</v>
      </c>
      <c r="F1540" s="1" t="str">
        <f>IFERROR(__xludf.DUMMYFUNCTION("""COMPUTED_VALUE"""),"Female")</f>
        <v>Female</v>
      </c>
      <c r="G1540" s="5">
        <f>IFERROR(__xludf.DUMMYFUNCTION("""COMPUTED_VALUE"""),0.009580252314814814)</f>
        <v>0.009580252315</v>
      </c>
      <c r="H1540" s="15">
        <f>IFERROR(__xludf.DUMMYFUNCTION("""COMPUTED_VALUE"""),0.2549440625)</f>
        <v>0.2549440625</v>
      </c>
      <c r="I1540" s="15">
        <f>IFERROR(__xludf.DUMMYFUNCTION("""COMPUTED_VALUE"""),45949.30284532868)</f>
        <v>45949.30285</v>
      </c>
      <c r="J1540" s="15">
        <f>IFERROR(__xludf.DUMMYFUNCTION("""COMPUTED_VALUE"""),45949.04790126618)</f>
        <v>45949.0479</v>
      </c>
      <c r="K1540" s="15">
        <f>IFERROR(__xludf.DUMMYFUNCTION("""COMPUTED_VALUE"""),45949.28372812727)</f>
        <v>45949.28373</v>
      </c>
      <c r="L1540" s="4"/>
    </row>
    <row r="1541">
      <c r="A1541" s="1">
        <f>IFERROR(__xludf.DUMMYFUNCTION("""COMPUTED_VALUE"""),1540.0)</f>
        <v>1540</v>
      </c>
      <c r="B1541" s="1">
        <f>IFERROR(__xludf.DUMMYFUNCTION("""COMPUTED_VALUE"""),5188.0)</f>
        <v>5188</v>
      </c>
      <c r="C1541" s="2" t="str">
        <f>IFERROR(__xludf.DUMMYFUNCTION("""COMPUTED_VALUE"""),"Steven")</f>
        <v>Steven</v>
      </c>
      <c r="D1541" s="2" t="str">
        <f>IFERROR(__xludf.DUMMYFUNCTION("""COMPUTED_VALUE"""),"5KM OVERALL M")</f>
        <v>5KM OVERALL M</v>
      </c>
      <c r="E1541" s="1">
        <f>IFERROR(__xludf.DUMMYFUNCTION("""COMPUTED_VALUE"""),826.0)</f>
        <v>826</v>
      </c>
      <c r="F1541" s="1" t="str">
        <f>IFERROR(__xludf.DUMMYFUNCTION("""COMPUTED_VALUE"""),"Male")</f>
        <v>Male</v>
      </c>
      <c r="G1541" s="5">
        <f>IFERROR(__xludf.DUMMYFUNCTION("""COMPUTED_VALUE"""),0.009580252314814814)</f>
        <v>0.009580252315</v>
      </c>
      <c r="H1541" s="15">
        <f>IFERROR(__xludf.DUMMYFUNCTION("""COMPUTED_VALUE"""),0.2549440625)</f>
        <v>0.2549440625</v>
      </c>
      <c r="I1541" s="15">
        <f>IFERROR(__xludf.DUMMYFUNCTION("""COMPUTED_VALUE"""),45949.30284532868)</f>
        <v>45949.30285</v>
      </c>
      <c r="J1541" s="15">
        <f>IFERROR(__xludf.DUMMYFUNCTION("""COMPUTED_VALUE"""),45949.04790126618)</f>
        <v>45949.0479</v>
      </c>
      <c r="K1541" s="15">
        <f>IFERROR(__xludf.DUMMYFUNCTION("""COMPUTED_VALUE"""),45949.28234265474)</f>
        <v>45949.28234</v>
      </c>
      <c r="L1541" s="4"/>
    </row>
    <row r="1542">
      <c r="A1542" s="1">
        <f>IFERROR(__xludf.DUMMYFUNCTION("""COMPUTED_VALUE"""),1541.0)</f>
        <v>1541</v>
      </c>
      <c r="B1542" s="1">
        <f>IFERROR(__xludf.DUMMYFUNCTION("""COMPUTED_VALUE"""),5765.0)</f>
        <v>5765</v>
      </c>
      <c r="C1542" s="2" t="str">
        <f>IFERROR(__xludf.DUMMYFUNCTION("""COMPUTED_VALUE"""),"Venna putri mahrita")</f>
        <v>Venna putri mahrita</v>
      </c>
      <c r="D1542" s="2" t="str">
        <f>IFERROR(__xludf.DUMMYFUNCTION("""COMPUTED_VALUE"""),"5KM OVERALL F")</f>
        <v>5KM OVERALL F</v>
      </c>
      <c r="E1542" s="1">
        <f>IFERROR(__xludf.DUMMYFUNCTION("""COMPUTED_VALUE"""),473.0)</f>
        <v>473</v>
      </c>
      <c r="F1542" s="1" t="str">
        <f>IFERROR(__xludf.DUMMYFUNCTION("""COMPUTED_VALUE"""),"Female")</f>
        <v>Female</v>
      </c>
      <c r="G1542" s="5">
        <f>IFERROR(__xludf.DUMMYFUNCTION("""COMPUTED_VALUE"""),0.009583722222222221)</f>
        <v>0.009583722222</v>
      </c>
      <c r="H1542" s="15">
        <f>IFERROR(__xludf.DUMMYFUNCTION("""COMPUTED_VALUE"""),0.2549440625)</f>
        <v>0.2549440625</v>
      </c>
      <c r="I1542" s="15">
        <f>IFERROR(__xludf.DUMMYFUNCTION("""COMPUTED_VALUE"""),45949.30286267609)</f>
        <v>45949.30286</v>
      </c>
      <c r="J1542" s="15">
        <f>IFERROR(__xludf.DUMMYFUNCTION("""COMPUTED_VALUE"""),45949.04791861359)</f>
        <v>45949.04792</v>
      </c>
      <c r="K1542" s="15">
        <f>IFERROR(__xludf.DUMMYFUNCTION("""COMPUTED_VALUE"""),45949.283450370116)</f>
        <v>45949.28345</v>
      </c>
      <c r="L1542" s="4"/>
    </row>
    <row r="1543">
      <c r="A1543" s="1">
        <f>IFERROR(__xludf.DUMMYFUNCTION("""COMPUTED_VALUE"""),1542.0)</f>
        <v>1542</v>
      </c>
      <c r="B1543" s="1">
        <f>IFERROR(__xludf.DUMMYFUNCTION("""COMPUTED_VALUE"""),5182.0)</f>
        <v>5182</v>
      </c>
      <c r="C1543" s="2" t="str">
        <f>IFERROR(__xludf.DUMMYFUNCTION("""COMPUTED_VALUE"""),"Annisa")</f>
        <v>Annisa</v>
      </c>
      <c r="D1543" s="2" t="str">
        <f>IFERROR(__xludf.DUMMYFUNCTION("""COMPUTED_VALUE"""),"5KM OVERALL F")</f>
        <v>5KM OVERALL F</v>
      </c>
      <c r="E1543" s="1">
        <f>IFERROR(__xludf.DUMMYFUNCTION("""COMPUTED_VALUE"""),474.0)</f>
        <v>474</v>
      </c>
      <c r="F1543" s="1" t="str">
        <f>IFERROR(__xludf.DUMMYFUNCTION("""COMPUTED_VALUE"""),"Female")</f>
        <v>Female</v>
      </c>
      <c r="G1543" s="5">
        <f>IFERROR(__xludf.DUMMYFUNCTION("""COMPUTED_VALUE"""),0.009592194444444445)</f>
        <v>0.009592194444</v>
      </c>
      <c r="H1543" s="15">
        <f>IFERROR(__xludf.DUMMYFUNCTION("""COMPUTED_VALUE"""),0.2549440625)</f>
        <v>0.2549440625</v>
      </c>
      <c r="I1543" s="15">
        <f>IFERROR(__xludf.DUMMYFUNCTION("""COMPUTED_VALUE"""),45949.302905035554)</f>
        <v>45949.30291</v>
      </c>
      <c r="J1543" s="15">
        <f>IFERROR(__xludf.DUMMYFUNCTION("""COMPUTED_VALUE"""),45949.047960973054)</f>
        <v>45949.04796</v>
      </c>
      <c r="K1543" s="15">
        <f>IFERROR(__xludf.DUMMYFUNCTION("""COMPUTED_VALUE"""),45949.28250932424)</f>
        <v>45949.28251</v>
      </c>
      <c r="L1543" s="4"/>
    </row>
    <row r="1544">
      <c r="A1544" s="1">
        <f>IFERROR(__xludf.DUMMYFUNCTION("""COMPUTED_VALUE"""),1543.0)</f>
        <v>1543</v>
      </c>
      <c r="B1544" s="1">
        <f>IFERROR(__xludf.DUMMYFUNCTION("""COMPUTED_VALUE"""),5437.0)</f>
        <v>5437</v>
      </c>
      <c r="C1544" s="2" t="str">
        <f>IFERROR(__xludf.DUMMYFUNCTION("""COMPUTED_VALUE"""),"Adibah Zahro Sigit")</f>
        <v>Adibah Zahro Sigit</v>
      </c>
      <c r="D1544" s="2" t="str">
        <f>IFERROR(__xludf.DUMMYFUNCTION("""COMPUTED_VALUE"""),"5KM OVERALL F")</f>
        <v>5KM OVERALL F</v>
      </c>
      <c r="E1544" s="1">
        <f>IFERROR(__xludf.DUMMYFUNCTION("""COMPUTED_VALUE"""),475.0)</f>
        <v>475</v>
      </c>
      <c r="F1544" s="1" t="str">
        <f>IFERROR(__xludf.DUMMYFUNCTION("""COMPUTED_VALUE"""),"Female")</f>
        <v>Female</v>
      </c>
      <c r="G1544" s="5">
        <f>IFERROR(__xludf.DUMMYFUNCTION("""COMPUTED_VALUE"""),0.009592743055555554)</f>
        <v>0.009592743056</v>
      </c>
      <c r="H1544" s="15">
        <f>IFERROR(__xludf.DUMMYFUNCTION("""COMPUTED_VALUE"""),0.2549440625)</f>
        <v>0.2549440625</v>
      </c>
      <c r="I1544" s="15">
        <f>IFERROR(__xludf.DUMMYFUNCTION("""COMPUTED_VALUE"""),45949.302907781996)</f>
        <v>45949.30291</v>
      </c>
      <c r="J1544" s="15">
        <f>IFERROR(__xludf.DUMMYFUNCTION("""COMPUTED_VALUE"""),45949.047963719495)</f>
        <v>45949.04796</v>
      </c>
      <c r="K1544" s="15">
        <f>IFERROR(__xludf.DUMMYFUNCTION("""COMPUTED_VALUE"""),45949.28356841828)</f>
        <v>45949.28357</v>
      </c>
      <c r="L1544" s="4"/>
    </row>
    <row r="1545">
      <c r="A1545" s="1">
        <f>IFERROR(__xludf.DUMMYFUNCTION("""COMPUTED_VALUE"""),1544.0)</f>
        <v>1544</v>
      </c>
      <c r="B1545" s="1">
        <f>IFERROR(__xludf.DUMMYFUNCTION("""COMPUTED_VALUE"""),5941.0)</f>
        <v>5941</v>
      </c>
      <c r="C1545" s="2" t="str">
        <f>IFERROR(__xludf.DUMMYFUNCTION("""COMPUTED_VALUE"""),"IWAN SOELISTIJONO")</f>
        <v>IWAN SOELISTIJONO</v>
      </c>
      <c r="D1545" s="2" t="str">
        <f>IFERROR(__xludf.DUMMYFUNCTION("""COMPUTED_VALUE"""),"5KM OVERALL M")</f>
        <v>5KM OVERALL M</v>
      </c>
      <c r="E1545" s="1">
        <f>IFERROR(__xludf.DUMMYFUNCTION("""COMPUTED_VALUE"""),827.0)</f>
        <v>827</v>
      </c>
      <c r="F1545" s="1" t="str">
        <f>IFERROR(__xludf.DUMMYFUNCTION("""COMPUTED_VALUE"""),"Male")</f>
        <v>Male</v>
      </c>
      <c r="G1545" s="5">
        <f>IFERROR(__xludf.DUMMYFUNCTION("""COMPUTED_VALUE"""),0.009594837962962965)</f>
        <v>0.009594837963</v>
      </c>
      <c r="H1545" s="15">
        <f>IFERROR(__xludf.DUMMYFUNCTION("""COMPUTED_VALUE"""),0.2549440625)</f>
        <v>0.2549440625</v>
      </c>
      <c r="I1545" s="15">
        <f>IFERROR(__xludf.DUMMYFUNCTION("""COMPUTED_VALUE"""),45949.30291824701)</f>
        <v>45949.30292</v>
      </c>
      <c r="J1545" s="15">
        <f>IFERROR(__xludf.DUMMYFUNCTION("""COMPUTED_VALUE"""),45949.04797418451)</f>
        <v>45949.04797</v>
      </c>
      <c r="K1545" s="15">
        <f>IFERROR(__xludf.DUMMYFUNCTION("""COMPUTED_VALUE"""),45949.2842975856)</f>
        <v>45949.2843</v>
      </c>
      <c r="L1545" s="4"/>
    </row>
    <row r="1546">
      <c r="A1546" s="1">
        <f>IFERROR(__xludf.DUMMYFUNCTION("""COMPUTED_VALUE"""),1545.0)</f>
        <v>1545</v>
      </c>
      <c r="B1546" s="7" t="str">
        <f>IFERROR(__xludf.DUMMYFUNCTION("""COMPUTED_VALUE"""),"7137")</f>
        <v>7137</v>
      </c>
      <c r="C1546" s="8" t="str">
        <f>IFERROR(__xludf.DUMMYFUNCTION("""COMPUTED_VALUE"""),"saifudin")</f>
        <v>saifudin</v>
      </c>
      <c r="D1546" s="2" t="str">
        <f>IFERROR(__xludf.DUMMYFUNCTION("""COMPUTED_VALUE"""),"5KM MASTER M")</f>
        <v>5KM MASTER M</v>
      </c>
      <c r="E1546" s="1">
        <f>IFERROR(__xludf.DUMMYFUNCTION("""COMPUTED_VALUE"""),102.0)</f>
        <v>102</v>
      </c>
      <c r="F1546" s="1" t="str">
        <f>IFERROR(__xludf.DUMMYFUNCTION("""COMPUTED_VALUE"""),"Male")</f>
        <v>Male</v>
      </c>
      <c r="G1546" s="5">
        <f>IFERROR(__xludf.DUMMYFUNCTION("""COMPUTED_VALUE"""),0.00960378009259259)</f>
        <v>0.009603780093</v>
      </c>
      <c r="H1546" s="15">
        <f>IFERROR(__xludf.DUMMYFUNCTION("""COMPUTED_VALUE"""),0.2549440625)</f>
        <v>0.2549440625</v>
      </c>
      <c r="I1546" s="15">
        <f>IFERROR(__xludf.DUMMYFUNCTION("""COMPUTED_VALUE"""),45949.30296296296)</f>
        <v>45949.30296</v>
      </c>
      <c r="J1546" s="15">
        <f>IFERROR(__xludf.DUMMYFUNCTION("""COMPUTED_VALUE"""),45949.04801890046)</f>
        <v>45949.04802</v>
      </c>
      <c r="K1546" s="15">
        <f>IFERROR(__xludf.DUMMYFUNCTION("""COMPUTED_VALUE"""),45949.28449892131)</f>
        <v>45949.2845</v>
      </c>
      <c r="L1546" s="4"/>
    </row>
    <row r="1547">
      <c r="A1547" s="1">
        <f>IFERROR(__xludf.DUMMYFUNCTION("""COMPUTED_VALUE"""),1546.0)</f>
        <v>1546</v>
      </c>
      <c r="B1547" s="1">
        <f>IFERROR(__xludf.DUMMYFUNCTION("""COMPUTED_VALUE"""),6560.0)</f>
        <v>6560</v>
      </c>
      <c r="C1547" s="2" t="str">
        <f>IFERROR(__xludf.DUMMYFUNCTION("""COMPUTED_VALUE"""),"Suryadharma")</f>
        <v>Suryadharma</v>
      </c>
      <c r="D1547" s="2" t="str">
        <f>IFERROR(__xludf.DUMMYFUNCTION("""COMPUTED_VALUE"""),"5KM OVERALL F")</f>
        <v>5KM OVERALL F</v>
      </c>
      <c r="E1547" s="1">
        <f>IFERROR(__xludf.DUMMYFUNCTION("""COMPUTED_VALUE"""),476.0)</f>
        <v>476</v>
      </c>
      <c r="F1547" s="1" t="str">
        <f>IFERROR(__xludf.DUMMYFUNCTION("""COMPUTED_VALUE"""),"Female")</f>
        <v>Female</v>
      </c>
      <c r="G1547" s="5">
        <f>IFERROR(__xludf.DUMMYFUNCTION("""COMPUTED_VALUE"""),0.009603861111111112)</f>
        <v>0.009603861111</v>
      </c>
      <c r="H1547" s="15">
        <f>IFERROR(__xludf.DUMMYFUNCTION("""COMPUTED_VALUE"""),0.2549440625)</f>
        <v>0.2549440625</v>
      </c>
      <c r="I1547" s="15">
        <f>IFERROR(__xludf.DUMMYFUNCTION("""COMPUTED_VALUE"""),45949.30296337379)</f>
        <v>45949.30296</v>
      </c>
      <c r="J1547" s="15">
        <f>IFERROR(__xludf.DUMMYFUNCTION("""COMPUTED_VALUE"""),45949.04801931129)</f>
        <v>45949.04802</v>
      </c>
      <c r="K1547" s="15">
        <f>IFERROR(__xludf.DUMMYFUNCTION("""COMPUTED_VALUE"""),45949.2844295288)</f>
        <v>45949.28443</v>
      </c>
      <c r="L1547" s="4"/>
    </row>
    <row r="1548">
      <c r="A1548" s="1">
        <f>IFERROR(__xludf.DUMMYFUNCTION("""COMPUTED_VALUE"""),1547.0)</f>
        <v>1547</v>
      </c>
      <c r="B1548" s="1">
        <f>IFERROR(__xludf.DUMMYFUNCTION("""COMPUTED_VALUE"""),5245.0)</f>
        <v>5245</v>
      </c>
      <c r="C1548" s="2" t="str">
        <f>IFERROR(__xludf.DUMMYFUNCTION("""COMPUTED_VALUE"""),"Rezha")</f>
        <v>Rezha</v>
      </c>
      <c r="D1548" s="2" t="str">
        <f>IFERROR(__xludf.DUMMYFUNCTION("""COMPUTED_VALUE"""),"5KM OVERALL M")</f>
        <v>5KM OVERALL M</v>
      </c>
      <c r="E1548" s="1">
        <f>IFERROR(__xludf.DUMMYFUNCTION("""COMPUTED_VALUE"""),828.0)</f>
        <v>828</v>
      </c>
      <c r="F1548" s="1" t="str">
        <f>IFERROR(__xludf.DUMMYFUNCTION("""COMPUTED_VALUE"""),"Male")</f>
        <v>Male</v>
      </c>
      <c r="G1548" s="5">
        <f>IFERROR(__xludf.DUMMYFUNCTION("""COMPUTED_VALUE"""),0.009605944444444445)</f>
        <v>0.009605944444</v>
      </c>
      <c r="H1548" s="15">
        <f>IFERROR(__xludf.DUMMYFUNCTION("""COMPUTED_VALUE"""),0.2549440625)</f>
        <v>0.2549440625</v>
      </c>
      <c r="I1548" s="15">
        <f>IFERROR(__xludf.DUMMYFUNCTION("""COMPUTED_VALUE"""),45949.30297379034)</f>
        <v>45949.30297</v>
      </c>
      <c r="J1548" s="15">
        <f>IFERROR(__xludf.DUMMYFUNCTION("""COMPUTED_VALUE"""),45949.04802972784)</f>
        <v>45949.04803</v>
      </c>
      <c r="K1548" s="15">
        <f>IFERROR(__xludf.DUMMYFUNCTION("""COMPUTED_VALUE"""),45949.284495509186)</f>
        <v>45949.2845</v>
      </c>
      <c r="L1548" s="4"/>
    </row>
    <row r="1549">
      <c r="A1549" s="1">
        <f>IFERROR(__xludf.DUMMYFUNCTION("""COMPUTED_VALUE"""),1548.0)</f>
        <v>1548</v>
      </c>
      <c r="B1549" s="1">
        <f>IFERROR(__xludf.DUMMYFUNCTION("""COMPUTED_VALUE"""),5984.0)</f>
        <v>5984</v>
      </c>
      <c r="C1549" s="2" t="str">
        <f>IFERROR(__xludf.DUMMYFUNCTION("""COMPUTED_VALUE"""),"BAGUS")</f>
        <v>BAGUS</v>
      </c>
      <c r="D1549" s="2" t="str">
        <f>IFERROR(__xludf.DUMMYFUNCTION("""COMPUTED_VALUE"""),"5KM OVERALL M")</f>
        <v>5KM OVERALL M</v>
      </c>
      <c r="E1549" s="1">
        <f>IFERROR(__xludf.DUMMYFUNCTION("""COMPUTED_VALUE"""),829.0)</f>
        <v>829</v>
      </c>
      <c r="F1549" s="1" t="str">
        <f>IFERROR(__xludf.DUMMYFUNCTION("""COMPUTED_VALUE"""),"Male")</f>
        <v>Male</v>
      </c>
      <c r="G1549" s="5">
        <f>IFERROR(__xludf.DUMMYFUNCTION("""COMPUTED_VALUE"""),0.009606719907407408)</f>
        <v>0.009606719907</v>
      </c>
      <c r="H1549" s="15">
        <f>IFERROR(__xludf.DUMMYFUNCTION("""COMPUTED_VALUE"""),0.2549440625)</f>
        <v>0.2549440625</v>
      </c>
      <c r="I1549" s="15">
        <f>IFERROR(__xludf.DUMMYFUNCTION("""COMPUTED_VALUE"""),45949.302977660205)</f>
        <v>45949.30298</v>
      </c>
      <c r="J1549" s="15">
        <f>IFERROR(__xludf.DUMMYFUNCTION("""COMPUTED_VALUE"""),45949.048033597704)</f>
        <v>45949.04803</v>
      </c>
      <c r="K1549" s="15">
        <f>IFERROR(__xludf.DUMMYFUNCTION("""COMPUTED_VALUE"""),45949.284297608654)</f>
        <v>45949.2843</v>
      </c>
      <c r="L1549" s="4"/>
    </row>
    <row r="1550">
      <c r="A1550" s="1">
        <f>IFERROR(__xludf.DUMMYFUNCTION("""COMPUTED_VALUE"""),1549.0)</f>
        <v>1549</v>
      </c>
      <c r="B1550" s="1">
        <f>IFERROR(__xludf.DUMMYFUNCTION("""COMPUTED_VALUE"""),6068.0)</f>
        <v>6068</v>
      </c>
      <c r="C1550" s="2" t="str">
        <f>IFERROR(__xludf.DUMMYFUNCTION("""COMPUTED_VALUE"""),"ABI")</f>
        <v>ABI</v>
      </c>
      <c r="D1550" s="2" t="str">
        <f>IFERROR(__xludf.DUMMYFUNCTION("""COMPUTED_VALUE"""),"5KM OVERALL M")</f>
        <v>5KM OVERALL M</v>
      </c>
      <c r="E1550" s="1">
        <f>IFERROR(__xludf.DUMMYFUNCTION("""COMPUTED_VALUE"""),830.0)</f>
        <v>830</v>
      </c>
      <c r="F1550" s="1" t="str">
        <f>IFERROR(__xludf.DUMMYFUNCTION("""COMPUTED_VALUE"""),"Male")</f>
        <v>Male</v>
      </c>
      <c r="G1550" s="5">
        <f>IFERROR(__xludf.DUMMYFUNCTION("""COMPUTED_VALUE"""),0.009609416666666665)</f>
        <v>0.009609416667</v>
      </c>
      <c r="H1550" s="15">
        <f>IFERROR(__xludf.DUMMYFUNCTION("""COMPUTED_VALUE"""),0.2549440625)</f>
        <v>0.2549440625</v>
      </c>
      <c r="I1550" s="15">
        <f>IFERROR(__xludf.DUMMYFUNCTION("""COMPUTED_VALUE"""),45949.30299114659)</f>
        <v>45949.30299</v>
      </c>
      <c r="J1550" s="15">
        <f>IFERROR(__xludf.DUMMYFUNCTION("""COMPUTED_VALUE"""),45949.04804708409)</f>
        <v>45949.04805</v>
      </c>
      <c r="K1550" s="15">
        <f>IFERROR(__xludf.DUMMYFUNCTION("""COMPUTED_VALUE"""),45949.28434963555)</f>
        <v>45949.28435</v>
      </c>
      <c r="L1550" s="4"/>
    </row>
    <row r="1551">
      <c r="A1551" s="1">
        <f>IFERROR(__xludf.DUMMYFUNCTION("""COMPUTED_VALUE"""),1550.0)</f>
        <v>1550</v>
      </c>
      <c r="B1551" s="1">
        <f>IFERROR(__xludf.DUMMYFUNCTION("""COMPUTED_VALUE"""),5813.0)</f>
        <v>5813</v>
      </c>
      <c r="C1551" s="2" t="str">
        <f>IFERROR(__xludf.DUMMYFUNCTION("""COMPUTED_VALUE"""),"Arliansah")</f>
        <v>Arliansah</v>
      </c>
      <c r="D1551" s="2" t="str">
        <f>IFERROR(__xludf.DUMMYFUNCTION("""COMPUTED_VALUE"""),"5KM OVERALL M")</f>
        <v>5KM OVERALL M</v>
      </c>
      <c r="E1551" s="1">
        <f>IFERROR(__xludf.DUMMYFUNCTION("""COMPUTED_VALUE"""),831.0)</f>
        <v>831</v>
      </c>
      <c r="F1551" s="1" t="str">
        <f>IFERROR(__xludf.DUMMYFUNCTION("""COMPUTED_VALUE"""),"Male")</f>
        <v>Male</v>
      </c>
      <c r="G1551" s="5">
        <f>IFERROR(__xludf.DUMMYFUNCTION("""COMPUTED_VALUE"""),0.009610805555555556)</f>
        <v>0.009610805556</v>
      </c>
      <c r="H1551" s="15">
        <f>IFERROR(__xludf.DUMMYFUNCTION("""COMPUTED_VALUE"""),0.2549440625)</f>
        <v>0.2549440625</v>
      </c>
      <c r="I1551" s="15">
        <f>IFERROR(__xludf.DUMMYFUNCTION("""COMPUTED_VALUE"""),45949.30299808843)</f>
        <v>45949.303</v>
      </c>
      <c r="J1551" s="15">
        <f>IFERROR(__xludf.DUMMYFUNCTION("""COMPUTED_VALUE"""),45949.04805402593)</f>
        <v>45949.04805</v>
      </c>
      <c r="K1551" s="15">
        <f>IFERROR(__xludf.DUMMYFUNCTION("""COMPUTED_VALUE"""),45949.284578866645)</f>
        <v>45949.28458</v>
      </c>
      <c r="L1551" s="4"/>
    </row>
    <row r="1552">
      <c r="A1552" s="1">
        <f>IFERROR(__xludf.DUMMYFUNCTION("""COMPUTED_VALUE"""),1551.0)</f>
        <v>1551</v>
      </c>
      <c r="B1552" s="1">
        <f>IFERROR(__xludf.DUMMYFUNCTION("""COMPUTED_VALUE"""),6220.0)</f>
        <v>6220</v>
      </c>
      <c r="C1552" s="2" t="str">
        <f>IFERROR(__xludf.DUMMYFUNCTION("""COMPUTED_VALUE"""),"AKBAR KURNIA OCTAVIANTO")</f>
        <v>AKBAR KURNIA OCTAVIANTO</v>
      </c>
      <c r="D1552" s="2" t="str">
        <f>IFERROR(__xludf.DUMMYFUNCTION("""COMPUTED_VALUE"""),"5KM OVERALL M")</f>
        <v>5KM OVERALL M</v>
      </c>
      <c r="E1552" s="1">
        <f>IFERROR(__xludf.DUMMYFUNCTION("""COMPUTED_VALUE"""),832.0)</f>
        <v>832</v>
      </c>
      <c r="F1552" s="1" t="str">
        <f>IFERROR(__xludf.DUMMYFUNCTION("""COMPUTED_VALUE"""),"Male")</f>
        <v>Male</v>
      </c>
      <c r="G1552" s="5">
        <f>IFERROR(__xludf.DUMMYFUNCTION("""COMPUTED_VALUE"""),0.00961288888888889)</f>
        <v>0.009612888889</v>
      </c>
      <c r="H1552" s="15">
        <f>IFERROR(__xludf.DUMMYFUNCTION("""COMPUTED_VALUE"""),0.2549440625)</f>
        <v>0.2549440625</v>
      </c>
      <c r="I1552" s="15">
        <f>IFERROR(__xludf.DUMMYFUNCTION("""COMPUTED_VALUE"""),45949.30300850305)</f>
        <v>45949.30301</v>
      </c>
      <c r="J1552" s="15">
        <f>IFERROR(__xludf.DUMMYFUNCTION("""COMPUTED_VALUE"""),45949.04806444055)</f>
        <v>45949.04806</v>
      </c>
      <c r="K1552" s="15">
        <f>IFERROR(__xludf.DUMMYFUNCTION("""COMPUTED_VALUE"""),45949.284585767804)</f>
        <v>45949.28459</v>
      </c>
      <c r="L1552" s="4"/>
    </row>
    <row r="1553">
      <c r="A1553" s="1">
        <f>IFERROR(__xludf.DUMMYFUNCTION("""COMPUTED_VALUE"""),1552.0)</f>
        <v>1552</v>
      </c>
      <c r="B1553" s="1">
        <f>IFERROR(__xludf.DUMMYFUNCTION("""COMPUTED_VALUE"""),5652.0)</f>
        <v>5652</v>
      </c>
      <c r="C1553" s="2" t="str">
        <f>IFERROR(__xludf.DUMMYFUNCTION("""COMPUTED_VALUE"""),"Afrias E")</f>
        <v>Afrias E</v>
      </c>
      <c r="D1553" s="2" t="str">
        <f>IFERROR(__xludf.DUMMYFUNCTION("""COMPUTED_VALUE"""),"5KM OVERALL M")</f>
        <v>5KM OVERALL M</v>
      </c>
      <c r="E1553" s="1">
        <f>IFERROR(__xludf.DUMMYFUNCTION("""COMPUTED_VALUE"""),833.0)</f>
        <v>833</v>
      </c>
      <c r="F1553" s="1" t="str">
        <f>IFERROR(__xludf.DUMMYFUNCTION("""COMPUTED_VALUE"""),"Male")</f>
        <v>Male</v>
      </c>
      <c r="G1553" s="5">
        <f>IFERROR(__xludf.DUMMYFUNCTION("""COMPUTED_VALUE"""),0.009613039351851852)</f>
        <v>0.009613039352</v>
      </c>
      <c r="H1553" s="15">
        <f>IFERROR(__xludf.DUMMYFUNCTION("""COMPUTED_VALUE"""),0.2549440625)</f>
        <v>0.2549440625</v>
      </c>
      <c r="I1553" s="15">
        <f>IFERROR(__xludf.DUMMYFUNCTION("""COMPUTED_VALUE"""),45949.30300925926)</f>
        <v>45949.30301</v>
      </c>
      <c r="J1553" s="15">
        <f>IFERROR(__xludf.DUMMYFUNCTION("""COMPUTED_VALUE"""),45949.04806519676)</f>
        <v>45949.04807</v>
      </c>
      <c r="K1553" s="15">
        <f>IFERROR(__xludf.DUMMYFUNCTION("""COMPUTED_VALUE"""),45949.28287739495)</f>
        <v>45949.28288</v>
      </c>
      <c r="L1553" s="4"/>
    </row>
    <row r="1554">
      <c r="A1554" s="1">
        <f>IFERROR(__xludf.DUMMYFUNCTION("""COMPUTED_VALUE"""),1553.0)</f>
        <v>1553</v>
      </c>
      <c r="B1554" s="1">
        <f>IFERROR(__xludf.DUMMYFUNCTION("""COMPUTED_VALUE"""),5822.0)</f>
        <v>5822</v>
      </c>
      <c r="C1554" s="2" t="str">
        <f>IFERROR(__xludf.DUMMYFUNCTION("""COMPUTED_VALUE"""),"tata")</f>
        <v>tata</v>
      </c>
      <c r="D1554" s="2" t="str">
        <f>IFERROR(__xludf.DUMMYFUNCTION("""COMPUTED_VALUE"""),"5KM OVERALL F")</f>
        <v>5KM OVERALL F</v>
      </c>
      <c r="E1554" s="1">
        <f>IFERROR(__xludf.DUMMYFUNCTION("""COMPUTED_VALUE"""),477.0)</f>
        <v>477</v>
      </c>
      <c r="F1554" s="1" t="str">
        <f>IFERROR(__xludf.DUMMYFUNCTION("""COMPUTED_VALUE"""),"Female")</f>
        <v>Female</v>
      </c>
      <c r="G1554" s="5">
        <f>IFERROR(__xludf.DUMMYFUNCTION("""COMPUTED_VALUE"""),0.009616361111111112)</f>
        <v>0.009616361111</v>
      </c>
      <c r="H1554" s="15">
        <f>IFERROR(__xludf.DUMMYFUNCTION("""COMPUTED_VALUE"""),0.2549440625)</f>
        <v>0.2549440625</v>
      </c>
      <c r="I1554" s="15">
        <f>IFERROR(__xludf.DUMMYFUNCTION("""COMPUTED_VALUE"""),45949.303025864734)</f>
        <v>45949.30303</v>
      </c>
      <c r="J1554" s="15">
        <f>IFERROR(__xludf.DUMMYFUNCTION("""COMPUTED_VALUE"""),45949.04808180223)</f>
        <v>45949.04808</v>
      </c>
      <c r="K1554" s="15">
        <f>IFERROR(__xludf.DUMMYFUNCTION("""COMPUTED_VALUE"""),45949.28412744503)</f>
        <v>45949.28413</v>
      </c>
      <c r="L1554" s="4"/>
    </row>
    <row r="1555">
      <c r="A1555" s="1">
        <f>IFERROR(__xludf.DUMMYFUNCTION("""COMPUTED_VALUE"""),1554.0)</f>
        <v>1554</v>
      </c>
      <c r="B1555" s="1">
        <f>IFERROR(__xludf.DUMMYFUNCTION("""COMPUTED_VALUE"""),5797.0)</f>
        <v>5797</v>
      </c>
      <c r="C1555" s="2" t="str">
        <f>IFERROR(__xludf.DUMMYFUNCTION("""COMPUTED_VALUE"""),"siska")</f>
        <v>siska</v>
      </c>
      <c r="D1555" s="2" t="str">
        <f>IFERROR(__xludf.DUMMYFUNCTION("""COMPUTED_VALUE"""),"5KM OVERALL F")</f>
        <v>5KM OVERALL F</v>
      </c>
      <c r="E1555" s="1">
        <f>IFERROR(__xludf.DUMMYFUNCTION("""COMPUTED_VALUE"""),478.0)</f>
        <v>478</v>
      </c>
      <c r="F1555" s="1" t="str">
        <f>IFERROR(__xludf.DUMMYFUNCTION("""COMPUTED_VALUE"""),"Female")</f>
        <v>Female</v>
      </c>
      <c r="G1555" s="5">
        <f>IFERROR(__xludf.DUMMYFUNCTION("""COMPUTED_VALUE"""),0.009622601851851851)</f>
        <v>0.009622601852</v>
      </c>
      <c r="H1555" s="15">
        <f>IFERROR(__xludf.DUMMYFUNCTION("""COMPUTED_VALUE"""),0.2549440625)</f>
        <v>0.2549440625</v>
      </c>
      <c r="I1555" s="15">
        <f>IFERROR(__xludf.DUMMYFUNCTION("""COMPUTED_VALUE"""),45949.303057073186)</f>
        <v>45949.30306</v>
      </c>
      <c r="J1555" s="15">
        <f>IFERROR(__xludf.DUMMYFUNCTION("""COMPUTED_VALUE"""),45949.048113010685)</f>
        <v>45949.04811</v>
      </c>
      <c r="K1555" s="15">
        <f>IFERROR(__xludf.DUMMYFUNCTION("""COMPUTED_VALUE"""),45949.28413091907)</f>
        <v>45949.28413</v>
      </c>
      <c r="L1555" s="4"/>
    </row>
    <row r="1556">
      <c r="A1556" s="1">
        <f>IFERROR(__xludf.DUMMYFUNCTION("""COMPUTED_VALUE"""),1555.0)</f>
        <v>1555</v>
      </c>
      <c r="B1556" s="1">
        <f>IFERROR(__xludf.DUMMYFUNCTION("""COMPUTED_VALUE"""),6505.0)</f>
        <v>6505</v>
      </c>
      <c r="C1556" s="2" t="str">
        <f>IFERROR(__xludf.DUMMYFUNCTION("""COMPUTED_VALUE"""),"BANJARMASIN POST")</f>
        <v>BANJARMASIN POST</v>
      </c>
      <c r="D1556" s="2" t="str">
        <f>IFERROR(__xludf.DUMMYFUNCTION("""COMPUTED_VALUE"""),"5KM OVERALL M")</f>
        <v>5KM OVERALL M</v>
      </c>
      <c r="E1556" s="1">
        <f>IFERROR(__xludf.DUMMYFUNCTION("""COMPUTED_VALUE"""),834.0)</f>
        <v>834</v>
      </c>
      <c r="F1556" s="1" t="str">
        <f>IFERROR(__xludf.DUMMYFUNCTION("""COMPUTED_VALUE"""),"Male")</f>
        <v>Male</v>
      </c>
      <c r="G1556" s="5">
        <f>IFERROR(__xludf.DUMMYFUNCTION("""COMPUTED_VALUE"""),0.00963163888888889)</f>
        <v>0.009631638889</v>
      </c>
      <c r="H1556" s="15">
        <f>IFERROR(__xludf.DUMMYFUNCTION("""COMPUTED_VALUE"""),0.2549440625)</f>
        <v>0.2549440625</v>
      </c>
      <c r="I1556" s="15">
        <f>IFERROR(__xludf.DUMMYFUNCTION("""COMPUTED_VALUE"""),45949.303102261016)</f>
        <v>45949.3031</v>
      </c>
      <c r="J1556" s="15">
        <f>IFERROR(__xludf.DUMMYFUNCTION("""COMPUTED_VALUE"""),45949.048158198515)</f>
        <v>45949.04816</v>
      </c>
      <c r="K1556" s="15">
        <f>IFERROR(__xludf.DUMMYFUNCTION("""COMPUTED_VALUE"""),45949.283554523514)</f>
        <v>45949.28355</v>
      </c>
      <c r="L1556" s="4"/>
    </row>
    <row r="1557">
      <c r="A1557" s="1">
        <f>IFERROR(__xludf.DUMMYFUNCTION("""COMPUTED_VALUE"""),1556.0)</f>
        <v>1556</v>
      </c>
      <c r="B1557" s="1">
        <f>IFERROR(__xludf.DUMMYFUNCTION("""COMPUTED_VALUE"""),6196.0)</f>
        <v>6196</v>
      </c>
      <c r="C1557" s="2" t="str">
        <f>IFERROR(__xludf.DUMMYFUNCTION("""COMPUTED_VALUE"""),"Arief Rahman")</f>
        <v>Arief Rahman</v>
      </c>
      <c r="D1557" s="2" t="str">
        <f>IFERROR(__xludf.DUMMYFUNCTION("""COMPUTED_VALUE"""),"5KM OVERALL M")</f>
        <v>5KM OVERALL M</v>
      </c>
      <c r="E1557" s="1">
        <f>IFERROR(__xludf.DUMMYFUNCTION("""COMPUTED_VALUE"""),835.0)</f>
        <v>835</v>
      </c>
      <c r="F1557" s="1" t="str">
        <f>IFERROR(__xludf.DUMMYFUNCTION("""COMPUTED_VALUE"""),"Male")</f>
        <v>Male</v>
      </c>
      <c r="G1557" s="5">
        <f>IFERROR(__xludf.DUMMYFUNCTION("""COMPUTED_VALUE"""),0.009640030092592594)</f>
        <v>0.009640030093</v>
      </c>
      <c r="H1557" s="15">
        <f>IFERROR(__xludf.DUMMYFUNCTION("""COMPUTED_VALUE"""),0.2549440625)</f>
        <v>0.2549440625</v>
      </c>
      <c r="I1557" s="15">
        <f>IFERROR(__xludf.DUMMYFUNCTION("""COMPUTED_VALUE"""),45949.30314420951)</f>
        <v>45949.30314</v>
      </c>
      <c r="J1557" s="15">
        <f>IFERROR(__xludf.DUMMYFUNCTION("""COMPUTED_VALUE"""),45949.04820014701)</f>
        <v>45949.0482</v>
      </c>
      <c r="K1557" s="15">
        <f>IFERROR(__xludf.DUMMYFUNCTION("""COMPUTED_VALUE"""),45949.28283230338)</f>
        <v>45949.28283</v>
      </c>
      <c r="L1557" s="4"/>
    </row>
    <row r="1558">
      <c r="A1558" s="1">
        <f>IFERROR(__xludf.DUMMYFUNCTION("""COMPUTED_VALUE"""),1557.0)</f>
        <v>1557</v>
      </c>
      <c r="B1558" s="1">
        <f>IFERROR(__xludf.DUMMYFUNCTION("""COMPUTED_VALUE"""),6542.0)</f>
        <v>6542</v>
      </c>
      <c r="C1558" s="2" t="str">
        <f>IFERROR(__xludf.DUMMYFUNCTION("""COMPUTED_VALUE"""),"TIAWATI")</f>
        <v>TIAWATI</v>
      </c>
      <c r="D1558" s="2" t="str">
        <f>IFERROR(__xludf.DUMMYFUNCTION("""COMPUTED_VALUE"""),"5KM OVERALL F")</f>
        <v>5KM OVERALL F</v>
      </c>
      <c r="E1558" s="1">
        <f>IFERROR(__xludf.DUMMYFUNCTION("""COMPUTED_VALUE"""),479.0)</f>
        <v>479</v>
      </c>
      <c r="F1558" s="1" t="str">
        <f>IFERROR(__xludf.DUMMYFUNCTION("""COMPUTED_VALUE"""),"Female")</f>
        <v>Female</v>
      </c>
      <c r="G1558" s="5">
        <f>IFERROR(__xludf.DUMMYFUNCTION("""COMPUTED_VALUE"""),0.009646210648148147)</f>
        <v>0.009646210648</v>
      </c>
      <c r="H1558" s="15">
        <f>IFERROR(__xludf.DUMMYFUNCTION("""COMPUTED_VALUE"""),0.2549440625)</f>
        <v>0.2549440625</v>
      </c>
      <c r="I1558" s="15">
        <f>IFERROR(__xludf.DUMMYFUNCTION("""COMPUTED_VALUE"""),45949.30317511853)</f>
        <v>45949.30318</v>
      </c>
      <c r="J1558" s="15">
        <f>IFERROR(__xludf.DUMMYFUNCTION("""COMPUTED_VALUE"""),45949.04823105603)</f>
        <v>45949.04823</v>
      </c>
      <c r="K1558" s="15">
        <f>IFERROR(__xludf.DUMMYFUNCTION("""COMPUTED_VALUE"""),45949.28233232675)</f>
        <v>45949.28233</v>
      </c>
      <c r="L1558" s="4"/>
    </row>
    <row r="1559">
      <c r="A1559" s="1">
        <f>IFERROR(__xludf.DUMMYFUNCTION("""COMPUTED_VALUE"""),1558.0)</f>
        <v>1558</v>
      </c>
      <c r="B1559" s="1">
        <f>IFERROR(__xludf.DUMMYFUNCTION("""COMPUTED_VALUE"""),5476.0)</f>
        <v>5476</v>
      </c>
      <c r="C1559" s="2" t="str">
        <f>IFERROR(__xludf.DUMMYFUNCTION("""COMPUTED_VALUE"""),"Ratna")</f>
        <v>Ratna</v>
      </c>
      <c r="D1559" s="2" t="str">
        <f>IFERROR(__xludf.DUMMYFUNCTION("""COMPUTED_VALUE"""),"5KM OVERALL F")</f>
        <v>5KM OVERALL F</v>
      </c>
      <c r="E1559" s="1">
        <f>IFERROR(__xludf.DUMMYFUNCTION("""COMPUTED_VALUE"""),480.0)</f>
        <v>480</v>
      </c>
      <c r="F1559" s="1" t="str">
        <f>IFERROR(__xludf.DUMMYFUNCTION("""COMPUTED_VALUE"""),"Female")</f>
        <v>Female</v>
      </c>
      <c r="G1559" s="5">
        <f>IFERROR(__xludf.DUMMYFUNCTION("""COMPUTED_VALUE"""),0.009745518518518518)</f>
        <v>0.009745518519</v>
      </c>
      <c r="H1559" s="15">
        <f>IFERROR(__xludf.DUMMYFUNCTION("""COMPUTED_VALUE"""),0.2549440625)</f>
        <v>0.2549440625</v>
      </c>
      <c r="I1559" s="15">
        <f>IFERROR(__xludf.DUMMYFUNCTION("""COMPUTED_VALUE"""),45949.30367165286)</f>
        <v>45949.30367</v>
      </c>
      <c r="J1559" s="15">
        <f>IFERROR(__xludf.DUMMYFUNCTION("""COMPUTED_VALUE"""),45949.04872759036)</f>
        <v>45949.04873</v>
      </c>
      <c r="K1559" s="15">
        <f>IFERROR(__xludf.DUMMYFUNCTION("""COMPUTED_VALUE"""),45949.284255927334)</f>
        <v>45949.28426</v>
      </c>
      <c r="L1559" s="4"/>
    </row>
    <row r="1560">
      <c r="A1560" s="1">
        <f>IFERROR(__xludf.DUMMYFUNCTION("""COMPUTED_VALUE"""),1559.0)</f>
        <v>1559</v>
      </c>
      <c r="B1560" s="1">
        <f>IFERROR(__xludf.DUMMYFUNCTION("""COMPUTED_VALUE"""),5030.0)</f>
        <v>5030</v>
      </c>
      <c r="C1560" s="2" t="str">
        <f>IFERROR(__xludf.DUMMYFUNCTION("""COMPUTED_VALUE"""),"RAN")</f>
        <v>RAN</v>
      </c>
      <c r="D1560" s="2" t="str">
        <f>IFERROR(__xludf.DUMMYFUNCTION("""COMPUTED_VALUE"""),"5KM OVERALL M")</f>
        <v>5KM OVERALL M</v>
      </c>
      <c r="E1560" s="1">
        <f>IFERROR(__xludf.DUMMYFUNCTION("""COMPUTED_VALUE"""),836.0)</f>
        <v>836</v>
      </c>
      <c r="F1560" s="1" t="str">
        <f>IFERROR(__xludf.DUMMYFUNCTION("""COMPUTED_VALUE"""),"Male")</f>
        <v>Male</v>
      </c>
      <c r="G1560" s="5">
        <f>IFERROR(__xludf.DUMMYFUNCTION("""COMPUTED_VALUE"""),0.009768435185185186)</f>
        <v>0.009768435185</v>
      </c>
      <c r="H1560" s="15">
        <f>IFERROR(__xludf.DUMMYFUNCTION("""COMPUTED_VALUE"""),0.2549440625)</f>
        <v>0.2549440625</v>
      </c>
      <c r="I1560" s="15">
        <f>IFERROR(__xludf.DUMMYFUNCTION("""COMPUTED_VALUE"""),45949.30378624221)</f>
        <v>45949.30379</v>
      </c>
      <c r="J1560" s="15">
        <f>IFERROR(__xludf.DUMMYFUNCTION("""COMPUTED_VALUE"""),45949.04884217971)</f>
        <v>45949.04884</v>
      </c>
      <c r="K1560" s="15">
        <f>IFERROR(__xludf.DUMMYFUNCTION("""COMPUTED_VALUE"""),45949.28210308566)</f>
        <v>45949.2821</v>
      </c>
      <c r="L1560" s="4"/>
    </row>
    <row r="1561">
      <c r="A1561" s="1">
        <f>IFERROR(__xludf.DUMMYFUNCTION("""COMPUTED_VALUE"""),1560.0)</f>
        <v>1560</v>
      </c>
      <c r="B1561" s="1">
        <f>IFERROR(__xludf.DUMMYFUNCTION("""COMPUTED_VALUE"""),5121.0)</f>
        <v>5121</v>
      </c>
      <c r="C1561" s="2" t="str">
        <f>IFERROR(__xludf.DUMMYFUNCTION("""COMPUTED_VALUE"""),"MIA")</f>
        <v>MIA</v>
      </c>
      <c r="D1561" s="2" t="str">
        <f>IFERROR(__xludf.DUMMYFUNCTION("""COMPUTED_VALUE"""),"5KM OVERALL F")</f>
        <v>5KM OVERALL F</v>
      </c>
      <c r="E1561" s="1">
        <f>IFERROR(__xludf.DUMMYFUNCTION("""COMPUTED_VALUE"""),481.0)</f>
        <v>481</v>
      </c>
      <c r="F1561" s="1" t="str">
        <f>IFERROR(__xludf.DUMMYFUNCTION("""COMPUTED_VALUE"""),"Female")</f>
        <v>Female</v>
      </c>
      <c r="G1561" s="5">
        <f>IFERROR(__xludf.DUMMYFUNCTION("""COMPUTED_VALUE"""),0.009768439814814815)</f>
        <v>0.009768439815</v>
      </c>
      <c r="H1561" s="15">
        <f>IFERROR(__xludf.DUMMYFUNCTION("""COMPUTED_VALUE"""),0.2549440625)</f>
        <v>0.2549440625</v>
      </c>
      <c r="I1561" s="15">
        <f>IFERROR(__xludf.DUMMYFUNCTION("""COMPUTED_VALUE"""),45949.303786265424)</f>
        <v>45949.30379</v>
      </c>
      <c r="J1561" s="15">
        <f>IFERROR(__xludf.DUMMYFUNCTION("""COMPUTED_VALUE"""),45949.04884220292)</f>
        <v>45949.04884</v>
      </c>
      <c r="K1561" s="15">
        <f>IFERROR(__xludf.DUMMYFUNCTION("""COMPUTED_VALUE"""),45949.28211008296)</f>
        <v>45949.28211</v>
      </c>
      <c r="L1561" s="4"/>
    </row>
    <row r="1562">
      <c r="A1562" s="1">
        <f>IFERROR(__xludf.DUMMYFUNCTION("""COMPUTED_VALUE"""),1561.0)</f>
        <v>1561</v>
      </c>
      <c r="B1562" s="1">
        <f>IFERROR(__xludf.DUMMYFUNCTION("""COMPUTED_VALUE"""),5831.0)</f>
        <v>5831</v>
      </c>
      <c r="C1562" s="2" t="str">
        <f>IFERROR(__xludf.DUMMYFUNCTION("""COMPUTED_VALUE"""),"NIHNA")</f>
        <v>NIHNA</v>
      </c>
      <c r="D1562" s="2" t="str">
        <f>IFERROR(__xludf.DUMMYFUNCTION("""COMPUTED_VALUE"""),"5KM OVERALL F")</f>
        <v>5KM OVERALL F</v>
      </c>
      <c r="E1562" s="1">
        <f>IFERROR(__xludf.DUMMYFUNCTION("""COMPUTED_VALUE"""),482.0)</f>
        <v>482</v>
      </c>
      <c r="F1562" s="1" t="str">
        <f>IFERROR(__xludf.DUMMYFUNCTION("""COMPUTED_VALUE"""),"Female")</f>
        <v>Female</v>
      </c>
      <c r="G1562" s="5">
        <f>IFERROR(__xludf.DUMMYFUNCTION("""COMPUTED_VALUE"""),0.009789972222222222)</f>
        <v>0.009789972222</v>
      </c>
      <c r="H1562" s="15">
        <f>IFERROR(__xludf.DUMMYFUNCTION("""COMPUTED_VALUE"""),0.2549440625)</f>
        <v>0.2549440625</v>
      </c>
      <c r="I1562" s="15">
        <f>IFERROR(__xludf.DUMMYFUNCTION("""COMPUTED_VALUE"""),45949.30389392692)</f>
        <v>45949.30389</v>
      </c>
      <c r="J1562" s="15">
        <f>IFERROR(__xludf.DUMMYFUNCTION("""COMPUTED_VALUE"""),45949.04894986442)</f>
        <v>45949.04895</v>
      </c>
      <c r="K1562" s="15">
        <f>IFERROR(__xludf.DUMMYFUNCTION("""COMPUTED_VALUE"""),45949.28541216727)</f>
        <v>45949.28541</v>
      </c>
      <c r="L1562" s="4"/>
    </row>
    <row r="1563">
      <c r="A1563" s="1">
        <f>IFERROR(__xludf.DUMMYFUNCTION("""COMPUTED_VALUE"""),1562.0)</f>
        <v>1562</v>
      </c>
      <c r="B1563" s="1">
        <f>IFERROR(__xludf.DUMMYFUNCTION("""COMPUTED_VALUE"""),5959.0)</f>
        <v>5959</v>
      </c>
      <c r="C1563" s="2" t="str">
        <f>IFERROR(__xludf.DUMMYFUNCTION("""COMPUTED_VALUE"""),"Fajar")</f>
        <v>Fajar</v>
      </c>
      <c r="D1563" s="2" t="str">
        <f>IFERROR(__xludf.DUMMYFUNCTION("""COMPUTED_VALUE"""),"5KM OVERALL M")</f>
        <v>5KM OVERALL M</v>
      </c>
      <c r="E1563" s="1">
        <f>IFERROR(__xludf.DUMMYFUNCTION("""COMPUTED_VALUE"""),837.0)</f>
        <v>837</v>
      </c>
      <c r="F1563" s="1" t="str">
        <f>IFERROR(__xludf.DUMMYFUNCTION("""COMPUTED_VALUE"""),"Male")</f>
        <v>Male</v>
      </c>
      <c r="G1563" s="5">
        <f>IFERROR(__xludf.DUMMYFUNCTION("""COMPUTED_VALUE"""),0.00979343287037037)</f>
        <v>0.00979343287</v>
      </c>
      <c r="H1563" s="15">
        <f>IFERROR(__xludf.DUMMYFUNCTION("""COMPUTED_VALUE"""),0.2549440625)</f>
        <v>0.2549440625</v>
      </c>
      <c r="I1563" s="15">
        <f>IFERROR(__xludf.DUMMYFUNCTION("""COMPUTED_VALUE"""),45949.303911231655)</f>
        <v>45949.30391</v>
      </c>
      <c r="J1563" s="15">
        <f>IFERROR(__xludf.DUMMYFUNCTION("""COMPUTED_VALUE"""),45949.048967169154)</f>
        <v>45949.04897</v>
      </c>
      <c r="K1563" s="15">
        <f>IFERROR(__xludf.DUMMYFUNCTION("""COMPUTED_VALUE"""),45949.28449893255)</f>
        <v>45949.2845</v>
      </c>
      <c r="L1563" s="4"/>
    </row>
    <row r="1564">
      <c r="A1564" s="1">
        <f>IFERROR(__xludf.DUMMYFUNCTION("""COMPUTED_VALUE"""),1563.0)</f>
        <v>1563</v>
      </c>
      <c r="B1564" s="1">
        <f>IFERROR(__xludf.DUMMYFUNCTION("""COMPUTED_VALUE"""),6455.0)</f>
        <v>6455</v>
      </c>
      <c r="C1564" s="2" t="str">
        <f>IFERROR(__xludf.DUMMYFUNCTION("""COMPUTED_VALUE"""),"-")</f>
        <v>-</v>
      </c>
      <c r="D1564" s="2" t="str">
        <f>IFERROR(__xludf.DUMMYFUNCTION("""COMPUTED_VALUE"""),"5KM OVERALL M")</f>
        <v>5KM OVERALL M</v>
      </c>
      <c r="E1564" s="1">
        <f>IFERROR(__xludf.DUMMYFUNCTION("""COMPUTED_VALUE"""),838.0)</f>
        <v>838</v>
      </c>
      <c r="F1564" s="1" t="str">
        <f>IFERROR(__xludf.DUMMYFUNCTION("""COMPUTED_VALUE"""),"Male")</f>
        <v>Male</v>
      </c>
      <c r="G1564" s="5">
        <f>IFERROR(__xludf.DUMMYFUNCTION("""COMPUTED_VALUE"""),0.009808030092592594)</f>
        <v>0.009808030093</v>
      </c>
      <c r="H1564" s="15">
        <f>IFERROR(__xludf.DUMMYFUNCTION("""COMPUTED_VALUE"""),0.2549440625)</f>
        <v>0.2549440625</v>
      </c>
      <c r="I1564" s="15">
        <f>IFERROR(__xludf.DUMMYFUNCTION("""COMPUTED_VALUE"""),45949.303984212114)</f>
        <v>45949.30398</v>
      </c>
      <c r="J1564" s="15">
        <f>IFERROR(__xludf.DUMMYFUNCTION("""COMPUTED_VALUE"""),45949.04904014961)</f>
        <v>45949.04904</v>
      </c>
      <c r="K1564" s="15">
        <f>IFERROR(__xludf.DUMMYFUNCTION("""COMPUTED_VALUE"""),45949.28355454666)</f>
        <v>45949.28355</v>
      </c>
      <c r="L1564" s="4"/>
    </row>
    <row r="1565">
      <c r="A1565" s="1">
        <f>IFERROR(__xludf.DUMMYFUNCTION("""COMPUTED_VALUE"""),1564.0)</f>
        <v>1564</v>
      </c>
      <c r="B1565" s="1">
        <f>IFERROR(__xludf.DUMMYFUNCTION("""COMPUTED_VALUE"""),5965.0)</f>
        <v>5965</v>
      </c>
      <c r="C1565" s="2" t="str">
        <f>IFERROR(__xludf.DUMMYFUNCTION("""COMPUTED_VALUE"""),"Setiyawan")</f>
        <v>Setiyawan</v>
      </c>
      <c r="D1565" s="2" t="str">
        <f>IFERROR(__xludf.DUMMYFUNCTION("""COMPUTED_VALUE"""),"5KM OVERALL M")</f>
        <v>5KM OVERALL M</v>
      </c>
      <c r="E1565" s="1">
        <f>IFERROR(__xludf.DUMMYFUNCTION("""COMPUTED_VALUE"""),839.0)</f>
        <v>839</v>
      </c>
      <c r="F1565" s="1" t="str">
        <f>IFERROR(__xludf.DUMMYFUNCTION("""COMPUTED_VALUE"""),"Male")</f>
        <v>Male</v>
      </c>
      <c r="G1565" s="5">
        <f>IFERROR(__xludf.DUMMYFUNCTION("""COMPUTED_VALUE"""),0.009809414351851852)</f>
        <v>0.009809414352</v>
      </c>
      <c r="H1565" s="15">
        <f>IFERROR(__xludf.DUMMYFUNCTION("""COMPUTED_VALUE"""),0.2549440625)</f>
        <v>0.2549440625</v>
      </c>
      <c r="I1565" s="15">
        <f>IFERROR(__xludf.DUMMYFUNCTION("""COMPUTED_VALUE"""),45949.303991130204)</f>
        <v>45949.30399</v>
      </c>
      <c r="J1565" s="15">
        <f>IFERROR(__xludf.DUMMYFUNCTION("""COMPUTED_VALUE"""),45949.0490470677)</f>
        <v>45949.04905</v>
      </c>
      <c r="K1565" s="15">
        <f>IFERROR(__xludf.DUMMYFUNCTION("""COMPUTED_VALUE"""),45949.284436404516)</f>
        <v>45949.28444</v>
      </c>
      <c r="L1565" s="4"/>
    </row>
    <row r="1566">
      <c r="A1566" s="1">
        <f>IFERROR(__xludf.DUMMYFUNCTION("""COMPUTED_VALUE"""),1565.0)</f>
        <v>1565</v>
      </c>
      <c r="B1566" s="1">
        <f>IFERROR(__xludf.DUMMYFUNCTION("""COMPUTED_VALUE"""),6463.0)</f>
        <v>6463</v>
      </c>
      <c r="C1566" s="2" t="str">
        <f>IFERROR(__xludf.DUMMYFUNCTION("""COMPUTED_VALUE"""),"DISHUB")</f>
        <v>DISHUB</v>
      </c>
      <c r="D1566" s="2" t="str">
        <f>IFERROR(__xludf.DUMMYFUNCTION("""COMPUTED_VALUE"""),"5KM OVERALL M")</f>
        <v>5KM OVERALL M</v>
      </c>
      <c r="E1566" s="1">
        <f>IFERROR(__xludf.DUMMYFUNCTION("""COMPUTED_VALUE"""),840.0)</f>
        <v>840</v>
      </c>
      <c r="F1566" s="1" t="str">
        <f>IFERROR(__xludf.DUMMYFUNCTION("""COMPUTED_VALUE"""),"Male")</f>
        <v>Male</v>
      </c>
      <c r="G1566" s="5">
        <f>IFERROR(__xludf.DUMMYFUNCTION("""COMPUTED_VALUE"""),0.009875388888888888)</f>
        <v>0.009875388889</v>
      </c>
      <c r="H1566" s="15">
        <f>IFERROR(__xludf.DUMMYFUNCTION("""COMPUTED_VALUE"""),0.2549440625)</f>
        <v>0.2549440625</v>
      </c>
      <c r="I1566" s="15">
        <f>IFERROR(__xludf.DUMMYFUNCTION("""COMPUTED_VALUE"""),45949.3043210082)</f>
        <v>45949.30432</v>
      </c>
      <c r="J1566" s="15">
        <f>IFERROR(__xludf.DUMMYFUNCTION("""COMPUTED_VALUE"""),45949.0493769457)</f>
        <v>45949.04938</v>
      </c>
      <c r="K1566" s="15">
        <f>IFERROR(__xludf.DUMMYFUNCTION("""COMPUTED_VALUE"""),45949.28350934158)</f>
        <v>45949.28351</v>
      </c>
      <c r="L1566" s="4"/>
    </row>
    <row r="1567">
      <c r="A1567" s="1">
        <f>IFERROR(__xludf.DUMMYFUNCTION("""COMPUTED_VALUE"""),1566.0)</f>
        <v>1566</v>
      </c>
      <c r="B1567" s="1">
        <f>IFERROR(__xludf.DUMMYFUNCTION("""COMPUTED_VALUE"""),6470.0)</f>
        <v>6470</v>
      </c>
      <c r="C1567" s="2" t="str">
        <f>IFERROR(__xludf.DUMMYFUNCTION("""COMPUTED_VALUE"""),"DISHUB")</f>
        <v>DISHUB</v>
      </c>
      <c r="D1567" s="2" t="str">
        <f>IFERROR(__xludf.DUMMYFUNCTION("""COMPUTED_VALUE"""),"5KM OVERALL M")</f>
        <v>5KM OVERALL M</v>
      </c>
      <c r="E1567" s="1">
        <f>IFERROR(__xludf.DUMMYFUNCTION("""COMPUTED_VALUE"""),841.0)</f>
        <v>841</v>
      </c>
      <c r="F1567" s="1" t="str">
        <f>IFERROR(__xludf.DUMMYFUNCTION("""COMPUTED_VALUE"""),"Male")</f>
        <v>Male</v>
      </c>
      <c r="G1567" s="5">
        <f>IFERROR(__xludf.DUMMYFUNCTION("""COMPUTED_VALUE"""),0.00987886111111111)</f>
        <v>0.009878861111</v>
      </c>
      <c r="H1567" s="15">
        <f>IFERROR(__xludf.DUMMYFUNCTION("""COMPUTED_VALUE"""),0.2549440625)</f>
        <v>0.2549440625</v>
      </c>
      <c r="I1567" s="15">
        <f>IFERROR(__xludf.DUMMYFUNCTION("""COMPUTED_VALUE"""),45949.30433836295)</f>
        <v>45949.30434</v>
      </c>
      <c r="J1567" s="15">
        <f>IFERROR(__xludf.DUMMYFUNCTION("""COMPUTED_VALUE"""),45949.04939430045)</f>
        <v>45949.04939</v>
      </c>
      <c r="K1567" s="15">
        <f>IFERROR(__xludf.DUMMYFUNCTION("""COMPUTED_VALUE"""),45949.28348154747)</f>
        <v>45949.28348</v>
      </c>
      <c r="L1567" s="4"/>
    </row>
    <row r="1568">
      <c r="A1568" s="1">
        <f>IFERROR(__xludf.DUMMYFUNCTION("""COMPUTED_VALUE"""),1567.0)</f>
        <v>1567</v>
      </c>
      <c r="B1568" s="1">
        <f>IFERROR(__xludf.DUMMYFUNCTION("""COMPUTED_VALUE"""),6460.0)</f>
        <v>6460</v>
      </c>
      <c r="C1568" s="2" t="str">
        <f>IFERROR(__xludf.DUMMYFUNCTION("""COMPUTED_VALUE"""),"KASIE YANMIN")</f>
        <v>KASIE YANMIN</v>
      </c>
      <c r="D1568" s="2" t="str">
        <f>IFERROR(__xludf.DUMMYFUNCTION("""COMPUTED_VALUE"""),"5KM OVERALL M")</f>
        <v>5KM OVERALL M</v>
      </c>
      <c r="E1568" s="1">
        <f>IFERROR(__xludf.DUMMYFUNCTION("""COMPUTED_VALUE"""),842.0)</f>
        <v>842</v>
      </c>
      <c r="F1568" s="1" t="str">
        <f>IFERROR(__xludf.DUMMYFUNCTION("""COMPUTED_VALUE"""),"Male")</f>
        <v>Male</v>
      </c>
      <c r="G1568" s="5">
        <f>IFERROR(__xludf.DUMMYFUNCTION("""COMPUTED_VALUE"""),0.009883018518518518)</f>
        <v>0.009883018519</v>
      </c>
      <c r="H1568" s="15">
        <f>IFERROR(__xludf.DUMMYFUNCTION("""COMPUTED_VALUE"""),0.2549440625)</f>
        <v>0.2549440625</v>
      </c>
      <c r="I1568" s="15">
        <f>IFERROR(__xludf.DUMMYFUNCTION("""COMPUTED_VALUE"""),45949.30435915003)</f>
        <v>45949.30436</v>
      </c>
      <c r="J1568" s="15">
        <f>IFERROR(__xludf.DUMMYFUNCTION("""COMPUTED_VALUE"""),45949.04941508753)</f>
        <v>45949.04942</v>
      </c>
      <c r="K1568" s="15">
        <f>IFERROR(__xludf.DUMMYFUNCTION("""COMPUTED_VALUE"""),45949.28380098775)</f>
        <v>45949.2838</v>
      </c>
      <c r="L1568" s="4"/>
    </row>
    <row r="1569">
      <c r="A1569" s="1">
        <f>IFERROR(__xludf.DUMMYFUNCTION("""COMPUTED_VALUE"""),1568.0)</f>
        <v>1568</v>
      </c>
      <c r="B1569" s="1">
        <f>IFERROR(__xludf.DUMMYFUNCTION("""COMPUTED_VALUE"""),5258.0)</f>
        <v>5258</v>
      </c>
      <c r="C1569" s="2" t="str">
        <f>IFERROR(__xludf.DUMMYFUNCTION("""COMPUTED_VALUE"""),"desprina")</f>
        <v>desprina</v>
      </c>
      <c r="D1569" s="2" t="str">
        <f>IFERROR(__xludf.DUMMYFUNCTION("""COMPUTED_VALUE"""),"5KM OVERALL F")</f>
        <v>5KM OVERALL F</v>
      </c>
      <c r="E1569" s="1">
        <f>IFERROR(__xludf.DUMMYFUNCTION("""COMPUTED_VALUE"""),483.0)</f>
        <v>483</v>
      </c>
      <c r="F1569" s="1" t="str">
        <f>IFERROR(__xludf.DUMMYFUNCTION("""COMPUTED_VALUE"""),"Female")</f>
        <v>Female</v>
      </c>
      <c r="G1569" s="5">
        <f>IFERROR(__xludf.DUMMYFUNCTION("""COMPUTED_VALUE"""),0.009910111111111109)</f>
        <v>0.009910111111</v>
      </c>
      <c r="H1569" s="15">
        <f>IFERROR(__xludf.DUMMYFUNCTION("""COMPUTED_VALUE"""),0.2549440625)</f>
        <v>0.2549440625</v>
      </c>
      <c r="I1569" s="15">
        <f>IFERROR(__xludf.DUMMYFUNCTION("""COMPUTED_VALUE"""),45949.304494621545)</f>
        <v>45949.30449</v>
      </c>
      <c r="J1569" s="15">
        <f>IFERROR(__xludf.DUMMYFUNCTION("""COMPUTED_VALUE"""),45949.049550559044)</f>
        <v>45949.04955</v>
      </c>
      <c r="K1569" s="15">
        <f>IFERROR(__xludf.DUMMYFUNCTION("""COMPUTED_VALUE"""),45949.281714183155)</f>
        <v>45949.28171</v>
      </c>
      <c r="L1569" s="4"/>
    </row>
    <row r="1570">
      <c r="A1570" s="1">
        <f>IFERROR(__xludf.DUMMYFUNCTION("""COMPUTED_VALUE"""),1569.0)</f>
        <v>1569</v>
      </c>
      <c r="B1570" s="1">
        <f>IFERROR(__xludf.DUMMYFUNCTION("""COMPUTED_VALUE"""),6122.0)</f>
        <v>6122</v>
      </c>
      <c r="C1570" s="2" t="str">
        <f>IFERROR(__xludf.DUMMYFUNCTION("""COMPUTED_VALUE"""),"Fitriyani")</f>
        <v>Fitriyani</v>
      </c>
      <c r="D1570" s="2" t="str">
        <f>IFERROR(__xludf.DUMMYFUNCTION("""COMPUTED_VALUE"""),"5KM OVERALL F")</f>
        <v>5KM OVERALL F</v>
      </c>
      <c r="E1570" s="1">
        <f>IFERROR(__xludf.DUMMYFUNCTION("""COMPUTED_VALUE"""),484.0)</f>
        <v>484</v>
      </c>
      <c r="F1570" s="1" t="str">
        <f>IFERROR(__xludf.DUMMYFUNCTION("""COMPUTED_VALUE"""),"Female")</f>
        <v>Female</v>
      </c>
      <c r="G1570" s="5">
        <f>IFERROR(__xludf.DUMMYFUNCTION("""COMPUTED_VALUE"""),0.009912877314814815)</f>
        <v>0.009912877315</v>
      </c>
      <c r="H1570" s="15">
        <f>IFERROR(__xludf.DUMMYFUNCTION("""COMPUTED_VALUE"""),0.2549440625)</f>
        <v>0.2549440625</v>
      </c>
      <c r="I1570" s="15">
        <f>IFERROR(__xludf.DUMMYFUNCTION("""COMPUTED_VALUE"""),45949.30450845477)</f>
        <v>45949.30451</v>
      </c>
      <c r="J1570" s="15">
        <f>IFERROR(__xludf.DUMMYFUNCTION("""COMPUTED_VALUE"""),45949.04956439227)</f>
        <v>45949.04956</v>
      </c>
      <c r="K1570" s="15">
        <f>IFERROR(__xludf.DUMMYFUNCTION("""COMPUTED_VALUE"""),45949.28167251849)</f>
        <v>45949.28167</v>
      </c>
      <c r="L1570" s="4"/>
    </row>
    <row r="1571">
      <c r="A1571" s="1">
        <f>IFERROR(__xludf.DUMMYFUNCTION("""COMPUTED_VALUE"""),1570.0)</f>
        <v>1570</v>
      </c>
      <c r="B1571" s="1">
        <f>IFERROR(__xludf.DUMMYFUNCTION("""COMPUTED_VALUE"""),6324.0)</f>
        <v>6324</v>
      </c>
      <c r="C1571" s="2" t="str">
        <f>IFERROR(__xludf.DUMMYFUNCTION("""COMPUTED_VALUE"""),"Dini Aulia Rahmawati")</f>
        <v>Dini Aulia Rahmawati</v>
      </c>
      <c r="D1571" s="2" t="str">
        <f>IFERROR(__xludf.DUMMYFUNCTION("""COMPUTED_VALUE"""),"5KM OVERALL F")</f>
        <v>5KM OVERALL F</v>
      </c>
      <c r="E1571" s="1">
        <f>IFERROR(__xludf.DUMMYFUNCTION("""COMPUTED_VALUE"""),485.0)</f>
        <v>485</v>
      </c>
      <c r="F1571" s="1" t="str">
        <f>IFERROR(__xludf.DUMMYFUNCTION("""COMPUTED_VALUE"""),"Female")</f>
        <v>Female</v>
      </c>
      <c r="G1571" s="5">
        <f>IFERROR(__xludf.DUMMYFUNCTION("""COMPUTED_VALUE"""),0.009971916666666667)</f>
        <v>0.009971916667</v>
      </c>
      <c r="H1571" s="15">
        <f>IFERROR(__xludf.DUMMYFUNCTION("""COMPUTED_VALUE"""),0.2549440625)</f>
        <v>0.2549440625</v>
      </c>
      <c r="I1571" s="15">
        <f>IFERROR(__xludf.DUMMYFUNCTION("""COMPUTED_VALUE"""),45949.30480364492)</f>
        <v>45949.3048</v>
      </c>
      <c r="J1571" s="15">
        <f>IFERROR(__xludf.DUMMYFUNCTION("""COMPUTED_VALUE"""),45949.04985958242)</f>
        <v>45949.04986</v>
      </c>
      <c r="K1571" s="15">
        <f>IFERROR(__xludf.DUMMYFUNCTION("""COMPUTED_VALUE"""),45949.28329103249)</f>
        <v>45949.28329</v>
      </c>
      <c r="L1571" s="4"/>
    </row>
    <row r="1572">
      <c r="A1572" s="1">
        <f>IFERROR(__xludf.DUMMYFUNCTION("""COMPUTED_VALUE"""),1571.0)</f>
        <v>1571</v>
      </c>
      <c r="B1572" s="1">
        <f>IFERROR(__xludf.DUMMYFUNCTION("""COMPUTED_VALUE"""),6158.0)</f>
        <v>6158</v>
      </c>
      <c r="C1572" s="2" t="str">
        <f>IFERROR(__xludf.DUMMYFUNCTION("""COMPUTED_VALUE"""),"Fajar")</f>
        <v>Fajar</v>
      </c>
      <c r="D1572" s="2" t="str">
        <f>IFERROR(__xludf.DUMMYFUNCTION("""COMPUTED_VALUE"""),"5KM OVERALL M")</f>
        <v>5KM OVERALL M</v>
      </c>
      <c r="E1572" s="1">
        <f>IFERROR(__xludf.DUMMYFUNCTION("""COMPUTED_VALUE"""),843.0)</f>
        <v>843</v>
      </c>
      <c r="F1572" s="1" t="str">
        <f>IFERROR(__xludf.DUMMYFUNCTION("""COMPUTED_VALUE"""),"Male")</f>
        <v>Male</v>
      </c>
      <c r="G1572" s="5">
        <f>IFERROR(__xludf.DUMMYFUNCTION("""COMPUTED_VALUE"""),0.009974696759259261)</f>
        <v>0.009974696759</v>
      </c>
      <c r="H1572" s="15">
        <f>IFERROR(__xludf.DUMMYFUNCTION("""COMPUTED_VALUE"""),0.2549440625)</f>
        <v>0.2549440625</v>
      </c>
      <c r="I1572" s="15">
        <f>IFERROR(__xludf.DUMMYFUNCTION("""COMPUTED_VALUE"""),45949.30481754955)</f>
        <v>45949.30482</v>
      </c>
      <c r="J1572" s="15">
        <f>IFERROR(__xludf.DUMMYFUNCTION("""COMPUTED_VALUE"""),45949.04987348705)</f>
        <v>45949.04987</v>
      </c>
      <c r="K1572" s="15">
        <f>IFERROR(__xludf.DUMMYFUNCTION("""COMPUTED_VALUE"""),45949.283367832184)</f>
        <v>45949.28337</v>
      </c>
      <c r="L1572" s="4"/>
    </row>
    <row r="1573">
      <c r="A1573" s="1">
        <f>IFERROR(__xludf.DUMMYFUNCTION("""COMPUTED_VALUE"""),1572.0)</f>
        <v>1572</v>
      </c>
      <c r="B1573" s="1">
        <f>IFERROR(__xludf.DUMMYFUNCTION("""COMPUTED_VALUE"""),5406.0)</f>
        <v>5406</v>
      </c>
      <c r="C1573" s="2" t="str">
        <f>IFERROR(__xludf.DUMMYFUNCTION("""COMPUTED_VALUE"""),"Pramudya")</f>
        <v>Pramudya</v>
      </c>
      <c r="D1573" s="2" t="str">
        <f>IFERROR(__xludf.DUMMYFUNCTION("""COMPUTED_VALUE"""),"5KM OVERALL M")</f>
        <v>5KM OVERALL M</v>
      </c>
      <c r="E1573" s="1">
        <f>IFERROR(__xludf.DUMMYFUNCTION("""COMPUTED_VALUE"""),844.0)</f>
        <v>844</v>
      </c>
      <c r="F1573" s="1" t="str">
        <f>IFERROR(__xludf.DUMMYFUNCTION("""COMPUTED_VALUE"""),"Male")</f>
        <v>Male</v>
      </c>
      <c r="G1573" s="5">
        <f>IFERROR(__xludf.DUMMYFUNCTION("""COMPUTED_VALUE"""),0.009984416666666666)</f>
        <v>0.009984416667</v>
      </c>
      <c r="H1573" s="15">
        <f>IFERROR(__xludf.DUMMYFUNCTION("""COMPUTED_VALUE"""),0.2549440625)</f>
        <v>0.2549440625</v>
      </c>
      <c r="I1573" s="15">
        <f>IFERROR(__xludf.DUMMYFUNCTION("""COMPUTED_VALUE"""),45949.30486614351)</f>
        <v>45949.30487</v>
      </c>
      <c r="J1573" s="15">
        <f>IFERROR(__xludf.DUMMYFUNCTION("""COMPUTED_VALUE"""),45949.04992208101)</f>
        <v>45949.04992</v>
      </c>
      <c r="K1573" s="15">
        <f>IFERROR(__xludf.DUMMYFUNCTION("""COMPUTED_VALUE"""),45949.28463433982)</f>
        <v>45949.28463</v>
      </c>
      <c r="L1573" s="4"/>
    </row>
    <row r="1574">
      <c r="A1574" s="1">
        <f>IFERROR(__xludf.DUMMYFUNCTION("""COMPUTED_VALUE"""),1573.0)</f>
        <v>1573</v>
      </c>
      <c r="B1574" s="1">
        <f>IFERROR(__xludf.DUMMYFUNCTION("""COMPUTED_VALUE"""),6546.0)</f>
        <v>6546</v>
      </c>
      <c r="C1574" s="2" t="str">
        <f>IFERROR(__xludf.DUMMYFUNCTION("""COMPUTED_VALUE"""),"WIDYA RAHMAWATI")</f>
        <v>WIDYA RAHMAWATI</v>
      </c>
      <c r="D1574" s="2" t="str">
        <f>IFERROR(__xludf.DUMMYFUNCTION("""COMPUTED_VALUE"""),"5KM OVERALL M")</f>
        <v>5KM OVERALL M</v>
      </c>
      <c r="E1574" s="1">
        <f>IFERROR(__xludf.DUMMYFUNCTION("""COMPUTED_VALUE"""),845.0)</f>
        <v>845</v>
      </c>
      <c r="F1574" s="1" t="str">
        <f>IFERROR(__xludf.DUMMYFUNCTION("""COMPUTED_VALUE"""),"Male")</f>
        <v>Male</v>
      </c>
      <c r="G1574" s="5">
        <f>IFERROR(__xludf.DUMMYFUNCTION("""COMPUTED_VALUE"""),0.0100365)</f>
        <v>0.0100365</v>
      </c>
      <c r="H1574" s="15">
        <f>IFERROR(__xludf.DUMMYFUNCTION("""COMPUTED_VALUE"""),0.2549440625)</f>
        <v>0.2549440625</v>
      </c>
      <c r="I1574" s="15">
        <f>IFERROR(__xludf.DUMMYFUNCTION("""COMPUTED_VALUE"""),45949.30512656795)</f>
        <v>45949.30513</v>
      </c>
      <c r="J1574" s="15">
        <f>IFERROR(__xludf.DUMMYFUNCTION("""COMPUTED_VALUE"""),45949.05018250545)</f>
        <v>45949.05018</v>
      </c>
      <c r="K1574" s="15">
        <f>IFERROR(__xludf.DUMMYFUNCTION("""COMPUTED_VALUE"""),45949.2839259907)</f>
        <v>45949.28393</v>
      </c>
      <c r="L1574" s="4"/>
    </row>
    <row r="1575">
      <c r="A1575" s="1">
        <f>IFERROR(__xludf.DUMMYFUNCTION("""COMPUTED_VALUE"""),1574.0)</f>
        <v>1574</v>
      </c>
      <c r="B1575" s="1">
        <f>IFERROR(__xludf.DUMMYFUNCTION("""COMPUTED_VALUE"""),5023.0)</f>
        <v>5023</v>
      </c>
      <c r="C1575" s="2" t="str">
        <f>IFERROR(__xludf.DUMMYFUNCTION("""COMPUTED_VALUE"""),"dini")</f>
        <v>dini</v>
      </c>
      <c r="D1575" s="2" t="str">
        <f>IFERROR(__xludf.DUMMYFUNCTION("""COMPUTED_VALUE"""),"5KM OVERALL F")</f>
        <v>5KM OVERALL F</v>
      </c>
      <c r="E1575" s="1">
        <f>IFERROR(__xludf.DUMMYFUNCTION("""COMPUTED_VALUE"""),486.0)</f>
        <v>486</v>
      </c>
      <c r="F1575" s="1" t="str">
        <f>IFERROR(__xludf.DUMMYFUNCTION("""COMPUTED_VALUE"""),"Female")</f>
        <v>Female</v>
      </c>
      <c r="G1575" s="5">
        <f>IFERROR(__xludf.DUMMYFUNCTION("""COMPUTED_VALUE"""),0.010037333333333332)</f>
        <v>0.01003733333</v>
      </c>
      <c r="H1575" s="15">
        <f>IFERROR(__xludf.DUMMYFUNCTION("""COMPUTED_VALUE"""),0.2549440625)</f>
        <v>0.2549440625</v>
      </c>
      <c r="I1575" s="15">
        <f>IFERROR(__xludf.DUMMYFUNCTION("""COMPUTED_VALUE"""),45949.30513073341)</f>
        <v>45949.30513</v>
      </c>
      <c r="J1575" s="15">
        <f>IFERROR(__xludf.DUMMYFUNCTION("""COMPUTED_VALUE"""),45949.05018667091)</f>
        <v>45949.05019</v>
      </c>
      <c r="K1575" s="15">
        <f>IFERROR(__xludf.DUMMYFUNCTION("""COMPUTED_VALUE"""),45949.28296765816)</f>
        <v>45949.28297</v>
      </c>
      <c r="L1575" s="4"/>
    </row>
    <row r="1576">
      <c r="A1576" s="1">
        <f>IFERROR(__xludf.DUMMYFUNCTION("""COMPUTED_VALUE"""),1575.0)</f>
        <v>1575</v>
      </c>
      <c r="B1576" s="1">
        <f>IFERROR(__xludf.DUMMYFUNCTION("""COMPUTED_VALUE"""),6541.0)</f>
        <v>6541</v>
      </c>
      <c r="C1576" s="2" t="str">
        <f>IFERROR(__xludf.DUMMYFUNCTION("""COMPUTED_VALUE"""),"ADIE AULIA AMIN")</f>
        <v>ADIE AULIA AMIN</v>
      </c>
      <c r="D1576" s="2" t="str">
        <f>IFERROR(__xludf.DUMMYFUNCTION("""COMPUTED_VALUE"""),"5KM OVERALL F")</f>
        <v>5KM OVERALL F</v>
      </c>
      <c r="E1576" s="1">
        <f>IFERROR(__xludf.DUMMYFUNCTION("""COMPUTED_VALUE"""),487.0)</f>
        <v>487</v>
      </c>
      <c r="F1576" s="1" t="str">
        <f>IFERROR(__xludf.DUMMYFUNCTION("""COMPUTED_VALUE"""),"Female")</f>
        <v>Female</v>
      </c>
      <c r="G1576" s="5">
        <f>IFERROR(__xludf.DUMMYFUNCTION("""COMPUTED_VALUE"""),0.010046256944444446)</f>
        <v>0.01004625694</v>
      </c>
      <c r="H1576" s="15">
        <f>IFERROR(__xludf.DUMMYFUNCTION("""COMPUTED_VALUE"""),0.2549440625)</f>
        <v>0.2549440625</v>
      </c>
      <c r="I1576" s="15">
        <f>IFERROR(__xludf.DUMMYFUNCTION("""COMPUTED_VALUE"""),45949.30517534606)</f>
        <v>45949.30518</v>
      </c>
      <c r="J1576" s="15">
        <f>IFERROR(__xludf.DUMMYFUNCTION("""COMPUTED_VALUE"""),45949.05023128356)</f>
        <v>45949.05023</v>
      </c>
      <c r="K1576" s="15">
        <f>IFERROR(__xludf.DUMMYFUNCTION("""COMPUTED_VALUE"""),45949.28396424232)</f>
        <v>45949.28396</v>
      </c>
      <c r="L1576" s="4"/>
    </row>
    <row r="1577">
      <c r="A1577" s="1">
        <f>IFERROR(__xludf.DUMMYFUNCTION("""COMPUTED_VALUE"""),1576.0)</f>
        <v>1576</v>
      </c>
      <c r="B1577" s="1">
        <f>IFERROR(__xludf.DUMMYFUNCTION("""COMPUTED_VALUE"""),5183.0)</f>
        <v>5183</v>
      </c>
      <c r="C1577" s="2" t="str">
        <f>IFERROR(__xludf.DUMMYFUNCTION("""COMPUTED_VALUE"""),"Mega Winarti")</f>
        <v>Mega Winarti</v>
      </c>
      <c r="D1577" s="2" t="str">
        <f>IFERROR(__xludf.DUMMYFUNCTION("""COMPUTED_VALUE"""),"5KM OVERALL F")</f>
        <v>5KM OVERALL F</v>
      </c>
      <c r="E1577" s="1">
        <f>IFERROR(__xludf.DUMMYFUNCTION("""COMPUTED_VALUE"""),488.0)</f>
        <v>488</v>
      </c>
      <c r="F1577" s="1" t="str">
        <f>IFERROR(__xludf.DUMMYFUNCTION("""COMPUTED_VALUE"""),"Female")</f>
        <v>Female</v>
      </c>
      <c r="G1577" s="5">
        <f>IFERROR(__xludf.DUMMYFUNCTION("""COMPUTED_VALUE"""),0.010046907407407407)</f>
        <v>0.01004690741</v>
      </c>
      <c r="H1577" s="15">
        <f>IFERROR(__xludf.DUMMYFUNCTION("""COMPUTED_VALUE"""),0.2549440625)</f>
        <v>0.2549440625</v>
      </c>
      <c r="I1577" s="15">
        <f>IFERROR(__xludf.DUMMYFUNCTION("""COMPUTED_VALUE"""),45949.30517860356)</f>
        <v>45949.30518</v>
      </c>
      <c r="J1577" s="15">
        <f>IFERROR(__xludf.DUMMYFUNCTION("""COMPUTED_VALUE"""),45949.05023454106)</f>
        <v>45949.05023</v>
      </c>
      <c r="K1577" s="15">
        <f>IFERROR(__xludf.DUMMYFUNCTION("""COMPUTED_VALUE"""),45949.28589821421)</f>
        <v>45949.2859</v>
      </c>
      <c r="L1577" s="4"/>
    </row>
    <row r="1578">
      <c r="A1578" s="1">
        <f>IFERROR(__xludf.DUMMYFUNCTION("""COMPUTED_VALUE"""),1577.0)</f>
        <v>1577</v>
      </c>
      <c r="B1578" s="1">
        <f>IFERROR(__xludf.DUMMYFUNCTION("""COMPUTED_VALUE"""),6341.0)</f>
        <v>6341</v>
      </c>
      <c r="C1578" s="2" t="str">
        <f>IFERROR(__xludf.DUMMYFUNCTION("""COMPUTED_VALUE"""),"Veven")</f>
        <v>Veven</v>
      </c>
      <c r="D1578" s="2" t="str">
        <f>IFERROR(__xludf.DUMMYFUNCTION("""COMPUTED_VALUE"""),"5KM OVERALL M")</f>
        <v>5KM OVERALL M</v>
      </c>
      <c r="E1578" s="1">
        <f>IFERROR(__xludf.DUMMYFUNCTION("""COMPUTED_VALUE"""),846.0)</f>
        <v>846</v>
      </c>
      <c r="F1578" s="1" t="str">
        <f>IFERROR(__xludf.DUMMYFUNCTION("""COMPUTED_VALUE"""),"Male")</f>
        <v>Male</v>
      </c>
      <c r="G1578" s="5">
        <f>IFERROR(__xludf.DUMMYFUNCTION("""COMPUTED_VALUE"""),0.010075435185185184)</f>
        <v>0.01007543519</v>
      </c>
      <c r="H1578" s="15">
        <f>IFERROR(__xludf.DUMMYFUNCTION("""COMPUTED_VALUE"""),0.2549440625)</f>
        <v>0.2549440625</v>
      </c>
      <c r="I1578" s="15">
        <f>IFERROR(__xludf.DUMMYFUNCTION("""COMPUTED_VALUE"""),45949.305321238644)</f>
        <v>45949.30532</v>
      </c>
      <c r="J1578" s="15">
        <f>IFERROR(__xludf.DUMMYFUNCTION("""COMPUTED_VALUE"""),45949.05037717614)</f>
        <v>45949.05038</v>
      </c>
      <c r="K1578" s="15">
        <f>IFERROR(__xludf.DUMMYFUNCTION("""COMPUTED_VALUE"""),45949.28362391791)</f>
        <v>45949.28362</v>
      </c>
      <c r="L1578" s="4"/>
    </row>
    <row r="1579">
      <c r="A1579" s="1">
        <f>IFERROR(__xludf.DUMMYFUNCTION("""COMPUTED_VALUE"""),1578.0)</f>
        <v>1578</v>
      </c>
      <c r="B1579" s="1">
        <f>IFERROR(__xludf.DUMMYFUNCTION("""COMPUTED_VALUE"""),6337.0)</f>
        <v>6337</v>
      </c>
      <c r="C1579" s="2" t="str">
        <f>IFERROR(__xludf.DUMMYFUNCTION("""COMPUTED_VALUE"""),"Eka Apriani")</f>
        <v>Eka Apriani</v>
      </c>
      <c r="D1579" s="2" t="str">
        <f>IFERROR(__xludf.DUMMYFUNCTION("""COMPUTED_VALUE"""),"5KM OVERALL F")</f>
        <v>5KM OVERALL F</v>
      </c>
      <c r="E1579" s="1">
        <f>IFERROR(__xludf.DUMMYFUNCTION("""COMPUTED_VALUE"""),489.0)</f>
        <v>489</v>
      </c>
      <c r="F1579" s="1" t="str">
        <f>IFERROR(__xludf.DUMMYFUNCTION("""COMPUTED_VALUE"""),"Female")</f>
        <v>Female</v>
      </c>
      <c r="G1579" s="5">
        <f>IFERROR(__xludf.DUMMYFUNCTION("""COMPUTED_VALUE"""),0.010078363425925926)</f>
        <v>0.01007836343</v>
      </c>
      <c r="H1579" s="15">
        <f>IFERROR(__xludf.DUMMYFUNCTION("""COMPUTED_VALUE"""),0.2549440625)</f>
        <v>0.2549440625</v>
      </c>
      <c r="I1579" s="15">
        <f>IFERROR(__xludf.DUMMYFUNCTION("""COMPUTED_VALUE"""),45949.30533588143)</f>
        <v>45949.30534</v>
      </c>
      <c r="J1579" s="15">
        <f>IFERROR(__xludf.DUMMYFUNCTION("""COMPUTED_VALUE"""),45949.05039181893)</f>
        <v>45949.05039</v>
      </c>
      <c r="K1579" s="15">
        <f>IFERROR(__xludf.DUMMYFUNCTION("""COMPUTED_VALUE"""),45949.28365173905)</f>
        <v>45949.28365</v>
      </c>
      <c r="L1579" s="4"/>
    </row>
    <row r="1580">
      <c r="A1580" s="1">
        <f>IFERROR(__xludf.DUMMYFUNCTION("""COMPUTED_VALUE"""),1579.0)</f>
        <v>1579</v>
      </c>
      <c r="B1580" s="1">
        <f>IFERROR(__xludf.DUMMYFUNCTION("""COMPUTED_VALUE"""),5370.0)</f>
        <v>5370</v>
      </c>
      <c r="C1580" s="2" t="str">
        <f>IFERROR(__xludf.DUMMYFUNCTION("""COMPUTED_VALUE"""),"EMILDA")</f>
        <v>EMILDA</v>
      </c>
      <c r="D1580" s="2" t="str">
        <f>IFERROR(__xludf.DUMMYFUNCTION("""COMPUTED_VALUE"""),"5KM OVERALL F")</f>
        <v>5KM OVERALL F</v>
      </c>
      <c r="E1580" s="1">
        <f>IFERROR(__xludf.DUMMYFUNCTION("""COMPUTED_VALUE"""),490.0)</f>
        <v>490</v>
      </c>
      <c r="F1580" s="1" t="str">
        <f>IFERROR(__xludf.DUMMYFUNCTION("""COMPUTED_VALUE"""),"Female")</f>
        <v>Female</v>
      </c>
      <c r="G1580" s="5">
        <f>IFERROR(__xludf.DUMMYFUNCTION("""COMPUTED_VALUE"""),0.010084416666666667)</f>
        <v>0.01008441667</v>
      </c>
      <c r="H1580" s="15">
        <f>IFERROR(__xludf.DUMMYFUNCTION("""COMPUTED_VALUE"""),0.2549440625)</f>
        <v>0.2549440625</v>
      </c>
      <c r="I1580" s="15">
        <f>IFERROR(__xludf.DUMMYFUNCTION("""COMPUTED_VALUE"""),45949.30536614806)</f>
        <v>45949.30537</v>
      </c>
      <c r="J1580" s="15">
        <f>IFERROR(__xludf.DUMMYFUNCTION("""COMPUTED_VALUE"""),45949.05042208556)</f>
        <v>45949.05042</v>
      </c>
      <c r="K1580" s="15">
        <f>IFERROR(__xludf.DUMMYFUNCTION("""COMPUTED_VALUE"""),45949.28425934568)</f>
        <v>45949.28426</v>
      </c>
      <c r="L1580" s="4"/>
    </row>
    <row r="1581">
      <c r="A1581" s="1">
        <f>IFERROR(__xludf.DUMMYFUNCTION("""COMPUTED_VALUE"""),1580.0)</f>
        <v>1580</v>
      </c>
      <c r="B1581" s="1">
        <f>IFERROR(__xludf.DUMMYFUNCTION("""COMPUTED_VALUE"""),5365.0)</f>
        <v>5365</v>
      </c>
      <c r="C1581" s="2" t="str">
        <f>IFERROR(__xludf.DUMMYFUNCTION("""COMPUTED_VALUE"""),"Fah.")</f>
        <v>Fah.</v>
      </c>
      <c r="D1581" s="2" t="str">
        <f>IFERROR(__xludf.DUMMYFUNCTION("""COMPUTED_VALUE"""),"5KM OVERALL M")</f>
        <v>5KM OVERALL M</v>
      </c>
      <c r="E1581" s="1">
        <f>IFERROR(__xludf.DUMMYFUNCTION("""COMPUTED_VALUE"""),847.0)</f>
        <v>847</v>
      </c>
      <c r="F1581" s="1" t="str">
        <f>IFERROR(__xludf.DUMMYFUNCTION("""COMPUTED_VALUE"""),"Male")</f>
        <v>Male</v>
      </c>
      <c r="G1581" s="5">
        <f>IFERROR(__xludf.DUMMYFUNCTION("""COMPUTED_VALUE"""),0.010089972222222224)</f>
        <v>0.01008997222</v>
      </c>
      <c r="H1581" s="15">
        <f>IFERROR(__xludf.DUMMYFUNCTION("""COMPUTED_VALUE"""),0.2549440625)</f>
        <v>0.2549440625</v>
      </c>
      <c r="I1581" s="15">
        <f>IFERROR(__xludf.DUMMYFUNCTION("""COMPUTED_VALUE"""),45949.30539392804)</f>
        <v>45949.30539</v>
      </c>
      <c r="J1581" s="15">
        <f>IFERROR(__xludf.DUMMYFUNCTION("""COMPUTED_VALUE"""),45949.05044986554)</f>
        <v>45949.05045</v>
      </c>
      <c r="K1581" s="15">
        <f>IFERROR(__xludf.DUMMYFUNCTION("""COMPUTED_VALUE"""),45949.28434266504)</f>
        <v>45949.28434</v>
      </c>
      <c r="L1581" s="4"/>
    </row>
    <row r="1582">
      <c r="A1582" s="1">
        <f>IFERROR(__xludf.DUMMYFUNCTION("""COMPUTED_VALUE"""),1581.0)</f>
        <v>1581</v>
      </c>
      <c r="B1582" s="1">
        <f>IFERROR(__xludf.DUMMYFUNCTION("""COMPUTED_VALUE"""),5165.0)</f>
        <v>5165</v>
      </c>
      <c r="C1582" s="2" t="str">
        <f>IFERROR(__xludf.DUMMYFUNCTION("""COMPUTED_VALUE"""),"Desy")</f>
        <v>Desy</v>
      </c>
      <c r="D1582" s="2" t="str">
        <f>IFERROR(__xludf.DUMMYFUNCTION("""COMPUTED_VALUE"""),"5KM OVERALL F")</f>
        <v>5KM OVERALL F</v>
      </c>
      <c r="E1582" s="1">
        <f>IFERROR(__xludf.DUMMYFUNCTION("""COMPUTED_VALUE"""),491.0)</f>
        <v>491</v>
      </c>
      <c r="F1582" s="1" t="str">
        <f>IFERROR(__xludf.DUMMYFUNCTION("""COMPUTED_VALUE"""),"Female")</f>
        <v>Female</v>
      </c>
      <c r="G1582" s="5">
        <f>IFERROR(__xludf.DUMMYFUNCTION("""COMPUTED_VALUE"""),0.010113576388888889)</f>
        <v>0.01011357639</v>
      </c>
      <c r="H1582" s="15">
        <f>IFERROR(__xludf.DUMMYFUNCTION("""COMPUTED_VALUE"""),0.2549440625)</f>
        <v>0.2549440625</v>
      </c>
      <c r="I1582" s="15">
        <f>IFERROR(__xludf.DUMMYFUNCTION("""COMPUTED_VALUE"""),45949.30551193991)</f>
        <v>45949.30551</v>
      </c>
      <c r="J1582" s="15">
        <f>IFERROR(__xludf.DUMMYFUNCTION("""COMPUTED_VALUE"""),45949.050567877406)</f>
        <v>45949.05057</v>
      </c>
      <c r="K1582" s="15">
        <f>IFERROR(__xludf.DUMMYFUNCTION("""COMPUTED_VALUE"""),45949.283995434045)</f>
        <v>45949.284</v>
      </c>
      <c r="L1582" s="4"/>
    </row>
    <row r="1583">
      <c r="A1583" s="1">
        <f>IFERROR(__xludf.DUMMYFUNCTION("""COMPUTED_VALUE"""),1582.0)</f>
        <v>1582</v>
      </c>
      <c r="B1583" s="1">
        <f>IFERROR(__xludf.DUMMYFUNCTION("""COMPUTED_VALUE"""),6465.0)</f>
        <v>6465</v>
      </c>
      <c r="C1583" s="2" t="str">
        <f>IFERROR(__xludf.DUMMYFUNCTION("""COMPUTED_VALUE"""),"DISHUB")</f>
        <v>DISHUB</v>
      </c>
      <c r="D1583" s="2" t="str">
        <f>IFERROR(__xludf.DUMMYFUNCTION("""COMPUTED_VALUE"""),"5KM OVERALL M")</f>
        <v>5KM OVERALL M</v>
      </c>
      <c r="E1583" s="1">
        <f>IFERROR(__xludf.DUMMYFUNCTION("""COMPUTED_VALUE"""),848.0)</f>
        <v>848</v>
      </c>
      <c r="F1583" s="1" t="str">
        <f>IFERROR(__xludf.DUMMYFUNCTION("""COMPUTED_VALUE"""),"Male")</f>
        <v>Male</v>
      </c>
      <c r="G1583" s="5">
        <f>IFERROR(__xludf.DUMMYFUNCTION("""COMPUTED_VALUE"""),0.010135111111111112)</f>
        <v>0.01013511111</v>
      </c>
      <c r="H1583" s="15">
        <f>IFERROR(__xludf.DUMMYFUNCTION("""COMPUTED_VALUE"""),0.2549440625)</f>
        <v>0.2549440625</v>
      </c>
      <c r="I1583" s="15">
        <f>IFERROR(__xludf.DUMMYFUNCTION("""COMPUTED_VALUE"""),45949.30561961598)</f>
        <v>45949.30562</v>
      </c>
      <c r="J1583" s="15">
        <f>IFERROR(__xludf.DUMMYFUNCTION("""COMPUTED_VALUE"""),45949.05067555348)</f>
        <v>45949.05068</v>
      </c>
      <c r="K1583" s="15">
        <f>IFERROR(__xludf.DUMMYFUNCTION("""COMPUTED_VALUE"""),45949.29535661685)</f>
        <v>45949.29536</v>
      </c>
      <c r="L1583" s="4"/>
    </row>
    <row r="1584">
      <c r="A1584" s="1">
        <f>IFERROR(__xludf.DUMMYFUNCTION("""COMPUTED_VALUE"""),1583.0)</f>
        <v>1583</v>
      </c>
      <c r="B1584" s="1">
        <f>IFERROR(__xludf.DUMMYFUNCTION("""COMPUTED_VALUE"""),5821.0)</f>
        <v>5821</v>
      </c>
      <c r="C1584" s="2" t="str">
        <f>IFERROR(__xludf.DUMMYFUNCTION("""COMPUTED_VALUE"""),"simi")</f>
        <v>simi</v>
      </c>
      <c r="D1584" s="2" t="str">
        <f>IFERROR(__xludf.DUMMYFUNCTION("""COMPUTED_VALUE"""),"5KM OVERALL F")</f>
        <v>5KM OVERALL F</v>
      </c>
      <c r="E1584" s="1">
        <f>IFERROR(__xludf.DUMMYFUNCTION("""COMPUTED_VALUE"""),492.0)</f>
        <v>492</v>
      </c>
      <c r="F1584" s="1" t="str">
        <f>IFERROR(__xludf.DUMMYFUNCTION("""COMPUTED_VALUE"""),"Female")</f>
        <v>Female</v>
      </c>
      <c r="G1584" s="5">
        <f>IFERROR(__xludf.DUMMYFUNCTION("""COMPUTED_VALUE"""),0.010194983796296296)</f>
        <v>0.0101949838</v>
      </c>
      <c r="H1584" s="15">
        <f>IFERROR(__xludf.DUMMYFUNCTION("""COMPUTED_VALUE"""),0.2549440625)</f>
        <v>0.2549440625</v>
      </c>
      <c r="I1584" s="15">
        <f>IFERROR(__xludf.DUMMYFUNCTION("""COMPUTED_VALUE"""),45949.30591898527)</f>
        <v>45949.30592</v>
      </c>
      <c r="J1584" s="15">
        <f>IFERROR(__xludf.DUMMYFUNCTION("""COMPUTED_VALUE"""),45949.05097492277)</f>
        <v>45949.05097</v>
      </c>
      <c r="K1584" s="15">
        <f>IFERROR(__xludf.DUMMYFUNCTION("""COMPUTED_VALUE"""),45949.285422580375)</f>
        <v>45949.28542</v>
      </c>
      <c r="L1584" s="4"/>
    </row>
    <row r="1585">
      <c r="A1585" s="1">
        <f>IFERROR(__xludf.DUMMYFUNCTION("""COMPUTED_VALUE"""),1584.0)</f>
        <v>1584</v>
      </c>
      <c r="B1585" s="1">
        <f>IFERROR(__xludf.DUMMYFUNCTION("""COMPUTED_VALUE"""),5870.0)</f>
        <v>5870</v>
      </c>
      <c r="C1585" s="2" t="str">
        <f>IFERROR(__xludf.DUMMYFUNCTION("""COMPUTED_VALUE"""),"Anggun FA")</f>
        <v>Anggun FA</v>
      </c>
      <c r="D1585" s="2" t="str">
        <f>IFERROR(__xludf.DUMMYFUNCTION("""COMPUTED_VALUE"""),"5KM OVERALL F")</f>
        <v>5KM OVERALL F</v>
      </c>
      <c r="E1585" s="1">
        <f>IFERROR(__xludf.DUMMYFUNCTION("""COMPUTED_VALUE"""),493.0)</f>
        <v>493</v>
      </c>
      <c r="F1585" s="1" t="str">
        <f>IFERROR(__xludf.DUMMYFUNCTION("""COMPUTED_VALUE"""),"Female")</f>
        <v>Female</v>
      </c>
      <c r="G1585" s="5">
        <f>IFERROR(__xludf.DUMMYFUNCTION("""COMPUTED_VALUE"""),0.010250388888888889)</f>
        <v>0.01025038889</v>
      </c>
      <c r="H1585" s="15">
        <f>IFERROR(__xludf.DUMMYFUNCTION("""COMPUTED_VALUE"""),0.2549440625)</f>
        <v>0.2549440625</v>
      </c>
      <c r="I1585" s="15">
        <f>IFERROR(__xludf.DUMMYFUNCTION("""COMPUTED_VALUE"""),45949.30619601112)</f>
        <v>45949.3062</v>
      </c>
      <c r="J1585" s="15">
        <f>IFERROR(__xludf.DUMMYFUNCTION("""COMPUTED_VALUE"""),45949.05125194862)</f>
        <v>45949.05125</v>
      </c>
      <c r="K1585" s="15">
        <f>IFERROR(__xludf.DUMMYFUNCTION("""COMPUTED_VALUE"""),45949.28607184031)</f>
        <v>45949.28607</v>
      </c>
      <c r="L1585" s="4"/>
    </row>
    <row r="1586">
      <c r="A1586" s="1">
        <f>IFERROR(__xludf.DUMMYFUNCTION("""COMPUTED_VALUE"""),1585.0)</f>
        <v>1585</v>
      </c>
      <c r="B1586" s="7" t="str">
        <f>IFERROR(__xludf.DUMMYFUNCTION("""COMPUTED_VALUE"""),"7127")</f>
        <v>7127</v>
      </c>
      <c r="C1586" s="8" t="str">
        <f>IFERROR(__xludf.DUMMYFUNCTION("""COMPUTED_VALUE"""),"mariam")</f>
        <v>mariam</v>
      </c>
      <c r="D1586" s="2" t="str">
        <f>IFERROR(__xludf.DUMMYFUNCTION("""COMPUTED_VALUE"""),"5KM MASTER F")</f>
        <v>5KM MASTER F</v>
      </c>
      <c r="E1586" s="1">
        <f>IFERROR(__xludf.DUMMYFUNCTION("""COMPUTED_VALUE"""),57.0)</f>
        <v>57</v>
      </c>
      <c r="F1586" s="1" t="str">
        <f>IFERROR(__xludf.DUMMYFUNCTION("""COMPUTED_VALUE"""),"Female")</f>
        <v>Female</v>
      </c>
      <c r="G1586" s="5">
        <f>IFERROR(__xludf.DUMMYFUNCTION("""COMPUTED_VALUE"""),0.010401083333333333)</f>
        <v>0.01040108333</v>
      </c>
      <c r="H1586" s="15">
        <f>IFERROR(__xludf.DUMMYFUNCTION("""COMPUTED_VALUE"""),0.2549440625)</f>
        <v>0.2549440625</v>
      </c>
      <c r="I1586" s="15">
        <f>IFERROR(__xludf.DUMMYFUNCTION("""COMPUTED_VALUE"""),45949.30694947572)</f>
        <v>45949.30695</v>
      </c>
      <c r="J1586" s="15">
        <f>IFERROR(__xludf.DUMMYFUNCTION("""COMPUTED_VALUE"""),45949.05200541322)</f>
        <v>45949.05201</v>
      </c>
      <c r="K1586" s="15">
        <f>IFERROR(__xludf.DUMMYFUNCTION("""COMPUTED_VALUE"""),45949.28414126735)</f>
        <v>45949.28414</v>
      </c>
      <c r="L1586" s="4"/>
    </row>
    <row r="1587">
      <c r="A1587" s="1">
        <f>IFERROR(__xludf.DUMMYFUNCTION("""COMPUTED_VALUE"""),1586.0)</f>
        <v>1586</v>
      </c>
      <c r="B1587" s="1">
        <f>IFERROR(__xludf.DUMMYFUNCTION("""COMPUTED_VALUE"""),6040.0)</f>
        <v>6040</v>
      </c>
      <c r="C1587" s="2" t="str">
        <f>IFERROR(__xludf.DUMMYFUNCTION("""COMPUTED_VALUE"""),"salsa")</f>
        <v>salsa</v>
      </c>
      <c r="D1587" s="2" t="str">
        <f>IFERROR(__xludf.DUMMYFUNCTION("""COMPUTED_VALUE"""),"5KM OVERALL F")</f>
        <v>5KM OVERALL F</v>
      </c>
      <c r="E1587" s="1">
        <f>IFERROR(__xludf.DUMMYFUNCTION("""COMPUTED_VALUE"""),494.0)</f>
        <v>494</v>
      </c>
      <c r="F1587" s="1" t="str">
        <f>IFERROR(__xludf.DUMMYFUNCTION("""COMPUTED_VALUE"""),"Female")</f>
        <v>Female</v>
      </c>
      <c r="G1587" s="5">
        <f>IFERROR(__xludf.DUMMYFUNCTION("""COMPUTED_VALUE"""),0.010408027777777776)</f>
        <v>0.01040802778</v>
      </c>
      <c r="H1587" s="15">
        <f>IFERROR(__xludf.DUMMYFUNCTION("""COMPUTED_VALUE"""),0.2549440625)</f>
        <v>0.2549440625</v>
      </c>
      <c r="I1587" s="15">
        <f>IFERROR(__xludf.DUMMYFUNCTION("""COMPUTED_VALUE"""),45949.30698420418)</f>
        <v>45949.30698</v>
      </c>
      <c r="J1587" s="15">
        <f>IFERROR(__xludf.DUMMYFUNCTION("""COMPUTED_VALUE"""),45949.05204014168)</f>
        <v>45949.05204</v>
      </c>
      <c r="K1587" s="15">
        <f>IFERROR(__xludf.DUMMYFUNCTION("""COMPUTED_VALUE"""),45949.284259322536)</f>
        <v>45949.28426</v>
      </c>
      <c r="L1587" s="4"/>
    </row>
    <row r="1588">
      <c r="A1588" s="1">
        <f>IFERROR(__xludf.DUMMYFUNCTION("""COMPUTED_VALUE"""),1587.0)</f>
        <v>1587</v>
      </c>
      <c r="B1588" s="1">
        <f>IFERROR(__xludf.DUMMYFUNCTION("""COMPUTED_VALUE"""),5748.0)</f>
        <v>5748</v>
      </c>
      <c r="C1588" s="2" t="str">
        <f>IFERROR(__xludf.DUMMYFUNCTION("""COMPUTED_VALUE"""),"Admin")</f>
        <v>Admin</v>
      </c>
      <c r="D1588" s="2" t="str">
        <f>IFERROR(__xludf.DUMMYFUNCTION("""COMPUTED_VALUE"""),"5KM OVERALL M")</f>
        <v>5KM OVERALL M</v>
      </c>
      <c r="E1588" s="1">
        <f>IFERROR(__xludf.DUMMYFUNCTION("""COMPUTED_VALUE"""),849.0)</f>
        <v>849</v>
      </c>
      <c r="F1588" s="1" t="str">
        <f>IFERROR(__xludf.DUMMYFUNCTION("""COMPUTED_VALUE"""),"Male")</f>
        <v>Male</v>
      </c>
      <c r="G1588" s="5">
        <f>IFERROR(__xludf.DUMMYFUNCTION("""COMPUTED_VALUE"""),0.010414962962962963)</f>
        <v>0.01041496296</v>
      </c>
      <c r="H1588" s="15">
        <f>IFERROR(__xludf.DUMMYFUNCTION("""COMPUTED_VALUE"""),0.2549440625)</f>
        <v>0.2549440625</v>
      </c>
      <c r="I1588" s="15">
        <f>IFERROR(__xludf.DUMMYFUNCTION("""COMPUTED_VALUE"""),45949.30701887192)</f>
        <v>45949.30702</v>
      </c>
      <c r="J1588" s="15">
        <f>IFERROR(__xludf.DUMMYFUNCTION("""COMPUTED_VALUE"""),45949.05207480942)</f>
        <v>45949.05207</v>
      </c>
      <c r="K1588" s="15">
        <f>IFERROR(__xludf.DUMMYFUNCTION("""COMPUTED_VALUE"""),45949.28558613463)</f>
        <v>45949.28559</v>
      </c>
      <c r="L1588" s="4"/>
    </row>
    <row r="1589">
      <c r="A1589" s="1">
        <f>IFERROR(__xludf.DUMMYFUNCTION("""COMPUTED_VALUE"""),1588.0)</f>
        <v>1588</v>
      </c>
      <c r="B1589" s="1">
        <f>IFERROR(__xludf.DUMMYFUNCTION("""COMPUTED_VALUE"""),5557.0)</f>
        <v>5557</v>
      </c>
      <c r="C1589" s="2" t="str">
        <f>IFERROR(__xludf.DUMMYFUNCTION("""COMPUTED_VALUE"""),"muji")</f>
        <v>muji</v>
      </c>
      <c r="D1589" s="2" t="str">
        <f>IFERROR(__xludf.DUMMYFUNCTION("""COMPUTED_VALUE"""),"5KM OVERALL M")</f>
        <v>5KM OVERALL M</v>
      </c>
      <c r="E1589" s="1">
        <f>IFERROR(__xludf.DUMMYFUNCTION("""COMPUTED_VALUE"""),850.0)</f>
        <v>850</v>
      </c>
      <c r="F1589" s="1" t="str">
        <f>IFERROR(__xludf.DUMMYFUNCTION("""COMPUTED_VALUE"""),"Male")</f>
        <v>Male</v>
      </c>
      <c r="G1589" s="5">
        <f>IFERROR(__xludf.DUMMYFUNCTION("""COMPUTED_VALUE"""),0.010505944444444446)</f>
        <v>0.01050594444</v>
      </c>
      <c r="H1589" s="15">
        <f>IFERROR(__xludf.DUMMYFUNCTION("""COMPUTED_VALUE"""),0.2549440625)</f>
        <v>0.2549440625</v>
      </c>
      <c r="I1589" s="15">
        <f>IFERROR(__xludf.DUMMYFUNCTION("""COMPUTED_VALUE"""),45949.30747378912)</f>
        <v>45949.30747</v>
      </c>
      <c r="J1589" s="15">
        <f>IFERROR(__xludf.DUMMYFUNCTION("""COMPUTED_VALUE"""),45949.05252972662)</f>
        <v>45949.05253</v>
      </c>
      <c r="K1589" s="15">
        <f>IFERROR(__xludf.DUMMYFUNCTION("""COMPUTED_VALUE"""),45950.286458333336)</f>
        <v>45950.28646</v>
      </c>
      <c r="L1589" s="4" t="str">
        <f>IFERROR(__xludf.DUMMYFUNCTION("""COMPUTED_VALUE"""),"C")</f>
        <v>C</v>
      </c>
    </row>
    <row r="1590">
      <c r="A1590" s="1">
        <f>IFERROR(__xludf.DUMMYFUNCTION("""COMPUTED_VALUE"""),1589.0)</f>
        <v>1589</v>
      </c>
      <c r="B1590" s="1">
        <f>IFERROR(__xludf.DUMMYFUNCTION("""COMPUTED_VALUE"""),6131.0)</f>
        <v>6131</v>
      </c>
      <c r="C1590" s="2" t="str">
        <f>IFERROR(__xludf.DUMMYFUNCTION("""COMPUTED_VALUE"""),"NOVIE")</f>
        <v>NOVIE</v>
      </c>
      <c r="D1590" s="2" t="str">
        <f>IFERROR(__xludf.DUMMYFUNCTION("""COMPUTED_VALUE"""),"5KM OVERALL F")</f>
        <v>5KM OVERALL F</v>
      </c>
      <c r="E1590" s="1">
        <f>IFERROR(__xludf.DUMMYFUNCTION("""COMPUTED_VALUE"""),495.0)</f>
        <v>495</v>
      </c>
      <c r="F1590" s="1" t="str">
        <f>IFERROR(__xludf.DUMMYFUNCTION("""COMPUTED_VALUE"""),"Female")</f>
        <v>Female</v>
      </c>
      <c r="G1590" s="5">
        <f>IFERROR(__xludf.DUMMYFUNCTION("""COMPUTED_VALUE"""),0.010639277777777777)</f>
        <v>0.01063927778</v>
      </c>
      <c r="H1590" s="15">
        <f>IFERROR(__xludf.DUMMYFUNCTION("""COMPUTED_VALUE"""),0.2549440625)</f>
        <v>0.2549440625</v>
      </c>
      <c r="I1590" s="15">
        <f>IFERROR(__xludf.DUMMYFUNCTION("""COMPUTED_VALUE"""),45949.30814044644)</f>
        <v>45949.30814</v>
      </c>
      <c r="J1590" s="15">
        <f>IFERROR(__xludf.DUMMYFUNCTION("""COMPUTED_VALUE"""),45949.05319638394)</f>
        <v>45949.0532</v>
      </c>
      <c r="K1590" s="15">
        <f>IFERROR(__xludf.DUMMYFUNCTION("""COMPUTED_VALUE"""),45949.29135661022)</f>
        <v>45949.29136</v>
      </c>
      <c r="L1590" s="4"/>
    </row>
    <row r="1591">
      <c r="A1591" s="1">
        <f>IFERROR(__xludf.DUMMYFUNCTION("""COMPUTED_VALUE"""),1590.0)</f>
        <v>1590</v>
      </c>
      <c r="B1591" s="1">
        <f>IFERROR(__xludf.DUMMYFUNCTION("""COMPUTED_VALUE"""),6132.0)</f>
        <v>6132</v>
      </c>
      <c r="C1591" s="2" t="str">
        <f>IFERROR(__xludf.DUMMYFUNCTION("""COMPUTED_VALUE"""),"Andi Yusuf")</f>
        <v>Andi Yusuf</v>
      </c>
      <c r="D1591" s="2" t="str">
        <f>IFERROR(__xludf.DUMMYFUNCTION("""COMPUTED_VALUE"""),"5KM OVERALL M")</f>
        <v>5KM OVERALL M</v>
      </c>
      <c r="E1591" s="1">
        <f>IFERROR(__xludf.DUMMYFUNCTION("""COMPUTED_VALUE"""),851.0)</f>
        <v>851</v>
      </c>
      <c r="F1591" s="1" t="str">
        <f>IFERROR(__xludf.DUMMYFUNCTION("""COMPUTED_VALUE"""),"Male")</f>
        <v>Male</v>
      </c>
      <c r="G1591" s="5">
        <f>IFERROR(__xludf.DUMMYFUNCTION("""COMPUTED_VALUE"""),0.010651777777777777)</f>
        <v>0.01065177778</v>
      </c>
      <c r="H1591" s="15">
        <f>IFERROR(__xludf.DUMMYFUNCTION("""COMPUTED_VALUE"""),0.2549440625)</f>
        <v>0.2549440625</v>
      </c>
      <c r="I1591" s="15">
        <f>IFERROR(__xludf.DUMMYFUNCTION("""COMPUTED_VALUE"""),45949.30820295422)</f>
        <v>45949.3082</v>
      </c>
      <c r="J1591" s="15">
        <f>IFERROR(__xludf.DUMMYFUNCTION("""COMPUTED_VALUE"""),45949.05325889172)</f>
        <v>45949.05326</v>
      </c>
      <c r="K1591" s="15">
        <f>IFERROR(__xludf.DUMMYFUNCTION("""COMPUTED_VALUE"""),45949.291436471176)</f>
        <v>45949.29144</v>
      </c>
      <c r="L1591" s="4"/>
    </row>
    <row r="1592">
      <c r="A1592" s="1">
        <f>IFERROR(__xludf.DUMMYFUNCTION("""COMPUTED_VALUE"""),1591.0)</f>
        <v>1591</v>
      </c>
      <c r="B1592" s="1">
        <f>IFERROR(__xludf.DUMMYFUNCTION("""COMPUTED_VALUE"""),5485.0)</f>
        <v>5485</v>
      </c>
      <c r="C1592" s="2" t="str">
        <f>IFERROR(__xludf.DUMMYFUNCTION("""COMPUTED_VALUE"""),"Meike")</f>
        <v>Meike</v>
      </c>
      <c r="D1592" s="2" t="str">
        <f>IFERROR(__xludf.DUMMYFUNCTION("""COMPUTED_VALUE"""),"5KM OVERALL F")</f>
        <v>5KM OVERALL F</v>
      </c>
      <c r="E1592" s="1">
        <f>IFERROR(__xludf.DUMMYFUNCTION("""COMPUTED_VALUE"""),496.0)</f>
        <v>496</v>
      </c>
      <c r="F1592" s="1" t="str">
        <f>IFERROR(__xludf.DUMMYFUNCTION("""COMPUTED_VALUE"""),"Female")</f>
        <v>Female</v>
      </c>
      <c r="G1592" s="5">
        <f>IFERROR(__xludf.DUMMYFUNCTION("""COMPUTED_VALUE"""),0.01066288888888889)</f>
        <v>0.01066288889</v>
      </c>
      <c r="H1592" s="15">
        <f>IFERROR(__xludf.DUMMYFUNCTION("""COMPUTED_VALUE"""),0.2549440625)</f>
        <v>0.2549440625</v>
      </c>
      <c r="I1592" s="15">
        <f>IFERROR(__xludf.DUMMYFUNCTION("""COMPUTED_VALUE"""),45949.30825850189)</f>
        <v>45949.30826</v>
      </c>
      <c r="J1592" s="15">
        <f>IFERROR(__xludf.DUMMYFUNCTION("""COMPUTED_VALUE"""),45949.05331443939)</f>
        <v>45949.05331</v>
      </c>
      <c r="K1592" s="15">
        <f>IFERROR(__xludf.DUMMYFUNCTION("""COMPUTED_VALUE"""),45949.28424197705)</f>
        <v>45949.28424</v>
      </c>
      <c r="L1592" s="4"/>
    </row>
    <row r="1593">
      <c r="A1593" s="1">
        <f>IFERROR(__xludf.DUMMYFUNCTION("""COMPUTED_VALUE"""),1592.0)</f>
        <v>1592</v>
      </c>
      <c r="B1593" s="1">
        <f>IFERROR(__xludf.DUMMYFUNCTION("""COMPUTED_VALUE"""),6119.0)</f>
        <v>6119</v>
      </c>
      <c r="C1593" s="2" t="str">
        <f>IFERROR(__xludf.DUMMYFUNCTION("""COMPUTED_VALUE"""),"ridha hafiza")</f>
        <v>ridha hafiza</v>
      </c>
      <c r="D1593" s="2" t="str">
        <f>IFERROR(__xludf.DUMMYFUNCTION("""COMPUTED_VALUE"""),"5KM OVERALL F")</f>
        <v>5KM OVERALL F</v>
      </c>
      <c r="E1593" s="1">
        <f>IFERROR(__xludf.DUMMYFUNCTION("""COMPUTED_VALUE"""),497.0)</f>
        <v>497</v>
      </c>
      <c r="F1593" s="1" t="str">
        <f>IFERROR(__xludf.DUMMYFUNCTION("""COMPUTED_VALUE"""),"Female")</f>
        <v>Female</v>
      </c>
      <c r="G1593" s="5">
        <f>IFERROR(__xludf.DUMMYFUNCTION("""COMPUTED_VALUE"""),0.010666361111111113)</f>
        <v>0.01066636111</v>
      </c>
      <c r="H1593" s="15">
        <f>IFERROR(__xludf.DUMMYFUNCTION("""COMPUTED_VALUE"""),0.2549440625)</f>
        <v>0.2549440625</v>
      </c>
      <c r="I1593" s="15">
        <f>IFERROR(__xludf.DUMMYFUNCTION("""COMPUTED_VALUE"""),45949.30827586355)</f>
        <v>45949.30828</v>
      </c>
      <c r="J1593" s="15">
        <f>IFERROR(__xludf.DUMMYFUNCTION("""COMPUTED_VALUE"""),45949.05333180105)</f>
        <v>45949.05333</v>
      </c>
      <c r="K1593" s="15">
        <f>IFERROR(__xludf.DUMMYFUNCTION("""COMPUTED_VALUE"""),45949.286252381215)</f>
        <v>45949.28625</v>
      </c>
      <c r="L1593" s="4"/>
    </row>
    <row r="1594">
      <c r="A1594" s="1">
        <f>IFERROR(__xludf.DUMMYFUNCTION("""COMPUTED_VALUE"""),1593.0)</f>
        <v>1593</v>
      </c>
      <c r="B1594" s="1">
        <f>IFERROR(__xludf.DUMMYFUNCTION("""COMPUTED_VALUE"""),6298.0)</f>
        <v>6298</v>
      </c>
      <c r="C1594" s="2" t="str">
        <f>IFERROR(__xludf.DUMMYFUNCTION("""COMPUTED_VALUE"""),"Mincut")</f>
        <v>Mincut</v>
      </c>
      <c r="D1594" s="2" t="str">
        <f>IFERROR(__xludf.DUMMYFUNCTION("""COMPUTED_VALUE"""),"5KM OVERALL F")</f>
        <v>5KM OVERALL F</v>
      </c>
      <c r="E1594" s="1">
        <f>IFERROR(__xludf.DUMMYFUNCTION("""COMPUTED_VALUE"""),498.0)</f>
        <v>498</v>
      </c>
      <c r="F1594" s="1" t="str">
        <f>IFERROR(__xludf.DUMMYFUNCTION("""COMPUTED_VALUE"""),"Female")</f>
        <v>Female</v>
      </c>
      <c r="G1594" s="5">
        <f>IFERROR(__xludf.DUMMYFUNCTION("""COMPUTED_VALUE"""),0.010666363425925925)</f>
        <v>0.01066636343</v>
      </c>
      <c r="H1594" s="15">
        <f>IFERROR(__xludf.DUMMYFUNCTION("""COMPUTED_VALUE"""),0.2549440625)</f>
        <v>0.2549440625</v>
      </c>
      <c r="I1594" s="15">
        <f>IFERROR(__xludf.DUMMYFUNCTION("""COMPUTED_VALUE"""),45949.308275875635)</f>
        <v>45949.30828</v>
      </c>
      <c r="J1594" s="15">
        <f>IFERROR(__xludf.DUMMYFUNCTION("""COMPUTED_VALUE"""),45949.053331813135)</f>
        <v>45949.05333</v>
      </c>
      <c r="K1594" s="15">
        <f>IFERROR(__xludf.DUMMYFUNCTION("""COMPUTED_VALUE"""),45949.284373907576)</f>
        <v>45949.28437</v>
      </c>
      <c r="L1594" s="4"/>
    </row>
    <row r="1595">
      <c r="A1595" s="1">
        <f>IFERROR(__xludf.DUMMYFUNCTION("""COMPUTED_VALUE"""),1594.0)</f>
        <v>1594</v>
      </c>
      <c r="B1595" s="1">
        <f>IFERROR(__xludf.DUMMYFUNCTION("""COMPUTED_VALUE"""),5503.0)</f>
        <v>5503</v>
      </c>
      <c r="C1595" s="2" t="str">
        <f>IFERROR(__xludf.DUMMYFUNCTION("""COMPUTED_VALUE"""),"affrida")</f>
        <v>affrida</v>
      </c>
      <c r="D1595" s="2" t="str">
        <f>IFERROR(__xludf.DUMMYFUNCTION("""COMPUTED_VALUE"""),"5KM OVERALL F")</f>
        <v>5KM OVERALL F</v>
      </c>
      <c r="E1595" s="1">
        <f>IFERROR(__xludf.DUMMYFUNCTION("""COMPUTED_VALUE"""),499.0)</f>
        <v>499</v>
      </c>
      <c r="F1595" s="1" t="str">
        <f>IFERROR(__xludf.DUMMYFUNCTION("""COMPUTED_VALUE"""),"Female")</f>
        <v>Female</v>
      </c>
      <c r="G1595" s="5">
        <f>IFERROR(__xludf.DUMMYFUNCTION("""COMPUTED_VALUE"""),0.01066775)</f>
        <v>0.01066775</v>
      </c>
      <c r="H1595" s="15">
        <f>IFERROR(__xludf.DUMMYFUNCTION("""COMPUTED_VALUE"""),0.2549440625)</f>
        <v>0.2549440625</v>
      </c>
      <c r="I1595" s="15">
        <f>IFERROR(__xludf.DUMMYFUNCTION("""COMPUTED_VALUE"""),45949.30828281238)</f>
        <v>45949.30828</v>
      </c>
      <c r="J1595" s="15">
        <f>IFERROR(__xludf.DUMMYFUNCTION("""COMPUTED_VALUE"""),45949.05333874988)</f>
        <v>45949.05334</v>
      </c>
      <c r="K1595" s="15">
        <f>IFERROR(__xludf.DUMMYFUNCTION("""COMPUTED_VALUE"""),45949.28432535402)</f>
        <v>45949.28433</v>
      </c>
      <c r="L1595" s="4"/>
    </row>
    <row r="1596">
      <c r="A1596" s="1">
        <f>IFERROR(__xludf.DUMMYFUNCTION("""COMPUTED_VALUE"""),1595.0)</f>
        <v>1595</v>
      </c>
      <c r="B1596" s="1">
        <f>IFERROR(__xludf.DUMMYFUNCTION("""COMPUTED_VALUE"""),5532.0)</f>
        <v>5532</v>
      </c>
      <c r="C1596" s="2" t="str">
        <f>IFERROR(__xludf.DUMMYFUNCTION("""COMPUTED_VALUE"""),"BIA")</f>
        <v>BIA</v>
      </c>
      <c r="D1596" s="2" t="str">
        <f>IFERROR(__xludf.DUMMYFUNCTION("""COMPUTED_VALUE"""),"5KM OVERALL F")</f>
        <v>5KM OVERALL F</v>
      </c>
      <c r="E1596" s="1">
        <f>IFERROR(__xludf.DUMMYFUNCTION("""COMPUTED_VALUE"""),500.0)</f>
        <v>500</v>
      </c>
      <c r="F1596" s="1" t="str">
        <f>IFERROR(__xludf.DUMMYFUNCTION("""COMPUTED_VALUE"""),"Female")</f>
        <v>Female</v>
      </c>
      <c r="G1596" s="5">
        <f>IFERROR(__xludf.DUMMYFUNCTION("""COMPUTED_VALUE"""),0.010677472222222222)</f>
        <v>0.01067747222</v>
      </c>
      <c r="H1596" s="15">
        <f>IFERROR(__xludf.DUMMYFUNCTION("""COMPUTED_VALUE"""),0.2549440625)</f>
        <v>0.2549440625</v>
      </c>
      <c r="I1596" s="15">
        <f>IFERROR(__xludf.DUMMYFUNCTION("""COMPUTED_VALUE"""),45949.30833142872)</f>
        <v>45949.30833</v>
      </c>
      <c r="J1596" s="15">
        <f>IFERROR(__xludf.DUMMYFUNCTION("""COMPUTED_VALUE"""),45949.05338736622)</f>
        <v>45949.05339</v>
      </c>
      <c r="K1596" s="15">
        <f>IFERROR(__xludf.DUMMYFUNCTION("""COMPUTED_VALUE"""),45949.28434961306)</f>
        <v>45949.28435</v>
      </c>
      <c r="L1596" s="4"/>
    </row>
    <row r="1597">
      <c r="A1597" s="1">
        <f>IFERROR(__xludf.DUMMYFUNCTION("""COMPUTED_VALUE"""),1596.0)</f>
        <v>1596</v>
      </c>
      <c r="B1597" s="1">
        <f>IFERROR(__xludf.DUMMYFUNCTION("""COMPUTED_VALUE"""),7049.0)</f>
        <v>7049</v>
      </c>
      <c r="C1597" s="2" t="str">
        <f>IFERROR(__xludf.DUMMYFUNCTION("""COMPUTED_VALUE"""),"Santo")</f>
        <v>Santo</v>
      </c>
      <c r="D1597" s="2" t="str">
        <f>IFERROR(__xludf.DUMMYFUNCTION("""COMPUTED_VALUE"""),"5KM MASTER M")</f>
        <v>5KM MASTER M</v>
      </c>
      <c r="E1597" s="1">
        <f>IFERROR(__xludf.DUMMYFUNCTION("""COMPUTED_VALUE"""),103.0)</f>
        <v>103</v>
      </c>
      <c r="F1597" s="1" t="str">
        <f>IFERROR(__xludf.DUMMYFUNCTION("""COMPUTED_VALUE"""),"Male")</f>
        <v>Male</v>
      </c>
      <c r="G1597" s="5">
        <f>IFERROR(__xludf.DUMMYFUNCTION("""COMPUTED_VALUE"""),0.010740666666666666)</f>
        <v>0.01074066667</v>
      </c>
      <c r="H1597" s="15">
        <f>IFERROR(__xludf.DUMMYFUNCTION("""COMPUTED_VALUE"""),0.2549440625)</f>
        <v>0.2549440625</v>
      </c>
      <c r="I1597" s="15">
        <f>IFERROR(__xludf.DUMMYFUNCTION("""COMPUTED_VALUE"""),45949.30864739548)</f>
        <v>45949.30865</v>
      </c>
      <c r="J1597" s="15">
        <f>IFERROR(__xludf.DUMMYFUNCTION("""COMPUTED_VALUE"""),45949.05370333298)</f>
        <v>45949.0537</v>
      </c>
      <c r="K1597" s="15">
        <f>IFERROR(__xludf.DUMMYFUNCTION("""COMPUTED_VALUE"""),45949.28668988032)</f>
        <v>45949.28669</v>
      </c>
      <c r="L1597" s="4"/>
    </row>
    <row r="1598">
      <c r="A1598" s="1">
        <f>IFERROR(__xludf.DUMMYFUNCTION("""COMPUTED_VALUE"""),1597.0)</f>
        <v>1597</v>
      </c>
      <c r="B1598" s="1">
        <f>IFERROR(__xludf.DUMMYFUNCTION("""COMPUTED_VALUE"""),5756.0)</f>
        <v>5756</v>
      </c>
      <c r="C1598" s="2" t="str">
        <f>IFERROR(__xludf.DUMMYFUNCTION("""COMPUTED_VALUE"""),"Ulya Karimah")</f>
        <v>Ulya Karimah</v>
      </c>
      <c r="D1598" s="2" t="str">
        <f>IFERROR(__xludf.DUMMYFUNCTION("""COMPUTED_VALUE"""),"5KM OVERALL F")</f>
        <v>5KM OVERALL F</v>
      </c>
      <c r="E1598" s="1">
        <f>IFERROR(__xludf.DUMMYFUNCTION("""COMPUTED_VALUE"""),501.0)</f>
        <v>501</v>
      </c>
      <c r="F1598" s="1" t="str">
        <f>IFERROR(__xludf.DUMMYFUNCTION("""COMPUTED_VALUE"""),"Female")</f>
        <v>Female</v>
      </c>
      <c r="G1598" s="5">
        <f>IFERROR(__xludf.DUMMYFUNCTION("""COMPUTED_VALUE"""),0.010754555555555555)</f>
        <v>0.01075455556</v>
      </c>
      <c r="H1598" s="15">
        <f>IFERROR(__xludf.DUMMYFUNCTION("""COMPUTED_VALUE"""),0.2549440625)</f>
        <v>0.2549440625</v>
      </c>
      <c r="I1598" s="15">
        <f>IFERROR(__xludf.DUMMYFUNCTION("""COMPUTED_VALUE"""),45949.30871684128)</f>
        <v>45949.30872</v>
      </c>
      <c r="J1598" s="15">
        <f>IFERROR(__xludf.DUMMYFUNCTION("""COMPUTED_VALUE"""),45949.05377277878)</f>
        <v>45949.05377</v>
      </c>
      <c r="K1598" s="15">
        <f>IFERROR(__xludf.DUMMYFUNCTION("""COMPUTED_VALUE"""),45949.288026688875)</f>
        <v>45949.28803</v>
      </c>
      <c r="L1598" s="4"/>
    </row>
    <row r="1599">
      <c r="A1599" s="1">
        <f>IFERROR(__xludf.DUMMYFUNCTION("""COMPUTED_VALUE"""),1598.0)</f>
        <v>1598</v>
      </c>
      <c r="B1599" s="1">
        <f>IFERROR(__xludf.DUMMYFUNCTION("""COMPUTED_VALUE"""),6336.0)</f>
        <v>6336</v>
      </c>
      <c r="C1599" s="2" t="str">
        <f>IFERROR(__xludf.DUMMYFUNCTION("""COMPUTED_VALUE"""),"Saleha")</f>
        <v>Saleha</v>
      </c>
      <c r="D1599" s="2" t="str">
        <f>IFERROR(__xludf.DUMMYFUNCTION("""COMPUTED_VALUE"""),"5KM OVERALL F")</f>
        <v>5KM OVERALL F</v>
      </c>
      <c r="E1599" s="1">
        <f>IFERROR(__xludf.DUMMYFUNCTION("""COMPUTED_VALUE"""),502.0)</f>
        <v>502</v>
      </c>
      <c r="F1599" s="1" t="str">
        <f>IFERROR(__xludf.DUMMYFUNCTION("""COMPUTED_VALUE"""),"Female")</f>
        <v>Female</v>
      </c>
      <c r="G1599" s="5">
        <f>IFERROR(__xludf.DUMMYFUNCTION("""COMPUTED_VALUE"""),0.010755944444444445)</f>
        <v>0.01075594444</v>
      </c>
      <c r="H1599" s="15">
        <f>IFERROR(__xludf.DUMMYFUNCTION("""COMPUTED_VALUE"""),0.2549440625)</f>
        <v>0.2549440625</v>
      </c>
      <c r="I1599" s="15">
        <f>IFERROR(__xludf.DUMMYFUNCTION("""COMPUTED_VALUE"""),45949.30872378466)</f>
        <v>45949.30872</v>
      </c>
      <c r="J1599" s="15">
        <f>IFERROR(__xludf.DUMMYFUNCTION("""COMPUTED_VALUE"""),45949.05377972216)</f>
        <v>45949.05378</v>
      </c>
      <c r="K1599" s="15">
        <f>IFERROR(__xludf.DUMMYFUNCTION("""COMPUTED_VALUE"""),45949.28776030547)</f>
        <v>45949.28776</v>
      </c>
      <c r="L1599" s="4"/>
    </row>
    <row r="1600">
      <c r="A1600" s="1">
        <f>IFERROR(__xludf.DUMMYFUNCTION("""COMPUTED_VALUE"""),1599.0)</f>
        <v>1599</v>
      </c>
      <c r="B1600" s="1">
        <f>IFERROR(__xludf.DUMMYFUNCTION("""COMPUTED_VALUE"""),7040.0)</f>
        <v>7040</v>
      </c>
      <c r="C1600" s="2" t="str">
        <f>IFERROR(__xludf.DUMMYFUNCTION("""COMPUTED_VALUE"""),"Fith-3")</f>
        <v>Fith-3</v>
      </c>
      <c r="D1600" s="2" t="str">
        <f>IFERROR(__xludf.DUMMYFUNCTION("""COMPUTED_VALUE"""),"5KM MASTER M")</f>
        <v>5KM MASTER M</v>
      </c>
      <c r="E1600" s="1">
        <f>IFERROR(__xludf.DUMMYFUNCTION("""COMPUTED_VALUE"""),104.0)</f>
        <v>104</v>
      </c>
      <c r="F1600" s="1" t="str">
        <f>IFERROR(__xludf.DUMMYFUNCTION("""COMPUTED_VALUE"""),"Male")</f>
        <v>Male</v>
      </c>
      <c r="G1600" s="5">
        <f>IFERROR(__xludf.DUMMYFUNCTION("""COMPUTED_VALUE"""),0.010758027777777778)</f>
        <v>0.01075802778</v>
      </c>
      <c r="H1600" s="15">
        <f>IFERROR(__xludf.DUMMYFUNCTION("""COMPUTED_VALUE"""),0.2549440625)</f>
        <v>0.2549440625</v>
      </c>
      <c r="I1600" s="15">
        <f>IFERROR(__xludf.DUMMYFUNCTION("""COMPUTED_VALUE"""),45949.308734201884)</f>
        <v>45949.30873</v>
      </c>
      <c r="J1600" s="15">
        <f>IFERROR(__xludf.DUMMYFUNCTION("""COMPUTED_VALUE"""),45949.05379013938)</f>
        <v>45949.05379</v>
      </c>
      <c r="K1600" s="15">
        <f>IFERROR(__xludf.DUMMYFUNCTION("""COMPUTED_VALUE"""),45949.28688091174)</f>
        <v>45949.28688</v>
      </c>
      <c r="L1600" s="4"/>
    </row>
    <row r="1601">
      <c r="A1601" s="1">
        <f>IFERROR(__xludf.DUMMYFUNCTION("""COMPUTED_VALUE"""),1600.0)</f>
        <v>1600</v>
      </c>
      <c r="B1601" s="1">
        <f>IFERROR(__xludf.DUMMYFUNCTION("""COMPUTED_VALUE"""),5434.0)</f>
        <v>5434</v>
      </c>
      <c r="C1601" s="2" t="str">
        <f>IFERROR(__xludf.DUMMYFUNCTION("""COMPUTED_VALUE"""),"VIA")</f>
        <v>VIA</v>
      </c>
      <c r="D1601" s="2" t="str">
        <f>IFERROR(__xludf.DUMMYFUNCTION("""COMPUTED_VALUE"""),"5KM OVERALL F")</f>
        <v>5KM OVERALL F</v>
      </c>
      <c r="E1601" s="1">
        <f>IFERROR(__xludf.DUMMYFUNCTION("""COMPUTED_VALUE"""),503.0)</f>
        <v>503</v>
      </c>
      <c r="F1601" s="1" t="str">
        <f>IFERROR(__xludf.DUMMYFUNCTION("""COMPUTED_VALUE"""),"Female")</f>
        <v>Female</v>
      </c>
      <c r="G1601" s="5">
        <f>IFERROR(__xludf.DUMMYFUNCTION("""COMPUTED_VALUE"""),0.010803168981481481)</f>
        <v>0.01080316898</v>
      </c>
      <c r="H1601" s="15">
        <f>IFERROR(__xludf.DUMMYFUNCTION("""COMPUTED_VALUE"""),0.2549440625)</f>
        <v>0.2549440625</v>
      </c>
      <c r="I1601" s="15">
        <f>IFERROR(__xludf.DUMMYFUNCTION("""COMPUTED_VALUE"""),45949.30895990234)</f>
        <v>45949.30896</v>
      </c>
      <c r="J1601" s="15">
        <f>IFERROR(__xludf.DUMMYFUNCTION("""COMPUTED_VALUE"""),45949.054015839836)</f>
        <v>45949.05402</v>
      </c>
      <c r="K1601" s="15">
        <f>IFERROR(__xludf.DUMMYFUNCTION("""COMPUTED_VALUE"""),45949.287374658445)</f>
        <v>45949.28737</v>
      </c>
      <c r="L1601" s="4"/>
    </row>
    <row r="1602">
      <c r="A1602" s="1">
        <f>IFERROR(__xludf.DUMMYFUNCTION("""COMPUTED_VALUE"""),1601.0)</f>
        <v>1601</v>
      </c>
      <c r="B1602" s="1">
        <f>IFERROR(__xludf.DUMMYFUNCTION("""COMPUTED_VALUE"""),6245.0)</f>
        <v>6245</v>
      </c>
      <c r="C1602" s="2" t="str">
        <f>IFERROR(__xludf.DUMMYFUNCTION("""COMPUTED_VALUE"""),"Cindy faradila")</f>
        <v>Cindy faradila</v>
      </c>
      <c r="D1602" s="2" t="str">
        <f>IFERROR(__xludf.DUMMYFUNCTION("""COMPUTED_VALUE"""),"5KM OVERALL F")</f>
        <v>5KM OVERALL F</v>
      </c>
      <c r="E1602" s="1">
        <f>IFERROR(__xludf.DUMMYFUNCTION("""COMPUTED_VALUE"""),504.0)</f>
        <v>504</v>
      </c>
      <c r="F1602" s="1" t="str">
        <f>IFERROR(__xludf.DUMMYFUNCTION("""COMPUTED_VALUE"""),"Female")</f>
        <v>Female</v>
      </c>
      <c r="G1602" s="5">
        <f>IFERROR(__xludf.DUMMYFUNCTION("""COMPUTED_VALUE"""),0.01091288888888889)</f>
        <v>0.01091288889</v>
      </c>
      <c r="H1602" s="15">
        <f>IFERROR(__xludf.DUMMYFUNCTION("""COMPUTED_VALUE"""),0.2549440625)</f>
        <v>0.2549440625</v>
      </c>
      <c r="I1602" s="15">
        <f>IFERROR(__xludf.DUMMYFUNCTION("""COMPUTED_VALUE"""),45949.309508503626)</f>
        <v>45949.30951</v>
      </c>
      <c r="J1602" s="15">
        <f>IFERROR(__xludf.DUMMYFUNCTION("""COMPUTED_VALUE"""),45949.054564441125)</f>
        <v>45949.05456</v>
      </c>
      <c r="K1602" s="15">
        <f>IFERROR(__xludf.DUMMYFUNCTION("""COMPUTED_VALUE"""),45949.28629407851)</f>
        <v>45949.28629</v>
      </c>
      <c r="L1602" s="4"/>
    </row>
    <row r="1603">
      <c r="A1603" s="1">
        <f>IFERROR(__xludf.DUMMYFUNCTION("""COMPUTED_VALUE"""),1602.0)</f>
        <v>1602</v>
      </c>
      <c r="B1603" s="1">
        <f>IFERROR(__xludf.DUMMYFUNCTION("""COMPUTED_VALUE"""),6195.0)</f>
        <v>6195</v>
      </c>
      <c r="C1603" s="2" t="str">
        <f>IFERROR(__xludf.DUMMYFUNCTION("""COMPUTED_VALUE"""),"Rizki Sesario")</f>
        <v>Rizki Sesario</v>
      </c>
      <c r="D1603" s="2" t="str">
        <f>IFERROR(__xludf.DUMMYFUNCTION("""COMPUTED_VALUE"""),"5KM OVERALL F")</f>
        <v>5KM OVERALL F</v>
      </c>
      <c r="E1603" s="1">
        <f>IFERROR(__xludf.DUMMYFUNCTION("""COMPUTED_VALUE"""),505.0)</f>
        <v>505</v>
      </c>
      <c r="F1603" s="1" t="str">
        <f>IFERROR(__xludf.DUMMYFUNCTION("""COMPUTED_VALUE"""),"Female")</f>
        <v>Female</v>
      </c>
      <c r="G1603" s="5">
        <f>IFERROR(__xludf.DUMMYFUNCTION("""COMPUTED_VALUE"""),0.01091635185185185)</f>
        <v>0.01091635185</v>
      </c>
      <c r="H1603" s="15">
        <f>IFERROR(__xludf.DUMMYFUNCTION("""COMPUTED_VALUE"""),0.2549440625)</f>
        <v>0.2549440625</v>
      </c>
      <c r="I1603" s="15">
        <f>IFERROR(__xludf.DUMMYFUNCTION("""COMPUTED_VALUE"""),45949.309525818426)</f>
        <v>45949.30953</v>
      </c>
      <c r="J1603" s="15">
        <f>IFERROR(__xludf.DUMMYFUNCTION("""COMPUTED_VALUE"""),45949.054581755925)</f>
        <v>45949.05458</v>
      </c>
      <c r="K1603" s="15">
        <f>IFERROR(__xludf.DUMMYFUNCTION("""COMPUTED_VALUE"""),45949.28629406693)</f>
        <v>45949.28629</v>
      </c>
      <c r="L1603" s="4"/>
    </row>
    <row r="1604">
      <c r="A1604" s="1">
        <f>IFERROR(__xludf.DUMMYFUNCTION("""COMPUTED_VALUE"""),1603.0)</f>
        <v>1603</v>
      </c>
      <c r="B1604" s="1">
        <f>IFERROR(__xludf.DUMMYFUNCTION("""COMPUTED_VALUE"""),7100.0)</f>
        <v>7100</v>
      </c>
      <c r="C1604" s="2" t="str">
        <f>IFERROR(__xludf.DUMMYFUNCTION("""COMPUTED_VALUE"""),"fatmawati")</f>
        <v>fatmawati</v>
      </c>
      <c r="D1604" s="2" t="str">
        <f>IFERROR(__xludf.DUMMYFUNCTION("""COMPUTED_VALUE"""),"5KM MASTER F")</f>
        <v>5KM MASTER F</v>
      </c>
      <c r="E1604" s="1">
        <f>IFERROR(__xludf.DUMMYFUNCTION("""COMPUTED_VALUE"""),58.0)</f>
        <v>58</v>
      </c>
      <c r="F1604" s="1" t="str">
        <f>IFERROR(__xludf.DUMMYFUNCTION("""COMPUTED_VALUE"""),"Female")</f>
        <v>Female</v>
      </c>
      <c r="G1604" s="5">
        <f>IFERROR(__xludf.DUMMYFUNCTION("""COMPUTED_VALUE"""),0.010923305555555558)</f>
        <v>0.01092330556</v>
      </c>
      <c r="H1604" s="15">
        <f>IFERROR(__xludf.DUMMYFUNCTION("""COMPUTED_VALUE"""),0.2549440625)</f>
        <v>0.2549440625</v>
      </c>
      <c r="I1604" s="15">
        <f>IFERROR(__xludf.DUMMYFUNCTION("""COMPUTED_VALUE"""),45949.30956058989)</f>
        <v>45949.30956</v>
      </c>
      <c r="J1604" s="15">
        <f>IFERROR(__xludf.DUMMYFUNCTION("""COMPUTED_VALUE"""),45949.05461652739)</f>
        <v>45949.05462</v>
      </c>
      <c r="K1604" s="15">
        <f>IFERROR(__xludf.DUMMYFUNCTION("""COMPUTED_VALUE"""),45949.286932999195)</f>
        <v>45949.28693</v>
      </c>
      <c r="L1604" s="4"/>
    </row>
    <row r="1605">
      <c r="A1605" s="1">
        <f>IFERROR(__xludf.DUMMYFUNCTION("""COMPUTED_VALUE"""),1604.0)</f>
        <v>1604</v>
      </c>
      <c r="B1605" s="1">
        <f>IFERROR(__xludf.DUMMYFUNCTION("""COMPUTED_VALUE"""),5755.0)</f>
        <v>5755</v>
      </c>
      <c r="C1605" s="2" t="str">
        <f>IFERROR(__xludf.DUMMYFUNCTION("""COMPUTED_VALUE"""),"Guruh N.")</f>
        <v>Guruh N.</v>
      </c>
      <c r="D1605" s="2" t="str">
        <f>IFERROR(__xludf.DUMMYFUNCTION("""COMPUTED_VALUE"""),"5KM OVERALL M")</f>
        <v>5KM OVERALL M</v>
      </c>
      <c r="E1605" s="1">
        <f>IFERROR(__xludf.DUMMYFUNCTION("""COMPUTED_VALUE"""),852.0)</f>
        <v>852</v>
      </c>
      <c r="F1605" s="1" t="str">
        <f>IFERROR(__xludf.DUMMYFUNCTION("""COMPUTED_VALUE"""),"Male")</f>
        <v>Male</v>
      </c>
      <c r="G1605" s="5">
        <f>IFERROR(__xludf.DUMMYFUNCTION("""COMPUTED_VALUE"""),0.010944289351851853)</f>
        <v>0.01094428935</v>
      </c>
      <c r="H1605" s="15">
        <f>IFERROR(__xludf.DUMMYFUNCTION("""COMPUTED_VALUE"""),0.2549440625)</f>
        <v>0.2549440625</v>
      </c>
      <c r="I1605" s="15">
        <f>IFERROR(__xludf.DUMMYFUNCTION("""COMPUTED_VALUE"""),45949.3096655131)</f>
        <v>45949.30967</v>
      </c>
      <c r="J1605" s="15">
        <f>IFERROR(__xludf.DUMMYFUNCTION("""COMPUTED_VALUE"""),45949.0547214506)</f>
        <v>45949.05472</v>
      </c>
      <c r="K1605" s="15">
        <f>IFERROR(__xludf.DUMMYFUNCTION("""COMPUTED_VALUE"""),45949.28787391841)</f>
        <v>45949.28787</v>
      </c>
      <c r="L1605" s="4"/>
    </row>
    <row r="1606">
      <c r="A1606" s="1">
        <f>IFERROR(__xludf.DUMMYFUNCTION("""COMPUTED_VALUE"""),1605.0)</f>
        <v>1605</v>
      </c>
      <c r="B1606" s="1">
        <f>IFERROR(__xludf.DUMMYFUNCTION("""COMPUTED_VALUE"""),6263.0)</f>
        <v>6263</v>
      </c>
      <c r="C1606" s="2" t="str">
        <f>IFERROR(__xludf.DUMMYFUNCTION("""COMPUTED_VALUE"""),"RISYA VENANDA")</f>
        <v>RISYA VENANDA</v>
      </c>
      <c r="D1606" s="2" t="str">
        <f>IFERROR(__xludf.DUMMYFUNCTION("""COMPUTED_VALUE"""),"5KM OVERALL F")</f>
        <v>5KM OVERALL F</v>
      </c>
      <c r="E1606" s="1">
        <f>IFERROR(__xludf.DUMMYFUNCTION("""COMPUTED_VALUE"""),506.0)</f>
        <v>506</v>
      </c>
      <c r="F1606" s="1" t="str">
        <f>IFERROR(__xludf.DUMMYFUNCTION("""COMPUTED_VALUE"""),"Female")</f>
        <v>Female</v>
      </c>
      <c r="G1606" s="5">
        <f>IFERROR(__xludf.DUMMYFUNCTION("""COMPUTED_VALUE"""),0.011182333333333332)</f>
        <v>0.01118233333</v>
      </c>
      <c r="H1606" s="15">
        <f>IFERROR(__xludf.DUMMYFUNCTION("""COMPUTED_VALUE"""),0.2549440625)</f>
        <v>0.2549440625</v>
      </c>
      <c r="I1606" s="15">
        <f>IFERROR(__xludf.DUMMYFUNCTION("""COMPUTED_VALUE"""),45949.3108557235)</f>
        <v>45949.31086</v>
      </c>
      <c r="J1606" s="15">
        <f>IFERROR(__xludf.DUMMYFUNCTION("""COMPUTED_VALUE"""),45949.055911661)</f>
        <v>45949.05591</v>
      </c>
      <c r="K1606" s="15">
        <f>IFERROR(__xludf.DUMMYFUNCTION("""COMPUTED_VALUE"""),45949.28819058395)</f>
        <v>45949.28819</v>
      </c>
      <c r="L1606" s="4"/>
    </row>
    <row r="1607">
      <c r="A1607" s="1">
        <f>IFERROR(__xludf.DUMMYFUNCTION("""COMPUTED_VALUE"""),1606.0)</f>
        <v>1606</v>
      </c>
      <c r="B1607" s="1">
        <f>IFERROR(__xludf.DUMMYFUNCTION("""COMPUTED_VALUE"""),6222.0)</f>
        <v>6222</v>
      </c>
      <c r="C1607" s="2" t="str">
        <f>IFERROR(__xludf.DUMMYFUNCTION("""COMPUTED_VALUE"""),"kokom")</f>
        <v>kokom</v>
      </c>
      <c r="D1607" s="2" t="str">
        <f>IFERROR(__xludf.DUMMYFUNCTION("""COMPUTED_VALUE"""),"5KM OVERALL F")</f>
        <v>5KM OVERALL F</v>
      </c>
      <c r="E1607" s="1">
        <f>IFERROR(__xludf.DUMMYFUNCTION("""COMPUTED_VALUE"""),507.0)</f>
        <v>507</v>
      </c>
      <c r="F1607" s="1" t="str">
        <f>IFERROR(__xludf.DUMMYFUNCTION("""COMPUTED_VALUE"""),"Female")</f>
        <v>Female</v>
      </c>
      <c r="G1607" s="5">
        <f>IFERROR(__xludf.DUMMYFUNCTION("""COMPUTED_VALUE"""),0.011190666666666668)</f>
        <v>0.01119066667</v>
      </c>
      <c r="H1607" s="15">
        <f>IFERROR(__xludf.DUMMYFUNCTION("""COMPUTED_VALUE"""),0.2549440625)</f>
        <v>0.2549440625</v>
      </c>
      <c r="I1607" s="15">
        <f>IFERROR(__xludf.DUMMYFUNCTION("""COMPUTED_VALUE"""),45949.31089739958)</f>
        <v>45949.3109</v>
      </c>
      <c r="J1607" s="15">
        <f>IFERROR(__xludf.DUMMYFUNCTION("""COMPUTED_VALUE"""),45949.055953337076)</f>
        <v>45949.05595</v>
      </c>
      <c r="K1607" s="15">
        <f>IFERROR(__xludf.DUMMYFUNCTION("""COMPUTED_VALUE"""),45949.28815522128)</f>
        <v>45949.28816</v>
      </c>
      <c r="L1607" s="4"/>
    </row>
    <row r="1608">
      <c r="A1608" s="1">
        <f>IFERROR(__xludf.DUMMYFUNCTION("""COMPUTED_VALUE"""),1607.0)</f>
        <v>1607</v>
      </c>
      <c r="B1608" s="7" t="str">
        <f>IFERROR(__xludf.DUMMYFUNCTION("""COMPUTED_VALUE"""),"7159")</f>
        <v>7159</v>
      </c>
      <c r="C1608" s="8" t="str">
        <f>IFERROR(__xludf.DUMMYFUNCTION("""COMPUTED_VALUE"""),"echo")</f>
        <v>echo</v>
      </c>
      <c r="D1608" s="2" t="str">
        <f>IFERROR(__xludf.DUMMYFUNCTION("""COMPUTED_VALUE"""),"5KM MASTER M")</f>
        <v>5KM MASTER M</v>
      </c>
      <c r="E1608" s="1">
        <f>IFERROR(__xludf.DUMMYFUNCTION("""COMPUTED_VALUE"""),105.0)</f>
        <v>105</v>
      </c>
      <c r="F1608" s="1" t="str">
        <f>IFERROR(__xludf.DUMMYFUNCTION("""COMPUTED_VALUE"""),"Male")</f>
        <v>Male</v>
      </c>
      <c r="G1608" s="5">
        <f>IFERROR(__xludf.DUMMYFUNCTION("""COMPUTED_VALUE"""),0.011195527777777778)</f>
        <v>0.01119552778</v>
      </c>
      <c r="H1608" s="15">
        <f>IFERROR(__xludf.DUMMYFUNCTION("""COMPUTED_VALUE"""),0.2549440625)</f>
        <v>0.2549440625</v>
      </c>
      <c r="I1608" s="15">
        <f>IFERROR(__xludf.DUMMYFUNCTION("""COMPUTED_VALUE"""),45949.31092170157)</f>
        <v>45949.31092</v>
      </c>
      <c r="J1608" s="15">
        <f>IFERROR(__xludf.DUMMYFUNCTION("""COMPUTED_VALUE"""),45949.05597763907)</f>
        <v>45949.05598</v>
      </c>
      <c r="K1608" s="15">
        <f>IFERROR(__xludf.DUMMYFUNCTION("""COMPUTED_VALUE"""),45949.288294059246)</f>
        <v>45949.28829</v>
      </c>
      <c r="L1608" s="4"/>
    </row>
    <row r="1609">
      <c r="A1609" s="1">
        <f>IFERROR(__xludf.DUMMYFUNCTION("""COMPUTED_VALUE"""),1608.0)</f>
        <v>1608</v>
      </c>
      <c r="B1609" s="1">
        <f>IFERROR(__xludf.DUMMYFUNCTION("""COMPUTED_VALUE"""),5303.0)</f>
        <v>5303</v>
      </c>
      <c r="C1609" s="2" t="str">
        <f>IFERROR(__xludf.DUMMYFUNCTION("""COMPUTED_VALUE"""),"Eflin")</f>
        <v>Eflin</v>
      </c>
      <c r="D1609" s="2" t="str">
        <f>IFERROR(__xludf.DUMMYFUNCTION("""COMPUTED_VALUE"""),"5KM OVERALL F")</f>
        <v>5KM OVERALL F</v>
      </c>
      <c r="E1609" s="1">
        <f>IFERROR(__xludf.DUMMYFUNCTION("""COMPUTED_VALUE"""),508.0)</f>
        <v>508</v>
      </c>
      <c r="F1609" s="1" t="str">
        <f>IFERROR(__xludf.DUMMYFUNCTION("""COMPUTED_VALUE"""),"Female")</f>
        <v>Female</v>
      </c>
      <c r="G1609" s="5">
        <f>IFERROR(__xludf.DUMMYFUNCTION("""COMPUTED_VALUE"""),0.011438576388888889)</f>
        <v>0.01143857639</v>
      </c>
      <c r="H1609" s="15">
        <f>IFERROR(__xludf.DUMMYFUNCTION("""COMPUTED_VALUE"""),0.2549440625)</f>
        <v>0.2549440625</v>
      </c>
      <c r="I1609" s="15">
        <f>IFERROR(__xludf.DUMMYFUNCTION("""COMPUTED_VALUE"""),45949.31213694458)</f>
        <v>45949.31214</v>
      </c>
      <c r="J1609" s="15">
        <f>IFERROR(__xludf.DUMMYFUNCTION("""COMPUTED_VALUE"""),45949.05719288208)</f>
        <v>45949.05719</v>
      </c>
      <c r="K1609" s="15">
        <f>IFERROR(__xludf.DUMMYFUNCTION("""COMPUTED_VALUE"""),45949.286294043966)</f>
        <v>45949.28629</v>
      </c>
      <c r="L1609" s="4"/>
    </row>
    <row r="1610">
      <c r="A1610" s="1">
        <f>IFERROR(__xludf.DUMMYFUNCTION("""COMPUTED_VALUE"""),1609.0)</f>
        <v>1609</v>
      </c>
      <c r="B1610" s="1">
        <f>IFERROR(__xludf.DUMMYFUNCTION("""COMPUTED_VALUE"""),7035.0)</f>
        <v>7035</v>
      </c>
      <c r="C1610" s="2" t="str">
        <f>IFERROR(__xludf.DUMMYFUNCTION("""COMPUTED_VALUE"""),"Noor62")</f>
        <v>Noor62</v>
      </c>
      <c r="D1610" s="2" t="str">
        <f>IFERROR(__xludf.DUMMYFUNCTION("""COMPUTED_VALUE"""),"5KM MASTER M")</f>
        <v>5KM MASTER M</v>
      </c>
      <c r="E1610" s="1">
        <f>IFERROR(__xludf.DUMMYFUNCTION("""COMPUTED_VALUE"""),106.0)</f>
        <v>106</v>
      </c>
      <c r="F1610" s="1" t="str">
        <f>IFERROR(__xludf.DUMMYFUNCTION("""COMPUTED_VALUE"""),"Male")</f>
        <v>Male</v>
      </c>
      <c r="G1610" s="5">
        <f>IFERROR(__xludf.DUMMYFUNCTION("""COMPUTED_VALUE"""),0.011442055555555556)</f>
        <v>0.01144205556</v>
      </c>
      <c r="H1610" s="15">
        <f>IFERROR(__xludf.DUMMYFUNCTION("""COMPUTED_VALUE"""),0.2549440625)</f>
        <v>0.2549440625</v>
      </c>
      <c r="I1610" s="15">
        <f>IFERROR(__xludf.DUMMYFUNCTION("""COMPUTED_VALUE"""),45949.31215434416)</f>
        <v>45949.31215</v>
      </c>
      <c r="J1610" s="15">
        <f>IFERROR(__xludf.DUMMYFUNCTION("""COMPUTED_VALUE"""),45949.05721028166)</f>
        <v>45949.05721</v>
      </c>
      <c r="K1610" s="15">
        <f>IFERROR(__xludf.DUMMYFUNCTION("""COMPUTED_VALUE"""),45949.286363551306)</f>
        <v>45949.28636</v>
      </c>
      <c r="L1610" s="4"/>
    </row>
    <row r="1611">
      <c r="A1611" s="1">
        <f>IFERROR(__xludf.DUMMYFUNCTION("""COMPUTED_VALUE"""),1610.0)</f>
        <v>1610</v>
      </c>
      <c r="B1611" s="1">
        <f>IFERROR(__xludf.DUMMYFUNCTION("""COMPUTED_VALUE"""),7099.0)</f>
        <v>7099</v>
      </c>
      <c r="C1611" s="2" t="str">
        <f>IFERROR(__xludf.DUMMYFUNCTION("""COMPUTED_VALUE"""),"ismail")</f>
        <v>ismail</v>
      </c>
      <c r="D1611" s="2" t="str">
        <f>IFERROR(__xludf.DUMMYFUNCTION("""COMPUTED_VALUE"""),"5KM MASTER M")</f>
        <v>5KM MASTER M</v>
      </c>
      <c r="E1611" s="1">
        <f>IFERROR(__xludf.DUMMYFUNCTION("""COMPUTED_VALUE"""),107.0)</f>
        <v>107</v>
      </c>
      <c r="F1611" s="1" t="str">
        <f>IFERROR(__xludf.DUMMYFUNCTION("""COMPUTED_VALUE"""),"Male")</f>
        <v>Male</v>
      </c>
      <c r="G1611" s="5">
        <f>IFERROR(__xludf.DUMMYFUNCTION("""COMPUTED_VALUE"""),0.011571222222222222)</f>
        <v>0.01157122222</v>
      </c>
      <c r="H1611" s="15">
        <f>IFERROR(__xludf.DUMMYFUNCTION("""COMPUTED_VALUE"""),0.2549440625)</f>
        <v>0.2549440625</v>
      </c>
      <c r="I1611" s="15">
        <f>IFERROR(__xludf.DUMMYFUNCTION("""COMPUTED_VALUE"""),45949.31280017296)</f>
        <v>45949.3128</v>
      </c>
      <c r="J1611" s="15">
        <f>IFERROR(__xludf.DUMMYFUNCTION("""COMPUTED_VALUE"""),45949.057856110456)</f>
        <v>45949.05786</v>
      </c>
      <c r="K1611" s="15">
        <f>IFERROR(__xludf.DUMMYFUNCTION("""COMPUTED_VALUE"""),45949.28698502038)</f>
        <v>45949.28699</v>
      </c>
      <c r="L1611" s="4"/>
    </row>
    <row r="1612">
      <c r="A1612" s="1">
        <f>IFERROR(__xludf.DUMMYFUNCTION("""COMPUTED_VALUE"""),1611.0)</f>
        <v>1611</v>
      </c>
      <c r="B1612" s="7" t="str">
        <f>IFERROR(__xludf.DUMMYFUNCTION("""COMPUTED_VALUE"""),"9098")</f>
        <v>9098</v>
      </c>
      <c r="C1612" s="8" t="str">
        <f>IFERROR(__xludf.DUMMYFUNCTION("""COMPUTED_VALUE"""),"Reza")</f>
        <v>Reza</v>
      </c>
      <c r="D1612" s="2" t="str">
        <f>IFERROR(__xludf.DUMMYFUNCTION("""COMPUTED_VALUE"""),"5KM STUDENT M")</f>
        <v>5KM STUDENT M</v>
      </c>
      <c r="E1612" s="1">
        <f>IFERROR(__xludf.DUMMYFUNCTION("""COMPUTED_VALUE"""),69.0)</f>
        <v>69</v>
      </c>
      <c r="F1612" s="1" t="str">
        <f>IFERROR(__xludf.DUMMYFUNCTION("""COMPUTED_VALUE"""),"Male")</f>
        <v>Male</v>
      </c>
      <c r="G1612" s="5">
        <f>IFERROR(__xludf.DUMMYFUNCTION("""COMPUTED_VALUE"""),0.015756627314814815)</f>
        <v>0.01575662731</v>
      </c>
      <c r="H1612" s="15">
        <f>IFERROR(__xludf.DUMMYFUNCTION("""COMPUTED_VALUE"""),0.2549440625)</f>
        <v>0.2549440625</v>
      </c>
      <c r="I1612" s="15">
        <f>IFERROR(__xludf.DUMMYFUNCTION("""COMPUTED_VALUE"""),45949.33372720045)</f>
        <v>45949.33373</v>
      </c>
      <c r="J1612" s="15">
        <f>IFERROR(__xludf.DUMMYFUNCTION("""COMPUTED_VALUE"""),45949.07878313795)</f>
        <v>45949.07878</v>
      </c>
      <c r="K1612" s="15">
        <f>IFERROR(__xludf.DUMMYFUNCTION("""COMPUTED_VALUE"""),45949.276735095424)</f>
        <v>45949.27674</v>
      </c>
      <c r="L1612" s="4"/>
    </row>
    <row r="1613">
      <c r="A1613" s="1" t="str">
        <f>IFERROR(__xludf.DUMMYFUNCTION("""COMPUTED_VALUE"""),"DNF")</f>
        <v>DNF</v>
      </c>
      <c r="B1613" s="1">
        <f>IFERROR(__xludf.DUMMYFUNCTION("""COMPUTED_VALUE"""),7104.0)</f>
        <v>7104</v>
      </c>
      <c r="C1613" s="2" t="str">
        <f>IFERROR(__xludf.DUMMYFUNCTION("""COMPUTED_VALUE"""),"Abdul Majid")</f>
        <v>Abdul Majid</v>
      </c>
      <c r="D1613" s="2" t="str">
        <f>IFERROR(__xludf.DUMMYFUNCTION("""COMPUTED_VALUE"""),"5KM MASTER M")</f>
        <v>5KM MASTER M</v>
      </c>
      <c r="E1613" s="1" t="str">
        <f>IFERROR(__xludf.DUMMYFUNCTION("""COMPUTED_VALUE"""),"DNF")</f>
        <v>DNF</v>
      </c>
      <c r="F1613" s="1" t="str">
        <f>IFERROR(__xludf.DUMMYFUNCTION("""COMPUTED_VALUE"""),"Male")</f>
        <v>Male</v>
      </c>
      <c r="G1613" s="5" t="str">
        <f>IFERROR(__xludf.DUMMYFUNCTION("""COMPUTED_VALUE"""),"")</f>
        <v/>
      </c>
      <c r="H1613" s="15">
        <f>IFERROR(__xludf.DUMMYFUNCTION("""COMPUTED_VALUE"""),0.2549440625)</f>
        <v>0.2549440625</v>
      </c>
      <c r="I1613" s="15" t="str">
        <f>IFERROR(__xludf.DUMMYFUNCTION("""COMPUTED_VALUE"""),"")</f>
        <v/>
      </c>
      <c r="J1613" s="15" t="str">
        <f>IFERROR(__xludf.DUMMYFUNCTION("""COMPUTED_VALUE"""),"")</f>
        <v/>
      </c>
      <c r="K1613" s="15">
        <f>IFERROR(__xludf.DUMMYFUNCTION("""COMPUTED_VALUE"""),45949.27338085645)</f>
        <v>45949.27338</v>
      </c>
      <c r="L1613" s="4"/>
    </row>
    <row r="1614">
      <c r="A1614" s="1" t="str">
        <f>IFERROR(__xludf.DUMMYFUNCTION("""COMPUTED_VALUE"""),"DNF")</f>
        <v>DNF</v>
      </c>
      <c r="B1614" s="1">
        <f>IFERROR(__xludf.DUMMYFUNCTION("""COMPUTED_VALUE"""),6450.0)</f>
        <v>6450</v>
      </c>
      <c r="C1614" s="2" t="str">
        <f>IFERROR(__xludf.DUMMYFUNCTION("""COMPUTED_VALUE"""),"M. DARY FARRAS")</f>
        <v>M. DARY FARRAS</v>
      </c>
      <c r="D1614" s="2" t="str">
        <f>IFERROR(__xludf.DUMMYFUNCTION("""COMPUTED_VALUE"""),"5KM OVERALL F")</f>
        <v>5KM OVERALL F</v>
      </c>
      <c r="E1614" s="1" t="str">
        <f>IFERROR(__xludf.DUMMYFUNCTION("""COMPUTED_VALUE"""),"DNF")</f>
        <v>DNF</v>
      </c>
      <c r="F1614" s="1" t="str">
        <f>IFERROR(__xludf.DUMMYFUNCTION("""COMPUTED_VALUE"""),"Female")</f>
        <v>Female</v>
      </c>
      <c r="G1614" s="5" t="str">
        <f>IFERROR(__xludf.DUMMYFUNCTION("""COMPUTED_VALUE"""),"")</f>
        <v/>
      </c>
      <c r="H1614" s="15">
        <f>IFERROR(__xludf.DUMMYFUNCTION("""COMPUTED_VALUE"""),0.2549440625)</f>
        <v>0.2549440625</v>
      </c>
      <c r="I1614" s="15" t="str">
        <f>IFERROR(__xludf.DUMMYFUNCTION("""COMPUTED_VALUE"""),"")</f>
        <v/>
      </c>
      <c r="J1614" s="15" t="str">
        <f>IFERROR(__xludf.DUMMYFUNCTION("""COMPUTED_VALUE"""),"")</f>
        <v/>
      </c>
      <c r="K1614" s="15">
        <f>IFERROR(__xludf.DUMMYFUNCTION("""COMPUTED_VALUE"""),45949.27002691265)</f>
        <v>45949.27003</v>
      </c>
      <c r="L1614" s="4"/>
    </row>
    <row r="1615">
      <c r="A1615" s="1" t="str">
        <f>IFERROR(__xludf.DUMMYFUNCTION("""COMPUTED_VALUE"""),"DNF")</f>
        <v>DNF</v>
      </c>
      <c r="B1615" s="1">
        <f>IFERROR(__xludf.DUMMYFUNCTION("""COMPUTED_VALUE"""),5347.0)</f>
        <v>5347</v>
      </c>
      <c r="C1615" s="2" t="str">
        <f>IFERROR(__xludf.DUMMYFUNCTION("""COMPUTED_VALUE"""),"SAIDI")</f>
        <v>SAIDI</v>
      </c>
      <c r="D1615" s="2" t="str">
        <f>IFERROR(__xludf.DUMMYFUNCTION("""COMPUTED_VALUE"""),"5KM OVERALL M")</f>
        <v>5KM OVERALL M</v>
      </c>
      <c r="E1615" s="1" t="str">
        <f>IFERROR(__xludf.DUMMYFUNCTION("""COMPUTED_VALUE"""),"DNF")</f>
        <v>DNF</v>
      </c>
      <c r="F1615" s="1" t="str">
        <f>IFERROR(__xludf.DUMMYFUNCTION("""COMPUTED_VALUE"""),"Male")</f>
        <v>Male</v>
      </c>
      <c r="G1615" s="5" t="str">
        <f>IFERROR(__xludf.DUMMYFUNCTION("""COMPUTED_VALUE"""),"")</f>
        <v/>
      </c>
      <c r="H1615" s="15">
        <f>IFERROR(__xludf.DUMMYFUNCTION("""COMPUTED_VALUE"""),0.2549440625)</f>
        <v>0.2549440625</v>
      </c>
      <c r="I1615" s="15" t="str">
        <f>IFERROR(__xludf.DUMMYFUNCTION("""COMPUTED_VALUE"""),"")</f>
        <v/>
      </c>
      <c r="J1615" s="15" t="str">
        <f>IFERROR(__xludf.DUMMYFUNCTION("""COMPUTED_VALUE"""),"")</f>
        <v/>
      </c>
      <c r="K1615" s="15">
        <f>IFERROR(__xludf.DUMMYFUNCTION("""COMPUTED_VALUE"""),45949.2772975236)</f>
        <v>45949.2773</v>
      </c>
      <c r="L1615" s="4"/>
    </row>
    <row r="1616">
      <c r="A1616" s="1" t="str">
        <f>IFERROR(__xludf.DUMMYFUNCTION("""COMPUTED_VALUE"""),"DNF")</f>
        <v>DNF</v>
      </c>
      <c r="B1616" s="1">
        <f>IFERROR(__xludf.DUMMYFUNCTION("""COMPUTED_VALUE"""),5616.0)</f>
        <v>5616</v>
      </c>
      <c r="C1616" s="2" t="str">
        <f>IFERROR(__xludf.DUMMYFUNCTION("""COMPUTED_VALUE"""),"Muhib")</f>
        <v>Muhib</v>
      </c>
      <c r="D1616" s="2" t="str">
        <f>IFERROR(__xludf.DUMMYFUNCTION("""COMPUTED_VALUE"""),"5KM OVERALL M")</f>
        <v>5KM OVERALL M</v>
      </c>
      <c r="E1616" s="1" t="str">
        <f>IFERROR(__xludf.DUMMYFUNCTION("""COMPUTED_VALUE"""),"DNF")</f>
        <v>DNF</v>
      </c>
      <c r="F1616" s="1" t="str">
        <f>IFERROR(__xludf.DUMMYFUNCTION("""COMPUTED_VALUE"""),"Male")</f>
        <v>Male</v>
      </c>
      <c r="G1616" s="5" t="str">
        <f>IFERROR(__xludf.DUMMYFUNCTION("""COMPUTED_VALUE"""),"")</f>
        <v/>
      </c>
      <c r="H1616" s="15">
        <f>IFERROR(__xludf.DUMMYFUNCTION("""COMPUTED_VALUE"""),0.2549440625)</f>
        <v>0.2549440625</v>
      </c>
      <c r="I1616" s="15" t="str">
        <f>IFERROR(__xludf.DUMMYFUNCTION("""COMPUTED_VALUE"""),"")</f>
        <v/>
      </c>
      <c r="J1616" s="15" t="str">
        <f>IFERROR(__xludf.DUMMYFUNCTION("""COMPUTED_VALUE"""),"")</f>
        <v/>
      </c>
      <c r="K1616" s="15">
        <f>IFERROR(__xludf.DUMMYFUNCTION("""COMPUTED_VALUE"""),45949.28076626796)</f>
        <v>45949.28077</v>
      </c>
      <c r="L1616" s="4"/>
    </row>
    <row r="1617">
      <c r="A1617" s="1" t="str">
        <f>IFERROR(__xludf.DUMMYFUNCTION("""COMPUTED_VALUE"""),"DSQ")</f>
        <v>DSQ</v>
      </c>
      <c r="B1617" s="1">
        <f>IFERROR(__xludf.DUMMYFUNCTION("""COMPUTED_VALUE"""),7027.0)</f>
        <v>7027</v>
      </c>
      <c r="C1617" s="2" t="str">
        <f>IFERROR(__xludf.DUMMYFUNCTION("""COMPUTED_VALUE"""),"Diana")</f>
        <v>Diana</v>
      </c>
      <c r="D1617" s="2" t="str">
        <f>IFERROR(__xludf.DUMMYFUNCTION("""COMPUTED_VALUE"""),"5KM MASTER F")</f>
        <v>5KM MASTER F</v>
      </c>
      <c r="E1617" s="1" t="str">
        <f>IFERROR(__xludf.DUMMYFUNCTION("""COMPUTED_VALUE"""),"DSQ")</f>
        <v>DSQ</v>
      </c>
      <c r="F1617" s="1" t="str">
        <f>IFERROR(__xludf.DUMMYFUNCTION("""COMPUTED_VALUE"""),"Female")</f>
        <v>Female</v>
      </c>
      <c r="G1617" s="5" t="str">
        <f>IFERROR(__xludf.DUMMYFUNCTION("""COMPUTED_VALUE"""),"")</f>
        <v/>
      </c>
      <c r="H1617" s="15">
        <f>IFERROR(__xludf.DUMMYFUNCTION("""COMPUTED_VALUE"""),0.2549440625)</f>
        <v>0.2549440625</v>
      </c>
      <c r="I1617" s="15" t="str">
        <f>IFERROR(__xludf.DUMMYFUNCTION("""COMPUTED_VALUE"""),"")</f>
        <v/>
      </c>
      <c r="J1617" s="15" t="str">
        <f>IFERROR(__xludf.DUMMYFUNCTION("""COMPUTED_VALUE"""),"")</f>
        <v/>
      </c>
      <c r="K1617" s="15" t="str">
        <f>IFERROR(__xludf.DUMMYFUNCTION("""COMPUTED_VALUE"""),"")</f>
        <v/>
      </c>
      <c r="L1617" s="4" t="str">
        <f>IFERROR(__xludf.DUMMYFUNCTION("""COMPUTED_VALUE"""),"")</f>
        <v/>
      </c>
    </row>
    <row r="1618">
      <c r="A1618" s="1" t="str">
        <f>IFERROR(__xludf.DUMMYFUNCTION("""COMPUTED_VALUE"""),"DSQ")</f>
        <v>DSQ</v>
      </c>
      <c r="B1618" s="1">
        <f>IFERROR(__xludf.DUMMYFUNCTION("""COMPUTED_VALUE"""),7112.0)</f>
        <v>7112</v>
      </c>
      <c r="C1618" s="2" t="str">
        <f>IFERROR(__xludf.DUMMYFUNCTION("""COMPUTED_VALUE"""),"Lian")</f>
        <v>Lian</v>
      </c>
      <c r="D1618" s="2" t="str">
        <f>IFERROR(__xludf.DUMMYFUNCTION("""COMPUTED_VALUE"""),"5KM MASTER F")</f>
        <v>5KM MASTER F</v>
      </c>
      <c r="E1618" s="1" t="str">
        <f>IFERROR(__xludf.DUMMYFUNCTION("""COMPUTED_VALUE"""),"DSQ")</f>
        <v>DSQ</v>
      </c>
      <c r="F1618" s="1" t="str">
        <f>IFERROR(__xludf.DUMMYFUNCTION("""COMPUTED_VALUE"""),"Female")</f>
        <v>Female</v>
      </c>
      <c r="G1618" s="5" t="str">
        <f>IFERROR(__xludf.DUMMYFUNCTION("""COMPUTED_VALUE"""),"")</f>
        <v/>
      </c>
      <c r="H1618" s="15">
        <f>IFERROR(__xludf.DUMMYFUNCTION("""COMPUTED_VALUE"""),0.2549440625)</f>
        <v>0.2549440625</v>
      </c>
      <c r="I1618" s="15" t="str">
        <f>IFERROR(__xludf.DUMMYFUNCTION("""COMPUTED_VALUE"""),"")</f>
        <v/>
      </c>
      <c r="J1618" s="15" t="str">
        <f>IFERROR(__xludf.DUMMYFUNCTION("""COMPUTED_VALUE"""),"")</f>
        <v/>
      </c>
      <c r="K1618" s="15" t="str">
        <f>IFERROR(__xludf.DUMMYFUNCTION("""COMPUTED_VALUE"""),"")</f>
        <v/>
      </c>
      <c r="L1618" s="4" t="str">
        <f>IFERROR(__xludf.DUMMYFUNCTION("""COMPUTED_VALUE"""),"")</f>
        <v/>
      </c>
    </row>
    <row r="1619">
      <c r="A1619" s="1" t="str">
        <f>IFERROR(__xludf.DUMMYFUNCTION("""COMPUTED_VALUE"""),"DSQ")</f>
        <v>DSQ</v>
      </c>
      <c r="B1619" s="7" t="str">
        <f>IFERROR(__xludf.DUMMYFUNCTION("""COMPUTED_VALUE"""),"7153")</f>
        <v>7153</v>
      </c>
      <c r="C1619" s="8" t="str">
        <f>IFERROR(__xludf.DUMMYFUNCTION("""COMPUTED_VALUE"""),"Lina")</f>
        <v>Lina</v>
      </c>
      <c r="D1619" s="2" t="str">
        <f>IFERROR(__xludf.DUMMYFUNCTION("""COMPUTED_VALUE"""),"5KM MASTER F")</f>
        <v>5KM MASTER F</v>
      </c>
      <c r="E1619" s="1" t="str">
        <f>IFERROR(__xludf.DUMMYFUNCTION("""COMPUTED_VALUE"""),"DSQ")</f>
        <v>DSQ</v>
      </c>
      <c r="F1619" s="1" t="str">
        <f>IFERROR(__xludf.DUMMYFUNCTION("""COMPUTED_VALUE"""),"Female")</f>
        <v>Female</v>
      </c>
      <c r="G1619" s="5">
        <f>IFERROR(__xludf.DUMMYFUNCTION("""COMPUTED_VALUE"""),0.008264358796296296)</f>
        <v>0.008264358796</v>
      </c>
      <c r="H1619" s="15">
        <f>IFERROR(__xludf.DUMMYFUNCTION("""COMPUTED_VALUE"""),0.2549440625)</f>
        <v>0.2549440625</v>
      </c>
      <c r="I1619" s="15">
        <f>IFERROR(__xludf.DUMMYFUNCTION("""COMPUTED_VALUE"""),45949.29626585504)</f>
        <v>45949.29627</v>
      </c>
      <c r="J1619" s="15">
        <f>IFERROR(__xludf.DUMMYFUNCTION("""COMPUTED_VALUE"""),45949.04132179254)</f>
        <v>45949.04132</v>
      </c>
      <c r="K1619" s="15">
        <f>IFERROR(__xludf.DUMMYFUNCTION("""COMPUTED_VALUE"""),45949.27878472222)</f>
        <v>45949.27878</v>
      </c>
      <c r="L1619" s="4"/>
    </row>
    <row r="1620">
      <c r="A1620" s="1" t="str">
        <f>IFERROR(__xludf.DUMMYFUNCTION("""COMPUTED_VALUE"""),"DSQ")</f>
        <v>DSQ</v>
      </c>
      <c r="B1620" s="7" t="str">
        <f>IFERROR(__xludf.DUMMYFUNCTION("""COMPUTED_VALUE"""),"7165")</f>
        <v>7165</v>
      </c>
      <c r="C1620" s="8" t="str">
        <f>IFERROR(__xludf.DUMMYFUNCTION("""COMPUTED_VALUE"""),"Hilda Saprianti")</f>
        <v>Hilda Saprianti</v>
      </c>
      <c r="D1620" s="2" t="str">
        <f>IFERROR(__xludf.DUMMYFUNCTION("""COMPUTED_VALUE"""),"5KM MASTER F")</f>
        <v>5KM MASTER F</v>
      </c>
      <c r="E1620" s="1" t="str">
        <f>IFERROR(__xludf.DUMMYFUNCTION("""COMPUTED_VALUE"""),"DSQ")</f>
        <v>DSQ</v>
      </c>
      <c r="F1620" s="1" t="str">
        <f>IFERROR(__xludf.DUMMYFUNCTION("""COMPUTED_VALUE"""),"Female")</f>
        <v>Female</v>
      </c>
      <c r="G1620" s="5">
        <f>IFERROR(__xludf.DUMMYFUNCTION("""COMPUTED_VALUE"""),0.006400391203703703)</f>
        <v>0.006400391204</v>
      </c>
      <c r="H1620" s="15">
        <f>IFERROR(__xludf.DUMMYFUNCTION("""COMPUTED_VALUE"""),0.2549440625)</f>
        <v>0.2549440625</v>
      </c>
      <c r="I1620" s="15">
        <f>IFERROR(__xludf.DUMMYFUNCTION("""COMPUTED_VALUE"""),45949.28694601542)</f>
        <v>45949.28695</v>
      </c>
      <c r="J1620" s="15">
        <f>IFERROR(__xludf.DUMMYFUNCTION("""COMPUTED_VALUE"""),45949.03200195292)</f>
        <v>45949.032</v>
      </c>
      <c r="K1620" s="15" t="str">
        <f>IFERROR(__xludf.DUMMYFUNCTION("""COMPUTED_VALUE"""),"")</f>
        <v/>
      </c>
      <c r="L1620" s="4" t="str">
        <f>IFERROR(__xludf.DUMMYFUNCTION("""COMPUTED_VALUE"""),"")</f>
        <v/>
      </c>
    </row>
    <row r="1621">
      <c r="A1621" s="1" t="str">
        <f>IFERROR(__xludf.DUMMYFUNCTION("""COMPUTED_VALUE"""),"DSQ")</f>
        <v>DSQ</v>
      </c>
      <c r="B1621" s="1">
        <f>IFERROR(__xludf.DUMMYFUNCTION("""COMPUTED_VALUE"""),7012.0)</f>
        <v>7012</v>
      </c>
      <c r="C1621" s="2" t="str">
        <f>IFERROR(__xludf.DUMMYFUNCTION("""COMPUTED_VALUE"""),"budi")</f>
        <v>budi</v>
      </c>
      <c r="D1621" s="2" t="str">
        <f>IFERROR(__xludf.DUMMYFUNCTION("""COMPUTED_VALUE"""),"5KM MASTER M")</f>
        <v>5KM MASTER M</v>
      </c>
      <c r="E1621" s="1" t="str">
        <f>IFERROR(__xludf.DUMMYFUNCTION("""COMPUTED_VALUE"""),"DSQ")</f>
        <v>DSQ</v>
      </c>
      <c r="F1621" s="1" t="str">
        <f>IFERROR(__xludf.DUMMYFUNCTION("""COMPUTED_VALUE"""),"Male")</f>
        <v>Male</v>
      </c>
      <c r="G1621" s="5" t="str">
        <f>IFERROR(__xludf.DUMMYFUNCTION("""COMPUTED_VALUE"""),"")</f>
        <v/>
      </c>
      <c r="H1621" s="15">
        <f>IFERROR(__xludf.DUMMYFUNCTION("""COMPUTED_VALUE"""),0.2549440625)</f>
        <v>0.2549440625</v>
      </c>
      <c r="I1621" s="15" t="str">
        <f>IFERROR(__xludf.DUMMYFUNCTION("""COMPUTED_VALUE"""),"")</f>
        <v/>
      </c>
      <c r="J1621" s="15" t="str">
        <f>IFERROR(__xludf.DUMMYFUNCTION("""COMPUTED_VALUE"""),"")</f>
        <v/>
      </c>
      <c r="K1621" s="15" t="str">
        <f>IFERROR(__xludf.DUMMYFUNCTION("""COMPUTED_VALUE"""),"")</f>
        <v/>
      </c>
      <c r="L1621" s="4" t="str">
        <f>IFERROR(__xludf.DUMMYFUNCTION("""COMPUTED_VALUE"""),"")</f>
        <v/>
      </c>
    </row>
    <row r="1622">
      <c r="A1622" s="1" t="str">
        <f>IFERROR(__xludf.DUMMYFUNCTION("""COMPUTED_VALUE"""),"DSQ")</f>
        <v>DSQ</v>
      </c>
      <c r="B1622" s="1">
        <f>IFERROR(__xludf.DUMMYFUNCTION("""COMPUTED_VALUE"""),7015.0)</f>
        <v>7015</v>
      </c>
      <c r="C1622" s="2" t="str">
        <f>IFERROR(__xludf.DUMMYFUNCTION("""COMPUTED_VALUE"""),"Jefrie")</f>
        <v>Jefrie</v>
      </c>
      <c r="D1622" s="2" t="str">
        <f>IFERROR(__xludf.DUMMYFUNCTION("""COMPUTED_VALUE"""),"5KM MASTER M")</f>
        <v>5KM MASTER M</v>
      </c>
      <c r="E1622" s="1" t="str">
        <f>IFERROR(__xludf.DUMMYFUNCTION("""COMPUTED_VALUE"""),"DSQ")</f>
        <v>DSQ</v>
      </c>
      <c r="F1622" s="1" t="str">
        <f>IFERROR(__xludf.DUMMYFUNCTION("""COMPUTED_VALUE"""),"Male")</f>
        <v>Male</v>
      </c>
      <c r="G1622" s="5">
        <f>IFERROR(__xludf.DUMMYFUNCTION("""COMPUTED_VALUE"""),0.005085111111111111)</f>
        <v>0.005085111111</v>
      </c>
      <c r="H1622" s="15">
        <f>IFERROR(__xludf.DUMMYFUNCTION("""COMPUTED_VALUE"""),0.2549440625)</f>
        <v>0.2549440625</v>
      </c>
      <c r="I1622" s="15">
        <f>IFERROR(__xludf.DUMMYFUNCTION("""COMPUTED_VALUE"""),45949.28036961589)</f>
        <v>45949.28037</v>
      </c>
      <c r="J1622" s="15">
        <f>IFERROR(__xludf.DUMMYFUNCTION("""COMPUTED_VALUE"""),45949.02542555339)</f>
        <v>45949.02543</v>
      </c>
      <c r="K1622" s="15">
        <f>IFERROR(__xludf.DUMMYFUNCTION("""COMPUTED_VALUE"""),45949.269780225084)</f>
        <v>45949.26978</v>
      </c>
      <c r="L1622" s="4"/>
    </row>
    <row r="1623">
      <c r="A1623" s="1" t="str">
        <f>IFERROR(__xludf.DUMMYFUNCTION("""COMPUTED_VALUE"""),"DSQ")</f>
        <v>DSQ</v>
      </c>
      <c r="B1623" s="1">
        <f>IFERROR(__xludf.DUMMYFUNCTION("""COMPUTED_VALUE"""),7020.0)</f>
        <v>7020</v>
      </c>
      <c r="C1623" s="2" t="str">
        <f>IFERROR(__xludf.DUMMYFUNCTION("""COMPUTED_VALUE"""),"ECKO")</f>
        <v>ECKO</v>
      </c>
      <c r="D1623" s="2" t="str">
        <f>IFERROR(__xludf.DUMMYFUNCTION("""COMPUTED_VALUE"""),"5KM MASTER M")</f>
        <v>5KM MASTER M</v>
      </c>
      <c r="E1623" s="1" t="str">
        <f>IFERROR(__xludf.DUMMYFUNCTION("""COMPUTED_VALUE"""),"DSQ")</f>
        <v>DSQ</v>
      </c>
      <c r="F1623" s="1" t="str">
        <f>IFERROR(__xludf.DUMMYFUNCTION("""COMPUTED_VALUE"""),"Male")</f>
        <v>Male</v>
      </c>
      <c r="G1623" s="5">
        <f>IFERROR(__xludf.DUMMYFUNCTION("""COMPUTED_VALUE"""),0.007023310185185186)</f>
        <v>0.007023310185</v>
      </c>
      <c r="H1623" s="15">
        <f>IFERROR(__xludf.DUMMYFUNCTION("""COMPUTED_VALUE"""),0.2549440625)</f>
        <v>0.2549440625</v>
      </c>
      <c r="I1623" s="15">
        <f>IFERROR(__xludf.DUMMYFUNCTION("""COMPUTED_VALUE"""),45949.290060613144)</f>
        <v>45949.29006</v>
      </c>
      <c r="J1623" s="15">
        <f>IFERROR(__xludf.DUMMYFUNCTION("""COMPUTED_VALUE"""),45949.03511655064)</f>
        <v>45949.03512</v>
      </c>
      <c r="K1623" s="15">
        <f>IFERROR(__xludf.DUMMYFUNCTION("""COMPUTED_VALUE"""),45950.27601851852)</f>
        <v>45950.27602</v>
      </c>
      <c r="L1623" s="4" t="str">
        <f>IFERROR(__xludf.DUMMYFUNCTION("""COMPUTED_VALUE"""),"C")</f>
        <v>C</v>
      </c>
    </row>
    <row r="1624">
      <c r="A1624" s="1" t="str">
        <f>IFERROR(__xludf.DUMMYFUNCTION("""COMPUTED_VALUE"""),"DSQ")</f>
        <v>DSQ</v>
      </c>
      <c r="B1624" s="1">
        <f>IFERROR(__xludf.DUMMYFUNCTION("""COMPUTED_VALUE"""),7025.0)</f>
        <v>7025</v>
      </c>
      <c r="C1624" s="2" t="str">
        <f>IFERROR(__xludf.DUMMYFUNCTION("""COMPUTED_VALUE"""),"Mahyuddin")</f>
        <v>Mahyuddin</v>
      </c>
      <c r="D1624" s="2" t="str">
        <f>IFERROR(__xludf.DUMMYFUNCTION("""COMPUTED_VALUE"""),"5KM MASTER M")</f>
        <v>5KM MASTER M</v>
      </c>
      <c r="E1624" s="1" t="str">
        <f>IFERROR(__xludf.DUMMYFUNCTION("""COMPUTED_VALUE"""),"DSQ")</f>
        <v>DSQ</v>
      </c>
      <c r="F1624" s="1" t="str">
        <f>IFERROR(__xludf.DUMMYFUNCTION("""COMPUTED_VALUE"""),"Male")</f>
        <v>Male</v>
      </c>
      <c r="G1624" s="5" t="str">
        <f>IFERROR(__xludf.DUMMYFUNCTION("""COMPUTED_VALUE"""),"")</f>
        <v/>
      </c>
      <c r="H1624" s="15">
        <f>IFERROR(__xludf.DUMMYFUNCTION("""COMPUTED_VALUE"""),0.2549440625)</f>
        <v>0.2549440625</v>
      </c>
      <c r="I1624" s="15" t="str">
        <f>IFERROR(__xludf.DUMMYFUNCTION("""COMPUTED_VALUE"""),"")</f>
        <v/>
      </c>
      <c r="J1624" s="15" t="str">
        <f>IFERROR(__xludf.DUMMYFUNCTION("""COMPUTED_VALUE"""),"")</f>
        <v/>
      </c>
      <c r="K1624" s="15" t="str">
        <f>IFERROR(__xludf.DUMMYFUNCTION("""COMPUTED_VALUE"""),"")</f>
        <v/>
      </c>
      <c r="L1624" s="4" t="str">
        <f>IFERROR(__xludf.DUMMYFUNCTION("""COMPUTED_VALUE"""),"")</f>
        <v/>
      </c>
    </row>
    <row r="1625">
      <c r="A1625" s="1" t="str">
        <f>IFERROR(__xludf.DUMMYFUNCTION("""COMPUTED_VALUE"""),"DSQ")</f>
        <v>DSQ</v>
      </c>
      <c r="B1625" s="1">
        <f>IFERROR(__xludf.DUMMYFUNCTION("""COMPUTED_VALUE"""),7044.0)</f>
        <v>7044</v>
      </c>
      <c r="C1625" s="2" t="str">
        <f>IFERROR(__xludf.DUMMYFUNCTION("""COMPUTED_VALUE"""),"Hawari")</f>
        <v>Hawari</v>
      </c>
      <c r="D1625" s="2" t="str">
        <f>IFERROR(__xludf.DUMMYFUNCTION("""COMPUTED_VALUE"""),"5KM MASTER M")</f>
        <v>5KM MASTER M</v>
      </c>
      <c r="E1625" s="1" t="str">
        <f>IFERROR(__xludf.DUMMYFUNCTION("""COMPUTED_VALUE"""),"DSQ")</f>
        <v>DSQ</v>
      </c>
      <c r="F1625" s="1" t="str">
        <f>IFERROR(__xludf.DUMMYFUNCTION("""COMPUTED_VALUE"""),"Male")</f>
        <v>Male</v>
      </c>
      <c r="G1625" s="5" t="str">
        <f>IFERROR(__xludf.DUMMYFUNCTION("""COMPUTED_VALUE"""),"")</f>
        <v/>
      </c>
      <c r="H1625" s="15">
        <f>IFERROR(__xludf.DUMMYFUNCTION("""COMPUTED_VALUE"""),0.2549440625)</f>
        <v>0.2549440625</v>
      </c>
      <c r="I1625" s="15" t="str">
        <f>IFERROR(__xludf.DUMMYFUNCTION("""COMPUTED_VALUE"""),"")</f>
        <v/>
      </c>
      <c r="J1625" s="15" t="str">
        <f>IFERROR(__xludf.DUMMYFUNCTION("""COMPUTED_VALUE"""),"")</f>
        <v/>
      </c>
      <c r="K1625" s="15" t="str">
        <f>IFERROR(__xludf.DUMMYFUNCTION("""COMPUTED_VALUE"""),"")</f>
        <v/>
      </c>
      <c r="L1625" s="4" t="str">
        <f>IFERROR(__xludf.DUMMYFUNCTION("""COMPUTED_VALUE"""),"")</f>
        <v/>
      </c>
    </row>
    <row r="1626">
      <c r="A1626" s="1" t="str">
        <f>IFERROR(__xludf.DUMMYFUNCTION("""COMPUTED_VALUE"""),"DSQ")</f>
        <v>DSQ</v>
      </c>
      <c r="B1626" s="1">
        <f>IFERROR(__xludf.DUMMYFUNCTION("""COMPUTED_VALUE"""),7062.0)</f>
        <v>7062</v>
      </c>
      <c r="C1626" s="2" t="str">
        <f>IFERROR(__xludf.DUMMYFUNCTION("""COMPUTED_VALUE"""),"DWIYANA SULISYANTO")</f>
        <v>DWIYANA SULISYANTO</v>
      </c>
      <c r="D1626" s="2" t="str">
        <f>IFERROR(__xludf.DUMMYFUNCTION("""COMPUTED_VALUE"""),"5KM MASTER M")</f>
        <v>5KM MASTER M</v>
      </c>
      <c r="E1626" s="1" t="str">
        <f>IFERROR(__xludf.DUMMYFUNCTION("""COMPUTED_VALUE"""),"DSQ")</f>
        <v>DSQ</v>
      </c>
      <c r="F1626" s="1" t="str">
        <f>IFERROR(__xludf.DUMMYFUNCTION("""COMPUTED_VALUE"""),"Male")</f>
        <v>Male</v>
      </c>
      <c r="G1626" s="5" t="str">
        <f>IFERROR(__xludf.DUMMYFUNCTION("""COMPUTED_VALUE"""),"")</f>
        <v/>
      </c>
      <c r="H1626" s="15">
        <f>IFERROR(__xludf.DUMMYFUNCTION("""COMPUTED_VALUE"""),0.2549440625)</f>
        <v>0.2549440625</v>
      </c>
      <c r="I1626" s="15" t="str">
        <f>IFERROR(__xludf.DUMMYFUNCTION("""COMPUTED_VALUE"""),"")</f>
        <v/>
      </c>
      <c r="J1626" s="15" t="str">
        <f>IFERROR(__xludf.DUMMYFUNCTION("""COMPUTED_VALUE"""),"")</f>
        <v/>
      </c>
      <c r="K1626" s="15" t="str">
        <f>IFERROR(__xludf.DUMMYFUNCTION("""COMPUTED_VALUE"""),"")</f>
        <v/>
      </c>
      <c r="L1626" s="4" t="str">
        <f>IFERROR(__xludf.DUMMYFUNCTION("""COMPUTED_VALUE"""),"")</f>
        <v/>
      </c>
    </row>
    <row r="1627">
      <c r="A1627" s="1" t="str">
        <f>IFERROR(__xludf.DUMMYFUNCTION("""COMPUTED_VALUE"""),"DSQ")</f>
        <v>DSQ</v>
      </c>
      <c r="B1627" s="1">
        <f>IFERROR(__xludf.DUMMYFUNCTION("""COMPUTED_VALUE"""),7069.0)</f>
        <v>7069</v>
      </c>
      <c r="C1627" s="2" t="str">
        <f>IFERROR(__xludf.DUMMYFUNCTION("""COMPUTED_VALUE"""),"Bustanul A.")</f>
        <v>Bustanul A.</v>
      </c>
      <c r="D1627" s="2" t="str">
        <f>IFERROR(__xludf.DUMMYFUNCTION("""COMPUTED_VALUE"""),"5KM MASTER M")</f>
        <v>5KM MASTER M</v>
      </c>
      <c r="E1627" s="1" t="str">
        <f>IFERROR(__xludf.DUMMYFUNCTION("""COMPUTED_VALUE"""),"DSQ")</f>
        <v>DSQ</v>
      </c>
      <c r="F1627" s="1" t="str">
        <f>IFERROR(__xludf.DUMMYFUNCTION("""COMPUTED_VALUE"""),"Male")</f>
        <v>Male</v>
      </c>
      <c r="G1627" s="5" t="str">
        <f>IFERROR(__xludf.DUMMYFUNCTION("""COMPUTED_VALUE"""),"")</f>
        <v/>
      </c>
      <c r="H1627" s="15">
        <f>IFERROR(__xludf.DUMMYFUNCTION("""COMPUTED_VALUE"""),0.2549440625)</f>
        <v>0.2549440625</v>
      </c>
      <c r="I1627" s="15" t="str">
        <f>IFERROR(__xludf.DUMMYFUNCTION("""COMPUTED_VALUE"""),"")</f>
        <v/>
      </c>
      <c r="J1627" s="15" t="str">
        <f>IFERROR(__xludf.DUMMYFUNCTION("""COMPUTED_VALUE"""),"")</f>
        <v/>
      </c>
      <c r="K1627" s="15" t="str">
        <f>IFERROR(__xludf.DUMMYFUNCTION("""COMPUTED_VALUE"""),"")</f>
        <v/>
      </c>
      <c r="L1627" s="4" t="str">
        <f>IFERROR(__xludf.DUMMYFUNCTION("""COMPUTED_VALUE"""),"")</f>
        <v/>
      </c>
    </row>
    <row r="1628">
      <c r="A1628" s="1" t="str">
        <f>IFERROR(__xludf.DUMMYFUNCTION("""COMPUTED_VALUE"""),"DSQ")</f>
        <v>DSQ</v>
      </c>
      <c r="B1628" s="1">
        <f>IFERROR(__xludf.DUMMYFUNCTION("""COMPUTED_VALUE"""),7103.0)</f>
        <v>7103</v>
      </c>
      <c r="C1628" s="2" t="str">
        <f>IFERROR(__xludf.DUMMYFUNCTION("""COMPUTED_VALUE"""),"AMRUL")</f>
        <v>AMRUL</v>
      </c>
      <c r="D1628" s="2" t="str">
        <f>IFERROR(__xludf.DUMMYFUNCTION("""COMPUTED_VALUE"""),"5KM MASTER M")</f>
        <v>5KM MASTER M</v>
      </c>
      <c r="E1628" s="1" t="str">
        <f>IFERROR(__xludf.DUMMYFUNCTION("""COMPUTED_VALUE"""),"DSQ")</f>
        <v>DSQ</v>
      </c>
      <c r="F1628" s="1" t="str">
        <f>IFERROR(__xludf.DUMMYFUNCTION("""COMPUTED_VALUE"""),"Male")</f>
        <v>Male</v>
      </c>
      <c r="G1628" s="5" t="str">
        <f>IFERROR(__xludf.DUMMYFUNCTION("""COMPUTED_VALUE"""),"")</f>
        <v/>
      </c>
      <c r="H1628" s="15">
        <f>IFERROR(__xludf.DUMMYFUNCTION("""COMPUTED_VALUE"""),0.2549440625)</f>
        <v>0.2549440625</v>
      </c>
      <c r="I1628" s="15" t="str">
        <f>IFERROR(__xludf.DUMMYFUNCTION("""COMPUTED_VALUE"""),"")</f>
        <v/>
      </c>
      <c r="J1628" s="15" t="str">
        <f>IFERROR(__xludf.DUMMYFUNCTION("""COMPUTED_VALUE"""),"")</f>
        <v/>
      </c>
      <c r="K1628" s="15" t="str">
        <f>IFERROR(__xludf.DUMMYFUNCTION("""COMPUTED_VALUE"""),"")</f>
        <v/>
      </c>
      <c r="L1628" s="4" t="str">
        <f>IFERROR(__xludf.DUMMYFUNCTION("""COMPUTED_VALUE"""),"")</f>
        <v/>
      </c>
    </row>
    <row r="1629">
      <c r="A1629" s="1" t="str">
        <f>IFERROR(__xludf.DUMMYFUNCTION("""COMPUTED_VALUE"""),"DSQ")</f>
        <v>DSQ</v>
      </c>
      <c r="B1629" s="7" t="str">
        <f>IFERROR(__xludf.DUMMYFUNCTION("""COMPUTED_VALUE"""),"7122")</f>
        <v>7122</v>
      </c>
      <c r="C1629" s="8" t="str">
        <f>IFERROR(__xludf.DUMMYFUNCTION("""COMPUTED_VALUE"""),"NORHADI")</f>
        <v>NORHADI</v>
      </c>
      <c r="D1629" s="2" t="str">
        <f>IFERROR(__xludf.DUMMYFUNCTION("""COMPUTED_VALUE"""),"5KM MASTER M")</f>
        <v>5KM MASTER M</v>
      </c>
      <c r="E1629" s="1" t="str">
        <f>IFERROR(__xludf.DUMMYFUNCTION("""COMPUTED_VALUE"""),"DSQ")</f>
        <v>DSQ</v>
      </c>
      <c r="F1629" s="1" t="str">
        <f>IFERROR(__xludf.DUMMYFUNCTION("""COMPUTED_VALUE"""),"Male")</f>
        <v>Male</v>
      </c>
      <c r="G1629" s="5" t="str">
        <f>IFERROR(__xludf.DUMMYFUNCTION("""COMPUTED_VALUE"""),"")</f>
        <v/>
      </c>
      <c r="H1629" s="15">
        <f>IFERROR(__xludf.DUMMYFUNCTION("""COMPUTED_VALUE"""),0.2549440625)</f>
        <v>0.2549440625</v>
      </c>
      <c r="I1629" s="15" t="str">
        <f>IFERROR(__xludf.DUMMYFUNCTION("""COMPUTED_VALUE"""),"")</f>
        <v/>
      </c>
      <c r="J1629" s="15" t="str">
        <f>IFERROR(__xludf.DUMMYFUNCTION("""COMPUTED_VALUE"""),"")</f>
        <v/>
      </c>
      <c r="K1629" s="15" t="str">
        <f>IFERROR(__xludf.DUMMYFUNCTION("""COMPUTED_VALUE"""),"")</f>
        <v/>
      </c>
      <c r="L1629" s="4" t="str">
        <f>IFERROR(__xludf.DUMMYFUNCTION("""COMPUTED_VALUE"""),"")</f>
        <v/>
      </c>
    </row>
    <row r="1630">
      <c r="A1630" s="1" t="str">
        <f>IFERROR(__xludf.DUMMYFUNCTION("""COMPUTED_VALUE"""),"DSQ")</f>
        <v>DSQ</v>
      </c>
      <c r="B1630" s="7" t="str">
        <f>IFERROR(__xludf.DUMMYFUNCTION("""COMPUTED_VALUE"""),"7125")</f>
        <v>7125</v>
      </c>
      <c r="C1630" s="8" t="str">
        <f>IFERROR(__xludf.DUMMYFUNCTION("""COMPUTED_VALUE"""),"Ehen")</f>
        <v>Ehen</v>
      </c>
      <c r="D1630" s="2" t="str">
        <f>IFERROR(__xludf.DUMMYFUNCTION("""COMPUTED_VALUE"""),"5KM MASTER M")</f>
        <v>5KM MASTER M</v>
      </c>
      <c r="E1630" s="1" t="str">
        <f>IFERROR(__xludf.DUMMYFUNCTION("""COMPUTED_VALUE"""),"DSQ")</f>
        <v>DSQ</v>
      </c>
      <c r="F1630" s="1" t="str">
        <f>IFERROR(__xludf.DUMMYFUNCTION("""COMPUTED_VALUE"""),"Male")</f>
        <v>Male</v>
      </c>
      <c r="G1630" s="5" t="str">
        <f>IFERROR(__xludf.DUMMYFUNCTION("""COMPUTED_VALUE"""),"")</f>
        <v/>
      </c>
      <c r="H1630" s="15">
        <f>IFERROR(__xludf.DUMMYFUNCTION("""COMPUTED_VALUE"""),0.2549440625)</f>
        <v>0.2549440625</v>
      </c>
      <c r="I1630" s="15" t="str">
        <f>IFERROR(__xludf.DUMMYFUNCTION("""COMPUTED_VALUE"""),"")</f>
        <v/>
      </c>
      <c r="J1630" s="15" t="str">
        <f>IFERROR(__xludf.DUMMYFUNCTION("""COMPUTED_VALUE"""),"")</f>
        <v/>
      </c>
      <c r="K1630" s="15" t="str">
        <f>IFERROR(__xludf.DUMMYFUNCTION("""COMPUTED_VALUE"""),"")</f>
        <v/>
      </c>
      <c r="L1630" s="4" t="str">
        <f>IFERROR(__xludf.DUMMYFUNCTION("""COMPUTED_VALUE"""),"")</f>
        <v/>
      </c>
    </row>
    <row r="1631">
      <c r="A1631" s="1" t="str">
        <f>IFERROR(__xludf.DUMMYFUNCTION("""COMPUTED_VALUE"""),"DSQ")</f>
        <v>DSQ</v>
      </c>
      <c r="B1631" s="7" t="str">
        <f>IFERROR(__xludf.DUMMYFUNCTION("""COMPUTED_VALUE"""),"7132")</f>
        <v>7132</v>
      </c>
      <c r="C1631" s="8" t="str">
        <f>IFERROR(__xludf.DUMMYFUNCTION("""COMPUTED_VALUE"""),"HUMAIDI")</f>
        <v>HUMAIDI</v>
      </c>
      <c r="D1631" s="2" t="str">
        <f>IFERROR(__xludf.DUMMYFUNCTION("""COMPUTED_VALUE"""),"5KM MASTER M")</f>
        <v>5KM MASTER M</v>
      </c>
      <c r="E1631" s="1" t="str">
        <f>IFERROR(__xludf.DUMMYFUNCTION("""COMPUTED_VALUE"""),"DSQ")</f>
        <v>DSQ</v>
      </c>
      <c r="F1631" s="1" t="str">
        <f>IFERROR(__xludf.DUMMYFUNCTION("""COMPUTED_VALUE"""),"Male")</f>
        <v>Male</v>
      </c>
      <c r="G1631" s="5" t="str">
        <f>IFERROR(__xludf.DUMMYFUNCTION("""COMPUTED_VALUE"""),"")</f>
        <v/>
      </c>
      <c r="H1631" s="15">
        <f>IFERROR(__xludf.DUMMYFUNCTION("""COMPUTED_VALUE"""),0.2549440625)</f>
        <v>0.2549440625</v>
      </c>
      <c r="I1631" s="15" t="str">
        <f>IFERROR(__xludf.DUMMYFUNCTION("""COMPUTED_VALUE"""),"")</f>
        <v/>
      </c>
      <c r="J1631" s="15" t="str">
        <f>IFERROR(__xludf.DUMMYFUNCTION("""COMPUTED_VALUE"""),"")</f>
        <v/>
      </c>
      <c r="K1631" s="15" t="str">
        <f>IFERROR(__xludf.DUMMYFUNCTION("""COMPUTED_VALUE"""),"")</f>
        <v/>
      </c>
      <c r="L1631" s="4" t="str">
        <f>IFERROR(__xludf.DUMMYFUNCTION("""COMPUTED_VALUE"""),"")</f>
        <v/>
      </c>
    </row>
    <row r="1632">
      <c r="A1632" s="1" t="str">
        <f>IFERROR(__xludf.DUMMYFUNCTION("""COMPUTED_VALUE"""),"DSQ")</f>
        <v>DSQ</v>
      </c>
      <c r="B1632" s="7" t="str">
        <f>IFERROR(__xludf.DUMMYFUNCTION("""COMPUTED_VALUE"""),"7142")</f>
        <v>7142</v>
      </c>
      <c r="C1632" s="8" t="str">
        <f>IFERROR(__xludf.DUMMYFUNCTION("""COMPUTED_VALUE"""),"ANTON")</f>
        <v>ANTON</v>
      </c>
      <c r="D1632" s="2" t="str">
        <f>IFERROR(__xludf.DUMMYFUNCTION("""COMPUTED_VALUE"""),"5KM MASTER M")</f>
        <v>5KM MASTER M</v>
      </c>
      <c r="E1632" s="1" t="str">
        <f>IFERROR(__xludf.DUMMYFUNCTION("""COMPUTED_VALUE"""),"DSQ")</f>
        <v>DSQ</v>
      </c>
      <c r="F1632" s="1" t="str">
        <f>IFERROR(__xludf.DUMMYFUNCTION("""COMPUTED_VALUE"""),"Male")</f>
        <v>Male</v>
      </c>
      <c r="G1632" s="5" t="str">
        <f>IFERROR(__xludf.DUMMYFUNCTION("""COMPUTED_VALUE"""),"")</f>
        <v/>
      </c>
      <c r="H1632" s="15">
        <f>IFERROR(__xludf.DUMMYFUNCTION("""COMPUTED_VALUE"""),0.2549440625)</f>
        <v>0.2549440625</v>
      </c>
      <c r="I1632" s="15" t="str">
        <f>IFERROR(__xludf.DUMMYFUNCTION("""COMPUTED_VALUE"""),"")</f>
        <v/>
      </c>
      <c r="J1632" s="15" t="str">
        <f>IFERROR(__xludf.DUMMYFUNCTION("""COMPUTED_VALUE"""),"")</f>
        <v/>
      </c>
      <c r="K1632" s="15" t="str">
        <f>IFERROR(__xludf.DUMMYFUNCTION("""COMPUTED_VALUE"""),"")</f>
        <v/>
      </c>
      <c r="L1632" s="4" t="str">
        <f>IFERROR(__xludf.DUMMYFUNCTION("""COMPUTED_VALUE"""),"")</f>
        <v/>
      </c>
    </row>
    <row r="1633">
      <c r="A1633" s="1" t="str">
        <f>IFERROR(__xludf.DUMMYFUNCTION("""COMPUTED_VALUE"""),"DSQ")</f>
        <v>DSQ</v>
      </c>
      <c r="B1633" s="7" t="str">
        <f>IFERROR(__xludf.DUMMYFUNCTION("""COMPUTED_VALUE"""),"7168")</f>
        <v>7168</v>
      </c>
      <c r="C1633" s="8" t="str">
        <f>IFERROR(__xludf.DUMMYFUNCTION("""COMPUTED_VALUE"""),"Mujianto")</f>
        <v>Mujianto</v>
      </c>
      <c r="D1633" s="2" t="str">
        <f>IFERROR(__xludf.DUMMYFUNCTION("""COMPUTED_VALUE"""),"5KM MASTER M")</f>
        <v>5KM MASTER M</v>
      </c>
      <c r="E1633" s="1" t="str">
        <f>IFERROR(__xludf.DUMMYFUNCTION("""COMPUTED_VALUE"""),"DSQ")</f>
        <v>DSQ</v>
      </c>
      <c r="F1633" s="1" t="str">
        <f>IFERROR(__xludf.DUMMYFUNCTION("""COMPUTED_VALUE"""),"Male")</f>
        <v>Male</v>
      </c>
      <c r="G1633" s="5" t="str">
        <f>IFERROR(__xludf.DUMMYFUNCTION("""COMPUTED_VALUE"""),"")</f>
        <v/>
      </c>
      <c r="H1633" s="15">
        <f>IFERROR(__xludf.DUMMYFUNCTION("""COMPUTED_VALUE"""),0.2549440625)</f>
        <v>0.2549440625</v>
      </c>
      <c r="I1633" s="15" t="str">
        <f>IFERROR(__xludf.DUMMYFUNCTION("""COMPUTED_VALUE"""),"")</f>
        <v/>
      </c>
      <c r="J1633" s="15" t="str">
        <f>IFERROR(__xludf.DUMMYFUNCTION("""COMPUTED_VALUE"""),"")</f>
        <v/>
      </c>
      <c r="K1633" s="15" t="str">
        <f>IFERROR(__xludf.DUMMYFUNCTION("""COMPUTED_VALUE"""),"")</f>
        <v/>
      </c>
      <c r="L1633" s="4" t="str">
        <f>IFERROR(__xludf.DUMMYFUNCTION("""COMPUTED_VALUE"""),"")</f>
        <v/>
      </c>
    </row>
    <row r="1634">
      <c r="A1634" s="1" t="str">
        <f>IFERROR(__xludf.DUMMYFUNCTION("""COMPUTED_VALUE"""),"DSQ")</f>
        <v>DSQ</v>
      </c>
      <c r="B1634" s="7" t="str">
        <f>IFERROR(__xludf.DUMMYFUNCTION("""COMPUTED_VALUE"""),"7181")</f>
        <v>7181</v>
      </c>
      <c r="C1634" s="8" t="str">
        <f>IFERROR(__xludf.DUMMYFUNCTION("""COMPUTED_VALUE"""),"Jamaluddin")</f>
        <v>Jamaluddin</v>
      </c>
      <c r="D1634" s="2" t="str">
        <f>IFERROR(__xludf.DUMMYFUNCTION("""COMPUTED_VALUE"""),"5KM MASTER M")</f>
        <v>5KM MASTER M</v>
      </c>
      <c r="E1634" s="1" t="str">
        <f>IFERROR(__xludf.DUMMYFUNCTION("""COMPUTED_VALUE"""),"DSQ")</f>
        <v>DSQ</v>
      </c>
      <c r="F1634" s="1" t="str">
        <f>IFERROR(__xludf.DUMMYFUNCTION("""COMPUTED_VALUE"""),"Male")</f>
        <v>Male</v>
      </c>
      <c r="G1634" s="5" t="str">
        <f>IFERROR(__xludf.DUMMYFUNCTION("""COMPUTED_VALUE"""),"")</f>
        <v/>
      </c>
      <c r="H1634" s="15">
        <f>IFERROR(__xludf.DUMMYFUNCTION("""COMPUTED_VALUE"""),0.2549440625)</f>
        <v>0.2549440625</v>
      </c>
      <c r="I1634" s="15" t="str">
        <f>IFERROR(__xludf.DUMMYFUNCTION("""COMPUTED_VALUE"""),"")</f>
        <v/>
      </c>
      <c r="J1634" s="15" t="str">
        <f>IFERROR(__xludf.DUMMYFUNCTION("""COMPUTED_VALUE"""),"")</f>
        <v/>
      </c>
      <c r="K1634" s="15" t="str">
        <f>IFERROR(__xludf.DUMMYFUNCTION("""COMPUTED_VALUE"""),"")</f>
        <v/>
      </c>
      <c r="L1634" s="4" t="str">
        <f>IFERROR(__xludf.DUMMYFUNCTION("""COMPUTED_VALUE"""),"")</f>
        <v/>
      </c>
    </row>
    <row r="1635">
      <c r="A1635" s="1" t="str">
        <f>IFERROR(__xludf.DUMMYFUNCTION("""COMPUTED_VALUE"""),"DSQ")</f>
        <v>DSQ</v>
      </c>
      <c r="B1635" s="7" t="str">
        <f>IFERROR(__xludf.DUMMYFUNCTION("""COMPUTED_VALUE"""),"7183")</f>
        <v>7183</v>
      </c>
      <c r="C1635" s="8" t="str">
        <f>IFERROR(__xludf.DUMMYFUNCTION("""COMPUTED_VALUE"""),"Indrasakti")</f>
        <v>Indrasakti</v>
      </c>
      <c r="D1635" s="2" t="str">
        <f>IFERROR(__xludf.DUMMYFUNCTION("""COMPUTED_VALUE"""),"5KM MASTER M")</f>
        <v>5KM MASTER M</v>
      </c>
      <c r="E1635" s="1" t="str">
        <f>IFERROR(__xludf.DUMMYFUNCTION("""COMPUTED_VALUE"""),"DSQ")</f>
        <v>DSQ</v>
      </c>
      <c r="F1635" s="1" t="str">
        <f>IFERROR(__xludf.DUMMYFUNCTION("""COMPUTED_VALUE"""),"Male")</f>
        <v>Male</v>
      </c>
      <c r="G1635" s="5" t="str">
        <f>IFERROR(__xludf.DUMMYFUNCTION("""COMPUTED_VALUE"""),"")</f>
        <v/>
      </c>
      <c r="H1635" s="15">
        <f>IFERROR(__xludf.DUMMYFUNCTION("""COMPUTED_VALUE"""),0.2549440625)</f>
        <v>0.2549440625</v>
      </c>
      <c r="I1635" s="15" t="str">
        <f>IFERROR(__xludf.DUMMYFUNCTION("""COMPUTED_VALUE"""),"")</f>
        <v/>
      </c>
      <c r="J1635" s="15" t="str">
        <f>IFERROR(__xludf.DUMMYFUNCTION("""COMPUTED_VALUE"""),"")</f>
        <v/>
      </c>
      <c r="K1635" s="15" t="str">
        <f>IFERROR(__xludf.DUMMYFUNCTION("""COMPUTED_VALUE"""),"")</f>
        <v/>
      </c>
      <c r="L1635" s="4" t="str">
        <f>IFERROR(__xludf.DUMMYFUNCTION("""COMPUTED_VALUE"""),"")</f>
        <v/>
      </c>
    </row>
    <row r="1636">
      <c r="A1636" s="1" t="str">
        <f>IFERROR(__xludf.DUMMYFUNCTION("""COMPUTED_VALUE"""),"DSQ")</f>
        <v>DSQ</v>
      </c>
      <c r="B1636" s="1">
        <f>IFERROR(__xludf.DUMMYFUNCTION("""COMPUTED_VALUE"""),5005.0)</f>
        <v>5005</v>
      </c>
      <c r="C1636" s="2" t="str">
        <f>IFERROR(__xludf.DUMMYFUNCTION("""COMPUTED_VALUE"""),"Mirza")</f>
        <v>Mirza</v>
      </c>
      <c r="D1636" s="2" t="str">
        <f>IFERROR(__xludf.DUMMYFUNCTION("""COMPUTED_VALUE"""),"5KM OVERALL F")</f>
        <v>5KM OVERALL F</v>
      </c>
      <c r="E1636" s="1" t="str">
        <f>IFERROR(__xludf.DUMMYFUNCTION("""COMPUTED_VALUE"""),"DSQ")</f>
        <v>DSQ</v>
      </c>
      <c r="F1636" s="1" t="str">
        <f>IFERROR(__xludf.DUMMYFUNCTION("""COMPUTED_VALUE"""),"Female")</f>
        <v>Female</v>
      </c>
      <c r="G1636" s="5" t="str">
        <f>IFERROR(__xludf.DUMMYFUNCTION("""COMPUTED_VALUE"""),"")</f>
        <v/>
      </c>
      <c r="H1636" s="15">
        <f>IFERROR(__xludf.DUMMYFUNCTION("""COMPUTED_VALUE"""),0.2549440625)</f>
        <v>0.2549440625</v>
      </c>
      <c r="I1636" s="15" t="str">
        <f>IFERROR(__xludf.DUMMYFUNCTION("""COMPUTED_VALUE"""),"")</f>
        <v/>
      </c>
      <c r="J1636" s="15" t="str">
        <f>IFERROR(__xludf.DUMMYFUNCTION("""COMPUTED_VALUE"""),"")</f>
        <v/>
      </c>
      <c r="K1636" s="15" t="str">
        <f>IFERROR(__xludf.DUMMYFUNCTION("""COMPUTED_VALUE"""),"")</f>
        <v/>
      </c>
      <c r="L1636" s="4" t="str">
        <f>IFERROR(__xludf.DUMMYFUNCTION("""COMPUTED_VALUE"""),"")</f>
        <v/>
      </c>
    </row>
    <row r="1637">
      <c r="A1637" s="1" t="str">
        <f>IFERROR(__xludf.DUMMYFUNCTION("""COMPUTED_VALUE"""),"DSQ")</f>
        <v>DSQ</v>
      </c>
      <c r="B1637" s="1">
        <f>IFERROR(__xludf.DUMMYFUNCTION("""COMPUTED_VALUE"""),5007.0)</f>
        <v>5007</v>
      </c>
      <c r="C1637" s="2" t="str">
        <f>IFERROR(__xludf.DUMMYFUNCTION("""COMPUTED_VALUE"""),"bella")</f>
        <v>bella</v>
      </c>
      <c r="D1637" s="2" t="str">
        <f>IFERROR(__xludf.DUMMYFUNCTION("""COMPUTED_VALUE"""),"5KM OVERALL F")</f>
        <v>5KM OVERALL F</v>
      </c>
      <c r="E1637" s="1" t="str">
        <f>IFERROR(__xludf.DUMMYFUNCTION("""COMPUTED_VALUE"""),"DSQ")</f>
        <v>DSQ</v>
      </c>
      <c r="F1637" s="1" t="str">
        <f>IFERROR(__xludf.DUMMYFUNCTION("""COMPUTED_VALUE"""),"Female")</f>
        <v>Female</v>
      </c>
      <c r="G1637" s="5" t="str">
        <f>IFERROR(__xludf.DUMMYFUNCTION("""COMPUTED_VALUE"""),"")</f>
        <v/>
      </c>
      <c r="H1637" s="15">
        <f>IFERROR(__xludf.DUMMYFUNCTION("""COMPUTED_VALUE"""),0.2549440625)</f>
        <v>0.2549440625</v>
      </c>
      <c r="I1637" s="15" t="str">
        <f>IFERROR(__xludf.DUMMYFUNCTION("""COMPUTED_VALUE"""),"")</f>
        <v/>
      </c>
      <c r="J1637" s="15" t="str">
        <f>IFERROR(__xludf.DUMMYFUNCTION("""COMPUTED_VALUE"""),"")</f>
        <v/>
      </c>
      <c r="K1637" s="15" t="str">
        <f>IFERROR(__xludf.DUMMYFUNCTION("""COMPUTED_VALUE"""),"")</f>
        <v/>
      </c>
      <c r="L1637" s="4" t="str">
        <f>IFERROR(__xludf.DUMMYFUNCTION("""COMPUTED_VALUE"""),"")</f>
        <v/>
      </c>
    </row>
    <row r="1638">
      <c r="A1638" s="1" t="str">
        <f>IFERROR(__xludf.DUMMYFUNCTION("""COMPUTED_VALUE"""),"DSQ")</f>
        <v>DSQ</v>
      </c>
      <c r="B1638" s="1">
        <f>IFERROR(__xludf.DUMMYFUNCTION("""COMPUTED_VALUE"""),5024.0)</f>
        <v>5024</v>
      </c>
      <c r="C1638" s="2" t="str">
        <f>IFERROR(__xludf.DUMMYFUNCTION("""COMPUTED_VALUE"""),"RIMA K.")</f>
        <v>RIMA K.</v>
      </c>
      <c r="D1638" s="2" t="str">
        <f>IFERROR(__xludf.DUMMYFUNCTION("""COMPUTED_VALUE"""),"5KM OVERALL F")</f>
        <v>5KM OVERALL F</v>
      </c>
      <c r="E1638" s="1" t="str">
        <f>IFERROR(__xludf.DUMMYFUNCTION("""COMPUTED_VALUE"""),"DSQ")</f>
        <v>DSQ</v>
      </c>
      <c r="F1638" s="1" t="str">
        <f>IFERROR(__xludf.DUMMYFUNCTION("""COMPUTED_VALUE"""),"Female")</f>
        <v>Female</v>
      </c>
      <c r="G1638" s="5" t="str">
        <f>IFERROR(__xludf.DUMMYFUNCTION("""COMPUTED_VALUE"""),"")</f>
        <v/>
      </c>
      <c r="H1638" s="15">
        <f>IFERROR(__xludf.DUMMYFUNCTION("""COMPUTED_VALUE"""),0.2549440625)</f>
        <v>0.2549440625</v>
      </c>
      <c r="I1638" s="15" t="str">
        <f>IFERROR(__xludf.DUMMYFUNCTION("""COMPUTED_VALUE"""),"")</f>
        <v/>
      </c>
      <c r="J1638" s="15" t="str">
        <f>IFERROR(__xludf.DUMMYFUNCTION("""COMPUTED_VALUE"""),"")</f>
        <v/>
      </c>
      <c r="K1638" s="15" t="str">
        <f>IFERROR(__xludf.DUMMYFUNCTION("""COMPUTED_VALUE"""),"")</f>
        <v/>
      </c>
      <c r="L1638" s="4" t="str">
        <f>IFERROR(__xludf.DUMMYFUNCTION("""COMPUTED_VALUE"""),"")</f>
        <v/>
      </c>
    </row>
    <row r="1639">
      <c r="A1639" s="1" t="str">
        <f>IFERROR(__xludf.DUMMYFUNCTION("""COMPUTED_VALUE"""),"DSQ")</f>
        <v>DSQ</v>
      </c>
      <c r="B1639" s="1">
        <f>IFERROR(__xludf.DUMMYFUNCTION("""COMPUTED_VALUE"""),5088.0)</f>
        <v>5088</v>
      </c>
      <c r="C1639" s="2" t="str">
        <f>IFERROR(__xludf.DUMMYFUNCTION("""COMPUTED_VALUE"""),"MELDA GILANG")</f>
        <v>MELDA GILANG</v>
      </c>
      <c r="D1639" s="2" t="str">
        <f>IFERROR(__xludf.DUMMYFUNCTION("""COMPUTED_VALUE"""),"5KM OVERALL F")</f>
        <v>5KM OVERALL F</v>
      </c>
      <c r="E1639" s="1" t="str">
        <f>IFERROR(__xludf.DUMMYFUNCTION("""COMPUTED_VALUE"""),"DSQ")</f>
        <v>DSQ</v>
      </c>
      <c r="F1639" s="1" t="str">
        <f>IFERROR(__xludf.DUMMYFUNCTION("""COMPUTED_VALUE"""),"Female")</f>
        <v>Female</v>
      </c>
      <c r="G1639" s="5" t="str">
        <f>IFERROR(__xludf.DUMMYFUNCTION("""COMPUTED_VALUE"""),"")</f>
        <v/>
      </c>
      <c r="H1639" s="15">
        <f>IFERROR(__xludf.DUMMYFUNCTION("""COMPUTED_VALUE"""),0.2549440625)</f>
        <v>0.2549440625</v>
      </c>
      <c r="I1639" s="15" t="str">
        <f>IFERROR(__xludf.DUMMYFUNCTION("""COMPUTED_VALUE"""),"")</f>
        <v/>
      </c>
      <c r="J1639" s="15" t="str">
        <f>IFERROR(__xludf.DUMMYFUNCTION("""COMPUTED_VALUE"""),"")</f>
        <v/>
      </c>
      <c r="K1639" s="15" t="str">
        <f>IFERROR(__xludf.DUMMYFUNCTION("""COMPUTED_VALUE"""),"")</f>
        <v/>
      </c>
      <c r="L1639" s="4" t="str">
        <f>IFERROR(__xludf.DUMMYFUNCTION("""COMPUTED_VALUE"""),"")</f>
        <v/>
      </c>
    </row>
    <row r="1640">
      <c r="A1640" s="1" t="str">
        <f>IFERROR(__xludf.DUMMYFUNCTION("""COMPUTED_VALUE"""),"DSQ")</f>
        <v>DSQ</v>
      </c>
      <c r="B1640" s="1">
        <f>IFERROR(__xludf.DUMMYFUNCTION("""COMPUTED_VALUE"""),5089.0)</f>
        <v>5089</v>
      </c>
      <c r="C1640" s="2" t="str">
        <f>IFERROR(__xludf.DUMMYFUNCTION("""COMPUTED_VALUE"""),"yosha")</f>
        <v>yosha</v>
      </c>
      <c r="D1640" s="2" t="str">
        <f>IFERROR(__xludf.DUMMYFUNCTION("""COMPUTED_VALUE"""),"5KM OVERALL F")</f>
        <v>5KM OVERALL F</v>
      </c>
      <c r="E1640" s="1" t="str">
        <f>IFERROR(__xludf.DUMMYFUNCTION("""COMPUTED_VALUE"""),"DSQ")</f>
        <v>DSQ</v>
      </c>
      <c r="F1640" s="1" t="str">
        <f>IFERROR(__xludf.DUMMYFUNCTION("""COMPUTED_VALUE"""),"Female")</f>
        <v>Female</v>
      </c>
      <c r="G1640" s="5">
        <f>IFERROR(__xludf.DUMMYFUNCTION("""COMPUTED_VALUE"""),0.00609969675925926)</f>
        <v>0.006099696759</v>
      </c>
      <c r="H1640" s="15">
        <f>IFERROR(__xludf.DUMMYFUNCTION("""COMPUTED_VALUE"""),0.2549440625)</f>
        <v>0.2549440625</v>
      </c>
      <c r="I1640" s="15">
        <f>IFERROR(__xludf.DUMMYFUNCTION("""COMPUTED_VALUE"""),45949.285442549706)</f>
        <v>45949.28544</v>
      </c>
      <c r="J1640" s="15">
        <f>IFERROR(__xludf.DUMMYFUNCTION("""COMPUTED_VALUE"""),45949.030498487205)</f>
        <v>45949.0305</v>
      </c>
      <c r="K1640" s="15">
        <f>IFERROR(__xludf.DUMMYFUNCTION("""COMPUTED_VALUE"""),45949.27218994002)</f>
        <v>45949.27219</v>
      </c>
      <c r="L1640" s="4"/>
    </row>
    <row r="1641">
      <c r="A1641" s="1" t="str">
        <f>IFERROR(__xludf.DUMMYFUNCTION("""COMPUTED_VALUE"""),"DSQ")</f>
        <v>DSQ</v>
      </c>
      <c r="B1641" s="1">
        <f>IFERROR(__xludf.DUMMYFUNCTION("""COMPUTED_VALUE"""),5100.0)</f>
        <v>5100</v>
      </c>
      <c r="C1641" s="2" t="str">
        <f>IFERROR(__xludf.DUMMYFUNCTION("""COMPUTED_VALUE"""),"Aisyah Indriani")</f>
        <v>Aisyah Indriani</v>
      </c>
      <c r="D1641" s="2" t="str">
        <f>IFERROR(__xludf.DUMMYFUNCTION("""COMPUTED_VALUE"""),"5KM OVERALL F")</f>
        <v>5KM OVERALL F</v>
      </c>
      <c r="E1641" s="1" t="str">
        <f>IFERROR(__xludf.DUMMYFUNCTION("""COMPUTED_VALUE"""),"DSQ")</f>
        <v>DSQ</v>
      </c>
      <c r="F1641" s="1" t="str">
        <f>IFERROR(__xludf.DUMMYFUNCTION("""COMPUTED_VALUE"""),"Female")</f>
        <v>Female</v>
      </c>
      <c r="G1641" s="5">
        <f>IFERROR(__xludf.DUMMYFUNCTION("""COMPUTED_VALUE"""),0.0037996944444444445)</f>
        <v>0.003799694444</v>
      </c>
      <c r="H1641" s="15">
        <f>IFERROR(__xludf.DUMMYFUNCTION("""COMPUTED_VALUE"""),0.2549440625)</f>
        <v>0.2549440625</v>
      </c>
      <c r="I1641" s="15">
        <f>IFERROR(__xludf.DUMMYFUNCTION("""COMPUTED_VALUE"""),45949.27394253376)</f>
        <v>45949.27394</v>
      </c>
      <c r="J1641" s="15">
        <f>IFERROR(__xludf.DUMMYFUNCTION("""COMPUTED_VALUE"""),45949.018998471256)</f>
        <v>45949.019</v>
      </c>
      <c r="K1641" s="15">
        <f>IFERROR(__xludf.DUMMYFUNCTION("""COMPUTED_VALUE"""),45949.290374018194)</f>
        <v>45949.29037</v>
      </c>
      <c r="L1641" s="4"/>
    </row>
    <row r="1642">
      <c r="A1642" s="1" t="str">
        <f>IFERROR(__xludf.DUMMYFUNCTION("""COMPUTED_VALUE"""),"DSQ")</f>
        <v>DSQ</v>
      </c>
      <c r="B1642" s="1">
        <f>IFERROR(__xludf.DUMMYFUNCTION("""COMPUTED_VALUE"""),5120.0)</f>
        <v>5120</v>
      </c>
      <c r="C1642" s="2" t="str">
        <f>IFERROR(__xludf.DUMMYFUNCTION("""COMPUTED_VALUE"""),"Nada")</f>
        <v>Nada</v>
      </c>
      <c r="D1642" s="2" t="str">
        <f>IFERROR(__xludf.DUMMYFUNCTION("""COMPUTED_VALUE"""),"5KM OVERALL F")</f>
        <v>5KM OVERALL F</v>
      </c>
      <c r="E1642" s="1" t="str">
        <f>IFERROR(__xludf.DUMMYFUNCTION("""COMPUTED_VALUE"""),"DSQ")</f>
        <v>DSQ</v>
      </c>
      <c r="F1642" s="1" t="str">
        <f>IFERROR(__xludf.DUMMYFUNCTION("""COMPUTED_VALUE"""),"Female")</f>
        <v>Female</v>
      </c>
      <c r="G1642" s="5" t="str">
        <f>IFERROR(__xludf.DUMMYFUNCTION("""COMPUTED_VALUE"""),"")</f>
        <v/>
      </c>
      <c r="H1642" s="15">
        <f>IFERROR(__xludf.DUMMYFUNCTION("""COMPUTED_VALUE"""),0.2549440625)</f>
        <v>0.2549440625</v>
      </c>
      <c r="I1642" s="15" t="str">
        <f>IFERROR(__xludf.DUMMYFUNCTION("""COMPUTED_VALUE"""),"")</f>
        <v/>
      </c>
      <c r="J1642" s="15" t="str">
        <f>IFERROR(__xludf.DUMMYFUNCTION("""COMPUTED_VALUE"""),"")</f>
        <v/>
      </c>
      <c r="K1642" s="15" t="str">
        <f>IFERROR(__xludf.DUMMYFUNCTION("""COMPUTED_VALUE"""),"")</f>
        <v/>
      </c>
      <c r="L1642" s="4" t="str">
        <f>IFERROR(__xludf.DUMMYFUNCTION("""COMPUTED_VALUE"""),"")</f>
        <v/>
      </c>
    </row>
    <row r="1643">
      <c r="A1643" s="1" t="str">
        <f>IFERROR(__xludf.DUMMYFUNCTION("""COMPUTED_VALUE"""),"DSQ")</f>
        <v>DSQ</v>
      </c>
      <c r="B1643" s="1">
        <f>IFERROR(__xludf.DUMMYFUNCTION("""COMPUTED_VALUE"""),5156.0)</f>
        <v>5156</v>
      </c>
      <c r="C1643" s="2" t="str">
        <f>IFERROR(__xludf.DUMMYFUNCTION("""COMPUTED_VALUE"""),"SRI WAHYU NINGSIH")</f>
        <v>SRI WAHYU NINGSIH</v>
      </c>
      <c r="D1643" s="2" t="str">
        <f>IFERROR(__xludf.DUMMYFUNCTION("""COMPUTED_VALUE"""),"5KM OVERALL F")</f>
        <v>5KM OVERALL F</v>
      </c>
      <c r="E1643" s="1" t="str">
        <f>IFERROR(__xludf.DUMMYFUNCTION("""COMPUTED_VALUE"""),"DSQ")</f>
        <v>DSQ</v>
      </c>
      <c r="F1643" s="1" t="str">
        <f>IFERROR(__xludf.DUMMYFUNCTION("""COMPUTED_VALUE"""),"Female")</f>
        <v>Female</v>
      </c>
      <c r="G1643" s="5" t="str">
        <f>IFERROR(__xludf.DUMMYFUNCTION("""COMPUTED_VALUE"""),"")</f>
        <v/>
      </c>
      <c r="H1643" s="15">
        <f>IFERROR(__xludf.DUMMYFUNCTION("""COMPUTED_VALUE"""),0.2549440625)</f>
        <v>0.2549440625</v>
      </c>
      <c r="I1643" s="15" t="str">
        <f>IFERROR(__xludf.DUMMYFUNCTION("""COMPUTED_VALUE"""),"")</f>
        <v/>
      </c>
      <c r="J1643" s="15" t="str">
        <f>IFERROR(__xludf.DUMMYFUNCTION("""COMPUTED_VALUE"""),"")</f>
        <v/>
      </c>
      <c r="K1643" s="15" t="str">
        <f>IFERROR(__xludf.DUMMYFUNCTION("""COMPUTED_VALUE"""),"")</f>
        <v/>
      </c>
      <c r="L1643" s="4" t="str">
        <f>IFERROR(__xludf.DUMMYFUNCTION("""COMPUTED_VALUE"""),"")</f>
        <v/>
      </c>
    </row>
    <row r="1644">
      <c r="A1644" s="1" t="str">
        <f>IFERROR(__xludf.DUMMYFUNCTION("""COMPUTED_VALUE"""),"DSQ")</f>
        <v>DSQ</v>
      </c>
      <c r="B1644" s="1">
        <f>IFERROR(__xludf.DUMMYFUNCTION("""COMPUTED_VALUE"""),5158.0)</f>
        <v>5158</v>
      </c>
      <c r="C1644" s="2" t="str">
        <f>IFERROR(__xludf.DUMMYFUNCTION("""COMPUTED_VALUE"""),"Eifni")</f>
        <v>Eifni</v>
      </c>
      <c r="D1644" s="2" t="str">
        <f>IFERROR(__xludf.DUMMYFUNCTION("""COMPUTED_VALUE"""),"5KM OVERALL F")</f>
        <v>5KM OVERALL F</v>
      </c>
      <c r="E1644" s="1" t="str">
        <f>IFERROR(__xludf.DUMMYFUNCTION("""COMPUTED_VALUE"""),"DSQ")</f>
        <v>DSQ</v>
      </c>
      <c r="F1644" s="1" t="str">
        <f>IFERROR(__xludf.DUMMYFUNCTION("""COMPUTED_VALUE"""),"Female")</f>
        <v>Female</v>
      </c>
      <c r="G1644" s="5" t="str">
        <f>IFERROR(__xludf.DUMMYFUNCTION("""COMPUTED_VALUE"""),"")</f>
        <v/>
      </c>
      <c r="H1644" s="15">
        <f>IFERROR(__xludf.DUMMYFUNCTION("""COMPUTED_VALUE"""),0.2549440625)</f>
        <v>0.2549440625</v>
      </c>
      <c r="I1644" s="15" t="str">
        <f>IFERROR(__xludf.DUMMYFUNCTION("""COMPUTED_VALUE"""),"")</f>
        <v/>
      </c>
      <c r="J1644" s="15" t="str">
        <f>IFERROR(__xludf.DUMMYFUNCTION("""COMPUTED_VALUE"""),"")</f>
        <v/>
      </c>
      <c r="K1644" s="15" t="str">
        <f>IFERROR(__xludf.DUMMYFUNCTION("""COMPUTED_VALUE"""),"")</f>
        <v/>
      </c>
      <c r="L1644" s="4" t="str">
        <f>IFERROR(__xludf.DUMMYFUNCTION("""COMPUTED_VALUE"""),"")</f>
        <v/>
      </c>
    </row>
    <row r="1645">
      <c r="A1645" s="1" t="str">
        <f>IFERROR(__xludf.DUMMYFUNCTION("""COMPUTED_VALUE"""),"DSQ")</f>
        <v>DSQ</v>
      </c>
      <c r="B1645" s="1">
        <f>IFERROR(__xludf.DUMMYFUNCTION("""COMPUTED_VALUE"""),5223.0)</f>
        <v>5223</v>
      </c>
      <c r="C1645" s="2" t="str">
        <f>IFERROR(__xludf.DUMMYFUNCTION("""COMPUTED_VALUE"""),"Wulan")</f>
        <v>Wulan</v>
      </c>
      <c r="D1645" s="2" t="str">
        <f>IFERROR(__xludf.DUMMYFUNCTION("""COMPUTED_VALUE"""),"5KM OVERALL F")</f>
        <v>5KM OVERALL F</v>
      </c>
      <c r="E1645" s="1" t="str">
        <f>IFERROR(__xludf.DUMMYFUNCTION("""COMPUTED_VALUE"""),"DSQ")</f>
        <v>DSQ</v>
      </c>
      <c r="F1645" s="1" t="str">
        <f>IFERROR(__xludf.DUMMYFUNCTION("""COMPUTED_VALUE"""),"Female")</f>
        <v>Female</v>
      </c>
      <c r="G1645" s="5" t="str">
        <f>IFERROR(__xludf.DUMMYFUNCTION("""COMPUTED_VALUE"""),"")</f>
        <v/>
      </c>
      <c r="H1645" s="15">
        <f>IFERROR(__xludf.DUMMYFUNCTION("""COMPUTED_VALUE"""),0.2549440625)</f>
        <v>0.2549440625</v>
      </c>
      <c r="I1645" s="15" t="str">
        <f>IFERROR(__xludf.DUMMYFUNCTION("""COMPUTED_VALUE"""),"")</f>
        <v/>
      </c>
      <c r="J1645" s="15" t="str">
        <f>IFERROR(__xludf.DUMMYFUNCTION("""COMPUTED_VALUE"""),"")</f>
        <v/>
      </c>
      <c r="K1645" s="15" t="str">
        <f>IFERROR(__xludf.DUMMYFUNCTION("""COMPUTED_VALUE"""),"")</f>
        <v/>
      </c>
      <c r="L1645" s="4" t="str">
        <f>IFERROR(__xludf.DUMMYFUNCTION("""COMPUTED_VALUE"""),"")</f>
        <v/>
      </c>
    </row>
    <row r="1646">
      <c r="A1646" s="1" t="str">
        <f>IFERROR(__xludf.DUMMYFUNCTION("""COMPUTED_VALUE"""),"DSQ")</f>
        <v>DSQ</v>
      </c>
      <c r="B1646" s="1">
        <f>IFERROR(__xludf.DUMMYFUNCTION("""COMPUTED_VALUE"""),5232.0)</f>
        <v>5232</v>
      </c>
      <c r="C1646" s="2" t="str">
        <f>IFERROR(__xludf.DUMMYFUNCTION("""COMPUTED_VALUE"""),"INDRIANA D W")</f>
        <v>INDRIANA D W</v>
      </c>
      <c r="D1646" s="2" t="str">
        <f>IFERROR(__xludf.DUMMYFUNCTION("""COMPUTED_VALUE"""),"5KM OVERALL F")</f>
        <v>5KM OVERALL F</v>
      </c>
      <c r="E1646" s="1" t="str">
        <f>IFERROR(__xludf.DUMMYFUNCTION("""COMPUTED_VALUE"""),"DSQ")</f>
        <v>DSQ</v>
      </c>
      <c r="F1646" s="1" t="str">
        <f>IFERROR(__xludf.DUMMYFUNCTION("""COMPUTED_VALUE"""),"Female")</f>
        <v>Female</v>
      </c>
      <c r="G1646" s="5" t="str">
        <f>IFERROR(__xludf.DUMMYFUNCTION("""COMPUTED_VALUE"""),"")</f>
        <v/>
      </c>
      <c r="H1646" s="15">
        <f>IFERROR(__xludf.DUMMYFUNCTION("""COMPUTED_VALUE"""),0.2549440625)</f>
        <v>0.2549440625</v>
      </c>
      <c r="I1646" s="15" t="str">
        <f>IFERROR(__xludf.DUMMYFUNCTION("""COMPUTED_VALUE"""),"")</f>
        <v/>
      </c>
      <c r="J1646" s="15" t="str">
        <f>IFERROR(__xludf.DUMMYFUNCTION("""COMPUTED_VALUE"""),"")</f>
        <v/>
      </c>
      <c r="K1646" s="15" t="str">
        <f>IFERROR(__xludf.DUMMYFUNCTION("""COMPUTED_VALUE"""),"")</f>
        <v/>
      </c>
      <c r="L1646" s="4" t="str">
        <f>IFERROR(__xludf.DUMMYFUNCTION("""COMPUTED_VALUE"""),"")</f>
        <v/>
      </c>
    </row>
    <row r="1647">
      <c r="A1647" s="1" t="str">
        <f>IFERROR(__xludf.DUMMYFUNCTION("""COMPUTED_VALUE"""),"DSQ")</f>
        <v>DSQ</v>
      </c>
      <c r="B1647" s="1">
        <f>IFERROR(__xludf.DUMMYFUNCTION("""COMPUTED_VALUE"""),5277.0)</f>
        <v>5277</v>
      </c>
      <c r="C1647" s="2" t="str">
        <f>IFERROR(__xludf.DUMMYFUNCTION("""COMPUTED_VALUE"""),"HALIMAH")</f>
        <v>HALIMAH</v>
      </c>
      <c r="D1647" s="2" t="str">
        <f>IFERROR(__xludf.DUMMYFUNCTION("""COMPUTED_VALUE"""),"5KM OVERALL F")</f>
        <v>5KM OVERALL F</v>
      </c>
      <c r="E1647" s="1" t="str">
        <f>IFERROR(__xludf.DUMMYFUNCTION("""COMPUTED_VALUE"""),"DSQ")</f>
        <v>DSQ</v>
      </c>
      <c r="F1647" s="1" t="str">
        <f>IFERROR(__xludf.DUMMYFUNCTION("""COMPUTED_VALUE"""),"Female")</f>
        <v>Female</v>
      </c>
      <c r="G1647" s="5" t="str">
        <f>IFERROR(__xludf.DUMMYFUNCTION("""COMPUTED_VALUE"""),"")</f>
        <v/>
      </c>
      <c r="H1647" s="15">
        <f>IFERROR(__xludf.DUMMYFUNCTION("""COMPUTED_VALUE"""),0.2549440625)</f>
        <v>0.2549440625</v>
      </c>
      <c r="I1647" s="15" t="str">
        <f>IFERROR(__xludf.DUMMYFUNCTION("""COMPUTED_VALUE"""),"")</f>
        <v/>
      </c>
      <c r="J1647" s="15" t="str">
        <f>IFERROR(__xludf.DUMMYFUNCTION("""COMPUTED_VALUE"""),"")</f>
        <v/>
      </c>
      <c r="K1647" s="15" t="str">
        <f>IFERROR(__xludf.DUMMYFUNCTION("""COMPUTED_VALUE"""),"")</f>
        <v/>
      </c>
      <c r="L1647" s="4" t="str">
        <f>IFERROR(__xludf.DUMMYFUNCTION("""COMPUTED_VALUE"""),"")</f>
        <v/>
      </c>
    </row>
    <row r="1648">
      <c r="A1648" s="1" t="str">
        <f>IFERROR(__xludf.DUMMYFUNCTION("""COMPUTED_VALUE"""),"DSQ")</f>
        <v>DSQ</v>
      </c>
      <c r="B1648" s="1">
        <f>IFERROR(__xludf.DUMMYFUNCTION("""COMPUTED_VALUE"""),5310.0)</f>
        <v>5310</v>
      </c>
      <c r="C1648" s="2" t="str">
        <f>IFERROR(__xludf.DUMMYFUNCTION("""COMPUTED_VALUE"""),"AYU")</f>
        <v>AYU</v>
      </c>
      <c r="D1648" s="2" t="str">
        <f>IFERROR(__xludf.DUMMYFUNCTION("""COMPUTED_VALUE"""),"5KM OVERALL F")</f>
        <v>5KM OVERALL F</v>
      </c>
      <c r="E1648" s="1" t="str">
        <f>IFERROR(__xludf.DUMMYFUNCTION("""COMPUTED_VALUE"""),"DSQ")</f>
        <v>DSQ</v>
      </c>
      <c r="F1648" s="1" t="str">
        <f>IFERROR(__xludf.DUMMYFUNCTION("""COMPUTED_VALUE"""),"Female")</f>
        <v>Female</v>
      </c>
      <c r="G1648" s="5" t="str">
        <f>IFERROR(__xludf.DUMMYFUNCTION("""COMPUTED_VALUE"""),"")</f>
        <v/>
      </c>
      <c r="H1648" s="15">
        <f>IFERROR(__xludf.DUMMYFUNCTION("""COMPUTED_VALUE"""),0.2549440625)</f>
        <v>0.2549440625</v>
      </c>
      <c r="I1648" s="15" t="str">
        <f>IFERROR(__xludf.DUMMYFUNCTION("""COMPUTED_VALUE"""),"")</f>
        <v/>
      </c>
      <c r="J1648" s="15" t="str">
        <f>IFERROR(__xludf.DUMMYFUNCTION("""COMPUTED_VALUE"""),"")</f>
        <v/>
      </c>
      <c r="K1648" s="15" t="str">
        <f>IFERROR(__xludf.DUMMYFUNCTION("""COMPUTED_VALUE"""),"")</f>
        <v/>
      </c>
      <c r="L1648" s="4" t="str">
        <f>IFERROR(__xludf.DUMMYFUNCTION("""COMPUTED_VALUE"""),"")</f>
        <v/>
      </c>
    </row>
    <row r="1649">
      <c r="A1649" s="1" t="str">
        <f>IFERROR(__xludf.DUMMYFUNCTION("""COMPUTED_VALUE"""),"DSQ")</f>
        <v>DSQ</v>
      </c>
      <c r="B1649" s="1">
        <f>IFERROR(__xludf.DUMMYFUNCTION("""COMPUTED_VALUE"""),5382.0)</f>
        <v>5382</v>
      </c>
      <c r="C1649" s="2" t="str">
        <f>IFERROR(__xludf.DUMMYFUNCTION("""COMPUTED_VALUE"""),"geby")</f>
        <v>geby</v>
      </c>
      <c r="D1649" s="2" t="str">
        <f>IFERROR(__xludf.DUMMYFUNCTION("""COMPUTED_VALUE"""),"5KM OVERALL F")</f>
        <v>5KM OVERALL F</v>
      </c>
      <c r="E1649" s="1" t="str">
        <f>IFERROR(__xludf.DUMMYFUNCTION("""COMPUTED_VALUE"""),"DSQ")</f>
        <v>DSQ</v>
      </c>
      <c r="F1649" s="1" t="str">
        <f>IFERROR(__xludf.DUMMYFUNCTION("""COMPUTED_VALUE"""),"Female")</f>
        <v>Female</v>
      </c>
      <c r="G1649" s="5" t="str">
        <f>IFERROR(__xludf.DUMMYFUNCTION("""COMPUTED_VALUE"""),"")</f>
        <v/>
      </c>
      <c r="H1649" s="15">
        <f>IFERROR(__xludf.DUMMYFUNCTION("""COMPUTED_VALUE"""),0.2549440625)</f>
        <v>0.2549440625</v>
      </c>
      <c r="I1649" s="15" t="str">
        <f>IFERROR(__xludf.DUMMYFUNCTION("""COMPUTED_VALUE"""),"")</f>
        <v/>
      </c>
      <c r="J1649" s="15" t="str">
        <f>IFERROR(__xludf.DUMMYFUNCTION("""COMPUTED_VALUE"""),"")</f>
        <v/>
      </c>
      <c r="K1649" s="15" t="str">
        <f>IFERROR(__xludf.DUMMYFUNCTION("""COMPUTED_VALUE"""),"")</f>
        <v/>
      </c>
      <c r="L1649" s="4" t="str">
        <f>IFERROR(__xludf.DUMMYFUNCTION("""COMPUTED_VALUE"""),"")</f>
        <v/>
      </c>
    </row>
    <row r="1650">
      <c r="A1650" s="1" t="str">
        <f>IFERROR(__xludf.DUMMYFUNCTION("""COMPUTED_VALUE"""),"DSQ")</f>
        <v>DSQ</v>
      </c>
      <c r="B1650" s="1">
        <f>IFERROR(__xludf.DUMMYFUNCTION("""COMPUTED_VALUE"""),5412.0)</f>
        <v>5412</v>
      </c>
      <c r="C1650" s="2" t="str">
        <f>IFERROR(__xludf.DUMMYFUNCTION("""COMPUTED_VALUE"""),"Bella")</f>
        <v>Bella</v>
      </c>
      <c r="D1650" s="2" t="str">
        <f>IFERROR(__xludf.DUMMYFUNCTION("""COMPUTED_VALUE"""),"5KM OVERALL F")</f>
        <v>5KM OVERALL F</v>
      </c>
      <c r="E1650" s="1" t="str">
        <f>IFERROR(__xludf.DUMMYFUNCTION("""COMPUTED_VALUE"""),"DSQ")</f>
        <v>DSQ</v>
      </c>
      <c r="F1650" s="1" t="str">
        <f>IFERROR(__xludf.DUMMYFUNCTION("""COMPUTED_VALUE"""),"Female")</f>
        <v>Female</v>
      </c>
      <c r="G1650" s="5" t="str">
        <f>IFERROR(__xludf.DUMMYFUNCTION("""COMPUTED_VALUE"""),"")</f>
        <v/>
      </c>
      <c r="H1650" s="15">
        <f>IFERROR(__xludf.DUMMYFUNCTION("""COMPUTED_VALUE"""),0.2549440625)</f>
        <v>0.2549440625</v>
      </c>
      <c r="I1650" s="15" t="str">
        <f>IFERROR(__xludf.DUMMYFUNCTION("""COMPUTED_VALUE"""),"")</f>
        <v/>
      </c>
      <c r="J1650" s="15" t="str">
        <f>IFERROR(__xludf.DUMMYFUNCTION("""COMPUTED_VALUE"""),"")</f>
        <v/>
      </c>
      <c r="K1650" s="15" t="str">
        <f>IFERROR(__xludf.DUMMYFUNCTION("""COMPUTED_VALUE"""),"")</f>
        <v/>
      </c>
      <c r="L1650" s="4" t="str">
        <f>IFERROR(__xludf.DUMMYFUNCTION("""COMPUTED_VALUE"""),"")</f>
        <v/>
      </c>
    </row>
    <row r="1651">
      <c r="A1651" s="1" t="str">
        <f>IFERROR(__xludf.DUMMYFUNCTION("""COMPUTED_VALUE"""),"DSQ")</f>
        <v>DSQ</v>
      </c>
      <c r="B1651" s="1">
        <f>IFERROR(__xludf.DUMMYFUNCTION("""COMPUTED_VALUE"""),5416.0)</f>
        <v>5416</v>
      </c>
      <c r="C1651" s="2" t="str">
        <f>IFERROR(__xludf.DUMMYFUNCTION("""COMPUTED_VALUE"""),"Amoy")</f>
        <v>Amoy</v>
      </c>
      <c r="D1651" s="2" t="str">
        <f>IFERROR(__xludf.DUMMYFUNCTION("""COMPUTED_VALUE"""),"5KM OVERALL F")</f>
        <v>5KM OVERALL F</v>
      </c>
      <c r="E1651" s="1" t="str">
        <f>IFERROR(__xludf.DUMMYFUNCTION("""COMPUTED_VALUE"""),"DSQ")</f>
        <v>DSQ</v>
      </c>
      <c r="F1651" s="1" t="str">
        <f>IFERROR(__xludf.DUMMYFUNCTION("""COMPUTED_VALUE"""),"Female")</f>
        <v>Female</v>
      </c>
      <c r="G1651" s="5" t="str">
        <f>IFERROR(__xludf.DUMMYFUNCTION("""COMPUTED_VALUE"""),"")</f>
        <v/>
      </c>
      <c r="H1651" s="15">
        <f>IFERROR(__xludf.DUMMYFUNCTION("""COMPUTED_VALUE"""),0.2549440625)</f>
        <v>0.2549440625</v>
      </c>
      <c r="I1651" s="15" t="str">
        <f>IFERROR(__xludf.DUMMYFUNCTION("""COMPUTED_VALUE"""),"")</f>
        <v/>
      </c>
      <c r="J1651" s="15" t="str">
        <f>IFERROR(__xludf.DUMMYFUNCTION("""COMPUTED_VALUE"""),"")</f>
        <v/>
      </c>
      <c r="K1651" s="15" t="str">
        <f>IFERROR(__xludf.DUMMYFUNCTION("""COMPUTED_VALUE"""),"")</f>
        <v/>
      </c>
      <c r="L1651" s="4" t="str">
        <f>IFERROR(__xludf.DUMMYFUNCTION("""COMPUTED_VALUE"""),"")</f>
        <v/>
      </c>
    </row>
    <row r="1652">
      <c r="A1652" s="1" t="str">
        <f>IFERROR(__xludf.DUMMYFUNCTION("""COMPUTED_VALUE"""),"DSQ")</f>
        <v>DSQ</v>
      </c>
      <c r="B1652" s="1">
        <f>IFERROR(__xludf.DUMMYFUNCTION("""COMPUTED_VALUE"""),5428.0)</f>
        <v>5428</v>
      </c>
      <c r="C1652" s="2" t="str">
        <f>IFERROR(__xludf.DUMMYFUNCTION("""COMPUTED_VALUE"""),"Gusti Ayu")</f>
        <v>Gusti Ayu</v>
      </c>
      <c r="D1652" s="2" t="str">
        <f>IFERROR(__xludf.DUMMYFUNCTION("""COMPUTED_VALUE"""),"5KM OVERALL F")</f>
        <v>5KM OVERALL F</v>
      </c>
      <c r="E1652" s="1" t="str">
        <f>IFERROR(__xludf.DUMMYFUNCTION("""COMPUTED_VALUE"""),"DSQ")</f>
        <v>DSQ</v>
      </c>
      <c r="F1652" s="1" t="str">
        <f>IFERROR(__xludf.DUMMYFUNCTION("""COMPUTED_VALUE"""),"Female")</f>
        <v>Female</v>
      </c>
      <c r="G1652" s="5" t="str">
        <f>IFERROR(__xludf.DUMMYFUNCTION("""COMPUTED_VALUE"""),"")</f>
        <v/>
      </c>
      <c r="H1652" s="15">
        <f>IFERROR(__xludf.DUMMYFUNCTION("""COMPUTED_VALUE"""),0.2549440625)</f>
        <v>0.2549440625</v>
      </c>
      <c r="I1652" s="15" t="str">
        <f>IFERROR(__xludf.DUMMYFUNCTION("""COMPUTED_VALUE"""),"")</f>
        <v/>
      </c>
      <c r="J1652" s="15" t="str">
        <f>IFERROR(__xludf.DUMMYFUNCTION("""COMPUTED_VALUE"""),"")</f>
        <v/>
      </c>
      <c r="K1652" s="15" t="str">
        <f>IFERROR(__xludf.DUMMYFUNCTION("""COMPUTED_VALUE"""),"")</f>
        <v/>
      </c>
      <c r="L1652" s="4" t="str">
        <f>IFERROR(__xludf.DUMMYFUNCTION("""COMPUTED_VALUE"""),"")</f>
        <v/>
      </c>
    </row>
    <row r="1653">
      <c r="A1653" s="1" t="str">
        <f>IFERROR(__xludf.DUMMYFUNCTION("""COMPUTED_VALUE"""),"DSQ")</f>
        <v>DSQ</v>
      </c>
      <c r="B1653" s="1">
        <f>IFERROR(__xludf.DUMMYFUNCTION("""COMPUTED_VALUE"""),5429.0)</f>
        <v>5429</v>
      </c>
      <c r="C1653" s="2" t="str">
        <f>IFERROR(__xludf.DUMMYFUNCTION("""COMPUTED_VALUE"""),"LESTARI")</f>
        <v>LESTARI</v>
      </c>
      <c r="D1653" s="2" t="str">
        <f>IFERROR(__xludf.DUMMYFUNCTION("""COMPUTED_VALUE"""),"5KM OVERALL F")</f>
        <v>5KM OVERALL F</v>
      </c>
      <c r="E1653" s="1" t="str">
        <f>IFERROR(__xludf.DUMMYFUNCTION("""COMPUTED_VALUE"""),"DSQ")</f>
        <v>DSQ</v>
      </c>
      <c r="F1653" s="1" t="str">
        <f>IFERROR(__xludf.DUMMYFUNCTION("""COMPUTED_VALUE"""),"Female")</f>
        <v>Female</v>
      </c>
      <c r="G1653" s="5" t="str">
        <f>IFERROR(__xludf.DUMMYFUNCTION("""COMPUTED_VALUE"""),"")</f>
        <v/>
      </c>
      <c r="H1653" s="15">
        <f>IFERROR(__xludf.DUMMYFUNCTION("""COMPUTED_VALUE"""),0.2549440625)</f>
        <v>0.2549440625</v>
      </c>
      <c r="I1653" s="15" t="str">
        <f>IFERROR(__xludf.DUMMYFUNCTION("""COMPUTED_VALUE"""),"")</f>
        <v/>
      </c>
      <c r="J1653" s="15" t="str">
        <f>IFERROR(__xludf.DUMMYFUNCTION("""COMPUTED_VALUE"""),"")</f>
        <v/>
      </c>
      <c r="K1653" s="15" t="str">
        <f>IFERROR(__xludf.DUMMYFUNCTION("""COMPUTED_VALUE"""),"")</f>
        <v/>
      </c>
      <c r="L1653" s="4" t="str">
        <f>IFERROR(__xludf.DUMMYFUNCTION("""COMPUTED_VALUE"""),"")</f>
        <v/>
      </c>
    </row>
    <row r="1654">
      <c r="A1654" s="1" t="str">
        <f>IFERROR(__xludf.DUMMYFUNCTION("""COMPUTED_VALUE"""),"DSQ")</f>
        <v>DSQ</v>
      </c>
      <c r="B1654" s="1">
        <f>IFERROR(__xludf.DUMMYFUNCTION("""COMPUTED_VALUE"""),5440.0)</f>
        <v>5440</v>
      </c>
      <c r="C1654" s="2" t="str">
        <f>IFERROR(__xludf.DUMMYFUNCTION("""COMPUTED_VALUE"""),"Erika")</f>
        <v>Erika</v>
      </c>
      <c r="D1654" s="2" t="str">
        <f>IFERROR(__xludf.DUMMYFUNCTION("""COMPUTED_VALUE"""),"5KM OVERALL F")</f>
        <v>5KM OVERALL F</v>
      </c>
      <c r="E1654" s="1" t="str">
        <f>IFERROR(__xludf.DUMMYFUNCTION("""COMPUTED_VALUE"""),"DSQ")</f>
        <v>DSQ</v>
      </c>
      <c r="F1654" s="1" t="str">
        <f>IFERROR(__xludf.DUMMYFUNCTION("""COMPUTED_VALUE"""),"Female")</f>
        <v>Female</v>
      </c>
      <c r="G1654" s="5" t="str">
        <f>IFERROR(__xludf.DUMMYFUNCTION("""COMPUTED_VALUE"""),"")</f>
        <v/>
      </c>
      <c r="H1654" s="15">
        <f>IFERROR(__xludf.DUMMYFUNCTION("""COMPUTED_VALUE"""),0.2549440625)</f>
        <v>0.2549440625</v>
      </c>
      <c r="I1654" s="15" t="str">
        <f>IFERROR(__xludf.DUMMYFUNCTION("""COMPUTED_VALUE"""),"")</f>
        <v/>
      </c>
      <c r="J1654" s="15" t="str">
        <f>IFERROR(__xludf.DUMMYFUNCTION("""COMPUTED_VALUE"""),"")</f>
        <v/>
      </c>
      <c r="K1654" s="15" t="str">
        <f>IFERROR(__xludf.DUMMYFUNCTION("""COMPUTED_VALUE"""),"")</f>
        <v/>
      </c>
      <c r="L1654" s="4" t="str">
        <f>IFERROR(__xludf.DUMMYFUNCTION("""COMPUTED_VALUE"""),"")</f>
        <v/>
      </c>
    </row>
    <row r="1655">
      <c r="A1655" s="1" t="str">
        <f>IFERROR(__xludf.DUMMYFUNCTION("""COMPUTED_VALUE"""),"DSQ")</f>
        <v>DSQ</v>
      </c>
      <c r="B1655" s="1">
        <f>IFERROR(__xludf.DUMMYFUNCTION("""COMPUTED_VALUE"""),5442.0)</f>
        <v>5442</v>
      </c>
      <c r="C1655" s="2" t="str">
        <f>IFERROR(__xludf.DUMMYFUNCTION("""COMPUTED_VALUE"""),"SagitaFitri")</f>
        <v>SagitaFitri</v>
      </c>
      <c r="D1655" s="2" t="str">
        <f>IFERROR(__xludf.DUMMYFUNCTION("""COMPUTED_VALUE"""),"5KM OVERALL F")</f>
        <v>5KM OVERALL F</v>
      </c>
      <c r="E1655" s="1" t="str">
        <f>IFERROR(__xludf.DUMMYFUNCTION("""COMPUTED_VALUE"""),"DSQ")</f>
        <v>DSQ</v>
      </c>
      <c r="F1655" s="1" t="str">
        <f>IFERROR(__xludf.DUMMYFUNCTION("""COMPUTED_VALUE"""),"Female")</f>
        <v>Female</v>
      </c>
      <c r="G1655" s="5">
        <f>IFERROR(__xludf.DUMMYFUNCTION("""COMPUTED_VALUE"""),0.007135810185185186)</f>
        <v>0.007135810185</v>
      </c>
      <c r="H1655" s="15">
        <f>IFERROR(__xludf.DUMMYFUNCTION("""COMPUTED_VALUE"""),0.2549440625)</f>
        <v>0.2549440625</v>
      </c>
      <c r="I1655" s="15">
        <f>IFERROR(__xludf.DUMMYFUNCTION("""COMPUTED_VALUE"""),45949.29062310969)</f>
        <v>45949.29062</v>
      </c>
      <c r="J1655" s="15">
        <f>IFERROR(__xludf.DUMMYFUNCTION("""COMPUTED_VALUE"""),45949.03567904719)</f>
        <v>45949.03568</v>
      </c>
      <c r="K1655" s="15">
        <f>IFERROR(__xludf.DUMMYFUNCTION("""COMPUTED_VALUE"""),45949.27608229969)</f>
        <v>45949.27608</v>
      </c>
      <c r="L1655" s="4"/>
    </row>
    <row r="1656">
      <c r="A1656" s="1" t="str">
        <f>IFERROR(__xludf.DUMMYFUNCTION("""COMPUTED_VALUE"""),"DSQ")</f>
        <v>DSQ</v>
      </c>
      <c r="B1656" s="1">
        <f>IFERROR(__xludf.DUMMYFUNCTION("""COMPUTED_VALUE"""),5444.0)</f>
        <v>5444</v>
      </c>
      <c r="C1656" s="2" t="str">
        <f>IFERROR(__xludf.DUMMYFUNCTION("""COMPUTED_VALUE"""),"JANA")</f>
        <v>JANA</v>
      </c>
      <c r="D1656" s="2" t="str">
        <f>IFERROR(__xludf.DUMMYFUNCTION("""COMPUTED_VALUE"""),"5KM OVERALL F")</f>
        <v>5KM OVERALL F</v>
      </c>
      <c r="E1656" s="1" t="str">
        <f>IFERROR(__xludf.DUMMYFUNCTION("""COMPUTED_VALUE"""),"DSQ")</f>
        <v>DSQ</v>
      </c>
      <c r="F1656" s="1" t="str">
        <f>IFERROR(__xludf.DUMMYFUNCTION("""COMPUTED_VALUE"""),"Female")</f>
        <v>Female</v>
      </c>
      <c r="G1656" s="5">
        <f>IFERROR(__xludf.DUMMYFUNCTION("""COMPUTED_VALUE"""),0.002672453703703704)</f>
        <v>0.002672453704</v>
      </c>
      <c r="H1656" s="15">
        <f>IFERROR(__xludf.DUMMYFUNCTION("""COMPUTED_VALUE"""),0.2549440625)</f>
        <v>0.2549440625</v>
      </c>
      <c r="I1656" s="15">
        <f>IFERROR(__xludf.DUMMYFUNCTION("""COMPUTED_VALUE"""),45949.26830633381)</f>
        <v>45949.26831</v>
      </c>
      <c r="J1656" s="15">
        <f>IFERROR(__xludf.DUMMYFUNCTION("""COMPUTED_VALUE"""),45949.01336227131)</f>
        <v>45949.01336</v>
      </c>
      <c r="K1656" s="15">
        <f>IFERROR(__xludf.DUMMYFUNCTION("""COMPUTED_VALUE"""),45949.29644755355)</f>
        <v>45949.29645</v>
      </c>
      <c r="L1656" s="4"/>
    </row>
    <row r="1657">
      <c r="A1657" s="1" t="str">
        <f>IFERROR(__xludf.DUMMYFUNCTION("""COMPUTED_VALUE"""),"DSQ")</f>
        <v>DSQ</v>
      </c>
      <c r="B1657" s="1">
        <f>IFERROR(__xludf.DUMMYFUNCTION("""COMPUTED_VALUE"""),5446.0)</f>
        <v>5446</v>
      </c>
      <c r="C1657" s="2" t="str">
        <f>IFERROR(__xludf.DUMMYFUNCTION("""COMPUTED_VALUE"""),"ayu permata suyanto")</f>
        <v>ayu permata suyanto</v>
      </c>
      <c r="D1657" s="2" t="str">
        <f>IFERROR(__xludf.DUMMYFUNCTION("""COMPUTED_VALUE"""),"5KM OVERALL F")</f>
        <v>5KM OVERALL F</v>
      </c>
      <c r="E1657" s="1" t="str">
        <f>IFERROR(__xludf.DUMMYFUNCTION("""COMPUTED_VALUE"""),"DSQ")</f>
        <v>DSQ</v>
      </c>
      <c r="F1657" s="1" t="str">
        <f>IFERROR(__xludf.DUMMYFUNCTION("""COMPUTED_VALUE"""),"Female")</f>
        <v>Female</v>
      </c>
      <c r="G1657" s="5">
        <f>IFERROR(__xludf.DUMMYFUNCTION("""COMPUTED_VALUE"""),0.0026759305555555555)</f>
        <v>0.002675930556</v>
      </c>
      <c r="H1657" s="15">
        <f>IFERROR(__xludf.DUMMYFUNCTION("""COMPUTED_VALUE"""),0.2549440625)</f>
        <v>0.2549440625</v>
      </c>
      <c r="I1657" s="15">
        <f>IFERROR(__xludf.DUMMYFUNCTION("""COMPUTED_VALUE"""),45949.26832371583)</f>
        <v>45949.26832</v>
      </c>
      <c r="J1657" s="15">
        <f>IFERROR(__xludf.DUMMYFUNCTION("""COMPUTED_VALUE"""),45949.01337965333)</f>
        <v>45949.01338</v>
      </c>
      <c r="K1657" s="15">
        <f>IFERROR(__xludf.DUMMYFUNCTION("""COMPUTED_VALUE"""),45949.29644753042)</f>
        <v>45949.29645</v>
      </c>
      <c r="L1657" s="4"/>
    </row>
    <row r="1658">
      <c r="A1658" s="1" t="str">
        <f>IFERROR(__xludf.DUMMYFUNCTION("""COMPUTED_VALUE"""),"DSQ")</f>
        <v>DSQ</v>
      </c>
      <c r="B1658" s="1">
        <f>IFERROR(__xludf.DUMMYFUNCTION("""COMPUTED_VALUE"""),5449.0)</f>
        <v>5449</v>
      </c>
      <c r="C1658" s="2" t="str">
        <f>IFERROR(__xludf.DUMMYFUNCTION("""COMPUTED_VALUE"""),"YAN JSA")</f>
        <v>YAN JSA</v>
      </c>
      <c r="D1658" s="2" t="str">
        <f>IFERROR(__xludf.DUMMYFUNCTION("""COMPUTED_VALUE"""),"5KM OVERALL F")</f>
        <v>5KM OVERALL F</v>
      </c>
      <c r="E1658" s="1" t="str">
        <f>IFERROR(__xludf.DUMMYFUNCTION("""COMPUTED_VALUE"""),"DSQ")</f>
        <v>DSQ</v>
      </c>
      <c r="F1658" s="1" t="str">
        <f>IFERROR(__xludf.DUMMYFUNCTION("""COMPUTED_VALUE"""),"Female")</f>
        <v>Female</v>
      </c>
      <c r="G1658" s="5" t="str">
        <f>IFERROR(__xludf.DUMMYFUNCTION("""COMPUTED_VALUE"""),"")</f>
        <v/>
      </c>
      <c r="H1658" s="15">
        <f>IFERROR(__xludf.DUMMYFUNCTION("""COMPUTED_VALUE"""),0.2549440625)</f>
        <v>0.2549440625</v>
      </c>
      <c r="I1658" s="15" t="str">
        <f>IFERROR(__xludf.DUMMYFUNCTION("""COMPUTED_VALUE"""),"")</f>
        <v/>
      </c>
      <c r="J1658" s="15" t="str">
        <f>IFERROR(__xludf.DUMMYFUNCTION("""COMPUTED_VALUE"""),"")</f>
        <v/>
      </c>
      <c r="K1658" s="15" t="str">
        <f>IFERROR(__xludf.DUMMYFUNCTION("""COMPUTED_VALUE"""),"")</f>
        <v/>
      </c>
      <c r="L1658" s="4" t="str">
        <f>IFERROR(__xludf.DUMMYFUNCTION("""COMPUTED_VALUE"""),"")</f>
        <v/>
      </c>
    </row>
    <row r="1659">
      <c r="A1659" s="1" t="str">
        <f>IFERROR(__xludf.DUMMYFUNCTION("""COMPUTED_VALUE"""),"DSQ")</f>
        <v>DSQ</v>
      </c>
      <c r="B1659" s="1">
        <f>IFERROR(__xludf.DUMMYFUNCTION("""COMPUTED_VALUE"""),5454.0)</f>
        <v>5454</v>
      </c>
      <c r="C1659" s="2" t="str">
        <f>IFERROR(__xludf.DUMMYFUNCTION("""COMPUTED_VALUE"""),"Anik")</f>
        <v>Anik</v>
      </c>
      <c r="D1659" s="2" t="str">
        <f>IFERROR(__xludf.DUMMYFUNCTION("""COMPUTED_VALUE"""),"5KM OVERALL F")</f>
        <v>5KM OVERALL F</v>
      </c>
      <c r="E1659" s="1" t="str">
        <f>IFERROR(__xludf.DUMMYFUNCTION("""COMPUTED_VALUE"""),"DSQ")</f>
        <v>DSQ</v>
      </c>
      <c r="F1659" s="1" t="str">
        <f>IFERROR(__xludf.DUMMYFUNCTION("""COMPUTED_VALUE"""),"Female")</f>
        <v>Female</v>
      </c>
      <c r="G1659" s="5">
        <f>IFERROR(__xludf.DUMMYFUNCTION("""COMPUTED_VALUE"""),0.009205252314814814)</f>
        <v>0.009205252315</v>
      </c>
      <c r="H1659" s="15">
        <f>IFERROR(__xludf.DUMMYFUNCTION("""COMPUTED_VALUE"""),0.2549440625)</f>
        <v>0.2549440625</v>
      </c>
      <c r="I1659" s="15">
        <f>IFERROR(__xludf.DUMMYFUNCTION("""COMPUTED_VALUE"""),45949.30097032003)</f>
        <v>45949.30097</v>
      </c>
      <c r="J1659" s="15">
        <f>IFERROR(__xludf.DUMMYFUNCTION("""COMPUTED_VALUE"""),45949.04602625753)</f>
        <v>45949.04603</v>
      </c>
      <c r="K1659" s="15">
        <f>IFERROR(__xludf.DUMMYFUNCTION("""COMPUTED_VALUE"""),45949.28179757373)</f>
        <v>45949.2818</v>
      </c>
      <c r="L1659" s="4"/>
    </row>
    <row r="1660">
      <c r="A1660" s="1" t="str">
        <f>IFERROR(__xludf.DUMMYFUNCTION("""COMPUTED_VALUE"""),"DSQ")</f>
        <v>DSQ</v>
      </c>
      <c r="B1660" s="1">
        <f>IFERROR(__xludf.DUMMYFUNCTION("""COMPUTED_VALUE"""),5459.0)</f>
        <v>5459</v>
      </c>
      <c r="C1660" s="2" t="str">
        <f>IFERROR(__xludf.DUMMYFUNCTION("""COMPUTED_VALUE"""),"Uyun")</f>
        <v>Uyun</v>
      </c>
      <c r="D1660" s="2" t="str">
        <f>IFERROR(__xludf.DUMMYFUNCTION("""COMPUTED_VALUE"""),"5KM OVERALL F")</f>
        <v>5KM OVERALL F</v>
      </c>
      <c r="E1660" s="1" t="str">
        <f>IFERROR(__xludf.DUMMYFUNCTION("""COMPUTED_VALUE"""),"DSQ")</f>
        <v>DSQ</v>
      </c>
      <c r="F1660" s="1" t="str">
        <f>IFERROR(__xludf.DUMMYFUNCTION("""COMPUTED_VALUE"""),"Female")</f>
        <v>Female</v>
      </c>
      <c r="G1660" s="5">
        <f>IFERROR(__xludf.DUMMYFUNCTION("""COMPUTED_VALUE"""),0.008186500000000001)</f>
        <v>0.0081865</v>
      </c>
      <c r="H1660" s="15">
        <f>IFERROR(__xludf.DUMMYFUNCTION("""COMPUTED_VALUE"""),0.2549440625)</f>
        <v>0.2549440625</v>
      </c>
      <c r="I1660" s="15">
        <f>IFERROR(__xludf.DUMMYFUNCTION("""COMPUTED_VALUE"""),45949.29587656254)</f>
        <v>45949.29588</v>
      </c>
      <c r="J1660" s="15">
        <f>IFERROR(__xludf.DUMMYFUNCTION("""COMPUTED_VALUE"""),45949.04093250004)</f>
        <v>45949.04093</v>
      </c>
      <c r="K1660" s="15">
        <f>IFERROR(__xludf.DUMMYFUNCTION("""COMPUTED_VALUE"""),45949.27745727605)</f>
        <v>45949.27746</v>
      </c>
      <c r="L1660" s="4"/>
    </row>
    <row r="1661">
      <c r="A1661" s="1" t="str">
        <f>IFERROR(__xludf.DUMMYFUNCTION("""COMPUTED_VALUE"""),"DSQ")</f>
        <v>DSQ</v>
      </c>
      <c r="B1661" s="1">
        <f>IFERROR(__xludf.DUMMYFUNCTION("""COMPUTED_VALUE"""),5466.0)</f>
        <v>5466</v>
      </c>
      <c r="C1661" s="2" t="str">
        <f>IFERROR(__xludf.DUMMYFUNCTION("""COMPUTED_VALUE"""),"LILIA OCTA")</f>
        <v>LILIA OCTA</v>
      </c>
      <c r="D1661" s="2" t="str">
        <f>IFERROR(__xludf.DUMMYFUNCTION("""COMPUTED_VALUE"""),"5KM OVERALL F")</f>
        <v>5KM OVERALL F</v>
      </c>
      <c r="E1661" s="1" t="str">
        <f>IFERROR(__xludf.DUMMYFUNCTION("""COMPUTED_VALUE"""),"DSQ")</f>
        <v>DSQ</v>
      </c>
      <c r="F1661" s="1" t="str">
        <f>IFERROR(__xludf.DUMMYFUNCTION("""COMPUTED_VALUE"""),"Female")</f>
        <v>Female</v>
      </c>
      <c r="G1661" s="5" t="str">
        <f>IFERROR(__xludf.DUMMYFUNCTION("""COMPUTED_VALUE"""),"")</f>
        <v/>
      </c>
      <c r="H1661" s="15">
        <f>IFERROR(__xludf.DUMMYFUNCTION("""COMPUTED_VALUE"""),0.2549440625)</f>
        <v>0.2549440625</v>
      </c>
      <c r="I1661" s="15" t="str">
        <f>IFERROR(__xludf.DUMMYFUNCTION("""COMPUTED_VALUE"""),"")</f>
        <v/>
      </c>
      <c r="J1661" s="15" t="str">
        <f>IFERROR(__xludf.DUMMYFUNCTION("""COMPUTED_VALUE"""),"")</f>
        <v/>
      </c>
      <c r="K1661" s="15" t="str">
        <f>IFERROR(__xludf.DUMMYFUNCTION("""COMPUTED_VALUE"""),"")</f>
        <v/>
      </c>
      <c r="L1661" s="4" t="str">
        <f>IFERROR(__xludf.DUMMYFUNCTION("""COMPUTED_VALUE"""),"")</f>
        <v/>
      </c>
    </row>
    <row r="1662">
      <c r="A1662" s="1" t="str">
        <f>IFERROR(__xludf.DUMMYFUNCTION("""COMPUTED_VALUE"""),"DSQ")</f>
        <v>DSQ</v>
      </c>
      <c r="B1662" s="1">
        <f>IFERROR(__xludf.DUMMYFUNCTION("""COMPUTED_VALUE"""),5470.0)</f>
        <v>5470</v>
      </c>
      <c r="C1662" s="2" t="str">
        <f>IFERROR(__xludf.DUMMYFUNCTION("""COMPUTED_VALUE"""),"Elya Dwi Apriyani")</f>
        <v>Elya Dwi Apriyani</v>
      </c>
      <c r="D1662" s="2" t="str">
        <f>IFERROR(__xludf.DUMMYFUNCTION("""COMPUTED_VALUE"""),"5KM OVERALL F")</f>
        <v>5KM OVERALL F</v>
      </c>
      <c r="E1662" s="1" t="str">
        <f>IFERROR(__xludf.DUMMYFUNCTION("""COMPUTED_VALUE"""),"DSQ")</f>
        <v>DSQ</v>
      </c>
      <c r="F1662" s="1" t="str">
        <f>IFERROR(__xludf.DUMMYFUNCTION("""COMPUTED_VALUE"""),"Female")</f>
        <v>Female</v>
      </c>
      <c r="G1662" s="5" t="str">
        <f>IFERROR(__xludf.DUMMYFUNCTION("""COMPUTED_VALUE"""),"")</f>
        <v/>
      </c>
      <c r="H1662" s="15">
        <f>IFERROR(__xludf.DUMMYFUNCTION("""COMPUTED_VALUE"""),0.2549440625)</f>
        <v>0.2549440625</v>
      </c>
      <c r="I1662" s="15" t="str">
        <f>IFERROR(__xludf.DUMMYFUNCTION("""COMPUTED_VALUE"""),"")</f>
        <v/>
      </c>
      <c r="J1662" s="15" t="str">
        <f>IFERROR(__xludf.DUMMYFUNCTION("""COMPUTED_VALUE"""),"")</f>
        <v/>
      </c>
      <c r="K1662" s="15" t="str">
        <f>IFERROR(__xludf.DUMMYFUNCTION("""COMPUTED_VALUE"""),"")</f>
        <v/>
      </c>
      <c r="L1662" s="4" t="str">
        <f>IFERROR(__xludf.DUMMYFUNCTION("""COMPUTED_VALUE"""),"")</f>
        <v/>
      </c>
    </row>
    <row r="1663">
      <c r="A1663" s="1" t="str">
        <f>IFERROR(__xludf.DUMMYFUNCTION("""COMPUTED_VALUE"""),"DSQ")</f>
        <v>DSQ</v>
      </c>
      <c r="B1663" s="1">
        <f>IFERROR(__xludf.DUMMYFUNCTION("""COMPUTED_VALUE"""),5501.0)</f>
        <v>5501</v>
      </c>
      <c r="C1663" s="2" t="str">
        <f>IFERROR(__xludf.DUMMYFUNCTION("""COMPUTED_VALUE"""),"adisha")</f>
        <v>adisha</v>
      </c>
      <c r="D1663" s="2" t="str">
        <f>IFERROR(__xludf.DUMMYFUNCTION("""COMPUTED_VALUE"""),"5KM OVERALL F")</f>
        <v>5KM OVERALL F</v>
      </c>
      <c r="E1663" s="1" t="str">
        <f>IFERROR(__xludf.DUMMYFUNCTION("""COMPUTED_VALUE"""),"DSQ")</f>
        <v>DSQ</v>
      </c>
      <c r="F1663" s="1" t="str">
        <f>IFERROR(__xludf.DUMMYFUNCTION("""COMPUTED_VALUE"""),"Female")</f>
        <v>Female</v>
      </c>
      <c r="G1663" s="5" t="str">
        <f>IFERROR(__xludf.DUMMYFUNCTION("""COMPUTED_VALUE"""),"")</f>
        <v/>
      </c>
      <c r="H1663" s="15">
        <f>IFERROR(__xludf.DUMMYFUNCTION("""COMPUTED_VALUE"""),0.2549440625)</f>
        <v>0.2549440625</v>
      </c>
      <c r="I1663" s="15" t="str">
        <f>IFERROR(__xludf.DUMMYFUNCTION("""COMPUTED_VALUE"""),"")</f>
        <v/>
      </c>
      <c r="J1663" s="15" t="str">
        <f>IFERROR(__xludf.DUMMYFUNCTION("""COMPUTED_VALUE"""),"")</f>
        <v/>
      </c>
      <c r="K1663" s="15" t="str">
        <f>IFERROR(__xludf.DUMMYFUNCTION("""COMPUTED_VALUE"""),"")</f>
        <v/>
      </c>
      <c r="L1663" s="4" t="str">
        <f>IFERROR(__xludf.DUMMYFUNCTION("""COMPUTED_VALUE"""),"")</f>
        <v/>
      </c>
    </row>
    <row r="1664">
      <c r="A1664" s="1" t="str">
        <f>IFERROR(__xludf.DUMMYFUNCTION("""COMPUTED_VALUE"""),"DSQ")</f>
        <v>DSQ</v>
      </c>
      <c r="B1664" s="1">
        <f>IFERROR(__xludf.DUMMYFUNCTION("""COMPUTED_VALUE"""),5505.0)</f>
        <v>5505</v>
      </c>
      <c r="C1664" s="2" t="str">
        <f>IFERROR(__xludf.DUMMYFUNCTION("""COMPUTED_VALUE"""),"Sefti")</f>
        <v>Sefti</v>
      </c>
      <c r="D1664" s="2" t="str">
        <f>IFERROR(__xludf.DUMMYFUNCTION("""COMPUTED_VALUE"""),"5KM OVERALL F")</f>
        <v>5KM OVERALL F</v>
      </c>
      <c r="E1664" s="1" t="str">
        <f>IFERROR(__xludf.DUMMYFUNCTION("""COMPUTED_VALUE"""),"DSQ")</f>
        <v>DSQ</v>
      </c>
      <c r="F1664" s="1" t="str">
        <f>IFERROR(__xludf.DUMMYFUNCTION("""COMPUTED_VALUE"""),"Female")</f>
        <v>Female</v>
      </c>
      <c r="G1664" s="5" t="str">
        <f>IFERROR(__xludf.DUMMYFUNCTION("""COMPUTED_VALUE"""),"")</f>
        <v/>
      </c>
      <c r="H1664" s="15">
        <f>IFERROR(__xludf.DUMMYFUNCTION("""COMPUTED_VALUE"""),0.2549440625)</f>
        <v>0.2549440625</v>
      </c>
      <c r="I1664" s="15" t="str">
        <f>IFERROR(__xludf.DUMMYFUNCTION("""COMPUTED_VALUE"""),"")</f>
        <v/>
      </c>
      <c r="J1664" s="15" t="str">
        <f>IFERROR(__xludf.DUMMYFUNCTION("""COMPUTED_VALUE"""),"")</f>
        <v/>
      </c>
      <c r="K1664" s="15" t="str">
        <f>IFERROR(__xludf.DUMMYFUNCTION("""COMPUTED_VALUE"""),"")</f>
        <v/>
      </c>
      <c r="L1664" s="4" t="str">
        <f>IFERROR(__xludf.DUMMYFUNCTION("""COMPUTED_VALUE"""),"")</f>
        <v/>
      </c>
    </row>
    <row r="1665">
      <c r="A1665" s="1" t="str">
        <f>IFERROR(__xludf.DUMMYFUNCTION("""COMPUTED_VALUE"""),"DSQ")</f>
        <v>DSQ</v>
      </c>
      <c r="B1665" s="1">
        <f>IFERROR(__xludf.DUMMYFUNCTION("""COMPUTED_VALUE"""),5520.0)</f>
        <v>5520</v>
      </c>
      <c r="C1665" s="2" t="str">
        <f>IFERROR(__xludf.DUMMYFUNCTION("""COMPUTED_VALUE"""),"Bu Ayu")</f>
        <v>Bu Ayu</v>
      </c>
      <c r="D1665" s="2" t="str">
        <f>IFERROR(__xludf.DUMMYFUNCTION("""COMPUTED_VALUE"""),"5KM OVERALL F")</f>
        <v>5KM OVERALL F</v>
      </c>
      <c r="E1665" s="1" t="str">
        <f>IFERROR(__xludf.DUMMYFUNCTION("""COMPUTED_VALUE"""),"DSQ")</f>
        <v>DSQ</v>
      </c>
      <c r="F1665" s="1" t="str">
        <f>IFERROR(__xludf.DUMMYFUNCTION("""COMPUTED_VALUE"""),"Female")</f>
        <v>Female</v>
      </c>
      <c r="G1665" s="5" t="str">
        <f>IFERROR(__xludf.DUMMYFUNCTION("""COMPUTED_VALUE"""),"")</f>
        <v/>
      </c>
      <c r="H1665" s="15">
        <f>IFERROR(__xludf.DUMMYFUNCTION("""COMPUTED_VALUE"""),0.2549440625)</f>
        <v>0.2549440625</v>
      </c>
      <c r="I1665" s="15" t="str">
        <f>IFERROR(__xludf.DUMMYFUNCTION("""COMPUTED_VALUE"""),"")</f>
        <v/>
      </c>
      <c r="J1665" s="15" t="str">
        <f>IFERROR(__xludf.DUMMYFUNCTION("""COMPUTED_VALUE"""),"")</f>
        <v/>
      </c>
      <c r="K1665" s="15" t="str">
        <f>IFERROR(__xludf.DUMMYFUNCTION("""COMPUTED_VALUE"""),"")</f>
        <v/>
      </c>
      <c r="L1665" s="4" t="str">
        <f>IFERROR(__xludf.DUMMYFUNCTION("""COMPUTED_VALUE"""),"")</f>
        <v/>
      </c>
    </row>
    <row r="1666">
      <c r="A1666" s="1" t="str">
        <f>IFERROR(__xludf.DUMMYFUNCTION("""COMPUTED_VALUE"""),"DSQ")</f>
        <v>DSQ</v>
      </c>
      <c r="B1666" s="1">
        <f>IFERROR(__xludf.DUMMYFUNCTION("""COMPUTED_VALUE"""),5536.0)</f>
        <v>5536</v>
      </c>
      <c r="C1666" s="2" t="str">
        <f>IFERROR(__xludf.DUMMYFUNCTION("""COMPUTED_VALUE"""),"Ismi DW")</f>
        <v>Ismi DW</v>
      </c>
      <c r="D1666" s="2" t="str">
        <f>IFERROR(__xludf.DUMMYFUNCTION("""COMPUTED_VALUE"""),"5KM OVERALL F")</f>
        <v>5KM OVERALL F</v>
      </c>
      <c r="E1666" s="1" t="str">
        <f>IFERROR(__xludf.DUMMYFUNCTION("""COMPUTED_VALUE"""),"DSQ")</f>
        <v>DSQ</v>
      </c>
      <c r="F1666" s="1" t="str">
        <f>IFERROR(__xludf.DUMMYFUNCTION("""COMPUTED_VALUE"""),"Female")</f>
        <v>Female</v>
      </c>
      <c r="G1666" s="5" t="str">
        <f>IFERROR(__xludf.DUMMYFUNCTION("""COMPUTED_VALUE"""),"")</f>
        <v/>
      </c>
      <c r="H1666" s="15">
        <f>IFERROR(__xludf.DUMMYFUNCTION("""COMPUTED_VALUE"""),0.2549440625)</f>
        <v>0.2549440625</v>
      </c>
      <c r="I1666" s="15" t="str">
        <f>IFERROR(__xludf.DUMMYFUNCTION("""COMPUTED_VALUE"""),"")</f>
        <v/>
      </c>
      <c r="J1666" s="15" t="str">
        <f>IFERROR(__xludf.DUMMYFUNCTION("""COMPUTED_VALUE"""),"")</f>
        <v/>
      </c>
      <c r="K1666" s="15" t="str">
        <f>IFERROR(__xludf.DUMMYFUNCTION("""COMPUTED_VALUE"""),"")</f>
        <v/>
      </c>
      <c r="L1666" s="4" t="str">
        <f>IFERROR(__xludf.DUMMYFUNCTION("""COMPUTED_VALUE"""),"")</f>
        <v/>
      </c>
    </row>
    <row r="1667">
      <c r="A1667" s="1" t="str">
        <f>IFERROR(__xludf.DUMMYFUNCTION("""COMPUTED_VALUE"""),"DSQ")</f>
        <v>DSQ</v>
      </c>
      <c r="B1667" s="1">
        <f>IFERROR(__xludf.DUMMYFUNCTION("""COMPUTED_VALUE"""),5552.0)</f>
        <v>5552</v>
      </c>
      <c r="C1667" s="2" t="str">
        <f>IFERROR(__xludf.DUMMYFUNCTION("""COMPUTED_VALUE"""),"Sarah")</f>
        <v>Sarah</v>
      </c>
      <c r="D1667" s="2" t="str">
        <f>IFERROR(__xludf.DUMMYFUNCTION("""COMPUTED_VALUE"""),"5KM OVERALL F")</f>
        <v>5KM OVERALL F</v>
      </c>
      <c r="E1667" s="1" t="str">
        <f>IFERROR(__xludf.DUMMYFUNCTION("""COMPUTED_VALUE"""),"DSQ")</f>
        <v>DSQ</v>
      </c>
      <c r="F1667" s="1" t="str">
        <f>IFERROR(__xludf.DUMMYFUNCTION("""COMPUTED_VALUE"""),"Female")</f>
        <v>Female</v>
      </c>
      <c r="G1667" s="5" t="str">
        <f>IFERROR(__xludf.DUMMYFUNCTION("""COMPUTED_VALUE"""),"")</f>
        <v/>
      </c>
      <c r="H1667" s="15">
        <f>IFERROR(__xludf.DUMMYFUNCTION("""COMPUTED_VALUE"""),0.2549440625)</f>
        <v>0.2549440625</v>
      </c>
      <c r="I1667" s="15" t="str">
        <f>IFERROR(__xludf.DUMMYFUNCTION("""COMPUTED_VALUE"""),"")</f>
        <v/>
      </c>
      <c r="J1667" s="15" t="str">
        <f>IFERROR(__xludf.DUMMYFUNCTION("""COMPUTED_VALUE"""),"")</f>
        <v/>
      </c>
      <c r="K1667" s="15" t="str">
        <f>IFERROR(__xludf.DUMMYFUNCTION("""COMPUTED_VALUE"""),"")</f>
        <v/>
      </c>
      <c r="L1667" s="4" t="str">
        <f>IFERROR(__xludf.DUMMYFUNCTION("""COMPUTED_VALUE"""),"")</f>
        <v/>
      </c>
    </row>
    <row r="1668">
      <c r="A1668" s="1" t="str">
        <f>IFERROR(__xludf.DUMMYFUNCTION("""COMPUTED_VALUE"""),"DSQ")</f>
        <v>DSQ</v>
      </c>
      <c r="B1668" s="1">
        <f>IFERROR(__xludf.DUMMYFUNCTION("""COMPUTED_VALUE"""),5584.0)</f>
        <v>5584</v>
      </c>
      <c r="C1668" s="2" t="str">
        <f>IFERROR(__xludf.DUMMYFUNCTION("""COMPUTED_VALUE"""),"NANIK")</f>
        <v>NANIK</v>
      </c>
      <c r="D1668" s="2" t="str">
        <f>IFERROR(__xludf.DUMMYFUNCTION("""COMPUTED_VALUE"""),"5KM OVERALL F")</f>
        <v>5KM OVERALL F</v>
      </c>
      <c r="E1668" s="1" t="str">
        <f>IFERROR(__xludf.DUMMYFUNCTION("""COMPUTED_VALUE"""),"DSQ")</f>
        <v>DSQ</v>
      </c>
      <c r="F1668" s="1" t="str">
        <f>IFERROR(__xludf.DUMMYFUNCTION("""COMPUTED_VALUE"""),"Female")</f>
        <v>Female</v>
      </c>
      <c r="G1668" s="5">
        <f>IFERROR(__xludf.DUMMYFUNCTION("""COMPUTED_VALUE"""),0.004423305555555555)</f>
        <v>0.004423305556</v>
      </c>
      <c r="H1668" s="15">
        <f>IFERROR(__xludf.DUMMYFUNCTION("""COMPUTED_VALUE"""),0.2549440625)</f>
        <v>0.2549440625</v>
      </c>
      <c r="I1668" s="15">
        <f>IFERROR(__xludf.DUMMYFUNCTION("""COMPUTED_VALUE"""),45949.277060590815)</f>
        <v>45949.27706</v>
      </c>
      <c r="J1668" s="15">
        <f>IFERROR(__xludf.DUMMYFUNCTION("""COMPUTED_VALUE"""),45949.022116528315)</f>
        <v>45949.02212</v>
      </c>
      <c r="K1668" s="15" t="str">
        <f>IFERROR(__xludf.DUMMYFUNCTION("""COMPUTED_VALUE"""),"")</f>
        <v/>
      </c>
      <c r="L1668" s="4" t="str">
        <f>IFERROR(__xludf.DUMMYFUNCTION("""COMPUTED_VALUE"""),"")</f>
        <v/>
      </c>
    </row>
    <row r="1669">
      <c r="A1669" s="1" t="str">
        <f>IFERROR(__xludf.DUMMYFUNCTION("""COMPUTED_VALUE"""),"DSQ")</f>
        <v>DSQ</v>
      </c>
      <c r="B1669" s="1">
        <f>IFERROR(__xludf.DUMMYFUNCTION("""COMPUTED_VALUE"""),5634.0)</f>
        <v>5634</v>
      </c>
      <c r="C1669" s="2" t="str">
        <f>IFERROR(__xludf.DUMMYFUNCTION("""COMPUTED_VALUE"""),"R. Ananda")</f>
        <v>R. Ananda</v>
      </c>
      <c r="D1669" s="2" t="str">
        <f>IFERROR(__xludf.DUMMYFUNCTION("""COMPUTED_VALUE"""),"5KM OVERALL F")</f>
        <v>5KM OVERALL F</v>
      </c>
      <c r="E1669" s="1" t="str">
        <f>IFERROR(__xludf.DUMMYFUNCTION("""COMPUTED_VALUE"""),"DSQ")</f>
        <v>DSQ</v>
      </c>
      <c r="F1669" s="1" t="str">
        <f>IFERROR(__xludf.DUMMYFUNCTION("""COMPUTED_VALUE"""),"Female")</f>
        <v>Female</v>
      </c>
      <c r="G1669" s="5" t="str">
        <f>IFERROR(__xludf.DUMMYFUNCTION("""COMPUTED_VALUE"""),"")</f>
        <v/>
      </c>
      <c r="H1669" s="15">
        <f>IFERROR(__xludf.DUMMYFUNCTION("""COMPUTED_VALUE"""),0.2549440625)</f>
        <v>0.2549440625</v>
      </c>
      <c r="I1669" s="15" t="str">
        <f>IFERROR(__xludf.DUMMYFUNCTION("""COMPUTED_VALUE"""),"")</f>
        <v/>
      </c>
      <c r="J1669" s="15" t="str">
        <f>IFERROR(__xludf.DUMMYFUNCTION("""COMPUTED_VALUE"""),"")</f>
        <v/>
      </c>
      <c r="K1669" s="15" t="str">
        <f>IFERROR(__xludf.DUMMYFUNCTION("""COMPUTED_VALUE"""),"")</f>
        <v/>
      </c>
      <c r="L1669" s="4" t="str">
        <f>IFERROR(__xludf.DUMMYFUNCTION("""COMPUTED_VALUE"""),"")</f>
        <v/>
      </c>
    </row>
    <row r="1670">
      <c r="A1670" s="1" t="str">
        <f>IFERROR(__xludf.DUMMYFUNCTION("""COMPUTED_VALUE"""),"DSQ")</f>
        <v>DSQ</v>
      </c>
      <c r="B1670" s="1">
        <f>IFERROR(__xludf.DUMMYFUNCTION("""COMPUTED_VALUE"""),5654.0)</f>
        <v>5654</v>
      </c>
      <c r="C1670" s="2" t="str">
        <f>IFERROR(__xludf.DUMMYFUNCTION("""COMPUTED_VALUE"""),"-")</f>
        <v>-</v>
      </c>
      <c r="D1670" s="2" t="str">
        <f>IFERROR(__xludf.DUMMYFUNCTION("""COMPUTED_VALUE"""),"5KM OVERALL F")</f>
        <v>5KM OVERALL F</v>
      </c>
      <c r="E1670" s="1" t="str">
        <f>IFERROR(__xludf.DUMMYFUNCTION("""COMPUTED_VALUE"""),"DSQ")</f>
        <v>DSQ</v>
      </c>
      <c r="F1670" s="1" t="str">
        <f>IFERROR(__xludf.DUMMYFUNCTION("""COMPUTED_VALUE"""),"Female")</f>
        <v>Female</v>
      </c>
      <c r="G1670" s="5" t="str">
        <f>IFERROR(__xludf.DUMMYFUNCTION("""COMPUTED_VALUE"""),"")</f>
        <v/>
      </c>
      <c r="H1670" s="15">
        <f>IFERROR(__xludf.DUMMYFUNCTION("""COMPUTED_VALUE"""),0.2549440625)</f>
        <v>0.2549440625</v>
      </c>
      <c r="I1670" s="15" t="str">
        <f>IFERROR(__xludf.DUMMYFUNCTION("""COMPUTED_VALUE"""),"")</f>
        <v/>
      </c>
      <c r="J1670" s="15" t="str">
        <f>IFERROR(__xludf.DUMMYFUNCTION("""COMPUTED_VALUE"""),"")</f>
        <v/>
      </c>
      <c r="K1670" s="15" t="str">
        <f>IFERROR(__xludf.DUMMYFUNCTION("""COMPUTED_VALUE"""),"")</f>
        <v/>
      </c>
      <c r="L1670" s="4" t="str">
        <f>IFERROR(__xludf.DUMMYFUNCTION("""COMPUTED_VALUE"""),"")</f>
        <v/>
      </c>
    </row>
    <row r="1671">
      <c r="A1671" s="1" t="str">
        <f>IFERROR(__xludf.DUMMYFUNCTION("""COMPUTED_VALUE"""),"DSQ")</f>
        <v>DSQ</v>
      </c>
      <c r="B1671" s="1">
        <f>IFERROR(__xludf.DUMMYFUNCTION("""COMPUTED_VALUE"""),5682.0)</f>
        <v>5682</v>
      </c>
      <c r="C1671" s="2" t="str">
        <f>IFERROR(__xludf.DUMMYFUNCTION("""COMPUTED_VALUE"""),"PINKY")</f>
        <v>PINKY</v>
      </c>
      <c r="D1671" s="2" t="str">
        <f>IFERROR(__xludf.DUMMYFUNCTION("""COMPUTED_VALUE"""),"5KM OVERALL F")</f>
        <v>5KM OVERALL F</v>
      </c>
      <c r="E1671" s="1" t="str">
        <f>IFERROR(__xludf.DUMMYFUNCTION("""COMPUTED_VALUE"""),"DSQ")</f>
        <v>DSQ</v>
      </c>
      <c r="F1671" s="1" t="str">
        <f>IFERROR(__xludf.DUMMYFUNCTION("""COMPUTED_VALUE"""),"Female")</f>
        <v>Female</v>
      </c>
      <c r="G1671" s="5" t="str">
        <f>IFERROR(__xludf.DUMMYFUNCTION("""COMPUTED_VALUE"""),"")</f>
        <v/>
      </c>
      <c r="H1671" s="15">
        <f>IFERROR(__xludf.DUMMYFUNCTION("""COMPUTED_VALUE"""),0.2549440625)</f>
        <v>0.2549440625</v>
      </c>
      <c r="I1671" s="15" t="str">
        <f>IFERROR(__xludf.DUMMYFUNCTION("""COMPUTED_VALUE"""),"")</f>
        <v/>
      </c>
      <c r="J1671" s="15" t="str">
        <f>IFERROR(__xludf.DUMMYFUNCTION("""COMPUTED_VALUE"""),"")</f>
        <v/>
      </c>
      <c r="K1671" s="15" t="str">
        <f>IFERROR(__xludf.DUMMYFUNCTION("""COMPUTED_VALUE"""),"")</f>
        <v/>
      </c>
      <c r="L1671" s="4" t="str">
        <f>IFERROR(__xludf.DUMMYFUNCTION("""COMPUTED_VALUE"""),"")</f>
        <v/>
      </c>
    </row>
    <row r="1672">
      <c r="A1672" s="1" t="str">
        <f>IFERROR(__xludf.DUMMYFUNCTION("""COMPUTED_VALUE"""),"DSQ")</f>
        <v>DSQ</v>
      </c>
      <c r="B1672" s="1">
        <f>IFERROR(__xludf.DUMMYFUNCTION("""COMPUTED_VALUE"""),5701.0)</f>
        <v>5701</v>
      </c>
      <c r="C1672" s="2" t="str">
        <f>IFERROR(__xludf.DUMMYFUNCTION("""COMPUTED_VALUE"""),"MOY")</f>
        <v>MOY</v>
      </c>
      <c r="D1672" s="2" t="str">
        <f>IFERROR(__xludf.DUMMYFUNCTION("""COMPUTED_VALUE"""),"5KM OVERALL F")</f>
        <v>5KM OVERALL F</v>
      </c>
      <c r="E1672" s="1" t="str">
        <f>IFERROR(__xludf.DUMMYFUNCTION("""COMPUTED_VALUE"""),"DSQ")</f>
        <v>DSQ</v>
      </c>
      <c r="F1672" s="1" t="str">
        <f>IFERROR(__xludf.DUMMYFUNCTION("""COMPUTED_VALUE"""),"Female")</f>
        <v>Female</v>
      </c>
      <c r="G1672" s="5" t="str">
        <f>IFERROR(__xludf.DUMMYFUNCTION("""COMPUTED_VALUE"""),"")</f>
        <v/>
      </c>
      <c r="H1672" s="15">
        <f>IFERROR(__xludf.DUMMYFUNCTION("""COMPUTED_VALUE"""),0.2549440625)</f>
        <v>0.2549440625</v>
      </c>
      <c r="I1672" s="15" t="str">
        <f>IFERROR(__xludf.DUMMYFUNCTION("""COMPUTED_VALUE"""),"")</f>
        <v/>
      </c>
      <c r="J1672" s="15" t="str">
        <f>IFERROR(__xludf.DUMMYFUNCTION("""COMPUTED_VALUE"""),"")</f>
        <v/>
      </c>
      <c r="K1672" s="15" t="str">
        <f>IFERROR(__xludf.DUMMYFUNCTION("""COMPUTED_VALUE"""),"")</f>
        <v/>
      </c>
      <c r="L1672" s="4" t="str">
        <f>IFERROR(__xludf.DUMMYFUNCTION("""COMPUTED_VALUE"""),"")</f>
        <v/>
      </c>
    </row>
    <row r="1673">
      <c r="A1673" s="1" t="str">
        <f>IFERROR(__xludf.DUMMYFUNCTION("""COMPUTED_VALUE"""),"DSQ")</f>
        <v>DSQ</v>
      </c>
      <c r="B1673" s="1">
        <f>IFERROR(__xludf.DUMMYFUNCTION("""COMPUTED_VALUE"""),5761.0)</f>
        <v>5761</v>
      </c>
      <c r="C1673" s="2" t="str">
        <f>IFERROR(__xludf.DUMMYFUNCTION("""COMPUTED_VALUE"""),"Ayu")</f>
        <v>Ayu</v>
      </c>
      <c r="D1673" s="2" t="str">
        <f>IFERROR(__xludf.DUMMYFUNCTION("""COMPUTED_VALUE"""),"5KM OVERALL F")</f>
        <v>5KM OVERALL F</v>
      </c>
      <c r="E1673" s="1" t="str">
        <f>IFERROR(__xludf.DUMMYFUNCTION("""COMPUTED_VALUE"""),"DSQ")</f>
        <v>DSQ</v>
      </c>
      <c r="F1673" s="1" t="str">
        <f>IFERROR(__xludf.DUMMYFUNCTION("""COMPUTED_VALUE"""),"Female")</f>
        <v>Female</v>
      </c>
      <c r="G1673" s="5" t="str">
        <f>IFERROR(__xludf.DUMMYFUNCTION("""COMPUTED_VALUE"""),"")</f>
        <v/>
      </c>
      <c r="H1673" s="15">
        <f>IFERROR(__xludf.DUMMYFUNCTION("""COMPUTED_VALUE"""),0.2549440625)</f>
        <v>0.2549440625</v>
      </c>
      <c r="I1673" s="15" t="str">
        <f>IFERROR(__xludf.DUMMYFUNCTION("""COMPUTED_VALUE"""),"")</f>
        <v/>
      </c>
      <c r="J1673" s="15" t="str">
        <f>IFERROR(__xludf.DUMMYFUNCTION("""COMPUTED_VALUE"""),"")</f>
        <v/>
      </c>
      <c r="K1673" s="15" t="str">
        <f>IFERROR(__xludf.DUMMYFUNCTION("""COMPUTED_VALUE"""),"")</f>
        <v/>
      </c>
      <c r="L1673" s="4" t="str">
        <f>IFERROR(__xludf.DUMMYFUNCTION("""COMPUTED_VALUE"""),"")</f>
        <v/>
      </c>
    </row>
    <row r="1674">
      <c r="A1674" s="1" t="str">
        <f>IFERROR(__xludf.DUMMYFUNCTION("""COMPUTED_VALUE"""),"DSQ")</f>
        <v>DSQ</v>
      </c>
      <c r="B1674" s="1">
        <f>IFERROR(__xludf.DUMMYFUNCTION("""COMPUTED_VALUE"""),5787.0)</f>
        <v>5787</v>
      </c>
      <c r="C1674" s="2" t="str">
        <f>IFERROR(__xludf.DUMMYFUNCTION("""COMPUTED_VALUE"""),"Dara")</f>
        <v>Dara</v>
      </c>
      <c r="D1674" s="2" t="str">
        <f>IFERROR(__xludf.DUMMYFUNCTION("""COMPUTED_VALUE"""),"5KM OVERALL F")</f>
        <v>5KM OVERALL F</v>
      </c>
      <c r="E1674" s="1" t="str">
        <f>IFERROR(__xludf.DUMMYFUNCTION("""COMPUTED_VALUE"""),"DSQ")</f>
        <v>DSQ</v>
      </c>
      <c r="F1674" s="1" t="str">
        <f>IFERROR(__xludf.DUMMYFUNCTION("""COMPUTED_VALUE"""),"Female")</f>
        <v>Female</v>
      </c>
      <c r="G1674" s="5" t="str">
        <f>IFERROR(__xludf.DUMMYFUNCTION("""COMPUTED_VALUE"""),"")</f>
        <v/>
      </c>
      <c r="H1674" s="15">
        <f>IFERROR(__xludf.DUMMYFUNCTION("""COMPUTED_VALUE"""),0.2549440625)</f>
        <v>0.2549440625</v>
      </c>
      <c r="I1674" s="15" t="str">
        <f>IFERROR(__xludf.DUMMYFUNCTION("""COMPUTED_VALUE"""),"")</f>
        <v/>
      </c>
      <c r="J1674" s="15" t="str">
        <f>IFERROR(__xludf.DUMMYFUNCTION("""COMPUTED_VALUE"""),"")</f>
        <v/>
      </c>
      <c r="K1674" s="15" t="str">
        <f>IFERROR(__xludf.DUMMYFUNCTION("""COMPUTED_VALUE"""),"")</f>
        <v/>
      </c>
      <c r="L1674" s="4" t="str">
        <f>IFERROR(__xludf.DUMMYFUNCTION("""COMPUTED_VALUE"""),"")</f>
        <v/>
      </c>
    </row>
    <row r="1675">
      <c r="A1675" s="1" t="str">
        <f>IFERROR(__xludf.DUMMYFUNCTION("""COMPUTED_VALUE"""),"DSQ")</f>
        <v>DSQ</v>
      </c>
      <c r="B1675" s="1">
        <f>IFERROR(__xludf.DUMMYFUNCTION("""COMPUTED_VALUE"""),5790.0)</f>
        <v>5790</v>
      </c>
      <c r="C1675" s="2" t="str">
        <f>IFERROR(__xludf.DUMMYFUNCTION("""COMPUTED_VALUE"""),"Vera R")</f>
        <v>Vera R</v>
      </c>
      <c r="D1675" s="2" t="str">
        <f>IFERROR(__xludf.DUMMYFUNCTION("""COMPUTED_VALUE"""),"5KM OVERALL F")</f>
        <v>5KM OVERALL F</v>
      </c>
      <c r="E1675" s="1" t="str">
        <f>IFERROR(__xludf.DUMMYFUNCTION("""COMPUTED_VALUE"""),"DSQ")</f>
        <v>DSQ</v>
      </c>
      <c r="F1675" s="1" t="str">
        <f>IFERROR(__xludf.DUMMYFUNCTION("""COMPUTED_VALUE"""),"Female")</f>
        <v>Female</v>
      </c>
      <c r="G1675" s="5" t="str">
        <f>IFERROR(__xludf.DUMMYFUNCTION("""COMPUTED_VALUE"""),"")</f>
        <v/>
      </c>
      <c r="H1675" s="15">
        <f>IFERROR(__xludf.DUMMYFUNCTION("""COMPUTED_VALUE"""),0.2549440625)</f>
        <v>0.2549440625</v>
      </c>
      <c r="I1675" s="15" t="str">
        <f>IFERROR(__xludf.DUMMYFUNCTION("""COMPUTED_VALUE"""),"")</f>
        <v/>
      </c>
      <c r="J1675" s="15" t="str">
        <f>IFERROR(__xludf.DUMMYFUNCTION("""COMPUTED_VALUE"""),"")</f>
        <v/>
      </c>
      <c r="K1675" s="15" t="str">
        <f>IFERROR(__xludf.DUMMYFUNCTION("""COMPUTED_VALUE"""),"")</f>
        <v/>
      </c>
      <c r="L1675" s="4" t="str">
        <f>IFERROR(__xludf.DUMMYFUNCTION("""COMPUTED_VALUE"""),"")</f>
        <v/>
      </c>
    </row>
    <row r="1676">
      <c r="A1676" s="1" t="str">
        <f>IFERROR(__xludf.DUMMYFUNCTION("""COMPUTED_VALUE"""),"DSQ")</f>
        <v>DSQ</v>
      </c>
      <c r="B1676" s="1">
        <f>IFERROR(__xludf.DUMMYFUNCTION("""COMPUTED_VALUE"""),5806.0)</f>
        <v>5806</v>
      </c>
      <c r="C1676" s="2" t="str">
        <f>IFERROR(__xludf.DUMMYFUNCTION("""COMPUTED_VALUE"""),"THERESIA")</f>
        <v>THERESIA</v>
      </c>
      <c r="D1676" s="2" t="str">
        <f>IFERROR(__xludf.DUMMYFUNCTION("""COMPUTED_VALUE"""),"5KM OVERALL F")</f>
        <v>5KM OVERALL F</v>
      </c>
      <c r="E1676" s="1" t="str">
        <f>IFERROR(__xludf.DUMMYFUNCTION("""COMPUTED_VALUE"""),"DSQ")</f>
        <v>DSQ</v>
      </c>
      <c r="F1676" s="1" t="str">
        <f>IFERROR(__xludf.DUMMYFUNCTION("""COMPUTED_VALUE"""),"Female")</f>
        <v>Female</v>
      </c>
      <c r="G1676" s="5" t="str">
        <f>IFERROR(__xludf.DUMMYFUNCTION("""COMPUTED_VALUE"""),"")</f>
        <v/>
      </c>
      <c r="H1676" s="15">
        <f>IFERROR(__xludf.DUMMYFUNCTION("""COMPUTED_VALUE"""),0.2549440625)</f>
        <v>0.2549440625</v>
      </c>
      <c r="I1676" s="15" t="str">
        <f>IFERROR(__xludf.DUMMYFUNCTION("""COMPUTED_VALUE"""),"")</f>
        <v/>
      </c>
      <c r="J1676" s="15" t="str">
        <f>IFERROR(__xludf.DUMMYFUNCTION("""COMPUTED_VALUE"""),"")</f>
        <v/>
      </c>
      <c r="K1676" s="15" t="str">
        <f>IFERROR(__xludf.DUMMYFUNCTION("""COMPUTED_VALUE"""),"")</f>
        <v/>
      </c>
      <c r="L1676" s="4" t="str">
        <f>IFERROR(__xludf.DUMMYFUNCTION("""COMPUTED_VALUE"""),"")</f>
        <v/>
      </c>
    </row>
    <row r="1677">
      <c r="A1677" s="1" t="str">
        <f>IFERROR(__xludf.DUMMYFUNCTION("""COMPUTED_VALUE"""),"DSQ")</f>
        <v>DSQ</v>
      </c>
      <c r="B1677" s="1">
        <f>IFERROR(__xludf.DUMMYFUNCTION("""COMPUTED_VALUE"""),5818.0)</f>
        <v>5818</v>
      </c>
      <c r="C1677" s="2" t="str">
        <f>IFERROR(__xludf.DUMMYFUNCTION("""COMPUTED_VALUE"""),"gitaputriyanii")</f>
        <v>gitaputriyanii</v>
      </c>
      <c r="D1677" s="2" t="str">
        <f>IFERROR(__xludf.DUMMYFUNCTION("""COMPUTED_VALUE"""),"5KM OVERALL F")</f>
        <v>5KM OVERALL F</v>
      </c>
      <c r="E1677" s="1" t="str">
        <f>IFERROR(__xludf.DUMMYFUNCTION("""COMPUTED_VALUE"""),"DSQ")</f>
        <v>DSQ</v>
      </c>
      <c r="F1677" s="1" t="str">
        <f>IFERROR(__xludf.DUMMYFUNCTION("""COMPUTED_VALUE"""),"Female")</f>
        <v>Female</v>
      </c>
      <c r="G1677" s="5" t="str">
        <f>IFERROR(__xludf.DUMMYFUNCTION("""COMPUTED_VALUE"""),"")</f>
        <v/>
      </c>
      <c r="H1677" s="15">
        <f>IFERROR(__xludf.DUMMYFUNCTION("""COMPUTED_VALUE"""),0.2549440625)</f>
        <v>0.2549440625</v>
      </c>
      <c r="I1677" s="15" t="str">
        <f>IFERROR(__xludf.DUMMYFUNCTION("""COMPUTED_VALUE"""),"")</f>
        <v/>
      </c>
      <c r="J1677" s="15" t="str">
        <f>IFERROR(__xludf.DUMMYFUNCTION("""COMPUTED_VALUE"""),"")</f>
        <v/>
      </c>
      <c r="K1677" s="15" t="str">
        <f>IFERROR(__xludf.DUMMYFUNCTION("""COMPUTED_VALUE"""),"")</f>
        <v/>
      </c>
      <c r="L1677" s="4" t="str">
        <f>IFERROR(__xludf.DUMMYFUNCTION("""COMPUTED_VALUE"""),"")</f>
        <v/>
      </c>
    </row>
    <row r="1678">
      <c r="A1678" s="1" t="str">
        <f>IFERROR(__xludf.DUMMYFUNCTION("""COMPUTED_VALUE"""),"DSQ")</f>
        <v>DSQ</v>
      </c>
      <c r="B1678" s="1">
        <f>IFERROR(__xludf.DUMMYFUNCTION("""COMPUTED_VALUE"""),5837.0)</f>
        <v>5837</v>
      </c>
      <c r="C1678" s="2" t="str">
        <f>IFERROR(__xludf.DUMMYFUNCTION("""COMPUTED_VALUE"""),"Novia")</f>
        <v>Novia</v>
      </c>
      <c r="D1678" s="2" t="str">
        <f>IFERROR(__xludf.DUMMYFUNCTION("""COMPUTED_VALUE"""),"5KM OVERALL F")</f>
        <v>5KM OVERALL F</v>
      </c>
      <c r="E1678" s="1" t="str">
        <f>IFERROR(__xludf.DUMMYFUNCTION("""COMPUTED_VALUE"""),"DSQ")</f>
        <v>DSQ</v>
      </c>
      <c r="F1678" s="1" t="str">
        <f>IFERROR(__xludf.DUMMYFUNCTION("""COMPUTED_VALUE"""),"Female")</f>
        <v>Female</v>
      </c>
      <c r="G1678" s="5" t="str">
        <f>IFERROR(__xludf.DUMMYFUNCTION("""COMPUTED_VALUE"""),"")</f>
        <v/>
      </c>
      <c r="H1678" s="15">
        <f>IFERROR(__xludf.DUMMYFUNCTION("""COMPUTED_VALUE"""),0.2549440625)</f>
        <v>0.2549440625</v>
      </c>
      <c r="I1678" s="15" t="str">
        <f>IFERROR(__xludf.DUMMYFUNCTION("""COMPUTED_VALUE"""),"")</f>
        <v/>
      </c>
      <c r="J1678" s="15" t="str">
        <f>IFERROR(__xludf.DUMMYFUNCTION("""COMPUTED_VALUE"""),"")</f>
        <v/>
      </c>
      <c r="K1678" s="15" t="str">
        <f>IFERROR(__xludf.DUMMYFUNCTION("""COMPUTED_VALUE"""),"")</f>
        <v/>
      </c>
      <c r="L1678" s="4" t="str">
        <f>IFERROR(__xludf.DUMMYFUNCTION("""COMPUTED_VALUE"""),"")</f>
        <v/>
      </c>
    </row>
    <row r="1679">
      <c r="A1679" s="1" t="str">
        <f>IFERROR(__xludf.DUMMYFUNCTION("""COMPUTED_VALUE"""),"DSQ")</f>
        <v>DSQ</v>
      </c>
      <c r="B1679" s="1">
        <f>IFERROR(__xludf.DUMMYFUNCTION("""COMPUTED_VALUE"""),5841.0)</f>
        <v>5841</v>
      </c>
      <c r="C1679" s="2" t="str">
        <f>IFERROR(__xludf.DUMMYFUNCTION("""COMPUTED_VALUE"""),"lia")</f>
        <v>lia</v>
      </c>
      <c r="D1679" s="2" t="str">
        <f>IFERROR(__xludf.DUMMYFUNCTION("""COMPUTED_VALUE"""),"5KM OVERALL F")</f>
        <v>5KM OVERALL F</v>
      </c>
      <c r="E1679" s="1" t="str">
        <f>IFERROR(__xludf.DUMMYFUNCTION("""COMPUTED_VALUE"""),"DSQ")</f>
        <v>DSQ</v>
      </c>
      <c r="F1679" s="1" t="str">
        <f>IFERROR(__xludf.DUMMYFUNCTION("""COMPUTED_VALUE"""),"Female")</f>
        <v>Female</v>
      </c>
      <c r="G1679" s="5" t="str">
        <f>IFERROR(__xludf.DUMMYFUNCTION("""COMPUTED_VALUE"""),"")</f>
        <v/>
      </c>
      <c r="H1679" s="15">
        <f>IFERROR(__xludf.DUMMYFUNCTION("""COMPUTED_VALUE"""),0.2549440625)</f>
        <v>0.2549440625</v>
      </c>
      <c r="I1679" s="15" t="str">
        <f>IFERROR(__xludf.DUMMYFUNCTION("""COMPUTED_VALUE"""),"")</f>
        <v/>
      </c>
      <c r="J1679" s="15" t="str">
        <f>IFERROR(__xludf.DUMMYFUNCTION("""COMPUTED_VALUE"""),"")</f>
        <v/>
      </c>
      <c r="K1679" s="15" t="str">
        <f>IFERROR(__xludf.DUMMYFUNCTION("""COMPUTED_VALUE"""),"")</f>
        <v/>
      </c>
      <c r="L1679" s="4" t="str">
        <f>IFERROR(__xludf.DUMMYFUNCTION("""COMPUTED_VALUE"""),"")</f>
        <v/>
      </c>
    </row>
    <row r="1680">
      <c r="A1680" s="1" t="str">
        <f>IFERROR(__xludf.DUMMYFUNCTION("""COMPUTED_VALUE"""),"DSQ")</f>
        <v>DSQ</v>
      </c>
      <c r="B1680" s="1">
        <f>IFERROR(__xludf.DUMMYFUNCTION("""COMPUTED_VALUE"""),5871.0)</f>
        <v>5871</v>
      </c>
      <c r="C1680" s="2" t="str">
        <f>IFERROR(__xludf.DUMMYFUNCTION("""COMPUTED_VALUE"""),"Restu")</f>
        <v>Restu</v>
      </c>
      <c r="D1680" s="2" t="str">
        <f>IFERROR(__xludf.DUMMYFUNCTION("""COMPUTED_VALUE"""),"5KM OVERALL F")</f>
        <v>5KM OVERALL F</v>
      </c>
      <c r="E1680" s="1" t="str">
        <f>IFERROR(__xludf.DUMMYFUNCTION("""COMPUTED_VALUE"""),"DSQ")</f>
        <v>DSQ</v>
      </c>
      <c r="F1680" s="1" t="str">
        <f>IFERROR(__xludf.DUMMYFUNCTION("""COMPUTED_VALUE"""),"Female")</f>
        <v>Female</v>
      </c>
      <c r="G1680" s="5" t="str">
        <f>IFERROR(__xludf.DUMMYFUNCTION("""COMPUTED_VALUE"""),"")</f>
        <v/>
      </c>
      <c r="H1680" s="15">
        <f>IFERROR(__xludf.DUMMYFUNCTION("""COMPUTED_VALUE"""),0.2549440625)</f>
        <v>0.2549440625</v>
      </c>
      <c r="I1680" s="15" t="str">
        <f>IFERROR(__xludf.DUMMYFUNCTION("""COMPUTED_VALUE"""),"")</f>
        <v/>
      </c>
      <c r="J1680" s="15" t="str">
        <f>IFERROR(__xludf.DUMMYFUNCTION("""COMPUTED_VALUE"""),"")</f>
        <v/>
      </c>
      <c r="K1680" s="15" t="str">
        <f>IFERROR(__xludf.DUMMYFUNCTION("""COMPUTED_VALUE"""),"")</f>
        <v/>
      </c>
      <c r="L1680" s="4" t="str">
        <f>IFERROR(__xludf.DUMMYFUNCTION("""COMPUTED_VALUE"""),"")</f>
        <v/>
      </c>
    </row>
    <row r="1681">
      <c r="A1681" s="1" t="str">
        <f>IFERROR(__xludf.DUMMYFUNCTION("""COMPUTED_VALUE"""),"DSQ")</f>
        <v>DSQ</v>
      </c>
      <c r="B1681" s="1">
        <f>IFERROR(__xludf.DUMMYFUNCTION("""COMPUTED_VALUE"""),5924.0)</f>
        <v>5924</v>
      </c>
      <c r="C1681" s="2" t="str">
        <f>IFERROR(__xludf.DUMMYFUNCTION("""COMPUTED_VALUE"""),"Resti")</f>
        <v>Resti</v>
      </c>
      <c r="D1681" s="2" t="str">
        <f>IFERROR(__xludf.DUMMYFUNCTION("""COMPUTED_VALUE"""),"5KM OVERALL F")</f>
        <v>5KM OVERALL F</v>
      </c>
      <c r="E1681" s="1" t="str">
        <f>IFERROR(__xludf.DUMMYFUNCTION("""COMPUTED_VALUE"""),"DSQ")</f>
        <v>DSQ</v>
      </c>
      <c r="F1681" s="1" t="str">
        <f>IFERROR(__xludf.DUMMYFUNCTION("""COMPUTED_VALUE"""),"Female")</f>
        <v>Female</v>
      </c>
      <c r="G1681" s="5" t="str">
        <f>IFERROR(__xludf.DUMMYFUNCTION("""COMPUTED_VALUE"""),"")</f>
        <v/>
      </c>
      <c r="H1681" s="15">
        <f>IFERROR(__xludf.DUMMYFUNCTION("""COMPUTED_VALUE"""),0.2549440625)</f>
        <v>0.2549440625</v>
      </c>
      <c r="I1681" s="15" t="str">
        <f>IFERROR(__xludf.DUMMYFUNCTION("""COMPUTED_VALUE"""),"")</f>
        <v/>
      </c>
      <c r="J1681" s="15" t="str">
        <f>IFERROR(__xludf.DUMMYFUNCTION("""COMPUTED_VALUE"""),"")</f>
        <v/>
      </c>
      <c r="K1681" s="15" t="str">
        <f>IFERROR(__xludf.DUMMYFUNCTION("""COMPUTED_VALUE"""),"")</f>
        <v/>
      </c>
      <c r="L1681" s="4" t="str">
        <f>IFERROR(__xludf.DUMMYFUNCTION("""COMPUTED_VALUE"""),"")</f>
        <v/>
      </c>
    </row>
    <row r="1682">
      <c r="A1682" s="1" t="str">
        <f>IFERROR(__xludf.DUMMYFUNCTION("""COMPUTED_VALUE"""),"DSQ")</f>
        <v>DSQ</v>
      </c>
      <c r="B1682" s="1">
        <f>IFERROR(__xludf.DUMMYFUNCTION("""COMPUTED_VALUE"""),5937.0)</f>
        <v>5937</v>
      </c>
      <c r="C1682" s="2" t="str">
        <f>IFERROR(__xludf.DUMMYFUNCTION("""COMPUTED_VALUE"""),"DINDA DWI LESTARI")</f>
        <v>DINDA DWI LESTARI</v>
      </c>
      <c r="D1682" s="2" t="str">
        <f>IFERROR(__xludf.DUMMYFUNCTION("""COMPUTED_VALUE"""),"5KM OVERALL F")</f>
        <v>5KM OVERALL F</v>
      </c>
      <c r="E1682" s="1" t="str">
        <f>IFERROR(__xludf.DUMMYFUNCTION("""COMPUTED_VALUE"""),"DSQ")</f>
        <v>DSQ</v>
      </c>
      <c r="F1682" s="1" t="str">
        <f>IFERROR(__xludf.DUMMYFUNCTION("""COMPUTED_VALUE"""),"Female")</f>
        <v>Female</v>
      </c>
      <c r="G1682" s="5">
        <f>IFERROR(__xludf.DUMMYFUNCTION("""COMPUTED_VALUE"""),0.006353861111111111)</f>
        <v>0.006353861111</v>
      </c>
      <c r="H1682" s="15">
        <f>IFERROR(__xludf.DUMMYFUNCTION("""COMPUTED_VALUE"""),0.2549440625)</f>
        <v>0.2549440625</v>
      </c>
      <c r="I1682" s="15">
        <f>IFERROR(__xludf.DUMMYFUNCTION("""COMPUTED_VALUE"""),45949.28671336862)</f>
        <v>45949.28671</v>
      </c>
      <c r="J1682" s="15">
        <f>IFERROR(__xludf.DUMMYFUNCTION("""COMPUTED_VALUE"""),45949.03176930612)</f>
        <v>45949.03177</v>
      </c>
      <c r="K1682" s="15" t="str">
        <f>IFERROR(__xludf.DUMMYFUNCTION("""COMPUTED_VALUE"""),"")</f>
        <v/>
      </c>
      <c r="L1682" s="4" t="str">
        <f>IFERROR(__xludf.DUMMYFUNCTION("""COMPUTED_VALUE"""),"")</f>
        <v/>
      </c>
    </row>
    <row r="1683">
      <c r="A1683" s="1" t="str">
        <f>IFERROR(__xludf.DUMMYFUNCTION("""COMPUTED_VALUE"""),"DSQ")</f>
        <v>DSQ</v>
      </c>
      <c r="B1683" s="1">
        <f>IFERROR(__xludf.DUMMYFUNCTION("""COMPUTED_VALUE"""),5945.0)</f>
        <v>5945</v>
      </c>
      <c r="C1683" s="2" t="str">
        <f>IFERROR(__xludf.DUMMYFUNCTION("""COMPUTED_VALUE"""),"ENDAH SOELISTIJONO")</f>
        <v>ENDAH SOELISTIJONO</v>
      </c>
      <c r="D1683" s="2" t="str">
        <f>IFERROR(__xludf.DUMMYFUNCTION("""COMPUTED_VALUE"""),"5KM OVERALL F")</f>
        <v>5KM OVERALL F</v>
      </c>
      <c r="E1683" s="1" t="str">
        <f>IFERROR(__xludf.DUMMYFUNCTION("""COMPUTED_VALUE"""),"DSQ")</f>
        <v>DSQ</v>
      </c>
      <c r="F1683" s="1" t="str">
        <f>IFERROR(__xludf.DUMMYFUNCTION("""COMPUTED_VALUE"""),"Female")</f>
        <v>Female</v>
      </c>
      <c r="G1683" s="5" t="str">
        <f>IFERROR(__xludf.DUMMYFUNCTION("""COMPUTED_VALUE"""),"")</f>
        <v/>
      </c>
      <c r="H1683" s="15">
        <f>IFERROR(__xludf.DUMMYFUNCTION("""COMPUTED_VALUE"""),0.2549440625)</f>
        <v>0.2549440625</v>
      </c>
      <c r="I1683" s="15" t="str">
        <f>IFERROR(__xludf.DUMMYFUNCTION("""COMPUTED_VALUE"""),"")</f>
        <v/>
      </c>
      <c r="J1683" s="15" t="str">
        <f>IFERROR(__xludf.DUMMYFUNCTION("""COMPUTED_VALUE"""),"")</f>
        <v/>
      </c>
      <c r="K1683" s="15" t="str">
        <f>IFERROR(__xludf.DUMMYFUNCTION("""COMPUTED_VALUE"""),"")</f>
        <v/>
      </c>
      <c r="L1683" s="4" t="str">
        <f>IFERROR(__xludf.DUMMYFUNCTION("""COMPUTED_VALUE"""),"")</f>
        <v/>
      </c>
    </row>
    <row r="1684">
      <c r="A1684" s="1" t="str">
        <f>IFERROR(__xludf.DUMMYFUNCTION("""COMPUTED_VALUE"""),"DSQ")</f>
        <v>DSQ</v>
      </c>
      <c r="B1684" s="1">
        <f>IFERROR(__xludf.DUMMYFUNCTION("""COMPUTED_VALUE"""),5954.0)</f>
        <v>5954</v>
      </c>
      <c r="C1684" s="2" t="str">
        <f>IFERROR(__xludf.DUMMYFUNCTION("""COMPUTED_VALUE"""),"Sara")</f>
        <v>Sara</v>
      </c>
      <c r="D1684" s="2" t="str">
        <f>IFERROR(__xludf.DUMMYFUNCTION("""COMPUTED_VALUE"""),"5KM OVERALL F")</f>
        <v>5KM OVERALL F</v>
      </c>
      <c r="E1684" s="1" t="str">
        <f>IFERROR(__xludf.DUMMYFUNCTION("""COMPUTED_VALUE"""),"DSQ")</f>
        <v>DSQ</v>
      </c>
      <c r="F1684" s="1" t="str">
        <f>IFERROR(__xludf.DUMMYFUNCTION("""COMPUTED_VALUE"""),"Female")</f>
        <v>Female</v>
      </c>
      <c r="G1684" s="5" t="str">
        <f>IFERROR(__xludf.DUMMYFUNCTION("""COMPUTED_VALUE"""),"")</f>
        <v/>
      </c>
      <c r="H1684" s="15">
        <f>IFERROR(__xludf.DUMMYFUNCTION("""COMPUTED_VALUE"""),0.2549440625)</f>
        <v>0.2549440625</v>
      </c>
      <c r="I1684" s="15" t="str">
        <f>IFERROR(__xludf.DUMMYFUNCTION("""COMPUTED_VALUE"""),"")</f>
        <v/>
      </c>
      <c r="J1684" s="15" t="str">
        <f>IFERROR(__xludf.DUMMYFUNCTION("""COMPUTED_VALUE"""),"")</f>
        <v/>
      </c>
      <c r="K1684" s="15" t="str">
        <f>IFERROR(__xludf.DUMMYFUNCTION("""COMPUTED_VALUE"""),"")</f>
        <v/>
      </c>
      <c r="L1684" s="4" t="str">
        <f>IFERROR(__xludf.DUMMYFUNCTION("""COMPUTED_VALUE"""),"")</f>
        <v/>
      </c>
    </row>
    <row r="1685">
      <c r="A1685" s="1" t="str">
        <f>IFERROR(__xludf.DUMMYFUNCTION("""COMPUTED_VALUE"""),"DSQ")</f>
        <v>DSQ</v>
      </c>
      <c r="B1685" s="1">
        <f>IFERROR(__xludf.DUMMYFUNCTION("""COMPUTED_VALUE"""),5961.0)</f>
        <v>5961</v>
      </c>
      <c r="C1685" s="2" t="str">
        <f>IFERROR(__xludf.DUMMYFUNCTION("""COMPUTED_VALUE"""),"Ribka")</f>
        <v>Ribka</v>
      </c>
      <c r="D1685" s="2" t="str">
        <f>IFERROR(__xludf.DUMMYFUNCTION("""COMPUTED_VALUE"""),"5KM OVERALL F")</f>
        <v>5KM OVERALL F</v>
      </c>
      <c r="E1685" s="1" t="str">
        <f>IFERROR(__xludf.DUMMYFUNCTION("""COMPUTED_VALUE"""),"DSQ")</f>
        <v>DSQ</v>
      </c>
      <c r="F1685" s="1" t="str">
        <f>IFERROR(__xludf.DUMMYFUNCTION("""COMPUTED_VALUE"""),"Female")</f>
        <v>Female</v>
      </c>
      <c r="G1685" s="5" t="str">
        <f>IFERROR(__xludf.DUMMYFUNCTION("""COMPUTED_VALUE"""),"")</f>
        <v/>
      </c>
      <c r="H1685" s="15">
        <f>IFERROR(__xludf.DUMMYFUNCTION("""COMPUTED_VALUE"""),0.2549440625)</f>
        <v>0.2549440625</v>
      </c>
      <c r="I1685" s="15" t="str">
        <f>IFERROR(__xludf.DUMMYFUNCTION("""COMPUTED_VALUE"""),"")</f>
        <v/>
      </c>
      <c r="J1685" s="15" t="str">
        <f>IFERROR(__xludf.DUMMYFUNCTION("""COMPUTED_VALUE"""),"")</f>
        <v/>
      </c>
      <c r="K1685" s="15" t="str">
        <f>IFERROR(__xludf.DUMMYFUNCTION("""COMPUTED_VALUE"""),"")</f>
        <v/>
      </c>
      <c r="L1685" s="4" t="str">
        <f>IFERROR(__xludf.DUMMYFUNCTION("""COMPUTED_VALUE"""),"")</f>
        <v/>
      </c>
    </row>
    <row r="1686">
      <c r="A1686" s="1" t="str">
        <f>IFERROR(__xludf.DUMMYFUNCTION("""COMPUTED_VALUE"""),"DSQ")</f>
        <v>DSQ</v>
      </c>
      <c r="B1686" s="1">
        <f>IFERROR(__xludf.DUMMYFUNCTION("""COMPUTED_VALUE"""),5969.0)</f>
        <v>5969</v>
      </c>
      <c r="C1686" s="2" t="str">
        <f>IFERROR(__xludf.DUMMYFUNCTION("""COMPUTED_VALUE"""),"Indah")</f>
        <v>Indah</v>
      </c>
      <c r="D1686" s="2" t="str">
        <f>IFERROR(__xludf.DUMMYFUNCTION("""COMPUTED_VALUE"""),"5KM OVERALL F")</f>
        <v>5KM OVERALL F</v>
      </c>
      <c r="E1686" s="1" t="str">
        <f>IFERROR(__xludf.DUMMYFUNCTION("""COMPUTED_VALUE"""),"DSQ")</f>
        <v>DSQ</v>
      </c>
      <c r="F1686" s="1" t="str">
        <f>IFERROR(__xludf.DUMMYFUNCTION("""COMPUTED_VALUE"""),"Female")</f>
        <v>Female</v>
      </c>
      <c r="G1686" s="5" t="str">
        <f>IFERROR(__xludf.DUMMYFUNCTION("""COMPUTED_VALUE"""),"")</f>
        <v/>
      </c>
      <c r="H1686" s="15">
        <f>IFERROR(__xludf.DUMMYFUNCTION("""COMPUTED_VALUE"""),0.2549440625)</f>
        <v>0.2549440625</v>
      </c>
      <c r="I1686" s="15" t="str">
        <f>IFERROR(__xludf.DUMMYFUNCTION("""COMPUTED_VALUE"""),"")</f>
        <v/>
      </c>
      <c r="J1686" s="15" t="str">
        <f>IFERROR(__xludf.DUMMYFUNCTION("""COMPUTED_VALUE"""),"")</f>
        <v/>
      </c>
      <c r="K1686" s="15" t="str">
        <f>IFERROR(__xludf.DUMMYFUNCTION("""COMPUTED_VALUE"""),"")</f>
        <v/>
      </c>
      <c r="L1686" s="4" t="str">
        <f>IFERROR(__xludf.DUMMYFUNCTION("""COMPUTED_VALUE"""),"")</f>
        <v/>
      </c>
    </row>
    <row r="1687">
      <c r="A1687" s="1" t="str">
        <f>IFERROR(__xludf.DUMMYFUNCTION("""COMPUTED_VALUE"""),"DSQ")</f>
        <v>DSQ</v>
      </c>
      <c r="B1687" s="1">
        <f>IFERROR(__xludf.DUMMYFUNCTION("""COMPUTED_VALUE"""),5979.0)</f>
        <v>5979</v>
      </c>
      <c r="C1687" s="2" t="str">
        <f>IFERROR(__xludf.DUMMYFUNCTION("""COMPUTED_VALUE"""),"Ayuu")</f>
        <v>Ayuu</v>
      </c>
      <c r="D1687" s="2" t="str">
        <f>IFERROR(__xludf.DUMMYFUNCTION("""COMPUTED_VALUE"""),"5KM OVERALL F")</f>
        <v>5KM OVERALL F</v>
      </c>
      <c r="E1687" s="1" t="str">
        <f>IFERROR(__xludf.DUMMYFUNCTION("""COMPUTED_VALUE"""),"DSQ")</f>
        <v>DSQ</v>
      </c>
      <c r="F1687" s="1" t="str">
        <f>IFERROR(__xludf.DUMMYFUNCTION("""COMPUTED_VALUE"""),"Female")</f>
        <v>Female</v>
      </c>
      <c r="G1687" s="5">
        <f>IFERROR(__xludf.DUMMYFUNCTION("""COMPUTED_VALUE"""),0.002518284722222222)</f>
        <v>0.002518284722</v>
      </c>
      <c r="H1687" s="15">
        <f>IFERROR(__xludf.DUMMYFUNCTION("""COMPUTED_VALUE"""),0.2549440625)</f>
        <v>0.2549440625</v>
      </c>
      <c r="I1687" s="15">
        <f>IFERROR(__xludf.DUMMYFUNCTION("""COMPUTED_VALUE"""),45949.26753548682)</f>
        <v>45949.26754</v>
      </c>
      <c r="J1687" s="15">
        <f>IFERROR(__xludf.DUMMYFUNCTION("""COMPUTED_VALUE"""),45949.01259142432)</f>
        <v>45949.01259</v>
      </c>
      <c r="K1687" s="15" t="str">
        <f>IFERROR(__xludf.DUMMYFUNCTION("""COMPUTED_VALUE"""),"")</f>
        <v/>
      </c>
      <c r="L1687" s="4" t="str">
        <f>IFERROR(__xludf.DUMMYFUNCTION("""COMPUTED_VALUE"""),"")</f>
        <v/>
      </c>
    </row>
    <row r="1688">
      <c r="A1688" s="1" t="str">
        <f>IFERROR(__xludf.DUMMYFUNCTION("""COMPUTED_VALUE"""),"DSQ")</f>
        <v>DSQ</v>
      </c>
      <c r="B1688" s="1">
        <f>IFERROR(__xludf.DUMMYFUNCTION("""COMPUTED_VALUE"""),5991.0)</f>
        <v>5991</v>
      </c>
      <c r="C1688" s="2" t="str">
        <f>IFERROR(__xludf.DUMMYFUNCTION("""COMPUTED_VALUE"""),"SAUT")</f>
        <v>SAUT</v>
      </c>
      <c r="D1688" s="2" t="str">
        <f>IFERROR(__xludf.DUMMYFUNCTION("""COMPUTED_VALUE"""),"5KM OVERALL F")</f>
        <v>5KM OVERALL F</v>
      </c>
      <c r="E1688" s="1" t="str">
        <f>IFERROR(__xludf.DUMMYFUNCTION("""COMPUTED_VALUE"""),"DSQ")</f>
        <v>DSQ</v>
      </c>
      <c r="F1688" s="1" t="str">
        <f>IFERROR(__xludf.DUMMYFUNCTION("""COMPUTED_VALUE"""),"Female")</f>
        <v>Female</v>
      </c>
      <c r="G1688" s="5" t="str">
        <f>IFERROR(__xludf.DUMMYFUNCTION("""COMPUTED_VALUE"""),"")</f>
        <v/>
      </c>
      <c r="H1688" s="15">
        <f>IFERROR(__xludf.DUMMYFUNCTION("""COMPUTED_VALUE"""),0.2549440625)</f>
        <v>0.2549440625</v>
      </c>
      <c r="I1688" s="15" t="str">
        <f>IFERROR(__xludf.DUMMYFUNCTION("""COMPUTED_VALUE"""),"")</f>
        <v/>
      </c>
      <c r="J1688" s="15" t="str">
        <f>IFERROR(__xludf.DUMMYFUNCTION("""COMPUTED_VALUE"""),"")</f>
        <v/>
      </c>
      <c r="K1688" s="15" t="str">
        <f>IFERROR(__xludf.DUMMYFUNCTION("""COMPUTED_VALUE"""),"")</f>
        <v/>
      </c>
      <c r="L1688" s="4" t="str">
        <f>IFERROR(__xludf.DUMMYFUNCTION("""COMPUTED_VALUE"""),"")</f>
        <v/>
      </c>
    </row>
    <row r="1689">
      <c r="A1689" s="1" t="str">
        <f>IFERROR(__xludf.DUMMYFUNCTION("""COMPUTED_VALUE"""),"DSQ")</f>
        <v>DSQ</v>
      </c>
      <c r="B1689" s="1">
        <f>IFERROR(__xludf.DUMMYFUNCTION("""COMPUTED_VALUE"""),6053.0)</f>
        <v>6053</v>
      </c>
      <c r="C1689" s="2" t="str">
        <f>IFERROR(__xludf.DUMMYFUNCTION("""COMPUTED_VALUE"""),"Ririn")</f>
        <v>Ririn</v>
      </c>
      <c r="D1689" s="2" t="str">
        <f>IFERROR(__xludf.DUMMYFUNCTION("""COMPUTED_VALUE"""),"5KM OVERALL F")</f>
        <v>5KM OVERALL F</v>
      </c>
      <c r="E1689" s="1" t="str">
        <f>IFERROR(__xludf.DUMMYFUNCTION("""COMPUTED_VALUE"""),"DSQ")</f>
        <v>DSQ</v>
      </c>
      <c r="F1689" s="1" t="str">
        <f>IFERROR(__xludf.DUMMYFUNCTION("""COMPUTED_VALUE"""),"Female")</f>
        <v>Female</v>
      </c>
      <c r="G1689" s="5" t="str">
        <f>IFERROR(__xludf.DUMMYFUNCTION("""COMPUTED_VALUE"""),"")</f>
        <v/>
      </c>
      <c r="H1689" s="15">
        <f>IFERROR(__xludf.DUMMYFUNCTION("""COMPUTED_VALUE"""),0.2549440625)</f>
        <v>0.2549440625</v>
      </c>
      <c r="I1689" s="15" t="str">
        <f>IFERROR(__xludf.DUMMYFUNCTION("""COMPUTED_VALUE"""),"")</f>
        <v/>
      </c>
      <c r="J1689" s="15" t="str">
        <f>IFERROR(__xludf.DUMMYFUNCTION("""COMPUTED_VALUE"""),"")</f>
        <v/>
      </c>
      <c r="K1689" s="15" t="str">
        <f>IFERROR(__xludf.DUMMYFUNCTION("""COMPUTED_VALUE"""),"")</f>
        <v/>
      </c>
      <c r="L1689" s="4" t="str">
        <f>IFERROR(__xludf.DUMMYFUNCTION("""COMPUTED_VALUE"""),"")</f>
        <v/>
      </c>
    </row>
    <row r="1690">
      <c r="A1690" s="1" t="str">
        <f>IFERROR(__xludf.DUMMYFUNCTION("""COMPUTED_VALUE"""),"DSQ")</f>
        <v>DSQ</v>
      </c>
      <c r="B1690" s="1">
        <f>IFERROR(__xludf.DUMMYFUNCTION("""COMPUTED_VALUE"""),6062.0)</f>
        <v>6062</v>
      </c>
      <c r="C1690" s="2" t="str">
        <f>IFERROR(__xludf.DUMMYFUNCTION("""COMPUTED_VALUE"""),"Dian A")</f>
        <v>Dian A</v>
      </c>
      <c r="D1690" s="2" t="str">
        <f>IFERROR(__xludf.DUMMYFUNCTION("""COMPUTED_VALUE"""),"5KM OVERALL F")</f>
        <v>5KM OVERALL F</v>
      </c>
      <c r="E1690" s="1" t="str">
        <f>IFERROR(__xludf.DUMMYFUNCTION("""COMPUTED_VALUE"""),"DSQ")</f>
        <v>DSQ</v>
      </c>
      <c r="F1690" s="1" t="str">
        <f>IFERROR(__xludf.DUMMYFUNCTION("""COMPUTED_VALUE"""),"Female")</f>
        <v>Female</v>
      </c>
      <c r="G1690" s="5" t="str">
        <f>IFERROR(__xludf.DUMMYFUNCTION("""COMPUTED_VALUE"""),"")</f>
        <v/>
      </c>
      <c r="H1690" s="15">
        <f>IFERROR(__xludf.DUMMYFUNCTION("""COMPUTED_VALUE"""),0.2549440625)</f>
        <v>0.2549440625</v>
      </c>
      <c r="I1690" s="15" t="str">
        <f>IFERROR(__xludf.DUMMYFUNCTION("""COMPUTED_VALUE"""),"")</f>
        <v/>
      </c>
      <c r="J1690" s="15" t="str">
        <f>IFERROR(__xludf.DUMMYFUNCTION("""COMPUTED_VALUE"""),"")</f>
        <v/>
      </c>
      <c r="K1690" s="15" t="str">
        <f>IFERROR(__xludf.DUMMYFUNCTION("""COMPUTED_VALUE"""),"")</f>
        <v/>
      </c>
      <c r="L1690" s="4" t="str">
        <f>IFERROR(__xludf.DUMMYFUNCTION("""COMPUTED_VALUE"""),"")</f>
        <v/>
      </c>
    </row>
    <row r="1691">
      <c r="A1691" s="1" t="str">
        <f>IFERROR(__xludf.DUMMYFUNCTION("""COMPUTED_VALUE"""),"DSQ")</f>
        <v>DSQ</v>
      </c>
      <c r="B1691" s="1">
        <f>IFERROR(__xludf.DUMMYFUNCTION("""COMPUTED_VALUE"""),6067.0)</f>
        <v>6067</v>
      </c>
      <c r="C1691" s="2" t="str">
        <f>IFERROR(__xludf.DUMMYFUNCTION("""COMPUTED_VALUE"""),"tri")</f>
        <v>tri</v>
      </c>
      <c r="D1691" s="2" t="str">
        <f>IFERROR(__xludf.DUMMYFUNCTION("""COMPUTED_VALUE"""),"5KM OVERALL F")</f>
        <v>5KM OVERALL F</v>
      </c>
      <c r="E1691" s="1" t="str">
        <f>IFERROR(__xludf.DUMMYFUNCTION("""COMPUTED_VALUE"""),"DSQ")</f>
        <v>DSQ</v>
      </c>
      <c r="F1691" s="1" t="str">
        <f>IFERROR(__xludf.DUMMYFUNCTION("""COMPUTED_VALUE"""),"Female")</f>
        <v>Female</v>
      </c>
      <c r="G1691" s="5" t="str">
        <f>IFERROR(__xludf.DUMMYFUNCTION("""COMPUTED_VALUE"""),"")</f>
        <v/>
      </c>
      <c r="H1691" s="15">
        <f>IFERROR(__xludf.DUMMYFUNCTION("""COMPUTED_VALUE"""),0.2549440625)</f>
        <v>0.2549440625</v>
      </c>
      <c r="I1691" s="15" t="str">
        <f>IFERROR(__xludf.DUMMYFUNCTION("""COMPUTED_VALUE"""),"")</f>
        <v/>
      </c>
      <c r="J1691" s="15" t="str">
        <f>IFERROR(__xludf.DUMMYFUNCTION("""COMPUTED_VALUE"""),"")</f>
        <v/>
      </c>
      <c r="K1691" s="15" t="str">
        <f>IFERROR(__xludf.DUMMYFUNCTION("""COMPUTED_VALUE"""),"")</f>
        <v/>
      </c>
      <c r="L1691" s="4" t="str">
        <f>IFERROR(__xludf.DUMMYFUNCTION("""COMPUTED_VALUE"""),"")</f>
        <v/>
      </c>
    </row>
    <row r="1692">
      <c r="A1692" s="1" t="str">
        <f>IFERROR(__xludf.DUMMYFUNCTION("""COMPUTED_VALUE"""),"DSQ")</f>
        <v>DSQ</v>
      </c>
      <c r="B1692" s="1">
        <f>IFERROR(__xludf.DUMMYFUNCTION("""COMPUTED_VALUE"""),6100.0)</f>
        <v>6100</v>
      </c>
      <c r="C1692" s="2" t="str">
        <f>IFERROR(__xludf.DUMMYFUNCTION("""COMPUTED_VALUE"""),"RESA")</f>
        <v>RESA</v>
      </c>
      <c r="D1692" s="2" t="str">
        <f>IFERROR(__xludf.DUMMYFUNCTION("""COMPUTED_VALUE"""),"5KM OVERALL F")</f>
        <v>5KM OVERALL F</v>
      </c>
      <c r="E1692" s="1" t="str">
        <f>IFERROR(__xludf.DUMMYFUNCTION("""COMPUTED_VALUE"""),"DSQ")</f>
        <v>DSQ</v>
      </c>
      <c r="F1692" s="1" t="str">
        <f>IFERROR(__xludf.DUMMYFUNCTION("""COMPUTED_VALUE"""),"Female")</f>
        <v>Female</v>
      </c>
      <c r="G1692" s="5" t="str">
        <f>IFERROR(__xludf.DUMMYFUNCTION("""COMPUTED_VALUE"""),"")</f>
        <v/>
      </c>
      <c r="H1692" s="15">
        <f>IFERROR(__xludf.DUMMYFUNCTION("""COMPUTED_VALUE"""),0.2549440625)</f>
        <v>0.2549440625</v>
      </c>
      <c r="I1692" s="15" t="str">
        <f>IFERROR(__xludf.DUMMYFUNCTION("""COMPUTED_VALUE"""),"")</f>
        <v/>
      </c>
      <c r="J1692" s="15" t="str">
        <f>IFERROR(__xludf.DUMMYFUNCTION("""COMPUTED_VALUE"""),"")</f>
        <v/>
      </c>
      <c r="K1692" s="15" t="str">
        <f>IFERROR(__xludf.DUMMYFUNCTION("""COMPUTED_VALUE"""),"")</f>
        <v/>
      </c>
      <c r="L1692" s="4" t="str">
        <f>IFERROR(__xludf.DUMMYFUNCTION("""COMPUTED_VALUE"""),"")</f>
        <v/>
      </c>
    </row>
    <row r="1693">
      <c r="A1693" s="1" t="str">
        <f>IFERROR(__xludf.DUMMYFUNCTION("""COMPUTED_VALUE"""),"DSQ")</f>
        <v>DSQ</v>
      </c>
      <c r="B1693" s="1">
        <f>IFERROR(__xludf.DUMMYFUNCTION("""COMPUTED_VALUE"""),6160.0)</f>
        <v>6160</v>
      </c>
      <c r="C1693" s="2" t="str">
        <f>IFERROR(__xludf.DUMMYFUNCTION("""COMPUTED_VALUE"""),"Cimas")</f>
        <v>Cimas</v>
      </c>
      <c r="D1693" s="2" t="str">
        <f>IFERROR(__xludf.DUMMYFUNCTION("""COMPUTED_VALUE"""),"5KM OVERALL F")</f>
        <v>5KM OVERALL F</v>
      </c>
      <c r="E1693" s="1" t="str">
        <f>IFERROR(__xludf.DUMMYFUNCTION("""COMPUTED_VALUE"""),"DSQ")</f>
        <v>DSQ</v>
      </c>
      <c r="F1693" s="1" t="str">
        <f>IFERROR(__xludf.DUMMYFUNCTION("""COMPUTED_VALUE"""),"Female")</f>
        <v>Female</v>
      </c>
      <c r="G1693" s="5">
        <f>IFERROR(__xludf.DUMMYFUNCTION("""COMPUTED_VALUE"""),0.006589280092592592)</f>
        <v>0.006589280093</v>
      </c>
      <c r="H1693" s="15">
        <f>IFERROR(__xludf.DUMMYFUNCTION("""COMPUTED_VALUE"""),0.2549440625)</f>
        <v>0.2549440625</v>
      </c>
      <c r="I1693" s="15">
        <f>IFERROR(__xludf.DUMMYFUNCTION("""COMPUTED_VALUE"""),45949.28789046274)</f>
        <v>45949.28789</v>
      </c>
      <c r="J1693" s="15">
        <f>IFERROR(__xludf.DUMMYFUNCTION("""COMPUTED_VALUE"""),45949.03294640024)</f>
        <v>45949.03295</v>
      </c>
      <c r="K1693" s="15" t="str">
        <f>IFERROR(__xludf.DUMMYFUNCTION("""COMPUTED_VALUE"""),"")</f>
        <v/>
      </c>
      <c r="L1693" s="4" t="str">
        <f>IFERROR(__xludf.DUMMYFUNCTION("""COMPUTED_VALUE"""),"")</f>
        <v/>
      </c>
    </row>
    <row r="1694">
      <c r="A1694" s="1" t="str">
        <f>IFERROR(__xludf.DUMMYFUNCTION("""COMPUTED_VALUE"""),"DSQ")</f>
        <v>DSQ</v>
      </c>
      <c r="B1694" s="1">
        <f>IFERROR(__xludf.DUMMYFUNCTION("""COMPUTED_VALUE"""),6163.0)</f>
        <v>6163</v>
      </c>
      <c r="C1694" s="2" t="str">
        <f>IFERROR(__xludf.DUMMYFUNCTION("""COMPUTED_VALUE"""),"Wita")</f>
        <v>Wita</v>
      </c>
      <c r="D1694" s="2" t="str">
        <f>IFERROR(__xludf.DUMMYFUNCTION("""COMPUTED_VALUE"""),"5KM OVERALL F")</f>
        <v>5KM OVERALL F</v>
      </c>
      <c r="E1694" s="1" t="str">
        <f>IFERROR(__xludf.DUMMYFUNCTION("""COMPUTED_VALUE"""),"DSQ")</f>
        <v>DSQ</v>
      </c>
      <c r="F1694" s="1" t="str">
        <f>IFERROR(__xludf.DUMMYFUNCTION("""COMPUTED_VALUE"""),"Female")</f>
        <v>Female</v>
      </c>
      <c r="G1694" s="5" t="str">
        <f>IFERROR(__xludf.DUMMYFUNCTION("""COMPUTED_VALUE"""),"")</f>
        <v/>
      </c>
      <c r="H1694" s="15">
        <f>IFERROR(__xludf.DUMMYFUNCTION("""COMPUTED_VALUE"""),0.2549440625)</f>
        <v>0.2549440625</v>
      </c>
      <c r="I1694" s="15" t="str">
        <f>IFERROR(__xludf.DUMMYFUNCTION("""COMPUTED_VALUE"""),"")</f>
        <v/>
      </c>
      <c r="J1694" s="15" t="str">
        <f>IFERROR(__xludf.DUMMYFUNCTION("""COMPUTED_VALUE"""),"")</f>
        <v/>
      </c>
      <c r="K1694" s="15" t="str">
        <f>IFERROR(__xludf.DUMMYFUNCTION("""COMPUTED_VALUE"""),"")</f>
        <v/>
      </c>
      <c r="L1694" s="4" t="str">
        <f>IFERROR(__xludf.DUMMYFUNCTION("""COMPUTED_VALUE"""),"")</f>
        <v/>
      </c>
    </row>
    <row r="1695">
      <c r="A1695" s="1" t="str">
        <f>IFERROR(__xludf.DUMMYFUNCTION("""COMPUTED_VALUE"""),"DSQ")</f>
        <v>DSQ</v>
      </c>
      <c r="B1695" s="1">
        <f>IFERROR(__xludf.DUMMYFUNCTION("""COMPUTED_VALUE"""),6168.0)</f>
        <v>6168</v>
      </c>
      <c r="C1695" s="2" t="str">
        <f>IFERROR(__xludf.DUMMYFUNCTION("""COMPUTED_VALUE"""),"Anisa")</f>
        <v>Anisa</v>
      </c>
      <c r="D1695" s="2" t="str">
        <f>IFERROR(__xludf.DUMMYFUNCTION("""COMPUTED_VALUE"""),"5KM OVERALL F")</f>
        <v>5KM OVERALL F</v>
      </c>
      <c r="E1695" s="1" t="str">
        <f>IFERROR(__xludf.DUMMYFUNCTION("""COMPUTED_VALUE"""),"DSQ")</f>
        <v>DSQ</v>
      </c>
      <c r="F1695" s="1" t="str">
        <f>IFERROR(__xludf.DUMMYFUNCTION("""COMPUTED_VALUE"""),"Female")</f>
        <v>Female</v>
      </c>
      <c r="G1695" s="5" t="str">
        <f>IFERROR(__xludf.DUMMYFUNCTION("""COMPUTED_VALUE"""),"")</f>
        <v/>
      </c>
      <c r="H1695" s="15">
        <f>IFERROR(__xludf.DUMMYFUNCTION("""COMPUTED_VALUE"""),0.2549440625)</f>
        <v>0.2549440625</v>
      </c>
      <c r="I1695" s="15" t="str">
        <f>IFERROR(__xludf.DUMMYFUNCTION("""COMPUTED_VALUE"""),"")</f>
        <v/>
      </c>
      <c r="J1695" s="15" t="str">
        <f>IFERROR(__xludf.DUMMYFUNCTION("""COMPUTED_VALUE"""),"")</f>
        <v/>
      </c>
      <c r="K1695" s="15" t="str">
        <f>IFERROR(__xludf.DUMMYFUNCTION("""COMPUTED_VALUE"""),"")</f>
        <v/>
      </c>
      <c r="L1695" s="4" t="str">
        <f>IFERROR(__xludf.DUMMYFUNCTION("""COMPUTED_VALUE"""),"")</f>
        <v/>
      </c>
    </row>
    <row r="1696">
      <c r="A1696" s="1" t="str">
        <f>IFERROR(__xludf.DUMMYFUNCTION("""COMPUTED_VALUE"""),"DSQ")</f>
        <v>DSQ</v>
      </c>
      <c r="B1696" s="1">
        <f>IFERROR(__xludf.DUMMYFUNCTION("""COMPUTED_VALUE"""),6198.0)</f>
        <v>6198</v>
      </c>
      <c r="C1696" s="2" t="str">
        <f>IFERROR(__xludf.DUMMYFUNCTION("""COMPUTED_VALUE"""),"Dwi")</f>
        <v>Dwi</v>
      </c>
      <c r="D1696" s="2" t="str">
        <f>IFERROR(__xludf.DUMMYFUNCTION("""COMPUTED_VALUE"""),"5KM OVERALL F")</f>
        <v>5KM OVERALL F</v>
      </c>
      <c r="E1696" s="1" t="str">
        <f>IFERROR(__xludf.DUMMYFUNCTION("""COMPUTED_VALUE"""),"DSQ")</f>
        <v>DSQ</v>
      </c>
      <c r="F1696" s="1" t="str">
        <f>IFERROR(__xludf.DUMMYFUNCTION("""COMPUTED_VALUE"""),"Female")</f>
        <v>Female</v>
      </c>
      <c r="G1696" s="5" t="str">
        <f>IFERROR(__xludf.DUMMYFUNCTION("""COMPUTED_VALUE"""),"")</f>
        <v/>
      </c>
      <c r="H1696" s="15">
        <f>IFERROR(__xludf.DUMMYFUNCTION("""COMPUTED_VALUE"""),0.2549440625)</f>
        <v>0.2549440625</v>
      </c>
      <c r="I1696" s="15" t="str">
        <f>IFERROR(__xludf.DUMMYFUNCTION("""COMPUTED_VALUE"""),"")</f>
        <v/>
      </c>
      <c r="J1696" s="15" t="str">
        <f>IFERROR(__xludf.DUMMYFUNCTION("""COMPUTED_VALUE"""),"")</f>
        <v/>
      </c>
      <c r="K1696" s="15" t="str">
        <f>IFERROR(__xludf.DUMMYFUNCTION("""COMPUTED_VALUE"""),"")</f>
        <v/>
      </c>
      <c r="L1696" s="4" t="str">
        <f>IFERROR(__xludf.DUMMYFUNCTION("""COMPUTED_VALUE"""),"")</f>
        <v/>
      </c>
    </row>
    <row r="1697">
      <c r="A1697" s="1" t="str">
        <f>IFERROR(__xludf.DUMMYFUNCTION("""COMPUTED_VALUE"""),"DSQ")</f>
        <v>DSQ</v>
      </c>
      <c r="B1697" s="1">
        <f>IFERROR(__xludf.DUMMYFUNCTION("""COMPUTED_VALUE"""),6200.0)</f>
        <v>6200</v>
      </c>
      <c r="C1697" s="2" t="str">
        <f>IFERROR(__xludf.DUMMYFUNCTION("""COMPUTED_VALUE"""),"Restu Shafya Maharani")</f>
        <v>Restu Shafya Maharani</v>
      </c>
      <c r="D1697" s="2" t="str">
        <f>IFERROR(__xludf.DUMMYFUNCTION("""COMPUTED_VALUE"""),"5KM OVERALL F")</f>
        <v>5KM OVERALL F</v>
      </c>
      <c r="E1697" s="1" t="str">
        <f>IFERROR(__xludf.DUMMYFUNCTION("""COMPUTED_VALUE"""),"DSQ")</f>
        <v>DSQ</v>
      </c>
      <c r="F1697" s="1" t="str">
        <f>IFERROR(__xludf.DUMMYFUNCTION("""COMPUTED_VALUE"""),"Female")</f>
        <v>Female</v>
      </c>
      <c r="G1697" s="5" t="str">
        <f>IFERROR(__xludf.DUMMYFUNCTION("""COMPUTED_VALUE"""),"")</f>
        <v/>
      </c>
      <c r="H1697" s="15">
        <f>IFERROR(__xludf.DUMMYFUNCTION("""COMPUTED_VALUE"""),0.2549440625)</f>
        <v>0.2549440625</v>
      </c>
      <c r="I1697" s="15" t="str">
        <f>IFERROR(__xludf.DUMMYFUNCTION("""COMPUTED_VALUE"""),"")</f>
        <v/>
      </c>
      <c r="J1697" s="15" t="str">
        <f>IFERROR(__xludf.DUMMYFUNCTION("""COMPUTED_VALUE"""),"")</f>
        <v/>
      </c>
      <c r="K1697" s="15" t="str">
        <f>IFERROR(__xludf.DUMMYFUNCTION("""COMPUTED_VALUE"""),"")</f>
        <v/>
      </c>
      <c r="L1697" s="4" t="str">
        <f>IFERROR(__xludf.DUMMYFUNCTION("""COMPUTED_VALUE"""),"")</f>
        <v/>
      </c>
    </row>
    <row r="1698">
      <c r="A1698" s="1" t="str">
        <f>IFERROR(__xludf.DUMMYFUNCTION("""COMPUTED_VALUE"""),"DSQ")</f>
        <v>DSQ</v>
      </c>
      <c r="B1698" s="1">
        <f>IFERROR(__xludf.DUMMYFUNCTION("""COMPUTED_VALUE"""),6221.0)</f>
        <v>6221</v>
      </c>
      <c r="C1698" s="2" t="str">
        <f>IFERROR(__xludf.DUMMYFUNCTION("""COMPUTED_VALUE"""),"ASTRI")</f>
        <v>ASTRI</v>
      </c>
      <c r="D1698" s="2" t="str">
        <f>IFERROR(__xludf.DUMMYFUNCTION("""COMPUTED_VALUE"""),"5KM OVERALL F")</f>
        <v>5KM OVERALL F</v>
      </c>
      <c r="E1698" s="1" t="str">
        <f>IFERROR(__xludf.DUMMYFUNCTION("""COMPUTED_VALUE"""),"DSQ")</f>
        <v>DSQ</v>
      </c>
      <c r="F1698" s="1" t="str">
        <f>IFERROR(__xludf.DUMMYFUNCTION("""COMPUTED_VALUE"""),"Female")</f>
        <v>Female</v>
      </c>
      <c r="G1698" s="5" t="str">
        <f>IFERROR(__xludf.DUMMYFUNCTION("""COMPUTED_VALUE"""),"")</f>
        <v/>
      </c>
      <c r="H1698" s="15">
        <f>IFERROR(__xludf.DUMMYFUNCTION("""COMPUTED_VALUE"""),0.2549440625)</f>
        <v>0.2549440625</v>
      </c>
      <c r="I1698" s="15" t="str">
        <f>IFERROR(__xludf.DUMMYFUNCTION("""COMPUTED_VALUE"""),"")</f>
        <v/>
      </c>
      <c r="J1698" s="15" t="str">
        <f>IFERROR(__xludf.DUMMYFUNCTION("""COMPUTED_VALUE"""),"")</f>
        <v/>
      </c>
      <c r="K1698" s="15" t="str">
        <f>IFERROR(__xludf.DUMMYFUNCTION("""COMPUTED_VALUE"""),"")</f>
        <v/>
      </c>
      <c r="L1698" s="4" t="str">
        <f>IFERROR(__xludf.DUMMYFUNCTION("""COMPUTED_VALUE"""),"")</f>
        <v/>
      </c>
    </row>
    <row r="1699">
      <c r="A1699" s="1" t="str">
        <f>IFERROR(__xludf.DUMMYFUNCTION("""COMPUTED_VALUE"""),"DSQ")</f>
        <v>DSQ</v>
      </c>
      <c r="B1699" s="1">
        <f>IFERROR(__xludf.DUMMYFUNCTION("""COMPUTED_VALUE"""),6223.0)</f>
        <v>6223</v>
      </c>
      <c r="C1699" s="2" t="str">
        <f>IFERROR(__xludf.DUMMYFUNCTION("""COMPUTED_VALUE"""),"ERMIN SRI WULANDARI")</f>
        <v>ERMIN SRI WULANDARI</v>
      </c>
      <c r="D1699" s="2" t="str">
        <f>IFERROR(__xludf.DUMMYFUNCTION("""COMPUTED_VALUE"""),"5KM OVERALL F")</f>
        <v>5KM OVERALL F</v>
      </c>
      <c r="E1699" s="1" t="str">
        <f>IFERROR(__xludf.DUMMYFUNCTION("""COMPUTED_VALUE"""),"DSQ")</f>
        <v>DSQ</v>
      </c>
      <c r="F1699" s="1" t="str">
        <f>IFERROR(__xludf.DUMMYFUNCTION("""COMPUTED_VALUE"""),"Female")</f>
        <v>Female</v>
      </c>
      <c r="G1699" s="5" t="str">
        <f>IFERROR(__xludf.DUMMYFUNCTION("""COMPUTED_VALUE"""),"")</f>
        <v/>
      </c>
      <c r="H1699" s="15">
        <f>IFERROR(__xludf.DUMMYFUNCTION("""COMPUTED_VALUE"""),0.2549440625)</f>
        <v>0.2549440625</v>
      </c>
      <c r="I1699" s="15" t="str">
        <f>IFERROR(__xludf.DUMMYFUNCTION("""COMPUTED_VALUE"""),"")</f>
        <v/>
      </c>
      <c r="J1699" s="15" t="str">
        <f>IFERROR(__xludf.DUMMYFUNCTION("""COMPUTED_VALUE"""),"")</f>
        <v/>
      </c>
      <c r="K1699" s="15" t="str">
        <f>IFERROR(__xludf.DUMMYFUNCTION("""COMPUTED_VALUE"""),"")</f>
        <v/>
      </c>
      <c r="L1699" s="4" t="str">
        <f>IFERROR(__xludf.DUMMYFUNCTION("""COMPUTED_VALUE"""),"")</f>
        <v/>
      </c>
    </row>
    <row r="1700">
      <c r="A1700" s="1" t="str">
        <f>IFERROR(__xludf.DUMMYFUNCTION("""COMPUTED_VALUE"""),"DSQ")</f>
        <v>DSQ</v>
      </c>
      <c r="B1700" s="1">
        <f>IFERROR(__xludf.DUMMYFUNCTION("""COMPUTED_VALUE"""),6233.0)</f>
        <v>6233</v>
      </c>
      <c r="C1700" s="2" t="str">
        <f>IFERROR(__xludf.DUMMYFUNCTION("""COMPUTED_VALUE"""),"Teny Ariana")</f>
        <v>Teny Ariana</v>
      </c>
      <c r="D1700" s="2" t="str">
        <f>IFERROR(__xludf.DUMMYFUNCTION("""COMPUTED_VALUE"""),"5KM OVERALL F")</f>
        <v>5KM OVERALL F</v>
      </c>
      <c r="E1700" s="1" t="str">
        <f>IFERROR(__xludf.DUMMYFUNCTION("""COMPUTED_VALUE"""),"DSQ")</f>
        <v>DSQ</v>
      </c>
      <c r="F1700" s="1" t="str">
        <f>IFERROR(__xludf.DUMMYFUNCTION("""COMPUTED_VALUE"""),"Female")</f>
        <v>Female</v>
      </c>
      <c r="G1700" s="5" t="str">
        <f>IFERROR(__xludf.DUMMYFUNCTION("""COMPUTED_VALUE"""),"")</f>
        <v/>
      </c>
      <c r="H1700" s="15">
        <f>IFERROR(__xludf.DUMMYFUNCTION("""COMPUTED_VALUE"""),0.2549440625)</f>
        <v>0.2549440625</v>
      </c>
      <c r="I1700" s="15" t="str">
        <f>IFERROR(__xludf.DUMMYFUNCTION("""COMPUTED_VALUE"""),"")</f>
        <v/>
      </c>
      <c r="J1700" s="15" t="str">
        <f>IFERROR(__xludf.DUMMYFUNCTION("""COMPUTED_VALUE"""),"")</f>
        <v/>
      </c>
      <c r="K1700" s="15" t="str">
        <f>IFERROR(__xludf.DUMMYFUNCTION("""COMPUTED_VALUE"""),"")</f>
        <v/>
      </c>
      <c r="L1700" s="4" t="str">
        <f>IFERROR(__xludf.DUMMYFUNCTION("""COMPUTED_VALUE"""),"")</f>
        <v/>
      </c>
    </row>
    <row r="1701">
      <c r="A1701" s="1" t="str">
        <f>IFERROR(__xludf.DUMMYFUNCTION("""COMPUTED_VALUE"""),"DSQ")</f>
        <v>DSQ</v>
      </c>
      <c r="B1701" s="1">
        <f>IFERROR(__xludf.DUMMYFUNCTION("""COMPUTED_VALUE"""),6242.0)</f>
        <v>6242</v>
      </c>
      <c r="C1701" s="2" t="str">
        <f>IFERROR(__xludf.DUMMYFUNCTION("""COMPUTED_VALUE"""),"Endah Trianingtyas")</f>
        <v>Endah Trianingtyas</v>
      </c>
      <c r="D1701" s="2" t="str">
        <f>IFERROR(__xludf.DUMMYFUNCTION("""COMPUTED_VALUE"""),"5KM OVERALL F")</f>
        <v>5KM OVERALL F</v>
      </c>
      <c r="E1701" s="1" t="str">
        <f>IFERROR(__xludf.DUMMYFUNCTION("""COMPUTED_VALUE"""),"DSQ")</f>
        <v>DSQ</v>
      </c>
      <c r="F1701" s="1" t="str">
        <f>IFERROR(__xludf.DUMMYFUNCTION("""COMPUTED_VALUE"""),"Female")</f>
        <v>Female</v>
      </c>
      <c r="G1701" s="5">
        <f>IFERROR(__xludf.DUMMYFUNCTION("""COMPUTED_VALUE"""),0.003708712962962963)</f>
        <v>0.003708712963</v>
      </c>
      <c r="H1701" s="15">
        <f>IFERROR(__xludf.DUMMYFUNCTION("""COMPUTED_VALUE"""),0.2549440625)</f>
        <v>0.2549440625</v>
      </c>
      <c r="I1701" s="15">
        <f>IFERROR(__xludf.DUMMYFUNCTION("""COMPUTED_VALUE"""),45949.2734876296)</f>
        <v>45949.27349</v>
      </c>
      <c r="J1701" s="15">
        <f>IFERROR(__xludf.DUMMYFUNCTION("""COMPUTED_VALUE"""),45949.0185435671)</f>
        <v>45949.01854</v>
      </c>
      <c r="K1701" s="15">
        <f>IFERROR(__xludf.DUMMYFUNCTION("""COMPUTED_VALUE"""),45949.26583230322)</f>
        <v>45949.26583</v>
      </c>
      <c r="L1701" s="4"/>
    </row>
    <row r="1702">
      <c r="A1702" s="1" t="str">
        <f>IFERROR(__xludf.DUMMYFUNCTION("""COMPUTED_VALUE"""),"DSQ")</f>
        <v>DSQ</v>
      </c>
      <c r="B1702" s="1">
        <f>IFERROR(__xludf.DUMMYFUNCTION("""COMPUTED_VALUE"""),6310.0)</f>
        <v>6310</v>
      </c>
      <c r="C1702" s="2" t="str">
        <f>IFERROR(__xludf.DUMMYFUNCTION("""COMPUTED_VALUE"""),"Putri")</f>
        <v>Putri</v>
      </c>
      <c r="D1702" s="2" t="str">
        <f>IFERROR(__xludf.DUMMYFUNCTION("""COMPUTED_VALUE"""),"5KM OVERALL F")</f>
        <v>5KM OVERALL F</v>
      </c>
      <c r="E1702" s="1" t="str">
        <f>IFERROR(__xludf.DUMMYFUNCTION("""COMPUTED_VALUE"""),"DSQ")</f>
        <v>DSQ</v>
      </c>
      <c r="F1702" s="1" t="str">
        <f>IFERROR(__xludf.DUMMYFUNCTION("""COMPUTED_VALUE"""),"Female")</f>
        <v>Female</v>
      </c>
      <c r="G1702" s="5" t="str">
        <f>IFERROR(__xludf.DUMMYFUNCTION("""COMPUTED_VALUE"""),"")</f>
        <v/>
      </c>
      <c r="H1702" s="15">
        <f>IFERROR(__xludf.DUMMYFUNCTION("""COMPUTED_VALUE"""),0.2549440625)</f>
        <v>0.2549440625</v>
      </c>
      <c r="I1702" s="15" t="str">
        <f>IFERROR(__xludf.DUMMYFUNCTION("""COMPUTED_VALUE"""),"")</f>
        <v/>
      </c>
      <c r="J1702" s="15" t="str">
        <f>IFERROR(__xludf.DUMMYFUNCTION("""COMPUTED_VALUE"""),"")</f>
        <v/>
      </c>
      <c r="K1702" s="15" t="str">
        <f>IFERROR(__xludf.DUMMYFUNCTION("""COMPUTED_VALUE"""),"")</f>
        <v/>
      </c>
      <c r="L1702" s="4" t="str">
        <f>IFERROR(__xludf.DUMMYFUNCTION("""COMPUTED_VALUE"""),"")</f>
        <v/>
      </c>
    </row>
    <row r="1703">
      <c r="A1703" s="1" t="str">
        <f>IFERROR(__xludf.DUMMYFUNCTION("""COMPUTED_VALUE"""),"DSQ")</f>
        <v>DSQ</v>
      </c>
      <c r="B1703" s="1">
        <f>IFERROR(__xludf.DUMMYFUNCTION("""COMPUTED_VALUE"""),6314.0)</f>
        <v>6314</v>
      </c>
      <c r="C1703" s="2" t="str">
        <f>IFERROR(__xludf.DUMMYFUNCTION("""COMPUTED_VALUE"""),"RENNY")</f>
        <v>RENNY</v>
      </c>
      <c r="D1703" s="2" t="str">
        <f>IFERROR(__xludf.DUMMYFUNCTION("""COMPUTED_VALUE"""),"5KM OVERALL F")</f>
        <v>5KM OVERALL F</v>
      </c>
      <c r="E1703" s="1" t="str">
        <f>IFERROR(__xludf.DUMMYFUNCTION("""COMPUTED_VALUE"""),"DSQ")</f>
        <v>DSQ</v>
      </c>
      <c r="F1703" s="1" t="str">
        <f>IFERROR(__xludf.DUMMYFUNCTION("""COMPUTED_VALUE"""),"Female")</f>
        <v>Female</v>
      </c>
      <c r="G1703" s="5" t="str">
        <f>IFERROR(__xludf.DUMMYFUNCTION("""COMPUTED_VALUE"""),"")</f>
        <v/>
      </c>
      <c r="H1703" s="15">
        <f>IFERROR(__xludf.DUMMYFUNCTION("""COMPUTED_VALUE"""),0.2549440625)</f>
        <v>0.2549440625</v>
      </c>
      <c r="I1703" s="15" t="str">
        <f>IFERROR(__xludf.DUMMYFUNCTION("""COMPUTED_VALUE"""),"")</f>
        <v/>
      </c>
      <c r="J1703" s="15" t="str">
        <f>IFERROR(__xludf.DUMMYFUNCTION("""COMPUTED_VALUE"""),"")</f>
        <v/>
      </c>
      <c r="K1703" s="15" t="str">
        <f>IFERROR(__xludf.DUMMYFUNCTION("""COMPUTED_VALUE"""),"")</f>
        <v/>
      </c>
      <c r="L1703" s="4" t="str">
        <f>IFERROR(__xludf.DUMMYFUNCTION("""COMPUTED_VALUE"""),"")</f>
        <v/>
      </c>
    </row>
    <row r="1704">
      <c r="A1704" s="1" t="str">
        <f>IFERROR(__xludf.DUMMYFUNCTION("""COMPUTED_VALUE"""),"DSQ")</f>
        <v>DSQ</v>
      </c>
      <c r="B1704" s="1">
        <f>IFERROR(__xludf.DUMMYFUNCTION("""COMPUTED_VALUE"""),6351.0)</f>
        <v>6351</v>
      </c>
      <c r="C1704" s="2" t="str">
        <f>IFERROR(__xludf.DUMMYFUNCTION("""COMPUTED_VALUE"""),"Mama Zayn")</f>
        <v>Mama Zayn</v>
      </c>
      <c r="D1704" s="2" t="str">
        <f>IFERROR(__xludf.DUMMYFUNCTION("""COMPUTED_VALUE"""),"5KM OVERALL F")</f>
        <v>5KM OVERALL F</v>
      </c>
      <c r="E1704" s="1" t="str">
        <f>IFERROR(__xludf.DUMMYFUNCTION("""COMPUTED_VALUE"""),"DSQ")</f>
        <v>DSQ</v>
      </c>
      <c r="F1704" s="1" t="str">
        <f>IFERROR(__xludf.DUMMYFUNCTION("""COMPUTED_VALUE"""),"Female")</f>
        <v>Female</v>
      </c>
      <c r="G1704" s="5" t="str">
        <f>IFERROR(__xludf.DUMMYFUNCTION("""COMPUTED_VALUE"""),"")</f>
        <v/>
      </c>
      <c r="H1704" s="15">
        <f>IFERROR(__xludf.DUMMYFUNCTION("""COMPUTED_VALUE"""),0.2549440625)</f>
        <v>0.2549440625</v>
      </c>
      <c r="I1704" s="15" t="str">
        <f>IFERROR(__xludf.DUMMYFUNCTION("""COMPUTED_VALUE"""),"")</f>
        <v/>
      </c>
      <c r="J1704" s="15" t="str">
        <f>IFERROR(__xludf.DUMMYFUNCTION("""COMPUTED_VALUE"""),"")</f>
        <v/>
      </c>
      <c r="K1704" s="15" t="str">
        <f>IFERROR(__xludf.DUMMYFUNCTION("""COMPUTED_VALUE"""),"")</f>
        <v/>
      </c>
      <c r="L1704" s="4" t="str">
        <f>IFERROR(__xludf.DUMMYFUNCTION("""COMPUTED_VALUE"""),"")</f>
        <v/>
      </c>
    </row>
    <row r="1705">
      <c r="A1705" s="1" t="str">
        <f>IFERROR(__xludf.DUMMYFUNCTION("""COMPUTED_VALUE"""),"DSQ")</f>
        <v>DSQ</v>
      </c>
      <c r="B1705" s="1">
        <f>IFERROR(__xludf.DUMMYFUNCTION("""COMPUTED_VALUE"""),6384.0)</f>
        <v>6384</v>
      </c>
      <c r="C1705" s="2" t="str">
        <f>IFERROR(__xludf.DUMMYFUNCTION("""COMPUTED_VALUE"""),"An_nisaw")</f>
        <v>An_nisaw</v>
      </c>
      <c r="D1705" s="2" t="str">
        <f>IFERROR(__xludf.DUMMYFUNCTION("""COMPUTED_VALUE"""),"5KM OVERALL F")</f>
        <v>5KM OVERALL F</v>
      </c>
      <c r="E1705" s="1" t="str">
        <f>IFERROR(__xludf.DUMMYFUNCTION("""COMPUTED_VALUE"""),"DSQ")</f>
        <v>DSQ</v>
      </c>
      <c r="F1705" s="1" t="str">
        <f>IFERROR(__xludf.DUMMYFUNCTION("""COMPUTED_VALUE"""),"Female")</f>
        <v>Female</v>
      </c>
      <c r="G1705" s="5" t="str">
        <f>IFERROR(__xludf.DUMMYFUNCTION("""COMPUTED_VALUE"""),"")</f>
        <v/>
      </c>
      <c r="H1705" s="15">
        <f>IFERROR(__xludf.DUMMYFUNCTION("""COMPUTED_VALUE"""),0.2549440625)</f>
        <v>0.2549440625</v>
      </c>
      <c r="I1705" s="15" t="str">
        <f>IFERROR(__xludf.DUMMYFUNCTION("""COMPUTED_VALUE"""),"")</f>
        <v/>
      </c>
      <c r="J1705" s="15" t="str">
        <f>IFERROR(__xludf.DUMMYFUNCTION("""COMPUTED_VALUE"""),"")</f>
        <v/>
      </c>
      <c r="K1705" s="15" t="str">
        <f>IFERROR(__xludf.DUMMYFUNCTION("""COMPUTED_VALUE"""),"")</f>
        <v/>
      </c>
      <c r="L1705" s="4" t="str">
        <f>IFERROR(__xludf.DUMMYFUNCTION("""COMPUTED_VALUE"""),"")</f>
        <v/>
      </c>
    </row>
    <row r="1706">
      <c r="A1706" s="1" t="str">
        <f>IFERROR(__xludf.DUMMYFUNCTION("""COMPUTED_VALUE"""),"DSQ")</f>
        <v>DSQ</v>
      </c>
      <c r="B1706" s="1">
        <f>IFERROR(__xludf.DUMMYFUNCTION("""COMPUTED_VALUE"""),6401.0)</f>
        <v>6401</v>
      </c>
      <c r="C1706" s="2" t="str">
        <f>IFERROR(__xludf.DUMMYFUNCTION("""COMPUTED_VALUE"""),"Awin")</f>
        <v>Awin</v>
      </c>
      <c r="D1706" s="2" t="str">
        <f>IFERROR(__xludf.DUMMYFUNCTION("""COMPUTED_VALUE"""),"5KM OVERALL F")</f>
        <v>5KM OVERALL F</v>
      </c>
      <c r="E1706" s="1" t="str">
        <f>IFERROR(__xludf.DUMMYFUNCTION("""COMPUTED_VALUE"""),"DSQ")</f>
        <v>DSQ</v>
      </c>
      <c r="F1706" s="1" t="str">
        <f>IFERROR(__xludf.DUMMYFUNCTION("""COMPUTED_VALUE"""),"Female")</f>
        <v>Female</v>
      </c>
      <c r="G1706" s="5" t="str">
        <f>IFERROR(__xludf.DUMMYFUNCTION("""COMPUTED_VALUE"""),"")</f>
        <v/>
      </c>
      <c r="H1706" s="15">
        <f>IFERROR(__xludf.DUMMYFUNCTION("""COMPUTED_VALUE"""),0.2549440625)</f>
        <v>0.2549440625</v>
      </c>
      <c r="I1706" s="15" t="str">
        <f>IFERROR(__xludf.DUMMYFUNCTION("""COMPUTED_VALUE"""),"")</f>
        <v/>
      </c>
      <c r="J1706" s="15" t="str">
        <f>IFERROR(__xludf.DUMMYFUNCTION("""COMPUTED_VALUE"""),"")</f>
        <v/>
      </c>
      <c r="K1706" s="15" t="str">
        <f>IFERROR(__xludf.DUMMYFUNCTION("""COMPUTED_VALUE"""),"")</f>
        <v/>
      </c>
      <c r="L1706" s="4" t="str">
        <f>IFERROR(__xludf.DUMMYFUNCTION("""COMPUTED_VALUE"""),"")</f>
        <v/>
      </c>
    </row>
    <row r="1707">
      <c r="A1707" s="1" t="str">
        <f>IFERROR(__xludf.DUMMYFUNCTION("""COMPUTED_VALUE"""),"DSQ")</f>
        <v>DSQ</v>
      </c>
      <c r="B1707" s="1">
        <f>IFERROR(__xludf.DUMMYFUNCTION("""COMPUTED_VALUE"""),6447.0)</f>
        <v>6447</v>
      </c>
      <c r="C1707" s="2" t="str">
        <f>IFERROR(__xludf.DUMMYFUNCTION("""COMPUTED_VALUE"""),"KAPOLRES PIUS")</f>
        <v>KAPOLRES PIUS</v>
      </c>
      <c r="D1707" s="2" t="str">
        <f>IFERROR(__xludf.DUMMYFUNCTION("""COMPUTED_VALUE"""),"5KM OVERALL F")</f>
        <v>5KM OVERALL F</v>
      </c>
      <c r="E1707" s="1" t="str">
        <f>IFERROR(__xludf.DUMMYFUNCTION("""COMPUTED_VALUE"""),"DSQ")</f>
        <v>DSQ</v>
      </c>
      <c r="F1707" s="1" t="str">
        <f>IFERROR(__xludf.DUMMYFUNCTION("""COMPUTED_VALUE"""),"Female")</f>
        <v>Female</v>
      </c>
      <c r="G1707" s="5" t="str">
        <f>IFERROR(__xludf.DUMMYFUNCTION("""COMPUTED_VALUE"""),"")</f>
        <v/>
      </c>
      <c r="H1707" s="15">
        <f>IFERROR(__xludf.DUMMYFUNCTION("""COMPUTED_VALUE"""),0.2549440625)</f>
        <v>0.2549440625</v>
      </c>
      <c r="I1707" s="15" t="str">
        <f>IFERROR(__xludf.DUMMYFUNCTION("""COMPUTED_VALUE"""),"")</f>
        <v/>
      </c>
      <c r="J1707" s="15" t="str">
        <f>IFERROR(__xludf.DUMMYFUNCTION("""COMPUTED_VALUE"""),"")</f>
        <v/>
      </c>
      <c r="K1707" s="15" t="str">
        <f>IFERROR(__xludf.DUMMYFUNCTION("""COMPUTED_VALUE"""),"")</f>
        <v/>
      </c>
      <c r="L1707" s="4" t="str">
        <f>IFERROR(__xludf.DUMMYFUNCTION("""COMPUTED_VALUE"""),"")</f>
        <v/>
      </c>
    </row>
    <row r="1708">
      <c r="A1708" s="1" t="str">
        <f>IFERROR(__xludf.DUMMYFUNCTION("""COMPUTED_VALUE"""),"DSQ")</f>
        <v>DSQ</v>
      </c>
      <c r="B1708" s="1">
        <f>IFERROR(__xludf.DUMMYFUNCTION("""COMPUTED_VALUE"""),6449.0)</f>
        <v>6449</v>
      </c>
      <c r="C1708" s="2" t="str">
        <f>IFERROR(__xludf.DUMMYFUNCTION("""COMPUTED_VALUE"""),"OPI")</f>
        <v>OPI</v>
      </c>
      <c r="D1708" s="2" t="str">
        <f>IFERROR(__xludf.DUMMYFUNCTION("""COMPUTED_VALUE"""),"5KM OVERALL F")</f>
        <v>5KM OVERALL F</v>
      </c>
      <c r="E1708" s="1" t="str">
        <f>IFERROR(__xludf.DUMMYFUNCTION("""COMPUTED_VALUE"""),"DSQ")</f>
        <v>DSQ</v>
      </c>
      <c r="F1708" s="1" t="str">
        <f>IFERROR(__xludf.DUMMYFUNCTION("""COMPUTED_VALUE"""),"Female")</f>
        <v>Female</v>
      </c>
      <c r="G1708" s="5" t="str">
        <f>IFERROR(__xludf.DUMMYFUNCTION("""COMPUTED_VALUE"""),"")</f>
        <v/>
      </c>
      <c r="H1708" s="15">
        <f>IFERROR(__xludf.DUMMYFUNCTION("""COMPUTED_VALUE"""),0.2549440625)</f>
        <v>0.2549440625</v>
      </c>
      <c r="I1708" s="15" t="str">
        <f>IFERROR(__xludf.DUMMYFUNCTION("""COMPUTED_VALUE"""),"")</f>
        <v/>
      </c>
      <c r="J1708" s="15" t="str">
        <f>IFERROR(__xludf.DUMMYFUNCTION("""COMPUTED_VALUE"""),"")</f>
        <v/>
      </c>
      <c r="K1708" s="15" t="str">
        <f>IFERROR(__xludf.DUMMYFUNCTION("""COMPUTED_VALUE"""),"")</f>
        <v/>
      </c>
      <c r="L1708" s="4" t="str">
        <f>IFERROR(__xludf.DUMMYFUNCTION("""COMPUTED_VALUE"""),"")</f>
        <v/>
      </c>
    </row>
    <row r="1709">
      <c r="A1709" s="1" t="str">
        <f>IFERROR(__xludf.DUMMYFUNCTION("""COMPUTED_VALUE"""),"DSQ")</f>
        <v>DSQ</v>
      </c>
      <c r="B1709" s="1">
        <f>IFERROR(__xludf.DUMMYFUNCTION("""COMPUTED_VALUE"""),6532.0)</f>
        <v>6532</v>
      </c>
      <c r="C1709" s="2" t="str">
        <f>IFERROR(__xludf.DUMMYFUNCTION("""COMPUTED_VALUE"""),"DIAN TRI SASONO")</f>
        <v>DIAN TRI SASONO</v>
      </c>
      <c r="D1709" s="2" t="str">
        <f>IFERROR(__xludf.DUMMYFUNCTION("""COMPUTED_VALUE"""),"5KM OVERALL F")</f>
        <v>5KM OVERALL F</v>
      </c>
      <c r="E1709" s="1" t="str">
        <f>IFERROR(__xludf.DUMMYFUNCTION("""COMPUTED_VALUE"""),"DSQ")</f>
        <v>DSQ</v>
      </c>
      <c r="F1709" s="1" t="str">
        <f>IFERROR(__xludf.DUMMYFUNCTION("""COMPUTED_VALUE"""),"Female")</f>
        <v>Female</v>
      </c>
      <c r="G1709" s="5" t="str">
        <f>IFERROR(__xludf.DUMMYFUNCTION("""COMPUTED_VALUE"""),"")</f>
        <v/>
      </c>
      <c r="H1709" s="15">
        <f>IFERROR(__xludf.DUMMYFUNCTION("""COMPUTED_VALUE"""),0.2549440625)</f>
        <v>0.2549440625</v>
      </c>
      <c r="I1709" s="15" t="str">
        <f>IFERROR(__xludf.DUMMYFUNCTION("""COMPUTED_VALUE"""),"")</f>
        <v/>
      </c>
      <c r="J1709" s="15" t="str">
        <f>IFERROR(__xludf.DUMMYFUNCTION("""COMPUTED_VALUE"""),"")</f>
        <v/>
      </c>
      <c r="K1709" s="15" t="str">
        <f>IFERROR(__xludf.DUMMYFUNCTION("""COMPUTED_VALUE"""),"")</f>
        <v/>
      </c>
      <c r="L1709" s="4" t="str">
        <f>IFERROR(__xludf.DUMMYFUNCTION("""COMPUTED_VALUE"""),"")</f>
        <v/>
      </c>
    </row>
    <row r="1710">
      <c r="A1710" s="1" t="str">
        <f>IFERROR(__xludf.DUMMYFUNCTION("""COMPUTED_VALUE"""),"DSQ")</f>
        <v>DSQ</v>
      </c>
      <c r="B1710" s="1">
        <f>IFERROR(__xludf.DUMMYFUNCTION("""COMPUTED_VALUE"""),6534.0)</f>
        <v>6534</v>
      </c>
      <c r="C1710" s="2" t="str">
        <f>IFERROR(__xludf.DUMMYFUNCTION("""COMPUTED_VALUE"""),"EVALINDA SITUMEANG")</f>
        <v>EVALINDA SITUMEANG</v>
      </c>
      <c r="D1710" s="2" t="str">
        <f>IFERROR(__xludf.DUMMYFUNCTION("""COMPUTED_VALUE"""),"5KM OVERALL F")</f>
        <v>5KM OVERALL F</v>
      </c>
      <c r="E1710" s="1" t="str">
        <f>IFERROR(__xludf.DUMMYFUNCTION("""COMPUTED_VALUE"""),"DSQ")</f>
        <v>DSQ</v>
      </c>
      <c r="F1710" s="1" t="str">
        <f>IFERROR(__xludf.DUMMYFUNCTION("""COMPUTED_VALUE"""),"Female")</f>
        <v>Female</v>
      </c>
      <c r="G1710" s="5" t="str">
        <f>IFERROR(__xludf.DUMMYFUNCTION("""COMPUTED_VALUE"""),"")</f>
        <v/>
      </c>
      <c r="H1710" s="15">
        <f>IFERROR(__xludf.DUMMYFUNCTION("""COMPUTED_VALUE"""),0.2549440625)</f>
        <v>0.2549440625</v>
      </c>
      <c r="I1710" s="15" t="str">
        <f>IFERROR(__xludf.DUMMYFUNCTION("""COMPUTED_VALUE"""),"")</f>
        <v/>
      </c>
      <c r="J1710" s="15" t="str">
        <f>IFERROR(__xludf.DUMMYFUNCTION("""COMPUTED_VALUE"""),"")</f>
        <v/>
      </c>
      <c r="K1710" s="15" t="str">
        <f>IFERROR(__xludf.DUMMYFUNCTION("""COMPUTED_VALUE"""),"")</f>
        <v/>
      </c>
      <c r="L1710" s="4" t="str">
        <f>IFERROR(__xludf.DUMMYFUNCTION("""COMPUTED_VALUE"""),"")</f>
        <v/>
      </c>
    </row>
    <row r="1711">
      <c r="A1711" s="1" t="str">
        <f>IFERROR(__xludf.DUMMYFUNCTION("""COMPUTED_VALUE"""),"DSQ")</f>
        <v>DSQ</v>
      </c>
      <c r="B1711" s="1">
        <f>IFERROR(__xludf.DUMMYFUNCTION("""COMPUTED_VALUE"""),6535.0)</f>
        <v>6535</v>
      </c>
      <c r="C1711" s="2" t="str">
        <f>IFERROR(__xludf.DUMMYFUNCTION("""COMPUTED_VALUE"""),"AFFANDI")</f>
        <v>AFFANDI</v>
      </c>
      <c r="D1711" s="2" t="str">
        <f>IFERROR(__xludf.DUMMYFUNCTION("""COMPUTED_VALUE"""),"5KM OVERALL F")</f>
        <v>5KM OVERALL F</v>
      </c>
      <c r="E1711" s="1" t="str">
        <f>IFERROR(__xludf.DUMMYFUNCTION("""COMPUTED_VALUE"""),"DSQ")</f>
        <v>DSQ</v>
      </c>
      <c r="F1711" s="1" t="str">
        <f>IFERROR(__xludf.DUMMYFUNCTION("""COMPUTED_VALUE"""),"Female")</f>
        <v>Female</v>
      </c>
      <c r="G1711" s="5" t="str">
        <f>IFERROR(__xludf.DUMMYFUNCTION("""COMPUTED_VALUE"""),"")</f>
        <v/>
      </c>
      <c r="H1711" s="15">
        <f>IFERROR(__xludf.DUMMYFUNCTION("""COMPUTED_VALUE"""),0.2549440625)</f>
        <v>0.2549440625</v>
      </c>
      <c r="I1711" s="15" t="str">
        <f>IFERROR(__xludf.DUMMYFUNCTION("""COMPUTED_VALUE"""),"")</f>
        <v/>
      </c>
      <c r="J1711" s="15" t="str">
        <f>IFERROR(__xludf.DUMMYFUNCTION("""COMPUTED_VALUE"""),"")</f>
        <v/>
      </c>
      <c r="K1711" s="15" t="str">
        <f>IFERROR(__xludf.DUMMYFUNCTION("""COMPUTED_VALUE"""),"")</f>
        <v/>
      </c>
      <c r="L1711" s="4" t="str">
        <f>IFERROR(__xludf.DUMMYFUNCTION("""COMPUTED_VALUE"""),"")</f>
        <v/>
      </c>
    </row>
    <row r="1712">
      <c r="A1712" s="1" t="str">
        <f>IFERROR(__xludf.DUMMYFUNCTION("""COMPUTED_VALUE"""),"DSQ")</f>
        <v>DSQ</v>
      </c>
      <c r="B1712" s="1">
        <f>IFERROR(__xludf.DUMMYFUNCTION("""COMPUTED_VALUE"""),6551.0)</f>
        <v>6551</v>
      </c>
      <c r="C1712" s="2" t="str">
        <f>IFERROR(__xludf.DUMMYFUNCTION("""COMPUTED_VALUE"""),"TUTUT")</f>
        <v>TUTUT</v>
      </c>
      <c r="D1712" s="2" t="str">
        <f>IFERROR(__xludf.DUMMYFUNCTION("""COMPUTED_VALUE"""),"5KM OVERALL F")</f>
        <v>5KM OVERALL F</v>
      </c>
      <c r="E1712" s="1" t="str">
        <f>IFERROR(__xludf.DUMMYFUNCTION("""COMPUTED_VALUE"""),"DSQ")</f>
        <v>DSQ</v>
      </c>
      <c r="F1712" s="1" t="str">
        <f>IFERROR(__xludf.DUMMYFUNCTION("""COMPUTED_VALUE"""),"Female")</f>
        <v>Female</v>
      </c>
      <c r="G1712" s="5" t="str">
        <f>IFERROR(__xludf.DUMMYFUNCTION("""COMPUTED_VALUE"""),"")</f>
        <v/>
      </c>
      <c r="H1712" s="15">
        <f>IFERROR(__xludf.DUMMYFUNCTION("""COMPUTED_VALUE"""),0.2549440625)</f>
        <v>0.2549440625</v>
      </c>
      <c r="I1712" s="15" t="str">
        <f>IFERROR(__xludf.DUMMYFUNCTION("""COMPUTED_VALUE"""),"")</f>
        <v/>
      </c>
      <c r="J1712" s="15" t="str">
        <f>IFERROR(__xludf.DUMMYFUNCTION("""COMPUTED_VALUE"""),"")</f>
        <v/>
      </c>
      <c r="K1712" s="15" t="str">
        <f>IFERROR(__xludf.DUMMYFUNCTION("""COMPUTED_VALUE"""),"")</f>
        <v/>
      </c>
      <c r="L1712" s="4" t="str">
        <f>IFERROR(__xludf.DUMMYFUNCTION("""COMPUTED_VALUE"""),"")</f>
        <v/>
      </c>
    </row>
    <row r="1713">
      <c r="A1713" s="1" t="str">
        <f>IFERROR(__xludf.DUMMYFUNCTION("""COMPUTED_VALUE"""),"DSQ")</f>
        <v>DSQ</v>
      </c>
      <c r="B1713" s="1">
        <f>IFERROR(__xludf.DUMMYFUNCTION("""COMPUTED_VALUE"""),6563.0)</f>
        <v>6563</v>
      </c>
      <c r="C1713" s="2" t="str">
        <f>IFERROR(__xludf.DUMMYFUNCTION("""COMPUTED_VALUE"""),"Eunike Tasanyari")</f>
        <v>Eunike Tasanyari</v>
      </c>
      <c r="D1713" s="2" t="str">
        <f>IFERROR(__xludf.DUMMYFUNCTION("""COMPUTED_VALUE"""),"5KM OVERALL F")</f>
        <v>5KM OVERALL F</v>
      </c>
      <c r="E1713" s="1" t="str">
        <f>IFERROR(__xludf.DUMMYFUNCTION("""COMPUTED_VALUE"""),"DSQ")</f>
        <v>DSQ</v>
      </c>
      <c r="F1713" s="1" t="str">
        <f>IFERROR(__xludf.DUMMYFUNCTION("""COMPUTED_VALUE"""),"Female")</f>
        <v>Female</v>
      </c>
      <c r="G1713" s="5">
        <f>IFERROR(__xludf.DUMMYFUNCTION("""COMPUTED_VALUE"""),0.007208724537037037)</f>
        <v>0.007208724537</v>
      </c>
      <c r="H1713" s="15">
        <f>IFERROR(__xludf.DUMMYFUNCTION("""COMPUTED_VALUE"""),0.2549440625)</f>
        <v>0.2549440625</v>
      </c>
      <c r="I1713" s="15">
        <f>IFERROR(__xludf.DUMMYFUNCTION("""COMPUTED_VALUE"""),45949.29098768914)</f>
        <v>45949.29099</v>
      </c>
      <c r="J1713" s="15">
        <f>IFERROR(__xludf.DUMMYFUNCTION("""COMPUTED_VALUE"""),45949.03604362664)</f>
        <v>45949.03604</v>
      </c>
      <c r="K1713" s="15">
        <f>IFERROR(__xludf.DUMMYFUNCTION("""COMPUTED_VALUE"""),45949.275061422035)</f>
        <v>45949.27506</v>
      </c>
      <c r="L1713" s="4"/>
    </row>
    <row r="1714">
      <c r="A1714" s="1" t="str">
        <f>IFERROR(__xludf.DUMMYFUNCTION("""COMPUTED_VALUE"""),"DSQ")</f>
        <v>DSQ</v>
      </c>
      <c r="B1714" s="1">
        <f>IFERROR(__xludf.DUMMYFUNCTION("""COMPUTED_VALUE"""),6572.0)</f>
        <v>6572</v>
      </c>
      <c r="C1714" s="2" t="str">
        <f>IFERROR(__xludf.DUMMYFUNCTION("""COMPUTED_VALUE"""),"Noor Latifah")</f>
        <v>Noor Latifah</v>
      </c>
      <c r="D1714" s="2" t="str">
        <f>IFERROR(__xludf.DUMMYFUNCTION("""COMPUTED_VALUE"""),"5KM OVERALL F")</f>
        <v>5KM OVERALL F</v>
      </c>
      <c r="E1714" s="1" t="str">
        <f>IFERROR(__xludf.DUMMYFUNCTION("""COMPUTED_VALUE"""),"DSQ")</f>
        <v>DSQ</v>
      </c>
      <c r="F1714" s="1" t="str">
        <f>IFERROR(__xludf.DUMMYFUNCTION("""COMPUTED_VALUE"""),"Female")</f>
        <v>Female</v>
      </c>
      <c r="G1714" s="5" t="str">
        <f>IFERROR(__xludf.DUMMYFUNCTION("""COMPUTED_VALUE"""),"")</f>
        <v/>
      </c>
      <c r="H1714" s="15">
        <f>IFERROR(__xludf.DUMMYFUNCTION("""COMPUTED_VALUE"""),0.2549440625)</f>
        <v>0.2549440625</v>
      </c>
      <c r="I1714" s="15" t="str">
        <f>IFERROR(__xludf.DUMMYFUNCTION("""COMPUTED_VALUE"""),"")</f>
        <v/>
      </c>
      <c r="J1714" s="15" t="str">
        <f>IFERROR(__xludf.DUMMYFUNCTION("""COMPUTED_VALUE"""),"")</f>
        <v/>
      </c>
      <c r="K1714" s="15" t="str">
        <f>IFERROR(__xludf.DUMMYFUNCTION("""COMPUTED_VALUE"""),"")</f>
        <v/>
      </c>
      <c r="L1714" s="4" t="str">
        <f>IFERROR(__xludf.DUMMYFUNCTION("""COMPUTED_VALUE"""),"")</f>
        <v/>
      </c>
    </row>
    <row r="1715">
      <c r="A1715" s="1" t="str">
        <f>IFERROR(__xludf.DUMMYFUNCTION("""COMPUTED_VALUE"""),"DSQ")</f>
        <v>DSQ</v>
      </c>
      <c r="B1715" s="1">
        <f>IFERROR(__xludf.DUMMYFUNCTION("""COMPUTED_VALUE"""),5006.0)</f>
        <v>5006</v>
      </c>
      <c r="C1715" s="2" t="str">
        <f>IFERROR(__xludf.DUMMYFUNCTION("""COMPUTED_VALUE"""),"adhia dana liana putra")</f>
        <v>adhia dana liana putra</v>
      </c>
      <c r="D1715" s="2" t="str">
        <f>IFERROR(__xludf.DUMMYFUNCTION("""COMPUTED_VALUE"""),"5KM OVERALL M")</f>
        <v>5KM OVERALL M</v>
      </c>
      <c r="E1715" s="1" t="str">
        <f>IFERROR(__xludf.DUMMYFUNCTION("""COMPUTED_VALUE"""),"DSQ")</f>
        <v>DSQ</v>
      </c>
      <c r="F1715" s="1" t="str">
        <f>IFERROR(__xludf.DUMMYFUNCTION("""COMPUTED_VALUE"""),"Male")</f>
        <v>Male</v>
      </c>
      <c r="G1715" s="5" t="str">
        <f>IFERROR(__xludf.DUMMYFUNCTION("""COMPUTED_VALUE"""),"")</f>
        <v/>
      </c>
      <c r="H1715" s="15">
        <f>IFERROR(__xludf.DUMMYFUNCTION("""COMPUTED_VALUE"""),0.2549440625)</f>
        <v>0.2549440625</v>
      </c>
      <c r="I1715" s="15" t="str">
        <f>IFERROR(__xludf.DUMMYFUNCTION("""COMPUTED_VALUE"""),"")</f>
        <v/>
      </c>
      <c r="J1715" s="15" t="str">
        <f>IFERROR(__xludf.DUMMYFUNCTION("""COMPUTED_VALUE"""),"")</f>
        <v/>
      </c>
      <c r="K1715" s="15" t="str">
        <f>IFERROR(__xludf.DUMMYFUNCTION("""COMPUTED_VALUE"""),"")</f>
        <v/>
      </c>
      <c r="L1715" s="4" t="str">
        <f>IFERROR(__xludf.DUMMYFUNCTION("""COMPUTED_VALUE"""),"")</f>
        <v/>
      </c>
    </row>
    <row r="1716">
      <c r="A1716" s="1" t="str">
        <f>IFERROR(__xludf.DUMMYFUNCTION("""COMPUTED_VALUE"""),"DSQ")</f>
        <v>DSQ</v>
      </c>
      <c r="B1716" s="1">
        <f>IFERROR(__xludf.DUMMYFUNCTION("""COMPUTED_VALUE"""),5010.0)</f>
        <v>5010</v>
      </c>
      <c r="C1716" s="2" t="str">
        <f>IFERROR(__xludf.DUMMYFUNCTION("""COMPUTED_VALUE"""),"Teddy")</f>
        <v>Teddy</v>
      </c>
      <c r="D1716" s="2" t="str">
        <f>IFERROR(__xludf.DUMMYFUNCTION("""COMPUTED_VALUE"""),"5KM OVERALL M")</f>
        <v>5KM OVERALL M</v>
      </c>
      <c r="E1716" s="1" t="str">
        <f>IFERROR(__xludf.DUMMYFUNCTION("""COMPUTED_VALUE"""),"DSQ")</f>
        <v>DSQ</v>
      </c>
      <c r="F1716" s="1" t="str">
        <f>IFERROR(__xludf.DUMMYFUNCTION("""COMPUTED_VALUE"""),"Male")</f>
        <v>Male</v>
      </c>
      <c r="G1716" s="5" t="str">
        <f>IFERROR(__xludf.DUMMYFUNCTION("""COMPUTED_VALUE"""),"")</f>
        <v/>
      </c>
      <c r="H1716" s="15">
        <f>IFERROR(__xludf.DUMMYFUNCTION("""COMPUTED_VALUE"""),0.2549440625)</f>
        <v>0.2549440625</v>
      </c>
      <c r="I1716" s="15" t="str">
        <f>IFERROR(__xludf.DUMMYFUNCTION("""COMPUTED_VALUE"""),"")</f>
        <v/>
      </c>
      <c r="J1716" s="15" t="str">
        <f>IFERROR(__xludf.DUMMYFUNCTION("""COMPUTED_VALUE"""),"")</f>
        <v/>
      </c>
      <c r="K1716" s="15" t="str">
        <f>IFERROR(__xludf.DUMMYFUNCTION("""COMPUTED_VALUE"""),"")</f>
        <v/>
      </c>
      <c r="L1716" s="4" t="str">
        <f>IFERROR(__xludf.DUMMYFUNCTION("""COMPUTED_VALUE"""),"")</f>
        <v/>
      </c>
    </row>
    <row r="1717">
      <c r="A1717" s="1" t="str">
        <f>IFERROR(__xludf.DUMMYFUNCTION("""COMPUTED_VALUE"""),"DSQ")</f>
        <v>DSQ</v>
      </c>
      <c r="B1717" s="1">
        <f>IFERROR(__xludf.DUMMYFUNCTION("""COMPUTED_VALUE"""),5034.0)</f>
        <v>5034</v>
      </c>
      <c r="C1717" s="2" t="str">
        <f>IFERROR(__xludf.DUMMYFUNCTION("""COMPUTED_VALUE"""),"FAJAR")</f>
        <v>FAJAR</v>
      </c>
      <c r="D1717" s="2" t="str">
        <f>IFERROR(__xludf.DUMMYFUNCTION("""COMPUTED_VALUE"""),"5KM OVERALL M")</f>
        <v>5KM OVERALL M</v>
      </c>
      <c r="E1717" s="1" t="str">
        <f>IFERROR(__xludf.DUMMYFUNCTION("""COMPUTED_VALUE"""),"DSQ")</f>
        <v>DSQ</v>
      </c>
      <c r="F1717" s="1" t="str">
        <f>IFERROR(__xludf.DUMMYFUNCTION("""COMPUTED_VALUE"""),"Male")</f>
        <v>Male</v>
      </c>
      <c r="G1717" s="5" t="str">
        <f>IFERROR(__xludf.DUMMYFUNCTION("""COMPUTED_VALUE"""),"")</f>
        <v/>
      </c>
      <c r="H1717" s="15">
        <f>IFERROR(__xludf.DUMMYFUNCTION("""COMPUTED_VALUE"""),0.2549440625)</f>
        <v>0.2549440625</v>
      </c>
      <c r="I1717" s="15" t="str">
        <f>IFERROR(__xludf.DUMMYFUNCTION("""COMPUTED_VALUE"""),"")</f>
        <v/>
      </c>
      <c r="J1717" s="15" t="str">
        <f>IFERROR(__xludf.DUMMYFUNCTION("""COMPUTED_VALUE"""),"")</f>
        <v/>
      </c>
      <c r="K1717" s="15" t="str">
        <f>IFERROR(__xludf.DUMMYFUNCTION("""COMPUTED_VALUE"""),"")</f>
        <v/>
      </c>
      <c r="L1717" s="4" t="str">
        <f>IFERROR(__xludf.DUMMYFUNCTION("""COMPUTED_VALUE"""),"")</f>
        <v/>
      </c>
    </row>
    <row r="1718">
      <c r="A1718" s="1" t="str">
        <f>IFERROR(__xludf.DUMMYFUNCTION("""COMPUTED_VALUE"""),"DSQ")</f>
        <v>DSQ</v>
      </c>
      <c r="B1718" s="1">
        <f>IFERROR(__xludf.DUMMYFUNCTION("""COMPUTED_VALUE"""),5058.0)</f>
        <v>5058</v>
      </c>
      <c r="C1718" s="2" t="str">
        <f>IFERROR(__xludf.DUMMYFUNCTION("""COMPUTED_VALUE"""),"Arif")</f>
        <v>Arif</v>
      </c>
      <c r="D1718" s="2" t="str">
        <f>IFERROR(__xludf.DUMMYFUNCTION("""COMPUTED_VALUE"""),"5KM OVERALL M")</f>
        <v>5KM OVERALL M</v>
      </c>
      <c r="E1718" s="1" t="str">
        <f>IFERROR(__xludf.DUMMYFUNCTION("""COMPUTED_VALUE"""),"DSQ")</f>
        <v>DSQ</v>
      </c>
      <c r="F1718" s="1" t="str">
        <f>IFERROR(__xludf.DUMMYFUNCTION("""COMPUTED_VALUE"""),"Male")</f>
        <v>Male</v>
      </c>
      <c r="G1718" s="5" t="str">
        <f>IFERROR(__xludf.DUMMYFUNCTION("""COMPUTED_VALUE"""),"")</f>
        <v/>
      </c>
      <c r="H1718" s="15">
        <f>IFERROR(__xludf.DUMMYFUNCTION("""COMPUTED_VALUE"""),0.2549440625)</f>
        <v>0.2549440625</v>
      </c>
      <c r="I1718" s="15" t="str">
        <f>IFERROR(__xludf.DUMMYFUNCTION("""COMPUTED_VALUE"""),"")</f>
        <v/>
      </c>
      <c r="J1718" s="15" t="str">
        <f>IFERROR(__xludf.DUMMYFUNCTION("""COMPUTED_VALUE"""),"")</f>
        <v/>
      </c>
      <c r="K1718" s="15" t="str">
        <f>IFERROR(__xludf.DUMMYFUNCTION("""COMPUTED_VALUE"""),"")</f>
        <v/>
      </c>
      <c r="L1718" s="4" t="str">
        <f>IFERROR(__xludf.DUMMYFUNCTION("""COMPUTED_VALUE"""),"")</f>
        <v/>
      </c>
    </row>
    <row r="1719">
      <c r="A1719" s="1" t="str">
        <f>IFERROR(__xludf.DUMMYFUNCTION("""COMPUTED_VALUE"""),"DSQ")</f>
        <v>DSQ</v>
      </c>
      <c r="B1719" s="1">
        <f>IFERROR(__xludf.DUMMYFUNCTION("""COMPUTED_VALUE"""),5111.0)</f>
        <v>5111</v>
      </c>
      <c r="C1719" s="2" t="str">
        <f>IFERROR(__xludf.DUMMYFUNCTION("""COMPUTED_VALUE"""),"A RIDHA")</f>
        <v>A RIDHA</v>
      </c>
      <c r="D1719" s="2" t="str">
        <f>IFERROR(__xludf.DUMMYFUNCTION("""COMPUTED_VALUE"""),"5KM OVERALL M")</f>
        <v>5KM OVERALL M</v>
      </c>
      <c r="E1719" s="1" t="str">
        <f>IFERROR(__xludf.DUMMYFUNCTION("""COMPUTED_VALUE"""),"DSQ")</f>
        <v>DSQ</v>
      </c>
      <c r="F1719" s="1" t="str">
        <f>IFERROR(__xludf.DUMMYFUNCTION("""COMPUTED_VALUE"""),"Male")</f>
        <v>Male</v>
      </c>
      <c r="G1719" s="5" t="str">
        <f>IFERROR(__xludf.DUMMYFUNCTION("""COMPUTED_VALUE"""),"")</f>
        <v/>
      </c>
      <c r="H1719" s="15">
        <f>IFERROR(__xludf.DUMMYFUNCTION("""COMPUTED_VALUE"""),0.2549440625)</f>
        <v>0.2549440625</v>
      </c>
      <c r="I1719" s="15" t="str">
        <f>IFERROR(__xludf.DUMMYFUNCTION("""COMPUTED_VALUE"""),"")</f>
        <v/>
      </c>
      <c r="J1719" s="15" t="str">
        <f>IFERROR(__xludf.DUMMYFUNCTION("""COMPUTED_VALUE"""),"")</f>
        <v/>
      </c>
      <c r="K1719" s="15" t="str">
        <f>IFERROR(__xludf.DUMMYFUNCTION("""COMPUTED_VALUE"""),"")</f>
        <v/>
      </c>
      <c r="L1719" s="4" t="str">
        <f>IFERROR(__xludf.DUMMYFUNCTION("""COMPUTED_VALUE"""),"")</f>
        <v/>
      </c>
    </row>
    <row r="1720">
      <c r="A1720" s="1" t="str">
        <f>IFERROR(__xludf.DUMMYFUNCTION("""COMPUTED_VALUE"""),"DSQ")</f>
        <v>DSQ</v>
      </c>
      <c r="B1720" s="1">
        <f>IFERROR(__xludf.DUMMYFUNCTION("""COMPUTED_VALUE"""),5139.0)</f>
        <v>5139</v>
      </c>
      <c r="C1720" s="2" t="str">
        <f>IFERROR(__xludf.DUMMYFUNCTION("""COMPUTED_VALUE"""),"griya ramadan")</f>
        <v>griya ramadan</v>
      </c>
      <c r="D1720" s="2" t="str">
        <f>IFERROR(__xludf.DUMMYFUNCTION("""COMPUTED_VALUE"""),"5KM OVERALL M")</f>
        <v>5KM OVERALL M</v>
      </c>
      <c r="E1720" s="1" t="str">
        <f>IFERROR(__xludf.DUMMYFUNCTION("""COMPUTED_VALUE"""),"DSQ")</f>
        <v>DSQ</v>
      </c>
      <c r="F1720" s="1" t="str">
        <f>IFERROR(__xludf.DUMMYFUNCTION("""COMPUTED_VALUE"""),"Male")</f>
        <v>Male</v>
      </c>
      <c r="G1720" s="5" t="str">
        <f>IFERROR(__xludf.DUMMYFUNCTION("""COMPUTED_VALUE"""),"")</f>
        <v/>
      </c>
      <c r="H1720" s="15">
        <f>IFERROR(__xludf.DUMMYFUNCTION("""COMPUTED_VALUE"""),0.2549440625)</f>
        <v>0.2549440625</v>
      </c>
      <c r="I1720" s="15" t="str">
        <f>IFERROR(__xludf.DUMMYFUNCTION("""COMPUTED_VALUE"""),"")</f>
        <v/>
      </c>
      <c r="J1720" s="15" t="str">
        <f>IFERROR(__xludf.DUMMYFUNCTION("""COMPUTED_VALUE"""),"")</f>
        <v/>
      </c>
      <c r="K1720" s="15" t="str">
        <f>IFERROR(__xludf.DUMMYFUNCTION("""COMPUTED_VALUE"""),"")</f>
        <v/>
      </c>
      <c r="L1720" s="4" t="str">
        <f>IFERROR(__xludf.DUMMYFUNCTION("""COMPUTED_VALUE"""),"")</f>
        <v/>
      </c>
    </row>
    <row r="1721">
      <c r="A1721" s="1" t="str">
        <f>IFERROR(__xludf.DUMMYFUNCTION("""COMPUTED_VALUE"""),"DSQ")</f>
        <v>DSQ</v>
      </c>
      <c r="B1721" s="1">
        <f>IFERROR(__xludf.DUMMYFUNCTION("""COMPUTED_VALUE"""),5147.0)</f>
        <v>5147</v>
      </c>
      <c r="C1721" s="2" t="str">
        <f>IFERROR(__xludf.DUMMYFUNCTION("""COMPUTED_VALUE"""),"indra")</f>
        <v>indra</v>
      </c>
      <c r="D1721" s="2" t="str">
        <f>IFERROR(__xludf.DUMMYFUNCTION("""COMPUTED_VALUE"""),"5KM OVERALL M")</f>
        <v>5KM OVERALL M</v>
      </c>
      <c r="E1721" s="1" t="str">
        <f>IFERROR(__xludf.DUMMYFUNCTION("""COMPUTED_VALUE"""),"DSQ")</f>
        <v>DSQ</v>
      </c>
      <c r="F1721" s="1" t="str">
        <f>IFERROR(__xludf.DUMMYFUNCTION("""COMPUTED_VALUE"""),"Male")</f>
        <v>Male</v>
      </c>
      <c r="G1721" s="5" t="str">
        <f>IFERROR(__xludf.DUMMYFUNCTION("""COMPUTED_VALUE"""),"")</f>
        <v/>
      </c>
      <c r="H1721" s="15">
        <f>IFERROR(__xludf.DUMMYFUNCTION("""COMPUTED_VALUE"""),0.2549440625)</f>
        <v>0.2549440625</v>
      </c>
      <c r="I1721" s="15" t="str">
        <f>IFERROR(__xludf.DUMMYFUNCTION("""COMPUTED_VALUE"""),"")</f>
        <v/>
      </c>
      <c r="J1721" s="15" t="str">
        <f>IFERROR(__xludf.DUMMYFUNCTION("""COMPUTED_VALUE"""),"")</f>
        <v/>
      </c>
      <c r="K1721" s="15" t="str">
        <f>IFERROR(__xludf.DUMMYFUNCTION("""COMPUTED_VALUE"""),"")</f>
        <v/>
      </c>
      <c r="L1721" s="4" t="str">
        <f>IFERROR(__xludf.DUMMYFUNCTION("""COMPUTED_VALUE"""),"")</f>
        <v/>
      </c>
    </row>
    <row r="1722">
      <c r="A1722" s="1" t="str">
        <f>IFERROR(__xludf.DUMMYFUNCTION("""COMPUTED_VALUE"""),"DSQ")</f>
        <v>DSQ</v>
      </c>
      <c r="B1722" s="1">
        <f>IFERROR(__xludf.DUMMYFUNCTION("""COMPUTED_VALUE"""),5157.0)</f>
        <v>5157</v>
      </c>
      <c r="C1722" s="2" t="str">
        <f>IFERROR(__xludf.DUMMYFUNCTION("""COMPUTED_VALUE"""),"Zayn")</f>
        <v>Zayn</v>
      </c>
      <c r="D1722" s="2" t="str">
        <f>IFERROR(__xludf.DUMMYFUNCTION("""COMPUTED_VALUE"""),"5KM OVERALL M")</f>
        <v>5KM OVERALL M</v>
      </c>
      <c r="E1722" s="1" t="str">
        <f>IFERROR(__xludf.DUMMYFUNCTION("""COMPUTED_VALUE"""),"DSQ")</f>
        <v>DSQ</v>
      </c>
      <c r="F1722" s="1" t="str">
        <f>IFERROR(__xludf.DUMMYFUNCTION("""COMPUTED_VALUE"""),"Male")</f>
        <v>Male</v>
      </c>
      <c r="G1722" s="5" t="str">
        <f>IFERROR(__xludf.DUMMYFUNCTION("""COMPUTED_VALUE"""),"")</f>
        <v/>
      </c>
      <c r="H1722" s="15">
        <f>IFERROR(__xludf.DUMMYFUNCTION("""COMPUTED_VALUE"""),0.2549440625)</f>
        <v>0.2549440625</v>
      </c>
      <c r="I1722" s="15" t="str">
        <f>IFERROR(__xludf.DUMMYFUNCTION("""COMPUTED_VALUE"""),"")</f>
        <v/>
      </c>
      <c r="J1722" s="15" t="str">
        <f>IFERROR(__xludf.DUMMYFUNCTION("""COMPUTED_VALUE"""),"")</f>
        <v/>
      </c>
      <c r="K1722" s="15" t="str">
        <f>IFERROR(__xludf.DUMMYFUNCTION("""COMPUTED_VALUE"""),"")</f>
        <v/>
      </c>
      <c r="L1722" s="4" t="str">
        <f>IFERROR(__xludf.DUMMYFUNCTION("""COMPUTED_VALUE"""),"")</f>
        <v/>
      </c>
    </row>
    <row r="1723">
      <c r="A1723" s="1" t="str">
        <f>IFERROR(__xludf.DUMMYFUNCTION("""COMPUTED_VALUE"""),"DSQ")</f>
        <v>DSQ</v>
      </c>
      <c r="B1723" s="1">
        <f>IFERROR(__xludf.DUMMYFUNCTION("""COMPUTED_VALUE"""),5163.0)</f>
        <v>5163</v>
      </c>
      <c r="C1723" s="2" t="str">
        <f>IFERROR(__xludf.DUMMYFUNCTION("""COMPUTED_VALUE"""),"Unggul")</f>
        <v>Unggul</v>
      </c>
      <c r="D1723" s="2" t="str">
        <f>IFERROR(__xludf.DUMMYFUNCTION("""COMPUTED_VALUE"""),"5KM OVERALL M")</f>
        <v>5KM OVERALL M</v>
      </c>
      <c r="E1723" s="1" t="str">
        <f>IFERROR(__xludf.DUMMYFUNCTION("""COMPUTED_VALUE"""),"DSQ")</f>
        <v>DSQ</v>
      </c>
      <c r="F1723" s="1" t="str">
        <f>IFERROR(__xludf.DUMMYFUNCTION("""COMPUTED_VALUE"""),"Male")</f>
        <v>Male</v>
      </c>
      <c r="G1723" s="5" t="str">
        <f>IFERROR(__xludf.DUMMYFUNCTION("""COMPUTED_VALUE"""),"")</f>
        <v/>
      </c>
      <c r="H1723" s="15">
        <f>IFERROR(__xludf.DUMMYFUNCTION("""COMPUTED_VALUE"""),0.2549440625)</f>
        <v>0.2549440625</v>
      </c>
      <c r="I1723" s="15" t="str">
        <f>IFERROR(__xludf.DUMMYFUNCTION("""COMPUTED_VALUE"""),"")</f>
        <v/>
      </c>
      <c r="J1723" s="15" t="str">
        <f>IFERROR(__xludf.DUMMYFUNCTION("""COMPUTED_VALUE"""),"")</f>
        <v/>
      </c>
      <c r="K1723" s="15" t="str">
        <f>IFERROR(__xludf.DUMMYFUNCTION("""COMPUTED_VALUE"""),"")</f>
        <v/>
      </c>
      <c r="L1723" s="4" t="str">
        <f>IFERROR(__xludf.DUMMYFUNCTION("""COMPUTED_VALUE"""),"")</f>
        <v/>
      </c>
    </row>
    <row r="1724">
      <c r="A1724" s="1" t="str">
        <f>IFERROR(__xludf.DUMMYFUNCTION("""COMPUTED_VALUE"""),"DSQ")</f>
        <v>DSQ</v>
      </c>
      <c r="B1724" s="1">
        <f>IFERROR(__xludf.DUMMYFUNCTION("""COMPUTED_VALUE"""),5192.0)</f>
        <v>5192</v>
      </c>
      <c r="C1724" s="2" t="str">
        <f>IFERROR(__xludf.DUMMYFUNCTION("""COMPUTED_VALUE"""),"Haziki Abduh")</f>
        <v>Haziki Abduh</v>
      </c>
      <c r="D1724" s="2" t="str">
        <f>IFERROR(__xludf.DUMMYFUNCTION("""COMPUTED_VALUE"""),"5KM OVERALL M")</f>
        <v>5KM OVERALL M</v>
      </c>
      <c r="E1724" s="1" t="str">
        <f>IFERROR(__xludf.DUMMYFUNCTION("""COMPUTED_VALUE"""),"DSQ")</f>
        <v>DSQ</v>
      </c>
      <c r="F1724" s="1" t="str">
        <f>IFERROR(__xludf.DUMMYFUNCTION("""COMPUTED_VALUE"""),"Male")</f>
        <v>Male</v>
      </c>
      <c r="G1724" s="5" t="str">
        <f>IFERROR(__xludf.DUMMYFUNCTION("""COMPUTED_VALUE"""),"")</f>
        <v/>
      </c>
      <c r="H1724" s="15">
        <f>IFERROR(__xludf.DUMMYFUNCTION("""COMPUTED_VALUE"""),0.2549440625)</f>
        <v>0.2549440625</v>
      </c>
      <c r="I1724" s="15" t="str">
        <f>IFERROR(__xludf.DUMMYFUNCTION("""COMPUTED_VALUE"""),"")</f>
        <v/>
      </c>
      <c r="J1724" s="15" t="str">
        <f>IFERROR(__xludf.DUMMYFUNCTION("""COMPUTED_VALUE"""),"")</f>
        <v/>
      </c>
      <c r="K1724" s="15" t="str">
        <f>IFERROR(__xludf.DUMMYFUNCTION("""COMPUTED_VALUE"""),"")</f>
        <v/>
      </c>
      <c r="L1724" s="4" t="str">
        <f>IFERROR(__xludf.DUMMYFUNCTION("""COMPUTED_VALUE"""),"")</f>
        <v/>
      </c>
    </row>
    <row r="1725">
      <c r="A1725" s="1" t="str">
        <f>IFERROR(__xludf.DUMMYFUNCTION("""COMPUTED_VALUE"""),"DSQ")</f>
        <v>DSQ</v>
      </c>
      <c r="B1725" s="1">
        <f>IFERROR(__xludf.DUMMYFUNCTION("""COMPUTED_VALUE"""),5194.0)</f>
        <v>5194</v>
      </c>
      <c r="C1725" s="2" t="str">
        <f>IFERROR(__xludf.DUMMYFUNCTION("""COMPUTED_VALUE"""),"a gunawan")</f>
        <v>a gunawan</v>
      </c>
      <c r="D1725" s="2" t="str">
        <f>IFERROR(__xludf.DUMMYFUNCTION("""COMPUTED_VALUE"""),"5KM OVERALL M")</f>
        <v>5KM OVERALL M</v>
      </c>
      <c r="E1725" s="1" t="str">
        <f>IFERROR(__xludf.DUMMYFUNCTION("""COMPUTED_VALUE"""),"DSQ")</f>
        <v>DSQ</v>
      </c>
      <c r="F1725" s="1" t="str">
        <f>IFERROR(__xludf.DUMMYFUNCTION("""COMPUTED_VALUE"""),"Male")</f>
        <v>Male</v>
      </c>
      <c r="G1725" s="5" t="str">
        <f>IFERROR(__xludf.DUMMYFUNCTION("""COMPUTED_VALUE"""),"")</f>
        <v/>
      </c>
      <c r="H1725" s="15">
        <f>IFERROR(__xludf.DUMMYFUNCTION("""COMPUTED_VALUE"""),0.2549440625)</f>
        <v>0.2549440625</v>
      </c>
      <c r="I1725" s="15" t="str">
        <f>IFERROR(__xludf.DUMMYFUNCTION("""COMPUTED_VALUE"""),"")</f>
        <v/>
      </c>
      <c r="J1725" s="15" t="str">
        <f>IFERROR(__xludf.DUMMYFUNCTION("""COMPUTED_VALUE"""),"")</f>
        <v/>
      </c>
      <c r="K1725" s="15" t="str">
        <f>IFERROR(__xludf.DUMMYFUNCTION("""COMPUTED_VALUE"""),"")</f>
        <v/>
      </c>
      <c r="L1725" s="4" t="str">
        <f>IFERROR(__xludf.DUMMYFUNCTION("""COMPUTED_VALUE"""),"")</f>
        <v/>
      </c>
    </row>
    <row r="1726">
      <c r="A1726" s="1" t="str">
        <f>IFERROR(__xludf.DUMMYFUNCTION("""COMPUTED_VALUE"""),"DSQ")</f>
        <v>DSQ</v>
      </c>
      <c r="B1726" s="1">
        <f>IFERROR(__xludf.DUMMYFUNCTION("""COMPUTED_VALUE"""),5204.0)</f>
        <v>5204</v>
      </c>
      <c r="C1726" s="2" t="str">
        <f>IFERROR(__xludf.DUMMYFUNCTION("""COMPUTED_VALUE"""),"Ananda Anjas")</f>
        <v>Ananda Anjas</v>
      </c>
      <c r="D1726" s="2" t="str">
        <f>IFERROR(__xludf.DUMMYFUNCTION("""COMPUTED_VALUE"""),"5KM OVERALL M")</f>
        <v>5KM OVERALL M</v>
      </c>
      <c r="E1726" s="1" t="str">
        <f>IFERROR(__xludf.DUMMYFUNCTION("""COMPUTED_VALUE"""),"DSQ")</f>
        <v>DSQ</v>
      </c>
      <c r="F1726" s="1" t="str">
        <f>IFERROR(__xludf.DUMMYFUNCTION("""COMPUTED_VALUE"""),"Male")</f>
        <v>Male</v>
      </c>
      <c r="G1726" s="5" t="str">
        <f>IFERROR(__xludf.DUMMYFUNCTION("""COMPUTED_VALUE"""),"")</f>
        <v/>
      </c>
      <c r="H1726" s="15">
        <f>IFERROR(__xludf.DUMMYFUNCTION("""COMPUTED_VALUE"""),0.2549440625)</f>
        <v>0.2549440625</v>
      </c>
      <c r="I1726" s="15" t="str">
        <f>IFERROR(__xludf.DUMMYFUNCTION("""COMPUTED_VALUE"""),"")</f>
        <v/>
      </c>
      <c r="J1726" s="15" t="str">
        <f>IFERROR(__xludf.DUMMYFUNCTION("""COMPUTED_VALUE"""),"")</f>
        <v/>
      </c>
      <c r="K1726" s="15" t="str">
        <f>IFERROR(__xludf.DUMMYFUNCTION("""COMPUTED_VALUE"""),"")</f>
        <v/>
      </c>
      <c r="L1726" s="4" t="str">
        <f>IFERROR(__xludf.DUMMYFUNCTION("""COMPUTED_VALUE"""),"")</f>
        <v/>
      </c>
    </row>
    <row r="1727">
      <c r="A1727" s="1" t="str">
        <f>IFERROR(__xludf.DUMMYFUNCTION("""COMPUTED_VALUE"""),"DSQ")</f>
        <v>DSQ</v>
      </c>
      <c r="B1727" s="1">
        <f>IFERROR(__xludf.DUMMYFUNCTION("""COMPUTED_VALUE"""),5221.0)</f>
        <v>5221</v>
      </c>
      <c r="C1727" s="2" t="str">
        <f>IFERROR(__xludf.DUMMYFUNCTION("""COMPUTED_VALUE"""),"Muhlis")</f>
        <v>Muhlis</v>
      </c>
      <c r="D1727" s="2" t="str">
        <f>IFERROR(__xludf.DUMMYFUNCTION("""COMPUTED_VALUE"""),"5KM OVERALL M")</f>
        <v>5KM OVERALL M</v>
      </c>
      <c r="E1727" s="1" t="str">
        <f>IFERROR(__xludf.DUMMYFUNCTION("""COMPUTED_VALUE"""),"DSQ")</f>
        <v>DSQ</v>
      </c>
      <c r="F1727" s="1" t="str">
        <f>IFERROR(__xludf.DUMMYFUNCTION("""COMPUTED_VALUE"""),"Male")</f>
        <v>Male</v>
      </c>
      <c r="G1727" s="5" t="str">
        <f>IFERROR(__xludf.DUMMYFUNCTION("""COMPUTED_VALUE"""),"")</f>
        <v/>
      </c>
      <c r="H1727" s="15">
        <f>IFERROR(__xludf.DUMMYFUNCTION("""COMPUTED_VALUE"""),0.2549440625)</f>
        <v>0.2549440625</v>
      </c>
      <c r="I1727" s="15" t="str">
        <f>IFERROR(__xludf.DUMMYFUNCTION("""COMPUTED_VALUE"""),"")</f>
        <v/>
      </c>
      <c r="J1727" s="15" t="str">
        <f>IFERROR(__xludf.DUMMYFUNCTION("""COMPUTED_VALUE"""),"")</f>
        <v/>
      </c>
      <c r="K1727" s="15" t="str">
        <f>IFERROR(__xludf.DUMMYFUNCTION("""COMPUTED_VALUE"""),"")</f>
        <v/>
      </c>
      <c r="L1727" s="4" t="str">
        <f>IFERROR(__xludf.DUMMYFUNCTION("""COMPUTED_VALUE"""),"")</f>
        <v/>
      </c>
    </row>
    <row r="1728">
      <c r="A1728" s="1" t="str">
        <f>IFERROR(__xludf.DUMMYFUNCTION("""COMPUTED_VALUE"""),"DSQ")</f>
        <v>DSQ</v>
      </c>
      <c r="B1728" s="1">
        <f>IFERROR(__xludf.DUMMYFUNCTION("""COMPUTED_VALUE"""),5228.0)</f>
        <v>5228</v>
      </c>
      <c r="C1728" s="2" t="str">
        <f>IFERROR(__xludf.DUMMYFUNCTION("""COMPUTED_VALUE"""),"Hidayat")</f>
        <v>Hidayat</v>
      </c>
      <c r="D1728" s="2" t="str">
        <f>IFERROR(__xludf.DUMMYFUNCTION("""COMPUTED_VALUE"""),"5KM OVERALL M")</f>
        <v>5KM OVERALL M</v>
      </c>
      <c r="E1728" s="1" t="str">
        <f>IFERROR(__xludf.DUMMYFUNCTION("""COMPUTED_VALUE"""),"DSQ")</f>
        <v>DSQ</v>
      </c>
      <c r="F1728" s="1" t="str">
        <f>IFERROR(__xludf.DUMMYFUNCTION("""COMPUTED_VALUE"""),"Male")</f>
        <v>Male</v>
      </c>
      <c r="G1728" s="5" t="str">
        <f>IFERROR(__xludf.DUMMYFUNCTION("""COMPUTED_VALUE"""),"")</f>
        <v/>
      </c>
      <c r="H1728" s="15">
        <f>IFERROR(__xludf.DUMMYFUNCTION("""COMPUTED_VALUE"""),0.2549440625)</f>
        <v>0.2549440625</v>
      </c>
      <c r="I1728" s="15" t="str">
        <f>IFERROR(__xludf.DUMMYFUNCTION("""COMPUTED_VALUE"""),"")</f>
        <v/>
      </c>
      <c r="J1728" s="15" t="str">
        <f>IFERROR(__xludf.DUMMYFUNCTION("""COMPUTED_VALUE"""),"")</f>
        <v/>
      </c>
      <c r="K1728" s="15" t="str">
        <f>IFERROR(__xludf.DUMMYFUNCTION("""COMPUTED_VALUE"""),"")</f>
        <v/>
      </c>
      <c r="L1728" s="4" t="str">
        <f>IFERROR(__xludf.DUMMYFUNCTION("""COMPUTED_VALUE"""),"")</f>
        <v/>
      </c>
    </row>
    <row r="1729">
      <c r="A1729" s="1" t="str">
        <f>IFERROR(__xludf.DUMMYFUNCTION("""COMPUTED_VALUE"""),"DSQ")</f>
        <v>DSQ</v>
      </c>
      <c r="B1729" s="1">
        <f>IFERROR(__xludf.DUMMYFUNCTION("""COMPUTED_VALUE"""),5242.0)</f>
        <v>5242</v>
      </c>
      <c r="C1729" s="2" t="str">
        <f>IFERROR(__xludf.DUMMYFUNCTION("""COMPUTED_VALUE"""),"BAYU PASHA")</f>
        <v>BAYU PASHA</v>
      </c>
      <c r="D1729" s="2" t="str">
        <f>IFERROR(__xludf.DUMMYFUNCTION("""COMPUTED_VALUE"""),"5KM OVERALL M")</f>
        <v>5KM OVERALL M</v>
      </c>
      <c r="E1729" s="1" t="str">
        <f>IFERROR(__xludf.DUMMYFUNCTION("""COMPUTED_VALUE"""),"DSQ")</f>
        <v>DSQ</v>
      </c>
      <c r="F1729" s="1" t="str">
        <f>IFERROR(__xludf.DUMMYFUNCTION("""COMPUTED_VALUE"""),"Male")</f>
        <v>Male</v>
      </c>
      <c r="G1729" s="5" t="str">
        <f>IFERROR(__xludf.DUMMYFUNCTION("""COMPUTED_VALUE"""),"")</f>
        <v/>
      </c>
      <c r="H1729" s="15">
        <f>IFERROR(__xludf.DUMMYFUNCTION("""COMPUTED_VALUE"""),0.2549440625)</f>
        <v>0.2549440625</v>
      </c>
      <c r="I1729" s="15" t="str">
        <f>IFERROR(__xludf.DUMMYFUNCTION("""COMPUTED_VALUE"""),"")</f>
        <v/>
      </c>
      <c r="J1729" s="15" t="str">
        <f>IFERROR(__xludf.DUMMYFUNCTION("""COMPUTED_VALUE"""),"")</f>
        <v/>
      </c>
      <c r="K1729" s="15" t="str">
        <f>IFERROR(__xludf.DUMMYFUNCTION("""COMPUTED_VALUE"""),"")</f>
        <v/>
      </c>
      <c r="L1729" s="4" t="str">
        <f>IFERROR(__xludf.DUMMYFUNCTION("""COMPUTED_VALUE"""),"")</f>
        <v/>
      </c>
    </row>
    <row r="1730">
      <c r="A1730" s="1" t="str">
        <f>IFERROR(__xludf.DUMMYFUNCTION("""COMPUTED_VALUE"""),"DSQ")</f>
        <v>DSQ</v>
      </c>
      <c r="B1730" s="1">
        <f>IFERROR(__xludf.DUMMYFUNCTION("""COMPUTED_VALUE"""),5263.0)</f>
        <v>5263</v>
      </c>
      <c r="C1730" s="2" t="str">
        <f>IFERROR(__xludf.DUMMYFUNCTION("""COMPUTED_VALUE"""),"dwiarywibowo")</f>
        <v>dwiarywibowo</v>
      </c>
      <c r="D1730" s="2" t="str">
        <f>IFERROR(__xludf.DUMMYFUNCTION("""COMPUTED_VALUE"""),"5KM OVERALL M")</f>
        <v>5KM OVERALL M</v>
      </c>
      <c r="E1730" s="1" t="str">
        <f>IFERROR(__xludf.DUMMYFUNCTION("""COMPUTED_VALUE"""),"DSQ")</f>
        <v>DSQ</v>
      </c>
      <c r="F1730" s="1" t="str">
        <f>IFERROR(__xludf.DUMMYFUNCTION("""COMPUTED_VALUE"""),"Male")</f>
        <v>Male</v>
      </c>
      <c r="G1730" s="5">
        <f>IFERROR(__xludf.DUMMYFUNCTION("""COMPUTED_VALUE"""),0.007455944444444444)</f>
        <v>0.007455944444</v>
      </c>
      <c r="H1730" s="15">
        <f>IFERROR(__xludf.DUMMYFUNCTION("""COMPUTED_VALUE"""),0.2549440625)</f>
        <v>0.2549440625</v>
      </c>
      <c r="I1730" s="15">
        <f>IFERROR(__xludf.DUMMYFUNCTION("""COMPUTED_VALUE"""),45949.29222378663)</f>
        <v>45949.29222</v>
      </c>
      <c r="J1730" s="15">
        <f>IFERROR(__xludf.DUMMYFUNCTION("""COMPUTED_VALUE"""),45949.03727972413)</f>
        <v>45949.03728</v>
      </c>
      <c r="K1730" s="15" t="str">
        <f>IFERROR(__xludf.DUMMYFUNCTION("""COMPUTED_VALUE"""),"")</f>
        <v/>
      </c>
      <c r="L1730" s="4" t="str">
        <f>IFERROR(__xludf.DUMMYFUNCTION("""COMPUTED_VALUE"""),"")</f>
        <v/>
      </c>
    </row>
    <row r="1731">
      <c r="A1731" s="1" t="str">
        <f>IFERROR(__xludf.DUMMYFUNCTION("""COMPUTED_VALUE"""),"DSQ")</f>
        <v>DSQ</v>
      </c>
      <c r="B1731" s="1">
        <f>IFERROR(__xludf.DUMMYFUNCTION("""COMPUTED_VALUE"""),5270.0)</f>
        <v>5270</v>
      </c>
      <c r="C1731" s="2" t="str">
        <f>IFERROR(__xludf.DUMMYFUNCTION("""COMPUTED_VALUE"""),"Ivan Akbar")</f>
        <v>Ivan Akbar</v>
      </c>
      <c r="D1731" s="2" t="str">
        <f>IFERROR(__xludf.DUMMYFUNCTION("""COMPUTED_VALUE"""),"5KM OVERALL M")</f>
        <v>5KM OVERALL M</v>
      </c>
      <c r="E1731" s="1" t="str">
        <f>IFERROR(__xludf.DUMMYFUNCTION("""COMPUTED_VALUE"""),"DSQ")</f>
        <v>DSQ</v>
      </c>
      <c r="F1731" s="1" t="str">
        <f>IFERROR(__xludf.DUMMYFUNCTION("""COMPUTED_VALUE"""),"Male")</f>
        <v>Male</v>
      </c>
      <c r="G1731" s="5" t="str">
        <f>IFERROR(__xludf.DUMMYFUNCTION("""COMPUTED_VALUE"""),"")</f>
        <v/>
      </c>
      <c r="H1731" s="15">
        <f>IFERROR(__xludf.DUMMYFUNCTION("""COMPUTED_VALUE"""),0.2549440625)</f>
        <v>0.2549440625</v>
      </c>
      <c r="I1731" s="15" t="str">
        <f>IFERROR(__xludf.DUMMYFUNCTION("""COMPUTED_VALUE"""),"")</f>
        <v/>
      </c>
      <c r="J1731" s="15" t="str">
        <f>IFERROR(__xludf.DUMMYFUNCTION("""COMPUTED_VALUE"""),"")</f>
        <v/>
      </c>
      <c r="K1731" s="15" t="str">
        <f>IFERROR(__xludf.DUMMYFUNCTION("""COMPUTED_VALUE"""),"")</f>
        <v/>
      </c>
      <c r="L1731" s="4" t="str">
        <f>IFERROR(__xludf.DUMMYFUNCTION("""COMPUTED_VALUE"""),"")</f>
        <v/>
      </c>
    </row>
    <row r="1732">
      <c r="A1732" s="1" t="str">
        <f>IFERROR(__xludf.DUMMYFUNCTION("""COMPUTED_VALUE"""),"DSQ")</f>
        <v>DSQ</v>
      </c>
      <c r="B1732" s="1">
        <f>IFERROR(__xludf.DUMMYFUNCTION("""COMPUTED_VALUE"""),5274.0)</f>
        <v>5274</v>
      </c>
      <c r="C1732" s="2" t="str">
        <f>IFERROR(__xludf.DUMMYFUNCTION("""COMPUTED_VALUE"""),"Azmi Ganteng")</f>
        <v>Azmi Ganteng</v>
      </c>
      <c r="D1732" s="2" t="str">
        <f>IFERROR(__xludf.DUMMYFUNCTION("""COMPUTED_VALUE"""),"5KM OVERALL M")</f>
        <v>5KM OVERALL M</v>
      </c>
      <c r="E1732" s="1" t="str">
        <f>IFERROR(__xludf.DUMMYFUNCTION("""COMPUTED_VALUE"""),"DSQ")</f>
        <v>DSQ</v>
      </c>
      <c r="F1732" s="1" t="str">
        <f>IFERROR(__xludf.DUMMYFUNCTION("""COMPUTED_VALUE"""),"Male")</f>
        <v>Male</v>
      </c>
      <c r="G1732" s="5" t="str">
        <f>IFERROR(__xludf.DUMMYFUNCTION("""COMPUTED_VALUE"""),"")</f>
        <v/>
      </c>
      <c r="H1732" s="15">
        <f>IFERROR(__xludf.DUMMYFUNCTION("""COMPUTED_VALUE"""),0.2549440625)</f>
        <v>0.2549440625</v>
      </c>
      <c r="I1732" s="15" t="str">
        <f>IFERROR(__xludf.DUMMYFUNCTION("""COMPUTED_VALUE"""),"")</f>
        <v/>
      </c>
      <c r="J1732" s="15" t="str">
        <f>IFERROR(__xludf.DUMMYFUNCTION("""COMPUTED_VALUE"""),"")</f>
        <v/>
      </c>
      <c r="K1732" s="15" t="str">
        <f>IFERROR(__xludf.DUMMYFUNCTION("""COMPUTED_VALUE"""),"")</f>
        <v/>
      </c>
      <c r="L1732" s="4" t="str">
        <f>IFERROR(__xludf.DUMMYFUNCTION("""COMPUTED_VALUE"""),"")</f>
        <v/>
      </c>
    </row>
    <row r="1733">
      <c r="A1733" s="1" t="str">
        <f>IFERROR(__xludf.DUMMYFUNCTION("""COMPUTED_VALUE"""),"DSQ")</f>
        <v>DSQ</v>
      </c>
      <c r="B1733" s="1">
        <f>IFERROR(__xludf.DUMMYFUNCTION("""COMPUTED_VALUE"""),5297.0)</f>
        <v>5297</v>
      </c>
      <c r="C1733" s="2" t="str">
        <f>IFERROR(__xludf.DUMMYFUNCTION("""COMPUTED_VALUE"""),"Haryo")</f>
        <v>Haryo</v>
      </c>
      <c r="D1733" s="2" t="str">
        <f>IFERROR(__xludf.DUMMYFUNCTION("""COMPUTED_VALUE"""),"5KM OVERALL M")</f>
        <v>5KM OVERALL M</v>
      </c>
      <c r="E1733" s="1" t="str">
        <f>IFERROR(__xludf.DUMMYFUNCTION("""COMPUTED_VALUE"""),"DSQ")</f>
        <v>DSQ</v>
      </c>
      <c r="F1733" s="1" t="str">
        <f>IFERROR(__xludf.DUMMYFUNCTION("""COMPUTED_VALUE"""),"Male")</f>
        <v>Male</v>
      </c>
      <c r="G1733" s="5" t="str">
        <f>IFERROR(__xludf.DUMMYFUNCTION("""COMPUTED_VALUE"""),"")</f>
        <v/>
      </c>
      <c r="H1733" s="15">
        <f>IFERROR(__xludf.DUMMYFUNCTION("""COMPUTED_VALUE"""),0.2549440625)</f>
        <v>0.2549440625</v>
      </c>
      <c r="I1733" s="15" t="str">
        <f>IFERROR(__xludf.DUMMYFUNCTION("""COMPUTED_VALUE"""),"")</f>
        <v/>
      </c>
      <c r="J1733" s="15" t="str">
        <f>IFERROR(__xludf.DUMMYFUNCTION("""COMPUTED_VALUE"""),"")</f>
        <v/>
      </c>
      <c r="K1733" s="15" t="str">
        <f>IFERROR(__xludf.DUMMYFUNCTION("""COMPUTED_VALUE"""),"")</f>
        <v/>
      </c>
      <c r="L1733" s="4" t="str">
        <f>IFERROR(__xludf.DUMMYFUNCTION("""COMPUTED_VALUE"""),"")</f>
        <v/>
      </c>
    </row>
    <row r="1734">
      <c r="A1734" s="1" t="str">
        <f>IFERROR(__xludf.DUMMYFUNCTION("""COMPUTED_VALUE"""),"DSQ")</f>
        <v>DSQ</v>
      </c>
      <c r="B1734" s="1">
        <f>IFERROR(__xludf.DUMMYFUNCTION("""COMPUTED_VALUE"""),5322.0)</f>
        <v>5322</v>
      </c>
      <c r="C1734" s="2" t="str">
        <f>IFERROR(__xludf.DUMMYFUNCTION("""COMPUTED_VALUE"""),"Fikaboyy")</f>
        <v>Fikaboyy</v>
      </c>
      <c r="D1734" s="2" t="str">
        <f>IFERROR(__xludf.DUMMYFUNCTION("""COMPUTED_VALUE"""),"5KM OVERALL M")</f>
        <v>5KM OVERALL M</v>
      </c>
      <c r="E1734" s="1" t="str">
        <f>IFERROR(__xludf.DUMMYFUNCTION("""COMPUTED_VALUE"""),"DSQ")</f>
        <v>DSQ</v>
      </c>
      <c r="F1734" s="1" t="str">
        <f>IFERROR(__xludf.DUMMYFUNCTION("""COMPUTED_VALUE"""),"Male")</f>
        <v>Male</v>
      </c>
      <c r="G1734" s="5" t="str">
        <f>IFERROR(__xludf.DUMMYFUNCTION("""COMPUTED_VALUE"""),"")</f>
        <v/>
      </c>
      <c r="H1734" s="15">
        <f>IFERROR(__xludf.DUMMYFUNCTION("""COMPUTED_VALUE"""),0.2549440625)</f>
        <v>0.2549440625</v>
      </c>
      <c r="I1734" s="15" t="str">
        <f>IFERROR(__xludf.DUMMYFUNCTION("""COMPUTED_VALUE"""),"")</f>
        <v/>
      </c>
      <c r="J1734" s="15" t="str">
        <f>IFERROR(__xludf.DUMMYFUNCTION("""COMPUTED_VALUE"""),"")</f>
        <v/>
      </c>
      <c r="K1734" s="15" t="str">
        <f>IFERROR(__xludf.DUMMYFUNCTION("""COMPUTED_VALUE"""),"")</f>
        <v/>
      </c>
      <c r="L1734" s="4" t="str">
        <f>IFERROR(__xludf.DUMMYFUNCTION("""COMPUTED_VALUE"""),"")</f>
        <v/>
      </c>
    </row>
    <row r="1735">
      <c r="A1735" s="1" t="str">
        <f>IFERROR(__xludf.DUMMYFUNCTION("""COMPUTED_VALUE"""),"DSQ")</f>
        <v>DSQ</v>
      </c>
      <c r="B1735" s="1">
        <f>IFERROR(__xludf.DUMMYFUNCTION("""COMPUTED_VALUE"""),5330.0)</f>
        <v>5330</v>
      </c>
      <c r="C1735" s="2" t="str">
        <f>IFERROR(__xludf.DUMMYFUNCTION("""COMPUTED_VALUE"""),"RieF.B")</f>
        <v>RieF.B</v>
      </c>
      <c r="D1735" s="2" t="str">
        <f>IFERROR(__xludf.DUMMYFUNCTION("""COMPUTED_VALUE"""),"5KM OVERALL M")</f>
        <v>5KM OVERALL M</v>
      </c>
      <c r="E1735" s="1" t="str">
        <f>IFERROR(__xludf.DUMMYFUNCTION("""COMPUTED_VALUE"""),"DSQ")</f>
        <v>DSQ</v>
      </c>
      <c r="F1735" s="1" t="str">
        <f>IFERROR(__xludf.DUMMYFUNCTION("""COMPUTED_VALUE"""),"Male")</f>
        <v>Male</v>
      </c>
      <c r="G1735" s="5" t="str">
        <f>IFERROR(__xludf.DUMMYFUNCTION("""COMPUTED_VALUE"""),"")</f>
        <v/>
      </c>
      <c r="H1735" s="15">
        <f>IFERROR(__xludf.DUMMYFUNCTION("""COMPUTED_VALUE"""),0.2549440625)</f>
        <v>0.2549440625</v>
      </c>
      <c r="I1735" s="15" t="str">
        <f>IFERROR(__xludf.DUMMYFUNCTION("""COMPUTED_VALUE"""),"")</f>
        <v/>
      </c>
      <c r="J1735" s="15" t="str">
        <f>IFERROR(__xludf.DUMMYFUNCTION("""COMPUTED_VALUE"""),"")</f>
        <v/>
      </c>
      <c r="K1735" s="15">
        <f>IFERROR(__xludf.DUMMYFUNCTION("""COMPUTED_VALUE"""),45949.27999196808)</f>
        <v>45949.27999</v>
      </c>
      <c r="L1735" s="4"/>
    </row>
    <row r="1736">
      <c r="A1736" s="1" t="str">
        <f>IFERROR(__xludf.DUMMYFUNCTION("""COMPUTED_VALUE"""),"DSQ")</f>
        <v>DSQ</v>
      </c>
      <c r="B1736" s="1">
        <f>IFERROR(__xludf.DUMMYFUNCTION("""COMPUTED_VALUE"""),5332.0)</f>
        <v>5332</v>
      </c>
      <c r="C1736" s="2" t="str">
        <f>IFERROR(__xludf.DUMMYFUNCTION("""COMPUTED_VALUE"""),"JIMMY")</f>
        <v>JIMMY</v>
      </c>
      <c r="D1736" s="2" t="str">
        <f>IFERROR(__xludf.DUMMYFUNCTION("""COMPUTED_VALUE"""),"5KM OVERALL M")</f>
        <v>5KM OVERALL M</v>
      </c>
      <c r="E1736" s="1" t="str">
        <f>IFERROR(__xludf.DUMMYFUNCTION("""COMPUTED_VALUE"""),"DSQ")</f>
        <v>DSQ</v>
      </c>
      <c r="F1736" s="1" t="str">
        <f>IFERROR(__xludf.DUMMYFUNCTION("""COMPUTED_VALUE"""),"Male")</f>
        <v>Male</v>
      </c>
      <c r="G1736" s="5" t="str">
        <f>IFERROR(__xludf.DUMMYFUNCTION("""COMPUTED_VALUE"""),"")</f>
        <v/>
      </c>
      <c r="H1736" s="15">
        <f>IFERROR(__xludf.DUMMYFUNCTION("""COMPUTED_VALUE"""),0.2549440625)</f>
        <v>0.2549440625</v>
      </c>
      <c r="I1736" s="15" t="str">
        <f>IFERROR(__xludf.DUMMYFUNCTION("""COMPUTED_VALUE"""),"")</f>
        <v/>
      </c>
      <c r="J1736" s="15" t="str">
        <f>IFERROR(__xludf.DUMMYFUNCTION("""COMPUTED_VALUE"""),"")</f>
        <v/>
      </c>
      <c r="K1736" s="15" t="str">
        <f>IFERROR(__xludf.DUMMYFUNCTION("""COMPUTED_VALUE"""),"")</f>
        <v/>
      </c>
      <c r="L1736" s="4" t="str">
        <f>IFERROR(__xludf.DUMMYFUNCTION("""COMPUTED_VALUE"""),"")</f>
        <v/>
      </c>
    </row>
    <row r="1737">
      <c r="A1737" s="1" t="str">
        <f>IFERROR(__xludf.DUMMYFUNCTION("""COMPUTED_VALUE"""),"DSQ")</f>
        <v>DSQ</v>
      </c>
      <c r="B1737" s="1">
        <f>IFERROR(__xludf.DUMMYFUNCTION("""COMPUTED_VALUE"""),5341.0)</f>
        <v>5341</v>
      </c>
      <c r="C1737" s="2" t="str">
        <f>IFERROR(__xludf.DUMMYFUNCTION("""COMPUTED_VALUE"""),"Guntur")</f>
        <v>Guntur</v>
      </c>
      <c r="D1737" s="2" t="str">
        <f>IFERROR(__xludf.DUMMYFUNCTION("""COMPUTED_VALUE"""),"5KM OVERALL M")</f>
        <v>5KM OVERALL M</v>
      </c>
      <c r="E1737" s="1" t="str">
        <f>IFERROR(__xludf.DUMMYFUNCTION("""COMPUTED_VALUE"""),"DSQ")</f>
        <v>DSQ</v>
      </c>
      <c r="F1737" s="1" t="str">
        <f>IFERROR(__xludf.DUMMYFUNCTION("""COMPUTED_VALUE"""),"Male")</f>
        <v>Male</v>
      </c>
      <c r="G1737" s="5" t="str">
        <f>IFERROR(__xludf.DUMMYFUNCTION("""COMPUTED_VALUE"""),"")</f>
        <v/>
      </c>
      <c r="H1737" s="15">
        <f>IFERROR(__xludf.DUMMYFUNCTION("""COMPUTED_VALUE"""),0.2549440625)</f>
        <v>0.2549440625</v>
      </c>
      <c r="I1737" s="15" t="str">
        <f>IFERROR(__xludf.DUMMYFUNCTION("""COMPUTED_VALUE"""),"")</f>
        <v/>
      </c>
      <c r="J1737" s="15" t="str">
        <f>IFERROR(__xludf.DUMMYFUNCTION("""COMPUTED_VALUE"""),"")</f>
        <v/>
      </c>
      <c r="K1737" s="15" t="str">
        <f>IFERROR(__xludf.DUMMYFUNCTION("""COMPUTED_VALUE"""),"")</f>
        <v/>
      </c>
      <c r="L1737" s="4" t="str">
        <f>IFERROR(__xludf.DUMMYFUNCTION("""COMPUTED_VALUE"""),"")</f>
        <v/>
      </c>
    </row>
    <row r="1738">
      <c r="A1738" s="1" t="str">
        <f>IFERROR(__xludf.DUMMYFUNCTION("""COMPUTED_VALUE"""),"DSQ")</f>
        <v>DSQ</v>
      </c>
      <c r="B1738" s="1">
        <f>IFERROR(__xludf.DUMMYFUNCTION("""COMPUTED_VALUE"""),5383.0)</f>
        <v>5383</v>
      </c>
      <c r="C1738" s="2" t="str">
        <f>IFERROR(__xludf.DUMMYFUNCTION("""COMPUTED_VALUE"""),"Ocid")</f>
        <v>Ocid</v>
      </c>
      <c r="D1738" s="2" t="str">
        <f>IFERROR(__xludf.DUMMYFUNCTION("""COMPUTED_VALUE"""),"5KM OVERALL M")</f>
        <v>5KM OVERALL M</v>
      </c>
      <c r="E1738" s="1" t="str">
        <f>IFERROR(__xludf.DUMMYFUNCTION("""COMPUTED_VALUE"""),"DSQ")</f>
        <v>DSQ</v>
      </c>
      <c r="F1738" s="1" t="str">
        <f>IFERROR(__xludf.DUMMYFUNCTION("""COMPUTED_VALUE"""),"Male")</f>
        <v>Male</v>
      </c>
      <c r="G1738" s="5" t="str">
        <f>IFERROR(__xludf.DUMMYFUNCTION("""COMPUTED_VALUE"""),"")</f>
        <v/>
      </c>
      <c r="H1738" s="15">
        <f>IFERROR(__xludf.DUMMYFUNCTION("""COMPUTED_VALUE"""),0.2549440625)</f>
        <v>0.2549440625</v>
      </c>
      <c r="I1738" s="15" t="str">
        <f>IFERROR(__xludf.DUMMYFUNCTION("""COMPUTED_VALUE"""),"")</f>
        <v/>
      </c>
      <c r="J1738" s="15" t="str">
        <f>IFERROR(__xludf.DUMMYFUNCTION("""COMPUTED_VALUE"""),"")</f>
        <v/>
      </c>
      <c r="K1738" s="15" t="str">
        <f>IFERROR(__xludf.DUMMYFUNCTION("""COMPUTED_VALUE"""),"")</f>
        <v/>
      </c>
      <c r="L1738" s="4" t="str">
        <f>IFERROR(__xludf.DUMMYFUNCTION("""COMPUTED_VALUE"""),"")</f>
        <v/>
      </c>
    </row>
    <row r="1739">
      <c r="A1739" s="1" t="str">
        <f>IFERROR(__xludf.DUMMYFUNCTION("""COMPUTED_VALUE"""),"DSQ")</f>
        <v>DSQ</v>
      </c>
      <c r="B1739" s="1">
        <f>IFERROR(__xludf.DUMMYFUNCTION("""COMPUTED_VALUE"""),5392.0)</f>
        <v>5392</v>
      </c>
      <c r="C1739" s="2" t="str">
        <f>IFERROR(__xludf.DUMMYFUNCTION("""COMPUTED_VALUE"""),"Ade")</f>
        <v>Ade</v>
      </c>
      <c r="D1739" s="2" t="str">
        <f>IFERROR(__xludf.DUMMYFUNCTION("""COMPUTED_VALUE"""),"5KM OVERALL M")</f>
        <v>5KM OVERALL M</v>
      </c>
      <c r="E1739" s="1" t="str">
        <f>IFERROR(__xludf.DUMMYFUNCTION("""COMPUTED_VALUE"""),"DSQ")</f>
        <v>DSQ</v>
      </c>
      <c r="F1739" s="1" t="str">
        <f>IFERROR(__xludf.DUMMYFUNCTION("""COMPUTED_VALUE"""),"Male")</f>
        <v>Male</v>
      </c>
      <c r="G1739" s="5" t="str">
        <f>IFERROR(__xludf.DUMMYFUNCTION("""COMPUTED_VALUE"""),"")</f>
        <v/>
      </c>
      <c r="H1739" s="15">
        <f>IFERROR(__xludf.DUMMYFUNCTION("""COMPUTED_VALUE"""),0.2549440625)</f>
        <v>0.2549440625</v>
      </c>
      <c r="I1739" s="15" t="str">
        <f>IFERROR(__xludf.DUMMYFUNCTION("""COMPUTED_VALUE"""),"")</f>
        <v/>
      </c>
      <c r="J1739" s="15" t="str">
        <f>IFERROR(__xludf.DUMMYFUNCTION("""COMPUTED_VALUE"""),"")</f>
        <v/>
      </c>
      <c r="K1739" s="15" t="str">
        <f>IFERROR(__xludf.DUMMYFUNCTION("""COMPUTED_VALUE"""),"")</f>
        <v/>
      </c>
      <c r="L1739" s="4" t="str">
        <f>IFERROR(__xludf.DUMMYFUNCTION("""COMPUTED_VALUE"""),"")</f>
        <v/>
      </c>
    </row>
    <row r="1740">
      <c r="A1740" s="1" t="str">
        <f>IFERROR(__xludf.DUMMYFUNCTION("""COMPUTED_VALUE"""),"DSQ")</f>
        <v>DSQ</v>
      </c>
      <c r="B1740" s="1">
        <f>IFERROR(__xludf.DUMMYFUNCTION("""COMPUTED_VALUE"""),5407.0)</f>
        <v>5407</v>
      </c>
      <c r="C1740" s="2" t="str">
        <f>IFERROR(__xludf.DUMMYFUNCTION("""COMPUTED_VALUE"""),"Rudi S")</f>
        <v>Rudi S</v>
      </c>
      <c r="D1740" s="2" t="str">
        <f>IFERROR(__xludf.DUMMYFUNCTION("""COMPUTED_VALUE"""),"5KM OVERALL M")</f>
        <v>5KM OVERALL M</v>
      </c>
      <c r="E1740" s="1" t="str">
        <f>IFERROR(__xludf.DUMMYFUNCTION("""COMPUTED_VALUE"""),"DSQ")</f>
        <v>DSQ</v>
      </c>
      <c r="F1740" s="1" t="str">
        <f>IFERROR(__xludf.DUMMYFUNCTION("""COMPUTED_VALUE"""),"Male")</f>
        <v>Male</v>
      </c>
      <c r="G1740" s="5" t="str">
        <f>IFERROR(__xludf.DUMMYFUNCTION("""COMPUTED_VALUE"""),"")</f>
        <v/>
      </c>
      <c r="H1740" s="15">
        <f>IFERROR(__xludf.DUMMYFUNCTION("""COMPUTED_VALUE"""),0.2549440625)</f>
        <v>0.2549440625</v>
      </c>
      <c r="I1740" s="15" t="str">
        <f>IFERROR(__xludf.DUMMYFUNCTION("""COMPUTED_VALUE"""),"")</f>
        <v/>
      </c>
      <c r="J1740" s="15" t="str">
        <f>IFERROR(__xludf.DUMMYFUNCTION("""COMPUTED_VALUE"""),"")</f>
        <v/>
      </c>
      <c r="K1740" s="15" t="str">
        <f>IFERROR(__xludf.DUMMYFUNCTION("""COMPUTED_VALUE"""),"")</f>
        <v/>
      </c>
      <c r="L1740" s="4" t="str">
        <f>IFERROR(__xludf.DUMMYFUNCTION("""COMPUTED_VALUE"""),"")</f>
        <v/>
      </c>
    </row>
    <row r="1741">
      <c r="A1741" s="1" t="str">
        <f>IFERROR(__xludf.DUMMYFUNCTION("""COMPUTED_VALUE"""),"DSQ")</f>
        <v>DSQ</v>
      </c>
      <c r="B1741" s="1">
        <f>IFERROR(__xludf.DUMMYFUNCTION("""COMPUTED_VALUE"""),5425.0)</f>
        <v>5425</v>
      </c>
      <c r="C1741" s="2" t="str">
        <f>IFERROR(__xludf.DUMMYFUNCTION("""COMPUTED_VALUE"""),"Hafiz")</f>
        <v>Hafiz</v>
      </c>
      <c r="D1741" s="2" t="str">
        <f>IFERROR(__xludf.DUMMYFUNCTION("""COMPUTED_VALUE"""),"5KM OVERALL M")</f>
        <v>5KM OVERALL M</v>
      </c>
      <c r="E1741" s="1" t="str">
        <f>IFERROR(__xludf.DUMMYFUNCTION("""COMPUTED_VALUE"""),"DSQ")</f>
        <v>DSQ</v>
      </c>
      <c r="F1741" s="1" t="str">
        <f>IFERROR(__xludf.DUMMYFUNCTION("""COMPUTED_VALUE"""),"Male")</f>
        <v>Male</v>
      </c>
      <c r="G1741" s="5" t="str">
        <f>IFERROR(__xludf.DUMMYFUNCTION("""COMPUTED_VALUE"""),"")</f>
        <v/>
      </c>
      <c r="H1741" s="15">
        <f>IFERROR(__xludf.DUMMYFUNCTION("""COMPUTED_VALUE"""),0.2549440625)</f>
        <v>0.2549440625</v>
      </c>
      <c r="I1741" s="15" t="str">
        <f>IFERROR(__xludf.DUMMYFUNCTION("""COMPUTED_VALUE"""),"")</f>
        <v/>
      </c>
      <c r="J1741" s="15" t="str">
        <f>IFERROR(__xludf.DUMMYFUNCTION("""COMPUTED_VALUE"""),"")</f>
        <v/>
      </c>
      <c r="K1741" s="15" t="str">
        <f>IFERROR(__xludf.DUMMYFUNCTION("""COMPUTED_VALUE"""),"")</f>
        <v/>
      </c>
      <c r="L1741" s="4" t="str">
        <f>IFERROR(__xludf.DUMMYFUNCTION("""COMPUTED_VALUE"""),"")</f>
        <v/>
      </c>
    </row>
    <row r="1742">
      <c r="A1742" s="1" t="str">
        <f>IFERROR(__xludf.DUMMYFUNCTION("""COMPUTED_VALUE"""),"DSQ")</f>
        <v>DSQ</v>
      </c>
      <c r="B1742" s="1">
        <f>IFERROR(__xludf.DUMMYFUNCTION("""COMPUTED_VALUE"""),5432.0)</f>
        <v>5432</v>
      </c>
      <c r="C1742" s="2" t="str">
        <f>IFERROR(__xludf.DUMMYFUNCTION("""COMPUTED_VALUE"""),"BengBeng")</f>
        <v>BengBeng</v>
      </c>
      <c r="D1742" s="2" t="str">
        <f>IFERROR(__xludf.DUMMYFUNCTION("""COMPUTED_VALUE"""),"5KM OVERALL M")</f>
        <v>5KM OVERALL M</v>
      </c>
      <c r="E1742" s="1" t="str">
        <f>IFERROR(__xludf.DUMMYFUNCTION("""COMPUTED_VALUE"""),"DSQ")</f>
        <v>DSQ</v>
      </c>
      <c r="F1742" s="1" t="str">
        <f>IFERROR(__xludf.DUMMYFUNCTION("""COMPUTED_VALUE"""),"Male")</f>
        <v>Male</v>
      </c>
      <c r="G1742" s="5" t="str">
        <f>IFERROR(__xludf.DUMMYFUNCTION("""COMPUTED_VALUE"""),"")</f>
        <v/>
      </c>
      <c r="H1742" s="15">
        <f>IFERROR(__xludf.DUMMYFUNCTION("""COMPUTED_VALUE"""),0.2549440625)</f>
        <v>0.2549440625</v>
      </c>
      <c r="I1742" s="15" t="str">
        <f>IFERROR(__xludf.DUMMYFUNCTION("""COMPUTED_VALUE"""),"")</f>
        <v/>
      </c>
      <c r="J1742" s="15" t="str">
        <f>IFERROR(__xludf.DUMMYFUNCTION("""COMPUTED_VALUE"""),"")</f>
        <v/>
      </c>
      <c r="K1742" s="15" t="str">
        <f>IFERROR(__xludf.DUMMYFUNCTION("""COMPUTED_VALUE"""),"")</f>
        <v/>
      </c>
      <c r="L1742" s="4" t="str">
        <f>IFERROR(__xludf.DUMMYFUNCTION("""COMPUTED_VALUE"""),"")</f>
        <v/>
      </c>
    </row>
    <row r="1743">
      <c r="A1743" s="1" t="str">
        <f>IFERROR(__xludf.DUMMYFUNCTION("""COMPUTED_VALUE"""),"DSQ")</f>
        <v>DSQ</v>
      </c>
      <c r="B1743" s="1">
        <f>IFERROR(__xludf.DUMMYFUNCTION("""COMPUTED_VALUE"""),5439.0)</f>
        <v>5439</v>
      </c>
      <c r="C1743" s="2" t="str">
        <f>IFERROR(__xludf.DUMMYFUNCTION("""COMPUTED_VALUE"""),"ASHIF")</f>
        <v>ASHIF</v>
      </c>
      <c r="D1743" s="2" t="str">
        <f>IFERROR(__xludf.DUMMYFUNCTION("""COMPUTED_VALUE"""),"5KM OVERALL M")</f>
        <v>5KM OVERALL M</v>
      </c>
      <c r="E1743" s="1" t="str">
        <f>IFERROR(__xludf.DUMMYFUNCTION("""COMPUTED_VALUE"""),"DSQ")</f>
        <v>DSQ</v>
      </c>
      <c r="F1743" s="1" t="str">
        <f>IFERROR(__xludf.DUMMYFUNCTION("""COMPUTED_VALUE"""),"Male")</f>
        <v>Male</v>
      </c>
      <c r="G1743" s="5" t="str">
        <f>IFERROR(__xludf.DUMMYFUNCTION("""COMPUTED_VALUE"""),"")</f>
        <v/>
      </c>
      <c r="H1743" s="15">
        <f>IFERROR(__xludf.DUMMYFUNCTION("""COMPUTED_VALUE"""),0.2549440625)</f>
        <v>0.2549440625</v>
      </c>
      <c r="I1743" s="15" t="str">
        <f>IFERROR(__xludf.DUMMYFUNCTION("""COMPUTED_VALUE"""),"")</f>
        <v/>
      </c>
      <c r="J1743" s="15" t="str">
        <f>IFERROR(__xludf.DUMMYFUNCTION("""COMPUTED_VALUE"""),"")</f>
        <v/>
      </c>
      <c r="K1743" s="15" t="str">
        <f>IFERROR(__xludf.DUMMYFUNCTION("""COMPUTED_VALUE"""),"")</f>
        <v/>
      </c>
      <c r="L1743" s="4" t="str">
        <f>IFERROR(__xludf.DUMMYFUNCTION("""COMPUTED_VALUE"""),"")</f>
        <v/>
      </c>
    </row>
    <row r="1744">
      <c r="A1744" s="1" t="str">
        <f>IFERROR(__xludf.DUMMYFUNCTION("""COMPUTED_VALUE"""),"DSQ")</f>
        <v>DSQ</v>
      </c>
      <c r="B1744" s="1">
        <f>IFERROR(__xludf.DUMMYFUNCTION("""COMPUTED_VALUE"""),5450.0)</f>
        <v>5450</v>
      </c>
      <c r="C1744" s="2" t="str">
        <f>IFERROR(__xludf.DUMMYFUNCTION("""COMPUTED_VALUE"""),"SALIHIN")</f>
        <v>SALIHIN</v>
      </c>
      <c r="D1744" s="2" t="str">
        <f>IFERROR(__xludf.DUMMYFUNCTION("""COMPUTED_VALUE"""),"5KM OVERALL M")</f>
        <v>5KM OVERALL M</v>
      </c>
      <c r="E1744" s="1" t="str">
        <f>IFERROR(__xludf.DUMMYFUNCTION("""COMPUTED_VALUE"""),"DSQ")</f>
        <v>DSQ</v>
      </c>
      <c r="F1744" s="1" t="str">
        <f>IFERROR(__xludf.DUMMYFUNCTION("""COMPUTED_VALUE"""),"Male")</f>
        <v>Male</v>
      </c>
      <c r="G1744" s="5" t="str">
        <f>IFERROR(__xludf.DUMMYFUNCTION("""COMPUTED_VALUE"""),"")</f>
        <v/>
      </c>
      <c r="H1744" s="15">
        <f>IFERROR(__xludf.DUMMYFUNCTION("""COMPUTED_VALUE"""),0.2549440625)</f>
        <v>0.2549440625</v>
      </c>
      <c r="I1744" s="15" t="str">
        <f>IFERROR(__xludf.DUMMYFUNCTION("""COMPUTED_VALUE"""),"")</f>
        <v/>
      </c>
      <c r="J1744" s="15" t="str">
        <f>IFERROR(__xludf.DUMMYFUNCTION("""COMPUTED_VALUE"""),"")</f>
        <v/>
      </c>
      <c r="K1744" s="15" t="str">
        <f>IFERROR(__xludf.DUMMYFUNCTION("""COMPUTED_VALUE"""),"")</f>
        <v/>
      </c>
      <c r="L1744" s="4" t="str">
        <f>IFERROR(__xludf.DUMMYFUNCTION("""COMPUTED_VALUE"""),"")</f>
        <v/>
      </c>
    </row>
    <row r="1745">
      <c r="A1745" s="1" t="str">
        <f>IFERROR(__xludf.DUMMYFUNCTION("""COMPUTED_VALUE"""),"DSQ")</f>
        <v>DSQ</v>
      </c>
      <c r="B1745" s="1">
        <f>IFERROR(__xludf.DUMMYFUNCTION("""COMPUTED_VALUE"""),5457.0)</f>
        <v>5457</v>
      </c>
      <c r="C1745" s="2" t="str">
        <f>IFERROR(__xludf.DUMMYFUNCTION("""COMPUTED_VALUE"""),"Endra")</f>
        <v>Endra</v>
      </c>
      <c r="D1745" s="2" t="str">
        <f>IFERROR(__xludf.DUMMYFUNCTION("""COMPUTED_VALUE"""),"5KM OVERALL M")</f>
        <v>5KM OVERALL M</v>
      </c>
      <c r="E1745" s="1" t="str">
        <f>IFERROR(__xludf.DUMMYFUNCTION("""COMPUTED_VALUE"""),"DSQ")</f>
        <v>DSQ</v>
      </c>
      <c r="F1745" s="1" t="str">
        <f>IFERROR(__xludf.DUMMYFUNCTION("""COMPUTED_VALUE"""),"Male")</f>
        <v>Male</v>
      </c>
      <c r="G1745" s="5" t="str">
        <f>IFERROR(__xludf.DUMMYFUNCTION("""COMPUTED_VALUE"""),"")</f>
        <v/>
      </c>
      <c r="H1745" s="15">
        <f>IFERROR(__xludf.DUMMYFUNCTION("""COMPUTED_VALUE"""),0.2549440625)</f>
        <v>0.2549440625</v>
      </c>
      <c r="I1745" s="15" t="str">
        <f>IFERROR(__xludf.DUMMYFUNCTION("""COMPUTED_VALUE"""),"")</f>
        <v/>
      </c>
      <c r="J1745" s="15" t="str">
        <f>IFERROR(__xludf.DUMMYFUNCTION("""COMPUTED_VALUE"""),"")</f>
        <v/>
      </c>
      <c r="K1745" s="15" t="str">
        <f>IFERROR(__xludf.DUMMYFUNCTION("""COMPUTED_VALUE"""),"")</f>
        <v/>
      </c>
      <c r="L1745" s="4" t="str">
        <f>IFERROR(__xludf.DUMMYFUNCTION("""COMPUTED_VALUE"""),"")</f>
        <v/>
      </c>
    </row>
    <row r="1746">
      <c r="A1746" s="1" t="str">
        <f>IFERROR(__xludf.DUMMYFUNCTION("""COMPUTED_VALUE"""),"DSQ")</f>
        <v>DSQ</v>
      </c>
      <c r="B1746" s="1">
        <f>IFERROR(__xludf.DUMMYFUNCTION("""COMPUTED_VALUE"""),5460.0)</f>
        <v>5460</v>
      </c>
      <c r="C1746" s="2" t="str">
        <f>IFERROR(__xludf.DUMMYFUNCTION("""COMPUTED_VALUE"""),"Warto")</f>
        <v>Warto</v>
      </c>
      <c r="D1746" s="2" t="str">
        <f>IFERROR(__xludf.DUMMYFUNCTION("""COMPUTED_VALUE"""),"5KM OVERALL M")</f>
        <v>5KM OVERALL M</v>
      </c>
      <c r="E1746" s="1" t="str">
        <f>IFERROR(__xludf.DUMMYFUNCTION("""COMPUTED_VALUE"""),"DSQ")</f>
        <v>DSQ</v>
      </c>
      <c r="F1746" s="1" t="str">
        <f>IFERROR(__xludf.DUMMYFUNCTION("""COMPUTED_VALUE"""),"Male")</f>
        <v>Male</v>
      </c>
      <c r="G1746" s="5" t="str">
        <f>IFERROR(__xludf.DUMMYFUNCTION("""COMPUTED_VALUE"""),"")</f>
        <v/>
      </c>
      <c r="H1746" s="15">
        <f>IFERROR(__xludf.DUMMYFUNCTION("""COMPUTED_VALUE"""),0.2549440625)</f>
        <v>0.2549440625</v>
      </c>
      <c r="I1746" s="15" t="str">
        <f>IFERROR(__xludf.DUMMYFUNCTION("""COMPUTED_VALUE"""),"")</f>
        <v/>
      </c>
      <c r="J1746" s="15" t="str">
        <f>IFERROR(__xludf.DUMMYFUNCTION("""COMPUTED_VALUE"""),"")</f>
        <v/>
      </c>
      <c r="K1746" s="15" t="str">
        <f>IFERROR(__xludf.DUMMYFUNCTION("""COMPUTED_VALUE"""),"")</f>
        <v/>
      </c>
      <c r="L1746" s="4" t="str">
        <f>IFERROR(__xludf.DUMMYFUNCTION("""COMPUTED_VALUE"""),"")</f>
        <v/>
      </c>
    </row>
    <row r="1747">
      <c r="A1747" s="1" t="str">
        <f>IFERROR(__xludf.DUMMYFUNCTION("""COMPUTED_VALUE"""),"DSQ")</f>
        <v>DSQ</v>
      </c>
      <c r="B1747" s="1">
        <f>IFERROR(__xludf.DUMMYFUNCTION("""COMPUTED_VALUE"""),5461.0)</f>
        <v>5461</v>
      </c>
      <c r="C1747" s="2" t="str">
        <f>IFERROR(__xludf.DUMMYFUNCTION("""COMPUTED_VALUE"""),"RMDHN")</f>
        <v>RMDHN</v>
      </c>
      <c r="D1747" s="2" t="str">
        <f>IFERROR(__xludf.DUMMYFUNCTION("""COMPUTED_VALUE"""),"5KM OVERALL M")</f>
        <v>5KM OVERALL M</v>
      </c>
      <c r="E1747" s="1" t="str">
        <f>IFERROR(__xludf.DUMMYFUNCTION("""COMPUTED_VALUE"""),"DSQ")</f>
        <v>DSQ</v>
      </c>
      <c r="F1747" s="1" t="str">
        <f>IFERROR(__xludf.DUMMYFUNCTION("""COMPUTED_VALUE"""),"Male")</f>
        <v>Male</v>
      </c>
      <c r="G1747" s="5" t="str">
        <f>IFERROR(__xludf.DUMMYFUNCTION("""COMPUTED_VALUE"""),"")</f>
        <v/>
      </c>
      <c r="H1747" s="15">
        <f>IFERROR(__xludf.DUMMYFUNCTION("""COMPUTED_VALUE"""),0.2549440625)</f>
        <v>0.2549440625</v>
      </c>
      <c r="I1747" s="15" t="str">
        <f>IFERROR(__xludf.DUMMYFUNCTION("""COMPUTED_VALUE"""),"")</f>
        <v/>
      </c>
      <c r="J1747" s="15" t="str">
        <f>IFERROR(__xludf.DUMMYFUNCTION("""COMPUTED_VALUE"""),"")</f>
        <v/>
      </c>
      <c r="K1747" s="15" t="str">
        <f>IFERROR(__xludf.DUMMYFUNCTION("""COMPUTED_VALUE"""),"")</f>
        <v/>
      </c>
      <c r="L1747" s="4" t="str">
        <f>IFERROR(__xludf.DUMMYFUNCTION("""COMPUTED_VALUE"""),"")</f>
        <v/>
      </c>
    </row>
    <row r="1748">
      <c r="A1748" s="1" t="str">
        <f>IFERROR(__xludf.DUMMYFUNCTION("""COMPUTED_VALUE"""),"DSQ")</f>
        <v>DSQ</v>
      </c>
      <c r="B1748" s="1">
        <f>IFERROR(__xludf.DUMMYFUNCTION("""COMPUTED_VALUE"""),5469.0)</f>
        <v>5469</v>
      </c>
      <c r="C1748" s="2" t="str">
        <f>IFERROR(__xludf.DUMMYFUNCTION("""COMPUTED_VALUE"""),"maliq")</f>
        <v>maliq</v>
      </c>
      <c r="D1748" s="2" t="str">
        <f>IFERROR(__xludf.DUMMYFUNCTION("""COMPUTED_VALUE"""),"5KM OVERALL M")</f>
        <v>5KM OVERALL M</v>
      </c>
      <c r="E1748" s="1" t="str">
        <f>IFERROR(__xludf.DUMMYFUNCTION("""COMPUTED_VALUE"""),"DSQ")</f>
        <v>DSQ</v>
      </c>
      <c r="F1748" s="1" t="str">
        <f>IFERROR(__xludf.DUMMYFUNCTION("""COMPUTED_VALUE"""),"Male")</f>
        <v>Male</v>
      </c>
      <c r="G1748" s="5" t="str">
        <f>IFERROR(__xludf.DUMMYFUNCTION("""COMPUTED_VALUE"""),"")</f>
        <v/>
      </c>
      <c r="H1748" s="15">
        <f>IFERROR(__xludf.DUMMYFUNCTION("""COMPUTED_VALUE"""),0.2549440625)</f>
        <v>0.2549440625</v>
      </c>
      <c r="I1748" s="15" t="str">
        <f>IFERROR(__xludf.DUMMYFUNCTION("""COMPUTED_VALUE"""),"")</f>
        <v/>
      </c>
      <c r="J1748" s="15" t="str">
        <f>IFERROR(__xludf.DUMMYFUNCTION("""COMPUTED_VALUE"""),"")</f>
        <v/>
      </c>
      <c r="K1748" s="15" t="str">
        <f>IFERROR(__xludf.DUMMYFUNCTION("""COMPUTED_VALUE"""),"")</f>
        <v/>
      </c>
      <c r="L1748" s="4" t="str">
        <f>IFERROR(__xludf.DUMMYFUNCTION("""COMPUTED_VALUE"""),"")</f>
        <v/>
      </c>
    </row>
    <row r="1749">
      <c r="A1749" s="1" t="str">
        <f>IFERROR(__xludf.DUMMYFUNCTION("""COMPUTED_VALUE"""),"DSQ")</f>
        <v>DSQ</v>
      </c>
      <c r="B1749" s="1">
        <f>IFERROR(__xludf.DUMMYFUNCTION("""COMPUTED_VALUE"""),5479.0)</f>
        <v>5479</v>
      </c>
      <c r="C1749" s="2" t="str">
        <f>IFERROR(__xludf.DUMMYFUNCTION("""COMPUTED_VALUE"""),"HendrAp")</f>
        <v>HendrAp</v>
      </c>
      <c r="D1749" s="2" t="str">
        <f>IFERROR(__xludf.DUMMYFUNCTION("""COMPUTED_VALUE"""),"5KM OVERALL M")</f>
        <v>5KM OVERALL M</v>
      </c>
      <c r="E1749" s="1" t="str">
        <f>IFERROR(__xludf.DUMMYFUNCTION("""COMPUTED_VALUE"""),"DSQ")</f>
        <v>DSQ</v>
      </c>
      <c r="F1749" s="1" t="str">
        <f>IFERROR(__xludf.DUMMYFUNCTION("""COMPUTED_VALUE"""),"Male")</f>
        <v>Male</v>
      </c>
      <c r="G1749" s="5" t="str">
        <f>IFERROR(__xludf.DUMMYFUNCTION("""COMPUTED_VALUE"""),"")</f>
        <v/>
      </c>
      <c r="H1749" s="15">
        <f>IFERROR(__xludf.DUMMYFUNCTION("""COMPUTED_VALUE"""),0.2549440625)</f>
        <v>0.2549440625</v>
      </c>
      <c r="I1749" s="15" t="str">
        <f>IFERROR(__xludf.DUMMYFUNCTION("""COMPUTED_VALUE"""),"")</f>
        <v/>
      </c>
      <c r="J1749" s="15" t="str">
        <f>IFERROR(__xludf.DUMMYFUNCTION("""COMPUTED_VALUE"""),"")</f>
        <v/>
      </c>
      <c r="K1749" s="15" t="str">
        <f>IFERROR(__xludf.DUMMYFUNCTION("""COMPUTED_VALUE"""),"")</f>
        <v/>
      </c>
      <c r="L1749" s="4" t="str">
        <f>IFERROR(__xludf.DUMMYFUNCTION("""COMPUTED_VALUE"""),"")</f>
        <v/>
      </c>
    </row>
    <row r="1750">
      <c r="A1750" s="1" t="str">
        <f>IFERROR(__xludf.DUMMYFUNCTION("""COMPUTED_VALUE"""),"DSQ")</f>
        <v>DSQ</v>
      </c>
      <c r="B1750" s="1">
        <f>IFERROR(__xludf.DUMMYFUNCTION("""COMPUTED_VALUE"""),5493.0)</f>
        <v>5493</v>
      </c>
      <c r="C1750" s="2" t="str">
        <f>IFERROR(__xludf.DUMMYFUNCTION("""COMPUTED_VALUE"""),"Anggara")</f>
        <v>Anggara</v>
      </c>
      <c r="D1750" s="2" t="str">
        <f>IFERROR(__xludf.DUMMYFUNCTION("""COMPUTED_VALUE"""),"5KM OVERALL M")</f>
        <v>5KM OVERALL M</v>
      </c>
      <c r="E1750" s="1" t="str">
        <f>IFERROR(__xludf.DUMMYFUNCTION("""COMPUTED_VALUE"""),"DSQ")</f>
        <v>DSQ</v>
      </c>
      <c r="F1750" s="1" t="str">
        <f>IFERROR(__xludf.DUMMYFUNCTION("""COMPUTED_VALUE"""),"Male")</f>
        <v>Male</v>
      </c>
      <c r="G1750" s="5" t="str">
        <f>IFERROR(__xludf.DUMMYFUNCTION("""COMPUTED_VALUE"""),"")</f>
        <v/>
      </c>
      <c r="H1750" s="15">
        <f>IFERROR(__xludf.DUMMYFUNCTION("""COMPUTED_VALUE"""),0.2549440625)</f>
        <v>0.2549440625</v>
      </c>
      <c r="I1750" s="15" t="str">
        <f>IFERROR(__xludf.DUMMYFUNCTION("""COMPUTED_VALUE"""),"")</f>
        <v/>
      </c>
      <c r="J1750" s="15" t="str">
        <f>IFERROR(__xludf.DUMMYFUNCTION("""COMPUTED_VALUE"""),"")</f>
        <v/>
      </c>
      <c r="K1750" s="15" t="str">
        <f>IFERROR(__xludf.DUMMYFUNCTION("""COMPUTED_VALUE"""),"")</f>
        <v/>
      </c>
      <c r="L1750" s="4" t="str">
        <f>IFERROR(__xludf.DUMMYFUNCTION("""COMPUTED_VALUE"""),"")</f>
        <v/>
      </c>
    </row>
    <row r="1751">
      <c r="A1751" s="1" t="str">
        <f>IFERROR(__xludf.DUMMYFUNCTION("""COMPUTED_VALUE"""),"DSQ")</f>
        <v>DSQ</v>
      </c>
      <c r="B1751" s="1">
        <f>IFERROR(__xludf.DUMMYFUNCTION("""COMPUTED_VALUE"""),5511.0)</f>
        <v>5511</v>
      </c>
      <c r="C1751" s="2" t="str">
        <f>IFERROR(__xludf.DUMMYFUNCTION("""COMPUTED_VALUE"""),"Hanafi Rizani")</f>
        <v>Hanafi Rizani</v>
      </c>
      <c r="D1751" s="2" t="str">
        <f>IFERROR(__xludf.DUMMYFUNCTION("""COMPUTED_VALUE"""),"5KM OVERALL M")</f>
        <v>5KM OVERALL M</v>
      </c>
      <c r="E1751" s="1" t="str">
        <f>IFERROR(__xludf.DUMMYFUNCTION("""COMPUTED_VALUE"""),"DSQ")</f>
        <v>DSQ</v>
      </c>
      <c r="F1751" s="1" t="str">
        <f>IFERROR(__xludf.DUMMYFUNCTION("""COMPUTED_VALUE"""),"Male")</f>
        <v>Male</v>
      </c>
      <c r="G1751" s="5" t="str">
        <f>IFERROR(__xludf.DUMMYFUNCTION("""COMPUTED_VALUE"""),"")</f>
        <v/>
      </c>
      <c r="H1751" s="15">
        <f>IFERROR(__xludf.DUMMYFUNCTION("""COMPUTED_VALUE"""),0.2549440625)</f>
        <v>0.2549440625</v>
      </c>
      <c r="I1751" s="15" t="str">
        <f>IFERROR(__xludf.DUMMYFUNCTION("""COMPUTED_VALUE"""),"")</f>
        <v/>
      </c>
      <c r="J1751" s="15" t="str">
        <f>IFERROR(__xludf.DUMMYFUNCTION("""COMPUTED_VALUE"""),"")</f>
        <v/>
      </c>
      <c r="K1751" s="15" t="str">
        <f>IFERROR(__xludf.DUMMYFUNCTION("""COMPUTED_VALUE"""),"")</f>
        <v/>
      </c>
      <c r="L1751" s="4" t="str">
        <f>IFERROR(__xludf.DUMMYFUNCTION("""COMPUTED_VALUE"""),"")</f>
        <v/>
      </c>
    </row>
    <row r="1752">
      <c r="A1752" s="1" t="str">
        <f>IFERROR(__xludf.DUMMYFUNCTION("""COMPUTED_VALUE"""),"DSQ")</f>
        <v>DSQ</v>
      </c>
      <c r="B1752" s="1">
        <f>IFERROR(__xludf.DUMMYFUNCTION("""COMPUTED_VALUE"""),5528.0)</f>
        <v>5528</v>
      </c>
      <c r="C1752" s="2" t="str">
        <f>IFERROR(__xludf.DUMMYFUNCTION("""COMPUTED_VALUE"""),"SuperMrOyon")</f>
        <v>SuperMrOyon</v>
      </c>
      <c r="D1752" s="2" t="str">
        <f>IFERROR(__xludf.DUMMYFUNCTION("""COMPUTED_VALUE"""),"5KM OVERALL M")</f>
        <v>5KM OVERALL M</v>
      </c>
      <c r="E1752" s="1" t="str">
        <f>IFERROR(__xludf.DUMMYFUNCTION("""COMPUTED_VALUE"""),"DSQ")</f>
        <v>DSQ</v>
      </c>
      <c r="F1752" s="1" t="str">
        <f>IFERROR(__xludf.DUMMYFUNCTION("""COMPUTED_VALUE"""),"Male")</f>
        <v>Male</v>
      </c>
      <c r="G1752" s="5" t="str">
        <f>IFERROR(__xludf.DUMMYFUNCTION("""COMPUTED_VALUE"""),"")</f>
        <v/>
      </c>
      <c r="H1752" s="15">
        <f>IFERROR(__xludf.DUMMYFUNCTION("""COMPUTED_VALUE"""),0.2549440625)</f>
        <v>0.2549440625</v>
      </c>
      <c r="I1752" s="15" t="str">
        <f>IFERROR(__xludf.DUMMYFUNCTION("""COMPUTED_VALUE"""),"")</f>
        <v/>
      </c>
      <c r="J1752" s="15" t="str">
        <f>IFERROR(__xludf.DUMMYFUNCTION("""COMPUTED_VALUE"""),"")</f>
        <v/>
      </c>
      <c r="K1752" s="15" t="str">
        <f>IFERROR(__xludf.DUMMYFUNCTION("""COMPUTED_VALUE"""),"")</f>
        <v/>
      </c>
      <c r="L1752" s="4" t="str">
        <f>IFERROR(__xludf.DUMMYFUNCTION("""COMPUTED_VALUE"""),"")</f>
        <v/>
      </c>
    </row>
    <row r="1753">
      <c r="A1753" s="1" t="str">
        <f>IFERROR(__xludf.DUMMYFUNCTION("""COMPUTED_VALUE"""),"DSQ")</f>
        <v>DSQ</v>
      </c>
      <c r="B1753" s="1">
        <f>IFERROR(__xludf.DUMMYFUNCTION("""COMPUTED_VALUE"""),5549.0)</f>
        <v>5549</v>
      </c>
      <c r="C1753" s="2" t="str">
        <f>IFERROR(__xludf.DUMMYFUNCTION("""COMPUTED_VALUE"""),"Nurhidayat")</f>
        <v>Nurhidayat</v>
      </c>
      <c r="D1753" s="2" t="str">
        <f>IFERROR(__xludf.DUMMYFUNCTION("""COMPUTED_VALUE"""),"5KM OVERALL M")</f>
        <v>5KM OVERALL M</v>
      </c>
      <c r="E1753" s="1" t="str">
        <f>IFERROR(__xludf.DUMMYFUNCTION("""COMPUTED_VALUE"""),"DSQ")</f>
        <v>DSQ</v>
      </c>
      <c r="F1753" s="1" t="str">
        <f>IFERROR(__xludf.DUMMYFUNCTION("""COMPUTED_VALUE"""),"Male")</f>
        <v>Male</v>
      </c>
      <c r="G1753" s="5" t="str">
        <f>IFERROR(__xludf.DUMMYFUNCTION("""COMPUTED_VALUE"""),"")</f>
        <v/>
      </c>
      <c r="H1753" s="15">
        <f>IFERROR(__xludf.DUMMYFUNCTION("""COMPUTED_VALUE"""),0.2549440625)</f>
        <v>0.2549440625</v>
      </c>
      <c r="I1753" s="15" t="str">
        <f>IFERROR(__xludf.DUMMYFUNCTION("""COMPUTED_VALUE"""),"")</f>
        <v/>
      </c>
      <c r="J1753" s="15" t="str">
        <f>IFERROR(__xludf.DUMMYFUNCTION("""COMPUTED_VALUE"""),"")</f>
        <v/>
      </c>
      <c r="K1753" s="15" t="str">
        <f>IFERROR(__xludf.DUMMYFUNCTION("""COMPUTED_VALUE"""),"")</f>
        <v/>
      </c>
      <c r="L1753" s="4" t="str">
        <f>IFERROR(__xludf.DUMMYFUNCTION("""COMPUTED_VALUE"""),"")</f>
        <v/>
      </c>
    </row>
    <row r="1754">
      <c r="A1754" s="1" t="str">
        <f>IFERROR(__xludf.DUMMYFUNCTION("""COMPUTED_VALUE"""),"DSQ")</f>
        <v>DSQ</v>
      </c>
      <c r="B1754" s="1">
        <f>IFERROR(__xludf.DUMMYFUNCTION("""COMPUTED_VALUE"""),5635.0)</f>
        <v>5635</v>
      </c>
      <c r="C1754" s="2" t="str">
        <f>IFERROR(__xludf.DUMMYFUNCTION("""COMPUTED_VALUE"""),"AFIF")</f>
        <v>AFIF</v>
      </c>
      <c r="D1754" s="2" t="str">
        <f>IFERROR(__xludf.DUMMYFUNCTION("""COMPUTED_VALUE"""),"5KM OVERALL M")</f>
        <v>5KM OVERALL M</v>
      </c>
      <c r="E1754" s="1" t="str">
        <f>IFERROR(__xludf.DUMMYFUNCTION("""COMPUTED_VALUE"""),"DSQ")</f>
        <v>DSQ</v>
      </c>
      <c r="F1754" s="1" t="str">
        <f>IFERROR(__xludf.DUMMYFUNCTION("""COMPUTED_VALUE"""),"Male")</f>
        <v>Male</v>
      </c>
      <c r="G1754" s="5" t="str">
        <f>IFERROR(__xludf.DUMMYFUNCTION("""COMPUTED_VALUE"""),"")</f>
        <v/>
      </c>
      <c r="H1754" s="15">
        <f>IFERROR(__xludf.DUMMYFUNCTION("""COMPUTED_VALUE"""),0.2549440625)</f>
        <v>0.2549440625</v>
      </c>
      <c r="I1754" s="15" t="str">
        <f>IFERROR(__xludf.DUMMYFUNCTION("""COMPUTED_VALUE"""),"")</f>
        <v/>
      </c>
      <c r="J1754" s="15" t="str">
        <f>IFERROR(__xludf.DUMMYFUNCTION("""COMPUTED_VALUE"""),"")</f>
        <v/>
      </c>
      <c r="K1754" s="15" t="str">
        <f>IFERROR(__xludf.DUMMYFUNCTION("""COMPUTED_VALUE"""),"")</f>
        <v/>
      </c>
      <c r="L1754" s="4" t="str">
        <f>IFERROR(__xludf.DUMMYFUNCTION("""COMPUTED_VALUE"""),"")</f>
        <v/>
      </c>
    </row>
    <row r="1755">
      <c r="A1755" s="1" t="str">
        <f>IFERROR(__xludf.DUMMYFUNCTION("""COMPUTED_VALUE"""),"DSQ")</f>
        <v>DSQ</v>
      </c>
      <c r="B1755" s="1">
        <f>IFERROR(__xludf.DUMMYFUNCTION("""COMPUTED_VALUE"""),5639.0)</f>
        <v>5639</v>
      </c>
      <c r="C1755" s="2" t="str">
        <f>IFERROR(__xludf.DUMMYFUNCTION("""COMPUTED_VALUE"""),"JHONNY")</f>
        <v>JHONNY</v>
      </c>
      <c r="D1755" s="2" t="str">
        <f>IFERROR(__xludf.DUMMYFUNCTION("""COMPUTED_VALUE"""),"5KM OVERALL M")</f>
        <v>5KM OVERALL M</v>
      </c>
      <c r="E1755" s="1" t="str">
        <f>IFERROR(__xludf.DUMMYFUNCTION("""COMPUTED_VALUE"""),"DSQ")</f>
        <v>DSQ</v>
      </c>
      <c r="F1755" s="1" t="str">
        <f>IFERROR(__xludf.DUMMYFUNCTION("""COMPUTED_VALUE"""),"Male")</f>
        <v>Male</v>
      </c>
      <c r="G1755" s="5" t="str">
        <f>IFERROR(__xludf.DUMMYFUNCTION("""COMPUTED_VALUE"""),"")</f>
        <v/>
      </c>
      <c r="H1755" s="15">
        <f>IFERROR(__xludf.DUMMYFUNCTION("""COMPUTED_VALUE"""),0.2549440625)</f>
        <v>0.2549440625</v>
      </c>
      <c r="I1755" s="15" t="str">
        <f>IFERROR(__xludf.DUMMYFUNCTION("""COMPUTED_VALUE"""),"")</f>
        <v/>
      </c>
      <c r="J1755" s="15" t="str">
        <f>IFERROR(__xludf.DUMMYFUNCTION("""COMPUTED_VALUE"""),"")</f>
        <v/>
      </c>
      <c r="K1755" s="15" t="str">
        <f>IFERROR(__xludf.DUMMYFUNCTION("""COMPUTED_VALUE"""),"")</f>
        <v/>
      </c>
      <c r="L1755" s="4" t="str">
        <f>IFERROR(__xludf.DUMMYFUNCTION("""COMPUTED_VALUE"""),"")</f>
        <v/>
      </c>
    </row>
    <row r="1756">
      <c r="A1756" s="1" t="str">
        <f>IFERROR(__xludf.DUMMYFUNCTION("""COMPUTED_VALUE"""),"DSQ")</f>
        <v>DSQ</v>
      </c>
      <c r="B1756" s="1">
        <f>IFERROR(__xludf.DUMMYFUNCTION("""COMPUTED_VALUE"""),5641.0)</f>
        <v>5641</v>
      </c>
      <c r="C1756" s="2" t="str">
        <f>IFERROR(__xludf.DUMMYFUNCTION("""COMPUTED_VALUE"""),"erlian")</f>
        <v>erlian</v>
      </c>
      <c r="D1756" s="2" t="str">
        <f>IFERROR(__xludf.DUMMYFUNCTION("""COMPUTED_VALUE"""),"5KM OVERALL M")</f>
        <v>5KM OVERALL M</v>
      </c>
      <c r="E1756" s="1" t="str">
        <f>IFERROR(__xludf.DUMMYFUNCTION("""COMPUTED_VALUE"""),"DSQ")</f>
        <v>DSQ</v>
      </c>
      <c r="F1756" s="1" t="str">
        <f>IFERROR(__xludf.DUMMYFUNCTION("""COMPUTED_VALUE"""),"Male")</f>
        <v>Male</v>
      </c>
      <c r="G1756" s="5">
        <f>IFERROR(__xludf.DUMMYFUNCTION("""COMPUTED_VALUE"""),0.0023724814814814815)</f>
        <v>0.002372481481</v>
      </c>
      <c r="H1756" s="15">
        <f>IFERROR(__xludf.DUMMYFUNCTION("""COMPUTED_VALUE"""),0.2549440625)</f>
        <v>0.2549440625</v>
      </c>
      <c r="I1756" s="15">
        <f>IFERROR(__xludf.DUMMYFUNCTION("""COMPUTED_VALUE"""),45949.266806470696)</f>
        <v>45949.26681</v>
      </c>
      <c r="J1756" s="15">
        <f>IFERROR(__xludf.DUMMYFUNCTION("""COMPUTED_VALUE"""),45949.011862408195)</f>
        <v>45949.01186</v>
      </c>
      <c r="K1756" s="15">
        <f>IFERROR(__xludf.DUMMYFUNCTION("""COMPUTED_VALUE"""),45949.27992338511)</f>
        <v>45949.27992</v>
      </c>
      <c r="L1756" s="4"/>
    </row>
    <row r="1757">
      <c r="A1757" s="1" t="str">
        <f>IFERROR(__xludf.DUMMYFUNCTION("""COMPUTED_VALUE"""),"DSQ")</f>
        <v>DSQ</v>
      </c>
      <c r="B1757" s="1">
        <f>IFERROR(__xludf.DUMMYFUNCTION("""COMPUTED_VALUE"""),5662.0)</f>
        <v>5662</v>
      </c>
      <c r="C1757" s="2" t="str">
        <f>IFERROR(__xludf.DUMMYFUNCTION("""COMPUTED_VALUE"""),"Tina")</f>
        <v>Tina</v>
      </c>
      <c r="D1757" s="2" t="str">
        <f>IFERROR(__xludf.DUMMYFUNCTION("""COMPUTED_VALUE"""),"5KM OVERALL M")</f>
        <v>5KM OVERALL M</v>
      </c>
      <c r="E1757" s="1" t="str">
        <f>IFERROR(__xludf.DUMMYFUNCTION("""COMPUTED_VALUE"""),"DSQ")</f>
        <v>DSQ</v>
      </c>
      <c r="F1757" s="1" t="str">
        <f>IFERROR(__xludf.DUMMYFUNCTION("""COMPUTED_VALUE"""),"Male")</f>
        <v>Male</v>
      </c>
      <c r="G1757" s="5" t="str">
        <f>IFERROR(__xludf.DUMMYFUNCTION("""COMPUTED_VALUE"""),"")</f>
        <v/>
      </c>
      <c r="H1757" s="15">
        <f>IFERROR(__xludf.DUMMYFUNCTION("""COMPUTED_VALUE"""),0.2549440625)</f>
        <v>0.2549440625</v>
      </c>
      <c r="I1757" s="15" t="str">
        <f>IFERROR(__xludf.DUMMYFUNCTION("""COMPUTED_VALUE"""),"")</f>
        <v/>
      </c>
      <c r="J1757" s="15" t="str">
        <f>IFERROR(__xludf.DUMMYFUNCTION("""COMPUTED_VALUE"""),"")</f>
        <v/>
      </c>
      <c r="K1757" s="15" t="str">
        <f>IFERROR(__xludf.DUMMYFUNCTION("""COMPUTED_VALUE"""),"")</f>
        <v/>
      </c>
      <c r="L1757" s="4" t="str">
        <f>IFERROR(__xludf.DUMMYFUNCTION("""COMPUTED_VALUE"""),"")</f>
        <v/>
      </c>
    </row>
    <row r="1758">
      <c r="A1758" s="1" t="str">
        <f>IFERROR(__xludf.DUMMYFUNCTION("""COMPUTED_VALUE"""),"DSQ")</f>
        <v>DSQ</v>
      </c>
      <c r="B1758" s="1">
        <f>IFERROR(__xludf.DUMMYFUNCTION("""COMPUTED_VALUE"""),5698.0)</f>
        <v>5698</v>
      </c>
      <c r="C1758" s="2" t="str">
        <f>IFERROR(__xludf.DUMMYFUNCTION("""COMPUTED_VALUE"""),"Andi Fr")</f>
        <v>Andi Fr</v>
      </c>
      <c r="D1758" s="2" t="str">
        <f>IFERROR(__xludf.DUMMYFUNCTION("""COMPUTED_VALUE"""),"5KM OVERALL M")</f>
        <v>5KM OVERALL M</v>
      </c>
      <c r="E1758" s="1" t="str">
        <f>IFERROR(__xludf.DUMMYFUNCTION("""COMPUTED_VALUE"""),"DSQ")</f>
        <v>DSQ</v>
      </c>
      <c r="F1758" s="1" t="str">
        <f>IFERROR(__xludf.DUMMYFUNCTION("""COMPUTED_VALUE"""),"Male")</f>
        <v>Male</v>
      </c>
      <c r="G1758" s="5" t="str">
        <f>IFERROR(__xludf.DUMMYFUNCTION("""COMPUTED_VALUE"""),"")</f>
        <v/>
      </c>
      <c r="H1758" s="15">
        <f>IFERROR(__xludf.DUMMYFUNCTION("""COMPUTED_VALUE"""),0.2549440625)</f>
        <v>0.2549440625</v>
      </c>
      <c r="I1758" s="15" t="str">
        <f>IFERROR(__xludf.DUMMYFUNCTION("""COMPUTED_VALUE"""),"")</f>
        <v/>
      </c>
      <c r="J1758" s="15" t="str">
        <f>IFERROR(__xludf.DUMMYFUNCTION("""COMPUTED_VALUE"""),"")</f>
        <v/>
      </c>
      <c r="K1758" s="15" t="str">
        <f>IFERROR(__xludf.DUMMYFUNCTION("""COMPUTED_VALUE"""),"")</f>
        <v/>
      </c>
      <c r="L1758" s="4" t="str">
        <f>IFERROR(__xludf.DUMMYFUNCTION("""COMPUTED_VALUE"""),"")</f>
        <v/>
      </c>
    </row>
    <row r="1759">
      <c r="A1759" s="1" t="str">
        <f>IFERROR(__xludf.DUMMYFUNCTION("""COMPUTED_VALUE"""),"DSQ")</f>
        <v>DSQ</v>
      </c>
      <c r="B1759" s="1">
        <f>IFERROR(__xludf.DUMMYFUNCTION("""COMPUTED_VALUE"""),5730.0)</f>
        <v>5730</v>
      </c>
      <c r="C1759" s="2" t="str">
        <f>IFERROR(__xludf.DUMMYFUNCTION("""COMPUTED_VALUE"""),"MLD_")</f>
        <v>MLD_</v>
      </c>
      <c r="D1759" s="2" t="str">
        <f>IFERROR(__xludf.DUMMYFUNCTION("""COMPUTED_VALUE"""),"5KM OVERALL M")</f>
        <v>5KM OVERALL M</v>
      </c>
      <c r="E1759" s="1" t="str">
        <f>IFERROR(__xludf.DUMMYFUNCTION("""COMPUTED_VALUE"""),"DSQ")</f>
        <v>DSQ</v>
      </c>
      <c r="F1759" s="1" t="str">
        <f>IFERROR(__xludf.DUMMYFUNCTION("""COMPUTED_VALUE"""),"Male")</f>
        <v>Male</v>
      </c>
      <c r="G1759" s="5" t="str">
        <f>IFERROR(__xludf.DUMMYFUNCTION("""COMPUTED_VALUE"""),"")</f>
        <v/>
      </c>
      <c r="H1759" s="15">
        <f>IFERROR(__xludf.DUMMYFUNCTION("""COMPUTED_VALUE"""),0.2549440625)</f>
        <v>0.2549440625</v>
      </c>
      <c r="I1759" s="15" t="str">
        <f>IFERROR(__xludf.DUMMYFUNCTION("""COMPUTED_VALUE"""),"")</f>
        <v/>
      </c>
      <c r="J1759" s="15" t="str">
        <f>IFERROR(__xludf.DUMMYFUNCTION("""COMPUTED_VALUE"""),"")</f>
        <v/>
      </c>
      <c r="K1759" s="15" t="str">
        <f>IFERROR(__xludf.DUMMYFUNCTION("""COMPUTED_VALUE"""),"")</f>
        <v/>
      </c>
      <c r="L1759" s="4" t="str">
        <f>IFERROR(__xludf.DUMMYFUNCTION("""COMPUTED_VALUE"""),"")</f>
        <v/>
      </c>
    </row>
    <row r="1760">
      <c r="A1760" s="1" t="str">
        <f>IFERROR(__xludf.DUMMYFUNCTION("""COMPUTED_VALUE"""),"DSQ")</f>
        <v>DSQ</v>
      </c>
      <c r="B1760" s="1">
        <f>IFERROR(__xludf.DUMMYFUNCTION("""COMPUTED_VALUE"""),5733.0)</f>
        <v>5733</v>
      </c>
      <c r="C1760" s="2" t="str">
        <f>IFERROR(__xludf.DUMMYFUNCTION("""COMPUTED_VALUE"""),"Ais")</f>
        <v>Ais</v>
      </c>
      <c r="D1760" s="2" t="str">
        <f>IFERROR(__xludf.DUMMYFUNCTION("""COMPUTED_VALUE"""),"5KM OVERALL M")</f>
        <v>5KM OVERALL M</v>
      </c>
      <c r="E1760" s="1" t="str">
        <f>IFERROR(__xludf.DUMMYFUNCTION("""COMPUTED_VALUE"""),"DSQ")</f>
        <v>DSQ</v>
      </c>
      <c r="F1760" s="1" t="str">
        <f>IFERROR(__xludf.DUMMYFUNCTION("""COMPUTED_VALUE"""),"Male")</f>
        <v>Male</v>
      </c>
      <c r="G1760" s="5" t="str">
        <f>IFERROR(__xludf.DUMMYFUNCTION("""COMPUTED_VALUE"""),"")</f>
        <v/>
      </c>
      <c r="H1760" s="15">
        <f>IFERROR(__xludf.DUMMYFUNCTION("""COMPUTED_VALUE"""),0.2549440625)</f>
        <v>0.2549440625</v>
      </c>
      <c r="I1760" s="15" t="str">
        <f>IFERROR(__xludf.DUMMYFUNCTION("""COMPUTED_VALUE"""),"")</f>
        <v/>
      </c>
      <c r="J1760" s="15" t="str">
        <f>IFERROR(__xludf.DUMMYFUNCTION("""COMPUTED_VALUE"""),"")</f>
        <v/>
      </c>
      <c r="K1760" s="15" t="str">
        <f>IFERROR(__xludf.DUMMYFUNCTION("""COMPUTED_VALUE"""),"")</f>
        <v/>
      </c>
      <c r="L1760" s="4" t="str">
        <f>IFERROR(__xludf.DUMMYFUNCTION("""COMPUTED_VALUE"""),"")</f>
        <v/>
      </c>
    </row>
    <row r="1761">
      <c r="A1761" s="1" t="str">
        <f>IFERROR(__xludf.DUMMYFUNCTION("""COMPUTED_VALUE"""),"DSQ")</f>
        <v>DSQ</v>
      </c>
      <c r="B1761" s="1">
        <f>IFERROR(__xludf.DUMMYFUNCTION("""COMPUTED_VALUE"""),5738.0)</f>
        <v>5738</v>
      </c>
      <c r="C1761" s="2" t="str">
        <f>IFERROR(__xludf.DUMMYFUNCTION("""COMPUTED_VALUE"""),"Har")</f>
        <v>Har</v>
      </c>
      <c r="D1761" s="2" t="str">
        <f>IFERROR(__xludf.DUMMYFUNCTION("""COMPUTED_VALUE"""),"5KM OVERALL M")</f>
        <v>5KM OVERALL M</v>
      </c>
      <c r="E1761" s="1" t="str">
        <f>IFERROR(__xludf.DUMMYFUNCTION("""COMPUTED_VALUE"""),"DSQ")</f>
        <v>DSQ</v>
      </c>
      <c r="F1761" s="1" t="str">
        <f>IFERROR(__xludf.DUMMYFUNCTION("""COMPUTED_VALUE"""),"Male")</f>
        <v>Male</v>
      </c>
      <c r="G1761" s="5" t="str">
        <f>IFERROR(__xludf.DUMMYFUNCTION("""COMPUTED_VALUE"""),"")</f>
        <v/>
      </c>
      <c r="H1761" s="15">
        <f>IFERROR(__xludf.DUMMYFUNCTION("""COMPUTED_VALUE"""),0.2549440625)</f>
        <v>0.2549440625</v>
      </c>
      <c r="I1761" s="15" t="str">
        <f>IFERROR(__xludf.DUMMYFUNCTION("""COMPUTED_VALUE"""),"")</f>
        <v/>
      </c>
      <c r="J1761" s="15" t="str">
        <f>IFERROR(__xludf.DUMMYFUNCTION("""COMPUTED_VALUE"""),"")</f>
        <v/>
      </c>
      <c r="K1761" s="15" t="str">
        <f>IFERROR(__xludf.DUMMYFUNCTION("""COMPUTED_VALUE"""),"")</f>
        <v/>
      </c>
      <c r="L1761" s="4" t="str">
        <f>IFERROR(__xludf.DUMMYFUNCTION("""COMPUTED_VALUE"""),"")</f>
        <v/>
      </c>
    </row>
    <row r="1762">
      <c r="A1762" s="1" t="str">
        <f>IFERROR(__xludf.DUMMYFUNCTION("""COMPUTED_VALUE"""),"DSQ")</f>
        <v>DSQ</v>
      </c>
      <c r="B1762" s="1">
        <f>IFERROR(__xludf.DUMMYFUNCTION("""COMPUTED_VALUE"""),5740.0)</f>
        <v>5740</v>
      </c>
      <c r="C1762" s="2" t="str">
        <f>IFERROR(__xludf.DUMMYFUNCTION("""COMPUTED_VALUE"""),"Ahmad Maulana")</f>
        <v>Ahmad Maulana</v>
      </c>
      <c r="D1762" s="2" t="str">
        <f>IFERROR(__xludf.DUMMYFUNCTION("""COMPUTED_VALUE"""),"5KM OVERALL M")</f>
        <v>5KM OVERALL M</v>
      </c>
      <c r="E1762" s="1" t="str">
        <f>IFERROR(__xludf.DUMMYFUNCTION("""COMPUTED_VALUE"""),"DSQ")</f>
        <v>DSQ</v>
      </c>
      <c r="F1762" s="1" t="str">
        <f>IFERROR(__xludf.DUMMYFUNCTION("""COMPUTED_VALUE"""),"Male")</f>
        <v>Male</v>
      </c>
      <c r="G1762" s="5" t="str">
        <f>IFERROR(__xludf.DUMMYFUNCTION("""COMPUTED_VALUE"""),"")</f>
        <v/>
      </c>
      <c r="H1762" s="15">
        <f>IFERROR(__xludf.DUMMYFUNCTION("""COMPUTED_VALUE"""),0.2549440625)</f>
        <v>0.2549440625</v>
      </c>
      <c r="I1762" s="15" t="str">
        <f>IFERROR(__xludf.DUMMYFUNCTION("""COMPUTED_VALUE"""),"")</f>
        <v/>
      </c>
      <c r="J1762" s="15" t="str">
        <f>IFERROR(__xludf.DUMMYFUNCTION("""COMPUTED_VALUE"""),"")</f>
        <v/>
      </c>
      <c r="K1762" s="15" t="str">
        <f>IFERROR(__xludf.DUMMYFUNCTION("""COMPUTED_VALUE"""),"")</f>
        <v/>
      </c>
      <c r="L1762" s="4" t="str">
        <f>IFERROR(__xludf.DUMMYFUNCTION("""COMPUTED_VALUE"""),"")</f>
        <v/>
      </c>
    </row>
    <row r="1763">
      <c r="A1763" s="1" t="str">
        <f>IFERROR(__xludf.DUMMYFUNCTION("""COMPUTED_VALUE"""),"DSQ")</f>
        <v>DSQ</v>
      </c>
      <c r="B1763" s="1">
        <f>IFERROR(__xludf.DUMMYFUNCTION("""COMPUTED_VALUE"""),5766.0)</f>
        <v>5766</v>
      </c>
      <c r="C1763" s="2" t="str">
        <f>IFERROR(__xludf.DUMMYFUNCTION("""COMPUTED_VALUE"""),"Rahman")</f>
        <v>Rahman</v>
      </c>
      <c r="D1763" s="2" t="str">
        <f>IFERROR(__xludf.DUMMYFUNCTION("""COMPUTED_VALUE"""),"5KM OVERALL M")</f>
        <v>5KM OVERALL M</v>
      </c>
      <c r="E1763" s="1" t="str">
        <f>IFERROR(__xludf.DUMMYFUNCTION("""COMPUTED_VALUE"""),"DSQ")</f>
        <v>DSQ</v>
      </c>
      <c r="F1763" s="1" t="str">
        <f>IFERROR(__xludf.DUMMYFUNCTION("""COMPUTED_VALUE"""),"Male")</f>
        <v>Male</v>
      </c>
      <c r="G1763" s="5" t="str">
        <f>IFERROR(__xludf.DUMMYFUNCTION("""COMPUTED_VALUE"""),"")</f>
        <v/>
      </c>
      <c r="H1763" s="15">
        <f>IFERROR(__xludf.DUMMYFUNCTION("""COMPUTED_VALUE"""),0.2549440625)</f>
        <v>0.2549440625</v>
      </c>
      <c r="I1763" s="15" t="str">
        <f>IFERROR(__xludf.DUMMYFUNCTION("""COMPUTED_VALUE"""),"")</f>
        <v/>
      </c>
      <c r="J1763" s="15" t="str">
        <f>IFERROR(__xludf.DUMMYFUNCTION("""COMPUTED_VALUE"""),"")</f>
        <v/>
      </c>
      <c r="K1763" s="15" t="str">
        <f>IFERROR(__xludf.DUMMYFUNCTION("""COMPUTED_VALUE"""),"")</f>
        <v/>
      </c>
      <c r="L1763" s="4" t="str">
        <f>IFERROR(__xludf.DUMMYFUNCTION("""COMPUTED_VALUE"""),"")</f>
        <v/>
      </c>
    </row>
    <row r="1764">
      <c r="A1764" s="1" t="str">
        <f>IFERROR(__xludf.DUMMYFUNCTION("""COMPUTED_VALUE"""),"DSQ")</f>
        <v>DSQ</v>
      </c>
      <c r="B1764" s="1">
        <f>IFERROR(__xludf.DUMMYFUNCTION("""COMPUTED_VALUE"""),5767.0)</f>
        <v>5767</v>
      </c>
      <c r="C1764" s="2" t="str">
        <f>IFERROR(__xludf.DUMMYFUNCTION("""COMPUTED_VALUE"""),"Aditya")</f>
        <v>Aditya</v>
      </c>
      <c r="D1764" s="2" t="str">
        <f>IFERROR(__xludf.DUMMYFUNCTION("""COMPUTED_VALUE"""),"5KM OVERALL M")</f>
        <v>5KM OVERALL M</v>
      </c>
      <c r="E1764" s="1" t="str">
        <f>IFERROR(__xludf.DUMMYFUNCTION("""COMPUTED_VALUE"""),"DSQ")</f>
        <v>DSQ</v>
      </c>
      <c r="F1764" s="1" t="str">
        <f>IFERROR(__xludf.DUMMYFUNCTION("""COMPUTED_VALUE"""),"Male")</f>
        <v>Male</v>
      </c>
      <c r="G1764" s="5" t="str">
        <f>IFERROR(__xludf.DUMMYFUNCTION("""COMPUTED_VALUE"""),"")</f>
        <v/>
      </c>
      <c r="H1764" s="15">
        <f>IFERROR(__xludf.DUMMYFUNCTION("""COMPUTED_VALUE"""),0.2549440625)</f>
        <v>0.2549440625</v>
      </c>
      <c r="I1764" s="15" t="str">
        <f>IFERROR(__xludf.DUMMYFUNCTION("""COMPUTED_VALUE"""),"")</f>
        <v/>
      </c>
      <c r="J1764" s="15" t="str">
        <f>IFERROR(__xludf.DUMMYFUNCTION("""COMPUTED_VALUE"""),"")</f>
        <v/>
      </c>
      <c r="K1764" s="15" t="str">
        <f>IFERROR(__xludf.DUMMYFUNCTION("""COMPUTED_VALUE"""),"")</f>
        <v/>
      </c>
      <c r="L1764" s="4" t="str">
        <f>IFERROR(__xludf.DUMMYFUNCTION("""COMPUTED_VALUE"""),"")</f>
        <v/>
      </c>
    </row>
    <row r="1765">
      <c r="A1765" s="1" t="str">
        <f>IFERROR(__xludf.DUMMYFUNCTION("""COMPUTED_VALUE"""),"DSQ")</f>
        <v>DSQ</v>
      </c>
      <c r="B1765" s="1">
        <f>IFERROR(__xludf.DUMMYFUNCTION("""COMPUTED_VALUE"""),5771.0)</f>
        <v>5771</v>
      </c>
      <c r="C1765" s="2" t="str">
        <f>IFERROR(__xludf.DUMMYFUNCTION("""COMPUTED_VALUE"""),"arif fitriyadi")</f>
        <v>arif fitriyadi</v>
      </c>
      <c r="D1765" s="2" t="str">
        <f>IFERROR(__xludf.DUMMYFUNCTION("""COMPUTED_VALUE"""),"5KM OVERALL M")</f>
        <v>5KM OVERALL M</v>
      </c>
      <c r="E1765" s="1" t="str">
        <f>IFERROR(__xludf.DUMMYFUNCTION("""COMPUTED_VALUE"""),"DSQ")</f>
        <v>DSQ</v>
      </c>
      <c r="F1765" s="1" t="str">
        <f>IFERROR(__xludf.DUMMYFUNCTION("""COMPUTED_VALUE"""),"Male")</f>
        <v>Male</v>
      </c>
      <c r="G1765" s="5" t="str">
        <f>IFERROR(__xludf.DUMMYFUNCTION("""COMPUTED_VALUE"""),"")</f>
        <v/>
      </c>
      <c r="H1765" s="15">
        <f>IFERROR(__xludf.DUMMYFUNCTION("""COMPUTED_VALUE"""),0.2549440625)</f>
        <v>0.2549440625</v>
      </c>
      <c r="I1765" s="15" t="str">
        <f>IFERROR(__xludf.DUMMYFUNCTION("""COMPUTED_VALUE"""),"")</f>
        <v/>
      </c>
      <c r="J1765" s="15" t="str">
        <f>IFERROR(__xludf.DUMMYFUNCTION("""COMPUTED_VALUE"""),"")</f>
        <v/>
      </c>
      <c r="K1765" s="15" t="str">
        <f>IFERROR(__xludf.DUMMYFUNCTION("""COMPUTED_VALUE"""),"")</f>
        <v/>
      </c>
      <c r="L1765" s="4" t="str">
        <f>IFERROR(__xludf.DUMMYFUNCTION("""COMPUTED_VALUE"""),"")</f>
        <v/>
      </c>
    </row>
    <row r="1766">
      <c r="A1766" s="1" t="str">
        <f>IFERROR(__xludf.DUMMYFUNCTION("""COMPUTED_VALUE"""),"DSQ")</f>
        <v>DSQ</v>
      </c>
      <c r="B1766" s="1">
        <f>IFERROR(__xludf.DUMMYFUNCTION("""COMPUTED_VALUE"""),5777.0)</f>
        <v>5777</v>
      </c>
      <c r="C1766" s="2" t="str">
        <f>IFERROR(__xludf.DUMMYFUNCTION("""COMPUTED_VALUE"""),"ADAN")</f>
        <v>ADAN</v>
      </c>
      <c r="D1766" s="2" t="str">
        <f>IFERROR(__xludf.DUMMYFUNCTION("""COMPUTED_VALUE"""),"5KM OVERALL M")</f>
        <v>5KM OVERALL M</v>
      </c>
      <c r="E1766" s="1" t="str">
        <f>IFERROR(__xludf.DUMMYFUNCTION("""COMPUTED_VALUE"""),"DSQ")</f>
        <v>DSQ</v>
      </c>
      <c r="F1766" s="1" t="str">
        <f>IFERROR(__xludf.DUMMYFUNCTION("""COMPUTED_VALUE"""),"Male")</f>
        <v>Male</v>
      </c>
      <c r="G1766" s="5" t="str">
        <f>IFERROR(__xludf.DUMMYFUNCTION("""COMPUTED_VALUE"""),"")</f>
        <v/>
      </c>
      <c r="H1766" s="15">
        <f>IFERROR(__xludf.DUMMYFUNCTION("""COMPUTED_VALUE"""),0.2549440625)</f>
        <v>0.2549440625</v>
      </c>
      <c r="I1766" s="15" t="str">
        <f>IFERROR(__xludf.DUMMYFUNCTION("""COMPUTED_VALUE"""),"")</f>
        <v/>
      </c>
      <c r="J1766" s="15" t="str">
        <f>IFERROR(__xludf.DUMMYFUNCTION("""COMPUTED_VALUE"""),"")</f>
        <v/>
      </c>
      <c r="K1766" s="15" t="str">
        <f>IFERROR(__xludf.DUMMYFUNCTION("""COMPUTED_VALUE"""),"")</f>
        <v/>
      </c>
      <c r="L1766" s="4" t="str">
        <f>IFERROR(__xludf.DUMMYFUNCTION("""COMPUTED_VALUE"""),"")</f>
        <v/>
      </c>
    </row>
    <row r="1767">
      <c r="A1767" s="1" t="str">
        <f>IFERROR(__xludf.DUMMYFUNCTION("""COMPUTED_VALUE"""),"DSQ")</f>
        <v>DSQ</v>
      </c>
      <c r="B1767" s="1">
        <f>IFERROR(__xludf.DUMMYFUNCTION("""COMPUTED_VALUE"""),5779.0)</f>
        <v>5779</v>
      </c>
      <c r="C1767" s="2" t="str">
        <f>IFERROR(__xludf.DUMMYFUNCTION("""COMPUTED_VALUE"""),"arbi")</f>
        <v>arbi</v>
      </c>
      <c r="D1767" s="2" t="str">
        <f>IFERROR(__xludf.DUMMYFUNCTION("""COMPUTED_VALUE"""),"5KM OVERALL M")</f>
        <v>5KM OVERALL M</v>
      </c>
      <c r="E1767" s="1" t="str">
        <f>IFERROR(__xludf.DUMMYFUNCTION("""COMPUTED_VALUE"""),"DSQ")</f>
        <v>DSQ</v>
      </c>
      <c r="F1767" s="1" t="str">
        <f>IFERROR(__xludf.DUMMYFUNCTION("""COMPUTED_VALUE"""),"Male")</f>
        <v>Male</v>
      </c>
      <c r="G1767" s="5" t="str">
        <f>IFERROR(__xludf.DUMMYFUNCTION("""COMPUTED_VALUE"""),"")</f>
        <v/>
      </c>
      <c r="H1767" s="15">
        <f>IFERROR(__xludf.DUMMYFUNCTION("""COMPUTED_VALUE"""),0.2549440625)</f>
        <v>0.2549440625</v>
      </c>
      <c r="I1767" s="15" t="str">
        <f>IFERROR(__xludf.DUMMYFUNCTION("""COMPUTED_VALUE"""),"")</f>
        <v/>
      </c>
      <c r="J1767" s="15" t="str">
        <f>IFERROR(__xludf.DUMMYFUNCTION("""COMPUTED_VALUE"""),"")</f>
        <v/>
      </c>
      <c r="K1767" s="15" t="str">
        <f>IFERROR(__xludf.DUMMYFUNCTION("""COMPUTED_VALUE"""),"")</f>
        <v/>
      </c>
      <c r="L1767" s="4" t="str">
        <f>IFERROR(__xludf.DUMMYFUNCTION("""COMPUTED_VALUE"""),"")</f>
        <v/>
      </c>
    </row>
    <row r="1768">
      <c r="A1768" s="1" t="str">
        <f>IFERROR(__xludf.DUMMYFUNCTION("""COMPUTED_VALUE"""),"DSQ")</f>
        <v>DSQ</v>
      </c>
      <c r="B1768" s="1">
        <f>IFERROR(__xludf.DUMMYFUNCTION("""COMPUTED_VALUE"""),5782.0)</f>
        <v>5782</v>
      </c>
      <c r="C1768" s="2" t="str">
        <f>IFERROR(__xludf.DUMMYFUNCTION("""COMPUTED_VALUE"""),"PRAS")</f>
        <v>PRAS</v>
      </c>
      <c r="D1768" s="2" t="str">
        <f>IFERROR(__xludf.DUMMYFUNCTION("""COMPUTED_VALUE"""),"5KM OVERALL M")</f>
        <v>5KM OVERALL M</v>
      </c>
      <c r="E1768" s="1" t="str">
        <f>IFERROR(__xludf.DUMMYFUNCTION("""COMPUTED_VALUE"""),"DSQ")</f>
        <v>DSQ</v>
      </c>
      <c r="F1768" s="1" t="str">
        <f>IFERROR(__xludf.DUMMYFUNCTION("""COMPUTED_VALUE"""),"Male")</f>
        <v>Male</v>
      </c>
      <c r="G1768" s="5" t="str">
        <f>IFERROR(__xludf.DUMMYFUNCTION("""COMPUTED_VALUE"""),"")</f>
        <v/>
      </c>
      <c r="H1768" s="15">
        <f>IFERROR(__xludf.DUMMYFUNCTION("""COMPUTED_VALUE"""),0.2549440625)</f>
        <v>0.2549440625</v>
      </c>
      <c r="I1768" s="15" t="str">
        <f>IFERROR(__xludf.DUMMYFUNCTION("""COMPUTED_VALUE"""),"")</f>
        <v/>
      </c>
      <c r="J1768" s="15" t="str">
        <f>IFERROR(__xludf.DUMMYFUNCTION("""COMPUTED_VALUE"""),"")</f>
        <v/>
      </c>
      <c r="K1768" s="15" t="str">
        <f>IFERROR(__xludf.DUMMYFUNCTION("""COMPUTED_VALUE"""),"")</f>
        <v/>
      </c>
      <c r="L1768" s="4" t="str">
        <f>IFERROR(__xludf.DUMMYFUNCTION("""COMPUTED_VALUE"""),"")</f>
        <v/>
      </c>
    </row>
    <row r="1769">
      <c r="A1769" s="1" t="str">
        <f>IFERROR(__xludf.DUMMYFUNCTION("""COMPUTED_VALUE"""),"DSQ")</f>
        <v>DSQ</v>
      </c>
      <c r="B1769" s="1">
        <f>IFERROR(__xludf.DUMMYFUNCTION("""COMPUTED_VALUE"""),5785.0)</f>
        <v>5785</v>
      </c>
      <c r="C1769" s="2" t="str">
        <f>IFERROR(__xludf.DUMMYFUNCTION("""COMPUTED_VALUE"""),"EVAN")</f>
        <v>EVAN</v>
      </c>
      <c r="D1769" s="2" t="str">
        <f>IFERROR(__xludf.DUMMYFUNCTION("""COMPUTED_VALUE"""),"5KM OVERALL M")</f>
        <v>5KM OVERALL M</v>
      </c>
      <c r="E1769" s="1" t="str">
        <f>IFERROR(__xludf.DUMMYFUNCTION("""COMPUTED_VALUE"""),"DSQ")</f>
        <v>DSQ</v>
      </c>
      <c r="F1769" s="1" t="str">
        <f>IFERROR(__xludf.DUMMYFUNCTION("""COMPUTED_VALUE"""),"Male")</f>
        <v>Male</v>
      </c>
      <c r="G1769" s="5" t="str">
        <f>IFERROR(__xludf.DUMMYFUNCTION("""COMPUTED_VALUE"""),"")</f>
        <v/>
      </c>
      <c r="H1769" s="15">
        <f>IFERROR(__xludf.DUMMYFUNCTION("""COMPUTED_VALUE"""),0.2549440625)</f>
        <v>0.2549440625</v>
      </c>
      <c r="I1769" s="15" t="str">
        <f>IFERROR(__xludf.DUMMYFUNCTION("""COMPUTED_VALUE"""),"")</f>
        <v/>
      </c>
      <c r="J1769" s="15" t="str">
        <f>IFERROR(__xludf.DUMMYFUNCTION("""COMPUTED_VALUE"""),"")</f>
        <v/>
      </c>
      <c r="K1769" s="15" t="str">
        <f>IFERROR(__xludf.DUMMYFUNCTION("""COMPUTED_VALUE"""),"")</f>
        <v/>
      </c>
      <c r="L1769" s="4" t="str">
        <f>IFERROR(__xludf.DUMMYFUNCTION("""COMPUTED_VALUE"""),"")</f>
        <v/>
      </c>
    </row>
    <row r="1770">
      <c r="A1770" s="1" t="str">
        <f>IFERROR(__xludf.DUMMYFUNCTION("""COMPUTED_VALUE"""),"DSQ")</f>
        <v>DSQ</v>
      </c>
      <c r="B1770" s="1">
        <f>IFERROR(__xludf.DUMMYFUNCTION("""COMPUTED_VALUE"""),5793.0)</f>
        <v>5793</v>
      </c>
      <c r="C1770" s="2" t="str">
        <f>IFERROR(__xludf.DUMMYFUNCTION("""COMPUTED_VALUE"""),"Riqi Akbari")</f>
        <v>Riqi Akbari</v>
      </c>
      <c r="D1770" s="2" t="str">
        <f>IFERROR(__xludf.DUMMYFUNCTION("""COMPUTED_VALUE"""),"5KM OVERALL M")</f>
        <v>5KM OVERALL M</v>
      </c>
      <c r="E1770" s="1" t="str">
        <f>IFERROR(__xludf.DUMMYFUNCTION("""COMPUTED_VALUE"""),"DSQ")</f>
        <v>DSQ</v>
      </c>
      <c r="F1770" s="1" t="str">
        <f>IFERROR(__xludf.DUMMYFUNCTION("""COMPUTED_VALUE"""),"Male")</f>
        <v>Male</v>
      </c>
      <c r="G1770" s="5" t="str">
        <f>IFERROR(__xludf.DUMMYFUNCTION("""COMPUTED_VALUE"""),"")</f>
        <v/>
      </c>
      <c r="H1770" s="15">
        <f>IFERROR(__xludf.DUMMYFUNCTION("""COMPUTED_VALUE"""),0.2549440625)</f>
        <v>0.2549440625</v>
      </c>
      <c r="I1770" s="15" t="str">
        <f>IFERROR(__xludf.DUMMYFUNCTION("""COMPUTED_VALUE"""),"")</f>
        <v/>
      </c>
      <c r="J1770" s="15" t="str">
        <f>IFERROR(__xludf.DUMMYFUNCTION("""COMPUTED_VALUE"""),"")</f>
        <v/>
      </c>
      <c r="K1770" s="15" t="str">
        <f>IFERROR(__xludf.DUMMYFUNCTION("""COMPUTED_VALUE"""),"")</f>
        <v/>
      </c>
      <c r="L1770" s="4" t="str">
        <f>IFERROR(__xludf.DUMMYFUNCTION("""COMPUTED_VALUE"""),"")</f>
        <v/>
      </c>
    </row>
    <row r="1771">
      <c r="A1771" s="1" t="str">
        <f>IFERROR(__xludf.DUMMYFUNCTION("""COMPUTED_VALUE"""),"DSQ")</f>
        <v>DSQ</v>
      </c>
      <c r="B1771" s="1">
        <f>IFERROR(__xludf.DUMMYFUNCTION("""COMPUTED_VALUE"""),5815.0)</f>
        <v>5815</v>
      </c>
      <c r="C1771" s="2" t="str">
        <f>IFERROR(__xludf.DUMMYFUNCTION("""COMPUTED_VALUE"""),"FAHMI AP")</f>
        <v>FAHMI AP</v>
      </c>
      <c r="D1771" s="2" t="str">
        <f>IFERROR(__xludf.DUMMYFUNCTION("""COMPUTED_VALUE"""),"5KM OVERALL M")</f>
        <v>5KM OVERALL M</v>
      </c>
      <c r="E1771" s="1" t="str">
        <f>IFERROR(__xludf.DUMMYFUNCTION("""COMPUTED_VALUE"""),"DSQ")</f>
        <v>DSQ</v>
      </c>
      <c r="F1771" s="1" t="str">
        <f>IFERROR(__xludf.DUMMYFUNCTION("""COMPUTED_VALUE"""),"Male")</f>
        <v>Male</v>
      </c>
      <c r="G1771" s="5" t="str">
        <f>IFERROR(__xludf.DUMMYFUNCTION("""COMPUTED_VALUE"""),"")</f>
        <v/>
      </c>
      <c r="H1771" s="15">
        <f>IFERROR(__xludf.DUMMYFUNCTION("""COMPUTED_VALUE"""),0.2549440625)</f>
        <v>0.2549440625</v>
      </c>
      <c r="I1771" s="15" t="str">
        <f>IFERROR(__xludf.DUMMYFUNCTION("""COMPUTED_VALUE"""),"")</f>
        <v/>
      </c>
      <c r="J1771" s="15" t="str">
        <f>IFERROR(__xludf.DUMMYFUNCTION("""COMPUTED_VALUE"""),"")</f>
        <v/>
      </c>
      <c r="K1771" s="15" t="str">
        <f>IFERROR(__xludf.DUMMYFUNCTION("""COMPUTED_VALUE"""),"")</f>
        <v/>
      </c>
      <c r="L1771" s="4" t="str">
        <f>IFERROR(__xludf.DUMMYFUNCTION("""COMPUTED_VALUE"""),"")</f>
        <v/>
      </c>
    </row>
    <row r="1772">
      <c r="A1772" s="1" t="str">
        <f>IFERROR(__xludf.DUMMYFUNCTION("""COMPUTED_VALUE"""),"DSQ")</f>
        <v>DSQ</v>
      </c>
      <c r="B1772" s="1">
        <f>IFERROR(__xludf.DUMMYFUNCTION("""COMPUTED_VALUE"""),5819.0)</f>
        <v>5819</v>
      </c>
      <c r="C1772" s="2" t="str">
        <f>IFERROR(__xludf.DUMMYFUNCTION("""COMPUTED_VALUE"""),"Hanif Susanto")</f>
        <v>Hanif Susanto</v>
      </c>
      <c r="D1772" s="2" t="str">
        <f>IFERROR(__xludf.DUMMYFUNCTION("""COMPUTED_VALUE"""),"5KM OVERALL M")</f>
        <v>5KM OVERALL M</v>
      </c>
      <c r="E1772" s="1" t="str">
        <f>IFERROR(__xludf.DUMMYFUNCTION("""COMPUTED_VALUE"""),"DSQ")</f>
        <v>DSQ</v>
      </c>
      <c r="F1772" s="1" t="str">
        <f>IFERROR(__xludf.DUMMYFUNCTION("""COMPUTED_VALUE"""),"Male")</f>
        <v>Male</v>
      </c>
      <c r="G1772" s="5" t="str">
        <f>IFERROR(__xludf.DUMMYFUNCTION("""COMPUTED_VALUE"""),"")</f>
        <v/>
      </c>
      <c r="H1772" s="15">
        <f>IFERROR(__xludf.DUMMYFUNCTION("""COMPUTED_VALUE"""),0.2549440625)</f>
        <v>0.2549440625</v>
      </c>
      <c r="I1772" s="15" t="str">
        <f>IFERROR(__xludf.DUMMYFUNCTION("""COMPUTED_VALUE"""),"")</f>
        <v/>
      </c>
      <c r="J1772" s="15" t="str">
        <f>IFERROR(__xludf.DUMMYFUNCTION("""COMPUTED_VALUE"""),"")</f>
        <v/>
      </c>
      <c r="K1772" s="15" t="str">
        <f>IFERROR(__xludf.DUMMYFUNCTION("""COMPUTED_VALUE"""),"")</f>
        <v/>
      </c>
      <c r="L1772" s="4" t="str">
        <f>IFERROR(__xludf.DUMMYFUNCTION("""COMPUTED_VALUE"""),"")</f>
        <v/>
      </c>
    </row>
    <row r="1773">
      <c r="A1773" s="1" t="str">
        <f>IFERROR(__xludf.DUMMYFUNCTION("""COMPUTED_VALUE"""),"DSQ")</f>
        <v>DSQ</v>
      </c>
      <c r="B1773" s="1">
        <f>IFERROR(__xludf.DUMMYFUNCTION("""COMPUTED_VALUE"""),5823.0)</f>
        <v>5823</v>
      </c>
      <c r="C1773" s="2" t="str">
        <f>IFERROR(__xludf.DUMMYFUNCTION("""COMPUTED_VALUE"""),"Aminullah")</f>
        <v>Aminullah</v>
      </c>
      <c r="D1773" s="2" t="str">
        <f>IFERROR(__xludf.DUMMYFUNCTION("""COMPUTED_VALUE"""),"5KM OVERALL M")</f>
        <v>5KM OVERALL M</v>
      </c>
      <c r="E1773" s="1" t="str">
        <f>IFERROR(__xludf.DUMMYFUNCTION("""COMPUTED_VALUE"""),"DSQ")</f>
        <v>DSQ</v>
      </c>
      <c r="F1773" s="1" t="str">
        <f>IFERROR(__xludf.DUMMYFUNCTION("""COMPUTED_VALUE"""),"Male")</f>
        <v>Male</v>
      </c>
      <c r="G1773" s="5" t="str">
        <f>IFERROR(__xludf.DUMMYFUNCTION("""COMPUTED_VALUE"""),"")</f>
        <v/>
      </c>
      <c r="H1773" s="15">
        <f>IFERROR(__xludf.DUMMYFUNCTION("""COMPUTED_VALUE"""),0.2549440625)</f>
        <v>0.2549440625</v>
      </c>
      <c r="I1773" s="15" t="str">
        <f>IFERROR(__xludf.DUMMYFUNCTION("""COMPUTED_VALUE"""),"")</f>
        <v/>
      </c>
      <c r="J1773" s="15" t="str">
        <f>IFERROR(__xludf.DUMMYFUNCTION("""COMPUTED_VALUE"""),"")</f>
        <v/>
      </c>
      <c r="K1773" s="15" t="str">
        <f>IFERROR(__xludf.DUMMYFUNCTION("""COMPUTED_VALUE"""),"")</f>
        <v/>
      </c>
      <c r="L1773" s="4" t="str">
        <f>IFERROR(__xludf.DUMMYFUNCTION("""COMPUTED_VALUE"""),"")</f>
        <v/>
      </c>
    </row>
    <row r="1774">
      <c r="A1774" s="1" t="str">
        <f>IFERROR(__xludf.DUMMYFUNCTION("""COMPUTED_VALUE"""),"DSQ")</f>
        <v>DSQ</v>
      </c>
      <c r="B1774" s="1">
        <f>IFERROR(__xludf.DUMMYFUNCTION("""COMPUTED_VALUE"""),5832.0)</f>
        <v>5832</v>
      </c>
      <c r="C1774" s="2" t="str">
        <f>IFERROR(__xludf.DUMMYFUNCTION("""COMPUTED_VALUE"""),"AY")</f>
        <v>AY</v>
      </c>
      <c r="D1774" s="2" t="str">
        <f>IFERROR(__xludf.DUMMYFUNCTION("""COMPUTED_VALUE"""),"5KM OVERALL M")</f>
        <v>5KM OVERALL M</v>
      </c>
      <c r="E1774" s="1" t="str">
        <f>IFERROR(__xludf.DUMMYFUNCTION("""COMPUTED_VALUE"""),"DSQ")</f>
        <v>DSQ</v>
      </c>
      <c r="F1774" s="1" t="str">
        <f>IFERROR(__xludf.DUMMYFUNCTION("""COMPUTED_VALUE"""),"Male")</f>
        <v>Male</v>
      </c>
      <c r="G1774" s="5" t="str">
        <f>IFERROR(__xludf.DUMMYFUNCTION("""COMPUTED_VALUE"""),"")</f>
        <v/>
      </c>
      <c r="H1774" s="15">
        <f>IFERROR(__xludf.DUMMYFUNCTION("""COMPUTED_VALUE"""),0.2549440625)</f>
        <v>0.2549440625</v>
      </c>
      <c r="I1774" s="15" t="str">
        <f>IFERROR(__xludf.DUMMYFUNCTION("""COMPUTED_VALUE"""),"")</f>
        <v/>
      </c>
      <c r="J1774" s="15" t="str">
        <f>IFERROR(__xludf.DUMMYFUNCTION("""COMPUTED_VALUE"""),"")</f>
        <v/>
      </c>
      <c r="K1774" s="15" t="str">
        <f>IFERROR(__xludf.DUMMYFUNCTION("""COMPUTED_VALUE"""),"")</f>
        <v/>
      </c>
      <c r="L1774" s="4" t="str">
        <f>IFERROR(__xludf.DUMMYFUNCTION("""COMPUTED_VALUE"""),"")</f>
        <v/>
      </c>
    </row>
    <row r="1775">
      <c r="A1775" s="1" t="str">
        <f>IFERROR(__xludf.DUMMYFUNCTION("""COMPUTED_VALUE"""),"DSQ")</f>
        <v>DSQ</v>
      </c>
      <c r="B1775" s="1">
        <f>IFERROR(__xludf.DUMMYFUNCTION("""COMPUTED_VALUE"""),5833.0)</f>
        <v>5833</v>
      </c>
      <c r="C1775" s="2" t="str">
        <f>IFERROR(__xludf.DUMMYFUNCTION("""COMPUTED_VALUE"""),"EBN")</f>
        <v>EBN</v>
      </c>
      <c r="D1775" s="2" t="str">
        <f>IFERROR(__xludf.DUMMYFUNCTION("""COMPUTED_VALUE"""),"5KM OVERALL M")</f>
        <v>5KM OVERALL M</v>
      </c>
      <c r="E1775" s="1" t="str">
        <f>IFERROR(__xludf.DUMMYFUNCTION("""COMPUTED_VALUE"""),"DSQ")</f>
        <v>DSQ</v>
      </c>
      <c r="F1775" s="1" t="str">
        <f>IFERROR(__xludf.DUMMYFUNCTION("""COMPUTED_VALUE"""),"Male")</f>
        <v>Male</v>
      </c>
      <c r="G1775" s="5" t="str">
        <f>IFERROR(__xludf.DUMMYFUNCTION("""COMPUTED_VALUE"""),"")</f>
        <v/>
      </c>
      <c r="H1775" s="15">
        <f>IFERROR(__xludf.DUMMYFUNCTION("""COMPUTED_VALUE"""),0.2549440625)</f>
        <v>0.2549440625</v>
      </c>
      <c r="I1775" s="15" t="str">
        <f>IFERROR(__xludf.DUMMYFUNCTION("""COMPUTED_VALUE"""),"")</f>
        <v/>
      </c>
      <c r="J1775" s="15" t="str">
        <f>IFERROR(__xludf.DUMMYFUNCTION("""COMPUTED_VALUE"""),"")</f>
        <v/>
      </c>
      <c r="K1775" s="15" t="str">
        <f>IFERROR(__xludf.DUMMYFUNCTION("""COMPUTED_VALUE"""),"")</f>
        <v/>
      </c>
      <c r="L1775" s="4" t="str">
        <f>IFERROR(__xludf.DUMMYFUNCTION("""COMPUTED_VALUE"""),"")</f>
        <v/>
      </c>
    </row>
    <row r="1776">
      <c r="A1776" s="1" t="str">
        <f>IFERROR(__xludf.DUMMYFUNCTION("""COMPUTED_VALUE"""),"DSQ")</f>
        <v>DSQ</v>
      </c>
      <c r="B1776" s="1">
        <f>IFERROR(__xludf.DUMMYFUNCTION("""COMPUTED_VALUE"""),5834.0)</f>
        <v>5834</v>
      </c>
      <c r="C1776" s="2" t="str">
        <f>IFERROR(__xludf.DUMMYFUNCTION("""COMPUTED_VALUE"""),"alkutu")</f>
        <v>alkutu</v>
      </c>
      <c r="D1776" s="2" t="str">
        <f>IFERROR(__xludf.DUMMYFUNCTION("""COMPUTED_VALUE"""),"5KM OVERALL M")</f>
        <v>5KM OVERALL M</v>
      </c>
      <c r="E1776" s="1" t="str">
        <f>IFERROR(__xludf.DUMMYFUNCTION("""COMPUTED_VALUE"""),"DSQ")</f>
        <v>DSQ</v>
      </c>
      <c r="F1776" s="1" t="str">
        <f>IFERROR(__xludf.DUMMYFUNCTION("""COMPUTED_VALUE"""),"Male")</f>
        <v>Male</v>
      </c>
      <c r="G1776" s="5" t="str">
        <f>IFERROR(__xludf.DUMMYFUNCTION("""COMPUTED_VALUE"""),"")</f>
        <v/>
      </c>
      <c r="H1776" s="15">
        <f>IFERROR(__xludf.DUMMYFUNCTION("""COMPUTED_VALUE"""),0.2549440625)</f>
        <v>0.2549440625</v>
      </c>
      <c r="I1776" s="15" t="str">
        <f>IFERROR(__xludf.DUMMYFUNCTION("""COMPUTED_VALUE"""),"")</f>
        <v/>
      </c>
      <c r="J1776" s="15" t="str">
        <f>IFERROR(__xludf.DUMMYFUNCTION("""COMPUTED_VALUE"""),"")</f>
        <v/>
      </c>
      <c r="K1776" s="15" t="str">
        <f>IFERROR(__xludf.DUMMYFUNCTION("""COMPUTED_VALUE"""),"")</f>
        <v/>
      </c>
      <c r="L1776" s="4" t="str">
        <f>IFERROR(__xludf.DUMMYFUNCTION("""COMPUTED_VALUE"""),"")</f>
        <v/>
      </c>
    </row>
    <row r="1777">
      <c r="A1777" s="1" t="str">
        <f>IFERROR(__xludf.DUMMYFUNCTION("""COMPUTED_VALUE"""),"DSQ")</f>
        <v>DSQ</v>
      </c>
      <c r="B1777" s="1">
        <f>IFERROR(__xludf.DUMMYFUNCTION("""COMPUTED_VALUE"""),5839.0)</f>
        <v>5839</v>
      </c>
      <c r="C1777" s="2" t="str">
        <f>IFERROR(__xludf.DUMMYFUNCTION("""COMPUTED_VALUE"""),"A Budi")</f>
        <v>A Budi</v>
      </c>
      <c r="D1777" s="2" t="str">
        <f>IFERROR(__xludf.DUMMYFUNCTION("""COMPUTED_VALUE"""),"5KM OVERALL M")</f>
        <v>5KM OVERALL M</v>
      </c>
      <c r="E1777" s="1" t="str">
        <f>IFERROR(__xludf.DUMMYFUNCTION("""COMPUTED_VALUE"""),"DSQ")</f>
        <v>DSQ</v>
      </c>
      <c r="F1777" s="1" t="str">
        <f>IFERROR(__xludf.DUMMYFUNCTION("""COMPUTED_VALUE"""),"Male")</f>
        <v>Male</v>
      </c>
      <c r="G1777" s="5" t="str">
        <f>IFERROR(__xludf.DUMMYFUNCTION("""COMPUTED_VALUE"""),"")</f>
        <v/>
      </c>
      <c r="H1777" s="15">
        <f>IFERROR(__xludf.DUMMYFUNCTION("""COMPUTED_VALUE"""),0.2549440625)</f>
        <v>0.2549440625</v>
      </c>
      <c r="I1777" s="15" t="str">
        <f>IFERROR(__xludf.DUMMYFUNCTION("""COMPUTED_VALUE"""),"")</f>
        <v/>
      </c>
      <c r="J1777" s="15" t="str">
        <f>IFERROR(__xludf.DUMMYFUNCTION("""COMPUTED_VALUE"""),"")</f>
        <v/>
      </c>
      <c r="K1777" s="15" t="str">
        <f>IFERROR(__xludf.DUMMYFUNCTION("""COMPUTED_VALUE"""),"")</f>
        <v/>
      </c>
      <c r="L1777" s="4" t="str">
        <f>IFERROR(__xludf.DUMMYFUNCTION("""COMPUTED_VALUE"""),"")</f>
        <v/>
      </c>
    </row>
    <row r="1778">
      <c r="A1778" s="1" t="str">
        <f>IFERROR(__xludf.DUMMYFUNCTION("""COMPUTED_VALUE"""),"DSQ")</f>
        <v>DSQ</v>
      </c>
      <c r="B1778" s="1">
        <f>IFERROR(__xludf.DUMMYFUNCTION("""COMPUTED_VALUE"""),5861.0)</f>
        <v>5861</v>
      </c>
      <c r="C1778" s="2" t="str">
        <f>IFERROR(__xludf.DUMMYFUNCTION("""COMPUTED_VALUE"""),"Nizar")</f>
        <v>Nizar</v>
      </c>
      <c r="D1778" s="2" t="str">
        <f>IFERROR(__xludf.DUMMYFUNCTION("""COMPUTED_VALUE"""),"5KM OVERALL M")</f>
        <v>5KM OVERALL M</v>
      </c>
      <c r="E1778" s="1" t="str">
        <f>IFERROR(__xludf.DUMMYFUNCTION("""COMPUTED_VALUE"""),"DSQ")</f>
        <v>DSQ</v>
      </c>
      <c r="F1778" s="1" t="str">
        <f>IFERROR(__xludf.DUMMYFUNCTION("""COMPUTED_VALUE"""),"Male")</f>
        <v>Male</v>
      </c>
      <c r="G1778" s="5" t="str">
        <f>IFERROR(__xludf.DUMMYFUNCTION("""COMPUTED_VALUE"""),"")</f>
        <v/>
      </c>
      <c r="H1778" s="15">
        <f>IFERROR(__xludf.DUMMYFUNCTION("""COMPUTED_VALUE"""),0.2549440625)</f>
        <v>0.2549440625</v>
      </c>
      <c r="I1778" s="15" t="str">
        <f>IFERROR(__xludf.DUMMYFUNCTION("""COMPUTED_VALUE"""),"")</f>
        <v/>
      </c>
      <c r="J1778" s="15" t="str">
        <f>IFERROR(__xludf.DUMMYFUNCTION("""COMPUTED_VALUE"""),"")</f>
        <v/>
      </c>
      <c r="K1778" s="15" t="str">
        <f>IFERROR(__xludf.DUMMYFUNCTION("""COMPUTED_VALUE"""),"")</f>
        <v/>
      </c>
      <c r="L1778" s="4" t="str">
        <f>IFERROR(__xludf.DUMMYFUNCTION("""COMPUTED_VALUE"""),"")</f>
        <v/>
      </c>
    </row>
    <row r="1779">
      <c r="A1779" s="1" t="str">
        <f>IFERROR(__xludf.DUMMYFUNCTION("""COMPUTED_VALUE"""),"DSQ")</f>
        <v>DSQ</v>
      </c>
      <c r="B1779" s="1">
        <f>IFERROR(__xludf.DUMMYFUNCTION("""COMPUTED_VALUE"""),5949.0)</f>
        <v>5949</v>
      </c>
      <c r="C1779" s="2" t="str">
        <f>IFERROR(__xludf.DUMMYFUNCTION("""COMPUTED_VALUE"""),"RAFI SOELISTIJONO")</f>
        <v>RAFI SOELISTIJONO</v>
      </c>
      <c r="D1779" s="2" t="str">
        <f>IFERROR(__xludf.DUMMYFUNCTION("""COMPUTED_VALUE"""),"5KM OVERALL M")</f>
        <v>5KM OVERALL M</v>
      </c>
      <c r="E1779" s="1" t="str">
        <f>IFERROR(__xludf.DUMMYFUNCTION("""COMPUTED_VALUE"""),"DSQ")</f>
        <v>DSQ</v>
      </c>
      <c r="F1779" s="1" t="str">
        <f>IFERROR(__xludf.DUMMYFUNCTION("""COMPUTED_VALUE"""),"Male")</f>
        <v>Male</v>
      </c>
      <c r="G1779" s="5">
        <f>IFERROR(__xludf.DUMMYFUNCTION("""COMPUTED_VALUE"""),0.005615668981481482)</f>
        <v>0.005615668981</v>
      </c>
      <c r="H1779" s="15">
        <f>IFERROR(__xludf.DUMMYFUNCTION("""COMPUTED_VALUE"""),0.2549440625)</f>
        <v>0.2549440625</v>
      </c>
      <c r="I1779" s="15">
        <f>IFERROR(__xludf.DUMMYFUNCTION("""COMPUTED_VALUE"""),45949.28302240484)</f>
        <v>45949.28302</v>
      </c>
      <c r="J1779" s="15">
        <f>IFERROR(__xludf.DUMMYFUNCTION("""COMPUTED_VALUE"""),45949.02807834234)</f>
        <v>45949.02808</v>
      </c>
      <c r="K1779" s="15" t="str">
        <f>IFERROR(__xludf.DUMMYFUNCTION("""COMPUTED_VALUE"""),"")</f>
        <v/>
      </c>
      <c r="L1779" s="4" t="str">
        <f>IFERROR(__xludf.DUMMYFUNCTION("""COMPUTED_VALUE"""),"")</f>
        <v/>
      </c>
    </row>
    <row r="1780">
      <c r="A1780" s="1" t="str">
        <f>IFERROR(__xludf.DUMMYFUNCTION("""COMPUTED_VALUE"""),"DSQ")</f>
        <v>DSQ</v>
      </c>
      <c r="B1780" s="1">
        <f>IFERROR(__xludf.DUMMYFUNCTION("""COMPUTED_VALUE"""),5950.0)</f>
        <v>5950</v>
      </c>
      <c r="C1780" s="2" t="str">
        <f>IFERROR(__xludf.DUMMYFUNCTION("""COMPUTED_VALUE"""),"Roberth")</f>
        <v>Roberth</v>
      </c>
      <c r="D1780" s="2" t="str">
        <f>IFERROR(__xludf.DUMMYFUNCTION("""COMPUTED_VALUE"""),"5KM OVERALL M")</f>
        <v>5KM OVERALL M</v>
      </c>
      <c r="E1780" s="1" t="str">
        <f>IFERROR(__xludf.DUMMYFUNCTION("""COMPUTED_VALUE"""),"DSQ")</f>
        <v>DSQ</v>
      </c>
      <c r="F1780" s="1" t="str">
        <f>IFERROR(__xludf.DUMMYFUNCTION("""COMPUTED_VALUE"""),"Male")</f>
        <v>Male</v>
      </c>
      <c r="G1780" s="5" t="str">
        <f>IFERROR(__xludf.DUMMYFUNCTION("""COMPUTED_VALUE"""),"")</f>
        <v/>
      </c>
      <c r="H1780" s="15">
        <f>IFERROR(__xludf.DUMMYFUNCTION("""COMPUTED_VALUE"""),0.2549440625)</f>
        <v>0.2549440625</v>
      </c>
      <c r="I1780" s="15" t="str">
        <f>IFERROR(__xludf.DUMMYFUNCTION("""COMPUTED_VALUE"""),"")</f>
        <v/>
      </c>
      <c r="J1780" s="15" t="str">
        <f>IFERROR(__xludf.DUMMYFUNCTION("""COMPUTED_VALUE"""),"")</f>
        <v/>
      </c>
      <c r="K1780" s="15" t="str">
        <f>IFERROR(__xludf.DUMMYFUNCTION("""COMPUTED_VALUE"""),"")</f>
        <v/>
      </c>
      <c r="L1780" s="4" t="str">
        <f>IFERROR(__xludf.DUMMYFUNCTION("""COMPUTED_VALUE"""),"")</f>
        <v/>
      </c>
    </row>
    <row r="1781">
      <c r="A1781" s="1" t="str">
        <f>IFERROR(__xludf.DUMMYFUNCTION("""COMPUTED_VALUE"""),"DSQ")</f>
        <v>DSQ</v>
      </c>
      <c r="B1781" s="1">
        <f>IFERROR(__xludf.DUMMYFUNCTION("""COMPUTED_VALUE"""),5955.0)</f>
        <v>5955</v>
      </c>
      <c r="C1781" s="2" t="str">
        <f>IFERROR(__xludf.DUMMYFUNCTION("""COMPUTED_VALUE"""),"Arba")</f>
        <v>Arba</v>
      </c>
      <c r="D1781" s="2" t="str">
        <f>IFERROR(__xludf.DUMMYFUNCTION("""COMPUTED_VALUE"""),"5KM OVERALL M")</f>
        <v>5KM OVERALL M</v>
      </c>
      <c r="E1781" s="1" t="str">
        <f>IFERROR(__xludf.DUMMYFUNCTION("""COMPUTED_VALUE"""),"DSQ")</f>
        <v>DSQ</v>
      </c>
      <c r="F1781" s="1" t="str">
        <f>IFERROR(__xludf.DUMMYFUNCTION("""COMPUTED_VALUE"""),"Male")</f>
        <v>Male</v>
      </c>
      <c r="G1781" s="5" t="str">
        <f>IFERROR(__xludf.DUMMYFUNCTION("""COMPUTED_VALUE"""),"")</f>
        <v/>
      </c>
      <c r="H1781" s="15">
        <f>IFERROR(__xludf.DUMMYFUNCTION("""COMPUTED_VALUE"""),0.2549440625)</f>
        <v>0.2549440625</v>
      </c>
      <c r="I1781" s="15" t="str">
        <f>IFERROR(__xludf.DUMMYFUNCTION("""COMPUTED_VALUE"""),"")</f>
        <v/>
      </c>
      <c r="J1781" s="15" t="str">
        <f>IFERROR(__xludf.DUMMYFUNCTION("""COMPUTED_VALUE"""),"")</f>
        <v/>
      </c>
      <c r="K1781" s="15" t="str">
        <f>IFERROR(__xludf.DUMMYFUNCTION("""COMPUTED_VALUE"""),"")</f>
        <v/>
      </c>
      <c r="L1781" s="4" t="str">
        <f>IFERROR(__xludf.DUMMYFUNCTION("""COMPUTED_VALUE"""),"")</f>
        <v/>
      </c>
    </row>
    <row r="1782">
      <c r="A1782" s="1" t="str">
        <f>IFERROR(__xludf.DUMMYFUNCTION("""COMPUTED_VALUE"""),"DSQ")</f>
        <v>DSQ</v>
      </c>
      <c r="B1782" s="1">
        <f>IFERROR(__xludf.DUMMYFUNCTION("""COMPUTED_VALUE"""),5956.0)</f>
        <v>5956</v>
      </c>
      <c r="C1782" s="2" t="str">
        <f>IFERROR(__xludf.DUMMYFUNCTION("""COMPUTED_VALUE"""),"Tora JR")</f>
        <v>Tora JR</v>
      </c>
      <c r="D1782" s="2" t="str">
        <f>IFERROR(__xludf.DUMMYFUNCTION("""COMPUTED_VALUE"""),"5KM OVERALL M")</f>
        <v>5KM OVERALL M</v>
      </c>
      <c r="E1782" s="1" t="str">
        <f>IFERROR(__xludf.DUMMYFUNCTION("""COMPUTED_VALUE"""),"DSQ")</f>
        <v>DSQ</v>
      </c>
      <c r="F1782" s="1" t="str">
        <f>IFERROR(__xludf.DUMMYFUNCTION("""COMPUTED_VALUE"""),"Male")</f>
        <v>Male</v>
      </c>
      <c r="G1782" s="5" t="str">
        <f>IFERROR(__xludf.DUMMYFUNCTION("""COMPUTED_VALUE"""),"")</f>
        <v/>
      </c>
      <c r="H1782" s="15">
        <f>IFERROR(__xludf.DUMMYFUNCTION("""COMPUTED_VALUE"""),0.2549440625)</f>
        <v>0.2549440625</v>
      </c>
      <c r="I1782" s="15" t="str">
        <f>IFERROR(__xludf.DUMMYFUNCTION("""COMPUTED_VALUE"""),"")</f>
        <v/>
      </c>
      <c r="J1782" s="15" t="str">
        <f>IFERROR(__xludf.DUMMYFUNCTION("""COMPUTED_VALUE"""),"")</f>
        <v/>
      </c>
      <c r="K1782" s="15" t="str">
        <f>IFERROR(__xludf.DUMMYFUNCTION("""COMPUTED_VALUE"""),"")</f>
        <v/>
      </c>
      <c r="L1782" s="4" t="str">
        <f>IFERROR(__xludf.DUMMYFUNCTION("""COMPUTED_VALUE"""),"")</f>
        <v/>
      </c>
    </row>
    <row r="1783">
      <c r="A1783" s="1" t="str">
        <f>IFERROR(__xludf.DUMMYFUNCTION("""COMPUTED_VALUE"""),"DSQ")</f>
        <v>DSQ</v>
      </c>
      <c r="B1783" s="1">
        <f>IFERROR(__xludf.DUMMYFUNCTION("""COMPUTED_VALUE"""),5971.0)</f>
        <v>5971</v>
      </c>
      <c r="C1783" s="2" t="str">
        <f>IFERROR(__xludf.DUMMYFUNCTION("""COMPUTED_VALUE"""),"Kany")</f>
        <v>Kany</v>
      </c>
      <c r="D1783" s="2" t="str">
        <f>IFERROR(__xludf.DUMMYFUNCTION("""COMPUTED_VALUE"""),"5KM OVERALL M")</f>
        <v>5KM OVERALL M</v>
      </c>
      <c r="E1783" s="1" t="str">
        <f>IFERROR(__xludf.DUMMYFUNCTION("""COMPUTED_VALUE"""),"DSQ")</f>
        <v>DSQ</v>
      </c>
      <c r="F1783" s="1" t="str">
        <f>IFERROR(__xludf.DUMMYFUNCTION("""COMPUTED_VALUE"""),"Male")</f>
        <v>Male</v>
      </c>
      <c r="G1783" s="5" t="str">
        <f>IFERROR(__xludf.DUMMYFUNCTION("""COMPUTED_VALUE"""),"")</f>
        <v/>
      </c>
      <c r="H1783" s="15">
        <f>IFERROR(__xludf.DUMMYFUNCTION("""COMPUTED_VALUE"""),0.2549440625)</f>
        <v>0.2549440625</v>
      </c>
      <c r="I1783" s="15" t="str">
        <f>IFERROR(__xludf.DUMMYFUNCTION("""COMPUTED_VALUE"""),"")</f>
        <v/>
      </c>
      <c r="J1783" s="15" t="str">
        <f>IFERROR(__xludf.DUMMYFUNCTION("""COMPUTED_VALUE"""),"")</f>
        <v/>
      </c>
      <c r="K1783" s="15" t="str">
        <f>IFERROR(__xludf.DUMMYFUNCTION("""COMPUTED_VALUE"""),"")</f>
        <v/>
      </c>
      <c r="L1783" s="4" t="str">
        <f>IFERROR(__xludf.DUMMYFUNCTION("""COMPUTED_VALUE"""),"")</f>
        <v/>
      </c>
    </row>
    <row r="1784">
      <c r="A1784" s="1" t="str">
        <f>IFERROR(__xludf.DUMMYFUNCTION("""COMPUTED_VALUE"""),"DSQ")</f>
        <v>DSQ</v>
      </c>
      <c r="B1784" s="1">
        <f>IFERROR(__xludf.DUMMYFUNCTION("""COMPUTED_VALUE"""),5988.0)</f>
        <v>5988</v>
      </c>
      <c r="C1784" s="2" t="str">
        <f>IFERROR(__xludf.DUMMYFUNCTION("""COMPUTED_VALUE"""),"Musa")</f>
        <v>Musa</v>
      </c>
      <c r="D1784" s="2" t="str">
        <f>IFERROR(__xludf.DUMMYFUNCTION("""COMPUTED_VALUE"""),"5KM OVERALL M")</f>
        <v>5KM OVERALL M</v>
      </c>
      <c r="E1784" s="1" t="str">
        <f>IFERROR(__xludf.DUMMYFUNCTION("""COMPUTED_VALUE"""),"DSQ")</f>
        <v>DSQ</v>
      </c>
      <c r="F1784" s="1" t="str">
        <f>IFERROR(__xludf.DUMMYFUNCTION("""COMPUTED_VALUE"""),"Male")</f>
        <v>Male</v>
      </c>
      <c r="G1784" s="5" t="str">
        <f>IFERROR(__xludf.DUMMYFUNCTION("""COMPUTED_VALUE"""),"")</f>
        <v/>
      </c>
      <c r="H1784" s="15">
        <f>IFERROR(__xludf.DUMMYFUNCTION("""COMPUTED_VALUE"""),0.2549440625)</f>
        <v>0.2549440625</v>
      </c>
      <c r="I1784" s="15" t="str">
        <f>IFERROR(__xludf.DUMMYFUNCTION("""COMPUTED_VALUE"""),"")</f>
        <v/>
      </c>
      <c r="J1784" s="15" t="str">
        <f>IFERROR(__xludf.DUMMYFUNCTION("""COMPUTED_VALUE"""),"")</f>
        <v/>
      </c>
      <c r="K1784" s="15" t="str">
        <f>IFERROR(__xludf.DUMMYFUNCTION("""COMPUTED_VALUE"""),"")</f>
        <v/>
      </c>
      <c r="L1784" s="4" t="str">
        <f>IFERROR(__xludf.DUMMYFUNCTION("""COMPUTED_VALUE"""),"")</f>
        <v/>
      </c>
    </row>
    <row r="1785">
      <c r="A1785" s="1" t="str">
        <f>IFERROR(__xludf.DUMMYFUNCTION("""COMPUTED_VALUE"""),"DSQ")</f>
        <v>DSQ</v>
      </c>
      <c r="B1785" s="1">
        <f>IFERROR(__xludf.DUMMYFUNCTION("""COMPUTED_VALUE"""),5993.0)</f>
        <v>5993</v>
      </c>
      <c r="C1785" s="2" t="str">
        <f>IFERROR(__xludf.DUMMYFUNCTION("""COMPUTED_VALUE"""),"CGeT3W")</f>
        <v>CGeT3W</v>
      </c>
      <c r="D1785" s="2" t="str">
        <f>IFERROR(__xludf.DUMMYFUNCTION("""COMPUTED_VALUE"""),"5KM OVERALL M")</f>
        <v>5KM OVERALL M</v>
      </c>
      <c r="E1785" s="1" t="str">
        <f>IFERROR(__xludf.DUMMYFUNCTION("""COMPUTED_VALUE"""),"DSQ")</f>
        <v>DSQ</v>
      </c>
      <c r="F1785" s="1" t="str">
        <f>IFERROR(__xludf.DUMMYFUNCTION("""COMPUTED_VALUE"""),"Male")</f>
        <v>Male</v>
      </c>
      <c r="G1785" s="5" t="str">
        <f>IFERROR(__xludf.DUMMYFUNCTION("""COMPUTED_VALUE"""),"")</f>
        <v/>
      </c>
      <c r="H1785" s="15">
        <f>IFERROR(__xludf.DUMMYFUNCTION("""COMPUTED_VALUE"""),0.2549440625)</f>
        <v>0.2549440625</v>
      </c>
      <c r="I1785" s="15" t="str">
        <f>IFERROR(__xludf.DUMMYFUNCTION("""COMPUTED_VALUE"""),"")</f>
        <v/>
      </c>
      <c r="J1785" s="15" t="str">
        <f>IFERROR(__xludf.DUMMYFUNCTION("""COMPUTED_VALUE"""),"")</f>
        <v/>
      </c>
      <c r="K1785" s="15" t="str">
        <f>IFERROR(__xludf.DUMMYFUNCTION("""COMPUTED_VALUE"""),"")</f>
        <v/>
      </c>
      <c r="L1785" s="4" t="str">
        <f>IFERROR(__xludf.DUMMYFUNCTION("""COMPUTED_VALUE"""),"")</f>
        <v/>
      </c>
    </row>
    <row r="1786">
      <c r="A1786" s="1" t="str">
        <f>IFERROR(__xludf.DUMMYFUNCTION("""COMPUTED_VALUE"""),"DSQ")</f>
        <v>DSQ</v>
      </c>
      <c r="B1786" s="1">
        <f>IFERROR(__xludf.DUMMYFUNCTION("""COMPUTED_VALUE"""),5996.0)</f>
        <v>5996</v>
      </c>
      <c r="C1786" s="2" t="str">
        <f>IFERROR(__xludf.DUMMYFUNCTION("""COMPUTED_VALUE"""),"yoga")</f>
        <v>yoga</v>
      </c>
      <c r="D1786" s="2" t="str">
        <f>IFERROR(__xludf.DUMMYFUNCTION("""COMPUTED_VALUE"""),"5KM OVERALL M")</f>
        <v>5KM OVERALL M</v>
      </c>
      <c r="E1786" s="1" t="str">
        <f>IFERROR(__xludf.DUMMYFUNCTION("""COMPUTED_VALUE"""),"DSQ")</f>
        <v>DSQ</v>
      </c>
      <c r="F1786" s="1" t="str">
        <f>IFERROR(__xludf.DUMMYFUNCTION("""COMPUTED_VALUE"""),"Male")</f>
        <v>Male</v>
      </c>
      <c r="G1786" s="5" t="str">
        <f>IFERROR(__xludf.DUMMYFUNCTION("""COMPUTED_VALUE"""),"")</f>
        <v/>
      </c>
      <c r="H1786" s="15">
        <f>IFERROR(__xludf.DUMMYFUNCTION("""COMPUTED_VALUE"""),0.2549440625)</f>
        <v>0.2549440625</v>
      </c>
      <c r="I1786" s="15" t="str">
        <f>IFERROR(__xludf.DUMMYFUNCTION("""COMPUTED_VALUE"""),"")</f>
        <v/>
      </c>
      <c r="J1786" s="15" t="str">
        <f>IFERROR(__xludf.DUMMYFUNCTION("""COMPUTED_VALUE"""),"")</f>
        <v/>
      </c>
      <c r="K1786" s="15" t="str">
        <f>IFERROR(__xludf.DUMMYFUNCTION("""COMPUTED_VALUE"""),"")</f>
        <v/>
      </c>
      <c r="L1786" s="4" t="str">
        <f>IFERROR(__xludf.DUMMYFUNCTION("""COMPUTED_VALUE"""),"")</f>
        <v/>
      </c>
    </row>
    <row r="1787">
      <c r="A1787" s="1" t="str">
        <f>IFERROR(__xludf.DUMMYFUNCTION("""COMPUTED_VALUE"""),"DSQ")</f>
        <v>DSQ</v>
      </c>
      <c r="B1787" s="1">
        <f>IFERROR(__xludf.DUMMYFUNCTION("""COMPUTED_VALUE"""),6006.0)</f>
        <v>6006</v>
      </c>
      <c r="C1787" s="2" t="str">
        <f>IFERROR(__xludf.DUMMYFUNCTION("""COMPUTED_VALUE"""),"Yanuar")</f>
        <v>Yanuar</v>
      </c>
      <c r="D1787" s="2" t="str">
        <f>IFERROR(__xludf.DUMMYFUNCTION("""COMPUTED_VALUE"""),"5KM OVERALL M")</f>
        <v>5KM OVERALL M</v>
      </c>
      <c r="E1787" s="1" t="str">
        <f>IFERROR(__xludf.DUMMYFUNCTION("""COMPUTED_VALUE"""),"DSQ")</f>
        <v>DSQ</v>
      </c>
      <c r="F1787" s="1" t="str">
        <f>IFERROR(__xludf.DUMMYFUNCTION("""COMPUTED_VALUE"""),"Male")</f>
        <v>Male</v>
      </c>
      <c r="G1787" s="5" t="str">
        <f>IFERROR(__xludf.DUMMYFUNCTION("""COMPUTED_VALUE"""),"")</f>
        <v/>
      </c>
      <c r="H1787" s="15">
        <f>IFERROR(__xludf.DUMMYFUNCTION("""COMPUTED_VALUE"""),0.2549440625)</f>
        <v>0.2549440625</v>
      </c>
      <c r="I1787" s="15" t="str">
        <f>IFERROR(__xludf.DUMMYFUNCTION("""COMPUTED_VALUE"""),"")</f>
        <v/>
      </c>
      <c r="J1787" s="15" t="str">
        <f>IFERROR(__xludf.DUMMYFUNCTION("""COMPUTED_VALUE"""),"")</f>
        <v/>
      </c>
      <c r="K1787" s="15" t="str">
        <f>IFERROR(__xludf.DUMMYFUNCTION("""COMPUTED_VALUE"""),"")</f>
        <v/>
      </c>
      <c r="L1787" s="4" t="str">
        <f>IFERROR(__xludf.DUMMYFUNCTION("""COMPUTED_VALUE"""),"")</f>
        <v/>
      </c>
    </row>
    <row r="1788">
      <c r="A1788" s="1" t="str">
        <f>IFERROR(__xludf.DUMMYFUNCTION("""COMPUTED_VALUE"""),"DSQ")</f>
        <v>DSQ</v>
      </c>
      <c r="B1788" s="1">
        <f>IFERROR(__xludf.DUMMYFUNCTION("""COMPUTED_VALUE"""),6026.0)</f>
        <v>6026</v>
      </c>
      <c r="C1788" s="2" t="str">
        <f>IFERROR(__xludf.DUMMYFUNCTION("""COMPUTED_VALUE"""),"Anas F")</f>
        <v>Anas F</v>
      </c>
      <c r="D1788" s="2" t="str">
        <f>IFERROR(__xludf.DUMMYFUNCTION("""COMPUTED_VALUE"""),"5KM OVERALL M")</f>
        <v>5KM OVERALL M</v>
      </c>
      <c r="E1788" s="1" t="str">
        <f>IFERROR(__xludf.DUMMYFUNCTION("""COMPUTED_VALUE"""),"DSQ")</f>
        <v>DSQ</v>
      </c>
      <c r="F1788" s="1" t="str">
        <f>IFERROR(__xludf.DUMMYFUNCTION("""COMPUTED_VALUE"""),"Male")</f>
        <v>Male</v>
      </c>
      <c r="G1788" s="5" t="str">
        <f>IFERROR(__xludf.DUMMYFUNCTION("""COMPUTED_VALUE"""),"")</f>
        <v/>
      </c>
      <c r="H1788" s="15">
        <f>IFERROR(__xludf.DUMMYFUNCTION("""COMPUTED_VALUE"""),0.2549440625)</f>
        <v>0.2549440625</v>
      </c>
      <c r="I1788" s="15" t="str">
        <f>IFERROR(__xludf.DUMMYFUNCTION("""COMPUTED_VALUE"""),"")</f>
        <v/>
      </c>
      <c r="J1788" s="15" t="str">
        <f>IFERROR(__xludf.DUMMYFUNCTION("""COMPUTED_VALUE"""),"")</f>
        <v/>
      </c>
      <c r="K1788" s="15" t="str">
        <f>IFERROR(__xludf.DUMMYFUNCTION("""COMPUTED_VALUE"""),"")</f>
        <v/>
      </c>
      <c r="L1788" s="4" t="str">
        <f>IFERROR(__xludf.DUMMYFUNCTION("""COMPUTED_VALUE"""),"")</f>
        <v/>
      </c>
    </row>
    <row r="1789">
      <c r="A1789" s="1" t="str">
        <f>IFERROR(__xludf.DUMMYFUNCTION("""COMPUTED_VALUE"""),"DSQ")</f>
        <v>DSQ</v>
      </c>
      <c r="B1789" s="1">
        <f>IFERROR(__xludf.DUMMYFUNCTION("""COMPUTED_VALUE"""),6030.0)</f>
        <v>6030</v>
      </c>
      <c r="C1789" s="2" t="str">
        <f>IFERROR(__xludf.DUMMYFUNCTION("""COMPUTED_VALUE"""),"rofiq")</f>
        <v>rofiq</v>
      </c>
      <c r="D1789" s="2" t="str">
        <f>IFERROR(__xludf.DUMMYFUNCTION("""COMPUTED_VALUE"""),"5KM OVERALL M")</f>
        <v>5KM OVERALL M</v>
      </c>
      <c r="E1789" s="1" t="str">
        <f>IFERROR(__xludf.DUMMYFUNCTION("""COMPUTED_VALUE"""),"DSQ")</f>
        <v>DSQ</v>
      </c>
      <c r="F1789" s="1" t="str">
        <f>IFERROR(__xludf.DUMMYFUNCTION("""COMPUTED_VALUE"""),"Male")</f>
        <v>Male</v>
      </c>
      <c r="G1789" s="5">
        <f>IFERROR(__xludf.DUMMYFUNCTION("""COMPUTED_VALUE"""),0.0021635277777777777)</f>
        <v>0.002163527778</v>
      </c>
      <c r="H1789" s="15">
        <f>IFERROR(__xludf.DUMMYFUNCTION("""COMPUTED_VALUE"""),0.2549440625)</f>
        <v>0.2549440625</v>
      </c>
      <c r="I1789" s="15">
        <f>IFERROR(__xludf.DUMMYFUNCTION("""COMPUTED_VALUE"""),45949.26576170065)</f>
        <v>45949.26576</v>
      </c>
      <c r="J1789" s="15">
        <f>IFERROR(__xludf.DUMMYFUNCTION("""COMPUTED_VALUE"""),45949.01081763815)</f>
        <v>45949.01082</v>
      </c>
      <c r="K1789" s="15">
        <f>IFERROR(__xludf.DUMMYFUNCTION("""COMPUTED_VALUE"""),45949.27983226366)</f>
        <v>45949.27983</v>
      </c>
      <c r="L1789" s="4"/>
    </row>
    <row r="1790">
      <c r="A1790" s="1" t="str">
        <f>IFERROR(__xludf.DUMMYFUNCTION("""COMPUTED_VALUE"""),"DSQ")</f>
        <v>DSQ</v>
      </c>
      <c r="B1790" s="1">
        <f>IFERROR(__xludf.DUMMYFUNCTION("""COMPUTED_VALUE"""),6044.0)</f>
        <v>6044</v>
      </c>
      <c r="C1790" s="2" t="str">
        <f>IFERROR(__xludf.DUMMYFUNCTION("""COMPUTED_VALUE"""),"RIZKAN")</f>
        <v>RIZKAN</v>
      </c>
      <c r="D1790" s="2" t="str">
        <f>IFERROR(__xludf.DUMMYFUNCTION("""COMPUTED_VALUE"""),"5KM OVERALL M")</f>
        <v>5KM OVERALL M</v>
      </c>
      <c r="E1790" s="1" t="str">
        <f>IFERROR(__xludf.DUMMYFUNCTION("""COMPUTED_VALUE"""),"DSQ")</f>
        <v>DSQ</v>
      </c>
      <c r="F1790" s="1" t="str">
        <f>IFERROR(__xludf.DUMMYFUNCTION("""COMPUTED_VALUE"""),"Male")</f>
        <v>Male</v>
      </c>
      <c r="G1790" s="5" t="str">
        <f>IFERROR(__xludf.DUMMYFUNCTION("""COMPUTED_VALUE"""),"")</f>
        <v/>
      </c>
      <c r="H1790" s="15">
        <f>IFERROR(__xludf.DUMMYFUNCTION("""COMPUTED_VALUE"""),0.2549440625)</f>
        <v>0.2549440625</v>
      </c>
      <c r="I1790" s="15" t="str">
        <f>IFERROR(__xludf.DUMMYFUNCTION("""COMPUTED_VALUE"""),"")</f>
        <v/>
      </c>
      <c r="J1790" s="15" t="str">
        <f>IFERROR(__xludf.DUMMYFUNCTION("""COMPUTED_VALUE"""),"")</f>
        <v/>
      </c>
      <c r="K1790" s="15" t="str">
        <f>IFERROR(__xludf.DUMMYFUNCTION("""COMPUTED_VALUE"""),"")</f>
        <v/>
      </c>
      <c r="L1790" s="4" t="str">
        <f>IFERROR(__xludf.DUMMYFUNCTION("""COMPUTED_VALUE"""),"")</f>
        <v/>
      </c>
    </row>
    <row r="1791">
      <c r="A1791" s="1" t="str">
        <f>IFERROR(__xludf.DUMMYFUNCTION("""COMPUTED_VALUE"""),"DSQ")</f>
        <v>DSQ</v>
      </c>
      <c r="B1791" s="1">
        <f>IFERROR(__xludf.DUMMYFUNCTION("""COMPUTED_VALUE"""),6058.0)</f>
        <v>6058</v>
      </c>
      <c r="C1791" s="2" t="str">
        <f>IFERROR(__xludf.DUMMYFUNCTION("""COMPUTED_VALUE"""),"SUMANTO")</f>
        <v>SUMANTO</v>
      </c>
      <c r="D1791" s="2" t="str">
        <f>IFERROR(__xludf.DUMMYFUNCTION("""COMPUTED_VALUE"""),"5KM OVERALL M")</f>
        <v>5KM OVERALL M</v>
      </c>
      <c r="E1791" s="1" t="str">
        <f>IFERROR(__xludf.DUMMYFUNCTION("""COMPUTED_VALUE"""),"DSQ")</f>
        <v>DSQ</v>
      </c>
      <c r="F1791" s="1" t="str">
        <f>IFERROR(__xludf.DUMMYFUNCTION("""COMPUTED_VALUE"""),"Male")</f>
        <v>Male</v>
      </c>
      <c r="G1791" s="5" t="str">
        <f>IFERROR(__xludf.DUMMYFUNCTION("""COMPUTED_VALUE"""),"")</f>
        <v/>
      </c>
      <c r="H1791" s="15">
        <f>IFERROR(__xludf.DUMMYFUNCTION("""COMPUTED_VALUE"""),0.2549440625)</f>
        <v>0.2549440625</v>
      </c>
      <c r="I1791" s="15" t="str">
        <f>IFERROR(__xludf.DUMMYFUNCTION("""COMPUTED_VALUE"""),"")</f>
        <v/>
      </c>
      <c r="J1791" s="15" t="str">
        <f>IFERROR(__xludf.DUMMYFUNCTION("""COMPUTED_VALUE"""),"")</f>
        <v/>
      </c>
      <c r="K1791" s="15" t="str">
        <f>IFERROR(__xludf.DUMMYFUNCTION("""COMPUTED_VALUE"""),"")</f>
        <v/>
      </c>
      <c r="L1791" s="4" t="str">
        <f>IFERROR(__xludf.DUMMYFUNCTION("""COMPUTED_VALUE"""),"")</f>
        <v/>
      </c>
    </row>
    <row r="1792">
      <c r="A1792" s="1" t="str">
        <f>IFERROR(__xludf.DUMMYFUNCTION("""COMPUTED_VALUE"""),"DSQ")</f>
        <v>DSQ</v>
      </c>
      <c r="B1792" s="1">
        <f>IFERROR(__xludf.DUMMYFUNCTION("""COMPUTED_VALUE"""),6071.0)</f>
        <v>6071</v>
      </c>
      <c r="C1792" s="2" t="str">
        <f>IFERROR(__xludf.DUMMYFUNCTION("""COMPUTED_VALUE"""),"Zainnudin A")</f>
        <v>Zainnudin A</v>
      </c>
      <c r="D1792" s="2" t="str">
        <f>IFERROR(__xludf.DUMMYFUNCTION("""COMPUTED_VALUE"""),"5KM OVERALL M")</f>
        <v>5KM OVERALL M</v>
      </c>
      <c r="E1792" s="1" t="str">
        <f>IFERROR(__xludf.DUMMYFUNCTION("""COMPUTED_VALUE"""),"DSQ")</f>
        <v>DSQ</v>
      </c>
      <c r="F1792" s="1" t="str">
        <f>IFERROR(__xludf.DUMMYFUNCTION("""COMPUTED_VALUE"""),"Male")</f>
        <v>Male</v>
      </c>
      <c r="G1792" s="5" t="str">
        <f>IFERROR(__xludf.DUMMYFUNCTION("""COMPUTED_VALUE"""),"")</f>
        <v/>
      </c>
      <c r="H1792" s="15">
        <f>IFERROR(__xludf.DUMMYFUNCTION("""COMPUTED_VALUE"""),0.2549440625)</f>
        <v>0.2549440625</v>
      </c>
      <c r="I1792" s="15" t="str">
        <f>IFERROR(__xludf.DUMMYFUNCTION("""COMPUTED_VALUE"""),"")</f>
        <v/>
      </c>
      <c r="J1792" s="15" t="str">
        <f>IFERROR(__xludf.DUMMYFUNCTION("""COMPUTED_VALUE"""),"")</f>
        <v/>
      </c>
      <c r="K1792" s="15" t="str">
        <f>IFERROR(__xludf.DUMMYFUNCTION("""COMPUTED_VALUE"""),"")</f>
        <v/>
      </c>
      <c r="L1792" s="4" t="str">
        <f>IFERROR(__xludf.DUMMYFUNCTION("""COMPUTED_VALUE"""),"")</f>
        <v/>
      </c>
    </row>
    <row r="1793">
      <c r="A1793" s="1" t="str">
        <f>IFERROR(__xludf.DUMMYFUNCTION("""COMPUTED_VALUE"""),"DSQ")</f>
        <v>DSQ</v>
      </c>
      <c r="B1793" s="1">
        <f>IFERROR(__xludf.DUMMYFUNCTION("""COMPUTED_VALUE"""),6089.0)</f>
        <v>6089</v>
      </c>
      <c r="C1793" s="2" t="str">
        <f>IFERROR(__xludf.DUMMYFUNCTION("""COMPUTED_VALUE"""),"Septian Adi")</f>
        <v>Septian Adi</v>
      </c>
      <c r="D1793" s="2" t="str">
        <f>IFERROR(__xludf.DUMMYFUNCTION("""COMPUTED_VALUE"""),"5KM OVERALL M")</f>
        <v>5KM OVERALL M</v>
      </c>
      <c r="E1793" s="1" t="str">
        <f>IFERROR(__xludf.DUMMYFUNCTION("""COMPUTED_VALUE"""),"DSQ")</f>
        <v>DSQ</v>
      </c>
      <c r="F1793" s="1" t="str">
        <f>IFERROR(__xludf.DUMMYFUNCTION("""COMPUTED_VALUE"""),"Male")</f>
        <v>Male</v>
      </c>
      <c r="G1793" s="5" t="str">
        <f>IFERROR(__xludf.DUMMYFUNCTION("""COMPUTED_VALUE"""),"")</f>
        <v/>
      </c>
      <c r="H1793" s="15">
        <f>IFERROR(__xludf.DUMMYFUNCTION("""COMPUTED_VALUE"""),0.2549440625)</f>
        <v>0.2549440625</v>
      </c>
      <c r="I1793" s="15" t="str">
        <f>IFERROR(__xludf.DUMMYFUNCTION("""COMPUTED_VALUE"""),"")</f>
        <v/>
      </c>
      <c r="J1793" s="15" t="str">
        <f>IFERROR(__xludf.DUMMYFUNCTION("""COMPUTED_VALUE"""),"")</f>
        <v/>
      </c>
      <c r="K1793" s="15" t="str">
        <f>IFERROR(__xludf.DUMMYFUNCTION("""COMPUTED_VALUE"""),"")</f>
        <v/>
      </c>
      <c r="L1793" s="4" t="str">
        <f>IFERROR(__xludf.DUMMYFUNCTION("""COMPUTED_VALUE"""),"")</f>
        <v/>
      </c>
    </row>
    <row r="1794">
      <c r="A1794" s="1" t="str">
        <f>IFERROR(__xludf.DUMMYFUNCTION("""COMPUTED_VALUE"""),"DSQ")</f>
        <v>DSQ</v>
      </c>
      <c r="B1794" s="1">
        <f>IFERROR(__xludf.DUMMYFUNCTION("""COMPUTED_VALUE"""),6097.0)</f>
        <v>6097</v>
      </c>
      <c r="C1794" s="2" t="str">
        <f>IFERROR(__xludf.DUMMYFUNCTION("""COMPUTED_VALUE"""),"Nugroho")</f>
        <v>Nugroho</v>
      </c>
      <c r="D1794" s="2" t="str">
        <f>IFERROR(__xludf.DUMMYFUNCTION("""COMPUTED_VALUE"""),"5KM OVERALL M")</f>
        <v>5KM OVERALL M</v>
      </c>
      <c r="E1794" s="1" t="str">
        <f>IFERROR(__xludf.DUMMYFUNCTION("""COMPUTED_VALUE"""),"DSQ")</f>
        <v>DSQ</v>
      </c>
      <c r="F1794" s="1" t="str">
        <f>IFERROR(__xludf.DUMMYFUNCTION("""COMPUTED_VALUE"""),"Male")</f>
        <v>Male</v>
      </c>
      <c r="G1794" s="5" t="str">
        <f>IFERROR(__xludf.DUMMYFUNCTION("""COMPUTED_VALUE"""),"")</f>
        <v/>
      </c>
      <c r="H1794" s="15">
        <f>IFERROR(__xludf.DUMMYFUNCTION("""COMPUTED_VALUE"""),0.2549440625)</f>
        <v>0.2549440625</v>
      </c>
      <c r="I1794" s="15" t="str">
        <f>IFERROR(__xludf.DUMMYFUNCTION("""COMPUTED_VALUE"""),"")</f>
        <v/>
      </c>
      <c r="J1794" s="15" t="str">
        <f>IFERROR(__xludf.DUMMYFUNCTION("""COMPUTED_VALUE"""),"")</f>
        <v/>
      </c>
      <c r="K1794" s="15" t="str">
        <f>IFERROR(__xludf.DUMMYFUNCTION("""COMPUTED_VALUE"""),"")</f>
        <v/>
      </c>
      <c r="L1794" s="4" t="str">
        <f>IFERROR(__xludf.DUMMYFUNCTION("""COMPUTED_VALUE"""),"")</f>
        <v/>
      </c>
    </row>
    <row r="1795">
      <c r="A1795" s="1" t="str">
        <f>IFERROR(__xludf.DUMMYFUNCTION("""COMPUTED_VALUE"""),"DSQ")</f>
        <v>DSQ</v>
      </c>
      <c r="B1795" s="1">
        <f>IFERROR(__xludf.DUMMYFUNCTION("""COMPUTED_VALUE"""),6113.0)</f>
        <v>6113</v>
      </c>
      <c r="C1795" s="2" t="str">
        <f>IFERROR(__xludf.DUMMYFUNCTION("""COMPUTED_VALUE"""),"indra")</f>
        <v>indra</v>
      </c>
      <c r="D1795" s="2" t="str">
        <f>IFERROR(__xludf.DUMMYFUNCTION("""COMPUTED_VALUE"""),"5KM OVERALL M")</f>
        <v>5KM OVERALL M</v>
      </c>
      <c r="E1795" s="1" t="str">
        <f>IFERROR(__xludf.DUMMYFUNCTION("""COMPUTED_VALUE"""),"DSQ")</f>
        <v>DSQ</v>
      </c>
      <c r="F1795" s="1" t="str">
        <f>IFERROR(__xludf.DUMMYFUNCTION("""COMPUTED_VALUE"""),"Male")</f>
        <v>Male</v>
      </c>
      <c r="G1795" s="5" t="str">
        <f>IFERROR(__xludf.DUMMYFUNCTION("""COMPUTED_VALUE"""),"")</f>
        <v/>
      </c>
      <c r="H1795" s="15">
        <f>IFERROR(__xludf.DUMMYFUNCTION("""COMPUTED_VALUE"""),0.2549440625)</f>
        <v>0.2549440625</v>
      </c>
      <c r="I1795" s="15" t="str">
        <f>IFERROR(__xludf.DUMMYFUNCTION("""COMPUTED_VALUE"""),"")</f>
        <v/>
      </c>
      <c r="J1795" s="15" t="str">
        <f>IFERROR(__xludf.DUMMYFUNCTION("""COMPUTED_VALUE"""),"")</f>
        <v/>
      </c>
      <c r="K1795" s="15" t="str">
        <f>IFERROR(__xludf.DUMMYFUNCTION("""COMPUTED_VALUE"""),"")</f>
        <v/>
      </c>
      <c r="L1795" s="4" t="str">
        <f>IFERROR(__xludf.DUMMYFUNCTION("""COMPUTED_VALUE"""),"")</f>
        <v/>
      </c>
    </row>
    <row r="1796">
      <c r="A1796" s="1" t="str">
        <f>IFERROR(__xludf.DUMMYFUNCTION("""COMPUTED_VALUE"""),"DSQ")</f>
        <v>DSQ</v>
      </c>
      <c r="B1796" s="1">
        <f>IFERROR(__xludf.DUMMYFUNCTION("""COMPUTED_VALUE"""),6115.0)</f>
        <v>6115</v>
      </c>
      <c r="C1796" s="2" t="str">
        <f>IFERROR(__xludf.DUMMYFUNCTION("""COMPUTED_VALUE"""),"Hanif")</f>
        <v>Hanif</v>
      </c>
      <c r="D1796" s="2" t="str">
        <f>IFERROR(__xludf.DUMMYFUNCTION("""COMPUTED_VALUE"""),"5KM OVERALL M")</f>
        <v>5KM OVERALL M</v>
      </c>
      <c r="E1796" s="1" t="str">
        <f>IFERROR(__xludf.DUMMYFUNCTION("""COMPUTED_VALUE"""),"DSQ")</f>
        <v>DSQ</v>
      </c>
      <c r="F1796" s="1" t="str">
        <f>IFERROR(__xludf.DUMMYFUNCTION("""COMPUTED_VALUE"""),"Male")</f>
        <v>Male</v>
      </c>
      <c r="G1796" s="5" t="str">
        <f>IFERROR(__xludf.DUMMYFUNCTION("""COMPUTED_VALUE"""),"")</f>
        <v/>
      </c>
      <c r="H1796" s="15">
        <f>IFERROR(__xludf.DUMMYFUNCTION("""COMPUTED_VALUE"""),0.2549440625)</f>
        <v>0.2549440625</v>
      </c>
      <c r="I1796" s="15" t="str">
        <f>IFERROR(__xludf.DUMMYFUNCTION("""COMPUTED_VALUE"""),"")</f>
        <v/>
      </c>
      <c r="J1796" s="15" t="str">
        <f>IFERROR(__xludf.DUMMYFUNCTION("""COMPUTED_VALUE"""),"")</f>
        <v/>
      </c>
      <c r="K1796" s="15" t="str">
        <f>IFERROR(__xludf.DUMMYFUNCTION("""COMPUTED_VALUE"""),"")</f>
        <v/>
      </c>
      <c r="L1796" s="4" t="str">
        <f>IFERROR(__xludf.DUMMYFUNCTION("""COMPUTED_VALUE"""),"")</f>
        <v/>
      </c>
    </row>
    <row r="1797">
      <c r="A1797" s="1" t="str">
        <f>IFERROR(__xludf.DUMMYFUNCTION("""COMPUTED_VALUE"""),"DSQ")</f>
        <v>DSQ</v>
      </c>
      <c r="B1797" s="1">
        <f>IFERROR(__xludf.DUMMYFUNCTION("""COMPUTED_VALUE"""),6116.0)</f>
        <v>6116</v>
      </c>
      <c r="C1797" s="2" t="str">
        <f>IFERROR(__xludf.DUMMYFUNCTION("""COMPUTED_VALUE"""),"Affa")</f>
        <v>Affa</v>
      </c>
      <c r="D1797" s="2" t="str">
        <f>IFERROR(__xludf.DUMMYFUNCTION("""COMPUTED_VALUE"""),"5KM OVERALL M")</f>
        <v>5KM OVERALL M</v>
      </c>
      <c r="E1797" s="1" t="str">
        <f>IFERROR(__xludf.DUMMYFUNCTION("""COMPUTED_VALUE"""),"DSQ")</f>
        <v>DSQ</v>
      </c>
      <c r="F1797" s="1" t="str">
        <f>IFERROR(__xludf.DUMMYFUNCTION("""COMPUTED_VALUE"""),"Male")</f>
        <v>Male</v>
      </c>
      <c r="G1797" s="5" t="str">
        <f>IFERROR(__xludf.DUMMYFUNCTION("""COMPUTED_VALUE"""),"")</f>
        <v/>
      </c>
      <c r="H1797" s="15">
        <f>IFERROR(__xludf.DUMMYFUNCTION("""COMPUTED_VALUE"""),0.2549440625)</f>
        <v>0.2549440625</v>
      </c>
      <c r="I1797" s="15" t="str">
        <f>IFERROR(__xludf.DUMMYFUNCTION("""COMPUTED_VALUE"""),"")</f>
        <v/>
      </c>
      <c r="J1797" s="15" t="str">
        <f>IFERROR(__xludf.DUMMYFUNCTION("""COMPUTED_VALUE"""),"")</f>
        <v/>
      </c>
      <c r="K1797" s="15" t="str">
        <f>IFERROR(__xludf.DUMMYFUNCTION("""COMPUTED_VALUE"""),"")</f>
        <v/>
      </c>
      <c r="L1797" s="4" t="str">
        <f>IFERROR(__xludf.DUMMYFUNCTION("""COMPUTED_VALUE"""),"")</f>
        <v/>
      </c>
    </row>
    <row r="1798">
      <c r="A1798" s="1" t="str">
        <f>IFERROR(__xludf.DUMMYFUNCTION("""COMPUTED_VALUE"""),"DSQ")</f>
        <v>DSQ</v>
      </c>
      <c r="B1798" s="1">
        <f>IFERROR(__xludf.DUMMYFUNCTION("""COMPUTED_VALUE"""),6146.0)</f>
        <v>6146</v>
      </c>
      <c r="C1798" s="2" t="str">
        <f>IFERROR(__xludf.DUMMYFUNCTION("""COMPUTED_VALUE"""),"anwr.cha")</f>
        <v>anwr.cha</v>
      </c>
      <c r="D1798" s="2" t="str">
        <f>IFERROR(__xludf.DUMMYFUNCTION("""COMPUTED_VALUE"""),"5KM OVERALL M")</f>
        <v>5KM OVERALL M</v>
      </c>
      <c r="E1798" s="1" t="str">
        <f>IFERROR(__xludf.DUMMYFUNCTION("""COMPUTED_VALUE"""),"DSQ")</f>
        <v>DSQ</v>
      </c>
      <c r="F1798" s="1" t="str">
        <f>IFERROR(__xludf.DUMMYFUNCTION("""COMPUTED_VALUE"""),"Male")</f>
        <v>Male</v>
      </c>
      <c r="G1798" s="5" t="str">
        <f>IFERROR(__xludf.DUMMYFUNCTION("""COMPUTED_VALUE"""),"")</f>
        <v/>
      </c>
      <c r="H1798" s="15">
        <f>IFERROR(__xludf.DUMMYFUNCTION("""COMPUTED_VALUE"""),0.2549440625)</f>
        <v>0.2549440625</v>
      </c>
      <c r="I1798" s="15" t="str">
        <f>IFERROR(__xludf.DUMMYFUNCTION("""COMPUTED_VALUE"""),"")</f>
        <v/>
      </c>
      <c r="J1798" s="15" t="str">
        <f>IFERROR(__xludf.DUMMYFUNCTION("""COMPUTED_VALUE"""),"")</f>
        <v/>
      </c>
      <c r="K1798" s="15" t="str">
        <f>IFERROR(__xludf.DUMMYFUNCTION("""COMPUTED_VALUE"""),"")</f>
        <v/>
      </c>
      <c r="L1798" s="4" t="str">
        <f>IFERROR(__xludf.DUMMYFUNCTION("""COMPUTED_VALUE"""),"")</f>
        <v/>
      </c>
    </row>
    <row r="1799">
      <c r="A1799" s="1" t="str">
        <f>IFERROR(__xludf.DUMMYFUNCTION("""COMPUTED_VALUE"""),"DSQ")</f>
        <v>DSQ</v>
      </c>
      <c r="B1799" s="1">
        <f>IFERROR(__xludf.DUMMYFUNCTION("""COMPUTED_VALUE"""),6147.0)</f>
        <v>6147</v>
      </c>
      <c r="C1799" s="2" t="str">
        <f>IFERROR(__xludf.DUMMYFUNCTION("""COMPUTED_VALUE"""),"Kahfi")</f>
        <v>Kahfi</v>
      </c>
      <c r="D1799" s="2" t="str">
        <f>IFERROR(__xludf.DUMMYFUNCTION("""COMPUTED_VALUE"""),"5KM OVERALL M")</f>
        <v>5KM OVERALL M</v>
      </c>
      <c r="E1799" s="1" t="str">
        <f>IFERROR(__xludf.DUMMYFUNCTION("""COMPUTED_VALUE"""),"DSQ")</f>
        <v>DSQ</v>
      </c>
      <c r="F1799" s="1" t="str">
        <f>IFERROR(__xludf.DUMMYFUNCTION("""COMPUTED_VALUE"""),"Male")</f>
        <v>Male</v>
      </c>
      <c r="G1799" s="5" t="str">
        <f>IFERROR(__xludf.DUMMYFUNCTION("""COMPUTED_VALUE"""),"")</f>
        <v/>
      </c>
      <c r="H1799" s="15">
        <f>IFERROR(__xludf.DUMMYFUNCTION("""COMPUTED_VALUE"""),0.2549440625)</f>
        <v>0.2549440625</v>
      </c>
      <c r="I1799" s="15" t="str">
        <f>IFERROR(__xludf.DUMMYFUNCTION("""COMPUTED_VALUE"""),"")</f>
        <v/>
      </c>
      <c r="J1799" s="15" t="str">
        <f>IFERROR(__xludf.DUMMYFUNCTION("""COMPUTED_VALUE"""),"")</f>
        <v/>
      </c>
      <c r="K1799" s="15" t="str">
        <f>IFERROR(__xludf.DUMMYFUNCTION("""COMPUTED_VALUE"""),"")</f>
        <v/>
      </c>
      <c r="L1799" s="4" t="str">
        <f>IFERROR(__xludf.DUMMYFUNCTION("""COMPUTED_VALUE"""),"")</f>
        <v/>
      </c>
    </row>
    <row r="1800">
      <c r="A1800" s="1" t="str">
        <f>IFERROR(__xludf.DUMMYFUNCTION("""COMPUTED_VALUE"""),"DSQ")</f>
        <v>DSQ</v>
      </c>
      <c r="B1800" s="1">
        <f>IFERROR(__xludf.DUMMYFUNCTION("""COMPUTED_VALUE"""),6148.0)</f>
        <v>6148</v>
      </c>
      <c r="C1800" s="2" t="str">
        <f>IFERROR(__xludf.DUMMYFUNCTION("""COMPUTED_VALUE"""),"Zubair")</f>
        <v>Zubair</v>
      </c>
      <c r="D1800" s="2" t="str">
        <f>IFERROR(__xludf.DUMMYFUNCTION("""COMPUTED_VALUE"""),"5KM OVERALL M")</f>
        <v>5KM OVERALL M</v>
      </c>
      <c r="E1800" s="1" t="str">
        <f>IFERROR(__xludf.DUMMYFUNCTION("""COMPUTED_VALUE"""),"DSQ")</f>
        <v>DSQ</v>
      </c>
      <c r="F1800" s="1" t="str">
        <f>IFERROR(__xludf.DUMMYFUNCTION("""COMPUTED_VALUE"""),"Male")</f>
        <v>Male</v>
      </c>
      <c r="G1800" s="5" t="str">
        <f>IFERROR(__xludf.DUMMYFUNCTION("""COMPUTED_VALUE"""),"")</f>
        <v/>
      </c>
      <c r="H1800" s="15">
        <f>IFERROR(__xludf.DUMMYFUNCTION("""COMPUTED_VALUE"""),0.2549440625)</f>
        <v>0.2549440625</v>
      </c>
      <c r="I1800" s="15" t="str">
        <f>IFERROR(__xludf.DUMMYFUNCTION("""COMPUTED_VALUE"""),"")</f>
        <v/>
      </c>
      <c r="J1800" s="15" t="str">
        <f>IFERROR(__xludf.DUMMYFUNCTION("""COMPUTED_VALUE"""),"")</f>
        <v/>
      </c>
      <c r="K1800" s="15" t="str">
        <f>IFERROR(__xludf.DUMMYFUNCTION("""COMPUTED_VALUE"""),"")</f>
        <v/>
      </c>
      <c r="L1800" s="4" t="str">
        <f>IFERROR(__xludf.DUMMYFUNCTION("""COMPUTED_VALUE"""),"")</f>
        <v/>
      </c>
    </row>
    <row r="1801">
      <c r="A1801" s="1" t="str">
        <f>IFERROR(__xludf.DUMMYFUNCTION("""COMPUTED_VALUE"""),"DSQ")</f>
        <v>DSQ</v>
      </c>
      <c r="B1801" s="1">
        <f>IFERROR(__xludf.DUMMYFUNCTION("""COMPUTED_VALUE"""),6152.0)</f>
        <v>6152</v>
      </c>
      <c r="C1801" s="2" t="str">
        <f>IFERROR(__xludf.DUMMYFUNCTION("""COMPUTED_VALUE"""),"Ryan")</f>
        <v>Ryan</v>
      </c>
      <c r="D1801" s="2" t="str">
        <f>IFERROR(__xludf.DUMMYFUNCTION("""COMPUTED_VALUE"""),"5KM OVERALL M")</f>
        <v>5KM OVERALL M</v>
      </c>
      <c r="E1801" s="1" t="str">
        <f>IFERROR(__xludf.DUMMYFUNCTION("""COMPUTED_VALUE"""),"DSQ")</f>
        <v>DSQ</v>
      </c>
      <c r="F1801" s="1" t="str">
        <f>IFERROR(__xludf.DUMMYFUNCTION("""COMPUTED_VALUE"""),"Male")</f>
        <v>Male</v>
      </c>
      <c r="G1801" s="5" t="str">
        <f>IFERROR(__xludf.DUMMYFUNCTION("""COMPUTED_VALUE"""),"")</f>
        <v/>
      </c>
      <c r="H1801" s="15">
        <f>IFERROR(__xludf.DUMMYFUNCTION("""COMPUTED_VALUE"""),0.2549440625)</f>
        <v>0.2549440625</v>
      </c>
      <c r="I1801" s="15" t="str">
        <f>IFERROR(__xludf.DUMMYFUNCTION("""COMPUTED_VALUE"""),"")</f>
        <v/>
      </c>
      <c r="J1801" s="15" t="str">
        <f>IFERROR(__xludf.DUMMYFUNCTION("""COMPUTED_VALUE"""),"")</f>
        <v/>
      </c>
      <c r="K1801" s="15" t="str">
        <f>IFERROR(__xludf.DUMMYFUNCTION("""COMPUTED_VALUE"""),"")</f>
        <v/>
      </c>
      <c r="L1801" s="4" t="str">
        <f>IFERROR(__xludf.DUMMYFUNCTION("""COMPUTED_VALUE"""),"")</f>
        <v/>
      </c>
    </row>
    <row r="1802">
      <c r="A1802" s="1" t="str">
        <f>IFERROR(__xludf.DUMMYFUNCTION("""COMPUTED_VALUE"""),"DSQ")</f>
        <v>DSQ</v>
      </c>
      <c r="B1802" s="1">
        <f>IFERROR(__xludf.DUMMYFUNCTION("""COMPUTED_VALUE"""),6175.0)</f>
        <v>6175</v>
      </c>
      <c r="C1802" s="2" t="str">
        <f>IFERROR(__xludf.DUMMYFUNCTION("""COMPUTED_VALUE"""),"Rivaldo")</f>
        <v>Rivaldo</v>
      </c>
      <c r="D1802" s="2" t="str">
        <f>IFERROR(__xludf.DUMMYFUNCTION("""COMPUTED_VALUE"""),"5KM OVERALL M")</f>
        <v>5KM OVERALL M</v>
      </c>
      <c r="E1802" s="1" t="str">
        <f>IFERROR(__xludf.DUMMYFUNCTION("""COMPUTED_VALUE"""),"DSQ")</f>
        <v>DSQ</v>
      </c>
      <c r="F1802" s="1" t="str">
        <f>IFERROR(__xludf.DUMMYFUNCTION("""COMPUTED_VALUE"""),"Male")</f>
        <v>Male</v>
      </c>
      <c r="G1802" s="5" t="str">
        <f>IFERROR(__xludf.DUMMYFUNCTION("""COMPUTED_VALUE"""),"")</f>
        <v/>
      </c>
      <c r="H1802" s="15">
        <f>IFERROR(__xludf.DUMMYFUNCTION("""COMPUTED_VALUE"""),0.2549440625)</f>
        <v>0.2549440625</v>
      </c>
      <c r="I1802" s="15" t="str">
        <f>IFERROR(__xludf.DUMMYFUNCTION("""COMPUTED_VALUE"""),"")</f>
        <v/>
      </c>
      <c r="J1802" s="15" t="str">
        <f>IFERROR(__xludf.DUMMYFUNCTION("""COMPUTED_VALUE"""),"")</f>
        <v/>
      </c>
      <c r="K1802" s="15" t="str">
        <f>IFERROR(__xludf.DUMMYFUNCTION("""COMPUTED_VALUE"""),"")</f>
        <v/>
      </c>
      <c r="L1802" s="4" t="str">
        <f>IFERROR(__xludf.DUMMYFUNCTION("""COMPUTED_VALUE"""),"")</f>
        <v/>
      </c>
    </row>
    <row r="1803">
      <c r="A1803" s="1" t="str">
        <f>IFERROR(__xludf.DUMMYFUNCTION("""COMPUTED_VALUE"""),"DSQ")</f>
        <v>DSQ</v>
      </c>
      <c r="B1803" s="1">
        <f>IFERROR(__xludf.DUMMYFUNCTION("""COMPUTED_VALUE"""),6186.0)</f>
        <v>6186</v>
      </c>
      <c r="C1803" s="2" t="str">
        <f>IFERROR(__xludf.DUMMYFUNCTION("""COMPUTED_VALUE"""),"Mufid")</f>
        <v>Mufid</v>
      </c>
      <c r="D1803" s="2" t="str">
        <f>IFERROR(__xludf.DUMMYFUNCTION("""COMPUTED_VALUE"""),"5KM OVERALL M")</f>
        <v>5KM OVERALL M</v>
      </c>
      <c r="E1803" s="1" t="str">
        <f>IFERROR(__xludf.DUMMYFUNCTION("""COMPUTED_VALUE"""),"DSQ")</f>
        <v>DSQ</v>
      </c>
      <c r="F1803" s="1" t="str">
        <f>IFERROR(__xludf.DUMMYFUNCTION("""COMPUTED_VALUE"""),"Male")</f>
        <v>Male</v>
      </c>
      <c r="G1803" s="5" t="str">
        <f>IFERROR(__xludf.DUMMYFUNCTION("""COMPUTED_VALUE"""),"")</f>
        <v/>
      </c>
      <c r="H1803" s="15">
        <f>IFERROR(__xludf.DUMMYFUNCTION("""COMPUTED_VALUE"""),0.2549440625)</f>
        <v>0.2549440625</v>
      </c>
      <c r="I1803" s="15" t="str">
        <f>IFERROR(__xludf.DUMMYFUNCTION("""COMPUTED_VALUE"""),"")</f>
        <v/>
      </c>
      <c r="J1803" s="15" t="str">
        <f>IFERROR(__xludf.DUMMYFUNCTION("""COMPUTED_VALUE"""),"")</f>
        <v/>
      </c>
      <c r="K1803" s="15" t="str">
        <f>IFERROR(__xludf.DUMMYFUNCTION("""COMPUTED_VALUE"""),"")</f>
        <v/>
      </c>
      <c r="L1803" s="4" t="str">
        <f>IFERROR(__xludf.DUMMYFUNCTION("""COMPUTED_VALUE"""),"")</f>
        <v/>
      </c>
    </row>
    <row r="1804">
      <c r="A1804" s="1" t="str">
        <f>IFERROR(__xludf.DUMMYFUNCTION("""COMPUTED_VALUE"""),"DSQ")</f>
        <v>DSQ</v>
      </c>
      <c r="B1804" s="1">
        <f>IFERROR(__xludf.DUMMYFUNCTION("""COMPUTED_VALUE"""),6188.0)</f>
        <v>6188</v>
      </c>
      <c r="C1804" s="2" t="str">
        <f>IFERROR(__xludf.DUMMYFUNCTION("""COMPUTED_VALUE"""),"DYDA")</f>
        <v>DYDA</v>
      </c>
      <c r="D1804" s="2" t="str">
        <f>IFERROR(__xludf.DUMMYFUNCTION("""COMPUTED_VALUE"""),"5KM OVERALL M")</f>
        <v>5KM OVERALL M</v>
      </c>
      <c r="E1804" s="1" t="str">
        <f>IFERROR(__xludf.DUMMYFUNCTION("""COMPUTED_VALUE"""),"DSQ")</f>
        <v>DSQ</v>
      </c>
      <c r="F1804" s="1" t="str">
        <f>IFERROR(__xludf.DUMMYFUNCTION("""COMPUTED_VALUE"""),"Male")</f>
        <v>Male</v>
      </c>
      <c r="G1804" s="5" t="str">
        <f>IFERROR(__xludf.DUMMYFUNCTION("""COMPUTED_VALUE"""),"")</f>
        <v/>
      </c>
      <c r="H1804" s="15">
        <f>IFERROR(__xludf.DUMMYFUNCTION("""COMPUTED_VALUE"""),0.2549440625)</f>
        <v>0.2549440625</v>
      </c>
      <c r="I1804" s="15" t="str">
        <f>IFERROR(__xludf.DUMMYFUNCTION("""COMPUTED_VALUE"""),"")</f>
        <v/>
      </c>
      <c r="J1804" s="15" t="str">
        <f>IFERROR(__xludf.DUMMYFUNCTION("""COMPUTED_VALUE"""),"")</f>
        <v/>
      </c>
      <c r="K1804" s="15" t="str">
        <f>IFERROR(__xludf.DUMMYFUNCTION("""COMPUTED_VALUE"""),"")</f>
        <v/>
      </c>
      <c r="L1804" s="4" t="str">
        <f>IFERROR(__xludf.DUMMYFUNCTION("""COMPUTED_VALUE"""),"")</f>
        <v/>
      </c>
    </row>
    <row r="1805">
      <c r="A1805" s="1" t="str">
        <f>IFERROR(__xludf.DUMMYFUNCTION("""COMPUTED_VALUE"""),"DSQ")</f>
        <v>DSQ</v>
      </c>
      <c r="B1805" s="1">
        <f>IFERROR(__xludf.DUMMYFUNCTION("""COMPUTED_VALUE"""),6202.0)</f>
        <v>6202</v>
      </c>
      <c r="C1805" s="2" t="str">
        <f>IFERROR(__xludf.DUMMYFUNCTION("""COMPUTED_VALUE"""),"Nanang Shalokal")</f>
        <v>Nanang Shalokal</v>
      </c>
      <c r="D1805" s="2" t="str">
        <f>IFERROR(__xludf.DUMMYFUNCTION("""COMPUTED_VALUE"""),"5KM OVERALL M")</f>
        <v>5KM OVERALL M</v>
      </c>
      <c r="E1805" s="1" t="str">
        <f>IFERROR(__xludf.DUMMYFUNCTION("""COMPUTED_VALUE"""),"DSQ")</f>
        <v>DSQ</v>
      </c>
      <c r="F1805" s="1" t="str">
        <f>IFERROR(__xludf.DUMMYFUNCTION("""COMPUTED_VALUE"""),"Male")</f>
        <v>Male</v>
      </c>
      <c r="G1805" s="5" t="str">
        <f>IFERROR(__xludf.DUMMYFUNCTION("""COMPUTED_VALUE"""),"")</f>
        <v/>
      </c>
      <c r="H1805" s="15">
        <f>IFERROR(__xludf.DUMMYFUNCTION("""COMPUTED_VALUE"""),0.2549440625)</f>
        <v>0.2549440625</v>
      </c>
      <c r="I1805" s="15" t="str">
        <f>IFERROR(__xludf.DUMMYFUNCTION("""COMPUTED_VALUE"""),"")</f>
        <v/>
      </c>
      <c r="J1805" s="15" t="str">
        <f>IFERROR(__xludf.DUMMYFUNCTION("""COMPUTED_VALUE"""),"")</f>
        <v/>
      </c>
      <c r="K1805" s="15" t="str">
        <f>IFERROR(__xludf.DUMMYFUNCTION("""COMPUTED_VALUE"""),"")</f>
        <v/>
      </c>
      <c r="L1805" s="4" t="str">
        <f>IFERROR(__xludf.DUMMYFUNCTION("""COMPUTED_VALUE"""),"")</f>
        <v/>
      </c>
    </row>
    <row r="1806">
      <c r="A1806" s="1" t="str">
        <f>IFERROR(__xludf.DUMMYFUNCTION("""COMPUTED_VALUE"""),"DSQ")</f>
        <v>DSQ</v>
      </c>
      <c r="B1806" s="1">
        <f>IFERROR(__xludf.DUMMYFUNCTION("""COMPUTED_VALUE"""),6225.0)</f>
        <v>6225</v>
      </c>
      <c r="C1806" s="2" t="str">
        <f>IFERROR(__xludf.DUMMYFUNCTION("""COMPUTED_VALUE"""),"agus tego")</f>
        <v>agus tego</v>
      </c>
      <c r="D1806" s="2" t="str">
        <f>IFERROR(__xludf.DUMMYFUNCTION("""COMPUTED_VALUE"""),"5KM OVERALL M")</f>
        <v>5KM OVERALL M</v>
      </c>
      <c r="E1806" s="1" t="str">
        <f>IFERROR(__xludf.DUMMYFUNCTION("""COMPUTED_VALUE"""),"DSQ")</f>
        <v>DSQ</v>
      </c>
      <c r="F1806" s="1" t="str">
        <f>IFERROR(__xludf.DUMMYFUNCTION("""COMPUTED_VALUE"""),"Male")</f>
        <v>Male</v>
      </c>
      <c r="G1806" s="5" t="str">
        <f>IFERROR(__xludf.DUMMYFUNCTION("""COMPUTED_VALUE"""),"")</f>
        <v/>
      </c>
      <c r="H1806" s="15">
        <f>IFERROR(__xludf.DUMMYFUNCTION("""COMPUTED_VALUE"""),0.2549440625)</f>
        <v>0.2549440625</v>
      </c>
      <c r="I1806" s="15" t="str">
        <f>IFERROR(__xludf.DUMMYFUNCTION("""COMPUTED_VALUE"""),"")</f>
        <v/>
      </c>
      <c r="J1806" s="15" t="str">
        <f>IFERROR(__xludf.DUMMYFUNCTION("""COMPUTED_VALUE"""),"")</f>
        <v/>
      </c>
      <c r="K1806" s="15" t="str">
        <f>IFERROR(__xludf.DUMMYFUNCTION("""COMPUTED_VALUE"""),"")</f>
        <v/>
      </c>
      <c r="L1806" s="4" t="str">
        <f>IFERROR(__xludf.DUMMYFUNCTION("""COMPUTED_VALUE"""),"")</f>
        <v/>
      </c>
    </row>
    <row r="1807">
      <c r="A1807" s="1" t="str">
        <f>IFERROR(__xludf.DUMMYFUNCTION("""COMPUTED_VALUE"""),"DSQ")</f>
        <v>DSQ</v>
      </c>
      <c r="B1807" s="1">
        <f>IFERROR(__xludf.DUMMYFUNCTION("""COMPUTED_VALUE"""),6234.0)</f>
        <v>6234</v>
      </c>
      <c r="C1807" s="2" t="str">
        <f>IFERROR(__xludf.DUMMYFUNCTION("""COMPUTED_VALUE"""),"Ari Sukma Setiawan")</f>
        <v>Ari Sukma Setiawan</v>
      </c>
      <c r="D1807" s="2" t="str">
        <f>IFERROR(__xludf.DUMMYFUNCTION("""COMPUTED_VALUE"""),"5KM OVERALL M")</f>
        <v>5KM OVERALL M</v>
      </c>
      <c r="E1807" s="1" t="str">
        <f>IFERROR(__xludf.DUMMYFUNCTION("""COMPUTED_VALUE"""),"DSQ")</f>
        <v>DSQ</v>
      </c>
      <c r="F1807" s="1" t="str">
        <f>IFERROR(__xludf.DUMMYFUNCTION("""COMPUTED_VALUE"""),"Male")</f>
        <v>Male</v>
      </c>
      <c r="G1807" s="5" t="str">
        <f>IFERROR(__xludf.DUMMYFUNCTION("""COMPUTED_VALUE"""),"")</f>
        <v/>
      </c>
      <c r="H1807" s="15">
        <f>IFERROR(__xludf.DUMMYFUNCTION("""COMPUTED_VALUE"""),0.2549440625)</f>
        <v>0.2549440625</v>
      </c>
      <c r="I1807" s="15" t="str">
        <f>IFERROR(__xludf.DUMMYFUNCTION("""COMPUTED_VALUE"""),"")</f>
        <v/>
      </c>
      <c r="J1807" s="15" t="str">
        <f>IFERROR(__xludf.DUMMYFUNCTION("""COMPUTED_VALUE"""),"")</f>
        <v/>
      </c>
      <c r="K1807" s="15" t="str">
        <f>IFERROR(__xludf.DUMMYFUNCTION("""COMPUTED_VALUE"""),"")</f>
        <v/>
      </c>
      <c r="L1807" s="4" t="str">
        <f>IFERROR(__xludf.DUMMYFUNCTION("""COMPUTED_VALUE"""),"")</f>
        <v/>
      </c>
    </row>
    <row r="1808">
      <c r="A1808" s="1" t="str">
        <f>IFERROR(__xludf.DUMMYFUNCTION("""COMPUTED_VALUE"""),"DSQ")</f>
        <v>DSQ</v>
      </c>
      <c r="B1808" s="1">
        <f>IFERROR(__xludf.DUMMYFUNCTION("""COMPUTED_VALUE"""),6279.0)</f>
        <v>6279</v>
      </c>
      <c r="C1808" s="2" t="str">
        <f>IFERROR(__xludf.DUMMYFUNCTION("""COMPUTED_VALUE"""),"WISNU BACHTIAR")</f>
        <v>WISNU BACHTIAR</v>
      </c>
      <c r="D1808" s="2" t="str">
        <f>IFERROR(__xludf.DUMMYFUNCTION("""COMPUTED_VALUE"""),"5KM OVERALL M")</f>
        <v>5KM OVERALL M</v>
      </c>
      <c r="E1808" s="1" t="str">
        <f>IFERROR(__xludf.DUMMYFUNCTION("""COMPUTED_VALUE"""),"DSQ")</f>
        <v>DSQ</v>
      </c>
      <c r="F1808" s="1" t="str">
        <f>IFERROR(__xludf.DUMMYFUNCTION("""COMPUTED_VALUE"""),"Male")</f>
        <v>Male</v>
      </c>
      <c r="G1808" s="5" t="str">
        <f>IFERROR(__xludf.DUMMYFUNCTION("""COMPUTED_VALUE"""),"")</f>
        <v/>
      </c>
      <c r="H1808" s="15">
        <f>IFERROR(__xludf.DUMMYFUNCTION("""COMPUTED_VALUE"""),0.2549440625)</f>
        <v>0.2549440625</v>
      </c>
      <c r="I1808" s="15" t="str">
        <f>IFERROR(__xludf.DUMMYFUNCTION("""COMPUTED_VALUE"""),"")</f>
        <v/>
      </c>
      <c r="J1808" s="15" t="str">
        <f>IFERROR(__xludf.DUMMYFUNCTION("""COMPUTED_VALUE"""),"")</f>
        <v/>
      </c>
      <c r="K1808" s="15" t="str">
        <f>IFERROR(__xludf.DUMMYFUNCTION("""COMPUTED_VALUE"""),"")</f>
        <v/>
      </c>
      <c r="L1808" s="4" t="str">
        <f>IFERROR(__xludf.DUMMYFUNCTION("""COMPUTED_VALUE"""),"")</f>
        <v/>
      </c>
    </row>
    <row r="1809">
      <c r="A1809" s="1" t="str">
        <f>IFERROR(__xludf.DUMMYFUNCTION("""COMPUTED_VALUE"""),"DSQ")</f>
        <v>DSQ</v>
      </c>
      <c r="B1809" s="1">
        <f>IFERROR(__xludf.DUMMYFUNCTION("""COMPUTED_VALUE"""),6309.0)</f>
        <v>6309</v>
      </c>
      <c r="C1809" s="2" t="str">
        <f>IFERROR(__xludf.DUMMYFUNCTION("""COMPUTED_VALUE"""),"FAHRI")</f>
        <v>FAHRI</v>
      </c>
      <c r="D1809" s="2" t="str">
        <f>IFERROR(__xludf.DUMMYFUNCTION("""COMPUTED_VALUE"""),"5KM OVERALL M")</f>
        <v>5KM OVERALL M</v>
      </c>
      <c r="E1809" s="1" t="str">
        <f>IFERROR(__xludf.DUMMYFUNCTION("""COMPUTED_VALUE"""),"DSQ")</f>
        <v>DSQ</v>
      </c>
      <c r="F1809" s="1" t="str">
        <f>IFERROR(__xludf.DUMMYFUNCTION("""COMPUTED_VALUE"""),"Male")</f>
        <v>Male</v>
      </c>
      <c r="G1809" s="5" t="str">
        <f>IFERROR(__xludf.DUMMYFUNCTION("""COMPUTED_VALUE"""),"")</f>
        <v/>
      </c>
      <c r="H1809" s="15">
        <f>IFERROR(__xludf.DUMMYFUNCTION("""COMPUTED_VALUE"""),0.2549440625)</f>
        <v>0.2549440625</v>
      </c>
      <c r="I1809" s="15" t="str">
        <f>IFERROR(__xludf.DUMMYFUNCTION("""COMPUTED_VALUE"""),"")</f>
        <v/>
      </c>
      <c r="J1809" s="15" t="str">
        <f>IFERROR(__xludf.DUMMYFUNCTION("""COMPUTED_VALUE"""),"")</f>
        <v/>
      </c>
      <c r="K1809" s="15" t="str">
        <f>IFERROR(__xludf.DUMMYFUNCTION("""COMPUTED_VALUE"""),"")</f>
        <v/>
      </c>
      <c r="L1809" s="4" t="str">
        <f>IFERROR(__xludf.DUMMYFUNCTION("""COMPUTED_VALUE"""),"")</f>
        <v/>
      </c>
    </row>
    <row r="1810">
      <c r="A1810" s="1" t="str">
        <f>IFERROR(__xludf.DUMMYFUNCTION("""COMPUTED_VALUE"""),"DSQ")</f>
        <v>DSQ</v>
      </c>
      <c r="B1810" s="1">
        <f>IFERROR(__xludf.DUMMYFUNCTION("""COMPUTED_VALUE"""),6321.0)</f>
        <v>6321</v>
      </c>
      <c r="C1810" s="2" t="str">
        <f>IFERROR(__xludf.DUMMYFUNCTION("""COMPUTED_VALUE"""),"Zhar")</f>
        <v>Zhar</v>
      </c>
      <c r="D1810" s="2" t="str">
        <f>IFERROR(__xludf.DUMMYFUNCTION("""COMPUTED_VALUE"""),"5KM OVERALL M")</f>
        <v>5KM OVERALL M</v>
      </c>
      <c r="E1810" s="1" t="str">
        <f>IFERROR(__xludf.DUMMYFUNCTION("""COMPUTED_VALUE"""),"DSQ")</f>
        <v>DSQ</v>
      </c>
      <c r="F1810" s="1" t="str">
        <f>IFERROR(__xludf.DUMMYFUNCTION("""COMPUTED_VALUE"""),"Male")</f>
        <v>Male</v>
      </c>
      <c r="G1810" s="5" t="str">
        <f>IFERROR(__xludf.DUMMYFUNCTION("""COMPUTED_VALUE"""),"")</f>
        <v/>
      </c>
      <c r="H1810" s="15">
        <f>IFERROR(__xludf.DUMMYFUNCTION("""COMPUTED_VALUE"""),0.2549440625)</f>
        <v>0.2549440625</v>
      </c>
      <c r="I1810" s="15" t="str">
        <f>IFERROR(__xludf.DUMMYFUNCTION("""COMPUTED_VALUE"""),"")</f>
        <v/>
      </c>
      <c r="J1810" s="15" t="str">
        <f>IFERROR(__xludf.DUMMYFUNCTION("""COMPUTED_VALUE"""),"")</f>
        <v/>
      </c>
      <c r="K1810" s="15" t="str">
        <f>IFERROR(__xludf.DUMMYFUNCTION("""COMPUTED_VALUE"""),"")</f>
        <v/>
      </c>
      <c r="L1810" s="4" t="str">
        <f>IFERROR(__xludf.DUMMYFUNCTION("""COMPUTED_VALUE"""),"")</f>
        <v/>
      </c>
    </row>
    <row r="1811">
      <c r="A1811" s="1" t="str">
        <f>IFERROR(__xludf.DUMMYFUNCTION("""COMPUTED_VALUE"""),"DSQ")</f>
        <v>DSQ</v>
      </c>
      <c r="B1811" s="1">
        <f>IFERROR(__xludf.DUMMYFUNCTION("""COMPUTED_VALUE"""),6343.0)</f>
        <v>6343</v>
      </c>
      <c r="C1811" s="2" t="str">
        <f>IFERROR(__xludf.DUMMYFUNCTION("""COMPUTED_VALUE"""),"Abah Selyn")</f>
        <v>Abah Selyn</v>
      </c>
      <c r="D1811" s="2" t="str">
        <f>IFERROR(__xludf.DUMMYFUNCTION("""COMPUTED_VALUE"""),"5KM OVERALL M")</f>
        <v>5KM OVERALL M</v>
      </c>
      <c r="E1811" s="1" t="str">
        <f>IFERROR(__xludf.DUMMYFUNCTION("""COMPUTED_VALUE"""),"DSQ")</f>
        <v>DSQ</v>
      </c>
      <c r="F1811" s="1" t="str">
        <f>IFERROR(__xludf.DUMMYFUNCTION("""COMPUTED_VALUE"""),"Male")</f>
        <v>Male</v>
      </c>
      <c r="G1811" s="5" t="str">
        <f>IFERROR(__xludf.DUMMYFUNCTION("""COMPUTED_VALUE"""),"")</f>
        <v/>
      </c>
      <c r="H1811" s="15">
        <f>IFERROR(__xludf.DUMMYFUNCTION("""COMPUTED_VALUE"""),0.2549440625)</f>
        <v>0.2549440625</v>
      </c>
      <c r="I1811" s="15" t="str">
        <f>IFERROR(__xludf.DUMMYFUNCTION("""COMPUTED_VALUE"""),"")</f>
        <v/>
      </c>
      <c r="J1811" s="15" t="str">
        <f>IFERROR(__xludf.DUMMYFUNCTION("""COMPUTED_VALUE"""),"")</f>
        <v/>
      </c>
      <c r="K1811" s="15" t="str">
        <f>IFERROR(__xludf.DUMMYFUNCTION("""COMPUTED_VALUE"""),"")</f>
        <v/>
      </c>
      <c r="L1811" s="4" t="str">
        <f>IFERROR(__xludf.DUMMYFUNCTION("""COMPUTED_VALUE"""),"")</f>
        <v/>
      </c>
    </row>
    <row r="1812">
      <c r="A1812" s="1" t="str">
        <f>IFERROR(__xludf.DUMMYFUNCTION("""COMPUTED_VALUE"""),"DSQ")</f>
        <v>DSQ</v>
      </c>
      <c r="B1812" s="1">
        <f>IFERROR(__xludf.DUMMYFUNCTION("""COMPUTED_VALUE"""),6354.0)</f>
        <v>6354</v>
      </c>
      <c r="C1812" s="2" t="str">
        <f>IFERROR(__xludf.DUMMYFUNCTION("""COMPUTED_VALUE"""),"AHMAD RIDHANI")</f>
        <v>AHMAD RIDHANI</v>
      </c>
      <c r="D1812" s="2" t="str">
        <f>IFERROR(__xludf.DUMMYFUNCTION("""COMPUTED_VALUE"""),"5KM OVERALL M")</f>
        <v>5KM OVERALL M</v>
      </c>
      <c r="E1812" s="1" t="str">
        <f>IFERROR(__xludf.DUMMYFUNCTION("""COMPUTED_VALUE"""),"DSQ")</f>
        <v>DSQ</v>
      </c>
      <c r="F1812" s="1" t="str">
        <f>IFERROR(__xludf.DUMMYFUNCTION("""COMPUTED_VALUE"""),"Male")</f>
        <v>Male</v>
      </c>
      <c r="G1812" s="5" t="str">
        <f>IFERROR(__xludf.DUMMYFUNCTION("""COMPUTED_VALUE"""),"")</f>
        <v/>
      </c>
      <c r="H1812" s="15">
        <f>IFERROR(__xludf.DUMMYFUNCTION("""COMPUTED_VALUE"""),0.2549440625)</f>
        <v>0.2549440625</v>
      </c>
      <c r="I1812" s="15" t="str">
        <f>IFERROR(__xludf.DUMMYFUNCTION("""COMPUTED_VALUE"""),"")</f>
        <v/>
      </c>
      <c r="J1812" s="15" t="str">
        <f>IFERROR(__xludf.DUMMYFUNCTION("""COMPUTED_VALUE"""),"")</f>
        <v/>
      </c>
      <c r="K1812" s="15" t="str">
        <f>IFERROR(__xludf.DUMMYFUNCTION("""COMPUTED_VALUE"""),"")</f>
        <v/>
      </c>
      <c r="L1812" s="4" t="str">
        <f>IFERROR(__xludf.DUMMYFUNCTION("""COMPUTED_VALUE"""),"")</f>
        <v/>
      </c>
    </row>
    <row r="1813">
      <c r="A1813" s="1" t="str">
        <f>IFERROR(__xludf.DUMMYFUNCTION("""COMPUTED_VALUE"""),"DSQ")</f>
        <v>DSQ</v>
      </c>
      <c r="B1813" s="1">
        <f>IFERROR(__xludf.DUMMYFUNCTION("""COMPUTED_VALUE"""),6365.0)</f>
        <v>6365</v>
      </c>
      <c r="C1813" s="2" t="str">
        <f>IFERROR(__xludf.DUMMYFUNCTION("""COMPUTED_VALUE"""),"Wahyu W")</f>
        <v>Wahyu W</v>
      </c>
      <c r="D1813" s="2" t="str">
        <f>IFERROR(__xludf.DUMMYFUNCTION("""COMPUTED_VALUE"""),"5KM OVERALL M")</f>
        <v>5KM OVERALL M</v>
      </c>
      <c r="E1813" s="1" t="str">
        <f>IFERROR(__xludf.DUMMYFUNCTION("""COMPUTED_VALUE"""),"DSQ")</f>
        <v>DSQ</v>
      </c>
      <c r="F1813" s="1" t="str">
        <f>IFERROR(__xludf.DUMMYFUNCTION("""COMPUTED_VALUE"""),"Male")</f>
        <v>Male</v>
      </c>
      <c r="G1813" s="5" t="str">
        <f>IFERROR(__xludf.DUMMYFUNCTION("""COMPUTED_VALUE"""),"")</f>
        <v/>
      </c>
      <c r="H1813" s="15">
        <f>IFERROR(__xludf.DUMMYFUNCTION("""COMPUTED_VALUE"""),0.2549440625)</f>
        <v>0.2549440625</v>
      </c>
      <c r="I1813" s="15" t="str">
        <f>IFERROR(__xludf.DUMMYFUNCTION("""COMPUTED_VALUE"""),"")</f>
        <v/>
      </c>
      <c r="J1813" s="15" t="str">
        <f>IFERROR(__xludf.DUMMYFUNCTION("""COMPUTED_VALUE"""),"")</f>
        <v/>
      </c>
      <c r="K1813" s="15" t="str">
        <f>IFERROR(__xludf.DUMMYFUNCTION("""COMPUTED_VALUE"""),"")</f>
        <v/>
      </c>
      <c r="L1813" s="4" t="str">
        <f>IFERROR(__xludf.DUMMYFUNCTION("""COMPUTED_VALUE"""),"")</f>
        <v/>
      </c>
    </row>
    <row r="1814">
      <c r="A1814" s="1" t="str">
        <f>IFERROR(__xludf.DUMMYFUNCTION("""COMPUTED_VALUE"""),"DSQ")</f>
        <v>DSQ</v>
      </c>
      <c r="B1814" s="1">
        <f>IFERROR(__xludf.DUMMYFUNCTION("""COMPUTED_VALUE"""),6374.0)</f>
        <v>6374</v>
      </c>
      <c r="C1814" s="2" t="str">
        <f>IFERROR(__xludf.DUMMYFUNCTION("""COMPUTED_VALUE"""),"Yumna")</f>
        <v>Yumna</v>
      </c>
      <c r="D1814" s="2" t="str">
        <f>IFERROR(__xludf.DUMMYFUNCTION("""COMPUTED_VALUE"""),"5KM OVERALL M")</f>
        <v>5KM OVERALL M</v>
      </c>
      <c r="E1814" s="1" t="str">
        <f>IFERROR(__xludf.DUMMYFUNCTION("""COMPUTED_VALUE"""),"DSQ")</f>
        <v>DSQ</v>
      </c>
      <c r="F1814" s="1" t="str">
        <f>IFERROR(__xludf.DUMMYFUNCTION("""COMPUTED_VALUE"""),"Male")</f>
        <v>Male</v>
      </c>
      <c r="G1814" s="5" t="str">
        <f>IFERROR(__xludf.DUMMYFUNCTION("""COMPUTED_VALUE"""),"")</f>
        <v/>
      </c>
      <c r="H1814" s="15">
        <f>IFERROR(__xludf.DUMMYFUNCTION("""COMPUTED_VALUE"""),0.2549440625)</f>
        <v>0.2549440625</v>
      </c>
      <c r="I1814" s="15" t="str">
        <f>IFERROR(__xludf.DUMMYFUNCTION("""COMPUTED_VALUE"""),"")</f>
        <v/>
      </c>
      <c r="J1814" s="15" t="str">
        <f>IFERROR(__xludf.DUMMYFUNCTION("""COMPUTED_VALUE"""),"")</f>
        <v/>
      </c>
      <c r="K1814" s="15" t="str">
        <f>IFERROR(__xludf.DUMMYFUNCTION("""COMPUTED_VALUE"""),"")</f>
        <v/>
      </c>
      <c r="L1814" s="4" t="str">
        <f>IFERROR(__xludf.DUMMYFUNCTION("""COMPUTED_VALUE"""),"")</f>
        <v/>
      </c>
    </row>
    <row r="1815">
      <c r="A1815" s="1" t="str">
        <f>IFERROR(__xludf.DUMMYFUNCTION("""COMPUTED_VALUE"""),"DSQ")</f>
        <v>DSQ</v>
      </c>
      <c r="B1815" s="1">
        <f>IFERROR(__xludf.DUMMYFUNCTION("""COMPUTED_VALUE"""),6402.0)</f>
        <v>6402</v>
      </c>
      <c r="C1815" s="2" t="str">
        <f>IFERROR(__xludf.DUMMYFUNCTION("""COMPUTED_VALUE"""),"Arief M")</f>
        <v>Arief M</v>
      </c>
      <c r="D1815" s="2" t="str">
        <f>IFERROR(__xludf.DUMMYFUNCTION("""COMPUTED_VALUE"""),"5KM OVERALL M")</f>
        <v>5KM OVERALL M</v>
      </c>
      <c r="E1815" s="1" t="str">
        <f>IFERROR(__xludf.DUMMYFUNCTION("""COMPUTED_VALUE"""),"DSQ")</f>
        <v>DSQ</v>
      </c>
      <c r="F1815" s="1" t="str">
        <f>IFERROR(__xludf.DUMMYFUNCTION("""COMPUTED_VALUE"""),"Male")</f>
        <v>Male</v>
      </c>
      <c r="G1815" s="5" t="str">
        <f>IFERROR(__xludf.DUMMYFUNCTION("""COMPUTED_VALUE"""),"")</f>
        <v/>
      </c>
      <c r="H1815" s="15">
        <f>IFERROR(__xludf.DUMMYFUNCTION("""COMPUTED_VALUE"""),0.2549440625)</f>
        <v>0.2549440625</v>
      </c>
      <c r="I1815" s="15" t="str">
        <f>IFERROR(__xludf.DUMMYFUNCTION("""COMPUTED_VALUE"""),"")</f>
        <v/>
      </c>
      <c r="J1815" s="15" t="str">
        <f>IFERROR(__xludf.DUMMYFUNCTION("""COMPUTED_VALUE"""),"")</f>
        <v/>
      </c>
      <c r="K1815" s="15" t="str">
        <f>IFERROR(__xludf.DUMMYFUNCTION("""COMPUTED_VALUE"""),"")</f>
        <v/>
      </c>
      <c r="L1815" s="4" t="str">
        <f>IFERROR(__xludf.DUMMYFUNCTION("""COMPUTED_VALUE"""),"")</f>
        <v/>
      </c>
    </row>
    <row r="1816">
      <c r="A1816" s="1" t="str">
        <f>IFERROR(__xludf.DUMMYFUNCTION("""COMPUTED_VALUE"""),"DSQ")</f>
        <v>DSQ</v>
      </c>
      <c r="B1816" s="1">
        <f>IFERROR(__xludf.DUMMYFUNCTION("""COMPUTED_VALUE"""),6409.0)</f>
        <v>6409</v>
      </c>
      <c r="C1816" s="2" t="str">
        <f>IFERROR(__xludf.DUMMYFUNCTION("""COMPUTED_VALUE"""),"Rosyad")</f>
        <v>Rosyad</v>
      </c>
      <c r="D1816" s="2" t="str">
        <f>IFERROR(__xludf.DUMMYFUNCTION("""COMPUTED_VALUE"""),"5KM OVERALL M")</f>
        <v>5KM OVERALL M</v>
      </c>
      <c r="E1816" s="1" t="str">
        <f>IFERROR(__xludf.DUMMYFUNCTION("""COMPUTED_VALUE"""),"DSQ")</f>
        <v>DSQ</v>
      </c>
      <c r="F1816" s="1" t="str">
        <f>IFERROR(__xludf.DUMMYFUNCTION("""COMPUTED_VALUE"""),"Male")</f>
        <v>Male</v>
      </c>
      <c r="G1816" s="5" t="str">
        <f>IFERROR(__xludf.DUMMYFUNCTION("""COMPUTED_VALUE"""),"")</f>
        <v/>
      </c>
      <c r="H1816" s="15">
        <f>IFERROR(__xludf.DUMMYFUNCTION("""COMPUTED_VALUE"""),0.2549440625)</f>
        <v>0.2549440625</v>
      </c>
      <c r="I1816" s="15" t="str">
        <f>IFERROR(__xludf.DUMMYFUNCTION("""COMPUTED_VALUE"""),"")</f>
        <v/>
      </c>
      <c r="J1816" s="15" t="str">
        <f>IFERROR(__xludf.DUMMYFUNCTION("""COMPUTED_VALUE"""),"")</f>
        <v/>
      </c>
      <c r="K1816" s="15" t="str">
        <f>IFERROR(__xludf.DUMMYFUNCTION("""COMPUTED_VALUE"""),"")</f>
        <v/>
      </c>
      <c r="L1816" s="4" t="str">
        <f>IFERROR(__xludf.DUMMYFUNCTION("""COMPUTED_VALUE"""),"")</f>
        <v/>
      </c>
    </row>
    <row r="1817">
      <c r="A1817" s="1" t="str">
        <f>IFERROR(__xludf.DUMMYFUNCTION("""COMPUTED_VALUE"""),"DSQ")</f>
        <v>DSQ</v>
      </c>
      <c r="B1817" s="1">
        <f>IFERROR(__xludf.DUMMYFUNCTION("""COMPUTED_VALUE"""),6439.0)</f>
        <v>6439</v>
      </c>
      <c r="C1817" s="2" t="str">
        <f>IFERROR(__xludf.DUMMYFUNCTION("""COMPUTED_VALUE"""),"WAHYU")</f>
        <v>WAHYU</v>
      </c>
      <c r="D1817" s="2" t="str">
        <f>IFERROR(__xludf.DUMMYFUNCTION("""COMPUTED_VALUE"""),"5KM OVERALL M")</f>
        <v>5KM OVERALL M</v>
      </c>
      <c r="E1817" s="1" t="str">
        <f>IFERROR(__xludf.DUMMYFUNCTION("""COMPUTED_VALUE"""),"DSQ")</f>
        <v>DSQ</v>
      </c>
      <c r="F1817" s="1" t="str">
        <f>IFERROR(__xludf.DUMMYFUNCTION("""COMPUTED_VALUE"""),"Male")</f>
        <v>Male</v>
      </c>
      <c r="G1817" s="5" t="str">
        <f>IFERROR(__xludf.DUMMYFUNCTION("""COMPUTED_VALUE"""),"")</f>
        <v/>
      </c>
      <c r="H1817" s="15">
        <f>IFERROR(__xludf.DUMMYFUNCTION("""COMPUTED_VALUE"""),0.2549440625)</f>
        <v>0.2549440625</v>
      </c>
      <c r="I1817" s="15" t="str">
        <f>IFERROR(__xludf.DUMMYFUNCTION("""COMPUTED_VALUE"""),"")</f>
        <v/>
      </c>
      <c r="J1817" s="15" t="str">
        <f>IFERROR(__xludf.DUMMYFUNCTION("""COMPUTED_VALUE"""),"")</f>
        <v/>
      </c>
      <c r="K1817" s="15" t="str">
        <f>IFERROR(__xludf.DUMMYFUNCTION("""COMPUTED_VALUE"""),"")</f>
        <v/>
      </c>
      <c r="L1817" s="4" t="str">
        <f>IFERROR(__xludf.DUMMYFUNCTION("""COMPUTED_VALUE"""),"")</f>
        <v/>
      </c>
    </row>
    <row r="1818">
      <c r="A1818" s="1" t="str">
        <f>IFERROR(__xludf.DUMMYFUNCTION("""COMPUTED_VALUE"""),"DSQ")</f>
        <v>DSQ</v>
      </c>
      <c r="B1818" s="1">
        <f>IFERROR(__xludf.DUMMYFUNCTION("""COMPUTED_VALUE"""),6443.0)</f>
        <v>6443</v>
      </c>
      <c r="C1818" s="2" t="str">
        <f>IFERROR(__xludf.DUMMYFUNCTION("""COMPUTED_VALUE"""),"ADANG")</f>
        <v>ADANG</v>
      </c>
      <c r="D1818" s="2" t="str">
        <f>IFERROR(__xludf.DUMMYFUNCTION("""COMPUTED_VALUE"""),"5KM OVERALL M")</f>
        <v>5KM OVERALL M</v>
      </c>
      <c r="E1818" s="1" t="str">
        <f>IFERROR(__xludf.DUMMYFUNCTION("""COMPUTED_VALUE"""),"DSQ")</f>
        <v>DSQ</v>
      </c>
      <c r="F1818" s="1" t="str">
        <f>IFERROR(__xludf.DUMMYFUNCTION("""COMPUTED_VALUE"""),"Male")</f>
        <v>Male</v>
      </c>
      <c r="G1818" s="5" t="str">
        <f>IFERROR(__xludf.DUMMYFUNCTION("""COMPUTED_VALUE"""),"")</f>
        <v/>
      </c>
      <c r="H1818" s="15">
        <f>IFERROR(__xludf.DUMMYFUNCTION("""COMPUTED_VALUE"""),0.2549440625)</f>
        <v>0.2549440625</v>
      </c>
      <c r="I1818" s="15" t="str">
        <f>IFERROR(__xludf.DUMMYFUNCTION("""COMPUTED_VALUE"""),"")</f>
        <v/>
      </c>
      <c r="J1818" s="15" t="str">
        <f>IFERROR(__xludf.DUMMYFUNCTION("""COMPUTED_VALUE"""),"")</f>
        <v/>
      </c>
      <c r="K1818" s="15" t="str">
        <f>IFERROR(__xludf.DUMMYFUNCTION("""COMPUTED_VALUE"""),"")</f>
        <v/>
      </c>
      <c r="L1818" s="4" t="str">
        <f>IFERROR(__xludf.DUMMYFUNCTION("""COMPUTED_VALUE"""),"")</f>
        <v/>
      </c>
    </row>
    <row r="1819">
      <c r="A1819" s="1" t="str">
        <f>IFERROR(__xludf.DUMMYFUNCTION("""COMPUTED_VALUE"""),"DSQ")</f>
        <v>DSQ</v>
      </c>
      <c r="B1819" s="1">
        <f>IFERROR(__xludf.DUMMYFUNCTION("""COMPUTED_VALUE"""),6445.0)</f>
        <v>6445</v>
      </c>
      <c r="C1819" s="2" t="str">
        <f>IFERROR(__xludf.DUMMYFUNCTION("""COMPUTED_VALUE"""),"KASAT IK")</f>
        <v>KASAT IK</v>
      </c>
      <c r="D1819" s="2" t="str">
        <f>IFERROR(__xludf.DUMMYFUNCTION("""COMPUTED_VALUE"""),"5KM OVERALL M")</f>
        <v>5KM OVERALL M</v>
      </c>
      <c r="E1819" s="1" t="str">
        <f>IFERROR(__xludf.DUMMYFUNCTION("""COMPUTED_VALUE"""),"DSQ")</f>
        <v>DSQ</v>
      </c>
      <c r="F1819" s="1" t="str">
        <f>IFERROR(__xludf.DUMMYFUNCTION("""COMPUTED_VALUE"""),"Male")</f>
        <v>Male</v>
      </c>
      <c r="G1819" s="5" t="str">
        <f>IFERROR(__xludf.DUMMYFUNCTION("""COMPUTED_VALUE"""),"")</f>
        <v/>
      </c>
      <c r="H1819" s="15">
        <f>IFERROR(__xludf.DUMMYFUNCTION("""COMPUTED_VALUE"""),0.2549440625)</f>
        <v>0.2549440625</v>
      </c>
      <c r="I1819" s="15" t="str">
        <f>IFERROR(__xludf.DUMMYFUNCTION("""COMPUTED_VALUE"""),"")</f>
        <v/>
      </c>
      <c r="J1819" s="15" t="str">
        <f>IFERROR(__xludf.DUMMYFUNCTION("""COMPUTED_VALUE"""),"")</f>
        <v/>
      </c>
      <c r="K1819" s="15" t="str">
        <f>IFERROR(__xludf.DUMMYFUNCTION("""COMPUTED_VALUE"""),"")</f>
        <v/>
      </c>
      <c r="L1819" s="4" t="str">
        <f>IFERROR(__xludf.DUMMYFUNCTION("""COMPUTED_VALUE"""),"")</f>
        <v/>
      </c>
    </row>
    <row r="1820">
      <c r="A1820" s="1" t="str">
        <f>IFERROR(__xludf.DUMMYFUNCTION("""COMPUTED_VALUE"""),"DSQ")</f>
        <v>DSQ</v>
      </c>
      <c r="B1820" s="1">
        <f>IFERROR(__xludf.DUMMYFUNCTION("""COMPUTED_VALUE"""),6453.0)</f>
        <v>6453</v>
      </c>
      <c r="C1820" s="2" t="str">
        <f>IFERROR(__xludf.DUMMYFUNCTION("""COMPUTED_VALUE"""),"-")</f>
        <v>-</v>
      </c>
      <c r="D1820" s="2" t="str">
        <f>IFERROR(__xludf.DUMMYFUNCTION("""COMPUTED_VALUE"""),"5KM OVERALL M")</f>
        <v>5KM OVERALL M</v>
      </c>
      <c r="E1820" s="1" t="str">
        <f>IFERROR(__xludf.DUMMYFUNCTION("""COMPUTED_VALUE"""),"DSQ")</f>
        <v>DSQ</v>
      </c>
      <c r="F1820" s="1" t="str">
        <f>IFERROR(__xludf.DUMMYFUNCTION("""COMPUTED_VALUE"""),"Male")</f>
        <v>Male</v>
      </c>
      <c r="G1820" s="5" t="str">
        <f>IFERROR(__xludf.DUMMYFUNCTION("""COMPUTED_VALUE"""),"")</f>
        <v/>
      </c>
      <c r="H1820" s="15">
        <f>IFERROR(__xludf.DUMMYFUNCTION("""COMPUTED_VALUE"""),0.2549440625)</f>
        <v>0.2549440625</v>
      </c>
      <c r="I1820" s="15" t="str">
        <f>IFERROR(__xludf.DUMMYFUNCTION("""COMPUTED_VALUE"""),"")</f>
        <v/>
      </c>
      <c r="J1820" s="15" t="str">
        <f>IFERROR(__xludf.DUMMYFUNCTION("""COMPUTED_VALUE"""),"")</f>
        <v/>
      </c>
      <c r="K1820" s="15" t="str">
        <f>IFERROR(__xludf.DUMMYFUNCTION("""COMPUTED_VALUE"""),"")</f>
        <v/>
      </c>
      <c r="L1820" s="4" t="str">
        <f>IFERROR(__xludf.DUMMYFUNCTION("""COMPUTED_VALUE"""),"")</f>
        <v/>
      </c>
    </row>
    <row r="1821">
      <c r="A1821" s="1" t="str">
        <f>IFERROR(__xludf.DUMMYFUNCTION("""COMPUTED_VALUE"""),"DSQ")</f>
        <v>DSQ</v>
      </c>
      <c r="B1821" s="1">
        <f>IFERROR(__xludf.DUMMYFUNCTION("""COMPUTED_VALUE"""),6459.0)</f>
        <v>6459</v>
      </c>
      <c r="C1821" s="2" t="str">
        <f>IFERROR(__xludf.DUMMYFUNCTION("""COMPUTED_VALUE"""),"MBALPE")</f>
        <v>MBALPE</v>
      </c>
      <c r="D1821" s="2" t="str">
        <f>IFERROR(__xludf.DUMMYFUNCTION("""COMPUTED_VALUE"""),"5KM OVERALL M")</f>
        <v>5KM OVERALL M</v>
      </c>
      <c r="E1821" s="1" t="str">
        <f>IFERROR(__xludf.DUMMYFUNCTION("""COMPUTED_VALUE"""),"DSQ")</f>
        <v>DSQ</v>
      </c>
      <c r="F1821" s="1" t="str">
        <f>IFERROR(__xludf.DUMMYFUNCTION("""COMPUTED_VALUE"""),"Male")</f>
        <v>Male</v>
      </c>
      <c r="G1821" s="5" t="str">
        <f>IFERROR(__xludf.DUMMYFUNCTION("""COMPUTED_VALUE"""),"")</f>
        <v/>
      </c>
      <c r="H1821" s="15">
        <f>IFERROR(__xludf.DUMMYFUNCTION("""COMPUTED_VALUE"""),0.2549440625)</f>
        <v>0.2549440625</v>
      </c>
      <c r="I1821" s="15" t="str">
        <f>IFERROR(__xludf.DUMMYFUNCTION("""COMPUTED_VALUE"""),"")</f>
        <v/>
      </c>
      <c r="J1821" s="15" t="str">
        <f>IFERROR(__xludf.DUMMYFUNCTION("""COMPUTED_VALUE"""),"")</f>
        <v/>
      </c>
      <c r="K1821" s="15" t="str">
        <f>IFERROR(__xludf.DUMMYFUNCTION("""COMPUTED_VALUE"""),"")</f>
        <v/>
      </c>
      <c r="L1821" s="4" t="str">
        <f>IFERROR(__xludf.DUMMYFUNCTION("""COMPUTED_VALUE"""),"")</f>
        <v/>
      </c>
    </row>
    <row r="1822">
      <c r="A1822" s="1" t="str">
        <f>IFERROR(__xludf.DUMMYFUNCTION("""COMPUTED_VALUE"""),"DSQ")</f>
        <v>DSQ</v>
      </c>
      <c r="B1822" s="1">
        <f>IFERROR(__xludf.DUMMYFUNCTION("""COMPUTED_VALUE"""),6461.0)</f>
        <v>6461</v>
      </c>
      <c r="C1822" s="2" t="str">
        <f>IFERROR(__xludf.DUMMYFUNCTION("""COMPUTED_VALUE"""),"DIR LANTAS")</f>
        <v>DIR LANTAS</v>
      </c>
      <c r="D1822" s="2" t="str">
        <f>IFERROR(__xludf.DUMMYFUNCTION("""COMPUTED_VALUE"""),"5KM OVERALL M")</f>
        <v>5KM OVERALL M</v>
      </c>
      <c r="E1822" s="1" t="str">
        <f>IFERROR(__xludf.DUMMYFUNCTION("""COMPUTED_VALUE"""),"DSQ")</f>
        <v>DSQ</v>
      </c>
      <c r="F1822" s="1" t="str">
        <f>IFERROR(__xludf.DUMMYFUNCTION("""COMPUTED_VALUE"""),"Male")</f>
        <v>Male</v>
      </c>
      <c r="G1822" s="5" t="str">
        <f>IFERROR(__xludf.DUMMYFUNCTION("""COMPUTED_VALUE"""),"")</f>
        <v/>
      </c>
      <c r="H1822" s="15">
        <f>IFERROR(__xludf.DUMMYFUNCTION("""COMPUTED_VALUE"""),0.2549440625)</f>
        <v>0.2549440625</v>
      </c>
      <c r="I1822" s="15" t="str">
        <f>IFERROR(__xludf.DUMMYFUNCTION("""COMPUTED_VALUE"""),"")</f>
        <v/>
      </c>
      <c r="J1822" s="15" t="str">
        <f>IFERROR(__xludf.DUMMYFUNCTION("""COMPUTED_VALUE"""),"")</f>
        <v/>
      </c>
      <c r="K1822" s="15" t="str">
        <f>IFERROR(__xludf.DUMMYFUNCTION("""COMPUTED_VALUE"""),"")</f>
        <v/>
      </c>
      <c r="L1822" s="4" t="str">
        <f>IFERROR(__xludf.DUMMYFUNCTION("""COMPUTED_VALUE"""),"")</f>
        <v/>
      </c>
    </row>
    <row r="1823">
      <c r="A1823" s="1" t="str">
        <f>IFERROR(__xludf.DUMMYFUNCTION("""COMPUTED_VALUE"""),"DSQ")</f>
        <v>DSQ</v>
      </c>
      <c r="B1823" s="1">
        <f>IFERROR(__xludf.DUMMYFUNCTION("""COMPUTED_VALUE"""),6464.0)</f>
        <v>6464</v>
      </c>
      <c r="C1823" s="2" t="str">
        <f>IFERROR(__xludf.DUMMYFUNCTION("""COMPUTED_VALUE"""),"DISHUB")</f>
        <v>DISHUB</v>
      </c>
      <c r="D1823" s="2" t="str">
        <f>IFERROR(__xludf.DUMMYFUNCTION("""COMPUTED_VALUE"""),"5KM OVERALL M")</f>
        <v>5KM OVERALL M</v>
      </c>
      <c r="E1823" s="1" t="str">
        <f>IFERROR(__xludf.DUMMYFUNCTION("""COMPUTED_VALUE"""),"DSQ")</f>
        <v>DSQ</v>
      </c>
      <c r="F1823" s="1" t="str">
        <f>IFERROR(__xludf.DUMMYFUNCTION("""COMPUTED_VALUE"""),"Male")</f>
        <v>Male</v>
      </c>
      <c r="G1823" s="5" t="str">
        <f>IFERROR(__xludf.DUMMYFUNCTION("""COMPUTED_VALUE"""),"")</f>
        <v/>
      </c>
      <c r="H1823" s="15">
        <f>IFERROR(__xludf.DUMMYFUNCTION("""COMPUTED_VALUE"""),0.2549440625)</f>
        <v>0.2549440625</v>
      </c>
      <c r="I1823" s="15" t="str">
        <f>IFERROR(__xludf.DUMMYFUNCTION("""COMPUTED_VALUE"""),"")</f>
        <v/>
      </c>
      <c r="J1823" s="15" t="str">
        <f>IFERROR(__xludf.DUMMYFUNCTION("""COMPUTED_VALUE"""),"")</f>
        <v/>
      </c>
      <c r="K1823" s="15" t="str">
        <f>IFERROR(__xludf.DUMMYFUNCTION("""COMPUTED_VALUE"""),"")</f>
        <v/>
      </c>
      <c r="L1823" s="4" t="str">
        <f>IFERROR(__xludf.DUMMYFUNCTION("""COMPUTED_VALUE"""),"")</f>
        <v/>
      </c>
    </row>
    <row r="1824">
      <c r="A1824" s="1" t="str">
        <f>IFERROR(__xludf.DUMMYFUNCTION("""COMPUTED_VALUE"""),"DSQ")</f>
        <v>DSQ</v>
      </c>
      <c r="B1824" s="1">
        <f>IFERROR(__xludf.DUMMYFUNCTION("""COMPUTED_VALUE"""),6471.0)</f>
        <v>6471</v>
      </c>
      <c r="C1824" s="2" t="str">
        <f>IFERROR(__xludf.DUMMYFUNCTION("""COMPUTED_VALUE"""),"DISHUB")</f>
        <v>DISHUB</v>
      </c>
      <c r="D1824" s="2" t="str">
        <f>IFERROR(__xludf.DUMMYFUNCTION("""COMPUTED_VALUE"""),"5KM OVERALL M")</f>
        <v>5KM OVERALL M</v>
      </c>
      <c r="E1824" s="1" t="str">
        <f>IFERROR(__xludf.DUMMYFUNCTION("""COMPUTED_VALUE"""),"DSQ")</f>
        <v>DSQ</v>
      </c>
      <c r="F1824" s="1" t="str">
        <f>IFERROR(__xludf.DUMMYFUNCTION("""COMPUTED_VALUE"""),"Male")</f>
        <v>Male</v>
      </c>
      <c r="G1824" s="5" t="str">
        <f>IFERROR(__xludf.DUMMYFUNCTION("""COMPUTED_VALUE"""),"")</f>
        <v/>
      </c>
      <c r="H1824" s="15">
        <f>IFERROR(__xludf.DUMMYFUNCTION("""COMPUTED_VALUE"""),0.2549440625)</f>
        <v>0.2549440625</v>
      </c>
      <c r="I1824" s="15" t="str">
        <f>IFERROR(__xludf.DUMMYFUNCTION("""COMPUTED_VALUE"""),"")</f>
        <v/>
      </c>
      <c r="J1824" s="15" t="str">
        <f>IFERROR(__xludf.DUMMYFUNCTION("""COMPUTED_VALUE"""),"")</f>
        <v/>
      </c>
      <c r="K1824" s="15" t="str">
        <f>IFERROR(__xludf.DUMMYFUNCTION("""COMPUTED_VALUE"""),"")</f>
        <v/>
      </c>
      <c r="L1824" s="4" t="str">
        <f>IFERROR(__xludf.DUMMYFUNCTION("""COMPUTED_VALUE"""),"")</f>
        <v/>
      </c>
    </row>
    <row r="1825">
      <c r="A1825" s="1" t="str">
        <f>IFERROR(__xludf.DUMMYFUNCTION("""COMPUTED_VALUE"""),"DSQ")</f>
        <v>DSQ</v>
      </c>
      <c r="B1825" s="1">
        <f>IFERROR(__xludf.DUMMYFUNCTION("""COMPUTED_VALUE"""),6472.0)</f>
        <v>6472</v>
      </c>
      <c r="C1825" s="2" t="str">
        <f>IFERROR(__xludf.DUMMYFUNCTION("""COMPUTED_VALUE"""),"GUBERNUR KALSEL")</f>
        <v>GUBERNUR KALSEL</v>
      </c>
      <c r="D1825" s="2" t="str">
        <f>IFERROR(__xludf.DUMMYFUNCTION("""COMPUTED_VALUE"""),"5KM OVERALL M")</f>
        <v>5KM OVERALL M</v>
      </c>
      <c r="E1825" s="1" t="str">
        <f>IFERROR(__xludf.DUMMYFUNCTION("""COMPUTED_VALUE"""),"DSQ")</f>
        <v>DSQ</v>
      </c>
      <c r="F1825" s="1" t="str">
        <f>IFERROR(__xludf.DUMMYFUNCTION("""COMPUTED_VALUE"""),"Male")</f>
        <v>Male</v>
      </c>
      <c r="G1825" s="5" t="str">
        <f>IFERROR(__xludf.DUMMYFUNCTION("""COMPUTED_VALUE"""),"")</f>
        <v/>
      </c>
      <c r="H1825" s="15">
        <f>IFERROR(__xludf.DUMMYFUNCTION("""COMPUTED_VALUE"""),0.2549440625)</f>
        <v>0.2549440625</v>
      </c>
      <c r="I1825" s="15" t="str">
        <f>IFERROR(__xludf.DUMMYFUNCTION("""COMPUTED_VALUE"""),"")</f>
        <v/>
      </c>
      <c r="J1825" s="15" t="str">
        <f>IFERROR(__xludf.DUMMYFUNCTION("""COMPUTED_VALUE"""),"")</f>
        <v/>
      </c>
      <c r="K1825" s="15" t="str">
        <f>IFERROR(__xludf.DUMMYFUNCTION("""COMPUTED_VALUE"""),"")</f>
        <v/>
      </c>
      <c r="L1825" s="4" t="str">
        <f>IFERROR(__xludf.DUMMYFUNCTION("""COMPUTED_VALUE"""),"")</f>
        <v/>
      </c>
    </row>
    <row r="1826">
      <c r="A1826" s="1" t="str">
        <f>IFERROR(__xludf.DUMMYFUNCTION("""COMPUTED_VALUE"""),"DSQ")</f>
        <v>DSQ</v>
      </c>
      <c r="B1826" s="1">
        <f>IFERROR(__xludf.DUMMYFUNCTION("""COMPUTED_VALUE"""),6473.0)</f>
        <v>6473</v>
      </c>
      <c r="C1826" s="2" t="str">
        <f>IFERROR(__xludf.DUMMYFUNCTION("""COMPUTED_VALUE"""),"GUBERNUR KALSEL")</f>
        <v>GUBERNUR KALSEL</v>
      </c>
      <c r="D1826" s="2" t="str">
        <f>IFERROR(__xludf.DUMMYFUNCTION("""COMPUTED_VALUE"""),"5KM OVERALL M")</f>
        <v>5KM OVERALL M</v>
      </c>
      <c r="E1826" s="1" t="str">
        <f>IFERROR(__xludf.DUMMYFUNCTION("""COMPUTED_VALUE"""),"DSQ")</f>
        <v>DSQ</v>
      </c>
      <c r="F1826" s="1" t="str">
        <f>IFERROR(__xludf.DUMMYFUNCTION("""COMPUTED_VALUE"""),"Male")</f>
        <v>Male</v>
      </c>
      <c r="G1826" s="5" t="str">
        <f>IFERROR(__xludf.DUMMYFUNCTION("""COMPUTED_VALUE"""),"")</f>
        <v/>
      </c>
      <c r="H1826" s="15">
        <f>IFERROR(__xludf.DUMMYFUNCTION("""COMPUTED_VALUE"""),0.2549440625)</f>
        <v>0.2549440625</v>
      </c>
      <c r="I1826" s="15" t="str">
        <f>IFERROR(__xludf.DUMMYFUNCTION("""COMPUTED_VALUE"""),"")</f>
        <v/>
      </c>
      <c r="J1826" s="15" t="str">
        <f>IFERROR(__xludf.DUMMYFUNCTION("""COMPUTED_VALUE"""),"")</f>
        <v/>
      </c>
      <c r="K1826" s="15" t="str">
        <f>IFERROR(__xludf.DUMMYFUNCTION("""COMPUTED_VALUE"""),"")</f>
        <v/>
      </c>
      <c r="L1826" s="4" t="str">
        <f>IFERROR(__xludf.DUMMYFUNCTION("""COMPUTED_VALUE"""),"")</f>
        <v/>
      </c>
    </row>
    <row r="1827">
      <c r="A1827" s="1" t="str">
        <f>IFERROR(__xludf.DUMMYFUNCTION("""COMPUTED_VALUE"""),"DSQ")</f>
        <v>DSQ</v>
      </c>
      <c r="B1827" s="1">
        <f>IFERROR(__xludf.DUMMYFUNCTION("""COMPUTED_VALUE"""),6474.0)</f>
        <v>6474</v>
      </c>
      <c r="C1827" s="2" t="str">
        <f>IFERROR(__xludf.DUMMYFUNCTION("""COMPUTED_VALUE"""),"GUBERNUR KALSEL")</f>
        <v>GUBERNUR KALSEL</v>
      </c>
      <c r="D1827" s="2" t="str">
        <f>IFERROR(__xludf.DUMMYFUNCTION("""COMPUTED_VALUE"""),"5KM OVERALL M")</f>
        <v>5KM OVERALL M</v>
      </c>
      <c r="E1827" s="1" t="str">
        <f>IFERROR(__xludf.DUMMYFUNCTION("""COMPUTED_VALUE"""),"DSQ")</f>
        <v>DSQ</v>
      </c>
      <c r="F1827" s="1" t="str">
        <f>IFERROR(__xludf.DUMMYFUNCTION("""COMPUTED_VALUE"""),"Male")</f>
        <v>Male</v>
      </c>
      <c r="G1827" s="5" t="str">
        <f>IFERROR(__xludf.DUMMYFUNCTION("""COMPUTED_VALUE"""),"")</f>
        <v/>
      </c>
      <c r="H1827" s="15">
        <f>IFERROR(__xludf.DUMMYFUNCTION("""COMPUTED_VALUE"""),0.2549440625)</f>
        <v>0.2549440625</v>
      </c>
      <c r="I1827" s="15" t="str">
        <f>IFERROR(__xludf.DUMMYFUNCTION("""COMPUTED_VALUE"""),"")</f>
        <v/>
      </c>
      <c r="J1827" s="15" t="str">
        <f>IFERROR(__xludf.DUMMYFUNCTION("""COMPUTED_VALUE"""),"")</f>
        <v/>
      </c>
      <c r="K1827" s="15" t="str">
        <f>IFERROR(__xludf.DUMMYFUNCTION("""COMPUTED_VALUE"""),"")</f>
        <v/>
      </c>
      <c r="L1827" s="4" t="str">
        <f>IFERROR(__xludf.DUMMYFUNCTION("""COMPUTED_VALUE"""),"")</f>
        <v/>
      </c>
    </row>
    <row r="1828">
      <c r="A1828" s="1" t="str">
        <f>IFERROR(__xludf.DUMMYFUNCTION("""COMPUTED_VALUE"""),"DSQ")</f>
        <v>DSQ</v>
      </c>
      <c r="B1828" s="1">
        <f>IFERROR(__xludf.DUMMYFUNCTION("""COMPUTED_VALUE"""),6475.0)</f>
        <v>6475</v>
      </c>
      <c r="C1828" s="2" t="str">
        <f>IFERROR(__xludf.DUMMYFUNCTION("""COMPUTED_VALUE"""),"KEJATI KALSEL")</f>
        <v>KEJATI KALSEL</v>
      </c>
      <c r="D1828" s="2" t="str">
        <f>IFERROR(__xludf.DUMMYFUNCTION("""COMPUTED_VALUE"""),"5KM OVERALL M")</f>
        <v>5KM OVERALL M</v>
      </c>
      <c r="E1828" s="1" t="str">
        <f>IFERROR(__xludf.DUMMYFUNCTION("""COMPUTED_VALUE"""),"DSQ")</f>
        <v>DSQ</v>
      </c>
      <c r="F1828" s="1" t="str">
        <f>IFERROR(__xludf.DUMMYFUNCTION("""COMPUTED_VALUE"""),"Male")</f>
        <v>Male</v>
      </c>
      <c r="G1828" s="5" t="str">
        <f>IFERROR(__xludf.DUMMYFUNCTION("""COMPUTED_VALUE"""),"")</f>
        <v/>
      </c>
      <c r="H1828" s="15">
        <f>IFERROR(__xludf.DUMMYFUNCTION("""COMPUTED_VALUE"""),0.2549440625)</f>
        <v>0.2549440625</v>
      </c>
      <c r="I1828" s="15" t="str">
        <f>IFERROR(__xludf.DUMMYFUNCTION("""COMPUTED_VALUE"""),"")</f>
        <v/>
      </c>
      <c r="J1828" s="15" t="str">
        <f>IFERROR(__xludf.DUMMYFUNCTION("""COMPUTED_VALUE"""),"")</f>
        <v/>
      </c>
      <c r="K1828" s="15" t="str">
        <f>IFERROR(__xludf.DUMMYFUNCTION("""COMPUTED_VALUE"""),"")</f>
        <v/>
      </c>
      <c r="L1828" s="4" t="str">
        <f>IFERROR(__xludf.DUMMYFUNCTION("""COMPUTED_VALUE"""),"")</f>
        <v/>
      </c>
    </row>
    <row r="1829">
      <c r="A1829" s="1" t="str">
        <f>IFERROR(__xludf.DUMMYFUNCTION("""COMPUTED_VALUE"""),"DSQ")</f>
        <v>DSQ</v>
      </c>
      <c r="B1829" s="1">
        <f>IFERROR(__xludf.DUMMYFUNCTION("""COMPUTED_VALUE"""),6476.0)</f>
        <v>6476</v>
      </c>
      <c r="C1829" s="2" t="str">
        <f>IFERROR(__xludf.DUMMYFUNCTION("""COMPUTED_VALUE"""),"KEJATI KALSEL")</f>
        <v>KEJATI KALSEL</v>
      </c>
      <c r="D1829" s="2" t="str">
        <f>IFERROR(__xludf.DUMMYFUNCTION("""COMPUTED_VALUE"""),"5KM OVERALL M")</f>
        <v>5KM OVERALL M</v>
      </c>
      <c r="E1829" s="1" t="str">
        <f>IFERROR(__xludf.DUMMYFUNCTION("""COMPUTED_VALUE"""),"DSQ")</f>
        <v>DSQ</v>
      </c>
      <c r="F1829" s="1" t="str">
        <f>IFERROR(__xludf.DUMMYFUNCTION("""COMPUTED_VALUE"""),"Male")</f>
        <v>Male</v>
      </c>
      <c r="G1829" s="5" t="str">
        <f>IFERROR(__xludf.DUMMYFUNCTION("""COMPUTED_VALUE"""),"")</f>
        <v/>
      </c>
      <c r="H1829" s="15">
        <f>IFERROR(__xludf.DUMMYFUNCTION("""COMPUTED_VALUE"""),0.2549440625)</f>
        <v>0.2549440625</v>
      </c>
      <c r="I1829" s="15" t="str">
        <f>IFERROR(__xludf.DUMMYFUNCTION("""COMPUTED_VALUE"""),"")</f>
        <v/>
      </c>
      <c r="J1829" s="15" t="str">
        <f>IFERROR(__xludf.DUMMYFUNCTION("""COMPUTED_VALUE"""),"")</f>
        <v/>
      </c>
      <c r="K1829" s="15" t="str">
        <f>IFERROR(__xludf.DUMMYFUNCTION("""COMPUTED_VALUE"""),"")</f>
        <v/>
      </c>
      <c r="L1829" s="4" t="str">
        <f>IFERROR(__xludf.DUMMYFUNCTION("""COMPUTED_VALUE"""),"")</f>
        <v/>
      </c>
    </row>
    <row r="1830">
      <c r="A1830" s="1" t="str">
        <f>IFERROR(__xludf.DUMMYFUNCTION("""COMPUTED_VALUE"""),"DSQ")</f>
        <v>DSQ</v>
      </c>
      <c r="B1830" s="1">
        <f>IFERROR(__xludf.DUMMYFUNCTION("""COMPUTED_VALUE"""),6477.0)</f>
        <v>6477</v>
      </c>
      <c r="C1830" s="2" t="str">
        <f>IFERROR(__xludf.DUMMYFUNCTION("""COMPUTED_VALUE"""),"KEJATI KALSEL")</f>
        <v>KEJATI KALSEL</v>
      </c>
      <c r="D1830" s="2" t="str">
        <f>IFERROR(__xludf.DUMMYFUNCTION("""COMPUTED_VALUE"""),"5KM OVERALL M")</f>
        <v>5KM OVERALL M</v>
      </c>
      <c r="E1830" s="1" t="str">
        <f>IFERROR(__xludf.DUMMYFUNCTION("""COMPUTED_VALUE"""),"DSQ")</f>
        <v>DSQ</v>
      </c>
      <c r="F1830" s="1" t="str">
        <f>IFERROR(__xludf.DUMMYFUNCTION("""COMPUTED_VALUE"""),"Male")</f>
        <v>Male</v>
      </c>
      <c r="G1830" s="5" t="str">
        <f>IFERROR(__xludf.DUMMYFUNCTION("""COMPUTED_VALUE"""),"")</f>
        <v/>
      </c>
      <c r="H1830" s="15">
        <f>IFERROR(__xludf.DUMMYFUNCTION("""COMPUTED_VALUE"""),0.2549440625)</f>
        <v>0.2549440625</v>
      </c>
      <c r="I1830" s="15" t="str">
        <f>IFERROR(__xludf.DUMMYFUNCTION("""COMPUTED_VALUE"""),"")</f>
        <v/>
      </c>
      <c r="J1830" s="15" t="str">
        <f>IFERROR(__xludf.DUMMYFUNCTION("""COMPUTED_VALUE"""),"")</f>
        <v/>
      </c>
      <c r="K1830" s="15" t="str">
        <f>IFERROR(__xludf.DUMMYFUNCTION("""COMPUTED_VALUE"""),"")</f>
        <v/>
      </c>
      <c r="L1830" s="4" t="str">
        <f>IFERROR(__xludf.DUMMYFUNCTION("""COMPUTED_VALUE"""),"")</f>
        <v/>
      </c>
    </row>
    <row r="1831">
      <c r="A1831" s="1" t="str">
        <f>IFERROR(__xludf.DUMMYFUNCTION("""COMPUTED_VALUE"""),"DSQ")</f>
        <v>DSQ</v>
      </c>
      <c r="B1831" s="1">
        <f>IFERROR(__xludf.DUMMYFUNCTION("""COMPUTED_VALUE"""),6478.0)</f>
        <v>6478</v>
      </c>
      <c r="C1831" s="2" t="str">
        <f>IFERROR(__xludf.DUMMYFUNCTION("""COMPUTED_VALUE"""),"DANREM 101 ANTASARI")</f>
        <v>DANREM 101 ANTASARI</v>
      </c>
      <c r="D1831" s="2" t="str">
        <f>IFERROR(__xludf.DUMMYFUNCTION("""COMPUTED_VALUE"""),"5KM OVERALL M")</f>
        <v>5KM OVERALL M</v>
      </c>
      <c r="E1831" s="1" t="str">
        <f>IFERROR(__xludf.DUMMYFUNCTION("""COMPUTED_VALUE"""),"DSQ")</f>
        <v>DSQ</v>
      </c>
      <c r="F1831" s="1" t="str">
        <f>IFERROR(__xludf.DUMMYFUNCTION("""COMPUTED_VALUE"""),"Male")</f>
        <v>Male</v>
      </c>
      <c r="G1831" s="5" t="str">
        <f>IFERROR(__xludf.DUMMYFUNCTION("""COMPUTED_VALUE"""),"")</f>
        <v/>
      </c>
      <c r="H1831" s="15">
        <f>IFERROR(__xludf.DUMMYFUNCTION("""COMPUTED_VALUE"""),0.2549440625)</f>
        <v>0.2549440625</v>
      </c>
      <c r="I1831" s="15" t="str">
        <f>IFERROR(__xludf.DUMMYFUNCTION("""COMPUTED_VALUE"""),"")</f>
        <v/>
      </c>
      <c r="J1831" s="15" t="str">
        <f>IFERROR(__xludf.DUMMYFUNCTION("""COMPUTED_VALUE"""),"")</f>
        <v/>
      </c>
      <c r="K1831" s="15" t="str">
        <f>IFERROR(__xludf.DUMMYFUNCTION("""COMPUTED_VALUE"""),"")</f>
        <v/>
      </c>
      <c r="L1831" s="4" t="str">
        <f>IFERROR(__xludf.DUMMYFUNCTION("""COMPUTED_VALUE"""),"")</f>
        <v/>
      </c>
    </row>
    <row r="1832">
      <c r="A1832" s="1" t="str">
        <f>IFERROR(__xludf.DUMMYFUNCTION("""COMPUTED_VALUE"""),"DSQ")</f>
        <v>DSQ</v>
      </c>
      <c r="B1832" s="1">
        <f>IFERROR(__xludf.DUMMYFUNCTION("""COMPUTED_VALUE"""),6479.0)</f>
        <v>6479</v>
      </c>
      <c r="C1832" s="2" t="str">
        <f>IFERROR(__xludf.DUMMYFUNCTION("""COMPUTED_VALUE"""),"DANREM 101 ANTASARI")</f>
        <v>DANREM 101 ANTASARI</v>
      </c>
      <c r="D1832" s="2" t="str">
        <f>IFERROR(__xludf.DUMMYFUNCTION("""COMPUTED_VALUE"""),"5KM OVERALL M")</f>
        <v>5KM OVERALL M</v>
      </c>
      <c r="E1832" s="1" t="str">
        <f>IFERROR(__xludf.DUMMYFUNCTION("""COMPUTED_VALUE"""),"DSQ")</f>
        <v>DSQ</v>
      </c>
      <c r="F1832" s="1" t="str">
        <f>IFERROR(__xludf.DUMMYFUNCTION("""COMPUTED_VALUE"""),"Male")</f>
        <v>Male</v>
      </c>
      <c r="G1832" s="5" t="str">
        <f>IFERROR(__xludf.DUMMYFUNCTION("""COMPUTED_VALUE"""),"")</f>
        <v/>
      </c>
      <c r="H1832" s="15">
        <f>IFERROR(__xludf.DUMMYFUNCTION("""COMPUTED_VALUE"""),0.2549440625)</f>
        <v>0.2549440625</v>
      </c>
      <c r="I1832" s="15" t="str">
        <f>IFERROR(__xludf.DUMMYFUNCTION("""COMPUTED_VALUE"""),"")</f>
        <v/>
      </c>
      <c r="J1832" s="15" t="str">
        <f>IFERROR(__xludf.DUMMYFUNCTION("""COMPUTED_VALUE"""),"")</f>
        <v/>
      </c>
      <c r="K1832" s="15" t="str">
        <f>IFERROR(__xludf.DUMMYFUNCTION("""COMPUTED_VALUE"""),"")</f>
        <v/>
      </c>
      <c r="L1832" s="4" t="str">
        <f>IFERROR(__xludf.DUMMYFUNCTION("""COMPUTED_VALUE"""),"")</f>
        <v/>
      </c>
    </row>
    <row r="1833">
      <c r="A1833" s="1" t="str">
        <f>IFERROR(__xludf.DUMMYFUNCTION("""COMPUTED_VALUE"""),"DSQ")</f>
        <v>DSQ</v>
      </c>
      <c r="B1833" s="1">
        <f>IFERROR(__xludf.DUMMYFUNCTION("""COMPUTED_VALUE"""),6480.0)</f>
        <v>6480</v>
      </c>
      <c r="C1833" s="2" t="str">
        <f>IFERROR(__xludf.DUMMYFUNCTION("""COMPUTED_VALUE"""),"DPRD PROVINSI KALSEL")</f>
        <v>DPRD PROVINSI KALSEL</v>
      </c>
      <c r="D1833" s="2" t="str">
        <f>IFERROR(__xludf.DUMMYFUNCTION("""COMPUTED_VALUE"""),"5KM OVERALL M")</f>
        <v>5KM OVERALL M</v>
      </c>
      <c r="E1833" s="1" t="str">
        <f>IFERROR(__xludf.DUMMYFUNCTION("""COMPUTED_VALUE"""),"DSQ")</f>
        <v>DSQ</v>
      </c>
      <c r="F1833" s="1" t="str">
        <f>IFERROR(__xludf.DUMMYFUNCTION("""COMPUTED_VALUE"""),"Male")</f>
        <v>Male</v>
      </c>
      <c r="G1833" s="5" t="str">
        <f>IFERROR(__xludf.DUMMYFUNCTION("""COMPUTED_VALUE"""),"")</f>
        <v/>
      </c>
      <c r="H1833" s="15">
        <f>IFERROR(__xludf.DUMMYFUNCTION("""COMPUTED_VALUE"""),0.2549440625)</f>
        <v>0.2549440625</v>
      </c>
      <c r="I1833" s="15" t="str">
        <f>IFERROR(__xludf.DUMMYFUNCTION("""COMPUTED_VALUE"""),"")</f>
        <v/>
      </c>
      <c r="J1833" s="15" t="str">
        <f>IFERROR(__xludf.DUMMYFUNCTION("""COMPUTED_VALUE"""),"")</f>
        <v/>
      </c>
      <c r="K1833" s="15" t="str">
        <f>IFERROR(__xludf.DUMMYFUNCTION("""COMPUTED_VALUE"""),"")</f>
        <v/>
      </c>
      <c r="L1833" s="4" t="str">
        <f>IFERROR(__xludf.DUMMYFUNCTION("""COMPUTED_VALUE"""),"")</f>
        <v/>
      </c>
    </row>
    <row r="1834">
      <c r="A1834" s="1" t="str">
        <f>IFERROR(__xludf.DUMMYFUNCTION("""COMPUTED_VALUE"""),"DSQ")</f>
        <v>DSQ</v>
      </c>
      <c r="B1834" s="1">
        <f>IFERROR(__xludf.DUMMYFUNCTION("""COMPUTED_VALUE"""),6481.0)</f>
        <v>6481</v>
      </c>
      <c r="C1834" s="2" t="str">
        <f>IFERROR(__xludf.DUMMYFUNCTION("""COMPUTED_VALUE"""),"DPRD PROVINSI KALSEL")</f>
        <v>DPRD PROVINSI KALSEL</v>
      </c>
      <c r="D1834" s="2" t="str">
        <f>IFERROR(__xludf.DUMMYFUNCTION("""COMPUTED_VALUE"""),"5KM OVERALL M")</f>
        <v>5KM OVERALL M</v>
      </c>
      <c r="E1834" s="1" t="str">
        <f>IFERROR(__xludf.DUMMYFUNCTION("""COMPUTED_VALUE"""),"DSQ")</f>
        <v>DSQ</v>
      </c>
      <c r="F1834" s="1" t="str">
        <f>IFERROR(__xludf.DUMMYFUNCTION("""COMPUTED_VALUE"""),"Male")</f>
        <v>Male</v>
      </c>
      <c r="G1834" s="5" t="str">
        <f>IFERROR(__xludf.DUMMYFUNCTION("""COMPUTED_VALUE"""),"")</f>
        <v/>
      </c>
      <c r="H1834" s="15">
        <f>IFERROR(__xludf.DUMMYFUNCTION("""COMPUTED_VALUE"""),0.2549440625)</f>
        <v>0.2549440625</v>
      </c>
      <c r="I1834" s="15" t="str">
        <f>IFERROR(__xludf.DUMMYFUNCTION("""COMPUTED_VALUE"""),"")</f>
        <v/>
      </c>
      <c r="J1834" s="15" t="str">
        <f>IFERROR(__xludf.DUMMYFUNCTION("""COMPUTED_VALUE"""),"")</f>
        <v/>
      </c>
      <c r="K1834" s="15" t="str">
        <f>IFERROR(__xludf.DUMMYFUNCTION("""COMPUTED_VALUE"""),"")</f>
        <v/>
      </c>
      <c r="L1834" s="4" t="str">
        <f>IFERROR(__xludf.DUMMYFUNCTION("""COMPUTED_VALUE"""),"")</f>
        <v/>
      </c>
    </row>
    <row r="1835">
      <c r="A1835" s="1" t="str">
        <f>IFERROR(__xludf.DUMMYFUNCTION("""COMPUTED_VALUE"""),"DSQ")</f>
        <v>DSQ</v>
      </c>
      <c r="B1835" s="1">
        <f>IFERROR(__xludf.DUMMYFUNCTION("""COMPUTED_VALUE"""),6482.0)</f>
        <v>6482</v>
      </c>
      <c r="C1835" s="2" t="str">
        <f>IFERROR(__xludf.DUMMYFUNCTION("""COMPUTED_VALUE"""),"DINAS ESDM PROVINSI KALSEL")</f>
        <v>DINAS ESDM PROVINSI KALSEL</v>
      </c>
      <c r="D1835" s="2" t="str">
        <f>IFERROR(__xludf.DUMMYFUNCTION("""COMPUTED_VALUE"""),"5KM OVERALL M")</f>
        <v>5KM OVERALL M</v>
      </c>
      <c r="E1835" s="1" t="str">
        <f>IFERROR(__xludf.DUMMYFUNCTION("""COMPUTED_VALUE"""),"DSQ")</f>
        <v>DSQ</v>
      </c>
      <c r="F1835" s="1" t="str">
        <f>IFERROR(__xludf.DUMMYFUNCTION("""COMPUTED_VALUE"""),"Male")</f>
        <v>Male</v>
      </c>
      <c r="G1835" s="5" t="str">
        <f>IFERROR(__xludf.DUMMYFUNCTION("""COMPUTED_VALUE"""),"")</f>
        <v/>
      </c>
      <c r="H1835" s="15">
        <f>IFERROR(__xludf.DUMMYFUNCTION("""COMPUTED_VALUE"""),0.2549440625)</f>
        <v>0.2549440625</v>
      </c>
      <c r="I1835" s="15" t="str">
        <f>IFERROR(__xludf.DUMMYFUNCTION("""COMPUTED_VALUE"""),"")</f>
        <v/>
      </c>
      <c r="J1835" s="15" t="str">
        <f>IFERROR(__xludf.DUMMYFUNCTION("""COMPUTED_VALUE"""),"")</f>
        <v/>
      </c>
      <c r="K1835" s="15" t="str">
        <f>IFERROR(__xludf.DUMMYFUNCTION("""COMPUTED_VALUE"""),"")</f>
        <v/>
      </c>
      <c r="L1835" s="4" t="str">
        <f>IFERROR(__xludf.DUMMYFUNCTION("""COMPUTED_VALUE"""),"")</f>
        <v/>
      </c>
    </row>
    <row r="1836">
      <c r="A1836" s="1" t="str">
        <f>IFERROR(__xludf.DUMMYFUNCTION("""COMPUTED_VALUE"""),"DSQ")</f>
        <v>DSQ</v>
      </c>
      <c r="B1836" s="1">
        <f>IFERROR(__xludf.DUMMYFUNCTION("""COMPUTED_VALUE"""),6483.0)</f>
        <v>6483</v>
      </c>
      <c r="C1836" s="2" t="str">
        <f>IFERROR(__xludf.DUMMYFUNCTION("""COMPUTED_VALUE"""),"DINAS ESDM PROVINSI KALSEL")</f>
        <v>DINAS ESDM PROVINSI KALSEL</v>
      </c>
      <c r="D1836" s="2" t="str">
        <f>IFERROR(__xludf.DUMMYFUNCTION("""COMPUTED_VALUE"""),"5KM OVERALL M")</f>
        <v>5KM OVERALL M</v>
      </c>
      <c r="E1836" s="1" t="str">
        <f>IFERROR(__xludf.DUMMYFUNCTION("""COMPUTED_VALUE"""),"DSQ")</f>
        <v>DSQ</v>
      </c>
      <c r="F1836" s="1" t="str">
        <f>IFERROR(__xludf.DUMMYFUNCTION("""COMPUTED_VALUE"""),"Male")</f>
        <v>Male</v>
      </c>
      <c r="G1836" s="5" t="str">
        <f>IFERROR(__xludf.DUMMYFUNCTION("""COMPUTED_VALUE"""),"")</f>
        <v/>
      </c>
      <c r="H1836" s="15">
        <f>IFERROR(__xludf.DUMMYFUNCTION("""COMPUTED_VALUE"""),0.2549440625)</f>
        <v>0.2549440625</v>
      </c>
      <c r="I1836" s="15" t="str">
        <f>IFERROR(__xludf.DUMMYFUNCTION("""COMPUTED_VALUE"""),"")</f>
        <v/>
      </c>
      <c r="J1836" s="15" t="str">
        <f>IFERROR(__xludf.DUMMYFUNCTION("""COMPUTED_VALUE"""),"")</f>
        <v/>
      </c>
      <c r="K1836" s="15" t="str">
        <f>IFERROR(__xludf.DUMMYFUNCTION("""COMPUTED_VALUE"""),"")</f>
        <v/>
      </c>
      <c r="L1836" s="4" t="str">
        <f>IFERROR(__xludf.DUMMYFUNCTION("""COMPUTED_VALUE"""),"")</f>
        <v/>
      </c>
    </row>
    <row r="1837">
      <c r="A1837" s="1" t="str">
        <f>IFERROR(__xludf.DUMMYFUNCTION("""COMPUTED_VALUE"""),"DSQ")</f>
        <v>DSQ</v>
      </c>
      <c r="B1837" s="1">
        <f>IFERROR(__xludf.DUMMYFUNCTION("""COMPUTED_VALUE"""),6484.0)</f>
        <v>6484</v>
      </c>
      <c r="C1837" s="2" t="str">
        <f>IFERROR(__xludf.DUMMYFUNCTION("""COMPUTED_VALUE"""),"DISHUT PROVINSI KALSEL")</f>
        <v>DISHUT PROVINSI KALSEL</v>
      </c>
      <c r="D1837" s="2" t="str">
        <f>IFERROR(__xludf.DUMMYFUNCTION("""COMPUTED_VALUE"""),"5KM OVERALL M")</f>
        <v>5KM OVERALL M</v>
      </c>
      <c r="E1837" s="1" t="str">
        <f>IFERROR(__xludf.DUMMYFUNCTION("""COMPUTED_VALUE"""),"DSQ")</f>
        <v>DSQ</v>
      </c>
      <c r="F1837" s="1" t="str">
        <f>IFERROR(__xludf.DUMMYFUNCTION("""COMPUTED_VALUE"""),"Male")</f>
        <v>Male</v>
      </c>
      <c r="G1837" s="5" t="str">
        <f>IFERROR(__xludf.DUMMYFUNCTION("""COMPUTED_VALUE"""),"")</f>
        <v/>
      </c>
      <c r="H1837" s="15">
        <f>IFERROR(__xludf.DUMMYFUNCTION("""COMPUTED_VALUE"""),0.2549440625)</f>
        <v>0.2549440625</v>
      </c>
      <c r="I1837" s="15" t="str">
        <f>IFERROR(__xludf.DUMMYFUNCTION("""COMPUTED_VALUE"""),"")</f>
        <v/>
      </c>
      <c r="J1837" s="15" t="str">
        <f>IFERROR(__xludf.DUMMYFUNCTION("""COMPUTED_VALUE"""),"")</f>
        <v/>
      </c>
      <c r="K1837" s="15" t="str">
        <f>IFERROR(__xludf.DUMMYFUNCTION("""COMPUTED_VALUE"""),"")</f>
        <v/>
      </c>
      <c r="L1837" s="4" t="str">
        <f>IFERROR(__xludf.DUMMYFUNCTION("""COMPUTED_VALUE"""),"")</f>
        <v/>
      </c>
    </row>
    <row r="1838">
      <c r="A1838" s="1" t="str">
        <f>IFERROR(__xludf.DUMMYFUNCTION("""COMPUTED_VALUE"""),"DSQ")</f>
        <v>DSQ</v>
      </c>
      <c r="B1838" s="1">
        <f>IFERROR(__xludf.DUMMYFUNCTION("""COMPUTED_VALUE"""),6485.0)</f>
        <v>6485</v>
      </c>
      <c r="C1838" s="2" t="str">
        <f>IFERROR(__xludf.DUMMYFUNCTION("""COMPUTED_VALUE"""),"DLH PROVINSI KALSEL")</f>
        <v>DLH PROVINSI KALSEL</v>
      </c>
      <c r="D1838" s="2" t="str">
        <f>IFERROR(__xludf.DUMMYFUNCTION("""COMPUTED_VALUE"""),"5KM OVERALL M")</f>
        <v>5KM OVERALL M</v>
      </c>
      <c r="E1838" s="1" t="str">
        <f>IFERROR(__xludf.DUMMYFUNCTION("""COMPUTED_VALUE"""),"DSQ")</f>
        <v>DSQ</v>
      </c>
      <c r="F1838" s="1" t="str">
        <f>IFERROR(__xludf.DUMMYFUNCTION("""COMPUTED_VALUE"""),"Male")</f>
        <v>Male</v>
      </c>
      <c r="G1838" s="5" t="str">
        <f>IFERROR(__xludf.DUMMYFUNCTION("""COMPUTED_VALUE"""),"")</f>
        <v/>
      </c>
      <c r="H1838" s="15">
        <f>IFERROR(__xludf.DUMMYFUNCTION("""COMPUTED_VALUE"""),0.2549440625)</f>
        <v>0.2549440625</v>
      </c>
      <c r="I1838" s="15" t="str">
        <f>IFERROR(__xludf.DUMMYFUNCTION("""COMPUTED_VALUE"""),"")</f>
        <v/>
      </c>
      <c r="J1838" s="15" t="str">
        <f>IFERROR(__xludf.DUMMYFUNCTION("""COMPUTED_VALUE"""),"")</f>
        <v/>
      </c>
      <c r="K1838" s="15" t="str">
        <f>IFERROR(__xludf.DUMMYFUNCTION("""COMPUTED_VALUE"""),"")</f>
        <v/>
      </c>
      <c r="L1838" s="4" t="str">
        <f>IFERROR(__xludf.DUMMYFUNCTION("""COMPUTED_VALUE"""),"")</f>
        <v/>
      </c>
    </row>
    <row r="1839">
      <c r="A1839" s="1" t="str">
        <f>IFERROR(__xludf.DUMMYFUNCTION("""COMPUTED_VALUE"""),"DSQ")</f>
        <v>DSQ</v>
      </c>
      <c r="B1839" s="1">
        <f>IFERROR(__xludf.DUMMYFUNCTION("""COMPUTED_VALUE"""),6487.0)</f>
        <v>6487</v>
      </c>
      <c r="C1839" s="2" t="str">
        <f>IFERROR(__xludf.DUMMYFUNCTION("""COMPUTED_VALUE"""),"DISNAKER PROVINSI KALSEL")</f>
        <v>DISNAKER PROVINSI KALSEL</v>
      </c>
      <c r="D1839" s="2" t="str">
        <f>IFERROR(__xludf.DUMMYFUNCTION("""COMPUTED_VALUE"""),"5KM OVERALL M")</f>
        <v>5KM OVERALL M</v>
      </c>
      <c r="E1839" s="1" t="str">
        <f>IFERROR(__xludf.DUMMYFUNCTION("""COMPUTED_VALUE"""),"DSQ")</f>
        <v>DSQ</v>
      </c>
      <c r="F1839" s="1" t="str">
        <f>IFERROR(__xludf.DUMMYFUNCTION("""COMPUTED_VALUE"""),"Male")</f>
        <v>Male</v>
      </c>
      <c r="G1839" s="5" t="str">
        <f>IFERROR(__xludf.DUMMYFUNCTION("""COMPUTED_VALUE"""),"")</f>
        <v/>
      </c>
      <c r="H1839" s="15">
        <f>IFERROR(__xludf.DUMMYFUNCTION("""COMPUTED_VALUE"""),0.2549440625)</f>
        <v>0.2549440625</v>
      </c>
      <c r="I1839" s="15" t="str">
        <f>IFERROR(__xludf.DUMMYFUNCTION("""COMPUTED_VALUE"""),"")</f>
        <v/>
      </c>
      <c r="J1839" s="15" t="str">
        <f>IFERROR(__xludf.DUMMYFUNCTION("""COMPUTED_VALUE"""),"")</f>
        <v/>
      </c>
      <c r="K1839" s="15" t="str">
        <f>IFERROR(__xludf.DUMMYFUNCTION("""COMPUTED_VALUE"""),"")</f>
        <v/>
      </c>
      <c r="L1839" s="4" t="str">
        <f>IFERROR(__xludf.DUMMYFUNCTION("""COMPUTED_VALUE"""),"")</f>
        <v/>
      </c>
    </row>
    <row r="1840">
      <c r="A1840" s="1" t="str">
        <f>IFERROR(__xludf.DUMMYFUNCTION("""COMPUTED_VALUE"""),"DSQ")</f>
        <v>DSQ</v>
      </c>
      <c r="B1840" s="1">
        <f>IFERROR(__xludf.DUMMYFUNCTION("""COMPUTED_VALUE"""),6490.0)</f>
        <v>6490</v>
      </c>
      <c r="C1840" s="2" t="str">
        <f>IFERROR(__xludf.DUMMYFUNCTION("""COMPUTED_VALUE"""),"WALIKOTA BANJARBARU")</f>
        <v>WALIKOTA BANJARBARU</v>
      </c>
      <c r="D1840" s="2" t="str">
        <f>IFERROR(__xludf.DUMMYFUNCTION("""COMPUTED_VALUE"""),"5KM OVERALL M")</f>
        <v>5KM OVERALL M</v>
      </c>
      <c r="E1840" s="1" t="str">
        <f>IFERROR(__xludf.DUMMYFUNCTION("""COMPUTED_VALUE"""),"DSQ")</f>
        <v>DSQ</v>
      </c>
      <c r="F1840" s="1" t="str">
        <f>IFERROR(__xludf.DUMMYFUNCTION("""COMPUTED_VALUE"""),"Male")</f>
        <v>Male</v>
      </c>
      <c r="G1840" s="5" t="str">
        <f>IFERROR(__xludf.DUMMYFUNCTION("""COMPUTED_VALUE"""),"")</f>
        <v/>
      </c>
      <c r="H1840" s="15">
        <f>IFERROR(__xludf.DUMMYFUNCTION("""COMPUTED_VALUE"""),0.2549440625)</f>
        <v>0.2549440625</v>
      </c>
      <c r="I1840" s="15" t="str">
        <f>IFERROR(__xludf.DUMMYFUNCTION("""COMPUTED_VALUE"""),"")</f>
        <v/>
      </c>
      <c r="J1840" s="15" t="str">
        <f>IFERROR(__xludf.DUMMYFUNCTION("""COMPUTED_VALUE"""),"")</f>
        <v/>
      </c>
      <c r="K1840" s="15" t="str">
        <f>IFERROR(__xludf.DUMMYFUNCTION("""COMPUTED_VALUE"""),"")</f>
        <v/>
      </c>
      <c r="L1840" s="4" t="str">
        <f>IFERROR(__xludf.DUMMYFUNCTION("""COMPUTED_VALUE"""),"")</f>
        <v/>
      </c>
    </row>
    <row r="1841">
      <c r="A1841" s="1" t="str">
        <f>IFERROR(__xludf.DUMMYFUNCTION("""COMPUTED_VALUE"""),"DSQ")</f>
        <v>DSQ</v>
      </c>
      <c r="B1841" s="1">
        <f>IFERROR(__xludf.DUMMYFUNCTION("""COMPUTED_VALUE"""),6491.0)</f>
        <v>6491</v>
      </c>
      <c r="C1841" s="2" t="str">
        <f>IFERROR(__xludf.DUMMYFUNCTION("""COMPUTED_VALUE"""),"WALIKOTA BANJARBARU")</f>
        <v>WALIKOTA BANJARBARU</v>
      </c>
      <c r="D1841" s="2" t="str">
        <f>IFERROR(__xludf.DUMMYFUNCTION("""COMPUTED_VALUE"""),"5KM OVERALL M")</f>
        <v>5KM OVERALL M</v>
      </c>
      <c r="E1841" s="1" t="str">
        <f>IFERROR(__xludf.DUMMYFUNCTION("""COMPUTED_VALUE"""),"DSQ")</f>
        <v>DSQ</v>
      </c>
      <c r="F1841" s="1" t="str">
        <f>IFERROR(__xludf.DUMMYFUNCTION("""COMPUTED_VALUE"""),"Male")</f>
        <v>Male</v>
      </c>
      <c r="G1841" s="5" t="str">
        <f>IFERROR(__xludf.DUMMYFUNCTION("""COMPUTED_VALUE"""),"")</f>
        <v/>
      </c>
      <c r="H1841" s="15">
        <f>IFERROR(__xludf.DUMMYFUNCTION("""COMPUTED_VALUE"""),0.2549440625)</f>
        <v>0.2549440625</v>
      </c>
      <c r="I1841" s="15" t="str">
        <f>IFERROR(__xludf.DUMMYFUNCTION("""COMPUTED_VALUE"""),"")</f>
        <v/>
      </c>
      <c r="J1841" s="15" t="str">
        <f>IFERROR(__xludf.DUMMYFUNCTION("""COMPUTED_VALUE"""),"")</f>
        <v/>
      </c>
      <c r="K1841" s="15" t="str">
        <f>IFERROR(__xludf.DUMMYFUNCTION("""COMPUTED_VALUE"""),"")</f>
        <v/>
      </c>
      <c r="L1841" s="4" t="str">
        <f>IFERROR(__xludf.DUMMYFUNCTION("""COMPUTED_VALUE"""),"")</f>
        <v/>
      </c>
    </row>
    <row r="1842">
      <c r="A1842" s="1" t="str">
        <f>IFERROR(__xludf.DUMMYFUNCTION("""COMPUTED_VALUE"""),"DSQ")</f>
        <v>DSQ</v>
      </c>
      <c r="B1842" s="1">
        <f>IFERROR(__xludf.DUMMYFUNCTION("""COMPUTED_VALUE"""),6493.0)</f>
        <v>6493</v>
      </c>
      <c r="C1842" s="2" t="str">
        <f>IFERROR(__xludf.DUMMYFUNCTION("""COMPUTED_VALUE"""),"BPBD PROVINSI KALSEL")</f>
        <v>BPBD PROVINSI KALSEL</v>
      </c>
      <c r="D1842" s="2" t="str">
        <f>IFERROR(__xludf.DUMMYFUNCTION("""COMPUTED_VALUE"""),"5KM OVERALL M")</f>
        <v>5KM OVERALL M</v>
      </c>
      <c r="E1842" s="1" t="str">
        <f>IFERROR(__xludf.DUMMYFUNCTION("""COMPUTED_VALUE"""),"DSQ")</f>
        <v>DSQ</v>
      </c>
      <c r="F1842" s="1" t="str">
        <f>IFERROR(__xludf.DUMMYFUNCTION("""COMPUTED_VALUE"""),"Male")</f>
        <v>Male</v>
      </c>
      <c r="G1842" s="5" t="str">
        <f>IFERROR(__xludf.DUMMYFUNCTION("""COMPUTED_VALUE"""),"")</f>
        <v/>
      </c>
      <c r="H1842" s="15">
        <f>IFERROR(__xludf.DUMMYFUNCTION("""COMPUTED_VALUE"""),0.2549440625)</f>
        <v>0.2549440625</v>
      </c>
      <c r="I1842" s="15" t="str">
        <f>IFERROR(__xludf.DUMMYFUNCTION("""COMPUTED_VALUE"""),"")</f>
        <v/>
      </c>
      <c r="J1842" s="15" t="str">
        <f>IFERROR(__xludf.DUMMYFUNCTION("""COMPUTED_VALUE"""),"")</f>
        <v/>
      </c>
      <c r="K1842" s="15" t="str">
        <f>IFERROR(__xludf.DUMMYFUNCTION("""COMPUTED_VALUE"""),"")</f>
        <v/>
      </c>
      <c r="L1842" s="4" t="str">
        <f>IFERROR(__xludf.DUMMYFUNCTION("""COMPUTED_VALUE"""),"")</f>
        <v/>
      </c>
    </row>
    <row r="1843">
      <c r="A1843" s="1" t="str">
        <f>IFERROR(__xludf.DUMMYFUNCTION("""COMPUTED_VALUE"""),"DSQ")</f>
        <v>DSQ</v>
      </c>
      <c r="B1843" s="1">
        <f>IFERROR(__xludf.DUMMYFUNCTION("""COMPUTED_VALUE"""),6495.0)</f>
        <v>6495</v>
      </c>
      <c r="C1843" s="2" t="str">
        <f>IFERROR(__xludf.DUMMYFUNCTION("""COMPUTED_VALUE"""),"OMBUDSMAN KALSEL")</f>
        <v>OMBUDSMAN KALSEL</v>
      </c>
      <c r="D1843" s="2" t="str">
        <f>IFERROR(__xludf.DUMMYFUNCTION("""COMPUTED_VALUE"""),"5KM OVERALL M")</f>
        <v>5KM OVERALL M</v>
      </c>
      <c r="E1843" s="1" t="str">
        <f>IFERROR(__xludf.DUMMYFUNCTION("""COMPUTED_VALUE"""),"DSQ")</f>
        <v>DSQ</v>
      </c>
      <c r="F1843" s="1" t="str">
        <f>IFERROR(__xludf.DUMMYFUNCTION("""COMPUTED_VALUE"""),"Male")</f>
        <v>Male</v>
      </c>
      <c r="G1843" s="5">
        <f>IFERROR(__xludf.DUMMYFUNCTION("""COMPUTED_VALUE"""),0.005608030092592592)</f>
        <v>0.005608030093</v>
      </c>
      <c r="H1843" s="15">
        <f>IFERROR(__xludf.DUMMYFUNCTION("""COMPUTED_VALUE"""),0.2549440625)</f>
        <v>0.2549440625</v>
      </c>
      <c r="I1843" s="15">
        <f>IFERROR(__xludf.DUMMYFUNCTION("""COMPUTED_VALUE"""),45949.28298421265)</f>
        <v>45949.28298</v>
      </c>
      <c r="J1843" s="15">
        <f>IFERROR(__xludf.DUMMYFUNCTION("""COMPUTED_VALUE"""),45949.02804015015)</f>
        <v>45949.02804</v>
      </c>
      <c r="K1843" s="15" t="str">
        <f>IFERROR(__xludf.DUMMYFUNCTION("""COMPUTED_VALUE"""),"")</f>
        <v/>
      </c>
      <c r="L1843" s="4" t="str">
        <f>IFERROR(__xludf.DUMMYFUNCTION("""COMPUTED_VALUE"""),"")</f>
        <v/>
      </c>
    </row>
    <row r="1844">
      <c r="A1844" s="1" t="str">
        <f>IFERROR(__xludf.DUMMYFUNCTION("""COMPUTED_VALUE"""),"DSQ")</f>
        <v>DSQ</v>
      </c>
      <c r="B1844" s="1">
        <f>IFERROR(__xludf.DUMMYFUNCTION("""COMPUTED_VALUE"""),6496.0)</f>
        <v>6496</v>
      </c>
      <c r="C1844" s="2" t="str">
        <f>IFERROR(__xludf.DUMMYFUNCTION("""COMPUTED_VALUE"""),"OMBUDSMAN KALSEL")</f>
        <v>OMBUDSMAN KALSEL</v>
      </c>
      <c r="D1844" s="2" t="str">
        <f>IFERROR(__xludf.DUMMYFUNCTION("""COMPUTED_VALUE"""),"5KM OVERALL M")</f>
        <v>5KM OVERALL M</v>
      </c>
      <c r="E1844" s="1" t="str">
        <f>IFERROR(__xludf.DUMMYFUNCTION("""COMPUTED_VALUE"""),"DSQ")</f>
        <v>DSQ</v>
      </c>
      <c r="F1844" s="1" t="str">
        <f>IFERROR(__xludf.DUMMYFUNCTION("""COMPUTED_VALUE"""),"Male")</f>
        <v>Male</v>
      </c>
      <c r="G1844" s="5" t="str">
        <f>IFERROR(__xludf.DUMMYFUNCTION("""COMPUTED_VALUE"""),"")</f>
        <v/>
      </c>
      <c r="H1844" s="15">
        <f>IFERROR(__xludf.DUMMYFUNCTION("""COMPUTED_VALUE"""),0.2549440625)</f>
        <v>0.2549440625</v>
      </c>
      <c r="I1844" s="15" t="str">
        <f>IFERROR(__xludf.DUMMYFUNCTION("""COMPUTED_VALUE"""),"")</f>
        <v/>
      </c>
      <c r="J1844" s="15" t="str">
        <f>IFERROR(__xludf.DUMMYFUNCTION("""COMPUTED_VALUE"""),"")</f>
        <v/>
      </c>
      <c r="K1844" s="15" t="str">
        <f>IFERROR(__xludf.DUMMYFUNCTION("""COMPUTED_VALUE"""),"")</f>
        <v/>
      </c>
      <c r="L1844" s="4" t="str">
        <f>IFERROR(__xludf.DUMMYFUNCTION("""COMPUTED_VALUE"""),"")</f>
        <v/>
      </c>
    </row>
    <row r="1845">
      <c r="A1845" s="1" t="str">
        <f>IFERROR(__xludf.DUMMYFUNCTION("""COMPUTED_VALUE"""),"DSQ")</f>
        <v>DSQ</v>
      </c>
      <c r="B1845" s="1">
        <f>IFERROR(__xludf.DUMMYFUNCTION("""COMPUTED_VALUE"""),6499.0)</f>
        <v>6499</v>
      </c>
      <c r="C1845" s="2" t="str">
        <f>IFERROR(__xludf.DUMMYFUNCTION("""COMPUTED_VALUE"""),"PENGADILAN NEGERI BANJARBARU")</f>
        <v>PENGADILAN NEGERI BANJARBARU</v>
      </c>
      <c r="D1845" s="2" t="str">
        <f>IFERROR(__xludf.DUMMYFUNCTION("""COMPUTED_VALUE"""),"5KM OVERALL M")</f>
        <v>5KM OVERALL M</v>
      </c>
      <c r="E1845" s="1" t="str">
        <f>IFERROR(__xludf.DUMMYFUNCTION("""COMPUTED_VALUE"""),"DSQ")</f>
        <v>DSQ</v>
      </c>
      <c r="F1845" s="1" t="str">
        <f>IFERROR(__xludf.DUMMYFUNCTION("""COMPUTED_VALUE"""),"Male")</f>
        <v>Male</v>
      </c>
      <c r="G1845" s="5" t="str">
        <f>IFERROR(__xludf.DUMMYFUNCTION("""COMPUTED_VALUE"""),"")</f>
        <v/>
      </c>
      <c r="H1845" s="15">
        <f>IFERROR(__xludf.DUMMYFUNCTION("""COMPUTED_VALUE"""),0.2549440625)</f>
        <v>0.2549440625</v>
      </c>
      <c r="I1845" s="15" t="str">
        <f>IFERROR(__xludf.DUMMYFUNCTION("""COMPUTED_VALUE"""),"")</f>
        <v/>
      </c>
      <c r="J1845" s="15" t="str">
        <f>IFERROR(__xludf.DUMMYFUNCTION("""COMPUTED_VALUE"""),"")</f>
        <v/>
      </c>
      <c r="K1845" s="15" t="str">
        <f>IFERROR(__xludf.DUMMYFUNCTION("""COMPUTED_VALUE"""),"")</f>
        <v/>
      </c>
      <c r="L1845" s="4" t="str">
        <f>IFERROR(__xludf.DUMMYFUNCTION("""COMPUTED_VALUE"""),"")</f>
        <v/>
      </c>
    </row>
    <row r="1846">
      <c r="A1846" s="1" t="str">
        <f>IFERROR(__xludf.DUMMYFUNCTION("""COMPUTED_VALUE"""),"DSQ")</f>
        <v>DSQ</v>
      </c>
      <c r="B1846" s="1">
        <f>IFERROR(__xludf.DUMMYFUNCTION("""COMPUTED_VALUE"""),6500.0)</f>
        <v>6500</v>
      </c>
      <c r="C1846" s="2" t="str">
        <f>IFERROR(__xludf.DUMMYFUNCTION("""COMPUTED_VALUE"""),"PENGADILAN NEGERI BANJARBARU")</f>
        <v>PENGADILAN NEGERI BANJARBARU</v>
      </c>
      <c r="D1846" s="2" t="str">
        <f>IFERROR(__xludf.DUMMYFUNCTION("""COMPUTED_VALUE"""),"5KM OVERALL M")</f>
        <v>5KM OVERALL M</v>
      </c>
      <c r="E1846" s="1" t="str">
        <f>IFERROR(__xludf.DUMMYFUNCTION("""COMPUTED_VALUE"""),"DSQ")</f>
        <v>DSQ</v>
      </c>
      <c r="F1846" s="1" t="str">
        <f>IFERROR(__xludf.DUMMYFUNCTION("""COMPUTED_VALUE"""),"Male")</f>
        <v>Male</v>
      </c>
      <c r="G1846" s="5" t="str">
        <f>IFERROR(__xludf.DUMMYFUNCTION("""COMPUTED_VALUE"""),"")</f>
        <v/>
      </c>
      <c r="H1846" s="15">
        <f>IFERROR(__xludf.DUMMYFUNCTION("""COMPUTED_VALUE"""),0.2549440625)</f>
        <v>0.2549440625</v>
      </c>
      <c r="I1846" s="15" t="str">
        <f>IFERROR(__xludf.DUMMYFUNCTION("""COMPUTED_VALUE"""),"")</f>
        <v/>
      </c>
      <c r="J1846" s="15" t="str">
        <f>IFERROR(__xludf.DUMMYFUNCTION("""COMPUTED_VALUE"""),"")</f>
        <v/>
      </c>
      <c r="K1846" s="15" t="str">
        <f>IFERROR(__xludf.DUMMYFUNCTION("""COMPUTED_VALUE"""),"")</f>
        <v/>
      </c>
      <c r="L1846" s="4" t="str">
        <f>IFERROR(__xludf.DUMMYFUNCTION("""COMPUTED_VALUE"""),"")</f>
        <v/>
      </c>
    </row>
    <row r="1847">
      <c r="A1847" s="1" t="str">
        <f>IFERROR(__xludf.DUMMYFUNCTION("""COMPUTED_VALUE"""),"DSQ")</f>
        <v>DSQ</v>
      </c>
      <c r="B1847" s="1">
        <f>IFERROR(__xludf.DUMMYFUNCTION("""COMPUTED_VALUE"""),6504.0)</f>
        <v>6504</v>
      </c>
      <c r="C1847" s="2" t="str">
        <f>IFERROR(__xludf.DUMMYFUNCTION("""COMPUTED_VALUE"""),"PDAM INTAN BANJAR")</f>
        <v>PDAM INTAN BANJAR</v>
      </c>
      <c r="D1847" s="2" t="str">
        <f>IFERROR(__xludf.DUMMYFUNCTION("""COMPUTED_VALUE"""),"5KM OVERALL M")</f>
        <v>5KM OVERALL M</v>
      </c>
      <c r="E1847" s="1" t="str">
        <f>IFERROR(__xludf.DUMMYFUNCTION("""COMPUTED_VALUE"""),"DSQ")</f>
        <v>DSQ</v>
      </c>
      <c r="F1847" s="1" t="str">
        <f>IFERROR(__xludf.DUMMYFUNCTION("""COMPUTED_VALUE"""),"Male")</f>
        <v>Male</v>
      </c>
      <c r="G1847" s="5" t="str">
        <f>IFERROR(__xludf.DUMMYFUNCTION("""COMPUTED_VALUE"""),"")</f>
        <v/>
      </c>
      <c r="H1847" s="15">
        <f>IFERROR(__xludf.DUMMYFUNCTION("""COMPUTED_VALUE"""),0.2549440625)</f>
        <v>0.2549440625</v>
      </c>
      <c r="I1847" s="15" t="str">
        <f>IFERROR(__xludf.DUMMYFUNCTION("""COMPUTED_VALUE"""),"")</f>
        <v/>
      </c>
      <c r="J1847" s="15" t="str">
        <f>IFERROR(__xludf.DUMMYFUNCTION("""COMPUTED_VALUE"""),"")</f>
        <v/>
      </c>
      <c r="K1847" s="15" t="str">
        <f>IFERROR(__xludf.DUMMYFUNCTION("""COMPUTED_VALUE"""),"")</f>
        <v/>
      </c>
      <c r="L1847" s="4" t="str">
        <f>IFERROR(__xludf.DUMMYFUNCTION("""COMPUTED_VALUE"""),"")</f>
        <v/>
      </c>
    </row>
    <row r="1848">
      <c r="A1848" s="1" t="str">
        <f>IFERROR(__xludf.DUMMYFUNCTION("""COMPUTED_VALUE"""),"DSQ")</f>
        <v>DSQ</v>
      </c>
      <c r="B1848" s="1">
        <f>IFERROR(__xludf.DUMMYFUNCTION("""COMPUTED_VALUE"""),6506.0)</f>
        <v>6506</v>
      </c>
      <c r="C1848" s="2" t="str">
        <f>IFERROR(__xludf.DUMMYFUNCTION("""COMPUTED_VALUE"""),"RADAR BANJARMASIN")</f>
        <v>RADAR BANJARMASIN</v>
      </c>
      <c r="D1848" s="2" t="str">
        <f>IFERROR(__xludf.DUMMYFUNCTION("""COMPUTED_VALUE"""),"5KM OVERALL M")</f>
        <v>5KM OVERALL M</v>
      </c>
      <c r="E1848" s="1" t="str">
        <f>IFERROR(__xludf.DUMMYFUNCTION("""COMPUTED_VALUE"""),"DSQ")</f>
        <v>DSQ</v>
      </c>
      <c r="F1848" s="1" t="str">
        <f>IFERROR(__xludf.DUMMYFUNCTION("""COMPUTED_VALUE"""),"Male")</f>
        <v>Male</v>
      </c>
      <c r="G1848" s="5" t="str">
        <f>IFERROR(__xludf.DUMMYFUNCTION("""COMPUTED_VALUE"""),"")</f>
        <v/>
      </c>
      <c r="H1848" s="15">
        <f>IFERROR(__xludf.DUMMYFUNCTION("""COMPUTED_VALUE"""),0.2549440625)</f>
        <v>0.2549440625</v>
      </c>
      <c r="I1848" s="15" t="str">
        <f>IFERROR(__xludf.DUMMYFUNCTION("""COMPUTED_VALUE"""),"")</f>
        <v/>
      </c>
      <c r="J1848" s="15" t="str">
        <f>IFERROR(__xludf.DUMMYFUNCTION("""COMPUTED_VALUE"""),"")</f>
        <v/>
      </c>
      <c r="K1848" s="15" t="str">
        <f>IFERROR(__xludf.DUMMYFUNCTION("""COMPUTED_VALUE"""),"")</f>
        <v/>
      </c>
      <c r="L1848" s="4" t="str">
        <f>IFERROR(__xludf.DUMMYFUNCTION("""COMPUTED_VALUE"""),"")</f>
        <v/>
      </c>
    </row>
    <row r="1849">
      <c r="A1849" s="1" t="str">
        <f>IFERROR(__xludf.DUMMYFUNCTION("""COMPUTED_VALUE"""),"DSQ")</f>
        <v>DSQ</v>
      </c>
      <c r="B1849" s="1">
        <f>IFERROR(__xludf.DUMMYFUNCTION("""COMPUTED_VALUE"""),6510.0)</f>
        <v>6510</v>
      </c>
      <c r="C1849" s="2" t="str">
        <f>IFERROR(__xludf.DUMMYFUNCTION("""COMPUTED_VALUE"""),"VP HTD AREA 4")</f>
        <v>VP HTD AREA 4</v>
      </c>
      <c r="D1849" s="2" t="str">
        <f>IFERROR(__xludf.DUMMYFUNCTION("""COMPUTED_VALUE"""),"5KM OVERALL M")</f>
        <v>5KM OVERALL M</v>
      </c>
      <c r="E1849" s="1" t="str">
        <f>IFERROR(__xludf.DUMMYFUNCTION("""COMPUTED_VALUE"""),"DSQ")</f>
        <v>DSQ</v>
      </c>
      <c r="F1849" s="1" t="str">
        <f>IFERROR(__xludf.DUMMYFUNCTION("""COMPUTED_VALUE"""),"Male")</f>
        <v>Male</v>
      </c>
      <c r="G1849" s="5" t="str">
        <f>IFERROR(__xludf.DUMMYFUNCTION("""COMPUTED_VALUE"""),"")</f>
        <v/>
      </c>
      <c r="H1849" s="15">
        <f>IFERROR(__xludf.DUMMYFUNCTION("""COMPUTED_VALUE"""),0.2549440625)</f>
        <v>0.2549440625</v>
      </c>
      <c r="I1849" s="15" t="str">
        <f>IFERROR(__xludf.DUMMYFUNCTION("""COMPUTED_VALUE"""),"")</f>
        <v/>
      </c>
      <c r="J1849" s="15" t="str">
        <f>IFERROR(__xludf.DUMMYFUNCTION("""COMPUTED_VALUE"""),"")</f>
        <v/>
      </c>
      <c r="K1849" s="15" t="str">
        <f>IFERROR(__xludf.DUMMYFUNCTION("""COMPUTED_VALUE"""),"")</f>
        <v/>
      </c>
      <c r="L1849" s="4" t="str">
        <f>IFERROR(__xludf.DUMMYFUNCTION("""COMPUTED_VALUE"""),"")</f>
        <v/>
      </c>
    </row>
    <row r="1850">
      <c r="A1850" s="1" t="str">
        <f>IFERROR(__xludf.DUMMYFUNCTION("""COMPUTED_VALUE"""),"DSQ")</f>
        <v>DSQ</v>
      </c>
      <c r="B1850" s="1">
        <f>IFERROR(__xludf.DUMMYFUNCTION("""COMPUTED_VALUE"""),6512.0)</f>
        <v>6512</v>
      </c>
      <c r="C1850" s="2" t="str">
        <f>IFERROR(__xludf.DUMMYFUNCTION("""COMPUTED_VALUE"""),"MAN UPP 4 KALBAGTIM")</f>
        <v>MAN UPP 4 KALBAGTIM</v>
      </c>
      <c r="D1850" s="2" t="str">
        <f>IFERROR(__xludf.DUMMYFUNCTION("""COMPUTED_VALUE"""),"5KM OVERALL M")</f>
        <v>5KM OVERALL M</v>
      </c>
      <c r="E1850" s="1" t="str">
        <f>IFERROR(__xludf.DUMMYFUNCTION("""COMPUTED_VALUE"""),"DSQ")</f>
        <v>DSQ</v>
      </c>
      <c r="F1850" s="1" t="str">
        <f>IFERROR(__xludf.DUMMYFUNCTION("""COMPUTED_VALUE"""),"Male")</f>
        <v>Male</v>
      </c>
      <c r="G1850" s="5" t="str">
        <f>IFERROR(__xludf.DUMMYFUNCTION("""COMPUTED_VALUE"""),"")</f>
        <v/>
      </c>
      <c r="H1850" s="15">
        <f>IFERROR(__xludf.DUMMYFUNCTION("""COMPUTED_VALUE"""),0.2549440625)</f>
        <v>0.2549440625</v>
      </c>
      <c r="I1850" s="15" t="str">
        <f>IFERROR(__xludf.DUMMYFUNCTION("""COMPUTED_VALUE"""),"")</f>
        <v/>
      </c>
      <c r="J1850" s="15" t="str">
        <f>IFERROR(__xludf.DUMMYFUNCTION("""COMPUTED_VALUE"""),"")</f>
        <v/>
      </c>
      <c r="K1850" s="15" t="str">
        <f>IFERROR(__xludf.DUMMYFUNCTION("""COMPUTED_VALUE"""),"")</f>
        <v/>
      </c>
      <c r="L1850" s="4" t="str">
        <f>IFERROR(__xludf.DUMMYFUNCTION("""COMPUTED_VALUE"""),"")</f>
        <v/>
      </c>
    </row>
    <row r="1851">
      <c r="A1851" s="1" t="str">
        <f>IFERROR(__xludf.DUMMYFUNCTION("""COMPUTED_VALUE"""),"DSQ")</f>
        <v>DSQ</v>
      </c>
      <c r="B1851" s="1">
        <f>IFERROR(__xludf.DUMMYFUNCTION("""COMPUTED_VALUE"""),6513.0)</f>
        <v>6513</v>
      </c>
      <c r="C1851" s="2" t="str">
        <f>IFERROR(__xludf.DUMMYFUNCTION("""COMPUTED_VALUE"""),"MAN YAN HC KALIMANTAN")</f>
        <v>MAN YAN HC KALIMANTAN</v>
      </c>
      <c r="D1851" s="2" t="str">
        <f>IFERROR(__xludf.DUMMYFUNCTION("""COMPUTED_VALUE"""),"5KM OVERALL M")</f>
        <v>5KM OVERALL M</v>
      </c>
      <c r="E1851" s="1" t="str">
        <f>IFERROR(__xludf.DUMMYFUNCTION("""COMPUTED_VALUE"""),"DSQ")</f>
        <v>DSQ</v>
      </c>
      <c r="F1851" s="1" t="str">
        <f>IFERROR(__xludf.DUMMYFUNCTION("""COMPUTED_VALUE"""),"Male")</f>
        <v>Male</v>
      </c>
      <c r="G1851" s="5" t="str">
        <f>IFERROR(__xludf.DUMMYFUNCTION("""COMPUTED_VALUE"""),"")</f>
        <v/>
      </c>
      <c r="H1851" s="15">
        <f>IFERROR(__xludf.DUMMYFUNCTION("""COMPUTED_VALUE"""),0.2549440625)</f>
        <v>0.2549440625</v>
      </c>
      <c r="I1851" s="15" t="str">
        <f>IFERROR(__xludf.DUMMYFUNCTION("""COMPUTED_VALUE"""),"")</f>
        <v/>
      </c>
      <c r="J1851" s="15" t="str">
        <f>IFERROR(__xludf.DUMMYFUNCTION("""COMPUTED_VALUE"""),"")</f>
        <v/>
      </c>
      <c r="K1851" s="15" t="str">
        <f>IFERROR(__xludf.DUMMYFUNCTION("""COMPUTED_VALUE"""),"")</f>
        <v/>
      </c>
      <c r="L1851" s="4" t="str">
        <f>IFERROR(__xludf.DUMMYFUNCTION("""COMPUTED_VALUE"""),"")</f>
        <v/>
      </c>
    </row>
    <row r="1852">
      <c r="A1852" s="1" t="str">
        <f>IFERROR(__xludf.DUMMYFUNCTION("""COMPUTED_VALUE"""),"DSQ")</f>
        <v>DSQ</v>
      </c>
      <c r="B1852" s="1">
        <f>IFERROR(__xludf.DUMMYFUNCTION("""COMPUTED_VALUE"""),6514.0)</f>
        <v>6514</v>
      </c>
      <c r="C1852" s="2" t="str">
        <f>IFERROR(__xludf.DUMMYFUNCTION("""COMPUTED_VALUE"""),"MAN STI")</f>
        <v>MAN STI</v>
      </c>
      <c r="D1852" s="2" t="str">
        <f>IFERROR(__xludf.DUMMYFUNCTION("""COMPUTED_VALUE"""),"5KM OVERALL M")</f>
        <v>5KM OVERALL M</v>
      </c>
      <c r="E1852" s="1" t="str">
        <f>IFERROR(__xludf.DUMMYFUNCTION("""COMPUTED_VALUE"""),"DSQ")</f>
        <v>DSQ</v>
      </c>
      <c r="F1852" s="1" t="str">
        <f>IFERROR(__xludf.DUMMYFUNCTION("""COMPUTED_VALUE"""),"Male")</f>
        <v>Male</v>
      </c>
      <c r="G1852" s="5" t="str">
        <f>IFERROR(__xludf.DUMMYFUNCTION("""COMPUTED_VALUE"""),"")</f>
        <v/>
      </c>
      <c r="H1852" s="15">
        <f>IFERROR(__xludf.DUMMYFUNCTION("""COMPUTED_VALUE"""),0.2549440625)</f>
        <v>0.2549440625</v>
      </c>
      <c r="I1852" s="15" t="str">
        <f>IFERROR(__xludf.DUMMYFUNCTION("""COMPUTED_VALUE"""),"")</f>
        <v/>
      </c>
      <c r="J1852" s="15" t="str">
        <f>IFERROR(__xludf.DUMMYFUNCTION("""COMPUTED_VALUE"""),"")</f>
        <v/>
      </c>
      <c r="K1852" s="15" t="str">
        <f>IFERROR(__xludf.DUMMYFUNCTION("""COMPUTED_VALUE"""),"")</f>
        <v/>
      </c>
      <c r="L1852" s="4" t="str">
        <f>IFERROR(__xludf.DUMMYFUNCTION("""COMPUTED_VALUE"""),"")</f>
        <v/>
      </c>
    </row>
    <row r="1853">
      <c r="A1853" s="1" t="str">
        <f>IFERROR(__xludf.DUMMYFUNCTION("""COMPUTED_VALUE"""),"DSQ")</f>
        <v>DSQ</v>
      </c>
      <c r="B1853" s="1">
        <f>IFERROR(__xludf.DUMMYFUNCTION("""COMPUTED_VALUE"""),6515.0)</f>
        <v>6515</v>
      </c>
      <c r="C1853" s="2" t="str">
        <f>IFERROR(__xludf.DUMMYFUNCTION("""COMPUTED_VALUE"""),"MAN HK KALSEL")</f>
        <v>MAN HK KALSEL</v>
      </c>
      <c r="D1853" s="2" t="str">
        <f>IFERROR(__xludf.DUMMYFUNCTION("""COMPUTED_VALUE"""),"5KM OVERALL M")</f>
        <v>5KM OVERALL M</v>
      </c>
      <c r="E1853" s="1" t="str">
        <f>IFERROR(__xludf.DUMMYFUNCTION("""COMPUTED_VALUE"""),"DSQ")</f>
        <v>DSQ</v>
      </c>
      <c r="F1853" s="1" t="str">
        <f>IFERROR(__xludf.DUMMYFUNCTION("""COMPUTED_VALUE"""),"Male")</f>
        <v>Male</v>
      </c>
      <c r="G1853" s="5" t="str">
        <f>IFERROR(__xludf.DUMMYFUNCTION("""COMPUTED_VALUE"""),"")</f>
        <v/>
      </c>
      <c r="H1853" s="15">
        <f>IFERROR(__xludf.DUMMYFUNCTION("""COMPUTED_VALUE"""),0.2549440625)</f>
        <v>0.2549440625</v>
      </c>
      <c r="I1853" s="15" t="str">
        <f>IFERROR(__xludf.DUMMYFUNCTION("""COMPUTED_VALUE"""),"")</f>
        <v/>
      </c>
      <c r="J1853" s="15" t="str">
        <f>IFERROR(__xludf.DUMMYFUNCTION("""COMPUTED_VALUE"""),"")</f>
        <v/>
      </c>
      <c r="K1853" s="15" t="str">
        <f>IFERROR(__xludf.DUMMYFUNCTION("""COMPUTED_VALUE"""),"")</f>
        <v/>
      </c>
      <c r="L1853" s="4" t="str">
        <f>IFERROR(__xludf.DUMMYFUNCTION("""COMPUTED_VALUE"""),"")</f>
        <v/>
      </c>
    </row>
    <row r="1854">
      <c r="A1854" s="1" t="str">
        <f>IFERROR(__xludf.DUMMYFUNCTION("""COMPUTED_VALUE"""),"DSQ")</f>
        <v>DSQ</v>
      </c>
      <c r="B1854" s="1">
        <f>IFERROR(__xludf.DUMMYFUNCTION("""COMPUTED_VALUE"""),6516.0)</f>
        <v>6516</v>
      </c>
      <c r="C1854" s="2" t="str">
        <f>IFERROR(__xludf.DUMMYFUNCTION("""COMPUTED_VALUE"""),"MAN NP UP KALSELTENG")</f>
        <v>MAN NP UP KALSELTENG</v>
      </c>
      <c r="D1854" s="2" t="str">
        <f>IFERROR(__xludf.DUMMYFUNCTION("""COMPUTED_VALUE"""),"5KM OVERALL M")</f>
        <v>5KM OVERALL M</v>
      </c>
      <c r="E1854" s="1" t="str">
        <f>IFERROR(__xludf.DUMMYFUNCTION("""COMPUTED_VALUE"""),"DSQ")</f>
        <v>DSQ</v>
      </c>
      <c r="F1854" s="1" t="str">
        <f>IFERROR(__xludf.DUMMYFUNCTION("""COMPUTED_VALUE"""),"Male")</f>
        <v>Male</v>
      </c>
      <c r="G1854" s="5" t="str">
        <f>IFERROR(__xludf.DUMMYFUNCTION("""COMPUTED_VALUE"""),"")</f>
        <v/>
      </c>
      <c r="H1854" s="15">
        <f>IFERROR(__xludf.DUMMYFUNCTION("""COMPUTED_VALUE"""),0.2549440625)</f>
        <v>0.2549440625</v>
      </c>
      <c r="I1854" s="15" t="str">
        <f>IFERROR(__xludf.DUMMYFUNCTION("""COMPUTED_VALUE"""),"")</f>
        <v/>
      </c>
      <c r="J1854" s="15" t="str">
        <f>IFERROR(__xludf.DUMMYFUNCTION("""COMPUTED_VALUE"""),"")</f>
        <v/>
      </c>
      <c r="K1854" s="15" t="str">
        <f>IFERROR(__xludf.DUMMYFUNCTION("""COMPUTED_VALUE"""),"")</f>
        <v/>
      </c>
      <c r="L1854" s="4" t="str">
        <f>IFERROR(__xludf.DUMMYFUNCTION("""COMPUTED_VALUE"""),"")</f>
        <v/>
      </c>
    </row>
    <row r="1855">
      <c r="A1855" s="1" t="str">
        <f>IFERROR(__xludf.DUMMYFUNCTION("""COMPUTED_VALUE"""),"DSQ")</f>
        <v>DSQ</v>
      </c>
      <c r="B1855" s="1">
        <f>IFERROR(__xludf.DUMMYFUNCTION("""COMPUTED_VALUE"""),6518.0)</f>
        <v>6518</v>
      </c>
      <c r="C1855" s="2" t="str">
        <f>IFERROR(__xludf.DUMMYFUNCTION("""COMPUTED_VALUE"""),"MAN IP UBP BARITO")</f>
        <v>MAN IP UBP BARITO</v>
      </c>
      <c r="D1855" s="2" t="str">
        <f>IFERROR(__xludf.DUMMYFUNCTION("""COMPUTED_VALUE"""),"5KM OVERALL M")</f>
        <v>5KM OVERALL M</v>
      </c>
      <c r="E1855" s="1" t="str">
        <f>IFERROR(__xludf.DUMMYFUNCTION("""COMPUTED_VALUE"""),"DSQ")</f>
        <v>DSQ</v>
      </c>
      <c r="F1855" s="1" t="str">
        <f>IFERROR(__xludf.DUMMYFUNCTION("""COMPUTED_VALUE"""),"Male")</f>
        <v>Male</v>
      </c>
      <c r="G1855" s="5" t="str">
        <f>IFERROR(__xludf.DUMMYFUNCTION("""COMPUTED_VALUE"""),"")</f>
        <v/>
      </c>
      <c r="H1855" s="15">
        <f>IFERROR(__xludf.DUMMYFUNCTION("""COMPUTED_VALUE"""),0.2549440625)</f>
        <v>0.2549440625</v>
      </c>
      <c r="I1855" s="15" t="str">
        <f>IFERROR(__xludf.DUMMYFUNCTION("""COMPUTED_VALUE"""),"")</f>
        <v/>
      </c>
      <c r="J1855" s="15" t="str">
        <f>IFERROR(__xludf.DUMMYFUNCTION("""COMPUTED_VALUE"""),"")</f>
        <v/>
      </c>
      <c r="K1855" s="15" t="str">
        <f>IFERROR(__xludf.DUMMYFUNCTION("""COMPUTED_VALUE"""),"")</f>
        <v/>
      </c>
      <c r="L1855" s="4" t="str">
        <f>IFERROR(__xludf.DUMMYFUNCTION("""COMPUTED_VALUE"""),"")</f>
        <v/>
      </c>
    </row>
    <row r="1856">
      <c r="A1856" s="1" t="str">
        <f>IFERROR(__xludf.DUMMYFUNCTION("""COMPUTED_VALUE"""),"DSQ")</f>
        <v>DSQ</v>
      </c>
      <c r="B1856" s="1">
        <f>IFERROR(__xludf.DUMMYFUNCTION("""COMPUTED_VALUE"""),6519.0)</f>
        <v>6519</v>
      </c>
      <c r="C1856" s="2" t="str">
        <f>IFERROR(__xludf.DUMMYFUNCTION("""COMPUTED_VALUE"""),"MAN IP UBP ASAM ASAM")</f>
        <v>MAN IP UBP ASAM ASAM</v>
      </c>
      <c r="D1856" s="2" t="str">
        <f>IFERROR(__xludf.DUMMYFUNCTION("""COMPUTED_VALUE"""),"5KM OVERALL M")</f>
        <v>5KM OVERALL M</v>
      </c>
      <c r="E1856" s="1" t="str">
        <f>IFERROR(__xludf.DUMMYFUNCTION("""COMPUTED_VALUE"""),"DSQ")</f>
        <v>DSQ</v>
      </c>
      <c r="F1856" s="1" t="str">
        <f>IFERROR(__xludf.DUMMYFUNCTION("""COMPUTED_VALUE"""),"Male")</f>
        <v>Male</v>
      </c>
      <c r="G1856" s="5" t="str">
        <f>IFERROR(__xludf.DUMMYFUNCTION("""COMPUTED_VALUE"""),"")</f>
        <v/>
      </c>
      <c r="H1856" s="15">
        <f>IFERROR(__xludf.DUMMYFUNCTION("""COMPUTED_VALUE"""),0.2549440625)</f>
        <v>0.2549440625</v>
      </c>
      <c r="I1856" s="15" t="str">
        <f>IFERROR(__xludf.DUMMYFUNCTION("""COMPUTED_VALUE"""),"")</f>
        <v/>
      </c>
      <c r="J1856" s="15" t="str">
        <f>IFERROR(__xludf.DUMMYFUNCTION("""COMPUTED_VALUE"""),"")</f>
        <v/>
      </c>
      <c r="K1856" s="15" t="str">
        <f>IFERROR(__xludf.DUMMYFUNCTION("""COMPUTED_VALUE"""),"")</f>
        <v/>
      </c>
      <c r="L1856" s="4" t="str">
        <f>IFERROR(__xludf.DUMMYFUNCTION("""COMPUTED_VALUE"""),"")</f>
        <v/>
      </c>
    </row>
    <row r="1857">
      <c r="A1857" s="1" t="str">
        <f>IFERROR(__xludf.DUMMYFUNCTION("""COMPUTED_VALUE"""),"DSQ")</f>
        <v>DSQ</v>
      </c>
      <c r="B1857" s="1">
        <f>IFERROR(__xludf.DUMMYFUNCTION("""COMPUTED_VALUE"""),6521.0)</f>
        <v>6521</v>
      </c>
      <c r="C1857" s="2" t="str">
        <f>IFERROR(__xludf.DUMMYFUNCTION("""COMPUTED_VALUE"""),"MAN ICON PLUS KALSEL")</f>
        <v>MAN ICON PLUS KALSEL</v>
      </c>
      <c r="D1857" s="2" t="str">
        <f>IFERROR(__xludf.DUMMYFUNCTION("""COMPUTED_VALUE"""),"5KM OVERALL M")</f>
        <v>5KM OVERALL M</v>
      </c>
      <c r="E1857" s="1" t="str">
        <f>IFERROR(__xludf.DUMMYFUNCTION("""COMPUTED_VALUE"""),"DSQ")</f>
        <v>DSQ</v>
      </c>
      <c r="F1857" s="1" t="str">
        <f>IFERROR(__xludf.DUMMYFUNCTION("""COMPUTED_VALUE"""),"Male")</f>
        <v>Male</v>
      </c>
      <c r="G1857" s="5" t="str">
        <f>IFERROR(__xludf.DUMMYFUNCTION("""COMPUTED_VALUE"""),"")</f>
        <v/>
      </c>
      <c r="H1857" s="15">
        <f>IFERROR(__xludf.DUMMYFUNCTION("""COMPUTED_VALUE"""),0.2549440625)</f>
        <v>0.2549440625</v>
      </c>
      <c r="I1857" s="15" t="str">
        <f>IFERROR(__xludf.DUMMYFUNCTION("""COMPUTED_VALUE"""),"")</f>
        <v/>
      </c>
      <c r="J1857" s="15" t="str">
        <f>IFERROR(__xludf.DUMMYFUNCTION("""COMPUTED_VALUE"""),"")</f>
        <v/>
      </c>
      <c r="K1857" s="15" t="str">
        <f>IFERROR(__xludf.DUMMYFUNCTION("""COMPUTED_VALUE"""),"")</f>
        <v/>
      </c>
      <c r="L1857" s="4" t="str">
        <f>IFERROR(__xludf.DUMMYFUNCTION("""COMPUTED_VALUE"""),"")</f>
        <v/>
      </c>
    </row>
    <row r="1858">
      <c r="A1858" s="1" t="str">
        <f>IFERROR(__xludf.DUMMYFUNCTION("""COMPUTED_VALUE"""),"DSQ")</f>
        <v>DSQ</v>
      </c>
      <c r="B1858" s="1">
        <f>IFERROR(__xludf.DUMMYFUNCTION("""COMPUTED_VALUE"""),6522.0)</f>
        <v>6522</v>
      </c>
      <c r="C1858" s="2" t="str">
        <f>IFERROR(__xludf.DUMMYFUNCTION("""COMPUTED_VALUE"""),"MAN UPT BANJARBARU")</f>
        <v>MAN UPT BANJARBARU</v>
      </c>
      <c r="D1858" s="2" t="str">
        <f>IFERROR(__xludf.DUMMYFUNCTION("""COMPUTED_VALUE"""),"5KM OVERALL M")</f>
        <v>5KM OVERALL M</v>
      </c>
      <c r="E1858" s="1" t="str">
        <f>IFERROR(__xludf.DUMMYFUNCTION("""COMPUTED_VALUE"""),"DSQ")</f>
        <v>DSQ</v>
      </c>
      <c r="F1858" s="1" t="str">
        <f>IFERROR(__xludf.DUMMYFUNCTION("""COMPUTED_VALUE"""),"Male")</f>
        <v>Male</v>
      </c>
      <c r="G1858" s="5" t="str">
        <f>IFERROR(__xludf.DUMMYFUNCTION("""COMPUTED_VALUE"""),"")</f>
        <v/>
      </c>
      <c r="H1858" s="15">
        <f>IFERROR(__xludf.DUMMYFUNCTION("""COMPUTED_VALUE"""),0.2549440625)</f>
        <v>0.2549440625</v>
      </c>
      <c r="I1858" s="15" t="str">
        <f>IFERROR(__xludf.DUMMYFUNCTION("""COMPUTED_VALUE"""),"")</f>
        <v/>
      </c>
      <c r="J1858" s="15" t="str">
        <f>IFERROR(__xludf.DUMMYFUNCTION("""COMPUTED_VALUE"""),"")</f>
        <v/>
      </c>
      <c r="K1858" s="15" t="str">
        <f>IFERROR(__xludf.DUMMYFUNCTION("""COMPUTED_VALUE"""),"")</f>
        <v/>
      </c>
      <c r="L1858" s="4" t="str">
        <f>IFERROR(__xludf.DUMMYFUNCTION("""COMPUTED_VALUE"""),"")</f>
        <v/>
      </c>
    </row>
    <row r="1859">
      <c r="A1859" s="1" t="str">
        <f>IFERROR(__xludf.DUMMYFUNCTION("""COMPUTED_VALUE"""),"DSQ")</f>
        <v>DSQ</v>
      </c>
      <c r="B1859" s="1">
        <f>IFERROR(__xludf.DUMMYFUNCTION("""COMPUTED_VALUE"""),6524.0)</f>
        <v>6524</v>
      </c>
      <c r="C1859" s="2" t="str">
        <f>IFERROR(__xludf.DUMMYFUNCTION("""COMPUTED_VALUE"""),"MEDIA")</f>
        <v>MEDIA</v>
      </c>
      <c r="D1859" s="2" t="str">
        <f>IFERROR(__xludf.DUMMYFUNCTION("""COMPUTED_VALUE"""),"5KM OVERALL M")</f>
        <v>5KM OVERALL M</v>
      </c>
      <c r="E1859" s="1" t="str">
        <f>IFERROR(__xludf.DUMMYFUNCTION("""COMPUTED_VALUE"""),"DSQ")</f>
        <v>DSQ</v>
      </c>
      <c r="F1859" s="1" t="str">
        <f>IFERROR(__xludf.DUMMYFUNCTION("""COMPUTED_VALUE"""),"Male")</f>
        <v>Male</v>
      </c>
      <c r="G1859" s="5" t="str">
        <f>IFERROR(__xludf.DUMMYFUNCTION("""COMPUTED_VALUE"""),"")</f>
        <v/>
      </c>
      <c r="H1859" s="15">
        <f>IFERROR(__xludf.DUMMYFUNCTION("""COMPUTED_VALUE"""),0.2549440625)</f>
        <v>0.2549440625</v>
      </c>
      <c r="I1859" s="15" t="str">
        <f>IFERROR(__xludf.DUMMYFUNCTION("""COMPUTED_VALUE"""),"")</f>
        <v/>
      </c>
      <c r="J1859" s="15" t="str">
        <f>IFERROR(__xludf.DUMMYFUNCTION("""COMPUTED_VALUE"""),"")</f>
        <v/>
      </c>
      <c r="K1859" s="15" t="str">
        <f>IFERROR(__xludf.DUMMYFUNCTION("""COMPUTED_VALUE"""),"")</f>
        <v/>
      </c>
      <c r="L1859" s="4" t="str">
        <f>IFERROR(__xludf.DUMMYFUNCTION("""COMPUTED_VALUE"""),"")</f>
        <v/>
      </c>
    </row>
    <row r="1860">
      <c r="A1860" s="1" t="str">
        <f>IFERROR(__xludf.DUMMYFUNCTION("""COMPUTED_VALUE"""),"DSQ")</f>
        <v>DSQ</v>
      </c>
      <c r="B1860" s="1">
        <f>IFERROR(__xludf.DUMMYFUNCTION("""COMPUTED_VALUE"""),6527.0)</f>
        <v>6527</v>
      </c>
      <c r="C1860" s="2" t="str">
        <f>IFERROR(__xludf.DUMMYFUNCTION("""COMPUTED_VALUE"""),"MEDIA")</f>
        <v>MEDIA</v>
      </c>
      <c r="D1860" s="2" t="str">
        <f>IFERROR(__xludf.DUMMYFUNCTION("""COMPUTED_VALUE"""),"5KM OVERALL M")</f>
        <v>5KM OVERALL M</v>
      </c>
      <c r="E1860" s="1" t="str">
        <f>IFERROR(__xludf.DUMMYFUNCTION("""COMPUTED_VALUE"""),"DSQ")</f>
        <v>DSQ</v>
      </c>
      <c r="F1860" s="1" t="str">
        <f>IFERROR(__xludf.DUMMYFUNCTION("""COMPUTED_VALUE"""),"Male")</f>
        <v>Male</v>
      </c>
      <c r="G1860" s="5" t="str">
        <f>IFERROR(__xludf.DUMMYFUNCTION("""COMPUTED_VALUE"""),"")</f>
        <v/>
      </c>
      <c r="H1860" s="15">
        <f>IFERROR(__xludf.DUMMYFUNCTION("""COMPUTED_VALUE"""),0.2549440625)</f>
        <v>0.2549440625</v>
      </c>
      <c r="I1860" s="15" t="str">
        <f>IFERROR(__xludf.DUMMYFUNCTION("""COMPUTED_VALUE"""),"")</f>
        <v/>
      </c>
      <c r="J1860" s="15" t="str">
        <f>IFERROR(__xludf.DUMMYFUNCTION("""COMPUTED_VALUE"""),"")</f>
        <v/>
      </c>
      <c r="K1860" s="15" t="str">
        <f>IFERROR(__xludf.DUMMYFUNCTION("""COMPUTED_VALUE"""),"")</f>
        <v/>
      </c>
      <c r="L1860" s="4" t="str">
        <f>IFERROR(__xludf.DUMMYFUNCTION("""COMPUTED_VALUE"""),"")</f>
        <v/>
      </c>
    </row>
    <row r="1861">
      <c r="A1861" s="1" t="str">
        <f>IFERROR(__xludf.DUMMYFUNCTION("""COMPUTED_VALUE"""),"DSQ")</f>
        <v>DSQ</v>
      </c>
      <c r="B1861" s="1">
        <f>IFERROR(__xludf.DUMMYFUNCTION("""COMPUTED_VALUE"""),6528.0)</f>
        <v>6528</v>
      </c>
      <c r="C1861" s="2" t="str">
        <f>IFERROR(__xludf.DUMMYFUNCTION("""COMPUTED_VALUE"""),"MEDIA")</f>
        <v>MEDIA</v>
      </c>
      <c r="D1861" s="2" t="str">
        <f>IFERROR(__xludf.DUMMYFUNCTION("""COMPUTED_VALUE"""),"5KM OVERALL M")</f>
        <v>5KM OVERALL M</v>
      </c>
      <c r="E1861" s="1" t="str">
        <f>IFERROR(__xludf.DUMMYFUNCTION("""COMPUTED_VALUE"""),"DSQ")</f>
        <v>DSQ</v>
      </c>
      <c r="F1861" s="1" t="str">
        <f>IFERROR(__xludf.DUMMYFUNCTION("""COMPUTED_VALUE"""),"Male")</f>
        <v>Male</v>
      </c>
      <c r="G1861" s="5" t="str">
        <f>IFERROR(__xludf.DUMMYFUNCTION("""COMPUTED_VALUE"""),"")</f>
        <v/>
      </c>
      <c r="H1861" s="15">
        <f>IFERROR(__xludf.DUMMYFUNCTION("""COMPUTED_VALUE"""),0.2549440625)</f>
        <v>0.2549440625</v>
      </c>
      <c r="I1861" s="15" t="str">
        <f>IFERROR(__xludf.DUMMYFUNCTION("""COMPUTED_VALUE"""),"")</f>
        <v/>
      </c>
      <c r="J1861" s="15" t="str">
        <f>IFERROR(__xludf.DUMMYFUNCTION("""COMPUTED_VALUE"""),"")</f>
        <v/>
      </c>
      <c r="K1861" s="15" t="str">
        <f>IFERROR(__xludf.DUMMYFUNCTION("""COMPUTED_VALUE"""),"")</f>
        <v/>
      </c>
      <c r="L1861" s="4" t="str">
        <f>IFERROR(__xludf.DUMMYFUNCTION("""COMPUTED_VALUE"""),"")</f>
        <v/>
      </c>
    </row>
    <row r="1862">
      <c r="A1862" s="1" t="str">
        <f>IFERROR(__xludf.DUMMYFUNCTION("""COMPUTED_VALUE"""),"DSQ")</f>
        <v>DSQ</v>
      </c>
      <c r="B1862" s="1">
        <f>IFERROR(__xludf.DUMMYFUNCTION("""COMPUTED_VALUE"""),6533.0)</f>
        <v>6533</v>
      </c>
      <c r="C1862" s="2" t="str">
        <f>IFERROR(__xludf.DUMMYFUNCTION("""COMPUTED_VALUE"""),"TEGUH WASISTO")</f>
        <v>TEGUH WASISTO</v>
      </c>
      <c r="D1862" s="2" t="str">
        <f>IFERROR(__xludf.DUMMYFUNCTION("""COMPUTED_VALUE"""),"5KM OVERALL M")</f>
        <v>5KM OVERALL M</v>
      </c>
      <c r="E1862" s="1" t="str">
        <f>IFERROR(__xludf.DUMMYFUNCTION("""COMPUTED_VALUE"""),"DSQ")</f>
        <v>DSQ</v>
      </c>
      <c r="F1862" s="1" t="str">
        <f>IFERROR(__xludf.DUMMYFUNCTION("""COMPUTED_VALUE"""),"Male")</f>
        <v>Male</v>
      </c>
      <c r="G1862" s="5" t="str">
        <f>IFERROR(__xludf.DUMMYFUNCTION("""COMPUTED_VALUE"""),"")</f>
        <v/>
      </c>
      <c r="H1862" s="15">
        <f>IFERROR(__xludf.DUMMYFUNCTION("""COMPUTED_VALUE"""),0.2549440625)</f>
        <v>0.2549440625</v>
      </c>
      <c r="I1862" s="15" t="str">
        <f>IFERROR(__xludf.DUMMYFUNCTION("""COMPUTED_VALUE"""),"")</f>
        <v/>
      </c>
      <c r="J1862" s="15" t="str">
        <f>IFERROR(__xludf.DUMMYFUNCTION("""COMPUTED_VALUE"""),"")</f>
        <v/>
      </c>
      <c r="K1862" s="15" t="str">
        <f>IFERROR(__xludf.DUMMYFUNCTION("""COMPUTED_VALUE"""),"")</f>
        <v/>
      </c>
      <c r="L1862" s="4" t="str">
        <f>IFERROR(__xludf.DUMMYFUNCTION("""COMPUTED_VALUE"""),"")</f>
        <v/>
      </c>
    </row>
    <row r="1863">
      <c r="A1863" s="1" t="str">
        <f>IFERROR(__xludf.DUMMYFUNCTION("""COMPUTED_VALUE"""),"DSQ")</f>
        <v>DSQ</v>
      </c>
      <c r="B1863" s="1">
        <f>IFERROR(__xludf.DUMMYFUNCTION("""COMPUTED_VALUE"""),6549.0)</f>
        <v>6549</v>
      </c>
      <c r="C1863" s="2" t="str">
        <f>IFERROR(__xludf.DUMMYFUNCTION("""COMPUTED_VALUE"""),"PUTRA FAJAR")</f>
        <v>PUTRA FAJAR</v>
      </c>
      <c r="D1863" s="2" t="str">
        <f>IFERROR(__xludf.DUMMYFUNCTION("""COMPUTED_VALUE"""),"5KM OVERALL M")</f>
        <v>5KM OVERALL M</v>
      </c>
      <c r="E1863" s="1" t="str">
        <f>IFERROR(__xludf.DUMMYFUNCTION("""COMPUTED_VALUE"""),"DSQ")</f>
        <v>DSQ</v>
      </c>
      <c r="F1863" s="1" t="str">
        <f>IFERROR(__xludf.DUMMYFUNCTION("""COMPUTED_VALUE"""),"Male")</f>
        <v>Male</v>
      </c>
      <c r="G1863" s="5" t="str">
        <f>IFERROR(__xludf.DUMMYFUNCTION("""COMPUTED_VALUE"""),"")</f>
        <v/>
      </c>
      <c r="H1863" s="15">
        <f>IFERROR(__xludf.DUMMYFUNCTION("""COMPUTED_VALUE"""),0.2549440625)</f>
        <v>0.2549440625</v>
      </c>
      <c r="I1863" s="15" t="str">
        <f>IFERROR(__xludf.DUMMYFUNCTION("""COMPUTED_VALUE"""),"")</f>
        <v/>
      </c>
      <c r="J1863" s="15" t="str">
        <f>IFERROR(__xludf.DUMMYFUNCTION("""COMPUTED_VALUE"""),"")</f>
        <v/>
      </c>
      <c r="K1863" s="15" t="str">
        <f>IFERROR(__xludf.DUMMYFUNCTION("""COMPUTED_VALUE"""),"")</f>
        <v/>
      </c>
      <c r="L1863" s="4" t="str">
        <f>IFERROR(__xludf.DUMMYFUNCTION("""COMPUTED_VALUE"""),"")</f>
        <v/>
      </c>
    </row>
    <row r="1864">
      <c r="A1864" s="1" t="str">
        <f>IFERROR(__xludf.DUMMYFUNCTION("""COMPUTED_VALUE"""),"DSQ")</f>
        <v>DSQ</v>
      </c>
      <c r="B1864" s="1">
        <f>IFERROR(__xludf.DUMMYFUNCTION("""COMPUTED_VALUE"""),6550.0)</f>
        <v>6550</v>
      </c>
      <c r="C1864" s="2" t="str">
        <f>IFERROR(__xludf.DUMMYFUNCTION("""COMPUTED_VALUE"""),"BONDAN AJA")</f>
        <v>BONDAN AJA</v>
      </c>
      <c r="D1864" s="2" t="str">
        <f>IFERROR(__xludf.DUMMYFUNCTION("""COMPUTED_VALUE"""),"5KM OVERALL M")</f>
        <v>5KM OVERALL M</v>
      </c>
      <c r="E1864" s="1" t="str">
        <f>IFERROR(__xludf.DUMMYFUNCTION("""COMPUTED_VALUE"""),"DSQ")</f>
        <v>DSQ</v>
      </c>
      <c r="F1864" s="1" t="str">
        <f>IFERROR(__xludf.DUMMYFUNCTION("""COMPUTED_VALUE"""),"Male")</f>
        <v>Male</v>
      </c>
      <c r="G1864" s="5" t="str">
        <f>IFERROR(__xludf.DUMMYFUNCTION("""COMPUTED_VALUE"""),"")</f>
        <v/>
      </c>
      <c r="H1864" s="15">
        <f>IFERROR(__xludf.DUMMYFUNCTION("""COMPUTED_VALUE"""),0.2549440625)</f>
        <v>0.2549440625</v>
      </c>
      <c r="I1864" s="15" t="str">
        <f>IFERROR(__xludf.DUMMYFUNCTION("""COMPUTED_VALUE"""),"")</f>
        <v/>
      </c>
      <c r="J1864" s="15" t="str">
        <f>IFERROR(__xludf.DUMMYFUNCTION("""COMPUTED_VALUE"""),"")</f>
        <v/>
      </c>
      <c r="K1864" s="15" t="str">
        <f>IFERROR(__xludf.DUMMYFUNCTION("""COMPUTED_VALUE"""),"")</f>
        <v/>
      </c>
      <c r="L1864" s="4" t="str">
        <f>IFERROR(__xludf.DUMMYFUNCTION("""COMPUTED_VALUE"""),"")</f>
        <v/>
      </c>
    </row>
    <row r="1865">
      <c r="A1865" s="1" t="str">
        <f>IFERROR(__xludf.DUMMYFUNCTION("""COMPUTED_VALUE"""),"DSQ")</f>
        <v>DSQ</v>
      </c>
      <c r="B1865" s="1">
        <f>IFERROR(__xludf.DUMMYFUNCTION("""COMPUTED_VALUE"""),6579.0)</f>
        <v>6579</v>
      </c>
      <c r="C1865" s="2" t="str">
        <f>IFERROR(__xludf.DUMMYFUNCTION("""COMPUTED_VALUE"""),"Tony")</f>
        <v>Tony</v>
      </c>
      <c r="D1865" s="2" t="str">
        <f>IFERROR(__xludf.DUMMYFUNCTION("""COMPUTED_VALUE"""),"5KM OVERALL M")</f>
        <v>5KM OVERALL M</v>
      </c>
      <c r="E1865" s="1" t="str">
        <f>IFERROR(__xludf.DUMMYFUNCTION("""COMPUTED_VALUE"""),"DSQ")</f>
        <v>DSQ</v>
      </c>
      <c r="F1865" s="1" t="str">
        <f>IFERROR(__xludf.DUMMYFUNCTION("""COMPUTED_VALUE"""),"Male")</f>
        <v>Male</v>
      </c>
      <c r="G1865" s="5">
        <f>IFERROR(__xludf.DUMMYFUNCTION("""COMPUTED_VALUE"""),0.00887469675925926)</f>
        <v>0.008874696759</v>
      </c>
      <c r="H1865" s="15">
        <f>IFERROR(__xludf.DUMMYFUNCTION("""COMPUTED_VALUE"""),0.2549440625)</f>
        <v>0.2549440625</v>
      </c>
      <c r="I1865" s="15">
        <f>IFERROR(__xludf.DUMMYFUNCTION("""COMPUTED_VALUE"""),45949.29931754172)</f>
        <v>45949.29932</v>
      </c>
      <c r="J1865" s="15">
        <f>IFERROR(__xludf.DUMMYFUNCTION("""COMPUTED_VALUE"""),45949.04437347922)</f>
        <v>45949.04437</v>
      </c>
      <c r="K1865" s="15">
        <f>IFERROR(__xludf.DUMMYFUNCTION("""COMPUTED_VALUE"""),45949.28190516833)</f>
        <v>45949.28191</v>
      </c>
      <c r="L1865" s="4"/>
    </row>
    <row r="1866">
      <c r="A1866" s="1" t="str">
        <f>IFERROR(__xludf.DUMMYFUNCTION("""COMPUTED_VALUE"""),"DSQ")</f>
        <v>DSQ</v>
      </c>
      <c r="B1866" s="7" t="str">
        <f>IFERROR(__xludf.DUMMYFUNCTION("""COMPUTED_VALUE"""),"9018")</f>
        <v>9018</v>
      </c>
      <c r="C1866" s="8" t="str">
        <f>IFERROR(__xludf.DUMMYFUNCTION("""COMPUTED_VALUE"""),"RENNY HASLINDA")</f>
        <v>RENNY HASLINDA</v>
      </c>
      <c r="D1866" s="2" t="str">
        <f>IFERROR(__xludf.DUMMYFUNCTION("""COMPUTED_VALUE"""),"5KM STUDENT F")</f>
        <v>5KM STUDENT F</v>
      </c>
      <c r="E1866" s="1" t="str">
        <f>IFERROR(__xludf.DUMMYFUNCTION("""COMPUTED_VALUE"""),"DSQ")</f>
        <v>DSQ</v>
      </c>
      <c r="F1866" s="1" t="str">
        <f>IFERROR(__xludf.DUMMYFUNCTION("""COMPUTED_VALUE"""),"Female")</f>
        <v>Female</v>
      </c>
      <c r="G1866" s="5" t="str">
        <f>IFERROR(__xludf.DUMMYFUNCTION("""COMPUTED_VALUE"""),"")</f>
        <v/>
      </c>
      <c r="H1866" s="15">
        <f>IFERROR(__xludf.DUMMYFUNCTION("""COMPUTED_VALUE"""),0.2549440625)</f>
        <v>0.2549440625</v>
      </c>
      <c r="I1866" s="15" t="str">
        <f>IFERROR(__xludf.DUMMYFUNCTION("""COMPUTED_VALUE"""),"")</f>
        <v/>
      </c>
      <c r="J1866" s="15" t="str">
        <f>IFERROR(__xludf.DUMMYFUNCTION("""COMPUTED_VALUE"""),"")</f>
        <v/>
      </c>
      <c r="K1866" s="15" t="str">
        <f>IFERROR(__xludf.DUMMYFUNCTION("""COMPUTED_VALUE"""),"")</f>
        <v/>
      </c>
      <c r="L1866" s="4" t="str">
        <f>IFERROR(__xludf.DUMMYFUNCTION("""COMPUTED_VALUE"""),"")</f>
        <v/>
      </c>
    </row>
    <row r="1867">
      <c r="A1867" s="1" t="str">
        <f>IFERROR(__xludf.DUMMYFUNCTION("""COMPUTED_VALUE"""),"DSQ")</f>
        <v>DSQ</v>
      </c>
      <c r="B1867" s="7" t="str">
        <f>IFERROR(__xludf.DUMMYFUNCTION("""COMPUTED_VALUE"""),"9077")</f>
        <v>9077</v>
      </c>
      <c r="C1867" s="8" t="str">
        <f>IFERROR(__xludf.DUMMYFUNCTION("""COMPUTED_VALUE"""),"ANINDRA")</f>
        <v>ANINDRA</v>
      </c>
      <c r="D1867" s="2" t="str">
        <f>IFERROR(__xludf.DUMMYFUNCTION("""COMPUTED_VALUE"""),"5KM STUDENT F")</f>
        <v>5KM STUDENT F</v>
      </c>
      <c r="E1867" s="1" t="str">
        <f>IFERROR(__xludf.DUMMYFUNCTION("""COMPUTED_VALUE"""),"DSQ")</f>
        <v>DSQ</v>
      </c>
      <c r="F1867" s="1" t="str">
        <f>IFERROR(__xludf.DUMMYFUNCTION("""COMPUTED_VALUE"""),"Female")</f>
        <v>Female</v>
      </c>
      <c r="G1867" s="5">
        <f>IFERROR(__xludf.DUMMYFUNCTION("""COMPUTED_VALUE"""),0.006889277777777777)</f>
        <v>0.006889277778</v>
      </c>
      <c r="H1867" s="15">
        <f>IFERROR(__xludf.DUMMYFUNCTION("""COMPUTED_VALUE"""),0.2549440625)</f>
        <v>0.2549440625</v>
      </c>
      <c r="I1867" s="15">
        <f>IFERROR(__xludf.DUMMYFUNCTION("""COMPUTED_VALUE"""),45949.28939045384)</f>
        <v>45949.28939</v>
      </c>
      <c r="J1867" s="15">
        <f>IFERROR(__xludf.DUMMYFUNCTION("""COMPUTED_VALUE"""),45949.03444639134)</f>
        <v>45949.03445</v>
      </c>
      <c r="K1867" s="15" t="str">
        <f>IFERROR(__xludf.DUMMYFUNCTION("""COMPUTED_VALUE"""),"")</f>
        <v/>
      </c>
      <c r="L1867" s="4" t="str">
        <f>IFERROR(__xludf.DUMMYFUNCTION("""COMPUTED_VALUE"""),"")</f>
        <v/>
      </c>
    </row>
    <row r="1868">
      <c r="A1868" s="1" t="str">
        <f>IFERROR(__xludf.DUMMYFUNCTION("""COMPUTED_VALUE"""),"DSQ")</f>
        <v>DSQ</v>
      </c>
      <c r="B1868" s="7" t="str">
        <f>IFERROR(__xludf.DUMMYFUNCTION("""COMPUTED_VALUE"""),"9079")</f>
        <v>9079</v>
      </c>
      <c r="C1868" s="8" t="str">
        <f>IFERROR(__xludf.DUMMYFUNCTION("""COMPUTED_VALUE"""),"Nagita Aliya")</f>
        <v>Nagita Aliya</v>
      </c>
      <c r="D1868" s="2" t="str">
        <f>IFERROR(__xludf.DUMMYFUNCTION("""COMPUTED_VALUE"""),"5KM STUDENT F")</f>
        <v>5KM STUDENT F</v>
      </c>
      <c r="E1868" s="1" t="str">
        <f>IFERROR(__xludf.DUMMYFUNCTION("""COMPUTED_VALUE"""),"DSQ")</f>
        <v>DSQ</v>
      </c>
      <c r="F1868" s="1" t="str">
        <f>IFERROR(__xludf.DUMMYFUNCTION("""COMPUTED_VALUE"""),"Female")</f>
        <v>Female</v>
      </c>
      <c r="G1868" s="5" t="str">
        <f>IFERROR(__xludf.DUMMYFUNCTION("""COMPUTED_VALUE"""),"")</f>
        <v/>
      </c>
      <c r="H1868" s="15">
        <f>IFERROR(__xludf.DUMMYFUNCTION("""COMPUTED_VALUE"""),0.2549440625)</f>
        <v>0.2549440625</v>
      </c>
      <c r="I1868" s="15" t="str">
        <f>IFERROR(__xludf.DUMMYFUNCTION("""COMPUTED_VALUE"""),"")</f>
        <v/>
      </c>
      <c r="J1868" s="15" t="str">
        <f>IFERROR(__xludf.DUMMYFUNCTION("""COMPUTED_VALUE"""),"")</f>
        <v/>
      </c>
      <c r="K1868" s="15" t="str">
        <f>IFERROR(__xludf.DUMMYFUNCTION("""COMPUTED_VALUE"""),"")</f>
        <v/>
      </c>
      <c r="L1868" s="4" t="str">
        <f>IFERROR(__xludf.DUMMYFUNCTION("""COMPUTED_VALUE"""),"")</f>
        <v/>
      </c>
    </row>
    <row r="1869">
      <c r="A1869" s="1" t="str">
        <f>IFERROR(__xludf.DUMMYFUNCTION("""COMPUTED_VALUE"""),"DSQ")</f>
        <v>DSQ</v>
      </c>
      <c r="B1869" s="7" t="str">
        <f>IFERROR(__xludf.DUMMYFUNCTION("""COMPUTED_VALUE"""),"9009")</f>
        <v>9009</v>
      </c>
      <c r="C1869" s="8" t="str">
        <f>IFERROR(__xludf.DUMMYFUNCTION("""COMPUTED_VALUE"""),"ubai")</f>
        <v>ubai</v>
      </c>
      <c r="D1869" s="2" t="str">
        <f>IFERROR(__xludf.DUMMYFUNCTION("""COMPUTED_VALUE"""),"5KM STUDENT M")</f>
        <v>5KM STUDENT M</v>
      </c>
      <c r="E1869" s="1" t="str">
        <f>IFERROR(__xludf.DUMMYFUNCTION("""COMPUTED_VALUE"""),"DSQ")</f>
        <v>DSQ</v>
      </c>
      <c r="F1869" s="1" t="str">
        <f>IFERROR(__xludf.DUMMYFUNCTION("""COMPUTED_VALUE"""),"Male")</f>
        <v>Male</v>
      </c>
      <c r="G1869" s="5" t="str">
        <f>IFERROR(__xludf.DUMMYFUNCTION("""COMPUTED_VALUE"""),"")</f>
        <v/>
      </c>
      <c r="H1869" s="15">
        <f>IFERROR(__xludf.DUMMYFUNCTION("""COMPUTED_VALUE"""),0.2549440625)</f>
        <v>0.2549440625</v>
      </c>
      <c r="I1869" s="15" t="str">
        <f>IFERROR(__xludf.DUMMYFUNCTION("""COMPUTED_VALUE"""),"")</f>
        <v/>
      </c>
      <c r="J1869" s="15" t="str">
        <f>IFERROR(__xludf.DUMMYFUNCTION("""COMPUTED_VALUE"""),"")</f>
        <v/>
      </c>
      <c r="K1869" s="15" t="str">
        <f>IFERROR(__xludf.DUMMYFUNCTION("""COMPUTED_VALUE"""),"")</f>
        <v/>
      </c>
      <c r="L1869" s="4" t="str">
        <f>IFERROR(__xludf.DUMMYFUNCTION("""COMPUTED_VALUE"""),"")</f>
        <v/>
      </c>
    </row>
    <row r="1870">
      <c r="A1870" s="1" t="str">
        <f>IFERROR(__xludf.DUMMYFUNCTION("""COMPUTED_VALUE"""),"DSQ")</f>
        <v>DSQ</v>
      </c>
      <c r="B1870" s="7" t="str">
        <f>IFERROR(__xludf.DUMMYFUNCTION("""COMPUTED_VALUE"""),"9017")</f>
        <v>9017</v>
      </c>
      <c r="C1870" s="8" t="str">
        <f>IFERROR(__xludf.DUMMYFUNCTION("""COMPUTED_VALUE"""),"Dimas Al fariji")</f>
        <v>Dimas Al fariji</v>
      </c>
      <c r="D1870" s="2" t="str">
        <f>IFERROR(__xludf.DUMMYFUNCTION("""COMPUTED_VALUE"""),"5KM STUDENT M")</f>
        <v>5KM STUDENT M</v>
      </c>
      <c r="E1870" s="1" t="str">
        <f>IFERROR(__xludf.DUMMYFUNCTION("""COMPUTED_VALUE"""),"DSQ")</f>
        <v>DSQ</v>
      </c>
      <c r="F1870" s="1" t="str">
        <f>IFERROR(__xludf.DUMMYFUNCTION("""COMPUTED_VALUE"""),"Male")</f>
        <v>Male</v>
      </c>
      <c r="G1870" s="5">
        <f>IFERROR(__xludf.DUMMYFUNCTION("""COMPUTED_VALUE"""),0.0035420787037037044)</f>
        <v>0.003542078704</v>
      </c>
      <c r="H1870" s="15">
        <f>IFERROR(__xludf.DUMMYFUNCTION("""COMPUTED_VALUE"""),0.2549440625)</f>
        <v>0.2549440625</v>
      </c>
      <c r="I1870" s="15">
        <f>IFERROR(__xludf.DUMMYFUNCTION("""COMPUTED_VALUE"""),45949.27265446055)</f>
        <v>45949.27265</v>
      </c>
      <c r="J1870" s="15">
        <f>IFERROR(__xludf.DUMMYFUNCTION("""COMPUTED_VALUE"""),45949.017710398046)</f>
        <v>45949.01771</v>
      </c>
      <c r="K1870" s="15" t="str">
        <f>IFERROR(__xludf.DUMMYFUNCTION("""COMPUTED_VALUE"""),"")</f>
        <v/>
      </c>
      <c r="L1870" s="4" t="str">
        <f>IFERROR(__xludf.DUMMYFUNCTION("""COMPUTED_VALUE"""),"")</f>
        <v/>
      </c>
    </row>
    <row r="1871">
      <c r="A1871" s="1" t="str">
        <f>IFERROR(__xludf.DUMMYFUNCTION("""COMPUTED_VALUE"""),"DSQ")</f>
        <v>DSQ</v>
      </c>
      <c r="B1871" s="7" t="str">
        <f>IFERROR(__xludf.DUMMYFUNCTION("""COMPUTED_VALUE"""),"9021")</f>
        <v>9021</v>
      </c>
      <c r="C1871" s="8" t="str">
        <f>IFERROR(__xludf.DUMMYFUNCTION("""COMPUTED_VALUE"""),"fathurrahman")</f>
        <v>fathurrahman</v>
      </c>
      <c r="D1871" s="2" t="str">
        <f>IFERROR(__xludf.DUMMYFUNCTION("""COMPUTED_VALUE"""),"5KM STUDENT M")</f>
        <v>5KM STUDENT M</v>
      </c>
      <c r="E1871" s="1" t="str">
        <f>IFERROR(__xludf.DUMMYFUNCTION("""COMPUTED_VALUE"""),"DSQ")</f>
        <v>DSQ</v>
      </c>
      <c r="F1871" s="1" t="str">
        <f>IFERROR(__xludf.DUMMYFUNCTION("""COMPUTED_VALUE"""),"Male")</f>
        <v>Male</v>
      </c>
      <c r="G1871" s="5">
        <f>IFERROR(__xludf.DUMMYFUNCTION("""COMPUTED_VALUE"""),0.0038420555555555556)</f>
        <v>0.003842055556</v>
      </c>
      <c r="H1871" s="15">
        <f>IFERROR(__xludf.DUMMYFUNCTION("""COMPUTED_VALUE"""),0.2549440625)</f>
        <v>0.2549440625</v>
      </c>
      <c r="I1871" s="15">
        <f>IFERROR(__xludf.DUMMYFUNCTION("""COMPUTED_VALUE"""),45949.27415434394)</f>
        <v>45949.27415</v>
      </c>
      <c r="J1871" s="15">
        <f>IFERROR(__xludf.DUMMYFUNCTION("""COMPUTED_VALUE"""),45949.01921028144)</f>
        <v>45949.01921</v>
      </c>
      <c r="K1871" s="15" t="str">
        <f>IFERROR(__xludf.DUMMYFUNCTION("""COMPUTED_VALUE"""),"")</f>
        <v/>
      </c>
      <c r="L1871" s="4" t="str">
        <f>IFERROR(__xludf.DUMMYFUNCTION("""COMPUTED_VALUE"""),"")</f>
        <v/>
      </c>
    </row>
    <row r="1872">
      <c r="A1872" s="1" t="str">
        <f>IFERROR(__xludf.DUMMYFUNCTION("""COMPUTED_VALUE"""),"DSQ")</f>
        <v>DSQ</v>
      </c>
      <c r="B1872" s="7" t="str">
        <f>IFERROR(__xludf.DUMMYFUNCTION("""COMPUTED_VALUE"""),"9045")</f>
        <v>9045</v>
      </c>
      <c r="C1872" s="8" t="str">
        <f>IFERROR(__xludf.DUMMYFUNCTION("""COMPUTED_VALUE"""),"DIAST")</f>
        <v>DIAST</v>
      </c>
      <c r="D1872" s="2" t="str">
        <f>IFERROR(__xludf.DUMMYFUNCTION("""COMPUTED_VALUE"""),"5KM STUDENT M")</f>
        <v>5KM STUDENT M</v>
      </c>
      <c r="E1872" s="1" t="str">
        <f>IFERROR(__xludf.DUMMYFUNCTION("""COMPUTED_VALUE"""),"DSQ")</f>
        <v>DSQ</v>
      </c>
      <c r="F1872" s="1" t="str">
        <f>IFERROR(__xludf.DUMMYFUNCTION("""COMPUTED_VALUE"""),"Male")</f>
        <v>Male</v>
      </c>
      <c r="G1872" s="5" t="str">
        <f>IFERROR(__xludf.DUMMYFUNCTION("""COMPUTED_VALUE"""),"")</f>
        <v/>
      </c>
      <c r="H1872" s="15">
        <f>IFERROR(__xludf.DUMMYFUNCTION("""COMPUTED_VALUE"""),0.2549440625)</f>
        <v>0.2549440625</v>
      </c>
      <c r="I1872" s="15" t="str">
        <f>IFERROR(__xludf.DUMMYFUNCTION("""COMPUTED_VALUE"""),"")</f>
        <v/>
      </c>
      <c r="J1872" s="15" t="str">
        <f>IFERROR(__xludf.DUMMYFUNCTION("""COMPUTED_VALUE"""),"")</f>
        <v/>
      </c>
      <c r="K1872" s="15" t="str">
        <f>IFERROR(__xludf.DUMMYFUNCTION("""COMPUTED_VALUE"""),"")</f>
        <v/>
      </c>
      <c r="L1872" s="4" t="str">
        <f>IFERROR(__xludf.DUMMYFUNCTION("""COMPUTED_VALUE"""),"")</f>
        <v/>
      </c>
    </row>
    <row r="1873">
      <c r="A1873" s="1" t="str">
        <f>IFERROR(__xludf.DUMMYFUNCTION("""COMPUTED_VALUE"""),"DSQ")</f>
        <v>DSQ</v>
      </c>
      <c r="B1873" s="7" t="str">
        <f>IFERROR(__xludf.DUMMYFUNCTION("""COMPUTED_VALUE"""),"9047")</f>
        <v>9047</v>
      </c>
      <c r="C1873" s="8" t="str">
        <f>IFERROR(__xludf.DUMMYFUNCTION("""COMPUTED_VALUE"""),"agni")</f>
        <v>agni</v>
      </c>
      <c r="D1873" s="2" t="str">
        <f>IFERROR(__xludf.DUMMYFUNCTION("""COMPUTED_VALUE"""),"5KM STUDENT M")</f>
        <v>5KM STUDENT M</v>
      </c>
      <c r="E1873" s="1" t="str">
        <f>IFERROR(__xludf.DUMMYFUNCTION("""COMPUTED_VALUE"""),"DSQ")</f>
        <v>DSQ</v>
      </c>
      <c r="F1873" s="1" t="str">
        <f>IFERROR(__xludf.DUMMYFUNCTION("""COMPUTED_VALUE"""),"Male")</f>
        <v>Male</v>
      </c>
      <c r="G1873" s="5">
        <f>IFERROR(__xludf.DUMMYFUNCTION("""COMPUTED_VALUE"""),0.00365525462962963)</f>
        <v>0.00365525463</v>
      </c>
      <c r="H1873" s="15">
        <f>IFERROR(__xludf.DUMMYFUNCTION("""COMPUTED_VALUE"""),0.2549440625)</f>
        <v>0.2549440625</v>
      </c>
      <c r="I1873" s="15">
        <f>IFERROR(__xludf.DUMMYFUNCTION("""COMPUTED_VALUE"""),45949.273220335876)</f>
        <v>45949.27322</v>
      </c>
      <c r="J1873" s="15">
        <f>IFERROR(__xludf.DUMMYFUNCTION("""COMPUTED_VALUE"""),45949.018276273375)</f>
        <v>45949.01828</v>
      </c>
      <c r="K1873" s="15" t="str">
        <f>IFERROR(__xludf.DUMMYFUNCTION("""COMPUTED_VALUE"""),"")</f>
        <v/>
      </c>
      <c r="L1873" s="4" t="str">
        <f>IFERROR(__xludf.DUMMYFUNCTION("""COMPUTED_VALUE"""),"")</f>
        <v/>
      </c>
    </row>
    <row r="1874">
      <c r="A1874" s="1" t="str">
        <f>IFERROR(__xludf.DUMMYFUNCTION("""COMPUTED_VALUE"""),"DSQ")</f>
        <v>DSQ</v>
      </c>
      <c r="B1874" s="7" t="str">
        <f>IFERROR(__xludf.DUMMYFUNCTION("""COMPUTED_VALUE"""),"9063")</f>
        <v>9063</v>
      </c>
      <c r="C1874" s="8" t="str">
        <f>IFERROR(__xludf.DUMMYFUNCTION("""COMPUTED_VALUE"""),"Rul")</f>
        <v>Rul</v>
      </c>
      <c r="D1874" s="2" t="str">
        <f>IFERROR(__xludf.DUMMYFUNCTION("""COMPUTED_VALUE"""),"5KM STUDENT M")</f>
        <v>5KM STUDENT M</v>
      </c>
      <c r="E1874" s="1" t="str">
        <f>IFERROR(__xludf.DUMMYFUNCTION("""COMPUTED_VALUE"""),"DSQ")</f>
        <v>DSQ</v>
      </c>
      <c r="F1874" s="1" t="str">
        <f>IFERROR(__xludf.DUMMYFUNCTION("""COMPUTED_VALUE"""),"Male")</f>
        <v>Male</v>
      </c>
      <c r="G1874" s="5">
        <f>IFERROR(__xludf.DUMMYFUNCTION("""COMPUTED_VALUE"""),0.008994138888888888)</f>
        <v>0.008994138889</v>
      </c>
      <c r="H1874" s="15">
        <f>IFERROR(__xludf.DUMMYFUNCTION("""COMPUTED_VALUE"""),0.2549440625)</f>
        <v>0.2549440625</v>
      </c>
      <c r="I1874" s="15">
        <f>IFERROR(__xludf.DUMMYFUNCTION("""COMPUTED_VALUE"""),45949.29991475702)</f>
        <v>45949.29991</v>
      </c>
      <c r="J1874" s="15">
        <f>IFERROR(__xludf.DUMMYFUNCTION("""COMPUTED_VALUE"""),45949.04497069452)</f>
        <v>45949.04497</v>
      </c>
      <c r="K1874" s="15">
        <f>IFERROR(__xludf.DUMMYFUNCTION("""COMPUTED_VALUE"""),45949.28546076633)</f>
        <v>45949.28546</v>
      </c>
      <c r="L1874" s="4"/>
    </row>
    <row r="1875">
      <c r="A1875" s="1" t="str">
        <f>IFERROR(__xludf.DUMMYFUNCTION("""COMPUTED_VALUE"""),"DSQ")</f>
        <v>DSQ</v>
      </c>
      <c r="B1875" s="7" t="str">
        <f>IFERROR(__xludf.DUMMYFUNCTION("""COMPUTED_VALUE"""),"9064")</f>
        <v>9064</v>
      </c>
      <c r="C1875" s="8" t="str">
        <f>IFERROR(__xludf.DUMMYFUNCTION("""COMPUTED_VALUE"""),"Adib Thalib")</f>
        <v>Adib Thalib</v>
      </c>
      <c r="D1875" s="2" t="str">
        <f>IFERROR(__xludf.DUMMYFUNCTION("""COMPUTED_VALUE"""),"5KM STUDENT M")</f>
        <v>5KM STUDENT M</v>
      </c>
      <c r="E1875" s="1" t="str">
        <f>IFERROR(__xludf.DUMMYFUNCTION("""COMPUTED_VALUE"""),"DSQ")</f>
        <v>DSQ</v>
      </c>
      <c r="F1875" s="1" t="str">
        <f>IFERROR(__xludf.DUMMYFUNCTION("""COMPUTED_VALUE"""),"Male")</f>
        <v>Male</v>
      </c>
      <c r="G1875" s="5" t="str">
        <f>IFERROR(__xludf.DUMMYFUNCTION("""COMPUTED_VALUE"""),"")</f>
        <v/>
      </c>
      <c r="H1875" s="15">
        <f>IFERROR(__xludf.DUMMYFUNCTION("""COMPUTED_VALUE"""),0.2549440625)</f>
        <v>0.2549440625</v>
      </c>
      <c r="I1875" s="15" t="str">
        <f>IFERROR(__xludf.DUMMYFUNCTION("""COMPUTED_VALUE"""),"")</f>
        <v/>
      </c>
      <c r="J1875" s="15" t="str">
        <f>IFERROR(__xludf.DUMMYFUNCTION("""COMPUTED_VALUE"""),"")</f>
        <v/>
      </c>
      <c r="K1875" s="15" t="str">
        <f>IFERROR(__xludf.DUMMYFUNCTION("""COMPUTED_VALUE"""),"")</f>
        <v/>
      </c>
      <c r="L1875" s="4" t="str">
        <f>IFERROR(__xludf.DUMMYFUNCTION("""COMPUTED_VALUE"""),"")</f>
        <v/>
      </c>
    </row>
    <row r="1876">
      <c r="A1876" s="1" t="str">
        <f>IFERROR(__xludf.DUMMYFUNCTION("""COMPUTED_VALUE"""),"DSQ")</f>
        <v>DSQ</v>
      </c>
      <c r="B1876" s="7" t="str">
        <f>IFERROR(__xludf.DUMMYFUNCTION("""COMPUTED_VALUE"""),"9081")</f>
        <v>9081</v>
      </c>
      <c r="C1876" s="8" t="str">
        <f>IFERROR(__xludf.DUMMYFUNCTION("""COMPUTED_VALUE"""),"FAWWAZ ATHARI")</f>
        <v>FAWWAZ ATHARI</v>
      </c>
      <c r="D1876" s="2" t="str">
        <f>IFERROR(__xludf.DUMMYFUNCTION("""COMPUTED_VALUE"""),"5KM STUDENT M")</f>
        <v>5KM STUDENT M</v>
      </c>
      <c r="E1876" s="1" t="str">
        <f>IFERROR(__xludf.DUMMYFUNCTION("""COMPUTED_VALUE"""),"DSQ")</f>
        <v>DSQ</v>
      </c>
      <c r="F1876" s="1" t="str">
        <f>IFERROR(__xludf.DUMMYFUNCTION("""COMPUTED_VALUE"""),"Male")</f>
        <v>Male</v>
      </c>
      <c r="G1876" s="5">
        <f>IFERROR(__xludf.DUMMYFUNCTION("""COMPUTED_VALUE"""),0.0058010833333333334)</f>
        <v>0.005801083333</v>
      </c>
      <c r="H1876" s="15">
        <f>IFERROR(__xludf.DUMMYFUNCTION("""COMPUTED_VALUE"""),0.2549440625)</f>
        <v>0.2549440625</v>
      </c>
      <c r="I1876" s="15">
        <f>IFERROR(__xludf.DUMMYFUNCTION("""COMPUTED_VALUE"""),45949.28394947933)</f>
        <v>45949.28395</v>
      </c>
      <c r="J1876" s="15">
        <f>IFERROR(__xludf.DUMMYFUNCTION("""COMPUTED_VALUE"""),45949.02900541683)</f>
        <v>45949.02901</v>
      </c>
      <c r="K1876" s="15">
        <f>IFERROR(__xludf.DUMMYFUNCTION("""COMPUTED_VALUE"""),45949.26968995664)</f>
        <v>45949.26969</v>
      </c>
      <c r="L1876" s="4"/>
    </row>
    <row r="1877">
      <c r="A1877" s="1" t="str">
        <f>IFERROR(__xludf.DUMMYFUNCTION("""COMPUTED_VALUE"""),"DSQ")</f>
        <v>DSQ</v>
      </c>
      <c r="B1877" s="7" t="str">
        <f>IFERROR(__xludf.DUMMYFUNCTION("""COMPUTED_VALUE"""),"9089")</f>
        <v>9089</v>
      </c>
      <c r="C1877" s="8" t="str">
        <f>IFERROR(__xludf.DUMMYFUNCTION("""COMPUTED_VALUE"""),"Ahyas")</f>
        <v>Ahyas</v>
      </c>
      <c r="D1877" s="2" t="str">
        <f>IFERROR(__xludf.DUMMYFUNCTION("""COMPUTED_VALUE"""),"5KM STUDENT M")</f>
        <v>5KM STUDENT M</v>
      </c>
      <c r="E1877" s="1" t="str">
        <f>IFERROR(__xludf.DUMMYFUNCTION("""COMPUTED_VALUE"""),"DSQ")</f>
        <v>DSQ</v>
      </c>
      <c r="F1877" s="1" t="str">
        <f>IFERROR(__xludf.DUMMYFUNCTION("""COMPUTED_VALUE"""),"Male")</f>
        <v>Male</v>
      </c>
      <c r="G1877" s="5">
        <f>IFERROR(__xludf.DUMMYFUNCTION("""COMPUTED_VALUE"""),0.009962194444444444)</f>
        <v>0.009962194444</v>
      </c>
      <c r="H1877" s="15">
        <f>IFERROR(__xludf.DUMMYFUNCTION("""COMPUTED_VALUE"""),0.2549440625)</f>
        <v>0.2549440625</v>
      </c>
      <c r="I1877" s="15">
        <f>IFERROR(__xludf.DUMMYFUNCTION("""COMPUTED_VALUE"""),45949.304755035686)</f>
        <v>45949.30476</v>
      </c>
      <c r="J1877" s="15">
        <f>IFERROR(__xludf.DUMMYFUNCTION("""COMPUTED_VALUE"""),45949.049810973185)</f>
        <v>45949.04981</v>
      </c>
      <c r="K1877" s="15">
        <f>IFERROR(__xludf.DUMMYFUNCTION("""COMPUTED_VALUE"""),45950.28482638889)</f>
        <v>45950.28483</v>
      </c>
      <c r="L1877" s="4" t="str">
        <f>IFERROR(__xludf.DUMMYFUNCTION("""COMPUTED_VALUE"""),"C")</f>
        <v>C</v>
      </c>
    </row>
    <row r="1878">
      <c r="A1878" s="1" t="str">
        <f>IFERROR(__xludf.DUMMYFUNCTION("""COMPUTED_VALUE"""),"DSQ")</f>
        <v>DSQ</v>
      </c>
      <c r="B1878" s="7" t="str">
        <f>IFERROR(__xludf.DUMMYFUNCTION("""COMPUTED_VALUE"""),"9090")</f>
        <v>9090</v>
      </c>
      <c r="C1878" s="8" t="str">
        <f>IFERROR(__xludf.DUMMYFUNCTION("""COMPUTED_VALUE"""),"FALAH")</f>
        <v>FALAH</v>
      </c>
      <c r="D1878" s="2" t="str">
        <f>IFERROR(__xludf.DUMMYFUNCTION("""COMPUTED_VALUE"""),"5KM STUDENT M")</f>
        <v>5KM STUDENT M</v>
      </c>
      <c r="E1878" s="1" t="str">
        <f>IFERROR(__xludf.DUMMYFUNCTION("""COMPUTED_VALUE"""),"DSQ")</f>
        <v>DSQ</v>
      </c>
      <c r="F1878" s="1" t="str">
        <f>IFERROR(__xludf.DUMMYFUNCTION("""COMPUTED_VALUE"""),"Male")</f>
        <v>Male</v>
      </c>
      <c r="G1878" s="5">
        <f>IFERROR(__xludf.DUMMYFUNCTION("""COMPUTED_VALUE"""),0.005346921296296296)</f>
        <v>0.005346921296</v>
      </c>
      <c r="H1878" s="15">
        <f>IFERROR(__xludf.DUMMYFUNCTION("""COMPUTED_VALUE"""),0.2549440625)</f>
        <v>0.2549440625</v>
      </c>
      <c r="I1878" s="15">
        <f>IFERROR(__xludf.DUMMYFUNCTION("""COMPUTED_VALUE"""),45949.281678664986)</f>
        <v>45949.28168</v>
      </c>
      <c r="J1878" s="15">
        <f>IFERROR(__xludf.DUMMYFUNCTION("""COMPUTED_VALUE"""),45949.026734602485)</f>
        <v>45949.02673</v>
      </c>
      <c r="K1878" s="15">
        <f>IFERROR(__xludf.DUMMYFUNCTION("""COMPUTED_VALUE"""),45950.2709837963)</f>
        <v>45950.27098</v>
      </c>
      <c r="L1878" s="1" t="str">
        <f>IFERROR(__xludf.DUMMYFUNCTION("""COMPUTED_VALUE"""),"C")</f>
        <v>C</v>
      </c>
    </row>
    <row r="1879">
      <c r="A1879" s="1" t="str">
        <f>IFERROR(__xludf.DUMMYFUNCTION("""COMPUTED_VALUE"""),"DSQ")</f>
        <v>DSQ</v>
      </c>
      <c r="B1879" s="7" t="str">
        <f>IFERROR(__xludf.DUMMYFUNCTION("""COMPUTED_VALUE"""),"9095")</f>
        <v>9095</v>
      </c>
      <c r="C1879" s="8" t="str">
        <f>IFERROR(__xludf.DUMMYFUNCTION("""COMPUTED_VALUE"""),"Mas FAHRI")</f>
        <v>Mas FAHRI</v>
      </c>
      <c r="D1879" s="2" t="str">
        <f>IFERROR(__xludf.DUMMYFUNCTION("""COMPUTED_VALUE"""),"5KM STUDENT M")</f>
        <v>5KM STUDENT M</v>
      </c>
      <c r="E1879" s="1" t="str">
        <f>IFERROR(__xludf.DUMMYFUNCTION("""COMPUTED_VALUE"""),"DSQ")</f>
        <v>DSQ</v>
      </c>
      <c r="F1879" s="1" t="str">
        <f>IFERROR(__xludf.DUMMYFUNCTION("""COMPUTED_VALUE"""),"Male")</f>
        <v>Male</v>
      </c>
      <c r="G1879" s="5">
        <f>IFERROR(__xludf.DUMMYFUNCTION("""COMPUTED_VALUE"""),0.0036371967592592593)</f>
        <v>0.003637196759</v>
      </c>
      <c r="H1879" s="15">
        <f>IFERROR(__xludf.DUMMYFUNCTION("""COMPUTED_VALUE"""),0.2549440625)</f>
        <v>0.2549440625</v>
      </c>
      <c r="I1879" s="15">
        <f>IFERROR(__xludf.DUMMYFUNCTION("""COMPUTED_VALUE"""),45949.27313004242)</f>
        <v>45949.27313</v>
      </c>
      <c r="J1879" s="15">
        <f>IFERROR(__xludf.DUMMYFUNCTION("""COMPUTED_VALUE"""),45949.01818597992)</f>
        <v>45949.01819</v>
      </c>
      <c r="K1879" s="15" t="str">
        <f>IFERROR(__xludf.DUMMYFUNCTION("""COMPUTED_VALUE"""),"")</f>
        <v/>
      </c>
      <c r="L1879" s="1" t="str">
        <f>IFERROR(__xludf.DUMMYFUNCTION("""COMPUTED_VALUE"""),"")</f>
        <v/>
      </c>
    </row>
    <row r="1880">
      <c r="A1880" s="1" t="str">
        <f>IFERROR(__xludf.DUMMYFUNCTION("""COMPUTED_VALUE"""),"DSQ")</f>
        <v>DSQ</v>
      </c>
      <c r="B1880" s="7" t="str">
        <f>IFERROR(__xludf.DUMMYFUNCTION("""COMPUTED_VALUE"""),"9099")</f>
        <v>9099</v>
      </c>
      <c r="C1880" s="8" t="str">
        <f>IFERROR(__xludf.DUMMYFUNCTION("""COMPUTED_VALUE"""),"Fatih")</f>
        <v>Fatih</v>
      </c>
      <c r="D1880" s="2" t="str">
        <f>IFERROR(__xludf.DUMMYFUNCTION("""COMPUTED_VALUE"""),"5KM STUDENT M")</f>
        <v>5KM STUDENT M</v>
      </c>
      <c r="E1880" s="1" t="str">
        <f>IFERROR(__xludf.DUMMYFUNCTION("""COMPUTED_VALUE"""),"DSQ")</f>
        <v>DSQ</v>
      </c>
      <c r="F1880" s="1" t="str">
        <f>IFERROR(__xludf.DUMMYFUNCTION("""COMPUTED_VALUE"""),"Male")</f>
        <v>Male</v>
      </c>
      <c r="G1880" s="5" t="str">
        <f>IFERROR(__xludf.DUMMYFUNCTION("""COMPUTED_VALUE"""),"")</f>
        <v/>
      </c>
      <c r="H1880" s="15">
        <f>IFERROR(__xludf.DUMMYFUNCTION("""COMPUTED_VALUE"""),0.2549440625)</f>
        <v>0.2549440625</v>
      </c>
      <c r="I1880" s="15" t="str">
        <f>IFERROR(__xludf.DUMMYFUNCTION("""COMPUTED_VALUE"""),"")</f>
        <v/>
      </c>
      <c r="J1880" s="15" t="str">
        <f>IFERROR(__xludf.DUMMYFUNCTION("""COMPUTED_VALUE"""),"")</f>
        <v/>
      </c>
      <c r="K1880" s="15" t="str">
        <f>IFERROR(__xludf.DUMMYFUNCTION("""COMPUTED_VALUE"""),"")</f>
        <v/>
      </c>
      <c r="L1880" s="1" t="str">
        <f>IFERROR(__xludf.DUMMYFUNCTION("""COMPUTED_VALUE"""),"")</f>
        <v/>
      </c>
    </row>
    <row r="1881">
      <c r="A1881" s="1"/>
      <c r="B1881" s="1"/>
      <c r="E1881" s="1"/>
      <c r="F1881" s="1"/>
      <c r="G1881" s="1"/>
      <c r="H1881" s="15"/>
      <c r="I1881" s="15"/>
      <c r="J1881" s="15"/>
      <c r="K1881" s="15"/>
      <c r="L1881" s="1"/>
    </row>
    <row r="1882">
      <c r="A1882" s="1"/>
      <c r="B1882" s="1"/>
      <c r="E1882" s="1"/>
      <c r="F1882" s="1"/>
      <c r="G1882" s="1"/>
      <c r="H1882" s="15"/>
      <c r="I1882" s="15"/>
      <c r="J1882" s="15"/>
      <c r="K1882" s="15"/>
      <c r="L1882" s="1"/>
    </row>
    <row r="1883">
      <c r="A1883" s="1"/>
      <c r="B1883" s="1"/>
      <c r="E1883" s="1"/>
      <c r="F1883" s="1"/>
      <c r="G1883" s="1"/>
      <c r="H1883" s="15"/>
      <c r="I1883" s="15"/>
      <c r="J1883" s="15"/>
      <c r="K1883" s="15"/>
      <c r="L1883" s="1"/>
    </row>
    <row r="1884">
      <c r="A1884" s="1"/>
      <c r="B1884" s="1"/>
      <c r="E1884" s="1"/>
      <c r="F1884" s="1"/>
      <c r="G1884" s="1"/>
      <c r="H1884" s="15"/>
      <c r="I1884" s="15"/>
      <c r="J1884" s="15"/>
      <c r="K1884" s="15"/>
      <c r="L1884" s="1"/>
    </row>
    <row r="1885">
      <c r="A1885" s="1"/>
      <c r="B1885" s="1"/>
      <c r="E1885" s="1"/>
      <c r="F1885" s="1"/>
      <c r="G1885" s="1"/>
      <c r="H1885" s="15"/>
      <c r="I1885" s="15"/>
      <c r="J1885" s="15"/>
      <c r="K1885" s="15"/>
      <c r="L1885" s="1"/>
    </row>
    <row r="1886">
      <c r="A1886" s="1"/>
      <c r="B1886" s="1"/>
      <c r="E1886" s="1"/>
      <c r="F1886" s="1"/>
      <c r="G1886" s="1"/>
      <c r="H1886" s="15"/>
      <c r="I1886" s="15"/>
      <c r="J1886" s="15"/>
      <c r="K1886" s="15"/>
      <c r="L1886" s="1"/>
    </row>
    <row r="1887">
      <c r="A1887" s="1"/>
      <c r="B1887" s="1"/>
      <c r="E1887" s="1"/>
      <c r="F1887" s="1"/>
      <c r="G1887" s="1"/>
      <c r="H1887" s="15"/>
      <c r="I1887" s="15"/>
      <c r="J1887" s="15"/>
      <c r="K1887" s="15"/>
      <c r="L1887" s="1"/>
    </row>
    <row r="1888">
      <c r="A1888" s="1"/>
      <c r="B1888" s="1"/>
      <c r="E1888" s="1"/>
      <c r="F1888" s="1"/>
      <c r="G1888" s="1"/>
      <c r="H1888" s="15"/>
      <c r="I1888" s="15"/>
      <c r="J1888" s="15"/>
      <c r="K1888" s="15"/>
      <c r="L1888" s="1"/>
    </row>
    <row r="1889">
      <c r="A1889" s="1"/>
      <c r="B1889" s="1"/>
      <c r="E1889" s="1"/>
      <c r="F1889" s="1"/>
      <c r="G1889" s="1"/>
      <c r="H1889" s="15"/>
      <c r="I1889" s="15"/>
      <c r="J1889" s="15"/>
      <c r="K1889" s="15"/>
      <c r="L1889" s="1"/>
    </row>
    <row r="1890">
      <c r="A1890" s="1"/>
      <c r="B1890" s="1"/>
      <c r="E1890" s="1"/>
      <c r="F1890" s="1"/>
      <c r="G1890" s="1"/>
      <c r="H1890" s="15"/>
      <c r="I1890" s="15"/>
      <c r="J1890" s="15"/>
      <c r="K1890" s="15"/>
      <c r="L1890" s="1"/>
    </row>
    <row r="1891">
      <c r="A1891" s="1"/>
      <c r="B1891" s="1"/>
      <c r="E1891" s="1"/>
      <c r="F1891" s="1"/>
      <c r="G1891" s="1"/>
      <c r="H1891" s="15"/>
      <c r="I1891" s="15"/>
      <c r="J1891" s="15"/>
      <c r="K1891" s="15"/>
      <c r="L1891" s="1"/>
    </row>
    <row r="1892">
      <c r="A1892" s="1"/>
      <c r="B1892" s="1"/>
      <c r="E1892" s="1"/>
      <c r="F1892" s="1"/>
      <c r="G1892" s="1"/>
      <c r="H1892" s="15"/>
      <c r="I1892" s="15"/>
      <c r="J1892" s="15"/>
      <c r="K1892" s="15"/>
      <c r="L1892" s="1"/>
    </row>
    <row r="1893">
      <c r="A1893" s="1"/>
      <c r="B1893" s="1"/>
      <c r="E1893" s="1"/>
      <c r="F1893" s="1"/>
      <c r="G1893" s="1"/>
      <c r="H1893" s="15"/>
      <c r="I1893" s="15"/>
      <c r="J1893" s="15"/>
      <c r="K1893" s="15"/>
      <c r="L1893" s="1"/>
    </row>
    <row r="1894">
      <c r="A1894" s="1"/>
      <c r="B1894" s="1"/>
      <c r="E1894" s="1"/>
      <c r="F1894" s="1"/>
      <c r="G1894" s="1"/>
      <c r="H1894" s="15"/>
      <c r="I1894" s="15"/>
      <c r="J1894" s="15"/>
      <c r="K1894" s="15"/>
      <c r="L1894" s="1"/>
    </row>
    <row r="1895">
      <c r="A1895" s="1"/>
      <c r="B1895" s="1"/>
      <c r="E1895" s="1"/>
      <c r="F1895" s="1"/>
      <c r="G1895" s="1"/>
      <c r="H1895" s="15"/>
      <c r="I1895" s="15"/>
      <c r="J1895" s="15"/>
      <c r="K1895" s="15"/>
      <c r="L1895" s="1"/>
    </row>
    <row r="1896">
      <c r="A1896" s="1"/>
      <c r="B1896" s="1"/>
      <c r="E1896" s="1"/>
      <c r="F1896" s="1"/>
      <c r="G1896" s="1"/>
      <c r="H1896" s="15"/>
      <c r="I1896" s="15"/>
      <c r="J1896" s="15"/>
      <c r="K1896" s="15"/>
      <c r="L1896" s="1"/>
    </row>
    <row r="1897">
      <c r="A1897" s="1"/>
      <c r="B1897" s="1"/>
      <c r="E1897" s="1"/>
      <c r="F1897" s="1"/>
      <c r="G1897" s="1"/>
      <c r="H1897" s="15"/>
      <c r="I1897" s="15"/>
      <c r="J1897" s="15"/>
      <c r="K1897" s="15"/>
      <c r="L1897" s="1"/>
    </row>
    <row r="1898">
      <c r="A1898" s="1"/>
      <c r="B1898" s="1"/>
      <c r="E1898" s="1"/>
      <c r="F1898" s="1"/>
      <c r="G1898" s="1"/>
      <c r="H1898" s="15"/>
      <c r="I1898" s="15"/>
      <c r="J1898" s="15"/>
      <c r="K1898" s="15"/>
      <c r="L1898" s="1"/>
    </row>
    <row r="1899">
      <c r="A1899" s="1"/>
      <c r="B1899" s="1"/>
      <c r="E1899" s="1"/>
      <c r="F1899" s="1"/>
      <c r="G1899" s="1"/>
      <c r="H1899" s="15"/>
      <c r="I1899" s="15"/>
      <c r="J1899" s="15"/>
      <c r="K1899" s="15"/>
      <c r="L1899" s="1"/>
    </row>
    <row r="1900">
      <c r="A1900" s="1"/>
      <c r="B1900" s="1"/>
      <c r="E1900" s="1"/>
      <c r="F1900" s="1"/>
      <c r="G1900" s="1"/>
      <c r="H1900" s="15"/>
      <c r="I1900" s="15"/>
      <c r="J1900" s="15"/>
      <c r="K1900" s="15"/>
      <c r="L1900" s="1"/>
    </row>
    <row r="1901">
      <c r="A1901" s="1"/>
      <c r="B1901" s="1"/>
      <c r="E1901" s="1"/>
      <c r="F1901" s="1"/>
      <c r="G1901" s="1"/>
      <c r="H1901" s="15"/>
      <c r="I1901" s="15"/>
      <c r="J1901" s="15"/>
      <c r="K1901" s="15"/>
      <c r="L1901" s="1"/>
    </row>
    <row r="1902">
      <c r="A1902" s="1"/>
      <c r="B1902" s="1"/>
      <c r="E1902" s="1"/>
      <c r="F1902" s="1"/>
      <c r="G1902" s="1"/>
      <c r="H1902" s="15"/>
      <c r="I1902" s="15"/>
      <c r="J1902" s="15"/>
      <c r="K1902" s="15"/>
      <c r="L1902" s="1"/>
    </row>
    <row r="1903">
      <c r="A1903" s="1"/>
      <c r="B1903" s="1"/>
      <c r="E1903" s="1"/>
      <c r="F1903" s="1"/>
      <c r="G1903" s="1"/>
      <c r="H1903" s="15"/>
      <c r="I1903" s="15"/>
      <c r="J1903" s="15"/>
      <c r="K1903" s="15"/>
      <c r="L1903" s="1"/>
    </row>
    <row r="1904">
      <c r="A1904" s="1"/>
      <c r="B1904" s="1"/>
      <c r="E1904" s="1"/>
      <c r="F1904" s="1"/>
      <c r="G1904" s="1"/>
      <c r="H1904" s="15"/>
      <c r="I1904" s="15"/>
      <c r="J1904" s="15"/>
      <c r="K1904" s="15"/>
      <c r="L1904" s="1"/>
    </row>
    <row r="1905">
      <c r="A1905" s="1"/>
      <c r="B1905" s="1"/>
      <c r="E1905" s="1"/>
      <c r="F1905" s="1"/>
      <c r="G1905" s="1"/>
      <c r="H1905" s="15"/>
      <c r="I1905" s="15"/>
      <c r="J1905" s="15"/>
      <c r="K1905" s="15"/>
      <c r="L1905" s="1"/>
    </row>
    <row r="1906">
      <c r="A1906" s="1"/>
      <c r="B1906" s="1"/>
      <c r="E1906" s="1"/>
      <c r="F1906" s="1"/>
      <c r="G1906" s="1"/>
      <c r="H1906" s="15"/>
      <c r="I1906" s="15"/>
      <c r="J1906" s="15"/>
      <c r="K1906" s="15"/>
      <c r="L1906" s="1"/>
    </row>
    <row r="1907">
      <c r="A1907" s="1"/>
      <c r="B1907" s="1"/>
      <c r="E1907" s="1"/>
      <c r="F1907" s="1"/>
      <c r="G1907" s="1"/>
      <c r="H1907" s="15"/>
      <c r="I1907" s="15"/>
      <c r="J1907" s="15"/>
      <c r="K1907" s="15"/>
      <c r="L1907" s="1"/>
    </row>
    <row r="1908">
      <c r="A1908" s="1"/>
      <c r="B1908" s="1"/>
      <c r="E1908" s="1"/>
      <c r="F1908" s="1"/>
      <c r="G1908" s="1"/>
      <c r="H1908" s="15"/>
      <c r="I1908" s="15"/>
      <c r="J1908" s="15"/>
      <c r="K1908" s="15"/>
      <c r="L1908" s="1"/>
    </row>
    <row r="1909">
      <c r="A1909" s="1"/>
      <c r="B1909" s="1"/>
      <c r="E1909" s="1"/>
      <c r="F1909" s="1"/>
      <c r="G1909" s="1"/>
      <c r="H1909" s="15"/>
      <c r="I1909" s="15"/>
      <c r="J1909" s="15"/>
      <c r="K1909" s="15"/>
      <c r="L1909" s="1"/>
    </row>
    <row r="1910">
      <c r="A1910" s="1"/>
      <c r="B1910" s="1"/>
      <c r="E1910" s="1"/>
      <c r="F1910" s="1"/>
      <c r="G1910" s="1"/>
      <c r="H1910" s="15"/>
      <c r="I1910" s="15"/>
      <c r="J1910" s="15"/>
      <c r="K1910" s="15"/>
      <c r="L1910" s="1"/>
    </row>
    <row r="1911">
      <c r="A1911" s="1"/>
      <c r="B1911" s="1"/>
      <c r="E1911" s="1"/>
      <c r="F1911" s="1"/>
      <c r="G1911" s="1"/>
      <c r="H1911" s="15"/>
      <c r="I1911" s="15"/>
      <c r="J1911" s="15"/>
      <c r="K1911" s="15"/>
      <c r="L1911" s="1"/>
    </row>
    <row r="1912">
      <c r="A1912" s="1"/>
      <c r="B1912" s="1"/>
      <c r="E1912" s="1"/>
      <c r="F1912" s="1"/>
      <c r="G1912" s="1"/>
      <c r="H1912" s="15"/>
      <c r="I1912" s="15"/>
      <c r="J1912" s="15"/>
      <c r="K1912" s="15"/>
      <c r="L1912" s="1"/>
    </row>
    <row r="1913">
      <c r="A1913" s="1"/>
      <c r="B1913" s="1"/>
      <c r="E1913" s="1"/>
      <c r="F1913" s="1"/>
      <c r="G1913" s="1"/>
      <c r="H1913" s="15"/>
      <c r="I1913" s="15"/>
      <c r="J1913" s="15"/>
      <c r="K1913" s="15"/>
      <c r="L1913" s="1"/>
    </row>
    <row r="1914">
      <c r="A1914" s="1"/>
      <c r="B1914" s="1"/>
      <c r="E1914" s="1"/>
      <c r="F1914" s="1"/>
      <c r="G1914" s="1"/>
      <c r="H1914" s="15"/>
      <c r="I1914" s="15"/>
      <c r="J1914" s="15"/>
      <c r="K1914" s="15"/>
      <c r="L1914" s="1"/>
    </row>
    <row r="1915">
      <c r="A1915" s="1"/>
      <c r="B1915" s="1"/>
      <c r="E1915" s="1"/>
      <c r="F1915" s="1"/>
      <c r="G1915" s="1"/>
      <c r="H1915" s="15"/>
      <c r="I1915" s="15"/>
      <c r="J1915" s="15"/>
      <c r="K1915" s="15"/>
      <c r="L1915" s="1"/>
    </row>
    <row r="1916">
      <c r="A1916" s="1"/>
      <c r="B1916" s="1"/>
      <c r="E1916" s="1"/>
      <c r="F1916" s="1"/>
      <c r="G1916" s="1"/>
      <c r="H1916" s="15"/>
      <c r="I1916" s="15"/>
      <c r="J1916" s="15"/>
      <c r="K1916" s="15"/>
      <c r="L1916" s="1"/>
    </row>
    <row r="1917">
      <c r="A1917" s="1"/>
      <c r="B1917" s="1"/>
      <c r="E1917" s="1"/>
      <c r="F1917" s="1"/>
      <c r="G1917" s="1"/>
      <c r="H1917" s="15"/>
      <c r="I1917" s="15"/>
      <c r="J1917" s="15"/>
      <c r="K1917" s="15"/>
      <c r="L1917" s="1"/>
    </row>
    <row r="1918">
      <c r="A1918" s="1"/>
      <c r="B1918" s="1"/>
      <c r="E1918" s="1"/>
      <c r="F1918" s="1"/>
      <c r="G1918" s="1"/>
      <c r="H1918" s="15"/>
      <c r="I1918" s="15"/>
      <c r="J1918" s="15"/>
      <c r="K1918" s="15"/>
      <c r="L1918" s="1"/>
    </row>
    <row r="1919">
      <c r="A1919" s="1"/>
      <c r="B1919" s="1"/>
      <c r="E1919" s="1"/>
      <c r="F1919" s="1"/>
      <c r="G1919" s="1"/>
      <c r="H1919" s="15"/>
      <c r="I1919" s="15"/>
      <c r="J1919" s="15"/>
      <c r="K1919" s="15"/>
      <c r="L1919" s="1"/>
    </row>
    <row r="1920">
      <c r="A1920" s="1"/>
      <c r="B1920" s="1"/>
      <c r="E1920" s="1"/>
      <c r="F1920" s="1"/>
      <c r="G1920" s="1"/>
      <c r="H1920" s="15"/>
      <c r="I1920" s="15"/>
      <c r="J1920" s="15"/>
      <c r="K1920" s="15"/>
      <c r="L1920" s="1"/>
    </row>
    <row r="1921">
      <c r="A1921" s="1"/>
      <c r="B1921" s="1"/>
      <c r="E1921" s="1"/>
      <c r="F1921" s="1"/>
      <c r="G1921" s="1"/>
      <c r="H1921" s="15"/>
      <c r="I1921" s="15"/>
      <c r="J1921" s="15"/>
      <c r="K1921" s="15"/>
      <c r="L1921" s="1"/>
    </row>
    <row r="1922">
      <c r="A1922" s="1"/>
      <c r="B1922" s="1"/>
      <c r="E1922" s="1"/>
      <c r="F1922" s="1"/>
      <c r="G1922" s="1"/>
      <c r="H1922" s="15"/>
      <c r="I1922" s="15"/>
      <c r="J1922" s="15"/>
      <c r="K1922" s="15"/>
      <c r="L1922" s="1"/>
    </row>
    <row r="1923">
      <c r="A1923" s="1"/>
      <c r="B1923" s="1"/>
      <c r="E1923" s="1"/>
      <c r="F1923" s="1"/>
      <c r="G1923" s="1"/>
      <c r="H1923" s="15"/>
      <c r="I1923" s="15"/>
      <c r="J1923" s="15"/>
      <c r="K1923" s="15"/>
      <c r="L1923" s="1"/>
    </row>
    <row r="1924">
      <c r="A1924" s="1"/>
      <c r="B1924" s="1"/>
      <c r="E1924" s="1"/>
      <c r="F1924" s="1"/>
      <c r="G1924" s="1"/>
      <c r="H1924" s="15"/>
      <c r="I1924" s="15"/>
      <c r="J1924" s="15"/>
      <c r="K1924" s="15"/>
      <c r="L1924" s="1"/>
    </row>
    <row r="1925">
      <c r="A1925" s="1"/>
      <c r="B1925" s="1"/>
      <c r="E1925" s="1"/>
      <c r="F1925" s="1"/>
      <c r="G1925" s="1"/>
      <c r="H1925" s="15"/>
      <c r="I1925" s="15"/>
      <c r="J1925" s="15"/>
      <c r="K1925" s="15"/>
      <c r="L1925" s="1"/>
    </row>
    <row r="1926">
      <c r="A1926" s="1"/>
      <c r="B1926" s="1"/>
      <c r="E1926" s="1"/>
      <c r="F1926" s="1"/>
      <c r="G1926" s="1"/>
      <c r="H1926" s="15"/>
      <c r="I1926" s="15"/>
      <c r="J1926" s="15"/>
      <c r="K1926" s="15"/>
      <c r="L1926" s="1"/>
    </row>
    <row r="1927">
      <c r="A1927" s="1"/>
      <c r="B1927" s="1"/>
      <c r="E1927" s="1"/>
      <c r="F1927" s="1"/>
      <c r="G1927" s="1"/>
      <c r="H1927" s="15"/>
      <c r="I1927" s="15"/>
      <c r="J1927" s="15"/>
      <c r="K1927" s="15"/>
      <c r="L1927" s="1"/>
    </row>
    <row r="1928">
      <c r="A1928" s="1"/>
      <c r="B1928" s="1"/>
      <c r="E1928" s="1"/>
      <c r="F1928" s="1"/>
      <c r="G1928" s="1"/>
      <c r="H1928" s="15"/>
      <c r="I1928" s="15"/>
      <c r="J1928" s="15"/>
      <c r="K1928" s="15"/>
      <c r="L1928" s="1"/>
    </row>
    <row r="1929">
      <c r="A1929" s="1"/>
      <c r="B1929" s="1"/>
      <c r="E1929" s="1"/>
      <c r="F1929" s="1"/>
      <c r="G1929" s="1"/>
      <c r="H1929" s="15"/>
      <c r="I1929" s="15"/>
      <c r="J1929" s="15"/>
      <c r="K1929" s="15"/>
      <c r="L1929" s="1"/>
    </row>
    <row r="1930">
      <c r="A1930" s="1"/>
      <c r="B1930" s="1"/>
      <c r="E1930" s="1"/>
      <c r="F1930" s="1"/>
      <c r="G1930" s="1"/>
      <c r="H1930" s="15"/>
      <c r="I1930" s="15"/>
      <c r="J1930" s="15"/>
      <c r="K1930" s="15"/>
      <c r="L1930" s="1"/>
    </row>
    <row r="1931">
      <c r="A1931" s="1"/>
      <c r="B1931" s="1"/>
      <c r="E1931" s="1"/>
      <c r="F1931" s="1"/>
      <c r="G1931" s="1"/>
      <c r="H1931" s="15"/>
      <c r="I1931" s="15"/>
      <c r="J1931" s="15"/>
      <c r="K1931" s="15"/>
      <c r="L1931" s="1"/>
    </row>
    <row r="1932">
      <c r="A1932" s="1"/>
      <c r="B1932" s="1"/>
      <c r="E1932" s="1"/>
      <c r="F1932" s="1"/>
      <c r="G1932" s="1"/>
      <c r="H1932" s="15"/>
      <c r="I1932" s="15"/>
      <c r="J1932" s="15"/>
      <c r="K1932" s="15"/>
      <c r="L1932" s="1"/>
    </row>
    <row r="1933">
      <c r="A1933" s="1"/>
      <c r="B1933" s="1"/>
      <c r="E1933" s="1"/>
      <c r="F1933" s="1"/>
      <c r="G1933" s="1"/>
      <c r="H1933" s="15"/>
      <c r="I1933" s="15"/>
      <c r="J1933" s="15"/>
      <c r="K1933" s="15"/>
      <c r="L1933" s="1"/>
    </row>
    <row r="1934">
      <c r="A1934" s="1"/>
      <c r="B1934" s="1"/>
      <c r="E1934" s="1"/>
      <c r="F1934" s="1"/>
      <c r="G1934" s="1"/>
      <c r="H1934" s="15"/>
      <c r="I1934" s="15"/>
      <c r="J1934" s="15"/>
      <c r="K1934" s="15"/>
      <c r="L1934" s="1"/>
    </row>
    <row r="1935">
      <c r="A1935" s="1"/>
      <c r="B1935" s="1"/>
      <c r="E1935" s="1"/>
      <c r="F1935" s="1"/>
      <c r="G1935" s="1"/>
      <c r="H1935" s="15"/>
      <c r="I1935" s="15"/>
      <c r="J1935" s="15"/>
      <c r="K1935" s="15"/>
      <c r="L1935" s="1"/>
    </row>
    <row r="1936">
      <c r="A1936" s="1"/>
      <c r="B1936" s="1"/>
      <c r="E1936" s="1"/>
      <c r="F1936" s="1"/>
      <c r="G1936" s="1"/>
      <c r="H1936" s="15"/>
      <c r="I1936" s="15"/>
      <c r="J1936" s="15"/>
      <c r="K1936" s="15"/>
      <c r="L1936" s="1"/>
    </row>
    <row r="1937">
      <c r="A1937" s="1"/>
      <c r="B1937" s="1"/>
      <c r="E1937" s="1"/>
      <c r="F1937" s="1"/>
      <c r="G1937" s="1"/>
      <c r="H1937" s="15"/>
      <c r="I1937" s="15"/>
      <c r="J1937" s="15"/>
      <c r="K1937" s="15"/>
      <c r="L1937" s="1"/>
    </row>
    <row r="1938">
      <c r="A1938" s="1"/>
      <c r="B1938" s="1"/>
      <c r="E1938" s="1"/>
      <c r="F1938" s="1"/>
      <c r="G1938" s="1"/>
      <c r="H1938" s="15"/>
      <c r="I1938" s="15"/>
      <c r="J1938" s="15"/>
      <c r="K1938" s="15"/>
      <c r="L1938" s="1"/>
    </row>
    <row r="1939">
      <c r="A1939" s="1"/>
      <c r="B1939" s="1"/>
      <c r="E1939" s="1"/>
      <c r="F1939" s="1"/>
      <c r="G1939" s="1"/>
      <c r="H1939" s="15"/>
      <c r="I1939" s="15"/>
      <c r="J1939" s="15"/>
      <c r="K1939" s="15"/>
      <c r="L1939" s="1"/>
    </row>
    <row r="1940">
      <c r="A1940" s="1"/>
      <c r="B1940" s="1"/>
      <c r="E1940" s="1"/>
      <c r="F1940" s="1"/>
      <c r="G1940" s="1"/>
      <c r="H1940" s="15"/>
      <c r="I1940" s="15"/>
      <c r="J1940" s="15"/>
      <c r="K1940" s="15"/>
      <c r="L1940" s="1"/>
    </row>
    <row r="1941">
      <c r="A1941" s="1"/>
      <c r="B1941" s="1"/>
      <c r="E1941" s="1"/>
      <c r="F1941" s="1"/>
      <c r="G1941" s="1"/>
      <c r="H1941" s="15"/>
      <c r="I1941" s="15"/>
      <c r="J1941" s="15"/>
      <c r="K1941" s="15"/>
      <c r="L1941" s="1"/>
    </row>
    <row r="1942">
      <c r="A1942" s="1"/>
      <c r="B1942" s="1"/>
      <c r="E1942" s="1"/>
      <c r="F1942" s="1"/>
      <c r="G1942" s="1"/>
      <c r="H1942" s="15"/>
      <c r="I1942" s="15"/>
      <c r="J1942" s="15"/>
      <c r="K1942" s="15"/>
      <c r="L1942" s="1"/>
    </row>
    <row r="1943">
      <c r="A1943" s="1"/>
      <c r="B1943" s="1"/>
      <c r="E1943" s="1"/>
      <c r="F1943" s="1"/>
      <c r="G1943" s="1"/>
      <c r="H1943" s="15"/>
      <c r="I1943" s="15"/>
      <c r="J1943" s="15"/>
      <c r="K1943" s="15"/>
      <c r="L1943" s="1"/>
    </row>
    <row r="1944">
      <c r="A1944" s="1"/>
      <c r="B1944" s="1"/>
      <c r="E1944" s="1"/>
      <c r="F1944" s="1"/>
      <c r="G1944" s="1"/>
      <c r="H1944" s="15"/>
      <c r="I1944" s="15"/>
      <c r="J1944" s="15"/>
      <c r="K1944" s="15"/>
      <c r="L1944" s="1"/>
    </row>
    <row r="1945">
      <c r="A1945" s="1"/>
      <c r="B1945" s="1"/>
      <c r="E1945" s="1"/>
      <c r="F1945" s="1"/>
      <c r="G1945" s="1"/>
      <c r="H1945" s="15"/>
      <c r="I1945" s="15"/>
      <c r="J1945" s="15"/>
      <c r="K1945" s="15"/>
      <c r="L1945" s="1"/>
    </row>
    <row r="1946">
      <c r="A1946" s="1"/>
      <c r="B1946" s="1"/>
      <c r="E1946" s="1"/>
      <c r="F1946" s="1"/>
      <c r="G1946" s="1"/>
      <c r="H1946" s="15"/>
      <c r="I1946" s="15"/>
      <c r="J1946" s="15"/>
      <c r="K1946" s="15"/>
      <c r="L1946" s="1"/>
    </row>
    <row r="1947">
      <c r="A1947" s="1"/>
      <c r="B1947" s="1"/>
      <c r="E1947" s="1"/>
      <c r="F1947" s="1"/>
      <c r="G1947" s="1"/>
      <c r="H1947" s="15"/>
      <c r="I1947" s="15"/>
      <c r="J1947" s="15"/>
      <c r="K1947" s="15"/>
      <c r="L1947" s="1"/>
    </row>
    <row r="1948">
      <c r="A1948" s="1"/>
      <c r="B1948" s="1"/>
      <c r="E1948" s="1"/>
      <c r="F1948" s="1"/>
      <c r="G1948" s="1"/>
      <c r="H1948" s="15"/>
      <c r="I1948" s="15"/>
      <c r="J1948" s="15"/>
      <c r="K1948" s="15"/>
      <c r="L1948" s="1"/>
    </row>
    <row r="1949">
      <c r="A1949" s="1"/>
      <c r="B1949" s="1"/>
      <c r="E1949" s="1"/>
      <c r="F1949" s="1"/>
      <c r="G1949" s="1"/>
      <c r="H1949" s="15"/>
      <c r="I1949" s="15"/>
      <c r="J1949" s="15"/>
      <c r="K1949" s="15"/>
      <c r="L1949" s="1"/>
    </row>
    <row r="1950">
      <c r="A1950" s="1"/>
      <c r="B1950" s="1"/>
      <c r="E1950" s="1"/>
      <c r="F1950" s="1"/>
      <c r="G1950" s="1"/>
      <c r="H1950" s="15"/>
      <c r="I1950" s="15"/>
      <c r="J1950" s="15"/>
      <c r="K1950" s="15"/>
      <c r="L1950" s="1"/>
    </row>
    <row r="1951">
      <c r="A1951" s="1"/>
      <c r="B1951" s="1"/>
      <c r="E1951" s="1"/>
      <c r="F1951" s="1"/>
      <c r="G1951" s="1"/>
      <c r="H1951" s="15"/>
      <c r="I1951" s="15"/>
      <c r="J1951" s="15"/>
      <c r="K1951" s="15"/>
      <c r="L1951" s="1"/>
    </row>
    <row r="1952">
      <c r="A1952" s="1"/>
      <c r="B1952" s="1"/>
      <c r="E1952" s="1"/>
      <c r="F1952" s="1"/>
      <c r="G1952" s="1"/>
      <c r="H1952" s="15"/>
      <c r="I1952" s="15"/>
      <c r="J1952" s="15"/>
      <c r="K1952" s="15"/>
      <c r="L1952" s="1"/>
    </row>
    <row r="1953">
      <c r="A1953" s="1"/>
      <c r="B1953" s="1"/>
      <c r="E1953" s="1"/>
      <c r="F1953" s="1"/>
      <c r="G1953" s="1"/>
      <c r="H1953" s="15"/>
      <c r="I1953" s="15"/>
      <c r="J1953" s="15"/>
      <c r="K1953" s="15"/>
      <c r="L1953" s="1"/>
    </row>
    <row r="1954">
      <c r="A1954" s="1"/>
      <c r="B1954" s="1"/>
      <c r="E1954" s="1"/>
      <c r="F1954" s="1"/>
      <c r="G1954" s="1"/>
      <c r="H1954" s="15"/>
      <c r="I1954" s="15"/>
      <c r="J1954" s="15"/>
      <c r="K1954" s="15"/>
      <c r="L1954" s="1"/>
    </row>
    <row r="1955">
      <c r="A1955" s="1"/>
      <c r="B1955" s="1"/>
      <c r="E1955" s="1"/>
      <c r="F1955" s="1"/>
      <c r="G1955" s="1"/>
      <c r="H1955" s="15"/>
      <c r="I1955" s="15"/>
      <c r="J1955" s="15"/>
      <c r="K1955" s="15"/>
      <c r="L1955" s="1"/>
    </row>
    <row r="1956">
      <c r="A1956" s="1"/>
      <c r="B1956" s="1"/>
      <c r="E1956" s="1"/>
      <c r="F1956" s="1"/>
      <c r="G1956" s="1"/>
      <c r="H1956" s="15"/>
      <c r="I1956" s="15"/>
      <c r="J1956" s="15"/>
      <c r="K1956" s="15"/>
      <c r="L1956" s="1"/>
    </row>
    <row r="1957">
      <c r="A1957" s="1"/>
      <c r="B1957" s="1"/>
      <c r="E1957" s="1"/>
      <c r="F1957" s="1"/>
      <c r="G1957" s="1"/>
      <c r="H1957" s="15"/>
      <c r="I1957" s="15"/>
      <c r="J1957" s="15"/>
      <c r="K1957" s="15"/>
      <c r="L1957" s="1"/>
    </row>
    <row r="1958">
      <c r="A1958" s="1"/>
      <c r="B1958" s="1"/>
      <c r="E1958" s="1"/>
      <c r="F1958" s="1"/>
      <c r="G1958" s="1"/>
      <c r="H1958" s="15"/>
      <c r="I1958" s="15"/>
      <c r="J1958" s="15"/>
      <c r="K1958" s="15"/>
      <c r="L1958" s="1"/>
    </row>
    <row r="1959">
      <c r="A1959" s="1"/>
      <c r="B1959" s="1"/>
      <c r="E1959" s="1"/>
      <c r="F1959" s="1"/>
      <c r="G1959" s="1"/>
      <c r="H1959" s="15"/>
      <c r="I1959" s="15"/>
      <c r="J1959" s="15"/>
      <c r="K1959" s="15"/>
      <c r="L1959" s="1"/>
    </row>
    <row r="1960">
      <c r="A1960" s="1"/>
      <c r="B1960" s="1"/>
      <c r="E1960" s="1"/>
      <c r="F1960" s="1"/>
      <c r="G1960" s="1"/>
      <c r="H1960" s="15"/>
      <c r="I1960" s="15"/>
      <c r="J1960" s="15"/>
      <c r="K1960" s="15"/>
      <c r="L1960" s="1"/>
    </row>
    <row r="1961">
      <c r="A1961" s="1"/>
      <c r="B1961" s="1"/>
      <c r="E1961" s="1"/>
      <c r="F1961" s="1"/>
      <c r="G1961" s="1"/>
      <c r="H1961" s="15"/>
      <c r="I1961" s="15"/>
      <c r="J1961" s="15"/>
      <c r="K1961" s="15"/>
      <c r="L1961" s="1"/>
    </row>
    <row r="1962">
      <c r="A1962" s="1"/>
      <c r="B1962" s="1"/>
      <c r="E1962" s="1"/>
      <c r="F1962" s="1"/>
      <c r="G1962" s="1"/>
      <c r="H1962" s="15"/>
      <c r="I1962" s="15"/>
      <c r="J1962" s="15"/>
      <c r="K1962" s="15"/>
      <c r="L1962" s="1"/>
    </row>
    <row r="1963">
      <c r="A1963" s="1"/>
      <c r="B1963" s="1"/>
      <c r="E1963" s="1"/>
      <c r="F1963" s="1"/>
      <c r="G1963" s="1"/>
      <c r="H1963" s="15"/>
      <c r="I1963" s="15"/>
      <c r="J1963" s="15"/>
      <c r="K1963" s="15"/>
      <c r="L1963" s="1"/>
    </row>
    <row r="1964">
      <c r="A1964" s="1"/>
      <c r="B1964" s="1"/>
      <c r="E1964" s="1"/>
      <c r="F1964" s="1"/>
      <c r="G1964" s="1"/>
      <c r="H1964" s="15"/>
      <c r="I1964" s="15"/>
      <c r="J1964" s="15"/>
      <c r="K1964" s="15"/>
      <c r="L1964" s="1"/>
    </row>
    <row r="1965">
      <c r="A1965" s="1"/>
      <c r="B1965" s="1"/>
      <c r="E1965" s="1"/>
      <c r="F1965" s="1"/>
      <c r="G1965" s="1"/>
      <c r="H1965" s="15"/>
      <c r="I1965" s="15"/>
      <c r="J1965" s="15"/>
      <c r="K1965" s="15"/>
      <c r="L1965" s="1"/>
    </row>
    <row r="1966">
      <c r="A1966" s="1"/>
      <c r="B1966" s="1"/>
      <c r="E1966" s="1"/>
      <c r="F1966" s="1"/>
      <c r="G1966" s="1"/>
      <c r="H1966" s="15"/>
      <c r="I1966" s="15"/>
      <c r="J1966" s="15"/>
      <c r="K1966" s="15"/>
      <c r="L1966" s="1"/>
    </row>
    <row r="1967">
      <c r="A1967" s="1"/>
      <c r="B1967" s="1"/>
      <c r="E1967" s="1"/>
      <c r="F1967" s="1"/>
      <c r="G1967" s="1"/>
      <c r="H1967" s="15"/>
      <c r="I1967" s="15"/>
      <c r="J1967" s="15"/>
      <c r="K1967" s="15"/>
      <c r="L1967" s="1"/>
    </row>
    <row r="1968">
      <c r="A1968" s="1"/>
      <c r="B1968" s="1"/>
      <c r="E1968" s="1"/>
      <c r="F1968" s="1"/>
      <c r="G1968" s="1"/>
      <c r="H1968" s="15"/>
      <c r="I1968" s="15"/>
      <c r="J1968" s="15"/>
      <c r="K1968" s="15"/>
      <c r="L1968" s="1"/>
    </row>
    <row r="1969">
      <c r="A1969" s="1"/>
      <c r="B1969" s="1"/>
      <c r="E1969" s="1"/>
      <c r="F1969" s="1"/>
      <c r="G1969" s="1"/>
      <c r="H1969" s="15"/>
      <c r="I1969" s="15"/>
      <c r="J1969" s="15"/>
      <c r="K1969" s="15"/>
      <c r="L1969" s="1"/>
    </row>
    <row r="1970">
      <c r="A1970" s="1"/>
      <c r="B1970" s="1"/>
      <c r="E1970" s="1"/>
      <c r="F1970" s="1"/>
      <c r="G1970" s="1"/>
      <c r="H1970" s="15"/>
      <c r="I1970" s="15"/>
      <c r="J1970" s="15"/>
      <c r="K1970" s="15"/>
      <c r="L1970" s="1"/>
    </row>
    <row r="1971">
      <c r="A1971" s="1"/>
      <c r="B1971" s="1"/>
      <c r="E1971" s="1"/>
      <c r="F1971" s="1"/>
      <c r="G1971" s="1"/>
      <c r="H1971" s="15"/>
      <c r="I1971" s="15"/>
      <c r="J1971" s="15"/>
      <c r="K1971" s="15"/>
      <c r="L1971" s="1"/>
    </row>
    <row r="1972">
      <c r="A1972" s="1"/>
      <c r="B1972" s="1"/>
      <c r="E1972" s="1"/>
      <c r="F1972" s="1"/>
      <c r="G1972" s="1"/>
      <c r="H1972" s="15"/>
      <c r="I1972" s="15"/>
      <c r="J1972" s="15"/>
      <c r="K1972" s="15"/>
      <c r="L1972" s="1"/>
    </row>
    <row r="1973">
      <c r="A1973" s="1"/>
      <c r="B1973" s="1"/>
      <c r="E1973" s="1"/>
      <c r="F1973" s="1"/>
      <c r="G1973" s="1"/>
      <c r="H1973" s="15"/>
      <c r="I1973" s="15"/>
      <c r="J1973" s="15"/>
      <c r="K1973" s="15"/>
      <c r="L1973" s="1"/>
    </row>
    <row r="1974">
      <c r="A1974" s="1"/>
      <c r="B1974" s="1"/>
      <c r="E1974" s="1"/>
      <c r="F1974" s="1"/>
      <c r="G1974" s="1"/>
      <c r="H1974" s="15"/>
      <c r="I1974" s="15"/>
      <c r="J1974" s="15"/>
      <c r="K1974" s="15"/>
      <c r="L1974" s="1"/>
    </row>
    <row r="1975">
      <c r="A1975" s="1"/>
      <c r="B1975" s="1"/>
      <c r="E1975" s="1"/>
      <c r="F1975" s="1"/>
      <c r="G1975" s="1"/>
      <c r="H1975" s="15"/>
      <c r="I1975" s="15"/>
      <c r="J1975" s="15"/>
      <c r="K1975" s="15"/>
      <c r="L1975" s="1"/>
    </row>
    <row r="1976">
      <c r="A1976" s="1"/>
      <c r="B1976" s="1"/>
      <c r="E1976" s="1"/>
      <c r="F1976" s="1"/>
      <c r="G1976" s="1"/>
      <c r="H1976" s="15"/>
      <c r="I1976" s="15"/>
      <c r="J1976" s="15"/>
      <c r="K1976" s="15"/>
      <c r="L1976" s="1"/>
    </row>
    <row r="1977">
      <c r="A1977" s="1"/>
      <c r="B1977" s="1"/>
      <c r="E1977" s="1"/>
      <c r="F1977" s="1"/>
      <c r="G1977" s="1"/>
      <c r="H1977" s="15"/>
      <c r="I1977" s="15"/>
      <c r="J1977" s="15"/>
      <c r="K1977" s="15"/>
      <c r="L1977" s="1"/>
    </row>
    <row r="1978">
      <c r="A1978" s="1"/>
      <c r="B1978" s="1"/>
      <c r="E1978" s="1"/>
      <c r="F1978" s="1"/>
      <c r="G1978" s="1"/>
      <c r="H1978" s="15"/>
      <c r="I1978" s="15"/>
      <c r="J1978" s="15"/>
      <c r="K1978" s="15"/>
      <c r="L1978" s="1"/>
    </row>
    <row r="1979">
      <c r="A1979" s="1"/>
      <c r="B1979" s="1"/>
      <c r="E1979" s="1"/>
      <c r="F1979" s="1"/>
      <c r="G1979" s="1"/>
      <c r="H1979" s="15"/>
      <c r="I1979" s="15"/>
      <c r="J1979" s="15"/>
      <c r="K1979" s="15"/>
      <c r="L1979" s="1"/>
    </row>
    <row r="1980">
      <c r="A1980" s="1"/>
      <c r="B1980" s="1"/>
      <c r="E1980" s="1"/>
      <c r="F1980" s="1"/>
      <c r="G1980" s="1"/>
      <c r="H1980" s="15"/>
      <c r="I1980" s="15"/>
      <c r="J1980" s="15"/>
      <c r="K1980" s="15"/>
      <c r="L1980" s="1"/>
    </row>
    <row r="1981">
      <c r="A1981" s="1"/>
      <c r="B1981" s="1"/>
      <c r="E1981" s="1"/>
      <c r="F1981" s="1"/>
      <c r="G1981" s="1"/>
      <c r="H1981" s="15"/>
      <c r="I1981" s="15"/>
      <c r="J1981" s="15"/>
      <c r="K1981" s="15"/>
      <c r="L1981" s="1"/>
    </row>
    <row r="1982">
      <c r="A1982" s="1"/>
      <c r="B1982" s="1"/>
      <c r="E1982" s="1"/>
      <c r="F1982" s="1"/>
      <c r="G1982" s="1"/>
      <c r="H1982" s="15"/>
      <c r="I1982" s="15"/>
      <c r="J1982" s="15"/>
      <c r="K1982" s="15"/>
      <c r="L1982" s="1"/>
    </row>
    <row r="1983">
      <c r="A1983" s="1"/>
      <c r="B1983" s="1"/>
      <c r="E1983" s="1"/>
      <c r="F1983" s="1"/>
      <c r="G1983" s="1"/>
      <c r="H1983" s="15"/>
      <c r="I1983" s="15"/>
      <c r="J1983" s="15"/>
      <c r="K1983" s="15"/>
      <c r="L1983" s="1"/>
    </row>
    <row r="1984">
      <c r="A1984" s="1"/>
      <c r="B1984" s="1"/>
      <c r="E1984" s="1"/>
      <c r="F1984" s="1"/>
      <c r="G1984" s="1"/>
      <c r="H1984" s="15"/>
      <c r="I1984" s="15"/>
      <c r="J1984" s="15"/>
      <c r="K1984" s="15"/>
      <c r="L1984" s="1"/>
    </row>
    <row r="1985">
      <c r="A1985" s="1"/>
      <c r="B1985" s="1"/>
      <c r="E1985" s="1"/>
      <c r="F1985" s="1"/>
      <c r="G1985" s="1"/>
      <c r="H1985" s="15"/>
      <c r="I1985" s="15"/>
      <c r="J1985" s="15"/>
      <c r="K1985" s="15"/>
      <c r="L1985" s="1"/>
    </row>
    <row r="1986">
      <c r="A1986" s="1"/>
      <c r="B1986" s="1"/>
      <c r="E1986" s="1"/>
      <c r="F1986" s="1"/>
      <c r="G1986" s="1"/>
      <c r="H1986" s="15"/>
      <c r="I1986" s="15"/>
      <c r="J1986" s="15"/>
      <c r="K1986" s="15"/>
      <c r="L1986" s="1"/>
    </row>
    <row r="1987">
      <c r="A1987" s="1"/>
      <c r="B1987" s="1"/>
      <c r="E1987" s="1"/>
      <c r="F1987" s="1"/>
      <c r="G1987" s="1"/>
      <c r="H1987" s="15"/>
      <c r="I1987" s="15"/>
      <c r="J1987" s="15"/>
      <c r="K1987" s="15"/>
      <c r="L1987" s="1"/>
    </row>
    <row r="1988">
      <c r="A1988" s="1"/>
      <c r="B1988" s="1"/>
      <c r="E1988" s="1"/>
      <c r="F1988" s="1"/>
      <c r="G1988" s="1"/>
      <c r="H1988" s="15"/>
      <c r="I1988" s="15"/>
      <c r="J1988" s="15"/>
      <c r="K1988" s="15"/>
      <c r="L1988" s="1"/>
    </row>
    <row r="1989">
      <c r="A1989" s="1"/>
      <c r="B1989" s="1"/>
      <c r="E1989" s="1"/>
      <c r="F1989" s="1"/>
      <c r="G1989" s="1"/>
      <c r="H1989" s="15"/>
      <c r="I1989" s="15"/>
      <c r="J1989" s="15"/>
      <c r="K1989" s="15"/>
      <c r="L1989" s="1"/>
    </row>
    <row r="1990">
      <c r="A1990" s="1"/>
      <c r="B1990" s="1"/>
      <c r="E1990" s="1"/>
      <c r="F1990" s="1"/>
      <c r="G1990" s="1"/>
      <c r="H1990" s="15"/>
      <c r="I1990" s="15"/>
      <c r="J1990" s="15"/>
      <c r="K1990" s="15"/>
      <c r="L1990" s="1"/>
    </row>
    <row r="1991">
      <c r="A1991" s="1"/>
      <c r="B1991" s="1"/>
      <c r="E1991" s="1"/>
      <c r="F1991" s="1"/>
      <c r="G1991" s="1"/>
      <c r="H1991" s="15"/>
      <c r="I1991" s="15"/>
      <c r="J1991" s="15"/>
      <c r="K1991" s="15"/>
      <c r="L1991" s="1"/>
    </row>
    <row r="1992">
      <c r="A1992" s="1"/>
      <c r="B1992" s="1"/>
      <c r="E1992" s="1"/>
      <c r="F1992" s="1"/>
      <c r="G1992" s="1"/>
      <c r="H1992" s="15"/>
      <c r="I1992" s="15"/>
      <c r="J1992" s="15"/>
      <c r="K1992" s="15"/>
      <c r="L1992" s="1"/>
    </row>
    <row r="1993">
      <c r="A1993" s="1"/>
      <c r="B1993" s="1"/>
      <c r="E1993" s="1"/>
      <c r="F1993" s="1"/>
      <c r="G1993" s="1"/>
      <c r="H1993" s="15"/>
      <c r="I1993" s="15"/>
      <c r="J1993" s="15"/>
      <c r="K1993" s="15"/>
      <c r="L1993" s="1"/>
    </row>
    <row r="1994">
      <c r="A1994" s="1"/>
      <c r="B1994" s="1"/>
      <c r="E1994" s="1"/>
      <c r="F1994" s="1"/>
      <c r="G1994" s="1"/>
      <c r="H1994" s="15"/>
      <c r="I1994" s="15"/>
      <c r="J1994" s="15"/>
      <c r="K1994" s="15"/>
      <c r="L1994" s="1"/>
    </row>
    <row r="1995">
      <c r="A1995" s="1"/>
      <c r="B1995" s="1"/>
      <c r="E1995" s="1"/>
      <c r="F1995" s="1"/>
      <c r="G1995" s="1"/>
      <c r="H1995" s="15"/>
      <c r="I1995" s="15"/>
      <c r="J1995" s="15"/>
      <c r="K1995" s="15"/>
      <c r="L1995" s="1"/>
    </row>
    <row r="1996">
      <c r="A1996" s="1"/>
      <c r="B1996" s="1"/>
      <c r="E1996" s="1"/>
      <c r="F1996" s="1"/>
      <c r="G1996" s="1"/>
      <c r="H1996" s="15"/>
      <c r="I1996" s="15"/>
      <c r="J1996" s="15"/>
      <c r="K1996" s="15"/>
      <c r="L1996" s="1"/>
    </row>
    <row r="1997">
      <c r="A1997" s="1"/>
      <c r="B1997" s="1"/>
      <c r="E1997" s="1"/>
      <c r="F1997" s="1"/>
      <c r="G1997" s="1"/>
      <c r="H1997" s="15"/>
      <c r="I1997" s="15"/>
      <c r="J1997" s="15"/>
      <c r="K1997" s="15"/>
      <c r="L1997" s="1"/>
    </row>
    <row r="1998">
      <c r="A1998" s="1"/>
      <c r="B1998" s="1"/>
      <c r="E1998" s="1"/>
      <c r="F1998" s="1"/>
      <c r="G1998" s="1"/>
      <c r="H1998" s="15"/>
      <c r="I1998" s="15"/>
      <c r="J1998" s="15"/>
      <c r="K1998" s="15"/>
      <c r="L1998" s="1"/>
    </row>
    <row r="1999">
      <c r="A1999" s="1"/>
      <c r="B1999" s="1"/>
      <c r="E1999" s="1"/>
      <c r="F1999" s="1"/>
      <c r="G1999" s="1"/>
      <c r="H1999" s="15"/>
      <c r="I1999" s="15"/>
      <c r="J1999" s="15"/>
      <c r="K1999" s="15"/>
      <c r="L1999" s="1"/>
    </row>
    <row r="2000">
      <c r="A2000" s="1"/>
      <c r="B2000" s="1"/>
      <c r="E2000" s="1"/>
      <c r="F2000" s="1"/>
      <c r="G2000" s="1"/>
      <c r="H2000" s="15"/>
      <c r="I2000" s="15"/>
      <c r="J2000" s="15"/>
      <c r="K2000" s="15"/>
      <c r="L2000" s="1"/>
    </row>
    <row r="2001">
      <c r="A2001" s="1"/>
      <c r="B2001" s="1"/>
      <c r="E2001" s="1"/>
      <c r="F2001" s="1"/>
      <c r="G2001" s="1"/>
      <c r="H2001" s="15"/>
      <c r="I2001" s="15"/>
      <c r="J2001" s="15"/>
      <c r="K2001" s="15"/>
      <c r="L2001" s="1"/>
    </row>
    <row r="2002">
      <c r="A2002" s="1"/>
      <c r="B2002" s="1"/>
      <c r="E2002" s="1"/>
      <c r="F2002" s="1"/>
      <c r="G2002" s="1"/>
      <c r="H2002" s="15"/>
      <c r="I2002" s="15"/>
      <c r="J2002" s="15"/>
      <c r="K2002" s="15"/>
      <c r="L2002" s="1"/>
    </row>
    <row r="2003">
      <c r="A2003" s="1"/>
      <c r="B2003" s="1"/>
      <c r="E2003" s="1"/>
      <c r="F2003" s="1"/>
      <c r="G2003" s="1"/>
      <c r="H2003" s="15"/>
      <c r="I2003" s="15"/>
      <c r="J2003" s="15"/>
      <c r="K2003" s="15"/>
      <c r="L2003" s="1"/>
    </row>
    <row r="2004">
      <c r="A2004" s="1"/>
      <c r="B2004" s="1"/>
      <c r="E2004" s="1"/>
      <c r="F2004" s="1"/>
      <c r="G2004" s="1"/>
      <c r="H2004" s="15"/>
      <c r="I2004" s="15"/>
      <c r="J2004" s="15"/>
      <c r="K2004" s="15"/>
      <c r="L2004" s="1"/>
    </row>
    <row r="2005">
      <c r="A2005" s="1"/>
      <c r="B2005" s="1"/>
      <c r="E2005" s="1"/>
      <c r="F2005" s="1"/>
      <c r="G2005" s="1"/>
      <c r="H2005" s="15"/>
      <c r="I2005" s="15"/>
      <c r="J2005" s="15"/>
      <c r="K2005" s="15"/>
      <c r="L2005" s="1"/>
    </row>
    <row r="2006">
      <c r="A2006" s="1"/>
      <c r="B2006" s="1"/>
      <c r="E2006" s="1"/>
      <c r="F2006" s="1"/>
      <c r="G2006" s="1"/>
      <c r="H2006" s="15"/>
      <c r="I2006" s="15"/>
      <c r="J2006" s="15"/>
      <c r="K2006" s="15"/>
      <c r="L2006" s="1"/>
    </row>
    <row r="2007">
      <c r="A2007" s="1"/>
      <c r="B2007" s="1"/>
      <c r="E2007" s="1"/>
      <c r="F2007" s="1"/>
      <c r="G2007" s="1"/>
      <c r="H2007" s="15"/>
      <c r="I2007" s="15"/>
      <c r="J2007" s="15"/>
      <c r="K2007" s="15"/>
      <c r="L2007" s="1"/>
    </row>
    <row r="2008">
      <c r="A2008" s="1"/>
      <c r="B2008" s="1"/>
      <c r="E2008" s="1"/>
      <c r="F2008" s="1"/>
      <c r="G2008" s="1"/>
      <c r="H2008" s="15"/>
      <c r="I2008" s="15"/>
      <c r="J2008" s="15"/>
      <c r="K2008" s="15"/>
      <c r="L2008" s="1"/>
    </row>
    <row r="2009">
      <c r="A2009" s="1"/>
      <c r="B2009" s="1"/>
      <c r="E2009" s="1"/>
      <c r="F2009" s="1"/>
      <c r="G2009" s="1"/>
      <c r="H2009" s="15"/>
      <c r="I2009" s="15"/>
      <c r="J2009" s="15"/>
      <c r="K2009" s="15"/>
      <c r="L2009" s="1"/>
    </row>
    <row r="2010">
      <c r="A2010" s="1"/>
      <c r="B2010" s="1"/>
      <c r="E2010" s="1"/>
      <c r="F2010" s="1"/>
      <c r="G2010" s="1"/>
      <c r="H2010" s="15"/>
      <c r="I2010" s="15"/>
      <c r="J2010" s="15"/>
      <c r="K2010" s="15"/>
      <c r="L2010" s="1"/>
    </row>
    <row r="2011">
      <c r="A2011" s="1"/>
      <c r="B2011" s="1"/>
      <c r="E2011" s="1"/>
      <c r="F2011" s="1"/>
      <c r="G2011" s="1"/>
      <c r="H2011" s="15"/>
      <c r="I2011" s="15"/>
      <c r="J2011" s="15"/>
      <c r="K2011" s="15"/>
      <c r="L2011" s="1"/>
    </row>
    <row r="2012">
      <c r="A2012" s="1"/>
      <c r="B2012" s="1"/>
      <c r="E2012" s="1"/>
      <c r="F2012" s="1"/>
      <c r="G2012" s="1"/>
      <c r="H2012" s="15"/>
      <c r="I2012" s="15"/>
      <c r="J2012" s="15"/>
      <c r="K2012" s="15"/>
      <c r="L2012" s="1"/>
    </row>
    <row r="2013">
      <c r="A2013" s="1"/>
      <c r="B2013" s="1"/>
      <c r="E2013" s="1"/>
      <c r="F2013" s="1"/>
      <c r="G2013" s="1"/>
      <c r="H2013" s="15"/>
      <c r="I2013" s="15"/>
      <c r="J2013" s="15"/>
      <c r="K2013" s="15"/>
      <c r="L2013" s="1"/>
    </row>
    <row r="2014">
      <c r="A2014" s="1"/>
      <c r="B2014" s="1"/>
      <c r="E2014" s="1"/>
      <c r="F2014" s="1"/>
      <c r="G2014" s="1"/>
      <c r="H2014" s="15"/>
      <c r="I2014" s="15"/>
      <c r="J2014" s="15"/>
      <c r="K2014" s="15"/>
      <c r="L2014" s="1"/>
    </row>
    <row r="2015">
      <c r="A2015" s="1"/>
      <c r="B2015" s="1"/>
      <c r="E2015" s="1"/>
      <c r="F2015" s="1"/>
      <c r="G2015" s="1"/>
      <c r="H2015" s="15"/>
      <c r="I2015" s="15"/>
      <c r="J2015" s="15"/>
      <c r="K2015" s="15"/>
      <c r="L2015" s="1"/>
    </row>
    <row r="2016">
      <c r="A2016" s="1"/>
      <c r="B2016" s="1"/>
      <c r="E2016" s="1"/>
      <c r="F2016" s="1"/>
      <c r="G2016" s="1"/>
      <c r="H2016" s="15"/>
      <c r="I2016" s="15"/>
      <c r="J2016" s="15"/>
      <c r="K2016" s="15"/>
      <c r="L2016" s="1"/>
    </row>
    <row r="2017">
      <c r="A2017" s="1"/>
      <c r="B2017" s="1"/>
      <c r="E2017" s="1"/>
      <c r="F2017" s="1"/>
      <c r="G2017" s="1"/>
      <c r="H2017" s="15"/>
      <c r="I2017" s="15"/>
      <c r="J2017" s="15"/>
      <c r="K2017" s="15"/>
      <c r="L2017" s="1"/>
    </row>
    <row r="2018">
      <c r="A2018" s="1"/>
      <c r="B2018" s="1"/>
      <c r="E2018" s="1"/>
      <c r="F2018" s="1"/>
      <c r="G2018" s="1"/>
      <c r="H2018" s="15"/>
      <c r="I2018" s="15"/>
      <c r="J2018" s="15"/>
      <c r="K2018" s="15"/>
      <c r="L2018" s="1"/>
    </row>
    <row r="2019">
      <c r="A2019" s="1"/>
      <c r="B2019" s="1"/>
      <c r="E2019" s="1"/>
      <c r="F2019" s="1"/>
      <c r="G2019" s="1"/>
      <c r="H2019" s="15"/>
      <c r="I2019" s="15"/>
      <c r="J2019" s="15"/>
      <c r="K2019" s="15"/>
      <c r="L2019" s="1"/>
    </row>
    <row r="2020">
      <c r="A2020" s="1"/>
      <c r="B2020" s="1"/>
      <c r="E2020" s="1"/>
      <c r="F2020" s="1"/>
      <c r="G2020" s="1"/>
      <c r="H2020" s="15"/>
      <c r="I2020" s="15"/>
      <c r="J2020" s="15"/>
      <c r="K2020" s="15"/>
      <c r="L2020" s="1"/>
    </row>
    <row r="2021">
      <c r="A2021" s="1"/>
      <c r="B2021" s="1"/>
      <c r="E2021" s="1"/>
      <c r="F2021" s="1"/>
      <c r="G2021" s="1"/>
      <c r="H2021" s="15"/>
      <c r="I2021" s="15"/>
      <c r="J2021" s="15"/>
      <c r="K2021" s="15"/>
      <c r="L2021" s="1"/>
    </row>
    <row r="2022">
      <c r="A2022" s="1"/>
      <c r="B2022" s="1"/>
      <c r="E2022" s="1"/>
      <c r="F2022" s="1"/>
      <c r="G2022" s="1"/>
      <c r="H2022" s="15"/>
      <c r="I2022" s="15"/>
      <c r="J2022" s="15"/>
      <c r="K2022" s="15"/>
      <c r="L2022" s="1"/>
    </row>
    <row r="2023">
      <c r="A2023" s="1"/>
      <c r="B2023" s="1"/>
      <c r="E2023" s="1"/>
      <c r="F2023" s="1"/>
      <c r="G2023" s="1"/>
      <c r="H2023" s="15"/>
      <c r="I2023" s="15"/>
      <c r="J2023" s="15"/>
      <c r="K2023" s="15"/>
      <c r="L2023" s="1"/>
    </row>
    <row r="2024">
      <c r="A2024" s="1"/>
      <c r="B2024" s="1"/>
      <c r="E2024" s="1"/>
      <c r="F2024" s="1"/>
      <c r="G2024" s="1"/>
      <c r="H2024" s="15"/>
      <c r="I2024" s="15"/>
      <c r="J2024" s="15"/>
      <c r="K2024" s="15"/>
      <c r="L2024" s="1"/>
    </row>
    <row r="2025">
      <c r="A2025" s="1"/>
      <c r="B2025" s="1"/>
      <c r="E2025" s="1"/>
      <c r="F2025" s="1"/>
      <c r="G2025" s="1"/>
      <c r="H2025" s="15"/>
      <c r="I2025" s="15"/>
      <c r="J2025" s="15"/>
      <c r="K2025" s="15"/>
      <c r="L2025" s="1"/>
    </row>
    <row r="2026">
      <c r="A2026" s="1"/>
      <c r="B2026" s="1"/>
      <c r="E2026" s="1"/>
      <c r="F2026" s="1"/>
      <c r="G2026" s="1"/>
      <c r="H2026" s="15"/>
      <c r="I2026" s="15"/>
      <c r="J2026" s="15"/>
      <c r="K2026" s="15"/>
      <c r="L2026" s="1"/>
    </row>
    <row r="2027">
      <c r="A2027" s="1"/>
      <c r="B2027" s="1"/>
      <c r="E2027" s="1"/>
      <c r="F2027" s="1"/>
      <c r="G2027" s="1"/>
      <c r="H2027" s="15"/>
      <c r="I2027" s="15"/>
      <c r="J2027" s="15"/>
      <c r="K2027" s="15"/>
      <c r="L2027" s="1"/>
    </row>
    <row r="2028">
      <c r="A2028" s="1"/>
      <c r="B2028" s="1"/>
      <c r="E2028" s="1"/>
      <c r="F2028" s="1"/>
      <c r="G2028" s="1"/>
      <c r="H2028" s="15"/>
      <c r="I2028" s="15"/>
      <c r="J2028" s="15"/>
      <c r="K2028" s="15"/>
      <c r="L2028" s="1"/>
    </row>
    <row r="2029">
      <c r="A2029" s="1"/>
      <c r="B2029" s="1"/>
      <c r="E2029" s="1"/>
      <c r="F2029" s="1"/>
      <c r="G2029" s="1"/>
      <c r="H2029" s="15"/>
      <c r="I2029" s="15"/>
      <c r="J2029" s="15"/>
      <c r="K2029" s="15"/>
      <c r="L2029" s="1"/>
    </row>
    <row r="2030">
      <c r="A2030" s="1"/>
      <c r="B2030" s="1"/>
      <c r="E2030" s="1"/>
      <c r="F2030" s="1"/>
      <c r="G2030" s="1"/>
      <c r="H2030" s="15"/>
      <c r="I2030" s="15"/>
      <c r="J2030" s="15"/>
      <c r="K2030" s="15"/>
      <c r="L2030" s="1"/>
    </row>
    <row r="2031">
      <c r="A2031" s="1"/>
      <c r="B2031" s="1"/>
      <c r="E2031" s="1"/>
      <c r="F2031" s="1"/>
      <c r="G2031" s="1"/>
      <c r="H2031" s="15"/>
      <c r="I2031" s="15"/>
      <c r="J2031" s="15"/>
      <c r="K2031" s="15"/>
      <c r="L2031" s="1"/>
    </row>
    <row r="2032">
      <c r="A2032" s="1"/>
      <c r="B2032" s="1"/>
      <c r="E2032" s="1"/>
      <c r="F2032" s="1"/>
      <c r="G2032" s="1"/>
      <c r="H2032" s="15"/>
      <c r="I2032" s="15"/>
      <c r="J2032" s="15"/>
      <c r="K2032" s="15"/>
      <c r="L2032" s="1"/>
    </row>
    <row r="2033">
      <c r="A2033" s="1"/>
      <c r="B2033" s="1"/>
      <c r="E2033" s="1"/>
      <c r="F2033" s="1"/>
      <c r="G2033" s="1"/>
      <c r="H2033" s="15"/>
      <c r="I2033" s="15"/>
      <c r="J2033" s="15"/>
      <c r="K2033" s="15"/>
      <c r="L2033" s="1"/>
    </row>
    <row r="2034">
      <c r="A2034" s="1"/>
      <c r="B2034" s="1"/>
      <c r="E2034" s="1"/>
      <c r="F2034" s="1"/>
      <c r="G2034" s="1"/>
      <c r="H2034" s="15"/>
      <c r="I2034" s="15"/>
      <c r="J2034" s="15"/>
      <c r="K2034" s="15"/>
      <c r="L2034" s="1"/>
    </row>
    <row r="2035">
      <c r="A2035" s="1"/>
      <c r="B2035" s="1"/>
      <c r="E2035" s="1"/>
      <c r="F2035" s="1"/>
      <c r="G2035" s="1"/>
      <c r="H2035" s="15"/>
      <c r="I2035" s="15"/>
      <c r="J2035" s="15"/>
      <c r="K2035" s="15"/>
      <c r="L2035" s="1"/>
    </row>
    <row r="2036">
      <c r="A2036" s="1"/>
      <c r="B2036" s="1"/>
      <c r="E2036" s="1"/>
      <c r="F2036" s="1"/>
      <c r="G2036" s="1"/>
      <c r="H2036" s="15"/>
      <c r="I2036" s="15"/>
      <c r="J2036" s="15"/>
      <c r="K2036" s="15"/>
      <c r="L2036" s="1"/>
    </row>
    <row r="2037">
      <c r="A2037" s="1"/>
      <c r="B2037" s="1"/>
      <c r="E2037" s="1"/>
      <c r="F2037" s="1"/>
      <c r="G2037" s="1"/>
      <c r="H2037" s="15"/>
      <c r="I2037" s="15"/>
      <c r="J2037" s="15"/>
      <c r="K2037" s="15"/>
      <c r="L2037" s="1"/>
    </row>
    <row r="2038">
      <c r="A2038" s="1"/>
      <c r="B2038" s="1"/>
      <c r="E2038" s="1"/>
      <c r="F2038" s="1"/>
      <c r="G2038" s="1"/>
      <c r="H2038" s="15"/>
      <c r="I2038" s="15"/>
      <c r="J2038" s="15"/>
      <c r="K2038" s="15"/>
      <c r="L2038" s="1"/>
    </row>
    <row r="2039">
      <c r="A2039" s="1"/>
      <c r="B2039" s="1"/>
      <c r="E2039" s="1"/>
      <c r="F2039" s="1"/>
      <c r="G2039" s="1"/>
      <c r="H2039" s="15"/>
      <c r="I2039" s="15"/>
      <c r="J2039" s="15"/>
      <c r="K2039" s="15"/>
      <c r="L2039" s="1"/>
    </row>
    <row r="2040">
      <c r="A2040" s="1"/>
      <c r="B2040" s="1"/>
      <c r="E2040" s="1"/>
      <c r="F2040" s="1"/>
      <c r="G2040" s="1"/>
      <c r="H2040" s="15"/>
      <c r="I2040" s="15"/>
      <c r="J2040" s="15"/>
      <c r="K2040" s="15"/>
      <c r="L2040" s="1"/>
    </row>
    <row r="2041">
      <c r="A2041" s="1"/>
      <c r="B2041" s="1"/>
      <c r="E2041" s="1"/>
      <c r="F2041" s="1"/>
      <c r="G2041" s="1"/>
      <c r="H2041" s="15"/>
      <c r="I2041" s="15"/>
      <c r="J2041" s="15"/>
      <c r="K2041" s="15"/>
      <c r="L2041" s="1"/>
    </row>
    <row r="2042">
      <c r="A2042" s="1"/>
      <c r="B2042" s="1"/>
      <c r="E2042" s="1"/>
      <c r="F2042" s="1"/>
      <c r="G2042" s="1"/>
      <c r="H2042" s="15"/>
      <c r="I2042" s="15"/>
      <c r="J2042" s="15"/>
      <c r="K2042" s="15"/>
      <c r="L2042" s="1"/>
    </row>
    <row r="2043">
      <c r="A2043" s="1"/>
      <c r="B2043" s="1"/>
      <c r="E2043" s="1"/>
      <c r="F2043" s="1"/>
      <c r="G2043" s="1"/>
      <c r="H2043" s="15"/>
      <c r="I2043" s="15"/>
      <c r="J2043" s="15"/>
      <c r="K2043" s="15"/>
      <c r="L2043" s="1"/>
    </row>
    <row r="2044">
      <c r="A2044" s="1"/>
      <c r="B2044" s="1"/>
      <c r="E2044" s="1"/>
      <c r="F2044" s="1"/>
      <c r="G2044" s="1"/>
      <c r="H2044" s="15"/>
      <c r="I2044" s="15"/>
      <c r="J2044" s="15"/>
      <c r="K2044" s="15"/>
      <c r="L2044" s="1"/>
    </row>
    <row r="2045">
      <c r="A2045" s="1"/>
      <c r="B2045" s="1"/>
      <c r="E2045" s="1"/>
      <c r="F2045" s="1"/>
      <c r="G2045" s="1"/>
      <c r="H2045" s="15"/>
      <c r="I2045" s="15"/>
      <c r="J2045" s="15"/>
      <c r="K2045" s="15"/>
      <c r="L2045" s="1"/>
    </row>
    <row r="2046">
      <c r="A2046" s="1"/>
      <c r="B2046" s="1"/>
      <c r="E2046" s="1"/>
      <c r="F2046" s="1"/>
      <c r="G2046" s="1"/>
      <c r="H2046" s="15"/>
      <c r="I2046" s="15"/>
      <c r="J2046" s="15"/>
      <c r="K2046" s="15"/>
      <c r="L2046" s="1"/>
    </row>
    <row r="2047">
      <c r="A2047" s="1"/>
      <c r="B2047" s="1"/>
      <c r="E2047" s="1"/>
      <c r="F2047" s="1"/>
      <c r="G2047" s="1"/>
      <c r="H2047" s="15"/>
      <c r="I2047" s="15"/>
      <c r="J2047" s="15"/>
      <c r="K2047" s="15"/>
      <c r="L2047" s="1"/>
    </row>
    <row r="2048">
      <c r="A2048" s="1"/>
      <c r="B2048" s="1"/>
      <c r="E2048" s="1"/>
      <c r="F2048" s="1"/>
      <c r="G2048" s="1"/>
      <c r="H2048" s="15"/>
      <c r="I2048" s="15"/>
      <c r="J2048" s="15"/>
      <c r="K2048" s="15"/>
      <c r="L2048" s="1"/>
    </row>
    <row r="2049">
      <c r="A2049" s="1"/>
      <c r="B2049" s="1"/>
      <c r="E2049" s="1"/>
      <c r="F2049" s="1"/>
      <c r="G2049" s="1"/>
      <c r="H2049" s="15"/>
      <c r="I2049" s="15"/>
      <c r="J2049" s="15"/>
      <c r="K2049" s="15"/>
      <c r="L2049" s="1"/>
    </row>
    <row r="2050">
      <c r="A2050" s="1"/>
      <c r="B2050" s="1"/>
      <c r="E2050" s="1"/>
      <c r="F2050" s="1"/>
      <c r="G2050" s="1"/>
      <c r="H2050" s="15"/>
      <c r="I2050" s="15"/>
      <c r="J2050" s="15"/>
      <c r="K2050" s="15"/>
      <c r="L2050" s="1"/>
    </row>
    <row r="2051">
      <c r="A2051" s="1"/>
      <c r="B2051" s="1"/>
      <c r="E2051" s="1"/>
      <c r="F2051" s="1"/>
      <c r="G2051" s="1"/>
      <c r="H2051" s="15"/>
      <c r="I2051" s="15"/>
      <c r="J2051" s="15"/>
      <c r="K2051" s="15"/>
      <c r="L2051" s="1"/>
    </row>
    <row r="2052">
      <c r="A2052" s="1"/>
      <c r="B2052" s="1"/>
      <c r="E2052" s="1"/>
      <c r="F2052" s="1"/>
      <c r="G2052" s="1"/>
      <c r="H2052" s="15"/>
      <c r="I2052" s="15"/>
      <c r="J2052" s="15"/>
      <c r="K2052" s="15"/>
      <c r="L2052" s="1"/>
    </row>
    <row r="2053">
      <c r="A2053" s="1"/>
      <c r="B2053" s="1"/>
      <c r="E2053" s="1"/>
      <c r="F2053" s="1"/>
      <c r="G2053" s="1"/>
      <c r="H2053" s="15"/>
      <c r="I2053" s="15"/>
      <c r="J2053" s="15"/>
      <c r="K2053" s="15"/>
      <c r="L2053" s="1"/>
    </row>
    <row r="2054">
      <c r="A2054" s="1"/>
      <c r="B2054" s="1"/>
      <c r="E2054" s="1"/>
      <c r="F2054" s="1"/>
      <c r="G2054" s="1"/>
      <c r="H2054" s="15"/>
      <c r="I2054" s="15"/>
      <c r="J2054" s="15"/>
      <c r="K2054" s="15"/>
      <c r="L2054" s="1"/>
    </row>
    <row r="2055">
      <c r="A2055" s="1"/>
      <c r="B2055" s="1"/>
      <c r="E2055" s="1"/>
      <c r="F2055" s="1"/>
      <c r="G2055" s="1"/>
      <c r="H2055" s="15"/>
      <c r="I2055" s="15"/>
      <c r="J2055" s="15"/>
      <c r="K2055" s="15"/>
      <c r="L2055" s="1"/>
    </row>
    <row r="2056">
      <c r="A2056" s="1"/>
      <c r="B2056" s="1"/>
      <c r="E2056" s="1"/>
      <c r="F2056" s="1"/>
      <c r="G2056" s="1"/>
      <c r="H2056" s="15"/>
      <c r="I2056" s="15"/>
      <c r="J2056" s="15"/>
      <c r="K2056" s="15"/>
      <c r="L2056" s="1"/>
    </row>
    <row r="2057">
      <c r="A2057" s="1"/>
      <c r="B2057" s="1"/>
      <c r="E2057" s="1"/>
      <c r="F2057" s="1"/>
      <c r="G2057" s="1"/>
      <c r="H2057" s="15"/>
      <c r="I2057" s="15"/>
      <c r="J2057" s="15"/>
      <c r="K2057" s="15"/>
      <c r="L2057" s="1"/>
    </row>
    <row r="2058">
      <c r="A2058" s="1"/>
      <c r="B2058" s="1"/>
      <c r="E2058" s="1"/>
      <c r="F2058" s="1"/>
      <c r="G2058" s="1"/>
      <c r="H2058" s="15"/>
      <c r="I2058" s="15"/>
      <c r="J2058" s="15"/>
      <c r="K2058" s="15"/>
      <c r="L2058" s="1"/>
    </row>
    <row r="2059">
      <c r="A2059" s="1"/>
      <c r="B2059" s="1"/>
      <c r="E2059" s="1"/>
      <c r="F2059" s="1"/>
      <c r="G2059" s="1"/>
      <c r="H2059" s="15"/>
      <c r="I2059" s="15"/>
      <c r="J2059" s="15"/>
      <c r="K2059" s="15"/>
      <c r="L2059" s="1"/>
    </row>
    <row r="2060">
      <c r="A2060" s="1"/>
      <c r="B2060" s="1"/>
      <c r="E2060" s="1"/>
      <c r="F2060" s="1"/>
      <c r="G2060" s="1"/>
      <c r="H2060" s="15"/>
      <c r="I2060" s="15"/>
      <c r="J2060" s="15"/>
      <c r="K2060" s="15"/>
      <c r="L2060" s="1"/>
    </row>
    <row r="2061">
      <c r="A2061" s="1"/>
      <c r="B2061" s="1"/>
      <c r="E2061" s="1"/>
      <c r="F2061" s="1"/>
      <c r="G2061" s="1"/>
      <c r="H2061" s="15"/>
      <c r="I2061" s="15"/>
      <c r="J2061" s="15"/>
      <c r="K2061" s="15"/>
      <c r="L2061" s="1"/>
    </row>
    <row r="2062">
      <c r="A2062" s="1"/>
      <c r="B2062" s="1"/>
      <c r="E2062" s="1"/>
      <c r="F2062" s="1"/>
      <c r="G2062" s="1"/>
      <c r="H2062" s="15"/>
      <c r="I2062" s="15"/>
      <c r="J2062" s="15"/>
      <c r="K2062" s="15"/>
      <c r="L2062" s="1"/>
    </row>
    <row r="2063">
      <c r="A2063" s="1"/>
      <c r="B2063" s="1"/>
      <c r="E2063" s="1"/>
      <c r="F2063" s="1"/>
      <c r="G2063" s="1"/>
      <c r="H2063" s="15"/>
      <c r="I2063" s="15"/>
      <c r="J2063" s="15"/>
      <c r="K2063" s="15"/>
      <c r="L2063" s="1"/>
    </row>
    <row r="2064">
      <c r="A2064" s="1"/>
      <c r="B2064" s="1"/>
      <c r="E2064" s="1"/>
      <c r="F2064" s="1"/>
      <c r="G2064" s="1"/>
      <c r="H2064" s="15"/>
      <c r="I2064" s="15"/>
      <c r="J2064" s="15"/>
      <c r="K2064" s="15"/>
      <c r="L2064" s="1"/>
    </row>
    <row r="2065">
      <c r="A2065" s="1"/>
      <c r="B2065" s="1"/>
      <c r="E2065" s="1"/>
      <c r="F2065" s="1"/>
      <c r="G2065" s="1"/>
      <c r="H2065" s="15"/>
      <c r="I2065" s="15"/>
      <c r="J2065" s="15"/>
      <c r="K2065" s="15"/>
      <c r="L2065" s="1"/>
    </row>
    <row r="2066">
      <c r="A2066" s="1"/>
      <c r="B2066" s="1"/>
      <c r="E2066" s="1"/>
      <c r="F2066" s="1"/>
      <c r="G2066" s="1"/>
      <c r="H2066" s="15"/>
      <c r="I2066" s="15"/>
      <c r="J2066" s="15"/>
      <c r="K2066" s="15"/>
      <c r="L2066" s="1"/>
    </row>
    <row r="2067">
      <c r="A2067" s="1"/>
      <c r="B2067" s="1"/>
      <c r="E2067" s="1"/>
      <c r="F2067" s="1"/>
      <c r="G2067" s="1"/>
      <c r="H2067" s="15"/>
      <c r="I2067" s="15"/>
      <c r="J2067" s="15"/>
      <c r="K2067" s="15"/>
      <c r="L2067" s="1"/>
    </row>
    <row r="2068">
      <c r="A2068" s="1"/>
      <c r="B2068" s="1"/>
      <c r="E2068" s="1"/>
      <c r="F2068" s="1"/>
      <c r="G2068" s="1"/>
      <c r="H2068" s="15"/>
      <c r="I2068" s="15"/>
      <c r="J2068" s="15"/>
      <c r="K2068" s="15"/>
      <c r="L2068" s="1"/>
    </row>
    <row r="2069">
      <c r="A2069" s="1"/>
      <c r="B2069" s="1"/>
      <c r="E2069" s="1"/>
      <c r="F2069" s="1"/>
      <c r="G2069" s="1"/>
      <c r="H2069" s="15"/>
      <c r="I2069" s="15"/>
      <c r="J2069" s="15"/>
      <c r="K2069" s="15"/>
      <c r="L2069" s="1"/>
    </row>
    <row r="2070">
      <c r="A2070" s="1"/>
      <c r="B2070" s="1"/>
      <c r="E2070" s="1"/>
      <c r="F2070" s="1"/>
      <c r="G2070" s="1"/>
      <c r="H2070" s="15"/>
      <c r="I2070" s="15"/>
      <c r="J2070" s="15"/>
      <c r="K2070" s="15"/>
      <c r="L2070" s="1"/>
    </row>
    <row r="2071">
      <c r="A2071" s="1"/>
      <c r="B2071" s="1"/>
      <c r="E2071" s="1"/>
      <c r="F2071" s="1"/>
      <c r="G2071" s="1"/>
      <c r="H2071" s="15"/>
      <c r="I2071" s="15"/>
      <c r="J2071" s="15"/>
      <c r="K2071" s="15"/>
      <c r="L2071" s="1"/>
    </row>
    <row r="2072">
      <c r="A2072" s="1"/>
      <c r="B2072" s="1"/>
      <c r="E2072" s="1"/>
      <c r="F2072" s="1"/>
      <c r="G2072" s="1"/>
      <c r="H2072" s="15"/>
      <c r="I2072" s="15"/>
      <c r="J2072" s="15"/>
      <c r="K2072" s="15"/>
      <c r="L2072" s="1"/>
    </row>
    <row r="2073">
      <c r="A2073" s="1"/>
      <c r="B2073" s="1"/>
      <c r="E2073" s="1"/>
      <c r="F2073" s="1"/>
      <c r="G2073" s="1"/>
      <c r="H2073" s="15"/>
      <c r="I2073" s="15"/>
      <c r="J2073" s="15"/>
      <c r="K2073" s="15"/>
      <c r="L2073" s="1"/>
    </row>
    <row r="2074">
      <c r="A2074" s="1"/>
      <c r="B2074" s="1"/>
      <c r="E2074" s="1"/>
      <c r="F2074" s="1"/>
      <c r="G2074" s="1"/>
      <c r="H2074" s="15"/>
      <c r="I2074" s="15"/>
      <c r="J2074" s="15"/>
      <c r="K2074" s="15"/>
      <c r="L2074" s="1"/>
    </row>
    <row r="2075">
      <c r="A2075" s="1"/>
      <c r="B2075" s="1"/>
      <c r="E2075" s="1"/>
      <c r="F2075" s="1"/>
      <c r="G2075" s="1"/>
      <c r="H2075" s="15"/>
      <c r="I2075" s="15"/>
      <c r="J2075" s="15"/>
      <c r="K2075" s="15"/>
      <c r="L2075" s="1"/>
    </row>
    <row r="2076">
      <c r="A2076" s="1"/>
      <c r="B2076" s="1"/>
      <c r="E2076" s="1"/>
      <c r="F2076" s="1"/>
      <c r="G2076" s="1"/>
      <c r="H2076" s="15"/>
      <c r="I2076" s="15"/>
      <c r="J2076" s="15"/>
      <c r="K2076" s="15"/>
      <c r="L2076" s="1"/>
    </row>
    <row r="2077">
      <c r="A2077" s="1"/>
      <c r="B2077" s="1"/>
      <c r="E2077" s="1"/>
      <c r="F2077" s="1"/>
      <c r="G2077" s="1"/>
      <c r="H2077" s="15"/>
      <c r="I2077" s="15"/>
      <c r="J2077" s="15"/>
      <c r="K2077" s="15"/>
      <c r="L2077" s="1"/>
    </row>
    <row r="2078">
      <c r="A2078" s="1"/>
      <c r="B2078" s="1"/>
      <c r="E2078" s="1"/>
      <c r="F2078" s="1"/>
      <c r="G2078" s="1"/>
      <c r="H2078" s="15"/>
      <c r="I2078" s="15"/>
      <c r="J2078" s="15"/>
      <c r="K2078" s="15"/>
      <c r="L2078" s="1"/>
    </row>
    <row r="2079">
      <c r="A2079" s="1"/>
      <c r="B2079" s="1"/>
      <c r="E2079" s="1"/>
      <c r="F2079" s="1"/>
      <c r="G2079" s="1"/>
      <c r="H2079" s="15"/>
      <c r="I2079" s="15"/>
      <c r="J2079" s="15"/>
      <c r="K2079" s="15"/>
      <c r="L2079" s="1"/>
    </row>
    <row r="2080">
      <c r="A2080" s="1"/>
      <c r="B2080" s="1"/>
      <c r="E2080" s="1"/>
      <c r="F2080" s="1"/>
      <c r="G2080" s="1"/>
      <c r="H2080" s="15"/>
      <c r="I2080" s="15"/>
      <c r="J2080" s="15"/>
      <c r="K2080" s="15"/>
      <c r="L2080" s="1"/>
    </row>
    <row r="2081">
      <c r="A2081" s="1"/>
      <c r="B2081" s="1"/>
      <c r="E2081" s="1"/>
      <c r="F2081" s="1"/>
      <c r="G2081" s="1"/>
      <c r="H2081" s="15"/>
      <c r="I2081" s="15"/>
      <c r="J2081" s="15"/>
      <c r="K2081" s="15"/>
      <c r="L2081" s="1"/>
    </row>
    <row r="2082">
      <c r="A2082" s="1"/>
      <c r="B2082" s="1"/>
      <c r="E2082" s="1"/>
      <c r="F2082" s="1"/>
      <c r="G2082" s="1"/>
      <c r="H2082" s="15"/>
      <c r="I2082" s="15"/>
      <c r="J2082" s="15"/>
      <c r="K2082" s="15"/>
      <c r="L2082" s="1"/>
    </row>
    <row r="2083">
      <c r="A2083" s="1"/>
      <c r="B2083" s="1"/>
      <c r="E2083" s="1"/>
      <c r="F2083" s="1"/>
      <c r="G2083" s="1"/>
      <c r="H2083" s="15"/>
      <c r="I2083" s="15"/>
      <c r="J2083" s="15"/>
      <c r="K2083" s="15"/>
      <c r="L2083" s="1"/>
    </row>
    <row r="2084">
      <c r="A2084" s="1"/>
      <c r="B2084" s="1"/>
      <c r="E2084" s="1"/>
      <c r="F2084" s="1"/>
      <c r="G2084" s="1"/>
      <c r="H2084" s="15"/>
      <c r="I2084" s="15"/>
      <c r="J2084" s="15"/>
      <c r="K2084" s="15"/>
      <c r="L2084" s="1"/>
    </row>
    <row r="2085">
      <c r="A2085" s="1"/>
      <c r="B2085" s="1"/>
      <c r="E2085" s="1"/>
      <c r="F2085" s="1"/>
      <c r="G2085" s="1"/>
      <c r="H2085" s="15"/>
      <c r="I2085" s="15"/>
      <c r="J2085" s="15"/>
      <c r="K2085" s="15"/>
      <c r="L2085" s="1"/>
    </row>
    <row r="2086">
      <c r="A2086" s="1"/>
      <c r="B2086" s="1"/>
      <c r="E2086" s="1"/>
      <c r="F2086" s="1"/>
      <c r="G2086" s="1"/>
      <c r="H2086" s="15"/>
      <c r="I2086" s="15"/>
      <c r="J2086" s="15"/>
      <c r="K2086" s="15"/>
      <c r="L2086" s="1"/>
    </row>
    <row r="2087">
      <c r="A2087" s="1"/>
      <c r="B2087" s="1"/>
      <c r="E2087" s="1"/>
      <c r="F2087" s="1"/>
      <c r="G2087" s="1"/>
      <c r="H2087" s="15"/>
      <c r="I2087" s="15"/>
      <c r="J2087" s="15"/>
      <c r="K2087" s="15"/>
      <c r="L2087" s="1"/>
    </row>
    <row r="2088">
      <c r="A2088" s="1"/>
      <c r="B2088" s="1"/>
      <c r="E2088" s="1"/>
      <c r="F2088" s="1"/>
      <c r="G2088" s="1"/>
      <c r="H2088" s="15"/>
      <c r="I2088" s="15"/>
      <c r="J2088" s="15"/>
      <c r="K2088" s="15"/>
      <c r="L2088" s="1"/>
    </row>
    <row r="2089">
      <c r="A2089" s="1"/>
      <c r="B2089" s="1"/>
      <c r="E2089" s="1"/>
      <c r="F2089" s="1"/>
      <c r="G2089" s="1"/>
      <c r="H2089" s="15"/>
      <c r="I2089" s="15"/>
      <c r="J2089" s="15"/>
      <c r="K2089" s="15"/>
      <c r="L2089" s="1"/>
    </row>
    <row r="2090">
      <c r="A2090" s="1"/>
      <c r="B2090" s="1"/>
      <c r="E2090" s="1"/>
      <c r="F2090" s="1"/>
      <c r="G2090" s="1"/>
      <c r="H2090" s="15"/>
      <c r="I2090" s="15"/>
      <c r="J2090" s="15"/>
      <c r="K2090" s="15"/>
      <c r="L2090" s="1"/>
    </row>
    <row r="2091">
      <c r="A2091" s="1"/>
      <c r="B2091" s="1"/>
      <c r="E2091" s="1"/>
      <c r="F2091" s="1"/>
      <c r="G2091" s="1"/>
      <c r="H2091" s="15"/>
      <c r="I2091" s="15"/>
      <c r="J2091" s="15"/>
      <c r="K2091" s="15"/>
      <c r="L2091" s="1"/>
    </row>
    <row r="2092">
      <c r="A2092" s="1"/>
      <c r="B2092" s="1"/>
      <c r="E2092" s="1"/>
      <c r="F2092" s="1"/>
      <c r="G2092" s="1"/>
      <c r="H2092" s="15"/>
      <c r="I2092" s="15"/>
      <c r="J2092" s="15"/>
      <c r="K2092" s="15"/>
      <c r="L2092" s="1"/>
    </row>
    <row r="2093">
      <c r="A2093" s="1"/>
      <c r="B2093" s="1"/>
      <c r="E2093" s="1"/>
      <c r="F2093" s="1"/>
      <c r="G2093" s="1"/>
      <c r="H2093" s="15"/>
      <c r="I2093" s="15"/>
      <c r="J2093" s="15"/>
      <c r="K2093" s="15"/>
      <c r="L2093" s="1"/>
    </row>
    <row r="2094">
      <c r="A2094" s="1"/>
      <c r="B2094" s="1"/>
      <c r="E2094" s="1"/>
      <c r="F2094" s="1"/>
      <c r="G2094" s="1"/>
      <c r="H2094" s="15"/>
      <c r="I2094" s="15"/>
      <c r="J2094" s="15"/>
      <c r="K2094" s="15"/>
      <c r="L2094" s="1"/>
    </row>
    <row r="2095">
      <c r="A2095" s="1"/>
      <c r="B2095" s="1"/>
      <c r="E2095" s="1"/>
      <c r="F2095" s="1"/>
      <c r="G2095" s="1"/>
      <c r="H2095" s="15"/>
      <c r="I2095" s="15"/>
      <c r="J2095" s="15"/>
      <c r="K2095" s="15"/>
      <c r="L2095" s="1"/>
    </row>
    <row r="2096">
      <c r="A2096" s="1"/>
      <c r="B2096" s="1"/>
      <c r="E2096" s="1"/>
      <c r="F2096" s="1"/>
      <c r="G2096" s="1"/>
      <c r="H2096" s="15"/>
      <c r="I2096" s="15"/>
      <c r="J2096" s="15"/>
      <c r="K2096" s="15"/>
      <c r="L2096" s="1"/>
    </row>
    <row r="2097">
      <c r="A2097" s="1"/>
      <c r="B2097" s="1"/>
      <c r="E2097" s="1"/>
      <c r="F2097" s="1"/>
      <c r="G2097" s="1"/>
      <c r="H2097" s="15"/>
      <c r="I2097" s="15"/>
      <c r="J2097" s="15"/>
      <c r="K2097" s="15"/>
      <c r="L2097" s="1"/>
    </row>
    <row r="2098">
      <c r="A2098" s="1"/>
      <c r="B2098" s="1"/>
      <c r="E2098" s="1"/>
      <c r="F2098" s="1"/>
      <c r="G2098" s="1"/>
      <c r="H2098" s="15"/>
      <c r="I2098" s="15"/>
      <c r="J2098" s="15"/>
      <c r="K2098" s="15"/>
      <c r="L2098" s="1"/>
    </row>
    <row r="2099">
      <c r="A2099" s="1"/>
      <c r="B2099" s="1"/>
      <c r="E2099" s="1"/>
      <c r="F2099" s="1"/>
      <c r="G2099" s="1"/>
      <c r="H2099" s="15"/>
      <c r="I2099" s="15"/>
      <c r="J2099" s="15"/>
      <c r="K2099" s="15"/>
      <c r="L2099" s="1"/>
    </row>
    <row r="2100">
      <c r="A2100" s="1"/>
      <c r="B2100" s="1"/>
      <c r="E2100" s="1"/>
      <c r="F2100" s="1"/>
      <c r="G2100" s="1"/>
      <c r="H2100" s="15"/>
      <c r="I2100" s="15"/>
      <c r="J2100" s="15"/>
      <c r="K2100" s="15"/>
      <c r="L2100" s="1"/>
    </row>
    <row r="2101">
      <c r="A2101" s="1"/>
      <c r="B2101" s="1"/>
      <c r="E2101" s="1"/>
      <c r="F2101" s="1"/>
      <c r="G2101" s="1"/>
      <c r="H2101" s="15"/>
      <c r="I2101" s="15"/>
      <c r="J2101" s="15"/>
      <c r="K2101" s="15"/>
      <c r="L2101" s="1"/>
    </row>
    <row r="2102">
      <c r="A2102" s="1"/>
      <c r="B2102" s="1"/>
      <c r="E2102" s="1"/>
      <c r="F2102" s="1"/>
      <c r="G2102" s="1"/>
      <c r="H2102" s="15"/>
      <c r="I2102" s="15"/>
      <c r="J2102" s="15"/>
      <c r="K2102" s="15"/>
      <c r="L2102" s="1"/>
    </row>
    <row r="2103">
      <c r="A2103" s="1"/>
      <c r="B2103" s="1"/>
      <c r="E2103" s="1"/>
      <c r="F2103" s="1"/>
      <c r="G2103" s="1"/>
      <c r="H2103" s="15"/>
      <c r="I2103" s="15"/>
      <c r="J2103" s="15"/>
      <c r="K2103" s="15"/>
      <c r="L2103" s="1"/>
    </row>
    <row r="2104">
      <c r="A2104" s="1"/>
      <c r="B2104" s="1"/>
      <c r="E2104" s="1"/>
      <c r="F2104" s="1"/>
      <c r="G2104" s="1"/>
      <c r="H2104" s="15"/>
      <c r="I2104" s="15"/>
      <c r="J2104" s="15"/>
      <c r="K2104" s="15"/>
      <c r="L2104" s="1"/>
    </row>
    <row r="2105">
      <c r="A2105" s="1"/>
      <c r="B2105" s="1"/>
      <c r="E2105" s="1"/>
      <c r="F2105" s="1"/>
      <c r="G2105" s="1"/>
      <c r="H2105" s="15"/>
      <c r="I2105" s="15"/>
      <c r="J2105" s="15"/>
      <c r="K2105" s="15"/>
      <c r="L2105" s="1"/>
    </row>
    <row r="2106">
      <c r="A2106" s="1"/>
      <c r="B2106" s="1"/>
      <c r="E2106" s="1"/>
      <c r="F2106" s="1"/>
      <c r="G2106" s="1"/>
      <c r="H2106" s="15"/>
      <c r="I2106" s="15"/>
      <c r="J2106" s="15"/>
      <c r="K2106" s="15"/>
      <c r="L2106" s="1"/>
    </row>
    <row r="2107">
      <c r="A2107" s="1"/>
      <c r="B2107" s="1"/>
      <c r="E2107" s="1"/>
      <c r="F2107" s="1"/>
      <c r="G2107" s="1"/>
      <c r="H2107" s="15"/>
      <c r="I2107" s="15"/>
      <c r="J2107" s="15"/>
      <c r="K2107" s="15"/>
      <c r="L2107" s="1"/>
    </row>
    <row r="2108">
      <c r="A2108" s="1"/>
      <c r="B2108" s="1"/>
      <c r="E2108" s="1"/>
      <c r="F2108" s="1"/>
      <c r="G2108" s="1"/>
      <c r="H2108" s="15"/>
      <c r="I2108" s="15"/>
      <c r="J2108" s="15"/>
      <c r="K2108" s="15"/>
      <c r="L2108" s="1"/>
    </row>
    <row r="2109">
      <c r="A2109" s="1"/>
      <c r="B2109" s="1"/>
      <c r="E2109" s="1"/>
      <c r="F2109" s="1"/>
      <c r="G2109" s="1"/>
      <c r="H2109" s="15"/>
      <c r="I2109" s="15"/>
      <c r="J2109" s="15"/>
      <c r="K2109" s="15"/>
      <c r="L2109" s="1"/>
    </row>
    <row r="2110">
      <c r="A2110" s="1"/>
      <c r="B2110" s="1"/>
      <c r="E2110" s="1"/>
      <c r="F2110" s="1"/>
      <c r="G2110" s="1"/>
      <c r="H2110" s="15"/>
      <c r="I2110" s="15"/>
      <c r="J2110" s="15"/>
      <c r="K2110" s="15"/>
      <c r="L2110" s="1"/>
    </row>
    <row r="2111">
      <c r="A2111" s="1"/>
      <c r="B2111" s="1"/>
      <c r="E2111" s="1"/>
      <c r="F2111" s="1"/>
      <c r="G2111" s="1"/>
      <c r="H2111" s="15"/>
      <c r="I2111" s="15"/>
      <c r="J2111" s="15"/>
      <c r="K2111" s="15"/>
      <c r="L2111" s="1"/>
    </row>
    <row r="2112">
      <c r="A2112" s="1"/>
      <c r="B2112" s="1"/>
      <c r="E2112" s="1"/>
      <c r="F2112" s="1"/>
      <c r="G2112" s="1"/>
      <c r="H2112" s="15"/>
      <c r="I2112" s="15"/>
      <c r="J2112" s="15"/>
      <c r="K2112" s="15"/>
      <c r="L2112" s="1"/>
    </row>
    <row r="2113">
      <c r="A2113" s="1"/>
      <c r="B2113" s="1"/>
      <c r="E2113" s="1"/>
      <c r="F2113" s="1"/>
      <c r="G2113" s="1"/>
      <c r="H2113" s="15"/>
      <c r="I2113" s="15"/>
      <c r="J2113" s="15"/>
      <c r="K2113" s="15"/>
      <c r="L2113" s="1"/>
    </row>
    <row r="2114">
      <c r="A2114" s="1"/>
      <c r="B2114" s="1"/>
      <c r="E2114" s="1"/>
      <c r="F2114" s="1"/>
      <c r="G2114" s="1"/>
      <c r="H2114" s="15"/>
      <c r="I2114" s="15"/>
      <c r="J2114" s="15"/>
      <c r="K2114" s="15"/>
      <c r="L2114" s="1"/>
    </row>
    <row r="2115">
      <c r="A2115" s="1"/>
      <c r="B2115" s="1"/>
      <c r="E2115" s="1"/>
      <c r="F2115" s="1"/>
      <c r="G2115" s="1"/>
      <c r="H2115" s="15"/>
      <c r="I2115" s="15"/>
      <c r="J2115" s="15"/>
      <c r="K2115" s="15"/>
      <c r="L2115" s="1"/>
    </row>
    <row r="2116">
      <c r="A2116" s="1"/>
      <c r="B2116" s="1"/>
      <c r="E2116" s="1"/>
      <c r="F2116" s="1"/>
      <c r="G2116" s="1"/>
      <c r="H2116" s="15"/>
      <c r="I2116" s="15"/>
      <c r="J2116" s="15"/>
      <c r="K2116" s="15"/>
      <c r="L2116" s="1"/>
    </row>
    <row r="2117">
      <c r="A2117" s="1"/>
      <c r="B2117" s="1"/>
      <c r="E2117" s="1"/>
      <c r="F2117" s="1"/>
      <c r="G2117" s="1"/>
      <c r="H2117" s="15"/>
      <c r="I2117" s="15"/>
      <c r="J2117" s="15"/>
      <c r="K2117" s="15"/>
      <c r="L2117" s="1"/>
    </row>
    <row r="2118">
      <c r="A2118" s="1"/>
      <c r="B2118" s="1"/>
      <c r="E2118" s="1"/>
      <c r="F2118" s="1"/>
      <c r="G2118" s="1"/>
      <c r="H2118" s="15"/>
      <c r="I2118" s="15"/>
      <c r="J2118" s="15"/>
      <c r="K2118" s="15"/>
      <c r="L2118" s="1"/>
    </row>
    <row r="2119">
      <c r="A2119" s="1"/>
      <c r="B2119" s="1"/>
      <c r="E2119" s="1"/>
      <c r="F2119" s="1"/>
      <c r="G2119" s="1"/>
      <c r="H2119" s="15"/>
      <c r="I2119" s="15"/>
      <c r="J2119" s="15"/>
      <c r="K2119" s="15"/>
      <c r="L2119" s="1"/>
    </row>
    <row r="2120">
      <c r="A2120" s="1"/>
      <c r="B2120" s="1"/>
      <c r="E2120" s="1"/>
      <c r="F2120" s="1"/>
      <c r="G2120" s="1"/>
      <c r="H2120" s="15"/>
      <c r="I2120" s="15"/>
      <c r="J2120" s="15"/>
      <c r="K2120" s="15"/>
      <c r="L2120" s="1"/>
    </row>
    <row r="2121">
      <c r="A2121" s="1"/>
      <c r="B2121" s="1"/>
      <c r="E2121" s="1"/>
      <c r="F2121" s="1"/>
      <c r="G2121" s="1"/>
      <c r="H2121" s="15"/>
      <c r="I2121" s="15"/>
      <c r="J2121" s="15"/>
      <c r="K2121" s="15"/>
      <c r="L2121" s="1"/>
    </row>
    <row r="2122">
      <c r="A2122" s="1"/>
      <c r="B2122" s="1"/>
      <c r="E2122" s="1"/>
      <c r="F2122" s="1"/>
      <c r="G2122" s="1"/>
      <c r="H2122" s="15"/>
      <c r="I2122" s="15"/>
      <c r="J2122" s="15"/>
      <c r="K2122" s="15"/>
      <c r="L2122" s="1"/>
    </row>
    <row r="2123">
      <c r="A2123" s="1"/>
      <c r="B2123" s="1"/>
      <c r="E2123" s="1"/>
      <c r="F2123" s="1"/>
      <c r="G2123" s="1"/>
      <c r="H2123" s="15"/>
      <c r="I2123" s="15"/>
      <c r="J2123" s="15"/>
      <c r="K2123" s="15"/>
      <c r="L2123" s="1"/>
    </row>
    <row r="2124">
      <c r="A2124" s="1"/>
      <c r="B2124" s="1"/>
      <c r="E2124" s="1"/>
      <c r="F2124" s="1"/>
      <c r="G2124" s="1"/>
      <c r="H2124" s="15"/>
      <c r="I2124" s="15"/>
      <c r="J2124" s="15"/>
      <c r="K2124" s="15"/>
      <c r="L2124" s="1"/>
    </row>
    <row r="2125">
      <c r="A2125" s="1"/>
      <c r="B2125" s="1"/>
      <c r="E2125" s="1"/>
      <c r="F2125" s="1"/>
      <c r="G2125" s="1"/>
      <c r="H2125" s="15"/>
      <c r="I2125" s="15"/>
      <c r="J2125" s="15"/>
      <c r="K2125" s="15"/>
      <c r="L2125" s="1"/>
    </row>
    <row r="2126">
      <c r="A2126" s="1"/>
      <c r="B2126" s="1"/>
      <c r="E2126" s="1"/>
      <c r="F2126" s="1"/>
      <c r="G2126" s="1"/>
      <c r="H2126" s="15"/>
      <c r="I2126" s="15"/>
      <c r="J2126" s="15"/>
      <c r="K2126" s="15"/>
      <c r="L2126" s="1"/>
    </row>
    <row r="2127">
      <c r="A2127" s="1"/>
      <c r="B2127" s="1"/>
      <c r="E2127" s="1"/>
      <c r="F2127" s="1"/>
      <c r="G2127" s="1"/>
      <c r="H2127" s="15"/>
      <c r="I2127" s="15"/>
      <c r="J2127" s="15"/>
      <c r="K2127" s="15"/>
      <c r="L2127" s="1"/>
    </row>
    <row r="2128">
      <c r="A2128" s="1"/>
      <c r="B2128" s="1"/>
      <c r="E2128" s="1"/>
      <c r="F2128" s="1"/>
      <c r="G2128" s="1"/>
      <c r="H2128" s="15"/>
      <c r="I2128" s="15"/>
      <c r="J2128" s="15"/>
      <c r="K2128" s="15"/>
      <c r="L2128" s="1"/>
    </row>
    <row r="2129">
      <c r="A2129" s="1"/>
      <c r="B2129" s="1"/>
      <c r="E2129" s="1"/>
      <c r="F2129" s="1"/>
      <c r="G2129" s="1"/>
      <c r="H2129" s="15"/>
      <c r="I2129" s="15"/>
      <c r="J2129" s="15"/>
      <c r="K2129" s="15"/>
      <c r="L2129" s="1"/>
    </row>
    <row r="2130">
      <c r="A2130" s="1"/>
      <c r="B2130" s="1"/>
      <c r="E2130" s="1"/>
      <c r="F2130" s="1"/>
      <c r="G2130" s="1"/>
      <c r="H2130" s="15"/>
      <c r="I2130" s="15"/>
      <c r="J2130" s="15"/>
      <c r="K2130" s="15"/>
      <c r="L2130" s="1"/>
    </row>
    <row r="2131">
      <c r="A2131" s="1"/>
      <c r="B2131" s="1"/>
      <c r="E2131" s="1"/>
      <c r="F2131" s="1"/>
      <c r="G2131" s="1"/>
      <c r="H2131" s="15"/>
      <c r="I2131" s="15"/>
      <c r="J2131" s="15"/>
      <c r="K2131" s="15"/>
      <c r="L2131" s="1"/>
    </row>
    <row r="2132">
      <c r="A2132" s="1"/>
      <c r="B2132" s="1"/>
      <c r="E2132" s="1"/>
      <c r="F2132" s="1"/>
      <c r="G2132" s="1"/>
      <c r="H2132" s="15"/>
      <c r="I2132" s="15"/>
      <c r="J2132" s="15"/>
      <c r="K2132" s="15"/>
      <c r="L2132" s="1"/>
    </row>
    <row r="2133">
      <c r="A2133" s="1"/>
      <c r="B2133" s="1"/>
      <c r="E2133" s="1"/>
      <c r="F2133" s="1"/>
      <c r="G2133" s="1"/>
      <c r="H2133" s="15"/>
      <c r="I2133" s="15"/>
      <c r="J2133" s="15"/>
      <c r="K2133" s="15"/>
      <c r="L2133" s="1"/>
    </row>
    <row r="2134">
      <c r="A2134" s="1"/>
      <c r="B2134" s="1"/>
      <c r="E2134" s="1"/>
      <c r="F2134" s="1"/>
      <c r="G2134" s="1"/>
      <c r="H2134" s="15"/>
      <c r="I2134" s="15"/>
      <c r="J2134" s="15"/>
      <c r="K2134" s="15"/>
      <c r="L2134" s="1"/>
    </row>
    <row r="2135">
      <c r="A2135" s="1"/>
      <c r="B2135" s="1"/>
      <c r="E2135" s="1"/>
      <c r="F2135" s="1"/>
      <c r="G2135" s="1"/>
      <c r="H2135" s="15"/>
      <c r="I2135" s="15"/>
      <c r="J2135" s="15"/>
      <c r="K2135" s="15"/>
      <c r="L2135" s="1"/>
    </row>
    <row r="2136">
      <c r="A2136" s="1"/>
      <c r="B2136" s="1"/>
      <c r="E2136" s="1"/>
      <c r="F2136" s="1"/>
      <c r="G2136" s="1"/>
      <c r="H2136" s="15"/>
      <c r="I2136" s="15"/>
      <c r="J2136" s="15"/>
      <c r="K2136" s="15"/>
      <c r="L2136" s="1"/>
    </row>
    <row r="2137">
      <c r="A2137" s="1"/>
      <c r="B2137" s="1"/>
      <c r="E2137" s="1"/>
      <c r="F2137" s="1"/>
      <c r="G2137" s="1"/>
      <c r="H2137" s="15"/>
      <c r="I2137" s="15"/>
      <c r="J2137" s="15"/>
      <c r="K2137" s="15"/>
      <c r="L2137" s="1"/>
    </row>
    <row r="2138">
      <c r="A2138" s="1"/>
      <c r="B2138" s="1"/>
      <c r="E2138" s="1"/>
      <c r="F2138" s="1"/>
      <c r="G2138" s="1"/>
      <c r="H2138" s="15"/>
      <c r="I2138" s="15"/>
      <c r="J2138" s="15"/>
      <c r="K2138" s="15"/>
      <c r="L2138" s="1"/>
    </row>
    <row r="2139">
      <c r="A2139" s="1"/>
      <c r="B2139" s="1"/>
      <c r="E2139" s="1"/>
      <c r="F2139" s="1"/>
      <c r="G2139" s="1"/>
      <c r="H2139" s="15"/>
      <c r="I2139" s="15"/>
      <c r="J2139" s="15"/>
      <c r="K2139" s="15"/>
      <c r="L2139" s="1"/>
    </row>
    <row r="2140">
      <c r="A2140" s="1"/>
      <c r="B2140" s="1"/>
      <c r="E2140" s="1"/>
      <c r="F2140" s="1"/>
      <c r="G2140" s="1"/>
      <c r="H2140" s="15"/>
      <c r="I2140" s="15"/>
      <c r="J2140" s="15"/>
      <c r="K2140" s="15"/>
      <c r="L2140" s="1"/>
    </row>
    <row r="2141">
      <c r="A2141" s="1"/>
      <c r="B2141" s="1"/>
      <c r="E2141" s="1"/>
      <c r="F2141" s="1"/>
      <c r="G2141" s="1"/>
      <c r="H2141" s="15"/>
      <c r="I2141" s="15"/>
      <c r="J2141" s="15"/>
      <c r="K2141" s="15"/>
      <c r="L2141" s="1"/>
    </row>
    <row r="2142">
      <c r="A2142" s="1"/>
      <c r="B2142" s="1"/>
      <c r="E2142" s="1"/>
      <c r="F2142" s="1"/>
      <c r="G2142" s="1"/>
      <c r="H2142" s="15"/>
      <c r="I2142" s="15"/>
      <c r="J2142" s="15"/>
      <c r="K2142" s="15"/>
      <c r="L2142" s="1"/>
    </row>
    <row r="2143">
      <c r="A2143" s="1"/>
      <c r="B2143" s="1"/>
      <c r="E2143" s="1"/>
      <c r="F2143" s="1"/>
      <c r="G2143" s="1"/>
      <c r="H2143" s="15"/>
      <c r="I2143" s="15"/>
      <c r="J2143" s="15"/>
      <c r="K2143" s="15"/>
      <c r="L2143" s="1"/>
    </row>
    <row r="2144">
      <c r="A2144" s="1"/>
      <c r="B2144" s="1"/>
      <c r="E2144" s="1"/>
      <c r="F2144" s="1"/>
      <c r="G2144" s="1"/>
      <c r="H2144" s="15"/>
      <c r="I2144" s="15"/>
      <c r="J2144" s="15"/>
      <c r="K2144" s="15"/>
      <c r="L2144" s="1"/>
    </row>
    <row r="2145">
      <c r="A2145" s="1"/>
      <c r="B2145" s="1"/>
      <c r="E2145" s="1"/>
      <c r="F2145" s="1"/>
      <c r="G2145" s="1"/>
      <c r="H2145" s="15"/>
      <c r="I2145" s="15"/>
      <c r="J2145" s="15"/>
      <c r="K2145" s="15"/>
      <c r="L2145" s="1"/>
    </row>
    <row r="2146">
      <c r="A2146" s="1"/>
      <c r="B2146" s="1"/>
      <c r="E2146" s="1"/>
      <c r="F2146" s="1"/>
      <c r="G2146" s="1"/>
      <c r="H2146" s="15"/>
      <c r="I2146" s="15"/>
      <c r="J2146" s="15"/>
      <c r="K2146" s="15"/>
      <c r="L2146" s="1"/>
    </row>
    <row r="2147">
      <c r="A2147" s="1"/>
      <c r="B2147" s="1"/>
      <c r="E2147" s="1"/>
      <c r="F2147" s="1"/>
      <c r="G2147" s="1"/>
      <c r="H2147" s="15"/>
      <c r="I2147" s="15"/>
      <c r="J2147" s="15"/>
      <c r="K2147" s="15"/>
      <c r="L2147" s="1"/>
    </row>
    <row r="2148">
      <c r="A2148" s="1"/>
      <c r="B2148" s="1"/>
      <c r="E2148" s="1"/>
      <c r="F2148" s="1"/>
      <c r="G2148" s="1"/>
      <c r="H2148" s="15"/>
      <c r="I2148" s="15"/>
      <c r="J2148" s="15"/>
      <c r="K2148" s="15"/>
      <c r="L2148" s="1"/>
    </row>
    <row r="2149">
      <c r="A2149" s="1"/>
      <c r="B2149" s="1"/>
      <c r="E2149" s="1"/>
      <c r="F2149" s="1"/>
      <c r="G2149" s="1"/>
      <c r="H2149" s="15"/>
      <c r="I2149" s="15"/>
      <c r="J2149" s="15"/>
      <c r="K2149" s="15"/>
      <c r="L2149" s="1"/>
    </row>
    <row r="2150">
      <c r="A2150" s="1"/>
      <c r="B2150" s="1"/>
      <c r="E2150" s="1"/>
      <c r="F2150" s="1"/>
      <c r="G2150" s="1"/>
      <c r="H2150" s="15"/>
      <c r="I2150" s="15"/>
      <c r="J2150" s="15"/>
      <c r="K2150" s="15"/>
      <c r="L2150" s="1"/>
    </row>
    <row r="2151">
      <c r="A2151" s="1"/>
      <c r="B2151" s="1"/>
      <c r="E2151" s="1"/>
      <c r="F2151" s="1"/>
      <c r="G2151" s="1"/>
      <c r="H2151" s="15"/>
      <c r="I2151" s="15"/>
      <c r="J2151" s="15"/>
      <c r="K2151" s="15"/>
      <c r="L2151" s="1"/>
    </row>
    <row r="2152">
      <c r="A2152" s="1"/>
      <c r="B2152" s="1"/>
      <c r="E2152" s="1"/>
      <c r="F2152" s="1"/>
      <c r="G2152" s="1"/>
      <c r="H2152" s="15"/>
      <c r="I2152" s="15"/>
      <c r="J2152" s="15"/>
      <c r="K2152" s="15"/>
      <c r="L2152" s="1"/>
    </row>
    <row r="2153">
      <c r="A2153" s="1"/>
      <c r="B2153" s="1"/>
      <c r="E2153" s="1"/>
      <c r="F2153" s="1"/>
      <c r="G2153" s="1"/>
      <c r="H2153" s="15"/>
      <c r="I2153" s="15"/>
      <c r="J2153" s="15"/>
      <c r="K2153" s="15"/>
      <c r="L2153" s="1"/>
    </row>
    <row r="2154">
      <c r="A2154" s="1"/>
      <c r="B2154" s="1"/>
      <c r="E2154" s="1"/>
      <c r="F2154" s="1"/>
      <c r="G2154" s="1"/>
      <c r="H2154" s="15"/>
      <c r="I2154" s="15"/>
      <c r="J2154" s="15"/>
      <c r="K2154" s="15"/>
      <c r="L2154" s="1"/>
    </row>
    <row r="2155">
      <c r="A2155" s="1"/>
      <c r="B2155" s="1"/>
      <c r="E2155" s="1"/>
      <c r="F2155" s="1"/>
      <c r="G2155" s="1"/>
      <c r="H2155" s="15"/>
      <c r="I2155" s="15"/>
      <c r="J2155" s="15"/>
      <c r="K2155" s="15"/>
      <c r="L2155" s="1"/>
    </row>
    <row r="2156">
      <c r="A2156" s="1"/>
      <c r="B2156" s="1"/>
      <c r="E2156" s="1"/>
      <c r="F2156" s="1"/>
      <c r="G2156" s="1"/>
      <c r="H2156" s="15"/>
      <c r="I2156" s="15"/>
      <c r="J2156" s="15"/>
      <c r="K2156" s="15"/>
      <c r="L2156" s="1"/>
    </row>
    <row r="2157">
      <c r="A2157" s="1"/>
      <c r="B2157" s="1"/>
      <c r="E2157" s="1"/>
      <c r="F2157" s="1"/>
      <c r="G2157" s="1"/>
      <c r="H2157" s="15"/>
      <c r="I2157" s="15"/>
      <c r="J2157" s="15"/>
      <c r="K2157" s="15"/>
      <c r="L2157" s="1"/>
    </row>
    <row r="2158">
      <c r="A2158" s="1"/>
      <c r="B2158" s="1"/>
      <c r="E2158" s="1"/>
      <c r="F2158" s="1"/>
      <c r="G2158" s="1"/>
      <c r="H2158" s="15"/>
      <c r="I2158" s="15"/>
      <c r="J2158" s="15"/>
      <c r="K2158" s="15"/>
      <c r="L2158" s="1"/>
    </row>
    <row r="2159">
      <c r="A2159" s="1"/>
      <c r="B2159" s="1"/>
      <c r="E2159" s="1"/>
      <c r="F2159" s="1"/>
      <c r="G2159" s="1"/>
      <c r="H2159" s="15"/>
      <c r="I2159" s="15"/>
      <c r="J2159" s="15"/>
      <c r="K2159" s="15"/>
      <c r="L2159" s="1"/>
    </row>
    <row r="2160">
      <c r="A2160" s="1"/>
      <c r="B2160" s="1"/>
      <c r="E2160" s="1"/>
      <c r="F2160" s="1"/>
      <c r="G2160" s="1"/>
      <c r="H2160" s="15"/>
      <c r="I2160" s="15"/>
      <c r="J2160" s="15"/>
      <c r="K2160" s="15"/>
      <c r="L2160" s="1"/>
    </row>
    <row r="2161">
      <c r="A2161" s="1"/>
      <c r="B2161" s="1"/>
      <c r="E2161" s="1"/>
      <c r="F2161" s="1"/>
      <c r="G2161" s="1"/>
      <c r="H2161" s="15"/>
      <c r="I2161" s="15"/>
      <c r="J2161" s="15"/>
      <c r="K2161" s="15"/>
      <c r="L2161" s="1"/>
    </row>
    <row r="2162">
      <c r="A2162" s="1"/>
      <c r="B2162" s="1"/>
      <c r="E2162" s="1"/>
      <c r="F2162" s="1"/>
      <c r="G2162" s="1"/>
      <c r="H2162" s="15"/>
      <c r="I2162" s="15"/>
      <c r="J2162" s="15"/>
      <c r="K2162" s="15"/>
      <c r="L2162" s="1"/>
    </row>
    <row r="2163">
      <c r="A2163" s="1"/>
      <c r="B2163" s="1"/>
      <c r="E2163" s="1"/>
      <c r="F2163" s="1"/>
      <c r="G2163" s="1"/>
      <c r="H2163" s="15"/>
      <c r="I2163" s="15"/>
      <c r="J2163" s="15"/>
      <c r="K2163" s="15"/>
      <c r="L2163" s="1"/>
    </row>
    <row r="2164">
      <c r="A2164" s="1"/>
      <c r="B2164" s="1"/>
      <c r="E2164" s="1"/>
      <c r="F2164" s="1"/>
      <c r="G2164" s="1"/>
      <c r="H2164" s="15"/>
      <c r="I2164" s="15"/>
      <c r="J2164" s="15"/>
      <c r="K2164" s="15"/>
      <c r="L2164" s="1"/>
    </row>
    <row r="2165">
      <c r="A2165" s="1"/>
      <c r="B2165" s="1"/>
      <c r="E2165" s="1"/>
      <c r="F2165" s="1"/>
      <c r="G2165" s="1"/>
      <c r="H2165" s="15"/>
      <c r="I2165" s="15"/>
      <c r="J2165" s="15"/>
      <c r="K2165" s="15"/>
      <c r="L2165" s="1"/>
    </row>
    <row r="2166">
      <c r="A2166" s="1"/>
      <c r="B2166" s="1"/>
      <c r="E2166" s="1"/>
      <c r="F2166" s="1"/>
      <c r="G2166" s="1"/>
      <c r="H2166" s="15"/>
      <c r="I2166" s="15"/>
      <c r="J2166" s="15"/>
      <c r="K2166" s="15"/>
      <c r="L2166" s="1"/>
    </row>
    <row r="2167">
      <c r="A2167" s="1"/>
      <c r="B2167" s="1"/>
      <c r="E2167" s="1"/>
      <c r="F2167" s="1"/>
      <c r="G2167" s="1"/>
      <c r="H2167" s="15"/>
      <c r="I2167" s="15"/>
      <c r="J2167" s="15"/>
      <c r="K2167" s="15"/>
      <c r="L2167" s="1"/>
    </row>
    <row r="2168">
      <c r="A2168" s="1"/>
      <c r="B2168" s="1"/>
      <c r="E2168" s="1"/>
      <c r="F2168" s="1"/>
      <c r="G2168" s="1"/>
      <c r="H2168" s="15"/>
      <c r="I2168" s="15"/>
      <c r="J2168" s="15"/>
      <c r="K2168" s="15"/>
      <c r="L2168" s="1"/>
    </row>
    <row r="2169">
      <c r="A2169" s="1"/>
      <c r="B2169" s="1"/>
      <c r="E2169" s="1"/>
      <c r="F2169" s="1"/>
      <c r="G2169" s="1"/>
      <c r="H2169" s="15"/>
      <c r="I2169" s="15"/>
      <c r="J2169" s="15"/>
      <c r="K2169" s="15"/>
      <c r="L2169" s="1"/>
    </row>
    <row r="2170">
      <c r="A2170" s="1"/>
      <c r="B2170" s="1"/>
      <c r="E2170" s="1"/>
      <c r="F2170" s="1"/>
      <c r="G2170" s="1"/>
      <c r="H2170" s="15"/>
      <c r="I2170" s="15"/>
      <c r="J2170" s="15"/>
      <c r="K2170" s="15"/>
      <c r="L2170" s="1"/>
    </row>
    <row r="2171">
      <c r="A2171" s="1"/>
      <c r="B2171" s="1"/>
      <c r="E2171" s="1"/>
      <c r="F2171" s="1"/>
      <c r="G2171" s="1"/>
      <c r="H2171" s="15"/>
      <c r="I2171" s="15"/>
      <c r="J2171" s="15"/>
      <c r="K2171" s="15"/>
      <c r="L2171" s="1"/>
    </row>
    <row r="2172">
      <c r="A2172" s="1"/>
      <c r="B2172" s="1"/>
      <c r="E2172" s="1"/>
      <c r="F2172" s="1"/>
      <c r="G2172" s="1"/>
      <c r="H2172" s="15"/>
      <c r="I2172" s="15"/>
      <c r="J2172" s="15"/>
      <c r="K2172" s="15"/>
      <c r="L2172" s="1"/>
    </row>
    <row r="2173">
      <c r="A2173" s="1"/>
      <c r="B2173" s="1"/>
      <c r="E2173" s="1"/>
      <c r="F2173" s="1"/>
      <c r="G2173" s="1"/>
      <c r="H2173" s="15"/>
      <c r="I2173" s="15"/>
      <c r="J2173" s="15"/>
      <c r="K2173" s="15"/>
      <c r="L2173" s="1"/>
    </row>
    <row r="2174">
      <c r="A2174" s="1"/>
      <c r="B2174" s="1"/>
      <c r="E2174" s="1"/>
      <c r="F2174" s="1"/>
      <c r="G2174" s="1"/>
      <c r="H2174" s="15"/>
      <c r="I2174" s="15"/>
      <c r="J2174" s="15"/>
      <c r="K2174" s="15"/>
      <c r="L2174" s="1"/>
    </row>
    <row r="2175">
      <c r="A2175" s="1"/>
      <c r="B2175" s="1"/>
      <c r="E2175" s="1"/>
      <c r="F2175" s="1"/>
      <c r="G2175" s="1"/>
      <c r="H2175" s="15"/>
      <c r="I2175" s="15"/>
      <c r="J2175" s="15"/>
      <c r="K2175" s="15"/>
      <c r="L2175" s="1"/>
    </row>
    <row r="2176">
      <c r="A2176" s="1"/>
      <c r="B2176" s="1"/>
      <c r="E2176" s="1"/>
      <c r="F2176" s="1"/>
      <c r="G2176" s="1"/>
      <c r="H2176" s="15"/>
      <c r="I2176" s="15"/>
      <c r="J2176" s="15"/>
      <c r="K2176" s="15"/>
      <c r="L2176" s="1"/>
    </row>
    <row r="2177">
      <c r="A2177" s="1"/>
      <c r="B2177" s="1"/>
      <c r="E2177" s="1"/>
      <c r="F2177" s="1"/>
      <c r="G2177" s="1"/>
      <c r="H2177" s="15"/>
      <c r="I2177" s="15"/>
      <c r="J2177" s="15"/>
      <c r="K2177" s="15"/>
      <c r="L2177" s="1"/>
    </row>
    <row r="2178">
      <c r="A2178" s="1"/>
      <c r="B2178" s="1"/>
      <c r="E2178" s="1"/>
      <c r="F2178" s="1"/>
      <c r="G2178" s="1"/>
      <c r="H2178" s="15"/>
      <c r="I2178" s="15"/>
      <c r="J2178" s="15"/>
      <c r="K2178" s="15"/>
      <c r="L2178" s="1"/>
    </row>
    <row r="2179">
      <c r="A2179" s="1"/>
      <c r="B2179" s="1"/>
      <c r="E2179" s="1"/>
      <c r="F2179" s="1"/>
      <c r="G2179" s="1"/>
      <c r="H2179" s="15"/>
      <c r="I2179" s="15"/>
      <c r="J2179" s="15"/>
      <c r="K2179" s="15"/>
      <c r="L2179" s="1"/>
    </row>
    <row r="2180">
      <c r="A2180" s="1"/>
      <c r="B2180" s="1"/>
      <c r="E2180" s="1"/>
      <c r="F2180" s="1"/>
      <c r="G2180" s="1"/>
      <c r="H2180" s="15"/>
      <c r="I2180" s="15"/>
      <c r="J2180" s="15"/>
      <c r="K2180" s="15"/>
      <c r="L2180" s="1"/>
    </row>
    <row r="2181">
      <c r="A2181" s="1"/>
      <c r="B2181" s="1"/>
      <c r="E2181" s="1"/>
      <c r="F2181" s="1"/>
      <c r="G2181" s="1"/>
      <c r="H2181" s="15"/>
      <c r="I2181" s="15"/>
      <c r="J2181" s="15"/>
      <c r="K2181" s="15"/>
      <c r="L2181" s="1"/>
    </row>
    <row r="2182">
      <c r="A2182" s="1"/>
      <c r="B2182" s="1"/>
      <c r="E2182" s="1"/>
      <c r="F2182" s="1"/>
      <c r="G2182" s="1"/>
      <c r="H2182" s="15"/>
      <c r="I2182" s="15"/>
      <c r="J2182" s="15"/>
      <c r="K2182" s="15"/>
      <c r="L2182" s="1"/>
    </row>
    <row r="2183">
      <c r="A2183" s="1"/>
      <c r="B2183" s="1"/>
      <c r="E2183" s="1"/>
      <c r="F2183" s="1"/>
      <c r="G2183" s="1"/>
      <c r="H2183" s="15"/>
      <c r="I2183" s="15"/>
      <c r="J2183" s="15"/>
      <c r="K2183" s="15"/>
      <c r="L2183" s="1"/>
    </row>
    <row r="2184">
      <c r="A2184" s="1"/>
      <c r="B2184" s="1"/>
      <c r="E2184" s="1"/>
      <c r="F2184" s="1"/>
      <c r="G2184" s="1"/>
      <c r="H2184" s="15"/>
      <c r="I2184" s="15"/>
      <c r="J2184" s="15"/>
      <c r="K2184" s="15"/>
      <c r="L2184" s="1"/>
    </row>
    <row r="2185">
      <c r="A2185" s="1"/>
      <c r="B2185" s="1"/>
      <c r="E2185" s="1"/>
      <c r="F2185" s="1"/>
      <c r="G2185" s="1"/>
      <c r="H2185" s="15"/>
      <c r="I2185" s="15"/>
      <c r="J2185" s="15"/>
      <c r="K2185" s="15"/>
      <c r="L2185" s="1"/>
    </row>
    <row r="2186">
      <c r="A2186" s="1"/>
      <c r="B2186" s="1"/>
      <c r="E2186" s="1"/>
      <c r="F2186" s="1"/>
      <c r="G2186" s="1"/>
      <c r="H2186" s="15"/>
      <c r="I2186" s="15"/>
      <c r="J2186" s="15"/>
      <c r="K2186" s="15"/>
      <c r="L2186" s="1"/>
    </row>
    <row r="2187">
      <c r="A2187" s="1"/>
      <c r="B2187" s="1"/>
      <c r="E2187" s="1"/>
      <c r="F2187" s="1"/>
      <c r="G2187" s="1"/>
      <c r="H2187" s="15"/>
      <c r="I2187" s="15"/>
      <c r="J2187" s="15"/>
      <c r="K2187" s="15"/>
      <c r="L2187" s="1"/>
    </row>
    <row r="2188">
      <c r="A2188" s="1"/>
      <c r="B2188" s="1"/>
      <c r="E2188" s="1"/>
      <c r="F2188" s="1"/>
      <c r="G2188" s="1"/>
      <c r="H2188" s="15"/>
      <c r="I2188" s="15"/>
      <c r="J2188" s="15"/>
      <c r="K2188" s="15"/>
      <c r="L2188" s="1"/>
    </row>
    <row r="2189">
      <c r="A2189" s="1"/>
      <c r="B2189" s="1"/>
      <c r="E2189" s="1"/>
      <c r="F2189" s="1"/>
      <c r="G2189" s="1"/>
      <c r="H2189" s="15"/>
      <c r="I2189" s="15"/>
      <c r="J2189" s="15"/>
      <c r="K2189" s="15"/>
      <c r="L2189" s="1"/>
    </row>
    <row r="2190">
      <c r="A2190" s="1"/>
      <c r="B2190" s="1"/>
      <c r="E2190" s="1"/>
      <c r="F2190" s="1"/>
      <c r="G2190" s="1"/>
      <c r="H2190" s="15"/>
      <c r="I2190" s="15"/>
      <c r="J2190" s="15"/>
      <c r="K2190" s="15"/>
      <c r="L2190" s="1"/>
    </row>
    <row r="2191">
      <c r="A2191" s="1"/>
      <c r="B2191" s="1"/>
      <c r="E2191" s="1"/>
      <c r="F2191" s="1"/>
      <c r="G2191" s="1"/>
      <c r="H2191" s="15"/>
      <c r="I2191" s="15"/>
      <c r="J2191" s="15"/>
      <c r="K2191" s="15"/>
      <c r="L2191" s="1"/>
    </row>
    <row r="2192">
      <c r="A2192" s="1"/>
      <c r="B2192" s="1"/>
      <c r="E2192" s="1"/>
      <c r="F2192" s="1"/>
      <c r="G2192" s="1"/>
      <c r="H2192" s="15"/>
      <c r="I2192" s="15"/>
      <c r="J2192" s="15"/>
      <c r="K2192" s="15"/>
      <c r="L2192" s="1"/>
    </row>
    <row r="2193">
      <c r="A2193" s="1"/>
      <c r="B2193" s="1"/>
      <c r="E2193" s="1"/>
      <c r="F2193" s="1"/>
      <c r="G2193" s="1"/>
      <c r="H2193" s="15"/>
      <c r="I2193" s="15"/>
      <c r="J2193" s="15"/>
      <c r="K2193" s="15"/>
      <c r="L2193" s="1"/>
    </row>
    <row r="2194">
      <c r="A2194" s="1"/>
      <c r="B2194" s="1"/>
      <c r="E2194" s="1"/>
      <c r="F2194" s="1"/>
      <c r="G2194" s="1"/>
      <c r="H2194" s="15"/>
      <c r="I2194" s="15"/>
      <c r="J2194" s="15"/>
      <c r="K2194" s="15"/>
      <c r="L2194" s="1"/>
    </row>
    <row r="2195">
      <c r="A2195" s="1"/>
      <c r="B2195" s="1"/>
      <c r="E2195" s="1"/>
      <c r="F2195" s="1"/>
      <c r="G2195" s="1"/>
      <c r="H2195" s="15"/>
      <c r="I2195" s="15"/>
      <c r="J2195" s="15"/>
      <c r="K2195" s="15"/>
      <c r="L2195" s="1"/>
    </row>
    <row r="2196">
      <c r="A2196" s="1"/>
      <c r="B2196" s="1"/>
      <c r="E2196" s="1"/>
      <c r="F2196" s="1"/>
      <c r="G2196" s="1"/>
      <c r="H2196" s="15"/>
      <c r="I2196" s="15"/>
      <c r="J2196" s="15"/>
      <c r="K2196" s="15"/>
      <c r="L2196" s="1"/>
    </row>
    <row r="2197">
      <c r="A2197" s="1"/>
      <c r="B2197" s="1"/>
      <c r="E2197" s="1"/>
      <c r="F2197" s="1"/>
      <c r="G2197" s="1"/>
      <c r="H2197" s="15"/>
      <c r="I2197" s="15"/>
      <c r="J2197" s="15"/>
      <c r="K2197" s="15"/>
      <c r="L2197" s="1"/>
    </row>
    <row r="2198">
      <c r="A2198" s="1"/>
      <c r="B2198" s="1"/>
      <c r="E2198" s="1"/>
      <c r="F2198" s="1"/>
      <c r="G2198" s="1"/>
      <c r="H2198" s="15"/>
      <c r="I2198" s="15"/>
      <c r="J2198" s="15"/>
      <c r="K2198" s="15"/>
      <c r="L2198" s="1"/>
    </row>
    <row r="2199">
      <c r="A2199" s="1"/>
      <c r="B2199" s="1"/>
      <c r="E2199" s="1"/>
      <c r="F2199" s="1"/>
      <c r="G2199" s="1"/>
      <c r="H2199" s="15"/>
      <c r="I2199" s="15"/>
      <c r="J2199" s="15"/>
      <c r="K2199" s="15"/>
      <c r="L2199" s="1"/>
    </row>
    <row r="2200">
      <c r="A2200" s="1"/>
      <c r="B2200" s="1"/>
      <c r="E2200" s="1"/>
      <c r="F2200" s="1"/>
      <c r="G2200" s="1"/>
      <c r="H2200" s="15"/>
      <c r="I2200" s="15"/>
      <c r="J2200" s="15"/>
      <c r="K2200" s="15"/>
      <c r="L2200" s="1"/>
    </row>
    <row r="2201">
      <c r="A2201" s="1"/>
      <c r="B2201" s="1"/>
      <c r="E2201" s="1"/>
      <c r="F2201" s="1"/>
      <c r="G2201" s="1"/>
      <c r="H2201" s="15"/>
      <c r="I2201" s="15"/>
      <c r="J2201" s="15"/>
      <c r="K2201" s="15"/>
      <c r="L2201" s="1"/>
    </row>
    <row r="2202">
      <c r="A2202" s="1"/>
      <c r="B2202" s="1"/>
      <c r="E2202" s="1"/>
      <c r="F2202" s="1"/>
      <c r="G2202" s="1"/>
      <c r="H2202" s="15"/>
      <c r="I2202" s="15"/>
      <c r="J2202" s="15"/>
      <c r="K2202" s="15"/>
      <c r="L2202" s="1"/>
    </row>
    <row r="2203">
      <c r="A2203" s="1"/>
      <c r="B2203" s="1"/>
      <c r="E2203" s="1"/>
      <c r="F2203" s="1"/>
      <c r="G2203" s="1"/>
      <c r="H2203" s="15"/>
      <c r="I2203" s="15"/>
      <c r="J2203" s="15"/>
      <c r="K2203" s="15"/>
      <c r="L2203" s="1"/>
    </row>
    <row r="2204">
      <c r="A2204" s="1"/>
      <c r="B2204" s="1"/>
      <c r="E2204" s="1"/>
      <c r="F2204" s="1"/>
      <c r="G2204" s="1"/>
      <c r="H2204" s="15"/>
      <c r="I2204" s="15"/>
      <c r="J2204" s="15"/>
      <c r="K2204" s="15"/>
      <c r="L2204" s="1"/>
    </row>
    <row r="2205">
      <c r="A2205" s="1"/>
      <c r="B2205" s="1"/>
      <c r="E2205" s="1"/>
      <c r="F2205" s="1"/>
      <c r="G2205" s="1"/>
      <c r="H2205" s="15"/>
      <c r="I2205" s="15"/>
      <c r="J2205" s="15"/>
      <c r="K2205" s="15"/>
      <c r="L2205" s="1"/>
    </row>
    <row r="2206">
      <c r="A2206" s="1"/>
      <c r="B2206" s="1"/>
      <c r="E2206" s="1"/>
      <c r="F2206" s="1"/>
      <c r="G2206" s="1"/>
      <c r="H2206" s="15"/>
      <c r="I2206" s="15"/>
      <c r="J2206" s="15"/>
      <c r="K2206" s="15"/>
      <c r="L2206" s="1"/>
    </row>
    <row r="2207">
      <c r="A2207" s="1"/>
      <c r="B2207" s="1"/>
      <c r="E2207" s="1"/>
      <c r="F2207" s="1"/>
      <c r="G2207" s="1"/>
      <c r="H2207" s="15"/>
      <c r="I2207" s="15"/>
      <c r="J2207" s="15"/>
      <c r="K2207" s="15"/>
      <c r="L2207" s="1"/>
    </row>
    <row r="2208">
      <c r="A2208" s="1"/>
      <c r="B2208" s="1"/>
      <c r="E2208" s="1"/>
      <c r="F2208" s="1"/>
      <c r="G2208" s="1"/>
      <c r="H2208" s="15"/>
      <c r="I2208" s="15"/>
      <c r="J2208" s="15"/>
      <c r="K2208" s="15"/>
      <c r="L2208" s="1"/>
    </row>
    <row r="2209">
      <c r="A2209" s="1"/>
      <c r="B2209" s="1"/>
      <c r="E2209" s="1"/>
      <c r="F2209" s="1"/>
      <c r="G2209" s="1"/>
      <c r="H2209" s="15"/>
      <c r="I2209" s="15"/>
      <c r="J2209" s="15"/>
      <c r="K2209" s="15"/>
      <c r="L2209" s="1"/>
    </row>
    <row r="2210">
      <c r="A2210" s="1"/>
      <c r="B2210" s="1"/>
      <c r="E2210" s="1"/>
      <c r="F2210" s="1"/>
      <c r="G2210" s="1"/>
      <c r="H2210" s="15"/>
      <c r="I2210" s="15"/>
      <c r="J2210" s="15"/>
      <c r="K2210" s="15"/>
      <c r="L2210" s="1"/>
    </row>
    <row r="2211">
      <c r="A2211" s="1"/>
      <c r="B2211" s="1"/>
      <c r="E2211" s="1"/>
      <c r="F2211" s="1"/>
      <c r="G2211" s="1"/>
      <c r="H2211" s="15"/>
      <c r="I2211" s="15"/>
      <c r="J2211" s="15"/>
      <c r="K2211" s="15"/>
      <c r="L2211" s="1"/>
    </row>
    <row r="2212">
      <c r="A2212" s="1"/>
      <c r="B2212" s="1"/>
      <c r="E2212" s="1"/>
      <c r="F2212" s="1"/>
      <c r="G2212" s="1"/>
      <c r="H2212" s="15"/>
      <c r="I2212" s="15"/>
      <c r="J2212" s="15"/>
      <c r="K2212" s="15"/>
      <c r="L2212" s="1"/>
    </row>
    <row r="2213">
      <c r="A2213" s="1"/>
      <c r="B2213" s="1"/>
      <c r="E2213" s="1"/>
      <c r="F2213" s="1"/>
      <c r="G2213" s="1"/>
      <c r="H2213" s="15"/>
      <c r="I2213" s="15"/>
      <c r="J2213" s="15"/>
      <c r="K2213" s="15"/>
      <c r="L2213" s="1"/>
    </row>
    <row r="2214">
      <c r="A2214" s="1"/>
      <c r="B2214" s="1"/>
      <c r="E2214" s="1"/>
      <c r="F2214" s="1"/>
      <c r="G2214" s="1"/>
      <c r="H2214" s="15"/>
      <c r="I2214" s="15"/>
      <c r="J2214" s="15"/>
      <c r="K2214" s="15"/>
      <c r="L2214" s="1"/>
    </row>
    <row r="2215">
      <c r="A2215" s="1"/>
      <c r="B2215" s="1"/>
      <c r="E2215" s="1"/>
      <c r="F2215" s="1"/>
      <c r="G2215" s="1"/>
      <c r="H2215" s="15"/>
      <c r="I2215" s="15"/>
      <c r="J2215" s="15"/>
      <c r="K2215" s="15"/>
      <c r="L2215" s="1"/>
    </row>
    <row r="2216">
      <c r="A2216" s="1"/>
      <c r="B2216" s="1"/>
      <c r="E2216" s="1"/>
      <c r="F2216" s="1"/>
      <c r="G2216" s="1"/>
      <c r="H2216" s="15"/>
      <c r="I2216" s="15"/>
      <c r="J2216" s="15"/>
      <c r="K2216" s="15"/>
      <c r="L2216" s="1"/>
    </row>
    <row r="2217">
      <c r="A2217" s="1"/>
      <c r="B2217" s="1"/>
      <c r="E2217" s="1"/>
      <c r="F2217" s="1"/>
      <c r="G2217" s="1"/>
      <c r="H2217" s="15"/>
      <c r="I2217" s="15"/>
      <c r="J2217" s="15"/>
      <c r="K2217" s="15"/>
      <c r="L2217" s="1"/>
    </row>
    <row r="2218">
      <c r="A2218" s="1"/>
      <c r="B2218" s="1"/>
      <c r="E2218" s="1"/>
      <c r="F2218" s="1"/>
      <c r="G2218" s="1"/>
      <c r="H2218" s="15"/>
      <c r="I2218" s="15"/>
      <c r="J2218" s="15"/>
      <c r="K2218" s="15"/>
      <c r="L2218" s="1"/>
    </row>
    <row r="2219">
      <c r="A2219" s="1"/>
      <c r="B2219" s="1"/>
      <c r="E2219" s="1"/>
      <c r="F2219" s="1"/>
      <c r="G2219" s="1"/>
      <c r="H2219" s="15"/>
      <c r="I2219" s="15"/>
      <c r="J2219" s="15"/>
      <c r="K2219" s="15"/>
      <c r="L2219" s="1"/>
    </row>
    <row r="2220">
      <c r="A2220" s="1"/>
      <c r="B2220" s="1"/>
      <c r="E2220" s="1"/>
      <c r="F2220" s="1"/>
      <c r="G2220" s="1"/>
      <c r="H2220" s="15"/>
      <c r="I2220" s="15"/>
      <c r="J2220" s="15"/>
      <c r="K2220" s="15"/>
      <c r="L2220" s="1"/>
    </row>
    <row r="2221">
      <c r="A2221" s="1"/>
      <c r="B2221" s="1"/>
      <c r="E2221" s="1"/>
      <c r="F2221" s="1"/>
      <c r="G2221" s="1"/>
      <c r="H2221" s="15"/>
      <c r="I2221" s="15"/>
      <c r="J2221" s="15"/>
      <c r="K2221" s="15"/>
      <c r="L2221" s="1"/>
    </row>
    <row r="2222">
      <c r="A2222" s="1"/>
      <c r="B2222" s="1"/>
      <c r="E2222" s="1"/>
      <c r="F2222" s="1"/>
      <c r="G2222" s="1"/>
      <c r="H2222" s="15"/>
      <c r="I2222" s="15"/>
      <c r="J2222" s="15"/>
      <c r="K2222" s="15"/>
      <c r="L2222" s="1"/>
    </row>
    <row r="2223">
      <c r="A2223" s="1"/>
      <c r="B2223" s="1"/>
      <c r="E2223" s="1"/>
      <c r="F2223" s="1"/>
      <c r="G2223" s="1"/>
      <c r="H2223" s="15"/>
      <c r="I2223" s="15"/>
      <c r="J2223" s="15"/>
      <c r="K2223" s="15"/>
      <c r="L2223" s="1"/>
    </row>
    <row r="2224">
      <c r="A2224" s="1"/>
      <c r="B2224" s="1"/>
      <c r="E2224" s="1"/>
      <c r="F2224" s="1"/>
      <c r="G2224" s="1"/>
      <c r="H2224" s="15"/>
      <c r="I2224" s="15"/>
      <c r="J2224" s="15"/>
      <c r="K2224" s="15"/>
      <c r="L2224" s="1"/>
    </row>
    <row r="2225">
      <c r="A2225" s="1"/>
      <c r="B2225" s="1"/>
      <c r="E2225" s="1"/>
      <c r="F2225" s="1"/>
      <c r="G2225" s="1"/>
      <c r="H2225" s="15"/>
      <c r="I2225" s="15"/>
      <c r="J2225" s="15"/>
      <c r="K2225" s="15"/>
      <c r="L2225" s="1"/>
    </row>
    <row r="2226">
      <c r="A2226" s="1"/>
      <c r="B2226" s="1"/>
      <c r="E2226" s="1"/>
      <c r="F2226" s="1"/>
      <c r="G2226" s="1"/>
      <c r="H2226" s="15"/>
      <c r="I2226" s="15"/>
      <c r="J2226" s="15"/>
      <c r="K2226" s="15"/>
      <c r="L2226" s="1"/>
    </row>
    <row r="2227">
      <c r="A2227" s="1"/>
      <c r="B2227" s="1"/>
      <c r="E2227" s="1"/>
      <c r="F2227" s="1"/>
      <c r="G2227" s="1"/>
      <c r="H2227" s="15"/>
      <c r="I2227" s="15"/>
      <c r="J2227" s="15"/>
      <c r="K2227" s="15"/>
      <c r="L2227" s="1"/>
    </row>
    <row r="2228">
      <c r="A2228" s="1"/>
      <c r="B2228" s="1"/>
      <c r="E2228" s="1"/>
      <c r="F2228" s="1"/>
      <c r="G2228" s="1"/>
      <c r="H2228" s="15"/>
      <c r="I2228" s="15"/>
      <c r="J2228" s="15"/>
      <c r="K2228" s="15"/>
      <c r="L2228" s="1"/>
    </row>
    <row r="2229">
      <c r="A2229" s="1"/>
      <c r="B2229" s="1"/>
      <c r="E2229" s="1"/>
      <c r="F2229" s="1"/>
      <c r="G2229" s="1"/>
      <c r="H2229" s="15"/>
      <c r="I2229" s="15"/>
      <c r="J2229" s="15"/>
      <c r="K2229" s="15"/>
      <c r="L2229" s="1"/>
    </row>
    <row r="2230">
      <c r="A2230" s="1"/>
      <c r="B2230" s="1"/>
      <c r="E2230" s="1"/>
      <c r="F2230" s="1"/>
      <c r="G2230" s="1"/>
      <c r="H2230" s="15"/>
      <c r="I2230" s="15"/>
      <c r="J2230" s="15"/>
      <c r="K2230" s="15"/>
      <c r="L2230" s="1"/>
    </row>
    <row r="2231">
      <c r="A2231" s="1"/>
      <c r="B2231" s="1"/>
      <c r="E2231" s="1"/>
      <c r="F2231" s="1"/>
      <c r="G2231" s="1"/>
      <c r="H2231" s="15"/>
      <c r="I2231" s="15"/>
      <c r="J2231" s="15"/>
      <c r="K2231" s="15"/>
      <c r="L2231" s="1"/>
    </row>
    <row r="2232">
      <c r="A2232" s="1"/>
      <c r="B2232" s="1"/>
      <c r="E2232" s="1"/>
      <c r="F2232" s="1"/>
      <c r="G2232" s="1"/>
      <c r="H2232" s="15"/>
      <c r="I2232" s="15"/>
      <c r="J2232" s="15"/>
      <c r="K2232" s="15"/>
      <c r="L2232" s="1"/>
    </row>
    <row r="2233">
      <c r="A2233" s="1"/>
      <c r="B2233" s="1"/>
      <c r="E2233" s="1"/>
      <c r="F2233" s="1"/>
      <c r="G2233" s="1"/>
      <c r="H2233" s="15"/>
      <c r="I2233" s="15"/>
      <c r="J2233" s="15"/>
      <c r="K2233" s="15"/>
      <c r="L2233" s="1"/>
    </row>
    <row r="2234">
      <c r="A2234" s="1"/>
      <c r="B2234" s="1"/>
      <c r="E2234" s="1"/>
      <c r="F2234" s="1"/>
      <c r="G2234" s="1"/>
      <c r="H2234" s="15"/>
      <c r="I2234" s="15"/>
      <c r="J2234" s="15"/>
      <c r="K2234" s="15"/>
      <c r="L2234" s="1"/>
    </row>
    <row r="2235">
      <c r="A2235" s="1"/>
      <c r="B2235" s="1"/>
      <c r="E2235" s="1"/>
      <c r="F2235" s="1"/>
      <c r="G2235" s="1"/>
      <c r="H2235" s="15"/>
      <c r="I2235" s="15"/>
      <c r="J2235" s="15"/>
      <c r="K2235" s="15"/>
      <c r="L2235" s="1"/>
    </row>
    <row r="2236">
      <c r="A2236" s="1"/>
      <c r="B2236" s="1"/>
      <c r="E2236" s="1"/>
      <c r="F2236" s="1"/>
      <c r="G2236" s="1"/>
      <c r="H2236" s="15"/>
      <c r="I2236" s="15"/>
      <c r="J2236" s="15"/>
      <c r="K2236" s="15"/>
      <c r="L2236" s="1"/>
    </row>
    <row r="2237">
      <c r="A2237" s="1"/>
      <c r="B2237" s="1"/>
      <c r="E2237" s="1"/>
      <c r="F2237" s="1"/>
      <c r="G2237" s="1"/>
      <c r="H2237" s="15"/>
      <c r="I2237" s="15"/>
      <c r="J2237" s="15"/>
      <c r="K2237" s="15"/>
      <c r="L2237" s="1"/>
    </row>
    <row r="2238">
      <c r="A2238" s="1"/>
      <c r="B2238" s="1"/>
      <c r="E2238" s="1"/>
      <c r="F2238" s="1"/>
      <c r="G2238" s="1"/>
      <c r="H2238" s="15"/>
      <c r="I2238" s="15"/>
      <c r="J2238" s="15"/>
      <c r="K2238" s="15"/>
      <c r="L2238" s="1"/>
    </row>
    <row r="2239">
      <c r="A2239" s="1"/>
      <c r="B2239" s="1"/>
      <c r="E2239" s="1"/>
      <c r="F2239" s="1"/>
      <c r="G2239" s="1"/>
      <c r="H2239" s="15"/>
      <c r="I2239" s="15"/>
      <c r="J2239" s="15"/>
      <c r="K2239" s="15"/>
      <c r="L2239" s="1"/>
    </row>
    <row r="2240">
      <c r="A2240" s="1"/>
      <c r="B2240" s="1"/>
      <c r="E2240" s="1"/>
      <c r="F2240" s="1"/>
      <c r="G2240" s="1"/>
      <c r="H2240" s="15"/>
      <c r="I2240" s="15"/>
      <c r="J2240" s="15"/>
      <c r="K2240" s="15"/>
      <c r="L2240" s="1"/>
    </row>
    <row r="2241">
      <c r="A2241" s="1"/>
      <c r="B2241" s="1"/>
      <c r="E2241" s="1"/>
      <c r="F2241" s="1"/>
      <c r="G2241" s="1"/>
      <c r="H2241" s="15"/>
      <c r="I2241" s="15"/>
      <c r="J2241" s="15"/>
      <c r="K2241" s="15"/>
      <c r="L2241" s="1"/>
    </row>
    <row r="2242">
      <c r="A2242" s="1"/>
      <c r="B2242" s="1"/>
      <c r="E2242" s="1"/>
      <c r="F2242" s="1"/>
      <c r="G2242" s="1"/>
      <c r="H2242" s="15"/>
      <c r="I2242" s="15"/>
      <c r="J2242" s="15"/>
      <c r="K2242" s="15"/>
      <c r="L2242" s="1"/>
    </row>
    <row r="2243">
      <c r="A2243" s="1"/>
      <c r="B2243" s="1"/>
      <c r="E2243" s="1"/>
      <c r="F2243" s="1"/>
      <c r="G2243" s="1"/>
      <c r="H2243" s="15"/>
      <c r="I2243" s="15"/>
      <c r="J2243" s="15"/>
      <c r="K2243" s="15"/>
      <c r="L2243" s="1"/>
    </row>
    <row r="2244">
      <c r="A2244" s="1"/>
      <c r="B2244" s="1"/>
      <c r="E2244" s="1"/>
      <c r="F2244" s="1"/>
      <c r="G2244" s="1"/>
      <c r="H2244" s="15"/>
      <c r="I2244" s="15"/>
      <c r="J2244" s="15"/>
      <c r="K2244" s="15"/>
      <c r="L2244" s="1"/>
    </row>
    <row r="2245">
      <c r="A2245" s="1"/>
      <c r="B2245" s="1"/>
      <c r="E2245" s="1"/>
      <c r="F2245" s="1"/>
      <c r="G2245" s="1"/>
      <c r="H2245" s="15"/>
      <c r="I2245" s="15"/>
      <c r="J2245" s="15"/>
      <c r="K2245" s="15"/>
      <c r="L2245" s="1"/>
    </row>
    <row r="2246">
      <c r="A2246" s="1"/>
      <c r="B2246" s="1"/>
      <c r="E2246" s="1"/>
      <c r="F2246" s="1"/>
      <c r="G2246" s="1"/>
      <c r="H2246" s="15"/>
      <c r="I2246" s="15"/>
      <c r="J2246" s="15"/>
      <c r="K2246" s="15"/>
      <c r="L2246" s="1"/>
    </row>
    <row r="2247">
      <c r="A2247" s="1"/>
      <c r="B2247" s="1"/>
      <c r="E2247" s="1"/>
      <c r="F2247" s="1"/>
      <c r="G2247" s="1"/>
      <c r="H2247" s="15"/>
      <c r="I2247" s="15"/>
      <c r="J2247" s="15"/>
      <c r="K2247" s="15"/>
      <c r="L2247" s="1"/>
    </row>
    <row r="2248">
      <c r="A2248" s="1"/>
      <c r="B2248" s="1"/>
      <c r="E2248" s="1"/>
      <c r="F2248" s="1"/>
      <c r="G2248" s="1"/>
      <c r="H2248" s="15"/>
      <c r="I2248" s="15"/>
      <c r="J2248" s="15"/>
      <c r="K2248" s="15"/>
      <c r="L2248" s="1"/>
    </row>
    <row r="2249">
      <c r="A2249" s="1"/>
      <c r="B2249" s="1"/>
      <c r="E2249" s="1"/>
      <c r="F2249" s="1"/>
      <c r="G2249" s="1"/>
      <c r="H2249" s="15"/>
      <c r="I2249" s="15"/>
      <c r="J2249" s="15"/>
      <c r="K2249" s="15"/>
      <c r="L2249" s="1"/>
    </row>
    <row r="2250">
      <c r="A2250" s="1"/>
      <c r="B2250" s="1"/>
      <c r="E2250" s="1"/>
      <c r="F2250" s="1"/>
      <c r="G2250" s="1"/>
      <c r="H2250" s="15"/>
      <c r="I2250" s="15"/>
      <c r="J2250" s="15"/>
      <c r="K2250" s="15"/>
      <c r="L2250" s="1"/>
    </row>
    <row r="2251">
      <c r="A2251" s="1"/>
      <c r="B2251" s="1"/>
      <c r="E2251" s="1"/>
      <c r="F2251" s="1"/>
      <c r="G2251" s="1"/>
      <c r="H2251" s="15"/>
      <c r="I2251" s="15"/>
      <c r="J2251" s="15"/>
      <c r="K2251" s="15"/>
      <c r="L2251" s="1"/>
    </row>
    <row r="2252">
      <c r="A2252" s="1"/>
      <c r="B2252" s="1"/>
      <c r="E2252" s="1"/>
      <c r="F2252" s="1"/>
      <c r="G2252" s="1"/>
      <c r="H2252" s="15"/>
      <c r="I2252" s="15"/>
      <c r="J2252" s="15"/>
      <c r="K2252" s="15"/>
      <c r="L2252" s="1"/>
    </row>
    <row r="2253">
      <c r="A2253" s="1"/>
      <c r="B2253" s="1"/>
      <c r="E2253" s="1"/>
      <c r="F2253" s="1"/>
      <c r="G2253" s="1"/>
      <c r="H2253" s="15"/>
      <c r="I2253" s="15"/>
      <c r="J2253" s="15"/>
      <c r="K2253" s="15"/>
      <c r="L2253" s="1"/>
    </row>
    <row r="2254">
      <c r="A2254" s="1"/>
      <c r="B2254" s="1"/>
      <c r="E2254" s="1"/>
      <c r="F2254" s="1"/>
      <c r="G2254" s="1"/>
      <c r="H2254" s="15"/>
      <c r="I2254" s="15"/>
      <c r="J2254" s="15"/>
      <c r="K2254" s="15"/>
      <c r="L2254" s="1"/>
    </row>
    <row r="2255">
      <c r="A2255" s="1"/>
      <c r="B2255" s="1"/>
      <c r="E2255" s="1"/>
      <c r="F2255" s="1"/>
      <c r="G2255" s="1"/>
      <c r="H2255" s="15"/>
      <c r="I2255" s="15"/>
      <c r="J2255" s="15"/>
      <c r="K2255" s="15"/>
      <c r="L2255" s="1"/>
    </row>
    <row r="2256">
      <c r="A2256" s="1"/>
      <c r="B2256" s="1"/>
      <c r="E2256" s="1"/>
      <c r="F2256" s="1"/>
      <c r="G2256" s="1"/>
      <c r="H2256" s="15"/>
      <c r="I2256" s="15"/>
      <c r="J2256" s="15"/>
      <c r="K2256" s="15"/>
      <c r="L2256" s="1"/>
    </row>
    <row r="2257">
      <c r="A2257" s="1"/>
      <c r="B2257" s="1"/>
      <c r="E2257" s="1"/>
      <c r="F2257" s="1"/>
      <c r="G2257" s="1"/>
      <c r="H2257" s="15"/>
      <c r="I2257" s="15"/>
      <c r="J2257" s="15"/>
      <c r="K2257" s="15"/>
      <c r="L2257" s="1"/>
    </row>
    <row r="2258">
      <c r="A2258" s="1"/>
      <c r="B2258" s="1"/>
      <c r="E2258" s="1"/>
      <c r="F2258" s="1"/>
      <c r="G2258" s="1"/>
      <c r="H2258" s="15"/>
      <c r="I2258" s="15"/>
      <c r="J2258" s="15"/>
      <c r="K2258" s="15"/>
      <c r="L2258" s="1"/>
    </row>
    <row r="2259">
      <c r="A2259" s="1"/>
      <c r="B2259" s="1"/>
      <c r="E2259" s="1"/>
      <c r="F2259" s="1"/>
      <c r="G2259" s="1"/>
      <c r="H2259" s="15"/>
      <c r="I2259" s="15"/>
      <c r="J2259" s="15"/>
      <c r="K2259" s="15"/>
      <c r="L2259" s="1"/>
    </row>
    <row r="2260">
      <c r="A2260" s="1"/>
      <c r="B2260" s="1"/>
      <c r="E2260" s="1"/>
      <c r="F2260" s="1"/>
      <c r="G2260" s="1"/>
      <c r="H2260" s="15"/>
      <c r="I2260" s="15"/>
      <c r="J2260" s="15"/>
      <c r="K2260" s="15"/>
      <c r="L2260" s="1"/>
    </row>
    <row r="2261">
      <c r="A2261" s="1"/>
      <c r="B2261" s="1"/>
      <c r="E2261" s="1"/>
      <c r="F2261" s="1"/>
      <c r="G2261" s="1"/>
      <c r="H2261" s="15"/>
      <c r="I2261" s="15"/>
      <c r="J2261" s="15"/>
      <c r="K2261" s="15"/>
      <c r="L2261" s="1"/>
    </row>
    <row r="2262">
      <c r="A2262" s="1"/>
      <c r="B2262" s="1"/>
      <c r="E2262" s="1"/>
      <c r="F2262" s="1"/>
      <c r="G2262" s="1"/>
      <c r="H2262" s="15"/>
      <c r="I2262" s="15"/>
      <c r="J2262" s="15"/>
      <c r="K2262" s="15"/>
      <c r="L2262" s="1"/>
    </row>
    <row r="2263">
      <c r="A2263" s="1"/>
      <c r="B2263" s="1"/>
      <c r="E2263" s="1"/>
      <c r="F2263" s="1"/>
      <c r="G2263" s="1"/>
      <c r="H2263" s="15"/>
      <c r="I2263" s="15"/>
      <c r="J2263" s="15"/>
      <c r="K2263" s="15"/>
      <c r="L2263" s="1"/>
    </row>
    <row r="2264">
      <c r="A2264" s="1"/>
      <c r="B2264" s="1"/>
      <c r="E2264" s="1"/>
      <c r="F2264" s="1"/>
      <c r="G2264" s="1"/>
      <c r="H2264" s="15"/>
      <c r="I2264" s="15"/>
      <c r="J2264" s="15"/>
      <c r="K2264" s="15"/>
      <c r="L2264" s="1"/>
    </row>
    <row r="2265">
      <c r="A2265" s="1"/>
      <c r="B2265" s="1"/>
      <c r="E2265" s="1"/>
      <c r="F2265" s="1"/>
      <c r="G2265" s="1"/>
      <c r="H2265" s="15"/>
      <c r="I2265" s="15"/>
      <c r="J2265" s="15"/>
      <c r="K2265" s="15"/>
      <c r="L2265" s="1"/>
    </row>
    <row r="2266">
      <c r="A2266" s="1"/>
      <c r="B2266" s="1"/>
      <c r="E2266" s="1"/>
      <c r="F2266" s="1"/>
      <c r="G2266" s="1"/>
      <c r="H2266" s="15"/>
      <c r="I2266" s="15"/>
      <c r="J2266" s="15"/>
      <c r="K2266" s="15"/>
      <c r="L2266" s="1"/>
    </row>
    <row r="2267">
      <c r="A2267" s="1"/>
      <c r="B2267" s="1"/>
      <c r="E2267" s="1"/>
      <c r="F2267" s="1"/>
      <c r="G2267" s="1"/>
      <c r="H2267" s="15"/>
      <c r="I2267" s="15"/>
      <c r="J2267" s="15"/>
      <c r="K2267" s="15"/>
      <c r="L2267" s="1"/>
    </row>
    <row r="2268">
      <c r="A2268" s="1"/>
      <c r="B2268" s="1"/>
      <c r="E2268" s="1"/>
      <c r="F2268" s="1"/>
      <c r="G2268" s="1"/>
      <c r="H2268" s="15"/>
      <c r="I2268" s="15"/>
      <c r="J2268" s="15"/>
      <c r="K2268" s="15"/>
      <c r="L2268" s="1"/>
    </row>
    <row r="2269">
      <c r="A2269" s="1"/>
      <c r="B2269" s="1"/>
      <c r="E2269" s="1"/>
      <c r="F2269" s="1"/>
      <c r="G2269" s="1"/>
      <c r="H2269" s="15"/>
      <c r="I2269" s="15"/>
      <c r="J2269" s="15"/>
      <c r="K2269" s="15"/>
      <c r="L2269" s="1"/>
    </row>
    <row r="2270">
      <c r="A2270" s="1"/>
      <c r="B2270" s="1"/>
      <c r="E2270" s="1"/>
      <c r="F2270" s="1"/>
      <c r="G2270" s="1"/>
      <c r="H2270" s="15"/>
      <c r="I2270" s="15"/>
      <c r="J2270" s="15"/>
      <c r="K2270" s="15"/>
      <c r="L2270" s="1"/>
    </row>
    <row r="2271">
      <c r="A2271" s="1"/>
      <c r="B2271" s="1"/>
      <c r="E2271" s="1"/>
      <c r="F2271" s="1"/>
      <c r="G2271" s="1"/>
      <c r="H2271" s="15"/>
      <c r="I2271" s="15"/>
      <c r="J2271" s="15"/>
      <c r="K2271" s="15"/>
      <c r="L2271" s="1"/>
    </row>
    <row r="2272">
      <c r="A2272" s="1"/>
      <c r="B2272" s="1"/>
      <c r="E2272" s="1"/>
      <c r="F2272" s="1"/>
      <c r="G2272" s="1"/>
      <c r="H2272" s="15"/>
      <c r="I2272" s="15"/>
      <c r="J2272" s="15"/>
      <c r="K2272" s="15"/>
      <c r="L2272" s="1"/>
    </row>
    <row r="2273">
      <c r="A2273" s="1"/>
      <c r="B2273" s="1"/>
      <c r="E2273" s="1"/>
      <c r="F2273" s="1"/>
      <c r="G2273" s="1"/>
      <c r="H2273" s="15"/>
      <c r="I2273" s="15"/>
      <c r="J2273" s="15"/>
      <c r="K2273" s="15"/>
      <c r="L2273" s="1"/>
    </row>
    <row r="2274">
      <c r="A2274" s="1"/>
      <c r="B2274" s="1"/>
      <c r="E2274" s="1"/>
      <c r="F2274" s="1"/>
      <c r="G2274" s="1"/>
      <c r="H2274" s="15"/>
      <c r="I2274" s="15"/>
      <c r="J2274" s="15"/>
      <c r="K2274" s="15"/>
      <c r="L2274" s="1"/>
    </row>
    <row r="2275">
      <c r="A2275" s="1"/>
      <c r="B2275" s="1"/>
      <c r="E2275" s="1"/>
      <c r="F2275" s="1"/>
      <c r="G2275" s="1"/>
      <c r="H2275" s="15"/>
      <c r="I2275" s="15"/>
      <c r="J2275" s="15"/>
      <c r="K2275" s="15"/>
      <c r="L2275" s="1"/>
    </row>
    <row r="2276">
      <c r="A2276" s="1"/>
      <c r="B2276" s="1"/>
      <c r="E2276" s="1"/>
      <c r="F2276" s="1"/>
      <c r="G2276" s="1"/>
      <c r="H2276" s="15"/>
      <c r="I2276" s="15"/>
      <c r="J2276" s="15"/>
      <c r="K2276" s="15"/>
      <c r="L2276" s="1"/>
    </row>
    <row r="2277">
      <c r="A2277" s="1"/>
      <c r="B2277" s="1"/>
      <c r="E2277" s="1"/>
      <c r="F2277" s="1"/>
      <c r="G2277" s="1"/>
      <c r="H2277" s="15"/>
      <c r="I2277" s="15"/>
      <c r="J2277" s="15"/>
      <c r="K2277" s="15"/>
      <c r="L2277" s="1"/>
    </row>
    <row r="2278">
      <c r="A2278" s="1"/>
      <c r="B2278" s="1"/>
      <c r="E2278" s="1"/>
      <c r="F2278" s="1"/>
      <c r="G2278" s="1"/>
      <c r="H2278" s="15"/>
      <c r="I2278" s="15"/>
      <c r="J2278" s="15"/>
      <c r="K2278" s="15"/>
      <c r="L2278" s="1"/>
    </row>
    <row r="2279">
      <c r="A2279" s="1"/>
      <c r="B2279" s="1"/>
      <c r="E2279" s="1"/>
      <c r="F2279" s="1"/>
      <c r="G2279" s="1"/>
      <c r="H2279" s="15"/>
      <c r="I2279" s="15"/>
      <c r="J2279" s="15"/>
      <c r="K2279" s="15"/>
      <c r="L2279" s="1"/>
    </row>
    <row r="2280">
      <c r="A2280" s="1"/>
      <c r="B2280" s="1"/>
      <c r="E2280" s="1"/>
      <c r="F2280" s="1"/>
      <c r="G2280" s="1"/>
      <c r="H2280" s="15"/>
      <c r="I2280" s="15"/>
      <c r="J2280" s="15"/>
      <c r="K2280" s="15"/>
      <c r="L2280" s="1"/>
    </row>
    <row r="2281">
      <c r="A2281" s="1"/>
      <c r="B2281" s="1"/>
      <c r="E2281" s="1"/>
      <c r="F2281" s="1"/>
      <c r="G2281" s="1"/>
      <c r="H2281" s="15"/>
      <c r="I2281" s="15"/>
      <c r="J2281" s="15"/>
      <c r="K2281" s="15"/>
      <c r="L2281" s="1"/>
    </row>
    <row r="2282">
      <c r="A2282" s="1"/>
      <c r="B2282" s="1"/>
      <c r="E2282" s="1"/>
      <c r="F2282" s="1"/>
      <c r="G2282" s="1"/>
      <c r="H2282" s="15"/>
      <c r="I2282" s="15"/>
      <c r="J2282" s="15"/>
      <c r="K2282" s="15"/>
      <c r="L2282" s="1"/>
    </row>
    <row r="2283">
      <c r="A2283" s="1"/>
      <c r="B2283" s="1"/>
      <c r="E2283" s="1"/>
      <c r="F2283" s="1"/>
      <c r="G2283" s="1"/>
      <c r="H2283" s="15"/>
      <c r="I2283" s="15"/>
      <c r="J2283" s="15"/>
      <c r="K2283" s="15"/>
      <c r="L2283" s="1"/>
    </row>
    <row r="2284">
      <c r="A2284" s="1"/>
      <c r="B2284" s="1"/>
      <c r="E2284" s="1"/>
      <c r="F2284" s="1"/>
      <c r="G2284" s="1"/>
      <c r="H2284" s="15"/>
      <c r="I2284" s="15"/>
      <c r="J2284" s="15"/>
      <c r="K2284" s="15"/>
      <c r="L2284" s="1"/>
    </row>
    <row r="2285">
      <c r="A2285" s="1"/>
      <c r="B2285" s="1"/>
      <c r="E2285" s="1"/>
      <c r="F2285" s="1"/>
      <c r="G2285" s="1"/>
      <c r="H2285" s="15"/>
      <c r="I2285" s="15"/>
      <c r="J2285" s="15"/>
      <c r="K2285" s="15"/>
      <c r="L2285" s="1"/>
    </row>
    <row r="2286">
      <c r="A2286" s="1"/>
      <c r="B2286" s="1"/>
      <c r="E2286" s="1"/>
      <c r="F2286" s="1"/>
      <c r="G2286" s="1"/>
      <c r="H2286" s="15"/>
      <c r="I2286" s="15"/>
      <c r="J2286" s="15"/>
      <c r="K2286" s="15"/>
      <c r="L2286" s="1"/>
    </row>
    <row r="2287">
      <c r="A2287" s="1"/>
      <c r="B2287" s="1"/>
      <c r="E2287" s="1"/>
      <c r="F2287" s="1"/>
      <c r="G2287" s="1"/>
      <c r="H2287" s="15"/>
      <c r="I2287" s="15"/>
      <c r="J2287" s="15"/>
      <c r="K2287" s="15"/>
      <c r="L2287" s="1"/>
    </row>
    <row r="2288">
      <c r="A2288" s="1"/>
      <c r="B2288" s="1"/>
      <c r="E2288" s="1"/>
      <c r="F2288" s="1"/>
      <c r="G2288" s="1"/>
      <c r="H2288" s="15"/>
      <c r="I2288" s="15"/>
      <c r="J2288" s="15"/>
      <c r="K2288" s="15"/>
      <c r="L2288" s="1"/>
    </row>
    <row r="2289">
      <c r="A2289" s="1"/>
      <c r="B2289" s="1"/>
      <c r="E2289" s="1"/>
      <c r="F2289" s="1"/>
      <c r="G2289" s="1"/>
      <c r="H2289" s="15"/>
      <c r="I2289" s="15"/>
      <c r="J2289" s="15"/>
      <c r="K2289" s="15"/>
      <c r="L2289" s="1"/>
    </row>
    <row r="2290">
      <c r="A2290" s="1"/>
      <c r="B2290" s="1"/>
      <c r="E2290" s="1"/>
      <c r="F2290" s="1"/>
      <c r="G2290" s="1"/>
      <c r="H2290" s="15"/>
      <c r="I2290" s="15"/>
      <c r="J2290" s="15"/>
      <c r="K2290" s="15"/>
      <c r="L2290" s="1"/>
    </row>
    <row r="2291">
      <c r="A2291" s="1"/>
      <c r="B2291" s="1"/>
      <c r="E2291" s="1"/>
      <c r="F2291" s="1"/>
      <c r="G2291" s="1"/>
      <c r="H2291" s="15"/>
      <c r="I2291" s="15"/>
      <c r="J2291" s="15"/>
      <c r="K2291" s="15"/>
      <c r="L2291" s="1"/>
    </row>
    <row r="2292">
      <c r="A2292" s="1"/>
      <c r="B2292" s="1"/>
      <c r="E2292" s="1"/>
      <c r="F2292" s="1"/>
      <c r="G2292" s="1"/>
      <c r="H2292" s="15"/>
      <c r="I2292" s="15"/>
      <c r="J2292" s="15"/>
      <c r="K2292" s="15"/>
      <c r="L2292" s="1"/>
    </row>
    <row r="2293">
      <c r="A2293" s="1"/>
      <c r="B2293" s="1"/>
      <c r="E2293" s="1"/>
      <c r="F2293" s="1"/>
      <c r="G2293" s="1"/>
      <c r="H2293" s="15"/>
      <c r="I2293" s="15"/>
      <c r="J2293" s="15"/>
      <c r="K2293" s="15"/>
      <c r="L2293" s="1"/>
    </row>
    <row r="2294">
      <c r="A2294" s="1"/>
      <c r="B2294" s="1"/>
      <c r="E2294" s="1"/>
      <c r="F2294" s="1"/>
      <c r="G2294" s="1"/>
      <c r="H2294" s="15"/>
      <c r="I2294" s="15"/>
      <c r="J2294" s="15"/>
      <c r="K2294" s="15"/>
      <c r="L2294" s="1"/>
    </row>
    <row r="2295">
      <c r="A2295" s="1"/>
      <c r="B2295" s="1"/>
      <c r="E2295" s="1"/>
      <c r="F2295" s="1"/>
      <c r="G2295" s="1"/>
      <c r="H2295" s="15"/>
      <c r="I2295" s="15"/>
      <c r="J2295" s="15"/>
      <c r="K2295" s="15"/>
      <c r="L2295" s="1"/>
    </row>
    <row r="2296">
      <c r="A2296" s="1"/>
      <c r="B2296" s="1"/>
      <c r="E2296" s="1"/>
      <c r="F2296" s="1"/>
      <c r="G2296" s="1"/>
      <c r="H2296" s="15"/>
      <c r="I2296" s="15"/>
      <c r="J2296" s="15"/>
      <c r="K2296" s="15"/>
      <c r="L2296" s="1"/>
    </row>
    <row r="2297">
      <c r="A2297" s="1"/>
      <c r="B2297" s="1"/>
      <c r="E2297" s="1"/>
      <c r="F2297" s="1"/>
      <c r="G2297" s="1"/>
      <c r="H2297" s="15"/>
      <c r="I2297" s="15"/>
      <c r="J2297" s="15"/>
      <c r="K2297" s="15"/>
      <c r="L2297" s="1"/>
    </row>
    <row r="2298">
      <c r="A2298" s="1"/>
      <c r="B2298" s="1"/>
      <c r="E2298" s="1"/>
      <c r="F2298" s="1"/>
      <c r="G2298" s="1"/>
      <c r="H2298" s="15"/>
      <c r="I2298" s="15"/>
      <c r="J2298" s="15"/>
      <c r="K2298" s="15"/>
      <c r="L2298" s="1"/>
    </row>
    <row r="2299">
      <c r="A2299" s="1"/>
      <c r="B2299" s="1"/>
      <c r="E2299" s="1"/>
      <c r="F2299" s="1"/>
      <c r="G2299" s="1"/>
      <c r="H2299" s="15"/>
      <c r="I2299" s="15"/>
      <c r="J2299" s="15"/>
      <c r="K2299" s="15"/>
      <c r="L2299" s="1"/>
    </row>
    <row r="2300">
      <c r="A2300" s="1"/>
      <c r="B2300" s="1"/>
      <c r="E2300" s="1"/>
      <c r="F2300" s="1"/>
      <c r="G2300" s="1"/>
      <c r="H2300" s="15"/>
      <c r="I2300" s="15"/>
      <c r="J2300" s="15"/>
      <c r="K2300" s="15"/>
      <c r="L2300" s="1"/>
    </row>
    <row r="2301">
      <c r="A2301" s="1"/>
      <c r="B2301" s="1"/>
      <c r="E2301" s="1"/>
      <c r="F2301" s="1"/>
      <c r="G2301" s="1"/>
      <c r="H2301" s="15"/>
      <c r="I2301" s="15"/>
      <c r="J2301" s="15"/>
      <c r="K2301" s="15"/>
      <c r="L2301" s="1"/>
    </row>
    <row r="2302">
      <c r="A2302" s="1"/>
      <c r="B2302" s="1"/>
      <c r="E2302" s="1"/>
      <c r="F2302" s="1"/>
      <c r="G2302" s="1"/>
      <c r="H2302" s="15"/>
      <c r="I2302" s="15"/>
      <c r="J2302" s="15"/>
      <c r="K2302" s="15"/>
      <c r="L2302" s="1"/>
    </row>
    <row r="2303">
      <c r="A2303" s="1"/>
      <c r="B2303" s="1"/>
      <c r="E2303" s="1"/>
      <c r="F2303" s="1"/>
      <c r="G2303" s="1"/>
      <c r="H2303" s="15"/>
      <c r="I2303" s="15"/>
      <c r="J2303" s="15"/>
      <c r="K2303" s="15"/>
      <c r="L2303" s="1"/>
    </row>
    <row r="2304">
      <c r="A2304" s="1"/>
      <c r="B2304" s="1"/>
      <c r="E2304" s="1"/>
      <c r="F2304" s="1"/>
      <c r="G2304" s="1"/>
      <c r="H2304" s="15"/>
      <c r="I2304" s="15"/>
      <c r="J2304" s="15"/>
      <c r="K2304" s="15"/>
      <c r="L2304" s="1"/>
    </row>
    <row r="2305">
      <c r="A2305" s="1"/>
      <c r="B2305" s="1"/>
      <c r="E2305" s="1"/>
      <c r="F2305" s="1"/>
      <c r="G2305" s="1"/>
      <c r="H2305" s="15"/>
      <c r="I2305" s="15"/>
      <c r="J2305" s="15"/>
      <c r="K2305" s="15"/>
      <c r="L2305" s="1"/>
    </row>
    <row r="2306">
      <c r="A2306" s="1"/>
      <c r="B2306" s="1"/>
      <c r="E2306" s="1"/>
      <c r="F2306" s="1"/>
      <c r="G2306" s="1"/>
      <c r="H2306" s="15"/>
      <c r="I2306" s="15"/>
      <c r="J2306" s="15"/>
      <c r="K2306" s="15"/>
      <c r="L2306" s="1"/>
    </row>
    <row r="2307">
      <c r="A2307" s="1"/>
      <c r="B2307" s="1"/>
      <c r="E2307" s="1"/>
      <c r="F2307" s="1"/>
      <c r="G2307" s="1"/>
      <c r="H2307" s="15"/>
      <c r="I2307" s="15"/>
      <c r="J2307" s="15"/>
      <c r="K2307" s="15"/>
      <c r="L2307" s="1"/>
    </row>
    <row r="2308">
      <c r="A2308" s="1"/>
      <c r="B2308" s="1"/>
      <c r="E2308" s="1"/>
      <c r="F2308" s="1"/>
      <c r="G2308" s="1"/>
      <c r="H2308" s="15"/>
      <c r="I2308" s="15"/>
      <c r="J2308" s="15"/>
      <c r="K2308" s="15"/>
      <c r="L2308" s="1"/>
    </row>
    <row r="2309">
      <c r="A2309" s="1"/>
      <c r="B2309" s="1"/>
      <c r="E2309" s="1"/>
      <c r="F2309" s="1"/>
      <c r="G2309" s="1"/>
      <c r="H2309" s="15"/>
      <c r="I2309" s="15"/>
      <c r="J2309" s="15"/>
      <c r="K2309" s="15"/>
      <c r="L2309" s="1"/>
    </row>
    <row r="2310">
      <c r="A2310" s="1"/>
      <c r="B2310" s="1"/>
      <c r="E2310" s="1"/>
      <c r="F2310" s="1"/>
      <c r="G2310" s="1"/>
      <c r="H2310" s="15"/>
      <c r="I2310" s="15"/>
      <c r="J2310" s="15"/>
      <c r="K2310" s="15"/>
      <c r="L2310" s="1"/>
    </row>
    <row r="2311">
      <c r="A2311" s="1"/>
      <c r="B2311" s="1"/>
      <c r="E2311" s="1"/>
      <c r="F2311" s="1"/>
      <c r="G2311" s="1"/>
      <c r="H2311" s="15"/>
      <c r="I2311" s="15"/>
      <c r="J2311" s="15"/>
      <c r="K2311" s="15"/>
      <c r="L2311" s="1"/>
    </row>
    <row r="2312">
      <c r="A2312" s="1"/>
      <c r="B2312" s="1"/>
      <c r="E2312" s="1"/>
      <c r="F2312" s="1"/>
      <c r="G2312" s="1"/>
      <c r="H2312" s="15"/>
      <c r="I2312" s="15"/>
      <c r="J2312" s="15"/>
      <c r="K2312" s="15"/>
      <c r="L2312" s="1"/>
    </row>
    <row r="2313">
      <c r="A2313" s="1"/>
      <c r="B2313" s="1"/>
      <c r="E2313" s="1"/>
      <c r="F2313" s="1"/>
      <c r="G2313" s="1"/>
      <c r="H2313" s="15"/>
      <c r="I2313" s="15"/>
      <c r="J2313" s="15"/>
      <c r="K2313" s="15"/>
      <c r="L2313" s="1"/>
    </row>
    <row r="2314">
      <c r="A2314" s="1"/>
      <c r="B2314" s="1"/>
      <c r="E2314" s="1"/>
      <c r="F2314" s="1"/>
      <c r="G2314" s="1"/>
      <c r="H2314" s="15"/>
      <c r="I2314" s="15"/>
      <c r="J2314" s="15"/>
      <c r="K2314" s="15"/>
      <c r="L2314" s="1"/>
    </row>
    <row r="2315">
      <c r="A2315" s="1"/>
      <c r="B2315" s="1"/>
      <c r="E2315" s="1"/>
      <c r="F2315" s="1"/>
      <c r="G2315" s="1"/>
      <c r="H2315" s="15"/>
      <c r="I2315" s="15"/>
      <c r="J2315" s="15"/>
      <c r="K2315" s="15"/>
      <c r="L2315" s="1"/>
    </row>
    <row r="2316">
      <c r="A2316" s="1"/>
      <c r="B2316" s="1"/>
      <c r="E2316" s="1"/>
      <c r="F2316" s="1"/>
      <c r="G2316" s="1"/>
      <c r="H2316" s="15"/>
      <c r="I2316" s="15"/>
      <c r="J2316" s="15"/>
      <c r="K2316" s="15"/>
      <c r="L2316" s="1"/>
    </row>
    <row r="2317">
      <c r="A2317" s="1"/>
      <c r="B2317" s="1"/>
      <c r="E2317" s="1"/>
      <c r="F2317" s="1"/>
      <c r="G2317" s="1"/>
      <c r="H2317" s="15"/>
      <c r="I2317" s="15"/>
      <c r="J2317" s="15"/>
      <c r="K2317" s="15"/>
      <c r="L2317" s="1"/>
    </row>
    <row r="2318">
      <c r="A2318" s="1"/>
      <c r="B2318" s="1"/>
      <c r="E2318" s="1"/>
      <c r="F2318" s="1"/>
      <c r="G2318" s="1"/>
      <c r="H2318" s="15"/>
      <c r="I2318" s="15"/>
      <c r="J2318" s="15"/>
      <c r="K2318" s="15"/>
      <c r="L2318" s="1"/>
    </row>
    <row r="2319">
      <c r="A2319" s="1"/>
      <c r="B2319" s="1"/>
      <c r="E2319" s="1"/>
      <c r="F2319" s="1"/>
      <c r="G2319" s="1"/>
      <c r="H2319" s="15"/>
      <c r="I2319" s="15"/>
      <c r="J2319" s="15"/>
      <c r="K2319" s="15"/>
      <c r="L2319" s="1"/>
    </row>
    <row r="2320">
      <c r="A2320" s="1"/>
      <c r="B2320" s="1"/>
      <c r="E2320" s="1"/>
      <c r="F2320" s="1"/>
      <c r="G2320" s="1"/>
      <c r="H2320" s="15"/>
      <c r="I2320" s="15"/>
      <c r="J2320" s="15"/>
      <c r="K2320" s="15"/>
      <c r="L2320" s="1"/>
    </row>
    <row r="2321">
      <c r="A2321" s="1"/>
      <c r="B2321" s="1"/>
      <c r="E2321" s="1"/>
      <c r="F2321" s="1"/>
      <c r="G2321" s="1"/>
      <c r="H2321" s="15"/>
      <c r="I2321" s="15"/>
      <c r="J2321" s="15"/>
      <c r="K2321" s="15"/>
      <c r="L2321" s="1"/>
    </row>
    <row r="2322">
      <c r="A2322" s="1"/>
      <c r="B2322" s="1"/>
      <c r="E2322" s="1"/>
      <c r="F2322" s="1"/>
      <c r="G2322" s="1"/>
      <c r="H2322" s="15"/>
      <c r="I2322" s="15"/>
      <c r="J2322" s="15"/>
      <c r="K2322" s="15"/>
      <c r="L2322" s="1"/>
    </row>
    <row r="2323">
      <c r="A2323" s="1"/>
      <c r="B2323" s="1"/>
      <c r="E2323" s="1"/>
      <c r="F2323" s="1"/>
      <c r="G2323" s="1"/>
      <c r="H2323" s="15"/>
      <c r="I2323" s="15"/>
      <c r="J2323" s="15"/>
      <c r="K2323" s="15"/>
      <c r="L2323" s="1"/>
    </row>
    <row r="2324">
      <c r="A2324" s="1"/>
      <c r="B2324" s="1"/>
      <c r="E2324" s="1"/>
      <c r="F2324" s="1"/>
      <c r="G2324" s="1"/>
      <c r="H2324" s="15"/>
      <c r="I2324" s="15"/>
      <c r="J2324" s="15"/>
      <c r="K2324" s="15"/>
      <c r="L2324" s="1"/>
    </row>
    <row r="2325">
      <c r="A2325" s="1"/>
      <c r="B2325" s="1"/>
      <c r="E2325" s="1"/>
      <c r="F2325" s="1"/>
      <c r="G2325" s="1"/>
      <c r="H2325" s="15"/>
      <c r="I2325" s="15"/>
      <c r="J2325" s="15"/>
      <c r="K2325" s="15"/>
      <c r="L2325" s="1"/>
    </row>
    <row r="2326">
      <c r="A2326" s="1"/>
      <c r="B2326" s="1"/>
      <c r="E2326" s="1"/>
      <c r="F2326" s="1"/>
      <c r="G2326" s="1"/>
      <c r="H2326" s="15"/>
      <c r="I2326" s="15"/>
      <c r="J2326" s="15"/>
      <c r="K2326" s="15"/>
      <c r="L2326" s="1"/>
    </row>
    <row r="2327">
      <c r="A2327" s="1"/>
      <c r="B2327" s="1"/>
      <c r="E2327" s="1"/>
      <c r="F2327" s="1"/>
      <c r="G2327" s="1"/>
      <c r="H2327" s="15"/>
      <c r="I2327" s="15"/>
      <c r="J2327" s="15"/>
      <c r="K2327" s="15"/>
      <c r="L2327" s="1"/>
    </row>
    <row r="2328">
      <c r="A2328" s="1"/>
      <c r="B2328" s="1"/>
      <c r="E2328" s="1"/>
      <c r="F2328" s="1"/>
      <c r="G2328" s="1"/>
      <c r="H2328" s="15"/>
      <c r="I2328" s="15"/>
      <c r="J2328" s="15"/>
      <c r="K2328" s="15"/>
      <c r="L2328" s="1"/>
    </row>
    <row r="2329">
      <c r="A2329" s="1"/>
      <c r="B2329" s="1"/>
      <c r="E2329" s="1"/>
      <c r="F2329" s="1"/>
      <c r="G2329" s="1"/>
      <c r="H2329" s="15"/>
      <c r="I2329" s="15"/>
      <c r="J2329" s="15"/>
      <c r="K2329" s="15"/>
      <c r="L2329" s="1"/>
    </row>
    <row r="2330">
      <c r="A2330" s="1"/>
      <c r="B2330" s="1"/>
      <c r="E2330" s="1"/>
      <c r="F2330" s="1"/>
      <c r="G2330" s="1"/>
      <c r="H2330" s="15"/>
      <c r="I2330" s="15"/>
      <c r="J2330" s="15"/>
      <c r="K2330" s="15"/>
      <c r="L2330" s="1"/>
    </row>
    <row r="2331">
      <c r="A2331" s="1"/>
      <c r="B2331" s="1"/>
      <c r="E2331" s="1"/>
      <c r="F2331" s="1"/>
      <c r="G2331" s="1"/>
      <c r="H2331" s="15"/>
      <c r="I2331" s="15"/>
      <c r="J2331" s="15"/>
      <c r="K2331" s="15"/>
      <c r="L2331" s="1"/>
    </row>
    <row r="2332">
      <c r="A2332" s="1"/>
      <c r="B2332" s="1"/>
      <c r="E2332" s="1"/>
      <c r="F2332" s="1"/>
      <c r="G2332" s="1"/>
      <c r="H2332" s="15"/>
      <c r="I2332" s="15"/>
      <c r="J2332" s="15"/>
      <c r="K2332" s="15"/>
      <c r="L2332" s="1"/>
    </row>
    <row r="2333">
      <c r="A2333" s="1"/>
      <c r="B2333" s="1"/>
      <c r="E2333" s="1"/>
      <c r="F2333" s="1"/>
      <c r="G2333" s="1"/>
      <c r="H2333" s="15"/>
      <c r="I2333" s="15"/>
      <c r="J2333" s="15"/>
      <c r="K2333" s="15"/>
      <c r="L2333" s="1"/>
    </row>
    <row r="2334">
      <c r="A2334" s="1"/>
      <c r="B2334" s="1"/>
      <c r="E2334" s="1"/>
      <c r="F2334" s="1"/>
      <c r="G2334" s="1"/>
      <c r="H2334" s="15"/>
      <c r="I2334" s="15"/>
      <c r="J2334" s="15"/>
      <c r="K2334" s="15"/>
      <c r="L2334" s="1"/>
    </row>
    <row r="2335">
      <c r="A2335" s="1"/>
      <c r="B2335" s="1"/>
      <c r="E2335" s="1"/>
      <c r="F2335" s="1"/>
      <c r="G2335" s="1"/>
      <c r="H2335" s="15"/>
      <c r="I2335" s="15"/>
      <c r="J2335" s="15"/>
      <c r="K2335" s="15"/>
      <c r="L2335" s="1"/>
    </row>
    <row r="2336">
      <c r="A2336" s="1"/>
      <c r="B2336" s="1"/>
      <c r="E2336" s="1"/>
      <c r="F2336" s="1"/>
      <c r="G2336" s="1"/>
      <c r="H2336" s="15"/>
      <c r="I2336" s="15"/>
      <c r="J2336" s="15"/>
      <c r="K2336" s="15"/>
      <c r="L2336" s="1"/>
    </row>
    <row r="2337">
      <c r="A2337" s="1"/>
      <c r="B2337" s="1"/>
      <c r="E2337" s="1"/>
      <c r="F2337" s="1"/>
      <c r="G2337" s="1"/>
      <c r="H2337" s="15"/>
      <c r="I2337" s="15"/>
      <c r="J2337" s="15"/>
      <c r="K2337" s="15"/>
      <c r="L2337" s="1"/>
    </row>
    <row r="2338">
      <c r="A2338" s="1"/>
      <c r="B2338" s="1"/>
      <c r="E2338" s="1"/>
      <c r="F2338" s="1"/>
      <c r="G2338" s="1"/>
      <c r="H2338" s="15"/>
      <c r="I2338" s="15"/>
      <c r="J2338" s="15"/>
      <c r="K2338" s="15"/>
      <c r="L2338" s="1"/>
    </row>
    <row r="2339">
      <c r="A2339" s="1"/>
      <c r="B2339" s="1"/>
      <c r="E2339" s="1"/>
      <c r="F2339" s="1"/>
      <c r="G2339" s="1"/>
      <c r="H2339" s="15"/>
      <c r="I2339" s="15"/>
      <c r="J2339" s="15"/>
      <c r="K2339" s="15"/>
      <c r="L2339" s="1"/>
    </row>
    <row r="2340">
      <c r="A2340" s="1"/>
      <c r="B2340" s="1"/>
      <c r="E2340" s="1"/>
      <c r="F2340" s="1"/>
      <c r="G2340" s="1"/>
      <c r="H2340" s="15"/>
      <c r="I2340" s="15"/>
      <c r="J2340" s="15"/>
      <c r="K2340" s="15"/>
      <c r="L2340" s="1"/>
    </row>
    <row r="2341">
      <c r="A2341" s="1"/>
      <c r="B2341" s="1"/>
      <c r="E2341" s="1"/>
      <c r="F2341" s="1"/>
      <c r="G2341" s="1"/>
      <c r="H2341" s="15"/>
      <c r="I2341" s="15"/>
      <c r="J2341" s="15"/>
      <c r="K2341" s="15"/>
      <c r="L2341" s="1"/>
    </row>
    <row r="2342">
      <c r="A2342" s="1"/>
      <c r="B2342" s="1"/>
      <c r="E2342" s="1"/>
      <c r="F2342" s="1"/>
      <c r="G2342" s="1"/>
      <c r="H2342" s="15"/>
      <c r="I2342" s="15"/>
      <c r="J2342" s="15"/>
      <c r="K2342" s="15"/>
      <c r="L2342" s="1"/>
    </row>
    <row r="2343">
      <c r="A2343" s="1"/>
      <c r="B2343" s="1"/>
      <c r="E2343" s="1"/>
      <c r="F2343" s="1"/>
      <c r="G2343" s="1"/>
      <c r="H2343" s="15"/>
      <c r="I2343" s="15"/>
      <c r="J2343" s="15"/>
      <c r="K2343" s="15"/>
      <c r="L2343" s="1"/>
    </row>
    <row r="2344">
      <c r="A2344" s="1"/>
      <c r="B2344" s="1"/>
      <c r="E2344" s="1"/>
      <c r="F2344" s="1"/>
      <c r="G2344" s="1"/>
      <c r="H2344" s="15"/>
      <c r="I2344" s="15"/>
      <c r="J2344" s="15"/>
      <c r="K2344" s="15"/>
      <c r="L2344" s="1"/>
    </row>
    <row r="2345">
      <c r="A2345" s="1"/>
      <c r="B2345" s="1"/>
      <c r="E2345" s="1"/>
      <c r="F2345" s="1"/>
      <c r="G2345" s="1"/>
      <c r="H2345" s="15"/>
      <c r="I2345" s="15"/>
      <c r="J2345" s="15"/>
      <c r="K2345" s="15"/>
      <c r="L2345" s="1"/>
    </row>
    <row r="2346">
      <c r="A2346" s="1"/>
      <c r="B2346" s="1"/>
      <c r="E2346" s="1"/>
      <c r="F2346" s="1"/>
      <c r="G2346" s="1"/>
      <c r="H2346" s="15"/>
      <c r="I2346" s="15"/>
      <c r="J2346" s="15"/>
      <c r="K2346" s="15"/>
      <c r="L2346" s="1"/>
    </row>
    <row r="2347">
      <c r="A2347" s="1"/>
      <c r="B2347" s="1"/>
      <c r="E2347" s="1"/>
      <c r="F2347" s="1"/>
      <c r="G2347" s="1"/>
      <c r="H2347" s="15"/>
      <c r="I2347" s="15"/>
      <c r="J2347" s="15"/>
      <c r="K2347" s="15"/>
      <c r="L2347" s="1"/>
    </row>
    <row r="2348">
      <c r="A2348" s="1"/>
      <c r="B2348" s="1"/>
      <c r="E2348" s="1"/>
      <c r="F2348" s="1"/>
      <c r="G2348" s="1"/>
      <c r="H2348" s="15"/>
      <c r="I2348" s="15"/>
      <c r="J2348" s="15"/>
      <c r="K2348" s="15"/>
      <c r="L2348" s="1"/>
    </row>
    <row r="2349">
      <c r="A2349" s="1"/>
      <c r="B2349" s="1"/>
      <c r="E2349" s="1"/>
      <c r="F2349" s="1"/>
      <c r="G2349" s="1"/>
      <c r="H2349" s="15"/>
      <c r="I2349" s="15"/>
      <c r="J2349" s="15"/>
      <c r="K2349" s="15"/>
      <c r="L2349" s="1"/>
    </row>
    <row r="2350">
      <c r="A2350" s="1"/>
      <c r="B2350" s="1"/>
      <c r="E2350" s="1"/>
      <c r="F2350" s="1"/>
      <c r="G2350" s="1"/>
      <c r="H2350" s="15"/>
      <c r="I2350" s="15"/>
      <c r="J2350" s="15"/>
      <c r="K2350" s="15"/>
      <c r="L2350" s="1"/>
    </row>
    <row r="2351">
      <c r="A2351" s="1"/>
      <c r="B2351" s="1"/>
      <c r="E2351" s="1"/>
      <c r="F2351" s="1"/>
      <c r="G2351" s="1"/>
      <c r="H2351" s="15"/>
      <c r="I2351" s="15"/>
      <c r="J2351" s="15"/>
      <c r="K2351" s="15"/>
      <c r="L2351" s="1"/>
    </row>
    <row r="2352">
      <c r="A2352" s="1"/>
      <c r="B2352" s="1"/>
      <c r="E2352" s="1"/>
      <c r="F2352" s="1"/>
      <c r="G2352" s="1"/>
      <c r="H2352" s="15"/>
      <c r="I2352" s="15"/>
      <c r="J2352" s="15"/>
      <c r="K2352" s="15"/>
      <c r="L2352" s="1"/>
    </row>
    <row r="2353">
      <c r="A2353" s="1"/>
      <c r="B2353" s="1"/>
      <c r="E2353" s="1"/>
      <c r="F2353" s="1"/>
      <c r="G2353" s="1"/>
      <c r="H2353" s="15"/>
      <c r="I2353" s="15"/>
      <c r="J2353" s="15"/>
      <c r="K2353" s="15"/>
      <c r="L2353" s="1"/>
    </row>
    <row r="2354">
      <c r="A2354" s="1"/>
      <c r="B2354" s="1"/>
      <c r="E2354" s="1"/>
      <c r="F2354" s="1"/>
      <c r="G2354" s="1"/>
      <c r="H2354" s="15"/>
      <c r="I2354" s="15"/>
      <c r="J2354" s="15"/>
      <c r="K2354" s="15"/>
      <c r="L2354" s="1"/>
    </row>
    <row r="2355">
      <c r="A2355" s="1"/>
      <c r="B2355" s="1"/>
      <c r="E2355" s="1"/>
      <c r="F2355" s="1"/>
      <c r="G2355" s="1"/>
      <c r="H2355" s="15"/>
      <c r="I2355" s="15"/>
      <c r="J2355" s="15"/>
      <c r="K2355" s="15"/>
      <c r="L2355" s="1"/>
    </row>
    <row r="2356">
      <c r="A2356" s="1"/>
      <c r="B2356" s="1"/>
      <c r="E2356" s="1"/>
      <c r="F2356" s="1"/>
      <c r="G2356" s="1"/>
      <c r="H2356" s="15"/>
      <c r="I2356" s="15"/>
      <c r="J2356" s="15"/>
      <c r="K2356" s="15"/>
      <c r="L2356" s="1"/>
    </row>
    <row r="2357">
      <c r="A2357" s="1"/>
      <c r="B2357" s="1"/>
      <c r="E2357" s="1"/>
      <c r="F2357" s="1"/>
      <c r="G2357" s="1"/>
      <c r="H2357" s="15"/>
      <c r="I2357" s="15"/>
      <c r="J2357" s="15"/>
      <c r="K2357" s="15"/>
      <c r="L2357" s="1"/>
    </row>
    <row r="2358">
      <c r="A2358" s="1"/>
      <c r="B2358" s="1"/>
      <c r="E2358" s="1"/>
      <c r="F2358" s="1"/>
      <c r="G2358" s="1"/>
      <c r="H2358" s="15"/>
      <c r="I2358" s="15"/>
      <c r="J2358" s="15"/>
      <c r="K2358" s="15"/>
      <c r="L2358" s="1"/>
    </row>
    <row r="2359">
      <c r="A2359" s="1"/>
      <c r="B2359" s="1"/>
      <c r="E2359" s="1"/>
      <c r="F2359" s="1"/>
      <c r="G2359" s="1"/>
      <c r="H2359" s="15"/>
      <c r="I2359" s="15"/>
      <c r="J2359" s="15"/>
      <c r="K2359" s="15"/>
      <c r="L2359" s="1"/>
    </row>
    <row r="2360">
      <c r="A2360" s="1"/>
      <c r="B2360" s="1"/>
      <c r="E2360" s="1"/>
      <c r="F2360" s="1"/>
      <c r="G2360" s="1"/>
      <c r="H2360" s="15"/>
      <c r="I2360" s="15"/>
      <c r="J2360" s="15"/>
      <c r="K2360" s="15"/>
      <c r="L2360" s="1"/>
    </row>
    <row r="2361">
      <c r="A2361" s="1"/>
      <c r="B2361" s="1"/>
      <c r="E2361" s="1"/>
      <c r="F2361" s="1"/>
      <c r="G2361" s="1"/>
      <c r="H2361" s="15"/>
      <c r="I2361" s="15"/>
      <c r="J2361" s="15"/>
      <c r="K2361" s="15"/>
      <c r="L2361" s="1"/>
    </row>
    <row r="2362">
      <c r="A2362" s="1"/>
      <c r="B2362" s="1"/>
      <c r="E2362" s="1"/>
      <c r="F2362" s="1"/>
      <c r="G2362" s="1"/>
      <c r="H2362" s="15"/>
      <c r="I2362" s="15"/>
      <c r="J2362" s="15"/>
      <c r="K2362" s="15"/>
      <c r="L2362" s="1"/>
    </row>
    <row r="2363">
      <c r="A2363" s="1"/>
      <c r="B2363" s="1"/>
      <c r="E2363" s="1"/>
      <c r="F2363" s="1"/>
      <c r="G2363" s="1"/>
      <c r="H2363" s="15"/>
      <c r="I2363" s="15"/>
      <c r="J2363" s="15"/>
      <c r="K2363" s="15"/>
      <c r="L2363" s="1"/>
    </row>
    <row r="2364">
      <c r="A2364" s="1"/>
      <c r="B2364" s="1"/>
      <c r="E2364" s="1"/>
      <c r="F2364" s="1"/>
      <c r="G2364" s="1"/>
      <c r="H2364" s="15"/>
      <c r="I2364" s="15"/>
      <c r="J2364" s="15"/>
      <c r="K2364" s="15"/>
      <c r="L2364" s="1"/>
    </row>
    <row r="2365">
      <c r="A2365" s="1"/>
      <c r="B2365" s="1"/>
      <c r="E2365" s="1"/>
      <c r="F2365" s="1"/>
      <c r="G2365" s="1"/>
      <c r="H2365" s="15"/>
      <c r="I2365" s="15"/>
      <c r="J2365" s="15"/>
      <c r="K2365" s="15"/>
      <c r="L2365" s="1"/>
    </row>
    <row r="2366">
      <c r="A2366" s="1"/>
      <c r="B2366" s="1"/>
      <c r="E2366" s="1"/>
      <c r="F2366" s="1"/>
      <c r="G2366" s="1"/>
      <c r="H2366" s="15"/>
      <c r="I2366" s="15"/>
      <c r="J2366" s="15"/>
      <c r="K2366" s="15"/>
      <c r="L2366" s="1"/>
    </row>
    <row r="2367">
      <c r="A2367" s="1"/>
      <c r="B2367" s="1"/>
      <c r="E2367" s="1"/>
      <c r="F2367" s="1"/>
      <c r="G2367" s="1"/>
      <c r="H2367" s="15"/>
      <c r="I2367" s="15"/>
      <c r="J2367" s="15"/>
      <c r="K2367" s="15"/>
      <c r="L2367" s="1"/>
    </row>
    <row r="2368">
      <c r="A2368" s="1"/>
      <c r="B2368" s="1"/>
      <c r="E2368" s="1"/>
      <c r="F2368" s="1"/>
      <c r="G2368" s="1"/>
      <c r="H2368" s="15"/>
      <c r="I2368" s="15"/>
      <c r="J2368" s="15"/>
      <c r="K2368" s="15"/>
      <c r="L2368" s="1"/>
    </row>
    <row r="2369">
      <c r="A2369" s="1"/>
      <c r="B2369" s="1"/>
      <c r="E2369" s="1"/>
      <c r="F2369" s="1"/>
      <c r="G2369" s="1"/>
      <c r="H2369" s="15"/>
      <c r="I2369" s="15"/>
      <c r="J2369" s="15"/>
      <c r="K2369" s="15"/>
      <c r="L2369" s="1"/>
    </row>
    <row r="2370">
      <c r="A2370" s="1"/>
      <c r="B2370" s="1"/>
      <c r="E2370" s="1"/>
      <c r="F2370" s="1"/>
      <c r="G2370" s="1"/>
      <c r="H2370" s="15"/>
      <c r="I2370" s="15"/>
      <c r="J2370" s="15"/>
      <c r="K2370" s="15"/>
      <c r="L2370" s="1"/>
    </row>
    <row r="2371">
      <c r="A2371" s="1"/>
      <c r="B2371" s="1"/>
      <c r="E2371" s="1"/>
      <c r="F2371" s="1"/>
      <c r="G2371" s="1"/>
      <c r="H2371" s="15"/>
      <c r="I2371" s="15"/>
      <c r="J2371" s="15"/>
      <c r="K2371" s="15"/>
      <c r="L2371" s="1"/>
    </row>
    <row r="2372">
      <c r="A2372" s="1"/>
      <c r="B2372" s="1"/>
      <c r="E2372" s="1"/>
      <c r="F2372" s="1"/>
      <c r="G2372" s="1"/>
      <c r="H2372" s="15"/>
      <c r="I2372" s="15"/>
      <c r="J2372" s="15"/>
      <c r="K2372" s="15"/>
      <c r="L2372" s="1"/>
    </row>
    <row r="2373">
      <c r="A2373" s="1"/>
      <c r="B2373" s="1"/>
      <c r="E2373" s="1"/>
      <c r="F2373" s="1"/>
      <c r="G2373" s="1"/>
      <c r="H2373" s="15"/>
      <c r="I2373" s="15"/>
      <c r="J2373" s="15"/>
      <c r="K2373" s="15"/>
      <c r="L2373" s="1"/>
    </row>
    <row r="2374">
      <c r="A2374" s="1"/>
      <c r="B2374" s="1"/>
      <c r="E2374" s="1"/>
      <c r="F2374" s="1"/>
      <c r="G2374" s="1"/>
      <c r="H2374" s="15"/>
      <c r="I2374" s="15"/>
      <c r="J2374" s="15"/>
      <c r="K2374" s="15"/>
      <c r="L2374" s="1"/>
    </row>
    <row r="2375">
      <c r="A2375" s="1"/>
      <c r="B2375" s="1"/>
      <c r="E2375" s="1"/>
      <c r="F2375" s="1"/>
      <c r="G2375" s="1"/>
      <c r="H2375" s="15"/>
      <c r="I2375" s="15"/>
      <c r="J2375" s="15"/>
      <c r="K2375" s="15"/>
      <c r="L2375" s="1"/>
    </row>
    <row r="2376">
      <c r="A2376" s="1"/>
      <c r="B2376" s="1"/>
      <c r="E2376" s="1"/>
      <c r="F2376" s="1"/>
      <c r="G2376" s="1"/>
      <c r="H2376" s="15"/>
      <c r="I2376" s="15"/>
      <c r="J2376" s="15"/>
      <c r="K2376" s="15"/>
      <c r="L2376" s="1"/>
    </row>
    <row r="2377">
      <c r="A2377" s="1"/>
      <c r="B2377" s="1"/>
      <c r="E2377" s="1"/>
      <c r="F2377" s="1"/>
      <c r="G2377" s="1"/>
      <c r="H2377" s="15"/>
      <c r="I2377" s="15"/>
      <c r="J2377" s="15"/>
      <c r="K2377" s="15"/>
      <c r="L2377" s="1"/>
    </row>
  </sheetData>
  <drawing r:id="rId1"/>
</worksheet>
</file>